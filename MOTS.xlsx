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4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5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ejoz\Downloads\"/>
    </mc:Choice>
  </mc:AlternateContent>
  <xr:revisionPtr revIDLastSave="0" documentId="8_{FABADFF1-7231-4C5F-83B6-390E0F1949A7}" xr6:coauthVersionLast="47" xr6:coauthVersionMax="47" xr10:uidLastSave="{00000000-0000-0000-0000-000000000000}"/>
  <bookViews>
    <workbookView xWindow="-110" yWindow="-110" windowWidth="19420" windowHeight="11020" tabRatio="771" xr2:uid="{00000000-000D-0000-FFFF-FFFF00000000}"/>
  </bookViews>
  <sheets>
    <sheet name="Model Setup" sheetId="6" r:id="rId1"/>
    <sheet name="Data- Refined" sheetId="2" r:id="rId2"/>
    <sheet name="Optimization Model" sheetId="3" r:id="rId3"/>
    <sheet name=" Metrics Calculation" sheetId="5" r:id="rId4"/>
    <sheet name="Support Calculation" sheetId="4" r:id="rId5"/>
    <sheet name="Statistical Analysis- Lead Flow" sheetId="8" r:id="rId6"/>
    <sheet name="Data- Extract" sheetId="1" r:id="rId7"/>
    <sheet name="FTC" sheetId="7" state="hidden" r:id="rId8"/>
  </sheets>
  <definedNames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41596.9638888889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  <definedName name="solver_adj" localSheetId="2" hidden="1">'Optimization Model'!$C$5:$D$18,'Optimization Model'!$E$7:$H$20</definedName>
    <definedName name="solver_cvg" localSheetId="2" hidden="1">0.0001</definedName>
    <definedName name="solver_drv" localSheetId="2" hidden="1">1</definedName>
    <definedName name="solver_eng" localSheetId="3" hidden="1">1</definedName>
    <definedName name="solver_eng" localSheetId="2" hidden="1">3</definedName>
    <definedName name="solver_eng" localSheetId="5" hidden="1">1</definedName>
    <definedName name="solver_est" localSheetId="2" hidden="1">1</definedName>
    <definedName name="solver_itr" localSheetId="2" hidden="1">2147483647</definedName>
    <definedName name="solver_lhs1" localSheetId="2" hidden="1">'Optimization Model'!$C$24:$H$24</definedName>
    <definedName name="solver_lhs10" localSheetId="2" hidden="1">'Optimization Model'!#REF!</definedName>
    <definedName name="solver_lhs2" localSheetId="2" hidden="1">'Optimization Model'!$C$5:$D$18</definedName>
    <definedName name="solver_lhs3" localSheetId="2" hidden="1">'Optimization Model'!$E$7:$H$20</definedName>
    <definedName name="solver_lhs4" localSheetId="2" hidden="1">'Optimization Model'!$L$5:$L$20</definedName>
    <definedName name="solver_lhs5" localSheetId="2" hidden="1">'Optimization Model'!#REF!</definedName>
    <definedName name="solver_lhs6" localSheetId="2" hidden="1">'Optimization Model'!#REF!</definedName>
    <definedName name="solver_lhs7" localSheetId="2" hidden="1">'Optimization Model'!#REF!</definedName>
    <definedName name="solver_lhs8" localSheetId="2" hidden="1">'Optimization Model'!#REF!</definedName>
    <definedName name="solver_lhs9" localSheetId="2" hidden="1">'Optimization Model'!#REF!</definedName>
    <definedName name="solver_mip" localSheetId="2" hidden="1">2147483647</definedName>
    <definedName name="solver_mni" localSheetId="2" hidden="1">3000</definedName>
    <definedName name="solver_mrt" localSheetId="2" hidden="1">0.075</definedName>
    <definedName name="solver_msl" localSheetId="2" hidden="1">2</definedName>
    <definedName name="solver_neg" localSheetId="3" hidden="1">1</definedName>
    <definedName name="solver_neg" localSheetId="2" hidden="1">1</definedName>
    <definedName name="solver_neg" localSheetId="5" hidden="1">1</definedName>
    <definedName name="solver_nod" localSheetId="2" hidden="1">2147483647</definedName>
    <definedName name="solver_num" localSheetId="3" hidden="1">0</definedName>
    <definedName name="solver_num" localSheetId="2" hidden="1">4</definedName>
    <definedName name="solver_num" localSheetId="5" hidden="1">0</definedName>
    <definedName name="solver_nwt" localSheetId="2" hidden="1">1</definedName>
    <definedName name="solver_opt" localSheetId="3" hidden="1">' Metrics Calculation'!$C$8</definedName>
    <definedName name="solver_opt" localSheetId="2" hidden="1">'Optimization Model'!$T$4</definedName>
    <definedName name="solver_opt" localSheetId="5" hidden="1">'Statistical Analysis- Lead Flow'!$G$9</definedName>
    <definedName name="solver_pre" localSheetId="2" hidden="1">0.000001</definedName>
    <definedName name="solver_rbv" localSheetId="2" hidden="1">2</definedName>
    <definedName name="solver_rel1" localSheetId="2" hidden="1">1</definedName>
    <definedName name="solver_rel10" localSheetId="2" hidden="1">1</definedName>
    <definedName name="solver_rel2" localSheetId="2" hidden="1">5</definedName>
    <definedName name="solver_rel3" localSheetId="2" hidden="1">5</definedName>
    <definedName name="solver_rel4" localSheetId="2" hidden="1">3</definedName>
    <definedName name="solver_rel5" localSheetId="2" hidden="1">1</definedName>
    <definedName name="solver_rel6" localSheetId="2" hidden="1">3</definedName>
    <definedName name="solver_rel7" localSheetId="2" hidden="1">3</definedName>
    <definedName name="solver_rel8" localSheetId="2" hidden="1">1</definedName>
    <definedName name="solver_rel9" localSheetId="2" hidden="1">1</definedName>
    <definedName name="solver_rhs1" localSheetId="2" hidden="1">'Optimization Model'!$C$26:$H$26</definedName>
    <definedName name="solver_rhs10" localSheetId="2" hidden="1">0</definedName>
    <definedName name="solver_rhs2" localSheetId="2" hidden="1">"binary"</definedName>
    <definedName name="solver_rhs3" localSheetId="2" hidden="1">"binary"</definedName>
    <definedName name="solver_rhs4" localSheetId="2" hidden="1">'Optimization Model'!$N$5:$N$20</definedName>
    <definedName name="solver_rhs5" localSheetId="2" hidden="1">'Optimization Model'!#REF!</definedName>
    <definedName name="solver_rhs6" localSheetId="2" hidden="1">'Optimization Model'!#REF!</definedName>
    <definedName name="solver_rhs7" localSheetId="2" hidden="1">'Optimization Model'!#REF!</definedName>
    <definedName name="solver_rhs8" localSheetId="2" hidden="1">'Optimization Model'!#REF!</definedName>
    <definedName name="solver_rhs9" localSheetId="2" hidden="1">'Optimization Model'!#REF!</definedName>
    <definedName name="solver_rlx" localSheetId="2" hidden="1">2</definedName>
    <definedName name="solver_rsd" localSheetId="2" hidden="1">100</definedName>
    <definedName name="solver_scl" localSheetId="2" hidden="1">2</definedName>
    <definedName name="solver_sho" localSheetId="2" hidden="1">2</definedName>
    <definedName name="solver_ssz" localSheetId="2" hidden="1">1000</definedName>
    <definedName name="solver_tim" localSheetId="2" hidden="1">2147483647</definedName>
    <definedName name="solver_tol" localSheetId="2" hidden="1">0.01</definedName>
    <definedName name="solver_typ" localSheetId="3" hidden="1">1</definedName>
    <definedName name="solver_typ" localSheetId="2" hidden="1">2</definedName>
    <definedName name="solver_typ" localSheetId="5" hidden="1">1</definedName>
    <definedName name="solver_val" localSheetId="3" hidden="1">0</definedName>
    <definedName name="solver_val" localSheetId="2" hidden="1">0</definedName>
    <definedName name="solver_val" localSheetId="5" hidden="1">0</definedName>
    <definedName name="solver_ver" localSheetId="3" hidden="1">3</definedName>
    <definedName name="solver_ver" localSheetId="2" hidden="1">3</definedName>
    <definedName name="solver_ver" localSheetId="5" hidden="1">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51" i="8" l="1"/>
  <c r="A11" i="8" s="1"/>
  <c r="A52" i="8"/>
  <c r="A12" i="8" s="1"/>
  <c r="A53" i="8"/>
  <c r="A13" i="8" s="1"/>
  <c r="A54" i="8"/>
  <c r="A14" i="8" s="1"/>
  <c r="A55" i="8"/>
  <c r="A15" i="8" s="1"/>
  <c r="A56" i="8"/>
  <c r="A16" i="8" s="1"/>
  <c r="A57" i="8"/>
  <c r="A17" i="8" s="1"/>
  <c r="A58" i="8"/>
  <c r="A18" i="8" s="1"/>
  <c r="A59" i="8"/>
  <c r="A19" i="8" s="1"/>
  <c r="A60" i="8"/>
  <c r="A20" i="8" s="1"/>
  <c r="A61" i="8"/>
  <c r="A21" i="8" s="1"/>
  <c r="A62" i="8"/>
  <c r="A22" i="8" s="1"/>
  <c r="A63" i="8"/>
  <c r="A23" i="8" s="1"/>
  <c r="A64" i="8"/>
  <c r="A24" i="8" s="1"/>
  <c r="A65" i="8"/>
  <c r="A25" i="8" s="1"/>
  <c r="A66" i="8"/>
  <c r="A26" i="8" s="1"/>
  <c r="A67" i="8"/>
  <c r="A27" i="8" s="1"/>
  <c r="A68" i="8"/>
  <c r="A28" i="8" s="1"/>
  <c r="A69" i="8"/>
  <c r="A29" i="8" s="1"/>
  <c r="A70" i="8"/>
  <c r="A30" i="8" s="1"/>
  <c r="A71" i="8"/>
  <c r="A31" i="8" s="1"/>
  <c r="A72" i="8"/>
  <c r="A32" i="8" s="1"/>
  <c r="A73" i="8"/>
  <c r="A33" i="8" s="1"/>
  <c r="A74" i="8"/>
  <c r="A34" i="8" s="1"/>
  <c r="A75" i="8"/>
  <c r="A35" i="8" s="1"/>
  <c r="A76" i="8"/>
  <c r="A36" i="8" s="1"/>
  <c r="A77" i="8"/>
  <c r="A37" i="8" s="1"/>
  <c r="A78" i="8"/>
  <c r="A38" i="8" s="1"/>
  <c r="A79" i="8"/>
  <c r="A39" i="8" s="1"/>
  <c r="A80" i="8"/>
  <c r="A40" i="8" s="1"/>
  <c r="A81" i="8"/>
  <c r="A41" i="8" s="1"/>
  <c r="A82" i="8"/>
  <c r="A42" i="8" s="1"/>
  <c r="A83" i="8"/>
  <c r="A43" i="8" s="1"/>
  <c r="A84" i="8"/>
  <c r="A44" i="8" s="1"/>
  <c r="A85" i="8"/>
  <c r="A45" i="8" s="1"/>
  <c r="A86" i="8"/>
  <c r="A87" i="8"/>
  <c r="A88" i="8"/>
  <c r="A89" i="8"/>
  <c r="A90" i="8"/>
  <c r="A91" i="8"/>
  <c r="A92" i="8"/>
  <c r="A93" i="8"/>
  <c r="A94" i="8"/>
  <c r="A95" i="8"/>
  <c r="A96" i="8"/>
  <c r="A97" i="8"/>
  <c r="A98" i="8"/>
  <c r="A99" i="8"/>
  <c r="A100" i="8"/>
  <c r="A101" i="8"/>
  <c r="A102" i="8"/>
  <c r="A103" i="8"/>
  <c r="A50" i="8"/>
  <c r="L8" i="3"/>
  <c r="L9" i="3"/>
  <c r="L10" i="3"/>
  <c r="L11" i="3"/>
  <c r="L12" i="3"/>
  <c r="L13" i="3"/>
  <c r="L14" i="3"/>
  <c r="L15" i="3"/>
  <c r="L16" i="3"/>
  <c r="L17" i="3"/>
  <c r="L18" i="3"/>
  <c r="L19" i="3"/>
  <c r="L20" i="3"/>
  <c r="F24" i="3" l="1"/>
  <c r="G24" i="3"/>
  <c r="H24" i="3"/>
  <c r="E24" i="3"/>
  <c r="P3" i="2"/>
  <c r="Q3" i="2"/>
  <c r="CF4" i="1"/>
  <c r="B19" i="3" l="1"/>
  <c r="A27" i="5" s="1"/>
  <c r="P50" i="8"/>
  <c r="R30" i="3"/>
  <c r="AJ30" i="3" s="1"/>
  <c r="Q50" i="8"/>
  <c r="EF1" i="4"/>
  <c r="B20" i="3"/>
  <c r="A28" i="5" s="1"/>
  <c r="Q30" i="3"/>
  <c r="AI30" i="3" s="1"/>
  <c r="EO1" i="4"/>
  <c r="O8" i="6" l="1"/>
  <c r="DE3" i="1" l="1"/>
  <c r="DD3" i="1"/>
  <c r="V12" i="5"/>
  <c r="W12" i="5"/>
  <c r="X12" i="5"/>
  <c r="Y12" i="5"/>
  <c r="Z12" i="5"/>
  <c r="AA12" i="5"/>
  <c r="AB12" i="5"/>
  <c r="AC12" i="5"/>
  <c r="AD12" i="5"/>
  <c r="AE12" i="5"/>
  <c r="AF12" i="5"/>
  <c r="AG12" i="5"/>
  <c r="AH12" i="5"/>
  <c r="U12" i="5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38" i="2"/>
  <c r="AA39" i="2"/>
  <c r="AA40" i="2"/>
  <c r="AA41" i="2"/>
  <c r="AA42" i="2"/>
  <c r="AA43" i="2"/>
  <c r="AA44" i="2"/>
  <c r="AA45" i="2"/>
  <c r="AA46" i="2"/>
  <c r="AA47" i="2"/>
  <c r="AA48" i="2"/>
  <c r="AA49" i="2"/>
  <c r="AA50" i="2"/>
  <c r="AA51" i="2"/>
  <c r="AA52" i="2"/>
  <c r="AA53" i="2"/>
  <c r="AA54" i="2"/>
  <c r="AA55" i="2"/>
  <c r="AA4" i="2"/>
  <c r="V56" i="2"/>
  <c r="W56" i="2"/>
  <c r="X56" i="2"/>
  <c r="Y56" i="2"/>
  <c r="Z56" i="2"/>
  <c r="U56" i="2"/>
  <c r="E4" i="7" l="1"/>
  <c r="F4" i="7"/>
  <c r="BF6" i="1" s="1"/>
  <c r="E5" i="7"/>
  <c r="F5" i="7"/>
  <c r="BF7" i="1" s="1"/>
  <c r="E6" i="7"/>
  <c r="F6" i="7"/>
  <c r="BF8" i="1" s="1"/>
  <c r="E7" i="7"/>
  <c r="F7" i="7"/>
  <c r="BF9" i="1" s="1"/>
  <c r="E8" i="7"/>
  <c r="DD10" i="1" s="1"/>
  <c r="DF10" i="1" s="1"/>
  <c r="F8" i="7"/>
  <c r="DE10" i="1" s="1"/>
  <c r="DG10" i="1" s="1"/>
  <c r="E9" i="7"/>
  <c r="F9" i="7"/>
  <c r="BF11" i="1" s="1"/>
  <c r="E10" i="7"/>
  <c r="F10" i="7"/>
  <c r="BF12" i="1" s="1"/>
  <c r="E11" i="7"/>
  <c r="DD13" i="1" s="1"/>
  <c r="DF13" i="1" s="1"/>
  <c r="F11" i="7"/>
  <c r="BF13" i="1" s="1"/>
  <c r="E12" i="7"/>
  <c r="DD14" i="1" s="1"/>
  <c r="DF14" i="1" s="1"/>
  <c r="F12" i="7"/>
  <c r="BF14" i="1" s="1"/>
  <c r="E13" i="7"/>
  <c r="DD15" i="1" s="1"/>
  <c r="DF15" i="1" s="1"/>
  <c r="F13" i="7"/>
  <c r="E14" i="7"/>
  <c r="DD16" i="1" s="1"/>
  <c r="DF16" i="1" s="1"/>
  <c r="F14" i="7"/>
  <c r="BF16" i="1" s="1"/>
  <c r="E15" i="7"/>
  <c r="DD17" i="1" s="1"/>
  <c r="DF17" i="1" s="1"/>
  <c r="F15" i="7"/>
  <c r="BF17" i="1" s="1"/>
  <c r="E16" i="7"/>
  <c r="F16" i="7"/>
  <c r="DE18" i="1" s="1"/>
  <c r="DG18" i="1" s="1"/>
  <c r="E17" i="7"/>
  <c r="F17" i="7"/>
  <c r="BF19" i="1" s="1"/>
  <c r="E18" i="7"/>
  <c r="F18" i="7"/>
  <c r="BF20" i="1" s="1"/>
  <c r="E19" i="7"/>
  <c r="F19" i="7"/>
  <c r="BF21" i="1" s="1"/>
  <c r="E20" i="7"/>
  <c r="F20" i="7"/>
  <c r="BF22" i="1" s="1"/>
  <c r="E21" i="7"/>
  <c r="F21" i="7"/>
  <c r="BF23" i="1" s="1"/>
  <c r="E22" i="7"/>
  <c r="DD24" i="1" s="1"/>
  <c r="DF24" i="1" s="1"/>
  <c r="F22" i="7"/>
  <c r="BF24" i="1" s="1"/>
  <c r="E23" i="7"/>
  <c r="F23" i="7"/>
  <c r="BF25" i="1" s="1"/>
  <c r="E24" i="7"/>
  <c r="DD26" i="1" s="1"/>
  <c r="DF26" i="1" s="1"/>
  <c r="F24" i="7"/>
  <c r="DE26" i="1" s="1"/>
  <c r="DG26" i="1" s="1"/>
  <c r="E25" i="7"/>
  <c r="DD27" i="1" s="1"/>
  <c r="DF27" i="1" s="1"/>
  <c r="F25" i="7"/>
  <c r="E26" i="7"/>
  <c r="F26" i="7"/>
  <c r="BF28" i="1" s="1"/>
  <c r="E27" i="7"/>
  <c r="DD29" i="1" s="1"/>
  <c r="DF29" i="1" s="1"/>
  <c r="F27" i="7"/>
  <c r="BF29" i="1" s="1"/>
  <c r="E28" i="7"/>
  <c r="F28" i="7"/>
  <c r="BF30" i="1" s="1"/>
  <c r="E29" i="7"/>
  <c r="F29" i="7"/>
  <c r="BF31" i="1" s="1"/>
  <c r="E30" i="7"/>
  <c r="F30" i="7"/>
  <c r="BF32" i="1" s="1"/>
  <c r="E31" i="7"/>
  <c r="F31" i="7"/>
  <c r="BF33" i="1" s="1"/>
  <c r="E32" i="7"/>
  <c r="F32" i="7"/>
  <c r="DE34" i="1" s="1"/>
  <c r="DG34" i="1" s="1"/>
  <c r="E33" i="7"/>
  <c r="F33" i="7"/>
  <c r="BF35" i="1" s="1"/>
  <c r="E34" i="7"/>
  <c r="F34" i="7"/>
  <c r="BF36" i="1" s="1"/>
  <c r="E35" i="7"/>
  <c r="DD37" i="1" s="1"/>
  <c r="DF37" i="1" s="1"/>
  <c r="F35" i="7"/>
  <c r="BF37" i="1" s="1"/>
  <c r="E36" i="7"/>
  <c r="DD38" i="1" s="1"/>
  <c r="DF38" i="1" s="1"/>
  <c r="F36" i="7"/>
  <c r="BF38" i="1" s="1"/>
  <c r="E37" i="7"/>
  <c r="DD39" i="1" s="1"/>
  <c r="DF39" i="1" s="1"/>
  <c r="F37" i="7"/>
  <c r="E38" i="7"/>
  <c r="DD40" i="1" s="1"/>
  <c r="DF40" i="1" s="1"/>
  <c r="F38" i="7"/>
  <c r="BF40" i="1" s="1"/>
  <c r="E39" i="7"/>
  <c r="DD41" i="1" s="1"/>
  <c r="DF41" i="1" s="1"/>
  <c r="F39" i="7"/>
  <c r="BF41" i="1" s="1"/>
  <c r="E40" i="7"/>
  <c r="F40" i="7"/>
  <c r="DE42" i="1" s="1"/>
  <c r="DG42" i="1" s="1"/>
  <c r="E41" i="7"/>
  <c r="F41" i="7"/>
  <c r="BF43" i="1" s="1"/>
  <c r="E42" i="7"/>
  <c r="F42" i="7"/>
  <c r="BF44" i="1" s="1"/>
  <c r="E43" i="7"/>
  <c r="F43" i="7"/>
  <c r="BF45" i="1" s="1"/>
  <c r="E44" i="7"/>
  <c r="F44" i="7"/>
  <c r="BF46" i="1" s="1"/>
  <c r="E45" i="7"/>
  <c r="F45" i="7"/>
  <c r="BF47" i="1" s="1"/>
  <c r="E46" i="7"/>
  <c r="F46" i="7"/>
  <c r="BF48" i="1" s="1"/>
  <c r="E47" i="7"/>
  <c r="F47" i="7"/>
  <c r="BF49" i="1" s="1"/>
  <c r="E48" i="7"/>
  <c r="F48" i="7"/>
  <c r="DE50" i="1" s="1"/>
  <c r="DG50" i="1" s="1"/>
  <c r="DH50" i="1" s="1"/>
  <c r="E49" i="7"/>
  <c r="DD51" i="1" s="1"/>
  <c r="DF51" i="1" s="1"/>
  <c r="F49" i="7"/>
  <c r="DE51" i="1" s="1"/>
  <c r="DG51" i="1" s="1"/>
  <c r="E50" i="7"/>
  <c r="F50" i="7"/>
  <c r="BF52" i="1" s="1"/>
  <c r="E51" i="7"/>
  <c r="F51" i="7"/>
  <c r="BF53" i="1" s="1"/>
  <c r="E52" i="7"/>
  <c r="F52" i="7"/>
  <c r="BF54" i="1" s="1"/>
  <c r="E53" i="7"/>
  <c r="F53" i="7"/>
  <c r="BF55" i="1" s="1"/>
  <c r="E54" i="7"/>
  <c r="F54" i="7"/>
  <c r="BF56" i="1" s="1"/>
  <c r="F3" i="7"/>
  <c r="E3" i="7"/>
  <c r="Z5" i="1"/>
  <c r="Z6" i="1"/>
  <c r="Z7" i="1"/>
  <c r="Z8" i="1"/>
  <c r="Z9" i="1"/>
  <c r="Z10" i="1"/>
  <c r="Z11" i="1"/>
  <c r="Z12" i="1"/>
  <c r="Z13" i="1"/>
  <c r="Z14" i="1"/>
  <c r="Z15" i="1"/>
  <c r="Z16" i="1"/>
  <c r="Z17" i="1"/>
  <c r="Z18" i="1"/>
  <c r="Z19" i="1"/>
  <c r="Z20" i="1"/>
  <c r="Z21" i="1"/>
  <c r="Z22" i="1"/>
  <c r="Z23" i="1"/>
  <c r="Z24" i="1"/>
  <c r="Z25" i="1"/>
  <c r="Z26" i="1"/>
  <c r="Z27" i="1"/>
  <c r="Z28" i="1"/>
  <c r="Z29" i="1"/>
  <c r="Z30" i="1"/>
  <c r="Z31" i="1"/>
  <c r="Z32" i="1"/>
  <c r="Z33" i="1"/>
  <c r="Z34" i="1"/>
  <c r="Z35" i="1"/>
  <c r="Z36" i="1"/>
  <c r="Z37" i="1"/>
  <c r="Z38" i="1"/>
  <c r="Z39" i="1"/>
  <c r="Z40" i="1"/>
  <c r="Z41" i="1"/>
  <c r="Z42" i="1"/>
  <c r="Z43" i="1"/>
  <c r="Z44" i="1"/>
  <c r="Z45" i="1"/>
  <c r="Z46" i="1"/>
  <c r="Z47" i="1"/>
  <c r="Z48" i="1"/>
  <c r="Z49" i="1"/>
  <c r="Z50" i="1"/>
  <c r="Z51" i="1"/>
  <c r="Z52" i="1"/>
  <c r="Z53" i="1"/>
  <c r="Z54" i="1"/>
  <c r="Z55" i="1"/>
  <c r="Z56" i="1"/>
  <c r="Z4" i="1"/>
  <c r="DD6" i="1"/>
  <c r="DF6" i="1" s="1"/>
  <c r="DD7" i="1"/>
  <c r="DF7" i="1" s="1"/>
  <c r="DE7" i="1"/>
  <c r="DG7" i="1" s="1"/>
  <c r="DD8" i="1"/>
  <c r="DF8" i="1" s="1"/>
  <c r="DE8" i="1"/>
  <c r="DG8" i="1" s="1"/>
  <c r="DD9" i="1"/>
  <c r="DF9" i="1" s="1"/>
  <c r="DE9" i="1"/>
  <c r="DG9" i="1" s="1"/>
  <c r="DD11" i="1"/>
  <c r="DF11" i="1" s="1"/>
  <c r="DE11" i="1"/>
  <c r="DG11" i="1" s="1"/>
  <c r="DD12" i="1"/>
  <c r="DF12" i="1" s="1"/>
  <c r="DD18" i="1"/>
  <c r="DF18" i="1" s="1"/>
  <c r="DD19" i="1"/>
  <c r="DF19" i="1" s="1"/>
  <c r="DE19" i="1"/>
  <c r="DG19" i="1" s="1"/>
  <c r="DD20" i="1"/>
  <c r="DF20" i="1" s="1"/>
  <c r="DE20" i="1"/>
  <c r="DG20" i="1" s="1"/>
  <c r="DD21" i="1"/>
  <c r="DF21" i="1" s="1"/>
  <c r="DE21" i="1"/>
  <c r="DG21" i="1" s="1"/>
  <c r="DD22" i="1"/>
  <c r="DF22" i="1" s="1"/>
  <c r="DD23" i="1"/>
  <c r="DF23" i="1" s="1"/>
  <c r="DE23" i="1"/>
  <c r="DG23" i="1" s="1"/>
  <c r="DD25" i="1"/>
  <c r="DF25" i="1" s="1"/>
  <c r="DE25" i="1"/>
  <c r="DG25" i="1" s="1"/>
  <c r="DD28" i="1"/>
  <c r="DF28" i="1" s="1"/>
  <c r="DD30" i="1"/>
  <c r="DF30" i="1" s="1"/>
  <c r="DD31" i="1"/>
  <c r="DF31" i="1" s="1"/>
  <c r="DE31" i="1"/>
  <c r="DG31" i="1" s="1"/>
  <c r="DD32" i="1"/>
  <c r="DF32" i="1" s="1"/>
  <c r="DE32" i="1"/>
  <c r="DG32" i="1" s="1"/>
  <c r="DD33" i="1"/>
  <c r="DF33" i="1" s="1"/>
  <c r="DE33" i="1"/>
  <c r="DG33" i="1" s="1"/>
  <c r="DD34" i="1"/>
  <c r="DF34" i="1" s="1"/>
  <c r="DD35" i="1"/>
  <c r="DF35" i="1" s="1"/>
  <c r="DE35" i="1"/>
  <c r="DG35" i="1" s="1"/>
  <c r="DD36" i="1"/>
  <c r="DF36" i="1" s="1"/>
  <c r="DE36" i="1"/>
  <c r="DG36" i="1" s="1"/>
  <c r="DE39" i="1"/>
  <c r="DG39" i="1" s="1"/>
  <c r="DD42" i="1"/>
  <c r="DF42" i="1" s="1"/>
  <c r="DD43" i="1"/>
  <c r="DF43" i="1" s="1"/>
  <c r="DD44" i="1"/>
  <c r="DF44" i="1" s="1"/>
  <c r="DE44" i="1"/>
  <c r="DG44" i="1" s="1"/>
  <c r="DD45" i="1"/>
  <c r="DF45" i="1" s="1"/>
  <c r="DE45" i="1"/>
  <c r="DG45" i="1" s="1"/>
  <c r="DD46" i="1"/>
  <c r="DF46" i="1" s="1"/>
  <c r="DD47" i="1"/>
  <c r="DF47" i="1" s="1"/>
  <c r="DE47" i="1"/>
  <c r="DG47" i="1" s="1"/>
  <c r="DD48" i="1"/>
  <c r="DF48" i="1" s="1"/>
  <c r="DE48" i="1"/>
  <c r="DG48" i="1" s="1"/>
  <c r="DD49" i="1"/>
  <c r="DF49" i="1" s="1"/>
  <c r="DE49" i="1"/>
  <c r="DG49" i="1" s="1"/>
  <c r="DD50" i="1"/>
  <c r="DF50" i="1" s="1"/>
  <c r="DD52" i="1"/>
  <c r="DF52" i="1" s="1"/>
  <c r="DE52" i="1"/>
  <c r="DG52" i="1" s="1"/>
  <c r="DD53" i="1"/>
  <c r="DF53" i="1" s="1"/>
  <c r="DD54" i="1"/>
  <c r="DF54" i="1" s="1"/>
  <c r="DD55" i="1"/>
  <c r="DF55" i="1" s="1"/>
  <c r="DE55" i="1"/>
  <c r="DG55" i="1" s="1"/>
  <c r="DD56" i="1"/>
  <c r="DF56" i="1" s="1"/>
  <c r="DE56" i="1"/>
  <c r="DG56" i="1" s="1"/>
  <c r="DE5" i="1"/>
  <c r="DG5" i="1" s="1"/>
  <c r="DD5" i="1"/>
  <c r="DF5" i="1" s="1"/>
  <c r="DE24" i="1" l="1"/>
  <c r="DG24" i="1" s="1"/>
  <c r="DE37" i="1"/>
  <c r="DG37" i="1" s="1"/>
  <c r="BF51" i="1"/>
  <c r="BF39" i="1"/>
  <c r="BF27" i="1"/>
  <c r="BF15" i="1"/>
  <c r="DH10" i="1"/>
  <c r="DE43" i="1"/>
  <c r="DG43" i="1" s="1"/>
  <c r="DE29" i="1"/>
  <c r="DG29" i="1" s="1"/>
  <c r="BF5" i="1"/>
  <c r="DH26" i="1"/>
  <c r="DE16" i="1"/>
  <c r="DG16" i="1" s="1"/>
  <c r="AM16" i="1" s="1"/>
  <c r="CN16" i="1" s="1"/>
  <c r="DE15" i="1"/>
  <c r="DG15" i="1" s="1"/>
  <c r="DE28" i="1"/>
  <c r="DG28" i="1" s="1"/>
  <c r="DE17" i="1"/>
  <c r="DG17" i="1" s="1"/>
  <c r="DE27" i="1"/>
  <c r="DG27" i="1" s="1"/>
  <c r="DE13" i="1"/>
  <c r="DG13" i="1" s="1"/>
  <c r="AO13" i="1" s="1"/>
  <c r="CP13" i="1" s="1"/>
  <c r="DH18" i="1"/>
  <c r="DH34" i="1"/>
  <c r="DE41" i="1"/>
  <c r="DG41" i="1" s="1"/>
  <c r="AM41" i="1" s="1"/>
  <c r="CN41" i="1" s="1"/>
  <c r="DE40" i="1"/>
  <c r="DG40" i="1" s="1"/>
  <c r="DE53" i="1"/>
  <c r="DG53" i="1" s="1"/>
  <c r="DE12" i="1"/>
  <c r="DG12" i="1" s="1"/>
  <c r="AE36" i="1"/>
  <c r="AM36" i="1"/>
  <c r="CN36" i="1" s="1"/>
  <c r="AU36" i="1"/>
  <c r="CV36" i="1" s="1"/>
  <c r="AF36" i="1"/>
  <c r="AN36" i="1"/>
  <c r="CO36" i="1" s="1"/>
  <c r="AV36" i="1"/>
  <c r="CW36" i="1" s="1"/>
  <c r="AG36" i="1"/>
  <c r="AO36" i="1"/>
  <c r="CP36" i="1" s="1"/>
  <c r="AW36" i="1"/>
  <c r="CX36" i="1" s="1"/>
  <c r="P35" i="2" s="1"/>
  <c r="P82" i="8" s="1"/>
  <c r="AH36" i="1"/>
  <c r="AP36" i="1"/>
  <c r="CQ36" i="1" s="1"/>
  <c r="AX36" i="1"/>
  <c r="CY36" i="1" s="1"/>
  <c r="Q35" i="2" s="1"/>
  <c r="Q82" i="8" s="1"/>
  <c r="AI36" i="1"/>
  <c r="CJ36" i="1" s="1"/>
  <c r="AQ36" i="1"/>
  <c r="CR36" i="1" s="1"/>
  <c r="AY36" i="1"/>
  <c r="AJ36" i="1"/>
  <c r="CK36" i="1" s="1"/>
  <c r="AR36" i="1"/>
  <c r="CS36" i="1" s="1"/>
  <c r="AZ36" i="1"/>
  <c r="AK36" i="1"/>
  <c r="CL36" i="1" s="1"/>
  <c r="AS36" i="1"/>
  <c r="CT36" i="1" s="1"/>
  <c r="BA36" i="1"/>
  <c r="AD36" i="1"/>
  <c r="AL36" i="1"/>
  <c r="CM36" i="1" s="1"/>
  <c r="AT36" i="1"/>
  <c r="CU36" i="1" s="1"/>
  <c r="AE49" i="1"/>
  <c r="AM49" i="1"/>
  <c r="CN49" i="1" s="1"/>
  <c r="AF49" i="1"/>
  <c r="AN49" i="1"/>
  <c r="CO49" i="1" s="1"/>
  <c r="AG49" i="1"/>
  <c r="AH49" i="1"/>
  <c r="AP49" i="1"/>
  <c r="CQ49" i="1" s="1"/>
  <c r="AI49" i="1"/>
  <c r="CJ49" i="1" s="1"/>
  <c r="AJ49" i="1"/>
  <c r="CK49" i="1" s="1"/>
  <c r="AK49" i="1"/>
  <c r="CL49" i="1" s="1"/>
  <c r="AD49" i="1"/>
  <c r="AL49" i="1"/>
  <c r="CM49" i="1" s="1"/>
  <c r="AW49" i="1"/>
  <c r="CX49" i="1" s="1"/>
  <c r="P48" i="2" s="1"/>
  <c r="P95" i="8" s="1"/>
  <c r="AO49" i="1"/>
  <c r="CP49" i="1" s="1"/>
  <c r="AX49" i="1"/>
  <c r="CY49" i="1" s="1"/>
  <c r="Q48" i="2" s="1"/>
  <c r="Q95" i="8" s="1"/>
  <c r="AQ49" i="1"/>
  <c r="CR49" i="1" s="1"/>
  <c r="AY49" i="1"/>
  <c r="AR49" i="1"/>
  <c r="CS49" i="1" s="1"/>
  <c r="AZ49" i="1"/>
  <c r="AS49" i="1"/>
  <c r="CT49" i="1" s="1"/>
  <c r="BA49" i="1"/>
  <c r="AT49" i="1"/>
  <c r="CU49" i="1" s="1"/>
  <c r="AU49" i="1"/>
  <c r="CV49" i="1" s="1"/>
  <c r="AV49" i="1"/>
  <c r="CW49" i="1" s="1"/>
  <c r="AE41" i="1"/>
  <c r="AF41" i="1"/>
  <c r="AN41" i="1"/>
  <c r="CO41" i="1" s="1"/>
  <c r="AV41" i="1"/>
  <c r="CW41" i="1" s="1"/>
  <c r="AG41" i="1"/>
  <c r="AO41" i="1"/>
  <c r="CP41" i="1" s="1"/>
  <c r="AH41" i="1"/>
  <c r="AP41" i="1"/>
  <c r="CQ41" i="1" s="1"/>
  <c r="AX41" i="1"/>
  <c r="CY41" i="1" s="1"/>
  <c r="Q40" i="2" s="1"/>
  <c r="Q87" i="8" s="1"/>
  <c r="AI41" i="1"/>
  <c r="CJ41" i="1" s="1"/>
  <c r="AJ41" i="1"/>
  <c r="CK41" i="1" s="1"/>
  <c r="AR41" i="1"/>
  <c r="CS41" i="1" s="1"/>
  <c r="BA41" i="1"/>
  <c r="AD41" i="1"/>
  <c r="AE33" i="1"/>
  <c r="AM33" i="1"/>
  <c r="CN33" i="1" s="1"/>
  <c r="AU33" i="1"/>
  <c r="CV33" i="1" s="1"/>
  <c r="AF33" i="1"/>
  <c r="AN33" i="1"/>
  <c r="CO33" i="1" s="1"/>
  <c r="AV33" i="1"/>
  <c r="CW33" i="1" s="1"/>
  <c r="AG33" i="1"/>
  <c r="AO33" i="1"/>
  <c r="CP33" i="1" s="1"/>
  <c r="AW33" i="1"/>
  <c r="CX33" i="1" s="1"/>
  <c r="P32" i="2" s="1"/>
  <c r="P79" i="8" s="1"/>
  <c r="AH33" i="1"/>
  <c r="AP33" i="1"/>
  <c r="CQ33" i="1" s="1"/>
  <c r="AX33" i="1"/>
  <c r="CY33" i="1" s="1"/>
  <c r="Q32" i="2" s="1"/>
  <c r="Q79" i="8" s="1"/>
  <c r="AI33" i="1"/>
  <c r="CJ33" i="1" s="1"/>
  <c r="AQ33" i="1"/>
  <c r="CR33" i="1" s="1"/>
  <c r="AY33" i="1"/>
  <c r="AJ33" i="1"/>
  <c r="CK33" i="1" s="1"/>
  <c r="AR33" i="1"/>
  <c r="CS33" i="1" s="1"/>
  <c r="AZ33" i="1"/>
  <c r="AK33" i="1"/>
  <c r="CL33" i="1" s="1"/>
  <c r="AS33" i="1"/>
  <c r="CT33" i="1" s="1"/>
  <c r="BA33" i="1"/>
  <c r="AD33" i="1"/>
  <c r="AL33" i="1"/>
  <c r="CM33" i="1" s="1"/>
  <c r="AT33" i="1"/>
  <c r="CU33" i="1" s="1"/>
  <c r="AE29" i="1"/>
  <c r="AM29" i="1"/>
  <c r="CN29" i="1" s="1"/>
  <c r="AU29" i="1"/>
  <c r="CV29" i="1" s="1"/>
  <c r="AF29" i="1"/>
  <c r="AN29" i="1"/>
  <c r="CO29" i="1" s="1"/>
  <c r="AV29" i="1"/>
  <c r="CW29" i="1" s="1"/>
  <c r="AG29" i="1"/>
  <c r="AO29" i="1"/>
  <c r="CP29" i="1" s="1"/>
  <c r="AW29" i="1"/>
  <c r="CX29" i="1" s="1"/>
  <c r="P28" i="2" s="1"/>
  <c r="P75" i="8" s="1"/>
  <c r="AH29" i="1"/>
  <c r="AP29" i="1"/>
  <c r="CQ29" i="1" s="1"/>
  <c r="AX29" i="1"/>
  <c r="CY29" i="1" s="1"/>
  <c r="Q28" i="2" s="1"/>
  <c r="Q75" i="8" s="1"/>
  <c r="AI29" i="1"/>
  <c r="CJ29" i="1" s="1"/>
  <c r="AQ29" i="1"/>
  <c r="CR29" i="1" s="1"/>
  <c r="AY29" i="1"/>
  <c r="AJ29" i="1"/>
  <c r="CK29" i="1" s="1"/>
  <c r="AR29" i="1"/>
  <c r="CS29" i="1" s="1"/>
  <c r="AZ29" i="1"/>
  <c r="AK29" i="1"/>
  <c r="CL29" i="1" s="1"/>
  <c r="AS29" i="1"/>
  <c r="CT29" i="1" s="1"/>
  <c r="BA29" i="1"/>
  <c r="AD29" i="1"/>
  <c r="AL29" i="1"/>
  <c r="CM29" i="1" s="1"/>
  <c r="AT29" i="1"/>
  <c r="CU29" i="1" s="1"/>
  <c r="AG25" i="1"/>
  <c r="AO25" i="1"/>
  <c r="CP25" i="1" s="1"/>
  <c r="AW25" i="1"/>
  <c r="CX25" i="1" s="1"/>
  <c r="P24" i="2" s="1"/>
  <c r="P71" i="8" s="1"/>
  <c r="AH25" i="1"/>
  <c r="AP25" i="1"/>
  <c r="CQ25" i="1" s="1"/>
  <c r="AX25" i="1"/>
  <c r="CY25" i="1" s="1"/>
  <c r="Q24" i="2" s="1"/>
  <c r="Q71" i="8" s="1"/>
  <c r="AI25" i="1"/>
  <c r="CJ25" i="1" s="1"/>
  <c r="AQ25" i="1"/>
  <c r="CR25" i="1" s="1"/>
  <c r="AY25" i="1"/>
  <c r="AJ25" i="1"/>
  <c r="CK25" i="1" s="1"/>
  <c r="AR25" i="1"/>
  <c r="CS25" i="1" s="1"/>
  <c r="AZ25" i="1"/>
  <c r="AK25" i="1"/>
  <c r="CL25" i="1" s="1"/>
  <c r="AS25" i="1"/>
  <c r="CT25" i="1" s="1"/>
  <c r="BA25" i="1"/>
  <c r="AF25" i="1"/>
  <c r="AN25" i="1"/>
  <c r="CO25" i="1" s="1"/>
  <c r="AV25" i="1"/>
  <c r="CW25" i="1" s="1"/>
  <c r="AE25" i="1"/>
  <c r="AL25" i="1"/>
  <c r="CM25" i="1" s="1"/>
  <c r="AM25" i="1"/>
  <c r="CN25" i="1" s="1"/>
  <c r="AT25" i="1"/>
  <c r="CU25" i="1" s="1"/>
  <c r="AU25" i="1"/>
  <c r="CV25" i="1" s="1"/>
  <c r="AD25" i="1"/>
  <c r="AG21" i="1"/>
  <c r="AO21" i="1"/>
  <c r="CP21" i="1" s="1"/>
  <c r="AW21" i="1"/>
  <c r="CX21" i="1" s="1"/>
  <c r="P20" i="2" s="1"/>
  <c r="P67" i="8" s="1"/>
  <c r="AH21" i="1"/>
  <c r="AP21" i="1"/>
  <c r="CQ21" i="1" s="1"/>
  <c r="AX21" i="1"/>
  <c r="CY21" i="1" s="1"/>
  <c r="Q20" i="2" s="1"/>
  <c r="Q67" i="8" s="1"/>
  <c r="AI21" i="1"/>
  <c r="CJ21" i="1" s="1"/>
  <c r="AQ21" i="1"/>
  <c r="CR21" i="1" s="1"/>
  <c r="AY21" i="1"/>
  <c r="AJ21" i="1"/>
  <c r="CK21" i="1" s="1"/>
  <c r="AR21" i="1"/>
  <c r="CS21" i="1" s="1"/>
  <c r="AZ21" i="1"/>
  <c r="AK21" i="1"/>
  <c r="CL21" i="1" s="1"/>
  <c r="AS21" i="1"/>
  <c r="CT21" i="1" s="1"/>
  <c r="BA21" i="1"/>
  <c r="AF21" i="1"/>
  <c r="AN21" i="1"/>
  <c r="CO21" i="1" s="1"/>
  <c r="AV21" i="1"/>
  <c r="CW21" i="1" s="1"/>
  <c r="AE21" i="1"/>
  <c r="AL21" i="1"/>
  <c r="CM21" i="1" s="1"/>
  <c r="AM21" i="1"/>
  <c r="CN21" i="1" s="1"/>
  <c r="AT21" i="1"/>
  <c r="CU21" i="1" s="1"/>
  <c r="AU21" i="1"/>
  <c r="CV21" i="1" s="1"/>
  <c r="AD21" i="1"/>
  <c r="AG17" i="1"/>
  <c r="AO17" i="1"/>
  <c r="CP17" i="1" s="1"/>
  <c r="AW17" i="1"/>
  <c r="CX17" i="1" s="1"/>
  <c r="P16" i="2" s="1"/>
  <c r="P63" i="8" s="1"/>
  <c r="AH17" i="1"/>
  <c r="AP17" i="1"/>
  <c r="CQ17" i="1" s="1"/>
  <c r="AX17" i="1"/>
  <c r="CY17" i="1" s="1"/>
  <c r="Q16" i="2" s="1"/>
  <c r="Q63" i="8" s="1"/>
  <c r="AI17" i="1"/>
  <c r="CJ17" i="1" s="1"/>
  <c r="AQ17" i="1"/>
  <c r="CR17" i="1" s="1"/>
  <c r="AY17" i="1"/>
  <c r="AJ17" i="1"/>
  <c r="CK17" i="1" s="1"/>
  <c r="AR17" i="1"/>
  <c r="CS17" i="1" s="1"/>
  <c r="AZ17" i="1"/>
  <c r="AK17" i="1"/>
  <c r="CL17" i="1" s="1"/>
  <c r="AS17" i="1"/>
  <c r="CT17" i="1" s="1"/>
  <c r="BA17" i="1"/>
  <c r="AF17" i="1"/>
  <c r="AN17" i="1"/>
  <c r="CO17" i="1" s="1"/>
  <c r="AV17" i="1"/>
  <c r="CW17" i="1" s="1"/>
  <c r="AE17" i="1"/>
  <c r="AL17" i="1"/>
  <c r="CM17" i="1" s="1"/>
  <c r="AM17" i="1"/>
  <c r="CN17" i="1" s="1"/>
  <c r="AT17" i="1"/>
  <c r="CU17" i="1" s="1"/>
  <c r="AU17" i="1"/>
  <c r="CV17" i="1" s="1"/>
  <c r="AD17" i="1"/>
  <c r="AG13" i="1"/>
  <c r="AW13" i="1"/>
  <c r="CX13" i="1" s="1"/>
  <c r="P12" i="2" s="1"/>
  <c r="P59" i="8" s="1"/>
  <c r="AH13" i="1"/>
  <c r="AP13" i="1"/>
  <c r="CQ13" i="1" s="1"/>
  <c r="AX13" i="1"/>
  <c r="CY13" i="1" s="1"/>
  <c r="Q12" i="2" s="1"/>
  <c r="Q59" i="8" s="1"/>
  <c r="AQ13" i="1"/>
  <c r="CR13" i="1" s="1"/>
  <c r="AY13" i="1"/>
  <c r="AR13" i="1"/>
  <c r="CS13" i="1" s="1"/>
  <c r="AZ13" i="1"/>
  <c r="AK13" i="1"/>
  <c r="CL13" i="1" s="1"/>
  <c r="AF13" i="1"/>
  <c r="AN13" i="1"/>
  <c r="CO13" i="1" s="1"/>
  <c r="AV13" i="1"/>
  <c r="CW13" i="1" s="1"/>
  <c r="AE13" i="1"/>
  <c r="AM13" i="1"/>
  <c r="CN13" i="1" s="1"/>
  <c r="AT13" i="1"/>
  <c r="CU13" i="1" s="1"/>
  <c r="AU13" i="1"/>
  <c r="CV13" i="1" s="1"/>
  <c r="AD13" i="1"/>
  <c r="AG9" i="1"/>
  <c r="AO9" i="1"/>
  <c r="CP9" i="1" s="1"/>
  <c r="AW9" i="1"/>
  <c r="CX9" i="1" s="1"/>
  <c r="P8" i="2" s="1"/>
  <c r="P55" i="8" s="1"/>
  <c r="AH9" i="1"/>
  <c r="AP9" i="1"/>
  <c r="CQ9" i="1" s="1"/>
  <c r="AX9" i="1"/>
  <c r="CY9" i="1" s="1"/>
  <c r="Q8" i="2" s="1"/>
  <c r="Q55" i="8" s="1"/>
  <c r="AI9" i="1"/>
  <c r="CJ9" i="1" s="1"/>
  <c r="AQ9" i="1"/>
  <c r="CR9" i="1" s="1"/>
  <c r="AY9" i="1"/>
  <c r="AJ9" i="1"/>
  <c r="CK9" i="1" s="1"/>
  <c r="AR9" i="1"/>
  <c r="CS9" i="1" s="1"/>
  <c r="AZ9" i="1"/>
  <c r="AK9" i="1"/>
  <c r="CL9" i="1" s="1"/>
  <c r="AS9" i="1"/>
  <c r="CT9" i="1" s="1"/>
  <c r="BA9" i="1"/>
  <c r="AF9" i="1"/>
  <c r="AN9" i="1"/>
  <c r="CO9" i="1" s="1"/>
  <c r="AV9" i="1"/>
  <c r="CW9" i="1" s="1"/>
  <c r="AE9" i="1"/>
  <c r="AL9" i="1"/>
  <c r="CM9" i="1" s="1"/>
  <c r="AM9" i="1"/>
  <c r="CN9" i="1" s="1"/>
  <c r="AT9" i="1"/>
  <c r="CU9" i="1" s="1"/>
  <c r="AU9" i="1"/>
  <c r="CV9" i="1" s="1"/>
  <c r="AD9" i="1"/>
  <c r="AG56" i="1"/>
  <c r="AO56" i="1"/>
  <c r="CP56" i="1" s="1"/>
  <c r="AW56" i="1"/>
  <c r="CX56" i="1" s="1"/>
  <c r="P55" i="2" s="1"/>
  <c r="P102" i="8" s="1"/>
  <c r="AH56" i="1"/>
  <c r="AP56" i="1"/>
  <c r="CQ56" i="1" s="1"/>
  <c r="AX56" i="1"/>
  <c r="CY56" i="1" s="1"/>
  <c r="Q55" i="2" s="1"/>
  <c r="Q102" i="8" s="1"/>
  <c r="AI56" i="1"/>
  <c r="CJ56" i="1" s="1"/>
  <c r="AQ56" i="1"/>
  <c r="CR56" i="1" s="1"/>
  <c r="AY56" i="1"/>
  <c r="AJ56" i="1"/>
  <c r="CK56" i="1" s="1"/>
  <c r="AR56" i="1"/>
  <c r="CS56" i="1" s="1"/>
  <c r="AZ56" i="1"/>
  <c r="AK56" i="1"/>
  <c r="CL56" i="1" s="1"/>
  <c r="AS56" i="1"/>
  <c r="CT56" i="1" s="1"/>
  <c r="BA56" i="1"/>
  <c r="AD56" i="1"/>
  <c r="AL56" i="1"/>
  <c r="CM56" i="1" s="1"/>
  <c r="AT56" i="1"/>
  <c r="CU56" i="1" s="1"/>
  <c r="AE56" i="1"/>
  <c r="AM56" i="1"/>
  <c r="CN56" i="1" s="1"/>
  <c r="AU56" i="1"/>
  <c r="CV56" i="1" s="1"/>
  <c r="AF56" i="1"/>
  <c r="AN56" i="1"/>
  <c r="CO56" i="1" s="1"/>
  <c r="AV56" i="1"/>
  <c r="CW56" i="1" s="1"/>
  <c r="AG28" i="1"/>
  <c r="AF28" i="1"/>
  <c r="AM28" i="1"/>
  <c r="CN28" i="1" s="1"/>
  <c r="AU28" i="1"/>
  <c r="CV28" i="1" s="1"/>
  <c r="AD28" i="1"/>
  <c r="AN28" i="1"/>
  <c r="CO28" i="1" s="1"/>
  <c r="AV28" i="1"/>
  <c r="CW28" i="1" s="1"/>
  <c r="AE28" i="1"/>
  <c r="AO28" i="1"/>
  <c r="CP28" i="1" s="1"/>
  <c r="AW28" i="1"/>
  <c r="CX28" i="1" s="1"/>
  <c r="P27" i="2" s="1"/>
  <c r="P74" i="8" s="1"/>
  <c r="AH28" i="1"/>
  <c r="AP28" i="1"/>
  <c r="CQ28" i="1" s="1"/>
  <c r="AX28" i="1"/>
  <c r="CY28" i="1" s="1"/>
  <c r="Q27" i="2" s="1"/>
  <c r="Q74" i="8" s="1"/>
  <c r="AI28" i="1"/>
  <c r="CJ28" i="1" s="1"/>
  <c r="AQ28" i="1"/>
  <c r="CR28" i="1" s="1"/>
  <c r="AY28" i="1"/>
  <c r="AJ28" i="1"/>
  <c r="CK28" i="1" s="1"/>
  <c r="AR28" i="1"/>
  <c r="CS28" i="1" s="1"/>
  <c r="AZ28" i="1"/>
  <c r="AK28" i="1"/>
  <c r="CL28" i="1" s="1"/>
  <c r="AS28" i="1"/>
  <c r="CT28" i="1" s="1"/>
  <c r="BA28" i="1"/>
  <c r="AL28" i="1"/>
  <c r="CM28" i="1" s="1"/>
  <c r="AT28" i="1"/>
  <c r="CU28" i="1" s="1"/>
  <c r="AG53" i="1"/>
  <c r="AO53" i="1"/>
  <c r="CP53" i="1" s="1"/>
  <c r="AW53" i="1"/>
  <c r="CX53" i="1" s="1"/>
  <c r="P52" i="2" s="1"/>
  <c r="P99" i="8" s="1"/>
  <c r="AH53" i="1"/>
  <c r="AP53" i="1"/>
  <c r="CQ53" i="1" s="1"/>
  <c r="AX53" i="1"/>
  <c r="CY53" i="1" s="1"/>
  <c r="Q52" i="2" s="1"/>
  <c r="Q99" i="8" s="1"/>
  <c r="AI53" i="1"/>
  <c r="CJ53" i="1" s="1"/>
  <c r="AQ53" i="1"/>
  <c r="CR53" i="1" s="1"/>
  <c r="AY53" i="1"/>
  <c r="AJ53" i="1"/>
  <c r="CK53" i="1" s="1"/>
  <c r="AR53" i="1"/>
  <c r="CS53" i="1" s="1"/>
  <c r="AZ53" i="1"/>
  <c r="AK53" i="1"/>
  <c r="CL53" i="1" s="1"/>
  <c r="AS53" i="1"/>
  <c r="CT53" i="1" s="1"/>
  <c r="BA53" i="1"/>
  <c r="AD53" i="1"/>
  <c r="AL53" i="1"/>
  <c r="CM53" i="1" s="1"/>
  <c r="AT53" i="1"/>
  <c r="CU53" i="1" s="1"/>
  <c r="AE53" i="1"/>
  <c r="AM53" i="1"/>
  <c r="CN53" i="1" s="1"/>
  <c r="AU53" i="1"/>
  <c r="CV53" i="1" s="1"/>
  <c r="AF53" i="1"/>
  <c r="AN53" i="1"/>
  <c r="CO53" i="1" s="1"/>
  <c r="AV53" i="1"/>
  <c r="CW53" i="1" s="1"/>
  <c r="AE45" i="1"/>
  <c r="AM45" i="1"/>
  <c r="CN45" i="1" s="1"/>
  <c r="AU45" i="1"/>
  <c r="CV45" i="1" s="1"/>
  <c r="AF45" i="1"/>
  <c r="AN45" i="1"/>
  <c r="CO45" i="1" s="1"/>
  <c r="AV45" i="1"/>
  <c r="CW45" i="1" s="1"/>
  <c r="AG45" i="1"/>
  <c r="AO45" i="1"/>
  <c r="CP45" i="1" s="1"/>
  <c r="AW45" i="1"/>
  <c r="CX45" i="1" s="1"/>
  <c r="P44" i="2" s="1"/>
  <c r="P91" i="8" s="1"/>
  <c r="AH45" i="1"/>
  <c r="AP45" i="1"/>
  <c r="CQ45" i="1" s="1"/>
  <c r="AX45" i="1"/>
  <c r="CY45" i="1" s="1"/>
  <c r="Q44" i="2" s="1"/>
  <c r="Q91" i="8" s="1"/>
  <c r="AI45" i="1"/>
  <c r="CJ45" i="1" s="1"/>
  <c r="AQ45" i="1"/>
  <c r="CR45" i="1" s="1"/>
  <c r="AY45" i="1"/>
  <c r="AJ45" i="1"/>
  <c r="CK45" i="1" s="1"/>
  <c r="AR45" i="1"/>
  <c r="CS45" i="1" s="1"/>
  <c r="AZ45" i="1"/>
  <c r="AK45" i="1"/>
  <c r="CL45" i="1" s="1"/>
  <c r="AS45" i="1"/>
  <c r="CT45" i="1" s="1"/>
  <c r="BA45" i="1"/>
  <c r="AD45" i="1"/>
  <c r="AL45" i="1"/>
  <c r="CM45" i="1" s="1"/>
  <c r="AT45" i="1"/>
  <c r="CU45" i="1" s="1"/>
  <c r="AE37" i="1"/>
  <c r="AM37" i="1"/>
  <c r="CN37" i="1" s="1"/>
  <c r="AU37" i="1"/>
  <c r="CV37" i="1" s="1"/>
  <c r="AF37" i="1"/>
  <c r="AN37" i="1"/>
  <c r="CO37" i="1" s="1"/>
  <c r="AV37" i="1"/>
  <c r="CW37" i="1" s="1"/>
  <c r="AG37" i="1"/>
  <c r="AO37" i="1"/>
  <c r="CP37" i="1" s="1"/>
  <c r="AW37" i="1"/>
  <c r="CX37" i="1" s="1"/>
  <c r="P36" i="2" s="1"/>
  <c r="P83" i="8" s="1"/>
  <c r="AH37" i="1"/>
  <c r="AP37" i="1"/>
  <c r="CQ37" i="1" s="1"/>
  <c r="AX37" i="1"/>
  <c r="CY37" i="1" s="1"/>
  <c r="Q36" i="2" s="1"/>
  <c r="Q83" i="8" s="1"/>
  <c r="AI37" i="1"/>
  <c r="CJ37" i="1" s="1"/>
  <c r="AQ37" i="1"/>
  <c r="CR37" i="1" s="1"/>
  <c r="AY37" i="1"/>
  <c r="AJ37" i="1"/>
  <c r="CK37" i="1" s="1"/>
  <c r="AR37" i="1"/>
  <c r="CS37" i="1" s="1"/>
  <c r="AZ37" i="1"/>
  <c r="AK37" i="1"/>
  <c r="CL37" i="1" s="1"/>
  <c r="AS37" i="1"/>
  <c r="CT37" i="1" s="1"/>
  <c r="BA37" i="1"/>
  <c r="AD37" i="1"/>
  <c r="AL37" i="1"/>
  <c r="CM37" i="1" s="1"/>
  <c r="AT37" i="1"/>
  <c r="CU37" i="1" s="1"/>
  <c r="DH52" i="1"/>
  <c r="DH44" i="1"/>
  <c r="DH36" i="1"/>
  <c r="DH28" i="1"/>
  <c r="DH20" i="1"/>
  <c r="DH12" i="1"/>
  <c r="AE44" i="1"/>
  <c r="AM44" i="1"/>
  <c r="CN44" i="1" s="1"/>
  <c r="AU44" i="1"/>
  <c r="CV44" i="1" s="1"/>
  <c r="AF44" i="1"/>
  <c r="AN44" i="1"/>
  <c r="CO44" i="1" s="1"/>
  <c r="AV44" i="1"/>
  <c r="CW44" i="1" s="1"/>
  <c r="AG44" i="1"/>
  <c r="AO44" i="1"/>
  <c r="CP44" i="1" s="1"/>
  <c r="AW44" i="1"/>
  <c r="CX44" i="1" s="1"/>
  <c r="P43" i="2" s="1"/>
  <c r="P90" i="8" s="1"/>
  <c r="AH44" i="1"/>
  <c r="AP44" i="1"/>
  <c r="CQ44" i="1" s="1"/>
  <c r="AX44" i="1"/>
  <c r="CY44" i="1" s="1"/>
  <c r="Q43" i="2" s="1"/>
  <c r="Q90" i="8" s="1"/>
  <c r="AI44" i="1"/>
  <c r="CJ44" i="1" s="1"/>
  <c r="AQ44" i="1"/>
  <c r="CR44" i="1" s="1"/>
  <c r="AY44" i="1"/>
  <c r="AJ44" i="1"/>
  <c r="CK44" i="1" s="1"/>
  <c r="AR44" i="1"/>
  <c r="CS44" i="1" s="1"/>
  <c r="AZ44" i="1"/>
  <c r="AK44" i="1"/>
  <c r="CL44" i="1" s="1"/>
  <c r="AS44" i="1"/>
  <c r="CT44" i="1" s="1"/>
  <c r="BA44" i="1"/>
  <c r="AD44" i="1"/>
  <c r="AL44" i="1"/>
  <c r="CM44" i="1" s="1"/>
  <c r="AT44" i="1"/>
  <c r="CU44" i="1" s="1"/>
  <c r="AG12" i="1"/>
  <c r="AO12" i="1"/>
  <c r="CP12" i="1" s="1"/>
  <c r="AW12" i="1"/>
  <c r="CX12" i="1" s="1"/>
  <c r="P11" i="2" s="1"/>
  <c r="P58" i="8" s="1"/>
  <c r="AH12" i="1"/>
  <c r="AP12" i="1"/>
  <c r="CQ12" i="1" s="1"/>
  <c r="AX12" i="1"/>
  <c r="CY12" i="1" s="1"/>
  <c r="Q11" i="2" s="1"/>
  <c r="Q58" i="8" s="1"/>
  <c r="AI12" i="1"/>
  <c r="CJ12" i="1" s="1"/>
  <c r="AQ12" i="1"/>
  <c r="CR12" i="1" s="1"/>
  <c r="AY12" i="1"/>
  <c r="AJ12" i="1"/>
  <c r="CK12" i="1" s="1"/>
  <c r="AR12" i="1"/>
  <c r="CS12" i="1" s="1"/>
  <c r="AZ12" i="1"/>
  <c r="AK12" i="1"/>
  <c r="CL12" i="1" s="1"/>
  <c r="AS12" i="1"/>
  <c r="CT12" i="1" s="1"/>
  <c r="BA12" i="1"/>
  <c r="AF12" i="1"/>
  <c r="AN12" i="1"/>
  <c r="CO12" i="1" s="1"/>
  <c r="AV12" i="1"/>
  <c r="CW12" i="1" s="1"/>
  <c r="AD12" i="1"/>
  <c r="AE12" i="1"/>
  <c r="AL12" i="1"/>
  <c r="CM12" i="1" s="1"/>
  <c r="AM12" i="1"/>
  <c r="CN12" i="1" s="1"/>
  <c r="AT12" i="1"/>
  <c r="CU12" i="1" s="1"/>
  <c r="AU12" i="1"/>
  <c r="CV12" i="1" s="1"/>
  <c r="DH55" i="1"/>
  <c r="DH51" i="1"/>
  <c r="DH47" i="1"/>
  <c r="DH43" i="1"/>
  <c r="DH39" i="1"/>
  <c r="DH35" i="1"/>
  <c r="DH31" i="1"/>
  <c r="DH27" i="1"/>
  <c r="DH23" i="1"/>
  <c r="BF50" i="1"/>
  <c r="BF42" i="1"/>
  <c r="BF34" i="1"/>
  <c r="BF26" i="1"/>
  <c r="BF18" i="1"/>
  <c r="BF10" i="1"/>
  <c r="AE48" i="1"/>
  <c r="AM48" i="1"/>
  <c r="CN48" i="1" s="1"/>
  <c r="AU48" i="1"/>
  <c r="CV48" i="1" s="1"/>
  <c r="AF48" i="1"/>
  <c r="AN48" i="1"/>
  <c r="CO48" i="1" s="1"/>
  <c r="AV48" i="1"/>
  <c r="CW48" i="1" s="1"/>
  <c r="AG48" i="1"/>
  <c r="AO48" i="1"/>
  <c r="CP48" i="1" s="1"/>
  <c r="AW48" i="1"/>
  <c r="CX48" i="1" s="1"/>
  <c r="P47" i="2" s="1"/>
  <c r="P94" i="8" s="1"/>
  <c r="AH48" i="1"/>
  <c r="AP48" i="1"/>
  <c r="CQ48" i="1" s="1"/>
  <c r="AX48" i="1"/>
  <c r="CY48" i="1" s="1"/>
  <c r="Q47" i="2" s="1"/>
  <c r="Q94" i="8" s="1"/>
  <c r="AI48" i="1"/>
  <c r="CJ48" i="1" s="1"/>
  <c r="AQ48" i="1"/>
  <c r="CR48" i="1" s="1"/>
  <c r="AY48" i="1"/>
  <c r="AJ48" i="1"/>
  <c r="CK48" i="1" s="1"/>
  <c r="AR48" i="1"/>
  <c r="CS48" i="1" s="1"/>
  <c r="AZ48" i="1"/>
  <c r="AK48" i="1"/>
  <c r="CL48" i="1" s="1"/>
  <c r="AS48" i="1"/>
  <c r="CT48" i="1" s="1"/>
  <c r="BA48" i="1"/>
  <c r="AD48" i="1"/>
  <c r="AL48" i="1"/>
  <c r="CM48" i="1" s="1"/>
  <c r="AT48" i="1"/>
  <c r="CU48" i="1" s="1"/>
  <c r="AG24" i="1"/>
  <c r="AO24" i="1"/>
  <c r="CP24" i="1" s="1"/>
  <c r="AW24" i="1"/>
  <c r="CX24" i="1" s="1"/>
  <c r="P23" i="2" s="1"/>
  <c r="P70" i="8" s="1"/>
  <c r="AH24" i="1"/>
  <c r="AP24" i="1"/>
  <c r="CQ24" i="1" s="1"/>
  <c r="AX24" i="1"/>
  <c r="CY24" i="1" s="1"/>
  <c r="Q23" i="2" s="1"/>
  <c r="Q70" i="8" s="1"/>
  <c r="AI24" i="1"/>
  <c r="CJ24" i="1" s="1"/>
  <c r="AQ24" i="1"/>
  <c r="CR24" i="1" s="1"/>
  <c r="AY24" i="1"/>
  <c r="AJ24" i="1"/>
  <c r="CK24" i="1" s="1"/>
  <c r="AR24" i="1"/>
  <c r="CS24" i="1" s="1"/>
  <c r="AZ24" i="1"/>
  <c r="AK24" i="1"/>
  <c r="CL24" i="1" s="1"/>
  <c r="AS24" i="1"/>
  <c r="CT24" i="1" s="1"/>
  <c r="BA24" i="1"/>
  <c r="AF24" i="1"/>
  <c r="AN24" i="1"/>
  <c r="CO24" i="1" s="1"/>
  <c r="AV24" i="1"/>
  <c r="CW24" i="1" s="1"/>
  <c r="AD24" i="1"/>
  <c r="AE24" i="1"/>
  <c r="AL24" i="1"/>
  <c r="CM24" i="1" s="1"/>
  <c r="AM24" i="1"/>
  <c r="CN24" i="1" s="1"/>
  <c r="AT24" i="1"/>
  <c r="CU24" i="1" s="1"/>
  <c r="AU24" i="1"/>
  <c r="CV24" i="1" s="1"/>
  <c r="AE43" i="1"/>
  <c r="AM43" i="1"/>
  <c r="CN43" i="1" s="1"/>
  <c r="AU43" i="1"/>
  <c r="CV43" i="1" s="1"/>
  <c r="AF43" i="1"/>
  <c r="AN43" i="1"/>
  <c r="CO43" i="1" s="1"/>
  <c r="AV43" i="1"/>
  <c r="CW43" i="1" s="1"/>
  <c r="AG43" i="1"/>
  <c r="AO43" i="1"/>
  <c r="CP43" i="1" s="1"/>
  <c r="AW43" i="1"/>
  <c r="CX43" i="1" s="1"/>
  <c r="P42" i="2" s="1"/>
  <c r="P89" i="8" s="1"/>
  <c r="AH43" i="1"/>
  <c r="AP43" i="1"/>
  <c r="CQ43" i="1" s="1"/>
  <c r="AX43" i="1"/>
  <c r="CY43" i="1" s="1"/>
  <c r="Q42" i="2" s="1"/>
  <c r="Q89" i="8" s="1"/>
  <c r="AI43" i="1"/>
  <c r="CJ43" i="1" s="1"/>
  <c r="AQ43" i="1"/>
  <c r="CR43" i="1" s="1"/>
  <c r="AY43" i="1"/>
  <c r="AJ43" i="1"/>
  <c r="CK43" i="1" s="1"/>
  <c r="AR43" i="1"/>
  <c r="CS43" i="1" s="1"/>
  <c r="AZ43" i="1"/>
  <c r="AK43" i="1"/>
  <c r="CL43" i="1" s="1"/>
  <c r="AS43" i="1"/>
  <c r="CT43" i="1" s="1"/>
  <c r="BA43" i="1"/>
  <c r="AD43" i="1"/>
  <c r="AL43" i="1"/>
  <c r="CM43" i="1" s="1"/>
  <c r="AT43" i="1"/>
  <c r="CU43" i="1" s="1"/>
  <c r="AE31" i="1"/>
  <c r="AM31" i="1"/>
  <c r="CN31" i="1" s="1"/>
  <c r="AU31" i="1"/>
  <c r="CV31" i="1" s="1"/>
  <c r="AF31" i="1"/>
  <c r="AN31" i="1"/>
  <c r="CO31" i="1" s="1"/>
  <c r="AV31" i="1"/>
  <c r="CW31" i="1" s="1"/>
  <c r="AG31" i="1"/>
  <c r="AO31" i="1"/>
  <c r="CP31" i="1" s="1"/>
  <c r="AW31" i="1"/>
  <c r="CX31" i="1" s="1"/>
  <c r="P30" i="2" s="1"/>
  <c r="P77" i="8" s="1"/>
  <c r="AH31" i="1"/>
  <c r="AP31" i="1"/>
  <c r="CQ31" i="1" s="1"/>
  <c r="AX31" i="1"/>
  <c r="CY31" i="1" s="1"/>
  <c r="Q30" i="2" s="1"/>
  <c r="Q77" i="8" s="1"/>
  <c r="AI31" i="1"/>
  <c r="CJ31" i="1" s="1"/>
  <c r="AQ31" i="1"/>
  <c r="CR31" i="1" s="1"/>
  <c r="AY31" i="1"/>
  <c r="AJ31" i="1"/>
  <c r="CK31" i="1" s="1"/>
  <c r="AR31" i="1"/>
  <c r="CS31" i="1" s="1"/>
  <c r="AZ31" i="1"/>
  <c r="AK31" i="1"/>
  <c r="CL31" i="1" s="1"/>
  <c r="AS31" i="1"/>
  <c r="CT31" i="1" s="1"/>
  <c r="BA31" i="1"/>
  <c r="AD31" i="1"/>
  <c r="AL31" i="1"/>
  <c r="CM31" i="1" s="1"/>
  <c r="AT31" i="1"/>
  <c r="CU31" i="1" s="1"/>
  <c r="AG19" i="1"/>
  <c r="AO19" i="1"/>
  <c r="CP19" i="1" s="1"/>
  <c r="AW19" i="1"/>
  <c r="CX19" i="1" s="1"/>
  <c r="P18" i="2" s="1"/>
  <c r="P65" i="8" s="1"/>
  <c r="AH19" i="1"/>
  <c r="AP19" i="1"/>
  <c r="CQ19" i="1" s="1"/>
  <c r="AX19" i="1"/>
  <c r="CY19" i="1" s="1"/>
  <c r="Q18" i="2" s="1"/>
  <c r="Q65" i="8" s="1"/>
  <c r="AI19" i="1"/>
  <c r="CJ19" i="1" s="1"/>
  <c r="AQ19" i="1"/>
  <c r="CR19" i="1" s="1"/>
  <c r="AY19" i="1"/>
  <c r="AJ19" i="1"/>
  <c r="CK19" i="1" s="1"/>
  <c r="AR19" i="1"/>
  <c r="CS19" i="1" s="1"/>
  <c r="AZ19" i="1"/>
  <c r="AK19" i="1"/>
  <c r="CL19" i="1" s="1"/>
  <c r="AS19" i="1"/>
  <c r="CT19" i="1" s="1"/>
  <c r="BA19" i="1"/>
  <c r="AF19" i="1"/>
  <c r="AN19" i="1"/>
  <c r="CO19" i="1" s="1"/>
  <c r="AV19" i="1"/>
  <c r="CW19" i="1" s="1"/>
  <c r="AU19" i="1"/>
  <c r="CV19" i="1" s="1"/>
  <c r="AD19" i="1"/>
  <c r="AE19" i="1"/>
  <c r="AL19" i="1"/>
  <c r="CM19" i="1" s="1"/>
  <c r="AM19" i="1"/>
  <c r="CN19" i="1" s="1"/>
  <c r="AT19" i="1"/>
  <c r="CU19" i="1" s="1"/>
  <c r="AG15" i="1"/>
  <c r="AO15" i="1"/>
  <c r="CP15" i="1" s="1"/>
  <c r="AW15" i="1"/>
  <c r="CX15" i="1" s="1"/>
  <c r="P14" i="2" s="1"/>
  <c r="P61" i="8" s="1"/>
  <c r="AH15" i="1"/>
  <c r="AP15" i="1"/>
  <c r="CQ15" i="1" s="1"/>
  <c r="AX15" i="1"/>
  <c r="CY15" i="1" s="1"/>
  <c r="Q14" i="2" s="1"/>
  <c r="Q61" i="8" s="1"/>
  <c r="AI15" i="1"/>
  <c r="CJ15" i="1" s="1"/>
  <c r="AQ15" i="1"/>
  <c r="CR15" i="1" s="1"/>
  <c r="AY15" i="1"/>
  <c r="AJ15" i="1"/>
  <c r="CK15" i="1" s="1"/>
  <c r="AR15" i="1"/>
  <c r="CS15" i="1" s="1"/>
  <c r="AZ15" i="1"/>
  <c r="AK15" i="1"/>
  <c r="CL15" i="1" s="1"/>
  <c r="AS15" i="1"/>
  <c r="CT15" i="1" s="1"/>
  <c r="BA15" i="1"/>
  <c r="AF15" i="1"/>
  <c r="AN15" i="1"/>
  <c r="CO15" i="1" s="1"/>
  <c r="AV15" i="1"/>
  <c r="CW15" i="1" s="1"/>
  <c r="AU15" i="1"/>
  <c r="CV15" i="1" s="1"/>
  <c r="AD15" i="1"/>
  <c r="AE15" i="1"/>
  <c r="AL15" i="1"/>
  <c r="CM15" i="1" s="1"/>
  <c r="AM15" i="1"/>
  <c r="CN15" i="1" s="1"/>
  <c r="AT15" i="1"/>
  <c r="CU15" i="1" s="1"/>
  <c r="AG11" i="1"/>
  <c r="AO11" i="1"/>
  <c r="CP11" i="1" s="1"/>
  <c r="AW11" i="1"/>
  <c r="CX11" i="1" s="1"/>
  <c r="P10" i="2" s="1"/>
  <c r="P57" i="8" s="1"/>
  <c r="AH11" i="1"/>
  <c r="AP11" i="1"/>
  <c r="CQ11" i="1" s="1"/>
  <c r="AX11" i="1"/>
  <c r="CY11" i="1" s="1"/>
  <c r="Q10" i="2" s="1"/>
  <c r="Q57" i="8" s="1"/>
  <c r="AI11" i="1"/>
  <c r="CJ11" i="1" s="1"/>
  <c r="AQ11" i="1"/>
  <c r="CR11" i="1" s="1"/>
  <c r="AY11" i="1"/>
  <c r="AJ11" i="1"/>
  <c r="CK11" i="1" s="1"/>
  <c r="AR11" i="1"/>
  <c r="CS11" i="1" s="1"/>
  <c r="AZ11" i="1"/>
  <c r="AK11" i="1"/>
  <c r="CL11" i="1" s="1"/>
  <c r="AS11" i="1"/>
  <c r="CT11" i="1" s="1"/>
  <c r="BA11" i="1"/>
  <c r="AF11" i="1"/>
  <c r="AN11" i="1"/>
  <c r="CO11" i="1" s="1"/>
  <c r="AV11" i="1"/>
  <c r="CW11" i="1" s="1"/>
  <c r="AU11" i="1"/>
  <c r="CV11" i="1" s="1"/>
  <c r="AD11" i="1"/>
  <c r="AE11" i="1"/>
  <c r="AL11" i="1"/>
  <c r="CM11" i="1" s="1"/>
  <c r="AM11" i="1"/>
  <c r="CN11" i="1" s="1"/>
  <c r="AT11" i="1"/>
  <c r="CU11" i="1" s="1"/>
  <c r="AD7" i="1"/>
  <c r="AF7" i="1"/>
  <c r="AG7" i="1"/>
  <c r="AO7" i="1"/>
  <c r="CP7" i="1" s="1"/>
  <c r="AW7" i="1"/>
  <c r="CX7" i="1" s="1"/>
  <c r="P6" i="2" s="1"/>
  <c r="P53" i="8" s="1"/>
  <c r="AH7" i="1"/>
  <c r="AP7" i="1"/>
  <c r="CQ7" i="1" s="1"/>
  <c r="AX7" i="1"/>
  <c r="CY7" i="1" s="1"/>
  <c r="Q6" i="2" s="1"/>
  <c r="Q53" i="8" s="1"/>
  <c r="AI7" i="1"/>
  <c r="CJ7" i="1" s="1"/>
  <c r="AQ7" i="1"/>
  <c r="CR7" i="1" s="1"/>
  <c r="AY7" i="1"/>
  <c r="AJ7" i="1"/>
  <c r="CK7" i="1" s="1"/>
  <c r="AR7" i="1"/>
  <c r="CS7" i="1" s="1"/>
  <c r="AZ7" i="1"/>
  <c r="AK7" i="1"/>
  <c r="CL7" i="1" s="1"/>
  <c r="AS7" i="1"/>
  <c r="CT7" i="1" s="1"/>
  <c r="BA7" i="1"/>
  <c r="AE7" i="1"/>
  <c r="AN7" i="1"/>
  <c r="CO7" i="1" s="1"/>
  <c r="AV7" i="1"/>
  <c r="CW7" i="1" s="1"/>
  <c r="AU7" i="1"/>
  <c r="CV7" i="1" s="1"/>
  <c r="AL7" i="1"/>
  <c r="CM7" i="1" s="1"/>
  <c r="AM7" i="1"/>
  <c r="CN7" i="1" s="1"/>
  <c r="AT7" i="1"/>
  <c r="CU7" i="1" s="1"/>
  <c r="AE32" i="1"/>
  <c r="AM32" i="1"/>
  <c r="CN32" i="1" s="1"/>
  <c r="AU32" i="1"/>
  <c r="CV32" i="1" s="1"/>
  <c r="AF32" i="1"/>
  <c r="AN32" i="1"/>
  <c r="CO32" i="1" s="1"/>
  <c r="AV32" i="1"/>
  <c r="CW32" i="1" s="1"/>
  <c r="AG32" i="1"/>
  <c r="AO32" i="1"/>
  <c r="CP32" i="1" s="1"/>
  <c r="AW32" i="1"/>
  <c r="CX32" i="1" s="1"/>
  <c r="P31" i="2" s="1"/>
  <c r="P78" i="8" s="1"/>
  <c r="AH32" i="1"/>
  <c r="AP32" i="1"/>
  <c r="CQ32" i="1" s="1"/>
  <c r="AX32" i="1"/>
  <c r="CY32" i="1" s="1"/>
  <c r="Q31" i="2" s="1"/>
  <c r="Q78" i="8" s="1"/>
  <c r="AI32" i="1"/>
  <c r="CJ32" i="1" s="1"/>
  <c r="AQ32" i="1"/>
  <c r="CR32" i="1" s="1"/>
  <c r="AY32" i="1"/>
  <c r="AJ32" i="1"/>
  <c r="CK32" i="1" s="1"/>
  <c r="AR32" i="1"/>
  <c r="CS32" i="1" s="1"/>
  <c r="AZ32" i="1"/>
  <c r="AK32" i="1"/>
  <c r="CL32" i="1" s="1"/>
  <c r="AS32" i="1"/>
  <c r="CT32" i="1" s="1"/>
  <c r="BA32" i="1"/>
  <c r="AD32" i="1"/>
  <c r="AL32" i="1"/>
  <c r="CM32" i="1" s="1"/>
  <c r="AT32" i="1"/>
  <c r="CU32" i="1" s="1"/>
  <c r="AG8" i="1"/>
  <c r="AO8" i="1"/>
  <c r="CP8" i="1" s="1"/>
  <c r="AW8" i="1"/>
  <c r="CX8" i="1" s="1"/>
  <c r="P7" i="2" s="1"/>
  <c r="P54" i="8" s="1"/>
  <c r="AH8" i="1"/>
  <c r="AP8" i="1"/>
  <c r="CQ8" i="1" s="1"/>
  <c r="AX8" i="1"/>
  <c r="CY8" i="1" s="1"/>
  <c r="Q7" i="2" s="1"/>
  <c r="Q54" i="8" s="1"/>
  <c r="AI8" i="1"/>
  <c r="CJ8" i="1" s="1"/>
  <c r="AQ8" i="1"/>
  <c r="CR8" i="1" s="1"/>
  <c r="AY8" i="1"/>
  <c r="AJ8" i="1"/>
  <c r="CK8" i="1" s="1"/>
  <c r="AR8" i="1"/>
  <c r="CS8" i="1" s="1"/>
  <c r="AZ8" i="1"/>
  <c r="AK8" i="1"/>
  <c r="CL8" i="1" s="1"/>
  <c r="AS8" i="1"/>
  <c r="CT8" i="1" s="1"/>
  <c r="BA8" i="1"/>
  <c r="AF8" i="1"/>
  <c r="AN8" i="1"/>
  <c r="CO8" i="1" s="1"/>
  <c r="AV8" i="1"/>
  <c r="CW8" i="1" s="1"/>
  <c r="AD8" i="1"/>
  <c r="AE8" i="1"/>
  <c r="AL8" i="1"/>
  <c r="CM8" i="1" s="1"/>
  <c r="AM8" i="1"/>
  <c r="CN8" i="1" s="1"/>
  <c r="AT8" i="1"/>
  <c r="CU8" i="1" s="1"/>
  <c r="AU8" i="1"/>
  <c r="CV8" i="1" s="1"/>
  <c r="AG51" i="1"/>
  <c r="AO51" i="1"/>
  <c r="CP51" i="1" s="1"/>
  <c r="AW51" i="1"/>
  <c r="CX51" i="1" s="1"/>
  <c r="P50" i="2" s="1"/>
  <c r="P97" i="8" s="1"/>
  <c r="AH51" i="1"/>
  <c r="AP51" i="1"/>
  <c r="CQ51" i="1" s="1"/>
  <c r="AX51" i="1"/>
  <c r="CY51" i="1" s="1"/>
  <c r="Q50" i="2" s="1"/>
  <c r="Q97" i="8" s="1"/>
  <c r="AI51" i="1"/>
  <c r="CJ51" i="1" s="1"/>
  <c r="AQ51" i="1"/>
  <c r="CR51" i="1" s="1"/>
  <c r="AY51" i="1"/>
  <c r="AJ51" i="1"/>
  <c r="CK51" i="1" s="1"/>
  <c r="AR51" i="1"/>
  <c r="CS51" i="1" s="1"/>
  <c r="AZ51" i="1"/>
  <c r="AK51" i="1"/>
  <c r="CL51" i="1" s="1"/>
  <c r="AS51" i="1"/>
  <c r="CT51" i="1" s="1"/>
  <c r="BA51" i="1"/>
  <c r="AD51" i="1"/>
  <c r="AL51" i="1"/>
  <c r="CM51" i="1" s="1"/>
  <c r="AT51" i="1"/>
  <c r="CU51" i="1" s="1"/>
  <c r="AE51" i="1"/>
  <c r="AM51" i="1"/>
  <c r="CN51" i="1" s="1"/>
  <c r="AU51" i="1"/>
  <c r="CV51" i="1" s="1"/>
  <c r="AF51" i="1"/>
  <c r="AN51" i="1"/>
  <c r="CO51" i="1" s="1"/>
  <c r="AV51" i="1"/>
  <c r="CW51" i="1" s="1"/>
  <c r="AG23" i="1"/>
  <c r="AO23" i="1"/>
  <c r="CP23" i="1" s="1"/>
  <c r="AW23" i="1"/>
  <c r="CX23" i="1" s="1"/>
  <c r="P22" i="2" s="1"/>
  <c r="P69" i="8" s="1"/>
  <c r="AH23" i="1"/>
  <c r="AP23" i="1"/>
  <c r="CQ23" i="1" s="1"/>
  <c r="AX23" i="1"/>
  <c r="CY23" i="1" s="1"/>
  <c r="Q22" i="2" s="1"/>
  <c r="Q69" i="8" s="1"/>
  <c r="AI23" i="1"/>
  <c r="CJ23" i="1" s="1"/>
  <c r="AQ23" i="1"/>
  <c r="CR23" i="1" s="1"/>
  <c r="AY23" i="1"/>
  <c r="AJ23" i="1"/>
  <c r="CK23" i="1" s="1"/>
  <c r="AR23" i="1"/>
  <c r="CS23" i="1" s="1"/>
  <c r="AZ23" i="1"/>
  <c r="AK23" i="1"/>
  <c r="CL23" i="1" s="1"/>
  <c r="AS23" i="1"/>
  <c r="CT23" i="1" s="1"/>
  <c r="BA23" i="1"/>
  <c r="AF23" i="1"/>
  <c r="AN23" i="1"/>
  <c r="CO23" i="1" s="1"/>
  <c r="AV23" i="1"/>
  <c r="CW23" i="1" s="1"/>
  <c r="AU23" i="1"/>
  <c r="CV23" i="1" s="1"/>
  <c r="AD23" i="1"/>
  <c r="AE23" i="1"/>
  <c r="AL23" i="1"/>
  <c r="CM23" i="1" s="1"/>
  <c r="AM23" i="1"/>
  <c r="CN23" i="1" s="1"/>
  <c r="AT23" i="1"/>
  <c r="CU23" i="1" s="1"/>
  <c r="DE54" i="1"/>
  <c r="DG54" i="1" s="1"/>
  <c r="DH54" i="1" s="1"/>
  <c r="DE46" i="1"/>
  <c r="DG46" i="1" s="1"/>
  <c r="AU46" i="1" s="1"/>
  <c r="CV46" i="1" s="1"/>
  <c r="DE38" i="1"/>
  <c r="DG38" i="1" s="1"/>
  <c r="AU38" i="1" s="1"/>
  <c r="CV38" i="1" s="1"/>
  <c r="DE30" i="1"/>
  <c r="DG30" i="1" s="1"/>
  <c r="AL30" i="1" s="1"/>
  <c r="CM30" i="1" s="1"/>
  <c r="DE22" i="1"/>
  <c r="DG22" i="1" s="1"/>
  <c r="BA22" i="1" s="1"/>
  <c r="DE14" i="1"/>
  <c r="DG14" i="1" s="1"/>
  <c r="AW14" i="1" s="1"/>
  <c r="CX14" i="1" s="1"/>
  <c r="P13" i="2" s="1"/>
  <c r="P60" i="8" s="1"/>
  <c r="DE6" i="1"/>
  <c r="DG6" i="1" s="1"/>
  <c r="AM6" i="1" s="1"/>
  <c r="CN6" i="1" s="1"/>
  <c r="AG52" i="1"/>
  <c r="AO52" i="1"/>
  <c r="CP52" i="1" s="1"/>
  <c r="AW52" i="1"/>
  <c r="CX52" i="1" s="1"/>
  <c r="P51" i="2" s="1"/>
  <c r="P98" i="8" s="1"/>
  <c r="AH52" i="1"/>
  <c r="AP52" i="1"/>
  <c r="CQ52" i="1" s="1"/>
  <c r="AX52" i="1"/>
  <c r="CY52" i="1" s="1"/>
  <c r="Q51" i="2" s="1"/>
  <c r="Q98" i="8" s="1"/>
  <c r="AI52" i="1"/>
  <c r="CJ52" i="1" s="1"/>
  <c r="AQ52" i="1"/>
  <c r="CR52" i="1" s="1"/>
  <c r="AY52" i="1"/>
  <c r="AJ52" i="1"/>
  <c r="CK52" i="1" s="1"/>
  <c r="AR52" i="1"/>
  <c r="CS52" i="1" s="1"/>
  <c r="AZ52" i="1"/>
  <c r="AK52" i="1"/>
  <c r="CL52" i="1" s="1"/>
  <c r="AS52" i="1"/>
  <c r="CT52" i="1" s="1"/>
  <c r="BA52" i="1"/>
  <c r="AD52" i="1"/>
  <c r="AL52" i="1"/>
  <c r="CM52" i="1" s="1"/>
  <c r="AT52" i="1"/>
  <c r="CU52" i="1" s="1"/>
  <c r="AE52" i="1"/>
  <c r="AM52" i="1"/>
  <c r="CN52" i="1" s="1"/>
  <c r="AU52" i="1"/>
  <c r="CV52" i="1" s="1"/>
  <c r="AF52" i="1"/>
  <c r="AN52" i="1"/>
  <c r="CO52" i="1" s="1"/>
  <c r="AV52" i="1"/>
  <c r="CW52" i="1" s="1"/>
  <c r="AG20" i="1"/>
  <c r="AO20" i="1"/>
  <c r="CP20" i="1" s="1"/>
  <c r="AW20" i="1"/>
  <c r="CX20" i="1" s="1"/>
  <c r="P19" i="2" s="1"/>
  <c r="P66" i="8" s="1"/>
  <c r="AH20" i="1"/>
  <c r="AP20" i="1"/>
  <c r="CQ20" i="1" s="1"/>
  <c r="AX20" i="1"/>
  <c r="CY20" i="1" s="1"/>
  <c r="Q19" i="2" s="1"/>
  <c r="Q66" i="8" s="1"/>
  <c r="AI20" i="1"/>
  <c r="CJ20" i="1" s="1"/>
  <c r="AQ20" i="1"/>
  <c r="CR20" i="1" s="1"/>
  <c r="AY20" i="1"/>
  <c r="AJ20" i="1"/>
  <c r="CK20" i="1" s="1"/>
  <c r="AR20" i="1"/>
  <c r="CS20" i="1" s="1"/>
  <c r="AZ20" i="1"/>
  <c r="AK20" i="1"/>
  <c r="CL20" i="1" s="1"/>
  <c r="AS20" i="1"/>
  <c r="CT20" i="1" s="1"/>
  <c r="BA20" i="1"/>
  <c r="AF20" i="1"/>
  <c r="AN20" i="1"/>
  <c r="CO20" i="1" s="1"/>
  <c r="AV20" i="1"/>
  <c r="CW20" i="1" s="1"/>
  <c r="AD20" i="1"/>
  <c r="AE20" i="1"/>
  <c r="AL20" i="1"/>
  <c r="CM20" i="1" s="1"/>
  <c r="AM20" i="1"/>
  <c r="CN20" i="1" s="1"/>
  <c r="AT20" i="1"/>
  <c r="CU20" i="1" s="1"/>
  <c r="AU20" i="1"/>
  <c r="CV20" i="1" s="1"/>
  <c r="AG55" i="1"/>
  <c r="AO55" i="1"/>
  <c r="CP55" i="1" s="1"/>
  <c r="AW55" i="1"/>
  <c r="CX55" i="1" s="1"/>
  <c r="P54" i="2" s="1"/>
  <c r="P101" i="8" s="1"/>
  <c r="AH55" i="1"/>
  <c r="AP55" i="1"/>
  <c r="CQ55" i="1" s="1"/>
  <c r="AX55" i="1"/>
  <c r="CY55" i="1" s="1"/>
  <c r="Q54" i="2" s="1"/>
  <c r="Q101" i="8" s="1"/>
  <c r="AI55" i="1"/>
  <c r="CJ55" i="1" s="1"/>
  <c r="AQ55" i="1"/>
  <c r="CR55" i="1" s="1"/>
  <c r="AY55" i="1"/>
  <c r="AJ55" i="1"/>
  <c r="CK55" i="1" s="1"/>
  <c r="AR55" i="1"/>
  <c r="CS55" i="1" s="1"/>
  <c r="AZ55" i="1"/>
  <c r="AK55" i="1"/>
  <c r="CL55" i="1" s="1"/>
  <c r="AS55" i="1"/>
  <c r="CT55" i="1" s="1"/>
  <c r="BA55" i="1"/>
  <c r="AD55" i="1"/>
  <c r="AL55" i="1"/>
  <c r="CM55" i="1" s="1"/>
  <c r="AT55" i="1"/>
  <c r="CU55" i="1" s="1"/>
  <c r="AE55" i="1"/>
  <c r="AM55" i="1"/>
  <c r="CN55" i="1" s="1"/>
  <c r="AU55" i="1"/>
  <c r="CV55" i="1" s="1"/>
  <c r="AF55" i="1"/>
  <c r="AN55" i="1"/>
  <c r="CO55" i="1" s="1"/>
  <c r="AV55" i="1"/>
  <c r="CW55" i="1" s="1"/>
  <c r="AE39" i="1"/>
  <c r="AM39" i="1"/>
  <c r="CN39" i="1" s="1"/>
  <c r="AU39" i="1"/>
  <c r="CV39" i="1" s="1"/>
  <c r="AF39" i="1"/>
  <c r="AN39" i="1"/>
  <c r="CO39" i="1" s="1"/>
  <c r="AV39" i="1"/>
  <c r="CW39" i="1" s="1"/>
  <c r="AG39" i="1"/>
  <c r="AO39" i="1"/>
  <c r="CP39" i="1" s="1"/>
  <c r="AW39" i="1"/>
  <c r="CX39" i="1" s="1"/>
  <c r="P38" i="2" s="1"/>
  <c r="P85" i="8" s="1"/>
  <c r="AH39" i="1"/>
  <c r="AP39" i="1"/>
  <c r="CQ39" i="1" s="1"/>
  <c r="AX39" i="1"/>
  <c r="CY39" i="1" s="1"/>
  <c r="Q38" i="2" s="1"/>
  <c r="Q85" i="8" s="1"/>
  <c r="AI39" i="1"/>
  <c r="CJ39" i="1" s="1"/>
  <c r="AQ39" i="1"/>
  <c r="CR39" i="1" s="1"/>
  <c r="AY39" i="1"/>
  <c r="AJ39" i="1"/>
  <c r="CK39" i="1" s="1"/>
  <c r="AR39" i="1"/>
  <c r="CS39" i="1" s="1"/>
  <c r="AZ39" i="1"/>
  <c r="AK39" i="1"/>
  <c r="CL39" i="1" s="1"/>
  <c r="AS39" i="1"/>
  <c r="CT39" i="1" s="1"/>
  <c r="BA39" i="1"/>
  <c r="AD39" i="1"/>
  <c r="AL39" i="1"/>
  <c r="CM39" i="1" s="1"/>
  <c r="AT39" i="1"/>
  <c r="CU39" i="1" s="1"/>
  <c r="AG27" i="1"/>
  <c r="AO27" i="1"/>
  <c r="CP27" i="1" s="1"/>
  <c r="AW27" i="1"/>
  <c r="CX27" i="1" s="1"/>
  <c r="P26" i="2" s="1"/>
  <c r="P73" i="8" s="1"/>
  <c r="AH27" i="1"/>
  <c r="AP27" i="1"/>
  <c r="CQ27" i="1" s="1"/>
  <c r="AX27" i="1"/>
  <c r="CY27" i="1" s="1"/>
  <c r="Q26" i="2" s="1"/>
  <c r="Q73" i="8" s="1"/>
  <c r="AI27" i="1"/>
  <c r="CJ27" i="1" s="1"/>
  <c r="AQ27" i="1"/>
  <c r="CR27" i="1" s="1"/>
  <c r="AY27" i="1"/>
  <c r="AJ27" i="1"/>
  <c r="CK27" i="1" s="1"/>
  <c r="AR27" i="1"/>
  <c r="CS27" i="1" s="1"/>
  <c r="AZ27" i="1"/>
  <c r="AK27" i="1"/>
  <c r="CL27" i="1" s="1"/>
  <c r="AS27" i="1"/>
  <c r="CT27" i="1" s="1"/>
  <c r="BA27" i="1"/>
  <c r="AF27" i="1"/>
  <c r="AN27" i="1"/>
  <c r="CO27" i="1" s="1"/>
  <c r="AV27" i="1"/>
  <c r="CW27" i="1" s="1"/>
  <c r="AU27" i="1"/>
  <c r="CV27" i="1" s="1"/>
  <c r="AD27" i="1"/>
  <c r="AE27" i="1"/>
  <c r="AL27" i="1"/>
  <c r="CM27" i="1" s="1"/>
  <c r="AM27" i="1"/>
  <c r="CN27" i="1" s="1"/>
  <c r="AT27" i="1"/>
  <c r="CU27" i="1" s="1"/>
  <c r="AG54" i="1"/>
  <c r="AO54" i="1"/>
  <c r="CP54" i="1" s="1"/>
  <c r="AH54" i="1"/>
  <c r="AX54" i="1"/>
  <c r="CY54" i="1" s="1"/>
  <c r="Q53" i="2" s="1"/>
  <c r="Q100" i="8" s="1"/>
  <c r="AI54" i="1"/>
  <c r="CJ54" i="1" s="1"/>
  <c r="AQ54" i="1"/>
  <c r="CR54" i="1" s="1"/>
  <c r="AY54" i="1"/>
  <c r="AD54" i="1"/>
  <c r="AT54" i="1"/>
  <c r="CU54" i="1" s="1"/>
  <c r="AE54" i="1"/>
  <c r="AU54" i="1"/>
  <c r="CV54" i="1" s="1"/>
  <c r="AF54" i="1"/>
  <c r="AV54" i="1"/>
  <c r="CW54" i="1" s="1"/>
  <c r="AG50" i="1"/>
  <c r="AO50" i="1"/>
  <c r="CP50" i="1" s="1"/>
  <c r="AW50" i="1"/>
  <c r="CX50" i="1" s="1"/>
  <c r="P49" i="2" s="1"/>
  <c r="P96" i="8" s="1"/>
  <c r="AH50" i="1"/>
  <c r="AP50" i="1"/>
  <c r="CQ50" i="1" s="1"/>
  <c r="AX50" i="1"/>
  <c r="CY50" i="1" s="1"/>
  <c r="Q49" i="2" s="1"/>
  <c r="Q96" i="8" s="1"/>
  <c r="AI50" i="1"/>
  <c r="CJ50" i="1" s="1"/>
  <c r="AQ50" i="1"/>
  <c r="CR50" i="1" s="1"/>
  <c r="AY50" i="1"/>
  <c r="AJ50" i="1"/>
  <c r="CK50" i="1" s="1"/>
  <c r="AR50" i="1"/>
  <c r="CS50" i="1" s="1"/>
  <c r="AZ50" i="1"/>
  <c r="AK50" i="1"/>
  <c r="CL50" i="1" s="1"/>
  <c r="AS50" i="1"/>
  <c r="CT50" i="1" s="1"/>
  <c r="BA50" i="1"/>
  <c r="AD50" i="1"/>
  <c r="AL50" i="1"/>
  <c r="CM50" i="1" s="1"/>
  <c r="AT50" i="1"/>
  <c r="CU50" i="1" s="1"/>
  <c r="AE50" i="1"/>
  <c r="AM50" i="1"/>
  <c r="CN50" i="1" s="1"/>
  <c r="AU50" i="1"/>
  <c r="CV50" i="1" s="1"/>
  <c r="AF50" i="1"/>
  <c r="AN50" i="1"/>
  <c r="CO50" i="1" s="1"/>
  <c r="AV50" i="1"/>
  <c r="CW50" i="1" s="1"/>
  <c r="AE46" i="1"/>
  <c r="AM46" i="1"/>
  <c r="CN46" i="1" s="1"/>
  <c r="AF46" i="1"/>
  <c r="AN46" i="1"/>
  <c r="CO46" i="1" s="1"/>
  <c r="AV46" i="1"/>
  <c r="CW46" i="1" s="1"/>
  <c r="AG46" i="1"/>
  <c r="AO46" i="1"/>
  <c r="CP46" i="1" s="1"/>
  <c r="AW46" i="1"/>
  <c r="CX46" i="1" s="1"/>
  <c r="P45" i="2" s="1"/>
  <c r="P92" i="8" s="1"/>
  <c r="AH46" i="1"/>
  <c r="AX46" i="1"/>
  <c r="CY46" i="1" s="1"/>
  <c r="Q45" i="2" s="1"/>
  <c r="Q92" i="8" s="1"/>
  <c r="AI46" i="1"/>
  <c r="CJ46" i="1" s="1"/>
  <c r="AQ46" i="1"/>
  <c r="CR46" i="1" s="1"/>
  <c r="AR46" i="1"/>
  <c r="CS46" i="1" s="1"/>
  <c r="AZ46" i="1"/>
  <c r="AK46" i="1"/>
  <c r="CL46" i="1" s="1"/>
  <c r="AS46" i="1"/>
  <c r="CT46" i="1" s="1"/>
  <c r="BA46" i="1"/>
  <c r="AD46" i="1"/>
  <c r="AL46" i="1"/>
  <c r="CM46" i="1" s="1"/>
  <c r="AT46" i="1"/>
  <c r="CU46" i="1" s="1"/>
  <c r="AE42" i="1"/>
  <c r="AM42" i="1"/>
  <c r="CN42" i="1" s="1"/>
  <c r="AU42" i="1"/>
  <c r="CV42" i="1" s="1"/>
  <c r="AF42" i="1"/>
  <c r="AN42" i="1"/>
  <c r="CO42" i="1" s="1"/>
  <c r="AV42" i="1"/>
  <c r="CW42" i="1" s="1"/>
  <c r="AG42" i="1"/>
  <c r="AO42" i="1"/>
  <c r="CP42" i="1" s="1"/>
  <c r="AW42" i="1"/>
  <c r="CX42" i="1" s="1"/>
  <c r="P41" i="2" s="1"/>
  <c r="P88" i="8" s="1"/>
  <c r="AH42" i="1"/>
  <c r="AP42" i="1"/>
  <c r="CQ42" i="1" s="1"/>
  <c r="AX42" i="1"/>
  <c r="CY42" i="1" s="1"/>
  <c r="Q41" i="2" s="1"/>
  <c r="Q88" i="8" s="1"/>
  <c r="AI42" i="1"/>
  <c r="CJ42" i="1" s="1"/>
  <c r="AQ42" i="1"/>
  <c r="CR42" i="1" s="1"/>
  <c r="AY42" i="1"/>
  <c r="AJ42" i="1"/>
  <c r="CK42" i="1" s="1"/>
  <c r="AR42" i="1"/>
  <c r="CS42" i="1" s="1"/>
  <c r="AZ42" i="1"/>
  <c r="AK42" i="1"/>
  <c r="CL42" i="1" s="1"/>
  <c r="AS42" i="1"/>
  <c r="CT42" i="1" s="1"/>
  <c r="BA42" i="1"/>
  <c r="AD42" i="1"/>
  <c r="AL42" i="1"/>
  <c r="CM42" i="1" s="1"/>
  <c r="AT42" i="1"/>
  <c r="CU42" i="1" s="1"/>
  <c r="AE38" i="1"/>
  <c r="AM38" i="1"/>
  <c r="CN38" i="1" s="1"/>
  <c r="AF38" i="1"/>
  <c r="AV38" i="1"/>
  <c r="CW38" i="1" s="1"/>
  <c r="AG38" i="1"/>
  <c r="AO38" i="1"/>
  <c r="CP38" i="1" s="1"/>
  <c r="AW38" i="1"/>
  <c r="CX38" i="1" s="1"/>
  <c r="P37" i="2" s="1"/>
  <c r="P84" i="8" s="1"/>
  <c r="AH38" i="1"/>
  <c r="AI38" i="1"/>
  <c r="CJ38" i="1" s="1"/>
  <c r="AJ38" i="1"/>
  <c r="CK38" i="1" s="1"/>
  <c r="AZ38" i="1"/>
  <c r="AK38" i="1"/>
  <c r="CL38" i="1" s="1"/>
  <c r="AS38" i="1"/>
  <c r="CT38" i="1" s="1"/>
  <c r="BA38" i="1"/>
  <c r="AD38" i="1"/>
  <c r="AL38" i="1"/>
  <c r="CM38" i="1" s="1"/>
  <c r="AT38" i="1"/>
  <c r="CU38" i="1" s="1"/>
  <c r="AE34" i="1"/>
  <c r="AM34" i="1"/>
  <c r="CN34" i="1" s="1"/>
  <c r="AU34" i="1"/>
  <c r="CV34" i="1" s="1"/>
  <c r="AF34" i="1"/>
  <c r="AN34" i="1"/>
  <c r="CO34" i="1" s="1"/>
  <c r="AV34" i="1"/>
  <c r="CW34" i="1" s="1"/>
  <c r="AG34" i="1"/>
  <c r="AO34" i="1"/>
  <c r="CP34" i="1" s="1"/>
  <c r="AW34" i="1"/>
  <c r="CX34" i="1" s="1"/>
  <c r="P33" i="2" s="1"/>
  <c r="P80" i="8" s="1"/>
  <c r="AH34" i="1"/>
  <c r="AP34" i="1"/>
  <c r="CQ34" i="1" s="1"/>
  <c r="AX34" i="1"/>
  <c r="CY34" i="1" s="1"/>
  <c r="Q33" i="2" s="1"/>
  <c r="Q80" i="8" s="1"/>
  <c r="AI34" i="1"/>
  <c r="CJ34" i="1" s="1"/>
  <c r="AQ34" i="1"/>
  <c r="CR34" i="1" s="1"/>
  <c r="AY34" i="1"/>
  <c r="AJ34" i="1"/>
  <c r="CK34" i="1" s="1"/>
  <c r="AR34" i="1"/>
  <c r="CS34" i="1" s="1"/>
  <c r="AZ34" i="1"/>
  <c r="AK34" i="1"/>
  <c r="CL34" i="1" s="1"/>
  <c r="AS34" i="1"/>
  <c r="CT34" i="1" s="1"/>
  <c r="BA34" i="1"/>
  <c r="AD34" i="1"/>
  <c r="AL34" i="1"/>
  <c r="CM34" i="1" s="1"/>
  <c r="AT34" i="1"/>
  <c r="CU34" i="1" s="1"/>
  <c r="AE30" i="1"/>
  <c r="AM30" i="1"/>
  <c r="CN30" i="1" s="1"/>
  <c r="AF30" i="1"/>
  <c r="AV30" i="1"/>
  <c r="CW30" i="1" s="1"/>
  <c r="AG30" i="1"/>
  <c r="AO30" i="1"/>
  <c r="CP30" i="1" s="1"/>
  <c r="AW30" i="1"/>
  <c r="CX30" i="1" s="1"/>
  <c r="P29" i="2" s="1"/>
  <c r="P76" i="8" s="1"/>
  <c r="AH30" i="1"/>
  <c r="AI30" i="1"/>
  <c r="CJ30" i="1" s="1"/>
  <c r="BA30" i="1"/>
  <c r="AD30" i="1"/>
  <c r="AT30" i="1"/>
  <c r="CU30" i="1" s="1"/>
  <c r="AG26" i="1"/>
  <c r="AO26" i="1"/>
  <c r="CP26" i="1" s="1"/>
  <c r="AW26" i="1"/>
  <c r="CX26" i="1" s="1"/>
  <c r="P25" i="2" s="1"/>
  <c r="P72" i="8" s="1"/>
  <c r="AH26" i="1"/>
  <c r="AP26" i="1"/>
  <c r="CQ26" i="1" s="1"/>
  <c r="AX26" i="1"/>
  <c r="CY26" i="1" s="1"/>
  <c r="Q25" i="2" s="1"/>
  <c r="Q72" i="8" s="1"/>
  <c r="AI26" i="1"/>
  <c r="CJ26" i="1" s="1"/>
  <c r="AQ26" i="1"/>
  <c r="CR26" i="1" s="1"/>
  <c r="AY26" i="1"/>
  <c r="AJ26" i="1"/>
  <c r="CK26" i="1" s="1"/>
  <c r="AR26" i="1"/>
  <c r="CS26" i="1" s="1"/>
  <c r="AZ26" i="1"/>
  <c r="AK26" i="1"/>
  <c r="CL26" i="1" s="1"/>
  <c r="AS26" i="1"/>
  <c r="CT26" i="1" s="1"/>
  <c r="BA26" i="1"/>
  <c r="AF26" i="1"/>
  <c r="AN26" i="1"/>
  <c r="CO26" i="1" s="1"/>
  <c r="AV26" i="1"/>
  <c r="CW26" i="1" s="1"/>
  <c r="AM26" i="1"/>
  <c r="CN26" i="1" s="1"/>
  <c r="AT26" i="1"/>
  <c r="CU26" i="1" s="1"/>
  <c r="AU26" i="1"/>
  <c r="CV26" i="1" s="1"/>
  <c r="AD26" i="1"/>
  <c r="AE26" i="1"/>
  <c r="AL26" i="1"/>
  <c r="CM26" i="1" s="1"/>
  <c r="AG22" i="1"/>
  <c r="AO22" i="1"/>
  <c r="CP22" i="1" s="1"/>
  <c r="AW22" i="1"/>
  <c r="CX22" i="1" s="1"/>
  <c r="P21" i="2" s="1"/>
  <c r="P68" i="8" s="1"/>
  <c r="AH22" i="1"/>
  <c r="AP22" i="1"/>
  <c r="CQ22" i="1" s="1"/>
  <c r="AX22" i="1"/>
  <c r="CY22" i="1" s="1"/>
  <c r="Q21" i="2" s="1"/>
  <c r="Q68" i="8" s="1"/>
  <c r="AI22" i="1"/>
  <c r="CJ22" i="1" s="1"/>
  <c r="AQ22" i="1"/>
  <c r="CR22" i="1" s="1"/>
  <c r="AY22" i="1"/>
  <c r="AJ22" i="1"/>
  <c r="CK22" i="1" s="1"/>
  <c r="AR22" i="1"/>
  <c r="CS22" i="1" s="1"/>
  <c r="AZ22" i="1"/>
  <c r="AK22" i="1"/>
  <c r="CL22" i="1" s="1"/>
  <c r="AS22" i="1"/>
  <c r="CT22" i="1" s="1"/>
  <c r="AF22" i="1"/>
  <c r="AN22" i="1"/>
  <c r="CO22" i="1" s="1"/>
  <c r="AV22" i="1"/>
  <c r="CW22" i="1" s="1"/>
  <c r="AM22" i="1"/>
  <c r="CN22" i="1" s="1"/>
  <c r="AT22" i="1"/>
  <c r="CU22" i="1" s="1"/>
  <c r="AU22" i="1"/>
  <c r="CV22" i="1" s="1"/>
  <c r="AD22" i="1"/>
  <c r="AE22" i="1"/>
  <c r="AL22" i="1"/>
  <c r="CM22" i="1" s="1"/>
  <c r="AG18" i="1"/>
  <c r="AO18" i="1"/>
  <c r="CP18" i="1" s="1"/>
  <c r="AW18" i="1"/>
  <c r="CX18" i="1" s="1"/>
  <c r="P17" i="2" s="1"/>
  <c r="P64" i="8" s="1"/>
  <c r="AH18" i="1"/>
  <c r="AP18" i="1"/>
  <c r="CQ18" i="1" s="1"/>
  <c r="AX18" i="1"/>
  <c r="CY18" i="1" s="1"/>
  <c r="Q17" i="2" s="1"/>
  <c r="Q64" i="8" s="1"/>
  <c r="AI18" i="1"/>
  <c r="CJ18" i="1" s="1"/>
  <c r="AQ18" i="1"/>
  <c r="CR18" i="1" s="1"/>
  <c r="AY18" i="1"/>
  <c r="AJ18" i="1"/>
  <c r="CK18" i="1" s="1"/>
  <c r="AR18" i="1"/>
  <c r="CS18" i="1" s="1"/>
  <c r="AZ18" i="1"/>
  <c r="AK18" i="1"/>
  <c r="CL18" i="1" s="1"/>
  <c r="AS18" i="1"/>
  <c r="CT18" i="1" s="1"/>
  <c r="BA18" i="1"/>
  <c r="AF18" i="1"/>
  <c r="AN18" i="1"/>
  <c r="CO18" i="1" s="1"/>
  <c r="AV18" i="1"/>
  <c r="CW18" i="1" s="1"/>
  <c r="AM18" i="1"/>
  <c r="CN18" i="1" s="1"/>
  <c r="AT18" i="1"/>
  <c r="CU18" i="1" s="1"/>
  <c r="AU18" i="1"/>
  <c r="CV18" i="1" s="1"/>
  <c r="AD18" i="1"/>
  <c r="AE18" i="1"/>
  <c r="AL18" i="1"/>
  <c r="CM18" i="1" s="1"/>
  <c r="AG14" i="1"/>
  <c r="AO14" i="1"/>
  <c r="CP14" i="1" s="1"/>
  <c r="AH14" i="1"/>
  <c r="AP14" i="1"/>
  <c r="CQ14" i="1" s="1"/>
  <c r="AX14" i="1"/>
  <c r="CY14" i="1" s="1"/>
  <c r="Q13" i="2" s="1"/>
  <c r="Q60" i="8" s="1"/>
  <c r="AI14" i="1"/>
  <c r="CJ14" i="1" s="1"/>
  <c r="AQ14" i="1"/>
  <c r="CR14" i="1" s="1"/>
  <c r="AY14" i="1"/>
  <c r="AK14" i="1"/>
  <c r="CL14" i="1" s="1"/>
  <c r="AF14" i="1"/>
  <c r="AN14" i="1"/>
  <c r="CO14" i="1" s="1"/>
  <c r="AV14" i="1"/>
  <c r="CW14" i="1" s="1"/>
  <c r="AT14" i="1"/>
  <c r="CU14" i="1" s="1"/>
  <c r="AU14" i="1"/>
  <c r="CV14" i="1" s="1"/>
  <c r="AD14" i="1"/>
  <c r="AE14" i="1"/>
  <c r="AL14" i="1"/>
  <c r="CM14" i="1" s="1"/>
  <c r="AG10" i="1"/>
  <c r="AO10" i="1"/>
  <c r="CP10" i="1" s="1"/>
  <c r="AW10" i="1"/>
  <c r="CX10" i="1" s="1"/>
  <c r="P9" i="2" s="1"/>
  <c r="P56" i="8" s="1"/>
  <c r="AH10" i="1"/>
  <c r="AP10" i="1"/>
  <c r="CQ10" i="1" s="1"/>
  <c r="AX10" i="1"/>
  <c r="CY10" i="1" s="1"/>
  <c r="Q9" i="2" s="1"/>
  <c r="Q56" i="8" s="1"/>
  <c r="AI10" i="1"/>
  <c r="CJ10" i="1" s="1"/>
  <c r="AQ10" i="1"/>
  <c r="CR10" i="1" s="1"/>
  <c r="AY10" i="1"/>
  <c r="AJ10" i="1"/>
  <c r="CK10" i="1" s="1"/>
  <c r="AR10" i="1"/>
  <c r="CS10" i="1" s="1"/>
  <c r="AZ10" i="1"/>
  <c r="AK10" i="1"/>
  <c r="CL10" i="1" s="1"/>
  <c r="AS10" i="1"/>
  <c r="CT10" i="1" s="1"/>
  <c r="BA10" i="1"/>
  <c r="AF10" i="1"/>
  <c r="AN10" i="1"/>
  <c r="CO10" i="1" s="1"/>
  <c r="AV10" i="1"/>
  <c r="CW10" i="1" s="1"/>
  <c r="AM10" i="1"/>
  <c r="CN10" i="1" s="1"/>
  <c r="AT10" i="1"/>
  <c r="CU10" i="1" s="1"/>
  <c r="AU10" i="1"/>
  <c r="CV10" i="1" s="1"/>
  <c r="AD10" i="1"/>
  <c r="AE10" i="1"/>
  <c r="AL10" i="1"/>
  <c r="CM10" i="1" s="1"/>
  <c r="AI6" i="1"/>
  <c r="CJ6" i="1" s="1"/>
  <c r="AQ6" i="1"/>
  <c r="CR6" i="1" s="1"/>
  <c r="AD6" i="1"/>
  <c r="AT6" i="1"/>
  <c r="CU6" i="1" s="1"/>
  <c r="AF6" i="1"/>
  <c r="AN6" i="1"/>
  <c r="CO6" i="1" s="1"/>
  <c r="AV6" i="1"/>
  <c r="CW6" i="1" s="1"/>
  <c r="AH6" i="1"/>
  <c r="AE6" i="1"/>
  <c r="AG6" i="1"/>
  <c r="AJ6" i="1"/>
  <c r="CK6" i="1" s="1"/>
  <c r="AK6" i="1"/>
  <c r="CL6" i="1" s="1"/>
  <c r="BA6" i="1"/>
  <c r="AE40" i="1"/>
  <c r="AM40" i="1"/>
  <c r="CN40" i="1" s="1"/>
  <c r="AU40" i="1"/>
  <c r="CV40" i="1" s="1"/>
  <c r="AF40" i="1"/>
  <c r="AN40" i="1"/>
  <c r="CO40" i="1" s="1"/>
  <c r="AV40" i="1"/>
  <c r="CW40" i="1" s="1"/>
  <c r="AG40" i="1"/>
  <c r="AO40" i="1"/>
  <c r="CP40" i="1" s="1"/>
  <c r="AW40" i="1"/>
  <c r="CX40" i="1" s="1"/>
  <c r="P39" i="2" s="1"/>
  <c r="P86" i="8" s="1"/>
  <c r="AH40" i="1"/>
  <c r="AP40" i="1"/>
  <c r="CQ40" i="1" s="1"/>
  <c r="AX40" i="1"/>
  <c r="CY40" i="1" s="1"/>
  <c r="Q39" i="2" s="1"/>
  <c r="Q86" i="8" s="1"/>
  <c r="AI40" i="1"/>
  <c r="CJ40" i="1" s="1"/>
  <c r="AQ40" i="1"/>
  <c r="CR40" i="1" s="1"/>
  <c r="AY40" i="1"/>
  <c r="AJ40" i="1"/>
  <c r="CK40" i="1" s="1"/>
  <c r="AR40" i="1"/>
  <c r="CS40" i="1" s="1"/>
  <c r="AZ40" i="1"/>
  <c r="AK40" i="1"/>
  <c r="CL40" i="1" s="1"/>
  <c r="AS40" i="1"/>
  <c r="CT40" i="1" s="1"/>
  <c r="BA40" i="1"/>
  <c r="AD40" i="1"/>
  <c r="AL40" i="1"/>
  <c r="CM40" i="1" s="1"/>
  <c r="AT40" i="1"/>
  <c r="CU40" i="1" s="1"/>
  <c r="AG16" i="1"/>
  <c r="AO16" i="1"/>
  <c r="CP16" i="1" s="1"/>
  <c r="AH16" i="1"/>
  <c r="AX16" i="1"/>
  <c r="CY16" i="1" s="1"/>
  <c r="Q15" i="2" s="1"/>
  <c r="Q62" i="8" s="1"/>
  <c r="AI16" i="1"/>
  <c r="CJ16" i="1" s="1"/>
  <c r="AQ16" i="1"/>
  <c r="CR16" i="1" s="1"/>
  <c r="AY16" i="1"/>
  <c r="AF16" i="1"/>
  <c r="AD16" i="1"/>
  <c r="AE16" i="1"/>
  <c r="AE47" i="1"/>
  <c r="AM47" i="1"/>
  <c r="CN47" i="1" s="1"/>
  <c r="AU47" i="1"/>
  <c r="CV47" i="1" s="1"/>
  <c r="AF47" i="1"/>
  <c r="AN47" i="1"/>
  <c r="CO47" i="1" s="1"/>
  <c r="AV47" i="1"/>
  <c r="CW47" i="1" s="1"/>
  <c r="AG47" i="1"/>
  <c r="AO47" i="1"/>
  <c r="CP47" i="1" s="1"/>
  <c r="AW47" i="1"/>
  <c r="CX47" i="1" s="1"/>
  <c r="P46" i="2" s="1"/>
  <c r="P93" i="8" s="1"/>
  <c r="AH47" i="1"/>
  <c r="AP47" i="1"/>
  <c r="CQ47" i="1" s="1"/>
  <c r="AX47" i="1"/>
  <c r="CY47" i="1" s="1"/>
  <c r="Q46" i="2" s="1"/>
  <c r="Q93" i="8" s="1"/>
  <c r="AI47" i="1"/>
  <c r="CJ47" i="1" s="1"/>
  <c r="AQ47" i="1"/>
  <c r="CR47" i="1" s="1"/>
  <c r="AY47" i="1"/>
  <c r="AJ47" i="1"/>
  <c r="CK47" i="1" s="1"/>
  <c r="AR47" i="1"/>
  <c r="CS47" i="1" s="1"/>
  <c r="AZ47" i="1"/>
  <c r="AK47" i="1"/>
  <c r="CL47" i="1" s="1"/>
  <c r="AS47" i="1"/>
  <c r="CT47" i="1" s="1"/>
  <c r="BA47" i="1"/>
  <c r="AD47" i="1"/>
  <c r="AL47" i="1"/>
  <c r="CM47" i="1" s="1"/>
  <c r="AT47" i="1"/>
  <c r="CU47" i="1" s="1"/>
  <c r="AE35" i="1"/>
  <c r="AM35" i="1"/>
  <c r="CN35" i="1" s="1"/>
  <c r="AU35" i="1"/>
  <c r="CV35" i="1" s="1"/>
  <c r="AF35" i="1"/>
  <c r="AN35" i="1"/>
  <c r="CO35" i="1" s="1"/>
  <c r="AV35" i="1"/>
  <c r="CW35" i="1" s="1"/>
  <c r="AG35" i="1"/>
  <c r="AO35" i="1"/>
  <c r="CP35" i="1" s="1"/>
  <c r="AW35" i="1"/>
  <c r="CX35" i="1" s="1"/>
  <c r="P34" i="2" s="1"/>
  <c r="P81" i="8" s="1"/>
  <c r="AH35" i="1"/>
  <c r="AP35" i="1"/>
  <c r="CQ35" i="1" s="1"/>
  <c r="AX35" i="1"/>
  <c r="CY35" i="1" s="1"/>
  <c r="Q34" i="2" s="1"/>
  <c r="Q81" i="8" s="1"/>
  <c r="AI35" i="1"/>
  <c r="CJ35" i="1" s="1"/>
  <c r="AQ35" i="1"/>
  <c r="CR35" i="1" s="1"/>
  <c r="AY35" i="1"/>
  <c r="AJ35" i="1"/>
  <c r="CK35" i="1" s="1"/>
  <c r="AR35" i="1"/>
  <c r="CS35" i="1" s="1"/>
  <c r="AZ35" i="1"/>
  <c r="AK35" i="1"/>
  <c r="CL35" i="1" s="1"/>
  <c r="AS35" i="1"/>
  <c r="CT35" i="1" s="1"/>
  <c r="BA35" i="1"/>
  <c r="AD35" i="1"/>
  <c r="AL35" i="1"/>
  <c r="CM35" i="1" s="1"/>
  <c r="AT35" i="1"/>
  <c r="CU35" i="1" s="1"/>
  <c r="AH5" i="1"/>
  <c r="AP5" i="1"/>
  <c r="CQ5" i="1" s="1"/>
  <c r="AX5" i="1"/>
  <c r="CY5" i="1" s="1"/>
  <c r="AI5" i="1"/>
  <c r="CJ5" i="1" s="1"/>
  <c r="AQ5" i="1"/>
  <c r="CR5" i="1" s="1"/>
  <c r="AY5" i="1"/>
  <c r="AJ5" i="1"/>
  <c r="CK5" i="1" s="1"/>
  <c r="AR5" i="1"/>
  <c r="CS5" i="1" s="1"/>
  <c r="AZ5" i="1"/>
  <c r="AK5" i="1"/>
  <c r="CL5" i="1" s="1"/>
  <c r="AS5" i="1"/>
  <c r="CT5" i="1" s="1"/>
  <c r="BA5" i="1"/>
  <c r="AL5" i="1"/>
  <c r="CM5" i="1" s="1"/>
  <c r="AT5" i="1"/>
  <c r="CU5" i="1" s="1"/>
  <c r="AD5" i="1"/>
  <c r="AE5" i="1"/>
  <c r="AM5" i="1"/>
  <c r="CN5" i="1" s="1"/>
  <c r="AU5" i="1"/>
  <c r="CV5" i="1" s="1"/>
  <c r="AF5" i="1"/>
  <c r="AN5" i="1"/>
  <c r="CO5" i="1" s="1"/>
  <c r="AV5" i="1"/>
  <c r="CW5" i="1" s="1"/>
  <c r="AG5" i="1"/>
  <c r="AO5" i="1"/>
  <c r="CP5" i="1" s="1"/>
  <c r="AW5" i="1"/>
  <c r="CX5" i="1" s="1"/>
  <c r="DH53" i="1"/>
  <c r="DH45" i="1"/>
  <c r="DH37" i="1"/>
  <c r="DH29" i="1"/>
  <c r="DH42" i="1"/>
  <c r="BH52" i="1"/>
  <c r="BL52" i="1"/>
  <c r="CC52" i="1"/>
  <c r="BJ52" i="1"/>
  <c r="CA52" i="1"/>
  <c r="CE52" i="1"/>
  <c r="BI52" i="1"/>
  <c r="BZ52" i="1"/>
  <c r="CD52" i="1"/>
  <c r="BK52" i="1"/>
  <c r="CB52" i="1"/>
  <c r="BI46" i="1"/>
  <c r="BZ46" i="1"/>
  <c r="CD46" i="1"/>
  <c r="BK46" i="1"/>
  <c r="CB46" i="1"/>
  <c r="BJ46" i="1"/>
  <c r="CA46" i="1"/>
  <c r="CE46" i="1"/>
  <c r="CC46" i="1"/>
  <c r="BL46" i="1"/>
  <c r="BH46" i="1"/>
  <c r="BH44" i="1"/>
  <c r="BL44" i="1"/>
  <c r="CC44" i="1"/>
  <c r="BJ44" i="1"/>
  <c r="CA44" i="1"/>
  <c r="CE44" i="1"/>
  <c r="BI44" i="1"/>
  <c r="BZ44" i="1"/>
  <c r="CD44" i="1"/>
  <c r="BK44" i="1"/>
  <c r="CB44" i="1"/>
  <c r="BK38" i="1"/>
  <c r="BO38" i="1"/>
  <c r="CC38" i="1"/>
  <c r="BI38" i="1"/>
  <c r="BM38" i="1"/>
  <c r="CA38" i="1"/>
  <c r="CE38" i="1"/>
  <c r="BH38" i="1"/>
  <c r="BL38" i="1"/>
  <c r="BP38" i="1"/>
  <c r="CD38" i="1"/>
  <c r="BN38" i="1"/>
  <c r="BJ38" i="1"/>
  <c r="CB38" i="1"/>
  <c r="BK34" i="1"/>
  <c r="CB34" i="1"/>
  <c r="BI34" i="1"/>
  <c r="BM34" i="1"/>
  <c r="CD34" i="1"/>
  <c r="BJ34" i="1"/>
  <c r="CA34" i="1"/>
  <c r="CE34" i="1"/>
  <c r="BL34" i="1"/>
  <c r="CC34" i="1"/>
  <c r="BH34" i="1"/>
  <c r="BH30" i="1"/>
  <c r="BL30" i="1"/>
  <c r="CC30" i="1"/>
  <c r="BJ30" i="1"/>
  <c r="CA30" i="1"/>
  <c r="CE30" i="1"/>
  <c r="BK30" i="1"/>
  <c r="CB30" i="1"/>
  <c r="BI30" i="1"/>
  <c r="CD30" i="1"/>
  <c r="BM30" i="1"/>
  <c r="BK24" i="1"/>
  <c r="CB24" i="1"/>
  <c r="BI24" i="1"/>
  <c r="BZ24" i="1"/>
  <c r="CD24" i="1"/>
  <c r="BJ24" i="1"/>
  <c r="CA24" i="1"/>
  <c r="CE24" i="1"/>
  <c r="BL24" i="1"/>
  <c r="CC24" i="1"/>
  <c r="BH24" i="1"/>
  <c r="BJ22" i="1"/>
  <c r="BN22" i="1"/>
  <c r="CD22" i="1"/>
  <c r="BH22" i="1"/>
  <c r="BL22" i="1"/>
  <c r="CB22" i="1"/>
  <c r="BI22" i="1"/>
  <c r="BM22" i="1"/>
  <c r="CC22" i="1"/>
  <c r="CE22" i="1"/>
  <c r="BK22" i="1"/>
  <c r="CA22" i="1"/>
  <c r="BH18" i="1"/>
  <c r="BL18" i="1"/>
  <c r="CB18" i="1"/>
  <c r="BJ18" i="1"/>
  <c r="BN18" i="1"/>
  <c r="CD18" i="1"/>
  <c r="BK18" i="1"/>
  <c r="CA18" i="1"/>
  <c r="CE18" i="1"/>
  <c r="CC18" i="1"/>
  <c r="BI18" i="1"/>
  <c r="BM18" i="1"/>
  <c r="BI55" i="1"/>
  <c r="BZ55" i="1"/>
  <c r="CD55" i="1"/>
  <c r="BK55" i="1"/>
  <c r="CB55" i="1"/>
  <c r="BJ55" i="1"/>
  <c r="CA55" i="1"/>
  <c r="CE55" i="1"/>
  <c r="BH55" i="1"/>
  <c r="BL55" i="1"/>
  <c r="CC55" i="1"/>
  <c r="BI53" i="1"/>
  <c r="BM53" i="1"/>
  <c r="CB53" i="1"/>
  <c r="BK53" i="1"/>
  <c r="BO53" i="1"/>
  <c r="CD53" i="1"/>
  <c r="BJ53" i="1"/>
  <c r="BN53" i="1"/>
  <c r="CC53" i="1"/>
  <c r="CE53" i="1"/>
  <c r="BH53" i="1"/>
  <c r="BL53" i="1"/>
  <c r="CA53" i="1"/>
  <c r="BK51" i="1"/>
  <c r="CB51" i="1"/>
  <c r="BI51" i="1"/>
  <c r="BZ51" i="1"/>
  <c r="CD51" i="1"/>
  <c r="BH51" i="1"/>
  <c r="BL51" i="1"/>
  <c r="CC51" i="1"/>
  <c r="BJ51" i="1"/>
  <c r="CE51" i="1"/>
  <c r="CA51" i="1"/>
  <c r="BK49" i="1"/>
  <c r="CA49" i="1"/>
  <c r="CE49" i="1"/>
  <c r="BI49" i="1"/>
  <c r="BM49" i="1"/>
  <c r="CC49" i="1"/>
  <c r="BH49" i="1"/>
  <c r="BL49" i="1"/>
  <c r="CB49" i="1"/>
  <c r="BN49" i="1"/>
  <c r="BJ49" i="1"/>
  <c r="CD49" i="1"/>
  <c r="BJ47" i="1"/>
  <c r="BN47" i="1"/>
  <c r="CD47" i="1"/>
  <c r="BH47" i="1"/>
  <c r="BL47" i="1"/>
  <c r="CB47" i="1"/>
  <c r="BK47" i="1"/>
  <c r="CA47" i="1"/>
  <c r="CE47" i="1"/>
  <c r="BI47" i="1"/>
  <c r="BM47" i="1"/>
  <c r="CC47" i="1"/>
  <c r="BI45" i="1"/>
  <c r="BM45" i="1"/>
  <c r="CC45" i="1"/>
  <c r="BK45" i="1"/>
  <c r="CA45" i="1"/>
  <c r="CE45" i="1"/>
  <c r="BJ45" i="1"/>
  <c r="BN45" i="1"/>
  <c r="CD45" i="1"/>
  <c r="BL45" i="1"/>
  <c r="BH45" i="1"/>
  <c r="CB45" i="1"/>
  <c r="BK43" i="1"/>
  <c r="CB43" i="1"/>
  <c r="BI43" i="1"/>
  <c r="BZ43" i="1"/>
  <c r="CD43" i="1"/>
  <c r="BH43" i="1"/>
  <c r="BL43" i="1"/>
  <c r="CC43" i="1"/>
  <c r="CE43" i="1"/>
  <c r="BJ43" i="1"/>
  <c r="CA43" i="1"/>
  <c r="BK41" i="1"/>
  <c r="CA41" i="1"/>
  <c r="CE41" i="1"/>
  <c r="BI41" i="1"/>
  <c r="BM41" i="1"/>
  <c r="CC41" i="1"/>
  <c r="BH41" i="1"/>
  <c r="BL41" i="1"/>
  <c r="CB41" i="1"/>
  <c r="BJ41" i="1"/>
  <c r="BN41" i="1"/>
  <c r="CD41" i="1"/>
  <c r="BI39" i="1"/>
  <c r="BZ39" i="1"/>
  <c r="CD39" i="1"/>
  <c r="BK39" i="1"/>
  <c r="CB39" i="1"/>
  <c r="BJ39" i="1"/>
  <c r="CA39" i="1"/>
  <c r="CE39" i="1"/>
  <c r="CC39" i="1"/>
  <c r="BL39" i="1"/>
  <c r="BH39" i="1"/>
  <c r="BH37" i="1"/>
  <c r="BL37" i="1"/>
  <c r="CA37" i="1"/>
  <c r="CE37" i="1"/>
  <c r="BJ37" i="1"/>
  <c r="BN37" i="1"/>
  <c r="CC37" i="1"/>
  <c r="BI37" i="1"/>
  <c r="BM37" i="1"/>
  <c r="CB37" i="1"/>
  <c r="BK37" i="1"/>
  <c r="BO37" i="1"/>
  <c r="CD37" i="1"/>
  <c r="BH35" i="1"/>
  <c r="BL35" i="1"/>
  <c r="CC35" i="1"/>
  <c r="BJ35" i="1"/>
  <c r="CA35" i="1"/>
  <c r="CE35" i="1"/>
  <c r="BK35" i="1"/>
  <c r="CB35" i="1"/>
  <c r="CD35" i="1"/>
  <c r="BI35" i="1"/>
  <c r="BZ35" i="1"/>
  <c r="BJ33" i="1"/>
  <c r="CA33" i="1"/>
  <c r="CE33" i="1"/>
  <c r="BH33" i="1"/>
  <c r="BL33" i="1"/>
  <c r="CC33" i="1"/>
  <c r="BI33" i="1"/>
  <c r="BM33" i="1"/>
  <c r="CD33" i="1"/>
  <c r="CB33" i="1"/>
  <c r="BK33" i="1"/>
  <c r="BI31" i="1"/>
  <c r="BM31" i="1"/>
  <c r="CC31" i="1"/>
  <c r="BK31" i="1"/>
  <c r="CA31" i="1"/>
  <c r="CE31" i="1"/>
  <c r="BH31" i="1"/>
  <c r="BL31" i="1"/>
  <c r="CB31" i="1"/>
  <c r="BN31" i="1"/>
  <c r="CD31" i="1"/>
  <c r="BJ31" i="1"/>
  <c r="BK29" i="1"/>
  <c r="CB29" i="1"/>
  <c r="BI29" i="1"/>
  <c r="BM29" i="1"/>
  <c r="CD29" i="1"/>
  <c r="BJ29" i="1"/>
  <c r="CA29" i="1"/>
  <c r="CE29" i="1"/>
  <c r="BL29" i="1"/>
  <c r="BH29" i="1"/>
  <c r="CC29" i="1"/>
  <c r="BJ27" i="1"/>
  <c r="CA27" i="1"/>
  <c r="CE27" i="1"/>
  <c r="BH27" i="1"/>
  <c r="BL27" i="1"/>
  <c r="CC27" i="1"/>
  <c r="BI27" i="1"/>
  <c r="BM27" i="1"/>
  <c r="CD27" i="1"/>
  <c r="BK27" i="1"/>
  <c r="CB27" i="1"/>
  <c r="BH25" i="1"/>
  <c r="BL25" i="1"/>
  <c r="CC25" i="1"/>
  <c r="BJ25" i="1"/>
  <c r="CA25" i="1"/>
  <c r="CE25" i="1"/>
  <c r="BK25" i="1"/>
  <c r="CB25" i="1"/>
  <c r="CD25" i="1"/>
  <c r="BI25" i="1"/>
  <c r="BZ25" i="1"/>
  <c r="BJ23" i="1"/>
  <c r="CA23" i="1"/>
  <c r="CE23" i="1"/>
  <c r="BH23" i="1"/>
  <c r="BL23" i="1"/>
  <c r="CC23" i="1"/>
  <c r="BI23" i="1"/>
  <c r="BM23" i="1"/>
  <c r="CD23" i="1"/>
  <c r="CB23" i="1"/>
  <c r="BK23" i="1"/>
  <c r="BI21" i="1"/>
  <c r="BM21" i="1"/>
  <c r="CD21" i="1"/>
  <c r="BK21" i="1"/>
  <c r="CB21" i="1"/>
  <c r="BH21" i="1"/>
  <c r="BL21" i="1"/>
  <c r="CC21" i="1"/>
  <c r="CA21" i="1"/>
  <c r="CE21" i="1"/>
  <c r="BJ21" i="1"/>
  <c r="BH19" i="1"/>
  <c r="BL19" i="1"/>
  <c r="CB19" i="1"/>
  <c r="BJ19" i="1"/>
  <c r="BN19" i="1"/>
  <c r="CD19" i="1"/>
  <c r="BK19" i="1"/>
  <c r="CA19" i="1"/>
  <c r="CE19" i="1"/>
  <c r="BM19" i="1"/>
  <c r="BI19" i="1"/>
  <c r="CC19" i="1"/>
  <c r="BK17" i="1"/>
  <c r="CB17" i="1"/>
  <c r="BI17" i="1"/>
  <c r="BM17" i="1"/>
  <c r="CD17" i="1"/>
  <c r="BJ17" i="1"/>
  <c r="CA17" i="1"/>
  <c r="CE17" i="1"/>
  <c r="BL17" i="1"/>
  <c r="CC17" i="1"/>
  <c r="BH17" i="1"/>
  <c r="BI15" i="1"/>
  <c r="BZ15" i="1"/>
  <c r="CD15" i="1"/>
  <c r="BK15" i="1"/>
  <c r="CB15" i="1"/>
  <c r="BH15" i="1"/>
  <c r="BL15" i="1"/>
  <c r="CC15" i="1"/>
  <c r="CE15" i="1"/>
  <c r="BJ15" i="1"/>
  <c r="CA15" i="1"/>
  <c r="BK13" i="1"/>
  <c r="CB13" i="1"/>
  <c r="BI13" i="1"/>
  <c r="BZ13" i="1"/>
  <c r="CD13" i="1"/>
  <c r="BJ13" i="1"/>
  <c r="CA13" i="1"/>
  <c r="CE13" i="1"/>
  <c r="BH13" i="1"/>
  <c r="CC13" i="1"/>
  <c r="BL13" i="1"/>
  <c r="BI11" i="1"/>
  <c r="BM11" i="1"/>
  <c r="CD11" i="1"/>
  <c r="BK11" i="1"/>
  <c r="CB11" i="1"/>
  <c r="BH11" i="1"/>
  <c r="BL11" i="1"/>
  <c r="CC11" i="1"/>
  <c r="CA11" i="1"/>
  <c r="CE11" i="1"/>
  <c r="BJ11" i="1"/>
  <c r="BJ9" i="1"/>
  <c r="BN9" i="1"/>
  <c r="CC9" i="1"/>
  <c r="BH9" i="1"/>
  <c r="BL9" i="1"/>
  <c r="CA9" i="1"/>
  <c r="CE9" i="1"/>
  <c r="BI9" i="1"/>
  <c r="BM9" i="1"/>
  <c r="CB9" i="1"/>
  <c r="BO9" i="1"/>
  <c r="BK9" i="1"/>
  <c r="CD9" i="1"/>
  <c r="BI7" i="1"/>
  <c r="BM7" i="1"/>
  <c r="CD7" i="1"/>
  <c r="BK7" i="1"/>
  <c r="CB7" i="1"/>
  <c r="BH7" i="1"/>
  <c r="BL7" i="1"/>
  <c r="CC7" i="1"/>
  <c r="CA7" i="1"/>
  <c r="CE7" i="1"/>
  <c r="BJ7" i="1"/>
  <c r="BH54" i="1"/>
  <c r="BL54" i="1"/>
  <c r="CC54" i="1"/>
  <c r="BJ54" i="1"/>
  <c r="CA54" i="1"/>
  <c r="CE54" i="1"/>
  <c r="BI54" i="1"/>
  <c r="BM54" i="1"/>
  <c r="CD54" i="1"/>
  <c r="CB54" i="1"/>
  <c r="BK54" i="1"/>
  <c r="BJ48" i="1"/>
  <c r="CA48" i="1"/>
  <c r="CE48" i="1"/>
  <c r="BH48" i="1"/>
  <c r="BL48" i="1"/>
  <c r="CC48" i="1"/>
  <c r="BK48" i="1"/>
  <c r="CB48" i="1"/>
  <c r="BI48" i="1"/>
  <c r="BZ48" i="1"/>
  <c r="CD48" i="1"/>
  <c r="BJ40" i="1"/>
  <c r="CA40" i="1"/>
  <c r="CE40" i="1"/>
  <c r="BH40" i="1"/>
  <c r="BL40" i="1"/>
  <c r="CC40" i="1"/>
  <c r="BK40" i="1"/>
  <c r="CB40" i="1"/>
  <c r="BZ40" i="1"/>
  <c r="CD40" i="1"/>
  <c r="BI40" i="1"/>
  <c r="BK36" i="1"/>
  <c r="CB36" i="1"/>
  <c r="BI36" i="1"/>
  <c r="BZ36" i="1"/>
  <c r="CD36" i="1"/>
  <c r="BH36" i="1"/>
  <c r="BL36" i="1"/>
  <c r="CC36" i="1"/>
  <c r="CE36" i="1"/>
  <c r="BJ36" i="1"/>
  <c r="CA36" i="1"/>
  <c r="BI26" i="1"/>
  <c r="BZ26" i="1"/>
  <c r="CD26" i="1"/>
  <c r="BK26" i="1"/>
  <c r="CB26" i="1"/>
  <c r="BH26" i="1"/>
  <c r="BL26" i="1"/>
  <c r="CC26" i="1"/>
  <c r="CA26" i="1"/>
  <c r="BJ26" i="1"/>
  <c r="CE26" i="1"/>
  <c r="BJ16" i="1"/>
  <c r="CA16" i="1"/>
  <c r="CE16" i="1"/>
  <c r="BH16" i="1"/>
  <c r="BL16" i="1"/>
  <c r="CC16" i="1"/>
  <c r="BI16" i="1"/>
  <c r="BM16" i="1"/>
  <c r="CD16" i="1"/>
  <c r="CB16" i="1"/>
  <c r="BK16" i="1"/>
  <c r="BH14" i="1"/>
  <c r="BL14" i="1"/>
  <c r="CC14" i="1"/>
  <c r="BJ14" i="1"/>
  <c r="CA14" i="1"/>
  <c r="CE14" i="1"/>
  <c r="BK14" i="1"/>
  <c r="CB14" i="1"/>
  <c r="BZ14" i="1"/>
  <c r="CD14" i="1"/>
  <c r="BI14" i="1"/>
  <c r="BJ12" i="1"/>
  <c r="CA12" i="1"/>
  <c r="CE12" i="1"/>
  <c r="BH12" i="1"/>
  <c r="BL12" i="1"/>
  <c r="CC12" i="1"/>
  <c r="BI12" i="1"/>
  <c r="BZ12" i="1"/>
  <c r="CD12" i="1"/>
  <c r="BK12" i="1"/>
  <c r="CB12" i="1"/>
  <c r="BI10" i="1"/>
  <c r="BM10" i="1"/>
  <c r="CC10" i="1"/>
  <c r="BK10" i="1"/>
  <c r="CA10" i="1"/>
  <c r="CE10" i="1"/>
  <c r="BH10" i="1"/>
  <c r="BL10" i="1"/>
  <c r="CB10" i="1"/>
  <c r="BJ10" i="1"/>
  <c r="CD10" i="1"/>
  <c r="BN10" i="1"/>
  <c r="BJ8" i="1"/>
  <c r="BN8" i="1"/>
  <c r="CD8" i="1"/>
  <c r="BH8" i="1"/>
  <c r="BL8" i="1"/>
  <c r="CB8" i="1"/>
  <c r="BI8" i="1"/>
  <c r="BM8" i="1"/>
  <c r="CC8" i="1"/>
  <c r="CE8" i="1"/>
  <c r="BK8" i="1"/>
  <c r="CA8" i="1"/>
  <c r="BH6" i="1"/>
  <c r="BL6" i="1"/>
  <c r="CC6" i="1"/>
  <c r="BJ6" i="1"/>
  <c r="CA6" i="1"/>
  <c r="CE6" i="1"/>
  <c r="BK6" i="1"/>
  <c r="CB6" i="1"/>
  <c r="BI6" i="1"/>
  <c r="CD6" i="1"/>
  <c r="BM6" i="1"/>
  <c r="BJ56" i="1"/>
  <c r="BN56" i="1"/>
  <c r="CD56" i="1"/>
  <c r="BH56" i="1"/>
  <c r="BL56" i="1"/>
  <c r="CB56" i="1"/>
  <c r="BK56" i="1"/>
  <c r="CA56" i="1"/>
  <c r="CE56" i="1"/>
  <c r="BM56" i="1"/>
  <c r="CC56" i="1"/>
  <c r="BI56" i="1"/>
  <c r="BK50" i="1"/>
  <c r="CA50" i="1"/>
  <c r="CE50" i="1"/>
  <c r="BI50" i="1"/>
  <c r="BM50" i="1"/>
  <c r="CC50" i="1"/>
  <c r="BH50" i="1"/>
  <c r="BL50" i="1"/>
  <c r="CB50" i="1"/>
  <c r="BJ50" i="1"/>
  <c r="BN50" i="1"/>
  <c r="CD50" i="1"/>
  <c r="BK42" i="1"/>
  <c r="CA42" i="1"/>
  <c r="CE42" i="1"/>
  <c r="BI42" i="1"/>
  <c r="BM42" i="1"/>
  <c r="CC42" i="1"/>
  <c r="BH42" i="1"/>
  <c r="BL42" i="1"/>
  <c r="CB42" i="1"/>
  <c r="BN42" i="1"/>
  <c r="BJ42" i="1"/>
  <c r="CD42" i="1"/>
  <c r="BI32" i="1"/>
  <c r="BZ32" i="1"/>
  <c r="CD32" i="1"/>
  <c r="BK32" i="1"/>
  <c r="CB32" i="1"/>
  <c r="BH32" i="1"/>
  <c r="BL32" i="1"/>
  <c r="CC32" i="1"/>
  <c r="CE32" i="1"/>
  <c r="BJ32" i="1"/>
  <c r="CA32" i="1"/>
  <c r="BK28" i="1"/>
  <c r="CA28" i="1"/>
  <c r="CE28" i="1"/>
  <c r="BI28" i="1"/>
  <c r="BM28" i="1"/>
  <c r="CC28" i="1"/>
  <c r="BJ28" i="1"/>
  <c r="BN28" i="1"/>
  <c r="CD28" i="1"/>
  <c r="CB28" i="1"/>
  <c r="BH28" i="1"/>
  <c r="BL28" i="1"/>
  <c r="BH20" i="1"/>
  <c r="BL20" i="1"/>
  <c r="CC20" i="1"/>
  <c r="BJ20" i="1"/>
  <c r="CA20" i="1"/>
  <c r="CE20" i="1"/>
  <c r="BK20" i="1"/>
  <c r="CB20" i="1"/>
  <c r="BI20" i="1"/>
  <c r="CD20" i="1"/>
  <c r="BZ20" i="1"/>
  <c r="BK5" i="1"/>
  <c r="BO5" i="1"/>
  <c r="CD5" i="1"/>
  <c r="CA5" i="1"/>
  <c r="CE5" i="1"/>
  <c r="BI5" i="1"/>
  <c r="BJ5" i="1"/>
  <c r="CB5" i="1"/>
  <c r="BL5" i="1"/>
  <c r="CC5" i="1"/>
  <c r="BM5" i="1"/>
  <c r="BH5" i="1"/>
  <c r="BN5" i="1"/>
  <c r="Z57" i="1"/>
  <c r="DH49" i="1"/>
  <c r="DH21" i="1"/>
  <c r="DH19" i="1"/>
  <c r="DH17" i="1"/>
  <c r="DH15" i="1"/>
  <c r="DH13" i="1"/>
  <c r="DH11" i="1"/>
  <c r="DH7" i="1"/>
  <c r="DH56" i="1"/>
  <c r="DH46" i="1"/>
  <c r="DH24" i="1"/>
  <c r="DH41" i="1"/>
  <c r="DH33" i="1"/>
  <c r="DH25" i="1"/>
  <c r="DH9" i="1"/>
  <c r="DH5" i="1"/>
  <c r="DH48" i="1"/>
  <c r="DH40" i="1"/>
  <c r="DH38" i="1"/>
  <c r="DH32" i="1"/>
  <c r="DH22" i="1"/>
  <c r="DH8" i="1"/>
  <c r="BB4" i="1"/>
  <c r="BD4" i="1" s="1"/>
  <c r="D24" i="3"/>
  <c r="L7" i="3"/>
  <c r="L6" i="3"/>
  <c r="L5" i="3"/>
  <c r="C57" i="1"/>
  <c r="Q13" i="5" s="1"/>
  <c r="D57" i="1"/>
  <c r="R13" i="5" s="1"/>
  <c r="E57" i="1"/>
  <c r="S13" i="5" s="1"/>
  <c r="F57" i="1"/>
  <c r="T13" i="5" s="1"/>
  <c r="G57" i="1"/>
  <c r="U13" i="5" s="1"/>
  <c r="H57" i="1"/>
  <c r="V13" i="5" s="1"/>
  <c r="I57" i="1"/>
  <c r="W13" i="5" s="1"/>
  <c r="J57" i="1"/>
  <c r="X13" i="5" s="1"/>
  <c r="K57" i="1"/>
  <c r="Y13" i="5" s="1"/>
  <c r="L57" i="1"/>
  <c r="Z13" i="5" s="1"/>
  <c r="M57" i="1"/>
  <c r="AA13" i="5" s="1"/>
  <c r="N57" i="1"/>
  <c r="AB13" i="5" s="1"/>
  <c r="O57" i="1"/>
  <c r="AC13" i="5" s="1"/>
  <c r="P57" i="1"/>
  <c r="AD13" i="5" s="1"/>
  <c r="Q57" i="1"/>
  <c r="AE13" i="5" s="1"/>
  <c r="R57" i="1"/>
  <c r="AF13" i="5" s="1"/>
  <c r="S57" i="1"/>
  <c r="AG13" i="5" s="1"/>
  <c r="T57" i="1"/>
  <c r="AH13" i="5" s="1"/>
  <c r="U57" i="1"/>
  <c r="AI13" i="5" s="1"/>
  <c r="V57" i="1"/>
  <c r="AJ13" i="5" s="1"/>
  <c r="W57" i="1"/>
  <c r="AK13" i="5" s="1"/>
  <c r="X57" i="1"/>
  <c r="AL13" i="5" s="1"/>
  <c r="Y57" i="1"/>
  <c r="AM13" i="5" s="1"/>
  <c r="B57" i="1"/>
  <c r="P13" i="5" s="1"/>
  <c r="P3" i="5"/>
  <c r="C4" i="5"/>
  <c r="D4" i="5"/>
  <c r="E4" i="5"/>
  <c r="F4" i="5"/>
  <c r="G4" i="5"/>
  <c r="B4" i="5"/>
  <c r="AT41" i="1" l="1"/>
  <c r="CU41" i="1" s="1"/>
  <c r="AO6" i="1"/>
  <c r="CP6" i="1" s="1"/>
  <c r="AS30" i="1"/>
  <c r="CT30" i="1" s="1"/>
  <c r="AM54" i="1"/>
  <c r="CN54" i="1" s="1"/>
  <c r="AY6" i="1"/>
  <c r="AM14" i="1"/>
  <c r="CN14" i="1" s="1"/>
  <c r="AK30" i="1"/>
  <c r="CL30" i="1" s="1"/>
  <c r="AL41" i="1"/>
  <c r="CM41" i="1" s="1"/>
  <c r="AV16" i="1"/>
  <c r="CW16" i="1" s="1"/>
  <c r="AL54" i="1"/>
  <c r="CM54" i="1" s="1"/>
  <c r="DH6" i="1"/>
  <c r="AL13" i="1"/>
  <c r="CM13" i="1" s="1"/>
  <c r="AS41" i="1"/>
  <c r="CT41" i="1" s="1"/>
  <c r="AN16" i="1"/>
  <c r="CO16" i="1" s="1"/>
  <c r="AR30" i="1"/>
  <c r="CS30" i="1" s="1"/>
  <c r="AR38" i="1"/>
  <c r="CS38" i="1" s="1"/>
  <c r="AJ30" i="1"/>
  <c r="CK30" i="1" s="1"/>
  <c r="AJ46" i="1"/>
  <c r="CK46" i="1" s="1"/>
  <c r="DH14" i="1"/>
  <c r="BA16" i="1"/>
  <c r="AU6" i="1"/>
  <c r="CV6" i="1" s="1"/>
  <c r="BA14" i="1"/>
  <c r="AY30" i="1"/>
  <c r="AY38" i="1"/>
  <c r="AY46" i="1"/>
  <c r="BA54" i="1"/>
  <c r="AK41" i="1"/>
  <c r="CL41" i="1" s="1"/>
  <c r="AU16" i="1"/>
  <c r="CV16" i="1" s="1"/>
  <c r="AZ30" i="1"/>
  <c r="AW6" i="1"/>
  <c r="CX6" i="1" s="1"/>
  <c r="P5" i="2" s="1"/>
  <c r="P52" i="8" s="1"/>
  <c r="AS16" i="1"/>
  <c r="CT16" i="1" s="1"/>
  <c r="AS14" i="1"/>
  <c r="CT14" i="1" s="1"/>
  <c r="AQ30" i="1"/>
  <c r="CR30" i="1" s="1"/>
  <c r="AQ38" i="1"/>
  <c r="CR38" i="1" s="1"/>
  <c r="AS54" i="1"/>
  <c r="CT54" i="1" s="1"/>
  <c r="AZ41" i="1"/>
  <c r="AK54" i="1"/>
  <c r="CL54" i="1" s="1"/>
  <c r="AZ16" i="1"/>
  <c r="AR6" i="1"/>
  <c r="CS6" i="1" s="1"/>
  <c r="AZ14" i="1"/>
  <c r="AX30" i="1"/>
  <c r="CY30" i="1" s="1"/>
  <c r="Q29" i="2" s="1"/>
  <c r="Q76" i="8" s="1"/>
  <c r="AX38" i="1"/>
  <c r="CY38" i="1" s="1"/>
  <c r="Q37" i="2" s="1"/>
  <c r="Q84" i="8" s="1"/>
  <c r="AZ54" i="1"/>
  <c r="AR16" i="1"/>
  <c r="CS16" i="1" s="1"/>
  <c r="AX6" i="1"/>
  <c r="CY6" i="1" s="1"/>
  <c r="Q5" i="2" s="1"/>
  <c r="Q52" i="8" s="1"/>
  <c r="AR14" i="1"/>
  <c r="CS14" i="1" s="1"/>
  <c r="AP30" i="1"/>
  <c r="CQ30" i="1" s="1"/>
  <c r="AP38" i="1"/>
  <c r="CQ38" i="1" s="1"/>
  <c r="AP46" i="1"/>
  <c r="CQ46" i="1" s="1"/>
  <c r="AR54" i="1"/>
  <c r="CS54" i="1" s="1"/>
  <c r="BA13" i="1"/>
  <c r="AY41" i="1"/>
  <c r="AL16" i="1"/>
  <c r="CM16" i="1" s="1"/>
  <c r="AK16" i="1"/>
  <c r="CL16" i="1" s="1"/>
  <c r="AS6" i="1"/>
  <c r="CT6" i="1" s="1"/>
  <c r="AJ16" i="1"/>
  <c r="CK16" i="1" s="1"/>
  <c r="AP6" i="1"/>
  <c r="CQ6" i="1" s="1"/>
  <c r="AJ14" i="1"/>
  <c r="CK14" i="1" s="1"/>
  <c r="AJ54" i="1"/>
  <c r="CK54" i="1" s="1"/>
  <c r="AS13" i="1"/>
  <c r="CT13" i="1" s="1"/>
  <c r="AQ41" i="1"/>
  <c r="CR41" i="1" s="1"/>
  <c r="AJ13" i="1"/>
  <c r="CK13" i="1" s="1"/>
  <c r="AN30" i="1"/>
  <c r="CO30" i="1" s="1"/>
  <c r="AN38" i="1"/>
  <c r="CO38" i="1" s="1"/>
  <c r="AP54" i="1"/>
  <c r="CQ54" i="1" s="1"/>
  <c r="AW41" i="1"/>
  <c r="CX41" i="1" s="1"/>
  <c r="P40" i="2" s="1"/>
  <c r="P87" i="8" s="1"/>
  <c r="DH16" i="1"/>
  <c r="AP16" i="1"/>
  <c r="CQ16" i="1" s="1"/>
  <c r="AL6" i="1"/>
  <c r="CM6" i="1" s="1"/>
  <c r="DH30" i="1"/>
  <c r="AW16" i="1"/>
  <c r="CX16" i="1" s="1"/>
  <c r="P15" i="2" s="1"/>
  <c r="P62" i="8" s="1"/>
  <c r="AU30" i="1"/>
  <c r="CV30" i="1" s="1"/>
  <c r="AW54" i="1"/>
  <c r="CX54" i="1" s="1"/>
  <c r="P53" i="2" s="1"/>
  <c r="P100" i="8" s="1"/>
  <c r="AI13" i="1"/>
  <c r="CJ13" i="1" s="1"/>
  <c r="AT16" i="1"/>
  <c r="CU16" i="1" s="1"/>
  <c r="AZ6" i="1"/>
  <c r="AN54" i="1"/>
  <c r="CO54" i="1" s="1"/>
  <c r="AU41" i="1"/>
  <c r="CV41" i="1" s="1"/>
  <c r="C26" i="5"/>
  <c r="C28" i="5"/>
  <c r="C27" i="5"/>
  <c r="G27" i="5"/>
  <c r="G26" i="5"/>
  <c r="G28" i="5"/>
  <c r="D26" i="5"/>
  <c r="D28" i="5"/>
  <c r="D27" i="5"/>
  <c r="F27" i="5"/>
  <c r="F26" i="5"/>
  <c r="F28" i="5"/>
  <c r="Q4" i="2"/>
  <c r="Q51" i="8" s="1"/>
  <c r="E26" i="5"/>
  <c r="E27" i="5"/>
  <c r="E28" i="5"/>
  <c r="P4" i="2"/>
  <c r="P51" i="8" s="1"/>
  <c r="B28" i="5"/>
  <c r="B27" i="5"/>
  <c r="BT49" i="1"/>
  <c r="BN23" i="1"/>
  <c r="BO31" i="1"/>
  <c r="BP37" i="1"/>
  <c r="BM39" i="1"/>
  <c r="BM51" i="1"/>
  <c r="BO50" i="1"/>
  <c r="BM24" i="1"/>
  <c r="BR39" i="1"/>
  <c r="BT39" i="1"/>
  <c r="BR43" i="1"/>
  <c r="BM43" i="1"/>
  <c r="BR45" i="1"/>
  <c r="BZ47" i="1"/>
  <c r="BU51" i="1"/>
  <c r="BU53" i="1"/>
  <c r="BV10" i="1"/>
  <c r="BX10" i="1"/>
  <c r="BQ10" i="1"/>
  <c r="BN12" i="1"/>
  <c r="BQ12" i="1"/>
  <c r="BQ18" i="1"/>
  <c r="BN20" i="1"/>
  <c r="BQ20" i="1"/>
  <c r="BN26" i="1"/>
  <c r="BQ26" i="1"/>
  <c r="BS34" i="1"/>
  <c r="BX34" i="1"/>
  <c r="BN36" i="1"/>
  <c r="BX36" i="1"/>
  <c r="BS42" i="1"/>
  <c r="BX42" i="1"/>
  <c r="BO44" i="1"/>
  <c r="BP50" i="1"/>
  <c r="BP52" i="1"/>
  <c r="BV24" i="1"/>
  <c r="BT24" i="1"/>
  <c r="BZ56" i="1"/>
  <c r="BR23" i="1"/>
  <c r="BP23" i="1"/>
  <c r="BP27" i="1"/>
  <c r="BW29" i="1"/>
  <c r="BU29" i="1"/>
  <c r="BY31" i="1"/>
  <c r="BP35" i="1"/>
  <c r="BW37" i="1"/>
  <c r="BY37" i="1"/>
  <c r="BZ10" i="1"/>
  <c r="BT10" i="1"/>
  <c r="BS12" i="1"/>
  <c r="BM12" i="1"/>
  <c r="BZ18" i="1"/>
  <c r="BT18" i="1"/>
  <c r="BT20" i="1"/>
  <c r="BM20" i="1"/>
  <c r="BS26" i="1"/>
  <c r="BM26" i="1"/>
  <c r="BW28" i="1"/>
  <c r="BV28" i="1"/>
  <c r="BR34" i="1"/>
  <c r="BV36" i="1"/>
  <c r="BT36" i="1"/>
  <c r="BT42" i="1"/>
  <c r="BR44" i="1"/>
  <c r="BM44" i="1"/>
  <c r="BR24" i="1"/>
  <c r="BY24" i="1"/>
  <c r="BV56" i="1"/>
  <c r="BS56" i="1"/>
  <c r="BN39" i="1"/>
  <c r="BN43" i="1"/>
  <c r="BT43" i="1"/>
  <c r="BZ45" i="1"/>
  <c r="BY45" i="1"/>
  <c r="BR47" i="1"/>
  <c r="BY47" i="1"/>
  <c r="BW12" i="1"/>
  <c r="BX12" i="1"/>
  <c r="BW18" i="1"/>
  <c r="BX18" i="1"/>
  <c r="BW20" i="1"/>
  <c r="BX20" i="1"/>
  <c r="BW26" i="1"/>
  <c r="BX26" i="1"/>
  <c r="BZ28" i="1"/>
  <c r="BQ28" i="1"/>
  <c r="BZ34" i="1"/>
  <c r="BQ34" i="1"/>
  <c r="BO36" i="1"/>
  <c r="BQ36" i="1"/>
  <c r="BZ42" i="1"/>
  <c r="BQ42" i="1"/>
  <c r="BX44" i="1"/>
  <c r="BQ44" i="1"/>
  <c r="BQ50" i="1"/>
  <c r="BW52" i="1"/>
  <c r="BS24" i="1"/>
  <c r="BR56" i="1"/>
  <c r="BX56" i="1"/>
  <c r="BY23" i="1"/>
  <c r="BR27" i="1"/>
  <c r="BY27" i="1"/>
  <c r="BP29" i="1"/>
  <c r="BP31" i="1"/>
  <c r="BN35" i="1"/>
  <c r="BY35" i="1"/>
  <c r="BW39" i="1"/>
  <c r="BS10" i="1"/>
  <c r="BV12" i="1"/>
  <c r="BT12" i="1"/>
  <c r="BV18" i="1"/>
  <c r="BS18" i="1"/>
  <c r="BV20" i="1"/>
  <c r="BS20" i="1"/>
  <c r="BV26" i="1"/>
  <c r="BT26" i="1"/>
  <c r="BS28" i="1"/>
  <c r="BT28" i="1"/>
  <c r="BN34" i="1"/>
  <c r="BT34" i="1"/>
  <c r="BS36" i="1"/>
  <c r="BR36" i="1"/>
  <c r="BM36" i="1"/>
  <c r="BR42" i="1"/>
  <c r="BT44" i="1"/>
  <c r="BW50" i="1"/>
  <c r="BM52" i="1"/>
  <c r="BP24" i="1"/>
  <c r="BY56" i="1"/>
  <c r="BU56" i="1"/>
  <c r="BT56" i="1"/>
  <c r="BW23" i="1"/>
  <c r="BN27" i="1"/>
  <c r="BO29" i="1"/>
  <c r="BQ29" i="1"/>
  <c r="BU31" i="1"/>
  <c r="BW35" i="1"/>
  <c r="BU35" i="1"/>
  <c r="BV39" i="1"/>
  <c r="BP39" i="1"/>
  <c r="BW43" i="1"/>
  <c r="BY43" i="1"/>
  <c r="BU45" i="1"/>
  <c r="BX45" i="1"/>
  <c r="BO47" i="1"/>
  <c r="BX47" i="1"/>
  <c r="BX51" i="1"/>
  <c r="BO55" i="1"/>
  <c r="BQ55" i="1"/>
  <c r="BX55" i="1"/>
  <c r="BX49" i="1"/>
  <c r="BO10" i="1"/>
  <c r="BP10" i="1"/>
  <c r="BO12" i="1"/>
  <c r="BP12" i="1"/>
  <c r="BO18" i="1"/>
  <c r="BR18" i="1"/>
  <c r="BP18" i="1"/>
  <c r="BY18" i="1"/>
  <c r="BR20" i="1"/>
  <c r="BP20" i="1"/>
  <c r="BY20" i="1"/>
  <c r="BR26" i="1"/>
  <c r="BP26" i="1"/>
  <c r="BY26" i="1"/>
  <c r="BO28" i="1"/>
  <c r="BP28" i="1"/>
  <c r="BY28" i="1"/>
  <c r="BW34" i="1"/>
  <c r="BP34" i="1"/>
  <c r="BY34" i="1"/>
  <c r="BP36" i="1"/>
  <c r="BY36" i="1"/>
  <c r="BW42" i="1"/>
  <c r="BP42" i="1"/>
  <c r="BY42" i="1"/>
  <c r="BV44" i="1"/>
  <c r="BP44" i="1"/>
  <c r="BY44" i="1"/>
  <c r="BR50" i="1"/>
  <c r="BZ50" i="1"/>
  <c r="BX50" i="1"/>
  <c r="BR52" i="1"/>
  <c r="BU52" i="1"/>
  <c r="BS52" i="1"/>
  <c r="BX52" i="1"/>
  <c r="BO24" i="1"/>
  <c r="BU24" i="1"/>
  <c r="BO56" i="1"/>
  <c r="BQ56" i="1"/>
  <c r="BP56" i="1"/>
  <c r="BO23" i="1"/>
  <c r="BV23" i="1"/>
  <c r="BX23" i="1"/>
  <c r="BQ23" i="1"/>
  <c r="BV27" i="1"/>
  <c r="BX27" i="1"/>
  <c r="BQ27" i="1"/>
  <c r="BS29" i="1"/>
  <c r="BV29" i="1"/>
  <c r="BZ29" i="1"/>
  <c r="BX29" i="1"/>
  <c r="BV31" i="1"/>
  <c r="BZ31" i="1"/>
  <c r="BX31" i="1"/>
  <c r="BQ31" i="1"/>
  <c r="BO35" i="1"/>
  <c r="BX35" i="1"/>
  <c r="BQ35" i="1"/>
  <c r="BS37" i="1"/>
  <c r="BZ37" i="1"/>
  <c r="BX37" i="1"/>
  <c r="BQ37" i="1"/>
  <c r="BS39" i="1"/>
  <c r="BU39" i="1"/>
  <c r="BV43" i="1"/>
  <c r="BO43" i="1"/>
  <c r="BS43" i="1"/>
  <c r="BU43" i="1"/>
  <c r="BV45" i="1"/>
  <c r="BT45" i="1"/>
  <c r="BV47" i="1"/>
  <c r="BT47" i="1"/>
  <c r="BV51" i="1"/>
  <c r="BW51" i="1"/>
  <c r="BQ51" i="1"/>
  <c r="BY51" i="1"/>
  <c r="BT51" i="1"/>
  <c r="BV53" i="1"/>
  <c r="BW53" i="1"/>
  <c r="BQ53" i="1"/>
  <c r="BY53" i="1"/>
  <c r="BT53" i="1"/>
  <c r="BV55" i="1"/>
  <c r="BY55" i="1"/>
  <c r="BR55" i="1"/>
  <c r="BS55" i="1"/>
  <c r="BT55" i="1"/>
  <c r="BW49" i="1"/>
  <c r="BU23" i="1"/>
  <c r="BW27" i="1"/>
  <c r="BU27" i="1"/>
  <c r="BS31" i="1"/>
  <c r="BV35" i="1"/>
  <c r="BS35" i="1"/>
  <c r="BV37" i="1"/>
  <c r="BU37" i="1"/>
  <c r="BO39" i="1"/>
  <c r="BY39" i="1"/>
  <c r="BP43" i="1"/>
  <c r="BO45" i="1"/>
  <c r="BS45" i="1"/>
  <c r="BU47" i="1"/>
  <c r="BS47" i="1"/>
  <c r="BO51" i="1"/>
  <c r="BX53" i="1"/>
  <c r="BW55" i="1"/>
  <c r="BR10" i="1"/>
  <c r="BY10" i="1"/>
  <c r="BR12" i="1"/>
  <c r="BY12" i="1"/>
  <c r="BW10" i="1"/>
  <c r="BU10" i="1"/>
  <c r="BU12" i="1"/>
  <c r="BU18" i="1"/>
  <c r="BO20" i="1"/>
  <c r="BU20" i="1"/>
  <c r="BO26" i="1"/>
  <c r="BU26" i="1"/>
  <c r="BX28" i="1"/>
  <c r="BR28" i="1"/>
  <c r="BU28" i="1"/>
  <c r="BV34" i="1"/>
  <c r="BO34" i="1"/>
  <c r="BU34" i="1"/>
  <c r="BW36" i="1"/>
  <c r="BU36" i="1"/>
  <c r="BV42" i="1"/>
  <c r="BO42" i="1"/>
  <c r="BU42" i="1"/>
  <c r="BN44" i="1"/>
  <c r="BW44" i="1"/>
  <c r="BS44" i="1"/>
  <c r="BU44" i="1"/>
  <c r="BY50" i="1"/>
  <c r="BV50" i="1"/>
  <c r="BU50" i="1"/>
  <c r="BS50" i="1"/>
  <c r="BT50" i="1"/>
  <c r="BY52" i="1"/>
  <c r="BQ52" i="1"/>
  <c r="BO52" i="1"/>
  <c r="BN52" i="1"/>
  <c r="BV52" i="1"/>
  <c r="BT52" i="1"/>
  <c r="BW24" i="1"/>
  <c r="BN24" i="1"/>
  <c r="BX24" i="1"/>
  <c r="BQ24" i="1"/>
  <c r="BW56" i="1"/>
  <c r="BZ23" i="1"/>
  <c r="BS23" i="1"/>
  <c r="BT23" i="1"/>
  <c r="BO27" i="1"/>
  <c r="BZ27" i="1"/>
  <c r="BS27" i="1"/>
  <c r="BT27" i="1"/>
  <c r="BN29" i="1"/>
  <c r="BR29" i="1"/>
  <c r="BT29" i="1"/>
  <c r="BY29" i="1"/>
  <c r="BW31" i="1"/>
  <c r="BR31" i="1"/>
  <c r="BT31" i="1"/>
  <c r="BR35" i="1"/>
  <c r="BT35" i="1"/>
  <c r="BM35" i="1"/>
  <c r="BR37" i="1"/>
  <c r="BT37" i="1"/>
  <c r="BX39" i="1"/>
  <c r="BQ39" i="1"/>
  <c r="BX43" i="1"/>
  <c r="BQ43" i="1"/>
  <c r="BW45" i="1"/>
  <c r="BQ45" i="1"/>
  <c r="BP45" i="1"/>
  <c r="BW47" i="1"/>
  <c r="BQ47" i="1"/>
  <c r="BP47" i="1"/>
  <c r="BS51" i="1"/>
  <c r="BR51" i="1"/>
  <c r="BN51" i="1"/>
  <c r="BP51" i="1"/>
  <c r="BS53" i="1"/>
  <c r="BR53" i="1"/>
  <c r="BZ53" i="1"/>
  <c r="BP53" i="1"/>
  <c r="BN55" i="1"/>
  <c r="BM55" i="1"/>
  <c r="BU55" i="1"/>
  <c r="BP55" i="1"/>
  <c r="BZ49" i="1"/>
  <c r="BR49" i="1"/>
  <c r="BU15" i="1"/>
  <c r="AD57" i="1"/>
  <c r="AF57" i="1"/>
  <c r="AG57" i="1"/>
  <c r="BB50" i="1"/>
  <c r="BD50" i="1" s="1"/>
  <c r="AE57" i="1"/>
  <c r="AB3" i="1"/>
  <c r="BH57" i="1"/>
  <c r="BJ57" i="1"/>
  <c r="BI57" i="1"/>
  <c r="BL57" i="1"/>
  <c r="BK57" i="1"/>
  <c r="CA57" i="1"/>
  <c r="BB10" i="1"/>
  <c r="BB23" i="1"/>
  <c r="BB53" i="1"/>
  <c r="AI57" i="1"/>
  <c r="AH57" i="1"/>
  <c r="AQ57" i="1"/>
  <c r="AS57" i="1"/>
  <c r="BB24" i="1"/>
  <c r="BB27" i="1"/>
  <c r="BB37" i="1"/>
  <c r="BB26" i="1"/>
  <c r="BB28" i="1"/>
  <c r="BB34" i="1"/>
  <c r="BB36" i="1"/>
  <c r="BB35" i="1"/>
  <c r="BB39" i="1"/>
  <c r="BB43" i="1"/>
  <c r="BB47" i="1"/>
  <c r="BB56" i="1"/>
  <c r="BB31" i="1"/>
  <c r="BB12" i="1"/>
  <c r="BB18" i="1"/>
  <c r="BB20" i="1"/>
  <c r="AK57" i="1"/>
  <c r="AT57" i="1"/>
  <c r="BB45" i="1"/>
  <c r="BB29" i="1"/>
  <c r="AO57" i="1"/>
  <c r="BB51" i="1"/>
  <c r="BB55" i="1"/>
  <c r="BB42" i="1"/>
  <c r="BB44" i="1"/>
  <c r="BB52" i="1"/>
  <c r="B13" i="5"/>
  <c r="C13" i="5"/>
  <c r="D13" i="5"/>
  <c r="E13" i="5"/>
  <c r="F13" i="5"/>
  <c r="G13" i="5"/>
  <c r="B14" i="5"/>
  <c r="C14" i="5"/>
  <c r="D14" i="5"/>
  <c r="E14" i="5"/>
  <c r="F14" i="5"/>
  <c r="G14" i="5"/>
  <c r="B15" i="5"/>
  <c r="C15" i="5"/>
  <c r="D15" i="5"/>
  <c r="E15" i="5"/>
  <c r="F15" i="5"/>
  <c r="G15" i="5"/>
  <c r="B16" i="5"/>
  <c r="C16" i="5"/>
  <c r="D16" i="5"/>
  <c r="E16" i="5"/>
  <c r="F16" i="5"/>
  <c r="G16" i="5"/>
  <c r="B17" i="5"/>
  <c r="C17" i="5"/>
  <c r="D17" i="5"/>
  <c r="E17" i="5"/>
  <c r="F17" i="5"/>
  <c r="G17" i="5"/>
  <c r="B18" i="5"/>
  <c r="C18" i="5"/>
  <c r="D18" i="5"/>
  <c r="E18" i="5"/>
  <c r="F18" i="5"/>
  <c r="G18" i="5"/>
  <c r="B19" i="5"/>
  <c r="C19" i="5"/>
  <c r="D19" i="5"/>
  <c r="E19" i="5"/>
  <c r="F19" i="5"/>
  <c r="G19" i="5"/>
  <c r="B20" i="5"/>
  <c r="C20" i="5"/>
  <c r="D20" i="5"/>
  <c r="E20" i="5"/>
  <c r="F20" i="5"/>
  <c r="G20" i="5"/>
  <c r="B21" i="5"/>
  <c r="C21" i="5"/>
  <c r="D21" i="5"/>
  <c r="E21" i="5"/>
  <c r="F21" i="5"/>
  <c r="G21" i="5"/>
  <c r="B22" i="5"/>
  <c r="C22" i="5"/>
  <c r="D22" i="5"/>
  <c r="E22" i="5"/>
  <c r="F22" i="5"/>
  <c r="G22" i="5"/>
  <c r="B23" i="5"/>
  <c r="C23" i="5"/>
  <c r="D23" i="5"/>
  <c r="E23" i="5"/>
  <c r="F23" i="5"/>
  <c r="G23" i="5"/>
  <c r="B24" i="5"/>
  <c r="C24" i="5"/>
  <c r="D24" i="5"/>
  <c r="E24" i="5"/>
  <c r="F24" i="5"/>
  <c r="G24" i="5"/>
  <c r="B25" i="5"/>
  <c r="C25" i="5"/>
  <c r="D25" i="5"/>
  <c r="E25" i="5"/>
  <c r="F25" i="5"/>
  <c r="G25" i="5"/>
  <c r="B26" i="5"/>
  <c r="AM57" i="1" l="1"/>
  <c r="AR57" i="1"/>
  <c r="CY57" i="1"/>
  <c r="AJ14" i="5" s="1"/>
  <c r="BX6" i="1"/>
  <c r="Q2" i="8"/>
  <c r="Q11" i="8" s="1"/>
  <c r="Q3" i="8"/>
  <c r="P2" i="8"/>
  <c r="P3" i="8"/>
  <c r="P11" i="8"/>
  <c r="AL57" i="1"/>
  <c r="Q12" i="8"/>
  <c r="Q44" i="8"/>
  <c r="BO6" i="1"/>
  <c r="CX57" i="1"/>
  <c r="AI14" i="5" s="1"/>
  <c r="AJ57" i="1"/>
  <c r="Q36" i="8"/>
  <c r="AN57" i="1"/>
  <c r="AP57" i="1"/>
  <c r="H27" i="5"/>
  <c r="AI15" i="5" s="1"/>
  <c r="I27" i="5"/>
  <c r="Q56" i="2"/>
  <c r="H28" i="5"/>
  <c r="AJ15" i="5" s="1"/>
  <c r="I28" i="5"/>
  <c r="P56" i="2"/>
  <c r="I26" i="5"/>
  <c r="H26" i="5"/>
  <c r="BU6" i="1"/>
  <c r="BU49" i="1"/>
  <c r="BO49" i="1"/>
  <c r="BR6" i="1"/>
  <c r="BV6" i="1"/>
  <c r="BW6" i="1"/>
  <c r="BY49" i="1"/>
  <c r="BN6" i="1"/>
  <c r="BP49" i="1"/>
  <c r="BY6" i="1"/>
  <c r="BV49" i="1"/>
  <c r="BT6" i="1"/>
  <c r="BB49" i="1"/>
  <c r="BE49" i="1" s="1"/>
  <c r="BB6" i="1"/>
  <c r="BE6" i="1" s="1"/>
  <c r="BQ49" i="1"/>
  <c r="BS49" i="1"/>
  <c r="BP6" i="1"/>
  <c r="BZ6" i="1"/>
  <c r="BQ6" i="1"/>
  <c r="BS6" i="1"/>
  <c r="CF24" i="1"/>
  <c r="BS15" i="1"/>
  <c r="BQ46" i="1"/>
  <c r="CF23" i="1"/>
  <c r="CG23" i="1" s="1"/>
  <c r="CZ37" i="1"/>
  <c r="CF26" i="1"/>
  <c r="CG26" i="1" s="1"/>
  <c r="BM15" i="1"/>
  <c r="CF53" i="1"/>
  <c r="CG53" i="1" s="1"/>
  <c r="BU8" i="1"/>
  <c r="CZ12" i="1"/>
  <c r="BP16" i="1"/>
  <c r="BX14" i="1"/>
  <c r="BY21" i="1"/>
  <c r="CZ47" i="1"/>
  <c r="BV15" i="1"/>
  <c r="BQ15" i="1"/>
  <c r="CF18" i="1"/>
  <c r="CG18" i="1" s="1"/>
  <c r="BX7" i="1"/>
  <c r="CF27" i="1"/>
  <c r="CG27" i="1" s="1"/>
  <c r="CF28" i="1"/>
  <c r="CG28" i="1" s="1"/>
  <c r="CZ31" i="1"/>
  <c r="BQ38" i="1"/>
  <c r="BR17" i="1"/>
  <c r="CF35" i="1"/>
  <c r="CG35" i="1" s="1"/>
  <c r="BR15" i="1"/>
  <c r="CF56" i="1"/>
  <c r="CG56" i="1" s="1"/>
  <c r="BU25" i="1"/>
  <c r="BR48" i="1"/>
  <c r="BQ25" i="1"/>
  <c r="BW14" i="1"/>
  <c r="CZ42" i="1"/>
  <c r="BS25" i="1"/>
  <c r="CF43" i="1"/>
  <c r="CG43" i="1" s="1"/>
  <c r="BV40" i="1"/>
  <c r="BW21" i="1"/>
  <c r="BR46" i="1"/>
  <c r="CF37" i="1"/>
  <c r="CG37" i="1" s="1"/>
  <c r="BU14" i="1"/>
  <c r="CZ28" i="1"/>
  <c r="BT21" i="1"/>
  <c r="CF50" i="1"/>
  <c r="CG50" i="1" s="1"/>
  <c r="CF39" i="1"/>
  <c r="CG39" i="1" s="1"/>
  <c r="CZ44" i="1"/>
  <c r="BT38" i="1"/>
  <c r="BS46" i="1"/>
  <c r="BV21" i="1"/>
  <c r="BS14" i="1"/>
  <c r="BM25" i="1"/>
  <c r="BW25" i="1"/>
  <c r="BX46" i="1"/>
  <c r="CZ56" i="1"/>
  <c r="CZ35" i="1"/>
  <c r="CZ18" i="1"/>
  <c r="BW38" i="1"/>
  <c r="BN14" i="1"/>
  <c r="BR25" i="1"/>
  <c r="BT11" i="1"/>
  <c r="BT25" i="1"/>
  <c r="CF55" i="1"/>
  <c r="CG55" i="1" s="1"/>
  <c r="CF51" i="1"/>
  <c r="CG51" i="1" s="1"/>
  <c r="CF45" i="1"/>
  <c r="CG45" i="1" s="1"/>
  <c r="BU46" i="1"/>
  <c r="CF47" i="1"/>
  <c r="CG47" i="1" s="1"/>
  <c r="BX15" i="1"/>
  <c r="BR38" i="1"/>
  <c r="CF52" i="1"/>
  <c r="CG52" i="1" s="1"/>
  <c r="CF44" i="1"/>
  <c r="CG44" i="1" s="1"/>
  <c r="BU32" i="1"/>
  <c r="BO32" i="1"/>
  <c r="BU22" i="1"/>
  <c r="BT22" i="1"/>
  <c r="BV22" i="1"/>
  <c r="BS22" i="1"/>
  <c r="BZ22" i="1"/>
  <c r="BQ22" i="1"/>
  <c r="BX9" i="1"/>
  <c r="BZ9" i="1"/>
  <c r="BR9" i="1"/>
  <c r="BY9" i="1"/>
  <c r="BS9" i="1"/>
  <c r="BV9" i="1"/>
  <c r="BP9" i="1"/>
  <c r="BU9" i="1"/>
  <c r="BT9" i="1"/>
  <c r="BW9" i="1"/>
  <c r="BO48" i="1"/>
  <c r="BT48" i="1"/>
  <c r="BM48" i="1"/>
  <c r="BS48" i="1"/>
  <c r="BV5" i="1"/>
  <c r="BP5" i="1"/>
  <c r="BQ5" i="1"/>
  <c r="BU5" i="1"/>
  <c r="BR5" i="1"/>
  <c r="BT5" i="1"/>
  <c r="BY5" i="1"/>
  <c r="BW5" i="1"/>
  <c r="BX5" i="1"/>
  <c r="BW8" i="1"/>
  <c r="BQ8" i="1"/>
  <c r="BX8" i="1"/>
  <c r="BS8" i="1"/>
  <c r="BY8" i="1"/>
  <c r="BZ8" i="1"/>
  <c r="BT8" i="1"/>
  <c r="BP8" i="1"/>
  <c r="BR8" i="1"/>
  <c r="BV8" i="1"/>
  <c r="BZ33" i="1"/>
  <c r="BZ5" i="1"/>
  <c r="BQ9" i="1"/>
  <c r="BV41" i="1"/>
  <c r="BU41" i="1"/>
  <c r="BY41" i="1"/>
  <c r="BW41" i="1"/>
  <c r="BP41" i="1"/>
  <c r="BS41" i="1"/>
  <c r="BZ41" i="1"/>
  <c r="BX41" i="1"/>
  <c r="BQ41" i="1"/>
  <c r="BR41" i="1"/>
  <c r="BU54" i="1"/>
  <c r="BX54" i="1"/>
  <c r="BR54" i="1"/>
  <c r="BQ54" i="1"/>
  <c r="BS54" i="1"/>
  <c r="BN54" i="1"/>
  <c r="BT54" i="1"/>
  <c r="BY54" i="1"/>
  <c r="BP54" i="1"/>
  <c r="BW54" i="1"/>
  <c r="BV54" i="1"/>
  <c r="BT30" i="1"/>
  <c r="BN30" i="1"/>
  <c r="BW30" i="1"/>
  <c r="BU30" i="1"/>
  <c r="BR30" i="1"/>
  <c r="BW22" i="1"/>
  <c r="BV19" i="1"/>
  <c r="BT19" i="1"/>
  <c r="BP19" i="1"/>
  <c r="BQ19" i="1"/>
  <c r="BU19" i="1"/>
  <c r="BX19" i="1"/>
  <c r="BZ19" i="1"/>
  <c r="BS19" i="1"/>
  <c r="BW19" i="1"/>
  <c r="BO19" i="1"/>
  <c r="BY19" i="1"/>
  <c r="BR19" i="1"/>
  <c r="BY13" i="1"/>
  <c r="BS11" i="1"/>
  <c r="BO11" i="1"/>
  <c r="BP11" i="1"/>
  <c r="BU11" i="1"/>
  <c r="BO41" i="1"/>
  <c r="BO54" i="1"/>
  <c r="BT7" i="1"/>
  <c r="BR7" i="1"/>
  <c r="BU7" i="1"/>
  <c r="BS16" i="1"/>
  <c r="BR16" i="1"/>
  <c r="BO16" i="1"/>
  <c r="BQ16" i="1"/>
  <c r="BT16" i="1"/>
  <c r="BY17" i="1"/>
  <c r="BQ17" i="1"/>
  <c r="BP17" i="1"/>
  <c r="BT17" i="1"/>
  <c r="BO17" i="1"/>
  <c r="BS17" i="1"/>
  <c r="BN17" i="1"/>
  <c r="BX17" i="1"/>
  <c r="BW17" i="1"/>
  <c r="BU17" i="1"/>
  <c r="BV17" i="1"/>
  <c r="BT41" i="1"/>
  <c r="BX11" i="1"/>
  <c r="CF42" i="1"/>
  <c r="CG42" i="1" s="1"/>
  <c r="CF10" i="1"/>
  <c r="CG10" i="1" s="1"/>
  <c r="CF12" i="1"/>
  <c r="CG12" i="1" s="1"/>
  <c r="BN48" i="1"/>
  <c r="BS32" i="1"/>
  <c r="BT40" i="1"/>
  <c r="BW40" i="1"/>
  <c r="BN40" i="1"/>
  <c r="BP40" i="1"/>
  <c r="BS40" i="1"/>
  <c r="BO40" i="1"/>
  <c r="BO30" i="1"/>
  <c r="BY40" i="1"/>
  <c r="CZ52" i="1"/>
  <c r="BY33" i="1"/>
  <c r="BR33" i="1"/>
  <c r="BW33" i="1"/>
  <c r="BN33" i="1"/>
  <c r="BS33" i="1"/>
  <c r="BQ33" i="1"/>
  <c r="BU33" i="1"/>
  <c r="BV33" i="1"/>
  <c r="BO33" i="1"/>
  <c r="BX33" i="1"/>
  <c r="BT33" i="1"/>
  <c r="BP33" i="1"/>
  <c r="BW7" i="1"/>
  <c r="BQ11" i="1"/>
  <c r="BX13" i="1"/>
  <c r="BO13" i="1"/>
  <c r="BS13" i="1"/>
  <c r="BQ13" i="1"/>
  <c r="BW13" i="1"/>
  <c r="BR13" i="1"/>
  <c r="BN13" i="1"/>
  <c r="BT13" i="1"/>
  <c r="BM13" i="1"/>
  <c r="BV13" i="1"/>
  <c r="BP13" i="1"/>
  <c r="BU13" i="1"/>
  <c r="BM40" i="1"/>
  <c r="BO8" i="1"/>
  <c r="CF29" i="1"/>
  <c r="CG29" i="1" s="1"/>
  <c r="BS5" i="1"/>
  <c r="CF31" i="1"/>
  <c r="CG31" i="1" s="1"/>
  <c r="CF20" i="1"/>
  <c r="CG20" i="1" s="1"/>
  <c r="BW32" i="1"/>
  <c r="CF34" i="1"/>
  <c r="CG34" i="1" s="1"/>
  <c r="CF36" i="1"/>
  <c r="CG36" i="1" s="1"/>
  <c r="BZ30" i="1"/>
  <c r="BZ54" i="1"/>
  <c r="CZ20" i="1"/>
  <c r="BZ7" i="1"/>
  <c r="CZ24" i="1"/>
  <c r="BV32" i="1"/>
  <c r="BR21" i="1"/>
  <c r="BX38" i="1"/>
  <c r="BO46" i="1"/>
  <c r="BU38" i="1"/>
  <c r="BS38" i="1"/>
  <c r="BN21" i="1"/>
  <c r="BP7" i="1"/>
  <c r="BV46" i="1"/>
  <c r="BT14" i="1"/>
  <c r="BY38" i="1"/>
  <c r="BV14" i="1"/>
  <c r="BY25" i="1"/>
  <c r="BY32" i="1"/>
  <c r="CZ23" i="1"/>
  <c r="CZ45" i="1"/>
  <c r="CZ36" i="1"/>
  <c r="CZ34" i="1"/>
  <c r="BZ21" i="1"/>
  <c r="BN25" i="1"/>
  <c r="BR11" i="1"/>
  <c r="BY48" i="1"/>
  <c r="CZ10" i="1"/>
  <c r="CZ43" i="1"/>
  <c r="CZ51" i="1"/>
  <c r="CZ39" i="1"/>
  <c r="BZ16" i="1"/>
  <c r="CZ26" i="1"/>
  <c r="BX32" i="1"/>
  <c r="BN32" i="1"/>
  <c r="BP22" i="1"/>
  <c r="BY30" i="1"/>
  <c r="BS30" i="1"/>
  <c r="BX21" i="1"/>
  <c r="BO21" i="1"/>
  <c r="BP15" i="1"/>
  <c r="BO15" i="1"/>
  <c r="BP48" i="1"/>
  <c r="BU48" i="1"/>
  <c r="BZ38" i="1"/>
  <c r="BY16" i="1"/>
  <c r="BV16" i="1"/>
  <c r="BW46" i="1"/>
  <c r="BQ14" i="1"/>
  <c r="BO14" i="1"/>
  <c r="BV25" i="1"/>
  <c r="BU40" i="1"/>
  <c r="BV30" i="1"/>
  <c r="BS21" i="1"/>
  <c r="BM32" i="1"/>
  <c r="BX25" i="1"/>
  <c r="BO25" i="1"/>
  <c r="BQ40" i="1"/>
  <c r="BR40" i="1"/>
  <c r="BX30" i="1"/>
  <c r="BX16" i="1"/>
  <c r="BW16" i="1"/>
  <c r="BQ32" i="1"/>
  <c r="BX22" i="1"/>
  <c r="BQ30" i="1"/>
  <c r="BP21" i="1"/>
  <c r="BW15" i="1"/>
  <c r="BY11" i="1"/>
  <c r="BW11" i="1"/>
  <c r="BX48" i="1"/>
  <c r="BV38" i="1"/>
  <c r="BY7" i="1"/>
  <c r="BW48" i="1"/>
  <c r="BU16" i="1"/>
  <c r="BM46" i="1"/>
  <c r="BR14" i="1"/>
  <c r="BT46" i="1"/>
  <c r="BY14" i="1"/>
  <c r="CZ50" i="1"/>
  <c r="CZ27" i="1"/>
  <c r="CZ29" i="1"/>
  <c r="CZ6" i="1"/>
  <c r="BZ17" i="1"/>
  <c r="BQ48" i="1"/>
  <c r="BU21" i="1"/>
  <c r="BR32" i="1"/>
  <c r="BS7" i="1"/>
  <c r="CZ53" i="1"/>
  <c r="CZ55" i="1"/>
  <c r="BY15" i="1"/>
  <c r="BN7" i="1"/>
  <c r="BP32" i="1"/>
  <c r="BR22" i="1"/>
  <c r="BV11" i="1"/>
  <c r="BV7" i="1"/>
  <c r="BY22" i="1"/>
  <c r="BO22" i="1"/>
  <c r="BQ21" i="1"/>
  <c r="BT15" i="1"/>
  <c r="BZ11" i="1"/>
  <c r="BQ7" i="1"/>
  <c r="BO7" i="1"/>
  <c r="BV48" i="1"/>
  <c r="BP46" i="1"/>
  <c r="BN46" i="1"/>
  <c r="BY46" i="1"/>
  <c r="BP14" i="1"/>
  <c r="BN11" i="1"/>
  <c r="BM14" i="1"/>
  <c r="BT32" i="1"/>
  <c r="BP25" i="1"/>
  <c r="BX40" i="1"/>
  <c r="BP30" i="1"/>
  <c r="BN16" i="1"/>
  <c r="BN15" i="1"/>
  <c r="BB19" i="1"/>
  <c r="BD19" i="1" s="1"/>
  <c r="BB13" i="1"/>
  <c r="BD13" i="1" s="1"/>
  <c r="CG24" i="1"/>
  <c r="BB38" i="1"/>
  <c r="BE38" i="1" s="1"/>
  <c r="BB46" i="1"/>
  <c r="BB14" i="1"/>
  <c r="BD14" i="1" s="1"/>
  <c r="BB11" i="1"/>
  <c r="BD11" i="1" s="1"/>
  <c r="BA57" i="1"/>
  <c r="BE50" i="1"/>
  <c r="BB5" i="1"/>
  <c r="BE5" i="1" s="1"/>
  <c r="BB33" i="1"/>
  <c r="BE33" i="1" s="1"/>
  <c r="BB7" i="1"/>
  <c r="BD7" i="1" s="1"/>
  <c r="BB21" i="1"/>
  <c r="BE21" i="1" s="1"/>
  <c r="BB15" i="1"/>
  <c r="BB16" i="1"/>
  <c r="BE16" i="1" s="1"/>
  <c r="BB22" i="1"/>
  <c r="BE22" i="1" s="1"/>
  <c r="BB8" i="1"/>
  <c r="BE8" i="1" s="1"/>
  <c r="BB30" i="1"/>
  <c r="BE30" i="1" s="1"/>
  <c r="BB9" i="1"/>
  <c r="BE9" i="1" s="1"/>
  <c r="BB17" i="1"/>
  <c r="AY57" i="1"/>
  <c r="CE57" i="1"/>
  <c r="BB54" i="1"/>
  <c r="BE54" i="1" s="1"/>
  <c r="BB32" i="1"/>
  <c r="CD57" i="1"/>
  <c r="CC57" i="1"/>
  <c r="BB41" i="1"/>
  <c r="BD41" i="1" s="1"/>
  <c r="AU57" i="1"/>
  <c r="BB40" i="1"/>
  <c r="BD40" i="1" s="1"/>
  <c r="AW57" i="1"/>
  <c r="BB25" i="1"/>
  <c r="BD25" i="1" s="1"/>
  <c r="BB48" i="1"/>
  <c r="BD48" i="1" s="1"/>
  <c r="CB57" i="1"/>
  <c r="AX57" i="1"/>
  <c r="AZ57" i="1"/>
  <c r="AV57" i="1"/>
  <c r="I14" i="5"/>
  <c r="I13" i="5"/>
  <c r="I23" i="5"/>
  <c r="I17" i="5"/>
  <c r="I21" i="5"/>
  <c r="I19" i="5"/>
  <c r="I25" i="5"/>
  <c r="I22" i="5"/>
  <c r="I16" i="5"/>
  <c r="I15" i="5"/>
  <c r="I24" i="5"/>
  <c r="I20" i="5"/>
  <c r="I18" i="5"/>
  <c r="BD20" i="1"/>
  <c r="BE20" i="1"/>
  <c r="BD39" i="1"/>
  <c r="BE39" i="1"/>
  <c r="BD24" i="1"/>
  <c r="BE24" i="1"/>
  <c r="BD51" i="1"/>
  <c r="BE51" i="1"/>
  <c r="BE18" i="1"/>
  <c r="BD18" i="1"/>
  <c r="BD35" i="1"/>
  <c r="BE35" i="1"/>
  <c r="BD27" i="1"/>
  <c r="BE27" i="1"/>
  <c r="BD44" i="1"/>
  <c r="BE44" i="1"/>
  <c r="BD12" i="1"/>
  <c r="BE12" i="1"/>
  <c r="BD28" i="1"/>
  <c r="BE28" i="1"/>
  <c r="BD55" i="1"/>
  <c r="BE55" i="1"/>
  <c r="BD36" i="1"/>
  <c r="BE36" i="1"/>
  <c r="BE37" i="1"/>
  <c r="BD37" i="1"/>
  <c r="BD23" i="1"/>
  <c r="BE23" i="1"/>
  <c r="BE52" i="1"/>
  <c r="BD52" i="1"/>
  <c r="BE29" i="1"/>
  <c r="BD29" i="1"/>
  <c r="BE56" i="1"/>
  <c r="BD56" i="1"/>
  <c r="BE34" i="1"/>
  <c r="BD34" i="1"/>
  <c r="BE10" i="1"/>
  <c r="BD10" i="1"/>
  <c r="BE45" i="1"/>
  <c r="BD45" i="1"/>
  <c r="BD47" i="1"/>
  <c r="BE47" i="1"/>
  <c r="BE42" i="1"/>
  <c r="BD42" i="1"/>
  <c r="BD31" i="1"/>
  <c r="BE31" i="1"/>
  <c r="BD43" i="1"/>
  <c r="BE43" i="1"/>
  <c r="BE26" i="1"/>
  <c r="BD26" i="1"/>
  <c r="BE53" i="1"/>
  <c r="BD53" i="1"/>
  <c r="H21" i="5"/>
  <c r="AC15" i="5" s="1"/>
  <c r="H17" i="5"/>
  <c r="Y15" i="5" s="1"/>
  <c r="H14" i="5"/>
  <c r="V15" i="5" s="1"/>
  <c r="H25" i="5"/>
  <c r="AG15" i="5" s="1"/>
  <c r="H23" i="5"/>
  <c r="AE15" i="5" s="1"/>
  <c r="H18" i="5"/>
  <c r="Z15" i="5" s="1"/>
  <c r="H16" i="5"/>
  <c r="X15" i="5" s="1"/>
  <c r="H15" i="5"/>
  <c r="W15" i="5" s="1"/>
  <c r="H24" i="5"/>
  <c r="AF15" i="5" s="1"/>
  <c r="H13" i="5"/>
  <c r="U15" i="5" s="1"/>
  <c r="H22" i="5"/>
  <c r="AD15" i="5" s="1"/>
  <c r="H20" i="5"/>
  <c r="AB15" i="5" s="1"/>
  <c r="H19" i="5"/>
  <c r="AA15" i="5" s="1"/>
  <c r="P28" i="8" l="1"/>
  <c r="P20" i="8"/>
  <c r="P36" i="8"/>
  <c r="P38" i="8"/>
  <c r="P43" i="8"/>
  <c r="P40" i="8"/>
  <c r="P19" i="8"/>
  <c r="P34" i="8"/>
  <c r="P33" i="8"/>
  <c r="P35" i="8"/>
  <c r="P15" i="8"/>
  <c r="P23" i="8"/>
  <c r="P39" i="8"/>
  <c r="P31" i="8"/>
  <c r="P13" i="8"/>
  <c r="P10" i="8" s="1"/>
  <c r="P14" i="8"/>
  <c r="P18" i="8"/>
  <c r="P21" i="8"/>
  <c r="P42" i="8"/>
  <c r="P17" i="8"/>
  <c r="P44" i="8"/>
  <c r="P45" i="8"/>
  <c r="P25" i="8"/>
  <c r="P29" i="8"/>
  <c r="P24" i="8"/>
  <c r="P30" i="8"/>
  <c r="P32" i="8"/>
  <c r="P27" i="8"/>
  <c r="P26" i="8"/>
  <c r="P16" i="8"/>
  <c r="P41" i="8"/>
  <c r="P37" i="8"/>
  <c r="Q45" i="8"/>
  <c r="Q19" i="8"/>
  <c r="Q24" i="8"/>
  <c r="Q33" i="8"/>
  <c r="Q31" i="8"/>
  <c r="Q39" i="8"/>
  <c r="Q23" i="8"/>
  <c r="Q20" i="8"/>
  <c r="Q30" i="8"/>
  <c r="Q35" i="8"/>
  <c r="Q15" i="8"/>
  <c r="Q28" i="8"/>
  <c r="Q41" i="8"/>
  <c r="Q16" i="8"/>
  <c r="Q43" i="8"/>
  <c r="Q27" i="8"/>
  <c r="Q40" i="8"/>
  <c r="Q26" i="8"/>
  <c r="Q29" i="8"/>
  <c r="Q14" i="8"/>
  <c r="Q17" i="8"/>
  <c r="Q32" i="8"/>
  <c r="Q21" i="8"/>
  <c r="Q25" i="8"/>
  <c r="Q42" i="8"/>
  <c r="Q18" i="8"/>
  <c r="Q34" i="8"/>
  <c r="Q13" i="8"/>
  <c r="Q10" i="8" s="1"/>
  <c r="Q22" i="8"/>
  <c r="Q38" i="8"/>
  <c r="Q37" i="8"/>
  <c r="BD49" i="1"/>
  <c r="P22" i="8"/>
  <c r="J28" i="5"/>
  <c r="Q103" i="8"/>
  <c r="J27" i="5"/>
  <c r="P103" i="8"/>
  <c r="P12" i="8"/>
  <c r="P8" i="8" s="1"/>
  <c r="K27" i="5"/>
  <c r="L27" i="5" s="1"/>
  <c r="I19" i="3" s="1"/>
  <c r="K28" i="5"/>
  <c r="L28" i="5" s="1"/>
  <c r="I20" i="3" s="1"/>
  <c r="BD6" i="1"/>
  <c r="U16" i="5" a="1"/>
  <c r="Z16" i="5" s="1"/>
  <c r="CF49" i="1"/>
  <c r="CG49" i="1" s="1"/>
  <c r="CF6" i="1"/>
  <c r="CG6" i="1" s="1"/>
  <c r="CZ49" i="1"/>
  <c r="CZ7" i="1"/>
  <c r="CZ22" i="1"/>
  <c r="CZ14" i="1"/>
  <c r="CZ16" i="1"/>
  <c r="CZ9" i="1"/>
  <c r="CZ46" i="1"/>
  <c r="CZ5" i="1"/>
  <c r="CZ11" i="1"/>
  <c r="CZ8" i="1"/>
  <c r="CZ15" i="1"/>
  <c r="CZ13" i="1"/>
  <c r="CZ41" i="1"/>
  <c r="CZ38" i="1"/>
  <c r="CZ33" i="1"/>
  <c r="CZ19" i="1"/>
  <c r="CF54" i="1"/>
  <c r="CG54" i="1" s="1"/>
  <c r="BE19" i="1"/>
  <c r="BE11" i="1"/>
  <c r="CZ32" i="1"/>
  <c r="CZ21" i="1"/>
  <c r="CZ25" i="1"/>
  <c r="CF38" i="1"/>
  <c r="CG38" i="1" s="1"/>
  <c r="CF8" i="1"/>
  <c r="CG8" i="1" s="1"/>
  <c r="CZ30" i="1"/>
  <c r="CZ54" i="1"/>
  <c r="CZ40" i="1"/>
  <c r="CZ17" i="1"/>
  <c r="CF15" i="1"/>
  <c r="CG15" i="1" s="1"/>
  <c r="CF25" i="1"/>
  <c r="CG25" i="1" s="1"/>
  <c r="CF40" i="1"/>
  <c r="CG40" i="1" s="1"/>
  <c r="CF41" i="1"/>
  <c r="CG41" i="1" s="1"/>
  <c r="CF30" i="1"/>
  <c r="CG30" i="1" s="1"/>
  <c r="BZ57" i="1"/>
  <c r="CZ48" i="1"/>
  <c r="CF48" i="1"/>
  <c r="CG48" i="1" s="1"/>
  <c r="CF9" i="1"/>
  <c r="CG9" i="1" s="1"/>
  <c r="CF33" i="1"/>
  <c r="CG33" i="1" s="1"/>
  <c r="BO57" i="1"/>
  <c r="CF17" i="1"/>
  <c r="CG17" i="1" s="1"/>
  <c r="BT57" i="1"/>
  <c r="BD30" i="1"/>
  <c r="CF16" i="1"/>
  <c r="CG16" i="1" s="1"/>
  <c r="BX57" i="1"/>
  <c r="BV57" i="1"/>
  <c r="BE13" i="1"/>
  <c r="BE46" i="1"/>
  <c r="CF14" i="1"/>
  <c r="CG14" i="1" s="1"/>
  <c r="CF22" i="1"/>
  <c r="CG22" i="1" s="1"/>
  <c r="CF21" i="1"/>
  <c r="CG21" i="1" s="1"/>
  <c r="BS57" i="1"/>
  <c r="BW57" i="1"/>
  <c r="BU57" i="1"/>
  <c r="CF7" i="1"/>
  <c r="CG7" i="1" s="1"/>
  <c r="BN57" i="1"/>
  <c r="BP57" i="1"/>
  <c r="CF13" i="1"/>
  <c r="CG13" i="1" s="1"/>
  <c r="CF19" i="1"/>
  <c r="CG19" i="1" s="1"/>
  <c r="BR57" i="1"/>
  <c r="BD54" i="1"/>
  <c r="BD32" i="1"/>
  <c r="CF5" i="1"/>
  <c r="CG5" i="1" s="1"/>
  <c r="CF11" i="1"/>
  <c r="CG11" i="1" s="1"/>
  <c r="CF46" i="1"/>
  <c r="CG46" i="1" s="1"/>
  <c r="CF32" i="1"/>
  <c r="CG32" i="1" s="1"/>
  <c r="BM57" i="1"/>
  <c r="BY57" i="1"/>
  <c r="BQ57" i="1"/>
  <c r="BE25" i="1"/>
  <c r="BD46" i="1"/>
  <c r="BD22" i="1"/>
  <c r="BD16" i="1"/>
  <c r="BD38" i="1"/>
  <c r="BE48" i="1"/>
  <c r="BE15" i="1"/>
  <c r="BD9" i="1"/>
  <c r="BD15" i="1"/>
  <c r="BD33" i="1"/>
  <c r="BD21" i="1"/>
  <c r="BE32" i="1"/>
  <c r="BE14" i="1"/>
  <c r="BE40" i="1"/>
  <c r="BE41" i="1"/>
  <c r="BD5" i="1"/>
  <c r="BE7" i="1"/>
  <c r="BB57" i="1"/>
  <c r="BE57" i="1" s="1"/>
  <c r="BE17" i="1"/>
  <c r="BD17" i="1"/>
  <c r="BD8" i="1"/>
  <c r="CJ57" i="1"/>
  <c r="U14" i="5" s="1"/>
  <c r="D4" i="2"/>
  <c r="D51" i="8" s="1"/>
  <c r="H4" i="2"/>
  <c r="H51" i="8" s="1"/>
  <c r="I4" i="2"/>
  <c r="I51" i="8" s="1"/>
  <c r="L4" i="2"/>
  <c r="L51" i="8" s="1"/>
  <c r="B5" i="2"/>
  <c r="B52" i="8" s="1"/>
  <c r="C5" i="2"/>
  <c r="C52" i="8" s="1"/>
  <c r="F5" i="2"/>
  <c r="F52" i="8" s="1"/>
  <c r="G5" i="2"/>
  <c r="G52" i="8" s="1"/>
  <c r="J5" i="2"/>
  <c r="J52" i="8" s="1"/>
  <c r="K5" i="2"/>
  <c r="K52" i="8" s="1"/>
  <c r="N5" i="2"/>
  <c r="N52" i="8" s="1"/>
  <c r="O5" i="2"/>
  <c r="O52" i="8" s="1"/>
  <c r="D6" i="2"/>
  <c r="D53" i="8" s="1"/>
  <c r="H6" i="2"/>
  <c r="H53" i="8" s="1"/>
  <c r="L6" i="2"/>
  <c r="L53" i="8" s="1"/>
  <c r="C7" i="2"/>
  <c r="C54" i="8" s="1"/>
  <c r="F7" i="2"/>
  <c r="F54" i="8" s="1"/>
  <c r="G7" i="2"/>
  <c r="G54" i="8" s="1"/>
  <c r="J7" i="2"/>
  <c r="J54" i="8" s="1"/>
  <c r="K7" i="2"/>
  <c r="K54" i="8" s="1"/>
  <c r="N7" i="2"/>
  <c r="N54" i="8" s="1"/>
  <c r="D8" i="2"/>
  <c r="D55" i="8" s="1"/>
  <c r="E8" i="2"/>
  <c r="E55" i="8" s="1"/>
  <c r="H8" i="2"/>
  <c r="H55" i="8" s="1"/>
  <c r="I8" i="2"/>
  <c r="I55" i="8" s="1"/>
  <c r="L8" i="2"/>
  <c r="L55" i="8" s="1"/>
  <c r="B9" i="2"/>
  <c r="B56" i="8" s="1"/>
  <c r="F9" i="2"/>
  <c r="F56" i="8" s="1"/>
  <c r="G9" i="2"/>
  <c r="G56" i="8" s="1"/>
  <c r="J9" i="2"/>
  <c r="J56" i="8" s="1"/>
  <c r="K9" i="2"/>
  <c r="K56" i="8" s="1"/>
  <c r="N9" i="2"/>
  <c r="N56" i="8" s="1"/>
  <c r="O9" i="2"/>
  <c r="O56" i="8" s="1"/>
  <c r="D10" i="2"/>
  <c r="D57" i="8" s="1"/>
  <c r="E10" i="2"/>
  <c r="E57" i="8" s="1"/>
  <c r="H10" i="2"/>
  <c r="H57" i="8" s="1"/>
  <c r="I10" i="2"/>
  <c r="I57" i="8" s="1"/>
  <c r="L10" i="2"/>
  <c r="L57" i="8" s="1"/>
  <c r="B11" i="2"/>
  <c r="B58" i="8" s="1"/>
  <c r="F11" i="2"/>
  <c r="F58" i="8" s="1"/>
  <c r="J11" i="2"/>
  <c r="J58" i="8" s="1"/>
  <c r="K11" i="2"/>
  <c r="K58" i="8" s="1"/>
  <c r="N11" i="2"/>
  <c r="N58" i="8" s="1"/>
  <c r="O11" i="2"/>
  <c r="O58" i="8" s="1"/>
  <c r="D12" i="2"/>
  <c r="D59" i="8" s="1"/>
  <c r="E12" i="2"/>
  <c r="E59" i="8" s="1"/>
  <c r="H12" i="2"/>
  <c r="H59" i="8" s="1"/>
  <c r="L12" i="2"/>
  <c r="L59" i="8" s="1"/>
  <c r="B13" i="2"/>
  <c r="B60" i="8" s="1"/>
  <c r="F13" i="2"/>
  <c r="F60" i="8" s="1"/>
  <c r="G13" i="2"/>
  <c r="G60" i="8" s="1"/>
  <c r="J13" i="2"/>
  <c r="J60" i="8" s="1"/>
  <c r="K13" i="2"/>
  <c r="K60" i="8" s="1"/>
  <c r="N13" i="2"/>
  <c r="N60" i="8" s="1"/>
  <c r="D14" i="2"/>
  <c r="D61" i="8" s="1"/>
  <c r="H14" i="2"/>
  <c r="H61" i="8" s="1"/>
  <c r="I14" i="2"/>
  <c r="I61" i="8" s="1"/>
  <c r="M14" i="2"/>
  <c r="M61" i="8" s="1"/>
  <c r="B15" i="2"/>
  <c r="B62" i="8" s="1"/>
  <c r="F15" i="2"/>
  <c r="F62" i="8" s="1"/>
  <c r="J15" i="2"/>
  <c r="J62" i="8" s="1"/>
  <c r="N15" i="2"/>
  <c r="N62" i="8" s="1"/>
  <c r="D16" i="2"/>
  <c r="D63" i="8" s="1"/>
  <c r="E16" i="2"/>
  <c r="E63" i="8" s="1"/>
  <c r="H16" i="2"/>
  <c r="H63" i="8" s="1"/>
  <c r="I16" i="2"/>
  <c r="I63" i="8" s="1"/>
  <c r="L16" i="2"/>
  <c r="L63" i="8" s="1"/>
  <c r="B17" i="2"/>
  <c r="B64" i="8" s="1"/>
  <c r="F17" i="2"/>
  <c r="F64" i="8" s="1"/>
  <c r="G17" i="2"/>
  <c r="G64" i="8" s="1"/>
  <c r="J17" i="2"/>
  <c r="J64" i="8" s="1"/>
  <c r="K17" i="2"/>
  <c r="K64" i="8" s="1"/>
  <c r="O17" i="2"/>
  <c r="O64" i="8" s="1"/>
  <c r="D18" i="2"/>
  <c r="D65" i="8" s="1"/>
  <c r="E18" i="2"/>
  <c r="E65" i="8" s="1"/>
  <c r="H18" i="2"/>
  <c r="H65" i="8" s="1"/>
  <c r="L18" i="2"/>
  <c r="L65" i="8" s="1"/>
  <c r="M18" i="2"/>
  <c r="M65" i="8" s="1"/>
  <c r="B19" i="2"/>
  <c r="B66" i="8" s="1"/>
  <c r="F19" i="2"/>
  <c r="F66" i="8" s="1"/>
  <c r="J19" i="2"/>
  <c r="J66" i="8" s="1"/>
  <c r="N19" i="2"/>
  <c r="N66" i="8" s="1"/>
  <c r="O19" i="2"/>
  <c r="O66" i="8" s="1"/>
  <c r="D20" i="2"/>
  <c r="D67" i="8" s="1"/>
  <c r="H20" i="2"/>
  <c r="H67" i="8" s="1"/>
  <c r="L20" i="2"/>
  <c r="L67" i="8" s="1"/>
  <c r="M20" i="2"/>
  <c r="M67" i="8" s="1"/>
  <c r="B21" i="2"/>
  <c r="B68" i="8" s="1"/>
  <c r="C21" i="2"/>
  <c r="C68" i="8" s="1"/>
  <c r="F21" i="2"/>
  <c r="F68" i="8" s="1"/>
  <c r="J21" i="2"/>
  <c r="J68" i="8" s="1"/>
  <c r="N21" i="2"/>
  <c r="N68" i="8" s="1"/>
  <c r="D22" i="2"/>
  <c r="D69" i="8" s="1"/>
  <c r="E22" i="2"/>
  <c r="E69" i="8" s="1"/>
  <c r="H22" i="2"/>
  <c r="H69" i="8" s="1"/>
  <c r="I22" i="2"/>
  <c r="I69" i="8" s="1"/>
  <c r="L22" i="2"/>
  <c r="L69" i="8" s="1"/>
  <c r="B23" i="2"/>
  <c r="B70" i="8" s="1"/>
  <c r="F23" i="2"/>
  <c r="F70" i="8" s="1"/>
  <c r="J23" i="2"/>
  <c r="J70" i="8" s="1"/>
  <c r="K23" i="2"/>
  <c r="K70" i="8" s="1"/>
  <c r="N23" i="2"/>
  <c r="N70" i="8" s="1"/>
  <c r="O23" i="2"/>
  <c r="O70" i="8" s="1"/>
  <c r="D24" i="2"/>
  <c r="D71" i="8" s="1"/>
  <c r="H24" i="2"/>
  <c r="H71" i="8" s="1"/>
  <c r="I24" i="2"/>
  <c r="I71" i="8" s="1"/>
  <c r="L24" i="2"/>
  <c r="L71" i="8" s="1"/>
  <c r="M24" i="2"/>
  <c r="M71" i="8" s="1"/>
  <c r="B25" i="2"/>
  <c r="B72" i="8" s="1"/>
  <c r="F25" i="2"/>
  <c r="F72" i="8" s="1"/>
  <c r="G25" i="2"/>
  <c r="G72" i="8" s="1"/>
  <c r="J25" i="2"/>
  <c r="J72" i="8" s="1"/>
  <c r="K25" i="2"/>
  <c r="K72" i="8" s="1"/>
  <c r="N25" i="2"/>
  <c r="N72" i="8" s="1"/>
  <c r="O25" i="2"/>
  <c r="O72" i="8" s="1"/>
  <c r="D26" i="2"/>
  <c r="D73" i="8" s="1"/>
  <c r="E26" i="2"/>
  <c r="E73" i="8" s="1"/>
  <c r="H26" i="2"/>
  <c r="H73" i="8" s="1"/>
  <c r="I26" i="2"/>
  <c r="I73" i="8" s="1"/>
  <c r="L26" i="2"/>
  <c r="L73" i="8" s="1"/>
  <c r="B27" i="2"/>
  <c r="B74" i="8" s="1"/>
  <c r="F27" i="2"/>
  <c r="F74" i="8" s="1"/>
  <c r="G27" i="2"/>
  <c r="G74" i="8" s="1"/>
  <c r="J27" i="2"/>
  <c r="J74" i="8" s="1"/>
  <c r="K27" i="2"/>
  <c r="K74" i="8" s="1"/>
  <c r="N27" i="2"/>
  <c r="N74" i="8" s="1"/>
  <c r="D28" i="2"/>
  <c r="D75" i="8" s="1"/>
  <c r="E28" i="2"/>
  <c r="E75" i="8" s="1"/>
  <c r="H28" i="2"/>
  <c r="H75" i="8" s="1"/>
  <c r="L28" i="2"/>
  <c r="L75" i="8" s="1"/>
  <c r="B29" i="2"/>
  <c r="B76" i="8" s="1"/>
  <c r="C29" i="2"/>
  <c r="C76" i="8" s="1"/>
  <c r="F29" i="2"/>
  <c r="F76" i="8" s="1"/>
  <c r="G29" i="2"/>
  <c r="G76" i="8" s="1"/>
  <c r="J29" i="2"/>
  <c r="J76" i="8" s="1"/>
  <c r="N29" i="2"/>
  <c r="N76" i="8" s="1"/>
  <c r="D30" i="2"/>
  <c r="D77" i="8" s="1"/>
  <c r="E30" i="2"/>
  <c r="E77" i="8" s="1"/>
  <c r="H30" i="2"/>
  <c r="H77" i="8" s="1"/>
  <c r="I30" i="2"/>
  <c r="I77" i="8" s="1"/>
  <c r="L30" i="2"/>
  <c r="L77" i="8" s="1"/>
  <c r="B31" i="2"/>
  <c r="B78" i="8" s="1"/>
  <c r="C31" i="2"/>
  <c r="C78" i="8" s="1"/>
  <c r="F31" i="2"/>
  <c r="F78" i="8" s="1"/>
  <c r="G31" i="2"/>
  <c r="G78" i="8" s="1"/>
  <c r="J31" i="2"/>
  <c r="J78" i="8" s="1"/>
  <c r="N31" i="2"/>
  <c r="N78" i="8" s="1"/>
  <c r="O31" i="2"/>
  <c r="O78" i="8" s="1"/>
  <c r="D32" i="2"/>
  <c r="D79" i="8" s="1"/>
  <c r="E32" i="2"/>
  <c r="E79" i="8" s="1"/>
  <c r="H32" i="2"/>
  <c r="H79" i="8" s="1"/>
  <c r="I32" i="2"/>
  <c r="I79" i="8" s="1"/>
  <c r="L32" i="2"/>
  <c r="L79" i="8" s="1"/>
  <c r="B33" i="2"/>
  <c r="B80" i="8" s="1"/>
  <c r="C33" i="2"/>
  <c r="C80" i="8" s="1"/>
  <c r="F33" i="2"/>
  <c r="F80" i="8" s="1"/>
  <c r="G33" i="2"/>
  <c r="G80" i="8" s="1"/>
  <c r="J33" i="2"/>
  <c r="J80" i="8" s="1"/>
  <c r="K33" i="2"/>
  <c r="K80" i="8" s="1"/>
  <c r="N33" i="2"/>
  <c r="N80" i="8" s="1"/>
  <c r="D34" i="2"/>
  <c r="D81" i="8" s="1"/>
  <c r="H34" i="2"/>
  <c r="H81" i="8" s="1"/>
  <c r="I34" i="2"/>
  <c r="I81" i="8" s="1"/>
  <c r="L34" i="2"/>
  <c r="L81" i="8" s="1"/>
  <c r="M34" i="2"/>
  <c r="M81" i="8" s="1"/>
  <c r="B35" i="2"/>
  <c r="B82" i="8" s="1"/>
  <c r="F35" i="2"/>
  <c r="F82" i="8" s="1"/>
  <c r="G35" i="2"/>
  <c r="G82" i="8" s="1"/>
  <c r="J35" i="2"/>
  <c r="J82" i="8" s="1"/>
  <c r="N35" i="2"/>
  <c r="N82" i="8" s="1"/>
  <c r="O35" i="2"/>
  <c r="O82" i="8" s="1"/>
  <c r="D36" i="2"/>
  <c r="D83" i="8" s="1"/>
  <c r="E36" i="2"/>
  <c r="E83" i="8" s="1"/>
  <c r="H36" i="2"/>
  <c r="H83" i="8" s="1"/>
  <c r="I36" i="2"/>
  <c r="I83" i="8" s="1"/>
  <c r="L36" i="2"/>
  <c r="L83" i="8" s="1"/>
  <c r="B37" i="2"/>
  <c r="B84" i="8" s="1"/>
  <c r="C37" i="2"/>
  <c r="C84" i="8" s="1"/>
  <c r="F37" i="2"/>
  <c r="F84" i="8" s="1"/>
  <c r="G37" i="2"/>
  <c r="G84" i="8" s="1"/>
  <c r="J37" i="2"/>
  <c r="J84" i="8" s="1"/>
  <c r="K37" i="2"/>
  <c r="K84" i="8" s="1"/>
  <c r="N37" i="2"/>
  <c r="N84" i="8" s="1"/>
  <c r="D38" i="2"/>
  <c r="D85" i="8" s="1"/>
  <c r="H38" i="2"/>
  <c r="H85" i="8" s="1"/>
  <c r="I38" i="2"/>
  <c r="I85" i="8" s="1"/>
  <c r="L38" i="2"/>
  <c r="L85" i="8" s="1"/>
  <c r="B39" i="2"/>
  <c r="B86" i="8" s="1"/>
  <c r="C39" i="2"/>
  <c r="C86" i="8" s="1"/>
  <c r="F39" i="2"/>
  <c r="F86" i="8" s="1"/>
  <c r="J39" i="2"/>
  <c r="J86" i="8" s="1"/>
  <c r="K39" i="2"/>
  <c r="K86" i="8" s="1"/>
  <c r="N39" i="2"/>
  <c r="N86" i="8" s="1"/>
  <c r="D40" i="2"/>
  <c r="D87" i="8" s="1"/>
  <c r="E40" i="2"/>
  <c r="E87" i="8" s="1"/>
  <c r="H40" i="2"/>
  <c r="H87" i="8" s="1"/>
  <c r="L40" i="2"/>
  <c r="L87" i="8" s="1"/>
  <c r="C41" i="2"/>
  <c r="C88" i="8" s="1"/>
  <c r="F41" i="2"/>
  <c r="F88" i="8" s="1"/>
  <c r="G41" i="2"/>
  <c r="G88" i="8" s="1"/>
  <c r="J41" i="2"/>
  <c r="J88" i="8" s="1"/>
  <c r="N41" i="2"/>
  <c r="N88" i="8" s="1"/>
  <c r="D42" i="2"/>
  <c r="D89" i="8" s="1"/>
  <c r="E42" i="2"/>
  <c r="E89" i="8" s="1"/>
  <c r="H42" i="2"/>
  <c r="H89" i="8" s="1"/>
  <c r="L42" i="2"/>
  <c r="L89" i="8" s="1"/>
  <c r="M42" i="2"/>
  <c r="M89" i="8" s="1"/>
  <c r="B43" i="2"/>
  <c r="B90" i="8" s="1"/>
  <c r="F43" i="2"/>
  <c r="F90" i="8" s="1"/>
  <c r="G43" i="2"/>
  <c r="G90" i="8" s="1"/>
  <c r="J43" i="2"/>
  <c r="J90" i="8" s="1"/>
  <c r="N43" i="2"/>
  <c r="N90" i="8" s="1"/>
  <c r="O43" i="2"/>
  <c r="O90" i="8" s="1"/>
  <c r="D44" i="2"/>
  <c r="D91" i="8" s="1"/>
  <c r="H44" i="2"/>
  <c r="H91" i="8" s="1"/>
  <c r="I44" i="2"/>
  <c r="I91" i="8" s="1"/>
  <c r="L44" i="2"/>
  <c r="L91" i="8" s="1"/>
  <c r="B45" i="2"/>
  <c r="B92" i="8" s="1"/>
  <c r="F45" i="2"/>
  <c r="F92" i="8" s="1"/>
  <c r="G45" i="2"/>
  <c r="G92" i="8" s="1"/>
  <c r="J45" i="2"/>
  <c r="J92" i="8" s="1"/>
  <c r="K45" i="2"/>
  <c r="K92" i="8" s="1"/>
  <c r="N45" i="2"/>
  <c r="N92" i="8" s="1"/>
  <c r="O45" i="2"/>
  <c r="O92" i="8" s="1"/>
  <c r="D46" i="2"/>
  <c r="D93" i="8" s="1"/>
  <c r="H46" i="2"/>
  <c r="H93" i="8" s="1"/>
  <c r="L46" i="2"/>
  <c r="L93" i="8" s="1"/>
  <c r="M46" i="2"/>
  <c r="M93" i="8" s="1"/>
  <c r="B47" i="2"/>
  <c r="B94" i="8" s="1"/>
  <c r="C47" i="2"/>
  <c r="C94" i="8" s="1"/>
  <c r="F47" i="2"/>
  <c r="F94" i="8" s="1"/>
  <c r="G47" i="2"/>
  <c r="G94" i="8" s="1"/>
  <c r="J47" i="2"/>
  <c r="J94" i="8" s="1"/>
  <c r="N47" i="2"/>
  <c r="N94" i="8" s="1"/>
  <c r="O47" i="2"/>
  <c r="O94" i="8" s="1"/>
  <c r="D48" i="2"/>
  <c r="D95" i="8" s="1"/>
  <c r="H48" i="2"/>
  <c r="H95" i="8" s="1"/>
  <c r="L48" i="2"/>
  <c r="L95" i="8" s="1"/>
  <c r="M48" i="2"/>
  <c r="M95" i="8" s="1"/>
  <c r="B49" i="2"/>
  <c r="B96" i="8" s="1"/>
  <c r="F49" i="2"/>
  <c r="F96" i="8" s="1"/>
  <c r="J49" i="2"/>
  <c r="J96" i="8" s="1"/>
  <c r="N49" i="2"/>
  <c r="N96" i="8" s="1"/>
  <c r="O49" i="2"/>
  <c r="O96" i="8" s="1"/>
  <c r="E50" i="2"/>
  <c r="E97" i="8" s="1"/>
  <c r="H50" i="2"/>
  <c r="H97" i="8" s="1"/>
  <c r="I50" i="2"/>
  <c r="I97" i="8" s="1"/>
  <c r="L50" i="2"/>
  <c r="L97" i="8" s="1"/>
  <c r="B51" i="2"/>
  <c r="B98" i="8" s="1"/>
  <c r="C51" i="2"/>
  <c r="C98" i="8" s="1"/>
  <c r="F51" i="2"/>
  <c r="F98" i="8" s="1"/>
  <c r="J51" i="2"/>
  <c r="J98" i="8" s="1"/>
  <c r="K51" i="2"/>
  <c r="K98" i="8" s="1"/>
  <c r="N51" i="2"/>
  <c r="N98" i="8" s="1"/>
  <c r="D52" i="2"/>
  <c r="D99" i="8" s="1"/>
  <c r="H52" i="2"/>
  <c r="H99" i="8" s="1"/>
  <c r="I52" i="2"/>
  <c r="I99" i="8" s="1"/>
  <c r="L52" i="2"/>
  <c r="L99" i="8" s="1"/>
  <c r="B53" i="2"/>
  <c r="B100" i="8" s="1"/>
  <c r="C53" i="2"/>
  <c r="C100" i="8" s="1"/>
  <c r="F53" i="2"/>
  <c r="F100" i="8" s="1"/>
  <c r="G53" i="2"/>
  <c r="G100" i="8" s="1"/>
  <c r="J53" i="2"/>
  <c r="J100" i="8" s="1"/>
  <c r="K53" i="2"/>
  <c r="K100" i="8" s="1"/>
  <c r="N53" i="2"/>
  <c r="N100" i="8" s="1"/>
  <c r="D54" i="2"/>
  <c r="D101" i="8" s="1"/>
  <c r="E54" i="2"/>
  <c r="E101" i="8" s="1"/>
  <c r="H54" i="2"/>
  <c r="H101" i="8" s="1"/>
  <c r="I54" i="2"/>
  <c r="I101" i="8" s="1"/>
  <c r="L54" i="2"/>
  <c r="L101" i="8" s="1"/>
  <c r="B55" i="2"/>
  <c r="B102" i="8" s="1"/>
  <c r="C55" i="2"/>
  <c r="C102" i="8" s="1"/>
  <c r="F55" i="2"/>
  <c r="F102" i="8" s="1"/>
  <c r="J55" i="2"/>
  <c r="J102" i="8" s="1"/>
  <c r="K55" i="2"/>
  <c r="K102" i="8" s="1"/>
  <c r="N55" i="2"/>
  <c r="N102" i="8" s="1"/>
  <c r="O55" i="2"/>
  <c r="O102" i="8" s="1"/>
  <c r="CN57" i="1"/>
  <c r="Y14" i="5" s="1"/>
  <c r="CO57" i="1"/>
  <c r="Z14" i="5" s="1"/>
  <c r="CR57" i="1"/>
  <c r="AC14" i="5" s="1"/>
  <c r="CS57" i="1"/>
  <c r="AD14" i="5" s="1"/>
  <c r="CV57" i="1"/>
  <c r="AG14" i="5" s="1"/>
  <c r="CW57" i="1"/>
  <c r="AH14" i="5" s="1"/>
  <c r="CK57" i="1"/>
  <c r="V14" i="5" s="1"/>
  <c r="B6" i="2"/>
  <c r="B53" i="8" s="1"/>
  <c r="B7" i="2"/>
  <c r="B54" i="8" s="1"/>
  <c r="B10" i="2"/>
  <c r="B57" i="8" s="1"/>
  <c r="B14" i="2"/>
  <c r="B61" i="8" s="1"/>
  <c r="B34" i="2"/>
  <c r="B81" i="8" s="1"/>
  <c r="B38" i="2"/>
  <c r="B85" i="8" s="1"/>
  <c r="B46" i="2"/>
  <c r="B93" i="8" s="1"/>
  <c r="C3" i="2"/>
  <c r="D3" i="2"/>
  <c r="D50" i="8" s="1"/>
  <c r="E3" i="2"/>
  <c r="F3" i="2"/>
  <c r="F50" i="8" s="1"/>
  <c r="G3" i="2"/>
  <c r="G50" i="8" s="1"/>
  <c r="H3" i="2"/>
  <c r="H50" i="8" s="1"/>
  <c r="I3" i="2"/>
  <c r="J3" i="2"/>
  <c r="J50" i="8" s="1"/>
  <c r="K3" i="2"/>
  <c r="K50" i="8" s="1"/>
  <c r="L3" i="2"/>
  <c r="L50" i="8" s="1"/>
  <c r="M3" i="2"/>
  <c r="N3" i="2"/>
  <c r="N50" i="8" s="1"/>
  <c r="O3" i="2"/>
  <c r="B3" i="2"/>
  <c r="B50" i="8" s="1"/>
  <c r="C24" i="3"/>
  <c r="C42" i="4"/>
  <c r="D42" i="4"/>
  <c r="E42" i="4"/>
  <c r="F42" i="4"/>
  <c r="G42" i="4"/>
  <c r="H42" i="4"/>
  <c r="E6" i="2"/>
  <c r="E53" i="8" s="1"/>
  <c r="O6" i="2"/>
  <c r="O53" i="8" s="1"/>
  <c r="L7" i="2"/>
  <c r="L54" i="8" s="1"/>
  <c r="G8" i="2"/>
  <c r="G55" i="8" s="1"/>
  <c r="E9" i="2"/>
  <c r="E56" i="8" s="1"/>
  <c r="M10" i="2"/>
  <c r="M57" i="8" s="1"/>
  <c r="H11" i="2"/>
  <c r="H58" i="8" s="1"/>
  <c r="F12" i="2"/>
  <c r="F59" i="8" s="1"/>
  <c r="O12" i="2"/>
  <c r="O59" i="8" s="1"/>
  <c r="C13" i="2"/>
  <c r="C60" i="8" s="1"/>
  <c r="M13" i="2"/>
  <c r="M60" i="8" s="1"/>
  <c r="J14" i="2"/>
  <c r="J61" i="8" s="1"/>
  <c r="G15" i="2"/>
  <c r="G62" i="8" s="1"/>
  <c r="B16" i="2"/>
  <c r="B63" i="8" s="1"/>
  <c r="C16" i="2"/>
  <c r="C63" i="8" s="1"/>
  <c r="K16" i="2"/>
  <c r="K63" i="8" s="1"/>
  <c r="D17" i="2"/>
  <c r="D64" i="8" s="1"/>
  <c r="I17" i="2"/>
  <c r="I64" i="8" s="1"/>
  <c r="K18" i="2"/>
  <c r="K65" i="8" s="1"/>
  <c r="C19" i="2"/>
  <c r="C66" i="8" s="1"/>
  <c r="D19" i="2"/>
  <c r="D66" i="8" s="1"/>
  <c r="L19" i="2"/>
  <c r="L66" i="8" s="1"/>
  <c r="C20" i="2"/>
  <c r="C67" i="8" s="1"/>
  <c r="J20" i="2"/>
  <c r="J67" i="8" s="1"/>
  <c r="K20" i="2"/>
  <c r="K67" i="8" s="1"/>
  <c r="E21" i="2"/>
  <c r="E68" i="8" s="1"/>
  <c r="M22" i="2"/>
  <c r="M69" i="8" s="1"/>
  <c r="D23" i="2"/>
  <c r="D70" i="8" s="1"/>
  <c r="L23" i="2"/>
  <c r="L70" i="8" s="1"/>
  <c r="C24" i="2"/>
  <c r="C71" i="8" s="1"/>
  <c r="F24" i="2"/>
  <c r="F71" i="8" s="1"/>
  <c r="K24" i="2"/>
  <c r="K71" i="8" s="1"/>
  <c r="E25" i="2"/>
  <c r="E72" i="8" s="1"/>
  <c r="M25" i="2"/>
  <c r="M72" i="8" s="1"/>
  <c r="F26" i="2"/>
  <c r="F73" i="8" s="1"/>
  <c r="M26" i="2"/>
  <c r="M73" i="8" s="1"/>
  <c r="D27" i="2"/>
  <c r="D74" i="8" s="1"/>
  <c r="L27" i="2"/>
  <c r="L74" i="8" s="1"/>
  <c r="B28" i="2"/>
  <c r="B75" i="8" s="1"/>
  <c r="C28" i="2"/>
  <c r="C75" i="8" s="1"/>
  <c r="G28" i="2"/>
  <c r="G75" i="8" s="1"/>
  <c r="I28" i="2"/>
  <c r="I75" i="8" s="1"/>
  <c r="N28" i="2"/>
  <c r="N75" i="8" s="1"/>
  <c r="E29" i="2"/>
  <c r="E76" i="8" s="1"/>
  <c r="I29" i="2"/>
  <c r="I76" i="8" s="1"/>
  <c r="K29" i="2"/>
  <c r="K76" i="8" s="1"/>
  <c r="M30" i="2"/>
  <c r="M77" i="8" s="1"/>
  <c r="D31" i="2"/>
  <c r="D78" i="8" s="1"/>
  <c r="H31" i="2"/>
  <c r="H78" i="8" s="1"/>
  <c r="I31" i="2"/>
  <c r="I78" i="8" s="1"/>
  <c r="F32" i="2"/>
  <c r="F79" i="8" s="1"/>
  <c r="J32" i="2"/>
  <c r="J79" i="8" s="1"/>
  <c r="K32" i="2"/>
  <c r="K79" i="8" s="1"/>
  <c r="O32" i="2"/>
  <c r="O79" i="8" s="1"/>
  <c r="L33" i="2"/>
  <c r="L80" i="8" s="1"/>
  <c r="E34" i="2"/>
  <c r="E81" i="8" s="1"/>
  <c r="J34" i="2"/>
  <c r="J81" i="8" s="1"/>
  <c r="C35" i="2"/>
  <c r="C82" i="8" s="1"/>
  <c r="D35" i="2"/>
  <c r="D82" i="8" s="1"/>
  <c r="H35" i="2"/>
  <c r="H82" i="8" s="1"/>
  <c r="K35" i="2"/>
  <c r="K82" i="8" s="1"/>
  <c r="L35" i="2"/>
  <c r="L82" i="8" s="1"/>
  <c r="B36" i="2"/>
  <c r="B83" i="8" s="1"/>
  <c r="F36" i="2"/>
  <c r="F83" i="8" s="1"/>
  <c r="J36" i="2"/>
  <c r="J83" i="8" s="1"/>
  <c r="N36" i="2"/>
  <c r="N83" i="8" s="1"/>
  <c r="H37" i="2"/>
  <c r="H84" i="8" s="1"/>
  <c r="L37" i="2"/>
  <c r="L84" i="8" s="1"/>
  <c r="E38" i="2"/>
  <c r="E85" i="8" s="1"/>
  <c r="F38" i="2"/>
  <c r="F85" i="8" s="1"/>
  <c r="M38" i="2"/>
  <c r="M85" i="8" s="1"/>
  <c r="N38" i="2"/>
  <c r="N85" i="8" s="1"/>
  <c r="D39" i="2"/>
  <c r="D86" i="8" s="1"/>
  <c r="G39" i="2"/>
  <c r="G86" i="8" s="1"/>
  <c r="H39" i="2"/>
  <c r="H86" i="8" s="1"/>
  <c r="L39" i="2"/>
  <c r="L86" i="8" s="1"/>
  <c r="O39" i="2"/>
  <c r="O86" i="8" s="1"/>
  <c r="B40" i="2"/>
  <c r="B87" i="8" s="1"/>
  <c r="F40" i="2"/>
  <c r="F87" i="8" s="1"/>
  <c r="J40" i="2"/>
  <c r="J87" i="8" s="1"/>
  <c r="N40" i="2"/>
  <c r="N87" i="8" s="1"/>
  <c r="D41" i="2"/>
  <c r="D88" i="8" s="1"/>
  <c r="H41" i="2"/>
  <c r="H88" i="8" s="1"/>
  <c r="F42" i="2"/>
  <c r="F89" i="8" s="1"/>
  <c r="I42" i="2"/>
  <c r="I89" i="8" s="1"/>
  <c r="N42" i="2"/>
  <c r="N89" i="8" s="1"/>
  <c r="C43" i="2"/>
  <c r="C90" i="8" s="1"/>
  <c r="D43" i="2"/>
  <c r="D90" i="8" s="1"/>
  <c r="H43" i="2"/>
  <c r="H90" i="8" s="1"/>
  <c r="K43" i="2"/>
  <c r="K90" i="8" s="1"/>
  <c r="L43" i="2"/>
  <c r="L90" i="8" s="1"/>
  <c r="B44" i="2"/>
  <c r="B91" i="8" s="1"/>
  <c r="F44" i="2"/>
  <c r="F91" i="8" s="1"/>
  <c r="J44" i="2"/>
  <c r="J91" i="8" s="1"/>
  <c r="N44" i="2"/>
  <c r="N91" i="8" s="1"/>
  <c r="D45" i="2"/>
  <c r="D92" i="8" s="1"/>
  <c r="E46" i="2"/>
  <c r="E93" i="8" s="1"/>
  <c r="I46" i="2"/>
  <c r="I93" i="8" s="1"/>
  <c r="J46" i="2"/>
  <c r="J93" i="8" s="1"/>
  <c r="D47" i="2"/>
  <c r="D94" i="8" s="1"/>
  <c r="H47" i="2"/>
  <c r="H94" i="8" s="1"/>
  <c r="K47" i="2"/>
  <c r="K94" i="8" s="1"/>
  <c r="L47" i="2"/>
  <c r="L94" i="8" s="1"/>
  <c r="B48" i="2"/>
  <c r="B95" i="8" s="1"/>
  <c r="F48" i="2"/>
  <c r="F95" i="8" s="1"/>
  <c r="J48" i="2"/>
  <c r="J95" i="8" s="1"/>
  <c r="N48" i="2"/>
  <c r="N95" i="8" s="1"/>
  <c r="H49" i="2"/>
  <c r="H96" i="8" s="1"/>
  <c r="K49" i="2"/>
  <c r="K96" i="8" s="1"/>
  <c r="B50" i="2"/>
  <c r="B97" i="8" s="1"/>
  <c r="J50" i="2"/>
  <c r="J97" i="8" s="1"/>
  <c r="M50" i="2"/>
  <c r="M97" i="8" s="1"/>
  <c r="D51" i="2"/>
  <c r="D98" i="8" s="1"/>
  <c r="G51" i="2"/>
  <c r="G98" i="8" s="1"/>
  <c r="H51" i="2"/>
  <c r="H98" i="8" s="1"/>
  <c r="L51" i="2"/>
  <c r="L98" i="8" s="1"/>
  <c r="O51" i="2"/>
  <c r="O98" i="8" s="1"/>
  <c r="B52" i="2"/>
  <c r="B99" i="8" s="1"/>
  <c r="F52" i="2"/>
  <c r="F99" i="8" s="1"/>
  <c r="J52" i="2"/>
  <c r="J99" i="8" s="1"/>
  <c r="N52" i="2"/>
  <c r="N99" i="8" s="1"/>
  <c r="H53" i="2"/>
  <c r="H100" i="8" s="1"/>
  <c r="B54" i="2"/>
  <c r="B101" i="8" s="1"/>
  <c r="J54" i="2"/>
  <c r="J101" i="8" s="1"/>
  <c r="M54" i="2"/>
  <c r="M101" i="8" s="1"/>
  <c r="D55" i="2"/>
  <c r="D102" i="8" s="1"/>
  <c r="G55" i="2"/>
  <c r="G102" i="8" s="1"/>
  <c r="H55" i="2"/>
  <c r="H102" i="8" s="1"/>
  <c r="L55" i="2"/>
  <c r="L102" i="8" s="1"/>
  <c r="C4" i="2"/>
  <c r="C51" i="8" s="1"/>
  <c r="F4" i="2"/>
  <c r="F51" i="8" s="1"/>
  <c r="G4" i="2"/>
  <c r="G51" i="8" s="1"/>
  <c r="J4" i="2"/>
  <c r="J51" i="8" s="1"/>
  <c r="K4" i="2"/>
  <c r="K51" i="8" s="1"/>
  <c r="N4" i="2"/>
  <c r="N51" i="8" s="1"/>
  <c r="O4" i="2"/>
  <c r="O51" i="8" s="1"/>
  <c r="E4" i="2"/>
  <c r="E51" i="8" s="1"/>
  <c r="M4" i="2"/>
  <c r="M51" i="8" s="1"/>
  <c r="D5" i="2"/>
  <c r="D52" i="8" s="1"/>
  <c r="E5" i="2"/>
  <c r="E52" i="8" s="1"/>
  <c r="H5" i="2"/>
  <c r="H52" i="8" s="1"/>
  <c r="I5" i="2"/>
  <c r="I52" i="8" s="1"/>
  <c r="L5" i="2"/>
  <c r="L52" i="8" s="1"/>
  <c r="M5" i="2"/>
  <c r="M52" i="8" s="1"/>
  <c r="C6" i="2"/>
  <c r="C53" i="8" s="1"/>
  <c r="F6" i="2"/>
  <c r="F53" i="8" s="1"/>
  <c r="G6" i="2"/>
  <c r="G53" i="8" s="1"/>
  <c r="I6" i="2"/>
  <c r="I53" i="8" s="1"/>
  <c r="J6" i="2"/>
  <c r="J53" i="8" s="1"/>
  <c r="K6" i="2"/>
  <c r="K53" i="8" s="1"/>
  <c r="M6" i="2"/>
  <c r="M53" i="8" s="1"/>
  <c r="N6" i="2"/>
  <c r="N53" i="8" s="1"/>
  <c r="D7" i="2"/>
  <c r="D54" i="8" s="1"/>
  <c r="E7" i="2"/>
  <c r="E54" i="8" s="1"/>
  <c r="H7" i="2"/>
  <c r="H54" i="8" s="1"/>
  <c r="I7" i="2"/>
  <c r="I54" i="8" s="1"/>
  <c r="M7" i="2"/>
  <c r="M54" i="8" s="1"/>
  <c r="O7" i="2"/>
  <c r="O54" i="8" s="1"/>
  <c r="C8" i="2"/>
  <c r="C55" i="8" s="1"/>
  <c r="F8" i="2"/>
  <c r="F55" i="8" s="1"/>
  <c r="J8" i="2"/>
  <c r="J55" i="8" s="1"/>
  <c r="K8" i="2"/>
  <c r="K55" i="8" s="1"/>
  <c r="M8" i="2"/>
  <c r="M55" i="8" s="1"/>
  <c r="N8" i="2"/>
  <c r="N55" i="8" s="1"/>
  <c r="O8" i="2"/>
  <c r="O55" i="8" s="1"/>
  <c r="C9" i="2"/>
  <c r="C56" i="8" s="1"/>
  <c r="D9" i="2"/>
  <c r="D56" i="8" s="1"/>
  <c r="H9" i="2"/>
  <c r="H56" i="8" s="1"/>
  <c r="I9" i="2"/>
  <c r="I56" i="8" s="1"/>
  <c r="L9" i="2"/>
  <c r="L56" i="8" s="1"/>
  <c r="M9" i="2"/>
  <c r="M56" i="8" s="1"/>
  <c r="C10" i="2"/>
  <c r="C57" i="8" s="1"/>
  <c r="F10" i="2"/>
  <c r="F57" i="8" s="1"/>
  <c r="G10" i="2"/>
  <c r="G57" i="8" s="1"/>
  <c r="J10" i="2"/>
  <c r="J57" i="8" s="1"/>
  <c r="K10" i="2"/>
  <c r="K57" i="8" s="1"/>
  <c r="N10" i="2"/>
  <c r="N57" i="8" s="1"/>
  <c r="O10" i="2"/>
  <c r="O57" i="8" s="1"/>
  <c r="C11" i="2"/>
  <c r="C58" i="8" s="1"/>
  <c r="D11" i="2"/>
  <c r="D58" i="8" s="1"/>
  <c r="E11" i="2"/>
  <c r="E58" i="8" s="1"/>
  <c r="G11" i="2"/>
  <c r="G58" i="8" s="1"/>
  <c r="I11" i="2"/>
  <c r="I58" i="8" s="1"/>
  <c r="L11" i="2"/>
  <c r="L58" i="8" s="1"/>
  <c r="M11" i="2"/>
  <c r="M58" i="8" s="1"/>
  <c r="C12" i="2"/>
  <c r="C59" i="8" s="1"/>
  <c r="G12" i="2"/>
  <c r="G59" i="8" s="1"/>
  <c r="I12" i="2"/>
  <c r="I59" i="8" s="1"/>
  <c r="J12" i="2"/>
  <c r="J59" i="8" s="1"/>
  <c r="K12" i="2"/>
  <c r="K59" i="8" s="1"/>
  <c r="M12" i="2"/>
  <c r="M59" i="8" s="1"/>
  <c r="N12" i="2"/>
  <c r="N59" i="8" s="1"/>
  <c r="D13" i="2"/>
  <c r="D60" i="8" s="1"/>
  <c r="E13" i="2"/>
  <c r="E60" i="8" s="1"/>
  <c r="H13" i="2"/>
  <c r="H60" i="8" s="1"/>
  <c r="I13" i="2"/>
  <c r="I60" i="8" s="1"/>
  <c r="L13" i="2"/>
  <c r="L60" i="8" s="1"/>
  <c r="O13" i="2"/>
  <c r="O60" i="8" s="1"/>
  <c r="C14" i="2"/>
  <c r="C61" i="8" s="1"/>
  <c r="E14" i="2"/>
  <c r="E61" i="8" s="1"/>
  <c r="F14" i="2"/>
  <c r="F61" i="8" s="1"/>
  <c r="G14" i="2"/>
  <c r="G61" i="8" s="1"/>
  <c r="K14" i="2"/>
  <c r="K61" i="8" s="1"/>
  <c r="L14" i="2"/>
  <c r="L61" i="8" s="1"/>
  <c r="N14" i="2"/>
  <c r="N61" i="8" s="1"/>
  <c r="O14" i="2"/>
  <c r="O61" i="8" s="1"/>
  <c r="C15" i="2"/>
  <c r="C62" i="8" s="1"/>
  <c r="D15" i="2"/>
  <c r="D62" i="8" s="1"/>
  <c r="E15" i="2"/>
  <c r="E62" i="8" s="1"/>
  <c r="H15" i="2"/>
  <c r="H62" i="8" s="1"/>
  <c r="I15" i="2"/>
  <c r="I62" i="8" s="1"/>
  <c r="K15" i="2"/>
  <c r="K62" i="8" s="1"/>
  <c r="L15" i="2"/>
  <c r="L62" i="8" s="1"/>
  <c r="M15" i="2"/>
  <c r="M62" i="8" s="1"/>
  <c r="O15" i="2"/>
  <c r="O62" i="8" s="1"/>
  <c r="F16" i="2"/>
  <c r="F63" i="8" s="1"/>
  <c r="G16" i="2"/>
  <c r="G63" i="8" s="1"/>
  <c r="J16" i="2"/>
  <c r="J63" i="8" s="1"/>
  <c r="M16" i="2"/>
  <c r="M63" i="8" s="1"/>
  <c r="N16" i="2"/>
  <c r="N63" i="8" s="1"/>
  <c r="O16" i="2"/>
  <c r="O63" i="8" s="1"/>
  <c r="C17" i="2"/>
  <c r="C64" i="8" s="1"/>
  <c r="E17" i="2"/>
  <c r="E64" i="8" s="1"/>
  <c r="H17" i="2"/>
  <c r="H64" i="8" s="1"/>
  <c r="L17" i="2"/>
  <c r="L64" i="8" s="1"/>
  <c r="M17" i="2"/>
  <c r="M64" i="8" s="1"/>
  <c r="N17" i="2"/>
  <c r="N64" i="8" s="1"/>
  <c r="C18" i="2"/>
  <c r="C65" i="8" s="1"/>
  <c r="F18" i="2"/>
  <c r="F65" i="8" s="1"/>
  <c r="G18" i="2"/>
  <c r="G65" i="8" s="1"/>
  <c r="I18" i="2"/>
  <c r="I65" i="8" s="1"/>
  <c r="J18" i="2"/>
  <c r="J65" i="8" s="1"/>
  <c r="N18" i="2"/>
  <c r="N65" i="8" s="1"/>
  <c r="O18" i="2"/>
  <c r="O65" i="8" s="1"/>
  <c r="E19" i="2"/>
  <c r="E66" i="8" s="1"/>
  <c r="G19" i="2"/>
  <c r="G66" i="8" s="1"/>
  <c r="H19" i="2"/>
  <c r="H66" i="8" s="1"/>
  <c r="I19" i="2"/>
  <c r="I66" i="8" s="1"/>
  <c r="K19" i="2"/>
  <c r="K66" i="8" s="1"/>
  <c r="M19" i="2"/>
  <c r="M66" i="8" s="1"/>
  <c r="E20" i="2"/>
  <c r="E67" i="8" s="1"/>
  <c r="F20" i="2"/>
  <c r="F67" i="8" s="1"/>
  <c r="G20" i="2"/>
  <c r="G67" i="8" s="1"/>
  <c r="I20" i="2"/>
  <c r="I67" i="8" s="1"/>
  <c r="N20" i="2"/>
  <c r="N67" i="8" s="1"/>
  <c r="O20" i="2"/>
  <c r="O67" i="8" s="1"/>
  <c r="D21" i="2"/>
  <c r="D68" i="8" s="1"/>
  <c r="G21" i="2"/>
  <c r="G68" i="8" s="1"/>
  <c r="H21" i="2"/>
  <c r="H68" i="8" s="1"/>
  <c r="I21" i="2"/>
  <c r="I68" i="8" s="1"/>
  <c r="K21" i="2"/>
  <c r="K68" i="8" s="1"/>
  <c r="L21" i="2"/>
  <c r="L68" i="8" s="1"/>
  <c r="M21" i="2"/>
  <c r="M68" i="8" s="1"/>
  <c r="O21" i="2"/>
  <c r="O68" i="8" s="1"/>
  <c r="C22" i="2"/>
  <c r="C69" i="8" s="1"/>
  <c r="F22" i="2"/>
  <c r="F69" i="8" s="1"/>
  <c r="G22" i="2"/>
  <c r="G69" i="8" s="1"/>
  <c r="J22" i="2"/>
  <c r="J69" i="8" s="1"/>
  <c r="K22" i="2"/>
  <c r="K69" i="8" s="1"/>
  <c r="N22" i="2"/>
  <c r="N69" i="8" s="1"/>
  <c r="O22" i="2"/>
  <c r="O69" i="8" s="1"/>
  <c r="C23" i="2"/>
  <c r="C70" i="8" s="1"/>
  <c r="E23" i="2"/>
  <c r="E70" i="8" s="1"/>
  <c r="G23" i="2"/>
  <c r="G70" i="8" s="1"/>
  <c r="H23" i="2"/>
  <c r="H70" i="8" s="1"/>
  <c r="I23" i="2"/>
  <c r="I70" i="8" s="1"/>
  <c r="M23" i="2"/>
  <c r="M70" i="8" s="1"/>
  <c r="E24" i="2"/>
  <c r="E71" i="8" s="1"/>
  <c r="G24" i="2"/>
  <c r="G71" i="8" s="1"/>
  <c r="J24" i="2"/>
  <c r="J71" i="8" s="1"/>
  <c r="N24" i="2"/>
  <c r="N71" i="8" s="1"/>
  <c r="O24" i="2"/>
  <c r="O71" i="8" s="1"/>
  <c r="C25" i="2"/>
  <c r="C72" i="8" s="1"/>
  <c r="D25" i="2"/>
  <c r="D72" i="8" s="1"/>
  <c r="H25" i="2"/>
  <c r="H72" i="8" s="1"/>
  <c r="I25" i="2"/>
  <c r="I72" i="8" s="1"/>
  <c r="L25" i="2"/>
  <c r="L72" i="8" s="1"/>
  <c r="C26" i="2"/>
  <c r="C73" i="8" s="1"/>
  <c r="G26" i="2"/>
  <c r="G73" i="8" s="1"/>
  <c r="J26" i="2"/>
  <c r="J73" i="8" s="1"/>
  <c r="K26" i="2"/>
  <c r="K73" i="8" s="1"/>
  <c r="N26" i="2"/>
  <c r="N73" i="8" s="1"/>
  <c r="O26" i="2"/>
  <c r="O73" i="8" s="1"/>
  <c r="C27" i="2"/>
  <c r="C74" i="8" s="1"/>
  <c r="E27" i="2"/>
  <c r="E74" i="8" s="1"/>
  <c r="H27" i="2"/>
  <c r="H74" i="8" s="1"/>
  <c r="I27" i="2"/>
  <c r="I74" i="8" s="1"/>
  <c r="M27" i="2"/>
  <c r="M74" i="8" s="1"/>
  <c r="O27" i="2"/>
  <c r="O74" i="8" s="1"/>
  <c r="F28" i="2"/>
  <c r="F75" i="8" s="1"/>
  <c r="J28" i="2"/>
  <c r="J75" i="8" s="1"/>
  <c r="K28" i="2"/>
  <c r="K75" i="8" s="1"/>
  <c r="M28" i="2"/>
  <c r="M75" i="8" s="1"/>
  <c r="O28" i="2"/>
  <c r="O75" i="8" s="1"/>
  <c r="D29" i="2"/>
  <c r="D76" i="8" s="1"/>
  <c r="H29" i="2"/>
  <c r="H76" i="8" s="1"/>
  <c r="L29" i="2"/>
  <c r="L76" i="8" s="1"/>
  <c r="M29" i="2"/>
  <c r="M76" i="8" s="1"/>
  <c r="O29" i="2"/>
  <c r="O76" i="8" s="1"/>
  <c r="C30" i="2"/>
  <c r="C77" i="8" s="1"/>
  <c r="F30" i="2"/>
  <c r="F77" i="8" s="1"/>
  <c r="G30" i="2"/>
  <c r="G77" i="8" s="1"/>
  <c r="J30" i="2"/>
  <c r="J77" i="8" s="1"/>
  <c r="K30" i="2"/>
  <c r="K77" i="8" s="1"/>
  <c r="N30" i="2"/>
  <c r="N77" i="8" s="1"/>
  <c r="O30" i="2"/>
  <c r="O77" i="8" s="1"/>
  <c r="E31" i="2"/>
  <c r="E78" i="8" s="1"/>
  <c r="K31" i="2"/>
  <c r="K78" i="8" s="1"/>
  <c r="L31" i="2"/>
  <c r="L78" i="8" s="1"/>
  <c r="M31" i="2"/>
  <c r="M78" i="8" s="1"/>
  <c r="C32" i="2"/>
  <c r="C79" i="8" s="1"/>
  <c r="G32" i="2"/>
  <c r="G79" i="8" s="1"/>
  <c r="M32" i="2"/>
  <c r="M79" i="8" s="1"/>
  <c r="N32" i="2"/>
  <c r="N79" i="8" s="1"/>
  <c r="D33" i="2"/>
  <c r="D80" i="8" s="1"/>
  <c r="E33" i="2"/>
  <c r="E80" i="8" s="1"/>
  <c r="H33" i="2"/>
  <c r="H80" i="8" s="1"/>
  <c r="I33" i="2"/>
  <c r="I80" i="8" s="1"/>
  <c r="M33" i="2"/>
  <c r="M80" i="8" s="1"/>
  <c r="O33" i="2"/>
  <c r="O80" i="8" s="1"/>
  <c r="C34" i="2"/>
  <c r="C81" i="8" s="1"/>
  <c r="F34" i="2"/>
  <c r="F81" i="8" s="1"/>
  <c r="G34" i="2"/>
  <c r="G81" i="8" s="1"/>
  <c r="K34" i="2"/>
  <c r="K81" i="8" s="1"/>
  <c r="N34" i="2"/>
  <c r="N81" i="8" s="1"/>
  <c r="O34" i="2"/>
  <c r="O81" i="8" s="1"/>
  <c r="E35" i="2"/>
  <c r="E82" i="8" s="1"/>
  <c r="I35" i="2"/>
  <c r="I82" i="8" s="1"/>
  <c r="M35" i="2"/>
  <c r="M82" i="8" s="1"/>
  <c r="C36" i="2"/>
  <c r="C83" i="8" s="1"/>
  <c r="G36" i="2"/>
  <c r="G83" i="8" s="1"/>
  <c r="K36" i="2"/>
  <c r="K83" i="8" s="1"/>
  <c r="M36" i="2"/>
  <c r="M83" i="8" s="1"/>
  <c r="O36" i="2"/>
  <c r="O83" i="8" s="1"/>
  <c r="D37" i="2"/>
  <c r="D84" i="8" s="1"/>
  <c r="E37" i="2"/>
  <c r="E84" i="8" s="1"/>
  <c r="I37" i="2"/>
  <c r="I84" i="8" s="1"/>
  <c r="M37" i="2"/>
  <c r="M84" i="8" s="1"/>
  <c r="O37" i="2"/>
  <c r="O84" i="8" s="1"/>
  <c r="C38" i="2"/>
  <c r="C85" i="8" s="1"/>
  <c r="G38" i="2"/>
  <c r="G85" i="8" s="1"/>
  <c r="J38" i="2"/>
  <c r="J85" i="8" s="1"/>
  <c r="K38" i="2"/>
  <c r="K85" i="8" s="1"/>
  <c r="O38" i="2"/>
  <c r="O85" i="8" s="1"/>
  <c r="E39" i="2"/>
  <c r="E86" i="8" s="1"/>
  <c r="I39" i="2"/>
  <c r="I86" i="8" s="1"/>
  <c r="M39" i="2"/>
  <c r="M86" i="8" s="1"/>
  <c r="C40" i="2"/>
  <c r="C87" i="8" s="1"/>
  <c r="G40" i="2"/>
  <c r="G87" i="8" s="1"/>
  <c r="I40" i="2"/>
  <c r="I87" i="8" s="1"/>
  <c r="K40" i="2"/>
  <c r="K87" i="8" s="1"/>
  <c r="M40" i="2"/>
  <c r="M87" i="8" s="1"/>
  <c r="O40" i="2"/>
  <c r="O87" i="8" s="1"/>
  <c r="E41" i="2"/>
  <c r="E88" i="8" s="1"/>
  <c r="I41" i="2"/>
  <c r="I88" i="8" s="1"/>
  <c r="K41" i="2"/>
  <c r="K88" i="8" s="1"/>
  <c r="L41" i="2"/>
  <c r="L88" i="8" s="1"/>
  <c r="M41" i="2"/>
  <c r="M88" i="8" s="1"/>
  <c r="O41" i="2"/>
  <c r="O88" i="8" s="1"/>
  <c r="C42" i="2"/>
  <c r="C89" i="8" s="1"/>
  <c r="G42" i="2"/>
  <c r="G89" i="8" s="1"/>
  <c r="J42" i="2"/>
  <c r="J89" i="8" s="1"/>
  <c r="K42" i="2"/>
  <c r="K89" i="8" s="1"/>
  <c r="O42" i="2"/>
  <c r="O89" i="8" s="1"/>
  <c r="E43" i="2"/>
  <c r="E90" i="8" s="1"/>
  <c r="I43" i="2"/>
  <c r="I90" i="8" s="1"/>
  <c r="M43" i="2"/>
  <c r="M90" i="8" s="1"/>
  <c r="C44" i="2"/>
  <c r="C91" i="8" s="1"/>
  <c r="E44" i="2"/>
  <c r="E91" i="8" s="1"/>
  <c r="G44" i="2"/>
  <c r="G91" i="8" s="1"/>
  <c r="K44" i="2"/>
  <c r="K91" i="8" s="1"/>
  <c r="M44" i="2"/>
  <c r="M91" i="8" s="1"/>
  <c r="O44" i="2"/>
  <c r="O91" i="8" s="1"/>
  <c r="C45" i="2"/>
  <c r="C92" i="8" s="1"/>
  <c r="E45" i="2"/>
  <c r="E92" i="8" s="1"/>
  <c r="H45" i="2"/>
  <c r="H92" i="8" s="1"/>
  <c r="I45" i="2"/>
  <c r="I92" i="8" s="1"/>
  <c r="L45" i="2"/>
  <c r="L92" i="8" s="1"/>
  <c r="M45" i="2"/>
  <c r="M92" i="8" s="1"/>
  <c r="C46" i="2"/>
  <c r="C93" i="8" s="1"/>
  <c r="F46" i="2"/>
  <c r="F93" i="8" s="1"/>
  <c r="G46" i="2"/>
  <c r="G93" i="8" s="1"/>
  <c r="K46" i="2"/>
  <c r="K93" i="8" s="1"/>
  <c r="N46" i="2"/>
  <c r="N93" i="8" s="1"/>
  <c r="O46" i="2"/>
  <c r="O93" i="8" s="1"/>
  <c r="E47" i="2"/>
  <c r="E94" i="8" s="1"/>
  <c r="I47" i="2"/>
  <c r="I94" i="8" s="1"/>
  <c r="M47" i="2"/>
  <c r="M94" i="8" s="1"/>
  <c r="C48" i="2"/>
  <c r="C95" i="8" s="1"/>
  <c r="E48" i="2"/>
  <c r="E95" i="8" s="1"/>
  <c r="G48" i="2"/>
  <c r="G95" i="8" s="1"/>
  <c r="I48" i="2"/>
  <c r="I95" i="8" s="1"/>
  <c r="K48" i="2"/>
  <c r="K95" i="8" s="1"/>
  <c r="O48" i="2"/>
  <c r="O95" i="8" s="1"/>
  <c r="C49" i="2"/>
  <c r="C96" i="8" s="1"/>
  <c r="D49" i="2"/>
  <c r="D96" i="8" s="1"/>
  <c r="E49" i="2"/>
  <c r="E96" i="8" s="1"/>
  <c r="G49" i="2"/>
  <c r="G96" i="8" s="1"/>
  <c r="I49" i="2"/>
  <c r="I96" i="8" s="1"/>
  <c r="L49" i="2"/>
  <c r="L96" i="8" s="1"/>
  <c r="M49" i="2"/>
  <c r="M96" i="8" s="1"/>
  <c r="C50" i="2"/>
  <c r="C97" i="8" s="1"/>
  <c r="D50" i="2"/>
  <c r="D97" i="8" s="1"/>
  <c r="F50" i="2"/>
  <c r="F97" i="8" s="1"/>
  <c r="G50" i="2"/>
  <c r="G97" i="8" s="1"/>
  <c r="K50" i="2"/>
  <c r="K97" i="8" s="1"/>
  <c r="N50" i="2"/>
  <c r="N97" i="8" s="1"/>
  <c r="O50" i="2"/>
  <c r="O97" i="8" s="1"/>
  <c r="E51" i="2"/>
  <c r="E98" i="8" s="1"/>
  <c r="I51" i="2"/>
  <c r="I98" i="8" s="1"/>
  <c r="M51" i="2"/>
  <c r="M98" i="8" s="1"/>
  <c r="C52" i="2"/>
  <c r="C99" i="8" s="1"/>
  <c r="E52" i="2"/>
  <c r="E99" i="8" s="1"/>
  <c r="G52" i="2"/>
  <c r="G99" i="8" s="1"/>
  <c r="K52" i="2"/>
  <c r="K99" i="8" s="1"/>
  <c r="M52" i="2"/>
  <c r="M99" i="8" s="1"/>
  <c r="O52" i="2"/>
  <c r="O99" i="8" s="1"/>
  <c r="D53" i="2"/>
  <c r="D100" i="8" s="1"/>
  <c r="E53" i="2"/>
  <c r="E100" i="8" s="1"/>
  <c r="I53" i="2"/>
  <c r="I100" i="8" s="1"/>
  <c r="L53" i="2"/>
  <c r="L100" i="8" s="1"/>
  <c r="M53" i="2"/>
  <c r="M100" i="8" s="1"/>
  <c r="O53" i="2"/>
  <c r="O100" i="8" s="1"/>
  <c r="C54" i="2"/>
  <c r="C101" i="8" s="1"/>
  <c r="F54" i="2"/>
  <c r="F101" i="8" s="1"/>
  <c r="G54" i="2"/>
  <c r="G101" i="8" s="1"/>
  <c r="K54" i="2"/>
  <c r="K101" i="8" s="1"/>
  <c r="N54" i="2"/>
  <c r="N101" i="8" s="1"/>
  <c r="O54" i="2"/>
  <c r="O101" i="8" s="1"/>
  <c r="E55" i="2"/>
  <c r="E102" i="8" s="1"/>
  <c r="I55" i="2"/>
  <c r="I102" i="8" s="1"/>
  <c r="M55" i="2"/>
  <c r="M102" i="8" s="1"/>
  <c r="B4" i="2"/>
  <c r="B51" i="8" s="1"/>
  <c r="B8" i="2"/>
  <c r="B55" i="8" s="1"/>
  <c r="B12" i="2"/>
  <c r="B59" i="8" s="1"/>
  <c r="B18" i="2"/>
  <c r="B65" i="8" s="1"/>
  <c r="B20" i="2"/>
  <c r="B67" i="8" s="1"/>
  <c r="B22" i="2"/>
  <c r="B69" i="8" s="1"/>
  <c r="B24" i="2"/>
  <c r="B71" i="8" s="1"/>
  <c r="B26" i="2"/>
  <c r="B73" i="8" s="1"/>
  <c r="B30" i="2"/>
  <c r="B77" i="8" s="1"/>
  <c r="B32" i="2"/>
  <c r="B79" i="8" s="1"/>
  <c r="B41" i="2"/>
  <c r="B88" i="8" s="1"/>
  <c r="B42" i="2"/>
  <c r="B89" i="8" s="1"/>
  <c r="C6" i="4"/>
  <c r="D6" i="4"/>
  <c r="E6" i="4"/>
  <c r="F6" i="4"/>
  <c r="G6" i="4"/>
  <c r="H6" i="4"/>
  <c r="C7" i="4"/>
  <c r="D7" i="4"/>
  <c r="E7" i="4"/>
  <c r="F7" i="4"/>
  <c r="G7" i="4"/>
  <c r="H7" i="4"/>
  <c r="C8" i="4"/>
  <c r="D8" i="4"/>
  <c r="E8" i="4"/>
  <c r="F8" i="4"/>
  <c r="G8" i="4"/>
  <c r="H8" i="4"/>
  <c r="C9" i="4"/>
  <c r="D9" i="4"/>
  <c r="E9" i="4"/>
  <c r="F9" i="4"/>
  <c r="G9" i="4"/>
  <c r="H9" i="4"/>
  <c r="C10" i="4"/>
  <c r="D10" i="4"/>
  <c r="E10" i="4"/>
  <c r="F10" i="4"/>
  <c r="G10" i="4"/>
  <c r="H10" i="4"/>
  <c r="C11" i="4"/>
  <c r="D11" i="4"/>
  <c r="E11" i="4"/>
  <c r="F11" i="4"/>
  <c r="G11" i="4"/>
  <c r="H11" i="4"/>
  <c r="C12" i="4"/>
  <c r="D12" i="4"/>
  <c r="E12" i="4"/>
  <c r="F12" i="4"/>
  <c r="G12" i="4"/>
  <c r="H12" i="4"/>
  <c r="C13" i="4"/>
  <c r="D13" i="4"/>
  <c r="E13" i="4"/>
  <c r="F13" i="4"/>
  <c r="G13" i="4"/>
  <c r="H13" i="4"/>
  <c r="C14" i="4"/>
  <c r="D14" i="4"/>
  <c r="E14" i="4"/>
  <c r="F14" i="4"/>
  <c r="G14" i="4"/>
  <c r="H14" i="4"/>
  <c r="C15" i="4"/>
  <c r="D15" i="4"/>
  <c r="E15" i="4"/>
  <c r="F15" i="4"/>
  <c r="G15" i="4"/>
  <c r="H15" i="4"/>
  <c r="C16" i="4"/>
  <c r="D16" i="4"/>
  <c r="E16" i="4"/>
  <c r="F16" i="4"/>
  <c r="G16" i="4"/>
  <c r="H16" i="4"/>
  <c r="C17" i="4"/>
  <c r="D17" i="4"/>
  <c r="E17" i="4"/>
  <c r="F17" i="4"/>
  <c r="G17" i="4"/>
  <c r="H17" i="4"/>
  <c r="C18" i="4"/>
  <c r="D18" i="4"/>
  <c r="E18" i="4"/>
  <c r="F18" i="4"/>
  <c r="G18" i="4"/>
  <c r="H18" i="4"/>
  <c r="C19" i="4"/>
  <c r="D19" i="4"/>
  <c r="E19" i="4"/>
  <c r="F19" i="4"/>
  <c r="G19" i="4"/>
  <c r="H19" i="4"/>
  <c r="C20" i="4"/>
  <c r="D20" i="4"/>
  <c r="E20" i="4"/>
  <c r="F20" i="4"/>
  <c r="G20" i="4"/>
  <c r="H20" i="4"/>
  <c r="C21" i="4"/>
  <c r="D21" i="4"/>
  <c r="E21" i="4"/>
  <c r="F21" i="4"/>
  <c r="G21" i="4"/>
  <c r="H21" i="4"/>
  <c r="C22" i="4"/>
  <c r="D22" i="4"/>
  <c r="E22" i="4"/>
  <c r="F22" i="4"/>
  <c r="G22" i="4"/>
  <c r="H22" i="4"/>
  <c r="C23" i="4"/>
  <c r="D23" i="4"/>
  <c r="E23" i="4"/>
  <c r="F23" i="4"/>
  <c r="G23" i="4"/>
  <c r="H23" i="4"/>
  <c r="C24" i="4"/>
  <c r="D24" i="4"/>
  <c r="E24" i="4"/>
  <c r="F24" i="4"/>
  <c r="G24" i="4"/>
  <c r="H24" i="4"/>
  <c r="C25" i="4"/>
  <c r="D25" i="4"/>
  <c r="E25" i="4"/>
  <c r="F25" i="4"/>
  <c r="G25" i="4"/>
  <c r="H25" i="4"/>
  <c r="C26" i="4"/>
  <c r="D26" i="4"/>
  <c r="E26" i="4"/>
  <c r="F26" i="4"/>
  <c r="G26" i="4"/>
  <c r="H26" i="4"/>
  <c r="C27" i="4"/>
  <c r="D27" i="4"/>
  <c r="E27" i="4"/>
  <c r="F27" i="4"/>
  <c r="G27" i="4"/>
  <c r="H27" i="4"/>
  <c r="C28" i="4"/>
  <c r="D28" i="4"/>
  <c r="E28" i="4"/>
  <c r="F28" i="4"/>
  <c r="G28" i="4"/>
  <c r="H28" i="4"/>
  <c r="C29" i="4"/>
  <c r="D29" i="4"/>
  <c r="E29" i="4"/>
  <c r="F29" i="4"/>
  <c r="G29" i="4"/>
  <c r="H29" i="4"/>
  <c r="C30" i="4"/>
  <c r="D30" i="4"/>
  <c r="E30" i="4"/>
  <c r="F30" i="4"/>
  <c r="G30" i="4"/>
  <c r="H30" i="4"/>
  <c r="C31" i="4"/>
  <c r="D31" i="4"/>
  <c r="E31" i="4"/>
  <c r="F31" i="4"/>
  <c r="G31" i="4"/>
  <c r="H31" i="4"/>
  <c r="C32" i="4"/>
  <c r="D32" i="4"/>
  <c r="E32" i="4"/>
  <c r="F32" i="4"/>
  <c r="G32" i="4"/>
  <c r="H32" i="4"/>
  <c r="C33" i="4"/>
  <c r="D33" i="4"/>
  <c r="E33" i="4"/>
  <c r="F33" i="4"/>
  <c r="G33" i="4"/>
  <c r="H33" i="4"/>
  <c r="C34" i="4"/>
  <c r="D34" i="4"/>
  <c r="E34" i="4"/>
  <c r="F34" i="4"/>
  <c r="G34" i="4"/>
  <c r="H34" i="4"/>
  <c r="C35" i="4"/>
  <c r="D35" i="4"/>
  <c r="E35" i="4"/>
  <c r="F35" i="4"/>
  <c r="G35" i="4"/>
  <c r="H35" i="4"/>
  <c r="C36" i="4"/>
  <c r="D36" i="4"/>
  <c r="E36" i="4"/>
  <c r="F36" i="4"/>
  <c r="G36" i="4"/>
  <c r="H36" i="4"/>
  <c r="C37" i="4"/>
  <c r="D37" i="4"/>
  <c r="E37" i="4"/>
  <c r="F37" i="4"/>
  <c r="G37" i="4"/>
  <c r="H37" i="4"/>
  <c r="C38" i="4"/>
  <c r="D38" i="4"/>
  <c r="E38" i="4"/>
  <c r="F38" i="4"/>
  <c r="G38" i="4"/>
  <c r="H38" i="4"/>
  <c r="C39" i="4"/>
  <c r="D39" i="4"/>
  <c r="E39" i="4"/>
  <c r="F39" i="4"/>
  <c r="G39" i="4"/>
  <c r="H39" i="4"/>
  <c r="C40" i="4"/>
  <c r="D40" i="4"/>
  <c r="E40" i="4"/>
  <c r="F40" i="4"/>
  <c r="G40" i="4"/>
  <c r="H40" i="4"/>
  <c r="C41" i="4"/>
  <c r="D41" i="4"/>
  <c r="E41" i="4"/>
  <c r="F41" i="4"/>
  <c r="G41" i="4"/>
  <c r="H41" i="4"/>
  <c r="C43" i="4"/>
  <c r="D43" i="4"/>
  <c r="E43" i="4"/>
  <c r="F43" i="4"/>
  <c r="G43" i="4"/>
  <c r="H43" i="4"/>
  <c r="C44" i="4"/>
  <c r="D44" i="4"/>
  <c r="E44" i="4"/>
  <c r="F44" i="4"/>
  <c r="G44" i="4"/>
  <c r="H44" i="4"/>
  <c r="C45" i="4"/>
  <c r="D45" i="4"/>
  <c r="E45" i="4"/>
  <c r="F45" i="4"/>
  <c r="G45" i="4"/>
  <c r="H45" i="4"/>
  <c r="C46" i="4"/>
  <c r="D46" i="4"/>
  <c r="E46" i="4"/>
  <c r="F46" i="4"/>
  <c r="G46" i="4"/>
  <c r="H46" i="4"/>
  <c r="C47" i="4"/>
  <c r="D47" i="4"/>
  <c r="E47" i="4"/>
  <c r="F47" i="4"/>
  <c r="G47" i="4"/>
  <c r="H47" i="4"/>
  <c r="C48" i="4"/>
  <c r="D48" i="4"/>
  <c r="E48" i="4"/>
  <c r="F48" i="4"/>
  <c r="G48" i="4"/>
  <c r="H48" i="4"/>
  <c r="C49" i="4"/>
  <c r="D49" i="4"/>
  <c r="E49" i="4"/>
  <c r="F49" i="4"/>
  <c r="G49" i="4"/>
  <c r="H49" i="4"/>
  <c r="C50" i="4"/>
  <c r="D50" i="4"/>
  <c r="E50" i="4"/>
  <c r="F50" i="4"/>
  <c r="G50" i="4"/>
  <c r="H50" i="4"/>
  <c r="C51" i="4"/>
  <c r="D51" i="4"/>
  <c r="E51" i="4"/>
  <c r="F51" i="4"/>
  <c r="G51" i="4"/>
  <c r="H51" i="4"/>
  <c r="C52" i="4"/>
  <c r="D52" i="4"/>
  <c r="E52" i="4"/>
  <c r="F52" i="4"/>
  <c r="G52" i="4"/>
  <c r="H52" i="4"/>
  <c r="C53" i="4"/>
  <c r="D53" i="4"/>
  <c r="E53" i="4"/>
  <c r="F53" i="4"/>
  <c r="G53" i="4"/>
  <c r="H53" i="4"/>
  <c r="C54" i="4"/>
  <c r="D54" i="4"/>
  <c r="E54" i="4"/>
  <c r="F54" i="4"/>
  <c r="G54" i="4"/>
  <c r="H54" i="4"/>
  <c r="C55" i="4"/>
  <c r="D55" i="4"/>
  <c r="E55" i="4"/>
  <c r="F55" i="4"/>
  <c r="G55" i="4"/>
  <c r="H55" i="4"/>
  <c r="C5" i="4"/>
  <c r="D5" i="4"/>
  <c r="E5" i="4"/>
  <c r="F5" i="4"/>
  <c r="G5" i="4"/>
  <c r="H5" i="4"/>
  <c r="D4" i="4"/>
  <c r="E4" i="4"/>
  <c r="F4" i="4"/>
  <c r="G4" i="4"/>
  <c r="H4" i="4"/>
  <c r="C4" i="4"/>
  <c r="BF22" i="4"/>
  <c r="AL42" i="4"/>
  <c r="AQ42" i="4"/>
  <c r="W44" i="4"/>
  <c r="P42" i="4"/>
  <c r="C19" i="8" l="1"/>
  <c r="M3" i="8"/>
  <c r="M2" i="8"/>
  <c r="M18" i="8" s="1"/>
  <c r="M11" i="8"/>
  <c r="H41" i="8"/>
  <c r="E37" i="8"/>
  <c r="K18" i="8"/>
  <c r="C28" i="8"/>
  <c r="K33" i="8"/>
  <c r="E22" i="8"/>
  <c r="J32" i="8"/>
  <c r="E23" i="8"/>
  <c r="C14" i="8"/>
  <c r="C32" i="8"/>
  <c r="M42" i="8"/>
  <c r="K37" i="8"/>
  <c r="E42" i="8"/>
  <c r="C15" i="8"/>
  <c r="N2" i="8"/>
  <c r="N25" i="8" s="1"/>
  <c r="N3" i="8"/>
  <c r="C23" i="8"/>
  <c r="N44" i="8"/>
  <c r="K3" i="8"/>
  <c r="K2" i="8"/>
  <c r="K14" i="8" s="1"/>
  <c r="K11" i="8"/>
  <c r="L34" i="8"/>
  <c r="B23" i="8"/>
  <c r="DE1" i="4"/>
  <c r="M50" i="8"/>
  <c r="K44" i="8"/>
  <c r="G36" i="8"/>
  <c r="E18" i="8"/>
  <c r="M14" i="8"/>
  <c r="J2" i="8"/>
  <c r="J40" i="8" s="1"/>
  <c r="J3" i="8"/>
  <c r="J23" i="8" s="1"/>
  <c r="J11" i="8"/>
  <c r="K42" i="8"/>
  <c r="D34" i="8"/>
  <c r="G22" i="8"/>
  <c r="G40" i="8"/>
  <c r="B32" i="8"/>
  <c r="H27" i="8"/>
  <c r="C37" i="8"/>
  <c r="C25" i="8"/>
  <c r="G3" i="8"/>
  <c r="G2" i="8"/>
  <c r="G32" i="8" s="1"/>
  <c r="G11" i="8"/>
  <c r="H42" i="8"/>
  <c r="M33" i="8"/>
  <c r="J21" i="8"/>
  <c r="G44" i="8"/>
  <c r="C36" i="8"/>
  <c r="M31" i="8"/>
  <c r="D27" i="8"/>
  <c r="B18" i="3"/>
  <c r="O50" i="8"/>
  <c r="H32" i="8"/>
  <c r="K28" i="8"/>
  <c r="K21" i="8"/>
  <c r="C18" i="8"/>
  <c r="H14" i="8"/>
  <c r="F3" i="8"/>
  <c r="F2" i="8"/>
  <c r="F42" i="8" s="1"/>
  <c r="M20" i="8"/>
  <c r="C40" i="8"/>
  <c r="E3" i="8"/>
  <c r="E2" i="8"/>
  <c r="E15" i="8" s="1"/>
  <c r="E11" i="8"/>
  <c r="O3" i="8"/>
  <c r="O2" i="8"/>
  <c r="O18" i="8" s="1"/>
  <c r="K41" i="8"/>
  <c r="B39" i="8"/>
  <c r="F41" i="8"/>
  <c r="M36" i="8"/>
  <c r="M24" i="8"/>
  <c r="G21" i="8"/>
  <c r="O17" i="8"/>
  <c r="E14" i="8"/>
  <c r="C2" i="8"/>
  <c r="C43" i="8" s="1"/>
  <c r="C3" i="8"/>
  <c r="C11" i="8" s="1"/>
  <c r="C42" i="8"/>
  <c r="C20" i="8"/>
  <c r="BU1" i="4"/>
  <c r="I50" i="8"/>
  <c r="C44" i="8"/>
  <c r="M21" i="8"/>
  <c r="K12" i="8"/>
  <c r="N17" i="8"/>
  <c r="D14" i="8"/>
  <c r="J41" i="8"/>
  <c r="E32" i="8"/>
  <c r="O19" i="8"/>
  <c r="B44" i="8"/>
  <c r="H35" i="8"/>
  <c r="E35" i="8"/>
  <c r="H21" i="8"/>
  <c r="G12" i="8"/>
  <c r="H24" i="8"/>
  <c r="E21" i="8"/>
  <c r="K17" i="8"/>
  <c r="D28" i="8"/>
  <c r="H39" i="8"/>
  <c r="C21" i="8"/>
  <c r="O35" i="8"/>
  <c r="J31" i="8"/>
  <c r="O27" i="8"/>
  <c r="C24" i="8"/>
  <c r="O20" i="8"/>
  <c r="G17" i="8"/>
  <c r="K13" i="8"/>
  <c r="O39" i="8"/>
  <c r="C31" i="8"/>
  <c r="M17" i="8"/>
  <c r="AK1" i="4"/>
  <c r="E50" i="8"/>
  <c r="C12" i="8"/>
  <c r="K39" i="8"/>
  <c r="E16" i="8"/>
  <c r="E43" i="8"/>
  <c r="K34" i="8"/>
  <c r="K30" i="8"/>
  <c r="K20" i="8"/>
  <c r="O31" i="8"/>
  <c r="M13" i="8"/>
  <c r="C45" i="8"/>
  <c r="C17" i="8"/>
  <c r="G15" i="8"/>
  <c r="D30" i="3"/>
  <c r="V30" i="3" s="1"/>
  <c r="C50" i="8"/>
  <c r="O38" i="8"/>
  <c r="J34" i="8"/>
  <c r="J30" i="8"/>
  <c r="H25" i="8"/>
  <c r="L3" i="8"/>
  <c r="L33" i="8" s="1"/>
  <c r="L2" i="8"/>
  <c r="M29" i="8"/>
  <c r="O42" i="8"/>
  <c r="G34" i="8"/>
  <c r="F30" i="8"/>
  <c r="E25" i="8"/>
  <c r="G20" i="8"/>
  <c r="I2" i="8"/>
  <c r="I16" i="8" s="1"/>
  <c r="I3" i="8"/>
  <c r="I35" i="8" s="1"/>
  <c r="I11" i="8"/>
  <c r="H3" i="8"/>
  <c r="H2" i="8"/>
  <c r="H45" i="8" s="1"/>
  <c r="P7" i="8"/>
  <c r="H30" i="8"/>
  <c r="B20" i="8"/>
  <c r="I15" i="8"/>
  <c r="D3" i="8"/>
  <c r="D17" i="8" s="1"/>
  <c r="D2" i="8"/>
  <c r="D35" i="8" s="1"/>
  <c r="P9" i="8"/>
  <c r="K45" i="8"/>
  <c r="G45" i="8"/>
  <c r="G42" i="8"/>
  <c r="K24" i="8"/>
  <c r="H15" i="8"/>
  <c r="J38" i="8"/>
  <c r="M39" i="8"/>
  <c r="O34" i="8"/>
  <c r="E30" i="8"/>
  <c r="M19" i="8"/>
  <c r="M45" i="8"/>
  <c r="M37" i="8"/>
  <c r="C27" i="8"/>
  <c r="B17" i="8"/>
  <c r="C38" i="8"/>
  <c r="H29" i="8"/>
  <c r="J24" i="8"/>
  <c r="H19" i="8"/>
  <c r="M44" i="8"/>
  <c r="E28" i="8"/>
  <c r="O13" i="8"/>
  <c r="B45" i="8"/>
  <c r="B2" i="8"/>
  <c r="B25" i="8" s="1"/>
  <c r="B3" i="8"/>
  <c r="B43" i="8" s="1"/>
  <c r="B11" i="8"/>
  <c r="D20" i="8"/>
  <c r="C30" i="8"/>
  <c r="C16" i="8"/>
  <c r="K36" i="8"/>
  <c r="B14" i="8"/>
  <c r="B42" i="8"/>
  <c r="B38" i="8"/>
  <c r="H33" i="8"/>
  <c r="E29" i="8"/>
  <c r="G24" i="8"/>
  <c r="E19" i="8"/>
  <c r="D15" i="8"/>
  <c r="Q8" i="8"/>
  <c r="C13" i="8"/>
  <c r="E13" i="8"/>
  <c r="M38" i="8"/>
  <c r="M43" i="8"/>
  <c r="E34" i="8"/>
  <c r="O29" i="8"/>
  <c r="H26" i="8"/>
  <c r="J19" i="8"/>
  <c r="O15" i="8"/>
  <c r="H12" i="8"/>
  <c r="E45" i="8"/>
  <c r="D26" i="8"/>
  <c r="B13" i="8"/>
  <c r="M41" i="8"/>
  <c r="Q7" i="8"/>
  <c r="C34" i="8"/>
  <c r="K22" i="8"/>
  <c r="E12" i="8"/>
  <c r="E36" i="8"/>
  <c r="C26" i="8"/>
  <c r="D33" i="8"/>
  <c r="N28" i="8"/>
  <c r="B24" i="8"/>
  <c r="Q9" i="8"/>
  <c r="E26" i="8"/>
  <c r="M15" i="8"/>
  <c r="H44" i="8"/>
  <c r="K25" i="8"/>
  <c r="I41" i="8"/>
  <c r="H37" i="8"/>
  <c r="N18" i="8"/>
  <c r="EU50" i="4"/>
  <c r="EL50" i="4"/>
  <c r="EQ39" i="4"/>
  <c r="EH39" i="4"/>
  <c r="N28" i="4"/>
  <c r="ES28" i="4"/>
  <c r="EJ28" i="4"/>
  <c r="AH21" i="4"/>
  <c r="EU21" i="4"/>
  <c r="EL21" i="4"/>
  <c r="AO12" i="4"/>
  <c r="ES12" i="4"/>
  <c r="EJ12" i="4"/>
  <c r="U4" i="4"/>
  <c r="EQ4" i="4"/>
  <c r="EH4" i="4"/>
  <c r="ET55" i="4"/>
  <c r="EK55" i="4"/>
  <c r="ER54" i="4"/>
  <c r="EI54" i="4"/>
  <c r="EP53" i="4"/>
  <c r="EG53" i="4"/>
  <c r="ET51" i="4"/>
  <c r="EK51" i="4"/>
  <c r="ER50" i="4"/>
  <c r="EI50" i="4"/>
  <c r="EP49" i="4"/>
  <c r="EG49" i="4"/>
  <c r="ET47" i="4"/>
  <c r="EK47" i="4"/>
  <c r="AE46" i="4"/>
  <c r="ER46" i="4"/>
  <c r="EI46" i="4"/>
  <c r="EP45" i="4"/>
  <c r="EG45" i="4"/>
  <c r="ET43" i="4"/>
  <c r="EK43" i="4"/>
  <c r="BO41" i="4"/>
  <c r="ER41" i="4"/>
  <c r="EI41" i="4"/>
  <c r="EP40" i="4"/>
  <c r="EG40" i="4"/>
  <c r="ET38" i="4"/>
  <c r="EK38" i="4"/>
  <c r="ER37" i="4"/>
  <c r="EI37" i="4"/>
  <c r="EP36" i="4"/>
  <c r="EG36" i="4"/>
  <c r="ET34" i="4"/>
  <c r="EK34" i="4"/>
  <c r="ER33" i="4"/>
  <c r="EI33" i="4"/>
  <c r="EP32" i="4"/>
  <c r="EG32" i="4"/>
  <c r="ET30" i="4"/>
  <c r="EK30" i="4"/>
  <c r="ER29" i="4"/>
  <c r="EI29" i="4"/>
  <c r="EP28" i="4"/>
  <c r="EG28" i="4"/>
  <c r="ET26" i="4"/>
  <c r="EK26" i="4"/>
  <c r="ER25" i="4"/>
  <c r="EI25" i="4"/>
  <c r="EP24" i="4"/>
  <c r="EG24" i="4"/>
  <c r="ET22" i="4"/>
  <c r="EK22" i="4"/>
  <c r="ER21" i="4"/>
  <c r="EI21" i="4"/>
  <c r="EP20" i="4"/>
  <c r="EG20" i="4"/>
  <c r="ET18" i="4"/>
  <c r="EK18" i="4"/>
  <c r="ER17" i="4"/>
  <c r="EI17" i="4"/>
  <c r="EP16" i="4"/>
  <c r="EG16" i="4"/>
  <c r="ET14" i="4"/>
  <c r="EK14" i="4"/>
  <c r="ER13" i="4"/>
  <c r="EI13" i="4"/>
  <c r="EP12" i="4"/>
  <c r="EG12" i="4"/>
  <c r="ET10" i="4"/>
  <c r="EK10" i="4"/>
  <c r="ER9" i="4"/>
  <c r="EI9" i="4"/>
  <c r="EP8" i="4"/>
  <c r="EG8" i="4"/>
  <c r="ET6" i="4"/>
  <c r="EK6" i="4"/>
  <c r="EU54" i="4"/>
  <c r="EL54" i="4"/>
  <c r="EH48" i="4"/>
  <c r="EQ48" i="4"/>
  <c r="ES40" i="4"/>
  <c r="EJ40" i="4"/>
  <c r="ES32" i="4"/>
  <c r="EJ32" i="4"/>
  <c r="EU25" i="4"/>
  <c r="EL25" i="4"/>
  <c r="AQ17" i="4"/>
  <c r="EU17" i="4"/>
  <c r="EL17" i="4"/>
  <c r="EQ11" i="4"/>
  <c r="EH11" i="4"/>
  <c r="EU5" i="4"/>
  <c r="EL5" i="4"/>
  <c r="ES55" i="4"/>
  <c r="EJ55" i="4"/>
  <c r="BN54" i="4"/>
  <c r="EQ54" i="4"/>
  <c r="EH54" i="4"/>
  <c r="BR52" i="4"/>
  <c r="EU52" i="4"/>
  <c r="EL52" i="4"/>
  <c r="ES51" i="4"/>
  <c r="EJ51" i="4"/>
  <c r="EQ50" i="4"/>
  <c r="EH50" i="4"/>
  <c r="EU48" i="4"/>
  <c r="EL48" i="4"/>
  <c r="ES47" i="4"/>
  <c r="EJ47" i="4"/>
  <c r="EQ46" i="4"/>
  <c r="EH46" i="4"/>
  <c r="BR44" i="4"/>
  <c r="EU44" i="4"/>
  <c r="EL44" i="4"/>
  <c r="ES43" i="4"/>
  <c r="EJ43" i="4"/>
  <c r="EH41" i="4"/>
  <c r="EQ41" i="4"/>
  <c r="EU39" i="4"/>
  <c r="EL39" i="4"/>
  <c r="BP38" i="4"/>
  <c r="EJ38" i="4"/>
  <c r="ES38" i="4"/>
  <c r="EH37" i="4"/>
  <c r="EQ37" i="4"/>
  <c r="EL35" i="4"/>
  <c r="EU35" i="4"/>
  <c r="ES34" i="4"/>
  <c r="EJ34" i="4"/>
  <c r="EH33" i="4"/>
  <c r="EQ33" i="4"/>
  <c r="AQ31" i="4"/>
  <c r="EL31" i="4"/>
  <c r="EU31" i="4"/>
  <c r="EJ30" i="4"/>
  <c r="ES30" i="4"/>
  <c r="EQ29" i="4"/>
  <c r="EH29" i="4"/>
  <c r="EL27" i="4"/>
  <c r="EU27" i="4"/>
  <c r="EJ26" i="4"/>
  <c r="ES26" i="4"/>
  <c r="EH25" i="4"/>
  <c r="EQ25" i="4"/>
  <c r="EU23" i="4"/>
  <c r="EL23" i="4"/>
  <c r="EJ22" i="4"/>
  <c r="ES22" i="4"/>
  <c r="EH21" i="4"/>
  <c r="EQ21" i="4"/>
  <c r="AQ19" i="4"/>
  <c r="EL19" i="4"/>
  <c r="EU19" i="4"/>
  <c r="W18" i="4"/>
  <c r="ES18" i="4"/>
  <c r="EJ18" i="4"/>
  <c r="EH17" i="4"/>
  <c r="EQ17" i="4"/>
  <c r="P15" i="4"/>
  <c r="EL15" i="4"/>
  <c r="EU15" i="4"/>
  <c r="EJ14" i="4"/>
  <c r="ES14" i="4"/>
  <c r="U13" i="4"/>
  <c r="EQ13" i="4"/>
  <c r="EH13" i="4"/>
  <c r="P11" i="4"/>
  <c r="EL11" i="4"/>
  <c r="EU11" i="4"/>
  <c r="EJ10" i="4"/>
  <c r="ES10" i="4"/>
  <c r="EH9" i="4"/>
  <c r="EQ9" i="4"/>
  <c r="AH7" i="4"/>
  <c r="EU7" i="4"/>
  <c r="EL7" i="4"/>
  <c r="N6" i="4"/>
  <c r="EJ6" i="4"/>
  <c r="ES6" i="4"/>
  <c r="CA42" i="4"/>
  <c r="EL42" i="4"/>
  <c r="EU42" i="4"/>
  <c r="BP53" i="4"/>
  <c r="EJ53" i="4"/>
  <c r="ES53" i="4"/>
  <c r="BR46" i="4"/>
  <c r="EL46" i="4"/>
  <c r="EU46" i="4"/>
  <c r="EQ35" i="4"/>
  <c r="EH35" i="4"/>
  <c r="EQ19" i="4"/>
  <c r="EH19" i="4"/>
  <c r="ET5" i="4"/>
  <c r="EK5" i="4"/>
  <c r="BO55" i="4"/>
  <c r="ER55" i="4"/>
  <c r="EI55" i="4"/>
  <c r="BM54" i="4"/>
  <c r="EP54" i="4"/>
  <c r="EG54" i="4"/>
  <c r="ET52" i="4"/>
  <c r="EK52" i="4"/>
  <c r="ER51" i="4"/>
  <c r="EI51" i="4"/>
  <c r="EP50" i="4"/>
  <c r="EG50" i="4"/>
  <c r="ET48" i="4"/>
  <c r="EK48" i="4"/>
  <c r="BO47" i="4"/>
  <c r="ER47" i="4"/>
  <c r="EI47" i="4"/>
  <c r="EP46" i="4"/>
  <c r="EG46" i="4"/>
  <c r="ET44" i="4"/>
  <c r="EK44" i="4"/>
  <c r="BO43" i="4"/>
  <c r="ER43" i="4"/>
  <c r="EI43" i="4"/>
  <c r="EP41" i="4"/>
  <c r="EG41" i="4"/>
  <c r="ET39" i="4"/>
  <c r="EK39" i="4"/>
  <c r="AN38" i="4"/>
  <c r="ER38" i="4"/>
  <c r="EI38" i="4"/>
  <c r="EP37" i="4"/>
  <c r="EG37" i="4"/>
  <c r="ET35" i="4"/>
  <c r="EK35" i="4"/>
  <c r="ER34" i="4"/>
  <c r="EI34" i="4"/>
  <c r="T33" i="4"/>
  <c r="EP33" i="4"/>
  <c r="EG33" i="4"/>
  <c r="ET31" i="4"/>
  <c r="EK31" i="4"/>
  <c r="ER30" i="4"/>
  <c r="EI30" i="4"/>
  <c r="EP29" i="4"/>
  <c r="EG29" i="4"/>
  <c r="ET27" i="4"/>
  <c r="EK27" i="4"/>
  <c r="ER26" i="4"/>
  <c r="EI26" i="4"/>
  <c r="AL25" i="4"/>
  <c r="EP25" i="4"/>
  <c r="EG25" i="4"/>
  <c r="AY23" i="4"/>
  <c r="ET23" i="4"/>
  <c r="EK23" i="4"/>
  <c r="ER22" i="4"/>
  <c r="EI22" i="4"/>
  <c r="EP21" i="4"/>
  <c r="EG21" i="4"/>
  <c r="ET19" i="4"/>
  <c r="EK19" i="4"/>
  <c r="ER18" i="4"/>
  <c r="EI18" i="4"/>
  <c r="EP17" i="4"/>
  <c r="EG17" i="4"/>
  <c r="X15" i="4"/>
  <c r="ET15" i="4"/>
  <c r="EK15" i="4"/>
  <c r="ER14" i="4"/>
  <c r="EI14" i="4"/>
  <c r="EP13" i="4"/>
  <c r="EG13" i="4"/>
  <c r="ET11" i="4"/>
  <c r="EK11" i="4"/>
  <c r="AE10" i="4"/>
  <c r="ER10" i="4"/>
  <c r="EI10" i="4"/>
  <c r="EP9" i="4"/>
  <c r="EG9" i="4"/>
  <c r="ET7" i="4"/>
  <c r="EK7" i="4"/>
  <c r="ER6" i="4"/>
  <c r="EI6" i="4"/>
  <c r="DS42" i="4"/>
  <c r="ET42" i="4"/>
  <c r="EK42" i="4"/>
  <c r="ET4" i="4"/>
  <c r="EK4" i="4"/>
  <c r="L44" i="4"/>
  <c r="EQ44" i="4"/>
  <c r="EH44" i="4"/>
  <c r="EQ31" i="4"/>
  <c r="EH31" i="4"/>
  <c r="ES20" i="4"/>
  <c r="EJ20" i="4"/>
  <c r="EQ7" i="4"/>
  <c r="EH7" i="4"/>
  <c r="BM4" i="4"/>
  <c r="EP4" i="4"/>
  <c r="EG4" i="4"/>
  <c r="EJ5" i="4"/>
  <c r="ES5" i="4"/>
  <c r="BN55" i="4"/>
  <c r="EQ55" i="4"/>
  <c r="EH55" i="4"/>
  <c r="EU53" i="4"/>
  <c r="EL53" i="4"/>
  <c r="BP52" i="4"/>
  <c r="ES52" i="4"/>
  <c r="EJ52" i="4"/>
  <c r="BN51" i="4"/>
  <c r="EQ51" i="4"/>
  <c r="EH51" i="4"/>
  <c r="EU49" i="4"/>
  <c r="EL49" i="4"/>
  <c r="ES48" i="4"/>
  <c r="EJ48" i="4"/>
  <c r="AM47" i="4"/>
  <c r="EQ47" i="4"/>
  <c r="EH47" i="4"/>
  <c r="AZ45" i="4"/>
  <c r="EU45" i="4"/>
  <c r="EL45" i="4"/>
  <c r="BP44" i="4"/>
  <c r="ES44" i="4"/>
  <c r="EJ44" i="4"/>
  <c r="EQ43" i="4"/>
  <c r="EH43" i="4"/>
  <c r="EU40" i="4"/>
  <c r="EL40" i="4"/>
  <c r="ES39" i="4"/>
  <c r="EJ39" i="4"/>
  <c r="L38" i="4"/>
  <c r="EQ38" i="4"/>
  <c r="EH38" i="4"/>
  <c r="EU36" i="4"/>
  <c r="EL36" i="4"/>
  <c r="ES35" i="4"/>
  <c r="EJ35" i="4"/>
  <c r="EQ34" i="4"/>
  <c r="EH34" i="4"/>
  <c r="EU32" i="4"/>
  <c r="EL32" i="4"/>
  <c r="ES31" i="4"/>
  <c r="EJ31" i="4"/>
  <c r="EQ30" i="4"/>
  <c r="EH30" i="4"/>
  <c r="EU28" i="4"/>
  <c r="EL28" i="4"/>
  <c r="ES27" i="4"/>
  <c r="EJ27" i="4"/>
  <c r="EQ26" i="4"/>
  <c r="EH26" i="4"/>
  <c r="EU24" i="4"/>
  <c r="EL24" i="4"/>
  <c r="ES23" i="4"/>
  <c r="EJ23" i="4"/>
  <c r="EQ22" i="4"/>
  <c r="EH22" i="4"/>
  <c r="EU20" i="4"/>
  <c r="EL20" i="4"/>
  <c r="ES19" i="4"/>
  <c r="EJ19" i="4"/>
  <c r="EQ18" i="4"/>
  <c r="EH18" i="4"/>
  <c r="EU16" i="4"/>
  <c r="EL16" i="4"/>
  <c r="ES15" i="4"/>
  <c r="EJ15" i="4"/>
  <c r="EQ14" i="4"/>
  <c r="EH14" i="4"/>
  <c r="EU12" i="4"/>
  <c r="EL12" i="4"/>
  <c r="ES11" i="4"/>
  <c r="EJ11" i="4"/>
  <c r="EQ10" i="4"/>
  <c r="EH10" i="4"/>
  <c r="EU8" i="4"/>
  <c r="EL8" i="4"/>
  <c r="ES7" i="4"/>
  <c r="EJ7" i="4"/>
  <c r="EQ6" i="4"/>
  <c r="EH6" i="4"/>
  <c r="BG42" i="4"/>
  <c r="EJ42" i="4"/>
  <c r="ES42" i="4"/>
  <c r="N49" i="4"/>
  <c r="ES49" i="4"/>
  <c r="EJ49" i="4"/>
  <c r="EU37" i="4"/>
  <c r="EL37" i="4"/>
  <c r="U27" i="4"/>
  <c r="EQ27" i="4"/>
  <c r="EH27" i="4"/>
  <c r="EU13" i="4"/>
  <c r="EL13" i="4"/>
  <c r="EU4" i="4"/>
  <c r="EL4" i="4"/>
  <c r="ER5" i="4"/>
  <c r="EI5" i="4"/>
  <c r="AL55" i="4"/>
  <c r="EP55" i="4"/>
  <c r="EG55" i="4"/>
  <c r="ET53" i="4"/>
  <c r="EK53" i="4"/>
  <c r="AW52" i="4"/>
  <c r="ER52" i="4"/>
  <c r="EI52" i="4"/>
  <c r="T51" i="4"/>
  <c r="EP51" i="4"/>
  <c r="EG51" i="4"/>
  <c r="ET49" i="4"/>
  <c r="EK49" i="4"/>
  <c r="ER48" i="4"/>
  <c r="EI48" i="4"/>
  <c r="EP47" i="4"/>
  <c r="EG47" i="4"/>
  <c r="ET45" i="4"/>
  <c r="EK45" i="4"/>
  <c r="ER44" i="4"/>
  <c r="EI44" i="4"/>
  <c r="EP43" i="4"/>
  <c r="EG43" i="4"/>
  <c r="ET40" i="4"/>
  <c r="EK40" i="4"/>
  <c r="ER39" i="4"/>
  <c r="EI39" i="4"/>
  <c r="EP38" i="4"/>
  <c r="EG38" i="4"/>
  <c r="ET36" i="4"/>
  <c r="EK36" i="4"/>
  <c r="ER35" i="4"/>
  <c r="EI35" i="4"/>
  <c r="EP34" i="4"/>
  <c r="EG34" i="4"/>
  <c r="ET32" i="4"/>
  <c r="EK32" i="4"/>
  <c r="ER31" i="4"/>
  <c r="EI31" i="4"/>
  <c r="EP30" i="4"/>
  <c r="EG30" i="4"/>
  <c r="ET28" i="4"/>
  <c r="EK28" i="4"/>
  <c r="ER27" i="4"/>
  <c r="EI27" i="4"/>
  <c r="EP26" i="4"/>
  <c r="EG26" i="4"/>
  <c r="ET24" i="4"/>
  <c r="EK24" i="4"/>
  <c r="ER23" i="4"/>
  <c r="EI23" i="4"/>
  <c r="EP22" i="4"/>
  <c r="EG22" i="4"/>
  <c r="ET20" i="4"/>
  <c r="EK20" i="4"/>
  <c r="ER19" i="4"/>
  <c r="EI19" i="4"/>
  <c r="EP18" i="4"/>
  <c r="EG18" i="4"/>
  <c r="ET16" i="4"/>
  <c r="EK16" i="4"/>
  <c r="ER15" i="4"/>
  <c r="EI15" i="4"/>
  <c r="EP14" i="4"/>
  <c r="EG14" i="4"/>
  <c r="ET12" i="4"/>
  <c r="EK12" i="4"/>
  <c r="ER11" i="4"/>
  <c r="EI11" i="4"/>
  <c r="EP10" i="4"/>
  <c r="EG10" i="4"/>
  <c r="ET8" i="4"/>
  <c r="EK8" i="4"/>
  <c r="ER7" i="4"/>
  <c r="EI7" i="4"/>
  <c r="EP6" i="4"/>
  <c r="EG6" i="4"/>
  <c r="DQ42" i="4"/>
  <c r="ER42" i="4"/>
  <c r="EI42" i="4"/>
  <c r="EH5" i="4"/>
  <c r="EQ5" i="4"/>
  <c r="ES45" i="4"/>
  <c r="EJ45" i="4"/>
  <c r="ES36" i="4"/>
  <c r="EJ36" i="4"/>
  <c r="AH29" i="4"/>
  <c r="EU29" i="4"/>
  <c r="EL29" i="4"/>
  <c r="EQ23" i="4"/>
  <c r="EH23" i="4"/>
  <c r="AF16" i="4"/>
  <c r="ES16" i="4"/>
  <c r="EJ16" i="4"/>
  <c r="EU9" i="4"/>
  <c r="EL9" i="4"/>
  <c r="BP4" i="4"/>
  <c r="ES4" i="4"/>
  <c r="EJ4" i="4"/>
  <c r="EP5" i="4"/>
  <c r="EG5" i="4"/>
  <c r="ET54" i="4"/>
  <c r="EK54" i="4"/>
  <c r="BO53" i="4"/>
  <c r="ER53" i="4"/>
  <c r="EI53" i="4"/>
  <c r="EP52" i="4"/>
  <c r="EG52" i="4"/>
  <c r="BQ50" i="4"/>
  <c r="ET50" i="4"/>
  <c r="EK50" i="4"/>
  <c r="ER49" i="4"/>
  <c r="EI49" i="4"/>
  <c r="EP48" i="4"/>
  <c r="EG48" i="4"/>
  <c r="ET46" i="4"/>
  <c r="EK46" i="4"/>
  <c r="BO45" i="4"/>
  <c r="ER45" i="4"/>
  <c r="EI45" i="4"/>
  <c r="EP44" i="4"/>
  <c r="EG44" i="4"/>
  <c r="ET41" i="4"/>
  <c r="EK41" i="4"/>
  <c r="ER40" i="4"/>
  <c r="EI40" i="4"/>
  <c r="EP39" i="4"/>
  <c r="EG39" i="4"/>
  <c r="AG37" i="4"/>
  <c r="ET37" i="4"/>
  <c r="EK37" i="4"/>
  <c r="ER36" i="4"/>
  <c r="EI36" i="4"/>
  <c r="EP35" i="4"/>
  <c r="EG35" i="4"/>
  <c r="ET33" i="4"/>
  <c r="EK33" i="4"/>
  <c r="ER32" i="4"/>
  <c r="EI32" i="4"/>
  <c r="EP31" i="4"/>
  <c r="EG31" i="4"/>
  <c r="ET29" i="4"/>
  <c r="EK29" i="4"/>
  <c r="ER28" i="4"/>
  <c r="EI28" i="4"/>
  <c r="EP27" i="4"/>
  <c r="EG27" i="4"/>
  <c r="ET25" i="4"/>
  <c r="EK25" i="4"/>
  <c r="ER24" i="4"/>
  <c r="EI24" i="4"/>
  <c r="EP23" i="4"/>
  <c r="EG23" i="4"/>
  <c r="X21" i="4"/>
  <c r="ET21" i="4"/>
  <c r="EK21" i="4"/>
  <c r="ER20" i="4"/>
  <c r="EI20" i="4"/>
  <c r="AL19" i="4"/>
  <c r="EP19" i="4"/>
  <c r="EG19" i="4"/>
  <c r="ET17" i="4"/>
  <c r="EK17" i="4"/>
  <c r="AN16" i="4"/>
  <c r="ER16" i="4"/>
  <c r="EI16" i="4"/>
  <c r="EP15" i="4"/>
  <c r="EG15" i="4"/>
  <c r="ET13" i="4"/>
  <c r="EK13" i="4"/>
  <c r="ER12" i="4"/>
  <c r="EI12" i="4"/>
  <c r="T11" i="4"/>
  <c r="EP11" i="4"/>
  <c r="EG11" i="4"/>
  <c r="AY9" i="4"/>
  <c r="ET9" i="4"/>
  <c r="EK9" i="4"/>
  <c r="ER8" i="4"/>
  <c r="EI8" i="4"/>
  <c r="EP7" i="4"/>
  <c r="EG7" i="4"/>
  <c r="DX42" i="4"/>
  <c r="EP42" i="4"/>
  <c r="EG42" i="4"/>
  <c r="EH52" i="4"/>
  <c r="EQ52" i="4"/>
  <c r="Y41" i="4"/>
  <c r="EU41" i="4"/>
  <c r="EL41" i="4"/>
  <c r="P33" i="4"/>
  <c r="EU33" i="4"/>
  <c r="EL33" i="4"/>
  <c r="N24" i="4"/>
  <c r="ES24" i="4"/>
  <c r="EJ24" i="4"/>
  <c r="EQ15" i="4"/>
  <c r="EH15" i="4"/>
  <c r="ES8" i="4"/>
  <c r="EJ8" i="4"/>
  <c r="DY42" i="4"/>
  <c r="EQ42" i="4"/>
  <c r="EH42" i="4"/>
  <c r="BO4" i="4"/>
  <c r="ER4" i="4"/>
  <c r="EI4" i="4"/>
  <c r="Y55" i="4"/>
  <c r="EU55" i="4"/>
  <c r="EL55" i="4"/>
  <c r="AO54" i="4"/>
  <c r="EJ54" i="4"/>
  <c r="ES54" i="4"/>
  <c r="L53" i="4"/>
  <c r="EH53" i="4"/>
  <c r="EQ53" i="4"/>
  <c r="BR51" i="4"/>
  <c r="EL51" i="4"/>
  <c r="EU51" i="4"/>
  <c r="BP50" i="4"/>
  <c r="ES50" i="4"/>
  <c r="EJ50" i="4"/>
  <c r="EH49" i="4"/>
  <c r="EQ49" i="4"/>
  <c r="P47" i="4"/>
  <c r="EL47" i="4"/>
  <c r="EU47" i="4"/>
  <c r="BP46" i="4"/>
  <c r="EJ46" i="4"/>
  <c r="ES46" i="4"/>
  <c r="EQ45" i="4"/>
  <c r="EH45" i="4"/>
  <c r="EL43" i="4"/>
  <c r="EU43" i="4"/>
  <c r="EJ41" i="4"/>
  <c r="ES41" i="4"/>
  <c r="BN40" i="4"/>
  <c r="EQ40" i="4"/>
  <c r="EH40" i="4"/>
  <c r="EU38" i="4"/>
  <c r="EL38" i="4"/>
  <c r="EJ37" i="4"/>
  <c r="ES37" i="4"/>
  <c r="EH36" i="4"/>
  <c r="EQ36" i="4"/>
  <c r="EU34" i="4"/>
  <c r="EL34" i="4"/>
  <c r="ES33" i="4"/>
  <c r="EJ33" i="4"/>
  <c r="EH32" i="4"/>
  <c r="EQ32" i="4"/>
  <c r="EL30" i="4"/>
  <c r="EU30" i="4"/>
  <c r="ES29" i="4"/>
  <c r="EJ29" i="4"/>
  <c r="EQ28" i="4"/>
  <c r="EH28" i="4"/>
  <c r="EL26" i="4"/>
  <c r="EU26" i="4"/>
  <c r="EJ25" i="4"/>
  <c r="ES25" i="4"/>
  <c r="EQ24" i="4"/>
  <c r="EH24" i="4"/>
  <c r="EU22" i="4"/>
  <c r="EL22" i="4"/>
  <c r="EJ21" i="4"/>
  <c r="ES21" i="4"/>
  <c r="EH20" i="4"/>
  <c r="EQ20" i="4"/>
  <c r="EU18" i="4"/>
  <c r="EL18" i="4"/>
  <c r="ES17" i="4"/>
  <c r="EJ17" i="4"/>
  <c r="EH16" i="4"/>
  <c r="EQ16" i="4"/>
  <c r="EL14" i="4"/>
  <c r="EU14" i="4"/>
  <c r="ES13" i="4"/>
  <c r="EJ13" i="4"/>
  <c r="EQ12" i="4"/>
  <c r="EH12" i="4"/>
  <c r="EL10" i="4"/>
  <c r="EU10" i="4"/>
  <c r="EJ9" i="4"/>
  <c r="ES9" i="4"/>
  <c r="L8" i="4"/>
  <c r="EQ8" i="4"/>
  <c r="EH8" i="4"/>
  <c r="EU6" i="4"/>
  <c r="EL6" i="4"/>
  <c r="AI16" i="5"/>
  <c r="V16" i="5"/>
  <c r="AB16" i="5"/>
  <c r="U16" i="5"/>
  <c r="AC16" i="5"/>
  <c r="AD16" i="5"/>
  <c r="W16" i="5"/>
  <c r="Y16" i="5"/>
  <c r="AA16" i="5"/>
  <c r="AJ16" i="5"/>
  <c r="X16" i="5"/>
  <c r="AE16" i="5"/>
  <c r="AH16" i="5"/>
  <c r="AG16" i="5"/>
  <c r="AF16" i="5"/>
  <c r="AZ42" i="4"/>
  <c r="AH42" i="4"/>
  <c r="BE42" i="4"/>
  <c r="DK42" i="4"/>
  <c r="U42" i="4"/>
  <c r="BD57" i="1"/>
  <c r="CZ57" i="1"/>
  <c r="CF57" i="1"/>
  <c r="AX28" i="4"/>
  <c r="CS42" i="4"/>
  <c r="K42" i="4"/>
  <c r="AG42" i="4"/>
  <c r="BD42" i="4"/>
  <c r="BQ42" i="4"/>
  <c r="DT42" i="4"/>
  <c r="X42" i="4"/>
  <c r="AU42" i="4"/>
  <c r="BV42" i="4"/>
  <c r="DO42" i="4"/>
  <c r="BZ42" i="4"/>
  <c r="CE42" i="4"/>
  <c r="CW42" i="4"/>
  <c r="O42" i="4"/>
  <c r="AY42" i="4"/>
  <c r="BN42" i="4"/>
  <c r="CJ42" i="4"/>
  <c r="CN42" i="4"/>
  <c r="DJ42" i="4"/>
  <c r="EC42" i="4"/>
  <c r="T42" i="4"/>
  <c r="AD42" i="4"/>
  <c r="AP42" i="4"/>
  <c r="BI42" i="4"/>
  <c r="L42" i="4"/>
  <c r="Y42" i="4"/>
  <c r="AC42" i="4"/>
  <c r="AM42" i="4"/>
  <c r="AV42" i="4"/>
  <c r="BH42" i="4"/>
  <c r="BM42" i="4"/>
  <c r="CI42" i="4"/>
  <c r="DA42" i="4"/>
  <c r="DF42" i="4"/>
  <c r="EB42" i="4"/>
  <c r="DW1" i="4"/>
  <c r="P30" i="3"/>
  <c r="AH30" i="3" s="1"/>
  <c r="CU57" i="1"/>
  <c r="AF14" i="5" s="1"/>
  <c r="CQ57" i="1"/>
  <c r="AB14" i="5" s="1"/>
  <c r="CM57" i="1"/>
  <c r="X14" i="5" s="1"/>
  <c r="CT57" i="1"/>
  <c r="AE14" i="5" s="1"/>
  <c r="CP57" i="1"/>
  <c r="AA14" i="5" s="1"/>
  <c r="CL57" i="1"/>
  <c r="W14" i="5" s="1"/>
  <c r="CR42" i="4"/>
  <c r="AU33" i="4"/>
  <c r="A26" i="5"/>
  <c r="AC55" i="4"/>
  <c r="BY42" i="4"/>
  <c r="DB42" i="4"/>
  <c r="F56" i="2"/>
  <c r="C30" i="3"/>
  <c r="U30" i="3" s="1"/>
  <c r="B5" i="3"/>
  <c r="I30" i="3"/>
  <c r="AA30" i="3" s="1"/>
  <c r="B11" i="3"/>
  <c r="AC19" i="4"/>
  <c r="O56" i="2"/>
  <c r="G56" i="2"/>
  <c r="BR42" i="4"/>
  <c r="BW42" i="4"/>
  <c r="CF42" i="4"/>
  <c r="CO42" i="4"/>
  <c r="CX42" i="4"/>
  <c r="DG42" i="4"/>
  <c r="DP42" i="4"/>
  <c r="N30" i="3"/>
  <c r="AF30" i="3" s="1"/>
  <c r="B16" i="3"/>
  <c r="J30" i="3"/>
  <c r="AB30" i="3" s="1"/>
  <c r="B12" i="3"/>
  <c r="F30" i="3"/>
  <c r="X30" i="3" s="1"/>
  <c r="B8" i="3"/>
  <c r="M56" i="2"/>
  <c r="E30" i="3"/>
  <c r="W30" i="3" s="1"/>
  <c r="B7" i="3"/>
  <c r="L56" i="2"/>
  <c r="K56" i="2"/>
  <c r="C56" i="2"/>
  <c r="C103" i="8" s="1"/>
  <c r="AB1" i="4"/>
  <c r="L30" i="3"/>
  <c r="AD30" i="3" s="1"/>
  <c r="B14" i="3"/>
  <c r="H30" i="3"/>
  <c r="Z30" i="3" s="1"/>
  <c r="B10" i="3"/>
  <c r="S1" i="4"/>
  <c r="B6" i="3"/>
  <c r="H56" i="2"/>
  <c r="D56" i="2"/>
  <c r="N56" i="2"/>
  <c r="M30" i="3"/>
  <c r="AE30" i="3" s="1"/>
  <c r="B15" i="3"/>
  <c r="I56" i="2"/>
  <c r="B56" i="2"/>
  <c r="B103" i="8" s="1"/>
  <c r="E56" i="2"/>
  <c r="J56" i="2"/>
  <c r="BX42" i="4"/>
  <c r="CM1" i="4"/>
  <c r="DN1" i="4"/>
  <c r="B17" i="3"/>
  <c r="CD1" i="4"/>
  <c r="K30" i="3"/>
  <c r="AC30" i="3" s="1"/>
  <c r="B13" i="3"/>
  <c r="AT1" i="4"/>
  <c r="B9" i="3"/>
  <c r="DI42" i="4"/>
  <c r="DH42" i="4"/>
  <c r="N42" i="4"/>
  <c r="CQ42" i="4"/>
  <c r="EA42" i="4"/>
  <c r="CP42" i="4"/>
  <c r="DZ42" i="4"/>
  <c r="J1" i="4"/>
  <c r="BC1" i="4"/>
  <c r="CV1" i="4"/>
  <c r="BL1" i="4"/>
  <c r="O30" i="3"/>
  <c r="AG30" i="3" s="1"/>
  <c r="G30" i="3"/>
  <c r="Y30" i="3" s="1"/>
  <c r="W42" i="4"/>
  <c r="AF42" i="4"/>
  <c r="AX42" i="4"/>
  <c r="V42" i="4"/>
  <c r="AE42" i="4"/>
  <c r="AN42" i="4"/>
  <c r="AW42" i="4"/>
  <c r="BF42" i="4"/>
  <c r="BP42" i="4"/>
  <c r="CH42" i="4"/>
  <c r="CZ42" i="4"/>
  <c r="DR42" i="4"/>
  <c r="AO42" i="4"/>
  <c r="BO42" i="4"/>
  <c r="CG42" i="4"/>
  <c r="CY42" i="4"/>
  <c r="P4" i="4"/>
  <c r="EC4" i="4"/>
  <c r="DT4" i="4"/>
  <c r="DK4" i="4"/>
  <c r="DB4" i="4"/>
  <c r="CS4" i="4"/>
  <c r="CJ4" i="4"/>
  <c r="CA4" i="4"/>
  <c r="BR4" i="4"/>
  <c r="AD4" i="4"/>
  <c r="DY4" i="4"/>
  <c r="DP4" i="4"/>
  <c r="DG4" i="4"/>
  <c r="CX4" i="4"/>
  <c r="CO4" i="4"/>
  <c r="CF4" i="4"/>
  <c r="BW4" i="4"/>
  <c r="BN4" i="4"/>
  <c r="V5" i="4"/>
  <c r="DZ5" i="4"/>
  <c r="DQ5" i="4"/>
  <c r="DH5" i="4"/>
  <c r="CY5" i="4"/>
  <c r="CP5" i="4"/>
  <c r="CG5" i="4"/>
  <c r="BX5" i="4"/>
  <c r="BO5" i="4"/>
  <c r="EB55" i="4"/>
  <c r="DS55" i="4"/>
  <c r="DJ55" i="4"/>
  <c r="CR55" i="4"/>
  <c r="DA55" i="4"/>
  <c r="BZ55" i="4"/>
  <c r="CI55" i="4"/>
  <c r="AU55" i="4"/>
  <c r="DO55" i="4"/>
  <c r="DX55" i="4"/>
  <c r="DF55" i="4"/>
  <c r="CW55" i="4"/>
  <c r="CN55" i="4"/>
  <c r="CE55" i="4"/>
  <c r="BV55" i="4"/>
  <c r="DZ54" i="4"/>
  <c r="DQ54" i="4"/>
  <c r="DH54" i="4"/>
  <c r="CY54" i="4"/>
  <c r="CP54" i="4"/>
  <c r="CG54" i="4"/>
  <c r="BX54" i="4"/>
  <c r="BO54" i="4"/>
  <c r="X53" i="4"/>
  <c r="DS53" i="4"/>
  <c r="EB53" i="4"/>
  <c r="DJ53" i="4"/>
  <c r="CR53" i="4"/>
  <c r="DA53" i="4"/>
  <c r="CI53" i="4"/>
  <c r="BZ53" i="4"/>
  <c r="AC53" i="4"/>
  <c r="DO53" i="4"/>
  <c r="DX53" i="4"/>
  <c r="DF53" i="4"/>
  <c r="CW53" i="4"/>
  <c r="CN53" i="4"/>
  <c r="BV53" i="4"/>
  <c r="CE53" i="4"/>
  <c r="M52" i="4"/>
  <c r="DZ52" i="4"/>
  <c r="DQ52" i="4"/>
  <c r="CY52" i="4"/>
  <c r="DH52" i="4"/>
  <c r="CP52" i="4"/>
  <c r="CG52" i="4"/>
  <c r="BX52" i="4"/>
  <c r="AY51" i="4"/>
  <c r="DS51" i="4"/>
  <c r="EB51" i="4"/>
  <c r="DJ51" i="4"/>
  <c r="CR51" i="4"/>
  <c r="DA51" i="4"/>
  <c r="BZ51" i="4"/>
  <c r="CI51" i="4"/>
  <c r="AC51" i="4"/>
  <c r="DO51" i="4"/>
  <c r="DX51" i="4"/>
  <c r="DF51" i="4"/>
  <c r="CW51" i="4"/>
  <c r="CN51" i="4"/>
  <c r="BV51" i="4"/>
  <c r="CE51" i="4"/>
  <c r="AE50" i="4"/>
  <c r="DZ50" i="4"/>
  <c r="DQ50" i="4"/>
  <c r="DH50" i="4"/>
  <c r="CY50" i="4"/>
  <c r="CP50" i="4"/>
  <c r="CG50" i="4"/>
  <c r="BX50" i="4"/>
  <c r="BO50" i="4"/>
  <c r="DS49" i="4"/>
  <c r="EB49" i="4"/>
  <c r="DJ49" i="4"/>
  <c r="CR49" i="4"/>
  <c r="DA49" i="4"/>
  <c r="CI49" i="4"/>
  <c r="BZ49" i="4"/>
  <c r="K49" i="4"/>
  <c r="DO49" i="4"/>
  <c r="DX49" i="4"/>
  <c r="DF49" i="4"/>
  <c r="CW49" i="4"/>
  <c r="CN49" i="4"/>
  <c r="BV49" i="4"/>
  <c r="CE49" i="4"/>
  <c r="AW48" i="4"/>
  <c r="DZ48" i="4"/>
  <c r="DQ48" i="4"/>
  <c r="CY48" i="4"/>
  <c r="DH48" i="4"/>
  <c r="CP48" i="4"/>
  <c r="CG48" i="4"/>
  <c r="BX48" i="4"/>
  <c r="AG47" i="4"/>
  <c r="DS47" i="4"/>
  <c r="EB47" i="4"/>
  <c r="DJ47" i="4"/>
  <c r="DA47" i="4"/>
  <c r="CR47" i="4"/>
  <c r="BZ47" i="4"/>
  <c r="CI47" i="4"/>
  <c r="DO47" i="4"/>
  <c r="DX47" i="4"/>
  <c r="DF47" i="4"/>
  <c r="CN47" i="4"/>
  <c r="CW47" i="4"/>
  <c r="BV47" i="4"/>
  <c r="CE47" i="4"/>
  <c r="BF46" i="4"/>
  <c r="DZ46" i="4"/>
  <c r="DQ46" i="4"/>
  <c r="DH46" i="4"/>
  <c r="CY46" i="4"/>
  <c r="CP46" i="4"/>
  <c r="CG46" i="4"/>
  <c r="BX46" i="4"/>
  <c r="BO46" i="4"/>
  <c r="DS45" i="4"/>
  <c r="EB45" i="4"/>
  <c r="DJ45" i="4"/>
  <c r="CR45" i="4"/>
  <c r="DA45" i="4"/>
  <c r="CI45" i="4"/>
  <c r="BZ45" i="4"/>
  <c r="AU45" i="4"/>
  <c r="DO45" i="4"/>
  <c r="DX45" i="4"/>
  <c r="DF45" i="4"/>
  <c r="CW45" i="4"/>
  <c r="CN45" i="4"/>
  <c r="BV45" i="4"/>
  <c r="CE45" i="4"/>
  <c r="AE44" i="4"/>
  <c r="DZ44" i="4"/>
  <c r="DQ44" i="4"/>
  <c r="CY44" i="4"/>
  <c r="CP44" i="4"/>
  <c r="DH44" i="4"/>
  <c r="CG44" i="4"/>
  <c r="BX44" i="4"/>
  <c r="BO44" i="4"/>
  <c r="AG43" i="4"/>
  <c r="DS43" i="4"/>
  <c r="EB43" i="4"/>
  <c r="DJ43" i="4"/>
  <c r="CR43" i="4"/>
  <c r="DA43" i="4"/>
  <c r="BZ43" i="4"/>
  <c r="CI43" i="4"/>
  <c r="AC43" i="4"/>
  <c r="DO43" i="4"/>
  <c r="DX43" i="4"/>
  <c r="DF43" i="4"/>
  <c r="CW43" i="4"/>
  <c r="CN43" i="4"/>
  <c r="BV43" i="4"/>
  <c r="CE43" i="4"/>
  <c r="AG41" i="4"/>
  <c r="EB41" i="4"/>
  <c r="DS41" i="4"/>
  <c r="DJ41" i="4"/>
  <c r="DA41" i="4"/>
  <c r="CR41" i="4"/>
  <c r="CI41" i="4"/>
  <c r="BZ41" i="4"/>
  <c r="DX41" i="4"/>
  <c r="DO41" i="4"/>
  <c r="DF41" i="4"/>
  <c r="CN41" i="4"/>
  <c r="CW41" i="4"/>
  <c r="CE41" i="4"/>
  <c r="BV41" i="4"/>
  <c r="DZ40" i="4"/>
  <c r="DQ40" i="4"/>
  <c r="CY40" i="4"/>
  <c r="CP40" i="4"/>
  <c r="DH40" i="4"/>
  <c r="CG40" i="4"/>
  <c r="BX40" i="4"/>
  <c r="BO40" i="4"/>
  <c r="AY39" i="4"/>
  <c r="EB39" i="4"/>
  <c r="DS39" i="4"/>
  <c r="DJ39" i="4"/>
  <c r="DA39" i="4"/>
  <c r="CR39" i="4"/>
  <c r="BZ39" i="4"/>
  <c r="CI39" i="4"/>
  <c r="AU39" i="4"/>
  <c r="DX39" i="4"/>
  <c r="DO39" i="4"/>
  <c r="DF39" i="4"/>
  <c r="CN39" i="4"/>
  <c r="CW39" i="4"/>
  <c r="CE39" i="4"/>
  <c r="BV39" i="4"/>
  <c r="V38" i="4"/>
  <c r="DZ38" i="4"/>
  <c r="DQ38" i="4"/>
  <c r="DH38" i="4"/>
  <c r="CY38" i="4"/>
  <c r="CP38" i="4"/>
  <c r="CG38" i="4"/>
  <c r="BX38" i="4"/>
  <c r="BO38" i="4"/>
  <c r="EB37" i="4"/>
  <c r="DS37" i="4"/>
  <c r="DJ37" i="4"/>
  <c r="DA37" i="4"/>
  <c r="CR37" i="4"/>
  <c r="CI37" i="4"/>
  <c r="BZ37" i="4"/>
  <c r="BQ37" i="4"/>
  <c r="DX37" i="4"/>
  <c r="DO37" i="4"/>
  <c r="DF37" i="4"/>
  <c r="CN37" i="4"/>
  <c r="CW37" i="4"/>
  <c r="CE37" i="4"/>
  <c r="BV37" i="4"/>
  <c r="BM37" i="4"/>
  <c r="DZ36" i="4"/>
  <c r="DQ36" i="4"/>
  <c r="CY36" i="4"/>
  <c r="CP36" i="4"/>
  <c r="DH36" i="4"/>
  <c r="CG36" i="4"/>
  <c r="BX36" i="4"/>
  <c r="BO36" i="4"/>
  <c r="BH35" i="4"/>
  <c r="EB35" i="4"/>
  <c r="DS35" i="4"/>
  <c r="DJ35" i="4"/>
  <c r="DA35" i="4"/>
  <c r="CR35" i="4"/>
  <c r="BZ35" i="4"/>
  <c r="BQ35" i="4"/>
  <c r="CI35" i="4"/>
  <c r="T35" i="4"/>
  <c r="DX35" i="4"/>
  <c r="DO35" i="4"/>
  <c r="DF35" i="4"/>
  <c r="CW35" i="4"/>
  <c r="CN35" i="4"/>
  <c r="CE35" i="4"/>
  <c r="BV35" i="4"/>
  <c r="BM35" i="4"/>
  <c r="AE34" i="4"/>
  <c r="DZ34" i="4"/>
  <c r="DQ34" i="4"/>
  <c r="DH34" i="4"/>
  <c r="CY34" i="4"/>
  <c r="CP34" i="4"/>
  <c r="CG34" i="4"/>
  <c r="BX34" i="4"/>
  <c r="BO34" i="4"/>
  <c r="AP33" i="4"/>
  <c r="EB33" i="4"/>
  <c r="DS33" i="4"/>
  <c r="DJ33" i="4"/>
  <c r="DA33" i="4"/>
  <c r="CR33" i="4"/>
  <c r="CI33" i="4"/>
  <c r="BZ33" i="4"/>
  <c r="BQ33" i="4"/>
  <c r="DX33" i="4"/>
  <c r="DO33" i="4"/>
  <c r="DF33" i="4"/>
  <c r="CW33" i="4"/>
  <c r="CN33" i="4"/>
  <c r="CE33" i="4"/>
  <c r="BV33" i="4"/>
  <c r="BM33" i="4"/>
  <c r="V32" i="4"/>
  <c r="DZ32" i="4"/>
  <c r="DQ32" i="4"/>
  <c r="CY32" i="4"/>
  <c r="CP32" i="4"/>
  <c r="DH32" i="4"/>
  <c r="CG32" i="4"/>
  <c r="BX32" i="4"/>
  <c r="BO32" i="4"/>
  <c r="EB31" i="4"/>
  <c r="DS31" i="4"/>
  <c r="DJ31" i="4"/>
  <c r="DA31" i="4"/>
  <c r="CR31" i="4"/>
  <c r="BZ31" i="4"/>
  <c r="BQ31" i="4"/>
  <c r="CI31" i="4"/>
  <c r="DX31" i="4"/>
  <c r="DO31" i="4"/>
  <c r="DF31" i="4"/>
  <c r="CW31" i="4"/>
  <c r="CN31" i="4"/>
  <c r="CE31" i="4"/>
  <c r="BV31" i="4"/>
  <c r="BM31" i="4"/>
  <c r="DZ30" i="4"/>
  <c r="DQ30" i="4"/>
  <c r="DH30" i="4"/>
  <c r="CY30" i="4"/>
  <c r="CP30" i="4"/>
  <c r="CG30" i="4"/>
  <c r="BX30" i="4"/>
  <c r="BO30" i="4"/>
  <c r="O29" i="4"/>
  <c r="EB29" i="4"/>
  <c r="DS29" i="4"/>
  <c r="DJ29" i="4"/>
  <c r="DA29" i="4"/>
  <c r="CR29" i="4"/>
  <c r="CI29" i="4"/>
  <c r="BZ29" i="4"/>
  <c r="BQ29" i="4"/>
  <c r="AL29" i="4"/>
  <c r="DX29" i="4"/>
  <c r="DO29" i="4"/>
  <c r="DF29" i="4"/>
  <c r="CW29" i="4"/>
  <c r="CN29" i="4"/>
  <c r="CE29" i="4"/>
  <c r="BV29" i="4"/>
  <c r="BM29" i="4"/>
  <c r="DZ28" i="4"/>
  <c r="DQ28" i="4"/>
  <c r="CY28" i="4"/>
  <c r="CP28" i="4"/>
  <c r="DH28" i="4"/>
  <c r="CG28" i="4"/>
  <c r="BX28" i="4"/>
  <c r="BO28" i="4"/>
  <c r="AY27" i="4"/>
  <c r="EB27" i="4"/>
  <c r="DS27" i="4"/>
  <c r="DJ27" i="4"/>
  <c r="DA27" i="4"/>
  <c r="CR27" i="4"/>
  <c r="BZ27" i="4"/>
  <c r="BQ27" i="4"/>
  <c r="CI27" i="4"/>
  <c r="DX27" i="4"/>
  <c r="DO27" i="4"/>
  <c r="DF27" i="4"/>
  <c r="CW27" i="4"/>
  <c r="CN27" i="4"/>
  <c r="CE27" i="4"/>
  <c r="BV27" i="4"/>
  <c r="BM27" i="4"/>
  <c r="V26" i="4"/>
  <c r="DZ26" i="4"/>
  <c r="DQ26" i="4"/>
  <c r="DH26" i="4"/>
  <c r="CY26" i="4"/>
  <c r="CP26" i="4"/>
  <c r="CG26" i="4"/>
  <c r="BX26" i="4"/>
  <c r="BO26" i="4"/>
  <c r="AG25" i="4"/>
  <c r="EB25" i="4"/>
  <c r="DS25" i="4"/>
  <c r="DJ25" i="4"/>
  <c r="DA25" i="4"/>
  <c r="CR25" i="4"/>
  <c r="CI25" i="4"/>
  <c r="BZ25" i="4"/>
  <c r="BQ25" i="4"/>
  <c r="AC25" i="4"/>
  <c r="DX25" i="4"/>
  <c r="DO25" i="4"/>
  <c r="DF25" i="4"/>
  <c r="CW25" i="4"/>
  <c r="CN25" i="4"/>
  <c r="CE25" i="4"/>
  <c r="BV25" i="4"/>
  <c r="BM25" i="4"/>
  <c r="AN24" i="4"/>
  <c r="DZ24" i="4"/>
  <c r="DQ24" i="4"/>
  <c r="DH24" i="4"/>
  <c r="CY24" i="4"/>
  <c r="CP24" i="4"/>
  <c r="CG24" i="4"/>
  <c r="BX24" i="4"/>
  <c r="BO24" i="4"/>
  <c r="X23" i="4"/>
  <c r="EB23" i="4"/>
  <c r="DS23" i="4"/>
  <c r="DJ23" i="4"/>
  <c r="DA23" i="4"/>
  <c r="CR23" i="4"/>
  <c r="BZ23" i="4"/>
  <c r="BQ23" i="4"/>
  <c r="CI23" i="4"/>
  <c r="AC23" i="4"/>
  <c r="DX23" i="4"/>
  <c r="DO23" i="4"/>
  <c r="DF23" i="4"/>
  <c r="CW23" i="4"/>
  <c r="CN23" i="4"/>
  <c r="CE23" i="4"/>
  <c r="BV23" i="4"/>
  <c r="BM23" i="4"/>
  <c r="DZ22" i="4"/>
  <c r="DQ22" i="4"/>
  <c r="DH22" i="4"/>
  <c r="CY22" i="4"/>
  <c r="CP22" i="4"/>
  <c r="CG22" i="4"/>
  <c r="BX22" i="4"/>
  <c r="BO22" i="4"/>
  <c r="EB21" i="4"/>
  <c r="DS21" i="4"/>
  <c r="DJ21" i="4"/>
  <c r="DA21" i="4"/>
  <c r="CR21" i="4"/>
  <c r="CI21" i="4"/>
  <c r="BZ21" i="4"/>
  <c r="BQ21" i="4"/>
  <c r="AL21" i="4"/>
  <c r="DX21" i="4"/>
  <c r="DO21" i="4"/>
  <c r="DF21" i="4"/>
  <c r="CW21" i="4"/>
  <c r="CN21" i="4"/>
  <c r="CE21" i="4"/>
  <c r="BV21" i="4"/>
  <c r="BM21" i="4"/>
  <c r="DZ20" i="4"/>
  <c r="DQ20" i="4"/>
  <c r="DH20" i="4"/>
  <c r="CP20" i="4"/>
  <c r="CY20" i="4"/>
  <c r="CG20" i="4"/>
  <c r="BX20" i="4"/>
  <c r="BO20" i="4"/>
  <c r="AG19" i="4"/>
  <c r="EB19" i="4"/>
  <c r="DS19" i="4"/>
  <c r="DJ19" i="4"/>
  <c r="DA19" i="4"/>
  <c r="CR19" i="4"/>
  <c r="BQ19" i="4"/>
  <c r="CI19" i="4"/>
  <c r="BZ19" i="4"/>
  <c r="T19" i="4"/>
  <c r="DX19" i="4"/>
  <c r="DO19" i="4"/>
  <c r="DF19" i="4"/>
  <c r="CW19" i="4"/>
  <c r="CN19" i="4"/>
  <c r="CE19" i="4"/>
  <c r="BM19" i="4"/>
  <c r="BV19" i="4"/>
  <c r="AN18" i="4"/>
  <c r="DZ18" i="4"/>
  <c r="DQ18" i="4"/>
  <c r="DH18" i="4"/>
  <c r="CY18" i="4"/>
  <c r="CP18" i="4"/>
  <c r="CG18" i="4"/>
  <c r="BX18" i="4"/>
  <c r="BO18" i="4"/>
  <c r="EB17" i="4"/>
  <c r="DS17" i="4"/>
  <c r="DJ17" i="4"/>
  <c r="DA17" i="4"/>
  <c r="CI17" i="4"/>
  <c r="CR17" i="4"/>
  <c r="BQ17" i="4"/>
  <c r="BZ17" i="4"/>
  <c r="AU17" i="4"/>
  <c r="DX17" i="4"/>
  <c r="DO17" i="4"/>
  <c r="DF17" i="4"/>
  <c r="CW17" i="4"/>
  <c r="CN17" i="4"/>
  <c r="CE17" i="4"/>
  <c r="BV17" i="4"/>
  <c r="BM17" i="4"/>
  <c r="DZ16" i="4"/>
  <c r="DQ16" i="4"/>
  <c r="DH16" i="4"/>
  <c r="CP16" i="4"/>
  <c r="CY16" i="4"/>
  <c r="CG16" i="4"/>
  <c r="BX16" i="4"/>
  <c r="BO16" i="4"/>
  <c r="AG15" i="4"/>
  <c r="EB15" i="4"/>
  <c r="DS15" i="4"/>
  <c r="DJ15" i="4"/>
  <c r="DA15" i="4"/>
  <c r="CR15" i="4"/>
  <c r="CI15" i="4"/>
  <c r="BZ15" i="4"/>
  <c r="BQ15" i="4"/>
  <c r="AL15" i="4"/>
  <c r="DX15" i="4"/>
  <c r="DO15" i="4"/>
  <c r="DF15" i="4"/>
  <c r="CW15" i="4"/>
  <c r="CN15" i="4"/>
  <c r="CE15" i="4"/>
  <c r="BM15" i="4"/>
  <c r="BV15" i="4"/>
  <c r="DZ14" i="4"/>
  <c r="DQ14" i="4"/>
  <c r="DH14" i="4"/>
  <c r="CY14" i="4"/>
  <c r="CP14" i="4"/>
  <c r="CG14" i="4"/>
  <c r="BX14" i="4"/>
  <c r="BO14" i="4"/>
  <c r="EB13" i="4"/>
  <c r="DS13" i="4"/>
  <c r="DJ13" i="4"/>
  <c r="DA13" i="4"/>
  <c r="CI13" i="4"/>
  <c r="CR13" i="4"/>
  <c r="BZ13" i="4"/>
  <c r="BQ13" i="4"/>
  <c r="BD13" i="4"/>
  <c r="DX13" i="4"/>
  <c r="DO13" i="4"/>
  <c r="DF13" i="4"/>
  <c r="CW13" i="4"/>
  <c r="CN13" i="4"/>
  <c r="CE13" i="4"/>
  <c r="BV13" i="4"/>
  <c r="BM13" i="4"/>
  <c r="AE12" i="4"/>
  <c r="DZ12" i="4"/>
  <c r="DQ12" i="4"/>
  <c r="DH12" i="4"/>
  <c r="CP12" i="4"/>
  <c r="CY12" i="4"/>
  <c r="CG12" i="4"/>
  <c r="BX12" i="4"/>
  <c r="BO12" i="4"/>
  <c r="EB11" i="4"/>
  <c r="DS11" i="4"/>
  <c r="DJ11" i="4"/>
  <c r="DA11" i="4"/>
  <c r="CR11" i="4"/>
  <c r="CI11" i="4"/>
  <c r="BQ11" i="4"/>
  <c r="BZ11" i="4"/>
  <c r="DX11" i="4"/>
  <c r="DO11" i="4"/>
  <c r="DF11" i="4"/>
  <c r="CW11" i="4"/>
  <c r="CN11" i="4"/>
  <c r="CE11" i="4"/>
  <c r="BM11" i="4"/>
  <c r="BV11" i="4"/>
  <c r="DZ10" i="4"/>
  <c r="DQ10" i="4"/>
  <c r="DH10" i="4"/>
  <c r="CY10" i="4"/>
  <c r="CP10" i="4"/>
  <c r="CG10" i="4"/>
  <c r="BX10" i="4"/>
  <c r="BO10" i="4"/>
  <c r="AP9" i="4"/>
  <c r="EB9" i="4"/>
  <c r="DS9" i="4"/>
  <c r="DJ9" i="4"/>
  <c r="DA9" i="4"/>
  <c r="CI9" i="4"/>
  <c r="CR9" i="4"/>
  <c r="BQ9" i="4"/>
  <c r="BZ9" i="4"/>
  <c r="DX9" i="4"/>
  <c r="DO9" i="4"/>
  <c r="DF9" i="4"/>
  <c r="CW9" i="4"/>
  <c r="CN9" i="4"/>
  <c r="CE9" i="4"/>
  <c r="BV9" i="4"/>
  <c r="BM9" i="4"/>
  <c r="DZ8" i="4"/>
  <c r="DQ8" i="4"/>
  <c r="DH8" i="4"/>
  <c r="CP8" i="4"/>
  <c r="CY8" i="4"/>
  <c r="CG8" i="4"/>
  <c r="BX8" i="4"/>
  <c r="BO8" i="4"/>
  <c r="AP7" i="4"/>
  <c r="EB7" i="4"/>
  <c r="DS7" i="4"/>
  <c r="DJ7" i="4"/>
  <c r="DA7" i="4"/>
  <c r="CR7" i="4"/>
  <c r="CI7" i="4"/>
  <c r="BZ7" i="4"/>
  <c r="BQ7" i="4"/>
  <c r="DX7" i="4"/>
  <c r="DO7" i="4"/>
  <c r="DF7" i="4"/>
  <c r="CW7" i="4"/>
  <c r="CN7" i="4"/>
  <c r="CE7" i="4"/>
  <c r="BM7" i="4"/>
  <c r="BV7" i="4"/>
  <c r="V6" i="4"/>
  <c r="DZ6" i="4"/>
  <c r="DQ6" i="4"/>
  <c r="DH6" i="4"/>
  <c r="CY6" i="4"/>
  <c r="CP6" i="4"/>
  <c r="CG6" i="4"/>
  <c r="BX6" i="4"/>
  <c r="BO6" i="4"/>
  <c r="BQ55" i="4"/>
  <c r="BM49" i="4"/>
  <c r="BO48" i="4"/>
  <c r="BQ47" i="4"/>
  <c r="BQ45" i="4"/>
  <c r="BQ43" i="4"/>
  <c r="O4" i="4"/>
  <c r="EB4" i="4"/>
  <c r="DS4" i="4"/>
  <c r="DJ4" i="4"/>
  <c r="CR4" i="4"/>
  <c r="DA4" i="4"/>
  <c r="BZ4" i="4"/>
  <c r="CI4" i="4"/>
  <c r="EC5" i="4"/>
  <c r="DT5" i="4"/>
  <c r="DK5" i="4"/>
  <c r="DB5" i="4"/>
  <c r="CS5" i="4"/>
  <c r="CJ5" i="4"/>
  <c r="CA5" i="4"/>
  <c r="BR5" i="4"/>
  <c r="DY5" i="4"/>
  <c r="DP5" i="4"/>
  <c r="DG5" i="4"/>
  <c r="CX5" i="4"/>
  <c r="CO5" i="4"/>
  <c r="CF5" i="4"/>
  <c r="BW5" i="4"/>
  <c r="BN5" i="4"/>
  <c r="AF55" i="4"/>
  <c r="EA55" i="4"/>
  <c r="DR55" i="4"/>
  <c r="DI55" i="4"/>
  <c r="CZ55" i="4"/>
  <c r="CQ55" i="4"/>
  <c r="CH55" i="4"/>
  <c r="BY55" i="4"/>
  <c r="BP55" i="4"/>
  <c r="DT54" i="4"/>
  <c r="EC54" i="4"/>
  <c r="DK54" i="4"/>
  <c r="CS54" i="4"/>
  <c r="DB54" i="4"/>
  <c r="CJ54" i="4"/>
  <c r="CA54" i="4"/>
  <c r="DP54" i="4"/>
  <c r="DY54" i="4"/>
  <c r="DG54" i="4"/>
  <c r="CO54" i="4"/>
  <c r="CX54" i="4"/>
  <c r="BW54" i="4"/>
  <c r="CF54" i="4"/>
  <c r="W53" i="4"/>
  <c r="EA53" i="4"/>
  <c r="DR53" i="4"/>
  <c r="CZ53" i="4"/>
  <c r="DI53" i="4"/>
  <c r="CQ53" i="4"/>
  <c r="CH53" i="4"/>
  <c r="BY53" i="4"/>
  <c r="DT52" i="4"/>
  <c r="EC52" i="4"/>
  <c r="DK52" i="4"/>
  <c r="DB52" i="4"/>
  <c r="CS52" i="4"/>
  <c r="CA52" i="4"/>
  <c r="CJ52" i="4"/>
  <c r="DP52" i="4"/>
  <c r="DG52" i="4"/>
  <c r="DY52" i="4"/>
  <c r="CO52" i="4"/>
  <c r="CX52" i="4"/>
  <c r="BW52" i="4"/>
  <c r="CF52" i="4"/>
  <c r="N51" i="4"/>
  <c r="EA51" i="4"/>
  <c r="DR51" i="4"/>
  <c r="DI51" i="4"/>
  <c r="CZ51" i="4"/>
  <c r="CQ51" i="4"/>
  <c r="CH51" i="4"/>
  <c r="BY51" i="4"/>
  <c r="BP51" i="4"/>
  <c r="DT50" i="4"/>
  <c r="EC50" i="4"/>
  <c r="DK50" i="4"/>
  <c r="CS50" i="4"/>
  <c r="DB50" i="4"/>
  <c r="CJ50" i="4"/>
  <c r="CA50" i="4"/>
  <c r="DP50" i="4"/>
  <c r="DY50" i="4"/>
  <c r="DG50" i="4"/>
  <c r="CX50" i="4"/>
  <c r="CO50" i="4"/>
  <c r="BW50" i="4"/>
  <c r="CF50" i="4"/>
  <c r="EA49" i="4"/>
  <c r="DR49" i="4"/>
  <c r="CZ49" i="4"/>
  <c r="DI49" i="4"/>
  <c r="CQ49" i="4"/>
  <c r="CH49" i="4"/>
  <c r="BY49" i="4"/>
  <c r="DT48" i="4"/>
  <c r="EC48" i="4"/>
  <c r="DK48" i="4"/>
  <c r="CS48" i="4"/>
  <c r="DB48" i="4"/>
  <c r="CA48" i="4"/>
  <c r="CJ48" i="4"/>
  <c r="DP48" i="4"/>
  <c r="DG48" i="4"/>
  <c r="DY48" i="4"/>
  <c r="CX48" i="4"/>
  <c r="CO48" i="4"/>
  <c r="BW48" i="4"/>
  <c r="CF48" i="4"/>
  <c r="EA47" i="4"/>
  <c r="DR47" i="4"/>
  <c r="DI47" i="4"/>
  <c r="CZ47" i="4"/>
  <c r="CQ47" i="4"/>
  <c r="CH47" i="4"/>
  <c r="BY47" i="4"/>
  <c r="BP47" i="4"/>
  <c r="P46" i="4"/>
  <c r="DT46" i="4"/>
  <c r="EC46" i="4"/>
  <c r="DK46" i="4"/>
  <c r="CS46" i="4"/>
  <c r="DB46" i="4"/>
  <c r="CJ46" i="4"/>
  <c r="CA46" i="4"/>
  <c r="U46" i="4"/>
  <c r="DP46" i="4"/>
  <c r="DY46" i="4"/>
  <c r="DG46" i="4"/>
  <c r="CX46" i="4"/>
  <c r="CO46" i="4"/>
  <c r="BW46" i="4"/>
  <c r="CF46" i="4"/>
  <c r="EA45" i="4"/>
  <c r="DR45" i="4"/>
  <c r="CZ45" i="4"/>
  <c r="CQ45" i="4"/>
  <c r="DI45" i="4"/>
  <c r="CH45" i="4"/>
  <c r="BY45" i="4"/>
  <c r="BP45" i="4"/>
  <c r="DT44" i="4"/>
  <c r="EC44" i="4"/>
  <c r="DK44" i="4"/>
  <c r="CS44" i="4"/>
  <c r="DB44" i="4"/>
  <c r="CA44" i="4"/>
  <c r="CJ44" i="4"/>
  <c r="DP44" i="4"/>
  <c r="DG44" i="4"/>
  <c r="DY44" i="4"/>
  <c r="CX44" i="4"/>
  <c r="CO44" i="4"/>
  <c r="BW44" i="4"/>
  <c r="CF44" i="4"/>
  <c r="EA43" i="4"/>
  <c r="DR43" i="4"/>
  <c r="DI43" i="4"/>
  <c r="CZ43" i="4"/>
  <c r="CQ43" i="4"/>
  <c r="CH43" i="4"/>
  <c r="BY43" i="4"/>
  <c r="BP43" i="4"/>
  <c r="W41" i="4"/>
  <c r="EA41" i="4"/>
  <c r="DR41" i="4"/>
  <c r="CZ41" i="4"/>
  <c r="CQ41" i="4"/>
  <c r="DI41" i="4"/>
  <c r="CH41" i="4"/>
  <c r="BY41" i="4"/>
  <c r="BP41" i="4"/>
  <c r="P40" i="4"/>
  <c r="EC40" i="4"/>
  <c r="DT40" i="4"/>
  <c r="DK40" i="4"/>
  <c r="DB40" i="4"/>
  <c r="CS40" i="4"/>
  <c r="CA40" i="4"/>
  <c r="CJ40" i="4"/>
  <c r="DY40" i="4"/>
  <c r="DP40" i="4"/>
  <c r="DG40" i="4"/>
  <c r="CO40" i="4"/>
  <c r="CX40" i="4"/>
  <c r="CF40" i="4"/>
  <c r="BW40" i="4"/>
  <c r="EA39" i="4"/>
  <c r="DR39" i="4"/>
  <c r="DI39" i="4"/>
  <c r="CZ39" i="4"/>
  <c r="CQ39" i="4"/>
  <c r="CH39" i="4"/>
  <c r="BY39" i="4"/>
  <c r="BP39" i="4"/>
  <c r="AH38" i="4"/>
  <c r="EC38" i="4"/>
  <c r="DT38" i="4"/>
  <c r="DK38" i="4"/>
  <c r="DB38" i="4"/>
  <c r="CS38" i="4"/>
  <c r="CJ38" i="4"/>
  <c r="CA38" i="4"/>
  <c r="BR38" i="4"/>
  <c r="DY38" i="4"/>
  <c r="DP38" i="4"/>
  <c r="DG38" i="4"/>
  <c r="CO38" i="4"/>
  <c r="CX38" i="4"/>
  <c r="CF38" i="4"/>
  <c r="BW38" i="4"/>
  <c r="BN38" i="4"/>
  <c r="EA37" i="4"/>
  <c r="DR37" i="4"/>
  <c r="CZ37" i="4"/>
  <c r="CQ37" i="4"/>
  <c r="DI37" i="4"/>
  <c r="CH37" i="4"/>
  <c r="BY37" i="4"/>
  <c r="BP37" i="4"/>
  <c r="EC36" i="4"/>
  <c r="DT36" i="4"/>
  <c r="DK36" i="4"/>
  <c r="DB36" i="4"/>
  <c r="CS36" i="4"/>
  <c r="CA36" i="4"/>
  <c r="CJ36" i="4"/>
  <c r="DY36" i="4"/>
  <c r="DP36" i="4"/>
  <c r="DG36" i="4"/>
  <c r="CX36" i="4"/>
  <c r="CO36" i="4"/>
  <c r="CF36" i="4"/>
  <c r="BW36" i="4"/>
  <c r="N35" i="4"/>
  <c r="EA35" i="4"/>
  <c r="DR35" i="4"/>
  <c r="DI35" i="4"/>
  <c r="CZ35" i="4"/>
  <c r="CQ35" i="4"/>
  <c r="CH35" i="4"/>
  <c r="BY35" i="4"/>
  <c r="BP35" i="4"/>
  <c r="EC34" i="4"/>
  <c r="DT34" i="4"/>
  <c r="DK34" i="4"/>
  <c r="DB34" i="4"/>
  <c r="CS34" i="4"/>
  <c r="CJ34" i="4"/>
  <c r="CA34" i="4"/>
  <c r="BR34" i="4"/>
  <c r="DY34" i="4"/>
  <c r="DP34" i="4"/>
  <c r="DG34" i="4"/>
  <c r="CX34" i="4"/>
  <c r="CO34" i="4"/>
  <c r="CF34" i="4"/>
  <c r="BW34" i="4"/>
  <c r="BN34" i="4"/>
  <c r="EA33" i="4"/>
  <c r="DR33" i="4"/>
  <c r="CZ33" i="4"/>
  <c r="CQ33" i="4"/>
  <c r="DI33" i="4"/>
  <c r="CH33" i="4"/>
  <c r="BY33" i="4"/>
  <c r="BP33" i="4"/>
  <c r="P32" i="4"/>
  <c r="EC32" i="4"/>
  <c r="DT32" i="4"/>
  <c r="DK32" i="4"/>
  <c r="DB32" i="4"/>
  <c r="CS32" i="4"/>
  <c r="CA32" i="4"/>
  <c r="BR32" i="4"/>
  <c r="CJ32" i="4"/>
  <c r="DY32" i="4"/>
  <c r="DP32" i="4"/>
  <c r="DG32" i="4"/>
  <c r="CX32" i="4"/>
  <c r="CO32" i="4"/>
  <c r="CF32" i="4"/>
  <c r="BW32" i="4"/>
  <c r="BN32" i="4"/>
  <c r="EA31" i="4"/>
  <c r="DR31" i="4"/>
  <c r="DI31" i="4"/>
  <c r="CZ31" i="4"/>
  <c r="CQ31" i="4"/>
  <c r="CH31" i="4"/>
  <c r="BY31" i="4"/>
  <c r="BP31" i="4"/>
  <c r="EC30" i="4"/>
  <c r="DT30" i="4"/>
  <c r="DK30" i="4"/>
  <c r="DB30" i="4"/>
  <c r="CS30" i="4"/>
  <c r="CJ30" i="4"/>
  <c r="CA30" i="4"/>
  <c r="BR30" i="4"/>
  <c r="DY30" i="4"/>
  <c r="DP30" i="4"/>
  <c r="DG30" i="4"/>
  <c r="CX30" i="4"/>
  <c r="CO30" i="4"/>
  <c r="CF30" i="4"/>
  <c r="BW30" i="4"/>
  <c r="BN30" i="4"/>
  <c r="EA29" i="4"/>
  <c r="DR29" i="4"/>
  <c r="CZ29" i="4"/>
  <c r="CQ29" i="4"/>
  <c r="DI29" i="4"/>
  <c r="CH29" i="4"/>
  <c r="BY29" i="4"/>
  <c r="BP29" i="4"/>
  <c r="EC28" i="4"/>
  <c r="DT28" i="4"/>
  <c r="DK28" i="4"/>
  <c r="DB28" i="4"/>
  <c r="CS28" i="4"/>
  <c r="CA28" i="4"/>
  <c r="BR28" i="4"/>
  <c r="CJ28" i="4"/>
  <c r="DY28" i="4"/>
  <c r="DP28" i="4"/>
  <c r="DG28" i="4"/>
  <c r="CX28" i="4"/>
  <c r="CO28" i="4"/>
  <c r="CF28" i="4"/>
  <c r="BW28" i="4"/>
  <c r="BN28" i="4"/>
  <c r="N27" i="4"/>
  <c r="EA27" i="4"/>
  <c r="DR27" i="4"/>
  <c r="DI27" i="4"/>
  <c r="CZ27" i="4"/>
  <c r="CQ27" i="4"/>
  <c r="CH27" i="4"/>
  <c r="BY27" i="4"/>
  <c r="BP27" i="4"/>
  <c r="EC26" i="4"/>
  <c r="DT26" i="4"/>
  <c r="DK26" i="4"/>
  <c r="DB26" i="4"/>
  <c r="CS26" i="4"/>
  <c r="CJ26" i="4"/>
  <c r="CA26" i="4"/>
  <c r="BR26" i="4"/>
  <c r="DY26" i="4"/>
  <c r="DP26" i="4"/>
  <c r="DG26" i="4"/>
  <c r="CX26" i="4"/>
  <c r="CO26" i="4"/>
  <c r="CF26" i="4"/>
  <c r="BW26" i="4"/>
  <c r="BN26" i="4"/>
  <c r="EA25" i="4"/>
  <c r="DR25" i="4"/>
  <c r="DI25" i="4"/>
  <c r="CQ25" i="4"/>
  <c r="CZ25" i="4"/>
  <c r="CH25" i="4"/>
  <c r="BY25" i="4"/>
  <c r="BP25" i="4"/>
  <c r="EC24" i="4"/>
  <c r="DT24" i="4"/>
  <c r="DK24" i="4"/>
  <c r="DB24" i="4"/>
  <c r="CS24" i="4"/>
  <c r="CA24" i="4"/>
  <c r="BR24" i="4"/>
  <c r="CJ24" i="4"/>
  <c r="DY24" i="4"/>
  <c r="DP24" i="4"/>
  <c r="DG24" i="4"/>
  <c r="CX24" i="4"/>
  <c r="CO24" i="4"/>
  <c r="CF24" i="4"/>
  <c r="BW24" i="4"/>
  <c r="BN24" i="4"/>
  <c r="EA23" i="4"/>
  <c r="DR23" i="4"/>
  <c r="DI23" i="4"/>
  <c r="CZ23" i="4"/>
  <c r="CQ23" i="4"/>
  <c r="CH23" i="4"/>
  <c r="BY23" i="4"/>
  <c r="BP23" i="4"/>
  <c r="EC22" i="4"/>
  <c r="DT22" i="4"/>
  <c r="DK22" i="4"/>
  <c r="DB22" i="4"/>
  <c r="CS22" i="4"/>
  <c r="CJ22" i="4"/>
  <c r="CA22" i="4"/>
  <c r="BR22" i="4"/>
  <c r="L22" i="4"/>
  <c r="DY22" i="4"/>
  <c r="DP22" i="4"/>
  <c r="DG22" i="4"/>
  <c r="CX22" i="4"/>
  <c r="CO22" i="4"/>
  <c r="CF22" i="4"/>
  <c r="BW22" i="4"/>
  <c r="BN22" i="4"/>
  <c r="EA21" i="4"/>
  <c r="DR21" i="4"/>
  <c r="DI21" i="4"/>
  <c r="CZ21" i="4"/>
  <c r="CQ21" i="4"/>
  <c r="CH21" i="4"/>
  <c r="BY21" i="4"/>
  <c r="BP21" i="4"/>
  <c r="AH20" i="4"/>
  <c r="EC20" i="4"/>
  <c r="DT20" i="4"/>
  <c r="DK20" i="4"/>
  <c r="DB20" i="4"/>
  <c r="CS20" i="4"/>
  <c r="CA20" i="4"/>
  <c r="BR20" i="4"/>
  <c r="CJ20" i="4"/>
  <c r="L20" i="4"/>
  <c r="DY20" i="4"/>
  <c r="DP20" i="4"/>
  <c r="DG20" i="4"/>
  <c r="CX20" i="4"/>
  <c r="CO20" i="4"/>
  <c r="CF20" i="4"/>
  <c r="BN20" i="4"/>
  <c r="BW20" i="4"/>
  <c r="EA19" i="4"/>
  <c r="DR19" i="4"/>
  <c r="DI19" i="4"/>
  <c r="CZ19" i="4"/>
  <c r="CQ19" i="4"/>
  <c r="CH19" i="4"/>
  <c r="BY19" i="4"/>
  <c r="BP19" i="4"/>
  <c r="EC18" i="4"/>
  <c r="DT18" i="4"/>
  <c r="DK18" i="4"/>
  <c r="DB18" i="4"/>
  <c r="CS18" i="4"/>
  <c r="CA18" i="4"/>
  <c r="CJ18" i="4"/>
  <c r="BR18" i="4"/>
  <c r="DY18" i="4"/>
  <c r="DP18" i="4"/>
  <c r="DG18" i="4"/>
  <c r="CX18" i="4"/>
  <c r="CO18" i="4"/>
  <c r="CF18" i="4"/>
  <c r="BW18" i="4"/>
  <c r="BN18" i="4"/>
  <c r="N17" i="4"/>
  <c r="EA17" i="4"/>
  <c r="DR17" i="4"/>
  <c r="DI17" i="4"/>
  <c r="CQ17" i="4"/>
  <c r="CZ17" i="4"/>
  <c r="CH17" i="4"/>
  <c r="BY17" i="4"/>
  <c r="BP17" i="4"/>
  <c r="EC16" i="4"/>
  <c r="DT16" i="4"/>
  <c r="DK16" i="4"/>
  <c r="DB16" i="4"/>
  <c r="CS16" i="4"/>
  <c r="BR16" i="4"/>
  <c r="CJ16" i="4"/>
  <c r="CA16" i="4"/>
  <c r="DY16" i="4"/>
  <c r="DP16" i="4"/>
  <c r="DG16" i="4"/>
  <c r="CX16" i="4"/>
  <c r="CO16" i="4"/>
  <c r="CF16" i="4"/>
  <c r="BN16" i="4"/>
  <c r="BW16" i="4"/>
  <c r="EA15" i="4"/>
  <c r="DR15" i="4"/>
  <c r="DI15" i="4"/>
  <c r="CZ15" i="4"/>
  <c r="CQ15" i="4"/>
  <c r="CH15" i="4"/>
  <c r="BY15" i="4"/>
  <c r="BP15" i="4"/>
  <c r="P14" i="4"/>
  <c r="EC14" i="4"/>
  <c r="DT14" i="4"/>
  <c r="DK14" i="4"/>
  <c r="DB14" i="4"/>
  <c r="CJ14" i="4"/>
  <c r="CS14" i="4"/>
  <c r="BR14" i="4"/>
  <c r="CA14" i="4"/>
  <c r="U14" i="4"/>
  <c r="DY14" i="4"/>
  <c r="DP14" i="4"/>
  <c r="DG14" i="4"/>
  <c r="CX14" i="4"/>
  <c r="CO14" i="4"/>
  <c r="CF14" i="4"/>
  <c r="BW14" i="4"/>
  <c r="BN14" i="4"/>
  <c r="EA13" i="4"/>
  <c r="DR13" i="4"/>
  <c r="DI13" i="4"/>
  <c r="CQ13" i="4"/>
  <c r="CZ13" i="4"/>
  <c r="CH13" i="4"/>
  <c r="BY13" i="4"/>
  <c r="BP13" i="4"/>
  <c r="EC12" i="4"/>
  <c r="DT12" i="4"/>
  <c r="DK12" i="4"/>
  <c r="DB12" i="4"/>
  <c r="CS12" i="4"/>
  <c r="CJ12" i="4"/>
  <c r="CA12" i="4"/>
  <c r="BR12" i="4"/>
  <c r="L12" i="4"/>
  <c r="DY12" i="4"/>
  <c r="DP12" i="4"/>
  <c r="DG12" i="4"/>
  <c r="CX12" i="4"/>
  <c r="CO12" i="4"/>
  <c r="CF12" i="4"/>
  <c r="BN12" i="4"/>
  <c r="BW12" i="4"/>
  <c r="EA11" i="4"/>
  <c r="DR11" i="4"/>
  <c r="DI11" i="4"/>
  <c r="CZ11" i="4"/>
  <c r="CQ11" i="4"/>
  <c r="CH11" i="4"/>
  <c r="BY11" i="4"/>
  <c r="BP11" i="4"/>
  <c r="EC10" i="4"/>
  <c r="DT10" i="4"/>
  <c r="DK10" i="4"/>
  <c r="DB10" i="4"/>
  <c r="CJ10" i="4"/>
  <c r="CS10" i="4"/>
  <c r="CA10" i="4"/>
  <c r="BR10" i="4"/>
  <c r="DY10" i="4"/>
  <c r="DP10" i="4"/>
  <c r="DG10" i="4"/>
  <c r="CX10" i="4"/>
  <c r="CO10" i="4"/>
  <c r="CF10" i="4"/>
  <c r="BW10" i="4"/>
  <c r="BN10" i="4"/>
  <c r="EA9" i="4"/>
  <c r="DR9" i="4"/>
  <c r="DI9" i="4"/>
  <c r="CQ9" i="4"/>
  <c r="CZ9" i="4"/>
  <c r="CH9" i="4"/>
  <c r="BY9" i="4"/>
  <c r="BP9" i="4"/>
  <c r="EC8" i="4"/>
  <c r="DT8" i="4"/>
  <c r="DK8" i="4"/>
  <c r="DB8" i="4"/>
  <c r="CS8" i="4"/>
  <c r="CJ8" i="4"/>
  <c r="BR8" i="4"/>
  <c r="CA8" i="4"/>
  <c r="DY8" i="4"/>
  <c r="DP8" i="4"/>
  <c r="DG8" i="4"/>
  <c r="CX8" i="4"/>
  <c r="CO8" i="4"/>
  <c r="CF8" i="4"/>
  <c r="BN8" i="4"/>
  <c r="BW8" i="4"/>
  <c r="EA7" i="4"/>
  <c r="DR7" i="4"/>
  <c r="DI7" i="4"/>
  <c r="CZ7" i="4"/>
  <c r="CQ7" i="4"/>
  <c r="CH7" i="4"/>
  <c r="BY7" i="4"/>
  <c r="BP7" i="4"/>
  <c r="EC6" i="4"/>
  <c r="DT6" i="4"/>
  <c r="DK6" i="4"/>
  <c r="DB6" i="4"/>
  <c r="CJ6" i="4"/>
  <c r="CS6" i="4"/>
  <c r="BR6" i="4"/>
  <c r="CA6" i="4"/>
  <c r="DY6" i="4"/>
  <c r="DP6" i="4"/>
  <c r="DG6" i="4"/>
  <c r="CX6" i="4"/>
  <c r="CO6" i="4"/>
  <c r="CF6" i="4"/>
  <c r="BW6" i="4"/>
  <c r="BN6" i="4"/>
  <c r="BR54" i="4"/>
  <c r="BM51" i="4"/>
  <c r="BQ49" i="4"/>
  <c r="BN48" i="4"/>
  <c r="BM41" i="4"/>
  <c r="BR36" i="4"/>
  <c r="BG4" i="4"/>
  <c r="EA4" i="4"/>
  <c r="DR4" i="4"/>
  <c r="CZ4" i="4"/>
  <c r="DI4" i="4"/>
  <c r="CQ4" i="4"/>
  <c r="CH4" i="4"/>
  <c r="BY4" i="4"/>
  <c r="BH5" i="4"/>
  <c r="EB5" i="4"/>
  <c r="DS5" i="4"/>
  <c r="DJ5" i="4"/>
  <c r="DA5" i="4"/>
  <c r="CI5" i="4"/>
  <c r="CR5" i="4"/>
  <c r="BZ5" i="4"/>
  <c r="BQ5" i="4"/>
  <c r="BD5" i="4"/>
  <c r="DX5" i="4"/>
  <c r="DO5" i="4"/>
  <c r="DF5" i="4"/>
  <c r="CW5" i="4"/>
  <c r="CN5" i="4"/>
  <c r="CE5" i="4"/>
  <c r="BV5" i="4"/>
  <c r="BM5" i="4"/>
  <c r="AW55" i="4"/>
  <c r="DZ55" i="4"/>
  <c r="DQ55" i="4"/>
  <c r="DH55" i="4"/>
  <c r="CP55" i="4"/>
  <c r="CY55" i="4"/>
  <c r="CG55" i="4"/>
  <c r="BX55" i="4"/>
  <c r="AY54" i="4"/>
  <c r="EB54" i="4"/>
  <c r="DS54" i="4"/>
  <c r="DA54" i="4"/>
  <c r="DJ54" i="4"/>
  <c r="CR54" i="4"/>
  <c r="CI54" i="4"/>
  <c r="BZ54" i="4"/>
  <c r="AU54" i="4"/>
  <c r="DX54" i="4"/>
  <c r="DO54" i="4"/>
  <c r="DF54" i="4"/>
  <c r="CW54" i="4"/>
  <c r="CN54" i="4"/>
  <c r="CE54" i="4"/>
  <c r="BV54" i="4"/>
  <c r="AW53" i="4"/>
  <c r="DZ53" i="4"/>
  <c r="DQ53" i="4"/>
  <c r="DH53" i="4"/>
  <c r="CY53" i="4"/>
  <c r="CP53" i="4"/>
  <c r="CG53" i="4"/>
  <c r="BX53" i="4"/>
  <c r="AY52" i="4"/>
  <c r="EB52" i="4"/>
  <c r="DS52" i="4"/>
  <c r="DJ52" i="4"/>
  <c r="DA52" i="4"/>
  <c r="CR52" i="4"/>
  <c r="CI52" i="4"/>
  <c r="BZ52" i="4"/>
  <c r="BQ52" i="4"/>
  <c r="AU52" i="4"/>
  <c r="DX52" i="4"/>
  <c r="DO52" i="4"/>
  <c r="DF52" i="4"/>
  <c r="CW52" i="4"/>
  <c r="CN52" i="4"/>
  <c r="CE52" i="4"/>
  <c r="BV52" i="4"/>
  <c r="BM52" i="4"/>
  <c r="AW51" i="4"/>
  <c r="DZ51" i="4"/>
  <c r="DQ51" i="4"/>
  <c r="DH51" i="4"/>
  <c r="CP51" i="4"/>
  <c r="CY51" i="4"/>
  <c r="CG51" i="4"/>
  <c r="BX51" i="4"/>
  <c r="AY50" i="4"/>
  <c r="EB50" i="4"/>
  <c r="DS50" i="4"/>
  <c r="DA50" i="4"/>
  <c r="DJ50" i="4"/>
  <c r="CR50" i="4"/>
  <c r="CI50" i="4"/>
  <c r="BZ50" i="4"/>
  <c r="AU50" i="4"/>
  <c r="DX50" i="4"/>
  <c r="DO50" i="4"/>
  <c r="DF50" i="4"/>
  <c r="CW50" i="4"/>
  <c r="CN50" i="4"/>
  <c r="CE50" i="4"/>
  <c r="BV50" i="4"/>
  <c r="AW49" i="4"/>
  <c r="DZ49" i="4"/>
  <c r="DQ49" i="4"/>
  <c r="DH49" i="4"/>
  <c r="CP49" i="4"/>
  <c r="CY49" i="4"/>
  <c r="CG49" i="4"/>
  <c r="BX49" i="4"/>
  <c r="AY48" i="4"/>
  <c r="EB48" i="4"/>
  <c r="DS48" i="4"/>
  <c r="DJ48" i="4"/>
  <c r="DA48" i="4"/>
  <c r="CR48" i="4"/>
  <c r="CI48" i="4"/>
  <c r="BZ48" i="4"/>
  <c r="BQ48" i="4"/>
  <c r="AU48" i="4"/>
  <c r="DX48" i="4"/>
  <c r="DO48" i="4"/>
  <c r="DF48" i="4"/>
  <c r="CW48" i="4"/>
  <c r="CN48" i="4"/>
  <c r="CE48" i="4"/>
  <c r="BV48" i="4"/>
  <c r="BM48" i="4"/>
  <c r="AW47" i="4"/>
  <c r="DZ47" i="4"/>
  <c r="DQ47" i="4"/>
  <c r="DH47" i="4"/>
  <c r="CY47" i="4"/>
  <c r="CP47" i="4"/>
  <c r="CG47" i="4"/>
  <c r="BX47" i="4"/>
  <c r="AY46" i="4"/>
  <c r="EB46" i="4"/>
  <c r="DS46" i="4"/>
  <c r="DA46" i="4"/>
  <c r="DJ46" i="4"/>
  <c r="CR46" i="4"/>
  <c r="CI46" i="4"/>
  <c r="BZ46" i="4"/>
  <c r="BQ46" i="4"/>
  <c r="AU46" i="4"/>
  <c r="DX46" i="4"/>
  <c r="DO46" i="4"/>
  <c r="DF46" i="4"/>
  <c r="CW46" i="4"/>
  <c r="CN46" i="4"/>
  <c r="CE46" i="4"/>
  <c r="BV46" i="4"/>
  <c r="BM46" i="4"/>
  <c r="AW45" i="4"/>
  <c r="DZ45" i="4"/>
  <c r="DQ45" i="4"/>
  <c r="DH45" i="4"/>
  <c r="CP45" i="4"/>
  <c r="CY45" i="4"/>
  <c r="CG45" i="4"/>
  <c r="BX45" i="4"/>
  <c r="AY44" i="4"/>
  <c r="EB44" i="4"/>
  <c r="DS44" i="4"/>
  <c r="DJ44" i="4"/>
  <c r="DA44" i="4"/>
  <c r="CR44" i="4"/>
  <c r="CI44" i="4"/>
  <c r="BZ44" i="4"/>
  <c r="BQ44" i="4"/>
  <c r="AU44" i="4"/>
  <c r="DX44" i="4"/>
  <c r="DO44" i="4"/>
  <c r="DF44" i="4"/>
  <c r="CW44" i="4"/>
  <c r="CN44" i="4"/>
  <c r="CE44" i="4"/>
  <c r="BV44" i="4"/>
  <c r="BM44" i="4"/>
  <c r="AW43" i="4"/>
  <c r="DZ43" i="4"/>
  <c r="DQ43" i="4"/>
  <c r="DH43" i="4"/>
  <c r="CP43" i="4"/>
  <c r="CY43" i="4"/>
  <c r="CG43" i="4"/>
  <c r="BX43" i="4"/>
  <c r="AW41" i="4"/>
  <c r="DZ41" i="4"/>
  <c r="DQ41" i="4"/>
  <c r="DH41" i="4"/>
  <c r="CP41" i="4"/>
  <c r="CY41" i="4"/>
  <c r="BX41" i="4"/>
  <c r="CG41" i="4"/>
  <c r="AY40" i="4"/>
  <c r="EB40" i="4"/>
  <c r="DS40" i="4"/>
  <c r="DJ40" i="4"/>
  <c r="DA40" i="4"/>
  <c r="CR40" i="4"/>
  <c r="CI40" i="4"/>
  <c r="BZ40" i="4"/>
  <c r="BQ40" i="4"/>
  <c r="AU40" i="4"/>
  <c r="DX40" i="4"/>
  <c r="DO40" i="4"/>
  <c r="DF40" i="4"/>
  <c r="CW40" i="4"/>
  <c r="CN40" i="4"/>
  <c r="CE40" i="4"/>
  <c r="BV40" i="4"/>
  <c r="BM40" i="4"/>
  <c r="AW39" i="4"/>
  <c r="DZ39" i="4"/>
  <c r="DQ39" i="4"/>
  <c r="DH39" i="4"/>
  <c r="CP39" i="4"/>
  <c r="CY39" i="4"/>
  <c r="CG39" i="4"/>
  <c r="BX39" i="4"/>
  <c r="BO39" i="4"/>
  <c r="AY38" i="4"/>
  <c r="EB38" i="4"/>
  <c r="DS38" i="4"/>
  <c r="DJ38" i="4"/>
  <c r="DA38" i="4"/>
  <c r="CR38" i="4"/>
  <c r="CI38" i="4"/>
  <c r="BZ38" i="4"/>
  <c r="BQ38" i="4"/>
  <c r="AU38" i="4"/>
  <c r="DX38" i="4"/>
  <c r="DO38" i="4"/>
  <c r="CW38" i="4"/>
  <c r="CN38" i="4"/>
  <c r="DF38" i="4"/>
  <c r="CE38" i="4"/>
  <c r="BV38" i="4"/>
  <c r="BM38" i="4"/>
  <c r="AW37" i="4"/>
  <c r="DZ37" i="4"/>
  <c r="DQ37" i="4"/>
  <c r="DH37" i="4"/>
  <c r="CY37" i="4"/>
  <c r="CP37" i="4"/>
  <c r="BX37" i="4"/>
  <c r="CG37" i="4"/>
  <c r="AY36" i="4"/>
  <c r="EB36" i="4"/>
  <c r="DS36" i="4"/>
  <c r="DJ36" i="4"/>
  <c r="DA36" i="4"/>
  <c r="CR36" i="4"/>
  <c r="CI36" i="4"/>
  <c r="BZ36" i="4"/>
  <c r="BQ36" i="4"/>
  <c r="AU36" i="4"/>
  <c r="DX36" i="4"/>
  <c r="DO36" i="4"/>
  <c r="DF36" i="4"/>
  <c r="CW36" i="4"/>
  <c r="CN36" i="4"/>
  <c r="CE36" i="4"/>
  <c r="BV36" i="4"/>
  <c r="BM36" i="4"/>
  <c r="AW35" i="4"/>
  <c r="DZ35" i="4"/>
  <c r="DQ35" i="4"/>
  <c r="DH35" i="4"/>
  <c r="CY35" i="4"/>
  <c r="CP35" i="4"/>
  <c r="CG35" i="4"/>
  <c r="BX35" i="4"/>
  <c r="BO35" i="4"/>
  <c r="AY34" i="4"/>
  <c r="EB34" i="4"/>
  <c r="DS34" i="4"/>
  <c r="DJ34" i="4"/>
  <c r="DA34" i="4"/>
  <c r="CR34" i="4"/>
  <c r="CI34" i="4"/>
  <c r="BZ34" i="4"/>
  <c r="BQ34" i="4"/>
  <c r="AU34" i="4"/>
  <c r="DX34" i="4"/>
  <c r="DO34" i="4"/>
  <c r="CW34" i="4"/>
  <c r="CN34" i="4"/>
  <c r="DF34" i="4"/>
  <c r="CE34" i="4"/>
  <c r="BV34" i="4"/>
  <c r="BM34" i="4"/>
  <c r="AW33" i="4"/>
  <c r="DZ33" i="4"/>
  <c r="DQ33" i="4"/>
  <c r="DH33" i="4"/>
  <c r="CY33" i="4"/>
  <c r="CP33" i="4"/>
  <c r="BX33" i="4"/>
  <c r="BO33" i="4"/>
  <c r="CG33" i="4"/>
  <c r="AY32" i="4"/>
  <c r="EB32" i="4"/>
  <c r="DS32" i="4"/>
  <c r="DJ32" i="4"/>
  <c r="DA32" i="4"/>
  <c r="CR32" i="4"/>
  <c r="CI32" i="4"/>
  <c r="BZ32" i="4"/>
  <c r="BQ32" i="4"/>
  <c r="AU32" i="4"/>
  <c r="DX32" i="4"/>
  <c r="DO32" i="4"/>
  <c r="DF32" i="4"/>
  <c r="CW32" i="4"/>
  <c r="CN32" i="4"/>
  <c r="CE32" i="4"/>
  <c r="BV32" i="4"/>
  <c r="BM32" i="4"/>
  <c r="AW31" i="4"/>
  <c r="DZ31" i="4"/>
  <c r="DQ31" i="4"/>
  <c r="DH31" i="4"/>
  <c r="CY31" i="4"/>
  <c r="CP31" i="4"/>
  <c r="CG31" i="4"/>
  <c r="BX31" i="4"/>
  <c r="BO31" i="4"/>
  <c r="AY30" i="4"/>
  <c r="EB30" i="4"/>
  <c r="DS30" i="4"/>
  <c r="DJ30" i="4"/>
  <c r="DA30" i="4"/>
  <c r="CR30" i="4"/>
  <c r="CI30" i="4"/>
  <c r="BZ30" i="4"/>
  <c r="BQ30" i="4"/>
  <c r="AU30" i="4"/>
  <c r="DX30" i="4"/>
  <c r="DO30" i="4"/>
  <c r="CW30" i="4"/>
  <c r="CN30" i="4"/>
  <c r="DF30" i="4"/>
  <c r="CE30" i="4"/>
  <c r="BV30" i="4"/>
  <c r="BM30" i="4"/>
  <c r="AW29" i="4"/>
  <c r="DZ29" i="4"/>
  <c r="DQ29" i="4"/>
  <c r="DH29" i="4"/>
  <c r="CY29" i="4"/>
  <c r="CP29" i="4"/>
  <c r="BX29" i="4"/>
  <c r="BO29" i="4"/>
  <c r="CG29" i="4"/>
  <c r="AY28" i="4"/>
  <c r="EB28" i="4"/>
  <c r="DS28" i="4"/>
  <c r="DJ28" i="4"/>
  <c r="DA28" i="4"/>
  <c r="CR28" i="4"/>
  <c r="CI28" i="4"/>
  <c r="BZ28" i="4"/>
  <c r="BQ28" i="4"/>
  <c r="AU28" i="4"/>
  <c r="DX28" i="4"/>
  <c r="DO28" i="4"/>
  <c r="DF28" i="4"/>
  <c r="CW28" i="4"/>
  <c r="CN28" i="4"/>
  <c r="CE28" i="4"/>
  <c r="BV28" i="4"/>
  <c r="BM28" i="4"/>
  <c r="AW27" i="4"/>
  <c r="DZ27" i="4"/>
  <c r="DQ27" i="4"/>
  <c r="DH27" i="4"/>
  <c r="CY27" i="4"/>
  <c r="CP27" i="4"/>
  <c r="CG27" i="4"/>
  <c r="BX27" i="4"/>
  <c r="BO27" i="4"/>
  <c r="AY26" i="4"/>
  <c r="EB26" i="4"/>
  <c r="DS26" i="4"/>
  <c r="DJ26" i="4"/>
  <c r="DA26" i="4"/>
  <c r="CR26" i="4"/>
  <c r="CI26" i="4"/>
  <c r="BZ26" i="4"/>
  <c r="BQ26" i="4"/>
  <c r="AU26" i="4"/>
  <c r="DX26" i="4"/>
  <c r="DO26" i="4"/>
  <c r="CN26" i="4"/>
  <c r="DF26" i="4"/>
  <c r="CW26" i="4"/>
  <c r="CE26" i="4"/>
  <c r="BV26" i="4"/>
  <c r="BM26" i="4"/>
  <c r="AW25" i="4"/>
  <c r="DZ25" i="4"/>
  <c r="DQ25" i="4"/>
  <c r="DH25" i="4"/>
  <c r="CY25" i="4"/>
  <c r="CP25" i="4"/>
  <c r="BX25" i="4"/>
  <c r="BO25" i="4"/>
  <c r="CG25" i="4"/>
  <c r="AY24" i="4"/>
  <c r="EB24" i="4"/>
  <c r="DJ24" i="4"/>
  <c r="DS24" i="4"/>
  <c r="DA24" i="4"/>
  <c r="CR24" i="4"/>
  <c r="CI24" i="4"/>
  <c r="BZ24" i="4"/>
  <c r="BQ24" i="4"/>
  <c r="AU24" i="4"/>
  <c r="DX24" i="4"/>
  <c r="DF24" i="4"/>
  <c r="DO24" i="4"/>
  <c r="CW24" i="4"/>
  <c r="CN24" i="4"/>
  <c r="CE24" i="4"/>
  <c r="BV24" i="4"/>
  <c r="BM24" i="4"/>
  <c r="AW23" i="4"/>
  <c r="DZ23" i="4"/>
  <c r="DQ23" i="4"/>
  <c r="DH23" i="4"/>
  <c r="CY23" i="4"/>
  <c r="CP23" i="4"/>
  <c r="CG23" i="4"/>
  <c r="BX23" i="4"/>
  <c r="BO23" i="4"/>
  <c r="AY22" i="4"/>
  <c r="EB22" i="4"/>
  <c r="DS22" i="4"/>
  <c r="DJ22" i="4"/>
  <c r="CR22" i="4"/>
  <c r="DA22" i="4"/>
  <c r="CI22" i="4"/>
  <c r="BZ22" i="4"/>
  <c r="BQ22" i="4"/>
  <c r="DX22" i="4"/>
  <c r="DF22" i="4"/>
  <c r="DO22" i="4"/>
  <c r="CW22" i="4"/>
  <c r="CN22" i="4"/>
  <c r="CE22" i="4"/>
  <c r="BV22" i="4"/>
  <c r="BM22" i="4"/>
  <c r="DZ21" i="4"/>
  <c r="DQ21" i="4"/>
  <c r="DH21" i="4"/>
  <c r="CY21" i="4"/>
  <c r="CP21" i="4"/>
  <c r="BX21" i="4"/>
  <c r="BO21" i="4"/>
  <c r="CG21" i="4"/>
  <c r="EB20" i="4"/>
  <c r="DJ20" i="4"/>
  <c r="DS20" i="4"/>
  <c r="DA20" i="4"/>
  <c r="CR20" i="4"/>
  <c r="CI20" i="4"/>
  <c r="BZ20" i="4"/>
  <c r="BQ20" i="4"/>
  <c r="DX20" i="4"/>
  <c r="DF20" i="4"/>
  <c r="DO20" i="4"/>
  <c r="CW20" i="4"/>
  <c r="CN20" i="4"/>
  <c r="CE20" i="4"/>
  <c r="BV20" i="4"/>
  <c r="BM20" i="4"/>
  <c r="DZ19" i="4"/>
  <c r="DQ19" i="4"/>
  <c r="DH19" i="4"/>
  <c r="CY19" i="4"/>
  <c r="CP19" i="4"/>
  <c r="BX19" i="4"/>
  <c r="CG19" i="4"/>
  <c r="BO19" i="4"/>
  <c r="EB18" i="4"/>
  <c r="DS18" i="4"/>
  <c r="DJ18" i="4"/>
  <c r="DA18" i="4"/>
  <c r="CR18" i="4"/>
  <c r="CI18" i="4"/>
  <c r="BZ18" i="4"/>
  <c r="BQ18" i="4"/>
  <c r="DX18" i="4"/>
  <c r="DF18" i="4"/>
  <c r="DO18" i="4"/>
  <c r="CN18" i="4"/>
  <c r="CW18" i="4"/>
  <c r="CE18" i="4"/>
  <c r="BV18" i="4"/>
  <c r="BM18" i="4"/>
  <c r="DZ17" i="4"/>
  <c r="DQ17" i="4"/>
  <c r="DH17" i="4"/>
  <c r="CY17" i="4"/>
  <c r="CP17" i="4"/>
  <c r="BO17" i="4"/>
  <c r="BX17" i="4"/>
  <c r="CG17" i="4"/>
  <c r="EB16" i="4"/>
  <c r="DJ16" i="4"/>
  <c r="DS16" i="4"/>
  <c r="DA16" i="4"/>
  <c r="CR16" i="4"/>
  <c r="CI16" i="4"/>
  <c r="BZ16" i="4"/>
  <c r="BQ16" i="4"/>
  <c r="DX16" i="4"/>
  <c r="DF16" i="4"/>
  <c r="DO16" i="4"/>
  <c r="CW16" i="4"/>
  <c r="CN16" i="4"/>
  <c r="CE16" i="4"/>
  <c r="BV16" i="4"/>
  <c r="BM16" i="4"/>
  <c r="DZ15" i="4"/>
  <c r="DQ15" i="4"/>
  <c r="DH15" i="4"/>
  <c r="CY15" i="4"/>
  <c r="CG15" i="4"/>
  <c r="CP15" i="4"/>
  <c r="BX15" i="4"/>
  <c r="BO15" i="4"/>
  <c r="EB14" i="4"/>
  <c r="DS14" i="4"/>
  <c r="DJ14" i="4"/>
  <c r="DA14" i="4"/>
  <c r="CR14" i="4"/>
  <c r="CI14" i="4"/>
  <c r="BZ14" i="4"/>
  <c r="BQ14" i="4"/>
  <c r="DX14" i="4"/>
  <c r="DF14" i="4"/>
  <c r="DO14" i="4"/>
  <c r="CN14" i="4"/>
  <c r="CW14" i="4"/>
  <c r="CE14" i="4"/>
  <c r="BV14" i="4"/>
  <c r="BM14" i="4"/>
  <c r="DZ13" i="4"/>
  <c r="DQ13" i="4"/>
  <c r="DH13" i="4"/>
  <c r="CY13" i="4"/>
  <c r="CP13" i="4"/>
  <c r="CG13" i="4"/>
  <c r="BX13" i="4"/>
  <c r="BO13" i="4"/>
  <c r="EB12" i="4"/>
  <c r="DJ12" i="4"/>
  <c r="DS12" i="4"/>
  <c r="DA12" i="4"/>
  <c r="CR12" i="4"/>
  <c r="CI12" i="4"/>
  <c r="BZ12" i="4"/>
  <c r="BQ12" i="4"/>
  <c r="DX12" i="4"/>
  <c r="DF12" i="4"/>
  <c r="DO12" i="4"/>
  <c r="CW12" i="4"/>
  <c r="CN12" i="4"/>
  <c r="CE12" i="4"/>
  <c r="BV12" i="4"/>
  <c r="BM12" i="4"/>
  <c r="DZ11" i="4"/>
  <c r="DQ11" i="4"/>
  <c r="DH11" i="4"/>
  <c r="CY11" i="4"/>
  <c r="CG11" i="4"/>
  <c r="CP11" i="4"/>
  <c r="BX11" i="4"/>
  <c r="BO11" i="4"/>
  <c r="EB10" i="4"/>
  <c r="DS10" i="4"/>
  <c r="DJ10" i="4"/>
  <c r="DA10" i="4"/>
  <c r="CR10" i="4"/>
  <c r="CI10" i="4"/>
  <c r="BZ10" i="4"/>
  <c r="BQ10" i="4"/>
  <c r="DX10" i="4"/>
  <c r="DO10" i="4"/>
  <c r="DF10" i="4"/>
  <c r="CN10" i="4"/>
  <c r="CW10" i="4"/>
  <c r="CE10" i="4"/>
  <c r="BV10" i="4"/>
  <c r="BM10" i="4"/>
  <c r="DZ9" i="4"/>
  <c r="DQ9" i="4"/>
  <c r="DH9" i="4"/>
  <c r="CY9" i="4"/>
  <c r="CP9" i="4"/>
  <c r="CG9" i="4"/>
  <c r="BO9" i="4"/>
  <c r="BX9" i="4"/>
  <c r="EB8" i="4"/>
  <c r="DS8" i="4"/>
  <c r="DJ8" i="4"/>
  <c r="DA8" i="4"/>
  <c r="CR8" i="4"/>
  <c r="CI8" i="4"/>
  <c r="BZ8" i="4"/>
  <c r="BQ8" i="4"/>
  <c r="DX8" i="4"/>
  <c r="DO8" i="4"/>
  <c r="DF8" i="4"/>
  <c r="CW8" i="4"/>
  <c r="CN8" i="4"/>
  <c r="CE8" i="4"/>
  <c r="BV8" i="4"/>
  <c r="BM8" i="4"/>
  <c r="DZ7" i="4"/>
  <c r="DQ7" i="4"/>
  <c r="DH7" i="4"/>
  <c r="CY7" i="4"/>
  <c r="CG7" i="4"/>
  <c r="CP7" i="4"/>
  <c r="BX7" i="4"/>
  <c r="BO7" i="4"/>
  <c r="EB6" i="4"/>
  <c r="DS6" i="4"/>
  <c r="DJ6" i="4"/>
  <c r="DA6" i="4"/>
  <c r="CR6" i="4"/>
  <c r="CI6" i="4"/>
  <c r="BZ6" i="4"/>
  <c r="BQ6" i="4"/>
  <c r="DX6" i="4"/>
  <c r="DO6" i="4"/>
  <c r="DF6" i="4"/>
  <c r="CN6" i="4"/>
  <c r="CW6" i="4"/>
  <c r="CE6" i="4"/>
  <c r="BV6" i="4"/>
  <c r="BM6" i="4"/>
  <c r="BQ54" i="4"/>
  <c r="BM53" i="4"/>
  <c r="BO52" i="4"/>
  <c r="BQ51" i="4"/>
  <c r="BN50" i="4"/>
  <c r="BP49" i="4"/>
  <c r="BR48" i="4"/>
  <c r="BM47" i="4"/>
  <c r="BN46" i="4"/>
  <c r="BM45" i="4"/>
  <c r="BN44" i="4"/>
  <c r="BM43" i="4"/>
  <c r="BQ39" i="4"/>
  <c r="BN36" i="4"/>
  <c r="T4" i="4"/>
  <c r="DX4" i="4"/>
  <c r="DO4" i="4"/>
  <c r="DF4" i="4"/>
  <c r="CW4" i="4"/>
  <c r="CN4" i="4"/>
  <c r="CE4" i="4"/>
  <c r="BV4" i="4"/>
  <c r="AE4" i="4"/>
  <c r="DQ4" i="4"/>
  <c r="DH4" i="4"/>
  <c r="DZ4" i="4"/>
  <c r="CY4" i="4"/>
  <c r="CP4" i="4"/>
  <c r="BX4" i="4"/>
  <c r="CG4" i="4"/>
  <c r="AF5" i="4"/>
  <c r="EA5" i="4"/>
  <c r="DR5" i="4"/>
  <c r="DI5" i="4"/>
  <c r="CQ5" i="4"/>
  <c r="CZ5" i="4"/>
  <c r="CH5" i="4"/>
  <c r="BY5" i="4"/>
  <c r="BP5" i="4"/>
  <c r="AH55" i="4"/>
  <c r="EC55" i="4"/>
  <c r="DT55" i="4"/>
  <c r="DB55" i="4"/>
  <c r="DK55" i="4"/>
  <c r="CS55" i="4"/>
  <c r="CJ55" i="4"/>
  <c r="CA55" i="4"/>
  <c r="BE55" i="4"/>
  <c r="DY55" i="4"/>
  <c r="DP55" i="4"/>
  <c r="DG55" i="4"/>
  <c r="CX55" i="4"/>
  <c r="CO55" i="4"/>
  <c r="CF55" i="4"/>
  <c r="BW55" i="4"/>
  <c r="AX54" i="4"/>
  <c r="EA54" i="4"/>
  <c r="DR54" i="4"/>
  <c r="DI54" i="4"/>
  <c r="CZ54" i="4"/>
  <c r="CQ54" i="4"/>
  <c r="BY54" i="4"/>
  <c r="CH54" i="4"/>
  <c r="AQ53" i="4"/>
  <c r="EC53" i="4"/>
  <c r="DT53" i="4"/>
  <c r="DK53" i="4"/>
  <c r="DB53" i="4"/>
  <c r="CS53" i="4"/>
  <c r="CJ53" i="4"/>
  <c r="CA53" i="4"/>
  <c r="BR53" i="4"/>
  <c r="BE53" i="4"/>
  <c r="DY53" i="4"/>
  <c r="DP53" i="4"/>
  <c r="DG53" i="4"/>
  <c r="CX53" i="4"/>
  <c r="CO53" i="4"/>
  <c r="CF53" i="4"/>
  <c r="BW53" i="4"/>
  <c r="BN53" i="4"/>
  <c r="AO52" i="4"/>
  <c r="EA52" i="4"/>
  <c r="DR52" i="4"/>
  <c r="DI52" i="4"/>
  <c r="CZ52" i="4"/>
  <c r="CQ52" i="4"/>
  <c r="CH52" i="4"/>
  <c r="BY52" i="4"/>
  <c r="P51" i="4"/>
  <c r="EC51" i="4"/>
  <c r="DT51" i="4"/>
  <c r="DB51" i="4"/>
  <c r="DK51" i="4"/>
  <c r="CS51" i="4"/>
  <c r="CJ51" i="4"/>
  <c r="CA51" i="4"/>
  <c r="U51" i="4"/>
  <c r="DY51" i="4"/>
  <c r="DP51" i="4"/>
  <c r="DG51" i="4"/>
  <c r="CX51" i="4"/>
  <c r="CO51" i="4"/>
  <c r="CF51" i="4"/>
  <c r="BW51" i="4"/>
  <c r="N50" i="4"/>
  <c r="EA50" i="4"/>
  <c r="DR50" i="4"/>
  <c r="DI50" i="4"/>
  <c r="CZ50" i="4"/>
  <c r="CQ50" i="4"/>
  <c r="CH50" i="4"/>
  <c r="BY50" i="4"/>
  <c r="BI49" i="4"/>
  <c r="EC49" i="4"/>
  <c r="DT49" i="4"/>
  <c r="DK49" i="4"/>
  <c r="DB49" i="4"/>
  <c r="CS49" i="4"/>
  <c r="CJ49" i="4"/>
  <c r="CA49" i="4"/>
  <c r="BR49" i="4"/>
  <c r="AM49" i="4"/>
  <c r="DY49" i="4"/>
  <c r="DP49" i="4"/>
  <c r="DG49" i="4"/>
  <c r="CX49" i="4"/>
  <c r="CO49" i="4"/>
  <c r="CF49" i="4"/>
  <c r="BW49" i="4"/>
  <c r="BN49" i="4"/>
  <c r="AX48" i="4"/>
  <c r="EA48" i="4"/>
  <c r="DR48" i="4"/>
  <c r="DI48" i="4"/>
  <c r="CQ48" i="4"/>
  <c r="CZ48" i="4"/>
  <c r="CH48" i="4"/>
  <c r="BY48" i="4"/>
  <c r="BI47" i="4"/>
  <c r="EC47" i="4"/>
  <c r="DT47" i="4"/>
  <c r="DB47" i="4"/>
  <c r="DK47" i="4"/>
  <c r="CS47" i="4"/>
  <c r="CJ47" i="4"/>
  <c r="CA47" i="4"/>
  <c r="U47" i="4"/>
  <c r="DY47" i="4"/>
  <c r="DP47" i="4"/>
  <c r="DG47" i="4"/>
  <c r="CX47" i="4"/>
  <c r="CO47" i="4"/>
  <c r="CF47" i="4"/>
  <c r="BW47" i="4"/>
  <c r="BN47" i="4"/>
  <c r="AO46" i="4"/>
  <c r="EA46" i="4"/>
  <c r="DR46" i="4"/>
  <c r="DI46" i="4"/>
  <c r="CQ46" i="4"/>
  <c r="CZ46" i="4"/>
  <c r="CH46" i="4"/>
  <c r="BY46" i="4"/>
  <c r="AQ45" i="4"/>
  <c r="EC45" i="4"/>
  <c r="DT45" i="4"/>
  <c r="DK45" i="4"/>
  <c r="DB45" i="4"/>
  <c r="CS45" i="4"/>
  <c r="CJ45" i="4"/>
  <c r="CA45" i="4"/>
  <c r="BR45" i="4"/>
  <c r="U45" i="4"/>
  <c r="DY45" i="4"/>
  <c r="DP45" i="4"/>
  <c r="DG45" i="4"/>
  <c r="CX45" i="4"/>
  <c r="CO45" i="4"/>
  <c r="CF45" i="4"/>
  <c r="BW45" i="4"/>
  <c r="BN45" i="4"/>
  <c r="BG44" i="4"/>
  <c r="EA44" i="4"/>
  <c r="DR44" i="4"/>
  <c r="DI44" i="4"/>
  <c r="CQ44" i="4"/>
  <c r="CZ44" i="4"/>
  <c r="CH44" i="4"/>
  <c r="BY44" i="4"/>
  <c r="P43" i="4"/>
  <c r="EC43" i="4"/>
  <c r="DT43" i="4"/>
  <c r="DB43" i="4"/>
  <c r="CS43" i="4"/>
  <c r="DK43" i="4"/>
  <c r="CJ43" i="4"/>
  <c r="CA43" i="4"/>
  <c r="BR43" i="4"/>
  <c r="AV43" i="4"/>
  <c r="DY43" i="4"/>
  <c r="DP43" i="4"/>
  <c r="DG43" i="4"/>
  <c r="CX43" i="4"/>
  <c r="CO43" i="4"/>
  <c r="CF43" i="4"/>
  <c r="BW43" i="4"/>
  <c r="BN43" i="4"/>
  <c r="AZ41" i="4"/>
  <c r="EC41" i="4"/>
  <c r="DT41" i="4"/>
  <c r="DK41" i="4"/>
  <c r="DB41" i="4"/>
  <c r="CS41" i="4"/>
  <c r="CJ41" i="4"/>
  <c r="CA41" i="4"/>
  <c r="BR41" i="4"/>
  <c r="BE41" i="4"/>
  <c r="DY41" i="4"/>
  <c r="DP41" i="4"/>
  <c r="DG41" i="4"/>
  <c r="CX41" i="4"/>
  <c r="CO41" i="4"/>
  <c r="CF41" i="4"/>
  <c r="BW41" i="4"/>
  <c r="BN41" i="4"/>
  <c r="AO40" i="4"/>
  <c r="EA40" i="4"/>
  <c r="DR40" i="4"/>
  <c r="DI40" i="4"/>
  <c r="CQ40" i="4"/>
  <c r="CZ40" i="4"/>
  <c r="CH40" i="4"/>
  <c r="BY40" i="4"/>
  <c r="BP40" i="4"/>
  <c r="AH39" i="4"/>
  <c r="EC39" i="4"/>
  <c r="DT39" i="4"/>
  <c r="DK39" i="4"/>
  <c r="DB39" i="4"/>
  <c r="CS39" i="4"/>
  <c r="CJ39" i="4"/>
  <c r="CA39" i="4"/>
  <c r="BR39" i="4"/>
  <c r="AV39" i="4"/>
  <c r="DY39" i="4"/>
  <c r="DP39" i="4"/>
  <c r="CX39" i="4"/>
  <c r="CO39" i="4"/>
  <c r="DG39" i="4"/>
  <c r="CF39" i="4"/>
  <c r="BW39" i="4"/>
  <c r="BN39" i="4"/>
  <c r="W38" i="4"/>
  <c r="EA38" i="4"/>
  <c r="DR38" i="4"/>
  <c r="DI38" i="4"/>
  <c r="CQ38" i="4"/>
  <c r="CZ38" i="4"/>
  <c r="BY38" i="4"/>
  <c r="CH38" i="4"/>
  <c r="BI37" i="4"/>
  <c r="EC37" i="4"/>
  <c r="DT37" i="4"/>
  <c r="DK37" i="4"/>
  <c r="DB37" i="4"/>
  <c r="CS37" i="4"/>
  <c r="CJ37" i="4"/>
  <c r="CA37" i="4"/>
  <c r="BR37" i="4"/>
  <c r="AM37" i="4"/>
  <c r="DY37" i="4"/>
  <c r="DP37" i="4"/>
  <c r="DG37" i="4"/>
  <c r="CX37" i="4"/>
  <c r="CO37" i="4"/>
  <c r="CF37" i="4"/>
  <c r="BW37" i="4"/>
  <c r="BN37" i="4"/>
  <c r="N36" i="4"/>
  <c r="EA36" i="4"/>
  <c r="DR36" i="4"/>
  <c r="DI36" i="4"/>
  <c r="CZ36" i="4"/>
  <c r="CQ36" i="4"/>
  <c r="CH36" i="4"/>
  <c r="BY36" i="4"/>
  <c r="BP36" i="4"/>
  <c r="BI35" i="4"/>
  <c r="EC35" i="4"/>
  <c r="DT35" i="4"/>
  <c r="DK35" i="4"/>
  <c r="DB35" i="4"/>
  <c r="CS35" i="4"/>
  <c r="CJ35" i="4"/>
  <c r="CA35" i="4"/>
  <c r="BR35" i="4"/>
  <c r="U35" i="4"/>
  <c r="DY35" i="4"/>
  <c r="DP35" i="4"/>
  <c r="CX35" i="4"/>
  <c r="CO35" i="4"/>
  <c r="DG35" i="4"/>
  <c r="CF35" i="4"/>
  <c r="BW35" i="4"/>
  <c r="BN35" i="4"/>
  <c r="AF34" i="4"/>
  <c r="EA34" i="4"/>
  <c r="DR34" i="4"/>
  <c r="DI34" i="4"/>
  <c r="CZ34" i="4"/>
  <c r="CQ34" i="4"/>
  <c r="BY34" i="4"/>
  <c r="BP34" i="4"/>
  <c r="CH34" i="4"/>
  <c r="AZ33" i="4"/>
  <c r="EC33" i="4"/>
  <c r="DT33" i="4"/>
  <c r="DK33" i="4"/>
  <c r="DB33" i="4"/>
  <c r="CS33" i="4"/>
  <c r="CJ33" i="4"/>
  <c r="CA33" i="4"/>
  <c r="BR33" i="4"/>
  <c r="U33" i="4"/>
  <c r="DY33" i="4"/>
  <c r="DP33" i="4"/>
  <c r="DG33" i="4"/>
  <c r="CX33" i="4"/>
  <c r="CO33" i="4"/>
  <c r="CF33" i="4"/>
  <c r="BW33" i="4"/>
  <c r="BN33" i="4"/>
  <c r="BG32" i="4"/>
  <c r="EA32" i="4"/>
  <c r="DR32" i="4"/>
  <c r="DI32" i="4"/>
  <c r="CZ32" i="4"/>
  <c r="CQ32" i="4"/>
  <c r="CH32" i="4"/>
  <c r="BY32" i="4"/>
  <c r="BP32" i="4"/>
  <c r="AH31" i="4"/>
  <c r="EC31" i="4"/>
  <c r="DT31" i="4"/>
  <c r="DK31" i="4"/>
  <c r="DB31" i="4"/>
  <c r="CS31" i="4"/>
  <c r="CJ31" i="4"/>
  <c r="CA31" i="4"/>
  <c r="BR31" i="4"/>
  <c r="AM31" i="4"/>
  <c r="DY31" i="4"/>
  <c r="DP31" i="4"/>
  <c r="CX31" i="4"/>
  <c r="CO31" i="4"/>
  <c r="DG31" i="4"/>
  <c r="CF31" i="4"/>
  <c r="BW31" i="4"/>
  <c r="BN31" i="4"/>
  <c r="BG30" i="4"/>
  <c r="EA30" i="4"/>
  <c r="DR30" i="4"/>
  <c r="DI30" i="4"/>
  <c r="CZ30" i="4"/>
  <c r="CQ30" i="4"/>
  <c r="BY30" i="4"/>
  <c r="BP30" i="4"/>
  <c r="CH30" i="4"/>
  <c r="AQ29" i="4"/>
  <c r="EC29" i="4"/>
  <c r="DT29" i="4"/>
  <c r="DK29" i="4"/>
  <c r="DB29" i="4"/>
  <c r="CS29" i="4"/>
  <c r="CJ29" i="4"/>
  <c r="CA29" i="4"/>
  <c r="BR29" i="4"/>
  <c r="AD29" i="4"/>
  <c r="DY29" i="4"/>
  <c r="DP29" i="4"/>
  <c r="DG29" i="4"/>
  <c r="CX29" i="4"/>
  <c r="CO29" i="4"/>
  <c r="CF29" i="4"/>
  <c r="BW29" i="4"/>
  <c r="BN29" i="4"/>
  <c r="AO28" i="4"/>
  <c r="EA28" i="4"/>
  <c r="DR28" i="4"/>
  <c r="DI28" i="4"/>
  <c r="CZ28" i="4"/>
  <c r="CQ28" i="4"/>
  <c r="CH28" i="4"/>
  <c r="BY28" i="4"/>
  <c r="BP28" i="4"/>
  <c r="AH27" i="4"/>
  <c r="EC27" i="4"/>
  <c r="DT27" i="4"/>
  <c r="DK27" i="4"/>
  <c r="DB27" i="4"/>
  <c r="CS27" i="4"/>
  <c r="CJ27" i="4"/>
  <c r="CA27" i="4"/>
  <c r="BR27" i="4"/>
  <c r="BE27" i="4"/>
  <c r="DY27" i="4"/>
  <c r="DP27" i="4"/>
  <c r="CX27" i="4"/>
  <c r="CO27" i="4"/>
  <c r="DG27" i="4"/>
  <c r="CF27" i="4"/>
  <c r="BW27" i="4"/>
  <c r="BN27" i="4"/>
  <c r="AO26" i="4"/>
  <c r="EA26" i="4"/>
  <c r="DR26" i="4"/>
  <c r="DI26" i="4"/>
  <c r="CZ26" i="4"/>
  <c r="CQ26" i="4"/>
  <c r="BY26" i="4"/>
  <c r="BP26" i="4"/>
  <c r="CH26" i="4"/>
  <c r="P25" i="4"/>
  <c r="EC25" i="4"/>
  <c r="DT25" i="4"/>
  <c r="DK25" i="4"/>
  <c r="DB25" i="4"/>
  <c r="CS25" i="4"/>
  <c r="CJ25" i="4"/>
  <c r="CA25" i="4"/>
  <c r="BR25" i="4"/>
  <c r="BE25" i="4"/>
  <c r="DY25" i="4"/>
  <c r="DG25" i="4"/>
  <c r="DP25" i="4"/>
  <c r="CX25" i="4"/>
  <c r="CO25" i="4"/>
  <c r="CF25" i="4"/>
  <c r="BW25" i="4"/>
  <c r="BN25" i="4"/>
  <c r="AF24" i="4"/>
  <c r="EA24" i="4"/>
  <c r="DR24" i="4"/>
  <c r="DI24" i="4"/>
  <c r="CZ24" i="4"/>
  <c r="CQ24" i="4"/>
  <c r="CH24" i="4"/>
  <c r="BY24" i="4"/>
  <c r="BP24" i="4"/>
  <c r="AQ23" i="4"/>
  <c r="EC23" i="4"/>
  <c r="DT23" i="4"/>
  <c r="DK23" i="4"/>
  <c r="DB23" i="4"/>
  <c r="CS23" i="4"/>
  <c r="CJ23" i="4"/>
  <c r="CA23" i="4"/>
  <c r="BR23" i="4"/>
  <c r="U23" i="4"/>
  <c r="DY23" i="4"/>
  <c r="DG23" i="4"/>
  <c r="DP23" i="4"/>
  <c r="CO23" i="4"/>
  <c r="CX23" i="4"/>
  <c r="CF23" i="4"/>
  <c r="BW23" i="4"/>
  <c r="BN23" i="4"/>
  <c r="AF22" i="4"/>
  <c r="EA22" i="4"/>
  <c r="DR22" i="4"/>
  <c r="DI22" i="4"/>
  <c r="CZ22" i="4"/>
  <c r="CQ22" i="4"/>
  <c r="BY22" i="4"/>
  <c r="BP22" i="4"/>
  <c r="CH22" i="4"/>
  <c r="BI21" i="4"/>
  <c r="EC21" i="4"/>
  <c r="DK21" i="4"/>
  <c r="DT21" i="4"/>
  <c r="DB21" i="4"/>
  <c r="CS21" i="4"/>
  <c r="CJ21" i="4"/>
  <c r="CA21" i="4"/>
  <c r="BR21" i="4"/>
  <c r="U21" i="4"/>
  <c r="DY21" i="4"/>
  <c r="DG21" i="4"/>
  <c r="DP21" i="4"/>
  <c r="CX21" i="4"/>
  <c r="CO21" i="4"/>
  <c r="CF21" i="4"/>
  <c r="BW21" i="4"/>
  <c r="BN21" i="4"/>
  <c r="AX20" i="4"/>
  <c r="EA20" i="4"/>
  <c r="DR20" i="4"/>
  <c r="DI20" i="4"/>
  <c r="CZ20" i="4"/>
  <c r="CQ20" i="4"/>
  <c r="CH20" i="4"/>
  <c r="BY20" i="4"/>
  <c r="BP20" i="4"/>
  <c r="P19" i="4"/>
  <c r="EC19" i="4"/>
  <c r="DT19" i="4"/>
  <c r="DK19" i="4"/>
  <c r="CS19" i="4"/>
  <c r="DB19" i="4"/>
  <c r="CJ19" i="4"/>
  <c r="CA19" i="4"/>
  <c r="BR19" i="4"/>
  <c r="U19" i="4"/>
  <c r="DY19" i="4"/>
  <c r="DG19" i="4"/>
  <c r="DP19" i="4"/>
  <c r="CX19" i="4"/>
  <c r="CO19" i="4"/>
  <c r="CF19" i="4"/>
  <c r="BW19" i="4"/>
  <c r="BN19" i="4"/>
  <c r="AF18" i="4"/>
  <c r="EA18" i="4"/>
  <c r="DR18" i="4"/>
  <c r="DI18" i="4"/>
  <c r="CZ18" i="4"/>
  <c r="CQ18" i="4"/>
  <c r="BY18" i="4"/>
  <c r="BP18" i="4"/>
  <c r="CH18" i="4"/>
  <c r="AZ17" i="4"/>
  <c r="EC17" i="4"/>
  <c r="DK17" i="4"/>
  <c r="DT17" i="4"/>
  <c r="DB17" i="4"/>
  <c r="CS17" i="4"/>
  <c r="CJ17" i="4"/>
  <c r="CA17" i="4"/>
  <c r="BR17" i="4"/>
  <c r="AD17" i="4"/>
  <c r="DY17" i="4"/>
  <c r="DG17" i="4"/>
  <c r="DP17" i="4"/>
  <c r="CX17" i="4"/>
  <c r="CO17" i="4"/>
  <c r="CF17" i="4"/>
  <c r="BW17" i="4"/>
  <c r="BN17" i="4"/>
  <c r="BG16" i="4"/>
  <c r="EA16" i="4"/>
  <c r="DR16" i="4"/>
  <c r="DI16" i="4"/>
  <c r="CZ16" i="4"/>
  <c r="CH16" i="4"/>
  <c r="CQ16" i="4"/>
  <c r="BY16" i="4"/>
  <c r="BP16" i="4"/>
  <c r="AH15" i="4"/>
  <c r="EC15" i="4"/>
  <c r="DT15" i="4"/>
  <c r="DK15" i="4"/>
  <c r="DB15" i="4"/>
  <c r="CS15" i="4"/>
  <c r="CJ15" i="4"/>
  <c r="CA15" i="4"/>
  <c r="BR15" i="4"/>
  <c r="U15" i="4"/>
  <c r="DY15" i="4"/>
  <c r="DG15" i="4"/>
  <c r="DP15" i="4"/>
  <c r="CO15" i="4"/>
  <c r="CX15" i="4"/>
  <c r="CF15" i="4"/>
  <c r="BW15" i="4"/>
  <c r="BN15" i="4"/>
  <c r="N14" i="4"/>
  <c r="EA14" i="4"/>
  <c r="DR14" i="4"/>
  <c r="DI14" i="4"/>
  <c r="CZ14" i="4"/>
  <c r="CQ14" i="4"/>
  <c r="CH14" i="4"/>
  <c r="BP14" i="4"/>
  <c r="BY14" i="4"/>
  <c r="AH13" i="4"/>
  <c r="EC13" i="4"/>
  <c r="DK13" i="4"/>
  <c r="DT13" i="4"/>
  <c r="DB13" i="4"/>
  <c r="CS13" i="4"/>
  <c r="CJ13" i="4"/>
  <c r="CA13" i="4"/>
  <c r="BR13" i="4"/>
  <c r="L13" i="4"/>
  <c r="DY13" i="4"/>
  <c r="DG13" i="4"/>
  <c r="DP13" i="4"/>
  <c r="CX13" i="4"/>
  <c r="CO13" i="4"/>
  <c r="CF13" i="4"/>
  <c r="BW13" i="4"/>
  <c r="BN13" i="4"/>
  <c r="AX12" i="4"/>
  <c r="EA12" i="4"/>
  <c r="DR12" i="4"/>
  <c r="DI12" i="4"/>
  <c r="CZ12" i="4"/>
  <c r="CH12" i="4"/>
  <c r="CQ12" i="4"/>
  <c r="BY12" i="4"/>
  <c r="BP12" i="4"/>
  <c r="AH11" i="4"/>
  <c r="EC11" i="4"/>
  <c r="DT11" i="4"/>
  <c r="DK11" i="4"/>
  <c r="DB11" i="4"/>
  <c r="CS11" i="4"/>
  <c r="CJ11" i="4"/>
  <c r="CA11" i="4"/>
  <c r="BR11" i="4"/>
  <c r="U11" i="4"/>
  <c r="DY11" i="4"/>
  <c r="DG11" i="4"/>
  <c r="DP11" i="4"/>
  <c r="CO11" i="4"/>
  <c r="CX11" i="4"/>
  <c r="CF11" i="4"/>
  <c r="BW11" i="4"/>
  <c r="BN11" i="4"/>
  <c r="W10" i="4"/>
  <c r="EA10" i="4"/>
  <c r="DR10" i="4"/>
  <c r="DI10" i="4"/>
  <c r="CZ10" i="4"/>
  <c r="CQ10" i="4"/>
  <c r="CH10" i="4"/>
  <c r="BY10" i="4"/>
  <c r="BP10" i="4"/>
  <c r="AZ9" i="4"/>
  <c r="EC9" i="4"/>
  <c r="DT9" i="4"/>
  <c r="DK9" i="4"/>
  <c r="DB9" i="4"/>
  <c r="CS9" i="4"/>
  <c r="CJ9" i="4"/>
  <c r="CA9" i="4"/>
  <c r="BR9" i="4"/>
  <c r="AD9" i="4"/>
  <c r="DY9" i="4"/>
  <c r="DG9" i="4"/>
  <c r="DP9" i="4"/>
  <c r="CX9" i="4"/>
  <c r="CO9" i="4"/>
  <c r="CF9" i="4"/>
  <c r="BW9" i="4"/>
  <c r="BN9" i="4"/>
  <c r="AO8" i="4"/>
  <c r="EA8" i="4"/>
  <c r="DR8" i="4"/>
  <c r="DI8" i="4"/>
  <c r="CZ8" i="4"/>
  <c r="CH8" i="4"/>
  <c r="CQ8" i="4"/>
  <c r="BY8" i="4"/>
  <c r="BP8" i="4"/>
  <c r="AQ7" i="4"/>
  <c r="EC7" i="4"/>
  <c r="DT7" i="4"/>
  <c r="DK7" i="4"/>
  <c r="DB7" i="4"/>
  <c r="CS7" i="4"/>
  <c r="CJ7" i="4"/>
  <c r="CA7" i="4"/>
  <c r="BR7" i="4"/>
  <c r="AM7" i="4"/>
  <c r="DY7" i="4"/>
  <c r="DP7" i="4"/>
  <c r="DG7" i="4"/>
  <c r="CO7" i="4"/>
  <c r="CX7" i="4"/>
  <c r="CF7" i="4"/>
  <c r="BW7" i="4"/>
  <c r="BN7" i="4"/>
  <c r="AX6" i="4"/>
  <c r="EA6" i="4"/>
  <c r="DI6" i="4"/>
  <c r="CZ6" i="4"/>
  <c r="DR6" i="4"/>
  <c r="CQ6" i="4"/>
  <c r="CH6" i="4"/>
  <c r="BP6" i="4"/>
  <c r="BY6" i="4"/>
  <c r="BQ4" i="4"/>
  <c r="BR55" i="4"/>
  <c r="BM55" i="4"/>
  <c r="BP54" i="4"/>
  <c r="BQ53" i="4"/>
  <c r="BN52" i="4"/>
  <c r="BO51" i="4"/>
  <c r="BR50" i="4"/>
  <c r="BM50" i="4"/>
  <c r="BO49" i="4"/>
  <c r="BP48" i="4"/>
  <c r="BR47" i="4"/>
  <c r="BQ41" i="4"/>
  <c r="BR40" i="4"/>
  <c r="BM39" i="4"/>
  <c r="BO37" i="4"/>
  <c r="L49" i="4"/>
  <c r="L29" i="4"/>
  <c r="P21" i="4"/>
  <c r="L9" i="4"/>
  <c r="U43" i="4"/>
  <c r="W40" i="4"/>
  <c r="U25" i="4"/>
  <c r="AH51" i="4"/>
  <c r="AH23" i="4"/>
  <c r="AO48" i="4"/>
  <c r="AQ25" i="4"/>
  <c r="AO14" i="4"/>
  <c r="AX32" i="4"/>
  <c r="AV9" i="4"/>
  <c r="P37" i="4"/>
  <c r="N26" i="4"/>
  <c r="L7" i="4"/>
  <c r="W28" i="4"/>
  <c r="W20" i="4"/>
  <c r="AD45" i="4"/>
  <c r="AQ43" i="4"/>
  <c r="AO36" i="4"/>
  <c r="AQ21" i="4"/>
  <c r="AO16" i="4"/>
  <c r="AX36" i="4"/>
  <c r="BG5" i="4"/>
  <c r="T49" i="4"/>
  <c r="X39" i="4"/>
  <c r="T15" i="4"/>
  <c r="AP47" i="4"/>
  <c r="AP29" i="4"/>
  <c r="AU23" i="4"/>
  <c r="T45" i="4"/>
  <c r="T13" i="4"/>
  <c r="AM4" i="4"/>
  <c r="AP51" i="4"/>
  <c r="AL45" i="4"/>
  <c r="AP41" i="4"/>
  <c r="AN32" i="4"/>
  <c r="AL13" i="4"/>
  <c r="AY35" i="4"/>
  <c r="AY15" i="4"/>
  <c r="X29" i="4"/>
  <c r="X7" i="4"/>
  <c r="AG29" i="4"/>
  <c r="BD17" i="4"/>
  <c r="T43" i="4"/>
  <c r="X41" i="4"/>
  <c r="T29" i="4"/>
  <c r="AE32" i="4"/>
  <c r="AG7" i="4"/>
  <c r="AN52" i="4"/>
  <c r="AY29" i="4"/>
  <c r="BD49" i="4"/>
  <c r="O55" i="4"/>
  <c r="AY55" i="4"/>
  <c r="AP55" i="4"/>
  <c r="BH55" i="4"/>
  <c r="O53" i="4"/>
  <c r="AP53" i="4"/>
  <c r="AY53" i="4"/>
  <c r="AG53" i="4"/>
  <c r="K51" i="4"/>
  <c r="AL51" i="4"/>
  <c r="AU51" i="4"/>
  <c r="O49" i="4"/>
  <c r="AG49" i="4"/>
  <c r="AY49" i="4"/>
  <c r="X49" i="4"/>
  <c r="M48" i="4"/>
  <c r="AN48" i="4"/>
  <c r="AE48" i="4"/>
  <c r="K47" i="4"/>
  <c r="AL47" i="4"/>
  <c r="AC47" i="4"/>
  <c r="AU47" i="4"/>
  <c r="O45" i="4"/>
  <c r="AY45" i="4"/>
  <c r="X45" i="4"/>
  <c r="AP45" i="4"/>
  <c r="M44" i="4"/>
  <c r="AN44" i="4"/>
  <c r="V44" i="4"/>
  <c r="AW44" i="4"/>
  <c r="O43" i="4"/>
  <c r="X43" i="4"/>
  <c r="AY43" i="4"/>
  <c r="BH43" i="4"/>
  <c r="K41" i="4"/>
  <c r="BD41" i="4"/>
  <c r="AU41" i="4"/>
  <c r="T41" i="4"/>
  <c r="AL41" i="4"/>
  <c r="BH39" i="4"/>
  <c r="AG39" i="4"/>
  <c r="M38" i="4"/>
  <c r="AW38" i="4"/>
  <c r="AE38" i="4"/>
  <c r="BF38" i="4"/>
  <c r="BD37" i="4"/>
  <c r="AU37" i="4"/>
  <c r="AL37" i="4"/>
  <c r="AC37" i="4"/>
  <c r="M36" i="4"/>
  <c r="AW36" i="4"/>
  <c r="V36" i="4"/>
  <c r="K35" i="4"/>
  <c r="AU35" i="4"/>
  <c r="O33" i="4"/>
  <c r="AY33" i="4"/>
  <c r="X33" i="4"/>
  <c r="AG33" i="4"/>
  <c r="K33" i="4"/>
  <c r="AL33" i="4"/>
  <c r="AC33" i="4"/>
  <c r="BH31" i="4"/>
  <c r="AY31" i="4"/>
  <c r="AP31" i="4"/>
  <c r="K31" i="4"/>
  <c r="AL31" i="4"/>
  <c r="AC31" i="4"/>
  <c r="T31" i="4"/>
  <c r="AU31" i="4"/>
  <c r="M30" i="4"/>
  <c r="BF30" i="4"/>
  <c r="AE30" i="4"/>
  <c r="V30" i="4"/>
  <c r="BD29" i="4"/>
  <c r="AU29" i="4"/>
  <c r="AC29" i="4"/>
  <c r="M28" i="4"/>
  <c r="AN28" i="4"/>
  <c r="AW28" i="4"/>
  <c r="V28" i="4"/>
  <c r="K27" i="4"/>
  <c r="AU27" i="4"/>
  <c r="T27" i="4"/>
  <c r="O25" i="4"/>
  <c r="AP25" i="4"/>
  <c r="X25" i="4"/>
  <c r="AY25" i="4"/>
  <c r="K25" i="4"/>
  <c r="T25" i="4"/>
  <c r="BD25" i="4"/>
  <c r="AU25" i="4"/>
  <c r="BH23" i="4"/>
  <c r="AP23" i="4"/>
  <c r="K23" i="4"/>
  <c r="T23" i="4"/>
  <c r="M22" i="4"/>
  <c r="V22" i="4"/>
  <c r="AN22" i="4"/>
  <c r="AE22" i="4"/>
  <c r="AW22" i="4"/>
  <c r="O21" i="4"/>
  <c r="AY21" i="4"/>
  <c r="AP21" i="4"/>
  <c r="BD21" i="4"/>
  <c r="AU21" i="4"/>
  <c r="M20" i="4"/>
  <c r="AE20" i="4"/>
  <c r="V20" i="4"/>
  <c r="K19" i="4"/>
  <c r="AU19" i="4"/>
  <c r="BF18" i="4"/>
  <c r="V18" i="4"/>
  <c r="AW18" i="4"/>
  <c r="O17" i="4"/>
  <c r="AP17" i="4"/>
  <c r="AG17" i="4"/>
  <c r="AY17" i="4"/>
  <c r="K17" i="4"/>
  <c r="AL17" i="4"/>
  <c r="M16" i="4"/>
  <c r="AW16" i="4"/>
  <c r="AE16" i="4"/>
  <c r="V16" i="4"/>
  <c r="BH15" i="4"/>
  <c r="AP15" i="4"/>
  <c r="K15" i="4"/>
  <c r="AC15" i="4"/>
  <c r="AU15" i="4"/>
  <c r="M14" i="4"/>
  <c r="AW14" i="4"/>
  <c r="V14" i="4"/>
  <c r="BF14" i="4"/>
  <c r="O13" i="4"/>
  <c r="AY13" i="4"/>
  <c r="AP13" i="4"/>
  <c r="AG13" i="4"/>
  <c r="M12" i="4"/>
  <c r="V12" i="4"/>
  <c r="AN12" i="4"/>
  <c r="O11" i="4"/>
  <c r="AP11" i="4"/>
  <c r="BH11" i="4"/>
  <c r="AG11" i="4"/>
  <c r="X11" i="4"/>
  <c r="AY11" i="4"/>
  <c r="K11" i="4"/>
  <c r="AU11" i="4"/>
  <c r="AC11" i="4"/>
  <c r="BF10" i="4"/>
  <c r="AW10" i="4"/>
  <c r="O9" i="4"/>
  <c r="X9" i="4"/>
  <c r="K9" i="4"/>
  <c r="BD9" i="4"/>
  <c r="AU9" i="4"/>
  <c r="AL9" i="4"/>
  <c r="M8" i="4"/>
  <c r="AE8" i="4"/>
  <c r="AN8" i="4"/>
  <c r="V8" i="4"/>
  <c r="AW8" i="4"/>
  <c r="BH7" i="4"/>
  <c r="AY7" i="4"/>
  <c r="K7" i="4"/>
  <c r="T7" i="4"/>
  <c r="M6" i="4"/>
  <c r="AW6" i="4"/>
  <c r="AN6" i="4"/>
  <c r="AE6" i="4"/>
  <c r="L4" i="4"/>
  <c r="X55" i="4"/>
  <c r="V52" i="4"/>
  <c r="V48" i="4"/>
  <c r="T37" i="4"/>
  <c r="T21" i="4"/>
  <c r="X17" i="4"/>
  <c r="X13" i="4"/>
  <c r="V10" i="4"/>
  <c r="AG45" i="4"/>
  <c r="AC41" i="4"/>
  <c r="AE36" i="4"/>
  <c r="AE28" i="4"/>
  <c r="AG21" i="4"/>
  <c r="AE18" i="4"/>
  <c r="AE14" i="4"/>
  <c r="AG9" i="4"/>
  <c r="AC7" i="4"/>
  <c r="AP49" i="4"/>
  <c r="AP43" i="4"/>
  <c r="AP39" i="4"/>
  <c r="AN36" i="4"/>
  <c r="AL27" i="4"/>
  <c r="AN20" i="4"/>
  <c r="AL11" i="4"/>
  <c r="AL7" i="4"/>
  <c r="AW20" i="4"/>
  <c r="AU13" i="4"/>
  <c r="AU7" i="4"/>
  <c r="BF6" i="4"/>
  <c r="AF17" i="4"/>
  <c r="W17" i="4"/>
  <c r="BI4" i="4"/>
  <c r="AZ4" i="4"/>
  <c r="AQ4" i="4"/>
  <c r="AH4" i="4"/>
  <c r="Y4" i="4"/>
  <c r="AW5" i="4"/>
  <c r="M5" i="4"/>
  <c r="AN5" i="4"/>
  <c r="BF5" i="4"/>
  <c r="K55" i="4"/>
  <c r="T55" i="4"/>
  <c r="M54" i="4"/>
  <c r="AE54" i="4"/>
  <c r="BF54" i="4"/>
  <c r="AN54" i="4"/>
  <c r="AW54" i="4"/>
  <c r="BD53" i="4"/>
  <c r="AU53" i="4"/>
  <c r="T53" i="4"/>
  <c r="O51" i="4"/>
  <c r="BH51" i="4"/>
  <c r="AG51" i="4"/>
  <c r="BF50" i="4"/>
  <c r="AW50" i="4"/>
  <c r="V50" i="4"/>
  <c r="AN50" i="4"/>
  <c r="BH47" i="4"/>
  <c r="AY47" i="4"/>
  <c r="X47" i="4"/>
  <c r="M46" i="4"/>
  <c r="AW46" i="4"/>
  <c r="V46" i="4"/>
  <c r="BD45" i="4"/>
  <c r="AC45" i="4"/>
  <c r="K43" i="4"/>
  <c r="AU43" i="4"/>
  <c r="AL43" i="4"/>
  <c r="O41" i="4"/>
  <c r="AY41" i="4"/>
  <c r="M40" i="4"/>
  <c r="AN40" i="4"/>
  <c r="AE40" i="4"/>
  <c r="AW40" i="4"/>
  <c r="K39" i="4"/>
  <c r="T39" i="4"/>
  <c r="O37" i="4"/>
  <c r="AP37" i="4"/>
  <c r="X37" i="4"/>
  <c r="AY37" i="4"/>
  <c r="O35" i="4"/>
  <c r="AP35" i="4"/>
  <c r="AG35" i="4"/>
  <c r="BF34" i="4"/>
  <c r="AW34" i="4"/>
  <c r="AN34" i="4"/>
  <c r="V34" i="4"/>
  <c r="M32" i="4"/>
  <c r="AW32" i="4"/>
  <c r="O27" i="4"/>
  <c r="AP27" i="4"/>
  <c r="AG27" i="4"/>
  <c r="BH27" i="4"/>
  <c r="BF26" i="4"/>
  <c r="AE26" i="4"/>
  <c r="M24" i="4"/>
  <c r="AW24" i="4"/>
  <c r="AE24" i="4"/>
  <c r="O19" i="4"/>
  <c r="BH19" i="4"/>
  <c r="AP19" i="4"/>
  <c r="X19" i="4"/>
  <c r="V54" i="4"/>
  <c r="X51" i="4"/>
  <c r="T47" i="4"/>
  <c r="V40" i="4"/>
  <c r="X35" i="4"/>
  <c r="X31" i="4"/>
  <c r="X27" i="4"/>
  <c r="V24" i="4"/>
  <c r="T17" i="4"/>
  <c r="T9" i="4"/>
  <c r="AG55" i="4"/>
  <c r="AE52" i="4"/>
  <c r="AC49" i="4"/>
  <c r="AC39" i="4"/>
  <c r="AC35" i="4"/>
  <c r="AG31" i="4"/>
  <c r="AC27" i="4"/>
  <c r="AG23" i="4"/>
  <c r="AC21" i="4"/>
  <c r="AC17" i="4"/>
  <c r="AC13" i="4"/>
  <c r="AC9" i="4"/>
  <c r="AE5" i="4"/>
  <c r="AL53" i="4"/>
  <c r="AL49" i="4"/>
  <c r="AN46" i="4"/>
  <c r="AL39" i="4"/>
  <c r="AL35" i="4"/>
  <c r="AN30" i="4"/>
  <c r="AN26" i="4"/>
  <c r="AL23" i="4"/>
  <c r="AN14" i="4"/>
  <c r="AN10" i="4"/>
  <c r="AV4" i="4"/>
  <c r="AU49" i="4"/>
  <c r="AW30" i="4"/>
  <c r="AW26" i="4"/>
  <c r="AY19" i="4"/>
  <c r="AW12" i="4"/>
  <c r="BE4" i="4"/>
  <c r="BD33" i="4"/>
  <c r="P55" i="4"/>
  <c r="M31" i="4"/>
  <c r="P23" i="4"/>
  <c r="N8" i="4"/>
  <c r="U53" i="4"/>
  <c r="Y45" i="4"/>
  <c r="Y37" i="4"/>
  <c r="Y35" i="4"/>
  <c r="Y15" i="4"/>
  <c r="AD35" i="4"/>
  <c r="AD33" i="4"/>
  <c r="AD27" i="4"/>
  <c r="AD13" i="4"/>
  <c r="AD11" i="4"/>
  <c r="AN55" i="4"/>
  <c r="AL52" i="4"/>
  <c r="AP44" i="4"/>
  <c r="AQ39" i="4"/>
  <c r="AQ33" i="4"/>
  <c r="AM29" i="4"/>
  <c r="M4" i="4"/>
  <c r="P53" i="4"/>
  <c r="L45" i="4"/>
  <c r="L35" i="4"/>
  <c r="L31" i="4"/>
  <c r="L27" i="4"/>
  <c r="N18" i="4"/>
  <c r="W50" i="4"/>
  <c r="W48" i="4"/>
  <c r="U39" i="4"/>
  <c r="U31" i="4"/>
  <c r="AF50" i="4"/>
  <c r="AF38" i="4"/>
  <c r="AF6" i="4"/>
  <c r="AM55" i="4"/>
  <c r="AQ51" i="4"/>
  <c r="AO44" i="4"/>
  <c r="AM35" i="4"/>
  <c r="AO24" i="4"/>
  <c r="AM11" i="4"/>
  <c r="AM9" i="4"/>
  <c r="AV55" i="4"/>
  <c r="AV51" i="4"/>
  <c r="AV31" i="4"/>
  <c r="AV27" i="4"/>
  <c r="AV15" i="4"/>
  <c r="AL40" i="4"/>
  <c r="AP32" i="4"/>
  <c r="AN29" i="4"/>
  <c r="L51" i="4"/>
  <c r="P41" i="4"/>
  <c r="Y29" i="4"/>
  <c r="Y9" i="4"/>
  <c r="AF46" i="4"/>
  <c r="AD37" i="4"/>
  <c r="AD19" i="4"/>
  <c r="AL4" i="4"/>
  <c r="AO32" i="4"/>
  <c r="AM23" i="4"/>
  <c r="AO5" i="4"/>
  <c r="AZ53" i="4"/>
  <c r="AZ49" i="4"/>
  <c r="AV23" i="4"/>
  <c r="AP52" i="4"/>
  <c r="AN37" i="4"/>
  <c r="AL30" i="4"/>
  <c r="L55" i="4"/>
  <c r="N40" i="4"/>
  <c r="P27" i="4"/>
  <c r="L21" i="4"/>
  <c r="Y53" i="4"/>
  <c r="Y49" i="4"/>
  <c r="N5" i="4"/>
  <c r="N54" i="4"/>
  <c r="N46" i="4"/>
  <c r="L39" i="4"/>
  <c r="N32" i="4"/>
  <c r="P29" i="4"/>
  <c r="L25" i="4"/>
  <c r="N22" i="4"/>
  <c r="L17" i="4"/>
  <c r="P9" i="4"/>
  <c r="P7" i="4"/>
  <c r="U55" i="4"/>
  <c r="W52" i="4"/>
  <c r="Y47" i="4"/>
  <c r="U41" i="4"/>
  <c r="W36" i="4"/>
  <c r="W30" i="4"/>
  <c r="Y25" i="4"/>
  <c r="W24" i="4"/>
  <c r="Y17" i="4"/>
  <c r="AF32" i="4"/>
  <c r="AD21" i="4"/>
  <c r="AF10" i="4"/>
  <c r="AF8" i="4"/>
  <c r="AP54" i="4"/>
  <c r="AM51" i="4"/>
  <c r="AQ49" i="4"/>
  <c r="AN47" i="4"/>
  <c r="AL44" i="4"/>
  <c r="AM39" i="4"/>
  <c r="AQ37" i="4"/>
  <c r="AN35" i="4"/>
  <c r="AO34" i="4"/>
  <c r="AL32" i="4"/>
  <c r="AM27" i="4"/>
  <c r="AP24" i="4"/>
  <c r="AO20" i="4"/>
  <c r="AM15" i="4"/>
  <c r="AQ9" i="4"/>
  <c r="AX44" i="4"/>
  <c r="AZ25" i="4"/>
  <c r="AZ21" i="4"/>
  <c r="AN49" i="4"/>
  <c r="AP40" i="4"/>
  <c r="AP26" i="4"/>
  <c r="N52" i="4"/>
  <c r="N30" i="4"/>
  <c r="L23" i="4"/>
  <c r="N10" i="4"/>
  <c r="Y33" i="4"/>
  <c r="W32" i="4"/>
  <c r="Y27" i="4"/>
  <c r="Y13" i="4"/>
  <c r="W12" i="4"/>
  <c r="AD55" i="4"/>
  <c r="AD53" i="4"/>
  <c r="AH49" i="4"/>
  <c r="AH47" i="4"/>
  <c r="AF44" i="4"/>
  <c r="AF40" i="4"/>
  <c r="AH37" i="4"/>
  <c r="AF26" i="4"/>
  <c r="AL50" i="4"/>
  <c r="AP46" i="4"/>
  <c r="AM43" i="4"/>
  <c r="AQ41" i="4"/>
  <c r="AL38" i="4"/>
  <c r="AP34" i="4"/>
  <c r="AN27" i="4"/>
  <c r="AL24" i="4"/>
  <c r="AZ37" i="4"/>
  <c r="AX16" i="4"/>
  <c r="AP4" i="4"/>
  <c r="AG4" i="4"/>
  <c r="BH4" i="4"/>
  <c r="X4" i="4"/>
  <c r="AY4" i="4"/>
  <c r="BI5" i="4"/>
  <c r="AQ5" i="4"/>
  <c r="BE5" i="4"/>
  <c r="AM5" i="4"/>
  <c r="AD5" i="4"/>
  <c r="L5" i="4"/>
  <c r="AV5" i="4"/>
  <c r="U5" i="4"/>
  <c r="AX55" i="4"/>
  <c r="BG55" i="4"/>
  <c r="AO55" i="4"/>
  <c r="W55" i="4"/>
  <c r="AZ54" i="4"/>
  <c r="AQ54" i="4"/>
  <c r="AH54" i="4"/>
  <c r="P54" i="4"/>
  <c r="BI54" i="4"/>
  <c r="Y54" i="4"/>
  <c r="BE54" i="4"/>
  <c r="AM54" i="4"/>
  <c r="AV54" i="4"/>
  <c r="AD54" i="4"/>
  <c r="BG53" i="4"/>
  <c r="AO53" i="4"/>
  <c r="AF53" i="4"/>
  <c r="N53" i="4"/>
  <c r="AX53" i="4"/>
  <c r="AZ52" i="4"/>
  <c r="AQ52" i="4"/>
  <c r="Y52" i="4"/>
  <c r="AH52" i="4"/>
  <c r="BI52" i="4"/>
  <c r="AM52" i="4"/>
  <c r="AD52" i="4"/>
  <c r="L52" i="4"/>
  <c r="BE52" i="4"/>
  <c r="AV52" i="4"/>
  <c r="U52" i="4"/>
  <c r="BG51" i="4"/>
  <c r="AX51" i="4"/>
  <c r="AO51" i="4"/>
  <c r="AF51" i="4"/>
  <c r="AQ50" i="4"/>
  <c r="P50" i="4"/>
  <c r="AZ50" i="4"/>
  <c r="AH50" i="4"/>
  <c r="AV50" i="4"/>
  <c r="AM50" i="4"/>
  <c r="U50" i="4"/>
  <c r="BE50" i="4"/>
  <c r="BG49" i="4"/>
  <c r="AX49" i="4"/>
  <c r="AO49" i="4"/>
  <c r="AF49" i="4"/>
  <c r="W49" i="4"/>
  <c r="BI48" i="4"/>
  <c r="AQ48" i="4"/>
  <c r="AZ48" i="4"/>
  <c r="P48" i="4"/>
  <c r="AH48" i="4"/>
  <c r="AM48" i="4"/>
  <c r="BE48" i="4"/>
  <c r="AD48" i="4"/>
  <c r="AV48" i="4"/>
  <c r="BG47" i="4"/>
  <c r="AX47" i="4"/>
  <c r="AO47" i="4"/>
  <c r="W47" i="4"/>
  <c r="AF47" i="4"/>
  <c r="N47" i="4"/>
  <c r="AQ46" i="4"/>
  <c r="AH46" i="4"/>
  <c r="AZ46" i="4"/>
  <c r="Y46" i="4"/>
  <c r="BE46" i="4"/>
  <c r="AV46" i="4"/>
  <c r="AM46" i="4"/>
  <c r="AD46" i="4"/>
  <c r="L46" i="4"/>
  <c r="BG45" i="4"/>
  <c r="AO45" i="4"/>
  <c r="AX45" i="4"/>
  <c r="AF45" i="4"/>
  <c r="AZ44" i="4"/>
  <c r="AQ44" i="4"/>
  <c r="Y44" i="4"/>
  <c r="BI44" i="4"/>
  <c r="P44" i="4"/>
  <c r="AV44" i="4"/>
  <c r="AM44" i="4"/>
  <c r="AD44" i="4"/>
  <c r="BE44" i="4"/>
  <c r="U44" i="4"/>
  <c r="BG43" i="4"/>
  <c r="AO43" i="4"/>
  <c r="AX43" i="4"/>
  <c r="N43" i="4"/>
  <c r="AF43" i="4"/>
  <c r="BG41" i="4"/>
  <c r="AO41" i="4"/>
  <c r="AX41" i="4"/>
  <c r="AF41" i="4"/>
  <c r="N41" i="4"/>
  <c r="AZ40" i="4"/>
  <c r="AQ40" i="4"/>
  <c r="Y40" i="4"/>
  <c r="BI40" i="4"/>
  <c r="AH40" i="4"/>
  <c r="BE40" i="4"/>
  <c r="AM40" i="4"/>
  <c r="AD40" i="4"/>
  <c r="AV40" i="4"/>
  <c r="U40" i="4"/>
  <c r="L40" i="4"/>
  <c r="AX39" i="4"/>
  <c r="AO39" i="4"/>
  <c r="BG39" i="4"/>
  <c r="AF39" i="4"/>
  <c r="BI38" i="4"/>
  <c r="AQ38" i="4"/>
  <c r="AZ38" i="4"/>
  <c r="P38" i="4"/>
  <c r="BE38" i="4"/>
  <c r="AV38" i="4"/>
  <c r="AM38" i="4"/>
  <c r="AD38" i="4"/>
  <c r="U38" i="4"/>
  <c r="AX37" i="4"/>
  <c r="AO37" i="4"/>
  <c r="AF37" i="4"/>
  <c r="W37" i="4"/>
  <c r="N37" i="4"/>
  <c r="BG37" i="4"/>
  <c r="AQ36" i="4"/>
  <c r="AZ36" i="4"/>
  <c r="BI36" i="4"/>
  <c r="Y36" i="4"/>
  <c r="BE36" i="4"/>
  <c r="AM36" i="4"/>
  <c r="AV36" i="4"/>
  <c r="AD36" i="4"/>
  <c r="L36" i="4"/>
  <c r="AX35" i="4"/>
  <c r="AO35" i="4"/>
  <c r="W35" i="4"/>
  <c r="AF35" i="4"/>
  <c r="AQ34" i="4"/>
  <c r="AH34" i="4"/>
  <c r="AZ34" i="4"/>
  <c r="Y34" i="4"/>
  <c r="P34" i="4"/>
  <c r="BI34" i="4"/>
  <c r="BE34" i="4"/>
  <c r="AV34" i="4"/>
  <c r="AM34" i="4"/>
  <c r="AD34" i="4"/>
  <c r="U34" i="4"/>
  <c r="BG33" i="4"/>
  <c r="AO33" i="4"/>
  <c r="AX33" i="4"/>
  <c r="N33" i="4"/>
  <c r="AZ32" i="4"/>
  <c r="AQ32" i="4"/>
  <c r="BI32" i="4"/>
  <c r="AH32" i="4"/>
  <c r="Y32" i="4"/>
  <c r="AV32" i="4"/>
  <c r="AM32" i="4"/>
  <c r="AD32" i="4"/>
  <c r="U32" i="4"/>
  <c r="L32" i="4"/>
  <c r="BG31" i="4"/>
  <c r="AO31" i="4"/>
  <c r="AX31" i="4"/>
  <c r="W31" i="4"/>
  <c r="BI30" i="4"/>
  <c r="AQ30" i="4"/>
  <c r="P30" i="4"/>
  <c r="AZ30" i="4"/>
  <c r="AH30" i="4"/>
  <c r="AV30" i="4"/>
  <c r="AM30" i="4"/>
  <c r="U30" i="4"/>
  <c r="BE30" i="4"/>
  <c r="AD30" i="4"/>
  <c r="BG29" i="4"/>
  <c r="AO29" i="4"/>
  <c r="AF29" i="4"/>
  <c r="N29" i="4"/>
  <c r="AX29" i="4"/>
  <c r="W29" i="4"/>
  <c r="AZ28" i="4"/>
  <c r="AQ28" i="4"/>
  <c r="BI28" i="4"/>
  <c r="AH28" i="4"/>
  <c r="Y28" i="4"/>
  <c r="BE28" i="4"/>
  <c r="AM28" i="4"/>
  <c r="L28" i="4"/>
  <c r="AV28" i="4"/>
  <c r="BG27" i="4"/>
  <c r="AX27" i="4"/>
  <c r="AO27" i="4"/>
  <c r="AF27" i="4"/>
  <c r="W27" i="4"/>
  <c r="AZ26" i="4"/>
  <c r="AQ26" i="4"/>
  <c r="AH26" i="4"/>
  <c r="P26" i="4"/>
  <c r="Y26" i="4"/>
  <c r="BI26" i="4"/>
  <c r="AM26" i="4"/>
  <c r="AV26" i="4"/>
  <c r="BE26" i="4"/>
  <c r="U26" i="4"/>
  <c r="BG25" i="4"/>
  <c r="AO25" i="4"/>
  <c r="N25" i="4"/>
  <c r="AX25" i="4"/>
  <c r="AF25" i="4"/>
  <c r="AZ24" i="4"/>
  <c r="AQ24" i="4"/>
  <c r="Y24" i="4"/>
  <c r="AH24" i="4"/>
  <c r="AM24" i="4"/>
  <c r="AD24" i="4"/>
  <c r="L24" i="4"/>
  <c r="AV24" i="4"/>
  <c r="U24" i="4"/>
  <c r="BE24" i="4"/>
  <c r="BG23" i="4"/>
  <c r="AX23" i="4"/>
  <c r="AO23" i="4"/>
  <c r="AF23" i="4"/>
  <c r="W23" i="4"/>
  <c r="BI22" i="4"/>
  <c r="AQ22" i="4"/>
  <c r="P22" i="4"/>
  <c r="AZ22" i="4"/>
  <c r="AV22" i="4"/>
  <c r="AM22" i="4"/>
  <c r="BE22" i="4"/>
  <c r="AD22" i="4"/>
  <c r="U22" i="4"/>
  <c r="AX21" i="4"/>
  <c r="AF21" i="4"/>
  <c r="AO21" i="4"/>
  <c r="N21" i="4"/>
  <c r="W21" i="4"/>
  <c r="BI20" i="4"/>
  <c r="Y20" i="4"/>
  <c r="AZ20" i="4"/>
  <c r="AQ20" i="4"/>
  <c r="BE20" i="4"/>
  <c r="AV20" i="4"/>
  <c r="AD20" i="4"/>
  <c r="U20" i="4"/>
  <c r="AX19" i="4"/>
  <c r="AO19" i="4"/>
  <c r="BG19" i="4"/>
  <c r="N19" i="4"/>
  <c r="AF19" i="4"/>
  <c r="BI18" i="4"/>
  <c r="AH18" i="4"/>
  <c r="Y18" i="4"/>
  <c r="AZ18" i="4"/>
  <c r="AQ18" i="4"/>
  <c r="AV18" i="4"/>
  <c r="U18" i="4"/>
  <c r="BE18" i="4"/>
  <c r="AM18" i="4"/>
  <c r="AD18" i="4"/>
  <c r="L18" i="4"/>
  <c r="BG17" i="4"/>
  <c r="AX17" i="4"/>
  <c r="AO17" i="4"/>
  <c r="BI16" i="4"/>
  <c r="AZ16" i="4"/>
  <c r="AQ16" i="4"/>
  <c r="AH16" i="4"/>
  <c r="Y16" i="4"/>
  <c r="P16" i="4"/>
  <c r="AV16" i="4"/>
  <c r="AD16" i="4"/>
  <c r="AM16" i="4"/>
  <c r="BE16" i="4"/>
  <c r="U16" i="4"/>
  <c r="W15" i="4"/>
  <c r="AX15" i="4"/>
  <c r="BG15" i="4"/>
  <c r="N15" i="4"/>
  <c r="AO15" i="4"/>
  <c r="BI14" i="4"/>
  <c r="AZ14" i="4"/>
  <c r="AH14" i="4"/>
  <c r="Y14" i="4"/>
  <c r="AV14" i="4"/>
  <c r="AM14" i="4"/>
  <c r="L14" i="4"/>
  <c r="AD14" i="4"/>
  <c r="AF13" i="4"/>
  <c r="W13" i="4"/>
  <c r="AX13" i="4"/>
  <c r="BG13" i="4"/>
  <c r="AO13" i="4"/>
  <c r="BI12" i="4"/>
  <c r="AZ12" i="4"/>
  <c r="Y12" i="4"/>
  <c r="AQ12" i="4"/>
  <c r="AH12" i="4"/>
  <c r="P12" i="4"/>
  <c r="BE12" i="4"/>
  <c r="AV12" i="4"/>
  <c r="AM12" i="4"/>
  <c r="AX11" i="4"/>
  <c r="AO11" i="4"/>
  <c r="BG11" i="4"/>
  <c r="AF11" i="4"/>
  <c r="W11" i="4"/>
  <c r="N11" i="4"/>
  <c r="AH10" i="4"/>
  <c r="AQ10" i="4"/>
  <c r="AZ10" i="4"/>
  <c r="Y10" i="4"/>
  <c r="BE10" i="4"/>
  <c r="U10" i="4"/>
  <c r="AV10" i="4"/>
  <c r="L10" i="4"/>
  <c r="AM10" i="4"/>
  <c r="AX9" i="4"/>
  <c r="BG9" i="4"/>
  <c r="AF9" i="4"/>
  <c r="W9" i="4"/>
  <c r="AQ8" i="4"/>
  <c r="P8" i="4"/>
  <c r="BI8" i="4"/>
  <c r="AH8" i="4"/>
  <c r="BE8" i="4"/>
  <c r="AD8" i="4"/>
  <c r="AV8" i="4"/>
  <c r="U8" i="4"/>
  <c r="AM8" i="4"/>
  <c r="AX7" i="4"/>
  <c r="BG7" i="4"/>
  <c r="AO7" i="4"/>
  <c r="N7" i="4"/>
  <c r="AF7" i="4"/>
  <c r="BI6" i="4"/>
  <c r="Y6" i="4"/>
  <c r="AZ6" i="4"/>
  <c r="AQ6" i="4"/>
  <c r="BE6" i="4"/>
  <c r="AV6" i="4"/>
  <c r="AM6" i="4"/>
  <c r="AD6" i="4"/>
  <c r="U6" i="4"/>
  <c r="L6" i="4"/>
  <c r="P52" i="4"/>
  <c r="P28" i="4"/>
  <c r="N23" i="4"/>
  <c r="N9" i="4"/>
  <c r="U54" i="4"/>
  <c r="Y50" i="4"/>
  <c r="W43" i="4"/>
  <c r="Y38" i="4"/>
  <c r="U36" i="4"/>
  <c r="W33" i="4"/>
  <c r="Y30" i="4"/>
  <c r="U28" i="4"/>
  <c r="W25" i="4"/>
  <c r="Y22" i="4"/>
  <c r="W19" i="4"/>
  <c r="Y5" i="4"/>
  <c r="AD50" i="4"/>
  <c r="AD26" i="4"/>
  <c r="AH22" i="4"/>
  <c r="AH5" i="4"/>
  <c r="AM20" i="4"/>
  <c r="BI50" i="4"/>
  <c r="BG35" i="4"/>
  <c r="BG21" i="4"/>
  <c r="BE14" i="4"/>
  <c r="L54" i="4"/>
  <c r="L48" i="4"/>
  <c r="N45" i="4"/>
  <c r="N39" i="4"/>
  <c r="P36" i="4"/>
  <c r="L34" i="4"/>
  <c r="N31" i="4"/>
  <c r="L30" i="4"/>
  <c r="P24" i="4"/>
  <c r="P18" i="4"/>
  <c r="L16" i="4"/>
  <c r="N13" i="4"/>
  <c r="P10" i="4"/>
  <c r="W51" i="4"/>
  <c r="U48" i="4"/>
  <c r="W39" i="4"/>
  <c r="W7" i="4"/>
  <c r="AH44" i="4"/>
  <c r="AF31" i="4"/>
  <c r="AD28" i="4"/>
  <c r="AD10" i="4"/>
  <c r="AH6" i="4"/>
  <c r="AQ14" i="4"/>
  <c r="AZ8" i="4"/>
  <c r="P5" i="4"/>
  <c r="N55" i="4"/>
  <c r="L50" i="4"/>
  <c r="L26" i="4"/>
  <c r="P20" i="4"/>
  <c r="P6" i="4"/>
  <c r="Y48" i="4"/>
  <c r="W45" i="4"/>
  <c r="U12" i="4"/>
  <c r="Y8" i="4"/>
  <c r="AH36" i="4"/>
  <c r="AF33" i="4"/>
  <c r="AF15" i="4"/>
  <c r="AD12" i="4"/>
  <c r="AO9" i="4"/>
  <c r="AZ5" i="4"/>
  <c r="BI46" i="4"/>
  <c r="BE32" i="4"/>
  <c r="BI24" i="4"/>
  <c r="BI10" i="4"/>
  <c r="AU22" i="4"/>
  <c r="AL22" i="4"/>
  <c r="AW21" i="4"/>
  <c r="AN21" i="4"/>
  <c r="AY20" i="4"/>
  <c r="AP20" i="4"/>
  <c r="AU20" i="4"/>
  <c r="AL20" i="4"/>
  <c r="AW19" i="4"/>
  <c r="AN19" i="4"/>
  <c r="AY18" i="4"/>
  <c r="AP18" i="4"/>
  <c r="AU18" i="4"/>
  <c r="AL18" i="4"/>
  <c r="AW17" i="4"/>
  <c r="AN17" i="4"/>
  <c r="AY16" i="4"/>
  <c r="AP16" i="4"/>
  <c r="AU16" i="4"/>
  <c r="AL16" i="4"/>
  <c r="AW15" i="4"/>
  <c r="AN15" i="4"/>
  <c r="AY14" i="4"/>
  <c r="AP14" i="4"/>
  <c r="AU14" i="4"/>
  <c r="AL14" i="4"/>
  <c r="AW13" i="4"/>
  <c r="AN13" i="4"/>
  <c r="AG12" i="4"/>
  <c r="AP12" i="4"/>
  <c r="T12" i="4"/>
  <c r="AL12" i="4"/>
  <c r="V11" i="4"/>
  <c r="AN11" i="4"/>
  <c r="X10" i="4"/>
  <c r="AP10" i="4"/>
  <c r="AC10" i="4"/>
  <c r="AL10" i="4"/>
  <c r="V9" i="4"/>
  <c r="AN9" i="4"/>
  <c r="X8" i="4"/>
  <c r="AP8" i="4"/>
  <c r="AL8" i="4"/>
  <c r="T8" i="4"/>
  <c r="AE7" i="4"/>
  <c r="AN7" i="4"/>
  <c r="X6" i="4"/>
  <c r="AP6" i="4"/>
  <c r="T6" i="4"/>
  <c r="AL6" i="4"/>
  <c r="K50" i="4"/>
  <c r="O20" i="4"/>
  <c r="AN53" i="4"/>
  <c r="AP50" i="4"/>
  <c r="AL48" i="4"/>
  <c r="AN45" i="4"/>
  <c r="AN41" i="4"/>
  <c r="AP38" i="4"/>
  <c r="AL36" i="4"/>
  <c r="AN33" i="4"/>
  <c r="AP30" i="4"/>
  <c r="AL28" i="4"/>
  <c r="AN25" i="4"/>
  <c r="AP22" i="4"/>
  <c r="AC4" i="4"/>
  <c r="BD4" i="4"/>
  <c r="AU4" i="4"/>
  <c r="AN4" i="4"/>
  <c r="BF4" i="4"/>
  <c r="AW4" i="4"/>
  <c r="AX5" i="4"/>
  <c r="W5" i="4"/>
  <c r="BI55" i="4"/>
  <c r="AZ55" i="4"/>
  <c r="BI53" i="4"/>
  <c r="AH53" i="4"/>
  <c r="BG52" i="4"/>
  <c r="AX52" i="4"/>
  <c r="BI51" i="4"/>
  <c r="AZ51" i="4"/>
  <c r="BE51" i="4"/>
  <c r="AD51" i="4"/>
  <c r="BG50" i="4"/>
  <c r="AX50" i="4"/>
  <c r="BE49" i="4"/>
  <c r="AV49" i="4"/>
  <c r="BG48" i="4"/>
  <c r="AF48" i="4"/>
  <c r="BE47" i="4"/>
  <c r="AV47" i="4"/>
  <c r="BG46" i="4"/>
  <c r="AX46" i="4"/>
  <c r="BI45" i="4"/>
  <c r="AH45" i="4"/>
  <c r="BE45" i="4"/>
  <c r="AV45" i="4"/>
  <c r="BI43" i="4"/>
  <c r="AZ43" i="4"/>
  <c r="BE43" i="4"/>
  <c r="AD43" i="4"/>
  <c r="BI41" i="4"/>
  <c r="AH41" i="4"/>
  <c r="BG40" i="4"/>
  <c r="AX40" i="4"/>
  <c r="BI39" i="4"/>
  <c r="AZ39" i="4"/>
  <c r="BE39" i="4"/>
  <c r="AD39" i="4"/>
  <c r="BG38" i="4"/>
  <c r="AX38" i="4"/>
  <c r="BE37" i="4"/>
  <c r="AV37" i="4"/>
  <c r="BG36" i="4"/>
  <c r="AF36" i="4"/>
  <c r="BE35" i="4"/>
  <c r="AV35" i="4"/>
  <c r="BG34" i="4"/>
  <c r="AX34" i="4"/>
  <c r="BI33" i="4"/>
  <c r="AH33" i="4"/>
  <c r="BE33" i="4"/>
  <c r="AV33" i="4"/>
  <c r="BI31" i="4"/>
  <c r="AZ31" i="4"/>
  <c r="BE31" i="4"/>
  <c r="AD31" i="4"/>
  <c r="BI29" i="4"/>
  <c r="AZ29" i="4"/>
  <c r="BE29" i="4"/>
  <c r="AV29" i="4"/>
  <c r="BG28" i="4"/>
  <c r="AF28" i="4"/>
  <c r="BI27" i="4"/>
  <c r="AZ27" i="4"/>
  <c r="BG26" i="4"/>
  <c r="AX26" i="4"/>
  <c r="BI25" i="4"/>
  <c r="AH25" i="4"/>
  <c r="BG24" i="4"/>
  <c r="AX24" i="4"/>
  <c r="BI23" i="4"/>
  <c r="AZ23" i="4"/>
  <c r="BE23" i="4"/>
  <c r="AD23" i="4"/>
  <c r="BG22" i="4"/>
  <c r="AX22" i="4"/>
  <c r="W22" i="4"/>
  <c r="BE21" i="4"/>
  <c r="AV21" i="4"/>
  <c r="AM21" i="4"/>
  <c r="BG20" i="4"/>
  <c r="AF20" i="4"/>
  <c r="BI19" i="4"/>
  <c r="Y19" i="4"/>
  <c r="BE19" i="4"/>
  <c r="AV19" i="4"/>
  <c r="BG18" i="4"/>
  <c r="AX18" i="4"/>
  <c r="AO18" i="4"/>
  <c r="BI17" i="4"/>
  <c r="AH17" i="4"/>
  <c r="BE17" i="4"/>
  <c r="AV17" i="4"/>
  <c r="U17" i="4"/>
  <c r="BI15" i="4"/>
  <c r="AZ15" i="4"/>
  <c r="AQ15" i="4"/>
  <c r="BE15" i="4"/>
  <c r="AD15" i="4"/>
  <c r="BG14" i="4"/>
  <c r="W14" i="4"/>
  <c r="BI13" i="4"/>
  <c r="AZ13" i="4"/>
  <c r="BE13" i="4"/>
  <c r="AV13" i="4"/>
  <c r="AM13" i="4"/>
  <c r="BG12" i="4"/>
  <c r="AF12" i="4"/>
  <c r="BI11" i="4"/>
  <c r="AZ11" i="4"/>
  <c r="Y11" i="4"/>
  <c r="BG10" i="4"/>
  <c r="AX10" i="4"/>
  <c r="AO10" i="4"/>
  <c r="BI9" i="4"/>
  <c r="AH9" i="4"/>
  <c r="AV7" i="4"/>
  <c r="AD7" i="4"/>
  <c r="K4" i="4"/>
  <c r="P49" i="4"/>
  <c r="N48" i="4"/>
  <c r="L47" i="4"/>
  <c r="P45" i="4"/>
  <c r="N44" i="4"/>
  <c r="L43" i="4"/>
  <c r="L41" i="4"/>
  <c r="P39" i="4"/>
  <c r="N38" i="4"/>
  <c r="L37" i="4"/>
  <c r="P35" i="4"/>
  <c r="N34" i="4"/>
  <c r="L33" i="4"/>
  <c r="P31" i="4"/>
  <c r="N20" i="4"/>
  <c r="L19" i="4"/>
  <c r="P17" i="4"/>
  <c r="N16" i="4"/>
  <c r="L15" i="4"/>
  <c r="P13" i="4"/>
  <c r="N12" i="4"/>
  <c r="L11" i="4"/>
  <c r="K10" i="4"/>
  <c r="V4" i="4"/>
  <c r="W54" i="4"/>
  <c r="Y51" i="4"/>
  <c r="U49" i="4"/>
  <c r="W46" i="4"/>
  <c r="Y43" i="4"/>
  <c r="Y39" i="4"/>
  <c r="U37" i="4"/>
  <c r="W34" i="4"/>
  <c r="Y31" i="4"/>
  <c r="U29" i="4"/>
  <c r="W26" i="4"/>
  <c r="Y23" i="4"/>
  <c r="Y21" i="4"/>
  <c r="W16" i="4"/>
  <c r="AF54" i="4"/>
  <c r="AF52" i="4"/>
  <c r="AD49" i="4"/>
  <c r="AD47" i="4"/>
  <c r="AH43" i="4"/>
  <c r="AD41" i="4"/>
  <c r="AH35" i="4"/>
  <c r="AF30" i="4"/>
  <c r="AD25" i="4"/>
  <c r="AH19" i="4"/>
  <c r="AF14" i="4"/>
  <c r="AQ55" i="4"/>
  <c r="AL54" i="4"/>
  <c r="AM53" i="4"/>
  <c r="AN51" i="4"/>
  <c r="AO50" i="4"/>
  <c r="AP48" i="4"/>
  <c r="AQ47" i="4"/>
  <c r="AL46" i="4"/>
  <c r="AM45" i="4"/>
  <c r="AN43" i="4"/>
  <c r="AM41" i="4"/>
  <c r="AN39" i="4"/>
  <c r="AO38" i="4"/>
  <c r="AP36" i="4"/>
  <c r="AQ35" i="4"/>
  <c r="AL34" i="4"/>
  <c r="AM33" i="4"/>
  <c r="AN31" i="4"/>
  <c r="AO30" i="4"/>
  <c r="AP28" i="4"/>
  <c r="AQ27" i="4"/>
  <c r="AL26" i="4"/>
  <c r="AM25" i="4"/>
  <c r="AN23" i="4"/>
  <c r="AO22" i="4"/>
  <c r="AM19" i="4"/>
  <c r="AM17" i="4"/>
  <c r="AQ13" i="4"/>
  <c r="AQ11" i="4"/>
  <c r="AO6" i="4"/>
  <c r="AV53" i="4"/>
  <c r="AZ47" i="4"/>
  <c r="AV41" i="4"/>
  <c r="AZ35" i="4"/>
  <c r="AX30" i="4"/>
  <c r="AV25" i="4"/>
  <c r="AZ19" i="4"/>
  <c r="AX14" i="4"/>
  <c r="AZ7" i="4"/>
  <c r="BG54" i="4"/>
  <c r="M47" i="4"/>
  <c r="O28" i="4"/>
  <c r="M7" i="4"/>
  <c r="M55" i="4"/>
  <c r="O44" i="4"/>
  <c r="O36" i="4"/>
  <c r="K26" i="4"/>
  <c r="M15" i="4"/>
  <c r="V55" i="4"/>
  <c r="X54" i="4"/>
  <c r="T54" i="4"/>
  <c r="V53" i="4"/>
  <c r="X52" i="4"/>
  <c r="T52" i="4"/>
  <c r="V51" i="4"/>
  <c r="X50" i="4"/>
  <c r="T50" i="4"/>
  <c r="V49" i="4"/>
  <c r="X48" i="4"/>
  <c r="T48" i="4"/>
  <c r="V47" i="4"/>
  <c r="X46" i="4"/>
  <c r="T46" i="4"/>
  <c r="V45" i="4"/>
  <c r="X44" i="4"/>
  <c r="T44" i="4"/>
  <c r="V43" i="4"/>
  <c r="V41" i="4"/>
  <c r="X40" i="4"/>
  <c r="T40" i="4"/>
  <c r="V39" i="4"/>
  <c r="X38" i="4"/>
  <c r="T38" i="4"/>
  <c r="V37" i="4"/>
  <c r="X36" i="4"/>
  <c r="T36" i="4"/>
  <c r="V35" i="4"/>
  <c r="X34" i="4"/>
  <c r="T34" i="4"/>
  <c r="V33" i="4"/>
  <c r="X32" i="4"/>
  <c r="T32" i="4"/>
  <c r="V31" i="4"/>
  <c r="X30" i="4"/>
  <c r="T30" i="4"/>
  <c r="V29" i="4"/>
  <c r="X28" i="4"/>
  <c r="T28" i="4"/>
  <c r="V27" i="4"/>
  <c r="X26" i="4"/>
  <c r="T26" i="4"/>
  <c r="V25" i="4"/>
  <c r="X24" i="4"/>
  <c r="T24" i="4"/>
  <c r="V23" i="4"/>
  <c r="X22" i="4"/>
  <c r="T22" i="4"/>
  <c r="V21" i="4"/>
  <c r="X20" i="4"/>
  <c r="T20" i="4"/>
  <c r="V19" i="4"/>
  <c r="X18" i="4"/>
  <c r="T18" i="4"/>
  <c r="V17" i="4"/>
  <c r="X16" i="4"/>
  <c r="T16" i="4"/>
  <c r="V15" i="4"/>
  <c r="X14" i="4"/>
  <c r="T14" i="4"/>
  <c r="V13" i="4"/>
  <c r="X12" i="4"/>
  <c r="T10" i="4"/>
  <c r="O52" i="4"/>
  <c r="K34" i="4"/>
  <c r="M23" i="4"/>
  <c r="O12" i="4"/>
  <c r="V7" i="4"/>
  <c r="M39" i="4"/>
  <c r="K18" i="4"/>
  <c r="BE11" i="4"/>
  <c r="AV11" i="4"/>
  <c r="BE9" i="4"/>
  <c r="U9" i="4"/>
  <c r="BG8" i="4"/>
  <c r="AX8" i="4"/>
  <c r="W8" i="4"/>
  <c r="BI7" i="4"/>
  <c r="Y7" i="4"/>
  <c r="BE7" i="4"/>
  <c r="U7" i="4"/>
  <c r="BG6" i="4"/>
  <c r="W6" i="4"/>
  <c r="BF55" i="4"/>
  <c r="AE55" i="4"/>
  <c r="BH54" i="4"/>
  <c r="AG54" i="4"/>
  <c r="BD54" i="4"/>
  <c r="AC54" i="4"/>
  <c r="M53" i="4"/>
  <c r="AE53" i="4"/>
  <c r="BH52" i="4"/>
  <c r="AG52" i="4"/>
  <c r="BD52" i="4"/>
  <c r="AC52" i="4"/>
  <c r="BF51" i="4"/>
  <c r="AE51" i="4"/>
  <c r="BH50" i="4"/>
  <c r="AG50" i="4"/>
  <c r="BD50" i="4"/>
  <c r="AC50" i="4"/>
  <c r="BF49" i="4"/>
  <c r="AE49" i="4"/>
  <c r="BH48" i="4"/>
  <c r="AG48" i="4"/>
  <c r="BD48" i="4"/>
  <c r="AC48" i="4"/>
  <c r="BF47" i="4"/>
  <c r="AE47" i="4"/>
  <c r="BH46" i="4"/>
  <c r="AG46" i="4"/>
  <c r="BD46" i="4"/>
  <c r="AC46" i="4"/>
  <c r="BF45" i="4"/>
  <c r="AE45" i="4"/>
  <c r="BH44" i="4"/>
  <c r="AG44" i="4"/>
  <c r="BD44" i="4"/>
  <c r="AC44" i="4"/>
  <c r="BF43" i="4"/>
  <c r="AE43" i="4"/>
  <c r="BF41" i="4"/>
  <c r="AE41" i="4"/>
  <c r="BH40" i="4"/>
  <c r="AG40" i="4"/>
  <c r="BD40" i="4"/>
  <c r="AC40" i="4"/>
  <c r="BF39" i="4"/>
  <c r="AE39" i="4"/>
  <c r="BH38" i="4"/>
  <c r="AG38" i="4"/>
  <c r="BD38" i="4"/>
  <c r="AC38" i="4"/>
  <c r="BF37" i="4"/>
  <c r="AE37" i="4"/>
  <c r="BH36" i="4"/>
  <c r="AG36" i="4"/>
  <c r="BD36" i="4"/>
  <c r="AC36" i="4"/>
  <c r="BF35" i="4"/>
  <c r="AE35" i="4"/>
  <c r="BH34" i="4"/>
  <c r="AG34" i="4"/>
  <c r="BD34" i="4"/>
  <c r="AC34" i="4"/>
  <c r="BF33" i="4"/>
  <c r="AE33" i="4"/>
  <c r="BH32" i="4"/>
  <c r="AG32" i="4"/>
  <c r="BD32" i="4"/>
  <c r="AC32" i="4"/>
  <c r="BF31" i="4"/>
  <c r="AE31" i="4"/>
  <c r="BH30" i="4"/>
  <c r="AG30" i="4"/>
  <c r="BD30" i="4"/>
  <c r="AC30" i="4"/>
  <c r="M29" i="4"/>
  <c r="AE29" i="4"/>
  <c r="BH28" i="4"/>
  <c r="AG28" i="4"/>
  <c r="BD28" i="4"/>
  <c r="AC28" i="4"/>
  <c r="BF27" i="4"/>
  <c r="AE27" i="4"/>
  <c r="BH26" i="4"/>
  <c r="AG26" i="4"/>
  <c r="BD26" i="4"/>
  <c r="AC26" i="4"/>
  <c r="BF25" i="4"/>
  <c r="AE25" i="4"/>
  <c r="BH24" i="4"/>
  <c r="AG24" i="4"/>
  <c r="BD24" i="4"/>
  <c r="AC24" i="4"/>
  <c r="BF23" i="4"/>
  <c r="AE23" i="4"/>
  <c r="BH22" i="4"/>
  <c r="AG22" i="4"/>
  <c r="BD22" i="4"/>
  <c r="AC22" i="4"/>
  <c r="BF21" i="4"/>
  <c r="AE21" i="4"/>
  <c r="BH20" i="4"/>
  <c r="AG20" i="4"/>
  <c r="K20" i="4"/>
  <c r="BD20" i="4"/>
  <c r="AC20" i="4"/>
  <c r="BF19" i="4"/>
  <c r="AE19" i="4"/>
  <c r="BH18" i="4"/>
  <c r="AG18" i="4"/>
  <c r="BD18" i="4"/>
  <c r="AC18" i="4"/>
  <c r="BF17" i="4"/>
  <c r="AE17" i="4"/>
  <c r="O16" i="4"/>
  <c r="BH16" i="4"/>
  <c r="AG16" i="4"/>
  <c r="BD16" i="4"/>
  <c r="AC16" i="4"/>
  <c r="BF15" i="4"/>
  <c r="AE15" i="4"/>
  <c r="BH14" i="4"/>
  <c r="AG14" i="4"/>
  <c r="BD14" i="4"/>
  <c r="AC14" i="4"/>
  <c r="BF13" i="4"/>
  <c r="AE13" i="4"/>
  <c r="K12" i="4"/>
  <c r="AC12" i="4"/>
  <c r="M11" i="4"/>
  <c r="AE11" i="4"/>
  <c r="AY10" i="4"/>
  <c r="AG10" i="4"/>
  <c r="AW9" i="4"/>
  <c r="AE9" i="4"/>
  <c r="O8" i="4"/>
  <c r="AG8" i="4"/>
  <c r="K8" i="4"/>
  <c r="AC8" i="4"/>
  <c r="O6" i="4"/>
  <c r="AG6" i="4"/>
  <c r="AU6" i="4"/>
  <c r="AC6" i="4"/>
  <c r="O5" i="4"/>
  <c r="O50" i="4"/>
  <c r="M37" i="4"/>
  <c r="O26" i="4"/>
  <c r="K54" i="4"/>
  <c r="M51" i="4"/>
  <c r="O48" i="4"/>
  <c r="K46" i="4"/>
  <c r="O40" i="4"/>
  <c r="K38" i="4"/>
  <c r="M27" i="4"/>
  <c r="K6" i="4"/>
  <c r="W4" i="4"/>
  <c r="X5" i="4"/>
  <c r="AF4" i="4"/>
  <c r="AG5" i="4"/>
  <c r="AC5" i="4"/>
  <c r="O54" i="4"/>
  <c r="K52" i="4"/>
  <c r="M49" i="4"/>
  <c r="O46" i="4"/>
  <c r="K44" i="4"/>
  <c r="M41" i="4"/>
  <c r="O38" i="4"/>
  <c r="K36" i="4"/>
  <c r="M33" i="4"/>
  <c r="O30" i="4"/>
  <c r="K28" i="4"/>
  <c r="M25" i="4"/>
  <c r="O22" i="4"/>
  <c r="M17" i="4"/>
  <c r="O14" i="4"/>
  <c r="M9" i="4"/>
  <c r="BD55" i="4"/>
  <c r="N4" i="4"/>
  <c r="K40" i="4"/>
  <c r="BF53" i="4"/>
  <c r="BF29" i="4"/>
  <c r="K5" i="4"/>
  <c r="K48" i="4"/>
  <c r="M45" i="4"/>
  <c r="O34" i="4"/>
  <c r="K32" i="4"/>
  <c r="K24" i="4"/>
  <c r="M21" i="4"/>
  <c r="O18" i="4"/>
  <c r="K16" i="4"/>
  <c r="M13" i="4"/>
  <c r="O10" i="4"/>
  <c r="M43" i="4"/>
  <c r="M35" i="4"/>
  <c r="O32" i="4"/>
  <c r="K30" i="4"/>
  <c r="O24" i="4"/>
  <c r="K22" i="4"/>
  <c r="M19" i="4"/>
  <c r="K14" i="4"/>
  <c r="T5" i="4"/>
  <c r="AO4" i="4"/>
  <c r="AP5" i="4"/>
  <c r="AL5" i="4"/>
  <c r="AX4" i="4"/>
  <c r="BF9" i="4"/>
  <c r="BD6" i="4"/>
  <c r="AY5" i="4"/>
  <c r="AU5" i="4"/>
  <c r="BH10" i="4"/>
  <c r="BH12" i="4"/>
  <c r="AY12" i="4"/>
  <c r="BD12" i="4"/>
  <c r="AU12" i="4"/>
  <c r="BF11" i="4"/>
  <c r="AW11" i="4"/>
  <c r="BD10" i="4"/>
  <c r="AU10" i="4"/>
  <c r="BH8" i="4"/>
  <c r="AY8" i="4"/>
  <c r="BD8" i="4"/>
  <c r="AU8" i="4"/>
  <c r="BF7" i="4"/>
  <c r="AW7" i="4"/>
  <c r="BH6" i="4"/>
  <c r="AY6" i="4"/>
  <c r="BH53" i="4"/>
  <c r="BD51" i="4"/>
  <c r="BF48" i="4"/>
  <c r="BH45" i="4"/>
  <c r="BD43" i="4"/>
  <c r="BF40" i="4"/>
  <c r="BH37" i="4"/>
  <c r="BD35" i="4"/>
  <c r="BF32" i="4"/>
  <c r="BH29" i="4"/>
  <c r="BD27" i="4"/>
  <c r="BF24" i="4"/>
  <c r="BH21" i="4"/>
  <c r="BD19" i="4"/>
  <c r="BF16" i="4"/>
  <c r="BH13" i="4"/>
  <c r="BD11" i="4"/>
  <c r="BF8" i="4"/>
  <c r="BF52" i="4"/>
  <c r="BH49" i="4"/>
  <c r="BD47" i="4"/>
  <c r="BF44" i="4"/>
  <c r="BH41" i="4"/>
  <c r="BD39" i="4"/>
  <c r="BF36" i="4"/>
  <c r="BH33" i="4"/>
  <c r="BD31" i="4"/>
  <c r="BF28" i="4"/>
  <c r="BH25" i="4"/>
  <c r="BD23" i="4"/>
  <c r="BF20" i="4"/>
  <c r="BH17" i="4"/>
  <c r="BD15" i="4"/>
  <c r="BF12" i="4"/>
  <c r="BH9" i="4"/>
  <c r="BD7" i="4"/>
  <c r="K53" i="4"/>
  <c r="M50" i="4"/>
  <c r="O47" i="4"/>
  <c r="K45" i="4"/>
  <c r="M42" i="4"/>
  <c r="O39" i="4"/>
  <c r="K37" i="4"/>
  <c r="M34" i="4"/>
  <c r="O31" i="4"/>
  <c r="K29" i="4"/>
  <c r="M26" i="4"/>
  <c r="O23" i="4"/>
  <c r="K21" i="4"/>
  <c r="M18" i="4"/>
  <c r="O15" i="4"/>
  <c r="K13" i="4"/>
  <c r="M10" i="4"/>
  <c r="O7" i="4"/>
  <c r="J21" i="5" l="1"/>
  <c r="K21" i="5" s="1"/>
  <c r="L21" i="5" s="1"/>
  <c r="I13" i="3" s="1"/>
  <c r="J103" i="8"/>
  <c r="J14" i="8"/>
  <c r="J42" i="8"/>
  <c r="L36" i="8"/>
  <c r="L38" i="8"/>
  <c r="F17" i="8"/>
  <c r="B36" i="8"/>
  <c r="F22" i="8"/>
  <c r="N22" i="8"/>
  <c r="J36" i="8"/>
  <c r="G14" i="8"/>
  <c r="L40" i="8"/>
  <c r="L39" i="8"/>
  <c r="L27" i="8"/>
  <c r="F18" i="8"/>
  <c r="L23" i="8"/>
  <c r="F16" i="8"/>
  <c r="F44" i="8"/>
  <c r="F36" i="8"/>
  <c r="F32" i="8"/>
  <c r="I23" i="8"/>
  <c r="J20" i="5"/>
  <c r="K20" i="5" s="1"/>
  <c r="L20" i="5" s="1"/>
  <c r="I12" i="3" s="1"/>
  <c r="I103" i="8"/>
  <c r="J28" i="8"/>
  <c r="I37" i="8"/>
  <c r="I36" i="8"/>
  <c r="I33" i="8"/>
  <c r="L20" i="8"/>
  <c r="D11" i="8"/>
  <c r="J20" i="8"/>
  <c r="B12" i="8"/>
  <c r="B10" i="8" s="1"/>
  <c r="N31" i="8"/>
  <c r="F28" i="8"/>
  <c r="O32" i="8"/>
  <c r="L41" i="8"/>
  <c r="O40" i="8"/>
  <c r="B16" i="8"/>
  <c r="G16" i="8"/>
  <c r="N13" i="8"/>
  <c r="I28" i="8"/>
  <c r="F33" i="8"/>
  <c r="F40" i="8"/>
  <c r="J44" i="8"/>
  <c r="N11" i="8"/>
  <c r="B28" i="8"/>
  <c r="N32" i="8"/>
  <c r="J16" i="5"/>
  <c r="K16" i="5" s="1"/>
  <c r="L16" i="5" s="1"/>
  <c r="I8" i="3" s="1"/>
  <c r="E103" i="8"/>
  <c r="D32" i="8"/>
  <c r="D42" i="8"/>
  <c r="J25" i="5"/>
  <c r="K25" i="5" s="1"/>
  <c r="L25" i="5" s="1"/>
  <c r="I17" i="3" s="1"/>
  <c r="N103" i="8"/>
  <c r="L19" i="8"/>
  <c r="L25" i="8"/>
  <c r="F11" i="8"/>
  <c r="N36" i="8"/>
  <c r="L45" i="8"/>
  <c r="L44" i="8"/>
  <c r="N40" i="8"/>
  <c r="I45" i="8"/>
  <c r="J19" i="5"/>
  <c r="K19" i="5" s="1"/>
  <c r="L19" i="5" s="1"/>
  <c r="I11" i="3" s="1"/>
  <c r="H103" i="8"/>
  <c r="L22" i="8"/>
  <c r="I38" i="8"/>
  <c r="I29" i="8"/>
  <c r="D43" i="8"/>
  <c r="D45" i="8"/>
  <c r="I24" i="8"/>
  <c r="I19" i="8"/>
  <c r="I30" i="8"/>
  <c r="L12" i="8"/>
  <c r="F38" i="8"/>
  <c r="O11" i="8"/>
  <c r="J15" i="8"/>
  <c r="L42" i="8"/>
  <c r="G29" i="8"/>
  <c r="N43" i="8"/>
  <c r="D12" i="8"/>
  <c r="F45" i="8"/>
  <c r="F35" i="8"/>
  <c r="D16" i="8"/>
  <c r="F27" i="8"/>
  <c r="L14" i="8"/>
  <c r="I40" i="8"/>
  <c r="F26" i="8"/>
  <c r="N26" i="8"/>
  <c r="N24" i="8"/>
  <c r="N37" i="8"/>
  <c r="G28" i="8"/>
  <c r="J18" i="5"/>
  <c r="K18" i="5" s="1"/>
  <c r="L18" i="5" s="1"/>
  <c r="I10" i="3" s="1"/>
  <c r="G103" i="8"/>
  <c r="J26" i="5"/>
  <c r="K26" i="5" s="1"/>
  <c r="L26" i="5" s="1"/>
  <c r="I18" i="3" s="1"/>
  <c r="AH15" i="5" s="1"/>
  <c r="O103" i="8"/>
  <c r="G26" i="8"/>
  <c r="I12" i="8"/>
  <c r="I10" i="8" s="1"/>
  <c r="N39" i="8"/>
  <c r="B21" i="8"/>
  <c r="O23" i="8"/>
  <c r="D30" i="8"/>
  <c r="L30" i="8"/>
  <c r="J45" i="8"/>
  <c r="D31" i="8"/>
  <c r="I31" i="8"/>
  <c r="I14" i="8"/>
  <c r="F14" i="8"/>
  <c r="N35" i="8"/>
  <c r="F13" i="8"/>
  <c r="D39" i="8"/>
  <c r="G19" i="8"/>
  <c r="N29" i="8"/>
  <c r="O22" i="8"/>
  <c r="J27" i="8"/>
  <c r="G31" i="8"/>
  <c r="F39" i="8"/>
  <c r="J39" i="8"/>
  <c r="B29" i="8"/>
  <c r="L35" i="8"/>
  <c r="F15" i="8"/>
  <c r="D18" i="8"/>
  <c r="N21" i="8"/>
  <c r="L13" i="8"/>
  <c r="J18" i="8"/>
  <c r="N16" i="8"/>
  <c r="I22" i="8"/>
  <c r="G30" i="8"/>
  <c r="K19" i="8"/>
  <c r="O44" i="8"/>
  <c r="K26" i="8"/>
  <c r="D38" i="8"/>
  <c r="G13" i="8"/>
  <c r="G8" i="8" s="1"/>
  <c r="I13" i="8"/>
  <c r="J17" i="8"/>
  <c r="I43" i="8"/>
  <c r="I39" i="8"/>
  <c r="B40" i="8"/>
  <c r="J25" i="8"/>
  <c r="O36" i="8"/>
  <c r="L21" i="8"/>
  <c r="F25" i="8"/>
  <c r="O14" i="8"/>
  <c r="B18" i="8"/>
  <c r="H23" i="8"/>
  <c r="K15" i="8"/>
  <c r="K10" i="8" s="1"/>
  <c r="K38" i="8"/>
  <c r="O24" i="8"/>
  <c r="M22" i="8"/>
  <c r="N27" i="8"/>
  <c r="N45" i="8"/>
  <c r="H11" i="8"/>
  <c r="M16" i="8"/>
  <c r="H18" i="8"/>
  <c r="L43" i="8"/>
  <c r="G41" i="8"/>
  <c r="M28" i="8"/>
  <c r="G18" i="8"/>
  <c r="D23" i="8"/>
  <c r="J15" i="5"/>
  <c r="K15" i="5" s="1"/>
  <c r="L15" i="5" s="1"/>
  <c r="I7" i="3" s="1"/>
  <c r="D103" i="8"/>
  <c r="K29" i="8"/>
  <c r="K43" i="8"/>
  <c r="I26" i="8"/>
  <c r="M35" i="8"/>
  <c r="I34" i="8"/>
  <c r="N19" i="8"/>
  <c r="H20" i="8"/>
  <c r="I20" i="8"/>
  <c r="J16" i="8"/>
  <c r="F19" i="8"/>
  <c r="L28" i="8"/>
  <c r="L32" i="8"/>
  <c r="O21" i="8"/>
  <c r="K40" i="8"/>
  <c r="K32" i="8"/>
  <c r="H22" i="8"/>
  <c r="J22" i="5"/>
  <c r="K22" i="5" s="1"/>
  <c r="L22" i="5" s="1"/>
  <c r="I14" i="3" s="1"/>
  <c r="K103" i="8"/>
  <c r="O33" i="8"/>
  <c r="K27" i="8"/>
  <c r="B27" i="8"/>
  <c r="D44" i="8"/>
  <c r="M34" i="8"/>
  <c r="M23" i="8"/>
  <c r="N23" i="8"/>
  <c r="N20" i="8"/>
  <c r="B31" i="8"/>
  <c r="K31" i="8"/>
  <c r="I32" i="8"/>
  <c r="F37" i="8"/>
  <c r="G25" i="8"/>
  <c r="B35" i="8"/>
  <c r="D37" i="8"/>
  <c r="O25" i="8"/>
  <c r="J23" i="5"/>
  <c r="K23" i="5" s="1"/>
  <c r="L23" i="5" s="1"/>
  <c r="I15" i="3" s="1"/>
  <c r="L103" i="8"/>
  <c r="J17" i="5"/>
  <c r="K17" i="5" s="1"/>
  <c r="L17" i="5" s="1"/>
  <c r="I9" i="3" s="1"/>
  <c r="F103" i="8"/>
  <c r="E38" i="8"/>
  <c r="N14" i="8"/>
  <c r="H34" i="8"/>
  <c r="E24" i="8"/>
  <c r="H16" i="8"/>
  <c r="L29" i="8"/>
  <c r="L15" i="8"/>
  <c r="G27" i="8"/>
  <c r="I27" i="8"/>
  <c r="M25" i="8"/>
  <c r="F12" i="8"/>
  <c r="E41" i="8"/>
  <c r="H28" i="8"/>
  <c r="K23" i="8"/>
  <c r="N41" i="8"/>
  <c r="O28" i="8"/>
  <c r="I18" i="8"/>
  <c r="D41" i="8"/>
  <c r="J29" i="8"/>
  <c r="G43" i="8"/>
  <c r="D19" i="8"/>
  <c r="G23" i="8"/>
  <c r="O43" i="8"/>
  <c r="D36" i="8"/>
  <c r="F23" i="8"/>
  <c r="B41" i="8"/>
  <c r="F20" i="8"/>
  <c r="M30" i="8"/>
  <c r="E31" i="8"/>
  <c r="N30" i="8"/>
  <c r="K16" i="8"/>
  <c r="J12" i="8"/>
  <c r="J10" i="8" s="1"/>
  <c r="M32" i="8"/>
  <c r="N12" i="8"/>
  <c r="C35" i="8"/>
  <c r="D22" i="8"/>
  <c r="F29" i="8"/>
  <c r="C33" i="8"/>
  <c r="C22" i="8"/>
  <c r="C10" i="8" s="1"/>
  <c r="D24" i="8"/>
  <c r="N33" i="8"/>
  <c r="L24" i="8"/>
  <c r="F24" i="8"/>
  <c r="E27" i="8"/>
  <c r="M12" i="8"/>
  <c r="M40" i="8"/>
  <c r="E44" i="8"/>
  <c r="E20" i="8"/>
  <c r="D25" i="8"/>
  <c r="J35" i="8"/>
  <c r="K35" i="8"/>
  <c r="N34" i="8"/>
  <c r="D21" i="8"/>
  <c r="O16" i="8"/>
  <c r="E17" i="8"/>
  <c r="E10" i="8" s="1"/>
  <c r="F43" i="8"/>
  <c r="I42" i="8"/>
  <c r="J33" i="8"/>
  <c r="G37" i="8"/>
  <c r="I25" i="8"/>
  <c r="G35" i="8"/>
  <c r="O37" i="8"/>
  <c r="G10" i="8"/>
  <c r="J24" i="5"/>
  <c r="K24" i="5" s="1"/>
  <c r="L24" i="5" s="1"/>
  <c r="I16" i="3" s="1"/>
  <c r="M103" i="8"/>
  <c r="D29" i="8"/>
  <c r="I44" i="8"/>
  <c r="M26" i="8"/>
  <c r="H36" i="8"/>
  <c r="B34" i="8"/>
  <c r="B15" i="8"/>
  <c r="B30" i="8"/>
  <c r="D40" i="8"/>
  <c r="E40" i="8"/>
  <c r="E39" i="8"/>
  <c r="B26" i="8"/>
  <c r="I21" i="8"/>
  <c r="B22" i="8"/>
  <c r="L18" i="8"/>
  <c r="D13" i="8"/>
  <c r="F21" i="8"/>
  <c r="O41" i="8"/>
  <c r="C29" i="8"/>
  <c r="J43" i="8"/>
  <c r="E33" i="8"/>
  <c r="H40" i="8"/>
  <c r="G39" i="8"/>
  <c r="B33" i="8"/>
  <c r="H38" i="8"/>
  <c r="B19" i="8"/>
  <c r="F34" i="8"/>
  <c r="B37" i="8"/>
  <c r="H43" i="8"/>
  <c r="O30" i="8"/>
  <c r="J26" i="8"/>
  <c r="O26" i="8"/>
  <c r="O12" i="8"/>
  <c r="I17" i="8"/>
  <c r="H13" i="8"/>
  <c r="M27" i="8"/>
  <c r="M10" i="8" s="1"/>
  <c r="G33" i="8"/>
  <c r="O45" i="8"/>
  <c r="N15" i="8"/>
  <c r="L26" i="8"/>
  <c r="N42" i="8"/>
  <c r="N38" i="8"/>
  <c r="L37" i="8"/>
  <c r="F31" i="8"/>
  <c r="G38" i="8"/>
  <c r="J13" i="8"/>
  <c r="L16" i="8"/>
  <c r="L11" i="8"/>
  <c r="H31" i="8"/>
  <c r="C39" i="8"/>
  <c r="L31" i="8"/>
  <c r="H17" i="8"/>
  <c r="J22" i="8"/>
  <c r="L17" i="8"/>
  <c r="J37" i="8"/>
  <c r="C41" i="8"/>
  <c r="EV19" i="4"/>
  <c r="R46" i="3" s="1"/>
  <c r="EV23" i="4"/>
  <c r="AJ50" i="3" s="1"/>
  <c r="EV7" i="4"/>
  <c r="R34" i="3" s="1"/>
  <c r="EM5" i="4"/>
  <c r="Q32" i="3" s="1"/>
  <c r="EM31" i="4"/>
  <c r="AI58" i="3" s="1"/>
  <c r="EV27" i="4"/>
  <c r="AJ54" i="3" s="1"/>
  <c r="EV11" i="4"/>
  <c r="AJ38" i="3" s="1"/>
  <c r="EM6" i="4"/>
  <c r="Q33" i="3" s="1"/>
  <c r="EM22" i="4"/>
  <c r="Q49" i="3" s="1"/>
  <c r="EM38" i="4"/>
  <c r="Q65" i="3" s="1"/>
  <c r="EM29" i="4"/>
  <c r="AI56" i="3" s="1"/>
  <c r="EM54" i="4"/>
  <c r="AI81" i="3" s="1"/>
  <c r="EM20" i="4"/>
  <c r="Q47" i="3" s="1"/>
  <c r="EV31" i="4"/>
  <c r="R58" i="3" s="1"/>
  <c r="EM35" i="4"/>
  <c r="Q62" i="3" s="1"/>
  <c r="EV39" i="4"/>
  <c r="AJ66" i="3" s="1"/>
  <c r="EM36" i="4"/>
  <c r="EM52" i="4"/>
  <c r="EV5" i="4"/>
  <c r="EV6" i="4"/>
  <c r="EV22" i="4"/>
  <c r="EV38" i="4"/>
  <c r="EM4" i="4"/>
  <c r="EM25" i="4"/>
  <c r="EV29" i="4"/>
  <c r="EV54" i="4"/>
  <c r="EV20" i="4"/>
  <c r="EV36" i="4"/>
  <c r="EM27" i="4"/>
  <c r="EM48" i="4"/>
  <c r="EV52" i="4"/>
  <c r="EM18" i="4"/>
  <c r="EM34" i="4"/>
  <c r="EM51" i="4"/>
  <c r="EM55" i="4"/>
  <c r="EV4" i="4"/>
  <c r="EM21" i="4"/>
  <c r="EV25" i="4"/>
  <c r="EM50" i="4"/>
  <c r="EM16" i="4"/>
  <c r="EM32" i="4"/>
  <c r="EM53" i="4"/>
  <c r="EM44" i="4"/>
  <c r="EV48" i="4"/>
  <c r="EV18" i="4"/>
  <c r="EV34" i="4"/>
  <c r="EV51" i="4"/>
  <c r="EV55" i="4"/>
  <c r="EV21" i="4"/>
  <c r="EM46" i="4"/>
  <c r="EV50" i="4"/>
  <c r="EV16" i="4"/>
  <c r="EV32" i="4"/>
  <c r="EV53" i="4"/>
  <c r="EM42" i="4"/>
  <c r="EM19" i="4"/>
  <c r="EM23" i="4"/>
  <c r="EV44" i="4"/>
  <c r="EM14" i="4"/>
  <c r="EM30" i="4"/>
  <c r="EM47" i="4"/>
  <c r="EM17" i="4"/>
  <c r="EM41" i="4"/>
  <c r="EV46" i="4"/>
  <c r="EM12" i="4"/>
  <c r="EM28" i="4"/>
  <c r="EM49" i="4"/>
  <c r="EV42" i="4"/>
  <c r="EM15" i="4"/>
  <c r="EM39" i="4"/>
  <c r="EV14" i="4"/>
  <c r="EV30" i="4"/>
  <c r="EV47" i="4"/>
  <c r="EM13" i="4"/>
  <c r="EV17" i="4"/>
  <c r="EM37" i="4"/>
  <c r="EV41" i="4"/>
  <c r="EV12" i="4"/>
  <c r="EV28" i="4"/>
  <c r="EM45" i="4"/>
  <c r="EV49" i="4"/>
  <c r="EM11" i="4"/>
  <c r="EV15" i="4"/>
  <c r="EM10" i="4"/>
  <c r="EM26" i="4"/>
  <c r="EM43" i="4"/>
  <c r="EM9" i="4"/>
  <c r="EV13" i="4"/>
  <c r="EM33" i="4"/>
  <c r="EV37" i="4"/>
  <c r="EM8" i="4"/>
  <c r="EM24" i="4"/>
  <c r="EM40" i="4"/>
  <c r="EV45" i="4"/>
  <c r="EM7" i="4"/>
  <c r="EV35" i="4"/>
  <c r="EV10" i="4"/>
  <c r="EV26" i="4"/>
  <c r="EV43" i="4"/>
  <c r="EV9" i="4"/>
  <c r="EV33" i="4"/>
  <c r="EV8" i="4"/>
  <c r="EV24" i="4"/>
  <c r="EV40" i="4"/>
  <c r="J13" i="5"/>
  <c r="K13" i="5" s="1"/>
  <c r="L13" i="5" s="1"/>
  <c r="I5" i="3" s="1"/>
  <c r="AJ6" i="2"/>
  <c r="J14" i="5"/>
  <c r="K14" i="5" s="1"/>
  <c r="L14" i="5" s="1"/>
  <c r="BJ42" i="4"/>
  <c r="Z69" i="3" s="1"/>
  <c r="A25" i="5"/>
  <c r="A23" i="5"/>
  <c r="A20" i="5"/>
  <c r="A21" i="5"/>
  <c r="A14" i="5"/>
  <c r="A22" i="5"/>
  <c r="A13" i="5"/>
  <c r="A16" i="5"/>
  <c r="A24" i="5"/>
  <c r="A19" i="5"/>
  <c r="A17" i="5"/>
  <c r="A18" i="5"/>
  <c r="A15" i="5"/>
  <c r="CB42" i="4"/>
  <c r="AB69" i="3" s="1"/>
  <c r="DL42" i="4"/>
  <c r="AF69" i="3" s="1"/>
  <c r="DU42" i="4"/>
  <c r="AG69" i="3" s="1"/>
  <c r="Q38" i="4"/>
  <c r="U65" i="3" s="1"/>
  <c r="ED42" i="4"/>
  <c r="AH69" i="3" s="1"/>
  <c r="CT42" i="4"/>
  <c r="AD69" i="3" s="1"/>
  <c r="Z42" i="4"/>
  <c r="V69" i="3" s="1"/>
  <c r="BS50" i="4"/>
  <c r="AA77" i="3" s="1"/>
  <c r="BS38" i="4"/>
  <c r="AA65" i="3" s="1"/>
  <c r="BS39" i="4"/>
  <c r="AA66" i="3" s="1"/>
  <c r="DU12" i="4"/>
  <c r="AG39" i="3" s="1"/>
  <c r="CB14" i="4"/>
  <c r="AB41" i="3" s="1"/>
  <c r="CB16" i="4"/>
  <c r="AB43" i="3" s="1"/>
  <c r="DU18" i="4"/>
  <c r="AG45" i="3" s="1"/>
  <c r="DU20" i="4"/>
  <c r="AG47" i="3" s="1"/>
  <c r="DL26" i="4"/>
  <c r="AF53" i="3" s="1"/>
  <c r="DU44" i="4"/>
  <c r="AG71" i="3" s="1"/>
  <c r="BS46" i="4"/>
  <c r="AA73" i="3" s="1"/>
  <c r="CT54" i="4"/>
  <c r="AD81" i="3" s="1"/>
  <c r="CB21" i="4"/>
  <c r="AB48" i="3" s="1"/>
  <c r="DL29" i="4"/>
  <c r="AF56" i="3" s="1"/>
  <c r="DC42" i="4"/>
  <c r="AE69" i="3" s="1"/>
  <c r="BS26" i="4"/>
  <c r="AA53" i="3" s="1"/>
  <c r="BS54" i="4"/>
  <c r="AA81" i="3" s="1"/>
  <c r="BS4" i="4"/>
  <c r="AA31" i="3" s="1"/>
  <c r="BS55" i="4"/>
  <c r="AA82" i="3" s="1"/>
  <c r="ED4" i="4"/>
  <c r="AH31" i="3" s="1"/>
  <c r="CT6" i="4"/>
  <c r="AD33" i="3" s="1"/>
  <c r="BS8" i="4"/>
  <c r="AA35" i="3" s="1"/>
  <c r="DC8" i="4"/>
  <c r="AE35" i="3" s="1"/>
  <c r="BS10" i="4"/>
  <c r="AA37" i="3" s="1"/>
  <c r="CT14" i="4"/>
  <c r="AD41" i="3" s="1"/>
  <c r="BS16" i="4"/>
  <c r="AA43" i="3" s="1"/>
  <c r="DC16" i="4"/>
  <c r="AE43" i="3" s="1"/>
  <c r="BS18" i="4"/>
  <c r="AA45" i="3" s="1"/>
  <c r="DC22" i="4"/>
  <c r="AE49" i="3" s="1"/>
  <c r="DL24" i="4"/>
  <c r="AF51" i="3" s="1"/>
  <c r="DC26" i="4"/>
  <c r="AE53" i="3" s="1"/>
  <c r="CB30" i="4"/>
  <c r="AB57" i="3" s="1"/>
  <c r="DC30" i="4"/>
  <c r="AE57" i="3" s="1"/>
  <c r="DL34" i="4"/>
  <c r="AF61" i="3" s="1"/>
  <c r="CK38" i="4"/>
  <c r="AC65" i="3" s="1"/>
  <c r="CT40" i="4"/>
  <c r="AD67" i="3" s="1"/>
  <c r="CB44" i="4"/>
  <c r="AB71" i="3" s="1"/>
  <c r="DL44" i="4"/>
  <c r="AF71" i="3" s="1"/>
  <c r="CT46" i="4"/>
  <c r="AD73" i="3" s="1"/>
  <c r="ED46" i="4"/>
  <c r="AH73" i="3" s="1"/>
  <c r="CB48" i="4"/>
  <c r="AB75" i="3" s="1"/>
  <c r="DL48" i="4"/>
  <c r="AF75" i="3" s="1"/>
  <c r="DC50" i="4"/>
  <c r="AE77" i="3" s="1"/>
  <c r="CT52" i="4"/>
  <c r="AD79" i="3" s="1"/>
  <c r="ED52" i="4"/>
  <c r="AH79" i="3" s="1"/>
  <c r="CK54" i="4"/>
  <c r="AC81" i="3" s="1"/>
  <c r="DU54" i="4"/>
  <c r="AG81" i="3" s="1"/>
  <c r="CB5" i="4"/>
  <c r="AB32" i="3" s="1"/>
  <c r="DL5" i="4"/>
  <c r="AF32" i="3" s="1"/>
  <c r="CK7" i="4"/>
  <c r="AC34" i="3" s="1"/>
  <c r="DU7" i="4"/>
  <c r="AG34" i="3" s="1"/>
  <c r="DU19" i="4"/>
  <c r="AG46" i="3" s="1"/>
  <c r="BS21" i="4"/>
  <c r="AA48" i="3" s="1"/>
  <c r="BS29" i="4"/>
  <c r="AA56" i="3" s="1"/>
  <c r="CK31" i="4"/>
  <c r="AC58" i="3" s="1"/>
  <c r="DU31" i="4"/>
  <c r="AG58" i="3" s="1"/>
  <c r="CT35" i="4"/>
  <c r="AD62" i="3" s="1"/>
  <c r="ED35" i="4"/>
  <c r="AH62" i="3" s="1"/>
  <c r="DL37" i="4"/>
  <c r="AF64" i="3" s="1"/>
  <c r="DL39" i="4"/>
  <c r="AF66" i="3" s="1"/>
  <c r="CB43" i="4"/>
  <c r="AB70" i="3" s="1"/>
  <c r="CB51" i="4"/>
  <c r="AB78" i="3" s="1"/>
  <c r="ED53" i="4"/>
  <c r="AH80" i="3" s="1"/>
  <c r="ED55" i="4"/>
  <c r="AH82" i="3" s="1"/>
  <c r="AR42" i="4"/>
  <c r="X69" i="3" s="1"/>
  <c r="BA42" i="4"/>
  <c r="Y69" i="3" s="1"/>
  <c r="CT4" i="4"/>
  <c r="AD31" i="3" s="1"/>
  <c r="BS43" i="4"/>
  <c r="AA70" i="3" s="1"/>
  <c r="BS47" i="4"/>
  <c r="AA74" i="3" s="1"/>
  <c r="BS6" i="4"/>
  <c r="AA33" i="3" s="1"/>
  <c r="CT10" i="4"/>
  <c r="AD37" i="3" s="1"/>
  <c r="BS12" i="4"/>
  <c r="AA39" i="3" s="1"/>
  <c r="DC12" i="4"/>
  <c r="AE39" i="3" s="1"/>
  <c r="BS14" i="4"/>
  <c r="AA41" i="3" s="1"/>
  <c r="CT18" i="4"/>
  <c r="AD45" i="3" s="1"/>
  <c r="BS20" i="4"/>
  <c r="AA47" i="3" s="1"/>
  <c r="DC20" i="4"/>
  <c r="AE47" i="3" s="1"/>
  <c r="BS22" i="4"/>
  <c r="AA49" i="3" s="1"/>
  <c r="CK24" i="4"/>
  <c r="AC51" i="3" s="1"/>
  <c r="ED26" i="4"/>
  <c r="AH53" i="3" s="1"/>
  <c r="DC28" i="4"/>
  <c r="AE55" i="3" s="1"/>
  <c r="DU32" i="4"/>
  <c r="AG59" i="3" s="1"/>
  <c r="BS36" i="4"/>
  <c r="AA63" i="3" s="1"/>
  <c r="DU38" i="4"/>
  <c r="AG65" i="3" s="1"/>
  <c r="ED40" i="4"/>
  <c r="AH67" i="3" s="1"/>
  <c r="DL9" i="4"/>
  <c r="AF36" i="3" s="1"/>
  <c r="DC11" i="4"/>
  <c r="AE38" i="3" s="1"/>
  <c r="CT13" i="4"/>
  <c r="AD40" i="3" s="1"/>
  <c r="DU15" i="4"/>
  <c r="AG42" i="3" s="1"/>
  <c r="DC17" i="4"/>
  <c r="AE44" i="3" s="1"/>
  <c r="DC21" i="4"/>
  <c r="AE48" i="3" s="1"/>
  <c r="CT23" i="4"/>
  <c r="AD50" i="3" s="1"/>
  <c r="BS25" i="4"/>
  <c r="AA52" i="3" s="1"/>
  <c r="DL27" i="4"/>
  <c r="AF54" i="3" s="1"/>
  <c r="DC29" i="4"/>
  <c r="AE56" i="3" s="1"/>
  <c r="CB33" i="4"/>
  <c r="AB60" i="3" s="1"/>
  <c r="CB37" i="4"/>
  <c r="AB64" i="3" s="1"/>
  <c r="DL41" i="4"/>
  <c r="AF68" i="3" s="1"/>
  <c r="ED43" i="4"/>
  <c r="AH70" i="3" s="1"/>
  <c r="CK45" i="4"/>
  <c r="AC72" i="3" s="1"/>
  <c r="DL47" i="4"/>
  <c r="AF74" i="3" s="1"/>
  <c r="ED49" i="4"/>
  <c r="AH76" i="3" s="1"/>
  <c r="ED51" i="4"/>
  <c r="AH78" i="3" s="1"/>
  <c r="CB53" i="4"/>
  <c r="AB80" i="3" s="1"/>
  <c r="DC4" i="4"/>
  <c r="AE31" i="3" s="1"/>
  <c r="DL6" i="4"/>
  <c r="AF33" i="3" s="1"/>
  <c r="CB8" i="4"/>
  <c r="AB35" i="3" s="1"/>
  <c r="CB10" i="4"/>
  <c r="AB37" i="3" s="1"/>
  <c r="DU14" i="4"/>
  <c r="AG41" i="3" s="1"/>
  <c r="CB20" i="4"/>
  <c r="AB47" i="3" s="1"/>
  <c r="CB22" i="4"/>
  <c r="AB49" i="3" s="1"/>
  <c r="ED24" i="4"/>
  <c r="AH51" i="3" s="1"/>
  <c r="CB28" i="4"/>
  <c r="AB55" i="3" s="1"/>
  <c r="DU30" i="4"/>
  <c r="AG57" i="3" s="1"/>
  <c r="CT32" i="4"/>
  <c r="AD59" i="3" s="1"/>
  <c r="CT34" i="4"/>
  <c r="AD61" i="3" s="1"/>
  <c r="CB36" i="4"/>
  <c r="AB63" i="3" s="1"/>
  <c r="ED38" i="4"/>
  <c r="AH65" i="3" s="1"/>
  <c r="DC40" i="4"/>
  <c r="AE67" i="3" s="1"/>
  <c r="DC46" i="4"/>
  <c r="AE73" i="3" s="1"/>
  <c r="CK48" i="4"/>
  <c r="AC75" i="3" s="1"/>
  <c r="DL50" i="4"/>
  <c r="AF77" i="3" s="1"/>
  <c r="DC52" i="4"/>
  <c r="AE79" i="3" s="1"/>
  <c r="CK5" i="4"/>
  <c r="AC32" i="3" s="1"/>
  <c r="BS51" i="4"/>
  <c r="AA78" i="3" s="1"/>
  <c r="CT7" i="4"/>
  <c r="AD34" i="3" s="1"/>
  <c r="CK9" i="4"/>
  <c r="AC36" i="3" s="1"/>
  <c r="BS11" i="4"/>
  <c r="AA38" i="3" s="1"/>
  <c r="BS13" i="4"/>
  <c r="AA40" i="3" s="1"/>
  <c r="CT15" i="4"/>
  <c r="AD42" i="3" s="1"/>
  <c r="CB17" i="4"/>
  <c r="AB44" i="3" s="1"/>
  <c r="ED19" i="4"/>
  <c r="AH46" i="3" s="1"/>
  <c r="DL21" i="4"/>
  <c r="AF48" i="3" s="1"/>
  <c r="DC23" i="4"/>
  <c r="AE50" i="3" s="1"/>
  <c r="CB25" i="4"/>
  <c r="AB52" i="3" s="1"/>
  <c r="CK27" i="4"/>
  <c r="AC54" i="3" s="1"/>
  <c r="CT31" i="4"/>
  <c r="AD58" i="3" s="1"/>
  <c r="CK33" i="4"/>
  <c r="AC60" i="3" s="1"/>
  <c r="DC35" i="4"/>
  <c r="AE62" i="3" s="1"/>
  <c r="CK37" i="4"/>
  <c r="AC64" i="3" s="1"/>
  <c r="CK39" i="4"/>
  <c r="AC66" i="3" s="1"/>
  <c r="CK41" i="4"/>
  <c r="AC68" i="3" s="1"/>
  <c r="CT43" i="4"/>
  <c r="AD70" i="3" s="1"/>
  <c r="CB45" i="4"/>
  <c r="AB72" i="3" s="1"/>
  <c r="CB47" i="4"/>
  <c r="AB74" i="3" s="1"/>
  <c r="CT49" i="4"/>
  <c r="AD76" i="3" s="1"/>
  <c r="DU51" i="4"/>
  <c r="AG78" i="3" s="1"/>
  <c r="DU53" i="4"/>
  <c r="AG80" i="3" s="1"/>
  <c r="DU55" i="4"/>
  <c r="AG82" i="3" s="1"/>
  <c r="CB4" i="4"/>
  <c r="AB31" i="3" s="1"/>
  <c r="DL4" i="4"/>
  <c r="AF31" i="3" s="1"/>
  <c r="BS45" i="4"/>
  <c r="AA72" i="3" s="1"/>
  <c r="BS53" i="4"/>
  <c r="AA80" i="3" s="1"/>
  <c r="CK6" i="4"/>
  <c r="AC33" i="3" s="1"/>
  <c r="DU6" i="4"/>
  <c r="AG33" i="3" s="1"/>
  <c r="CK8" i="4"/>
  <c r="AC35" i="3" s="1"/>
  <c r="DU8" i="4"/>
  <c r="AG35" i="3" s="1"/>
  <c r="CK10" i="4"/>
  <c r="AC37" i="3" s="1"/>
  <c r="DU10" i="4"/>
  <c r="AG37" i="3" s="1"/>
  <c r="CK12" i="4"/>
  <c r="AC39" i="3" s="1"/>
  <c r="DL12" i="4"/>
  <c r="AF39" i="3" s="1"/>
  <c r="CK14" i="4"/>
  <c r="AC41" i="3" s="1"/>
  <c r="DL14" i="4"/>
  <c r="AF41" i="3" s="1"/>
  <c r="CK16" i="4"/>
  <c r="AC43" i="3" s="1"/>
  <c r="DL16" i="4"/>
  <c r="AF43" i="3" s="1"/>
  <c r="CK18" i="4"/>
  <c r="AC45" i="3" s="1"/>
  <c r="DL18" i="4"/>
  <c r="AF45" i="3" s="1"/>
  <c r="CK20" i="4"/>
  <c r="AC47" i="3" s="1"/>
  <c r="DL20" i="4"/>
  <c r="AF47" i="3" s="1"/>
  <c r="CK22" i="4"/>
  <c r="AC49" i="3" s="1"/>
  <c r="DL22" i="4"/>
  <c r="AF49" i="3" s="1"/>
  <c r="BS24" i="4"/>
  <c r="AA51" i="3" s="1"/>
  <c r="DC24" i="4"/>
  <c r="AE51" i="3" s="1"/>
  <c r="CB26" i="4"/>
  <c r="AB53" i="3" s="1"/>
  <c r="CT26" i="4"/>
  <c r="AD53" i="3" s="1"/>
  <c r="CK28" i="4"/>
  <c r="AC55" i="3" s="1"/>
  <c r="DU28" i="4"/>
  <c r="AG55" i="3" s="1"/>
  <c r="DL30" i="4"/>
  <c r="AF57" i="3" s="1"/>
  <c r="ED30" i="4"/>
  <c r="AH57" i="3" s="1"/>
  <c r="BS32" i="4"/>
  <c r="AA59" i="3" s="1"/>
  <c r="DC32" i="4"/>
  <c r="AE59" i="3" s="1"/>
  <c r="CB34" i="4"/>
  <c r="AB61" i="3" s="1"/>
  <c r="DC34" i="4"/>
  <c r="AE61" i="3" s="1"/>
  <c r="CK36" i="4"/>
  <c r="AC63" i="3" s="1"/>
  <c r="DU36" i="4"/>
  <c r="AG63" i="3" s="1"/>
  <c r="CT38" i="4"/>
  <c r="AD65" i="3" s="1"/>
  <c r="CB40" i="4"/>
  <c r="AB67" i="3" s="1"/>
  <c r="DL40" i="4"/>
  <c r="AF67" i="3" s="1"/>
  <c r="CT44" i="4"/>
  <c r="AD71" i="3" s="1"/>
  <c r="ED44" i="4"/>
  <c r="AH71" i="3" s="1"/>
  <c r="CB46" i="4"/>
  <c r="AB73" i="3" s="1"/>
  <c r="DL46" i="4"/>
  <c r="AF73" i="3" s="1"/>
  <c r="CT48" i="4"/>
  <c r="AD75" i="3" s="1"/>
  <c r="ED48" i="4"/>
  <c r="AH75" i="3" s="1"/>
  <c r="CK50" i="4"/>
  <c r="AC77" i="3" s="1"/>
  <c r="DU50" i="4"/>
  <c r="AG77" i="3" s="1"/>
  <c r="CB52" i="4"/>
  <c r="AB79" i="3" s="1"/>
  <c r="DL52" i="4"/>
  <c r="AF79" i="3" s="1"/>
  <c r="DC54" i="4"/>
  <c r="AE81" i="3" s="1"/>
  <c r="CT5" i="4"/>
  <c r="AD32" i="3" s="1"/>
  <c r="ED5" i="4"/>
  <c r="AH32" i="3" s="1"/>
  <c r="BS41" i="4"/>
  <c r="AA68" i="3" s="1"/>
  <c r="CB7" i="4"/>
  <c r="AB34" i="3" s="1"/>
  <c r="DC7" i="4"/>
  <c r="AE34" i="3" s="1"/>
  <c r="CT9" i="4"/>
  <c r="AD36" i="3" s="1"/>
  <c r="ED9" i="4"/>
  <c r="AH36" i="3" s="1"/>
  <c r="CK11" i="4"/>
  <c r="AC38" i="3" s="1"/>
  <c r="DU11" i="4"/>
  <c r="AG38" i="3" s="1"/>
  <c r="CB13" i="4"/>
  <c r="AB40" i="3" s="1"/>
  <c r="DL13" i="4"/>
  <c r="AF40" i="3" s="1"/>
  <c r="CB15" i="4"/>
  <c r="AB42" i="3" s="1"/>
  <c r="DC15" i="4"/>
  <c r="AE42" i="3" s="1"/>
  <c r="CK17" i="4"/>
  <c r="AC44" i="3" s="1"/>
  <c r="DU17" i="4"/>
  <c r="AG44" i="3" s="1"/>
  <c r="CB19" i="4"/>
  <c r="AB46" i="3" s="1"/>
  <c r="DC19" i="4"/>
  <c r="AE46" i="3" s="1"/>
  <c r="CK21" i="4"/>
  <c r="AC48" i="3" s="1"/>
  <c r="DU21" i="4"/>
  <c r="AG48" i="3" s="1"/>
  <c r="CB23" i="4"/>
  <c r="AB50" i="3" s="1"/>
  <c r="DL23" i="4"/>
  <c r="AF50" i="3" s="1"/>
  <c r="CK25" i="4"/>
  <c r="AC52" i="3" s="1"/>
  <c r="DU25" i="4"/>
  <c r="AG52" i="3" s="1"/>
  <c r="CT27" i="4"/>
  <c r="AD54" i="3" s="1"/>
  <c r="ED27" i="4"/>
  <c r="AH54" i="3" s="1"/>
  <c r="CK29" i="4"/>
  <c r="AC56" i="3" s="1"/>
  <c r="DU29" i="4"/>
  <c r="AG56" i="3" s="1"/>
  <c r="BS31" i="4"/>
  <c r="AA58" i="3" s="1"/>
  <c r="DC31" i="4"/>
  <c r="AE58" i="3" s="1"/>
  <c r="CT33" i="4"/>
  <c r="AD60" i="3" s="1"/>
  <c r="ED33" i="4"/>
  <c r="AH60" i="3" s="1"/>
  <c r="CB35" i="4"/>
  <c r="AB62" i="3" s="1"/>
  <c r="DL35" i="4"/>
  <c r="AF62" i="3" s="1"/>
  <c r="DC37" i="4"/>
  <c r="AE64" i="3" s="1"/>
  <c r="ED37" i="4"/>
  <c r="AH64" i="3" s="1"/>
  <c r="DC39" i="4"/>
  <c r="AE66" i="3" s="1"/>
  <c r="ED39" i="4"/>
  <c r="AH66" i="3" s="1"/>
  <c r="DC41" i="4"/>
  <c r="AE68" i="3" s="1"/>
  <c r="ED41" i="4"/>
  <c r="AH68" i="3" s="1"/>
  <c r="DC43" i="4"/>
  <c r="AE70" i="3" s="1"/>
  <c r="CT45" i="4"/>
  <c r="AD72" i="3" s="1"/>
  <c r="DU45" i="4"/>
  <c r="AG72" i="3" s="1"/>
  <c r="DC47" i="4"/>
  <c r="AE74" i="3" s="1"/>
  <c r="DU47" i="4"/>
  <c r="AG74" i="3" s="1"/>
  <c r="DC49" i="4"/>
  <c r="AE76" i="3" s="1"/>
  <c r="DC51" i="4"/>
  <c r="AE78" i="3" s="1"/>
  <c r="DC53" i="4"/>
  <c r="AE80" i="3" s="1"/>
  <c r="DC55" i="4"/>
  <c r="AE82" i="3" s="1"/>
  <c r="CK42" i="4"/>
  <c r="AC69" i="3" s="1"/>
  <c r="BS28" i="4"/>
  <c r="AA55" i="3" s="1"/>
  <c r="CK32" i="4"/>
  <c r="AC59" i="3" s="1"/>
  <c r="ED34" i="4"/>
  <c r="AH61" i="3" s="1"/>
  <c r="DC36" i="4"/>
  <c r="AE63" i="3" s="1"/>
  <c r="CB9" i="4"/>
  <c r="AB36" i="3" s="1"/>
  <c r="CB11" i="4"/>
  <c r="AB38" i="3" s="1"/>
  <c r="ED13" i="4"/>
  <c r="AH40" i="3" s="1"/>
  <c r="CK15" i="4"/>
  <c r="AC42" i="3" s="1"/>
  <c r="BS17" i="4"/>
  <c r="AA44" i="3" s="1"/>
  <c r="CK19" i="4"/>
  <c r="AC46" i="3" s="1"/>
  <c r="ED23" i="4"/>
  <c r="AH50" i="3" s="1"/>
  <c r="DC25" i="4"/>
  <c r="AE52" i="3" s="1"/>
  <c r="CB27" i="4"/>
  <c r="AB54" i="3" s="1"/>
  <c r="DL33" i="4"/>
  <c r="AF60" i="3" s="1"/>
  <c r="CB39" i="4"/>
  <c r="AB66" i="3" s="1"/>
  <c r="CB41" i="4"/>
  <c r="AB68" i="3" s="1"/>
  <c r="DL45" i="4"/>
  <c r="AF72" i="3" s="1"/>
  <c r="CK47" i="4"/>
  <c r="AC74" i="3" s="1"/>
  <c r="CB49" i="4"/>
  <c r="AB76" i="3" s="1"/>
  <c r="CK55" i="4"/>
  <c r="AC82" i="3" s="1"/>
  <c r="CB6" i="4"/>
  <c r="AB33" i="3" s="1"/>
  <c r="DL8" i="4"/>
  <c r="AF35" i="3" s="1"/>
  <c r="DL10" i="4"/>
  <c r="AF37" i="3" s="1"/>
  <c r="CB12" i="4"/>
  <c r="AB39" i="3" s="1"/>
  <c r="DU16" i="4"/>
  <c r="AG43" i="3" s="1"/>
  <c r="CB18" i="4"/>
  <c r="AB45" i="3" s="1"/>
  <c r="DU22" i="4"/>
  <c r="AG49" i="3" s="1"/>
  <c r="CT24" i="4"/>
  <c r="AD51" i="3" s="1"/>
  <c r="DL28" i="4"/>
  <c r="AF55" i="3" s="1"/>
  <c r="CK30" i="4"/>
  <c r="AC57" i="3" s="1"/>
  <c r="ED32" i="4"/>
  <c r="AH59" i="3" s="1"/>
  <c r="BS34" i="4"/>
  <c r="AA61" i="3" s="1"/>
  <c r="DL36" i="4"/>
  <c r="AF63" i="3" s="1"/>
  <c r="DL38" i="4"/>
  <c r="AF65" i="3" s="1"/>
  <c r="BS40" i="4"/>
  <c r="AA67" i="3" s="1"/>
  <c r="CK44" i="4"/>
  <c r="AC71" i="3" s="1"/>
  <c r="DU48" i="4"/>
  <c r="AG75" i="3" s="1"/>
  <c r="CB50" i="4"/>
  <c r="AB77" i="3" s="1"/>
  <c r="BS52" i="4"/>
  <c r="AA79" i="3" s="1"/>
  <c r="ED54" i="4"/>
  <c r="AH81" i="3" s="1"/>
  <c r="DU5" i="4"/>
  <c r="AG32" i="3" s="1"/>
  <c r="ED7" i="4"/>
  <c r="AH34" i="3" s="1"/>
  <c r="DU9" i="4"/>
  <c r="AG36" i="3" s="1"/>
  <c r="DL11" i="4"/>
  <c r="AF38" i="3" s="1"/>
  <c r="DC13" i="4"/>
  <c r="AE40" i="3" s="1"/>
  <c r="ED15" i="4"/>
  <c r="AH42" i="3" s="1"/>
  <c r="DL17" i="4"/>
  <c r="AF44" i="3" s="1"/>
  <c r="CT19" i="4"/>
  <c r="AD46" i="3" s="1"/>
  <c r="BS23" i="4"/>
  <c r="AA50" i="3" s="1"/>
  <c r="DL25" i="4"/>
  <c r="AF52" i="3" s="1"/>
  <c r="DU27" i="4"/>
  <c r="AG54" i="3" s="1"/>
  <c r="CB29" i="4"/>
  <c r="AB56" i="3" s="1"/>
  <c r="ED31" i="4"/>
  <c r="AH58" i="3" s="1"/>
  <c r="DU33" i="4"/>
  <c r="AG60" i="3" s="1"/>
  <c r="BS35" i="4"/>
  <c r="AA62" i="3" s="1"/>
  <c r="DU37" i="4"/>
  <c r="AG64" i="3" s="1"/>
  <c r="DU39" i="4"/>
  <c r="AG66" i="3" s="1"/>
  <c r="DU41" i="4"/>
  <c r="AG68" i="3" s="1"/>
  <c r="DU43" i="4"/>
  <c r="AG70" i="3" s="1"/>
  <c r="ED45" i="4"/>
  <c r="AH72" i="3" s="1"/>
  <c r="ED47" i="4"/>
  <c r="AH74" i="3" s="1"/>
  <c r="DU49" i="4"/>
  <c r="AG76" i="3" s="1"/>
  <c r="CT51" i="4"/>
  <c r="AD78" i="3" s="1"/>
  <c r="CT53" i="4"/>
  <c r="AD80" i="3" s="1"/>
  <c r="CT55" i="4"/>
  <c r="AD82" i="3" s="1"/>
  <c r="CK4" i="4"/>
  <c r="AC31" i="3" s="1"/>
  <c r="DU4" i="4"/>
  <c r="AG31" i="3" s="1"/>
  <c r="DC6" i="4"/>
  <c r="AE33" i="3" s="1"/>
  <c r="ED6" i="4"/>
  <c r="AH33" i="3" s="1"/>
  <c r="CT8" i="4"/>
  <c r="AD35" i="3" s="1"/>
  <c r="ED8" i="4"/>
  <c r="AH35" i="3" s="1"/>
  <c r="DC10" i="4"/>
  <c r="AE37" i="3" s="1"/>
  <c r="ED10" i="4"/>
  <c r="AH37" i="3" s="1"/>
  <c r="CT12" i="4"/>
  <c r="AD39" i="3" s="1"/>
  <c r="ED12" i="4"/>
  <c r="AH39" i="3" s="1"/>
  <c r="DC14" i="4"/>
  <c r="AE41" i="3" s="1"/>
  <c r="ED14" i="4"/>
  <c r="AH41" i="3" s="1"/>
  <c r="CT16" i="4"/>
  <c r="AD43" i="3" s="1"/>
  <c r="ED16" i="4"/>
  <c r="AH43" i="3" s="1"/>
  <c r="DC18" i="4"/>
  <c r="AE45" i="3" s="1"/>
  <c r="ED18" i="4"/>
  <c r="AH45" i="3" s="1"/>
  <c r="CT20" i="4"/>
  <c r="AD47" i="3" s="1"/>
  <c r="ED20" i="4"/>
  <c r="AH47" i="3" s="1"/>
  <c r="CT22" i="4"/>
  <c r="AD49" i="3" s="1"/>
  <c r="ED22" i="4"/>
  <c r="AH49" i="3" s="1"/>
  <c r="CB24" i="4"/>
  <c r="AB51" i="3" s="1"/>
  <c r="DU24" i="4"/>
  <c r="AG51" i="3" s="1"/>
  <c r="CK26" i="4"/>
  <c r="AC53" i="3" s="1"/>
  <c r="DU26" i="4"/>
  <c r="AG53" i="3" s="1"/>
  <c r="CT28" i="4"/>
  <c r="AD55" i="3" s="1"/>
  <c r="ED28" i="4"/>
  <c r="AH55" i="3" s="1"/>
  <c r="BS30" i="4"/>
  <c r="AA57" i="3" s="1"/>
  <c r="CT30" i="4"/>
  <c r="AD57" i="3" s="1"/>
  <c r="CB32" i="4"/>
  <c r="AB59" i="3" s="1"/>
  <c r="DL32" i="4"/>
  <c r="AF59" i="3" s="1"/>
  <c r="CK34" i="4"/>
  <c r="AC61" i="3" s="1"/>
  <c r="DU34" i="4"/>
  <c r="AG61" i="3" s="1"/>
  <c r="CT36" i="4"/>
  <c r="AD63" i="3" s="1"/>
  <c r="ED36" i="4"/>
  <c r="AH63" i="3" s="1"/>
  <c r="CB38" i="4"/>
  <c r="AB65" i="3" s="1"/>
  <c r="DC38" i="4"/>
  <c r="AE65" i="3" s="1"/>
  <c r="CK40" i="4"/>
  <c r="AC67" i="3" s="1"/>
  <c r="DU40" i="4"/>
  <c r="AG67" i="3" s="1"/>
  <c r="BS44" i="4"/>
  <c r="AA71" i="3" s="1"/>
  <c r="DC44" i="4"/>
  <c r="AE71" i="3" s="1"/>
  <c r="CK46" i="4"/>
  <c r="AC73" i="3" s="1"/>
  <c r="DU46" i="4"/>
  <c r="AG73" i="3" s="1"/>
  <c r="BS48" i="4"/>
  <c r="AA75" i="3" s="1"/>
  <c r="DC48" i="4"/>
  <c r="AE75" i="3" s="1"/>
  <c r="CT50" i="4"/>
  <c r="AD77" i="3" s="1"/>
  <c r="ED50" i="4"/>
  <c r="AH77" i="3" s="1"/>
  <c r="CK52" i="4"/>
  <c r="AC79" i="3" s="1"/>
  <c r="DU52" i="4"/>
  <c r="AG79" i="3" s="1"/>
  <c r="CB54" i="4"/>
  <c r="AB81" i="3" s="1"/>
  <c r="DL54" i="4"/>
  <c r="AF81" i="3" s="1"/>
  <c r="BS5" i="4"/>
  <c r="AA32" i="3" s="1"/>
  <c r="DC5" i="4"/>
  <c r="AE32" i="3" s="1"/>
  <c r="BS49" i="4"/>
  <c r="AA76" i="3" s="1"/>
  <c r="BS7" i="4"/>
  <c r="AA34" i="3" s="1"/>
  <c r="DL7" i="4"/>
  <c r="AF34" i="3" s="1"/>
  <c r="BS9" i="4"/>
  <c r="AA36" i="3" s="1"/>
  <c r="DC9" i="4"/>
  <c r="AE36" i="3" s="1"/>
  <c r="CT11" i="4"/>
  <c r="AD38" i="3" s="1"/>
  <c r="ED11" i="4"/>
  <c r="AH38" i="3" s="1"/>
  <c r="CK13" i="4"/>
  <c r="AC40" i="3" s="1"/>
  <c r="DU13" i="4"/>
  <c r="AG40" i="3" s="1"/>
  <c r="BS15" i="4"/>
  <c r="AA42" i="3" s="1"/>
  <c r="DL15" i="4"/>
  <c r="AF42" i="3" s="1"/>
  <c r="CT17" i="4"/>
  <c r="AD44" i="3" s="1"/>
  <c r="ED17" i="4"/>
  <c r="AH44" i="3" s="1"/>
  <c r="BS19" i="4"/>
  <c r="AA46" i="3" s="1"/>
  <c r="DL19" i="4"/>
  <c r="AF46" i="3" s="1"/>
  <c r="CT21" i="4"/>
  <c r="AD48" i="3" s="1"/>
  <c r="ED21" i="4"/>
  <c r="AH48" i="3" s="1"/>
  <c r="CK23" i="4"/>
  <c r="AC50" i="3" s="1"/>
  <c r="DU23" i="4"/>
  <c r="AG50" i="3" s="1"/>
  <c r="CT25" i="4"/>
  <c r="AD52" i="3" s="1"/>
  <c r="ED25" i="4"/>
  <c r="AH52" i="3" s="1"/>
  <c r="BS27" i="4"/>
  <c r="AA54" i="3" s="1"/>
  <c r="DC27" i="4"/>
  <c r="AE54" i="3" s="1"/>
  <c r="CT29" i="4"/>
  <c r="AD56" i="3" s="1"/>
  <c r="ED29" i="4"/>
  <c r="AH56" i="3" s="1"/>
  <c r="CB31" i="4"/>
  <c r="AB58" i="3" s="1"/>
  <c r="DL31" i="4"/>
  <c r="AF58" i="3" s="1"/>
  <c r="BS33" i="4"/>
  <c r="AA60" i="3" s="1"/>
  <c r="DC33" i="4"/>
  <c r="AE60" i="3" s="1"/>
  <c r="CK35" i="4"/>
  <c r="AC62" i="3" s="1"/>
  <c r="DU35" i="4"/>
  <c r="AG62" i="3" s="1"/>
  <c r="BS37" i="4"/>
  <c r="AA64" i="3" s="1"/>
  <c r="CT37" i="4"/>
  <c r="AD64" i="3" s="1"/>
  <c r="CT39" i="4"/>
  <c r="AD66" i="3" s="1"/>
  <c r="CT41" i="4"/>
  <c r="AD68" i="3" s="1"/>
  <c r="CK43" i="4"/>
  <c r="AC70" i="3" s="1"/>
  <c r="DL43" i="4"/>
  <c r="AF70" i="3" s="1"/>
  <c r="DC45" i="4"/>
  <c r="AE72" i="3" s="1"/>
  <c r="CT47" i="4"/>
  <c r="AD74" i="3" s="1"/>
  <c r="CK49" i="4"/>
  <c r="AC76" i="3" s="1"/>
  <c r="DL49" i="4"/>
  <c r="AF76" i="3" s="1"/>
  <c r="CK51" i="4"/>
  <c r="AC78" i="3" s="1"/>
  <c r="DL51" i="4"/>
  <c r="AF78" i="3" s="1"/>
  <c r="CK53" i="4"/>
  <c r="AC80" i="3" s="1"/>
  <c r="DL53" i="4"/>
  <c r="AF80" i="3" s="1"/>
  <c r="CB55" i="4"/>
  <c r="AB82" i="3" s="1"/>
  <c r="DL55" i="4"/>
  <c r="AF82" i="3" s="1"/>
  <c r="BS42" i="4"/>
  <c r="AA69" i="3" s="1"/>
  <c r="AI42" i="4"/>
  <c r="W69" i="3" s="1"/>
  <c r="Q42" i="4"/>
  <c r="U69" i="3" s="1"/>
  <c r="BA43" i="4"/>
  <c r="Y70" i="3" s="1"/>
  <c r="BA54" i="4"/>
  <c r="Y81" i="3" s="1"/>
  <c r="BA33" i="4"/>
  <c r="Y60" i="3" s="1"/>
  <c r="BA28" i="4"/>
  <c r="Y55" i="3" s="1"/>
  <c r="Q51" i="4"/>
  <c r="U78" i="3" s="1"/>
  <c r="Z45" i="4"/>
  <c r="V72" i="3" s="1"/>
  <c r="Z53" i="4"/>
  <c r="V80" i="3" s="1"/>
  <c r="Q29" i="4"/>
  <c r="U56" i="3" s="1"/>
  <c r="Q9" i="4"/>
  <c r="U36" i="3" s="1"/>
  <c r="Z18" i="4"/>
  <c r="V45" i="3" s="1"/>
  <c r="BA17" i="4"/>
  <c r="Y44" i="3" s="1"/>
  <c r="Z15" i="4"/>
  <c r="V42" i="3" s="1"/>
  <c r="AR17" i="4"/>
  <c r="X44" i="3" s="1"/>
  <c r="AR41" i="4"/>
  <c r="X68" i="3" s="1"/>
  <c r="AR53" i="4"/>
  <c r="X80" i="3" s="1"/>
  <c r="AI14" i="4"/>
  <c r="W41" i="3" s="1"/>
  <c r="Q55" i="4"/>
  <c r="U82" i="3" s="1"/>
  <c r="BA6" i="4"/>
  <c r="Y33" i="3" s="1"/>
  <c r="Z12" i="4"/>
  <c r="V39" i="3" s="1"/>
  <c r="BA20" i="4"/>
  <c r="Y47" i="3" s="1"/>
  <c r="Z4" i="4"/>
  <c r="V31" i="3" s="1"/>
  <c r="Z55" i="4"/>
  <c r="V82" i="3" s="1"/>
  <c r="BJ20" i="4"/>
  <c r="Z47" i="3" s="1"/>
  <c r="Q43" i="4"/>
  <c r="U70" i="3" s="1"/>
  <c r="AI45" i="4"/>
  <c r="W72" i="3" s="1"/>
  <c r="Z17" i="4"/>
  <c r="V44" i="3" s="1"/>
  <c r="BA25" i="4"/>
  <c r="Y52" i="3" s="1"/>
  <c r="AR21" i="4"/>
  <c r="X48" i="3" s="1"/>
  <c r="BA29" i="4"/>
  <c r="Y56" i="3" s="1"/>
  <c r="AR11" i="4"/>
  <c r="X38" i="3" s="1"/>
  <c r="AR20" i="4"/>
  <c r="X47" i="3" s="1"/>
  <c r="AR8" i="4"/>
  <c r="X35" i="3" s="1"/>
  <c r="Z34" i="4"/>
  <c r="V61" i="3" s="1"/>
  <c r="BA48" i="4"/>
  <c r="Y75" i="3" s="1"/>
  <c r="AR37" i="4"/>
  <c r="X64" i="3" s="1"/>
  <c r="Z41" i="4"/>
  <c r="V68" i="3" s="1"/>
  <c r="AI37" i="4"/>
  <c r="W64" i="3" s="1"/>
  <c r="BA51" i="4"/>
  <c r="Y78" i="3" s="1"/>
  <c r="AR55" i="4"/>
  <c r="X82" i="3" s="1"/>
  <c r="Z31" i="4"/>
  <c r="V58" i="3" s="1"/>
  <c r="Z37" i="4"/>
  <c r="V64" i="3" s="1"/>
  <c r="BA47" i="4"/>
  <c r="Y74" i="3" s="1"/>
  <c r="Q52" i="4"/>
  <c r="U79" i="3" s="1"/>
  <c r="BA9" i="4"/>
  <c r="Y36" i="3" s="1"/>
  <c r="Z19" i="4"/>
  <c r="V46" i="3" s="1"/>
  <c r="BA32" i="4"/>
  <c r="Y59" i="3" s="1"/>
  <c r="BA39" i="4"/>
  <c r="Y66" i="3" s="1"/>
  <c r="AI19" i="4"/>
  <c r="W46" i="3" s="1"/>
  <c r="AR29" i="4"/>
  <c r="X56" i="3" s="1"/>
  <c r="BJ14" i="4"/>
  <c r="Z41" i="3" s="1"/>
  <c r="BA27" i="4"/>
  <c r="Y54" i="3" s="1"/>
  <c r="AR50" i="4"/>
  <c r="X77" i="3" s="1"/>
  <c r="Q7" i="4"/>
  <c r="U34" i="3" s="1"/>
  <c r="BJ23" i="4"/>
  <c r="Z50" i="3" s="1"/>
  <c r="BJ44" i="4"/>
  <c r="Z71" i="3" s="1"/>
  <c r="BJ40" i="4"/>
  <c r="Z67" i="3" s="1"/>
  <c r="BJ51" i="4"/>
  <c r="Z78" i="3" s="1"/>
  <c r="BJ10" i="4"/>
  <c r="Z37" i="3" s="1"/>
  <c r="Q25" i="4"/>
  <c r="U52" i="3" s="1"/>
  <c r="Q36" i="4"/>
  <c r="U63" i="3" s="1"/>
  <c r="Q54" i="4"/>
  <c r="U81" i="3" s="1"/>
  <c r="Q5" i="4"/>
  <c r="U32" i="3" s="1"/>
  <c r="Q8" i="4"/>
  <c r="U35" i="3" s="1"/>
  <c r="Q12" i="4"/>
  <c r="U39" i="3" s="1"/>
  <c r="AI18" i="4"/>
  <c r="W45" i="3" s="1"/>
  <c r="Q20" i="4"/>
  <c r="U47" i="3" s="1"/>
  <c r="BJ26" i="4"/>
  <c r="Z53" i="3" s="1"/>
  <c r="BJ30" i="4"/>
  <c r="Z57" i="3" s="1"/>
  <c r="BJ46" i="4"/>
  <c r="Z73" i="3" s="1"/>
  <c r="BJ50" i="4"/>
  <c r="Z77" i="3" s="1"/>
  <c r="BJ54" i="4"/>
  <c r="Z81" i="3" s="1"/>
  <c r="Z9" i="4"/>
  <c r="V36" i="3" s="1"/>
  <c r="Z20" i="4"/>
  <c r="V47" i="3" s="1"/>
  <c r="Z23" i="4"/>
  <c r="V50" i="3" s="1"/>
  <c r="Z36" i="4"/>
  <c r="V63" i="3" s="1"/>
  <c r="Z39" i="4"/>
  <c r="V66" i="3" s="1"/>
  <c r="Z43" i="4"/>
  <c r="V70" i="3" s="1"/>
  <c r="Z51" i="4"/>
  <c r="V78" i="3" s="1"/>
  <c r="BA53" i="4"/>
  <c r="Y80" i="3" s="1"/>
  <c r="AR25" i="4"/>
  <c r="X52" i="3" s="1"/>
  <c r="AR35" i="4"/>
  <c r="X62" i="3" s="1"/>
  <c r="AR47" i="4"/>
  <c r="X74" i="3" s="1"/>
  <c r="AI41" i="4"/>
  <c r="W68" i="3" s="1"/>
  <c r="BA13" i="4"/>
  <c r="Y40" i="3" s="1"/>
  <c r="AI15" i="4"/>
  <c r="W42" i="3" s="1"/>
  <c r="AI17" i="4"/>
  <c r="W44" i="3" s="1"/>
  <c r="BA21" i="4"/>
  <c r="Y48" i="3" s="1"/>
  <c r="BJ55" i="4"/>
  <c r="Z82" i="3" s="1"/>
  <c r="BJ4" i="4"/>
  <c r="Z31" i="3" s="1"/>
  <c r="Z6" i="4"/>
  <c r="V33" i="3" s="1"/>
  <c r="AI10" i="4"/>
  <c r="W37" i="3" s="1"/>
  <c r="AI12" i="4"/>
  <c r="W39" i="3" s="1"/>
  <c r="BA14" i="4"/>
  <c r="Y41" i="3" s="1"/>
  <c r="BA15" i="4"/>
  <c r="Y42" i="3" s="1"/>
  <c r="BA16" i="4"/>
  <c r="Y43" i="3" s="1"/>
  <c r="BA18" i="4"/>
  <c r="Y45" i="3" s="1"/>
  <c r="BA19" i="4"/>
  <c r="Y46" i="3" s="1"/>
  <c r="BA22" i="4"/>
  <c r="Y49" i="3" s="1"/>
  <c r="Z38" i="4"/>
  <c r="V65" i="3" s="1"/>
  <c r="AR7" i="4"/>
  <c r="X34" i="3" s="1"/>
  <c r="AR10" i="4"/>
  <c r="X37" i="3" s="1"/>
  <c r="AR12" i="4"/>
  <c r="X39" i="3" s="1"/>
  <c r="AR22" i="4"/>
  <c r="X49" i="3" s="1"/>
  <c r="AR23" i="4"/>
  <c r="X50" i="3" s="1"/>
  <c r="AR24" i="4"/>
  <c r="X51" i="3" s="1"/>
  <c r="BA26" i="4"/>
  <c r="Y53" i="3" s="1"/>
  <c r="Z27" i="4"/>
  <c r="V54" i="3" s="1"/>
  <c r="AR28" i="4"/>
  <c r="X55" i="3" s="1"/>
  <c r="AR31" i="4"/>
  <c r="X58" i="3" s="1"/>
  <c r="Q33" i="4"/>
  <c r="U60" i="3" s="1"/>
  <c r="BA34" i="4"/>
  <c r="Y61" i="3" s="1"/>
  <c r="Z35" i="4"/>
  <c r="V62" i="3" s="1"/>
  <c r="AR38" i="4"/>
  <c r="X65" i="3" s="1"/>
  <c r="AR40" i="4"/>
  <c r="X67" i="3" s="1"/>
  <c r="BA41" i="4"/>
  <c r="Y68" i="3" s="1"/>
  <c r="BA44" i="4"/>
  <c r="Y71" i="3" s="1"/>
  <c r="AR44" i="4"/>
  <c r="X71" i="3" s="1"/>
  <c r="AR46" i="4"/>
  <c r="X73" i="3" s="1"/>
  <c r="AR48" i="4"/>
  <c r="X75" i="3" s="1"/>
  <c r="AR49" i="4"/>
  <c r="X76" i="3" s="1"/>
  <c r="Z50" i="4"/>
  <c r="V77" i="3" s="1"/>
  <c r="AR51" i="4"/>
  <c r="X78" i="3" s="1"/>
  <c r="BA52" i="4"/>
  <c r="Y79" i="3" s="1"/>
  <c r="AR52" i="4"/>
  <c r="X79" i="3" s="1"/>
  <c r="AI53" i="4"/>
  <c r="W80" i="3" s="1"/>
  <c r="BA55" i="4"/>
  <c r="Y82" i="3" s="1"/>
  <c r="BJ5" i="4"/>
  <c r="Z32" i="3" s="1"/>
  <c r="Z33" i="4"/>
  <c r="V60" i="3" s="1"/>
  <c r="AR15" i="4"/>
  <c r="X42" i="3" s="1"/>
  <c r="AR39" i="4"/>
  <c r="X66" i="3" s="1"/>
  <c r="AI21" i="4"/>
  <c r="W48" i="3" s="1"/>
  <c r="Z25" i="4"/>
  <c r="V52" i="3" s="1"/>
  <c r="AR30" i="4"/>
  <c r="X57" i="3" s="1"/>
  <c r="BJ33" i="4"/>
  <c r="Z60" i="3" s="1"/>
  <c r="BA11" i="4"/>
  <c r="Y38" i="3" s="1"/>
  <c r="Q24" i="4"/>
  <c r="U51" i="3" s="1"/>
  <c r="Q28" i="4"/>
  <c r="U55" i="3" s="1"/>
  <c r="Q49" i="4"/>
  <c r="U76" i="3" s="1"/>
  <c r="AI6" i="4"/>
  <c r="W33" i="3" s="1"/>
  <c r="AI9" i="4"/>
  <c r="W36" i="3" s="1"/>
  <c r="AI11" i="4"/>
  <c r="W38" i="3" s="1"/>
  <c r="AI16" i="4"/>
  <c r="W43" i="3" s="1"/>
  <c r="AI20" i="4"/>
  <c r="W47" i="3" s="1"/>
  <c r="AI22" i="4"/>
  <c r="W49" i="3" s="1"/>
  <c r="AI23" i="4"/>
  <c r="W50" i="3" s="1"/>
  <c r="AI24" i="4"/>
  <c r="W51" i="3" s="1"/>
  <c r="AI27" i="4"/>
  <c r="W54" i="3" s="1"/>
  <c r="AI34" i="4"/>
  <c r="W61" i="3" s="1"/>
  <c r="AI35" i="4"/>
  <c r="W62" i="3" s="1"/>
  <c r="AI38" i="4"/>
  <c r="W65" i="3" s="1"/>
  <c r="AI39" i="4"/>
  <c r="W66" i="3" s="1"/>
  <c r="AI40" i="4"/>
  <c r="W67" i="3" s="1"/>
  <c r="AI43" i="4"/>
  <c r="W70" i="3" s="1"/>
  <c r="AI44" i="4"/>
  <c r="W71" i="3" s="1"/>
  <c r="AI46" i="4"/>
  <c r="W73" i="3" s="1"/>
  <c r="AI48" i="4"/>
  <c r="W75" i="3" s="1"/>
  <c r="AI50" i="4"/>
  <c r="W77" i="3" s="1"/>
  <c r="AI51" i="4"/>
  <c r="W78" i="3" s="1"/>
  <c r="AI54" i="4"/>
  <c r="W81" i="3" s="1"/>
  <c r="AI55" i="4"/>
  <c r="W82" i="3" s="1"/>
  <c r="Z7" i="4"/>
  <c r="V34" i="3" s="1"/>
  <c r="Z13" i="4"/>
  <c r="V40" i="3" s="1"/>
  <c r="Z29" i="4"/>
  <c r="V56" i="3" s="1"/>
  <c r="Z32" i="4"/>
  <c r="V59" i="3" s="1"/>
  <c r="Z49" i="4"/>
  <c r="V76" i="3" s="1"/>
  <c r="Z52" i="4"/>
  <c r="V79" i="3" s="1"/>
  <c r="AR6" i="4"/>
  <c r="X33" i="3" s="1"/>
  <c r="AR19" i="4"/>
  <c r="X46" i="3" s="1"/>
  <c r="AR26" i="4"/>
  <c r="X53" i="3" s="1"/>
  <c r="AR36" i="4"/>
  <c r="X63" i="3" s="1"/>
  <c r="AR43" i="4"/>
  <c r="X70" i="3" s="1"/>
  <c r="AR54" i="4"/>
  <c r="X81" i="3" s="1"/>
  <c r="AI25" i="4"/>
  <c r="W52" i="3" s="1"/>
  <c r="AR13" i="4"/>
  <c r="X40" i="3" s="1"/>
  <c r="BA31" i="4"/>
  <c r="Y58" i="3" s="1"/>
  <c r="AI33" i="4"/>
  <c r="W60" i="3" s="1"/>
  <c r="BA35" i="4"/>
  <c r="Y62" i="3" s="1"/>
  <c r="BA37" i="4"/>
  <c r="Y64" i="3" s="1"/>
  <c r="BA45" i="4"/>
  <c r="Y72" i="3" s="1"/>
  <c r="BA50" i="4"/>
  <c r="Y77" i="3" s="1"/>
  <c r="AR4" i="4"/>
  <c r="X31" i="3" s="1"/>
  <c r="AR33" i="4"/>
  <c r="X60" i="3" s="1"/>
  <c r="AR45" i="4"/>
  <c r="X72" i="3" s="1"/>
  <c r="AR16" i="4"/>
  <c r="X43" i="3" s="1"/>
  <c r="AR18" i="4"/>
  <c r="X45" i="3" s="1"/>
  <c r="Z10" i="4"/>
  <c r="V37" i="3" s="1"/>
  <c r="Q11" i="4"/>
  <c r="U38" i="3" s="1"/>
  <c r="Z14" i="4"/>
  <c r="V41" i="3" s="1"/>
  <c r="Z22" i="4"/>
  <c r="V49" i="3" s="1"/>
  <c r="BA23" i="4"/>
  <c r="Y50" i="3" s="1"/>
  <c r="AI29" i="4"/>
  <c r="W56" i="3" s="1"/>
  <c r="BA36" i="4"/>
  <c r="Y63" i="3" s="1"/>
  <c r="BA49" i="4"/>
  <c r="Y76" i="3" s="1"/>
  <c r="Z5" i="4"/>
  <c r="V32" i="3" s="1"/>
  <c r="BA4" i="4"/>
  <c r="Y31" i="3" s="1"/>
  <c r="AR27" i="4"/>
  <c r="X54" i="3" s="1"/>
  <c r="AI49" i="4"/>
  <c r="W76" i="3" s="1"/>
  <c r="AR34" i="4"/>
  <c r="X61" i="3" s="1"/>
  <c r="Z30" i="4"/>
  <c r="V57" i="3" s="1"/>
  <c r="Q27" i="4"/>
  <c r="U54" i="3" s="1"/>
  <c r="Z11" i="4"/>
  <c r="V38" i="3" s="1"/>
  <c r="AI26" i="4"/>
  <c r="W53" i="3" s="1"/>
  <c r="AI28" i="4"/>
  <c r="W55" i="3" s="1"/>
  <c r="BA38" i="4"/>
  <c r="Y65" i="3" s="1"/>
  <c r="BA40" i="4"/>
  <c r="Y67" i="3" s="1"/>
  <c r="BJ34" i="4"/>
  <c r="Z61" i="3" s="1"/>
  <c r="AR32" i="4"/>
  <c r="X59" i="3" s="1"/>
  <c r="BA46" i="4"/>
  <c r="Y73" i="3" s="1"/>
  <c r="Z47" i="4"/>
  <c r="V74" i="3" s="1"/>
  <c r="Q17" i="4"/>
  <c r="U44" i="3" s="1"/>
  <c r="BJ22" i="4"/>
  <c r="Z49" i="3" s="1"/>
  <c r="Q10" i="4"/>
  <c r="U37" i="3" s="1"/>
  <c r="Q21" i="4"/>
  <c r="U48" i="3" s="1"/>
  <c r="Q31" i="4"/>
  <c r="U58" i="3" s="1"/>
  <c r="Q53" i="4"/>
  <c r="U80" i="3" s="1"/>
  <c r="BJ15" i="4"/>
  <c r="Z42" i="3" s="1"/>
  <c r="Q46" i="4"/>
  <c r="U73" i="3" s="1"/>
  <c r="AI7" i="4"/>
  <c r="W34" i="3" s="1"/>
  <c r="AR9" i="4"/>
  <c r="X36" i="3" s="1"/>
  <c r="AR14" i="4"/>
  <c r="X41" i="3" s="1"/>
  <c r="BA24" i="4"/>
  <c r="Y51" i="3" s="1"/>
  <c r="BJ38" i="4"/>
  <c r="Z65" i="3" s="1"/>
  <c r="Z48" i="4"/>
  <c r="V75" i="3" s="1"/>
  <c r="Z28" i="4"/>
  <c r="V55" i="3" s="1"/>
  <c r="BA30" i="4"/>
  <c r="Y57" i="3" s="1"/>
  <c r="BJ25" i="4"/>
  <c r="Z52" i="3" s="1"/>
  <c r="BJ47" i="4"/>
  <c r="Z74" i="3" s="1"/>
  <c r="BJ21" i="4"/>
  <c r="Z48" i="3" s="1"/>
  <c r="BJ32" i="4"/>
  <c r="Z59" i="3" s="1"/>
  <c r="BJ53" i="4"/>
  <c r="Z80" i="3" s="1"/>
  <c r="BA7" i="4"/>
  <c r="Y34" i="3" s="1"/>
  <c r="BJ6" i="4"/>
  <c r="Z33" i="3" s="1"/>
  <c r="AR5" i="4"/>
  <c r="X32" i="3" s="1"/>
  <c r="Q14" i="4"/>
  <c r="U41" i="3" s="1"/>
  <c r="Q6" i="4"/>
  <c r="U33" i="3" s="1"/>
  <c r="AI8" i="4"/>
  <c r="W35" i="3" s="1"/>
  <c r="AI13" i="4"/>
  <c r="W40" i="3" s="1"/>
  <c r="BJ18" i="4"/>
  <c r="Z45" i="3" s="1"/>
  <c r="AI31" i="4"/>
  <c r="W58" i="3" s="1"/>
  <c r="AI47" i="4"/>
  <c r="W74" i="3" s="1"/>
  <c r="AI52" i="4"/>
  <c r="W79" i="3" s="1"/>
  <c r="Z8" i="4"/>
  <c r="V35" i="3" s="1"/>
  <c r="Z21" i="4"/>
  <c r="V48" i="3" s="1"/>
  <c r="Z24" i="4"/>
  <c r="V51" i="3" s="1"/>
  <c r="Z40" i="4"/>
  <c r="V67" i="3" s="1"/>
  <c r="Z44" i="4"/>
  <c r="V71" i="3" s="1"/>
  <c r="Z46" i="4"/>
  <c r="V73" i="3" s="1"/>
  <c r="Z54" i="4"/>
  <c r="V81" i="3" s="1"/>
  <c r="Q23" i="4"/>
  <c r="U50" i="3" s="1"/>
  <c r="Q45" i="4"/>
  <c r="U72" i="3" s="1"/>
  <c r="BJ7" i="4"/>
  <c r="Z34" i="3" s="1"/>
  <c r="BJ17" i="4"/>
  <c r="Z44" i="3" s="1"/>
  <c r="BJ28" i="4"/>
  <c r="Z55" i="3" s="1"/>
  <c r="BJ39" i="4"/>
  <c r="Z66" i="3" s="1"/>
  <c r="BJ49" i="4"/>
  <c r="Z76" i="3" s="1"/>
  <c r="BJ13" i="4"/>
  <c r="Z40" i="3" s="1"/>
  <c r="BJ24" i="4"/>
  <c r="Z51" i="3" s="1"/>
  <c r="BJ35" i="4"/>
  <c r="Z62" i="3" s="1"/>
  <c r="BJ45" i="4"/>
  <c r="Z72" i="3" s="1"/>
  <c r="Q22" i="4"/>
  <c r="U49" i="3" s="1"/>
  <c r="Q35" i="4"/>
  <c r="U62" i="3" s="1"/>
  <c r="Q4" i="4"/>
  <c r="Q30" i="4"/>
  <c r="U57" i="3" s="1"/>
  <c r="Q41" i="4"/>
  <c r="U68" i="3" s="1"/>
  <c r="AI4" i="4"/>
  <c r="W31" i="3" s="1"/>
  <c r="BJ36" i="4"/>
  <c r="Z63" i="3" s="1"/>
  <c r="BJ43" i="4"/>
  <c r="Z70" i="3" s="1"/>
  <c r="Q19" i="4"/>
  <c r="U46" i="3" s="1"/>
  <c r="Q40" i="4"/>
  <c r="U67" i="3" s="1"/>
  <c r="AI5" i="4"/>
  <c r="W32" i="3" s="1"/>
  <c r="AI30" i="4"/>
  <c r="W57" i="3" s="1"/>
  <c r="AI32" i="4"/>
  <c r="W59" i="3" s="1"/>
  <c r="AI36" i="4"/>
  <c r="W63" i="3" s="1"/>
  <c r="Z16" i="4"/>
  <c r="V43" i="3" s="1"/>
  <c r="Z26" i="4"/>
  <c r="V53" i="3" s="1"/>
  <c r="Q15" i="4"/>
  <c r="U42" i="3" s="1"/>
  <c r="Q47" i="4"/>
  <c r="U74" i="3" s="1"/>
  <c r="BJ31" i="4"/>
  <c r="Z58" i="3" s="1"/>
  <c r="BJ41" i="4"/>
  <c r="Z68" i="3" s="1"/>
  <c r="BJ52" i="4"/>
  <c r="Z79" i="3" s="1"/>
  <c r="BJ16" i="4"/>
  <c r="Z43" i="3" s="1"/>
  <c r="BJ27" i="4"/>
  <c r="Z54" i="3" s="1"/>
  <c r="BJ37" i="4"/>
  <c r="Z64" i="3" s="1"/>
  <c r="BJ48" i="4"/>
  <c r="Z75" i="3" s="1"/>
  <c r="BA10" i="4"/>
  <c r="Y37" i="3" s="1"/>
  <c r="Q44" i="4"/>
  <c r="U71" i="3" s="1"/>
  <c r="Q39" i="4"/>
  <c r="U66" i="3" s="1"/>
  <c r="Q34" i="4"/>
  <c r="U61" i="3" s="1"/>
  <c r="BJ19" i="4"/>
  <c r="Z46" i="3" s="1"/>
  <c r="Q13" i="4"/>
  <c r="U40" i="3" s="1"/>
  <c r="Q16" i="4"/>
  <c r="U43" i="3" s="1"/>
  <c r="Q32" i="4"/>
  <c r="U59" i="3" s="1"/>
  <c r="Q48" i="4"/>
  <c r="U75" i="3" s="1"/>
  <c r="Q26" i="4"/>
  <c r="U53" i="3" s="1"/>
  <c r="BA8" i="4"/>
  <c r="Y35" i="3" s="1"/>
  <c r="BJ11" i="4"/>
  <c r="Z38" i="3" s="1"/>
  <c r="BA12" i="4"/>
  <c r="Y39" i="3" s="1"/>
  <c r="BA5" i="4"/>
  <c r="Y32" i="3" s="1"/>
  <c r="Q37" i="4"/>
  <c r="U64" i="3" s="1"/>
  <c r="BJ9" i="4"/>
  <c r="Z36" i="3" s="1"/>
  <c r="Q18" i="4"/>
  <c r="U45" i="3" s="1"/>
  <c r="Q50" i="4"/>
  <c r="U77" i="3" s="1"/>
  <c r="BJ29" i="4"/>
  <c r="Z56" i="3" s="1"/>
  <c r="BJ12" i="4"/>
  <c r="Z39" i="3" s="1"/>
  <c r="BJ8" i="4"/>
  <c r="Z35" i="3" s="1"/>
  <c r="F9" i="8" l="1"/>
  <c r="F10" i="8"/>
  <c r="F8" i="8"/>
  <c r="F7" i="8"/>
  <c r="I9" i="8"/>
  <c r="I8" i="8"/>
  <c r="M7" i="8"/>
  <c r="O10" i="8"/>
  <c r="O9" i="8"/>
  <c r="O7" i="8"/>
  <c r="O8" i="8"/>
  <c r="D10" i="8"/>
  <c r="D9" i="8"/>
  <c r="D7" i="8"/>
  <c r="D8" i="8"/>
  <c r="I7" i="8"/>
  <c r="M8" i="8"/>
  <c r="M9" i="8"/>
  <c r="E7" i="8"/>
  <c r="E8" i="8"/>
  <c r="K8" i="8"/>
  <c r="E9" i="8"/>
  <c r="K7" i="8"/>
  <c r="J8" i="8"/>
  <c r="K9" i="8"/>
  <c r="J9" i="8"/>
  <c r="J7" i="8"/>
  <c r="N10" i="8"/>
  <c r="N7" i="8"/>
  <c r="N8" i="8"/>
  <c r="N9" i="8"/>
  <c r="H10" i="8"/>
  <c r="H9" i="8"/>
  <c r="H7" i="8"/>
  <c r="H8" i="8"/>
  <c r="B8" i="8"/>
  <c r="L10" i="8"/>
  <c r="L8" i="8"/>
  <c r="L7" i="8"/>
  <c r="L9" i="8"/>
  <c r="B9" i="8"/>
  <c r="C7" i="8"/>
  <c r="G7" i="8"/>
  <c r="B7" i="8"/>
  <c r="C8" i="8"/>
  <c r="G9" i="8"/>
  <c r="C9" i="8"/>
  <c r="R38" i="3"/>
  <c r="AJ34" i="3"/>
  <c r="AJ46" i="3"/>
  <c r="R54" i="3"/>
  <c r="R50" i="3"/>
  <c r="AI32" i="3"/>
  <c r="R66" i="3"/>
  <c r="Q81" i="3"/>
  <c r="Q58" i="3"/>
  <c r="Q56" i="3"/>
  <c r="AI33" i="3"/>
  <c r="AI65" i="3"/>
  <c r="AI49" i="3"/>
  <c r="AI62" i="3"/>
  <c r="AJ58" i="3"/>
  <c r="AI47" i="3"/>
  <c r="R60" i="3"/>
  <c r="AJ60" i="3"/>
  <c r="AI34" i="3"/>
  <c r="Q34" i="3"/>
  <c r="R42" i="3"/>
  <c r="AJ42" i="3"/>
  <c r="AJ44" i="3"/>
  <c r="R44" i="3"/>
  <c r="AI68" i="3"/>
  <c r="Q68" i="3"/>
  <c r="AJ56" i="3"/>
  <c r="R56" i="3"/>
  <c r="R67" i="3"/>
  <c r="AJ67" i="3"/>
  <c r="AJ62" i="3"/>
  <c r="R62" i="3"/>
  <c r="AJ64" i="3"/>
  <c r="R64" i="3"/>
  <c r="R39" i="3"/>
  <c r="AJ39" i="3"/>
  <c r="AI66" i="3"/>
  <c r="Q66" i="3"/>
  <c r="AI55" i="3"/>
  <c r="Q55" i="3"/>
  <c r="AJ71" i="3"/>
  <c r="R71" i="3"/>
  <c r="Q73" i="3"/>
  <c r="AI73" i="3"/>
  <c r="R31" i="3"/>
  <c r="AJ31" i="3"/>
  <c r="R63" i="3"/>
  <c r="AJ63" i="3"/>
  <c r="R33" i="3"/>
  <c r="AJ33" i="3"/>
  <c r="Q61" i="3"/>
  <c r="AI61" i="3"/>
  <c r="R51" i="3"/>
  <c r="AJ51" i="3"/>
  <c r="AI60" i="3"/>
  <c r="Q60" i="3"/>
  <c r="R68" i="3"/>
  <c r="AJ68" i="3"/>
  <c r="Q39" i="3"/>
  <c r="AI39" i="3"/>
  <c r="Q50" i="3"/>
  <c r="AI50" i="3"/>
  <c r="R48" i="3"/>
  <c r="AJ48" i="3"/>
  <c r="Q82" i="3"/>
  <c r="AI82" i="3"/>
  <c r="R47" i="3"/>
  <c r="AJ47" i="3"/>
  <c r="R32" i="3"/>
  <c r="AJ32" i="3"/>
  <c r="AJ35" i="3"/>
  <c r="R35" i="3"/>
  <c r="R40" i="3"/>
  <c r="AJ40" i="3"/>
  <c r="Q64" i="3"/>
  <c r="AI64" i="3"/>
  <c r="R73" i="3"/>
  <c r="AJ73" i="3"/>
  <c r="Q46" i="3"/>
  <c r="AI46" i="3"/>
  <c r="R82" i="3"/>
  <c r="AJ82" i="3"/>
  <c r="Q80" i="3"/>
  <c r="AI80" i="3"/>
  <c r="Q78" i="3"/>
  <c r="AI78" i="3"/>
  <c r="AJ81" i="3"/>
  <c r="R81" i="3"/>
  <c r="AI79" i="3"/>
  <c r="Q79" i="3"/>
  <c r="Q36" i="3"/>
  <c r="AI36" i="3"/>
  <c r="AI69" i="3"/>
  <c r="Q69" i="3"/>
  <c r="Q59" i="3"/>
  <c r="AI59" i="3"/>
  <c r="R36" i="3"/>
  <c r="AJ36" i="3"/>
  <c r="R72" i="3"/>
  <c r="AJ72" i="3"/>
  <c r="Q70" i="3"/>
  <c r="AI70" i="3"/>
  <c r="Q38" i="3"/>
  <c r="AI38" i="3"/>
  <c r="AI40" i="3"/>
  <c r="Q40" i="3"/>
  <c r="AI44" i="3"/>
  <c r="Q44" i="3"/>
  <c r="R80" i="3"/>
  <c r="AJ80" i="3"/>
  <c r="AJ61" i="3"/>
  <c r="R61" i="3"/>
  <c r="AI43" i="3"/>
  <c r="Q43" i="3"/>
  <c r="Q45" i="3"/>
  <c r="AI45" i="3"/>
  <c r="Q52" i="3"/>
  <c r="AI52" i="3"/>
  <c r="AJ70" i="3"/>
  <c r="R70" i="3"/>
  <c r="AI67" i="3"/>
  <c r="Q67" i="3"/>
  <c r="AI53" i="3"/>
  <c r="Q53" i="3"/>
  <c r="R76" i="3"/>
  <c r="AJ76" i="3"/>
  <c r="R74" i="3"/>
  <c r="AJ74" i="3"/>
  <c r="Q42" i="3"/>
  <c r="AI42" i="3"/>
  <c r="Q74" i="3"/>
  <c r="AI74" i="3"/>
  <c r="R59" i="3"/>
  <c r="AJ59" i="3"/>
  <c r="R45" i="3"/>
  <c r="AJ45" i="3"/>
  <c r="AI77" i="3"/>
  <c r="Q77" i="3"/>
  <c r="AJ79" i="3"/>
  <c r="R79" i="3"/>
  <c r="AI31" i="3"/>
  <c r="Q31" i="3"/>
  <c r="Q63" i="3"/>
  <c r="AI63" i="3"/>
  <c r="R78" i="3"/>
  <c r="AJ78" i="3"/>
  <c r="R53" i="3"/>
  <c r="AJ53" i="3"/>
  <c r="Q51" i="3"/>
  <c r="AI51" i="3"/>
  <c r="Q37" i="3"/>
  <c r="AI37" i="3"/>
  <c r="Q72" i="3"/>
  <c r="AI72" i="3"/>
  <c r="AJ57" i="3"/>
  <c r="R57" i="3"/>
  <c r="R69" i="3"/>
  <c r="AJ69" i="3"/>
  <c r="Q57" i="3"/>
  <c r="AI57" i="3"/>
  <c r="R43" i="3"/>
  <c r="AJ43" i="3"/>
  <c r="R75" i="3"/>
  <c r="AJ75" i="3"/>
  <c r="AJ52" i="3"/>
  <c r="R52" i="3"/>
  <c r="AI75" i="3"/>
  <c r="Q75" i="3"/>
  <c r="AJ65" i="3"/>
  <c r="R65" i="3"/>
  <c r="AJ37" i="3"/>
  <c r="R37" i="3"/>
  <c r="AI35" i="3"/>
  <c r="Q35" i="3"/>
  <c r="R55" i="3"/>
  <c r="AJ55" i="3"/>
  <c r="R41" i="3"/>
  <c r="AJ41" i="3"/>
  <c r="Q76" i="3"/>
  <c r="AI76" i="3"/>
  <c r="AI41" i="3"/>
  <c r="Q41" i="3"/>
  <c r="R77" i="3"/>
  <c r="AJ77" i="3"/>
  <c r="AI71" i="3"/>
  <c r="Q71" i="3"/>
  <c r="Q48" i="3"/>
  <c r="AI48" i="3"/>
  <c r="Q54" i="3"/>
  <c r="AI54" i="3"/>
  <c r="R49" i="3"/>
  <c r="AJ49" i="3"/>
  <c r="F5" i="5"/>
  <c r="G21" i="3" s="1"/>
  <c r="C5" i="5"/>
  <c r="D21" i="3" s="1"/>
  <c r="G5" i="5"/>
  <c r="H21" i="3" s="1"/>
  <c r="D5" i="5"/>
  <c r="E21" i="3" s="1"/>
  <c r="B5" i="5"/>
  <c r="C21" i="3" s="1"/>
  <c r="E5" i="5"/>
  <c r="F21" i="3" s="1"/>
  <c r="H69" i="3"/>
  <c r="I6" i="3"/>
  <c r="U31" i="3"/>
  <c r="C31" i="3"/>
  <c r="C45" i="3"/>
  <c r="C75" i="3"/>
  <c r="H43" i="3"/>
  <c r="C67" i="3"/>
  <c r="H51" i="3"/>
  <c r="D67" i="3"/>
  <c r="F32" i="3"/>
  <c r="G51" i="3"/>
  <c r="D74" i="3"/>
  <c r="D38" i="3"/>
  <c r="D49" i="3"/>
  <c r="G62" i="3"/>
  <c r="D76" i="3"/>
  <c r="E77" i="3"/>
  <c r="E50" i="3"/>
  <c r="F57" i="3"/>
  <c r="D77" i="3"/>
  <c r="F58" i="3"/>
  <c r="F37" i="3"/>
  <c r="H31" i="3"/>
  <c r="D70" i="3"/>
  <c r="E45" i="3"/>
  <c r="C34" i="3"/>
  <c r="D64" i="3"/>
  <c r="G56" i="3"/>
  <c r="D31" i="3"/>
  <c r="C36" i="3"/>
  <c r="N82" i="3"/>
  <c r="L68" i="3"/>
  <c r="M54" i="3"/>
  <c r="N46" i="3"/>
  <c r="P38" i="3"/>
  <c r="K79" i="3"/>
  <c r="J65" i="3"/>
  <c r="K53" i="3"/>
  <c r="M41" i="3"/>
  <c r="M33" i="3"/>
  <c r="O64" i="3"/>
  <c r="N38" i="3"/>
  <c r="I61" i="3"/>
  <c r="K82" i="3"/>
  <c r="K42" i="3"/>
  <c r="M76" i="3"/>
  <c r="P66" i="3"/>
  <c r="P54" i="3"/>
  <c r="M42" i="3"/>
  <c r="L32" i="3"/>
  <c r="N67" i="3"/>
  <c r="K55" i="3"/>
  <c r="K47" i="3"/>
  <c r="I72" i="3"/>
  <c r="K64" i="3"/>
  <c r="I38" i="3"/>
  <c r="L61" i="3"/>
  <c r="J80" i="3"/>
  <c r="L50" i="3"/>
  <c r="O65" i="3"/>
  <c r="I39" i="3"/>
  <c r="N66" i="3"/>
  <c r="P73" i="3"/>
  <c r="H36" i="3"/>
  <c r="C61" i="3"/>
  <c r="H79" i="3"/>
  <c r="H40" i="3"/>
  <c r="C77" i="3"/>
  <c r="G32" i="3"/>
  <c r="C53" i="3"/>
  <c r="C40" i="3"/>
  <c r="C71" i="3"/>
  <c r="H54" i="3"/>
  <c r="H58" i="3"/>
  <c r="D43" i="3"/>
  <c r="E32" i="3"/>
  <c r="H63" i="3"/>
  <c r="H62" i="3"/>
  <c r="H66" i="3"/>
  <c r="C72" i="3"/>
  <c r="D71" i="3"/>
  <c r="D35" i="3"/>
  <c r="H45" i="3"/>
  <c r="C41" i="3"/>
  <c r="H80" i="3"/>
  <c r="H52" i="3"/>
  <c r="H65" i="3"/>
  <c r="E34" i="3"/>
  <c r="C58" i="3"/>
  <c r="C44" i="3"/>
  <c r="H61" i="3"/>
  <c r="E53" i="3"/>
  <c r="F61" i="3"/>
  <c r="D32" i="3"/>
  <c r="G50" i="3"/>
  <c r="D37" i="3"/>
  <c r="F60" i="3"/>
  <c r="G64" i="3"/>
  <c r="F40" i="3"/>
  <c r="F63" i="3"/>
  <c r="D79" i="3"/>
  <c r="D40" i="3"/>
  <c r="E78" i="3"/>
  <c r="E71" i="3"/>
  <c r="E65" i="3"/>
  <c r="E51" i="3"/>
  <c r="E43" i="3"/>
  <c r="C76" i="3"/>
  <c r="H60" i="3"/>
  <c r="F66" i="3"/>
  <c r="G82" i="3"/>
  <c r="F78" i="3"/>
  <c r="F73" i="3"/>
  <c r="F67" i="3"/>
  <c r="C60" i="3"/>
  <c r="G53" i="3"/>
  <c r="F39" i="3"/>
  <c r="G49" i="3"/>
  <c r="G42" i="3"/>
  <c r="D33" i="3"/>
  <c r="E44" i="3"/>
  <c r="F74" i="3"/>
  <c r="D78" i="3"/>
  <c r="D50" i="3"/>
  <c r="H77" i="3"/>
  <c r="C47" i="3"/>
  <c r="C32" i="3"/>
  <c r="H37" i="3"/>
  <c r="H50" i="3"/>
  <c r="H41" i="3"/>
  <c r="G59" i="3"/>
  <c r="G74" i="3"/>
  <c r="G78" i="3"/>
  <c r="G75" i="3"/>
  <c r="F38" i="3"/>
  <c r="D44" i="3"/>
  <c r="D82" i="3"/>
  <c r="G33" i="3"/>
  <c r="F68" i="3"/>
  <c r="D45" i="3"/>
  <c r="D72" i="3"/>
  <c r="G81" i="3"/>
  <c r="I69" i="3"/>
  <c r="K80" i="3"/>
  <c r="K76" i="3"/>
  <c r="K70" i="3"/>
  <c r="I64" i="3"/>
  <c r="I60" i="3"/>
  <c r="L56" i="3"/>
  <c r="L52" i="3"/>
  <c r="L48" i="3"/>
  <c r="L44" i="3"/>
  <c r="K40" i="3"/>
  <c r="I36" i="3"/>
  <c r="M32" i="3"/>
  <c r="O79" i="3"/>
  <c r="M75" i="3"/>
  <c r="M71" i="3"/>
  <c r="M65" i="3"/>
  <c r="O61" i="3"/>
  <c r="L57" i="3"/>
  <c r="O53" i="3"/>
  <c r="P49" i="3"/>
  <c r="P45" i="3"/>
  <c r="P41" i="3"/>
  <c r="P37" i="3"/>
  <c r="P33" i="3"/>
  <c r="L82" i="3"/>
  <c r="P74" i="3"/>
  <c r="O66" i="3"/>
  <c r="P58" i="3"/>
  <c r="I50" i="3"/>
  <c r="M40" i="3"/>
  <c r="O32" i="3"/>
  <c r="O75" i="3"/>
  <c r="N63" i="3"/>
  <c r="N55" i="3"/>
  <c r="O43" i="3"/>
  <c r="J33" i="3"/>
  <c r="N72" i="3"/>
  <c r="J54" i="3"/>
  <c r="I44" i="3"/>
  <c r="J36" i="3"/>
  <c r="I55" i="3"/>
  <c r="M78" i="3"/>
  <c r="O72" i="3"/>
  <c r="M68" i="3"/>
  <c r="M64" i="3"/>
  <c r="L60" i="3"/>
  <c r="K56" i="3"/>
  <c r="K52" i="3"/>
  <c r="K48" i="3"/>
  <c r="K44" i="3"/>
  <c r="J40" i="3"/>
  <c r="L36" i="3"/>
  <c r="P32" i="3"/>
  <c r="J79" i="3"/>
  <c r="L75" i="3"/>
  <c r="L71" i="3"/>
  <c r="O63" i="3"/>
  <c r="M59" i="3"/>
  <c r="O55" i="3"/>
  <c r="M51" i="3"/>
  <c r="N47" i="3"/>
  <c r="N43" i="3"/>
  <c r="N39" i="3"/>
  <c r="O35" i="3"/>
  <c r="I80" i="3"/>
  <c r="O82" i="3"/>
  <c r="J74" i="3"/>
  <c r="K66" i="3"/>
  <c r="L58" i="3"/>
  <c r="N48" i="3"/>
  <c r="I40" i="3"/>
  <c r="I78" i="3"/>
  <c r="K75" i="3"/>
  <c r="J63" i="3"/>
  <c r="J55" i="3"/>
  <c r="O41" i="3"/>
  <c r="M31" i="3"/>
  <c r="N74" i="3"/>
  <c r="J64" i="3"/>
  <c r="I52" i="3"/>
  <c r="O42" i="3"/>
  <c r="P67" i="3"/>
  <c r="M55" i="3"/>
  <c r="M47" i="3"/>
  <c r="M39" i="3"/>
  <c r="I74" i="3"/>
  <c r="F69" i="3"/>
  <c r="J70" i="3"/>
  <c r="L62" i="3"/>
  <c r="I48" i="3"/>
  <c r="N32" i="3"/>
  <c r="P79" i="3"/>
  <c r="J75" i="3"/>
  <c r="J71" i="3"/>
  <c r="M57" i="3"/>
  <c r="M49" i="3"/>
  <c r="L41" i="3"/>
  <c r="L33" i="3"/>
  <c r="I81" i="3"/>
  <c r="J48" i="3"/>
  <c r="N53" i="3"/>
  <c r="J41" i="3"/>
  <c r="I77" i="3"/>
  <c r="C65" i="3"/>
  <c r="N69" i="3"/>
  <c r="G39" i="3"/>
  <c r="G37" i="3"/>
  <c r="E63" i="3"/>
  <c r="C62" i="3"/>
  <c r="C50" i="3"/>
  <c r="E40" i="3"/>
  <c r="G57" i="3"/>
  <c r="C48" i="3"/>
  <c r="E76" i="3"/>
  <c r="F45" i="3"/>
  <c r="E52" i="3"/>
  <c r="D34" i="3"/>
  <c r="E62" i="3"/>
  <c r="C55" i="3"/>
  <c r="F42" i="3"/>
  <c r="F71" i="3"/>
  <c r="F51" i="3"/>
  <c r="G41" i="3"/>
  <c r="F62" i="3"/>
  <c r="H73" i="3"/>
  <c r="H78" i="3"/>
  <c r="D46" i="3"/>
  <c r="D61" i="3"/>
  <c r="C82" i="3"/>
  <c r="C78" i="3"/>
  <c r="L74" i="3"/>
  <c r="N58" i="3"/>
  <c r="N42" i="3"/>
  <c r="I32" i="3"/>
  <c r="I71" i="3"/>
  <c r="I57" i="3"/>
  <c r="M45" i="3"/>
  <c r="L80" i="3"/>
  <c r="J56" i="3"/>
  <c r="P81" i="3"/>
  <c r="L51" i="3"/>
  <c r="J68" i="3"/>
  <c r="M63" i="3"/>
  <c r="L72" i="3"/>
  <c r="M58" i="3"/>
  <c r="M46" i="3"/>
  <c r="M34" i="3"/>
  <c r="N73" i="3"/>
  <c r="I59" i="3"/>
  <c r="K39" i="3"/>
  <c r="O80" i="3"/>
  <c r="K54" i="3"/>
  <c r="K32" i="3"/>
  <c r="P51" i="3"/>
  <c r="K72" i="3"/>
  <c r="L40" i="3"/>
  <c r="I47" i="3"/>
  <c r="P82" i="3"/>
  <c r="O58" i="3"/>
  <c r="J32" i="3"/>
  <c r="L67" i="3"/>
  <c r="I45" i="3"/>
  <c r="P31" i="3"/>
  <c r="L81" i="3"/>
  <c r="O39" i="3"/>
  <c r="D69" i="3"/>
  <c r="H38" i="3"/>
  <c r="H75" i="3"/>
  <c r="E59" i="3"/>
  <c r="C46" i="3"/>
  <c r="C68" i="3"/>
  <c r="H44" i="3"/>
  <c r="D81" i="3"/>
  <c r="D51" i="3"/>
  <c r="E74" i="3"/>
  <c r="E35" i="3"/>
  <c r="H33" i="3"/>
  <c r="H48" i="3"/>
  <c r="D55" i="3"/>
  <c r="F41" i="3"/>
  <c r="H42" i="3"/>
  <c r="C37" i="3"/>
  <c r="G73" i="3"/>
  <c r="G65" i="3"/>
  <c r="C54" i="3"/>
  <c r="F54" i="3"/>
  <c r="G63" i="3"/>
  <c r="D41" i="3"/>
  <c r="F43" i="3"/>
  <c r="G77" i="3"/>
  <c r="E60" i="3"/>
  <c r="F81" i="3"/>
  <c r="F46" i="3"/>
  <c r="D59" i="3"/>
  <c r="E82" i="3"/>
  <c r="E75" i="3"/>
  <c r="E67" i="3"/>
  <c r="E61" i="3"/>
  <c r="E49" i="3"/>
  <c r="E36" i="3"/>
  <c r="C51" i="3"/>
  <c r="D52" i="3"/>
  <c r="D60" i="3"/>
  <c r="F79" i="3"/>
  <c r="F76" i="3"/>
  <c r="G71" i="3"/>
  <c r="D62" i="3"/>
  <c r="F55" i="3"/>
  <c r="F50" i="3"/>
  <c r="F34" i="3"/>
  <c r="G45" i="3"/>
  <c r="E39" i="3"/>
  <c r="H82" i="3"/>
  <c r="G40" i="3"/>
  <c r="F52" i="3"/>
  <c r="D66" i="3"/>
  <c r="D36" i="3"/>
  <c r="H57" i="3"/>
  <c r="C39" i="3"/>
  <c r="C63" i="3"/>
  <c r="H67" i="3"/>
  <c r="F77" i="3"/>
  <c r="E46" i="3"/>
  <c r="G36" i="3"/>
  <c r="D58" i="3"/>
  <c r="D68" i="3"/>
  <c r="F35" i="3"/>
  <c r="F48" i="3"/>
  <c r="C70" i="3"/>
  <c r="G47" i="3"/>
  <c r="E41" i="3"/>
  <c r="D42" i="3"/>
  <c r="C56" i="3"/>
  <c r="G55" i="3"/>
  <c r="C69" i="3"/>
  <c r="J82" i="3"/>
  <c r="K78" i="3"/>
  <c r="M72" i="3"/>
  <c r="L66" i="3"/>
  <c r="K62" i="3"/>
  <c r="J58" i="3"/>
  <c r="I54" i="3"/>
  <c r="K50" i="3"/>
  <c r="I46" i="3"/>
  <c r="I42" i="3"/>
  <c r="L38" i="3"/>
  <c r="I34" i="3"/>
  <c r="N81" i="3"/>
  <c r="P77" i="3"/>
  <c r="O73" i="3"/>
  <c r="O67" i="3"/>
  <c r="P63" i="3"/>
  <c r="N59" i="3"/>
  <c r="P55" i="3"/>
  <c r="O51" i="3"/>
  <c r="P47" i="3"/>
  <c r="P43" i="3"/>
  <c r="P39" i="3"/>
  <c r="P35" i="3"/>
  <c r="O31" i="3"/>
  <c r="L78" i="3"/>
  <c r="O70" i="3"/>
  <c r="I62" i="3"/>
  <c r="O54" i="3"/>
  <c r="N44" i="3"/>
  <c r="O36" i="3"/>
  <c r="I79" i="3"/>
  <c r="I67" i="3"/>
  <c r="P59" i="3"/>
  <c r="O49" i="3"/>
  <c r="N37" i="3"/>
  <c r="J76" i="3"/>
  <c r="J66" i="3"/>
  <c r="P50" i="3"/>
  <c r="P40" i="3"/>
  <c r="P61" i="3"/>
  <c r="M82" i="3"/>
  <c r="O74" i="3"/>
  <c r="M70" i="3"/>
  <c r="M66" i="3"/>
  <c r="J62" i="3"/>
  <c r="I58" i="3"/>
  <c r="L54" i="3"/>
  <c r="J50" i="3"/>
  <c r="J46" i="3"/>
  <c r="J42" i="3"/>
  <c r="K38" i="3"/>
  <c r="J34" i="3"/>
  <c r="M81" i="3"/>
  <c r="K77" i="3"/>
  <c r="J73" i="3"/>
  <c r="J67" i="3"/>
  <c r="M61" i="3"/>
  <c r="P57" i="3"/>
  <c r="L53" i="3"/>
  <c r="N49" i="3"/>
  <c r="N45" i="3"/>
  <c r="N41" i="3"/>
  <c r="O37" i="3"/>
  <c r="O33" i="3"/>
  <c r="N31" i="3"/>
  <c r="O78" i="3"/>
  <c r="L70" i="3"/>
  <c r="M62" i="3"/>
  <c r="J52" i="3"/>
  <c r="J44" i="3"/>
  <c r="K36" i="3"/>
  <c r="M79" i="3"/>
  <c r="M67" i="3"/>
  <c r="L59" i="3"/>
  <c r="J49" i="3"/>
  <c r="J35" i="3"/>
  <c r="P78" i="3"/>
  <c r="P70" i="3"/>
  <c r="M56" i="3"/>
  <c r="M48" i="3"/>
  <c r="M38" i="3"/>
  <c r="I63" i="3"/>
  <c r="K51" i="3"/>
  <c r="L45" i="3"/>
  <c r="L37" i="3"/>
  <c r="L31" i="3"/>
  <c r="P80" i="3"/>
  <c r="N64" i="3"/>
  <c r="K58" i="3"/>
  <c r="O34" i="3"/>
  <c r="O81" i="3"/>
  <c r="M77" i="3"/>
  <c r="L73" i="3"/>
  <c r="K65" i="3"/>
  <c r="M53" i="3"/>
  <c r="M43" i="3"/>
  <c r="M35" i="3"/>
  <c r="I82" i="3"/>
  <c r="M69" i="3"/>
  <c r="I73" i="3"/>
  <c r="O45" i="3"/>
  <c r="I66" i="3"/>
  <c r="L69" i="3"/>
  <c r="H35" i="3"/>
  <c r="H46" i="3"/>
  <c r="C74" i="3"/>
  <c r="E31" i="3"/>
  <c r="H55" i="3"/>
  <c r="E79" i="3"/>
  <c r="H59" i="3"/>
  <c r="C73" i="3"/>
  <c r="G67" i="3"/>
  <c r="G76" i="3"/>
  <c r="F31" i="3"/>
  <c r="F53" i="3"/>
  <c r="E70" i="3"/>
  <c r="E38" i="3"/>
  <c r="E80" i="3"/>
  <c r="F65" i="3"/>
  <c r="G46" i="3"/>
  <c r="E42" i="3"/>
  <c r="D47" i="3"/>
  <c r="C81" i="3"/>
  <c r="F56" i="3"/>
  <c r="E64" i="3"/>
  <c r="E72" i="3"/>
  <c r="F44" i="3"/>
  <c r="G70" i="3"/>
  <c r="N78" i="3"/>
  <c r="O62" i="3"/>
  <c r="O50" i="3"/>
  <c r="N34" i="3"/>
  <c r="I75" i="3"/>
  <c r="K61" i="3"/>
  <c r="L49" i="3"/>
  <c r="M37" i="3"/>
  <c r="P72" i="3"/>
  <c r="L46" i="3"/>
  <c r="K71" i="3"/>
  <c r="J39" i="3"/>
  <c r="M52" i="3"/>
  <c r="K69" i="3"/>
  <c r="N62" i="3"/>
  <c r="N50" i="3"/>
  <c r="O38" i="3"/>
  <c r="O77" i="3"/>
  <c r="K63" i="3"/>
  <c r="I51" i="3"/>
  <c r="K43" i="3"/>
  <c r="K35" i="3"/>
  <c r="J72" i="3"/>
  <c r="P46" i="3"/>
  <c r="M73" i="3"/>
  <c r="J37" i="3"/>
  <c r="J60" i="3"/>
  <c r="P53" i="3"/>
  <c r="I70" i="3"/>
  <c r="O46" i="3"/>
  <c r="L79" i="3"/>
  <c r="J57" i="3"/>
  <c r="I37" i="3"/>
  <c r="I53" i="3"/>
  <c r="O47" i="3"/>
  <c r="J69" i="3"/>
  <c r="H39" i="3"/>
  <c r="C59" i="3"/>
  <c r="C42" i="3"/>
  <c r="C49" i="3"/>
  <c r="H56" i="3"/>
  <c r="C64" i="3"/>
  <c r="G35" i="3"/>
  <c r="C43" i="3"/>
  <c r="C66" i="3"/>
  <c r="H64" i="3"/>
  <c r="H68" i="3"/>
  <c r="D53" i="3"/>
  <c r="E57" i="3"/>
  <c r="H70" i="3"/>
  <c r="C57" i="3"/>
  <c r="H72" i="3"/>
  <c r="H76" i="3"/>
  <c r="H34" i="3"/>
  <c r="D73" i="3"/>
  <c r="D48" i="3"/>
  <c r="E58" i="3"/>
  <c r="C33" i="3"/>
  <c r="G34" i="3"/>
  <c r="H74" i="3"/>
  <c r="D75" i="3"/>
  <c r="F36" i="3"/>
  <c r="C80" i="3"/>
  <c r="H49" i="3"/>
  <c r="F59" i="3"/>
  <c r="E55" i="3"/>
  <c r="D57" i="3"/>
  <c r="G31" i="3"/>
  <c r="E56" i="3"/>
  <c r="C38" i="3"/>
  <c r="F72" i="3"/>
  <c r="G72" i="3"/>
  <c r="G58" i="3"/>
  <c r="F70" i="3"/>
  <c r="F33" i="3"/>
  <c r="D56" i="3"/>
  <c r="E81" i="3"/>
  <c r="E73" i="3"/>
  <c r="E66" i="3"/>
  <c r="E54" i="3"/>
  <c r="E47" i="3"/>
  <c r="E33" i="3"/>
  <c r="G38" i="3"/>
  <c r="E48" i="3"/>
  <c r="H32" i="3"/>
  <c r="G79" i="3"/>
  <c r="F75" i="3"/>
  <c r="G68" i="3"/>
  <c r="G61" i="3"/>
  <c r="D54" i="3"/>
  <c r="F49" i="3"/>
  <c r="D65" i="3"/>
  <c r="G43" i="3"/>
  <c r="E37" i="3"/>
  <c r="G48" i="3"/>
  <c r="E68" i="3"/>
  <c r="G80" i="3"/>
  <c r="D63" i="3"/>
  <c r="H81" i="3"/>
  <c r="H53" i="3"/>
  <c r="C35" i="3"/>
  <c r="C52" i="3"/>
  <c r="H71" i="3"/>
  <c r="G54" i="3"/>
  <c r="G66" i="3"/>
  <c r="C79" i="3"/>
  <c r="F82" i="3"/>
  <c r="F64" i="3"/>
  <c r="F47" i="3"/>
  <c r="G52" i="3"/>
  <c r="H47" i="3"/>
  <c r="D39" i="3"/>
  <c r="F80" i="3"/>
  <c r="G44" i="3"/>
  <c r="D80" i="3"/>
  <c r="G60" i="3"/>
  <c r="E69" i="3"/>
  <c r="N80" i="3"/>
  <c r="N76" i="3"/>
  <c r="N70" i="3"/>
  <c r="L64" i="3"/>
  <c r="M60" i="3"/>
  <c r="P56" i="3"/>
  <c r="P52" i="3"/>
  <c r="P48" i="3"/>
  <c r="P44" i="3"/>
  <c r="O40" i="3"/>
  <c r="M36" i="3"/>
  <c r="I76" i="3"/>
  <c r="J81" i="3"/>
  <c r="L77" i="3"/>
  <c r="K73" i="3"/>
  <c r="K67" i="3"/>
  <c r="L63" i="3"/>
  <c r="J59" i="3"/>
  <c r="L55" i="3"/>
  <c r="J51" i="3"/>
  <c r="L47" i="3"/>
  <c r="L43" i="3"/>
  <c r="L39" i="3"/>
  <c r="L35" i="3"/>
  <c r="K31" i="3"/>
  <c r="O76" i="3"/>
  <c r="O68" i="3"/>
  <c r="O60" i="3"/>
  <c r="N52" i="3"/>
  <c r="P42" i="3"/>
  <c r="P34" i="3"/>
  <c r="J77" i="3"/>
  <c r="N65" i="3"/>
  <c r="K57" i="3"/>
  <c r="J45" i="3"/>
  <c r="N35" i="3"/>
  <c r="K74" i="3"/>
  <c r="N60" i="3"/>
  <c r="K46" i="3"/>
  <c r="J38" i="3"/>
  <c r="K59" i="3"/>
  <c r="M80" i="3"/>
  <c r="M74" i="3"/>
  <c r="P68" i="3"/>
  <c r="P64" i="3"/>
  <c r="P60" i="3"/>
  <c r="O56" i="3"/>
  <c r="O52" i="3"/>
  <c r="O48" i="3"/>
  <c r="O44" i="3"/>
  <c r="N40" i="3"/>
  <c r="P36" i="3"/>
  <c r="I68" i="3"/>
  <c r="N79" i="3"/>
  <c r="P75" i="3"/>
  <c r="P71" i="3"/>
  <c r="L65" i="3"/>
  <c r="J61" i="3"/>
  <c r="N57" i="3"/>
  <c r="J53" i="3"/>
  <c r="K49" i="3"/>
  <c r="K45" i="3"/>
  <c r="K41" i="3"/>
  <c r="K37" i="3"/>
  <c r="K33" i="3"/>
  <c r="J31" i="3"/>
  <c r="L76" i="3"/>
  <c r="K68" i="3"/>
  <c r="K60" i="3"/>
  <c r="M50" i="3"/>
  <c r="L42" i="3"/>
  <c r="L34" i="3"/>
  <c r="N77" i="3"/>
  <c r="P65" i="3"/>
  <c r="O57" i="3"/>
  <c r="J47" i="3"/>
  <c r="N33" i="3"/>
  <c r="P76" i="3"/>
  <c r="N68" i="3"/>
  <c r="N54" i="3"/>
  <c r="M44" i="3"/>
  <c r="N36" i="3"/>
  <c r="O59" i="3"/>
  <c r="I49" i="3"/>
  <c r="I41" i="3"/>
  <c r="I33" i="3"/>
  <c r="G69" i="3"/>
  <c r="J78" i="3"/>
  <c r="P62" i="3"/>
  <c r="I56" i="3"/>
  <c r="K34" i="3"/>
  <c r="K81" i="3"/>
  <c r="N75" i="3"/>
  <c r="N71" i="3"/>
  <c r="N61" i="3"/>
  <c r="N51" i="3"/>
  <c r="I43" i="3"/>
  <c r="I35" i="3"/>
  <c r="I31" i="3"/>
  <c r="N56" i="3"/>
  <c r="O71" i="3"/>
  <c r="J43" i="3"/>
  <c r="I65" i="3"/>
  <c r="P69" i="3"/>
  <c r="O69" i="3"/>
  <c r="T6" i="3" l="1"/>
  <c r="T4" i="3"/>
</calcChain>
</file>

<file path=xl/sharedStrings.xml><?xml version="1.0" encoding="utf-8"?>
<sst xmlns="http://schemas.openxmlformats.org/spreadsheetml/2006/main" count="1844" uniqueCount="186">
  <si>
    <t>LD_HL_PURP_ID  /  Hour of LD_CRTE_TMS</t>
  </si>
  <si>
    <t>5</t>
  </si>
  <si>
    <t>16</t>
  </si>
  <si>
    <t>LD_PRPRTY_ST_CDE</t>
  </si>
  <si>
    <t>4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</si>
  <si>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</si>
  <si>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</si>
  <si>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</si>
  <si>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</si>
  <si>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</si>
  <si>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</si>
  <si>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</si>
  <si>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</si>
  <si>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</si>
  <si>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</si>
  <si>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17</t>
  </si>
  <si>
    <t>18</t>
  </si>
  <si>
    <t>19</t>
  </si>
  <si>
    <t>20</t>
  </si>
  <si>
    <t xml:space="preserve">- </t>
  </si>
  <si>
    <t>AK</t>
  </si>
  <si>
    <t>AL</t>
  </si>
  <si>
    <t>AR</t>
  </si>
  <si>
    <t>AZ</t>
  </si>
  <si>
    <t>CA</t>
  </si>
  <si>
    <t>CO</t>
  </si>
  <si>
    <t>CT</t>
  </si>
  <si>
    <t>DC</t>
  </si>
  <si>
    <t>DE</t>
  </si>
  <si>
    <t>FL</t>
  </si>
  <si>
    <t>GA</t>
  </si>
  <si>
    <t>HI</t>
  </si>
  <si>
    <t>IA</t>
  </si>
  <si>
    <t>ID</t>
  </si>
  <si>
    <t>IL</t>
  </si>
  <si>
    <t>IN</t>
  </si>
  <si>
    <t>KS</t>
  </si>
  <si>
    <t>KY</t>
  </si>
  <si>
    <t>LA</t>
  </si>
  <si>
    <t>MA</t>
  </si>
  <si>
    <t>MD</t>
  </si>
  <si>
    <t>ME</t>
  </si>
  <si>
    <t>MI</t>
  </si>
  <si>
    <t>MN</t>
  </si>
  <si>
    <t>MO</t>
  </si>
  <si>
    <t>MS</t>
  </si>
  <si>
    <t>MT</t>
  </si>
  <si>
    <t>NC</t>
  </si>
  <si>
    <t>ND</t>
  </si>
  <si>
    <t>NE</t>
  </si>
  <si>
    <t>NH</t>
  </si>
  <si>
    <t>NJ</t>
  </si>
  <si>
    <t>NM</t>
  </si>
  <si>
    <t>NV</t>
  </si>
  <si>
    <t>NY</t>
  </si>
  <si>
    <t>OH</t>
  </si>
  <si>
    <t>OK</t>
  </si>
  <si>
    <t>OR</t>
  </si>
  <si>
    <t>PA</t>
  </si>
  <si>
    <t>PR</t>
  </si>
  <si>
    <t>RI</t>
  </si>
  <si>
    <t>SC</t>
  </si>
  <si>
    <t>SD</t>
  </si>
  <si>
    <t>TN</t>
  </si>
  <si>
    <t>TX</t>
  </si>
  <si>
    <t>UT</t>
  </si>
  <si>
    <t>VA</t>
  </si>
  <si>
    <t>VT</t>
  </si>
  <si>
    <t>WA</t>
  </si>
  <si>
    <t>WI</t>
  </si>
  <si>
    <t>WV</t>
  </si>
  <si>
    <t>WY</t>
  </si>
  <si>
    <t>East</t>
  </si>
  <si>
    <t>West</t>
  </si>
  <si>
    <t>State License</t>
  </si>
  <si>
    <t>Team Howard</t>
  </si>
  <si>
    <t>Team Smithers</t>
  </si>
  <si>
    <t>Elite</t>
  </si>
  <si>
    <t>Franchise</t>
  </si>
  <si>
    <t>Market Makers</t>
  </si>
  <si>
    <t>The Commissioners</t>
  </si>
  <si>
    <t>&lt;=</t>
  </si>
  <si>
    <t>&gt;=</t>
  </si>
  <si>
    <t># of agents</t>
  </si>
  <si>
    <t>Total Licenses</t>
  </si>
  <si>
    <t>6am to 7am</t>
  </si>
  <si>
    <t>7 am to 8 am</t>
  </si>
  <si>
    <t>8 am to 9 am</t>
  </si>
  <si>
    <t>9am to 10 am</t>
  </si>
  <si>
    <t>10 am to 11 am</t>
  </si>
  <si>
    <t>11 am to 12 pm</t>
  </si>
  <si>
    <t>12 pm to 1 pm</t>
  </si>
  <si>
    <t>1pm to 2 pm</t>
  </si>
  <si>
    <t>2 pm to 3 pm</t>
  </si>
  <si>
    <t>3 pm to 4 pm</t>
  </si>
  <si>
    <t>4 pm to 5 pm</t>
  </si>
  <si>
    <t>5 pm to 6 pm</t>
  </si>
  <si>
    <t>6 pm to 7 pm</t>
  </si>
  <si>
    <t>0</t>
  </si>
  <si>
    <t>1</t>
  </si>
  <si>
    <t>2</t>
  </si>
  <si>
    <t>3</t>
  </si>
  <si>
    <t>21</t>
  </si>
  <si>
    <t>22</t>
  </si>
  <si>
    <t>23</t>
  </si>
  <si>
    <t>Totals</t>
  </si>
  <si>
    <t>Optimized Matrix</t>
  </si>
  <si>
    <t>Average of leads/license/hr
(minimized value)</t>
  </si>
  <si>
    <t xml:space="preserve">Number of working days </t>
  </si>
  <si>
    <t xml:space="preserve">Hourly Lead Metrics </t>
  </si>
  <si>
    <t xml:space="preserve">Team Metrics </t>
  </si>
  <si>
    <t>Total</t>
  </si>
  <si>
    <t>Time period(in days) for which data is incorporated in the model</t>
  </si>
  <si>
    <t>MOTS(Mathematical Optimization Model for Team Scheduling)</t>
  </si>
  <si>
    <t>Hourly Lead Flow By State</t>
  </si>
  <si>
    <t>Team Agent Totals</t>
  </si>
  <si>
    <t>License Profile By Team</t>
  </si>
  <si>
    <t>Number of Agents</t>
  </si>
  <si>
    <t>Totals Agents/hr</t>
  </si>
  <si>
    <t>Minimization Matrix</t>
  </si>
  <si>
    <t>NA</t>
  </si>
  <si>
    <t>StateCode</t>
  </si>
  <si>
    <t>DailyFrom</t>
  </si>
  <si>
    <t>DailyTill</t>
  </si>
  <si>
    <t>Offset</t>
  </si>
  <si>
    <t>Daily Till(in PST)</t>
  </si>
  <si>
    <t>Daily From(in PST)</t>
  </si>
  <si>
    <t>Lead Volume- FTC Adjusted</t>
  </si>
  <si>
    <t>Lead Volume - Raw Data</t>
  </si>
  <si>
    <t>Lead Volume - Work Shift Adjusted</t>
  </si>
  <si>
    <t>State FTC Hours</t>
  </si>
  <si>
    <t>From - 24 hr format</t>
  </si>
  <si>
    <t>Till - 24 hr format</t>
  </si>
  <si>
    <t>Total Leads/Period</t>
  </si>
  <si>
    <t>Leads/Period/Agent</t>
  </si>
  <si>
    <t>Approx Leads/MB</t>
  </si>
  <si>
    <t>Approx. Leads / MB</t>
  </si>
  <si>
    <t>#leads/MB/Day</t>
  </si>
  <si>
    <t># of Leads/MB/day</t>
  </si>
  <si>
    <t>Avg leads/MB</t>
  </si>
  <si>
    <t>Timeslots with no Coverage</t>
  </si>
  <si>
    <t>License Total By State</t>
  </si>
  <si>
    <t>Total Licenses/Hr</t>
  </si>
  <si>
    <t>12 am to 1 am</t>
  </si>
  <si>
    <t>1 am to 2 am</t>
  </si>
  <si>
    <t>2 am to 3 am</t>
  </si>
  <si>
    <t>3am to 4 am</t>
  </si>
  <si>
    <t>4 am to 5 am</t>
  </si>
  <si>
    <t>5 am to 6 am</t>
  </si>
  <si>
    <t>7pm to 8pm</t>
  </si>
  <si>
    <t>8 pm to 9 pm</t>
  </si>
  <si>
    <t>9 pm to 10 pm</t>
  </si>
  <si>
    <t>10 pm to 11 pm</t>
  </si>
  <si>
    <t>11pm to 12 am</t>
  </si>
  <si>
    <t>Original Lead Flow</t>
  </si>
  <si>
    <t>Floor - Adjusted Lead Flow</t>
  </si>
  <si>
    <t>Total  Agents/hr</t>
  </si>
  <si>
    <t>Total Licenses/hr</t>
  </si>
  <si>
    <t># of teams in Total
(Constraint)</t>
  </si>
  <si>
    <t># of hours/team
(Constraint)</t>
  </si>
  <si>
    <t>Graphing Totals</t>
  </si>
  <si>
    <t>Availability Matrix (NA =&gt; No Coverage)</t>
  </si>
  <si>
    <t>FTC- 8am</t>
  </si>
  <si>
    <t>FTC-9am</t>
  </si>
  <si>
    <t>FTC-10am</t>
  </si>
  <si>
    <t>FTC-11am</t>
  </si>
  <si>
    <t>FTC-12pm</t>
  </si>
  <si>
    <t>FTC-1pm</t>
  </si>
  <si>
    <t>FTC-2pm</t>
  </si>
  <si>
    <t>FTC-3pm</t>
  </si>
  <si>
    <t>FTC-4pm</t>
  </si>
  <si>
    <t>FTC-5pm</t>
  </si>
  <si>
    <t>FTC-6pm</t>
  </si>
  <si>
    <t>FTC-7pm</t>
  </si>
  <si>
    <t>FTC-8pm</t>
  </si>
  <si>
    <t>Duration</t>
  </si>
  <si>
    <t>Lead Volume- FTC &amp; Work Shift Adjusted</t>
  </si>
  <si>
    <t>Distribution of non-FTC leads in FTC hours(local time)</t>
  </si>
  <si>
    <t>7 pm to 8 pm</t>
  </si>
  <si>
    <t>Average</t>
  </si>
  <si>
    <t>Std dev</t>
  </si>
  <si>
    <t>Std Dev</t>
  </si>
  <si>
    <t>Standarized</t>
  </si>
  <si>
    <t>Kurtosis</t>
  </si>
  <si>
    <t>Skewness</t>
  </si>
  <si>
    <t xml:space="preserve">Non- Standardized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</si>
</sst>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F400]h:mm:ss\ AM/PM"/>
    <numFmt numFmtId="165" formatCode="0.0"/>
    <numFmt numFmtId="166" formatCode="0.000"/>
  </numFmts>
  <fonts count="25" x14ac:knownFonts="1">
    <font>
      <sz val="11"/>
      <color theme="1"/>
      <name val="Calibri"/>
      <family val="2"/>
      <scheme val="minor"/>
    </font>
    <font>
      <sz val="8"/>
      <color rgb="FF555555"/>
      <name val="Arial"/>
      <family val="2"/>
    </font>
    <font>
      <sz val="9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Arial"/>
      <family val="2"/>
    </font>
    <font>
      <b/>
      <sz val="11"/>
      <color theme="1"/>
      <name val="Calibri"/>
      <family val="2"/>
      <scheme val="minor"/>
    </font>
    <font>
      <sz val="8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sz val="8"/>
      <color rgb="FF555555"/>
      <name val="Arial"/>
      <family val="2"/>
    </font>
    <font>
      <b/>
      <sz val="9"/>
      <color theme="1"/>
      <name val="Calibri"/>
      <family val="2"/>
      <scheme val="minor"/>
    </font>
    <font>
      <b/>
      <sz val="8"/>
      <color theme="1"/>
      <name val="Arial"/>
      <family val="2"/>
    </font>
    <font>
      <b/>
      <sz val="8"/>
      <name val="Arial"/>
      <family val="2"/>
    </font>
    <font>
      <b/>
      <sz val="11"/>
      <name val="Calibri"/>
      <family val="2"/>
      <scheme val="minor"/>
    </font>
    <font>
      <b/>
      <sz val="9"/>
      <name val="Arial"/>
      <family val="2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555555"/>
      <name val="Arial"/>
      <family val="2"/>
    </font>
    <font>
      <b/>
      <sz val="11"/>
      <name val="Arial"/>
      <family val="2"/>
    </font>
    <font>
      <b/>
      <sz val="11"/>
      <color theme="1"/>
      <name val="Arial"/>
      <family val="2"/>
    </font>
    <font>
      <b/>
      <sz val="8"/>
      <color theme="1"/>
      <name val="Calibri"/>
      <family val="2"/>
      <scheme val="minor"/>
    </font>
    <font>
      <b/>
      <sz val="8"/>
      <name val="Calibri"/>
      <family val="2"/>
      <scheme val="minor"/>
    </font>
    <font>
      <sz val="8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 tint="0.59999389629810485"/>
        <bgColor indexed="64"/>
      </patternFill>
    </fill>
  </fills>
  <borders count="5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</borders>
  <cellStyleXfs count="2">
    <xf numFmtId="0" fontId="0" fillId="0" borderId="0"/>
    <xf numFmtId="9" fontId="18" fillId="0" borderId="0" applyFont="0" applyFill="0" applyBorder="0" applyAlignment="0" applyProtection="0"/>
  </cellStyleXfs>
  <cellXfs count="249">
    <xf numFmtId="0" fontId="0" fillId="0" borderId="0" xfId="0"/>
    <xf numFmtId="0" fontId="0" fillId="0" borderId="0" xfId="0" applyAlignment="1"/>
    <xf numFmtId="0" fontId="0" fillId="0" borderId="0" xfId="0" applyAlignment="1">
      <alignment horizontal="center"/>
    </xf>
    <xf numFmtId="0" fontId="4" fillId="0" borderId="3" xfId="0" quotePrefix="1" applyFont="1" applyBorder="1" applyAlignment="1">
      <alignment horizontal="center" vertical="top"/>
    </xf>
    <xf numFmtId="0" fontId="4" fillId="0" borderId="3" xfId="0" applyFont="1" applyBorder="1" applyAlignment="1">
      <alignment horizontal="center" vertical="center"/>
    </xf>
    <xf numFmtId="0" fontId="6" fillId="0" borderId="0" xfId="0" applyFont="1"/>
    <xf numFmtId="0" fontId="0" fillId="0" borderId="3" xfId="0" applyBorder="1" applyAlignment="1">
      <alignment horizontal="center"/>
    </xf>
    <xf numFmtId="0" fontId="0" fillId="0" borderId="0" xfId="0" applyBorder="1" applyAlignment="1">
      <alignment horizontal="center"/>
    </xf>
    <xf numFmtId="0" fontId="4" fillId="0" borderId="0" xfId="0" applyFont="1" applyBorder="1" applyAlignment="1">
      <alignment horizontal="center" vertical="center"/>
    </xf>
    <xf numFmtId="0" fontId="5" fillId="0" borderId="0" xfId="0" applyFont="1"/>
    <xf numFmtId="0" fontId="8" fillId="0" borderId="3" xfId="0" quotePrefix="1" applyFont="1" applyBorder="1" applyAlignment="1">
      <alignment horizontal="center"/>
    </xf>
    <xf numFmtId="0" fontId="1" fillId="0" borderId="3" xfId="0" quotePrefix="1" applyFont="1" applyBorder="1" applyAlignment="1">
      <alignment horizontal="center"/>
    </xf>
    <xf numFmtId="0" fontId="5" fillId="0" borderId="3" xfId="0" applyFont="1" applyBorder="1"/>
    <xf numFmtId="0" fontId="0" fillId="0" borderId="0" xfId="0" applyAlignment="1">
      <alignment textRotation="90"/>
    </xf>
    <xf numFmtId="0" fontId="4" fillId="0" borderId="3" xfId="0" quotePrefix="1" applyFont="1" applyBorder="1" applyAlignment="1">
      <alignment horizontal="center" textRotation="90"/>
    </xf>
    <xf numFmtId="0" fontId="4" fillId="0" borderId="0" xfId="0" quotePrefix="1" applyFont="1" applyBorder="1" applyAlignment="1">
      <alignment horizontal="center" textRotation="90"/>
    </xf>
    <xf numFmtId="0" fontId="6" fillId="0" borderId="0" xfId="0" applyFont="1" applyBorder="1" applyAlignment="1">
      <alignment horizontal="center"/>
    </xf>
    <xf numFmtId="0" fontId="11" fillId="0" borderId="3" xfId="0" quotePrefix="1" applyFont="1" applyBorder="1" applyAlignment="1">
      <alignment horizontal="center" textRotation="90"/>
    </xf>
    <xf numFmtId="0" fontId="2" fillId="0" borderId="0" xfId="0" applyFont="1" applyBorder="1" applyAlignment="1">
      <alignment horizontal="center"/>
    </xf>
    <xf numFmtId="0" fontId="0" fillId="0" borderId="3" xfId="0" applyFill="1" applyBorder="1" applyAlignment="1">
      <alignment horizontal="center"/>
    </xf>
    <xf numFmtId="1" fontId="0" fillId="0" borderId="3" xfId="0" applyNumberFormat="1" applyBorder="1" applyAlignment="1">
      <alignment horizontal="center"/>
    </xf>
    <xf numFmtId="0" fontId="7" fillId="0" borderId="0" xfId="0" applyFont="1" applyAlignment="1">
      <alignment horizontal="center"/>
    </xf>
    <xf numFmtId="0" fontId="0" fillId="0" borderId="0" xfId="0" applyFill="1" applyBorder="1" applyAlignment="1">
      <alignment horizontal="center"/>
    </xf>
    <xf numFmtId="0" fontId="10" fillId="0" borderId="3" xfId="0" applyFont="1" applyBorder="1" applyAlignment="1">
      <alignment horizontal="center" textRotation="90"/>
    </xf>
    <xf numFmtId="0" fontId="5" fillId="0" borderId="3" xfId="0" applyFont="1" applyBorder="1" applyAlignment="1">
      <alignment horizontal="center" vertical="center"/>
    </xf>
    <xf numFmtId="0" fontId="0" fillId="3" borderId="3" xfId="0" applyFill="1" applyBorder="1" applyAlignment="1">
      <alignment horizontal="center"/>
    </xf>
    <xf numFmtId="0" fontId="0" fillId="0" borderId="10" xfId="0" applyBorder="1"/>
    <xf numFmtId="0" fontId="0" fillId="0" borderId="13" xfId="0" applyBorder="1"/>
    <xf numFmtId="0" fontId="10" fillId="0" borderId="15" xfId="0" applyFont="1" applyBorder="1" applyAlignment="1">
      <alignment horizontal="center" vertical="center"/>
    </xf>
    <xf numFmtId="0" fontId="13" fillId="0" borderId="3" xfId="0" quotePrefix="1" applyFont="1" applyBorder="1" applyAlignment="1">
      <alignment horizontal="left" vertical="top"/>
    </xf>
    <xf numFmtId="0" fontId="4" fillId="0" borderId="0" xfId="0" applyFont="1" applyAlignment="1">
      <alignment horizontal="center" vertical="center"/>
    </xf>
    <xf numFmtId="0" fontId="11" fillId="0" borderId="4" xfId="0" quotePrefix="1" applyFont="1" applyBorder="1" applyAlignment="1">
      <alignment horizontal="center" textRotation="90"/>
    </xf>
    <xf numFmtId="1" fontId="0" fillId="0" borderId="0" xfId="0" applyNumberFormat="1"/>
    <xf numFmtId="0" fontId="0" fillId="0" borderId="3" xfId="0" applyFont="1" applyFill="1" applyBorder="1" applyAlignment="1">
      <alignment horizontal="center"/>
    </xf>
    <xf numFmtId="0" fontId="0" fillId="0" borderId="4" xfId="0" applyFont="1" applyFill="1" applyBorder="1" applyAlignment="1">
      <alignment horizontal="center"/>
    </xf>
    <xf numFmtId="1" fontId="5" fillId="0" borderId="4" xfId="0" applyNumberFormat="1" applyFont="1" applyFill="1" applyBorder="1" applyAlignment="1">
      <alignment horizontal="center"/>
    </xf>
    <xf numFmtId="1" fontId="0" fillId="2" borderId="23" xfId="0" applyNumberFormat="1" applyFill="1" applyBorder="1" applyAlignment="1">
      <alignment horizontal="center"/>
    </xf>
    <xf numFmtId="0" fontId="0" fillId="0" borderId="0" xfId="0" applyAlignment="1"/>
    <xf numFmtId="0" fontId="3" fillId="0" borderId="3" xfId="0" applyFont="1" applyBorder="1" applyAlignment="1">
      <alignment horizontal="center"/>
    </xf>
    <xf numFmtId="0" fontId="14" fillId="0" borderId="0" xfId="0" applyFont="1"/>
    <xf numFmtId="0" fontId="0" fillId="0" borderId="3" xfId="0" applyBorder="1"/>
    <xf numFmtId="0" fontId="1" fillId="0" borderId="3" xfId="0" quotePrefix="1" applyFont="1" applyBorder="1" applyAlignment="1">
      <alignment horizontal="center"/>
    </xf>
    <xf numFmtId="0" fontId="1" fillId="0" borderId="3" xfId="0" quotePrefix="1" applyFont="1" applyBorder="1" applyAlignment="1">
      <alignment horizontal="left"/>
    </xf>
    <xf numFmtId="0" fontId="1" fillId="0" borderId="3" xfId="0" quotePrefix="1" applyFont="1" applyBorder="1" applyAlignment="1">
      <alignment horizontal="left" vertical="top"/>
    </xf>
    <xf numFmtId="0" fontId="8" fillId="0" borderId="3" xfId="0" quotePrefix="1" applyFont="1" applyBorder="1" applyAlignment="1">
      <alignment horizontal="center" textRotation="90"/>
    </xf>
    <xf numFmtId="0" fontId="1" fillId="0" borderId="3" xfId="0" quotePrefix="1" applyFont="1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0" fillId="0" borderId="1" xfId="0" applyFont="1" applyBorder="1"/>
    <xf numFmtId="0" fontId="6" fillId="0" borderId="1" xfId="0" applyFont="1" applyBorder="1" applyAlignment="1">
      <alignment horizontal="center"/>
    </xf>
    <xf numFmtId="0" fontId="10" fillId="2" borderId="27" xfId="0" applyFont="1" applyFill="1" applyBorder="1"/>
    <xf numFmtId="1" fontId="10" fillId="2" borderId="28" xfId="0" applyNumberFormat="1" applyFont="1" applyFill="1" applyBorder="1" applyAlignment="1">
      <alignment horizontal="center"/>
    </xf>
    <xf numFmtId="0" fontId="10" fillId="0" borderId="11" xfId="0" applyFont="1" applyBorder="1" applyAlignment="1">
      <alignment horizontal="center" textRotation="90"/>
    </xf>
    <xf numFmtId="0" fontId="10" fillId="0" borderId="12" xfId="0" applyFont="1" applyBorder="1" applyAlignment="1">
      <alignment horizontal="center" textRotation="90"/>
    </xf>
    <xf numFmtId="0" fontId="6" fillId="0" borderId="17" xfId="0" applyFont="1" applyBorder="1" applyAlignment="1">
      <alignment horizontal="center"/>
    </xf>
    <xf numFmtId="0" fontId="6" fillId="0" borderId="18" xfId="0" applyFont="1" applyBorder="1" applyAlignment="1">
      <alignment horizontal="center"/>
    </xf>
    <xf numFmtId="0" fontId="11" fillId="0" borderId="15" xfId="0" quotePrefix="1" applyFont="1" applyBorder="1" applyAlignment="1">
      <alignment horizontal="center" vertical="top"/>
    </xf>
    <xf numFmtId="0" fontId="4" fillId="0" borderId="14" xfId="0" applyFont="1" applyBorder="1" applyAlignment="1">
      <alignment horizontal="center" vertical="center"/>
    </xf>
    <xf numFmtId="0" fontId="11" fillId="0" borderId="16" xfId="0" quotePrefix="1" applyFont="1" applyBorder="1" applyAlignment="1">
      <alignment horizontal="center" vertical="top"/>
    </xf>
    <xf numFmtId="0" fontId="4" fillId="0" borderId="17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 textRotation="90"/>
    </xf>
    <xf numFmtId="0" fontId="11" fillId="0" borderId="36" xfId="0" quotePrefix="1" applyFont="1" applyBorder="1" applyAlignment="1">
      <alignment horizontal="center" textRotation="90"/>
    </xf>
    <xf numFmtId="0" fontId="11" fillId="0" borderId="2" xfId="0" quotePrefix="1" applyFont="1" applyBorder="1" applyAlignment="1">
      <alignment horizontal="center" textRotation="90"/>
    </xf>
    <xf numFmtId="0" fontId="12" fillId="0" borderId="16" xfId="0" applyFont="1" applyBorder="1" applyAlignment="1">
      <alignment horizontal="center" vertical="center"/>
    </xf>
    <xf numFmtId="0" fontId="15" fillId="0" borderId="4" xfId="0" applyFont="1" applyBorder="1" applyAlignment="1">
      <alignment horizontal="center" vertical="center"/>
    </xf>
    <xf numFmtId="0" fontId="15" fillId="0" borderId="6" xfId="0" applyFont="1" applyBorder="1" applyAlignment="1">
      <alignment horizontal="center" vertical="center"/>
    </xf>
    <xf numFmtId="0" fontId="3" fillId="0" borderId="0" xfId="0" applyFont="1" applyBorder="1" applyAlignment="1">
      <alignment horizontal="center"/>
    </xf>
    <xf numFmtId="0" fontId="0" fillId="0" borderId="0" xfId="0" applyBorder="1" applyAlignment="1">
      <alignment horizontal="center" vertical="center"/>
    </xf>
    <xf numFmtId="0" fontId="5" fillId="0" borderId="0" xfId="0" applyFont="1" applyAlignment="1">
      <alignment vertical="center"/>
    </xf>
    <xf numFmtId="1" fontId="4" fillId="0" borderId="3" xfId="0" quotePrefix="1" applyNumberFormat="1" applyFont="1" applyBorder="1" applyAlignment="1">
      <alignment horizontal="center" vertical="center"/>
    </xf>
    <xf numFmtId="1" fontId="0" fillId="0" borderId="28" xfId="0" applyNumberFormat="1" applyFill="1" applyBorder="1" applyAlignment="1">
      <alignment horizontal="center"/>
    </xf>
    <xf numFmtId="1" fontId="0" fillId="0" borderId="23" xfId="0" applyNumberFormat="1" applyBorder="1" applyAlignment="1">
      <alignment horizontal="center"/>
    </xf>
    <xf numFmtId="0" fontId="5" fillId="5" borderId="3" xfId="0" applyFont="1" applyFill="1" applyBorder="1" applyAlignment="1">
      <alignment horizontal="center" vertical="center"/>
    </xf>
    <xf numFmtId="0" fontId="11" fillId="0" borderId="25" xfId="0" applyFont="1" applyBorder="1"/>
    <xf numFmtId="0" fontId="11" fillId="0" borderId="15" xfId="0" quotePrefix="1" applyFont="1" applyBorder="1" applyAlignment="1">
      <alignment horizontal="left" vertical="top"/>
    </xf>
    <xf numFmtId="0" fontId="11" fillId="0" borderId="16" xfId="0" applyFont="1" applyBorder="1"/>
    <xf numFmtId="0" fontId="11" fillId="0" borderId="0" xfId="0" applyFont="1"/>
    <xf numFmtId="0" fontId="0" fillId="0" borderId="0" xfId="0" applyAlignment="1">
      <alignment vertical="center"/>
    </xf>
    <xf numFmtId="0" fontId="5" fillId="0" borderId="3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164" fontId="0" fillId="0" borderId="0" xfId="0" applyNumberFormat="1"/>
    <xf numFmtId="0" fontId="11" fillId="0" borderId="1" xfId="0" applyFont="1" applyFill="1" applyBorder="1" applyAlignment="1">
      <alignment horizontal="center" textRotation="90"/>
    </xf>
    <xf numFmtId="0" fontId="11" fillId="0" borderId="2" xfId="0" applyFont="1" applyFill="1" applyBorder="1" applyAlignment="1">
      <alignment horizontal="center" textRotation="90"/>
    </xf>
    <xf numFmtId="0" fontId="10" fillId="0" borderId="3" xfId="0" applyFont="1" applyFill="1" applyBorder="1" applyAlignment="1">
      <alignment horizontal="center" textRotation="90"/>
    </xf>
    <xf numFmtId="164" fontId="0" fillId="0" borderId="3" xfId="0" applyNumberFormat="1" applyBorder="1"/>
    <xf numFmtId="0" fontId="1" fillId="0" borderId="19" xfId="0" applyFont="1" applyFill="1" applyBorder="1" applyAlignment="1">
      <alignment horizontal="center" vertical="center"/>
    </xf>
    <xf numFmtId="0" fontId="8" fillId="0" borderId="3" xfId="0" quotePrefix="1" applyFont="1" applyBorder="1" applyAlignment="1">
      <alignment horizontal="center" vertical="center" textRotation="90"/>
    </xf>
    <xf numFmtId="0" fontId="6" fillId="0" borderId="3" xfId="0" applyFont="1" applyBorder="1" applyAlignment="1">
      <alignment horizontal="center" vertical="center"/>
    </xf>
    <xf numFmtId="164" fontId="6" fillId="0" borderId="3" xfId="0" applyNumberFormat="1" applyFont="1" applyBorder="1" applyAlignment="1">
      <alignment horizontal="center" vertical="center"/>
    </xf>
    <xf numFmtId="0" fontId="6" fillId="0" borderId="3" xfId="0" applyNumberFormat="1" applyFont="1" applyBorder="1" applyAlignment="1">
      <alignment horizontal="center" vertical="center"/>
    </xf>
    <xf numFmtId="1" fontId="6" fillId="0" borderId="3" xfId="0" applyNumberFormat="1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1" fontId="0" fillId="0" borderId="26" xfId="0" applyNumberFormat="1" applyBorder="1" applyAlignment="1">
      <alignment horizontal="center"/>
    </xf>
    <xf numFmtId="1" fontId="4" fillId="0" borderId="3" xfId="0" applyNumberFormat="1" applyFont="1" applyBorder="1" applyAlignment="1">
      <alignment horizontal="center" vertical="center"/>
    </xf>
    <xf numFmtId="165" fontId="5" fillId="0" borderId="0" xfId="0" applyNumberFormat="1" applyFont="1"/>
    <xf numFmtId="0" fontId="11" fillId="0" borderId="7" xfId="0" quotePrefix="1" applyFont="1" applyBorder="1" applyAlignment="1">
      <alignment horizontal="center" textRotation="90"/>
    </xf>
    <xf numFmtId="0" fontId="4" fillId="0" borderId="4" xfId="0" applyFont="1" applyBorder="1" applyAlignment="1">
      <alignment horizontal="center" vertical="center"/>
    </xf>
    <xf numFmtId="0" fontId="4" fillId="0" borderId="39" xfId="0" applyFont="1" applyBorder="1" applyAlignment="1">
      <alignment horizontal="center" vertical="center"/>
    </xf>
    <xf numFmtId="1" fontId="0" fillId="0" borderId="23" xfId="0" applyNumberFormat="1" applyFill="1" applyBorder="1" applyAlignment="1">
      <alignment horizontal="center"/>
    </xf>
    <xf numFmtId="0" fontId="22" fillId="0" borderId="27" xfId="0" applyFont="1" applyBorder="1" applyAlignment="1">
      <alignment horizontal="center"/>
    </xf>
    <xf numFmtId="0" fontId="0" fillId="0" borderId="13" xfId="0" applyFont="1" applyBorder="1"/>
    <xf numFmtId="0" fontId="22" fillId="0" borderId="15" xfId="0" applyFont="1" applyBorder="1" applyAlignment="1">
      <alignment horizontal="center" vertical="center"/>
    </xf>
    <xf numFmtId="0" fontId="22" fillId="0" borderId="37" xfId="0" applyFont="1" applyBorder="1" applyAlignment="1">
      <alignment horizontal="center" vertical="center"/>
    </xf>
    <xf numFmtId="0" fontId="23" fillId="0" borderId="3" xfId="0" quotePrefix="1" applyFont="1" applyBorder="1" applyAlignment="1">
      <alignment horizontal="center" textRotation="90"/>
    </xf>
    <xf numFmtId="0" fontId="24" fillId="0" borderId="0" xfId="0" applyFont="1" applyAlignment="1">
      <alignment horizontal="center"/>
    </xf>
    <xf numFmtId="0" fontId="23" fillId="0" borderId="3" xfId="0" applyFont="1" applyBorder="1"/>
    <xf numFmtId="0" fontId="22" fillId="0" borderId="3" xfId="0" applyFont="1" applyBorder="1" applyAlignment="1">
      <alignment horizontal="center" textRotation="90"/>
    </xf>
    <xf numFmtId="0" fontId="24" fillId="0" borderId="0" xfId="0" applyFont="1"/>
    <xf numFmtId="0" fontId="11" fillId="0" borderId="0" xfId="0" applyFont="1" applyFill="1" applyBorder="1" applyAlignment="1">
      <alignment horizontal="center" textRotation="90"/>
    </xf>
    <xf numFmtId="1" fontId="0" fillId="0" borderId="0" xfId="0" applyNumberFormat="1" applyFill="1" applyBorder="1" applyAlignment="1">
      <alignment horizontal="center"/>
    </xf>
    <xf numFmtId="0" fontId="5" fillId="0" borderId="3" xfId="0" applyFont="1" applyBorder="1" applyAlignment="1">
      <alignment textRotation="90"/>
    </xf>
    <xf numFmtId="0" fontId="6" fillId="0" borderId="3" xfId="0" applyFont="1" applyBorder="1"/>
    <xf numFmtId="0" fontId="10" fillId="0" borderId="3" xfId="0" applyFont="1" applyBorder="1" applyAlignment="1">
      <alignment horizontal="right"/>
    </xf>
    <xf numFmtId="0" fontId="4" fillId="0" borderId="33" xfId="0" applyFont="1" applyBorder="1" applyAlignment="1">
      <alignment horizontal="center" vertical="center"/>
    </xf>
    <xf numFmtId="1" fontId="17" fillId="0" borderId="46" xfId="0" applyNumberFormat="1" applyFont="1" applyBorder="1"/>
    <xf numFmtId="1" fontId="7" fillId="0" borderId="47" xfId="0" applyNumberFormat="1" applyFont="1" applyBorder="1" applyAlignment="1">
      <alignment horizontal="center"/>
    </xf>
    <xf numFmtId="0" fontId="17" fillId="0" borderId="46" xfId="0" applyFont="1" applyBorder="1" applyAlignment="1">
      <alignment vertical="center" wrapText="1"/>
    </xf>
    <xf numFmtId="0" fontId="7" fillId="4" borderId="47" xfId="0" applyFont="1" applyFill="1" applyBorder="1" applyAlignment="1">
      <alignment horizontal="center" vertical="center"/>
    </xf>
    <xf numFmtId="0" fontId="2" fillId="0" borderId="36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40" xfId="0" applyFont="1" applyBorder="1" applyAlignment="1">
      <alignment horizontal="center" vertical="center"/>
    </xf>
    <xf numFmtId="0" fontId="14" fillId="0" borderId="46" xfId="0" applyFont="1" applyBorder="1"/>
    <xf numFmtId="0" fontId="0" fillId="0" borderId="48" xfId="0" applyBorder="1"/>
    <xf numFmtId="0" fontId="5" fillId="0" borderId="3" xfId="0" applyFont="1" applyBorder="1" applyAlignment="1">
      <alignment horizontal="center" vertical="center"/>
    </xf>
    <xf numFmtId="1" fontId="1" fillId="0" borderId="3" xfId="0" quotePrefix="1" applyNumberFormat="1" applyFont="1" applyBorder="1" applyAlignment="1">
      <alignment horizontal="center" wrapText="1"/>
    </xf>
    <xf numFmtId="0" fontId="1" fillId="0" borderId="0" xfId="0" applyFont="1" applyFill="1" applyBorder="1" applyAlignment="1">
      <alignment horizontal="center" vertical="center"/>
    </xf>
    <xf numFmtId="0" fontId="20" fillId="0" borderId="4" xfId="0" applyFont="1" applyBorder="1" applyAlignment="1"/>
    <xf numFmtId="0" fontId="20" fillId="0" borderId="5" xfId="0" applyFont="1" applyBorder="1" applyAlignment="1"/>
    <xf numFmtId="0" fontId="20" fillId="0" borderId="6" xfId="0" applyFont="1" applyBorder="1" applyAlignment="1"/>
    <xf numFmtId="0" fontId="20" fillId="0" borderId="4" xfId="0" applyFont="1" applyBorder="1" applyAlignment="1">
      <alignment horizontal="center"/>
    </xf>
    <xf numFmtId="0" fontId="9" fillId="0" borderId="34" xfId="0" applyFont="1" applyBorder="1" applyAlignment="1">
      <alignment horizontal="center" vertical="center"/>
    </xf>
    <xf numFmtId="0" fontId="9" fillId="0" borderId="43" xfId="0" applyFont="1" applyBorder="1" applyAlignment="1">
      <alignment horizontal="center" vertical="center"/>
    </xf>
    <xf numFmtId="0" fontId="9" fillId="0" borderId="49" xfId="0" applyFont="1" applyBorder="1" applyAlignment="1">
      <alignment horizontal="center" vertical="center"/>
    </xf>
    <xf numFmtId="0" fontId="11" fillId="0" borderId="20" xfId="0" applyFont="1" applyBorder="1" applyAlignment="1">
      <alignment horizontal="center" vertical="center" textRotation="90"/>
    </xf>
    <xf numFmtId="1" fontId="4" fillId="0" borderId="4" xfId="0" quotePrefix="1" applyNumberFormat="1" applyFont="1" applyBorder="1" applyAlignment="1">
      <alignment horizontal="center" vertical="center"/>
    </xf>
    <xf numFmtId="0" fontId="11" fillId="0" borderId="45" xfId="0" applyFont="1" applyBorder="1" applyAlignment="1">
      <alignment horizontal="center" vertical="center" textRotation="90"/>
    </xf>
    <xf numFmtId="1" fontId="4" fillId="0" borderId="50" xfId="0" quotePrefix="1" applyNumberFormat="1" applyFont="1" applyBorder="1" applyAlignment="1">
      <alignment horizontal="center" vertical="center"/>
    </xf>
    <xf numFmtId="9" fontId="9" fillId="0" borderId="18" xfId="1" applyFont="1" applyBorder="1" applyAlignment="1">
      <alignment horizontal="center" vertical="center"/>
    </xf>
    <xf numFmtId="1" fontId="0" fillId="0" borderId="21" xfId="0" applyNumberFormat="1" applyBorder="1" applyAlignment="1">
      <alignment horizontal="center"/>
    </xf>
    <xf numFmtId="1" fontId="0" fillId="0" borderId="51" xfId="0" applyNumberFormat="1" applyBorder="1" applyAlignment="1">
      <alignment horizontal="center"/>
    </xf>
    <xf numFmtId="1" fontId="0" fillId="0" borderId="52" xfId="0" applyNumberFormat="1" applyFill="1" applyBorder="1" applyAlignment="1">
      <alignment horizontal="center"/>
    </xf>
    <xf numFmtId="0" fontId="0" fillId="0" borderId="10" xfId="0" applyFont="1" applyBorder="1"/>
    <xf numFmtId="0" fontId="23" fillId="0" borderId="14" xfId="0" quotePrefix="1" applyFont="1" applyBorder="1" applyAlignment="1">
      <alignment horizontal="center" textRotation="90"/>
    </xf>
    <xf numFmtId="0" fontId="0" fillId="3" borderId="14" xfId="0" applyFill="1" applyBorder="1" applyAlignment="1">
      <alignment horizontal="center"/>
    </xf>
    <xf numFmtId="0" fontId="0" fillId="0" borderId="14" xfId="0" applyFill="1" applyBorder="1" applyAlignment="1">
      <alignment horizontal="center"/>
    </xf>
    <xf numFmtId="0" fontId="22" fillId="0" borderId="16" xfId="0" applyFont="1" applyBorder="1" applyAlignment="1">
      <alignment horizontal="center" vertical="center"/>
    </xf>
    <xf numFmtId="0" fontId="0" fillId="3" borderId="17" xfId="0" applyFill="1" applyBorder="1" applyAlignment="1">
      <alignment horizontal="center"/>
    </xf>
    <xf numFmtId="0" fontId="0" fillId="0" borderId="17" xfId="0" applyFill="1" applyBorder="1" applyAlignment="1">
      <alignment horizontal="center"/>
    </xf>
    <xf numFmtId="0" fontId="0" fillId="0" borderId="18" xfId="0" applyFill="1" applyBorder="1" applyAlignment="1">
      <alignment horizontal="center"/>
    </xf>
    <xf numFmtId="0" fontId="0" fillId="0" borderId="3" xfId="0" applyBorder="1" applyAlignment="1">
      <alignment horizontal="center" vertical="center"/>
    </xf>
    <xf numFmtId="0" fontId="15" fillId="2" borderId="26" xfId="0" applyFont="1" applyFill="1" applyBorder="1" applyAlignment="1">
      <alignment horizontal="center"/>
    </xf>
    <xf numFmtId="9" fontId="9" fillId="2" borderId="16" xfId="1" applyFont="1" applyFill="1" applyBorder="1" applyAlignment="1">
      <alignment horizontal="center" vertical="center"/>
    </xf>
    <xf numFmtId="9" fontId="9" fillId="2" borderId="17" xfId="1" applyFont="1" applyFill="1" applyBorder="1" applyAlignment="1">
      <alignment horizontal="center" vertical="center"/>
    </xf>
    <xf numFmtId="9" fontId="9" fillId="2" borderId="39" xfId="1" applyFont="1" applyFill="1" applyBorder="1" applyAlignment="1">
      <alignment horizontal="center" vertical="center"/>
    </xf>
    <xf numFmtId="0" fontId="2" fillId="0" borderId="3" xfId="0" applyFont="1" applyBorder="1"/>
    <xf numFmtId="0" fontId="2" fillId="0" borderId="0" xfId="0" applyFont="1"/>
    <xf numFmtId="0" fontId="9" fillId="0" borderId="3" xfId="0" applyFont="1" applyBorder="1"/>
    <xf numFmtId="0" fontId="9" fillId="0" borderId="15" xfId="0" applyFont="1" applyBorder="1"/>
    <xf numFmtId="0" fontId="2" fillId="0" borderId="14" xfId="0" applyFont="1" applyBorder="1"/>
    <xf numFmtId="0" fontId="2" fillId="0" borderId="13" xfId="0" applyFont="1" applyBorder="1"/>
    <xf numFmtId="0" fontId="2" fillId="0" borderId="0" xfId="0" applyFont="1" applyBorder="1"/>
    <xf numFmtId="0" fontId="2" fillId="0" borderId="53" xfId="0" applyFont="1" applyBorder="1"/>
    <xf numFmtId="0" fontId="2" fillId="0" borderId="10" xfId="0" applyFont="1" applyBorder="1"/>
    <xf numFmtId="0" fontId="15" fillId="0" borderId="10" xfId="0" applyFont="1" applyBorder="1"/>
    <xf numFmtId="0" fontId="2" fillId="0" borderId="29" xfId="0" applyFont="1" applyBorder="1"/>
    <xf numFmtId="0" fontId="2" fillId="0" borderId="30" xfId="0" applyFont="1" applyBorder="1"/>
    <xf numFmtId="0" fontId="2" fillId="0" borderId="15" xfId="0" applyFont="1" applyBorder="1"/>
    <xf numFmtId="0" fontId="2" fillId="0" borderId="16" xfId="0" applyFont="1" applyBorder="1"/>
    <xf numFmtId="0" fontId="2" fillId="0" borderId="17" xfId="0" applyFont="1" applyBorder="1"/>
    <xf numFmtId="0" fontId="2" fillId="0" borderId="18" xfId="0" applyFont="1" applyBorder="1"/>
    <xf numFmtId="166" fontId="2" fillId="0" borderId="3" xfId="0" applyNumberFormat="1" applyFont="1" applyBorder="1"/>
    <xf numFmtId="166" fontId="2" fillId="0" borderId="17" xfId="0" applyNumberFormat="1" applyFont="1" applyBorder="1"/>
    <xf numFmtId="166" fontId="2" fillId="0" borderId="18" xfId="0" applyNumberFormat="1" applyFont="1" applyBorder="1"/>
    <xf numFmtId="166" fontId="2" fillId="0" borderId="19" xfId="0" applyNumberFormat="1" applyFont="1" applyBorder="1"/>
    <xf numFmtId="166" fontId="2" fillId="0" borderId="54" xfId="0" applyNumberFormat="1" applyFont="1" applyBorder="1"/>
    <xf numFmtId="0" fontId="9" fillId="0" borderId="16" xfId="0" applyFont="1" applyBorder="1"/>
    <xf numFmtId="0" fontId="2" fillId="0" borderId="15" xfId="0" applyFont="1" applyBorder="1" applyAlignment="1">
      <alignment textRotation="90"/>
    </xf>
    <xf numFmtId="0" fontId="9" fillId="0" borderId="3" xfId="0" applyFont="1" applyBorder="1" applyAlignment="1">
      <alignment textRotation="90"/>
    </xf>
    <xf numFmtId="0" fontId="9" fillId="0" borderId="14" xfId="0" applyFont="1" applyBorder="1" applyAlignment="1">
      <alignment textRotation="90"/>
    </xf>
    <xf numFmtId="166" fontId="2" fillId="0" borderId="11" xfId="0" applyNumberFormat="1" applyFont="1" applyBorder="1"/>
    <xf numFmtId="166" fontId="2" fillId="0" borderId="12" xfId="0" applyNumberFormat="1" applyFont="1" applyBorder="1"/>
    <xf numFmtId="165" fontId="0" fillId="0" borderId="0" xfId="0" applyNumberFormat="1"/>
    <xf numFmtId="0" fontId="9" fillId="0" borderId="36" xfId="0" applyFont="1" applyBorder="1"/>
    <xf numFmtId="2" fontId="2" fillId="0" borderId="2" xfId="0" applyNumberFormat="1" applyFont="1" applyBorder="1"/>
    <xf numFmtId="0" fontId="2" fillId="0" borderId="2" xfId="0" applyFont="1" applyBorder="1"/>
    <xf numFmtId="0" fontId="2" fillId="0" borderId="24" xfId="0" applyFont="1" applyBorder="1"/>
    <xf numFmtId="0" fontId="2" fillId="0" borderId="31" xfId="0" applyFont="1" applyBorder="1"/>
    <xf numFmtId="0" fontId="9" fillId="0" borderId="44" xfId="0" applyFont="1" applyFill="1" applyBorder="1" applyAlignment="1">
      <alignment horizontal="center" vertical="center"/>
    </xf>
    <xf numFmtId="0" fontId="9" fillId="0" borderId="24" xfId="0" applyFont="1" applyFill="1" applyBorder="1" applyAlignment="1">
      <alignment horizontal="center" vertical="center"/>
    </xf>
    <xf numFmtId="0" fontId="16" fillId="0" borderId="13" xfId="0" applyFont="1" applyBorder="1" applyAlignment="1">
      <alignment horizontal="center" vertical="center"/>
    </xf>
    <xf numFmtId="0" fontId="16" fillId="0" borderId="0" xfId="0" applyFont="1" applyBorder="1" applyAlignment="1">
      <alignment horizontal="center" vertical="center"/>
    </xf>
    <xf numFmtId="0" fontId="10" fillId="0" borderId="34" xfId="0" applyFont="1" applyBorder="1" applyAlignment="1">
      <alignment horizontal="center" wrapText="1"/>
    </xf>
    <xf numFmtId="0" fontId="10" fillId="0" borderId="35" xfId="0" applyFont="1" applyBorder="1" applyAlignment="1">
      <alignment horizontal="center" wrapText="1"/>
    </xf>
    <xf numFmtId="0" fontId="11" fillId="0" borderId="17" xfId="0" quotePrefix="1" applyFont="1" applyBorder="1" applyAlignment="1">
      <alignment horizontal="center" vertical="center"/>
    </xf>
    <xf numFmtId="0" fontId="12" fillId="0" borderId="17" xfId="0" applyFont="1" applyBorder="1" applyAlignment="1">
      <alignment horizontal="center" vertical="center"/>
    </xf>
    <xf numFmtId="0" fontId="12" fillId="0" borderId="39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29" xfId="0" applyFont="1" applyBorder="1" applyAlignment="1">
      <alignment horizontal="center" vertical="center"/>
    </xf>
    <xf numFmtId="0" fontId="5" fillId="0" borderId="30" xfId="0" applyFont="1" applyBorder="1" applyAlignment="1">
      <alignment horizontal="center" vertical="center"/>
    </xf>
    <xf numFmtId="0" fontId="5" fillId="0" borderId="31" xfId="0" applyFont="1" applyBorder="1" applyAlignment="1">
      <alignment horizontal="center" vertical="center"/>
    </xf>
    <xf numFmtId="0" fontId="5" fillId="0" borderId="32" xfId="0" applyFont="1" applyBorder="1" applyAlignment="1">
      <alignment horizontal="center" vertical="center"/>
    </xf>
    <xf numFmtId="0" fontId="5" fillId="0" borderId="33" xfId="0" applyFont="1" applyBorder="1" applyAlignment="1">
      <alignment horizontal="center" vertical="center"/>
    </xf>
    <xf numFmtId="0" fontId="11" fillId="0" borderId="14" xfId="0" quotePrefix="1" applyFont="1" applyBorder="1" applyAlignment="1">
      <alignment horizontal="center" textRotation="90"/>
    </xf>
    <xf numFmtId="0" fontId="14" fillId="0" borderId="41" xfId="0" applyFont="1" applyBorder="1" applyAlignment="1">
      <alignment horizontal="center"/>
    </xf>
    <xf numFmtId="0" fontId="14" fillId="0" borderId="42" xfId="0" applyFont="1" applyBorder="1" applyAlignment="1">
      <alignment horizontal="center"/>
    </xf>
    <xf numFmtId="0" fontId="14" fillId="0" borderId="45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5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/>
    </xf>
    <xf numFmtId="0" fontId="23" fillId="0" borderId="21" xfId="0" quotePrefix="1" applyFont="1" applyBorder="1" applyAlignment="1">
      <alignment horizontal="center" textRotation="90"/>
    </xf>
    <xf numFmtId="0" fontId="23" fillId="0" borderId="38" xfId="0" quotePrefix="1" applyFont="1" applyBorder="1" applyAlignment="1">
      <alignment horizontal="center" textRotation="90"/>
    </xf>
    <xf numFmtId="0" fontId="10" fillId="0" borderId="1" xfId="0" applyFont="1" applyFill="1" applyBorder="1" applyAlignment="1">
      <alignment horizontal="center" vertical="center" wrapText="1"/>
    </xf>
    <xf numFmtId="0" fontId="10" fillId="0" borderId="19" xfId="0" applyFont="1" applyFill="1" applyBorder="1" applyAlignment="1">
      <alignment horizontal="center" vertical="center"/>
    </xf>
    <xf numFmtId="0" fontId="10" fillId="0" borderId="2" xfId="0" applyFont="1" applyFill="1" applyBorder="1" applyAlignment="1">
      <alignment horizontal="center" vertical="center"/>
    </xf>
    <xf numFmtId="0" fontId="7" fillId="0" borderId="25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7" fillId="0" borderId="20" xfId="0" applyFont="1" applyBorder="1" applyAlignment="1">
      <alignment horizontal="center" vertical="center"/>
    </xf>
    <xf numFmtId="0" fontId="7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39" xfId="0" applyFont="1" applyBorder="1" applyAlignment="1">
      <alignment horizontal="center" vertical="center"/>
    </xf>
    <xf numFmtId="0" fontId="22" fillId="0" borderId="11" xfId="0" applyFont="1" applyBorder="1" applyAlignment="1">
      <alignment horizontal="center"/>
    </xf>
    <xf numFmtId="0" fontId="22" fillId="0" borderId="12" xfId="0" applyFont="1" applyBorder="1" applyAlignment="1">
      <alignment horizontal="center"/>
    </xf>
    <xf numFmtId="0" fontId="11" fillId="0" borderId="21" xfId="0" applyFont="1" applyFill="1" applyBorder="1" applyAlignment="1">
      <alignment horizontal="center" textRotation="90"/>
    </xf>
    <xf numFmtId="0" fontId="11" fillId="0" borderId="22" xfId="0" applyFont="1" applyFill="1" applyBorder="1" applyAlignment="1">
      <alignment horizontal="center" textRotation="90"/>
    </xf>
    <xf numFmtId="0" fontId="11" fillId="0" borderId="1" xfId="0" applyFont="1" applyFill="1" applyBorder="1" applyAlignment="1">
      <alignment horizontal="center" textRotation="90"/>
    </xf>
    <xf numFmtId="0" fontId="11" fillId="0" borderId="2" xfId="0" applyFont="1" applyFill="1" applyBorder="1" applyAlignment="1">
      <alignment horizontal="center" textRotation="90"/>
    </xf>
    <xf numFmtId="0" fontId="11" fillId="0" borderId="9" xfId="0" applyFont="1" applyFill="1" applyBorder="1" applyAlignment="1">
      <alignment horizontal="center" textRotation="90"/>
    </xf>
    <xf numFmtId="0" fontId="11" fillId="0" borderId="7" xfId="0" applyFont="1" applyFill="1" applyBorder="1" applyAlignment="1">
      <alignment horizontal="center" textRotation="90"/>
    </xf>
    <xf numFmtId="0" fontId="10" fillId="0" borderId="11" xfId="0" applyFont="1" applyBorder="1" applyAlignment="1">
      <alignment horizontal="center"/>
    </xf>
    <xf numFmtId="0" fontId="10" fillId="0" borderId="20" xfId="0" applyFont="1" applyBorder="1" applyAlignment="1">
      <alignment horizontal="center"/>
    </xf>
    <xf numFmtId="0" fontId="4" fillId="0" borderId="3" xfId="0" quotePrefix="1" applyFont="1" applyBorder="1" applyAlignment="1">
      <alignment horizontal="center" textRotation="90" wrapText="1"/>
    </xf>
    <xf numFmtId="0" fontId="6" fillId="0" borderId="7" xfId="0" applyFont="1" applyBorder="1" applyAlignment="1">
      <alignment horizontal="center"/>
    </xf>
    <xf numFmtId="0" fontId="6" fillId="0" borderId="8" xfId="0" applyFont="1" applyBorder="1" applyAlignment="1">
      <alignment horizontal="center"/>
    </xf>
    <xf numFmtId="0" fontId="4" fillId="0" borderId="3" xfId="0" quotePrefix="1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6" fillId="0" borderId="5" xfId="0" applyFont="1" applyBorder="1" applyAlignment="1">
      <alignment horizontal="center"/>
    </xf>
    <xf numFmtId="0" fontId="6" fillId="0" borderId="6" xfId="0" applyFont="1" applyBorder="1" applyAlignment="1">
      <alignment horizontal="center"/>
    </xf>
    <xf numFmtId="0" fontId="4" fillId="0" borderId="4" xfId="0" quotePrefix="1" applyFont="1" applyBorder="1" applyAlignment="1">
      <alignment horizontal="center"/>
    </xf>
    <xf numFmtId="0" fontId="4" fillId="0" borderId="5" xfId="0" quotePrefix="1" applyFont="1" applyBorder="1" applyAlignment="1">
      <alignment horizontal="center"/>
    </xf>
    <xf numFmtId="0" fontId="4" fillId="0" borderId="6" xfId="0" quotePrefix="1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19" fillId="0" borderId="4" xfId="0" quotePrefix="1" applyFont="1" applyBorder="1" applyAlignment="1">
      <alignment horizontal="center"/>
    </xf>
    <xf numFmtId="0" fontId="19" fillId="0" borderId="5" xfId="0" quotePrefix="1" applyFont="1" applyBorder="1" applyAlignment="1">
      <alignment horizontal="center"/>
    </xf>
    <xf numFmtId="0" fontId="19" fillId="0" borderId="6" xfId="0" quotePrefix="1" applyFont="1" applyBorder="1" applyAlignment="1">
      <alignment horizontal="center"/>
    </xf>
    <xf numFmtId="0" fontId="20" fillId="0" borderId="3" xfId="0" applyFont="1" applyBorder="1" applyAlignment="1">
      <alignment horizontal="center"/>
    </xf>
    <xf numFmtId="0" fontId="21" fillId="0" borderId="3" xfId="0" applyFont="1" applyBorder="1" applyAlignment="1">
      <alignment horizontal="center"/>
    </xf>
  </cellXfs>
  <cellStyles count="2">
    <cellStyle name="Normal" xfId="0" builtinId="0"/>
    <cellStyle name="Percent" xfId="1" builtinId="5"/>
  </cellStyles>
  <dxfs count="7">
    <dxf>
      <font>
        <b/>
        <i val="0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</font>
      <fill>
        <patternFill>
          <bgColor theme="3" tint="0.59996337778862885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Original</a:t>
            </a:r>
            <a:r>
              <a:rPr lang="en-US" baseline="0"/>
              <a:t> </a:t>
            </a:r>
            <a:r>
              <a:rPr lang="en-US"/>
              <a:t>Lead Flow vs.</a:t>
            </a:r>
            <a:r>
              <a:rPr lang="en-US" baseline="0"/>
              <a:t> Adjusted Lead Flow (in PST)</a:t>
            </a:r>
            <a:endParaRPr lang="en-US"/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 Metrics Calculation'!$O$13</c:f>
              <c:strCache>
                <c:ptCount val="1"/>
                <c:pt idx="0">
                  <c:v>Original Lead Flow</c:v>
                </c:pt>
              </c:strCache>
            </c:strRef>
          </c:tx>
          <c:spPr>
            <a:ln>
              <a:solidFill>
                <a:schemeClr val="accent1"/>
              </a:solidFill>
              <a:prstDash val="sysDot"/>
            </a:ln>
          </c:spPr>
          <c:marker>
            <c:symbol val="none"/>
          </c:marker>
          <c:cat>
            <c:strRef>
              <c:f>' Metrics Calculation'!$P$12:$AM$12</c:f>
              <c:strCache>
                <c:ptCount val="24"/>
                <c:pt idx="0">
                  <c:v>12 am to 1 am</c:v>
                </c:pt>
                <c:pt idx="1">
                  <c:v>1 am to 2 am</c:v>
                </c:pt>
                <c:pt idx="2">
                  <c:v>2 am to 3 am</c:v>
                </c:pt>
                <c:pt idx="3">
                  <c:v>3am to 4 am</c:v>
                </c:pt>
                <c:pt idx="4">
                  <c:v>4 am to 5 am</c:v>
                </c:pt>
                <c:pt idx="5">
                  <c:v>5 am to 6 am</c:v>
                </c:pt>
                <c:pt idx="6">
                  <c:v>6am to 7am</c:v>
                </c:pt>
                <c:pt idx="7">
                  <c:v>7 am to 8 am</c:v>
                </c:pt>
                <c:pt idx="8">
                  <c:v>8 am to 9 am</c:v>
                </c:pt>
                <c:pt idx="9">
                  <c:v>9am to 10 am</c:v>
                </c:pt>
                <c:pt idx="10">
                  <c:v>10 am to 11 am</c:v>
                </c:pt>
                <c:pt idx="11">
                  <c:v>11 am to 12 pm</c:v>
                </c:pt>
                <c:pt idx="12">
                  <c:v>12 pm to 1 pm</c:v>
                </c:pt>
                <c:pt idx="13">
                  <c:v>1pm to 2 pm</c:v>
                </c:pt>
                <c:pt idx="14">
                  <c:v>2 pm to 3 pm</c:v>
                </c:pt>
                <c:pt idx="15">
                  <c:v>3 pm to 4 pm</c:v>
                </c:pt>
                <c:pt idx="16">
                  <c:v>4 pm to 5 pm</c:v>
                </c:pt>
                <c:pt idx="17">
                  <c:v>5 pm to 6 pm</c:v>
                </c:pt>
                <c:pt idx="18">
                  <c:v>6 pm to 7 pm</c:v>
                </c:pt>
                <c:pt idx="19">
                  <c:v>7pm to 8pm</c:v>
                </c:pt>
                <c:pt idx="20">
                  <c:v>8 pm to 9 pm</c:v>
                </c:pt>
                <c:pt idx="21">
                  <c:v>9 pm to 10 pm</c:v>
                </c:pt>
                <c:pt idx="22">
                  <c:v>10 pm to 11 pm</c:v>
                </c:pt>
                <c:pt idx="23">
                  <c:v>11pm to 12 am</c:v>
                </c:pt>
              </c:strCache>
            </c:strRef>
          </c:cat>
          <c:val>
            <c:numRef>
              <c:f>' Metrics Calculation'!$P$13:$AM$13</c:f>
              <c:numCache>
                <c:formatCode>General</c:formatCode>
                <c:ptCount val="24"/>
                <c:pt idx="0">
                  <c:v>175</c:v>
                </c:pt>
                <c:pt idx="1">
                  <c:v>145</c:v>
                </c:pt>
                <c:pt idx="2">
                  <c:v>148</c:v>
                </c:pt>
                <c:pt idx="3">
                  <c:v>257</c:v>
                </c:pt>
                <c:pt idx="4">
                  <c:v>426</c:v>
                </c:pt>
                <c:pt idx="5">
                  <c:v>782</c:v>
                </c:pt>
                <c:pt idx="6">
                  <c:v>3508</c:v>
                </c:pt>
                <c:pt idx="7">
                  <c:v>3851</c:v>
                </c:pt>
                <c:pt idx="8">
                  <c:v>4398</c:v>
                </c:pt>
                <c:pt idx="9">
                  <c:v>4398</c:v>
                </c:pt>
                <c:pt idx="10">
                  <c:v>4019</c:v>
                </c:pt>
                <c:pt idx="11">
                  <c:v>3184</c:v>
                </c:pt>
                <c:pt idx="12">
                  <c:v>2639</c:v>
                </c:pt>
                <c:pt idx="13">
                  <c:v>2401</c:v>
                </c:pt>
                <c:pt idx="14">
                  <c:v>1855</c:v>
                </c:pt>
                <c:pt idx="15">
                  <c:v>1426</c:v>
                </c:pt>
                <c:pt idx="16">
                  <c:v>1195</c:v>
                </c:pt>
                <c:pt idx="17">
                  <c:v>894</c:v>
                </c:pt>
                <c:pt idx="18">
                  <c:v>678</c:v>
                </c:pt>
                <c:pt idx="19">
                  <c:v>434</c:v>
                </c:pt>
                <c:pt idx="20">
                  <c:v>278</c:v>
                </c:pt>
                <c:pt idx="21">
                  <c:v>479</c:v>
                </c:pt>
                <c:pt idx="22">
                  <c:v>366</c:v>
                </c:pt>
                <c:pt idx="23">
                  <c:v>218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0FD0-4E86-8F17-605443EB2441}"/>
            </c:ext>
          </c:extLst>
        </c:ser>
        <c:ser>
          <c:idx val="1"/>
          <c:order val="1"/>
          <c:tx>
            <c:strRef>
              <c:f>' Metrics Calculation'!$O$14</c:f>
              <c:strCache>
                <c:ptCount val="1"/>
                <c:pt idx="0">
                  <c:v>Floor - Adjusted Lead Flow</c:v>
                </c:pt>
              </c:strCache>
            </c:strRef>
          </c:tx>
          <c:spPr>
            <a:ln>
              <a:solidFill>
                <a:srgbClr val="92D050"/>
              </a:solidFill>
            </a:ln>
          </c:spPr>
          <c:marker>
            <c:symbol val="none"/>
          </c:marker>
          <c:cat>
            <c:strRef>
              <c:f>' Metrics Calculation'!$P$12:$AM$12</c:f>
              <c:strCache>
                <c:ptCount val="24"/>
                <c:pt idx="0">
                  <c:v>12 am to 1 am</c:v>
                </c:pt>
                <c:pt idx="1">
                  <c:v>1 am to 2 am</c:v>
                </c:pt>
                <c:pt idx="2">
                  <c:v>2 am to 3 am</c:v>
                </c:pt>
                <c:pt idx="3">
                  <c:v>3am to 4 am</c:v>
                </c:pt>
                <c:pt idx="4">
                  <c:v>4 am to 5 am</c:v>
                </c:pt>
                <c:pt idx="5">
                  <c:v>5 am to 6 am</c:v>
                </c:pt>
                <c:pt idx="6">
                  <c:v>6am to 7am</c:v>
                </c:pt>
                <c:pt idx="7">
                  <c:v>7 am to 8 am</c:v>
                </c:pt>
                <c:pt idx="8">
                  <c:v>8 am to 9 am</c:v>
                </c:pt>
                <c:pt idx="9">
                  <c:v>9am to 10 am</c:v>
                </c:pt>
                <c:pt idx="10">
                  <c:v>10 am to 11 am</c:v>
                </c:pt>
                <c:pt idx="11">
                  <c:v>11 am to 12 pm</c:v>
                </c:pt>
                <c:pt idx="12">
                  <c:v>12 pm to 1 pm</c:v>
                </c:pt>
                <c:pt idx="13">
                  <c:v>1pm to 2 pm</c:v>
                </c:pt>
                <c:pt idx="14">
                  <c:v>2 pm to 3 pm</c:v>
                </c:pt>
                <c:pt idx="15">
                  <c:v>3 pm to 4 pm</c:v>
                </c:pt>
                <c:pt idx="16">
                  <c:v>4 pm to 5 pm</c:v>
                </c:pt>
                <c:pt idx="17">
                  <c:v>5 pm to 6 pm</c:v>
                </c:pt>
                <c:pt idx="18">
                  <c:v>6 pm to 7 pm</c:v>
                </c:pt>
                <c:pt idx="19">
                  <c:v>7pm to 8pm</c:v>
                </c:pt>
                <c:pt idx="20">
                  <c:v>8 pm to 9 pm</c:v>
                </c:pt>
                <c:pt idx="21">
                  <c:v>9 pm to 10 pm</c:v>
                </c:pt>
                <c:pt idx="22">
                  <c:v>10 pm to 11 pm</c:v>
                </c:pt>
                <c:pt idx="23">
                  <c:v>11pm to 12 am</c:v>
                </c:pt>
              </c:strCache>
            </c:strRef>
          </c:cat>
          <c:val>
            <c:numRef>
              <c:f>' Metrics Calculation'!$P$14:$AM$14</c:f>
              <c:numCache>
                <c:formatCode>General</c:formatCode>
                <c:ptCount val="24"/>
                <c:pt idx="5">
                  <c:v>526</c:v>
                </c:pt>
                <c:pt idx="6">
                  <c:v>2353</c:v>
                </c:pt>
                <c:pt idx="7">
                  <c:v>3390</c:v>
                </c:pt>
                <c:pt idx="8">
                  <c:v>4371</c:v>
                </c:pt>
                <c:pt idx="9">
                  <c:v>4401</c:v>
                </c:pt>
                <c:pt idx="10">
                  <c:v>4029</c:v>
                </c:pt>
                <c:pt idx="11">
                  <c:v>3191</c:v>
                </c:pt>
                <c:pt idx="12">
                  <c:v>2648</c:v>
                </c:pt>
                <c:pt idx="13">
                  <c:v>2412</c:v>
                </c:pt>
                <c:pt idx="14">
                  <c:v>1867</c:v>
                </c:pt>
                <c:pt idx="15">
                  <c:v>1894</c:v>
                </c:pt>
                <c:pt idx="16">
                  <c:v>1955</c:v>
                </c:pt>
                <c:pt idx="17">
                  <c:v>1955</c:v>
                </c:pt>
                <c:pt idx="18">
                  <c:v>1559</c:v>
                </c:pt>
                <c:pt idx="19">
                  <c:v>1317</c:v>
                </c:pt>
                <c:pt idx="20">
                  <c:v>612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0FD0-4E86-8F17-605443EB24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955624960"/>
        <c:axId val="-955628224"/>
      </c:lineChart>
      <c:catAx>
        <c:axId val="-95562496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txPr>
          <a:bodyPr rot="-2700000"/>
          <a:lstStyle/>
          <a:p>
            <a:pPr>
              <a:defRPr/>
            </a:pPr>
            <a:endParaRPr lang="en-US"/>
          </a:p>
        </c:txPr>
        <c:crossAx val="-955628224"/>
        <c:crosses val="autoZero"/>
        <c:auto val="1"/>
        <c:lblAlgn val="ctr"/>
        <c:lblOffset val="100"/>
        <c:noMultiLvlLbl val="0"/>
      </c:catAx>
      <c:valAx>
        <c:axId val="-955628224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crossAx val="-955624960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0"/>
  </c:chart>
  <c:txPr>
    <a:bodyPr/>
    <a:lstStyle/>
    <a:p>
      <a:pPr>
        <a:defRPr sz="800" baseline="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/>
            </a:pPr>
            <a:r>
              <a:rPr lang="en-US" sz="1400"/>
              <a:t>Lead</a:t>
            </a:r>
            <a:r>
              <a:rPr lang="en-US" sz="1400" baseline="0"/>
              <a:t> Flow Vs Agent/License Assignment</a:t>
            </a:r>
            <a:endParaRPr lang="en-US" sz="1400"/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3"/>
          <c:order val="2"/>
          <c:tx>
            <c:strRef>
              <c:f>' Metrics Calculation'!$O$16</c:f>
              <c:strCache>
                <c:ptCount val="1"/>
                <c:pt idx="0">
                  <c:v>Total Licenses/hr</c:v>
                </c:pt>
              </c:strCache>
            </c:strRef>
          </c:tx>
          <c:spPr>
            <a:pattFill prst="pct20">
              <a:fgClr>
                <a:schemeClr val="bg1"/>
              </a:fgClr>
              <a:bgClr>
                <a:schemeClr val="accent6">
                  <a:lumMod val="40000"/>
                  <a:lumOff val="60000"/>
                </a:schemeClr>
              </a:bgClr>
            </a:pattFill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700">
                    <a:latin typeface="Arial" panose="020B0604020202020204" pitchFamily="34" charset="0"/>
                    <a:cs typeface="Arial" panose="020B0604020202020204" pitchFamily="34" charset="0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 Metrics Calculation'!$P$12:$AM$12</c:f>
              <c:strCache>
                <c:ptCount val="24"/>
                <c:pt idx="0">
                  <c:v>12 am to 1 am</c:v>
                </c:pt>
                <c:pt idx="1">
                  <c:v>1 am to 2 am</c:v>
                </c:pt>
                <c:pt idx="2">
                  <c:v>2 am to 3 am</c:v>
                </c:pt>
                <c:pt idx="3">
                  <c:v>3am to 4 am</c:v>
                </c:pt>
                <c:pt idx="4">
                  <c:v>4 am to 5 am</c:v>
                </c:pt>
                <c:pt idx="5">
                  <c:v>5 am to 6 am</c:v>
                </c:pt>
                <c:pt idx="6">
                  <c:v>6am to 7am</c:v>
                </c:pt>
                <c:pt idx="7">
                  <c:v>7 am to 8 am</c:v>
                </c:pt>
                <c:pt idx="8">
                  <c:v>8 am to 9 am</c:v>
                </c:pt>
                <c:pt idx="9">
                  <c:v>9am to 10 am</c:v>
                </c:pt>
                <c:pt idx="10">
                  <c:v>10 am to 11 am</c:v>
                </c:pt>
                <c:pt idx="11">
                  <c:v>11 am to 12 pm</c:v>
                </c:pt>
                <c:pt idx="12">
                  <c:v>12 pm to 1 pm</c:v>
                </c:pt>
                <c:pt idx="13">
                  <c:v>1pm to 2 pm</c:v>
                </c:pt>
                <c:pt idx="14">
                  <c:v>2 pm to 3 pm</c:v>
                </c:pt>
                <c:pt idx="15">
                  <c:v>3 pm to 4 pm</c:v>
                </c:pt>
                <c:pt idx="16">
                  <c:v>4 pm to 5 pm</c:v>
                </c:pt>
                <c:pt idx="17">
                  <c:v>5 pm to 6 pm</c:v>
                </c:pt>
                <c:pt idx="18">
                  <c:v>6 pm to 7 pm</c:v>
                </c:pt>
                <c:pt idx="19">
                  <c:v>7pm to 8pm</c:v>
                </c:pt>
                <c:pt idx="20">
                  <c:v>8 pm to 9 pm</c:v>
                </c:pt>
                <c:pt idx="21">
                  <c:v>9 pm to 10 pm</c:v>
                </c:pt>
                <c:pt idx="22">
                  <c:v>10 pm to 11 pm</c:v>
                </c:pt>
                <c:pt idx="23">
                  <c:v>11pm to 12 am</c:v>
                </c:pt>
              </c:strCache>
            </c:strRef>
          </c:cat>
          <c:val>
            <c:numRef>
              <c:f>' Metrics Calculation'!$P$16:$AM$16</c:f>
              <c:numCache>
                <c:formatCode>General</c:formatCode>
                <c:ptCount val="24"/>
                <c:pt idx="5">
                  <c:v>456</c:v>
                </c:pt>
                <c:pt idx="6">
                  <c:v>456</c:v>
                </c:pt>
                <c:pt idx="7">
                  <c:v>456</c:v>
                </c:pt>
                <c:pt idx="8">
                  <c:v>664</c:v>
                </c:pt>
                <c:pt idx="9">
                  <c:v>715</c:v>
                </c:pt>
                <c:pt idx="10">
                  <c:v>715</c:v>
                </c:pt>
                <c:pt idx="11">
                  <c:v>521</c:v>
                </c:pt>
                <c:pt idx="12">
                  <c:v>430</c:v>
                </c:pt>
                <c:pt idx="13">
                  <c:v>456</c:v>
                </c:pt>
                <c:pt idx="14">
                  <c:v>456</c:v>
                </c:pt>
                <c:pt idx="15">
                  <c:v>481</c:v>
                </c:pt>
                <c:pt idx="16">
                  <c:v>299</c:v>
                </c:pt>
                <c:pt idx="17">
                  <c:v>521</c:v>
                </c:pt>
                <c:pt idx="18">
                  <c:v>558</c:v>
                </c:pt>
                <c:pt idx="19">
                  <c:v>208</c:v>
                </c:pt>
                <c:pt idx="20">
                  <c:v>208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0D7-4A37-B426-79C006D27A2B}"/>
            </c:ext>
          </c:extLst>
        </c:ser>
        <c:ser>
          <c:idx val="2"/>
          <c:order val="3"/>
          <c:tx>
            <c:strRef>
              <c:f>' Metrics Calculation'!$O$15</c:f>
              <c:strCache>
                <c:ptCount val="1"/>
                <c:pt idx="0">
                  <c:v>Total  Agents/hr</c:v>
                </c:pt>
              </c:strCache>
            </c:strRef>
          </c:tx>
          <c:spPr>
            <a:solidFill>
              <a:schemeClr val="accent6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700">
                    <a:latin typeface="Arial" panose="020B0604020202020204" pitchFamily="34" charset="0"/>
                    <a:cs typeface="Arial" panose="020B0604020202020204" pitchFamily="34" charset="0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 Metrics Calculation'!$P$12:$AM$12</c:f>
              <c:strCache>
                <c:ptCount val="24"/>
                <c:pt idx="0">
                  <c:v>12 am to 1 am</c:v>
                </c:pt>
                <c:pt idx="1">
                  <c:v>1 am to 2 am</c:v>
                </c:pt>
                <c:pt idx="2">
                  <c:v>2 am to 3 am</c:v>
                </c:pt>
                <c:pt idx="3">
                  <c:v>3am to 4 am</c:v>
                </c:pt>
                <c:pt idx="4">
                  <c:v>4 am to 5 am</c:v>
                </c:pt>
                <c:pt idx="5">
                  <c:v>5 am to 6 am</c:v>
                </c:pt>
                <c:pt idx="6">
                  <c:v>6am to 7am</c:v>
                </c:pt>
                <c:pt idx="7">
                  <c:v>7 am to 8 am</c:v>
                </c:pt>
                <c:pt idx="8">
                  <c:v>8 am to 9 am</c:v>
                </c:pt>
                <c:pt idx="9">
                  <c:v>9am to 10 am</c:v>
                </c:pt>
                <c:pt idx="10">
                  <c:v>10 am to 11 am</c:v>
                </c:pt>
                <c:pt idx="11">
                  <c:v>11 am to 12 pm</c:v>
                </c:pt>
                <c:pt idx="12">
                  <c:v>12 pm to 1 pm</c:v>
                </c:pt>
                <c:pt idx="13">
                  <c:v>1pm to 2 pm</c:v>
                </c:pt>
                <c:pt idx="14">
                  <c:v>2 pm to 3 pm</c:v>
                </c:pt>
                <c:pt idx="15">
                  <c:v>3 pm to 4 pm</c:v>
                </c:pt>
                <c:pt idx="16">
                  <c:v>4 pm to 5 pm</c:v>
                </c:pt>
                <c:pt idx="17">
                  <c:v>5 pm to 6 pm</c:v>
                </c:pt>
                <c:pt idx="18">
                  <c:v>6 pm to 7 pm</c:v>
                </c:pt>
                <c:pt idx="19">
                  <c:v>7pm to 8pm</c:v>
                </c:pt>
                <c:pt idx="20">
                  <c:v>8 pm to 9 pm</c:v>
                </c:pt>
                <c:pt idx="21">
                  <c:v>9 pm to 10 pm</c:v>
                </c:pt>
                <c:pt idx="22">
                  <c:v>10 pm to 11 pm</c:v>
                </c:pt>
                <c:pt idx="23">
                  <c:v>11pm to 12 am</c:v>
                </c:pt>
              </c:strCache>
            </c:strRef>
          </c:cat>
          <c:val>
            <c:numRef>
              <c:f>' Metrics Calculation'!$P$15:$AM$15</c:f>
              <c:numCache>
                <c:formatCode>General</c:formatCode>
                <c:ptCount val="24"/>
                <c:pt idx="5">
                  <c:v>32</c:v>
                </c:pt>
                <c:pt idx="6">
                  <c:v>30</c:v>
                </c:pt>
                <c:pt idx="7">
                  <c:v>32</c:v>
                </c:pt>
                <c:pt idx="8">
                  <c:v>48</c:v>
                </c:pt>
                <c:pt idx="9">
                  <c:v>50</c:v>
                </c:pt>
                <c:pt idx="10">
                  <c:v>48</c:v>
                </c:pt>
                <c:pt idx="11">
                  <c:v>36</c:v>
                </c:pt>
                <c:pt idx="12">
                  <c:v>34</c:v>
                </c:pt>
                <c:pt idx="13">
                  <c:v>32</c:v>
                </c:pt>
                <c:pt idx="14">
                  <c:v>30</c:v>
                </c:pt>
                <c:pt idx="15">
                  <c:v>34</c:v>
                </c:pt>
                <c:pt idx="16">
                  <c:v>20</c:v>
                </c:pt>
                <c:pt idx="17">
                  <c:v>36</c:v>
                </c:pt>
                <c:pt idx="18">
                  <c:v>38</c:v>
                </c:pt>
                <c:pt idx="19">
                  <c:v>18</c:v>
                </c:pt>
                <c:pt idx="20">
                  <c:v>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0D7-4A37-B426-79C006D27A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overlap val="100"/>
        <c:axId val="-955622784"/>
        <c:axId val="-955623328"/>
      </c:barChart>
      <c:lineChart>
        <c:grouping val="standard"/>
        <c:varyColors val="0"/>
        <c:ser>
          <c:idx val="0"/>
          <c:order val="0"/>
          <c:tx>
            <c:strRef>
              <c:f>' Metrics Calculation'!$O$13</c:f>
              <c:strCache>
                <c:ptCount val="1"/>
                <c:pt idx="0">
                  <c:v>Original Lead Flow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cat>
            <c:strRef>
              <c:f>' Metrics Calculation'!$P$12:$AM$12</c:f>
              <c:strCache>
                <c:ptCount val="24"/>
                <c:pt idx="0">
                  <c:v>12 am to 1 am</c:v>
                </c:pt>
                <c:pt idx="1">
                  <c:v>1 am to 2 am</c:v>
                </c:pt>
                <c:pt idx="2">
                  <c:v>2 am to 3 am</c:v>
                </c:pt>
                <c:pt idx="3">
                  <c:v>3am to 4 am</c:v>
                </c:pt>
                <c:pt idx="4">
                  <c:v>4 am to 5 am</c:v>
                </c:pt>
                <c:pt idx="5">
                  <c:v>5 am to 6 am</c:v>
                </c:pt>
                <c:pt idx="6">
                  <c:v>6am to 7am</c:v>
                </c:pt>
                <c:pt idx="7">
                  <c:v>7 am to 8 am</c:v>
                </c:pt>
                <c:pt idx="8">
                  <c:v>8 am to 9 am</c:v>
                </c:pt>
                <c:pt idx="9">
                  <c:v>9am to 10 am</c:v>
                </c:pt>
                <c:pt idx="10">
                  <c:v>10 am to 11 am</c:v>
                </c:pt>
                <c:pt idx="11">
                  <c:v>11 am to 12 pm</c:v>
                </c:pt>
                <c:pt idx="12">
                  <c:v>12 pm to 1 pm</c:v>
                </c:pt>
                <c:pt idx="13">
                  <c:v>1pm to 2 pm</c:v>
                </c:pt>
                <c:pt idx="14">
                  <c:v>2 pm to 3 pm</c:v>
                </c:pt>
                <c:pt idx="15">
                  <c:v>3 pm to 4 pm</c:v>
                </c:pt>
                <c:pt idx="16">
                  <c:v>4 pm to 5 pm</c:v>
                </c:pt>
                <c:pt idx="17">
                  <c:v>5 pm to 6 pm</c:v>
                </c:pt>
                <c:pt idx="18">
                  <c:v>6 pm to 7 pm</c:v>
                </c:pt>
                <c:pt idx="19">
                  <c:v>7pm to 8pm</c:v>
                </c:pt>
                <c:pt idx="20">
                  <c:v>8 pm to 9 pm</c:v>
                </c:pt>
                <c:pt idx="21">
                  <c:v>9 pm to 10 pm</c:v>
                </c:pt>
                <c:pt idx="22">
                  <c:v>10 pm to 11 pm</c:v>
                </c:pt>
                <c:pt idx="23">
                  <c:v>11pm to 12 am</c:v>
                </c:pt>
              </c:strCache>
            </c:strRef>
          </c:cat>
          <c:val>
            <c:numRef>
              <c:f>' Metrics Calculation'!$P$13:$AM$13</c:f>
              <c:numCache>
                <c:formatCode>General</c:formatCode>
                <c:ptCount val="24"/>
                <c:pt idx="0">
                  <c:v>175</c:v>
                </c:pt>
                <c:pt idx="1">
                  <c:v>145</c:v>
                </c:pt>
                <c:pt idx="2">
                  <c:v>148</c:v>
                </c:pt>
                <c:pt idx="3">
                  <c:v>257</c:v>
                </c:pt>
                <c:pt idx="4">
                  <c:v>426</c:v>
                </c:pt>
                <c:pt idx="5">
                  <c:v>782</c:v>
                </c:pt>
                <c:pt idx="6">
                  <c:v>3508</c:v>
                </c:pt>
                <c:pt idx="7">
                  <c:v>3851</c:v>
                </c:pt>
                <c:pt idx="8">
                  <c:v>4398</c:v>
                </c:pt>
                <c:pt idx="9">
                  <c:v>4398</c:v>
                </c:pt>
                <c:pt idx="10">
                  <c:v>4019</c:v>
                </c:pt>
                <c:pt idx="11">
                  <c:v>3184</c:v>
                </c:pt>
                <c:pt idx="12">
                  <c:v>2639</c:v>
                </c:pt>
                <c:pt idx="13">
                  <c:v>2401</c:v>
                </c:pt>
                <c:pt idx="14">
                  <c:v>1855</c:v>
                </c:pt>
                <c:pt idx="15">
                  <c:v>1426</c:v>
                </c:pt>
                <c:pt idx="16">
                  <c:v>1195</c:v>
                </c:pt>
                <c:pt idx="17">
                  <c:v>894</c:v>
                </c:pt>
                <c:pt idx="18">
                  <c:v>678</c:v>
                </c:pt>
                <c:pt idx="19">
                  <c:v>434</c:v>
                </c:pt>
                <c:pt idx="20">
                  <c:v>278</c:v>
                </c:pt>
                <c:pt idx="21">
                  <c:v>479</c:v>
                </c:pt>
                <c:pt idx="22">
                  <c:v>366</c:v>
                </c:pt>
                <c:pt idx="23">
                  <c:v>218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70D7-4A37-B426-79C006D27A2B}"/>
            </c:ext>
          </c:extLst>
        </c:ser>
        <c:ser>
          <c:idx val="1"/>
          <c:order val="1"/>
          <c:tx>
            <c:strRef>
              <c:f>' Metrics Calculation'!$O$14</c:f>
              <c:strCache>
                <c:ptCount val="1"/>
                <c:pt idx="0">
                  <c:v>Floor - Adjusted Lead Flow</c:v>
                </c:pt>
              </c:strCache>
            </c:strRef>
          </c:tx>
          <c:spPr>
            <a:ln>
              <a:solidFill>
                <a:srgbClr val="92D050"/>
              </a:solidFill>
            </a:ln>
          </c:spPr>
          <c:marker>
            <c:symbol val="none"/>
          </c:marker>
          <c:cat>
            <c:strRef>
              <c:f>' Metrics Calculation'!$P$12:$AM$12</c:f>
              <c:strCache>
                <c:ptCount val="24"/>
                <c:pt idx="0">
                  <c:v>12 am to 1 am</c:v>
                </c:pt>
                <c:pt idx="1">
                  <c:v>1 am to 2 am</c:v>
                </c:pt>
                <c:pt idx="2">
                  <c:v>2 am to 3 am</c:v>
                </c:pt>
                <c:pt idx="3">
                  <c:v>3am to 4 am</c:v>
                </c:pt>
                <c:pt idx="4">
                  <c:v>4 am to 5 am</c:v>
                </c:pt>
                <c:pt idx="5">
                  <c:v>5 am to 6 am</c:v>
                </c:pt>
                <c:pt idx="6">
                  <c:v>6am to 7am</c:v>
                </c:pt>
                <c:pt idx="7">
                  <c:v>7 am to 8 am</c:v>
                </c:pt>
                <c:pt idx="8">
                  <c:v>8 am to 9 am</c:v>
                </c:pt>
                <c:pt idx="9">
                  <c:v>9am to 10 am</c:v>
                </c:pt>
                <c:pt idx="10">
                  <c:v>10 am to 11 am</c:v>
                </c:pt>
                <c:pt idx="11">
                  <c:v>11 am to 12 pm</c:v>
                </c:pt>
                <c:pt idx="12">
                  <c:v>12 pm to 1 pm</c:v>
                </c:pt>
                <c:pt idx="13">
                  <c:v>1pm to 2 pm</c:v>
                </c:pt>
                <c:pt idx="14">
                  <c:v>2 pm to 3 pm</c:v>
                </c:pt>
                <c:pt idx="15">
                  <c:v>3 pm to 4 pm</c:v>
                </c:pt>
                <c:pt idx="16">
                  <c:v>4 pm to 5 pm</c:v>
                </c:pt>
                <c:pt idx="17">
                  <c:v>5 pm to 6 pm</c:v>
                </c:pt>
                <c:pt idx="18">
                  <c:v>6 pm to 7 pm</c:v>
                </c:pt>
                <c:pt idx="19">
                  <c:v>7pm to 8pm</c:v>
                </c:pt>
                <c:pt idx="20">
                  <c:v>8 pm to 9 pm</c:v>
                </c:pt>
                <c:pt idx="21">
                  <c:v>9 pm to 10 pm</c:v>
                </c:pt>
                <c:pt idx="22">
                  <c:v>10 pm to 11 pm</c:v>
                </c:pt>
                <c:pt idx="23">
                  <c:v>11pm to 12 am</c:v>
                </c:pt>
              </c:strCache>
            </c:strRef>
          </c:cat>
          <c:val>
            <c:numRef>
              <c:f>' Metrics Calculation'!$P$14:$AM$14</c:f>
              <c:numCache>
                <c:formatCode>General</c:formatCode>
                <c:ptCount val="24"/>
                <c:pt idx="5">
                  <c:v>526</c:v>
                </c:pt>
                <c:pt idx="6">
                  <c:v>2353</c:v>
                </c:pt>
                <c:pt idx="7">
                  <c:v>3390</c:v>
                </c:pt>
                <c:pt idx="8">
                  <c:v>4371</c:v>
                </c:pt>
                <c:pt idx="9">
                  <c:v>4401</c:v>
                </c:pt>
                <c:pt idx="10">
                  <c:v>4029</c:v>
                </c:pt>
                <c:pt idx="11">
                  <c:v>3191</c:v>
                </c:pt>
                <c:pt idx="12">
                  <c:v>2648</c:v>
                </c:pt>
                <c:pt idx="13">
                  <c:v>2412</c:v>
                </c:pt>
                <c:pt idx="14">
                  <c:v>1867</c:v>
                </c:pt>
                <c:pt idx="15">
                  <c:v>1894</c:v>
                </c:pt>
                <c:pt idx="16">
                  <c:v>1955</c:v>
                </c:pt>
                <c:pt idx="17">
                  <c:v>1955</c:v>
                </c:pt>
                <c:pt idx="18">
                  <c:v>1559</c:v>
                </c:pt>
                <c:pt idx="19">
                  <c:v>1317</c:v>
                </c:pt>
                <c:pt idx="20">
                  <c:v>612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70D7-4A37-B426-79C006D27A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955614624"/>
        <c:axId val="-955629856"/>
      </c:lineChart>
      <c:catAx>
        <c:axId val="-955614624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crossAx val="-955629856"/>
        <c:crosses val="autoZero"/>
        <c:auto val="1"/>
        <c:lblAlgn val="ctr"/>
        <c:lblOffset val="100"/>
        <c:noMultiLvlLbl val="0"/>
      </c:catAx>
      <c:valAx>
        <c:axId val="-955629856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crossAx val="-955614624"/>
        <c:crosses val="autoZero"/>
        <c:crossBetween val="between"/>
      </c:valAx>
      <c:valAx>
        <c:axId val="-955623328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crossAx val="-955622784"/>
        <c:crosses val="max"/>
        <c:crossBetween val="between"/>
      </c:valAx>
      <c:catAx>
        <c:axId val="-95562278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-955623328"/>
        <c:crosses val="autoZero"/>
        <c:auto val="1"/>
        <c:lblAlgn val="ctr"/>
        <c:lblOffset val="100"/>
        <c:noMultiLvlLbl val="0"/>
      </c:catAx>
    </c:plotArea>
    <c:legend>
      <c:legendPos val="b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'Statistical Analysis- Lead Flow'!$A$8</c:f>
              <c:strCache>
                <c:ptCount val="1"/>
                <c:pt idx="0">
                  <c:v>Std Dev</c:v>
                </c:pt>
              </c:strCache>
            </c:strRef>
          </c:tx>
          <c:spPr>
            <a:ln w="22225" cap="rnd" cmpd="sng" algn="ctr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'Statistical Analysis- Lead Flow'!$B$6:$Q$6</c:f>
              <c:strCache>
                <c:ptCount val="16"/>
                <c:pt idx="0">
                  <c:v>5 am to 6 am</c:v>
                </c:pt>
                <c:pt idx="1">
                  <c:v>6am to 7am</c:v>
                </c:pt>
                <c:pt idx="2">
                  <c:v>7 am to 8 am</c:v>
                </c:pt>
                <c:pt idx="3">
                  <c:v>8 am to 9 am</c:v>
                </c:pt>
                <c:pt idx="4">
                  <c:v>9am to 10 am</c:v>
                </c:pt>
                <c:pt idx="5">
                  <c:v>10 am to 11 am</c:v>
                </c:pt>
                <c:pt idx="6">
                  <c:v>11 am to 12 pm</c:v>
                </c:pt>
                <c:pt idx="7">
                  <c:v>12 pm to 1 pm</c:v>
                </c:pt>
                <c:pt idx="8">
                  <c:v>1pm to 2 pm</c:v>
                </c:pt>
                <c:pt idx="9">
                  <c:v>2 pm to 3 pm</c:v>
                </c:pt>
                <c:pt idx="10">
                  <c:v>3 pm to 4 pm</c:v>
                </c:pt>
                <c:pt idx="11">
                  <c:v>4 pm to 5 pm</c:v>
                </c:pt>
                <c:pt idx="12">
                  <c:v>5 pm to 6 pm</c:v>
                </c:pt>
                <c:pt idx="13">
                  <c:v>6 pm to 7 pm</c:v>
                </c:pt>
                <c:pt idx="14">
                  <c:v>7 pm to 8 pm</c:v>
                </c:pt>
                <c:pt idx="15">
                  <c:v>8 pm to 9 pm</c:v>
                </c:pt>
              </c:strCache>
            </c:strRef>
          </c:cat>
          <c:val>
            <c:numRef>
              <c:f>'Statistical Analysis- Lead Flow'!$B$8:$Q$8</c:f>
              <c:numCache>
                <c:formatCode>0.000</c:formatCode>
                <c:ptCount val="16"/>
                <c:pt idx="0">
                  <c:v>1.1025579173999474</c:v>
                </c:pt>
                <c:pt idx="1">
                  <c:v>1.0952720984372066</c:v>
                </c:pt>
                <c:pt idx="2">
                  <c:v>1.0522012083746153</c:v>
                </c:pt>
                <c:pt idx="3">
                  <c:v>1.1021761702554749</c:v>
                </c:pt>
                <c:pt idx="4">
                  <c:v>1.150597004721003</c:v>
                </c:pt>
                <c:pt idx="5">
                  <c:v>1.1612000121290942</c:v>
                </c:pt>
                <c:pt idx="6">
                  <c:v>1.1549604828376272</c:v>
                </c:pt>
                <c:pt idx="7">
                  <c:v>1.1558807358902821</c:v>
                </c:pt>
                <c:pt idx="8">
                  <c:v>1.1355446929333981</c:v>
                </c:pt>
                <c:pt idx="9">
                  <c:v>1.1324694369493027</c:v>
                </c:pt>
                <c:pt idx="10">
                  <c:v>1.1519541076421247</c:v>
                </c:pt>
                <c:pt idx="11">
                  <c:v>1.1479332436207677</c:v>
                </c:pt>
                <c:pt idx="12">
                  <c:v>1.0666824381193072</c:v>
                </c:pt>
                <c:pt idx="13">
                  <c:v>1.1630774406596764</c:v>
                </c:pt>
                <c:pt idx="14">
                  <c:v>1.1921931740608771</c:v>
                </c:pt>
                <c:pt idx="15">
                  <c:v>1.2076548707910646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A17-437C-9B84-40055A0D3F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smooth val="0"/>
        <c:axId val="-616375456"/>
        <c:axId val="-616377632"/>
      </c:lineChart>
      <c:catAx>
        <c:axId val="-6163754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616377632"/>
        <c:crosses val="autoZero"/>
        <c:auto val="1"/>
        <c:lblAlgn val="ctr"/>
        <c:lblOffset val="100"/>
        <c:noMultiLvlLbl val="0"/>
      </c:catAx>
      <c:valAx>
        <c:axId val="-616377632"/>
        <c:scaling>
          <c:orientation val="minMax"/>
        </c:scaling>
        <c:delete val="0"/>
        <c:axPos val="l"/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616375456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'Statistical Analysis- Lead Flow'!$A$9</c:f>
              <c:strCache>
                <c:ptCount val="1"/>
                <c:pt idx="0">
                  <c:v>Kurtosis</c:v>
                </c:pt>
              </c:strCache>
            </c:strRef>
          </c:tx>
          <c:spPr>
            <a:ln w="22225" cap="rnd" cmpd="sng" algn="ctr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'Statistical Analysis- Lead Flow'!$B$6:$Q$6</c:f>
              <c:strCache>
                <c:ptCount val="16"/>
                <c:pt idx="0">
                  <c:v>5 am to 6 am</c:v>
                </c:pt>
                <c:pt idx="1">
                  <c:v>6am to 7am</c:v>
                </c:pt>
                <c:pt idx="2">
                  <c:v>7 am to 8 am</c:v>
                </c:pt>
                <c:pt idx="3">
                  <c:v>8 am to 9 am</c:v>
                </c:pt>
                <c:pt idx="4">
                  <c:v>9am to 10 am</c:v>
                </c:pt>
                <c:pt idx="5">
                  <c:v>10 am to 11 am</c:v>
                </c:pt>
                <c:pt idx="6">
                  <c:v>11 am to 12 pm</c:v>
                </c:pt>
                <c:pt idx="7">
                  <c:v>12 pm to 1 pm</c:v>
                </c:pt>
                <c:pt idx="8">
                  <c:v>1pm to 2 pm</c:v>
                </c:pt>
                <c:pt idx="9">
                  <c:v>2 pm to 3 pm</c:v>
                </c:pt>
                <c:pt idx="10">
                  <c:v>3 pm to 4 pm</c:v>
                </c:pt>
                <c:pt idx="11">
                  <c:v>4 pm to 5 pm</c:v>
                </c:pt>
                <c:pt idx="12">
                  <c:v>5 pm to 6 pm</c:v>
                </c:pt>
                <c:pt idx="13">
                  <c:v>6 pm to 7 pm</c:v>
                </c:pt>
                <c:pt idx="14">
                  <c:v>7 pm to 8 pm</c:v>
                </c:pt>
                <c:pt idx="15">
                  <c:v>8 pm to 9 pm</c:v>
                </c:pt>
              </c:strCache>
            </c:strRef>
          </c:cat>
          <c:val>
            <c:numRef>
              <c:f>'Statistical Analysis- Lead Flow'!$B$9:$Q$9</c:f>
              <c:numCache>
                <c:formatCode>0.000</c:formatCode>
                <c:ptCount val="16"/>
                <c:pt idx="0">
                  <c:v>4.0261056247876068</c:v>
                </c:pt>
                <c:pt idx="1">
                  <c:v>5.0392459334684672</c:v>
                </c:pt>
                <c:pt idx="2">
                  <c:v>2.6443590016237</c:v>
                </c:pt>
                <c:pt idx="3">
                  <c:v>9.5598528790855752</c:v>
                </c:pt>
                <c:pt idx="4">
                  <c:v>16.615818720814556</c:v>
                </c:pt>
                <c:pt idx="5">
                  <c:v>20.00344275006249</c:v>
                </c:pt>
                <c:pt idx="6">
                  <c:v>16.621609091776026</c:v>
                </c:pt>
                <c:pt idx="7">
                  <c:v>15.930715180279005</c:v>
                </c:pt>
                <c:pt idx="8">
                  <c:v>17.440901101438051</c:v>
                </c:pt>
                <c:pt idx="9">
                  <c:v>18.19400900583728</c:v>
                </c:pt>
                <c:pt idx="10">
                  <c:v>11.691454757491886</c:v>
                </c:pt>
                <c:pt idx="11">
                  <c:v>9.9441404786130079</c:v>
                </c:pt>
                <c:pt idx="12">
                  <c:v>3.4831434541385331</c:v>
                </c:pt>
                <c:pt idx="13">
                  <c:v>28.762289599745582</c:v>
                </c:pt>
                <c:pt idx="14">
                  <c:v>31.665862412006735</c:v>
                </c:pt>
                <c:pt idx="15">
                  <c:v>33.990017213655953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7F1-4849-9DA0-DEA05D1676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smooth val="0"/>
        <c:axId val="-616384704"/>
        <c:axId val="-616389056"/>
      </c:lineChart>
      <c:catAx>
        <c:axId val="-6163847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616389056"/>
        <c:crosses val="autoZero"/>
        <c:auto val="1"/>
        <c:lblAlgn val="ctr"/>
        <c:lblOffset val="100"/>
        <c:noMultiLvlLbl val="0"/>
      </c:catAx>
      <c:valAx>
        <c:axId val="-616389056"/>
        <c:scaling>
          <c:orientation val="minMax"/>
        </c:scaling>
        <c:delete val="0"/>
        <c:axPos val="l"/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616384704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'Statistical Analysis- Lead Flow'!$A$10</c:f>
              <c:strCache>
                <c:ptCount val="1"/>
                <c:pt idx="0">
                  <c:v>Skewness</c:v>
                </c:pt>
              </c:strCache>
            </c:strRef>
          </c:tx>
          <c:spPr>
            <a:ln w="22225" cap="rnd" cmpd="sng" algn="ctr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'Statistical Analysis- Lead Flow'!$B$6:$Q$6</c:f>
              <c:strCache>
                <c:ptCount val="16"/>
                <c:pt idx="0">
                  <c:v>5 am to 6 am</c:v>
                </c:pt>
                <c:pt idx="1">
                  <c:v>6am to 7am</c:v>
                </c:pt>
                <c:pt idx="2">
                  <c:v>7 am to 8 am</c:v>
                </c:pt>
                <c:pt idx="3">
                  <c:v>8 am to 9 am</c:v>
                </c:pt>
                <c:pt idx="4">
                  <c:v>9am to 10 am</c:v>
                </c:pt>
                <c:pt idx="5">
                  <c:v>10 am to 11 am</c:v>
                </c:pt>
                <c:pt idx="6">
                  <c:v>11 am to 12 pm</c:v>
                </c:pt>
                <c:pt idx="7">
                  <c:v>12 pm to 1 pm</c:v>
                </c:pt>
                <c:pt idx="8">
                  <c:v>1pm to 2 pm</c:v>
                </c:pt>
                <c:pt idx="9">
                  <c:v>2 pm to 3 pm</c:v>
                </c:pt>
                <c:pt idx="10">
                  <c:v>3 pm to 4 pm</c:v>
                </c:pt>
                <c:pt idx="11">
                  <c:v>4 pm to 5 pm</c:v>
                </c:pt>
                <c:pt idx="12">
                  <c:v>5 pm to 6 pm</c:v>
                </c:pt>
                <c:pt idx="13">
                  <c:v>6 pm to 7 pm</c:v>
                </c:pt>
                <c:pt idx="14">
                  <c:v>7 pm to 8 pm</c:v>
                </c:pt>
                <c:pt idx="15">
                  <c:v>8 pm to 9 pm</c:v>
                </c:pt>
              </c:strCache>
            </c:strRef>
          </c:cat>
          <c:val>
            <c:numRef>
              <c:f>'Statistical Analysis- Lead Flow'!$B$10:$Q$10</c:f>
              <c:numCache>
                <c:formatCode>0.000</c:formatCode>
                <c:ptCount val="16"/>
                <c:pt idx="0">
                  <c:v>2.1746035634830774</c:v>
                </c:pt>
                <c:pt idx="1">
                  <c:v>2.192356316138155</c:v>
                </c:pt>
                <c:pt idx="2">
                  <c:v>1.5269448693900434</c:v>
                </c:pt>
                <c:pt idx="3">
                  <c:v>2.6976645891715445</c:v>
                </c:pt>
                <c:pt idx="4">
                  <c:v>3.6748800441338254</c:v>
                </c:pt>
                <c:pt idx="5">
                  <c:v>4.1102057444653912</c:v>
                </c:pt>
                <c:pt idx="6">
                  <c:v>3.7114110876636976</c:v>
                </c:pt>
                <c:pt idx="7">
                  <c:v>3.6671051987079788</c:v>
                </c:pt>
                <c:pt idx="8">
                  <c:v>3.7921992439651184</c:v>
                </c:pt>
                <c:pt idx="9">
                  <c:v>3.8921785632944852</c:v>
                </c:pt>
                <c:pt idx="10">
                  <c:v>3.1376156658743706</c:v>
                </c:pt>
                <c:pt idx="11">
                  <c:v>2.9142312109954176</c:v>
                </c:pt>
                <c:pt idx="12">
                  <c:v>1.7938660479215203</c:v>
                </c:pt>
                <c:pt idx="13">
                  <c:v>5.1860350890653111</c:v>
                </c:pt>
                <c:pt idx="14">
                  <c:v>5.5209201013054248</c:v>
                </c:pt>
                <c:pt idx="15">
                  <c:v>5.7969972964972794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75D-4040-AD6C-F5B18332C8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smooth val="0"/>
        <c:axId val="-959294832"/>
        <c:axId val="-959289936"/>
      </c:lineChart>
      <c:catAx>
        <c:axId val="-9592948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959289936"/>
        <c:crosses val="autoZero"/>
        <c:auto val="1"/>
        <c:lblAlgn val="ctr"/>
        <c:lblOffset val="100"/>
        <c:noMultiLvlLbl val="0"/>
      </c:catAx>
      <c:valAx>
        <c:axId val="-959289936"/>
        <c:scaling>
          <c:orientation val="minMax"/>
        </c:scaling>
        <c:delete val="0"/>
        <c:axPos val="l"/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959294832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9922</xdr:colOff>
      <xdr:row>8</xdr:row>
      <xdr:rowOff>104775</xdr:rowOff>
    </xdr:from>
    <xdr:to>
      <xdr:col>15</xdr:col>
      <xdr:colOff>161925</xdr:colOff>
      <xdr:row>31</xdr:row>
      <xdr:rowOff>23813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27781</xdr:colOff>
      <xdr:row>0</xdr:row>
      <xdr:rowOff>0</xdr:rowOff>
    </xdr:from>
    <xdr:to>
      <xdr:col>43</xdr:col>
      <xdr:colOff>477441</xdr:colOff>
      <xdr:row>26</xdr:row>
      <xdr:rowOff>105570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121920</xdr:colOff>
      <xdr:row>0</xdr:row>
      <xdr:rowOff>60960</xdr:rowOff>
    </xdr:from>
    <xdr:to>
      <xdr:col>25</xdr:col>
      <xdr:colOff>129540</xdr:colOff>
      <xdr:row>13</xdr:row>
      <xdr:rowOff>99060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99060</xdr:colOff>
      <xdr:row>13</xdr:row>
      <xdr:rowOff>167640</xdr:rowOff>
    </xdr:from>
    <xdr:to>
      <xdr:col>25</xdr:col>
      <xdr:colOff>106680</xdr:colOff>
      <xdr:row>28</xdr:row>
      <xdr:rowOff>167640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106680</xdr:colOff>
      <xdr:row>29</xdr:row>
      <xdr:rowOff>30480</xdr:rowOff>
    </xdr:from>
    <xdr:to>
      <xdr:col>25</xdr:col>
      <xdr:colOff>114300</xdr:colOff>
      <xdr:row>44</xdr:row>
      <xdr:rowOff>30480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9"/>
  </sheetPr>
  <dimension ref="A1:O8"/>
  <sheetViews>
    <sheetView tabSelected="1" zoomScale="96" zoomScaleNormal="96" workbookViewId="0">
      <selection activeCell="Q24" sqref="Q24"/>
    </sheetView>
  </sheetViews>
  <sheetFormatPr defaultRowHeight="14.5" x14ac:dyDescent="0.35"/>
  <cols>
    <col min="1" max="1" width="60.36328125" customWidth="1"/>
    <col min="2" max="15" width="7.90625" customWidth="1"/>
  </cols>
  <sheetData>
    <row r="1" spans="1:15" s="124" customFormat="1" ht="21.5" thickBot="1" x14ac:dyDescent="0.55000000000000004">
      <c r="A1" s="123" t="s">
        <v>113</v>
      </c>
    </row>
    <row r="2" spans="1:15" ht="21.5" thickBot="1" x14ac:dyDescent="0.55000000000000004">
      <c r="A2" s="39"/>
    </row>
    <row r="3" spans="1:15" ht="19" thickBot="1" x14ac:dyDescent="0.5">
      <c r="A3" s="68" t="s">
        <v>112</v>
      </c>
      <c r="B3" s="152">
        <v>20</v>
      </c>
    </row>
    <row r="5" spans="1:15" ht="15" thickBot="1" x14ac:dyDescent="0.4"/>
    <row r="6" spans="1:15" x14ac:dyDescent="0.35">
      <c r="A6" s="9" t="s">
        <v>177</v>
      </c>
      <c r="B6" s="132" t="s">
        <v>162</v>
      </c>
      <c r="C6" s="133" t="s">
        <v>163</v>
      </c>
      <c r="D6" s="133" t="s">
        <v>164</v>
      </c>
      <c r="E6" s="133" t="s">
        <v>165</v>
      </c>
      <c r="F6" s="133" t="s">
        <v>166</v>
      </c>
      <c r="G6" s="133" t="s">
        <v>167</v>
      </c>
      <c r="H6" s="133" t="s">
        <v>168</v>
      </c>
      <c r="I6" s="133" t="s">
        <v>169</v>
      </c>
      <c r="J6" s="133" t="s">
        <v>170</v>
      </c>
      <c r="K6" s="133" t="s">
        <v>171</v>
      </c>
      <c r="L6" s="133" t="s">
        <v>172</v>
      </c>
      <c r="M6" s="133" t="s">
        <v>173</v>
      </c>
      <c r="N6" s="134" t="s">
        <v>174</v>
      </c>
      <c r="O6" s="189" t="s">
        <v>111</v>
      </c>
    </row>
    <row r="7" spans="1:15" ht="12.75" customHeight="1" x14ac:dyDescent="0.35">
      <c r="B7" s="120">
        <v>0</v>
      </c>
      <c r="C7" s="121">
        <v>1</v>
      </c>
      <c r="D7" s="121">
        <v>2</v>
      </c>
      <c r="E7" s="121">
        <v>3</v>
      </c>
      <c r="F7" s="121">
        <v>4</v>
      </c>
      <c r="G7" s="121">
        <v>5</v>
      </c>
      <c r="H7" s="121">
        <v>6</v>
      </c>
      <c r="I7" s="121">
        <v>7</v>
      </c>
      <c r="J7" s="121">
        <v>8</v>
      </c>
      <c r="K7" s="121">
        <v>9</v>
      </c>
      <c r="L7" s="121">
        <v>10</v>
      </c>
      <c r="M7" s="122">
        <v>11</v>
      </c>
      <c r="N7" s="121">
        <v>12</v>
      </c>
      <c r="O7" s="190"/>
    </row>
    <row r="8" spans="1:15" ht="15" thickBot="1" x14ac:dyDescent="0.4">
      <c r="B8" s="153">
        <v>0</v>
      </c>
      <c r="C8" s="154">
        <v>0</v>
      </c>
      <c r="D8" s="154">
        <v>0</v>
      </c>
      <c r="E8" s="154">
        <v>0</v>
      </c>
      <c r="F8" s="154">
        <v>0</v>
      </c>
      <c r="G8" s="154">
        <v>0</v>
      </c>
      <c r="H8" s="154">
        <v>0</v>
      </c>
      <c r="I8" s="154">
        <v>0</v>
      </c>
      <c r="J8" s="154">
        <v>0</v>
      </c>
      <c r="K8" s="154">
        <v>0</v>
      </c>
      <c r="L8" s="154">
        <v>0.3</v>
      </c>
      <c r="M8" s="154">
        <v>0.4</v>
      </c>
      <c r="N8" s="155">
        <v>0.3</v>
      </c>
      <c r="O8" s="139">
        <f>SUM(B8:N8)</f>
        <v>1</v>
      </c>
    </row>
  </sheetData>
  <mergeCells count="1">
    <mergeCell ref="O6:O7"/>
  </mergeCells>
  <conditionalFormatting sqref="B8:N8">
    <cfRule type="expression" dxfId="6" priority="1">
      <formula>OR(B8&lt;0,B8&gt;1)</formula>
    </cfRule>
  </conditionalFormatting>
  <conditionalFormatting sqref="O8">
    <cfRule type="expression" dxfId="5" priority="2">
      <formula>OR($O$8&gt;1,$O$8&lt;0)</formula>
    </cfRule>
  </conditionalFormatting>
  <dataValidations count="2">
    <dataValidation type="custom" allowBlank="1" showInputMessage="1" showErrorMessage="1" errorTitle="Lead Allocation Error" error="Total % of distributed leads should be between 0% and 100%" sqref="B8:F8" xr:uid="{00000000-0002-0000-0000-000000000000}">
      <formula1>OR(I8&gt;=0,I8&lt;=1)</formula1>
    </dataValidation>
    <dataValidation type="custom" allowBlank="1" showInputMessage="1" showErrorMessage="1" errorTitle="Lead Allocation Error" error="Total % of distributed leads should be between 0% and 100%" sqref="G8:N8" xr:uid="{00000000-0002-0000-0000-000001000000}">
      <formula1>OR(O8&gt;=0,O8&lt;=1)</formula1>
    </dataValidation>
  </dataValidation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7" tint="0.39997558519241921"/>
  </sheetPr>
  <dimension ref="A1:AJ56"/>
  <sheetViews>
    <sheetView topLeftCell="A28" workbookViewId="0">
      <selection activeCell="O8" sqref="O8:Q8"/>
    </sheetView>
  </sheetViews>
  <sheetFormatPr defaultRowHeight="14.5" x14ac:dyDescent="0.35"/>
  <cols>
    <col min="1" max="1" width="4.6328125" style="76" customWidth="1"/>
    <col min="2" max="17" width="4.6328125" style="30" customWidth="1"/>
    <col min="19" max="19" width="7.6328125" customWidth="1"/>
    <col min="20" max="20" width="4.54296875" style="9" customWidth="1"/>
    <col min="21" max="27" width="4.54296875" customWidth="1"/>
    <col min="30" max="35" width="2.6328125" customWidth="1"/>
    <col min="38" max="38" width="11.54296875" bestFit="1" customWidth="1"/>
    <col min="39" max="39" width="10.453125" bestFit="1" customWidth="1"/>
  </cols>
  <sheetData>
    <row r="1" spans="1:36" ht="21" x14ac:dyDescent="0.5">
      <c r="A1" s="191" t="s">
        <v>114</v>
      </c>
      <c r="B1" s="192"/>
      <c r="C1" s="192"/>
      <c r="D1" s="192"/>
      <c r="E1" s="192"/>
      <c r="F1" s="192"/>
      <c r="G1" s="192"/>
      <c r="H1" s="192"/>
      <c r="I1" s="192"/>
      <c r="J1" s="192"/>
      <c r="K1" s="192"/>
      <c r="L1" s="192"/>
      <c r="M1" s="192"/>
      <c r="N1" s="192"/>
      <c r="O1" s="192"/>
      <c r="P1" s="192"/>
      <c r="Q1" s="192"/>
      <c r="T1" s="205" t="s">
        <v>116</v>
      </c>
      <c r="U1" s="206"/>
      <c r="V1" s="206"/>
      <c r="W1" s="206"/>
      <c r="X1" s="206"/>
      <c r="Y1" s="206"/>
      <c r="Z1" s="206"/>
      <c r="AA1" s="207"/>
      <c r="AC1" s="198" t="s">
        <v>115</v>
      </c>
      <c r="AD1" s="199"/>
      <c r="AE1" s="199"/>
      <c r="AF1" s="199"/>
      <c r="AG1" s="199"/>
      <c r="AH1" s="199"/>
      <c r="AI1" s="200"/>
    </row>
    <row r="2" spans="1:36" ht="11.25" customHeight="1" thickBot="1" x14ac:dyDescent="0.4">
      <c r="A2" s="191"/>
      <c r="B2" s="192"/>
      <c r="C2" s="192"/>
      <c r="D2" s="192"/>
      <c r="E2" s="192"/>
      <c r="F2" s="192"/>
      <c r="G2" s="192"/>
      <c r="H2" s="192"/>
      <c r="I2" s="192"/>
      <c r="J2" s="192"/>
      <c r="K2" s="192"/>
      <c r="L2" s="192"/>
      <c r="M2" s="192"/>
      <c r="N2" s="192"/>
      <c r="O2" s="192"/>
      <c r="P2" s="192"/>
      <c r="Q2" s="192"/>
      <c r="T2" s="63"/>
      <c r="U2" s="195" t="s">
        <v>72</v>
      </c>
      <c r="V2" s="196"/>
      <c r="W2" s="195" t="s">
        <v>73</v>
      </c>
      <c r="X2" s="196"/>
      <c r="Y2" s="196"/>
      <c r="Z2" s="197"/>
      <c r="AA2" s="204" t="s">
        <v>141</v>
      </c>
      <c r="AC2" s="201"/>
      <c r="AD2" s="202"/>
      <c r="AE2" s="202"/>
      <c r="AF2" s="202"/>
      <c r="AG2" s="202"/>
      <c r="AH2" s="202"/>
      <c r="AI2" s="203"/>
    </row>
    <row r="3" spans="1:36" ht="81.5" x14ac:dyDescent="0.35">
      <c r="A3" s="73"/>
      <c r="B3" s="60" t="str">
        <f>'Data- Extract'!CJ3</f>
        <v>5 am to 6 am</v>
      </c>
      <c r="C3" s="60" t="str">
        <f>'Data- Extract'!CK3</f>
        <v>6am to 7am</v>
      </c>
      <c r="D3" s="60" t="str">
        <f>'Data- Extract'!CL3</f>
        <v>7 am to 8 am</v>
      </c>
      <c r="E3" s="60" t="str">
        <f>'Data- Extract'!CM3</f>
        <v>8 am to 9 am</v>
      </c>
      <c r="F3" s="60" t="str">
        <f>'Data- Extract'!CN3</f>
        <v>9am to 10 am</v>
      </c>
      <c r="G3" s="60" t="str">
        <f>'Data- Extract'!CO3</f>
        <v>10 am to 11 am</v>
      </c>
      <c r="H3" s="60" t="str">
        <f>'Data- Extract'!CP3</f>
        <v>11 am to 12 pm</v>
      </c>
      <c r="I3" s="60" t="str">
        <f>'Data- Extract'!CQ3</f>
        <v>12 pm to 1 pm</v>
      </c>
      <c r="J3" s="60" t="str">
        <f>'Data- Extract'!CR3</f>
        <v>1pm to 2 pm</v>
      </c>
      <c r="K3" s="60" t="str">
        <f>'Data- Extract'!CS3</f>
        <v>2 pm to 3 pm</v>
      </c>
      <c r="L3" s="60" t="str">
        <f>'Data- Extract'!CT3</f>
        <v>3 pm to 4 pm</v>
      </c>
      <c r="M3" s="60" t="str">
        <f>'Data- Extract'!CU3</f>
        <v>4 pm to 5 pm</v>
      </c>
      <c r="N3" s="60" t="str">
        <f>'Data- Extract'!CV3</f>
        <v>5 pm to 6 pm</v>
      </c>
      <c r="O3" s="135" t="str">
        <f>'Data- Extract'!CW3</f>
        <v>6 pm to 7 pm</v>
      </c>
      <c r="P3" s="60" t="str">
        <f>'Data- Extract'!CX3</f>
        <v>7 pm to 8 pm</v>
      </c>
      <c r="Q3" s="137" t="str">
        <f>'Data- Extract'!CY3</f>
        <v>8 pm to 9 pm</v>
      </c>
      <c r="T3" s="61" t="s">
        <v>74</v>
      </c>
      <c r="U3" s="62" t="s">
        <v>75</v>
      </c>
      <c r="V3" s="62" t="s">
        <v>76</v>
      </c>
      <c r="W3" s="62" t="s">
        <v>77</v>
      </c>
      <c r="X3" s="62" t="s">
        <v>78</v>
      </c>
      <c r="Y3" s="62" t="s">
        <v>79</v>
      </c>
      <c r="Z3" s="97" t="s">
        <v>80</v>
      </c>
      <c r="AA3" s="204"/>
      <c r="AC3" s="193" t="s">
        <v>117</v>
      </c>
      <c r="AD3" s="52" t="s">
        <v>75</v>
      </c>
      <c r="AE3" s="52" t="s">
        <v>76</v>
      </c>
      <c r="AF3" s="52" t="s">
        <v>77</v>
      </c>
      <c r="AG3" s="52" t="s">
        <v>78</v>
      </c>
      <c r="AH3" s="52" t="s">
        <v>79</v>
      </c>
      <c r="AI3" s="53" t="s">
        <v>80</v>
      </c>
    </row>
    <row r="4" spans="1:36" ht="15" thickBot="1" x14ac:dyDescent="0.4">
      <c r="A4" s="74" t="s">
        <v>20</v>
      </c>
      <c r="B4" s="95">
        <f>'Data- Extract'!CJ5</f>
        <v>0</v>
      </c>
      <c r="C4" s="69">
        <f>'Data- Extract'!CK5</f>
        <v>0</v>
      </c>
      <c r="D4" s="95">
        <f>'Data- Extract'!CL5</f>
        <v>0</v>
      </c>
      <c r="E4" s="69">
        <f>'Data- Extract'!CM5</f>
        <v>16</v>
      </c>
      <c r="F4" s="95">
        <f>'Data- Extract'!CN5</f>
        <v>13</v>
      </c>
      <c r="G4" s="69">
        <f>'Data- Extract'!CO5</f>
        <v>10</v>
      </c>
      <c r="H4" s="95">
        <f>'Data- Extract'!CP5</f>
        <v>8</v>
      </c>
      <c r="I4" s="69">
        <f>'Data- Extract'!CQ5</f>
        <v>6</v>
      </c>
      <c r="J4" s="95">
        <f>'Data- Extract'!CR5</f>
        <v>8</v>
      </c>
      <c r="K4" s="69">
        <f>'Data- Extract'!CS5</f>
        <v>6</v>
      </c>
      <c r="L4" s="95">
        <f>'Data- Extract'!CT5</f>
        <v>5</v>
      </c>
      <c r="M4" s="69">
        <f>'Data- Extract'!CU5</f>
        <v>4</v>
      </c>
      <c r="N4" s="95">
        <f>'Data- Extract'!CV5</f>
        <v>4</v>
      </c>
      <c r="O4" s="136">
        <f>'Data- Extract'!CW5</f>
        <v>15</v>
      </c>
      <c r="P4" s="69">
        <f>'Data- Extract'!CX5</f>
        <v>20</v>
      </c>
      <c r="Q4" s="138">
        <f>'Data- Extract'!CY5</f>
        <v>14</v>
      </c>
      <c r="T4" s="56" t="s">
        <v>20</v>
      </c>
      <c r="U4" s="4">
        <v>4</v>
      </c>
      <c r="V4" s="4">
        <v>4</v>
      </c>
      <c r="W4" s="4">
        <v>2</v>
      </c>
      <c r="X4" s="4">
        <v>2</v>
      </c>
      <c r="Y4" s="4">
        <v>2</v>
      </c>
      <c r="Z4" s="98">
        <v>0</v>
      </c>
      <c r="AA4" s="57">
        <f>SUM(U4:Z4)</f>
        <v>14</v>
      </c>
      <c r="AC4" s="194"/>
      <c r="AD4" s="54">
        <v>32</v>
      </c>
      <c r="AE4" s="54">
        <v>30</v>
      </c>
      <c r="AF4" s="54">
        <v>20</v>
      </c>
      <c r="AG4" s="54">
        <v>18</v>
      </c>
      <c r="AH4" s="54">
        <v>16</v>
      </c>
      <c r="AI4" s="55">
        <v>18</v>
      </c>
    </row>
    <row r="5" spans="1:36" x14ac:dyDescent="0.35">
      <c r="A5" s="74" t="s">
        <v>21</v>
      </c>
      <c r="B5" s="95">
        <f>'Data- Extract'!CJ6</f>
        <v>0</v>
      </c>
      <c r="C5" s="69">
        <f>'Data- Extract'!CK6</f>
        <v>38</v>
      </c>
      <c r="D5" s="95">
        <f>'Data- Extract'!CL6</f>
        <v>66</v>
      </c>
      <c r="E5" s="69">
        <f>'Data- Extract'!CM6</f>
        <v>54</v>
      </c>
      <c r="F5" s="95">
        <f>'Data- Extract'!CN6</f>
        <v>57</v>
      </c>
      <c r="G5" s="69">
        <f>'Data- Extract'!CO6</f>
        <v>54</v>
      </c>
      <c r="H5" s="95">
        <f>'Data- Extract'!CP6</f>
        <v>34</v>
      </c>
      <c r="I5" s="69">
        <f>'Data- Extract'!CQ6</f>
        <v>24</v>
      </c>
      <c r="J5" s="95">
        <f>'Data- Extract'!CR6</f>
        <v>35</v>
      </c>
      <c r="K5" s="69">
        <f>'Data- Extract'!CS6</f>
        <v>24</v>
      </c>
      <c r="L5" s="95">
        <f>'Data- Extract'!CT6</f>
        <v>11</v>
      </c>
      <c r="M5" s="69">
        <f>'Data- Extract'!CU6</f>
        <v>21</v>
      </c>
      <c r="N5" s="95">
        <f>'Data- Extract'!CV6</f>
        <v>25</v>
      </c>
      <c r="O5" s="136">
        <f>'Data- Extract'!CW6</f>
        <v>19</v>
      </c>
      <c r="P5" s="69">
        <f>'Data- Extract'!CX6</f>
        <v>0</v>
      </c>
      <c r="Q5" s="138">
        <f>'Data- Extract'!CY6</f>
        <v>0</v>
      </c>
      <c r="T5" s="56" t="s">
        <v>21</v>
      </c>
      <c r="U5" s="4">
        <v>10</v>
      </c>
      <c r="V5" s="4">
        <v>9</v>
      </c>
      <c r="W5" s="4">
        <v>6</v>
      </c>
      <c r="X5" s="4">
        <v>2</v>
      </c>
      <c r="Y5" s="4">
        <v>4</v>
      </c>
      <c r="Z5" s="98">
        <v>6</v>
      </c>
      <c r="AA5" s="57">
        <f t="shared" ref="AA5:AA55" si="0">SUM(U5:Z5)</f>
        <v>37</v>
      </c>
    </row>
    <row r="6" spans="1:36" x14ac:dyDescent="0.35">
      <c r="A6" s="74" t="s">
        <v>22</v>
      </c>
      <c r="B6" s="95">
        <f>'Data- Extract'!CJ7</f>
        <v>0</v>
      </c>
      <c r="C6" s="69">
        <f>'Data- Extract'!CK7</f>
        <v>30</v>
      </c>
      <c r="D6" s="95">
        <f>'Data- Extract'!CL7</f>
        <v>35</v>
      </c>
      <c r="E6" s="69">
        <f>'Data- Extract'!CM7</f>
        <v>46</v>
      </c>
      <c r="F6" s="95">
        <f>'Data- Extract'!CN7</f>
        <v>35</v>
      </c>
      <c r="G6" s="69">
        <f>'Data- Extract'!CO7</f>
        <v>29</v>
      </c>
      <c r="H6" s="95">
        <f>'Data- Extract'!CP7</f>
        <v>17</v>
      </c>
      <c r="I6" s="69">
        <f>'Data- Extract'!CQ7</f>
        <v>24</v>
      </c>
      <c r="J6" s="95">
        <f>'Data- Extract'!CR7</f>
        <v>17</v>
      </c>
      <c r="K6" s="69">
        <f>'Data- Extract'!CS7</f>
        <v>17</v>
      </c>
      <c r="L6" s="95">
        <f>'Data- Extract'!CT7</f>
        <v>10</v>
      </c>
      <c r="M6" s="69">
        <f>'Data- Extract'!CU7</f>
        <v>16</v>
      </c>
      <c r="N6" s="95">
        <f>'Data- Extract'!CV7</f>
        <v>15</v>
      </c>
      <c r="O6" s="136">
        <f>'Data- Extract'!CW7</f>
        <v>15</v>
      </c>
      <c r="P6" s="69">
        <f>'Data- Extract'!CX7</f>
        <v>0</v>
      </c>
      <c r="Q6" s="138">
        <f>'Data- Extract'!CY7</f>
        <v>0</v>
      </c>
      <c r="T6" s="56" t="s">
        <v>22</v>
      </c>
      <c r="U6" s="4">
        <v>5</v>
      </c>
      <c r="V6" s="4">
        <v>7</v>
      </c>
      <c r="W6" s="4">
        <v>2</v>
      </c>
      <c r="X6" s="4">
        <v>0</v>
      </c>
      <c r="Y6" s="4">
        <v>1</v>
      </c>
      <c r="Z6" s="98">
        <v>0</v>
      </c>
      <c r="AA6" s="57">
        <f t="shared" si="0"/>
        <v>15</v>
      </c>
      <c r="AC6" s="9" t="s">
        <v>139</v>
      </c>
      <c r="AJ6" s="96">
        <f>SUM(B56:Q56)/SUM(AD4:AI4)/'Model Setup'!B3</f>
        <v>14.283582089552237</v>
      </c>
    </row>
    <row r="7" spans="1:36" x14ac:dyDescent="0.35">
      <c r="A7" s="74" t="s">
        <v>23</v>
      </c>
      <c r="B7" s="95">
        <f>'Data- Extract'!CJ8</f>
        <v>0</v>
      </c>
      <c r="C7" s="69">
        <f>'Data- Extract'!CK8</f>
        <v>0</v>
      </c>
      <c r="D7" s="95">
        <f>'Data- Extract'!CL8</f>
        <v>107</v>
      </c>
      <c r="E7" s="69">
        <f>'Data- Extract'!CM8</f>
        <v>159</v>
      </c>
      <c r="F7" s="95">
        <f>'Data- Extract'!CN8</f>
        <v>135</v>
      </c>
      <c r="G7" s="69">
        <f>'Data- Extract'!CO8</f>
        <v>101</v>
      </c>
      <c r="H7" s="95">
        <f>'Data- Extract'!CP8</f>
        <v>85</v>
      </c>
      <c r="I7" s="69">
        <f>'Data- Extract'!CQ8</f>
        <v>76</v>
      </c>
      <c r="J7" s="95">
        <f>'Data- Extract'!CR8</f>
        <v>74</v>
      </c>
      <c r="K7" s="69">
        <f>'Data- Extract'!CS8</f>
        <v>66</v>
      </c>
      <c r="L7" s="95">
        <f>'Data- Extract'!CT8</f>
        <v>46</v>
      </c>
      <c r="M7" s="69">
        <f>'Data- Extract'!CU8</f>
        <v>27</v>
      </c>
      <c r="N7" s="95">
        <f>'Data- Extract'!CV8</f>
        <v>73</v>
      </c>
      <c r="O7" s="136">
        <f>'Data- Extract'!CW8</f>
        <v>85</v>
      </c>
      <c r="P7" s="69">
        <f>'Data- Extract'!CX8</f>
        <v>66</v>
      </c>
      <c r="Q7" s="138">
        <f>'Data- Extract'!CY8</f>
        <v>0</v>
      </c>
      <c r="T7" s="56" t="s">
        <v>23</v>
      </c>
      <c r="U7" s="4">
        <v>6</v>
      </c>
      <c r="V7" s="4">
        <v>7</v>
      </c>
      <c r="W7" s="4">
        <v>5</v>
      </c>
      <c r="X7" s="4">
        <v>8</v>
      </c>
      <c r="Y7" s="4">
        <v>3</v>
      </c>
      <c r="Z7" s="98">
        <v>4</v>
      </c>
      <c r="AA7" s="57">
        <f t="shared" si="0"/>
        <v>33</v>
      </c>
    </row>
    <row r="8" spans="1:36" x14ac:dyDescent="0.35">
      <c r="A8" s="74" t="s">
        <v>24</v>
      </c>
      <c r="B8" s="95">
        <f>'Data- Extract'!CJ9</f>
        <v>0</v>
      </c>
      <c r="C8" s="69">
        <f>'Data- Extract'!CK9</f>
        <v>0</v>
      </c>
      <c r="D8" s="95">
        <f>'Data- Extract'!CL9</f>
        <v>0</v>
      </c>
      <c r="E8" s="69">
        <f>'Data- Extract'!CM9</f>
        <v>526</v>
      </c>
      <c r="F8" s="95">
        <f>'Data- Extract'!CN9</f>
        <v>681</v>
      </c>
      <c r="G8" s="69">
        <f>'Data- Extract'!CO9</f>
        <v>691</v>
      </c>
      <c r="H8" s="95">
        <f>'Data- Extract'!CP9</f>
        <v>526</v>
      </c>
      <c r="I8" s="69">
        <f>'Data- Extract'!CQ9</f>
        <v>460</v>
      </c>
      <c r="J8" s="95">
        <f>'Data- Extract'!CR9</f>
        <v>418</v>
      </c>
      <c r="K8" s="69">
        <f>'Data- Extract'!CS9</f>
        <v>320</v>
      </c>
      <c r="L8" s="95">
        <f>'Data- Extract'!CT9</f>
        <v>298</v>
      </c>
      <c r="M8" s="69">
        <f>'Data- Extract'!CU9</f>
        <v>292</v>
      </c>
      <c r="N8" s="95">
        <f>'Data- Extract'!CV9</f>
        <v>179</v>
      </c>
      <c r="O8" s="136">
        <f>'Data- Extract'!CW9</f>
        <v>509</v>
      </c>
      <c r="P8" s="69">
        <f>'Data- Extract'!CX9</f>
        <v>596</v>
      </c>
      <c r="Q8" s="138">
        <f>'Data- Extract'!CY9</f>
        <v>442</v>
      </c>
      <c r="T8" s="56" t="s">
        <v>24</v>
      </c>
      <c r="U8" s="4">
        <v>28</v>
      </c>
      <c r="V8" s="4">
        <v>27</v>
      </c>
      <c r="W8" s="4">
        <v>20</v>
      </c>
      <c r="X8" s="4">
        <v>18</v>
      </c>
      <c r="Y8" s="4">
        <v>16</v>
      </c>
      <c r="Z8" s="98">
        <v>18</v>
      </c>
      <c r="AA8" s="57">
        <f t="shared" si="0"/>
        <v>127</v>
      </c>
    </row>
    <row r="9" spans="1:36" x14ac:dyDescent="0.35">
      <c r="A9" s="74" t="s">
        <v>25</v>
      </c>
      <c r="B9" s="95">
        <f>'Data- Extract'!CJ10</f>
        <v>0</v>
      </c>
      <c r="C9" s="69">
        <f>'Data- Extract'!CK10</f>
        <v>0</v>
      </c>
      <c r="D9" s="95">
        <f>'Data- Extract'!CL10</f>
        <v>97</v>
      </c>
      <c r="E9" s="69">
        <f>'Data- Extract'!CM10</f>
        <v>122</v>
      </c>
      <c r="F9" s="95">
        <f>'Data- Extract'!CN10</f>
        <v>121</v>
      </c>
      <c r="G9" s="69">
        <f>'Data- Extract'!CO10</f>
        <v>109</v>
      </c>
      <c r="H9" s="95">
        <f>'Data- Extract'!CP10</f>
        <v>71</v>
      </c>
      <c r="I9" s="69">
        <f>'Data- Extract'!CQ10</f>
        <v>54</v>
      </c>
      <c r="J9" s="95">
        <f>'Data- Extract'!CR10</f>
        <v>54</v>
      </c>
      <c r="K9" s="69">
        <f>'Data- Extract'!CS10</f>
        <v>54</v>
      </c>
      <c r="L9" s="95">
        <f>'Data- Extract'!CT10</f>
        <v>26</v>
      </c>
      <c r="M9" s="69">
        <f>'Data- Extract'!CU10</f>
        <v>30</v>
      </c>
      <c r="N9" s="95">
        <f>'Data- Extract'!CV10</f>
        <v>53</v>
      </c>
      <c r="O9" s="136">
        <f>'Data- Extract'!CW10</f>
        <v>57</v>
      </c>
      <c r="P9" s="69">
        <f>'Data- Extract'!CX10</f>
        <v>46</v>
      </c>
      <c r="Q9" s="138">
        <f>'Data- Extract'!CY10</f>
        <v>0</v>
      </c>
      <c r="T9" s="56" t="s">
        <v>25</v>
      </c>
      <c r="U9" s="4">
        <v>11</v>
      </c>
      <c r="V9" s="4">
        <v>11</v>
      </c>
      <c r="W9" s="4">
        <v>10</v>
      </c>
      <c r="X9" s="4">
        <v>10</v>
      </c>
      <c r="Y9" s="4">
        <v>6</v>
      </c>
      <c r="Z9" s="98">
        <v>5</v>
      </c>
      <c r="AA9" s="57">
        <f t="shared" si="0"/>
        <v>53</v>
      </c>
    </row>
    <row r="10" spans="1:36" x14ac:dyDescent="0.35">
      <c r="A10" s="74" t="s">
        <v>26</v>
      </c>
      <c r="B10" s="95">
        <f>'Data- Extract'!CJ11</f>
        <v>0</v>
      </c>
      <c r="C10" s="69">
        <f>'Data- Extract'!CK11</f>
        <v>67</v>
      </c>
      <c r="D10" s="95">
        <f>'Data- Extract'!CL11</f>
        <v>101</v>
      </c>
      <c r="E10" s="69">
        <f>'Data- Extract'!CM11</f>
        <v>99</v>
      </c>
      <c r="F10" s="95">
        <f>'Data- Extract'!CN11</f>
        <v>94</v>
      </c>
      <c r="G10" s="69">
        <f>'Data- Extract'!CO11</f>
        <v>69</v>
      </c>
      <c r="H10" s="95">
        <f>'Data- Extract'!CP11</f>
        <v>48</v>
      </c>
      <c r="I10" s="69">
        <f>'Data- Extract'!CQ11</f>
        <v>30</v>
      </c>
      <c r="J10" s="95">
        <f>'Data- Extract'!CR11</f>
        <v>26</v>
      </c>
      <c r="K10" s="69">
        <f>'Data- Extract'!CS11</f>
        <v>20</v>
      </c>
      <c r="L10" s="95">
        <f>'Data- Extract'!CT11</f>
        <v>27</v>
      </c>
      <c r="M10" s="69">
        <f>'Data- Extract'!CU11</f>
        <v>31</v>
      </c>
      <c r="N10" s="95">
        <f>'Data- Extract'!CV11</f>
        <v>41</v>
      </c>
      <c r="O10" s="136">
        <f>'Data- Extract'!CW11</f>
        <v>30</v>
      </c>
      <c r="P10" s="69">
        <f>'Data- Extract'!CX11</f>
        <v>0</v>
      </c>
      <c r="Q10" s="138">
        <f>'Data- Extract'!CY11</f>
        <v>0</v>
      </c>
      <c r="T10" s="56" t="s">
        <v>26</v>
      </c>
      <c r="U10" s="4">
        <v>13</v>
      </c>
      <c r="V10" s="4">
        <v>15</v>
      </c>
      <c r="W10" s="4">
        <v>9</v>
      </c>
      <c r="X10" s="4">
        <v>7</v>
      </c>
      <c r="Y10" s="4">
        <v>6</v>
      </c>
      <c r="Z10" s="98">
        <v>7</v>
      </c>
      <c r="AA10" s="57">
        <f t="shared" si="0"/>
        <v>57</v>
      </c>
    </row>
    <row r="11" spans="1:36" x14ac:dyDescent="0.35">
      <c r="A11" s="74" t="s">
        <v>27</v>
      </c>
      <c r="B11" s="95">
        <f>'Data- Extract'!CJ12</f>
        <v>1</v>
      </c>
      <c r="C11" s="69">
        <f>'Data- Extract'!CK12</f>
        <v>12</v>
      </c>
      <c r="D11" s="95">
        <f>'Data- Extract'!CL12</f>
        <v>10</v>
      </c>
      <c r="E11" s="69">
        <f>'Data- Extract'!CM12</f>
        <v>18</v>
      </c>
      <c r="F11" s="95">
        <f>'Data- Extract'!CN12</f>
        <v>20</v>
      </c>
      <c r="G11" s="69">
        <f>'Data- Extract'!CO12</f>
        <v>12</v>
      </c>
      <c r="H11" s="95">
        <f>'Data- Extract'!CP12</f>
        <v>7</v>
      </c>
      <c r="I11" s="69">
        <f>'Data- Extract'!CQ12</f>
        <v>8</v>
      </c>
      <c r="J11" s="95">
        <f>'Data- Extract'!CR12</f>
        <v>10</v>
      </c>
      <c r="K11" s="69">
        <f>'Data- Extract'!CS12</f>
        <v>7</v>
      </c>
      <c r="L11" s="95">
        <f>'Data- Extract'!CT12</f>
        <v>5</v>
      </c>
      <c r="M11" s="69">
        <f>'Data- Extract'!CU12</f>
        <v>2</v>
      </c>
      <c r="N11" s="95">
        <f>'Data- Extract'!CV12</f>
        <v>4</v>
      </c>
      <c r="O11" s="136">
        <f>'Data- Extract'!CW12</f>
        <v>0</v>
      </c>
      <c r="P11" s="69">
        <f>'Data- Extract'!CX12</f>
        <v>0</v>
      </c>
      <c r="Q11" s="138">
        <f>'Data- Extract'!CY12</f>
        <v>0</v>
      </c>
      <c r="T11" s="56" t="s">
        <v>27</v>
      </c>
      <c r="U11" s="4">
        <v>6</v>
      </c>
      <c r="V11" s="4">
        <v>4</v>
      </c>
      <c r="W11" s="4">
        <v>1</v>
      </c>
      <c r="X11" s="4">
        <v>1</v>
      </c>
      <c r="Y11" s="4">
        <v>3</v>
      </c>
      <c r="Z11" s="98">
        <v>1</v>
      </c>
      <c r="AA11" s="57">
        <f t="shared" si="0"/>
        <v>16</v>
      </c>
    </row>
    <row r="12" spans="1:36" x14ac:dyDescent="0.35">
      <c r="A12" s="74" t="s">
        <v>28</v>
      </c>
      <c r="B12" s="95">
        <f>'Data- Extract'!CJ13</f>
        <v>8</v>
      </c>
      <c r="C12" s="69">
        <f>'Data- Extract'!CK13</f>
        <v>18</v>
      </c>
      <c r="D12" s="95">
        <f>'Data- Extract'!CL13</f>
        <v>17</v>
      </c>
      <c r="E12" s="69">
        <f>'Data- Extract'!CM13</f>
        <v>11</v>
      </c>
      <c r="F12" s="95">
        <f>'Data- Extract'!CN13</f>
        <v>15</v>
      </c>
      <c r="G12" s="69">
        <f>'Data- Extract'!CO13</f>
        <v>12</v>
      </c>
      <c r="H12" s="95">
        <f>'Data- Extract'!CP13</f>
        <v>11</v>
      </c>
      <c r="I12" s="69">
        <f>'Data- Extract'!CQ13</f>
        <v>10</v>
      </c>
      <c r="J12" s="95">
        <f>'Data- Extract'!CR13</f>
        <v>8</v>
      </c>
      <c r="K12" s="69">
        <f>'Data- Extract'!CS13</f>
        <v>6</v>
      </c>
      <c r="L12" s="95">
        <f>'Data- Extract'!CT13</f>
        <v>8</v>
      </c>
      <c r="M12" s="69">
        <f>'Data- Extract'!CU13</f>
        <v>9</v>
      </c>
      <c r="N12" s="95">
        <f>'Data- Extract'!CV13</f>
        <v>10</v>
      </c>
      <c r="O12" s="136">
        <f>'Data- Extract'!CW13</f>
        <v>0</v>
      </c>
      <c r="P12" s="69">
        <f>'Data- Extract'!CX13</f>
        <v>0</v>
      </c>
      <c r="Q12" s="138">
        <f>'Data- Extract'!CY13</f>
        <v>0</v>
      </c>
      <c r="T12" s="56" t="s">
        <v>28</v>
      </c>
      <c r="U12" s="4">
        <v>6</v>
      </c>
      <c r="V12" s="4">
        <v>8</v>
      </c>
      <c r="W12" s="4">
        <v>1</v>
      </c>
      <c r="X12" s="4">
        <v>5</v>
      </c>
      <c r="Y12" s="4">
        <v>1</v>
      </c>
      <c r="Z12" s="98">
        <v>4</v>
      </c>
      <c r="AA12" s="57">
        <f t="shared" si="0"/>
        <v>25</v>
      </c>
    </row>
    <row r="13" spans="1:36" x14ac:dyDescent="0.35">
      <c r="A13" s="74" t="s">
        <v>29</v>
      </c>
      <c r="B13" s="95">
        <f>'Data- Extract'!CJ14</f>
        <v>78</v>
      </c>
      <c r="C13" s="69">
        <f>'Data- Extract'!CK14</f>
        <v>262</v>
      </c>
      <c r="D13" s="95">
        <f>'Data- Extract'!CL14</f>
        <v>250</v>
      </c>
      <c r="E13" s="69">
        <f>'Data- Extract'!CM14</f>
        <v>242</v>
      </c>
      <c r="F13" s="95">
        <f>'Data- Extract'!CN14</f>
        <v>230</v>
      </c>
      <c r="G13" s="69">
        <f>'Data- Extract'!CO14</f>
        <v>185</v>
      </c>
      <c r="H13" s="95">
        <f>'Data- Extract'!CP14</f>
        <v>202</v>
      </c>
      <c r="I13" s="69">
        <f>'Data- Extract'!CQ14</f>
        <v>170</v>
      </c>
      <c r="J13" s="95">
        <f>'Data- Extract'!CR14</f>
        <v>148</v>
      </c>
      <c r="K13" s="69">
        <f>'Data- Extract'!CS14</f>
        <v>115</v>
      </c>
      <c r="L13" s="95">
        <f>'Data- Extract'!CT14</f>
        <v>146</v>
      </c>
      <c r="M13" s="69">
        <f>'Data- Extract'!CU14</f>
        <v>152</v>
      </c>
      <c r="N13" s="95">
        <f>'Data- Extract'!CV14</f>
        <v>123</v>
      </c>
      <c r="O13" s="136">
        <f>'Data- Extract'!CW14</f>
        <v>0</v>
      </c>
      <c r="P13" s="69">
        <f>'Data- Extract'!CX14</f>
        <v>0</v>
      </c>
      <c r="Q13" s="138">
        <f>'Data- Extract'!CY14</f>
        <v>0</v>
      </c>
      <c r="T13" s="56" t="s">
        <v>29</v>
      </c>
      <c r="U13" s="4">
        <v>20</v>
      </c>
      <c r="V13" s="4">
        <v>17</v>
      </c>
      <c r="W13" s="4">
        <v>8</v>
      </c>
      <c r="X13" s="4">
        <v>8</v>
      </c>
      <c r="Y13" s="4">
        <v>10</v>
      </c>
      <c r="Z13" s="98">
        <v>9</v>
      </c>
      <c r="AA13" s="57">
        <f t="shared" si="0"/>
        <v>72</v>
      </c>
    </row>
    <row r="14" spans="1:36" x14ac:dyDescent="0.35">
      <c r="A14" s="74" t="s">
        <v>30</v>
      </c>
      <c r="B14" s="95">
        <f>'Data- Extract'!CJ15</f>
        <v>35</v>
      </c>
      <c r="C14" s="69">
        <f>'Data- Extract'!CK15</f>
        <v>130</v>
      </c>
      <c r="D14" s="95">
        <f>'Data- Extract'!CL15</f>
        <v>128</v>
      </c>
      <c r="E14" s="69">
        <f>'Data- Extract'!CM15</f>
        <v>146</v>
      </c>
      <c r="F14" s="95">
        <f>'Data- Extract'!CN15</f>
        <v>143</v>
      </c>
      <c r="G14" s="69">
        <f>'Data- Extract'!CO15</f>
        <v>119</v>
      </c>
      <c r="H14" s="95">
        <f>'Data- Extract'!CP15</f>
        <v>99</v>
      </c>
      <c r="I14" s="69">
        <f>'Data- Extract'!CQ15</f>
        <v>76</v>
      </c>
      <c r="J14" s="95">
        <f>'Data- Extract'!CR15</f>
        <v>59</v>
      </c>
      <c r="K14" s="69">
        <f>'Data- Extract'!CS15</f>
        <v>53</v>
      </c>
      <c r="L14" s="95">
        <f>'Data- Extract'!CT15</f>
        <v>70</v>
      </c>
      <c r="M14" s="69">
        <f>'Data- Extract'!CU15</f>
        <v>67</v>
      </c>
      <c r="N14" s="95">
        <f>'Data- Extract'!CV15</f>
        <v>59</v>
      </c>
      <c r="O14" s="136">
        <f>'Data- Extract'!CW15</f>
        <v>0</v>
      </c>
      <c r="P14" s="69">
        <f>'Data- Extract'!CX15</f>
        <v>0</v>
      </c>
      <c r="Q14" s="138">
        <f>'Data- Extract'!CY15</f>
        <v>0</v>
      </c>
      <c r="T14" s="56" t="s">
        <v>30</v>
      </c>
      <c r="U14" s="4">
        <v>14</v>
      </c>
      <c r="V14" s="4">
        <v>9</v>
      </c>
      <c r="W14" s="4">
        <v>8</v>
      </c>
      <c r="X14" s="4">
        <v>10</v>
      </c>
      <c r="Y14" s="4">
        <v>6</v>
      </c>
      <c r="Z14" s="98">
        <v>2</v>
      </c>
      <c r="AA14" s="57">
        <f t="shared" si="0"/>
        <v>49</v>
      </c>
    </row>
    <row r="15" spans="1:36" x14ac:dyDescent="0.35">
      <c r="A15" s="74" t="s">
        <v>31</v>
      </c>
      <c r="B15" s="95">
        <f>'Data- Extract'!CJ16</f>
        <v>0</v>
      </c>
      <c r="C15" s="69">
        <f>'Data- Extract'!CK16</f>
        <v>19</v>
      </c>
      <c r="D15" s="95">
        <f>'Data- Extract'!CL16</f>
        <v>14</v>
      </c>
      <c r="E15" s="69">
        <f>'Data- Extract'!CM16</f>
        <v>9</v>
      </c>
      <c r="F15" s="95">
        <f>'Data- Extract'!CN16</f>
        <v>12</v>
      </c>
      <c r="G15" s="69">
        <f>'Data- Extract'!CO16</f>
        <v>14</v>
      </c>
      <c r="H15" s="95">
        <f>'Data- Extract'!CP16</f>
        <v>12</v>
      </c>
      <c r="I15" s="69">
        <f>'Data- Extract'!CQ16</f>
        <v>12</v>
      </c>
      <c r="J15" s="95">
        <f>'Data- Extract'!CR16</f>
        <v>8</v>
      </c>
      <c r="K15" s="69">
        <f>'Data- Extract'!CS16</f>
        <v>8</v>
      </c>
      <c r="L15" s="95">
        <f>'Data- Extract'!CT16</f>
        <v>8</v>
      </c>
      <c r="M15" s="69">
        <f>'Data- Extract'!CU16</f>
        <v>23</v>
      </c>
      <c r="N15" s="95">
        <f>'Data- Extract'!CV16</f>
        <v>34</v>
      </c>
      <c r="O15" s="136">
        <f>'Data- Extract'!CW16</f>
        <v>23</v>
      </c>
      <c r="P15" s="69">
        <f>'Data- Extract'!CX16</f>
        <v>0</v>
      </c>
      <c r="Q15" s="138">
        <f>'Data- Extract'!CY16</f>
        <v>0</v>
      </c>
      <c r="T15" s="56" t="s">
        <v>31</v>
      </c>
      <c r="U15" s="4">
        <v>7</v>
      </c>
      <c r="V15" s="4">
        <v>9</v>
      </c>
      <c r="W15" s="4">
        <v>5</v>
      </c>
      <c r="X15" s="4">
        <v>3</v>
      </c>
      <c r="Y15" s="4">
        <v>2</v>
      </c>
      <c r="Z15" s="98">
        <v>0</v>
      </c>
      <c r="AA15" s="57">
        <f t="shared" si="0"/>
        <v>26</v>
      </c>
    </row>
    <row r="16" spans="1:36" x14ac:dyDescent="0.35">
      <c r="A16" s="74" t="s">
        <v>32</v>
      </c>
      <c r="B16" s="95">
        <f>'Data- Extract'!CJ17</f>
        <v>0</v>
      </c>
      <c r="C16" s="69">
        <f>'Data- Extract'!CK17</f>
        <v>18</v>
      </c>
      <c r="D16" s="95">
        <f>'Data- Extract'!CL17</f>
        <v>23</v>
      </c>
      <c r="E16" s="69">
        <f>'Data- Extract'!CM17</f>
        <v>12</v>
      </c>
      <c r="F16" s="95">
        <f>'Data- Extract'!CN17</f>
        <v>20</v>
      </c>
      <c r="G16" s="69">
        <f>'Data- Extract'!CO17</f>
        <v>16</v>
      </c>
      <c r="H16" s="95">
        <f>'Data- Extract'!CP17</f>
        <v>12</v>
      </c>
      <c r="I16" s="69">
        <f>'Data- Extract'!CQ17</f>
        <v>15</v>
      </c>
      <c r="J16" s="95">
        <f>'Data- Extract'!CR17</f>
        <v>4</v>
      </c>
      <c r="K16" s="69">
        <f>'Data- Extract'!CS17</f>
        <v>11</v>
      </c>
      <c r="L16" s="95">
        <f>'Data- Extract'!CT17</f>
        <v>5</v>
      </c>
      <c r="M16" s="69">
        <f>'Data- Extract'!CU17</f>
        <v>13</v>
      </c>
      <c r="N16" s="95">
        <f>'Data- Extract'!CV17</f>
        <v>10</v>
      </c>
      <c r="O16" s="136">
        <f>'Data- Extract'!CW17</f>
        <v>10</v>
      </c>
      <c r="P16" s="69">
        <f>'Data- Extract'!CX17</f>
        <v>0</v>
      </c>
      <c r="Q16" s="138">
        <f>'Data- Extract'!CY17</f>
        <v>0</v>
      </c>
      <c r="T16" s="56" t="s">
        <v>32</v>
      </c>
      <c r="U16" s="4">
        <v>4</v>
      </c>
      <c r="V16" s="4">
        <v>2</v>
      </c>
      <c r="W16" s="4">
        <v>3</v>
      </c>
      <c r="X16" s="4">
        <v>4</v>
      </c>
      <c r="Y16" s="4">
        <v>4</v>
      </c>
      <c r="Z16" s="98">
        <v>1</v>
      </c>
      <c r="AA16" s="57">
        <f t="shared" si="0"/>
        <v>18</v>
      </c>
    </row>
    <row r="17" spans="1:27" x14ac:dyDescent="0.35">
      <c r="A17" s="74" t="s">
        <v>33</v>
      </c>
      <c r="B17" s="95">
        <f>'Data- Extract'!CJ18</f>
        <v>0</v>
      </c>
      <c r="C17" s="69">
        <f>'Data- Extract'!CK18</f>
        <v>0</v>
      </c>
      <c r="D17" s="95">
        <f>'Data- Extract'!CL18</f>
        <v>24</v>
      </c>
      <c r="E17" s="69">
        <f>'Data- Extract'!CM18</f>
        <v>21</v>
      </c>
      <c r="F17" s="95">
        <f>'Data- Extract'!CN18</f>
        <v>23</v>
      </c>
      <c r="G17" s="69">
        <f>'Data- Extract'!CO18</f>
        <v>22</v>
      </c>
      <c r="H17" s="95">
        <f>'Data- Extract'!CP18</f>
        <v>19</v>
      </c>
      <c r="I17" s="69">
        <f>'Data- Extract'!CQ18</f>
        <v>14</v>
      </c>
      <c r="J17" s="95">
        <f>'Data- Extract'!CR18</f>
        <v>14</v>
      </c>
      <c r="K17" s="69">
        <f>'Data- Extract'!CS18</f>
        <v>12</v>
      </c>
      <c r="L17" s="95">
        <f>'Data- Extract'!CT18</f>
        <v>9</v>
      </c>
      <c r="M17" s="69">
        <f>'Data- Extract'!CU18</f>
        <v>9</v>
      </c>
      <c r="N17" s="95">
        <f>'Data- Extract'!CV18</f>
        <v>10</v>
      </c>
      <c r="O17" s="136">
        <f>'Data- Extract'!CW18</f>
        <v>9</v>
      </c>
      <c r="P17" s="69">
        <f>'Data- Extract'!CX18</f>
        <v>7</v>
      </c>
      <c r="Q17" s="138">
        <f>'Data- Extract'!CY18</f>
        <v>0</v>
      </c>
      <c r="T17" s="56" t="s">
        <v>33</v>
      </c>
      <c r="U17" s="4">
        <v>4</v>
      </c>
      <c r="V17" s="4">
        <v>5</v>
      </c>
      <c r="W17" s="4">
        <v>1</v>
      </c>
      <c r="X17" s="4">
        <v>1</v>
      </c>
      <c r="Y17" s="4">
        <v>0</v>
      </c>
      <c r="Z17" s="98">
        <v>0</v>
      </c>
      <c r="AA17" s="57">
        <f t="shared" si="0"/>
        <v>11</v>
      </c>
    </row>
    <row r="18" spans="1:27" x14ac:dyDescent="0.35">
      <c r="A18" s="74" t="s">
        <v>34</v>
      </c>
      <c r="B18" s="95">
        <f>'Data- Extract'!CJ19</f>
        <v>0</v>
      </c>
      <c r="C18" s="69">
        <f>'Data- Extract'!CK19</f>
        <v>0</v>
      </c>
      <c r="D18" s="95">
        <f>'Data- Extract'!CL19</f>
        <v>135</v>
      </c>
      <c r="E18" s="69">
        <f>'Data- Extract'!CM19</f>
        <v>139</v>
      </c>
      <c r="F18" s="95">
        <f>'Data- Extract'!CN19</f>
        <v>119</v>
      </c>
      <c r="G18" s="69">
        <f>'Data- Extract'!CO19</f>
        <v>107</v>
      </c>
      <c r="H18" s="95">
        <f>'Data- Extract'!CP19</f>
        <v>109</v>
      </c>
      <c r="I18" s="69">
        <f>'Data- Extract'!CQ19</f>
        <v>95</v>
      </c>
      <c r="J18" s="95">
        <f>'Data- Extract'!CR19</f>
        <v>105</v>
      </c>
      <c r="K18" s="69">
        <f>'Data- Extract'!CS19</f>
        <v>79</v>
      </c>
      <c r="L18" s="95">
        <f>'Data- Extract'!CT19</f>
        <v>58</v>
      </c>
      <c r="M18" s="69">
        <f>'Data- Extract'!CU19</f>
        <v>34</v>
      </c>
      <c r="N18" s="95">
        <f>'Data- Extract'!CV19</f>
        <v>97</v>
      </c>
      <c r="O18" s="136">
        <f>'Data- Extract'!CW19</f>
        <v>115</v>
      </c>
      <c r="P18" s="69">
        <f>'Data- Extract'!CX19</f>
        <v>87</v>
      </c>
      <c r="Q18" s="138">
        <f>'Data- Extract'!CY19</f>
        <v>0</v>
      </c>
      <c r="T18" s="56" t="s">
        <v>34</v>
      </c>
      <c r="U18" s="4">
        <v>14</v>
      </c>
      <c r="V18" s="4">
        <v>12</v>
      </c>
      <c r="W18" s="4">
        <v>9</v>
      </c>
      <c r="X18" s="4">
        <v>8</v>
      </c>
      <c r="Y18" s="4">
        <v>8</v>
      </c>
      <c r="Z18" s="98">
        <v>7</v>
      </c>
      <c r="AA18" s="57">
        <f t="shared" si="0"/>
        <v>58</v>
      </c>
    </row>
    <row r="19" spans="1:27" x14ac:dyDescent="0.35">
      <c r="A19" s="74" t="s">
        <v>35</v>
      </c>
      <c r="B19" s="95">
        <f>'Data- Extract'!CJ20</f>
        <v>9</v>
      </c>
      <c r="C19" s="69">
        <f>'Data- Extract'!CK20</f>
        <v>54</v>
      </c>
      <c r="D19" s="95">
        <f>'Data- Extract'!CL20</f>
        <v>69</v>
      </c>
      <c r="E19" s="69">
        <f>'Data- Extract'!CM20</f>
        <v>66</v>
      </c>
      <c r="F19" s="95">
        <f>'Data- Extract'!CN20</f>
        <v>61</v>
      </c>
      <c r="G19" s="69">
        <f>'Data- Extract'!CO20</f>
        <v>66</v>
      </c>
      <c r="H19" s="95">
        <f>'Data- Extract'!CP20</f>
        <v>54</v>
      </c>
      <c r="I19" s="69">
        <f>'Data- Extract'!CQ20</f>
        <v>28</v>
      </c>
      <c r="J19" s="95">
        <f>'Data- Extract'!CR20</f>
        <v>24</v>
      </c>
      <c r="K19" s="69">
        <f>'Data- Extract'!CS20</f>
        <v>27</v>
      </c>
      <c r="L19" s="95">
        <f>'Data- Extract'!CT20</f>
        <v>31</v>
      </c>
      <c r="M19" s="69">
        <f>'Data- Extract'!CU20</f>
        <v>42</v>
      </c>
      <c r="N19" s="95">
        <f>'Data- Extract'!CV20</f>
        <v>30</v>
      </c>
      <c r="O19" s="136">
        <f>'Data- Extract'!CW20</f>
        <v>0</v>
      </c>
      <c r="P19" s="69">
        <f>'Data- Extract'!CX20</f>
        <v>0</v>
      </c>
      <c r="Q19" s="138">
        <f>'Data- Extract'!CY20</f>
        <v>0</v>
      </c>
      <c r="T19" s="56" t="s">
        <v>35</v>
      </c>
      <c r="U19" s="4">
        <v>9</v>
      </c>
      <c r="V19" s="4">
        <v>12</v>
      </c>
      <c r="W19" s="4">
        <v>7</v>
      </c>
      <c r="X19" s="4">
        <v>4</v>
      </c>
      <c r="Y19" s="4">
        <v>2</v>
      </c>
      <c r="Z19" s="98">
        <v>3</v>
      </c>
      <c r="AA19" s="57">
        <f t="shared" si="0"/>
        <v>37</v>
      </c>
    </row>
    <row r="20" spans="1:27" x14ac:dyDescent="0.35">
      <c r="A20" s="74" t="s">
        <v>36</v>
      </c>
      <c r="B20" s="95">
        <f>'Data- Extract'!CJ21</f>
        <v>0</v>
      </c>
      <c r="C20" s="69">
        <f>'Data- Extract'!CK21</f>
        <v>21</v>
      </c>
      <c r="D20" s="95">
        <f>'Data- Extract'!CL21</f>
        <v>25</v>
      </c>
      <c r="E20" s="69">
        <f>'Data- Extract'!CM21</f>
        <v>36</v>
      </c>
      <c r="F20" s="95">
        <f>'Data- Extract'!CN21</f>
        <v>26</v>
      </c>
      <c r="G20" s="69">
        <f>'Data- Extract'!CO21</f>
        <v>25</v>
      </c>
      <c r="H20" s="95">
        <f>'Data- Extract'!CP21</f>
        <v>15</v>
      </c>
      <c r="I20" s="69">
        <f>'Data- Extract'!CQ21</f>
        <v>10</v>
      </c>
      <c r="J20" s="95">
        <f>'Data- Extract'!CR21</f>
        <v>10</v>
      </c>
      <c r="K20" s="69">
        <f>'Data- Extract'!CS21</f>
        <v>14</v>
      </c>
      <c r="L20" s="95">
        <f>'Data- Extract'!CT21</f>
        <v>11</v>
      </c>
      <c r="M20" s="69">
        <f>'Data- Extract'!CU21</f>
        <v>8</v>
      </c>
      <c r="N20" s="95">
        <f>'Data- Extract'!CV21</f>
        <v>14</v>
      </c>
      <c r="O20" s="136">
        <f>'Data- Extract'!CW21</f>
        <v>8</v>
      </c>
      <c r="P20" s="69">
        <f>'Data- Extract'!CX21</f>
        <v>0</v>
      </c>
      <c r="Q20" s="138">
        <f>'Data- Extract'!CY21</f>
        <v>0</v>
      </c>
      <c r="T20" s="56" t="s">
        <v>36</v>
      </c>
      <c r="U20" s="4">
        <v>4</v>
      </c>
      <c r="V20" s="4">
        <v>2</v>
      </c>
      <c r="W20" s="4">
        <v>3</v>
      </c>
      <c r="X20" s="4">
        <v>5</v>
      </c>
      <c r="Y20" s="4">
        <v>3</v>
      </c>
      <c r="Z20" s="98">
        <v>3</v>
      </c>
      <c r="AA20" s="57">
        <f t="shared" si="0"/>
        <v>20</v>
      </c>
    </row>
    <row r="21" spans="1:27" x14ac:dyDescent="0.35">
      <c r="A21" s="74" t="s">
        <v>37</v>
      </c>
      <c r="B21" s="95">
        <f>'Data- Extract'!CJ22</f>
        <v>0</v>
      </c>
      <c r="C21" s="69">
        <f>'Data- Extract'!CK22</f>
        <v>0</v>
      </c>
      <c r="D21" s="95">
        <f>'Data- Extract'!CL22</f>
        <v>51</v>
      </c>
      <c r="E21" s="69">
        <f>'Data- Extract'!CM22</f>
        <v>52</v>
      </c>
      <c r="F21" s="95">
        <f>'Data- Extract'!CN22</f>
        <v>41</v>
      </c>
      <c r="G21" s="69">
        <f>'Data- Extract'!CO22</f>
        <v>36</v>
      </c>
      <c r="H21" s="95">
        <f>'Data- Extract'!CP22</f>
        <v>30</v>
      </c>
      <c r="I21" s="69">
        <f>'Data- Extract'!CQ22</f>
        <v>13</v>
      </c>
      <c r="J21" s="95">
        <f>'Data- Extract'!CR22</f>
        <v>10</v>
      </c>
      <c r="K21" s="69">
        <f>'Data- Extract'!CS22</f>
        <v>10</v>
      </c>
      <c r="L21" s="95">
        <f>'Data- Extract'!CT22</f>
        <v>8</v>
      </c>
      <c r="M21" s="69">
        <f>'Data- Extract'!CU22</f>
        <v>6</v>
      </c>
      <c r="N21" s="95">
        <f>'Data- Extract'!CV22</f>
        <v>32</v>
      </c>
      <c r="O21" s="136">
        <f>'Data- Extract'!CW22</f>
        <v>40</v>
      </c>
      <c r="P21" s="69">
        <f>'Data- Extract'!CX22</f>
        <v>31</v>
      </c>
      <c r="Q21" s="138">
        <f>'Data- Extract'!CY22</f>
        <v>0</v>
      </c>
      <c r="T21" s="56" t="s">
        <v>37</v>
      </c>
      <c r="U21" s="4">
        <v>19</v>
      </c>
      <c r="V21" s="4">
        <v>20</v>
      </c>
      <c r="W21" s="4">
        <v>1</v>
      </c>
      <c r="X21" s="4">
        <v>1</v>
      </c>
      <c r="Y21" s="4">
        <v>2</v>
      </c>
      <c r="Z21" s="98">
        <v>2</v>
      </c>
      <c r="AA21" s="57">
        <f t="shared" si="0"/>
        <v>45</v>
      </c>
    </row>
    <row r="22" spans="1:27" x14ac:dyDescent="0.35">
      <c r="A22" s="74" t="s">
        <v>38</v>
      </c>
      <c r="B22" s="95">
        <f>'Data- Extract'!CJ23</f>
        <v>0</v>
      </c>
      <c r="C22" s="69">
        <f>'Data- Extract'!CK23</f>
        <v>48</v>
      </c>
      <c r="D22" s="95">
        <f>'Data- Extract'!CL23</f>
        <v>63</v>
      </c>
      <c r="E22" s="69">
        <f>'Data- Extract'!CM23</f>
        <v>68</v>
      </c>
      <c r="F22" s="95">
        <f>'Data- Extract'!CN23</f>
        <v>48</v>
      </c>
      <c r="G22" s="69">
        <f>'Data- Extract'!CO23</f>
        <v>58</v>
      </c>
      <c r="H22" s="95">
        <f>'Data- Extract'!CP23</f>
        <v>33</v>
      </c>
      <c r="I22" s="69">
        <f>'Data- Extract'!CQ23</f>
        <v>42</v>
      </c>
      <c r="J22" s="95">
        <f>'Data- Extract'!CR23</f>
        <v>29</v>
      </c>
      <c r="K22" s="69">
        <f>'Data- Extract'!CS23</f>
        <v>23</v>
      </c>
      <c r="L22" s="95">
        <f>'Data- Extract'!CT23</f>
        <v>20</v>
      </c>
      <c r="M22" s="69">
        <f>'Data- Extract'!CU23</f>
        <v>30</v>
      </c>
      <c r="N22" s="95">
        <f>'Data- Extract'!CV23</f>
        <v>37</v>
      </c>
      <c r="O22" s="136">
        <f>'Data- Extract'!CW23</f>
        <v>22</v>
      </c>
      <c r="P22" s="69">
        <f>'Data- Extract'!CX23</f>
        <v>0</v>
      </c>
      <c r="Q22" s="138">
        <f>'Data- Extract'!CY23</f>
        <v>0</v>
      </c>
      <c r="T22" s="56" t="s">
        <v>38</v>
      </c>
      <c r="U22" s="4">
        <v>4</v>
      </c>
      <c r="V22" s="4">
        <v>5</v>
      </c>
      <c r="W22" s="4">
        <v>5</v>
      </c>
      <c r="X22" s="4">
        <v>4</v>
      </c>
      <c r="Y22" s="4">
        <v>7</v>
      </c>
      <c r="Z22" s="98">
        <v>6</v>
      </c>
      <c r="AA22" s="57">
        <f t="shared" si="0"/>
        <v>31</v>
      </c>
    </row>
    <row r="23" spans="1:27" x14ac:dyDescent="0.35">
      <c r="A23" s="74" t="s">
        <v>39</v>
      </c>
      <c r="B23" s="95">
        <f>'Data- Extract'!CJ24</f>
        <v>41</v>
      </c>
      <c r="C23" s="69">
        <f>'Data- Extract'!CK24</f>
        <v>84</v>
      </c>
      <c r="D23" s="95">
        <f>'Data- Extract'!CL24</f>
        <v>90</v>
      </c>
      <c r="E23" s="69">
        <f>'Data- Extract'!CM24</f>
        <v>110</v>
      </c>
      <c r="F23" s="95">
        <f>'Data- Extract'!CN24</f>
        <v>95</v>
      </c>
      <c r="G23" s="69">
        <f>'Data- Extract'!CO24</f>
        <v>81</v>
      </c>
      <c r="H23" s="95">
        <f>'Data- Extract'!CP24</f>
        <v>65</v>
      </c>
      <c r="I23" s="69">
        <f>'Data- Extract'!CQ24</f>
        <v>66</v>
      </c>
      <c r="J23" s="95">
        <f>'Data- Extract'!CR24</f>
        <v>60</v>
      </c>
      <c r="K23" s="69">
        <f>'Data- Extract'!CS24</f>
        <v>36</v>
      </c>
      <c r="L23" s="95">
        <f>'Data- Extract'!CT24</f>
        <v>71</v>
      </c>
      <c r="M23" s="69">
        <f>'Data- Extract'!CU24</f>
        <v>80</v>
      </c>
      <c r="N23" s="95">
        <f>'Data- Extract'!CV24</f>
        <v>63</v>
      </c>
      <c r="O23" s="136">
        <f>'Data- Extract'!CW24</f>
        <v>0</v>
      </c>
      <c r="P23" s="69">
        <f>'Data- Extract'!CX24</f>
        <v>0</v>
      </c>
      <c r="Q23" s="138">
        <f>'Data- Extract'!CY24</f>
        <v>0</v>
      </c>
      <c r="T23" s="56" t="s">
        <v>39</v>
      </c>
      <c r="U23" s="4">
        <v>19</v>
      </c>
      <c r="V23" s="4">
        <v>20</v>
      </c>
      <c r="W23" s="4">
        <v>8</v>
      </c>
      <c r="X23" s="4">
        <v>9</v>
      </c>
      <c r="Y23" s="4">
        <v>6</v>
      </c>
      <c r="Z23" s="98">
        <v>5</v>
      </c>
      <c r="AA23" s="57">
        <f t="shared" si="0"/>
        <v>67</v>
      </c>
    </row>
    <row r="24" spans="1:27" x14ac:dyDescent="0.35">
      <c r="A24" s="74" t="s">
        <v>40</v>
      </c>
      <c r="B24" s="95">
        <f>'Data- Extract'!CJ25</f>
        <v>27</v>
      </c>
      <c r="C24" s="69">
        <f>'Data- Extract'!CK25</f>
        <v>101</v>
      </c>
      <c r="D24" s="95">
        <f>'Data- Extract'!CL25</f>
        <v>124</v>
      </c>
      <c r="E24" s="69">
        <f>'Data- Extract'!CM25</f>
        <v>123</v>
      </c>
      <c r="F24" s="95">
        <f>'Data- Extract'!CN25</f>
        <v>151</v>
      </c>
      <c r="G24" s="69">
        <f>'Data- Extract'!CO25</f>
        <v>111</v>
      </c>
      <c r="H24" s="95">
        <f>'Data- Extract'!CP25</f>
        <v>81</v>
      </c>
      <c r="I24" s="69">
        <f>'Data- Extract'!CQ25</f>
        <v>71</v>
      </c>
      <c r="J24" s="95">
        <f>'Data- Extract'!CR25</f>
        <v>73</v>
      </c>
      <c r="K24" s="69">
        <f>'Data- Extract'!CS25</f>
        <v>33</v>
      </c>
      <c r="L24" s="95">
        <f>'Data- Extract'!CT25</f>
        <v>52</v>
      </c>
      <c r="M24" s="69">
        <f>'Data- Extract'!CU25</f>
        <v>54</v>
      </c>
      <c r="N24" s="95">
        <f>'Data- Extract'!CV25</f>
        <v>40</v>
      </c>
      <c r="O24" s="136">
        <f>'Data- Extract'!CW25</f>
        <v>0</v>
      </c>
      <c r="P24" s="69">
        <f>'Data- Extract'!CX25</f>
        <v>0</v>
      </c>
      <c r="Q24" s="138">
        <f>'Data- Extract'!CY25</f>
        <v>0</v>
      </c>
      <c r="T24" s="56" t="s">
        <v>40</v>
      </c>
      <c r="U24" s="4">
        <v>17</v>
      </c>
      <c r="V24" s="4">
        <v>14</v>
      </c>
      <c r="W24" s="4">
        <v>16</v>
      </c>
      <c r="X24" s="4">
        <v>11</v>
      </c>
      <c r="Y24" s="4">
        <v>9</v>
      </c>
      <c r="Z24" s="98">
        <v>12</v>
      </c>
      <c r="AA24" s="57">
        <f t="shared" si="0"/>
        <v>79</v>
      </c>
    </row>
    <row r="25" spans="1:27" x14ac:dyDescent="0.35">
      <c r="A25" s="74" t="s">
        <v>41</v>
      </c>
      <c r="B25" s="95">
        <f>'Data- Extract'!CJ26</f>
        <v>7</v>
      </c>
      <c r="C25" s="69">
        <f>'Data- Extract'!CK26</f>
        <v>32</v>
      </c>
      <c r="D25" s="95">
        <f>'Data- Extract'!CL26</f>
        <v>31</v>
      </c>
      <c r="E25" s="69">
        <f>'Data- Extract'!CM26</f>
        <v>33</v>
      </c>
      <c r="F25" s="95">
        <f>'Data- Extract'!CN26</f>
        <v>32</v>
      </c>
      <c r="G25" s="69">
        <f>'Data- Extract'!CO26</f>
        <v>22</v>
      </c>
      <c r="H25" s="95">
        <f>'Data- Extract'!CP26</f>
        <v>10</v>
      </c>
      <c r="I25" s="69">
        <f>'Data- Extract'!CQ26</f>
        <v>13</v>
      </c>
      <c r="J25" s="95">
        <f>'Data- Extract'!CR26</f>
        <v>9</v>
      </c>
      <c r="K25" s="69">
        <f>'Data- Extract'!CS26</f>
        <v>10</v>
      </c>
      <c r="L25" s="95">
        <f>'Data- Extract'!CT26</f>
        <v>7</v>
      </c>
      <c r="M25" s="69">
        <f>'Data- Extract'!CU26</f>
        <v>10</v>
      </c>
      <c r="N25" s="95">
        <f>'Data- Extract'!CV26</f>
        <v>7</v>
      </c>
      <c r="O25" s="136">
        <f>'Data- Extract'!CW26</f>
        <v>0</v>
      </c>
      <c r="P25" s="69">
        <f>'Data- Extract'!CX26</f>
        <v>0</v>
      </c>
      <c r="Q25" s="138">
        <f>'Data- Extract'!CY26</f>
        <v>0</v>
      </c>
      <c r="T25" s="56" t="s">
        <v>41</v>
      </c>
      <c r="U25" s="4">
        <v>5</v>
      </c>
      <c r="V25" s="4">
        <v>8</v>
      </c>
      <c r="W25" s="4">
        <v>4</v>
      </c>
      <c r="X25" s="4">
        <v>4</v>
      </c>
      <c r="Y25" s="4">
        <v>3</v>
      </c>
      <c r="Z25" s="98">
        <v>0</v>
      </c>
      <c r="AA25" s="57">
        <f t="shared" si="0"/>
        <v>24</v>
      </c>
    </row>
    <row r="26" spans="1:27" x14ac:dyDescent="0.35">
      <c r="A26" s="74" t="s">
        <v>42</v>
      </c>
      <c r="B26" s="95">
        <f>'Data- Extract'!CJ27</f>
        <v>0</v>
      </c>
      <c r="C26" s="69">
        <f>'Data- Extract'!CK27</f>
        <v>67</v>
      </c>
      <c r="D26" s="95">
        <f>'Data- Extract'!CL27</f>
        <v>101</v>
      </c>
      <c r="E26" s="69">
        <f>'Data- Extract'!CM27</f>
        <v>95</v>
      </c>
      <c r="F26" s="95">
        <f>'Data- Extract'!CN27</f>
        <v>75</v>
      </c>
      <c r="G26" s="69">
        <f>'Data- Extract'!CO27</f>
        <v>74</v>
      </c>
      <c r="H26" s="95">
        <f>'Data- Extract'!CP27</f>
        <v>56</v>
      </c>
      <c r="I26" s="69">
        <f>'Data- Extract'!CQ27</f>
        <v>49</v>
      </c>
      <c r="J26" s="95">
        <f>'Data- Extract'!CR27</f>
        <v>47</v>
      </c>
      <c r="K26" s="69">
        <f>'Data- Extract'!CS27</f>
        <v>34</v>
      </c>
      <c r="L26" s="95">
        <f>'Data- Extract'!CT27</f>
        <v>30</v>
      </c>
      <c r="M26" s="69">
        <f>'Data- Extract'!CU27</f>
        <v>36</v>
      </c>
      <c r="N26" s="95">
        <f>'Data- Extract'!CV27</f>
        <v>35</v>
      </c>
      <c r="O26" s="136">
        <f>'Data- Extract'!CW27</f>
        <v>23</v>
      </c>
      <c r="P26" s="69">
        <f>'Data- Extract'!CX27</f>
        <v>0</v>
      </c>
      <c r="Q26" s="138">
        <f>'Data- Extract'!CY27</f>
        <v>0</v>
      </c>
      <c r="T26" s="56" t="s">
        <v>42</v>
      </c>
      <c r="U26" s="4">
        <v>5</v>
      </c>
      <c r="V26" s="4">
        <v>8</v>
      </c>
      <c r="W26" s="4">
        <v>3</v>
      </c>
      <c r="X26" s="4">
        <v>2</v>
      </c>
      <c r="Y26" s="4">
        <v>2</v>
      </c>
      <c r="Z26" s="98">
        <v>3</v>
      </c>
      <c r="AA26" s="57">
        <f t="shared" si="0"/>
        <v>23</v>
      </c>
    </row>
    <row r="27" spans="1:27" x14ac:dyDescent="0.35">
      <c r="A27" s="74" t="s">
        <v>43</v>
      </c>
      <c r="B27" s="95">
        <f>'Data- Extract'!CJ28</f>
        <v>0</v>
      </c>
      <c r="C27" s="69">
        <f>'Data- Extract'!CK28</f>
        <v>0</v>
      </c>
      <c r="D27" s="95">
        <f>'Data- Extract'!CL28</f>
        <v>69</v>
      </c>
      <c r="E27" s="69">
        <f>'Data- Extract'!CM28</f>
        <v>85</v>
      </c>
      <c r="F27" s="95">
        <f>'Data- Extract'!CN28</f>
        <v>61</v>
      </c>
      <c r="G27" s="69">
        <f>'Data- Extract'!CO28</f>
        <v>80</v>
      </c>
      <c r="H27" s="95">
        <f>'Data- Extract'!CP28</f>
        <v>51</v>
      </c>
      <c r="I27" s="69">
        <f>'Data- Extract'!CQ28</f>
        <v>34</v>
      </c>
      <c r="J27" s="95">
        <f>'Data- Extract'!CR28</f>
        <v>33</v>
      </c>
      <c r="K27" s="69">
        <f>'Data- Extract'!CS28</f>
        <v>26</v>
      </c>
      <c r="L27" s="95">
        <f>'Data- Extract'!CT28</f>
        <v>22</v>
      </c>
      <c r="M27" s="69">
        <f>'Data- Extract'!CU28</f>
        <v>13</v>
      </c>
      <c r="N27" s="95">
        <f>'Data- Extract'!CV28</f>
        <v>40</v>
      </c>
      <c r="O27" s="136">
        <f>'Data- Extract'!CW28</f>
        <v>50</v>
      </c>
      <c r="P27" s="69">
        <f>'Data- Extract'!CX28</f>
        <v>37</v>
      </c>
      <c r="Q27" s="138">
        <f>'Data- Extract'!CY28</f>
        <v>0</v>
      </c>
      <c r="T27" s="56" t="s">
        <v>43</v>
      </c>
      <c r="U27" s="4">
        <v>9</v>
      </c>
      <c r="V27" s="4">
        <v>7</v>
      </c>
      <c r="W27" s="4">
        <v>9</v>
      </c>
      <c r="X27" s="4">
        <v>4</v>
      </c>
      <c r="Y27" s="4">
        <v>3</v>
      </c>
      <c r="Z27" s="98">
        <v>5</v>
      </c>
      <c r="AA27" s="57">
        <f t="shared" si="0"/>
        <v>37</v>
      </c>
    </row>
    <row r="28" spans="1:27" x14ac:dyDescent="0.35">
      <c r="A28" s="74" t="s">
        <v>44</v>
      </c>
      <c r="B28" s="95">
        <f>'Data- Extract'!CJ29</f>
        <v>0</v>
      </c>
      <c r="C28" s="69">
        <f>'Data- Extract'!CK29</f>
        <v>71</v>
      </c>
      <c r="D28" s="95">
        <f>'Data- Extract'!CL29</f>
        <v>52</v>
      </c>
      <c r="E28" s="69">
        <f>'Data- Extract'!CM29</f>
        <v>78</v>
      </c>
      <c r="F28" s="95">
        <f>'Data- Extract'!CN29</f>
        <v>68</v>
      </c>
      <c r="G28" s="69">
        <f>'Data- Extract'!CO29</f>
        <v>55</v>
      </c>
      <c r="H28" s="95">
        <f>'Data- Extract'!CP29</f>
        <v>49</v>
      </c>
      <c r="I28" s="69">
        <f>'Data- Extract'!CQ29</f>
        <v>35</v>
      </c>
      <c r="J28" s="95">
        <f>'Data- Extract'!CR29</f>
        <v>35</v>
      </c>
      <c r="K28" s="69">
        <f>'Data- Extract'!CS29</f>
        <v>33</v>
      </c>
      <c r="L28" s="95">
        <f>'Data- Extract'!CT29</f>
        <v>22</v>
      </c>
      <c r="M28" s="69">
        <f>'Data- Extract'!CU29</f>
        <v>30</v>
      </c>
      <c r="N28" s="95">
        <f>'Data- Extract'!CV29</f>
        <v>30</v>
      </c>
      <c r="O28" s="136">
        <f>'Data- Extract'!CW29</f>
        <v>20</v>
      </c>
      <c r="P28" s="69">
        <f>'Data- Extract'!CX29</f>
        <v>0</v>
      </c>
      <c r="Q28" s="138">
        <f>'Data- Extract'!CY29</f>
        <v>0</v>
      </c>
      <c r="T28" s="56" t="s">
        <v>44</v>
      </c>
      <c r="U28" s="4">
        <v>7</v>
      </c>
      <c r="V28" s="4">
        <v>4</v>
      </c>
      <c r="W28" s="4">
        <v>2</v>
      </c>
      <c r="X28" s="4">
        <v>4</v>
      </c>
      <c r="Y28" s="4">
        <v>3</v>
      </c>
      <c r="Z28" s="98">
        <v>0</v>
      </c>
      <c r="AA28" s="57">
        <f t="shared" si="0"/>
        <v>20</v>
      </c>
    </row>
    <row r="29" spans="1:27" x14ac:dyDescent="0.35">
      <c r="A29" s="74" t="s">
        <v>45</v>
      </c>
      <c r="B29" s="95">
        <f>'Data- Extract'!CJ30</f>
        <v>0</v>
      </c>
      <c r="C29" s="69">
        <f>'Data- Extract'!CK30</f>
        <v>34</v>
      </c>
      <c r="D29" s="95">
        <f>'Data- Extract'!CL30</f>
        <v>36</v>
      </c>
      <c r="E29" s="69">
        <f>'Data- Extract'!CM30</f>
        <v>33</v>
      </c>
      <c r="F29" s="95">
        <f>'Data- Extract'!CN30</f>
        <v>34</v>
      </c>
      <c r="G29" s="69">
        <f>'Data- Extract'!CO30</f>
        <v>30</v>
      </c>
      <c r="H29" s="95">
        <f>'Data- Extract'!CP30</f>
        <v>34</v>
      </c>
      <c r="I29" s="69">
        <f>'Data- Extract'!CQ30</f>
        <v>14</v>
      </c>
      <c r="J29" s="95">
        <f>'Data- Extract'!CR30</f>
        <v>15</v>
      </c>
      <c r="K29" s="69">
        <f>'Data- Extract'!CS30</f>
        <v>10</v>
      </c>
      <c r="L29" s="95">
        <f>'Data- Extract'!CT30</f>
        <v>8</v>
      </c>
      <c r="M29" s="69">
        <f>'Data- Extract'!CU30</f>
        <v>17</v>
      </c>
      <c r="N29" s="95">
        <f>'Data- Extract'!CV30</f>
        <v>18</v>
      </c>
      <c r="O29" s="136">
        <f>'Data- Extract'!CW30</f>
        <v>14</v>
      </c>
      <c r="P29" s="69">
        <f>'Data- Extract'!CX30</f>
        <v>0</v>
      </c>
      <c r="Q29" s="138">
        <f>'Data- Extract'!CY30</f>
        <v>0</v>
      </c>
      <c r="T29" s="56" t="s">
        <v>45</v>
      </c>
      <c r="U29" s="4">
        <v>4</v>
      </c>
      <c r="V29" s="4">
        <v>6</v>
      </c>
      <c r="W29" s="4">
        <v>6</v>
      </c>
      <c r="X29" s="4">
        <v>1</v>
      </c>
      <c r="Y29" s="4">
        <v>6</v>
      </c>
      <c r="Z29" s="98">
        <v>0</v>
      </c>
      <c r="AA29" s="57">
        <f t="shared" si="0"/>
        <v>23</v>
      </c>
    </row>
    <row r="30" spans="1:27" x14ac:dyDescent="0.35">
      <c r="A30" s="74" t="s">
        <v>46</v>
      </c>
      <c r="B30" s="95">
        <f>'Data- Extract'!CJ31</f>
        <v>0</v>
      </c>
      <c r="C30" s="69">
        <f>'Data- Extract'!CK31</f>
        <v>0</v>
      </c>
      <c r="D30" s="95">
        <f>'Data- Extract'!CL31</f>
        <v>6</v>
      </c>
      <c r="E30" s="69">
        <f>'Data- Extract'!CM31</f>
        <v>11</v>
      </c>
      <c r="F30" s="95">
        <f>'Data- Extract'!CN31</f>
        <v>22</v>
      </c>
      <c r="G30" s="69">
        <f>'Data- Extract'!CO31</f>
        <v>19</v>
      </c>
      <c r="H30" s="95">
        <f>'Data- Extract'!CP31</f>
        <v>10</v>
      </c>
      <c r="I30" s="69">
        <f>'Data- Extract'!CQ31</f>
        <v>5</v>
      </c>
      <c r="J30" s="95">
        <f>'Data- Extract'!CR31</f>
        <v>6</v>
      </c>
      <c r="K30" s="69">
        <f>'Data- Extract'!CS31</f>
        <v>8</v>
      </c>
      <c r="L30" s="95">
        <f>'Data- Extract'!CT31</f>
        <v>7</v>
      </c>
      <c r="M30" s="69">
        <f>'Data- Extract'!CU31</f>
        <v>8</v>
      </c>
      <c r="N30" s="95">
        <f>'Data- Extract'!CV31</f>
        <v>20</v>
      </c>
      <c r="O30" s="136">
        <f>'Data- Extract'!CW31</f>
        <v>20</v>
      </c>
      <c r="P30" s="69">
        <f>'Data- Extract'!CX31</f>
        <v>14</v>
      </c>
      <c r="Q30" s="138">
        <f>'Data- Extract'!CY31</f>
        <v>0</v>
      </c>
      <c r="T30" s="56" t="s">
        <v>46</v>
      </c>
      <c r="U30" s="4">
        <v>4</v>
      </c>
      <c r="V30" s="4">
        <v>5</v>
      </c>
      <c r="W30" s="4">
        <v>3</v>
      </c>
      <c r="X30" s="4">
        <v>0</v>
      </c>
      <c r="Y30" s="4">
        <v>1</v>
      </c>
      <c r="Z30" s="98">
        <v>1</v>
      </c>
      <c r="AA30" s="57">
        <f t="shared" si="0"/>
        <v>14</v>
      </c>
    </row>
    <row r="31" spans="1:27" x14ac:dyDescent="0.35">
      <c r="A31" s="74" t="s">
        <v>47</v>
      </c>
      <c r="B31" s="95">
        <f>'Data- Extract'!CJ32</f>
        <v>34</v>
      </c>
      <c r="C31" s="69">
        <f>'Data- Extract'!CK32</f>
        <v>128</v>
      </c>
      <c r="D31" s="95">
        <f>'Data- Extract'!CL32</f>
        <v>124</v>
      </c>
      <c r="E31" s="69">
        <f>'Data- Extract'!CM32</f>
        <v>115</v>
      </c>
      <c r="F31" s="95">
        <f>'Data- Extract'!CN32</f>
        <v>108</v>
      </c>
      <c r="G31" s="69">
        <f>'Data- Extract'!CO32</f>
        <v>113</v>
      </c>
      <c r="H31" s="95">
        <f>'Data- Extract'!CP32</f>
        <v>85</v>
      </c>
      <c r="I31" s="69">
        <f>'Data- Extract'!CQ32</f>
        <v>56</v>
      </c>
      <c r="J31" s="95">
        <f>'Data- Extract'!CR32</f>
        <v>61</v>
      </c>
      <c r="K31" s="69">
        <f>'Data- Extract'!CS32</f>
        <v>43</v>
      </c>
      <c r="L31" s="95">
        <f>'Data- Extract'!CT32</f>
        <v>47</v>
      </c>
      <c r="M31" s="69">
        <f>'Data- Extract'!CU32</f>
        <v>71</v>
      </c>
      <c r="N31" s="95">
        <f>'Data- Extract'!CV32</f>
        <v>48</v>
      </c>
      <c r="O31" s="136">
        <f>'Data- Extract'!CW32</f>
        <v>0</v>
      </c>
      <c r="P31" s="69">
        <f>'Data- Extract'!CX32</f>
        <v>0</v>
      </c>
      <c r="Q31" s="138">
        <f>'Data- Extract'!CY32</f>
        <v>0</v>
      </c>
      <c r="T31" s="56" t="s">
        <v>47</v>
      </c>
      <c r="U31" s="4">
        <v>12</v>
      </c>
      <c r="V31" s="4">
        <v>13</v>
      </c>
      <c r="W31" s="4">
        <v>7</v>
      </c>
      <c r="X31" s="4">
        <v>9</v>
      </c>
      <c r="Y31" s="4">
        <v>7</v>
      </c>
      <c r="Z31" s="98">
        <v>3</v>
      </c>
      <c r="AA31" s="57">
        <f t="shared" si="0"/>
        <v>51</v>
      </c>
    </row>
    <row r="32" spans="1:27" x14ac:dyDescent="0.35">
      <c r="A32" s="74" t="s">
        <v>48</v>
      </c>
      <c r="B32" s="95">
        <f>'Data- Extract'!CJ33</f>
        <v>0</v>
      </c>
      <c r="C32" s="69">
        <f>'Data- Extract'!CK33</f>
        <v>10</v>
      </c>
      <c r="D32" s="95">
        <f>'Data- Extract'!CL33</f>
        <v>7</v>
      </c>
      <c r="E32" s="69">
        <f>'Data- Extract'!CM33</f>
        <v>8</v>
      </c>
      <c r="F32" s="95">
        <f>'Data- Extract'!CN33</f>
        <v>15</v>
      </c>
      <c r="G32" s="69">
        <f>'Data- Extract'!CO33</f>
        <v>11</v>
      </c>
      <c r="H32" s="95">
        <f>'Data- Extract'!CP33</f>
        <v>4</v>
      </c>
      <c r="I32" s="69">
        <f>'Data- Extract'!CQ33</f>
        <v>2</v>
      </c>
      <c r="J32" s="95">
        <f>'Data- Extract'!CR33</f>
        <v>1</v>
      </c>
      <c r="K32" s="69">
        <f>'Data- Extract'!CS33</f>
        <v>3</v>
      </c>
      <c r="L32" s="95">
        <f>'Data- Extract'!CT33</f>
        <v>2</v>
      </c>
      <c r="M32" s="69">
        <f>'Data- Extract'!CU33</f>
        <v>3</v>
      </c>
      <c r="N32" s="95">
        <f>'Data- Extract'!CV33</f>
        <v>3</v>
      </c>
      <c r="O32" s="136">
        <f>'Data- Extract'!CW33</f>
        <v>4</v>
      </c>
      <c r="P32" s="69">
        <f>'Data- Extract'!CX33</f>
        <v>0</v>
      </c>
      <c r="Q32" s="138">
        <f>'Data- Extract'!CY33</f>
        <v>0</v>
      </c>
      <c r="T32" s="56" t="s">
        <v>48</v>
      </c>
      <c r="U32" s="4">
        <v>6</v>
      </c>
      <c r="V32" s="4">
        <v>5</v>
      </c>
      <c r="W32" s="4">
        <v>1</v>
      </c>
      <c r="X32" s="4">
        <v>1</v>
      </c>
      <c r="Y32" s="4">
        <v>1</v>
      </c>
      <c r="Z32" s="98">
        <v>0</v>
      </c>
      <c r="AA32" s="57">
        <f t="shared" si="0"/>
        <v>14</v>
      </c>
    </row>
    <row r="33" spans="1:27" x14ac:dyDescent="0.35">
      <c r="A33" s="74" t="s">
        <v>49</v>
      </c>
      <c r="B33" s="95">
        <f>'Data- Extract'!CJ34</f>
        <v>0</v>
      </c>
      <c r="C33" s="69">
        <f>'Data- Extract'!CK34</f>
        <v>23</v>
      </c>
      <c r="D33" s="95">
        <f>'Data- Extract'!CL34</f>
        <v>25</v>
      </c>
      <c r="E33" s="69">
        <f>'Data- Extract'!CM34</f>
        <v>22</v>
      </c>
      <c r="F33" s="95">
        <f>'Data- Extract'!CN34</f>
        <v>19</v>
      </c>
      <c r="G33" s="69">
        <f>'Data- Extract'!CO34</f>
        <v>31</v>
      </c>
      <c r="H33" s="95">
        <f>'Data- Extract'!CP34</f>
        <v>12</v>
      </c>
      <c r="I33" s="69">
        <f>'Data- Extract'!CQ34</f>
        <v>13</v>
      </c>
      <c r="J33" s="95">
        <f>'Data- Extract'!CR34</f>
        <v>12</v>
      </c>
      <c r="K33" s="69">
        <f>'Data- Extract'!CS34</f>
        <v>11</v>
      </c>
      <c r="L33" s="95">
        <f>'Data- Extract'!CT34</f>
        <v>5</v>
      </c>
      <c r="M33" s="69">
        <f>'Data- Extract'!CU34</f>
        <v>7</v>
      </c>
      <c r="N33" s="95">
        <f>'Data- Extract'!CV34</f>
        <v>9</v>
      </c>
      <c r="O33" s="136">
        <f>'Data- Extract'!CW34</f>
        <v>8</v>
      </c>
      <c r="P33" s="69">
        <f>'Data- Extract'!CX34</f>
        <v>0</v>
      </c>
      <c r="Q33" s="138">
        <f>'Data- Extract'!CY34</f>
        <v>0</v>
      </c>
      <c r="T33" s="56" t="s">
        <v>49</v>
      </c>
      <c r="U33" s="4">
        <v>2</v>
      </c>
      <c r="V33" s="4">
        <v>2</v>
      </c>
      <c r="W33" s="4">
        <v>1</v>
      </c>
      <c r="X33" s="4">
        <v>1</v>
      </c>
      <c r="Y33" s="4">
        <v>1</v>
      </c>
      <c r="Z33" s="98">
        <v>0</v>
      </c>
      <c r="AA33" s="57">
        <f t="shared" si="0"/>
        <v>7</v>
      </c>
    </row>
    <row r="34" spans="1:27" x14ac:dyDescent="0.35">
      <c r="A34" s="74" t="s">
        <v>50</v>
      </c>
      <c r="B34" s="95">
        <f>'Data- Extract'!CJ35</f>
        <v>4</v>
      </c>
      <c r="C34" s="69">
        <f>'Data- Extract'!CK35</f>
        <v>42</v>
      </c>
      <c r="D34" s="95">
        <f>'Data- Extract'!CL35</f>
        <v>50</v>
      </c>
      <c r="E34" s="69">
        <f>'Data- Extract'!CM35</f>
        <v>44</v>
      </c>
      <c r="F34" s="95">
        <f>'Data- Extract'!CN35</f>
        <v>26</v>
      </c>
      <c r="G34" s="69">
        <f>'Data- Extract'!CO35</f>
        <v>21</v>
      </c>
      <c r="H34" s="95">
        <f>'Data- Extract'!CP35</f>
        <v>23</v>
      </c>
      <c r="I34" s="69">
        <f>'Data- Extract'!CQ35</f>
        <v>19</v>
      </c>
      <c r="J34" s="95">
        <f>'Data- Extract'!CR35</f>
        <v>12</v>
      </c>
      <c r="K34" s="69">
        <f>'Data- Extract'!CS35</f>
        <v>4</v>
      </c>
      <c r="L34" s="95">
        <f>'Data- Extract'!CT35</f>
        <v>10</v>
      </c>
      <c r="M34" s="69">
        <f>'Data- Extract'!CU35</f>
        <v>14</v>
      </c>
      <c r="N34" s="95">
        <f>'Data- Extract'!CV35</f>
        <v>10</v>
      </c>
      <c r="O34" s="136">
        <f>'Data- Extract'!CW35</f>
        <v>0</v>
      </c>
      <c r="P34" s="69">
        <f>'Data- Extract'!CX35</f>
        <v>0</v>
      </c>
      <c r="Q34" s="138">
        <f>'Data- Extract'!CY35</f>
        <v>0</v>
      </c>
      <c r="T34" s="56" t="s">
        <v>50</v>
      </c>
      <c r="U34" s="4">
        <v>5</v>
      </c>
      <c r="V34" s="4">
        <v>6</v>
      </c>
      <c r="W34" s="4">
        <v>3</v>
      </c>
      <c r="X34" s="4">
        <v>3</v>
      </c>
      <c r="Y34" s="4">
        <v>3</v>
      </c>
      <c r="Z34" s="98">
        <v>6</v>
      </c>
      <c r="AA34" s="57">
        <f t="shared" si="0"/>
        <v>26</v>
      </c>
    </row>
    <row r="35" spans="1:27" x14ac:dyDescent="0.35">
      <c r="A35" s="74" t="s">
        <v>51</v>
      </c>
      <c r="B35" s="95">
        <f>'Data- Extract'!CJ36</f>
        <v>48</v>
      </c>
      <c r="C35" s="69">
        <f>'Data- Extract'!CK36</f>
        <v>142</v>
      </c>
      <c r="D35" s="95">
        <f>'Data- Extract'!CL36</f>
        <v>156</v>
      </c>
      <c r="E35" s="69">
        <f>'Data- Extract'!CM36</f>
        <v>176</v>
      </c>
      <c r="F35" s="95">
        <f>'Data- Extract'!CN36</f>
        <v>208</v>
      </c>
      <c r="G35" s="69">
        <f>'Data- Extract'!CO36</f>
        <v>180</v>
      </c>
      <c r="H35" s="95">
        <f>'Data- Extract'!CP36</f>
        <v>146</v>
      </c>
      <c r="I35" s="69">
        <f>'Data- Extract'!CQ36</f>
        <v>124</v>
      </c>
      <c r="J35" s="95">
        <f>'Data- Extract'!CR36</f>
        <v>112</v>
      </c>
      <c r="K35" s="69">
        <f>'Data- Extract'!CS36</f>
        <v>77</v>
      </c>
      <c r="L35" s="95">
        <f>'Data- Extract'!CT36</f>
        <v>97</v>
      </c>
      <c r="M35" s="69">
        <f>'Data- Extract'!CU36</f>
        <v>115</v>
      </c>
      <c r="N35" s="95">
        <f>'Data- Extract'!CV36</f>
        <v>84</v>
      </c>
      <c r="O35" s="136">
        <f>'Data- Extract'!CW36</f>
        <v>0</v>
      </c>
      <c r="P35" s="69">
        <f>'Data- Extract'!CX36</f>
        <v>0</v>
      </c>
      <c r="Q35" s="138">
        <f>'Data- Extract'!CY36</f>
        <v>0</v>
      </c>
      <c r="T35" s="56" t="s">
        <v>51</v>
      </c>
      <c r="U35" s="4">
        <v>16</v>
      </c>
      <c r="V35" s="4">
        <v>14</v>
      </c>
      <c r="W35" s="4">
        <v>16</v>
      </c>
      <c r="X35" s="4">
        <v>13</v>
      </c>
      <c r="Y35" s="4">
        <v>12</v>
      </c>
      <c r="Z35" s="98">
        <v>9</v>
      </c>
      <c r="AA35" s="57">
        <f t="shared" si="0"/>
        <v>80</v>
      </c>
    </row>
    <row r="36" spans="1:27" x14ac:dyDescent="0.35">
      <c r="A36" s="74" t="s">
        <v>52</v>
      </c>
      <c r="B36" s="95">
        <f>'Data- Extract'!CJ37</f>
        <v>0</v>
      </c>
      <c r="C36" s="69">
        <f>'Data- Extract'!CK37</f>
        <v>0</v>
      </c>
      <c r="D36" s="95">
        <f>'Data- Extract'!CL37</f>
        <v>0</v>
      </c>
      <c r="E36" s="69">
        <f>'Data- Extract'!CM37</f>
        <v>50</v>
      </c>
      <c r="F36" s="95">
        <f>'Data- Extract'!CN37</f>
        <v>42</v>
      </c>
      <c r="G36" s="69">
        <f>'Data- Extract'!CO37</f>
        <v>39</v>
      </c>
      <c r="H36" s="95">
        <f>'Data- Extract'!CP37</f>
        <v>32</v>
      </c>
      <c r="I36" s="69">
        <f>'Data- Extract'!CQ37</f>
        <v>19</v>
      </c>
      <c r="J36" s="95">
        <f>'Data- Extract'!CR37</f>
        <v>26</v>
      </c>
      <c r="K36" s="69">
        <f>'Data- Extract'!CS37</f>
        <v>12</v>
      </c>
      <c r="L36" s="95">
        <f>'Data- Extract'!CT37</f>
        <v>16</v>
      </c>
      <c r="M36" s="69">
        <f>'Data- Extract'!CU37</f>
        <v>10</v>
      </c>
      <c r="N36" s="95">
        <f>'Data- Extract'!CV37</f>
        <v>5</v>
      </c>
      <c r="O36" s="136">
        <f>'Data- Extract'!CW37</f>
        <v>33</v>
      </c>
      <c r="P36" s="69">
        <f>'Data- Extract'!CX37</f>
        <v>40</v>
      </c>
      <c r="Q36" s="138">
        <f>'Data- Extract'!CY37</f>
        <v>32</v>
      </c>
      <c r="T36" s="56" t="s">
        <v>52</v>
      </c>
      <c r="U36" s="4">
        <v>2</v>
      </c>
      <c r="V36" s="4">
        <v>1</v>
      </c>
      <c r="W36" s="4">
        <v>4</v>
      </c>
      <c r="X36" s="4">
        <v>2</v>
      </c>
      <c r="Y36" s="4">
        <v>3</v>
      </c>
      <c r="Z36" s="98">
        <v>4</v>
      </c>
      <c r="AA36" s="57">
        <f t="shared" si="0"/>
        <v>16</v>
      </c>
    </row>
    <row r="37" spans="1:27" x14ac:dyDescent="0.35">
      <c r="A37" s="74" t="s">
        <v>53</v>
      </c>
      <c r="B37" s="95">
        <f>'Data- Extract'!CJ38</f>
        <v>0</v>
      </c>
      <c r="C37" s="69">
        <f>'Data- Extract'!CK38</f>
        <v>0</v>
      </c>
      <c r="D37" s="95">
        <f>'Data- Extract'!CL38</f>
        <v>0</v>
      </c>
      <c r="E37" s="69">
        <f>'Data- Extract'!CM38</f>
        <v>0</v>
      </c>
      <c r="F37" s="95">
        <f>'Data- Extract'!CN38</f>
        <v>33</v>
      </c>
      <c r="G37" s="69">
        <f>'Data- Extract'!CO38</f>
        <v>37</v>
      </c>
      <c r="H37" s="95">
        <f>'Data- Extract'!CP38</f>
        <v>31</v>
      </c>
      <c r="I37" s="69">
        <f>'Data- Extract'!CQ38</f>
        <v>30</v>
      </c>
      <c r="J37" s="95">
        <f>'Data- Extract'!CR38</f>
        <v>14</v>
      </c>
      <c r="K37" s="69">
        <f>'Data- Extract'!CS38</f>
        <v>23</v>
      </c>
      <c r="L37" s="95">
        <f>'Data- Extract'!CT38</f>
        <v>17</v>
      </c>
      <c r="M37" s="69">
        <f>'Data- Extract'!CU38</f>
        <v>14</v>
      </c>
      <c r="N37" s="95">
        <f>'Data- Extract'!CV38</f>
        <v>10</v>
      </c>
      <c r="O37" s="136">
        <f>'Data- Extract'!CW38</f>
        <v>9</v>
      </c>
      <c r="P37" s="69">
        <f>'Data- Extract'!CX38</f>
        <v>35</v>
      </c>
      <c r="Q37" s="138">
        <f>'Data- Extract'!CY38</f>
        <v>39</v>
      </c>
      <c r="T37" s="56" t="s">
        <v>53</v>
      </c>
      <c r="U37" s="4">
        <v>0</v>
      </c>
      <c r="V37" s="4">
        <v>0</v>
      </c>
      <c r="W37" s="4">
        <v>4</v>
      </c>
      <c r="X37" s="4">
        <v>5</v>
      </c>
      <c r="Y37" s="4">
        <v>5</v>
      </c>
      <c r="Z37" s="98">
        <v>1</v>
      </c>
      <c r="AA37" s="57">
        <f t="shared" si="0"/>
        <v>15</v>
      </c>
    </row>
    <row r="38" spans="1:27" x14ac:dyDescent="0.35">
      <c r="A38" s="74" t="s">
        <v>54</v>
      </c>
      <c r="B38" s="95">
        <f>'Data- Extract'!CJ39</f>
        <v>73</v>
      </c>
      <c r="C38" s="69">
        <f>'Data- Extract'!CK39</f>
        <v>288</v>
      </c>
      <c r="D38" s="95">
        <f>'Data- Extract'!CL39</f>
        <v>278</v>
      </c>
      <c r="E38" s="69">
        <f>'Data- Extract'!CM39</f>
        <v>285</v>
      </c>
      <c r="F38" s="95">
        <f>'Data- Extract'!CN39</f>
        <v>266</v>
      </c>
      <c r="G38" s="69">
        <f>'Data- Extract'!CO39</f>
        <v>258</v>
      </c>
      <c r="H38" s="95">
        <f>'Data- Extract'!CP39</f>
        <v>207</v>
      </c>
      <c r="I38" s="69">
        <f>'Data- Extract'!CQ39</f>
        <v>208</v>
      </c>
      <c r="J38" s="95">
        <f>'Data- Extract'!CR39</f>
        <v>146</v>
      </c>
      <c r="K38" s="69">
        <f>'Data- Extract'!CS39</f>
        <v>109</v>
      </c>
      <c r="L38" s="95">
        <f>'Data- Extract'!CT39</f>
        <v>144</v>
      </c>
      <c r="M38" s="69">
        <f>'Data- Extract'!CU39</f>
        <v>151</v>
      </c>
      <c r="N38" s="95">
        <f>'Data- Extract'!CV39</f>
        <v>120</v>
      </c>
      <c r="O38" s="136">
        <f>'Data- Extract'!CW39</f>
        <v>0</v>
      </c>
      <c r="P38" s="69">
        <f>'Data- Extract'!CX39</f>
        <v>0</v>
      </c>
      <c r="Q38" s="138">
        <f>'Data- Extract'!CY39</f>
        <v>0</v>
      </c>
      <c r="T38" s="56" t="s">
        <v>54</v>
      </c>
      <c r="U38" s="4">
        <v>14</v>
      </c>
      <c r="V38" s="4">
        <v>16</v>
      </c>
      <c r="W38" s="4">
        <v>11</v>
      </c>
      <c r="X38" s="4">
        <v>8</v>
      </c>
      <c r="Y38" s="4">
        <v>6</v>
      </c>
      <c r="Z38" s="98">
        <v>6</v>
      </c>
      <c r="AA38" s="57">
        <f t="shared" si="0"/>
        <v>61</v>
      </c>
    </row>
    <row r="39" spans="1:27" x14ac:dyDescent="0.35">
      <c r="A39" s="74" t="s">
        <v>55</v>
      </c>
      <c r="B39" s="95">
        <f>'Data- Extract'!CJ40</f>
        <v>30</v>
      </c>
      <c r="C39" s="69">
        <f>'Data- Extract'!CK40</f>
        <v>116</v>
      </c>
      <c r="D39" s="95">
        <f>'Data- Extract'!CL40</f>
        <v>124</v>
      </c>
      <c r="E39" s="69">
        <f>'Data- Extract'!CM40</f>
        <v>123</v>
      </c>
      <c r="F39" s="95">
        <f>'Data- Extract'!CN40</f>
        <v>98</v>
      </c>
      <c r="G39" s="69">
        <f>'Data- Extract'!CO40</f>
        <v>99</v>
      </c>
      <c r="H39" s="95">
        <f>'Data- Extract'!CP40</f>
        <v>52</v>
      </c>
      <c r="I39" s="69">
        <f>'Data- Extract'!CQ40</f>
        <v>65</v>
      </c>
      <c r="J39" s="95">
        <f>'Data- Extract'!CR40</f>
        <v>71</v>
      </c>
      <c r="K39" s="69">
        <f>'Data- Extract'!CS40</f>
        <v>43</v>
      </c>
      <c r="L39" s="95">
        <f>'Data- Extract'!CT40</f>
        <v>67</v>
      </c>
      <c r="M39" s="69">
        <f>'Data- Extract'!CU40</f>
        <v>66</v>
      </c>
      <c r="N39" s="95">
        <f>'Data- Extract'!CV40</f>
        <v>47</v>
      </c>
      <c r="O39" s="136">
        <f>'Data- Extract'!CW40</f>
        <v>0</v>
      </c>
      <c r="P39" s="69">
        <f>'Data- Extract'!CX40</f>
        <v>0</v>
      </c>
      <c r="Q39" s="138">
        <f>'Data- Extract'!CY40</f>
        <v>0</v>
      </c>
      <c r="T39" s="56" t="s">
        <v>55</v>
      </c>
      <c r="U39" s="4">
        <v>9</v>
      </c>
      <c r="V39" s="4">
        <v>11</v>
      </c>
      <c r="W39" s="4">
        <v>5</v>
      </c>
      <c r="X39" s="4">
        <v>5</v>
      </c>
      <c r="Y39" s="4">
        <v>4</v>
      </c>
      <c r="Z39" s="98">
        <v>5</v>
      </c>
      <c r="AA39" s="57">
        <f t="shared" si="0"/>
        <v>39</v>
      </c>
    </row>
    <row r="40" spans="1:27" x14ac:dyDescent="0.35">
      <c r="A40" s="74" t="s">
        <v>56</v>
      </c>
      <c r="B40" s="95">
        <f>'Data- Extract'!CJ41</f>
        <v>0</v>
      </c>
      <c r="C40" s="69">
        <f>'Data- Extract'!CK41</f>
        <v>0</v>
      </c>
      <c r="D40" s="95">
        <f>'Data- Extract'!CL41</f>
        <v>43</v>
      </c>
      <c r="E40" s="69">
        <f>'Data- Extract'!CM41</f>
        <v>31</v>
      </c>
      <c r="F40" s="95">
        <f>'Data- Extract'!CN41</f>
        <v>43</v>
      </c>
      <c r="G40" s="69">
        <f>'Data- Extract'!CO41</f>
        <v>43</v>
      </c>
      <c r="H40" s="95">
        <f>'Data- Extract'!CP41</f>
        <v>30</v>
      </c>
      <c r="I40" s="69">
        <f>'Data- Extract'!CQ41</f>
        <v>23</v>
      </c>
      <c r="J40" s="95">
        <f>'Data- Extract'!CR41</f>
        <v>15</v>
      </c>
      <c r="K40" s="69">
        <f>'Data- Extract'!CS41</f>
        <v>13</v>
      </c>
      <c r="L40" s="95">
        <f>'Data- Extract'!CT41</f>
        <v>8</v>
      </c>
      <c r="M40" s="69">
        <f>'Data- Extract'!CU41</f>
        <v>6</v>
      </c>
      <c r="N40" s="95">
        <f>'Data- Extract'!CV41</f>
        <v>31</v>
      </c>
      <c r="O40" s="136">
        <f>'Data- Extract'!CW41</f>
        <v>32</v>
      </c>
      <c r="P40" s="69">
        <f>'Data- Extract'!CX41</f>
        <v>24</v>
      </c>
      <c r="Q40" s="138">
        <f>'Data- Extract'!CY41</f>
        <v>0</v>
      </c>
      <c r="T40" s="56" t="s">
        <v>56</v>
      </c>
      <c r="U40" s="4">
        <v>3</v>
      </c>
      <c r="V40" s="4">
        <v>4</v>
      </c>
      <c r="W40" s="4">
        <v>2</v>
      </c>
      <c r="X40" s="4">
        <v>1</v>
      </c>
      <c r="Y40" s="4">
        <v>1</v>
      </c>
      <c r="Z40" s="98">
        <v>1</v>
      </c>
      <c r="AA40" s="57">
        <f t="shared" si="0"/>
        <v>12</v>
      </c>
    </row>
    <row r="41" spans="1:27" x14ac:dyDescent="0.35">
      <c r="A41" s="74" t="s">
        <v>57</v>
      </c>
      <c r="B41" s="95">
        <f>'Data- Extract'!CJ42</f>
        <v>0</v>
      </c>
      <c r="C41" s="69">
        <f>'Data- Extract'!CK42</f>
        <v>0</v>
      </c>
      <c r="D41" s="95">
        <f>'Data- Extract'!CL42</f>
        <v>56</v>
      </c>
      <c r="E41" s="69">
        <f>'Data- Extract'!CM42</f>
        <v>77</v>
      </c>
      <c r="F41" s="95">
        <f>'Data- Extract'!CN42</f>
        <v>76</v>
      </c>
      <c r="G41" s="69">
        <f>'Data- Extract'!CO42</f>
        <v>74</v>
      </c>
      <c r="H41" s="95">
        <f>'Data- Extract'!CP42</f>
        <v>65</v>
      </c>
      <c r="I41" s="69">
        <f>'Data- Extract'!CQ42</f>
        <v>42</v>
      </c>
      <c r="J41" s="95">
        <f>'Data- Extract'!CR42</f>
        <v>52</v>
      </c>
      <c r="K41" s="69">
        <f>'Data- Extract'!CS42</f>
        <v>47</v>
      </c>
      <c r="L41" s="95">
        <f>'Data- Extract'!CT42</f>
        <v>29</v>
      </c>
      <c r="M41" s="69">
        <f>'Data- Extract'!CU42</f>
        <v>21</v>
      </c>
      <c r="N41" s="95">
        <f>'Data- Extract'!CV42</f>
        <v>44</v>
      </c>
      <c r="O41" s="136">
        <f>'Data- Extract'!CW42</f>
        <v>50</v>
      </c>
      <c r="P41" s="69">
        <f>'Data- Extract'!CX42</f>
        <v>41</v>
      </c>
      <c r="Q41" s="138">
        <f>'Data- Extract'!CY42</f>
        <v>0</v>
      </c>
      <c r="T41" s="56" t="s">
        <v>57</v>
      </c>
      <c r="U41" s="4">
        <v>8</v>
      </c>
      <c r="V41" s="4">
        <v>8</v>
      </c>
      <c r="W41" s="4">
        <v>7</v>
      </c>
      <c r="X41" s="4">
        <v>7</v>
      </c>
      <c r="Y41" s="4">
        <v>7</v>
      </c>
      <c r="Z41" s="98">
        <v>6</v>
      </c>
      <c r="AA41" s="57">
        <f t="shared" si="0"/>
        <v>43</v>
      </c>
    </row>
    <row r="42" spans="1:27" x14ac:dyDescent="0.35">
      <c r="A42" s="74" t="s">
        <v>58</v>
      </c>
      <c r="B42" s="95">
        <f>'Data- Extract'!CJ43</f>
        <v>38</v>
      </c>
      <c r="C42" s="69">
        <f>'Data- Extract'!CK43</f>
        <v>158</v>
      </c>
      <c r="D42" s="95">
        <f>'Data- Extract'!CL43</f>
        <v>176</v>
      </c>
      <c r="E42" s="69">
        <f>'Data- Extract'!CM43</f>
        <v>194</v>
      </c>
      <c r="F42" s="95">
        <f>'Data- Extract'!CN43</f>
        <v>181</v>
      </c>
      <c r="G42" s="69">
        <f>'Data- Extract'!CO43</f>
        <v>145</v>
      </c>
      <c r="H42" s="95">
        <f>'Data- Extract'!CP43</f>
        <v>149</v>
      </c>
      <c r="I42" s="69">
        <f>'Data- Extract'!CQ43</f>
        <v>107</v>
      </c>
      <c r="J42" s="95">
        <f>'Data- Extract'!CR43</f>
        <v>109</v>
      </c>
      <c r="K42" s="69">
        <f>'Data- Extract'!CS43</f>
        <v>74</v>
      </c>
      <c r="L42" s="95">
        <f>'Data- Extract'!CT43</f>
        <v>86</v>
      </c>
      <c r="M42" s="69">
        <f>'Data- Extract'!CU43</f>
        <v>87</v>
      </c>
      <c r="N42" s="95">
        <f>'Data- Extract'!CV43</f>
        <v>64</v>
      </c>
      <c r="O42" s="136">
        <f>'Data- Extract'!CW43</f>
        <v>0</v>
      </c>
      <c r="P42" s="69">
        <f>'Data- Extract'!CX43</f>
        <v>0</v>
      </c>
      <c r="Q42" s="138">
        <f>'Data- Extract'!CY43</f>
        <v>0</v>
      </c>
      <c r="T42" s="56" t="s">
        <v>58</v>
      </c>
      <c r="U42" s="4">
        <v>18</v>
      </c>
      <c r="V42" s="4">
        <v>16</v>
      </c>
      <c r="W42" s="4">
        <v>12</v>
      </c>
      <c r="X42" s="4">
        <v>12</v>
      </c>
      <c r="Y42" s="4">
        <v>9</v>
      </c>
      <c r="Z42" s="98">
        <v>10</v>
      </c>
      <c r="AA42" s="57">
        <f t="shared" si="0"/>
        <v>77</v>
      </c>
    </row>
    <row r="43" spans="1:27" x14ac:dyDescent="0.35">
      <c r="A43" s="74" t="s">
        <v>59</v>
      </c>
      <c r="B43" s="95">
        <f>'Data- Extract'!CJ44</f>
        <v>0</v>
      </c>
      <c r="C43" s="69">
        <f>'Data- Extract'!CK44</f>
        <v>0</v>
      </c>
      <c r="D43" s="95">
        <f>'Data- Extract'!CL44</f>
        <v>0</v>
      </c>
      <c r="E43" s="69">
        <f>'Data- Extract'!CM44</f>
        <v>0</v>
      </c>
      <c r="F43" s="95">
        <f>'Data- Extract'!CN44</f>
        <v>0</v>
      </c>
      <c r="G43" s="69">
        <f>'Data- Extract'!CO44</f>
        <v>0</v>
      </c>
      <c r="H43" s="95">
        <f>'Data- Extract'!CP44</f>
        <v>2</v>
      </c>
      <c r="I43" s="69">
        <f>'Data- Extract'!CQ44</f>
        <v>3</v>
      </c>
      <c r="J43" s="95">
        <f>'Data- Extract'!CR44</f>
        <v>0</v>
      </c>
      <c r="K43" s="69">
        <f>'Data- Extract'!CS44</f>
        <v>2</v>
      </c>
      <c r="L43" s="95">
        <f>'Data- Extract'!CT44</f>
        <v>0</v>
      </c>
      <c r="M43" s="69">
        <f>'Data- Extract'!CU44</f>
        <v>0</v>
      </c>
      <c r="N43" s="95">
        <f>'Data- Extract'!CV44</f>
        <v>0</v>
      </c>
      <c r="O43" s="136">
        <f>'Data- Extract'!CW44</f>
        <v>0</v>
      </c>
      <c r="P43" s="69">
        <f>'Data- Extract'!CX44</f>
        <v>0</v>
      </c>
      <c r="Q43" s="138">
        <f>'Data- Extract'!CY44</f>
        <v>0</v>
      </c>
      <c r="T43" s="56" t="s">
        <v>59</v>
      </c>
      <c r="U43" s="4">
        <v>0</v>
      </c>
      <c r="V43" s="4">
        <v>0</v>
      </c>
      <c r="W43" s="4">
        <v>0</v>
      </c>
      <c r="X43" s="4">
        <v>0</v>
      </c>
      <c r="Y43" s="4">
        <v>0</v>
      </c>
      <c r="Z43" s="98">
        <v>0</v>
      </c>
      <c r="AA43" s="57">
        <f t="shared" si="0"/>
        <v>0</v>
      </c>
    </row>
    <row r="44" spans="1:27" x14ac:dyDescent="0.35">
      <c r="A44" s="74" t="s">
        <v>60</v>
      </c>
      <c r="B44" s="95">
        <f>'Data- Extract'!CJ45</f>
        <v>0</v>
      </c>
      <c r="C44" s="69">
        <f>'Data- Extract'!CK45</f>
        <v>0</v>
      </c>
      <c r="D44" s="95">
        <f>'Data- Extract'!CL45</f>
        <v>9</v>
      </c>
      <c r="E44" s="69">
        <f>'Data- Extract'!CM45</f>
        <v>16</v>
      </c>
      <c r="F44" s="95">
        <f>'Data- Extract'!CN45</f>
        <v>18</v>
      </c>
      <c r="G44" s="69">
        <f>'Data- Extract'!CO45</f>
        <v>7</v>
      </c>
      <c r="H44" s="95">
        <f>'Data- Extract'!CP45</f>
        <v>10</v>
      </c>
      <c r="I44" s="69">
        <f>'Data- Extract'!CQ45</f>
        <v>13</v>
      </c>
      <c r="J44" s="95">
        <f>'Data- Extract'!CR45</f>
        <v>3</v>
      </c>
      <c r="K44" s="69">
        <f>'Data- Extract'!CS45</f>
        <v>5</v>
      </c>
      <c r="L44" s="95">
        <f>'Data- Extract'!CT45</f>
        <v>3</v>
      </c>
      <c r="M44" s="69">
        <f>'Data- Extract'!CU45</f>
        <v>4</v>
      </c>
      <c r="N44" s="95">
        <f>'Data- Extract'!CV45</f>
        <v>17</v>
      </c>
      <c r="O44" s="136">
        <f>'Data- Extract'!CW45</f>
        <v>24</v>
      </c>
      <c r="P44" s="69">
        <f>'Data- Extract'!CX45</f>
        <v>18</v>
      </c>
      <c r="Q44" s="138">
        <f>'Data- Extract'!CY45</f>
        <v>0</v>
      </c>
      <c r="T44" s="56" t="s">
        <v>60</v>
      </c>
      <c r="U44" s="4">
        <v>3</v>
      </c>
      <c r="V44" s="4">
        <v>6</v>
      </c>
      <c r="W44" s="4">
        <v>3</v>
      </c>
      <c r="X44" s="4">
        <v>2</v>
      </c>
      <c r="Y44" s="4">
        <v>2</v>
      </c>
      <c r="Z44" s="98">
        <v>1</v>
      </c>
      <c r="AA44" s="57">
        <f t="shared" si="0"/>
        <v>17</v>
      </c>
    </row>
    <row r="45" spans="1:27" x14ac:dyDescent="0.35">
      <c r="A45" s="74" t="s">
        <v>61</v>
      </c>
      <c r="B45" s="95">
        <f>'Data- Extract'!CJ46</f>
        <v>20</v>
      </c>
      <c r="C45" s="69">
        <f>'Data- Extract'!CK46</f>
        <v>55</v>
      </c>
      <c r="D45" s="95">
        <f>'Data- Extract'!CL46</f>
        <v>59</v>
      </c>
      <c r="E45" s="69">
        <f>'Data- Extract'!CM46</f>
        <v>58</v>
      </c>
      <c r="F45" s="95">
        <f>'Data- Extract'!CN46</f>
        <v>76</v>
      </c>
      <c r="G45" s="69">
        <f>'Data- Extract'!CO46</f>
        <v>51</v>
      </c>
      <c r="H45" s="95">
        <f>'Data- Extract'!CP46</f>
        <v>31</v>
      </c>
      <c r="I45" s="69">
        <f>'Data- Extract'!CQ46</f>
        <v>26</v>
      </c>
      <c r="J45" s="95">
        <f>'Data- Extract'!CR46</f>
        <v>20</v>
      </c>
      <c r="K45" s="69">
        <f>'Data- Extract'!CS46</f>
        <v>20</v>
      </c>
      <c r="L45" s="95">
        <f>'Data- Extract'!CT46</f>
        <v>34</v>
      </c>
      <c r="M45" s="69">
        <f>'Data- Extract'!CU46</f>
        <v>29</v>
      </c>
      <c r="N45" s="95">
        <f>'Data- Extract'!CV46</f>
        <v>23</v>
      </c>
      <c r="O45" s="136">
        <f>'Data- Extract'!CW46</f>
        <v>0</v>
      </c>
      <c r="P45" s="69">
        <f>'Data- Extract'!CX46</f>
        <v>0</v>
      </c>
      <c r="Q45" s="138">
        <f>'Data- Extract'!CY46</f>
        <v>0</v>
      </c>
      <c r="T45" s="56" t="s">
        <v>61</v>
      </c>
      <c r="U45" s="4">
        <v>6</v>
      </c>
      <c r="V45" s="4">
        <v>5</v>
      </c>
      <c r="W45" s="4">
        <v>3</v>
      </c>
      <c r="X45" s="4">
        <v>3</v>
      </c>
      <c r="Y45" s="4">
        <v>0</v>
      </c>
      <c r="Z45" s="98">
        <v>3</v>
      </c>
      <c r="AA45" s="57">
        <f t="shared" si="0"/>
        <v>20</v>
      </c>
    </row>
    <row r="46" spans="1:27" x14ac:dyDescent="0.35">
      <c r="A46" s="74" t="s">
        <v>62</v>
      </c>
      <c r="B46" s="95">
        <f>'Data- Extract'!CJ47</f>
        <v>0</v>
      </c>
      <c r="C46" s="69">
        <f>'Data- Extract'!CK47</f>
        <v>0</v>
      </c>
      <c r="D46" s="95">
        <f>'Data- Extract'!CL47</f>
        <v>7</v>
      </c>
      <c r="E46" s="69">
        <f>'Data- Extract'!CM47</f>
        <v>12</v>
      </c>
      <c r="F46" s="95">
        <f>'Data- Extract'!CN47</f>
        <v>7</v>
      </c>
      <c r="G46" s="69">
        <f>'Data- Extract'!CO47</f>
        <v>3</v>
      </c>
      <c r="H46" s="95">
        <f>'Data- Extract'!CP47</f>
        <v>6</v>
      </c>
      <c r="I46" s="69">
        <f>'Data- Extract'!CQ47</f>
        <v>4</v>
      </c>
      <c r="J46" s="95">
        <f>'Data- Extract'!CR47</f>
        <v>3</v>
      </c>
      <c r="K46" s="69">
        <f>'Data- Extract'!CS47</f>
        <v>5</v>
      </c>
      <c r="L46" s="95">
        <f>'Data- Extract'!CT47</f>
        <v>2</v>
      </c>
      <c r="M46" s="69">
        <f>'Data- Extract'!CU47</f>
        <v>1</v>
      </c>
      <c r="N46" s="95">
        <f>'Data- Extract'!CV47</f>
        <v>7</v>
      </c>
      <c r="O46" s="136">
        <f>'Data- Extract'!CW47</f>
        <v>9</v>
      </c>
      <c r="P46" s="69">
        <f>'Data- Extract'!CX47</f>
        <v>7</v>
      </c>
      <c r="Q46" s="138">
        <f>'Data- Extract'!CY47</f>
        <v>0</v>
      </c>
      <c r="T46" s="56" t="s">
        <v>62</v>
      </c>
      <c r="U46" s="4">
        <v>1</v>
      </c>
      <c r="V46" s="4">
        <v>3</v>
      </c>
      <c r="W46" s="4">
        <v>3</v>
      </c>
      <c r="X46" s="4">
        <v>0</v>
      </c>
      <c r="Y46" s="4">
        <v>1</v>
      </c>
      <c r="Z46" s="98">
        <v>2</v>
      </c>
      <c r="AA46" s="57">
        <f t="shared" si="0"/>
        <v>10</v>
      </c>
    </row>
    <row r="47" spans="1:27" x14ac:dyDescent="0.35">
      <c r="A47" s="74" t="s">
        <v>63</v>
      </c>
      <c r="B47" s="95">
        <f>'Data- Extract'!CJ48</f>
        <v>21</v>
      </c>
      <c r="C47" s="69">
        <f>'Data- Extract'!CK48</f>
        <v>74</v>
      </c>
      <c r="D47" s="95">
        <f>'Data- Extract'!CL48</f>
        <v>87</v>
      </c>
      <c r="E47" s="69">
        <f>'Data- Extract'!CM48</f>
        <v>79</v>
      </c>
      <c r="F47" s="95">
        <f>'Data- Extract'!CN48</f>
        <v>92</v>
      </c>
      <c r="G47" s="69">
        <f>'Data- Extract'!CO48</f>
        <v>95</v>
      </c>
      <c r="H47" s="95">
        <f>'Data- Extract'!CP48</f>
        <v>56</v>
      </c>
      <c r="I47" s="69">
        <f>'Data- Extract'!CQ48</f>
        <v>53</v>
      </c>
      <c r="J47" s="95">
        <f>'Data- Extract'!CR48</f>
        <v>45</v>
      </c>
      <c r="K47" s="69">
        <f>'Data- Extract'!CS48</f>
        <v>20</v>
      </c>
      <c r="L47" s="95">
        <f>'Data- Extract'!CT48</f>
        <v>37</v>
      </c>
      <c r="M47" s="69">
        <f>'Data- Extract'!CU48</f>
        <v>45</v>
      </c>
      <c r="N47" s="95">
        <f>'Data- Extract'!CV48</f>
        <v>28</v>
      </c>
      <c r="O47" s="136">
        <f>'Data- Extract'!CW48</f>
        <v>0</v>
      </c>
      <c r="P47" s="69">
        <f>'Data- Extract'!CX48</f>
        <v>0</v>
      </c>
      <c r="Q47" s="138">
        <f>'Data- Extract'!CY48</f>
        <v>0</v>
      </c>
      <c r="T47" s="56" t="s">
        <v>63</v>
      </c>
      <c r="U47" s="4">
        <v>5</v>
      </c>
      <c r="V47" s="4">
        <v>7</v>
      </c>
      <c r="W47" s="4">
        <v>11</v>
      </c>
      <c r="X47" s="4">
        <v>7</v>
      </c>
      <c r="Y47" s="4">
        <v>5</v>
      </c>
      <c r="Z47" s="98">
        <v>8</v>
      </c>
      <c r="AA47" s="57">
        <f t="shared" si="0"/>
        <v>43</v>
      </c>
    </row>
    <row r="48" spans="1:27" x14ac:dyDescent="0.35">
      <c r="A48" s="74" t="s">
        <v>64</v>
      </c>
      <c r="B48" s="95">
        <f>'Data- Extract'!CJ49</f>
        <v>0</v>
      </c>
      <c r="C48" s="69">
        <f>'Data- Extract'!CK49</f>
        <v>0</v>
      </c>
      <c r="D48" s="95">
        <f>'Data- Extract'!CL49</f>
        <v>169</v>
      </c>
      <c r="E48" s="69">
        <f>'Data- Extract'!CM49</f>
        <v>243</v>
      </c>
      <c r="F48" s="95">
        <f>'Data- Extract'!CN49</f>
        <v>199</v>
      </c>
      <c r="G48" s="69">
        <f>'Data- Extract'!CO49</f>
        <v>187</v>
      </c>
      <c r="H48" s="95">
        <f>'Data- Extract'!CP49</f>
        <v>150</v>
      </c>
      <c r="I48" s="69">
        <f>'Data- Extract'!CQ49</f>
        <v>152</v>
      </c>
      <c r="J48" s="95">
        <f>'Data- Extract'!CR49</f>
        <v>146</v>
      </c>
      <c r="K48" s="69">
        <f>'Data- Extract'!CS49</f>
        <v>128</v>
      </c>
      <c r="L48" s="95">
        <f>'Data- Extract'!CT49</f>
        <v>81</v>
      </c>
      <c r="M48" s="69">
        <f>'Data- Extract'!CU49</f>
        <v>72</v>
      </c>
      <c r="N48" s="95">
        <f>'Data- Extract'!CV49</f>
        <v>134</v>
      </c>
      <c r="O48" s="136">
        <f>'Data- Extract'!CW49</f>
        <v>160</v>
      </c>
      <c r="P48" s="69">
        <f>'Data- Extract'!CX49</f>
        <v>117</v>
      </c>
      <c r="Q48" s="138">
        <f>'Data- Extract'!CY49</f>
        <v>0</v>
      </c>
      <c r="T48" s="56" t="s">
        <v>64</v>
      </c>
      <c r="U48" s="4">
        <v>21</v>
      </c>
      <c r="V48" s="4">
        <v>22</v>
      </c>
      <c r="W48" s="4">
        <v>14</v>
      </c>
      <c r="X48" s="4">
        <v>10</v>
      </c>
      <c r="Y48" s="4">
        <v>10</v>
      </c>
      <c r="Z48" s="98">
        <v>8</v>
      </c>
      <c r="AA48" s="57">
        <f t="shared" si="0"/>
        <v>85</v>
      </c>
    </row>
    <row r="49" spans="1:27" x14ac:dyDescent="0.35">
      <c r="A49" s="74" t="s">
        <v>65</v>
      </c>
      <c r="B49" s="95">
        <f>'Data- Extract'!CJ50</f>
        <v>0</v>
      </c>
      <c r="C49" s="69">
        <f>'Data- Extract'!CK50</f>
        <v>0</v>
      </c>
      <c r="D49" s="95">
        <f>'Data- Extract'!CL50</f>
        <v>37</v>
      </c>
      <c r="E49" s="69">
        <f>'Data- Extract'!CM50</f>
        <v>39</v>
      </c>
      <c r="F49" s="95">
        <f>'Data- Extract'!CN50</f>
        <v>53</v>
      </c>
      <c r="G49" s="69">
        <f>'Data- Extract'!CO50</f>
        <v>45</v>
      </c>
      <c r="H49" s="95">
        <f>'Data- Extract'!CP50</f>
        <v>41</v>
      </c>
      <c r="I49" s="69">
        <f>'Data- Extract'!CQ50</f>
        <v>13</v>
      </c>
      <c r="J49" s="95">
        <f>'Data- Extract'!CR50</f>
        <v>10</v>
      </c>
      <c r="K49" s="69">
        <f>'Data- Extract'!CS50</f>
        <v>12</v>
      </c>
      <c r="L49" s="95">
        <f>'Data- Extract'!CT50</f>
        <v>6</v>
      </c>
      <c r="M49" s="69">
        <f>'Data- Extract'!CU50</f>
        <v>5</v>
      </c>
      <c r="N49" s="95">
        <f>'Data- Extract'!CV50</f>
        <v>25</v>
      </c>
      <c r="O49" s="136">
        <f>'Data- Extract'!CW50</f>
        <v>27</v>
      </c>
      <c r="P49" s="69">
        <f>'Data- Extract'!CX50</f>
        <v>18</v>
      </c>
      <c r="Q49" s="138">
        <f>'Data- Extract'!CY50</f>
        <v>0</v>
      </c>
      <c r="T49" s="56" t="s">
        <v>65</v>
      </c>
      <c r="U49" s="4">
        <v>12</v>
      </c>
      <c r="V49" s="4">
        <v>5</v>
      </c>
      <c r="W49" s="4">
        <v>3</v>
      </c>
      <c r="X49" s="4">
        <v>8</v>
      </c>
      <c r="Y49" s="4">
        <v>3</v>
      </c>
      <c r="Z49" s="98">
        <v>2</v>
      </c>
      <c r="AA49" s="57">
        <f t="shared" si="0"/>
        <v>33</v>
      </c>
    </row>
    <row r="50" spans="1:27" x14ac:dyDescent="0.35">
      <c r="A50" s="74" t="s">
        <v>66</v>
      </c>
      <c r="B50" s="95">
        <f>'Data- Extract'!CJ51</f>
        <v>41</v>
      </c>
      <c r="C50" s="69">
        <f>'Data- Extract'!CK51</f>
        <v>92</v>
      </c>
      <c r="D50" s="95">
        <f>'Data- Extract'!CL51</f>
        <v>131</v>
      </c>
      <c r="E50" s="69">
        <f>'Data- Extract'!CM51</f>
        <v>170</v>
      </c>
      <c r="F50" s="95">
        <f>'Data- Extract'!CN51</f>
        <v>167</v>
      </c>
      <c r="G50" s="69">
        <f>'Data- Extract'!CO51</f>
        <v>141</v>
      </c>
      <c r="H50" s="95">
        <f>'Data- Extract'!CP51</f>
        <v>107</v>
      </c>
      <c r="I50" s="69">
        <f>'Data- Extract'!CQ51</f>
        <v>80</v>
      </c>
      <c r="J50" s="95">
        <f>'Data- Extract'!CR51</f>
        <v>92</v>
      </c>
      <c r="K50" s="69">
        <f>'Data- Extract'!CS51</f>
        <v>60</v>
      </c>
      <c r="L50" s="95">
        <f>'Data- Extract'!CT51</f>
        <v>68</v>
      </c>
      <c r="M50" s="69">
        <f>'Data- Extract'!CU51</f>
        <v>77</v>
      </c>
      <c r="N50" s="95">
        <f>'Data- Extract'!CV51</f>
        <v>59</v>
      </c>
      <c r="O50" s="136">
        <f>'Data- Extract'!CW51</f>
        <v>0</v>
      </c>
      <c r="P50" s="69">
        <f>'Data- Extract'!CX51</f>
        <v>0</v>
      </c>
      <c r="Q50" s="138">
        <f>'Data- Extract'!CY51</f>
        <v>0</v>
      </c>
      <c r="T50" s="56" t="s">
        <v>66</v>
      </c>
      <c r="U50" s="4">
        <v>20</v>
      </c>
      <c r="V50" s="4">
        <v>22</v>
      </c>
      <c r="W50" s="4">
        <v>15</v>
      </c>
      <c r="X50" s="4">
        <v>13</v>
      </c>
      <c r="Y50" s="4">
        <v>11</v>
      </c>
      <c r="Z50" s="98">
        <v>10</v>
      </c>
      <c r="AA50" s="57">
        <f t="shared" si="0"/>
        <v>91</v>
      </c>
    </row>
    <row r="51" spans="1:27" x14ac:dyDescent="0.35">
      <c r="A51" s="74" t="s">
        <v>67</v>
      </c>
      <c r="B51" s="95">
        <f>'Data- Extract'!CJ52</f>
        <v>0</v>
      </c>
      <c r="C51" s="69">
        <f>'Data- Extract'!CK52</f>
        <v>19</v>
      </c>
      <c r="D51" s="95">
        <f>'Data- Extract'!CL52</f>
        <v>17</v>
      </c>
      <c r="E51" s="69">
        <f>'Data- Extract'!CM52</f>
        <v>12</v>
      </c>
      <c r="F51" s="95">
        <f>'Data- Extract'!CN52</f>
        <v>13</v>
      </c>
      <c r="G51" s="69">
        <f>'Data- Extract'!CO52</f>
        <v>15</v>
      </c>
      <c r="H51" s="95">
        <f>'Data- Extract'!CP52</f>
        <v>16</v>
      </c>
      <c r="I51" s="69">
        <f>'Data- Extract'!CQ52</f>
        <v>7</v>
      </c>
      <c r="J51" s="95">
        <f>'Data- Extract'!CR52</f>
        <v>4</v>
      </c>
      <c r="K51" s="69">
        <f>'Data- Extract'!CS52</f>
        <v>6</v>
      </c>
      <c r="L51" s="95">
        <f>'Data- Extract'!CT52</f>
        <v>8</v>
      </c>
      <c r="M51" s="69">
        <f>'Data- Extract'!CU52</f>
        <v>5</v>
      </c>
      <c r="N51" s="95">
        <f>'Data- Extract'!CV52</f>
        <v>5</v>
      </c>
      <c r="O51" s="136">
        <f>'Data- Extract'!CW52</f>
        <v>0</v>
      </c>
      <c r="P51" s="69">
        <f>'Data- Extract'!CX52</f>
        <v>0</v>
      </c>
      <c r="Q51" s="138">
        <f>'Data- Extract'!CY52</f>
        <v>0</v>
      </c>
      <c r="T51" s="56" t="s">
        <v>67</v>
      </c>
      <c r="U51" s="4">
        <v>4</v>
      </c>
      <c r="V51" s="4">
        <v>2</v>
      </c>
      <c r="W51" s="4">
        <v>3</v>
      </c>
      <c r="X51" s="4">
        <v>2</v>
      </c>
      <c r="Y51" s="4">
        <v>1</v>
      </c>
      <c r="Z51" s="98">
        <v>1</v>
      </c>
      <c r="AA51" s="57">
        <f t="shared" si="0"/>
        <v>13</v>
      </c>
    </row>
    <row r="52" spans="1:27" x14ac:dyDescent="0.35">
      <c r="A52" s="74" t="s">
        <v>68</v>
      </c>
      <c r="B52" s="95">
        <f>'Data- Extract'!CJ53</f>
        <v>0</v>
      </c>
      <c r="C52" s="69">
        <f>'Data- Extract'!CK53</f>
        <v>0</v>
      </c>
      <c r="D52" s="95">
        <f>'Data- Extract'!CL53</f>
        <v>0</v>
      </c>
      <c r="E52" s="69">
        <f>'Data- Extract'!CM53</f>
        <v>82</v>
      </c>
      <c r="F52" s="95">
        <f>'Data- Extract'!CN53</f>
        <v>120</v>
      </c>
      <c r="G52" s="69">
        <f>'Data- Extract'!CO53</f>
        <v>120</v>
      </c>
      <c r="H52" s="95">
        <f>'Data- Extract'!CP53</f>
        <v>102</v>
      </c>
      <c r="I52" s="69">
        <f>'Data- Extract'!CQ53</f>
        <v>71</v>
      </c>
      <c r="J52" s="95">
        <f>'Data- Extract'!CR53</f>
        <v>64</v>
      </c>
      <c r="K52" s="69">
        <f>'Data- Extract'!CS53</f>
        <v>42</v>
      </c>
      <c r="L52" s="95">
        <f>'Data- Extract'!CT53</f>
        <v>51</v>
      </c>
      <c r="M52" s="69">
        <f>'Data- Extract'!CU53</f>
        <v>33</v>
      </c>
      <c r="N52" s="95">
        <f>'Data- Extract'!CV53</f>
        <v>27</v>
      </c>
      <c r="O52" s="136">
        <f>'Data- Extract'!CW53</f>
        <v>75</v>
      </c>
      <c r="P52" s="69">
        <f>'Data- Extract'!CX53</f>
        <v>87</v>
      </c>
      <c r="Q52" s="138">
        <f>'Data- Extract'!CY53</f>
        <v>65</v>
      </c>
      <c r="T52" s="56" t="s">
        <v>68</v>
      </c>
      <c r="U52" s="4">
        <v>16</v>
      </c>
      <c r="V52" s="4">
        <v>18</v>
      </c>
      <c r="W52" s="4">
        <v>9</v>
      </c>
      <c r="X52" s="4">
        <v>7</v>
      </c>
      <c r="Y52" s="4">
        <v>7</v>
      </c>
      <c r="Z52" s="98">
        <v>9</v>
      </c>
      <c r="AA52" s="57">
        <f t="shared" si="0"/>
        <v>66</v>
      </c>
    </row>
    <row r="53" spans="1:27" x14ac:dyDescent="0.35">
      <c r="A53" s="74" t="s">
        <v>69</v>
      </c>
      <c r="B53" s="95">
        <f>'Data- Extract'!CJ54</f>
        <v>0</v>
      </c>
      <c r="C53" s="69">
        <f>'Data- Extract'!CK54</f>
        <v>60</v>
      </c>
      <c r="D53" s="95">
        <f>'Data- Extract'!CL54</f>
        <v>53</v>
      </c>
      <c r="E53" s="69">
        <f>'Data- Extract'!CM54</f>
        <v>71</v>
      </c>
      <c r="F53" s="95">
        <f>'Data- Extract'!CN54</f>
        <v>67</v>
      </c>
      <c r="G53" s="69">
        <f>'Data- Extract'!CO54</f>
        <v>64</v>
      </c>
      <c r="H53" s="95">
        <f>'Data- Extract'!CP54</f>
        <v>43</v>
      </c>
      <c r="I53" s="69">
        <f>'Data- Extract'!CQ54</f>
        <v>26</v>
      </c>
      <c r="J53" s="95">
        <f>'Data- Extract'!CR54</f>
        <v>27</v>
      </c>
      <c r="K53" s="69">
        <f>'Data- Extract'!CS54</f>
        <v>22</v>
      </c>
      <c r="L53" s="95">
        <f>'Data- Extract'!CT54</f>
        <v>24</v>
      </c>
      <c r="M53" s="69">
        <f>'Data- Extract'!CU54</f>
        <v>22</v>
      </c>
      <c r="N53" s="95">
        <f>'Data- Extract'!CV54</f>
        <v>21</v>
      </c>
      <c r="O53" s="136">
        <f>'Data- Extract'!CW54</f>
        <v>16</v>
      </c>
      <c r="P53" s="69">
        <f>'Data- Extract'!CX54</f>
        <v>0</v>
      </c>
      <c r="Q53" s="138">
        <f>'Data- Extract'!CY54</f>
        <v>0</v>
      </c>
      <c r="T53" s="56" t="s">
        <v>69</v>
      </c>
      <c r="U53" s="4">
        <v>8</v>
      </c>
      <c r="V53" s="4">
        <v>6</v>
      </c>
      <c r="W53" s="4">
        <v>4</v>
      </c>
      <c r="X53" s="4">
        <v>2</v>
      </c>
      <c r="Y53" s="4">
        <v>2</v>
      </c>
      <c r="Z53" s="98">
        <v>5</v>
      </c>
      <c r="AA53" s="57">
        <f t="shared" si="0"/>
        <v>27</v>
      </c>
    </row>
    <row r="54" spans="1:27" x14ac:dyDescent="0.35">
      <c r="A54" s="74" t="s">
        <v>70</v>
      </c>
      <c r="B54" s="95">
        <f>'Data- Extract'!CJ55</f>
        <v>6</v>
      </c>
      <c r="C54" s="69">
        <f>'Data- Extract'!CK55</f>
        <v>34</v>
      </c>
      <c r="D54" s="95">
        <f>'Data- Extract'!CL55</f>
        <v>33</v>
      </c>
      <c r="E54" s="69">
        <f>'Data- Extract'!CM55</f>
        <v>29</v>
      </c>
      <c r="F54" s="95">
        <f>'Data- Extract'!CN55</f>
        <v>17</v>
      </c>
      <c r="G54" s="69">
        <f>'Data- Extract'!CO55</f>
        <v>21</v>
      </c>
      <c r="H54" s="95">
        <f>'Data- Extract'!CP55</f>
        <v>22</v>
      </c>
      <c r="I54" s="69">
        <f>'Data- Extract'!CQ55</f>
        <v>15</v>
      </c>
      <c r="J54" s="95">
        <f>'Data- Extract'!CR55</f>
        <v>6</v>
      </c>
      <c r="K54" s="69">
        <f>'Data- Extract'!CS55</f>
        <v>5</v>
      </c>
      <c r="L54" s="95">
        <f>'Data- Extract'!CT55</f>
        <v>14</v>
      </c>
      <c r="M54" s="69">
        <f>'Data- Extract'!CU55</f>
        <v>11</v>
      </c>
      <c r="N54" s="95">
        <f>'Data- Extract'!CV55</f>
        <v>8</v>
      </c>
      <c r="O54" s="136">
        <f>'Data- Extract'!CW55</f>
        <v>0</v>
      </c>
      <c r="P54" s="69">
        <f>'Data- Extract'!CX55</f>
        <v>0</v>
      </c>
      <c r="Q54" s="138">
        <f>'Data- Extract'!CY55</f>
        <v>0</v>
      </c>
      <c r="T54" s="56" t="s">
        <v>70</v>
      </c>
      <c r="U54" s="4">
        <v>3</v>
      </c>
      <c r="V54" s="4">
        <v>2</v>
      </c>
      <c r="W54" s="4">
        <v>1</v>
      </c>
      <c r="X54" s="4">
        <v>1</v>
      </c>
      <c r="Y54" s="4">
        <v>1</v>
      </c>
      <c r="Z54" s="98">
        <v>3</v>
      </c>
      <c r="AA54" s="57">
        <f t="shared" si="0"/>
        <v>11</v>
      </c>
    </row>
    <row r="55" spans="1:27" ht="15" thickBot="1" x14ac:dyDescent="0.4">
      <c r="A55" s="74" t="s">
        <v>71</v>
      </c>
      <c r="B55" s="95">
        <f>'Data- Extract'!CJ56</f>
        <v>0</v>
      </c>
      <c r="C55" s="69">
        <f>'Data- Extract'!CK56</f>
        <v>0</v>
      </c>
      <c r="D55" s="95">
        <f>'Data- Extract'!CL56</f>
        <v>18</v>
      </c>
      <c r="E55" s="69">
        <f>'Data- Extract'!CM56</f>
        <v>17</v>
      </c>
      <c r="F55" s="95">
        <f>'Data- Extract'!CN56</f>
        <v>16</v>
      </c>
      <c r="G55" s="69">
        <f>'Data- Extract'!CO56</f>
        <v>12</v>
      </c>
      <c r="H55" s="95">
        <f>'Data- Extract'!CP56</f>
        <v>10</v>
      </c>
      <c r="I55" s="69">
        <f>'Data- Extract'!CQ56</f>
        <v>11</v>
      </c>
      <c r="J55" s="95">
        <f>'Data- Extract'!CR56</f>
        <v>9</v>
      </c>
      <c r="K55" s="69">
        <f>'Data- Extract'!CS56</f>
        <v>5</v>
      </c>
      <c r="L55" s="95">
        <f>'Data- Extract'!CT56</f>
        <v>2</v>
      </c>
      <c r="M55" s="69">
        <f>'Data- Extract'!CU56</f>
        <v>6</v>
      </c>
      <c r="N55" s="95">
        <f>'Data- Extract'!CV56</f>
        <v>6</v>
      </c>
      <c r="O55" s="136">
        <f>'Data- Extract'!CW56</f>
        <v>10</v>
      </c>
      <c r="P55" s="69">
        <f>'Data- Extract'!CX56</f>
        <v>7</v>
      </c>
      <c r="Q55" s="138">
        <f>'Data- Extract'!CY56</f>
        <v>0</v>
      </c>
      <c r="T55" s="58" t="s">
        <v>71</v>
      </c>
      <c r="U55" s="59">
        <v>4</v>
      </c>
      <c r="V55" s="59">
        <v>5</v>
      </c>
      <c r="W55" s="59">
        <v>0</v>
      </c>
      <c r="X55" s="59">
        <v>1</v>
      </c>
      <c r="Y55" s="59">
        <v>1</v>
      </c>
      <c r="Z55" s="99">
        <v>1</v>
      </c>
      <c r="AA55" s="57">
        <f t="shared" si="0"/>
        <v>12</v>
      </c>
    </row>
    <row r="56" spans="1:27" ht="15" thickBot="1" x14ac:dyDescent="0.4">
      <c r="A56" s="75" t="s">
        <v>105</v>
      </c>
      <c r="B56" s="59">
        <f>SUM(B4:B55)</f>
        <v>521</v>
      </c>
      <c r="C56" s="59">
        <f t="shared" ref="C56:Q56" si="1">SUM(C4:C55)</f>
        <v>2347</v>
      </c>
      <c r="D56" s="59">
        <f t="shared" si="1"/>
        <v>3383</v>
      </c>
      <c r="E56" s="59">
        <f t="shared" si="1"/>
        <v>4363</v>
      </c>
      <c r="F56" s="59">
        <f t="shared" si="1"/>
        <v>4392</v>
      </c>
      <c r="G56" s="59">
        <f t="shared" si="1"/>
        <v>4019</v>
      </c>
      <c r="H56" s="59">
        <f t="shared" si="1"/>
        <v>3180</v>
      </c>
      <c r="I56" s="59">
        <f t="shared" si="1"/>
        <v>2636</v>
      </c>
      <c r="J56" s="59">
        <f t="shared" si="1"/>
        <v>2399</v>
      </c>
      <c r="K56" s="59">
        <f t="shared" si="1"/>
        <v>1853</v>
      </c>
      <c r="L56" s="59">
        <f t="shared" si="1"/>
        <v>1879</v>
      </c>
      <c r="M56" s="59">
        <f t="shared" si="1"/>
        <v>1939</v>
      </c>
      <c r="N56" s="59">
        <f t="shared" si="1"/>
        <v>1938</v>
      </c>
      <c r="O56" s="99">
        <f t="shared" si="1"/>
        <v>1541</v>
      </c>
      <c r="P56" s="99">
        <f t="shared" si="1"/>
        <v>1298</v>
      </c>
      <c r="Q56" s="99">
        <f t="shared" si="1"/>
        <v>592</v>
      </c>
      <c r="T56" s="75" t="s">
        <v>105</v>
      </c>
      <c r="U56" s="59">
        <f>SUM(U4:U55)</f>
        <v>456</v>
      </c>
      <c r="V56" s="59">
        <f t="shared" ref="V56:Z56" si="2">SUM(V4:V55)</f>
        <v>456</v>
      </c>
      <c r="W56" s="59">
        <f t="shared" si="2"/>
        <v>299</v>
      </c>
      <c r="X56" s="59">
        <f t="shared" si="2"/>
        <v>259</v>
      </c>
      <c r="Y56" s="59">
        <f t="shared" si="2"/>
        <v>222</v>
      </c>
      <c r="Z56" s="59">
        <f t="shared" si="2"/>
        <v>208</v>
      </c>
      <c r="AA56" s="115"/>
    </row>
  </sheetData>
  <mergeCells count="7">
    <mergeCell ref="A1:Q2"/>
    <mergeCell ref="AC3:AC4"/>
    <mergeCell ref="U2:V2"/>
    <mergeCell ref="W2:Z2"/>
    <mergeCell ref="AC1:AI2"/>
    <mergeCell ref="AA2:AA3"/>
    <mergeCell ref="T1:AA1"/>
  </mergeCells>
  <conditionalFormatting sqref="B4:Q55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4:Z55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8"/>
  </sheetPr>
  <dimension ref="A1:AJ218"/>
  <sheetViews>
    <sheetView zoomScale="80" zoomScaleNormal="80" workbookViewId="0">
      <selection activeCell="S10" sqref="S10"/>
    </sheetView>
  </sheetViews>
  <sheetFormatPr defaultRowHeight="14.5" x14ac:dyDescent="0.35"/>
  <cols>
    <col min="1" max="1" width="5.36328125" customWidth="1"/>
    <col min="2" max="2" width="20" customWidth="1"/>
    <col min="3" max="8" width="4.6328125" style="2" customWidth="1"/>
    <col min="9" max="11" width="4.36328125" style="2" customWidth="1"/>
    <col min="12" max="12" width="4.90625" style="2" customWidth="1"/>
    <col min="13" max="18" width="4.36328125" style="2" customWidth="1"/>
    <col min="19" max="19" width="27.90625" customWidth="1"/>
    <col min="20" max="20" width="13" customWidth="1"/>
    <col min="21" max="27" width="3.453125" customWidth="1"/>
    <col min="28" max="28" width="3.453125" style="2" customWidth="1"/>
    <col min="29" max="34" width="3.453125" customWidth="1"/>
    <col min="35" max="40" width="3.90625" customWidth="1"/>
  </cols>
  <sheetData>
    <row r="1" spans="2:28" x14ac:dyDescent="0.35">
      <c r="B1" s="216" t="s">
        <v>106</v>
      </c>
      <c r="C1" s="217"/>
      <c r="D1" s="217"/>
      <c r="E1" s="217"/>
      <c r="F1" s="217"/>
      <c r="G1" s="217"/>
      <c r="H1" s="218"/>
      <c r="I1" s="211" t="s">
        <v>136</v>
      </c>
      <c r="L1" s="210"/>
      <c r="M1" s="210"/>
      <c r="N1" s="210"/>
      <c r="O1"/>
      <c r="P1"/>
      <c r="Q1"/>
      <c r="R1"/>
      <c r="AB1"/>
    </row>
    <row r="2" spans="2:28" ht="15" thickBot="1" x14ac:dyDescent="0.4">
      <c r="B2" s="219"/>
      <c r="C2" s="220"/>
      <c r="D2" s="220"/>
      <c r="E2" s="220"/>
      <c r="F2" s="220"/>
      <c r="G2" s="220"/>
      <c r="H2" s="221"/>
      <c r="I2" s="212"/>
      <c r="L2" s="210"/>
      <c r="M2" s="210"/>
      <c r="N2" s="210"/>
      <c r="O2"/>
      <c r="P2"/>
      <c r="Q2"/>
      <c r="R2"/>
      <c r="AB2"/>
    </row>
    <row r="3" spans="2:28" ht="15" customHeight="1" thickBot="1" x14ac:dyDescent="0.4">
      <c r="B3" s="143"/>
      <c r="C3" s="222" t="s">
        <v>72</v>
      </c>
      <c r="D3" s="222"/>
      <c r="E3" s="222" t="s">
        <v>73</v>
      </c>
      <c r="F3" s="222"/>
      <c r="G3" s="222"/>
      <c r="H3" s="223"/>
      <c r="I3" s="212"/>
      <c r="L3" s="209" t="s">
        <v>158</v>
      </c>
      <c r="M3" s="209"/>
      <c r="N3" s="209"/>
      <c r="O3"/>
      <c r="P3"/>
      <c r="Q3"/>
      <c r="R3"/>
      <c r="AB3"/>
    </row>
    <row r="4" spans="2:28" ht="63" customHeight="1" thickBot="1" x14ac:dyDescent="0.4">
      <c r="B4" s="102"/>
      <c r="C4" s="105" t="s">
        <v>75</v>
      </c>
      <c r="D4" s="105" t="s">
        <v>76</v>
      </c>
      <c r="E4" s="105" t="s">
        <v>77</v>
      </c>
      <c r="F4" s="105" t="s">
        <v>78</v>
      </c>
      <c r="G4" s="105" t="s">
        <v>79</v>
      </c>
      <c r="H4" s="144" t="s">
        <v>80</v>
      </c>
      <c r="I4" s="212"/>
      <c r="L4" s="209"/>
      <c r="M4" s="209"/>
      <c r="N4" s="209"/>
      <c r="S4" s="118" t="s">
        <v>107</v>
      </c>
      <c r="T4" s="119">
        <f>AVERAGE(C31:P82)</f>
        <v>4.7893466327004415</v>
      </c>
      <c r="AB4"/>
    </row>
    <row r="5" spans="2:28" ht="15" thickBot="1" x14ac:dyDescent="0.4">
      <c r="B5" s="103" t="str">
        <f>'Data- Refined'!B3</f>
        <v>5 am to 6 am</v>
      </c>
      <c r="C5" s="19">
        <v>1</v>
      </c>
      <c r="D5" s="19">
        <v>0</v>
      </c>
      <c r="E5" s="25">
        <v>0</v>
      </c>
      <c r="F5" s="25">
        <v>0</v>
      </c>
      <c r="G5" s="25">
        <v>0</v>
      </c>
      <c r="H5" s="145">
        <v>0</v>
      </c>
      <c r="I5" s="140">
        <f>' Metrics Calculation'!L13</f>
        <v>0.81406250000000002</v>
      </c>
      <c r="L5" s="24">
        <f>SUM(C5:D5)</f>
        <v>1</v>
      </c>
      <c r="M5" s="6" t="s">
        <v>82</v>
      </c>
      <c r="N5" s="72">
        <v>1</v>
      </c>
      <c r="O5"/>
      <c r="P5"/>
      <c r="Q5"/>
      <c r="R5"/>
      <c r="S5" s="32"/>
      <c r="AB5"/>
    </row>
    <row r="6" spans="2:28" ht="16" thickBot="1" x14ac:dyDescent="0.4">
      <c r="B6" s="103" t="str">
        <f>'Data- Refined'!C3</f>
        <v>6am to 7am</v>
      </c>
      <c r="C6" s="19">
        <v>0</v>
      </c>
      <c r="D6" s="19">
        <v>1</v>
      </c>
      <c r="E6" s="25">
        <v>0</v>
      </c>
      <c r="F6" s="25">
        <v>0</v>
      </c>
      <c r="G6" s="25">
        <v>0</v>
      </c>
      <c r="H6" s="145">
        <v>0</v>
      </c>
      <c r="I6" s="71">
        <f>' Metrics Calculation'!L14</f>
        <v>3.9116666666666666</v>
      </c>
      <c r="L6" s="24">
        <f>SUM(C6:D6)</f>
        <v>1</v>
      </c>
      <c r="M6" s="6" t="s">
        <v>82</v>
      </c>
      <c r="N6" s="72">
        <v>1</v>
      </c>
      <c r="O6"/>
      <c r="S6" s="116" t="s">
        <v>140</v>
      </c>
      <c r="T6" s="117">
        <f>COUNTIF(U31:AJ82,"=NA")</f>
        <v>10</v>
      </c>
      <c r="AB6"/>
    </row>
    <row r="7" spans="2:28" x14ac:dyDescent="0.35">
      <c r="B7" s="103" t="str">
        <f>'Data- Refined'!D3</f>
        <v>7 am to 8 am</v>
      </c>
      <c r="C7" s="19">
        <v>1</v>
      </c>
      <c r="D7" s="19">
        <v>0</v>
      </c>
      <c r="E7" s="19">
        <v>0</v>
      </c>
      <c r="F7" s="19">
        <v>0</v>
      </c>
      <c r="G7" s="19">
        <v>0</v>
      </c>
      <c r="H7" s="146">
        <v>0</v>
      </c>
      <c r="I7" s="71">
        <f>' Metrics Calculation'!L15</f>
        <v>5.2859375000000002</v>
      </c>
      <c r="L7" s="24">
        <f>SUM(C7:H7)</f>
        <v>1</v>
      </c>
      <c r="M7" s="6" t="s">
        <v>82</v>
      </c>
      <c r="N7" s="72">
        <v>1</v>
      </c>
      <c r="O7"/>
      <c r="P7"/>
      <c r="Q7"/>
      <c r="R7"/>
      <c r="S7" s="32"/>
      <c r="AB7"/>
    </row>
    <row r="8" spans="2:28" x14ac:dyDescent="0.35">
      <c r="B8" s="103" t="str">
        <f>'Data- Refined'!E3</f>
        <v>8 am to 9 am</v>
      </c>
      <c r="C8" s="19">
        <v>0</v>
      </c>
      <c r="D8" s="19">
        <v>1</v>
      </c>
      <c r="E8" s="19">
        <v>0</v>
      </c>
      <c r="F8" s="19">
        <v>0</v>
      </c>
      <c r="G8" s="19">
        <v>0</v>
      </c>
      <c r="H8" s="146">
        <v>1</v>
      </c>
      <c r="I8" s="71">
        <f>' Metrics Calculation'!L16</f>
        <v>4.5447916666666668</v>
      </c>
      <c r="L8" s="125">
        <f t="shared" ref="L8:L20" si="0">SUM(C8:H8)</f>
        <v>2</v>
      </c>
      <c r="M8" s="6" t="s">
        <v>82</v>
      </c>
      <c r="N8" s="72">
        <v>1</v>
      </c>
      <c r="O8"/>
      <c r="P8"/>
      <c r="Q8"/>
      <c r="R8"/>
      <c r="S8" s="32"/>
      <c r="AB8"/>
    </row>
    <row r="9" spans="2:28" x14ac:dyDescent="0.35">
      <c r="B9" s="103" t="str">
        <f>'Data- Refined'!F3</f>
        <v>9am to 10 am</v>
      </c>
      <c r="C9" s="19">
        <v>1</v>
      </c>
      <c r="D9" s="19">
        <v>0</v>
      </c>
      <c r="E9" s="19">
        <v>0</v>
      </c>
      <c r="F9" s="19">
        <v>1</v>
      </c>
      <c r="G9" s="19">
        <v>0</v>
      </c>
      <c r="H9" s="146">
        <v>0</v>
      </c>
      <c r="I9" s="71">
        <f>' Metrics Calculation'!L17</f>
        <v>4.3920000000000003</v>
      </c>
      <c r="L9" s="125">
        <f t="shared" si="0"/>
        <v>2</v>
      </c>
      <c r="M9" s="6" t="s">
        <v>82</v>
      </c>
      <c r="N9" s="72">
        <v>1</v>
      </c>
      <c r="O9"/>
      <c r="P9"/>
      <c r="Q9"/>
      <c r="R9"/>
      <c r="S9" s="32"/>
      <c r="AB9"/>
    </row>
    <row r="10" spans="2:28" ht="15.75" customHeight="1" x14ac:dyDescent="0.35">
      <c r="B10" s="103" t="str">
        <f>'Data- Refined'!G3</f>
        <v>10 am to 11 am</v>
      </c>
      <c r="C10" s="19">
        <v>0</v>
      </c>
      <c r="D10" s="19">
        <v>1</v>
      </c>
      <c r="E10" s="19">
        <v>0</v>
      </c>
      <c r="F10" s="19">
        <v>1</v>
      </c>
      <c r="G10" s="19">
        <v>0</v>
      </c>
      <c r="H10" s="146">
        <v>0</v>
      </c>
      <c r="I10" s="71">
        <f>' Metrics Calculation'!L18</f>
        <v>4.1864583333333334</v>
      </c>
      <c r="K10" s="21"/>
      <c r="L10" s="125">
        <f t="shared" si="0"/>
        <v>2</v>
      </c>
      <c r="M10" s="6" t="s">
        <v>82</v>
      </c>
      <c r="N10" s="72">
        <v>1</v>
      </c>
      <c r="O10"/>
      <c r="P10"/>
      <c r="Q10"/>
      <c r="R10"/>
      <c r="S10" s="32"/>
      <c r="AB10"/>
    </row>
    <row r="11" spans="2:28" ht="15.75" customHeight="1" x14ac:dyDescent="0.35">
      <c r="B11" s="103" t="str">
        <f>'Data- Refined'!H3</f>
        <v>11 am to 12 pm</v>
      </c>
      <c r="C11" s="19">
        <v>0</v>
      </c>
      <c r="D11" s="19">
        <v>0</v>
      </c>
      <c r="E11" s="19">
        <v>1</v>
      </c>
      <c r="F11" s="19">
        <v>0</v>
      </c>
      <c r="G11" s="19">
        <v>1</v>
      </c>
      <c r="H11" s="146">
        <v>0</v>
      </c>
      <c r="I11" s="71">
        <f>' Metrics Calculation'!L19</f>
        <v>4.4166666666666661</v>
      </c>
      <c r="K11" s="21"/>
      <c r="L11" s="125">
        <f t="shared" si="0"/>
        <v>2</v>
      </c>
      <c r="M11" s="6" t="s">
        <v>82</v>
      </c>
      <c r="N11" s="72">
        <v>1</v>
      </c>
      <c r="O11"/>
      <c r="P11"/>
      <c r="Q11"/>
      <c r="R11"/>
      <c r="S11" s="32"/>
      <c r="AB11"/>
    </row>
    <row r="12" spans="2:28" ht="15.5" x14ac:dyDescent="0.35">
      <c r="B12" s="103" t="str">
        <f>'Data- Refined'!I3</f>
        <v>12 pm to 1 pm</v>
      </c>
      <c r="C12" s="19">
        <v>0</v>
      </c>
      <c r="D12" s="19">
        <v>0</v>
      </c>
      <c r="E12" s="19">
        <v>0</v>
      </c>
      <c r="F12" s="19">
        <v>0</v>
      </c>
      <c r="G12" s="19">
        <v>1</v>
      </c>
      <c r="H12" s="146">
        <v>1</v>
      </c>
      <c r="I12" s="71">
        <f>' Metrics Calculation'!L20</f>
        <v>3.8764705882352941</v>
      </c>
      <c r="K12" s="21"/>
      <c r="L12" s="125">
        <f t="shared" si="0"/>
        <v>2</v>
      </c>
      <c r="M12" s="6" t="s">
        <v>82</v>
      </c>
      <c r="N12" s="72">
        <v>1</v>
      </c>
      <c r="O12"/>
      <c r="P12"/>
      <c r="Q12"/>
      <c r="R12"/>
      <c r="S12" s="32"/>
      <c r="AB12"/>
    </row>
    <row r="13" spans="2:28" ht="15.5" x14ac:dyDescent="0.35">
      <c r="B13" s="103" t="str">
        <f>'Data- Refined'!J3</f>
        <v>1pm to 2 pm</v>
      </c>
      <c r="C13" s="19">
        <v>1</v>
      </c>
      <c r="D13" s="19">
        <v>0</v>
      </c>
      <c r="E13" s="19">
        <v>0</v>
      </c>
      <c r="F13" s="19">
        <v>0</v>
      </c>
      <c r="G13" s="19">
        <v>0</v>
      </c>
      <c r="H13" s="146">
        <v>0</v>
      </c>
      <c r="I13" s="71">
        <f>' Metrics Calculation'!L21</f>
        <v>3.7484375000000001</v>
      </c>
      <c r="K13" s="21"/>
      <c r="L13" s="125">
        <f t="shared" si="0"/>
        <v>1</v>
      </c>
      <c r="M13" s="6" t="s">
        <v>82</v>
      </c>
      <c r="N13" s="72">
        <v>1</v>
      </c>
      <c r="O13"/>
      <c r="P13"/>
      <c r="Q13"/>
      <c r="R13"/>
      <c r="S13" s="32"/>
      <c r="AB13"/>
    </row>
    <row r="14" spans="2:28" ht="15.5" x14ac:dyDescent="0.35">
      <c r="B14" s="103" t="str">
        <f>'Data- Refined'!K3</f>
        <v>2 pm to 3 pm</v>
      </c>
      <c r="C14" s="19">
        <v>0</v>
      </c>
      <c r="D14" s="19">
        <v>1</v>
      </c>
      <c r="E14" s="19">
        <v>0</v>
      </c>
      <c r="F14" s="19">
        <v>0</v>
      </c>
      <c r="G14" s="19">
        <v>0</v>
      </c>
      <c r="H14" s="146">
        <v>0</v>
      </c>
      <c r="I14" s="71">
        <f>' Metrics Calculation'!L22</f>
        <v>3.0883333333333334</v>
      </c>
      <c r="K14" s="21"/>
      <c r="L14" s="125">
        <f t="shared" si="0"/>
        <v>1</v>
      </c>
      <c r="M14" s="6" t="s">
        <v>82</v>
      </c>
      <c r="N14" s="72">
        <v>1</v>
      </c>
      <c r="O14"/>
      <c r="P14"/>
      <c r="Q14"/>
      <c r="R14"/>
      <c r="S14" s="32"/>
      <c r="AB14"/>
    </row>
    <row r="15" spans="2:28" ht="15.5" x14ac:dyDescent="0.35">
      <c r="B15" s="103" t="str">
        <f>'Data- Refined'!L3</f>
        <v>3 pm to 4 pm</v>
      </c>
      <c r="C15" s="19">
        <v>0</v>
      </c>
      <c r="D15" s="19">
        <v>0</v>
      </c>
      <c r="E15" s="19">
        <v>0</v>
      </c>
      <c r="F15" s="19">
        <v>1</v>
      </c>
      <c r="G15" s="19">
        <v>1</v>
      </c>
      <c r="H15" s="146">
        <v>0</v>
      </c>
      <c r="I15" s="71">
        <f>' Metrics Calculation'!L23</f>
        <v>2.763235294117647</v>
      </c>
      <c r="K15" s="21"/>
      <c r="L15" s="125">
        <f t="shared" si="0"/>
        <v>2</v>
      </c>
      <c r="M15" s="6" t="s">
        <v>82</v>
      </c>
      <c r="N15" s="72">
        <v>1</v>
      </c>
      <c r="O15"/>
      <c r="P15"/>
      <c r="Q15"/>
      <c r="R15"/>
      <c r="S15" s="32"/>
      <c r="AB15"/>
    </row>
    <row r="16" spans="2:28" ht="15.5" x14ac:dyDescent="0.35">
      <c r="B16" s="103" t="str">
        <f>'Data- Refined'!M3</f>
        <v>4 pm to 5 pm</v>
      </c>
      <c r="C16" s="19">
        <v>0</v>
      </c>
      <c r="D16" s="19">
        <v>0</v>
      </c>
      <c r="E16" s="19">
        <v>1</v>
      </c>
      <c r="F16" s="19">
        <v>0</v>
      </c>
      <c r="G16" s="19">
        <v>0</v>
      </c>
      <c r="H16" s="146">
        <v>0</v>
      </c>
      <c r="I16" s="71">
        <f>' Metrics Calculation'!L24</f>
        <v>4.8475000000000001</v>
      </c>
      <c r="K16" s="21"/>
      <c r="L16" s="125">
        <f t="shared" si="0"/>
        <v>1</v>
      </c>
      <c r="M16" s="6" t="s">
        <v>82</v>
      </c>
      <c r="N16" s="72">
        <v>1</v>
      </c>
      <c r="O16"/>
      <c r="P16"/>
      <c r="Q16"/>
      <c r="R16"/>
      <c r="S16" s="32"/>
      <c r="AB16"/>
    </row>
    <row r="17" spans="1:36" ht="15.5" x14ac:dyDescent="0.35">
      <c r="B17" s="103" t="str">
        <f>'Data- Refined'!N3</f>
        <v>5 pm to 6 pm</v>
      </c>
      <c r="C17" s="19">
        <v>0</v>
      </c>
      <c r="D17" s="19">
        <v>0</v>
      </c>
      <c r="E17" s="19">
        <v>1</v>
      </c>
      <c r="F17" s="19">
        <v>0</v>
      </c>
      <c r="G17" s="19">
        <v>1</v>
      </c>
      <c r="H17" s="146">
        <v>0</v>
      </c>
      <c r="I17" s="71">
        <f>' Metrics Calculation'!L25</f>
        <v>2.6916666666666669</v>
      </c>
      <c r="K17" s="21"/>
      <c r="L17" s="125">
        <f t="shared" si="0"/>
        <v>2</v>
      </c>
      <c r="M17" s="6" t="s">
        <v>82</v>
      </c>
      <c r="N17" s="72">
        <v>1</v>
      </c>
      <c r="O17"/>
      <c r="P17"/>
      <c r="Q17"/>
      <c r="R17"/>
      <c r="S17" s="32"/>
      <c r="AB17"/>
    </row>
    <row r="18" spans="1:36" x14ac:dyDescent="0.35">
      <c r="B18" s="104" t="str">
        <f>'Data- Refined'!O3</f>
        <v>6 pm to 7 pm</v>
      </c>
      <c r="C18" s="19">
        <v>0</v>
      </c>
      <c r="D18" s="19">
        <v>0</v>
      </c>
      <c r="E18" s="19">
        <v>1</v>
      </c>
      <c r="F18" s="19">
        <v>1</v>
      </c>
      <c r="G18" s="19">
        <v>0</v>
      </c>
      <c r="H18" s="146">
        <v>0</v>
      </c>
      <c r="I18" s="71">
        <f>' Metrics Calculation'!L26</f>
        <v>2.0276315789473687</v>
      </c>
      <c r="L18" s="125">
        <f t="shared" si="0"/>
        <v>2</v>
      </c>
      <c r="M18" s="6" t="s">
        <v>82</v>
      </c>
      <c r="N18" s="72">
        <v>1</v>
      </c>
      <c r="O18"/>
      <c r="P18"/>
      <c r="Q18"/>
      <c r="R18"/>
      <c r="S18" s="32"/>
      <c r="AB18"/>
    </row>
    <row r="19" spans="1:36" x14ac:dyDescent="0.35">
      <c r="B19" s="103" t="str">
        <f>'Data- Refined'!P3</f>
        <v>7 pm to 8 pm</v>
      </c>
      <c r="C19" s="25">
        <v>0</v>
      </c>
      <c r="D19" s="25">
        <v>0</v>
      </c>
      <c r="E19" s="19">
        <v>0</v>
      </c>
      <c r="F19" s="19">
        <v>0</v>
      </c>
      <c r="G19" s="19">
        <v>0</v>
      </c>
      <c r="H19" s="146">
        <v>1</v>
      </c>
      <c r="I19" s="71">
        <f>' Metrics Calculation'!L27</f>
        <v>3.6055555555555556</v>
      </c>
      <c r="L19" s="125">
        <f t="shared" si="0"/>
        <v>1</v>
      </c>
      <c r="M19" s="46" t="s">
        <v>82</v>
      </c>
      <c r="N19" s="72">
        <v>1</v>
      </c>
      <c r="O19"/>
      <c r="P19"/>
      <c r="Q19"/>
      <c r="R19"/>
      <c r="S19" s="32"/>
      <c r="AB19"/>
    </row>
    <row r="20" spans="1:36" ht="15" thickBot="1" x14ac:dyDescent="0.4">
      <c r="B20" s="147" t="str">
        <f>'Data- Refined'!Q3</f>
        <v>8 pm to 9 pm</v>
      </c>
      <c r="C20" s="148">
        <v>0</v>
      </c>
      <c r="D20" s="148">
        <v>0</v>
      </c>
      <c r="E20" s="149">
        <v>0</v>
      </c>
      <c r="F20" s="149">
        <v>0</v>
      </c>
      <c r="G20" s="149">
        <v>0</v>
      </c>
      <c r="H20" s="150">
        <v>1</v>
      </c>
      <c r="I20" s="141">
        <f>' Metrics Calculation'!L28</f>
        <v>1.6444444444444444</v>
      </c>
      <c r="L20" s="125">
        <f t="shared" si="0"/>
        <v>1</v>
      </c>
      <c r="M20" s="46" t="s">
        <v>82</v>
      </c>
      <c r="N20" s="72">
        <v>1</v>
      </c>
      <c r="O20"/>
      <c r="P20"/>
      <c r="Q20"/>
      <c r="R20"/>
      <c r="S20" s="32"/>
      <c r="AB20"/>
    </row>
    <row r="21" spans="1:36" ht="16" thickBot="1" x14ac:dyDescent="0.4">
      <c r="B21" s="101" t="s">
        <v>138</v>
      </c>
      <c r="C21" s="70">
        <f>' Metrics Calculation'!B5</f>
        <v>14.240437500000001</v>
      </c>
      <c r="D21" s="70">
        <f>' Metrics Calculation'!C5</f>
        <v>15.731250000000001</v>
      </c>
      <c r="E21" s="70">
        <f>' Metrics Calculation'!D5</f>
        <v>13.983464912280702</v>
      </c>
      <c r="F21" s="70">
        <f>' Metrics Calculation'!E5</f>
        <v>13.369325206398351</v>
      </c>
      <c r="G21" s="70">
        <f>' Metrics Calculation'!F5</f>
        <v>13.748039215686275</v>
      </c>
      <c r="H21" s="142">
        <f>' Metrics Calculation'!G5</f>
        <v>13.671262254901961</v>
      </c>
      <c r="I21" s="94"/>
      <c r="K21" s="21"/>
      <c r="L21"/>
      <c r="M21"/>
      <c r="N21"/>
      <c r="O21"/>
      <c r="P21"/>
      <c r="Q21"/>
      <c r="R21"/>
      <c r="AB21"/>
    </row>
    <row r="22" spans="1:36" x14ac:dyDescent="0.35"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 s="183"/>
      <c r="AB22"/>
    </row>
    <row r="23" spans="1:36" ht="15.5" x14ac:dyDescent="0.35">
      <c r="B23" s="18"/>
      <c r="C23" s="22"/>
      <c r="D23" s="22"/>
      <c r="E23" s="22"/>
      <c r="F23" s="22"/>
      <c r="G23" s="22"/>
      <c r="H23" s="22"/>
      <c r="K23" s="21"/>
      <c r="L23" s="7"/>
      <c r="M23" s="7"/>
      <c r="N23" s="7"/>
      <c r="P23" s="7"/>
      <c r="Q23" s="7"/>
      <c r="R23" s="7"/>
    </row>
    <row r="24" spans="1:36" s="77" customFormat="1" x14ac:dyDescent="0.35">
      <c r="B24" s="213" t="s">
        <v>159</v>
      </c>
      <c r="C24" s="78">
        <f>SUM('Optimization Model'!C5:C18)</f>
        <v>4</v>
      </c>
      <c r="D24" s="78">
        <f>SUM('Optimization Model'!D5:D18)</f>
        <v>4</v>
      </c>
      <c r="E24" s="78">
        <f>SUM('Optimization Model'!E7:E20)</f>
        <v>4</v>
      </c>
      <c r="F24" s="78">
        <f>SUM('Optimization Model'!F7:F20)</f>
        <v>4</v>
      </c>
      <c r="G24" s="78">
        <f>SUM('Optimization Model'!G7:G20)</f>
        <v>4</v>
      </c>
      <c r="H24" s="78">
        <f>SUM('Optimization Model'!H7:H20)</f>
        <v>4</v>
      </c>
      <c r="I24" s="79"/>
      <c r="J24" s="79"/>
      <c r="K24" s="79"/>
      <c r="L24" s="67"/>
      <c r="M24" s="67"/>
      <c r="N24" s="67"/>
      <c r="O24" s="67"/>
      <c r="P24" s="67"/>
      <c r="Q24" s="67"/>
      <c r="R24" s="67"/>
      <c r="AB24" s="79"/>
    </row>
    <row r="25" spans="1:36" s="77" customFormat="1" x14ac:dyDescent="0.35">
      <c r="B25" s="214"/>
      <c r="C25" s="80" t="s">
        <v>81</v>
      </c>
      <c r="D25" s="80" t="s">
        <v>81</v>
      </c>
      <c r="E25" s="80" t="s">
        <v>81</v>
      </c>
      <c r="F25" s="80" t="s">
        <v>81</v>
      </c>
      <c r="G25" s="80" t="s">
        <v>81</v>
      </c>
      <c r="H25" s="80" t="s">
        <v>81</v>
      </c>
      <c r="I25" s="79"/>
      <c r="J25" s="79"/>
      <c r="K25" s="79"/>
      <c r="L25" s="67"/>
      <c r="M25" s="67"/>
      <c r="N25" s="67"/>
      <c r="O25" s="67"/>
      <c r="P25" s="67"/>
      <c r="Q25" s="67"/>
      <c r="R25" s="67"/>
      <c r="AB25" s="79"/>
    </row>
    <row r="26" spans="1:36" s="77" customFormat="1" ht="15.75" customHeight="1" x14ac:dyDescent="0.35">
      <c r="B26" s="215"/>
      <c r="C26" s="72">
        <v>4</v>
      </c>
      <c r="D26" s="72">
        <v>4</v>
      </c>
      <c r="E26" s="72">
        <v>4</v>
      </c>
      <c r="F26" s="72">
        <v>4</v>
      </c>
      <c r="G26" s="72">
        <v>4</v>
      </c>
      <c r="H26" s="72">
        <v>4</v>
      </c>
      <c r="I26" s="79"/>
      <c r="J26" s="79"/>
      <c r="K26" s="79"/>
      <c r="L26" s="67"/>
      <c r="M26" s="67"/>
      <c r="N26" s="67"/>
      <c r="O26" s="67"/>
      <c r="P26" s="67"/>
      <c r="Q26" s="67"/>
      <c r="R26" s="67"/>
      <c r="AB26" s="79"/>
    </row>
    <row r="27" spans="1:36" x14ac:dyDescent="0.35">
      <c r="B27" s="2"/>
    </row>
    <row r="28" spans="1:36" x14ac:dyDescent="0.35">
      <c r="B28" s="2"/>
    </row>
    <row r="29" spans="1:36" x14ac:dyDescent="0.35">
      <c r="B29" s="208" t="s">
        <v>119</v>
      </c>
      <c r="C29" s="208"/>
      <c r="D29" s="208"/>
      <c r="E29" s="208"/>
      <c r="F29" s="208"/>
      <c r="G29" s="208"/>
      <c r="H29" s="208"/>
      <c r="I29" s="208"/>
      <c r="J29" s="208"/>
      <c r="K29" s="208"/>
      <c r="L29" s="208"/>
      <c r="M29" s="208"/>
      <c r="N29" s="208"/>
      <c r="O29" s="208"/>
      <c r="P29" s="208"/>
      <c r="Q29" s="208"/>
      <c r="R29" s="208"/>
      <c r="T29" s="208" t="s">
        <v>161</v>
      </c>
      <c r="U29" s="208"/>
      <c r="V29" s="208"/>
      <c r="W29" s="208"/>
      <c r="X29" s="208"/>
      <c r="Y29" s="208"/>
      <c r="Z29" s="208"/>
      <c r="AA29" s="208"/>
      <c r="AB29" s="208"/>
      <c r="AC29" s="208"/>
      <c r="AD29" s="208"/>
      <c r="AE29" s="208"/>
      <c r="AF29" s="208"/>
      <c r="AG29" s="208"/>
      <c r="AH29" s="208"/>
      <c r="AI29" s="208"/>
      <c r="AJ29" s="208"/>
    </row>
    <row r="30" spans="1:36" s="109" customFormat="1" ht="83.25" customHeight="1" x14ac:dyDescent="0.25">
      <c r="A30" s="106"/>
      <c r="B30" s="107"/>
      <c r="C30" s="108" t="str">
        <f>'Data- Refined'!B3</f>
        <v>5 am to 6 am</v>
      </c>
      <c r="D30" s="108" t="str">
        <f>'Data- Refined'!C3</f>
        <v>6am to 7am</v>
      </c>
      <c r="E30" s="108" t="str">
        <f>'Data- Refined'!D3</f>
        <v>7 am to 8 am</v>
      </c>
      <c r="F30" s="108" t="str">
        <f>'Data- Refined'!E3</f>
        <v>8 am to 9 am</v>
      </c>
      <c r="G30" s="108" t="str">
        <f>'Data- Refined'!F3</f>
        <v>9am to 10 am</v>
      </c>
      <c r="H30" s="108" t="str">
        <f>'Data- Refined'!G3</f>
        <v>10 am to 11 am</v>
      </c>
      <c r="I30" s="108" t="str">
        <f>'Data- Refined'!H3</f>
        <v>11 am to 12 pm</v>
      </c>
      <c r="J30" s="108" t="str">
        <f>'Data- Refined'!I3</f>
        <v>12 pm to 1 pm</v>
      </c>
      <c r="K30" s="108" t="str">
        <f>'Data- Refined'!J3</f>
        <v>1pm to 2 pm</v>
      </c>
      <c r="L30" s="108" t="str">
        <f>'Data- Refined'!K3</f>
        <v>2 pm to 3 pm</v>
      </c>
      <c r="M30" s="108" t="str">
        <f>'Data- Refined'!L3</f>
        <v>3 pm to 4 pm</v>
      </c>
      <c r="N30" s="108" t="str">
        <f>'Data- Refined'!M3</f>
        <v>4 pm to 5 pm</v>
      </c>
      <c r="O30" s="108" t="str">
        <f>'Data- Refined'!N3</f>
        <v>5 pm to 6 pm</v>
      </c>
      <c r="P30" s="108" t="str">
        <f>'Data- Refined'!O3</f>
        <v>6 pm to 7 pm</v>
      </c>
      <c r="Q30" s="108" t="str">
        <f>'Data- Refined'!P3</f>
        <v>7 pm to 8 pm</v>
      </c>
      <c r="R30" s="108" t="str">
        <f>'Data- Refined'!Q3</f>
        <v>8 pm to 9 pm</v>
      </c>
      <c r="T30" s="107"/>
      <c r="U30" s="108" t="str">
        <f>C30</f>
        <v>5 am to 6 am</v>
      </c>
      <c r="V30" s="108" t="str">
        <f t="shared" ref="V30:AH30" si="1">D30</f>
        <v>6am to 7am</v>
      </c>
      <c r="W30" s="108" t="str">
        <f t="shared" si="1"/>
        <v>7 am to 8 am</v>
      </c>
      <c r="X30" s="108" t="str">
        <f t="shared" si="1"/>
        <v>8 am to 9 am</v>
      </c>
      <c r="Y30" s="108" t="str">
        <f t="shared" si="1"/>
        <v>9am to 10 am</v>
      </c>
      <c r="Z30" s="108" t="str">
        <f t="shared" si="1"/>
        <v>10 am to 11 am</v>
      </c>
      <c r="AA30" s="108" t="str">
        <f t="shared" si="1"/>
        <v>11 am to 12 pm</v>
      </c>
      <c r="AB30" s="108" t="str">
        <f t="shared" si="1"/>
        <v>12 pm to 1 pm</v>
      </c>
      <c r="AC30" s="108" t="str">
        <f t="shared" si="1"/>
        <v>1pm to 2 pm</v>
      </c>
      <c r="AD30" s="108" t="str">
        <f t="shared" si="1"/>
        <v>2 pm to 3 pm</v>
      </c>
      <c r="AE30" s="108" t="str">
        <f t="shared" si="1"/>
        <v>3 pm to 4 pm</v>
      </c>
      <c r="AF30" s="108" t="str">
        <f t="shared" si="1"/>
        <v>4 pm to 5 pm</v>
      </c>
      <c r="AG30" s="108" t="str">
        <f t="shared" si="1"/>
        <v>5 pm to 6 pm</v>
      </c>
      <c r="AH30" s="108" t="str">
        <f t="shared" si="1"/>
        <v>6 pm to 7 pm</v>
      </c>
      <c r="AI30" s="108" t="str">
        <f t="shared" ref="AI30" si="2">Q30</f>
        <v>7 pm to 8 pm</v>
      </c>
      <c r="AJ30" s="108" t="str">
        <f t="shared" ref="AJ30" si="3">R30</f>
        <v>8 pm to 9 pm</v>
      </c>
    </row>
    <row r="31" spans="1:36" x14ac:dyDescent="0.35">
      <c r="A31" s="2"/>
      <c r="B31" s="29" t="s">
        <v>20</v>
      </c>
      <c r="C31" s="20">
        <f>IFERROR('Data- Refined'!$B4/'Support Calculation'!$Q4,'Data- Refined'!$B4)</f>
        <v>0</v>
      </c>
      <c r="D31" s="20">
        <f>IFERROR('Data- Refined'!$C4/'Support Calculation'!$Z4,'Data- Refined'!$C4)</f>
        <v>0</v>
      </c>
      <c r="E31" s="20">
        <f>IFERROR('Data- Refined'!$D4/'Support Calculation'!$AI4,'Data- Refined'!$D4)</f>
        <v>0</v>
      </c>
      <c r="F31" s="20">
        <f>IFERROR('Data- Refined'!$E4/'Support Calculation'!$AR4,'Data- Refined'!$E4)</f>
        <v>4</v>
      </c>
      <c r="G31" s="20">
        <f>IFERROR('Data- Refined'!$F4/'Support Calculation'!$BA4,'Data- Refined'!$F4)</f>
        <v>2.1666666666666665</v>
      </c>
      <c r="H31" s="20">
        <f>IFERROR('Data- Refined'!$G4/'Support Calculation'!$BJ4,'Data- Refined'!$G4)</f>
        <v>1.6666666666666667</v>
      </c>
      <c r="I31" s="20">
        <f>IFERROR('Data- Refined'!$H4/'Support Calculation'!$BS4,'Data- Refined'!$H4)</f>
        <v>2</v>
      </c>
      <c r="J31" s="20">
        <f>IFERROR('Data- Refined'!$I4/'Support Calculation'!$CB4,'Data- Refined'!$I4)</f>
        <v>3</v>
      </c>
      <c r="K31" s="20">
        <f>IFERROR('Data- Refined'!$J4/'Support Calculation'!$CK4,'Data- Refined'!$J4)</f>
        <v>2</v>
      </c>
      <c r="L31" s="20">
        <f>IFERROR('Data- Refined'!$K4/'Support Calculation'!$CT4,'Data- Refined'!$K4)</f>
        <v>1.5</v>
      </c>
      <c r="M31" s="20">
        <f>IFERROR('Data- Refined'!$L4/'Support Calculation'!$DC4,'Data- Refined'!$L4)</f>
        <v>1.25</v>
      </c>
      <c r="N31" s="20">
        <f>IFERROR('Data- Refined'!$M4/'Support Calculation'!$DL4,'Data- Refined'!$M4)</f>
        <v>2</v>
      </c>
      <c r="O31" s="20">
        <f>IFERROR('Data- Refined'!$N4/'Support Calculation'!$DU4,'Data- Refined'!$N4)</f>
        <v>1</v>
      </c>
      <c r="P31" s="20">
        <f>IFERROR('Data- Refined'!$O4/'Support Calculation'!$ED4,'Data- Refined'!$O4)</f>
        <v>3.75</v>
      </c>
      <c r="Q31" s="20">
        <f>IFERROR('Data- Refined'!$P4/'Support Calculation'!EM4,'Data- Refined'!$P4)</f>
        <v>20</v>
      </c>
      <c r="R31" s="20">
        <f>IFERROR('Data- Refined'!$Q4/'Support Calculation'!EV4,'Data- Refined'!$Q4)</f>
        <v>14</v>
      </c>
      <c r="T31" s="29" t="s">
        <v>20</v>
      </c>
      <c r="U31" s="20">
        <f>IFERROR('Data- Refined'!$B4/'Support Calculation'!$Q4,IF('Data- Refined'!$B4=0,0,"NA"))</f>
        <v>0</v>
      </c>
      <c r="V31" s="20">
        <f>IFERROR('Data- Refined'!$C4/'Support Calculation'!$Z4,IF('Data- Refined'!$C4=0,0,"NA"))</f>
        <v>0</v>
      </c>
      <c r="W31" s="20">
        <f>IFERROR('Data- Refined'!$D4/'Support Calculation'!$AI4,IF('Data- Refined'!$D4=0,0,"NA"))</f>
        <v>0</v>
      </c>
      <c r="X31" s="20">
        <f>IFERROR('Data- Refined'!$E4/'Support Calculation'!$AR4,IF('Data- Refined'!$E4=0,0,"NA"))</f>
        <v>4</v>
      </c>
      <c r="Y31" s="20">
        <f>IFERROR('Data- Refined'!$F4/'Support Calculation'!$BA4,IF('Data- Refined'!$F4=0,0,"NA"))</f>
        <v>2.1666666666666665</v>
      </c>
      <c r="Z31" s="20">
        <f>IFERROR('Data- Refined'!$G4/'Support Calculation'!$BJ4,IF('Data- Refined'!$G4=0,0,"NA"))</f>
        <v>1.6666666666666667</v>
      </c>
      <c r="AA31" s="20">
        <f>IFERROR('Data- Refined'!$H4/'Support Calculation'!$BS4,IF('Data- Refined'!$H4=0,0,"NA"))</f>
        <v>2</v>
      </c>
      <c r="AB31" s="20">
        <f>IFERROR('Data- Refined'!$I4/'Support Calculation'!$CB4,IF('Data- Refined'!$I4=0,0,"NA"))</f>
        <v>3</v>
      </c>
      <c r="AC31" s="20">
        <f>IFERROR('Data- Refined'!$J4/'Support Calculation'!$CK4,IF('Data- Refined'!$J4=0,0,"NA"))</f>
        <v>2</v>
      </c>
      <c r="AD31" s="20">
        <f>IFERROR('Data- Refined'!$K4/'Support Calculation'!$CT4,IF('Data- Refined'!$K4=0,0,"NA"))</f>
        <v>1.5</v>
      </c>
      <c r="AE31" s="20">
        <f>IFERROR('Data- Refined'!$L4/'Support Calculation'!$DC4,IF('Data- Refined'!$L4=0,0,"NA"))</f>
        <v>1.25</v>
      </c>
      <c r="AF31" s="20">
        <f>IFERROR('Data- Refined'!$M4/'Support Calculation'!$DL4,IF('Data- Refined'!$M4=0,0,"NA"))</f>
        <v>2</v>
      </c>
      <c r="AG31" s="20">
        <f>IFERROR('Data- Refined'!$N4/'Support Calculation'!$DU4,IF('Data- Refined'!$N4=0,0,"NA"))</f>
        <v>1</v>
      </c>
      <c r="AH31" s="20">
        <f>IFERROR('Data- Refined'!$O4/'Support Calculation'!$ED4,IF('Data- Refined'!$O4=0,0,"NA"))</f>
        <v>3.75</v>
      </c>
      <c r="AI31" s="151" t="str">
        <f>IFERROR('Data- Refined'!$P4/'Support Calculation'!EM4,IF('Data- Refined'!$P4=0,0,"NA"))</f>
        <v>NA</v>
      </c>
      <c r="AJ31" s="151" t="str">
        <f>IFERROR('Data- Refined'!$Q4/'Support Calculation'!EV4,IF('Data- Refined'!$Q4=0,0,"NA"))</f>
        <v>NA</v>
      </c>
    </row>
    <row r="32" spans="1:36" x14ac:dyDescent="0.35">
      <c r="A32" s="2"/>
      <c r="B32" s="29" t="s">
        <v>21</v>
      </c>
      <c r="C32" s="20">
        <f>IFERROR('Data- Refined'!$B5/'Support Calculation'!$Q5,'Data- Refined'!$B5)</f>
        <v>0</v>
      </c>
      <c r="D32" s="20">
        <f>IFERROR('Data- Refined'!$C5/'Support Calculation'!$Z5,'Data- Refined'!$C5)</f>
        <v>4.2222222222222223</v>
      </c>
      <c r="E32" s="20">
        <f>IFERROR('Data- Refined'!$D5/'Support Calculation'!$AI5,'Data- Refined'!$D5)</f>
        <v>6.6</v>
      </c>
      <c r="F32" s="20">
        <f>IFERROR('Data- Refined'!$E5/'Support Calculation'!$AR5,'Data- Refined'!$E5)</f>
        <v>3.6</v>
      </c>
      <c r="G32" s="20">
        <f>IFERROR('Data- Refined'!$F5/'Support Calculation'!$BA5,'Data- Refined'!$F5)</f>
        <v>4.75</v>
      </c>
      <c r="H32" s="20">
        <f>IFERROR('Data- Refined'!$G5/'Support Calculation'!$BJ5,'Data- Refined'!$G5)</f>
        <v>4.9090909090909092</v>
      </c>
      <c r="I32" s="20">
        <f>IFERROR('Data- Refined'!$H5/'Support Calculation'!$BS5,'Data- Refined'!$H5)</f>
        <v>3.4</v>
      </c>
      <c r="J32" s="20">
        <f>IFERROR('Data- Refined'!$I5/'Support Calculation'!$CB5,'Data- Refined'!$I5)</f>
        <v>2.4</v>
      </c>
      <c r="K32" s="20">
        <f>IFERROR('Data- Refined'!$J5/'Support Calculation'!$CK5,'Data- Refined'!$J5)</f>
        <v>3.5</v>
      </c>
      <c r="L32" s="20">
        <f>IFERROR('Data- Refined'!$K5/'Support Calculation'!$CT5,'Data- Refined'!$K5)</f>
        <v>2.6666666666666665</v>
      </c>
      <c r="M32" s="20">
        <f>IFERROR('Data- Refined'!$L5/'Support Calculation'!$DC5,'Data- Refined'!$L5)</f>
        <v>1.8333333333333333</v>
      </c>
      <c r="N32" s="20">
        <f>IFERROR('Data- Refined'!$M5/'Support Calculation'!$DL5,'Data- Refined'!$M5)</f>
        <v>3.5</v>
      </c>
      <c r="O32" s="20">
        <f>IFERROR('Data- Refined'!$N5/'Support Calculation'!$DU5,'Data- Refined'!$N5)</f>
        <v>2.5</v>
      </c>
      <c r="P32" s="20">
        <f>IFERROR('Data- Refined'!$O5/'Support Calculation'!$ED5,'Data- Refined'!$O5)</f>
        <v>2.375</v>
      </c>
      <c r="Q32" s="20">
        <f>IFERROR('Data- Refined'!$P5/'Support Calculation'!EM5,'Data- Refined'!$P5)</f>
        <v>0</v>
      </c>
      <c r="R32" s="20">
        <f>IFERROR('Data- Refined'!$Q5/'Support Calculation'!EV5,'Data- Refined'!$Q5)</f>
        <v>0</v>
      </c>
      <c r="T32" s="29" t="s">
        <v>21</v>
      </c>
      <c r="U32" s="20">
        <f>IFERROR('Data- Refined'!$B5/'Support Calculation'!$Q5,IF('Data- Refined'!$B5=0,0,"NA"))</f>
        <v>0</v>
      </c>
      <c r="V32" s="20">
        <f>IFERROR('Data- Refined'!$C5/'Support Calculation'!$Z5,IF('Data- Refined'!$C5=0,0,"NA"))</f>
        <v>4.2222222222222223</v>
      </c>
      <c r="W32" s="20">
        <f>IFERROR('Data- Refined'!$D5/'Support Calculation'!$AI5,IF('Data- Refined'!$D5=0,0,"NA"))</f>
        <v>6.6</v>
      </c>
      <c r="X32" s="20">
        <f>IFERROR('Data- Refined'!$E5/'Support Calculation'!$AR5,IF('Data- Refined'!$E5=0,0,"NA"))</f>
        <v>3.6</v>
      </c>
      <c r="Y32" s="20">
        <f>IFERROR('Data- Refined'!$F5/'Support Calculation'!$BA5,IF('Data- Refined'!$F5=0,0,"NA"))</f>
        <v>4.75</v>
      </c>
      <c r="Z32" s="20">
        <f>IFERROR('Data- Refined'!$G5/'Support Calculation'!$BJ5,IF('Data- Refined'!$G5=0,0,"NA"))</f>
        <v>4.9090909090909092</v>
      </c>
      <c r="AA32" s="20">
        <f>IFERROR('Data- Refined'!$H5/'Support Calculation'!$BS5,IF('Data- Refined'!$H5=0,0,"NA"))</f>
        <v>3.4</v>
      </c>
      <c r="AB32" s="20">
        <f>IFERROR('Data- Refined'!$I5/'Support Calculation'!$CB5,IF('Data- Refined'!$I5=0,0,"NA"))</f>
        <v>2.4</v>
      </c>
      <c r="AC32" s="20">
        <f>IFERROR('Data- Refined'!$J5/'Support Calculation'!$CK5,IF('Data- Refined'!$J5=0,0,"NA"))</f>
        <v>3.5</v>
      </c>
      <c r="AD32" s="20">
        <f>IFERROR('Data- Refined'!$K5/'Support Calculation'!$CT5,IF('Data- Refined'!$K5=0,0,"NA"))</f>
        <v>2.6666666666666665</v>
      </c>
      <c r="AE32" s="20">
        <f>IFERROR('Data- Refined'!$L5/'Support Calculation'!$DC5,IF('Data- Refined'!$L5=0,0,"NA"))</f>
        <v>1.8333333333333333</v>
      </c>
      <c r="AF32" s="20">
        <f>IFERROR('Data- Refined'!$M5/'Support Calculation'!$DL5,IF('Data- Refined'!$M5=0,0,"NA"))</f>
        <v>3.5</v>
      </c>
      <c r="AG32" s="20">
        <f>IFERROR('Data- Refined'!$N5/'Support Calculation'!$DU5,IF('Data- Refined'!$N5=0,0,"NA"))</f>
        <v>2.5</v>
      </c>
      <c r="AH32" s="20">
        <f>IFERROR('Data- Refined'!$O5/'Support Calculation'!$ED5,IF('Data- Refined'!$O5=0,0,"NA"))</f>
        <v>2.375</v>
      </c>
      <c r="AI32" s="151">
        <f>IFERROR('Data- Refined'!$P5/'Support Calculation'!EM5,IF('Data- Refined'!$P5=0,0,"NA"))</f>
        <v>0</v>
      </c>
      <c r="AJ32" s="151">
        <f>IFERROR('Data- Refined'!$Q5/'Support Calculation'!EV5,IF('Data- Refined'!$Q5=0,0,"NA"))</f>
        <v>0</v>
      </c>
    </row>
    <row r="33" spans="1:36" x14ac:dyDescent="0.35">
      <c r="A33" s="2"/>
      <c r="B33" s="29" t="s">
        <v>22</v>
      </c>
      <c r="C33" s="20">
        <f>IFERROR('Data- Refined'!$B6/'Support Calculation'!$Q6,'Data- Refined'!$B6)</f>
        <v>0</v>
      </c>
      <c r="D33" s="20">
        <f>IFERROR('Data- Refined'!$C6/'Support Calculation'!$Z6,'Data- Refined'!$C6)</f>
        <v>4.2857142857142856</v>
      </c>
      <c r="E33" s="20">
        <f>IFERROR('Data- Refined'!$D6/'Support Calculation'!$AI6,'Data- Refined'!$D6)</f>
        <v>7</v>
      </c>
      <c r="F33" s="20">
        <f>IFERROR('Data- Refined'!$E6/'Support Calculation'!$AR6,'Data- Refined'!$E6)</f>
        <v>6.5714285714285712</v>
      </c>
      <c r="G33" s="20">
        <f>IFERROR('Data- Refined'!$F6/'Support Calculation'!$BA6,'Data- Refined'!$F6)</f>
        <v>7</v>
      </c>
      <c r="H33" s="20">
        <f>IFERROR('Data- Refined'!$G6/'Support Calculation'!$BJ6,'Data- Refined'!$G6)</f>
        <v>4.1428571428571432</v>
      </c>
      <c r="I33" s="20">
        <f>IFERROR('Data- Refined'!$H6/'Support Calculation'!$BS6,'Data- Refined'!$H6)</f>
        <v>5.666666666666667</v>
      </c>
      <c r="J33" s="20">
        <f>IFERROR('Data- Refined'!$I6/'Support Calculation'!$CB6,'Data- Refined'!$I6)</f>
        <v>24</v>
      </c>
      <c r="K33" s="20">
        <f>IFERROR('Data- Refined'!$J6/'Support Calculation'!$CK6,'Data- Refined'!$J6)</f>
        <v>3.4</v>
      </c>
      <c r="L33" s="20">
        <f>IFERROR('Data- Refined'!$K6/'Support Calculation'!$CT6,'Data- Refined'!$K6)</f>
        <v>2.4285714285714284</v>
      </c>
      <c r="M33" s="20">
        <f>IFERROR('Data- Refined'!$L6/'Support Calculation'!$DC6,'Data- Refined'!$L6)</f>
        <v>10</v>
      </c>
      <c r="N33" s="20">
        <f>IFERROR('Data- Refined'!$M6/'Support Calculation'!$DL6,'Data- Refined'!$M6)</f>
        <v>8</v>
      </c>
      <c r="O33" s="20">
        <f>IFERROR('Data- Refined'!$N6/'Support Calculation'!$DU6,'Data- Refined'!$N6)</f>
        <v>5</v>
      </c>
      <c r="P33" s="20">
        <f>IFERROR('Data- Refined'!$O6/'Support Calculation'!$ED6,'Data- Refined'!$O6)</f>
        <v>7.5</v>
      </c>
      <c r="Q33" s="20">
        <f>IFERROR('Data- Refined'!$P6/'Support Calculation'!EM6,'Data- Refined'!$P6)</f>
        <v>0</v>
      </c>
      <c r="R33" s="20">
        <f>IFERROR('Data- Refined'!$Q6/'Support Calculation'!EV6,'Data- Refined'!$Q6)</f>
        <v>0</v>
      </c>
      <c r="T33" s="29" t="s">
        <v>22</v>
      </c>
      <c r="U33" s="20">
        <f>IFERROR('Data- Refined'!$B6/'Support Calculation'!$Q6,IF('Data- Refined'!$B6=0,0,"NA"))</f>
        <v>0</v>
      </c>
      <c r="V33" s="20">
        <f>IFERROR('Data- Refined'!$C6/'Support Calculation'!$Z6,IF('Data- Refined'!$C6=0,0,"NA"))</f>
        <v>4.2857142857142856</v>
      </c>
      <c r="W33" s="20">
        <f>IFERROR('Data- Refined'!$D6/'Support Calculation'!$AI6,IF('Data- Refined'!$D6=0,0,"NA"))</f>
        <v>7</v>
      </c>
      <c r="X33" s="20">
        <f>IFERROR('Data- Refined'!$E6/'Support Calculation'!$AR6,IF('Data- Refined'!$E6=0,0,"NA"))</f>
        <v>6.5714285714285712</v>
      </c>
      <c r="Y33" s="20">
        <f>IFERROR('Data- Refined'!$F6/'Support Calculation'!$BA6,IF('Data- Refined'!$F6=0,0,"NA"))</f>
        <v>7</v>
      </c>
      <c r="Z33" s="20">
        <f>IFERROR('Data- Refined'!$G6/'Support Calculation'!$BJ6,IF('Data- Refined'!$G6=0,0,"NA"))</f>
        <v>4.1428571428571432</v>
      </c>
      <c r="AA33" s="20">
        <f>IFERROR('Data- Refined'!$H6/'Support Calculation'!$BS6,IF('Data- Refined'!$H6=0,0,"NA"))</f>
        <v>5.666666666666667</v>
      </c>
      <c r="AB33" s="20">
        <f>IFERROR('Data- Refined'!$I6/'Support Calculation'!$CB6,IF('Data- Refined'!$I6=0,0,"NA"))</f>
        <v>24</v>
      </c>
      <c r="AC33" s="20">
        <f>IFERROR('Data- Refined'!$J6/'Support Calculation'!$CK6,IF('Data- Refined'!$J6=0,0,"NA"))</f>
        <v>3.4</v>
      </c>
      <c r="AD33" s="20">
        <f>IFERROR('Data- Refined'!$K6/'Support Calculation'!$CT6,IF('Data- Refined'!$K6=0,0,"NA"))</f>
        <v>2.4285714285714284</v>
      </c>
      <c r="AE33" s="20">
        <f>IFERROR('Data- Refined'!$L6/'Support Calculation'!$DC6,IF('Data- Refined'!$L6=0,0,"NA"))</f>
        <v>10</v>
      </c>
      <c r="AF33" s="20">
        <f>IFERROR('Data- Refined'!$M6/'Support Calculation'!$DL6,IF('Data- Refined'!$M6=0,0,"NA"))</f>
        <v>8</v>
      </c>
      <c r="AG33" s="20">
        <f>IFERROR('Data- Refined'!$N6/'Support Calculation'!$DU6,IF('Data- Refined'!$N6=0,0,"NA"))</f>
        <v>5</v>
      </c>
      <c r="AH33" s="20">
        <f>IFERROR('Data- Refined'!$O6/'Support Calculation'!$ED6,IF('Data- Refined'!$O6=0,0,"NA"))</f>
        <v>7.5</v>
      </c>
      <c r="AI33" s="151">
        <f>IFERROR('Data- Refined'!$P6/'Support Calculation'!EM6,IF('Data- Refined'!$P6=0,0,"NA"))</f>
        <v>0</v>
      </c>
      <c r="AJ33" s="151">
        <f>IFERROR('Data- Refined'!$Q6/'Support Calculation'!EV6,IF('Data- Refined'!$Q6=0,0,"NA"))</f>
        <v>0</v>
      </c>
    </row>
    <row r="34" spans="1:36" x14ac:dyDescent="0.35">
      <c r="A34" s="2"/>
      <c r="B34" s="29" t="s">
        <v>23</v>
      </c>
      <c r="C34" s="20">
        <f>IFERROR('Data- Refined'!$B7/'Support Calculation'!$Q7,'Data- Refined'!$B7)</f>
        <v>0</v>
      </c>
      <c r="D34" s="20">
        <f>IFERROR('Data- Refined'!$C7/'Support Calculation'!$Z7,'Data- Refined'!$C7)</f>
        <v>0</v>
      </c>
      <c r="E34" s="20">
        <f>IFERROR('Data- Refined'!$D7/'Support Calculation'!$AI7,'Data- Refined'!$D7)</f>
        <v>17.833333333333332</v>
      </c>
      <c r="F34" s="20">
        <f>IFERROR('Data- Refined'!$E7/'Support Calculation'!$AR7,'Data- Refined'!$E7)</f>
        <v>14.454545454545455</v>
      </c>
      <c r="G34" s="20">
        <f>IFERROR('Data- Refined'!$F7/'Support Calculation'!$BA7,'Data- Refined'!$F7)</f>
        <v>9.6428571428571423</v>
      </c>
      <c r="H34" s="20">
        <f>IFERROR('Data- Refined'!$G7/'Support Calculation'!$BJ7,'Data- Refined'!$G7)</f>
        <v>6.7333333333333334</v>
      </c>
      <c r="I34" s="20">
        <f>IFERROR('Data- Refined'!$H7/'Support Calculation'!$BS7,'Data- Refined'!$H7)</f>
        <v>10.625</v>
      </c>
      <c r="J34" s="20">
        <f>IFERROR('Data- Refined'!$I7/'Support Calculation'!$CB7,'Data- Refined'!$I7)</f>
        <v>10.857142857142858</v>
      </c>
      <c r="K34" s="20">
        <f>IFERROR('Data- Refined'!$J7/'Support Calculation'!$CK7,'Data- Refined'!$J7)</f>
        <v>12.333333333333334</v>
      </c>
      <c r="L34" s="20">
        <f>IFERROR('Data- Refined'!$K7/'Support Calculation'!$CT7,'Data- Refined'!$K7)</f>
        <v>9.4285714285714288</v>
      </c>
      <c r="M34" s="20">
        <f>IFERROR('Data- Refined'!$L7/'Support Calculation'!$DC7,'Data- Refined'!$L7)</f>
        <v>4.1818181818181817</v>
      </c>
      <c r="N34" s="20">
        <f>IFERROR('Data- Refined'!$M7/'Support Calculation'!$DL7,'Data- Refined'!$M7)</f>
        <v>5.4</v>
      </c>
      <c r="O34" s="20">
        <f>IFERROR('Data- Refined'!$N7/'Support Calculation'!$DU7,'Data- Refined'!$N7)</f>
        <v>9.125</v>
      </c>
      <c r="P34" s="20">
        <f>IFERROR('Data- Refined'!$O7/'Support Calculation'!$ED7,'Data- Refined'!$O7)</f>
        <v>6.5384615384615383</v>
      </c>
      <c r="Q34" s="20">
        <f>IFERROR('Data- Refined'!$P7/'Support Calculation'!EM7,'Data- Refined'!$P7)</f>
        <v>16.5</v>
      </c>
      <c r="R34" s="20">
        <f>IFERROR('Data- Refined'!$Q7/'Support Calculation'!EV7,'Data- Refined'!$Q7)</f>
        <v>0</v>
      </c>
      <c r="T34" s="29" t="s">
        <v>23</v>
      </c>
      <c r="U34" s="20">
        <f>IFERROR('Data- Refined'!$B7/'Support Calculation'!$Q7,IF('Data- Refined'!$B7=0,0,"NA"))</f>
        <v>0</v>
      </c>
      <c r="V34" s="20">
        <f>IFERROR('Data- Refined'!$C7/'Support Calculation'!$Z7,IF('Data- Refined'!$C7=0,0,"NA"))</f>
        <v>0</v>
      </c>
      <c r="W34" s="20">
        <f>IFERROR('Data- Refined'!$D7/'Support Calculation'!$AI7,IF('Data- Refined'!$D7=0,0,"NA"))</f>
        <v>17.833333333333332</v>
      </c>
      <c r="X34" s="20">
        <f>IFERROR('Data- Refined'!$E7/'Support Calculation'!$AR7,IF('Data- Refined'!$E7=0,0,"NA"))</f>
        <v>14.454545454545455</v>
      </c>
      <c r="Y34" s="20">
        <f>IFERROR('Data- Refined'!$F7/'Support Calculation'!$BA7,IF('Data- Refined'!$F7=0,0,"NA"))</f>
        <v>9.6428571428571423</v>
      </c>
      <c r="Z34" s="20">
        <f>IFERROR('Data- Refined'!$G7/'Support Calculation'!$BJ7,IF('Data- Refined'!$G7=0,0,"NA"))</f>
        <v>6.7333333333333334</v>
      </c>
      <c r="AA34" s="20">
        <f>IFERROR('Data- Refined'!$H7/'Support Calculation'!$BS7,IF('Data- Refined'!$H7=0,0,"NA"))</f>
        <v>10.625</v>
      </c>
      <c r="AB34" s="20">
        <f>IFERROR('Data- Refined'!$I7/'Support Calculation'!$CB7,IF('Data- Refined'!$I7=0,0,"NA"))</f>
        <v>10.857142857142858</v>
      </c>
      <c r="AC34" s="20">
        <f>IFERROR('Data- Refined'!$J7/'Support Calculation'!$CK7,IF('Data- Refined'!$J7=0,0,"NA"))</f>
        <v>12.333333333333334</v>
      </c>
      <c r="AD34" s="20">
        <f>IFERROR('Data- Refined'!$K7/'Support Calculation'!$CT7,IF('Data- Refined'!$K7=0,0,"NA"))</f>
        <v>9.4285714285714288</v>
      </c>
      <c r="AE34" s="20">
        <f>IFERROR('Data- Refined'!$L7/'Support Calculation'!$DC7,IF('Data- Refined'!$L7=0,0,"NA"))</f>
        <v>4.1818181818181817</v>
      </c>
      <c r="AF34" s="20">
        <f>IFERROR('Data- Refined'!$M7/'Support Calculation'!$DL7,IF('Data- Refined'!$M7=0,0,"NA"))</f>
        <v>5.4</v>
      </c>
      <c r="AG34" s="20">
        <f>IFERROR('Data- Refined'!$N7/'Support Calculation'!$DU7,IF('Data- Refined'!$N7=0,0,"NA"))</f>
        <v>9.125</v>
      </c>
      <c r="AH34" s="20">
        <f>IFERROR('Data- Refined'!$O7/'Support Calculation'!$ED7,IF('Data- Refined'!$O7=0,0,"NA"))</f>
        <v>6.5384615384615383</v>
      </c>
      <c r="AI34" s="151">
        <f>IFERROR('Data- Refined'!$P7/'Support Calculation'!EM7,IF('Data- Refined'!$P7=0,0,"NA"))</f>
        <v>16.5</v>
      </c>
      <c r="AJ34" s="151">
        <f>IFERROR('Data- Refined'!$Q7/'Support Calculation'!EV7,IF('Data- Refined'!$Q7=0,0,"NA"))</f>
        <v>0</v>
      </c>
    </row>
    <row r="35" spans="1:36" x14ac:dyDescent="0.35">
      <c r="A35" s="2"/>
      <c r="B35" s="29" t="s">
        <v>24</v>
      </c>
      <c r="C35" s="20">
        <f>IFERROR('Data- Refined'!$B8/'Support Calculation'!$Q8,'Data- Refined'!$B8)</f>
        <v>0</v>
      </c>
      <c r="D35" s="20">
        <f>IFERROR('Data- Refined'!$C8/'Support Calculation'!$Z8,'Data- Refined'!$C8)</f>
        <v>0</v>
      </c>
      <c r="E35" s="20">
        <f>IFERROR('Data- Refined'!$D8/'Support Calculation'!$AI8,'Data- Refined'!$D8)</f>
        <v>0</v>
      </c>
      <c r="F35" s="20">
        <f>IFERROR('Data- Refined'!$E8/'Support Calculation'!$AR8,'Data- Refined'!$E8)</f>
        <v>11.688888888888888</v>
      </c>
      <c r="G35" s="20">
        <f>IFERROR('Data- Refined'!$F8/'Support Calculation'!$BA8,'Data- Refined'!$F8)</f>
        <v>14.804347826086957</v>
      </c>
      <c r="H35" s="20">
        <f>IFERROR('Data- Refined'!$G8/'Support Calculation'!$BJ8,'Data- Refined'!$G8)</f>
        <v>15.355555555555556</v>
      </c>
      <c r="I35" s="20">
        <f>IFERROR('Data- Refined'!$H8/'Support Calculation'!$BS8,'Data- Refined'!$H8)</f>
        <v>14.611111111111111</v>
      </c>
      <c r="J35" s="20">
        <f>IFERROR('Data- Refined'!$I8/'Support Calculation'!$CB8,'Data- Refined'!$I8)</f>
        <v>13.529411764705882</v>
      </c>
      <c r="K35" s="20">
        <f>IFERROR('Data- Refined'!$J8/'Support Calculation'!$CK8,'Data- Refined'!$J8)</f>
        <v>14.928571428571429</v>
      </c>
      <c r="L35" s="20">
        <f>IFERROR('Data- Refined'!$K8/'Support Calculation'!$CT8,'Data- Refined'!$K8)</f>
        <v>11.851851851851851</v>
      </c>
      <c r="M35" s="20">
        <f>IFERROR('Data- Refined'!$L8/'Support Calculation'!$DC8,'Data- Refined'!$L8)</f>
        <v>8.764705882352942</v>
      </c>
      <c r="N35" s="20">
        <f>IFERROR('Data- Refined'!$M8/'Support Calculation'!$DL8,'Data- Refined'!$M8)</f>
        <v>14.6</v>
      </c>
      <c r="O35" s="20">
        <f>IFERROR('Data- Refined'!$N8/'Support Calculation'!$DU8,'Data- Refined'!$N8)</f>
        <v>4.9722222222222223</v>
      </c>
      <c r="P35" s="20">
        <f>IFERROR('Data- Refined'!$O8/'Support Calculation'!$ED8,'Data- Refined'!$O8)</f>
        <v>13.394736842105264</v>
      </c>
      <c r="Q35" s="20">
        <f>IFERROR('Data- Refined'!$P8/'Support Calculation'!EM8,'Data- Refined'!$P8)</f>
        <v>33.111111111111114</v>
      </c>
      <c r="R35" s="20">
        <f>IFERROR('Data- Refined'!$Q8/'Support Calculation'!EV8,'Data- Refined'!$Q8)</f>
        <v>24.555555555555557</v>
      </c>
      <c r="T35" s="29" t="s">
        <v>24</v>
      </c>
      <c r="U35" s="20">
        <f>IFERROR('Data- Refined'!$B8/'Support Calculation'!$Q8,IF('Data- Refined'!$B8=0,0,"NA"))</f>
        <v>0</v>
      </c>
      <c r="V35" s="20">
        <f>IFERROR('Data- Refined'!$C8/'Support Calculation'!$Z8,IF('Data- Refined'!$C8=0,0,"NA"))</f>
        <v>0</v>
      </c>
      <c r="W35" s="20">
        <f>IFERROR('Data- Refined'!$D8/'Support Calculation'!$AI8,IF('Data- Refined'!$D8=0,0,"NA"))</f>
        <v>0</v>
      </c>
      <c r="X35" s="20">
        <f>IFERROR('Data- Refined'!$E8/'Support Calculation'!$AR8,IF('Data- Refined'!$E8=0,0,"NA"))</f>
        <v>11.688888888888888</v>
      </c>
      <c r="Y35" s="20">
        <f>IFERROR('Data- Refined'!$F8/'Support Calculation'!$BA8,IF('Data- Refined'!$F8=0,0,"NA"))</f>
        <v>14.804347826086957</v>
      </c>
      <c r="Z35" s="20">
        <f>IFERROR('Data- Refined'!$G8/'Support Calculation'!$BJ8,IF('Data- Refined'!$G8=0,0,"NA"))</f>
        <v>15.355555555555556</v>
      </c>
      <c r="AA35" s="20">
        <f>IFERROR('Data- Refined'!$H8/'Support Calculation'!$BS8,IF('Data- Refined'!$H8=0,0,"NA"))</f>
        <v>14.611111111111111</v>
      </c>
      <c r="AB35" s="20">
        <f>IFERROR('Data- Refined'!$I8/'Support Calculation'!$CB8,IF('Data- Refined'!$I8=0,0,"NA"))</f>
        <v>13.529411764705882</v>
      </c>
      <c r="AC35" s="20">
        <f>IFERROR('Data- Refined'!$J8/'Support Calculation'!$CK8,IF('Data- Refined'!$J8=0,0,"NA"))</f>
        <v>14.928571428571429</v>
      </c>
      <c r="AD35" s="20">
        <f>IFERROR('Data- Refined'!$K8/'Support Calculation'!$CT8,IF('Data- Refined'!$K8=0,0,"NA"))</f>
        <v>11.851851851851851</v>
      </c>
      <c r="AE35" s="20">
        <f>IFERROR('Data- Refined'!$L8/'Support Calculation'!$DC8,IF('Data- Refined'!$L8=0,0,"NA"))</f>
        <v>8.764705882352942</v>
      </c>
      <c r="AF35" s="20">
        <f>IFERROR('Data- Refined'!$M8/'Support Calculation'!$DL8,IF('Data- Refined'!$M8=0,0,"NA"))</f>
        <v>14.6</v>
      </c>
      <c r="AG35" s="20">
        <f>IFERROR('Data- Refined'!$N8/'Support Calculation'!$DU8,IF('Data- Refined'!$N8=0,0,"NA"))</f>
        <v>4.9722222222222223</v>
      </c>
      <c r="AH35" s="20">
        <f>IFERROR('Data- Refined'!$O8/'Support Calculation'!$ED8,IF('Data- Refined'!$O8=0,0,"NA"))</f>
        <v>13.394736842105264</v>
      </c>
      <c r="AI35" s="151">
        <f>IFERROR('Data- Refined'!$P8/'Support Calculation'!EM8,IF('Data- Refined'!$P8=0,0,"NA"))</f>
        <v>33.111111111111114</v>
      </c>
      <c r="AJ35" s="151">
        <f>IFERROR('Data- Refined'!$Q8/'Support Calculation'!EV8,IF('Data- Refined'!$Q8=0,0,"NA"))</f>
        <v>24.555555555555557</v>
      </c>
    </row>
    <row r="36" spans="1:36" x14ac:dyDescent="0.35">
      <c r="A36" s="2"/>
      <c r="B36" s="29" t="s">
        <v>25</v>
      </c>
      <c r="C36" s="20">
        <f>IFERROR('Data- Refined'!$B9/'Support Calculation'!$Q9,'Data- Refined'!$B9)</f>
        <v>0</v>
      </c>
      <c r="D36" s="20">
        <f>IFERROR('Data- Refined'!$C9/'Support Calculation'!$Z9,'Data- Refined'!$C9)</f>
        <v>0</v>
      </c>
      <c r="E36" s="20">
        <f>IFERROR('Data- Refined'!$D9/'Support Calculation'!$AI9,'Data- Refined'!$D9)</f>
        <v>8.8181818181818183</v>
      </c>
      <c r="F36" s="20">
        <f>IFERROR('Data- Refined'!$E9/'Support Calculation'!$AR9,'Data- Refined'!$E9)</f>
        <v>7.625</v>
      </c>
      <c r="G36" s="20">
        <f>IFERROR('Data- Refined'!$F9/'Support Calculation'!$BA9,'Data- Refined'!$F9)</f>
        <v>5.7619047619047619</v>
      </c>
      <c r="H36" s="20">
        <f>IFERROR('Data- Refined'!$G9/'Support Calculation'!$BJ9,'Data- Refined'!$G9)</f>
        <v>5.1904761904761907</v>
      </c>
      <c r="I36" s="20">
        <f>IFERROR('Data- Refined'!$H9/'Support Calculation'!$BS9,'Data- Refined'!$H9)</f>
        <v>4.4375</v>
      </c>
      <c r="J36" s="20">
        <f>IFERROR('Data- Refined'!$I9/'Support Calculation'!$CB9,'Data- Refined'!$I9)</f>
        <v>4.9090909090909092</v>
      </c>
      <c r="K36" s="20">
        <f>IFERROR('Data- Refined'!$J9/'Support Calculation'!$CK9,'Data- Refined'!$J9)</f>
        <v>4.9090909090909092</v>
      </c>
      <c r="L36" s="20">
        <f>IFERROR('Data- Refined'!$K9/'Support Calculation'!$CT9,'Data- Refined'!$K9)</f>
        <v>4.9090909090909092</v>
      </c>
      <c r="M36" s="20">
        <f>IFERROR('Data- Refined'!$L9/'Support Calculation'!$DC9,'Data- Refined'!$L9)</f>
        <v>1.625</v>
      </c>
      <c r="N36" s="20">
        <f>IFERROR('Data- Refined'!$M9/'Support Calculation'!$DL9,'Data- Refined'!$M9)</f>
        <v>3</v>
      </c>
      <c r="O36" s="20">
        <f>IFERROR('Data- Refined'!$N9/'Support Calculation'!$DU9,'Data- Refined'!$N9)</f>
        <v>3.3125</v>
      </c>
      <c r="P36" s="20">
        <f>IFERROR('Data- Refined'!$O9/'Support Calculation'!$ED9,'Data- Refined'!$O9)</f>
        <v>2.85</v>
      </c>
      <c r="Q36" s="20">
        <f>IFERROR('Data- Refined'!$P9/'Support Calculation'!EM9,'Data- Refined'!$P9)</f>
        <v>9.1999999999999993</v>
      </c>
      <c r="R36" s="20">
        <f>IFERROR('Data- Refined'!$Q9/'Support Calculation'!EV9,'Data- Refined'!$Q9)</f>
        <v>0</v>
      </c>
      <c r="T36" s="29" t="s">
        <v>25</v>
      </c>
      <c r="U36" s="20">
        <f>IFERROR('Data- Refined'!$B9/'Support Calculation'!$Q9,IF('Data- Refined'!$B9=0,0,"NA"))</f>
        <v>0</v>
      </c>
      <c r="V36" s="20">
        <f>IFERROR('Data- Refined'!$C9/'Support Calculation'!$Z9,IF('Data- Refined'!$C9=0,0,"NA"))</f>
        <v>0</v>
      </c>
      <c r="W36" s="20">
        <f>IFERROR('Data- Refined'!$D9/'Support Calculation'!$AI9,IF('Data- Refined'!$D9=0,0,"NA"))</f>
        <v>8.8181818181818183</v>
      </c>
      <c r="X36" s="20">
        <f>IFERROR('Data- Refined'!$E9/'Support Calculation'!$AR9,IF('Data- Refined'!$E9=0,0,"NA"))</f>
        <v>7.625</v>
      </c>
      <c r="Y36" s="20">
        <f>IFERROR('Data- Refined'!$F9/'Support Calculation'!$BA9,IF('Data- Refined'!$F9=0,0,"NA"))</f>
        <v>5.7619047619047619</v>
      </c>
      <c r="Z36" s="20">
        <f>IFERROR('Data- Refined'!$G9/'Support Calculation'!$BJ9,IF('Data- Refined'!$G9=0,0,"NA"))</f>
        <v>5.1904761904761907</v>
      </c>
      <c r="AA36" s="20">
        <f>IFERROR('Data- Refined'!$H9/'Support Calculation'!$BS9,IF('Data- Refined'!$H9=0,0,"NA"))</f>
        <v>4.4375</v>
      </c>
      <c r="AB36" s="20">
        <f>IFERROR('Data- Refined'!$I9/'Support Calculation'!$CB9,IF('Data- Refined'!$I9=0,0,"NA"))</f>
        <v>4.9090909090909092</v>
      </c>
      <c r="AC36" s="20">
        <f>IFERROR('Data- Refined'!$J9/'Support Calculation'!$CK9,IF('Data- Refined'!$J9=0,0,"NA"))</f>
        <v>4.9090909090909092</v>
      </c>
      <c r="AD36" s="20">
        <f>IFERROR('Data- Refined'!$K9/'Support Calculation'!$CT9,IF('Data- Refined'!$K9=0,0,"NA"))</f>
        <v>4.9090909090909092</v>
      </c>
      <c r="AE36" s="20">
        <f>IFERROR('Data- Refined'!$L9/'Support Calculation'!$DC9,IF('Data- Refined'!$L9=0,0,"NA"))</f>
        <v>1.625</v>
      </c>
      <c r="AF36" s="20">
        <f>IFERROR('Data- Refined'!$M9/'Support Calculation'!$DL9,IF('Data- Refined'!$M9=0,0,"NA"))</f>
        <v>3</v>
      </c>
      <c r="AG36" s="20">
        <f>IFERROR('Data- Refined'!$N9/'Support Calculation'!$DU9,IF('Data- Refined'!$N9=0,0,"NA"))</f>
        <v>3.3125</v>
      </c>
      <c r="AH36" s="20">
        <f>IFERROR('Data- Refined'!$O9/'Support Calculation'!$ED9,IF('Data- Refined'!$O9=0,0,"NA"))</f>
        <v>2.85</v>
      </c>
      <c r="AI36" s="151">
        <f>IFERROR('Data- Refined'!$P9/'Support Calculation'!EM9,IF('Data- Refined'!$P9=0,0,"NA"))</f>
        <v>9.1999999999999993</v>
      </c>
      <c r="AJ36" s="151">
        <f>IFERROR('Data- Refined'!$Q9/'Support Calculation'!EV9,IF('Data- Refined'!$Q9=0,0,"NA"))</f>
        <v>0</v>
      </c>
    </row>
    <row r="37" spans="1:36" x14ac:dyDescent="0.35">
      <c r="A37" s="2"/>
      <c r="B37" s="29" t="s">
        <v>26</v>
      </c>
      <c r="C37" s="20">
        <f>IFERROR('Data- Refined'!$B10/'Support Calculation'!$Q10,'Data- Refined'!$B10)</f>
        <v>0</v>
      </c>
      <c r="D37" s="20">
        <f>IFERROR('Data- Refined'!$C10/'Support Calculation'!$Z10,'Data- Refined'!$C10)</f>
        <v>4.4666666666666668</v>
      </c>
      <c r="E37" s="20">
        <f>IFERROR('Data- Refined'!$D10/'Support Calculation'!$AI10,'Data- Refined'!$D10)</f>
        <v>7.7692307692307692</v>
      </c>
      <c r="F37" s="20">
        <f>IFERROR('Data- Refined'!$E10/'Support Calculation'!$AR10,'Data- Refined'!$E10)</f>
        <v>4.5</v>
      </c>
      <c r="G37" s="20">
        <f>IFERROR('Data- Refined'!$F10/'Support Calculation'!$BA10,'Data- Refined'!$F10)</f>
        <v>4.7</v>
      </c>
      <c r="H37" s="20">
        <f>IFERROR('Data- Refined'!$G10/'Support Calculation'!$BJ10,'Data- Refined'!$G10)</f>
        <v>3.1363636363636362</v>
      </c>
      <c r="I37" s="20">
        <f>IFERROR('Data- Refined'!$H10/'Support Calculation'!$BS10,'Data- Refined'!$H10)</f>
        <v>3.2</v>
      </c>
      <c r="J37" s="20">
        <f>IFERROR('Data- Refined'!$I10/'Support Calculation'!$CB10,'Data- Refined'!$I10)</f>
        <v>2.3076923076923075</v>
      </c>
      <c r="K37" s="20">
        <f>IFERROR('Data- Refined'!$J10/'Support Calculation'!$CK10,'Data- Refined'!$J10)</f>
        <v>2</v>
      </c>
      <c r="L37" s="20">
        <f>IFERROR('Data- Refined'!$K10/'Support Calculation'!$CT10,'Data- Refined'!$K10)</f>
        <v>1.3333333333333333</v>
      </c>
      <c r="M37" s="20">
        <f>IFERROR('Data- Refined'!$L10/'Support Calculation'!$DC10,'Data- Refined'!$L10)</f>
        <v>2.0769230769230771</v>
      </c>
      <c r="N37" s="20">
        <f>IFERROR('Data- Refined'!$M10/'Support Calculation'!$DL10,'Data- Refined'!$M10)</f>
        <v>3.4444444444444446</v>
      </c>
      <c r="O37" s="20">
        <f>IFERROR('Data- Refined'!$N10/'Support Calculation'!$DU10,'Data- Refined'!$N10)</f>
        <v>2.7333333333333334</v>
      </c>
      <c r="P37" s="20">
        <f>IFERROR('Data- Refined'!$O10/'Support Calculation'!$ED10,'Data- Refined'!$O10)</f>
        <v>1.875</v>
      </c>
      <c r="Q37" s="20">
        <f>IFERROR('Data- Refined'!$P10/'Support Calculation'!EM10,'Data- Refined'!$P10)</f>
        <v>0</v>
      </c>
      <c r="R37" s="20">
        <f>IFERROR('Data- Refined'!$Q10/'Support Calculation'!EV10,'Data- Refined'!$Q10)</f>
        <v>0</v>
      </c>
      <c r="T37" s="29" t="s">
        <v>26</v>
      </c>
      <c r="U37" s="20">
        <f>IFERROR('Data- Refined'!$B10/'Support Calculation'!$Q10,IF('Data- Refined'!$B10=0,0,"NA"))</f>
        <v>0</v>
      </c>
      <c r="V37" s="20">
        <f>IFERROR('Data- Refined'!$C10/'Support Calculation'!$Z10,IF('Data- Refined'!$C10=0,0,"NA"))</f>
        <v>4.4666666666666668</v>
      </c>
      <c r="W37" s="20">
        <f>IFERROR('Data- Refined'!$D10/'Support Calculation'!$AI10,IF('Data- Refined'!$D10=0,0,"NA"))</f>
        <v>7.7692307692307692</v>
      </c>
      <c r="X37" s="20">
        <f>IFERROR('Data- Refined'!$E10/'Support Calculation'!$AR10,IF('Data- Refined'!$E10=0,0,"NA"))</f>
        <v>4.5</v>
      </c>
      <c r="Y37" s="20">
        <f>IFERROR('Data- Refined'!$F10/'Support Calculation'!$BA10,IF('Data- Refined'!$F10=0,0,"NA"))</f>
        <v>4.7</v>
      </c>
      <c r="Z37" s="20">
        <f>IFERROR('Data- Refined'!$G10/'Support Calculation'!$BJ10,IF('Data- Refined'!$G10=0,0,"NA"))</f>
        <v>3.1363636363636362</v>
      </c>
      <c r="AA37" s="20">
        <f>IFERROR('Data- Refined'!$H10/'Support Calculation'!$BS10,IF('Data- Refined'!$H10=0,0,"NA"))</f>
        <v>3.2</v>
      </c>
      <c r="AB37" s="20">
        <f>IFERROR('Data- Refined'!$I10/'Support Calculation'!$CB10,IF('Data- Refined'!$I10=0,0,"NA"))</f>
        <v>2.3076923076923075</v>
      </c>
      <c r="AC37" s="20">
        <f>IFERROR('Data- Refined'!$J10/'Support Calculation'!$CK10,IF('Data- Refined'!$J10=0,0,"NA"))</f>
        <v>2</v>
      </c>
      <c r="AD37" s="20">
        <f>IFERROR('Data- Refined'!$K10/'Support Calculation'!$CT10,IF('Data- Refined'!$K10=0,0,"NA"))</f>
        <v>1.3333333333333333</v>
      </c>
      <c r="AE37" s="20">
        <f>IFERROR('Data- Refined'!$L10/'Support Calculation'!$DC10,IF('Data- Refined'!$L10=0,0,"NA"))</f>
        <v>2.0769230769230771</v>
      </c>
      <c r="AF37" s="20">
        <f>IFERROR('Data- Refined'!$M10/'Support Calculation'!$DL10,IF('Data- Refined'!$M10=0,0,"NA"))</f>
        <v>3.4444444444444446</v>
      </c>
      <c r="AG37" s="20">
        <f>IFERROR('Data- Refined'!$N10/'Support Calculation'!$DU10,IF('Data- Refined'!$N10=0,0,"NA"))</f>
        <v>2.7333333333333334</v>
      </c>
      <c r="AH37" s="20">
        <f>IFERROR('Data- Refined'!$O10/'Support Calculation'!$ED10,IF('Data- Refined'!$O10=0,0,"NA"))</f>
        <v>1.875</v>
      </c>
      <c r="AI37" s="151">
        <f>IFERROR('Data- Refined'!$P10/'Support Calculation'!EM10,IF('Data- Refined'!$P10=0,0,"NA"))</f>
        <v>0</v>
      </c>
      <c r="AJ37" s="151">
        <f>IFERROR('Data- Refined'!$Q10/'Support Calculation'!EV10,IF('Data- Refined'!$Q10=0,0,"NA"))</f>
        <v>0</v>
      </c>
    </row>
    <row r="38" spans="1:36" x14ac:dyDescent="0.35">
      <c r="A38" s="2"/>
      <c r="B38" s="29" t="s">
        <v>27</v>
      </c>
      <c r="C38" s="20">
        <f>IFERROR('Data- Refined'!$B11/'Support Calculation'!$Q11,'Data- Refined'!$B11)</f>
        <v>0.16666666666666666</v>
      </c>
      <c r="D38" s="20">
        <f>IFERROR('Data- Refined'!$C11/'Support Calculation'!$Z11,'Data- Refined'!$C11)</f>
        <v>3</v>
      </c>
      <c r="E38" s="20">
        <f>IFERROR('Data- Refined'!$D11/'Support Calculation'!$AI11,'Data- Refined'!$D11)</f>
        <v>1.6666666666666667</v>
      </c>
      <c r="F38" s="20">
        <f>IFERROR('Data- Refined'!$E11/'Support Calculation'!$AR11,'Data- Refined'!$E11)</f>
        <v>3.6</v>
      </c>
      <c r="G38" s="20">
        <f>IFERROR('Data- Refined'!$F11/'Support Calculation'!$BA11,'Data- Refined'!$F11)</f>
        <v>2.8571428571428572</v>
      </c>
      <c r="H38" s="20">
        <f>IFERROR('Data- Refined'!$G11/'Support Calculation'!$BJ11,'Data- Refined'!$G11)</f>
        <v>2.4</v>
      </c>
      <c r="I38" s="20">
        <f>IFERROR('Data- Refined'!$H11/'Support Calculation'!$BS11,'Data- Refined'!$H11)</f>
        <v>1.75</v>
      </c>
      <c r="J38" s="20">
        <f>IFERROR('Data- Refined'!$I11/'Support Calculation'!$CB11,'Data- Refined'!$I11)</f>
        <v>2</v>
      </c>
      <c r="K38" s="20">
        <f>IFERROR('Data- Refined'!$J11/'Support Calculation'!$CK11,'Data- Refined'!$J11)</f>
        <v>1.6666666666666667</v>
      </c>
      <c r="L38" s="20">
        <f>IFERROR('Data- Refined'!$K11/'Support Calculation'!$CT11,'Data- Refined'!$K11)</f>
        <v>1.75</v>
      </c>
      <c r="M38" s="20">
        <f>IFERROR('Data- Refined'!$L11/'Support Calculation'!$DC11,'Data- Refined'!$L11)</f>
        <v>1.25</v>
      </c>
      <c r="N38" s="20">
        <f>IFERROR('Data- Refined'!$M11/'Support Calculation'!$DL11,'Data- Refined'!$M11)</f>
        <v>2</v>
      </c>
      <c r="O38" s="20">
        <f>IFERROR('Data- Refined'!$N11/'Support Calculation'!$DU11,'Data- Refined'!$N11)</f>
        <v>1</v>
      </c>
      <c r="P38" s="20">
        <f>IFERROR('Data- Refined'!$O11/'Support Calculation'!$ED11,'Data- Refined'!$O11)</f>
        <v>0</v>
      </c>
      <c r="Q38" s="20">
        <f>IFERROR('Data- Refined'!$P11/'Support Calculation'!EM11,'Data- Refined'!$P11)</f>
        <v>0</v>
      </c>
      <c r="R38" s="20">
        <f>IFERROR('Data- Refined'!$Q11/'Support Calculation'!EV11,'Data- Refined'!$Q11)</f>
        <v>0</v>
      </c>
      <c r="T38" s="29" t="s">
        <v>27</v>
      </c>
      <c r="U38" s="20">
        <f>IFERROR('Data- Refined'!$B11/'Support Calculation'!$Q11,IF('Data- Refined'!$B11=0,0,"NA"))</f>
        <v>0.16666666666666666</v>
      </c>
      <c r="V38" s="20">
        <f>IFERROR('Data- Refined'!$C11/'Support Calculation'!$Z11,IF('Data- Refined'!$C11=0,0,"NA"))</f>
        <v>3</v>
      </c>
      <c r="W38" s="20">
        <f>IFERROR('Data- Refined'!$D11/'Support Calculation'!$AI11,IF('Data- Refined'!$D11=0,0,"NA"))</f>
        <v>1.6666666666666667</v>
      </c>
      <c r="X38" s="20">
        <f>IFERROR('Data- Refined'!$E11/'Support Calculation'!$AR11,IF('Data- Refined'!$E11=0,0,"NA"))</f>
        <v>3.6</v>
      </c>
      <c r="Y38" s="20">
        <f>IFERROR('Data- Refined'!$F11/'Support Calculation'!$BA11,IF('Data- Refined'!$F11=0,0,"NA"))</f>
        <v>2.8571428571428572</v>
      </c>
      <c r="Z38" s="20">
        <f>IFERROR('Data- Refined'!$G11/'Support Calculation'!$BJ11,IF('Data- Refined'!$G11=0,0,"NA"))</f>
        <v>2.4</v>
      </c>
      <c r="AA38" s="20">
        <f>IFERROR('Data- Refined'!$H11/'Support Calculation'!$BS11,IF('Data- Refined'!$H11=0,0,"NA"))</f>
        <v>1.75</v>
      </c>
      <c r="AB38" s="20">
        <f>IFERROR('Data- Refined'!$I11/'Support Calculation'!$CB11,IF('Data- Refined'!$I11=0,0,"NA"))</f>
        <v>2</v>
      </c>
      <c r="AC38" s="20">
        <f>IFERROR('Data- Refined'!$J11/'Support Calculation'!$CK11,IF('Data- Refined'!$J11=0,0,"NA"))</f>
        <v>1.6666666666666667</v>
      </c>
      <c r="AD38" s="20">
        <f>IFERROR('Data- Refined'!$K11/'Support Calculation'!$CT11,IF('Data- Refined'!$K11=0,0,"NA"))</f>
        <v>1.75</v>
      </c>
      <c r="AE38" s="20">
        <f>IFERROR('Data- Refined'!$L11/'Support Calculation'!$DC11,IF('Data- Refined'!$L11=0,0,"NA"))</f>
        <v>1.25</v>
      </c>
      <c r="AF38" s="20">
        <f>IFERROR('Data- Refined'!$M11/'Support Calculation'!$DL11,IF('Data- Refined'!$M11=0,0,"NA"))</f>
        <v>2</v>
      </c>
      <c r="AG38" s="20">
        <f>IFERROR('Data- Refined'!$N11/'Support Calculation'!$DU11,IF('Data- Refined'!$N11=0,0,"NA"))</f>
        <v>1</v>
      </c>
      <c r="AH38" s="20">
        <f>IFERROR('Data- Refined'!$O11/'Support Calculation'!$ED11,IF('Data- Refined'!$O11=0,0,"NA"))</f>
        <v>0</v>
      </c>
      <c r="AI38" s="151">
        <f>IFERROR('Data- Refined'!$P11/'Support Calculation'!EM11,IF('Data- Refined'!$P11=0,0,"NA"))</f>
        <v>0</v>
      </c>
      <c r="AJ38" s="151">
        <f>IFERROR('Data- Refined'!$Q11/'Support Calculation'!EV11,IF('Data- Refined'!$Q11=0,0,"NA"))</f>
        <v>0</v>
      </c>
    </row>
    <row r="39" spans="1:36" x14ac:dyDescent="0.35">
      <c r="A39" s="2"/>
      <c r="B39" s="29" t="s">
        <v>28</v>
      </c>
      <c r="C39" s="20">
        <f>IFERROR('Data- Refined'!$B12/'Support Calculation'!$Q12,'Data- Refined'!$B12)</f>
        <v>1.3333333333333333</v>
      </c>
      <c r="D39" s="20">
        <f>IFERROR('Data- Refined'!$C12/'Support Calculation'!$Z12,'Data- Refined'!$C12)</f>
        <v>2.25</v>
      </c>
      <c r="E39" s="20">
        <f>IFERROR('Data- Refined'!$D12/'Support Calculation'!$AI12,'Data- Refined'!$D12)</f>
        <v>2.8333333333333335</v>
      </c>
      <c r="F39" s="20">
        <f>IFERROR('Data- Refined'!$E12/'Support Calculation'!$AR12,'Data- Refined'!$E12)</f>
        <v>0.91666666666666663</v>
      </c>
      <c r="G39" s="20">
        <f>IFERROR('Data- Refined'!$F12/'Support Calculation'!$BA12,'Data- Refined'!$F12)</f>
        <v>1.3636363636363635</v>
      </c>
      <c r="H39" s="20">
        <f>IFERROR('Data- Refined'!$G12/'Support Calculation'!$BJ12,'Data- Refined'!$G12)</f>
        <v>0.92307692307692313</v>
      </c>
      <c r="I39" s="20">
        <f>IFERROR('Data- Refined'!$H12/'Support Calculation'!$BS12,'Data- Refined'!$H12)</f>
        <v>5.5</v>
      </c>
      <c r="J39" s="20">
        <f>IFERROR('Data- Refined'!$I12/'Support Calculation'!$CB12,'Data- Refined'!$I12)</f>
        <v>2</v>
      </c>
      <c r="K39" s="20">
        <f>IFERROR('Data- Refined'!$J12/'Support Calculation'!$CK12,'Data- Refined'!$J12)</f>
        <v>1.3333333333333333</v>
      </c>
      <c r="L39" s="20">
        <f>IFERROR('Data- Refined'!$K12/'Support Calculation'!$CT12,'Data- Refined'!$K12)</f>
        <v>0.75</v>
      </c>
      <c r="M39" s="20">
        <f>IFERROR('Data- Refined'!$L12/'Support Calculation'!$DC12,'Data- Refined'!$L12)</f>
        <v>1.3333333333333333</v>
      </c>
      <c r="N39" s="20">
        <f>IFERROR('Data- Refined'!$M12/'Support Calculation'!$DL12,'Data- Refined'!$M12)</f>
        <v>9</v>
      </c>
      <c r="O39" s="20">
        <f>IFERROR('Data- Refined'!$N12/'Support Calculation'!$DU12,'Data- Refined'!$N12)</f>
        <v>5</v>
      </c>
      <c r="P39" s="20">
        <f>IFERROR('Data- Refined'!$O12/'Support Calculation'!$ED12,'Data- Refined'!$O12)</f>
        <v>0</v>
      </c>
      <c r="Q39" s="20">
        <f>IFERROR('Data- Refined'!$P12/'Support Calculation'!EM12,'Data- Refined'!$P12)</f>
        <v>0</v>
      </c>
      <c r="R39" s="20">
        <f>IFERROR('Data- Refined'!$Q12/'Support Calculation'!EV12,'Data- Refined'!$Q12)</f>
        <v>0</v>
      </c>
      <c r="T39" s="29" t="s">
        <v>28</v>
      </c>
      <c r="U39" s="20">
        <f>IFERROR('Data- Refined'!$B12/'Support Calculation'!$Q12,IF('Data- Refined'!$B12=0,0,"NA"))</f>
        <v>1.3333333333333333</v>
      </c>
      <c r="V39" s="20">
        <f>IFERROR('Data- Refined'!$C12/'Support Calculation'!$Z12,IF('Data- Refined'!$C12=0,0,"NA"))</f>
        <v>2.25</v>
      </c>
      <c r="W39" s="20">
        <f>IFERROR('Data- Refined'!$D12/'Support Calculation'!$AI12,IF('Data- Refined'!$D12=0,0,"NA"))</f>
        <v>2.8333333333333335</v>
      </c>
      <c r="X39" s="20">
        <f>IFERROR('Data- Refined'!$E12/'Support Calculation'!$AR12,IF('Data- Refined'!$E12=0,0,"NA"))</f>
        <v>0.91666666666666663</v>
      </c>
      <c r="Y39" s="20">
        <f>IFERROR('Data- Refined'!$F12/'Support Calculation'!$BA12,IF('Data- Refined'!$F12=0,0,"NA"))</f>
        <v>1.3636363636363635</v>
      </c>
      <c r="Z39" s="20">
        <f>IFERROR('Data- Refined'!$G12/'Support Calculation'!$BJ12,IF('Data- Refined'!$G12=0,0,"NA"))</f>
        <v>0.92307692307692313</v>
      </c>
      <c r="AA39" s="20">
        <f>IFERROR('Data- Refined'!$H12/'Support Calculation'!$BS12,IF('Data- Refined'!$H12=0,0,"NA"))</f>
        <v>5.5</v>
      </c>
      <c r="AB39" s="20">
        <f>IFERROR('Data- Refined'!$I12/'Support Calculation'!$CB12,IF('Data- Refined'!$I12=0,0,"NA"))</f>
        <v>2</v>
      </c>
      <c r="AC39" s="20">
        <f>IFERROR('Data- Refined'!$J12/'Support Calculation'!$CK12,IF('Data- Refined'!$J12=0,0,"NA"))</f>
        <v>1.3333333333333333</v>
      </c>
      <c r="AD39" s="20">
        <f>IFERROR('Data- Refined'!$K12/'Support Calculation'!$CT12,IF('Data- Refined'!$K12=0,0,"NA"))</f>
        <v>0.75</v>
      </c>
      <c r="AE39" s="20">
        <f>IFERROR('Data- Refined'!$L12/'Support Calculation'!$DC12,IF('Data- Refined'!$L12=0,0,"NA"))</f>
        <v>1.3333333333333333</v>
      </c>
      <c r="AF39" s="20">
        <f>IFERROR('Data- Refined'!$M12/'Support Calculation'!$DL12,IF('Data- Refined'!$M12=0,0,"NA"))</f>
        <v>9</v>
      </c>
      <c r="AG39" s="20">
        <f>IFERROR('Data- Refined'!$N12/'Support Calculation'!$DU12,IF('Data- Refined'!$N12=0,0,"NA"))</f>
        <v>5</v>
      </c>
      <c r="AH39" s="20">
        <f>IFERROR('Data- Refined'!$O12/'Support Calculation'!$ED12,IF('Data- Refined'!$O12=0,0,"NA"))</f>
        <v>0</v>
      </c>
      <c r="AI39" s="151">
        <f>IFERROR('Data- Refined'!$P12/'Support Calculation'!EM12,IF('Data- Refined'!$P12=0,0,"NA"))</f>
        <v>0</v>
      </c>
      <c r="AJ39" s="151">
        <f>IFERROR('Data- Refined'!$Q12/'Support Calculation'!EV12,IF('Data- Refined'!$Q12=0,0,"NA"))</f>
        <v>0</v>
      </c>
    </row>
    <row r="40" spans="1:36" x14ac:dyDescent="0.35">
      <c r="A40" s="2"/>
      <c r="B40" s="29" t="s">
        <v>29</v>
      </c>
      <c r="C40" s="20">
        <f>IFERROR('Data- Refined'!$B13/'Support Calculation'!$Q13,'Data- Refined'!$B13)</f>
        <v>3.9</v>
      </c>
      <c r="D40" s="20">
        <f>IFERROR('Data- Refined'!$C13/'Support Calculation'!$Z13,'Data- Refined'!$C13)</f>
        <v>15.411764705882353</v>
      </c>
      <c r="E40" s="20">
        <f>IFERROR('Data- Refined'!$D13/'Support Calculation'!$AI13,'Data- Refined'!$D13)</f>
        <v>12.5</v>
      </c>
      <c r="F40" s="20">
        <f>IFERROR('Data- Refined'!$E13/'Support Calculation'!$AR13,'Data- Refined'!$E13)</f>
        <v>9.3076923076923084</v>
      </c>
      <c r="G40" s="20">
        <f>IFERROR('Data- Refined'!$F13/'Support Calculation'!$BA13,'Data- Refined'!$F13)</f>
        <v>8.2142857142857135</v>
      </c>
      <c r="H40" s="20">
        <f>IFERROR('Data- Refined'!$G13/'Support Calculation'!$BJ13,'Data- Refined'!$G13)</f>
        <v>7.4</v>
      </c>
      <c r="I40" s="20">
        <f>IFERROR('Data- Refined'!$H13/'Support Calculation'!$BS13,'Data- Refined'!$H13)</f>
        <v>11.222222222222221</v>
      </c>
      <c r="J40" s="20">
        <f>IFERROR('Data- Refined'!$I13/'Support Calculation'!$CB13,'Data- Refined'!$I13)</f>
        <v>8.9473684210526319</v>
      </c>
      <c r="K40" s="20">
        <f>IFERROR('Data- Refined'!$J13/'Support Calculation'!$CK13,'Data- Refined'!$J13)</f>
        <v>7.4</v>
      </c>
      <c r="L40" s="20">
        <f>IFERROR('Data- Refined'!$K13/'Support Calculation'!$CT13,'Data- Refined'!$K13)</f>
        <v>6.7647058823529411</v>
      </c>
      <c r="M40" s="20">
        <f>IFERROR('Data- Refined'!$L13/'Support Calculation'!$DC13,'Data- Refined'!$L13)</f>
        <v>8.1111111111111107</v>
      </c>
      <c r="N40" s="20">
        <f>IFERROR('Data- Refined'!$M13/'Support Calculation'!$DL13,'Data- Refined'!$M13)</f>
        <v>19</v>
      </c>
      <c r="O40" s="20">
        <f>IFERROR('Data- Refined'!$N13/'Support Calculation'!$DU13,'Data- Refined'!$N13)</f>
        <v>6.833333333333333</v>
      </c>
      <c r="P40" s="20">
        <f>IFERROR('Data- Refined'!$O13/'Support Calculation'!$ED13,'Data- Refined'!$O13)</f>
        <v>0</v>
      </c>
      <c r="Q40" s="20">
        <f>IFERROR('Data- Refined'!$P13/'Support Calculation'!EM13,'Data- Refined'!$P13)</f>
        <v>0</v>
      </c>
      <c r="R40" s="20">
        <f>IFERROR('Data- Refined'!$Q13/'Support Calculation'!EV13,'Data- Refined'!$Q13)</f>
        <v>0</v>
      </c>
      <c r="T40" s="29" t="s">
        <v>29</v>
      </c>
      <c r="U40" s="20">
        <f>IFERROR('Data- Refined'!$B13/'Support Calculation'!$Q13,IF('Data- Refined'!$B13=0,0,"NA"))</f>
        <v>3.9</v>
      </c>
      <c r="V40" s="20">
        <f>IFERROR('Data- Refined'!$C13/'Support Calculation'!$Z13,IF('Data- Refined'!$C13=0,0,"NA"))</f>
        <v>15.411764705882353</v>
      </c>
      <c r="W40" s="20">
        <f>IFERROR('Data- Refined'!$D13/'Support Calculation'!$AI13,IF('Data- Refined'!$D13=0,0,"NA"))</f>
        <v>12.5</v>
      </c>
      <c r="X40" s="20">
        <f>IFERROR('Data- Refined'!$E13/'Support Calculation'!$AR13,IF('Data- Refined'!$E13=0,0,"NA"))</f>
        <v>9.3076923076923084</v>
      </c>
      <c r="Y40" s="20">
        <f>IFERROR('Data- Refined'!$F13/'Support Calculation'!$BA13,IF('Data- Refined'!$F13=0,0,"NA"))</f>
        <v>8.2142857142857135</v>
      </c>
      <c r="Z40" s="20">
        <f>IFERROR('Data- Refined'!$G13/'Support Calculation'!$BJ13,IF('Data- Refined'!$G13=0,0,"NA"))</f>
        <v>7.4</v>
      </c>
      <c r="AA40" s="20">
        <f>IFERROR('Data- Refined'!$H13/'Support Calculation'!$BS13,IF('Data- Refined'!$H13=0,0,"NA"))</f>
        <v>11.222222222222221</v>
      </c>
      <c r="AB40" s="20">
        <f>IFERROR('Data- Refined'!$I13/'Support Calculation'!$CB13,IF('Data- Refined'!$I13=0,0,"NA"))</f>
        <v>8.9473684210526319</v>
      </c>
      <c r="AC40" s="20">
        <f>IFERROR('Data- Refined'!$J13/'Support Calculation'!$CK13,IF('Data- Refined'!$J13=0,0,"NA"))</f>
        <v>7.4</v>
      </c>
      <c r="AD40" s="20">
        <f>IFERROR('Data- Refined'!$K13/'Support Calculation'!$CT13,IF('Data- Refined'!$K13=0,0,"NA"))</f>
        <v>6.7647058823529411</v>
      </c>
      <c r="AE40" s="20">
        <f>IFERROR('Data- Refined'!$L13/'Support Calculation'!$DC13,IF('Data- Refined'!$L13=0,0,"NA"))</f>
        <v>8.1111111111111107</v>
      </c>
      <c r="AF40" s="20">
        <f>IFERROR('Data- Refined'!$M13/'Support Calculation'!$DL13,IF('Data- Refined'!$M13=0,0,"NA"))</f>
        <v>19</v>
      </c>
      <c r="AG40" s="20">
        <f>IFERROR('Data- Refined'!$N13/'Support Calculation'!$DU13,IF('Data- Refined'!$N13=0,0,"NA"))</f>
        <v>6.833333333333333</v>
      </c>
      <c r="AH40" s="20">
        <f>IFERROR('Data- Refined'!$O13/'Support Calculation'!$ED13,IF('Data- Refined'!$O13=0,0,"NA"))</f>
        <v>0</v>
      </c>
      <c r="AI40" s="151">
        <f>IFERROR('Data- Refined'!$P13/'Support Calculation'!EM13,IF('Data- Refined'!$P13=0,0,"NA"))</f>
        <v>0</v>
      </c>
      <c r="AJ40" s="151">
        <f>IFERROR('Data- Refined'!$Q13/'Support Calculation'!EV13,IF('Data- Refined'!$Q13=0,0,"NA"))</f>
        <v>0</v>
      </c>
    </row>
    <row r="41" spans="1:36" x14ac:dyDescent="0.35">
      <c r="A41" s="2"/>
      <c r="B41" s="29" t="s">
        <v>30</v>
      </c>
      <c r="C41" s="20">
        <f>IFERROR('Data- Refined'!$B14/'Support Calculation'!$Q14,'Data- Refined'!$B14)</f>
        <v>2.5</v>
      </c>
      <c r="D41" s="20">
        <f>IFERROR('Data- Refined'!$C14/'Support Calculation'!$Z14,'Data- Refined'!$C14)</f>
        <v>14.444444444444445</v>
      </c>
      <c r="E41" s="20">
        <f>IFERROR('Data- Refined'!$D14/'Support Calculation'!$AI14,'Data- Refined'!$D14)</f>
        <v>9.1428571428571423</v>
      </c>
      <c r="F41" s="20">
        <f>IFERROR('Data- Refined'!$E14/'Support Calculation'!$AR14,'Data- Refined'!$E14)</f>
        <v>13.272727272727273</v>
      </c>
      <c r="G41" s="20">
        <f>IFERROR('Data- Refined'!$F14/'Support Calculation'!$BA14,'Data- Refined'!$F14)</f>
        <v>5.958333333333333</v>
      </c>
      <c r="H41" s="20">
        <f>IFERROR('Data- Refined'!$G14/'Support Calculation'!$BJ14,'Data- Refined'!$G14)</f>
        <v>6.2631578947368425</v>
      </c>
      <c r="I41" s="20">
        <f>IFERROR('Data- Refined'!$H14/'Support Calculation'!$BS14,'Data- Refined'!$H14)</f>
        <v>7.0714285714285712</v>
      </c>
      <c r="J41" s="20">
        <f>IFERROR('Data- Refined'!$I14/'Support Calculation'!$CB14,'Data- Refined'!$I14)</f>
        <v>9.5</v>
      </c>
      <c r="K41" s="20">
        <f>IFERROR('Data- Refined'!$J14/'Support Calculation'!$CK14,'Data- Refined'!$J14)</f>
        <v>4.2142857142857144</v>
      </c>
      <c r="L41" s="20">
        <f>IFERROR('Data- Refined'!$K14/'Support Calculation'!$CT14,'Data- Refined'!$K14)</f>
        <v>5.8888888888888893</v>
      </c>
      <c r="M41" s="20">
        <f>IFERROR('Data- Refined'!$L14/'Support Calculation'!$DC14,'Data- Refined'!$L14)</f>
        <v>4.375</v>
      </c>
      <c r="N41" s="20">
        <f>IFERROR('Data- Refined'!$M14/'Support Calculation'!$DL14,'Data- Refined'!$M14)</f>
        <v>8.375</v>
      </c>
      <c r="O41" s="20">
        <f>IFERROR('Data- Refined'!$N14/'Support Calculation'!$DU14,'Data- Refined'!$N14)</f>
        <v>4.2142857142857144</v>
      </c>
      <c r="P41" s="20">
        <f>IFERROR('Data- Refined'!$O14/'Support Calculation'!$ED14,'Data- Refined'!$O14)</f>
        <v>0</v>
      </c>
      <c r="Q41" s="20">
        <f>IFERROR('Data- Refined'!$P14/'Support Calculation'!EM14,'Data- Refined'!$P14)</f>
        <v>0</v>
      </c>
      <c r="R41" s="20">
        <f>IFERROR('Data- Refined'!$Q14/'Support Calculation'!EV14,'Data- Refined'!$Q14)</f>
        <v>0</v>
      </c>
      <c r="T41" s="29" t="s">
        <v>30</v>
      </c>
      <c r="U41" s="20">
        <f>IFERROR('Data- Refined'!$B14/'Support Calculation'!$Q14,IF('Data- Refined'!$B14=0,0,"NA"))</f>
        <v>2.5</v>
      </c>
      <c r="V41" s="20">
        <f>IFERROR('Data- Refined'!$C14/'Support Calculation'!$Z14,IF('Data- Refined'!$C14=0,0,"NA"))</f>
        <v>14.444444444444445</v>
      </c>
      <c r="W41" s="20">
        <f>IFERROR('Data- Refined'!$D14/'Support Calculation'!$AI14,IF('Data- Refined'!$D14=0,0,"NA"))</f>
        <v>9.1428571428571423</v>
      </c>
      <c r="X41" s="20">
        <f>IFERROR('Data- Refined'!$E14/'Support Calculation'!$AR14,IF('Data- Refined'!$E14=0,0,"NA"))</f>
        <v>13.272727272727273</v>
      </c>
      <c r="Y41" s="20">
        <f>IFERROR('Data- Refined'!$F14/'Support Calculation'!$BA14,IF('Data- Refined'!$F14=0,0,"NA"))</f>
        <v>5.958333333333333</v>
      </c>
      <c r="Z41" s="20">
        <f>IFERROR('Data- Refined'!$G14/'Support Calculation'!$BJ14,IF('Data- Refined'!$G14=0,0,"NA"))</f>
        <v>6.2631578947368425</v>
      </c>
      <c r="AA41" s="20">
        <f>IFERROR('Data- Refined'!$H14/'Support Calculation'!$BS14,IF('Data- Refined'!$H14=0,0,"NA"))</f>
        <v>7.0714285714285712</v>
      </c>
      <c r="AB41" s="20">
        <f>IFERROR('Data- Refined'!$I14/'Support Calculation'!$CB14,IF('Data- Refined'!$I14=0,0,"NA"))</f>
        <v>9.5</v>
      </c>
      <c r="AC41" s="20">
        <f>IFERROR('Data- Refined'!$J14/'Support Calculation'!$CK14,IF('Data- Refined'!$J14=0,0,"NA"))</f>
        <v>4.2142857142857144</v>
      </c>
      <c r="AD41" s="20">
        <f>IFERROR('Data- Refined'!$K14/'Support Calculation'!$CT14,IF('Data- Refined'!$K14=0,0,"NA"))</f>
        <v>5.8888888888888893</v>
      </c>
      <c r="AE41" s="20">
        <f>IFERROR('Data- Refined'!$L14/'Support Calculation'!$DC14,IF('Data- Refined'!$L14=0,0,"NA"))</f>
        <v>4.375</v>
      </c>
      <c r="AF41" s="20">
        <f>IFERROR('Data- Refined'!$M14/'Support Calculation'!$DL14,IF('Data- Refined'!$M14=0,0,"NA"))</f>
        <v>8.375</v>
      </c>
      <c r="AG41" s="20">
        <f>IFERROR('Data- Refined'!$N14/'Support Calculation'!$DU14,IF('Data- Refined'!$N14=0,0,"NA"))</f>
        <v>4.2142857142857144</v>
      </c>
      <c r="AH41" s="20">
        <f>IFERROR('Data- Refined'!$O14/'Support Calculation'!$ED14,IF('Data- Refined'!$O14=0,0,"NA"))</f>
        <v>0</v>
      </c>
      <c r="AI41" s="151">
        <f>IFERROR('Data- Refined'!$P14/'Support Calculation'!EM14,IF('Data- Refined'!$P14=0,0,"NA"))</f>
        <v>0</v>
      </c>
      <c r="AJ41" s="151">
        <f>IFERROR('Data- Refined'!$Q14/'Support Calculation'!EV14,IF('Data- Refined'!$Q14=0,0,"NA"))</f>
        <v>0</v>
      </c>
    </row>
    <row r="42" spans="1:36" x14ac:dyDescent="0.35">
      <c r="A42" s="2"/>
      <c r="B42" s="29" t="s">
        <v>31</v>
      </c>
      <c r="C42" s="20">
        <f>IFERROR('Data- Refined'!$B15/'Support Calculation'!$Q15,'Data- Refined'!$B15)</f>
        <v>0</v>
      </c>
      <c r="D42" s="20">
        <f>IFERROR('Data- Refined'!$C15/'Support Calculation'!$Z15,'Data- Refined'!$C15)</f>
        <v>2.1111111111111112</v>
      </c>
      <c r="E42" s="20">
        <f>IFERROR('Data- Refined'!$D15/'Support Calculation'!$AI15,'Data- Refined'!$D15)</f>
        <v>2</v>
      </c>
      <c r="F42" s="20">
        <f>IFERROR('Data- Refined'!$E15/'Support Calculation'!$AR15,'Data- Refined'!$E15)</f>
        <v>1</v>
      </c>
      <c r="G42" s="20">
        <f>IFERROR('Data- Refined'!$F15/'Support Calculation'!$BA15,'Data- Refined'!$F15)</f>
        <v>1.2</v>
      </c>
      <c r="H42" s="20">
        <f>IFERROR('Data- Refined'!$G15/'Support Calculation'!$BJ15,'Data- Refined'!$G15)</f>
        <v>1.1666666666666667</v>
      </c>
      <c r="I42" s="20">
        <f>IFERROR('Data- Refined'!$H15/'Support Calculation'!$BS15,'Data- Refined'!$H15)</f>
        <v>1.7142857142857142</v>
      </c>
      <c r="J42" s="20">
        <f>IFERROR('Data- Refined'!$I15/'Support Calculation'!$CB15,'Data- Refined'!$I15)</f>
        <v>6</v>
      </c>
      <c r="K42" s="20">
        <f>IFERROR('Data- Refined'!$J15/'Support Calculation'!$CK15,'Data- Refined'!$J15)</f>
        <v>1.1428571428571428</v>
      </c>
      <c r="L42" s="20">
        <f>IFERROR('Data- Refined'!$K15/'Support Calculation'!$CT15,'Data- Refined'!$K15)</f>
        <v>0.88888888888888884</v>
      </c>
      <c r="M42" s="20">
        <f>IFERROR('Data- Refined'!$L15/'Support Calculation'!$DC15,'Data- Refined'!$L15)</f>
        <v>1.6</v>
      </c>
      <c r="N42" s="20">
        <f>IFERROR('Data- Refined'!$M15/'Support Calculation'!$DL15,'Data- Refined'!$M15)</f>
        <v>4.5999999999999996</v>
      </c>
      <c r="O42" s="20">
        <f>IFERROR('Data- Refined'!$N15/'Support Calculation'!$DU15,'Data- Refined'!$N15)</f>
        <v>4.8571428571428568</v>
      </c>
      <c r="P42" s="20">
        <f>IFERROR('Data- Refined'!$O15/'Support Calculation'!$ED15,'Data- Refined'!$O15)</f>
        <v>2.875</v>
      </c>
      <c r="Q42" s="20">
        <f>IFERROR('Data- Refined'!$P15/'Support Calculation'!EM15,'Data- Refined'!$P15)</f>
        <v>0</v>
      </c>
      <c r="R42" s="20">
        <f>IFERROR('Data- Refined'!$Q15/'Support Calculation'!EV15,'Data- Refined'!$Q15)</f>
        <v>0</v>
      </c>
      <c r="T42" s="29" t="s">
        <v>31</v>
      </c>
      <c r="U42" s="20">
        <f>IFERROR('Data- Refined'!$B15/'Support Calculation'!$Q15,IF('Data- Refined'!$B15=0,0,"NA"))</f>
        <v>0</v>
      </c>
      <c r="V42" s="20">
        <f>IFERROR('Data- Refined'!$C15/'Support Calculation'!$Z15,IF('Data- Refined'!$C15=0,0,"NA"))</f>
        <v>2.1111111111111112</v>
      </c>
      <c r="W42" s="20">
        <f>IFERROR('Data- Refined'!$D15/'Support Calculation'!$AI15,IF('Data- Refined'!$D15=0,0,"NA"))</f>
        <v>2</v>
      </c>
      <c r="X42" s="20">
        <f>IFERROR('Data- Refined'!$E15/'Support Calculation'!$AR15,IF('Data- Refined'!$E15=0,0,"NA"))</f>
        <v>1</v>
      </c>
      <c r="Y42" s="20">
        <f>IFERROR('Data- Refined'!$F15/'Support Calculation'!$BA15,IF('Data- Refined'!$F15=0,0,"NA"))</f>
        <v>1.2</v>
      </c>
      <c r="Z42" s="20">
        <f>IFERROR('Data- Refined'!$G15/'Support Calculation'!$BJ15,IF('Data- Refined'!$G15=0,0,"NA"))</f>
        <v>1.1666666666666667</v>
      </c>
      <c r="AA42" s="20">
        <f>IFERROR('Data- Refined'!$H15/'Support Calculation'!$BS15,IF('Data- Refined'!$H15=0,0,"NA"))</f>
        <v>1.7142857142857142</v>
      </c>
      <c r="AB42" s="20">
        <f>IFERROR('Data- Refined'!$I15/'Support Calculation'!$CB15,IF('Data- Refined'!$I15=0,0,"NA"))</f>
        <v>6</v>
      </c>
      <c r="AC42" s="20">
        <f>IFERROR('Data- Refined'!$J15/'Support Calculation'!$CK15,IF('Data- Refined'!$J15=0,0,"NA"))</f>
        <v>1.1428571428571428</v>
      </c>
      <c r="AD42" s="20">
        <f>IFERROR('Data- Refined'!$K15/'Support Calculation'!$CT15,IF('Data- Refined'!$K15=0,0,"NA"))</f>
        <v>0.88888888888888884</v>
      </c>
      <c r="AE42" s="20">
        <f>IFERROR('Data- Refined'!$L15/'Support Calculation'!$DC15,IF('Data- Refined'!$L15=0,0,"NA"))</f>
        <v>1.6</v>
      </c>
      <c r="AF42" s="20">
        <f>IFERROR('Data- Refined'!$M15/'Support Calculation'!$DL15,IF('Data- Refined'!$M15=0,0,"NA"))</f>
        <v>4.5999999999999996</v>
      </c>
      <c r="AG42" s="20">
        <f>IFERROR('Data- Refined'!$N15/'Support Calculation'!$DU15,IF('Data- Refined'!$N15=0,0,"NA"))</f>
        <v>4.8571428571428568</v>
      </c>
      <c r="AH42" s="20">
        <f>IFERROR('Data- Refined'!$O15/'Support Calculation'!$ED15,IF('Data- Refined'!$O15=0,0,"NA"))</f>
        <v>2.875</v>
      </c>
      <c r="AI42" s="151">
        <f>IFERROR('Data- Refined'!$P15/'Support Calculation'!EM15,IF('Data- Refined'!$P15=0,0,"NA"))</f>
        <v>0</v>
      </c>
      <c r="AJ42" s="151">
        <f>IFERROR('Data- Refined'!$Q15/'Support Calculation'!EV15,IF('Data- Refined'!$Q15=0,0,"NA"))</f>
        <v>0</v>
      </c>
    </row>
    <row r="43" spans="1:36" x14ac:dyDescent="0.35">
      <c r="A43" s="2"/>
      <c r="B43" s="29" t="s">
        <v>32</v>
      </c>
      <c r="C43" s="20">
        <f>IFERROR('Data- Refined'!$B16/'Support Calculation'!$Q16,'Data- Refined'!$B16)</f>
        <v>0</v>
      </c>
      <c r="D43" s="20">
        <f>IFERROR('Data- Refined'!$C16/'Support Calculation'!$Z16,'Data- Refined'!$C16)</f>
        <v>9</v>
      </c>
      <c r="E43" s="20">
        <f>IFERROR('Data- Refined'!$D16/'Support Calculation'!$AI16,'Data- Refined'!$D16)</f>
        <v>5.75</v>
      </c>
      <c r="F43" s="20">
        <f>IFERROR('Data- Refined'!$E16/'Support Calculation'!$AR16,'Data- Refined'!$E16)</f>
        <v>4</v>
      </c>
      <c r="G43" s="20">
        <f>IFERROR('Data- Refined'!$F16/'Support Calculation'!$BA16,'Data- Refined'!$F16)</f>
        <v>2.5</v>
      </c>
      <c r="H43" s="20">
        <f>IFERROR('Data- Refined'!$G16/'Support Calculation'!$BJ16,'Data- Refined'!$G16)</f>
        <v>2.6666666666666665</v>
      </c>
      <c r="I43" s="20">
        <f>IFERROR('Data- Refined'!$H16/'Support Calculation'!$BS16,'Data- Refined'!$H16)</f>
        <v>1.7142857142857142</v>
      </c>
      <c r="J43" s="20">
        <f>IFERROR('Data- Refined'!$I16/'Support Calculation'!$CB16,'Data- Refined'!$I16)</f>
        <v>3</v>
      </c>
      <c r="K43" s="20">
        <f>IFERROR('Data- Refined'!$J16/'Support Calculation'!$CK16,'Data- Refined'!$J16)</f>
        <v>1</v>
      </c>
      <c r="L43" s="20">
        <f>IFERROR('Data- Refined'!$K16/'Support Calculation'!$CT16,'Data- Refined'!$K16)</f>
        <v>5.5</v>
      </c>
      <c r="M43" s="20">
        <f>IFERROR('Data- Refined'!$L16/'Support Calculation'!$DC16,'Data- Refined'!$L16)</f>
        <v>0.625</v>
      </c>
      <c r="N43" s="20">
        <f>IFERROR('Data- Refined'!$M16/'Support Calculation'!$DL16,'Data- Refined'!$M16)</f>
        <v>4.333333333333333</v>
      </c>
      <c r="O43" s="20">
        <f>IFERROR('Data- Refined'!$N16/'Support Calculation'!$DU16,'Data- Refined'!$N16)</f>
        <v>1.4285714285714286</v>
      </c>
      <c r="P43" s="20">
        <f>IFERROR('Data- Refined'!$O16/'Support Calculation'!$ED16,'Data- Refined'!$O16)</f>
        <v>1.4285714285714286</v>
      </c>
      <c r="Q43" s="20">
        <f>IFERROR('Data- Refined'!$P16/'Support Calculation'!EM16,'Data- Refined'!$P16)</f>
        <v>0</v>
      </c>
      <c r="R43" s="20">
        <f>IFERROR('Data- Refined'!$Q16/'Support Calculation'!EV16,'Data- Refined'!$Q16)</f>
        <v>0</v>
      </c>
      <c r="T43" s="29" t="s">
        <v>32</v>
      </c>
      <c r="U43" s="20">
        <f>IFERROR('Data- Refined'!$B16/'Support Calculation'!$Q16,IF('Data- Refined'!$B16=0,0,"NA"))</f>
        <v>0</v>
      </c>
      <c r="V43" s="20">
        <f>IFERROR('Data- Refined'!$C16/'Support Calculation'!$Z16,IF('Data- Refined'!$C16=0,0,"NA"))</f>
        <v>9</v>
      </c>
      <c r="W43" s="20">
        <f>IFERROR('Data- Refined'!$D16/'Support Calculation'!$AI16,IF('Data- Refined'!$D16=0,0,"NA"))</f>
        <v>5.75</v>
      </c>
      <c r="X43" s="20">
        <f>IFERROR('Data- Refined'!$E16/'Support Calculation'!$AR16,IF('Data- Refined'!$E16=0,0,"NA"))</f>
        <v>4</v>
      </c>
      <c r="Y43" s="20">
        <f>IFERROR('Data- Refined'!$F16/'Support Calculation'!$BA16,IF('Data- Refined'!$F16=0,0,"NA"))</f>
        <v>2.5</v>
      </c>
      <c r="Z43" s="20">
        <f>IFERROR('Data- Refined'!$G16/'Support Calculation'!$BJ16,IF('Data- Refined'!$G16=0,0,"NA"))</f>
        <v>2.6666666666666665</v>
      </c>
      <c r="AA43" s="20">
        <f>IFERROR('Data- Refined'!$H16/'Support Calculation'!$BS16,IF('Data- Refined'!$H16=0,0,"NA"))</f>
        <v>1.7142857142857142</v>
      </c>
      <c r="AB43" s="20">
        <f>IFERROR('Data- Refined'!$I16/'Support Calculation'!$CB16,IF('Data- Refined'!$I16=0,0,"NA"))</f>
        <v>3</v>
      </c>
      <c r="AC43" s="20">
        <f>IFERROR('Data- Refined'!$J16/'Support Calculation'!$CK16,IF('Data- Refined'!$J16=0,0,"NA"))</f>
        <v>1</v>
      </c>
      <c r="AD43" s="20">
        <f>IFERROR('Data- Refined'!$K16/'Support Calculation'!$CT16,IF('Data- Refined'!$K16=0,0,"NA"))</f>
        <v>5.5</v>
      </c>
      <c r="AE43" s="20">
        <f>IFERROR('Data- Refined'!$L16/'Support Calculation'!$DC16,IF('Data- Refined'!$L16=0,0,"NA"))</f>
        <v>0.625</v>
      </c>
      <c r="AF43" s="20">
        <f>IFERROR('Data- Refined'!$M16/'Support Calculation'!$DL16,IF('Data- Refined'!$M16=0,0,"NA"))</f>
        <v>4.333333333333333</v>
      </c>
      <c r="AG43" s="20">
        <f>IFERROR('Data- Refined'!$N16/'Support Calculation'!$DU16,IF('Data- Refined'!$N16=0,0,"NA"))</f>
        <v>1.4285714285714286</v>
      </c>
      <c r="AH43" s="20">
        <f>IFERROR('Data- Refined'!$O16/'Support Calculation'!$ED16,IF('Data- Refined'!$O16=0,0,"NA"))</f>
        <v>1.4285714285714286</v>
      </c>
      <c r="AI43" s="151">
        <f>IFERROR('Data- Refined'!$P16/'Support Calculation'!EM16,IF('Data- Refined'!$P16=0,0,"NA"))</f>
        <v>0</v>
      </c>
      <c r="AJ43" s="151">
        <f>IFERROR('Data- Refined'!$Q16/'Support Calculation'!EV16,IF('Data- Refined'!$Q16=0,0,"NA"))</f>
        <v>0</v>
      </c>
    </row>
    <row r="44" spans="1:36" x14ac:dyDescent="0.35">
      <c r="A44" s="2"/>
      <c r="B44" s="29" t="s">
        <v>33</v>
      </c>
      <c r="C44" s="20">
        <f>IFERROR('Data- Refined'!$B17/'Support Calculation'!$Q17,'Data- Refined'!$B17)</f>
        <v>0</v>
      </c>
      <c r="D44" s="20">
        <f>IFERROR('Data- Refined'!$C17/'Support Calculation'!$Z17,'Data- Refined'!$C17)</f>
        <v>0</v>
      </c>
      <c r="E44" s="20">
        <f>IFERROR('Data- Refined'!$D17/'Support Calculation'!$AI17,'Data- Refined'!$D17)</f>
        <v>6</v>
      </c>
      <c r="F44" s="20">
        <f>IFERROR('Data- Refined'!$E17/'Support Calculation'!$AR17,'Data- Refined'!$E17)</f>
        <v>4.2</v>
      </c>
      <c r="G44" s="20">
        <f>IFERROR('Data- Refined'!$F17/'Support Calculation'!$BA17,'Data- Refined'!$F17)</f>
        <v>4.5999999999999996</v>
      </c>
      <c r="H44" s="20">
        <f>IFERROR('Data- Refined'!$G17/'Support Calculation'!$BJ17,'Data- Refined'!$G17)</f>
        <v>3.6666666666666665</v>
      </c>
      <c r="I44" s="20">
        <f>IFERROR('Data- Refined'!$H17/'Support Calculation'!$BS17,'Data- Refined'!$H17)</f>
        <v>19</v>
      </c>
      <c r="J44" s="20">
        <f>IFERROR('Data- Refined'!$I17/'Support Calculation'!$CB17,'Data- Refined'!$I17)</f>
        <v>14</v>
      </c>
      <c r="K44" s="20">
        <f>IFERROR('Data- Refined'!$J17/'Support Calculation'!$CK17,'Data- Refined'!$J17)</f>
        <v>3.5</v>
      </c>
      <c r="L44" s="20">
        <f>IFERROR('Data- Refined'!$K17/'Support Calculation'!$CT17,'Data- Refined'!$K17)</f>
        <v>2.4</v>
      </c>
      <c r="M44" s="20">
        <f>IFERROR('Data- Refined'!$L17/'Support Calculation'!$DC17,'Data- Refined'!$L17)</f>
        <v>9</v>
      </c>
      <c r="N44" s="20">
        <f>IFERROR('Data- Refined'!$M17/'Support Calculation'!$DL17,'Data- Refined'!$M17)</f>
        <v>9</v>
      </c>
      <c r="O44" s="20">
        <f>IFERROR('Data- Refined'!$N17/'Support Calculation'!$DU17,'Data- Refined'!$N17)</f>
        <v>10</v>
      </c>
      <c r="P44" s="20">
        <f>IFERROR('Data- Refined'!$O17/'Support Calculation'!$ED17,'Data- Refined'!$O17)</f>
        <v>4.5</v>
      </c>
      <c r="Q44" s="20">
        <f>IFERROR('Data- Refined'!$P17/'Support Calculation'!EM17,'Data- Refined'!$P17)</f>
        <v>7</v>
      </c>
      <c r="R44" s="20">
        <f>IFERROR('Data- Refined'!$Q17/'Support Calculation'!EV17,'Data- Refined'!$Q17)</f>
        <v>0</v>
      </c>
      <c r="T44" s="29" t="s">
        <v>33</v>
      </c>
      <c r="U44" s="20">
        <f>IFERROR('Data- Refined'!$B17/'Support Calculation'!$Q17,IF('Data- Refined'!$B17=0,0,"NA"))</f>
        <v>0</v>
      </c>
      <c r="V44" s="20">
        <f>IFERROR('Data- Refined'!$C17/'Support Calculation'!$Z17,IF('Data- Refined'!$C17=0,0,"NA"))</f>
        <v>0</v>
      </c>
      <c r="W44" s="20">
        <f>IFERROR('Data- Refined'!$D17/'Support Calculation'!$AI17,IF('Data- Refined'!$D17=0,0,"NA"))</f>
        <v>6</v>
      </c>
      <c r="X44" s="20">
        <f>IFERROR('Data- Refined'!$E17/'Support Calculation'!$AR17,IF('Data- Refined'!$E17=0,0,"NA"))</f>
        <v>4.2</v>
      </c>
      <c r="Y44" s="20">
        <f>IFERROR('Data- Refined'!$F17/'Support Calculation'!$BA17,IF('Data- Refined'!$F17=0,0,"NA"))</f>
        <v>4.5999999999999996</v>
      </c>
      <c r="Z44" s="20">
        <f>IFERROR('Data- Refined'!$G17/'Support Calculation'!$BJ17,IF('Data- Refined'!$G17=0,0,"NA"))</f>
        <v>3.6666666666666665</v>
      </c>
      <c r="AA44" s="20">
        <f>IFERROR('Data- Refined'!$H17/'Support Calculation'!$BS17,IF('Data- Refined'!$H17=0,0,"NA"))</f>
        <v>19</v>
      </c>
      <c r="AB44" s="20" t="str">
        <f>IFERROR('Data- Refined'!$I17/'Support Calculation'!$CB17,IF('Data- Refined'!$I17=0,0,"NA"))</f>
        <v>NA</v>
      </c>
      <c r="AC44" s="20">
        <f>IFERROR('Data- Refined'!$J17/'Support Calculation'!$CK17,IF('Data- Refined'!$J17=0,0,"NA"))</f>
        <v>3.5</v>
      </c>
      <c r="AD44" s="20">
        <f>IFERROR('Data- Refined'!$K17/'Support Calculation'!$CT17,IF('Data- Refined'!$K17=0,0,"NA"))</f>
        <v>2.4</v>
      </c>
      <c r="AE44" s="20">
        <f>IFERROR('Data- Refined'!$L17/'Support Calculation'!$DC17,IF('Data- Refined'!$L17=0,0,"NA"))</f>
        <v>9</v>
      </c>
      <c r="AF44" s="20">
        <f>IFERROR('Data- Refined'!$M17/'Support Calculation'!$DL17,IF('Data- Refined'!$M17=0,0,"NA"))</f>
        <v>9</v>
      </c>
      <c r="AG44" s="20">
        <f>IFERROR('Data- Refined'!$N17/'Support Calculation'!$DU17,IF('Data- Refined'!$N17=0,0,"NA"))</f>
        <v>10</v>
      </c>
      <c r="AH44" s="20">
        <f>IFERROR('Data- Refined'!$O17/'Support Calculation'!$ED17,IF('Data- Refined'!$O17=0,0,"NA"))</f>
        <v>4.5</v>
      </c>
      <c r="AI44" s="151" t="str">
        <f>IFERROR('Data- Refined'!$P17/'Support Calculation'!EM17,IF('Data- Refined'!$P17=0,0,"NA"))</f>
        <v>NA</v>
      </c>
      <c r="AJ44" s="151">
        <f>IFERROR('Data- Refined'!$Q17/'Support Calculation'!EV17,IF('Data- Refined'!$Q17=0,0,"NA"))</f>
        <v>0</v>
      </c>
    </row>
    <row r="45" spans="1:36" x14ac:dyDescent="0.35">
      <c r="A45" s="2"/>
      <c r="B45" s="29" t="s">
        <v>34</v>
      </c>
      <c r="C45" s="20">
        <f>IFERROR('Data- Refined'!$B18/'Support Calculation'!$Q18,'Data- Refined'!$B18)</f>
        <v>0</v>
      </c>
      <c r="D45" s="20">
        <f>IFERROR('Data- Refined'!$C18/'Support Calculation'!$Z18,'Data- Refined'!$C18)</f>
        <v>0</v>
      </c>
      <c r="E45" s="20">
        <f>IFERROR('Data- Refined'!$D18/'Support Calculation'!$AI18,'Data- Refined'!$D18)</f>
        <v>9.6428571428571423</v>
      </c>
      <c r="F45" s="20">
        <f>IFERROR('Data- Refined'!$E18/'Support Calculation'!$AR18,'Data- Refined'!$E18)</f>
        <v>7.3157894736842106</v>
      </c>
      <c r="G45" s="20">
        <f>IFERROR('Data- Refined'!$F18/'Support Calculation'!$BA18,'Data- Refined'!$F18)</f>
        <v>5.4090909090909092</v>
      </c>
      <c r="H45" s="20">
        <f>IFERROR('Data- Refined'!$G18/'Support Calculation'!$BJ18,'Data- Refined'!$G18)</f>
        <v>5.35</v>
      </c>
      <c r="I45" s="20">
        <f>IFERROR('Data- Refined'!$H18/'Support Calculation'!$BS18,'Data- Refined'!$H18)</f>
        <v>6.4117647058823533</v>
      </c>
      <c r="J45" s="20">
        <f>IFERROR('Data- Refined'!$I18/'Support Calculation'!$CB18,'Data- Refined'!$I18)</f>
        <v>6.333333333333333</v>
      </c>
      <c r="K45" s="20">
        <f>IFERROR('Data- Refined'!$J18/'Support Calculation'!$CK18,'Data- Refined'!$J18)</f>
        <v>7.5</v>
      </c>
      <c r="L45" s="20">
        <f>IFERROR('Data- Refined'!$K18/'Support Calculation'!$CT18,'Data- Refined'!$K18)</f>
        <v>6.583333333333333</v>
      </c>
      <c r="M45" s="20">
        <f>IFERROR('Data- Refined'!$L18/'Support Calculation'!$DC18,'Data- Refined'!$L18)</f>
        <v>3.625</v>
      </c>
      <c r="N45" s="20">
        <f>IFERROR('Data- Refined'!$M18/'Support Calculation'!$DL18,'Data- Refined'!$M18)</f>
        <v>3.7777777777777777</v>
      </c>
      <c r="O45" s="20">
        <f>IFERROR('Data- Refined'!$N18/'Support Calculation'!$DU18,'Data- Refined'!$N18)</f>
        <v>5.7058823529411766</v>
      </c>
      <c r="P45" s="20">
        <f>IFERROR('Data- Refined'!$O18/'Support Calculation'!$ED18,'Data- Refined'!$O18)</f>
        <v>6.7647058823529411</v>
      </c>
      <c r="Q45" s="20">
        <f>IFERROR('Data- Refined'!$P18/'Support Calculation'!EM18,'Data- Refined'!$P18)</f>
        <v>12.428571428571429</v>
      </c>
      <c r="R45" s="20">
        <f>IFERROR('Data- Refined'!$Q18/'Support Calculation'!EV18,'Data- Refined'!$Q18)</f>
        <v>0</v>
      </c>
      <c r="T45" s="29" t="s">
        <v>34</v>
      </c>
      <c r="U45" s="20">
        <f>IFERROR('Data- Refined'!$B18/'Support Calculation'!$Q18,IF('Data- Refined'!$B18=0,0,"NA"))</f>
        <v>0</v>
      </c>
      <c r="V45" s="20">
        <f>IFERROR('Data- Refined'!$C18/'Support Calculation'!$Z18,IF('Data- Refined'!$C18=0,0,"NA"))</f>
        <v>0</v>
      </c>
      <c r="W45" s="20">
        <f>IFERROR('Data- Refined'!$D18/'Support Calculation'!$AI18,IF('Data- Refined'!$D18=0,0,"NA"))</f>
        <v>9.6428571428571423</v>
      </c>
      <c r="X45" s="20">
        <f>IFERROR('Data- Refined'!$E18/'Support Calculation'!$AR18,IF('Data- Refined'!$E18=0,0,"NA"))</f>
        <v>7.3157894736842106</v>
      </c>
      <c r="Y45" s="20">
        <f>IFERROR('Data- Refined'!$F18/'Support Calculation'!$BA18,IF('Data- Refined'!$F18=0,0,"NA"))</f>
        <v>5.4090909090909092</v>
      </c>
      <c r="Z45" s="20">
        <f>IFERROR('Data- Refined'!$G18/'Support Calculation'!$BJ18,IF('Data- Refined'!$G18=0,0,"NA"))</f>
        <v>5.35</v>
      </c>
      <c r="AA45" s="20">
        <f>IFERROR('Data- Refined'!$H18/'Support Calculation'!$BS18,IF('Data- Refined'!$H18=0,0,"NA"))</f>
        <v>6.4117647058823533</v>
      </c>
      <c r="AB45" s="20">
        <f>IFERROR('Data- Refined'!$I18/'Support Calculation'!$CB18,IF('Data- Refined'!$I18=0,0,"NA"))</f>
        <v>6.333333333333333</v>
      </c>
      <c r="AC45" s="20">
        <f>IFERROR('Data- Refined'!$J18/'Support Calculation'!$CK18,IF('Data- Refined'!$J18=0,0,"NA"))</f>
        <v>7.5</v>
      </c>
      <c r="AD45" s="20">
        <f>IFERROR('Data- Refined'!$K18/'Support Calculation'!$CT18,IF('Data- Refined'!$K18=0,0,"NA"))</f>
        <v>6.583333333333333</v>
      </c>
      <c r="AE45" s="20">
        <f>IFERROR('Data- Refined'!$L18/'Support Calculation'!$DC18,IF('Data- Refined'!$L18=0,0,"NA"))</f>
        <v>3.625</v>
      </c>
      <c r="AF45" s="20">
        <f>IFERROR('Data- Refined'!$M18/'Support Calculation'!$DL18,IF('Data- Refined'!$M18=0,0,"NA"))</f>
        <v>3.7777777777777777</v>
      </c>
      <c r="AG45" s="20">
        <f>IFERROR('Data- Refined'!$N18/'Support Calculation'!$DU18,IF('Data- Refined'!$N18=0,0,"NA"))</f>
        <v>5.7058823529411766</v>
      </c>
      <c r="AH45" s="20">
        <f>IFERROR('Data- Refined'!$O18/'Support Calculation'!$ED18,IF('Data- Refined'!$O18=0,0,"NA"))</f>
        <v>6.7647058823529411</v>
      </c>
      <c r="AI45" s="151">
        <f>IFERROR('Data- Refined'!$P18/'Support Calculation'!EM18,IF('Data- Refined'!$P18=0,0,"NA"))</f>
        <v>12.428571428571429</v>
      </c>
      <c r="AJ45" s="151">
        <f>IFERROR('Data- Refined'!$Q18/'Support Calculation'!EV18,IF('Data- Refined'!$Q18=0,0,"NA"))</f>
        <v>0</v>
      </c>
    </row>
    <row r="46" spans="1:36" x14ac:dyDescent="0.35">
      <c r="A46" s="2"/>
      <c r="B46" s="29" t="s">
        <v>35</v>
      </c>
      <c r="C46" s="20">
        <f>IFERROR('Data- Refined'!$B19/'Support Calculation'!$Q19,'Data- Refined'!$B19)</f>
        <v>1</v>
      </c>
      <c r="D46" s="20">
        <f>IFERROR('Data- Refined'!$C19/'Support Calculation'!$Z19,'Data- Refined'!$C19)</f>
        <v>4.5</v>
      </c>
      <c r="E46" s="20">
        <f>IFERROR('Data- Refined'!$D19/'Support Calculation'!$AI19,'Data- Refined'!$D19)</f>
        <v>7.666666666666667</v>
      </c>
      <c r="F46" s="20">
        <f>IFERROR('Data- Refined'!$E19/'Support Calculation'!$AR19,'Data- Refined'!$E19)</f>
        <v>4.4000000000000004</v>
      </c>
      <c r="G46" s="20">
        <f>IFERROR('Data- Refined'!$F19/'Support Calculation'!$BA19,'Data- Refined'!$F19)</f>
        <v>4.6923076923076925</v>
      </c>
      <c r="H46" s="20">
        <f>IFERROR('Data- Refined'!$G19/'Support Calculation'!$BJ19,'Data- Refined'!$G19)</f>
        <v>4.125</v>
      </c>
      <c r="I46" s="20">
        <f>IFERROR('Data- Refined'!$H19/'Support Calculation'!$BS19,'Data- Refined'!$H19)</f>
        <v>6</v>
      </c>
      <c r="J46" s="20">
        <f>IFERROR('Data- Refined'!$I19/'Support Calculation'!$CB19,'Data- Refined'!$I19)</f>
        <v>5.6</v>
      </c>
      <c r="K46" s="20">
        <f>IFERROR('Data- Refined'!$J19/'Support Calculation'!$CK19,'Data- Refined'!$J19)</f>
        <v>2.6666666666666665</v>
      </c>
      <c r="L46" s="20">
        <f>IFERROR('Data- Refined'!$K19/'Support Calculation'!$CT19,'Data- Refined'!$K19)</f>
        <v>2.25</v>
      </c>
      <c r="M46" s="20">
        <f>IFERROR('Data- Refined'!$L19/'Support Calculation'!$DC19,'Data- Refined'!$L19)</f>
        <v>5.166666666666667</v>
      </c>
      <c r="N46" s="20">
        <f>IFERROR('Data- Refined'!$M19/'Support Calculation'!$DL19,'Data- Refined'!$M19)</f>
        <v>6</v>
      </c>
      <c r="O46" s="20">
        <f>IFERROR('Data- Refined'!$N19/'Support Calculation'!$DU19,'Data- Refined'!$N19)</f>
        <v>3.3333333333333335</v>
      </c>
      <c r="P46" s="20">
        <f>IFERROR('Data- Refined'!$O19/'Support Calculation'!$ED19,'Data- Refined'!$O19)</f>
        <v>0</v>
      </c>
      <c r="Q46" s="20">
        <f>IFERROR('Data- Refined'!$P19/'Support Calculation'!EM19,'Data- Refined'!$P19)</f>
        <v>0</v>
      </c>
      <c r="R46" s="20">
        <f>IFERROR('Data- Refined'!$Q19/'Support Calculation'!EV19,'Data- Refined'!$Q19)</f>
        <v>0</v>
      </c>
      <c r="T46" s="29" t="s">
        <v>35</v>
      </c>
      <c r="U46" s="20">
        <f>IFERROR('Data- Refined'!$B19/'Support Calculation'!$Q19,IF('Data- Refined'!$B19=0,0,"NA"))</f>
        <v>1</v>
      </c>
      <c r="V46" s="20">
        <f>IFERROR('Data- Refined'!$C19/'Support Calculation'!$Z19,IF('Data- Refined'!$C19=0,0,"NA"))</f>
        <v>4.5</v>
      </c>
      <c r="W46" s="20">
        <f>IFERROR('Data- Refined'!$D19/'Support Calculation'!$AI19,IF('Data- Refined'!$D19=0,0,"NA"))</f>
        <v>7.666666666666667</v>
      </c>
      <c r="X46" s="20">
        <f>IFERROR('Data- Refined'!$E19/'Support Calculation'!$AR19,IF('Data- Refined'!$E19=0,0,"NA"))</f>
        <v>4.4000000000000004</v>
      </c>
      <c r="Y46" s="20">
        <f>IFERROR('Data- Refined'!$F19/'Support Calculation'!$BA19,IF('Data- Refined'!$F19=0,0,"NA"))</f>
        <v>4.6923076923076925</v>
      </c>
      <c r="Z46" s="20">
        <f>IFERROR('Data- Refined'!$G19/'Support Calculation'!$BJ19,IF('Data- Refined'!$G19=0,0,"NA"))</f>
        <v>4.125</v>
      </c>
      <c r="AA46" s="20">
        <f>IFERROR('Data- Refined'!$H19/'Support Calculation'!$BS19,IF('Data- Refined'!$H19=0,0,"NA"))</f>
        <v>6</v>
      </c>
      <c r="AB46" s="20">
        <f>IFERROR('Data- Refined'!$I19/'Support Calculation'!$CB19,IF('Data- Refined'!$I19=0,0,"NA"))</f>
        <v>5.6</v>
      </c>
      <c r="AC46" s="20">
        <f>IFERROR('Data- Refined'!$J19/'Support Calculation'!$CK19,IF('Data- Refined'!$J19=0,0,"NA"))</f>
        <v>2.6666666666666665</v>
      </c>
      <c r="AD46" s="20">
        <f>IFERROR('Data- Refined'!$K19/'Support Calculation'!$CT19,IF('Data- Refined'!$K19=0,0,"NA"))</f>
        <v>2.25</v>
      </c>
      <c r="AE46" s="20">
        <f>IFERROR('Data- Refined'!$L19/'Support Calculation'!$DC19,IF('Data- Refined'!$L19=0,0,"NA"))</f>
        <v>5.166666666666667</v>
      </c>
      <c r="AF46" s="20">
        <f>IFERROR('Data- Refined'!$M19/'Support Calculation'!$DL19,IF('Data- Refined'!$M19=0,0,"NA"))</f>
        <v>6</v>
      </c>
      <c r="AG46" s="20">
        <f>IFERROR('Data- Refined'!$N19/'Support Calculation'!$DU19,IF('Data- Refined'!$N19=0,0,"NA"))</f>
        <v>3.3333333333333335</v>
      </c>
      <c r="AH46" s="20">
        <f>IFERROR('Data- Refined'!$O19/'Support Calculation'!$ED19,IF('Data- Refined'!$O19=0,0,"NA"))</f>
        <v>0</v>
      </c>
      <c r="AI46" s="151">
        <f>IFERROR('Data- Refined'!$P19/'Support Calculation'!EM19,IF('Data- Refined'!$P19=0,0,"NA"))</f>
        <v>0</v>
      </c>
      <c r="AJ46" s="151">
        <f>IFERROR('Data- Refined'!$Q19/'Support Calculation'!EV19,IF('Data- Refined'!$Q19=0,0,"NA"))</f>
        <v>0</v>
      </c>
    </row>
    <row r="47" spans="1:36" x14ac:dyDescent="0.35">
      <c r="A47" s="2"/>
      <c r="B47" s="29" t="s">
        <v>36</v>
      </c>
      <c r="C47" s="20">
        <f>IFERROR('Data- Refined'!$B20/'Support Calculation'!$Q20,'Data- Refined'!$B20)</f>
        <v>0</v>
      </c>
      <c r="D47" s="20">
        <f>IFERROR('Data- Refined'!$C20/'Support Calculation'!$Z20,'Data- Refined'!$C20)</f>
        <v>10.5</v>
      </c>
      <c r="E47" s="20">
        <f>IFERROR('Data- Refined'!$D20/'Support Calculation'!$AI20,'Data- Refined'!$D20)</f>
        <v>6.25</v>
      </c>
      <c r="F47" s="20">
        <f>IFERROR('Data- Refined'!$E20/'Support Calculation'!$AR20,'Data- Refined'!$E20)</f>
        <v>7.2</v>
      </c>
      <c r="G47" s="20">
        <f>IFERROR('Data- Refined'!$F20/'Support Calculation'!$BA20,'Data- Refined'!$F20)</f>
        <v>2.8888888888888888</v>
      </c>
      <c r="H47" s="20">
        <f>IFERROR('Data- Refined'!$G20/'Support Calculation'!$BJ20,'Data- Refined'!$G20)</f>
        <v>3.5714285714285716</v>
      </c>
      <c r="I47" s="20">
        <f>IFERROR('Data- Refined'!$H20/'Support Calculation'!$BS20,'Data- Refined'!$H20)</f>
        <v>2.5</v>
      </c>
      <c r="J47" s="20">
        <f>IFERROR('Data- Refined'!$I20/'Support Calculation'!$CB20,'Data- Refined'!$I20)</f>
        <v>1.6666666666666667</v>
      </c>
      <c r="K47" s="20">
        <f>IFERROR('Data- Refined'!$J20/'Support Calculation'!$CK20,'Data- Refined'!$J20)</f>
        <v>2.5</v>
      </c>
      <c r="L47" s="20">
        <f>IFERROR('Data- Refined'!$K20/'Support Calculation'!$CT20,'Data- Refined'!$K20)</f>
        <v>7</v>
      </c>
      <c r="M47" s="20">
        <f>IFERROR('Data- Refined'!$L20/'Support Calculation'!$DC20,'Data- Refined'!$L20)</f>
        <v>1.375</v>
      </c>
      <c r="N47" s="20">
        <f>IFERROR('Data- Refined'!$M20/'Support Calculation'!$DL20,'Data- Refined'!$M20)</f>
        <v>2.6666666666666665</v>
      </c>
      <c r="O47" s="20">
        <f>IFERROR('Data- Refined'!$N20/'Support Calculation'!$DU20,'Data- Refined'!$N20)</f>
        <v>2.3333333333333335</v>
      </c>
      <c r="P47" s="20">
        <f>IFERROR('Data- Refined'!$O20/'Support Calculation'!$ED20,'Data- Refined'!$O20)</f>
        <v>1</v>
      </c>
      <c r="Q47" s="20">
        <f>IFERROR('Data- Refined'!$P20/'Support Calculation'!EM20,'Data- Refined'!$P20)</f>
        <v>0</v>
      </c>
      <c r="R47" s="20">
        <f>IFERROR('Data- Refined'!$Q20/'Support Calculation'!EV20,'Data- Refined'!$Q20)</f>
        <v>0</v>
      </c>
      <c r="T47" s="29" t="s">
        <v>36</v>
      </c>
      <c r="U47" s="20">
        <f>IFERROR('Data- Refined'!$B20/'Support Calculation'!$Q20,IF('Data- Refined'!$B20=0,0,"NA"))</f>
        <v>0</v>
      </c>
      <c r="V47" s="20">
        <f>IFERROR('Data- Refined'!$C20/'Support Calculation'!$Z20,IF('Data- Refined'!$C20=0,0,"NA"))</f>
        <v>10.5</v>
      </c>
      <c r="W47" s="20">
        <f>IFERROR('Data- Refined'!$D20/'Support Calculation'!$AI20,IF('Data- Refined'!$D20=0,0,"NA"))</f>
        <v>6.25</v>
      </c>
      <c r="X47" s="20">
        <f>IFERROR('Data- Refined'!$E20/'Support Calculation'!$AR20,IF('Data- Refined'!$E20=0,0,"NA"))</f>
        <v>7.2</v>
      </c>
      <c r="Y47" s="20">
        <f>IFERROR('Data- Refined'!$F20/'Support Calculation'!$BA20,IF('Data- Refined'!$F20=0,0,"NA"))</f>
        <v>2.8888888888888888</v>
      </c>
      <c r="Z47" s="20">
        <f>IFERROR('Data- Refined'!$G20/'Support Calculation'!$BJ20,IF('Data- Refined'!$G20=0,0,"NA"))</f>
        <v>3.5714285714285716</v>
      </c>
      <c r="AA47" s="20">
        <f>IFERROR('Data- Refined'!$H20/'Support Calculation'!$BS20,IF('Data- Refined'!$H20=0,0,"NA"))</f>
        <v>2.5</v>
      </c>
      <c r="AB47" s="20">
        <f>IFERROR('Data- Refined'!$I20/'Support Calculation'!$CB20,IF('Data- Refined'!$I20=0,0,"NA"))</f>
        <v>1.6666666666666667</v>
      </c>
      <c r="AC47" s="20">
        <f>IFERROR('Data- Refined'!$J20/'Support Calculation'!$CK20,IF('Data- Refined'!$J20=0,0,"NA"))</f>
        <v>2.5</v>
      </c>
      <c r="AD47" s="20">
        <f>IFERROR('Data- Refined'!$K20/'Support Calculation'!$CT20,IF('Data- Refined'!$K20=0,0,"NA"))</f>
        <v>7</v>
      </c>
      <c r="AE47" s="20">
        <f>IFERROR('Data- Refined'!$L20/'Support Calculation'!$DC20,IF('Data- Refined'!$L20=0,0,"NA"))</f>
        <v>1.375</v>
      </c>
      <c r="AF47" s="20">
        <f>IFERROR('Data- Refined'!$M20/'Support Calculation'!$DL20,IF('Data- Refined'!$M20=0,0,"NA"))</f>
        <v>2.6666666666666665</v>
      </c>
      <c r="AG47" s="20">
        <f>IFERROR('Data- Refined'!$N20/'Support Calculation'!$DU20,IF('Data- Refined'!$N20=0,0,"NA"))</f>
        <v>2.3333333333333335</v>
      </c>
      <c r="AH47" s="20">
        <f>IFERROR('Data- Refined'!$O20/'Support Calculation'!$ED20,IF('Data- Refined'!$O20=0,0,"NA"))</f>
        <v>1</v>
      </c>
      <c r="AI47" s="151">
        <f>IFERROR('Data- Refined'!$P20/'Support Calculation'!EM20,IF('Data- Refined'!$P20=0,0,"NA"))</f>
        <v>0</v>
      </c>
      <c r="AJ47" s="151">
        <f>IFERROR('Data- Refined'!$Q20/'Support Calculation'!EV20,IF('Data- Refined'!$Q20=0,0,"NA"))</f>
        <v>0</v>
      </c>
    </row>
    <row r="48" spans="1:36" x14ac:dyDescent="0.35">
      <c r="A48" s="2"/>
      <c r="B48" s="29" t="s">
        <v>37</v>
      </c>
      <c r="C48" s="20">
        <f>IFERROR('Data- Refined'!$B21/'Support Calculation'!$Q21,'Data- Refined'!$B21)</f>
        <v>0</v>
      </c>
      <c r="D48" s="20">
        <f>IFERROR('Data- Refined'!$C21/'Support Calculation'!$Z21,'Data- Refined'!$C21)</f>
        <v>0</v>
      </c>
      <c r="E48" s="20">
        <f>IFERROR('Data- Refined'!$D21/'Support Calculation'!$AI21,'Data- Refined'!$D21)</f>
        <v>2.6842105263157894</v>
      </c>
      <c r="F48" s="20">
        <f>IFERROR('Data- Refined'!$E21/'Support Calculation'!$AR21,'Data- Refined'!$E21)</f>
        <v>2.3636363636363638</v>
      </c>
      <c r="G48" s="20">
        <f>IFERROR('Data- Refined'!$F21/'Support Calculation'!$BA21,'Data- Refined'!$F21)</f>
        <v>2.0499999999999998</v>
      </c>
      <c r="H48" s="20">
        <f>IFERROR('Data- Refined'!$G21/'Support Calculation'!$BJ21,'Data- Refined'!$G21)</f>
        <v>1.7142857142857142</v>
      </c>
      <c r="I48" s="20">
        <f>IFERROR('Data- Refined'!$H21/'Support Calculation'!$BS21,'Data- Refined'!$H21)</f>
        <v>10</v>
      </c>
      <c r="J48" s="20">
        <f>IFERROR('Data- Refined'!$I21/'Support Calculation'!$CB21,'Data- Refined'!$I21)</f>
        <v>3.25</v>
      </c>
      <c r="K48" s="20">
        <f>IFERROR('Data- Refined'!$J21/'Support Calculation'!$CK21,'Data- Refined'!$J21)</f>
        <v>0.52631578947368418</v>
      </c>
      <c r="L48" s="20">
        <f>IFERROR('Data- Refined'!$K21/'Support Calculation'!$CT21,'Data- Refined'!$K21)</f>
        <v>0.5</v>
      </c>
      <c r="M48" s="20">
        <f>IFERROR('Data- Refined'!$L21/'Support Calculation'!$DC21,'Data- Refined'!$L21)</f>
        <v>2.6666666666666665</v>
      </c>
      <c r="N48" s="20">
        <f>IFERROR('Data- Refined'!$M21/'Support Calculation'!$DL21,'Data- Refined'!$M21)</f>
        <v>6</v>
      </c>
      <c r="O48" s="20">
        <f>IFERROR('Data- Refined'!$N21/'Support Calculation'!$DU21,'Data- Refined'!$N21)</f>
        <v>10.666666666666666</v>
      </c>
      <c r="P48" s="20">
        <f>IFERROR('Data- Refined'!$O21/'Support Calculation'!$ED21,'Data- Refined'!$O21)</f>
        <v>20</v>
      </c>
      <c r="Q48" s="20">
        <f>IFERROR('Data- Refined'!$P21/'Support Calculation'!EM21,'Data- Refined'!$P21)</f>
        <v>15.5</v>
      </c>
      <c r="R48" s="20">
        <f>IFERROR('Data- Refined'!$Q21/'Support Calculation'!EV21,'Data- Refined'!$Q21)</f>
        <v>0</v>
      </c>
      <c r="T48" s="29" t="s">
        <v>37</v>
      </c>
      <c r="U48" s="20">
        <f>IFERROR('Data- Refined'!$B21/'Support Calculation'!$Q21,IF('Data- Refined'!$B21=0,0,"NA"))</f>
        <v>0</v>
      </c>
      <c r="V48" s="20">
        <f>IFERROR('Data- Refined'!$C21/'Support Calculation'!$Z21,IF('Data- Refined'!$C21=0,0,"NA"))</f>
        <v>0</v>
      </c>
      <c r="W48" s="20">
        <f>IFERROR('Data- Refined'!$D21/'Support Calculation'!$AI21,IF('Data- Refined'!$D21=0,0,"NA"))</f>
        <v>2.6842105263157894</v>
      </c>
      <c r="X48" s="20">
        <f>IFERROR('Data- Refined'!$E21/'Support Calculation'!$AR21,IF('Data- Refined'!$E21=0,0,"NA"))</f>
        <v>2.3636363636363638</v>
      </c>
      <c r="Y48" s="20">
        <f>IFERROR('Data- Refined'!$F21/'Support Calculation'!$BA21,IF('Data- Refined'!$F21=0,0,"NA"))</f>
        <v>2.0499999999999998</v>
      </c>
      <c r="Z48" s="20">
        <f>IFERROR('Data- Refined'!$G21/'Support Calculation'!$BJ21,IF('Data- Refined'!$G21=0,0,"NA"))</f>
        <v>1.7142857142857142</v>
      </c>
      <c r="AA48" s="20">
        <f>IFERROR('Data- Refined'!$H21/'Support Calculation'!$BS21,IF('Data- Refined'!$H21=0,0,"NA"))</f>
        <v>10</v>
      </c>
      <c r="AB48" s="20">
        <f>IFERROR('Data- Refined'!$I21/'Support Calculation'!$CB21,IF('Data- Refined'!$I21=0,0,"NA"))</f>
        <v>3.25</v>
      </c>
      <c r="AC48" s="20">
        <f>IFERROR('Data- Refined'!$J21/'Support Calculation'!$CK21,IF('Data- Refined'!$J21=0,0,"NA"))</f>
        <v>0.52631578947368418</v>
      </c>
      <c r="AD48" s="20">
        <f>IFERROR('Data- Refined'!$K21/'Support Calculation'!$CT21,IF('Data- Refined'!$K21=0,0,"NA"))</f>
        <v>0.5</v>
      </c>
      <c r="AE48" s="20">
        <f>IFERROR('Data- Refined'!$L21/'Support Calculation'!$DC21,IF('Data- Refined'!$L21=0,0,"NA"))</f>
        <v>2.6666666666666665</v>
      </c>
      <c r="AF48" s="20">
        <f>IFERROR('Data- Refined'!$M21/'Support Calculation'!$DL21,IF('Data- Refined'!$M21=0,0,"NA"))</f>
        <v>6</v>
      </c>
      <c r="AG48" s="20">
        <f>IFERROR('Data- Refined'!$N21/'Support Calculation'!$DU21,IF('Data- Refined'!$N21=0,0,"NA"))</f>
        <v>10.666666666666666</v>
      </c>
      <c r="AH48" s="20">
        <f>IFERROR('Data- Refined'!$O21/'Support Calculation'!$ED21,IF('Data- Refined'!$O21=0,0,"NA"))</f>
        <v>20</v>
      </c>
      <c r="AI48" s="151">
        <f>IFERROR('Data- Refined'!$P21/'Support Calculation'!EM21,IF('Data- Refined'!$P21=0,0,"NA"))</f>
        <v>15.5</v>
      </c>
      <c r="AJ48" s="151">
        <f>IFERROR('Data- Refined'!$Q21/'Support Calculation'!EV21,IF('Data- Refined'!$Q21=0,0,"NA"))</f>
        <v>0</v>
      </c>
    </row>
    <row r="49" spans="1:36" x14ac:dyDescent="0.35">
      <c r="A49" s="2"/>
      <c r="B49" s="29" t="s">
        <v>38</v>
      </c>
      <c r="C49" s="20">
        <f>IFERROR('Data- Refined'!$B22/'Support Calculation'!$Q22,'Data- Refined'!$B22)</f>
        <v>0</v>
      </c>
      <c r="D49" s="20">
        <f>IFERROR('Data- Refined'!$C22/'Support Calculation'!$Z22,'Data- Refined'!$C22)</f>
        <v>9.6</v>
      </c>
      <c r="E49" s="20">
        <f>IFERROR('Data- Refined'!$D22/'Support Calculation'!$AI22,'Data- Refined'!$D22)</f>
        <v>15.75</v>
      </c>
      <c r="F49" s="20">
        <f>IFERROR('Data- Refined'!$E22/'Support Calculation'!$AR22,'Data- Refined'!$E22)</f>
        <v>6.1818181818181817</v>
      </c>
      <c r="G49" s="20">
        <f>IFERROR('Data- Refined'!$F22/'Support Calculation'!$BA22,'Data- Refined'!$F22)</f>
        <v>6</v>
      </c>
      <c r="H49" s="20">
        <f>IFERROR('Data- Refined'!$G22/'Support Calculation'!$BJ22,'Data- Refined'!$G22)</f>
        <v>6.4444444444444446</v>
      </c>
      <c r="I49" s="20">
        <f>IFERROR('Data- Refined'!$H22/'Support Calculation'!$BS22,'Data- Refined'!$H22)</f>
        <v>2.75</v>
      </c>
      <c r="J49" s="20">
        <f>IFERROR('Data- Refined'!$I22/'Support Calculation'!$CB22,'Data- Refined'!$I22)</f>
        <v>3.2307692307692308</v>
      </c>
      <c r="K49" s="20">
        <f>IFERROR('Data- Refined'!$J22/'Support Calculation'!$CK22,'Data- Refined'!$J22)</f>
        <v>7.25</v>
      </c>
      <c r="L49" s="20">
        <f>IFERROR('Data- Refined'!$K22/'Support Calculation'!$CT22,'Data- Refined'!$K22)</f>
        <v>4.5999999999999996</v>
      </c>
      <c r="M49" s="20">
        <f>IFERROR('Data- Refined'!$L22/'Support Calculation'!$DC22,'Data- Refined'!$L22)</f>
        <v>1.8181818181818181</v>
      </c>
      <c r="N49" s="20">
        <f>IFERROR('Data- Refined'!$M22/'Support Calculation'!$DL22,'Data- Refined'!$M22)</f>
        <v>6</v>
      </c>
      <c r="O49" s="20">
        <f>IFERROR('Data- Refined'!$N22/'Support Calculation'!$DU22,'Data- Refined'!$N22)</f>
        <v>3.0833333333333335</v>
      </c>
      <c r="P49" s="20">
        <f>IFERROR('Data- Refined'!$O22/'Support Calculation'!$ED22,'Data- Refined'!$O22)</f>
        <v>2.4444444444444446</v>
      </c>
      <c r="Q49" s="20">
        <f>IFERROR('Data- Refined'!$P22/'Support Calculation'!EM22,'Data- Refined'!$P22)</f>
        <v>0</v>
      </c>
      <c r="R49" s="20">
        <f>IFERROR('Data- Refined'!$Q22/'Support Calculation'!EV22,'Data- Refined'!$Q22)</f>
        <v>0</v>
      </c>
      <c r="T49" s="29" t="s">
        <v>38</v>
      </c>
      <c r="U49" s="20">
        <f>IFERROR('Data- Refined'!$B22/'Support Calculation'!$Q22,IF('Data- Refined'!$B22=0,0,"NA"))</f>
        <v>0</v>
      </c>
      <c r="V49" s="20">
        <f>IFERROR('Data- Refined'!$C22/'Support Calculation'!$Z22,IF('Data- Refined'!$C22=0,0,"NA"))</f>
        <v>9.6</v>
      </c>
      <c r="W49" s="20">
        <f>IFERROR('Data- Refined'!$D22/'Support Calculation'!$AI22,IF('Data- Refined'!$D22=0,0,"NA"))</f>
        <v>15.75</v>
      </c>
      <c r="X49" s="20">
        <f>IFERROR('Data- Refined'!$E22/'Support Calculation'!$AR22,IF('Data- Refined'!$E22=0,0,"NA"))</f>
        <v>6.1818181818181817</v>
      </c>
      <c r="Y49" s="20">
        <f>IFERROR('Data- Refined'!$F22/'Support Calculation'!$BA22,IF('Data- Refined'!$F22=0,0,"NA"))</f>
        <v>6</v>
      </c>
      <c r="Z49" s="20">
        <f>IFERROR('Data- Refined'!$G22/'Support Calculation'!$BJ22,IF('Data- Refined'!$G22=0,0,"NA"))</f>
        <v>6.4444444444444446</v>
      </c>
      <c r="AA49" s="20">
        <f>IFERROR('Data- Refined'!$H22/'Support Calculation'!$BS22,IF('Data- Refined'!$H22=0,0,"NA"))</f>
        <v>2.75</v>
      </c>
      <c r="AB49" s="20">
        <f>IFERROR('Data- Refined'!$I22/'Support Calculation'!$CB22,IF('Data- Refined'!$I22=0,0,"NA"))</f>
        <v>3.2307692307692308</v>
      </c>
      <c r="AC49" s="20">
        <f>IFERROR('Data- Refined'!$J22/'Support Calculation'!$CK22,IF('Data- Refined'!$J22=0,0,"NA"))</f>
        <v>7.25</v>
      </c>
      <c r="AD49" s="20">
        <f>IFERROR('Data- Refined'!$K22/'Support Calculation'!$CT22,IF('Data- Refined'!$K22=0,0,"NA"))</f>
        <v>4.5999999999999996</v>
      </c>
      <c r="AE49" s="20">
        <f>IFERROR('Data- Refined'!$L22/'Support Calculation'!$DC22,IF('Data- Refined'!$L22=0,0,"NA"))</f>
        <v>1.8181818181818181</v>
      </c>
      <c r="AF49" s="20">
        <f>IFERROR('Data- Refined'!$M22/'Support Calculation'!$DL22,IF('Data- Refined'!$M22=0,0,"NA"))</f>
        <v>6</v>
      </c>
      <c r="AG49" s="20">
        <f>IFERROR('Data- Refined'!$N22/'Support Calculation'!$DU22,IF('Data- Refined'!$N22=0,0,"NA"))</f>
        <v>3.0833333333333335</v>
      </c>
      <c r="AH49" s="20">
        <f>IFERROR('Data- Refined'!$O22/'Support Calculation'!$ED22,IF('Data- Refined'!$O22=0,0,"NA"))</f>
        <v>2.4444444444444446</v>
      </c>
      <c r="AI49" s="151">
        <f>IFERROR('Data- Refined'!$P22/'Support Calculation'!EM22,IF('Data- Refined'!$P22=0,0,"NA"))</f>
        <v>0</v>
      </c>
      <c r="AJ49" s="151">
        <f>IFERROR('Data- Refined'!$Q22/'Support Calculation'!EV22,IF('Data- Refined'!$Q22=0,0,"NA"))</f>
        <v>0</v>
      </c>
    </row>
    <row r="50" spans="1:36" x14ac:dyDescent="0.35">
      <c r="A50" s="2"/>
      <c r="B50" s="29" t="s">
        <v>39</v>
      </c>
      <c r="C50" s="20">
        <f>IFERROR('Data- Refined'!$B23/'Support Calculation'!$Q23,'Data- Refined'!$B23)</f>
        <v>2.1578947368421053</v>
      </c>
      <c r="D50" s="20">
        <f>IFERROR('Data- Refined'!$C23/'Support Calculation'!$Z23,'Data- Refined'!$C23)</f>
        <v>4.2</v>
      </c>
      <c r="E50" s="20">
        <f>IFERROR('Data- Refined'!$D23/'Support Calculation'!$AI23,'Data- Refined'!$D23)</f>
        <v>4.7368421052631575</v>
      </c>
      <c r="F50" s="20">
        <f>IFERROR('Data- Refined'!$E23/'Support Calculation'!$AR23,'Data- Refined'!$E23)</f>
        <v>4.4000000000000004</v>
      </c>
      <c r="G50" s="20">
        <f>IFERROR('Data- Refined'!$F23/'Support Calculation'!$BA23,'Data- Refined'!$F23)</f>
        <v>3.3928571428571428</v>
      </c>
      <c r="H50" s="20">
        <f>IFERROR('Data- Refined'!$G23/'Support Calculation'!$BJ23,'Data- Refined'!$G23)</f>
        <v>2.7931034482758621</v>
      </c>
      <c r="I50" s="20">
        <f>IFERROR('Data- Refined'!$H23/'Support Calculation'!$BS23,'Data- Refined'!$H23)</f>
        <v>4.6428571428571432</v>
      </c>
      <c r="J50" s="20">
        <f>IFERROR('Data- Refined'!$I23/'Support Calculation'!$CB23,'Data- Refined'!$I23)</f>
        <v>6</v>
      </c>
      <c r="K50" s="20">
        <f>IFERROR('Data- Refined'!$J23/'Support Calculation'!$CK23,'Data- Refined'!$J23)</f>
        <v>3.1578947368421053</v>
      </c>
      <c r="L50" s="20">
        <f>IFERROR('Data- Refined'!$K23/'Support Calculation'!$CT23,'Data- Refined'!$K23)</f>
        <v>1.8</v>
      </c>
      <c r="M50" s="20">
        <f>IFERROR('Data- Refined'!$L23/'Support Calculation'!$DC23,'Data- Refined'!$L23)</f>
        <v>4.7333333333333334</v>
      </c>
      <c r="N50" s="20">
        <f>IFERROR('Data- Refined'!$M23/'Support Calculation'!$DL23,'Data- Refined'!$M23)</f>
        <v>10</v>
      </c>
      <c r="O50" s="20">
        <f>IFERROR('Data- Refined'!$N23/'Support Calculation'!$DU23,'Data- Refined'!$N23)</f>
        <v>4.5</v>
      </c>
      <c r="P50" s="20">
        <f>IFERROR('Data- Refined'!$O23/'Support Calculation'!$ED23,'Data- Refined'!$O23)</f>
        <v>0</v>
      </c>
      <c r="Q50" s="20">
        <f>IFERROR('Data- Refined'!$P23/'Support Calculation'!EM23,'Data- Refined'!$P23)</f>
        <v>0</v>
      </c>
      <c r="R50" s="20">
        <f>IFERROR('Data- Refined'!$Q23/'Support Calculation'!EV23,'Data- Refined'!$Q23)</f>
        <v>0</v>
      </c>
      <c r="T50" s="29" t="s">
        <v>39</v>
      </c>
      <c r="U50" s="20">
        <f>IFERROR('Data- Refined'!$B23/'Support Calculation'!$Q23,IF('Data- Refined'!$B23=0,0,"NA"))</f>
        <v>2.1578947368421053</v>
      </c>
      <c r="V50" s="20">
        <f>IFERROR('Data- Refined'!$C23/'Support Calculation'!$Z23,IF('Data- Refined'!$C23=0,0,"NA"))</f>
        <v>4.2</v>
      </c>
      <c r="W50" s="20">
        <f>IFERROR('Data- Refined'!$D23/'Support Calculation'!$AI23,IF('Data- Refined'!$D23=0,0,"NA"))</f>
        <v>4.7368421052631575</v>
      </c>
      <c r="X50" s="20">
        <f>IFERROR('Data- Refined'!$E23/'Support Calculation'!$AR23,IF('Data- Refined'!$E23=0,0,"NA"))</f>
        <v>4.4000000000000004</v>
      </c>
      <c r="Y50" s="20">
        <f>IFERROR('Data- Refined'!$F23/'Support Calculation'!$BA23,IF('Data- Refined'!$F23=0,0,"NA"))</f>
        <v>3.3928571428571428</v>
      </c>
      <c r="Z50" s="20">
        <f>IFERROR('Data- Refined'!$G23/'Support Calculation'!$BJ23,IF('Data- Refined'!$G23=0,0,"NA"))</f>
        <v>2.7931034482758621</v>
      </c>
      <c r="AA50" s="20">
        <f>IFERROR('Data- Refined'!$H23/'Support Calculation'!$BS23,IF('Data- Refined'!$H23=0,0,"NA"))</f>
        <v>4.6428571428571432</v>
      </c>
      <c r="AB50" s="20">
        <f>IFERROR('Data- Refined'!$I23/'Support Calculation'!$CB23,IF('Data- Refined'!$I23=0,0,"NA"))</f>
        <v>6</v>
      </c>
      <c r="AC50" s="20">
        <f>IFERROR('Data- Refined'!$J23/'Support Calculation'!$CK23,IF('Data- Refined'!$J23=0,0,"NA"))</f>
        <v>3.1578947368421053</v>
      </c>
      <c r="AD50" s="20">
        <f>IFERROR('Data- Refined'!$K23/'Support Calculation'!$CT23,IF('Data- Refined'!$K23=0,0,"NA"))</f>
        <v>1.8</v>
      </c>
      <c r="AE50" s="20">
        <f>IFERROR('Data- Refined'!$L23/'Support Calculation'!$DC23,IF('Data- Refined'!$L23=0,0,"NA"))</f>
        <v>4.7333333333333334</v>
      </c>
      <c r="AF50" s="20">
        <f>IFERROR('Data- Refined'!$M23/'Support Calculation'!$DL23,IF('Data- Refined'!$M23=0,0,"NA"))</f>
        <v>10</v>
      </c>
      <c r="AG50" s="20">
        <f>IFERROR('Data- Refined'!$N23/'Support Calculation'!$DU23,IF('Data- Refined'!$N23=0,0,"NA"))</f>
        <v>4.5</v>
      </c>
      <c r="AH50" s="20">
        <f>IFERROR('Data- Refined'!$O23/'Support Calculation'!$ED23,IF('Data- Refined'!$O23=0,0,"NA"))</f>
        <v>0</v>
      </c>
      <c r="AI50" s="151">
        <f>IFERROR('Data- Refined'!$P23/'Support Calculation'!EM23,IF('Data- Refined'!$P23=0,0,"NA"))</f>
        <v>0</v>
      </c>
      <c r="AJ50" s="151">
        <f>IFERROR('Data- Refined'!$Q23/'Support Calculation'!EV23,IF('Data- Refined'!$Q23=0,0,"NA"))</f>
        <v>0</v>
      </c>
    </row>
    <row r="51" spans="1:36" x14ac:dyDescent="0.35">
      <c r="A51" s="2"/>
      <c r="B51" s="29" t="s">
        <v>40</v>
      </c>
      <c r="C51" s="20">
        <f>IFERROR('Data- Refined'!$B24/'Support Calculation'!$Q24,'Data- Refined'!$B24)</f>
        <v>1.588235294117647</v>
      </c>
      <c r="D51" s="20">
        <f>IFERROR('Data- Refined'!$C24/'Support Calculation'!$Z24,'Data- Refined'!$C24)</f>
        <v>7.2142857142857144</v>
      </c>
      <c r="E51" s="20">
        <f>IFERROR('Data- Refined'!$D24/'Support Calculation'!$AI24,'Data- Refined'!$D24)</f>
        <v>7.2941176470588234</v>
      </c>
      <c r="F51" s="20">
        <f>IFERROR('Data- Refined'!$E24/'Support Calculation'!$AR24,'Data- Refined'!$E24)</f>
        <v>4.7307692307692308</v>
      </c>
      <c r="G51" s="20">
        <f>IFERROR('Data- Refined'!$F24/'Support Calculation'!$BA24,'Data- Refined'!$F24)</f>
        <v>5.3928571428571432</v>
      </c>
      <c r="H51" s="20">
        <f>IFERROR('Data- Refined'!$G24/'Support Calculation'!$BJ24,'Data- Refined'!$G24)</f>
        <v>4.4400000000000004</v>
      </c>
      <c r="I51" s="20">
        <f>IFERROR('Data- Refined'!$H24/'Support Calculation'!$BS24,'Data- Refined'!$H24)</f>
        <v>3.24</v>
      </c>
      <c r="J51" s="20">
        <f>IFERROR('Data- Refined'!$I24/'Support Calculation'!$CB24,'Data- Refined'!$I24)</f>
        <v>3.3809523809523809</v>
      </c>
      <c r="K51" s="20">
        <f>IFERROR('Data- Refined'!$J24/'Support Calculation'!$CK24,'Data- Refined'!$J24)</f>
        <v>4.2941176470588234</v>
      </c>
      <c r="L51" s="20">
        <f>IFERROR('Data- Refined'!$K24/'Support Calculation'!$CT24,'Data- Refined'!$K24)</f>
        <v>2.3571428571428572</v>
      </c>
      <c r="M51" s="20">
        <f>IFERROR('Data- Refined'!$L24/'Support Calculation'!$DC24,'Data- Refined'!$L24)</f>
        <v>2.6</v>
      </c>
      <c r="N51" s="20">
        <f>IFERROR('Data- Refined'!$M24/'Support Calculation'!$DL24,'Data- Refined'!$M24)</f>
        <v>3.375</v>
      </c>
      <c r="O51" s="20">
        <f>IFERROR('Data- Refined'!$N24/'Support Calculation'!$DU24,'Data- Refined'!$N24)</f>
        <v>1.6</v>
      </c>
      <c r="P51" s="20">
        <f>IFERROR('Data- Refined'!$O24/'Support Calculation'!$ED24,'Data- Refined'!$O24)</f>
        <v>0</v>
      </c>
      <c r="Q51" s="20">
        <f>IFERROR('Data- Refined'!$P24/'Support Calculation'!EM24,'Data- Refined'!$P24)</f>
        <v>0</v>
      </c>
      <c r="R51" s="20">
        <f>IFERROR('Data- Refined'!$Q24/'Support Calculation'!EV24,'Data- Refined'!$Q24)</f>
        <v>0</v>
      </c>
      <c r="T51" s="29" t="s">
        <v>40</v>
      </c>
      <c r="U51" s="20">
        <f>IFERROR('Data- Refined'!$B24/'Support Calculation'!$Q24,IF('Data- Refined'!$B24=0,0,"NA"))</f>
        <v>1.588235294117647</v>
      </c>
      <c r="V51" s="20">
        <f>IFERROR('Data- Refined'!$C24/'Support Calculation'!$Z24,IF('Data- Refined'!$C24=0,0,"NA"))</f>
        <v>7.2142857142857144</v>
      </c>
      <c r="W51" s="20">
        <f>IFERROR('Data- Refined'!$D24/'Support Calculation'!$AI24,IF('Data- Refined'!$D24=0,0,"NA"))</f>
        <v>7.2941176470588234</v>
      </c>
      <c r="X51" s="20">
        <f>IFERROR('Data- Refined'!$E24/'Support Calculation'!$AR24,IF('Data- Refined'!$E24=0,0,"NA"))</f>
        <v>4.7307692307692308</v>
      </c>
      <c r="Y51" s="20">
        <f>IFERROR('Data- Refined'!$F24/'Support Calculation'!$BA24,IF('Data- Refined'!$F24=0,0,"NA"))</f>
        <v>5.3928571428571432</v>
      </c>
      <c r="Z51" s="20">
        <f>IFERROR('Data- Refined'!$G24/'Support Calculation'!$BJ24,IF('Data- Refined'!$G24=0,0,"NA"))</f>
        <v>4.4400000000000004</v>
      </c>
      <c r="AA51" s="20">
        <f>IFERROR('Data- Refined'!$H24/'Support Calculation'!$BS24,IF('Data- Refined'!$H24=0,0,"NA"))</f>
        <v>3.24</v>
      </c>
      <c r="AB51" s="20">
        <f>IFERROR('Data- Refined'!$I24/'Support Calculation'!$CB24,IF('Data- Refined'!$I24=0,0,"NA"))</f>
        <v>3.3809523809523809</v>
      </c>
      <c r="AC51" s="20">
        <f>IFERROR('Data- Refined'!$J24/'Support Calculation'!$CK24,IF('Data- Refined'!$J24=0,0,"NA"))</f>
        <v>4.2941176470588234</v>
      </c>
      <c r="AD51" s="20">
        <f>IFERROR('Data- Refined'!$K24/'Support Calculation'!$CT24,IF('Data- Refined'!$K24=0,0,"NA"))</f>
        <v>2.3571428571428572</v>
      </c>
      <c r="AE51" s="20">
        <f>IFERROR('Data- Refined'!$L24/'Support Calculation'!$DC24,IF('Data- Refined'!$L24=0,0,"NA"))</f>
        <v>2.6</v>
      </c>
      <c r="AF51" s="20">
        <f>IFERROR('Data- Refined'!$M24/'Support Calculation'!$DL24,IF('Data- Refined'!$M24=0,0,"NA"))</f>
        <v>3.375</v>
      </c>
      <c r="AG51" s="20">
        <f>IFERROR('Data- Refined'!$N24/'Support Calculation'!$DU24,IF('Data- Refined'!$N24=0,0,"NA"))</f>
        <v>1.6</v>
      </c>
      <c r="AH51" s="20">
        <f>IFERROR('Data- Refined'!$O24/'Support Calculation'!$ED24,IF('Data- Refined'!$O24=0,0,"NA"))</f>
        <v>0</v>
      </c>
      <c r="AI51" s="151">
        <f>IFERROR('Data- Refined'!$P24/'Support Calculation'!EM24,IF('Data- Refined'!$P24=0,0,"NA"))</f>
        <v>0</v>
      </c>
      <c r="AJ51" s="151">
        <f>IFERROR('Data- Refined'!$Q24/'Support Calculation'!EV24,IF('Data- Refined'!$Q24=0,0,"NA"))</f>
        <v>0</v>
      </c>
    </row>
    <row r="52" spans="1:36" x14ac:dyDescent="0.35">
      <c r="A52" s="2"/>
      <c r="B52" s="29" t="s">
        <v>41</v>
      </c>
      <c r="C52" s="20">
        <f>IFERROR('Data- Refined'!$B25/'Support Calculation'!$Q25,'Data- Refined'!$B25)</f>
        <v>1.4</v>
      </c>
      <c r="D52" s="20">
        <f>IFERROR('Data- Refined'!$C25/'Support Calculation'!$Z25,'Data- Refined'!$C25)</f>
        <v>4</v>
      </c>
      <c r="E52" s="20">
        <f>IFERROR('Data- Refined'!$D25/'Support Calculation'!$AI25,'Data- Refined'!$D25)</f>
        <v>6.2</v>
      </c>
      <c r="F52" s="20">
        <f>IFERROR('Data- Refined'!$E25/'Support Calculation'!$AR25,'Data- Refined'!$E25)</f>
        <v>4.125</v>
      </c>
      <c r="G52" s="20">
        <f>IFERROR('Data- Refined'!$F25/'Support Calculation'!$BA25,'Data- Refined'!$F25)</f>
        <v>3.5555555555555554</v>
      </c>
      <c r="H52" s="20">
        <f>IFERROR('Data- Refined'!$G25/'Support Calculation'!$BJ25,'Data- Refined'!$G25)</f>
        <v>1.8333333333333333</v>
      </c>
      <c r="I52" s="20">
        <f>IFERROR('Data- Refined'!$H25/'Support Calculation'!$BS25,'Data- Refined'!$H25)</f>
        <v>1.4285714285714286</v>
      </c>
      <c r="J52" s="20">
        <f>IFERROR('Data- Refined'!$I25/'Support Calculation'!$CB25,'Data- Refined'!$I25)</f>
        <v>4.333333333333333</v>
      </c>
      <c r="K52" s="20">
        <f>IFERROR('Data- Refined'!$J25/'Support Calculation'!$CK25,'Data- Refined'!$J25)</f>
        <v>1.8</v>
      </c>
      <c r="L52" s="20">
        <f>IFERROR('Data- Refined'!$K25/'Support Calculation'!$CT25,'Data- Refined'!$K25)</f>
        <v>1.25</v>
      </c>
      <c r="M52" s="20">
        <f>IFERROR('Data- Refined'!$L25/'Support Calculation'!$DC25,'Data- Refined'!$L25)</f>
        <v>1</v>
      </c>
      <c r="N52" s="20">
        <f>IFERROR('Data- Refined'!$M25/'Support Calculation'!$DL25,'Data- Refined'!$M25)</f>
        <v>2.5</v>
      </c>
      <c r="O52" s="20">
        <f>IFERROR('Data- Refined'!$N25/'Support Calculation'!$DU25,'Data- Refined'!$N25)</f>
        <v>1</v>
      </c>
      <c r="P52" s="20">
        <f>IFERROR('Data- Refined'!$O25/'Support Calculation'!$ED25,'Data- Refined'!$O25)</f>
        <v>0</v>
      </c>
      <c r="Q52" s="20">
        <f>IFERROR('Data- Refined'!$P25/'Support Calculation'!EM25,'Data- Refined'!$P25)</f>
        <v>0</v>
      </c>
      <c r="R52" s="20">
        <f>IFERROR('Data- Refined'!$Q25/'Support Calculation'!EV25,'Data- Refined'!$Q25)</f>
        <v>0</v>
      </c>
      <c r="T52" s="29" t="s">
        <v>41</v>
      </c>
      <c r="U52" s="20">
        <f>IFERROR('Data- Refined'!$B25/'Support Calculation'!$Q25,IF('Data- Refined'!$B25=0,0,"NA"))</f>
        <v>1.4</v>
      </c>
      <c r="V52" s="20">
        <f>IFERROR('Data- Refined'!$C25/'Support Calculation'!$Z25,IF('Data- Refined'!$C25=0,0,"NA"))</f>
        <v>4</v>
      </c>
      <c r="W52" s="20">
        <f>IFERROR('Data- Refined'!$D25/'Support Calculation'!$AI25,IF('Data- Refined'!$D25=0,0,"NA"))</f>
        <v>6.2</v>
      </c>
      <c r="X52" s="20">
        <f>IFERROR('Data- Refined'!$E25/'Support Calculation'!$AR25,IF('Data- Refined'!$E25=0,0,"NA"))</f>
        <v>4.125</v>
      </c>
      <c r="Y52" s="20">
        <f>IFERROR('Data- Refined'!$F25/'Support Calculation'!$BA25,IF('Data- Refined'!$F25=0,0,"NA"))</f>
        <v>3.5555555555555554</v>
      </c>
      <c r="Z52" s="20">
        <f>IFERROR('Data- Refined'!$G25/'Support Calculation'!$BJ25,IF('Data- Refined'!$G25=0,0,"NA"))</f>
        <v>1.8333333333333333</v>
      </c>
      <c r="AA52" s="20">
        <f>IFERROR('Data- Refined'!$H25/'Support Calculation'!$BS25,IF('Data- Refined'!$H25=0,0,"NA"))</f>
        <v>1.4285714285714286</v>
      </c>
      <c r="AB52" s="20">
        <f>IFERROR('Data- Refined'!$I25/'Support Calculation'!$CB25,IF('Data- Refined'!$I25=0,0,"NA"))</f>
        <v>4.333333333333333</v>
      </c>
      <c r="AC52" s="20">
        <f>IFERROR('Data- Refined'!$J25/'Support Calculation'!$CK25,IF('Data- Refined'!$J25=0,0,"NA"))</f>
        <v>1.8</v>
      </c>
      <c r="AD52" s="20">
        <f>IFERROR('Data- Refined'!$K25/'Support Calculation'!$CT25,IF('Data- Refined'!$K25=0,0,"NA"))</f>
        <v>1.25</v>
      </c>
      <c r="AE52" s="20">
        <f>IFERROR('Data- Refined'!$L25/'Support Calculation'!$DC25,IF('Data- Refined'!$L25=0,0,"NA"))</f>
        <v>1</v>
      </c>
      <c r="AF52" s="20">
        <f>IFERROR('Data- Refined'!$M25/'Support Calculation'!$DL25,IF('Data- Refined'!$M25=0,0,"NA"))</f>
        <v>2.5</v>
      </c>
      <c r="AG52" s="20">
        <f>IFERROR('Data- Refined'!$N25/'Support Calculation'!$DU25,IF('Data- Refined'!$N25=0,0,"NA"))</f>
        <v>1</v>
      </c>
      <c r="AH52" s="20">
        <f>IFERROR('Data- Refined'!$O25/'Support Calculation'!$ED25,IF('Data- Refined'!$O25=0,0,"NA"))</f>
        <v>0</v>
      </c>
      <c r="AI52" s="151">
        <f>IFERROR('Data- Refined'!$P25/'Support Calculation'!EM25,IF('Data- Refined'!$P25=0,0,"NA"))</f>
        <v>0</v>
      </c>
      <c r="AJ52" s="151">
        <f>IFERROR('Data- Refined'!$Q25/'Support Calculation'!EV25,IF('Data- Refined'!$Q25=0,0,"NA"))</f>
        <v>0</v>
      </c>
    </row>
    <row r="53" spans="1:36" x14ac:dyDescent="0.35">
      <c r="A53" s="2"/>
      <c r="B53" s="29" t="s">
        <v>42</v>
      </c>
      <c r="C53" s="20">
        <f>IFERROR('Data- Refined'!$B26/'Support Calculation'!$Q26,'Data- Refined'!$B26)</f>
        <v>0</v>
      </c>
      <c r="D53" s="20">
        <f>IFERROR('Data- Refined'!$C26/'Support Calculation'!$Z26,'Data- Refined'!$C26)</f>
        <v>8.375</v>
      </c>
      <c r="E53" s="20">
        <f>IFERROR('Data- Refined'!$D26/'Support Calculation'!$AI26,'Data- Refined'!$D26)</f>
        <v>20.2</v>
      </c>
      <c r="F53" s="20">
        <f>IFERROR('Data- Refined'!$E26/'Support Calculation'!$AR26,'Data- Refined'!$E26)</f>
        <v>8.6363636363636367</v>
      </c>
      <c r="G53" s="20">
        <f>IFERROR('Data- Refined'!$F26/'Support Calculation'!$BA26,'Data- Refined'!$F26)</f>
        <v>10.714285714285714</v>
      </c>
      <c r="H53" s="20">
        <f>IFERROR('Data- Refined'!$G26/'Support Calculation'!$BJ26,'Data- Refined'!$G26)</f>
        <v>7.4</v>
      </c>
      <c r="I53" s="20">
        <f>IFERROR('Data- Refined'!$H26/'Support Calculation'!$BS26,'Data- Refined'!$H26)</f>
        <v>11.2</v>
      </c>
      <c r="J53" s="20">
        <f>IFERROR('Data- Refined'!$I26/'Support Calculation'!$CB26,'Data- Refined'!$I26)</f>
        <v>9.8000000000000007</v>
      </c>
      <c r="K53" s="20">
        <f>IFERROR('Data- Refined'!$J26/'Support Calculation'!$CK26,'Data- Refined'!$J26)</f>
        <v>9.4</v>
      </c>
      <c r="L53" s="20">
        <f>IFERROR('Data- Refined'!$K26/'Support Calculation'!$CT26,'Data- Refined'!$K26)</f>
        <v>4.25</v>
      </c>
      <c r="M53" s="20">
        <f>IFERROR('Data- Refined'!$L26/'Support Calculation'!$DC26,'Data- Refined'!$L26)</f>
        <v>7.5</v>
      </c>
      <c r="N53" s="20">
        <f>IFERROR('Data- Refined'!$M26/'Support Calculation'!$DL26,'Data- Refined'!$M26)</f>
        <v>12</v>
      </c>
      <c r="O53" s="20">
        <f>IFERROR('Data- Refined'!$N26/'Support Calculation'!$DU26,'Data- Refined'!$N26)</f>
        <v>7</v>
      </c>
      <c r="P53" s="20">
        <f>IFERROR('Data- Refined'!$O26/'Support Calculation'!$ED26,'Data- Refined'!$O26)</f>
        <v>4.5999999999999996</v>
      </c>
      <c r="Q53" s="20">
        <f>IFERROR('Data- Refined'!$P26/'Support Calculation'!EM26,'Data- Refined'!$P26)</f>
        <v>0</v>
      </c>
      <c r="R53" s="20">
        <f>IFERROR('Data- Refined'!$Q26/'Support Calculation'!EV26,'Data- Refined'!$Q26)</f>
        <v>0</v>
      </c>
      <c r="T53" s="29" t="s">
        <v>42</v>
      </c>
      <c r="U53" s="20">
        <f>IFERROR('Data- Refined'!$B26/'Support Calculation'!$Q26,IF('Data- Refined'!$B26=0,0,"NA"))</f>
        <v>0</v>
      </c>
      <c r="V53" s="20">
        <f>IFERROR('Data- Refined'!$C26/'Support Calculation'!$Z26,IF('Data- Refined'!$C26=0,0,"NA"))</f>
        <v>8.375</v>
      </c>
      <c r="W53" s="20">
        <f>IFERROR('Data- Refined'!$D26/'Support Calculation'!$AI26,IF('Data- Refined'!$D26=0,0,"NA"))</f>
        <v>20.2</v>
      </c>
      <c r="X53" s="20">
        <f>IFERROR('Data- Refined'!$E26/'Support Calculation'!$AR26,IF('Data- Refined'!$E26=0,0,"NA"))</f>
        <v>8.6363636363636367</v>
      </c>
      <c r="Y53" s="20">
        <f>IFERROR('Data- Refined'!$F26/'Support Calculation'!$BA26,IF('Data- Refined'!$F26=0,0,"NA"))</f>
        <v>10.714285714285714</v>
      </c>
      <c r="Z53" s="20">
        <f>IFERROR('Data- Refined'!$G26/'Support Calculation'!$BJ26,IF('Data- Refined'!$G26=0,0,"NA"))</f>
        <v>7.4</v>
      </c>
      <c r="AA53" s="20">
        <f>IFERROR('Data- Refined'!$H26/'Support Calculation'!$BS26,IF('Data- Refined'!$H26=0,0,"NA"))</f>
        <v>11.2</v>
      </c>
      <c r="AB53" s="20">
        <f>IFERROR('Data- Refined'!$I26/'Support Calculation'!$CB26,IF('Data- Refined'!$I26=0,0,"NA"))</f>
        <v>9.8000000000000007</v>
      </c>
      <c r="AC53" s="20">
        <f>IFERROR('Data- Refined'!$J26/'Support Calculation'!$CK26,IF('Data- Refined'!$J26=0,0,"NA"))</f>
        <v>9.4</v>
      </c>
      <c r="AD53" s="20">
        <f>IFERROR('Data- Refined'!$K26/'Support Calculation'!$CT26,IF('Data- Refined'!$K26=0,0,"NA"))</f>
        <v>4.25</v>
      </c>
      <c r="AE53" s="20">
        <f>IFERROR('Data- Refined'!$L26/'Support Calculation'!$DC26,IF('Data- Refined'!$L26=0,0,"NA"))</f>
        <v>7.5</v>
      </c>
      <c r="AF53" s="20">
        <f>IFERROR('Data- Refined'!$M26/'Support Calculation'!$DL26,IF('Data- Refined'!$M26=0,0,"NA"))</f>
        <v>12</v>
      </c>
      <c r="AG53" s="20">
        <f>IFERROR('Data- Refined'!$N26/'Support Calculation'!$DU26,IF('Data- Refined'!$N26=0,0,"NA"))</f>
        <v>7</v>
      </c>
      <c r="AH53" s="20">
        <f>IFERROR('Data- Refined'!$O26/'Support Calculation'!$ED26,IF('Data- Refined'!$O26=0,0,"NA"))</f>
        <v>4.5999999999999996</v>
      </c>
      <c r="AI53" s="151">
        <f>IFERROR('Data- Refined'!$P26/'Support Calculation'!EM26,IF('Data- Refined'!$P26=0,0,"NA"))</f>
        <v>0</v>
      </c>
      <c r="AJ53" s="151">
        <f>IFERROR('Data- Refined'!$Q26/'Support Calculation'!EV26,IF('Data- Refined'!$Q26=0,0,"NA"))</f>
        <v>0</v>
      </c>
    </row>
    <row r="54" spans="1:36" x14ac:dyDescent="0.35">
      <c r="A54" s="2"/>
      <c r="B54" s="29" t="s">
        <v>43</v>
      </c>
      <c r="C54" s="20">
        <f>IFERROR('Data- Refined'!$B27/'Support Calculation'!$Q27,'Data- Refined'!$B27)</f>
        <v>0</v>
      </c>
      <c r="D54" s="20">
        <f>IFERROR('Data- Refined'!$C27/'Support Calculation'!$Z27,'Data- Refined'!$C27)</f>
        <v>0</v>
      </c>
      <c r="E54" s="20">
        <f>IFERROR('Data- Refined'!$D27/'Support Calculation'!$AI27,'Data- Refined'!$D27)</f>
        <v>7.666666666666667</v>
      </c>
      <c r="F54" s="20">
        <f>IFERROR('Data- Refined'!$E27/'Support Calculation'!$AR27,'Data- Refined'!$E27)</f>
        <v>7.083333333333333</v>
      </c>
      <c r="G54" s="20">
        <f>IFERROR('Data- Refined'!$F27/'Support Calculation'!$BA27,'Data- Refined'!$F27)</f>
        <v>4.6923076923076925</v>
      </c>
      <c r="H54" s="20">
        <f>IFERROR('Data- Refined'!$G27/'Support Calculation'!$BJ27,'Data- Refined'!$G27)</f>
        <v>7.2727272727272725</v>
      </c>
      <c r="I54" s="20">
        <f>IFERROR('Data- Refined'!$H27/'Support Calculation'!$BS27,'Data- Refined'!$H27)</f>
        <v>4.25</v>
      </c>
      <c r="J54" s="20">
        <f>IFERROR('Data- Refined'!$I27/'Support Calculation'!$CB27,'Data- Refined'!$I27)</f>
        <v>4.25</v>
      </c>
      <c r="K54" s="20">
        <f>IFERROR('Data- Refined'!$J27/'Support Calculation'!$CK27,'Data- Refined'!$J27)</f>
        <v>3.6666666666666665</v>
      </c>
      <c r="L54" s="20">
        <f>IFERROR('Data- Refined'!$K27/'Support Calculation'!$CT27,'Data- Refined'!$K27)</f>
        <v>3.7142857142857144</v>
      </c>
      <c r="M54" s="20">
        <f>IFERROR('Data- Refined'!$L27/'Support Calculation'!$DC27,'Data- Refined'!$L27)</f>
        <v>3.1428571428571428</v>
      </c>
      <c r="N54" s="20">
        <f>IFERROR('Data- Refined'!$M27/'Support Calculation'!$DL27,'Data- Refined'!$M27)</f>
        <v>1.4444444444444444</v>
      </c>
      <c r="O54" s="20">
        <f>IFERROR('Data- Refined'!$N27/'Support Calculation'!$DU27,'Data- Refined'!$N27)</f>
        <v>3.3333333333333335</v>
      </c>
      <c r="P54" s="20">
        <f>IFERROR('Data- Refined'!$O27/'Support Calculation'!$ED27,'Data- Refined'!$O27)</f>
        <v>3.8461538461538463</v>
      </c>
      <c r="Q54" s="20">
        <f>IFERROR('Data- Refined'!$P27/'Support Calculation'!EM27,'Data- Refined'!$P27)</f>
        <v>7.4</v>
      </c>
      <c r="R54" s="20">
        <f>IFERROR('Data- Refined'!$Q27/'Support Calculation'!EV27,'Data- Refined'!$Q27)</f>
        <v>0</v>
      </c>
      <c r="T54" s="29" t="s">
        <v>43</v>
      </c>
      <c r="U54" s="20">
        <f>IFERROR('Data- Refined'!$B27/'Support Calculation'!$Q27,IF('Data- Refined'!$B27=0,0,"NA"))</f>
        <v>0</v>
      </c>
      <c r="V54" s="20">
        <f>IFERROR('Data- Refined'!$C27/'Support Calculation'!$Z27,IF('Data- Refined'!$C27=0,0,"NA"))</f>
        <v>0</v>
      </c>
      <c r="W54" s="20">
        <f>IFERROR('Data- Refined'!$D27/'Support Calculation'!$AI27,IF('Data- Refined'!$D27=0,0,"NA"))</f>
        <v>7.666666666666667</v>
      </c>
      <c r="X54" s="20">
        <f>IFERROR('Data- Refined'!$E27/'Support Calculation'!$AR27,IF('Data- Refined'!$E27=0,0,"NA"))</f>
        <v>7.083333333333333</v>
      </c>
      <c r="Y54" s="20">
        <f>IFERROR('Data- Refined'!$F27/'Support Calculation'!$BA27,IF('Data- Refined'!$F27=0,0,"NA"))</f>
        <v>4.6923076923076925</v>
      </c>
      <c r="Z54" s="20">
        <f>IFERROR('Data- Refined'!$G27/'Support Calculation'!$BJ27,IF('Data- Refined'!$G27=0,0,"NA"))</f>
        <v>7.2727272727272725</v>
      </c>
      <c r="AA54" s="20">
        <f>IFERROR('Data- Refined'!$H27/'Support Calculation'!$BS27,IF('Data- Refined'!$H27=0,0,"NA"))</f>
        <v>4.25</v>
      </c>
      <c r="AB54" s="20">
        <f>IFERROR('Data- Refined'!$I27/'Support Calculation'!$CB27,IF('Data- Refined'!$I27=0,0,"NA"))</f>
        <v>4.25</v>
      </c>
      <c r="AC54" s="20">
        <f>IFERROR('Data- Refined'!$J27/'Support Calculation'!$CK27,IF('Data- Refined'!$J27=0,0,"NA"))</f>
        <v>3.6666666666666665</v>
      </c>
      <c r="AD54" s="20">
        <f>IFERROR('Data- Refined'!$K27/'Support Calculation'!$CT27,IF('Data- Refined'!$K27=0,0,"NA"))</f>
        <v>3.7142857142857144</v>
      </c>
      <c r="AE54" s="20">
        <f>IFERROR('Data- Refined'!$L27/'Support Calculation'!$DC27,IF('Data- Refined'!$L27=0,0,"NA"))</f>
        <v>3.1428571428571428</v>
      </c>
      <c r="AF54" s="20">
        <f>IFERROR('Data- Refined'!$M27/'Support Calculation'!$DL27,IF('Data- Refined'!$M27=0,0,"NA"))</f>
        <v>1.4444444444444444</v>
      </c>
      <c r="AG54" s="20">
        <f>IFERROR('Data- Refined'!$N27/'Support Calculation'!$DU27,IF('Data- Refined'!$N27=0,0,"NA"))</f>
        <v>3.3333333333333335</v>
      </c>
      <c r="AH54" s="20">
        <f>IFERROR('Data- Refined'!$O27/'Support Calculation'!$ED27,IF('Data- Refined'!$O27=0,0,"NA"))</f>
        <v>3.8461538461538463</v>
      </c>
      <c r="AI54" s="151">
        <f>IFERROR('Data- Refined'!$P27/'Support Calculation'!EM27,IF('Data- Refined'!$P27=0,0,"NA"))</f>
        <v>7.4</v>
      </c>
      <c r="AJ54" s="151">
        <f>IFERROR('Data- Refined'!$Q27/'Support Calculation'!EV27,IF('Data- Refined'!$Q27=0,0,"NA"))</f>
        <v>0</v>
      </c>
    </row>
    <row r="55" spans="1:36" x14ac:dyDescent="0.35">
      <c r="A55" s="2"/>
      <c r="B55" s="29" t="s">
        <v>44</v>
      </c>
      <c r="C55" s="20">
        <f>IFERROR('Data- Refined'!$B28/'Support Calculation'!$Q28,'Data- Refined'!$B28)</f>
        <v>0</v>
      </c>
      <c r="D55" s="20">
        <f>IFERROR('Data- Refined'!$C28/'Support Calculation'!$Z28,'Data- Refined'!$C28)</f>
        <v>17.75</v>
      </c>
      <c r="E55" s="20">
        <f>IFERROR('Data- Refined'!$D28/'Support Calculation'!$AI28,'Data- Refined'!$D28)</f>
        <v>7.4285714285714288</v>
      </c>
      <c r="F55" s="20">
        <f>IFERROR('Data- Refined'!$E28/'Support Calculation'!$AR28,'Data- Refined'!$E28)</f>
        <v>19.5</v>
      </c>
      <c r="G55" s="20">
        <f>IFERROR('Data- Refined'!$F28/'Support Calculation'!$BA28,'Data- Refined'!$F28)</f>
        <v>6.1818181818181817</v>
      </c>
      <c r="H55" s="20">
        <f>IFERROR('Data- Refined'!$G28/'Support Calculation'!$BJ28,'Data- Refined'!$G28)</f>
        <v>6.875</v>
      </c>
      <c r="I55" s="20">
        <f>IFERROR('Data- Refined'!$H28/'Support Calculation'!$BS28,'Data- Refined'!$H28)</f>
        <v>9.8000000000000007</v>
      </c>
      <c r="J55" s="20">
        <f>IFERROR('Data- Refined'!$I28/'Support Calculation'!$CB28,'Data- Refined'!$I28)</f>
        <v>11.666666666666666</v>
      </c>
      <c r="K55" s="20">
        <f>IFERROR('Data- Refined'!$J28/'Support Calculation'!$CK28,'Data- Refined'!$J28)</f>
        <v>5</v>
      </c>
      <c r="L55" s="20">
        <f>IFERROR('Data- Refined'!$K28/'Support Calculation'!$CT28,'Data- Refined'!$K28)</f>
        <v>8.25</v>
      </c>
      <c r="M55" s="20">
        <f>IFERROR('Data- Refined'!$L28/'Support Calculation'!$DC28,'Data- Refined'!$L28)</f>
        <v>3.1428571428571428</v>
      </c>
      <c r="N55" s="20">
        <f>IFERROR('Data- Refined'!$M28/'Support Calculation'!$DL28,'Data- Refined'!$M28)</f>
        <v>15</v>
      </c>
      <c r="O55" s="20">
        <f>IFERROR('Data- Refined'!$N28/'Support Calculation'!$DU28,'Data- Refined'!$N28)</f>
        <v>6</v>
      </c>
      <c r="P55" s="20">
        <f>IFERROR('Data- Refined'!$O28/'Support Calculation'!$ED28,'Data- Refined'!$O28)</f>
        <v>3.3333333333333335</v>
      </c>
      <c r="Q55" s="20">
        <f>IFERROR('Data- Refined'!$P28/'Support Calculation'!EM28,'Data- Refined'!$P28)</f>
        <v>0</v>
      </c>
      <c r="R55" s="20">
        <f>IFERROR('Data- Refined'!$Q28/'Support Calculation'!EV28,'Data- Refined'!$Q28)</f>
        <v>0</v>
      </c>
      <c r="T55" s="29" t="s">
        <v>44</v>
      </c>
      <c r="U55" s="20">
        <f>IFERROR('Data- Refined'!$B28/'Support Calculation'!$Q28,IF('Data- Refined'!$B28=0,0,"NA"))</f>
        <v>0</v>
      </c>
      <c r="V55" s="20">
        <f>IFERROR('Data- Refined'!$C28/'Support Calculation'!$Z28,IF('Data- Refined'!$C28=0,0,"NA"))</f>
        <v>17.75</v>
      </c>
      <c r="W55" s="20">
        <f>IFERROR('Data- Refined'!$D28/'Support Calculation'!$AI28,IF('Data- Refined'!$D28=0,0,"NA"))</f>
        <v>7.4285714285714288</v>
      </c>
      <c r="X55" s="20">
        <f>IFERROR('Data- Refined'!$E28/'Support Calculation'!$AR28,IF('Data- Refined'!$E28=0,0,"NA"))</f>
        <v>19.5</v>
      </c>
      <c r="Y55" s="20">
        <f>IFERROR('Data- Refined'!$F28/'Support Calculation'!$BA28,IF('Data- Refined'!$F28=0,0,"NA"))</f>
        <v>6.1818181818181817</v>
      </c>
      <c r="Z55" s="20">
        <f>IFERROR('Data- Refined'!$G28/'Support Calculation'!$BJ28,IF('Data- Refined'!$G28=0,0,"NA"))</f>
        <v>6.875</v>
      </c>
      <c r="AA55" s="20">
        <f>IFERROR('Data- Refined'!$H28/'Support Calculation'!$BS28,IF('Data- Refined'!$H28=0,0,"NA"))</f>
        <v>9.8000000000000007</v>
      </c>
      <c r="AB55" s="20">
        <f>IFERROR('Data- Refined'!$I28/'Support Calculation'!$CB28,IF('Data- Refined'!$I28=0,0,"NA"))</f>
        <v>11.666666666666666</v>
      </c>
      <c r="AC55" s="20">
        <f>IFERROR('Data- Refined'!$J28/'Support Calculation'!$CK28,IF('Data- Refined'!$J28=0,0,"NA"))</f>
        <v>5</v>
      </c>
      <c r="AD55" s="20">
        <f>IFERROR('Data- Refined'!$K28/'Support Calculation'!$CT28,IF('Data- Refined'!$K28=0,0,"NA"))</f>
        <v>8.25</v>
      </c>
      <c r="AE55" s="20">
        <f>IFERROR('Data- Refined'!$L28/'Support Calculation'!$DC28,IF('Data- Refined'!$L28=0,0,"NA"))</f>
        <v>3.1428571428571428</v>
      </c>
      <c r="AF55" s="20">
        <f>IFERROR('Data- Refined'!$M28/'Support Calculation'!$DL28,IF('Data- Refined'!$M28=0,0,"NA"))</f>
        <v>15</v>
      </c>
      <c r="AG55" s="20">
        <f>IFERROR('Data- Refined'!$N28/'Support Calculation'!$DU28,IF('Data- Refined'!$N28=0,0,"NA"))</f>
        <v>6</v>
      </c>
      <c r="AH55" s="20">
        <f>IFERROR('Data- Refined'!$O28/'Support Calculation'!$ED28,IF('Data- Refined'!$O28=0,0,"NA"))</f>
        <v>3.3333333333333335</v>
      </c>
      <c r="AI55" s="151">
        <f>IFERROR('Data- Refined'!$P28/'Support Calculation'!EM28,IF('Data- Refined'!$P28=0,0,"NA"))</f>
        <v>0</v>
      </c>
      <c r="AJ55" s="151">
        <f>IFERROR('Data- Refined'!$Q28/'Support Calculation'!EV28,IF('Data- Refined'!$Q28=0,0,"NA"))</f>
        <v>0</v>
      </c>
    </row>
    <row r="56" spans="1:36" x14ac:dyDescent="0.35">
      <c r="A56" s="2"/>
      <c r="B56" s="29" t="s">
        <v>45</v>
      </c>
      <c r="C56" s="20">
        <f>IFERROR('Data- Refined'!$B29/'Support Calculation'!$Q29,'Data- Refined'!$B29)</f>
        <v>0</v>
      </c>
      <c r="D56" s="20">
        <f>IFERROR('Data- Refined'!$C29/'Support Calculation'!$Z29,'Data- Refined'!$C29)</f>
        <v>5.666666666666667</v>
      </c>
      <c r="E56" s="20">
        <f>IFERROR('Data- Refined'!$D29/'Support Calculation'!$AI29,'Data- Refined'!$D29)</f>
        <v>9</v>
      </c>
      <c r="F56" s="20">
        <f>IFERROR('Data- Refined'!$E29/'Support Calculation'!$AR29,'Data- Refined'!$E29)</f>
        <v>5.5</v>
      </c>
      <c r="G56" s="20">
        <f>IFERROR('Data- Refined'!$F29/'Support Calculation'!$BA29,'Data- Refined'!$F29)</f>
        <v>6.8</v>
      </c>
      <c r="H56" s="20">
        <f>IFERROR('Data- Refined'!$G29/'Support Calculation'!$BJ29,'Data- Refined'!$G29)</f>
        <v>4.2857142857142856</v>
      </c>
      <c r="I56" s="20">
        <f>IFERROR('Data- Refined'!$H29/'Support Calculation'!$BS29,'Data- Refined'!$H29)</f>
        <v>2.8333333333333335</v>
      </c>
      <c r="J56" s="20">
        <f>IFERROR('Data- Refined'!$I29/'Support Calculation'!$CB29,'Data- Refined'!$I29)</f>
        <v>2.3333333333333335</v>
      </c>
      <c r="K56" s="20">
        <f>IFERROR('Data- Refined'!$J29/'Support Calculation'!$CK29,'Data- Refined'!$J29)</f>
        <v>3.75</v>
      </c>
      <c r="L56" s="20">
        <f>IFERROR('Data- Refined'!$K29/'Support Calculation'!$CT29,'Data- Refined'!$K29)</f>
        <v>1.6666666666666667</v>
      </c>
      <c r="M56" s="20">
        <f>IFERROR('Data- Refined'!$L29/'Support Calculation'!$DC29,'Data- Refined'!$L29)</f>
        <v>1.1428571428571428</v>
      </c>
      <c r="N56" s="20">
        <f>IFERROR('Data- Refined'!$M29/'Support Calculation'!$DL29,'Data- Refined'!$M29)</f>
        <v>2.8333333333333335</v>
      </c>
      <c r="O56" s="20">
        <f>IFERROR('Data- Refined'!$N29/'Support Calculation'!$DU29,'Data- Refined'!$N29)</f>
        <v>1.5</v>
      </c>
      <c r="P56" s="20">
        <f>IFERROR('Data- Refined'!$O29/'Support Calculation'!$ED29,'Data- Refined'!$O29)</f>
        <v>2</v>
      </c>
      <c r="Q56" s="20">
        <f>IFERROR('Data- Refined'!$P29/'Support Calculation'!EM29,'Data- Refined'!$P29)</f>
        <v>0</v>
      </c>
      <c r="R56" s="20">
        <f>IFERROR('Data- Refined'!$Q29/'Support Calculation'!EV29,'Data- Refined'!$Q29)</f>
        <v>0</v>
      </c>
      <c r="T56" s="29" t="s">
        <v>45</v>
      </c>
      <c r="U56" s="20">
        <f>IFERROR('Data- Refined'!$B29/'Support Calculation'!$Q29,IF('Data- Refined'!$B29=0,0,"NA"))</f>
        <v>0</v>
      </c>
      <c r="V56" s="20">
        <f>IFERROR('Data- Refined'!$C29/'Support Calculation'!$Z29,IF('Data- Refined'!$C29=0,0,"NA"))</f>
        <v>5.666666666666667</v>
      </c>
      <c r="W56" s="20">
        <f>IFERROR('Data- Refined'!$D29/'Support Calculation'!$AI29,IF('Data- Refined'!$D29=0,0,"NA"))</f>
        <v>9</v>
      </c>
      <c r="X56" s="20">
        <f>IFERROR('Data- Refined'!$E29/'Support Calculation'!$AR29,IF('Data- Refined'!$E29=0,0,"NA"))</f>
        <v>5.5</v>
      </c>
      <c r="Y56" s="20">
        <f>IFERROR('Data- Refined'!$F29/'Support Calculation'!$BA29,IF('Data- Refined'!$F29=0,0,"NA"))</f>
        <v>6.8</v>
      </c>
      <c r="Z56" s="20">
        <f>IFERROR('Data- Refined'!$G29/'Support Calculation'!$BJ29,IF('Data- Refined'!$G29=0,0,"NA"))</f>
        <v>4.2857142857142856</v>
      </c>
      <c r="AA56" s="20">
        <f>IFERROR('Data- Refined'!$H29/'Support Calculation'!$BS29,IF('Data- Refined'!$H29=0,0,"NA"))</f>
        <v>2.8333333333333335</v>
      </c>
      <c r="AB56" s="20">
        <f>IFERROR('Data- Refined'!$I29/'Support Calculation'!$CB29,IF('Data- Refined'!$I29=0,0,"NA"))</f>
        <v>2.3333333333333335</v>
      </c>
      <c r="AC56" s="20">
        <f>IFERROR('Data- Refined'!$J29/'Support Calculation'!$CK29,IF('Data- Refined'!$J29=0,0,"NA"))</f>
        <v>3.75</v>
      </c>
      <c r="AD56" s="20">
        <f>IFERROR('Data- Refined'!$K29/'Support Calculation'!$CT29,IF('Data- Refined'!$K29=0,0,"NA"))</f>
        <v>1.6666666666666667</v>
      </c>
      <c r="AE56" s="20">
        <f>IFERROR('Data- Refined'!$L29/'Support Calculation'!$DC29,IF('Data- Refined'!$L29=0,0,"NA"))</f>
        <v>1.1428571428571428</v>
      </c>
      <c r="AF56" s="20">
        <f>IFERROR('Data- Refined'!$M29/'Support Calculation'!$DL29,IF('Data- Refined'!$M29=0,0,"NA"))</f>
        <v>2.8333333333333335</v>
      </c>
      <c r="AG56" s="20">
        <f>IFERROR('Data- Refined'!$N29/'Support Calculation'!$DU29,IF('Data- Refined'!$N29=0,0,"NA"))</f>
        <v>1.5</v>
      </c>
      <c r="AH56" s="20">
        <f>IFERROR('Data- Refined'!$O29/'Support Calculation'!$ED29,IF('Data- Refined'!$O29=0,0,"NA"))</f>
        <v>2</v>
      </c>
      <c r="AI56" s="151">
        <f>IFERROR('Data- Refined'!$P29/'Support Calculation'!EM29,IF('Data- Refined'!$P29=0,0,"NA"))</f>
        <v>0</v>
      </c>
      <c r="AJ56" s="151">
        <f>IFERROR('Data- Refined'!$Q29/'Support Calculation'!EV29,IF('Data- Refined'!$Q29=0,0,"NA"))</f>
        <v>0</v>
      </c>
    </row>
    <row r="57" spans="1:36" x14ac:dyDescent="0.35">
      <c r="A57" s="2"/>
      <c r="B57" s="29" t="s">
        <v>46</v>
      </c>
      <c r="C57" s="20">
        <f>IFERROR('Data- Refined'!$B30/'Support Calculation'!$Q30,'Data- Refined'!$B30)</f>
        <v>0</v>
      </c>
      <c r="D57" s="20">
        <f>IFERROR('Data- Refined'!$C30/'Support Calculation'!$Z30,'Data- Refined'!$C30)</f>
        <v>0</v>
      </c>
      <c r="E57" s="20">
        <f>IFERROR('Data- Refined'!$D30/'Support Calculation'!$AI30,'Data- Refined'!$D30)</f>
        <v>1.5</v>
      </c>
      <c r="F57" s="20">
        <f>IFERROR('Data- Refined'!$E30/'Support Calculation'!$AR30,'Data- Refined'!$E30)</f>
        <v>1.8333333333333333</v>
      </c>
      <c r="G57" s="20">
        <f>IFERROR('Data- Refined'!$F30/'Support Calculation'!$BA30,'Data- Refined'!$F30)</f>
        <v>5.5</v>
      </c>
      <c r="H57" s="20">
        <f>IFERROR('Data- Refined'!$G30/'Support Calculation'!$BJ30,'Data- Refined'!$G30)</f>
        <v>3.8</v>
      </c>
      <c r="I57" s="20">
        <f>IFERROR('Data- Refined'!$H30/'Support Calculation'!$BS30,'Data- Refined'!$H30)</f>
        <v>2.5</v>
      </c>
      <c r="J57" s="20">
        <f>IFERROR('Data- Refined'!$I30/'Support Calculation'!$CB30,'Data- Refined'!$I30)</f>
        <v>2.5</v>
      </c>
      <c r="K57" s="20">
        <f>IFERROR('Data- Refined'!$J30/'Support Calculation'!$CK30,'Data- Refined'!$J30)</f>
        <v>1.5</v>
      </c>
      <c r="L57" s="20">
        <f>IFERROR('Data- Refined'!$K30/'Support Calculation'!$CT30,'Data- Refined'!$K30)</f>
        <v>1.6</v>
      </c>
      <c r="M57" s="20">
        <f>IFERROR('Data- Refined'!$L30/'Support Calculation'!$DC30,'Data- Refined'!$L30)</f>
        <v>7</v>
      </c>
      <c r="N57" s="20">
        <f>IFERROR('Data- Refined'!$M30/'Support Calculation'!$DL30,'Data- Refined'!$M30)</f>
        <v>2.6666666666666665</v>
      </c>
      <c r="O57" s="20">
        <f>IFERROR('Data- Refined'!$N30/'Support Calculation'!$DU30,'Data- Refined'!$N30)</f>
        <v>5</v>
      </c>
      <c r="P57" s="20">
        <f>IFERROR('Data- Refined'!$O30/'Support Calculation'!$ED30,'Data- Refined'!$O30)</f>
        <v>6.666666666666667</v>
      </c>
      <c r="Q57" s="20">
        <f>IFERROR('Data- Refined'!$P30/'Support Calculation'!EM30,'Data- Refined'!$P30)</f>
        <v>14</v>
      </c>
      <c r="R57" s="20">
        <f>IFERROR('Data- Refined'!$Q30/'Support Calculation'!EV30,'Data- Refined'!$Q30)</f>
        <v>0</v>
      </c>
      <c r="T57" s="29" t="s">
        <v>46</v>
      </c>
      <c r="U57" s="20">
        <f>IFERROR('Data- Refined'!$B30/'Support Calculation'!$Q30,IF('Data- Refined'!$B30=0,0,"NA"))</f>
        <v>0</v>
      </c>
      <c r="V57" s="20">
        <f>IFERROR('Data- Refined'!$C30/'Support Calculation'!$Z30,IF('Data- Refined'!$C30=0,0,"NA"))</f>
        <v>0</v>
      </c>
      <c r="W57" s="20">
        <f>IFERROR('Data- Refined'!$D30/'Support Calculation'!$AI30,IF('Data- Refined'!$D30=0,0,"NA"))</f>
        <v>1.5</v>
      </c>
      <c r="X57" s="20">
        <f>IFERROR('Data- Refined'!$E30/'Support Calculation'!$AR30,IF('Data- Refined'!$E30=0,0,"NA"))</f>
        <v>1.8333333333333333</v>
      </c>
      <c r="Y57" s="20">
        <f>IFERROR('Data- Refined'!$F30/'Support Calculation'!$BA30,IF('Data- Refined'!$F30=0,0,"NA"))</f>
        <v>5.5</v>
      </c>
      <c r="Z57" s="20">
        <f>IFERROR('Data- Refined'!$G30/'Support Calculation'!$BJ30,IF('Data- Refined'!$G30=0,0,"NA"))</f>
        <v>3.8</v>
      </c>
      <c r="AA57" s="20">
        <f>IFERROR('Data- Refined'!$H30/'Support Calculation'!$BS30,IF('Data- Refined'!$H30=0,0,"NA"))</f>
        <v>2.5</v>
      </c>
      <c r="AB57" s="20">
        <f>IFERROR('Data- Refined'!$I30/'Support Calculation'!$CB30,IF('Data- Refined'!$I30=0,0,"NA"))</f>
        <v>2.5</v>
      </c>
      <c r="AC57" s="20">
        <f>IFERROR('Data- Refined'!$J30/'Support Calculation'!$CK30,IF('Data- Refined'!$J30=0,0,"NA"))</f>
        <v>1.5</v>
      </c>
      <c r="AD57" s="20">
        <f>IFERROR('Data- Refined'!$K30/'Support Calculation'!$CT30,IF('Data- Refined'!$K30=0,0,"NA"))</f>
        <v>1.6</v>
      </c>
      <c r="AE57" s="20">
        <f>IFERROR('Data- Refined'!$L30/'Support Calculation'!$DC30,IF('Data- Refined'!$L30=0,0,"NA"))</f>
        <v>7</v>
      </c>
      <c r="AF57" s="20">
        <f>IFERROR('Data- Refined'!$M30/'Support Calculation'!$DL30,IF('Data- Refined'!$M30=0,0,"NA"))</f>
        <v>2.6666666666666665</v>
      </c>
      <c r="AG57" s="20">
        <f>IFERROR('Data- Refined'!$N30/'Support Calculation'!$DU30,IF('Data- Refined'!$N30=0,0,"NA"))</f>
        <v>5</v>
      </c>
      <c r="AH57" s="20">
        <f>IFERROR('Data- Refined'!$O30/'Support Calculation'!$ED30,IF('Data- Refined'!$O30=0,0,"NA"))</f>
        <v>6.666666666666667</v>
      </c>
      <c r="AI57" s="151">
        <f>IFERROR('Data- Refined'!$P30/'Support Calculation'!EM30,IF('Data- Refined'!$P30=0,0,"NA"))</f>
        <v>14</v>
      </c>
      <c r="AJ57" s="151">
        <f>IFERROR('Data- Refined'!$Q30/'Support Calculation'!EV30,IF('Data- Refined'!$Q30=0,0,"NA"))</f>
        <v>0</v>
      </c>
    </row>
    <row r="58" spans="1:36" x14ac:dyDescent="0.35">
      <c r="A58" s="2"/>
      <c r="B58" s="29" t="s">
        <v>47</v>
      </c>
      <c r="C58" s="20">
        <f>IFERROR('Data- Refined'!$B31/'Support Calculation'!$Q31,'Data- Refined'!$B31)</f>
        <v>2.8333333333333335</v>
      </c>
      <c r="D58" s="20">
        <f>IFERROR('Data- Refined'!$C31/'Support Calculation'!$Z31,'Data- Refined'!$C31)</f>
        <v>9.8461538461538467</v>
      </c>
      <c r="E58" s="20">
        <f>IFERROR('Data- Refined'!$D31/'Support Calculation'!$AI31,'Data- Refined'!$D31)</f>
        <v>10.333333333333334</v>
      </c>
      <c r="F58" s="20">
        <f>IFERROR('Data- Refined'!$E31/'Support Calculation'!$AR31,'Data- Refined'!$E31)</f>
        <v>7.1875</v>
      </c>
      <c r="G58" s="20">
        <f>IFERROR('Data- Refined'!$F31/'Support Calculation'!$BA31,'Data- Refined'!$F31)</f>
        <v>5.1428571428571432</v>
      </c>
      <c r="H58" s="20">
        <f>IFERROR('Data- Refined'!$G31/'Support Calculation'!$BJ31,'Data- Refined'!$G31)</f>
        <v>5.1363636363636367</v>
      </c>
      <c r="I58" s="20">
        <f>IFERROR('Data- Refined'!$H31/'Support Calculation'!$BS31,'Data- Refined'!$H31)</f>
        <v>6.0714285714285712</v>
      </c>
      <c r="J58" s="20">
        <f>IFERROR('Data- Refined'!$I31/'Support Calculation'!$CB31,'Data- Refined'!$I31)</f>
        <v>5.6</v>
      </c>
      <c r="K58" s="20">
        <f>IFERROR('Data- Refined'!$J31/'Support Calculation'!$CK31,'Data- Refined'!$J31)</f>
        <v>5.083333333333333</v>
      </c>
      <c r="L58" s="20">
        <f>IFERROR('Data- Refined'!$K31/'Support Calculation'!$CT31,'Data- Refined'!$K31)</f>
        <v>3.3076923076923075</v>
      </c>
      <c r="M58" s="20">
        <f>IFERROR('Data- Refined'!$L31/'Support Calculation'!$DC31,'Data- Refined'!$L31)</f>
        <v>2.9375</v>
      </c>
      <c r="N58" s="20">
        <f>IFERROR('Data- Refined'!$M31/'Support Calculation'!$DL31,'Data- Refined'!$M31)</f>
        <v>10.142857142857142</v>
      </c>
      <c r="O58" s="20">
        <f>IFERROR('Data- Refined'!$N31/'Support Calculation'!$DU31,'Data- Refined'!$N31)</f>
        <v>3.4285714285714284</v>
      </c>
      <c r="P58" s="20">
        <f>IFERROR('Data- Refined'!$O31/'Support Calculation'!$ED31,'Data- Refined'!$O31)</f>
        <v>0</v>
      </c>
      <c r="Q58" s="20">
        <f>IFERROR('Data- Refined'!$P31/'Support Calculation'!EM31,'Data- Refined'!$P31)</f>
        <v>0</v>
      </c>
      <c r="R58" s="20">
        <f>IFERROR('Data- Refined'!$Q31/'Support Calculation'!EV31,'Data- Refined'!$Q31)</f>
        <v>0</v>
      </c>
      <c r="T58" s="29" t="s">
        <v>47</v>
      </c>
      <c r="U58" s="20">
        <f>IFERROR('Data- Refined'!$B31/'Support Calculation'!$Q31,IF('Data- Refined'!$B31=0,0,"NA"))</f>
        <v>2.8333333333333335</v>
      </c>
      <c r="V58" s="20">
        <f>IFERROR('Data- Refined'!$C31/'Support Calculation'!$Z31,IF('Data- Refined'!$C31=0,0,"NA"))</f>
        <v>9.8461538461538467</v>
      </c>
      <c r="W58" s="20">
        <f>IFERROR('Data- Refined'!$D31/'Support Calculation'!$AI31,IF('Data- Refined'!$D31=0,0,"NA"))</f>
        <v>10.333333333333334</v>
      </c>
      <c r="X58" s="20">
        <f>IFERROR('Data- Refined'!$E31/'Support Calculation'!$AR31,IF('Data- Refined'!$E31=0,0,"NA"))</f>
        <v>7.1875</v>
      </c>
      <c r="Y58" s="20">
        <f>IFERROR('Data- Refined'!$F31/'Support Calculation'!$BA31,IF('Data- Refined'!$F31=0,0,"NA"))</f>
        <v>5.1428571428571432</v>
      </c>
      <c r="Z58" s="20">
        <f>IFERROR('Data- Refined'!$G31/'Support Calculation'!$BJ31,IF('Data- Refined'!$G31=0,0,"NA"))</f>
        <v>5.1363636363636367</v>
      </c>
      <c r="AA58" s="20">
        <f>IFERROR('Data- Refined'!$H31/'Support Calculation'!$BS31,IF('Data- Refined'!$H31=0,0,"NA"))</f>
        <v>6.0714285714285712</v>
      </c>
      <c r="AB58" s="20">
        <f>IFERROR('Data- Refined'!$I31/'Support Calculation'!$CB31,IF('Data- Refined'!$I31=0,0,"NA"))</f>
        <v>5.6</v>
      </c>
      <c r="AC58" s="20">
        <f>IFERROR('Data- Refined'!$J31/'Support Calculation'!$CK31,IF('Data- Refined'!$J31=0,0,"NA"))</f>
        <v>5.083333333333333</v>
      </c>
      <c r="AD58" s="20">
        <f>IFERROR('Data- Refined'!$K31/'Support Calculation'!$CT31,IF('Data- Refined'!$K31=0,0,"NA"))</f>
        <v>3.3076923076923075</v>
      </c>
      <c r="AE58" s="20">
        <f>IFERROR('Data- Refined'!$L31/'Support Calculation'!$DC31,IF('Data- Refined'!$L31=0,0,"NA"))</f>
        <v>2.9375</v>
      </c>
      <c r="AF58" s="20">
        <f>IFERROR('Data- Refined'!$M31/'Support Calculation'!$DL31,IF('Data- Refined'!$M31=0,0,"NA"))</f>
        <v>10.142857142857142</v>
      </c>
      <c r="AG58" s="20">
        <f>IFERROR('Data- Refined'!$N31/'Support Calculation'!$DU31,IF('Data- Refined'!$N31=0,0,"NA"))</f>
        <v>3.4285714285714284</v>
      </c>
      <c r="AH58" s="20">
        <f>IFERROR('Data- Refined'!$O31/'Support Calculation'!$ED31,IF('Data- Refined'!$O31=0,0,"NA"))</f>
        <v>0</v>
      </c>
      <c r="AI58" s="151">
        <f>IFERROR('Data- Refined'!$P31/'Support Calculation'!EM31,IF('Data- Refined'!$P31=0,0,"NA"))</f>
        <v>0</v>
      </c>
      <c r="AJ58" s="151">
        <f>IFERROR('Data- Refined'!$Q31/'Support Calculation'!EV31,IF('Data- Refined'!$Q31=0,0,"NA"))</f>
        <v>0</v>
      </c>
    </row>
    <row r="59" spans="1:36" x14ac:dyDescent="0.35">
      <c r="A59" s="2"/>
      <c r="B59" s="29" t="s">
        <v>48</v>
      </c>
      <c r="C59" s="20">
        <f>IFERROR('Data- Refined'!$B32/'Support Calculation'!$Q32,'Data- Refined'!$B32)</f>
        <v>0</v>
      </c>
      <c r="D59" s="20">
        <f>IFERROR('Data- Refined'!$C32/'Support Calculation'!$Z32,'Data- Refined'!$C32)</f>
        <v>2</v>
      </c>
      <c r="E59" s="20">
        <f>IFERROR('Data- Refined'!$D32/'Support Calculation'!$AI32,'Data- Refined'!$D32)</f>
        <v>1.1666666666666667</v>
      </c>
      <c r="F59" s="20">
        <f>IFERROR('Data- Refined'!$E32/'Support Calculation'!$AR32,'Data- Refined'!$E32)</f>
        <v>1.6</v>
      </c>
      <c r="G59" s="20">
        <f>IFERROR('Data- Refined'!$F32/'Support Calculation'!$BA32,'Data- Refined'!$F32)</f>
        <v>2.1428571428571428</v>
      </c>
      <c r="H59" s="20">
        <f>IFERROR('Data- Refined'!$G32/'Support Calculation'!$BJ32,'Data- Refined'!$G32)</f>
        <v>1.8333333333333333</v>
      </c>
      <c r="I59" s="20">
        <f>IFERROR('Data- Refined'!$H32/'Support Calculation'!$BS32,'Data- Refined'!$H32)</f>
        <v>2</v>
      </c>
      <c r="J59" s="20">
        <f>IFERROR('Data- Refined'!$I32/'Support Calculation'!$CB32,'Data- Refined'!$I32)</f>
        <v>2</v>
      </c>
      <c r="K59" s="20">
        <f>IFERROR('Data- Refined'!$J32/'Support Calculation'!$CK32,'Data- Refined'!$J32)</f>
        <v>0.16666666666666666</v>
      </c>
      <c r="L59" s="20">
        <f>IFERROR('Data- Refined'!$K32/'Support Calculation'!$CT32,'Data- Refined'!$K32)</f>
        <v>0.6</v>
      </c>
      <c r="M59" s="20">
        <f>IFERROR('Data- Refined'!$L32/'Support Calculation'!$DC32,'Data- Refined'!$L32)</f>
        <v>1</v>
      </c>
      <c r="N59" s="20">
        <f>IFERROR('Data- Refined'!$M32/'Support Calculation'!$DL32,'Data- Refined'!$M32)</f>
        <v>3</v>
      </c>
      <c r="O59" s="20">
        <f>IFERROR('Data- Refined'!$N32/'Support Calculation'!$DU32,'Data- Refined'!$N32)</f>
        <v>1.5</v>
      </c>
      <c r="P59" s="20">
        <f>IFERROR('Data- Refined'!$O32/'Support Calculation'!$ED32,'Data- Refined'!$O32)</f>
        <v>2</v>
      </c>
      <c r="Q59" s="20">
        <f>IFERROR('Data- Refined'!$P32/'Support Calculation'!EM32,'Data- Refined'!$P32)</f>
        <v>0</v>
      </c>
      <c r="R59" s="20">
        <f>IFERROR('Data- Refined'!$Q32/'Support Calculation'!EV32,'Data- Refined'!$Q32)</f>
        <v>0</v>
      </c>
      <c r="T59" s="29" t="s">
        <v>48</v>
      </c>
      <c r="U59" s="20">
        <f>IFERROR('Data- Refined'!$B32/'Support Calculation'!$Q32,IF('Data- Refined'!$B32=0,0,"NA"))</f>
        <v>0</v>
      </c>
      <c r="V59" s="20">
        <f>IFERROR('Data- Refined'!$C32/'Support Calculation'!$Z32,IF('Data- Refined'!$C32=0,0,"NA"))</f>
        <v>2</v>
      </c>
      <c r="W59" s="20">
        <f>IFERROR('Data- Refined'!$D32/'Support Calculation'!$AI32,IF('Data- Refined'!$D32=0,0,"NA"))</f>
        <v>1.1666666666666667</v>
      </c>
      <c r="X59" s="20">
        <f>IFERROR('Data- Refined'!$E32/'Support Calculation'!$AR32,IF('Data- Refined'!$E32=0,0,"NA"))</f>
        <v>1.6</v>
      </c>
      <c r="Y59" s="20">
        <f>IFERROR('Data- Refined'!$F32/'Support Calculation'!$BA32,IF('Data- Refined'!$F32=0,0,"NA"))</f>
        <v>2.1428571428571428</v>
      </c>
      <c r="Z59" s="20">
        <f>IFERROR('Data- Refined'!$G32/'Support Calculation'!$BJ32,IF('Data- Refined'!$G32=0,0,"NA"))</f>
        <v>1.8333333333333333</v>
      </c>
      <c r="AA59" s="20">
        <f>IFERROR('Data- Refined'!$H32/'Support Calculation'!$BS32,IF('Data- Refined'!$H32=0,0,"NA"))</f>
        <v>2</v>
      </c>
      <c r="AB59" s="20">
        <f>IFERROR('Data- Refined'!$I32/'Support Calculation'!$CB32,IF('Data- Refined'!$I32=0,0,"NA"))</f>
        <v>2</v>
      </c>
      <c r="AC59" s="20">
        <f>IFERROR('Data- Refined'!$J32/'Support Calculation'!$CK32,IF('Data- Refined'!$J32=0,0,"NA"))</f>
        <v>0.16666666666666666</v>
      </c>
      <c r="AD59" s="20">
        <f>IFERROR('Data- Refined'!$K32/'Support Calculation'!$CT32,IF('Data- Refined'!$K32=0,0,"NA"))</f>
        <v>0.6</v>
      </c>
      <c r="AE59" s="20">
        <f>IFERROR('Data- Refined'!$L32/'Support Calculation'!$DC32,IF('Data- Refined'!$L32=0,0,"NA"))</f>
        <v>1</v>
      </c>
      <c r="AF59" s="20">
        <f>IFERROR('Data- Refined'!$M32/'Support Calculation'!$DL32,IF('Data- Refined'!$M32=0,0,"NA"))</f>
        <v>3</v>
      </c>
      <c r="AG59" s="20">
        <f>IFERROR('Data- Refined'!$N32/'Support Calculation'!$DU32,IF('Data- Refined'!$N32=0,0,"NA"))</f>
        <v>1.5</v>
      </c>
      <c r="AH59" s="20">
        <f>IFERROR('Data- Refined'!$O32/'Support Calculation'!$ED32,IF('Data- Refined'!$O32=0,0,"NA"))</f>
        <v>2</v>
      </c>
      <c r="AI59" s="151">
        <f>IFERROR('Data- Refined'!$P32/'Support Calculation'!EM32,IF('Data- Refined'!$P32=0,0,"NA"))</f>
        <v>0</v>
      </c>
      <c r="AJ59" s="151">
        <f>IFERROR('Data- Refined'!$Q32/'Support Calculation'!EV32,IF('Data- Refined'!$Q32=0,0,"NA"))</f>
        <v>0</v>
      </c>
    </row>
    <row r="60" spans="1:36" x14ac:dyDescent="0.35">
      <c r="A60" s="2"/>
      <c r="B60" s="29" t="s">
        <v>49</v>
      </c>
      <c r="C60" s="20">
        <f>IFERROR('Data- Refined'!$B33/'Support Calculation'!$Q33,'Data- Refined'!$B33)</f>
        <v>0</v>
      </c>
      <c r="D60" s="20">
        <f>IFERROR('Data- Refined'!$C33/'Support Calculation'!$Z33,'Data- Refined'!$C33)</f>
        <v>11.5</v>
      </c>
      <c r="E60" s="20">
        <f>IFERROR('Data- Refined'!$D33/'Support Calculation'!$AI33,'Data- Refined'!$D33)</f>
        <v>12.5</v>
      </c>
      <c r="F60" s="20">
        <f>IFERROR('Data- Refined'!$E33/'Support Calculation'!$AR33,'Data- Refined'!$E33)</f>
        <v>11</v>
      </c>
      <c r="G60" s="20">
        <f>IFERROR('Data- Refined'!$F33/'Support Calculation'!$BA33,'Data- Refined'!$F33)</f>
        <v>6.333333333333333</v>
      </c>
      <c r="H60" s="20">
        <f>IFERROR('Data- Refined'!$G33/'Support Calculation'!$BJ33,'Data- Refined'!$G33)</f>
        <v>10.333333333333334</v>
      </c>
      <c r="I60" s="20">
        <f>IFERROR('Data- Refined'!$H33/'Support Calculation'!$BS33,'Data- Refined'!$H33)</f>
        <v>6</v>
      </c>
      <c r="J60" s="20">
        <f>IFERROR('Data- Refined'!$I33/'Support Calculation'!$CB33,'Data- Refined'!$I33)</f>
        <v>13</v>
      </c>
      <c r="K60" s="20">
        <f>IFERROR('Data- Refined'!$J33/'Support Calculation'!$CK33,'Data- Refined'!$J33)</f>
        <v>6</v>
      </c>
      <c r="L60" s="20">
        <f>IFERROR('Data- Refined'!$K33/'Support Calculation'!$CT33,'Data- Refined'!$K33)</f>
        <v>5.5</v>
      </c>
      <c r="M60" s="20">
        <f>IFERROR('Data- Refined'!$L33/'Support Calculation'!$DC33,'Data- Refined'!$L33)</f>
        <v>2.5</v>
      </c>
      <c r="N60" s="20">
        <f>IFERROR('Data- Refined'!$M33/'Support Calculation'!$DL33,'Data- Refined'!$M33)</f>
        <v>7</v>
      </c>
      <c r="O60" s="20">
        <f>IFERROR('Data- Refined'!$N33/'Support Calculation'!$DU33,'Data- Refined'!$N33)</f>
        <v>4.5</v>
      </c>
      <c r="P60" s="20">
        <f>IFERROR('Data- Refined'!$O33/'Support Calculation'!$ED33,'Data- Refined'!$O33)</f>
        <v>4</v>
      </c>
      <c r="Q60" s="20">
        <f>IFERROR('Data- Refined'!$P33/'Support Calculation'!EM33,'Data- Refined'!$P33)</f>
        <v>0</v>
      </c>
      <c r="R60" s="20">
        <f>IFERROR('Data- Refined'!$Q33/'Support Calculation'!EV33,'Data- Refined'!$Q33)</f>
        <v>0</v>
      </c>
      <c r="T60" s="29" t="s">
        <v>49</v>
      </c>
      <c r="U60" s="20">
        <f>IFERROR('Data- Refined'!$B33/'Support Calculation'!$Q33,IF('Data- Refined'!$B33=0,0,"NA"))</f>
        <v>0</v>
      </c>
      <c r="V60" s="20">
        <f>IFERROR('Data- Refined'!$C33/'Support Calculation'!$Z33,IF('Data- Refined'!$C33=0,0,"NA"))</f>
        <v>11.5</v>
      </c>
      <c r="W60" s="20">
        <f>IFERROR('Data- Refined'!$D33/'Support Calculation'!$AI33,IF('Data- Refined'!$D33=0,0,"NA"))</f>
        <v>12.5</v>
      </c>
      <c r="X60" s="20">
        <f>IFERROR('Data- Refined'!$E33/'Support Calculation'!$AR33,IF('Data- Refined'!$E33=0,0,"NA"))</f>
        <v>11</v>
      </c>
      <c r="Y60" s="20">
        <f>IFERROR('Data- Refined'!$F33/'Support Calculation'!$BA33,IF('Data- Refined'!$F33=0,0,"NA"))</f>
        <v>6.333333333333333</v>
      </c>
      <c r="Z60" s="20">
        <f>IFERROR('Data- Refined'!$G33/'Support Calculation'!$BJ33,IF('Data- Refined'!$G33=0,0,"NA"))</f>
        <v>10.333333333333334</v>
      </c>
      <c r="AA60" s="20">
        <f>IFERROR('Data- Refined'!$H33/'Support Calculation'!$BS33,IF('Data- Refined'!$H33=0,0,"NA"))</f>
        <v>6</v>
      </c>
      <c r="AB60" s="20">
        <f>IFERROR('Data- Refined'!$I33/'Support Calculation'!$CB33,IF('Data- Refined'!$I33=0,0,"NA"))</f>
        <v>13</v>
      </c>
      <c r="AC60" s="20">
        <f>IFERROR('Data- Refined'!$J33/'Support Calculation'!$CK33,IF('Data- Refined'!$J33=0,0,"NA"))</f>
        <v>6</v>
      </c>
      <c r="AD60" s="20">
        <f>IFERROR('Data- Refined'!$K33/'Support Calculation'!$CT33,IF('Data- Refined'!$K33=0,0,"NA"))</f>
        <v>5.5</v>
      </c>
      <c r="AE60" s="20">
        <f>IFERROR('Data- Refined'!$L33/'Support Calculation'!$DC33,IF('Data- Refined'!$L33=0,0,"NA"))</f>
        <v>2.5</v>
      </c>
      <c r="AF60" s="20">
        <f>IFERROR('Data- Refined'!$M33/'Support Calculation'!$DL33,IF('Data- Refined'!$M33=0,0,"NA"))</f>
        <v>7</v>
      </c>
      <c r="AG60" s="20">
        <f>IFERROR('Data- Refined'!$N33/'Support Calculation'!$DU33,IF('Data- Refined'!$N33=0,0,"NA"))</f>
        <v>4.5</v>
      </c>
      <c r="AH60" s="20">
        <f>IFERROR('Data- Refined'!$O33/'Support Calculation'!$ED33,IF('Data- Refined'!$O33=0,0,"NA"))</f>
        <v>4</v>
      </c>
      <c r="AI60" s="151">
        <f>IFERROR('Data- Refined'!$P33/'Support Calculation'!EM33,IF('Data- Refined'!$P33=0,0,"NA"))</f>
        <v>0</v>
      </c>
      <c r="AJ60" s="151">
        <f>IFERROR('Data- Refined'!$Q33/'Support Calculation'!EV33,IF('Data- Refined'!$Q33=0,0,"NA"))</f>
        <v>0</v>
      </c>
    </row>
    <row r="61" spans="1:36" x14ac:dyDescent="0.35">
      <c r="A61" s="2"/>
      <c r="B61" s="29" t="s">
        <v>50</v>
      </c>
      <c r="C61" s="20">
        <f>IFERROR('Data- Refined'!$B34/'Support Calculation'!$Q34,'Data- Refined'!$B34)</f>
        <v>0.8</v>
      </c>
      <c r="D61" s="20">
        <f>IFERROR('Data- Refined'!$C34/'Support Calculation'!$Z34,'Data- Refined'!$C34)</f>
        <v>7</v>
      </c>
      <c r="E61" s="20">
        <f>IFERROR('Data- Refined'!$D34/'Support Calculation'!$AI34,'Data- Refined'!$D34)</f>
        <v>10</v>
      </c>
      <c r="F61" s="20">
        <f>IFERROR('Data- Refined'!$E34/'Support Calculation'!$AR34,'Data- Refined'!$E34)</f>
        <v>3.6666666666666665</v>
      </c>
      <c r="G61" s="20">
        <f>IFERROR('Data- Refined'!$F34/'Support Calculation'!$BA34,'Data- Refined'!$F34)</f>
        <v>3.25</v>
      </c>
      <c r="H61" s="20">
        <f>IFERROR('Data- Refined'!$G34/'Support Calculation'!$BJ34,'Data- Refined'!$G34)</f>
        <v>2.3333333333333335</v>
      </c>
      <c r="I61" s="20">
        <f>IFERROR('Data- Refined'!$H34/'Support Calculation'!$BS34,'Data- Refined'!$H34)</f>
        <v>3.8333333333333335</v>
      </c>
      <c r="J61" s="20">
        <f>IFERROR('Data- Refined'!$I34/'Support Calculation'!$CB34,'Data- Refined'!$I34)</f>
        <v>2.1111111111111112</v>
      </c>
      <c r="K61" s="20">
        <f>IFERROR('Data- Refined'!$J34/'Support Calculation'!$CK34,'Data- Refined'!$J34)</f>
        <v>2.4</v>
      </c>
      <c r="L61" s="20">
        <f>IFERROR('Data- Refined'!$K34/'Support Calculation'!$CT34,'Data- Refined'!$K34)</f>
        <v>0.66666666666666663</v>
      </c>
      <c r="M61" s="20">
        <f>IFERROR('Data- Refined'!$L34/'Support Calculation'!$DC34,'Data- Refined'!$L34)</f>
        <v>1.6666666666666667</v>
      </c>
      <c r="N61" s="20">
        <f>IFERROR('Data- Refined'!$M34/'Support Calculation'!$DL34,'Data- Refined'!$M34)</f>
        <v>4.666666666666667</v>
      </c>
      <c r="O61" s="20">
        <f>IFERROR('Data- Refined'!$N34/'Support Calculation'!$DU34,'Data- Refined'!$N34)</f>
        <v>1.6666666666666667</v>
      </c>
      <c r="P61" s="20">
        <f>IFERROR('Data- Refined'!$O34/'Support Calculation'!$ED34,'Data- Refined'!$O34)</f>
        <v>0</v>
      </c>
      <c r="Q61" s="20">
        <f>IFERROR('Data- Refined'!$P34/'Support Calculation'!EM34,'Data- Refined'!$P34)</f>
        <v>0</v>
      </c>
      <c r="R61" s="20">
        <f>IFERROR('Data- Refined'!$Q34/'Support Calculation'!EV34,'Data- Refined'!$Q34)</f>
        <v>0</v>
      </c>
      <c r="T61" s="29" t="s">
        <v>50</v>
      </c>
      <c r="U61" s="20">
        <f>IFERROR('Data- Refined'!$B34/'Support Calculation'!$Q34,IF('Data- Refined'!$B34=0,0,"NA"))</f>
        <v>0.8</v>
      </c>
      <c r="V61" s="20">
        <f>IFERROR('Data- Refined'!$C34/'Support Calculation'!$Z34,IF('Data- Refined'!$C34=0,0,"NA"))</f>
        <v>7</v>
      </c>
      <c r="W61" s="20">
        <f>IFERROR('Data- Refined'!$D34/'Support Calculation'!$AI34,IF('Data- Refined'!$D34=0,0,"NA"))</f>
        <v>10</v>
      </c>
      <c r="X61" s="20">
        <f>IFERROR('Data- Refined'!$E34/'Support Calculation'!$AR34,IF('Data- Refined'!$E34=0,0,"NA"))</f>
        <v>3.6666666666666665</v>
      </c>
      <c r="Y61" s="20">
        <f>IFERROR('Data- Refined'!$F34/'Support Calculation'!$BA34,IF('Data- Refined'!$F34=0,0,"NA"))</f>
        <v>3.25</v>
      </c>
      <c r="Z61" s="20">
        <f>IFERROR('Data- Refined'!$G34/'Support Calculation'!$BJ34,IF('Data- Refined'!$G34=0,0,"NA"))</f>
        <v>2.3333333333333335</v>
      </c>
      <c r="AA61" s="20">
        <f>IFERROR('Data- Refined'!$H34/'Support Calculation'!$BS34,IF('Data- Refined'!$H34=0,0,"NA"))</f>
        <v>3.8333333333333335</v>
      </c>
      <c r="AB61" s="20">
        <f>IFERROR('Data- Refined'!$I34/'Support Calculation'!$CB34,IF('Data- Refined'!$I34=0,0,"NA"))</f>
        <v>2.1111111111111112</v>
      </c>
      <c r="AC61" s="20">
        <f>IFERROR('Data- Refined'!$J34/'Support Calculation'!$CK34,IF('Data- Refined'!$J34=0,0,"NA"))</f>
        <v>2.4</v>
      </c>
      <c r="AD61" s="20">
        <f>IFERROR('Data- Refined'!$K34/'Support Calculation'!$CT34,IF('Data- Refined'!$K34=0,0,"NA"))</f>
        <v>0.66666666666666663</v>
      </c>
      <c r="AE61" s="20">
        <f>IFERROR('Data- Refined'!$L34/'Support Calculation'!$DC34,IF('Data- Refined'!$L34=0,0,"NA"))</f>
        <v>1.6666666666666667</v>
      </c>
      <c r="AF61" s="20">
        <f>IFERROR('Data- Refined'!$M34/'Support Calculation'!$DL34,IF('Data- Refined'!$M34=0,0,"NA"))</f>
        <v>4.666666666666667</v>
      </c>
      <c r="AG61" s="20">
        <f>IFERROR('Data- Refined'!$N34/'Support Calculation'!$DU34,IF('Data- Refined'!$N34=0,0,"NA"))</f>
        <v>1.6666666666666667</v>
      </c>
      <c r="AH61" s="20">
        <f>IFERROR('Data- Refined'!$O34/'Support Calculation'!$ED34,IF('Data- Refined'!$O34=0,0,"NA"))</f>
        <v>0</v>
      </c>
      <c r="AI61" s="151">
        <f>IFERROR('Data- Refined'!$P34/'Support Calculation'!EM34,IF('Data- Refined'!$P34=0,0,"NA"))</f>
        <v>0</v>
      </c>
      <c r="AJ61" s="151">
        <f>IFERROR('Data- Refined'!$Q34/'Support Calculation'!EV34,IF('Data- Refined'!$Q34=0,0,"NA"))</f>
        <v>0</v>
      </c>
    </row>
    <row r="62" spans="1:36" x14ac:dyDescent="0.35">
      <c r="A62" s="2"/>
      <c r="B62" s="29" t="s">
        <v>51</v>
      </c>
      <c r="C62" s="20">
        <f>IFERROR('Data- Refined'!$B35/'Support Calculation'!$Q35,'Data- Refined'!$B35)</f>
        <v>3</v>
      </c>
      <c r="D62" s="20">
        <f>IFERROR('Data- Refined'!$C35/'Support Calculation'!$Z35,'Data- Refined'!$C35)</f>
        <v>10.142857142857142</v>
      </c>
      <c r="E62" s="20">
        <f>IFERROR('Data- Refined'!$D35/'Support Calculation'!$AI35,'Data- Refined'!$D35)</f>
        <v>9.75</v>
      </c>
      <c r="F62" s="20">
        <f>IFERROR('Data- Refined'!$E35/'Support Calculation'!$AR35,'Data- Refined'!$E35)</f>
        <v>7.6521739130434785</v>
      </c>
      <c r="G62" s="20">
        <f>IFERROR('Data- Refined'!$F35/'Support Calculation'!$BA35,'Data- Refined'!$F35)</f>
        <v>7.1724137931034484</v>
      </c>
      <c r="H62" s="20">
        <f>IFERROR('Data- Refined'!$G35/'Support Calculation'!$BJ35,'Data- Refined'!$G35)</f>
        <v>6.666666666666667</v>
      </c>
      <c r="I62" s="20">
        <f>IFERROR('Data- Refined'!$H35/'Support Calculation'!$BS35,'Data- Refined'!$H35)</f>
        <v>5.2142857142857144</v>
      </c>
      <c r="J62" s="20">
        <f>IFERROR('Data- Refined'!$I35/'Support Calculation'!$CB35,'Data- Refined'!$I35)</f>
        <v>5.9047619047619051</v>
      </c>
      <c r="K62" s="20">
        <f>IFERROR('Data- Refined'!$J35/'Support Calculation'!$CK35,'Data- Refined'!$J35)</f>
        <v>7</v>
      </c>
      <c r="L62" s="20">
        <f>IFERROR('Data- Refined'!$K35/'Support Calculation'!$CT35,'Data- Refined'!$K35)</f>
        <v>5.5</v>
      </c>
      <c r="M62" s="20">
        <f>IFERROR('Data- Refined'!$L35/'Support Calculation'!$DC35,'Data- Refined'!$L35)</f>
        <v>3.88</v>
      </c>
      <c r="N62" s="20">
        <f>IFERROR('Data- Refined'!$M35/'Support Calculation'!$DL35,'Data- Refined'!$M35)</f>
        <v>7.1875</v>
      </c>
      <c r="O62" s="20">
        <f>IFERROR('Data- Refined'!$N35/'Support Calculation'!$DU35,'Data- Refined'!$N35)</f>
        <v>3</v>
      </c>
      <c r="P62" s="20">
        <f>IFERROR('Data- Refined'!$O35/'Support Calculation'!$ED35,'Data- Refined'!$O35)</f>
        <v>0</v>
      </c>
      <c r="Q62" s="20">
        <f>IFERROR('Data- Refined'!$P35/'Support Calculation'!EM35,'Data- Refined'!$P35)</f>
        <v>0</v>
      </c>
      <c r="R62" s="20">
        <f>IFERROR('Data- Refined'!$Q35/'Support Calculation'!EV35,'Data- Refined'!$Q35)</f>
        <v>0</v>
      </c>
      <c r="T62" s="29" t="s">
        <v>51</v>
      </c>
      <c r="U62" s="20">
        <f>IFERROR('Data- Refined'!$B35/'Support Calculation'!$Q35,IF('Data- Refined'!$B35=0,0,"NA"))</f>
        <v>3</v>
      </c>
      <c r="V62" s="20">
        <f>IFERROR('Data- Refined'!$C35/'Support Calculation'!$Z35,IF('Data- Refined'!$C35=0,0,"NA"))</f>
        <v>10.142857142857142</v>
      </c>
      <c r="W62" s="20">
        <f>IFERROR('Data- Refined'!$D35/'Support Calculation'!$AI35,IF('Data- Refined'!$D35=0,0,"NA"))</f>
        <v>9.75</v>
      </c>
      <c r="X62" s="20">
        <f>IFERROR('Data- Refined'!$E35/'Support Calculation'!$AR35,IF('Data- Refined'!$E35=0,0,"NA"))</f>
        <v>7.6521739130434785</v>
      </c>
      <c r="Y62" s="20">
        <f>IFERROR('Data- Refined'!$F35/'Support Calculation'!$BA35,IF('Data- Refined'!$F35=0,0,"NA"))</f>
        <v>7.1724137931034484</v>
      </c>
      <c r="Z62" s="20">
        <f>IFERROR('Data- Refined'!$G35/'Support Calculation'!$BJ35,IF('Data- Refined'!$G35=0,0,"NA"))</f>
        <v>6.666666666666667</v>
      </c>
      <c r="AA62" s="20">
        <f>IFERROR('Data- Refined'!$H35/'Support Calculation'!$BS35,IF('Data- Refined'!$H35=0,0,"NA"))</f>
        <v>5.2142857142857144</v>
      </c>
      <c r="AB62" s="20">
        <f>IFERROR('Data- Refined'!$I35/'Support Calculation'!$CB35,IF('Data- Refined'!$I35=0,0,"NA"))</f>
        <v>5.9047619047619051</v>
      </c>
      <c r="AC62" s="20">
        <f>IFERROR('Data- Refined'!$J35/'Support Calculation'!$CK35,IF('Data- Refined'!$J35=0,0,"NA"))</f>
        <v>7</v>
      </c>
      <c r="AD62" s="20">
        <f>IFERROR('Data- Refined'!$K35/'Support Calculation'!$CT35,IF('Data- Refined'!$K35=0,0,"NA"))</f>
        <v>5.5</v>
      </c>
      <c r="AE62" s="20">
        <f>IFERROR('Data- Refined'!$L35/'Support Calculation'!$DC35,IF('Data- Refined'!$L35=0,0,"NA"))</f>
        <v>3.88</v>
      </c>
      <c r="AF62" s="20">
        <f>IFERROR('Data- Refined'!$M35/'Support Calculation'!$DL35,IF('Data- Refined'!$M35=0,0,"NA"))</f>
        <v>7.1875</v>
      </c>
      <c r="AG62" s="20">
        <f>IFERROR('Data- Refined'!$N35/'Support Calculation'!$DU35,IF('Data- Refined'!$N35=0,0,"NA"))</f>
        <v>3</v>
      </c>
      <c r="AH62" s="20">
        <f>IFERROR('Data- Refined'!$O35/'Support Calculation'!$ED35,IF('Data- Refined'!$O35=0,0,"NA"))</f>
        <v>0</v>
      </c>
      <c r="AI62" s="151">
        <f>IFERROR('Data- Refined'!$P35/'Support Calculation'!EM35,IF('Data- Refined'!$P35=0,0,"NA"))</f>
        <v>0</v>
      </c>
      <c r="AJ62" s="151">
        <f>IFERROR('Data- Refined'!$Q35/'Support Calculation'!EV35,IF('Data- Refined'!$Q35=0,0,"NA"))</f>
        <v>0</v>
      </c>
    </row>
    <row r="63" spans="1:36" x14ac:dyDescent="0.35">
      <c r="A63" s="2"/>
      <c r="B63" s="29" t="s">
        <v>52</v>
      </c>
      <c r="C63" s="20">
        <f>IFERROR('Data- Refined'!$B36/'Support Calculation'!$Q36,'Data- Refined'!$B36)</f>
        <v>0</v>
      </c>
      <c r="D63" s="20">
        <f>IFERROR('Data- Refined'!$C36/'Support Calculation'!$Z36,'Data- Refined'!$C36)</f>
        <v>0</v>
      </c>
      <c r="E63" s="20">
        <f>IFERROR('Data- Refined'!$D36/'Support Calculation'!$AI36,'Data- Refined'!$D36)</f>
        <v>0</v>
      </c>
      <c r="F63" s="20">
        <f>IFERROR('Data- Refined'!$E36/'Support Calculation'!$AR36,'Data- Refined'!$E36)</f>
        <v>10</v>
      </c>
      <c r="G63" s="20">
        <f>IFERROR('Data- Refined'!$F36/'Support Calculation'!$BA36,'Data- Refined'!$F36)</f>
        <v>10.5</v>
      </c>
      <c r="H63" s="20">
        <f>IFERROR('Data- Refined'!$G36/'Support Calculation'!$BJ36,'Data- Refined'!$G36)</f>
        <v>13</v>
      </c>
      <c r="I63" s="20">
        <f>IFERROR('Data- Refined'!$H36/'Support Calculation'!$BS36,'Data- Refined'!$H36)</f>
        <v>4.5714285714285712</v>
      </c>
      <c r="J63" s="20">
        <f>IFERROR('Data- Refined'!$I36/'Support Calculation'!$CB36,'Data- Refined'!$I36)</f>
        <v>2.7142857142857144</v>
      </c>
      <c r="K63" s="20">
        <f>IFERROR('Data- Refined'!$J36/'Support Calculation'!$CK36,'Data- Refined'!$J36)</f>
        <v>13</v>
      </c>
      <c r="L63" s="20">
        <f>IFERROR('Data- Refined'!$K36/'Support Calculation'!$CT36,'Data- Refined'!$K36)</f>
        <v>12</v>
      </c>
      <c r="M63" s="20">
        <f>IFERROR('Data- Refined'!$L36/'Support Calculation'!$DC36,'Data- Refined'!$L36)</f>
        <v>3.2</v>
      </c>
      <c r="N63" s="20">
        <f>IFERROR('Data- Refined'!$M36/'Support Calculation'!$DL36,'Data- Refined'!$M36)</f>
        <v>2.5</v>
      </c>
      <c r="O63" s="20">
        <f>IFERROR('Data- Refined'!$N36/'Support Calculation'!$DU36,'Data- Refined'!$N36)</f>
        <v>0.7142857142857143</v>
      </c>
      <c r="P63" s="20">
        <f>IFERROR('Data- Refined'!$O36/'Support Calculation'!$ED36,'Data- Refined'!$O36)</f>
        <v>5.5</v>
      </c>
      <c r="Q63" s="20">
        <f>IFERROR('Data- Refined'!$P36/'Support Calculation'!EM36,'Data- Refined'!$P36)</f>
        <v>10</v>
      </c>
      <c r="R63" s="20">
        <f>IFERROR('Data- Refined'!$Q36/'Support Calculation'!EV36,'Data- Refined'!$Q36)</f>
        <v>8</v>
      </c>
      <c r="T63" s="29" t="s">
        <v>52</v>
      </c>
      <c r="U63" s="20">
        <f>IFERROR('Data- Refined'!$B36/'Support Calculation'!$Q36,IF('Data- Refined'!$B36=0,0,"NA"))</f>
        <v>0</v>
      </c>
      <c r="V63" s="20">
        <f>IFERROR('Data- Refined'!$C36/'Support Calculation'!$Z36,IF('Data- Refined'!$C36=0,0,"NA"))</f>
        <v>0</v>
      </c>
      <c r="W63" s="20">
        <f>IFERROR('Data- Refined'!$D36/'Support Calculation'!$AI36,IF('Data- Refined'!$D36=0,0,"NA"))</f>
        <v>0</v>
      </c>
      <c r="X63" s="20">
        <f>IFERROR('Data- Refined'!$E36/'Support Calculation'!$AR36,IF('Data- Refined'!$E36=0,0,"NA"))</f>
        <v>10</v>
      </c>
      <c r="Y63" s="20">
        <f>IFERROR('Data- Refined'!$F36/'Support Calculation'!$BA36,IF('Data- Refined'!$F36=0,0,"NA"))</f>
        <v>10.5</v>
      </c>
      <c r="Z63" s="20">
        <f>IFERROR('Data- Refined'!$G36/'Support Calculation'!$BJ36,IF('Data- Refined'!$G36=0,0,"NA"))</f>
        <v>13</v>
      </c>
      <c r="AA63" s="20">
        <f>IFERROR('Data- Refined'!$H36/'Support Calculation'!$BS36,IF('Data- Refined'!$H36=0,0,"NA"))</f>
        <v>4.5714285714285712</v>
      </c>
      <c r="AB63" s="20">
        <f>IFERROR('Data- Refined'!$I36/'Support Calculation'!$CB36,IF('Data- Refined'!$I36=0,0,"NA"))</f>
        <v>2.7142857142857144</v>
      </c>
      <c r="AC63" s="20">
        <f>IFERROR('Data- Refined'!$J36/'Support Calculation'!$CK36,IF('Data- Refined'!$J36=0,0,"NA"))</f>
        <v>13</v>
      </c>
      <c r="AD63" s="20">
        <f>IFERROR('Data- Refined'!$K36/'Support Calculation'!$CT36,IF('Data- Refined'!$K36=0,0,"NA"))</f>
        <v>12</v>
      </c>
      <c r="AE63" s="20">
        <f>IFERROR('Data- Refined'!$L36/'Support Calculation'!$DC36,IF('Data- Refined'!$L36=0,0,"NA"))</f>
        <v>3.2</v>
      </c>
      <c r="AF63" s="20">
        <f>IFERROR('Data- Refined'!$M36/'Support Calculation'!$DL36,IF('Data- Refined'!$M36=0,0,"NA"))</f>
        <v>2.5</v>
      </c>
      <c r="AG63" s="20">
        <f>IFERROR('Data- Refined'!$N36/'Support Calculation'!$DU36,IF('Data- Refined'!$N36=0,0,"NA"))</f>
        <v>0.7142857142857143</v>
      </c>
      <c r="AH63" s="20">
        <f>IFERROR('Data- Refined'!$O36/'Support Calculation'!$ED36,IF('Data- Refined'!$O36=0,0,"NA"))</f>
        <v>5.5</v>
      </c>
      <c r="AI63" s="151">
        <f>IFERROR('Data- Refined'!$P36/'Support Calculation'!EM36,IF('Data- Refined'!$P36=0,0,"NA"))</f>
        <v>10</v>
      </c>
      <c r="AJ63" s="151">
        <f>IFERROR('Data- Refined'!$Q36/'Support Calculation'!EV36,IF('Data- Refined'!$Q36=0,0,"NA"))</f>
        <v>8</v>
      </c>
    </row>
    <row r="64" spans="1:36" x14ac:dyDescent="0.35">
      <c r="A64" s="2"/>
      <c r="B64" s="29" t="s">
        <v>53</v>
      </c>
      <c r="C64" s="20">
        <f>IFERROR('Data- Refined'!$B37/'Support Calculation'!$Q37,'Data- Refined'!$B37)</f>
        <v>0</v>
      </c>
      <c r="D64" s="20">
        <f>IFERROR('Data- Refined'!$C37/'Support Calculation'!$Z37,'Data- Refined'!$C37)</f>
        <v>0</v>
      </c>
      <c r="E64" s="20">
        <f>IFERROR('Data- Refined'!$D37/'Support Calculation'!$AI37,'Data- Refined'!$D37)</f>
        <v>0</v>
      </c>
      <c r="F64" s="20">
        <f>IFERROR('Data- Refined'!$E37/'Support Calculation'!$AR37,'Data- Refined'!$E37)</f>
        <v>0</v>
      </c>
      <c r="G64" s="20">
        <f>IFERROR('Data- Refined'!$F37/'Support Calculation'!$BA37,'Data- Refined'!$F37)</f>
        <v>6.6</v>
      </c>
      <c r="H64" s="20">
        <f>IFERROR('Data- Refined'!$G37/'Support Calculation'!$BJ37,'Data- Refined'!$G37)</f>
        <v>7.4</v>
      </c>
      <c r="I64" s="20">
        <f>IFERROR('Data- Refined'!$H37/'Support Calculation'!$BS37,'Data- Refined'!$H37)</f>
        <v>3.4444444444444446</v>
      </c>
      <c r="J64" s="20">
        <f>IFERROR('Data- Refined'!$I37/'Support Calculation'!$CB37,'Data- Refined'!$I37)</f>
        <v>5</v>
      </c>
      <c r="K64" s="20">
        <f>IFERROR('Data- Refined'!$J37/'Support Calculation'!$CK37,'Data- Refined'!$J37)</f>
        <v>14</v>
      </c>
      <c r="L64" s="20">
        <f>IFERROR('Data- Refined'!$K37/'Support Calculation'!$CT37,'Data- Refined'!$K37)</f>
        <v>23</v>
      </c>
      <c r="M64" s="20">
        <f>IFERROR('Data- Refined'!$L37/'Support Calculation'!$DC37,'Data- Refined'!$L37)</f>
        <v>1.7</v>
      </c>
      <c r="N64" s="20">
        <f>IFERROR('Data- Refined'!$M37/'Support Calculation'!$DL37,'Data- Refined'!$M37)</f>
        <v>3.5</v>
      </c>
      <c r="O64" s="20">
        <f>IFERROR('Data- Refined'!$N37/'Support Calculation'!$DU37,'Data- Refined'!$N37)</f>
        <v>1.1111111111111112</v>
      </c>
      <c r="P64" s="20">
        <f>IFERROR('Data- Refined'!$O37/'Support Calculation'!$ED37,'Data- Refined'!$O37)</f>
        <v>1</v>
      </c>
      <c r="Q64" s="20">
        <f>IFERROR('Data- Refined'!$P37/'Support Calculation'!EM37,'Data- Refined'!$P37)</f>
        <v>35</v>
      </c>
      <c r="R64" s="20">
        <f>IFERROR('Data- Refined'!$Q37/'Support Calculation'!EV37,'Data- Refined'!$Q37)</f>
        <v>39</v>
      </c>
      <c r="T64" s="29" t="s">
        <v>53</v>
      </c>
      <c r="U64" s="20">
        <f>IFERROR('Data- Refined'!$B37/'Support Calculation'!$Q37,IF('Data- Refined'!$B37=0,0,"NA"))</f>
        <v>0</v>
      </c>
      <c r="V64" s="20">
        <f>IFERROR('Data- Refined'!$C37/'Support Calculation'!$Z37,IF('Data- Refined'!$C37=0,0,"NA"))</f>
        <v>0</v>
      </c>
      <c r="W64" s="20">
        <f>IFERROR('Data- Refined'!$D37/'Support Calculation'!$AI37,IF('Data- Refined'!$D37=0,0,"NA"))</f>
        <v>0</v>
      </c>
      <c r="X64" s="20">
        <f>IFERROR('Data- Refined'!$E37/'Support Calculation'!$AR37,IF('Data- Refined'!$E37=0,0,"NA"))</f>
        <v>0</v>
      </c>
      <c r="Y64" s="20">
        <f>IFERROR('Data- Refined'!$F37/'Support Calculation'!$BA37,IF('Data- Refined'!$F37=0,0,"NA"))</f>
        <v>6.6</v>
      </c>
      <c r="Z64" s="20">
        <f>IFERROR('Data- Refined'!$G37/'Support Calculation'!$BJ37,IF('Data- Refined'!$G37=0,0,"NA"))</f>
        <v>7.4</v>
      </c>
      <c r="AA64" s="20">
        <f>IFERROR('Data- Refined'!$H37/'Support Calculation'!$BS37,IF('Data- Refined'!$H37=0,0,"NA"))</f>
        <v>3.4444444444444446</v>
      </c>
      <c r="AB64" s="20">
        <f>IFERROR('Data- Refined'!$I37/'Support Calculation'!$CB37,IF('Data- Refined'!$I37=0,0,"NA"))</f>
        <v>5</v>
      </c>
      <c r="AC64" s="20" t="str">
        <f>IFERROR('Data- Refined'!$J37/'Support Calculation'!$CK37,IF('Data- Refined'!$J37=0,0,"NA"))</f>
        <v>NA</v>
      </c>
      <c r="AD64" s="20" t="str">
        <f>IFERROR('Data- Refined'!$K37/'Support Calculation'!$CT37,IF('Data- Refined'!$K37=0,0,"NA"))</f>
        <v>NA</v>
      </c>
      <c r="AE64" s="20">
        <f>IFERROR('Data- Refined'!$L37/'Support Calculation'!$DC37,IF('Data- Refined'!$L37=0,0,"NA"))</f>
        <v>1.7</v>
      </c>
      <c r="AF64" s="20">
        <f>IFERROR('Data- Refined'!$M37/'Support Calculation'!$DL37,IF('Data- Refined'!$M37=0,0,"NA"))</f>
        <v>3.5</v>
      </c>
      <c r="AG64" s="20">
        <f>IFERROR('Data- Refined'!$N37/'Support Calculation'!$DU37,IF('Data- Refined'!$N37=0,0,"NA"))</f>
        <v>1.1111111111111112</v>
      </c>
      <c r="AH64" s="20">
        <f>IFERROR('Data- Refined'!$O37/'Support Calculation'!$ED37,IF('Data- Refined'!$O37=0,0,"NA"))</f>
        <v>1</v>
      </c>
      <c r="AI64" s="151">
        <f>IFERROR('Data- Refined'!$P37/'Support Calculation'!EM37,IF('Data- Refined'!$P37=0,0,"NA"))</f>
        <v>35</v>
      </c>
      <c r="AJ64" s="151">
        <f>IFERROR('Data- Refined'!$Q37/'Support Calculation'!EV37,IF('Data- Refined'!$Q37=0,0,"NA"))</f>
        <v>39</v>
      </c>
    </row>
    <row r="65" spans="1:36" x14ac:dyDescent="0.35">
      <c r="A65" s="2"/>
      <c r="B65" s="29" t="s">
        <v>54</v>
      </c>
      <c r="C65" s="20">
        <f>IFERROR('Data- Refined'!$B38/'Support Calculation'!$Q38,'Data- Refined'!$B38)</f>
        <v>5.2142857142857144</v>
      </c>
      <c r="D65" s="20">
        <f>IFERROR('Data- Refined'!$C38/'Support Calculation'!$Z38,'Data- Refined'!$C38)</f>
        <v>18</v>
      </c>
      <c r="E65" s="20">
        <f>IFERROR('Data- Refined'!$D38/'Support Calculation'!$AI38,'Data- Refined'!$D38)</f>
        <v>19.857142857142858</v>
      </c>
      <c r="F65" s="20">
        <f>IFERROR('Data- Refined'!$E38/'Support Calculation'!$AR38,'Data- Refined'!$E38)</f>
        <v>12.954545454545455</v>
      </c>
      <c r="G65" s="20">
        <f>IFERROR('Data- Refined'!$F38/'Support Calculation'!$BA38,'Data- Refined'!$F38)</f>
        <v>12.090909090909092</v>
      </c>
      <c r="H65" s="20">
        <f>IFERROR('Data- Refined'!$G38/'Support Calculation'!$BJ38,'Data- Refined'!$G38)</f>
        <v>10.75</v>
      </c>
      <c r="I65" s="20">
        <f>IFERROR('Data- Refined'!$H38/'Support Calculation'!$BS38,'Data- Refined'!$H38)</f>
        <v>12.176470588235293</v>
      </c>
      <c r="J65" s="20">
        <f>IFERROR('Data- Refined'!$I38/'Support Calculation'!$CB38,'Data- Refined'!$I38)</f>
        <v>17.333333333333332</v>
      </c>
      <c r="K65" s="20">
        <f>IFERROR('Data- Refined'!$J38/'Support Calculation'!$CK38,'Data- Refined'!$J38)</f>
        <v>10.428571428571429</v>
      </c>
      <c r="L65" s="20">
        <f>IFERROR('Data- Refined'!$K38/'Support Calculation'!$CT38,'Data- Refined'!$K38)</f>
        <v>6.8125</v>
      </c>
      <c r="M65" s="20">
        <f>IFERROR('Data- Refined'!$L38/'Support Calculation'!$DC38,'Data- Refined'!$L38)</f>
        <v>10.285714285714286</v>
      </c>
      <c r="N65" s="20">
        <f>IFERROR('Data- Refined'!$M38/'Support Calculation'!$DL38,'Data- Refined'!$M38)</f>
        <v>13.727272727272727</v>
      </c>
      <c r="O65" s="20">
        <f>IFERROR('Data- Refined'!$N38/'Support Calculation'!$DU38,'Data- Refined'!$N38)</f>
        <v>7.0588235294117645</v>
      </c>
      <c r="P65" s="20">
        <f>IFERROR('Data- Refined'!$O38/'Support Calculation'!$ED38,'Data- Refined'!$O38)</f>
        <v>0</v>
      </c>
      <c r="Q65" s="20">
        <f>IFERROR('Data- Refined'!$P38/'Support Calculation'!EM38,'Data- Refined'!$P38)</f>
        <v>0</v>
      </c>
      <c r="R65" s="20">
        <f>IFERROR('Data- Refined'!$Q38/'Support Calculation'!EV38,'Data- Refined'!$Q38)</f>
        <v>0</v>
      </c>
      <c r="T65" s="29" t="s">
        <v>54</v>
      </c>
      <c r="U65" s="20">
        <f>IFERROR('Data- Refined'!$B38/'Support Calculation'!$Q38,IF('Data- Refined'!$B38=0,0,"NA"))</f>
        <v>5.2142857142857144</v>
      </c>
      <c r="V65" s="20">
        <f>IFERROR('Data- Refined'!$C38/'Support Calculation'!$Z38,IF('Data- Refined'!$C38=0,0,"NA"))</f>
        <v>18</v>
      </c>
      <c r="W65" s="20">
        <f>IFERROR('Data- Refined'!$D38/'Support Calculation'!$AI38,IF('Data- Refined'!$D38=0,0,"NA"))</f>
        <v>19.857142857142858</v>
      </c>
      <c r="X65" s="20">
        <f>IFERROR('Data- Refined'!$E38/'Support Calculation'!$AR38,IF('Data- Refined'!$E38=0,0,"NA"))</f>
        <v>12.954545454545455</v>
      </c>
      <c r="Y65" s="20">
        <f>IFERROR('Data- Refined'!$F38/'Support Calculation'!$BA38,IF('Data- Refined'!$F38=0,0,"NA"))</f>
        <v>12.090909090909092</v>
      </c>
      <c r="Z65" s="20">
        <f>IFERROR('Data- Refined'!$G38/'Support Calculation'!$BJ38,IF('Data- Refined'!$G38=0,0,"NA"))</f>
        <v>10.75</v>
      </c>
      <c r="AA65" s="20">
        <f>IFERROR('Data- Refined'!$H38/'Support Calculation'!$BS38,IF('Data- Refined'!$H38=0,0,"NA"))</f>
        <v>12.176470588235293</v>
      </c>
      <c r="AB65" s="20">
        <f>IFERROR('Data- Refined'!$I38/'Support Calculation'!$CB38,IF('Data- Refined'!$I38=0,0,"NA"))</f>
        <v>17.333333333333332</v>
      </c>
      <c r="AC65" s="20">
        <f>IFERROR('Data- Refined'!$J38/'Support Calculation'!$CK38,IF('Data- Refined'!$J38=0,0,"NA"))</f>
        <v>10.428571428571429</v>
      </c>
      <c r="AD65" s="20">
        <f>IFERROR('Data- Refined'!$K38/'Support Calculation'!$CT38,IF('Data- Refined'!$K38=0,0,"NA"))</f>
        <v>6.8125</v>
      </c>
      <c r="AE65" s="20">
        <f>IFERROR('Data- Refined'!$L38/'Support Calculation'!$DC38,IF('Data- Refined'!$L38=0,0,"NA"))</f>
        <v>10.285714285714286</v>
      </c>
      <c r="AF65" s="20">
        <f>IFERROR('Data- Refined'!$M38/'Support Calculation'!$DL38,IF('Data- Refined'!$M38=0,0,"NA"))</f>
        <v>13.727272727272727</v>
      </c>
      <c r="AG65" s="20">
        <f>IFERROR('Data- Refined'!$N38/'Support Calculation'!$DU38,IF('Data- Refined'!$N38=0,0,"NA"))</f>
        <v>7.0588235294117645</v>
      </c>
      <c r="AH65" s="20">
        <f>IFERROR('Data- Refined'!$O38/'Support Calculation'!$ED38,IF('Data- Refined'!$O38=0,0,"NA"))</f>
        <v>0</v>
      </c>
      <c r="AI65" s="151">
        <f>IFERROR('Data- Refined'!$P38/'Support Calculation'!EM38,IF('Data- Refined'!$P38=0,0,"NA"))</f>
        <v>0</v>
      </c>
      <c r="AJ65" s="151">
        <f>IFERROR('Data- Refined'!$Q38/'Support Calculation'!EV38,IF('Data- Refined'!$Q38=0,0,"NA"))</f>
        <v>0</v>
      </c>
    </row>
    <row r="66" spans="1:36" x14ac:dyDescent="0.35">
      <c r="A66" s="2"/>
      <c r="B66" s="29" t="s">
        <v>55</v>
      </c>
      <c r="C66" s="20">
        <f>IFERROR('Data- Refined'!$B39/'Support Calculation'!$Q39,'Data- Refined'!$B39)</f>
        <v>3.3333333333333335</v>
      </c>
      <c r="D66" s="20">
        <f>IFERROR('Data- Refined'!$C39/'Support Calculation'!$Z39,'Data- Refined'!$C39)</f>
        <v>10.545454545454545</v>
      </c>
      <c r="E66" s="20">
        <f>IFERROR('Data- Refined'!$D39/'Support Calculation'!$AI39,'Data- Refined'!$D39)</f>
        <v>13.777777777777779</v>
      </c>
      <c r="F66" s="20">
        <f>IFERROR('Data- Refined'!$E39/'Support Calculation'!$AR39,'Data- Refined'!$E39)</f>
        <v>7.6875</v>
      </c>
      <c r="G66" s="20">
        <f>IFERROR('Data- Refined'!$F39/'Support Calculation'!$BA39,'Data- Refined'!$F39)</f>
        <v>7</v>
      </c>
      <c r="H66" s="20">
        <f>IFERROR('Data- Refined'!$G39/'Support Calculation'!$BJ39,'Data- Refined'!$G39)</f>
        <v>6.1875</v>
      </c>
      <c r="I66" s="20">
        <f>IFERROR('Data- Refined'!$H39/'Support Calculation'!$BS39,'Data- Refined'!$H39)</f>
        <v>5.7777777777777777</v>
      </c>
      <c r="J66" s="20">
        <f>IFERROR('Data- Refined'!$I39/'Support Calculation'!$CB39,'Data- Refined'!$I39)</f>
        <v>7.2222222222222223</v>
      </c>
      <c r="K66" s="20">
        <f>IFERROR('Data- Refined'!$J39/'Support Calculation'!$CK39,'Data- Refined'!$J39)</f>
        <v>7.8888888888888893</v>
      </c>
      <c r="L66" s="20">
        <f>IFERROR('Data- Refined'!$K39/'Support Calculation'!$CT39,'Data- Refined'!$K39)</f>
        <v>3.9090909090909092</v>
      </c>
      <c r="M66" s="20">
        <f>IFERROR('Data- Refined'!$L39/'Support Calculation'!$DC39,'Data- Refined'!$L39)</f>
        <v>7.4444444444444446</v>
      </c>
      <c r="N66" s="20">
        <f>IFERROR('Data- Refined'!$M39/'Support Calculation'!$DL39,'Data- Refined'!$M39)</f>
        <v>13.2</v>
      </c>
      <c r="O66" s="20">
        <f>IFERROR('Data- Refined'!$N39/'Support Calculation'!$DU39,'Data- Refined'!$N39)</f>
        <v>5.2222222222222223</v>
      </c>
      <c r="P66" s="20">
        <f>IFERROR('Data- Refined'!$O39/'Support Calculation'!$ED39,'Data- Refined'!$O39)</f>
        <v>0</v>
      </c>
      <c r="Q66" s="20">
        <f>IFERROR('Data- Refined'!$P39/'Support Calculation'!EM39,'Data- Refined'!$P39)</f>
        <v>0</v>
      </c>
      <c r="R66" s="20">
        <f>IFERROR('Data- Refined'!$Q39/'Support Calculation'!EV39,'Data- Refined'!$Q39)</f>
        <v>0</v>
      </c>
      <c r="T66" s="29" t="s">
        <v>55</v>
      </c>
      <c r="U66" s="20">
        <f>IFERROR('Data- Refined'!$B39/'Support Calculation'!$Q39,IF('Data- Refined'!$B39=0,0,"NA"))</f>
        <v>3.3333333333333335</v>
      </c>
      <c r="V66" s="20">
        <f>IFERROR('Data- Refined'!$C39/'Support Calculation'!$Z39,IF('Data- Refined'!$C39=0,0,"NA"))</f>
        <v>10.545454545454545</v>
      </c>
      <c r="W66" s="20">
        <f>IFERROR('Data- Refined'!$D39/'Support Calculation'!$AI39,IF('Data- Refined'!$D39=0,0,"NA"))</f>
        <v>13.777777777777779</v>
      </c>
      <c r="X66" s="20">
        <f>IFERROR('Data- Refined'!$E39/'Support Calculation'!$AR39,IF('Data- Refined'!$E39=0,0,"NA"))</f>
        <v>7.6875</v>
      </c>
      <c r="Y66" s="20">
        <f>IFERROR('Data- Refined'!$F39/'Support Calculation'!$BA39,IF('Data- Refined'!$F39=0,0,"NA"))</f>
        <v>7</v>
      </c>
      <c r="Z66" s="20">
        <f>IFERROR('Data- Refined'!$G39/'Support Calculation'!$BJ39,IF('Data- Refined'!$G39=0,0,"NA"))</f>
        <v>6.1875</v>
      </c>
      <c r="AA66" s="20">
        <f>IFERROR('Data- Refined'!$H39/'Support Calculation'!$BS39,IF('Data- Refined'!$H39=0,0,"NA"))</f>
        <v>5.7777777777777777</v>
      </c>
      <c r="AB66" s="20">
        <f>IFERROR('Data- Refined'!$I39/'Support Calculation'!$CB39,IF('Data- Refined'!$I39=0,0,"NA"))</f>
        <v>7.2222222222222223</v>
      </c>
      <c r="AC66" s="20">
        <f>IFERROR('Data- Refined'!$J39/'Support Calculation'!$CK39,IF('Data- Refined'!$J39=0,0,"NA"))</f>
        <v>7.8888888888888893</v>
      </c>
      <c r="AD66" s="20">
        <f>IFERROR('Data- Refined'!$K39/'Support Calculation'!$CT39,IF('Data- Refined'!$K39=0,0,"NA"))</f>
        <v>3.9090909090909092</v>
      </c>
      <c r="AE66" s="20">
        <f>IFERROR('Data- Refined'!$L39/'Support Calculation'!$DC39,IF('Data- Refined'!$L39=0,0,"NA"))</f>
        <v>7.4444444444444446</v>
      </c>
      <c r="AF66" s="20">
        <f>IFERROR('Data- Refined'!$M39/'Support Calculation'!$DL39,IF('Data- Refined'!$M39=0,0,"NA"))</f>
        <v>13.2</v>
      </c>
      <c r="AG66" s="20">
        <f>IFERROR('Data- Refined'!$N39/'Support Calculation'!$DU39,IF('Data- Refined'!$N39=0,0,"NA"))</f>
        <v>5.2222222222222223</v>
      </c>
      <c r="AH66" s="20">
        <f>IFERROR('Data- Refined'!$O39/'Support Calculation'!$ED39,IF('Data- Refined'!$O39=0,0,"NA"))</f>
        <v>0</v>
      </c>
      <c r="AI66" s="151">
        <f>IFERROR('Data- Refined'!$P39/'Support Calculation'!EM39,IF('Data- Refined'!$P39=0,0,"NA"))</f>
        <v>0</v>
      </c>
      <c r="AJ66" s="151">
        <f>IFERROR('Data- Refined'!$Q39/'Support Calculation'!EV39,IF('Data- Refined'!$Q39=0,0,"NA"))</f>
        <v>0</v>
      </c>
    </row>
    <row r="67" spans="1:36" x14ac:dyDescent="0.35">
      <c r="A67" s="2"/>
      <c r="B67" s="29" t="s">
        <v>56</v>
      </c>
      <c r="C67" s="20">
        <f>IFERROR('Data- Refined'!$B40/'Support Calculation'!$Q40,'Data- Refined'!$B40)</f>
        <v>0</v>
      </c>
      <c r="D67" s="20">
        <f>IFERROR('Data- Refined'!$C40/'Support Calculation'!$Z40,'Data- Refined'!$C40)</f>
        <v>0</v>
      </c>
      <c r="E67" s="20">
        <f>IFERROR('Data- Refined'!$D40/'Support Calculation'!$AI40,'Data- Refined'!$D40)</f>
        <v>14.333333333333334</v>
      </c>
      <c r="F67" s="20">
        <f>IFERROR('Data- Refined'!$E40/'Support Calculation'!$AR40,'Data- Refined'!$E40)</f>
        <v>6.2</v>
      </c>
      <c r="G67" s="20">
        <f>IFERROR('Data- Refined'!$F40/'Support Calculation'!$BA40,'Data- Refined'!$F40)</f>
        <v>10.75</v>
      </c>
      <c r="H67" s="20">
        <f>IFERROR('Data- Refined'!$G40/'Support Calculation'!$BJ40,'Data- Refined'!$G40)</f>
        <v>8.6</v>
      </c>
      <c r="I67" s="20">
        <f>IFERROR('Data- Refined'!$H40/'Support Calculation'!$BS40,'Data- Refined'!$H40)</f>
        <v>10</v>
      </c>
      <c r="J67" s="20">
        <f>IFERROR('Data- Refined'!$I40/'Support Calculation'!$CB40,'Data- Refined'!$I40)</f>
        <v>11.5</v>
      </c>
      <c r="K67" s="20">
        <f>IFERROR('Data- Refined'!$J40/'Support Calculation'!$CK40,'Data- Refined'!$J40)</f>
        <v>5</v>
      </c>
      <c r="L67" s="20">
        <f>IFERROR('Data- Refined'!$K40/'Support Calculation'!$CT40,'Data- Refined'!$K40)</f>
        <v>3.25</v>
      </c>
      <c r="M67" s="20">
        <f>IFERROR('Data- Refined'!$L40/'Support Calculation'!$DC40,'Data- Refined'!$L40)</f>
        <v>4</v>
      </c>
      <c r="N67" s="20">
        <f>IFERROR('Data- Refined'!$M40/'Support Calculation'!$DL40,'Data- Refined'!$M40)</f>
        <v>3</v>
      </c>
      <c r="O67" s="20">
        <f>IFERROR('Data- Refined'!$N40/'Support Calculation'!$DU40,'Data- Refined'!$N40)</f>
        <v>10.333333333333334</v>
      </c>
      <c r="P67" s="20">
        <f>IFERROR('Data- Refined'!$O40/'Support Calculation'!$ED40,'Data- Refined'!$O40)</f>
        <v>10.666666666666666</v>
      </c>
      <c r="Q67" s="20">
        <f>IFERROR('Data- Refined'!$P40/'Support Calculation'!EM40,'Data- Refined'!$P40)</f>
        <v>24</v>
      </c>
      <c r="R67" s="20">
        <f>IFERROR('Data- Refined'!$Q40/'Support Calculation'!EV40,'Data- Refined'!$Q40)</f>
        <v>0</v>
      </c>
      <c r="T67" s="29" t="s">
        <v>56</v>
      </c>
      <c r="U67" s="20">
        <f>IFERROR('Data- Refined'!$B40/'Support Calculation'!$Q40,IF('Data- Refined'!$B40=0,0,"NA"))</f>
        <v>0</v>
      </c>
      <c r="V67" s="20">
        <f>IFERROR('Data- Refined'!$C40/'Support Calculation'!$Z40,IF('Data- Refined'!$C40=0,0,"NA"))</f>
        <v>0</v>
      </c>
      <c r="W67" s="20">
        <f>IFERROR('Data- Refined'!$D40/'Support Calculation'!$AI40,IF('Data- Refined'!$D40=0,0,"NA"))</f>
        <v>14.333333333333334</v>
      </c>
      <c r="X67" s="20">
        <f>IFERROR('Data- Refined'!$E40/'Support Calculation'!$AR40,IF('Data- Refined'!$E40=0,0,"NA"))</f>
        <v>6.2</v>
      </c>
      <c r="Y67" s="20">
        <f>IFERROR('Data- Refined'!$F40/'Support Calculation'!$BA40,IF('Data- Refined'!$F40=0,0,"NA"))</f>
        <v>10.75</v>
      </c>
      <c r="Z67" s="20">
        <f>IFERROR('Data- Refined'!$G40/'Support Calculation'!$BJ40,IF('Data- Refined'!$G40=0,0,"NA"))</f>
        <v>8.6</v>
      </c>
      <c r="AA67" s="20">
        <f>IFERROR('Data- Refined'!$H40/'Support Calculation'!$BS40,IF('Data- Refined'!$H40=0,0,"NA"))</f>
        <v>10</v>
      </c>
      <c r="AB67" s="20">
        <f>IFERROR('Data- Refined'!$I40/'Support Calculation'!$CB40,IF('Data- Refined'!$I40=0,0,"NA"))</f>
        <v>11.5</v>
      </c>
      <c r="AC67" s="20">
        <f>IFERROR('Data- Refined'!$J40/'Support Calculation'!$CK40,IF('Data- Refined'!$J40=0,0,"NA"))</f>
        <v>5</v>
      </c>
      <c r="AD67" s="20">
        <f>IFERROR('Data- Refined'!$K40/'Support Calculation'!$CT40,IF('Data- Refined'!$K40=0,0,"NA"))</f>
        <v>3.25</v>
      </c>
      <c r="AE67" s="20">
        <f>IFERROR('Data- Refined'!$L40/'Support Calculation'!$DC40,IF('Data- Refined'!$L40=0,0,"NA"))</f>
        <v>4</v>
      </c>
      <c r="AF67" s="20">
        <f>IFERROR('Data- Refined'!$M40/'Support Calculation'!$DL40,IF('Data- Refined'!$M40=0,0,"NA"))</f>
        <v>3</v>
      </c>
      <c r="AG67" s="20">
        <f>IFERROR('Data- Refined'!$N40/'Support Calculation'!$DU40,IF('Data- Refined'!$N40=0,0,"NA"))</f>
        <v>10.333333333333334</v>
      </c>
      <c r="AH67" s="20">
        <f>IFERROR('Data- Refined'!$O40/'Support Calculation'!$ED40,IF('Data- Refined'!$O40=0,0,"NA"))</f>
        <v>10.666666666666666</v>
      </c>
      <c r="AI67" s="151">
        <f>IFERROR('Data- Refined'!$P40/'Support Calculation'!EM40,IF('Data- Refined'!$P40=0,0,"NA"))</f>
        <v>24</v>
      </c>
      <c r="AJ67" s="151">
        <f>IFERROR('Data- Refined'!$Q40/'Support Calculation'!EV40,IF('Data- Refined'!$Q40=0,0,"NA"))</f>
        <v>0</v>
      </c>
    </row>
    <row r="68" spans="1:36" x14ac:dyDescent="0.35">
      <c r="A68" s="2"/>
      <c r="B68" s="29" t="s">
        <v>57</v>
      </c>
      <c r="C68" s="20">
        <f>IFERROR('Data- Refined'!$B41/'Support Calculation'!$Q41,'Data- Refined'!$B41)</f>
        <v>0</v>
      </c>
      <c r="D68" s="20">
        <f>IFERROR('Data- Refined'!$C41/'Support Calculation'!$Z41,'Data- Refined'!$C41)</f>
        <v>0</v>
      </c>
      <c r="E68" s="20">
        <f>IFERROR('Data- Refined'!$D41/'Support Calculation'!$AI41,'Data- Refined'!$D41)</f>
        <v>7</v>
      </c>
      <c r="F68" s="20">
        <f>IFERROR('Data- Refined'!$E41/'Support Calculation'!$AR41,'Data- Refined'!$E41)</f>
        <v>5.5</v>
      </c>
      <c r="G68" s="20">
        <f>IFERROR('Data- Refined'!$F41/'Support Calculation'!$BA41,'Data- Refined'!$F41)</f>
        <v>5.0666666666666664</v>
      </c>
      <c r="H68" s="20">
        <f>IFERROR('Data- Refined'!$G41/'Support Calculation'!$BJ41,'Data- Refined'!$G41)</f>
        <v>4.9333333333333336</v>
      </c>
      <c r="I68" s="20">
        <f>IFERROR('Data- Refined'!$H41/'Support Calculation'!$BS41,'Data- Refined'!$H41)</f>
        <v>4.6428571428571432</v>
      </c>
      <c r="J68" s="20">
        <f>IFERROR('Data- Refined'!$I41/'Support Calculation'!$CB41,'Data- Refined'!$I41)</f>
        <v>3.2307692307692308</v>
      </c>
      <c r="K68" s="20">
        <f>IFERROR('Data- Refined'!$J41/'Support Calculation'!$CK41,'Data- Refined'!$J41)</f>
        <v>6.5</v>
      </c>
      <c r="L68" s="20">
        <f>IFERROR('Data- Refined'!$K41/'Support Calculation'!$CT41,'Data- Refined'!$K41)</f>
        <v>5.875</v>
      </c>
      <c r="M68" s="20">
        <f>IFERROR('Data- Refined'!$L41/'Support Calculation'!$DC41,'Data- Refined'!$L41)</f>
        <v>2.0714285714285716</v>
      </c>
      <c r="N68" s="20">
        <f>IFERROR('Data- Refined'!$M41/'Support Calculation'!$DL41,'Data- Refined'!$M41)</f>
        <v>3</v>
      </c>
      <c r="O68" s="20">
        <f>IFERROR('Data- Refined'!$N41/'Support Calculation'!$DU41,'Data- Refined'!$N41)</f>
        <v>3.1428571428571428</v>
      </c>
      <c r="P68" s="20">
        <f>IFERROR('Data- Refined'!$O41/'Support Calculation'!$ED41,'Data- Refined'!$O41)</f>
        <v>3.5714285714285716</v>
      </c>
      <c r="Q68" s="20">
        <f>IFERROR('Data- Refined'!$P41/'Support Calculation'!EM41,'Data- Refined'!$P41)</f>
        <v>6.833333333333333</v>
      </c>
      <c r="R68" s="20">
        <f>IFERROR('Data- Refined'!$Q41/'Support Calculation'!EV41,'Data- Refined'!$Q41)</f>
        <v>0</v>
      </c>
      <c r="T68" s="29" t="s">
        <v>57</v>
      </c>
      <c r="U68" s="20">
        <f>IFERROR('Data- Refined'!$B41/'Support Calculation'!$Q41,IF('Data- Refined'!$B41=0,0,"NA"))</f>
        <v>0</v>
      </c>
      <c r="V68" s="20">
        <f>IFERROR('Data- Refined'!$C41/'Support Calculation'!$Z41,IF('Data- Refined'!$C41=0,0,"NA"))</f>
        <v>0</v>
      </c>
      <c r="W68" s="20">
        <f>IFERROR('Data- Refined'!$D41/'Support Calculation'!$AI41,IF('Data- Refined'!$D41=0,0,"NA"))</f>
        <v>7</v>
      </c>
      <c r="X68" s="20">
        <f>IFERROR('Data- Refined'!$E41/'Support Calculation'!$AR41,IF('Data- Refined'!$E41=0,0,"NA"))</f>
        <v>5.5</v>
      </c>
      <c r="Y68" s="20">
        <f>IFERROR('Data- Refined'!$F41/'Support Calculation'!$BA41,IF('Data- Refined'!$F41=0,0,"NA"))</f>
        <v>5.0666666666666664</v>
      </c>
      <c r="Z68" s="20">
        <f>IFERROR('Data- Refined'!$G41/'Support Calculation'!$BJ41,IF('Data- Refined'!$G41=0,0,"NA"))</f>
        <v>4.9333333333333336</v>
      </c>
      <c r="AA68" s="20">
        <f>IFERROR('Data- Refined'!$H41/'Support Calculation'!$BS41,IF('Data- Refined'!$H41=0,0,"NA"))</f>
        <v>4.6428571428571432</v>
      </c>
      <c r="AB68" s="20">
        <f>IFERROR('Data- Refined'!$I41/'Support Calculation'!$CB41,IF('Data- Refined'!$I41=0,0,"NA"))</f>
        <v>3.2307692307692308</v>
      </c>
      <c r="AC68" s="20">
        <f>IFERROR('Data- Refined'!$J41/'Support Calculation'!$CK41,IF('Data- Refined'!$J41=0,0,"NA"))</f>
        <v>6.5</v>
      </c>
      <c r="AD68" s="20">
        <f>IFERROR('Data- Refined'!$K41/'Support Calculation'!$CT41,IF('Data- Refined'!$K41=0,0,"NA"))</f>
        <v>5.875</v>
      </c>
      <c r="AE68" s="20">
        <f>IFERROR('Data- Refined'!$L41/'Support Calculation'!$DC41,IF('Data- Refined'!$L41=0,0,"NA"))</f>
        <v>2.0714285714285716</v>
      </c>
      <c r="AF68" s="20">
        <f>IFERROR('Data- Refined'!$M41/'Support Calculation'!$DL41,IF('Data- Refined'!$M41=0,0,"NA"))</f>
        <v>3</v>
      </c>
      <c r="AG68" s="20">
        <f>IFERROR('Data- Refined'!$N41/'Support Calculation'!$DU41,IF('Data- Refined'!$N41=0,0,"NA"))</f>
        <v>3.1428571428571428</v>
      </c>
      <c r="AH68" s="20">
        <f>IFERROR('Data- Refined'!$O41/'Support Calculation'!$ED41,IF('Data- Refined'!$O41=0,0,"NA"))</f>
        <v>3.5714285714285716</v>
      </c>
      <c r="AI68" s="151">
        <f>IFERROR('Data- Refined'!$P41/'Support Calculation'!EM41,IF('Data- Refined'!$P41=0,0,"NA"))</f>
        <v>6.833333333333333</v>
      </c>
      <c r="AJ68" s="151">
        <f>IFERROR('Data- Refined'!$Q41/'Support Calculation'!EV41,IF('Data- Refined'!$Q41=0,0,"NA"))</f>
        <v>0</v>
      </c>
    </row>
    <row r="69" spans="1:36" x14ac:dyDescent="0.35">
      <c r="A69" s="2"/>
      <c r="B69" s="29" t="s">
        <v>58</v>
      </c>
      <c r="C69" s="20">
        <f>IFERROR('Data- Refined'!$B42/'Support Calculation'!$Q42,'Data- Refined'!$B42)</f>
        <v>2.1111111111111112</v>
      </c>
      <c r="D69" s="20">
        <f>IFERROR('Data- Refined'!$C42/'Support Calculation'!$Z42,'Data- Refined'!$C42)</f>
        <v>9.875</v>
      </c>
      <c r="E69" s="20">
        <f>IFERROR('Data- Refined'!$D42/'Support Calculation'!$AI42,'Data- Refined'!$D42)</f>
        <v>9.7777777777777786</v>
      </c>
      <c r="F69" s="20">
        <f>IFERROR('Data- Refined'!$E42/'Support Calculation'!$AR42,'Data- Refined'!$E42)</f>
        <v>7.4615384615384617</v>
      </c>
      <c r="G69" s="20">
        <f>IFERROR('Data- Refined'!$F42/'Support Calculation'!$BA42,'Data- Refined'!$F42)</f>
        <v>6.0333333333333332</v>
      </c>
      <c r="H69" s="20">
        <f>IFERROR('Data- Refined'!$G42/'Support Calculation'!$BJ42,'Data- Refined'!$G42)</f>
        <v>5.1785714285714288</v>
      </c>
      <c r="I69" s="20">
        <f>IFERROR('Data- Refined'!$H42/'Support Calculation'!$BS42,'Data- Refined'!$H42)</f>
        <v>7.0952380952380949</v>
      </c>
      <c r="J69" s="20">
        <f>IFERROR('Data- Refined'!$I42/'Support Calculation'!$CB42,'Data- Refined'!$I42)</f>
        <v>5.6315789473684212</v>
      </c>
      <c r="K69" s="20">
        <f>IFERROR('Data- Refined'!$J42/'Support Calculation'!$CK42,'Data- Refined'!$J42)</f>
        <v>6.0555555555555554</v>
      </c>
      <c r="L69" s="20">
        <f>IFERROR('Data- Refined'!$K42/'Support Calculation'!$CT42,'Data- Refined'!$K42)</f>
        <v>4.625</v>
      </c>
      <c r="M69" s="20">
        <f>IFERROR('Data- Refined'!$L42/'Support Calculation'!$DC42,'Data- Refined'!$L42)</f>
        <v>4.0952380952380949</v>
      </c>
      <c r="N69" s="20">
        <f>IFERROR('Data- Refined'!$M42/'Support Calculation'!$DL42,'Data- Refined'!$M42)</f>
        <v>7.25</v>
      </c>
      <c r="O69" s="20">
        <f>IFERROR('Data- Refined'!$N42/'Support Calculation'!$DU42,'Data- Refined'!$N42)</f>
        <v>3.0476190476190474</v>
      </c>
      <c r="P69" s="20">
        <f>IFERROR('Data- Refined'!$O42/'Support Calculation'!$ED42,'Data- Refined'!$O42)</f>
        <v>0</v>
      </c>
      <c r="Q69" s="20">
        <f>IFERROR('Data- Refined'!$P42/'Support Calculation'!EM42,'Data- Refined'!$P42)</f>
        <v>0</v>
      </c>
      <c r="R69" s="20">
        <f>IFERROR('Data- Refined'!$Q42/'Support Calculation'!EV42,'Data- Refined'!$Q42)</f>
        <v>0</v>
      </c>
      <c r="T69" s="29" t="s">
        <v>58</v>
      </c>
      <c r="U69" s="20">
        <f>IFERROR('Data- Refined'!$B42/'Support Calculation'!$Q42,IF('Data- Refined'!$B42=0,0,"NA"))</f>
        <v>2.1111111111111112</v>
      </c>
      <c r="V69" s="20">
        <f>IFERROR('Data- Refined'!$C42/'Support Calculation'!$Z42,IF('Data- Refined'!$C42=0,0,"NA"))</f>
        <v>9.875</v>
      </c>
      <c r="W69" s="20">
        <f>IFERROR('Data- Refined'!$D42/'Support Calculation'!$AI42,IF('Data- Refined'!$D42=0,0,"NA"))</f>
        <v>9.7777777777777786</v>
      </c>
      <c r="X69" s="20">
        <f>IFERROR('Data- Refined'!$E42/'Support Calculation'!$AR42,IF('Data- Refined'!$E42=0,0,"NA"))</f>
        <v>7.4615384615384617</v>
      </c>
      <c r="Y69" s="20">
        <f>IFERROR('Data- Refined'!$F42/'Support Calculation'!$BA42,IF('Data- Refined'!$F42=0,0,"NA"))</f>
        <v>6.0333333333333332</v>
      </c>
      <c r="Z69" s="20">
        <f>IFERROR('Data- Refined'!$G42/'Support Calculation'!$BJ42,IF('Data- Refined'!$G42=0,0,"NA"))</f>
        <v>5.1785714285714288</v>
      </c>
      <c r="AA69" s="20">
        <f>IFERROR('Data- Refined'!$H42/'Support Calculation'!$BS42,IF('Data- Refined'!$H42=0,0,"NA"))</f>
        <v>7.0952380952380949</v>
      </c>
      <c r="AB69" s="20">
        <f>IFERROR('Data- Refined'!$I42/'Support Calculation'!$CB42,IF('Data- Refined'!$I42=0,0,"NA"))</f>
        <v>5.6315789473684212</v>
      </c>
      <c r="AC69" s="20">
        <f>IFERROR('Data- Refined'!$J42/'Support Calculation'!$CK42,IF('Data- Refined'!$J42=0,0,"NA"))</f>
        <v>6.0555555555555554</v>
      </c>
      <c r="AD69" s="20">
        <f>IFERROR('Data- Refined'!$K42/'Support Calculation'!$CT42,IF('Data- Refined'!$K42=0,0,"NA"))</f>
        <v>4.625</v>
      </c>
      <c r="AE69" s="20">
        <f>IFERROR('Data- Refined'!$L42/'Support Calculation'!$DC42,IF('Data- Refined'!$L42=0,0,"NA"))</f>
        <v>4.0952380952380949</v>
      </c>
      <c r="AF69" s="20">
        <f>IFERROR('Data- Refined'!$M42/'Support Calculation'!$DL42,IF('Data- Refined'!$M42=0,0,"NA"))</f>
        <v>7.25</v>
      </c>
      <c r="AG69" s="20">
        <f>IFERROR('Data- Refined'!$N42/'Support Calculation'!$DU42,IF('Data- Refined'!$N42=0,0,"NA"))</f>
        <v>3.0476190476190474</v>
      </c>
      <c r="AH69" s="20">
        <f>IFERROR('Data- Refined'!$O42/'Support Calculation'!$ED42,IF('Data- Refined'!$O42=0,0,"NA"))</f>
        <v>0</v>
      </c>
      <c r="AI69" s="151">
        <f>IFERROR('Data- Refined'!$P42/'Support Calculation'!EM42,IF('Data- Refined'!$P42=0,0,"NA"))</f>
        <v>0</v>
      </c>
      <c r="AJ69" s="151">
        <f>IFERROR('Data- Refined'!$Q42/'Support Calculation'!EV42,IF('Data- Refined'!$Q42=0,0,"NA"))</f>
        <v>0</v>
      </c>
    </row>
    <row r="70" spans="1:36" x14ac:dyDescent="0.35">
      <c r="A70" s="2"/>
      <c r="B70" s="29" t="s">
        <v>59</v>
      </c>
      <c r="C70" s="20">
        <f>IFERROR('Data- Refined'!$B43/'Support Calculation'!$Q43,'Data- Refined'!$B43)</f>
        <v>0</v>
      </c>
      <c r="D70" s="20">
        <f>IFERROR('Data- Refined'!$C43/'Support Calculation'!$Z43,'Data- Refined'!$C43)</f>
        <v>0</v>
      </c>
      <c r="E70" s="20">
        <f>IFERROR('Data- Refined'!$D43/'Support Calculation'!$AI43,'Data- Refined'!$D43)</f>
        <v>0</v>
      </c>
      <c r="F70" s="20">
        <f>IFERROR('Data- Refined'!$E43/'Support Calculation'!$AR43,'Data- Refined'!$E43)</f>
        <v>0</v>
      </c>
      <c r="G70" s="20">
        <f>IFERROR('Data- Refined'!$F43/'Support Calculation'!$BA43,'Data- Refined'!$F43)</f>
        <v>0</v>
      </c>
      <c r="H70" s="20">
        <f>IFERROR('Data- Refined'!$G43/'Support Calculation'!$BJ43,'Data- Refined'!$G43)</f>
        <v>0</v>
      </c>
      <c r="I70" s="20">
        <f>IFERROR('Data- Refined'!$H43/'Support Calculation'!$BS43,'Data- Refined'!$H43)</f>
        <v>2</v>
      </c>
      <c r="J70" s="20">
        <f>IFERROR('Data- Refined'!$I43/'Support Calculation'!$CB43,'Data- Refined'!$I43)</f>
        <v>3</v>
      </c>
      <c r="K70" s="20">
        <f>IFERROR('Data- Refined'!$J43/'Support Calculation'!$CK43,'Data- Refined'!$J43)</f>
        <v>0</v>
      </c>
      <c r="L70" s="20">
        <f>IFERROR('Data- Refined'!$K43/'Support Calculation'!$CT43,'Data- Refined'!$K43)</f>
        <v>2</v>
      </c>
      <c r="M70" s="20">
        <f>IFERROR('Data- Refined'!$L43/'Support Calculation'!$DC43,'Data- Refined'!$L43)</f>
        <v>0</v>
      </c>
      <c r="N70" s="20">
        <f>IFERROR('Data- Refined'!$M43/'Support Calculation'!$DL43,'Data- Refined'!$M43)</f>
        <v>0</v>
      </c>
      <c r="O70" s="20">
        <f>IFERROR('Data- Refined'!$N43/'Support Calculation'!$DU43,'Data- Refined'!$N43)</f>
        <v>0</v>
      </c>
      <c r="P70" s="20">
        <f>IFERROR('Data- Refined'!$O43/'Support Calculation'!$ED43,'Data- Refined'!$O43)</f>
        <v>0</v>
      </c>
      <c r="Q70" s="20">
        <f>IFERROR('Data- Refined'!$P43/'Support Calculation'!EM43,'Data- Refined'!$P43)</f>
        <v>0</v>
      </c>
      <c r="R70" s="20">
        <f>IFERROR('Data- Refined'!$Q43/'Support Calculation'!EV43,'Data- Refined'!$Q43)</f>
        <v>0</v>
      </c>
      <c r="T70" s="29" t="s">
        <v>59</v>
      </c>
      <c r="U70" s="20">
        <f>IFERROR('Data- Refined'!$B43/'Support Calculation'!$Q43,IF('Data- Refined'!$B43=0,0,"NA"))</f>
        <v>0</v>
      </c>
      <c r="V70" s="20">
        <f>IFERROR('Data- Refined'!$C43/'Support Calculation'!$Z43,IF('Data- Refined'!$C43=0,0,"NA"))</f>
        <v>0</v>
      </c>
      <c r="W70" s="20">
        <f>IFERROR('Data- Refined'!$D43/'Support Calculation'!$AI43,IF('Data- Refined'!$D43=0,0,"NA"))</f>
        <v>0</v>
      </c>
      <c r="X70" s="20">
        <f>IFERROR('Data- Refined'!$E43/'Support Calculation'!$AR43,IF('Data- Refined'!$E43=0,0,"NA"))</f>
        <v>0</v>
      </c>
      <c r="Y70" s="20">
        <f>IFERROR('Data- Refined'!$F43/'Support Calculation'!$BA43,IF('Data- Refined'!$F43=0,0,"NA"))</f>
        <v>0</v>
      </c>
      <c r="Z70" s="20">
        <f>IFERROR('Data- Refined'!$G43/'Support Calculation'!$BJ43,IF('Data- Refined'!$G43=0,0,"NA"))</f>
        <v>0</v>
      </c>
      <c r="AA70" s="20" t="str">
        <f>IFERROR('Data- Refined'!$H43/'Support Calculation'!$BS43,IF('Data- Refined'!$H43=0,0,"NA"))</f>
        <v>NA</v>
      </c>
      <c r="AB70" s="20" t="str">
        <f>IFERROR('Data- Refined'!$I43/'Support Calculation'!$CB43,IF('Data- Refined'!$I43=0,0,"NA"))</f>
        <v>NA</v>
      </c>
      <c r="AC70" s="20">
        <f>IFERROR('Data- Refined'!$J43/'Support Calculation'!$CK43,IF('Data- Refined'!$J43=0,0,"NA"))</f>
        <v>0</v>
      </c>
      <c r="AD70" s="20" t="str">
        <f>IFERROR('Data- Refined'!$K43/'Support Calculation'!$CT43,IF('Data- Refined'!$K43=0,0,"NA"))</f>
        <v>NA</v>
      </c>
      <c r="AE70" s="20">
        <f>IFERROR('Data- Refined'!$L43/'Support Calculation'!$DC43,IF('Data- Refined'!$L43=0,0,"NA"))</f>
        <v>0</v>
      </c>
      <c r="AF70" s="20">
        <f>IFERROR('Data- Refined'!$M43/'Support Calculation'!$DL43,IF('Data- Refined'!$M43=0,0,"NA"))</f>
        <v>0</v>
      </c>
      <c r="AG70" s="20">
        <f>IFERROR('Data- Refined'!$N43/'Support Calculation'!$DU43,IF('Data- Refined'!$N43=0,0,"NA"))</f>
        <v>0</v>
      </c>
      <c r="AH70" s="20">
        <f>IFERROR('Data- Refined'!$O43/'Support Calculation'!$ED43,IF('Data- Refined'!$O43=0,0,"NA"))</f>
        <v>0</v>
      </c>
      <c r="AI70" s="151">
        <f>IFERROR('Data- Refined'!$P43/'Support Calculation'!EM43,IF('Data- Refined'!$P43=0,0,"NA"))</f>
        <v>0</v>
      </c>
      <c r="AJ70" s="151">
        <f>IFERROR('Data- Refined'!$Q43/'Support Calculation'!EV43,IF('Data- Refined'!$Q43=0,0,"NA"))</f>
        <v>0</v>
      </c>
    </row>
    <row r="71" spans="1:36" x14ac:dyDescent="0.35">
      <c r="A71" s="2"/>
      <c r="B71" s="29" t="s">
        <v>60</v>
      </c>
      <c r="C71" s="20">
        <f>IFERROR('Data- Refined'!$B44/'Support Calculation'!$Q44,'Data- Refined'!$B44)</f>
        <v>0</v>
      </c>
      <c r="D71" s="20">
        <f>IFERROR('Data- Refined'!$C44/'Support Calculation'!$Z44,'Data- Refined'!$C44)</f>
        <v>0</v>
      </c>
      <c r="E71" s="20">
        <f>IFERROR('Data- Refined'!$D44/'Support Calculation'!$AI44,'Data- Refined'!$D44)</f>
        <v>3</v>
      </c>
      <c r="F71" s="20">
        <f>IFERROR('Data- Refined'!$E44/'Support Calculation'!$AR44,'Data- Refined'!$E44)</f>
        <v>2.2857142857142856</v>
      </c>
      <c r="G71" s="20">
        <f>IFERROR('Data- Refined'!$F44/'Support Calculation'!$BA44,'Data- Refined'!$F44)</f>
        <v>3.6</v>
      </c>
      <c r="H71" s="20">
        <f>IFERROR('Data- Refined'!$G44/'Support Calculation'!$BJ44,'Data- Refined'!$G44)</f>
        <v>0.875</v>
      </c>
      <c r="I71" s="20">
        <f>IFERROR('Data- Refined'!$H44/'Support Calculation'!$BS44,'Data- Refined'!$H44)</f>
        <v>2</v>
      </c>
      <c r="J71" s="20">
        <f>IFERROR('Data- Refined'!$I44/'Support Calculation'!$CB44,'Data- Refined'!$I44)</f>
        <v>4.333333333333333</v>
      </c>
      <c r="K71" s="20">
        <f>IFERROR('Data- Refined'!$J44/'Support Calculation'!$CK44,'Data- Refined'!$J44)</f>
        <v>1</v>
      </c>
      <c r="L71" s="20">
        <f>IFERROR('Data- Refined'!$K44/'Support Calculation'!$CT44,'Data- Refined'!$K44)</f>
        <v>0.83333333333333337</v>
      </c>
      <c r="M71" s="20">
        <f>IFERROR('Data- Refined'!$L44/'Support Calculation'!$DC44,'Data- Refined'!$L44)</f>
        <v>0.75</v>
      </c>
      <c r="N71" s="20">
        <f>IFERROR('Data- Refined'!$M44/'Support Calculation'!$DL44,'Data- Refined'!$M44)</f>
        <v>1.3333333333333333</v>
      </c>
      <c r="O71" s="20">
        <f>IFERROR('Data- Refined'!$N44/'Support Calculation'!$DU44,'Data- Refined'!$N44)</f>
        <v>3.4</v>
      </c>
      <c r="P71" s="20">
        <f>IFERROR('Data- Refined'!$O44/'Support Calculation'!$ED44,'Data- Refined'!$O44)</f>
        <v>4.8</v>
      </c>
      <c r="Q71" s="20">
        <f>IFERROR('Data- Refined'!$P44/'Support Calculation'!EM44,'Data- Refined'!$P44)</f>
        <v>18</v>
      </c>
      <c r="R71" s="20">
        <f>IFERROR('Data- Refined'!$Q44/'Support Calculation'!EV44,'Data- Refined'!$Q44)</f>
        <v>0</v>
      </c>
      <c r="T71" s="29" t="s">
        <v>60</v>
      </c>
      <c r="U71" s="20">
        <f>IFERROR('Data- Refined'!$B44/'Support Calculation'!$Q44,IF('Data- Refined'!$B44=0,0,"NA"))</f>
        <v>0</v>
      </c>
      <c r="V71" s="20">
        <f>IFERROR('Data- Refined'!$C44/'Support Calculation'!$Z44,IF('Data- Refined'!$C44=0,0,"NA"))</f>
        <v>0</v>
      </c>
      <c r="W71" s="20">
        <f>IFERROR('Data- Refined'!$D44/'Support Calculation'!$AI44,IF('Data- Refined'!$D44=0,0,"NA"))</f>
        <v>3</v>
      </c>
      <c r="X71" s="20">
        <f>IFERROR('Data- Refined'!$E44/'Support Calculation'!$AR44,IF('Data- Refined'!$E44=0,0,"NA"))</f>
        <v>2.2857142857142856</v>
      </c>
      <c r="Y71" s="20">
        <f>IFERROR('Data- Refined'!$F44/'Support Calculation'!$BA44,IF('Data- Refined'!$F44=0,0,"NA"))</f>
        <v>3.6</v>
      </c>
      <c r="Z71" s="20">
        <f>IFERROR('Data- Refined'!$G44/'Support Calculation'!$BJ44,IF('Data- Refined'!$G44=0,0,"NA"))</f>
        <v>0.875</v>
      </c>
      <c r="AA71" s="20">
        <f>IFERROR('Data- Refined'!$H44/'Support Calculation'!$BS44,IF('Data- Refined'!$H44=0,0,"NA"))</f>
        <v>2</v>
      </c>
      <c r="AB71" s="20">
        <f>IFERROR('Data- Refined'!$I44/'Support Calculation'!$CB44,IF('Data- Refined'!$I44=0,0,"NA"))</f>
        <v>4.333333333333333</v>
      </c>
      <c r="AC71" s="20">
        <f>IFERROR('Data- Refined'!$J44/'Support Calculation'!$CK44,IF('Data- Refined'!$J44=0,0,"NA"))</f>
        <v>1</v>
      </c>
      <c r="AD71" s="20">
        <f>IFERROR('Data- Refined'!$K44/'Support Calculation'!$CT44,IF('Data- Refined'!$K44=0,0,"NA"))</f>
        <v>0.83333333333333337</v>
      </c>
      <c r="AE71" s="20">
        <f>IFERROR('Data- Refined'!$L44/'Support Calculation'!$DC44,IF('Data- Refined'!$L44=0,0,"NA"))</f>
        <v>0.75</v>
      </c>
      <c r="AF71" s="20">
        <f>IFERROR('Data- Refined'!$M44/'Support Calculation'!$DL44,IF('Data- Refined'!$M44=0,0,"NA"))</f>
        <v>1.3333333333333333</v>
      </c>
      <c r="AG71" s="20">
        <f>IFERROR('Data- Refined'!$N44/'Support Calculation'!$DU44,IF('Data- Refined'!$N44=0,0,"NA"))</f>
        <v>3.4</v>
      </c>
      <c r="AH71" s="20">
        <f>IFERROR('Data- Refined'!$O44/'Support Calculation'!$ED44,IF('Data- Refined'!$O44=0,0,"NA"))</f>
        <v>4.8</v>
      </c>
      <c r="AI71" s="151">
        <f>IFERROR('Data- Refined'!$P44/'Support Calculation'!EM44,IF('Data- Refined'!$P44=0,0,"NA"))</f>
        <v>18</v>
      </c>
      <c r="AJ71" s="151">
        <f>IFERROR('Data- Refined'!$Q44/'Support Calculation'!EV44,IF('Data- Refined'!$Q44=0,0,"NA"))</f>
        <v>0</v>
      </c>
    </row>
    <row r="72" spans="1:36" x14ac:dyDescent="0.35">
      <c r="A72" s="2"/>
      <c r="B72" s="29" t="s">
        <v>61</v>
      </c>
      <c r="C72" s="20">
        <f>IFERROR('Data- Refined'!$B45/'Support Calculation'!$Q45,'Data- Refined'!$B45)</f>
        <v>3.3333333333333335</v>
      </c>
      <c r="D72" s="20">
        <f>IFERROR('Data- Refined'!$C45/'Support Calculation'!$Z45,'Data- Refined'!$C45)</f>
        <v>11</v>
      </c>
      <c r="E72" s="20">
        <f>IFERROR('Data- Refined'!$D45/'Support Calculation'!$AI45,'Data- Refined'!$D45)</f>
        <v>9.8333333333333339</v>
      </c>
      <c r="F72" s="20">
        <f>IFERROR('Data- Refined'!$E45/'Support Calculation'!$AR45,'Data- Refined'!$E45)</f>
        <v>7.25</v>
      </c>
      <c r="G72" s="20">
        <f>IFERROR('Data- Refined'!$F45/'Support Calculation'!$BA45,'Data- Refined'!$F45)</f>
        <v>8.4444444444444446</v>
      </c>
      <c r="H72" s="20">
        <f>IFERROR('Data- Refined'!$G45/'Support Calculation'!$BJ45,'Data- Refined'!$G45)</f>
        <v>6.375</v>
      </c>
      <c r="I72" s="20">
        <f>IFERROR('Data- Refined'!$H45/'Support Calculation'!$BS45,'Data- Refined'!$H45)</f>
        <v>10.333333333333334</v>
      </c>
      <c r="J72" s="20">
        <f>IFERROR('Data- Refined'!$I45/'Support Calculation'!$CB45,'Data- Refined'!$I45)</f>
        <v>8.6666666666666661</v>
      </c>
      <c r="K72" s="20">
        <f>IFERROR('Data- Refined'!$J45/'Support Calculation'!$CK45,'Data- Refined'!$J45)</f>
        <v>3.3333333333333335</v>
      </c>
      <c r="L72" s="20">
        <f>IFERROR('Data- Refined'!$K45/'Support Calculation'!$CT45,'Data- Refined'!$K45)</f>
        <v>4</v>
      </c>
      <c r="M72" s="20">
        <f>IFERROR('Data- Refined'!$L45/'Support Calculation'!$DC45,'Data- Refined'!$L45)</f>
        <v>11.333333333333334</v>
      </c>
      <c r="N72" s="20">
        <f>IFERROR('Data- Refined'!$M45/'Support Calculation'!$DL45,'Data- Refined'!$M45)</f>
        <v>9.6666666666666661</v>
      </c>
      <c r="O72" s="20">
        <f>IFERROR('Data- Refined'!$N45/'Support Calculation'!$DU45,'Data- Refined'!$N45)</f>
        <v>7.666666666666667</v>
      </c>
      <c r="P72" s="20">
        <f>IFERROR('Data- Refined'!$O45/'Support Calculation'!$ED45,'Data- Refined'!$O45)</f>
        <v>0</v>
      </c>
      <c r="Q72" s="20">
        <f>IFERROR('Data- Refined'!$P45/'Support Calculation'!EM45,'Data- Refined'!$P45)</f>
        <v>0</v>
      </c>
      <c r="R72" s="20">
        <f>IFERROR('Data- Refined'!$Q45/'Support Calculation'!EV45,'Data- Refined'!$Q45)</f>
        <v>0</v>
      </c>
      <c r="T72" s="29" t="s">
        <v>61</v>
      </c>
      <c r="U72" s="20">
        <f>IFERROR('Data- Refined'!$B45/'Support Calculation'!$Q45,IF('Data- Refined'!$B45=0,0,"NA"))</f>
        <v>3.3333333333333335</v>
      </c>
      <c r="V72" s="20">
        <f>IFERROR('Data- Refined'!$C45/'Support Calculation'!$Z45,IF('Data- Refined'!$C45=0,0,"NA"))</f>
        <v>11</v>
      </c>
      <c r="W72" s="20">
        <f>IFERROR('Data- Refined'!$D45/'Support Calculation'!$AI45,IF('Data- Refined'!$D45=0,0,"NA"))</f>
        <v>9.8333333333333339</v>
      </c>
      <c r="X72" s="20">
        <f>IFERROR('Data- Refined'!$E45/'Support Calculation'!$AR45,IF('Data- Refined'!$E45=0,0,"NA"))</f>
        <v>7.25</v>
      </c>
      <c r="Y72" s="20">
        <f>IFERROR('Data- Refined'!$F45/'Support Calculation'!$BA45,IF('Data- Refined'!$F45=0,0,"NA"))</f>
        <v>8.4444444444444446</v>
      </c>
      <c r="Z72" s="20">
        <f>IFERROR('Data- Refined'!$G45/'Support Calculation'!$BJ45,IF('Data- Refined'!$G45=0,0,"NA"))</f>
        <v>6.375</v>
      </c>
      <c r="AA72" s="20">
        <f>IFERROR('Data- Refined'!$H45/'Support Calculation'!$BS45,IF('Data- Refined'!$H45=0,0,"NA"))</f>
        <v>10.333333333333334</v>
      </c>
      <c r="AB72" s="20">
        <f>IFERROR('Data- Refined'!$I45/'Support Calculation'!$CB45,IF('Data- Refined'!$I45=0,0,"NA"))</f>
        <v>8.6666666666666661</v>
      </c>
      <c r="AC72" s="20">
        <f>IFERROR('Data- Refined'!$J45/'Support Calculation'!$CK45,IF('Data- Refined'!$J45=0,0,"NA"))</f>
        <v>3.3333333333333335</v>
      </c>
      <c r="AD72" s="20">
        <f>IFERROR('Data- Refined'!$K45/'Support Calculation'!$CT45,IF('Data- Refined'!$K45=0,0,"NA"))</f>
        <v>4</v>
      </c>
      <c r="AE72" s="20">
        <f>IFERROR('Data- Refined'!$L45/'Support Calculation'!$DC45,IF('Data- Refined'!$L45=0,0,"NA"))</f>
        <v>11.333333333333334</v>
      </c>
      <c r="AF72" s="20">
        <f>IFERROR('Data- Refined'!$M45/'Support Calculation'!$DL45,IF('Data- Refined'!$M45=0,0,"NA"))</f>
        <v>9.6666666666666661</v>
      </c>
      <c r="AG72" s="20">
        <f>IFERROR('Data- Refined'!$N45/'Support Calculation'!$DU45,IF('Data- Refined'!$N45=0,0,"NA"))</f>
        <v>7.666666666666667</v>
      </c>
      <c r="AH72" s="20">
        <f>IFERROR('Data- Refined'!$O45/'Support Calculation'!$ED45,IF('Data- Refined'!$O45=0,0,"NA"))</f>
        <v>0</v>
      </c>
      <c r="AI72" s="151">
        <f>IFERROR('Data- Refined'!$P45/'Support Calculation'!EM45,IF('Data- Refined'!$P45=0,0,"NA"))</f>
        <v>0</v>
      </c>
      <c r="AJ72" s="151">
        <f>IFERROR('Data- Refined'!$Q45/'Support Calculation'!EV45,IF('Data- Refined'!$Q45=0,0,"NA"))</f>
        <v>0</v>
      </c>
    </row>
    <row r="73" spans="1:36" x14ac:dyDescent="0.35">
      <c r="A73" s="2"/>
      <c r="B73" s="29" t="s">
        <v>62</v>
      </c>
      <c r="C73" s="20">
        <f>IFERROR('Data- Refined'!$B46/'Support Calculation'!$Q46,'Data- Refined'!$B46)</f>
        <v>0</v>
      </c>
      <c r="D73" s="20">
        <f>IFERROR('Data- Refined'!$C46/'Support Calculation'!$Z46,'Data- Refined'!$C46)</f>
        <v>0</v>
      </c>
      <c r="E73" s="20">
        <f>IFERROR('Data- Refined'!$D46/'Support Calculation'!$AI46,'Data- Refined'!$D46)</f>
        <v>7</v>
      </c>
      <c r="F73" s="20">
        <f>IFERROR('Data- Refined'!$E46/'Support Calculation'!$AR46,'Data- Refined'!$E46)</f>
        <v>2.4</v>
      </c>
      <c r="G73" s="20">
        <f>IFERROR('Data- Refined'!$F46/'Support Calculation'!$BA46,'Data- Refined'!$F46)</f>
        <v>7</v>
      </c>
      <c r="H73" s="20">
        <f>IFERROR('Data- Refined'!$G46/'Support Calculation'!$BJ46,'Data- Refined'!$G46)</f>
        <v>1</v>
      </c>
      <c r="I73" s="20">
        <f>IFERROR('Data- Refined'!$H46/'Support Calculation'!$BS46,'Data- Refined'!$H46)</f>
        <v>1.5</v>
      </c>
      <c r="J73" s="20">
        <f>IFERROR('Data- Refined'!$I46/'Support Calculation'!$CB46,'Data- Refined'!$I46)</f>
        <v>1.3333333333333333</v>
      </c>
      <c r="K73" s="20">
        <f>IFERROR('Data- Refined'!$J46/'Support Calculation'!$CK46,'Data- Refined'!$J46)</f>
        <v>3</v>
      </c>
      <c r="L73" s="20">
        <f>IFERROR('Data- Refined'!$K46/'Support Calculation'!$CT46,'Data- Refined'!$K46)</f>
        <v>1.6666666666666667</v>
      </c>
      <c r="M73" s="20">
        <f>IFERROR('Data- Refined'!$L46/'Support Calculation'!$DC46,'Data- Refined'!$L46)</f>
        <v>2</v>
      </c>
      <c r="N73" s="20">
        <f>IFERROR('Data- Refined'!$M46/'Support Calculation'!$DL46,'Data- Refined'!$M46)</f>
        <v>0.33333333333333331</v>
      </c>
      <c r="O73" s="20">
        <f>IFERROR('Data- Refined'!$N46/'Support Calculation'!$DU46,'Data- Refined'!$N46)</f>
        <v>1.75</v>
      </c>
      <c r="P73" s="20">
        <f>IFERROR('Data- Refined'!$O46/'Support Calculation'!$ED46,'Data- Refined'!$O46)</f>
        <v>3</v>
      </c>
      <c r="Q73" s="20">
        <f>IFERROR('Data- Refined'!$P46/'Support Calculation'!EM46,'Data- Refined'!$P46)</f>
        <v>3.5</v>
      </c>
      <c r="R73" s="20">
        <f>IFERROR('Data- Refined'!$Q46/'Support Calculation'!EV46,'Data- Refined'!$Q46)</f>
        <v>0</v>
      </c>
      <c r="T73" s="29" t="s">
        <v>62</v>
      </c>
      <c r="U73" s="20">
        <f>IFERROR('Data- Refined'!$B46/'Support Calculation'!$Q46,IF('Data- Refined'!$B46=0,0,"NA"))</f>
        <v>0</v>
      </c>
      <c r="V73" s="20">
        <f>IFERROR('Data- Refined'!$C46/'Support Calculation'!$Z46,IF('Data- Refined'!$C46=0,0,"NA"))</f>
        <v>0</v>
      </c>
      <c r="W73" s="20">
        <f>IFERROR('Data- Refined'!$D46/'Support Calculation'!$AI46,IF('Data- Refined'!$D46=0,0,"NA"))</f>
        <v>7</v>
      </c>
      <c r="X73" s="20">
        <f>IFERROR('Data- Refined'!$E46/'Support Calculation'!$AR46,IF('Data- Refined'!$E46=0,0,"NA"))</f>
        <v>2.4</v>
      </c>
      <c r="Y73" s="20">
        <f>IFERROR('Data- Refined'!$F46/'Support Calculation'!$BA46,IF('Data- Refined'!$F46=0,0,"NA"))</f>
        <v>7</v>
      </c>
      <c r="Z73" s="20">
        <f>IFERROR('Data- Refined'!$G46/'Support Calculation'!$BJ46,IF('Data- Refined'!$G46=0,0,"NA"))</f>
        <v>1</v>
      </c>
      <c r="AA73" s="20">
        <f>IFERROR('Data- Refined'!$H46/'Support Calculation'!$BS46,IF('Data- Refined'!$H46=0,0,"NA"))</f>
        <v>1.5</v>
      </c>
      <c r="AB73" s="20">
        <f>IFERROR('Data- Refined'!$I46/'Support Calculation'!$CB46,IF('Data- Refined'!$I46=0,0,"NA"))</f>
        <v>1.3333333333333333</v>
      </c>
      <c r="AC73" s="20">
        <f>IFERROR('Data- Refined'!$J46/'Support Calculation'!$CK46,IF('Data- Refined'!$J46=0,0,"NA"))</f>
        <v>3</v>
      </c>
      <c r="AD73" s="20">
        <f>IFERROR('Data- Refined'!$K46/'Support Calculation'!$CT46,IF('Data- Refined'!$K46=0,0,"NA"))</f>
        <v>1.6666666666666667</v>
      </c>
      <c r="AE73" s="20">
        <f>IFERROR('Data- Refined'!$L46/'Support Calculation'!$DC46,IF('Data- Refined'!$L46=0,0,"NA"))</f>
        <v>2</v>
      </c>
      <c r="AF73" s="20">
        <f>IFERROR('Data- Refined'!$M46/'Support Calculation'!$DL46,IF('Data- Refined'!$M46=0,0,"NA"))</f>
        <v>0.33333333333333331</v>
      </c>
      <c r="AG73" s="20">
        <f>IFERROR('Data- Refined'!$N46/'Support Calculation'!$DU46,IF('Data- Refined'!$N46=0,0,"NA"))</f>
        <v>1.75</v>
      </c>
      <c r="AH73" s="20">
        <f>IFERROR('Data- Refined'!$O46/'Support Calculation'!$ED46,IF('Data- Refined'!$O46=0,0,"NA"))</f>
        <v>3</v>
      </c>
      <c r="AI73" s="151">
        <f>IFERROR('Data- Refined'!$P46/'Support Calculation'!EM46,IF('Data- Refined'!$P46=0,0,"NA"))</f>
        <v>3.5</v>
      </c>
      <c r="AJ73" s="151">
        <f>IFERROR('Data- Refined'!$Q46/'Support Calculation'!EV46,IF('Data- Refined'!$Q46=0,0,"NA"))</f>
        <v>0</v>
      </c>
    </row>
    <row r="74" spans="1:36" x14ac:dyDescent="0.35">
      <c r="A74" s="2"/>
      <c r="B74" s="29" t="s">
        <v>63</v>
      </c>
      <c r="C74" s="20">
        <f>IFERROR('Data- Refined'!$B47/'Support Calculation'!$Q47,'Data- Refined'!$B47)</f>
        <v>4.2</v>
      </c>
      <c r="D74" s="20">
        <f>IFERROR('Data- Refined'!$C47/'Support Calculation'!$Z47,'Data- Refined'!$C47)</f>
        <v>10.571428571428571</v>
      </c>
      <c r="E74" s="20">
        <f>IFERROR('Data- Refined'!$D47/'Support Calculation'!$AI47,'Data- Refined'!$D47)</f>
        <v>17.399999999999999</v>
      </c>
      <c r="F74" s="20">
        <f>IFERROR('Data- Refined'!$E47/'Support Calculation'!$AR47,'Data- Refined'!$E47)</f>
        <v>5.2666666666666666</v>
      </c>
      <c r="G74" s="20">
        <f>IFERROR('Data- Refined'!$F47/'Support Calculation'!$BA47,'Data- Refined'!$F47)</f>
        <v>7.666666666666667</v>
      </c>
      <c r="H74" s="20">
        <f>IFERROR('Data- Refined'!$G47/'Support Calculation'!$BJ47,'Data- Refined'!$G47)</f>
        <v>6.7857142857142856</v>
      </c>
      <c r="I74" s="20">
        <f>IFERROR('Data- Refined'!$H47/'Support Calculation'!$BS47,'Data- Refined'!$H47)</f>
        <v>3.5</v>
      </c>
      <c r="J74" s="20">
        <f>IFERROR('Data- Refined'!$I47/'Support Calculation'!$CB47,'Data- Refined'!$I47)</f>
        <v>4.0769230769230766</v>
      </c>
      <c r="K74" s="20">
        <f>IFERROR('Data- Refined'!$J47/'Support Calculation'!$CK47,'Data- Refined'!$J47)</f>
        <v>9</v>
      </c>
      <c r="L74" s="20">
        <f>IFERROR('Data- Refined'!$K47/'Support Calculation'!$CT47,'Data- Refined'!$K47)</f>
        <v>2.8571428571428572</v>
      </c>
      <c r="M74" s="20">
        <f>IFERROR('Data- Refined'!$L47/'Support Calculation'!$DC47,'Data- Refined'!$L47)</f>
        <v>3.0833333333333335</v>
      </c>
      <c r="N74" s="20">
        <f>IFERROR('Data- Refined'!$M47/'Support Calculation'!$DL47,'Data- Refined'!$M47)</f>
        <v>4.0909090909090908</v>
      </c>
      <c r="O74" s="20">
        <f>IFERROR('Data- Refined'!$N47/'Support Calculation'!$DU47,'Data- Refined'!$N47)</f>
        <v>1.75</v>
      </c>
      <c r="P74" s="20">
        <f>IFERROR('Data- Refined'!$O47/'Support Calculation'!$ED47,'Data- Refined'!$O47)</f>
        <v>0</v>
      </c>
      <c r="Q74" s="20">
        <f>IFERROR('Data- Refined'!$P47/'Support Calculation'!EM47,'Data- Refined'!$P47)</f>
        <v>0</v>
      </c>
      <c r="R74" s="20">
        <f>IFERROR('Data- Refined'!$Q47/'Support Calculation'!EV47,'Data- Refined'!$Q47)</f>
        <v>0</v>
      </c>
      <c r="T74" s="29" t="s">
        <v>63</v>
      </c>
      <c r="U74" s="20">
        <f>IFERROR('Data- Refined'!$B47/'Support Calculation'!$Q47,IF('Data- Refined'!$B47=0,0,"NA"))</f>
        <v>4.2</v>
      </c>
      <c r="V74" s="20">
        <f>IFERROR('Data- Refined'!$C47/'Support Calculation'!$Z47,IF('Data- Refined'!$C47=0,0,"NA"))</f>
        <v>10.571428571428571</v>
      </c>
      <c r="W74" s="20">
        <f>IFERROR('Data- Refined'!$D47/'Support Calculation'!$AI47,IF('Data- Refined'!$D47=0,0,"NA"))</f>
        <v>17.399999999999999</v>
      </c>
      <c r="X74" s="20">
        <f>IFERROR('Data- Refined'!$E47/'Support Calculation'!$AR47,IF('Data- Refined'!$E47=0,0,"NA"))</f>
        <v>5.2666666666666666</v>
      </c>
      <c r="Y74" s="20">
        <f>IFERROR('Data- Refined'!$F47/'Support Calculation'!$BA47,IF('Data- Refined'!$F47=0,0,"NA"))</f>
        <v>7.666666666666667</v>
      </c>
      <c r="Z74" s="20">
        <f>IFERROR('Data- Refined'!$G47/'Support Calculation'!$BJ47,IF('Data- Refined'!$G47=0,0,"NA"))</f>
        <v>6.7857142857142856</v>
      </c>
      <c r="AA74" s="20">
        <f>IFERROR('Data- Refined'!$H47/'Support Calculation'!$BS47,IF('Data- Refined'!$H47=0,0,"NA"))</f>
        <v>3.5</v>
      </c>
      <c r="AB74" s="20">
        <f>IFERROR('Data- Refined'!$I47/'Support Calculation'!$CB47,IF('Data- Refined'!$I47=0,0,"NA"))</f>
        <v>4.0769230769230766</v>
      </c>
      <c r="AC74" s="20">
        <f>IFERROR('Data- Refined'!$J47/'Support Calculation'!$CK47,IF('Data- Refined'!$J47=0,0,"NA"))</f>
        <v>9</v>
      </c>
      <c r="AD74" s="20">
        <f>IFERROR('Data- Refined'!$K47/'Support Calculation'!$CT47,IF('Data- Refined'!$K47=0,0,"NA"))</f>
        <v>2.8571428571428572</v>
      </c>
      <c r="AE74" s="20">
        <f>IFERROR('Data- Refined'!$L47/'Support Calculation'!$DC47,IF('Data- Refined'!$L47=0,0,"NA"))</f>
        <v>3.0833333333333335</v>
      </c>
      <c r="AF74" s="20">
        <f>IFERROR('Data- Refined'!$M47/'Support Calculation'!$DL47,IF('Data- Refined'!$M47=0,0,"NA"))</f>
        <v>4.0909090909090908</v>
      </c>
      <c r="AG74" s="20">
        <f>IFERROR('Data- Refined'!$N47/'Support Calculation'!$DU47,IF('Data- Refined'!$N47=0,0,"NA"))</f>
        <v>1.75</v>
      </c>
      <c r="AH74" s="20">
        <f>IFERROR('Data- Refined'!$O47/'Support Calculation'!$ED47,IF('Data- Refined'!$O47=0,0,"NA"))</f>
        <v>0</v>
      </c>
      <c r="AI74" s="151">
        <f>IFERROR('Data- Refined'!$P47/'Support Calculation'!EM47,IF('Data- Refined'!$P47=0,0,"NA"))</f>
        <v>0</v>
      </c>
      <c r="AJ74" s="151">
        <f>IFERROR('Data- Refined'!$Q47/'Support Calculation'!EV47,IF('Data- Refined'!$Q47=0,0,"NA"))</f>
        <v>0</v>
      </c>
    </row>
    <row r="75" spans="1:36" x14ac:dyDescent="0.35">
      <c r="A75" s="2"/>
      <c r="B75" s="29" t="s">
        <v>64</v>
      </c>
      <c r="C75" s="20">
        <f>IFERROR('Data- Refined'!$B48/'Support Calculation'!$Q48,'Data- Refined'!$B48)</f>
        <v>0</v>
      </c>
      <c r="D75" s="20">
        <f>IFERROR('Data- Refined'!$C48/'Support Calculation'!$Z48,'Data- Refined'!$C48)</f>
        <v>0</v>
      </c>
      <c r="E75" s="20">
        <f>IFERROR('Data- Refined'!$D48/'Support Calculation'!$AI48,'Data- Refined'!$D48)</f>
        <v>8.0476190476190474</v>
      </c>
      <c r="F75" s="20">
        <f>IFERROR('Data- Refined'!$E48/'Support Calculation'!$AR48,'Data- Refined'!$E48)</f>
        <v>8.1</v>
      </c>
      <c r="G75" s="20">
        <f>IFERROR('Data- Refined'!$F48/'Support Calculation'!$BA48,'Data- Refined'!$F48)</f>
        <v>6.419354838709677</v>
      </c>
      <c r="H75" s="20">
        <f>IFERROR('Data- Refined'!$G48/'Support Calculation'!$BJ48,'Data- Refined'!$G48)</f>
        <v>5.84375</v>
      </c>
      <c r="I75" s="20">
        <f>IFERROR('Data- Refined'!$H48/'Support Calculation'!$BS48,'Data- Refined'!$H48)</f>
        <v>6.25</v>
      </c>
      <c r="J75" s="20">
        <f>IFERROR('Data- Refined'!$I48/'Support Calculation'!$CB48,'Data- Refined'!$I48)</f>
        <v>8.4444444444444446</v>
      </c>
      <c r="K75" s="20">
        <f>IFERROR('Data- Refined'!$J48/'Support Calculation'!$CK48,'Data- Refined'!$J48)</f>
        <v>6.9523809523809526</v>
      </c>
      <c r="L75" s="20">
        <f>IFERROR('Data- Refined'!$K48/'Support Calculation'!$CT48,'Data- Refined'!$K48)</f>
        <v>5.8181818181818183</v>
      </c>
      <c r="M75" s="20">
        <f>IFERROR('Data- Refined'!$L48/'Support Calculation'!$DC48,'Data- Refined'!$L48)</f>
        <v>4.05</v>
      </c>
      <c r="N75" s="20">
        <f>IFERROR('Data- Refined'!$M48/'Support Calculation'!$DL48,'Data- Refined'!$M48)</f>
        <v>5.1428571428571432</v>
      </c>
      <c r="O75" s="20">
        <f>IFERROR('Data- Refined'!$N48/'Support Calculation'!$DU48,'Data- Refined'!$N48)</f>
        <v>5.583333333333333</v>
      </c>
      <c r="P75" s="20">
        <f>IFERROR('Data- Refined'!$O48/'Support Calculation'!$ED48,'Data- Refined'!$O48)</f>
        <v>6.666666666666667</v>
      </c>
      <c r="Q75" s="20">
        <f>IFERROR('Data- Refined'!$P48/'Support Calculation'!EM48,'Data- Refined'!$P48)</f>
        <v>14.625</v>
      </c>
      <c r="R75" s="20">
        <f>IFERROR('Data- Refined'!$Q48/'Support Calculation'!EV48,'Data- Refined'!$Q48)</f>
        <v>0</v>
      </c>
      <c r="T75" s="29" t="s">
        <v>64</v>
      </c>
      <c r="U75" s="20">
        <f>IFERROR('Data- Refined'!$B48/'Support Calculation'!$Q48,IF('Data- Refined'!$B48=0,0,"NA"))</f>
        <v>0</v>
      </c>
      <c r="V75" s="20">
        <f>IFERROR('Data- Refined'!$C48/'Support Calculation'!$Z48,IF('Data- Refined'!$C48=0,0,"NA"))</f>
        <v>0</v>
      </c>
      <c r="W75" s="20">
        <f>IFERROR('Data- Refined'!$D48/'Support Calculation'!$AI48,IF('Data- Refined'!$D48=0,0,"NA"))</f>
        <v>8.0476190476190474</v>
      </c>
      <c r="X75" s="20">
        <f>IFERROR('Data- Refined'!$E48/'Support Calculation'!$AR48,IF('Data- Refined'!$E48=0,0,"NA"))</f>
        <v>8.1</v>
      </c>
      <c r="Y75" s="20">
        <f>IFERROR('Data- Refined'!$F48/'Support Calculation'!$BA48,IF('Data- Refined'!$F48=0,0,"NA"))</f>
        <v>6.419354838709677</v>
      </c>
      <c r="Z75" s="20">
        <f>IFERROR('Data- Refined'!$G48/'Support Calculation'!$BJ48,IF('Data- Refined'!$G48=0,0,"NA"))</f>
        <v>5.84375</v>
      </c>
      <c r="AA75" s="20">
        <f>IFERROR('Data- Refined'!$H48/'Support Calculation'!$BS48,IF('Data- Refined'!$H48=0,0,"NA"))</f>
        <v>6.25</v>
      </c>
      <c r="AB75" s="20">
        <f>IFERROR('Data- Refined'!$I48/'Support Calculation'!$CB48,IF('Data- Refined'!$I48=0,0,"NA"))</f>
        <v>8.4444444444444446</v>
      </c>
      <c r="AC75" s="20">
        <f>IFERROR('Data- Refined'!$J48/'Support Calculation'!$CK48,IF('Data- Refined'!$J48=0,0,"NA"))</f>
        <v>6.9523809523809526</v>
      </c>
      <c r="AD75" s="20">
        <f>IFERROR('Data- Refined'!$K48/'Support Calculation'!$CT48,IF('Data- Refined'!$K48=0,0,"NA"))</f>
        <v>5.8181818181818183</v>
      </c>
      <c r="AE75" s="20">
        <f>IFERROR('Data- Refined'!$L48/'Support Calculation'!$DC48,IF('Data- Refined'!$L48=0,0,"NA"))</f>
        <v>4.05</v>
      </c>
      <c r="AF75" s="20">
        <f>IFERROR('Data- Refined'!$M48/'Support Calculation'!$DL48,IF('Data- Refined'!$M48=0,0,"NA"))</f>
        <v>5.1428571428571432</v>
      </c>
      <c r="AG75" s="20">
        <f>IFERROR('Data- Refined'!$N48/'Support Calculation'!$DU48,IF('Data- Refined'!$N48=0,0,"NA"))</f>
        <v>5.583333333333333</v>
      </c>
      <c r="AH75" s="20">
        <f>IFERROR('Data- Refined'!$O48/'Support Calculation'!$ED48,IF('Data- Refined'!$O48=0,0,"NA"))</f>
        <v>6.666666666666667</v>
      </c>
      <c r="AI75" s="151">
        <f>IFERROR('Data- Refined'!$P48/'Support Calculation'!EM48,IF('Data- Refined'!$P48=0,0,"NA"))</f>
        <v>14.625</v>
      </c>
      <c r="AJ75" s="151">
        <f>IFERROR('Data- Refined'!$Q48/'Support Calculation'!EV48,IF('Data- Refined'!$Q48=0,0,"NA"))</f>
        <v>0</v>
      </c>
    </row>
    <row r="76" spans="1:36" x14ac:dyDescent="0.35">
      <c r="A76" s="2"/>
      <c r="B76" s="29" t="s">
        <v>65</v>
      </c>
      <c r="C76" s="20">
        <f>IFERROR('Data- Refined'!$B49/'Support Calculation'!$Q49,'Data- Refined'!$B49)</f>
        <v>0</v>
      </c>
      <c r="D76" s="20">
        <f>IFERROR('Data- Refined'!$C49/'Support Calculation'!$Z49,'Data- Refined'!$C49)</f>
        <v>0</v>
      </c>
      <c r="E76" s="20">
        <f>IFERROR('Data- Refined'!$D49/'Support Calculation'!$AI49,'Data- Refined'!$D49)</f>
        <v>3.0833333333333335</v>
      </c>
      <c r="F76" s="20">
        <f>IFERROR('Data- Refined'!$E49/'Support Calculation'!$AR49,'Data- Refined'!$E49)</f>
        <v>5.5714285714285712</v>
      </c>
      <c r="G76" s="20">
        <f>IFERROR('Data- Refined'!$F49/'Support Calculation'!$BA49,'Data- Refined'!$F49)</f>
        <v>2.65</v>
      </c>
      <c r="H76" s="20">
        <f>IFERROR('Data- Refined'!$G49/'Support Calculation'!$BJ49,'Data- Refined'!$G49)</f>
        <v>3.4615384615384617</v>
      </c>
      <c r="I76" s="20">
        <f>IFERROR('Data- Refined'!$H49/'Support Calculation'!$BS49,'Data- Refined'!$H49)</f>
        <v>6.833333333333333</v>
      </c>
      <c r="J76" s="20">
        <f>IFERROR('Data- Refined'!$I49/'Support Calculation'!$CB49,'Data- Refined'!$I49)</f>
        <v>2.6</v>
      </c>
      <c r="K76" s="20">
        <f>IFERROR('Data- Refined'!$J49/'Support Calculation'!$CK49,'Data- Refined'!$J49)</f>
        <v>0.83333333333333337</v>
      </c>
      <c r="L76" s="20">
        <f>IFERROR('Data- Refined'!$K49/'Support Calculation'!$CT49,'Data- Refined'!$K49)</f>
        <v>2.4</v>
      </c>
      <c r="M76" s="20">
        <f>IFERROR('Data- Refined'!$L49/'Support Calculation'!$DC49,'Data- Refined'!$L49)</f>
        <v>0.54545454545454541</v>
      </c>
      <c r="N76" s="20">
        <f>IFERROR('Data- Refined'!$M49/'Support Calculation'!$DL49,'Data- Refined'!$M49)</f>
        <v>1.6666666666666667</v>
      </c>
      <c r="O76" s="20">
        <f>IFERROR('Data- Refined'!$N49/'Support Calculation'!$DU49,'Data- Refined'!$N49)</f>
        <v>4.166666666666667</v>
      </c>
      <c r="P76" s="20">
        <f>IFERROR('Data- Refined'!$O49/'Support Calculation'!$ED49,'Data- Refined'!$O49)</f>
        <v>2.4545454545454546</v>
      </c>
      <c r="Q76" s="20">
        <f>IFERROR('Data- Refined'!$P49/'Support Calculation'!EM49,'Data- Refined'!$P49)</f>
        <v>9</v>
      </c>
      <c r="R76" s="20">
        <f>IFERROR('Data- Refined'!$Q49/'Support Calculation'!EV49,'Data- Refined'!$Q49)</f>
        <v>0</v>
      </c>
      <c r="T76" s="29" t="s">
        <v>65</v>
      </c>
      <c r="U76" s="20">
        <f>IFERROR('Data- Refined'!$B49/'Support Calculation'!$Q49,IF('Data- Refined'!$B49=0,0,"NA"))</f>
        <v>0</v>
      </c>
      <c r="V76" s="20">
        <f>IFERROR('Data- Refined'!$C49/'Support Calculation'!$Z49,IF('Data- Refined'!$C49=0,0,"NA"))</f>
        <v>0</v>
      </c>
      <c r="W76" s="20">
        <f>IFERROR('Data- Refined'!$D49/'Support Calculation'!$AI49,IF('Data- Refined'!$D49=0,0,"NA"))</f>
        <v>3.0833333333333335</v>
      </c>
      <c r="X76" s="20">
        <f>IFERROR('Data- Refined'!$E49/'Support Calculation'!$AR49,IF('Data- Refined'!$E49=0,0,"NA"))</f>
        <v>5.5714285714285712</v>
      </c>
      <c r="Y76" s="20">
        <f>IFERROR('Data- Refined'!$F49/'Support Calculation'!$BA49,IF('Data- Refined'!$F49=0,0,"NA"))</f>
        <v>2.65</v>
      </c>
      <c r="Z76" s="20">
        <f>IFERROR('Data- Refined'!$G49/'Support Calculation'!$BJ49,IF('Data- Refined'!$G49=0,0,"NA"))</f>
        <v>3.4615384615384617</v>
      </c>
      <c r="AA76" s="20">
        <f>IFERROR('Data- Refined'!$H49/'Support Calculation'!$BS49,IF('Data- Refined'!$H49=0,0,"NA"))</f>
        <v>6.833333333333333</v>
      </c>
      <c r="AB76" s="20">
        <f>IFERROR('Data- Refined'!$I49/'Support Calculation'!$CB49,IF('Data- Refined'!$I49=0,0,"NA"))</f>
        <v>2.6</v>
      </c>
      <c r="AC76" s="20">
        <f>IFERROR('Data- Refined'!$J49/'Support Calculation'!$CK49,IF('Data- Refined'!$J49=0,0,"NA"))</f>
        <v>0.83333333333333337</v>
      </c>
      <c r="AD76" s="20">
        <f>IFERROR('Data- Refined'!$K49/'Support Calculation'!$CT49,IF('Data- Refined'!$K49=0,0,"NA"))</f>
        <v>2.4</v>
      </c>
      <c r="AE76" s="20">
        <f>IFERROR('Data- Refined'!$L49/'Support Calculation'!$DC49,IF('Data- Refined'!$L49=0,0,"NA"))</f>
        <v>0.54545454545454541</v>
      </c>
      <c r="AF76" s="20">
        <f>IFERROR('Data- Refined'!$M49/'Support Calculation'!$DL49,IF('Data- Refined'!$M49=0,0,"NA"))</f>
        <v>1.6666666666666667</v>
      </c>
      <c r="AG76" s="20">
        <f>IFERROR('Data- Refined'!$N49/'Support Calculation'!$DU49,IF('Data- Refined'!$N49=0,0,"NA"))</f>
        <v>4.166666666666667</v>
      </c>
      <c r="AH76" s="20">
        <f>IFERROR('Data- Refined'!$O49/'Support Calculation'!$ED49,IF('Data- Refined'!$O49=0,0,"NA"))</f>
        <v>2.4545454545454546</v>
      </c>
      <c r="AI76" s="151">
        <f>IFERROR('Data- Refined'!$P49/'Support Calculation'!EM49,IF('Data- Refined'!$P49=0,0,"NA"))</f>
        <v>9</v>
      </c>
      <c r="AJ76" s="151">
        <f>IFERROR('Data- Refined'!$Q49/'Support Calculation'!EV49,IF('Data- Refined'!$Q49=0,0,"NA"))</f>
        <v>0</v>
      </c>
    </row>
    <row r="77" spans="1:36" x14ac:dyDescent="0.35">
      <c r="A77" s="2"/>
      <c r="B77" s="29" t="s">
        <v>66</v>
      </c>
      <c r="C77" s="20">
        <f>IFERROR('Data- Refined'!$B50/'Support Calculation'!$Q50,'Data- Refined'!$B50)</f>
        <v>2.0499999999999998</v>
      </c>
      <c r="D77" s="20">
        <f>IFERROR('Data- Refined'!$C50/'Support Calculation'!$Z50,'Data- Refined'!$C50)</f>
        <v>4.1818181818181817</v>
      </c>
      <c r="E77" s="20">
        <f>IFERROR('Data- Refined'!$D50/'Support Calculation'!$AI50,'Data- Refined'!$D50)</f>
        <v>6.55</v>
      </c>
      <c r="F77" s="20">
        <f>IFERROR('Data- Refined'!$E50/'Support Calculation'!$AR50,'Data- Refined'!$E50)</f>
        <v>5.3125</v>
      </c>
      <c r="G77" s="20">
        <f>IFERROR('Data- Refined'!$F50/'Support Calculation'!$BA50,'Data- Refined'!$F50)</f>
        <v>5.0606060606060606</v>
      </c>
      <c r="H77" s="20">
        <f>IFERROR('Data- Refined'!$G50/'Support Calculation'!$BJ50,'Data- Refined'!$G50)</f>
        <v>4.0285714285714285</v>
      </c>
      <c r="I77" s="20">
        <f>IFERROR('Data- Refined'!$H50/'Support Calculation'!$BS50,'Data- Refined'!$H50)</f>
        <v>4.115384615384615</v>
      </c>
      <c r="J77" s="20">
        <f>IFERROR('Data- Refined'!$I50/'Support Calculation'!$CB50,'Data- Refined'!$I50)</f>
        <v>3.8095238095238093</v>
      </c>
      <c r="K77" s="20">
        <f>IFERROR('Data- Refined'!$J50/'Support Calculation'!$CK50,'Data- Refined'!$J50)</f>
        <v>4.5999999999999996</v>
      </c>
      <c r="L77" s="20">
        <f>IFERROR('Data- Refined'!$K50/'Support Calculation'!$CT50,'Data- Refined'!$K50)</f>
        <v>2.7272727272727271</v>
      </c>
      <c r="M77" s="20">
        <f>IFERROR('Data- Refined'!$L50/'Support Calculation'!$DC50,'Data- Refined'!$L50)</f>
        <v>2.8333333333333335</v>
      </c>
      <c r="N77" s="20">
        <f>IFERROR('Data- Refined'!$M50/'Support Calculation'!$DL50,'Data- Refined'!$M50)</f>
        <v>5.1333333333333337</v>
      </c>
      <c r="O77" s="20">
        <f>IFERROR('Data- Refined'!$N50/'Support Calculation'!$DU50,'Data- Refined'!$N50)</f>
        <v>2.2692307692307692</v>
      </c>
      <c r="P77" s="20">
        <f>IFERROR('Data- Refined'!$O50/'Support Calculation'!$ED50,'Data- Refined'!$O50)</f>
        <v>0</v>
      </c>
      <c r="Q77" s="20">
        <f>IFERROR('Data- Refined'!$P50/'Support Calculation'!EM50,'Data- Refined'!$P50)</f>
        <v>0</v>
      </c>
      <c r="R77" s="20">
        <f>IFERROR('Data- Refined'!$Q50/'Support Calculation'!EV50,'Data- Refined'!$Q50)</f>
        <v>0</v>
      </c>
      <c r="T77" s="29" t="s">
        <v>66</v>
      </c>
      <c r="U77" s="20">
        <f>IFERROR('Data- Refined'!$B50/'Support Calculation'!$Q50,IF('Data- Refined'!$B50=0,0,"NA"))</f>
        <v>2.0499999999999998</v>
      </c>
      <c r="V77" s="20">
        <f>IFERROR('Data- Refined'!$C50/'Support Calculation'!$Z50,IF('Data- Refined'!$C50=0,0,"NA"))</f>
        <v>4.1818181818181817</v>
      </c>
      <c r="W77" s="20">
        <f>IFERROR('Data- Refined'!$D50/'Support Calculation'!$AI50,IF('Data- Refined'!$D50=0,0,"NA"))</f>
        <v>6.55</v>
      </c>
      <c r="X77" s="20">
        <f>IFERROR('Data- Refined'!$E50/'Support Calculation'!$AR50,IF('Data- Refined'!$E50=0,0,"NA"))</f>
        <v>5.3125</v>
      </c>
      <c r="Y77" s="20">
        <f>IFERROR('Data- Refined'!$F50/'Support Calculation'!$BA50,IF('Data- Refined'!$F50=0,0,"NA"))</f>
        <v>5.0606060606060606</v>
      </c>
      <c r="Z77" s="20">
        <f>IFERROR('Data- Refined'!$G50/'Support Calculation'!$BJ50,IF('Data- Refined'!$G50=0,0,"NA"))</f>
        <v>4.0285714285714285</v>
      </c>
      <c r="AA77" s="20">
        <f>IFERROR('Data- Refined'!$H50/'Support Calculation'!$BS50,IF('Data- Refined'!$H50=0,0,"NA"))</f>
        <v>4.115384615384615</v>
      </c>
      <c r="AB77" s="20">
        <f>IFERROR('Data- Refined'!$I50/'Support Calculation'!$CB50,IF('Data- Refined'!$I50=0,0,"NA"))</f>
        <v>3.8095238095238093</v>
      </c>
      <c r="AC77" s="20">
        <f>IFERROR('Data- Refined'!$J50/'Support Calculation'!$CK50,IF('Data- Refined'!$J50=0,0,"NA"))</f>
        <v>4.5999999999999996</v>
      </c>
      <c r="AD77" s="20">
        <f>IFERROR('Data- Refined'!$K50/'Support Calculation'!$CT50,IF('Data- Refined'!$K50=0,0,"NA"))</f>
        <v>2.7272727272727271</v>
      </c>
      <c r="AE77" s="20">
        <f>IFERROR('Data- Refined'!$L50/'Support Calculation'!$DC50,IF('Data- Refined'!$L50=0,0,"NA"))</f>
        <v>2.8333333333333335</v>
      </c>
      <c r="AF77" s="20">
        <f>IFERROR('Data- Refined'!$M50/'Support Calculation'!$DL50,IF('Data- Refined'!$M50=0,0,"NA"))</f>
        <v>5.1333333333333337</v>
      </c>
      <c r="AG77" s="20">
        <f>IFERROR('Data- Refined'!$N50/'Support Calculation'!$DU50,IF('Data- Refined'!$N50=0,0,"NA"))</f>
        <v>2.2692307692307692</v>
      </c>
      <c r="AH77" s="20">
        <f>IFERROR('Data- Refined'!$O50/'Support Calculation'!$ED50,IF('Data- Refined'!$O50=0,0,"NA"))</f>
        <v>0</v>
      </c>
      <c r="AI77" s="151">
        <f>IFERROR('Data- Refined'!$P50/'Support Calculation'!EM50,IF('Data- Refined'!$P50=0,0,"NA"))</f>
        <v>0</v>
      </c>
      <c r="AJ77" s="151">
        <f>IFERROR('Data- Refined'!$Q50/'Support Calculation'!EV50,IF('Data- Refined'!$Q50=0,0,"NA"))</f>
        <v>0</v>
      </c>
    </row>
    <row r="78" spans="1:36" x14ac:dyDescent="0.35">
      <c r="A78" s="2"/>
      <c r="B78" s="29" t="s">
        <v>67</v>
      </c>
      <c r="C78" s="20">
        <f>IFERROR('Data- Refined'!$B51/'Support Calculation'!$Q51,'Data- Refined'!$B51)</f>
        <v>0</v>
      </c>
      <c r="D78" s="20">
        <f>IFERROR('Data- Refined'!$C51/'Support Calculation'!$Z51,'Data- Refined'!$C51)</f>
        <v>9.5</v>
      </c>
      <c r="E78" s="20">
        <f>IFERROR('Data- Refined'!$D51/'Support Calculation'!$AI51,'Data- Refined'!$D51)</f>
        <v>4.25</v>
      </c>
      <c r="F78" s="20">
        <f>IFERROR('Data- Refined'!$E51/'Support Calculation'!$AR51,'Data- Refined'!$E51)</f>
        <v>4</v>
      </c>
      <c r="G78" s="20">
        <f>IFERROR('Data- Refined'!$F51/'Support Calculation'!$BA51,'Data- Refined'!$F51)</f>
        <v>2.1666666666666665</v>
      </c>
      <c r="H78" s="20">
        <f>IFERROR('Data- Refined'!$G51/'Support Calculation'!$BJ51,'Data- Refined'!$G51)</f>
        <v>3.75</v>
      </c>
      <c r="I78" s="20">
        <f>IFERROR('Data- Refined'!$H51/'Support Calculation'!$BS51,'Data- Refined'!$H51)</f>
        <v>4</v>
      </c>
      <c r="J78" s="20">
        <f>IFERROR('Data- Refined'!$I51/'Support Calculation'!$CB51,'Data- Refined'!$I51)</f>
        <v>3.5</v>
      </c>
      <c r="K78" s="20">
        <f>IFERROR('Data- Refined'!$J51/'Support Calculation'!$CK51,'Data- Refined'!$J51)</f>
        <v>1</v>
      </c>
      <c r="L78" s="20">
        <f>IFERROR('Data- Refined'!$K51/'Support Calculation'!$CT51,'Data- Refined'!$K51)</f>
        <v>3</v>
      </c>
      <c r="M78" s="20">
        <f>IFERROR('Data- Refined'!$L51/'Support Calculation'!$DC51,'Data- Refined'!$L51)</f>
        <v>2.6666666666666665</v>
      </c>
      <c r="N78" s="20">
        <f>IFERROR('Data- Refined'!$M51/'Support Calculation'!$DL51,'Data- Refined'!$M51)</f>
        <v>1.6666666666666667</v>
      </c>
      <c r="O78" s="20">
        <f>IFERROR('Data- Refined'!$N51/'Support Calculation'!$DU51,'Data- Refined'!$N51)</f>
        <v>1.25</v>
      </c>
      <c r="P78" s="20">
        <f>IFERROR('Data- Refined'!$O51/'Support Calculation'!$ED51,'Data- Refined'!$O51)</f>
        <v>0</v>
      </c>
      <c r="Q78" s="20">
        <f>IFERROR('Data- Refined'!$P51/'Support Calculation'!EM51,'Data- Refined'!$P51)</f>
        <v>0</v>
      </c>
      <c r="R78" s="20">
        <f>IFERROR('Data- Refined'!$Q51/'Support Calculation'!EV51,'Data- Refined'!$Q51)</f>
        <v>0</v>
      </c>
      <c r="T78" s="29" t="s">
        <v>67</v>
      </c>
      <c r="U78" s="20">
        <f>IFERROR('Data- Refined'!$B51/'Support Calculation'!$Q51,IF('Data- Refined'!$B51=0,0,"NA"))</f>
        <v>0</v>
      </c>
      <c r="V78" s="20">
        <f>IFERROR('Data- Refined'!$C51/'Support Calculation'!$Z51,IF('Data- Refined'!$C51=0,0,"NA"))</f>
        <v>9.5</v>
      </c>
      <c r="W78" s="20">
        <f>IFERROR('Data- Refined'!$D51/'Support Calculation'!$AI51,IF('Data- Refined'!$D51=0,0,"NA"))</f>
        <v>4.25</v>
      </c>
      <c r="X78" s="20">
        <f>IFERROR('Data- Refined'!$E51/'Support Calculation'!$AR51,IF('Data- Refined'!$E51=0,0,"NA"))</f>
        <v>4</v>
      </c>
      <c r="Y78" s="20">
        <f>IFERROR('Data- Refined'!$F51/'Support Calculation'!$BA51,IF('Data- Refined'!$F51=0,0,"NA"))</f>
        <v>2.1666666666666665</v>
      </c>
      <c r="Z78" s="20">
        <f>IFERROR('Data- Refined'!$G51/'Support Calculation'!$BJ51,IF('Data- Refined'!$G51=0,0,"NA"))</f>
        <v>3.75</v>
      </c>
      <c r="AA78" s="20">
        <f>IFERROR('Data- Refined'!$H51/'Support Calculation'!$BS51,IF('Data- Refined'!$H51=0,0,"NA"))</f>
        <v>4</v>
      </c>
      <c r="AB78" s="20">
        <f>IFERROR('Data- Refined'!$I51/'Support Calculation'!$CB51,IF('Data- Refined'!$I51=0,0,"NA"))</f>
        <v>3.5</v>
      </c>
      <c r="AC78" s="20">
        <f>IFERROR('Data- Refined'!$J51/'Support Calculation'!$CK51,IF('Data- Refined'!$J51=0,0,"NA"))</f>
        <v>1</v>
      </c>
      <c r="AD78" s="20">
        <f>IFERROR('Data- Refined'!$K51/'Support Calculation'!$CT51,IF('Data- Refined'!$K51=0,0,"NA"))</f>
        <v>3</v>
      </c>
      <c r="AE78" s="20">
        <f>IFERROR('Data- Refined'!$L51/'Support Calculation'!$DC51,IF('Data- Refined'!$L51=0,0,"NA"))</f>
        <v>2.6666666666666665</v>
      </c>
      <c r="AF78" s="20">
        <f>IFERROR('Data- Refined'!$M51/'Support Calculation'!$DL51,IF('Data- Refined'!$M51=0,0,"NA"))</f>
        <v>1.6666666666666667</v>
      </c>
      <c r="AG78" s="20">
        <f>IFERROR('Data- Refined'!$N51/'Support Calculation'!$DU51,IF('Data- Refined'!$N51=0,0,"NA"))</f>
        <v>1.25</v>
      </c>
      <c r="AH78" s="20">
        <f>IFERROR('Data- Refined'!$O51/'Support Calculation'!$ED51,IF('Data- Refined'!$O51=0,0,"NA"))</f>
        <v>0</v>
      </c>
      <c r="AI78" s="151">
        <f>IFERROR('Data- Refined'!$P51/'Support Calculation'!EM51,IF('Data- Refined'!$P51=0,0,"NA"))</f>
        <v>0</v>
      </c>
      <c r="AJ78" s="151">
        <f>IFERROR('Data- Refined'!$Q51/'Support Calculation'!EV51,IF('Data- Refined'!$Q51=0,0,"NA"))</f>
        <v>0</v>
      </c>
    </row>
    <row r="79" spans="1:36" x14ac:dyDescent="0.35">
      <c r="A79" s="2"/>
      <c r="B79" s="29" t="s">
        <v>68</v>
      </c>
      <c r="C79" s="20">
        <f>IFERROR('Data- Refined'!$B52/'Support Calculation'!$Q52,'Data- Refined'!$B52)</f>
        <v>0</v>
      </c>
      <c r="D79" s="20">
        <f>IFERROR('Data- Refined'!$C52/'Support Calculation'!$Z52,'Data- Refined'!$C52)</f>
        <v>0</v>
      </c>
      <c r="E79" s="20">
        <f>IFERROR('Data- Refined'!$D52/'Support Calculation'!$AI52,'Data- Refined'!$D52)</f>
        <v>0</v>
      </c>
      <c r="F79" s="20">
        <f>IFERROR('Data- Refined'!$E52/'Support Calculation'!$AR52,'Data- Refined'!$E52)</f>
        <v>3.0370370370370372</v>
      </c>
      <c r="G79" s="20">
        <f>IFERROR('Data- Refined'!$F52/'Support Calculation'!$BA52,'Data- Refined'!$F52)</f>
        <v>5.2173913043478262</v>
      </c>
      <c r="H79" s="20">
        <f>IFERROR('Data- Refined'!$G52/'Support Calculation'!$BJ52,'Data- Refined'!$G52)</f>
        <v>4.8</v>
      </c>
      <c r="I79" s="20">
        <f>IFERROR('Data- Refined'!$H52/'Support Calculation'!$BS52,'Data- Refined'!$H52)</f>
        <v>6.375</v>
      </c>
      <c r="J79" s="20">
        <f>IFERROR('Data- Refined'!$I52/'Support Calculation'!$CB52,'Data- Refined'!$I52)</f>
        <v>4.4375</v>
      </c>
      <c r="K79" s="20">
        <f>IFERROR('Data- Refined'!$J52/'Support Calculation'!$CK52,'Data- Refined'!$J52)</f>
        <v>4</v>
      </c>
      <c r="L79" s="20">
        <f>IFERROR('Data- Refined'!$K52/'Support Calculation'!$CT52,'Data- Refined'!$K52)</f>
        <v>2.3333333333333335</v>
      </c>
      <c r="M79" s="20">
        <f>IFERROR('Data- Refined'!$L52/'Support Calculation'!$DC52,'Data- Refined'!$L52)</f>
        <v>3.6428571428571428</v>
      </c>
      <c r="N79" s="20">
        <f>IFERROR('Data- Refined'!$M52/'Support Calculation'!$DL52,'Data- Refined'!$M52)</f>
        <v>3.6666666666666665</v>
      </c>
      <c r="O79" s="20">
        <f>IFERROR('Data- Refined'!$N52/'Support Calculation'!$DU52,'Data- Refined'!$N52)</f>
        <v>1.6875</v>
      </c>
      <c r="P79" s="20">
        <f>IFERROR('Data- Refined'!$O52/'Support Calculation'!$ED52,'Data- Refined'!$O52)</f>
        <v>4.6875</v>
      </c>
      <c r="Q79" s="20">
        <f>IFERROR('Data- Refined'!$P52/'Support Calculation'!EM52,'Data- Refined'!$P52)</f>
        <v>9.6666666666666661</v>
      </c>
      <c r="R79" s="20">
        <f>IFERROR('Data- Refined'!$Q52/'Support Calculation'!EV52,'Data- Refined'!$Q52)</f>
        <v>7.2222222222222223</v>
      </c>
      <c r="T79" s="29" t="s">
        <v>68</v>
      </c>
      <c r="U79" s="20">
        <f>IFERROR('Data- Refined'!$B52/'Support Calculation'!$Q52,IF('Data- Refined'!$B52=0,0,"NA"))</f>
        <v>0</v>
      </c>
      <c r="V79" s="20">
        <f>IFERROR('Data- Refined'!$C52/'Support Calculation'!$Z52,IF('Data- Refined'!$C52=0,0,"NA"))</f>
        <v>0</v>
      </c>
      <c r="W79" s="20">
        <f>IFERROR('Data- Refined'!$D52/'Support Calculation'!$AI52,IF('Data- Refined'!$D52=0,0,"NA"))</f>
        <v>0</v>
      </c>
      <c r="X79" s="20">
        <f>IFERROR('Data- Refined'!$E52/'Support Calculation'!$AR52,IF('Data- Refined'!$E52=0,0,"NA"))</f>
        <v>3.0370370370370372</v>
      </c>
      <c r="Y79" s="20">
        <f>IFERROR('Data- Refined'!$F52/'Support Calculation'!$BA52,IF('Data- Refined'!$F52=0,0,"NA"))</f>
        <v>5.2173913043478262</v>
      </c>
      <c r="Z79" s="20">
        <f>IFERROR('Data- Refined'!$G52/'Support Calculation'!$BJ52,IF('Data- Refined'!$G52=0,0,"NA"))</f>
        <v>4.8</v>
      </c>
      <c r="AA79" s="20">
        <f>IFERROR('Data- Refined'!$H52/'Support Calculation'!$BS52,IF('Data- Refined'!$H52=0,0,"NA"))</f>
        <v>6.375</v>
      </c>
      <c r="AB79" s="20">
        <f>IFERROR('Data- Refined'!$I52/'Support Calculation'!$CB52,IF('Data- Refined'!$I52=0,0,"NA"))</f>
        <v>4.4375</v>
      </c>
      <c r="AC79" s="20">
        <f>IFERROR('Data- Refined'!$J52/'Support Calculation'!$CK52,IF('Data- Refined'!$J52=0,0,"NA"))</f>
        <v>4</v>
      </c>
      <c r="AD79" s="20">
        <f>IFERROR('Data- Refined'!$K52/'Support Calculation'!$CT52,IF('Data- Refined'!$K52=0,0,"NA"))</f>
        <v>2.3333333333333335</v>
      </c>
      <c r="AE79" s="20">
        <f>IFERROR('Data- Refined'!$L52/'Support Calculation'!$DC52,IF('Data- Refined'!$L52=0,0,"NA"))</f>
        <v>3.6428571428571428</v>
      </c>
      <c r="AF79" s="20">
        <f>IFERROR('Data- Refined'!$M52/'Support Calculation'!$DL52,IF('Data- Refined'!$M52=0,0,"NA"))</f>
        <v>3.6666666666666665</v>
      </c>
      <c r="AG79" s="20">
        <f>IFERROR('Data- Refined'!$N52/'Support Calculation'!$DU52,IF('Data- Refined'!$N52=0,0,"NA"))</f>
        <v>1.6875</v>
      </c>
      <c r="AH79" s="20">
        <f>IFERROR('Data- Refined'!$O52/'Support Calculation'!$ED52,IF('Data- Refined'!$O52=0,0,"NA"))</f>
        <v>4.6875</v>
      </c>
      <c r="AI79" s="151">
        <f>IFERROR('Data- Refined'!$P52/'Support Calculation'!EM52,IF('Data- Refined'!$P52=0,0,"NA"))</f>
        <v>9.6666666666666661</v>
      </c>
      <c r="AJ79" s="151">
        <f>IFERROR('Data- Refined'!$Q52/'Support Calculation'!EV52,IF('Data- Refined'!$Q52=0,0,"NA"))</f>
        <v>7.2222222222222223</v>
      </c>
    </row>
    <row r="80" spans="1:36" x14ac:dyDescent="0.35">
      <c r="A80" s="2"/>
      <c r="B80" s="29" t="s">
        <v>69</v>
      </c>
      <c r="C80" s="20">
        <f>IFERROR('Data- Refined'!$B53/'Support Calculation'!$Q53,'Data- Refined'!$B53)</f>
        <v>0</v>
      </c>
      <c r="D80" s="20">
        <f>IFERROR('Data- Refined'!$C53/'Support Calculation'!$Z53,'Data- Refined'!$C53)</f>
        <v>10</v>
      </c>
      <c r="E80" s="20">
        <f>IFERROR('Data- Refined'!$D53/'Support Calculation'!$AI53,'Data- Refined'!$D53)</f>
        <v>6.625</v>
      </c>
      <c r="F80" s="20">
        <f>IFERROR('Data- Refined'!$E53/'Support Calculation'!$AR53,'Data- Refined'!$E53)</f>
        <v>6.4545454545454541</v>
      </c>
      <c r="G80" s="20">
        <f>IFERROR('Data- Refined'!$F53/'Support Calculation'!$BA53,'Data- Refined'!$F53)</f>
        <v>6.7</v>
      </c>
      <c r="H80" s="20">
        <f>IFERROR('Data- Refined'!$G53/'Support Calculation'!$BJ53,'Data- Refined'!$G53)</f>
        <v>8</v>
      </c>
      <c r="I80" s="20">
        <f>IFERROR('Data- Refined'!$H53/'Support Calculation'!$BS53,'Data- Refined'!$H53)</f>
        <v>7.166666666666667</v>
      </c>
      <c r="J80" s="20">
        <f>IFERROR('Data- Refined'!$I53/'Support Calculation'!$CB53,'Data- Refined'!$I53)</f>
        <v>3.7142857142857144</v>
      </c>
      <c r="K80" s="20">
        <f>IFERROR('Data- Refined'!$J53/'Support Calculation'!$CK53,'Data- Refined'!$J53)</f>
        <v>3.375</v>
      </c>
      <c r="L80" s="20">
        <f>IFERROR('Data- Refined'!$K53/'Support Calculation'!$CT53,'Data- Refined'!$K53)</f>
        <v>3.6666666666666665</v>
      </c>
      <c r="M80" s="20">
        <f>IFERROR('Data- Refined'!$L53/'Support Calculation'!$DC53,'Data- Refined'!$L53)</f>
        <v>6</v>
      </c>
      <c r="N80" s="20">
        <f>IFERROR('Data- Refined'!$M53/'Support Calculation'!$DL53,'Data- Refined'!$M53)</f>
        <v>5.5</v>
      </c>
      <c r="O80" s="20">
        <f>IFERROR('Data- Refined'!$N53/'Support Calculation'!$DU53,'Data- Refined'!$N53)</f>
        <v>3.5</v>
      </c>
      <c r="P80" s="20">
        <f>IFERROR('Data- Refined'!$O53/'Support Calculation'!$ED53,'Data- Refined'!$O53)</f>
        <v>2.6666666666666665</v>
      </c>
      <c r="Q80" s="20">
        <f>IFERROR('Data- Refined'!$P53/'Support Calculation'!EM53,'Data- Refined'!$P53)</f>
        <v>0</v>
      </c>
      <c r="R80" s="20">
        <f>IFERROR('Data- Refined'!$Q53/'Support Calculation'!EV53,'Data- Refined'!$Q53)</f>
        <v>0</v>
      </c>
      <c r="T80" s="29" t="s">
        <v>69</v>
      </c>
      <c r="U80" s="20">
        <f>IFERROR('Data- Refined'!$B53/'Support Calculation'!$Q53,IF('Data- Refined'!$B53=0,0,"NA"))</f>
        <v>0</v>
      </c>
      <c r="V80" s="20">
        <f>IFERROR('Data- Refined'!$C53/'Support Calculation'!$Z53,IF('Data- Refined'!$C53=0,0,"NA"))</f>
        <v>10</v>
      </c>
      <c r="W80" s="20">
        <f>IFERROR('Data- Refined'!$D53/'Support Calculation'!$AI53,IF('Data- Refined'!$D53=0,0,"NA"))</f>
        <v>6.625</v>
      </c>
      <c r="X80" s="20">
        <f>IFERROR('Data- Refined'!$E53/'Support Calculation'!$AR53,IF('Data- Refined'!$E53=0,0,"NA"))</f>
        <v>6.4545454545454541</v>
      </c>
      <c r="Y80" s="20">
        <f>IFERROR('Data- Refined'!$F53/'Support Calculation'!$BA53,IF('Data- Refined'!$F53=0,0,"NA"))</f>
        <v>6.7</v>
      </c>
      <c r="Z80" s="20">
        <f>IFERROR('Data- Refined'!$G53/'Support Calculation'!$BJ53,IF('Data- Refined'!$G53=0,0,"NA"))</f>
        <v>8</v>
      </c>
      <c r="AA80" s="20">
        <f>IFERROR('Data- Refined'!$H53/'Support Calculation'!$BS53,IF('Data- Refined'!$H53=0,0,"NA"))</f>
        <v>7.166666666666667</v>
      </c>
      <c r="AB80" s="20">
        <f>IFERROR('Data- Refined'!$I53/'Support Calculation'!$CB53,IF('Data- Refined'!$I53=0,0,"NA"))</f>
        <v>3.7142857142857144</v>
      </c>
      <c r="AC80" s="20">
        <f>IFERROR('Data- Refined'!$J53/'Support Calculation'!$CK53,IF('Data- Refined'!$J53=0,0,"NA"))</f>
        <v>3.375</v>
      </c>
      <c r="AD80" s="20">
        <f>IFERROR('Data- Refined'!$K53/'Support Calculation'!$CT53,IF('Data- Refined'!$K53=0,0,"NA"))</f>
        <v>3.6666666666666665</v>
      </c>
      <c r="AE80" s="20">
        <f>IFERROR('Data- Refined'!$L53/'Support Calculation'!$DC53,IF('Data- Refined'!$L53=0,0,"NA"))</f>
        <v>6</v>
      </c>
      <c r="AF80" s="20">
        <f>IFERROR('Data- Refined'!$M53/'Support Calculation'!$DL53,IF('Data- Refined'!$M53=0,0,"NA"))</f>
        <v>5.5</v>
      </c>
      <c r="AG80" s="20">
        <f>IFERROR('Data- Refined'!$N53/'Support Calculation'!$DU53,IF('Data- Refined'!$N53=0,0,"NA"))</f>
        <v>3.5</v>
      </c>
      <c r="AH80" s="20">
        <f>IFERROR('Data- Refined'!$O53/'Support Calculation'!$ED53,IF('Data- Refined'!$O53=0,0,"NA"))</f>
        <v>2.6666666666666665</v>
      </c>
      <c r="AI80" s="151">
        <f>IFERROR('Data- Refined'!$P53/'Support Calculation'!EM53,IF('Data- Refined'!$P53=0,0,"NA"))</f>
        <v>0</v>
      </c>
      <c r="AJ80" s="151">
        <f>IFERROR('Data- Refined'!$Q53/'Support Calculation'!EV53,IF('Data- Refined'!$Q53=0,0,"NA"))</f>
        <v>0</v>
      </c>
    </row>
    <row r="81" spans="1:36" x14ac:dyDescent="0.35">
      <c r="A81" s="2"/>
      <c r="B81" s="29" t="s">
        <v>70</v>
      </c>
      <c r="C81" s="20">
        <f>IFERROR('Data- Refined'!$B54/'Support Calculation'!$Q54,'Data- Refined'!$B54)</f>
        <v>2</v>
      </c>
      <c r="D81" s="20">
        <f>IFERROR('Data- Refined'!$C54/'Support Calculation'!$Z54,'Data- Refined'!$C54)</f>
        <v>17</v>
      </c>
      <c r="E81" s="20">
        <f>IFERROR('Data- Refined'!$D54/'Support Calculation'!$AI54,'Data- Refined'!$D54)</f>
        <v>11</v>
      </c>
      <c r="F81" s="20">
        <f>IFERROR('Data- Refined'!$E54/'Support Calculation'!$AR54,'Data- Refined'!$E54)</f>
        <v>5.8</v>
      </c>
      <c r="G81" s="20">
        <f>IFERROR('Data- Refined'!$F54/'Support Calculation'!$BA54,'Data- Refined'!$F54)</f>
        <v>4.25</v>
      </c>
      <c r="H81" s="20">
        <f>IFERROR('Data- Refined'!$G54/'Support Calculation'!$BJ54,'Data- Refined'!$G54)</f>
        <v>7</v>
      </c>
      <c r="I81" s="20">
        <f>IFERROR('Data- Refined'!$H54/'Support Calculation'!$BS54,'Data- Refined'!$H54)</f>
        <v>11</v>
      </c>
      <c r="J81" s="20">
        <f>IFERROR('Data- Refined'!$I54/'Support Calculation'!$CB54,'Data- Refined'!$I54)</f>
        <v>3.75</v>
      </c>
      <c r="K81" s="20">
        <f>IFERROR('Data- Refined'!$J54/'Support Calculation'!$CK54,'Data- Refined'!$J54)</f>
        <v>2</v>
      </c>
      <c r="L81" s="20">
        <f>IFERROR('Data- Refined'!$K54/'Support Calculation'!$CT54,'Data- Refined'!$K54)</f>
        <v>2.5</v>
      </c>
      <c r="M81" s="20">
        <f>IFERROR('Data- Refined'!$L54/'Support Calculation'!$DC54,'Data- Refined'!$L54)</f>
        <v>7</v>
      </c>
      <c r="N81" s="20">
        <f>IFERROR('Data- Refined'!$M54/'Support Calculation'!$DL54,'Data- Refined'!$M54)</f>
        <v>11</v>
      </c>
      <c r="O81" s="20">
        <f>IFERROR('Data- Refined'!$N54/'Support Calculation'!$DU54,'Data- Refined'!$N54)</f>
        <v>4</v>
      </c>
      <c r="P81" s="20">
        <f>IFERROR('Data- Refined'!$O54/'Support Calculation'!$ED54,'Data- Refined'!$O54)</f>
        <v>0</v>
      </c>
      <c r="Q81" s="20">
        <f>IFERROR('Data- Refined'!$P54/'Support Calculation'!EM54,'Data- Refined'!$P54)</f>
        <v>0</v>
      </c>
      <c r="R81" s="20">
        <f>IFERROR('Data- Refined'!$Q54/'Support Calculation'!EV54,'Data- Refined'!$Q54)</f>
        <v>0</v>
      </c>
      <c r="T81" s="29" t="s">
        <v>70</v>
      </c>
      <c r="U81" s="20">
        <f>IFERROR('Data- Refined'!$B54/'Support Calculation'!$Q54,IF('Data- Refined'!$B54=0,0,"NA"))</f>
        <v>2</v>
      </c>
      <c r="V81" s="20">
        <f>IFERROR('Data- Refined'!$C54/'Support Calculation'!$Z54,IF('Data- Refined'!$C54=0,0,"NA"))</f>
        <v>17</v>
      </c>
      <c r="W81" s="20">
        <f>IFERROR('Data- Refined'!$D54/'Support Calculation'!$AI54,IF('Data- Refined'!$D54=0,0,"NA"))</f>
        <v>11</v>
      </c>
      <c r="X81" s="20">
        <f>IFERROR('Data- Refined'!$E54/'Support Calculation'!$AR54,IF('Data- Refined'!$E54=0,0,"NA"))</f>
        <v>5.8</v>
      </c>
      <c r="Y81" s="20">
        <f>IFERROR('Data- Refined'!$F54/'Support Calculation'!$BA54,IF('Data- Refined'!$F54=0,0,"NA"))</f>
        <v>4.25</v>
      </c>
      <c r="Z81" s="20">
        <f>IFERROR('Data- Refined'!$G54/'Support Calculation'!$BJ54,IF('Data- Refined'!$G54=0,0,"NA"))</f>
        <v>7</v>
      </c>
      <c r="AA81" s="20">
        <f>IFERROR('Data- Refined'!$H54/'Support Calculation'!$BS54,IF('Data- Refined'!$H54=0,0,"NA"))</f>
        <v>11</v>
      </c>
      <c r="AB81" s="20">
        <f>IFERROR('Data- Refined'!$I54/'Support Calculation'!$CB54,IF('Data- Refined'!$I54=0,0,"NA"))</f>
        <v>3.75</v>
      </c>
      <c r="AC81" s="20">
        <f>IFERROR('Data- Refined'!$J54/'Support Calculation'!$CK54,IF('Data- Refined'!$J54=0,0,"NA"))</f>
        <v>2</v>
      </c>
      <c r="AD81" s="20">
        <f>IFERROR('Data- Refined'!$K54/'Support Calculation'!$CT54,IF('Data- Refined'!$K54=0,0,"NA"))</f>
        <v>2.5</v>
      </c>
      <c r="AE81" s="20">
        <f>IFERROR('Data- Refined'!$L54/'Support Calculation'!$DC54,IF('Data- Refined'!$L54=0,0,"NA"))</f>
        <v>7</v>
      </c>
      <c r="AF81" s="20">
        <f>IFERROR('Data- Refined'!$M54/'Support Calculation'!$DL54,IF('Data- Refined'!$M54=0,0,"NA"))</f>
        <v>11</v>
      </c>
      <c r="AG81" s="20">
        <f>IFERROR('Data- Refined'!$N54/'Support Calculation'!$DU54,IF('Data- Refined'!$N54=0,0,"NA"))</f>
        <v>4</v>
      </c>
      <c r="AH81" s="20">
        <f>IFERROR('Data- Refined'!$O54/'Support Calculation'!$ED54,IF('Data- Refined'!$O54=0,0,"NA"))</f>
        <v>0</v>
      </c>
      <c r="AI81" s="151">
        <f>IFERROR('Data- Refined'!$P54/'Support Calculation'!EM54,IF('Data- Refined'!$P54=0,0,"NA"))</f>
        <v>0</v>
      </c>
      <c r="AJ81" s="151">
        <f>IFERROR('Data- Refined'!$Q54/'Support Calculation'!EV54,IF('Data- Refined'!$Q54=0,0,"NA"))</f>
        <v>0</v>
      </c>
    </row>
    <row r="82" spans="1:36" x14ac:dyDescent="0.35">
      <c r="A82" s="2"/>
      <c r="B82" s="29" t="s">
        <v>71</v>
      </c>
      <c r="C82" s="20">
        <f>IFERROR('Data- Refined'!$B55/'Support Calculation'!$Q55,'Data- Refined'!$B55)</f>
        <v>0</v>
      </c>
      <c r="D82" s="20">
        <f>IFERROR('Data- Refined'!$C55/'Support Calculation'!$Z55,'Data- Refined'!$C55)</f>
        <v>0</v>
      </c>
      <c r="E82" s="20">
        <f>IFERROR('Data- Refined'!$D55/'Support Calculation'!$AI55,'Data- Refined'!$D55)</f>
        <v>4.5</v>
      </c>
      <c r="F82" s="20">
        <f>IFERROR('Data- Refined'!$E55/'Support Calculation'!$AR55,'Data- Refined'!$E55)</f>
        <v>2.8333333333333335</v>
      </c>
      <c r="G82" s="20">
        <f>IFERROR('Data- Refined'!$F55/'Support Calculation'!$BA55,'Data- Refined'!$F55)</f>
        <v>3.2</v>
      </c>
      <c r="H82" s="20">
        <f>IFERROR('Data- Refined'!$G55/'Support Calculation'!$BJ55,'Data- Refined'!$G55)</f>
        <v>2</v>
      </c>
      <c r="I82" s="20">
        <f>IFERROR('Data- Refined'!$H55/'Support Calculation'!$BS55,'Data- Refined'!$H55)</f>
        <v>10</v>
      </c>
      <c r="J82" s="20">
        <f>IFERROR('Data- Refined'!$I55/'Support Calculation'!$CB55,'Data- Refined'!$I55)</f>
        <v>5.5</v>
      </c>
      <c r="K82" s="20">
        <f>IFERROR('Data- Refined'!$J55/'Support Calculation'!$CK55,'Data- Refined'!$J55)</f>
        <v>2.25</v>
      </c>
      <c r="L82" s="20">
        <f>IFERROR('Data- Refined'!$K55/'Support Calculation'!$CT55,'Data- Refined'!$K55)</f>
        <v>1</v>
      </c>
      <c r="M82" s="20">
        <f>IFERROR('Data- Refined'!$L55/'Support Calculation'!$DC55,'Data- Refined'!$L55)</f>
        <v>1</v>
      </c>
      <c r="N82" s="20">
        <f>IFERROR('Data- Refined'!$M55/'Support Calculation'!$DL55,'Data- Refined'!$M55)</f>
        <v>6</v>
      </c>
      <c r="O82" s="20">
        <f>IFERROR('Data- Refined'!$N55/'Support Calculation'!$DU55,'Data- Refined'!$N55)</f>
        <v>6</v>
      </c>
      <c r="P82" s="20">
        <f>IFERROR('Data- Refined'!$O55/'Support Calculation'!$ED55,'Data- Refined'!$O55)</f>
        <v>10</v>
      </c>
      <c r="Q82" s="20">
        <f>IFERROR('Data- Refined'!$P55/'Support Calculation'!EM55,'Data- Refined'!$P55)</f>
        <v>7</v>
      </c>
      <c r="R82" s="20">
        <f>IFERROR('Data- Refined'!$Q55/'Support Calculation'!EV55,'Data- Refined'!$Q55)</f>
        <v>0</v>
      </c>
      <c r="T82" s="29" t="s">
        <v>71</v>
      </c>
      <c r="U82" s="20">
        <f>IFERROR('Data- Refined'!$B55/'Support Calculation'!$Q55,IF('Data- Refined'!$B55=0,0,"NA"))</f>
        <v>0</v>
      </c>
      <c r="V82" s="20">
        <f>IFERROR('Data- Refined'!$C55/'Support Calculation'!$Z55,IF('Data- Refined'!$C55=0,0,"NA"))</f>
        <v>0</v>
      </c>
      <c r="W82" s="20">
        <f>IFERROR('Data- Refined'!$D55/'Support Calculation'!$AI55,IF('Data- Refined'!$D55=0,0,"NA"))</f>
        <v>4.5</v>
      </c>
      <c r="X82" s="20">
        <f>IFERROR('Data- Refined'!$E55/'Support Calculation'!$AR55,IF('Data- Refined'!$E55=0,0,"NA"))</f>
        <v>2.8333333333333335</v>
      </c>
      <c r="Y82" s="20">
        <f>IFERROR('Data- Refined'!$F55/'Support Calculation'!$BA55,IF('Data- Refined'!$F55=0,0,"NA"))</f>
        <v>3.2</v>
      </c>
      <c r="Z82" s="20">
        <f>IFERROR('Data- Refined'!$G55/'Support Calculation'!$BJ55,IF('Data- Refined'!$G55=0,0,"NA"))</f>
        <v>2</v>
      </c>
      <c r="AA82" s="20">
        <f>IFERROR('Data- Refined'!$H55/'Support Calculation'!$BS55,IF('Data- Refined'!$H55=0,0,"NA"))</f>
        <v>10</v>
      </c>
      <c r="AB82" s="20">
        <f>IFERROR('Data- Refined'!$I55/'Support Calculation'!$CB55,IF('Data- Refined'!$I55=0,0,"NA"))</f>
        <v>5.5</v>
      </c>
      <c r="AC82" s="20">
        <f>IFERROR('Data- Refined'!$J55/'Support Calculation'!$CK55,IF('Data- Refined'!$J55=0,0,"NA"))</f>
        <v>2.25</v>
      </c>
      <c r="AD82" s="20">
        <f>IFERROR('Data- Refined'!$K55/'Support Calculation'!$CT55,IF('Data- Refined'!$K55=0,0,"NA"))</f>
        <v>1</v>
      </c>
      <c r="AE82" s="20">
        <f>IFERROR('Data- Refined'!$L55/'Support Calculation'!$DC55,IF('Data- Refined'!$L55=0,0,"NA"))</f>
        <v>1</v>
      </c>
      <c r="AF82" s="20" t="str">
        <f>IFERROR('Data- Refined'!$M55/'Support Calculation'!$DL55,IF('Data- Refined'!$M55=0,0,"NA"))</f>
        <v>NA</v>
      </c>
      <c r="AG82" s="20">
        <f>IFERROR('Data- Refined'!$N55/'Support Calculation'!$DU55,IF('Data- Refined'!$N55=0,0,"NA"))</f>
        <v>6</v>
      </c>
      <c r="AH82" s="20">
        <f>IFERROR('Data- Refined'!$O55/'Support Calculation'!$ED55,IF('Data- Refined'!$O55=0,0,"NA"))</f>
        <v>10</v>
      </c>
      <c r="AI82" s="151">
        <f>IFERROR('Data- Refined'!$P55/'Support Calculation'!EM55,IF('Data- Refined'!$P55=0,0,"NA"))</f>
        <v>7</v>
      </c>
      <c r="AJ82" s="151">
        <f>IFERROR('Data- Refined'!$Q55/'Support Calculation'!EV55,IF('Data- Refined'!$Q55=0,0,"NA"))</f>
        <v>0</v>
      </c>
    </row>
    <row r="83" spans="1:36" x14ac:dyDescent="0.35">
      <c r="C83"/>
      <c r="D83"/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AB83"/>
    </row>
    <row r="84" spans="1:36" x14ac:dyDescent="0.35">
      <c r="A84" s="2"/>
    </row>
    <row r="85" spans="1:36" x14ac:dyDescent="0.35">
      <c r="A85" s="2"/>
    </row>
    <row r="218" spans="24:24" x14ac:dyDescent="0.35">
      <c r="X218" t="s">
        <v>120</v>
      </c>
    </row>
  </sheetData>
  <mergeCells count="9">
    <mergeCell ref="T29:AJ29"/>
    <mergeCell ref="B29:R29"/>
    <mergeCell ref="L3:N4"/>
    <mergeCell ref="L1:N2"/>
    <mergeCell ref="I1:I4"/>
    <mergeCell ref="B24:B26"/>
    <mergeCell ref="B1:H2"/>
    <mergeCell ref="C3:D3"/>
    <mergeCell ref="E3:H3"/>
  </mergeCells>
  <conditionalFormatting sqref="C5:H20">
    <cfRule type="top10" dxfId="4" priority="17" rank="1"/>
  </conditionalFormatting>
  <conditionalFormatting sqref="C21:H21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24:H24">
    <cfRule type="expression" dxfId="3" priority="5">
      <formula>C24&gt;C26</formula>
    </cfRule>
  </conditionalFormatting>
  <conditionalFormatting sqref="C31:R82">
    <cfRule type="colorScale" priority="1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5:I20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5:L20">
    <cfRule type="expression" dxfId="2" priority="4">
      <formula>L5&lt;N5</formula>
    </cfRule>
  </conditionalFormatting>
  <conditionalFormatting sqref="S3">
    <cfRule type="colorScale" priority="2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S5:S20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31:AH82">
    <cfRule type="expression" dxfId="1" priority="10">
      <formula>"AA29=$AD$216"</formula>
    </cfRule>
  </conditionalFormatting>
  <conditionalFormatting sqref="U31:AJ82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6"/>
  </sheetPr>
  <dimension ref="A1:AM34"/>
  <sheetViews>
    <sheetView topLeftCell="A7" workbookViewId="0">
      <selection activeCell="T18" sqref="T18"/>
    </sheetView>
  </sheetViews>
  <sheetFormatPr defaultRowHeight="14.5" x14ac:dyDescent="0.35"/>
  <cols>
    <col min="1" max="1" width="11" customWidth="1"/>
    <col min="2" max="9" width="4.36328125" customWidth="1"/>
    <col min="10" max="10" width="5.6328125" customWidth="1"/>
    <col min="11" max="11" width="3.6328125" customWidth="1"/>
    <col min="12" max="12" width="3.453125" customWidth="1"/>
    <col min="13" max="14" width="2.90625" customWidth="1"/>
    <col min="15" max="15" width="40.453125" customWidth="1"/>
    <col min="16" max="43" width="4.54296875" customWidth="1"/>
    <col min="44" max="51" width="3.90625" customWidth="1"/>
  </cols>
  <sheetData>
    <row r="1" spans="1:39" ht="21" x14ac:dyDescent="0.5">
      <c r="A1" s="39" t="s">
        <v>110</v>
      </c>
    </row>
    <row r="3" spans="1:39" ht="81.5" x14ac:dyDescent="0.35">
      <c r="A3" s="12"/>
      <c r="B3" s="23" t="s">
        <v>75</v>
      </c>
      <c r="C3" s="23" t="s">
        <v>76</v>
      </c>
      <c r="D3" s="23" t="s">
        <v>77</v>
      </c>
      <c r="E3" s="23" t="s">
        <v>78</v>
      </c>
      <c r="F3" s="23" t="s">
        <v>79</v>
      </c>
      <c r="G3" s="23" t="s">
        <v>80</v>
      </c>
      <c r="O3" s="64" t="s">
        <v>108</v>
      </c>
      <c r="P3" s="65">
        <f>'Model Setup'!B3</f>
        <v>20</v>
      </c>
    </row>
    <row r="4" spans="1:39" ht="15" thickBot="1" x14ac:dyDescent="0.4">
      <c r="A4" s="48" t="s">
        <v>83</v>
      </c>
      <c r="B4" s="49">
        <f>'Data- Refined'!AD4</f>
        <v>32</v>
      </c>
      <c r="C4" s="49">
        <f>'Data- Refined'!AE4</f>
        <v>30</v>
      </c>
      <c r="D4" s="49">
        <f>'Data- Refined'!AF4</f>
        <v>20</v>
      </c>
      <c r="E4" s="49">
        <f>'Data- Refined'!AG4</f>
        <v>18</v>
      </c>
      <c r="F4" s="49">
        <f>'Data- Refined'!AH4</f>
        <v>16</v>
      </c>
      <c r="G4" s="49">
        <f>'Data- Refined'!AI4</f>
        <v>18</v>
      </c>
    </row>
    <row r="5" spans="1:39" ht="15" thickBot="1" x14ac:dyDescent="0.4">
      <c r="A5" s="50" t="s">
        <v>137</v>
      </c>
      <c r="B5" s="51">
        <f>SUMPRODUCT('Optimization Model'!C5:C20,' Metrics Calculation'!$L$13:$L$28)</f>
        <v>14.240437500000001</v>
      </c>
      <c r="C5" s="51">
        <f>SUMPRODUCT('Optimization Model'!D5:D20,' Metrics Calculation'!$L$13:$L$28)</f>
        <v>15.731250000000001</v>
      </c>
      <c r="D5" s="51">
        <f>SUMPRODUCT('Optimization Model'!E5:E20,' Metrics Calculation'!$L$13:$L$28)</f>
        <v>13.983464912280702</v>
      </c>
      <c r="E5" s="51">
        <f>SUMPRODUCT('Optimization Model'!F5:F20,' Metrics Calculation'!$L$13:$L$28)</f>
        <v>13.369325206398351</v>
      </c>
      <c r="F5" s="51">
        <f>SUMPRODUCT('Optimization Model'!G5:G20,' Metrics Calculation'!$L$13:$L$28)</f>
        <v>13.748039215686275</v>
      </c>
      <c r="G5" s="51">
        <f>SUMPRODUCT('Optimization Model'!H5:H20,' Metrics Calculation'!$L$13:$L$28)</f>
        <v>13.671262254901961</v>
      </c>
    </row>
    <row r="6" spans="1:39" x14ac:dyDescent="0.35">
      <c r="C6" s="32"/>
      <c r="D6" s="32"/>
      <c r="E6" s="32"/>
      <c r="F6" s="32"/>
      <c r="G6" s="32"/>
      <c r="H6" s="32"/>
      <c r="I6" s="32"/>
    </row>
    <row r="9" spans="1:39" ht="21" x14ac:dyDescent="0.5">
      <c r="A9" s="39" t="s">
        <v>109</v>
      </c>
      <c r="O9" s="39" t="s">
        <v>160</v>
      </c>
    </row>
    <row r="10" spans="1:39" ht="15" thickBot="1" x14ac:dyDescent="0.4"/>
    <row r="11" spans="1:39" x14ac:dyDescent="0.35">
      <c r="A11" s="26"/>
      <c r="B11" s="230" t="s">
        <v>72</v>
      </c>
      <c r="C11" s="230"/>
      <c r="D11" s="230" t="s">
        <v>73</v>
      </c>
      <c r="E11" s="230"/>
      <c r="F11" s="230"/>
      <c r="G11" s="231"/>
      <c r="H11" s="226" t="s">
        <v>118</v>
      </c>
      <c r="I11" s="82"/>
      <c r="J11" s="226" t="s">
        <v>133</v>
      </c>
      <c r="K11" s="228" t="s">
        <v>134</v>
      </c>
      <c r="L11" s="224" t="s">
        <v>135</v>
      </c>
      <c r="M11" s="224"/>
      <c r="N11" s="110"/>
    </row>
    <row r="12" spans="1:39" ht="81.5" x14ac:dyDescent="0.35">
      <c r="A12" s="27"/>
      <c r="B12" s="17" t="s">
        <v>75</v>
      </c>
      <c r="C12" s="17" t="s">
        <v>76</v>
      </c>
      <c r="D12" s="17" t="s">
        <v>77</v>
      </c>
      <c r="E12" s="17" t="s">
        <v>78</v>
      </c>
      <c r="F12" s="17" t="s">
        <v>79</v>
      </c>
      <c r="G12" s="31" t="s">
        <v>80</v>
      </c>
      <c r="H12" s="227"/>
      <c r="I12" s="83" t="s">
        <v>142</v>
      </c>
      <c r="J12" s="227"/>
      <c r="K12" s="229"/>
      <c r="L12" s="225"/>
      <c r="M12" s="225"/>
      <c r="N12" s="110"/>
      <c r="O12" s="40"/>
      <c r="P12" s="112" t="s">
        <v>143</v>
      </c>
      <c r="Q12" s="112" t="s">
        <v>144</v>
      </c>
      <c r="R12" s="112" t="s">
        <v>145</v>
      </c>
      <c r="S12" s="112" t="s">
        <v>146</v>
      </c>
      <c r="T12" s="112" t="s">
        <v>147</v>
      </c>
      <c r="U12" s="112" t="str">
        <f>'Data- Extract'!CJ3</f>
        <v>5 am to 6 am</v>
      </c>
      <c r="V12" s="112" t="str">
        <f>'Data- Extract'!CK3</f>
        <v>6am to 7am</v>
      </c>
      <c r="W12" s="112" t="str">
        <f>'Data- Extract'!CL3</f>
        <v>7 am to 8 am</v>
      </c>
      <c r="X12" s="112" t="str">
        <f>'Data- Extract'!CM3</f>
        <v>8 am to 9 am</v>
      </c>
      <c r="Y12" s="112" t="str">
        <f>'Data- Extract'!CN3</f>
        <v>9am to 10 am</v>
      </c>
      <c r="Z12" s="112" t="str">
        <f>'Data- Extract'!CO3</f>
        <v>10 am to 11 am</v>
      </c>
      <c r="AA12" s="112" t="str">
        <f>'Data- Extract'!CP3</f>
        <v>11 am to 12 pm</v>
      </c>
      <c r="AB12" s="112" t="str">
        <f>'Data- Extract'!CQ3</f>
        <v>12 pm to 1 pm</v>
      </c>
      <c r="AC12" s="112" t="str">
        <f>'Data- Extract'!CR3</f>
        <v>1pm to 2 pm</v>
      </c>
      <c r="AD12" s="112" t="str">
        <f>'Data- Extract'!CS3</f>
        <v>2 pm to 3 pm</v>
      </c>
      <c r="AE12" s="112" t="str">
        <f>'Data- Extract'!CT3</f>
        <v>3 pm to 4 pm</v>
      </c>
      <c r="AF12" s="112" t="str">
        <f>'Data- Extract'!CU3</f>
        <v>4 pm to 5 pm</v>
      </c>
      <c r="AG12" s="112" t="str">
        <f>'Data- Extract'!CV3</f>
        <v>5 pm to 6 pm</v>
      </c>
      <c r="AH12" s="112" t="str">
        <f>'Data- Extract'!CW3</f>
        <v>6 pm to 7 pm</v>
      </c>
      <c r="AI12" s="112" t="s">
        <v>149</v>
      </c>
      <c r="AJ12" s="112" t="s">
        <v>150</v>
      </c>
      <c r="AK12" s="112" t="s">
        <v>151</v>
      </c>
      <c r="AL12" s="112" t="s">
        <v>152</v>
      </c>
      <c r="AM12" s="112" t="s">
        <v>153</v>
      </c>
    </row>
    <row r="13" spans="1:39" x14ac:dyDescent="0.35">
      <c r="A13" s="28" t="str">
        <f>'Optimization Model'!B5</f>
        <v>5 am to 6 am</v>
      </c>
      <c r="B13" s="33">
        <f>'Optimization Model'!C5*' Metrics Calculation'!B$4</f>
        <v>32</v>
      </c>
      <c r="C13" s="33">
        <f>'Optimization Model'!D5*' Metrics Calculation'!C$4</f>
        <v>0</v>
      </c>
      <c r="D13" s="33">
        <f>'Optimization Model'!E5*' Metrics Calculation'!D$4</f>
        <v>0</v>
      </c>
      <c r="E13" s="33">
        <f>'Optimization Model'!F5*' Metrics Calculation'!E$4</f>
        <v>0</v>
      </c>
      <c r="F13" s="33">
        <f>'Optimization Model'!G5*' Metrics Calculation'!F$4</f>
        <v>0</v>
      </c>
      <c r="G13" s="34">
        <f>'Optimization Model'!H5*' Metrics Calculation'!G$4</f>
        <v>0</v>
      </c>
      <c r="H13" s="19">
        <f t="shared" ref="H13:H28" si="0">SUM(B13:G13)</f>
        <v>32</v>
      </c>
      <c r="I13" s="19">
        <f>SUMIF(B13:G13,"&gt;0",'Data- Refined'!$U$56:$Z$56)</f>
        <v>456</v>
      </c>
      <c r="J13" s="19">
        <f>'Data- Refined'!B56</f>
        <v>521</v>
      </c>
      <c r="K13" s="35">
        <f>J13/H13</f>
        <v>16.28125</v>
      </c>
      <c r="L13" s="36">
        <f t="shared" ref="L13:L28" si="1">K13/$P$3</f>
        <v>0.81406250000000002</v>
      </c>
      <c r="M13" s="100">
        <v>5</v>
      </c>
      <c r="N13" s="111"/>
      <c r="O13" s="114" t="s">
        <v>154</v>
      </c>
      <c r="P13" s="113">
        <f>'Data- Extract'!B57</f>
        <v>175</v>
      </c>
      <c r="Q13" s="113">
        <f>'Data- Extract'!C57</f>
        <v>145</v>
      </c>
      <c r="R13" s="113">
        <f>'Data- Extract'!D57</f>
        <v>148</v>
      </c>
      <c r="S13" s="113">
        <f>'Data- Extract'!E57</f>
        <v>257</v>
      </c>
      <c r="T13" s="113">
        <f>'Data- Extract'!F57</f>
        <v>426</v>
      </c>
      <c r="U13" s="113">
        <f>'Data- Extract'!G57</f>
        <v>782</v>
      </c>
      <c r="V13" s="113">
        <f>'Data- Extract'!H57</f>
        <v>3508</v>
      </c>
      <c r="W13" s="113">
        <f>'Data- Extract'!I57</f>
        <v>3851</v>
      </c>
      <c r="X13" s="113">
        <f>'Data- Extract'!J57</f>
        <v>4398</v>
      </c>
      <c r="Y13" s="113">
        <f>'Data- Extract'!K57</f>
        <v>4398</v>
      </c>
      <c r="Z13" s="113">
        <f>'Data- Extract'!L57</f>
        <v>4019</v>
      </c>
      <c r="AA13" s="113">
        <f>'Data- Extract'!M57</f>
        <v>3184</v>
      </c>
      <c r="AB13" s="113">
        <f>'Data- Extract'!N57</f>
        <v>2639</v>
      </c>
      <c r="AC13" s="113">
        <f>'Data- Extract'!O57</f>
        <v>2401</v>
      </c>
      <c r="AD13" s="113">
        <f>'Data- Extract'!P57</f>
        <v>1855</v>
      </c>
      <c r="AE13" s="113">
        <f>'Data- Extract'!Q57</f>
        <v>1426</v>
      </c>
      <c r="AF13" s="113">
        <f>'Data- Extract'!R57</f>
        <v>1195</v>
      </c>
      <c r="AG13" s="113">
        <f>'Data- Extract'!S57</f>
        <v>894</v>
      </c>
      <c r="AH13" s="113">
        <f>'Data- Extract'!T57</f>
        <v>678</v>
      </c>
      <c r="AI13" s="113">
        <f>'Data- Extract'!U57</f>
        <v>434</v>
      </c>
      <c r="AJ13" s="113">
        <f>'Data- Extract'!V57</f>
        <v>278</v>
      </c>
      <c r="AK13" s="113">
        <f>'Data- Extract'!W57</f>
        <v>479</v>
      </c>
      <c r="AL13" s="113">
        <f>'Data- Extract'!X57</f>
        <v>366</v>
      </c>
      <c r="AM13" s="113">
        <f>'Data- Extract'!Y57</f>
        <v>218</v>
      </c>
    </row>
    <row r="14" spans="1:39" x14ac:dyDescent="0.35">
      <c r="A14" s="28" t="str">
        <f>'Optimization Model'!B6</f>
        <v>6am to 7am</v>
      </c>
      <c r="B14" s="33">
        <f>'Optimization Model'!C6*' Metrics Calculation'!B$4</f>
        <v>0</v>
      </c>
      <c r="C14" s="33">
        <f>'Optimization Model'!D6*' Metrics Calculation'!C$4</f>
        <v>30</v>
      </c>
      <c r="D14" s="33">
        <f>'Optimization Model'!E6*' Metrics Calculation'!D$4</f>
        <v>0</v>
      </c>
      <c r="E14" s="33">
        <f>'Optimization Model'!F6*' Metrics Calculation'!E$4</f>
        <v>0</v>
      </c>
      <c r="F14" s="33">
        <f>'Optimization Model'!G6*' Metrics Calculation'!F$4</f>
        <v>0</v>
      </c>
      <c r="G14" s="34">
        <f>'Optimization Model'!H6*' Metrics Calculation'!G$4</f>
        <v>0</v>
      </c>
      <c r="H14" s="19">
        <f t="shared" si="0"/>
        <v>30</v>
      </c>
      <c r="I14" s="19">
        <f>SUMIF(B14:G14,"&gt;0",'Data- Refined'!$U$56:$Z$56)</f>
        <v>456</v>
      </c>
      <c r="J14" s="19">
        <f>'Data- Refined'!C56</f>
        <v>2347</v>
      </c>
      <c r="K14" s="35">
        <f t="shared" ref="K14:K28" si="2">J14/H14</f>
        <v>78.233333333333334</v>
      </c>
      <c r="L14" s="36">
        <f t="shared" si="1"/>
        <v>3.9116666666666666</v>
      </c>
      <c r="M14" s="100">
        <v>6</v>
      </c>
      <c r="N14" s="111"/>
      <c r="O14" s="114" t="s">
        <v>155</v>
      </c>
      <c r="P14" s="113"/>
      <c r="Q14" s="113"/>
      <c r="R14" s="113"/>
      <c r="S14" s="113"/>
      <c r="T14" s="113"/>
      <c r="U14" s="113">
        <f>'Data- Extract'!CJ57</f>
        <v>526</v>
      </c>
      <c r="V14" s="113">
        <f>'Data- Extract'!CK57</f>
        <v>2353</v>
      </c>
      <c r="W14" s="113">
        <f>'Data- Extract'!CL57</f>
        <v>3390</v>
      </c>
      <c r="X14" s="113">
        <f>'Data- Extract'!CM57</f>
        <v>4371</v>
      </c>
      <c r="Y14" s="113">
        <f>'Data- Extract'!CN57</f>
        <v>4401</v>
      </c>
      <c r="Z14" s="113">
        <f>'Data- Extract'!CO57</f>
        <v>4029</v>
      </c>
      <c r="AA14" s="113">
        <f>'Data- Extract'!CP57</f>
        <v>3191</v>
      </c>
      <c r="AB14" s="113">
        <f>'Data- Extract'!CQ57</f>
        <v>2648</v>
      </c>
      <c r="AC14" s="113">
        <f>'Data- Extract'!CR57</f>
        <v>2412</v>
      </c>
      <c r="AD14" s="113">
        <f>'Data- Extract'!CS57</f>
        <v>1867</v>
      </c>
      <c r="AE14" s="113">
        <f>'Data- Extract'!CT57</f>
        <v>1894</v>
      </c>
      <c r="AF14" s="113">
        <f>'Data- Extract'!CU57</f>
        <v>1955</v>
      </c>
      <c r="AG14" s="113">
        <f>'Data- Extract'!CV57</f>
        <v>1955</v>
      </c>
      <c r="AH14" s="113">
        <f>'Data- Extract'!CW57</f>
        <v>1559</v>
      </c>
      <c r="AI14" s="113">
        <f>'Data- Extract'!CX57</f>
        <v>1317</v>
      </c>
      <c r="AJ14" s="113">
        <f>'Data- Extract'!CY57</f>
        <v>612</v>
      </c>
      <c r="AK14" s="113"/>
      <c r="AL14" s="113"/>
      <c r="AM14" s="113"/>
    </row>
    <row r="15" spans="1:39" x14ac:dyDescent="0.35">
      <c r="A15" s="28" t="str">
        <f>'Optimization Model'!B7</f>
        <v>7 am to 8 am</v>
      </c>
      <c r="B15" s="33">
        <f>'Optimization Model'!C7*' Metrics Calculation'!B$4</f>
        <v>32</v>
      </c>
      <c r="C15" s="33">
        <f>'Optimization Model'!D7*' Metrics Calculation'!C$4</f>
        <v>0</v>
      </c>
      <c r="D15" s="33">
        <f>'Optimization Model'!E7*' Metrics Calculation'!D$4</f>
        <v>0</v>
      </c>
      <c r="E15" s="33">
        <f>'Optimization Model'!F7*' Metrics Calculation'!E$4</f>
        <v>0</v>
      </c>
      <c r="F15" s="33">
        <f>'Optimization Model'!G7*' Metrics Calculation'!F$4</f>
        <v>0</v>
      </c>
      <c r="G15" s="34">
        <f>'Optimization Model'!H7*' Metrics Calculation'!G$4</f>
        <v>0</v>
      </c>
      <c r="H15" s="19">
        <f t="shared" si="0"/>
        <v>32</v>
      </c>
      <c r="I15" s="19">
        <f>SUMIF(B15:G15,"&gt;0",'Data- Refined'!$U$56:$Z$56)</f>
        <v>456</v>
      </c>
      <c r="J15" s="19">
        <f>'Data- Refined'!D56</f>
        <v>3383</v>
      </c>
      <c r="K15" s="35">
        <f t="shared" si="2"/>
        <v>105.71875</v>
      </c>
      <c r="L15" s="36">
        <f t="shared" si="1"/>
        <v>5.2859375000000002</v>
      </c>
      <c r="M15" s="100">
        <v>7</v>
      </c>
      <c r="N15" s="111"/>
      <c r="O15" s="114" t="s">
        <v>156</v>
      </c>
      <c r="P15" s="113"/>
      <c r="Q15" s="113"/>
      <c r="R15" s="113"/>
      <c r="S15" s="113"/>
      <c r="T15" s="113"/>
      <c r="U15" s="113">
        <f>H13</f>
        <v>32</v>
      </c>
      <c r="V15" s="113">
        <f>H14</f>
        <v>30</v>
      </c>
      <c r="W15" s="113">
        <f>H15</f>
        <v>32</v>
      </c>
      <c r="X15" s="113">
        <f>H16</f>
        <v>48</v>
      </c>
      <c r="Y15" s="113">
        <f>H17</f>
        <v>50</v>
      </c>
      <c r="Z15" s="113">
        <f>H18</f>
        <v>48</v>
      </c>
      <c r="AA15" s="113">
        <f>H19</f>
        <v>36</v>
      </c>
      <c r="AB15" s="113">
        <f>H20</f>
        <v>34</v>
      </c>
      <c r="AC15" s="113">
        <f>H21</f>
        <v>32</v>
      </c>
      <c r="AD15" s="113">
        <f>H22</f>
        <v>30</v>
      </c>
      <c r="AE15" s="113">
        <f>H23</f>
        <v>34</v>
      </c>
      <c r="AF15" s="113">
        <f>H24</f>
        <v>20</v>
      </c>
      <c r="AG15" s="113">
        <f>H25</f>
        <v>36</v>
      </c>
      <c r="AH15" s="113">
        <f>H26</f>
        <v>38</v>
      </c>
      <c r="AI15" s="113">
        <f>H27</f>
        <v>18</v>
      </c>
      <c r="AJ15" s="113">
        <f>H28</f>
        <v>18</v>
      </c>
      <c r="AK15" s="113"/>
      <c r="AL15" s="113"/>
      <c r="AM15" s="113"/>
    </row>
    <row r="16" spans="1:39" x14ac:dyDescent="0.35">
      <c r="A16" s="28" t="str">
        <f>'Optimization Model'!B8</f>
        <v>8 am to 9 am</v>
      </c>
      <c r="B16" s="33">
        <f>'Optimization Model'!C8*' Metrics Calculation'!B$4</f>
        <v>0</v>
      </c>
      <c r="C16" s="33">
        <f>'Optimization Model'!D8*' Metrics Calculation'!C$4</f>
        <v>30</v>
      </c>
      <c r="D16" s="33">
        <f>'Optimization Model'!E8*' Metrics Calculation'!D$4</f>
        <v>0</v>
      </c>
      <c r="E16" s="33">
        <f>'Optimization Model'!F8*' Metrics Calculation'!E$4</f>
        <v>0</v>
      </c>
      <c r="F16" s="33">
        <f>'Optimization Model'!G8*' Metrics Calculation'!F$4</f>
        <v>0</v>
      </c>
      <c r="G16" s="34">
        <f>'Optimization Model'!H8*' Metrics Calculation'!G$4</f>
        <v>18</v>
      </c>
      <c r="H16" s="19">
        <f t="shared" si="0"/>
        <v>48</v>
      </c>
      <c r="I16" s="19">
        <f>SUMIF(B16:G16,"&gt;0",'Data- Refined'!$U$56:$Z$56)</f>
        <v>664</v>
      </c>
      <c r="J16" s="19">
        <f>'Data- Refined'!E56</f>
        <v>4363</v>
      </c>
      <c r="K16" s="35">
        <f t="shared" si="2"/>
        <v>90.895833333333329</v>
      </c>
      <c r="L16" s="36">
        <f t="shared" si="1"/>
        <v>4.5447916666666668</v>
      </c>
      <c r="M16" s="100">
        <v>8</v>
      </c>
      <c r="N16" s="111"/>
      <c r="O16" s="114" t="s">
        <v>157</v>
      </c>
      <c r="P16" s="113"/>
      <c r="Q16" s="113"/>
      <c r="R16" s="113"/>
      <c r="S16" s="113"/>
      <c r="T16" s="113"/>
      <c r="U16" s="113">
        <f t="array" ref="U16:AJ16">TRANSPOSE(I13:I28)</f>
        <v>456</v>
      </c>
      <c r="V16" s="113">
        <v>456</v>
      </c>
      <c r="W16" s="113">
        <v>456</v>
      </c>
      <c r="X16" s="113">
        <v>664</v>
      </c>
      <c r="Y16" s="113">
        <v>715</v>
      </c>
      <c r="Z16" s="113">
        <v>715</v>
      </c>
      <c r="AA16" s="113">
        <v>521</v>
      </c>
      <c r="AB16" s="113">
        <v>430</v>
      </c>
      <c r="AC16" s="113">
        <v>456</v>
      </c>
      <c r="AD16" s="113">
        <v>456</v>
      </c>
      <c r="AE16" s="113">
        <v>481</v>
      </c>
      <c r="AF16" s="113">
        <v>299</v>
      </c>
      <c r="AG16" s="113">
        <v>521</v>
      </c>
      <c r="AH16" s="113">
        <v>558</v>
      </c>
      <c r="AI16" s="113">
        <v>208</v>
      </c>
      <c r="AJ16" s="113">
        <v>208</v>
      </c>
      <c r="AK16" s="113"/>
      <c r="AL16" s="113"/>
      <c r="AM16" s="113"/>
    </row>
    <row r="17" spans="1:14" x14ac:dyDescent="0.35">
      <c r="A17" s="28" t="str">
        <f>'Optimization Model'!B9</f>
        <v>9am to 10 am</v>
      </c>
      <c r="B17" s="33">
        <f>'Optimization Model'!C9*' Metrics Calculation'!B$4</f>
        <v>32</v>
      </c>
      <c r="C17" s="33">
        <f>'Optimization Model'!D9*' Metrics Calculation'!C$4</f>
        <v>0</v>
      </c>
      <c r="D17" s="33">
        <f>'Optimization Model'!E9*' Metrics Calculation'!D$4</f>
        <v>0</v>
      </c>
      <c r="E17" s="33">
        <f>'Optimization Model'!F9*' Metrics Calculation'!E$4</f>
        <v>18</v>
      </c>
      <c r="F17" s="33">
        <f>'Optimization Model'!G9*' Metrics Calculation'!F$4</f>
        <v>0</v>
      </c>
      <c r="G17" s="34">
        <f>'Optimization Model'!H9*' Metrics Calculation'!G$4</f>
        <v>0</v>
      </c>
      <c r="H17" s="19">
        <f t="shared" si="0"/>
        <v>50</v>
      </c>
      <c r="I17" s="19">
        <f>SUMIF(B17:G17,"&gt;0",'Data- Refined'!$U$56:$Z$56)</f>
        <v>715</v>
      </c>
      <c r="J17" s="19">
        <f>'Data- Refined'!F56</f>
        <v>4392</v>
      </c>
      <c r="K17" s="35">
        <f t="shared" si="2"/>
        <v>87.84</v>
      </c>
      <c r="L17" s="36">
        <f t="shared" si="1"/>
        <v>4.3920000000000003</v>
      </c>
      <c r="M17" s="100">
        <v>9</v>
      </c>
      <c r="N17" s="111"/>
    </row>
    <row r="18" spans="1:14" x14ac:dyDescent="0.35">
      <c r="A18" s="28" t="str">
        <f>'Optimization Model'!B10</f>
        <v>10 am to 11 am</v>
      </c>
      <c r="B18" s="33">
        <f>'Optimization Model'!C10*' Metrics Calculation'!B$4</f>
        <v>0</v>
      </c>
      <c r="C18" s="33">
        <f>'Optimization Model'!D10*' Metrics Calculation'!C$4</f>
        <v>30</v>
      </c>
      <c r="D18" s="33">
        <f>'Optimization Model'!E10*' Metrics Calculation'!D$4</f>
        <v>0</v>
      </c>
      <c r="E18" s="33">
        <f>'Optimization Model'!F10*' Metrics Calculation'!E$4</f>
        <v>18</v>
      </c>
      <c r="F18" s="33">
        <f>'Optimization Model'!G10*' Metrics Calculation'!F$4</f>
        <v>0</v>
      </c>
      <c r="G18" s="34">
        <f>'Optimization Model'!H10*' Metrics Calculation'!G$4</f>
        <v>0</v>
      </c>
      <c r="H18" s="19">
        <f t="shared" si="0"/>
        <v>48</v>
      </c>
      <c r="I18" s="19">
        <f>SUMIF(B18:G18,"&gt;0",'Data- Refined'!$U$56:$Z$56)</f>
        <v>715</v>
      </c>
      <c r="J18" s="19">
        <f>'Data- Refined'!G56</f>
        <v>4019</v>
      </c>
      <c r="K18" s="35">
        <f t="shared" si="2"/>
        <v>83.729166666666671</v>
      </c>
      <c r="L18" s="36">
        <f t="shared" si="1"/>
        <v>4.1864583333333334</v>
      </c>
      <c r="M18" s="100">
        <v>10</v>
      </c>
      <c r="N18" s="111"/>
    </row>
    <row r="19" spans="1:14" x14ac:dyDescent="0.35">
      <c r="A19" s="28" t="str">
        <f>'Optimization Model'!B11</f>
        <v>11 am to 12 pm</v>
      </c>
      <c r="B19" s="33">
        <f>'Optimization Model'!C11*' Metrics Calculation'!B$4</f>
        <v>0</v>
      </c>
      <c r="C19" s="33">
        <f>'Optimization Model'!D11*' Metrics Calculation'!C$4</f>
        <v>0</v>
      </c>
      <c r="D19" s="33">
        <f>'Optimization Model'!E11*' Metrics Calculation'!D$4</f>
        <v>20</v>
      </c>
      <c r="E19" s="33">
        <f>'Optimization Model'!F11*' Metrics Calculation'!E$4</f>
        <v>0</v>
      </c>
      <c r="F19" s="33">
        <f>'Optimization Model'!G11*' Metrics Calculation'!F$4</f>
        <v>16</v>
      </c>
      <c r="G19" s="34">
        <f>'Optimization Model'!H11*' Metrics Calculation'!G$4</f>
        <v>0</v>
      </c>
      <c r="H19" s="19">
        <f t="shared" si="0"/>
        <v>36</v>
      </c>
      <c r="I19" s="19">
        <f>SUMIF(B19:G19,"&gt;0",'Data- Refined'!$U$56:$Z$56)</f>
        <v>521</v>
      </c>
      <c r="J19" s="19">
        <f>'Data- Refined'!H56</f>
        <v>3180</v>
      </c>
      <c r="K19" s="35">
        <f t="shared" si="2"/>
        <v>88.333333333333329</v>
      </c>
      <c r="L19" s="36">
        <f t="shared" si="1"/>
        <v>4.4166666666666661</v>
      </c>
      <c r="M19" s="100">
        <v>11</v>
      </c>
      <c r="N19" s="111"/>
    </row>
    <row r="20" spans="1:14" x14ac:dyDescent="0.35">
      <c r="A20" s="28" t="str">
        <f>'Optimization Model'!B12</f>
        <v>12 pm to 1 pm</v>
      </c>
      <c r="B20" s="33">
        <f>'Optimization Model'!C12*' Metrics Calculation'!B$4</f>
        <v>0</v>
      </c>
      <c r="C20" s="33">
        <f>'Optimization Model'!D12*' Metrics Calculation'!C$4</f>
        <v>0</v>
      </c>
      <c r="D20" s="33">
        <f>'Optimization Model'!E12*' Metrics Calculation'!D$4</f>
        <v>0</v>
      </c>
      <c r="E20" s="33">
        <f>'Optimization Model'!F12*' Metrics Calculation'!E$4</f>
        <v>0</v>
      </c>
      <c r="F20" s="33">
        <f>'Optimization Model'!G12*' Metrics Calculation'!F$4</f>
        <v>16</v>
      </c>
      <c r="G20" s="34">
        <f>'Optimization Model'!H12*' Metrics Calculation'!G$4</f>
        <v>18</v>
      </c>
      <c r="H20" s="19">
        <f t="shared" si="0"/>
        <v>34</v>
      </c>
      <c r="I20" s="19">
        <f>SUMIF(B20:G20,"&gt;0",'Data- Refined'!$U$56:$Z$56)</f>
        <v>430</v>
      </c>
      <c r="J20" s="19">
        <f>'Data- Refined'!I56</f>
        <v>2636</v>
      </c>
      <c r="K20" s="35">
        <f t="shared" si="2"/>
        <v>77.529411764705884</v>
      </c>
      <c r="L20" s="36">
        <f t="shared" si="1"/>
        <v>3.8764705882352941</v>
      </c>
      <c r="M20" s="100">
        <v>12</v>
      </c>
      <c r="N20" s="111"/>
    </row>
    <row r="21" spans="1:14" x14ac:dyDescent="0.35">
      <c r="A21" s="28" t="str">
        <f>'Optimization Model'!B13</f>
        <v>1pm to 2 pm</v>
      </c>
      <c r="B21" s="33">
        <f>'Optimization Model'!C13*' Metrics Calculation'!B$4</f>
        <v>32</v>
      </c>
      <c r="C21" s="33">
        <f>'Optimization Model'!D13*' Metrics Calculation'!C$4</f>
        <v>0</v>
      </c>
      <c r="D21" s="33">
        <f>'Optimization Model'!E13*' Metrics Calculation'!D$4</f>
        <v>0</v>
      </c>
      <c r="E21" s="33">
        <f>'Optimization Model'!F13*' Metrics Calculation'!E$4</f>
        <v>0</v>
      </c>
      <c r="F21" s="33">
        <f>'Optimization Model'!G13*' Metrics Calculation'!F$4</f>
        <v>0</v>
      </c>
      <c r="G21" s="34">
        <f>'Optimization Model'!H13*' Metrics Calculation'!G$4</f>
        <v>0</v>
      </c>
      <c r="H21" s="19">
        <f t="shared" si="0"/>
        <v>32</v>
      </c>
      <c r="I21" s="19">
        <f>SUMIF(B21:G21,"&gt;0",'Data- Refined'!$U$56:$Z$56)</f>
        <v>456</v>
      </c>
      <c r="J21" s="19">
        <f>'Data- Refined'!J56</f>
        <v>2399</v>
      </c>
      <c r="K21" s="35">
        <f t="shared" si="2"/>
        <v>74.96875</v>
      </c>
      <c r="L21" s="36">
        <f t="shared" si="1"/>
        <v>3.7484375000000001</v>
      </c>
      <c r="M21" s="100">
        <v>13</v>
      </c>
      <c r="N21" s="111"/>
    </row>
    <row r="22" spans="1:14" x14ac:dyDescent="0.35">
      <c r="A22" s="28" t="str">
        <f>'Optimization Model'!B14</f>
        <v>2 pm to 3 pm</v>
      </c>
      <c r="B22" s="33">
        <f>'Optimization Model'!C14*' Metrics Calculation'!B$4</f>
        <v>0</v>
      </c>
      <c r="C22" s="33">
        <f>'Optimization Model'!D14*' Metrics Calculation'!C$4</f>
        <v>30</v>
      </c>
      <c r="D22" s="33">
        <f>'Optimization Model'!E14*' Metrics Calculation'!D$4</f>
        <v>0</v>
      </c>
      <c r="E22" s="33">
        <f>'Optimization Model'!F14*' Metrics Calculation'!E$4</f>
        <v>0</v>
      </c>
      <c r="F22" s="33">
        <f>'Optimization Model'!G14*' Metrics Calculation'!F$4</f>
        <v>0</v>
      </c>
      <c r="G22" s="34">
        <f>'Optimization Model'!H14*' Metrics Calculation'!G$4</f>
        <v>0</v>
      </c>
      <c r="H22" s="19">
        <f t="shared" si="0"/>
        <v>30</v>
      </c>
      <c r="I22" s="19">
        <f>SUMIF(B22:G22,"&gt;0",'Data- Refined'!$U$56:$Z$56)</f>
        <v>456</v>
      </c>
      <c r="J22" s="19">
        <f>'Data- Refined'!K56</f>
        <v>1853</v>
      </c>
      <c r="K22" s="35">
        <f t="shared" si="2"/>
        <v>61.766666666666666</v>
      </c>
      <c r="L22" s="36">
        <f t="shared" si="1"/>
        <v>3.0883333333333334</v>
      </c>
      <c r="M22" s="100">
        <v>14</v>
      </c>
      <c r="N22" s="111"/>
    </row>
    <row r="23" spans="1:14" x14ac:dyDescent="0.35">
      <c r="A23" s="28" t="str">
        <f>'Optimization Model'!B15</f>
        <v>3 pm to 4 pm</v>
      </c>
      <c r="B23" s="33">
        <f>'Optimization Model'!C15*' Metrics Calculation'!B$4</f>
        <v>0</v>
      </c>
      <c r="C23" s="33">
        <f>'Optimization Model'!D15*' Metrics Calculation'!C$4</f>
        <v>0</v>
      </c>
      <c r="D23" s="33">
        <f>'Optimization Model'!E15*' Metrics Calculation'!D$4</f>
        <v>0</v>
      </c>
      <c r="E23" s="33">
        <f>'Optimization Model'!F15*' Metrics Calculation'!E$4</f>
        <v>18</v>
      </c>
      <c r="F23" s="33">
        <f>'Optimization Model'!G15*' Metrics Calculation'!F$4</f>
        <v>16</v>
      </c>
      <c r="G23" s="34">
        <f>'Optimization Model'!H15*' Metrics Calculation'!G$4</f>
        <v>0</v>
      </c>
      <c r="H23" s="19">
        <f t="shared" si="0"/>
        <v>34</v>
      </c>
      <c r="I23" s="19">
        <f>SUMIF(B23:G23,"&gt;0",'Data- Refined'!$U$56:$Z$56)</f>
        <v>481</v>
      </c>
      <c r="J23" s="19">
        <f>'Data- Refined'!L56</f>
        <v>1879</v>
      </c>
      <c r="K23" s="35">
        <f t="shared" si="2"/>
        <v>55.264705882352942</v>
      </c>
      <c r="L23" s="36">
        <f t="shared" si="1"/>
        <v>2.763235294117647</v>
      </c>
      <c r="M23" s="100">
        <v>15</v>
      </c>
      <c r="N23" s="111"/>
    </row>
    <row r="24" spans="1:14" x14ac:dyDescent="0.35">
      <c r="A24" s="28" t="str">
        <f>'Optimization Model'!B16</f>
        <v>4 pm to 5 pm</v>
      </c>
      <c r="B24" s="33">
        <f>'Optimization Model'!C16*' Metrics Calculation'!B$4</f>
        <v>0</v>
      </c>
      <c r="C24" s="33">
        <f>'Optimization Model'!D16*' Metrics Calculation'!C$4</f>
        <v>0</v>
      </c>
      <c r="D24" s="33">
        <f>'Optimization Model'!E16*' Metrics Calculation'!D$4</f>
        <v>20</v>
      </c>
      <c r="E24" s="33">
        <f>'Optimization Model'!F16*' Metrics Calculation'!E$4</f>
        <v>0</v>
      </c>
      <c r="F24" s="33">
        <f>'Optimization Model'!G16*' Metrics Calculation'!F$4</f>
        <v>0</v>
      </c>
      <c r="G24" s="34">
        <f>'Optimization Model'!H16*' Metrics Calculation'!G$4</f>
        <v>0</v>
      </c>
      <c r="H24" s="19">
        <f t="shared" si="0"/>
        <v>20</v>
      </c>
      <c r="I24" s="19">
        <f>SUMIF(B24:G24,"&gt;0",'Data- Refined'!$U$56:$Z$56)</f>
        <v>299</v>
      </c>
      <c r="J24" s="19">
        <f>'Data- Refined'!M56</f>
        <v>1939</v>
      </c>
      <c r="K24" s="35">
        <f t="shared" si="2"/>
        <v>96.95</v>
      </c>
      <c r="L24" s="36">
        <f t="shared" si="1"/>
        <v>4.8475000000000001</v>
      </c>
      <c r="M24" s="100">
        <v>16</v>
      </c>
      <c r="N24" s="111"/>
    </row>
    <row r="25" spans="1:14" x14ac:dyDescent="0.35">
      <c r="A25" s="28" t="str">
        <f>'Optimization Model'!B17</f>
        <v>5 pm to 6 pm</v>
      </c>
      <c r="B25" s="33">
        <f>'Optimization Model'!C17*' Metrics Calculation'!B$4</f>
        <v>0</v>
      </c>
      <c r="C25" s="33">
        <f>'Optimization Model'!D17*' Metrics Calculation'!C$4</f>
        <v>0</v>
      </c>
      <c r="D25" s="33">
        <f>'Optimization Model'!E17*' Metrics Calculation'!D$4</f>
        <v>20</v>
      </c>
      <c r="E25" s="33">
        <f>'Optimization Model'!F17*' Metrics Calculation'!E$4</f>
        <v>0</v>
      </c>
      <c r="F25" s="33">
        <f>'Optimization Model'!G17*' Metrics Calculation'!F$4</f>
        <v>16</v>
      </c>
      <c r="G25" s="34">
        <f>'Optimization Model'!H17*' Metrics Calculation'!G$4</f>
        <v>0</v>
      </c>
      <c r="H25" s="19">
        <f t="shared" si="0"/>
        <v>36</v>
      </c>
      <c r="I25" s="19">
        <f>SUMIF(B25:G25,"&gt;0",'Data- Refined'!$U$56:$Z$56)</f>
        <v>521</v>
      </c>
      <c r="J25" s="19">
        <f>'Data- Refined'!N56</f>
        <v>1938</v>
      </c>
      <c r="K25" s="35">
        <f t="shared" si="2"/>
        <v>53.833333333333336</v>
      </c>
      <c r="L25" s="36">
        <f t="shared" si="1"/>
        <v>2.6916666666666669</v>
      </c>
      <c r="M25" s="100">
        <v>17</v>
      </c>
      <c r="N25" s="111"/>
    </row>
    <row r="26" spans="1:14" x14ac:dyDescent="0.35">
      <c r="A26" s="28" t="str">
        <f>'Optimization Model'!B18</f>
        <v>6 pm to 7 pm</v>
      </c>
      <c r="B26" s="33">
        <f>'Optimization Model'!C18*' Metrics Calculation'!B$4</f>
        <v>0</v>
      </c>
      <c r="C26" s="33">
        <f>'Optimization Model'!D18*' Metrics Calculation'!C$4</f>
        <v>0</v>
      </c>
      <c r="D26" s="33">
        <f>'Optimization Model'!E18*' Metrics Calculation'!D$4</f>
        <v>20</v>
      </c>
      <c r="E26" s="33">
        <f>'Optimization Model'!F18*' Metrics Calculation'!E$4</f>
        <v>18</v>
      </c>
      <c r="F26" s="33">
        <f>'Optimization Model'!G18*' Metrics Calculation'!F$4</f>
        <v>0</v>
      </c>
      <c r="G26" s="33">
        <f>'Optimization Model'!H18*' Metrics Calculation'!G$4</f>
        <v>0</v>
      </c>
      <c r="H26" s="19">
        <f t="shared" si="0"/>
        <v>38</v>
      </c>
      <c r="I26" s="19">
        <f>SUMIF(B26:G26,"&gt;0",'Data- Refined'!$U$56:$Z$56)</f>
        <v>558</v>
      </c>
      <c r="J26" s="19">
        <f>'Data- Refined'!O56</f>
        <v>1541</v>
      </c>
      <c r="K26" s="35">
        <f t="shared" si="2"/>
        <v>40.55263157894737</v>
      </c>
      <c r="L26" s="36">
        <f t="shared" si="1"/>
        <v>2.0276315789473687</v>
      </c>
      <c r="M26" s="100">
        <v>18</v>
      </c>
      <c r="N26" s="111"/>
    </row>
    <row r="27" spans="1:14" x14ac:dyDescent="0.35">
      <c r="A27" s="28" t="str">
        <f>'Optimization Model'!B19</f>
        <v>7 pm to 8 pm</v>
      </c>
      <c r="B27" s="33">
        <f>'Optimization Model'!C19*' Metrics Calculation'!B$4</f>
        <v>0</v>
      </c>
      <c r="C27" s="33">
        <f>'Optimization Model'!D19*' Metrics Calculation'!C$4</f>
        <v>0</v>
      </c>
      <c r="D27" s="33">
        <f>'Optimization Model'!E19*' Metrics Calculation'!D$4</f>
        <v>0</v>
      </c>
      <c r="E27" s="33">
        <f>'Optimization Model'!F19*' Metrics Calculation'!E$4</f>
        <v>0</v>
      </c>
      <c r="F27" s="33">
        <f>'Optimization Model'!G19*' Metrics Calculation'!F$4</f>
        <v>0</v>
      </c>
      <c r="G27" s="33">
        <f>'Optimization Model'!H19*' Metrics Calculation'!G$4</f>
        <v>18</v>
      </c>
      <c r="H27" s="19">
        <f t="shared" si="0"/>
        <v>18</v>
      </c>
      <c r="I27" s="19">
        <f>SUMIF(B27:G27,"&gt;0",'Data- Refined'!$U$56:$Z$56)</f>
        <v>208</v>
      </c>
      <c r="J27" s="19">
        <f>'Data- Refined'!P56</f>
        <v>1298</v>
      </c>
      <c r="K27" s="35">
        <f t="shared" si="2"/>
        <v>72.111111111111114</v>
      </c>
      <c r="L27" s="36">
        <f t="shared" si="1"/>
        <v>3.6055555555555556</v>
      </c>
      <c r="M27" s="100">
        <v>19</v>
      </c>
    </row>
    <row r="28" spans="1:14" x14ac:dyDescent="0.35">
      <c r="A28" s="28" t="str">
        <f>'Optimization Model'!B20</f>
        <v>8 pm to 9 pm</v>
      </c>
      <c r="B28" s="33">
        <f>'Optimization Model'!C20*' Metrics Calculation'!B$4</f>
        <v>0</v>
      </c>
      <c r="C28" s="33">
        <f>'Optimization Model'!D20*' Metrics Calculation'!C$4</f>
        <v>0</v>
      </c>
      <c r="D28" s="33">
        <f>'Optimization Model'!E20*' Metrics Calculation'!D$4</f>
        <v>0</v>
      </c>
      <c r="E28" s="33">
        <f>'Optimization Model'!F20*' Metrics Calculation'!E$4</f>
        <v>0</v>
      </c>
      <c r="F28" s="33">
        <f>'Optimization Model'!G20*' Metrics Calculation'!F$4</f>
        <v>0</v>
      </c>
      <c r="G28" s="33">
        <f>'Optimization Model'!H20*' Metrics Calculation'!G$4</f>
        <v>18</v>
      </c>
      <c r="H28" s="19">
        <f t="shared" si="0"/>
        <v>18</v>
      </c>
      <c r="I28" s="19">
        <f>SUMIF(B28:G28,"&gt;0",'Data- Refined'!$U$56:$Z$56)</f>
        <v>208</v>
      </c>
      <c r="J28" s="19">
        <f>'Data- Refined'!Q56</f>
        <v>592</v>
      </c>
      <c r="K28" s="35">
        <f t="shared" si="2"/>
        <v>32.888888888888886</v>
      </c>
      <c r="L28" s="36">
        <f t="shared" si="1"/>
        <v>1.6444444444444444</v>
      </c>
      <c r="M28" s="100">
        <v>20</v>
      </c>
    </row>
    <row r="30" spans="1:14" x14ac:dyDescent="0.35">
      <c r="A30" t="s">
        <v>143</v>
      </c>
    </row>
    <row r="31" spans="1:14" x14ac:dyDescent="0.35">
      <c r="A31" t="s">
        <v>144</v>
      </c>
    </row>
    <row r="32" spans="1:14" x14ac:dyDescent="0.35">
      <c r="A32" t="s">
        <v>145</v>
      </c>
    </row>
    <row r="33" spans="1:1" x14ac:dyDescent="0.35">
      <c r="A33" t="s">
        <v>146</v>
      </c>
    </row>
    <row r="34" spans="1:1" x14ac:dyDescent="0.35">
      <c r="A34" t="s">
        <v>147</v>
      </c>
    </row>
  </sheetData>
  <mergeCells count="7">
    <mergeCell ref="M11:M12"/>
    <mergeCell ref="J11:J12"/>
    <mergeCell ref="K11:K12"/>
    <mergeCell ref="L11:L12"/>
    <mergeCell ref="B11:C11"/>
    <mergeCell ref="D11:G11"/>
    <mergeCell ref="H11:H12"/>
  </mergeCells>
  <conditionalFormatting sqref="B5:G5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13:J28">
    <cfRule type="expression" dxfId="0" priority="18">
      <formula>#REF!</formula>
    </cfRule>
  </conditionalFormatting>
  <conditionalFormatting sqref="L13:L28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0" tint="-0.499984740745262"/>
  </sheetPr>
  <dimension ref="B1:EV55"/>
  <sheetViews>
    <sheetView topLeftCell="DE1" workbookViewId="0">
      <selection activeCell="EV4" sqref="EV4"/>
    </sheetView>
  </sheetViews>
  <sheetFormatPr defaultColWidth="4.36328125" defaultRowHeight="14.5" x14ac:dyDescent="0.35"/>
  <sheetData>
    <row r="1" spans="2:152" s="5" customFormat="1" ht="10" x14ac:dyDescent="0.2">
      <c r="J1" s="233" t="str">
        <f>'Data- Refined'!B3</f>
        <v>5 am to 6 am</v>
      </c>
      <c r="K1" s="234"/>
      <c r="L1" s="234"/>
      <c r="M1" s="234"/>
      <c r="N1" s="234"/>
      <c r="O1" s="234"/>
      <c r="P1" s="234"/>
      <c r="Q1" s="234"/>
      <c r="R1" s="16"/>
      <c r="S1" s="237" t="str">
        <f>'Data- Refined'!C3</f>
        <v>6am to 7am</v>
      </c>
      <c r="T1" s="238"/>
      <c r="U1" s="238"/>
      <c r="V1" s="238"/>
      <c r="W1" s="238"/>
      <c r="X1" s="238"/>
      <c r="Y1" s="239"/>
      <c r="Z1" s="16"/>
      <c r="AB1" s="237" t="str">
        <f>'Data- Refined'!D3</f>
        <v>7 am to 8 am</v>
      </c>
      <c r="AC1" s="238"/>
      <c r="AD1" s="238"/>
      <c r="AE1" s="238"/>
      <c r="AF1" s="238"/>
      <c r="AG1" s="238"/>
      <c r="AH1" s="239"/>
      <c r="AI1" s="16"/>
      <c r="AK1" s="237" t="str">
        <f>'Data- Refined'!E3</f>
        <v>8 am to 9 am</v>
      </c>
      <c r="AL1" s="238"/>
      <c r="AM1" s="238"/>
      <c r="AN1" s="238"/>
      <c r="AO1" s="238"/>
      <c r="AP1" s="238"/>
      <c r="AQ1" s="239"/>
      <c r="AR1" s="16"/>
      <c r="AT1" s="237" t="str">
        <f>'Data- Refined'!F3</f>
        <v>9am to 10 am</v>
      </c>
      <c r="AU1" s="238"/>
      <c r="AV1" s="238"/>
      <c r="AW1" s="238"/>
      <c r="AX1" s="238"/>
      <c r="AY1" s="238"/>
      <c r="AZ1" s="239"/>
      <c r="BA1" s="16"/>
      <c r="BC1" s="243" t="str">
        <f>'Data- Refined'!G3</f>
        <v>10 am to 11 am</v>
      </c>
      <c r="BD1" s="243"/>
      <c r="BE1" s="243"/>
      <c r="BF1" s="243"/>
      <c r="BG1" s="243"/>
      <c r="BH1" s="243"/>
      <c r="BI1" s="243"/>
      <c r="BJ1" s="243"/>
      <c r="BL1" s="243" t="str">
        <f>'Data- Refined'!H3</f>
        <v>11 am to 12 pm</v>
      </c>
      <c r="BM1" s="243"/>
      <c r="BN1" s="243"/>
      <c r="BO1" s="243"/>
      <c r="BP1" s="243"/>
      <c r="BQ1" s="243"/>
      <c r="BR1" s="243"/>
      <c r="BS1" s="243"/>
      <c r="BU1" s="243" t="str">
        <f>'Data- Refined'!I3</f>
        <v>12 pm to 1 pm</v>
      </c>
      <c r="BV1" s="243"/>
      <c r="BW1" s="243"/>
      <c r="BX1" s="243"/>
      <c r="BY1" s="243"/>
      <c r="BZ1" s="243"/>
      <c r="CA1" s="243"/>
      <c r="CB1" s="243"/>
      <c r="CD1" s="243" t="str">
        <f>'Data- Refined'!J3</f>
        <v>1pm to 2 pm</v>
      </c>
      <c r="CE1" s="243"/>
      <c r="CF1" s="243"/>
      <c r="CG1" s="243"/>
      <c r="CH1" s="243"/>
      <c r="CI1" s="243"/>
      <c r="CJ1" s="243"/>
      <c r="CK1" s="243"/>
      <c r="CM1" s="243" t="str">
        <f>'Data- Refined'!K3</f>
        <v>2 pm to 3 pm</v>
      </c>
      <c r="CN1" s="243"/>
      <c r="CO1" s="243"/>
      <c r="CP1" s="243"/>
      <c r="CQ1" s="243"/>
      <c r="CR1" s="243"/>
      <c r="CS1" s="243"/>
      <c r="CT1" s="243"/>
      <c r="CV1" s="243" t="str">
        <f>'Data- Refined'!L3</f>
        <v>3 pm to 4 pm</v>
      </c>
      <c r="CW1" s="243"/>
      <c r="CX1" s="243"/>
      <c r="CY1" s="243"/>
      <c r="CZ1" s="243"/>
      <c r="DA1" s="243"/>
      <c r="DB1" s="243"/>
      <c r="DC1" s="243"/>
      <c r="DE1" s="243" t="str">
        <f>'Data- Refined'!M3</f>
        <v>4 pm to 5 pm</v>
      </c>
      <c r="DF1" s="243"/>
      <c r="DG1" s="243"/>
      <c r="DH1" s="243"/>
      <c r="DI1" s="243"/>
      <c r="DJ1" s="243"/>
      <c r="DK1" s="243"/>
      <c r="DL1" s="243"/>
      <c r="DN1" s="243" t="str">
        <f>'Data- Refined'!N3</f>
        <v>5 pm to 6 pm</v>
      </c>
      <c r="DO1" s="243"/>
      <c r="DP1" s="243"/>
      <c r="DQ1" s="243"/>
      <c r="DR1" s="243"/>
      <c r="DS1" s="243"/>
      <c r="DT1" s="243"/>
      <c r="DU1" s="243"/>
      <c r="DW1" s="243" t="str">
        <f>'Data- Refined'!O3</f>
        <v>6 pm to 7 pm</v>
      </c>
      <c r="DX1" s="243"/>
      <c r="DY1" s="243"/>
      <c r="DZ1" s="243"/>
      <c r="EA1" s="243"/>
      <c r="EB1" s="243"/>
      <c r="EC1" s="243"/>
      <c r="ED1" s="243"/>
      <c r="EF1" s="243" t="str">
        <f>'Data- Refined'!P3</f>
        <v>7 pm to 8 pm</v>
      </c>
      <c r="EG1" s="243"/>
      <c r="EH1" s="243"/>
      <c r="EI1" s="243"/>
      <c r="EJ1" s="243"/>
      <c r="EK1" s="243"/>
      <c r="EL1" s="243"/>
      <c r="EM1" s="243"/>
      <c r="EO1" s="243" t="str">
        <f>'Data- Refined'!Q3</f>
        <v>8 pm to 9 pm</v>
      </c>
      <c r="EP1" s="243"/>
      <c r="EQ1" s="243"/>
      <c r="ER1" s="243"/>
      <c r="ES1" s="243"/>
      <c r="ET1" s="243"/>
      <c r="EU1" s="243"/>
      <c r="EV1" s="243"/>
    </row>
    <row r="2" spans="2:152" s="37" customFormat="1" ht="15" customHeight="1" x14ac:dyDescent="0.35">
      <c r="B2" s="38"/>
      <c r="C2" s="235" t="s">
        <v>72</v>
      </c>
      <c r="D2" s="236"/>
      <c r="E2" s="235" t="s">
        <v>73</v>
      </c>
      <c r="F2" s="236"/>
      <c r="G2" s="236"/>
      <c r="H2" s="236"/>
      <c r="J2" s="38"/>
      <c r="K2" s="235" t="s">
        <v>72</v>
      </c>
      <c r="L2" s="236"/>
      <c r="M2" s="235" t="s">
        <v>73</v>
      </c>
      <c r="N2" s="236"/>
      <c r="O2" s="236"/>
      <c r="P2" s="236"/>
      <c r="Q2" s="232" t="s">
        <v>84</v>
      </c>
      <c r="R2" s="66"/>
      <c r="S2" s="38"/>
      <c r="T2" s="235" t="s">
        <v>72</v>
      </c>
      <c r="U2" s="236"/>
      <c r="V2" s="235" t="s">
        <v>73</v>
      </c>
      <c r="W2" s="236"/>
      <c r="X2" s="236"/>
      <c r="Y2" s="236"/>
      <c r="Z2" s="232" t="s">
        <v>84</v>
      </c>
      <c r="AB2" s="38"/>
      <c r="AC2" s="235" t="s">
        <v>72</v>
      </c>
      <c r="AD2" s="236"/>
      <c r="AE2" s="235" t="s">
        <v>73</v>
      </c>
      <c r="AF2" s="236"/>
      <c r="AG2" s="236"/>
      <c r="AH2" s="236"/>
      <c r="AI2" s="232" t="s">
        <v>84</v>
      </c>
      <c r="AK2" s="38"/>
      <c r="AL2" s="235" t="s">
        <v>72</v>
      </c>
      <c r="AM2" s="236"/>
      <c r="AN2" s="235" t="s">
        <v>73</v>
      </c>
      <c r="AO2" s="236"/>
      <c r="AP2" s="236"/>
      <c r="AQ2" s="236"/>
      <c r="AR2" s="232" t="s">
        <v>84</v>
      </c>
      <c r="AT2" s="38"/>
      <c r="AU2" s="235" t="s">
        <v>72</v>
      </c>
      <c r="AV2" s="236"/>
      <c r="AW2" s="235" t="s">
        <v>73</v>
      </c>
      <c r="AX2" s="236"/>
      <c r="AY2" s="236"/>
      <c r="AZ2" s="236"/>
      <c r="BA2" s="232" t="s">
        <v>84</v>
      </c>
      <c r="BC2" s="240" t="s">
        <v>72</v>
      </c>
      <c r="BD2" s="241"/>
      <c r="BE2" s="242"/>
      <c r="BF2" s="235" t="s">
        <v>73</v>
      </c>
      <c r="BG2" s="236"/>
      <c r="BH2" s="236"/>
      <c r="BI2" s="236"/>
      <c r="BJ2" s="232" t="s">
        <v>84</v>
      </c>
      <c r="BL2" s="240" t="s">
        <v>72</v>
      </c>
      <c r="BM2" s="241"/>
      <c r="BN2" s="242"/>
      <c r="BO2" s="235" t="s">
        <v>73</v>
      </c>
      <c r="BP2" s="236"/>
      <c r="BQ2" s="236"/>
      <c r="BR2" s="236"/>
      <c r="BS2" s="232" t="s">
        <v>84</v>
      </c>
      <c r="BU2" s="240" t="s">
        <v>72</v>
      </c>
      <c r="BV2" s="241"/>
      <c r="BW2" s="242"/>
      <c r="BX2" s="235" t="s">
        <v>73</v>
      </c>
      <c r="BY2" s="236"/>
      <c r="BZ2" s="236"/>
      <c r="CA2" s="236"/>
      <c r="CB2" s="232" t="s">
        <v>84</v>
      </c>
      <c r="CD2" s="240" t="s">
        <v>72</v>
      </c>
      <c r="CE2" s="241"/>
      <c r="CF2" s="242"/>
      <c r="CG2" s="235" t="s">
        <v>73</v>
      </c>
      <c r="CH2" s="236"/>
      <c r="CI2" s="236"/>
      <c r="CJ2" s="236"/>
      <c r="CK2" s="232" t="s">
        <v>84</v>
      </c>
      <c r="CM2" s="240" t="s">
        <v>72</v>
      </c>
      <c r="CN2" s="241"/>
      <c r="CO2" s="242"/>
      <c r="CP2" s="235" t="s">
        <v>73</v>
      </c>
      <c r="CQ2" s="236"/>
      <c r="CR2" s="236"/>
      <c r="CS2" s="236"/>
      <c r="CT2" s="232" t="s">
        <v>84</v>
      </c>
      <c r="CV2" s="240" t="s">
        <v>72</v>
      </c>
      <c r="CW2" s="241"/>
      <c r="CX2" s="242"/>
      <c r="CY2" s="235" t="s">
        <v>73</v>
      </c>
      <c r="CZ2" s="236"/>
      <c r="DA2" s="236"/>
      <c r="DB2" s="236"/>
      <c r="DC2" s="232" t="s">
        <v>84</v>
      </c>
      <c r="DE2" s="240" t="s">
        <v>72</v>
      </c>
      <c r="DF2" s="241"/>
      <c r="DG2" s="242"/>
      <c r="DH2" s="235" t="s">
        <v>73</v>
      </c>
      <c r="DI2" s="236"/>
      <c r="DJ2" s="236"/>
      <c r="DK2" s="236"/>
      <c r="DL2" s="232" t="s">
        <v>84</v>
      </c>
      <c r="DN2" s="240" t="s">
        <v>72</v>
      </c>
      <c r="DO2" s="241"/>
      <c r="DP2" s="242"/>
      <c r="DQ2" s="235" t="s">
        <v>73</v>
      </c>
      <c r="DR2" s="236"/>
      <c r="DS2" s="236"/>
      <c r="DT2" s="236"/>
      <c r="DU2" s="232" t="s">
        <v>84</v>
      </c>
      <c r="DW2" s="240" t="s">
        <v>72</v>
      </c>
      <c r="DX2" s="241"/>
      <c r="DY2" s="242"/>
      <c r="DZ2" s="235" t="s">
        <v>73</v>
      </c>
      <c r="EA2" s="236"/>
      <c r="EB2" s="236"/>
      <c r="EC2" s="236"/>
      <c r="ED2" s="232" t="s">
        <v>84</v>
      </c>
      <c r="EF2" s="240" t="s">
        <v>72</v>
      </c>
      <c r="EG2" s="241"/>
      <c r="EH2" s="242"/>
      <c r="EI2" s="235" t="s">
        <v>73</v>
      </c>
      <c r="EJ2" s="236"/>
      <c r="EK2" s="236"/>
      <c r="EL2" s="236"/>
      <c r="EM2" s="232" t="s">
        <v>84</v>
      </c>
      <c r="EO2" s="240" t="s">
        <v>72</v>
      </c>
      <c r="EP2" s="241"/>
      <c r="EQ2" s="242"/>
      <c r="ER2" s="235" t="s">
        <v>73</v>
      </c>
      <c r="ES2" s="236"/>
      <c r="ET2" s="236"/>
      <c r="EU2" s="236"/>
      <c r="EV2" s="232" t="s">
        <v>84</v>
      </c>
    </row>
    <row r="3" spans="2:152" s="13" customFormat="1" ht="75" x14ac:dyDescent="0.35">
      <c r="B3" s="14" t="s">
        <v>74</v>
      </c>
      <c r="C3" s="14" t="s">
        <v>75</v>
      </c>
      <c r="D3" s="14" t="s">
        <v>76</v>
      </c>
      <c r="E3" s="14" t="s">
        <v>77</v>
      </c>
      <c r="F3" s="14" t="s">
        <v>78</v>
      </c>
      <c r="G3" s="14" t="s">
        <v>79</v>
      </c>
      <c r="H3" s="14" t="s">
        <v>80</v>
      </c>
      <c r="J3" s="14" t="s">
        <v>74</v>
      </c>
      <c r="K3" s="14" t="s">
        <v>75</v>
      </c>
      <c r="L3" s="14" t="s">
        <v>76</v>
      </c>
      <c r="M3" s="14" t="s">
        <v>77</v>
      </c>
      <c r="N3" s="14" t="s">
        <v>78</v>
      </c>
      <c r="O3" s="14" t="s">
        <v>79</v>
      </c>
      <c r="P3" s="14" t="s">
        <v>80</v>
      </c>
      <c r="Q3" s="232"/>
      <c r="R3" s="15"/>
      <c r="S3" s="14" t="s">
        <v>74</v>
      </c>
      <c r="T3" s="14" t="s">
        <v>75</v>
      </c>
      <c r="U3" s="14" t="s">
        <v>76</v>
      </c>
      <c r="V3" s="14" t="s">
        <v>77</v>
      </c>
      <c r="W3" s="14" t="s">
        <v>78</v>
      </c>
      <c r="X3" s="14" t="s">
        <v>79</v>
      </c>
      <c r="Y3" s="14" t="s">
        <v>80</v>
      </c>
      <c r="Z3" s="232"/>
      <c r="AB3" s="14" t="s">
        <v>74</v>
      </c>
      <c r="AC3" s="14" t="s">
        <v>75</v>
      </c>
      <c r="AD3" s="14" t="s">
        <v>76</v>
      </c>
      <c r="AE3" s="14" t="s">
        <v>77</v>
      </c>
      <c r="AF3" s="14" t="s">
        <v>78</v>
      </c>
      <c r="AG3" s="14" t="s">
        <v>79</v>
      </c>
      <c r="AH3" s="14" t="s">
        <v>80</v>
      </c>
      <c r="AI3" s="232"/>
      <c r="AK3" s="14" t="s">
        <v>74</v>
      </c>
      <c r="AL3" s="14" t="s">
        <v>75</v>
      </c>
      <c r="AM3" s="14" t="s">
        <v>76</v>
      </c>
      <c r="AN3" s="14" t="s">
        <v>77</v>
      </c>
      <c r="AO3" s="14" t="s">
        <v>78</v>
      </c>
      <c r="AP3" s="14" t="s">
        <v>79</v>
      </c>
      <c r="AQ3" s="14" t="s">
        <v>80</v>
      </c>
      <c r="AR3" s="232"/>
      <c r="AT3" s="14" t="s">
        <v>74</v>
      </c>
      <c r="AU3" s="14" t="s">
        <v>75</v>
      </c>
      <c r="AV3" s="14" t="s">
        <v>76</v>
      </c>
      <c r="AW3" s="14" t="s">
        <v>77</v>
      </c>
      <c r="AX3" s="14" t="s">
        <v>78</v>
      </c>
      <c r="AY3" s="14" t="s">
        <v>79</v>
      </c>
      <c r="AZ3" s="14" t="s">
        <v>80</v>
      </c>
      <c r="BA3" s="232"/>
      <c r="BC3" s="14" t="s">
        <v>74</v>
      </c>
      <c r="BD3" s="14" t="s">
        <v>75</v>
      </c>
      <c r="BE3" s="14" t="s">
        <v>76</v>
      </c>
      <c r="BF3" s="14" t="s">
        <v>77</v>
      </c>
      <c r="BG3" s="14" t="s">
        <v>78</v>
      </c>
      <c r="BH3" s="14" t="s">
        <v>79</v>
      </c>
      <c r="BI3" s="14" t="s">
        <v>80</v>
      </c>
      <c r="BJ3" s="232"/>
      <c r="BL3" s="14" t="s">
        <v>74</v>
      </c>
      <c r="BM3" s="14" t="s">
        <v>75</v>
      </c>
      <c r="BN3" s="14" t="s">
        <v>76</v>
      </c>
      <c r="BO3" s="14" t="s">
        <v>77</v>
      </c>
      <c r="BP3" s="14" t="s">
        <v>78</v>
      </c>
      <c r="BQ3" s="14" t="s">
        <v>79</v>
      </c>
      <c r="BR3" s="14" t="s">
        <v>80</v>
      </c>
      <c r="BS3" s="232"/>
      <c r="BU3" s="14" t="s">
        <v>74</v>
      </c>
      <c r="BV3" s="14" t="s">
        <v>75</v>
      </c>
      <c r="BW3" s="14" t="s">
        <v>76</v>
      </c>
      <c r="BX3" s="14" t="s">
        <v>77</v>
      </c>
      <c r="BY3" s="14" t="s">
        <v>78</v>
      </c>
      <c r="BZ3" s="14" t="s">
        <v>79</v>
      </c>
      <c r="CA3" s="14" t="s">
        <v>80</v>
      </c>
      <c r="CB3" s="232"/>
      <c r="CD3" s="14" t="s">
        <v>74</v>
      </c>
      <c r="CE3" s="14" t="s">
        <v>75</v>
      </c>
      <c r="CF3" s="14" t="s">
        <v>76</v>
      </c>
      <c r="CG3" s="14" t="s">
        <v>77</v>
      </c>
      <c r="CH3" s="14" t="s">
        <v>78</v>
      </c>
      <c r="CI3" s="14" t="s">
        <v>79</v>
      </c>
      <c r="CJ3" s="14" t="s">
        <v>80</v>
      </c>
      <c r="CK3" s="232"/>
      <c r="CM3" s="14" t="s">
        <v>74</v>
      </c>
      <c r="CN3" s="14" t="s">
        <v>75</v>
      </c>
      <c r="CO3" s="14" t="s">
        <v>76</v>
      </c>
      <c r="CP3" s="14" t="s">
        <v>77</v>
      </c>
      <c r="CQ3" s="14" t="s">
        <v>78</v>
      </c>
      <c r="CR3" s="14" t="s">
        <v>79</v>
      </c>
      <c r="CS3" s="14" t="s">
        <v>80</v>
      </c>
      <c r="CT3" s="232"/>
      <c r="CV3" s="14" t="s">
        <v>74</v>
      </c>
      <c r="CW3" s="14" t="s">
        <v>75</v>
      </c>
      <c r="CX3" s="14" t="s">
        <v>76</v>
      </c>
      <c r="CY3" s="14" t="s">
        <v>77</v>
      </c>
      <c r="CZ3" s="14" t="s">
        <v>78</v>
      </c>
      <c r="DA3" s="14" t="s">
        <v>79</v>
      </c>
      <c r="DB3" s="14" t="s">
        <v>80</v>
      </c>
      <c r="DC3" s="232"/>
      <c r="DE3" s="14" t="s">
        <v>74</v>
      </c>
      <c r="DF3" s="14" t="s">
        <v>75</v>
      </c>
      <c r="DG3" s="14" t="s">
        <v>76</v>
      </c>
      <c r="DH3" s="14" t="s">
        <v>77</v>
      </c>
      <c r="DI3" s="14" t="s">
        <v>78</v>
      </c>
      <c r="DJ3" s="14" t="s">
        <v>79</v>
      </c>
      <c r="DK3" s="14" t="s">
        <v>80</v>
      </c>
      <c r="DL3" s="232"/>
      <c r="DN3" s="14" t="s">
        <v>74</v>
      </c>
      <c r="DO3" s="14" t="s">
        <v>75</v>
      </c>
      <c r="DP3" s="14" t="s">
        <v>76</v>
      </c>
      <c r="DQ3" s="14" t="s">
        <v>77</v>
      </c>
      <c r="DR3" s="14" t="s">
        <v>78</v>
      </c>
      <c r="DS3" s="14" t="s">
        <v>79</v>
      </c>
      <c r="DT3" s="14" t="s">
        <v>80</v>
      </c>
      <c r="DU3" s="232"/>
      <c r="DW3" s="14" t="s">
        <v>74</v>
      </c>
      <c r="DX3" s="14" t="s">
        <v>75</v>
      </c>
      <c r="DY3" s="14" t="s">
        <v>76</v>
      </c>
      <c r="DZ3" s="14" t="s">
        <v>77</v>
      </c>
      <c r="EA3" s="14" t="s">
        <v>78</v>
      </c>
      <c r="EB3" s="14" t="s">
        <v>79</v>
      </c>
      <c r="EC3" s="14" t="s">
        <v>80</v>
      </c>
      <c r="ED3" s="232"/>
      <c r="EF3" s="14" t="s">
        <v>74</v>
      </c>
      <c r="EG3" s="14" t="s">
        <v>75</v>
      </c>
      <c r="EH3" s="14" t="s">
        <v>76</v>
      </c>
      <c r="EI3" s="14" t="s">
        <v>77</v>
      </c>
      <c r="EJ3" s="14" t="s">
        <v>78</v>
      </c>
      <c r="EK3" s="14" t="s">
        <v>79</v>
      </c>
      <c r="EL3" s="14" t="s">
        <v>80</v>
      </c>
      <c r="EM3" s="232"/>
      <c r="EO3" s="14" t="s">
        <v>74</v>
      </c>
      <c r="EP3" s="14" t="s">
        <v>75</v>
      </c>
      <c r="EQ3" s="14" t="s">
        <v>76</v>
      </c>
      <c r="ER3" s="14" t="s">
        <v>77</v>
      </c>
      <c r="ES3" s="14" t="s">
        <v>78</v>
      </c>
      <c r="ET3" s="14" t="s">
        <v>79</v>
      </c>
      <c r="EU3" s="14" t="s">
        <v>80</v>
      </c>
      <c r="EV3" s="232"/>
    </row>
    <row r="4" spans="2:152" x14ac:dyDescent="0.35">
      <c r="B4" s="3" t="s">
        <v>20</v>
      </c>
      <c r="C4" s="4">
        <f>'Data- Refined'!U4</f>
        <v>4</v>
      </c>
      <c r="D4" s="4">
        <f>'Data- Refined'!V4</f>
        <v>4</v>
      </c>
      <c r="E4" s="4">
        <f>'Data- Refined'!W4</f>
        <v>2</v>
      </c>
      <c r="F4" s="4">
        <f>'Data- Refined'!X4</f>
        <v>2</v>
      </c>
      <c r="G4" s="4">
        <f>'Data- Refined'!Y4</f>
        <v>2</v>
      </c>
      <c r="H4" s="4">
        <f>'Data- Refined'!Z4</f>
        <v>0</v>
      </c>
      <c r="J4" s="3" t="s">
        <v>20</v>
      </c>
      <c r="K4" s="4">
        <f>C4*'Optimization Model'!C$5</f>
        <v>4</v>
      </c>
      <c r="L4" s="4">
        <f>D4*'Optimization Model'!D$5</f>
        <v>0</v>
      </c>
      <c r="M4" s="4">
        <f>E4*'Optimization Model'!E$5</f>
        <v>0</v>
      </c>
      <c r="N4" s="4">
        <f>F4*'Optimization Model'!F$5</f>
        <v>0</v>
      </c>
      <c r="O4" s="4">
        <f>G4*'Optimization Model'!G$5</f>
        <v>0</v>
      </c>
      <c r="P4" s="4">
        <f>H4*'Optimization Model'!H$5</f>
        <v>0</v>
      </c>
      <c r="Q4" s="4">
        <f>SUM(K4:P4)</f>
        <v>4</v>
      </c>
      <c r="R4" s="8"/>
      <c r="S4" s="3" t="s">
        <v>20</v>
      </c>
      <c r="T4" s="4">
        <f>C4*'Optimization Model'!C$6</f>
        <v>0</v>
      </c>
      <c r="U4" s="4">
        <f>D4*'Optimization Model'!D$6</f>
        <v>4</v>
      </c>
      <c r="V4" s="4">
        <f>E4*'Optimization Model'!E$6</f>
        <v>0</v>
      </c>
      <c r="W4" s="4">
        <f>F4*'Optimization Model'!F$6</f>
        <v>0</v>
      </c>
      <c r="X4" s="4">
        <f>G4*'Optimization Model'!G$6</f>
        <v>0</v>
      </c>
      <c r="Y4" s="4">
        <f>H4*'Optimization Model'!H$6</f>
        <v>0</v>
      </c>
      <c r="Z4" s="4">
        <f>SUM(T4:Y4)</f>
        <v>4</v>
      </c>
      <c r="AB4" s="3" t="s">
        <v>20</v>
      </c>
      <c r="AC4" s="4">
        <f>C4*'Optimization Model'!C$7</f>
        <v>4</v>
      </c>
      <c r="AD4" s="4">
        <f>D4*'Optimization Model'!D$7</f>
        <v>0</v>
      </c>
      <c r="AE4" s="4">
        <f>E4*'Optimization Model'!E$7</f>
        <v>0</v>
      </c>
      <c r="AF4" s="4">
        <f>F4*'Optimization Model'!F$7</f>
        <v>0</v>
      </c>
      <c r="AG4" s="4">
        <f>G4*'Optimization Model'!G$7</f>
        <v>0</v>
      </c>
      <c r="AH4" s="4">
        <f>H4*'Optimization Model'!H$7</f>
        <v>0</v>
      </c>
      <c r="AI4" s="4">
        <f>SUM(AC4:AH4)</f>
        <v>4</v>
      </c>
      <c r="AK4" s="3" t="s">
        <v>20</v>
      </c>
      <c r="AL4" s="4">
        <f>C4*'Optimization Model'!C$8</f>
        <v>0</v>
      </c>
      <c r="AM4" s="4">
        <f>D4*'Optimization Model'!D$8</f>
        <v>4</v>
      </c>
      <c r="AN4" s="4">
        <f>E4*'Optimization Model'!E$8</f>
        <v>0</v>
      </c>
      <c r="AO4" s="4">
        <f>F4*'Optimization Model'!F$8</f>
        <v>0</v>
      </c>
      <c r="AP4" s="4">
        <f>G4*'Optimization Model'!G$8</f>
        <v>0</v>
      </c>
      <c r="AQ4" s="4">
        <f>H4*'Optimization Model'!H$8</f>
        <v>0</v>
      </c>
      <c r="AR4" s="4">
        <f>SUM(AL4:AQ4)</f>
        <v>4</v>
      </c>
      <c r="AT4" s="3" t="s">
        <v>20</v>
      </c>
      <c r="AU4" s="4">
        <f>C4*'Optimization Model'!C$9</f>
        <v>4</v>
      </c>
      <c r="AV4" s="4">
        <f>D4*'Optimization Model'!D$9</f>
        <v>0</v>
      </c>
      <c r="AW4" s="4">
        <f>E4*'Optimization Model'!E$9</f>
        <v>0</v>
      </c>
      <c r="AX4" s="4">
        <f>F4*'Optimization Model'!F$9</f>
        <v>2</v>
      </c>
      <c r="AY4" s="4">
        <f>G4*'Optimization Model'!G$9</f>
        <v>0</v>
      </c>
      <c r="AZ4" s="4">
        <f>H4*'Optimization Model'!H$9</f>
        <v>0</v>
      </c>
      <c r="BA4" s="4">
        <f>SUM(AU4:AZ4)</f>
        <v>6</v>
      </c>
      <c r="BC4" s="3" t="s">
        <v>20</v>
      </c>
      <c r="BD4" s="4">
        <f>C4*'Optimization Model'!C$10</f>
        <v>0</v>
      </c>
      <c r="BE4" s="4">
        <f>D4*'Optimization Model'!D$10</f>
        <v>4</v>
      </c>
      <c r="BF4" s="4">
        <f>E4*'Optimization Model'!E$10</f>
        <v>0</v>
      </c>
      <c r="BG4" s="4">
        <f>F4*'Optimization Model'!F$10</f>
        <v>2</v>
      </c>
      <c r="BH4" s="4">
        <f>G4*'Optimization Model'!G$10</f>
        <v>0</v>
      </c>
      <c r="BI4" s="4">
        <f>H4*'Optimization Model'!H$10</f>
        <v>0</v>
      </c>
      <c r="BJ4" s="4">
        <f>SUM(BD4:BI4)</f>
        <v>6</v>
      </c>
      <c r="BL4" s="3" t="s">
        <v>20</v>
      </c>
      <c r="BM4" s="4">
        <f>C4*'Optimization Model'!C$11</f>
        <v>0</v>
      </c>
      <c r="BN4" s="4">
        <f>D4*'Optimization Model'!D$11</f>
        <v>0</v>
      </c>
      <c r="BO4" s="4">
        <f>E4*'Optimization Model'!E$11</f>
        <v>2</v>
      </c>
      <c r="BP4" s="4">
        <f>F4*'Optimization Model'!F$11</f>
        <v>0</v>
      </c>
      <c r="BQ4" s="4">
        <f>G4*'Optimization Model'!G$11</f>
        <v>2</v>
      </c>
      <c r="BR4" s="4">
        <f>H4*'Optimization Model'!H$11</f>
        <v>0</v>
      </c>
      <c r="BS4" s="4">
        <f>SUM(BM4:BR4)</f>
        <v>4</v>
      </c>
      <c r="BU4" s="3" t="s">
        <v>20</v>
      </c>
      <c r="BV4" s="4">
        <f>C4*'Optimization Model'!C$12</f>
        <v>0</v>
      </c>
      <c r="BW4" s="4">
        <f>D4*'Optimization Model'!D$12</f>
        <v>0</v>
      </c>
      <c r="BX4" s="4">
        <f>E4*'Optimization Model'!E$12</f>
        <v>0</v>
      </c>
      <c r="BY4" s="4">
        <f>F4*'Optimization Model'!F$12</f>
        <v>0</v>
      </c>
      <c r="BZ4" s="4">
        <f>G4*'Optimization Model'!G$12</f>
        <v>2</v>
      </c>
      <c r="CA4" s="4">
        <f>H4*'Optimization Model'!H$12</f>
        <v>0</v>
      </c>
      <c r="CB4" s="4">
        <f>SUM(BV4:CA4)</f>
        <v>2</v>
      </c>
      <c r="CD4" s="3" t="s">
        <v>20</v>
      </c>
      <c r="CE4" s="4">
        <f>C4*'Optimization Model'!C$13</f>
        <v>4</v>
      </c>
      <c r="CF4" s="4">
        <f>D4*'Optimization Model'!D$13</f>
        <v>0</v>
      </c>
      <c r="CG4" s="4">
        <f>E4*'Optimization Model'!E$13</f>
        <v>0</v>
      </c>
      <c r="CH4" s="4">
        <f>F4*'Optimization Model'!F$13</f>
        <v>0</v>
      </c>
      <c r="CI4" s="4">
        <f>G4*'Optimization Model'!G$13</f>
        <v>0</v>
      </c>
      <c r="CJ4" s="4">
        <f>H4*'Optimization Model'!H$13</f>
        <v>0</v>
      </c>
      <c r="CK4" s="4">
        <f>SUM(CE4:CJ4)</f>
        <v>4</v>
      </c>
      <c r="CM4" s="3" t="s">
        <v>20</v>
      </c>
      <c r="CN4" s="4">
        <f>C4*'Optimization Model'!C$14</f>
        <v>0</v>
      </c>
      <c r="CO4" s="4">
        <f>D4*'Optimization Model'!D$14</f>
        <v>4</v>
      </c>
      <c r="CP4" s="4">
        <f>E4*'Optimization Model'!E$14</f>
        <v>0</v>
      </c>
      <c r="CQ4" s="4">
        <f>F4*'Optimization Model'!F$14</f>
        <v>0</v>
      </c>
      <c r="CR4" s="4">
        <f>G4*'Optimization Model'!G$14</f>
        <v>0</v>
      </c>
      <c r="CS4" s="4">
        <f>H4*'Optimization Model'!H$14</f>
        <v>0</v>
      </c>
      <c r="CT4" s="4">
        <f>SUM(CN4:CS4)</f>
        <v>4</v>
      </c>
      <c r="CV4" s="3" t="s">
        <v>20</v>
      </c>
      <c r="CW4" s="4">
        <f>C4*'Optimization Model'!C$15</f>
        <v>0</v>
      </c>
      <c r="CX4" s="4">
        <f>D4*'Optimization Model'!D$15</f>
        <v>0</v>
      </c>
      <c r="CY4" s="4">
        <f>E4*'Optimization Model'!E$15</f>
        <v>0</v>
      </c>
      <c r="CZ4" s="4">
        <f>F4*'Optimization Model'!F$15</f>
        <v>2</v>
      </c>
      <c r="DA4" s="4">
        <f>G4*'Optimization Model'!G$15</f>
        <v>2</v>
      </c>
      <c r="DB4" s="4">
        <f>H4*'Optimization Model'!H$15</f>
        <v>0</v>
      </c>
      <c r="DC4" s="4">
        <f>SUM(CW4:DB4)</f>
        <v>4</v>
      </c>
      <c r="DE4" s="3" t="s">
        <v>20</v>
      </c>
      <c r="DF4" s="4">
        <f>C4*'Optimization Model'!C$16</f>
        <v>0</v>
      </c>
      <c r="DG4" s="4">
        <f>D4*'Optimization Model'!D$16</f>
        <v>0</v>
      </c>
      <c r="DH4" s="4">
        <f>E4*'Optimization Model'!E$16</f>
        <v>2</v>
      </c>
      <c r="DI4" s="4">
        <f>F4*'Optimization Model'!F$16</f>
        <v>0</v>
      </c>
      <c r="DJ4" s="4">
        <f>G4*'Optimization Model'!G$16</f>
        <v>0</v>
      </c>
      <c r="DK4" s="4">
        <f>H4*'Optimization Model'!H$16</f>
        <v>0</v>
      </c>
      <c r="DL4" s="4">
        <f>SUM(DF4:DK4)</f>
        <v>2</v>
      </c>
      <c r="DN4" s="3" t="s">
        <v>20</v>
      </c>
      <c r="DO4" s="4">
        <f>C4*'Optimization Model'!C$17</f>
        <v>0</v>
      </c>
      <c r="DP4" s="4">
        <f>D4*'Optimization Model'!D$17</f>
        <v>0</v>
      </c>
      <c r="DQ4" s="4">
        <f>E4*'Optimization Model'!E$17</f>
        <v>2</v>
      </c>
      <c r="DR4" s="4">
        <f>F4*'Optimization Model'!F$17</f>
        <v>0</v>
      </c>
      <c r="DS4" s="4">
        <f>G4*'Optimization Model'!G$17</f>
        <v>2</v>
      </c>
      <c r="DT4" s="4">
        <f>H4*'Optimization Model'!H$17</f>
        <v>0</v>
      </c>
      <c r="DU4" s="4">
        <f>SUM(DO4:DT4)</f>
        <v>4</v>
      </c>
      <c r="DW4" s="3" t="s">
        <v>20</v>
      </c>
      <c r="DX4" s="4">
        <f>C4*'Optimization Model'!C$18</f>
        <v>0</v>
      </c>
      <c r="DY4" s="4">
        <f>D4*'Optimization Model'!D$18</f>
        <v>0</v>
      </c>
      <c r="DZ4" s="4">
        <f>E4*'Optimization Model'!E$18</f>
        <v>2</v>
      </c>
      <c r="EA4" s="4">
        <f>F4*'Optimization Model'!F$18</f>
        <v>2</v>
      </c>
      <c r="EB4" s="4">
        <f>G4*'Optimization Model'!G$18</f>
        <v>0</v>
      </c>
      <c r="EC4" s="4">
        <f>H4*'Optimization Model'!H$18</f>
        <v>0</v>
      </c>
      <c r="ED4" s="4">
        <f>SUM(DX4:EC4)</f>
        <v>4</v>
      </c>
      <c r="EF4" s="3" t="s">
        <v>20</v>
      </c>
      <c r="EG4" s="4">
        <f>C4*'Optimization Model'!C$19</f>
        <v>0</v>
      </c>
      <c r="EH4" s="4">
        <f>D4*'Optimization Model'!D$19</f>
        <v>0</v>
      </c>
      <c r="EI4" s="4">
        <f>E4*'Optimization Model'!E$19</f>
        <v>0</v>
      </c>
      <c r="EJ4" s="4">
        <f>F4*'Optimization Model'!F$19</f>
        <v>0</v>
      </c>
      <c r="EK4" s="4">
        <f>G4*'Optimization Model'!G$19</f>
        <v>0</v>
      </c>
      <c r="EL4" s="4">
        <f>H4*'Optimization Model'!H$19</f>
        <v>0</v>
      </c>
      <c r="EM4" s="4">
        <f>SUM(EG4:EL4)</f>
        <v>0</v>
      </c>
      <c r="EO4" s="3" t="s">
        <v>20</v>
      </c>
      <c r="EP4" s="4">
        <f>C4*'Optimization Model'!C$20</f>
        <v>0</v>
      </c>
      <c r="EQ4" s="4">
        <f>D4*'Optimization Model'!D$20</f>
        <v>0</v>
      </c>
      <c r="ER4" s="4">
        <f>E4*'Optimization Model'!E$20</f>
        <v>0</v>
      </c>
      <c r="ES4" s="4">
        <f>F4*'Optimization Model'!F$20</f>
        <v>0</v>
      </c>
      <c r="ET4" s="4">
        <f>G4*'Optimization Model'!G$20</f>
        <v>0</v>
      </c>
      <c r="EU4" s="4">
        <f>H4*'Optimization Model'!H$20</f>
        <v>0</v>
      </c>
      <c r="EV4" s="4">
        <f>SUM(EP4:EU4)</f>
        <v>0</v>
      </c>
    </row>
    <row r="5" spans="2:152" x14ac:dyDescent="0.35">
      <c r="B5" s="3" t="s">
        <v>21</v>
      </c>
      <c r="C5" s="4">
        <f>'Data- Refined'!U5</f>
        <v>10</v>
      </c>
      <c r="D5" s="4">
        <f>'Data- Refined'!V5</f>
        <v>9</v>
      </c>
      <c r="E5" s="4">
        <f>'Data- Refined'!W5</f>
        <v>6</v>
      </c>
      <c r="F5" s="4">
        <f>'Data- Refined'!X5</f>
        <v>2</v>
      </c>
      <c r="G5" s="4">
        <f>'Data- Refined'!Y5</f>
        <v>4</v>
      </c>
      <c r="H5" s="4">
        <f>'Data- Refined'!Z5</f>
        <v>6</v>
      </c>
      <c r="J5" s="3" t="s">
        <v>21</v>
      </c>
      <c r="K5" s="4">
        <f>C5*'Optimization Model'!C$5</f>
        <v>10</v>
      </c>
      <c r="L5" s="4">
        <f>D5*'Optimization Model'!D$5</f>
        <v>0</v>
      </c>
      <c r="M5" s="4">
        <f>E5*'Optimization Model'!E$5</f>
        <v>0</v>
      </c>
      <c r="N5" s="4">
        <f>F5*'Optimization Model'!F$5</f>
        <v>0</v>
      </c>
      <c r="O5" s="4">
        <f>G5*'Optimization Model'!G$5</f>
        <v>0</v>
      </c>
      <c r="P5" s="4">
        <f>H5*'Optimization Model'!H$5</f>
        <v>0</v>
      </c>
      <c r="Q5" s="4">
        <f t="shared" ref="Q5:Q55" si="0">SUM(K5:P5)</f>
        <v>10</v>
      </c>
      <c r="R5" s="8"/>
      <c r="S5" s="3" t="s">
        <v>21</v>
      </c>
      <c r="T5" s="4">
        <f>C5*'Optimization Model'!C$6</f>
        <v>0</v>
      </c>
      <c r="U5" s="4">
        <f>D5*'Optimization Model'!D$6</f>
        <v>9</v>
      </c>
      <c r="V5" s="4">
        <f>E5*'Optimization Model'!E$6</f>
        <v>0</v>
      </c>
      <c r="W5" s="4">
        <f>F5*'Optimization Model'!F$6</f>
        <v>0</v>
      </c>
      <c r="X5" s="4">
        <f>G5*'Optimization Model'!G$6</f>
        <v>0</v>
      </c>
      <c r="Y5" s="4">
        <f>H5*'Optimization Model'!H$6</f>
        <v>0</v>
      </c>
      <c r="Z5" s="4">
        <f t="shared" ref="Z5:Z55" si="1">SUM(T5:Y5)</f>
        <v>9</v>
      </c>
      <c r="AB5" s="3" t="s">
        <v>21</v>
      </c>
      <c r="AC5" s="4">
        <f>C5*'Optimization Model'!C$7</f>
        <v>10</v>
      </c>
      <c r="AD5" s="4">
        <f>D5*'Optimization Model'!D$7</f>
        <v>0</v>
      </c>
      <c r="AE5" s="4">
        <f>E5*'Optimization Model'!E$7</f>
        <v>0</v>
      </c>
      <c r="AF5" s="4">
        <f>F5*'Optimization Model'!F$7</f>
        <v>0</v>
      </c>
      <c r="AG5" s="4">
        <f>G5*'Optimization Model'!G$7</f>
        <v>0</v>
      </c>
      <c r="AH5" s="4">
        <f>H5*'Optimization Model'!H$7</f>
        <v>0</v>
      </c>
      <c r="AI5" s="4">
        <f t="shared" ref="AI5:AI55" si="2">SUM(AC5:AH5)</f>
        <v>10</v>
      </c>
      <c r="AK5" s="3" t="s">
        <v>21</v>
      </c>
      <c r="AL5" s="4">
        <f>C5*'Optimization Model'!C$8</f>
        <v>0</v>
      </c>
      <c r="AM5" s="4">
        <f>D5*'Optimization Model'!D$8</f>
        <v>9</v>
      </c>
      <c r="AN5" s="4">
        <f>E5*'Optimization Model'!E$8</f>
        <v>0</v>
      </c>
      <c r="AO5" s="4">
        <f>F5*'Optimization Model'!F$8</f>
        <v>0</v>
      </c>
      <c r="AP5" s="4">
        <f>G5*'Optimization Model'!G$8</f>
        <v>0</v>
      </c>
      <c r="AQ5" s="4">
        <f>H5*'Optimization Model'!H$8</f>
        <v>6</v>
      </c>
      <c r="AR5" s="4">
        <f t="shared" ref="AR5:AR55" si="3">SUM(AL5:AQ5)</f>
        <v>15</v>
      </c>
      <c r="AT5" s="3" t="s">
        <v>21</v>
      </c>
      <c r="AU5" s="4">
        <f>C5*'Optimization Model'!C$9</f>
        <v>10</v>
      </c>
      <c r="AV5" s="4">
        <f>D5*'Optimization Model'!D$9</f>
        <v>0</v>
      </c>
      <c r="AW5" s="4">
        <f>E5*'Optimization Model'!E$9</f>
        <v>0</v>
      </c>
      <c r="AX5" s="4">
        <f>F5*'Optimization Model'!F$9</f>
        <v>2</v>
      </c>
      <c r="AY5" s="4">
        <f>G5*'Optimization Model'!G$9</f>
        <v>0</v>
      </c>
      <c r="AZ5" s="4">
        <f>H5*'Optimization Model'!H$9</f>
        <v>0</v>
      </c>
      <c r="BA5" s="4">
        <f t="shared" ref="BA5:BA55" si="4">SUM(AU5:AZ5)</f>
        <v>12</v>
      </c>
      <c r="BC5" s="3" t="s">
        <v>21</v>
      </c>
      <c r="BD5" s="4">
        <f>C5*'Optimization Model'!C$10</f>
        <v>0</v>
      </c>
      <c r="BE5" s="4">
        <f>D5*'Optimization Model'!D$10</f>
        <v>9</v>
      </c>
      <c r="BF5" s="4">
        <f>E5*'Optimization Model'!E$10</f>
        <v>0</v>
      </c>
      <c r="BG5" s="4">
        <f>F5*'Optimization Model'!F$10</f>
        <v>2</v>
      </c>
      <c r="BH5" s="4">
        <f>G5*'Optimization Model'!G$10</f>
        <v>0</v>
      </c>
      <c r="BI5" s="4">
        <f>H5*'Optimization Model'!H$10</f>
        <v>0</v>
      </c>
      <c r="BJ5" s="4">
        <f t="shared" ref="BJ5:BJ55" si="5">SUM(BD5:BI5)</f>
        <v>11</v>
      </c>
      <c r="BL5" s="3" t="s">
        <v>21</v>
      </c>
      <c r="BM5" s="4">
        <f>C5*'Optimization Model'!C$11</f>
        <v>0</v>
      </c>
      <c r="BN5" s="4">
        <f>D5*'Optimization Model'!D$11</f>
        <v>0</v>
      </c>
      <c r="BO5" s="4">
        <f>E5*'Optimization Model'!E$11</f>
        <v>6</v>
      </c>
      <c r="BP5" s="4">
        <f>F5*'Optimization Model'!F$11</f>
        <v>0</v>
      </c>
      <c r="BQ5" s="4">
        <f>G5*'Optimization Model'!G$11</f>
        <v>4</v>
      </c>
      <c r="BR5" s="4">
        <f>H5*'Optimization Model'!H$11</f>
        <v>0</v>
      </c>
      <c r="BS5" s="4">
        <f t="shared" ref="BS5:BS55" si="6">SUM(BM5:BR5)</f>
        <v>10</v>
      </c>
      <c r="BU5" s="3" t="s">
        <v>21</v>
      </c>
      <c r="BV5" s="4">
        <f>C5*'Optimization Model'!C$12</f>
        <v>0</v>
      </c>
      <c r="BW5" s="4">
        <f>D5*'Optimization Model'!D$12</f>
        <v>0</v>
      </c>
      <c r="BX5" s="4">
        <f>E5*'Optimization Model'!E$12</f>
        <v>0</v>
      </c>
      <c r="BY5" s="4">
        <f>F5*'Optimization Model'!F$12</f>
        <v>0</v>
      </c>
      <c r="BZ5" s="4">
        <f>G5*'Optimization Model'!G$12</f>
        <v>4</v>
      </c>
      <c r="CA5" s="4">
        <f>H5*'Optimization Model'!H$12</f>
        <v>6</v>
      </c>
      <c r="CB5" s="4">
        <f t="shared" ref="CB5:CB55" si="7">SUM(BV5:CA5)</f>
        <v>10</v>
      </c>
      <c r="CD5" s="3" t="s">
        <v>21</v>
      </c>
      <c r="CE5" s="4">
        <f>C5*'Optimization Model'!C$13</f>
        <v>10</v>
      </c>
      <c r="CF5" s="4">
        <f>D5*'Optimization Model'!D$13</f>
        <v>0</v>
      </c>
      <c r="CG5" s="4">
        <f>E5*'Optimization Model'!E$13</f>
        <v>0</v>
      </c>
      <c r="CH5" s="4">
        <f>F5*'Optimization Model'!F$13</f>
        <v>0</v>
      </c>
      <c r="CI5" s="4">
        <f>G5*'Optimization Model'!G$13</f>
        <v>0</v>
      </c>
      <c r="CJ5" s="4">
        <f>H5*'Optimization Model'!H$13</f>
        <v>0</v>
      </c>
      <c r="CK5" s="4">
        <f t="shared" ref="CK5:CK55" si="8">SUM(CE5:CJ5)</f>
        <v>10</v>
      </c>
      <c r="CM5" s="3" t="s">
        <v>21</v>
      </c>
      <c r="CN5" s="4">
        <f>C5*'Optimization Model'!C$14</f>
        <v>0</v>
      </c>
      <c r="CO5" s="4">
        <f>D5*'Optimization Model'!D$14</f>
        <v>9</v>
      </c>
      <c r="CP5" s="4">
        <f>E5*'Optimization Model'!E$14</f>
        <v>0</v>
      </c>
      <c r="CQ5" s="4">
        <f>F5*'Optimization Model'!F$14</f>
        <v>0</v>
      </c>
      <c r="CR5" s="4">
        <f>G5*'Optimization Model'!G$14</f>
        <v>0</v>
      </c>
      <c r="CS5" s="4">
        <f>H5*'Optimization Model'!H$14</f>
        <v>0</v>
      </c>
      <c r="CT5" s="4">
        <f t="shared" ref="CT5:CT55" si="9">SUM(CN5:CS5)</f>
        <v>9</v>
      </c>
      <c r="CV5" s="3" t="s">
        <v>21</v>
      </c>
      <c r="CW5" s="4">
        <f>C5*'Optimization Model'!C$15</f>
        <v>0</v>
      </c>
      <c r="CX5" s="4">
        <f>D5*'Optimization Model'!D$15</f>
        <v>0</v>
      </c>
      <c r="CY5" s="4">
        <f>E5*'Optimization Model'!E$15</f>
        <v>0</v>
      </c>
      <c r="CZ5" s="4">
        <f>F5*'Optimization Model'!F$15</f>
        <v>2</v>
      </c>
      <c r="DA5" s="4">
        <f>G5*'Optimization Model'!G$15</f>
        <v>4</v>
      </c>
      <c r="DB5" s="4">
        <f>H5*'Optimization Model'!H$15</f>
        <v>0</v>
      </c>
      <c r="DC5" s="4">
        <f t="shared" ref="DC5:DC55" si="10">SUM(CW5:DB5)</f>
        <v>6</v>
      </c>
      <c r="DE5" s="3" t="s">
        <v>21</v>
      </c>
      <c r="DF5" s="4">
        <f>C5*'Optimization Model'!C$16</f>
        <v>0</v>
      </c>
      <c r="DG5" s="4">
        <f>D5*'Optimization Model'!D$16</f>
        <v>0</v>
      </c>
      <c r="DH5" s="4">
        <f>E5*'Optimization Model'!E$16</f>
        <v>6</v>
      </c>
      <c r="DI5" s="4">
        <f>F5*'Optimization Model'!F$16</f>
        <v>0</v>
      </c>
      <c r="DJ5" s="4">
        <f>G5*'Optimization Model'!G$16</f>
        <v>0</v>
      </c>
      <c r="DK5" s="4">
        <f>H5*'Optimization Model'!H$16</f>
        <v>0</v>
      </c>
      <c r="DL5" s="4">
        <f t="shared" ref="DL5:DL55" si="11">SUM(DF5:DK5)</f>
        <v>6</v>
      </c>
      <c r="DN5" s="3" t="s">
        <v>21</v>
      </c>
      <c r="DO5" s="4">
        <f>C5*'Optimization Model'!C$17</f>
        <v>0</v>
      </c>
      <c r="DP5" s="4">
        <f>D5*'Optimization Model'!D$17</f>
        <v>0</v>
      </c>
      <c r="DQ5" s="4">
        <f>E5*'Optimization Model'!E$17</f>
        <v>6</v>
      </c>
      <c r="DR5" s="4">
        <f>F5*'Optimization Model'!F$17</f>
        <v>0</v>
      </c>
      <c r="DS5" s="4">
        <f>G5*'Optimization Model'!G$17</f>
        <v>4</v>
      </c>
      <c r="DT5" s="4">
        <f>H5*'Optimization Model'!H$17</f>
        <v>0</v>
      </c>
      <c r="DU5" s="4">
        <f t="shared" ref="DU5:DU55" si="12">SUM(DO5:DT5)</f>
        <v>10</v>
      </c>
      <c r="DW5" s="3" t="s">
        <v>21</v>
      </c>
      <c r="DX5" s="4">
        <f>C5*'Optimization Model'!C$18</f>
        <v>0</v>
      </c>
      <c r="DY5" s="4">
        <f>D5*'Optimization Model'!D$18</f>
        <v>0</v>
      </c>
      <c r="DZ5" s="4">
        <f>E5*'Optimization Model'!E$18</f>
        <v>6</v>
      </c>
      <c r="EA5" s="4">
        <f>F5*'Optimization Model'!F$18</f>
        <v>2</v>
      </c>
      <c r="EB5" s="4">
        <f>G5*'Optimization Model'!G$18</f>
        <v>0</v>
      </c>
      <c r="EC5" s="4">
        <f>H5*'Optimization Model'!H$18</f>
        <v>0</v>
      </c>
      <c r="ED5" s="4">
        <f t="shared" ref="ED5:ED55" si="13">SUM(DX5:EC5)</f>
        <v>8</v>
      </c>
      <c r="EF5" s="3" t="s">
        <v>21</v>
      </c>
      <c r="EG5" s="4">
        <f>C5*'Optimization Model'!C$19</f>
        <v>0</v>
      </c>
      <c r="EH5" s="4">
        <f>D5*'Optimization Model'!D$19</f>
        <v>0</v>
      </c>
      <c r="EI5" s="4">
        <f>E5*'Optimization Model'!E$19</f>
        <v>0</v>
      </c>
      <c r="EJ5" s="4">
        <f>F5*'Optimization Model'!F$19</f>
        <v>0</v>
      </c>
      <c r="EK5" s="4">
        <f>G5*'Optimization Model'!G$19</f>
        <v>0</v>
      </c>
      <c r="EL5" s="4">
        <f>H5*'Optimization Model'!H$19</f>
        <v>6</v>
      </c>
      <c r="EM5" s="4">
        <f t="shared" ref="EM5:EM55" si="14">SUM(EG5:EL5)</f>
        <v>6</v>
      </c>
      <c r="EO5" s="3" t="s">
        <v>21</v>
      </c>
      <c r="EP5" s="4">
        <f>C5*'Optimization Model'!C$20</f>
        <v>0</v>
      </c>
      <c r="EQ5" s="4">
        <f>D5*'Optimization Model'!D$20</f>
        <v>0</v>
      </c>
      <c r="ER5" s="4">
        <f>E5*'Optimization Model'!E$20</f>
        <v>0</v>
      </c>
      <c r="ES5" s="4">
        <f>F5*'Optimization Model'!F$20</f>
        <v>0</v>
      </c>
      <c r="ET5" s="4">
        <f>G5*'Optimization Model'!G$20</f>
        <v>0</v>
      </c>
      <c r="EU5" s="4">
        <f>H5*'Optimization Model'!H$20</f>
        <v>6</v>
      </c>
      <c r="EV5" s="4">
        <f t="shared" ref="EV5:EV55" si="15">SUM(EP5:EU5)</f>
        <v>6</v>
      </c>
    </row>
    <row r="6" spans="2:152" x14ac:dyDescent="0.35">
      <c r="B6" s="3" t="s">
        <v>22</v>
      </c>
      <c r="C6" s="4">
        <f>'Data- Refined'!U6</f>
        <v>5</v>
      </c>
      <c r="D6" s="4">
        <f>'Data- Refined'!V6</f>
        <v>7</v>
      </c>
      <c r="E6" s="4">
        <f>'Data- Refined'!W6</f>
        <v>2</v>
      </c>
      <c r="F6" s="4">
        <f>'Data- Refined'!X6</f>
        <v>0</v>
      </c>
      <c r="G6" s="4">
        <f>'Data- Refined'!Y6</f>
        <v>1</v>
      </c>
      <c r="H6" s="4">
        <f>'Data- Refined'!Z6</f>
        <v>0</v>
      </c>
      <c r="J6" s="3" t="s">
        <v>22</v>
      </c>
      <c r="K6" s="4">
        <f>C6*'Optimization Model'!C$5</f>
        <v>5</v>
      </c>
      <c r="L6" s="4">
        <f>D6*'Optimization Model'!D$5</f>
        <v>0</v>
      </c>
      <c r="M6" s="4">
        <f>E6*'Optimization Model'!E$5</f>
        <v>0</v>
      </c>
      <c r="N6" s="4">
        <f>F6*'Optimization Model'!F$5</f>
        <v>0</v>
      </c>
      <c r="O6" s="4">
        <f>G6*'Optimization Model'!G$5</f>
        <v>0</v>
      </c>
      <c r="P6" s="4">
        <f>H6*'Optimization Model'!H$5</f>
        <v>0</v>
      </c>
      <c r="Q6" s="4">
        <f t="shared" si="0"/>
        <v>5</v>
      </c>
      <c r="R6" s="8"/>
      <c r="S6" s="3" t="s">
        <v>22</v>
      </c>
      <c r="T6" s="4">
        <f>C6*'Optimization Model'!C$6</f>
        <v>0</v>
      </c>
      <c r="U6" s="4">
        <f>D6*'Optimization Model'!D$6</f>
        <v>7</v>
      </c>
      <c r="V6" s="4">
        <f>E6*'Optimization Model'!E$6</f>
        <v>0</v>
      </c>
      <c r="W6" s="4">
        <f>F6*'Optimization Model'!F$6</f>
        <v>0</v>
      </c>
      <c r="X6" s="4">
        <f>G6*'Optimization Model'!G$6</f>
        <v>0</v>
      </c>
      <c r="Y6" s="4">
        <f>H6*'Optimization Model'!H$6</f>
        <v>0</v>
      </c>
      <c r="Z6" s="4">
        <f t="shared" si="1"/>
        <v>7</v>
      </c>
      <c r="AB6" s="3" t="s">
        <v>22</v>
      </c>
      <c r="AC6" s="4">
        <f>C6*'Optimization Model'!C$7</f>
        <v>5</v>
      </c>
      <c r="AD6" s="4">
        <f>D6*'Optimization Model'!D$7</f>
        <v>0</v>
      </c>
      <c r="AE6" s="4">
        <f>E6*'Optimization Model'!E$7</f>
        <v>0</v>
      </c>
      <c r="AF6" s="4">
        <f>F6*'Optimization Model'!F$7</f>
        <v>0</v>
      </c>
      <c r="AG6" s="4">
        <f>G6*'Optimization Model'!G$7</f>
        <v>0</v>
      </c>
      <c r="AH6" s="4">
        <f>H6*'Optimization Model'!H$7</f>
        <v>0</v>
      </c>
      <c r="AI6" s="4">
        <f t="shared" si="2"/>
        <v>5</v>
      </c>
      <c r="AK6" s="3" t="s">
        <v>22</v>
      </c>
      <c r="AL6" s="4">
        <f>C6*'Optimization Model'!C$8</f>
        <v>0</v>
      </c>
      <c r="AM6" s="4">
        <f>D6*'Optimization Model'!D$8</f>
        <v>7</v>
      </c>
      <c r="AN6" s="4">
        <f>E6*'Optimization Model'!E$8</f>
        <v>0</v>
      </c>
      <c r="AO6" s="4">
        <f>F6*'Optimization Model'!F$8</f>
        <v>0</v>
      </c>
      <c r="AP6" s="4">
        <f>G6*'Optimization Model'!G$8</f>
        <v>0</v>
      </c>
      <c r="AQ6" s="4">
        <f>H6*'Optimization Model'!H$8</f>
        <v>0</v>
      </c>
      <c r="AR6" s="4">
        <f t="shared" si="3"/>
        <v>7</v>
      </c>
      <c r="AT6" s="3" t="s">
        <v>22</v>
      </c>
      <c r="AU6" s="4">
        <f>C6*'Optimization Model'!C$9</f>
        <v>5</v>
      </c>
      <c r="AV6" s="4">
        <f>D6*'Optimization Model'!D$9</f>
        <v>0</v>
      </c>
      <c r="AW6" s="4">
        <f>E6*'Optimization Model'!E$9</f>
        <v>0</v>
      </c>
      <c r="AX6" s="4">
        <f>F6*'Optimization Model'!F$9</f>
        <v>0</v>
      </c>
      <c r="AY6" s="4">
        <f>G6*'Optimization Model'!G$9</f>
        <v>0</v>
      </c>
      <c r="AZ6" s="4">
        <f>H6*'Optimization Model'!H$9</f>
        <v>0</v>
      </c>
      <c r="BA6" s="4">
        <f t="shared" si="4"/>
        <v>5</v>
      </c>
      <c r="BC6" s="3" t="s">
        <v>22</v>
      </c>
      <c r="BD6" s="4">
        <f>C6*'Optimization Model'!C$10</f>
        <v>0</v>
      </c>
      <c r="BE6" s="4">
        <f>D6*'Optimization Model'!D$10</f>
        <v>7</v>
      </c>
      <c r="BF6" s="4">
        <f>E6*'Optimization Model'!E$10</f>
        <v>0</v>
      </c>
      <c r="BG6" s="4">
        <f>F6*'Optimization Model'!F$10</f>
        <v>0</v>
      </c>
      <c r="BH6" s="4">
        <f>G6*'Optimization Model'!G$10</f>
        <v>0</v>
      </c>
      <c r="BI6" s="4">
        <f>H6*'Optimization Model'!H$10</f>
        <v>0</v>
      </c>
      <c r="BJ6" s="4">
        <f t="shared" si="5"/>
        <v>7</v>
      </c>
      <c r="BL6" s="3" t="s">
        <v>22</v>
      </c>
      <c r="BM6" s="4">
        <f>C6*'Optimization Model'!C$11</f>
        <v>0</v>
      </c>
      <c r="BN6" s="4">
        <f>D6*'Optimization Model'!D$11</f>
        <v>0</v>
      </c>
      <c r="BO6" s="4">
        <f>E6*'Optimization Model'!E$11</f>
        <v>2</v>
      </c>
      <c r="BP6" s="4">
        <f>F6*'Optimization Model'!F$11</f>
        <v>0</v>
      </c>
      <c r="BQ6" s="4">
        <f>G6*'Optimization Model'!G$11</f>
        <v>1</v>
      </c>
      <c r="BR6" s="4">
        <f>H6*'Optimization Model'!H$11</f>
        <v>0</v>
      </c>
      <c r="BS6" s="4">
        <f t="shared" si="6"/>
        <v>3</v>
      </c>
      <c r="BU6" s="3" t="s">
        <v>22</v>
      </c>
      <c r="BV6" s="4">
        <f>C6*'Optimization Model'!C$12</f>
        <v>0</v>
      </c>
      <c r="BW6" s="4">
        <f>D6*'Optimization Model'!D$12</f>
        <v>0</v>
      </c>
      <c r="BX6" s="4">
        <f>E6*'Optimization Model'!E$12</f>
        <v>0</v>
      </c>
      <c r="BY6" s="4">
        <f>F6*'Optimization Model'!F$12</f>
        <v>0</v>
      </c>
      <c r="BZ6" s="4">
        <f>G6*'Optimization Model'!G$12</f>
        <v>1</v>
      </c>
      <c r="CA6" s="4">
        <f>H6*'Optimization Model'!H$12</f>
        <v>0</v>
      </c>
      <c r="CB6" s="4">
        <f t="shared" si="7"/>
        <v>1</v>
      </c>
      <c r="CD6" s="3" t="s">
        <v>22</v>
      </c>
      <c r="CE6" s="4">
        <f>C6*'Optimization Model'!C$13</f>
        <v>5</v>
      </c>
      <c r="CF6" s="4">
        <f>D6*'Optimization Model'!D$13</f>
        <v>0</v>
      </c>
      <c r="CG6" s="4">
        <f>E6*'Optimization Model'!E$13</f>
        <v>0</v>
      </c>
      <c r="CH6" s="4">
        <f>F6*'Optimization Model'!F$13</f>
        <v>0</v>
      </c>
      <c r="CI6" s="4">
        <f>G6*'Optimization Model'!G$13</f>
        <v>0</v>
      </c>
      <c r="CJ6" s="4">
        <f>H6*'Optimization Model'!H$13</f>
        <v>0</v>
      </c>
      <c r="CK6" s="4">
        <f t="shared" si="8"/>
        <v>5</v>
      </c>
      <c r="CM6" s="3" t="s">
        <v>22</v>
      </c>
      <c r="CN6" s="4">
        <f>C6*'Optimization Model'!C$14</f>
        <v>0</v>
      </c>
      <c r="CO6" s="4">
        <f>D6*'Optimization Model'!D$14</f>
        <v>7</v>
      </c>
      <c r="CP6" s="4">
        <f>E6*'Optimization Model'!E$14</f>
        <v>0</v>
      </c>
      <c r="CQ6" s="4">
        <f>F6*'Optimization Model'!F$14</f>
        <v>0</v>
      </c>
      <c r="CR6" s="4">
        <f>G6*'Optimization Model'!G$14</f>
        <v>0</v>
      </c>
      <c r="CS6" s="4">
        <f>H6*'Optimization Model'!H$14</f>
        <v>0</v>
      </c>
      <c r="CT6" s="4">
        <f t="shared" si="9"/>
        <v>7</v>
      </c>
      <c r="CV6" s="3" t="s">
        <v>22</v>
      </c>
      <c r="CW6" s="4">
        <f>C6*'Optimization Model'!C$15</f>
        <v>0</v>
      </c>
      <c r="CX6" s="4">
        <f>D6*'Optimization Model'!D$15</f>
        <v>0</v>
      </c>
      <c r="CY6" s="4">
        <f>E6*'Optimization Model'!E$15</f>
        <v>0</v>
      </c>
      <c r="CZ6" s="4">
        <f>F6*'Optimization Model'!F$15</f>
        <v>0</v>
      </c>
      <c r="DA6" s="4">
        <f>G6*'Optimization Model'!G$15</f>
        <v>1</v>
      </c>
      <c r="DB6" s="4">
        <f>H6*'Optimization Model'!H$15</f>
        <v>0</v>
      </c>
      <c r="DC6" s="4">
        <f t="shared" si="10"/>
        <v>1</v>
      </c>
      <c r="DE6" s="3" t="s">
        <v>22</v>
      </c>
      <c r="DF6" s="4">
        <f>C6*'Optimization Model'!C$16</f>
        <v>0</v>
      </c>
      <c r="DG6" s="4">
        <f>D6*'Optimization Model'!D$16</f>
        <v>0</v>
      </c>
      <c r="DH6" s="4">
        <f>E6*'Optimization Model'!E$16</f>
        <v>2</v>
      </c>
      <c r="DI6" s="4">
        <f>F6*'Optimization Model'!F$16</f>
        <v>0</v>
      </c>
      <c r="DJ6" s="4">
        <f>G6*'Optimization Model'!G$16</f>
        <v>0</v>
      </c>
      <c r="DK6" s="4">
        <f>H6*'Optimization Model'!H$16</f>
        <v>0</v>
      </c>
      <c r="DL6" s="4">
        <f t="shared" si="11"/>
        <v>2</v>
      </c>
      <c r="DN6" s="3" t="s">
        <v>22</v>
      </c>
      <c r="DO6" s="4">
        <f>C6*'Optimization Model'!C$17</f>
        <v>0</v>
      </c>
      <c r="DP6" s="4">
        <f>D6*'Optimization Model'!D$17</f>
        <v>0</v>
      </c>
      <c r="DQ6" s="4">
        <f>E6*'Optimization Model'!E$17</f>
        <v>2</v>
      </c>
      <c r="DR6" s="4">
        <f>F6*'Optimization Model'!F$17</f>
        <v>0</v>
      </c>
      <c r="DS6" s="4">
        <f>G6*'Optimization Model'!G$17</f>
        <v>1</v>
      </c>
      <c r="DT6" s="4">
        <f>H6*'Optimization Model'!H$17</f>
        <v>0</v>
      </c>
      <c r="DU6" s="4">
        <f t="shared" si="12"/>
        <v>3</v>
      </c>
      <c r="DW6" s="3" t="s">
        <v>22</v>
      </c>
      <c r="DX6" s="4">
        <f>C6*'Optimization Model'!C$18</f>
        <v>0</v>
      </c>
      <c r="DY6" s="4">
        <f>D6*'Optimization Model'!D$18</f>
        <v>0</v>
      </c>
      <c r="DZ6" s="4">
        <f>E6*'Optimization Model'!E$18</f>
        <v>2</v>
      </c>
      <c r="EA6" s="4">
        <f>F6*'Optimization Model'!F$18</f>
        <v>0</v>
      </c>
      <c r="EB6" s="4">
        <f>G6*'Optimization Model'!G$18</f>
        <v>0</v>
      </c>
      <c r="EC6" s="4">
        <f>H6*'Optimization Model'!H$18</f>
        <v>0</v>
      </c>
      <c r="ED6" s="4">
        <f t="shared" si="13"/>
        <v>2</v>
      </c>
      <c r="EF6" s="3" t="s">
        <v>22</v>
      </c>
      <c r="EG6" s="4">
        <f>C6*'Optimization Model'!C$19</f>
        <v>0</v>
      </c>
      <c r="EH6" s="4">
        <f>D6*'Optimization Model'!D$19</f>
        <v>0</v>
      </c>
      <c r="EI6" s="4">
        <f>E6*'Optimization Model'!E$19</f>
        <v>0</v>
      </c>
      <c r="EJ6" s="4">
        <f>F6*'Optimization Model'!F$19</f>
        <v>0</v>
      </c>
      <c r="EK6" s="4">
        <f>G6*'Optimization Model'!G$19</f>
        <v>0</v>
      </c>
      <c r="EL6" s="4">
        <f>H6*'Optimization Model'!H$19</f>
        <v>0</v>
      </c>
      <c r="EM6" s="4">
        <f t="shared" si="14"/>
        <v>0</v>
      </c>
      <c r="EO6" s="3" t="s">
        <v>22</v>
      </c>
      <c r="EP6" s="4">
        <f>C6*'Optimization Model'!C$20</f>
        <v>0</v>
      </c>
      <c r="EQ6" s="4">
        <f>D6*'Optimization Model'!D$20</f>
        <v>0</v>
      </c>
      <c r="ER6" s="4">
        <f>E6*'Optimization Model'!E$20</f>
        <v>0</v>
      </c>
      <c r="ES6" s="4">
        <f>F6*'Optimization Model'!F$20</f>
        <v>0</v>
      </c>
      <c r="ET6" s="4">
        <f>G6*'Optimization Model'!G$20</f>
        <v>0</v>
      </c>
      <c r="EU6" s="4">
        <f>H6*'Optimization Model'!H$20</f>
        <v>0</v>
      </c>
      <c r="EV6" s="4">
        <f t="shared" si="15"/>
        <v>0</v>
      </c>
    </row>
    <row r="7" spans="2:152" x14ac:dyDescent="0.35">
      <c r="B7" s="3" t="s">
        <v>23</v>
      </c>
      <c r="C7" s="4">
        <f>'Data- Refined'!U7</f>
        <v>6</v>
      </c>
      <c r="D7" s="4">
        <f>'Data- Refined'!V7</f>
        <v>7</v>
      </c>
      <c r="E7" s="4">
        <f>'Data- Refined'!W7</f>
        <v>5</v>
      </c>
      <c r="F7" s="4">
        <f>'Data- Refined'!X7</f>
        <v>8</v>
      </c>
      <c r="G7" s="4">
        <f>'Data- Refined'!Y7</f>
        <v>3</v>
      </c>
      <c r="H7" s="4">
        <f>'Data- Refined'!Z7</f>
        <v>4</v>
      </c>
      <c r="J7" s="3" t="s">
        <v>23</v>
      </c>
      <c r="K7" s="4">
        <f>C7*'Optimization Model'!C$5</f>
        <v>6</v>
      </c>
      <c r="L7" s="4">
        <f>D7*'Optimization Model'!D$5</f>
        <v>0</v>
      </c>
      <c r="M7" s="4">
        <f>E7*'Optimization Model'!E$5</f>
        <v>0</v>
      </c>
      <c r="N7" s="4">
        <f>F7*'Optimization Model'!F$5</f>
        <v>0</v>
      </c>
      <c r="O7" s="4">
        <f>G7*'Optimization Model'!G$5</f>
        <v>0</v>
      </c>
      <c r="P7" s="4">
        <f>H7*'Optimization Model'!H$5</f>
        <v>0</v>
      </c>
      <c r="Q7" s="4">
        <f t="shared" si="0"/>
        <v>6</v>
      </c>
      <c r="R7" s="8"/>
      <c r="S7" s="3" t="s">
        <v>23</v>
      </c>
      <c r="T7" s="4">
        <f>C7*'Optimization Model'!C$6</f>
        <v>0</v>
      </c>
      <c r="U7" s="4">
        <f>D7*'Optimization Model'!D$6</f>
        <v>7</v>
      </c>
      <c r="V7" s="4">
        <f>E7*'Optimization Model'!E$6</f>
        <v>0</v>
      </c>
      <c r="W7" s="4">
        <f>F7*'Optimization Model'!F$6</f>
        <v>0</v>
      </c>
      <c r="X7" s="4">
        <f>G7*'Optimization Model'!G$6</f>
        <v>0</v>
      </c>
      <c r="Y7" s="4">
        <f>H7*'Optimization Model'!H$6</f>
        <v>0</v>
      </c>
      <c r="Z7" s="4">
        <f t="shared" si="1"/>
        <v>7</v>
      </c>
      <c r="AB7" s="3" t="s">
        <v>23</v>
      </c>
      <c r="AC7" s="4">
        <f>C7*'Optimization Model'!C$7</f>
        <v>6</v>
      </c>
      <c r="AD7" s="4">
        <f>D7*'Optimization Model'!D$7</f>
        <v>0</v>
      </c>
      <c r="AE7" s="4">
        <f>E7*'Optimization Model'!E$7</f>
        <v>0</v>
      </c>
      <c r="AF7" s="4">
        <f>F7*'Optimization Model'!F$7</f>
        <v>0</v>
      </c>
      <c r="AG7" s="4">
        <f>G7*'Optimization Model'!G$7</f>
        <v>0</v>
      </c>
      <c r="AH7" s="4">
        <f>H7*'Optimization Model'!H$7</f>
        <v>0</v>
      </c>
      <c r="AI7" s="4">
        <f t="shared" si="2"/>
        <v>6</v>
      </c>
      <c r="AK7" s="3" t="s">
        <v>23</v>
      </c>
      <c r="AL7" s="4">
        <f>C7*'Optimization Model'!C$8</f>
        <v>0</v>
      </c>
      <c r="AM7" s="4">
        <f>D7*'Optimization Model'!D$8</f>
        <v>7</v>
      </c>
      <c r="AN7" s="4">
        <f>E7*'Optimization Model'!E$8</f>
        <v>0</v>
      </c>
      <c r="AO7" s="4">
        <f>F7*'Optimization Model'!F$8</f>
        <v>0</v>
      </c>
      <c r="AP7" s="4">
        <f>G7*'Optimization Model'!G$8</f>
        <v>0</v>
      </c>
      <c r="AQ7" s="4">
        <f>H7*'Optimization Model'!H$8</f>
        <v>4</v>
      </c>
      <c r="AR7" s="4">
        <f t="shared" si="3"/>
        <v>11</v>
      </c>
      <c r="AT7" s="3" t="s">
        <v>23</v>
      </c>
      <c r="AU7" s="4">
        <f>C7*'Optimization Model'!C$9</f>
        <v>6</v>
      </c>
      <c r="AV7" s="4">
        <f>D7*'Optimization Model'!D$9</f>
        <v>0</v>
      </c>
      <c r="AW7" s="4">
        <f>E7*'Optimization Model'!E$9</f>
        <v>0</v>
      </c>
      <c r="AX7" s="4">
        <f>F7*'Optimization Model'!F$9</f>
        <v>8</v>
      </c>
      <c r="AY7" s="4">
        <f>G7*'Optimization Model'!G$9</f>
        <v>0</v>
      </c>
      <c r="AZ7" s="4">
        <f>H7*'Optimization Model'!H$9</f>
        <v>0</v>
      </c>
      <c r="BA7" s="4">
        <f t="shared" si="4"/>
        <v>14</v>
      </c>
      <c r="BC7" s="3" t="s">
        <v>23</v>
      </c>
      <c r="BD7" s="4">
        <f>C7*'Optimization Model'!C$10</f>
        <v>0</v>
      </c>
      <c r="BE7" s="4">
        <f>D7*'Optimization Model'!D$10</f>
        <v>7</v>
      </c>
      <c r="BF7" s="4">
        <f>E7*'Optimization Model'!E$10</f>
        <v>0</v>
      </c>
      <c r="BG7" s="4">
        <f>F7*'Optimization Model'!F$10</f>
        <v>8</v>
      </c>
      <c r="BH7" s="4">
        <f>G7*'Optimization Model'!G$10</f>
        <v>0</v>
      </c>
      <c r="BI7" s="4">
        <f>H7*'Optimization Model'!H$10</f>
        <v>0</v>
      </c>
      <c r="BJ7" s="4">
        <f t="shared" si="5"/>
        <v>15</v>
      </c>
      <c r="BL7" s="3" t="s">
        <v>23</v>
      </c>
      <c r="BM7" s="4">
        <f>C7*'Optimization Model'!C$11</f>
        <v>0</v>
      </c>
      <c r="BN7" s="4">
        <f>D7*'Optimization Model'!D$11</f>
        <v>0</v>
      </c>
      <c r="BO7" s="4">
        <f>E7*'Optimization Model'!E$11</f>
        <v>5</v>
      </c>
      <c r="BP7" s="4">
        <f>F7*'Optimization Model'!F$11</f>
        <v>0</v>
      </c>
      <c r="BQ7" s="4">
        <f>G7*'Optimization Model'!G$11</f>
        <v>3</v>
      </c>
      <c r="BR7" s="4">
        <f>H7*'Optimization Model'!H$11</f>
        <v>0</v>
      </c>
      <c r="BS7" s="4">
        <f t="shared" si="6"/>
        <v>8</v>
      </c>
      <c r="BU7" s="3" t="s">
        <v>23</v>
      </c>
      <c r="BV7" s="4">
        <f>C7*'Optimization Model'!C$12</f>
        <v>0</v>
      </c>
      <c r="BW7" s="4">
        <f>D7*'Optimization Model'!D$12</f>
        <v>0</v>
      </c>
      <c r="BX7" s="4">
        <f>E7*'Optimization Model'!E$12</f>
        <v>0</v>
      </c>
      <c r="BY7" s="4">
        <f>F7*'Optimization Model'!F$12</f>
        <v>0</v>
      </c>
      <c r="BZ7" s="4">
        <f>G7*'Optimization Model'!G$12</f>
        <v>3</v>
      </c>
      <c r="CA7" s="4">
        <f>H7*'Optimization Model'!H$12</f>
        <v>4</v>
      </c>
      <c r="CB7" s="4">
        <f t="shared" si="7"/>
        <v>7</v>
      </c>
      <c r="CD7" s="3" t="s">
        <v>23</v>
      </c>
      <c r="CE7" s="4">
        <f>C7*'Optimization Model'!C$13</f>
        <v>6</v>
      </c>
      <c r="CF7" s="4">
        <f>D7*'Optimization Model'!D$13</f>
        <v>0</v>
      </c>
      <c r="CG7" s="4">
        <f>E7*'Optimization Model'!E$13</f>
        <v>0</v>
      </c>
      <c r="CH7" s="4">
        <f>F7*'Optimization Model'!F$13</f>
        <v>0</v>
      </c>
      <c r="CI7" s="4">
        <f>G7*'Optimization Model'!G$13</f>
        <v>0</v>
      </c>
      <c r="CJ7" s="4">
        <f>H7*'Optimization Model'!H$13</f>
        <v>0</v>
      </c>
      <c r="CK7" s="4">
        <f t="shared" si="8"/>
        <v>6</v>
      </c>
      <c r="CM7" s="3" t="s">
        <v>23</v>
      </c>
      <c r="CN7" s="4">
        <f>C7*'Optimization Model'!C$14</f>
        <v>0</v>
      </c>
      <c r="CO7" s="4">
        <f>D7*'Optimization Model'!D$14</f>
        <v>7</v>
      </c>
      <c r="CP7" s="4">
        <f>E7*'Optimization Model'!E$14</f>
        <v>0</v>
      </c>
      <c r="CQ7" s="4">
        <f>F7*'Optimization Model'!F$14</f>
        <v>0</v>
      </c>
      <c r="CR7" s="4">
        <f>G7*'Optimization Model'!G$14</f>
        <v>0</v>
      </c>
      <c r="CS7" s="4">
        <f>H7*'Optimization Model'!H$14</f>
        <v>0</v>
      </c>
      <c r="CT7" s="4">
        <f t="shared" si="9"/>
        <v>7</v>
      </c>
      <c r="CV7" s="3" t="s">
        <v>23</v>
      </c>
      <c r="CW7" s="4">
        <f>C7*'Optimization Model'!C$15</f>
        <v>0</v>
      </c>
      <c r="CX7" s="4">
        <f>D7*'Optimization Model'!D$15</f>
        <v>0</v>
      </c>
      <c r="CY7" s="4">
        <f>E7*'Optimization Model'!E$15</f>
        <v>0</v>
      </c>
      <c r="CZ7" s="4">
        <f>F7*'Optimization Model'!F$15</f>
        <v>8</v>
      </c>
      <c r="DA7" s="4">
        <f>G7*'Optimization Model'!G$15</f>
        <v>3</v>
      </c>
      <c r="DB7" s="4">
        <f>H7*'Optimization Model'!H$15</f>
        <v>0</v>
      </c>
      <c r="DC7" s="4">
        <f t="shared" si="10"/>
        <v>11</v>
      </c>
      <c r="DE7" s="3" t="s">
        <v>23</v>
      </c>
      <c r="DF7" s="4">
        <f>C7*'Optimization Model'!C$16</f>
        <v>0</v>
      </c>
      <c r="DG7" s="4">
        <f>D7*'Optimization Model'!D$16</f>
        <v>0</v>
      </c>
      <c r="DH7" s="4">
        <f>E7*'Optimization Model'!E$16</f>
        <v>5</v>
      </c>
      <c r="DI7" s="4">
        <f>F7*'Optimization Model'!F$16</f>
        <v>0</v>
      </c>
      <c r="DJ7" s="4">
        <f>G7*'Optimization Model'!G$16</f>
        <v>0</v>
      </c>
      <c r="DK7" s="4">
        <f>H7*'Optimization Model'!H$16</f>
        <v>0</v>
      </c>
      <c r="DL7" s="4">
        <f t="shared" si="11"/>
        <v>5</v>
      </c>
      <c r="DN7" s="3" t="s">
        <v>23</v>
      </c>
      <c r="DO7" s="4">
        <f>C7*'Optimization Model'!C$17</f>
        <v>0</v>
      </c>
      <c r="DP7" s="4">
        <f>D7*'Optimization Model'!D$17</f>
        <v>0</v>
      </c>
      <c r="DQ7" s="4">
        <f>E7*'Optimization Model'!E$17</f>
        <v>5</v>
      </c>
      <c r="DR7" s="4">
        <f>F7*'Optimization Model'!F$17</f>
        <v>0</v>
      </c>
      <c r="DS7" s="4">
        <f>G7*'Optimization Model'!G$17</f>
        <v>3</v>
      </c>
      <c r="DT7" s="4">
        <f>H7*'Optimization Model'!H$17</f>
        <v>0</v>
      </c>
      <c r="DU7" s="4">
        <f t="shared" si="12"/>
        <v>8</v>
      </c>
      <c r="DW7" s="3" t="s">
        <v>23</v>
      </c>
      <c r="DX7" s="4">
        <f>C7*'Optimization Model'!C$18</f>
        <v>0</v>
      </c>
      <c r="DY7" s="4">
        <f>D7*'Optimization Model'!D$18</f>
        <v>0</v>
      </c>
      <c r="DZ7" s="4">
        <f>E7*'Optimization Model'!E$18</f>
        <v>5</v>
      </c>
      <c r="EA7" s="4">
        <f>F7*'Optimization Model'!F$18</f>
        <v>8</v>
      </c>
      <c r="EB7" s="4">
        <f>G7*'Optimization Model'!G$18</f>
        <v>0</v>
      </c>
      <c r="EC7" s="4">
        <f>H7*'Optimization Model'!H$18</f>
        <v>0</v>
      </c>
      <c r="ED7" s="4">
        <f t="shared" si="13"/>
        <v>13</v>
      </c>
      <c r="EF7" s="3" t="s">
        <v>23</v>
      </c>
      <c r="EG7" s="4">
        <f>C7*'Optimization Model'!C$19</f>
        <v>0</v>
      </c>
      <c r="EH7" s="4">
        <f>D7*'Optimization Model'!D$19</f>
        <v>0</v>
      </c>
      <c r="EI7" s="4">
        <f>E7*'Optimization Model'!E$19</f>
        <v>0</v>
      </c>
      <c r="EJ7" s="4">
        <f>F7*'Optimization Model'!F$19</f>
        <v>0</v>
      </c>
      <c r="EK7" s="4">
        <f>G7*'Optimization Model'!G$19</f>
        <v>0</v>
      </c>
      <c r="EL7" s="4">
        <f>H7*'Optimization Model'!H$19</f>
        <v>4</v>
      </c>
      <c r="EM7" s="4">
        <f t="shared" si="14"/>
        <v>4</v>
      </c>
      <c r="EO7" s="3" t="s">
        <v>23</v>
      </c>
      <c r="EP7" s="4">
        <f>C7*'Optimization Model'!C$20</f>
        <v>0</v>
      </c>
      <c r="EQ7" s="4">
        <f>D7*'Optimization Model'!D$20</f>
        <v>0</v>
      </c>
      <c r="ER7" s="4">
        <f>E7*'Optimization Model'!E$20</f>
        <v>0</v>
      </c>
      <c r="ES7" s="4">
        <f>F7*'Optimization Model'!F$20</f>
        <v>0</v>
      </c>
      <c r="ET7" s="4">
        <f>G7*'Optimization Model'!G$20</f>
        <v>0</v>
      </c>
      <c r="EU7" s="4">
        <f>H7*'Optimization Model'!H$20</f>
        <v>4</v>
      </c>
      <c r="EV7" s="4">
        <f t="shared" si="15"/>
        <v>4</v>
      </c>
    </row>
    <row r="8" spans="2:152" x14ac:dyDescent="0.35">
      <c r="B8" s="3" t="s">
        <v>24</v>
      </c>
      <c r="C8" s="4">
        <f>'Data- Refined'!U8</f>
        <v>28</v>
      </c>
      <c r="D8" s="4">
        <f>'Data- Refined'!V8</f>
        <v>27</v>
      </c>
      <c r="E8" s="4">
        <f>'Data- Refined'!W8</f>
        <v>20</v>
      </c>
      <c r="F8" s="4">
        <f>'Data- Refined'!X8</f>
        <v>18</v>
      </c>
      <c r="G8" s="4">
        <f>'Data- Refined'!Y8</f>
        <v>16</v>
      </c>
      <c r="H8" s="4">
        <f>'Data- Refined'!Z8</f>
        <v>18</v>
      </c>
      <c r="J8" s="3" t="s">
        <v>24</v>
      </c>
      <c r="K8" s="4">
        <f>C8*'Optimization Model'!C$5</f>
        <v>28</v>
      </c>
      <c r="L8" s="4">
        <f>D8*'Optimization Model'!D$5</f>
        <v>0</v>
      </c>
      <c r="M8" s="4">
        <f>E8*'Optimization Model'!E$5</f>
        <v>0</v>
      </c>
      <c r="N8" s="4">
        <f>F8*'Optimization Model'!F$5</f>
        <v>0</v>
      </c>
      <c r="O8" s="4">
        <f>G8*'Optimization Model'!G$5</f>
        <v>0</v>
      </c>
      <c r="P8" s="4">
        <f>H8*'Optimization Model'!H$5</f>
        <v>0</v>
      </c>
      <c r="Q8" s="4">
        <f t="shared" si="0"/>
        <v>28</v>
      </c>
      <c r="R8" s="8"/>
      <c r="S8" s="3" t="s">
        <v>24</v>
      </c>
      <c r="T8" s="4">
        <f>C8*'Optimization Model'!C$6</f>
        <v>0</v>
      </c>
      <c r="U8" s="4">
        <f>D8*'Optimization Model'!D$6</f>
        <v>27</v>
      </c>
      <c r="V8" s="4">
        <f>E8*'Optimization Model'!E$6</f>
        <v>0</v>
      </c>
      <c r="W8" s="4">
        <f>F8*'Optimization Model'!F$6</f>
        <v>0</v>
      </c>
      <c r="X8" s="4">
        <f>G8*'Optimization Model'!G$6</f>
        <v>0</v>
      </c>
      <c r="Y8" s="4">
        <f>H8*'Optimization Model'!H$6</f>
        <v>0</v>
      </c>
      <c r="Z8" s="4">
        <f t="shared" si="1"/>
        <v>27</v>
      </c>
      <c r="AB8" s="3" t="s">
        <v>24</v>
      </c>
      <c r="AC8" s="4">
        <f>C8*'Optimization Model'!C$7</f>
        <v>28</v>
      </c>
      <c r="AD8" s="4">
        <f>D8*'Optimization Model'!D$7</f>
        <v>0</v>
      </c>
      <c r="AE8" s="4">
        <f>E8*'Optimization Model'!E$7</f>
        <v>0</v>
      </c>
      <c r="AF8" s="4">
        <f>F8*'Optimization Model'!F$7</f>
        <v>0</v>
      </c>
      <c r="AG8" s="4">
        <f>G8*'Optimization Model'!G$7</f>
        <v>0</v>
      </c>
      <c r="AH8" s="4">
        <f>H8*'Optimization Model'!H$7</f>
        <v>0</v>
      </c>
      <c r="AI8" s="4">
        <f t="shared" si="2"/>
        <v>28</v>
      </c>
      <c r="AK8" s="3" t="s">
        <v>24</v>
      </c>
      <c r="AL8" s="4">
        <f>C8*'Optimization Model'!C$8</f>
        <v>0</v>
      </c>
      <c r="AM8" s="4">
        <f>D8*'Optimization Model'!D$8</f>
        <v>27</v>
      </c>
      <c r="AN8" s="4">
        <f>E8*'Optimization Model'!E$8</f>
        <v>0</v>
      </c>
      <c r="AO8" s="4">
        <f>F8*'Optimization Model'!F$8</f>
        <v>0</v>
      </c>
      <c r="AP8" s="4">
        <f>G8*'Optimization Model'!G$8</f>
        <v>0</v>
      </c>
      <c r="AQ8" s="4">
        <f>H8*'Optimization Model'!H$8</f>
        <v>18</v>
      </c>
      <c r="AR8" s="4">
        <f t="shared" si="3"/>
        <v>45</v>
      </c>
      <c r="AT8" s="3" t="s">
        <v>24</v>
      </c>
      <c r="AU8" s="4">
        <f>C8*'Optimization Model'!C$9</f>
        <v>28</v>
      </c>
      <c r="AV8" s="4">
        <f>D8*'Optimization Model'!D$9</f>
        <v>0</v>
      </c>
      <c r="AW8" s="4">
        <f>E8*'Optimization Model'!E$9</f>
        <v>0</v>
      </c>
      <c r="AX8" s="4">
        <f>F8*'Optimization Model'!F$9</f>
        <v>18</v>
      </c>
      <c r="AY8" s="4">
        <f>G8*'Optimization Model'!G$9</f>
        <v>0</v>
      </c>
      <c r="AZ8" s="4">
        <f>H8*'Optimization Model'!H$9</f>
        <v>0</v>
      </c>
      <c r="BA8" s="4">
        <f t="shared" si="4"/>
        <v>46</v>
      </c>
      <c r="BC8" s="3" t="s">
        <v>24</v>
      </c>
      <c r="BD8" s="4">
        <f>C8*'Optimization Model'!C$10</f>
        <v>0</v>
      </c>
      <c r="BE8" s="4">
        <f>D8*'Optimization Model'!D$10</f>
        <v>27</v>
      </c>
      <c r="BF8" s="4">
        <f>E8*'Optimization Model'!E$10</f>
        <v>0</v>
      </c>
      <c r="BG8" s="4">
        <f>F8*'Optimization Model'!F$10</f>
        <v>18</v>
      </c>
      <c r="BH8" s="4">
        <f>G8*'Optimization Model'!G$10</f>
        <v>0</v>
      </c>
      <c r="BI8" s="4">
        <f>H8*'Optimization Model'!H$10</f>
        <v>0</v>
      </c>
      <c r="BJ8" s="4">
        <f t="shared" si="5"/>
        <v>45</v>
      </c>
      <c r="BL8" s="3" t="s">
        <v>24</v>
      </c>
      <c r="BM8" s="4">
        <f>C8*'Optimization Model'!C$11</f>
        <v>0</v>
      </c>
      <c r="BN8" s="4">
        <f>D8*'Optimization Model'!D$11</f>
        <v>0</v>
      </c>
      <c r="BO8" s="4">
        <f>E8*'Optimization Model'!E$11</f>
        <v>20</v>
      </c>
      <c r="BP8" s="4">
        <f>F8*'Optimization Model'!F$11</f>
        <v>0</v>
      </c>
      <c r="BQ8" s="4">
        <f>G8*'Optimization Model'!G$11</f>
        <v>16</v>
      </c>
      <c r="BR8" s="4">
        <f>H8*'Optimization Model'!H$11</f>
        <v>0</v>
      </c>
      <c r="BS8" s="4">
        <f t="shared" si="6"/>
        <v>36</v>
      </c>
      <c r="BU8" s="3" t="s">
        <v>24</v>
      </c>
      <c r="BV8" s="4">
        <f>C8*'Optimization Model'!C$12</f>
        <v>0</v>
      </c>
      <c r="BW8" s="4">
        <f>D8*'Optimization Model'!D$12</f>
        <v>0</v>
      </c>
      <c r="BX8" s="4">
        <f>E8*'Optimization Model'!E$12</f>
        <v>0</v>
      </c>
      <c r="BY8" s="4">
        <f>F8*'Optimization Model'!F$12</f>
        <v>0</v>
      </c>
      <c r="BZ8" s="4">
        <f>G8*'Optimization Model'!G$12</f>
        <v>16</v>
      </c>
      <c r="CA8" s="4">
        <f>H8*'Optimization Model'!H$12</f>
        <v>18</v>
      </c>
      <c r="CB8" s="4">
        <f t="shared" si="7"/>
        <v>34</v>
      </c>
      <c r="CD8" s="3" t="s">
        <v>24</v>
      </c>
      <c r="CE8" s="4">
        <f>C8*'Optimization Model'!C$13</f>
        <v>28</v>
      </c>
      <c r="CF8" s="4">
        <f>D8*'Optimization Model'!D$13</f>
        <v>0</v>
      </c>
      <c r="CG8" s="4">
        <f>E8*'Optimization Model'!E$13</f>
        <v>0</v>
      </c>
      <c r="CH8" s="4">
        <f>F8*'Optimization Model'!F$13</f>
        <v>0</v>
      </c>
      <c r="CI8" s="4">
        <f>G8*'Optimization Model'!G$13</f>
        <v>0</v>
      </c>
      <c r="CJ8" s="4">
        <f>H8*'Optimization Model'!H$13</f>
        <v>0</v>
      </c>
      <c r="CK8" s="4">
        <f t="shared" si="8"/>
        <v>28</v>
      </c>
      <c r="CM8" s="3" t="s">
        <v>24</v>
      </c>
      <c r="CN8" s="4">
        <f>C8*'Optimization Model'!C$14</f>
        <v>0</v>
      </c>
      <c r="CO8" s="4">
        <f>D8*'Optimization Model'!D$14</f>
        <v>27</v>
      </c>
      <c r="CP8" s="4">
        <f>E8*'Optimization Model'!E$14</f>
        <v>0</v>
      </c>
      <c r="CQ8" s="4">
        <f>F8*'Optimization Model'!F$14</f>
        <v>0</v>
      </c>
      <c r="CR8" s="4">
        <f>G8*'Optimization Model'!G$14</f>
        <v>0</v>
      </c>
      <c r="CS8" s="4">
        <f>H8*'Optimization Model'!H$14</f>
        <v>0</v>
      </c>
      <c r="CT8" s="4">
        <f t="shared" si="9"/>
        <v>27</v>
      </c>
      <c r="CV8" s="3" t="s">
        <v>24</v>
      </c>
      <c r="CW8" s="4">
        <f>C8*'Optimization Model'!C$15</f>
        <v>0</v>
      </c>
      <c r="CX8" s="4">
        <f>D8*'Optimization Model'!D$15</f>
        <v>0</v>
      </c>
      <c r="CY8" s="4">
        <f>E8*'Optimization Model'!E$15</f>
        <v>0</v>
      </c>
      <c r="CZ8" s="4">
        <f>F8*'Optimization Model'!F$15</f>
        <v>18</v>
      </c>
      <c r="DA8" s="4">
        <f>G8*'Optimization Model'!G$15</f>
        <v>16</v>
      </c>
      <c r="DB8" s="4">
        <f>H8*'Optimization Model'!H$15</f>
        <v>0</v>
      </c>
      <c r="DC8" s="4">
        <f t="shared" si="10"/>
        <v>34</v>
      </c>
      <c r="DE8" s="3" t="s">
        <v>24</v>
      </c>
      <c r="DF8" s="4">
        <f>C8*'Optimization Model'!C$16</f>
        <v>0</v>
      </c>
      <c r="DG8" s="4">
        <f>D8*'Optimization Model'!D$16</f>
        <v>0</v>
      </c>
      <c r="DH8" s="4">
        <f>E8*'Optimization Model'!E$16</f>
        <v>20</v>
      </c>
      <c r="DI8" s="4">
        <f>F8*'Optimization Model'!F$16</f>
        <v>0</v>
      </c>
      <c r="DJ8" s="4">
        <f>G8*'Optimization Model'!G$16</f>
        <v>0</v>
      </c>
      <c r="DK8" s="4">
        <f>H8*'Optimization Model'!H$16</f>
        <v>0</v>
      </c>
      <c r="DL8" s="4">
        <f t="shared" si="11"/>
        <v>20</v>
      </c>
      <c r="DN8" s="3" t="s">
        <v>24</v>
      </c>
      <c r="DO8" s="4">
        <f>C8*'Optimization Model'!C$17</f>
        <v>0</v>
      </c>
      <c r="DP8" s="4">
        <f>D8*'Optimization Model'!D$17</f>
        <v>0</v>
      </c>
      <c r="DQ8" s="4">
        <f>E8*'Optimization Model'!E$17</f>
        <v>20</v>
      </c>
      <c r="DR8" s="4">
        <f>F8*'Optimization Model'!F$17</f>
        <v>0</v>
      </c>
      <c r="DS8" s="4">
        <f>G8*'Optimization Model'!G$17</f>
        <v>16</v>
      </c>
      <c r="DT8" s="4">
        <f>H8*'Optimization Model'!H$17</f>
        <v>0</v>
      </c>
      <c r="DU8" s="4">
        <f t="shared" si="12"/>
        <v>36</v>
      </c>
      <c r="DW8" s="3" t="s">
        <v>24</v>
      </c>
      <c r="DX8" s="4">
        <f>C8*'Optimization Model'!C$18</f>
        <v>0</v>
      </c>
      <c r="DY8" s="4">
        <f>D8*'Optimization Model'!D$18</f>
        <v>0</v>
      </c>
      <c r="DZ8" s="4">
        <f>E8*'Optimization Model'!E$18</f>
        <v>20</v>
      </c>
      <c r="EA8" s="4">
        <f>F8*'Optimization Model'!F$18</f>
        <v>18</v>
      </c>
      <c r="EB8" s="4">
        <f>G8*'Optimization Model'!G$18</f>
        <v>0</v>
      </c>
      <c r="EC8" s="4">
        <f>H8*'Optimization Model'!H$18</f>
        <v>0</v>
      </c>
      <c r="ED8" s="4">
        <f t="shared" si="13"/>
        <v>38</v>
      </c>
      <c r="EF8" s="3" t="s">
        <v>24</v>
      </c>
      <c r="EG8" s="4">
        <f>C8*'Optimization Model'!C$19</f>
        <v>0</v>
      </c>
      <c r="EH8" s="4">
        <f>D8*'Optimization Model'!D$19</f>
        <v>0</v>
      </c>
      <c r="EI8" s="4">
        <f>E8*'Optimization Model'!E$19</f>
        <v>0</v>
      </c>
      <c r="EJ8" s="4">
        <f>F8*'Optimization Model'!F$19</f>
        <v>0</v>
      </c>
      <c r="EK8" s="4">
        <f>G8*'Optimization Model'!G$19</f>
        <v>0</v>
      </c>
      <c r="EL8" s="4">
        <f>H8*'Optimization Model'!H$19</f>
        <v>18</v>
      </c>
      <c r="EM8" s="4">
        <f t="shared" si="14"/>
        <v>18</v>
      </c>
      <c r="EO8" s="3" t="s">
        <v>24</v>
      </c>
      <c r="EP8" s="4">
        <f>C8*'Optimization Model'!C$20</f>
        <v>0</v>
      </c>
      <c r="EQ8" s="4">
        <f>D8*'Optimization Model'!D$20</f>
        <v>0</v>
      </c>
      <c r="ER8" s="4">
        <f>E8*'Optimization Model'!E$20</f>
        <v>0</v>
      </c>
      <c r="ES8" s="4">
        <f>F8*'Optimization Model'!F$20</f>
        <v>0</v>
      </c>
      <c r="ET8" s="4">
        <f>G8*'Optimization Model'!G$20</f>
        <v>0</v>
      </c>
      <c r="EU8" s="4">
        <f>H8*'Optimization Model'!H$20</f>
        <v>18</v>
      </c>
      <c r="EV8" s="4">
        <f t="shared" si="15"/>
        <v>18</v>
      </c>
    </row>
    <row r="9" spans="2:152" x14ac:dyDescent="0.35">
      <c r="B9" s="3" t="s">
        <v>25</v>
      </c>
      <c r="C9" s="4">
        <f>'Data- Refined'!U9</f>
        <v>11</v>
      </c>
      <c r="D9" s="4">
        <f>'Data- Refined'!V9</f>
        <v>11</v>
      </c>
      <c r="E9" s="4">
        <f>'Data- Refined'!W9</f>
        <v>10</v>
      </c>
      <c r="F9" s="4">
        <f>'Data- Refined'!X9</f>
        <v>10</v>
      </c>
      <c r="G9" s="4">
        <f>'Data- Refined'!Y9</f>
        <v>6</v>
      </c>
      <c r="H9" s="4">
        <f>'Data- Refined'!Z9</f>
        <v>5</v>
      </c>
      <c r="J9" s="3" t="s">
        <v>25</v>
      </c>
      <c r="K9" s="4">
        <f>C9*'Optimization Model'!C$5</f>
        <v>11</v>
      </c>
      <c r="L9" s="4">
        <f>D9*'Optimization Model'!D$5</f>
        <v>0</v>
      </c>
      <c r="M9" s="4">
        <f>E9*'Optimization Model'!E$5</f>
        <v>0</v>
      </c>
      <c r="N9" s="4">
        <f>F9*'Optimization Model'!F$5</f>
        <v>0</v>
      </c>
      <c r="O9" s="4">
        <f>G9*'Optimization Model'!G$5</f>
        <v>0</v>
      </c>
      <c r="P9" s="4">
        <f>H9*'Optimization Model'!H$5</f>
        <v>0</v>
      </c>
      <c r="Q9" s="4">
        <f t="shared" si="0"/>
        <v>11</v>
      </c>
      <c r="R9" s="8"/>
      <c r="S9" s="3" t="s">
        <v>25</v>
      </c>
      <c r="T9" s="4">
        <f>C9*'Optimization Model'!C$6</f>
        <v>0</v>
      </c>
      <c r="U9" s="4">
        <f>D9*'Optimization Model'!D$6</f>
        <v>11</v>
      </c>
      <c r="V9" s="4">
        <f>E9*'Optimization Model'!E$6</f>
        <v>0</v>
      </c>
      <c r="W9" s="4">
        <f>F9*'Optimization Model'!F$6</f>
        <v>0</v>
      </c>
      <c r="X9" s="4">
        <f>G9*'Optimization Model'!G$6</f>
        <v>0</v>
      </c>
      <c r="Y9" s="4">
        <f>H9*'Optimization Model'!H$6</f>
        <v>0</v>
      </c>
      <c r="Z9" s="4">
        <f t="shared" si="1"/>
        <v>11</v>
      </c>
      <c r="AB9" s="3" t="s">
        <v>25</v>
      </c>
      <c r="AC9" s="4">
        <f>C9*'Optimization Model'!C$7</f>
        <v>11</v>
      </c>
      <c r="AD9" s="4">
        <f>D9*'Optimization Model'!D$7</f>
        <v>0</v>
      </c>
      <c r="AE9" s="4">
        <f>E9*'Optimization Model'!E$7</f>
        <v>0</v>
      </c>
      <c r="AF9" s="4">
        <f>F9*'Optimization Model'!F$7</f>
        <v>0</v>
      </c>
      <c r="AG9" s="4">
        <f>G9*'Optimization Model'!G$7</f>
        <v>0</v>
      </c>
      <c r="AH9" s="4">
        <f>H9*'Optimization Model'!H$7</f>
        <v>0</v>
      </c>
      <c r="AI9" s="4">
        <f t="shared" si="2"/>
        <v>11</v>
      </c>
      <c r="AK9" s="3" t="s">
        <v>25</v>
      </c>
      <c r="AL9" s="4">
        <f>C9*'Optimization Model'!C$8</f>
        <v>0</v>
      </c>
      <c r="AM9" s="4">
        <f>D9*'Optimization Model'!D$8</f>
        <v>11</v>
      </c>
      <c r="AN9" s="4">
        <f>E9*'Optimization Model'!E$8</f>
        <v>0</v>
      </c>
      <c r="AO9" s="4">
        <f>F9*'Optimization Model'!F$8</f>
        <v>0</v>
      </c>
      <c r="AP9" s="4">
        <f>G9*'Optimization Model'!G$8</f>
        <v>0</v>
      </c>
      <c r="AQ9" s="4">
        <f>H9*'Optimization Model'!H$8</f>
        <v>5</v>
      </c>
      <c r="AR9" s="4">
        <f t="shared" si="3"/>
        <v>16</v>
      </c>
      <c r="AT9" s="3" t="s">
        <v>25</v>
      </c>
      <c r="AU9" s="4">
        <f>C9*'Optimization Model'!C$9</f>
        <v>11</v>
      </c>
      <c r="AV9" s="4">
        <f>D9*'Optimization Model'!D$9</f>
        <v>0</v>
      </c>
      <c r="AW9" s="4">
        <f>E9*'Optimization Model'!E$9</f>
        <v>0</v>
      </c>
      <c r="AX9" s="4">
        <f>F9*'Optimization Model'!F$9</f>
        <v>10</v>
      </c>
      <c r="AY9" s="4">
        <f>G9*'Optimization Model'!G$9</f>
        <v>0</v>
      </c>
      <c r="AZ9" s="4">
        <f>H9*'Optimization Model'!H$9</f>
        <v>0</v>
      </c>
      <c r="BA9" s="4">
        <f t="shared" si="4"/>
        <v>21</v>
      </c>
      <c r="BC9" s="3" t="s">
        <v>25</v>
      </c>
      <c r="BD9" s="4">
        <f>C9*'Optimization Model'!C$10</f>
        <v>0</v>
      </c>
      <c r="BE9" s="4">
        <f>D9*'Optimization Model'!D$10</f>
        <v>11</v>
      </c>
      <c r="BF9" s="4">
        <f>E9*'Optimization Model'!E$10</f>
        <v>0</v>
      </c>
      <c r="BG9" s="4">
        <f>F9*'Optimization Model'!F$10</f>
        <v>10</v>
      </c>
      <c r="BH9" s="4">
        <f>G9*'Optimization Model'!G$10</f>
        <v>0</v>
      </c>
      <c r="BI9" s="4">
        <f>H9*'Optimization Model'!H$10</f>
        <v>0</v>
      </c>
      <c r="BJ9" s="4">
        <f t="shared" si="5"/>
        <v>21</v>
      </c>
      <c r="BL9" s="3" t="s">
        <v>25</v>
      </c>
      <c r="BM9" s="4">
        <f>C9*'Optimization Model'!C$11</f>
        <v>0</v>
      </c>
      <c r="BN9" s="4">
        <f>D9*'Optimization Model'!D$11</f>
        <v>0</v>
      </c>
      <c r="BO9" s="4">
        <f>E9*'Optimization Model'!E$11</f>
        <v>10</v>
      </c>
      <c r="BP9" s="4">
        <f>F9*'Optimization Model'!F$11</f>
        <v>0</v>
      </c>
      <c r="BQ9" s="4">
        <f>G9*'Optimization Model'!G$11</f>
        <v>6</v>
      </c>
      <c r="BR9" s="4">
        <f>H9*'Optimization Model'!H$11</f>
        <v>0</v>
      </c>
      <c r="BS9" s="4">
        <f t="shared" si="6"/>
        <v>16</v>
      </c>
      <c r="BU9" s="3" t="s">
        <v>25</v>
      </c>
      <c r="BV9" s="4">
        <f>C9*'Optimization Model'!C$12</f>
        <v>0</v>
      </c>
      <c r="BW9" s="4">
        <f>D9*'Optimization Model'!D$12</f>
        <v>0</v>
      </c>
      <c r="BX9" s="4">
        <f>E9*'Optimization Model'!E$12</f>
        <v>0</v>
      </c>
      <c r="BY9" s="4">
        <f>F9*'Optimization Model'!F$12</f>
        <v>0</v>
      </c>
      <c r="BZ9" s="4">
        <f>G9*'Optimization Model'!G$12</f>
        <v>6</v>
      </c>
      <c r="CA9" s="4">
        <f>H9*'Optimization Model'!H$12</f>
        <v>5</v>
      </c>
      <c r="CB9" s="4">
        <f t="shared" si="7"/>
        <v>11</v>
      </c>
      <c r="CD9" s="3" t="s">
        <v>25</v>
      </c>
      <c r="CE9" s="4">
        <f>C9*'Optimization Model'!C$13</f>
        <v>11</v>
      </c>
      <c r="CF9" s="4">
        <f>D9*'Optimization Model'!D$13</f>
        <v>0</v>
      </c>
      <c r="CG9" s="4">
        <f>E9*'Optimization Model'!E$13</f>
        <v>0</v>
      </c>
      <c r="CH9" s="4">
        <f>F9*'Optimization Model'!F$13</f>
        <v>0</v>
      </c>
      <c r="CI9" s="4">
        <f>G9*'Optimization Model'!G$13</f>
        <v>0</v>
      </c>
      <c r="CJ9" s="4">
        <f>H9*'Optimization Model'!H$13</f>
        <v>0</v>
      </c>
      <c r="CK9" s="4">
        <f t="shared" si="8"/>
        <v>11</v>
      </c>
      <c r="CM9" s="3" t="s">
        <v>25</v>
      </c>
      <c r="CN9" s="4">
        <f>C9*'Optimization Model'!C$14</f>
        <v>0</v>
      </c>
      <c r="CO9" s="4">
        <f>D9*'Optimization Model'!D$14</f>
        <v>11</v>
      </c>
      <c r="CP9" s="4">
        <f>E9*'Optimization Model'!E$14</f>
        <v>0</v>
      </c>
      <c r="CQ9" s="4">
        <f>F9*'Optimization Model'!F$14</f>
        <v>0</v>
      </c>
      <c r="CR9" s="4">
        <f>G9*'Optimization Model'!G$14</f>
        <v>0</v>
      </c>
      <c r="CS9" s="4">
        <f>H9*'Optimization Model'!H$14</f>
        <v>0</v>
      </c>
      <c r="CT9" s="4">
        <f t="shared" si="9"/>
        <v>11</v>
      </c>
      <c r="CV9" s="3" t="s">
        <v>25</v>
      </c>
      <c r="CW9" s="4">
        <f>C9*'Optimization Model'!C$15</f>
        <v>0</v>
      </c>
      <c r="CX9" s="4">
        <f>D9*'Optimization Model'!D$15</f>
        <v>0</v>
      </c>
      <c r="CY9" s="4">
        <f>E9*'Optimization Model'!E$15</f>
        <v>0</v>
      </c>
      <c r="CZ9" s="4">
        <f>F9*'Optimization Model'!F$15</f>
        <v>10</v>
      </c>
      <c r="DA9" s="4">
        <f>G9*'Optimization Model'!G$15</f>
        <v>6</v>
      </c>
      <c r="DB9" s="4">
        <f>H9*'Optimization Model'!H$15</f>
        <v>0</v>
      </c>
      <c r="DC9" s="4">
        <f t="shared" si="10"/>
        <v>16</v>
      </c>
      <c r="DE9" s="3" t="s">
        <v>25</v>
      </c>
      <c r="DF9" s="4">
        <f>C9*'Optimization Model'!C$16</f>
        <v>0</v>
      </c>
      <c r="DG9" s="4">
        <f>D9*'Optimization Model'!D$16</f>
        <v>0</v>
      </c>
      <c r="DH9" s="4">
        <f>E9*'Optimization Model'!E$16</f>
        <v>10</v>
      </c>
      <c r="DI9" s="4">
        <f>F9*'Optimization Model'!F$16</f>
        <v>0</v>
      </c>
      <c r="DJ9" s="4">
        <f>G9*'Optimization Model'!G$16</f>
        <v>0</v>
      </c>
      <c r="DK9" s="4">
        <f>H9*'Optimization Model'!H$16</f>
        <v>0</v>
      </c>
      <c r="DL9" s="4">
        <f t="shared" si="11"/>
        <v>10</v>
      </c>
      <c r="DN9" s="3" t="s">
        <v>25</v>
      </c>
      <c r="DO9" s="4">
        <f>C9*'Optimization Model'!C$17</f>
        <v>0</v>
      </c>
      <c r="DP9" s="4">
        <f>D9*'Optimization Model'!D$17</f>
        <v>0</v>
      </c>
      <c r="DQ9" s="4">
        <f>E9*'Optimization Model'!E$17</f>
        <v>10</v>
      </c>
      <c r="DR9" s="4">
        <f>F9*'Optimization Model'!F$17</f>
        <v>0</v>
      </c>
      <c r="DS9" s="4">
        <f>G9*'Optimization Model'!G$17</f>
        <v>6</v>
      </c>
      <c r="DT9" s="4">
        <f>H9*'Optimization Model'!H$17</f>
        <v>0</v>
      </c>
      <c r="DU9" s="4">
        <f t="shared" si="12"/>
        <v>16</v>
      </c>
      <c r="DW9" s="3" t="s">
        <v>25</v>
      </c>
      <c r="DX9" s="4">
        <f>C9*'Optimization Model'!C$18</f>
        <v>0</v>
      </c>
      <c r="DY9" s="4">
        <f>D9*'Optimization Model'!D$18</f>
        <v>0</v>
      </c>
      <c r="DZ9" s="4">
        <f>E9*'Optimization Model'!E$18</f>
        <v>10</v>
      </c>
      <c r="EA9" s="4">
        <f>F9*'Optimization Model'!F$18</f>
        <v>10</v>
      </c>
      <c r="EB9" s="4">
        <f>G9*'Optimization Model'!G$18</f>
        <v>0</v>
      </c>
      <c r="EC9" s="4">
        <f>H9*'Optimization Model'!H$18</f>
        <v>0</v>
      </c>
      <c r="ED9" s="4">
        <f t="shared" si="13"/>
        <v>20</v>
      </c>
      <c r="EF9" s="3" t="s">
        <v>25</v>
      </c>
      <c r="EG9" s="4">
        <f>C9*'Optimization Model'!C$19</f>
        <v>0</v>
      </c>
      <c r="EH9" s="4">
        <f>D9*'Optimization Model'!D$19</f>
        <v>0</v>
      </c>
      <c r="EI9" s="4">
        <f>E9*'Optimization Model'!E$19</f>
        <v>0</v>
      </c>
      <c r="EJ9" s="4">
        <f>F9*'Optimization Model'!F$19</f>
        <v>0</v>
      </c>
      <c r="EK9" s="4">
        <f>G9*'Optimization Model'!G$19</f>
        <v>0</v>
      </c>
      <c r="EL9" s="4">
        <f>H9*'Optimization Model'!H$19</f>
        <v>5</v>
      </c>
      <c r="EM9" s="4">
        <f t="shared" si="14"/>
        <v>5</v>
      </c>
      <c r="EO9" s="3" t="s">
        <v>25</v>
      </c>
      <c r="EP9" s="4">
        <f>C9*'Optimization Model'!C$20</f>
        <v>0</v>
      </c>
      <c r="EQ9" s="4">
        <f>D9*'Optimization Model'!D$20</f>
        <v>0</v>
      </c>
      <c r="ER9" s="4">
        <f>E9*'Optimization Model'!E$20</f>
        <v>0</v>
      </c>
      <c r="ES9" s="4">
        <f>F9*'Optimization Model'!F$20</f>
        <v>0</v>
      </c>
      <c r="ET9" s="4">
        <f>G9*'Optimization Model'!G$20</f>
        <v>0</v>
      </c>
      <c r="EU9" s="4">
        <f>H9*'Optimization Model'!H$20</f>
        <v>5</v>
      </c>
      <c r="EV9" s="4">
        <f t="shared" si="15"/>
        <v>5</v>
      </c>
    </row>
    <row r="10" spans="2:152" x14ac:dyDescent="0.35">
      <c r="B10" s="3" t="s">
        <v>26</v>
      </c>
      <c r="C10" s="4">
        <f>'Data- Refined'!U10</f>
        <v>13</v>
      </c>
      <c r="D10" s="4">
        <f>'Data- Refined'!V10</f>
        <v>15</v>
      </c>
      <c r="E10" s="4">
        <f>'Data- Refined'!W10</f>
        <v>9</v>
      </c>
      <c r="F10" s="4">
        <f>'Data- Refined'!X10</f>
        <v>7</v>
      </c>
      <c r="G10" s="4">
        <f>'Data- Refined'!Y10</f>
        <v>6</v>
      </c>
      <c r="H10" s="4">
        <f>'Data- Refined'!Z10</f>
        <v>7</v>
      </c>
      <c r="J10" s="3" t="s">
        <v>26</v>
      </c>
      <c r="K10" s="4">
        <f>C10*'Optimization Model'!C$5</f>
        <v>13</v>
      </c>
      <c r="L10" s="4">
        <f>D10*'Optimization Model'!D$5</f>
        <v>0</v>
      </c>
      <c r="M10" s="4">
        <f>E10*'Optimization Model'!E$5</f>
        <v>0</v>
      </c>
      <c r="N10" s="4">
        <f>F10*'Optimization Model'!F$5</f>
        <v>0</v>
      </c>
      <c r="O10" s="4">
        <f>G10*'Optimization Model'!G$5</f>
        <v>0</v>
      </c>
      <c r="P10" s="4">
        <f>H10*'Optimization Model'!H$5</f>
        <v>0</v>
      </c>
      <c r="Q10" s="4">
        <f t="shared" si="0"/>
        <v>13</v>
      </c>
      <c r="R10" s="8"/>
      <c r="S10" s="3" t="s">
        <v>26</v>
      </c>
      <c r="T10" s="4">
        <f>C10*'Optimization Model'!C$6</f>
        <v>0</v>
      </c>
      <c r="U10" s="4">
        <f>D10*'Optimization Model'!D$6</f>
        <v>15</v>
      </c>
      <c r="V10" s="4">
        <f>E10*'Optimization Model'!E$6</f>
        <v>0</v>
      </c>
      <c r="W10" s="4">
        <f>F10*'Optimization Model'!F$6</f>
        <v>0</v>
      </c>
      <c r="X10" s="4">
        <f>G10*'Optimization Model'!G$6</f>
        <v>0</v>
      </c>
      <c r="Y10" s="4">
        <f>H10*'Optimization Model'!H$6</f>
        <v>0</v>
      </c>
      <c r="Z10" s="4">
        <f t="shared" si="1"/>
        <v>15</v>
      </c>
      <c r="AB10" s="3" t="s">
        <v>26</v>
      </c>
      <c r="AC10" s="4">
        <f>C10*'Optimization Model'!C$7</f>
        <v>13</v>
      </c>
      <c r="AD10" s="4">
        <f>D10*'Optimization Model'!D$7</f>
        <v>0</v>
      </c>
      <c r="AE10" s="4">
        <f>E10*'Optimization Model'!E$7</f>
        <v>0</v>
      </c>
      <c r="AF10" s="4">
        <f>F10*'Optimization Model'!F$7</f>
        <v>0</v>
      </c>
      <c r="AG10" s="4">
        <f>G10*'Optimization Model'!G$7</f>
        <v>0</v>
      </c>
      <c r="AH10" s="4">
        <f>H10*'Optimization Model'!H$7</f>
        <v>0</v>
      </c>
      <c r="AI10" s="4">
        <f t="shared" si="2"/>
        <v>13</v>
      </c>
      <c r="AK10" s="3" t="s">
        <v>26</v>
      </c>
      <c r="AL10" s="4">
        <f>C10*'Optimization Model'!C$8</f>
        <v>0</v>
      </c>
      <c r="AM10" s="4">
        <f>D10*'Optimization Model'!D$8</f>
        <v>15</v>
      </c>
      <c r="AN10" s="4">
        <f>E10*'Optimization Model'!E$8</f>
        <v>0</v>
      </c>
      <c r="AO10" s="4">
        <f>F10*'Optimization Model'!F$8</f>
        <v>0</v>
      </c>
      <c r="AP10" s="4">
        <f>G10*'Optimization Model'!G$8</f>
        <v>0</v>
      </c>
      <c r="AQ10" s="4">
        <f>H10*'Optimization Model'!H$8</f>
        <v>7</v>
      </c>
      <c r="AR10" s="4">
        <f t="shared" si="3"/>
        <v>22</v>
      </c>
      <c r="AT10" s="3" t="s">
        <v>26</v>
      </c>
      <c r="AU10" s="4">
        <f>C10*'Optimization Model'!C$9</f>
        <v>13</v>
      </c>
      <c r="AV10" s="4">
        <f>D10*'Optimization Model'!D$9</f>
        <v>0</v>
      </c>
      <c r="AW10" s="4">
        <f>E10*'Optimization Model'!E$9</f>
        <v>0</v>
      </c>
      <c r="AX10" s="4">
        <f>F10*'Optimization Model'!F$9</f>
        <v>7</v>
      </c>
      <c r="AY10" s="4">
        <f>G10*'Optimization Model'!G$9</f>
        <v>0</v>
      </c>
      <c r="AZ10" s="4">
        <f>H10*'Optimization Model'!H$9</f>
        <v>0</v>
      </c>
      <c r="BA10" s="4">
        <f t="shared" si="4"/>
        <v>20</v>
      </c>
      <c r="BC10" s="3" t="s">
        <v>26</v>
      </c>
      <c r="BD10" s="4">
        <f>C10*'Optimization Model'!C$10</f>
        <v>0</v>
      </c>
      <c r="BE10" s="4">
        <f>D10*'Optimization Model'!D$10</f>
        <v>15</v>
      </c>
      <c r="BF10" s="4">
        <f>E10*'Optimization Model'!E$10</f>
        <v>0</v>
      </c>
      <c r="BG10" s="4">
        <f>F10*'Optimization Model'!F$10</f>
        <v>7</v>
      </c>
      <c r="BH10" s="4">
        <f>G10*'Optimization Model'!G$10</f>
        <v>0</v>
      </c>
      <c r="BI10" s="4">
        <f>H10*'Optimization Model'!H$10</f>
        <v>0</v>
      </c>
      <c r="BJ10" s="4">
        <f t="shared" si="5"/>
        <v>22</v>
      </c>
      <c r="BL10" s="3" t="s">
        <v>26</v>
      </c>
      <c r="BM10" s="4">
        <f>C10*'Optimization Model'!C$11</f>
        <v>0</v>
      </c>
      <c r="BN10" s="4">
        <f>D10*'Optimization Model'!D$11</f>
        <v>0</v>
      </c>
      <c r="BO10" s="4">
        <f>E10*'Optimization Model'!E$11</f>
        <v>9</v>
      </c>
      <c r="BP10" s="4">
        <f>F10*'Optimization Model'!F$11</f>
        <v>0</v>
      </c>
      <c r="BQ10" s="4">
        <f>G10*'Optimization Model'!G$11</f>
        <v>6</v>
      </c>
      <c r="BR10" s="4">
        <f>H10*'Optimization Model'!H$11</f>
        <v>0</v>
      </c>
      <c r="BS10" s="4">
        <f t="shared" si="6"/>
        <v>15</v>
      </c>
      <c r="BU10" s="3" t="s">
        <v>26</v>
      </c>
      <c r="BV10" s="4">
        <f>C10*'Optimization Model'!C$12</f>
        <v>0</v>
      </c>
      <c r="BW10" s="4">
        <f>D10*'Optimization Model'!D$12</f>
        <v>0</v>
      </c>
      <c r="BX10" s="4">
        <f>E10*'Optimization Model'!E$12</f>
        <v>0</v>
      </c>
      <c r="BY10" s="4">
        <f>F10*'Optimization Model'!F$12</f>
        <v>0</v>
      </c>
      <c r="BZ10" s="4">
        <f>G10*'Optimization Model'!G$12</f>
        <v>6</v>
      </c>
      <c r="CA10" s="4">
        <f>H10*'Optimization Model'!H$12</f>
        <v>7</v>
      </c>
      <c r="CB10" s="4">
        <f t="shared" si="7"/>
        <v>13</v>
      </c>
      <c r="CD10" s="3" t="s">
        <v>26</v>
      </c>
      <c r="CE10" s="4">
        <f>C10*'Optimization Model'!C$13</f>
        <v>13</v>
      </c>
      <c r="CF10" s="4">
        <f>D10*'Optimization Model'!D$13</f>
        <v>0</v>
      </c>
      <c r="CG10" s="4">
        <f>E10*'Optimization Model'!E$13</f>
        <v>0</v>
      </c>
      <c r="CH10" s="4">
        <f>F10*'Optimization Model'!F$13</f>
        <v>0</v>
      </c>
      <c r="CI10" s="4">
        <f>G10*'Optimization Model'!G$13</f>
        <v>0</v>
      </c>
      <c r="CJ10" s="4">
        <f>H10*'Optimization Model'!H$13</f>
        <v>0</v>
      </c>
      <c r="CK10" s="4">
        <f t="shared" si="8"/>
        <v>13</v>
      </c>
      <c r="CM10" s="3" t="s">
        <v>26</v>
      </c>
      <c r="CN10" s="4">
        <f>C10*'Optimization Model'!C$14</f>
        <v>0</v>
      </c>
      <c r="CO10" s="4">
        <f>D10*'Optimization Model'!D$14</f>
        <v>15</v>
      </c>
      <c r="CP10" s="4">
        <f>E10*'Optimization Model'!E$14</f>
        <v>0</v>
      </c>
      <c r="CQ10" s="4">
        <f>F10*'Optimization Model'!F$14</f>
        <v>0</v>
      </c>
      <c r="CR10" s="4">
        <f>G10*'Optimization Model'!G$14</f>
        <v>0</v>
      </c>
      <c r="CS10" s="4">
        <f>H10*'Optimization Model'!H$14</f>
        <v>0</v>
      </c>
      <c r="CT10" s="4">
        <f t="shared" si="9"/>
        <v>15</v>
      </c>
      <c r="CV10" s="3" t="s">
        <v>26</v>
      </c>
      <c r="CW10" s="4">
        <f>C10*'Optimization Model'!C$15</f>
        <v>0</v>
      </c>
      <c r="CX10" s="4">
        <f>D10*'Optimization Model'!D$15</f>
        <v>0</v>
      </c>
      <c r="CY10" s="4">
        <f>E10*'Optimization Model'!E$15</f>
        <v>0</v>
      </c>
      <c r="CZ10" s="4">
        <f>F10*'Optimization Model'!F$15</f>
        <v>7</v>
      </c>
      <c r="DA10" s="4">
        <f>G10*'Optimization Model'!G$15</f>
        <v>6</v>
      </c>
      <c r="DB10" s="4">
        <f>H10*'Optimization Model'!H$15</f>
        <v>0</v>
      </c>
      <c r="DC10" s="4">
        <f t="shared" si="10"/>
        <v>13</v>
      </c>
      <c r="DE10" s="3" t="s">
        <v>26</v>
      </c>
      <c r="DF10" s="4">
        <f>C10*'Optimization Model'!C$16</f>
        <v>0</v>
      </c>
      <c r="DG10" s="4">
        <f>D10*'Optimization Model'!D$16</f>
        <v>0</v>
      </c>
      <c r="DH10" s="4">
        <f>E10*'Optimization Model'!E$16</f>
        <v>9</v>
      </c>
      <c r="DI10" s="4">
        <f>F10*'Optimization Model'!F$16</f>
        <v>0</v>
      </c>
      <c r="DJ10" s="4">
        <f>G10*'Optimization Model'!G$16</f>
        <v>0</v>
      </c>
      <c r="DK10" s="4">
        <f>H10*'Optimization Model'!H$16</f>
        <v>0</v>
      </c>
      <c r="DL10" s="4">
        <f t="shared" si="11"/>
        <v>9</v>
      </c>
      <c r="DN10" s="3" t="s">
        <v>26</v>
      </c>
      <c r="DO10" s="4">
        <f>C10*'Optimization Model'!C$17</f>
        <v>0</v>
      </c>
      <c r="DP10" s="4">
        <f>D10*'Optimization Model'!D$17</f>
        <v>0</v>
      </c>
      <c r="DQ10" s="4">
        <f>E10*'Optimization Model'!E$17</f>
        <v>9</v>
      </c>
      <c r="DR10" s="4">
        <f>F10*'Optimization Model'!F$17</f>
        <v>0</v>
      </c>
      <c r="DS10" s="4">
        <f>G10*'Optimization Model'!G$17</f>
        <v>6</v>
      </c>
      <c r="DT10" s="4">
        <f>H10*'Optimization Model'!H$17</f>
        <v>0</v>
      </c>
      <c r="DU10" s="4">
        <f t="shared" si="12"/>
        <v>15</v>
      </c>
      <c r="DW10" s="3" t="s">
        <v>26</v>
      </c>
      <c r="DX10" s="4">
        <f>C10*'Optimization Model'!C$18</f>
        <v>0</v>
      </c>
      <c r="DY10" s="4">
        <f>D10*'Optimization Model'!D$18</f>
        <v>0</v>
      </c>
      <c r="DZ10" s="4">
        <f>E10*'Optimization Model'!E$18</f>
        <v>9</v>
      </c>
      <c r="EA10" s="4">
        <f>F10*'Optimization Model'!F$18</f>
        <v>7</v>
      </c>
      <c r="EB10" s="4">
        <f>G10*'Optimization Model'!G$18</f>
        <v>0</v>
      </c>
      <c r="EC10" s="4">
        <f>H10*'Optimization Model'!H$18</f>
        <v>0</v>
      </c>
      <c r="ED10" s="4">
        <f t="shared" si="13"/>
        <v>16</v>
      </c>
      <c r="EF10" s="3" t="s">
        <v>26</v>
      </c>
      <c r="EG10" s="4">
        <f>C10*'Optimization Model'!C$19</f>
        <v>0</v>
      </c>
      <c r="EH10" s="4">
        <f>D10*'Optimization Model'!D$19</f>
        <v>0</v>
      </c>
      <c r="EI10" s="4">
        <f>E10*'Optimization Model'!E$19</f>
        <v>0</v>
      </c>
      <c r="EJ10" s="4">
        <f>F10*'Optimization Model'!F$19</f>
        <v>0</v>
      </c>
      <c r="EK10" s="4">
        <f>G10*'Optimization Model'!G$19</f>
        <v>0</v>
      </c>
      <c r="EL10" s="4">
        <f>H10*'Optimization Model'!H$19</f>
        <v>7</v>
      </c>
      <c r="EM10" s="4">
        <f t="shared" si="14"/>
        <v>7</v>
      </c>
      <c r="EO10" s="3" t="s">
        <v>26</v>
      </c>
      <c r="EP10" s="4">
        <f>C10*'Optimization Model'!C$20</f>
        <v>0</v>
      </c>
      <c r="EQ10" s="4">
        <f>D10*'Optimization Model'!D$20</f>
        <v>0</v>
      </c>
      <c r="ER10" s="4">
        <f>E10*'Optimization Model'!E$20</f>
        <v>0</v>
      </c>
      <c r="ES10" s="4">
        <f>F10*'Optimization Model'!F$20</f>
        <v>0</v>
      </c>
      <c r="ET10" s="4">
        <f>G10*'Optimization Model'!G$20</f>
        <v>0</v>
      </c>
      <c r="EU10" s="4">
        <f>H10*'Optimization Model'!H$20</f>
        <v>7</v>
      </c>
      <c r="EV10" s="4">
        <f t="shared" si="15"/>
        <v>7</v>
      </c>
    </row>
    <row r="11" spans="2:152" x14ac:dyDescent="0.35">
      <c r="B11" s="3" t="s">
        <v>27</v>
      </c>
      <c r="C11" s="4">
        <f>'Data- Refined'!U11</f>
        <v>6</v>
      </c>
      <c r="D11" s="4">
        <f>'Data- Refined'!V11</f>
        <v>4</v>
      </c>
      <c r="E11" s="4">
        <f>'Data- Refined'!W11</f>
        <v>1</v>
      </c>
      <c r="F11" s="4">
        <f>'Data- Refined'!X11</f>
        <v>1</v>
      </c>
      <c r="G11" s="4">
        <f>'Data- Refined'!Y11</f>
        <v>3</v>
      </c>
      <c r="H11" s="4">
        <f>'Data- Refined'!Z11</f>
        <v>1</v>
      </c>
      <c r="J11" s="3" t="s">
        <v>27</v>
      </c>
      <c r="K11" s="4">
        <f>C11*'Optimization Model'!C$5</f>
        <v>6</v>
      </c>
      <c r="L11" s="4">
        <f>D11*'Optimization Model'!D$5</f>
        <v>0</v>
      </c>
      <c r="M11" s="4">
        <f>E11*'Optimization Model'!E$5</f>
        <v>0</v>
      </c>
      <c r="N11" s="4">
        <f>F11*'Optimization Model'!F$5</f>
        <v>0</v>
      </c>
      <c r="O11" s="4">
        <f>G11*'Optimization Model'!G$5</f>
        <v>0</v>
      </c>
      <c r="P11" s="4">
        <f>H11*'Optimization Model'!H$5</f>
        <v>0</v>
      </c>
      <c r="Q11" s="4">
        <f t="shared" si="0"/>
        <v>6</v>
      </c>
      <c r="R11" s="8"/>
      <c r="S11" s="3" t="s">
        <v>27</v>
      </c>
      <c r="T11" s="4">
        <f>C11*'Optimization Model'!C$6</f>
        <v>0</v>
      </c>
      <c r="U11" s="4">
        <f>D11*'Optimization Model'!D$6</f>
        <v>4</v>
      </c>
      <c r="V11" s="4">
        <f>E11*'Optimization Model'!E$6</f>
        <v>0</v>
      </c>
      <c r="W11" s="4">
        <f>F11*'Optimization Model'!F$6</f>
        <v>0</v>
      </c>
      <c r="X11" s="4">
        <f>G11*'Optimization Model'!G$6</f>
        <v>0</v>
      </c>
      <c r="Y11" s="4">
        <f>H11*'Optimization Model'!H$6</f>
        <v>0</v>
      </c>
      <c r="Z11" s="4">
        <f t="shared" si="1"/>
        <v>4</v>
      </c>
      <c r="AB11" s="3" t="s">
        <v>27</v>
      </c>
      <c r="AC11" s="4">
        <f>C11*'Optimization Model'!C$7</f>
        <v>6</v>
      </c>
      <c r="AD11" s="4">
        <f>D11*'Optimization Model'!D$7</f>
        <v>0</v>
      </c>
      <c r="AE11" s="4">
        <f>E11*'Optimization Model'!E$7</f>
        <v>0</v>
      </c>
      <c r="AF11" s="4">
        <f>F11*'Optimization Model'!F$7</f>
        <v>0</v>
      </c>
      <c r="AG11" s="4">
        <f>G11*'Optimization Model'!G$7</f>
        <v>0</v>
      </c>
      <c r="AH11" s="4">
        <f>H11*'Optimization Model'!H$7</f>
        <v>0</v>
      </c>
      <c r="AI11" s="4">
        <f t="shared" si="2"/>
        <v>6</v>
      </c>
      <c r="AK11" s="3" t="s">
        <v>27</v>
      </c>
      <c r="AL11" s="4">
        <f>C11*'Optimization Model'!C$8</f>
        <v>0</v>
      </c>
      <c r="AM11" s="4">
        <f>D11*'Optimization Model'!D$8</f>
        <v>4</v>
      </c>
      <c r="AN11" s="4">
        <f>E11*'Optimization Model'!E$8</f>
        <v>0</v>
      </c>
      <c r="AO11" s="4">
        <f>F11*'Optimization Model'!F$8</f>
        <v>0</v>
      </c>
      <c r="AP11" s="4">
        <f>G11*'Optimization Model'!G$8</f>
        <v>0</v>
      </c>
      <c r="AQ11" s="4">
        <f>H11*'Optimization Model'!H$8</f>
        <v>1</v>
      </c>
      <c r="AR11" s="4">
        <f t="shared" si="3"/>
        <v>5</v>
      </c>
      <c r="AT11" s="3" t="s">
        <v>27</v>
      </c>
      <c r="AU11" s="4">
        <f>C11*'Optimization Model'!C$9</f>
        <v>6</v>
      </c>
      <c r="AV11" s="4">
        <f>D11*'Optimization Model'!D$9</f>
        <v>0</v>
      </c>
      <c r="AW11" s="4">
        <f>E11*'Optimization Model'!E$9</f>
        <v>0</v>
      </c>
      <c r="AX11" s="4">
        <f>F11*'Optimization Model'!F$9</f>
        <v>1</v>
      </c>
      <c r="AY11" s="4">
        <f>G11*'Optimization Model'!G$9</f>
        <v>0</v>
      </c>
      <c r="AZ11" s="4">
        <f>H11*'Optimization Model'!H$9</f>
        <v>0</v>
      </c>
      <c r="BA11" s="4">
        <f t="shared" si="4"/>
        <v>7</v>
      </c>
      <c r="BC11" s="3" t="s">
        <v>27</v>
      </c>
      <c r="BD11" s="4">
        <f>C11*'Optimization Model'!C$10</f>
        <v>0</v>
      </c>
      <c r="BE11" s="4">
        <f>D11*'Optimization Model'!D$10</f>
        <v>4</v>
      </c>
      <c r="BF11" s="4">
        <f>E11*'Optimization Model'!E$10</f>
        <v>0</v>
      </c>
      <c r="BG11" s="4">
        <f>F11*'Optimization Model'!F$10</f>
        <v>1</v>
      </c>
      <c r="BH11" s="4">
        <f>G11*'Optimization Model'!G$10</f>
        <v>0</v>
      </c>
      <c r="BI11" s="4">
        <f>H11*'Optimization Model'!H$10</f>
        <v>0</v>
      </c>
      <c r="BJ11" s="4">
        <f t="shared" si="5"/>
        <v>5</v>
      </c>
      <c r="BL11" s="3" t="s">
        <v>27</v>
      </c>
      <c r="BM11" s="4">
        <f>C11*'Optimization Model'!C$11</f>
        <v>0</v>
      </c>
      <c r="BN11" s="4">
        <f>D11*'Optimization Model'!D$11</f>
        <v>0</v>
      </c>
      <c r="BO11" s="4">
        <f>E11*'Optimization Model'!E$11</f>
        <v>1</v>
      </c>
      <c r="BP11" s="4">
        <f>F11*'Optimization Model'!F$11</f>
        <v>0</v>
      </c>
      <c r="BQ11" s="4">
        <f>G11*'Optimization Model'!G$11</f>
        <v>3</v>
      </c>
      <c r="BR11" s="4">
        <f>H11*'Optimization Model'!H$11</f>
        <v>0</v>
      </c>
      <c r="BS11" s="4">
        <f t="shared" si="6"/>
        <v>4</v>
      </c>
      <c r="BU11" s="3" t="s">
        <v>27</v>
      </c>
      <c r="BV11" s="4">
        <f>C11*'Optimization Model'!C$12</f>
        <v>0</v>
      </c>
      <c r="BW11" s="4">
        <f>D11*'Optimization Model'!D$12</f>
        <v>0</v>
      </c>
      <c r="BX11" s="4">
        <f>E11*'Optimization Model'!E$12</f>
        <v>0</v>
      </c>
      <c r="BY11" s="4">
        <f>F11*'Optimization Model'!F$12</f>
        <v>0</v>
      </c>
      <c r="BZ11" s="4">
        <f>G11*'Optimization Model'!G$12</f>
        <v>3</v>
      </c>
      <c r="CA11" s="4">
        <f>H11*'Optimization Model'!H$12</f>
        <v>1</v>
      </c>
      <c r="CB11" s="4">
        <f t="shared" si="7"/>
        <v>4</v>
      </c>
      <c r="CD11" s="3" t="s">
        <v>27</v>
      </c>
      <c r="CE11" s="4">
        <f>C11*'Optimization Model'!C$13</f>
        <v>6</v>
      </c>
      <c r="CF11" s="4">
        <f>D11*'Optimization Model'!D$13</f>
        <v>0</v>
      </c>
      <c r="CG11" s="4">
        <f>E11*'Optimization Model'!E$13</f>
        <v>0</v>
      </c>
      <c r="CH11" s="4">
        <f>F11*'Optimization Model'!F$13</f>
        <v>0</v>
      </c>
      <c r="CI11" s="4">
        <f>G11*'Optimization Model'!G$13</f>
        <v>0</v>
      </c>
      <c r="CJ11" s="4">
        <f>H11*'Optimization Model'!H$13</f>
        <v>0</v>
      </c>
      <c r="CK11" s="4">
        <f t="shared" si="8"/>
        <v>6</v>
      </c>
      <c r="CM11" s="3" t="s">
        <v>27</v>
      </c>
      <c r="CN11" s="4">
        <f>C11*'Optimization Model'!C$14</f>
        <v>0</v>
      </c>
      <c r="CO11" s="4">
        <f>D11*'Optimization Model'!D$14</f>
        <v>4</v>
      </c>
      <c r="CP11" s="4">
        <f>E11*'Optimization Model'!E$14</f>
        <v>0</v>
      </c>
      <c r="CQ11" s="4">
        <f>F11*'Optimization Model'!F$14</f>
        <v>0</v>
      </c>
      <c r="CR11" s="4">
        <f>G11*'Optimization Model'!G$14</f>
        <v>0</v>
      </c>
      <c r="CS11" s="4">
        <f>H11*'Optimization Model'!H$14</f>
        <v>0</v>
      </c>
      <c r="CT11" s="4">
        <f t="shared" si="9"/>
        <v>4</v>
      </c>
      <c r="CV11" s="3" t="s">
        <v>27</v>
      </c>
      <c r="CW11" s="4">
        <f>C11*'Optimization Model'!C$15</f>
        <v>0</v>
      </c>
      <c r="CX11" s="4">
        <f>D11*'Optimization Model'!D$15</f>
        <v>0</v>
      </c>
      <c r="CY11" s="4">
        <f>E11*'Optimization Model'!E$15</f>
        <v>0</v>
      </c>
      <c r="CZ11" s="4">
        <f>F11*'Optimization Model'!F$15</f>
        <v>1</v>
      </c>
      <c r="DA11" s="4">
        <f>G11*'Optimization Model'!G$15</f>
        <v>3</v>
      </c>
      <c r="DB11" s="4">
        <f>H11*'Optimization Model'!H$15</f>
        <v>0</v>
      </c>
      <c r="DC11" s="4">
        <f t="shared" si="10"/>
        <v>4</v>
      </c>
      <c r="DE11" s="3" t="s">
        <v>27</v>
      </c>
      <c r="DF11" s="4">
        <f>C11*'Optimization Model'!C$16</f>
        <v>0</v>
      </c>
      <c r="DG11" s="4">
        <f>D11*'Optimization Model'!D$16</f>
        <v>0</v>
      </c>
      <c r="DH11" s="4">
        <f>E11*'Optimization Model'!E$16</f>
        <v>1</v>
      </c>
      <c r="DI11" s="4">
        <f>F11*'Optimization Model'!F$16</f>
        <v>0</v>
      </c>
      <c r="DJ11" s="4">
        <f>G11*'Optimization Model'!G$16</f>
        <v>0</v>
      </c>
      <c r="DK11" s="4">
        <f>H11*'Optimization Model'!H$16</f>
        <v>0</v>
      </c>
      <c r="DL11" s="4">
        <f t="shared" si="11"/>
        <v>1</v>
      </c>
      <c r="DN11" s="3" t="s">
        <v>27</v>
      </c>
      <c r="DO11" s="4">
        <f>C11*'Optimization Model'!C$17</f>
        <v>0</v>
      </c>
      <c r="DP11" s="4">
        <f>D11*'Optimization Model'!D$17</f>
        <v>0</v>
      </c>
      <c r="DQ11" s="4">
        <f>E11*'Optimization Model'!E$17</f>
        <v>1</v>
      </c>
      <c r="DR11" s="4">
        <f>F11*'Optimization Model'!F$17</f>
        <v>0</v>
      </c>
      <c r="DS11" s="4">
        <f>G11*'Optimization Model'!G$17</f>
        <v>3</v>
      </c>
      <c r="DT11" s="4">
        <f>H11*'Optimization Model'!H$17</f>
        <v>0</v>
      </c>
      <c r="DU11" s="4">
        <f t="shared" si="12"/>
        <v>4</v>
      </c>
      <c r="DW11" s="3" t="s">
        <v>27</v>
      </c>
      <c r="DX11" s="4">
        <f>C11*'Optimization Model'!C$18</f>
        <v>0</v>
      </c>
      <c r="DY11" s="4">
        <f>D11*'Optimization Model'!D$18</f>
        <v>0</v>
      </c>
      <c r="DZ11" s="4">
        <f>E11*'Optimization Model'!E$18</f>
        <v>1</v>
      </c>
      <c r="EA11" s="4">
        <f>F11*'Optimization Model'!F$18</f>
        <v>1</v>
      </c>
      <c r="EB11" s="4">
        <f>G11*'Optimization Model'!G$18</f>
        <v>0</v>
      </c>
      <c r="EC11" s="4">
        <f>H11*'Optimization Model'!H$18</f>
        <v>0</v>
      </c>
      <c r="ED11" s="4">
        <f t="shared" si="13"/>
        <v>2</v>
      </c>
      <c r="EF11" s="3" t="s">
        <v>27</v>
      </c>
      <c r="EG11" s="4">
        <f>C11*'Optimization Model'!C$19</f>
        <v>0</v>
      </c>
      <c r="EH11" s="4">
        <f>D11*'Optimization Model'!D$19</f>
        <v>0</v>
      </c>
      <c r="EI11" s="4">
        <f>E11*'Optimization Model'!E$19</f>
        <v>0</v>
      </c>
      <c r="EJ11" s="4">
        <f>F11*'Optimization Model'!F$19</f>
        <v>0</v>
      </c>
      <c r="EK11" s="4">
        <f>G11*'Optimization Model'!G$19</f>
        <v>0</v>
      </c>
      <c r="EL11" s="4">
        <f>H11*'Optimization Model'!H$19</f>
        <v>1</v>
      </c>
      <c r="EM11" s="4">
        <f t="shared" si="14"/>
        <v>1</v>
      </c>
      <c r="EO11" s="3" t="s">
        <v>27</v>
      </c>
      <c r="EP11" s="4">
        <f>C11*'Optimization Model'!C$20</f>
        <v>0</v>
      </c>
      <c r="EQ11" s="4">
        <f>D11*'Optimization Model'!D$20</f>
        <v>0</v>
      </c>
      <c r="ER11" s="4">
        <f>E11*'Optimization Model'!E$20</f>
        <v>0</v>
      </c>
      <c r="ES11" s="4">
        <f>F11*'Optimization Model'!F$20</f>
        <v>0</v>
      </c>
      <c r="ET11" s="4">
        <f>G11*'Optimization Model'!G$20</f>
        <v>0</v>
      </c>
      <c r="EU11" s="4">
        <f>H11*'Optimization Model'!H$20</f>
        <v>1</v>
      </c>
      <c r="EV11" s="4">
        <f t="shared" si="15"/>
        <v>1</v>
      </c>
    </row>
    <row r="12" spans="2:152" x14ac:dyDescent="0.35">
      <c r="B12" s="3" t="s">
        <v>28</v>
      </c>
      <c r="C12" s="4">
        <f>'Data- Refined'!U12</f>
        <v>6</v>
      </c>
      <c r="D12" s="4">
        <f>'Data- Refined'!V12</f>
        <v>8</v>
      </c>
      <c r="E12" s="4">
        <f>'Data- Refined'!W12</f>
        <v>1</v>
      </c>
      <c r="F12" s="4">
        <f>'Data- Refined'!X12</f>
        <v>5</v>
      </c>
      <c r="G12" s="4">
        <f>'Data- Refined'!Y12</f>
        <v>1</v>
      </c>
      <c r="H12" s="4">
        <f>'Data- Refined'!Z12</f>
        <v>4</v>
      </c>
      <c r="J12" s="3" t="s">
        <v>28</v>
      </c>
      <c r="K12" s="4">
        <f>C12*'Optimization Model'!C$5</f>
        <v>6</v>
      </c>
      <c r="L12" s="4">
        <f>D12*'Optimization Model'!D$5</f>
        <v>0</v>
      </c>
      <c r="M12" s="4">
        <f>E12*'Optimization Model'!E$5</f>
        <v>0</v>
      </c>
      <c r="N12" s="4">
        <f>F12*'Optimization Model'!F$5</f>
        <v>0</v>
      </c>
      <c r="O12" s="4">
        <f>G12*'Optimization Model'!G$5</f>
        <v>0</v>
      </c>
      <c r="P12" s="4">
        <f>H12*'Optimization Model'!H$5</f>
        <v>0</v>
      </c>
      <c r="Q12" s="4">
        <f t="shared" si="0"/>
        <v>6</v>
      </c>
      <c r="R12" s="8"/>
      <c r="S12" s="3" t="s">
        <v>28</v>
      </c>
      <c r="T12" s="4">
        <f>C12*'Optimization Model'!C$6</f>
        <v>0</v>
      </c>
      <c r="U12" s="4">
        <f>D12*'Optimization Model'!D$6</f>
        <v>8</v>
      </c>
      <c r="V12" s="4">
        <f>E12*'Optimization Model'!E$6</f>
        <v>0</v>
      </c>
      <c r="W12" s="4">
        <f>F12*'Optimization Model'!F$6</f>
        <v>0</v>
      </c>
      <c r="X12" s="4">
        <f>G12*'Optimization Model'!G$6</f>
        <v>0</v>
      </c>
      <c r="Y12" s="4">
        <f>H12*'Optimization Model'!H$6</f>
        <v>0</v>
      </c>
      <c r="Z12" s="4">
        <f t="shared" si="1"/>
        <v>8</v>
      </c>
      <c r="AB12" s="3" t="s">
        <v>28</v>
      </c>
      <c r="AC12" s="4">
        <f>C12*'Optimization Model'!C$7</f>
        <v>6</v>
      </c>
      <c r="AD12" s="4">
        <f>D12*'Optimization Model'!D$7</f>
        <v>0</v>
      </c>
      <c r="AE12" s="4">
        <f>E12*'Optimization Model'!E$7</f>
        <v>0</v>
      </c>
      <c r="AF12" s="4">
        <f>F12*'Optimization Model'!F$7</f>
        <v>0</v>
      </c>
      <c r="AG12" s="4">
        <f>G12*'Optimization Model'!G$7</f>
        <v>0</v>
      </c>
      <c r="AH12" s="4">
        <f>H12*'Optimization Model'!H$7</f>
        <v>0</v>
      </c>
      <c r="AI12" s="4">
        <f t="shared" si="2"/>
        <v>6</v>
      </c>
      <c r="AK12" s="3" t="s">
        <v>28</v>
      </c>
      <c r="AL12" s="4">
        <f>C12*'Optimization Model'!C$8</f>
        <v>0</v>
      </c>
      <c r="AM12" s="4">
        <f>D12*'Optimization Model'!D$8</f>
        <v>8</v>
      </c>
      <c r="AN12" s="4">
        <f>E12*'Optimization Model'!E$8</f>
        <v>0</v>
      </c>
      <c r="AO12" s="4">
        <f>F12*'Optimization Model'!F$8</f>
        <v>0</v>
      </c>
      <c r="AP12" s="4">
        <f>G12*'Optimization Model'!G$8</f>
        <v>0</v>
      </c>
      <c r="AQ12" s="4">
        <f>H12*'Optimization Model'!H$8</f>
        <v>4</v>
      </c>
      <c r="AR12" s="4">
        <f t="shared" si="3"/>
        <v>12</v>
      </c>
      <c r="AT12" s="3" t="s">
        <v>28</v>
      </c>
      <c r="AU12" s="4">
        <f>C12*'Optimization Model'!C$9</f>
        <v>6</v>
      </c>
      <c r="AV12" s="4">
        <f>D12*'Optimization Model'!D$9</f>
        <v>0</v>
      </c>
      <c r="AW12" s="4">
        <f>E12*'Optimization Model'!E$9</f>
        <v>0</v>
      </c>
      <c r="AX12" s="4">
        <f>F12*'Optimization Model'!F$9</f>
        <v>5</v>
      </c>
      <c r="AY12" s="4">
        <f>G12*'Optimization Model'!G$9</f>
        <v>0</v>
      </c>
      <c r="AZ12" s="4">
        <f>H12*'Optimization Model'!H$9</f>
        <v>0</v>
      </c>
      <c r="BA12" s="4">
        <f t="shared" si="4"/>
        <v>11</v>
      </c>
      <c r="BC12" s="3" t="s">
        <v>28</v>
      </c>
      <c r="BD12" s="4">
        <f>C12*'Optimization Model'!C$10</f>
        <v>0</v>
      </c>
      <c r="BE12" s="4">
        <f>D12*'Optimization Model'!D$10</f>
        <v>8</v>
      </c>
      <c r="BF12" s="4">
        <f>E12*'Optimization Model'!E$10</f>
        <v>0</v>
      </c>
      <c r="BG12" s="4">
        <f>F12*'Optimization Model'!F$10</f>
        <v>5</v>
      </c>
      <c r="BH12" s="4">
        <f>G12*'Optimization Model'!G$10</f>
        <v>0</v>
      </c>
      <c r="BI12" s="4">
        <f>H12*'Optimization Model'!H$10</f>
        <v>0</v>
      </c>
      <c r="BJ12" s="4">
        <f t="shared" si="5"/>
        <v>13</v>
      </c>
      <c r="BL12" s="3" t="s">
        <v>28</v>
      </c>
      <c r="BM12" s="4">
        <f>C12*'Optimization Model'!C$11</f>
        <v>0</v>
      </c>
      <c r="BN12" s="4">
        <f>D12*'Optimization Model'!D$11</f>
        <v>0</v>
      </c>
      <c r="BO12" s="4">
        <f>E12*'Optimization Model'!E$11</f>
        <v>1</v>
      </c>
      <c r="BP12" s="4">
        <f>F12*'Optimization Model'!F$11</f>
        <v>0</v>
      </c>
      <c r="BQ12" s="4">
        <f>G12*'Optimization Model'!G$11</f>
        <v>1</v>
      </c>
      <c r="BR12" s="4">
        <f>H12*'Optimization Model'!H$11</f>
        <v>0</v>
      </c>
      <c r="BS12" s="4">
        <f t="shared" si="6"/>
        <v>2</v>
      </c>
      <c r="BU12" s="3" t="s">
        <v>28</v>
      </c>
      <c r="BV12" s="4">
        <f>C12*'Optimization Model'!C$12</f>
        <v>0</v>
      </c>
      <c r="BW12" s="4">
        <f>D12*'Optimization Model'!D$12</f>
        <v>0</v>
      </c>
      <c r="BX12" s="4">
        <f>E12*'Optimization Model'!E$12</f>
        <v>0</v>
      </c>
      <c r="BY12" s="4">
        <f>F12*'Optimization Model'!F$12</f>
        <v>0</v>
      </c>
      <c r="BZ12" s="4">
        <f>G12*'Optimization Model'!G$12</f>
        <v>1</v>
      </c>
      <c r="CA12" s="4">
        <f>H12*'Optimization Model'!H$12</f>
        <v>4</v>
      </c>
      <c r="CB12" s="4">
        <f t="shared" si="7"/>
        <v>5</v>
      </c>
      <c r="CD12" s="3" t="s">
        <v>28</v>
      </c>
      <c r="CE12" s="4">
        <f>C12*'Optimization Model'!C$13</f>
        <v>6</v>
      </c>
      <c r="CF12" s="4">
        <f>D12*'Optimization Model'!D$13</f>
        <v>0</v>
      </c>
      <c r="CG12" s="4">
        <f>E12*'Optimization Model'!E$13</f>
        <v>0</v>
      </c>
      <c r="CH12" s="4">
        <f>F12*'Optimization Model'!F$13</f>
        <v>0</v>
      </c>
      <c r="CI12" s="4">
        <f>G12*'Optimization Model'!G$13</f>
        <v>0</v>
      </c>
      <c r="CJ12" s="4">
        <f>H12*'Optimization Model'!H$13</f>
        <v>0</v>
      </c>
      <c r="CK12" s="4">
        <f t="shared" si="8"/>
        <v>6</v>
      </c>
      <c r="CM12" s="3" t="s">
        <v>28</v>
      </c>
      <c r="CN12" s="4">
        <f>C12*'Optimization Model'!C$14</f>
        <v>0</v>
      </c>
      <c r="CO12" s="4">
        <f>D12*'Optimization Model'!D$14</f>
        <v>8</v>
      </c>
      <c r="CP12" s="4">
        <f>E12*'Optimization Model'!E$14</f>
        <v>0</v>
      </c>
      <c r="CQ12" s="4">
        <f>F12*'Optimization Model'!F$14</f>
        <v>0</v>
      </c>
      <c r="CR12" s="4">
        <f>G12*'Optimization Model'!G$14</f>
        <v>0</v>
      </c>
      <c r="CS12" s="4">
        <f>H12*'Optimization Model'!H$14</f>
        <v>0</v>
      </c>
      <c r="CT12" s="4">
        <f t="shared" si="9"/>
        <v>8</v>
      </c>
      <c r="CV12" s="3" t="s">
        <v>28</v>
      </c>
      <c r="CW12" s="4">
        <f>C12*'Optimization Model'!C$15</f>
        <v>0</v>
      </c>
      <c r="CX12" s="4">
        <f>D12*'Optimization Model'!D$15</f>
        <v>0</v>
      </c>
      <c r="CY12" s="4">
        <f>E12*'Optimization Model'!E$15</f>
        <v>0</v>
      </c>
      <c r="CZ12" s="4">
        <f>F12*'Optimization Model'!F$15</f>
        <v>5</v>
      </c>
      <c r="DA12" s="4">
        <f>G12*'Optimization Model'!G$15</f>
        <v>1</v>
      </c>
      <c r="DB12" s="4">
        <f>H12*'Optimization Model'!H$15</f>
        <v>0</v>
      </c>
      <c r="DC12" s="4">
        <f t="shared" si="10"/>
        <v>6</v>
      </c>
      <c r="DE12" s="3" t="s">
        <v>28</v>
      </c>
      <c r="DF12" s="4">
        <f>C12*'Optimization Model'!C$16</f>
        <v>0</v>
      </c>
      <c r="DG12" s="4">
        <f>D12*'Optimization Model'!D$16</f>
        <v>0</v>
      </c>
      <c r="DH12" s="4">
        <f>E12*'Optimization Model'!E$16</f>
        <v>1</v>
      </c>
      <c r="DI12" s="4">
        <f>F12*'Optimization Model'!F$16</f>
        <v>0</v>
      </c>
      <c r="DJ12" s="4">
        <f>G12*'Optimization Model'!G$16</f>
        <v>0</v>
      </c>
      <c r="DK12" s="4">
        <f>H12*'Optimization Model'!H$16</f>
        <v>0</v>
      </c>
      <c r="DL12" s="4">
        <f t="shared" si="11"/>
        <v>1</v>
      </c>
      <c r="DN12" s="3" t="s">
        <v>28</v>
      </c>
      <c r="DO12" s="4">
        <f>C12*'Optimization Model'!C$17</f>
        <v>0</v>
      </c>
      <c r="DP12" s="4">
        <f>D12*'Optimization Model'!D$17</f>
        <v>0</v>
      </c>
      <c r="DQ12" s="4">
        <f>E12*'Optimization Model'!E$17</f>
        <v>1</v>
      </c>
      <c r="DR12" s="4">
        <f>F12*'Optimization Model'!F$17</f>
        <v>0</v>
      </c>
      <c r="DS12" s="4">
        <f>G12*'Optimization Model'!G$17</f>
        <v>1</v>
      </c>
      <c r="DT12" s="4">
        <f>H12*'Optimization Model'!H$17</f>
        <v>0</v>
      </c>
      <c r="DU12" s="4">
        <f t="shared" si="12"/>
        <v>2</v>
      </c>
      <c r="DW12" s="3" t="s">
        <v>28</v>
      </c>
      <c r="DX12" s="4">
        <f>C12*'Optimization Model'!C$18</f>
        <v>0</v>
      </c>
      <c r="DY12" s="4">
        <f>D12*'Optimization Model'!D$18</f>
        <v>0</v>
      </c>
      <c r="DZ12" s="4">
        <f>E12*'Optimization Model'!E$18</f>
        <v>1</v>
      </c>
      <c r="EA12" s="4">
        <f>F12*'Optimization Model'!F$18</f>
        <v>5</v>
      </c>
      <c r="EB12" s="4">
        <f>G12*'Optimization Model'!G$18</f>
        <v>0</v>
      </c>
      <c r="EC12" s="4">
        <f>H12*'Optimization Model'!H$18</f>
        <v>0</v>
      </c>
      <c r="ED12" s="4">
        <f t="shared" si="13"/>
        <v>6</v>
      </c>
      <c r="EF12" s="3" t="s">
        <v>28</v>
      </c>
      <c r="EG12" s="4">
        <f>C12*'Optimization Model'!C$19</f>
        <v>0</v>
      </c>
      <c r="EH12" s="4">
        <f>D12*'Optimization Model'!D$19</f>
        <v>0</v>
      </c>
      <c r="EI12" s="4">
        <f>E12*'Optimization Model'!E$19</f>
        <v>0</v>
      </c>
      <c r="EJ12" s="4">
        <f>F12*'Optimization Model'!F$19</f>
        <v>0</v>
      </c>
      <c r="EK12" s="4">
        <f>G12*'Optimization Model'!G$19</f>
        <v>0</v>
      </c>
      <c r="EL12" s="4">
        <f>H12*'Optimization Model'!H$19</f>
        <v>4</v>
      </c>
      <c r="EM12" s="4">
        <f t="shared" si="14"/>
        <v>4</v>
      </c>
      <c r="EO12" s="3" t="s">
        <v>28</v>
      </c>
      <c r="EP12" s="4">
        <f>C12*'Optimization Model'!C$20</f>
        <v>0</v>
      </c>
      <c r="EQ12" s="4">
        <f>D12*'Optimization Model'!D$20</f>
        <v>0</v>
      </c>
      <c r="ER12" s="4">
        <f>E12*'Optimization Model'!E$20</f>
        <v>0</v>
      </c>
      <c r="ES12" s="4">
        <f>F12*'Optimization Model'!F$20</f>
        <v>0</v>
      </c>
      <c r="ET12" s="4">
        <f>G12*'Optimization Model'!G$20</f>
        <v>0</v>
      </c>
      <c r="EU12" s="4">
        <f>H12*'Optimization Model'!H$20</f>
        <v>4</v>
      </c>
      <c r="EV12" s="4">
        <f t="shared" si="15"/>
        <v>4</v>
      </c>
    </row>
    <row r="13" spans="2:152" x14ac:dyDescent="0.35">
      <c r="B13" s="3" t="s">
        <v>29</v>
      </c>
      <c r="C13" s="4">
        <f>'Data- Refined'!U13</f>
        <v>20</v>
      </c>
      <c r="D13" s="4">
        <f>'Data- Refined'!V13</f>
        <v>17</v>
      </c>
      <c r="E13" s="4">
        <f>'Data- Refined'!W13</f>
        <v>8</v>
      </c>
      <c r="F13" s="4">
        <f>'Data- Refined'!X13</f>
        <v>8</v>
      </c>
      <c r="G13" s="4">
        <f>'Data- Refined'!Y13</f>
        <v>10</v>
      </c>
      <c r="H13" s="4">
        <f>'Data- Refined'!Z13</f>
        <v>9</v>
      </c>
      <c r="J13" s="3" t="s">
        <v>29</v>
      </c>
      <c r="K13" s="4">
        <f>C13*'Optimization Model'!C$5</f>
        <v>20</v>
      </c>
      <c r="L13" s="4">
        <f>D13*'Optimization Model'!D$5</f>
        <v>0</v>
      </c>
      <c r="M13" s="4">
        <f>E13*'Optimization Model'!E$5</f>
        <v>0</v>
      </c>
      <c r="N13" s="4">
        <f>F13*'Optimization Model'!F$5</f>
        <v>0</v>
      </c>
      <c r="O13" s="4">
        <f>G13*'Optimization Model'!G$5</f>
        <v>0</v>
      </c>
      <c r="P13" s="4">
        <f>H13*'Optimization Model'!H$5</f>
        <v>0</v>
      </c>
      <c r="Q13" s="4">
        <f t="shared" si="0"/>
        <v>20</v>
      </c>
      <c r="R13" s="8"/>
      <c r="S13" s="3" t="s">
        <v>29</v>
      </c>
      <c r="T13" s="4">
        <f>C13*'Optimization Model'!C$6</f>
        <v>0</v>
      </c>
      <c r="U13" s="4">
        <f>D13*'Optimization Model'!D$6</f>
        <v>17</v>
      </c>
      <c r="V13" s="4">
        <f>E13*'Optimization Model'!E$6</f>
        <v>0</v>
      </c>
      <c r="W13" s="4">
        <f>F13*'Optimization Model'!F$6</f>
        <v>0</v>
      </c>
      <c r="X13" s="4">
        <f>G13*'Optimization Model'!G$6</f>
        <v>0</v>
      </c>
      <c r="Y13" s="4">
        <f>H13*'Optimization Model'!H$6</f>
        <v>0</v>
      </c>
      <c r="Z13" s="4">
        <f t="shared" si="1"/>
        <v>17</v>
      </c>
      <c r="AB13" s="3" t="s">
        <v>29</v>
      </c>
      <c r="AC13" s="4">
        <f>C13*'Optimization Model'!C$7</f>
        <v>20</v>
      </c>
      <c r="AD13" s="4">
        <f>D13*'Optimization Model'!D$7</f>
        <v>0</v>
      </c>
      <c r="AE13" s="4">
        <f>E13*'Optimization Model'!E$7</f>
        <v>0</v>
      </c>
      <c r="AF13" s="4">
        <f>F13*'Optimization Model'!F$7</f>
        <v>0</v>
      </c>
      <c r="AG13" s="4">
        <f>G13*'Optimization Model'!G$7</f>
        <v>0</v>
      </c>
      <c r="AH13" s="4">
        <f>H13*'Optimization Model'!H$7</f>
        <v>0</v>
      </c>
      <c r="AI13" s="4">
        <f t="shared" si="2"/>
        <v>20</v>
      </c>
      <c r="AK13" s="3" t="s">
        <v>29</v>
      </c>
      <c r="AL13" s="4">
        <f>C13*'Optimization Model'!C$8</f>
        <v>0</v>
      </c>
      <c r="AM13" s="4">
        <f>D13*'Optimization Model'!D$8</f>
        <v>17</v>
      </c>
      <c r="AN13" s="4">
        <f>E13*'Optimization Model'!E$8</f>
        <v>0</v>
      </c>
      <c r="AO13" s="4">
        <f>F13*'Optimization Model'!F$8</f>
        <v>0</v>
      </c>
      <c r="AP13" s="4">
        <f>G13*'Optimization Model'!G$8</f>
        <v>0</v>
      </c>
      <c r="AQ13" s="4">
        <f>H13*'Optimization Model'!H$8</f>
        <v>9</v>
      </c>
      <c r="AR13" s="4">
        <f t="shared" si="3"/>
        <v>26</v>
      </c>
      <c r="AT13" s="3" t="s">
        <v>29</v>
      </c>
      <c r="AU13" s="4">
        <f>C13*'Optimization Model'!C$9</f>
        <v>20</v>
      </c>
      <c r="AV13" s="4">
        <f>D13*'Optimization Model'!D$9</f>
        <v>0</v>
      </c>
      <c r="AW13" s="4">
        <f>E13*'Optimization Model'!E$9</f>
        <v>0</v>
      </c>
      <c r="AX13" s="4">
        <f>F13*'Optimization Model'!F$9</f>
        <v>8</v>
      </c>
      <c r="AY13" s="4">
        <f>G13*'Optimization Model'!G$9</f>
        <v>0</v>
      </c>
      <c r="AZ13" s="4">
        <f>H13*'Optimization Model'!H$9</f>
        <v>0</v>
      </c>
      <c r="BA13" s="4">
        <f t="shared" si="4"/>
        <v>28</v>
      </c>
      <c r="BC13" s="3" t="s">
        <v>29</v>
      </c>
      <c r="BD13" s="4">
        <f>C13*'Optimization Model'!C$10</f>
        <v>0</v>
      </c>
      <c r="BE13" s="4">
        <f>D13*'Optimization Model'!D$10</f>
        <v>17</v>
      </c>
      <c r="BF13" s="4">
        <f>E13*'Optimization Model'!E$10</f>
        <v>0</v>
      </c>
      <c r="BG13" s="4">
        <f>F13*'Optimization Model'!F$10</f>
        <v>8</v>
      </c>
      <c r="BH13" s="4">
        <f>G13*'Optimization Model'!G$10</f>
        <v>0</v>
      </c>
      <c r="BI13" s="4">
        <f>H13*'Optimization Model'!H$10</f>
        <v>0</v>
      </c>
      <c r="BJ13" s="4">
        <f t="shared" si="5"/>
        <v>25</v>
      </c>
      <c r="BL13" s="3" t="s">
        <v>29</v>
      </c>
      <c r="BM13" s="4">
        <f>C13*'Optimization Model'!C$11</f>
        <v>0</v>
      </c>
      <c r="BN13" s="4">
        <f>D13*'Optimization Model'!D$11</f>
        <v>0</v>
      </c>
      <c r="BO13" s="4">
        <f>E13*'Optimization Model'!E$11</f>
        <v>8</v>
      </c>
      <c r="BP13" s="4">
        <f>F13*'Optimization Model'!F$11</f>
        <v>0</v>
      </c>
      <c r="BQ13" s="4">
        <f>G13*'Optimization Model'!G$11</f>
        <v>10</v>
      </c>
      <c r="BR13" s="4">
        <f>H13*'Optimization Model'!H$11</f>
        <v>0</v>
      </c>
      <c r="BS13" s="4">
        <f t="shared" si="6"/>
        <v>18</v>
      </c>
      <c r="BU13" s="3" t="s">
        <v>29</v>
      </c>
      <c r="BV13" s="4">
        <f>C13*'Optimization Model'!C$12</f>
        <v>0</v>
      </c>
      <c r="BW13" s="4">
        <f>D13*'Optimization Model'!D$12</f>
        <v>0</v>
      </c>
      <c r="BX13" s="4">
        <f>E13*'Optimization Model'!E$12</f>
        <v>0</v>
      </c>
      <c r="BY13" s="4">
        <f>F13*'Optimization Model'!F$12</f>
        <v>0</v>
      </c>
      <c r="BZ13" s="4">
        <f>G13*'Optimization Model'!G$12</f>
        <v>10</v>
      </c>
      <c r="CA13" s="4">
        <f>H13*'Optimization Model'!H$12</f>
        <v>9</v>
      </c>
      <c r="CB13" s="4">
        <f t="shared" si="7"/>
        <v>19</v>
      </c>
      <c r="CD13" s="3" t="s">
        <v>29</v>
      </c>
      <c r="CE13" s="4">
        <f>C13*'Optimization Model'!C$13</f>
        <v>20</v>
      </c>
      <c r="CF13" s="4">
        <f>D13*'Optimization Model'!D$13</f>
        <v>0</v>
      </c>
      <c r="CG13" s="4">
        <f>E13*'Optimization Model'!E$13</f>
        <v>0</v>
      </c>
      <c r="CH13" s="4">
        <f>F13*'Optimization Model'!F$13</f>
        <v>0</v>
      </c>
      <c r="CI13" s="4">
        <f>G13*'Optimization Model'!G$13</f>
        <v>0</v>
      </c>
      <c r="CJ13" s="4">
        <f>H13*'Optimization Model'!H$13</f>
        <v>0</v>
      </c>
      <c r="CK13" s="4">
        <f t="shared" si="8"/>
        <v>20</v>
      </c>
      <c r="CM13" s="3" t="s">
        <v>29</v>
      </c>
      <c r="CN13" s="4">
        <f>C13*'Optimization Model'!C$14</f>
        <v>0</v>
      </c>
      <c r="CO13" s="4">
        <f>D13*'Optimization Model'!D$14</f>
        <v>17</v>
      </c>
      <c r="CP13" s="4">
        <f>E13*'Optimization Model'!E$14</f>
        <v>0</v>
      </c>
      <c r="CQ13" s="4">
        <f>F13*'Optimization Model'!F$14</f>
        <v>0</v>
      </c>
      <c r="CR13" s="4">
        <f>G13*'Optimization Model'!G$14</f>
        <v>0</v>
      </c>
      <c r="CS13" s="4">
        <f>H13*'Optimization Model'!H$14</f>
        <v>0</v>
      </c>
      <c r="CT13" s="4">
        <f t="shared" si="9"/>
        <v>17</v>
      </c>
      <c r="CV13" s="3" t="s">
        <v>29</v>
      </c>
      <c r="CW13" s="4">
        <f>C13*'Optimization Model'!C$15</f>
        <v>0</v>
      </c>
      <c r="CX13" s="4">
        <f>D13*'Optimization Model'!D$15</f>
        <v>0</v>
      </c>
      <c r="CY13" s="4">
        <f>E13*'Optimization Model'!E$15</f>
        <v>0</v>
      </c>
      <c r="CZ13" s="4">
        <f>F13*'Optimization Model'!F$15</f>
        <v>8</v>
      </c>
      <c r="DA13" s="4">
        <f>G13*'Optimization Model'!G$15</f>
        <v>10</v>
      </c>
      <c r="DB13" s="4">
        <f>H13*'Optimization Model'!H$15</f>
        <v>0</v>
      </c>
      <c r="DC13" s="4">
        <f t="shared" si="10"/>
        <v>18</v>
      </c>
      <c r="DE13" s="3" t="s">
        <v>29</v>
      </c>
      <c r="DF13" s="4">
        <f>C13*'Optimization Model'!C$16</f>
        <v>0</v>
      </c>
      <c r="DG13" s="4">
        <f>D13*'Optimization Model'!D$16</f>
        <v>0</v>
      </c>
      <c r="DH13" s="4">
        <f>E13*'Optimization Model'!E$16</f>
        <v>8</v>
      </c>
      <c r="DI13" s="4">
        <f>F13*'Optimization Model'!F$16</f>
        <v>0</v>
      </c>
      <c r="DJ13" s="4">
        <f>G13*'Optimization Model'!G$16</f>
        <v>0</v>
      </c>
      <c r="DK13" s="4">
        <f>H13*'Optimization Model'!H$16</f>
        <v>0</v>
      </c>
      <c r="DL13" s="4">
        <f t="shared" si="11"/>
        <v>8</v>
      </c>
      <c r="DN13" s="3" t="s">
        <v>29</v>
      </c>
      <c r="DO13" s="4">
        <f>C13*'Optimization Model'!C$17</f>
        <v>0</v>
      </c>
      <c r="DP13" s="4">
        <f>D13*'Optimization Model'!D$17</f>
        <v>0</v>
      </c>
      <c r="DQ13" s="4">
        <f>E13*'Optimization Model'!E$17</f>
        <v>8</v>
      </c>
      <c r="DR13" s="4">
        <f>F13*'Optimization Model'!F$17</f>
        <v>0</v>
      </c>
      <c r="DS13" s="4">
        <f>G13*'Optimization Model'!G$17</f>
        <v>10</v>
      </c>
      <c r="DT13" s="4">
        <f>H13*'Optimization Model'!H$17</f>
        <v>0</v>
      </c>
      <c r="DU13" s="4">
        <f t="shared" si="12"/>
        <v>18</v>
      </c>
      <c r="DW13" s="3" t="s">
        <v>29</v>
      </c>
      <c r="DX13" s="4">
        <f>C13*'Optimization Model'!C$18</f>
        <v>0</v>
      </c>
      <c r="DY13" s="4">
        <f>D13*'Optimization Model'!D$18</f>
        <v>0</v>
      </c>
      <c r="DZ13" s="4">
        <f>E13*'Optimization Model'!E$18</f>
        <v>8</v>
      </c>
      <c r="EA13" s="4">
        <f>F13*'Optimization Model'!F$18</f>
        <v>8</v>
      </c>
      <c r="EB13" s="4">
        <f>G13*'Optimization Model'!G$18</f>
        <v>0</v>
      </c>
      <c r="EC13" s="4">
        <f>H13*'Optimization Model'!H$18</f>
        <v>0</v>
      </c>
      <c r="ED13" s="4">
        <f t="shared" si="13"/>
        <v>16</v>
      </c>
      <c r="EF13" s="3" t="s">
        <v>29</v>
      </c>
      <c r="EG13" s="4">
        <f>C13*'Optimization Model'!C$19</f>
        <v>0</v>
      </c>
      <c r="EH13" s="4">
        <f>D13*'Optimization Model'!D$19</f>
        <v>0</v>
      </c>
      <c r="EI13" s="4">
        <f>E13*'Optimization Model'!E$19</f>
        <v>0</v>
      </c>
      <c r="EJ13" s="4">
        <f>F13*'Optimization Model'!F$19</f>
        <v>0</v>
      </c>
      <c r="EK13" s="4">
        <f>G13*'Optimization Model'!G$19</f>
        <v>0</v>
      </c>
      <c r="EL13" s="4">
        <f>H13*'Optimization Model'!H$19</f>
        <v>9</v>
      </c>
      <c r="EM13" s="4">
        <f t="shared" si="14"/>
        <v>9</v>
      </c>
      <c r="EO13" s="3" t="s">
        <v>29</v>
      </c>
      <c r="EP13" s="4">
        <f>C13*'Optimization Model'!C$20</f>
        <v>0</v>
      </c>
      <c r="EQ13" s="4">
        <f>D13*'Optimization Model'!D$20</f>
        <v>0</v>
      </c>
      <c r="ER13" s="4">
        <f>E13*'Optimization Model'!E$20</f>
        <v>0</v>
      </c>
      <c r="ES13" s="4">
        <f>F13*'Optimization Model'!F$20</f>
        <v>0</v>
      </c>
      <c r="ET13" s="4">
        <f>G13*'Optimization Model'!G$20</f>
        <v>0</v>
      </c>
      <c r="EU13" s="4">
        <f>H13*'Optimization Model'!H$20</f>
        <v>9</v>
      </c>
      <c r="EV13" s="4">
        <f t="shared" si="15"/>
        <v>9</v>
      </c>
    </row>
    <row r="14" spans="2:152" x14ac:dyDescent="0.35">
      <c r="B14" s="3" t="s">
        <v>30</v>
      </c>
      <c r="C14" s="4">
        <f>'Data- Refined'!U14</f>
        <v>14</v>
      </c>
      <c r="D14" s="4">
        <f>'Data- Refined'!V14</f>
        <v>9</v>
      </c>
      <c r="E14" s="4">
        <f>'Data- Refined'!W14</f>
        <v>8</v>
      </c>
      <c r="F14" s="4">
        <f>'Data- Refined'!X14</f>
        <v>10</v>
      </c>
      <c r="G14" s="4">
        <f>'Data- Refined'!Y14</f>
        <v>6</v>
      </c>
      <c r="H14" s="4">
        <f>'Data- Refined'!Z14</f>
        <v>2</v>
      </c>
      <c r="J14" s="3" t="s">
        <v>30</v>
      </c>
      <c r="K14" s="4">
        <f>C14*'Optimization Model'!C$5</f>
        <v>14</v>
      </c>
      <c r="L14" s="4">
        <f>D14*'Optimization Model'!D$5</f>
        <v>0</v>
      </c>
      <c r="M14" s="4">
        <f>E14*'Optimization Model'!E$5</f>
        <v>0</v>
      </c>
      <c r="N14" s="4">
        <f>F14*'Optimization Model'!F$5</f>
        <v>0</v>
      </c>
      <c r="O14" s="4">
        <f>G14*'Optimization Model'!G$5</f>
        <v>0</v>
      </c>
      <c r="P14" s="4">
        <f>H14*'Optimization Model'!H$5</f>
        <v>0</v>
      </c>
      <c r="Q14" s="4">
        <f t="shared" si="0"/>
        <v>14</v>
      </c>
      <c r="R14" s="8"/>
      <c r="S14" s="3" t="s">
        <v>30</v>
      </c>
      <c r="T14" s="4">
        <f>C14*'Optimization Model'!C$6</f>
        <v>0</v>
      </c>
      <c r="U14" s="4">
        <f>D14*'Optimization Model'!D$6</f>
        <v>9</v>
      </c>
      <c r="V14" s="4">
        <f>E14*'Optimization Model'!E$6</f>
        <v>0</v>
      </c>
      <c r="W14" s="4">
        <f>F14*'Optimization Model'!F$6</f>
        <v>0</v>
      </c>
      <c r="X14" s="4">
        <f>G14*'Optimization Model'!G$6</f>
        <v>0</v>
      </c>
      <c r="Y14" s="4">
        <f>H14*'Optimization Model'!H$6</f>
        <v>0</v>
      </c>
      <c r="Z14" s="4">
        <f t="shared" si="1"/>
        <v>9</v>
      </c>
      <c r="AB14" s="3" t="s">
        <v>30</v>
      </c>
      <c r="AC14" s="4">
        <f>C14*'Optimization Model'!C$7</f>
        <v>14</v>
      </c>
      <c r="AD14" s="4">
        <f>D14*'Optimization Model'!D$7</f>
        <v>0</v>
      </c>
      <c r="AE14" s="4">
        <f>E14*'Optimization Model'!E$7</f>
        <v>0</v>
      </c>
      <c r="AF14" s="4">
        <f>F14*'Optimization Model'!F$7</f>
        <v>0</v>
      </c>
      <c r="AG14" s="4">
        <f>G14*'Optimization Model'!G$7</f>
        <v>0</v>
      </c>
      <c r="AH14" s="4">
        <f>H14*'Optimization Model'!H$7</f>
        <v>0</v>
      </c>
      <c r="AI14" s="4">
        <f t="shared" si="2"/>
        <v>14</v>
      </c>
      <c r="AK14" s="3" t="s">
        <v>30</v>
      </c>
      <c r="AL14" s="4">
        <f>C14*'Optimization Model'!C$8</f>
        <v>0</v>
      </c>
      <c r="AM14" s="4">
        <f>D14*'Optimization Model'!D$8</f>
        <v>9</v>
      </c>
      <c r="AN14" s="4">
        <f>E14*'Optimization Model'!E$8</f>
        <v>0</v>
      </c>
      <c r="AO14" s="4">
        <f>F14*'Optimization Model'!F$8</f>
        <v>0</v>
      </c>
      <c r="AP14" s="4">
        <f>G14*'Optimization Model'!G$8</f>
        <v>0</v>
      </c>
      <c r="AQ14" s="4">
        <f>H14*'Optimization Model'!H$8</f>
        <v>2</v>
      </c>
      <c r="AR14" s="4">
        <f t="shared" si="3"/>
        <v>11</v>
      </c>
      <c r="AT14" s="3" t="s">
        <v>30</v>
      </c>
      <c r="AU14" s="4">
        <f>C14*'Optimization Model'!C$9</f>
        <v>14</v>
      </c>
      <c r="AV14" s="4">
        <f>D14*'Optimization Model'!D$9</f>
        <v>0</v>
      </c>
      <c r="AW14" s="4">
        <f>E14*'Optimization Model'!E$9</f>
        <v>0</v>
      </c>
      <c r="AX14" s="4">
        <f>F14*'Optimization Model'!F$9</f>
        <v>10</v>
      </c>
      <c r="AY14" s="4">
        <f>G14*'Optimization Model'!G$9</f>
        <v>0</v>
      </c>
      <c r="AZ14" s="4">
        <f>H14*'Optimization Model'!H$9</f>
        <v>0</v>
      </c>
      <c r="BA14" s="4">
        <f t="shared" si="4"/>
        <v>24</v>
      </c>
      <c r="BC14" s="3" t="s">
        <v>30</v>
      </c>
      <c r="BD14" s="4">
        <f>C14*'Optimization Model'!C$10</f>
        <v>0</v>
      </c>
      <c r="BE14" s="4">
        <f>D14*'Optimization Model'!D$10</f>
        <v>9</v>
      </c>
      <c r="BF14" s="4">
        <f>E14*'Optimization Model'!E$10</f>
        <v>0</v>
      </c>
      <c r="BG14" s="4">
        <f>F14*'Optimization Model'!F$10</f>
        <v>10</v>
      </c>
      <c r="BH14" s="4">
        <f>G14*'Optimization Model'!G$10</f>
        <v>0</v>
      </c>
      <c r="BI14" s="4">
        <f>H14*'Optimization Model'!H$10</f>
        <v>0</v>
      </c>
      <c r="BJ14" s="4">
        <f t="shared" si="5"/>
        <v>19</v>
      </c>
      <c r="BL14" s="3" t="s">
        <v>30</v>
      </c>
      <c r="BM14" s="4">
        <f>C14*'Optimization Model'!C$11</f>
        <v>0</v>
      </c>
      <c r="BN14" s="4">
        <f>D14*'Optimization Model'!D$11</f>
        <v>0</v>
      </c>
      <c r="BO14" s="4">
        <f>E14*'Optimization Model'!E$11</f>
        <v>8</v>
      </c>
      <c r="BP14" s="4">
        <f>F14*'Optimization Model'!F$11</f>
        <v>0</v>
      </c>
      <c r="BQ14" s="4">
        <f>G14*'Optimization Model'!G$11</f>
        <v>6</v>
      </c>
      <c r="BR14" s="4">
        <f>H14*'Optimization Model'!H$11</f>
        <v>0</v>
      </c>
      <c r="BS14" s="4">
        <f t="shared" si="6"/>
        <v>14</v>
      </c>
      <c r="BU14" s="3" t="s">
        <v>30</v>
      </c>
      <c r="BV14" s="4">
        <f>C14*'Optimization Model'!C$12</f>
        <v>0</v>
      </c>
      <c r="BW14" s="4">
        <f>D14*'Optimization Model'!D$12</f>
        <v>0</v>
      </c>
      <c r="BX14" s="4">
        <f>E14*'Optimization Model'!E$12</f>
        <v>0</v>
      </c>
      <c r="BY14" s="4">
        <f>F14*'Optimization Model'!F$12</f>
        <v>0</v>
      </c>
      <c r="BZ14" s="4">
        <f>G14*'Optimization Model'!G$12</f>
        <v>6</v>
      </c>
      <c r="CA14" s="4">
        <f>H14*'Optimization Model'!H$12</f>
        <v>2</v>
      </c>
      <c r="CB14" s="4">
        <f t="shared" si="7"/>
        <v>8</v>
      </c>
      <c r="CD14" s="3" t="s">
        <v>30</v>
      </c>
      <c r="CE14" s="4">
        <f>C14*'Optimization Model'!C$13</f>
        <v>14</v>
      </c>
      <c r="CF14" s="4">
        <f>D14*'Optimization Model'!D$13</f>
        <v>0</v>
      </c>
      <c r="CG14" s="4">
        <f>E14*'Optimization Model'!E$13</f>
        <v>0</v>
      </c>
      <c r="CH14" s="4">
        <f>F14*'Optimization Model'!F$13</f>
        <v>0</v>
      </c>
      <c r="CI14" s="4">
        <f>G14*'Optimization Model'!G$13</f>
        <v>0</v>
      </c>
      <c r="CJ14" s="4">
        <f>H14*'Optimization Model'!H$13</f>
        <v>0</v>
      </c>
      <c r="CK14" s="4">
        <f t="shared" si="8"/>
        <v>14</v>
      </c>
      <c r="CM14" s="3" t="s">
        <v>30</v>
      </c>
      <c r="CN14" s="4">
        <f>C14*'Optimization Model'!C$14</f>
        <v>0</v>
      </c>
      <c r="CO14" s="4">
        <f>D14*'Optimization Model'!D$14</f>
        <v>9</v>
      </c>
      <c r="CP14" s="4">
        <f>E14*'Optimization Model'!E$14</f>
        <v>0</v>
      </c>
      <c r="CQ14" s="4">
        <f>F14*'Optimization Model'!F$14</f>
        <v>0</v>
      </c>
      <c r="CR14" s="4">
        <f>G14*'Optimization Model'!G$14</f>
        <v>0</v>
      </c>
      <c r="CS14" s="4">
        <f>H14*'Optimization Model'!H$14</f>
        <v>0</v>
      </c>
      <c r="CT14" s="4">
        <f t="shared" si="9"/>
        <v>9</v>
      </c>
      <c r="CV14" s="3" t="s">
        <v>30</v>
      </c>
      <c r="CW14" s="4">
        <f>C14*'Optimization Model'!C$15</f>
        <v>0</v>
      </c>
      <c r="CX14" s="4">
        <f>D14*'Optimization Model'!D$15</f>
        <v>0</v>
      </c>
      <c r="CY14" s="4">
        <f>E14*'Optimization Model'!E$15</f>
        <v>0</v>
      </c>
      <c r="CZ14" s="4">
        <f>F14*'Optimization Model'!F$15</f>
        <v>10</v>
      </c>
      <c r="DA14" s="4">
        <f>G14*'Optimization Model'!G$15</f>
        <v>6</v>
      </c>
      <c r="DB14" s="4">
        <f>H14*'Optimization Model'!H$15</f>
        <v>0</v>
      </c>
      <c r="DC14" s="4">
        <f t="shared" si="10"/>
        <v>16</v>
      </c>
      <c r="DE14" s="3" t="s">
        <v>30</v>
      </c>
      <c r="DF14" s="4">
        <f>C14*'Optimization Model'!C$16</f>
        <v>0</v>
      </c>
      <c r="DG14" s="4">
        <f>D14*'Optimization Model'!D$16</f>
        <v>0</v>
      </c>
      <c r="DH14" s="4">
        <f>E14*'Optimization Model'!E$16</f>
        <v>8</v>
      </c>
      <c r="DI14" s="4">
        <f>F14*'Optimization Model'!F$16</f>
        <v>0</v>
      </c>
      <c r="DJ14" s="4">
        <f>G14*'Optimization Model'!G$16</f>
        <v>0</v>
      </c>
      <c r="DK14" s="4">
        <f>H14*'Optimization Model'!H$16</f>
        <v>0</v>
      </c>
      <c r="DL14" s="4">
        <f t="shared" si="11"/>
        <v>8</v>
      </c>
      <c r="DN14" s="3" t="s">
        <v>30</v>
      </c>
      <c r="DO14" s="4">
        <f>C14*'Optimization Model'!C$17</f>
        <v>0</v>
      </c>
      <c r="DP14" s="4">
        <f>D14*'Optimization Model'!D$17</f>
        <v>0</v>
      </c>
      <c r="DQ14" s="4">
        <f>E14*'Optimization Model'!E$17</f>
        <v>8</v>
      </c>
      <c r="DR14" s="4">
        <f>F14*'Optimization Model'!F$17</f>
        <v>0</v>
      </c>
      <c r="DS14" s="4">
        <f>G14*'Optimization Model'!G$17</f>
        <v>6</v>
      </c>
      <c r="DT14" s="4">
        <f>H14*'Optimization Model'!H$17</f>
        <v>0</v>
      </c>
      <c r="DU14" s="4">
        <f t="shared" si="12"/>
        <v>14</v>
      </c>
      <c r="DW14" s="3" t="s">
        <v>30</v>
      </c>
      <c r="DX14" s="4">
        <f>C14*'Optimization Model'!C$18</f>
        <v>0</v>
      </c>
      <c r="DY14" s="4">
        <f>D14*'Optimization Model'!D$18</f>
        <v>0</v>
      </c>
      <c r="DZ14" s="4">
        <f>E14*'Optimization Model'!E$18</f>
        <v>8</v>
      </c>
      <c r="EA14" s="4">
        <f>F14*'Optimization Model'!F$18</f>
        <v>10</v>
      </c>
      <c r="EB14" s="4">
        <f>G14*'Optimization Model'!G$18</f>
        <v>0</v>
      </c>
      <c r="EC14" s="4">
        <f>H14*'Optimization Model'!H$18</f>
        <v>0</v>
      </c>
      <c r="ED14" s="4">
        <f t="shared" si="13"/>
        <v>18</v>
      </c>
      <c r="EF14" s="3" t="s">
        <v>30</v>
      </c>
      <c r="EG14" s="4">
        <f>C14*'Optimization Model'!C$19</f>
        <v>0</v>
      </c>
      <c r="EH14" s="4">
        <f>D14*'Optimization Model'!D$19</f>
        <v>0</v>
      </c>
      <c r="EI14" s="4">
        <f>E14*'Optimization Model'!E$19</f>
        <v>0</v>
      </c>
      <c r="EJ14" s="4">
        <f>F14*'Optimization Model'!F$19</f>
        <v>0</v>
      </c>
      <c r="EK14" s="4">
        <f>G14*'Optimization Model'!G$19</f>
        <v>0</v>
      </c>
      <c r="EL14" s="4">
        <f>H14*'Optimization Model'!H$19</f>
        <v>2</v>
      </c>
      <c r="EM14" s="4">
        <f t="shared" si="14"/>
        <v>2</v>
      </c>
      <c r="EO14" s="3" t="s">
        <v>30</v>
      </c>
      <c r="EP14" s="4">
        <f>C14*'Optimization Model'!C$20</f>
        <v>0</v>
      </c>
      <c r="EQ14" s="4">
        <f>D14*'Optimization Model'!D$20</f>
        <v>0</v>
      </c>
      <c r="ER14" s="4">
        <f>E14*'Optimization Model'!E$20</f>
        <v>0</v>
      </c>
      <c r="ES14" s="4">
        <f>F14*'Optimization Model'!F$20</f>
        <v>0</v>
      </c>
      <c r="ET14" s="4">
        <f>G14*'Optimization Model'!G$20</f>
        <v>0</v>
      </c>
      <c r="EU14" s="4">
        <f>H14*'Optimization Model'!H$20</f>
        <v>2</v>
      </c>
      <c r="EV14" s="4">
        <f t="shared" si="15"/>
        <v>2</v>
      </c>
    </row>
    <row r="15" spans="2:152" x14ac:dyDescent="0.35">
      <c r="B15" s="3" t="s">
        <v>31</v>
      </c>
      <c r="C15" s="4">
        <f>'Data- Refined'!U15</f>
        <v>7</v>
      </c>
      <c r="D15" s="4">
        <f>'Data- Refined'!V15</f>
        <v>9</v>
      </c>
      <c r="E15" s="4">
        <f>'Data- Refined'!W15</f>
        <v>5</v>
      </c>
      <c r="F15" s="4">
        <f>'Data- Refined'!X15</f>
        <v>3</v>
      </c>
      <c r="G15" s="4">
        <f>'Data- Refined'!Y15</f>
        <v>2</v>
      </c>
      <c r="H15" s="4">
        <f>'Data- Refined'!Z15</f>
        <v>0</v>
      </c>
      <c r="J15" s="3" t="s">
        <v>31</v>
      </c>
      <c r="K15" s="4">
        <f>C15*'Optimization Model'!C$5</f>
        <v>7</v>
      </c>
      <c r="L15" s="4">
        <f>D15*'Optimization Model'!D$5</f>
        <v>0</v>
      </c>
      <c r="M15" s="4">
        <f>E15*'Optimization Model'!E$5</f>
        <v>0</v>
      </c>
      <c r="N15" s="4">
        <f>F15*'Optimization Model'!F$5</f>
        <v>0</v>
      </c>
      <c r="O15" s="4">
        <f>G15*'Optimization Model'!G$5</f>
        <v>0</v>
      </c>
      <c r="P15" s="4">
        <f>H15*'Optimization Model'!H$5</f>
        <v>0</v>
      </c>
      <c r="Q15" s="4">
        <f t="shared" si="0"/>
        <v>7</v>
      </c>
      <c r="R15" s="8"/>
      <c r="S15" s="3" t="s">
        <v>31</v>
      </c>
      <c r="T15" s="4">
        <f>C15*'Optimization Model'!C$6</f>
        <v>0</v>
      </c>
      <c r="U15" s="4">
        <f>D15*'Optimization Model'!D$6</f>
        <v>9</v>
      </c>
      <c r="V15" s="4">
        <f>E15*'Optimization Model'!E$6</f>
        <v>0</v>
      </c>
      <c r="W15" s="4">
        <f>F15*'Optimization Model'!F$6</f>
        <v>0</v>
      </c>
      <c r="X15" s="4">
        <f>G15*'Optimization Model'!G$6</f>
        <v>0</v>
      </c>
      <c r="Y15" s="4">
        <f>H15*'Optimization Model'!H$6</f>
        <v>0</v>
      </c>
      <c r="Z15" s="4">
        <f t="shared" si="1"/>
        <v>9</v>
      </c>
      <c r="AB15" s="3" t="s">
        <v>31</v>
      </c>
      <c r="AC15" s="4">
        <f>C15*'Optimization Model'!C$7</f>
        <v>7</v>
      </c>
      <c r="AD15" s="4">
        <f>D15*'Optimization Model'!D$7</f>
        <v>0</v>
      </c>
      <c r="AE15" s="4">
        <f>E15*'Optimization Model'!E$7</f>
        <v>0</v>
      </c>
      <c r="AF15" s="4">
        <f>F15*'Optimization Model'!F$7</f>
        <v>0</v>
      </c>
      <c r="AG15" s="4">
        <f>G15*'Optimization Model'!G$7</f>
        <v>0</v>
      </c>
      <c r="AH15" s="4">
        <f>H15*'Optimization Model'!H$7</f>
        <v>0</v>
      </c>
      <c r="AI15" s="4">
        <f t="shared" si="2"/>
        <v>7</v>
      </c>
      <c r="AK15" s="3" t="s">
        <v>31</v>
      </c>
      <c r="AL15" s="4">
        <f>C15*'Optimization Model'!C$8</f>
        <v>0</v>
      </c>
      <c r="AM15" s="4">
        <f>D15*'Optimization Model'!D$8</f>
        <v>9</v>
      </c>
      <c r="AN15" s="4">
        <f>E15*'Optimization Model'!E$8</f>
        <v>0</v>
      </c>
      <c r="AO15" s="4">
        <f>F15*'Optimization Model'!F$8</f>
        <v>0</v>
      </c>
      <c r="AP15" s="4">
        <f>G15*'Optimization Model'!G$8</f>
        <v>0</v>
      </c>
      <c r="AQ15" s="4">
        <f>H15*'Optimization Model'!H$8</f>
        <v>0</v>
      </c>
      <c r="AR15" s="4">
        <f t="shared" si="3"/>
        <v>9</v>
      </c>
      <c r="AT15" s="3" t="s">
        <v>31</v>
      </c>
      <c r="AU15" s="4">
        <f>C15*'Optimization Model'!C$9</f>
        <v>7</v>
      </c>
      <c r="AV15" s="4">
        <f>D15*'Optimization Model'!D$9</f>
        <v>0</v>
      </c>
      <c r="AW15" s="4">
        <f>E15*'Optimization Model'!E$9</f>
        <v>0</v>
      </c>
      <c r="AX15" s="4">
        <f>F15*'Optimization Model'!F$9</f>
        <v>3</v>
      </c>
      <c r="AY15" s="4">
        <f>G15*'Optimization Model'!G$9</f>
        <v>0</v>
      </c>
      <c r="AZ15" s="4">
        <f>H15*'Optimization Model'!H$9</f>
        <v>0</v>
      </c>
      <c r="BA15" s="4">
        <f t="shared" si="4"/>
        <v>10</v>
      </c>
      <c r="BC15" s="3" t="s">
        <v>31</v>
      </c>
      <c r="BD15" s="4">
        <f>C15*'Optimization Model'!C$10</f>
        <v>0</v>
      </c>
      <c r="BE15" s="4">
        <f>D15*'Optimization Model'!D$10</f>
        <v>9</v>
      </c>
      <c r="BF15" s="4">
        <f>E15*'Optimization Model'!E$10</f>
        <v>0</v>
      </c>
      <c r="BG15" s="4">
        <f>F15*'Optimization Model'!F$10</f>
        <v>3</v>
      </c>
      <c r="BH15" s="4">
        <f>G15*'Optimization Model'!G$10</f>
        <v>0</v>
      </c>
      <c r="BI15" s="4">
        <f>H15*'Optimization Model'!H$10</f>
        <v>0</v>
      </c>
      <c r="BJ15" s="4">
        <f t="shared" si="5"/>
        <v>12</v>
      </c>
      <c r="BL15" s="3" t="s">
        <v>31</v>
      </c>
      <c r="BM15" s="4">
        <f>C15*'Optimization Model'!C$11</f>
        <v>0</v>
      </c>
      <c r="BN15" s="4">
        <f>D15*'Optimization Model'!D$11</f>
        <v>0</v>
      </c>
      <c r="BO15" s="4">
        <f>E15*'Optimization Model'!E$11</f>
        <v>5</v>
      </c>
      <c r="BP15" s="4">
        <f>F15*'Optimization Model'!F$11</f>
        <v>0</v>
      </c>
      <c r="BQ15" s="4">
        <f>G15*'Optimization Model'!G$11</f>
        <v>2</v>
      </c>
      <c r="BR15" s="4">
        <f>H15*'Optimization Model'!H$11</f>
        <v>0</v>
      </c>
      <c r="BS15" s="4">
        <f t="shared" si="6"/>
        <v>7</v>
      </c>
      <c r="BU15" s="3" t="s">
        <v>31</v>
      </c>
      <c r="BV15" s="4">
        <f>C15*'Optimization Model'!C$12</f>
        <v>0</v>
      </c>
      <c r="BW15" s="4">
        <f>D15*'Optimization Model'!D$12</f>
        <v>0</v>
      </c>
      <c r="BX15" s="4">
        <f>E15*'Optimization Model'!E$12</f>
        <v>0</v>
      </c>
      <c r="BY15" s="4">
        <f>F15*'Optimization Model'!F$12</f>
        <v>0</v>
      </c>
      <c r="BZ15" s="4">
        <f>G15*'Optimization Model'!G$12</f>
        <v>2</v>
      </c>
      <c r="CA15" s="4">
        <f>H15*'Optimization Model'!H$12</f>
        <v>0</v>
      </c>
      <c r="CB15" s="4">
        <f t="shared" si="7"/>
        <v>2</v>
      </c>
      <c r="CD15" s="3" t="s">
        <v>31</v>
      </c>
      <c r="CE15" s="4">
        <f>C15*'Optimization Model'!C$13</f>
        <v>7</v>
      </c>
      <c r="CF15" s="4">
        <f>D15*'Optimization Model'!D$13</f>
        <v>0</v>
      </c>
      <c r="CG15" s="4">
        <f>E15*'Optimization Model'!E$13</f>
        <v>0</v>
      </c>
      <c r="CH15" s="4">
        <f>F15*'Optimization Model'!F$13</f>
        <v>0</v>
      </c>
      <c r="CI15" s="4">
        <f>G15*'Optimization Model'!G$13</f>
        <v>0</v>
      </c>
      <c r="CJ15" s="4">
        <f>H15*'Optimization Model'!H$13</f>
        <v>0</v>
      </c>
      <c r="CK15" s="4">
        <f t="shared" si="8"/>
        <v>7</v>
      </c>
      <c r="CM15" s="3" t="s">
        <v>31</v>
      </c>
      <c r="CN15" s="4">
        <f>C15*'Optimization Model'!C$14</f>
        <v>0</v>
      </c>
      <c r="CO15" s="4">
        <f>D15*'Optimization Model'!D$14</f>
        <v>9</v>
      </c>
      <c r="CP15" s="4">
        <f>E15*'Optimization Model'!E$14</f>
        <v>0</v>
      </c>
      <c r="CQ15" s="4">
        <f>F15*'Optimization Model'!F$14</f>
        <v>0</v>
      </c>
      <c r="CR15" s="4">
        <f>G15*'Optimization Model'!G$14</f>
        <v>0</v>
      </c>
      <c r="CS15" s="4">
        <f>H15*'Optimization Model'!H$14</f>
        <v>0</v>
      </c>
      <c r="CT15" s="4">
        <f t="shared" si="9"/>
        <v>9</v>
      </c>
      <c r="CV15" s="3" t="s">
        <v>31</v>
      </c>
      <c r="CW15" s="4">
        <f>C15*'Optimization Model'!C$15</f>
        <v>0</v>
      </c>
      <c r="CX15" s="4">
        <f>D15*'Optimization Model'!D$15</f>
        <v>0</v>
      </c>
      <c r="CY15" s="4">
        <f>E15*'Optimization Model'!E$15</f>
        <v>0</v>
      </c>
      <c r="CZ15" s="4">
        <f>F15*'Optimization Model'!F$15</f>
        <v>3</v>
      </c>
      <c r="DA15" s="4">
        <f>G15*'Optimization Model'!G$15</f>
        <v>2</v>
      </c>
      <c r="DB15" s="4">
        <f>H15*'Optimization Model'!H$15</f>
        <v>0</v>
      </c>
      <c r="DC15" s="4">
        <f t="shared" si="10"/>
        <v>5</v>
      </c>
      <c r="DE15" s="3" t="s">
        <v>31</v>
      </c>
      <c r="DF15" s="4">
        <f>C15*'Optimization Model'!C$16</f>
        <v>0</v>
      </c>
      <c r="DG15" s="4">
        <f>D15*'Optimization Model'!D$16</f>
        <v>0</v>
      </c>
      <c r="DH15" s="4">
        <f>E15*'Optimization Model'!E$16</f>
        <v>5</v>
      </c>
      <c r="DI15" s="4">
        <f>F15*'Optimization Model'!F$16</f>
        <v>0</v>
      </c>
      <c r="DJ15" s="4">
        <f>G15*'Optimization Model'!G$16</f>
        <v>0</v>
      </c>
      <c r="DK15" s="4">
        <f>H15*'Optimization Model'!H$16</f>
        <v>0</v>
      </c>
      <c r="DL15" s="4">
        <f t="shared" si="11"/>
        <v>5</v>
      </c>
      <c r="DN15" s="3" t="s">
        <v>31</v>
      </c>
      <c r="DO15" s="4">
        <f>C15*'Optimization Model'!C$17</f>
        <v>0</v>
      </c>
      <c r="DP15" s="4">
        <f>D15*'Optimization Model'!D$17</f>
        <v>0</v>
      </c>
      <c r="DQ15" s="4">
        <f>E15*'Optimization Model'!E$17</f>
        <v>5</v>
      </c>
      <c r="DR15" s="4">
        <f>F15*'Optimization Model'!F$17</f>
        <v>0</v>
      </c>
      <c r="DS15" s="4">
        <f>G15*'Optimization Model'!G$17</f>
        <v>2</v>
      </c>
      <c r="DT15" s="4">
        <f>H15*'Optimization Model'!H$17</f>
        <v>0</v>
      </c>
      <c r="DU15" s="4">
        <f t="shared" si="12"/>
        <v>7</v>
      </c>
      <c r="DW15" s="3" t="s">
        <v>31</v>
      </c>
      <c r="DX15" s="4">
        <f>C15*'Optimization Model'!C$18</f>
        <v>0</v>
      </c>
      <c r="DY15" s="4">
        <f>D15*'Optimization Model'!D$18</f>
        <v>0</v>
      </c>
      <c r="DZ15" s="4">
        <f>E15*'Optimization Model'!E$18</f>
        <v>5</v>
      </c>
      <c r="EA15" s="4">
        <f>F15*'Optimization Model'!F$18</f>
        <v>3</v>
      </c>
      <c r="EB15" s="4">
        <f>G15*'Optimization Model'!G$18</f>
        <v>0</v>
      </c>
      <c r="EC15" s="4">
        <f>H15*'Optimization Model'!H$18</f>
        <v>0</v>
      </c>
      <c r="ED15" s="4">
        <f t="shared" si="13"/>
        <v>8</v>
      </c>
      <c r="EF15" s="3" t="s">
        <v>31</v>
      </c>
      <c r="EG15" s="4">
        <f>C15*'Optimization Model'!C$19</f>
        <v>0</v>
      </c>
      <c r="EH15" s="4">
        <f>D15*'Optimization Model'!D$19</f>
        <v>0</v>
      </c>
      <c r="EI15" s="4">
        <f>E15*'Optimization Model'!E$19</f>
        <v>0</v>
      </c>
      <c r="EJ15" s="4">
        <f>F15*'Optimization Model'!F$19</f>
        <v>0</v>
      </c>
      <c r="EK15" s="4">
        <f>G15*'Optimization Model'!G$19</f>
        <v>0</v>
      </c>
      <c r="EL15" s="4">
        <f>H15*'Optimization Model'!H$19</f>
        <v>0</v>
      </c>
      <c r="EM15" s="4">
        <f t="shared" si="14"/>
        <v>0</v>
      </c>
      <c r="EO15" s="3" t="s">
        <v>31</v>
      </c>
      <c r="EP15" s="4">
        <f>C15*'Optimization Model'!C$20</f>
        <v>0</v>
      </c>
      <c r="EQ15" s="4">
        <f>D15*'Optimization Model'!D$20</f>
        <v>0</v>
      </c>
      <c r="ER15" s="4">
        <f>E15*'Optimization Model'!E$20</f>
        <v>0</v>
      </c>
      <c r="ES15" s="4">
        <f>F15*'Optimization Model'!F$20</f>
        <v>0</v>
      </c>
      <c r="ET15" s="4">
        <f>G15*'Optimization Model'!G$20</f>
        <v>0</v>
      </c>
      <c r="EU15" s="4">
        <f>H15*'Optimization Model'!H$20</f>
        <v>0</v>
      </c>
      <c r="EV15" s="4">
        <f t="shared" si="15"/>
        <v>0</v>
      </c>
    </row>
    <row r="16" spans="2:152" x14ac:dyDescent="0.35">
      <c r="B16" s="3" t="s">
        <v>32</v>
      </c>
      <c r="C16" s="4">
        <f>'Data- Refined'!U16</f>
        <v>4</v>
      </c>
      <c r="D16" s="4">
        <f>'Data- Refined'!V16</f>
        <v>2</v>
      </c>
      <c r="E16" s="4">
        <f>'Data- Refined'!W16</f>
        <v>3</v>
      </c>
      <c r="F16" s="4">
        <f>'Data- Refined'!X16</f>
        <v>4</v>
      </c>
      <c r="G16" s="4">
        <f>'Data- Refined'!Y16</f>
        <v>4</v>
      </c>
      <c r="H16" s="4">
        <f>'Data- Refined'!Z16</f>
        <v>1</v>
      </c>
      <c r="J16" s="3" t="s">
        <v>32</v>
      </c>
      <c r="K16" s="4">
        <f>C16*'Optimization Model'!C$5</f>
        <v>4</v>
      </c>
      <c r="L16" s="4">
        <f>D16*'Optimization Model'!D$5</f>
        <v>0</v>
      </c>
      <c r="M16" s="4">
        <f>E16*'Optimization Model'!E$5</f>
        <v>0</v>
      </c>
      <c r="N16" s="4">
        <f>F16*'Optimization Model'!F$5</f>
        <v>0</v>
      </c>
      <c r="O16" s="4">
        <f>G16*'Optimization Model'!G$5</f>
        <v>0</v>
      </c>
      <c r="P16" s="4">
        <f>H16*'Optimization Model'!H$5</f>
        <v>0</v>
      </c>
      <c r="Q16" s="4">
        <f t="shared" si="0"/>
        <v>4</v>
      </c>
      <c r="R16" s="8"/>
      <c r="S16" s="3" t="s">
        <v>32</v>
      </c>
      <c r="T16" s="4">
        <f>C16*'Optimization Model'!C$6</f>
        <v>0</v>
      </c>
      <c r="U16" s="4">
        <f>D16*'Optimization Model'!D$6</f>
        <v>2</v>
      </c>
      <c r="V16" s="4">
        <f>E16*'Optimization Model'!E$6</f>
        <v>0</v>
      </c>
      <c r="W16" s="4">
        <f>F16*'Optimization Model'!F$6</f>
        <v>0</v>
      </c>
      <c r="X16" s="4">
        <f>G16*'Optimization Model'!G$6</f>
        <v>0</v>
      </c>
      <c r="Y16" s="4">
        <f>H16*'Optimization Model'!H$6</f>
        <v>0</v>
      </c>
      <c r="Z16" s="4">
        <f t="shared" si="1"/>
        <v>2</v>
      </c>
      <c r="AB16" s="3" t="s">
        <v>32</v>
      </c>
      <c r="AC16" s="4">
        <f>C16*'Optimization Model'!C$7</f>
        <v>4</v>
      </c>
      <c r="AD16" s="4">
        <f>D16*'Optimization Model'!D$7</f>
        <v>0</v>
      </c>
      <c r="AE16" s="4">
        <f>E16*'Optimization Model'!E$7</f>
        <v>0</v>
      </c>
      <c r="AF16" s="4">
        <f>F16*'Optimization Model'!F$7</f>
        <v>0</v>
      </c>
      <c r="AG16" s="4">
        <f>G16*'Optimization Model'!G$7</f>
        <v>0</v>
      </c>
      <c r="AH16" s="4">
        <f>H16*'Optimization Model'!H$7</f>
        <v>0</v>
      </c>
      <c r="AI16" s="4">
        <f t="shared" si="2"/>
        <v>4</v>
      </c>
      <c r="AK16" s="3" t="s">
        <v>32</v>
      </c>
      <c r="AL16" s="4">
        <f>C16*'Optimization Model'!C$8</f>
        <v>0</v>
      </c>
      <c r="AM16" s="4">
        <f>D16*'Optimization Model'!D$8</f>
        <v>2</v>
      </c>
      <c r="AN16" s="4">
        <f>E16*'Optimization Model'!E$8</f>
        <v>0</v>
      </c>
      <c r="AO16" s="4">
        <f>F16*'Optimization Model'!F$8</f>
        <v>0</v>
      </c>
      <c r="AP16" s="4">
        <f>G16*'Optimization Model'!G$8</f>
        <v>0</v>
      </c>
      <c r="AQ16" s="4">
        <f>H16*'Optimization Model'!H$8</f>
        <v>1</v>
      </c>
      <c r="AR16" s="4">
        <f t="shared" si="3"/>
        <v>3</v>
      </c>
      <c r="AT16" s="3" t="s">
        <v>32</v>
      </c>
      <c r="AU16" s="4">
        <f>C16*'Optimization Model'!C$9</f>
        <v>4</v>
      </c>
      <c r="AV16" s="4">
        <f>D16*'Optimization Model'!D$9</f>
        <v>0</v>
      </c>
      <c r="AW16" s="4">
        <f>E16*'Optimization Model'!E$9</f>
        <v>0</v>
      </c>
      <c r="AX16" s="4">
        <f>F16*'Optimization Model'!F$9</f>
        <v>4</v>
      </c>
      <c r="AY16" s="4">
        <f>G16*'Optimization Model'!G$9</f>
        <v>0</v>
      </c>
      <c r="AZ16" s="4">
        <f>H16*'Optimization Model'!H$9</f>
        <v>0</v>
      </c>
      <c r="BA16" s="4">
        <f t="shared" si="4"/>
        <v>8</v>
      </c>
      <c r="BC16" s="3" t="s">
        <v>32</v>
      </c>
      <c r="BD16" s="4">
        <f>C16*'Optimization Model'!C$10</f>
        <v>0</v>
      </c>
      <c r="BE16" s="4">
        <f>D16*'Optimization Model'!D$10</f>
        <v>2</v>
      </c>
      <c r="BF16" s="4">
        <f>E16*'Optimization Model'!E$10</f>
        <v>0</v>
      </c>
      <c r="BG16" s="4">
        <f>F16*'Optimization Model'!F$10</f>
        <v>4</v>
      </c>
      <c r="BH16" s="4">
        <f>G16*'Optimization Model'!G$10</f>
        <v>0</v>
      </c>
      <c r="BI16" s="4">
        <f>H16*'Optimization Model'!H$10</f>
        <v>0</v>
      </c>
      <c r="BJ16" s="4">
        <f t="shared" si="5"/>
        <v>6</v>
      </c>
      <c r="BL16" s="3" t="s">
        <v>32</v>
      </c>
      <c r="BM16" s="4">
        <f>C16*'Optimization Model'!C$11</f>
        <v>0</v>
      </c>
      <c r="BN16" s="4">
        <f>D16*'Optimization Model'!D$11</f>
        <v>0</v>
      </c>
      <c r="BO16" s="4">
        <f>E16*'Optimization Model'!E$11</f>
        <v>3</v>
      </c>
      <c r="BP16" s="4">
        <f>F16*'Optimization Model'!F$11</f>
        <v>0</v>
      </c>
      <c r="BQ16" s="4">
        <f>G16*'Optimization Model'!G$11</f>
        <v>4</v>
      </c>
      <c r="BR16" s="4">
        <f>H16*'Optimization Model'!H$11</f>
        <v>0</v>
      </c>
      <c r="BS16" s="4">
        <f t="shared" si="6"/>
        <v>7</v>
      </c>
      <c r="BU16" s="3" t="s">
        <v>32</v>
      </c>
      <c r="BV16" s="4">
        <f>C16*'Optimization Model'!C$12</f>
        <v>0</v>
      </c>
      <c r="BW16" s="4">
        <f>D16*'Optimization Model'!D$12</f>
        <v>0</v>
      </c>
      <c r="BX16" s="4">
        <f>E16*'Optimization Model'!E$12</f>
        <v>0</v>
      </c>
      <c r="BY16" s="4">
        <f>F16*'Optimization Model'!F$12</f>
        <v>0</v>
      </c>
      <c r="BZ16" s="4">
        <f>G16*'Optimization Model'!G$12</f>
        <v>4</v>
      </c>
      <c r="CA16" s="4">
        <f>H16*'Optimization Model'!H$12</f>
        <v>1</v>
      </c>
      <c r="CB16" s="4">
        <f t="shared" si="7"/>
        <v>5</v>
      </c>
      <c r="CD16" s="3" t="s">
        <v>32</v>
      </c>
      <c r="CE16" s="4">
        <f>C16*'Optimization Model'!C$13</f>
        <v>4</v>
      </c>
      <c r="CF16" s="4">
        <f>D16*'Optimization Model'!D$13</f>
        <v>0</v>
      </c>
      <c r="CG16" s="4">
        <f>E16*'Optimization Model'!E$13</f>
        <v>0</v>
      </c>
      <c r="CH16" s="4">
        <f>F16*'Optimization Model'!F$13</f>
        <v>0</v>
      </c>
      <c r="CI16" s="4">
        <f>G16*'Optimization Model'!G$13</f>
        <v>0</v>
      </c>
      <c r="CJ16" s="4">
        <f>H16*'Optimization Model'!H$13</f>
        <v>0</v>
      </c>
      <c r="CK16" s="4">
        <f t="shared" si="8"/>
        <v>4</v>
      </c>
      <c r="CM16" s="3" t="s">
        <v>32</v>
      </c>
      <c r="CN16" s="4">
        <f>C16*'Optimization Model'!C$14</f>
        <v>0</v>
      </c>
      <c r="CO16" s="4">
        <f>D16*'Optimization Model'!D$14</f>
        <v>2</v>
      </c>
      <c r="CP16" s="4">
        <f>E16*'Optimization Model'!E$14</f>
        <v>0</v>
      </c>
      <c r="CQ16" s="4">
        <f>F16*'Optimization Model'!F$14</f>
        <v>0</v>
      </c>
      <c r="CR16" s="4">
        <f>G16*'Optimization Model'!G$14</f>
        <v>0</v>
      </c>
      <c r="CS16" s="4">
        <f>H16*'Optimization Model'!H$14</f>
        <v>0</v>
      </c>
      <c r="CT16" s="4">
        <f t="shared" si="9"/>
        <v>2</v>
      </c>
      <c r="CV16" s="3" t="s">
        <v>32</v>
      </c>
      <c r="CW16" s="4">
        <f>C16*'Optimization Model'!C$15</f>
        <v>0</v>
      </c>
      <c r="CX16" s="4">
        <f>D16*'Optimization Model'!D$15</f>
        <v>0</v>
      </c>
      <c r="CY16" s="4">
        <f>E16*'Optimization Model'!E$15</f>
        <v>0</v>
      </c>
      <c r="CZ16" s="4">
        <f>F16*'Optimization Model'!F$15</f>
        <v>4</v>
      </c>
      <c r="DA16" s="4">
        <f>G16*'Optimization Model'!G$15</f>
        <v>4</v>
      </c>
      <c r="DB16" s="4">
        <f>H16*'Optimization Model'!H$15</f>
        <v>0</v>
      </c>
      <c r="DC16" s="4">
        <f t="shared" si="10"/>
        <v>8</v>
      </c>
      <c r="DE16" s="3" t="s">
        <v>32</v>
      </c>
      <c r="DF16" s="4">
        <f>C16*'Optimization Model'!C$16</f>
        <v>0</v>
      </c>
      <c r="DG16" s="4">
        <f>D16*'Optimization Model'!D$16</f>
        <v>0</v>
      </c>
      <c r="DH16" s="4">
        <f>E16*'Optimization Model'!E$16</f>
        <v>3</v>
      </c>
      <c r="DI16" s="4">
        <f>F16*'Optimization Model'!F$16</f>
        <v>0</v>
      </c>
      <c r="DJ16" s="4">
        <f>G16*'Optimization Model'!G$16</f>
        <v>0</v>
      </c>
      <c r="DK16" s="4">
        <f>H16*'Optimization Model'!H$16</f>
        <v>0</v>
      </c>
      <c r="DL16" s="4">
        <f t="shared" si="11"/>
        <v>3</v>
      </c>
      <c r="DN16" s="3" t="s">
        <v>32</v>
      </c>
      <c r="DO16" s="4">
        <f>C16*'Optimization Model'!C$17</f>
        <v>0</v>
      </c>
      <c r="DP16" s="4">
        <f>D16*'Optimization Model'!D$17</f>
        <v>0</v>
      </c>
      <c r="DQ16" s="4">
        <f>E16*'Optimization Model'!E$17</f>
        <v>3</v>
      </c>
      <c r="DR16" s="4">
        <f>F16*'Optimization Model'!F$17</f>
        <v>0</v>
      </c>
      <c r="DS16" s="4">
        <f>G16*'Optimization Model'!G$17</f>
        <v>4</v>
      </c>
      <c r="DT16" s="4">
        <f>H16*'Optimization Model'!H$17</f>
        <v>0</v>
      </c>
      <c r="DU16" s="4">
        <f t="shared" si="12"/>
        <v>7</v>
      </c>
      <c r="DW16" s="3" t="s">
        <v>32</v>
      </c>
      <c r="DX16" s="4">
        <f>C16*'Optimization Model'!C$18</f>
        <v>0</v>
      </c>
      <c r="DY16" s="4">
        <f>D16*'Optimization Model'!D$18</f>
        <v>0</v>
      </c>
      <c r="DZ16" s="4">
        <f>E16*'Optimization Model'!E$18</f>
        <v>3</v>
      </c>
      <c r="EA16" s="4">
        <f>F16*'Optimization Model'!F$18</f>
        <v>4</v>
      </c>
      <c r="EB16" s="4">
        <f>G16*'Optimization Model'!G$18</f>
        <v>0</v>
      </c>
      <c r="EC16" s="4">
        <f>H16*'Optimization Model'!H$18</f>
        <v>0</v>
      </c>
      <c r="ED16" s="4">
        <f t="shared" si="13"/>
        <v>7</v>
      </c>
      <c r="EF16" s="3" t="s">
        <v>32</v>
      </c>
      <c r="EG16" s="4">
        <f>C16*'Optimization Model'!C$19</f>
        <v>0</v>
      </c>
      <c r="EH16" s="4">
        <f>D16*'Optimization Model'!D$19</f>
        <v>0</v>
      </c>
      <c r="EI16" s="4">
        <f>E16*'Optimization Model'!E$19</f>
        <v>0</v>
      </c>
      <c r="EJ16" s="4">
        <f>F16*'Optimization Model'!F$19</f>
        <v>0</v>
      </c>
      <c r="EK16" s="4">
        <f>G16*'Optimization Model'!G$19</f>
        <v>0</v>
      </c>
      <c r="EL16" s="4">
        <f>H16*'Optimization Model'!H$19</f>
        <v>1</v>
      </c>
      <c r="EM16" s="4">
        <f t="shared" si="14"/>
        <v>1</v>
      </c>
      <c r="EO16" s="3" t="s">
        <v>32</v>
      </c>
      <c r="EP16" s="4">
        <f>C16*'Optimization Model'!C$20</f>
        <v>0</v>
      </c>
      <c r="EQ16" s="4">
        <f>D16*'Optimization Model'!D$20</f>
        <v>0</v>
      </c>
      <c r="ER16" s="4">
        <f>E16*'Optimization Model'!E$20</f>
        <v>0</v>
      </c>
      <c r="ES16" s="4">
        <f>F16*'Optimization Model'!F$20</f>
        <v>0</v>
      </c>
      <c r="ET16" s="4">
        <f>G16*'Optimization Model'!G$20</f>
        <v>0</v>
      </c>
      <c r="EU16" s="4">
        <f>H16*'Optimization Model'!H$20</f>
        <v>1</v>
      </c>
      <c r="EV16" s="4">
        <f t="shared" si="15"/>
        <v>1</v>
      </c>
    </row>
    <row r="17" spans="2:152" x14ac:dyDescent="0.35">
      <c r="B17" s="3" t="s">
        <v>33</v>
      </c>
      <c r="C17" s="4">
        <f>'Data- Refined'!U17</f>
        <v>4</v>
      </c>
      <c r="D17" s="4">
        <f>'Data- Refined'!V17</f>
        <v>5</v>
      </c>
      <c r="E17" s="4">
        <f>'Data- Refined'!W17</f>
        <v>1</v>
      </c>
      <c r="F17" s="4">
        <f>'Data- Refined'!X17</f>
        <v>1</v>
      </c>
      <c r="G17" s="4">
        <f>'Data- Refined'!Y17</f>
        <v>0</v>
      </c>
      <c r="H17" s="4">
        <f>'Data- Refined'!Z17</f>
        <v>0</v>
      </c>
      <c r="J17" s="3" t="s">
        <v>33</v>
      </c>
      <c r="K17" s="4">
        <f>C17*'Optimization Model'!C$5</f>
        <v>4</v>
      </c>
      <c r="L17" s="4">
        <f>D17*'Optimization Model'!D$5</f>
        <v>0</v>
      </c>
      <c r="M17" s="4">
        <f>E17*'Optimization Model'!E$5</f>
        <v>0</v>
      </c>
      <c r="N17" s="4">
        <f>F17*'Optimization Model'!F$5</f>
        <v>0</v>
      </c>
      <c r="O17" s="4">
        <f>G17*'Optimization Model'!G$5</f>
        <v>0</v>
      </c>
      <c r="P17" s="4">
        <f>H17*'Optimization Model'!H$5</f>
        <v>0</v>
      </c>
      <c r="Q17" s="4">
        <f t="shared" si="0"/>
        <v>4</v>
      </c>
      <c r="R17" s="8"/>
      <c r="S17" s="3" t="s">
        <v>33</v>
      </c>
      <c r="T17" s="4">
        <f>C17*'Optimization Model'!C$6</f>
        <v>0</v>
      </c>
      <c r="U17" s="4">
        <f>D17*'Optimization Model'!D$6</f>
        <v>5</v>
      </c>
      <c r="V17" s="4">
        <f>E17*'Optimization Model'!E$6</f>
        <v>0</v>
      </c>
      <c r="W17" s="4">
        <f>F17*'Optimization Model'!F$6</f>
        <v>0</v>
      </c>
      <c r="X17" s="4">
        <f>G17*'Optimization Model'!G$6</f>
        <v>0</v>
      </c>
      <c r="Y17" s="4">
        <f>H17*'Optimization Model'!H$6</f>
        <v>0</v>
      </c>
      <c r="Z17" s="4">
        <f t="shared" si="1"/>
        <v>5</v>
      </c>
      <c r="AB17" s="3" t="s">
        <v>33</v>
      </c>
      <c r="AC17" s="4">
        <f>C17*'Optimization Model'!C$7</f>
        <v>4</v>
      </c>
      <c r="AD17" s="4">
        <f>D17*'Optimization Model'!D$7</f>
        <v>0</v>
      </c>
      <c r="AE17" s="4">
        <f>E17*'Optimization Model'!E$7</f>
        <v>0</v>
      </c>
      <c r="AF17" s="4">
        <f>F17*'Optimization Model'!F$7</f>
        <v>0</v>
      </c>
      <c r="AG17" s="4">
        <f>G17*'Optimization Model'!G$7</f>
        <v>0</v>
      </c>
      <c r="AH17" s="4">
        <f>H17*'Optimization Model'!H$7</f>
        <v>0</v>
      </c>
      <c r="AI17" s="4">
        <f t="shared" si="2"/>
        <v>4</v>
      </c>
      <c r="AK17" s="3" t="s">
        <v>33</v>
      </c>
      <c r="AL17" s="4">
        <f>C17*'Optimization Model'!C$8</f>
        <v>0</v>
      </c>
      <c r="AM17" s="4">
        <f>D17*'Optimization Model'!D$8</f>
        <v>5</v>
      </c>
      <c r="AN17" s="4">
        <f>E17*'Optimization Model'!E$8</f>
        <v>0</v>
      </c>
      <c r="AO17" s="4">
        <f>F17*'Optimization Model'!F$8</f>
        <v>0</v>
      </c>
      <c r="AP17" s="4">
        <f>G17*'Optimization Model'!G$8</f>
        <v>0</v>
      </c>
      <c r="AQ17" s="4">
        <f>H17*'Optimization Model'!H$8</f>
        <v>0</v>
      </c>
      <c r="AR17" s="4">
        <f t="shared" si="3"/>
        <v>5</v>
      </c>
      <c r="AT17" s="3" t="s">
        <v>33</v>
      </c>
      <c r="AU17" s="4">
        <f>C17*'Optimization Model'!C$9</f>
        <v>4</v>
      </c>
      <c r="AV17" s="4">
        <f>D17*'Optimization Model'!D$9</f>
        <v>0</v>
      </c>
      <c r="AW17" s="4">
        <f>E17*'Optimization Model'!E$9</f>
        <v>0</v>
      </c>
      <c r="AX17" s="4">
        <f>F17*'Optimization Model'!F$9</f>
        <v>1</v>
      </c>
      <c r="AY17" s="4">
        <f>G17*'Optimization Model'!G$9</f>
        <v>0</v>
      </c>
      <c r="AZ17" s="4">
        <f>H17*'Optimization Model'!H$9</f>
        <v>0</v>
      </c>
      <c r="BA17" s="4">
        <f t="shared" si="4"/>
        <v>5</v>
      </c>
      <c r="BC17" s="3" t="s">
        <v>33</v>
      </c>
      <c r="BD17" s="4">
        <f>C17*'Optimization Model'!C$10</f>
        <v>0</v>
      </c>
      <c r="BE17" s="4">
        <f>D17*'Optimization Model'!D$10</f>
        <v>5</v>
      </c>
      <c r="BF17" s="4">
        <f>E17*'Optimization Model'!E$10</f>
        <v>0</v>
      </c>
      <c r="BG17" s="4">
        <f>F17*'Optimization Model'!F$10</f>
        <v>1</v>
      </c>
      <c r="BH17" s="4">
        <f>G17*'Optimization Model'!G$10</f>
        <v>0</v>
      </c>
      <c r="BI17" s="4">
        <f>H17*'Optimization Model'!H$10</f>
        <v>0</v>
      </c>
      <c r="BJ17" s="4">
        <f t="shared" si="5"/>
        <v>6</v>
      </c>
      <c r="BL17" s="3" t="s">
        <v>33</v>
      </c>
      <c r="BM17" s="4">
        <f>C17*'Optimization Model'!C$11</f>
        <v>0</v>
      </c>
      <c r="BN17" s="4">
        <f>D17*'Optimization Model'!D$11</f>
        <v>0</v>
      </c>
      <c r="BO17" s="4">
        <f>E17*'Optimization Model'!E$11</f>
        <v>1</v>
      </c>
      <c r="BP17" s="4">
        <f>F17*'Optimization Model'!F$11</f>
        <v>0</v>
      </c>
      <c r="BQ17" s="4">
        <f>G17*'Optimization Model'!G$11</f>
        <v>0</v>
      </c>
      <c r="BR17" s="4">
        <f>H17*'Optimization Model'!H$11</f>
        <v>0</v>
      </c>
      <c r="BS17" s="4">
        <f t="shared" si="6"/>
        <v>1</v>
      </c>
      <c r="BU17" s="3" t="s">
        <v>33</v>
      </c>
      <c r="BV17" s="4">
        <f>C17*'Optimization Model'!C$12</f>
        <v>0</v>
      </c>
      <c r="BW17" s="4">
        <f>D17*'Optimization Model'!D$12</f>
        <v>0</v>
      </c>
      <c r="BX17" s="4">
        <f>E17*'Optimization Model'!E$12</f>
        <v>0</v>
      </c>
      <c r="BY17" s="4">
        <f>F17*'Optimization Model'!F$12</f>
        <v>0</v>
      </c>
      <c r="BZ17" s="4">
        <f>G17*'Optimization Model'!G$12</f>
        <v>0</v>
      </c>
      <c r="CA17" s="4">
        <f>H17*'Optimization Model'!H$12</f>
        <v>0</v>
      </c>
      <c r="CB17" s="4">
        <f t="shared" si="7"/>
        <v>0</v>
      </c>
      <c r="CD17" s="3" t="s">
        <v>33</v>
      </c>
      <c r="CE17" s="4">
        <f>C17*'Optimization Model'!C$13</f>
        <v>4</v>
      </c>
      <c r="CF17" s="4">
        <f>D17*'Optimization Model'!D$13</f>
        <v>0</v>
      </c>
      <c r="CG17" s="4">
        <f>E17*'Optimization Model'!E$13</f>
        <v>0</v>
      </c>
      <c r="CH17" s="4">
        <f>F17*'Optimization Model'!F$13</f>
        <v>0</v>
      </c>
      <c r="CI17" s="4">
        <f>G17*'Optimization Model'!G$13</f>
        <v>0</v>
      </c>
      <c r="CJ17" s="4">
        <f>H17*'Optimization Model'!H$13</f>
        <v>0</v>
      </c>
      <c r="CK17" s="4">
        <f t="shared" si="8"/>
        <v>4</v>
      </c>
      <c r="CM17" s="3" t="s">
        <v>33</v>
      </c>
      <c r="CN17" s="4">
        <f>C17*'Optimization Model'!C$14</f>
        <v>0</v>
      </c>
      <c r="CO17" s="4">
        <f>D17*'Optimization Model'!D$14</f>
        <v>5</v>
      </c>
      <c r="CP17" s="4">
        <f>E17*'Optimization Model'!E$14</f>
        <v>0</v>
      </c>
      <c r="CQ17" s="4">
        <f>F17*'Optimization Model'!F$14</f>
        <v>0</v>
      </c>
      <c r="CR17" s="4">
        <f>G17*'Optimization Model'!G$14</f>
        <v>0</v>
      </c>
      <c r="CS17" s="4">
        <f>H17*'Optimization Model'!H$14</f>
        <v>0</v>
      </c>
      <c r="CT17" s="4">
        <f t="shared" si="9"/>
        <v>5</v>
      </c>
      <c r="CV17" s="3" t="s">
        <v>33</v>
      </c>
      <c r="CW17" s="4">
        <f>C17*'Optimization Model'!C$15</f>
        <v>0</v>
      </c>
      <c r="CX17" s="4">
        <f>D17*'Optimization Model'!D$15</f>
        <v>0</v>
      </c>
      <c r="CY17" s="4">
        <f>E17*'Optimization Model'!E$15</f>
        <v>0</v>
      </c>
      <c r="CZ17" s="4">
        <f>F17*'Optimization Model'!F$15</f>
        <v>1</v>
      </c>
      <c r="DA17" s="4">
        <f>G17*'Optimization Model'!G$15</f>
        <v>0</v>
      </c>
      <c r="DB17" s="4">
        <f>H17*'Optimization Model'!H$15</f>
        <v>0</v>
      </c>
      <c r="DC17" s="4">
        <f t="shared" si="10"/>
        <v>1</v>
      </c>
      <c r="DE17" s="3" t="s">
        <v>33</v>
      </c>
      <c r="DF17" s="4">
        <f>C17*'Optimization Model'!C$16</f>
        <v>0</v>
      </c>
      <c r="DG17" s="4">
        <f>D17*'Optimization Model'!D$16</f>
        <v>0</v>
      </c>
      <c r="DH17" s="4">
        <f>E17*'Optimization Model'!E$16</f>
        <v>1</v>
      </c>
      <c r="DI17" s="4">
        <f>F17*'Optimization Model'!F$16</f>
        <v>0</v>
      </c>
      <c r="DJ17" s="4">
        <f>G17*'Optimization Model'!G$16</f>
        <v>0</v>
      </c>
      <c r="DK17" s="4">
        <f>H17*'Optimization Model'!H$16</f>
        <v>0</v>
      </c>
      <c r="DL17" s="4">
        <f t="shared" si="11"/>
        <v>1</v>
      </c>
      <c r="DN17" s="3" t="s">
        <v>33</v>
      </c>
      <c r="DO17" s="4">
        <f>C17*'Optimization Model'!C$17</f>
        <v>0</v>
      </c>
      <c r="DP17" s="4">
        <f>D17*'Optimization Model'!D$17</f>
        <v>0</v>
      </c>
      <c r="DQ17" s="4">
        <f>E17*'Optimization Model'!E$17</f>
        <v>1</v>
      </c>
      <c r="DR17" s="4">
        <f>F17*'Optimization Model'!F$17</f>
        <v>0</v>
      </c>
      <c r="DS17" s="4">
        <f>G17*'Optimization Model'!G$17</f>
        <v>0</v>
      </c>
      <c r="DT17" s="4">
        <f>H17*'Optimization Model'!H$17</f>
        <v>0</v>
      </c>
      <c r="DU17" s="4">
        <f t="shared" si="12"/>
        <v>1</v>
      </c>
      <c r="DW17" s="3" t="s">
        <v>33</v>
      </c>
      <c r="DX17" s="4">
        <f>C17*'Optimization Model'!C$18</f>
        <v>0</v>
      </c>
      <c r="DY17" s="4">
        <f>D17*'Optimization Model'!D$18</f>
        <v>0</v>
      </c>
      <c r="DZ17" s="4">
        <f>E17*'Optimization Model'!E$18</f>
        <v>1</v>
      </c>
      <c r="EA17" s="4">
        <f>F17*'Optimization Model'!F$18</f>
        <v>1</v>
      </c>
      <c r="EB17" s="4">
        <f>G17*'Optimization Model'!G$18</f>
        <v>0</v>
      </c>
      <c r="EC17" s="4">
        <f>H17*'Optimization Model'!H$18</f>
        <v>0</v>
      </c>
      <c r="ED17" s="4">
        <f t="shared" si="13"/>
        <v>2</v>
      </c>
      <c r="EF17" s="3" t="s">
        <v>33</v>
      </c>
      <c r="EG17" s="4">
        <f>C17*'Optimization Model'!C$19</f>
        <v>0</v>
      </c>
      <c r="EH17" s="4">
        <f>D17*'Optimization Model'!D$19</f>
        <v>0</v>
      </c>
      <c r="EI17" s="4">
        <f>E17*'Optimization Model'!E$19</f>
        <v>0</v>
      </c>
      <c r="EJ17" s="4">
        <f>F17*'Optimization Model'!F$19</f>
        <v>0</v>
      </c>
      <c r="EK17" s="4">
        <f>G17*'Optimization Model'!G$19</f>
        <v>0</v>
      </c>
      <c r="EL17" s="4">
        <f>H17*'Optimization Model'!H$19</f>
        <v>0</v>
      </c>
      <c r="EM17" s="4">
        <f t="shared" si="14"/>
        <v>0</v>
      </c>
      <c r="EO17" s="3" t="s">
        <v>33</v>
      </c>
      <c r="EP17" s="4">
        <f>C17*'Optimization Model'!C$20</f>
        <v>0</v>
      </c>
      <c r="EQ17" s="4">
        <f>D17*'Optimization Model'!D$20</f>
        <v>0</v>
      </c>
      <c r="ER17" s="4">
        <f>E17*'Optimization Model'!E$20</f>
        <v>0</v>
      </c>
      <c r="ES17" s="4">
        <f>F17*'Optimization Model'!F$20</f>
        <v>0</v>
      </c>
      <c r="ET17" s="4">
        <f>G17*'Optimization Model'!G$20</f>
        <v>0</v>
      </c>
      <c r="EU17" s="4">
        <f>H17*'Optimization Model'!H$20</f>
        <v>0</v>
      </c>
      <c r="EV17" s="4">
        <f t="shared" si="15"/>
        <v>0</v>
      </c>
    </row>
    <row r="18" spans="2:152" x14ac:dyDescent="0.35">
      <c r="B18" s="3" t="s">
        <v>34</v>
      </c>
      <c r="C18" s="4">
        <f>'Data- Refined'!U18</f>
        <v>14</v>
      </c>
      <c r="D18" s="4">
        <f>'Data- Refined'!V18</f>
        <v>12</v>
      </c>
      <c r="E18" s="4">
        <f>'Data- Refined'!W18</f>
        <v>9</v>
      </c>
      <c r="F18" s="4">
        <f>'Data- Refined'!X18</f>
        <v>8</v>
      </c>
      <c r="G18" s="4">
        <f>'Data- Refined'!Y18</f>
        <v>8</v>
      </c>
      <c r="H18" s="4">
        <f>'Data- Refined'!Z18</f>
        <v>7</v>
      </c>
      <c r="J18" s="3" t="s">
        <v>34</v>
      </c>
      <c r="K18" s="4">
        <f>C18*'Optimization Model'!C$5</f>
        <v>14</v>
      </c>
      <c r="L18" s="4">
        <f>D18*'Optimization Model'!D$5</f>
        <v>0</v>
      </c>
      <c r="M18" s="4">
        <f>E18*'Optimization Model'!E$5</f>
        <v>0</v>
      </c>
      <c r="N18" s="4">
        <f>F18*'Optimization Model'!F$5</f>
        <v>0</v>
      </c>
      <c r="O18" s="4">
        <f>G18*'Optimization Model'!G$5</f>
        <v>0</v>
      </c>
      <c r="P18" s="4">
        <f>H18*'Optimization Model'!H$5</f>
        <v>0</v>
      </c>
      <c r="Q18" s="4">
        <f t="shared" si="0"/>
        <v>14</v>
      </c>
      <c r="R18" s="8"/>
      <c r="S18" s="3" t="s">
        <v>34</v>
      </c>
      <c r="T18" s="4">
        <f>C18*'Optimization Model'!C$6</f>
        <v>0</v>
      </c>
      <c r="U18" s="4">
        <f>D18*'Optimization Model'!D$6</f>
        <v>12</v>
      </c>
      <c r="V18" s="4">
        <f>E18*'Optimization Model'!E$6</f>
        <v>0</v>
      </c>
      <c r="W18" s="4">
        <f>F18*'Optimization Model'!F$6</f>
        <v>0</v>
      </c>
      <c r="X18" s="4">
        <f>G18*'Optimization Model'!G$6</f>
        <v>0</v>
      </c>
      <c r="Y18" s="4">
        <f>H18*'Optimization Model'!H$6</f>
        <v>0</v>
      </c>
      <c r="Z18" s="4">
        <f t="shared" si="1"/>
        <v>12</v>
      </c>
      <c r="AB18" s="3" t="s">
        <v>34</v>
      </c>
      <c r="AC18" s="4">
        <f>C18*'Optimization Model'!C$7</f>
        <v>14</v>
      </c>
      <c r="AD18" s="4">
        <f>D18*'Optimization Model'!D$7</f>
        <v>0</v>
      </c>
      <c r="AE18" s="4">
        <f>E18*'Optimization Model'!E$7</f>
        <v>0</v>
      </c>
      <c r="AF18" s="4">
        <f>F18*'Optimization Model'!F$7</f>
        <v>0</v>
      </c>
      <c r="AG18" s="4">
        <f>G18*'Optimization Model'!G$7</f>
        <v>0</v>
      </c>
      <c r="AH18" s="4">
        <f>H18*'Optimization Model'!H$7</f>
        <v>0</v>
      </c>
      <c r="AI18" s="4">
        <f t="shared" si="2"/>
        <v>14</v>
      </c>
      <c r="AK18" s="3" t="s">
        <v>34</v>
      </c>
      <c r="AL18" s="4">
        <f>C18*'Optimization Model'!C$8</f>
        <v>0</v>
      </c>
      <c r="AM18" s="4">
        <f>D18*'Optimization Model'!D$8</f>
        <v>12</v>
      </c>
      <c r="AN18" s="4">
        <f>E18*'Optimization Model'!E$8</f>
        <v>0</v>
      </c>
      <c r="AO18" s="4">
        <f>F18*'Optimization Model'!F$8</f>
        <v>0</v>
      </c>
      <c r="AP18" s="4">
        <f>G18*'Optimization Model'!G$8</f>
        <v>0</v>
      </c>
      <c r="AQ18" s="4">
        <f>H18*'Optimization Model'!H$8</f>
        <v>7</v>
      </c>
      <c r="AR18" s="4">
        <f t="shared" si="3"/>
        <v>19</v>
      </c>
      <c r="AT18" s="3" t="s">
        <v>34</v>
      </c>
      <c r="AU18" s="4">
        <f>C18*'Optimization Model'!C$9</f>
        <v>14</v>
      </c>
      <c r="AV18" s="4">
        <f>D18*'Optimization Model'!D$9</f>
        <v>0</v>
      </c>
      <c r="AW18" s="4">
        <f>E18*'Optimization Model'!E$9</f>
        <v>0</v>
      </c>
      <c r="AX18" s="4">
        <f>F18*'Optimization Model'!F$9</f>
        <v>8</v>
      </c>
      <c r="AY18" s="4">
        <f>G18*'Optimization Model'!G$9</f>
        <v>0</v>
      </c>
      <c r="AZ18" s="4">
        <f>H18*'Optimization Model'!H$9</f>
        <v>0</v>
      </c>
      <c r="BA18" s="4">
        <f t="shared" si="4"/>
        <v>22</v>
      </c>
      <c r="BC18" s="3" t="s">
        <v>34</v>
      </c>
      <c r="BD18" s="4">
        <f>C18*'Optimization Model'!C$10</f>
        <v>0</v>
      </c>
      <c r="BE18" s="4">
        <f>D18*'Optimization Model'!D$10</f>
        <v>12</v>
      </c>
      <c r="BF18" s="4">
        <f>E18*'Optimization Model'!E$10</f>
        <v>0</v>
      </c>
      <c r="BG18" s="4">
        <f>F18*'Optimization Model'!F$10</f>
        <v>8</v>
      </c>
      <c r="BH18" s="4">
        <f>G18*'Optimization Model'!G$10</f>
        <v>0</v>
      </c>
      <c r="BI18" s="4">
        <f>H18*'Optimization Model'!H$10</f>
        <v>0</v>
      </c>
      <c r="BJ18" s="4">
        <f t="shared" si="5"/>
        <v>20</v>
      </c>
      <c r="BL18" s="3" t="s">
        <v>34</v>
      </c>
      <c r="BM18" s="4">
        <f>C18*'Optimization Model'!C$11</f>
        <v>0</v>
      </c>
      <c r="BN18" s="4">
        <f>D18*'Optimization Model'!D$11</f>
        <v>0</v>
      </c>
      <c r="BO18" s="4">
        <f>E18*'Optimization Model'!E$11</f>
        <v>9</v>
      </c>
      <c r="BP18" s="4">
        <f>F18*'Optimization Model'!F$11</f>
        <v>0</v>
      </c>
      <c r="BQ18" s="4">
        <f>G18*'Optimization Model'!G$11</f>
        <v>8</v>
      </c>
      <c r="BR18" s="4">
        <f>H18*'Optimization Model'!H$11</f>
        <v>0</v>
      </c>
      <c r="BS18" s="4">
        <f t="shared" si="6"/>
        <v>17</v>
      </c>
      <c r="BU18" s="3" t="s">
        <v>34</v>
      </c>
      <c r="BV18" s="4">
        <f>C18*'Optimization Model'!C$12</f>
        <v>0</v>
      </c>
      <c r="BW18" s="4">
        <f>D18*'Optimization Model'!D$12</f>
        <v>0</v>
      </c>
      <c r="BX18" s="4">
        <f>E18*'Optimization Model'!E$12</f>
        <v>0</v>
      </c>
      <c r="BY18" s="4">
        <f>F18*'Optimization Model'!F$12</f>
        <v>0</v>
      </c>
      <c r="BZ18" s="4">
        <f>G18*'Optimization Model'!G$12</f>
        <v>8</v>
      </c>
      <c r="CA18" s="4">
        <f>H18*'Optimization Model'!H$12</f>
        <v>7</v>
      </c>
      <c r="CB18" s="4">
        <f t="shared" si="7"/>
        <v>15</v>
      </c>
      <c r="CD18" s="3" t="s">
        <v>34</v>
      </c>
      <c r="CE18" s="4">
        <f>C18*'Optimization Model'!C$13</f>
        <v>14</v>
      </c>
      <c r="CF18" s="4">
        <f>D18*'Optimization Model'!D$13</f>
        <v>0</v>
      </c>
      <c r="CG18" s="4">
        <f>E18*'Optimization Model'!E$13</f>
        <v>0</v>
      </c>
      <c r="CH18" s="4">
        <f>F18*'Optimization Model'!F$13</f>
        <v>0</v>
      </c>
      <c r="CI18" s="4">
        <f>G18*'Optimization Model'!G$13</f>
        <v>0</v>
      </c>
      <c r="CJ18" s="4">
        <f>H18*'Optimization Model'!H$13</f>
        <v>0</v>
      </c>
      <c r="CK18" s="4">
        <f t="shared" si="8"/>
        <v>14</v>
      </c>
      <c r="CM18" s="3" t="s">
        <v>34</v>
      </c>
      <c r="CN18" s="4">
        <f>C18*'Optimization Model'!C$14</f>
        <v>0</v>
      </c>
      <c r="CO18" s="4">
        <f>D18*'Optimization Model'!D$14</f>
        <v>12</v>
      </c>
      <c r="CP18" s="4">
        <f>E18*'Optimization Model'!E$14</f>
        <v>0</v>
      </c>
      <c r="CQ18" s="4">
        <f>F18*'Optimization Model'!F$14</f>
        <v>0</v>
      </c>
      <c r="CR18" s="4">
        <f>G18*'Optimization Model'!G$14</f>
        <v>0</v>
      </c>
      <c r="CS18" s="4">
        <f>H18*'Optimization Model'!H$14</f>
        <v>0</v>
      </c>
      <c r="CT18" s="4">
        <f t="shared" si="9"/>
        <v>12</v>
      </c>
      <c r="CV18" s="3" t="s">
        <v>34</v>
      </c>
      <c r="CW18" s="4">
        <f>C18*'Optimization Model'!C$15</f>
        <v>0</v>
      </c>
      <c r="CX18" s="4">
        <f>D18*'Optimization Model'!D$15</f>
        <v>0</v>
      </c>
      <c r="CY18" s="4">
        <f>E18*'Optimization Model'!E$15</f>
        <v>0</v>
      </c>
      <c r="CZ18" s="4">
        <f>F18*'Optimization Model'!F$15</f>
        <v>8</v>
      </c>
      <c r="DA18" s="4">
        <f>G18*'Optimization Model'!G$15</f>
        <v>8</v>
      </c>
      <c r="DB18" s="4">
        <f>H18*'Optimization Model'!H$15</f>
        <v>0</v>
      </c>
      <c r="DC18" s="4">
        <f t="shared" si="10"/>
        <v>16</v>
      </c>
      <c r="DE18" s="3" t="s">
        <v>34</v>
      </c>
      <c r="DF18" s="4">
        <f>C18*'Optimization Model'!C$16</f>
        <v>0</v>
      </c>
      <c r="DG18" s="4">
        <f>D18*'Optimization Model'!D$16</f>
        <v>0</v>
      </c>
      <c r="DH18" s="4">
        <f>E18*'Optimization Model'!E$16</f>
        <v>9</v>
      </c>
      <c r="DI18" s="4">
        <f>F18*'Optimization Model'!F$16</f>
        <v>0</v>
      </c>
      <c r="DJ18" s="4">
        <f>G18*'Optimization Model'!G$16</f>
        <v>0</v>
      </c>
      <c r="DK18" s="4">
        <f>H18*'Optimization Model'!H$16</f>
        <v>0</v>
      </c>
      <c r="DL18" s="4">
        <f t="shared" si="11"/>
        <v>9</v>
      </c>
      <c r="DN18" s="3" t="s">
        <v>34</v>
      </c>
      <c r="DO18" s="4">
        <f>C18*'Optimization Model'!C$17</f>
        <v>0</v>
      </c>
      <c r="DP18" s="4">
        <f>D18*'Optimization Model'!D$17</f>
        <v>0</v>
      </c>
      <c r="DQ18" s="4">
        <f>E18*'Optimization Model'!E$17</f>
        <v>9</v>
      </c>
      <c r="DR18" s="4">
        <f>F18*'Optimization Model'!F$17</f>
        <v>0</v>
      </c>
      <c r="DS18" s="4">
        <f>G18*'Optimization Model'!G$17</f>
        <v>8</v>
      </c>
      <c r="DT18" s="4">
        <f>H18*'Optimization Model'!H$17</f>
        <v>0</v>
      </c>
      <c r="DU18" s="4">
        <f t="shared" si="12"/>
        <v>17</v>
      </c>
      <c r="DW18" s="3" t="s">
        <v>34</v>
      </c>
      <c r="DX18" s="4">
        <f>C18*'Optimization Model'!C$18</f>
        <v>0</v>
      </c>
      <c r="DY18" s="4">
        <f>D18*'Optimization Model'!D$18</f>
        <v>0</v>
      </c>
      <c r="DZ18" s="4">
        <f>E18*'Optimization Model'!E$18</f>
        <v>9</v>
      </c>
      <c r="EA18" s="4">
        <f>F18*'Optimization Model'!F$18</f>
        <v>8</v>
      </c>
      <c r="EB18" s="4">
        <f>G18*'Optimization Model'!G$18</f>
        <v>0</v>
      </c>
      <c r="EC18" s="4">
        <f>H18*'Optimization Model'!H$18</f>
        <v>0</v>
      </c>
      <c r="ED18" s="4">
        <f t="shared" si="13"/>
        <v>17</v>
      </c>
      <c r="EF18" s="3" t="s">
        <v>34</v>
      </c>
      <c r="EG18" s="4">
        <f>C18*'Optimization Model'!C$19</f>
        <v>0</v>
      </c>
      <c r="EH18" s="4">
        <f>D18*'Optimization Model'!D$19</f>
        <v>0</v>
      </c>
      <c r="EI18" s="4">
        <f>E18*'Optimization Model'!E$19</f>
        <v>0</v>
      </c>
      <c r="EJ18" s="4">
        <f>F18*'Optimization Model'!F$19</f>
        <v>0</v>
      </c>
      <c r="EK18" s="4">
        <f>G18*'Optimization Model'!G$19</f>
        <v>0</v>
      </c>
      <c r="EL18" s="4">
        <f>H18*'Optimization Model'!H$19</f>
        <v>7</v>
      </c>
      <c r="EM18" s="4">
        <f t="shared" si="14"/>
        <v>7</v>
      </c>
      <c r="EO18" s="3" t="s">
        <v>34</v>
      </c>
      <c r="EP18" s="4">
        <f>C18*'Optimization Model'!C$20</f>
        <v>0</v>
      </c>
      <c r="EQ18" s="4">
        <f>D18*'Optimization Model'!D$20</f>
        <v>0</v>
      </c>
      <c r="ER18" s="4">
        <f>E18*'Optimization Model'!E$20</f>
        <v>0</v>
      </c>
      <c r="ES18" s="4">
        <f>F18*'Optimization Model'!F$20</f>
        <v>0</v>
      </c>
      <c r="ET18" s="4">
        <f>G18*'Optimization Model'!G$20</f>
        <v>0</v>
      </c>
      <c r="EU18" s="4">
        <f>H18*'Optimization Model'!H$20</f>
        <v>7</v>
      </c>
      <c r="EV18" s="4">
        <f t="shared" si="15"/>
        <v>7</v>
      </c>
    </row>
    <row r="19" spans="2:152" x14ac:dyDescent="0.35">
      <c r="B19" s="3" t="s">
        <v>35</v>
      </c>
      <c r="C19" s="4">
        <f>'Data- Refined'!U19</f>
        <v>9</v>
      </c>
      <c r="D19" s="4">
        <f>'Data- Refined'!V19</f>
        <v>12</v>
      </c>
      <c r="E19" s="4">
        <f>'Data- Refined'!W19</f>
        <v>7</v>
      </c>
      <c r="F19" s="4">
        <f>'Data- Refined'!X19</f>
        <v>4</v>
      </c>
      <c r="G19" s="4">
        <f>'Data- Refined'!Y19</f>
        <v>2</v>
      </c>
      <c r="H19" s="4">
        <f>'Data- Refined'!Z19</f>
        <v>3</v>
      </c>
      <c r="J19" s="3" t="s">
        <v>35</v>
      </c>
      <c r="K19" s="4">
        <f>C19*'Optimization Model'!C$5</f>
        <v>9</v>
      </c>
      <c r="L19" s="4">
        <f>D19*'Optimization Model'!D$5</f>
        <v>0</v>
      </c>
      <c r="M19" s="4">
        <f>E19*'Optimization Model'!E$5</f>
        <v>0</v>
      </c>
      <c r="N19" s="4">
        <f>F19*'Optimization Model'!F$5</f>
        <v>0</v>
      </c>
      <c r="O19" s="4">
        <f>G19*'Optimization Model'!G$5</f>
        <v>0</v>
      </c>
      <c r="P19" s="4">
        <f>H19*'Optimization Model'!H$5</f>
        <v>0</v>
      </c>
      <c r="Q19" s="4">
        <f t="shared" si="0"/>
        <v>9</v>
      </c>
      <c r="R19" s="8"/>
      <c r="S19" s="3" t="s">
        <v>35</v>
      </c>
      <c r="T19" s="4">
        <f>C19*'Optimization Model'!C$6</f>
        <v>0</v>
      </c>
      <c r="U19" s="4">
        <f>D19*'Optimization Model'!D$6</f>
        <v>12</v>
      </c>
      <c r="V19" s="4">
        <f>E19*'Optimization Model'!E$6</f>
        <v>0</v>
      </c>
      <c r="W19" s="4">
        <f>F19*'Optimization Model'!F$6</f>
        <v>0</v>
      </c>
      <c r="X19" s="4">
        <f>G19*'Optimization Model'!G$6</f>
        <v>0</v>
      </c>
      <c r="Y19" s="4">
        <f>H19*'Optimization Model'!H$6</f>
        <v>0</v>
      </c>
      <c r="Z19" s="4">
        <f t="shared" si="1"/>
        <v>12</v>
      </c>
      <c r="AB19" s="3" t="s">
        <v>35</v>
      </c>
      <c r="AC19" s="4">
        <f>C19*'Optimization Model'!C$7</f>
        <v>9</v>
      </c>
      <c r="AD19" s="4">
        <f>D19*'Optimization Model'!D$7</f>
        <v>0</v>
      </c>
      <c r="AE19" s="4">
        <f>E19*'Optimization Model'!E$7</f>
        <v>0</v>
      </c>
      <c r="AF19" s="4">
        <f>F19*'Optimization Model'!F$7</f>
        <v>0</v>
      </c>
      <c r="AG19" s="4">
        <f>G19*'Optimization Model'!G$7</f>
        <v>0</v>
      </c>
      <c r="AH19" s="4">
        <f>H19*'Optimization Model'!H$7</f>
        <v>0</v>
      </c>
      <c r="AI19" s="4">
        <f t="shared" si="2"/>
        <v>9</v>
      </c>
      <c r="AK19" s="3" t="s">
        <v>35</v>
      </c>
      <c r="AL19" s="4">
        <f>C19*'Optimization Model'!C$8</f>
        <v>0</v>
      </c>
      <c r="AM19" s="4">
        <f>D19*'Optimization Model'!D$8</f>
        <v>12</v>
      </c>
      <c r="AN19" s="4">
        <f>E19*'Optimization Model'!E$8</f>
        <v>0</v>
      </c>
      <c r="AO19" s="4">
        <f>F19*'Optimization Model'!F$8</f>
        <v>0</v>
      </c>
      <c r="AP19" s="4">
        <f>G19*'Optimization Model'!G$8</f>
        <v>0</v>
      </c>
      <c r="AQ19" s="4">
        <f>H19*'Optimization Model'!H$8</f>
        <v>3</v>
      </c>
      <c r="AR19" s="4">
        <f t="shared" si="3"/>
        <v>15</v>
      </c>
      <c r="AT19" s="3" t="s">
        <v>35</v>
      </c>
      <c r="AU19" s="4">
        <f>C19*'Optimization Model'!C$9</f>
        <v>9</v>
      </c>
      <c r="AV19" s="4">
        <f>D19*'Optimization Model'!D$9</f>
        <v>0</v>
      </c>
      <c r="AW19" s="4">
        <f>E19*'Optimization Model'!E$9</f>
        <v>0</v>
      </c>
      <c r="AX19" s="4">
        <f>F19*'Optimization Model'!F$9</f>
        <v>4</v>
      </c>
      <c r="AY19" s="4">
        <f>G19*'Optimization Model'!G$9</f>
        <v>0</v>
      </c>
      <c r="AZ19" s="4">
        <f>H19*'Optimization Model'!H$9</f>
        <v>0</v>
      </c>
      <c r="BA19" s="4">
        <f t="shared" si="4"/>
        <v>13</v>
      </c>
      <c r="BC19" s="3" t="s">
        <v>35</v>
      </c>
      <c r="BD19" s="4">
        <f>C19*'Optimization Model'!C$10</f>
        <v>0</v>
      </c>
      <c r="BE19" s="4">
        <f>D19*'Optimization Model'!D$10</f>
        <v>12</v>
      </c>
      <c r="BF19" s="4">
        <f>E19*'Optimization Model'!E$10</f>
        <v>0</v>
      </c>
      <c r="BG19" s="4">
        <f>F19*'Optimization Model'!F$10</f>
        <v>4</v>
      </c>
      <c r="BH19" s="4">
        <f>G19*'Optimization Model'!G$10</f>
        <v>0</v>
      </c>
      <c r="BI19" s="4">
        <f>H19*'Optimization Model'!H$10</f>
        <v>0</v>
      </c>
      <c r="BJ19" s="4">
        <f t="shared" si="5"/>
        <v>16</v>
      </c>
      <c r="BL19" s="3" t="s">
        <v>35</v>
      </c>
      <c r="BM19" s="4">
        <f>C19*'Optimization Model'!C$11</f>
        <v>0</v>
      </c>
      <c r="BN19" s="4">
        <f>D19*'Optimization Model'!D$11</f>
        <v>0</v>
      </c>
      <c r="BO19" s="4">
        <f>E19*'Optimization Model'!E$11</f>
        <v>7</v>
      </c>
      <c r="BP19" s="4">
        <f>F19*'Optimization Model'!F$11</f>
        <v>0</v>
      </c>
      <c r="BQ19" s="4">
        <f>G19*'Optimization Model'!G$11</f>
        <v>2</v>
      </c>
      <c r="BR19" s="4">
        <f>H19*'Optimization Model'!H$11</f>
        <v>0</v>
      </c>
      <c r="BS19" s="4">
        <f t="shared" si="6"/>
        <v>9</v>
      </c>
      <c r="BU19" s="3" t="s">
        <v>35</v>
      </c>
      <c r="BV19" s="4">
        <f>C19*'Optimization Model'!C$12</f>
        <v>0</v>
      </c>
      <c r="BW19" s="4">
        <f>D19*'Optimization Model'!D$12</f>
        <v>0</v>
      </c>
      <c r="BX19" s="4">
        <f>E19*'Optimization Model'!E$12</f>
        <v>0</v>
      </c>
      <c r="BY19" s="4">
        <f>F19*'Optimization Model'!F$12</f>
        <v>0</v>
      </c>
      <c r="BZ19" s="4">
        <f>G19*'Optimization Model'!G$12</f>
        <v>2</v>
      </c>
      <c r="CA19" s="4">
        <f>H19*'Optimization Model'!H$12</f>
        <v>3</v>
      </c>
      <c r="CB19" s="4">
        <f t="shared" si="7"/>
        <v>5</v>
      </c>
      <c r="CD19" s="3" t="s">
        <v>35</v>
      </c>
      <c r="CE19" s="4">
        <f>C19*'Optimization Model'!C$13</f>
        <v>9</v>
      </c>
      <c r="CF19" s="4">
        <f>D19*'Optimization Model'!D$13</f>
        <v>0</v>
      </c>
      <c r="CG19" s="4">
        <f>E19*'Optimization Model'!E$13</f>
        <v>0</v>
      </c>
      <c r="CH19" s="4">
        <f>F19*'Optimization Model'!F$13</f>
        <v>0</v>
      </c>
      <c r="CI19" s="4">
        <f>G19*'Optimization Model'!G$13</f>
        <v>0</v>
      </c>
      <c r="CJ19" s="4">
        <f>H19*'Optimization Model'!H$13</f>
        <v>0</v>
      </c>
      <c r="CK19" s="4">
        <f t="shared" si="8"/>
        <v>9</v>
      </c>
      <c r="CM19" s="3" t="s">
        <v>35</v>
      </c>
      <c r="CN19" s="4">
        <f>C19*'Optimization Model'!C$14</f>
        <v>0</v>
      </c>
      <c r="CO19" s="4">
        <f>D19*'Optimization Model'!D$14</f>
        <v>12</v>
      </c>
      <c r="CP19" s="4">
        <f>E19*'Optimization Model'!E$14</f>
        <v>0</v>
      </c>
      <c r="CQ19" s="4">
        <f>F19*'Optimization Model'!F$14</f>
        <v>0</v>
      </c>
      <c r="CR19" s="4">
        <f>G19*'Optimization Model'!G$14</f>
        <v>0</v>
      </c>
      <c r="CS19" s="4">
        <f>H19*'Optimization Model'!H$14</f>
        <v>0</v>
      </c>
      <c r="CT19" s="4">
        <f t="shared" si="9"/>
        <v>12</v>
      </c>
      <c r="CV19" s="3" t="s">
        <v>35</v>
      </c>
      <c r="CW19" s="4">
        <f>C19*'Optimization Model'!C$15</f>
        <v>0</v>
      </c>
      <c r="CX19" s="4">
        <f>D19*'Optimization Model'!D$15</f>
        <v>0</v>
      </c>
      <c r="CY19" s="4">
        <f>E19*'Optimization Model'!E$15</f>
        <v>0</v>
      </c>
      <c r="CZ19" s="4">
        <f>F19*'Optimization Model'!F$15</f>
        <v>4</v>
      </c>
      <c r="DA19" s="4">
        <f>G19*'Optimization Model'!G$15</f>
        <v>2</v>
      </c>
      <c r="DB19" s="4">
        <f>H19*'Optimization Model'!H$15</f>
        <v>0</v>
      </c>
      <c r="DC19" s="4">
        <f t="shared" si="10"/>
        <v>6</v>
      </c>
      <c r="DE19" s="3" t="s">
        <v>35</v>
      </c>
      <c r="DF19" s="4">
        <f>C19*'Optimization Model'!C$16</f>
        <v>0</v>
      </c>
      <c r="DG19" s="4">
        <f>D19*'Optimization Model'!D$16</f>
        <v>0</v>
      </c>
      <c r="DH19" s="4">
        <f>E19*'Optimization Model'!E$16</f>
        <v>7</v>
      </c>
      <c r="DI19" s="4">
        <f>F19*'Optimization Model'!F$16</f>
        <v>0</v>
      </c>
      <c r="DJ19" s="4">
        <f>G19*'Optimization Model'!G$16</f>
        <v>0</v>
      </c>
      <c r="DK19" s="4">
        <f>H19*'Optimization Model'!H$16</f>
        <v>0</v>
      </c>
      <c r="DL19" s="4">
        <f t="shared" si="11"/>
        <v>7</v>
      </c>
      <c r="DN19" s="3" t="s">
        <v>35</v>
      </c>
      <c r="DO19" s="4">
        <f>C19*'Optimization Model'!C$17</f>
        <v>0</v>
      </c>
      <c r="DP19" s="4">
        <f>D19*'Optimization Model'!D$17</f>
        <v>0</v>
      </c>
      <c r="DQ19" s="4">
        <f>E19*'Optimization Model'!E$17</f>
        <v>7</v>
      </c>
      <c r="DR19" s="4">
        <f>F19*'Optimization Model'!F$17</f>
        <v>0</v>
      </c>
      <c r="DS19" s="4">
        <f>G19*'Optimization Model'!G$17</f>
        <v>2</v>
      </c>
      <c r="DT19" s="4">
        <f>H19*'Optimization Model'!H$17</f>
        <v>0</v>
      </c>
      <c r="DU19" s="4">
        <f t="shared" si="12"/>
        <v>9</v>
      </c>
      <c r="DW19" s="3" t="s">
        <v>35</v>
      </c>
      <c r="DX19" s="4">
        <f>C19*'Optimization Model'!C$18</f>
        <v>0</v>
      </c>
      <c r="DY19" s="4">
        <f>D19*'Optimization Model'!D$18</f>
        <v>0</v>
      </c>
      <c r="DZ19" s="4">
        <f>E19*'Optimization Model'!E$18</f>
        <v>7</v>
      </c>
      <c r="EA19" s="4">
        <f>F19*'Optimization Model'!F$18</f>
        <v>4</v>
      </c>
      <c r="EB19" s="4">
        <f>G19*'Optimization Model'!G$18</f>
        <v>0</v>
      </c>
      <c r="EC19" s="4">
        <f>H19*'Optimization Model'!H$18</f>
        <v>0</v>
      </c>
      <c r="ED19" s="4">
        <f t="shared" si="13"/>
        <v>11</v>
      </c>
      <c r="EF19" s="3" t="s">
        <v>35</v>
      </c>
      <c r="EG19" s="4">
        <f>C19*'Optimization Model'!C$19</f>
        <v>0</v>
      </c>
      <c r="EH19" s="4">
        <f>D19*'Optimization Model'!D$19</f>
        <v>0</v>
      </c>
      <c r="EI19" s="4">
        <f>E19*'Optimization Model'!E$19</f>
        <v>0</v>
      </c>
      <c r="EJ19" s="4">
        <f>F19*'Optimization Model'!F$19</f>
        <v>0</v>
      </c>
      <c r="EK19" s="4">
        <f>G19*'Optimization Model'!G$19</f>
        <v>0</v>
      </c>
      <c r="EL19" s="4">
        <f>H19*'Optimization Model'!H$19</f>
        <v>3</v>
      </c>
      <c r="EM19" s="4">
        <f t="shared" si="14"/>
        <v>3</v>
      </c>
      <c r="EO19" s="3" t="s">
        <v>35</v>
      </c>
      <c r="EP19" s="4">
        <f>C19*'Optimization Model'!C$20</f>
        <v>0</v>
      </c>
      <c r="EQ19" s="4">
        <f>D19*'Optimization Model'!D$20</f>
        <v>0</v>
      </c>
      <c r="ER19" s="4">
        <f>E19*'Optimization Model'!E$20</f>
        <v>0</v>
      </c>
      <c r="ES19" s="4">
        <f>F19*'Optimization Model'!F$20</f>
        <v>0</v>
      </c>
      <c r="ET19" s="4">
        <f>G19*'Optimization Model'!G$20</f>
        <v>0</v>
      </c>
      <c r="EU19" s="4">
        <f>H19*'Optimization Model'!H$20</f>
        <v>3</v>
      </c>
      <c r="EV19" s="4">
        <f t="shared" si="15"/>
        <v>3</v>
      </c>
    </row>
    <row r="20" spans="2:152" x14ac:dyDescent="0.35">
      <c r="B20" s="3" t="s">
        <v>36</v>
      </c>
      <c r="C20" s="4">
        <f>'Data- Refined'!U20</f>
        <v>4</v>
      </c>
      <c r="D20" s="4">
        <f>'Data- Refined'!V20</f>
        <v>2</v>
      </c>
      <c r="E20" s="4">
        <f>'Data- Refined'!W20</f>
        <v>3</v>
      </c>
      <c r="F20" s="4">
        <f>'Data- Refined'!X20</f>
        <v>5</v>
      </c>
      <c r="G20" s="4">
        <f>'Data- Refined'!Y20</f>
        <v>3</v>
      </c>
      <c r="H20" s="4">
        <f>'Data- Refined'!Z20</f>
        <v>3</v>
      </c>
      <c r="J20" s="3" t="s">
        <v>36</v>
      </c>
      <c r="K20" s="4">
        <f>C20*'Optimization Model'!C$5</f>
        <v>4</v>
      </c>
      <c r="L20" s="4">
        <f>D20*'Optimization Model'!D$5</f>
        <v>0</v>
      </c>
      <c r="M20" s="4">
        <f>E20*'Optimization Model'!E$5</f>
        <v>0</v>
      </c>
      <c r="N20" s="4">
        <f>F20*'Optimization Model'!F$5</f>
        <v>0</v>
      </c>
      <c r="O20" s="4">
        <f>G20*'Optimization Model'!G$5</f>
        <v>0</v>
      </c>
      <c r="P20" s="4">
        <f>H20*'Optimization Model'!H$5</f>
        <v>0</v>
      </c>
      <c r="Q20" s="4">
        <f t="shared" si="0"/>
        <v>4</v>
      </c>
      <c r="R20" s="8"/>
      <c r="S20" s="3" t="s">
        <v>36</v>
      </c>
      <c r="T20" s="4">
        <f>C20*'Optimization Model'!C$6</f>
        <v>0</v>
      </c>
      <c r="U20" s="4">
        <f>D20*'Optimization Model'!D$6</f>
        <v>2</v>
      </c>
      <c r="V20" s="4">
        <f>E20*'Optimization Model'!E$6</f>
        <v>0</v>
      </c>
      <c r="W20" s="4">
        <f>F20*'Optimization Model'!F$6</f>
        <v>0</v>
      </c>
      <c r="X20" s="4">
        <f>G20*'Optimization Model'!G$6</f>
        <v>0</v>
      </c>
      <c r="Y20" s="4">
        <f>H20*'Optimization Model'!H$6</f>
        <v>0</v>
      </c>
      <c r="Z20" s="4">
        <f t="shared" si="1"/>
        <v>2</v>
      </c>
      <c r="AB20" s="3" t="s">
        <v>36</v>
      </c>
      <c r="AC20" s="4">
        <f>C20*'Optimization Model'!C$7</f>
        <v>4</v>
      </c>
      <c r="AD20" s="4">
        <f>D20*'Optimization Model'!D$7</f>
        <v>0</v>
      </c>
      <c r="AE20" s="4">
        <f>E20*'Optimization Model'!E$7</f>
        <v>0</v>
      </c>
      <c r="AF20" s="4">
        <f>F20*'Optimization Model'!F$7</f>
        <v>0</v>
      </c>
      <c r="AG20" s="4">
        <f>G20*'Optimization Model'!G$7</f>
        <v>0</v>
      </c>
      <c r="AH20" s="4">
        <f>H20*'Optimization Model'!H$7</f>
        <v>0</v>
      </c>
      <c r="AI20" s="4">
        <f t="shared" si="2"/>
        <v>4</v>
      </c>
      <c r="AK20" s="3" t="s">
        <v>36</v>
      </c>
      <c r="AL20" s="4">
        <f>C20*'Optimization Model'!C$8</f>
        <v>0</v>
      </c>
      <c r="AM20" s="4">
        <f>D20*'Optimization Model'!D$8</f>
        <v>2</v>
      </c>
      <c r="AN20" s="4">
        <f>E20*'Optimization Model'!E$8</f>
        <v>0</v>
      </c>
      <c r="AO20" s="4">
        <f>F20*'Optimization Model'!F$8</f>
        <v>0</v>
      </c>
      <c r="AP20" s="4">
        <f>G20*'Optimization Model'!G$8</f>
        <v>0</v>
      </c>
      <c r="AQ20" s="4">
        <f>H20*'Optimization Model'!H$8</f>
        <v>3</v>
      </c>
      <c r="AR20" s="4">
        <f t="shared" si="3"/>
        <v>5</v>
      </c>
      <c r="AT20" s="3" t="s">
        <v>36</v>
      </c>
      <c r="AU20" s="4">
        <f>C20*'Optimization Model'!C$9</f>
        <v>4</v>
      </c>
      <c r="AV20" s="4">
        <f>D20*'Optimization Model'!D$9</f>
        <v>0</v>
      </c>
      <c r="AW20" s="4">
        <f>E20*'Optimization Model'!E$9</f>
        <v>0</v>
      </c>
      <c r="AX20" s="4">
        <f>F20*'Optimization Model'!F$9</f>
        <v>5</v>
      </c>
      <c r="AY20" s="4">
        <f>G20*'Optimization Model'!G$9</f>
        <v>0</v>
      </c>
      <c r="AZ20" s="4">
        <f>H20*'Optimization Model'!H$9</f>
        <v>0</v>
      </c>
      <c r="BA20" s="4">
        <f t="shared" si="4"/>
        <v>9</v>
      </c>
      <c r="BC20" s="3" t="s">
        <v>36</v>
      </c>
      <c r="BD20" s="4">
        <f>C20*'Optimization Model'!C$10</f>
        <v>0</v>
      </c>
      <c r="BE20" s="4">
        <f>D20*'Optimization Model'!D$10</f>
        <v>2</v>
      </c>
      <c r="BF20" s="4">
        <f>E20*'Optimization Model'!E$10</f>
        <v>0</v>
      </c>
      <c r="BG20" s="4">
        <f>F20*'Optimization Model'!F$10</f>
        <v>5</v>
      </c>
      <c r="BH20" s="4">
        <f>G20*'Optimization Model'!G$10</f>
        <v>0</v>
      </c>
      <c r="BI20" s="4">
        <f>H20*'Optimization Model'!H$10</f>
        <v>0</v>
      </c>
      <c r="BJ20" s="4">
        <f t="shared" si="5"/>
        <v>7</v>
      </c>
      <c r="BL20" s="3" t="s">
        <v>36</v>
      </c>
      <c r="BM20" s="4">
        <f>C20*'Optimization Model'!C$11</f>
        <v>0</v>
      </c>
      <c r="BN20" s="4">
        <f>D20*'Optimization Model'!D$11</f>
        <v>0</v>
      </c>
      <c r="BO20" s="4">
        <f>E20*'Optimization Model'!E$11</f>
        <v>3</v>
      </c>
      <c r="BP20" s="4">
        <f>F20*'Optimization Model'!F$11</f>
        <v>0</v>
      </c>
      <c r="BQ20" s="4">
        <f>G20*'Optimization Model'!G$11</f>
        <v>3</v>
      </c>
      <c r="BR20" s="4">
        <f>H20*'Optimization Model'!H$11</f>
        <v>0</v>
      </c>
      <c r="BS20" s="4">
        <f t="shared" si="6"/>
        <v>6</v>
      </c>
      <c r="BU20" s="3" t="s">
        <v>36</v>
      </c>
      <c r="BV20" s="4">
        <f>C20*'Optimization Model'!C$12</f>
        <v>0</v>
      </c>
      <c r="BW20" s="4">
        <f>D20*'Optimization Model'!D$12</f>
        <v>0</v>
      </c>
      <c r="BX20" s="4">
        <f>E20*'Optimization Model'!E$12</f>
        <v>0</v>
      </c>
      <c r="BY20" s="4">
        <f>F20*'Optimization Model'!F$12</f>
        <v>0</v>
      </c>
      <c r="BZ20" s="4">
        <f>G20*'Optimization Model'!G$12</f>
        <v>3</v>
      </c>
      <c r="CA20" s="4">
        <f>H20*'Optimization Model'!H$12</f>
        <v>3</v>
      </c>
      <c r="CB20" s="4">
        <f t="shared" si="7"/>
        <v>6</v>
      </c>
      <c r="CD20" s="3" t="s">
        <v>36</v>
      </c>
      <c r="CE20" s="4">
        <f>C20*'Optimization Model'!C$13</f>
        <v>4</v>
      </c>
      <c r="CF20" s="4">
        <f>D20*'Optimization Model'!D$13</f>
        <v>0</v>
      </c>
      <c r="CG20" s="4">
        <f>E20*'Optimization Model'!E$13</f>
        <v>0</v>
      </c>
      <c r="CH20" s="4">
        <f>F20*'Optimization Model'!F$13</f>
        <v>0</v>
      </c>
      <c r="CI20" s="4">
        <f>G20*'Optimization Model'!G$13</f>
        <v>0</v>
      </c>
      <c r="CJ20" s="4">
        <f>H20*'Optimization Model'!H$13</f>
        <v>0</v>
      </c>
      <c r="CK20" s="4">
        <f t="shared" si="8"/>
        <v>4</v>
      </c>
      <c r="CM20" s="3" t="s">
        <v>36</v>
      </c>
      <c r="CN20" s="4">
        <f>C20*'Optimization Model'!C$14</f>
        <v>0</v>
      </c>
      <c r="CO20" s="4">
        <f>D20*'Optimization Model'!D$14</f>
        <v>2</v>
      </c>
      <c r="CP20" s="4">
        <f>E20*'Optimization Model'!E$14</f>
        <v>0</v>
      </c>
      <c r="CQ20" s="4">
        <f>F20*'Optimization Model'!F$14</f>
        <v>0</v>
      </c>
      <c r="CR20" s="4">
        <f>G20*'Optimization Model'!G$14</f>
        <v>0</v>
      </c>
      <c r="CS20" s="4">
        <f>H20*'Optimization Model'!H$14</f>
        <v>0</v>
      </c>
      <c r="CT20" s="4">
        <f t="shared" si="9"/>
        <v>2</v>
      </c>
      <c r="CV20" s="3" t="s">
        <v>36</v>
      </c>
      <c r="CW20" s="4">
        <f>C20*'Optimization Model'!C$15</f>
        <v>0</v>
      </c>
      <c r="CX20" s="4">
        <f>D20*'Optimization Model'!D$15</f>
        <v>0</v>
      </c>
      <c r="CY20" s="4">
        <f>E20*'Optimization Model'!E$15</f>
        <v>0</v>
      </c>
      <c r="CZ20" s="4">
        <f>F20*'Optimization Model'!F$15</f>
        <v>5</v>
      </c>
      <c r="DA20" s="4">
        <f>G20*'Optimization Model'!G$15</f>
        <v>3</v>
      </c>
      <c r="DB20" s="4">
        <f>H20*'Optimization Model'!H$15</f>
        <v>0</v>
      </c>
      <c r="DC20" s="4">
        <f t="shared" si="10"/>
        <v>8</v>
      </c>
      <c r="DE20" s="3" t="s">
        <v>36</v>
      </c>
      <c r="DF20" s="4">
        <f>C20*'Optimization Model'!C$16</f>
        <v>0</v>
      </c>
      <c r="DG20" s="4">
        <f>D20*'Optimization Model'!D$16</f>
        <v>0</v>
      </c>
      <c r="DH20" s="4">
        <f>E20*'Optimization Model'!E$16</f>
        <v>3</v>
      </c>
      <c r="DI20" s="4">
        <f>F20*'Optimization Model'!F$16</f>
        <v>0</v>
      </c>
      <c r="DJ20" s="4">
        <f>G20*'Optimization Model'!G$16</f>
        <v>0</v>
      </c>
      <c r="DK20" s="4">
        <f>H20*'Optimization Model'!H$16</f>
        <v>0</v>
      </c>
      <c r="DL20" s="4">
        <f t="shared" si="11"/>
        <v>3</v>
      </c>
      <c r="DN20" s="3" t="s">
        <v>36</v>
      </c>
      <c r="DO20" s="4">
        <f>C20*'Optimization Model'!C$17</f>
        <v>0</v>
      </c>
      <c r="DP20" s="4">
        <f>D20*'Optimization Model'!D$17</f>
        <v>0</v>
      </c>
      <c r="DQ20" s="4">
        <f>E20*'Optimization Model'!E$17</f>
        <v>3</v>
      </c>
      <c r="DR20" s="4">
        <f>F20*'Optimization Model'!F$17</f>
        <v>0</v>
      </c>
      <c r="DS20" s="4">
        <f>G20*'Optimization Model'!G$17</f>
        <v>3</v>
      </c>
      <c r="DT20" s="4">
        <f>H20*'Optimization Model'!H$17</f>
        <v>0</v>
      </c>
      <c r="DU20" s="4">
        <f t="shared" si="12"/>
        <v>6</v>
      </c>
      <c r="DW20" s="3" t="s">
        <v>36</v>
      </c>
      <c r="DX20" s="4">
        <f>C20*'Optimization Model'!C$18</f>
        <v>0</v>
      </c>
      <c r="DY20" s="4">
        <f>D20*'Optimization Model'!D$18</f>
        <v>0</v>
      </c>
      <c r="DZ20" s="4">
        <f>E20*'Optimization Model'!E$18</f>
        <v>3</v>
      </c>
      <c r="EA20" s="4">
        <f>F20*'Optimization Model'!F$18</f>
        <v>5</v>
      </c>
      <c r="EB20" s="4">
        <f>G20*'Optimization Model'!G$18</f>
        <v>0</v>
      </c>
      <c r="EC20" s="4">
        <f>H20*'Optimization Model'!H$18</f>
        <v>0</v>
      </c>
      <c r="ED20" s="4">
        <f t="shared" si="13"/>
        <v>8</v>
      </c>
      <c r="EF20" s="3" t="s">
        <v>36</v>
      </c>
      <c r="EG20" s="4">
        <f>C20*'Optimization Model'!C$19</f>
        <v>0</v>
      </c>
      <c r="EH20" s="4">
        <f>D20*'Optimization Model'!D$19</f>
        <v>0</v>
      </c>
      <c r="EI20" s="4">
        <f>E20*'Optimization Model'!E$19</f>
        <v>0</v>
      </c>
      <c r="EJ20" s="4">
        <f>F20*'Optimization Model'!F$19</f>
        <v>0</v>
      </c>
      <c r="EK20" s="4">
        <f>G20*'Optimization Model'!G$19</f>
        <v>0</v>
      </c>
      <c r="EL20" s="4">
        <f>H20*'Optimization Model'!H$19</f>
        <v>3</v>
      </c>
      <c r="EM20" s="4">
        <f t="shared" si="14"/>
        <v>3</v>
      </c>
      <c r="EO20" s="3" t="s">
        <v>36</v>
      </c>
      <c r="EP20" s="4">
        <f>C20*'Optimization Model'!C$20</f>
        <v>0</v>
      </c>
      <c r="EQ20" s="4">
        <f>D20*'Optimization Model'!D$20</f>
        <v>0</v>
      </c>
      <c r="ER20" s="4">
        <f>E20*'Optimization Model'!E$20</f>
        <v>0</v>
      </c>
      <c r="ES20" s="4">
        <f>F20*'Optimization Model'!F$20</f>
        <v>0</v>
      </c>
      <c r="ET20" s="4">
        <f>G20*'Optimization Model'!G$20</f>
        <v>0</v>
      </c>
      <c r="EU20" s="4">
        <f>H20*'Optimization Model'!H$20</f>
        <v>3</v>
      </c>
      <c r="EV20" s="4">
        <f t="shared" si="15"/>
        <v>3</v>
      </c>
    </row>
    <row r="21" spans="2:152" x14ac:dyDescent="0.35">
      <c r="B21" s="3" t="s">
        <v>37</v>
      </c>
      <c r="C21" s="4">
        <f>'Data- Refined'!U21</f>
        <v>19</v>
      </c>
      <c r="D21" s="4">
        <f>'Data- Refined'!V21</f>
        <v>20</v>
      </c>
      <c r="E21" s="4">
        <f>'Data- Refined'!W21</f>
        <v>1</v>
      </c>
      <c r="F21" s="4">
        <f>'Data- Refined'!X21</f>
        <v>1</v>
      </c>
      <c r="G21" s="4">
        <f>'Data- Refined'!Y21</f>
        <v>2</v>
      </c>
      <c r="H21" s="4">
        <f>'Data- Refined'!Z21</f>
        <v>2</v>
      </c>
      <c r="J21" s="3" t="s">
        <v>37</v>
      </c>
      <c r="K21" s="4">
        <f>C21*'Optimization Model'!C$5</f>
        <v>19</v>
      </c>
      <c r="L21" s="4">
        <f>D21*'Optimization Model'!D$5</f>
        <v>0</v>
      </c>
      <c r="M21" s="4">
        <f>E21*'Optimization Model'!E$5</f>
        <v>0</v>
      </c>
      <c r="N21" s="4">
        <f>F21*'Optimization Model'!F$5</f>
        <v>0</v>
      </c>
      <c r="O21" s="4">
        <f>G21*'Optimization Model'!G$5</f>
        <v>0</v>
      </c>
      <c r="P21" s="4">
        <f>H21*'Optimization Model'!H$5</f>
        <v>0</v>
      </c>
      <c r="Q21" s="4">
        <f t="shared" si="0"/>
        <v>19</v>
      </c>
      <c r="R21" s="8"/>
      <c r="S21" s="3" t="s">
        <v>37</v>
      </c>
      <c r="T21" s="4">
        <f>C21*'Optimization Model'!C$6</f>
        <v>0</v>
      </c>
      <c r="U21" s="4">
        <f>D21*'Optimization Model'!D$6</f>
        <v>20</v>
      </c>
      <c r="V21" s="4">
        <f>E21*'Optimization Model'!E$6</f>
        <v>0</v>
      </c>
      <c r="W21" s="4">
        <f>F21*'Optimization Model'!F$6</f>
        <v>0</v>
      </c>
      <c r="X21" s="4">
        <f>G21*'Optimization Model'!G$6</f>
        <v>0</v>
      </c>
      <c r="Y21" s="4">
        <f>H21*'Optimization Model'!H$6</f>
        <v>0</v>
      </c>
      <c r="Z21" s="4">
        <f t="shared" si="1"/>
        <v>20</v>
      </c>
      <c r="AB21" s="3" t="s">
        <v>37</v>
      </c>
      <c r="AC21" s="4">
        <f>C21*'Optimization Model'!C$7</f>
        <v>19</v>
      </c>
      <c r="AD21" s="4">
        <f>D21*'Optimization Model'!D$7</f>
        <v>0</v>
      </c>
      <c r="AE21" s="4">
        <f>E21*'Optimization Model'!E$7</f>
        <v>0</v>
      </c>
      <c r="AF21" s="4">
        <f>F21*'Optimization Model'!F$7</f>
        <v>0</v>
      </c>
      <c r="AG21" s="4">
        <f>G21*'Optimization Model'!G$7</f>
        <v>0</v>
      </c>
      <c r="AH21" s="4">
        <f>H21*'Optimization Model'!H$7</f>
        <v>0</v>
      </c>
      <c r="AI21" s="4">
        <f t="shared" si="2"/>
        <v>19</v>
      </c>
      <c r="AK21" s="3" t="s">
        <v>37</v>
      </c>
      <c r="AL21" s="4">
        <f>C21*'Optimization Model'!C$8</f>
        <v>0</v>
      </c>
      <c r="AM21" s="4">
        <f>D21*'Optimization Model'!D$8</f>
        <v>20</v>
      </c>
      <c r="AN21" s="4">
        <f>E21*'Optimization Model'!E$8</f>
        <v>0</v>
      </c>
      <c r="AO21" s="4">
        <f>F21*'Optimization Model'!F$8</f>
        <v>0</v>
      </c>
      <c r="AP21" s="4">
        <f>G21*'Optimization Model'!G$8</f>
        <v>0</v>
      </c>
      <c r="AQ21" s="4">
        <f>H21*'Optimization Model'!H$8</f>
        <v>2</v>
      </c>
      <c r="AR21" s="4">
        <f t="shared" si="3"/>
        <v>22</v>
      </c>
      <c r="AT21" s="3" t="s">
        <v>37</v>
      </c>
      <c r="AU21" s="4">
        <f>C21*'Optimization Model'!C$9</f>
        <v>19</v>
      </c>
      <c r="AV21" s="4">
        <f>D21*'Optimization Model'!D$9</f>
        <v>0</v>
      </c>
      <c r="AW21" s="4">
        <f>E21*'Optimization Model'!E$9</f>
        <v>0</v>
      </c>
      <c r="AX21" s="4">
        <f>F21*'Optimization Model'!F$9</f>
        <v>1</v>
      </c>
      <c r="AY21" s="4">
        <f>G21*'Optimization Model'!G$9</f>
        <v>0</v>
      </c>
      <c r="AZ21" s="4">
        <f>H21*'Optimization Model'!H$9</f>
        <v>0</v>
      </c>
      <c r="BA21" s="4">
        <f t="shared" si="4"/>
        <v>20</v>
      </c>
      <c r="BC21" s="3" t="s">
        <v>37</v>
      </c>
      <c r="BD21" s="4">
        <f>C21*'Optimization Model'!C$10</f>
        <v>0</v>
      </c>
      <c r="BE21" s="4">
        <f>D21*'Optimization Model'!D$10</f>
        <v>20</v>
      </c>
      <c r="BF21" s="4">
        <f>E21*'Optimization Model'!E$10</f>
        <v>0</v>
      </c>
      <c r="BG21" s="4">
        <f>F21*'Optimization Model'!F$10</f>
        <v>1</v>
      </c>
      <c r="BH21" s="4">
        <f>G21*'Optimization Model'!G$10</f>
        <v>0</v>
      </c>
      <c r="BI21" s="4">
        <f>H21*'Optimization Model'!H$10</f>
        <v>0</v>
      </c>
      <c r="BJ21" s="4">
        <f t="shared" si="5"/>
        <v>21</v>
      </c>
      <c r="BL21" s="3" t="s">
        <v>37</v>
      </c>
      <c r="BM21" s="4">
        <f>C21*'Optimization Model'!C$11</f>
        <v>0</v>
      </c>
      <c r="BN21" s="4">
        <f>D21*'Optimization Model'!D$11</f>
        <v>0</v>
      </c>
      <c r="BO21" s="4">
        <f>E21*'Optimization Model'!E$11</f>
        <v>1</v>
      </c>
      <c r="BP21" s="4">
        <f>F21*'Optimization Model'!F$11</f>
        <v>0</v>
      </c>
      <c r="BQ21" s="4">
        <f>G21*'Optimization Model'!G$11</f>
        <v>2</v>
      </c>
      <c r="BR21" s="4">
        <f>H21*'Optimization Model'!H$11</f>
        <v>0</v>
      </c>
      <c r="BS21" s="4">
        <f t="shared" si="6"/>
        <v>3</v>
      </c>
      <c r="BU21" s="3" t="s">
        <v>37</v>
      </c>
      <c r="BV21" s="4">
        <f>C21*'Optimization Model'!C$12</f>
        <v>0</v>
      </c>
      <c r="BW21" s="4">
        <f>D21*'Optimization Model'!D$12</f>
        <v>0</v>
      </c>
      <c r="BX21" s="4">
        <f>E21*'Optimization Model'!E$12</f>
        <v>0</v>
      </c>
      <c r="BY21" s="4">
        <f>F21*'Optimization Model'!F$12</f>
        <v>0</v>
      </c>
      <c r="BZ21" s="4">
        <f>G21*'Optimization Model'!G$12</f>
        <v>2</v>
      </c>
      <c r="CA21" s="4">
        <f>H21*'Optimization Model'!H$12</f>
        <v>2</v>
      </c>
      <c r="CB21" s="4">
        <f t="shared" si="7"/>
        <v>4</v>
      </c>
      <c r="CD21" s="3" t="s">
        <v>37</v>
      </c>
      <c r="CE21" s="4">
        <f>C21*'Optimization Model'!C$13</f>
        <v>19</v>
      </c>
      <c r="CF21" s="4">
        <f>D21*'Optimization Model'!D$13</f>
        <v>0</v>
      </c>
      <c r="CG21" s="4">
        <f>E21*'Optimization Model'!E$13</f>
        <v>0</v>
      </c>
      <c r="CH21" s="4">
        <f>F21*'Optimization Model'!F$13</f>
        <v>0</v>
      </c>
      <c r="CI21" s="4">
        <f>G21*'Optimization Model'!G$13</f>
        <v>0</v>
      </c>
      <c r="CJ21" s="4">
        <f>H21*'Optimization Model'!H$13</f>
        <v>0</v>
      </c>
      <c r="CK21" s="4">
        <f t="shared" si="8"/>
        <v>19</v>
      </c>
      <c r="CM21" s="3" t="s">
        <v>37</v>
      </c>
      <c r="CN21" s="4">
        <f>C21*'Optimization Model'!C$14</f>
        <v>0</v>
      </c>
      <c r="CO21" s="4">
        <f>D21*'Optimization Model'!D$14</f>
        <v>20</v>
      </c>
      <c r="CP21" s="4">
        <f>E21*'Optimization Model'!E$14</f>
        <v>0</v>
      </c>
      <c r="CQ21" s="4">
        <f>F21*'Optimization Model'!F$14</f>
        <v>0</v>
      </c>
      <c r="CR21" s="4">
        <f>G21*'Optimization Model'!G$14</f>
        <v>0</v>
      </c>
      <c r="CS21" s="4">
        <f>H21*'Optimization Model'!H$14</f>
        <v>0</v>
      </c>
      <c r="CT21" s="4">
        <f t="shared" si="9"/>
        <v>20</v>
      </c>
      <c r="CV21" s="3" t="s">
        <v>37</v>
      </c>
      <c r="CW21" s="4">
        <f>C21*'Optimization Model'!C$15</f>
        <v>0</v>
      </c>
      <c r="CX21" s="4">
        <f>D21*'Optimization Model'!D$15</f>
        <v>0</v>
      </c>
      <c r="CY21" s="4">
        <f>E21*'Optimization Model'!E$15</f>
        <v>0</v>
      </c>
      <c r="CZ21" s="4">
        <f>F21*'Optimization Model'!F$15</f>
        <v>1</v>
      </c>
      <c r="DA21" s="4">
        <f>G21*'Optimization Model'!G$15</f>
        <v>2</v>
      </c>
      <c r="DB21" s="4">
        <f>H21*'Optimization Model'!H$15</f>
        <v>0</v>
      </c>
      <c r="DC21" s="4">
        <f t="shared" si="10"/>
        <v>3</v>
      </c>
      <c r="DE21" s="3" t="s">
        <v>37</v>
      </c>
      <c r="DF21" s="4">
        <f>C21*'Optimization Model'!C$16</f>
        <v>0</v>
      </c>
      <c r="DG21" s="4">
        <f>D21*'Optimization Model'!D$16</f>
        <v>0</v>
      </c>
      <c r="DH21" s="4">
        <f>E21*'Optimization Model'!E$16</f>
        <v>1</v>
      </c>
      <c r="DI21" s="4">
        <f>F21*'Optimization Model'!F$16</f>
        <v>0</v>
      </c>
      <c r="DJ21" s="4">
        <f>G21*'Optimization Model'!G$16</f>
        <v>0</v>
      </c>
      <c r="DK21" s="4">
        <f>H21*'Optimization Model'!H$16</f>
        <v>0</v>
      </c>
      <c r="DL21" s="4">
        <f t="shared" si="11"/>
        <v>1</v>
      </c>
      <c r="DN21" s="3" t="s">
        <v>37</v>
      </c>
      <c r="DO21" s="4">
        <f>C21*'Optimization Model'!C$17</f>
        <v>0</v>
      </c>
      <c r="DP21" s="4">
        <f>D21*'Optimization Model'!D$17</f>
        <v>0</v>
      </c>
      <c r="DQ21" s="4">
        <f>E21*'Optimization Model'!E$17</f>
        <v>1</v>
      </c>
      <c r="DR21" s="4">
        <f>F21*'Optimization Model'!F$17</f>
        <v>0</v>
      </c>
      <c r="DS21" s="4">
        <f>G21*'Optimization Model'!G$17</f>
        <v>2</v>
      </c>
      <c r="DT21" s="4">
        <f>H21*'Optimization Model'!H$17</f>
        <v>0</v>
      </c>
      <c r="DU21" s="4">
        <f t="shared" si="12"/>
        <v>3</v>
      </c>
      <c r="DW21" s="3" t="s">
        <v>37</v>
      </c>
      <c r="DX21" s="4">
        <f>C21*'Optimization Model'!C$18</f>
        <v>0</v>
      </c>
      <c r="DY21" s="4">
        <f>D21*'Optimization Model'!D$18</f>
        <v>0</v>
      </c>
      <c r="DZ21" s="4">
        <f>E21*'Optimization Model'!E$18</f>
        <v>1</v>
      </c>
      <c r="EA21" s="4">
        <f>F21*'Optimization Model'!F$18</f>
        <v>1</v>
      </c>
      <c r="EB21" s="4">
        <f>G21*'Optimization Model'!G$18</f>
        <v>0</v>
      </c>
      <c r="EC21" s="4">
        <f>H21*'Optimization Model'!H$18</f>
        <v>0</v>
      </c>
      <c r="ED21" s="4">
        <f t="shared" si="13"/>
        <v>2</v>
      </c>
      <c r="EF21" s="3" t="s">
        <v>37</v>
      </c>
      <c r="EG21" s="4">
        <f>C21*'Optimization Model'!C$19</f>
        <v>0</v>
      </c>
      <c r="EH21" s="4">
        <f>D21*'Optimization Model'!D$19</f>
        <v>0</v>
      </c>
      <c r="EI21" s="4">
        <f>E21*'Optimization Model'!E$19</f>
        <v>0</v>
      </c>
      <c r="EJ21" s="4">
        <f>F21*'Optimization Model'!F$19</f>
        <v>0</v>
      </c>
      <c r="EK21" s="4">
        <f>G21*'Optimization Model'!G$19</f>
        <v>0</v>
      </c>
      <c r="EL21" s="4">
        <f>H21*'Optimization Model'!H$19</f>
        <v>2</v>
      </c>
      <c r="EM21" s="4">
        <f t="shared" si="14"/>
        <v>2</v>
      </c>
      <c r="EO21" s="3" t="s">
        <v>37</v>
      </c>
      <c r="EP21" s="4">
        <f>C21*'Optimization Model'!C$20</f>
        <v>0</v>
      </c>
      <c r="EQ21" s="4">
        <f>D21*'Optimization Model'!D$20</f>
        <v>0</v>
      </c>
      <c r="ER21" s="4">
        <f>E21*'Optimization Model'!E$20</f>
        <v>0</v>
      </c>
      <c r="ES21" s="4">
        <f>F21*'Optimization Model'!F$20</f>
        <v>0</v>
      </c>
      <c r="ET21" s="4">
        <f>G21*'Optimization Model'!G$20</f>
        <v>0</v>
      </c>
      <c r="EU21" s="4">
        <f>H21*'Optimization Model'!H$20</f>
        <v>2</v>
      </c>
      <c r="EV21" s="4">
        <f t="shared" si="15"/>
        <v>2</v>
      </c>
    </row>
    <row r="22" spans="2:152" x14ac:dyDescent="0.35">
      <c r="B22" s="3" t="s">
        <v>38</v>
      </c>
      <c r="C22" s="4">
        <f>'Data- Refined'!U22</f>
        <v>4</v>
      </c>
      <c r="D22" s="4">
        <f>'Data- Refined'!V22</f>
        <v>5</v>
      </c>
      <c r="E22" s="4">
        <f>'Data- Refined'!W22</f>
        <v>5</v>
      </c>
      <c r="F22" s="4">
        <f>'Data- Refined'!X22</f>
        <v>4</v>
      </c>
      <c r="G22" s="4">
        <f>'Data- Refined'!Y22</f>
        <v>7</v>
      </c>
      <c r="H22" s="4">
        <f>'Data- Refined'!Z22</f>
        <v>6</v>
      </c>
      <c r="J22" s="3" t="s">
        <v>38</v>
      </c>
      <c r="K22" s="4">
        <f>C22*'Optimization Model'!C$5</f>
        <v>4</v>
      </c>
      <c r="L22" s="4">
        <f>D22*'Optimization Model'!D$5</f>
        <v>0</v>
      </c>
      <c r="M22" s="4">
        <f>E22*'Optimization Model'!E$5</f>
        <v>0</v>
      </c>
      <c r="N22" s="4">
        <f>F22*'Optimization Model'!F$5</f>
        <v>0</v>
      </c>
      <c r="O22" s="4">
        <f>G22*'Optimization Model'!G$5</f>
        <v>0</v>
      </c>
      <c r="P22" s="4">
        <f>H22*'Optimization Model'!H$5</f>
        <v>0</v>
      </c>
      <c r="Q22" s="4">
        <f t="shared" si="0"/>
        <v>4</v>
      </c>
      <c r="R22" s="8"/>
      <c r="S22" s="3" t="s">
        <v>38</v>
      </c>
      <c r="T22" s="4">
        <f>C22*'Optimization Model'!C$6</f>
        <v>0</v>
      </c>
      <c r="U22" s="4">
        <f>D22*'Optimization Model'!D$6</f>
        <v>5</v>
      </c>
      <c r="V22" s="4">
        <f>E22*'Optimization Model'!E$6</f>
        <v>0</v>
      </c>
      <c r="W22" s="4">
        <f>F22*'Optimization Model'!F$6</f>
        <v>0</v>
      </c>
      <c r="X22" s="4">
        <f>G22*'Optimization Model'!G$6</f>
        <v>0</v>
      </c>
      <c r="Y22" s="4">
        <f>H22*'Optimization Model'!H$6</f>
        <v>0</v>
      </c>
      <c r="Z22" s="4">
        <f t="shared" si="1"/>
        <v>5</v>
      </c>
      <c r="AB22" s="3" t="s">
        <v>38</v>
      </c>
      <c r="AC22" s="4">
        <f>C22*'Optimization Model'!C$7</f>
        <v>4</v>
      </c>
      <c r="AD22" s="4">
        <f>D22*'Optimization Model'!D$7</f>
        <v>0</v>
      </c>
      <c r="AE22" s="4">
        <f>E22*'Optimization Model'!E$7</f>
        <v>0</v>
      </c>
      <c r="AF22" s="4">
        <f>F22*'Optimization Model'!F$7</f>
        <v>0</v>
      </c>
      <c r="AG22" s="4">
        <f>G22*'Optimization Model'!G$7</f>
        <v>0</v>
      </c>
      <c r="AH22" s="4">
        <f>H22*'Optimization Model'!H$7</f>
        <v>0</v>
      </c>
      <c r="AI22" s="4">
        <f t="shared" si="2"/>
        <v>4</v>
      </c>
      <c r="AK22" s="3" t="s">
        <v>38</v>
      </c>
      <c r="AL22" s="4">
        <f>C22*'Optimization Model'!C$8</f>
        <v>0</v>
      </c>
      <c r="AM22" s="4">
        <f>D22*'Optimization Model'!D$8</f>
        <v>5</v>
      </c>
      <c r="AN22" s="4">
        <f>E22*'Optimization Model'!E$8</f>
        <v>0</v>
      </c>
      <c r="AO22" s="4">
        <f>F22*'Optimization Model'!F$8</f>
        <v>0</v>
      </c>
      <c r="AP22" s="4">
        <f>G22*'Optimization Model'!G$8</f>
        <v>0</v>
      </c>
      <c r="AQ22" s="4">
        <f>H22*'Optimization Model'!H$8</f>
        <v>6</v>
      </c>
      <c r="AR22" s="4">
        <f t="shared" si="3"/>
        <v>11</v>
      </c>
      <c r="AT22" s="3" t="s">
        <v>38</v>
      </c>
      <c r="AU22" s="4">
        <f>C22*'Optimization Model'!C$9</f>
        <v>4</v>
      </c>
      <c r="AV22" s="4">
        <f>D22*'Optimization Model'!D$9</f>
        <v>0</v>
      </c>
      <c r="AW22" s="4">
        <f>E22*'Optimization Model'!E$9</f>
        <v>0</v>
      </c>
      <c r="AX22" s="4">
        <f>F22*'Optimization Model'!F$9</f>
        <v>4</v>
      </c>
      <c r="AY22" s="4">
        <f>G22*'Optimization Model'!G$9</f>
        <v>0</v>
      </c>
      <c r="AZ22" s="4">
        <f>H22*'Optimization Model'!H$9</f>
        <v>0</v>
      </c>
      <c r="BA22" s="4">
        <f t="shared" si="4"/>
        <v>8</v>
      </c>
      <c r="BC22" s="3" t="s">
        <v>38</v>
      </c>
      <c r="BD22" s="4">
        <f>C22*'Optimization Model'!C$10</f>
        <v>0</v>
      </c>
      <c r="BE22" s="4">
        <f>D22*'Optimization Model'!D$10</f>
        <v>5</v>
      </c>
      <c r="BF22" s="4">
        <f>E22*'Optimization Model'!E$10</f>
        <v>0</v>
      </c>
      <c r="BG22" s="4">
        <f>F22*'Optimization Model'!F$10</f>
        <v>4</v>
      </c>
      <c r="BH22" s="4">
        <f>G22*'Optimization Model'!G$10</f>
        <v>0</v>
      </c>
      <c r="BI22" s="4">
        <f>H22*'Optimization Model'!H$10</f>
        <v>0</v>
      </c>
      <c r="BJ22" s="4">
        <f t="shared" si="5"/>
        <v>9</v>
      </c>
      <c r="BL22" s="3" t="s">
        <v>38</v>
      </c>
      <c r="BM22" s="4">
        <f>C22*'Optimization Model'!C$11</f>
        <v>0</v>
      </c>
      <c r="BN22" s="4">
        <f>D22*'Optimization Model'!D$11</f>
        <v>0</v>
      </c>
      <c r="BO22" s="4">
        <f>E22*'Optimization Model'!E$11</f>
        <v>5</v>
      </c>
      <c r="BP22" s="4">
        <f>F22*'Optimization Model'!F$11</f>
        <v>0</v>
      </c>
      <c r="BQ22" s="4">
        <f>G22*'Optimization Model'!G$11</f>
        <v>7</v>
      </c>
      <c r="BR22" s="4">
        <f>H22*'Optimization Model'!H$11</f>
        <v>0</v>
      </c>
      <c r="BS22" s="4">
        <f t="shared" si="6"/>
        <v>12</v>
      </c>
      <c r="BU22" s="3" t="s">
        <v>38</v>
      </c>
      <c r="BV22" s="4">
        <f>C22*'Optimization Model'!C$12</f>
        <v>0</v>
      </c>
      <c r="BW22" s="4">
        <f>D22*'Optimization Model'!D$12</f>
        <v>0</v>
      </c>
      <c r="BX22" s="4">
        <f>E22*'Optimization Model'!E$12</f>
        <v>0</v>
      </c>
      <c r="BY22" s="4">
        <f>F22*'Optimization Model'!F$12</f>
        <v>0</v>
      </c>
      <c r="BZ22" s="4">
        <f>G22*'Optimization Model'!G$12</f>
        <v>7</v>
      </c>
      <c r="CA22" s="4">
        <f>H22*'Optimization Model'!H$12</f>
        <v>6</v>
      </c>
      <c r="CB22" s="4">
        <f t="shared" si="7"/>
        <v>13</v>
      </c>
      <c r="CD22" s="3" t="s">
        <v>38</v>
      </c>
      <c r="CE22" s="4">
        <f>C22*'Optimization Model'!C$13</f>
        <v>4</v>
      </c>
      <c r="CF22" s="4">
        <f>D22*'Optimization Model'!D$13</f>
        <v>0</v>
      </c>
      <c r="CG22" s="4">
        <f>E22*'Optimization Model'!E$13</f>
        <v>0</v>
      </c>
      <c r="CH22" s="4">
        <f>F22*'Optimization Model'!F$13</f>
        <v>0</v>
      </c>
      <c r="CI22" s="4">
        <f>G22*'Optimization Model'!G$13</f>
        <v>0</v>
      </c>
      <c r="CJ22" s="4">
        <f>H22*'Optimization Model'!H$13</f>
        <v>0</v>
      </c>
      <c r="CK22" s="4">
        <f t="shared" si="8"/>
        <v>4</v>
      </c>
      <c r="CM22" s="3" t="s">
        <v>38</v>
      </c>
      <c r="CN22" s="4">
        <f>C22*'Optimization Model'!C$14</f>
        <v>0</v>
      </c>
      <c r="CO22" s="4">
        <f>D22*'Optimization Model'!D$14</f>
        <v>5</v>
      </c>
      <c r="CP22" s="4">
        <f>E22*'Optimization Model'!E$14</f>
        <v>0</v>
      </c>
      <c r="CQ22" s="4">
        <f>F22*'Optimization Model'!F$14</f>
        <v>0</v>
      </c>
      <c r="CR22" s="4">
        <f>G22*'Optimization Model'!G$14</f>
        <v>0</v>
      </c>
      <c r="CS22" s="4">
        <f>H22*'Optimization Model'!H$14</f>
        <v>0</v>
      </c>
      <c r="CT22" s="4">
        <f t="shared" si="9"/>
        <v>5</v>
      </c>
      <c r="CV22" s="3" t="s">
        <v>38</v>
      </c>
      <c r="CW22" s="4">
        <f>C22*'Optimization Model'!C$15</f>
        <v>0</v>
      </c>
      <c r="CX22" s="4">
        <f>D22*'Optimization Model'!D$15</f>
        <v>0</v>
      </c>
      <c r="CY22" s="4">
        <f>E22*'Optimization Model'!E$15</f>
        <v>0</v>
      </c>
      <c r="CZ22" s="4">
        <f>F22*'Optimization Model'!F$15</f>
        <v>4</v>
      </c>
      <c r="DA22" s="4">
        <f>G22*'Optimization Model'!G$15</f>
        <v>7</v>
      </c>
      <c r="DB22" s="4">
        <f>H22*'Optimization Model'!H$15</f>
        <v>0</v>
      </c>
      <c r="DC22" s="4">
        <f t="shared" si="10"/>
        <v>11</v>
      </c>
      <c r="DE22" s="3" t="s">
        <v>38</v>
      </c>
      <c r="DF22" s="4">
        <f>C22*'Optimization Model'!C$16</f>
        <v>0</v>
      </c>
      <c r="DG22" s="4">
        <f>D22*'Optimization Model'!D$16</f>
        <v>0</v>
      </c>
      <c r="DH22" s="4">
        <f>E22*'Optimization Model'!E$16</f>
        <v>5</v>
      </c>
      <c r="DI22" s="4">
        <f>F22*'Optimization Model'!F$16</f>
        <v>0</v>
      </c>
      <c r="DJ22" s="4">
        <f>G22*'Optimization Model'!G$16</f>
        <v>0</v>
      </c>
      <c r="DK22" s="4">
        <f>H22*'Optimization Model'!H$16</f>
        <v>0</v>
      </c>
      <c r="DL22" s="4">
        <f t="shared" si="11"/>
        <v>5</v>
      </c>
      <c r="DN22" s="3" t="s">
        <v>38</v>
      </c>
      <c r="DO22" s="4">
        <f>C22*'Optimization Model'!C$17</f>
        <v>0</v>
      </c>
      <c r="DP22" s="4">
        <f>D22*'Optimization Model'!D$17</f>
        <v>0</v>
      </c>
      <c r="DQ22" s="4">
        <f>E22*'Optimization Model'!E$17</f>
        <v>5</v>
      </c>
      <c r="DR22" s="4">
        <f>F22*'Optimization Model'!F$17</f>
        <v>0</v>
      </c>
      <c r="DS22" s="4">
        <f>G22*'Optimization Model'!G$17</f>
        <v>7</v>
      </c>
      <c r="DT22" s="4">
        <f>H22*'Optimization Model'!H$17</f>
        <v>0</v>
      </c>
      <c r="DU22" s="4">
        <f t="shared" si="12"/>
        <v>12</v>
      </c>
      <c r="DW22" s="3" t="s">
        <v>38</v>
      </c>
      <c r="DX22" s="4">
        <f>C22*'Optimization Model'!C$18</f>
        <v>0</v>
      </c>
      <c r="DY22" s="4">
        <f>D22*'Optimization Model'!D$18</f>
        <v>0</v>
      </c>
      <c r="DZ22" s="4">
        <f>E22*'Optimization Model'!E$18</f>
        <v>5</v>
      </c>
      <c r="EA22" s="4">
        <f>F22*'Optimization Model'!F$18</f>
        <v>4</v>
      </c>
      <c r="EB22" s="4">
        <f>G22*'Optimization Model'!G$18</f>
        <v>0</v>
      </c>
      <c r="EC22" s="4">
        <f>H22*'Optimization Model'!H$18</f>
        <v>0</v>
      </c>
      <c r="ED22" s="4">
        <f t="shared" si="13"/>
        <v>9</v>
      </c>
      <c r="EF22" s="3" t="s">
        <v>38</v>
      </c>
      <c r="EG22" s="4">
        <f>C22*'Optimization Model'!C$19</f>
        <v>0</v>
      </c>
      <c r="EH22" s="4">
        <f>D22*'Optimization Model'!D$19</f>
        <v>0</v>
      </c>
      <c r="EI22" s="4">
        <f>E22*'Optimization Model'!E$19</f>
        <v>0</v>
      </c>
      <c r="EJ22" s="4">
        <f>F22*'Optimization Model'!F$19</f>
        <v>0</v>
      </c>
      <c r="EK22" s="4">
        <f>G22*'Optimization Model'!G$19</f>
        <v>0</v>
      </c>
      <c r="EL22" s="4">
        <f>H22*'Optimization Model'!H$19</f>
        <v>6</v>
      </c>
      <c r="EM22" s="4">
        <f t="shared" si="14"/>
        <v>6</v>
      </c>
      <c r="EO22" s="3" t="s">
        <v>38</v>
      </c>
      <c r="EP22" s="4">
        <f>C22*'Optimization Model'!C$20</f>
        <v>0</v>
      </c>
      <c r="EQ22" s="4">
        <f>D22*'Optimization Model'!D$20</f>
        <v>0</v>
      </c>
      <c r="ER22" s="4">
        <f>E22*'Optimization Model'!E$20</f>
        <v>0</v>
      </c>
      <c r="ES22" s="4">
        <f>F22*'Optimization Model'!F$20</f>
        <v>0</v>
      </c>
      <c r="ET22" s="4">
        <f>G22*'Optimization Model'!G$20</f>
        <v>0</v>
      </c>
      <c r="EU22" s="4">
        <f>H22*'Optimization Model'!H$20</f>
        <v>6</v>
      </c>
      <c r="EV22" s="4">
        <f t="shared" si="15"/>
        <v>6</v>
      </c>
    </row>
    <row r="23" spans="2:152" x14ac:dyDescent="0.35">
      <c r="B23" s="3" t="s">
        <v>39</v>
      </c>
      <c r="C23" s="4">
        <f>'Data- Refined'!U23</f>
        <v>19</v>
      </c>
      <c r="D23" s="4">
        <f>'Data- Refined'!V23</f>
        <v>20</v>
      </c>
      <c r="E23" s="4">
        <f>'Data- Refined'!W23</f>
        <v>8</v>
      </c>
      <c r="F23" s="4">
        <f>'Data- Refined'!X23</f>
        <v>9</v>
      </c>
      <c r="G23" s="4">
        <f>'Data- Refined'!Y23</f>
        <v>6</v>
      </c>
      <c r="H23" s="4">
        <f>'Data- Refined'!Z23</f>
        <v>5</v>
      </c>
      <c r="J23" s="3" t="s">
        <v>39</v>
      </c>
      <c r="K23" s="4">
        <f>C23*'Optimization Model'!C$5</f>
        <v>19</v>
      </c>
      <c r="L23" s="4">
        <f>D23*'Optimization Model'!D$5</f>
        <v>0</v>
      </c>
      <c r="M23" s="4">
        <f>E23*'Optimization Model'!E$5</f>
        <v>0</v>
      </c>
      <c r="N23" s="4">
        <f>F23*'Optimization Model'!F$5</f>
        <v>0</v>
      </c>
      <c r="O23" s="4">
        <f>G23*'Optimization Model'!G$5</f>
        <v>0</v>
      </c>
      <c r="P23" s="4">
        <f>H23*'Optimization Model'!H$5</f>
        <v>0</v>
      </c>
      <c r="Q23" s="4">
        <f t="shared" si="0"/>
        <v>19</v>
      </c>
      <c r="R23" s="8"/>
      <c r="S23" s="3" t="s">
        <v>39</v>
      </c>
      <c r="T23" s="4">
        <f>C23*'Optimization Model'!C$6</f>
        <v>0</v>
      </c>
      <c r="U23" s="4">
        <f>D23*'Optimization Model'!D$6</f>
        <v>20</v>
      </c>
      <c r="V23" s="4">
        <f>E23*'Optimization Model'!E$6</f>
        <v>0</v>
      </c>
      <c r="W23" s="4">
        <f>F23*'Optimization Model'!F$6</f>
        <v>0</v>
      </c>
      <c r="X23" s="4">
        <f>G23*'Optimization Model'!G$6</f>
        <v>0</v>
      </c>
      <c r="Y23" s="4">
        <f>H23*'Optimization Model'!H$6</f>
        <v>0</v>
      </c>
      <c r="Z23" s="4">
        <f t="shared" si="1"/>
        <v>20</v>
      </c>
      <c r="AB23" s="3" t="s">
        <v>39</v>
      </c>
      <c r="AC23" s="4">
        <f>C23*'Optimization Model'!C$7</f>
        <v>19</v>
      </c>
      <c r="AD23" s="4">
        <f>D23*'Optimization Model'!D$7</f>
        <v>0</v>
      </c>
      <c r="AE23" s="4">
        <f>E23*'Optimization Model'!E$7</f>
        <v>0</v>
      </c>
      <c r="AF23" s="4">
        <f>F23*'Optimization Model'!F$7</f>
        <v>0</v>
      </c>
      <c r="AG23" s="4">
        <f>G23*'Optimization Model'!G$7</f>
        <v>0</v>
      </c>
      <c r="AH23" s="4">
        <f>H23*'Optimization Model'!H$7</f>
        <v>0</v>
      </c>
      <c r="AI23" s="4">
        <f t="shared" si="2"/>
        <v>19</v>
      </c>
      <c r="AK23" s="3" t="s">
        <v>39</v>
      </c>
      <c r="AL23" s="4">
        <f>C23*'Optimization Model'!C$8</f>
        <v>0</v>
      </c>
      <c r="AM23" s="4">
        <f>D23*'Optimization Model'!D$8</f>
        <v>20</v>
      </c>
      <c r="AN23" s="4">
        <f>E23*'Optimization Model'!E$8</f>
        <v>0</v>
      </c>
      <c r="AO23" s="4">
        <f>F23*'Optimization Model'!F$8</f>
        <v>0</v>
      </c>
      <c r="AP23" s="4">
        <f>G23*'Optimization Model'!G$8</f>
        <v>0</v>
      </c>
      <c r="AQ23" s="4">
        <f>H23*'Optimization Model'!H$8</f>
        <v>5</v>
      </c>
      <c r="AR23" s="4">
        <f t="shared" si="3"/>
        <v>25</v>
      </c>
      <c r="AT23" s="3" t="s">
        <v>39</v>
      </c>
      <c r="AU23" s="4">
        <f>C23*'Optimization Model'!C$9</f>
        <v>19</v>
      </c>
      <c r="AV23" s="4">
        <f>D23*'Optimization Model'!D$9</f>
        <v>0</v>
      </c>
      <c r="AW23" s="4">
        <f>E23*'Optimization Model'!E$9</f>
        <v>0</v>
      </c>
      <c r="AX23" s="4">
        <f>F23*'Optimization Model'!F$9</f>
        <v>9</v>
      </c>
      <c r="AY23" s="4">
        <f>G23*'Optimization Model'!G$9</f>
        <v>0</v>
      </c>
      <c r="AZ23" s="4">
        <f>H23*'Optimization Model'!H$9</f>
        <v>0</v>
      </c>
      <c r="BA23" s="4">
        <f t="shared" si="4"/>
        <v>28</v>
      </c>
      <c r="BC23" s="3" t="s">
        <v>39</v>
      </c>
      <c r="BD23" s="4">
        <f>C23*'Optimization Model'!C$10</f>
        <v>0</v>
      </c>
      <c r="BE23" s="4">
        <f>D23*'Optimization Model'!D$10</f>
        <v>20</v>
      </c>
      <c r="BF23" s="4">
        <f>E23*'Optimization Model'!E$10</f>
        <v>0</v>
      </c>
      <c r="BG23" s="4">
        <f>F23*'Optimization Model'!F$10</f>
        <v>9</v>
      </c>
      <c r="BH23" s="4">
        <f>G23*'Optimization Model'!G$10</f>
        <v>0</v>
      </c>
      <c r="BI23" s="4">
        <f>H23*'Optimization Model'!H$10</f>
        <v>0</v>
      </c>
      <c r="BJ23" s="4">
        <f t="shared" si="5"/>
        <v>29</v>
      </c>
      <c r="BL23" s="3" t="s">
        <v>39</v>
      </c>
      <c r="BM23" s="4">
        <f>C23*'Optimization Model'!C$11</f>
        <v>0</v>
      </c>
      <c r="BN23" s="4">
        <f>D23*'Optimization Model'!D$11</f>
        <v>0</v>
      </c>
      <c r="BO23" s="4">
        <f>E23*'Optimization Model'!E$11</f>
        <v>8</v>
      </c>
      <c r="BP23" s="4">
        <f>F23*'Optimization Model'!F$11</f>
        <v>0</v>
      </c>
      <c r="BQ23" s="4">
        <f>G23*'Optimization Model'!G$11</f>
        <v>6</v>
      </c>
      <c r="BR23" s="4">
        <f>H23*'Optimization Model'!H$11</f>
        <v>0</v>
      </c>
      <c r="BS23" s="4">
        <f t="shared" si="6"/>
        <v>14</v>
      </c>
      <c r="BU23" s="3" t="s">
        <v>39</v>
      </c>
      <c r="BV23" s="4">
        <f>C23*'Optimization Model'!C$12</f>
        <v>0</v>
      </c>
      <c r="BW23" s="4">
        <f>D23*'Optimization Model'!D$12</f>
        <v>0</v>
      </c>
      <c r="BX23" s="4">
        <f>E23*'Optimization Model'!E$12</f>
        <v>0</v>
      </c>
      <c r="BY23" s="4">
        <f>F23*'Optimization Model'!F$12</f>
        <v>0</v>
      </c>
      <c r="BZ23" s="4">
        <f>G23*'Optimization Model'!G$12</f>
        <v>6</v>
      </c>
      <c r="CA23" s="4">
        <f>H23*'Optimization Model'!H$12</f>
        <v>5</v>
      </c>
      <c r="CB23" s="4">
        <f t="shared" si="7"/>
        <v>11</v>
      </c>
      <c r="CD23" s="3" t="s">
        <v>39</v>
      </c>
      <c r="CE23" s="4">
        <f>C23*'Optimization Model'!C$13</f>
        <v>19</v>
      </c>
      <c r="CF23" s="4">
        <f>D23*'Optimization Model'!D$13</f>
        <v>0</v>
      </c>
      <c r="CG23" s="4">
        <f>E23*'Optimization Model'!E$13</f>
        <v>0</v>
      </c>
      <c r="CH23" s="4">
        <f>F23*'Optimization Model'!F$13</f>
        <v>0</v>
      </c>
      <c r="CI23" s="4">
        <f>G23*'Optimization Model'!G$13</f>
        <v>0</v>
      </c>
      <c r="CJ23" s="4">
        <f>H23*'Optimization Model'!H$13</f>
        <v>0</v>
      </c>
      <c r="CK23" s="4">
        <f t="shared" si="8"/>
        <v>19</v>
      </c>
      <c r="CM23" s="3" t="s">
        <v>39</v>
      </c>
      <c r="CN23" s="4">
        <f>C23*'Optimization Model'!C$14</f>
        <v>0</v>
      </c>
      <c r="CO23" s="4">
        <f>D23*'Optimization Model'!D$14</f>
        <v>20</v>
      </c>
      <c r="CP23" s="4">
        <f>E23*'Optimization Model'!E$14</f>
        <v>0</v>
      </c>
      <c r="CQ23" s="4">
        <f>F23*'Optimization Model'!F$14</f>
        <v>0</v>
      </c>
      <c r="CR23" s="4">
        <f>G23*'Optimization Model'!G$14</f>
        <v>0</v>
      </c>
      <c r="CS23" s="4">
        <f>H23*'Optimization Model'!H$14</f>
        <v>0</v>
      </c>
      <c r="CT23" s="4">
        <f t="shared" si="9"/>
        <v>20</v>
      </c>
      <c r="CV23" s="3" t="s">
        <v>39</v>
      </c>
      <c r="CW23" s="4">
        <f>C23*'Optimization Model'!C$15</f>
        <v>0</v>
      </c>
      <c r="CX23" s="4">
        <f>D23*'Optimization Model'!D$15</f>
        <v>0</v>
      </c>
      <c r="CY23" s="4">
        <f>E23*'Optimization Model'!E$15</f>
        <v>0</v>
      </c>
      <c r="CZ23" s="4">
        <f>F23*'Optimization Model'!F$15</f>
        <v>9</v>
      </c>
      <c r="DA23" s="4">
        <f>G23*'Optimization Model'!G$15</f>
        <v>6</v>
      </c>
      <c r="DB23" s="4">
        <f>H23*'Optimization Model'!H$15</f>
        <v>0</v>
      </c>
      <c r="DC23" s="4">
        <f t="shared" si="10"/>
        <v>15</v>
      </c>
      <c r="DE23" s="3" t="s">
        <v>39</v>
      </c>
      <c r="DF23" s="4">
        <f>C23*'Optimization Model'!C$16</f>
        <v>0</v>
      </c>
      <c r="DG23" s="4">
        <f>D23*'Optimization Model'!D$16</f>
        <v>0</v>
      </c>
      <c r="DH23" s="4">
        <f>E23*'Optimization Model'!E$16</f>
        <v>8</v>
      </c>
      <c r="DI23" s="4">
        <f>F23*'Optimization Model'!F$16</f>
        <v>0</v>
      </c>
      <c r="DJ23" s="4">
        <f>G23*'Optimization Model'!G$16</f>
        <v>0</v>
      </c>
      <c r="DK23" s="4">
        <f>H23*'Optimization Model'!H$16</f>
        <v>0</v>
      </c>
      <c r="DL23" s="4">
        <f t="shared" si="11"/>
        <v>8</v>
      </c>
      <c r="DN23" s="3" t="s">
        <v>39</v>
      </c>
      <c r="DO23" s="4">
        <f>C23*'Optimization Model'!C$17</f>
        <v>0</v>
      </c>
      <c r="DP23" s="4">
        <f>D23*'Optimization Model'!D$17</f>
        <v>0</v>
      </c>
      <c r="DQ23" s="4">
        <f>E23*'Optimization Model'!E$17</f>
        <v>8</v>
      </c>
      <c r="DR23" s="4">
        <f>F23*'Optimization Model'!F$17</f>
        <v>0</v>
      </c>
      <c r="DS23" s="4">
        <f>G23*'Optimization Model'!G$17</f>
        <v>6</v>
      </c>
      <c r="DT23" s="4">
        <f>H23*'Optimization Model'!H$17</f>
        <v>0</v>
      </c>
      <c r="DU23" s="4">
        <f t="shared" si="12"/>
        <v>14</v>
      </c>
      <c r="DW23" s="3" t="s">
        <v>39</v>
      </c>
      <c r="DX23" s="4">
        <f>C23*'Optimization Model'!C$18</f>
        <v>0</v>
      </c>
      <c r="DY23" s="4">
        <f>D23*'Optimization Model'!D$18</f>
        <v>0</v>
      </c>
      <c r="DZ23" s="4">
        <f>E23*'Optimization Model'!E$18</f>
        <v>8</v>
      </c>
      <c r="EA23" s="4">
        <f>F23*'Optimization Model'!F$18</f>
        <v>9</v>
      </c>
      <c r="EB23" s="4">
        <f>G23*'Optimization Model'!G$18</f>
        <v>0</v>
      </c>
      <c r="EC23" s="4">
        <f>H23*'Optimization Model'!H$18</f>
        <v>0</v>
      </c>
      <c r="ED23" s="4">
        <f t="shared" si="13"/>
        <v>17</v>
      </c>
      <c r="EF23" s="3" t="s">
        <v>39</v>
      </c>
      <c r="EG23" s="4">
        <f>C23*'Optimization Model'!C$19</f>
        <v>0</v>
      </c>
      <c r="EH23" s="4">
        <f>D23*'Optimization Model'!D$19</f>
        <v>0</v>
      </c>
      <c r="EI23" s="4">
        <f>E23*'Optimization Model'!E$19</f>
        <v>0</v>
      </c>
      <c r="EJ23" s="4">
        <f>F23*'Optimization Model'!F$19</f>
        <v>0</v>
      </c>
      <c r="EK23" s="4">
        <f>G23*'Optimization Model'!G$19</f>
        <v>0</v>
      </c>
      <c r="EL23" s="4">
        <f>H23*'Optimization Model'!H$19</f>
        <v>5</v>
      </c>
      <c r="EM23" s="4">
        <f t="shared" si="14"/>
        <v>5</v>
      </c>
      <c r="EO23" s="3" t="s">
        <v>39</v>
      </c>
      <c r="EP23" s="4">
        <f>C23*'Optimization Model'!C$20</f>
        <v>0</v>
      </c>
      <c r="EQ23" s="4">
        <f>D23*'Optimization Model'!D$20</f>
        <v>0</v>
      </c>
      <c r="ER23" s="4">
        <f>E23*'Optimization Model'!E$20</f>
        <v>0</v>
      </c>
      <c r="ES23" s="4">
        <f>F23*'Optimization Model'!F$20</f>
        <v>0</v>
      </c>
      <c r="ET23" s="4">
        <f>G23*'Optimization Model'!G$20</f>
        <v>0</v>
      </c>
      <c r="EU23" s="4">
        <f>H23*'Optimization Model'!H$20</f>
        <v>5</v>
      </c>
      <c r="EV23" s="4">
        <f t="shared" si="15"/>
        <v>5</v>
      </c>
    </row>
    <row r="24" spans="2:152" x14ac:dyDescent="0.35">
      <c r="B24" s="3" t="s">
        <v>40</v>
      </c>
      <c r="C24" s="4">
        <f>'Data- Refined'!U24</f>
        <v>17</v>
      </c>
      <c r="D24" s="4">
        <f>'Data- Refined'!V24</f>
        <v>14</v>
      </c>
      <c r="E24" s="4">
        <f>'Data- Refined'!W24</f>
        <v>16</v>
      </c>
      <c r="F24" s="4">
        <f>'Data- Refined'!X24</f>
        <v>11</v>
      </c>
      <c r="G24" s="4">
        <f>'Data- Refined'!Y24</f>
        <v>9</v>
      </c>
      <c r="H24" s="4">
        <f>'Data- Refined'!Z24</f>
        <v>12</v>
      </c>
      <c r="J24" s="3" t="s">
        <v>40</v>
      </c>
      <c r="K24" s="4">
        <f>C24*'Optimization Model'!C$5</f>
        <v>17</v>
      </c>
      <c r="L24" s="4">
        <f>D24*'Optimization Model'!D$5</f>
        <v>0</v>
      </c>
      <c r="M24" s="4">
        <f>E24*'Optimization Model'!E$5</f>
        <v>0</v>
      </c>
      <c r="N24" s="4">
        <f>F24*'Optimization Model'!F$5</f>
        <v>0</v>
      </c>
      <c r="O24" s="4">
        <f>G24*'Optimization Model'!G$5</f>
        <v>0</v>
      </c>
      <c r="P24" s="4">
        <f>H24*'Optimization Model'!H$5</f>
        <v>0</v>
      </c>
      <c r="Q24" s="4">
        <f t="shared" si="0"/>
        <v>17</v>
      </c>
      <c r="R24" s="8"/>
      <c r="S24" s="3" t="s">
        <v>40</v>
      </c>
      <c r="T24" s="4">
        <f>C24*'Optimization Model'!C$6</f>
        <v>0</v>
      </c>
      <c r="U24" s="4">
        <f>D24*'Optimization Model'!D$6</f>
        <v>14</v>
      </c>
      <c r="V24" s="4">
        <f>E24*'Optimization Model'!E$6</f>
        <v>0</v>
      </c>
      <c r="W24" s="4">
        <f>F24*'Optimization Model'!F$6</f>
        <v>0</v>
      </c>
      <c r="X24" s="4">
        <f>G24*'Optimization Model'!G$6</f>
        <v>0</v>
      </c>
      <c r="Y24" s="4">
        <f>H24*'Optimization Model'!H$6</f>
        <v>0</v>
      </c>
      <c r="Z24" s="4">
        <f t="shared" si="1"/>
        <v>14</v>
      </c>
      <c r="AB24" s="3" t="s">
        <v>40</v>
      </c>
      <c r="AC24" s="4">
        <f>C24*'Optimization Model'!C$7</f>
        <v>17</v>
      </c>
      <c r="AD24" s="4">
        <f>D24*'Optimization Model'!D$7</f>
        <v>0</v>
      </c>
      <c r="AE24" s="4">
        <f>E24*'Optimization Model'!E$7</f>
        <v>0</v>
      </c>
      <c r="AF24" s="4">
        <f>F24*'Optimization Model'!F$7</f>
        <v>0</v>
      </c>
      <c r="AG24" s="4">
        <f>G24*'Optimization Model'!G$7</f>
        <v>0</v>
      </c>
      <c r="AH24" s="4">
        <f>H24*'Optimization Model'!H$7</f>
        <v>0</v>
      </c>
      <c r="AI24" s="4">
        <f t="shared" si="2"/>
        <v>17</v>
      </c>
      <c r="AK24" s="3" t="s">
        <v>40</v>
      </c>
      <c r="AL24" s="4">
        <f>C24*'Optimization Model'!C$8</f>
        <v>0</v>
      </c>
      <c r="AM24" s="4">
        <f>D24*'Optimization Model'!D$8</f>
        <v>14</v>
      </c>
      <c r="AN24" s="4">
        <f>E24*'Optimization Model'!E$8</f>
        <v>0</v>
      </c>
      <c r="AO24" s="4">
        <f>F24*'Optimization Model'!F$8</f>
        <v>0</v>
      </c>
      <c r="AP24" s="4">
        <f>G24*'Optimization Model'!G$8</f>
        <v>0</v>
      </c>
      <c r="AQ24" s="4">
        <f>H24*'Optimization Model'!H$8</f>
        <v>12</v>
      </c>
      <c r="AR24" s="4">
        <f t="shared" si="3"/>
        <v>26</v>
      </c>
      <c r="AT24" s="3" t="s">
        <v>40</v>
      </c>
      <c r="AU24" s="4">
        <f>C24*'Optimization Model'!C$9</f>
        <v>17</v>
      </c>
      <c r="AV24" s="4">
        <f>D24*'Optimization Model'!D$9</f>
        <v>0</v>
      </c>
      <c r="AW24" s="4">
        <f>E24*'Optimization Model'!E$9</f>
        <v>0</v>
      </c>
      <c r="AX24" s="4">
        <f>F24*'Optimization Model'!F$9</f>
        <v>11</v>
      </c>
      <c r="AY24" s="4">
        <f>G24*'Optimization Model'!G$9</f>
        <v>0</v>
      </c>
      <c r="AZ24" s="4">
        <f>H24*'Optimization Model'!H$9</f>
        <v>0</v>
      </c>
      <c r="BA24" s="4">
        <f t="shared" si="4"/>
        <v>28</v>
      </c>
      <c r="BC24" s="3" t="s">
        <v>40</v>
      </c>
      <c r="BD24" s="4">
        <f>C24*'Optimization Model'!C$10</f>
        <v>0</v>
      </c>
      <c r="BE24" s="4">
        <f>D24*'Optimization Model'!D$10</f>
        <v>14</v>
      </c>
      <c r="BF24" s="4">
        <f>E24*'Optimization Model'!E$10</f>
        <v>0</v>
      </c>
      <c r="BG24" s="4">
        <f>F24*'Optimization Model'!F$10</f>
        <v>11</v>
      </c>
      <c r="BH24" s="4">
        <f>G24*'Optimization Model'!G$10</f>
        <v>0</v>
      </c>
      <c r="BI24" s="4">
        <f>H24*'Optimization Model'!H$10</f>
        <v>0</v>
      </c>
      <c r="BJ24" s="4">
        <f t="shared" si="5"/>
        <v>25</v>
      </c>
      <c r="BL24" s="3" t="s">
        <v>40</v>
      </c>
      <c r="BM24" s="4">
        <f>C24*'Optimization Model'!C$11</f>
        <v>0</v>
      </c>
      <c r="BN24" s="4">
        <f>D24*'Optimization Model'!D$11</f>
        <v>0</v>
      </c>
      <c r="BO24" s="4">
        <f>E24*'Optimization Model'!E$11</f>
        <v>16</v>
      </c>
      <c r="BP24" s="4">
        <f>F24*'Optimization Model'!F$11</f>
        <v>0</v>
      </c>
      <c r="BQ24" s="4">
        <f>G24*'Optimization Model'!G$11</f>
        <v>9</v>
      </c>
      <c r="BR24" s="4">
        <f>H24*'Optimization Model'!H$11</f>
        <v>0</v>
      </c>
      <c r="BS24" s="4">
        <f t="shared" si="6"/>
        <v>25</v>
      </c>
      <c r="BU24" s="3" t="s">
        <v>40</v>
      </c>
      <c r="BV24" s="4">
        <f>C24*'Optimization Model'!C$12</f>
        <v>0</v>
      </c>
      <c r="BW24" s="4">
        <f>D24*'Optimization Model'!D$12</f>
        <v>0</v>
      </c>
      <c r="BX24" s="4">
        <f>E24*'Optimization Model'!E$12</f>
        <v>0</v>
      </c>
      <c r="BY24" s="4">
        <f>F24*'Optimization Model'!F$12</f>
        <v>0</v>
      </c>
      <c r="BZ24" s="4">
        <f>G24*'Optimization Model'!G$12</f>
        <v>9</v>
      </c>
      <c r="CA24" s="4">
        <f>H24*'Optimization Model'!H$12</f>
        <v>12</v>
      </c>
      <c r="CB24" s="4">
        <f t="shared" si="7"/>
        <v>21</v>
      </c>
      <c r="CD24" s="3" t="s">
        <v>40</v>
      </c>
      <c r="CE24" s="4">
        <f>C24*'Optimization Model'!C$13</f>
        <v>17</v>
      </c>
      <c r="CF24" s="4">
        <f>D24*'Optimization Model'!D$13</f>
        <v>0</v>
      </c>
      <c r="CG24" s="4">
        <f>E24*'Optimization Model'!E$13</f>
        <v>0</v>
      </c>
      <c r="CH24" s="4">
        <f>F24*'Optimization Model'!F$13</f>
        <v>0</v>
      </c>
      <c r="CI24" s="4">
        <f>G24*'Optimization Model'!G$13</f>
        <v>0</v>
      </c>
      <c r="CJ24" s="4">
        <f>H24*'Optimization Model'!H$13</f>
        <v>0</v>
      </c>
      <c r="CK24" s="4">
        <f t="shared" si="8"/>
        <v>17</v>
      </c>
      <c r="CM24" s="3" t="s">
        <v>40</v>
      </c>
      <c r="CN24" s="4">
        <f>C24*'Optimization Model'!C$14</f>
        <v>0</v>
      </c>
      <c r="CO24" s="4">
        <f>D24*'Optimization Model'!D$14</f>
        <v>14</v>
      </c>
      <c r="CP24" s="4">
        <f>E24*'Optimization Model'!E$14</f>
        <v>0</v>
      </c>
      <c r="CQ24" s="4">
        <f>F24*'Optimization Model'!F$14</f>
        <v>0</v>
      </c>
      <c r="CR24" s="4">
        <f>G24*'Optimization Model'!G$14</f>
        <v>0</v>
      </c>
      <c r="CS24" s="4">
        <f>H24*'Optimization Model'!H$14</f>
        <v>0</v>
      </c>
      <c r="CT24" s="4">
        <f t="shared" si="9"/>
        <v>14</v>
      </c>
      <c r="CV24" s="3" t="s">
        <v>40</v>
      </c>
      <c r="CW24" s="4">
        <f>C24*'Optimization Model'!C$15</f>
        <v>0</v>
      </c>
      <c r="CX24" s="4">
        <f>D24*'Optimization Model'!D$15</f>
        <v>0</v>
      </c>
      <c r="CY24" s="4">
        <f>E24*'Optimization Model'!E$15</f>
        <v>0</v>
      </c>
      <c r="CZ24" s="4">
        <f>F24*'Optimization Model'!F$15</f>
        <v>11</v>
      </c>
      <c r="DA24" s="4">
        <f>G24*'Optimization Model'!G$15</f>
        <v>9</v>
      </c>
      <c r="DB24" s="4">
        <f>H24*'Optimization Model'!H$15</f>
        <v>0</v>
      </c>
      <c r="DC24" s="4">
        <f t="shared" si="10"/>
        <v>20</v>
      </c>
      <c r="DE24" s="3" t="s">
        <v>40</v>
      </c>
      <c r="DF24" s="4">
        <f>C24*'Optimization Model'!C$16</f>
        <v>0</v>
      </c>
      <c r="DG24" s="4">
        <f>D24*'Optimization Model'!D$16</f>
        <v>0</v>
      </c>
      <c r="DH24" s="4">
        <f>E24*'Optimization Model'!E$16</f>
        <v>16</v>
      </c>
      <c r="DI24" s="4">
        <f>F24*'Optimization Model'!F$16</f>
        <v>0</v>
      </c>
      <c r="DJ24" s="4">
        <f>G24*'Optimization Model'!G$16</f>
        <v>0</v>
      </c>
      <c r="DK24" s="4">
        <f>H24*'Optimization Model'!H$16</f>
        <v>0</v>
      </c>
      <c r="DL24" s="4">
        <f t="shared" si="11"/>
        <v>16</v>
      </c>
      <c r="DN24" s="3" t="s">
        <v>40</v>
      </c>
      <c r="DO24" s="4">
        <f>C24*'Optimization Model'!C$17</f>
        <v>0</v>
      </c>
      <c r="DP24" s="4">
        <f>D24*'Optimization Model'!D$17</f>
        <v>0</v>
      </c>
      <c r="DQ24" s="4">
        <f>E24*'Optimization Model'!E$17</f>
        <v>16</v>
      </c>
      <c r="DR24" s="4">
        <f>F24*'Optimization Model'!F$17</f>
        <v>0</v>
      </c>
      <c r="DS24" s="4">
        <f>G24*'Optimization Model'!G$17</f>
        <v>9</v>
      </c>
      <c r="DT24" s="4">
        <f>H24*'Optimization Model'!H$17</f>
        <v>0</v>
      </c>
      <c r="DU24" s="4">
        <f t="shared" si="12"/>
        <v>25</v>
      </c>
      <c r="DW24" s="3" t="s">
        <v>40</v>
      </c>
      <c r="DX24" s="4">
        <f>C24*'Optimization Model'!C$18</f>
        <v>0</v>
      </c>
      <c r="DY24" s="4">
        <f>D24*'Optimization Model'!D$18</f>
        <v>0</v>
      </c>
      <c r="DZ24" s="4">
        <f>E24*'Optimization Model'!E$18</f>
        <v>16</v>
      </c>
      <c r="EA24" s="4">
        <f>F24*'Optimization Model'!F$18</f>
        <v>11</v>
      </c>
      <c r="EB24" s="4">
        <f>G24*'Optimization Model'!G$18</f>
        <v>0</v>
      </c>
      <c r="EC24" s="4">
        <f>H24*'Optimization Model'!H$18</f>
        <v>0</v>
      </c>
      <c r="ED24" s="4">
        <f t="shared" si="13"/>
        <v>27</v>
      </c>
      <c r="EF24" s="3" t="s">
        <v>40</v>
      </c>
      <c r="EG24" s="4">
        <f>C24*'Optimization Model'!C$19</f>
        <v>0</v>
      </c>
      <c r="EH24" s="4">
        <f>D24*'Optimization Model'!D$19</f>
        <v>0</v>
      </c>
      <c r="EI24" s="4">
        <f>E24*'Optimization Model'!E$19</f>
        <v>0</v>
      </c>
      <c r="EJ24" s="4">
        <f>F24*'Optimization Model'!F$19</f>
        <v>0</v>
      </c>
      <c r="EK24" s="4">
        <f>G24*'Optimization Model'!G$19</f>
        <v>0</v>
      </c>
      <c r="EL24" s="4">
        <f>H24*'Optimization Model'!H$19</f>
        <v>12</v>
      </c>
      <c r="EM24" s="4">
        <f t="shared" si="14"/>
        <v>12</v>
      </c>
      <c r="EO24" s="3" t="s">
        <v>40</v>
      </c>
      <c r="EP24" s="4">
        <f>C24*'Optimization Model'!C$20</f>
        <v>0</v>
      </c>
      <c r="EQ24" s="4">
        <f>D24*'Optimization Model'!D$20</f>
        <v>0</v>
      </c>
      <c r="ER24" s="4">
        <f>E24*'Optimization Model'!E$20</f>
        <v>0</v>
      </c>
      <c r="ES24" s="4">
        <f>F24*'Optimization Model'!F$20</f>
        <v>0</v>
      </c>
      <c r="ET24" s="4">
        <f>G24*'Optimization Model'!G$20</f>
        <v>0</v>
      </c>
      <c r="EU24" s="4">
        <f>H24*'Optimization Model'!H$20</f>
        <v>12</v>
      </c>
      <c r="EV24" s="4">
        <f t="shared" si="15"/>
        <v>12</v>
      </c>
    </row>
    <row r="25" spans="2:152" x14ac:dyDescent="0.35">
      <c r="B25" s="3" t="s">
        <v>41</v>
      </c>
      <c r="C25" s="4">
        <f>'Data- Refined'!U25</f>
        <v>5</v>
      </c>
      <c r="D25" s="4">
        <f>'Data- Refined'!V25</f>
        <v>8</v>
      </c>
      <c r="E25" s="4">
        <f>'Data- Refined'!W25</f>
        <v>4</v>
      </c>
      <c r="F25" s="4">
        <f>'Data- Refined'!X25</f>
        <v>4</v>
      </c>
      <c r="G25" s="4">
        <f>'Data- Refined'!Y25</f>
        <v>3</v>
      </c>
      <c r="H25" s="4">
        <f>'Data- Refined'!Z25</f>
        <v>0</v>
      </c>
      <c r="J25" s="3" t="s">
        <v>41</v>
      </c>
      <c r="K25" s="4">
        <f>C25*'Optimization Model'!C$5</f>
        <v>5</v>
      </c>
      <c r="L25" s="4">
        <f>D25*'Optimization Model'!D$5</f>
        <v>0</v>
      </c>
      <c r="M25" s="4">
        <f>E25*'Optimization Model'!E$5</f>
        <v>0</v>
      </c>
      <c r="N25" s="4">
        <f>F25*'Optimization Model'!F$5</f>
        <v>0</v>
      </c>
      <c r="O25" s="4">
        <f>G25*'Optimization Model'!G$5</f>
        <v>0</v>
      </c>
      <c r="P25" s="4">
        <f>H25*'Optimization Model'!H$5</f>
        <v>0</v>
      </c>
      <c r="Q25" s="4">
        <f t="shared" si="0"/>
        <v>5</v>
      </c>
      <c r="R25" s="8"/>
      <c r="S25" s="3" t="s">
        <v>41</v>
      </c>
      <c r="T25" s="4">
        <f>C25*'Optimization Model'!C$6</f>
        <v>0</v>
      </c>
      <c r="U25" s="4">
        <f>D25*'Optimization Model'!D$6</f>
        <v>8</v>
      </c>
      <c r="V25" s="4">
        <f>E25*'Optimization Model'!E$6</f>
        <v>0</v>
      </c>
      <c r="W25" s="4">
        <f>F25*'Optimization Model'!F$6</f>
        <v>0</v>
      </c>
      <c r="X25" s="4">
        <f>G25*'Optimization Model'!G$6</f>
        <v>0</v>
      </c>
      <c r="Y25" s="4">
        <f>H25*'Optimization Model'!H$6</f>
        <v>0</v>
      </c>
      <c r="Z25" s="4">
        <f t="shared" si="1"/>
        <v>8</v>
      </c>
      <c r="AB25" s="3" t="s">
        <v>41</v>
      </c>
      <c r="AC25" s="4">
        <f>C25*'Optimization Model'!C$7</f>
        <v>5</v>
      </c>
      <c r="AD25" s="4">
        <f>D25*'Optimization Model'!D$7</f>
        <v>0</v>
      </c>
      <c r="AE25" s="4">
        <f>E25*'Optimization Model'!E$7</f>
        <v>0</v>
      </c>
      <c r="AF25" s="4">
        <f>F25*'Optimization Model'!F$7</f>
        <v>0</v>
      </c>
      <c r="AG25" s="4">
        <f>G25*'Optimization Model'!G$7</f>
        <v>0</v>
      </c>
      <c r="AH25" s="4">
        <f>H25*'Optimization Model'!H$7</f>
        <v>0</v>
      </c>
      <c r="AI25" s="4">
        <f t="shared" si="2"/>
        <v>5</v>
      </c>
      <c r="AK25" s="3" t="s">
        <v>41</v>
      </c>
      <c r="AL25" s="4">
        <f>C25*'Optimization Model'!C$8</f>
        <v>0</v>
      </c>
      <c r="AM25" s="4">
        <f>D25*'Optimization Model'!D$8</f>
        <v>8</v>
      </c>
      <c r="AN25" s="4">
        <f>E25*'Optimization Model'!E$8</f>
        <v>0</v>
      </c>
      <c r="AO25" s="4">
        <f>F25*'Optimization Model'!F$8</f>
        <v>0</v>
      </c>
      <c r="AP25" s="4">
        <f>G25*'Optimization Model'!G$8</f>
        <v>0</v>
      </c>
      <c r="AQ25" s="4">
        <f>H25*'Optimization Model'!H$8</f>
        <v>0</v>
      </c>
      <c r="AR25" s="4">
        <f t="shared" si="3"/>
        <v>8</v>
      </c>
      <c r="AT25" s="3" t="s">
        <v>41</v>
      </c>
      <c r="AU25" s="4">
        <f>C25*'Optimization Model'!C$9</f>
        <v>5</v>
      </c>
      <c r="AV25" s="4">
        <f>D25*'Optimization Model'!D$9</f>
        <v>0</v>
      </c>
      <c r="AW25" s="4">
        <f>E25*'Optimization Model'!E$9</f>
        <v>0</v>
      </c>
      <c r="AX25" s="4">
        <f>F25*'Optimization Model'!F$9</f>
        <v>4</v>
      </c>
      <c r="AY25" s="4">
        <f>G25*'Optimization Model'!G$9</f>
        <v>0</v>
      </c>
      <c r="AZ25" s="4">
        <f>H25*'Optimization Model'!H$9</f>
        <v>0</v>
      </c>
      <c r="BA25" s="4">
        <f t="shared" si="4"/>
        <v>9</v>
      </c>
      <c r="BC25" s="3" t="s">
        <v>41</v>
      </c>
      <c r="BD25" s="4">
        <f>C25*'Optimization Model'!C$10</f>
        <v>0</v>
      </c>
      <c r="BE25" s="4">
        <f>D25*'Optimization Model'!D$10</f>
        <v>8</v>
      </c>
      <c r="BF25" s="4">
        <f>E25*'Optimization Model'!E$10</f>
        <v>0</v>
      </c>
      <c r="BG25" s="4">
        <f>F25*'Optimization Model'!F$10</f>
        <v>4</v>
      </c>
      <c r="BH25" s="4">
        <f>G25*'Optimization Model'!G$10</f>
        <v>0</v>
      </c>
      <c r="BI25" s="4">
        <f>H25*'Optimization Model'!H$10</f>
        <v>0</v>
      </c>
      <c r="BJ25" s="4">
        <f t="shared" si="5"/>
        <v>12</v>
      </c>
      <c r="BL25" s="3" t="s">
        <v>41</v>
      </c>
      <c r="BM25" s="4">
        <f>C25*'Optimization Model'!C$11</f>
        <v>0</v>
      </c>
      <c r="BN25" s="4">
        <f>D25*'Optimization Model'!D$11</f>
        <v>0</v>
      </c>
      <c r="BO25" s="4">
        <f>E25*'Optimization Model'!E$11</f>
        <v>4</v>
      </c>
      <c r="BP25" s="4">
        <f>F25*'Optimization Model'!F$11</f>
        <v>0</v>
      </c>
      <c r="BQ25" s="4">
        <f>G25*'Optimization Model'!G$11</f>
        <v>3</v>
      </c>
      <c r="BR25" s="4">
        <f>H25*'Optimization Model'!H$11</f>
        <v>0</v>
      </c>
      <c r="BS25" s="4">
        <f t="shared" si="6"/>
        <v>7</v>
      </c>
      <c r="BU25" s="3" t="s">
        <v>41</v>
      </c>
      <c r="BV25" s="4">
        <f>C25*'Optimization Model'!C$12</f>
        <v>0</v>
      </c>
      <c r="BW25" s="4">
        <f>D25*'Optimization Model'!D$12</f>
        <v>0</v>
      </c>
      <c r="BX25" s="4">
        <f>E25*'Optimization Model'!E$12</f>
        <v>0</v>
      </c>
      <c r="BY25" s="4">
        <f>F25*'Optimization Model'!F$12</f>
        <v>0</v>
      </c>
      <c r="BZ25" s="4">
        <f>G25*'Optimization Model'!G$12</f>
        <v>3</v>
      </c>
      <c r="CA25" s="4">
        <f>H25*'Optimization Model'!H$12</f>
        <v>0</v>
      </c>
      <c r="CB25" s="4">
        <f t="shared" si="7"/>
        <v>3</v>
      </c>
      <c r="CD25" s="3" t="s">
        <v>41</v>
      </c>
      <c r="CE25" s="4">
        <f>C25*'Optimization Model'!C$13</f>
        <v>5</v>
      </c>
      <c r="CF25" s="4">
        <f>D25*'Optimization Model'!D$13</f>
        <v>0</v>
      </c>
      <c r="CG25" s="4">
        <f>E25*'Optimization Model'!E$13</f>
        <v>0</v>
      </c>
      <c r="CH25" s="4">
        <f>F25*'Optimization Model'!F$13</f>
        <v>0</v>
      </c>
      <c r="CI25" s="4">
        <f>G25*'Optimization Model'!G$13</f>
        <v>0</v>
      </c>
      <c r="CJ25" s="4">
        <f>H25*'Optimization Model'!H$13</f>
        <v>0</v>
      </c>
      <c r="CK25" s="4">
        <f t="shared" si="8"/>
        <v>5</v>
      </c>
      <c r="CM25" s="3" t="s">
        <v>41</v>
      </c>
      <c r="CN25" s="4">
        <f>C25*'Optimization Model'!C$14</f>
        <v>0</v>
      </c>
      <c r="CO25" s="4">
        <f>D25*'Optimization Model'!D$14</f>
        <v>8</v>
      </c>
      <c r="CP25" s="4">
        <f>E25*'Optimization Model'!E$14</f>
        <v>0</v>
      </c>
      <c r="CQ25" s="4">
        <f>F25*'Optimization Model'!F$14</f>
        <v>0</v>
      </c>
      <c r="CR25" s="4">
        <f>G25*'Optimization Model'!G$14</f>
        <v>0</v>
      </c>
      <c r="CS25" s="4">
        <f>H25*'Optimization Model'!H$14</f>
        <v>0</v>
      </c>
      <c r="CT25" s="4">
        <f t="shared" si="9"/>
        <v>8</v>
      </c>
      <c r="CV25" s="3" t="s">
        <v>41</v>
      </c>
      <c r="CW25" s="4">
        <f>C25*'Optimization Model'!C$15</f>
        <v>0</v>
      </c>
      <c r="CX25" s="4">
        <f>D25*'Optimization Model'!D$15</f>
        <v>0</v>
      </c>
      <c r="CY25" s="4">
        <f>E25*'Optimization Model'!E$15</f>
        <v>0</v>
      </c>
      <c r="CZ25" s="4">
        <f>F25*'Optimization Model'!F$15</f>
        <v>4</v>
      </c>
      <c r="DA25" s="4">
        <f>G25*'Optimization Model'!G$15</f>
        <v>3</v>
      </c>
      <c r="DB25" s="4">
        <f>H25*'Optimization Model'!H$15</f>
        <v>0</v>
      </c>
      <c r="DC25" s="4">
        <f t="shared" si="10"/>
        <v>7</v>
      </c>
      <c r="DE25" s="3" t="s">
        <v>41</v>
      </c>
      <c r="DF25" s="4">
        <f>C25*'Optimization Model'!C$16</f>
        <v>0</v>
      </c>
      <c r="DG25" s="4">
        <f>D25*'Optimization Model'!D$16</f>
        <v>0</v>
      </c>
      <c r="DH25" s="4">
        <f>E25*'Optimization Model'!E$16</f>
        <v>4</v>
      </c>
      <c r="DI25" s="4">
        <f>F25*'Optimization Model'!F$16</f>
        <v>0</v>
      </c>
      <c r="DJ25" s="4">
        <f>G25*'Optimization Model'!G$16</f>
        <v>0</v>
      </c>
      <c r="DK25" s="4">
        <f>H25*'Optimization Model'!H$16</f>
        <v>0</v>
      </c>
      <c r="DL25" s="4">
        <f t="shared" si="11"/>
        <v>4</v>
      </c>
      <c r="DN25" s="3" t="s">
        <v>41</v>
      </c>
      <c r="DO25" s="4">
        <f>C25*'Optimization Model'!C$17</f>
        <v>0</v>
      </c>
      <c r="DP25" s="4">
        <f>D25*'Optimization Model'!D$17</f>
        <v>0</v>
      </c>
      <c r="DQ25" s="4">
        <f>E25*'Optimization Model'!E$17</f>
        <v>4</v>
      </c>
      <c r="DR25" s="4">
        <f>F25*'Optimization Model'!F$17</f>
        <v>0</v>
      </c>
      <c r="DS25" s="4">
        <f>G25*'Optimization Model'!G$17</f>
        <v>3</v>
      </c>
      <c r="DT25" s="4">
        <f>H25*'Optimization Model'!H$17</f>
        <v>0</v>
      </c>
      <c r="DU25" s="4">
        <f t="shared" si="12"/>
        <v>7</v>
      </c>
      <c r="DW25" s="3" t="s">
        <v>41</v>
      </c>
      <c r="DX25" s="4">
        <f>C25*'Optimization Model'!C$18</f>
        <v>0</v>
      </c>
      <c r="DY25" s="4">
        <f>D25*'Optimization Model'!D$18</f>
        <v>0</v>
      </c>
      <c r="DZ25" s="4">
        <f>E25*'Optimization Model'!E$18</f>
        <v>4</v>
      </c>
      <c r="EA25" s="4">
        <f>F25*'Optimization Model'!F$18</f>
        <v>4</v>
      </c>
      <c r="EB25" s="4">
        <f>G25*'Optimization Model'!G$18</f>
        <v>0</v>
      </c>
      <c r="EC25" s="4">
        <f>H25*'Optimization Model'!H$18</f>
        <v>0</v>
      </c>
      <c r="ED25" s="4">
        <f t="shared" si="13"/>
        <v>8</v>
      </c>
      <c r="EF25" s="3" t="s">
        <v>41</v>
      </c>
      <c r="EG25" s="4">
        <f>C25*'Optimization Model'!C$19</f>
        <v>0</v>
      </c>
      <c r="EH25" s="4">
        <f>D25*'Optimization Model'!D$19</f>
        <v>0</v>
      </c>
      <c r="EI25" s="4">
        <f>E25*'Optimization Model'!E$19</f>
        <v>0</v>
      </c>
      <c r="EJ25" s="4">
        <f>F25*'Optimization Model'!F$19</f>
        <v>0</v>
      </c>
      <c r="EK25" s="4">
        <f>G25*'Optimization Model'!G$19</f>
        <v>0</v>
      </c>
      <c r="EL25" s="4">
        <f>H25*'Optimization Model'!H$19</f>
        <v>0</v>
      </c>
      <c r="EM25" s="4">
        <f t="shared" si="14"/>
        <v>0</v>
      </c>
      <c r="EO25" s="3" t="s">
        <v>41</v>
      </c>
      <c r="EP25" s="4">
        <f>C25*'Optimization Model'!C$20</f>
        <v>0</v>
      </c>
      <c r="EQ25" s="4">
        <f>D25*'Optimization Model'!D$20</f>
        <v>0</v>
      </c>
      <c r="ER25" s="4">
        <f>E25*'Optimization Model'!E$20</f>
        <v>0</v>
      </c>
      <c r="ES25" s="4">
        <f>F25*'Optimization Model'!F$20</f>
        <v>0</v>
      </c>
      <c r="ET25" s="4">
        <f>G25*'Optimization Model'!G$20</f>
        <v>0</v>
      </c>
      <c r="EU25" s="4">
        <f>H25*'Optimization Model'!H$20</f>
        <v>0</v>
      </c>
      <c r="EV25" s="4">
        <f t="shared" si="15"/>
        <v>0</v>
      </c>
    </row>
    <row r="26" spans="2:152" x14ac:dyDescent="0.35">
      <c r="B26" s="3" t="s">
        <v>42</v>
      </c>
      <c r="C26" s="4">
        <f>'Data- Refined'!U26</f>
        <v>5</v>
      </c>
      <c r="D26" s="4">
        <f>'Data- Refined'!V26</f>
        <v>8</v>
      </c>
      <c r="E26" s="4">
        <f>'Data- Refined'!W26</f>
        <v>3</v>
      </c>
      <c r="F26" s="4">
        <f>'Data- Refined'!X26</f>
        <v>2</v>
      </c>
      <c r="G26" s="4">
        <f>'Data- Refined'!Y26</f>
        <v>2</v>
      </c>
      <c r="H26" s="4">
        <f>'Data- Refined'!Z26</f>
        <v>3</v>
      </c>
      <c r="J26" s="3" t="s">
        <v>42</v>
      </c>
      <c r="K26" s="4">
        <f>C26*'Optimization Model'!C$5</f>
        <v>5</v>
      </c>
      <c r="L26" s="4">
        <f>D26*'Optimization Model'!D$5</f>
        <v>0</v>
      </c>
      <c r="M26" s="4">
        <f>E26*'Optimization Model'!E$5</f>
        <v>0</v>
      </c>
      <c r="N26" s="4">
        <f>F26*'Optimization Model'!F$5</f>
        <v>0</v>
      </c>
      <c r="O26" s="4">
        <f>G26*'Optimization Model'!G$5</f>
        <v>0</v>
      </c>
      <c r="P26" s="4">
        <f>H26*'Optimization Model'!H$5</f>
        <v>0</v>
      </c>
      <c r="Q26" s="4">
        <f t="shared" si="0"/>
        <v>5</v>
      </c>
      <c r="R26" s="8"/>
      <c r="S26" s="3" t="s">
        <v>42</v>
      </c>
      <c r="T26" s="4">
        <f>C26*'Optimization Model'!C$6</f>
        <v>0</v>
      </c>
      <c r="U26" s="4">
        <f>D26*'Optimization Model'!D$6</f>
        <v>8</v>
      </c>
      <c r="V26" s="4">
        <f>E26*'Optimization Model'!E$6</f>
        <v>0</v>
      </c>
      <c r="W26" s="4">
        <f>F26*'Optimization Model'!F$6</f>
        <v>0</v>
      </c>
      <c r="X26" s="4">
        <f>G26*'Optimization Model'!G$6</f>
        <v>0</v>
      </c>
      <c r="Y26" s="4">
        <f>H26*'Optimization Model'!H$6</f>
        <v>0</v>
      </c>
      <c r="Z26" s="4">
        <f t="shared" si="1"/>
        <v>8</v>
      </c>
      <c r="AB26" s="3" t="s">
        <v>42</v>
      </c>
      <c r="AC26" s="4">
        <f>C26*'Optimization Model'!C$7</f>
        <v>5</v>
      </c>
      <c r="AD26" s="4">
        <f>D26*'Optimization Model'!D$7</f>
        <v>0</v>
      </c>
      <c r="AE26" s="4">
        <f>E26*'Optimization Model'!E$7</f>
        <v>0</v>
      </c>
      <c r="AF26" s="4">
        <f>F26*'Optimization Model'!F$7</f>
        <v>0</v>
      </c>
      <c r="AG26" s="4">
        <f>G26*'Optimization Model'!G$7</f>
        <v>0</v>
      </c>
      <c r="AH26" s="4">
        <f>H26*'Optimization Model'!H$7</f>
        <v>0</v>
      </c>
      <c r="AI26" s="4">
        <f t="shared" si="2"/>
        <v>5</v>
      </c>
      <c r="AK26" s="3" t="s">
        <v>42</v>
      </c>
      <c r="AL26" s="4">
        <f>C26*'Optimization Model'!C$8</f>
        <v>0</v>
      </c>
      <c r="AM26" s="4">
        <f>D26*'Optimization Model'!D$8</f>
        <v>8</v>
      </c>
      <c r="AN26" s="4">
        <f>E26*'Optimization Model'!E$8</f>
        <v>0</v>
      </c>
      <c r="AO26" s="4">
        <f>F26*'Optimization Model'!F$8</f>
        <v>0</v>
      </c>
      <c r="AP26" s="4">
        <f>G26*'Optimization Model'!G$8</f>
        <v>0</v>
      </c>
      <c r="AQ26" s="4">
        <f>H26*'Optimization Model'!H$8</f>
        <v>3</v>
      </c>
      <c r="AR26" s="4">
        <f t="shared" si="3"/>
        <v>11</v>
      </c>
      <c r="AT26" s="3" t="s">
        <v>42</v>
      </c>
      <c r="AU26" s="4">
        <f>C26*'Optimization Model'!C$9</f>
        <v>5</v>
      </c>
      <c r="AV26" s="4">
        <f>D26*'Optimization Model'!D$9</f>
        <v>0</v>
      </c>
      <c r="AW26" s="4">
        <f>E26*'Optimization Model'!E$9</f>
        <v>0</v>
      </c>
      <c r="AX26" s="4">
        <f>F26*'Optimization Model'!F$9</f>
        <v>2</v>
      </c>
      <c r="AY26" s="4">
        <f>G26*'Optimization Model'!G$9</f>
        <v>0</v>
      </c>
      <c r="AZ26" s="4">
        <f>H26*'Optimization Model'!H$9</f>
        <v>0</v>
      </c>
      <c r="BA26" s="4">
        <f t="shared" si="4"/>
        <v>7</v>
      </c>
      <c r="BC26" s="3" t="s">
        <v>42</v>
      </c>
      <c r="BD26" s="4">
        <f>C26*'Optimization Model'!C$10</f>
        <v>0</v>
      </c>
      <c r="BE26" s="4">
        <f>D26*'Optimization Model'!D$10</f>
        <v>8</v>
      </c>
      <c r="BF26" s="4">
        <f>E26*'Optimization Model'!E$10</f>
        <v>0</v>
      </c>
      <c r="BG26" s="4">
        <f>F26*'Optimization Model'!F$10</f>
        <v>2</v>
      </c>
      <c r="BH26" s="4">
        <f>G26*'Optimization Model'!G$10</f>
        <v>0</v>
      </c>
      <c r="BI26" s="4">
        <f>H26*'Optimization Model'!H$10</f>
        <v>0</v>
      </c>
      <c r="BJ26" s="4">
        <f t="shared" si="5"/>
        <v>10</v>
      </c>
      <c r="BL26" s="3" t="s">
        <v>42</v>
      </c>
      <c r="BM26" s="4">
        <f>C26*'Optimization Model'!C$11</f>
        <v>0</v>
      </c>
      <c r="BN26" s="4">
        <f>D26*'Optimization Model'!D$11</f>
        <v>0</v>
      </c>
      <c r="BO26" s="4">
        <f>E26*'Optimization Model'!E$11</f>
        <v>3</v>
      </c>
      <c r="BP26" s="4">
        <f>F26*'Optimization Model'!F$11</f>
        <v>0</v>
      </c>
      <c r="BQ26" s="4">
        <f>G26*'Optimization Model'!G$11</f>
        <v>2</v>
      </c>
      <c r="BR26" s="4">
        <f>H26*'Optimization Model'!H$11</f>
        <v>0</v>
      </c>
      <c r="BS26" s="4">
        <f t="shared" si="6"/>
        <v>5</v>
      </c>
      <c r="BU26" s="3" t="s">
        <v>42</v>
      </c>
      <c r="BV26" s="4">
        <f>C26*'Optimization Model'!C$12</f>
        <v>0</v>
      </c>
      <c r="BW26" s="4">
        <f>D26*'Optimization Model'!D$12</f>
        <v>0</v>
      </c>
      <c r="BX26" s="4">
        <f>E26*'Optimization Model'!E$12</f>
        <v>0</v>
      </c>
      <c r="BY26" s="4">
        <f>F26*'Optimization Model'!F$12</f>
        <v>0</v>
      </c>
      <c r="BZ26" s="4">
        <f>G26*'Optimization Model'!G$12</f>
        <v>2</v>
      </c>
      <c r="CA26" s="4">
        <f>H26*'Optimization Model'!H$12</f>
        <v>3</v>
      </c>
      <c r="CB26" s="4">
        <f t="shared" si="7"/>
        <v>5</v>
      </c>
      <c r="CD26" s="3" t="s">
        <v>42</v>
      </c>
      <c r="CE26" s="4">
        <f>C26*'Optimization Model'!C$13</f>
        <v>5</v>
      </c>
      <c r="CF26" s="4">
        <f>D26*'Optimization Model'!D$13</f>
        <v>0</v>
      </c>
      <c r="CG26" s="4">
        <f>E26*'Optimization Model'!E$13</f>
        <v>0</v>
      </c>
      <c r="CH26" s="4">
        <f>F26*'Optimization Model'!F$13</f>
        <v>0</v>
      </c>
      <c r="CI26" s="4">
        <f>G26*'Optimization Model'!G$13</f>
        <v>0</v>
      </c>
      <c r="CJ26" s="4">
        <f>H26*'Optimization Model'!H$13</f>
        <v>0</v>
      </c>
      <c r="CK26" s="4">
        <f t="shared" si="8"/>
        <v>5</v>
      </c>
      <c r="CM26" s="3" t="s">
        <v>42</v>
      </c>
      <c r="CN26" s="4">
        <f>C26*'Optimization Model'!C$14</f>
        <v>0</v>
      </c>
      <c r="CO26" s="4">
        <f>D26*'Optimization Model'!D$14</f>
        <v>8</v>
      </c>
      <c r="CP26" s="4">
        <f>E26*'Optimization Model'!E$14</f>
        <v>0</v>
      </c>
      <c r="CQ26" s="4">
        <f>F26*'Optimization Model'!F$14</f>
        <v>0</v>
      </c>
      <c r="CR26" s="4">
        <f>G26*'Optimization Model'!G$14</f>
        <v>0</v>
      </c>
      <c r="CS26" s="4">
        <f>H26*'Optimization Model'!H$14</f>
        <v>0</v>
      </c>
      <c r="CT26" s="4">
        <f t="shared" si="9"/>
        <v>8</v>
      </c>
      <c r="CV26" s="3" t="s">
        <v>42</v>
      </c>
      <c r="CW26" s="4">
        <f>C26*'Optimization Model'!C$15</f>
        <v>0</v>
      </c>
      <c r="CX26" s="4">
        <f>D26*'Optimization Model'!D$15</f>
        <v>0</v>
      </c>
      <c r="CY26" s="4">
        <f>E26*'Optimization Model'!E$15</f>
        <v>0</v>
      </c>
      <c r="CZ26" s="4">
        <f>F26*'Optimization Model'!F$15</f>
        <v>2</v>
      </c>
      <c r="DA26" s="4">
        <f>G26*'Optimization Model'!G$15</f>
        <v>2</v>
      </c>
      <c r="DB26" s="4">
        <f>H26*'Optimization Model'!H$15</f>
        <v>0</v>
      </c>
      <c r="DC26" s="4">
        <f t="shared" si="10"/>
        <v>4</v>
      </c>
      <c r="DE26" s="3" t="s">
        <v>42</v>
      </c>
      <c r="DF26" s="4">
        <f>C26*'Optimization Model'!C$16</f>
        <v>0</v>
      </c>
      <c r="DG26" s="4">
        <f>D26*'Optimization Model'!D$16</f>
        <v>0</v>
      </c>
      <c r="DH26" s="4">
        <f>E26*'Optimization Model'!E$16</f>
        <v>3</v>
      </c>
      <c r="DI26" s="4">
        <f>F26*'Optimization Model'!F$16</f>
        <v>0</v>
      </c>
      <c r="DJ26" s="4">
        <f>G26*'Optimization Model'!G$16</f>
        <v>0</v>
      </c>
      <c r="DK26" s="4">
        <f>H26*'Optimization Model'!H$16</f>
        <v>0</v>
      </c>
      <c r="DL26" s="4">
        <f t="shared" si="11"/>
        <v>3</v>
      </c>
      <c r="DN26" s="3" t="s">
        <v>42</v>
      </c>
      <c r="DO26" s="4">
        <f>C26*'Optimization Model'!C$17</f>
        <v>0</v>
      </c>
      <c r="DP26" s="4">
        <f>D26*'Optimization Model'!D$17</f>
        <v>0</v>
      </c>
      <c r="DQ26" s="4">
        <f>E26*'Optimization Model'!E$17</f>
        <v>3</v>
      </c>
      <c r="DR26" s="4">
        <f>F26*'Optimization Model'!F$17</f>
        <v>0</v>
      </c>
      <c r="DS26" s="4">
        <f>G26*'Optimization Model'!G$17</f>
        <v>2</v>
      </c>
      <c r="DT26" s="4">
        <f>H26*'Optimization Model'!H$17</f>
        <v>0</v>
      </c>
      <c r="DU26" s="4">
        <f t="shared" si="12"/>
        <v>5</v>
      </c>
      <c r="DW26" s="3" t="s">
        <v>42</v>
      </c>
      <c r="DX26" s="4">
        <f>C26*'Optimization Model'!C$18</f>
        <v>0</v>
      </c>
      <c r="DY26" s="4">
        <f>D26*'Optimization Model'!D$18</f>
        <v>0</v>
      </c>
      <c r="DZ26" s="4">
        <f>E26*'Optimization Model'!E$18</f>
        <v>3</v>
      </c>
      <c r="EA26" s="4">
        <f>F26*'Optimization Model'!F$18</f>
        <v>2</v>
      </c>
      <c r="EB26" s="4">
        <f>G26*'Optimization Model'!G$18</f>
        <v>0</v>
      </c>
      <c r="EC26" s="4">
        <f>H26*'Optimization Model'!H$18</f>
        <v>0</v>
      </c>
      <c r="ED26" s="4">
        <f t="shared" si="13"/>
        <v>5</v>
      </c>
      <c r="EF26" s="3" t="s">
        <v>42</v>
      </c>
      <c r="EG26" s="4">
        <f>C26*'Optimization Model'!C$19</f>
        <v>0</v>
      </c>
      <c r="EH26" s="4">
        <f>D26*'Optimization Model'!D$19</f>
        <v>0</v>
      </c>
      <c r="EI26" s="4">
        <f>E26*'Optimization Model'!E$19</f>
        <v>0</v>
      </c>
      <c r="EJ26" s="4">
        <f>F26*'Optimization Model'!F$19</f>
        <v>0</v>
      </c>
      <c r="EK26" s="4">
        <f>G26*'Optimization Model'!G$19</f>
        <v>0</v>
      </c>
      <c r="EL26" s="4">
        <f>H26*'Optimization Model'!H$19</f>
        <v>3</v>
      </c>
      <c r="EM26" s="4">
        <f t="shared" si="14"/>
        <v>3</v>
      </c>
      <c r="EO26" s="3" t="s">
        <v>42</v>
      </c>
      <c r="EP26" s="4">
        <f>C26*'Optimization Model'!C$20</f>
        <v>0</v>
      </c>
      <c r="EQ26" s="4">
        <f>D26*'Optimization Model'!D$20</f>
        <v>0</v>
      </c>
      <c r="ER26" s="4">
        <f>E26*'Optimization Model'!E$20</f>
        <v>0</v>
      </c>
      <c r="ES26" s="4">
        <f>F26*'Optimization Model'!F$20</f>
        <v>0</v>
      </c>
      <c r="ET26" s="4">
        <f>G26*'Optimization Model'!G$20</f>
        <v>0</v>
      </c>
      <c r="EU26" s="4">
        <f>H26*'Optimization Model'!H$20</f>
        <v>3</v>
      </c>
      <c r="EV26" s="4">
        <f t="shared" si="15"/>
        <v>3</v>
      </c>
    </row>
    <row r="27" spans="2:152" x14ac:dyDescent="0.35">
      <c r="B27" s="3" t="s">
        <v>43</v>
      </c>
      <c r="C27" s="4">
        <f>'Data- Refined'!U27</f>
        <v>9</v>
      </c>
      <c r="D27" s="4">
        <f>'Data- Refined'!V27</f>
        <v>7</v>
      </c>
      <c r="E27" s="4">
        <f>'Data- Refined'!W27</f>
        <v>9</v>
      </c>
      <c r="F27" s="4">
        <f>'Data- Refined'!X27</f>
        <v>4</v>
      </c>
      <c r="G27" s="4">
        <f>'Data- Refined'!Y27</f>
        <v>3</v>
      </c>
      <c r="H27" s="4">
        <f>'Data- Refined'!Z27</f>
        <v>5</v>
      </c>
      <c r="J27" s="3" t="s">
        <v>43</v>
      </c>
      <c r="K27" s="4">
        <f>C27*'Optimization Model'!C$5</f>
        <v>9</v>
      </c>
      <c r="L27" s="4">
        <f>D27*'Optimization Model'!D$5</f>
        <v>0</v>
      </c>
      <c r="M27" s="4">
        <f>E27*'Optimization Model'!E$5</f>
        <v>0</v>
      </c>
      <c r="N27" s="4">
        <f>F27*'Optimization Model'!F$5</f>
        <v>0</v>
      </c>
      <c r="O27" s="4">
        <f>G27*'Optimization Model'!G$5</f>
        <v>0</v>
      </c>
      <c r="P27" s="4">
        <f>H27*'Optimization Model'!H$5</f>
        <v>0</v>
      </c>
      <c r="Q27" s="4">
        <f t="shared" si="0"/>
        <v>9</v>
      </c>
      <c r="R27" s="8"/>
      <c r="S27" s="3" t="s">
        <v>43</v>
      </c>
      <c r="T27" s="4">
        <f>C27*'Optimization Model'!C$6</f>
        <v>0</v>
      </c>
      <c r="U27" s="4">
        <f>D27*'Optimization Model'!D$6</f>
        <v>7</v>
      </c>
      <c r="V27" s="4">
        <f>E27*'Optimization Model'!E$6</f>
        <v>0</v>
      </c>
      <c r="W27" s="4">
        <f>F27*'Optimization Model'!F$6</f>
        <v>0</v>
      </c>
      <c r="X27" s="4">
        <f>G27*'Optimization Model'!G$6</f>
        <v>0</v>
      </c>
      <c r="Y27" s="4">
        <f>H27*'Optimization Model'!H$6</f>
        <v>0</v>
      </c>
      <c r="Z27" s="4">
        <f t="shared" si="1"/>
        <v>7</v>
      </c>
      <c r="AB27" s="3" t="s">
        <v>43</v>
      </c>
      <c r="AC27" s="4">
        <f>C27*'Optimization Model'!C$7</f>
        <v>9</v>
      </c>
      <c r="AD27" s="4">
        <f>D27*'Optimization Model'!D$7</f>
        <v>0</v>
      </c>
      <c r="AE27" s="4">
        <f>E27*'Optimization Model'!E$7</f>
        <v>0</v>
      </c>
      <c r="AF27" s="4">
        <f>F27*'Optimization Model'!F$7</f>
        <v>0</v>
      </c>
      <c r="AG27" s="4">
        <f>G27*'Optimization Model'!G$7</f>
        <v>0</v>
      </c>
      <c r="AH27" s="4">
        <f>H27*'Optimization Model'!H$7</f>
        <v>0</v>
      </c>
      <c r="AI27" s="4">
        <f t="shared" si="2"/>
        <v>9</v>
      </c>
      <c r="AK27" s="3" t="s">
        <v>43</v>
      </c>
      <c r="AL27" s="4">
        <f>C27*'Optimization Model'!C$8</f>
        <v>0</v>
      </c>
      <c r="AM27" s="4">
        <f>D27*'Optimization Model'!D$8</f>
        <v>7</v>
      </c>
      <c r="AN27" s="4">
        <f>E27*'Optimization Model'!E$8</f>
        <v>0</v>
      </c>
      <c r="AO27" s="4">
        <f>F27*'Optimization Model'!F$8</f>
        <v>0</v>
      </c>
      <c r="AP27" s="4">
        <f>G27*'Optimization Model'!G$8</f>
        <v>0</v>
      </c>
      <c r="AQ27" s="4">
        <f>H27*'Optimization Model'!H$8</f>
        <v>5</v>
      </c>
      <c r="AR27" s="4">
        <f t="shared" si="3"/>
        <v>12</v>
      </c>
      <c r="AT27" s="3" t="s">
        <v>43</v>
      </c>
      <c r="AU27" s="4">
        <f>C27*'Optimization Model'!C$9</f>
        <v>9</v>
      </c>
      <c r="AV27" s="4">
        <f>D27*'Optimization Model'!D$9</f>
        <v>0</v>
      </c>
      <c r="AW27" s="4">
        <f>E27*'Optimization Model'!E$9</f>
        <v>0</v>
      </c>
      <c r="AX27" s="4">
        <f>F27*'Optimization Model'!F$9</f>
        <v>4</v>
      </c>
      <c r="AY27" s="4">
        <f>G27*'Optimization Model'!G$9</f>
        <v>0</v>
      </c>
      <c r="AZ27" s="4">
        <f>H27*'Optimization Model'!H$9</f>
        <v>0</v>
      </c>
      <c r="BA27" s="4">
        <f t="shared" si="4"/>
        <v>13</v>
      </c>
      <c r="BC27" s="3" t="s">
        <v>43</v>
      </c>
      <c r="BD27" s="4">
        <f>C27*'Optimization Model'!C$10</f>
        <v>0</v>
      </c>
      <c r="BE27" s="4">
        <f>D27*'Optimization Model'!D$10</f>
        <v>7</v>
      </c>
      <c r="BF27" s="4">
        <f>E27*'Optimization Model'!E$10</f>
        <v>0</v>
      </c>
      <c r="BG27" s="4">
        <f>F27*'Optimization Model'!F$10</f>
        <v>4</v>
      </c>
      <c r="BH27" s="4">
        <f>G27*'Optimization Model'!G$10</f>
        <v>0</v>
      </c>
      <c r="BI27" s="4">
        <f>H27*'Optimization Model'!H$10</f>
        <v>0</v>
      </c>
      <c r="BJ27" s="4">
        <f t="shared" si="5"/>
        <v>11</v>
      </c>
      <c r="BL27" s="3" t="s">
        <v>43</v>
      </c>
      <c r="BM27" s="4">
        <f>C27*'Optimization Model'!C$11</f>
        <v>0</v>
      </c>
      <c r="BN27" s="4">
        <f>D27*'Optimization Model'!D$11</f>
        <v>0</v>
      </c>
      <c r="BO27" s="4">
        <f>E27*'Optimization Model'!E$11</f>
        <v>9</v>
      </c>
      <c r="BP27" s="4">
        <f>F27*'Optimization Model'!F$11</f>
        <v>0</v>
      </c>
      <c r="BQ27" s="4">
        <f>G27*'Optimization Model'!G$11</f>
        <v>3</v>
      </c>
      <c r="BR27" s="4">
        <f>H27*'Optimization Model'!H$11</f>
        <v>0</v>
      </c>
      <c r="BS27" s="4">
        <f t="shared" si="6"/>
        <v>12</v>
      </c>
      <c r="BU27" s="3" t="s">
        <v>43</v>
      </c>
      <c r="BV27" s="4">
        <f>C27*'Optimization Model'!C$12</f>
        <v>0</v>
      </c>
      <c r="BW27" s="4">
        <f>D27*'Optimization Model'!D$12</f>
        <v>0</v>
      </c>
      <c r="BX27" s="4">
        <f>E27*'Optimization Model'!E$12</f>
        <v>0</v>
      </c>
      <c r="BY27" s="4">
        <f>F27*'Optimization Model'!F$12</f>
        <v>0</v>
      </c>
      <c r="BZ27" s="4">
        <f>G27*'Optimization Model'!G$12</f>
        <v>3</v>
      </c>
      <c r="CA27" s="4">
        <f>H27*'Optimization Model'!H$12</f>
        <v>5</v>
      </c>
      <c r="CB27" s="4">
        <f t="shared" si="7"/>
        <v>8</v>
      </c>
      <c r="CD27" s="3" t="s">
        <v>43</v>
      </c>
      <c r="CE27" s="4">
        <f>C27*'Optimization Model'!C$13</f>
        <v>9</v>
      </c>
      <c r="CF27" s="4">
        <f>D27*'Optimization Model'!D$13</f>
        <v>0</v>
      </c>
      <c r="CG27" s="4">
        <f>E27*'Optimization Model'!E$13</f>
        <v>0</v>
      </c>
      <c r="CH27" s="4">
        <f>F27*'Optimization Model'!F$13</f>
        <v>0</v>
      </c>
      <c r="CI27" s="4">
        <f>G27*'Optimization Model'!G$13</f>
        <v>0</v>
      </c>
      <c r="CJ27" s="4">
        <f>H27*'Optimization Model'!H$13</f>
        <v>0</v>
      </c>
      <c r="CK27" s="4">
        <f t="shared" si="8"/>
        <v>9</v>
      </c>
      <c r="CM27" s="3" t="s">
        <v>43</v>
      </c>
      <c r="CN27" s="4">
        <f>C27*'Optimization Model'!C$14</f>
        <v>0</v>
      </c>
      <c r="CO27" s="4">
        <f>D27*'Optimization Model'!D$14</f>
        <v>7</v>
      </c>
      <c r="CP27" s="4">
        <f>E27*'Optimization Model'!E$14</f>
        <v>0</v>
      </c>
      <c r="CQ27" s="4">
        <f>F27*'Optimization Model'!F$14</f>
        <v>0</v>
      </c>
      <c r="CR27" s="4">
        <f>G27*'Optimization Model'!G$14</f>
        <v>0</v>
      </c>
      <c r="CS27" s="4">
        <f>H27*'Optimization Model'!H$14</f>
        <v>0</v>
      </c>
      <c r="CT27" s="4">
        <f t="shared" si="9"/>
        <v>7</v>
      </c>
      <c r="CV27" s="3" t="s">
        <v>43</v>
      </c>
      <c r="CW27" s="4">
        <f>C27*'Optimization Model'!C$15</f>
        <v>0</v>
      </c>
      <c r="CX27" s="4">
        <f>D27*'Optimization Model'!D$15</f>
        <v>0</v>
      </c>
      <c r="CY27" s="4">
        <f>E27*'Optimization Model'!E$15</f>
        <v>0</v>
      </c>
      <c r="CZ27" s="4">
        <f>F27*'Optimization Model'!F$15</f>
        <v>4</v>
      </c>
      <c r="DA27" s="4">
        <f>G27*'Optimization Model'!G$15</f>
        <v>3</v>
      </c>
      <c r="DB27" s="4">
        <f>H27*'Optimization Model'!H$15</f>
        <v>0</v>
      </c>
      <c r="DC27" s="4">
        <f t="shared" si="10"/>
        <v>7</v>
      </c>
      <c r="DE27" s="3" t="s">
        <v>43</v>
      </c>
      <c r="DF27" s="4">
        <f>C27*'Optimization Model'!C$16</f>
        <v>0</v>
      </c>
      <c r="DG27" s="4">
        <f>D27*'Optimization Model'!D$16</f>
        <v>0</v>
      </c>
      <c r="DH27" s="4">
        <f>E27*'Optimization Model'!E$16</f>
        <v>9</v>
      </c>
      <c r="DI27" s="4">
        <f>F27*'Optimization Model'!F$16</f>
        <v>0</v>
      </c>
      <c r="DJ27" s="4">
        <f>G27*'Optimization Model'!G$16</f>
        <v>0</v>
      </c>
      <c r="DK27" s="4">
        <f>H27*'Optimization Model'!H$16</f>
        <v>0</v>
      </c>
      <c r="DL27" s="4">
        <f t="shared" si="11"/>
        <v>9</v>
      </c>
      <c r="DN27" s="3" t="s">
        <v>43</v>
      </c>
      <c r="DO27" s="4">
        <f>C27*'Optimization Model'!C$17</f>
        <v>0</v>
      </c>
      <c r="DP27" s="4">
        <f>D27*'Optimization Model'!D$17</f>
        <v>0</v>
      </c>
      <c r="DQ27" s="4">
        <f>E27*'Optimization Model'!E$17</f>
        <v>9</v>
      </c>
      <c r="DR27" s="4">
        <f>F27*'Optimization Model'!F$17</f>
        <v>0</v>
      </c>
      <c r="DS27" s="4">
        <f>G27*'Optimization Model'!G$17</f>
        <v>3</v>
      </c>
      <c r="DT27" s="4">
        <f>H27*'Optimization Model'!H$17</f>
        <v>0</v>
      </c>
      <c r="DU27" s="4">
        <f t="shared" si="12"/>
        <v>12</v>
      </c>
      <c r="DW27" s="3" t="s">
        <v>43</v>
      </c>
      <c r="DX27" s="4">
        <f>C27*'Optimization Model'!C$18</f>
        <v>0</v>
      </c>
      <c r="DY27" s="4">
        <f>D27*'Optimization Model'!D$18</f>
        <v>0</v>
      </c>
      <c r="DZ27" s="4">
        <f>E27*'Optimization Model'!E$18</f>
        <v>9</v>
      </c>
      <c r="EA27" s="4">
        <f>F27*'Optimization Model'!F$18</f>
        <v>4</v>
      </c>
      <c r="EB27" s="4">
        <f>G27*'Optimization Model'!G$18</f>
        <v>0</v>
      </c>
      <c r="EC27" s="4">
        <f>H27*'Optimization Model'!H$18</f>
        <v>0</v>
      </c>
      <c r="ED27" s="4">
        <f t="shared" si="13"/>
        <v>13</v>
      </c>
      <c r="EF27" s="3" t="s">
        <v>43</v>
      </c>
      <c r="EG27" s="4">
        <f>C27*'Optimization Model'!C$19</f>
        <v>0</v>
      </c>
      <c r="EH27" s="4">
        <f>D27*'Optimization Model'!D$19</f>
        <v>0</v>
      </c>
      <c r="EI27" s="4">
        <f>E27*'Optimization Model'!E$19</f>
        <v>0</v>
      </c>
      <c r="EJ27" s="4">
        <f>F27*'Optimization Model'!F$19</f>
        <v>0</v>
      </c>
      <c r="EK27" s="4">
        <f>G27*'Optimization Model'!G$19</f>
        <v>0</v>
      </c>
      <c r="EL27" s="4">
        <f>H27*'Optimization Model'!H$19</f>
        <v>5</v>
      </c>
      <c r="EM27" s="4">
        <f t="shared" si="14"/>
        <v>5</v>
      </c>
      <c r="EO27" s="3" t="s">
        <v>43</v>
      </c>
      <c r="EP27" s="4">
        <f>C27*'Optimization Model'!C$20</f>
        <v>0</v>
      </c>
      <c r="EQ27" s="4">
        <f>D27*'Optimization Model'!D$20</f>
        <v>0</v>
      </c>
      <c r="ER27" s="4">
        <f>E27*'Optimization Model'!E$20</f>
        <v>0</v>
      </c>
      <c r="ES27" s="4">
        <f>F27*'Optimization Model'!F$20</f>
        <v>0</v>
      </c>
      <c r="ET27" s="4">
        <f>G27*'Optimization Model'!G$20</f>
        <v>0</v>
      </c>
      <c r="EU27" s="4">
        <f>H27*'Optimization Model'!H$20</f>
        <v>5</v>
      </c>
      <c r="EV27" s="4">
        <f t="shared" si="15"/>
        <v>5</v>
      </c>
    </row>
    <row r="28" spans="2:152" x14ac:dyDescent="0.35">
      <c r="B28" s="3" t="s">
        <v>44</v>
      </c>
      <c r="C28" s="4">
        <f>'Data- Refined'!U28</f>
        <v>7</v>
      </c>
      <c r="D28" s="4">
        <f>'Data- Refined'!V28</f>
        <v>4</v>
      </c>
      <c r="E28" s="4">
        <f>'Data- Refined'!W28</f>
        <v>2</v>
      </c>
      <c r="F28" s="4">
        <f>'Data- Refined'!X28</f>
        <v>4</v>
      </c>
      <c r="G28" s="4">
        <f>'Data- Refined'!Y28</f>
        <v>3</v>
      </c>
      <c r="H28" s="4">
        <f>'Data- Refined'!Z28</f>
        <v>0</v>
      </c>
      <c r="J28" s="3" t="s">
        <v>44</v>
      </c>
      <c r="K28" s="4">
        <f>C28*'Optimization Model'!C$5</f>
        <v>7</v>
      </c>
      <c r="L28" s="4">
        <f>D28*'Optimization Model'!D$5</f>
        <v>0</v>
      </c>
      <c r="M28" s="4">
        <f>E28*'Optimization Model'!E$5</f>
        <v>0</v>
      </c>
      <c r="N28" s="4">
        <f>F28*'Optimization Model'!F$5</f>
        <v>0</v>
      </c>
      <c r="O28" s="4">
        <f>G28*'Optimization Model'!G$5</f>
        <v>0</v>
      </c>
      <c r="P28" s="4">
        <f>H28*'Optimization Model'!H$5</f>
        <v>0</v>
      </c>
      <c r="Q28" s="4">
        <f t="shared" si="0"/>
        <v>7</v>
      </c>
      <c r="R28" s="8"/>
      <c r="S28" s="3" t="s">
        <v>44</v>
      </c>
      <c r="T28" s="4">
        <f>C28*'Optimization Model'!C$6</f>
        <v>0</v>
      </c>
      <c r="U28" s="4">
        <f>D28*'Optimization Model'!D$6</f>
        <v>4</v>
      </c>
      <c r="V28" s="4">
        <f>E28*'Optimization Model'!E$6</f>
        <v>0</v>
      </c>
      <c r="W28" s="4">
        <f>F28*'Optimization Model'!F$6</f>
        <v>0</v>
      </c>
      <c r="X28" s="4">
        <f>G28*'Optimization Model'!G$6</f>
        <v>0</v>
      </c>
      <c r="Y28" s="4">
        <f>H28*'Optimization Model'!H$6</f>
        <v>0</v>
      </c>
      <c r="Z28" s="4">
        <f t="shared" si="1"/>
        <v>4</v>
      </c>
      <c r="AB28" s="3" t="s">
        <v>44</v>
      </c>
      <c r="AC28" s="4">
        <f>C28*'Optimization Model'!C$7</f>
        <v>7</v>
      </c>
      <c r="AD28" s="4">
        <f>D28*'Optimization Model'!D$7</f>
        <v>0</v>
      </c>
      <c r="AE28" s="4">
        <f>E28*'Optimization Model'!E$7</f>
        <v>0</v>
      </c>
      <c r="AF28" s="4">
        <f>F28*'Optimization Model'!F$7</f>
        <v>0</v>
      </c>
      <c r="AG28" s="4">
        <f>G28*'Optimization Model'!G$7</f>
        <v>0</v>
      </c>
      <c r="AH28" s="4">
        <f>H28*'Optimization Model'!H$7</f>
        <v>0</v>
      </c>
      <c r="AI28" s="4">
        <f t="shared" si="2"/>
        <v>7</v>
      </c>
      <c r="AK28" s="3" t="s">
        <v>44</v>
      </c>
      <c r="AL28" s="4">
        <f>C28*'Optimization Model'!C$8</f>
        <v>0</v>
      </c>
      <c r="AM28" s="4">
        <f>D28*'Optimization Model'!D$8</f>
        <v>4</v>
      </c>
      <c r="AN28" s="4">
        <f>E28*'Optimization Model'!E$8</f>
        <v>0</v>
      </c>
      <c r="AO28" s="4">
        <f>F28*'Optimization Model'!F$8</f>
        <v>0</v>
      </c>
      <c r="AP28" s="4">
        <f>G28*'Optimization Model'!G$8</f>
        <v>0</v>
      </c>
      <c r="AQ28" s="4">
        <f>H28*'Optimization Model'!H$8</f>
        <v>0</v>
      </c>
      <c r="AR28" s="4">
        <f t="shared" si="3"/>
        <v>4</v>
      </c>
      <c r="AT28" s="3" t="s">
        <v>44</v>
      </c>
      <c r="AU28" s="4">
        <f>C28*'Optimization Model'!C$9</f>
        <v>7</v>
      </c>
      <c r="AV28" s="4">
        <f>D28*'Optimization Model'!D$9</f>
        <v>0</v>
      </c>
      <c r="AW28" s="4">
        <f>E28*'Optimization Model'!E$9</f>
        <v>0</v>
      </c>
      <c r="AX28" s="4">
        <f>F28*'Optimization Model'!F$9</f>
        <v>4</v>
      </c>
      <c r="AY28" s="4">
        <f>G28*'Optimization Model'!G$9</f>
        <v>0</v>
      </c>
      <c r="AZ28" s="4">
        <f>H28*'Optimization Model'!H$9</f>
        <v>0</v>
      </c>
      <c r="BA28" s="4">
        <f t="shared" si="4"/>
        <v>11</v>
      </c>
      <c r="BC28" s="3" t="s">
        <v>44</v>
      </c>
      <c r="BD28" s="4">
        <f>C28*'Optimization Model'!C$10</f>
        <v>0</v>
      </c>
      <c r="BE28" s="4">
        <f>D28*'Optimization Model'!D$10</f>
        <v>4</v>
      </c>
      <c r="BF28" s="4">
        <f>E28*'Optimization Model'!E$10</f>
        <v>0</v>
      </c>
      <c r="BG28" s="4">
        <f>F28*'Optimization Model'!F$10</f>
        <v>4</v>
      </c>
      <c r="BH28" s="4">
        <f>G28*'Optimization Model'!G$10</f>
        <v>0</v>
      </c>
      <c r="BI28" s="4">
        <f>H28*'Optimization Model'!H$10</f>
        <v>0</v>
      </c>
      <c r="BJ28" s="4">
        <f t="shared" si="5"/>
        <v>8</v>
      </c>
      <c r="BL28" s="3" t="s">
        <v>44</v>
      </c>
      <c r="BM28" s="4">
        <f>C28*'Optimization Model'!C$11</f>
        <v>0</v>
      </c>
      <c r="BN28" s="4">
        <f>D28*'Optimization Model'!D$11</f>
        <v>0</v>
      </c>
      <c r="BO28" s="4">
        <f>E28*'Optimization Model'!E$11</f>
        <v>2</v>
      </c>
      <c r="BP28" s="4">
        <f>F28*'Optimization Model'!F$11</f>
        <v>0</v>
      </c>
      <c r="BQ28" s="4">
        <f>G28*'Optimization Model'!G$11</f>
        <v>3</v>
      </c>
      <c r="BR28" s="4">
        <f>H28*'Optimization Model'!H$11</f>
        <v>0</v>
      </c>
      <c r="BS28" s="4">
        <f t="shared" si="6"/>
        <v>5</v>
      </c>
      <c r="BU28" s="3" t="s">
        <v>44</v>
      </c>
      <c r="BV28" s="4">
        <f>C28*'Optimization Model'!C$12</f>
        <v>0</v>
      </c>
      <c r="BW28" s="4">
        <f>D28*'Optimization Model'!D$12</f>
        <v>0</v>
      </c>
      <c r="BX28" s="4">
        <f>E28*'Optimization Model'!E$12</f>
        <v>0</v>
      </c>
      <c r="BY28" s="4">
        <f>F28*'Optimization Model'!F$12</f>
        <v>0</v>
      </c>
      <c r="BZ28" s="4">
        <f>G28*'Optimization Model'!G$12</f>
        <v>3</v>
      </c>
      <c r="CA28" s="4">
        <f>H28*'Optimization Model'!H$12</f>
        <v>0</v>
      </c>
      <c r="CB28" s="4">
        <f t="shared" si="7"/>
        <v>3</v>
      </c>
      <c r="CD28" s="3" t="s">
        <v>44</v>
      </c>
      <c r="CE28" s="4">
        <f>C28*'Optimization Model'!C$13</f>
        <v>7</v>
      </c>
      <c r="CF28" s="4">
        <f>D28*'Optimization Model'!D$13</f>
        <v>0</v>
      </c>
      <c r="CG28" s="4">
        <f>E28*'Optimization Model'!E$13</f>
        <v>0</v>
      </c>
      <c r="CH28" s="4">
        <f>F28*'Optimization Model'!F$13</f>
        <v>0</v>
      </c>
      <c r="CI28" s="4">
        <f>G28*'Optimization Model'!G$13</f>
        <v>0</v>
      </c>
      <c r="CJ28" s="4">
        <f>H28*'Optimization Model'!H$13</f>
        <v>0</v>
      </c>
      <c r="CK28" s="4">
        <f t="shared" si="8"/>
        <v>7</v>
      </c>
      <c r="CM28" s="3" t="s">
        <v>44</v>
      </c>
      <c r="CN28" s="4">
        <f>C28*'Optimization Model'!C$14</f>
        <v>0</v>
      </c>
      <c r="CO28" s="4">
        <f>D28*'Optimization Model'!D$14</f>
        <v>4</v>
      </c>
      <c r="CP28" s="4">
        <f>E28*'Optimization Model'!E$14</f>
        <v>0</v>
      </c>
      <c r="CQ28" s="4">
        <f>F28*'Optimization Model'!F$14</f>
        <v>0</v>
      </c>
      <c r="CR28" s="4">
        <f>G28*'Optimization Model'!G$14</f>
        <v>0</v>
      </c>
      <c r="CS28" s="4">
        <f>H28*'Optimization Model'!H$14</f>
        <v>0</v>
      </c>
      <c r="CT28" s="4">
        <f t="shared" si="9"/>
        <v>4</v>
      </c>
      <c r="CV28" s="3" t="s">
        <v>44</v>
      </c>
      <c r="CW28" s="4">
        <f>C28*'Optimization Model'!C$15</f>
        <v>0</v>
      </c>
      <c r="CX28" s="4">
        <f>D28*'Optimization Model'!D$15</f>
        <v>0</v>
      </c>
      <c r="CY28" s="4">
        <f>E28*'Optimization Model'!E$15</f>
        <v>0</v>
      </c>
      <c r="CZ28" s="4">
        <f>F28*'Optimization Model'!F$15</f>
        <v>4</v>
      </c>
      <c r="DA28" s="4">
        <f>G28*'Optimization Model'!G$15</f>
        <v>3</v>
      </c>
      <c r="DB28" s="4">
        <f>H28*'Optimization Model'!H$15</f>
        <v>0</v>
      </c>
      <c r="DC28" s="4">
        <f t="shared" si="10"/>
        <v>7</v>
      </c>
      <c r="DE28" s="3" t="s">
        <v>44</v>
      </c>
      <c r="DF28" s="4">
        <f>C28*'Optimization Model'!C$16</f>
        <v>0</v>
      </c>
      <c r="DG28" s="4">
        <f>D28*'Optimization Model'!D$16</f>
        <v>0</v>
      </c>
      <c r="DH28" s="4">
        <f>E28*'Optimization Model'!E$16</f>
        <v>2</v>
      </c>
      <c r="DI28" s="4">
        <f>F28*'Optimization Model'!F$16</f>
        <v>0</v>
      </c>
      <c r="DJ28" s="4">
        <f>G28*'Optimization Model'!G$16</f>
        <v>0</v>
      </c>
      <c r="DK28" s="4">
        <f>H28*'Optimization Model'!H$16</f>
        <v>0</v>
      </c>
      <c r="DL28" s="4">
        <f t="shared" si="11"/>
        <v>2</v>
      </c>
      <c r="DN28" s="3" t="s">
        <v>44</v>
      </c>
      <c r="DO28" s="4">
        <f>C28*'Optimization Model'!C$17</f>
        <v>0</v>
      </c>
      <c r="DP28" s="4">
        <f>D28*'Optimization Model'!D$17</f>
        <v>0</v>
      </c>
      <c r="DQ28" s="4">
        <f>E28*'Optimization Model'!E$17</f>
        <v>2</v>
      </c>
      <c r="DR28" s="4">
        <f>F28*'Optimization Model'!F$17</f>
        <v>0</v>
      </c>
      <c r="DS28" s="4">
        <f>G28*'Optimization Model'!G$17</f>
        <v>3</v>
      </c>
      <c r="DT28" s="4">
        <f>H28*'Optimization Model'!H$17</f>
        <v>0</v>
      </c>
      <c r="DU28" s="4">
        <f t="shared" si="12"/>
        <v>5</v>
      </c>
      <c r="DW28" s="3" t="s">
        <v>44</v>
      </c>
      <c r="DX28" s="4">
        <f>C28*'Optimization Model'!C$18</f>
        <v>0</v>
      </c>
      <c r="DY28" s="4">
        <f>D28*'Optimization Model'!D$18</f>
        <v>0</v>
      </c>
      <c r="DZ28" s="4">
        <f>E28*'Optimization Model'!E$18</f>
        <v>2</v>
      </c>
      <c r="EA28" s="4">
        <f>F28*'Optimization Model'!F$18</f>
        <v>4</v>
      </c>
      <c r="EB28" s="4">
        <f>G28*'Optimization Model'!G$18</f>
        <v>0</v>
      </c>
      <c r="EC28" s="4">
        <f>H28*'Optimization Model'!H$18</f>
        <v>0</v>
      </c>
      <c r="ED28" s="4">
        <f t="shared" si="13"/>
        <v>6</v>
      </c>
      <c r="EF28" s="3" t="s">
        <v>44</v>
      </c>
      <c r="EG28" s="4">
        <f>C28*'Optimization Model'!C$19</f>
        <v>0</v>
      </c>
      <c r="EH28" s="4">
        <f>D28*'Optimization Model'!D$19</f>
        <v>0</v>
      </c>
      <c r="EI28" s="4">
        <f>E28*'Optimization Model'!E$19</f>
        <v>0</v>
      </c>
      <c r="EJ28" s="4">
        <f>F28*'Optimization Model'!F$19</f>
        <v>0</v>
      </c>
      <c r="EK28" s="4">
        <f>G28*'Optimization Model'!G$19</f>
        <v>0</v>
      </c>
      <c r="EL28" s="4">
        <f>H28*'Optimization Model'!H$19</f>
        <v>0</v>
      </c>
      <c r="EM28" s="4">
        <f t="shared" si="14"/>
        <v>0</v>
      </c>
      <c r="EO28" s="3" t="s">
        <v>44</v>
      </c>
      <c r="EP28" s="4">
        <f>C28*'Optimization Model'!C$20</f>
        <v>0</v>
      </c>
      <c r="EQ28" s="4">
        <f>D28*'Optimization Model'!D$20</f>
        <v>0</v>
      </c>
      <c r="ER28" s="4">
        <f>E28*'Optimization Model'!E$20</f>
        <v>0</v>
      </c>
      <c r="ES28" s="4">
        <f>F28*'Optimization Model'!F$20</f>
        <v>0</v>
      </c>
      <c r="ET28" s="4">
        <f>G28*'Optimization Model'!G$20</f>
        <v>0</v>
      </c>
      <c r="EU28" s="4">
        <f>H28*'Optimization Model'!H$20</f>
        <v>0</v>
      </c>
      <c r="EV28" s="4">
        <f t="shared" si="15"/>
        <v>0</v>
      </c>
    </row>
    <row r="29" spans="2:152" x14ac:dyDescent="0.35">
      <c r="B29" s="3" t="s">
        <v>45</v>
      </c>
      <c r="C29" s="4">
        <f>'Data- Refined'!U29</f>
        <v>4</v>
      </c>
      <c r="D29" s="4">
        <f>'Data- Refined'!V29</f>
        <v>6</v>
      </c>
      <c r="E29" s="4">
        <f>'Data- Refined'!W29</f>
        <v>6</v>
      </c>
      <c r="F29" s="4">
        <f>'Data- Refined'!X29</f>
        <v>1</v>
      </c>
      <c r="G29" s="4">
        <f>'Data- Refined'!Y29</f>
        <v>6</v>
      </c>
      <c r="H29" s="4">
        <f>'Data- Refined'!Z29</f>
        <v>0</v>
      </c>
      <c r="J29" s="3" t="s">
        <v>45</v>
      </c>
      <c r="K29" s="4">
        <f>C29*'Optimization Model'!C$5</f>
        <v>4</v>
      </c>
      <c r="L29" s="4">
        <f>D29*'Optimization Model'!D$5</f>
        <v>0</v>
      </c>
      <c r="M29" s="4">
        <f>E29*'Optimization Model'!E$5</f>
        <v>0</v>
      </c>
      <c r="N29" s="4">
        <f>F29*'Optimization Model'!F$5</f>
        <v>0</v>
      </c>
      <c r="O29" s="4">
        <f>G29*'Optimization Model'!G$5</f>
        <v>0</v>
      </c>
      <c r="P29" s="4">
        <f>H29*'Optimization Model'!H$5</f>
        <v>0</v>
      </c>
      <c r="Q29" s="4">
        <f t="shared" si="0"/>
        <v>4</v>
      </c>
      <c r="R29" s="8"/>
      <c r="S29" s="3" t="s">
        <v>45</v>
      </c>
      <c r="T29" s="4">
        <f>C29*'Optimization Model'!C$6</f>
        <v>0</v>
      </c>
      <c r="U29" s="4">
        <f>D29*'Optimization Model'!D$6</f>
        <v>6</v>
      </c>
      <c r="V29" s="4">
        <f>E29*'Optimization Model'!E$6</f>
        <v>0</v>
      </c>
      <c r="W29" s="4">
        <f>F29*'Optimization Model'!F$6</f>
        <v>0</v>
      </c>
      <c r="X29" s="4">
        <f>G29*'Optimization Model'!G$6</f>
        <v>0</v>
      </c>
      <c r="Y29" s="4">
        <f>H29*'Optimization Model'!H$6</f>
        <v>0</v>
      </c>
      <c r="Z29" s="4">
        <f t="shared" si="1"/>
        <v>6</v>
      </c>
      <c r="AB29" s="3" t="s">
        <v>45</v>
      </c>
      <c r="AC29" s="4">
        <f>C29*'Optimization Model'!C$7</f>
        <v>4</v>
      </c>
      <c r="AD29" s="4">
        <f>D29*'Optimization Model'!D$7</f>
        <v>0</v>
      </c>
      <c r="AE29" s="4">
        <f>E29*'Optimization Model'!E$7</f>
        <v>0</v>
      </c>
      <c r="AF29" s="4">
        <f>F29*'Optimization Model'!F$7</f>
        <v>0</v>
      </c>
      <c r="AG29" s="4">
        <f>G29*'Optimization Model'!G$7</f>
        <v>0</v>
      </c>
      <c r="AH29" s="4">
        <f>H29*'Optimization Model'!H$7</f>
        <v>0</v>
      </c>
      <c r="AI29" s="4">
        <f t="shared" si="2"/>
        <v>4</v>
      </c>
      <c r="AK29" s="3" t="s">
        <v>45</v>
      </c>
      <c r="AL29" s="4">
        <f>C29*'Optimization Model'!C$8</f>
        <v>0</v>
      </c>
      <c r="AM29" s="4">
        <f>D29*'Optimization Model'!D$8</f>
        <v>6</v>
      </c>
      <c r="AN29" s="4">
        <f>E29*'Optimization Model'!E$8</f>
        <v>0</v>
      </c>
      <c r="AO29" s="4">
        <f>F29*'Optimization Model'!F$8</f>
        <v>0</v>
      </c>
      <c r="AP29" s="4">
        <f>G29*'Optimization Model'!G$8</f>
        <v>0</v>
      </c>
      <c r="AQ29" s="4">
        <f>H29*'Optimization Model'!H$8</f>
        <v>0</v>
      </c>
      <c r="AR29" s="4">
        <f t="shared" si="3"/>
        <v>6</v>
      </c>
      <c r="AT29" s="3" t="s">
        <v>45</v>
      </c>
      <c r="AU29" s="4">
        <f>C29*'Optimization Model'!C$9</f>
        <v>4</v>
      </c>
      <c r="AV29" s="4">
        <f>D29*'Optimization Model'!D$9</f>
        <v>0</v>
      </c>
      <c r="AW29" s="4">
        <f>E29*'Optimization Model'!E$9</f>
        <v>0</v>
      </c>
      <c r="AX29" s="4">
        <f>F29*'Optimization Model'!F$9</f>
        <v>1</v>
      </c>
      <c r="AY29" s="4">
        <f>G29*'Optimization Model'!G$9</f>
        <v>0</v>
      </c>
      <c r="AZ29" s="4">
        <f>H29*'Optimization Model'!H$9</f>
        <v>0</v>
      </c>
      <c r="BA29" s="4">
        <f t="shared" si="4"/>
        <v>5</v>
      </c>
      <c r="BC29" s="3" t="s">
        <v>45</v>
      </c>
      <c r="BD29" s="4">
        <f>C29*'Optimization Model'!C$10</f>
        <v>0</v>
      </c>
      <c r="BE29" s="4">
        <f>D29*'Optimization Model'!D$10</f>
        <v>6</v>
      </c>
      <c r="BF29" s="4">
        <f>E29*'Optimization Model'!E$10</f>
        <v>0</v>
      </c>
      <c r="BG29" s="4">
        <f>F29*'Optimization Model'!F$10</f>
        <v>1</v>
      </c>
      <c r="BH29" s="4">
        <f>G29*'Optimization Model'!G$10</f>
        <v>0</v>
      </c>
      <c r="BI29" s="4">
        <f>H29*'Optimization Model'!H$10</f>
        <v>0</v>
      </c>
      <c r="BJ29" s="4">
        <f t="shared" si="5"/>
        <v>7</v>
      </c>
      <c r="BL29" s="3" t="s">
        <v>45</v>
      </c>
      <c r="BM29" s="4">
        <f>C29*'Optimization Model'!C$11</f>
        <v>0</v>
      </c>
      <c r="BN29" s="4">
        <f>D29*'Optimization Model'!D$11</f>
        <v>0</v>
      </c>
      <c r="BO29" s="4">
        <f>E29*'Optimization Model'!E$11</f>
        <v>6</v>
      </c>
      <c r="BP29" s="4">
        <f>F29*'Optimization Model'!F$11</f>
        <v>0</v>
      </c>
      <c r="BQ29" s="4">
        <f>G29*'Optimization Model'!G$11</f>
        <v>6</v>
      </c>
      <c r="BR29" s="4">
        <f>H29*'Optimization Model'!H$11</f>
        <v>0</v>
      </c>
      <c r="BS29" s="4">
        <f t="shared" si="6"/>
        <v>12</v>
      </c>
      <c r="BU29" s="3" t="s">
        <v>45</v>
      </c>
      <c r="BV29" s="4">
        <f>C29*'Optimization Model'!C$12</f>
        <v>0</v>
      </c>
      <c r="BW29" s="4">
        <f>D29*'Optimization Model'!D$12</f>
        <v>0</v>
      </c>
      <c r="BX29" s="4">
        <f>E29*'Optimization Model'!E$12</f>
        <v>0</v>
      </c>
      <c r="BY29" s="4">
        <f>F29*'Optimization Model'!F$12</f>
        <v>0</v>
      </c>
      <c r="BZ29" s="4">
        <f>G29*'Optimization Model'!G$12</f>
        <v>6</v>
      </c>
      <c r="CA29" s="4">
        <f>H29*'Optimization Model'!H$12</f>
        <v>0</v>
      </c>
      <c r="CB29" s="4">
        <f t="shared" si="7"/>
        <v>6</v>
      </c>
      <c r="CD29" s="3" t="s">
        <v>45</v>
      </c>
      <c r="CE29" s="4">
        <f>C29*'Optimization Model'!C$13</f>
        <v>4</v>
      </c>
      <c r="CF29" s="4">
        <f>D29*'Optimization Model'!D$13</f>
        <v>0</v>
      </c>
      <c r="CG29" s="4">
        <f>E29*'Optimization Model'!E$13</f>
        <v>0</v>
      </c>
      <c r="CH29" s="4">
        <f>F29*'Optimization Model'!F$13</f>
        <v>0</v>
      </c>
      <c r="CI29" s="4">
        <f>G29*'Optimization Model'!G$13</f>
        <v>0</v>
      </c>
      <c r="CJ29" s="4">
        <f>H29*'Optimization Model'!H$13</f>
        <v>0</v>
      </c>
      <c r="CK29" s="4">
        <f t="shared" si="8"/>
        <v>4</v>
      </c>
      <c r="CM29" s="3" t="s">
        <v>45</v>
      </c>
      <c r="CN29" s="4">
        <f>C29*'Optimization Model'!C$14</f>
        <v>0</v>
      </c>
      <c r="CO29" s="4">
        <f>D29*'Optimization Model'!D$14</f>
        <v>6</v>
      </c>
      <c r="CP29" s="4">
        <f>E29*'Optimization Model'!E$14</f>
        <v>0</v>
      </c>
      <c r="CQ29" s="4">
        <f>F29*'Optimization Model'!F$14</f>
        <v>0</v>
      </c>
      <c r="CR29" s="4">
        <f>G29*'Optimization Model'!G$14</f>
        <v>0</v>
      </c>
      <c r="CS29" s="4">
        <f>H29*'Optimization Model'!H$14</f>
        <v>0</v>
      </c>
      <c r="CT29" s="4">
        <f t="shared" si="9"/>
        <v>6</v>
      </c>
      <c r="CV29" s="3" t="s">
        <v>45</v>
      </c>
      <c r="CW29" s="4">
        <f>C29*'Optimization Model'!C$15</f>
        <v>0</v>
      </c>
      <c r="CX29" s="4">
        <f>D29*'Optimization Model'!D$15</f>
        <v>0</v>
      </c>
      <c r="CY29" s="4">
        <f>E29*'Optimization Model'!E$15</f>
        <v>0</v>
      </c>
      <c r="CZ29" s="4">
        <f>F29*'Optimization Model'!F$15</f>
        <v>1</v>
      </c>
      <c r="DA29" s="4">
        <f>G29*'Optimization Model'!G$15</f>
        <v>6</v>
      </c>
      <c r="DB29" s="4">
        <f>H29*'Optimization Model'!H$15</f>
        <v>0</v>
      </c>
      <c r="DC29" s="4">
        <f t="shared" si="10"/>
        <v>7</v>
      </c>
      <c r="DE29" s="3" t="s">
        <v>45</v>
      </c>
      <c r="DF29" s="4">
        <f>C29*'Optimization Model'!C$16</f>
        <v>0</v>
      </c>
      <c r="DG29" s="4">
        <f>D29*'Optimization Model'!D$16</f>
        <v>0</v>
      </c>
      <c r="DH29" s="4">
        <f>E29*'Optimization Model'!E$16</f>
        <v>6</v>
      </c>
      <c r="DI29" s="4">
        <f>F29*'Optimization Model'!F$16</f>
        <v>0</v>
      </c>
      <c r="DJ29" s="4">
        <f>G29*'Optimization Model'!G$16</f>
        <v>0</v>
      </c>
      <c r="DK29" s="4">
        <f>H29*'Optimization Model'!H$16</f>
        <v>0</v>
      </c>
      <c r="DL29" s="4">
        <f t="shared" si="11"/>
        <v>6</v>
      </c>
      <c r="DN29" s="3" t="s">
        <v>45</v>
      </c>
      <c r="DO29" s="4">
        <f>C29*'Optimization Model'!C$17</f>
        <v>0</v>
      </c>
      <c r="DP29" s="4">
        <f>D29*'Optimization Model'!D$17</f>
        <v>0</v>
      </c>
      <c r="DQ29" s="4">
        <f>E29*'Optimization Model'!E$17</f>
        <v>6</v>
      </c>
      <c r="DR29" s="4">
        <f>F29*'Optimization Model'!F$17</f>
        <v>0</v>
      </c>
      <c r="DS29" s="4">
        <f>G29*'Optimization Model'!G$17</f>
        <v>6</v>
      </c>
      <c r="DT29" s="4">
        <f>H29*'Optimization Model'!H$17</f>
        <v>0</v>
      </c>
      <c r="DU29" s="4">
        <f t="shared" si="12"/>
        <v>12</v>
      </c>
      <c r="DW29" s="3" t="s">
        <v>45</v>
      </c>
      <c r="DX29" s="4">
        <f>C29*'Optimization Model'!C$18</f>
        <v>0</v>
      </c>
      <c r="DY29" s="4">
        <f>D29*'Optimization Model'!D$18</f>
        <v>0</v>
      </c>
      <c r="DZ29" s="4">
        <f>E29*'Optimization Model'!E$18</f>
        <v>6</v>
      </c>
      <c r="EA29" s="4">
        <f>F29*'Optimization Model'!F$18</f>
        <v>1</v>
      </c>
      <c r="EB29" s="4">
        <f>G29*'Optimization Model'!G$18</f>
        <v>0</v>
      </c>
      <c r="EC29" s="4">
        <f>H29*'Optimization Model'!H$18</f>
        <v>0</v>
      </c>
      <c r="ED29" s="4">
        <f t="shared" si="13"/>
        <v>7</v>
      </c>
      <c r="EF29" s="3" t="s">
        <v>45</v>
      </c>
      <c r="EG29" s="4">
        <f>C29*'Optimization Model'!C$19</f>
        <v>0</v>
      </c>
      <c r="EH29" s="4">
        <f>D29*'Optimization Model'!D$19</f>
        <v>0</v>
      </c>
      <c r="EI29" s="4">
        <f>E29*'Optimization Model'!E$19</f>
        <v>0</v>
      </c>
      <c r="EJ29" s="4">
        <f>F29*'Optimization Model'!F$19</f>
        <v>0</v>
      </c>
      <c r="EK29" s="4">
        <f>G29*'Optimization Model'!G$19</f>
        <v>0</v>
      </c>
      <c r="EL29" s="4">
        <f>H29*'Optimization Model'!H$19</f>
        <v>0</v>
      </c>
      <c r="EM29" s="4">
        <f t="shared" si="14"/>
        <v>0</v>
      </c>
      <c r="EO29" s="3" t="s">
        <v>45</v>
      </c>
      <c r="EP29" s="4">
        <f>C29*'Optimization Model'!C$20</f>
        <v>0</v>
      </c>
      <c r="EQ29" s="4">
        <f>D29*'Optimization Model'!D$20</f>
        <v>0</v>
      </c>
      <c r="ER29" s="4">
        <f>E29*'Optimization Model'!E$20</f>
        <v>0</v>
      </c>
      <c r="ES29" s="4">
        <f>F29*'Optimization Model'!F$20</f>
        <v>0</v>
      </c>
      <c r="ET29" s="4">
        <f>G29*'Optimization Model'!G$20</f>
        <v>0</v>
      </c>
      <c r="EU29" s="4">
        <f>H29*'Optimization Model'!H$20</f>
        <v>0</v>
      </c>
      <c r="EV29" s="4">
        <f t="shared" si="15"/>
        <v>0</v>
      </c>
    </row>
    <row r="30" spans="2:152" x14ac:dyDescent="0.35">
      <c r="B30" s="3" t="s">
        <v>46</v>
      </c>
      <c r="C30" s="4">
        <f>'Data- Refined'!U30</f>
        <v>4</v>
      </c>
      <c r="D30" s="4">
        <f>'Data- Refined'!V30</f>
        <v>5</v>
      </c>
      <c r="E30" s="4">
        <f>'Data- Refined'!W30</f>
        <v>3</v>
      </c>
      <c r="F30" s="4">
        <f>'Data- Refined'!X30</f>
        <v>0</v>
      </c>
      <c r="G30" s="4">
        <f>'Data- Refined'!Y30</f>
        <v>1</v>
      </c>
      <c r="H30" s="4">
        <f>'Data- Refined'!Z30</f>
        <v>1</v>
      </c>
      <c r="J30" s="3" t="s">
        <v>46</v>
      </c>
      <c r="K30" s="4">
        <f>C30*'Optimization Model'!C$5</f>
        <v>4</v>
      </c>
      <c r="L30" s="4">
        <f>D30*'Optimization Model'!D$5</f>
        <v>0</v>
      </c>
      <c r="M30" s="4">
        <f>E30*'Optimization Model'!E$5</f>
        <v>0</v>
      </c>
      <c r="N30" s="4">
        <f>F30*'Optimization Model'!F$5</f>
        <v>0</v>
      </c>
      <c r="O30" s="4">
        <f>G30*'Optimization Model'!G$5</f>
        <v>0</v>
      </c>
      <c r="P30" s="4">
        <f>H30*'Optimization Model'!H$5</f>
        <v>0</v>
      </c>
      <c r="Q30" s="4">
        <f t="shared" si="0"/>
        <v>4</v>
      </c>
      <c r="R30" s="8"/>
      <c r="S30" s="3" t="s">
        <v>46</v>
      </c>
      <c r="T30" s="4">
        <f>C30*'Optimization Model'!C$6</f>
        <v>0</v>
      </c>
      <c r="U30" s="4">
        <f>D30*'Optimization Model'!D$6</f>
        <v>5</v>
      </c>
      <c r="V30" s="4">
        <f>E30*'Optimization Model'!E$6</f>
        <v>0</v>
      </c>
      <c r="W30" s="4">
        <f>F30*'Optimization Model'!F$6</f>
        <v>0</v>
      </c>
      <c r="X30" s="4">
        <f>G30*'Optimization Model'!G$6</f>
        <v>0</v>
      </c>
      <c r="Y30" s="4">
        <f>H30*'Optimization Model'!H$6</f>
        <v>0</v>
      </c>
      <c r="Z30" s="4">
        <f t="shared" si="1"/>
        <v>5</v>
      </c>
      <c r="AB30" s="3" t="s">
        <v>46</v>
      </c>
      <c r="AC30" s="4">
        <f>C30*'Optimization Model'!C$7</f>
        <v>4</v>
      </c>
      <c r="AD30" s="4">
        <f>D30*'Optimization Model'!D$7</f>
        <v>0</v>
      </c>
      <c r="AE30" s="4">
        <f>E30*'Optimization Model'!E$7</f>
        <v>0</v>
      </c>
      <c r="AF30" s="4">
        <f>F30*'Optimization Model'!F$7</f>
        <v>0</v>
      </c>
      <c r="AG30" s="4">
        <f>G30*'Optimization Model'!G$7</f>
        <v>0</v>
      </c>
      <c r="AH30" s="4">
        <f>H30*'Optimization Model'!H$7</f>
        <v>0</v>
      </c>
      <c r="AI30" s="4">
        <f t="shared" si="2"/>
        <v>4</v>
      </c>
      <c r="AK30" s="3" t="s">
        <v>46</v>
      </c>
      <c r="AL30" s="4">
        <f>C30*'Optimization Model'!C$8</f>
        <v>0</v>
      </c>
      <c r="AM30" s="4">
        <f>D30*'Optimization Model'!D$8</f>
        <v>5</v>
      </c>
      <c r="AN30" s="4">
        <f>E30*'Optimization Model'!E$8</f>
        <v>0</v>
      </c>
      <c r="AO30" s="4">
        <f>F30*'Optimization Model'!F$8</f>
        <v>0</v>
      </c>
      <c r="AP30" s="4">
        <f>G30*'Optimization Model'!G$8</f>
        <v>0</v>
      </c>
      <c r="AQ30" s="4">
        <f>H30*'Optimization Model'!H$8</f>
        <v>1</v>
      </c>
      <c r="AR30" s="4">
        <f t="shared" si="3"/>
        <v>6</v>
      </c>
      <c r="AT30" s="3" t="s">
        <v>46</v>
      </c>
      <c r="AU30" s="4">
        <f>C30*'Optimization Model'!C$9</f>
        <v>4</v>
      </c>
      <c r="AV30" s="4">
        <f>D30*'Optimization Model'!D$9</f>
        <v>0</v>
      </c>
      <c r="AW30" s="4">
        <f>E30*'Optimization Model'!E$9</f>
        <v>0</v>
      </c>
      <c r="AX30" s="4">
        <f>F30*'Optimization Model'!F$9</f>
        <v>0</v>
      </c>
      <c r="AY30" s="4">
        <f>G30*'Optimization Model'!G$9</f>
        <v>0</v>
      </c>
      <c r="AZ30" s="4">
        <f>H30*'Optimization Model'!H$9</f>
        <v>0</v>
      </c>
      <c r="BA30" s="4">
        <f t="shared" si="4"/>
        <v>4</v>
      </c>
      <c r="BC30" s="3" t="s">
        <v>46</v>
      </c>
      <c r="BD30" s="4">
        <f>C30*'Optimization Model'!C$10</f>
        <v>0</v>
      </c>
      <c r="BE30" s="4">
        <f>D30*'Optimization Model'!D$10</f>
        <v>5</v>
      </c>
      <c r="BF30" s="4">
        <f>E30*'Optimization Model'!E$10</f>
        <v>0</v>
      </c>
      <c r="BG30" s="4">
        <f>F30*'Optimization Model'!F$10</f>
        <v>0</v>
      </c>
      <c r="BH30" s="4">
        <f>G30*'Optimization Model'!G$10</f>
        <v>0</v>
      </c>
      <c r="BI30" s="4">
        <f>H30*'Optimization Model'!H$10</f>
        <v>0</v>
      </c>
      <c r="BJ30" s="4">
        <f t="shared" si="5"/>
        <v>5</v>
      </c>
      <c r="BL30" s="3" t="s">
        <v>46</v>
      </c>
      <c r="BM30" s="4">
        <f>C30*'Optimization Model'!C$11</f>
        <v>0</v>
      </c>
      <c r="BN30" s="4">
        <f>D30*'Optimization Model'!D$11</f>
        <v>0</v>
      </c>
      <c r="BO30" s="4">
        <f>E30*'Optimization Model'!E$11</f>
        <v>3</v>
      </c>
      <c r="BP30" s="4">
        <f>F30*'Optimization Model'!F$11</f>
        <v>0</v>
      </c>
      <c r="BQ30" s="4">
        <f>G30*'Optimization Model'!G$11</f>
        <v>1</v>
      </c>
      <c r="BR30" s="4">
        <f>H30*'Optimization Model'!H$11</f>
        <v>0</v>
      </c>
      <c r="BS30" s="4">
        <f t="shared" si="6"/>
        <v>4</v>
      </c>
      <c r="BU30" s="3" t="s">
        <v>46</v>
      </c>
      <c r="BV30" s="4">
        <f>C30*'Optimization Model'!C$12</f>
        <v>0</v>
      </c>
      <c r="BW30" s="4">
        <f>D30*'Optimization Model'!D$12</f>
        <v>0</v>
      </c>
      <c r="BX30" s="4">
        <f>E30*'Optimization Model'!E$12</f>
        <v>0</v>
      </c>
      <c r="BY30" s="4">
        <f>F30*'Optimization Model'!F$12</f>
        <v>0</v>
      </c>
      <c r="BZ30" s="4">
        <f>G30*'Optimization Model'!G$12</f>
        <v>1</v>
      </c>
      <c r="CA30" s="4">
        <f>H30*'Optimization Model'!H$12</f>
        <v>1</v>
      </c>
      <c r="CB30" s="4">
        <f t="shared" si="7"/>
        <v>2</v>
      </c>
      <c r="CD30" s="3" t="s">
        <v>46</v>
      </c>
      <c r="CE30" s="4">
        <f>C30*'Optimization Model'!C$13</f>
        <v>4</v>
      </c>
      <c r="CF30" s="4">
        <f>D30*'Optimization Model'!D$13</f>
        <v>0</v>
      </c>
      <c r="CG30" s="4">
        <f>E30*'Optimization Model'!E$13</f>
        <v>0</v>
      </c>
      <c r="CH30" s="4">
        <f>F30*'Optimization Model'!F$13</f>
        <v>0</v>
      </c>
      <c r="CI30" s="4">
        <f>G30*'Optimization Model'!G$13</f>
        <v>0</v>
      </c>
      <c r="CJ30" s="4">
        <f>H30*'Optimization Model'!H$13</f>
        <v>0</v>
      </c>
      <c r="CK30" s="4">
        <f t="shared" si="8"/>
        <v>4</v>
      </c>
      <c r="CM30" s="3" t="s">
        <v>46</v>
      </c>
      <c r="CN30" s="4">
        <f>C30*'Optimization Model'!C$14</f>
        <v>0</v>
      </c>
      <c r="CO30" s="4">
        <f>D30*'Optimization Model'!D$14</f>
        <v>5</v>
      </c>
      <c r="CP30" s="4">
        <f>E30*'Optimization Model'!E$14</f>
        <v>0</v>
      </c>
      <c r="CQ30" s="4">
        <f>F30*'Optimization Model'!F$14</f>
        <v>0</v>
      </c>
      <c r="CR30" s="4">
        <f>G30*'Optimization Model'!G$14</f>
        <v>0</v>
      </c>
      <c r="CS30" s="4">
        <f>H30*'Optimization Model'!H$14</f>
        <v>0</v>
      </c>
      <c r="CT30" s="4">
        <f t="shared" si="9"/>
        <v>5</v>
      </c>
      <c r="CV30" s="3" t="s">
        <v>46</v>
      </c>
      <c r="CW30" s="4">
        <f>C30*'Optimization Model'!C$15</f>
        <v>0</v>
      </c>
      <c r="CX30" s="4">
        <f>D30*'Optimization Model'!D$15</f>
        <v>0</v>
      </c>
      <c r="CY30" s="4">
        <f>E30*'Optimization Model'!E$15</f>
        <v>0</v>
      </c>
      <c r="CZ30" s="4">
        <f>F30*'Optimization Model'!F$15</f>
        <v>0</v>
      </c>
      <c r="DA30" s="4">
        <f>G30*'Optimization Model'!G$15</f>
        <v>1</v>
      </c>
      <c r="DB30" s="4">
        <f>H30*'Optimization Model'!H$15</f>
        <v>0</v>
      </c>
      <c r="DC30" s="4">
        <f t="shared" si="10"/>
        <v>1</v>
      </c>
      <c r="DE30" s="3" t="s">
        <v>46</v>
      </c>
      <c r="DF30" s="4">
        <f>C30*'Optimization Model'!C$16</f>
        <v>0</v>
      </c>
      <c r="DG30" s="4">
        <f>D30*'Optimization Model'!D$16</f>
        <v>0</v>
      </c>
      <c r="DH30" s="4">
        <f>E30*'Optimization Model'!E$16</f>
        <v>3</v>
      </c>
      <c r="DI30" s="4">
        <f>F30*'Optimization Model'!F$16</f>
        <v>0</v>
      </c>
      <c r="DJ30" s="4">
        <f>G30*'Optimization Model'!G$16</f>
        <v>0</v>
      </c>
      <c r="DK30" s="4">
        <f>H30*'Optimization Model'!H$16</f>
        <v>0</v>
      </c>
      <c r="DL30" s="4">
        <f t="shared" si="11"/>
        <v>3</v>
      </c>
      <c r="DN30" s="3" t="s">
        <v>46</v>
      </c>
      <c r="DO30" s="4">
        <f>C30*'Optimization Model'!C$17</f>
        <v>0</v>
      </c>
      <c r="DP30" s="4">
        <f>D30*'Optimization Model'!D$17</f>
        <v>0</v>
      </c>
      <c r="DQ30" s="4">
        <f>E30*'Optimization Model'!E$17</f>
        <v>3</v>
      </c>
      <c r="DR30" s="4">
        <f>F30*'Optimization Model'!F$17</f>
        <v>0</v>
      </c>
      <c r="DS30" s="4">
        <f>G30*'Optimization Model'!G$17</f>
        <v>1</v>
      </c>
      <c r="DT30" s="4">
        <f>H30*'Optimization Model'!H$17</f>
        <v>0</v>
      </c>
      <c r="DU30" s="4">
        <f t="shared" si="12"/>
        <v>4</v>
      </c>
      <c r="DW30" s="3" t="s">
        <v>46</v>
      </c>
      <c r="DX30" s="4">
        <f>C30*'Optimization Model'!C$18</f>
        <v>0</v>
      </c>
      <c r="DY30" s="4">
        <f>D30*'Optimization Model'!D$18</f>
        <v>0</v>
      </c>
      <c r="DZ30" s="4">
        <f>E30*'Optimization Model'!E$18</f>
        <v>3</v>
      </c>
      <c r="EA30" s="4">
        <f>F30*'Optimization Model'!F$18</f>
        <v>0</v>
      </c>
      <c r="EB30" s="4">
        <f>G30*'Optimization Model'!G$18</f>
        <v>0</v>
      </c>
      <c r="EC30" s="4">
        <f>H30*'Optimization Model'!H$18</f>
        <v>0</v>
      </c>
      <c r="ED30" s="4">
        <f t="shared" si="13"/>
        <v>3</v>
      </c>
      <c r="EF30" s="3" t="s">
        <v>46</v>
      </c>
      <c r="EG30" s="4">
        <f>C30*'Optimization Model'!C$19</f>
        <v>0</v>
      </c>
      <c r="EH30" s="4">
        <f>D30*'Optimization Model'!D$19</f>
        <v>0</v>
      </c>
      <c r="EI30" s="4">
        <f>E30*'Optimization Model'!E$19</f>
        <v>0</v>
      </c>
      <c r="EJ30" s="4">
        <f>F30*'Optimization Model'!F$19</f>
        <v>0</v>
      </c>
      <c r="EK30" s="4">
        <f>G30*'Optimization Model'!G$19</f>
        <v>0</v>
      </c>
      <c r="EL30" s="4">
        <f>H30*'Optimization Model'!H$19</f>
        <v>1</v>
      </c>
      <c r="EM30" s="4">
        <f t="shared" si="14"/>
        <v>1</v>
      </c>
      <c r="EO30" s="3" t="s">
        <v>46</v>
      </c>
      <c r="EP30" s="4">
        <f>C30*'Optimization Model'!C$20</f>
        <v>0</v>
      </c>
      <c r="EQ30" s="4">
        <f>D30*'Optimization Model'!D$20</f>
        <v>0</v>
      </c>
      <c r="ER30" s="4">
        <f>E30*'Optimization Model'!E$20</f>
        <v>0</v>
      </c>
      <c r="ES30" s="4">
        <f>F30*'Optimization Model'!F$20</f>
        <v>0</v>
      </c>
      <c r="ET30" s="4">
        <f>G30*'Optimization Model'!G$20</f>
        <v>0</v>
      </c>
      <c r="EU30" s="4">
        <f>H30*'Optimization Model'!H$20</f>
        <v>1</v>
      </c>
      <c r="EV30" s="4">
        <f t="shared" si="15"/>
        <v>1</v>
      </c>
    </row>
    <row r="31" spans="2:152" x14ac:dyDescent="0.35">
      <c r="B31" s="3" t="s">
        <v>47</v>
      </c>
      <c r="C31" s="4">
        <f>'Data- Refined'!U31</f>
        <v>12</v>
      </c>
      <c r="D31" s="4">
        <f>'Data- Refined'!V31</f>
        <v>13</v>
      </c>
      <c r="E31" s="4">
        <f>'Data- Refined'!W31</f>
        <v>7</v>
      </c>
      <c r="F31" s="4">
        <f>'Data- Refined'!X31</f>
        <v>9</v>
      </c>
      <c r="G31" s="4">
        <f>'Data- Refined'!Y31</f>
        <v>7</v>
      </c>
      <c r="H31" s="4">
        <f>'Data- Refined'!Z31</f>
        <v>3</v>
      </c>
      <c r="J31" s="3" t="s">
        <v>47</v>
      </c>
      <c r="K31" s="4">
        <f>C31*'Optimization Model'!C$5</f>
        <v>12</v>
      </c>
      <c r="L31" s="4">
        <f>D31*'Optimization Model'!D$5</f>
        <v>0</v>
      </c>
      <c r="M31" s="4">
        <f>E31*'Optimization Model'!E$5</f>
        <v>0</v>
      </c>
      <c r="N31" s="4">
        <f>F31*'Optimization Model'!F$5</f>
        <v>0</v>
      </c>
      <c r="O31" s="4">
        <f>G31*'Optimization Model'!G$5</f>
        <v>0</v>
      </c>
      <c r="P31" s="4">
        <f>H31*'Optimization Model'!H$5</f>
        <v>0</v>
      </c>
      <c r="Q31" s="4">
        <f t="shared" si="0"/>
        <v>12</v>
      </c>
      <c r="R31" s="8"/>
      <c r="S31" s="3" t="s">
        <v>47</v>
      </c>
      <c r="T31" s="4">
        <f>C31*'Optimization Model'!C$6</f>
        <v>0</v>
      </c>
      <c r="U31" s="4">
        <f>D31*'Optimization Model'!D$6</f>
        <v>13</v>
      </c>
      <c r="V31" s="4">
        <f>E31*'Optimization Model'!E$6</f>
        <v>0</v>
      </c>
      <c r="W31" s="4">
        <f>F31*'Optimization Model'!F$6</f>
        <v>0</v>
      </c>
      <c r="X31" s="4">
        <f>G31*'Optimization Model'!G$6</f>
        <v>0</v>
      </c>
      <c r="Y31" s="4">
        <f>H31*'Optimization Model'!H$6</f>
        <v>0</v>
      </c>
      <c r="Z31" s="4">
        <f t="shared" si="1"/>
        <v>13</v>
      </c>
      <c r="AB31" s="3" t="s">
        <v>47</v>
      </c>
      <c r="AC31" s="4">
        <f>C31*'Optimization Model'!C$7</f>
        <v>12</v>
      </c>
      <c r="AD31" s="4">
        <f>D31*'Optimization Model'!D$7</f>
        <v>0</v>
      </c>
      <c r="AE31" s="4">
        <f>E31*'Optimization Model'!E$7</f>
        <v>0</v>
      </c>
      <c r="AF31" s="4">
        <f>F31*'Optimization Model'!F$7</f>
        <v>0</v>
      </c>
      <c r="AG31" s="4">
        <f>G31*'Optimization Model'!G$7</f>
        <v>0</v>
      </c>
      <c r="AH31" s="4">
        <f>H31*'Optimization Model'!H$7</f>
        <v>0</v>
      </c>
      <c r="AI31" s="4">
        <f t="shared" si="2"/>
        <v>12</v>
      </c>
      <c r="AK31" s="3" t="s">
        <v>47</v>
      </c>
      <c r="AL31" s="4">
        <f>C31*'Optimization Model'!C$8</f>
        <v>0</v>
      </c>
      <c r="AM31" s="4">
        <f>D31*'Optimization Model'!D$8</f>
        <v>13</v>
      </c>
      <c r="AN31" s="4">
        <f>E31*'Optimization Model'!E$8</f>
        <v>0</v>
      </c>
      <c r="AO31" s="4">
        <f>F31*'Optimization Model'!F$8</f>
        <v>0</v>
      </c>
      <c r="AP31" s="4">
        <f>G31*'Optimization Model'!G$8</f>
        <v>0</v>
      </c>
      <c r="AQ31" s="4">
        <f>H31*'Optimization Model'!H$8</f>
        <v>3</v>
      </c>
      <c r="AR31" s="4">
        <f t="shared" si="3"/>
        <v>16</v>
      </c>
      <c r="AT31" s="3" t="s">
        <v>47</v>
      </c>
      <c r="AU31" s="4">
        <f>C31*'Optimization Model'!C$9</f>
        <v>12</v>
      </c>
      <c r="AV31" s="4">
        <f>D31*'Optimization Model'!D$9</f>
        <v>0</v>
      </c>
      <c r="AW31" s="4">
        <f>E31*'Optimization Model'!E$9</f>
        <v>0</v>
      </c>
      <c r="AX31" s="4">
        <f>F31*'Optimization Model'!F$9</f>
        <v>9</v>
      </c>
      <c r="AY31" s="4">
        <f>G31*'Optimization Model'!G$9</f>
        <v>0</v>
      </c>
      <c r="AZ31" s="4">
        <f>H31*'Optimization Model'!H$9</f>
        <v>0</v>
      </c>
      <c r="BA31" s="4">
        <f t="shared" si="4"/>
        <v>21</v>
      </c>
      <c r="BC31" s="3" t="s">
        <v>47</v>
      </c>
      <c r="BD31" s="4">
        <f>C31*'Optimization Model'!C$10</f>
        <v>0</v>
      </c>
      <c r="BE31" s="4">
        <f>D31*'Optimization Model'!D$10</f>
        <v>13</v>
      </c>
      <c r="BF31" s="4">
        <f>E31*'Optimization Model'!E$10</f>
        <v>0</v>
      </c>
      <c r="BG31" s="4">
        <f>F31*'Optimization Model'!F$10</f>
        <v>9</v>
      </c>
      <c r="BH31" s="4">
        <f>G31*'Optimization Model'!G$10</f>
        <v>0</v>
      </c>
      <c r="BI31" s="4">
        <f>H31*'Optimization Model'!H$10</f>
        <v>0</v>
      </c>
      <c r="BJ31" s="4">
        <f t="shared" si="5"/>
        <v>22</v>
      </c>
      <c r="BL31" s="3" t="s">
        <v>47</v>
      </c>
      <c r="BM31" s="4">
        <f>C31*'Optimization Model'!C$11</f>
        <v>0</v>
      </c>
      <c r="BN31" s="4">
        <f>D31*'Optimization Model'!D$11</f>
        <v>0</v>
      </c>
      <c r="BO31" s="4">
        <f>E31*'Optimization Model'!E$11</f>
        <v>7</v>
      </c>
      <c r="BP31" s="4">
        <f>F31*'Optimization Model'!F$11</f>
        <v>0</v>
      </c>
      <c r="BQ31" s="4">
        <f>G31*'Optimization Model'!G$11</f>
        <v>7</v>
      </c>
      <c r="BR31" s="4">
        <f>H31*'Optimization Model'!H$11</f>
        <v>0</v>
      </c>
      <c r="BS31" s="4">
        <f t="shared" si="6"/>
        <v>14</v>
      </c>
      <c r="BU31" s="3" t="s">
        <v>47</v>
      </c>
      <c r="BV31" s="4">
        <f>C31*'Optimization Model'!C$12</f>
        <v>0</v>
      </c>
      <c r="BW31" s="4">
        <f>D31*'Optimization Model'!D$12</f>
        <v>0</v>
      </c>
      <c r="BX31" s="4">
        <f>E31*'Optimization Model'!E$12</f>
        <v>0</v>
      </c>
      <c r="BY31" s="4">
        <f>F31*'Optimization Model'!F$12</f>
        <v>0</v>
      </c>
      <c r="BZ31" s="4">
        <f>G31*'Optimization Model'!G$12</f>
        <v>7</v>
      </c>
      <c r="CA31" s="4">
        <f>H31*'Optimization Model'!H$12</f>
        <v>3</v>
      </c>
      <c r="CB31" s="4">
        <f t="shared" si="7"/>
        <v>10</v>
      </c>
      <c r="CD31" s="3" t="s">
        <v>47</v>
      </c>
      <c r="CE31" s="4">
        <f>C31*'Optimization Model'!C$13</f>
        <v>12</v>
      </c>
      <c r="CF31" s="4">
        <f>D31*'Optimization Model'!D$13</f>
        <v>0</v>
      </c>
      <c r="CG31" s="4">
        <f>E31*'Optimization Model'!E$13</f>
        <v>0</v>
      </c>
      <c r="CH31" s="4">
        <f>F31*'Optimization Model'!F$13</f>
        <v>0</v>
      </c>
      <c r="CI31" s="4">
        <f>G31*'Optimization Model'!G$13</f>
        <v>0</v>
      </c>
      <c r="CJ31" s="4">
        <f>H31*'Optimization Model'!H$13</f>
        <v>0</v>
      </c>
      <c r="CK31" s="4">
        <f t="shared" si="8"/>
        <v>12</v>
      </c>
      <c r="CM31" s="3" t="s">
        <v>47</v>
      </c>
      <c r="CN31" s="4">
        <f>C31*'Optimization Model'!C$14</f>
        <v>0</v>
      </c>
      <c r="CO31" s="4">
        <f>D31*'Optimization Model'!D$14</f>
        <v>13</v>
      </c>
      <c r="CP31" s="4">
        <f>E31*'Optimization Model'!E$14</f>
        <v>0</v>
      </c>
      <c r="CQ31" s="4">
        <f>F31*'Optimization Model'!F$14</f>
        <v>0</v>
      </c>
      <c r="CR31" s="4">
        <f>G31*'Optimization Model'!G$14</f>
        <v>0</v>
      </c>
      <c r="CS31" s="4">
        <f>H31*'Optimization Model'!H$14</f>
        <v>0</v>
      </c>
      <c r="CT31" s="4">
        <f t="shared" si="9"/>
        <v>13</v>
      </c>
      <c r="CV31" s="3" t="s">
        <v>47</v>
      </c>
      <c r="CW31" s="4">
        <f>C31*'Optimization Model'!C$15</f>
        <v>0</v>
      </c>
      <c r="CX31" s="4">
        <f>D31*'Optimization Model'!D$15</f>
        <v>0</v>
      </c>
      <c r="CY31" s="4">
        <f>E31*'Optimization Model'!E$15</f>
        <v>0</v>
      </c>
      <c r="CZ31" s="4">
        <f>F31*'Optimization Model'!F$15</f>
        <v>9</v>
      </c>
      <c r="DA31" s="4">
        <f>G31*'Optimization Model'!G$15</f>
        <v>7</v>
      </c>
      <c r="DB31" s="4">
        <f>H31*'Optimization Model'!H$15</f>
        <v>0</v>
      </c>
      <c r="DC31" s="4">
        <f t="shared" si="10"/>
        <v>16</v>
      </c>
      <c r="DE31" s="3" t="s">
        <v>47</v>
      </c>
      <c r="DF31" s="4">
        <f>C31*'Optimization Model'!C$16</f>
        <v>0</v>
      </c>
      <c r="DG31" s="4">
        <f>D31*'Optimization Model'!D$16</f>
        <v>0</v>
      </c>
      <c r="DH31" s="4">
        <f>E31*'Optimization Model'!E$16</f>
        <v>7</v>
      </c>
      <c r="DI31" s="4">
        <f>F31*'Optimization Model'!F$16</f>
        <v>0</v>
      </c>
      <c r="DJ31" s="4">
        <f>G31*'Optimization Model'!G$16</f>
        <v>0</v>
      </c>
      <c r="DK31" s="4">
        <f>H31*'Optimization Model'!H$16</f>
        <v>0</v>
      </c>
      <c r="DL31" s="4">
        <f t="shared" si="11"/>
        <v>7</v>
      </c>
      <c r="DN31" s="3" t="s">
        <v>47</v>
      </c>
      <c r="DO31" s="4">
        <f>C31*'Optimization Model'!C$17</f>
        <v>0</v>
      </c>
      <c r="DP31" s="4">
        <f>D31*'Optimization Model'!D$17</f>
        <v>0</v>
      </c>
      <c r="DQ31" s="4">
        <f>E31*'Optimization Model'!E$17</f>
        <v>7</v>
      </c>
      <c r="DR31" s="4">
        <f>F31*'Optimization Model'!F$17</f>
        <v>0</v>
      </c>
      <c r="DS31" s="4">
        <f>G31*'Optimization Model'!G$17</f>
        <v>7</v>
      </c>
      <c r="DT31" s="4">
        <f>H31*'Optimization Model'!H$17</f>
        <v>0</v>
      </c>
      <c r="DU31" s="4">
        <f t="shared" si="12"/>
        <v>14</v>
      </c>
      <c r="DW31" s="3" t="s">
        <v>47</v>
      </c>
      <c r="DX31" s="4">
        <f>C31*'Optimization Model'!C$18</f>
        <v>0</v>
      </c>
      <c r="DY31" s="4">
        <f>D31*'Optimization Model'!D$18</f>
        <v>0</v>
      </c>
      <c r="DZ31" s="4">
        <f>E31*'Optimization Model'!E$18</f>
        <v>7</v>
      </c>
      <c r="EA31" s="4">
        <f>F31*'Optimization Model'!F$18</f>
        <v>9</v>
      </c>
      <c r="EB31" s="4">
        <f>G31*'Optimization Model'!G$18</f>
        <v>0</v>
      </c>
      <c r="EC31" s="4">
        <f>H31*'Optimization Model'!H$18</f>
        <v>0</v>
      </c>
      <c r="ED31" s="4">
        <f t="shared" si="13"/>
        <v>16</v>
      </c>
      <c r="EF31" s="3" t="s">
        <v>47</v>
      </c>
      <c r="EG31" s="4">
        <f>C31*'Optimization Model'!C$19</f>
        <v>0</v>
      </c>
      <c r="EH31" s="4">
        <f>D31*'Optimization Model'!D$19</f>
        <v>0</v>
      </c>
      <c r="EI31" s="4">
        <f>E31*'Optimization Model'!E$19</f>
        <v>0</v>
      </c>
      <c r="EJ31" s="4">
        <f>F31*'Optimization Model'!F$19</f>
        <v>0</v>
      </c>
      <c r="EK31" s="4">
        <f>G31*'Optimization Model'!G$19</f>
        <v>0</v>
      </c>
      <c r="EL31" s="4">
        <f>H31*'Optimization Model'!H$19</f>
        <v>3</v>
      </c>
      <c r="EM31" s="4">
        <f t="shared" si="14"/>
        <v>3</v>
      </c>
      <c r="EO31" s="3" t="s">
        <v>47</v>
      </c>
      <c r="EP31" s="4">
        <f>C31*'Optimization Model'!C$20</f>
        <v>0</v>
      </c>
      <c r="EQ31" s="4">
        <f>D31*'Optimization Model'!D$20</f>
        <v>0</v>
      </c>
      <c r="ER31" s="4">
        <f>E31*'Optimization Model'!E$20</f>
        <v>0</v>
      </c>
      <c r="ES31" s="4">
        <f>F31*'Optimization Model'!F$20</f>
        <v>0</v>
      </c>
      <c r="ET31" s="4">
        <f>G31*'Optimization Model'!G$20</f>
        <v>0</v>
      </c>
      <c r="EU31" s="4">
        <f>H31*'Optimization Model'!H$20</f>
        <v>3</v>
      </c>
      <c r="EV31" s="4">
        <f t="shared" si="15"/>
        <v>3</v>
      </c>
    </row>
    <row r="32" spans="2:152" x14ac:dyDescent="0.35">
      <c r="B32" s="3" t="s">
        <v>48</v>
      </c>
      <c r="C32" s="4">
        <f>'Data- Refined'!U32</f>
        <v>6</v>
      </c>
      <c r="D32" s="4">
        <f>'Data- Refined'!V32</f>
        <v>5</v>
      </c>
      <c r="E32" s="4">
        <f>'Data- Refined'!W32</f>
        <v>1</v>
      </c>
      <c r="F32" s="4">
        <f>'Data- Refined'!X32</f>
        <v>1</v>
      </c>
      <c r="G32" s="4">
        <f>'Data- Refined'!Y32</f>
        <v>1</v>
      </c>
      <c r="H32" s="4">
        <f>'Data- Refined'!Z32</f>
        <v>0</v>
      </c>
      <c r="J32" s="3" t="s">
        <v>48</v>
      </c>
      <c r="K32" s="4">
        <f>C32*'Optimization Model'!C$5</f>
        <v>6</v>
      </c>
      <c r="L32" s="4">
        <f>D32*'Optimization Model'!D$5</f>
        <v>0</v>
      </c>
      <c r="M32" s="4">
        <f>E32*'Optimization Model'!E$5</f>
        <v>0</v>
      </c>
      <c r="N32" s="4">
        <f>F32*'Optimization Model'!F$5</f>
        <v>0</v>
      </c>
      <c r="O32" s="4">
        <f>G32*'Optimization Model'!G$5</f>
        <v>0</v>
      </c>
      <c r="P32" s="4">
        <f>H32*'Optimization Model'!H$5</f>
        <v>0</v>
      </c>
      <c r="Q32" s="4">
        <f t="shared" si="0"/>
        <v>6</v>
      </c>
      <c r="R32" s="8"/>
      <c r="S32" s="3" t="s">
        <v>48</v>
      </c>
      <c r="T32" s="4">
        <f>C32*'Optimization Model'!C$6</f>
        <v>0</v>
      </c>
      <c r="U32" s="4">
        <f>D32*'Optimization Model'!D$6</f>
        <v>5</v>
      </c>
      <c r="V32" s="4">
        <f>E32*'Optimization Model'!E$6</f>
        <v>0</v>
      </c>
      <c r="W32" s="4">
        <f>F32*'Optimization Model'!F$6</f>
        <v>0</v>
      </c>
      <c r="X32" s="4">
        <f>G32*'Optimization Model'!G$6</f>
        <v>0</v>
      </c>
      <c r="Y32" s="4">
        <f>H32*'Optimization Model'!H$6</f>
        <v>0</v>
      </c>
      <c r="Z32" s="4">
        <f t="shared" si="1"/>
        <v>5</v>
      </c>
      <c r="AB32" s="3" t="s">
        <v>48</v>
      </c>
      <c r="AC32" s="4">
        <f>C32*'Optimization Model'!C$7</f>
        <v>6</v>
      </c>
      <c r="AD32" s="4">
        <f>D32*'Optimization Model'!D$7</f>
        <v>0</v>
      </c>
      <c r="AE32" s="4">
        <f>E32*'Optimization Model'!E$7</f>
        <v>0</v>
      </c>
      <c r="AF32" s="4">
        <f>F32*'Optimization Model'!F$7</f>
        <v>0</v>
      </c>
      <c r="AG32" s="4">
        <f>G32*'Optimization Model'!G$7</f>
        <v>0</v>
      </c>
      <c r="AH32" s="4">
        <f>H32*'Optimization Model'!H$7</f>
        <v>0</v>
      </c>
      <c r="AI32" s="4">
        <f t="shared" si="2"/>
        <v>6</v>
      </c>
      <c r="AK32" s="3" t="s">
        <v>48</v>
      </c>
      <c r="AL32" s="4">
        <f>C32*'Optimization Model'!C$8</f>
        <v>0</v>
      </c>
      <c r="AM32" s="4">
        <f>D32*'Optimization Model'!D$8</f>
        <v>5</v>
      </c>
      <c r="AN32" s="4">
        <f>E32*'Optimization Model'!E$8</f>
        <v>0</v>
      </c>
      <c r="AO32" s="4">
        <f>F32*'Optimization Model'!F$8</f>
        <v>0</v>
      </c>
      <c r="AP32" s="4">
        <f>G32*'Optimization Model'!G$8</f>
        <v>0</v>
      </c>
      <c r="AQ32" s="4">
        <f>H32*'Optimization Model'!H$8</f>
        <v>0</v>
      </c>
      <c r="AR32" s="4">
        <f t="shared" si="3"/>
        <v>5</v>
      </c>
      <c r="AT32" s="3" t="s">
        <v>48</v>
      </c>
      <c r="AU32" s="4">
        <f>C32*'Optimization Model'!C$9</f>
        <v>6</v>
      </c>
      <c r="AV32" s="4">
        <f>D32*'Optimization Model'!D$9</f>
        <v>0</v>
      </c>
      <c r="AW32" s="4">
        <f>E32*'Optimization Model'!E$9</f>
        <v>0</v>
      </c>
      <c r="AX32" s="4">
        <f>F32*'Optimization Model'!F$9</f>
        <v>1</v>
      </c>
      <c r="AY32" s="4">
        <f>G32*'Optimization Model'!G$9</f>
        <v>0</v>
      </c>
      <c r="AZ32" s="4">
        <f>H32*'Optimization Model'!H$9</f>
        <v>0</v>
      </c>
      <c r="BA32" s="4">
        <f t="shared" si="4"/>
        <v>7</v>
      </c>
      <c r="BC32" s="3" t="s">
        <v>48</v>
      </c>
      <c r="BD32" s="4">
        <f>C32*'Optimization Model'!C$10</f>
        <v>0</v>
      </c>
      <c r="BE32" s="4">
        <f>D32*'Optimization Model'!D$10</f>
        <v>5</v>
      </c>
      <c r="BF32" s="4">
        <f>E32*'Optimization Model'!E$10</f>
        <v>0</v>
      </c>
      <c r="BG32" s="4">
        <f>F32*'Optimization Model'!F$10</f>
        <v>1</v>
      </c>
      <c r="BH32" s="4">
        <f>G32*'Optimization Model'!G$10</f>
        <v>0</v>
      </c>
      <c r="BI32" s="4">
        <f>H32*'Optimization Model'!H$10</f>
        <v>0</v>
      </c>
      <c r="BJ32" s="4">
        <f t="shared" si="5"/>
        <v>6</v>
      </c>
      <c r="BL32" s="3" t="s">
        <v>48</v>
      </c>
      <c r="BM32" s="4">
        <f>C32*'Optimization Model'!C$11</f>
        <v>0</v>
      </c>
      <c r="BN32" s="4">
        <f>D32*'Optimization Model'!D$11</f>
        <v>0</v>
      </c>
      <c r="BO32" s="4">
        <f>E32*'Optimization Model'!E$11</f>
        <v>1</v>
      </c>
      <c r="BP32" s="4">
        <f>F32*'Optimization Model'!F$11</f>
        <v>0</v>
      </c>
      <c r="BQ32" s="4">
        <f>G32*'Optimization Model'!G$11</f>
        <v>1</v>
      </c>
      <c r="BR32" s="4">
        <f>H32*'Optimization Model'!H$11</f>
        <v>0</v>
      </c>
      <c r="BS32" s="4">
        <f t="shared" si="6"/>
        <v>2</v>
      </c>
      <c r="BU32" s="3" t="s">
        <v>48</v>
      </c>
      <c r="BV32" s="4">
        <f>C32*'Optimization Model'!C$12</f>
        <v>0</v>
      </c>
      <c r="BW32" s="4">
        <f>D32*'Optimization Model'!D$12</f>
        <v>0</v>
      </c>
      <c r="BX32" s="4">
        <f>E32*'Optimization Model'!E$12</f>
        <v>0</v>
      </c>
      <c r="BY32" s="4">
        <f>F32*'Optimization Model'!F$12</f>
        <v>0</v>
      </c>
      <c r="BZ32" s="4">
        <f>G32*'Optimization Model'!G$12</f>
        <v>1</v>
      </c>
      <c r="CA32" s="4">
        <f>H32*'Optimization Model'!H$12</f>
        <v>0</v>
      </c>
      <c r="CB32" s="4">
        <f t="shared" si="7"/>
        <v>1</v>
      </c>
      <c r="CD32" s="3" t="s">
        <v>48</v>
      </c>
      <c r="CE32" s="4">
        <f>C32*'Optimization Model'!C$13</f>
        <v>6</v>
      </c>
      <c r="CF32" s="4">
        <f>D32*'Optimization Model'!D$13</f>
        <v>0</v>
      </c>
      <c r="CG32" s="4">
        <f>E32*'Optimization Model'!E$13</f>
        <v>0</v>
      </c>
      <c r="CH32" s="4">
        <f>F32*'Optimization Model'!F$13</f>
        <v>0</v>
      </c>
      <c r="CI32" s="4">
        <f>G32*'Optimization Model'!G$13</f>
        <v>0</v>
      </c>
      <c r="CJ32" s="4">
        <f>H32*'Optimization Model'!H$13</f>
        <v>0</v>
      </c>
      <c r="CK32" s="4">
        <f t="shared" si="8"/>
        <v>6</v>
      </c>
      <c r="CM32" s="3" t="s">
        <v>48</v>
      </c>
      <c r="CN32" s="4">
        <f>C32*'Optimization Model'!C$14</f>
        <v>0</v>
      </c>
      <c r="CO32" s="4">
        <f>D32*'Optimization Model'!D$14</f>
        <v>5</v>
      </c>
      <c r="CP32" s="4">
        <f>E32*'Optimization Model'!E$14</f>
        <v>0</v>
      </c>
      <c r="CQ32" s="4">
        <f>F32*'Optimization Model'!F$14</f>
        <v>0</v>
      </c>
      <c r="CR32" s="4">
        <f>G32*'Optimization Model'!G$14</f>
        <v>0</v>
      </c>
      <c r="CS32" s="4">
        <f>H32*'Optimization Model'!H$14</f>
        <v>0</v>
      </c>
      <c r="CT32" s="4">
        <f t="shared" si="9"/>
        <v>5</v>
      </c>
      <c r="CV32" s="3" t="s">
        <v>48</v>
      </c>
      <c r="CW32" s="4">
        <f>C32*'Optimization Model'!C$15</f>
        <v>0</v>
      </c>
      <c r="CX32" s="4">
        <f>D32*'Optimization Model'!D$15</f>
        <v>0</v>
      </c>
      <c r="CY32" s="4">
        <f>E32*'Optimization Model'!E$15</f>
        <v>0</v>
      </c>
      <c r="CZ32" s="4">
        <f>F32*'Optimization Model'!F$15</f>
        <v>1</v>
      </c>
      <c r="DA32" s="4">
        <f>G32*'Optimization Model'!G$15</f>
        <v>1</v>
      </c>
      <c r="DB32" s="4">
        <f>H32*'Optimization Model'!H$15</f>
        <v>0</v>
      </c>
      <c r="DC32" s="4">
        <f t="shared" si="10"/>
        <v>2</v>
      </c>
      <c r="DE32" s="3" t="s">
        <v>48</v>
      </c>
      <c r="DF32" s="4">
        <f>C32*'Optimization Model'!C$16</f>
        <v>0</v>
      </c>
      <c r="DG32" s="4">
        <f>D32*'Optimization Model'!D$16</f>
        <v>0</v>
      </c>
      <c r="DH32" s="4">
        <f>E32*'Optimization Model'!E$16</f>
        <v>1</v>
      </c>
      <c r="DI32" s="4">
        <f>F32*'Optimization Model'!F$16</f>
        <v>0</v>
      </c>
      <c r="DJ32" s="4">
        <f>G32*'Optimization Model'!G$16</f>
        <v>0</v>
      </c>
      <c r="DK32" s="4">
        <f>H32*'Optimization Model'!H$16</f>
        <v>0</v>
      </c>
      <c r="DL32" s="4">
        <f t="shared" si="11"/>
        <v>1</v>
      </c>
      <c r="DN32" s="3" t="s">
        <v>48</v>
      </c>
      <c r="DO32" s="4">
        <f>C32*'Optimization Model'!C$17</f>
        <v>0</v>
      </c>
      <c r="DP32" s="4">
        <f>D32*'Optimization Model'!D$17</f>
        <v>0</v>
      </c>
      <c r="DQ32" s="4">
        <f>E32*'Optimization Model'!E$17</f>
        <v>1</v>
      </c>
      <c r="DR32" s="4">
        <f>F32*'Optimization Model'!F$17</f>
        <v>0</v>
      </c>
      <c r="DS32" s="4">
        <f>G32*'Optimization Model'!G$17</f>
        <v>1</v>
      </c>
      <c r="DT32" s="4">
        <f>H32*'Optimization Model'!H$17</f>
        <v>0</v>
      </c>
      <c r="DU32" s="4">
        <f t="shared" si="12"/>
        <v>2</v>
      </c>
      <c r="DW32" s="3" t="s">
        <v>48</v>
      </c>
      <c r="DX32" s="4">
        <f>C32*'Optimization Model'!C$18</f>
        <v>0</v>
      </c>
      <c r="DY32" s="4">
        <f>D32*'Optimization Model'!D$18</f>
        <v>0</v>
      </c>
      <c r="DZ32" s="4">
        <f>E32*'Optimization Model'!E$18</f>
        <v>1</v>
      </c>
      <c r="EA32" s="4">
        <f>F32*'Optimization Model'!F$18</f>
        <v>1</v>
      </c>
      <c r="EB32" s="4">
        <f>G32*'Optimization Model'!G$18</f>
        <v>0</v>
      </c>
      <c r="EC32" s="4">
        <f>H32*'Optimization Model'!H$18</f>
        <v>0</v>
      </c>
      <c r="ED32" s="4">
        <f t="shared" si="13"/>
        <v>2</v>
      </c>
      <c r="EF32" s="3" t="s">
        <v>48</v>
      </c>
      <c r="EG32" s="4">
        <f>C32*'Optimization Model'!C$19</f>
        <v>0</v>
      </c>
      <c r="EH32" s="4">
        <f>D32*'Optimization Model'!D$19</f>
        <v>0</v>
      </c>
      <c r="EI32" s="4">
        <f>E32*'Optimization Model'!E$19</f>
        <v>0</v>
      </c>
      <c r="EJ32" s="4">
        <f>F32*'Optimization Model'!F$19</f>
        <v>0</v>
      </c>
      <c r="EK32" s="4">
        <f>G32*'Optimization Model'!G$19</f>
        <v>0</v>
      </c>
      <c r="EL32" s="4">
        <f>H32*'Optimization Model'!H$19</f>
        <v>0</v>
      </c>
      <c r="EM32" s="4">
        <f t="shared" si="14"/>
        <v>0</v>
      </c>
      <c r="EO32" s="3" t="s">
        <v>48</v>
      </c>
      <c r="EP32" s="4">
        <f>C32*'Optimization Model'!C$20</f>
        <v>0</v>
      </c>
      <c r="EQ32" s="4">
        <f>D32*'Optimization Model'!D$20</f>
        <v>0</v>
      </c>
      <c r="ER32" s="4">
        <f>E32*'Optimization Model'!E$20</f>
        <v>0</v>
      </c>
      <c r="ES32" s="4">
        <f>F32*'Optimization Model'!F$20</f>
        <v>0</v>
      </c>
      <c r="ET32" s="4">
        <f>G32*'Optimization Model'!G$20</f>
        <v>0</v>
      </c>
      <c r="EU32" s="4">
        <f>H32*'Optimization Model'!H$20</f>
        <v>0</v>
      </c>
      <c r="EV32" s="4">
        <f t="shared" si="15"/>
        <v>0</v>
      </c>
    </row>
    <row r="33" spans="2:152" x14ac:dyDescent="0.35">
      <c r="B33" s="3" t="s">
        <v>49</v>
      </c>
      <c r="C33" s="4">
        <f>'Data- Refined'!U33</f>
        <v>2</v>
      </c>
      <c r="D33" s="4">
        <f>'Data- Refined'!V33</f>
        <v>2</v>
      </c>
      <c r="E33" s="4">
        <f>'Data- Refined'!W33</f>
        <v>1</v>
      </c>
      <c r="F33" s="4">
        <f>'Data- Refined'!X33</f>
        <v>1</v>
      </c>
      <c r="G33" s="4">
        <f>'Data- Refined'!Y33</f>
        <v>1</v>
      </c>
      <c r="H33" s="4">
        <f>'Data- Refined'!Z33</f>
        <v>0</v>
      </c>
      <c r="J33" s="3" t="s">
        <v>49</v>
      </c>
      <c r="K33" s="4">
        <f>C33*'Optimization Model'!C$5</f>
        <v>2</v>
      </c>
      <c r="L33" s="4">
        <f>D33*'Optimization Model'!D$5</f>
        <v>0</v>
      </c>
      <c r="M33" s="4">
        <f>E33*'Optimization Model'!E$5</f>
        <v>0</v>
      </c>
      <c r="N33" s="4">
        <f>F33*'Optimization Model'!F$5</f>
        <v>0</v>
      </c>
      <c r="O33" s="4">
        <f>G33*'Optimization Model'!G$5</f>
        <v>0</v>
      </c>
      <c r="P33" s="4">
        <f>H33*'Optimization Model'!H$5</f>
        <v>0</v>
      </c>
      <c r="Q33" s="4">
        <f t="shared" si="0"/>
        <v>2</v>
      </c>
      <c r="R33" s="8"/>
      <c r="S33" s="3" t="s">
        <v>49</v>
      </c>
      <c r="T33" s="4">
        <f>C33*'Optimization Model'!C$6</f>
        <v>0</v>
      </c>
      <c r="U33" s="4">
        <f>D33*'Optimization Model'!D$6</f>
        <v>2</v>
      </c>
      <c r="V33" s="4">
        <f>E33*'Optimization Model'!E$6</f>
        <v>0</v>
      </c>
      <c r="W33" s="4">
        <f>F33*'Optimization Model'!F$6</f>
        <v>0</v>
      </c>
      <c r="X33" s="4">
        <f>G33*'Optimization Model'!G$6</f>
        <v>0</v>
      </c>
      <c r="Y33" s="4">
        <f>H33*'Optimization Model'!H$6</f>
        <v>0</v>
      </c>
      <c r="Z33" s="4">
        <f t="shared" si="1"/>
        <v>2</v>
      </c>
      <c r="AB33" s="3" t="s">
        <v>49</v>
      </c>
      <c r="AC33" s="4">
        <f>C33*'Optimization Model'!C$7</f>
        <v>2</v>
      </c>
      <c r="AD33" s="4">
        <f>D33*'Optimization Model'!D$7</f>
        <v>0</v>
      </c>
      <c r="AE33" s="4">
        <f>E33*'Optimization Model'!E$7</f>
        <v>0</v>
      </c>
      <c r="AF33" s="4">
        <f>F33*'Optimization Model'!F$7</f>
        <v>0</v>
      </c>
      <c r="AG33" s="4">
        <f>G33*'Optimization Model'!G$7</f>
        <v>0</v>
      </c>
      <c r="AH33" s="4">
        <f>H33*'Optimization Model'!H$7</f>
        <v>0</v>
      </c>
      <c r="AI33" s="4">
        <f t="shared" si="2"/>
        <v>2</v>
      </c>
      <c r="AK33" s="3" t="s">
        <v>49</v>
      </c>
      <c r="AL33" s="4">
        <f>C33*'Optimization Model'!C$8</f>
        <v>0</v>
      </c>
      <c r="AM33" s="4">
        <f>D33*'Optimization Model'!D$8</f>
        <v>2</v>
      </c>
      <c r="AN33" s="4">
        <f>E33*'Optimization Model'!E$8</f>
        <v>0</v>
      </c>
      <c r="AO33" s="4">
        <f>F33*'Optimization Model'!F$8</f>
        <v>0</v>
      </c>
      <c r="AP33" s="4">
        <f>G33*'Optimization Model'!G$8</f>
        <v>0</v>
      </c>
      <c r="AQ33" s="4">
        <f>H33*'Optimization Model'!H$8</f>
        <v>0</v>
      </c>
      <c r="AR33" s="4">
        <f t="shared" si="3"/>
        <v>2</v>
      </c>
      <c r="AT33" s="3" t="s">
        <v>49</v>
      </c>
      <c r="AU33" s="4">
        <f>C33*'Optimization Model'!C$9</f>
        <v>2</v>
      </c>
      <c r="AV33" s="4">
        <f>D33*'Optimization Model'!D$9</f>
        <v>0</v>
      </c>
      <c r="AW33" s="4">
        <f>E33*'Optimization Model'!E$9</f>
        <v>0</v>
      </c>
      <c r="AX33" s="4">
        <f>F33*'Optimization Model'!F$9</f>
        <v>1</v>
      </c>
      <c r="AY33" s="4">
        <f>G33*'Optimization Model'!G$9</f>
        <v>0</v>
      </c>
      <c r="AZ33" s="4">
        <f>H33*'Optimization Model'!H$9</f>
        <v>0</v>
      </c>
      <c r="BA33" s="4">
        <f t="shared" si="4"/>
        <v>3</v>
      </c>
      <c r="BC33" s="3" t="s">
        <v>49</v>
      </c>
      <c r="BD33" s="4">
        <f>C33*'Optimization Model'!C$10</f>
        <v>0</v>
      </c>
      <c r="BE33" s="4">
        <f>D33*'Optimization Model'!D$10</f>
        <v>2</v>
      </c>
      <c r="BF33" s="4">
        <f>E33*'Optimization Model'!E$10</f>
        <v>0</v>
      </c>
      <c r="BG33" s="4">
        <f>F33*'Optimization Model'!F$10</f>
        <v>1</v>
      </c>
      <c r="BH33" s="4">
        <f>G33*'Optimization Model'!G$10</f>
        <v>0</v>
      </c>
      <c r="BI33" s="4">
        <f>H33*'Optimization Model'!H$10</f>
        <v>0</v>
      </c>
      <c r="BJ33" s="4">
        <f t="shared" si="5"/>
        <v>3</v>
      </c>
      <c r="BL33" s="3" t="s">
        <v>49</v>
      </c>
      <c r="BM33" s="4">
        <f>C33*'Optimization Model'!C$11</f>
        <v>0</v>
      </c>
      <c r="BN33" s="4">
        <f>D33*'Optimization Model'!D$11</f>
        <v>0</v>
      </c>
      <c r="BO33" s="4">
        <f>E33*'Optimization Model'!E$11</f>
        <v>1</v>
      </c>
      <c r="BP33" s="4">
        <f>F33*'Optimization Model'!F$11</f>
        <v>0</v>
      </c>
      <c r="BQ33" s="4">
        <f>G33*'Optimization Model'!G$11</f>
        <v>1</v>
      </c>
      <c r="BR33" s="4">
        <f>H33*'Optimization Model'!H$11</f>
        <v>0</v>
      </c>
      <c r="BS33" s="4">
        <f t="shared" si="6"/>
        <v>2</v>
      </c>
      <c r="BU33" s="3" t="s">
        <v>49</v>
      </c>
      <c r="BV33" s="4">
        <f>C33*'Optimization Model'!C$12</f>
        <v>0</v>
      </c>
      <c r="BW33" s="4">
        <f>D33*'Optimization Model'!D$12</f>
        <v>0</v>
      </c>
      <c r="BX33" s="4">
        <f>E33*'Optimization Model'!E$12</f>
        <v>0</v>
      </c>
      <c r="BY33" s="4">
        <f>F33*'Optimization Model'!F$12</f>
        <v>0</v>
      </c>
      <c r="BZ33" s="4">
        <f>G33*'Optimization Model'!G$12</f>
        <v>1</v>
      </c>
      <c r="CA33" s="4">
        <f>H33*'Optimization Model'!H$12</f>
        <v>0</v>
      </c>
      <c r="CB33" s="4">
        <f t="shared" si="7"/>
        <v>1</v>
      </c>
      <c r="CD33" s="3" t="s">
        <v>49</v>
      </c>
      <c r="CE33" s="4">
        <f>C33*'Optimization Model'!C$13</f>
        <v>2</v>
      </c>
      <c r="CF33" s="4">
        <f>D33*'Optimization Model'!D$13</f>
        <v>0</v>
      </c>
      <c r="CG33" s="4">
        <f>E33*'Optimization Model'!E$13</f>
        <v>0</v>
      </c>
      <c r="CH33" s="4">
        <f>F33*'Optimization Model'!F$13</f>
        <v>0</v>
      </c>
      <c r="CI33" s="4">
        <f>G33*'Optimization Model'!G$13</f>
        <v>0</v>
      </c>
      <c r="CJ33" s="4">
        <f>H33*'Optimization Model'!H$13</f>
        <v>0</v>
      </c>
      <c r="CK33" s="4">
        <f t="shared" si="8"/>
        <v>2</v>
      </c>
      <c r="CM33" s="3" t="s">
        <v>49</v>
      </c>
      <c r="CN33" s="4">
        <f>C33*'Optimization Model'!C$14</f>
        <v>0</v>
      </c>
      <c r="CO33" s="4">
        <f>D33*'Optimization Model'!D$14</f>
        <v>2</v>
      </c>
      <c r="CP33" s="4">
        <f>E33*'Optimization Model'!E$14</f>
        <v>0</v>
      </c>
      <c r="CQ33" s="4">
        <f>F33*'Optimization Model'!F$14</f>
        <v>0</v>
      </c>
      <c r="CR33" s="4">
        <f>G33*'Optimization Model'!G$14</f>
        <v>0</v>
      </c>
      <c r="CS33" s="4">
        <f>H33*'Optimization Model'!H$14</f>
        <v>0</v>
      </c>
      <c r="CT33" s="4">
        <f t="shared" si="9"/>
        <v>2</v>
      </c>
      <c r="CV33" s="3" t="s">
        <v>49</v>
      </c>
      <c r="CW33" s="4">
        <f>C33*'Optimization Model'!C$15</f>
        <v>0</v>
      </c>
      <c r="CX33" s="4">
        <f>D33*'Optimization Model'!D$15</f>
        <v>0</v>
      </c>
      <c r="CY33" s="4">
        <f>E33*'Optimization Model'!E$15</f>
        <v>0</v>
      </c>
      <c r="CZ33" s="4">
        <f>F33*'Optimization Model'!F$15</f>
        <v>1</v>
      </c>
      <c r="DA33" s="4">
        <f>G33*'Optimization Model'!G$15</f>
        <v>1</v>
      </c>
      <c r="DB33" s="4">
        <f>H33*'Optimization Model'!H$15</f>
        <v>0</v>
      </c>
      <c r="DC33" s="4">
        <f t="shared" si="10"/>
        <v>2</v>
      </c>
      <c r="DE33" s="3" t="s">
        <v>49</v>
      </c>
      <c r="DF33" s="4">
        <f>C33*'Optimization Model'!C$16</f>
        <v>0</v>
      </c>
      <c r="DG33" s="4">
        <f>D33*'Optimization Model'!D$16</f>
        <v>0</v>
      </c>
      <c r="DH33" s="4">
        <f>E33*'Optimization Model'!E$16</f>
        <v>1</v>
      </c>
      <c r="DI33" s="4">
        <f>F33*'Optimization Model'!F$16</f>
        <v>0</v>
      </c>
      <c r="DJ33" s="4">
        <f>G33*'Optimization Model'!G$16</f>
        <v>0</v>
      </c>
      <c r="DK33" s="4">
        <f>H33*'Optimization Model'!H$16</f>
        <v>0</v>
      </c>
      <c r="DL33" s="4">
        <f t="shared" si="11"/>
        <v>1</v>
      </c>
      <c r="DN33" s="3" t="s">
        <v>49</v>
      </c>
      <c r="DO33" s="4">
        <f>C33*'Optimization Model'!C$17</f>
        <v>0</v>
      </c>
      <c r="DP33" s="4">
        <f>D33*'Optimization Model'!D$17</f>
        <v>0</v>
      </c>
      <c r="DQ33" s="4">
        <f>E33*'Optimization Model'!E$17</f>
        <v>1</v>
      </c>
      <c r="DR33" s="4">
        <f>F33*'Optimization Model'!F$17</f>
        <v>0</v>
      </c>
      <c r="DS33" s="4">
        <f>G33*'Optimization Model'!G$17</f>
        <v>1</v>
      </c>
      <c r="DT33" s="4">
        <f>H33*'Optimization Model'!H$17</f>
        <v>0</v>
      </c>
      <c r="DU33" s="4">
        <f t="shared" si="12"/>
        <v>2</v>
      </c>
      <c r="DW33" s="3" t="s">
        <v>49</v>
      </c>
      <c r="DX33" s="4">
        <f>C33*'Optimization Model'!C$18</f>
        <v>0</v>
      </c>
      <c r="DY33" s="4">
        <f>D33*'Optimization Model'!D$18</f>
        <v>0</v>
      </c>
      <c r="DZ33" s="4">
        <f>E33*'Optimization Model'!E$18</f>
        <v>1</v>
      </c>
      <c r="EA33" s="4">
        <f>F33*'Optimization Model'!F$18</f>
        <v>1</v>
      </c>
      <c r="EB33" s="4">
        <f>G33*'Optimization Model'!G$18</f>
        <v>0</v>
      </c>
      <c r="EC33" s="4">
        <f>H33*'Optimization Model'!H$18</f>
        <v>0</v>
      </c>
      <c r="ED33" s="4">
        <f t="shared" si="13"/>
        <v>2</v>
      </c>
      <c r="EF33" s="3" t="s">
        <v>49</v>
      </c>
      <c r="EG33" s="4">
        <f>C33*'Optimization Model'!C$19</f>
        <v>0</v>
      </c>
      <c r="EH33" s="4">
        <f>D33*'Optimization Model'!D$19</f>
        <v>0</v>
      </c>
      <c r="EI33" s="4">
        <f>E33*'Optimization Model'!E$19</f>
        <v>0</v>
      </c>
      <c r="EJ33" s="4">
        <f>F33*'Optimization Model'!F$19</f>
        <v>0</v>
      </c>
      <c r="EK33" s="4">
        <f>G33*'Optimization Model'!G$19</f>
        <v>0</v>
      </c>
      <c r="EL33" s="4">
        <f>H33*'Optimization Model'!H$19</f>
        <v>0</v>
      </c>
      <c r="EM33" s="4">
        <f t="shared" si="14"/>
        <v>0</v>
      </c>
      <c r="EO33" s="3" t="s">
        <v>49</v>
      </c>
      <c r="EP33" s="4">
        <f>C33*'Optimization Model'!C$20</f>
        <v>0</v>
      </c>
      <c r="EQ33" s="4">
        <f>D33*'Optimization Model'!D$20</f>
        <v>0</v>
      </c>
      <c r="ER33" s="4">
        <f>E33*'Optimization Model'!E$20</f>
        <v>0</v>
      </c>
      <c r="ES33" s="4">
        <f>F33*'Optimization Model'!F$20</f>
        <v>0</v>
      </c>
      <c r="ET33" s="4">
        <f>G33*'Optimization Model'!G$20</f>
        <v>0</v>
      </c>
      <c r="EU33" s="4">
        <f>H33*'Optimization Model'!H$20</f>
        <v>0</v>
      </c>
      <c r="EV33" s="4">
        <f t="shared" si="15"/>
        <v>0</v>
      </c>
    </row>
    <row r="34" spans="2:152" x14ac:dyDescent="0.35">
      <c r="B34" s="3" t="s">
        <v>50</v>
      </c>
      <c r="C34" s="4">
        <f>'Data- Refined'!U34</f>
        <v>5</v>
      </c>
      <c r="D34" s="4">
        <f>'Data- Refined'!V34</f>
        <v>6</v>
      </c>
      <c r="E34" s="4">
        <f>'Data- Refined'!W34</f>
        <v>3</v>
      </c>
      <c r="F34" s="4">
        <f>'Data- Refined'!X34</f>
        <v>3</v>
      </c>
      <c r="G34" s="4">
        <f>'Data- Refined'!Y34</f>
        <v>3</v>
      </c>
      <c r="H34" s="4">
        <f>'Data- Refined'!Z34</f>
        <v>6</v>
      </c>
      <c r="J34" s="3" t="s">
        <v>50</v>
      </c>
      <c r="K34" s="4">
        <f>C34*'Optimization Model'!C$5</f>
        <v>5</v>
      </c>
      <c r="L34" s="4">
        <f>D34*'Optimization Model'!D$5</f>
        <v>0</v>
      </c>
      <c r="M34" s="4">
        <f>E34*'Optimization Model'!E$5</f>
        <v>0</v>
      </c>
      <c r="N34" s="4">
        <f>F34*'Optimization Model'!F$5</f>
        <v>0</v>
      </c>
      <c r="O34" s="4">
        <f>G34*'Optimization Model'!G$5</f>
        <v>0</v>
      </c>
      <c r="P34" s="4">
        <f>H34*'Optimization Model'!H$5</f>
        <v>0</v>
      </c>
      <c r="Q34" s="4">
        <f t="shared" si="0"/>
        <v>5</v>
      </c>
      <c r="R34" s="8"/>
      <c r="S34" s="3" t="s">
        <v>50</v>
      </c>
      <c r="T34" s="4">
        <f>C34*'Optimization Model'!C$6</f>
        <v>0</v>
      </c>
      <c r="U34" s="4">
        <f>D34*'Optimization Model'!D$6</f>
        <v>6</v>
      </c>
      <c r="V34" s="4">
        <f>E34*'Optimization Model'!E$6</f>
        <v>0</v>
      </c>
      <c r="W34" s="4">
        <f>F34*'Optimization Model'!F$6</f>
        <v>0</v>
      </c>
      <c r="X34" s="4">
        <f>G34*'Optimization Model'!G$6</f>
        <v>0</v>
      </c>
      <c r="Y34" s="4">
        <f>H34*'Optimization Model'!H$6</f>
        <v>0</v>
      </c>
      <c r="Z34" s="4">
        <f t="shared" si="1"/>
        <v>6</v>
      </c>
      <c r="AB34" s="3" t="s">
        <v>50</v>
      </c>
      <c r="AC34" s="4">
        <f>C34*'Optimization Model'!C$7</f>
        <v>5</v>
      </c>
      <c r="AD34" s="4">
        <f>D34*'Optimization Model'!D$7</f>
        <v>0</v>
      </c>
      <c r="AE34" s="4">
        <f>E34*'Optimization Model'!E$7</f>
        <v>0</v>
      </c>
      <c r="AF34" s="4">
        <f>F34*'Optimization Model'!F$7</f>
        <v>0</v>
      </c>
      <c r="AG34" s="4">
        <f>G34*'Optimization Model'!G$7</f>
        <v>0</v>
      </c>
      <c r="AH34" s="4">
        <f>H34*'Optimization Model'!H$7</f>
        <v>0</v>
      </c>
      <c r="AI34" s="4">
        <f t="shared" si="2"/>
        <v>5</v>
      </c>
      <c r="AK34" s="3" t="s">
        <v>50</v>
      </c>
      <c r="AL34" s="4">
        <f>C34*'Optimization Model'!C$8</f>
        <v>0</v>
      </c>
      <c r="AM34" s="4">
        <f>D34*'Optimization Model'!D$8</f>
        <v>6</v>
      </c>
      <c r="AN34" s="4">
        <f>E34*'Optimization Model'!E$8</f>
        <v>0</v>
      </c>
      <c r="AO34" s="4">
        <f>F34*'Optimization Model'!F$8</f>
        <v>0</v>
      </c>
      <c r="AP34" s="4">
        <f>G34*'Optimization Model'!G$8</f>
        <v>0</v>
      </c>
      <c r="AQ34" s="4">
        <f>H34*'Optimization Model'!H$8</f>
        <v>6</v>
      </c>
      <c r="AR34" s="4">
        <f t="shared" si="3"/>
        <v>12</v>
      </c>
      <c r="AT34" s="3" t="s">
        <v>50</v>
      </c>
      <c r="AU34" s="4">
        <f>C34*'Optimization Model'!C$9</f>
        <v>5</v>
      </c>
      <c r="AV34" s="4">
        <f>D34*'Optimization Model'!D$9</f>
        <v>0</v>
      </c>
      <c r="AW34" s="4">
        <f>E34*'Optimization Model'!E$9</f>
        <v>0</v>
      </c>
      <c r="AX34" s="4">
        <f>F34*'Optimization Model'!F$9</f>
        <v>3</v>
      </c>
      <c r="AY34" s="4">
        <f>G34*'Optimization Model'!G$9</f>
        <v>0</v>
      </c>
      <c r="AZ34" s="4">
        <f>H34*'Optimization Model'!H$9</f>
        <v>0</v>
      </c>
      <c r="BA34" s="4">
        <f t="shared" si="4"/>
        <v>8</v>
      </c>
      <c r="BC34" s="3" t="s">
        <v>50</v>
      </c>
      <c r="BD34" s="4">
        <f>C34*'Optimization Model'!C$10</f>
        <v>0</v>
      </c>
      <c r="BE34" s="4">
        <f>D34*'Optimization Model'!D$10</f>
        <v>6</v>
      </c>
      <c r="BF34" s="4">
        <f>E34*'Optimization Model'!E$10</f>
        <v>0</v>
      </c>
      <c r="BG34" s="4">
        <f>F34*'Optimization Model'!F$10</f>
        <v>3</v>
      </c>
      <c r="BH34" s="4">
        <f>G34*'Optimization Model'!G$10</f>
        <v>0</v>
      </c>
      <c r="BI34" s="4">
        <f>H34*'Optimization Model'!H$10</f>
        <v>0</v>
      </c>
      <c r="BJ34" s="4">
        <f t="shared" si="5"/>
        <v>9</v>
      </c>
      <c r="BL34" s="3" t="s">
        <v>50</v>
      </c>
      <c r="BM34" s="4">
        <f>C34*'Optimization Model'!C$11</f>
        <v>0</v>
      </c>
      <c r="BN34" s="4">
        <f>D34*'Optimization Model'!D$11</f>
        <v>0</v>
      </c>
      <c r="BO34" s="4">
        <f>E34*'Optimization Model'!E$11</f>
        <v>3</v>
      </c>
      <c r="BP34" s="4">
        <f>F34*'Optimization Model'!F$11</f>
        <v>0</v>
      </c>
      <c r="BQ34" s="4">
        <f>G34*'Optimization Model'!G$11</f>
        <v>3</v>
      </c>
      <c r="BR34" s="4">
        <f>H34*'Optimization Model'!H$11</f>
        <v>0</v>
      </c>
      <c r="BS34" s="4">
        <f t="shared" si="6"/>
        <v>6</v>
      </c>
      <c r="BU34" s="3" t="s">
        <v>50</v>
      </c>
      <c r="BV34" s="4">
        <f>C34*'Optimization Model'!C$12</f>
        <v>0</v>
      </c>
      <c r="BW34" s="4">
        <f>D34*'Optimization Model'!D$12</f>
        <v>0</v>
      </c>
      <c r="BX34" s="4">
        <f>E34*'Optimization Model'!E$12</f>
        <v>0</v>
      </c>
      <c r="BY34" s="4">
        <f>F34*'Optimization Model'!F$12</f>
        <v>0</v>
      </c>
      <c r="BZ34" s="4">
        <f>G34*'Optimization Model'!G$12</f>
        <v>3</v>
      </c>
      <c r="CA34" s="4">
        <f>H34*'Optimization Model'!H$12</f>
        <v>6</v>
      </c>
      <c r="CB34" s="4">
        <f t="shared" si="7"/>
        <v>9</v>
      </c>
      <c r="CD34" s="3" t="s">
        <v>50</v>
      </c>
      <c r="CE34" s="4">
        <f>C34*'Optimization Model'!C$13</f>
        <v>5</v>
      </c>
      <c r="CF34" s="4">
        <f>D34*'Optimization Model'!D$13</f>
        <v>0</v>
      </c>
      <c r="CG34" s="4">
        <f>E34*'Optimization Model'!E$13</f>
        <v>0</v>
      </c>
      <c r="CH34" s="4">
        <f>F34*'Optimization Model'!F$13</f>
        <v>0</v>
      </c>
      <c r="CI34" s="4">
        <f>G34*'Optimization Model'!G$13</f>
        <v>0</v>
      </c>
      <c r="CJ34" s="4">
        <f>H34*'Optimization Model'!H$13</f>
        <v>0</v>
      </c>
      <c r="CK34" s="4">
        <f t="shared" si="8"/>
        <v>5</v>
      </c>
      <c r="CM34" s="3" t="s">
        <v>50</v>
      </c>
      <c r="CN34" s="4">
        <f>C34*'Optimization Model'!C$14</f>
        <v>0</v>
      </c>
      <c r="CO34" s="4">
        <f>D34*'Optimization Model'!D$14</f>
        <v>6</v>
      </c>
      <c r="CP34" s="4">
        <f>E34*'Optimization Model'!E$14</f>
        <v>0</v>
      </c>
      <c r="CQ34" s="4">
        <f>F34*'Optimization Model'!F$14</f>
        <v>0</v>
      </c>
      <c r="CR34" s="4">
        <f>G34*'Optimization Model'!G$14</f>
        <v>0</v>
      </c>
      <c r="CS34" s="4">
        <f>H34*'Optimization Model'!H$14</f>
        <v>0</v>
      </c>
      <c r="CT34" s="4">
        <f t="shared" si="9"/>
        <v>6</v>
      </c>
      <c r="CV34" s="3" t="s">
        <v>50</v>
      </c>
      <c r="CW34" s="4">
        <f>C34*'Optimization Model'!C$15</f>
        <v>0</v>
      </c>
      <c r="CX34" s="4">
        <f>D34*'Optimization Model'!D$15</f>
        <v>0</v>
      </c>
      <c r="CY34" s="4">
        <f>E34*'Optimization Model'!E$15</f>
        <v>0</v>
      </c>
      <c r="CZ34" s="4">
        <f>F34*'Optimization Model'!F$15</f>
        <v>3</v>
      </c>
      <c r="DA34" s="4">
        <f>G34*'Optimization Model'!G$15</f>
        <v>3</v>
      </c>
      <c r="DB34" s="4">
        <f>H34*'Optimization Model'!H$15</f>
        <v>0</v>
      </c>
      <c r="DC34" s="4">
        <f t="shared" si="10"/>
        <v>6</v>
      </c>
      <c r="DE34" s="3" t="s">
        <v>50</v>
      </c>
      <c r="DF34" s="4">
        <f>C34*'Optimization Model'!C$16</f>
        <v>0</v>
      </c>
      <c r="DG34" s="4">
        <f>D34*'Optimization Model'!D$16</f>
        <v>0</v>
      </c>
      <c r="DH34" s="4">
        <f>E34*'Optimization Model'!E$16</f>
        <v>3</v>
      </c>
      <c r="DI34" s="4">
        <f>F34*'Optimization Model'!F$16</f>
        <v>0</v>
      </c>
      <c r="DJ34" s="4">
        <f>G34*'Optimization Model'!G$16</f>
        <v>0</v>
      </c>
      <c r="DK34" s="4">
        <f>H34*'Optimization Model'!H$16</f>
        <v>0</v>
      </c>
      <c r="DL34" s="4">
        <f t="shared" si="11"/>
        <v>3</v>
      </c>
      <c r="DN34" s="3" t="s">
        <v>50</v>
      </c>
      <c r="DO34" s="4">
        <f>C34*'Optimization Model'!C$17</f>
        <v>0</v>
      </c>
      <c r="DP34" s="4">
        <f>D34*'Optimization Model'!D$17</f>
        <v>0</v>
      </c>
      <c r="DQ34" s="4">
        <f>E34*'Optimization Model'!E$17</f>
        <v>3</v>
      </c>
      <c r="DR34" s="4">
        <f>F34*'Optimization Model'!F$17</f>
        <v>0</v>
      </c>
      <c r="DS34" s="4">
        <f>G34*'Optimization Model'!G$17</f>
        <v>3</v>
      </c>
      <c r="DT34" s="4">
        <f>H34*'Optimization Model'!H$17</f>
        <v>0</v>
      </c>
      <c r="DU34" s="4">
        <f t="shared" si="12"/>
        <v>6</v>
      </c>
      <c r="DW34" s="3" t="s">
        <v>50</v>
      </c>
      <c r="DX34" s="4">
        <f>C34*'Optimization Model'!C$18</f>
        <v>0</v>
      </c>
      <c r="DY34" s="4">
        <f>D34*'Optimization Model'!D$18</f>
        <v>0</v>
      </c>
      <c r="DZ34" s="4">
        <f>E34*'Optimization Model'!E$18</f>
        <v>3</v>
      </c>
      <c r="EA34" s="4">
        <f>F34*'Optimization Model'!F$18</f>
        <v>3</v>
      </c>
      <c r="EB34" s="4">
        <f>G34*'Optimization Model'!G$18</f>
        <v>0</v>
      </c>
      <c r="EC34" s="4">
        <f>H34*'Optimization Model'!H$18</f>
        <v>0</v>
      </c>
      <c r="ED34" s="4">
        <f t="shared" si="13"/>
        <v>6</v>
      </c>
      <c r="EF34" s="3" t="s">
        <v>50</v>
      </c>
      <c r="EG34" s="4">
        <f>C34*'Optimization Model'!C$19</f>
        <v>0</v>
      </c>
      <c r="EH34" s="4">
        <f>D34*'Optimization Model'!D$19</f>
        <v>0</v>
      </c>
      <c r="EI34" s="4">
        <f>E34*'Optimization Model'!E$19</f>
        <v>0</v>
      </c>
      <c r="EJ34" s="4">
        <f>F34*'Optimization Model'!F$19</f>
        <v>0</v>
      </c>
      <c r="EK34" s="4">
        <f>G34*'Optimization Model'!G$19</f>
        <v>0</v>
      </c>
      <c r="EL34" s="4">
        <f>H34*'Optimization Model'!H$19</f>
        <v>6</v>
      </c>
      <c r="EM34" s="4">
        <f t="shared" si="14"/>
        <v>6</v>
      </c>
      <c r="EO34" s="3" t="s">
        <v>50</v>
      </c>
      <c r="EP34" s="4">
        <f>C34*'Optimization Model'!C$20</f>
        <v>0</v>
      </c>
      <c r="EQ34" s="4">
        <f>D34*'Optimization Model'!D$20</f>
        <v>0</v>
      </c>
      <c r="ER34" s="4">
        <f>E34*'Optimization Model'!E$20</f>
        <v>0</v>
      </c>
      <c r="ES34" s="4">
        <f>F34*'Optimization Model'!F$20</f>
        <v>0</v>
      </c>
      <c r="ET34" s="4">
        <f>G34*'Optimization Model'!G$20</f>
        <v>0</v>
      </c>
      <c r="EU34" s="4">
        <f>H34*'Optimization Model'!H$20</f>
        <v>6</v>
      </c>
      <c r="EV34" s="4">
        <f t="shared" si="15"/>
        <v>6</v>
      </c>
    </row>
    <row r="35" spans="2:152" x14ac:dyDescent="0.35">
      <c r="B35" s="3" t="s">
        <v>51</v>
      </c>
      <c r="C35" s="4">
        <f>'Data- Refined'!U35</f>
        <v>16</v>
      </c>
      <c r="D35" s="4">
        <f>'Data- Refined'!V35</f>
        <v>14</v>
      </c>
      <c r="E35" s="4">
        <f>'Data- Refined'!W35</f>
        <v>16</v>
      </c>
      <c r="F35" s="4">
        <f>'Data- Refined'!X35</f>
        <v>13</v>
      </c>
      <c r="G35" s="4">
        <f>'Data- Refined'!Y35</f>
        <v>12</v>
      </c>
      <c r="H35" s="4">
        <f>'Data- Refined'!Z35</f>
        <v>9</v>
      </c>
      <c r="J35" s="3" t="s">
        <v>51</v>
      </c>
      <c r="K35" s="4">
        <f>C35*'Optimization Model'!C$5</f>
        <v>16</v>
      </c>
      <c r="L35" s="4">
        <f>D35*'Optimization Model'!D$5</f>
        <v>0</v>
      </c>
      <c r="M35" s="4">
        <f>E35*'Optimization Model'!E$5</f>
        <v>0</v>
      </c>
      <c r="N35" s="4">
        <f>F35*'Optimization Model'!F$5</f>
        <v>0</v>
      </c>
      <c r="O35" s="4">
        <f>G35*'Optimization Model'!G$5</f>
        <v>0</v>
      </c>
      <c r="P35" s="4">
        <f>H35*'Optimization Model'!H$5</f>
        <v>0</v>
      </c>
      <c r="Q35" s="4">
        <f t="shared" si="0"/>
        <v>16</v>
      </c>
      <c r="R35" s="8"/>
      <c r="S35" s="3" t="s">
        <v>51</v>
      </c>
      <c r="T35" s="4">
        <f>C35*'Optimization Model'!C$6</f>
        <v>0</v>
      </c>
      <c r="U35" s="4">
        <f>D35*'Optimization Model'!D$6</f>
        <v>14</v>
      </c>
      <c r="V35" s="4">
        <f>E35*'Optimization Model'!E$6</f>
        <v>0</v>
      </c>
      <c r="W35" s="4">
        <f>F35*'Optimization Model'!F$6</f>
        <v>0</v>
      </c>
      <c r="X35" s="4">
        <f>G35*'Optimization Model'!G$6</f>
        <v>0</v>
      </c>
      <c r="Y35" s="4">
        <f>H35*'Optimization Model'!H$6</f>
        <v>0</v>
      </c>
      <c r="Z35" s="4">
        <f t="shared" si="1"/>
        <v>14</v>
      </c>
      <c r="AB35" s="3" t="s">
        <v>51</v>
      </c>
      <c r="AC35" s="4">
        <f>C35*'Optimization Model'!C$7</f>
        <v>16</v>
      </c>
      <c r="AD35" s="4">
        <f>D35*'Optimization Model'!D$7</f>
        <v>0</v>
      </c>
      <c r="AE35" s="4">
        <f>E35*'Optimization Model'!E$7</f>
        <v>0</v>
      </c>
      <c r="AF35" s="4">
        <f>F35*'Optimization Model'!F$7</f>
        <v>0</v>
      </c>
      <c r="AG35" s="4">
        <f>G35*'Optimization Model'!G$7</f>
        <v>0</v>
      </c>
      <c r="AH35" s="4">
        <f>H35*'Optimization Model'!H$7</f>
        <v>0</v>
      </c>
      <c r="AI35" s="4">
        <f t="shared" si="2"/>
        <v>16</v>
      </c>
      <c r="AK35" s="3" t="s">
        <v>51</v>
      </c>
      <c r="AL35" s="4">
        <f>C35*'Optimization Model'!C$8</f>
        <v>0</v>
      </c>
      <c r="AM35" s="4">
        <f>D35*'Optimization Model'!D$8</f>
        <v>14</v>
      </c>
      <c r="AN35" s="4">
        <f>E35*'Optimization Model'!E$8</f>
        <v>0</v>
      </c>
      <c r="AO35" s="4">
        <f>F35*'Optimization Model'!F$8</f>
        <v>0</v>
      </c>
      <c r="AP35" s="4">
        <f>G35*'Optimization Model'!G$8</f>
        <v>0</v>
      </c>
      <c r="AQ35" s="4">
        <f>H35*'Optimization Model'!H$8</f>
        <v>9</v>
      </c>
      <c r="AR35" s="4">
        <f t="shared" si="3"/>
        <v>23</v>
      </c>
      <c r="AT35" s="3" t="s">
        <v>51</v>
      </c>
      <c r="AU35" s="4">
        <f>C35*'Optimization Model'!C$9</f>
        <v>16</v>
      </c>
      <c r="AV35" s="4">
        <f>D35*'Optimization Model'!D$9</f>
        <v>0</v>
      </c>
      <c r="AW35" s="4">
        <f>E35*'Optimization Model'!E$9</f>
        <v>0</v>
      </c>
      <c r="AX35" s="4">
        <f>F35*'Optimization Model'!F$9</f>
        <v>13</v>
      </c>
      <c r="AY35" s="4">
        <f>G35*'Optimization Model'!G$9</f>
        <v>0</v>
      </c>
      <c r="AZ35" s="4">
        <f>H35*'Optimization Model'!H$9</f>
        <v>0</v>
      </c>
      <c r="BA35" s="4">
        <f t="shared" si="4"/>
        <v>29</v>
      </c>
      <c r="BC35" s="3" t="s">
        <v>51</v>
      </c>
      <c r="BD35" s="4">
        <f>C35*'Optimization Model'!C$10</f>
        <v>0</v>
      </c>
      <c r="BE35" s="4">
        <f>D35*'Optimization Model'!D$10</f>
        <v>14</v>
      </c>
      <c r="BF35" s="4">
        <f>E35*'Optimization Model'!E$10</f>
        <v>0</v>
      </c>
      <c r="BG35" s="4">
        <f>F35*'Optimization Model'!F$10</f>
        <v>13</v>
      </c>
      <c r="BH35" s="4">
        <f>G35*'Optimization Model'!G$10</f>
        <v>0</v>
      </c>
      <c r="BI35" s="4">
        <f>H35*'Optimization Model'!H$10</f>
        <v>0</v>
      </c>
      <c r="BJ35" s="4">
        <f t="shared" si="5"/>
        <v>27</v>
      </c>
      <c r="BL35" s="3" t="s">
        <v>51</v>
      </c>
      <c r="BM35" s="4">
        <f>C35*'Optimization Model'!C$11</f>
        <v>0</v>
      </c>
      <c r="BN35" s="4">
        <f>D35*'Optimization Model'!D$11</f>
        <v>0</v>
      </c>
      <c r="BO35" s="4">
        <f>E35*'Optimization Model'!E$11</f>
        <v>16</v>
      </c>
      <c r="BP35" s="4">
        <f>F35*'Optimization Model'!F$11</f>
        <v>0</v>
      </c>
      <c r="BQ35" s="4">
        <f>G35*'Optimization Model'!G$11</f>
        <v>12</v>
      </c>
      <c r="BR35" s="4">
        <f>H35*'Optimization Model'!H$11</f>
        <v>0</v>
      </c>
      <c r="BS35" s="4">
        <f t="shared" si="6"/>
        <v>28</v>
      </c>
      <c r="BU35" s="3" t="s">
        <v>51</v>
      </c>
      <c r="BV35" s="4">
        <f>C35*'Optimization Model'!C$12</f>
        <v>0</v>
      </c>
      <c r="BW35" s="4">
        <f>D35*'Optimization Model'!D$12</f>
        <v>0</v>
      </c>
      <c r="BX35" s="4">
        <f>E35*'Optimization Model'!E$12</f>
        <v>0</v>
      </c>
      <c r="BY35" s="4">
        <f>F35*'Optimization Model'!F$12</f>
        <v>0</v>
      </c>
      <c r="BZ35" s="4">
        <f>G35*'Optimization Model'!G$12</f>
        <v>12</v>
      </c>
      <c r="CA35" s="4">
        <f>H35*'Optimization Model'!H$12</f>
        <v>9</v>
      </c>
      <c r="CB35" s="4">
        <f t="shared" si="7"/>
        <v>21</v>
      </c>
      <c r="CD35" s="3" t="s">
        <v>51</v>
      </c>
      <c r="CE35" s="4">
        <f>C35*'Optimization Model'!C$13</f>
        <v>16</v>
      </c>
      <c r="CF35" s="4">
        <f>D35*'Optimization Model'!D$13</f>
        <v>0</v>
      </c>
      <c r="CG35" s="4">
        <f>E35*'Optimization Model'!E$13</f>
        <v>0</v>
      </c>
      <c r="CH35" s="4">
        <f>F35*'Optimization Model'!F$13</f>
        <v>0</v>
      </c>
      <c r="CI35" s="4">
        <f>G35*'Optimization Model'!G$13</f>
        <v>0</v>
      </c>
      <c r="CJ35" s="4">
        <f>H35*'Optimization Model'!H$13</f>
        <v>0</v>
      </c>
      <c r="CK35" s="4">
        <f t="shared" si="8"/>
        <v>16</v>
      </c>
      <c r="CM35" s="3" t="s">
        <v>51</v>
      </c>
      <c r="CN35" s="4">
        <f>C35*'Optimization Model'!C$14</f>
        <v>0</v>
      </c>
      <c r="CO35" s="4">
        <f>D35*'Optimization Model'!D$14</f>
        <v>14</v>
      </c>
      <c r="CP35" s="4">
        <f>E35*'Optimization Model'!E$14</f>
        <v>0</v>
      </c>
      <c r="CQ35" s="4">
        <f>F35*'Optimization Model'!F$14</f>
        <v>0</v>
      </c>
      <c r="CR35" s="4">
        <f>G35*'Optimization Model'!G$14</f>
        <v>0</v>
      </c>
      <c r="CS35" s="4">
        <f>H35*'Optimization Model'!H$14</f>
        <v>0</v>
      </c>
      <c r="CT35" s="4">
        <f t="shared" si="9"/>
        <v>14</v>
      </c>
      <c r="CV35" s="3" t="s">
        <v>51</v>
      </c>
      <c r="CW35" s="4">
        <f>C35*'Optimization Model'!C$15</f>
        <v>0</v>
      </c>
      <c r="CX35" s="4">
        <f>D35*'Optimization Model'!D$15</f>
        <v>0</v>
      </c>
      <c r="CY35" s="4">
        <f>E35*'Optimization Model'!E$15</f>
        <v>0</v>
      </c>
      <c r="CZ35" s="4">
        <f>F35*'Optimization Model'!F$15</f>
        <v>13</v>
      </c>
      <c r="DA35" s="4">
        <f>G35*'Optimization Model'!G$15</f>
        <v>12</v>
      </c>
      <c r="DB35" s="4">
        <f>H35*'Optimization Model'!H$15</f>
        <v>0</v>
      </c>
      <c r="DC35" s="4">
        <f t="shared" si="10"/>
        <v>25</v>
      </c>
      <c r="DE35" s="3" t="s">
        <v>51</v>
      </c>
      <c r="DF35" s="4">
        <f>C35*'Optimization Model'!C$16</f>
        <v>0</v>
      </c>
      <c r="DG35" s="4">
        <f>D35*'Optimization Model'!D$16</f>
        <v>0</v>
      </c>
      <c r="DH35" s="4">
        <f>E35*'Optimization Model'!E$16</f>
        <v>16</v>
      </c>
      <c r="DI35" s="4">
        <f>F35*'Optimization Model'!F$16</f>
        <v>0</v>
      </c>
      <c r="DJ35" s="4">
        <f>G35*'Optimization Model'!G$16</f>
        <v>0</v>
      </c>
      <c r="DK35" s="4">
        <f>H35*'Optimization Model'!H$16</f>
        <v>0</v>
      </c>
      <c r="DL35" s="4">
        <f t="shared" si="11"/>
        <v>16</v>
      </c>
      <c r="DN35" s="3" t="s">
        <v>51</v>
      </c>
      <c r="DO35" s="4">
        <f>C35*'Optimization Model'!C$17</f>
        <v>0</v>
      </c>
      <c r="DP35" s="4">
        <f>D35*'Optimization Model'!D$17</f>
        <v>0</v>
      </c>
      <c r="DQ35" s="4">
        <f>E35*'Optimization Model'!E$17</f>
        <v>16</v>
      </c>
      <c r="DR35" s="4">
        <f>F35*'Optimization Model'!F$17</f>
        <v>0</v>
      </c>
      <c r="DS35" s="4">
        <f>G35*'Optimization Model'!G$17</f>
        <v>12</v>
      </c>
      <c r="DT35" s="4">
        <f>H35*'Optimization Model'!H$17</f>
        <v>0</v>
      </c>
      <c r="DU35" s="4">
        <f t="shared" si="12"/>
        <v>28</v>
      </c>
      <c r="DW35" s="3" t="s">
        <v>51</v>
      </c>
      <c r="DX35" s="4">
        <f>C35*'Optimization Model'!C$18</f>
        <v>0</v>
      </c>
      <c r="DY35" s="4">
        <f>D35*'Optimization Model'!D$18</f>
        <v>0</v>
      </c>
      <c r="DZ35" s="4">
        <f>E35*'Optimization Model'!E$18</f>
        <v>16</v>
      </c>
      <c r="EA35" s="4">
        <f>F35*'Optimization Model'!F$18</f>
        <v>13</v>
      </c>
      <c r="EB35" s="4">
        <f>G35*'Optimization Model'!G$18</f>
        <v>0</v>
      </c>
      <c r="EC35" s="4">
        <f>H35*'Optimization Model'!H$18</f>
        <v>0</v>
      </c>
      <c r="ED35" s="4">
        <f t="shared" si="13"/>
        <v>29</v>
      </c>
      <c r="EF35" s="3" t="s">
        <v>51</v>
      </c>
      <c r="EG35" s="4">
        <f>C35*'Optimization Model'!C$19</f>
        <v>0</v>
      </c>
      <c r="EH35" s="4">
        <f>D35*'Optimization Model'!D$19</f>
        <v>0</v>
      </c>
      <c r="EI35" s="4">
        <f>E35*'Optimization Model'!E$19</f>
        <v>0</v>
      </c>
      <c r="EJ35" s="4">
        <f>F35*'Optimization Model'!F$19</f>
        <v>0</v>
      </c>
      <c r="EK35" s="4">
        <f>G35*'Optimization Model'!G$19</f>
        <v>0</v>
      </c>
      <c r="EL35" s="4">
        <f>H35*'Optimization Model'!H$19</f>
        <v>9</v>
      </c>
      <c r="EM35" s="4">
        <f t="shared" si="14"/>
        <v>9</v>
      </c>
      <c r="EO35" s="3" t="s">
        <v>51</v>
      </c>
      <c r="EP35" s="4">
        <f>C35*'Optimization Model'!C$20</f>
        <v>0</v>
      </c>
      <c r="EQ35" s="4">
        <f>D35*'Optimization Model'!D$20</f>
        <v>0</v>
      </c>
      <c r="ER35" s="4">
        <f>E35*'Optimization Model'!E$20</f>
        <v>0</v>
      </c>
      <c r="ES35" s="4">
        <f>F35*'Optimization Model'!F$20</f>
        <v>0</v>
      </c>
      <c r="ET35" s="4">
        <f>G35*'Optimization Model'!G$20</f>
        <v>0</v>
      </c>
      <c r="EU35" s="4">
        <f>H35*'Optimization Model'!H$20</f>
        <v>9</v>
      </c>
      <c r="EV35" s="4">
        <f t="shared" si="15"/>
        <v>9</v>
      </c>
    </row>
    <row r="36" spans="2:152" x14ac:dyDescent="0.35">
      <c r="B36" s="3" t="s">
        <v>52</v>
      </c>
      <c r="C36" s="4">
        <f>'Data- Refined'!U36</f>
        <v>2</v>
      </c>
      <c r="D36" s="4">
        <f>'Data- Refined'!V36</f>
        <v>1</v>
      </c>
      <c r="E36" s="4">
        <f>'Data- Refined'!W36</f>
        <v>4</v>
      </c>
      <c r="F36" s="4">
        <f>'Data- Refined'!X36</f>
        <v>2</v>
      </c>
      <c r="G36" s="4">
        <f>'Data- Refined'!Y36</f>
        <v>3</v>
      </c>
      <c r="H36" s="4">
        <f>'Data- Refined'!Z36</f>
        <v>4</v>
      </c>
      <c r="J36" s="3" t="s">
        <v>52</v>
      </c>
      <c r="K36" s="4">
        <f>C36*'Optimization Model'!C$5</f>
        <v>2</v>
      </c>
      <c r="L36" s="4">
        <f>D36*'Optimization Model'!D$5</f>
        <v>0</v>
      </c>
      <c r="M36" s="4">
        <f>E36*'Optimization Model'!E$5</f>
        <v>0</v>
      </c>
      <c r="N36" s="4">
        <f>F36*'Optimization Model'!F$5</f>
        <v>0</v>
      </c>
      <c r="O36" s="4">
        <f>G36*'Optimization Model'!G$5</f>
        <v>0</v>
      </c>
      <c r="P36" s="4">
        <f>H36*'Optimization Model'!H$5</f>
        <v>0</v>
      </c>
      <c r="Q36" s="4">
        <f t="shared" si="0"/>
        <v>2</v>
      </c>
      <c r="R36" s="8"/>
      <c r="S36" s="3" t="s">
        <v>52</v>
      </c>
      <c r="T36" s="4">
        <f>C36*'Optimization Model'!C$6</f>
        <v>0</v>
      </c>
      <c r="U36" s="4">
        <f>D36*'Optimization Model'!D$6</f>
        <v>1</v>
      </c>
      <c r="V36" s="4">
        <f>E36*'Optimization Model'!E$6</f>
        <v>0</v>
      </c>
      <c r="W36" s="4">
        <f>F36*'Optimization Model'!F$6</f>
        <v>0</v>
      </c>
      <c r="X36" s="4">
        <f>G36*'Optimization Model'!G$6</f>
        <v>0</v>
      </c>
      <c r="Y36" s="4">
        <f>H36*'Optimization Model'!H$6</f>
        <v>0</v>
      </c>
      <c r="Z36" s="4">
        <f t="shared" si="1"/>
        <v>1</v>
      </c>
      <c r="AB36" s="3" t="s">
        <v>52</v>
      </c>
      <c r="AC36" s="4">
        <f>C36*'Optimization Model'!C$7</f>
        <v>2</v>
      </c>
      <c r="AD36" s="4">
        <f>D36*'Optimization Model'!D$7</f>
        <v>0</v>
      </c>
      <c r="AE36" s="4">
        <f>E36*'Optimization Model'!E$7</f>
        <v>0</v>
      </c>
      <c r="AF36" s="4">
        <f>F36*'Optimization Model'!F$7</f>
        <v>0</v>
      </c>
      <c r="AG36" s="4">
        <f>G36*'Optimization Model'!G$7</f>
        <v>0</v>
      </c>
      <c r="AH36" s="4">
        <f>H36*'Optimization Model'!H$7</f>
        <v>0</v>
      </c>
      <c r="AI36" s="4">
        <f t="shared" si="2"/>
        <v>2</v>
      </c>
      <c r="AK36" s="3" t="s">
        <v>52</v>
      </c>
      <c r="AL36" s="4">
        <f>C36*'Optimization Model'!C$8</f>
        <v>0</v>
      </c>
      <c r="AM36" s="4">
        <f>D36*'Optimization Model'!D$8</f>
        <v>1</v>
      </c>
      <c r="AN36" s="4">
        <f>E36*'Optimization Model'!E$8</f>
        <v>0</v>
      </c>
      <c r="AO36" s="4">
        <f>F36*'Optimization Model'!F$8</f>
        <v>0</v>
      </c>
      <c r="AP36" s="4">
        <f>G36*'Optimization Model'!G$8</f>
        <v>0</v>
      </c>
      <c r="AQ36" s="4">
        <f>H36*'Optimization Model'!H$8</f>
        <v>4</v>
      </c>
      <c r="AR36" s="4">
        <f t="shared" si="3"/>
        <v>5</v>
      </c>
      <c r="AT36" s="3" t="s">
        <v>52</v>
      </c>
      <c r="AU36" s="4">
        <f>C36*'Optimization Model'!C$9</f>
        <v>2</v>
      </c>
      <c r="AV36" s="4">
        <f>D36*'Optimization Model'!D$9</f>
        <v>0</v>
      </c>
      <c r="AW36" s="4">
        <f>E36*'Optimization Model'!E$9</f>
        <v>0</v>
      </c>
      <c r="AX36" s="4">
        <f>F36*'Optimization Model'!F$9</f>
        <v>2</v>
      </c>
      <c r="AY36" s="4">
        <f>G36*'Optimization Model'!G$9</f>
        <v>0</v>
      </c>
      <c r="AZ36" s="4">
        <f>H36*'Optimization Model'!H$9</f>
        <v>0</v>
      </c>
      <c r="BA36" s="4">
        <f t="shared" si="4"/>
        <v>4</v>
      </c>
      <c r="BC36" s="3" t="s">
        <v>52</v>
      </c>
      <c r="BD36" s="4">
        <f>C36*'Optimization Model'!C$10</f>
        <v>0</v>
      </c>
      <c r="BE36" s="4">
        <f>D36*'Optimization Model'!D$10</f>
        <v>1</v>
      </c>
      <c r="BF36" s="4">
        <f>E36*'Optimization Model'!E$10</f>
        <v>0</v>
      </c>
      <c r="BG36" s="4">
        <f>F36*'Optimization Model'!F$10</f>
        <v>2</v>
      </c>
      <c r="BH36" s="4">
        <f>G36*'Optimization Model'!G$10</f>
        <v>0</v>
      </c>
      <c r="BI36" s="4">
        <f>H36*'Optimization Model'!H$10</f>
        <v>0</v>
      </c>
      <c r="BJ36" s="4">
        <f t="shared" si="5"/>
        <v>3</v>
      </c>
      <c r="BL36" s="3" t="s">
        <v>52</v>
      </c>
      <c r="BM36" s="4">
        <f>C36*'Optimization Model'!C$11</f>
        <v>0</v>
      </c>
      <c r="BN36" s="4">
        <f>D36*'Optimization Model'!D$11</f>
        <v>0</v>
      </c>
      <c r="BO36" s="4">
        <f>E36*'Optimization Model'!E$11</f>
        <v>4</v>
      </c>
      <c r="BP36" s="4">
        <f>F36*'Optimization Model'!F$11</f>
        <v>0</v>
      </c>
      <c r="BQ36" s="4">
        <f>G36*'Optimization Model'!G$11</f>
        <v>3</v>
      </c>
      <c r="BR36" s="4">
        <f>H36*'Optimization Model'!H$11</f>
        <v>0</v>
      </c>
      <c r="BS36" s="4">
        <f t="shared" si="6"/>
        <v>7</v>
      </c>
      <c r="BU36" s="3" t="s">
        <v>52</v>
      </c>
      <c r="BV36" s="4">
        <f>C36*'Optimization Model'!C$12</f>
        <v>0</v>
      </c>
      <c r="BW36" s="4">
        <f>D36*'Optimization Model'!D$12</f>
        <v>0</v>
      </c>
      <c r="BX36" s="4">
        <f>E36*'Optimization Model'!E$12</f>
        <v>0</v>
      </c>
      <c r="BY36" s="4">
        <f>F36*'Optimization Model'!F$12</f>
        <v>0</v>
      </c>
      <c r="BZ36" s="4">
        <f>G36*'Optimization Model'!G$12</f>
        <v>3</v>
      </c>
      <c r="CA36" s="4">
        <f>H36*'Optimization Model'!H$12</f>
        <v>4</v>
      </c>
      <c r="CB36" s="4">
        <f t="shared" si="7"/>
        <v>7</v>
      </c>
      <c r="CD36" s="3" t="s">
        <v>52</v>
      </c>
      <c r="CE36" s="4">
        <f>C36*'Optimization Model'!C$13</f>
        <v>2</v>
      </c>
      <c r="CF36" s="4">
        <f>D36*'Optimization Model'!D$13</f>
        <v>0</v>
      </c>
      <c r="CG36" s="4">
        <f>E36*'Optimization Model'!E$13</f>
        <v>0</v>
      </c>
      <c r="CH36" s="4">
        <f>F36*'Optimization Model'!F$13</f>
        <v>0</v>
      </c>
      <c r="CI36" s="4">
        <f>G36*'Optimization Model'!G$13</f>
        <v>0</v>
      </c>
      <c r="CJ36" s="4">
        <f>H36*'Optimization Model'!H$13</f>
        <v>0</v>
      </c>
      <c r="CK36" s="4">
        <f t="shared" si="8"/>
        <v>2</v>
      </c>
      <c r="CM36" s="3" t="s">
        <v>52</v>
      </c>
      <c r="CN36" s="4">
        <f>C36*'Optimization Model'!C$14</f>
        <v>0</v>
      </c>
      <c r="CO36" s="4">
        <f>D36*'Optimization Model'!D$14</f>
        <v>1</v>
      </c>
      <c r="CP36" s="4">
        <f>E36*'Optimization Model'!E$14</f>
        <v>0</v>
      </c>
      <c r="CQ36" s="4">
        <f>F36*'Optimization Model'!F$14</f>
        <v>0</v>
      </c>
      <c r="CR36" s="4">
        <f>G36*'Optimization Model'!G$14</f>
        <v>0</v>
      </c>
      <c r="CS36" s="4">
        <f>H36*'Optimization Model'!H$14</f>
        <v>0</v>
      </c>
      <c r="CT36" s="4">
        <f t="shared" si="9"/>
        <v>1</v>
      </c>
      <c r="CV36" s="3" t="s">
        <v>52</v>
      </c>
      <c r="CW36" s="4">
        <f>C36*'Optimization Model'!C$15</f>
        <v>0</v>
      </c>
      <c r="CX36" s="4">
        <f>D36*'Optimization Model'!D$15</f>
        <v>0</v>
      </c>
      <c r="CY36" s="4">
        <f>E36*'Optimization Model'!E$15</f>
        <v>0</v>
      </c>
      <c r="CZ36" s="4">
        <f>F36*'Optimization Model'!F$15</f>
        <v>2</v>
      </c>
      <c r="DA36" s="4">
        <f>G36*'Optimization Model'!G$15</f>
        <v>3</v>
      </c>
      <c r="DB36" s="4">
        <f>H36*'Optimization Model'!H$15</f>
        <v>0</v>
      </c>
      <c r="DC36" s="4">
        <f t="shared" si="10"/>
        <v>5</v>
      </c>
      <c r="DE36" s="3" t="s">
        <v>52</v>
      </c>
      <c r="DF36" s="4">
        <f>C36*'Optimization Model'!C$16</f>
        <v>0</v>
      </c>
      <c r="DG36" s="4">
        <f>D36*'Optimization Model'!D$16</f>
        <v>0</v>
      </c>
      <c r="DH36" s="4">
        <f>E36*'Optimization Model'!E$16</f>
        <v>4</v>
      </c>
      <c r="DI36" s="4">
        <f>F36*'Optimization Model'!F$16</f>
        <v>0</v>
      </c>
      <c r="DJ36" s="4">
        <f>G36*'Optimization Model'!G$16</f>
        <v>0</v>
      </c>
      <c r="DK36" s="4">
        <f>H36*'Optimization Model'!H$16</f>
        <v>0</v>
      </c>
      <c r="DL36" s="4">
        <f t="shared" si="11"/>
        <v>4</v>
      </c>
      <c r="DN36" s="3" t="s">
        <v>52</v>
      </c>
      <c r="DO36" s="4">
        <f>C36*'Optimization Model'!C$17</f>
        <v>0</v>
      </c>
      <c r="DP36" s="4">
        <f>D36*'Optimization Model'!D$17</f>
        <v>0</v>
      </c>
      <c r="DQ36" s="4">
        <f>E36*'Optimization Model'!E$17</f>
        <v>4</v>
      </c>
      <c r="DR36" s="4">
        <f>F36*'Optimization Model'!F$17</f>
        <v>0</v>
      </c>
      <c r="DS36" s="4">
        <f>G36*'Optimization Model'!G$17</f>
        <v>3</v>
      </c>
      <c r="DT36" s="4">
        <f>H36*'Optimization Model'!H$17</f>
        <v>0</v>
      </c>
      <c r="DU36" s="4">
        <f t="shared" si="12"/>
        <v>7</v>
      </c>
      <c r="DW36" s="3" t="s">
        <v>52</v>
      </c>
      <c r="DX36" s="4">
        <f>C36*'Optimization Model'!C$18</f>
        <v>0</v>
      </c>
      <c r="DY36" s="4">
        <f>D36*'Optimization Model'!D$18</f>
        <v>0</v>
      </c>
      <c r="DZ36" s="4">
        <f>E36*'Optimization Model'!E$18</f>
        <v>4</v>
      </c>
      <c r="EA36" s="4">
        <f>F36*'Optimization Model'!F$18</f>
        <v>2</v>
      </c>
      <c r="EB36" s="4">
        <f>G36*'Optimization Model'!G$18</f>
        <v>0</v>
      </c>
      <c r="EC36" s="4">
        <f>H36*'Optimization Model'!H$18</f>
        <v>0</v>
      </c>
      <c r="ED36" s="4">
        <f t="shared" si="13"/>
        <v>6</v>
      </c>
      <c r="EF36" s="3" t="s">
        <v>52</v>
      </c>
      <c r="EG36" s="4">
        <f>C36*'Optimization Model'!C$19</f>
        <v>0</v>
      </c>
      <c r="EH36" s="4">
        <f>D36*'Optimization Model'!D$19</f>
        <v>0</v>
      </c>
      <c r="EI36" s="4">
        <f>E36*'Optimization Model'!E$19</f>
        <v>0</v>
      </c>
      <c r="EJ36" s="4">
        <f>F36*'Optimization Model'!F$19</f>
        <v>0</v>
      </c>
      <c r="EK36" s="4">
        <f>G36*'Optimization Model'!G$19</f>
        <v>0</v>
      </c>
      <c r="EL36" s="4">
        <f>H36*'Optimization Model'!H$19</f>
        <v>4</v>
      </c>
      <c r="EM36" s="4">
        <f t="shared" si="14"/>
        <v>4</v>
      </c>
      <c r="EO36" s="3" t="s">
        <v>52</v>
      </c>
      <c r="EP36" s="4">
        <f>C36*'Optimization Model'!C$20</f>
        <v>0</v>
      </c>
      <c r="EQ36" s="4">
        <f>D36*'Optimization Model'!D$20</f>
        <v>0</v>
      </c>
      <c r="ER36" s="4">
        <f>E36*'Optimization Model'!E$20</f>
        <v>0</v>
      </c>
      <c r="ES36" s="4">
        <f>F36*'Optimization Model'!F$20</f>
        <v>0</v>
      </c>
      <c r="ET36" s="4">
        <f>G36*'Optimization Model'!G$20</f>
        <v>0</v>
      </c>
      <c r="EU36" s="4">
        <f>H36*'Optimization Model'!H$20</f>
        <v>4</v>
      </c>
      <c r="EV36" s="4">
        <f t="shared" si="15"/>
        <v>4</v>
      </c>
    </row>
    <row r="37" spans="2:152" x14ac:dyDescent="0.35">
      <c r="B37" s="3" t="s">
        <v>53</v>
      </c>
      <c r="C37" s="4">
        <f>'Data- Refined'!U37</f>
        <v>0</v>
      </c>
      <c r="D37" s="4">
        <f>'Data- Refined'!V37</f>
        <v>0</v>
      </c>
      <c r="E37" s="4">
        <f>'Data- Refined'!W37</f>
        <v>4</v>
      </c>
      <c r="F37" s="4">
        <f>'Data- Refined'!X37</f>
        <v>5</v>
      </c>
      <c r="G37" s="4">
        <f>'Data- Refined'!Y37</f>
        <v>5</v>
      </c>
      <c r="H37" s="4">
        <f>'Data- Refined'!Z37</f>
        <v>1</v>
      </c>
      <c r="J37" s="3" t="s">
        <v>53</v>
      </c>
      <c r="K37" s="4">
        <f>C37*'Optimization Model'!C$5</f>
        <v>0</v>
      </c>
      <c r="L37" s="4">
        <f>D37*'Optimization Model'!D$5</f>
        <v>0</v>
      </c>
      <c r="M37" s="4">
        <f>E37*'Optimization Model'!E$5</f>
        <v>0</v>
      </c>
      <c r="N37" s="4">
        <f>F37*'Optimization Model'!F$5</f>
        <v>0</v>
      </c>
      <c r="O37" s="4">
        <f>G37*'Optimization Model'!G$5</f>
        <v>0</v>
      </c>
      <c r="P37" s="4">
        <f>H37*'Optimization Model'!H$5</f>
        <v>0</v>
      </c>
      <c r="Q37" s="4">
        <f t="shared" si="0"/>
        <v>0</v>
      </c>
      <c r="R37" s="8"/>
      <c r="S37" s="3" t="s">
        <v>53</v>
      </c>
      <c r="T37" s="4">
        <f>C37*'Optimization Model'!C$6</f>
        <v>0</v>
      </c>
      <c r="U37" s="4">
        <f>D37*'Optimization Model'!D$6</f>
        <v>0</v>
      </c>
      <c r="V37" s="4">
        <f>E37*'Optimization Model'!E$6</f>
        <v>0</v>
      </c>
      <c r="W37" s="4">
        <f>F37*'Optimization Model'!F$6</f>
        <v>0</v>
      </c>
      <c r="X37" s="4">
        <f>G37*'Optimization Model'!G$6</f>
        <v>0</v>
      </c>
      <c r="Y37" s="4">
        <f>H37*'Optimization Model'!H$6</f>
        <v>0</v>
      </c>
      <c r="Z37" s="4">
        <f t="shared" si="1"/>
        <v>0</v>
      </c>
      <c r="AB37" s="3" t="s">
        <v>53</v>
      </c>
      <c r="AC37" s="4">
        <f>C37*'Optimization Model'!C$7</f>
        <v>0</v>
      </c>
      <c r="AD37" s="4">
        <f>D37*'Optimization Model'!D$7</f>
        <v>0</v>
      </c>
      <c r="AE37" s="4">
        <f>E37*'Optimization Model'!E$7</f>
        <v>0</v>
      </c>
      <c r="AF37" s="4">
        <f>F37*'Optimization Model'!F$7</f>
        <v>0</v>
      </c>
      <c r="AG37" s="4">
        <f>G37*'Optimization Model'!G$7</f>
        <v>0</v>
      </c>
      <c r="AH37" s="4">
        <f>H37*'Optimization Model'!H$7</f>
        <v>0</v>
      </c>
      <c r="AI37" s="4">
        <f t="shared" si="2"/>
        <v>0</v>
      </c>
      <c r="AK37" s="3" t="s">
        <v>53</v>
      </c>
      <c r="AL37" s="4">
        <f>C37*'Optimization Model'!C$8</f>
        <v>0</v>
      </c>
      <c r="AM37" s="4">
        <f>D37*'Optimization Model'!D$8</f>
        <v>0</v>
      </c>
      <c r="AN37" s="4">
        <f>E37*'Optimization Model'!E$8</f>
        <v>0</v>
      </c>
      <c r="AO37" s="4">
        <f>F37*'Optimization Model'!F$8</f>
        <v>0</v>
      </c>
      <c r="AP37" s="4">
        <f>G37*'Optimization Model'!G$8</f>
        <v>0</v>
      </c>
      <c r="AQ37" s="4">
        <f>H37*'Optimization Model'!H$8</f>
        <v>1</v>
      </c>
      <c r="AR37" s="4">
        <f t="shared" si="3"/>
        <v>1</v>
      </c>
      <c r="AT37" s="3" t="s">
        <v>53</v>
      </c>
      <c r="AU37" s="4">
        <f>C37*'Optimization Model'!C$9</f>
        <v>0</v>
      </c>
      <c r="AV37" s="4">
        <f>D37*'Optimization Model'!D$9</f>
        <v>0</v>
      </c>
      <c r="AW37" s="4">
        <f>E37*'Optimization Model'!E$9</f>
        <v>0</v>
      </c>
      <c r="AX37" s="4">
        <f>F37*'Optimization Model'!F$9</f>
        <v>5</v>
      </c>
      <c r="AY37" s="4">
        <f>G37*'Optimization Model'!G$9</f>
        <v>0</v>
      </c>
      <c r="AZ37" s="4">
        <f>H37*'Optimization Model'!H$9</f>
        <v>0</v>
      </c>
      <c r="BA37" s="4">
        <f t="shared" si="4"/>
        <v>5</v>
      </c>
      <c r="BC37" s="3" t="s">
        <v>53</v>
      </c>
      <c r="BD37" s="4">
        <f>C37*'Optimization Model'!C$10</f>
        <v>0</v>
      </c>
      <c r="BE37" s="4">
        <f>D37*'Optimization Model'!D$10</f>
        <v>0</v>
      </c>
      <c r="BF37" s="4">
        <f>E37*'Optimization Model'!E$10</f>
        <v>0</v>
      </c>
      <c r="BG37" s="4">
        <f>F37*'Optimization Model'!F$10</f>
        <v>5</v>
      </c>
      <c r="BH37" s="4">
        <f>G37*'Optimization Model'!G$10</f>
        <v>0</v>
      </c>
      <c r="BI37" s="4">
        <f>H37*'Optimization Model'!H$10</f>
        <v>0</v>
      </c>
      <c r="BJ37" s="4">
        <f t="shared" si="5"/>
        <v>5</v>
      </c>
      <c r="BL37" s="3" t="s">
        <v>53</v>
      </c>
      <c r="BM37" s="4">
        <f>C37*'Optimization Model'!C$11</f>
        <v>0</v>
      </c>
      <c r="BN37" s="4">
        <f>D37*'Optimization Model'!D$11</f>
        <v>0</v>
      </c>
      <c r="BO37" s="4">
        <f>E37*'Optimization Model'!E$11</f>
        <v>4</v>
      </c>
      <c r="BP37" s="4">
        <f>F37*'Optimization Model'!F$11</f>
        <v>0</v>
      </c>
      <c r="BQ37" s="4">
        <f>G37*'Optimization Model'!G$11</f>
        <v>5</v>
      </c>
      <c r="BR37" s="4">
        <f>H37*'Optimization Model'!H$11</f>
        <v>0</v>
      </c>
      <c r="BS37" s="4">
        <f t="shared" si="6"/>
        <v>9</v>
      </c>
      <c r="BU37" s="3" t="s">
        <v>53</v>
      </c>
      <c r="BV37" s="4">
        <f>C37*'Optimization Model'!C$12</f>
        <v>0</v>
      </c>
      <c r="BW37" s="4">
        <f>D37*'Optimization Model'!D$12</f>
        <v>0</v>
      </c>
      <c r="BX37" s="4">
        <f>E37*'Optimization Model'!E$12</f>
        <v>0</v>
      </c>
      <c r="BY37" s="4">
        <f>F37*'Optimization Model'!F$12</f>
        <v>0</v>
      </c>
      <c r="BZ37" s="4">
        <f>G37*'Optimization Model'!G$12</f>
        <v>5</v>
      </c>
      <c r="CA37" s="4">
        <f>H37*'Optimization Model'!H$12</f>
        <v>1</v>
      </c>
      <c r="CB37" s="4">
        <f t="shared" si="7"/>
        <v>6</v>
      </c>
      <c r="CD37" s="3" t="s">
        <v>53</v>
      </c>
      <c r="CE37" s="4">
        <f>C37*'Optimization Model'!C$13</f>
        <v>0</v>
      </c>
      <c r="CF37" s="4">
        <f>D37*'Optimization Model'!D$13</f>
        <v>0</v>
      </c>
      <c r="CG37" s="4">
        <f>E37*'Optimization Model'!E$13</f>
        <v>0</v>
      </c>
      <c r="CH37" s="4">
        <f>F37*'Optimization Model'!F$13</f>
        <v>0</v>
      </c>
      <c r="CI37" s="4">
        <f>G37*'Optimization Model'!G$13</f>
        <v>0</v>
      </c>
      <c r="CJ37" s="4">
        <f>H37*'Optimization Model'!H$13</f>
        <v>0</v>
      </c>
      <c r="CK37" s="4">
        <f t="shared" si="8"/>
        <v>0</v>
      </c>
      <c r="CM37" s="3" t="s">
        <v>53</v>
      </c>
      <c r="CN37" s="4">
        <f>C37*'Optimization Model'!C$14</f>
        <v>0</v>
      </c>
      <c r="CO37" s="4">
        <f>D37*'Optimization Model'!D$14</f>
        <v>0</v>
      </c>
      <c r="CP37" s="4">
        <f>E37*'Optimization Model'!E$14</f>
        <v>0</v>
      </c>
      <c r="CQ37" s="4">
        <f>F37*'Optimization Model'!F$14</f>
        <v>0</v>
      </c>
      <c r="CR37" s="4">
        <f>G37*'Optimization Model'!G$14</f>
        <v>0</v>
      </c>
      <c r="CS37" s="4">
        <f>H37*'Optimization Model'!H$14</f>
        <v>0</v>
      </c>
      <c r="CT37" s="4">
        <f t="shared" si="9"/>
        <v>0</v>
      </c>
      <c r="CV37" s="3" t="s">
        <v>53</v>
      </c>
      <c r="CW37" s="4">
        <f>C37*'Optimization Model'!C$15</f>
        <v>0</v>
      </c>
      <c r="CX37" s="4">
        <f>D37*'Optimization Model'!D$15</f>
        <v>0</v>
      </c>
      <c r="CY37" s="4">
        <f>E37*'Optimization Model'!E$15</f>
        <v>0</v>
      </c>
      <c r="CZ37" s="4">
        <f>F37*'Optimization Model'!F$15</f>
        <v>5</v>
      </c>
      <c r="DA37" s="4">
        <f>G37*'Optimization Model'!G$15</f>
        <v>5</v>
      </c>
      <c r="DB37" s="4">
        <f>H37*'Optimization Model'!H$15</f>
        <v>0</v>
      </c>
      <c r="DC37" s="4">
        <f t="shared" si="10"/>
        <v>10</v>
      </c>
      <c r="DE37" s="3" t="s">
        <v>53</v>
      </c>
      <c r="DF37" s="4">
        <f>C37*'Optimization Model'!C$16</f>
        <v>0</v>
      </c>
      <c r="DG37" s="4">
        <f>D37*'Optimization Model'!D$16</f>
        <v>0</v>
      </c>
      <c r="DH37" s="4">
        <f>E37*'Optimization Model'!E$16</f>
        <v>4</v>
      </c>
      <c r="DI37" s="4">
        <f>F37*'Optimization Model'!F$16</f>
        <v>0</v>
      </c>
      <c r="DJ37" s="4">
        <f>G37*'Optimization Model'!G$16</f>
        <v>0</v>
      </c>
      <c r="DK37" s="4">
        <f>H37*'Optimization Model'!H$16</f>
        <v>0</v>
      </c>
      <c r="DL37" s="4">
        <f t="shared" si="11"/>
        <v>4</v>
      </c>
      <c r="DN37" s="3" t="s">
        <v>53</v>
      </c>
      <c r="DO37" s="4">
        <f>C37*'Optimization Model'!C$17</f>
        <v>0</v>
      </c>
      <c r="DP37" s="4">
        <f>D37*'Optimization Model'!D$17</f>
        <v>0</v>
      </c>
      <c r="DQ37" s="4">
        <f>E37*'Optimization Model'!E$17</f>
        <v>4</v>
      </c>
      <c r="DR37" s="4">
        <f>F37*'Optimization Model'!F$17</f>
        <v>0</v>
      </c>
      <c r="DS37" s="4">
        <f>G37*'Optimization Model'!G$17</f>
        <v>5</v>
      </c>
      <c r="DT37" s="4">
        <f>H37*'Optimization Model'!H$17</f>
        <v>0</v>
      </c>
      <c r="DU37" s="4">
        <f t="shared" si="12"/>
        <v>9</v>
      </c>
      <c r="DW37" s="3" t="s">
        <v>53</v>
      </c>
      <c r="DX37" s="4">
        <f>C37*'Optimization Model'!C$18</f>
        <v>0</v>
      </c>
      <c r="DY37" s="4">
        <f>D37*'Optimization Model'!D$18</f>
        <v>0</v>
      </c>
      <c r="DZ37" s="4">
        <f>E37*'Optimization Model'!E$18</f>
        <v>4</v>
      </c>
      <c r="EA37" s="4">
        <f>F37*'Optimization Model'!F$18</f>
        <v>5</v>
      </c>
      <c r="EB37" s="4">
        <f>G37*'Optimization Model'!G$18</f>
        <v>0</v>
      </c>
      <c r="EC37" s="4">
        <f>H37*'Optimization Model'!H$18</f>
        <v>0</v>
      </c>
      <c r="ED37" s="4">
        <f t="shared" si="13"/>
        <v>9</v>
      </c>
      <c r="EF37" s="3" t="s">
        <v>53</v>
      </c>
      <c r="EG37" s="4">
        <f>C37*'Optimization Model'!C$19</f>
        <v>0</v>
      </c>
      <c r="EH37" s="4">
        <f>D37*'Optimization Model'!D$19</f>
        <v>0</v>
      </c>
      <c r="EI37" s="4">
        <f>E37*'Optimization Model'!E$19</f>
        <v>0</v>
      </c>
      <c r="EJ37" s="4">
        <f>F37*'Optimization Model'!F$19</f>
        <v>0</v>
      </c>
      <c r="EK37" s="4">
        <f>G37*'Optimization Model'!G$19</f>
        <v>0</v>
      </c>
      <c r="EL37" s="4">
        <f>H37*'Optimization Model'!H$19</f>
        <v>1</v>
      </c>
      <c r="EM37" s="4">
        <f t="shared" si="14"/>
        <v>1</v>
      </c>
      <c r="EO37" s="3" t="s">
        <v>53</v>
      </c>
      <c r="EP37" s="4">
        <f>C37*'Optimization Model'!C$20</f>
        <v>0</v>
      </c>
      <c r="EQ37" s="4">
        <f>D37*'Optimization Model'!D$20</f>
        <v>0</v>
      </c>
      <c r="ER37" s="4">
        <f>E37*'Optimization Model'!E$20</f>
        <v>0</v>
      </c>
      <c r="ES37" s="4">
        <f>F37*'Optimization Model'!F$20</f>
        <v>0</v>
      </c>
      <c r="ET37" s="4">
        <f>G37*'Optimization Model'!G$20</f>
        <v>0</v>
      </c>
      <c r="EU37" s="4">
        <f>H37*'Optimization Model'!H$20</f>
        <v>1</v>
      </c>
      <c r="EV37" s="4">
        <f t="shared" si="15"/>
        <v>1</v>
      </c>
    </row>
    <row r="38" spans="2:152" x14ac:dyDescent="0.35">
      <c r="B38" s="3" t="s">
        <v>54</v>
      </c>
      <c r="C38" s="4">
        <f>'Data- Refined'!U38</f>
        <v>14</v>
      </c>
      <c r="D38" s="4">
        <f>'Data- Refined'!V38</f>
        <v>16</v>
      </c>
      <c r="E38" s="4">
        <f>'Data- Refined'!W38</f>
        <v>11</v>
      </c>
      <c r="F38" s="4">
        <f>'Data- Refined'!X38</f>
        <v>8</v>
      </c>
      <c r="G38" s="4">
        <f>'Data- Refined'!Y38</f>
        <v>6</v>
      </c>
      <c r="H38" s="4">
        <f>'Data- Refined'!Z38</f>
        <v>6</v>
      </c>
      <c r="J38" s="3" t="s">
        <v>54</v>
      </c>
      <c r="K38" s="4">
        <f>C38*'Optimization Model'!C$5</f>
        <v>14</v>
      </c>
      <c r="L38" s="4">
        <f>D38*'Optimization Model'!D$5</f>
        <v>0</v>
      </c>
      <c r="M38" s="4">
        <f>E38*'Optimization Model'!E$5</f>
        <v>0</v>
      </c>
      <c r="N38" s="4">
        <f>F38*'Optimization Model'!F$5</f>
        <v>0</v>
      </c>
      <c r="O38" s="4">
        <f>G38*'Optimization Model'!G$5</f>
        <v>0</v>
      </c>
      <c r="P38" s="4">
        <f>H38*'Optimization Model'!H$5</f>
        <v>0</v>
      </c>
      <c r="Q38" s="4">
        <f>SUM(K38:P38)</f>
        <v>14</v>
      </c>
      <c r="R38" s="8"/>
      <c r="S38" s="3" t="s">
        <v>54</v>
      </c>
      <c r="T38" s="4">
        <f>C38*'Optimization Model'!C$6</f>
        <v>0</v>
      </c>
      <c r="U38" s="4">
        <f>D38*'Optimization Model'!D$6</f>
        <v>16</v>
      </c>
      <c r="V38" s="4">
        <f>E38*'Optimization Model'!E$6</f>
        <v>0</v>
      </c>
      <c r="W38" s="4">
        <f>F38*'Optimization Model'!F$6</f>
        <v>0</v>
      </c>
      <c r="X38" s="4">
        <f>G38*'Optimization Model'!G$6</f>
        <v>0</v>
      </c>
      <c r="Y38" s="4">
        <f>H38*'Optimization Model'!H$6</f>
        <v>0</v>
      </c>
      <c r="Z38" s="4">
        <f t="shared" si="1"/>
        <v>16</v>
      </c>
      <c r="AB38" s="3" t="s">
        <v>54</v>
      </c>
      <c r="AC38" s="4">
        <f>C38*'Optimization Model'!C$7</f>
        <v>14</v>
      </c>
      <c r="AD38" s="4">
        <f>D38*'Optimization Model'!D$7</f>
        <v>0</v>
      </c>
      <c r="AE38" s="4">
        <f>E38*'Optimization Model'!E$7</f>
        <v>0</v>
      </c>
      <c r="AF38" s="4">
        <f>F38*'Optimization Model'!F$7</f>
        <v>0</v>
      </c>
      <c r="AG38" s="4">
        <f>G38*'Optimization Model'!G$7</f>
        <v>0</v>
      </c>
      <c r="AH38" s="4">
        <f>H38*'Optimization Model'!H$7</f>
        <v>0</v>
      </c>
      <c r="AI38" s="4">
        <f t="shared" si="2"/>
        <v>14</v>
      </c>
      <c r="AK38" s="3" t="s">
        <v>54</v>
      </c>
      <c r="AL38" s="4">
        <f>C38*'Optimization Model'!C$8</f>
        <v>0</v>
      </c>
      <c r="AM38" s="4">
        <f>D38*'Optimization Model'!D$8</f>
        <v>16</v>
      </c>
      <c r="AN38" s="4">
        <f>E38*'Optimization Model'!E$8</f>
        <v>0</v>
      </c>
      <c r="AO38" s="4">
        <f>F38*'Optimization Model'!F$8</f>
        <v>0</v>
      </c>
      <c r="AP38" s="4">
        <f>G38*'Optimization Model'!G$8</f>
        <v>0</v>
      </c>
      <c r="AQ38" s="4">
        <f>H38*'Optimization Model'!H$8</f>
        <v>6</v>
      </c>
      <c r="AR38" s="4">
        <f t="shared" si="3"/>
        <v>22</v>
      </c>
      <c r="AT38" s="3" t="s">
        <v>54</v>
      </c>
      <c r="AU38" s="4">
        <f>C38*'Optimization Model'!C$9</f>
        <v>14</v>
      </c>
      <c r="AV38" s="4">
        <f>D38*'Optimization Model'!D$9</f>
        <v>0</v>
      </c>
      <c r="AW38" s="4">
        <f>E38*'Optimization Model'!E$9</f>
        <v>0</v>
      </c>
      <c r="AX38" s="4">
        <f>F38*'Optimization Model'!F$9</f>
        <v>8</v>
      </c>
      <c r="AY38" s="4">
        <f>G38*'Optimization Model'!G$9</f>
        <v>0</v>
      </c>
      <c r="AZ38" s="4">
        <f>H38*'Optimization Model'!H$9</f>
        <v>0</v>
      </c>
      <c r="BA38" s="4">
        <f t="shared" si="4"/>
        <v>22</v>
      </c>
      <c r="BC38" s="3" t="s">
        <v>54</v>
      </c>
      <c r="BD38" s="4">
        <f>C38*'Optimization Model'!C$10</f>
        <v>0</v>
      </c>
      <c r="BE38" s="4">
        <f>D38*'Optimization Model'!D$10</f>
        <v>16</v>
      </c>
      <c r="BF38" s="4">
        <f>E38*'Optimization Model'!E$10</f>
        <v>0</v>
      </c>
      <c r="BG38" s="4">
        <f>F38*'Optimization Model'!F$10</f>
        <v>8</v>
      </c>
      <c r="BH38" s="4">
        <f>G38*'Optimization Model'!G$10</f>
        <v>0</v>
      </c>
      <c r="BI38" s="4">
        <f>H38*'Optimization Model'!H$10</f>
        <v>0</v>
      </c>
      <c r="BJ38" s="4">
        <f t="shared" si="5"/>
        <v>24</v>
      </c>
      <c r="BL38" s="3" t="s">
        <v>54</v>
      </c>
      <c r="BM38" s="4">
        <f>C38*'Optimization Model'!C$11</f>
        <v>0</v>
      </c>
      <c r="BN38" s="4">
        <f>D38*'Optimization Model'!D$11</f>
        <v>0</v>
      </c>
      <c r="BO38" s="4">
        <f>E38*'Optimization Model'!E$11</f>
        <v>11</v>
      </c>
      <c r="BP38" s="4">
        <f>F38*'Optimization Model'!F$11</f>
        <v>0</v>
      </c>
      <c r="BQ38" s="4">
        <f>G38*'Optimization Model'!G$11</f>
        <v>6</v>
      </c>
      <c r="BR38" s="4">
        <f>H38*'Optimization Model'!H$11</f>
        <v>0</v>
      </c>
      <c r="BS38" s="4">
        <f t="shared" si="6"/>
        <v>17</v>
      </c>
      <c r="BU38" s="3" t="s">
        <v>54</v>
      </c>
      <c r="BV38" s="4">
        <f>C38*'Optimization Model'!C$12</f>
        <v>0</v>
      </c>
      <c r="BW38" s="4">
        <f>D38*'Optimization Model'!D$12</f>
        <v>0</v>
      </c>
      <c r="BX38" s="4">
        <f>E38*'Optimization Model'!E$12</f>
        <v>0</v>
      </c>
      <c r="BY38" s="4">
        <f>F38*'Optimization Model'!F$12</f>
        <v>0</v>
      </c>
      <c r="BZ38" s="4">
        <f>G38*'Optimization Model'!G$12</f>
        <v>6</v>
      </c>
      <c r="CA38" s="4">
        <f>H38*'Optimization Model'!H$12</f>
        <v>6</v>
      </c>
      <c r="CB38" s="4">
        <f t="shared" si="7"/>
        <v>12</v>
      </c>
      <c r="CD38" s="3" t="s">
        <v>54</v>
      </c>
      <c r="CE38" s="4">
        <f>C38*'Optimization Model'!C$13</f>
        <v>14</v>
      </c>
      <c r="CF38" s="4">
        <f>D38*'Optimization Model'!D$13</f>
        <v>0</v>
      </c>
      <c r="CG38" s="4">
        <f>E38*'Optimization Model'!E$13</f>
        <v>0</v>
      </c>
      <c r="CH38" s="4">
        <f>F38*'Optimization Model'!F$13</f>
        <v>0</v>
      </c>
      <c r="CI38" s="4">
        <f>G38*'Optimization Model'!G$13</f>
        <v>0</v>
      </c>
      <c r="CJ38" s="4">
        <f>H38*'Optimization Model'!H$13</f>
        <v>0</v>
      </c>
      <c r="CK38" s="4">
        <f t="shared" si="8"/>
        <v>14</v>
      </c>
      <c r="CM38" s="3" t="s">
        <v>54</v>
      </c>
      <c r="CN38" s="4">
        <f>C38*'Optimization Model'!C$14</f>
        <v>0</v>
      </c>
      <c r="CO38" s="4">
        <f>D38*'Optimization Model'!D$14</f>
        <v>16</v>
      </c>
      <c r="CP38" s="4">
        <f>E38*'Optimization Model'!E$14</f>
        <v>0</v>
      </c>
      <c r="CQ38" s="4">
        <f>F38*'Optimization Model'!F$14</f>
        <v>0</v>
      </c>
      <c r="CR38" s="4">
        <f>G38*'Optimization Model'!G$14</f>
        <v>0</v>
      </c>
      <c r="CS38" s="4">
        <f>H38*'Optimization Model'!H$14</f>
        <v>0</v>
      </c>
      <c r="CT38" s="4">
        <f t="shared" si="9"/>
        <v>16</v>
      </c>
      <c r="CV38" s="3" t="s">
        <v>54</v>
      </c>
      <c r="CW38" s="4">
        <f>C38*'Optimization Model'!C$15</f>
        <v>0</v>
      </c>
      <c r="CX38" s="4">
        <f>D38*'Optimization Model'!D$15</f>
        <v>0</v>
      </c>
      <c r="CY38" s="4">
        <f>E38*'Optimization Model'!E$15</f>
        <v>0</v>
      </c>
      <c r="CZ38" s="4">
        <f>F38*'Optimization Model'!F$15</f>
        <v>8</v>
      </c>
      <c r="DA38" s="4">
        <f>G38*'Optimization Model'!G$15</f>
        <v>6</v>
      </c>
      <c r="DB38" s="4">
        <f>H38*'Optimization Model'!H$15</f>
        <v>0</v>
      </c>
      <c r="DC38" s="4">
        <f t="shared" si="10"/>
        <v>14</v>
      </c>
      <c r="DE38" s="3" t="s">
        <v>54</v>
      </c>
      <c r="DF38" s="4">
        <f>C38*'Optimization Model'!C$16</f>
        <v>0</v>
      </c>
      <c r="DG38" s="4">
        <f>D38*'Optimization Model'!D$16</f>
        <v>0</v>
      </c>
      <c r="DH38" s="4">
        <f>E38*'Optimization Model'!E$16</f>
        <v>11</v>
      </c>
      <c r="DI38" s="4">
        <f>F38*'Optimization Model'!F$16</f>
        <v>0</v>
      </c>
      <c r="DJ38" s="4">
        <f>G38*'Optimization Model'!G$16</f>
        <v>0</v>
      </c>
      <c r="DK38" s="4">
        <f>H38*'Optimization Model'!H$16</f>
        <v>0</v>
      </c>
      <c r="DL38" s="4">
        <f t="shared" si="11"/>
        <v>11</v>
      </c>
      <c r="DN38" s="3" t="s">
        <v>54</v>
      </c>
      <c r="DO38" s="4">
        <f>C38*'Optimization Model'!C$17</f>
        <v>0</v>
      </c>
      <c r="DP38" s="4">
        <f>D38*'Optimization Model'!D$17</f>
        <v>0</v>
      </c>
      <c r="DQ38" s="4">
        <f>E38*'Optimization Model'!E$17</f>
        <v>11</v>
      </c>
      <c r="DR38" s="4">
        <f>F38*'Optimization Model'!F$17</f>
        <v>0</v>
      </c>
      <c r="DS38" s="4">
        <f>G38*'Optimization Model'!G$17</f>
        <v>6</v>
      </c>
      <c r="DT38" s="4">
        <f>H38*'Optimization Model'!H$17</f>
        <v>0</v>
      </c>
      <c r="DU38" s="4">
        <f t="shared" si="12"/>
        <v>17</v>
      </c>
      <c r="DW38" s="3" t="s">
        <v>54</v>
      </c>
      <c r="DX38" s="4">
        <f>C38*'Optimization Model'!C$18</f>
        <v>0</v>
      </c>
      <c r="DY38" s="4">
        <f>D38*'Optimization Model'!D$18</f>
        <v>0</v>
      </c>
      <c r="DZ38" s="4">
        <f>E38*'Optimization Model'!E$18</f>
        <v>11</v>
      </c>
      <c r="EA38" s="4">
        <f>F38*'Optimization Model'!F$18</f>
        <v>8</v>
      </c>
      <c r="EB38" s="4">
        <f>G38*'Optimization Model'!G$18</f>
        <v>0</v>
      </c>
      <c r="EC38" s="4">
        <f>H38*'Optimization Model'!H$18</f>
        <v>0</v>
      </c>
      <c r="ED38" s="4">
        <f t="shared" si="13"/>
        <v>19</v>
      </c>
      <c r="EF38" s="3" t="s">
        <v>54</v>
      </c>
      <c r="EG38" s="4">
        <f>C38*'Optimization Model'!C$19</f>
        <v>0</v>
      </c>
      <c r="EH38" s="4">
        <f>D38*'Optimization Model'!D$19</f>
        <v>0</v>
      </c>
      <c r="EI38" s="4">
        <f>E38*'Optimization Model'!E$19</f>
        <v>0</v>
      </c>
      <c r="EJ38" s="4">
        <f>F38*'Optimization Model'!F$19</f>
        <v>0</v>
      </c>
      <c r="EK38" s="4">
        <f>G38*'Optimization Model'!G$19</f>
        <v>0</v>
      </c>
      <c r="EL38" s="4">
        <f>H38*'Optimization Model'!H$19</f>
        <v>6</v>
      </c>
      <c r="EM38" s="4">
        <f t="shared" si="14"/>
        <v>6</v>
      </c>
      <c r="EO38" s="3" t="s">
        <v>54</v>
      </c>
      <c r="EP38" s="4">
        <f>C38*'Optimization Model'!C$20</f>
        <v>0</v>
      </c>
      <c r="EQ38" s="4">
        <f>D38*'Optimization Model'!D$20</f>
        <v>0</v>
      </c>
      <c r="ER38" s="4">
        <f>E38*'Optimization Model'!E$20</f>
        <v>0</v>
      </c>
      <c r="ES38" s="4">
        <f>F38*'Optimization Model'!F$20</f>
        <v>0</v>
      </c>
      <c r="ET38" s="4">
        <f>G38*'Optimization Model'!G$20</f>
        <v>0</v>
      </c>
      <c r="EU38" s="4">
        <f>H38*'Optimization Model'!H$20</f>
        <v>6</v>
      </c>
      <c r="EV38" s="4">
        <f t="shared" si="15"/>
        <v>6</v>
      </c>
    </row>
    <row r="39" spans="2:152" x14ac:dyDescent="0.35">
      <c r="B39" s="3" t="s">
        <v>55</v>
      </c>
      <c r="C39" s="4">
        <f>'Data- Refined'!U39</f>
        <v>9</v>
      </c>
      <c r="D39" s="4">
        <f>'Data- Refined'!V39</f>
        <v>11</v>
      </c>
      <c r="E39" s="4">
        <f>'Data- Refined'!W39</f>
        <v>5</v>
      </c>
      <c r="F39" s="4">
        <f>'Data- Refined'!X39</f>
        <v>5</v>
      </c>
      <c r="G39" s="4">
        <f>'Data- Refined'!Y39</f>
        <v>4</v>
      </c>
      <c r="H39" s="4">
        <f>'Data- Refined'!Z39</f>
        <v>5</v>
      </c>
      <c r="J39" s="3" t="s">
        <v>55</v>
      </c>
      <c r="K39" s="4">
        <f>C39*'Optimization Model'!C$5</f>
        <v>9</v>
      </c>
      <c r="L39" s="4">
        <f>D39*'Optimization Model'!D$5</f>
        <v>0</v>
      </c>
      <c r="M39" s="4">
        <f>E39*'Optimization Model'!E$5</f>
        <v>0</v>
      </c>
      <c r="N39" s="4">
        <f>F39*'Optimization Model'!F$5</f>
        <v>0</v>
      </c>
      <c r="O39" s="4">
        <f>G39*'Optimization Model'!G$5</f>
        <v>0</v>
      </c>
      <c r="P39" s="4">
        <f>H39*'Optimization Model'!H$5</f>
        <v>0</v>
      </c>
      <c r="Q39" s="4">
        <f t="shared" si="0"/>
        <v>9</v>
      </c>
      <c r="R39" s="8"/>
      <c r="S39" s="3" t="s">
        <v>55</v>
      </c>
      <c r="T39" s="4">
        <f>C39*'Optimization Model'!C$6</f>
        <v>0</v>
      </c>
      <c r="U39" s="4">
        <f>D39*'Optimization Model'!D$6</f>
        <v>11</v>
      </c>
      <c r="V39" s="4">
        <f>E39*'Optimization Model'!E$6</f>
        <v>0</v>
      </c>
      <c r="W39" s="4">
        <f>F39*'Optimization Model'!F$6</f>
        <v>0</v>
      </c>
      <c r="X39" s="4">
        <f>G39*'Optimization Model'!G$6</f>
        <v>0</v>
      </c>
      <c r="Y39" s="4">
        <f>H39*'Optimization Model'!H$6</f>
        <v>0</v>
      </c>
      <c r="Z39" s="4">
        <f t="shared" si="1"/>
        <v>11</v>
      </c>
      <c r="AB39" s="3" t="s">
        <v>55</v>
      </c>
      <c r="AC39" s="4">
        <f>C39*'Optimization Model'!C$7</f>
        <v>9</v>
      </c>
      <c r="AD39" s="4">
        <f>D39*'Optimization Model'!D$7</f>
        <v>0</v>
      </c>
      <c r="AE39" s="4">
        <f>E39*'Optimization Model'!E$7</f>
        <v>0</v>
      </c>
      <c r="AF39" s="4">
        <f>F39*'Optimization Model'!F$7</f>
        <v>0</v>
      </c>
      <c r="AG39" s="4">
        <f>G39*'Optimization Model'!G$7</f>
        <v>0</v>
      </c>
      <c r="AH39" s="4">
        <f>H39*'Optimization Model'!H$7</f>
        <v>0</v>
      </c>
      <c r="AI39" s="4">
        <f t="shared" si="2"/>
        <v>9</v>
      </c>
      <c r="AK39" s="3" t="s">
        <v>55</v>
      </c>
      <c r="AL39" s="4">
        <f>C39*'Optimization Model'!C$8</f>
        <v>0</v>
      </c>
      <c r="AM39" s="4">
        <f>D39*'Optimization Model'!D$8</f>
        <v>11</v>
      </c>
      <c r="AN39" s="4">
        <f>E39*'Optimization Model'!E$8</f>
        <v>0</v>
      </c>
      <c r="AO39" s="4">
        <f>F39*'Optimization Model'!F$8</f>
        <v>0</v>
      </c>
      <c r="AP39" s="4">
        <f>G39*'Optimization Model'!G$8</f>
        <v>0</v>
      </c>
      <c r="AQ39" s="4">
        <f>H39*'Optimization Model'!H$8</f>
        <v>5</v>
      </c>
      <c r="AR39" s="4">
        <f t="shared" si="3"/>
        <v>16</v>
      </c>
      <c r="AT39" s="3" t="s">
        <v>55</v>
      </c>
      <c r="AU39" s="4">
        <f>C39*'Optimization Model'!C$9</f>
        <v>9</v>
      </c>
      <c r="AV39" s="4">
        <f>D39*'Optimization Model'!D$9</f>
        <v>0</v>
      </c>
      <c r="AW39" s="4">
        <f>E39*'Optimization Model'!E$9</f>
        <v>0</v>
      </c>
      <c r="AX39" s="4">
        <f>F39*'Optimization Model'!F$9</f>
        <v>5</v>
      </c>
      <c r="AY39" s="4">
        <f>G39*'Optimization Model'!G$9</f>
        <v>0</v>
      </c>
      <c r="AZ39" s="4">
        <f>H39*'Optimization Model'!H$9</f>
        <v>0</v>
      </c>
      <c r="BA39" s="4">
        <f t="shared" si="4"/>
        <v>14</v>
      </c>
      <c r="BC39" s="3" t="s">
        <v>55</v>
      </c>
      <c r="BD39" s="4">
        <f>C39*'Optimization Model'!C$10</f>
        <v>0</v>
      </c>
      <c r="BE39" s="4">
        <f>D39*'Optimization Model'!D$10</f>
        <v>11</v>
      </c>
      <c r="BF39" s="4">
        <f>E39*'Optimization Model'!E$10</f>
        <v>0</v>
      </c>
      <c r="BG39" s="4">
        <f>F39*'Optimization Model'!F$10</f>
        <v>5</v>
      </c>
      <c r="BH39" s="4">
        <f>G39*'Optimization Model'!G$10</f>
        <v>0</v>
      </c>
      <c r="BI39" s="4">
        <f>H39*'Optimization Model'!H$10</f>
        <v>0</v>
      </c>
      <c r="BJ39" s="4">
        <f t="shared" si="5"/>
        <v>16</v>
      </c>
      <c r="BL39" s="3" t="s">
        <v>55</v>
      </c>
      <c r="BM39" s="4">
        <f>C39*'Optimization Model'!C$11</f>
        <v>0</v>
      </c>
      <c r="BN39" s="4">
        <f>D39*'Optimization Model'!D$11</f>
        <v>0</v>
      </c>
      <c r="BO39" s="4">
        <f>E39*'Optimization Model'!E$11</f>
        <v>5</v>
      </c>
      <c r="BP39" s="4">
        <f>F39*'Optimization Model'!F$11</f>
        <v>0</v>
      </c>
      <c r="BQ39" s="4">
        <f>G39*'Optimization Model'!G$11</f>
        <v>4</v>
      </c>
      <c r="BR39" s="4">
        <f>H39*'Optimization Model'!H$11</f>
        <v>0</v>
      </c>
      <c r="BS39" s="4">
        <f t="shared" si="6"/>
        <v>9</v>
      </c>
      <c r="BU39" s="3" t="s">
        <v>55</v>
      </c>
      <c r="BV39" s="4">
        <f>C39*'Optimization Model'!C$12</f>
        <v>0</v>
      </c>
      <c r="BW39" s="4">
        <f>D39*'Optimization Model'!D$12</f>
        <v>0</v>
      </c>
      <c r="BX39" s="4">
        <f>E39*'Optimization Model'!E$12</f>
        <v>0</v>
      </c>
      <c r="BY39" s="4">
        <f>F39*'Optimization Model'!F$12</f>
        <v>0</v>
      </c>
      <c r="BZ39" s="4">
        <f>G39*'Optimization Model'!G$12</f>
        <v>4</v>
      </c>
      <c r="CA39" s="4">
        <f>H39*'Optimization Model'!H$12</f>
        <v>5</v>
      </c>
      <c r="CB39" s="4">
        <f t="shared" si="7"/>
        <v>9</v>
      </c>
      <c r="CD39" s="3" t="s">
        <v>55</v>
      </c>
      <c r="CE39" s="4">
        <f>C39*'Optimization Model'!C$13</f>
        <v>9</v>
      </c>
      <c r="CF39" s="4">
        <f>D39*'Optimization Model'!D$13</f>
        <v>0</v>
      </c>
      <c r="CG39" s="4">
        <f>E39*'Optimization Model'!E$13</f>
        <v>0</v>
      </c>
      <c r="CH39" s="4">
        <f>F39*'Optimization Model'!F$13</f>
        <v>0</v>
      </c>
      <c r="CI39" s="4">
        <f>G39*'Optimization Model'!G$13</f>
        <v>0</v>
      </c>
      <c r="CJ39" s="4">
        <f>H39*'Optimization Model'!H$13</f>
        <v>0</v>
      </c>
      <c r="CK39" s="4">
        <f t="shared" si="8"/>
        <v>9</v>
      </c>
      <c r="CM39" s="3" t="s">
        <v>55</v>
      </c>
      <c r="CN39" s="4">
        <f>C39*'Optimization Model'!C$14</f>
        <v>0</v>
      </c>
      <c r="CO39" s="4">
        <f>D39*'Optimization Model'!D$14</f>
        <v>11</v>
      </c>
      <c r="CP39" s="4">
        <f>E39*'Optimization Model'!E$14</f>
        <v>0</v>
      </c>
      <c r="CQ39" s="4">
        <f>F39*'Optimization Model'!F$14</f>
        <v>0</v>
      </c>
      <c r="CR39" s="4">
        <f>G39*'Optimization Model'!G$14</f>
        <v>0</v>
      </c>
      <c r="CS39" s="4">
        <f>H39*'Optimization Model'!H$14</f>
        <v>0</v>
      </c>
      <c r="CT39" s="4">
        <f t="shared" si="9"/>
        <v>11</v>
      </c>
      <c r="CV39" s="3" t="s">
        <v>55</v>
      </c>
      <c r="CW39" s="4">
        <f>C39*'Optimization Model'!C$15</f>
        <v>0</v>
      </c>
      <c r="CX39" s="4">
        <f>D39*'Optimization Model'!D$15</f>
        <v>0</v>
      </c>
      <c r="CY39" s="4">
        <f>E39*'Optimization Model'!E$15</f>
        <v>0</v>
      </c>
      <c r="CZ39" s="4">
        <f>F39*'Optimization Model'!F$15</f>
        <v>5</v>
      </c>
      <c r="DA39" s="4">
        <f>G39*'Optimization Model'!G$15</f>
        <v>4</v>
      </c>
      <c r="DB39" s="4">
        <f>H39*'Optimization Model'!H$15</f>
        <v>0</v>
      </c>
      <c r="DC39" s="4">
        <f t="shared" si="10"/>
        <v>9</v>
      </c>
      <c r="DE39" s="3" t="s">
        <v>55</v>
      </c>
      <c r="DF39" s="4">
        <f>C39*'Optimization Model'!C$16</f>
        <v>0</v>
      </c>
      <c r="DG39" s="4">
        <f>D39*'Optimization Model'!D$16</f>
        <v>0</v>
      </c>
      <c r="DH39" s="4">
        <f>E39*'Optimization Model'!E$16</f>
        <v>5</v>
      </c>
      <c r="DI39" s="4">
        <f>F39*'Optimization Model'!F$16</f>
        <v>0</v>
      </c>
      <c r="DJ39" s="4">
        <f>G39*'Optimization Model'!G$16</f>
        <v>0</v>
      </c>
      <c r="DK39" s="4">
        <f>H39*'Optimization Model'!H$16</f>
        <v>0</v>
      </c>
      <c r="DL39" s="4">
        <f t="shared" si="11"/>
        <v>5</v>
      </c>
      <c r="DN39" s="3" t="s">
        <v>55</v>
      </c>
      <c r="DO39" s="4">
        <f>C39*'Optimization Model'!C$17</f>
        <v>0</v>
      </c>
      <c r="DP39" s="4">
        <f>D39*'Optimization Model'!D$17</f>
        <v>0</v>
      </c>
      <c r="DQ39" s="4">
        <f>E39*'Optimization Model'!E$17</f>
        <v>5</v>
      </c>
      <c r="DR39" s="4">
        <f>F39*'Optimization Model'!F$17</f>
        <v>0</v>
      </c>
      <c r="DS39" s="4">
        <f>G39*'Optimization Model'!G$17</f>
        <v>4</v>
      </c>
      <c r="DT39" s="4">
        <f>H39*'Optimization Model'!H$17</f>
        <v>0</v>
      </c>
      <c r="DU39" s="4">
        <f t="shared" si="12"/>
        <v>9</v>
      </c>
      <c r="DW39" s="3" t="s">
        <v>55</v>
      </c>
      <c r="DX39" s="4">
        <f>C39*'Optimization Model'!C$18</f>
        <v>0</v>
      </c>
      <c r="DY39" s="4">
        <f>D39*'Optimization Model'!D$18</f>
        <v>0</v>
      </c>
      <c r="DZ39" s="4">
        <f>E39*'Optimization Model'!E$18</f>
        <v>5</v>
      </c>
      <c r="EA39" s="4">
        <f>F39*'Optimization Model'!F$18</f>
        <v>5</v>
      </c>
      <c r="EB39" s="4">
        <f>G39*'Optimization Model'!G$18</f>
        <v>0</v>
      </c>
      <c r="EC39" s="4">
        <f>H39*'Optimization Model'!H$18</f>
        <v>0</v>
      </c>
      <c r="ED39" s="4">
        <f t="shared" si="13"/>
        <v>10</v>
      </c>
      <c r="EF39" s="3" t="s">
        <v>55</v>
      </c>
      <c r="EG39" s="4">
        <f>C39*'Optimization Model'!C$19</f>
        <v>0</v>
      </c>
      <c r="EH39" s="4">
        <f>D39*'Optimization Model'!D$19</f>
        <v>0</v>
      </c>
      <c r="EI39" s="4">
        <f>E39*'Optimization Model'!E$19</f>
        <v>0</v>
      </c>
      <c r="EJ39" s="4">
        <f>F39*'Optimization Model'!F$19</f>
        <v>0</v>
      </c>
      <c r="EK39" s="4">
        <f>G39*'Optimization Model'!G$19</f>
        <v>0</v>
      </c>
      <c r="EL39" s="4">
        <f>H39*'Optimization Model'!H$19</f>
        <v>5</v>
      </c>
      <c r="EM39" s="4">
        <f t="shared" si="14"/>
        <v>5</v>
      </c>
      <c r="EO39" s="3" t="s">
        <v>55</v>
      </c>
      <c r="EP39" s="4">
        <f>C39*'Optimization Model'!C$20</f>
        <v>0</v>
      </c>
      <c r="EQ39" s="4">
        <f>D39*'Optimization Model'!D$20</f>
        <v>0</v>
      </c>
      <c r="ER39" s="4">
        <f>E39*'Optimization Model'!E$20</f>
        <v>0</v>
      </c>
      <c r="ES39" s="4">
        <f>F39*'Optimization Model'!F$20</f>
        <v>0</v>
      </c>
      <c r="ET39" s="4">
        <f>G39*'Optimization Model'!G$20</f>
        <v>0</v>
      </c>
      <c r="EU39" s="4">
        <f>H39*'Optimization Model'!H$20</f>
        <v>5</v>
      </c>
      <c r="EV39" s="4">
        <f t="shared" si="15"/>
        <v>5</v>
      </c>
    </row>
    <row r="40" spans="2:152" x14ac:dyDescent="0.35">
      <c r="B40" s="3" t="s">
        <v>56</v>
      </c>
      <c r="C40" s="4">
        <f>'Data- Refined'!U40</f>
        <v>3</v>
      </c>
      <c r="D40" s="4">
        <f>'Data- Refined'!V40</f>
        <v>4</v>
      </c>
      <c r="E40" s="4">
        <f>'Data- Refined'!W40</f>
        <v>2</v>
      </c>
      <c r="F40" s="4">
        <f>'Data- Refined'!X40</f>
        <v>1</v>
      </c>
      <c r="G40" s="4">
        <f>'Data- Refined'!Y40</f>
        <v>1</v>
      </c>
      <c r="H40" s="4">
        <f>'Data- Refined'!Z40</f>
        <v>1</v>
      </c>
      <c r="J40" s="3" t="s">
        <v>56</v>
      </c>
      <c r="K40" s="4">
        <f>C40*'Optimization Model'!C$5</f>
        <v>3</v>
      </c>
      <c r="L40" s="4">
        <f>D40*'Optimization Model'!D$5</f>
        <v>0</v>
      </c>
      <c r="M40" s="4">
        <f>E40*'Optimization Model'!E$5</f>
        <v>0</v>
      </c>
      <c r="N40" s="4">
        <f>F40*'Optimization Model'!F$5</f>
        <v>0</v>
      </c>
      <c r="O40" s="4">
        <f>G40*'Optimization Model'!G$5</f>
        <v>0</v>
      </c>
      <c r="P40" s="4">
        <f>H40*'Optimization Model'!H$5</f>
        <v>0</v>
      </c>
      <c r="Q40" s="4">
        <f t="shared" si="0"/>
        <v>3</v>
      </c>
      <c r="R40" s="8"/>
      <c r="S40" s="3" t="s">
        <v>56</v>
      </c>
      <c r="T40" s="4">
        <f>C40*'Optimization Model'!C$6</f>
        <v>0</v>
      </c>
      <c r="U40" s="4">
        <f>D40*'Optimization Model'!D$6</f>
        <v>4</v>
      </c>
      <c r="V40" s="4">
        <f>E40*'Optimization Model'!E$6</f>
        <v>0</v>
      </c>
      <c r="W40" s="4">
        <f>F40*'Optimization Model'!F$6</f>
        <v>0</v>
      </c>
      <c r="X40" s="4">
        <f>G40*'Optimization Model'!G$6</f>
        <v>0</v>
      </c>
      <c r="Y40" s="4">
        <f>H40*'Optimization Model'!H$6</f>
        <v>0</v>
      </c>
      <c r="Z40" s="4">
        <f t="shared" si="1"/>
        <v>4</v>
      </c>
      <c r="AB40" s="3" t="s">
        <v>56</v>
      </c>
      <c r="AC40" s="4">
        <f>C40*'Optimization Model'!C$7</f>
        <v>3</v>
      </c>
      <c r="AD40" s="4">
        <f>D40*'Optimization Model'!D$7</f>
        <v>0</v>
      </c>
      <c r="AE40" s="4">
        <f>E40*'Optimization Model'!E$7</f>
        <v>0</v>
      </c>
      <c r="AF40" s="4">
        <f>F40*'Optimization Model'!F$7</f>
        <v>0</v>
      </c>
      <c r="AG40" s="4">
        <f>G40*'Optimization Model'!G$7</f>
        <v>0</v>
      </c>
      <c r="AH40" s="4">
        <f>H40*'Optimization Model'!H$7</f>
        <v>0</v>
      </c>
      <c r="AI40" s="4">
        <f t="shared" si="2"/>
        <v>3</v>
      </c>
      <c r="AK40" s="3" t="s">
        <v>56</v>
      </c>
      <c r="AL40" s="4">
        <f>C40*'Optimization Model'!C$8</f>
        <v>0</v>
      </c>
      <c r="AM40" s="4">
        <f>D40*'Optimization Model'!D$8</f>
        <v>4</v>
      </c>
      <c r="AN40" s="4">
        <f>E40*'Optimization Model'!E$8</f>
        <v>0</v>
      </c>
      <c r="AO40" s="4">
        <f>F40*'Optimization Model'!F$8</f>
        <v>0</v>
      </c>
      <c r="AP40" s="4">
        <f>G40*'Optimization Model'!G$8</f>
        <v>0</v>
      </c>
      <c r="AQ40" s="4">
        <f>H40*'Optimization Model'!H$8</f>
        <v>1</v>
      </c>
      <c r="AR40" s="4">
        <f t="shared" si="3"/>
        <v>5</v>
      </c>
      <c r="AT40" s="3" t="s">
        <v>56</v>
      </c>
      <c r="AU40" s="4">
        <f>C40*'Optimization Model'!C$9</f>
        <v>3</v>
      </c>
      <c r="AV40" s="4">
        <f>D40*'Optimization Model'!D$9</f>
        <v>0</v>
      </c>
      <c r="AW40" s="4">
        <f>E40*'Optimization Model'!E$9</f>
        <v>0</v>
      </c>
      <c r="AX40" s="4">
        <f>F40*'Optimization Model'!F$9</f>
        <v>1</v>
      </c>
      <c r="AY40" s="4">
        <f>G40*'Optimization Model'!G$9</f>
        <v>0</v>
      </c>
      <c r="AZ40" s="4">
        <f>H40*'Optimization Model'!H$9</f>
        <v>0</v>
      </c>
      <c r="BA40" s="4">
        <f t="shared" si="4"/>
        <v>4</v>
      </c>
      <c r="BC40" s="3" t="s">
        <v>56</v>
      </c>
      <c r="BD40" s="4">
        <f>C40*'Optimization Model'!C$10</f>
        <v>0</v>
      </c>
      <c r="BE40" s="4">
        <f>D40*'Optimization Model'!D$10</f>
        <v>4</v>
      </c>
      <c r="BF40" s="4">
        <f>E40*'Optimization Model'!E$10</f>
        <v>0</v>
      </c>
      <c r="BG40" s="4">
        <f>F40*'Optimization Model'!F$10</f>
        <v>1</v>
      </c>
      <c r="BH40" s="4">
        <f>G40*'Optimization Model'!G$10</f>
        <v>0</v>
      </c>
      <c r="BI40" s="4">
        <f>H40*'Optimization Model'!H$10</f>
        <v>0</v>
      </c>
      <c r="BJ40" s="4">
        <f t="shared" si="5"/>
        <v>5</v>
      </c>
      <c r="BL40" s="3" t="s">
        <v>56</v>
      </c>
      <c r="BM40" s="4">
        <f>C40*'Optimization Model'!C$11</f>
        <v>0</v>
      </c>
      <c r="BN40" s="4">
        <f>D40*'Optimization Model'!D$11</f>
        <v>0</v>
      </c>
      <c r="BO40" s="4">
        <f>E40*'Optimization Model'!E$11</f>
        <v>2</v>
      </c>
      <c r="BP40" s="4">
        <f>F40*'Optimization Model'!F$11</f>
        <v>0</v>
      </c>
      <c r="BQ40" s="4">
        <f>G40*'Optimization Model'!G$11</f>
        <v>1</v>
      </c>
      <c r="BR40" s="4">
        <f>H40*'Optimization Model'!H$11</f>
        <v>0</v>
      </c>
      <c r="BS40" s="4">
        <f t="shared" si="6"/>
        <v>3</v>
      </c>
      <c r="BU40" s="3" t="s">
        <v>56</v>
      </c>
      <c r="BV40" s="4">
        <f>C40*'Optimization Model'!C$12</f>
        <v>0</v>
      </c>
      <c r="BW40" s="4">
        <f>D40*'Optimization Model'!D$12</f>
        <v>0</v>
      </c>
      <c r="BX40" s="4">
        <f>E40*'Optimization Model'!E$12</f>
        <v>0</v>
      </c>
      <c r="BY40" s="4">
        <f>F40*'Optimization Model'!F$12</f>
        <v>0</v>
      </c>
      <c r="BZ40" s="4">
        <f>G40*'Optimization Model'!G$12</f>
        <v>1</v>
      </c>
      <c r="CA40" s="4">
        <f>H40*'Optimization Model'!H$12</f>
        <v>1</v>
      </c>
      <c r="CB40" s="4">
        <f t="shared" si="7"/>
        <v>2</v>
      </c>
      <c r="CD40" s="3" t="s">
        <v>56</v>
      </c>
      <c r="CE40" s="4">
        <f>C40*'Optimization Model'!C$13</f>
        <v>3</v>
      </c>
      <c r="CF40" s="4">
        <f>D40*'Optimization Model'!D$13</f>
        <v>0</v>
      </c>
      <c r="CG40" s="4">
        <f>E40*'Optimization Model'!E$13</f>
        <v>0</v>
      </c>
      <c r="CH40" s="4">
        <f>F40*'Optimization Model'!F$13</f>
        <v>0</v>
      </c>
      <c r="CI40" s="4">
        <f>G40*'Optimization Model'!G$13</f>
        <v>0</v>
      </c>
      <c r="CJ40" s="4">
        <f>H40*'Optimization Model'!H$13</f>
        <v>0</v>
      </c>
      <c r="CK40" s="4">
        <f t="shared" si="8"/>
        <v>3</v>
      </c>
      <c r="CM40" s="3" t="s">
        <v>56</v>
      </c>
      <c r="CN40" s="4">
        <f>C40*'Optimization Model'!C$14</f>
        <v>0</v>
      </c>
      <c r="CO40" s="4">
        <f>D40*'Optimization Model'!D$14</f>
        <v>4</v>
      </c>
      <c r="CP40" s="4">
        <f>E40*'Optimization Model'!E$14</f>
        <v>0</v>
      </c>
      <c r="CQ40" s="4">
        <f>F40*'Optimization Model'!F$14</f>
        <v>0</v>
      </c>
      <c r="CR40" s="4">
        <f>G40*'Optimization Model'!G$14</f>
        <v>0</v>
      </c>
      <c r="CS40" s="4">
        <f>H40*'Optimization Model'!H$14</f>
        <v>0</v>
      </c>
      <c r="CT40" s="4">
        <f t="shared" si="9"/>
        <v>4</v>
      </c>
      <c r="CV40" s="3" t="s">
        <v>56</v>
      </c>
      <c r="CW40" s="4">
        <f>C40*'Optimization Model'!C$15</f>
        <v>0</v>
      </c>
      <c r="CX40" s="4">
        <f>D40*'Optimization Model'!D$15</f>
        <v>0</v>
      </c>
      <c r="CY40" s="4">
        <f>E40*'Optimization Model'!E$15</f>
        <v>0</v>
      </c>
      <c r="CZ40" s="4">
        <f>F40*'Optimization Model'!F$15</f>
        <v>1</v>
      </c>
      <c r="DA40" s="4">
        <f>G40*'Optimization Model'!G$15</f>
        <v>1</v>
      </c>
      <c r="DB40" s="4">
        <f>H40*'Optimization Model'!H$15</f>
        <v>0</v>
      </c>
      <c r="DC40" s="4">
        <f t="shared" si="10"/>
        <v>2</v>
      </c>
      <c r="DE40" s="3" t="s">
        <v>56</v>
      </c>
      <c r="DF40" s="4">
        <f>C40*'Optimization Model'!C$16</f>
        <v>0</v>
      </c>
      <c r="DG40" s="4">
        <f>D40*'Optimization Model'!D$16</f>
        <v>0</v>
      </c>
      <c r="DH40" s="4">
        <f>E40*'Optimization Model'!E$16</f>
        <v>2</v>
      </c>
      <c r="DI40" s="4">
        <f>F40*'Optimization Model'!F$16</f>
        <v>0</v>
      </c>
      <c r="DJ40" s="4">
        <f>G40*'Optimization Model'!G$16</f>
        <v>0</v>
      </c>
      <c r="DK40" s="4">
        <f>H40*'Optimization Model'!H$16</f>
        <v>0</v>
      </c>
      <c r="DL40" s="4">
        <f t="shared" si="11"/>
        <v>2</v>
      </c>
      <c r="DN40" s="3" t="s">
        <v>56</v>
      </c>
      <c r="DO40" s="4">
        <f>C40*'Optimization Model'!C$17</f>
        <v>0</v>
      </c>
      <c r="DP40" s="4">
        <f>D40*'Optimization Model'!D$17</f>
        <v>0</v>
      </c>
      <c r="DQ40" s="4">
        <f>E40*'Optimization Model'!E$17</f>
        <v>2</v>
      </c>
      <c r="DR40" s="4">
        <f>F40*'Optimization Model'!F$17</f>
        <v>0</v>
      </c>
      <c r="DS40" s="4">
        <f>G40*'Optimization Model'!G$17</f>
        <v>1</v>
      </c>
      <c r="DT40" s="4">
        <f>H40*'Optimization Model'!H$17</f>
        <v>0</v>
      </c>
      <c r="DU40" s="4">
        <f t="shared" si="12"/>
        <v>3</v>
      </c>
      <c r="DW40" s="3" t="s">
        <v>56</v>
      </c>
      <c r="DX40" s="4">
        <f>C40*'Optimization Model'!C$18</f>
        <v>0</v>
      </c>
      <c r="DY40" s="4">
        <f>D40*'Optimization Model'!D$18</f>
        <v>0</v>
      </c>
      <c r="DZ40" s="4">
        <f>E40*'Optimization Model'!E$18</f>
        <v>2</v>
      </c>
      <c r="EA40" s="4">
        <f>F40*'Optimization Model'!F$18</f>
        <v>1</v>
      </c>
      <c r="EB40" s="4">
        <f>G40*'Optimization Model'!G$18</f>
        <v>0</v>
      </c>
      <c r="EC40" s="4">
        <f>H40*'Optimization Model'!H$18</f>
        <v>0</v>
      </c>
      <c r="ED40" s="4">
        <f t="shared" si="13"/>
        <v>3</v>
      </c>
      <c r="EF40" s="3" t="s">
        <v>56</v>
      </c>
      <c r="EG40" s="4">
        <f>C40*'Optimization Model'!C$19</f>
        <v>0</v>
      </c>
      <c r="EH40" s="4">
        <f>D40*'Optimization Model'!D$19</f>
        <v>0</v>
      </c>
      <c r="EI40" s="4">
        <f>E40*'Optimization Model'!E$19</f>
        <v>0</v>
      </c>
      <c r="EJ40" s="4">
        <f>F40*'Optimization Model'!F$19</f>
        <v>0</v>
      </c>
      <c r="EK40" s="4">
        <f>G40*'Optimization Model'!G$19</f>
        <v>0</v>
      </c>
      <c r="EL40" s="4">
        <f>H40*'Optimization Model'!H$19</f>
        <v>1</v>
      </c>
      <c r="EM40" s="4">
        <f t="shared" si="14"/>
        <v>1</v>
      </c>
      <c r="EO40" s="3" t="s">
        <v>56</v>
      </c>
      <c r="EP40" s="4">
        <f>C40*'Optimization Model'!C$20</f>
        <v>0</v>
      </c>
      <c r="EQ40" s="4">
        <f>D40*'Optimization Model'!D$20</f>
        <v>0</v>
      </c>
      <c r="ER40" s="4">
        <f>E40*'Optimization Model'!E$20</f>
        <v>0</v>
      </c>
      <c r="ES40" s="4">
        <f>F40*'Optimization Model'!F$20</f>
        <v>0</v>
      </c>
      <c r="ET40" s="4">
        <f>G40*'Optimization Model'!G$20</f>
        <v>0</v>
      </c>
      <c r="EU40" s="4">
        <f>H40*'Optimization Model'!H$20</f>
        <v>1</v>
      </c>
      <c r="EV40" s="4">
        <f t="shared" si="15"/>
        <v>1</v>
      </c>
    </row>
    <row r="41" spans="2:152" x14ac:dyDescent="0.35">
      <c r="B41" s="3" t="s">
        <v>57</v>
      </c>
      <c r="C41" s="4">
        <f>'Data- Refined'!U41</f>
        <v>8</v>
      </c>
      <c r="D41" s="4">
        <f>'Data- Refined'!V41</f>
        <v>8</v>
      </c>
      <c r="E41" s="4">
        <f>'Data- Refined'!W41</f>
        <v>7</v>
      </c>
      <c r="F41" s="4">
        <f>'Data- Refined'!X41</f>
        <v>7</v>
      </c>
      <c r="G41" s="4">
        <f>'Data- Refined'!Y41</f>
        <v>7</v>
      </c>
      <c r="H41" s="4">
        <f>'Data- Refined'!Z41</f>
        <v>6</v>
      </c>
      <c r="J41" s="3" t="s">
        <v>57</v>
      </c>
      <c r="K41" s="4">
        <f>C41*'Optimization Model'!C$5</f>
        <v>8</v>
      </c>
      <c r="L41" s="4">
        <f>D41*'Optimization Model'!D$5</f>
        <v>0</v>
      </c>
      <c r="M41" s="4">
        <f>E41*'Optimization Model'!E$5</f>
        <v>0</v>
      </c>
      <c r="N41" s="4">
        <f>F41*'Optimization Model'!F$5</f>
        <v>0</v>
      </c>
      <c r="O41" s="4">
        <f>G41*'Optimization Model'!G$5</f>
        <v>0</v>
      </c>
      <c r="P41" s="4">
        <f>H41*'Optimization Model'!H$5</f>
        <v>0</v>
      </c>
      <c r="Q41" s="4">
        <f t="shared" si="0"/>
        <v>8</v>
      </c>
      <c r="R41" s="8"/>
      <c r="S41" s="3" t="s">
        <v>57</v>
      </c>
      <c r="T41" s="4">
        <f>C41*'Optimization Model'!C$6</f>
        <v>0</v>
      </c>
      <c r="U41" s="4">
        <f>D41*'Optimization Model'!D$6</f>
        <v>8</v>
      </c>
      <c r="V41" s="4">
        <f>E41*'Optimization Model'!E$6</f>
        <v>0</v>
      </c>
      <c r="W41" s="4">
        <f>F41*'Optimization Model'!F$6</f>
        <v>0</v>
      </c>
      <c r="X41" s="4">
        <f>G41*'Optimization Model'!G$6</f>
        <v>0</v>
      </c>
      <c r="Y41" s="4">
        <f>H41*'Optimization Model'!H$6</f>
        <v>0</v>
      </c>
      <c r="Z41" s="4">
        <f t="shared" si="1"/>
        <v>8</v>
      </c>
      <c r="AB41" s="3" t="s">
        <v>57</v>
      </c>
      <c r="AC41" s="4">
        <f>C41*'Optimization Model'!C$7</f>
        <v>8</v>
      </c>
      <c r="AD41" s="4">
        <f>D41*'Optimization Model'!D$7</f>
        <v>0</v>
      </c>
      <c r="AE41" s="4">
        <f>E41*'Optimization Model'!E$7</f>
        <v>0</v>
      </c>
      <c r="AF41" s="4">
        <f>F41*'Optimization Model'!F$7</f>
        <v>0</v>
      </c>
      <c r="AG41" s="4">
        <f>G41*'Optimization Model'!G$7</f>
        <v>0</v>
      </c>
      <c r="AH41" s="4">
        <f>H41*'Optimization Model'!H$7</f>
        <v>0</v>
      </c>
      <c r="AI41" s="4">
        <f t="shared" si="2"/>
        <v>8</v>
      </c>
      <c r="AK41" s="3" t="s">
        <v>57</v>
      </c>
      <c r="AL41" s="4">
        <f>C41*'Optimization Model'!C$8</f>
        <v>0</v>
      </c>
      <c r="AM41" s="4">
        <f>D41*'Optimization Model'!D$8</f>
        <v>8</v>
      </c>
      <c r="AN41" s="4">
        <f>E41*'Optimization Model'!E$8</f>
        <v>0</v>
      </c>
      <c r="AO41" s="4">
        <f>F41*'Optimization Model'!F$8</f>
        <v>0</v>
      </c>
      <c r="AP41" s="4">
        <f>G41*'Optimization Model'!G$8</f>
        <v>0</v>
      </c>
      <c r="AQ41" s="4">
        <f>H41*'Optimization Model'!H$8</f>
        <v>6</v>
      </c>
      <c r="AR41" s="4">
        <f t="shared" si="3"/>
        <v>14</v>
      </c>
      <c r="AT41" s="3" t="s">
        <v>57</v>
      </c>
      <c r="AU41" s="4">
        <f>C41*'Optimization Model'!C$9</f>
        <v>8</v>
      </c>
      <c r="AV41" s="4">
        <f>D41*'Optimization Model'!D$9</f>
        <v>0</v>
      </c>
      <c r="AW41" s="4">
        <f>E41*'Optimization Model'!E$9</f>
        <v>0</v>
      </c>
      <c r="AX41" s="4">
        <f>F41*'Optimization Model'!F$9</f>
        <v>7</v>
      </c>
      <c r="AY41" s="4">
        <f>G41*'Optimization Model'!G$9</f>
        <v>0</v>
      </c>
      <c r="AZ41" s="4">
        <f>H41*'Optimization Model'!H$9</f>
        <v>0</v>
      </c>
      <c r="BA41" s="4">
        <f t="shared" si="4"/>
        <v>15</v>
      </c>
      <c r="BC41" s="3" t="s">
        <v>57</v>
      </c>
      <c r="BD41" s="4">
        <f>C41*'Optimization Model'!C$10</f>
        <v>0</v>
      </c>
      <c r="BE41" s="4">
        <f>D41*'Optimization Model'!D$10</f>
        <v>8</v>
      </c>
      <c r="BF41" s="4">
        <f>E41*'Optimization Model'!E$10</f>
        <v>0</v>
      </c>
      <c r="BG41" s="4">
        <f>F41*'Optimization Model'!F$10</f>
        <v>7</v>
      </c>
      <c r="BH41" s="4">
        <f>G41*'Optimization Model'!G$10</f>
        <v>0</v>
      </c>
      <c r="BI41" s="4">
        <f>H41*'Optimization Model'!H$10</f>
        <v>0</v>
      </c>
      <c r="BJ41" s="4">
        <f t="shared" si="5"/>
        <v>15</v>
      </c>
      <c r="BL41" s="3" t="s">
        <v>57</v>
      </c>
      <c r="BM41" s="4">
        <f>C41*'Optimization Model'!C$11</f>
        <v>0</v>
      </c>
      <c r="BN41" s="4">
        <f>D41*'Optimization Model'!D$11</f>
        <v>0</v>
      </c>
      <c r="BO41" s="4">
        <f>E41*'Optimization Model'!E$11</f>
        <v>7</v>
      </c>
      <c r="BP41" s="4">
        <f>F41*'Optimization Model'!F$11</f>
        <v>0</v>
      </c>
      <c r="BQ41" s="4">
        <f>G41*'Optimization Model'!G$11</f>
        <v>7</v>
      </c>
      <c r="BR41" s="4">
        <f>H41*'Optimization Model'!H$11</f>
        <v>0</v>
      </c>
      <c r="BS41" s="4">
        <f t="shared" si="6"/>
        <v>14</v>
      </c>
      <c r="BU41" s="3" t="s">
        <v>57</v>
      </c>
      <c r="BV41" s="4">
        <f>C41*'Optimization Model'!C$12</f>
        <v>0</v>
      </c>
      <c r="BW41" s="4">
        <f>D41*'Optimization Model'!D$12</f>
        <v>0</v>
      </c>
      <c r="BX41" s="4">
        <f>E41*'Optimization Model'!E$12</f>
        <v>0</v>
      </c>
      <c r="BY41" s="4">
        <f>F41*'Optimization Model'!F$12</f>
        <v>0</v>
      </c>
      <c r="BZ41" s="4">
        <f>G41*'Optimization Model'!G$12</f>
        <v>7</v>
      </c>
      <c r="CA41" s="4">
        <f>H41*'Optimization Model'!H$12</f>
        <v>6</v>
      </c>
      <c r="CB41" s="4">
        <f t="shared" si="7"/>
        <v>13</v>
      </c>
      <c r="CD41" s="3" t="s">
        <v>57</v>
      </c>
      <c r="CE41" s="4">
        <f>C41*'Optimization Model'!C$13</f>
        <v>8</v>
      </c>
      <c r="CF41" s="4">
        <f>D41*'Optimization Model'!D$13</f>
        <v>0</v>
      </c>
      <c r="CG41" s="4">
        <f>E41*'Optimization Model'!E$13</f>
        <v>0</v>
      </c>
      <c r="CH41" s="4">
        <f>F41*'Optimization Model'!F$13</f>
        <v>0</v>
      </c>
      <c r="CI41" s="4">
        <f>G41*'Optimization Model'!G$13</f>
        <v>0</v>
      </c>
      <c r="CJ41" s="4">
        <f>H41*'Optimization Model'!H$13</f>
        <v>0</v>
      </c>
      <c r="CK41" s="4">
        <f t="shared" si="8"/>
        <v>8</v>
      </c>
      <c r="CM41" s="3" t="s">
        <v>57</v>
      </c>
      <c r="CN41" s="4">
        <f>C41*'Optimization Model'!C$14</f>
        <v>0</v>
      </c>
      <c r="CO41" s="4">
        <f>D41*'Optimization Model'!D$14</f>
        <v>8</v>
      </c>
      <c r="CP41" s="4">
        <f>E41*'Optimization Model'!E$14</f>
        <v>0</v>
      </c>
      <c r="CQ41" s="4">
        <f>F41*'Optimization Model'!F$14</f>
        <v>0</v>
      </c>
      <c r="CR41" s="4">
        <f>G41*'Optimization Model'!G$14</f>
        <v>0</v>
      </c>
      <c r="CS41" s="4">
        <f>H41*'Optimization Model'!H$14</f>
        <v>0</v>
      </c>
      <c r="CT41" s="4">
        <f t="shared" si="9"/>
        <v>8</v>
      </c>
      <c r="CV41" s="3" t="s">
        <v>57</v>
      </c>
      <c r="CW41" s="4">
        <f>C41*'Optimization Model'!C$15</f>
        <v>0</v>
      </c>
      <c r="CX41" s="4">
        <f>D41*'Optimization Model'!D$15</f>
        <v>0</v>
      </c>
      <c r="CY41" s="4">
        <f>E41*'Optimization Model'!E$15</f>
        <v>0</v>
      </c>
      <c r="CZ41" s="4">
        <f>F41*'Optimization Model'!F$15</f>
        <v>7</v>
      </c>
      <c r="DA41" s="4">
        <f>G41*'Optimization Model'!G$15</f>
        <v>7</v>
      </c>
      <c r="DB41" s="4">
        <f>H41*'Optimization Model'!H$15</f>
        <v>0</v>
      </c>
      <c r="DC41" s="4">
        <f t="shared" si="10"/>
        <v>14</v>
      </c>
      <c r="DE41" s="3" t="s">
        <v>57</v>
      </c>
      <c r="DF41" s="4">
        <f>C41*'Optimization Model'!C$16</f>
        <v>0</v>
      </c>
      <c r="DG41" s="4">
        <f>D41*'Optimization Model'!D$16</f>
        <v>0</v>
      </c>
      <c r="DH41" s="4">
        <f>E41*'Optimization Model'!E$16</f>
        <v>7</v>
      </c>
      <c r="DI41" s="4">
        <f>F41*'Optimization Model'!F$16</f>
        <v>0</v>
      </c>
      <c r="DJ41" s="4">
        <f>G41*'Optimization Model'!G$16</f>
        <v>0</v>
      </c>
      <c r="DK41" s="4">
        <f>H41*'Optimization Model'!H$16</f>
        <v>0</v>
      </c>
      <c r="DL41" s="4">
        <f t="shared" si="11"/>
        <v>7</v>
      </c>
      <c r="DN41" s="3" t="s">
        <v>57</v>
      </c>
      <c r="DO41" s="4">
        <f>C41*'Optimization Model'!C$17</f>
        <v>0</v>
      </c>
      <c r="DP41" s="4">
        <f>D41*'Optimization Model'!D$17</f>
        <v>0</v>
      </c>
      <c r="DQ41" s="4">
        <f>E41*'Optimization Model'!E$17</f>
        <v>7</v>
      </c>
      <c r="DR41" s="4">
        <f>F41*'Optimization Model'!F$17</f>
        <v>0</v>
      </c>
      <c r="DS41" s="4">
        <f>G41*'Optimization Model'!G$17</f>
        <v>7</v>
      </c>
      <c r="DT41" s="4">
        <f>H41*'Optimization Model'!H$17</f>
        <v>0</v>
      </c>
      <c r="DU41" s="4">
        <f t="shared" si="12"/>
        <v>14</v>
      </c>
      <c r="DW41" s="3" t="s">
        <v>57</v>
      </c>
      <c r="DX41" s="4">
        <f>C41*'Optimization Model'!C$18</f>
        <v>0</v>
      </c>
      <c r="DY41" s="4">
        <f>D41*'Optimization Model'!D$18</f>
        <v>0</v>
      </c>
      <c r="DZ41" s="4">
        <f>E41*'Optimization Model'!E$18</f>
        <v>7</v>
      </c>
      <c r="EA41" s="4">
        <f>F41*'Optimization Model'!F$18</f>
        <v>7</v>
      </c>
      <c r="EB41" s="4">
        <f>G41*'Optimization Model'!G$18</f>
        <v>0</v>
      </c>
      <c r="EC41" s="4">
        <f>H41*'Optimization Model'!H$18</f>
        <v>0</v>
      </c>
      <c r="ED41" s="4">
        <f t="shared" si="13"/>
        <v>14</v>
      </c>
      <c r="EF41" s="3" t="s">
        <v>57</v>
      </c>
      <c r="EG41" s="4">
        <f>C41*'Optimization Model'!C$19</f>
        <v>0</v>
      </c>
      <c r="EH41" s="4">
        <f>D41*'Optimization Model'!D$19</f>
        <v>0</v>
      </c>
      <c r="EI41" s="4">
        <f>E41*'Optimization Model'!E$19</f>
        <v>0</v>
      </c>
      <c r="EJ41" s="4">
        <f>F41*'Optimization Model'!F$19</f>
        <v>0</v>
      </c>
      <c r="EK41" s="4">
        <f>G41*'Optimization Model'!G$19</f>
        <v>0</v>
      </c>
      <c r="EL41" s="4">
        <f>H41*'Optimization Model'!H$19</f>
        <v>6</v>
      </c>
      <c r="EM41" s="4">
        <f t="shared" si="14"/>
        <v>6</v>
      </c>
      <c r="EO41" s="3" t="s">
        <v>57</v>
      </c>
      <c r="EP41" s="4">
        <f>C41*'Optimization Model'!C$20</f>
        <v>0</v>
      </c>
      <c r="EQ41" s="4">
        <f>D41*'Optimization Model'!D$20</f>
        <v>0</v>
      </c>
      <c r="ER41" s="4">
        <f>E41*'Optimization Model'!E$20</f>
        <v>0</v>
      </c>
      <c r="ES41" s="4">
        <f>F41*'Optimization Model'!F$20</f>
        <v>0</v>
      </c>
      <c r="ET41" s="4">
        <f>G41*'Optimization Model'!G$20</f>
        <v>0</v>
      </c>
      <c r="EU41" s="4">
        <f>H41*'Optimization Model'!H$20</f>
        <v>6</v>
      </c>
      <c r="EV41" s="4">
        <f t="shared" si="15"/>
        <v>6</v>
      </c>
    </row>
    <row r="42" spans="2:152" x14ac:dyDescent="0.35">
      <c r="B42" s="3" t="s">
        <v>59</v>
      </c>
      <c r="C42" s="4">
        <f>'Data- Refined'!U42</f>
        <v>18</v>
      </c>
      <c r="D42" s="4">
        <f>'Data- Refined'!V42</f>
        <v>16</v>
      </c>
      <c r="E42" s="4">
        <f>'Data- Refined'!W42</f>
        <v>12</v>
      </c>
      <c r="F42" s="4">
        <f>'Data- Refined'!X42</f>
        <v>12</v>
      </c>
      <c r="G42" s="4">
        <f>'Data- Refined'!Y42</f>
        <v>9</v>
      </c>
      <c r="H42" s="4">
        <f>'Data- Refined'!Z42</f>
        <v>10</v>
      </c>
      <c r="J42" s="3" t="s">
        <v>59</v>
      </c>
      <c r="K42" s="4">
        <f>C42*'Optimization Model'!C$5</f>
        <v>18</v>
      </c>
      <c r="L42" s="4">
        <f>D42*'Optimization Model'!D$5</f>
        <v>0</v>
      </c>
      <c r="M42" s="4">
        <f>E42*'Optimization Model'!E$5</f>
        <v>0</v>
      </c>
      <c r="N42" s="4">
        <f>F42*'Optimization Model'!F$5</f>
        <v>0</v>
      </c>
      <c r="O42" s="4">
        <f>G42*'Optimization Model'!G$5</f>
        <v>0</v>
      </c>
      <c r="P42" s="4">
        <f>H42*'Optimization Model'!H$5</f>
        <v>0</v>
      </c>
      <c r="Q42" s="4">
        <f t="shared" si="0"/>
        <v>18</v>
      </c>
      <c r="R42" s="8"/>
      <c r="S42" s="3" t="s">
        <v>59</v>
      </c>
      <c r="T42" s="4">
        <f>C42*'Optimization Model'!C$6</f>
        <v>0</v>
      </c>
      <c r="U42" s="4">
        <f>D42*'Optimization Model'!D$6</f>
        <v>16</v>
      </c>
      <c r="V42" s="4">
        <f>E42*'Optimization Model'!E$6</f>
        <v>0</v>
      </c>
      <c r="W42" s="4">
        <f>F42*'Optimization Model'!F$6</f>
        <v>0</v>
      </c>
      <c r="X42" s="4">
        <f>G42*'Optimization Model'!G$6</f>
        <v>0</v>
      </c>
      <c r="Y42" s="4">
        <f>H42*'Optimization Model'!H$6</f>
        <v>0</v>
      </c>
      <c r="Z42" s="4">
        <f t="shared" si="1"/>
        <v>16</v>
      </c>
      <c r="AB42" s="3" t="s">
        <v>59</v>
      </c>
      <c r="AC42" s="4">
        <f>C42*'Optimization Model'!C$7</f>
        <v>18</v>
      </c>
      <c r="AD42" s="4">
        <f>D42*'Optimization Model'!D$7</f>
        <v>0</v>
      </c>
      <c r="AE42" s="4">
        <f>E42*'Optimization Model'!E$7</f>
        <v>0</v>
      </c>
      <c r="AF42" s="4">
        <f>F42*'Optimization Model'!F$7</f>
        <v>0</v>
      </c>
      <c r="AG42" s="4">
        <f>G42*'Optimization Model'!G$7</f>
        <v>0</v>
      </c>
      <c r="AH42" s="4">
        <f>H42*'Optimization Model'!H$7</f>
        <v>0</v>
      </c>
      <c r="AI42" s="4">
        <f t="shared" si="2"/>
        <v>18</v>
      </c>
      <c r="AK42" s="3" t="s">
        <v>59</v>
      </c>
      <c r="AL42" s="4">
        <f>C42*'Optimization Model'!C$8</f>
        <v>0</v>
      </c>
      <c r="AM42" s="4">
        <f>D42*'Optimization Model'!D$8</f>
        <v>16</v>
      </c>
      <c r="AN42" s="4">
        <f>E42*'Optimization Model'!E$8</f>
        <v>0</v>
      </c>
      <c r="AO42" s="4">
        <f>F42*'Optimization Model'!F$8</f>
        <v>0</v>
      </c>
      <c r="AP42" s="4">
        <f>G42*'Optimization Model'!G$8</f>
        <v>0</v>
      </c>
      <c r="AQ42" s="4">
        <f>H42*'Optimization Model'!H$8</f>
        <v>10</v>
      </c>
      <c r="AR42" s="4">
        <f t="shared" si="3"/>
        <v>26</v>
      </c>
      <c r="AT42" s="3" t="s">
        <v>59</v>
      </c>
      <c r="AU42" s="4">
        <f>C42*'Optimization Model'!C$9</f>
        <v>18</v>
      </c>
      <c r="AV42" s="4">
        <f>D42*'Optimization Model'!D$9</f>
        <v>0</v>
      </c>
      <c r="AW42" s="4">
        <f>E42*'Optimization Model'!E$9</f>
        <v>0</v>
      </c>
      <c r="AX42" s="4">
        <f>F42*'Optimization Model'!F$9</f>
        <v>12</v>
      </c>
      <c r="AY42" s="4">
        <f>G42*'Optimization Model'!G$9</f>
        <v>0</v>
      </c>
      <c r="AZ42" s="4">
        <f>H42*'Optimization Model'!H$9</f>
        <v>0</v>
      </c>
      <c r="BA42" s="4">
        <f t="shared" si="4"/>
        <v>30</v>
      </c>
      <c r="BC42" s="3" t="s">
        <v>59</v>
      </c>
      <c r="BD42" s="4">
        <f>C42*'Optimization Model'!C$10</f>
        <v>0</v>
      </c>
      <c r="BE42" s="4">
        <f>D42*'Optimization Model'!D$10</f>
        <v>16</v>
      </c>
      <c r="BF42" s="4">
        <f>E42*'Optimization Model'!E$10</f>
        <v>0</v>
      </c>
      <c r="BG42" s="4">
        <f>F42*'Optimization Model'!F$10</f>
        <v>12</v>
      </c>
      <c r="BH42" s="4">
        <f>G42*'Optimization Model'!G$10</f>
        <v>0</v>
      </c>
      <c r="BI42" s="4">
        <f>H42*'Optimization Model'!H$10</f>
        <v>0</v>
      </c>
      <c r="BJ42" s="4">
        <f t="shared" si="5"/>
        <v>28</v>
      </c>
      <c r="BL42" s="3" t="s">
        <v>59</v>
      </c>
      <c r="BM42" s="4">
        <f>C42*'Optimization Model'!C$11</f>
        <v>0</v>
      </c>
      <c r="BN42" s="4">
        <f>D42*'Optimization Model'!D$11</f>
        <v>0</v>
      </c>
      <c r="BO42" s="4">
        <f>E42*'Optimization Model'!E$11</f>
        <v>12</v>
      </c>
      <c r="BP42" s="4">
        <f>F42*'Optimization Model'!F$11</f>
        <v>0</v>
      </c>
      <c r="BQ42" s="4">
        <f>G42*'Optimization Model'!G$11</f>
        <v>9</v>
      </c>
      <c r="BR42" s="4">
        <f>H42*'Optimization Model'!H$11</f>
        <v>0</v>
      </c>
      <c r="BS42" s="4">
        <f t="shared" si="6"/>
        <v>21</v>
      </c>
      <c r="BU42" s="3" t="s">
        <v>59</v>
      </c>
      <c r="BV42" s="4">
        <f>C42*'Optimization Model'!C$12</f>
        <v>0</v>
      </c>
      <c r="BW42" s="4">
        <f>D42*'Optimization Model'!D$12</f>
        <v>0</v>
      </c>
      <c r="BX42" s="4">
        <f>E42*'Optimization Model'!E$12</f>
        <v>0</v>
      </c>
      <c r="BY42" s="4">
        <f>F42*'Optimization Model'!F$12</f>
        <v>0</v>
      </c>
      <c r="BZ42" s="4">
        <f>G42*'Optimization Model'!G$12</f>
        <v>9</v>
      </c>
      <c r="CA42" s="4">
        <f>H42*'Optimization Model'!H$12</f>
        <v>10</v>
      </c>
      <c r="CB42" s="4">
        <f t="shared" si="7"/>
        <v>19</v>
      </c>
      <c r="CD42" s="3" t="s">
        <v>59</v>
      </c>
      <c r="CE42" s="4">
        <f>C42*'Optimization Model'!C$13</f>
        <v>18</v>
      </c>
      <c r="CF42" s="4">
        <f>D42*'Optimization Model'!D$13</f>
        <v>0</v>
      </c>
      <c r="CG42" s="4">
        <f>E42*'Optimization Model'!E$13</f>
        <v>0</v>
      </c>
      <c r="CH42" s="4">
        <f>F42*'Optimization Model'!F$13</f>
        <v>0</v>
      </c>
      <c r="CI42" s="4">
        <f>G42*'Optimization Model'!G$13</f>
        <v>0</v>
      </c>
      <c r="CJ42" s="4">
        <f>H42*'Optimization Model'!H$13</f>
        <v>0</v>
      </c>
      <c r="CK42" s="4">
        <f t="shared" si="8"/>
        <v>18</v>
      </c>
      <c r="CM42" s="3" t="s">
        <v>59</v>
      </c>
      <c r="CN42" s="4">
        <f>C42*'Optimization Model'!C$14</f>
        <v>0</v>
      </c>
      <c r="CO42" s="4">
        <f>D42*'Optimization Model'!D$14</f>
        <v>16</v>
      </c>
      <c r="CP42" s="4">
        <f>E42*'Optimization Model'!E$14</f>
        <v>0</v>
      </c>
      <c r="CQ42" s="4">
        <f>F42*'Optimization Model'!F$14</f>
        <v>0</v>
      </c>
      <c r="CR42" s="4">
        <f>G42*'Optimization Model'!G$14</f>
        <v>0</v>
      </c>
      <c r="CS42" s="4">
        <f>H42*'Optimization Model'!H$14</f>
        <v>0</v>
      </c>
      <c r="CT42" s="4">
        <f t="shared" si="9"/>
        <v>16</v>
      </c>
      <c r="CV42" s="3" t="s">
        <v>59</v>
      </c>
      <c r="CW42" s="4">
        <f>C42*'Optimization Model'!C$15</f>
        <v>0</v>
      </c>
      <c r="CX42" s="4">
        <f>D42*'Optimization Model'!D$15</f>
        <v>0</v>
      </c>
      <c r="CY42" s="4">
        <f>E42*'Optimization Model'!E$15</f>
        <v>0</v>
      </c>
      <c r="CZ42" s="4">
        <f>F42*'Optimization Model'!F$15</f>
        <v>12</v>
      </c>
      <c r="DA42" s="4">
        <f>G42*'Optimization Model'!G$15</f>
        <v>9</v>
      </c>
      <c r="DB42" s="4">
        <f>H42*'Optimization Model'!H$15</f>
        <v>0</v>
      </c>
      <c r="DC42" s="4">
        <f t="shared" si="10"/>
        <v>21</v>
      </c>
      <c r="DE42" s="3" t="s">
        <v>59</v>
      </c>
      <c r="DF42" s="4">
        <f>C42*'Optimization Model'!C$16</f>
        <v>0</v>
      </c>
      <c r="DG42" s="4">
        <f>D42*'Optimization Model'!D$16</f>
        <v>0</v>
      </c>
      <c r="DH42" s="4">
        <f>E42*'Optimization Model'!E$16</f>
        <v>12</v>
      </c>
      <c r="DI42" s="4">
        <f>F42*'Optimization Model'!F$16</f>
        <v>0</v>
      </c>
      <c r="DJ42" s="4">
        <f>G42*'Optimization Model'!G$16</f>
        <v>0</v>
      </c>
      <c r="DK42" s="4">
        <f>H42*'Optimization Model'!H$16</f>
        <v>0</v>
      </c>
      <c r="DL42" s="4">
        <f t="shared" si="11"/>
        <v>12</v>
      </c>
      <c r="DN42" s="3" t="s">
        <v>59</v>
      </c>
      <c r="DO42" s="4">
        <f>C42*'Optimization Model'!C$17</f>
        <v>0</v>
      </c>
      <c r="DP42" s="4">
        <f>D42*'Optimization Model'!D$17</f>
        <v>0</v>
      </c>
      <c r="DQ42" s="4">
        <f>E42*'Optimization Model'!E$17</f>
        <v>12</v>
      </c>
      <c r="DR42" s="4">
        <f>F42*'Optimization Model'!F$17</f>
        <v>0</v>
      </c>
      <c r="DS42" s="4">
        <f>G42*'Optimization Model'!G$17</f>
        <v>9</v>
      </c>
      <c r="DT42" s="4">
        <f>H42*'Optimization Model'!H$17</f>
        <v>0</v>
      </c>
      <c r="DU42" s="4">
        <f t="shared" si="12"/>
        <v>21</v>
      </c>
      <c r="DW42" s="3" t="s">
        <v>59</v>
      </c>
      <c r="DX42" s="4">
        <f>C42*'Optimization Model'!C$18</f>
        <v>0</v>
      </c>
      <c r="DY42" s="4">
        <f>D42*'Optimization Model'!D$18</f>
        <v>0</v>
      </c>
      <c r="DZ42" s="4">
        <f>E42*'Optimization Model'!E$18</f>
        <v>12</v>
      </c>
      <c r="EA42" s="4">
        <f>F42*'Optimization Model'!F$18</f>
        <v>12</v>
      </c>
      <c r="EB42" s="4">
        <f>G42*'Optimization Model'!G$18</f>
        <v>0</v>
      </c>
      <c r="EC42" s="4">
        <f>H42*'Optimization Model'!H$18</f>
        <v>0</v>
      </c>
      <c r="ED42" s="4">
        <f t="shared" si="13"/>
        <v>24</v>
      </c>
      <c r="EF42" s="3" t="s">
        <v>59</v>
      </c>
      <c r="EG42" s="4">
        <f>C42*'Optimization Model'!C$19</f>
        <v>0</v>
      </c>
      <c r="EH42" s="4">
        <f>D42*'Optimization Model'!D$19</f>
        <v>0</v>
      </c>
      <c r="EI42" s="4">
        <f>E42*'Optimization Model'!E$19</f>
        <v>0</v>
      </c>
      <c r="EJ42" s="4">
        <f>F42*'Optimization Model'!F$19</f>
        <v>0</v>
      </c>
      <c r="EK42" s="4">
        <f>G42*'Optimization Model'!G$19</f>
        <v>0</v>
      </c>
      <c r="EL42" s="4">
        <f>H42*'Optimization Model'!H$19</f>
        <v>10</v>
      </c>
      <c r="EM42" s="4">
        <f t="shared" si="14"/>
        <v>10</v>
      </c>
      <c r="EO42" s="3" t="s">
        <v>59</v>
      </c>
      <c r="EP42" s="4">
        <f>C42*'Optimization Model'!C$20</f>
        <v>0</v>
      </c>
      <c r="EQ42" s="4">
        <f>D42*'Optimization Model'!D$20</f>
        <v>0</v>
      </c>
      <c r="ER42" s="4">
        <f>E42*'Optimization Model'!E$20</f>
        <v>0</v>
      </c>
      <c r="ES42" s="4">
        <f>F42*'Optimization Model'!F$20</f>
        <v>0</v>
      </c>
      <c r="ET42" s="4">
        <f>G42*'Optimization Model'!G$20</f>
        <v>0</v>
      </c>
      <c r="EU42" s="4">
        <f>H42*'Optimization Model'!H$20</f>
        <v>10</v>
      </c>
      <c r="EV42" s="4">
        <f t="shared" si="15"/>
        <v>10</v>
      </c>
    </row>
    <row r="43" spans="2:152" x14ac:dyDescent="0.35">
      <c r="B43" s="3" t="s">
        <v>58</v>
      </c>
      <c r="C43" s="95">
        <f>'Data- Refined'!U43</f>
        <v>0</v>
      </c>
      <c r="D43" s="95">
        <f>'Data- Refined'!V43</f>
        <v>0</v>
      </c>
      <c r="E43" s="95">
        <f>'Data- Refined'!W43</f>
        <v>0</v>
      </c>
      <c r="F43" s="95">
        <f>'Data- Refined'!X43</f>
        <v>0</v>
      </c>
      <c r="G43" s="95">
        <f>'Data- Refined'!Y43</f>
        <v>0</v>
      </c>
      <c r="H43" s="95">
        <f>'Data- Refined'!Z43</f>
        <v>0</v>
      </c>
      <c r="J43" s="3" t="s">
        <v>58</v>
      </c>
      <c r="K43" s="4">
        <f>C43*'Optimization Model'!C$5</f>
        <v>0</v>
      </c>
      <c r="L43" s="4">
        <f>D43*'Optimization Model'!D$5</f>
        <v>0</v>
      </c>
      <c r="M43" s="4">
        <f>E43*'Optimization Model'!E$5</f>
        <v>0</v>
      </c>
      <c r="N43" s="4">
        <f>F43*'Optimization Model'!F$5</f>
        <v>0</v>
      </c>
      <c r="O43" s="4">
        <f>G43*'Optimization Model'!G$5</f>
        <v>0</v>
      </c>
      <c r="P43" s="4">
        <f>H43*'Optimization Model'!H$5</f>
        <v>0</v>
      </c>
      <c r="Q43" s="4">
        <f t="shared" si="0"/>
        <v>0</v>
      </c>
      <c r="R43" s="8"/>
      <c r="S43" s="3" t="s">
        <v>58</v>
      </c>
      <c r="T43" s="4">
        <f>C43*'Optimization Model'!C$6</f>
        <v>0</v>
      </c>
      <c r="U43" s="4">
        <f>D43*'Optimization Model'!D$6</f>
        <v>0</v>
      </c>
      <c r="V43" s="4">
        <f>E43*'Optimization Model'!E$6</f>
        <v>0</v>
      </c>
      <c r="W43" s="4">
        <f>F43*'Optimization Model'!F$6</f>
        <v>0</v>
      </c>
      <c r="X43" s="4">
        <f>G43*'Optimization Model'!G$6</f>
        <v>0</v>
      </c>
      <c r="Y43" s="4">
        <f>H43*'Optimization Model'!H$6</f>
        <v>0</v>
      </c>
      <c r="Z43" s="4">
        <f t="shared" si="1"/>
        <v>0</v>
      </c>
      <c r="AB43" s="3" t="s">
        <v>58</v>
      </c>
      <c r="AC43" s="4">
        <f>C43*'Optimization Model'!C$7</f>
        <v>0</v>
      </c>
      <c r="AD43" s="4">
        <f>D43*'Optimization Model'!D$7</f>
        <v>0</v>
      </c>
      <c r="AE43" s="4">
        <f>E43*'Optimization Model'!E$7</f>
        <v>0</v>
      </c>
      <c r="AF43" s="4">
        <f>F43*'Optimization Model'!F$7</f>
        <v>0</v>
      </c>
      <c r="AG43" s="4">
        <f>G43*'Optimization Model'!G$7</f>
        <v>0</v>
      </c>
      <c r="AH43" s="4">
        <f>H43*'Optimization Model'!H$7</f>
        <v>0</v>
      </c>
      <c r="AI43" s="4">
        <f t="shared" si="2"/>
        <v>0</v>
      </c>
      <c r="AK43" s="3" t="s">
        <v>58</v>
      </c>
      <c r="AL43" s="4">
        <f>C43*'Optimization Model'!C$8</f>
        <v>0</v>
      </c>
      <c r="AM43" s="4">
        <f>D43*'Optimization Model'!D$8</f>
        <v>0</v>
      </c>
      <c r="AN43" s="4">
        <f>E43*'Optimization Model'!E$8</f>
        <v>0</v>
      </c>
      <c r="AO43" s="4">
        <f>F43*'Optimization Model'!F$8</f>
        <v>0</v>
      </c>
      <c r="AP43" s="4">
        <f>G43*'Optimization Model'!G$8</f>
        <v>0</v>
      </c>
      <c r="AQ43" s="4">
        <f>H43*'Optimization Model'!H$8</f>
        <v>0</v>
      </c>
      <c r="AR43" s="4">
        <f t="shared" si="3"/>
        <v>0</v>
      </c>
      <c r="AT43" s="3" t="s">
        <v>58</v>
      </c>
      <c r="AU43" s="4">
        <f>C43*'Optimization Model'!C$9</f>
        <v>0</v>
      </c>
      <c r="AV43" s="4">
        <f>D43*'Optimization Model'!D$9</f>
        <v>0</v>
      </c>
      <c r="AW43" s="4">
        <f>E43*'Optimization Model'!E$9</f>
        <v>0</v>
      </c>
      <c r="AX43" s="4">
        <f>F43*'Optimization Model'!F$9</f>
        <v>0</v>
      </c>
      <c r="AY43" s="4">
        <f>G43*'Optimization Model'!G$9</f>
        <v>0</v>
      </c>
      <c r="AZ43" s="4">
        <f>H43*'Optimization Model'!H$9</f>
        <v>0</v>
      </c>
      <c r="BA43" s="4">
        <f t="shared" si="4"/>
        <v>0</v>
      </c>
      <c r="BC43" s="3" t="s">
        <v>58</v>
      </c>
      <c r="BD43" s="4">
        <f>C43*'Optimization Model'!C$10</f>
        <v>0</v>
      </c>
      <c r="BE43" s="4">
        <f>D43*'Optimization Model'!D$10</f>
        <v>0</v>
      </c>
      <c r="BF43" s="4">
        <f>E43*'Optimization Model'!E$10</f>
        <v>0</v>
      </c>
      <c r="BG43" s="4">
        <f>F43*'Optimization Model'!F$10</f>
        <v>0</v>
      </c>
      <c r="BH43" s="4">
        <f>G43*'Optimization Model'!G$10</f>
        <v>0</v>
      </c>
      <c r="BI43" s="4">
        <f>H43*'Optimization Model'!H$10</f>
        <v>0</v>
      </c>
      <c r="BJ43" s="4">
        <f t="shared" si="5"/>
        <v>0</v>
      </c>
      <c r="BL43" s="3" t="s">
        <v>58</v>
      </c>
      <c r="BM43" s="4">
        <f>C43*'Optimization Model'!C$11</f>
        <v>0</v>
      </c>
      <c r="BN43" s="4">
        <f>D43*'Optimization Model'!D$11</f>
        <v>0</v>
      </c>
      <c r="BO43" s="4">
        <f>E43*'Optimization Model'!E$11</f>
        <v>0</v>
      </c>
      <c r="BP43" s="4">
        <f>F43*'Optimization Model'!F$11</f>
        <v>0</v>
      </c>
      <c r="BQ43" s="4">
        <f>G43*'Optimization Model'!G$11</f>
        <v>0</v>
      </c>
      <c r="BR43" s="4">
        <f>H43*'Optimization Model'!H$11</f>
        <v>0</v>
      </c>
      <c r="BS43" s="4">
        <f t="shared" si="6"/>
        <v>0</v>
      </c>
      <c r="BU43" s="3" t="s">
        <v>58</v>
      </c>
      <c r="BV43" s="4">
        <f>C43*'Optimization Model'!C$12</f>
        <v>0</v>
      </c>
      <c r="BW43" s="4">
        <f>D43*'Optimization Model'!D$12</f>
        <v>0</v>
      </c>
      <c r="BX43" s="4">
        <f>E43*'Optimization Model'!E$12</f>
        <v>0</v>
      </c>
      <c r="BY43" s="4">
        <f>F43*'Optimization Model'!F$12</f>
        <v>0</v>
      </c>
      <c r="BZ43" s="4">
        <f>G43*'Optimization Model'!G$12</f>
        <v>0</v>
      </c>
      <c r="CA43" s="4">
        <f>H43*'Optimization Model'!H$12</f>
        <v>0</v>
      </c>
      <c r="CB43" s="4">
        <f t="shared" si="7"/>
        <v>0</v>
      </c>
      <c r="CD43" s="3" t="s">
        <v>58</v>
      </c>
      <c r="CE43" s="4">
        <f>C43*'Optimization Model'!C$13</f>
        <v>0</v>
      </c>
      <c r="CF43" s="4">
        <f>D43*'Optimization Model'!D$13</f>
        <v>0</v>
      </c>
      <c r="CG43" s="4">
        <f>E43*'Optimization Model'!E$13</f>
        <v>0</v>
      </c>
      <c r="CH43" s="4">
        <f>F43*'Optimization Model'!F$13</f>
        <v>0</v>
      </c>
      <c r="CI43" s="4">
        <f>G43*'Optimization Model'!G$13</f>
        <v>0</v>
      </c>
      <c r="CJ43" s="4">
        <f>H43*'Optimization Model'!H$13</f>
        <v>0</v>
      </c>
      <c r="CK43" s="4">
        <f t="shared" si="8"/>
        <v>0</v>
      </c>
      <c r="CM43" s="3" t="s">
        <v>58</v>
      </c>
      <c r="CN43" s="4">
        <f>C43*'Optimization Model'!C$14</f>
        <v>0</v>
      </c>
      <c r="CO43" s="4">
        <f>D43*'Optimization Model'!D$14</f>
        <v>0</v>
      </c>
      <c r="CP43" s="4">
        <f>E43*'Optimization Model'!E$14</f>
        <v>0</v>
      </c>
      <c r="CQ43" s="4">
        <f>F43*'Optimization Model'!F$14</f>
        <v>0</v>
      </c>
      <c r="CR43" s="4">
        <f>G43*'Optimization Model'!G$14</f>
        <v>0</v>
      </c>
      <c r="CS43" s="4">
        <f>H43*'Optimization Model'!H$14</f>
        <v>0</v>
      </c>
      <c r="CT43" s="4">
        <f t="shared" si="9"/>
        <v>0</v>
      </c>
      <c r="CV43" s="3" t="s">
        <v>58</v>
      </c>
      <c r="CW43" s="4">
        <f>C43*'Optimization Model'!C$15</f>
        <v>0</v>
      </c>
      <c r="CX43" s="4">
        <f>D43*'Optimization Model'!D$15</f>
        <v>0</v>
      </c>
      <c r="CY43" s="4">
        <f>E43*'Optimization Model'!E$15</f>
        <v>0</v>
      </c>
      <c r="CZ43" s="4">
        <f>F43*'Optimization Model'!F$15</f>
        <v>0</v>
      </c>
      <c r="DA43" s="4">
        <f>G43*'Optimization Model'!G$15</f>
        <v>0</v>
      </c>
      <c r="DB43" s="4">
        <f>H43*'Optimization Model'!H$15</f>
        <v>0</v>
      </c>
      <c r="DC43" s="4">
        <f t="shared" si="10"/>
        <v>0</v>
      </c>
      <c r="DE43" s="3" t="s">
        <v>58</v>
      </c>
      <c r="DF43" s="4">
        <f>C43*'Optimization Model'!C$16</f>
        <v>0</v>
      </c>
      <c r="DG43" s="4">
        <f>D43*'Optimization Model'!D$16</f>
        <v>0</v>
      </c>
      <c r="DH43" s="4">
        <f>E43*'Optimization Model'!E$16</f>
        <v>0</v>
      </c>
      <c r="DI43" s="4">
        <f>F43*'Optimization Model'!F$16</f>
        <v>0</v>
      </c>
      <c r="DJ43" s="4">
        <f>G43*'Optimization Model'!G$16</f>
        <v>0</v>
      </c>
      <c r="DK43" s="4">
        <f>H43*'Optimization Model'!H$16</f>
        <v>0</v>
      </c>
      <c r="DL43" s="4">
        <f t="shared" si="11"/>
        <v>0</v>
      </c>
      <c r="DN43" s="3" t="s">
        <v>58</v>
      </c>
      <c r="DO43" s="4">
        <f>C43*'Optimization Model'!C$17</f>
        <v>0</v>
      </c>
      <c r="DP43" s="4">
        <f>D43*'Optimization Model'!D$17</f>
        <v>0</v>
      </c>
      <c r="DQ43" s="4">
        <f>E43*'Optimization Model'!E$17</f>
        <v>0</v>
      </c>
      <c r="DR43" s="4">
        <f>F43*'Optimization Model'!F$17</f>
        <v>0</v>
      </c>
      <c r="DS43" s="4">
        <f>G43*'Optimization Model'!G$17</f>
        <v>0</v>
      </c>
      <c r="DT43" s="4">
        <f>H43*'Optimization Model'!H$17</f>
        <v>0</v>
      </c>
      <c r="DU43" s="4">
        <f t="shared" si="12"/>
        <v>0</v>
      </c>
      <c r="DW43" s="3" t="s">
        <v>58</v>
      </c>
      <c r="DX43" s="4">
        <f>C43*'Optimization Model'!C$18</f>
        <v>0</v>
      </c>
      <c r="DY43" s="4">
        <f>D43*'Optimization Model'!D$18</f>
        <v>0</v>
      </c>
      <c r="DZ43" s="4">
        <f>E43*'Optimization Model'!E$18</f>
        <v>0</v>
      </c>
      <c r="EA43" s="4">
        <f>F43*'Optimization Model'!F$18</f>
        <v>0</v>
      </c>
      <c r="EB43" s="4">
        <f>G43*'Optimization Model'!G$18</f>
        <v>0</v>
      </c>
      <c r="EC43" s="4">
        <f>H43*'Optimization Model'!H$18</f>
        <v>0</v>
      </c>
      <c r="ED43" s="4">
        <f t="shared" si="13"/>
        <v>0</v>
      </c>
      <c r="EF43" s="3" t="s">
        <v>58</v>
      </c>
      <c r="EG43" s="4">
        <f>C43*'Optimization Model'!C$19</f>
        <v>0</v>
      </c>
      <c r="EH43" s="4">
        <f>D43*'Optimization Model'!D$19</f>
        <v>0</v>
      </c>
      <c r="EI43" s="4">
        <f>E43*'Optimization Model'!E$19</f>
        <v>0</v>
      </c>
      <c r="EJ43" s="4">
        <f>F43*'Optimization Model'!F$19</f>
        <v>0</v>
      </c>
      <c r="EK43" s="4">
        <f>G43*'Optimization Model'!G$19</f>
        <v>0</v>
      </c>
      <c r="EL43" s="4">
        <f>H43*'Optimization Model'!H$19</f>
        <v>0</v>
      </c>
      <c r="EM43" s="4">
        <f t="shared" si="14"/>
        <v>0</v>
      </c>
      <c r="EO43" s="3" t="s">
        <v>58</v>
      </c>
      <c r="EP43" s="4">
        <f>C43*'Optimization Model'!C$20</f>
        <v>0</v>
      </c>
      <c r="EQ43" s="4">
        <f>D43*'Optimization Model'!D$20</f>
        <v>0</v>
      </c>
      <c r="ER43" s="4">
        <f>E43*'Optimization Model'!E$20</f>
        <v>0</v>
      </c>
      <c r="ES43" s="4">
        <f>F43*'Optimization Model'!F$20</f>
        <v>0</v>
      </c>
      <c r="ET43" s="4">
        <f>G43*'Optimization Model'!G$20</f>
        <v>0</v>
      </c>
      <c r="EU43" s="4">
        <f>H43*'Optimization Model'!H$20</f>
        <v>0</v>
      </c>
      <c r="EV43" s="4">
        <f t="shared" si="15"/>
        <v>0</v>
      </c>
    </row>
    <row r="44" spans="2:152" x14ac:dyDescent="0.35">
      <c r="B44" s="3" t="s">
        <v>60</v>
      </c>
      <c r="C44" s="4">
        <f>'Data- Refined'!U44</f>
        <v>3</v>
      </c>
      <c r="D44" s="4">
        <f>'Data- Refined'!V44</f>
        <v>6</v>
      </c>
      <c r="E44" s="4">
        <f>'Data- Refined'!W44</f>
        <v>3</v>
      </c>
      <c r="F44" s="4">
        <f>'Data- Refined'!X44</f>
        <v>2</v>
      </c>
      <c r="G44" s="4">
        <f>'Data- Refined'!Y44</f>
        <v>2</v>
      </c>
      <c r="H44" s="4">
        <f>'Data- Refined'!Z44</f>
        <v>1</v>
      </c>
      <c r="J44" s="3" t="s">
        <v>60</v>
      </c>
      <c r="K44" s="4">
        <f>C44*'Optimization Model'!C$5</f>
        <v>3</v>
      </c>
      <c r="L44" s="4">
        <f>D44*'Optimization Model'!D$5</f>
        <v>0</v>
      </c>
      <c r="M44" s="4">
        <f>E44*'Optimization Model'!E$5</f>
        <v>0</v>
      </c>
      <c r="N44" s="4">
        <f>F44*'Optimization Model'!F$5</f>
        <v>0</v>
      </c>
      <c r="O44" s="4">
        <f>G44*'Optimization Model'!G$5</f>
        <v>0</v>
      </c>
      <c r="P44" s="4">
        <f>H44*'Optimization Model'!H$5</f>
        <v>0</v>
      </c>
      <c r="Q44" s="4">
        <f t="shared" si="0"/>
        <v>3</v>
      </c>
      <c r="R44" s="8"/>
      <c r="S44" s="3" t="s">
        <v>60</v>
      </c>
      <c r="T44" s="4">
        <f>C44*'Optimization Model'!C$6</f>
        <v>0</v>
      </c>
      <c r="U44" s="4">
        <f>D44*'Optimization Model'!D$6</f>
        <v>6</v>
      </c>
      <c r="V44" s="4">
        <f>E44*'Optimization Model'!E$6</f>
        <v>0</v>
      </c>
      <c r="W44" s="4">
        <f>F44*'Optimization Model'!F$6</f>
        <v>0</v>
      </c>
      <c r="X44" s="4">
        <f>G44*'Optimization Model'!G$6</f>
        <v>0</v>
      </c>
      <c r="Y44" s="4">
        <f>H44*'Optimization Model'!H$6</f>
        <v>0</v>
      </c>
      <c r="Z44" s="4">
        <f t="shared" si="1"/>
        <v>6</v>
      </c>
      <c r="AB44" s="3" t="s">
        <v>60</v>
      </c>
      <c r="AC44" s="4">
        <f>C44*'Optimization Model'!C$7</f>
        <v>3</v>
      </c>
      <c r="AD44" s="4">
        <f>D44*'Optimization Model'!D$7</f>
        <v>0</v>
      </c>
      <c r="AE44" s="4">
        <f>E44*'Optimization Model'!E$7</f>
        <v>0</v>
      </c>
      <c r="AF44" s="4">
        <f>F44*'Optimization Model'!F$7</f>
        <v>0</v>
      </c>
      <c r="AG44" s="4">
        <f>G44*'Optimization Model'!G$7</f>
        <v>0</v>
      </c>
      <c r="AH44" s="4">
        <f>H44*'Optimization Model'!H$7</f>
        <v>0</v>
      </c>
      <c r="AI44" s="4">
        <f t="shared" si="2"/>
        <v>3</v>
      </c>
      <c r="AK44" s="3" t="s">
        <v>60</v>
      </c>
      <c r="AL44" s="4">
        <f>C44*'Optimization Model'!C$8</f>
        <v>0</v>
      </c>
      <c r="AM44" s="4">
        <f>D44*'Optimization Model'!D$8</f>
        <v>6</v>
      </c>
      <c r="AN44" s="4">
        <f>E44*'Optimization Model'!E$8</f>
        <v>0</v>
      </c>
      <c r="AO44" s="4">
        <f>F44*'Optimization Model'!F$8</f>
        <v>0</v>
      </c>
      <c r="AP44" s="4">
        <f>G44*'Optimization Model'!G$8</f>
        <v>0</v>
      </c>
      <c r="AQ44" s="4">
        <f>H44*'Optimization Model'!H$8</f>
        <v>1</v>
      </c>
      <c r="AR44" s="4">
        <f t="shared" si="3"/>
        <v>7</v>
      </c>
      <c r="AT44" s="3" t="s">
        <v>60</v>
      </c>
      <c r="AU44" s="4">
        <f>C44*'Optimization Model'!C$9</f>
        <v>3</v>
      </c>
      <c r="AV44" s="4">
        <f>D44*'Optimization Model'!D$9</f>
        <v>0</v>
      </c>
      <c r="AW44" s="4">
        <f>E44*'Optimization Model'!E$9</f>
        <v>0</v>
      </c>
      <c r="AX44" s="4">
        <f>F44*'Optimization Model'!F$9</f>
        <v>2</v>
      </c>
      <c r="AY44" s="4">
        <f>G44*'Optimization Model'!G$9</f>
        <v>0</v>
      </c>
      <c r="AZ44" s="4">
        <f>H44*'Optimization Model'!H$9</f>
        <v>0</v>
      </c>
      <c r="BA44" s="4">
        <f t="shared" si="4"/>
        <v>5</v>
      </c>
      <c r="BC44" s="3" t="s">
        <v>60</v>
      </c>
      <c r="BD44" s="4">
        <f>C44*'Optimization Model'!C$10</f>
        <v>0</v>
      </c>
      <c r="BE44" s="4">
        <f>D44*'Optimization Model'!D$10</f>
        <v>6</v>
      </c>
      <c r="BF44" s="4">
        <f>E44*'Optimization Model'!E$10</f>
        <v>0</v>
      </c>
      <c r="BG44" s="4">
        <f>F44*'Optimization Model'!F$10</f>
        <v>2</v>
      </c>
      <c r="BH44" s="4">
        <f>G44*'Optimization Model'!G$10</f>
        <v>0</v>
      </c>
      <c r="BI44" s="4">
        <f>H44*'Optimization Model'!H$10</f>
        <v>0</v>
      </c>
      <c r="BJ44" s="4">
        <f t="shared" si="5"/>
        <v>8</v>
      </c>
      <c r="BL44" s="3" t="s">
        <v>60</v>
      </c>
      <c r="BM44" s="4">
        <f>C44*'Optimization Model'!C$11</f>
        <v>0</v>
      </c>
      <c r="BN44" s="4">
        <f>D44*'Optimization Model'!D$11</f>
        <v>0</v>
      </c>
      <c r="BO44" s="4">
        <f>E44*'Optimization Model'!E$11</f>
        <v>3</v>
      </c>
      <c r="BP44" s="4">
        <f>F44*'Optimization Model'!F$11</f>
        <v>0</v>
      </c>
      <c r="BQ44" s="4">
        <f>G44*'Optimization Model'!G$11</f>
        <v>2</v>
      </c>
      <c r="BR44" s="4">
        <f>H44*'Optimization Model'!H$11</f>
        <v>0</v>
      </c>
      <c r="BS44" s="4">
        <f t="shared" si="6"/>
        <v>5</v>
      </c>
      <c r="BU44" s="3" t="s">
        <v>60</v>
      </c>
      <c r="BV44" s="4">
        <f>C44*'Optimization Model'!C$12</f>
        <v>0</v>
      </c>
      <c r="BW44" s="4">
        <f>D44*'Optimization Model'!D$12</f>
        <v>0</v>
      </c>
      <c r="BX44" s="4">
        <f>E44*'Optimization Model'!E$12</f>
        <v>0</v>
      </c>
      <c r="BY44" s="4">
        <f>F44*'Optimization Model'!F$12</f>
        <v>0</v>
      </c>
      <c r="BZ44" s="4">
        <f>G44*'Optimization Model'!G$12</f>
        <v>2</v>
      </c>
      <c r="CA44" s="4">
        <f>H44*'Optimization Model'!H$12</f>
        <v>1</v>
      </c>
      <c r="CB44" s="4">
        <f t="shared" si="7"/>
        <v>3</v>
      </c>
      <c r="CD44" s="3" t="s">
        <v>60</v>
      </c>
      <c r="CE44" s="4">
        <f>C44*'Optimization Model'!C$13</f>
        <v>3</v>
      </c>
      <c r="CF44" s="4">
        <f>D44*'Optimization Model'!D$13</f>
        <v>0</v>
      </c>
      <c r="CG44" s="4">
        <f>E44*'Optimization Model'!E$13</f>
        <v>0</v>
      </c>
      <c r="CH44" s="4">
        <f>F44*'Optimization Model'!F$13</f>
        <v>0</v>
      </c>
      <c r="CI44" s="4">
        <f>G44*'Optimization Model'!G$13</f>
        <v>0</v>
      </c>
      <c r="CJ44" s="4">
        <f>H44*'Optimization Model'!H$13</f>
        <v>0</v>
      </c>
      <c r="CK44" s="4">
        <f t="shared" si="8"/>
        <v>3</v>
      </c>
      <c r="CM44" s="3" t="s">
        <v>60</v>
      </c>
      <c r="CN44" s="4">
        <f>C44*'Optimization Model'!C$14</f>
        <v>0</v>
      </c>
      <c r="CO44" s="4">
        <f>D44*'Optimization Model'!D$14</f>
        <v>6</v>
      </c>
      <c r="CP44" s="4">
        <f>E44*'Optimization Model'!E$14</f>
        <v>0</v>
      </c>
      <c r="CQ44" s="4">
        <f>F44*'Optimization Model'!F$14</f>
        <v>0</v>
      </c>
      <c r="CR44" s="4">
        <f>G44*'Optimization Model'!G$14</f>
        <v>0</v>
      </c>
      <c r="CS44" s="4">
        <f>H44*'Optimization Model'!H$14</f>
        <v>0</v>
      </c>
      <c r="CT44" s="4">
        <f t="shared" si="9"/>
        <v>6</v>
      </c>
      <c r="CV44" s="3" t="s">
        <v>60</v>
      </c>
      <c r="CW44" s="4">
        <f>C44*'Optimization Model'!C$15</f>
        <v>0</v>
      </c>
      <c r="CX44" s="4">
        <f>D44*'Optimization Model'!D$15</f>
        <v>0</v>
      </c>
      <c r="CY44" s="4">
        <f>E44*'Optimization Model'!E$15</f>
        <v>0</v>
      </c>
      <c r="CZ44" s="4">
        <f>F44*'Optimization Model'!F$15</f>
        <v>2</v>
      </c>
      <c r="DA44" s="4">
        <f>G44*'Optimization Model'!G$15</f>
        <v>2</v>
      </c>
      <c r="DB44" s="4">
        <f>H44*'Optimization Model'!H$15</f>
        <v>0</v>
      </c>
      <c r="DC44" s="4">
        <f t="shared" si="10"/>
        <v>4</v>
      </c>
      <c r="DE44" s="3" t="s">
        <v>60</v>
      </c>
      <c r="DF44" s="4">
        <f>C44*'Optimization Model'!C$16</f>
        <v>0</v>
      </c>
      <c r="DG44" s="4">
        <f>D44*'Optimization Model'!D$16</f>
        <v>0</v>
      </c>
      <c r="DH44" s="4">
        <f>E44*'Optimization Model'!E$16</f>
        <v>3</v>
      </c>
      <c r="DI44" s="4">
        <f>F44*'Optimization Model'!F$16</f>
        <v>0</v>
      </c>
      <c r="DJ44" s="4">
        <f>G44*'Optimization Model'!G$16</f>
        <v>0</v>
      </c>
      <c r="DK44" s="4">
        <f>H44*'Optimization Model'!H$16</f>
        <v>0</v>
      </c>
      <c r="DL44" s="4">
        <f t="shared" si="11"/>
        <v>3</v>
      </c>
      <c r="DN44" s="3" t="s">
        <v>60</v>
      </c>
      <c r="DO44" s="4">
        <f>C44*'Optimization Model'!C$17</f>
        <v>0</v>
      </c>
      <c r="DP44" s="4">
        <f>D44*'Optimization Model'!D$17</f>
        <v>0</v>
      </c>
      <c r="DQ44" s="4">
        <f>E44*'Optimization Model'!E$17</f>
        <v>3</v>
      </c>
      <c r="DR44" s="4">
        <f>F44*'Optimization Model'!F$17</f>
        <v>0</v>
      </c>
      <c r="DS44" s="4">
        <f>G44*'Optimization Model'!G$17</f>
        <v>2</v>
      </c>
      <c r="DT44" s="4">
        <f>H44*'Optimization Model'!H$17</f>
        <v>0</v>
      </c>
      <c r="DU44" s="4">
        <f t="shared" si="12"/>
        <v>5</v>
      </c>
      <c r="DW44" s="3" t="s">
        <v>60</v>
      </c>
      <c r="DX44" s="4">
        <f>C44*'Optimization Model'!C$18</f>
        <v>0</v>
      </c>
      <c r="DY44" s="4">
        <f>D44*'Optimization Model'!D$18</f>
        <v>0</v>
      </c>
      <c r="DZ44" s="4">
        <f>E44*'Optimization Model'!E$18</f>
        <v>3</v>
      </c>
      <c r="EA44" s="4">
        <f>F44*'Optimization Model'!F$18</f>
        <v>2</v>
      </c>
      <c r="EB44" s="4">
        <f>G44*'Optimization Model'!G$18</f>
        <v>0</v>
      </c>
      <c r="EC44" s="4">
        <f>H44*'Optimization Model'!H$18</f>
        <v>0</v>
      </c>
      <c r="ED44" s="4">
        <f t="shared" si="13"/>
        <v>5</v>
      </c>
      <c r="EF44" s="3" t="s">
        <v>60</v>
      </c>
      <c r="EG44" s="4">
        <f>C44*'Optimization Model'!C$19</f>
        <v>0</v>
      </c>
      <c r="EH44" s="4">
        <f>D44*'Optimization Model'!D$19</f>
        <v>0</v>
      </c>
      <c r="EI44" s="4">
        <f>E44*'Optimization Model'!E$19</f>
        <v>0</v>
      </c>
      <c r="EJ44" s="4">
        <f>F44*'Optimization Model'!F$19</f>
        <v>0</v>
      </c>
      <c r="EK44" s="4">
        <f>G44*'Optimization Model'!G$19</f>
        <v>0</v>
      </c>
      <c r="EL44" s="4">
        <f>H44*'Optimization Model'!H$19</f>
        <v>1</v>
      </c>
      <c r="EM44" s="4">
        <f t="shared" si="14"/>
        <v>1</v>
      </c>
      <c r="EO44" s="3" t="s">
        <v>60</v>
      </c>
      <c r="EP44" s="4">
        <f>C44*'Optimization Model'!C$20</f>
        <v>0</v>
      </c>
      <c r="EQ44" s="4">
        <f>D44*'Optimization Model'!D$20</f>
        <v>0</v>
      </c>
      <c r="ER44" s="4">
        <f>E44*'Optimization Model'!E$20</f>
        <v>0</v>
      </c>
      <c r="ES44" s="4">
        <f>F44*'Optimization Model'!F$20</f>
        <v>0</v>
      </c>
      <c r="ET44" s="4">
        <f>G44*'Optimization Model'!G$20</f>
        <v>0</v>
      </c>
      <c r="EU44" s="4">
        <f>H44*'Optimization Model'!H$20</f>
        <v>1</v>
      </c>
      <c r="EV44" s="4">
        <f t="shared" si="15"/>
        <v>1</v>
      </c>
    </row>
    <row r="45" spans="2:152" x14ac:dyDescent="0.35">
      <c r="B45" s="3" t="s">
        <v>61</v>
      </c>
      <c r="C45" s="4">
        <f>'Data- Refined'!U45</f>
        <v>6</v>
      </c>
      <c r="D45" s="4">
        <f>'Data- Refined'!V45</f>
        <v>5</v>
      </c>
      <c r="E45" s="4">
        <f>'Data- Refined'!W45</f>
        <v>3</v>
      </c>
      <c r="F45" s="4">
        <f>'Data- Refined'!X45</f>
        <v>3</v>
      </c>
      <c r="G45" s="4">
        <f>'Data- Refined'!Y45</f>
        <v>0</v>
      </c>
      <c r="H45" s="4">
        <f>'Data- Refined'!Z45</f>
        <v>3</v>
      </c>
      <c r="J45" s="3" t="s">
        <v>61</v>
      </c>
      <c r="K45" s="4">
        <f>C45*'Optimization Model'!C$5</f>
        <v>6</v>
      </c>
      <c r="L45" s="4">
        <f>D45*'Optimization Model'!D$5</f>
        <v>0</v>
      </c>
      <c r="M45" s="4">
        <f>E45*'Optimization Model'!E$5</f>
        <v>0</v>
      </c>
      <c r="N45" s="4">
        <f>F45*'Optimization Model'!F$5</f>
        <v>0</v>
      </c>
      <c r="O45" s="4">
        <f>G45*'Optimization Model'!G$5</f>
        <v>0</v>
      </c>
      <c r="P45" s="4">
        <f>H45*'Optimization Model'!H$5</f>
        <v>0</v>
      </c>
      <c r="Q45" s="4">
        <f t="shared" si="0"/>
        <v>6</v>
      </c>
      <c r="R45" s="8"/>
      <c r="S45" s="3" t="s">
        <v>61</v>
      </c>
      <c r="T45" s="4">
        <f>C45*'Optimization Model'!C$6</f>
        <v>0</v>
      </c>
      <c r="U45" s="4">
        <f>D45*'Optimization Model'!D$6</f>
        <v>5</v>
      </c>
      <c r="V45" s="4">
        <f>E45*'Optimization Model'!E$6</f>
        <v>0</v>
      </c>
      <c r="W45" s="4">
        <f>F45*'Optimization Model'!F$6</f>
        <v>0</v>
      </c>
      <c r="X45" s="4">
        <f>G45*'Optimization Model'!G$6</f>
        <v>0</v>
      </c>
      <c r="Y45" s="4">
        <f>H45*'Optimization Model'!H$6</f>
        <v>0</v>
      </c>
      <c r="Z45" s="4">
        <f t="shared" si="1"/>
        <v>5</v>
      </c>
      <c r="AB45" s="3" t="s">
        <v>61</v>
      </c>
      <c r="AC45" s="4">
        <f>C45*'Optimization Model'!C$7</f>
        <v>6</v>
      </c>
      <c r="AD45" s="4">
        <f>D45*'Optimization Model'!D$7</f>
        <v>0</v>
      </c>
      <c r="AE45" s="4">
        <f>E45*'Optimization Model'!E$7</f>
        <v>0</v>
      </c>
      <c r="AF45" s="4">
        <f>F45*'Optimization Model'!F$7</f>
        <v>0</v>
      </c>
      <c r="AG45" s="4">
        <f>G45*'Optimization Model'!G$7</f>
        <v>0</v>
      </c>
      <c r="AH45" s="4">
        <f>H45*'Optimization Model'!H$7</f>
        <v>0</v>
      </c>
      <c r="AI45" s="4">
        <f t="shared" si="2"/>
        <v>6</v>
      </c>
      <c r="AK45" s="3" t="s">
        <v>61</v>
      </c>
      <c r="AL45" s="4">
        <f>C45*'Optimization Model'!C$8</f>
        <v>0</v>
      </c>
      <c r="AM45" s="4">
        <f>D45*'Optimization Model'!D$8</f>
        <v>5</v>
      </c>
      <c r="AN45" s="4">
        <f>E45*'Optimization Model'!E$8</f>
        <v>0</v>
      </c>
      <c r="AO45" s="4">
        <f>F45*'Optimization Model'!F$8</f>
        <v>0</v>
      </c>
      <c r="AP45" s="4">
        <f>G45*'Optimization Model'!G$8</f>
        <v>0</v>
      </c>
      <c r="AQ45" s="4">
        <f>H45*'Optimization Model'!H$8</f>
        <v>3</v>
      </c>
      <c r="AR45" s="4">
        <f t="shared" si="3"/>
        <v>8</v>
      </c>
      <c r="AT45" s="3" t="s">
        <v>61</v>
      </c>
      <c r="AU45" s="4">
        <f>C45*'Optimization Model'!C$9</f>
        <v>6</v>
      </c>
      <c r="AV45" s="4">
        <f>D45*'Optimization Model'!D$9</f>
        <v>0</v>
      </c>
      <c r="AW45" s="4">
        <f>E45*'Optimization Model'!E$9</f>
        <v>0</v>
      </c>
      <c r="AX45" s="4">
        <f>F45*'Optimization Model'!F$9</f>
        <v>3</v>
      </c>
      <c r="AY45" s="4">
        <f>G45*'Optimization Model'!G$9</f>
        <v>0</v>
      </c>
      <c r="AZ45" s="4">
        <f>H45*'Optimization Model'!H$9</f>
        <v>0</v>
      </c>
      <c r="BA45" s="4">
        <f t="shared" si="4"/>
        <v>9</v>
      </c>
      <c r="BC45" s="3" t="s">
        <v>61</v>
      </c>
      <c r="BD45" s="4">
        <f>C45*'Optimization Model'!C$10</f>
        <v>0</v>
      </c>
      <c r="BE45" s="4">
        <f>D45*'Optimization Model'!D$10</f>
        <v>5</v>
      </c>
      <c r="BF45" s="4">
        <f>E45*'Optimization Model'!E$10</f>
        <v>0</v>
      </c>
      <c r="BG45" s="4">
        <f>F45*'Optimization Model'!F$10</f>
        <v>3</v>
      </c>
      <c r="BH45" s="4">
        <f>G45*'Optimization Model'!G$10</f>
        <v>0</v>
      </c>
      <c r="BI45" s="4">
        <f>H45*'Optimization Model'!H$10</f>
        <v>0</v>
      </c>
      <c r="BJ45" s="4">
        <f t="shared" si="5"/>
        <v>8</v>
      </c>
      <c r="BL45" s="3" t="s">
        <v>61</v>
      </c>
      <c r="BM45" s="4">
        <f>C45*'Optimization Model'!C$11</f>
        <v>0</v>
      </c>
      <c r="BN45" s="4">
        <f>D45*'Optimization Model'!D$11</f>
        <v>0</v>
      </c>
      <c r="BO45" s="4">
        <f>E45*'Optimization Model'!E$11</f>
        <v>3</v>
      </c>
      <c r="BP45" s="4">
        <f>F45*'Optimization Model'!F$11</f>
        <v>0</v>
      </c>
      <c r="BQ45" s="4">
        <f>G45*'Optimization Model'!G$11</f>
        <v>0</v>
      </c>
      <c r="BR45" s="4">
        <f>H45*'Optimization Model'!H$11</f>
        <v>0</v>
      </c>
      <c r="BS45" s="4">
        <f t="shared" si="6"/>
        <v>3</v>
      </c>
      <c r="BU45" s="3" t="s">
        <v>61</v>
      </c>
      <c r="BV45" s="4">
        <f>C45*'Optimization Model'!C$12</f>
        <v>0</v>
      </c>
      <c r="BW45" s="4">
        <f>D45*'Optimization Model'!D$12</f>
        <v>0</v>
      </c>
      <c r="BX45" s="4">
        <f>E45*'Optimization Model'!E$12</f>
        <v>0</v>
      </c>
      <c r="BY45" s="4">
        <f>F45*'Optimization Model'!F$12</f>
        <v>0</v>
      </c>
      <c r="BZ45" s="4">
        <f>G45*'Optimization Model'!G$12</f>
        <v>0</v>
      </c>
      <c r="CA45" s="4">
        <f>H45*'Optimization Model'!H$12</f>
        <v>3</v>
      </c>
      <c r="CB45" s="4">
        <f t="shared" si="7"/>
        <v>3</v>
      </c>
      <c r="CD45" s="3" t="s">
        <v>61</v>
      </c>
      <c r="CE45" s="4">
        <f>C45*'Optimization Model'!C$13</f>
        <v>6</v>
      </c>
      <c r="CF45" s="4">
        <f>D45*'Optimization Model'!D$13</f>
        <v>0</v>
      </c>
      <c r="CG45" s="4">
        <f>E45*'Optimization Model'!E$13</f>
        <v>0</v>
      </c>
      <c r="CH45" s="4">
        <f>F45*'Optimization Model'!F$13</f>
        <v>0</v>
      </c>
      <c r="CI45" s="4">
        <f>G45*'Optimization Model'!G$13</f>
        <v>0</v>
      </c>
      <c r="CJ45" s="4">
        <f>H45*'Optimization Model'!H$13</f>
        <v>0</v>
      </c>
      <c r="CK45" s="4">
        <f t="shared" si="8"/>
        <v>6</v>
      </c>
      <c r="CM45" s="3" t="s">
        <v>61</v>
      </c>
      <c r="CN45" s="4">
        <f>C45*'Optimization Model'!C$14</f>
        <v>0</v>
      </c>
      <c r="CO45" s="4">
        <f>D45*'Optimization Model'!D$14</f>
        <v>5</v>
      </c>
      <c r="CP45" s="4">
        <f>E45*'Optimization Model'!E$14</f>
        <v>0</v>
      </c>
      <c r="CQ45" s="4">
        <f>F45*'Optimization Model'!F$14</f>
        <v>0</v>
      </c>
      <c r="CR45" s="4">
        <f>G45*'Optimization Model'!G$14</f>
        <v>0</v>
      </c>
      <c r="CS45" s="4">
        <f>H45*'Optimization Model'!H$14</f>
        <v>0</v>
      </c>
      <c r="CT45" s="4">
        <f t="shared" si="9"/>
        <v>5</v>
      </c>
      <c r="CV45" s="3" t="s">
        <v>61</v>
      </c>
      <c r="CW45" s="4">
        <f>C45*'Optimization Model'!C$15</f>
        <v>0</v>
      </c>
      <c r="CX45" s="4">
        <f>D45*'Optimization Model'!D$15</f>
        <v>0</v>
      </c>
      <c r="CY45" s="4">
        <f>E45*'Optimization Model'!E$15</f>
        <v>0</v>
      </c>
      <c r="CZ45" s="4">
        <f>F45*'Optimization Model'!F$15</f>
        <v>3</v>
      </c>
      <c r="DA45" s="4">
        <f>G45*'Optimization Model'!G$15</f>
        <v>0</v>
      </c>
      <c r="DB45" s="4">
        <f>H45*'Optimization Model'!H$15</f>
        <v>0</v>
      </c>
      <c r="DC45" s="4">
        <f t="shared" si="10"/>
        <v>3</v>
      </c>
      <c r="DE45" s="3" t="s">
        <v>61</v>
      </c>
      <c r="DF45" s="4">
        <f>C45*'Optimization Model'!C$16</f>
        <v>0</v>
      </c>
      <c r="DG45" s="4">
        <f>D45*'Optimization Model'!D$16</f>
        <v>0</v>
      </c>
      <c r="DH45" s="4">
        <f>E45*'Optimization Model'!E$16</f>
        <v>3</v>
      </c>
      <c r="DI45" s="4">
        <f>F45*'Optimization Model'!F$16</f>
        <v>0</v>
      </c>
      <c r="DJ45" s="4">
        <f>G45*'Optimization Model'!G$16</f>
        <v>0</v>
      </c>
      <c r="DK45" s="4">
        <f>H45*'Optimization Model'!H$16</f>
        <v>0</v>
      </c>
      <c r="DL45" s="4">
        <f t="shared" si="11"/>
        <v>3</v>
      </c>
      <c r="DN45" s="3" t="s">
        <v>61</v>
      </c>
      <c r="DO45" s="4">
        <f>C45*'Optimization Model'!C$17</f>
        <v>0</v>
      </c>
      <c r="DP45" s="4">
        <f>D45*'Optimization Model'!D$17</f>
        <v>0</v>
      </c>
      <c r="DQ45" s="4">
        <f>E45*'Optimization Model'!E$17</f>
        <v>3</v>
      </c>
      <c r="DR45" s="4">
        <f>F45*'Optimization Model'!F$17</f>
        <v>0</v>
      </c>
      <c r="DS45" s="4">
        <f>G45*'Optimization Model'!G$17</f>
        <v>0</v>
      </c>
      <c r="DT45" s="4">
        <f>H45*'Optimization Model'!H$17</f>
        <v>0</v>
      </c>
      <c r="DU45" s="4">
        <f t="shared" si="12"/>
        <v>3</v>
      </c>
      <c r="DW45" s="3" t="s">
        <v>61</v>
      </c>
      <c r="DX45" s="4">
        <f>C45*'Optimization Model'!C$18</f>
        <v>0</v>
      </c>
      <c r="DY45" s="4">
        <f>D45*'Optimization Model'!D$18</f>
        <v>0</v>
      </c>
      <c r="DZ45" s="4">
        <f>E45*'Optimization Model'!E$18</f>
        <v>3</v>
      </c>
      <c r="EA45" s="4">
        <f>F45*'Optimization Model'!F$18</f>
        <v>3</v>
      </c>
      <c r="EB45" s="4">
        <f>G45*'Optimization Model'!G$18</f>
        <v>0</v>
      </c>
      <c r="EC45" s="4">
        <f>H45*'Optimization Model'!H$18</f>
        <v>0</v>
      </c>
      <c r="ED45" s="4">
        <f t="shared" si="13"/>
        <v>6</v>
      </c>
      <c r="EF45" s="3" t="s">
        <v>61</v>
      </c>
      <c r="EG45" s="4">
        <f>C45*'Optimization Model'!C$19</f>
        <v>0</v>
      </c>
      <c r="EH45" s="4">
        <f>D45*'Optimization Model'!D$19</f>
        <v>0</v>
      </c>
      <c r="EI45" s="4">
        <f>E45*'Optimization Model'!E$19</f>
        <v>0</v>
      </c>
      <c r="EJ45" s="4">
        <f>F45*'Optimization Model'!F$19</f>
        <v>0</v>
      </c>
      <c r="EK45" s="4">
        <f>G45*'Optimization Model'!G$19</f>
        <v>0</v>
      </c>
      <c r="EL45" s="4">
        <f>H45*'Optimization Model'!H$19</f>
        <v>3</v>
      </c>
      <c r="EM45" s="4">
        <f t="shared" si="14"/>
        <v>3</v>
      </c>
      <c r="EO45" s="3" t="s">
        <v>61</v>
      </c>
      <c r="EP45" s="4">
        <f>C45*'Optimization Model'!C$20</f>
        <v>0</v>
      </c>
      <c r="EQ45" s="4">
        <f>D45*'Optimization Model'!D$20</f>
        <v>0</v>
      </c>
      <c r="ER45" s="4">
        <f>E45*'Optimization Model'!E$20</f>
        <v>0</v>
      </c>
      <c r="ES45" s="4">
        <f>F45*'Optimization Model'!F$20</f>
        <v>0</v>
      </c>
      <c r="ET45" s="4">
        <f>G45*'Optimization Model'!G$20</f>
        <v>0</v>
      </c>
      <c r="EU45" s="4">
        <f>H45*'Optimization Model'!H$20</f>
        <v>3</v>
      </c>
      <c r="EV45" s="4">
        <f t="shared" si="15"/>
        <v>3</v>
      </c>
    </row>
    <row r="46" spans="2:152" x14ac:dyDescent="0.35">
      <c r="B46" s="3" t="s">
        <v>62</v>
      </c>
      <c r="C46" s="4">
        <f>'Data- Refined'!U46</f>
        <v>1</v>
      </c>
      <c r="D46" s="4">
        <f>'Data- Refined'!V46</f>
        <v>3</v>
      </c>
      <c r="E46" s="4">
        <f>'Data- Refined'!W46</f>
        <v>3</v>
      </c>
      <c r="F46" s="4">
        <f>'Data- Refined'!X46</f>
        <v>0</v>
      </c>
      <c r="G46" s="4">
        <f>'Data- Refined'!Y46</f>
        <v>1</v>
      </c>
      <c r="H46" s="4">
        <f>'Data- Refined'!Z46</f>
        <v>2</v>
      </c>
      <c r="J46" s="3" t="s">
        <v>62</v>
      </c>
      <c r="K46" s="4">
        <f>C46*'Optimization Model'!C$5</f>
        <v>1</v>
      </c>
      <c r="L46" s="4">
        <f>D46*'Optimization Model'!D$5</f>
        <v>0</v>
      </c>
      <c r="M46" s="4">
        <f>E46*'Optimization Model'!E$5</f>
        <v>0</v>
      </c>
      <c r="N46" s="4">
        <f>F46*'Optimization Model'!F$5</f>
        <v>0</v>
      </c>
      <c r="O46" s="4">
        <f>G46*'Optimization Model'!G$5</f>
        <v>0</v>
      </c>
      <c r="P46" s="4">
        <f>H46*'Optimization Model'!H$5</f>
        <v>0</v>
      </c>
      <c r="Q46" s="4">
        <f t="shared" si="0"/>
        <v>1</v>
      </c>
      <c r="R46" s="8"/>
      <c r="S46" s="3" t="s">
        <v>62</v>
      </c>
      <c r="T46" s="4">
        <f>C46*'Optimization Model'!C$6</f>
        <v>0</v>
      </c>
      <c r="U46" s="4">
        <f>D46*'Optimization Model'!D$6</f>
        <v>3</v>
      </c>
      <c r="V46" s="4">
        <f>E46*'Optimization Model'!E$6</f>
        <v>0</v>
      </c>
      <c r="W46" s="4">
        <f>F46*'Optimization Model'!F$6</f>
        <v>0</v>
      </c>
      <c r="X46" s="4">
        <f>G46*'Optimization Model'!G$6</f>
        <v>0</v>
      </c>
      <c r="Y46" s="4">
        <f>H46*'Optimization Model'!H$6</f>
        <v>0</v>
      </c>
      <c r="Z46" s="4">
        <f t="shared" si="1"/>
        <v>3</v>
      </c>
      <c r="AB46" s="3" t="s">
        <v>62</v>
      </c>
      <c r="AC46" s="4">
        <f>C46*'Optimization Model'!C$7</f>
        <v>1</v>
      </c>
      <c r="AD46" s="4">
        <f>D46*'Optimization Model'!D$7</f>
        <v>0</v>
      </c>
      <c r="AE46" s="4">
        <f>E46*'Optimization Model'!E$7</f>
        <v>0</v>
      </c>
      <c r="AF46" s="4">
        <f>F46*'Optimization Model'!F$7</f>
        <v>0</v>
      </c>
      <c r="AG46" s="4">
        <f>G46*'Optimization Model'!G$7</f>
        <v>0</v>
      </c>
      <c r="AH46" s="4">
        <f>H46*'Optimization Model'!H$7</f>
        <v>0</v>
      </c>
      <c r="AI46" s="4">
        <f t="shared" si="2"/>
        <v>1</v>
      </c>
      <c r="AK46" s="3" t="s">
        <v>62</v>
      </c>
      <c r="AL46" s="4">
        <f>C46*'Optimization Model'!C$8</f>
        <v>0</v>
      </c>
      <c r="AM46" s="4">
        <f>D46*'Optimization Model'!D$8</f>
        <v>3</v>
      </c>
      <c r="AN46" s="4">
        <f>E46*'Optimization Model'!E$8</f>
        <v>0</v>
      </c>
      <c r="AO46" s="4">
        <f>F46*'Optimization Model'!F$8</f>
        <v>0</v>
      </c>
      <c r="AP46" s="4">
        <f>G46*'Optimization Model'!G$8</f>
        <v>0</v>
      </c>
      <c r="AQ46" s="4">
        <f>H46*'Optimization Model'!H$8</f>
        <v>2</v>
      </c>
      <c r="AR46" s="4">
        <f t="shared" si="3"/>
        <v>5</v>
      </c>
      <c r="AT46" s="3" t="s">
        <v>62</v>
      </c>
      <c r="AU46" s="4">
        <f>C46*'Optimization Model'!C$9</f>
        <v>1</v>
      </c>
      <c r="AV46" s="4">
        <f>D46*'Optimization Model'!D$9</f>
        <v>0</v>
      </c>
      <c r="AW46" s="4">
        <f>E46*'Optimization Model'!E$9</f>
        <v>0</v>
      </c>
      <c r="AX46" s="4">
        <f>F46*'Optimization Model'!F$9</f>
        <v>0</v>
      </c>
      <c r="AY46" s="4">
        <f>G46*'Optimization Model'!G$9</f>
        <v>0</v>
      </c>
      <c r="AZ46" s="4">
        <f>H46*'Optimization Model'!H$9</f>
        <v>0</v>
      </c>
      <c r="BA46" s="4">
        <f t="shared" si="4"/>
        <v>1</v>
      </c>
      <c r="BC46" s="3" t="s">
        <v>62</v>
      </c>
      <c r="BD46" s="4">
        <f>C46*'Optimization Model'!C$10</f>
        <v>0</v>
      </c>
      <c r="BE46" s="4">
        <f>D46*'Optimization Model'!D$10</f>
        <v>3</v>
      </c>
      <c r="BF46" s="4">
        <f>E46*'Optimization Model'!E$10</f>
        <v>0</v>
      </c>
      <c r="BG46" s="4">
        <f>F46*'Optimization Model'!F$10</f>
        <v>0</v>
      </c>
      <c r="BH46" s="4">
        <f>G46*'Optimization Model'!G$10</f>
        <v>0</v>
      </c>
      <c r="BI46" s="4">
        <f>H46*'Optimization Model'!H$10</f>
        <v>0</v>
      </c>
      <c r="BJ46" s="4">
        <f t="shared" si="5"/>
        <v>3</v>
      </c>
      <c r="BL46" s="3" t="s">
        <v>62</v>
      </c>
      <c r="BM46" s="4">
        <f>C46*'Optimization Model'!C$11</f>
        <v>0</v>
      </c>
      <c r="BN46" s="4">
        <f>D46*'Optimization Model'!D$11</f>
        <v>0</v>
      </c>
      <c r="BO46" s="4">
        <f>E46*'Optimization Model'!E$11</f>
        <v>3</v>
      </c>
      <c r="BP46" s="4">
        <f>F46*'Optimization Model'!F$11</f>
        <v>0</v>
      </c>
      <c r="BQ46" s="4">
        <f>G46*'Optimization Model'!G$11</f>
        <v>1</v>
      </c>
      <c r="BR46" s="4">
        <f>H46*'Optimization Model'!H$11</f>
        <v>0</v>
      </c>
      <c r="BS46" s="4">
        <f t="shared" si="6"/>
        <v>4</v>
      </c>
      <c r="BU46" s="3" t="s">
        <v>62</v>
      </c>
      <c r="BV46" s="4">
        <f>C46*'Optimization Model'!C$12</f>
        <v>0</v>
      </c>
      <c r="BW46" s="4">
        <f>D46*'Optimization Model'!D$12</f>
        <v>0</v>
      </c>
      <c r="BX46" s="4">
        <f>E46*'Optimization Model'!E$12</f>
        <v>0</v>
      </c>
      <c r="BY46" s="4">
        <f>F46*'Optimization Model'!F$12</f>
        <v>0</v>
      </c>
      <c r="BZ46" s="4">
        <f>G46*'Optimization Model'!G$12</f>
        <v>1</v>
      </c>
      <c r="CA46" s="4">
        <f>H46*'Optimization Model'!H$12</f>
        <v>2</v>
      </c>
      <c r="CB46" s="4">
        <f t="shared" si="7"/>
        <v>3</v>
      </c>
      <c r="CD46" s="3" t="s">
        <v>62</v>
      </c>
      <c r="CE46" s="4">
        <f>C46*'Optimization Model'!C$13</f>
        <v>1</v>
      </c>
      <c r="CF46" s="4">
        <f>D46*'Optimization Model'!D$13</f>
        <v>0</v>
      </c>
      <c r="CG46" s="4">
        <f>E46*'Optimization Model'!E$13</f>
        <v>0</v>
      </c>
      <c r="CH46" s="4">
        <f>F46*'Optimization Model'!F$13</f>
        <v>0</v>
      </c>
      <c r="CI46" s="4">
        <f>G46*'Optimization Model'!G$13</f>
        <v>0</v>
      </c>
      <c r="CJ46" s="4">
        <f>H46*'Optimization Model'!H$13</f>
        <v>0</v>
      </c>
      <c r="CK46" s="4">
        <f t="shared" si="8"/>
        <v>1</v>
      </c>
      <c r="CM46" s="3" t="s">
        <v>62</v>
      </c>
      <c r="CN46" s="4">
        <f>C46*'Optimization Model'!C$14</f>
        <v>0</v>
      </c>
      <c r="CO46" s="4">
        <f>D46*'Optimization Model'!D$14</f>
        <v>3</v>
      </c>
      <c r="CP46" s="4">
        <f>E46*'Optimization Model'!E$14</f>
        <v>0</v>
      </c>
      <c r="CQ46" s="4">
        <f>F46*'Optimization Model'!F$14</f>
        <v>0</v>
      </c>
      <c r="CR46" s="4">
        <f>G46*'Optimization Model'!G$14</f>
        <v>0</v>
      </c>
      <c r="CS46" s="4">
        <f>H46*'Optimization Model'!H$14</f>
        <v>0</v>
      </c>
      <c r="CT46" s="4">
        <f t="shared" si="9"/>
        <v>3</v>
      </c>
      <c r="CV46" s="3" t="s">
        <v>62</v>
      </c>
      <c r="CW46" s="4">
        <f>C46*'Optimization Model'!C$15</f>
        <v>0</v>
      </c>
      <c r="CX46" s="4">
        <f>D46*'Optimization Model'!D$15</f>
        <v>0</v>
      </c>
      <c r="CY46" s="4">
        <f>E46*'Optimization Model'!E$15</f>
        <v>0</v>
      </c>
      <c r="CZ46" s="4">
        <f>F46*'Optimization Model'!F$15</f>
        <v>0</v>
      </c>
      <c r="DA46" s="4">
        <f>G46*'Optimization Model'!G$15</f>
        <v>1</v>
      </c>
      <c r="DB46" s="4">
        <f>H46*'Optimization Model'!H$15</f>
        <v>0</v>
      </c>
      <c r="DC46" s="4">
        <f t="shared" si="10"/>
        <v>1</v>
      </c>
      <c r="DE46" s="3" t="s">
        <v>62</v>
      </c>
      <c r="DF46" s="4">
        <f>C46*'Optimization Model'!C$16</f>
        <v>0</v>
      </c>
      <c r="DG46" s="4">
        <f>D46*'Optimization Model'!D$16</f>
        <v>0</v>
      </c>
      <c r="DH46" s="4">
        <f>E46*'Optimization Model'!E$16</f>
        <v>3</v>
      </c>
      <c r="DI46" s="4">
        <f>F46*'Optimization Model'!F$16</f>
        <v>0</v>
      </c>
      <c r="DJ46" s="4">
        <f>G46*'Optimization Model'!G$16</f>
        <v>0</v>
      </c>
      <c r="DK46" s="4">
        <f>H46*'Optimization Model'!H$16</f>
        <v>0</v>
      </c>
      <c r="DL46" s="4">
        <f t="shared" si="11"/>
        <v>3</v>
      </c>
      <c r="DN46" s="3" t="s">
        <v>62</v>
      </c>
      <c r="DO46" s="4">
        <f>C46*'Optimization Model'!C$17</f>
        <v>0</v>
      </c>
      <c r="DP46" s="4">
        <f>D46*'Optimization Model'!D$17</f>
        <v>0</v>
      </c>
      <c r="DQ46" s="4">
        <f>E46*'Optimization Model'!E$17</f>
        <v>3</v>
      </c>
      <c r="DR46" s="4">
        <f>F46*'Optimization Model'!F$17</f>
        <v>0</v>
      </c>
      <c r="DS46" s="4">
        <f>G46*'Optimization Model'!G$17</f>
        <v>1</v>
      </c>
      <c r="DT46" s="4">
        <f>H46*'Optimization Model'!H$17</f>
        <v>0</v>
      </c>
      <c r="DU46" s="4">
        <f t="shared" si="12"/>
        <v>4</v>
      </c>
      <c r="DW46" s="3" t="s">
        <v>62</v>
      </c>
      <c r="DX46" s="4">
        <f>C46*'Optimization Model'!C$18</f>
        <v>0</v>
      </c>
      <c r="DY46" s="4">
        <f>D46*'Optimization Model'!D$18</f>
        <v>0</v>
      </c>
      <c r="DZ46" s="4">
        <f>E46*'Optimization Model'!E$18</f>
        <v>3</v>
      </c>
      <c r="EA46" s="4">
        <f>F46*'Optimization Model'!F$18</f>
        <v>0</v>
      </c>
      <c r="EB46" s="4">
        <f>G46*'Optimization Model'!G$18</f>
        <v>0</v>
      </c>
      <c r="EC46" s="4">
        <f>H46*'Optimization Model'!H$18</f>
        <v>0</v>
      </c>
      <c r="ED46" s="4">
        <f t="shared" si="13"/>
        <v>3</v>
      </c>
      <c r="EF46" s="3" t="s">
        <v>62</v>
      </c>
      <c r="EG46" s="4">
        <f>C46*'Optimization Model'!C$19</f>
        <v>0</v>
      </c>
      <c r="EH46" s="4">
        <f>D46*'Optimization Model'!D$19</f>
        <v>0</v>
      </c>
      <c r="EI46" s="4">
        <f>E46*'Optimization Model'!E$19</f>
        <v>0</v>
      </c>
      <c r="EJ46" s="4">
        <f>F46*'Optimization Model'!F$19</f>
        <v>0</v>
      </c>
      <c r="EK46" s="4">
        <f>G46*'Optimization Model'!G$19</f>
        <v>0</v>
      </c>
      <c r="EL46" s="4">
        <f>H46*'Optimization Model'!H$19</f>
        <v>2</v>
      </c>
      <c r="EM46" s="4">
        <f t="shared" si="14"/>
        <v>2</v>
      </c>
      <c r="EO46" s="3" t="s">
        <v>62</v>
      </c>
      <c r="EP46" s="4">
        <f>C46*'Optimization Model'!C$20</f>
        <v>0</v>
      </c>
      <c r="EQ46" s="4">
        <f>D46*'Optimization Model'!D$20</f>
        <v>0</v>
      </c>
      <c r="ER46" s="4">
        <f>E46*'Optimization Model'!E$20</f>
        <v>0</v>
      </c>
      <c r="ES46" s="4">
        <f>F46*'Optimization Model'!F$20</f>
        <v>0</v>
      </c>
      <c r="ET46" s="4">
        <f>G46*'Optimization Model'!G$20</f>
        <v>0</v>
      </c>
      <c r="EU46" s="4">
        <f>H46*'Optimization Model'!H$20</f>
        <v>2</v>
      </c>
      <c r="EV46" s="4">
        <f t="shared" si="15"/>
        <v>2</v>
      </c>
    </row>
    <row r="47" spans="2:152" x14ac:dyDescent="0.35">
      <c r="B47" s="3" t="s">
        <v>63</v>
      </c>
      <c r="C47" s="4">
        <f>'Data- Refined'!U47</f>
        <v>5</v>
      </c>
      <c r="D47" s="4">
        <f>'Data- Refined'!V47</f>
        <v>7</v>
      </c>
      <c r="E47" s="4">
        <f>'Data- Refined'!W47</f>
        <v>11</v>
      </c>
      <c r="F47" s="4">
        <f>'Data- Refined'!X47</f>
        <v>7</v>
      </c>
      <c r="G47" s="4">
        <f>'Data- Refined'!Y47</f>
        <v>5</v>
      </c>
      <c r="H47" s="4">
        <f>'Data- Refined'!Z47</f>
        <v>8</v>
      </c>
      <c r="J47" s="3" t="s">
        <v>63</v>
      </c>
      <c r="K47" s="4">
        <f>C47*'Optimization Model'!C$5</f>
        <v>5</v>
      </c>
      <c r="L47" s="4">
        <f>D47*'Optimization Model'!D$5</f>
        <v>0</v>
      </c>
      <c r="M47" s="4">
        <f>E47*'Optimization Model'!E$5</f>
        <v>0</v>
      </c>
      <c r="N47" s="4">
        <f>F47*'Optimization Model'!F$5</f>
        <v>0</v>
      </c>
      <c r="O47" s="4">
        <f>G47*'Optimization Model'!G$5</f>
        <v>0</v>
      </c>
      <c r="P47" s="4">
        <f>H47*'Optimization Model'!H$5</f>
        <v>0</v>
      </c>
      <c r="Q47" s="4">
        <f t="shared" si="0"/>
        <v>5</v>
      </c>
      <c r="R47" s="8"/>
      <c r="S47" s="3" t="s">
        <v>63</v>
      </c>
      <c r="T47" s="4">
        <f>C47*'Optimization Model'!C$6</f>
        <v>0</v>
      </c>
      <c r="U47" s="4">
        <f>D47*'Optimization Model'!D$6</f>
        <v>7</v>
      </c>
      <c r="V47" s="4">
        <f>E47*'Optimization Model'!E$6</f>
        <v>0</v>
      </c>
      <c r="W47" s="4">
        <f>F47*'Optimization Model'!F$6</f>
        <v>0</v>
      </c>
      <c r="X47" s="4">
        <f>G47*'Optimization Model'!G$6</f>
        <v>0</v>
      </c>
      <c r="Y47" s="4">
        <f>H47*'Optimization Model'!H$6</f>
        <v>0</v>
      </c>
      <c r="Z47" s="4">
        <f t="shared" si="1"/>
        <v>7</v>
      </c>
      <c r="AB47" s="3" t="s">
        <v>63</v>
      </c>
      <c r="AC47" s="4">
        <f>C47*'Optimization Model'!C$7</f>
        <v>5</v>
      </c>
      <c r="AD47" s="4">
        <f>D47*'Optimization Model'!D$7</f>
        <v>0</v>
      </c>
      <c r="AE47" s="4">
        <f>E47*'Optimization Model'!E$7</f>
        <v>0</v>
      </c>
      <c r="AF47" s="4">
        <f>F47*'Optimization Model'!F$7</f>
        <v>0</v>
      </c>
      <c r="AG47" s="4">
        <f>G47*'Optimization Model'!G$7</f>
        <v>0</v>
      </c>
      <c r="AH47" s="4">
        <f>H47*'Optimization Model'!H$7</f>
        <v>0</v>
      </c>
      <c r="AI47" s="4">
        <f t="shared" si="2"/>
        <v>5</v>
      </c>
      <c r="AK47" s="3" t="s">
        <v>63</v>
      </c>
      <c r="AL47" s="4">
        <f>C47*'Optimization Model'!C$8</f>
        <v>0</v>
      </c>
      <c r="AM47" s="4">
        <f>D47*'Optimization Model'!D$8</f>
        <v>7</v>
      </c>
      <c r="AN47" s="4">
        <f>E47*'Optimization Model'!E$8</f>
        <v>0</v>
      </c>
      <c r="AO47" s="4">
        <f>F47*'Optimization Model'!F$8</f>
        <v>0</v>
      </c>
      <c r="AP47" s="4">
        <f>G47*'Optimization Model'!G$8</f>
        <v>0</v>
      </c>
      <c r="AQ47" s="4">
        <f>H47*'Optimization Model'!H$8</f>
        <v>8</v>
      </c>
      <c r="AR47" s="4">
        <f t="shared" si="3"/>
        <v>15</v>
      </c>
      <c r="AT47" s="3" t="s">
        <v>63</v>
      </c>
      <c r="AU47" s="4">
        <f>C47*'Optimization Model'!C$9</f>
        <v>5</v>
      </c>
      <c r="AV47" s="4">
        <f>D47*'Optimization Model'!D$9</f>
        <v>0</v>
      </c>
      <c r="AW47" s="4">
        <f>E47*'Optimization Model'!E$9</f>
        <v>0</v>
      </c>
      <c r="AX47" s="4">
        <f>F47*'Optimization Model'!F$9</f>
        <v>7</v>
      </c>
      <c r="AY47" s="4">
        <f>G47*'Optimization Model'!G$9</f>
        <v>0</v>
      </c>
      <c r="AZ47" s="4">
        <f>H47*'Optimization Model'!H$9</f>
        <v>0</v>
      </c>
      <c r="BA47" s="4">
        <f t="shared" si="4"/>
        <v>12</v>
      </c>
      <c r="BC47" s="3" t="s">
        <v>63</v>
      </c>
      <c r="BD47" s="4">
        <f>C47*'Optimization Model'!C$10</f>
        <v>0</v>
      </c>
      <c r="BE47" s="4">
        <f>D47*'Optimization Model'!D$10</f>
        <v>7</v>
      </c>
      <c r="BF47" s="4">
        <f>E47*'Optimization Model'!E$10</f>
        <v>0</v>
      </c>
      <c r="BG47" s="4">
        <f>F47*'Optimization Model'!F$10</f>
        <v>7</v>
      </c>
      <c r="BH47" s="4">
        <f>G47*'Optimization Model'!G$10</f>
        <v>0</v>
      </c>
      <c r="BI47" s="4">
        <f>H47*'Optimization Model'!H$10</f>
        <v>0</v>
      </c>
      <c r="BJ47" s="4">
        <f t="shared" si="5"/>
        <v>14</v>
      </c>
      <c r="BL47" s="3" t="s">
        <v>63</v>
      </c>
      <c r="BM47" s="4">
        <f>C47*'Optimization Model'!C$11</f>
        <v>0</v>
      </c>
      <c r="BN47" s="4">
        <f>D47*'Optimization Model'!D$11</f>
        <v>0</v>
      </c>
      <c r="BO47" s="4">
        <f>E47*'Optimization Model'!E$11</f>
        <v>11</v>
      </c>
      <c r="BP47" s="4">
        <f>F47*'Optimization Model'!F$11</f>
        <v>0</v>
      </c>
      <c r="BQ47" s="4">
        <f>G47*'Optimization Model'!G$11</f>
        <v>5</v>
      </c>
      <c r="BR47" s="4">
        <f>H47*'Optimization Model'!H$11</f>
        <v>0</v>
      </c>
      <c r="BS47" s="4">
        <f t="shared" si="6"/>
        <v>16</v>
      </c>
      <c r="BU47" s="3" t="s">
        <v>63</v>
      </c>
      <c r="BV47" s="4">
        <f>C47*'Optimization Model'!C$12</f>
        <v>0</v>
      </c>
      <c r="BW47" s="4">
        <f>D47*'Optimization Model'!D$12</f>
        <v>0</v>
      </c>
      <c r="BX47" s="4">
        <f>E47*'Optimization Model'!E$12</f>
        <v>0</v>
      </c>
      <c r="BY47" s="4">
        <f>F47*'Optimization Model'!F$12</f>
        <v>0</v>
      </c>
      <c r="BZ47" s="4">
        <f>G47*'Optimization Model'!G$12</f>
        <v>5</v>
      </c>
      <c r="CA47" s="4">
        <f>H47*'Optimization Model'!H$12</f>
        <v>8</v>
      </c>
      <c r="CB47" s="4">
        <f t="shared" si="7"/>
        <v>13</v>
      </c>
      <c r="CD47" s="3" t="s">
        <v>63</v>
      </c>
      <c r="CE47" s="4">
        <f>C47*'Optimization Model'!C$13</f>
        <v>5</v>
      </c>
      <c r="CF47" s="4">
        <f>D47*'Optimization Model'!D$13</f>
        <v>0</v>
      </c>
      <c r="CG47" s="4">
        <f>E47*'Optimization Model'!E$13</f>
        <v>0</v>
      </c>
      <c r="CH47" s="4">
        <f>F47*'Optimization Model'!F$13</f>
        <v>0</v>
      </c>
      <c r="CI47" s="4">
        <f>G47*'Optimization Model'!G$13</f>
        <v>0</v>
      </c>
      <c r="CJ47" s="4">
        <f>H47*'Optimization Model'!H$13</f>
        <v>0</v>
      </c>
      <c r="CK47" s="4">
        <f t="shared" si="8"/>
        <v>5</v>
      </c>
      <c r="CM47" s="3" t="s">
        <v>63</v>
      </c>
      <c r="CN47" s="4">
        <f>C47*'Optimization Model'!C$14</f>
        <v>0</v>
      </c>
      <c r="CO47" s="4">
        <f>D47*'Optimization Model'!D$14</f>
        <v>7</v>
      </c>
      <c r="CP47" s="4">
        <f>E47*'Optimization Model'!E$14</f>
        <v>0</v>
      </c>
      <c r="CQ47" s="4">
        <f>F47*'Optimization Model'!F$14</f>
        <v>0</v>
      </c>
      <c r="CR47" s="4">
        <f>G47*'Optimization Model'!G$14</f>
        <v>0</v>
      </c>
      <c r="CS47" s="4">
        <f>H47*'Optimization Model'!H$14</f>
        <v>0</v>
      </c>
      <c r="CT47" s="4">
        <f t="shared" si="9"/>
        <v>7</v>
      </c>
      <c r="CV47" s="3" t="s">
        <v>63</v>
      </c>
      <c r="CW47" s="4">
        <f>C47*'Optimization Model'!C$15</f>
        <v>0</v>
      </c>
      <c r="CX47" s="4">
        <f>D47*'Optimization Model'!D$15</f>
        <v>0</v>
      </c>
      <c r="CY47" s="4">
        <f>E47*'Optimization Model'!E$15</f>
        <v>0</v>
      </c>
      <c r="CZ47" s="4">
        <f>F47*'Optimization Model'!F$15</f>
        <v>7</v>
      </c>
      <c r="DA47" s="4">
        <f>G47*'Optimization Model'!G$15</f>
        <v>5</v>
      </c>
      <c r="DB47" s="4">
        <f>H47*'Optimization Model'!H$15</f>
        <v>0</v>
      </c>
      <c r="DC47" s="4">
        <f t="shared" si="10"/>
        <v>12</v>
      </c>
      <c r="DE47" s="3" t="s">
        <v>63</v>
      </c>
      <c r="DF47" s="4">
        <f>C47*'Optimization Model'!C$16</f>
        <v>0</v>
      </c>
      <c r="DG47" s="4">
        <f>D47*'Optimization Model'!D$16</f>
        <v>0</v>
      </c>
      <c r="DH47" s="4">
        <f>E47*'Optimization Model'!E$16</f>
        <v>11</v>
      </c>
      <c r="DI47" s="4">
        <f>F47*'Optimization Model'!F$16</f>
        <v>0</v>
      </c>
      <c r="DJ47" s="4">
        <f>G47*'Optimization Model'!G$16</f>
        <v>0</v>
      </c>
      <c r="DK47" s="4">
        <f>H47*'Optimization Model'!H$16</f>
        <v>0</v>
      </c>
      <c r="DL47" s="4">
        <f t="shared" si="11"/>
        <v>11</v>
      </c>
      <c r="DN47" s="3" t="s">
        <v>63</v>
      </c>
      <c r="DO47" s="4">
        <f>C47*'Optimization Model'!C$17</f>
        <v>0</v>
      </c>
      <c r="DP47" s="4">
        <f>D47*'Optimization Model'!D$17</f>
        <v>0</v>
      </c>
      <c r="DQ47" s="4">
        <f>E47*'Optimization Model'!E$17</f>
        <v>11</v>
      </c>
      <c r="DR47" s="4">
        <f>F47*'Optimization Model'!F$17</f>
        <v>0</v>
      </c>
      <c r="DS47" s="4">
        <f>G47*'Optimization Model'!G$17</f>
        <v>5</v>
      </c>
      <c r="DT47" s="4">
        <f>H47*'Optimization Model'!H$17</f>
        <v>0</v>
      </c>
      <c r="DU47" s="4">
        <f t="shared" si="12"/>
        <v>16</v>
      </c>
      <c r="DW47" s="3" t="s">
        <v>63</v>
      </c>
      <c r="DX47" s="4">
        <f>C47*'Optimization Model'!C$18</f>
        <v>0</v>
      </c>
      <c r="DY47" s="4">
        <f>D47*'Optimization Model'!D$18</f>
        <v>0</v>
      </c>
      <c r="DZ47" s="4">
        <f>E47*'Optimization Model'!E$18</f>
        <v>11</v>
      </c>
      <c r="EA47" s="4">
        <f>F47*'Optimization Model'!F$18</f>
        <v>7</v>
      </c>
      <c r="EB47" s="4">
        <f>G47*'Optimization Model'!G$18</f>
        <v>0</v>
      </c>
      <c r="EC47" s="4">
        <f>H47*'Optimization Model'!H$18</f>
        <v>0</v>
      </c>
      <c r="ED47" s="4">
        <f t="shared" si="13"/>
        <v>18</v>
      </c>
      <c r="EF47" s="3" t="s">
        <v>63</v>
      </c>
      <c r="EG47" s="4">
        <f>C47*'Optimization Model'!C$19</f>
        <v>0</v>
      </c>
      <c r="EH47" s="4">
        <f>D47*'Optimization Model'!D$19</f>
        <v>0</v>
      </c>
      <c r="EI47" s="4">
        <f>E47*'Optimization Model'!E$19</f>
        <v>0</v>
      </c>
      <c r="EJ47" s="4">
        <f>F47*'Optimization Model'!F$19</f>
        <v>0</v>
      </c>
      <c r="EK47" s="4">
        <f>G47*'Optimization Model'!G$19</f>
        <v>0</v>
      </c>
      <c r="EL47" s="4">
        <f>H47*'Optimization Model'!H$19</f>
        <v>8</v>
      </c>
      <c r="EM47" s="4">
        <f t="shared" si="14"/>
        <v>8</v>
      </c>
      <c r="EO47" s="3" t="s">
        <v>63</v>
      </c>
      <c r="EP47" s="4">
        <f>C47*'Optimization Model'!C$20</f>
        <v>0</v>
      </c>
      <c r="EQ47" s="4">
        <f>D47*'Optimization Model'!D$20</f>
        <v>0</v>
      </c>
      <c r="ER47" s="4">
        <f>E47*'Optimization Model'!E$20</f>
        <v>0</v>
      </c>
      <c r="ES47" s="4">
        <f>F47*'Optimization Model'!F$20</f>
        <v>0</v>
      </c>
      <c r="ET47" s="4">
        <f>G47*'Optimization Model'!G$20</f>
        <v>0</v>
      </c>
      <c r="EU47" s="4">
        <f>H47*'Optimization Model'!H$20</f>
        <v>8</v>
      </c>
      <c r="EV47" s="4">
        <f t="shared" si="15"/>
        <v>8</v>
      </c>
    </row>
    <row r="48" spans="2:152" x14ac:dyDescent="0.35">
      <c r="B48" s="3" t="s">
        <v>64</v>
      </c>
      <c r="C48" s="4">
        <f>'Data- Refined'!U48</f>
        <v>21</v>
      </c>
      <c r="D48" s="4">
        <f>'Data- Refined'!V48</f>
        <v>22</v>
      </c>
      <c r="E48" s="4">
        <f>'Data- Refined'!W48</f>
        <v>14</v>
      </c>
      <c r="F48" s="4">
        <f>'Data- Refined'!X48</f>
        <v>10</v>
      </c>
      <c r="G48" s="4">
        <f>'Data- Refined'!Y48</f>
        <v>10</v>
      </c>
      <c r="H48" s="4">
        <f>'Data- Refined'!Z48</f>
        <v>8</v>
      </c>
      <c r="J48" s="3" t="s">
        <v>64</v>
      </c>
      <c r="K48" s="4">
        <f>C48*'Optimization Model'!C$5</f>
        <v>21</v>
      </c>
      <c r="L48" s="4">
        <f>D48*'Optimization Model'!D$5</f>
        <v>0</v>
      </c>
      <c r="M48" s="4">
        <f>E48*'Optimization Model'!E$5</f>
        <v>0</v>
      </c>
      <c r="N48" s="4">
        <f>F48*'Optimization Model'!F$5</f>
        <v>0</v>
      </c>
      <c r="O48" s="4">
        <f>G48*'Optimization Model'!G$5</f>
        <v>0</v>
      </c>
      <c r="P48" s="4">
        <f>H48*'Optimization Model'!H$5</f>
        <v>0</v>
      </c>
      <c r="Q48" s="4">
        <f t="shared" si="0"/>
        <v>21</v>
      </c>
      <c r="R48" s="8"/>
      <c r="S48" s="3" t="s">
        <v>64</v>
      </c>
      <c r="T48" s="4">
        <f>C48*'Optimization Model'!C$6</f>
        <v>0</v>
      </c>
      <c r="U48" s="4">
        <f>D48*'Optimization Model'!D$6</f>
        <v>22</v>
      </c>
      <c r="V48" s="4">
        <f>E48*'Optimization Model'!E$6</f>
        <v>0</v>
      </c>
      <c r="W48" s="4">
        <f>F48*'Optimization Model'!F$6</f>
        <v>0</v>
      </c>
      <c r="X48" s="4">
        <f>G48*'Optimization Model'!G$6</f>
        <v>0</v>
      </c>
      <c r="Y48" s="4">
        <f>H48*'Optimization Model'!H$6</f>
        <v>0</v>
      </c>
      <c r="Z48" s="4">
        <f t="shared" si="1"/>
        <v>22</v>
      </c>
      <c r="AB48" s="3" t="s">
        <v>64</v>
      </c>
      <c r="AC48" s="4">
        <f>C48*'Optimization Model'!C$7</f>
        <v>21</v>
      </c>
      <c r="AD48" s="4">
        <f>D48*'Optimization Model'!D$7</f>
        <v>0</v>
      </c>
      <c r="AE48" s="4">
        <f>E48*'Optimization Model'!E$7</f>
        <v>0</v>
      </c>
      <c r="AF48" s="4">
        <f>F48*'Optimization Model'!F$7</f>
        <v>0</v>
      </c>
      <c r="AG48" s="4">
        <f>G48*'Optimization Model'!G$7</f>
        <v>0</v>
      </c>
      <c r="AH48" s="4">
        <f>H48*'Optimization Model'!H$7</f>
        <v>0</v>
      </c>
      <c r="AI48" s="4">
        <f t="shared" si="2"/>
        <v>21</v>
      </c>
      <c r="AK48" s="3" t="s">
        <v>64</v>
      </c>
      <c r="AL48" s="4">
        <f>C48*'Optimization Model'!C$8</f>
        <v>0</v>
      </c>
      <c r="AM48" s="4">
        <f>D48*'Optimization Model'!D$8</f>
        <v>22</v>
      </c>
      <c r="AN48" s="4">
        <f>E48*'Optimization Model'!E$8</f>
        <v>0</v>
      </c>
      <c r="AO48" s="4">
        <f>F48*'Optimization Model'!F$8</f>
        <v>0</v>
      </c>
      <c r="AP48" s="4">
        <f>G48*'Optimization Model'!G$8</f>
        <v>0</v>
      </c>
      <c r="AQ48" s="4">
        <f>H48*'Optimization Model'!H$8</f>
        <v>8</v>
      </c>
      <c r="AR48" s="4">
        <f t="shared" si="3"/>
        <v>30</v>
      </c>
      <c r="AT48" s="3" t="s">
        <v>64</v>
      </c>
      <c r="AU48" s="4">
        <f>C48*'Optimization Model'!C$9</f>
        <v>21</v>
      </c>
      <c r="AV48" s="4">
        <f>D48*'Optimization Model'!D$9</f>
        <v>0</v>
      </c>
      <c r="AW48" s="4">
        <f>E48*'Optimization Model'!E$9</f>
        <v>0</v>
      </c>
      <c r="AX48" s="4">
        <f>F48*'Optimization Model'!F$9</f>
        <v>10</v>
      </c>
      <c r="AY48" s="4">
        <f>G48*'Optimization Model'!G$9</f>
        <v>0</v>
      </c>
      <c r="AZ48" s="4">
        <f>H48*'Optimization Model'!H$9</f>
        <v>0</v>
      </c>
      <c r="BA48" s="4">
        <f t="shared" si="4"/>
        <v>31</v>
      </c>
      <c r="BC48" s="3" t="s">
        <v>64</v>
      </c>
      <c r="BD48" s="4">
        <f>C48*'Optimization Model'!C$10</f>
        <v>0</v>
      </c>
      <c r="BE48" s="4">
        <f>D48*'Optimization Model'!D$10</f>
        <v>22</v>
      </c>
      <c r="BF48" s="4">
        <f>E48*'Optimization Model'!E$10</f>
        <v>0</v>
      </c>
      <c r="BG48" s="4">
        <f>F48*'Optimization Model'!F$10</f>
        <v>10</v>
      </c>
      <c r="BH48" s="4">
        <f>G48*'Optimization Model'!G$10</f>
        <v>0</v>
      </c>
      <c r="BI48" s="4">
        <f>H48*'Optimization Model'!H$10</f>
        <v>0</v>
      </c>
      <c r="BJ48" s="4">
        <f t="shared" si="5"/>
        <v>32</v>
      </c>
      <c r="BL48" s="3" t="s">
        <v>64</v>
      </c>
      <c r="BM48" s="4">
        <f>C48*'Optimization Model'!C$11</f>
        <v>0</v>
      </c>
      <c r="BN48" s="4">
        <f>D48*'Optimization Model'!D$11</f>
        <v>0</v>
      </c>
      <c r="BO48" s="4">
        <f>E48*'Optimization Model'!E$11</f>
        <v>14</v>
      </c>
      <c r="BP48" s="4">
        <f>F48*'Optimization Model'!F$11</f>
        <v>0</v>
      </c>
      <c r="BQ48" s="4">
        <f>G48*'Optimization Model'!G$11</f>
        <v>10</v>
      </c>
      <c r="BR48" s="4">
        <f>H48*'Optimization Model'!H$11</f>
        <v>0</v>
      </c>
      <c r="BS48" s="4">
        <f t="shared" si="6"/>
        <v>24</v>
      </c>
      <c r="BU48" s="3" t="s">
        <v>64</v>
      </c>
      <c r="BV48" s="4">
        <f>C48*'Optimization Model'!C$12</f>
        <v>0</v>
      </c>
      <c r="BW48" s="4">
        <f>D48*'Optimization Model'!D$12</f>
        <v>0</v>
      </c>
      <c r="BX48" s="4">
        <f>E48*'Optimization Model'!E$12</f>
        <v>0</v>
      </c>
      <c r="BY48" s="4">
        <f>F48*'Optimization Model'!F$12</f>
        <v>0</v>
      </c>
      <c r="BZ48" s="4">
        <f>G48*'Optimization Model'!G$12</f>
        <v>10</v>
      </c>
      <c r="CA48" s="4">
        <f>H48*'Optimization Model'!H$12</f>
        <v>8</v>
      </c>
      <c r="CB48" s="4">
        <f t="shared" si="7"/>
        <v>18</v>
      </c>
      <c r="CD48" s="3" t="s">
        <v>64</v>
      </c>
      <c r="CE48" s="4">
        <f>C48*'Optimization Model'!C$13</f>
        <v>21</v>
      </c>
      <c r="CF48" s="4">
        <f>D48*'Optimization Model'!D$13</f>
        <v>0</v>
      </c>
      <c r="CG48" s="4">
        <f>E48*'Optimization Model'!E$13</f>
        <v>0</v>
      </c>
      <c r="CH48" s="4">
        <f>F48*'Optimization Model'!F$13</f>
        <v>0</v>
      </c>
      <c r="CI48" s="4">
        <f>G48*'Optimization Model'!G$13</f>
        <v>0</v>
      </c>
      <c r="CJ48" s="4">
        <f>H48*'Optimization Model'!H$13</f>
        <v>0</v>
      </c>
      <c r="CK48" s="4">
        <f t="shared" si="8"/>
        <v>21</v>
      </c>
      <c r="CM48" s="3" t="s">
        <v>64</v>
      </c>
      <c r="CN48" s="4">
        <f>C48*'Optimization Model'!C$14</f>
        <v>0</v>
      </c>
      <c r="CO48" s="4">
        <f>D48*'Optimization Model'!D$14</f>
        <v>22</v>
      </c>
      <c r="CP48" s="4">
        <f>E48*'Optimization Model'!E$14</f>
        <v>0</v>
      </c>
      <c r="CQ48" s="4">
        <f>F48*'Optimization Model'!F$14</f>
        <v>0</v>
      </c>
      <c r="CR48" s="4">
        <f>G48*'Optimization Model'!G$14</f>
        <v>0</v>
      </c>
      <c r="CS48" s="4">
        <f>H48*'Optimization Model'!H$14</f>
        <v>0</v>
      </c>
      <c r="CT48" s="4">
        <f t="shared" si="9"/>
        <v>22</v>
      </c>
      <c r="CV48" s="3" t="s">
        <v>64</v>
      </c>
      <c r="CW48" s="4">
        <f>C48*'Optimization Model'!C$15</f>
        <v>0</v>
      </c>
      <c r="CX48" s="4">
        <f>D48*'Optimization Model'!D$15</f>
        <v>0</v>
      </c>
      <c r="CY48" s="4">
        <f>E48*'Optimization Model'!E$15</f>
        <v>0</v>
      </c>
      <c r="CZ48" s="4">
        <f>F48*'Optimization Model'!F$15</f>
        <v>10</v>
      </c>
      <c r="DA48" s="4">
        <f>G48*'Optimization Model'!G$15</f>
        <v>10</v>
      </c>
      <c r="DB48" s="4">
        <f>H48*'Optimization Model'!H$15</f>
        <v>0</v>
      </c>
      <c r="DC48" s="4">
        <f t="shared" si="10"/>
        <v>20</v>
      </c>
      <c r="DE48" s="3" t="s">
        <v>64</v>
      </c>
      <c r="DF48" s="4">
        <f>C48*'Optimization Model'!C$16</f>
        <v>0</v>
      </c>
      <c r="DG48" s="4">
        <f>D48*'Optimization Model'!D$16</f>
        <v>0</v>
      </c>
      <c r="DH48" s="4">
        <f>E48*'Optimization Model'!E$16</f>
        <v>14</v>
      </c>
      <c r="DI48" s="4">
        <f>F48*'Optimization Model'!F$16</f>
        <v>0</v>
      </c>
      <c r="DJ48" s="4">
        <f>G48*'Optimization Model'!G$16</f>
        <v>0</v>
      </c>
      <c r="DK48" s="4">
        <f>H48*'Optimization Model'!H$16</f>
        <v>0</v>
      </c>
      <c r="DL48" s="4">
        <f t="shared" si="11"/>
        <v>14</v>
      </c>
      <c r="DN48" s="3" t="s">
        <v>64</v>
      </c>
      <c r="DO48" s="4">
        <f>C48*'Optimization Model'!C$17</f>
        <v>0</v>
      </c>
      <c r="DP48" s="4">
        <f>D48*'Optimization Model'!D$17</f>
        <v>0</v>
      </c>
      <c r="DQ48" s="4">
        <f>E48*'Optimization Model'!E$17</f>
        <v>14</v>
      </c>
      <c r="DR48" s="4">
        <f>F48*'Optimization Model'!F$17</f>
        <v>0</v>
      </c>
      <c r="DS48" s="4">
        <f>G48*'Optimization Model'!G$17</f>
        <v>10</v>
      </c>
      <c r="DT48" s="4">
        <f>H48*'Optimization Model'!H$17</f>
        <v>0</v>
      </c>
      <c r="DU48" s="4">
        <f t="shared" si="12"/>
        <v>24</v>
      </c>
      <c r="DW48" s="3" t="s">
        <v>64</v>
      </c>
      <c r="DX48" s="4">
        <f>C48*'Optimization Model'!C$18</f>
        <v>0</v>
      </c>
      <c r="DY48" s="4">
        <f>D48*'Optimization Model'!D$18</f>
        <v>0</v>
      </c>
      <c r="DZ48" s="4">
        <f>E48*'Optimization Model'!E$18</f>
        <v>14</v>
      </c>
      <c r="EA48" s="4">
        <f>F48*'Optimization Model'!F$18</f>
        <v>10</v>
      </c>
      <c r="EB48" s="4">
        <f>G48*'Optimization Model'!G$18</f>
        <v>0</v>
      </c>
      <c r="EC48" s="4">
        <f>H48*'Optimization Model'!H$18</f>
        <v>0</v>
      </c>
      <c r="ED48" s="4">
        <f t="shared" si="13"/>
        <v>24</v>
      </c>
      <c r="EF48" s="3" t="s">
        <v>64</v>
      </c>
      <c r="EG48" s="4">
        <f>C48*'Optimization Model'!C$19</f>
        <v>0</v>
      </c>
      <c r="EH48" s="4">
        <f>D48*'Optimization Model'!D$19</f>
        <v>0</v>
      </c>
      <c r="EI48" s="4">
        <f>E48*'Optimization Model'!E$19</f>
        <v>0</v>
      </c>
      <c r="EJ48" s="4">
        <f>F48*'Optimization Model'!F$19</f>
        <v>0</v>
      </c>
      <c r="EK48" s="4">
        <f>G48*'Optimization Model'!G$19</f>
        <v>0</v>
      </c>
      <c r="EL48" s="4">
        <f>H48*'Optimization Model'!H$19</f>
        <v>8</v>
      </c>
      <c r="EM48" s="4">
        <f t="shared" si="14"/>
        <v>8</v>
      </c>
      <c r="EO48" s="3" t="s">
        <v>64</v>
      </c>
      <c r="EP48" s="4">
        <f>C48*'Optimization Model'!C$20</f>
        <v>0</v>
      </c>
      <c r="EQ48" s="4">
        <f>D48*'Optimization Model'!D$20</f>
        <v>0</v>
      </c>
      <c r="ER48" s="4">
        <f>E48*'Optimization Model'!E$20</f>
        <v>0</v>
      </c>
      <c r="ES48" s="4">
        <f>F48*'Optimization Model'!F$20</f>
        <v>0</v>
      </c>
      <c r="ET48" s="4">
        <f>G48*'Optimization Model'!G$20</f>
        <v>0</v>
      </c>
      <c r="EU48" s="4">
        <f>H48*'Optimization Model'!H$20</f>
        <v>8</v>
      </c>
      <c r="EV48" s="4">
        <f t="shared" si="15"/>
        <v>8</v>
      </c>
    </row>
    <row r="49" spans="2:152" x14ac:dyDescent="0.35">
      <c r="B49" s="3" t="s">
        <v>65</v>
      </c>
      <c r="C49" s="4">
        <f>'Data- Refined'!U49</f>
        <v>12</v>
      </c>
      <c r="D49" s="4">
        <f>'Data- Refined'!V49</f>
        <v>5</v>
      </c>
      <c r="E49" s="4">
        <f>'Data- Refined'!W49</f>
        <v>3</v>
      </c>
      <c r="F49" s="4">
        <f>'Data- Refined'!X49</f>
        <v>8</v>
      </c>
      <c r="G49" s="4">
        <f>'Data- Refined'!Y49</f>
        <v>3</v>
      </c>
      <c r="H49" s="4">
        <f>'Data- Refined'!Z49</f>
        <v>2</v>
      </c>
      <c r="J49" s="3" t="s">
        <v>65</v>
      </c>
      <c r="K49" s="4">
        <f>C49*'Optimization Model'!C$5</f>
        <v>12</v>
      </c>
      <c r="L49" s="4">
        <f>D49*'Optimization Model'!D$5</f>
        <v>0</v>
      </c>
      <c r="M49" s="4">
        <f>E49*'Optimization Model'!E$5</f>
        <v>0</v>
      </c>
      <c r="N49" s="4">
        <f>F49*'Optimization Model'!F$5</f>
        <v>0</v>
      </c>
      <c r="O49" s="4">
        <f>G49*'Optimization Model'!G$5</f>
        <v>0</v>
      </c>
      <c r="P49" s="4">
        <f>H49*'Optimization Model'!H$5</f>
        <v>0</v>
      </c>
      <c r="Q49" s="4">
        <f t="shared" si="0"/>
        <v>12</v>
      </c>
      <c r="R49" s="8"/>
      <c r="S49" s="3" t="s">
        <v>65</v>
      </c>
      <c r="T49" s="4">
        <f>C49*'Optimization Model'!C$6</f>
        <v>0</v>
      </c>
      <c r="U49" s="4">
        <f>D49*'Optimization Model'!D$6</f>
        <v>5</v>
      </c>
      <c r="V49" s="4">
        <f>E49*'Optimization Model'!E$6</f>
        <v>0</v>
      </c>
      <c r="W49" s="4">
        <f>F49*'Optimization Model'!F$6</f>
        <v>0</v>
      </c>
      <c r="X49" s="4">
        <f>G49*'Optimization Model'!G$6</f>
        <v>0</v>
      </c>
      <c r="Y49" s="4">
        <f>H49*'Optimization Model'!H$6</f>
        <v>0</v>
      </c>
      <c r="Z49" s="4">
        <f t="shared" si="1"/>
        <v>5</v>
      </c>
      <c r="AB49" s="3" t="s">
        <v>65</v>
      </c>
      <c r="AC49" s="4">
        <f>C49*'Optimization Model'!C$7</f>
        <v>12</v>
      </c>
      <c r="AD49" s="4">
        <f>D49*'Optimization Model'!D$7</f>
        <v>0</v>
      </c>
      <c r="AE49" s="4">
        <f>E49*'Optimization Model'!E$7</f>
        <v>0</v>
      </c>
      <c r="AF49" s="4">
        <f>F49*'Optimization Model'!F$7</f>
        <v>0</v>
      </c>
      <c r="AG49" s="4">
        <f>G49*'Optimization Model'!G$7</f>
        <v>0</v>
      </c>
      <c r="AH49" s="4">
        <f>H49*'Optimization Model'!H$7</f>
        <v>0</v>
      </c>
      <c r="AI49" s="4">
        <f t="shared" si="2"/>
        <v>12</v>
      </c>
      <c r="AK49" s="3" t="s">
        <v>65</v>
      </c>
      <c r="AL49" s="4">
        <f>C49*'Optimization Model'!C$8</f>
        <v>0</v>
      </c>
      <c r="AM49" s="4">
        <f>D49*'Optimization Model'!D$8</f>
        <v>5</v>
      </c>
      <c r="AN49" s="4">
        <f>E49*'Optimization Model'!E$8</f>
        <v>0</v>
      </c>
      <c r="AO49" s="4">
        <f>F49*'Optimization Model'!F$8</f>
        <v>0</v>
      </c>
      <c r="AP49" s="4">
        <f>G49*'Optimization Model'!G$8</f>
        <v>0</v>
      </c>
      <c r="AQ49" s="4">
        <f>H49*'Optimization Model'!H$8</f>
        <v>2</v>
      </c>
      <c r="AR49" s="4">
        <f t="shared" si="3"/>
        <v>7</v>
      </c>
      <c r="AT49" s="3" t="s">
        <v>65</v>
      </c>
      <c r="AU49" s="4">
        <f>C49*'Optimization Model'!C$9</f>
        <v>12</v>
      </c>
      <c r="AV49" s="4">
        <f>D49*'Optimization Model'!D$9</f>
        <v>0</v>
      </c>
      <c r="AW49" s="4">
        <f>E49*'Optimization Model'!E$9</f>
        <v>0</v>
      </c>
      <c r="AX49" s="4">
        <f>F49*'Optimization Model'!F$9</f>
        <v>8</v>
      </c>
      <c r="AY49" s="4">
        <f>G49*'Optimization Model'!G$9</f>
        <v>0</v>
      </c>
      <c r="AZ49" s="4">
        <f>H49*'Optimization Model'!H$9</f>
        <v>0</v>
      </c>
      <c r="BA49" s="4">
        <f t="shared" si="4"/>
        <v>20</v>
      </c>
      <c r="BC49" s="3" t="s">
        <v>65</v>
      </c>
      <c r="BD49" s="4">
        <f>C49*'Optimization Model'!C$10</f>
        <v>0</v>
      </c>
      <c r="BE49" s="4">
        <f>D49*'Optimization Model'!D$10</f>
        <v>5</v>
      </c>
      <c r="BF49" s="4">
        <f>E49*'Optimization Model'!E$10</f>
        <v>0</v>
      </c>
      <c r="BG49" s="4">
        <f>F49*'Optimization Model'!F$10</f>
        <v>8</v>
      </c>
      <c r="BH49" s="4">
        <f>G49*'Optimization Model'!G$10</f>
        <v>0</v>
      </c>
      <c r="BI49" s="4">
        <f>H49*'Optimization Model'!H$10</f>
        <v>0</v>
      </c>
      <c r="BJ49" s="4">
        <f t="shared" si="5"/>
        <v>13</v>
      </c>
      <c r="BL49" s="3" t="s">
        <v>65</v>
      </c>
      <c r="BM49" s="4">
        <f>C49*'Optimization Model'!C$11</f>
        <v>0</v>
      </c>
      <c r="BN49" s="4">
        <f>D49*'Optimization Model'!D$11</f>
        <v>0</v>
      </c>
      <c r="BO49" s="4">
        <f>E49*'Optimization Model'!E$11</f>
        <v>3</v>
      </c>
      <c r="BP49" s="4">
        <f>F49*'Optimization Model'!F$11</f>
        <v>0</v>
      </c>
      <c r="BQ49" s="4">
        <f>G49*'Optimization Model'!G$11</f>
        <v>3</v>
      </c>
      <c r="BR49" s="4">
        <f>H49*'Optimization Model'!H$11</f>
        <v>0</v>
      </c>
      <c r="BS49" s="4">
        <f t="shared" si="6"/>
        <v>6</v>
      </c>
      <c r="BU49" s="3" t="s">
        <v>65</v>
      </c>
      <c r="BV49" s="4">
        <f>C49*'Optimization Model'!C$12</f>
        <v>0</v>
      </c>
      <c r="BW49" s="4">
        <f>D49*'Optimization Model'!D$12</f>
        <v>0</v>
      </c>
      <c r="BX49" s="4">
        <f>E49*'Optimization Model'!E$12</f>
        <v>0</v>
      </c>
      <c r="BY49" s="4">
        <f>F49*'Optimization Model'!F$12</f>
        <v>0</v>
      </c>
      <c r="BZ49" s="4">
        <f>G49*'Optimization Model'!G$12</f>
        <v>3</v>
      </c>
      <c r="CA49" s="4">
        <f>H49*'Optimization Model'!H$12</f>
        <v>2</v>
      </c>
      <c r="CB49" s="4">
        <f t="shared" si="7"/>
        <v>5</v>
      </c>
      <c r="CD49" s="3" t="s">
        <v>65</v>
      </c>
      <c r="CE49" s="4">
        <f>C49*'Optimization Model'!C$13</f>
        <v>12</v>
      </c>
      <c r="CF49" s="4">
        <f>D49*'Optimization Model'!D$13</f>
        <v>0</v>
      </c>
      <c r="CG49" s="4">
        <f>E49*'Optimization Model'!E$13</f>
        <v>0</v>
      </c>
      <c r="CH49" s="4">
        <f>F49*'Optimization Model'!F$13</f>
        <v>0</v>
      </c>
      <c r="CI49" s="4">
        <f>G49*'Optimization Model'!G$13</f>
        <v>0</v>
      </c>
      <c r="CJ49" s="4">
        <f>H49*'Optimization Model'!H$13</f>
        <v>0</v>
      </c>
      <c r="CK49" s="4">
        <f t="shared" si="8"/>
        <v>12</v>
      </c>
      <c r="CM49" s="3" t="s">
        <v>65</v>
      </c>
      <c r="CN49" s="4">
        <f>C49*'Optimization Model'!C$14</f>
        <v>0</v>
      </c>
      <c r="CO49" s="4">
        <f>D49*'Optimization Model'!D$14</f>
        <v>5</v>
      </c>
      <c r="CP49" s="4">
        <f>E49*'Optimization Model'!E$14</f>
        <v>0</v>
      </c>
      <c r="CQ49" s="4">
        <f>F49*'Optimization Model'!F$14</f>
        <v>0</v>
      </c>
      <c r="CR49" s="4">
        <f>G49*'Optimization Model'!G$14</f>
        <v>0</v>
      </c>
      <c r="CS49" s="4">
        <f>H49*'Optimization Model'!H$14</f>
        <v>0</v>
      </c>
      <c r="CT49" s="4">
        <f t="shared" si="9"/>
        <v>5</v>
      </c>
      <c r="CV49" s="3" t="s">
        <v>65</v>
      </c>
      <c r="CW49" s="4">
        <f>C49*'Optimization Model'!C$15</f>
        <v>0</v>
      </c>
      <c r="CX49" s="4">
        <f>D49*'Optimization Model'!D$15</f>
        <v>0</v>
      </c>
      <c r="CY49" s="4">
        <f>E49*'Optimization Model'!E$15</f>
        <v>0</v>
      </c>
      <c r="CZ49" s="4">
        <f>F49*'Optimization Model'!F$15</f>
        <v>8</v>
      </c>
      <c r="DA49" s="4">
        <f>G49*'Optimization Model'!G$15</f>
        <v>3</v>
      </c>
      <c r="DB49" s="4">
        <f>H49*'Optimization Model'!H$15</f>
        <v>0</v>
      </c>
      <c r="DC49" s="4">
        <f t="shared" si="10"/>
        <v>11</v>
      </c>
      <c r="DE49" s="3" t="s">
        <v>65</v>
      </c>
      <c r="DF49" s="4">
        <f>C49*'Optimization Model'!C$16</f>
        <v>0</v>
      </c>
      <c r="DG49" s="4">
        <f>D49*'Optimization Model'!D$16</f>
        <v>0</v>
      </c>
      <c r="DH49" s="4">
        <f>E49*'Optimization Model'!E$16</f>
        <v>3</v>
      </c>
      <c r="DI49" s="4">
        <f>F49*'Optimization Model'!F$16</f>
        <v>0</v>
      </c>
      <c r="DJ49" s="4">
        <f>G49*'Optimization Model'!G$16</f>
        <v>0</v>
      </c>
      <c r="DK49" s="4">
        <f>H49*'Optimization Model'!H$16</f>
        <v>0</v>
      </c>
      <c r="DL49" s="4">
        <f t="shared" si="11"/>
        <v>3</v>
      </c>
      <c r="DN49" s="3" t="s">
        <v>65</v>
      </c>
      <c r="DO49" s="4">
        <f>C49*'Optimization Model'!C$17</f>
        <v>0</v>
      </c>
      <c r="DP49" s="4">
        <f>D49*'Optimization Model'!D$17</f>
        <v>0</v>
      </c>
      <c r="DQ49" s="4">
        <f>E49*'Optimization Model'!E$17</f>
        <v>3</v>
      </c>
      <c r="DR49" s="4">
        <f>F49*'Optimization Model'!F$17</f>
        <v>0</v>
      </c>
      <c r="DS49" s="4">
        <f>G49*'Optimization Model'!G$17</f>
        <v>3</v>
      </c>
      <c r="DT49" s="4">
        <f>H49*'Optimization Model'!H$17</f>
        <v>0</v>
      </c>
      <c r="DU49" s="4">
        <f t="shared" si="12"/>
        <v>6</v>
      </c>
      <c r="DW49" s="3" t="s">
        <v>65</v>
      </c>
      <c r="DX49" s="4">
        <f>C49*'Optimization Model'!C$18</f>
        <v>0</v>
      </c>
      <c r="DY49" s="4">
        <f>D49*'Optimization Model'!D$18</f>
        <v>0</v>
      </c>
      <c r="DZ49" s="4">
        <f>E49*'Optimization Model'!E$18</f>
        <v>3</v>
      </c>
      <c r="EA49" s="4">
        <f>F49*'Optimization Model'!F$18</f>
        <v>8</v>
      </c>
      <c r="EB49" s="4">
        <f>G49*'Optimization Model'!G$18</f>
        <v>0</v>
      </c>
      <c r="EC49" s="4">
        <f>H49*'Optimization Model'!H$18</f>
        <v>0</v>
      </c>
      <c r="ED49" s="4">
        <f t="shared" si="13"/>
        <v>11</v>
      </c>
      <c r="EF49" s="3" t="s">
        <v>65</v>
      </c>
      <c r="EG49" s="4">
        <f>C49*'Optimization Model'!C$19</f>
        <v>0</v>
      </c>
      <c r="EH49" s="4">
        <f>D49*'Optimization Model'!D$19</f>
        <v>0</v>
      </c>
      <c r="EI49" s="4">
        <f>E49*'Optimization Model'!E$19</f>
        <v>0</v>
      </c>
      <c r="EJ49" s="4">
        <f>F49*'Optimization Model'!F$19</f>
        <v>0</v>
      </c>
      <c r="EK49" s="4">
        <f>G49*'Optimization Model'!G$19</f>
        <v>0</v>
      </c>
      <c r="EL49" s="4">
        <f>H49*'Optimization Model'!H$19</f>
        <v>2</v>
      </c>
      <c r="EM49" s="4">
        <f t="shared" si="14"/>
        <v>2</v>
      </c>
      <c r="EO49" s="3" t="s">
        <v>65</v>
      </c>
      <c r="EP49" s="4">
        <f>C49*'Optimization Model'!C$20</f>
        <v>0</v>
      </c>
      <c r="EQ49" s="4">
        <f>D49*'Optimization Model'!D$20</f>
        <v>0</v>
      </c>
      <c r="ER49" s="4">
        <f>E49*'Optimization Model'!E$20</f>
        <v>0</v>
      </c>
      <c r="ES49" s="4">
        <f>F49*'Optimization Model'!F$20</f>
        <v>0</v>
      </c>
      <c r="ET49" s="4">
        <f>G49*'Optimization Model'!G$20</f>
        <v>0</v>
      </c>
      <c r="EU49" s="4">
        <f>H49*'Optimization Model'!H$20</f>
        <v>2</v>
      </c>
      <c r="EV49" s="4">
        <f t="shared" si="15"/>
        <v>2</v>
      </c>
    </row>
    <row r="50" spans="2:152" x14ac:dyDescent="0.35">
      <c r="B50" s="3" t="s">
        <v>66</v>
      </c>
      <c r="C50" s="4">
        <f>'Data- Refined'!U50</f>
        <v>20</v>
      </c>
      <c r="D50" s="4">
        <f>'Data- Refined'!V50</f>
        <v>22</v>
      </c>
      <c r="E50" s="4">
        <f>'Data- Refined'!W50</f>
        <v>15</v>
      </c>
      <c r="F50" s="4">
        <f>'Data- Refined'!X50</f>
        <v>13</v>
      </c>
      <c r="G50" s="4">
        <f>'Data- Refined'!Y50</f>
        <v>11</v>
      </c>
      <c r="H50" s="4">
        <f>'Data- Refined'!Z50</f>
        <v>10</v>
      </c>
      <c r="J50" s="3" t="s">
        <v>66</v>
      </c>
      <c r="K50" s="4">
        <f>C50*'Optimization Model'!C$5</f>
        <v>20</v>
      </c>
      <c r="L50" s="4">
        <f>D50*'Optimization Model'!D$5</f>
        <v>0</v>
      </c>
      <c r="M50" s="4">
        <f>E50*'Optimization Model'!E$5</f>
        <v>0</v>
      </c>
      <c r="N50" s="4">
        <f>F50*'Optimization Model'!F$5</f>
        <v>0</v>
      </c>
      <c r="O50" s="4">
        <f>G50*'Optimization Model'!G$5</f>
        <v>0</v>
      </c>
      <c r="P50" s="4">
        <f>H50*'Optimization Model'!H$5</f>
        <v>0</v>
      </c>
      <c r="Q50" s="4">
        <f t="shared" si="0"/>
        <v>20</v>
      </c>
      <c r="R50" s="8"/>
      <c r="S50" s="3" t="s">
        <v>66</v>
      </c>
      <c r="T50" s="4">
        <f>C50*'Optimization Model'!C$6</f>
        <v>0</v>
      </c>
      <c r="U50" s="4">
        <f>D50*'Optimization Model'!D$6</f>
        <v>22</v>
      </c>
      <c r="V50" s="4">
        <f>E50*'Optimization Model'!E$6</f>
        <v>0</v>
      </c>
      <c r="W50" s="4">
        <f>F50*'Optimization Model'!F$6</f>
        <v>0</v>
      </c>
      <c r="X50" s="4">
        <f>G50*'Optimization Model'!G$6</f>
        <v>0</v>
      </c>
      <c r="Y50" s="4">
        <f>H50*'Optimization Model'!H$6</f>
        <v>0</v>
      </c>
      <c r="Z50" s="4">
        <f t="shared" si="1"/>
        <v>22</v>
      </c>
      <c r="AB50" s="3" t="s">
        <v>66</v>
      </c>
      <c r="AC50" s="4">
        <f>C50*'Optimization Model'!C$7</f>
        <v>20</v>
      </c>
      <c r="AD50" s="4">
        <f>D50*'Optimization Model'!D$7</f>
        <v>0</v>
      </c>
      <c r="AE50" s="4">
        <f>E50*'Optimization Model'!E$7</f>
        <v>0</v>
      </c>
      <c r="AF50" s="4">
        <f>F50*'Optimization Model'!F$7</f>
        <v>0</v>
      </c>
      <c r="AG50" s="4">
        <f>G50*'Optimization Model'!G$7</f>
        <v>0</v>
      </c>
      <c r="AH50" s="4">
        <f>H50*'Optimization Model'!H$7</f>
        <v>0</v>
      </c>
      <c r="AI50" s="4">
        <f t="shared" si="2"/>
        <v>20</v>
      </c>
      <c r="AK50" s="3" t="s">
        <v>66</v>
      </c>
      <c r="AL50" s="4">
        <f>C50*'Optimization Model'!C$8</f>
        <v>0</v>
      </c>
      <c r="AM50" s="4">
        <f>D50*'Optimization Model'!D$8</f>
        <v>22</v>
      </c>
      <c r="AN50" s="4">
        <f>E50*'Optimization Model'!E$8</f>
        <v>0</v>
      </c>
      <c r="AO50" s="4">
        <f>F50*'Optimization Model'!F$8</f>
        <v>0</v>
      </c>
      <c r="AP50" s="4">
        <f>G50*'Optimization Model'!G$8</f>
        <v>0</v>
      </c>
      <c r="AQ50" s="4">
        <f>H50*'Optimization Model'!H$8</f>
        <v>10</v>
      </c>
      <c r="AR50" s="4">
        <f t="shared" si="3"/>
        <v>32</v>
      </c>
      <c r="AT50" s="3" t="s">
        <v>66</v>
      </c>
      <c r="AU50" s="4">
        <f>C50*'Optimization Model'!C$9</f>
        <v>20</v>
      </c>
      <c r="AV50" s="4">
        <f>D50*'Optimization Model'!D$9</f>
        <v>0</v>
      </c>
      <c r="AW50" s="4">
        <f>E50*'Optimization Model'!E$9</f>
        <v>0</v>
      </c>
      <c r="AX50" s="4">
        <f>F50*'Optimization Model'!F$9</f>
        <v>13</v>
      </c>
      <c r="AY50" s="4">
        <f>G50*'Optimization Model'!G$9</f>
        <v>0</v>
      </c>
      <c r="AZ50" s="4">
        <f>H50*'Optimization Model'!H$9</f>
        <v>0</v>
      </c>
      <c r="BA50" s="4">
        <f t="shared" si="4"/>
        <v>33</v>
      </c>
      <c r="BC50" s="3" t="s">
        <v>66</v>
      </c>
      <c r="BD50" s="4">
        <f>C50*'Optimization Model'!C$10</f>
        <v>0</v>
      </c>
      <c r="BE50" s="4">
        <f>D50*'Optimization Model'!D$10</f>
        <v>22</v>
      </c>
      <c r="BF50" s="4">
        <f>E50*'Optimization Model'!E$10</f>
        <v>0</v>
      </c>
      <c r="BG50" s="4">
        <f>F50*'Optimization Model'!F$10</f>
        <v>13</v>
      </c>
      <c r="BH50" s="4">
        <f>G50*'Optimization Model'!G$10</f>
        <v>0</v>
      </c>
      <c r="BI50" s="4">
        <f>H50*'Optimization Model'!H$10</f>
        <v>0</v>
      </c>
      <c r="BJ50" s="4">
        <f t="shared" si="5"/>
        <v>35</v>
      </c>
      <c r="BL50" s="3" t="s">
        <v>66</v>
      </c>
      <c r="BM50" s="4">
        <f>C50*'Optimization Model'!C$11</f>
        <v>0</v>
      </c>
      <c r="BN50" s="4">
        <f>D50*'Optimization Model'!D$11</f>
        <v>0</v>
      </c>
      <c r="BO50" s="4">
        <f>E50*'Optimization Model'!E$11</f>
        <v>15</v>
      </c>
      <c r="BP50" s="4">
        <f>F50*'Optimization Model'!F$11</f>
        <v>0</v>
      </c>
      <c r="BQ50" s="4">
        <f>G50*'Optimization Model'!G$11</f>
        <v>11</v>
      </c>
      <c r="BR50" s="4">
        <f>H50*'Optimization Model'!H$11</f>
        <v>0</v>
      </c>
      <c r="BS50" s="4">
        <f t="shared" si="6"/>
        <v>26</v>
      </c>
      <c r="BU50" s="3" t="s">
        <v>66</v>
      </c>
      <c r="BV50" s="4">
        <f>C50*'Optimization Model'!C$12</f>
        <v>0</v>
      </c>
      <c r="BW50" s="4">
        <f>D50*'Optimization Model'!D$12</f>
        <v>0</v>
      </c>
      <c r="BX50" s="4">
        <f>E50*'Optimization Model'!E$12</f>
        <v>0</v>
      </c>
      <c r="BY50" s="4">
        <f>F50*'Optimization Model'!F$12</f>
        <v>0</v>
      </c>
      <c r="BZ50" s="4">
        <f>G50*'Optimization Model'!G$12</f>
        <v>11</v>
      </c>
      <c r="CA50" s="4">
        <f>H50*'Optimization Model'!H$12</f>
        <v>10</v>
      </c>
      <c r="CB50" s="4">
        <f t="shared" si="7"/>
        <v>21</v>
      </c>
      <c r="CD50" s="3" t="s">
        <v>66</v>
      </c>
      <c r="CE50" s="4">
        <f>C50*'Optimization Model'!C$13</f>
        <v>20</v>
      </c>
      <c r="CF50" s="4">
        <f>D50*'Optimization Model'!D$13</f>
        <v>0</v>
      </c>
      <c r="CG50" s="4">
        <f>E50*'Optimization Model'!E$13</f>
        <v>0</v>
      </c>
      <c r="CH50" s="4">
        <f>F50*'Optimization Model'!F$13</f>
        <v>0</v>
      </c>
      <c r="CI50" s="4">
        <f>G50*'Optimization Model'!G$13</f>
        <v>0</v>
      </c>
      <c r="CJ50" s="4">
        <f>H50*'Optimization Model'!H$13</f>
        <v>0</v>
      </c>
      <c r="CK50" s="4">
        <f t="shared" si="8"/>
        <v>20</v>
      </c>
      <c r="CM50" s="3" t="s">
        <v>66</v>
      </c>
      <c r="CN50" s="4">
        <f>C50*'Optimization Model'!C$14</f>
        <v>0</v>
      </c>
      <c r="CO50" s="4">
        <f>D50*'Optimization Model'!D$14</f>
        <v>22</v>
      </c>
      <c r="CP50" s="4">
        <f>E50*'Optimization Model'!E$14</f>
        <v>0</v>
      </c>
      <c r="CQ50" s="4">
        <f>F50*'Optimization Model'!F$14</f>
        <v>0</v>
      </c>
      <c r="CR50" s="4">
        <f>G50*'Optimization Model'!G$14</f>
        <v>0</v>
      </c>
      <c r="CS50" s="4">
        <f>H50*'Optimization Model'!H$14</f>
        <v>0</v>
      </c>
      <c r="CT50" s="4">
        <f t="shared" si="9"/>
        <v>22</v>
      </c>
      <c r="CV50" s="3" t="s">
        <v>66</v>
      </c>
      <c r="CW50" s="4">
        <f>C50*'Optimization Model'!C$15</f>
        <v>0</v>
      </c>
      <c r="CX50" s="4">
        <f>D50*'Optimization Model'!D$15</f>
        <v>0</v>
      </c>
      <c r="CY50" s="4">
        <f>E50*'Optimization Model'!E$15</f>
        <v>0</v>
      </c>
      <c r="CZ50" s="4">
        <f>F50*'Optimization Model'!F$15</f>
        <v>13</v>
      </c>
      <c r="DA50" s="4">
        <f>G50*'Optimization Model'!G$15</f>
        <v>11</v>
      </c>
      <c r="DB50" s="4">
        <f>H50*'Optimization Model'!H$15</f>
        <v>0</v>
      </c>
      <c r="DC50" s="4">
        <f t="shared" si="10"/>
        <v>24</v>
      </c>
      <c r="DE50" s="3" t="s">
        <v>66</v>
      </c>
      <c r="DF50" s="4">
        <f>C50*'Optimization Model'!C$16</f>
        <v>0</v>
      </c>
      <c r="DG50" s="4">
        <f>D50*'Optimization Model'!D$16</f>
        <v>0</v>
      </c>
      <c r="DH50" s="4">
        <f>E50*'Optimization Model'!E$16</f>
        <v>15</v>
      </c>
      <c r="DI50" s="4">
        <f>F50*'Optimization Model'!F$16</f>
        <v>0</v>
      </c>
      <c r="DJ50" s="4">
        <f>G50*'Optimization Model'!G$16</f>
        <v>0</v>
      </c>
      <c r="DK50" s="4">
        <f>H50*'Optimization Model'!H$16</f>
        <v>0</v>
      </c>
      <c r="DL50" s="4">
        <f t="shared" si="11"/>
        <v>15</v>
      </c>
      <c r="DN50" s="3" t="s">
        <v>66</v>
      </c>
      <c r="DO50" s="4">
        <f>C50*'Optimization Model'!C$17</f>
        <v>0</v>
      </c>
      <c r="DP50" s="4">
        <f>D50*'Optimization Model'!D$17</f>
        <v>0</v>
      </c>
      <c r="DQ50" s="4">
        <f>E50*'Optimization Model'!E$17</f>
        <v>15</v>
      </c>
      <c r="DR50" s="4">
        <f>F50*'Optimization Model'!F$17</f>
        <v>0</v>
      </c>
      <c r="DS50" s="4">
        <f>G50*'Optimization Model'!G$17</f>
        <v>11</v>
      </c>
      <c r="DT50" s="4">
        <f>H50*'Optimization Model'!H$17</f>
        <v>0</v>
      </c>
      <c r="DU50" s="4">
        <f t="shared" si="12"/>
        <v>26</v>
      </c>
      <c r="DW50" s="3" t="s">
        <v>66</v>
      </c>
      <c r="DX50" s="4">
        <f>C50*'Optimization Model'!C$18</f>
        <v>0</v>
      </c>
      <c r="DY50" s="4">
        <f>D50*'Optimization Model'!D$18</f>
        <v>0</v>
      </c>
      <c r="DZ50" s="4">
        <f>E50*'Optimization Model'!E$18</f>
        <v>15</v>
      </c>
      <c r="EA50" s="4">
        <f>F50*'Optimization Model'!F$18</f>
        <v>13</v>
      </c>
      <c r="EB50" s="4">
        <f>G50*'Optimization Model'!G$18</f>
        <v>0</v>
      </c>
      <c r="EC50" s="4">
        <f>H50*'Optimization Model'!H$18</f>
        <v>0</v>
      </c>
      <c r="ED50" s="4">
        <f t="shared" si="13"/>
        <v>28</v>
      </c>
      <c r="EF50" s="3" t="s">
        <v>66</v>
      </c>
      <c r="EG50" s="4">
        <f>C50*'Optimization Model'!C$19</f>
        <v>0</v>
      </c>
      <c r="EH50" s="4">
        <f>D50*'Optimization Model'!D$19</f>
        <v>0</v>
      </c>
      <c r="EI50" s="4">
        <f>E50*'Optimization Model'!E$19</f>
        <v>0</v>
      </c>
      <c r="EJ50" s="4">
        <f>F50*'Optimization Model'!F$19</f>
        <v>0</v>
      </c>
      <c r="EK50" s="4">
        <f>G50*'Optimization Model'!G$19</f>
        <v>0</v>
      </c>
      <c r="EL50" s="4">
        <f>H50*'Optimization Model'!H$19</f>
        <v>10</v>
      </c>
      <c r="EM50" s="4">
        <f t="shared" si="14"/>
        <v>10</v>
      </c>
      <c r="EO50" s="3" t="s">
        <v>66</v>
      </c>
      <c r="EP50" s="4">
        <f>C50*'Optimization Model'!C$20</f>
        <v>0</v>
      </c>
      <c r="EQ50" s="4">
        <f>D50*'Optimization Model'!D$20</f>
        <v>0</v>
      </c>
      <c r="ER50" s="4">
        <f>E50*'Optimization Model'!E$20</f>
        <v>0</v>
      </c>
      <c r="ES50" s="4">
        <f>F50*'Optimization Model'!F$20</f>
        <v>0</v>
      </c>
      <c r="ET50" s="4">
        <f>G50*'Optimization Model'!G$20</f>
        <v>0</v>
      </c>
      <c r="EU50" s="4">
        <f>H50*'Optimization Model'!H$20</f>
        <v>10</v>
      </c>
      <c r="EV50" s="4">
        <f t="shared" si="15"/>
        <v>10</v>
      </c>
    </row>
    <row r="51" spans="2:152" x14ac:dyDescent="0.35">
      <c r="B51" s="3" t="s">
        <v>67</v>
      </c>
      <c r="C51" s="4">
        <f>'Data- Refined'!U51</f>
        <v>4</v>
      </c>
      <c r="D51" s="4">
        <f>'Data- Refined'!V51</f>
        <v>2</v>
      </c>
      <c r="E51" s="4">
        <f>'Data- Refined'!W51</f>
        <v>3</v>
      </c>
      <c r="F51" s="4">
        <f>'Data- Refined'!X51</f>
        <v>2</v>
      </c>
      <c r="G51" s="4">
        <f>'Data- Refined'!Y51</f>
        <v>1</v>
      </c>
      <c r="H51" s="4">
        <f>'Data- Refined'!Z51</f>
        <v>1</v>
      </c>
      <c r="J51" s="3" t="s">
        <v>67</v>
      </c>
      <c r="K51" s="4">
        <f>C51*'Optimization Model'!C$5</f>
        <v>4</v>
      </c>
      <c r="L51" s="4">
        <f>D51*'Optimization Model'!D$5</f>
        <v>0</v>
      </c>
      <c r="M51" s="4">
        <f>E51*'Optimization Model'!E$5</f>
        <v>0</v>
      </c>
      <c r="N51" s="4">
        <f>F51*'Optimization Model'!F$5</f>
        <v>0</v>
      </c>
      <c r="O51" s="4">
        <f>G51*'Optimization Model'!G$5</f>
        <v>0</v>
      </c>
      <c r="P51" s="4">
        <f>H51*'Optimization Model'!H$5</f>
        <v>0</v>
      </c>
      <c r="Q51" s="4">
        <f t="shared" si="0"/>
        <v>4</v>
      </c>
      <c r="R51" s="8"/>
      <c r="S51" s="3" t="s">
        <v>67</v>
      </c>
      <c r="T51" s="4">
        <f>C51*'Optimization Model'!C$6</f>
        <v>0</v>
      </c>
      <c r="U51" s="4">
        <f>D51*'Optimization Model'!D$6</f>
        <v>2</v>
      </c>
      <c r="V51" s="4">
        <f>E51*'Optimization Model'!E$6</f>
        <v>0</v>
      </c>
      <c r="W51" s="4">
        <f>F51*'Optimization Model'!F$6</f>
        <v>0</v>
      </c>
      <c r="X51" s="4">
        <f>G51*'Optimization Model'!G$6</f>
        <v>0</v>
      </c>
      <c r="Y51" s="4">
        <f>H51*'Optimization Model'!H$6</f>
        <v>0</v>
      </c>
      <c r="Z51" s="4">
        <f t="shared" si="1"/>
        <v>2</v>
      </c>
      <c r="AB51" s="3" t="s">
        <v>67</v>
      </c>
      <c r="AC51" s="4">
        <f>C51*'Optimization Model'!C$7</f>
        <v>4</v>
      </c>
      <c r="AD51" s="4">
        <f>D51*'Optimization Model'!D$7</f>
        <v>0</v>
      </c>
      <c r="AE51" s="4">
        <f>E51*'Optimization Model'!E$7</f>
        <v>0</v>
      </c>
      <c r="AF51" s="4">
        <f>F51*'Optimization Model'!F$7</f>
        <v>0</v>
      </c>
      <c r="AG51" s="4">
        <f>G51*'Optimization Model'!G$7</f>
        <v>0</v>
      </c>
      <c r="AH51" s="4">
        <f>H51*'Optimization Model'!H$7</f>
        <v>0</v>
      </c>
      <c r="AI51" s="4">
        <f t="shared" si="2"/>
        <v>4</v>
      </c>
      <c r="AK51" s="3" t="s">
        <v>67</v>
      </c>
      <c r="AL51" s="4">
        <f>C51*'Optimization Model'!C$8</f>
        <v>0</v>
      </c>
      <c r="AM51" s="4">
        <f>D51*'Optimization Model'!D$8</f>
        <v>2</v>
      </c>
      <c r="AN51" s="4">
        <f>E51*'Optimization Model'!E$8</f>
        <v>0</v>
      </c>
      <c r="AO51" s="4">
        <f>F51*'Optimization Model'!F$8</f>
        <v>0</v>
      </c>
      <c r="AP51" s="4">
        <f>G51*'Optimization Model'!G$8</f>
        <v>0</v>
      </c>
      <c r="AQ51" s="4">
        <f>H51*'Optimization Model'!H$8</f>
        <v>1</v>
      </c>
      <c r="AR51" s="4">
        <f t="shared" si="3"/>
        <v>3</v>
      </c>
      <c r="AT51" s="3" t="s">
        <v>67</v>
      </c>
      <c r="AU51" s="4">
        <f>C51*'Optimization Model'!C$9</f>
        <v>4</v>
      </c>
      <c r="AV51" s="4">
        <f>D51*'Optimization Model'!D$9</f>
        <v>0</v>
      </c>
      <c r="AW51" s="4">
        <f>E51*'Optimization Model'!E$9</f>
        <v>0</v>
      </c>
      <c r="AX51" s="4">
        <f>F51*'Optimization Model'!F$9</f>
        <v>2</v>
      </c>
      <c r="AY51" s="4">
        <f>G51*'Optimization Model'!G$9</f>
        <v>0</v>
      </c>
      <c r="AZ51" s="4">
        <f>H51*'Optimization Model'!H$9</f>
        <v>0</v>
      </c>
      <c r="BA51" s="4">
        <f t="shared" si="4"/>
        <v>6</v>
      </c>
      <c r="BC51" s="3" t="s">
        <v>67</v>
      </c>
      <c r="BD51" s="4">
        <f>C51*'Optimization Model'!C$10</f>
        <v>0</v>
      </c>
      <c r="BE51" s="4">
        <f>D51*'Optimization Model'!D$10</f>
        <v>2</v>
      </c>
      <c r="BF51" s="4">
        <f>E51*'Optimization Model'!E$10</f>
        <v>0</v>
      </c>
      <c r="BG51" s="4">
        <f>F51*'Optimization Model'!F$10</f>
        <v>2</v>
      </c>
      <c r="BH51" s="4">
        <f>G51*'Optimization Model'!G$10</f>
        <v>0</v>
      </c>
      <c r="BI51" s="4">
        <f>H51*'Optimization Model'!H$10</f>
        <v>0</v>
      </c>
      <c r="BJ51" s="4">
        <f t="shared" si="5"/>
        <v>4</v>
      </c>
      <c r="BL51" s="3" t="s">
        <v>67</v>
      </c>
      <c r="BM51" s="4">
        <f>C51*'Optimization Model'!C$11</f>
        <v>0</v>
      </c>
      <c r="BN51" s="4">
        <f>D51*'Optimization Model'!D$11</f>
        <v>0</v>
      </c>
      <c r="BO51" s="4">
        <f>E51*'Optimization Model'!E$11</f>
        <v>3</v>
      </c>
      <c r="BP51" s="4">
        <f>F51*'Optimization Model'!F$11</f>
        <v>0</v>
      </c>
      <c r="BQ51" s="4">
        <f>G51*'Optimization Model'!G$11</f>
        <v>1</v>
      </c>
      <c r="BR51" s="4">
        <f>H51*'Optimization Model'!H$11</f>
        <v>0</v>
      </c>
      <c r="BS51" s="4">
        <f t="shared" si="6"/>
        <v>4</v>
      </c>
      <c r="BU51" s="3" t="s">
        <v>67</v>
      </c>
      <c r="BV51" s="4">
        <f>C51*'Optimization Model'!C$12</f>
        <v>0</v>
      </c>
      <c r="BW51" s="4">
        <f>D51*'Optimization Model'!D$12</f>
        <v>0</v>
      </c>
      <c r="BX51" s="4">
        <f>E51*'Optimization Model'!E$12</f>
        <v>0</v>
      </c>
      <c r="BY51" s="4">
        <f>F51*'Optimization Model'!F$12</f>
        <v>0</v>
      </c>
      <c r="BZ51" s="4">
        <f>G51*'Optimization Model'!G$12</f>
        <v>1</v>
      </c>
      <c r="CA51" s="4">
        <f>H51*'Optimization Model'!H$12</f>
        <v>1</v>
      </c>
      <c r="CB51" s="4">
        <f t="shared" si="7"/>
        <v>2</v>
      </c>
      <c r="CD51" s="3" t="s">
        <v>67</v>
      </c>
      <c r="CE51" s="4">
        <f>C51*'Optimization Model'!C$13</f>
        <v>4</v>
      </c>
      <c r="CF51" s="4">
        <f>D51*'Optimization Model'!D$13</f>
        <v>0</v>
      </c>
      <c r="CG51" s="4">
        <f>E51*'Optimization Model'!E$13</f>
        <v>0</v>
      </c>
      <c r="CH51" s="4">
        <f>F51*'Optimization Model'!F$13</f>
        <v>0</v>
      </c>
      <c r="CI51" s="4">
        <f>G51*'Optimization Model'!G$13</f>
        <v>0</v>
      </c>
      <c r="CJ51" s="4">
        <f>H51*'Optimization Model'!H$13</f>
        <v>0</v>
      </c>
      <c r="CK51" s="4">
        <f t="shared" si="8"/>
        <v>4</v>
      </c>
      <c r="CM51" s="3" t="s">
        <v>67</v>
      </c>
      <c r="CN51" s="4">
        <f>C51*'Optimization Model'!C$14</f>
        <v>0</v>
      </c>
      <c r="CO51" s="4">
        <f>D51*'Optimization Model'!D$14</f>
        <v>2</v>
      </c>
      <c r="CP51" s="4">
        <f>E51*'Optimization Model'!E$14</f>
        <v>0</v>
      </c>
      <c r="CQ51" s="4">
        <f>F51*'Optimization Model'!F$14</f>
        <v>0</v>
      </c>
      <c r="CR51" s="4">
        <f>G51*'Optimization Model'!G$14</f>
        <v>0</v>
      </c>
      <c r="CS51" s="4">
        <f>H51*'Optimization Model'!H$14</f>
        <v>0</v>
      </c>
      <c r="CT51" s="4">
        <f t="shared" si="9"/>
        <v>2</v>
      </c>
      <c r="CV51" s="3" t="s">
        <v>67</v>
      </c>
      <c r="CW51" s="4">
        <f>C51*'Optimization Model'!C$15</f>
        <v>0</v>
      </c>
      <c r="CX51" s="4">
        <f>D51*'Optimization Model'!D$15</f>
        <v>0</v>
      </c>
      <c r="CY51" s="4">
        <f>E51*'Optimization Model'!E$15</f>
        <v>0</v>
      </c>
      <c r="CZ51" s="4">
        <f>F51*'Optimization Model'!F$15</f>
        <v>2</v>
      </c>
      <c r="DA51" s="4">
        <f>G51*'Optimization Model'!G$15</f>
        <v>1</v>
      </c>
      <c r="DB51" s="4">
        <f>H51*'Optimization Model'!H$15</f>
        <v>0</v>
      </c>
      <c r="DC51" s="4">
        <f t="shared" si="10"/>
        <v>3</v>
      </c>
      <c r="DE51" s="3" t="s">
        <v>67</v>
      </c>
      <c r="DF51" s="4">
        <f>C51*'Optimization Model'!C$16</f>
        <v>0</v>
      </c>
      <c r="DG51" s="4">
        <f>D51*'Optimization Model'!D$16</f>
        <v>0</v>
      </c>
      <c r="DH51" s="4">
        <f>E51*'Optimization Model'!E$16</f>
        <v>3</v>
      </c>
      <c r="DI51" s="4">
        <f>F51*'Optimization Model'!F$16</f>
        <v>0</v>
      </c>
      <c r="DJ51" s="4">
        <f>G51*'Optimization Model'!G$16</f>
        <v>0</v>
      </c>
      <c r="DK51" s="4">
        <f>H51*'Optimization Model'!H$16</f>
        <v>0</v>
      </c>
      <c r="DL51" s="4">
        <f t="shared" si="11"/>
        <v>3</v>
      </c>
      <c r="DN51" s="3" t="s">
        <v>67</v>
      </c>
      <c r="DO51" s="4">
        <f>C51*'Optimization Model'!C$17</f>
        <v>0</v>
      </c>
      <c r="DP51" s="4">
        <f>D51*'Optimization Model'!D$17</f>
        <v>0</v>
      </c>
      <c r="DQ51" s="4">
        <f>E51*'Optimization Model'!E$17</f>
        <v>3</v>
      </c>
      <c r="DR51" s="4">
        <f>F51*'Optimization Model'!F$17</f>
        <v>0</v>
      </c>
      <c r="DS51" s="4">
        <f>G51*'Optimization Model'!G$17</f>
        <v>1</v>
      </c>
      <c r="DT51" s="4">
        <f>H51*'Optimization Model'!H$17</f>
        <v>0</v>
      </c>
      <c r="DU51" s="4">
        <f t="shared" si="12"/>
        <v>4</v>
      </c>
      <c r="DW51" s="3" t="s">
        <v>67</v>
      </c>
      <c r="DX51" s="4">
        <f>C51*'Optimization Model'!C$18</f>
        <v>0</v>
      </c>
      <c r="DY51" s="4">
        <f>D51*'Optimization Model'!D$18</f>
        <v>0</v>
      </c>
      <c r="DZ51" s="4">
        <f>E51*'Optimization Model'!E$18</f>
        <v>3</v>
      </c>
      <c r="EA51" s="4">
        <f>F51*'Optimization Model'!F$18</f>
        <v>2</v>
      </c>
      <c r="EB51" s="4">
        <f>G51*'Optimization Model'!G$18</f>
        <v>0</v>
      </c>
      <c r="EC51" s="4">
        <f>H51*'Optimization Model'!H$18</f>
        <v>0</v>
      </c>
      <c r="ED51" s="4">
        <f t="shared" si="13"/>
        <v>5</v>
      </c>
      <c r="EF51" s="3" t="s">
        <v>67</v>
      </c>
      <c r="EG51" s="4">
        <f>C51*'Optimization Model'!C$19</f>
        <v>0</v>
      </c>
      <c r="EH51" s="4">
        <f>D51*'Optimization Model'!D$19</f>
        <v>0</v>
      </c>
      <c r="EI51" s="4">
        <f>E51*'Optimization Model'!E$19</f>
        <v>0</v>
      </c>
      <c r="EJ51" s="4">
        <f>F51*'Optimization Model'!F$19</f>
        <v>0</v>
      </c>
      <c r="EK51" s="4">
        <f>G51*'Optimization Model'!G$19</f>
        <v>0</v>
      </c>
      <c r="EL51" s="4">
        <f>H51*'Optimization Model'!H$19</f>
        <v>1</v>
      </c>
      <c r="EM51" s="4">
        <f t="shared" si="14"/>
        <v>1</v>
      </c>
      <c r="EO51" s="3" t="s">
        <v>67</v>
      </c>
      <c r="EP51" s="4">
        <f>C51*'Optimization Model'!C$20</f>
        <v>0</v>
      </c>
      <c r="EQ51" s="4">
        <f>D51*'Optimization Model'!D$20</f>
        <v>0</v>
      </c>
      <c r="ER51" s="4">
        <f>E51*'Optimization Model'!E$20</f>
        <v>0</v>
      </c>
      <c r="ES51" s="4">
        <f>F51*'Optimization Model'!F$20</f>
        <v>0</v>
      </c>
      <c r="ET51" s="4">
        <f>G51*'Optimization Model'!G$20</f>
        <v>0</v>
      </c>
      <c r="EU51" s="4">
        <f>H51*'Optimization Model'!H$20</f>
        <v>1</v>
      </c>
      <c r="EV51" s="4">
        <f t="shared" si="15"/>
        <v>1</v>
      </c>
    </row>
    <row r="52" spans="2:152" x14ac:dyDescent="0.35">
      <c r="B52" s="3" t="s">
        <v>68</v>
      </c>
      <c r="C52" s="4">
        <f>'Data- Refined'!U52</f>
        <v>16</v>
      </c>
      <c r="D52" s="4">
        <f>'Data- Refined'!V52</f>
        <v>18</v>
      </c>
      <c r="E52" s="4">
        <f>'Data- Refined'!W52</f>
        <v>9</v>
      </c>
      <c r="F52" s="4">
        <f>'Data- Refined'!X52</f>
        <v>7</v>
      </c>
      <c r="G52" s="4">
        <f>'Data- Refined'!Y52</f>
        <v>7</v>
      </c>
      <c r="H52" s="4">
        <f>'Data- Refined'!Z52</f>
        <v>9</v>
      </c>
      <c r="J52" s="3" t="s">
        <v>68</v>
      </c>
      <c r="K52" s="4">
        <f>C52*'Optimization Model'!C$5</f>
        <v>16</v>
      </c>
      <c r="L52" s="4">
        <f>D52*'Optimization Model'!D$5</f>
        <v>0</v>
      </c>
      <c r="M52" s="4">
        <f>E52*'Optimization Model'!E$5</f>
        <v>0</v>
      </c>
      <c r="N52" s="4">
        <f>F52*'Optimization Model'!F$5</f>
        <v>0</v>
      </c>
      <c r="O52" s="4">
        <f>G52*'Optimization Model'!G$5</f>
        <v>0</v>
      </c>
      <c r="P52" s="4">
        <f>H52*'Optimization Model'!H$5</f>
        <v>0</v>
      </c>
      <c r="Q52" s="4">
        <f t="shared" si="0"/>
        <v>16</v>
      </c>
      <c r="R52" s="8"/>
      <c r="S52" s="3" t="s">
        <v>68</v>
      </c>
      <c r="T52" s="4">
        <f>C52*'Optimization Model'!C$6</f>
        <v>0</v>
      </c>
      <c r="U52" s="4">
        <f>D52*'Optimization Model'!D$6</f>
        <v>18</v>
      </c>
      <c r="V52" s="4">
        <f>E52*'Optimization Model'!E$6</f>
        <v>0</v>
      </c>
      <c r="W52" s="4">
        <f>F52*'Optimization Model'!F$6</f>
        <v>0</v>
      </c>
      <c r="X52" s="4">
        <f>G52*'Optimization Model'!G$6</f>
        <v>0</v>
      </c>
      <c r="Y52" s="4">
        <f>H52*'Optimization Model'!H$6</f>
        <v>0</v>
      </c>
      <c r="Z52" s="4">
        <f t="shared" si="1"/>
        <v>18</v>
      </c>
      <c r="AB52" s="3" t="s">
        <v>68</v>
      </c>
      <c r="AC52" s="4">
        <f>C52*'Optimization Model'!C$7</f>
        <v>16</v>
      </c>
      <c r="AD52" s="4">
        <f>D52*'Optimization Model'!D$7</f>
        <v>0</v>
      </c>
      <c r="AE52" s="4">
        <f>E52*'Optimization Model'!E$7</f>
        <v>0</v>
      </c>
      <c r="AF52" s="4">
        <f>F52*'Optimization Model'!F$7</f>
        <v>0</v>
      </c>
      <c r="AG52" s="4">
        <f>G52*'Optimization Model'!G$7</f>
        <v>0</v>
      </c>
      <c r="AH52" s="4">
        <f>H52*'Optimization Model'!H$7</f>
        <v>0</v>
      </c>
      <c r="AI52" s="4">
        <f t="shared" si="2"/>
        <v>16</v>
      </c>
      <c r="AK52" s="3" t="s">
        <v>68</v>
      </c>
      <c r="AL52" s="4">
        <f>C52*'Optimization Model'!C$8</f>
        <v>0</v>
      </c>
      <c r="AM52" s="4">
        <f>D52*'Optimization Model'!D$8</f>
        <v>18</v>
      </c>
      <c r="AN52" s="4">
        <f>E52*'Optimization Model'!E$8</f>
        <v>0</v>
      </c>
      <c r="AO52" s="4">
        <f>F52*'Optimization Model'!F$8</f>
        <v>0</v>
      </c>
      <c r="AP52" s="4">
        <f>G52*'Optimization Model'!G$8</f>
        <v>0</v>
      </c>
      <c r="AQ52" s="4">
        <f>H52*'Optimization Model'!H$8</f>
        <v>9</v>
      </c>
      <c r="AR52" s="4">
        <f t="shared" si="3"/>
        <v>27</v>
      </c>
      <c r="AT52" s="3" t="s">
        <v>68</v>
      </c>
      <c r="AU52" s="4">
        <f>C52*'Optimization Model'!C$9</f>
        <v>16</v>
      </c>
      <c r="AV52" s="4">
        <f>D52*'Optimization Model'!D$9</f>
        <v>0</v>
      </c>
      <c r="AW52" s="4">
        <f>E52*'Optimization Model'!E$9</f>
        <v>0</v>
      </c>
      <c r="AX52" s="4">
        <f>F52*'Optimization Model'!F$9</f>
        <v>7</v>
      </c>
      <c r="AY52" s="4">
        <f>G52*'Optimization Model'!G$9</f>
        <v>0</v>
      </c>
      <c r="AZ52" s="4">
        <f>H52*'Optimization Model'!H$9</f>
        <v>0</v>
      </c>
      <c r="BA52" s="4">
        <f t="shared" si="4"/>
        <v>23</v>
      </c>
      <c r="BC52" s="3" t="s">
        <v>68</v>
      </c>
      <c r="BD52" s="4">
        <f>C52*'Optimization Model'!C$10</f>
        <v>0</v>
      </c>
      <c r="BE52" s="4">
        <f>D52*'Optimization Model'!D$10</f>
        <v>18</v>
      </c>
      <c r="BF52" s="4">
        <f>E52*'Optimization Model'!E$10</f>
        <v>0</v>
      </c>
      <c r="BG52" s="4">
        <f>F52*'Optimization Model'!F$10</f>
        <v>7</v>
      </c>
      <c r="BH52" s="4">
        <f>G52*'Optimization Model'!G$10</f>
        <v>0</v>
      </c>
      <c r="BI52" s="4">
        <f>H52*'Optimization Model'!H$10</f>
        <v>0</v>
      </c>
      <c r="BJ52" s="4">
        <f t="shared" si="5"/>
        <v>25</v>
      </c>
      <c r="BL52" s="3" t="s">
        <v>68</v>
      </c>
      <c r="BM52" s="4">
        <f>C52*'Optimization Model'!C$11</f>
        <v>0</v>
      </c>
      <c r="BN52" s="4">
        <f>D52*'Optimization Model'!D$11</f>
        <v>0</v>
      </c>
      <c r="BO52" s="4">
        <f>E52*'Optimization Model'!E$11</f>
        <v>9</v>
      </c>
      <c r="BP52" s="4">
        <f>F52*'Optimization Model'!F$11</f>
        <v>0</v>
      </c>
      <c r="BQ52" s="4">
        <f>G52*'Optimization Model'!G$11</f>
        <v>7</v>
      </c>
      <c r="BR52" s="4">
        <f>H52*'Optimization Model'!H$11</f>
        <v>0</v>
      </c>
      <c r="BS52" s="4">
        <f t="shared" si="6"/>
        <v>16</v>
      </c>
      <c r="BU52" s="3" t="s">
        <v>68</v>
      </c>
      <c r="BV52" s="4">
        <f>C52*'Optimization Model'!C$12</f>
        <v>0</v>
      </c>
      <c r="BW52" s="4">
        <f>D52*'Optimization Model'!D$12</f>
        <v>0</v>
      </c>
      <c r="BX52" s="4">
        <f>E52*'Optimization Model'!E$12</f>
        <v>0</v>
      </c>
      <c r="BY52" s="4">
        <f>F52*'Optimization Model'!F$12</f>
        <v>0</v>
      </c>
      <c r="BZ52" s="4">
        <f>G52*'Optimization Model'!G$12</f>
        <v>7</v>
      </c>
      <c r="CA52" s="4">
        <f>H52*'Optimization Model'!H$12</f>
        <v>9</v>
      </c>
      <c r="CB52" s="4">
        <f t="shared" si="7"/>
        <v>16</v>
      </c>
      <c r="CD52" s="3" t="s">
        <v>68</v>
      </c>
      <c r="CE52" s="4">
        <f>C52*'Optimization Model'!C$13</f>
        <v>16</v>
      </c>
      <c r="CF52" s="4">
        <f>D52*'Optimization Model'!D$13</f>
        <v>0</v>
      </c>
      <c r="CG52" s="4">
        <f>E52*'Optimization Model'!E$13</f>
        <v>0</v>
      </c>
      <c r="CH52" s="4">
        <f>F52*'Optimization Model'!F$13</f>
        <v>0</v>
      </c>
      <c r="CI52" s="4">
        <f>G52*'Optimization Model'!G$13</f>
        <v>0</v>
      </c>
      <c r="CJ52" s="4">
        <f>H52*'Optimization Model'!H$13</f>
        <v>0</v>
      </c>
      <c r="CK52" s="4">
        <f t="shared" si="8"/>
        <v>16</v>
      </c>
      <c r="CM52" s="3" t="s">
        <v>68</v>
      </c>
      <c r="CN52" s="4">
        <f>C52*'Optimization Model'!C$14</f>
        <v>0</v>
      </c>
      <c r="CO52" s="4">
        <f>D52*'Optimization Model'!D$14</f>
        <v>18</v>
      </c>
      <c r="CP52" s="4">
        <f>E52*'Optimization Model'!E$14</f>
        <v>0</v>
      </c>
      <c r="CQ52" s="4">
        <f>F52*'Optimization Model'!F$14</f>
        <v>0</v>
      </c>
      <c r="CR52" s="4">
        <f>G52*'Optimization Model'!G$14</f>
        <v>0</v>
      </c>
      <c r="CS52" s="4">
        <f>H52*'Optimization Model'!H$14</f>
        <v>0</v>
      </c>
      <c r="CT52" s="4">
        <f t="shared" si="9"/>
        <v>18</v>
      </c>
      <c r="CV52" s="3" t="s">
        <v>68</v>
      </c>
      <c r="CW52" s="4">
        <f>C52*'Optimization Model'!C$15</f>
        <v>0</v>
      </c>
      <c r="CX52" s="4">
        <f>D52*'Optimization Model'!D$15</f>
        <v>0</v>
      </c>
      <c r="CY52" s="4">
        <f>E52*'Optimization Model'!E$15</f>
        <v>0</v>
      </c>
      <c r="CZ52" s="4">
        <f>F52*'Optimization Model'!F$15</f>
        <v>7</v>
      </c>
      <c r="DA52" s="4">
        <f>G52*'Optimization Model'!G$15</f>
        <v>7</v>
      </c>
      <c r="DB52" s="4">
        <f>H52*'Optimization Model'!H$15</f>
        <v>0</v>
      </c>
      <c r="DC52" s="4">
        <f t="shared" si="10"/>
        <v>14</v>
      </c>
      <c r="DE52" s="3" t="s">
        <v>68</v>
      </c>
      <c r="DF52" s="4">
        <f>C52*'Optimization Model'!C$16</f>
        <v>0</v>
      </c>
      <c r="DG52" s="4">
        <f>D52*'Optimization Model'!D$16</f>
        <v>0</v>
      </c>
      <c r="DH52" s="4">
        <f>E52*'Optimization Model'!E$16</f>
        <v>9</v>
      </c>
      <c r="DI52" s="4">
        <f>F52*'Optimization Model'!F$16</f>
        <v>0</v>
      </c>
      <c r="DJ52" s="4">
        <f>G52*'Optimization Model'!G$16</f>
        <v>0</v>
      </c>
      <c r="DK52" s="4">
        <f>H52*'Optimization Model'!H$16</f>
        <v>0</v>
      </c>
      <c r="DL52" s="4">
        <f t="shared" si="11"/>
        <v>9</v>
      </c>
      <c r="DN52" s="3" t="s">
        <v>68</v>
      </c>
      <c r="DO52" s="4">
        <f>C52*'Optimization Model'!C$17</f>
        <v>0</v>
      </c>
      <c r="DP52" s="4">
        <f>D52*'Optimization Model'!D$17</f>
        <v>0</v>
      </c>
      <c r="DQ52" s="4">
        <f>E52*'Optimization Model'!E$17</f>
        <v>9</v>
      </c>
      <c r="DR52" s="4">
        <f>F52*'Optimization Model'!F$17</f>
        <v>0</v>
      </c>
      <c r="DS52" s="4">
        <f>G52*'Optimization Model'!G$17</f>
        <v>7</v>
      </c>
      <c r="DT52" s="4">
        <f>H52*'Optimization Model'!H$17</f>
        <v>0</v>
      </c>
      <c r="DU52" s="4">
        <f t="shared" si="12"/>
        <v>16</v>
      </c>
      <c r="DW52" s="3" t="s">
        <v>68</v>
      </c>
      <c r="DX52" s="4">
        <f>C52*'Optimization Model'!C$18</f>
        <v>0</v>
      </c>
      <c r="DY52" s="4">
        <f>D52*'Optimization Model'!D$18</f>
        <v>0</v>
      </c>
      <c r="DZ52" s="4">
        <f>E52*'Optimization Model'!E$18</f>
        <v>9</v>
      </c>
      <c r="EA52" s="4">
        <f>F52*'Optimization Model'!F$18</f>
        <v>7</v>
      </c>
      <c r="EB52" s="4">
        <f>G52*'Optimization Model'!G$18</f>
        <v>0</v>
      </c>
      <c r="EC52" s="4">
        <f>H52*'Optimization Model'!H$18</f>
        <v>0</v>
      </c>
      <c r="ED52" s="4">
        <f t="shared" si="13"/>
        <v>16</v>
      </c>
      <c r="EF52" s="3" t="s">
        <v>68</v>
      </c>
      <c r="EG52" s="4">
        <f>C52*'Optimization Model'!C$19</f>
        <v>0</v>
      </c>
      <c r="EH52" s="4">
        <f>D52*'Optimization Model'!D$19</f>
        <v>0</v>
      </c>
      <c r="EI52" s="4">
        <f>E52*'Optimization Model'!E$19</f>
        <v>0</v>
      </c>
      <c r="EJ52" s="4">
        <f>F52*'Optimization Model'!F$19</f>
        <v>0</v>
      </c>
      <c r="EK52" s="4">
        <f>G52*'Optimization Model'!G$19</f>
        <v>0</v>
      </c>
      <c r="EL52" s="4">
        <f>H52*'Optimization Model'!H$19</f>
        <v>9</v>
      </c>
      <c r="EM52" s="4">
        <f t="shared" si="14"/>
        <v>9</v>
      </c>
      <c r="EO52" s="3" t="s">
        <v>68</v>
      </c>
      <c r="EP52" s="4">
        <f>C52*'Optimization Model'!C$20</f>
        <v>0</v>
      </c>
      <c r="EQ52" s="4">
        <f>D52*'Optimization Model'!D$20</f>
        <v>0</v>
      </c>
      <c r="ER52" s="4">
        <f>E52*'Optimization Model'!E$20</f>
        <v>0</v>
      </c>
      <c r="ES52" s="4">
        <f>F52*'Optimization Model'!F$20</f>
        <v>0</v>
      </c>
      <c r="ET52" s="4">
        <f>G52*'Optimization Model'!G$20</f>
        <v>0</v>
      </c>
      <c r="EU52" s="4">
        <f>H52*'Optimization Model'!H$20</f>
        <v>9</v>
      </c>
      <c r="EV52" s="4">
        <f t="shared" si="15"/>
        <v>9</v>
      </c>
    </row>
    <row r="53" spans="2:152" x14ac:dyDescent="0.35">
      <c r="B53" s="3" t="s">
        <v>69</v>
      </c>
      <c r="C53" s="4">
        <f>'Data- Refined'!U53</f>
        <v>8</v>
      </c>
      <c r="D53" s="4">
        <f>'Data- Refined'!V53</f>
        <v>6</v>
      </c>
      <c r="E53" s="4">
        <f>'Data- Refined'!W53</f>
        <v>4</v>
      </c>
      <c r="F53" s="4">
        <f>'Data- Refined'!X53</f>
        <v>2</v>
      </c>
      <c r="G53" s="4">
        <f>'Data- Refined'!Y53</f>
        <v>2</v>
      </c>
      <c r="H53" s="4">
        <f>'Data- Refined'!Z53</f>
        <v>5</v>
      </c>
      <c r="J53" s="3" t="s">
        <v>69</v>
      </c>
      <c r="K53" s="4">
        <f>C53*'Optimization Model'!C$5</f>
        <v>8</v>
      </c>
      <c r="L53" s="4">
        <f>D53*'Optimization Model'!D$5</f>
        <v>0</v>
      </c>
      <c r="M53" s="4">
        <f>E53*'Optimization Model'!E$5</f>
        <v>0</v>
      </c>
      <c r="N53" s="4">
        <f>F53*'Optimization Model'!F$5</f>
        <v>0</v>
      </c>
      <c r="O53" s="4">
        <f>G53*'Optimization Model'!G$5</f>
        <v>0</v>
      </c>
      <c r="P53" s="4">
        <f>H53*'Optimization Model'!H$5</f>
        <v>0</v>
      </c>
      <c r="Q53" s="4">
        <f t="shared" si="0"/>
        <v>8</v>
      </c>
      <c r="R53" s="8"/>
      <c r="S53" s="3" t="s">
        <v>69</v>
      </c>
      <c r="T53" s="4">
        <f>C53*'Optimization Model'!C$6</f>
        <v>0</v>
      </c>
      <c r="U53" s="4">
        <f>D53*'Optimization Model'!D$6</f>
        <v>6</v>
      </c>
      <c r="V53" s="4">
        <f>E53*'Optimization Model'!E$6</f>
        <v>0</v>
      </c>
      <c r="W53" s="4">
        <f>F53*'Optimization Model'!F$6</f>
        <v>0</v>
      </c>
      <c r="X53" s="4">
        <f>G53*'Optimization Model'!G$6</f>
        <v>0</v>
      </c>
      <c r="Y53" s="4">
        <f>H53*'Optimization Model'!H$6</f>
        <v>0</v>
      </c>
      <c r="Z53" s="4">
        <f t="shared" si="1"/>
        <v>6</v>
      </c>
      <c r="AB53" s="3" t="s">
        <v>69</v>
      </c>
      <c r="AC53" s="4">
        <f>C53*'Optimization Model'!C$7</f>
        <v>8</v>
      </c>
      <c r="AD53" s="4">
        <f>D53*'Optimization Model'!D$7</f>
        <v>0</v>
      </c>
      <c r="AE53" s="4">
        <f>E53*'Optimization Model'!E$7</f>
        <v>0</v>
      </c>
      <c r="AF53" s="4">
        <f>F53*'Optimization Model'!F$7</f>
        <v>0</v>
      </c>
      <c r="AG53" s="4">
        <f>G53*'Optimization Model'!G$7</f>
        <v>0</v>
      </c>
      <c r="AH53" s="4">
        <f>H53*'Optimization Model'!H$7</f>
        <v>0</v>
      </c>
      <c r="AI53" s="4">
        <f t="shared" si="2"/>
        <v>8</v>
      </c>
      <c r="AK53" s="3" t="s">
        <v>69</v>
      </c>
      <c r="AL53" s="4">
        <f>C53*'Optimization Model'!C$8</f>
        <v>0</v>
      </c>
      <c r="AM53" s="4">
        <f>D53*'Optimization Model'!D$8</f>
        <v>6</v>
      </c>
      <c r="AN53" s="4">
        <f>E53*'Optimization Model'!E$8</f>
        <v>0</v>
      </c>
      <c r="AO53" s="4">
        <f>F53*'Optimization Model'!F$8</f>
        <v>0</v>
      </c>
      <c r="AP53" s="4">
        <f>G53*'Optimization Model'!G$8</f>
        <v>0</v>
      </c>
      <c r="AQ53" s="4">
        <f>H53*'Optimization Model'!H$8</f>
        <v>5</v>
      </c>
      <c r="AR53" s="4">
        <f t="shared" si="3"/>
        <v>11</v>
      </c>
      <c r="AT53" s="3" t="s">
        <v>69</v>
      </c>
      <c r="AU53" s="4">
        <f>C53*'Optimization Model'!C$9</f>
        <v>8</v>
      </c>
      <c r="AV53" s="4">
        <f>D53*'Optimization Model'!D$9</f>
        <v>0</v>
      </c>
      <c r="AW53" s="4">
        <f>E53*'Optimization Model'!E$9</f>
        <v>0</v>
      </c>
      <c r="AX53" s="4">
        <f>F53*'Optimization Model'!F$9</f>
        <v>2</v>
      </c>
      <c r="AY53" s="4">
        <f>G53*'Optimization Model'!G$9</f>
        <v>0</v>
      </c>
      <c r="AZ53" s="4">
        <f>H53*'Optimization Model'!H$9</f>
        <v>0</v>
      </c>
      <c r="BA53" s="4">
        <f t="shared" si="4"/>
        <v>10</v>
      </c>
      <c r="BC53" s="3" t="s">
        <v>69</v>
      </c>
      <c r="BD53" s="4">
        <f>C53*'Optimization Model'!C$10</f>
        <v>0</v>
      </c>
      <c r="BE53" s="4">
        <f>D53*'Optimization Model'!D$10</f>
        <v>6</v>
      </c>
      <c r="BF53" s="4">
        <f>E53*'Optimization Model'!E$10</f>
        <v>0</v>
      </c>
      <c r="BG53" s="4">
        <f>F53*'Optimization Model'!F$10</f>
        <v>2</v>
      </c>
      <c r="BH53" s="4">
        <f>G53*'Optimization Model'!G$10</f>
        <v>0</v>
      </c>
      <c r="BI53" s="4">
        <f>H53*'Optimization Model'!H$10</f>
        <v>0</v>
      </c>
      <c r="BJ53" s="4">
        <f t="shared" si="5"/>
        <v>8</v>
      </c>
      <c r="BL53" s="3" t="s">
        <v>69</v>
      </c>
      <c r="BM53" s="4">
        <f>C53*'Optimization Model'!C$11</f>
        <v>0</v>
      </c>
      <c r="BN53" s="4">
        <f>D53*'Optimization Model'!D$11</f>
        <v>0</v>
      </c>
      <c r="BO53" s="4">
        <f>E53*'Optimization Model'!E$11</f>
        <v>4</v>
      </c>
      <c r="BP53" s="4">
        <f>F53*'Optimization Model'!F$11</f>
        <v>0</v>
      </c>
      <c r="BQ53" s="4">
        <f>G53*'Optimization Model'!G$11</f>
        <v>2</v>
      </c>
      <c r="BR53" s="4">
        <f>H53*'Optimization Model'!H$11</f>
        <v>0</v>
      </c>
      <c r="BS53" s="4">
        <f t="shared" si="6"/>
        <v>6</v>
      </c>
      <c r="BU53" s="3" t="s">
        <v>69</v>
      </c>
      <c r="BV53" s="4">
        <f>C53*'Optimization Model'!C$12</f>
        <v>0</v>
      </c>
      <c r="BW53" s="4">
        <f>D53*'Optimization Model'!D$12</f>
        <v>0</v>
      </c>
      <c r="BX53" s="4">
        <f>E53*'Optimization Model'!E$12</f>
        <v>0</v>
      </c>
      <c r="BY53" s="4">
        <f>F53*'Optimization Model'!F$12</f>
        <v>0</v>
      </c>
      <c r="BZ53" s="4">
        <f>G53*'Optimization Model'!G$12</f>
        <v>2</v>
      </c>
      <c r="CA53" s="4">
        <f>H53*'Optimization Model'!H$12</f>
        <v>5</v>
      </c>
      <c r="CB53" s="4">
        <f t="shared" si="7"/>
        <v>7</v>
      </c>
      <c r="CD53" s="3" t="s">
        <v>69</v>
      </c>
      <c r="CE53" s="4">
        <f>C53*'Optimization Model'!C$13</f>
        <v>8</v>
      </c>
      <c r="CF53" s="4">
        <f>D53*'Optimization Model'!D$13</f>
        <v>0</v>
      </c>
      <c r="CG53" s="4">
        <f>E53*'Optimization Model'!E$13</f>
        <v>0</v>
      </c>
      <c r="CH53" s="4">
        <f>F53*'Optimization Model'!F$13</f>
        <v>0</v>
      </c>
      <c r="CI53" s="4">
        <f>G53*'Optimization Model'!G$13</f>
        <v>0</v>
      </c>
      <c r="CJ53" s="4">
        <f>H53*'Optimization Model'!H$13</f>
        <v>0</v>
      </c>
      <c r="CK53" s="4">
        <f t="shared" si="8"/>
        <v>8</v>
      </c>
      <c r="CM53" s="3" t="s">
        <v>69</v>
      </c>
      <c r="CN53" s="4">
        <f>C53*'Optimization Model'!C$14</f>
        <v>0</v>
      </c>
      <c r="CO53" s="4">
        <f>D53*'Optimization Model'!D$14</f>
        <v>6</v>
      </c>
      <c r="CP53" s="4">
        <f>E53*'Optimization Model'!E$14</f>
        <v>0</v>
      </c>
      <c r="CQ53" s="4">
        <f>F53*'Optimization Model'!F$14</f>
        <v>0</v>
      </c>
      <c r="CR53" s="4">
        <f>G53*'Optimization Model'!G$14</f>
        <v>0</v>
      </c>
      <c r="CS53" s="4">
        <f>H53*'Optimization Model'!H$14</f>
        <v>0</v>
      </c>
      <c r="CT53" s="4">
        <f t="shared" si="9"/>
        <v>6</v>
      </c>
      <c r="CV53" s="3" t="s">
        <v>69</v>
      </c>
      <c r="CW53" s="4">
        <f>C53*'Optimization Model'!C$15</f>
        <v>0</v>
      </c>
      <c r="CX53" s="4">
        <f>D53*'Optimization Model'!D$15</f>
        <v>0</v>
      </c>
      <c r="CY53" s="4">
        <f>E53*'Optimization Model'!E$15</f>
        <v>0</v>
      </c>
      <c r="CZ53" s="4">
        <f>F53*'Optimization Model'!F$15</f>
        <v>2</v>
      </c>
      <c r="DA53" s="4">
        <f>G53*'Optimization Model'!G$15</f>
        <v>2</v>
      </c>
      <c r="DB53" s="4">
        <f>H53*'Optimization Model'!H$15</f>
        <v>0</v>
      </c>
      <c r="DC53" s="4">
        <f t="shared" si="10"/>
        <v>4</v>
      </c>
      <c r="DE53" s="3" t="s">
        <v>69</v>
      </c>
      <c r="DF53" s="4">
        <f>C53*'Optimization Model'!C$16</f>
        <v>0</v>
      </c>
      <c r="DG53" s="4">
        <f>D53*'Optimization Model'!D$16</f>
        <v>0</v>
      </c>
      <c r="DH53" s="4">
        <f>E53*'Optimization Model'!E$16</f>
        <v>4</v>
      </c>
      <c r="DI53" s="4">
        <f>F53*'Optimization Model'!F$16</f>
        <v>0</v>
      </c>
      <c r="DJ53" s="4">
        <f>G53*'Optimization Model'!G$16</f>
        <v>0</v>
      </c>
      <c r="DK53" s="4">
        <f>H53*'Optimization Model'!H$16</f>
        <v>0</v>
      </c>
      <c r="DL53" s="4">
        <f t="shared" si="11"/>
        <v>4</v>
      </c>
      <c r="DN53" s="3" t="s">
        <v>69</v>
      </c>
      <c r="DO53" s="4">
        <f>C53*'Optimization Model'!C$17</f>
        <v>0</v>
      </c>
      <c r="DP53" s="4">
        <f>D53*'Optimization Model'!D$17</f>
        <v>0</v>
      </c>
      <c r="DQ53" s="4">
        <f>E53*'Optimization Model'!E$17</f>
        <v>4</v>
      </c>
      <c r="DR53" s="4">
        <f>F53*'Optimization Model'!F$17</f>
        <v>0</v>
      </c>
      <c r="DS53" s="4">
        <f>G53*'Optimization Model'!G$17</f>
        <v>2</v>
      </c>
      <c r="DT53" s="4">
        <f>H53*'Optimization Model'!H$17</f>
        <v>0</v>
      </c>
      <c r="DU53" s="4">
        <f t="shared" si="12"/>
        <v>6</v>
      </c>
      <c r="DW53" s="3" t="s">
        <v>69</v>
      </c>
      <c r="DX53" s="4">
        <f>C53*'Optimization Model'!C$18</f>
        <v>0</v>
      </c>
      <c r="DY53" s="4">
        <f>D53*'Optimization Model'!D$18</f>
        <v>0</v>
      </c>
      <c r="DZ53" s="4">
        <f>E53*'Optimization Model'!E$18</f>
        <v>4</v>
      </c>
      <c r="EA53" s="4">
        <f>F53*'Optimization Model'!F$18</f>
        <v>2</v>
      </c>
      <c r="EB53" s="4">
        <f>G53*'Optimization Model'!G$18</f>
        <v>0</v>
      </c>
      <c r="EC53" s="4">
        <f>H53*'Optimization Model'!H$18</f>
        <v>0</v>
      </c>
      <c r="ED53" s="4">
        <f t="shared" si="13"/>
        <v>6</v>
      </c>
      <c r="EF53" s="3" t="s">
        <v>69</v>
      </c>
      <c r="EG53" s="4">
        <f>C53*'Optimization Model'!C$19</f>
        <v>0</v>
      </c>
      <c r="EH53" s="4">
        <f>D53*'Optimization Model'!D$19</f>
        <v>0</v>
      </c>
      <c r="EI53" s="4">
        <f>E53*'Optimization Model'!E$19</f>
        <v>0</v>
      </c>
      <c r="EJ53" s="4">
        <f>F53*'Optimization Model'!F$19</f>
        <v>0</v>
      </c>
      <c r="EK53" s="4">
        <f>G53*'Optimization Model'!G$19</f>
        <v>0</v>
      </c>
      <c r="EL53" s="4">
        <f>H53*'Optimization Model'!H$19</f>
        <v>5</v>
      </c>
      <c r="EM53" s="4">
        <f t="shared" si="14"/>
        <v>5</v>
      </c>
      <c r="EO53" s="3" t="s">
        <v>69</v>
      </c>
      <c r="EP53" s="4">
        <f>C53*'Optimization Model'!C$20</f>
        <v>0</v>
      </c>
      <c r="EQ53" s="4">
        <f>D53*'Optimization Model'!D$20</f>
        <v>0</v>
      </c>
      <c r="ER53" s="4">
        <f>E53*'Optimization Model'!E$20</f>
        <v>0</v>
      </c>
      <c r="ES53" s="4">
        <f>F53*'Optimization Model'!F$20</f>
        <v>0</v>
      </c>
      <c r="ET53" s="4">
        <f>G53*'Optimization Model'!G$20</f>
        <v>0</v>
      </c>
      <c r="EU53" s="4">
        <f>H53*'Optimization Model'!H$20</f>
        <v>5</v>
      </c>
      <c r="EV53" s="4">
        <f t="shared" si="15"/>
        <v>5</v>
      </c>
    </row>
    <row r="54" spans="2:152" x14ac:dyDescent="0.35">
      <c r="B54" s="3" t="s">
        <v>70</v>
      </c>
      <c r="C54" s="4">
        <f>'Data- Refined'!U54</f>
        <v>3</v>
      </c>
      <c r="D54" s="4">
        <f>'Data- Refined'!V54</f>
        <v>2</v>
      </c>
      <c r="E54" s="4">
        <f>'Data- Refined'!W54</f>
        <v>1</v>
      </c>
      <c r="F54" s="4">
        <f>'Data- Refined'!X54</f>
        <v>1</v>
      </c>
      <c r="G54" s="4">
        <f>'Data- Refined'!Y54</f>
        <v>1</v>
      </c>
      <c r="H54" s="4">
        <f>'Data- Refined'!Z54</f>
        <v>3</v>
      </c>
      <c r="J54" s="3" t="s">
        <v>70</v>
      </c>
      <c r="K54" s="4">
        <f>C54*'Optimization Model'!C$5</f>
        <v>3</v>
      </c>
      <c r="L54" s="4">
        <f>D54*'Optimization Model'!D$5</f>
        <v>0</v>
      </c>
      <c r="M54" s="4">
        <f>E54*'Optimization Model'!E$5</f>
        <v>0</v>
      </c>
      <c r="N54" s="4">
        <f>F54*'Optimization Model'!F$5</f>
        <v>0</v>
      </c>
      <c r="O54" s="4">
        <f>G54*'Optimization Model'!G$5</f>
        <v>0</v>
      </c>
      <c r="P54" s="4">
        <f>H54*'Optimization Model'!H$5</f>
        <v>0</v>
      </c>
      <c r="Q54" s="4">
        <f t="shared" si="0"/>
        <v>3</v>
      </c>
      <c r="R54" s="8"/>
      <c r="S54" s="3" t="s">
        <v>70</v>
      </c>
      <c r="T54" s="4">
        <f>C54*'Optimization Model'!C$6</f>
        <v>0</v>
      </c>
      <c r="U54" s="4">
        <f>D54*'Optimization Model'!D$6</f>
        <v>2</v>
      </c>
      <c r="V54" s="4">
        <f>E54*'Optimization Model'!E$6</f>
        <v>0</v>
      </c>
      <c r="W54" s="4">
        <f>F54*'Optimization Model'!F$6</f>
        <v>0</v>
      </c>
      <c r="X54" s="4">
        <f>G54*'Optimization Model'!G$6</f>
        <v>0</v>
      </c>
      <c r="Y54" s="4">
        <f>H54*'Optimization Model'!H$6</f>
        <v>0</v>
      </c>
      <c r="Z54" s="4">
        <f t="shared" si="1"/>
        <v>2</v>
      </c>
      <c r="AB54" s="3" t="s">
        <v>70</v>
      </c>
      <c r="AC54" s="4">
        <f>C54*'Optimization Model'!C$7</f>
        <v>3</v>
      </c>
      <c r="AD54" s="4">
        <f>D54*'Optimization Model'!D$7</f>
        <v>0</v>
      </c>
      <c r="AE54" s="4">
        <f>E54*'Optimization Model'!E$7</f>
        <v>0</v>
      </c>
      <c r="AF54" s="4">
        <f>F54*'Optimization Model'!F$7</f>
        <v>0</v>
      </c>
      <c r="AG54" s="4">
        <f>G54*'Optimization Model'!G$7</f>
        <v>0</v>
      </c>
      <c r="AH54" s="4">
        <f>H54*'Optimization Model'!H$7</f>
        <v>0</v>
      </c>
      <c r="AI54" s="4">
        <f t="shared" si="2"/>
        <v>3</v>
      </c>
      <c r="AK54" s="3" t="s">
        <v>70</v>
      </c>
      <c r="AL54" s="4">
        <f>C54*'Optimization Model'!C$8</f>
        <v>0</v>
      </c>
      <c r="AM54" s="4">
        <f>D54*'Optimization Model'!D$8</f>
        <v>2</v>
      </c>
      <c r="AN54" s="4">
        <f>E54*'Optimization Model'!E$8</f>
        <v>0</v>
      </c>
      <c r="AO54" s="4">
        <f>F54*'Optimization Model'!F$8</f>
        <v>0</v>
      </c>
      <c r="AP54" s="4">
        <f>G54*'Optimization Model'!G$8</f>
        <v>0</v>
      </c>
      <c r="AQ54" s="4">
        <f>H54*'Optimization Model'!H$8</f>
        <v>3</v>
      </c>
      <c r="AR54" s="4">
        <f t="shared" si="3"/>
        <v>5</v>
      </c>
      <c r="AT54" s="3" t="s">
        <v>70</v>
      </c>
      <c r="AU54" s="4">
        <f>C54*'Optimization Model'!C$9</f>
        <v>3</v>
      </c>
      <c r="AV54" s="4">
        <f>D54*'Optimization Model'!D$9</f>
        <v>0</v>
      </c>
      <c r="AW54" s="4">
        <f>E54*'Optimization Model'!E$9</f>
        <v>0</v>
      </c>
      <c r="AX54" s="4">
        <f>F54*'Optimization Model'!F$9</f>
        <v>1</v>
      </c>
      <c r="AY54" s="4">
        <f>G54*'Optimization Model'!G$9</f>
        <v>0</v>
      </c>
      <c r="AZ54" s="4">
        <f>H54*'Optimization Model'!H$9</f>
        <v>0</v>
      </c>
      <c r="BA54" s="4">
        <f t="shared" si="4"/>
        <v>4</v>
      </c>
      <c r="BC54" s="3" t="s">
        <v>70</v>
      </c>
      <c r="BD54" s="4">
        <f>C54*'Optimization Model'!C$10</f>
        <v>0</v>
      </c>
      <c r="BE54" s="4">
        <f>D54*'Optimization Model'!D$10</f>
        <v>2</v>
      </c>
      <c r="BF54" s="4">
        <f>E54*'Optimization Model'!E$10</f>
        <v>0</v>
      </c>
      <c r="BG54" s="4">
        <f>F54*'Optimization Model'!F$10</f>
        <v>1</v>
      </c>
      <c r="BH54" s="4">
        <f>G54*'Optimization Model'!G$10</f>
        <v>0</v>
      </c>
      <c r="BI54" s="4">
        <f>H54*'Optimization Model'!H$10</f>
        <v>0</v>
      </c>
      <c r="BJ54" s="4">
        <f t="shared" si="5"/>
        <v>3</v>
      </c>
      <c r="BL54" s="3" t="s">
        <v>70</v>
      </c>
      <c r="BM54" s="4">
        <f>C54*'Optimization Model'!C$11</f>
        <v>0</v>
      </c>
      <c r="BN54" s="4">
        <f>D54*'Optimization Model'!D$11</f>
        <v>0</v>
      </c>
      <c r="BO54" s="4">
        <f>E54*'Optimization Model'!E$11</f>
        <v>1</v>
      </c>
      <c r="BP54" s="4">
        <f>F54*'Optimization Model'!F$11</f>
        <v>0</v>
      </c>
      <c r="BQ54" s="4">
        <f>G54*'Optimization Model'!G$11</f>
        <v>1</v>
      </c>
      <c r="BR54" s="4">
        <f>H54*'Optimization Model'!H$11</f>
        <v>0</v>
      </c>
      <c r="BS54" s="4">
        <f t="shared" si="6"/>
        <v>2</v>
      </c>
      <c r="BU54" s="3" t="s">
        <v>70</v>
      </c>
      <c r="BV54" s="4">
        <f>C54*'Optimization Model'!C$12</f>
        <v>0</v>
      </c>
      <c r="BW54" s="4">
        <f>D54*'Optimization Model'!D$12</f>
        <v>0</v>
      </c>
      <c r="BX54" s="4">
        <f>E54*'Optimization Model'!E$12</f>
        <v>0</v>
      </c>
      <c r="BY54" s="4">
        <f>F54*'Optimization Model'!F$12</f>
        <v>0</v>
      </c>
      <c r="BZ54" s="4">
        <f>G54*'Optimization Model'!G$12</f>
        <v>1</v>
      </c>
      <c r="CA54" s="4">
        <f>H54*'Optimization Model'!H$12</f>
        <v>3</v>
      </c>
      <c r="CB54" s="4">
        <f t="shared" si="7"/>
        <v>4</v>
      </c>
      <c r="CD54" s="3" t="s">
        <v>70</v>
      </c>
      <c r="CE54" s="4">
        <f>C54*'Optimization Model'!C$13</f>
        <v>3</v>
      </c>
      <c r="CF54" s="4">
        <f>D54*'Optimization Model'!D$13</f>
        <v>0</v>
      </c>
      <c r="CG54" s="4">
        <f>E54*'Optimization Model'!E$13</f>
        <v>0</v>
      </c>
      <c r="CH54" s="4">
        <f>F54*'Optimization Model'!F$13</f>
        <v>0</v>
      </c>
      <c r="CI54" s="4">
        <f>G54*'Optimization Model'!G$13</f>
        <v>0</v>
      </c>
      <c r="CJ54" s="4">
        <f>H54*'Optimization Model'!H$13</f>
        <v>0</v>
      </c>
      <c r="CK54" s="4">
        <f t="shared" si="8"/>
        <v>3</v>
      </c>
      <c r="CM54" s="3" t="s">
        <v>70</v>
      </c>
      <c r="CN54" s="4">
        <f>C54*'Optimization Model'!C$14</f>
        <v>0</v>
      </c>
      <c r="CO54" s="4">
        <f>D54*'Optimization Model'!D$14</f>
        <v>2</v>
      </c>
      <c r="CP54" s="4">
        <f>E54*'Optimization Model'!E$14</f>
        <v>0</v>
      </c>
      <c r="CQ54" s="4">
        <f>F54*'Optimization Model'!F$14</f>
        <v>0</v>
      </c>
      <c r="CR54" s="4">
        <f>G54*'Optimization Model'!G$14</f>
        <v>0</v>
      </c>
      <c r="CS54" s="4">
        <f>H54*'Optimization Model'!H$14</f>
        <v>0</v>
      </c>
      <c r="CT54" s="4">
        <f t="shared" si="9"/>
        <v>2</v>
      </c>
      <c r="CV54" s="3" t="s">
        <v>70</v>
      </c>
      <c r="CW54" s="4">
        <f>C54*'Optimization Model'!C$15</f>
        <v>0</v>
      </c>
      <c r="CX54" s="4">
        <f>D54*'Optimization Model'!D$15</f>
        <v>0</v>
      </c>
      <c r="CY54" s="4">
        <f>E54*'Optimization Model'!E$15</f>
        <v>0</v>
      </c>
      <c r="CZ54" s="4">
        <f>F54*'Optimization Model'!F$15</f>
        <v>1</v>
      </c>
      <c r="DA54" s="4">
        <f>G54*'Optimization Model'!G$15</f>
        <v>1</v>
      </c>
      <c r="DB54" s="4">
        <f>H54*'Optimization Model'!H$15</f>
        <v>0</v>
      </c>
      <c r="DC54" s="4">
        <f t="shared" si="10"/>
        <v>2</v>
      </c>
      <c r="DE54" s="3" t="s">
        <v>70</v>
      </c>
      <c r="DF54" s="4">
        <f>C54*'Optimization Model'!C$16</f>
        <v>0</v>
      </c>
      <c r="DG54" s="4">
        <f>D54*'Optimization Model'!D$16</f>
        <v>0</v>
      </c>
      <c r="DH54" s="4">
        <f>E54*'Optimization Model'!E$16</f>
        <v>1</v>
      </c>
      <c r="DI54" s="4">
        <f>F54*'Optimization Model'!F$16</f>
        <v>0</v>
      </c>
      <c r="DJ54" s="4">
        <f>G54*'Optimization Model'!G$16</f>
        <v>0</v>
      </c>
      <c r="DK54" s="4">
        <f>H54*'Optimization Model'!H$16</f>
        <v>0</v>
      </c>
      <c r="DL54" s="4">
        <f t="shared" si="11"/>
        <v>1</v>
      </c>
      <c r="DN54" s="3" t="s">
        <v>70</v>
      </c>
      <c r="DO54" s="4">
        <f>C54*'Optimization Model'!C$17</f>
        <v>0</v>
      </c>
      <c r="DP54" s="4">
        <f>D54*'Optimization Model'!D$17</f>
        <v>0</v>
      </c>
      <c r="DQ54" s="4">
        <f>E54*'Optimization Model'!E$17</f>
        <v>1</v>
      </c>
      <c r="DR54" s="4">
        <f>F54*'Optimization Model'!F$17</f>
        <v>0</v>
      </c>
      <c r="DS54" s="4">
        <f>G54*'Optimization Model'!G$17</f>
        <v>1</v>
      </c>
      <c r="DT54" s="4">
        <f>H54*'Optimization Model'!H$17</f>
        <v>0</v>
      </c>
      <c r="DU54" s="4">
        <f t="shared" si="12"/>
        <v>2</v>
      </c>
      <c r="DW54" s="3" t="s">
        <v>70</v>
      </c>
      <c r="DX54" s="4">
        <f>C54*'Optimization Model'!C$18</f>
        <v>0</v>
      </c>
      <c r="DY54" s="4">
        <f>D54*'Optimization Model'!D$18</f>
        <v>0</v>
      </c>
      <c r="DZ54" s="4">
        <f>E54*'Optimization Model'!E$18</f>
        <v>1</v>
      </c>
      <c r="EA54" s="4">
        <f>F54*'Optimization Model'!F$18</f>
        <v>1</v>
      </c>
      <c r="EB54" s="4">
        <f>G54*'Optimization Model'!G$18</f>
        <v>0</v>
      </c>
      <c r="EC54" s="4">
        <f>H54*'Optimization Model'!H$18</f>
        <v>0</v>
      </c>
      <c r="ED54" s="4">
        <f t="shared" si="13"/>
        <v>2</v>
      </c>
      <c r="EF54" s="3" t="s">
        <v>70</v>
      </c>
      <c r="EG54" s="4">
        <f>C54*'Optimization Model'!C$19</f>
        <v>0</v>
      </c>
      <c r="EH54" s="4">
        <f>D54*'Optimization Model'!D$19</f>
        <v>0</v>
      </c>
      <c r="EI54" s="4">
        <f>E54*'Optimization Model'!E$19</f>
        <v>0</v>
      </c>
      <c r="EJ54" s="4">
        <f>F54*'Optimization Model'!F$19</f>
        <v>0</v>
      </c>
      <c r="EK54" s="4">
        <f>G54*'Optimization Model'!G$19</f>
        <v>0</v>
      </c>
      <c r="EL54" s="4">
        <f>H54*'Optimization Model'!H$19</f>
        <v>3</v>
      </c>
      <c r="EM54" s="4">
        <f t="shared" si="14"/>
        <v>3</v>
      </c>
      <c r="EO54" s="3" t="s">
        <v>70</v>
      </c>
      <c r="EP54" s="4">
        <f>C54*'Optimization Model'!C$20</f>
        <v>0</v>
      </c>
      <c r="EQ54" s="4">
        <f>D54*'Optimization Model'!D$20</f>
        <v>0</v>
      </c>
      <c r="ER54" s="4">
        <f>E54*'Optimization Model'!E$20</f>
        <v>0</v>
      </c>
      <c r="ES54" s="4">
        <f>F54*'Optimization Model'!F$20</f>
        <v>0</v>
      </c>
      <c r="ET54" s="4">
        <f>G54*'Optimization Model'!G$20</f>
        <v>0</v>
      </c>
      <c r="EU54" s="4">
        <f>H54*'Optimization Model'!H$20</f>
        <v>3</v>
      </c>
      <c r="EV54" s="4">
        <f t="shared" si="15"/>
        <v>3</v>
      </c>
    </row>
    <row r="55" spans="2:152" x14ac:dyDescent="0.35">
      <c r="B55" s="3" t="s">
        <v>71</v>
      </c>
      <c r="C55" s="4">
        <f>'Data- Refined'!U55</f>
        <v>4</v>
      </c>
      <c r="D55" s="4">
        <f>'Data- Refined'!V55</f>
        <v>5</v>
      </c>
      <c r="E55" s="4">
        <f>'Data- Refined'!W55</f>
        <v>0</v>
      </c>
      <c r="F55" s="4">
        <f>'Data- Refined'!X55</f>
        <v>1</v>
      </c>
      <c r="G55" s="4">
        <f>'Data- Refined'!Y55</f>
        <v>1</v>
      </c>
      <c r="H55" s="4">
        <f>'Data- Refined'!Z55</f>
        <v>1</v>
      </c>
      <c r="J55" s="3" t="s">
        <v>71</v>
      </c>
      <c r="K55" s="4">
        <f>C55*'Optimization Model'!C$5</f>
        <v>4</v>
      </c>
      <c r="L55" s="4">
        <f>D55*'Optimization Model'!D$5</f>
        <v>0</v>
      </c>
      <c r="M55" s="4">
        <f>E55*'Optimization Model'!E$5</f>
        <v>0</v>
      </c>
      <c r="N55" s="4">
        <f>F55*'Optimization Model'!F$5</f>
        <v>0</v>
      </c>
      <c r="O55" s="4">
        <f>G55*'Optimization Model'!G$5</f>
        <v>0</v>
      </c>
      <c r="P55" s="4">
        <f>H55*'Optimization Model'!H$5</f>
        <v>0</v>
      </c>
      <c r="Q55" s="4">
        <f t="shared" si="0"/>
        <v>4</v>
      </c>
      <c r="R55" s="8"/>
      <c r="S55" s="3" t="s">
        <v>71</v>
      </c>
      <c r="T55" s="4">
        <f>C55*'Optimization Model'!C$6</f>
        <v>0</v>
      </c>
      <c r="U55" s="4">
        <f>D55*'Optimization Model'!D$6</f>
        <v>5</v>
      </c>
      <c r="V55" s="4">
        <f>E55*'Optimization Model'!E$6</f>
        <v>0</v>
      </c>
      <c r="W55" s="4">
        <f>F55*'Optimization Model'!F$6</f>
        <v>0</v>
      </c>
      <c r="X55" s="4">
        <f>G55*'Optimization Model'!G$6</f>
        <v>0</v>
      </c>
      <c r="Y55" s="4">
        <f>H55*'Optimization Model'!H$6</f>
        <v>0</v>
      </c>
      <c r="Z55" s="4">
        <f t="shared" si="1"/>
        <v>5</v>
      </c>
      <c r="AB55" s="3" t="s">
        <v>71</v>
      </c>
      <c r="AC55" s="4">
        <f>C55*'Optimization Model'!C$7</f>
        <v>4</v>
      </c>
      <c r="AD55" s="4">
        <f>D55*'Optimization Model'!D$7</f>
        <v>0</v>
      </c>
      <c r="AE55" s="4">
        <f>E55*'Optimization Model'!E$7</f>
        <v>0</v>
      </c>
      <c r="AF55" s="4">
        <f>F55*'Optimization Model'!F$7</f>
        <v>0</v>
      </c>
      <c r="AG55" s="4">
        <f>G55*'Optimization Model'!G$7</f>
        <v>0</v>
      </c>
      <c r="AH55" s="4">
        <f>H55*'Optimization Model'!H$7</f>
        <v>0</v>
      </c>
      <c r="AI55" s="4">
        <f t="shared" si="2"/>
        <v>4</v>
      </c>
      <c r="AK55" s="3" t="s">
        <v>71</v>
      </c>
      <c r="AL55" s="4">
        <f>C55*'Optimization Model'!C$8</f>
        <v>0</v>
      </c>
      <c r="AM55" s="4">
        <f>D55*'Optimization Model'!D$8</f>
        <v>5</v>
      </c>
      <c r="AN55" s="4">
        <f>E55*'Optimization Model'!E$8</f>
        <v>0</v>
      </c>
      <c r="AO55" s="4">
        <f>F55*'Optimization Model'!F$8</f>
        <v>0</v>
      </c>
      <c r="AP55" s="4">
        <f>G55*'Optimization Model'!G$8</f>
        <v>0</v>
      </c>
      <c r="AQ55" s="4">
        <f>H55*'Optimization Model'!H$8</f>
        <v>1</v>
      </c>
      <c r="AR55" s="4">
        <f t="shared" si="3"/>
        <v>6</v>
      </c>
      <c r="AT55" s="3" t="s">
        <v>71</v>
      </c>
      <c r="AU55" s="4">
        <f>C55*'Optimization Model'!C$9</f>
        <v>4</v>
      </c>
      <c r="AV55" s="4">
        <f>D55*'Optimization Model'!D$9</f>
        <v>0</v>
      </c>
      <c r="AW55" s="4">
        <f>E55*'Optimization Model'!E$9</f>
        <v>0</v>
      </c>
      <c r="AX55" s="4">
        <f>F55*'Optimization Model'!F$9</f>
        <v>1</v>
      </c>
      <c r="AY55" s="4">
        <f>G55*'Optimization Model'!G$9</f>
        <v>0</v>
      </c>
      <c r="AZ55" s="4">
        <f>H55*'Optimization Model'!H$9</f>
        <v>0</v>
      </c>
      <c r="BA55" s="4">
        <f t="shared" si="4"/>
        <v>5</v>
      </c>
      <c r="BC55" s="3" t="s">
        <v>71</v>
      </c>
      <c r="BD55" s="4">
        <f>C55*'Optimization Model'!C$10</f>
        <v>0</v>
      </c>
      <c r="BE55" s="4">
        <f>D55*'Optimization Model'!D$10</f>
        <v>5</v>
      </c>
      <c r="BF55" s="4">
        <f>E55*'Optimization Model'!E$10</f>
        <v>0</v>
      </c>
      <c r="BG55" s="4">
        <f>F55*'Optimization Model'!F$10</f>
        <v>1</v>
      </c>
      <c r="BH55" s="4">
        <f>G55*'Optimization Model'!G$10</f>
        <v>0</v>
      </c>
      <c r="BI55" s="4">
        <f>H55*'Optimization Model'!H$10</f>
        <v>0</v>
      </c>
      <c r="BJ55" s="4">
        <f t="shared" si="5"/>
        <v>6</v>
      </c>
      <c r="BL55" s="3" t="s">
        <v>71</v>
      </c>
      <c r="BM55" s="4">
        <f>C55*'Optimization Model'!C$11</f>
        <v>0</v>
      </c>
      <c r="BN55" s="4">
        <f>D55*'Optimization Model'!D$11</f>
        <v>0</v>
      </c>
      <c r="BO55" s="4">
        <f>E55*'Optimization Model'!E$11</f>
        <v>0</v>
      </c>
      <c r="BP55" s="4">
        <f>F55*'Optimization Model'!F$11</f>
        <v>0</v>
      </c>
      <c r="BQ55" s="4">
        <f>G55*'Optimization Model'!G$11</f>
        <v>1</v>
      </c>
      <c r="BR55" s="4">
        <f>H55*'Optimization Model'!H$11</f>
        <v>0</v>
      </c>
      <c r="BS55" s="4">
        <f t="shared" si="6"/>
        <v>1</v>
      </c>
      <c r="BU55" s="3" t="s">
        <v>71</v>
      </c>
      <c r="BV55" s="4">
        <f>C55*'Optimization Model'!C$12</f>
        <v>0</v>
      </c>
      <c r="BW55" s="4">
        <f>D55*'Optimization Model'!D$12</f>
        <v>0</v>
      </c>
      <c r="BX55" s="4">
        <f>E55*'Optimization Model'!E$12</f>
        <v>0</v>
      </c>
      <c r="BY55" s="4">
        <f>F55*'Optimization Model'!F$12</f>
        <v>0</v>
      </c>
      <c r="BZ55" s="4">
        <f>G55*'Optimization Model'!G$12</f>
        <v>1</v>
      </c>
      <c r="CA55" s="4">
        <f>H55*'Optimization Model'!H$12</f>
        <v>1</v>
      </c>
      <c r="CB55" s="4">
        <f t="shared" si="7"/>
        <v>2</v>
      </c>
      <c r="CD55" s="3" t="s">
        <v>71</v>
      </c>
      <c r="CE55" s="4">
        <f>C55*'Optimization Model'!C$13</f>
        <v>4</v>
      </c>
      <c r="CF55" s="4">
        <f>D55*'Optimization Model'!D$13</f>
        <v>0</v>
      </c>
      <c r="CG55" s="4">
        <f>E55*'Optimization Model'!E$13</f>
        <v>0</v>
      </c>
      <c r="CH55" s="4">
        <f>F55*'Optimization Model'!F$13</f>
        <v>0</v>
      </c>
      <c r="CI55" s="4">
        <f>G55*'Optimization Model'!G$13</f>
        <v>0</v>
      </c>
      <c r="CJ55" s="4">
        <f>H55*'Optimization Model'!H$13</f>
        <v>0</v>
      </c>
      <c r="CK55" s="4">
        <f t="shared" si="8"/>
        <v>4</v>
      </c>
      <c r="CM55" s="3" t="s">
        <v>71</v>
      </c>
      <c r="CN55" s="4">
        <f>C55*'Optimization Model'!C$14</f>
        <v>0</v>
      </c>
      <c r="CO55" s="4">
        <f>D55*'Optimization Model'!D$14</f>
        <v>5</v>
      </c>
      <c r="CP55" s="4">
        <f>E55*'Optimization Model'!E$14</f>
        <v>0</v>
      </c>
      <c r="CQ55" s="4">
        <f>F55*'Optimization Model'!F$14</f>
        <v>0</v>
      </c>
      <c r="CR55" s="4">
        <f>G55*'Optimization Model'!G$14</f>
        <v>0</v>
      </c>
      <c r="CS55" s="4">
        <f>H55*'Optimization Model'!H$14</f>
        <v>0</v>
      </c>
      <c r="CT55" s="4">
        <f t="shared" si="9"/>
        <v>5</v>
      </c>
      <c r="CV55" s="3" t="s">
        <v>71</v>
      </c>
      <c r="CW55" s="4">
        <f>C55*'Optimization Model'!C$15</f>
        <v>0</v>
      </c>
      <c r="CX55" s="4">
        <f>D55*'Optimization Model'!D$15</f>
        <v>0</v>
      </c>
      <c r="CY55" s="4">
        <f>E55*'Optimization Model'!E$15</f>
        <v>0</v>
      </c>
      <c r="CZ55" s="4">
        <f>F55*'Optimization Model'!F$15</f>
        <v>1</v>
      </c>
      <c r="DA55" s="4">
        <f>G55*'Optimization Model'!G$15</f>
        <v>1</v>
      </c>
      <c r="DB55" s="4">
        <f>H55*'Optimization Model'!H$15</f>
        <v>0</v>
      </c>
      <c r="DC55" s="4">
        <f t="shared" si="10"/>
        <v>2</v>
      </c>
      <c r="DE55" s="3" t="s">
        <v>71</v>
      </c>
      <c r="DF55" s="4">
        <f>C55*'Optimization Model'!C$16</f>
        <v>0</v>
      </c>
      <c r="DG55" s="4">
        <f>D55*'Optimization Model'!D$16</f>
        <v>0</v>
      </c>
      <c r="DH55" s="4">
        <f>E55*'Optimization Model'!E$16</f>
        <v>0</v>
      </c>
      <c r="DI55" s="4">
        <f>F55*'Optimization Model'!F$16</f>
        <v>0</v>
      </c>
      <c r="DJ55" s="4">
        <f>G55*'Optimization Model'!G$16</f>
        <v>0</v>
      </c>
      <c r="DK55" s="4">
        <f>H55*'Optimization Model'!H$16</f>
        <v>0</v>
      </c>
      <c r="DL55" s="4">
        <f t="shared" si="11"/>
        <v>0</v>
      </c>
      <c r="DN55" s="3" t="s">
        <v>71</v>
      </c>
      <c r="DO55" s="4">
        <f>C55*'Optimization Model'!C$17</f>
        <v>0</v>
      </c>
      <c r="DP55" s="4">
        <f>D55*'Optimization Model'!D$17</f>
        <v>0</v>
      </c>
      <c r="DQ55" s="4">
        <f>E55*'Optimization Model'!E$17</f>
        <v>0</v>
      </c>
      <c r="DR55" s="4">
        <f>F55*'Optimization Model'!F$17</f>
        <v>0</v>
      </c>
      <c r="DS55" s="4">
        <f>G55*'Optimization Model'!G$17</f>
        <v>1</v>
      </c>
      <c r="DT55" s="4">
        <f>H55*'Optimization Model'!H$17</f>
        <v>0</v>
      </c>
      <c r="DU55" s="4">
        <f t="shared" si="12"/>
        <v>1</v>
      </c>
      <c r="DW55" s="3" t="s">
        <v>71</v>
      </c>
      <c r="DX55" s="4">
        <f>C55*'Optimization Model'!C$18</f>
        <v>0</v>
      </c>
      <c r="DY55" s="4">
        <f>D55*'Optimization Model'!D$18</f>
        <v>0</v>
      </c>
      <c r="DZ55" s="4">
        <f>E55*'Optimization Model'!E$18</f>
        <v>0</v>
      </c>
      <c r="EA55" s="4">
        <f>F55*'Optimization Model'!F$18</f>
        <v>1</v>
      </c>
      <c r="EB55" s="4">
        <f>G55*'Optimization Model'!G$18</f>
        <v>0</v>
      </c>
      <c r="EC55" s="4">
        <f>H55*'Optimization Model'!H$18</f>
        <v>0</v>
      </c>
      <c r="ED55" s="4">
        <f t="shared" si="13"/>
        <v>1</v>
      </c>
      <c r="EF55" s="3" t="s">
        <v>71</v>
      </c>
      <c r="EG55" s="4">
        <f>C55*'Optimization Model'!C$19</f>
        <v>0</v>
      </c>
      <c r="EH55" s="4">
        <f>D55*'Optimization Model'!D$19</f>
        <v>0</v>
      </c>
      <c r="EI55" s="4">
        <f>E55*'Optimization Model'!E$19</f>
        <v>0</v>
      </c>
      <c r="EJ55" s="4">
        <f>F55*'Optimization Model'!F$19</f>
        <v>0</v>
      </c>
      <c r="EK55" s="4">
        <f>G55*'Optimization Model'!G$19</f>
        <v>0</v>
      </c>
      <c r="EL55" s="4">
        <f>H55*'Optimization Model'!H$19</f>
        <v>1</v>
      </c>
      <c r="EM55" s="4">
        <f t="shared" si="14"/>
        <v>1</v>
      </c>
      <c r="EO55" s="3" t="s">
        <v>71</v>
      </c>
      <c r="EP55" s="4">
        <f>C55*'Optimization Model'!C$20</f>
        <v>0</v>
      </c>
      <c r="EQ55" s="4">
        <f>D55*'Optimization Model'!D$20</f>
        <v>0</v>
      </c>
      <c r="ER55" s="4">
        <f>E55*'Optimization Model'!E$20</f>
        <v>0</v>
      </c>
      <c r="ES55" s="4">
        <f>F55*'Optimization Model'!F$20</f>
        <v>0</v>
      </c>
      <c r="ET55" s="4">
        <f>G55*'Optimization Model'!G$20</f>
        <v>0</v>
      </c>
      <c r="EU55" s="4">
        <f>H55*'Optimization Model'!H$20</f>
        <v>1</v>
      </c>
      <c r="EV55" s="4">
        <f t="shared" si="15"/>
        <v>1</v>
      </c>
    </row>
  </sheetData>
  <mergeCells count="66">
    <mergeCell ref="EF1:EM1"/>
    <mergeCell ref="EF2:EH2"/>
    <mergeCell ref="EI2:EL2"/>
    <mergeCell ref="EM2:EM3"/>
    <mergeCell ref="EO1:EV1"/>
    <mergeCell ref="EO2:EQ2"/>
    <mergeCell ref="ER2:EU2"/>
    <mergeCell ref="EV2:EV3"/>
    <mergeCell ref="DN1:DU1"/>
    <mergeCell ref="DN2:DP2"/>
    <mergeCell ref="DQ2:DT2"/>
    <mergeCell ref="DU2:DU3"/>
    <mergeCell ref="DW1:ED1"/>
    <mergeCell ref="DW2:DY2"/>
    <mergeCell ref="DZ2:EC2"/>
    <mergeCell ref="ED2:ED3"/>
    <mergeCell ref="CV1:DC1"/>
    <mergeCell ref="CV2:CX2"/>
    <mergeCell ref="CY2:DB2"/>
    <mergeCell ref="DC2:DC3"/>
    <mergeCell ref="DE1:DL1"/>
    <mergeCell ref="DE2:DG2"/>
    <mergeCell ref="DH2:DK2"/>
    <mergeCell ref="DL2:DL3"/>
    <mergeCell ref="CD1:CK1"/>
    <mergeCell ref="CD2:CF2"/>
    <mergeCell ref="CG2:CJ2"/>
    <mergeCell ref="CK2:CK3"/>
    <mergeCell ref="CM1:CT1"/>
    <mergeCell ref="CM2:CO2"/>
    <mergeCell ref="CP2:CS2"/>
    <mergeCell ref="CT2:CT3"/>
    <mergeCell ref="BL1:BS1"/>
    <mergeCell ref="BL2:BN2"/>
    <mergeCell ref="BO2:BR2"/>
    <mergeCell ref="BS2:BS3"/>
    <mergeCell ref="BU1:CB1"/>
    <mergeCell ref="BU2:BW2"/>
    <mergeCell ref="BX2:CA2"/>
    <mergeCell ref="CB2:CB3"/>
    <mergeCell ref="BA2:BA3"/>
    <mergeCell ref="BF2:BI2"/>
    <mergeCell ref="BJ2:BJ3"/>
    <mergeCell ref="BC2:BE2"/>
    <mergeCell ref="BC1:BJ1"/>
    <mergeCell ref="AT1:AZ1"/>
    <mergeCell ref="AU2:AV2"/>
    <mergeCell ref="AW2:AZ2"/>
    <mergeCell ref="S1:Y1"/>
    <mergeCell ref="AB1:AH1"/>
    <mergeCell ref="AC2:AD2"/>
    <mergeCell ref="AE2:AH2"/>
    <mergeCell ref="AI2:AI3"/>
    <mergeCell ref="AK1:AQ1"/>
    <mergeCell ref="AL2:AM2"/>
    <mergeCell ref="AN2:AQ2"/>
    <mergeCell ref="AR2:AR3"/>
    <mergeCell ref="Q2:Q3"/>
    <mergeCell ref="J1:Q1"/>
    <mergeCell ref="Z2:Z3"/>
    <mergeCell ref="C2:D2"/>
    <mergeCell ref="E2:H2"/>
    <mergeCell ref="K2:L2"/>
    <mergeCell ref="M2:P2"/>
    <mergeCell ref="T2:U2"/>
    <mergeCell ref="V2:Y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Q103"/>
  <sheetViews>
    <sheetView topLeftCell="A8" workbookViewId="0">
      <selection activeCell="AA16" sqref="AA16"/>
    </sheetView>
  </sheetViews>
  <sheetFormatPr defaultRowHeight="14.5" x14ac:dyDescent="0.35"/>
  <cols>
    <col min="1" max="1" width="15.90625" style="157" customWidth="1"/>
    <col min="2" max="17" width="5.453125" style="157" customWidth="1"/>
    <col min="18" max="18" width="4.36328125" customWidth="1"/>
  </cols>
  <sheetData>
    <row r="1" spans="1:17" ht="18.5" x14ac:dyDescent="0.45">
      <c r="A1" s="165" t="s">
        <v>185</v>
      </c>
      <c r="B1" s="166"/>
      <c r="C1" s="166"/>
      <c r="D1" s="166"/>
      <c r="E1" s="166"/>
      <c r="F1" s="166"/>
      <c r="G1" s="166"/>
      <c r="H1" s="166"/>
      <c r="I1" s="166"/>
      <c r="J1" s="166"/>
      <c r="K1" s="166"/>
      <c r="L1" s="166"/>
      <c r="M1" s="166"/>
      <c r="N1" s="166"/>
      <c r="O1" s="166"/>
      <c r="P1" s="166"/>
      <c r="Q1" s="167"/>
    </row>
    <row r="2" spans="1:17" x14ac:dyDescent="0.35">
      <c r="A2" s="168" t="s">
        <v>179</v>
      </c>
      <c r="B2" s="156">
        <f t="shared" ref="B2:Q2" si="0">AVERAGE(B51:B102)</f>
        <v>10.01923076923077</v>
      </c>
      <c r="C2" s="156">
        <f t="shared" si="0"/>
        <v>45.134615384615387</v>
      </c>
      <c r="D2" s="156">
        <f t="shared" si="0"/>
        <v>65.057692307692307</v>
      </c>
      <c r="E2" s="156">
        <f t="shared" si="0"/>
        <v>83.90384615384616</v>
      </c>
      <c r="F2" s="156">
        <f t="shared" si="0"/>
        <v>84.461538461538467</v>
      </c>
      <c r="G2" s="156">
        <f t="shared" si="0"/>
        <v>77.288461538461533</v>
      </c>
      <c r="H2" s="156">
        <f t="shared" si="0"/>
        <v>61.153846153846153</v>
      </c>
      <c r="I2" s="156">
        <f t="shared" si="0"/>
        <v>50.692307692307693</v>
      </c>
      <c r="J2" s="156">
        <f t="shared" si="0"/>
        <v>46.134615384615387</v>
      </c>
      <c r="K2" s="156">
        <f t="shared" si="0"/>
        <v>35.634615384615387</v>
      </c>
      <c r="L2" s="156">
        <f t="shared" si="0"/>
        <v>36.134615384615387</v>
      </c>
      <c r="M2" s="156">
        <f t="shared" si="0"/>
        <v>37.28846153846154</v>
      </c>
      <c r="N2" s="156">
        <f t="shared" si="0"/>
        <v>37.269230769230766</v>
      </c>
      <c r="O2" s="156">
        <f t="shared" si="0"/>
        <v>29.634615384615383</v>
      </c>
      <c r="P2" s="156">
        <f t="shared" si="0"/>
        <v>24.96153846153846</v>
      </c>
      <c r="Q2" s="160">
        <f t="shared" si="0"/>
        <v>11.384615384615385</v>
      </c>
    </row>
    <row r="3" spans="1:17" ht="15" thickBot="1" x14ac:dyDescent="0.4">
      <c r="A3" s="169" t="s">
        <v>180</v>
      </c>
      <c r="B3" s="170">
        <f t="shared" ref="B3:Q3" si="1">STDEV(B51:B102)</f>
        <v>18.994829414730763</v>
      </c>
      <c r="C3" s="170">
        <f t="shared" si="1"/>
        <v>63.34066898058461</v>
      </c>
      <c r="D3" s="170">
        <f t="shared" si="1"/>
        <v>63.40483480715865</v>
      </c>
      <c r="E3" s="170">
        <f t="shared" si="1"/>
        <v>92.205069746071061</v>
      </c>
      <c r="F3" s="170">
        <f t="shared" si="1"/>
        <v>105.67290663924564</v>
      </c>
      <c r="G3" s="170">
        <f t="shared" si="1"/>
        <v>103.46437040201214</v>
      </c>
      <c r="H3" s="170">
        <f t="shared" si="1"/>
        <v>82.135083525259518</v>
      </c>
      <c r="I3" s="170">
        <f t="shared" si="1"/>
        <v>72.972339229391238</v>
      </c>
      <c r="J3" s="170">
        <f t="shared" si="1"/>
        <v>66.099754930029462</v>
      </c>
      <c r="K3" s="170">
        <f t="shared" si="1"/>
        <v>50.147245480294679</v>
      </c>
      <c r="L3" s="170">
        <f t="shared" si="1"/>
        <v>50.264410223768543</v>
      </c>
      <c r="M3" s="170">
        <f t="shared" si="1"/>
        <v>50.598510610670147</v>
      </c>
      <c r="N3" s="170">
        <f t="shared" si="1"/>
        <v>37.529133981959902</v>
      </c>
      <c r="O3" s="170">
        <f t="shared" si="1"/>
        <v>74.550687808968917</v>
      </c>
      <c r="P3" s="170">
        <f t="shared" si="1"/>
        <v>84.820216221957764</v>
      </c>
      <c r="Q3" s="171">
        <f t="shared" si="1"/>
        <v>61.928217093649565</v>
      </c>
    </row>
    <row r="4" spans="1:17" ht="15" thickBot="1" x14ac:dyDescent="0.4">
      <c r="A4" s="162"/>
      <c r="B4" s="162"/>
      <c r="C4" s="162"/>
      <c r="D4" s="162"/>
      <c r="E4" s="162"/>
      <c r="F4" s="162"/>
      <c r="G4" s="162"/>
      <c r="H4" s="162"/>
      <c r="I4" s="162"/>
      <c r="J4" s="162"/>
      <c r="K4" s="162"/>
      <c r="L4" s="162"/>
      <c r="M4" s="162"/>
      <c r="N4" s="162"/>
      <c r="O4" s="162"/>
      <c r="P4" s="162"/>
      <c r="Q4" s="162"/>
    </row>
    <row r="5" spans="1:17" ht="18.5" x14ac:dyDescent="0.45">
      <c r="A5" s="165" t="s">
        <v>182</v>
      </c>
      <c r="B5" s="166"/>
      <c r="C5" s="166"/>
      <c r="D5" s="166"/>
      <c r="E5" s="166"/>
      <c r="F5" s="166"/>
      <c r="G5" s="166"/>
      <c r="H5" s="166"/>
      <c r="I5" s="166"/>
      <c r="J5" s="166"/>
      <c r="K5" s="166"/>
      <c r="L5" s="166"/>
      <c r="M5" s="166"/>
      <c r="N5" s="166"/>
      <c r="O5" s="166"/>
      <c r="P5" s="166"/>
      <c r="Q5" s="167"/>
    </row>
    <row r="6" spans="1:17" s="13" customFormat="1" ht="63.5" thickBot="1" x14ac:dyDescent="0.4">
      <c r="A6" s="178"/>
      <c r="B6" s="179" t="s">
        <v>148</v>
      </c>
      <c r="C6" s="179" t="s">
        <v>85</v>
      </c>
      <c r="D6" s="179" t="s">
        <v>86</v>
      </c>
      <c r="E6" s="179" t="s">
        <v>87</v>
      </c>
      <c r="F6" s="179" t="s">
        <v>88</v>
      </c>
      <c r="G6" s="179" t="s">
        <v>89</v>
      </c>
      <c r="H6" s="179" t="s">
        <v>90</v>
      </c>
      <c r="I6" s="179" t="s">
        <v>91</v>
      </c>
      <c r="J6" s="179" t="s">
        <v>92</v>
      </c>
      <c r="K6" s="179" t="s">
        <v>93</v>
      </c>
      <c r="L6" s="179" t="s">
        <v>94</v>
      </c>
      <c r="M6" s="179" t="s">
        <v>95</v>
      </c>
      <c r="N6" s="179" t="s">
        <v>96</v>
      </c>
      <c r="O6" s="179" t="s">
        <v>97</v>
      </c>
      <c r="P6" s="179" t="s">
        <v>178</v>
      </c>
      <c r="Q6" s="180" t="s">
        <v>150</v>
      </c>
    </row>
    <row r="7" spans="1:17" x14ac:dyDescent="0.35">
      <c r="A7" s="164" t="s">
        <v>179</v>
      </c>
      <c r="B7" s="181">
        <f>AVERAGE(B11:B45)</f>
        <v>2.1550109790573313E-2</v>
      </c>
      <c r="C7" s="181">
        <f t="shared" ref="C7:Q7" si="2">AVERAGE(C11:C45)</f>
        <v>7.1851134103018646E-2</v>
      </c>
      <c r="D7" s="181">
        <f t="shared" si="2"/>
        <v>3.9195194541919255E-2</v>
      </c>
      <c r="E7" s="181">
        <f t="shared" si="2"/>
        <v>5.372043768241664E-2</v>
      </c>
      <c r="F7" s="181">
        <f t="shared" si="2"/>
        <v>5.2140991339437608E-2</v>
      </c>
      <c r="G7" s="181">
        <f t="shared" si="2"/>
        <v>5.2993769852006989E-2</v>
      </c>
      <c r="H7" s="181">
        <f t="shared" si="2"/>
        <v>5.1349341067941541E-2</v>
      </c>
      <c r="I7" s="181">
        <f t="shared" si="2"/>
        <v>5.9031851701381199E-2</v>
      </c>
      <c r="J7" s="181">
        <f t="shared" si="2"/>
        <v>4.6807375416613568E-2</v>
      </c>
      <c r="K7" s="181">
        <f t="shared" si="2"/>
        <v>5.5145294400492456E-2</v>
      </c>
      <c r="L7" s="181">
        <f t="shared" si="2"/>
        <v>5.3595695880306E-2</v>
      </c>
      <c r="M7" s="181">
        <f t="shared" si="2"/>
        <v>8.1258092618074512E-2</v>
      </c>
      <c r="N7" s="181">
        <f t="shared" si="2"/>
        <v>6.6673475689596265E-2</v>
      </c>
      <c r="O7" s="181">
        <f t="shared" si="2"/>
        <v>3.8627012228905223E-2</v>
      </c>
      <c r="P7" s="181">
        <f t="shared" si="2"/>
        <v>3.5485527436216746E-2</v>
      </c>
      <c r="Q7" s="182">
        <f t="shared" si="2"/>
        <v>5.930297439330072E-2</v>
      </c>
    </row>
    <row r="8" spans="1:17" x14ac:dyDescent="0.35">
      <c r="A8" s="156" t="s">
        <v>181</v>
      </c>
      <c r="B8" s="172">
        <f t="shared" ref="B8:Q8" si="3">STDEV(B11:B45)</f>
        <v>1.1025579173999474</v>
      </c>
      <c r="C8" s="172">
        <f t="shared" si="3"/>
        <v>1.0952720984372066</v>
      </c>
      <c r="D8" s="172">
        <f t="shared" si="3"/>
        <v>1.0522012083746153</v>
      </c>
      <c r="E8" s="172">
        <f t="shared" si="3"/>
        <v>1.1021761702554749</v>
      </c>
      <c r="F8" s="172">
        <f t="shared" si="3"/>
        <v>1.150597004721003</v>
      </c>
      <c r="G8" s="172">
        <f t="shared" si="3"/>
        <v>1.1612000121290942</v>
      </c>
      <c r="H8" s="172">
        <f t="shared" si="3"/>
        <v>1.1549604828376272</v>
      </c>
      <c r="I8" s="172">
        <f t="shared" si="3"/>
        <v>1.1558807358902821</v>
      </c>
      <c r="J8" s="172">
        <f t="shared" si="3"/>
        <v>1.1355446929333981</v>
      </c>
      <c r="K8" s="172">
        <f t="shared" si="3"/>
        <v>1.1324694369493027</v>
      </c>
      <c r="L8" s="172">
        <f t="shared" si="3"/>
        <v>1.1519541076421247</v>
      </c>
      <c r="M8" s="172">
        <f t="shared" si="3"/>
        <v>1.1479332436207677</v>
      </c>
      <c r="N8" s="172">
        <f t="shared" si="3"/>
        <v>1.0666824381193072</v>
      </c>
      <c r="O8" s="172">
        <f t="shared" si="3"/>
        <v>1.1630774406596764</v>
      </c>
      <c r="P8" s="172">
        <f t="shared" si="3"/>
        <v>1.1921931740608771</v>
      </c>
      <c r="Q8" s="172">
        <f t="shared" si="3"/>
        <v>1.2076548707910646</v>
      </c>
    </row>
    <row r="9" spans="1:17" x14ac:dyDescent="0.35">
      <c r="A9" s="156" t="s">
        <v>183</v>
      </c>
      <c r="B9" s="175">
        <f>KURT(B11:B45)</f>
        <v>4.0261056247876068</v>
      </c>
      <c r="C9" s="175">
        <f t="shared" ref="C9:Q9" si="4">KURT(C11:C45)</f>
        <v>5.0392459334684672</v>
      </c>
      <c r="D9" s="175">
        <f t="shared" si="4"/>
        <v>2.6443590016237</v>
      </c>
      <c r="E9" s="175">
        <f t="shared" si="4"/>
        <v>9.5598528790855752</v>
      </c>
      <c r="F9" s="175">
        <f t="shared" si="4"/>
        <v>16.615818720814556</v>
      </c>
      <c r="G9" s="175">
        <f t="shared" si="4"/>
        <v>20.00344275006249</v>
      </c>
      <c r="H9" s="175">
        <f t="shared" si="4"/>
        <v>16.621609091776026</v>
      </c>
      <c r="I9" s="175">
        <f t="shared" si="4"/>
        <v>15.930715180279005</v>
      </c>
      <c r="J9" s="175">
        <f t="shared" si="4"/>
        <v>17.440901101438051</v>
      </c>
      <c r="K9" s="175">
        <f t="shared" si="4"/>
        <v>18.19400900583728</v>
      </c>
      <c r="L9" s="175">
        <f t="shared" si="4"/>
        <v>11.691454757491886</v>
      </c>
      <c r="M9" s="175">
        <f t="shared" si="4"/>
        <v>9.9441404786130079</v>
      </c>
      <c r="N9" s="175">
        <f t="shared" si="4"/>
        <v>3.4831434541385331</v>
      </c>
      <c r="O9" s="175">
        <f t="shared" si="4"/>
        <v>28.762289599745582</v>
      </c>
      <c r="P9" s="175">
        <f t="shared" si="4"/>
        <v>31.665862412006735</v>
      </c>
      <c r="Q9" s="176">
        <f t="shared" si="4"/>
        <v>33.990017213655953</v>
      </c>
    </row>
    <row r="10" spans="1:17" ht="15" thickBot="1" x14ac:dyDescent="0.4">
      <c r="A10" s="188" t="s">
        <v>184</v>
      </c>
      <c r="B10" s="173">
        <f>SKEW(B11:B45)</f>
        <v>2.1746035634830774</v>
      </c>
      <c r="C10" s="173">
        <f t="shared" ref="C10:Q10" si="5">SKEW(C11:C45)</f>
        <v>2.192356316138155</v>
      </c>
      <c r="D10" s="173">
        <f t="shared" si="5"/>
        <v>1.5269448693900434</v>
      </c>
      <c r="E10" s="173">
        <f t="shared" si="5"/>
        <v>2.6976645891715445</v>
      </c>
      <c r="F10" s="173">
        <f t="shared" si="5"/>
        <v>3.6748800441338254</v>
      </c>
      <c r="G10" s="173">
        <f t="shared" si="5"/>
        <v>4.1102057444653912</v>
      </c>
      <c r="H10" s="173">
        <f t="shared" si="5"/>
        <v>3.7114110876636976</v>
      </c>
      <c r="I10" s="173">
        <f t="shared" si="5"/>
        <v>3.6671051987079788</v>
      </c>
      <c r="J10" s="173">
        <f t="shared" si="5"/>
        <v>3.7921992439651184</v>
      </c>
      <c r="K10" s="173">
        <f t="shared" si="5"/>
        <v>3.8921785632944852</v>
      </c>
      <c r="L10" s="173">
        <f t="shared" si="5"/>
        <v>3.1376156658743706</v>
      </c>
      <c r="M10" s="173">
        <f t="shared" si="5"/>
        <v>2.9142312109954176</v>
      </c>
      <c r="N10" s="173">
        <f t="shared" si="5"/>
        <v>1.7938660479215203</v>
      </c>
      <c r="O10" s="173">
        <f t="shared" si="5"/>
        <v>5.1860350890653111</v>
      </c>
      <c r="P10" s="173">
        <f t="shared" si="5"/>
        <v>5.5209201013054248</v>
      </c>
      <c r="Q10" s="174">
        <f t="shared" si="5"/>
        <v>5.7969972964972794</v>
      </c>
    </row>
    <row r="11" spans="1:17" x14ac:dyDescent="0.35">
      <c r="A11" s="184" t="str">
        <f t="shared" ref="A11:A45" si="6">A51</f>
        <v>AK</v>
      </c>
      <c r="B11" s="185">
        <f t="shared" ref="B11:Q11" si="7">STANDARDIZE(B51,B$2,B$3)</f>
        <v>-0.52747147923638171</v>
      </c>
      <c r="C11" s="186">
        <f t="shared" si="7"/>
        <v>-0.71256928780544138</v>
      </c>
      <c r="D11" s="186">
        <f t="shared" si="7"/>
        <v>-1.0260683196409344</v>
      </c>
      <c r="E11" s="186">
        <f t="shared" si="7"/>
        <v>-0.73644373721369705</v>
      </c>
      <c r="F11" s="186">
        <f t="shared" si="7"/>
        <v>-0.67625222712477673</v>
      </c>
      <c r="G11" s="186">
        <f t="shared" si="7"/>
        <v>-0.65035394577873862</v>
      </c>
      <c r="H11" s="186">
        <f t="shared" si="7"/>
        <v>-0.64715154441280165</v>
      </c>
      <c r="I11" s="186">
        <f t="shared" si="7"/>
        <v>-0.61245546140183027</v>
      </c>
      <c r="J11" s="186">
        <f t="shared" si="7"/>
        <v>-0.57692521591015211</v>
      </c>
      <c r="K11" s="186">
        <f t="shared" si="7"/>
        <v>-0.59095200744894927</v>
      </c>
      <c r="L11" s="186">
        <f t="shared" si="7"/>
        <v>-0.61941670549817285</v>
      </c>
      <c r="M11" s="186">
        <f t="shared" si="7"/>
        <v>-0.6578940987927363</v>
      </c>
      <c r="N11" s="186">
        <f t="shared" si="7"/>
        <v>-0.886490767019115</v>
      </c>
      <c r="O11" s="186">
        <f t="shared" si="7"/>
        <v>-0.19630423024554239</v>
      </c>
      <c r="P11" s="186">
        <f t="shared" si="7"/>
        <v>-5.8494763188944164E-2</v>
      </c>
      <c r="Q11" s="187">
        <f t="shared" si="7"/>
        <v>4.2232519166982604E-2</v>
      </c>
    </row>
    <row r="12" spans="1:17" x14ac:dyDescent="0.35">
      <c r="A12" s="159" t="str">
        <f t="shared" si="6"/>
        <v>AL</v>
      </c>
      <c r="B12" s="156">
        <f t="shared" ref="B12:Q12" si="8">STANDARDIZE(B52,B$2,B$3)</f>
        <v>-0.52747147923638171</v>
      </c>
      <c r="C12" s="156">
        <f t="shared" si="8"/>
        <v>-0.11263877536251334</v>
      </c>
      <c r="D12" s="156">
        <f t="shared" si="8"/>
        <v>1.4861764014899748E-2</v>
      </c>
      <c r="E12" s="156">
        <f t="shared" si="8"/>
        <v>-0.32431889305219458</v>
      </c>
      <c r="F12" s="156">
        <f t="shared" si="8"/>
        <v>-0.2598730302298658</v>
      </c>
      <c r="G12" s="156">
        <f t="shared" si="8"/>
        <v>-0.22508677574679978</v>
      </c>
      <c r="H12" s="156">
        <f t="shared" si="8"/>
        <v>-0.33059984830350064</v>
      </c>
      <c r="I12" s="156">
        <f t="shared" si="8"/>
        <v>-0.365786652506773</v>
      </c>
      <c r="J12" s="156">
        <f t="shared" si="8"/>
        <v>-0.16845168936559662</v>
      </c>
      <c r="K12" s="156">
        <f t="shared" si="8"/>
        <v>-0.23200906197703719</v>
      </c>
      <c r="L12" s="156">
        <f t="shared" si="8"/>
        <v>-0.50004795187530071</v>
      </c>
      <c r="M12" s="156">
        <f t="shared" si="8"/>
        <v>-0.32191582996964047</v>
      </c>
      <c r="N12" s="156">
        <f t="shared" si="8"/>
        <v>-0.32692549673884119</v>
      </c>
      <c r="O12" s="156">
        <f t="shared" si="8"/>
        <v>-0.14264946034925746</v>
      </c>
      <c r="P12" s="156">
        <f t="shared" si="8"/>
        <v>-0.29428760705135482</v>
      </c>
      <c r="Q12" s="160">
        <f t="shared" si="8"/>
        <v>-0.18383567166804196</v>
      </c>
    </row>
    <row r="13" spans="1:17" x14ac:dyDescent="0.35">
      <c r="A13" s="159" t="str">
        <f t="shared" si="6"/>
        <v>AR</v>
      </c>
      <c r="B13" s="156">
        <f t="shared" ref="B13:Q13" si="9">STANDARDIZE(B53,B$2,B$3)</f>
        <v>-0.52747147923638171</v>
      </c>
      <c r="C13" s="156">
        <f t="shared" si="9"/>
        <v>-0.23893993587681397</v>
      </c>
      <c r="D13" s="156">
        <f t="shared" si="9"/>
        <v>-0.47405994194465872</v>
      </c>
      <c r="E13" s="156">
        <f t="shared" si="9"/>
        <v>-0.41108201813882667</v>
      </c>
      <c r="F13" s="156">
        <f t="shared" si="9"/>
        <v>-0.46806262867732124</v>
      </c>
      <c r="G13" s="156">
        <f t="shared" si="9"/>
        <v>-0.4667158496285832</v>
      </c>
      <c r="H13" s="156">
        <f t="shared" si="9"/>
        <v>-0.53757595729804353</v>
      </c>
      <c r="I13" s="156">
        <f t="shared" si="9"/>
        <v>-0.365786652506773</v>
      </c>
      <c r="J13" s="156">
        <f t="shared" si="9"/>
        <v>-0.44076737372863362</v>
      </c>
      <c r="K13" s="156">
        <f t="shared" si="9"/>
        <v>-0.37159798521611409</v>
      </c>
      <c r="L13" s="156">
        <f t="shared" si="9"/>
        <v>-0.51994274414577946</v>
      </c>
      <c r="M13" s="156">
        <f t="shared" si="9"/>
        <v>-0.42073296785878628</v>
      </c>
      <c r="N13" s="156">
        <f t="shared" si="9"/>
        <v>-0.59338514925325725</v>
      </c>
      <c r="O13" s="156">
        <f t="shared" si="9"/>
        <v>-0.19630423024554239</v>
      </c>
      <c r="P13" s="156">
        <f t="shared" si="9"/>
        <v>-0.29428760705135482</v>
      </c>
      <c r="Q13" s="160">
        <f t="shared" si="9"/>
        <v>-0.18383567166804196</v>
      </c>
    </row>
    <row r="14" spans="1:17" x14ac:dyDescent="0.35">
      <c r="A14" s="159" t="str">
        <f t="shared" si="6"/>
        <v>AZ</v>
      </c>
      <c r="B14" s="156">
        <f t="shared" ref="B14:Q14" si="10">STANDARDIZE(B54,B$2,B$3)</f>
        <v>-0.52747147923638171</v>
      </c>
      <c r="C14" s="156">
        <f t="shared" si="10"/>
        <v>-0.71256928780544138</v>
      </c>
      <c r="D14" s="156">
        <f t="shared" si="10"/>
        <v>0.66150014931625123</v>
      </c>
      <c r="E14" s="156">
        <f t="shared" si="10"/>
        <v>0.81444712370985173</v>
      </c>
      <c r="F14" s="156">
        <f t="shared" si="10"/>
        <v>0.47825372790202175</v>
      </c>
      <c r="G14" s="156">
        <f t="shared" si="10"/>
        <v>0.22917588315095314</v>
      </c>
      <c r="H14" s="156">
        <f t="shared" si="10"/>
        <v>0.29032847868012807</v>
      </c>
      <c r="I14" s="156">
        <f t="shared" si="10"/>
        <v>0.34681212874561473</v>
      </c>
      <c r="J14" s="156">
        <f t="shared" si="10"/>
        <v>0.4215656267543168</v>
      </c>
      <c r="K14" s="156">
        <f t="shared" si="10"/>
        <v>0.60552447745742422</v>
      </c>
      <c r="L14" s="156">
        <f t="shared" si="10"/>
        <v>0.19626977759145309</v>
      </c>
      <c r="M14" s="156">
        <f t="shared" si="10"/>
        <v>-0.20333526450266548</v>
      </c>
      <c r="N14" s="156">
        <f t="shared" si="10"/>
        <v>0.95208083533035603</v>
      </c>
      <c r="O14" s="156">
        <f t="shared" si="10"/>
        <v>0.74265424293944349</v>
      </c>
      <c r="P14" s="156">
        <f t="shared" si="10"/>
        <v>0.48382877769460036</v>
      </c>
      <c r="Q14" s="160">
        <f t="shared" si="10"/>
        <v>-0.18383567166804196</v>
      </c>
    </row>
    <row r="15" spans="1:17" x14ac:dyDescent="0.35">
      <c r="A15" s="159" t="str">
        <f t="shared" si="6"/>
        <v>CA</v>
      </c>
      <c r="B15" s="156">
        <f t="shared" ref="B15:Q15" si="11">STANDARDIZE(B55,B$2,B$3)</f>
        <v>-0.52747147923638171</v>
      </c>
      <c r="C15" s="156">
        <f t="shared" si="11"/>
        <v>-0.71256928780544138</v>
      </c>
      <c r="D15" s="156">
        <f t="shared" si="11"/>
        <v>-1.0260683196409344</v>
      </c>
      <c r="E15" s="156">
        <f t="shared" si="11"/>
        <v>4.7947054870590984</v>
      </c>
      <c r="F15" s="156">
        <f t="shared" si="11"/>
        <v>5.6451410348252349</v>
      </c>
      <c r="G15" s="156">
        <f t="shared" si="11"/>
        <v>5.9316220267610422</v>
      </c>
      <c r="H15" s="156">
        <f t="shared" si="11"/>
        <v>5.6595322473032708</v>
      </c>
      <c r="I15" s="156">
        <f t="shared" si="11"/>
        <v>5.6090800518401709</v>
      </c>
      <c r="J15" s="156">
        <f t="shared" si="11"/>
        <v>5.625820927914579</v>
      </c>
      <c r="K15" s="156">
        <f t="shared" si="11"/>
        <v>5.6706082635610722</v>
      </c>
      <c r="L15" s="156">
        <f t="shared" si="11"/>
        <v>5.2097574297520817</v>
      </c>
      <c r="M15" s="156">
        <f t="shared" si="11"/>
        <v>5.0339730436220629</v>
      </c>
      <c r="N15" s="156">
        <f t="shared" si="11"/>
        <v>3.7765531519831663</v>
      </c>
      <c r="O15" s="156">
        <f t="shared" si="11"/>
        <v>6.4300598519456447</v>
      </c>
      <c r="P15" s="156">
        <f t="shared" si="11"/>
        <v>6.7323391400484836</v>
      </c>
      <c r="Q15" s="160">
        <f t="shared" si="11"/>
        <v>6.9534600675520197</v>
      </c>
    </row>
    <row r="16" spans="1:17" x14ac:dyDescent="0.35">
      <c r="A16" s="159" t="str">
        <f t="shared" si="6"/>
        <v>CO</v>
      </c>
      <c r="B16" s="156">
        <f t="shared" ref="B16:Q16" si="12">STANDARDIZE(B56,B$2,B$3)</f>
        <v>-0.52747147923638171</v>
      </c>
      <c r="C16" s="156">
        <f t="shared" si="12"/>
        <v>-0.71256928780544138</v>
      </c>
      <c r="D16" s="156">
        <f t="shared" si="12"/>
        <v>0.50378346997445822</v>
      </c>
      <c r="E16" s="156">
        <f t="shared" si="12"/>
        <v>0.41316767018417822</v>
      </c>
      <c r="F16" s="156">
        <f t="shared" si="12"/>
        <v>0.34576943798091375</v>
      </c>
      <c r="G16" s="156">
        <f t="shared" si="12"/>
        <v>0.30649718679312382</v>
      </c>
      <c r="H16" s="156">
        <f t="shared" si="12"/>
        <v>0.1198775653905045</v>
      </c>
      <c r="I16" s="156">
        <f t="shared" si="12"/>
        <v>4.5328028984989145E-2</v>
      </c>
      <c r="J16" s="156">
        <f t="shared" si="12"/>
        <v>0.11899264412872018</v>
      </c>
      <c r="K16" s="156">
        <f t="shared" si="12"/>
        <v>0.3662291804761495</v>
      </c>
      <c r="L16" s="156">
        <f t="shared" si="12"/>
        <v>-0.20162606781812054</v>
      </c>
      <c r="M16" s="156">
        <f t="shared" si="12"/>
        <v>-0.14404498176917799</v>
      </c>
      <c r="N16" s="156">
        <f t="shared" si="12"/>
        <v>0.41916153030152387</v>
      </c>
      <c r="O16" s="156">
        <f t="shared" si="12"/>
        <v>0.36707085366544923</v>
      </c>
      <c r="P16" s="156">
        <f t="shared" si="12"/>
        <v>0.24803593383218972</v>
      </c>
      <c r="Q16" s="160">
        <f t="shared" si="12"/>
        <v>-0.18383567166804196</v>
      </c>
    </row>
    <row r="17" spans="1:17" x14ac:dyDescent="0.35">
      <c r="A17" s="159" t="str">
        <f t="shared" si="6"/>
        <v>CT</v>
      </c>
      <c r="B17" s="156">
        <f t="shared" ref="B17:Q17" si="13">STANDARDIZE(B57,B$2,B$3)</f>
        <v>-0.52747147923638171</v>
      </c>
      <c r="C17" s="156">
        <f t="shared" si="13"/>
        <v>0.34520293150182646</v>
      </c>
      <c r="D17" s="156">
        <f t="shared" si="13"/>
        <v>0.56687014171117545</v>
      </c>
      <c r="E17" s="156">
        <f t="shared" si="13"/>
        <v>0.16372368556011097</v>
      </c>
      <c r="F17" s="156">
        <f t="shared" si="13"/>
        <v>9.0264021704491132E-2</v>
      </c>
      <c r="G17" s="156">
        <f t="shared" si="13"/>
        <v>-8.010933141772969E-2</v>
      </c>
      <c r="H17" s="156">
        <f t="shared" si="13"/>
        <v>-0.16014893501387709</v>
      </c>
      <c r="I17" s="156">
        <f t="shared" si="13"/>
        <v>-0.28356371620842058</v>
      </c>
      <c r="J17" s="156">
        <f t="shared" si="13"/>
        <v>-0.30460953154711512</v>
      </c>
      <c r="K17" s="156">
        <f t="shared" si="13"/>
        <v>-0.31177416097079541</v>
      </c>
      <c r="L17" s="156">
        <f t="shared" si="13"/>
        <v>-0.18173127554764185</v>
      </c>
      <c r="M17" s="156">
        <f t="shared" si="13"/>
        <v>-0.12428155419134881</v>
      </c>
      <c r="N17" s="156">
        <f t="shared" si="13"/>
        <v>9.9409947284224531E-2</v>
      </c>
      <c r="O17" s="156">
        <f t="shared" si="13"/>
        <v>4.9011568655260443E-3</v>
      </c>
      <c r="P17" s="156">
        <f t="shared" si="13"/>
        <v>-0.29428760705135482</v>
      </c>
      <c r="Q17" s="160">
        <f t="shared" si="13"/>
        <v>-0.18383567166804196</v>
      </c>
    </row>
    <row r="18" spans="1:17" x14ac:dyDescent="0.35">
      <c r="A18" s="159" t="str">
        <f t="shared" si="6"/>
        <v>DC</v>
      </c>
      <c r="B18" s="156">
        <f t="shared" ref="B18:Q18" si="14">STANDARDIZE(B58,B$2,B$3)</f>
        <v>-0.47482557343927645</v>
      </c>
      <c r="C18" s="156">
        <f t="shared" si="14"/>
        <v>-0.52311754703399038</v>
      </c>
      <c r="D18" s="156">
        <f t="shared" si="14"/>
        <v>-0.86835164029914136</v>
      </c>
      <c r="E18" s="156">
        <f t="shared" si="14"/>
        <v>-0.71475295594203903</v>
      </c>
      <c r="F18" s="156">
        <f t="shared" si="14"/>
        <v>-0.6100100821642227</v>
      </c>
      <c r="G18" s="156">
        <f t="shared" si="14"/>
        <v>-0.631023619868196</v>
      </c>
      <c r="H18" s="156">
        <f t="shared" si="14"/>
        <v>-0.65932660964777468</v>
      </c>
      <c r="I18" s="156">
        <f t="shared" si="14"/>
        <v>-0.5850478159690462</v>
      </c>
      <c r="J18" s="156">
        <f t="shared" si="14"/>
        <v>-0.54666791764759237</v>
      </c>
      <c r="K18" s="156">
        <f t="shared" si="14"/>
        <v>-0.57101073270050973</v>
      </c>
      <c r="L18" s="156">
        <f t="shared" si="14"/>
        <v>-0.61941670549817285</v>
      </c>
      <c r="M18" s="156">
        <f t="shared" si="14"/>
        <v>-0.69742095394839465</v>
      </c>
      <c r="N18" s="156">
        <f t="shared" si="14"/>
        <v>-0.886490767019115</v>
      </c>
      <c r="O18" s="156">
        <f t="shared" si="14"/>
        <v>-0.39750961735661078</v>
      </c>
      <c r="P18" s="156">
        <f t="shared" si="14"/>
        <v>-0.29428760705135482</v>
      </c>
      <c r="Q18" s="160">
        <f t="shared" si="14"/>
        <v>-0.18383567166804196</v>
      </c>
    </row>
    <row r="19" spans="1:17" x14ac:dyDescent="0.35">
      <c r="A19" s="159" t="str">
        <f t="shared" si="6"/>
        <v>DE</v>
      </c>
      <c r="B19" s="156">
        <f t="shared" ref="B19:Q19" si="15">STANDARDIZE(B59,B$2,B$3)</f>
        <v>-0.10630423285953954</v>
      </c>
      <c r="C19" s="156">
        <f t="shared" si="15"/>
        <v>-0.42839167664826494</v>
      </c>
      <c r="D19" s="156">
        <f t="shared" si="15"/>
        <v>-0.75794996475988619</v>
      </c>
      <c r="E19" s="156">
        <f t="shared" si="15"/>
        <v>-0.7906706903928421</v>
      </c>
      <c r="F19" s="156">
        <f t="shared" si="15"/>
        <v>-0.6573258999931898</v>
      </c>
      <c r="G19" s="156">
        <f t="shared" si="15"/>
        <v>-0.631023619868196</v>
      </c>
      <c r="H19" s="156">
        <f t="shared" si="15"/>
        <v>-0.61062634870788224</v>
      </c>
      <c r="I19" s="156">
        <f t="shared" si="15"/>
        <v>-0.55764017053626203</v>
      </c>
      <c r="J19" s="156">
        <f t="shared" si="15"/>
        <v>-0.57692521591015211</v>
      </c>
      <c r="K19" s="156">
        <f t="shared" si="15"/>
        <v>-0.59095200744894927</v>
      </c>
      <c r="L19" s="156">
        <f t="shared" si="15"/>
        <v>-0.55973232868673684</v>
      </c>
      <c r="M19" s="156">
        <f t="shared" si="15"/>
        <v>-0.55907696090359049</v>
      </c>
      <c r="N19" s="156">
        <f t="shared" si="15"/>
        <v>-0.72661497551046539</v>
      </c>
      <c r="O19" s="156">
        <f t="shared" si="15"/>
        <v>-0.39750961735661078</v>
      </c>
      <c r="P19" s="156">
        <f t="shared" si="15"/>
        <v>-0.29428760705135482</v>
      </c>
      <c r="Q19" s="160">
        <f t="shared" si="15"/>
        <v>-0.18383567166804196</v>
      </c>
    </row>
    <row r="20" spans="1:17" x14ac:dyDescent="0.35">
      <c r="A20" s="159" t="str">
        <f t="shared" si="6"/>
        <v>FL</v>
      </c>
      <c r="B20" s="156">
        <f t="shared" ref="B20:Q20" si="16">STANDARDIZE(B60,B$2,B$3)</f>
        <v>3.5789091729378293</v>
      </c>
      <c r="C20" s="156">
        <f t="shared" si="16"/>
        <v>3.4237937190379046</v>
      </c>
      <c r="D20" s="156">
        <f t="shared" si="16"/>
        <v>2.9168486639038917</v>
      </c>
      <c r="E20" s="156">
        <f t="shared" si="16"/>
        <v>1.7146145464836597</v>
      </c>
      <c r="F20" s="156">
        <f t="shared" si="16"/>
        <v>1.3772542666523977</v>
      </c>
      <c r="G20" s="156">
        <f t="shared" si="16"/>
        <v>1.0410495713937455</v>
      </c>
      <c r="H20" s="156">
        <f t="shared" si="16"/>
        <v>1.7148111111719821</v>
      </c>
      <c r="I20" s="156">
        <f t="shared" si="16"/>
        <v>1.6349714640864694</v>
      </c>
      <c r="J20" s="156">
        <f t="shared" si="16"/>
        <v>1.5410856624690243</v>
      </c>
      <c r="K20" s="156">
        <f t="shared" si="16"/>
        <v>1.5826469401309626</v>
      </c>
      <c r="L20" s="156">
        <f t="shared" si="16"/>
        <v>2.1857490046393213</v>
      </c>
      <c r="M20" s="156">
        <f t="shared" si="16"/>
        <v>2.2670931827259801</v>
      </c>
      <c r="N20" s="156">
        <f t="shared" si="16"/>
        <v>2.2843790979024363</v>
      </c>
      <c r="O20" s="156">
        <f t="shared" si="16"/>
        <v>-0.39750961735661078</v>
      </c>
      <c r="P20" s="156">
        <f t="shared" si="16"/>
        <v>-0.29428760705135482</v>
      </c>
      <c r="Q20" s="160">
        <f t="shared" si="16"/>
        <v>-0.18383567166804196</v>
      </c>
    </row>
    <row r="21" spans="1:17" x14ac:dyDescent="0.35">
      <c r="A21" s="159" t="str">
        <f t="shared" si="6"/>
        <v>GA</v>
      </c>
      <c r="B21" s="156">
        <f t="shared" ref="B21:Q21" si="17">STANDARDIZE(B61,B$2,B$3)</f>
        <v>1.3151352236623028</v>
      </c>
      <c r="C21" s="156">
        <f t="shared" si="17"/>
        <v>1.339824570551944</v>
      </c>
      <c r="D21" s="156">
        <f t="shared" si="17"/>
        <v>0.99270517593401675</v>
      </c>
      <c r="E21" s="156">
        <f t="shared" si="17"/>
        <v>0.67345704544407448</v>
      </c>
      <c r="F21" s="156">
        <f t="shared" si="17"/>
        <v>0.55395903642836919</v>
      </c>
      <c r="G21" s="156">
        <f t="shared" si="17"/>
        <v>0.40314881634583721</v>
      </c>
      <c r="H21" s="156">
        <f t="shared" si="17"/>
        <v>0.46077939196975165</v>
      </c>
      <c r="I21" s="156">
        <f t="shared" si="17"/>
        <v>0.34681212874561473</v>
      </c>
      <c r="J21" s="156">
        <f t="shared" si="17"/>
        <v>0.19463588978511934</v>
      </c>
      <c r="K21" s="156">
        <f t="shared" si="17"/>
        <v>0.34628790572770995</v>
      </c>
      <c r="L21" s="156">
        <f t="shared" si="17"/>
        <v>0.67374479208294147</v>
      </c>
      <c r="M21" s="156">
        <f t="shared" si="17"/>
        <v>0.58720183861050113</v>
      </c>
      <c r="N21" s="156">
        <f t="shared" si="17"/>
        <v>0.57903732181017353</v>
      </c>
      <c r="O21" s="156">
        <f t="shared" si="17"/>
        <v>-0.39750961735661078</v>
      </c>
      <c r="P21" s="156">
        <f t="shared" si="17"/>
        <v>-0.29428760705135482</v>
      </c>
      <c r="Q21" s="160">
        <f t="shared" si="17"/>
        <v>-0.18383567166804196</v>
      </c>
    </row>
    <row r="22" spans="1:17" x14ac:dyDescent="0.35">
      <c r="A22" s="159" t="str">
        <f t="shared" si="6"/>
        <v>HI</v>
      </c>
      <c r="B22" s="156">
        <f t="shared" ref="B22:Q22" si="18">STANDARDIZE(B62,B$2,B$3)</f>
        <v>-0.52747147923638171</v>
      </c>
      <c r="C22" s="156">
        <f t="shared" si="18"/>
        <v>-0.41260403158397735</v>
      </c>
      <c r="D22" s="156">
        <f t="shared" si="18"/>
        <v>-0.80526496856242413</v>
      </c>
      <c r="E22" s="156">
        <f t="shared" si="18"/>
        <v>-0.81236147166450012</v>
      </c>
      <c r="F22" s="156">
        <f t="shared" si="18"/>
        <v>-0.68571539069057019</v>
      </c>
      <c r="G22" s="156">
        <f t="shared" si="18"/>
        <v>-0.61169329395765326</v>
      </c>
      <c r="H22" s="156">
        <f t="shared" si="18"/>
        <v>-0.5984512834729091</v>
      </c>
      <c r="I22" s="156">
        <f t="shared" si="18"/>
        <v>-0.53023252510347785</v>
      </c>
      <c r="J22" s="156">
        <f t="shared" si="18"/>
        <v>-0.57692521591015211</v>
      </c>
      <c r="K22" s="156">
        <f t="shared" si="18"/>
        <v>-0.55106945795207007</v>
      </c>
      <c r="L22" s="156">
        <f t="shared" si="18"/>
        <v>-0.55973232868673684</v>
      </c>
      <c r="M22" s="156">
        <f t="shared" si="18"/>
        <v>-0.28238897481398212</v>
      </c>
      <c r="N22" s="156">
        <f t="shared" si="18"/>
        <v>-8.7111809475866719E-2</v>
      </c>
      <c r="O22" s="156">
        <f t="shared" si="18"/>
        <v>-8.899469045297255E-2</v>
      </c>
      <c r="P22" s="156">
        <f t="shared" si="18"/>
        <v>-0.29428760705135482</v>
      </c>
      <c r="Q22" s="160">
        <f t="shared" si="18"/>
        <v>-0.18383567166804196</v>
      </c>
    </row>
    <row r="23" spans="1:17" x14ac:dyDescent="0.35">
      <c r="A23" s="159" t="str">
        <f t="shared" si="6"/>
        <v>IA</v>
      </c>
      <c r="B23" s="156">
        <f t="shared" ref="B23:Q23" si="19">STANDARDIZE(B63,B$2,B$3)</f>
        <v>-0.52747147923638171</v>
      </c>
      <c r="C23" s="156">
        <f t="shared" si="19"/>
        <v>-0.42839167664826494</v>
      </c>
      <c r="D23" s="156">
        <f t="shared" si="19"/>
        <v>-0.6633199571548104</v>
      </c>
      <c r="E23" s="156">
        <f t="shared" si="19"/>
        <v>-0.77982529975701309</v>
      </c>
      <c r="F23" s="156">
        <f t="shared" si="19"/>
        <v>-0.6100100821642227</v>
      </c>
      <c r="G23" s="156">
        <f t="shared" si="19"/>
        <v>-0.59236296804711064</v>
      </c>
      <c r="H23" s="156">
        <f t="shared" si="19"/>
        <v>-0.5984512834729091</v>
      </c>
      <c r="I23" s="156">
        <f t="shared" si="19"/>
        <v>-0.48912105695430164</v>
      </c>
      <c r="J23" s="156">
        <f t="shared" si="19"/>
        <v>-0.63743981243527137</v>
      </c>
      <c r="K23" s="156">
        <f t="shared" si="19"/>
        <v>-0.49124563370675145</v>
      </c>
      <c r="L23" s="156">
        <f t="shared" si="19"/>
        <v>-0.61941670549817285</v>
      </c>
      <c r="M23" s="156">
        <f t="shared" si="19"/>
        <v>-0.4800232505922738</v>
      </c>
      <c r="N23" s="156">
        <f t="shared" si="19"/>
        <v>-0.72661497551046539</v>
      </c>
      <c r="O23" s="156">
        <f t="shared" si="19"/>
        <v>-0.26337269261589852</v>
      </c>
      <c r="P23" s="156">
        <f t="shared" si="19"/>
        <v>-0.29428760705135482</v>
      </c>
      <c r="Q23" s="160">
        <f t="shared" si="19"/>
        <v>-0.18383567166804196</v>
      </c>
    </row>
    <row r="24" spans="1:17" x14ac:dyDescent="0.35">
      <c r="A24" s="159" t="str">
        <f t="shared" si="6"/>
        <v>ID</v>
      </c>
      <c r="B24" s="156">
        <f t="shared" ref="B24:Q24" si="20">STANDARDIZE(B64,B$2,B$3)</f>
        <v>-0.52747147923638171</v>
      </c>
      <c r="C24" s="156">
        <f t="shared" si="20"/>
        <v>-0.71256928780544138</v>
      </c>
      <c r="D24" s="156">
        <f t="shared" si="20"/>
        <v>-0.64754828922063112</v>
      </c>
      <c r="E24" s="156">
        <f t="shared" si="20"/>
        <v>-0.68221678403455199</v>
      </c>
      <c r="F24" s="156">
        <f t="shared" si="20"/>
        <v>-0.58162059146684242</v>
      </c>
      <c r="G24" s="156">
        <f t="shared" si="20"/>
        <v>-0.53437199031548255</v>
      </c>
      <c r="H24" s="156">
        <f t="shared" si="20"/>
        <v>-0.51322582682809736</v>
      </c>
      <c r="I24" s="156">
        <f t="shared" si="20"/>
        <v>-0.50282487967069378</v>
      </c>
      <c r="J24" s="156">
        <f t="shared" si="20"/>
        <v>-0.48615332112247311</v>
      </c>
      <c r="K24" s="156">
        <f t="shared" si="20"/>
        <v>-0.47130435895831191</v>
      </c>
      <c r="L24" s="156">
        <f t="shared" si="20"/>
        <v>-0.53983753641625809</v>
      </c>
      <c r="M24" s="156">
        <f t="shared" si="20"/>
        <v>-0.55907696090359049</v>
      </c>
      <c r="N24" s="156">
        <f t="shared" si="20"/>
        <v>-0.72661497551046539</v>
      </c>
      <c r="O24" s="156">
        <f t="shared" si="20"/>
        <v>-0.27678638508996972</v>
      </c>
      <c r="P24" s="156">
        <f t="shared" si="20"/>
        <v>-0.21176011169951112</v>
      </c>
      <c r="Q24" s="160">
        <f t="shared" si="20"/>
        <v>-0.18383567166804196</v>
      </c>
    </row>
    <row r="25" spans="1:17" x14ac:dyDescent="0.35">
      <c r="A25" s="159" t="str">
        <f t="shared" si="6"/>
        <v>IL</v>
      </c>
      <c r="B25" s="156">
        <f t="shared" ref="B25:Q25" si="21">STANDARDIZE(B65,B$2,B$3)</f>
        <v>-0.52747147923638171</v>
      </c>
      <c r="C25" s="156">
        <f t="shared" si="21"/>
        <v>-0.71256928780544138</v>
      </c>
      <c r="D25" s="156">
        <f t="shared" si="21"/>
        <v>1.1031068514732718</v>
      </c>
      <c r="E25" s="156">
        <f t="shared" si="21"/>
        <v>0.5975393109932714</v>
      </c>
      <c r="F25" s="156">
        <f t="shared" si="21"/>
        <v>0.32684311084932688</v>
      </c>
      <c r="G25" s="156">
        <f t="shared" si="21"/>
        <v>0.28716686088258114</v>
      </c>
      <c r="H25" s="156">
        <f t="shared" si="21"/>
        <v>0.58253004431948274</v>
      </c>
      <c r="I25" s="156">
        <f t="shared" si="21"/>
        <v>0.60718476035706415</v>
      </c>
      <c r="J25" s="156">
        <f t="shared" si="21"/>
        <v>0.8905537498239916</v>
      </c>
      <c r="K25" s="156">
        <f t="shared" si="21"/>
        <v>0.86476104918713848</v>
      </c>
      <c r="L25" s="156">
        <f t="shared" si="21"/>
        <v>0.43500728483719725</v>
      </c>
      <c r="M25" s="156">
        <f t="shared" si="21"/>
        <v>-6.4991271457861322E-2</v>
      </c>
      <c r="N25" s="156">
        <f t="shared" si="21"/>
        <v>1.5915840013649547</v>
      </c>
      <c r="O25" s="156">
        <f t="shared" si="21"/>
        <v>1.1450650171615804</v>
      </c>
      <c r="P25" s="156">
        <f t="shared" si="21"/>
        <v>0.73141126375013155</v>
      </c>
      <c r="Q25" s="160">
        <f t="shared" si="21"/>
        <v>-0.18383567166804196</v>
      </c>
    </row>
    <row r="26" spans="1:17" x14ac:dyDescent="0.35">
      <c r="A26" s="159" t="str">
        <f t="shared" si="6"/>
        <v>IN</v>
      </c>
      <c r="B26" s="156">
        <f t="shared" ref="B26:Q26" si="22">STANDARDIZE(B66,B$2,B$3)</f>
        <v>-5.3658327062434265E-2</v>
      </c>
      <c r="C26" s="156">
        <f t="shared" si="22"/>
        <v>0.13996354566608793</v>
      </c>
      <c r="D26" s="156">
        <f t="shared" si="22"/>
        <v>6.2176767817437667E-2</v>
      </c>
      <c r="E26" s="156">
        <f t="shared" si="22"/>
        <v>-0.19417420542224642</v>
      </c>
      <c r="F26" s="156">
        <f t="shared" si="22"/>
        <v>-0.22202037596669208</v>
      </c>
      <c r="G26" s="156">
        <f t="shared" si="22"/>
        <v>-0.10910482028354371</v>
      </c>
      <c r="H26" s="156">
        <f t="shared" si="22"/>
        <v>-8.7098543604038417E-2</v>
      </c>
      <c r="I26" s="156">
        <f t="shared" si="22"/>
        <v>-0.3109713616412047</v>
      </c>
      <c r="J26" s="156">
        <f t="shared" si="22"/>
        <v>-0.33486682980967475</v>
      </c>
      <c r="K26" s="156">
        <f t="shared" si="22"/>
        <v>-0.17218523773171854</v>
      </c>
      <c r="L26" s="156">
        <f t="shared" si="22"/>
        <v>-0.10215210646572712</v>
      </c>
      <c r="M26" s="156">
        <f t="shared" si="22"/>
        <v>9.3116149164771997E-2</v>
      </c>
      <c r="N26" s="156">
        <f t="shared" si="22"/>
        <v>-0.19369567048163316</v>
      </c>
      <c r="O26" s="156">
        <f t="shared" si="22"/>
        <v>-0.39750961735661078</v>
      </c>
      <c r="P26" s="156">
        <f t="shared" si="22"/>
        <v>-0.29428760705135482</v>
      </c>
      <c r="Q26" s="160">
        <f t="shared" si="22"/>
        <v>-0.18383567166804196</v>
      </c>
    </row>
    <row r="27" spans="1:17" x14ac:dyDescent="0.35">
      <c r="A27" s="159" t="str">
        <f t="shared" si="6"/>
        <v>KS</v>
      </c>
      <c r="B27" s="156">
        <f t="shared" ref="B27:Q27" si="23">STANDARDIZE(B67,B$2,B$3)</f>
        <v>-0.52747147923638171</v>
      </c>
      <c r="C27" s="156">
        <f t="shared" si="23"/>
        <v>-0.38102874145540216</v>
      </c>
      <c r="D27" s="156">
        <f t="shared" si="23"/>
        <v>-0.63177662128645173</v>
      </c>
      <c r="E27" s="156">
        <f t="shared" si="23"/>
        <v>-0.51953592449711672</v>
      </c>
      <c r="F27" s="156">
        <f t="shared" si="23"/>
        <v>-0.55323110076946214</v>
      </c>
      <c r="G27" s="156">
        <f t="shared" si="23"/>
        <v>-0.50537650144966861</v>
      </c>
      <c r="H27" s="156">
        <f t="shared" si="23"/>
        <v>-0.5619260877679898</v>
      </c>
      <c r="I27" s="156">
        <f t="shared" si="23"/>
        <v>-0.55764017053626203</v>
      </c>
      <c r="J27" s="156">
        <f t="shared" si="23"/>
        <v>-0.54666791764759237</v>
      </c>
      <c r="K27" s="156">
        <f t="shared" si="23"/>
        <v>-0.43142180946143277</v>
      </c>
      <c r="L27" s="156">
        <f t="shared" si="23"/>
        <v>-0.50004795187530071</v>
      </c>
      <c r="M27" s="156">
        <f t="shared" si="23"/>
        <v>-0.57884038848141961</v>
      </c>
      <c r="N27" s="156">
        <f t="shared" si="23"/>
        <v>-0.62003111450469894</v>
      </c>
      <c r="O27" s="156">
        <f t="shared" si="23"/>
        <v>-0.29020007756404098</v>
      </c>
      <c r="P27" s="156">
        <f t="shared" si="23"/>
        <v>-0.29428760705135482</v>
      </c>
      <c r="Q27" s="160">
        <f t="shared" si="23"/>
        <v>-0.18383567166804196</v>
      </c>
    </row>
    <row r="28" spans="1:17" x14ac:dyDescent="0.35">
      <c r="A28" s="159" t="str">
        <f t="shared" si="6"/>
        <v>KY</v>
      </c>
      <c r="B28" s="156">
        <f t="shared" ref="B28:Q28" si="24">STANDARDIZE(B68,B$2,B$3)</f>
        <v>-0.52747147923638171</v>
      </c>
      <c r="C28" s="156">
        <f t="shared" si="24"/>
        <v>-0.71256928780544138</v>
      </c>
      <c r="D28" s="156">
        <f t="shared" si="24"/>
        <v>-0.22171325499778985</v>
      </c>
      <c r="E28" s="156">
        <f t="shared" si="24"/>
        <v>-0.3460096743238526</v>
      </c>
      <c r="F28" s="156">
        <f t="shared" si="24"/>
        <v>-0.41128364728256067</v>
      </c>
      <c r="G28" s="156">
        <f t="shared" si="24"/>
        <v>-0.39905970894168385</v>
      </c>
      <c r="H28" s="156">
        <f t="shared" si="24"/>
        <v>-0.37930010924339314</v>
      </c>
      <c r="I28" s="156">
        <f t="shared" si="24"/>
        <v>-0.51652870238708581</v>
      </c>
      <c r="J28" s="156">
        <f t="shared" si="24"/>
        <v>-0.54666791764759237</v>
      </c>
      <c r="K28" s="156">
        <f t="shared" si="24"/>
        <v>-0.51118690845519099</v>
      </c>
      <c r="L28" s="156">
        <f t="shared" si="24"/>
        <v>-0.55973232868673684</v>
      </c>
      <c r="M28" s="156">
        <f t="shared" si="24"/>
        <v>-0.61836724363707796</v>
      </c>
      <c r="N28" s="156">
        <f t="shared" si="24"/>
        <v>-0.14040373997874994</v>
      </c>
      <c r="O28" s="156">
        <f t="shared" si="24"/>
        <v>0.13903808160623832</v>
      </c>
      <c r="P28" s="156">
        <f t="shared" si="24"/>
        <v>7.1191300935381702E-2</v>
      </c>
      <c r="Q28" s="160">
        <f t="shared" si="24"/>
        <v>-0.18383567166804196</v>
      </c>
    </row>
    <row r="29" spans="1:17" x14ac:dyDescent="0.35">
      <c r="A29" s="159" t="str">
        <f t="shared" si="6"/>
        <v>LA</v>
      </c>
      <c r="B29" s="156">
        <f t="shared" ref="B29:Q29" si="25">STANDARDIZE(B69,B$2,B$3)</f>
        <v>-0.52747147923638171</v>
      </c>
      <c r="C29" s="156">
        <f t="shared" si="25"/>
        <v>4.5237675280362454E-2</v>
      </c>
      <c r="D29" s="156">
        <f t="shared" si="25"/>
        <v>-3.2453239787638172E-2</v>
      </c>
      <c r="E29" s="156">
        <f t="shared" si="25"/>
        <v>-0.1724834241505884</v>
      </c>
      <c r="F29" s="156">
        <f t="shared" si="25"/>
        <v>-0.34504150232200664</v>
      </c>
      <c r="G29" s="156">
        <f t="shared" si="25"/>
        <v>-0.18642612392571442</v>
      </c>
      <c r="H29" s="156">
        <f t="shared" si="25"/>
        <v>-0.34277491353847378</v>
      </c>
      <c r="I29" s="156">
        <f t="shared" si="25"/>
        <v>-0.11911784361171572</v>
      </c>
      <c r="J29" s="156">
        <f t="shared" si="25"/>
        <v>-0.25922358415327562</v>
      </c>
      <c r="K29" s="156">
        <f t="shared" si="25"/>
        <v>-0.25195033672547679</v>
      </c>
      <c r="L29" s="156">
        <f t="shared" si="25"/>
        <v>-0.32099482144099262</v>
      </c>
      <c r="M29" s="156">
        <f t="shared" si="25"/>
        <v>-0.14404498176917799</v>
      </c>
      <c r="N29" s="156">
        <f t="shared" si="25"/>
        <v>-7.1739137215418988E-3</v>
      </c>
      <c r="O29" s="156">
        <f t="shared" si="25"/>
        <v>-0.10240838292704378</v>
      </c>
      <c r="P29" s="156">
        <f t="shared" si="25"/>
        <v>-0.29428760705135482</v>
      </c>
      <c r="Q29" s="160">
        <f t="shared" si="25"/>
        <v>-0.18383567166804196</v>
      </c>
    </row>
    <row r="30" spans="1:17" x14ac:dyDescent="0.35">
      <c r="A30" s="159" t="str">
        <f t="shared" si="6"/>
        <v>MA</v>
      </c>
      <c r="B30" s="156">
        <f t="shared" ref="B30:Q30" si="26">STANDARDIZE(B70,B$2,B$3)</f>
        <v>1.6310106584449344</v>
      </c>
      <c r="C30" s="156">
        <f t="shared" si="26"/>
        <v>0.61359289759471536</v>
      </c>
      <c r="D30" s="156">
        <f t="shared" si="26"/>
        <v>0.3933817944352031</v>
      </c>
      <c r="E30" s="156">
        <f t="shared" si="26"/>
        <v>0.28302298255423008</v>
      </c>
      <c r="F30" s="156">
        <f t="shared" si="26"/>
        <v>9.9727185270284555E-2</v>
      </c>
      <c r="G30" s="156">
        <f t="shared" si="26"/>
        <v>3.5872624045526366E-2</v>
      </c>
      <c r="H30" s="156">
        <f t="shared" si="26"/>
        <v>4.6827173980665826E-2</v>
      </c>
      <c r="I30" s="156">
        <f t="shared" si="26"/>
        <v>0.20977390158169401</v>
      </c>
      <c r="J30" s="156">
        <f t="shared" si="26"/>
        <v>0.20976453891639918</v>
      </c>
      <c r="K30" s="156">
        <f t="shared" si="26"/>
        <v>7.2862350042374874E-3</v>
      </c>
      <c r="L30" s="156">
        <f t="shared" si="26"/>
        <v>0.6936395843534201</v>
      </c>
      <c r="M30" s="156">
        <f t="shared" si="26"/>
        <v>0.84412639712228021</v>
      </c>
      <c r="N30" s="156">
        <f t="shared" si="26"/>
        <v>0.68562118281593998</v>
      </c>
      <c r="O30" s="156">
        <f t="shared" si="26"/>
        <v>-0.39750961735661078</v>
      </c>
      <c r="P30" s="156">
        <f t="shared" si="26"/>
        <v>-0.29428760705135482</v>
      </c>
      <c r="Q30" s="160">
        <f t="shared" si="26"/>
        <v>-0.18383567166804196</v>
      </c>
    </row>
    <row r="31" spans="1:17" x14ac:dyDescent="0.35">
      <c r="A31" s="159" t="str">
        <f t="shared" si="6"/>
        <v>MD</v>
      </c>
      <c r="B31" s="156">
        <f t="shared" ref="B31:Q31" si="27">STANDARDIZE(B71,B$2,B$3)</f>
        <v>0.89396797728546062</v>
      </c>
      <c r="C31" s="156">
        <f t="shared" si="27"/>
        <v>0.88198286368760415</v>
      </c>
      <c r="D31" s="156">
        <f t="shared" si="27"/>
        <v>0.92961850419729952</v>
      </c>
      <c r="E31" s="156">
        <f t="shared" si="27"/>
        <v>0.42401306082000728</v>
      </c>
      <c r="F31" s="156">
        <f t="shared" si="27"/>
        <v>0.62966434495471668</v>
      </c>
      <c r="G31" s="156">
        <f t="shared" si="27"/>
        <v>0.3258275127036665</v>
      </c>
      <c r="H31" s="156">
        <f t="shared" si="27"/>
        <v>0.24162821774023563</v>
      </c>
      <c r="I31" s="156">
        <f t="shared" si="27"/>
        <v>0.27829301516365434</v>
      </c>
      <c r="J31" s="156">
        <f t="shared" si="27"/>
        <v>0.40643697762303699</v>
      </c>
      <c r="K31" s="156">
        <f t="shared" si="27"/>
        <v>-5.2537589241081185E-2</v>
      </c>
      <c r="L31" s="156">
        <f t="shared" si="27"/>
        <v>0.31563853121432517</v>
      </c>
      <c r="M31" s="156">
        <f t="shared" si="27"/>
        <v>0.33027728009872198</v>
      </c>
      <c r="N31" s="156">
        <f t="shared" si="27"/>
        <v>7.2763982032782934E-2</v>
      </c>
      <c r="O31" s="156">
        <f t="shared" si="27"/>
        <v>-0.39750961735661078</v>
      </c>
      <c r="P31" s="156">
        <f t="shared" si="27"/>
        <v>-0.29428760705135482</v>
      </c>
      <c r="Q31" s="160">
        <f t="shared" si="27"/>
        <v>-0.18383567166804196</v>
      </c>
    </row>
    <row r="32" spans="1:17" x14ac:dyDescent="0.35">
      <c r="A32" s="159" t="str">
        <f t="shared" si="6"/>
        <v>ME</v>
      </c>
      <c r="B32" s="156">
        <f t="shared" ref="B32:Q32" si="28">STANDARDIZE(B72,B$2,B$3)</f>
        <v>-0.15895013865664481</v>
      </c>
      <c r="C32" s="156">
        <f t="shared" si="28"/>
        <v>-0.20736464574823882</v>
      </c>
      <c r="D32" s="156">
        <f t="shared" si="28"/>
        <v>-0.53714661368137595</v>
      </c>
      <c r="E32" s="156">
        <f t="shared" si="28"/>
        <v>-0.55207209640460375</v>
      </c>
      <c r="F32" s="156">
        <f t="shared" si="28"/>
        <v>-0.49645211937470152</v>
      </c>
      <c r="G32" s="156">
        <f t="shared" si="28"/>
        <v>-0.53437199031548255</v>
      </c>
      <c r="H32" s="156">
        <f t="shared" si="28"/>
        <v>-0.62280141394285538</v>
      </c>
      <c r="I32" s="156">
        <f t="shared" si="28"/>
        <v>-0.51652870238708581</v>
      </c>
      <c r="J32" s="156">
        <f t="shared" si="28"/>
        <v>-0.56179656677887224</v>
      </c>
      <c r="K32" s="156">
        <f t="shared" si="28"/>
        <v>-0.51118690845519099</v>
      </c>
      <c r="L32" s="156">
        <f t="shared" si="28"/>
        <v>-0.57962712095721547</v>
      </c>
      <c r="M32" s="156">
        <f t="shared" si="28"/>
        <v>-0.53931353332576126</v>
      </c>
      <c r="N32" s="156">
        <f t="shared" si="28"/>
        <v>-0.80655287126479014</v>
      </c>
      <c r="O32" s="156">
        <f t="shared" si="28"/>
        <v>-0.39750961735661078</v>
      </c>
      <c r="P32" s="156">
        <f t="shared" si="28"/>
        <v>-0.29428760705135482</v>
      </c>
      <c r="Q32" s="160">
        <f t="shared" si="28"/>
        <v>-0.18383567166804196</v>
      </c>
    </row>
    <row r="33" spans="1:17" x14ac:dyDescent="0.35">
      <c r="A33" s="159" t="str">
        <f t="shared" si="6"/>
        <v>MI</v>
      </c>
      <c r="B33" s="156">
        <f t="shared" ref="B33:Q33" si="29">STANDARDIZE(B73,B$2,B$3)</f>
        <v>-0.52747147923638171</v>
      </c>
      <c r="C33" s="156">
        <f t="shared" si="29"/>
        <v>0.34520293150182646</v>
      </c>
      <c r="D33" s="156">
        <f t="shared" si="29"/>
        <v>0.56687014171117545</v>
      </c>
      <c r="E33" s="156">
        <f t="shared" si="29"/>
        <v>0.12034212301679492</v>
      </c>
      <c r="F33" s="156">
        <f t="shared" si="29"/>
        <v>-8.9536086045584051E-2</v>
      </c>
      <c r="G33" s="156">
        <f t="shared" si="29"/>
        <v>-3.1783516641373001E-2</v>
      </c>
      <c r="H33" s="156">
        <f t="shared" si="29"/>
        <v>-6.2748413134092185E-2</v>
      </c>
      <c r="I33" s="156">
        <f t="shared" si="29"/>
        <v>-2.3191084596971213E-2</v>
      </c>
      <c r="J33" s="156">
        <f t="shared" si="29"/>
        <v>1.309210020976136E-2</v>
      </c>
      <c r="K33" s="156">
        <f t="shared" si="29"/>
        <v>-3.259631449264163E-2</v>
      </c>
      <c r="L33" s="156">
        <f t="shared" si="29"/>
        <v>-0.12204689873620579</v>
      </c>
      <c r="M33" s="156">
        <f t="shared" si="29"/>
        <v>-2.5464416302202995E-2</v>
      </c>
      <c r="N33" s="156">
        <f t="shared" si="29"/>
        <v>-6.0465844224425115E-2</v>
      </c>
      <c r="O33" s="156">
        <f t="shared" si="29"/>
        <v>-8.899469045297255E-2</v>
      </c>
      <c r="P33" s="156">
        <f t="shared" si="29"/>
        <v>-0.29428760705135482</v>
      </c>
      <c r="Q33" s="160">
        <f t="shared" si="29"/>
        <v>-0.18383567166804196</v>
      </c>
    </row>
    <row r="34" spans="1:17" x14ac:dyDescent="0.35">
      <c r="A34" s="159" t="str">
        <f t="shared" si="6"/>
        <v>MN</v>
      </c>
      <c r="B34" s="156">
        <f t="shared" ref="B34:Q34" si="30">STANDARDIZE(B74,B$2,B$3)</f>
        <v>-0.52747147923638171</v>
      </c>
      <c r="C34" s="156">
        <f t="shared" si="30"/>
        <v>-0.71256928780544138</v>
      </c>
      <c r="D34" s="156">
        <f t="shared" si="30"/>
        <v>6.2176767817437667E-2</v>
      </c>
      <c r="E34" s="156">
        <f t="shared" si="30"/>
        <v>1.1888216658504806E-2</v>
      </c>
      <c r="F34" s="156">
        <f t="shared" si="30"/>
        <v>-0.22202037596669208</v>
      </c>
      <c r="G34" s="156">
        <f t="shared" si="30"/>
        <v>2.6207461090255027E-2</v>
      </c>
      <c r="H34" s="156">
        <f t="shared" si="30"/>
        <v>-0.12362373930895776</v>
      </c>
      <c r="I34" s="156">
        <f t="shared" si="30"/>
        <v>-0.22874842534285231</v>
      </c>
      <c r="J34" s="156">
        <f t="shared" si="30"/>
        <v>-0.19870898762815628</v>
      </c>
      <c r="K34" s="156">
        <f t="shared" si="30"/>
        <v>-0.19212651248015808</v>
      </c>
      <c r="L34" s="156">
        <f t="shared" si="30"/>
        <v>-0.28120523690003524</v>
      </c>
      <c r="M34" s="156">
        <f t="shared" si="30"/>
        <v>-0.4800232505922738</v>
      </c>
      <c r="N34" s="156">
        <f t="shared" si="30"/>
        <v>7.2763982032782934E-2</v>
      </c>
      <c r="O34" s="156">
        <f t="shared" si="30"/>
        <v>0.27317500634695058</v>
      </c>
      <c r="P34" s="156">
        <f t="shared" si="30"/>
        <v>0.14192915409410489</v>
      </c>
      <c r="Q34" s="160">
        <f t="shared" si="30"/>
        <v>-0.18383567166804196</v>
      </c>
    </row>
    <row r="35" spans="1:17" x14ac:dyDescent="0.35">
      <c r="A35" s="159" t="str">
        <f t="shared" si="6"/>
        <v>MO</v>
      </c>
      <c r="B35" s="156">
        <f t="shared" ref="B35:Q35" si="31">STANDARDIZE(B75,B$2,B$3)</f>
        <v>-0.52747147923638171</v>
      </c>
      <c r="C35" s="156">
        <f t="shared" si="31"/>
        <v>0.40835351175897677</v>
      </c>
      <c r="D35" s="156">
        <f t="shared" si="31"/>
        <v>-0.20594158706361054</v>
      </c>
      <c r="E35" s="156">
        <f t="shared" si="31"/>
        <v>-6.4029517792298277E-2</v>
      </c>
      <c r="F35" s="156">
        <f t="shared" si="31"/>
        <v>-0.15577823100613805</v>
      </c>
      <c r="G35" s="156">
        <f t="shared" si="31"/>
        <v>-0.21542161279152844</v>
      </c>
      <c r="H35" s="156">
        <f t="shared" si="31"/>
        <v>-0.14797386977890398</v>
      </c>
      <c r="I35" s="156">
        <f t="shared" si="31"/>
        <v>-0.21504460262646022</v>
      </c>
      <c r="J35" s="156">
        <f t="shared" si="31"/>
        <v>-0.16845168936559662</v>
      </c>
      <c r="K35" s="156">
        <f t="shared" si="31"/>
        <v>-5.2537589241081185E-2</v>
      </c>
      <c r="L35" s="156">
        <f t="shared" si="31"/>
        <v>-0.28120523690003524</v>
      </c>
      <c r="M35" s="156">
        <f t="shared" si="31"/>
        <v>-0.14404498176917799</v>
      </c>
      <c r="N35" s="156">
        <f t="shared" si="31"/>
        <v>-0.19369567048163316</v>
      </c>
      <c r="O35" s="156">
        <f t="shared" si="31"/>
        <v>-0.12923576787518623</v>
      </c>
      <c r="P35" s="156">
        <f t="shared" si="31"/>
        <v>-0.29428760705135482</v>
      </c>
      <c r="Q35" s="160">
        <f t="shared" si="31"/>
        <v>-0.18383567166804196</v>
      </c>
    </row>
    <row r="36" spans="1:17" x14ac:dyDescent="0.35">
      <c r="A36" s="159" t="str">
        <f t="shared" si="6"/>
        <v>MS</v>
      </c>
      <c r="B36" s="156">
        <f t="shared" ref="B36:Q36" si="32">STANDARDIZE(B76,B$2,B$3)</f>
        <v>-0.52747147923638171</v>
      </c>
      <c r="C36" s="156">
        <f t="shared" si="32"/>
        <v>-0.17578935561966366</v>
      </c>
      <c r="D36" s="156">
        <f t="shared" si="32"/>
        <v>-0.45828827401047945</v>
      </c>
      <c r="E36" s="156">
        <f t="shared" si="32"/>
        <v>-0.55207209640460375</v>
      </c>
      <c r="F36" s="156">
        <f t="shared" si="32"/>
        <v>-0.4775257922431147</v>
      </c>
      <c r="G36" s="156">
        <f t="shared" si="32"/>
        <v>-0.45705068667331189</v>
      </c>
      <c r="H36" s="156">
        <f t="shared" si="32"/>
        <v>-0.33059984830350064</v>
      </c>
      <c r="I36" s="156">
        <f t="shared" si="32"/>
        <v>-0.50282487967069378</v>
      </c>
      <c r="J36" s="156">
        <f t="shared" si="32"/>
        <v>-0.47102467199119324</v>
      </c>
      <c r="K36" s="156">
        <f t="shared" si="32"/>
        <v>-0.51118690845519099</v>
      </c>
      <c r="L36" s="156">
        <f t="shared" si="32"/>
        <v>-0.55973232868673684</v>
      </c>
      <c r="M36" s="156">
        <f t="shared" si="32"/>
        <v>-0.4009695402809571</v>
      </c>
      <c r="N36" s="156">
        <f t="shared" si="32"/>
        <v>-0.5134472534989325</v>
      </c>
      <c r="O36" s="156">
        <f t="shared" si="32"/>
        <v>-0.20971792271961359</v>
      </c>
      <c r="P36" s="156">
        <f t="shared" si="32"/>
        <v>-0.29428760705135482</v>
      </c>
      <c r="Q36" s="160">
        <f t="shared" si="32"/>
        <v>-0.18383567166804196</v>
      </c>
    </row>
    <row r="37" spans="1:17" x14ac:dyDescent="0.35">
      <c r="A37" s="159" t="str">
        <f t="shared" si="6"/>
        <v>MT</v>
      </c>
      <c r="B37" s="156">
        <f t="shared" ref="B37:Q37" si="33">STANDARDIZE(B77,B$2,B$3)</f>
        <v>-0.52747147923638171</v>
      </c>
      <c r="C37" s="156">
        <f t="shared" si="33"/>
        <v>-0.71256928780544138</v>
      </c>
      <c r="D37" s="156">
        <f t="shared" si="33"/>
        <v>-0.93143831203585858</v>
      </c>
      <c r="E37" s="156">
        <f t="shared" si="33"/>
        <v>-0.7906706903928421</v>
      </c>
      <c r="F37" s="156">
        <f t="shared" si="33"/>
        <v>-0.59108375503263588</v>
      </c>
      <c r="G37" s="156">
        <f t="shared" si="33"/>
        <v>-0.56336747918129659</v>
      </c>
      <c r="H37" s="156">
        <f t="shared" si="33"/>
        <v>-0.62280141394285538</v>
      </c>
      <c r="I37" s="156">
        <f t="shared" si="33"/>
        <v>-0.62615928411822241</v>
      </c>
      <c r="J37" s="156">
        <f t="shared" si="33"/>
        <v>-0.60718251417271174</v>
      </c>
      <c r="K37" s="156">
        <f t="shared" si="33"/>
        <v>-0.55106945795207007</v>
      </c>
      <c r="L37" s="156">
        <f t="shared" si="33"/>
        <v>-0.57962712095721547</v>
      </c>
      <c r="M37" s="156">
        <f t="shared" si="33"/>
        <v>-0.57884038848141961</v>
      </c>
      <c r="N37" s="156">
        <f t="shared" si="33"/>
        <v>-0.46015532299604928</v>
      </c>
      <c r="O37" s="156">
        <f t="shared" si="33"/>
        <v>-0.12923576787518623</v>
      </c>
      <c r="P37" s="156">
        <f t="shared" si="33"/>
        <v>-0.12923261634766736</v>
      </c>
      <c r="Q37" s="160">
        <f t="shared" si="33"/>
        <v>-0.18383567166804196</v>
      </c>
    </row>
    <row r="38" spans="1:17" x14ac:dyDescent="0.35">
      <c r="A38" s="159" t="str">
        <f t="shared" si="6"/>
        <v>NC</v>
      </c>
      <c r="B38" s="156">
        <f t="shared" ref="B38:Q38" si="34">STANDARDIZE(B78,B$2,B$3)</f>
        <v>1.2624893178651975</v>
      </c>
      <c r="C38" s="156">
        <f t="shared" si="34"/>
        <v>1.3082492804233687</v>
      </c>
      <c r="D38" s="156">
        <f t="shared" si="34"/>
        <v>0.92961850419729952</v>
      </c>
      <c r="E38" s="156">
        <f t="shared" si="34"/>
        <v>0.33724993573337514</v>
      </c>
      <c r="F38" s="156">
        <f t="shared" si="34"/>
        <v>0.22274831162559916</v>
      </c>
      <c r="G38" s="156">
        <f t="shared" si="34"/>
        <v>0.34515783861420918</v>
      </c>
      <c r="H38" s="156">
        <f t="shared" si="34"/>
        <v>0.29032847868012807</v>
      </c>
      <c r="I38" s="156">
        <f t="shared" si="34"/>
        <v>7.2735674417773288E-2</v>
      </c>
      <c r="J38" s="156">
        <f t="shared" si="34"/>
        <v>0.22489318804767899</v>
      </c>
      <c r="K38" s="156">
        <f t="shared" si="34"/>
        <v>0.1468751582433144</v>
      </c>
      <c r="L38" s="156">
        <f t="shared" si="34"/>
        <v>0.21616456986193178</v>
      </c>
      <c r="M38" s="156">
        <f t="shared" si="34"/>
        <v>0.66625554892181782</v>
      </c>
      <c r="N38" s="156">
        <f t="shared" si="34"/>
        <v>0.28593170404431578</v>
      </c>
      <c r="O38" s="156">
        <f t="shared" si="34"/>
        <v>-0.39750961735661078</v>
      </c>
      <c r="P38" s="156">
        <f t="shared" si="34"/>
        <v>-0.29428760705135482</v>
      </c>
      <c r="Q38" s="160">
        <f t="shared" si="34"/>
        <v>-0.18383567166804196</v>
      </c>
    </row>
    <row r="39" spans="1:17" x14ac:dyDescent="0.35">
      <c r="A39" s="159" t="str">
        <f t="shared" si="6"/>
        <v>ND</v>
      </c>
      <c r="B39" s="156">
        <f t="shared" ref="B39:Q39" si="35">STANDARDIZE(B79,B$2,B$3)</f>
        <v>-0.52747147923638171</v>
      </c>
      <c r="C39" s="156">
        <f t="shared" si="35"/>
        <v>-0.55469283716256557</v>
      </c>
      <c r="D39" s="156">
        <f t="shared" si="35"/>
        <v>-0.91566664410167931</v>
      </c>
      <c r="E39" s="156">
        <f t="shared" si="35"/>
        <v>-0.82320686230032913</v>
      </c>
      <c r="F39" s="156">
        <f t="shared" si="35"/>
        <v>-0.6573258999931898</v>
      </c>
      <c r="G39" s="156">
        <f t="shared" si="35"/>
        <v>-0.64068878282346731</v>
      </c>
      <c r="H39" s="156">
        <f t="shared" si="35"/>
        <v>-0.69585180535269409</v>
      </c>
      <c r="I39" s="156">
        <f t="shared" si="35"/>
        <v>-0.66727075226739863</v>
      </c>
      <c r="J39" s="156">
        <f t="shared" si="35"/>
        <v>-0.68282575982911087</v>
      </c>
      <c r="K39" s="156">
        <f t="shared" si="35"/>
        <v>-0.65077583169426789</v>
      </c>
      <c r="L39" s="156">
        <f t="shared" si="35"/>
        <v>-0.67910108230960886</v>
      </c>
      <c r="M39" s="156">
        <f t="shared" si="35"/>
        <v>-0.67765752637056542</v>
      </c>
      <c r="N39" s="156">
        <f t="shared" si="35"/>
        <v>-0.91313673227055658</v>
      </c>
      <c r="O39" s="156">
        <f t="shared" si="35"/>
        <v>-0.34385484746032591</v>
      </c>
      <c r="P39" s="156">
        <f t="shared" si="35"/>
        <v>-0.29428760705135482</v>
      </c>
      <c r="Q39" s="160">
        <f t="shared" si="35"/>
        <v>-0.18383567166804196</v>
      </c>
    </row>
    <row r="40" spans="1:17" x14ac:dyDescent="0.35">
      <c r="A40" s="159" t="str">
        <f t="shared" si="6"/>
        <v>NE</v>
      </c>
      <c r="B40" s="156">
        <f t="shared" ref="B40:Q40" si="36">STANDARDIZE(B80,B$2,B$3)</f>
        <v>-0.52747147923638171</v>
      </c>
      <c r="C40" s="156">
        <f t="shared" si="36"/>
        <v>-0.34945345132682704</v>
      </c>
      <c r="D40" s="156">
        <f t="shared" si="36"/>
        <v>-0.63177662128645173</v>
      </c>
      <c r="E40" s="156">
        <f t="shared" si="36"/>
        <v>-0.67137139339872298</v>
      </c>
      <c r="F40" s="156">
        <f t="shared" si="36"/>
        <v>-0.61947324573001616</v>
      </c>
      <c r="G40" s="156">
        <f t="shared" si="36"/>
        <v>-0.44738552371804052</v>
      </c>
      <c r="H40" s="156">
        <f t="shared" si="36"/>
        <v>-0.5984512834729091</v>
      </c>
      <c r="I40" s="156">
        <f t="shared" si="36"/>
        <v>-0.51652870238708581</v>
      </c>
      <c r="J40" s="156">
        <f t="shared" si="36"/>
        <v>-0.51641061938503274</v>
      </c>
      <c r="K40" s="156">
        <f t="shared" si="36"/>
        <v>-0.49124563370675145</v>
      </c>
      <c r="L40" s="156">
        <f t="shared" si="36"/>
        <v>-0.61941670549817285</v>
      </c>
      <c r="M40" s="156">
        <f t="shared" si="36"/>
        <v>-0.59860381605924873</v>
      </c>
      <c r="N40" s="156">
        <f t="shared" si="36"/>
        <v>-0.75326094076190697</v>
      </c>
      <c r="O40" s="156">
        <f t="shared" si="36"/>
        <v>-0.29020007756404098</v>
      </c>
      <c r="P40" s="156">
        <f t="shared" si="36"/>
        <v>-0.29428760705135482</v>
      </c>
      <c r="Q40" s="160">
        <f t="shared" si="36"/>
        <v>-0.18383567166804196</v>
      </c>
    </row>
    <row r="41" spans="1:17" x14ac:dyDescent="0.35">
      <c r="A41" s="159" t="str">
        <f t="shared" si="6"/>
        <v>NH</v>
      </c>
      <c r="B41" s="156">
        <f t="shared" ref="B41:Q41" si="37">STANDARDIZE(B81,B$2,B$3)</f>
        <v>-0.3168878560479606</v>
      </c>
      <c r="C41" s="156">
        <f t="shared" si="37"/>
        <v>-4.9488195105363023E-2</v>
      </c>
      <c r="D41" s="156">
        <f t="shared" si="37"/>
        <v>-0.23748492293196916</v>
      </c>
      <c r="E41" s="156">
        <f t="shared" si="37"/>
        <v>-0.43277279941048469</v>
      </c>
      <c r="F41" s="156">
        <f t="shared" si="37"/>
        <v>-0.55323110076946214</v>
      </c>
      <c r="G41" s="156">
        <f t="shared" si="37"/>
        <v>-0.54403715327075397</v>
      </c>
      <c r="H41" s="156">
        <f t="shared" si="37"/>
        <v>-0.46452556588820493</v>
      </c>
      <c r="I41" s="156">
        <f t="shared" si="37"/>
        <v>-0.43430576608873339</v>
      </c>
      <c r="J41" s="156">
        <f t="shared" si="37"/>
        <v>-0.51641061938503274</v>
      </c>
      <c r="K41" s="156">
        <f t="shared" si="37"/>
        <v>-0.63083455694582835</v>
      </c>
      <c r="L41" s="156">
        <f t="shared" si="37"/>
        <v>-0.51994274414577946</v>
      </c>
      <c r="M41" s="156">
        <f t="shared" si="37"/>
        <v>-0.46025982301444462</v>
      </c>
      <c r="N41" s="156">
        <f t="shared" si="37"/>
        <v>-0.72661497551046539</v>
      </c>
      <c r="O41" s="156">
        <f t="shared" si="37"/>
        <v>-0.39750961735661078</v>
      </c>
      <c r="P41" s="156">
        <f t="shared" si="37"/>
        <v>-0.29428760705135482</v>
      </c>
      <c r="Q41" s="160">
        <f t="shared" si="37"/>
        <v>-0.18383567166804196</v>
      </c>
    </row>
    <row r="42" spans="1:17" x14ac:dyDescent="0.35">
      <c r="A42" s="159" t="str">
        <f t="shared" si="6"/>
        <v>NJ</v>
      </c>
      <c r="B42" s="156">
        <f t="shared" ref="B42:Q42" si="38">STANDARDIZE(B82,B$2,B$3)</f>
        <v>1.9995319990246712</v>
      </c>
      <c r="C42" s="156">
        <f t="shared" si="38"/>
        <v>1.5292763113233949</v>
      </c>
      <c r="D42" s="156">
        <f t="shared" si="38"/>
        <v>1.4343118780910373</v>
      </c>
      <c r="E42" s="156">
        <f t="shared" si="38"/>
        <v>0.99881876451894491</v>
      </c>
      <c r="F42" s="156">
        <f t="shared" si="38"/>
        <v>1.1690646682049421</v>
      </c>
      <c r="G42" s="156">
        <f t="shared" si="38"/>
        <v>0.99272375661738887</v>
      </c>
      <c r="H42" s="156">
        <f t="shared" si="38"/>
        <v>1.0330074580134878</v>
      </c>
      <c r="I42" s="156">
        <f t="shared" si="38"/>
        <v>1.0045956191324341</v>
      </c>
      <c r="J42" s="156">
        <f t="shared" si="38"/>
        <v>0.99645429374295047</v>
      </c>
      <c r="K42" s="156">
        <f t="shared" si="38"/>
        <v>0.82487849969025939</v>
      </c>
      <c r="L42" s="156">
        <f t="shared" si="38"/>
        <v>1.2109041833858658</v>
      </c>
      <c r="M42" s="156">
        <f t="shared" si="38"/>
        <v>1.535846362346301</v>
      </c>
      <c r="N42" s="156">
        <f t="shared" si="38"/>
        <v>1.2451864530962138</v>
      </c>
      <c r="O42" s="156">
        <f t="shared" si="38"/>
        <v>-0.39750961735661078</v>
      </c>
      <c r="P42" s="156">
        <f t="shared" si="38"/>
        <v>-0.29428760705135482</v>
      </c>
      <c r="Q42" s="160">
        <f t="shared" si="38"/>
        <v>-0.18383567166804196</v>
      </c>
    </row>
    <row r="43" spans="1:17" x14ac:dyDescent="0.35">
      <c r="A43" s="159" t="str">
        <f t="shared" si="6"/>
        <v>NM</v>
      </c>
      <c r="B43" s="156">
        <f t="shared" ref="B43:Q43" si="39">STANDARDIZE(B83,B$2,B$3)</f>
        <v>-0.52747147923638171</v>
      </c>
      <c r="C43" s="156">
        <f t="shared" si="39"/>
        <v>-0.71256928780544138</v>
      </c>
      <c r="D43" s="156">
        <f t="shared" si="39"/>
        <v>-1.0260683196409344</v>
      </c>
      <c r="E43" s="156">
        <f t="shared" si="39"/>
        <v>-0.36770045559551062</v>
      </c>
      <c r="F43" s="156">
        <f t="shared" si="39"/>
        <v>-0.40182048371676726</v>
      </c>
      <c r="G43" s="156">
        <f t="shared" si="39"/>
        <v>-0.37006422007586987</v>
      </c>
      <c r="H43" s="156">
        <f t="shared" si="39"/>
        <v>-0.35494997877344692</v>
      </c>
      <c r="I43" s="156">
        <f t="shared" si="39"/>
        <v>-0.43430576608873339</v>
      </c>
      <c r="J43" s="156">
        <f t="shared" si="39"/>
        <v>-0.30460953154711512</v>
      </c>
      <c r="K43" s="156">
        <f t="shared" si="39"/>
        <v>-0.47130435895831191</v>
      </c>
      <c r="L43" s="156">
        <f t="shared" si="39"/>
        <v>-0.40057399052290732</v>
      </c>
      <c r="M43" s="156">
        <f t="shared" si="39"/>
        <v>-0.53931353332576126</v>
      </c>
      <c r="N43" s="156">
        <f t="shared" si="39"/>
        <v>-0.85984480176767342</v>
      </c>
      <c r="O43" s="156">
        <f t="shared" si="39"/>
        <v>4.5142234287739731E-2</v>
      </c>
      <c r="P43" s="156">
        <f t="shared" si="39"/>
        <v>0.1772980806734665</v>
      </c>
      <c r="Q43" s="160">
        <f t="shared" si="39"/>
        <v>0.33289162166915703</v>
      </c>
    </row>
    <row r="44" spans="1:17" x14ac:dyDescent="0.35">
      <c r="A44" s="159" t="str">
        <f t="shared" si="6"/>
        <v>NV</v>
      </c>
      <c r="B44" s="156">
        <f t="shared" ref="B44:Q44" si="40">STANDARDIZE(B84,B$2,B$3)</f>
        <v>-0.52747147923638171</v>
      </c>
      <c r="C44" s="156">
        <f t="shared" si="40"/>
        <v>-0.71256928780544138</v>
      </c>
      <c r="D44" s="156">
        <f t="shared" si="40"/>
        <v>-1.0260683196409344</v>
      </c>
      <c r="E44" s="156">
        <f t="shared" si="40"/>
        <v>-0.90996998738696122</v>
      </c>
      <c r="F44" s="156">
        <f t="shared" si="40"/>
        <v>-0.48698895580890811</v>
      </c>
      <c r="G44" s="156">
        <f t="shared" si="40"/>
        <v>-0.38939454598641254</v>
      </c>
      <c r="H44" s="156">
        <f t="shared" si="40"/>
        <v>-0.36712504400842</v>
      </c>
      <c r="I44" s="156">
        <f t="shared" si="40"/>
        <v>-0.28356371620842058</v>
      </c>
      <c r="J44" s="156">
        <f t="shared" si="40"/>
        <v>-0.48615332112247311</v>
      </c>
      <c r="K44" s="156">
        <f t="shared" si="40"/>
        <v>-0.25195033672547679</v>
      </c>
      <c r="L44" s="156">
        <f t="shared" si="40"/>
        <v>-0.38067919825242863</v>
      </c>
      <c r="M44" s="156">
        <f t="shared" si="40"/>
        <v>-0.46025982301444462</v>
      </c>
      <c r="N44" s="156">
        <f t="shared" si="40"/>
        <v>-0.72661497551046539</v>
      </c>
      <c r="O44" s="156">
        <f t="shared" si="40"/>
        <v>-0.27678638508996972</v>
      </c>
      <c r="P44" s="156">
        <f t="shared" si="40"/>
        <v>0.11834986970786383</v>
      </c>
      <c r="Q44" s="160">
        <f t="shared" si="40"/>
        <v>0.44592571708666928</v>
      </c>
    </row>
    <row r="45" spans="1:17" ht="15" thickBot="1" x14ac:dyDescent="0.4">
      <c r="A45" s="177" t="str">
        <f t="shared" si="6"/>
        <v>NY</v>
      </c>
      <c r="B45" s="170">
        <f t="shared" ref="B45:Q45" si="41">STANDARDIZE(B85,B$2,B$3)</f>
        <v>3.3156796439523029</v>
      </c>
      <c r="C45" s="170">
        <f t="shared" si="41"/>
        <v>3.8342724907093815</v>
      </c>
      <c r="D45" s="170">
        <f t="shared" si="41"/>
        <v>3.3584553660609124</v>
      </c>
      <c r="E45" s="170">
        <f t="shared" si="41"/>
        <v>2.180966343824307</v>
      </c>
      <c r="F45" s="170">
        <f t="shared" si="41"/>
        <v>1.7179281550209613</v>
      </c>
      <c r="G45" s="170">
        <f t="shared" si="41"/>
        <v>1.7466064671285531</v>
      </c>
      <c r="H45" s="170">
        <f t="shared" si="41"/>
        <v>1.7756864373468477</v>
      </c>
      <c r="I45" s="170">
        <f t="shared" si="41"/>
        <v>2.1557167273093683</v>
      </c>
      <c r="J45" s="170">
        <f t="shared" si="41"/>
        <v>1.5108283642064646</v>
      </c>
      <c r="K45" s="170">
        <f t="shared" si="41"/>
        <v>1.4629992916403252</v>
      </c>
      <c r="L45" s="170">
        <f t="shared" si="41"/>
        <v>2.145959420098364</v>
      </c>
      <c r="M45" s="170">
        <f t="shared" si="41"/>
        <v>2.2473297551481508</v>
      </c>
      <c r="N45" s="170">
        <f t="shared" si="41"/>
        <v>2.2044412021481112</v>
      </c>
      <c r="O45" s="170">
        <f t="shared" si="41"/>
        <v>-0.39750961735661078</v>
      </c>
      <c r="P45" s="170">
        <f t="shared" si="41"/>
        <v>-0.29428760705135482</v>
      </c>
      <c r="Q45" s="171">
        <f t="shared" si="41"/>
        <v>-0.18383567166804196</v>
      </c>
    </row>
    <row r="46" spans="1:17" x14ac:dyDescent="0.35">
      <c r="A46" s="161"/>
      <c r="B46" s="162"/>
      <c r="C46" s="162"/>
      <c r="D46" s="162"/>
      <c r="E46" s="162"/>
      <c r="F46" s="162"/>
      <c r="G46" s="162"/>
      <c r="H46" s="162"/>
      <c r="I46" s="162"/>
      <c r="J46" s="162"/>
      <c r="K46" s="162"/>
      <c r="L46" s="162"/>
      <c r="M46" s="162"/>
      <c r="N46" s="162"/>
      <c r="O46" s="162"/>
      <c r="P46" s="162"/>
      <c r="Q46" s="163"/>
    </row>
    <row r="50" spans="1:17" x14ac:dyDescent="0.35">
      <c r="A50" s="158">
        <f>'Data- Refined'!A3</f>
        <v>0</v>
      </c>
      <c r="B50" s="158" t="str">
        <f>'Data- Refined'!B3</f>
        <v>5 am to 6 am</v>
      </c>
      <c r="C50" s="158" t="str">
        <f>'Data- Refined'!C3</f>
        <v>6am to 7am</v>
      </c>
      <c r="D50" s="158" t="str">
        <f>'Data- Refined'!D3</f>
        <v>7 am to 8 am</v>
      </c>
      <c r="E50" s="158" t="str">
        <f>'Data- Refined'!E3</f>
        <v>8 am to 9 am</v>
      </c>
      <c r="F50" s="158" t="str">
        <f>'Data- Refined'!F3</f>
        <v>9am to 10 am</v>
      </c>
      <c r="G50" s="158" t="str">
        <f>'Data- Refined'!G3</f>
        <v>10 am to 11 am</v>
      </c>
      <c r="H50" s="158" t="str">
        <f>'Data- Refined'!H3</f>
        <v>11 am to 12 pm</v>
      </c>
      <c r="I50" s="158" t="str">
        <f>'Data- Refined'!I3</f>
        <v>12 pm to 1 pm</v>
      </c>
      <c r="J50" s="158" t="str">
        <f>'Data- Refined'!J3</f>
        <v>1pm to 2 pm</v>
      </c>
      <c r="K50" s="158" t="str">
        <f>'Data- Refined'!K3</f>
        <v>2 pm to 3 pm</v>
      </c>
      <c r="L50" s="158" t="str">
        <f>'Data- Refined'!L3</f>
        <v>3 pm to 4 pm</v>
      </c>
      <c r="M50" s="158" t="str">
        <f>'Data- Refined'!M3</f>
        <v>4 pm to 5 pm</v>
      </c>
      <c r="N50" s="158" t="str">
        <f>'Data- Refined'!N3</f>
        <v>5 pm to 6 pm</v>
      </c>
      <c r="O50" s="158" t="str">
        <f>'Data- Refined'!O3</f>
        <v>6 pm to 7 pm</v>
      </c>
      <c r="P50" s="158" t="str">
        <f>'Data- Refined'!P3</f>
        <v>7 pm to 8 pm</v>
      </c>
      <c r="Q50" s="158" t="str">
        <f>'Data- Refined'!Q3</f>
        <v>8 pm to 9 pm</v>
      </c>
    </row>
    <row r="51" spans="1:17" x14ac:dyDescent="0.35">
      <c r="A51" s="158" t="str">
        <f>'Data- Refined'!A4</f>
        <v>AK</v>
      </c>
      <c r="B51" s="156">
        <f>'Data- Refined'!B4</f>
        <v>0</v>
      </c>
      <c r="C51" s="156">
        <f>'Data- Refined'!C4</f>
        <v>0</v>
      </c>
      <c r="D51" s="156">
        <f>'Data- Refined'!D4</f>
        <v>0</v>
      </c>
      <c r="E51" s="156">
        <f>'Data- Refined'!E4</f>
        <v>16</v>
      </c>
      <c r="F51" s="156">
        <f>'Data- Refined'!F4</f>
        <v>13</v>
      </c>
      <c r="G51" s="156">
        <f>'Data- Refined'!G4</f>
        <v>10</v>
      </c>
      <c r="H51" s="156">
        <f>'Data- Refined'!H4</f>
        <v>8</v>
      </c>
      <c r="I51" s="156">
        <f>'Data- Refined'!I4</f>
        <v>6</v>
      </c>
      <c r="J51" s="156">
        <f>'Data- Refined'!J4</f>
        <v>8</v>
      </c>
      <c r="K51" s="156">
        <f>'Data- Refined'!K4</f>
        <v>6</v>
      </c>
      <c r="L51" s="156">
        <f>'Data- Refined'!L4</f>
        <v>5</v>
      </c>
      <c r="M51" s="156">
        <f>'Data- Refined'!M4</f>
        <v>4</v>
      </c>
      <c r="N51" s="156">
        <f>'Data- Refined'!N4</f>
        <v>4</v>
      </c>
      <c r="O51" s="156">
        <f>'Data- Refined'!O4</f>
        <v>15</v>
      </c>
      <c r="P51" s="156">
        <f>'Data- Refined'!P4</f>
        <v>20</v>
      </c>
      <c r="Q51" s="156">
        <f>'Data- Refined'!Q4</f>
        <v>14</v>
      </c>
    </row>
    <row r="52" spans="1:17" x14ac:dyDescent="0.35">
      <c r="A52" s="158" t="str">
        <f>'Data- Refined'!A5</f>
        <v>AL</v>
      </c>
      <c r="B52" s="156">
        <f>'Data- Refined'!B5</f>
        <v>0</v>
      </c>
      <c r="C52" s="156">
        <f>'Data- Refined'!C5</f>
        <v>38</v>
      </c>
      <c r="D52" s="156">
        <f>'Data- Refined'!D5</f>
        <v>66</v>
      </c>
      <c r="E52" s="156">
        <f>'Data- Refined'!E5</f>
        <v>54</v>
      </c>
      <c r="F52" s="156">
        <f>'Data- Refined'!F5</f>
        <v>57</v>
      </c>
      <c r="G52" s="156">
        <f>'Data- Refined'!G5</f>
        <v>54</v>
      </c>
      <c r="H52" s="156">
        <f>'Data- Refined'!H5</f>
        <v>34</v>
      </c>
      <c r="I52" s="156">
        <f>'Data- Refined'!I5</f>
        <v>24</v>
      </c>
      <c r="J52" s="156">
        <f>'Data- Refined'!J5</f>
        <v>35</v>
      </c>
      <c r="K52" s="156">
        <f>'Data- Refined'!K5</f>
        <v>24</v>
      </c>
      <c r="L52" s="156">
        <f>'Data- Refined'!L5</f>
        <v>11</v>
      </c>
      <c r="M52" s="156">
        <f>'Data- Refined'!M5</f>
        <v>21</v>
      </c>
      <c r="N52" s="156">
        <f>'Data- Refined'!N5</f>
        <v>25</v>
      </c>
      <c r="O52" s="156">
        <f>'Data- Refined'!O5</f>
        <v>19</v>
      </c>
      <c r="P52" s="156">
        <f>'Data- Refined'!P5</f>
        <v>0</v>
      </c>
      <c r="Q52" s="156">
        <f>'Data- Refined'!Q5</f>
        <v>0</v>
      </c>
    </row>
    <row r="53" spans="1:17" x14ac:dyDescent="0.35">
      <c r="A53" s="158" t="str">
        <f>'Data- Refined'!A6</f>
        <v>AR</v>
      </c>
      <c r="B53" s="156">
        <f>'Data- Refined'!B6</f>
        <v>0</v>
      </c>
      <c r="C53" s="156">
        <f>'Data- Refined'!C6</f>
        <v>30</v>
      </c>
      <c r="D53" s="156">
        <f>'Data- Refined'!D6</f>
        <v>35</v>
      </c>
      <c r="E53" s="156">
        <f>'Data- Refined'!E6</f>
        <v>46</v>
      </c>
      <c r="F53" s="156">
        <f>'Data- Refined'!F6</f>
        <v>35</v>
      </c>
      <c r="G53" s="156">
        <f>'Data- Refined'!G6</f>
        <v>29</v>
      </c>
      <c r="H53" s="156">
        <f>'Data- Refined'!H6</f>
        <v>17</v>
      </c>
      <c r="I53" s="156">
        <f>'Data- Refined'!I6</f>
        <v>24</v>
      </c>
      <c r="J53" s="156">
        <f>'Data- Refined'!J6</f>
        <v>17</v>
      </c>
      <c r="K53" s="156">
        <f>'Data- Refined'!K6</f>
        <v>17</v>
      </c>
      <c r="L53" s="156">
        <f>'Data- Refined'!L6</f>
        <v>10</v>
      </c>
      <c r="M53" s="156">
        <f>'Data- Refined'!M6</f>
        <v>16</v>
      </c>
      <c r="N53" s="156">
        <f>'Data- Refined'!N6</f>
        <v>15</v>
      </c>
      <c r="O53" s="156">
        <f>'Data- Refined'!O6</f>
        <v>15</v>
      </c>
      <c r="P53" s="156">
        <f>'Data- Refined'!P6</f>
        <v>0</v>
      </c>
      <c r="Q53" s="156">
        <f>'Data- Refined'!Q6</f>
        <v>0</v>
      </c>
    </row>
    <row r="54" spans="1:17" x14ac:dyDescent="0.35">
      <c r="A54" s="158" t="str">
        <f>'Data- Refined'!A7</f>
        <v>AZ</v>
      </c>
      <c r="B54" s="156">
        <f>'Data- Refined'!B7</f>
        <v>0</v>
      </c>
      <c r="C54" s="156">
        <f>'Data- Refined'!C7</f>
        <v>0</v>
      </c>
      <c r="D54" s="156">
        <f>'Data- Refined'!D7</f>
        <v>107</v>
      </c>
      <c r="E54" s="156">
        <f>'Data- Refined'!E7</f>
        <v>159</v>
      </c>
      <c r="F54" s="156">
        <f>'Data- Refined'!F7</f>
        <v>135</v>
      </c>
      <c r="G54" s="156">
        <f>'Data- Refined'!G7</f>
        <v>101</v>
      </c>
      <c r="H54" s="156">
        <f>'Data- Refined'!H7</f>
        <v>85</v>
      </c>
      <c r="I54" s="156">
        <f>'Data- Refined'!I7</f>
        <v>76</v>
      </c>
      <c r="J54" s="156">
        <f>'Data- Refined'!J7</f>
        <v>74</v>
      </c>
      <c r="K54" s="156">
        <f>'Data- Refined'!K7</f>
        <v>66</v>
      </c>
      <c r="L54" s="156">
        <f>'Data- Refined'!L7</f>
        <v>46</v>
      </c>
      <c r="M54" s="156">
        <f>'Data- Refined'!M7</f>
        <v>27</v>
      </c>
      <c r="N54" s="156">
        <f>'Data- Refined'!N7</f>
        <v>73</v>
      </c>
      <c r="O54" s="156">
        <f>'Data- Refined'!O7</f>
        <v>85</v>
      </c>
      <c r="P54" s="156">
        <f>'Data- Refined'!P7</f>
        <v>66</v>
      </c>
      <c r="Q54" s="156">
        <f>'Data- Refined'!Q7</f>
        <v>0</v>
      </c>
    </row>
    <row r="55" spans="1:17" x14ac:dyDescent="0.35">
      <c r="A55" s="158" t="str">
        <f>'Data- Refined'!A8</f>
        <v>CA</v>
      </c>
      <c r="B55" s="156">
        <f>'Data- Refined'!B8</f>
        <v>0</v>
      </c>
      <c r="C55" s="156">
        <f>'Data- Refined'!C8</f>
        <v>0</v>
      </c>
      <c r="D55" s="156">
        <f>'Data- Refined'!D8</f>
        <v>0</v>
      </c>
      <c r="E55" s="156">
        <f>'Data- Refined'!E8</f>
        <v>526</v>
      </c>
      <c r="F55" s="156">
        <f>'Data- Refined'!F8</f>
        <v>681</v>
      </c>
      <c r="G55" s="156">
        <f>'Data- Refined'!G8</f>
        <v>691</v>
      </c>
      <c r="H55" s="156">
        <f>'Data- Refined'!H8</f>
        <v>526</v>
      </c>
      <c r="I55" s="156">
        <f>'Data- Refined'!I8</f>
        <v>460</v>
      </c>
      <c r="J55" s="156">
        <f>'Data- Refined'!J8</f>
        <v>418</v>
      </c>
      <c r="K55" s="156">
        <f>'Data- Refined'!K8</f>
        <v>320</v>
      </c>
      <c r="L55" s="156">
        <f>'Data- Refined'!L8</f>
        <v>298</v>
      </c>
      <c r="M55" s="156">
        <f>'Data- Refined'!M8</f>
        <v>292</v>
      </c>
      <c r="N55" s="156">
        <f>'Data- Refined'!N8</f>
        <v>179</v>
      </c>
      <c r="O55" s="156">
        <f>'Data- Refined'!O8</f>
        <v>509</v>
      </c>
      <c r="P55" s="156">
        <f>'Data- Refined'!P8</f>
        <v>596</v>
      </c>
      <c r="Q55" s="156">
        <f>'Data- Refined'!Q8</f>
        <v>442</v>
      </c>
    </row>
    <row r="56" spans="1:17" x14ac:dyDescent="0.35">
      <c r="A56" s="158" t="str">
        <f>'Data- Refined'!A9</f>
        <v>CO</v>
      </c>
      <c r="B56" s="156">
        <f>'Data- Refined'!B9</f>
        <v>0</v>
      </c>
      <c r="C56" s="156">
        <f>'Data- Refined'!C9</f>
        <v>0</v>
      </c>
      <c r="D56" s="156">
        <f>'Data- Refined'!D9</f>
        <v>97</v>
      </c>
      <c r="E56" s="156">
        <f>'Data- Refined'!E9</f>
        <v>122</v>
      </c>
      <c r="F56" s="156">
        <f>'Data- Refined'!F9</f>
        <v>121</v>
      </c>
      <c r="G56" s="156">
        <f>'Data- Refined'!G9</f>
        <v>109</v>
      </c>
      <c r="H56" s="156">
        <f>'Data- Refined'!H9</f>
        <v>71</v>
      </c>
      <c r="I56" s="156">
        <f>'Data- Refined'!I9</f>
        <v>54</v>
      </c>
      <c r="J56" s="156">
        <f>'Data- Refined'!J9</f>
        <v>54</v>
      </c>
      <c r="K56" s="156">
        <f>'Data- Refined'!K9</f>
        <v>54</v>
      </c>
      <c r="L56" s="156">
        <f>'Data- Refined'!L9</f>
        <v>26</v>
      </c>
      <c r="M56" s="156">
        <f>'Data- Refined'!M9</f>
        <v>30</v>
      </c>
      <c r="N56" s="156">
        <f>'Data- Refined'!N9</f>
        <v>53</v>
      </c>
      <c r="O56" s="156">
        <f>'Data- Refined'!O9</f>
        <v>57</v>
      </c>
      <c r="P56" s="156">
        <f>'Data- Refined'!P9</f>
        <v>46</v>
      </c>
      <c r="Q56" s="156">
        <f>'Data- Refined'!Q9</f>
        <v>0</v>
      </c>
    </row>
    <row r="57" spans="1:17" x14ac:dyDescent="0.35">
      <c r="A57" s="158" t="str">
        <f>'Data- Refined'!A10</f>
        <v>CT</v>
      </c>
      <c r="B57" s="156">
        <f>'Data- Refined'!B10</f>
        <v>0</v>
      </c>
      <c r="C57" s="156">
        <f>'Data- Refined'!C10</f>
        <v>67</v>
      </c>
      <c r="D57" s="156">
        <f>'Data- Refined'!D10</f>
        <v>101</v>
      </c>
      <c r="E57" s="156">
        <f>'Data- Refined'!E10</f>
        <v>99</v>
      </c>
      <c r="F57" s="156">
        <f>'Data- Refined'!F10</f>
        <v>94</v>
      </c>
      <c r="G57" s="156">
        <f>'Data- Refined'!G10</f>
        <v>69</v>
      </c>
      <c r="H57" s="156">
        <f>'Data- Refined'!H10</f>
        <v>48</v>
      </c>
      <c r="I57" s="156">
        <f>'Data- Refined'!I10</f>
        <v>30</v>
      </c>
      <c r="J57" s="156">
        <f>'Data- Refined'!J10</f>
        <v>26</v>
      </c>
      <c r="K57" s="156">
        <f>'Data- Refined'!K10</f>
        <v>20</v>
      </c>
      <c r="L57" s="156">
        <f>'Data- Refined'!L10</f>
        <v>27</v>
      </c>
      <c r="M57" s="156">
        <f>'Data- Refined'!M10</f>
        <v>31</v>
      </c>
      <c r="N57" s="156">
        <f>'Data- Refined'!N10</f>
        <v>41</v>
      </c>
      <c r="O57" s="156">
        <f>'Data- Refined'!O10</f>
        <v>30</v>
      </c>
      <c r="P57" s="156">
        <f>'Data- Refined'!P10</f>
        <v>0</v>
      </c>
      <c r="Q57" s="156">
        <f>'Data- Refined'!Q10</f>
        <v>0</v>
      </c>
    </row>
    <row r="58" spans="1:17" x14ac:dyDescent="0.35">
      <c r="A58" s="158" t="str">
        <f>'Data- Refined'!A11</f>
        <v>DC</v>
      </c>
      <c r="B58" s="156">
        <f>'Data- Refined'!B11</f>
        <v>1</v>
      </c>
      <c r="C58" s="156">
        <f>'Data- Refined'!C11</f>
        <v>12</v>
      </c>
      <c r="D58" s="156">
        <f>'Data- Refined'!D11</f>
        <v>10</v>
      </c>
      <c r="E58" s="156">
        <f>'Data- Refined'!E11</f>
        <v>18</v>
      </c>
      <c r="F58" s="156">
        <f>'Data- Refined'!F11</f>
        <v>20</v>
      </c>
      <c r="G58" s="156">
        <f>'Data- Refined'!G11</f>
        <v>12</v>
      </c>
      <c r="H58" s="156">
        <f>'Data- Refined'!H11</f>
        <v>7</v>
      </c>
      <c r="I58" s="156">
        <f>'Data- Refined'!I11</f>
        <v>8</v>
      </c>
      <c r="J58" s="156">
        <f>'Data- Refined'!J11</f>
        <v>10</v>
      </c>
      <c r="K58" s="156">
        <f>'Data- Refined'!K11</f>
        <v>7</v>
      </c>
      <c r="L58" s="156">
        <f>'Data- Refined'!L11</f>
        <v>5</v>
      </c>
      <c r="M58" s="156">
        <f>'Data- Refined'!M11</f>
        <v>2</v>
      </c>
      <c r="N58" s="156">
        <f>'Data- Refined'!N11</f>
        <v>4</v>
      </c>
      <c r="O58" s="156">
        <f>'Data- Refined'!O11</f>
        <v>0</v>
      </c>
      <c r="P58" s="156">
        <f>'Data- Refined'!P11</f>
        <v>0</v>
      </c>
      <c r="Q58" s="156">
        <f>'Data- Refined'!Q11</f>
        <v>0</v>
      </c>
    </row>
    <row r="59" spans="1:17" x14ac:dyDescent="0.35">
      <c r="A59" s="158" t="str">
        <f>'Data- Refined'!A12</f>
        <v>DE</v>
      </c>
      <c r="B59" s="156">
        <f>'Data- Refined'!B12</f>
        <v>8</v>
      </c>
      <c r="C59" s="156">
        <f>'Data- Refined'!C12</f>
        <v>18</v>
      </c>
      <c r="D59" s="156">
        <f>'Data- Refined'!D12</f>
        <v>17</v>
      </c>
      <c r="E59" s="156">
        <f>'Data- Refined'!E12</f>
        <v>11</v>
      </c>
      <c r="F59" s="156">
        <f>'Data- Refined'!F12</f>
        <v>15</v>
      </c>
      <c r="G59" s="156">
        <f>'Data- Refined'!G12</f>
        <v>12</v>
      </c>
      <c r="H59" s="156">
        <f>'Data- Refined'!H12</f>
        <v>11</v>
      </c>
      <c r="I59" s="156">
        <f>'Data- Refined'!I12</f>
        <v>10</v>
      </c>
      <c r="J59" s="156">
        <f>'Data- Refined'!J12</f>
        <v>8</v>
      </c>
      <c r="K59" s="156">
        <f>'Data- Refined'!K12</f>
        <v>6</v>
      </c>
      <c r="L59" s="156">
        <f>'Data- Refined'!L12</f>
        <v>8</v>
      </c>
      <c r="M59" s="156">
        <f>'Data- Refined'!M12</f>
        <v>9</v>
      </c>
      <c r="N59" s="156">
        <f>'Data- Refined'!N12</f>
        <v>10</v>
      </c>
      <c r="O59" s="156">
        <f>'Data- Refined'!O12</f>
        <v>0</v>
      </c>
      <c r="P59" s="156">
        <f>'Data- Refined'!P12</f>
        <v>0</v>
      </c>
      <c r="Q59" s="156">
        <f>'Data- Refined'!Q12</f>
        <v>0</v>
      </c>
    </row>
    <row r="60" spans="1:17" x14ac:dyDescent="0.35">
      <c r="A60" s="158" t="str">
        <f>'Data- Refined'!A13</f>
        <v>FL</v>
      </c>
      <c r="B60" s="156">
        <f>'Data- Refined'!B13</f>
        <v>78</v>
      </c>
      <c r="C60" s="156">
        <f>'Data- Refined'!C13</f>
        <v>262</v>
      </c>
      <c r="D60" s="156">
        <f>'Data- Refined'!D13</f>
        <v>250</v>
      </c>
      <c r="E60" s="156">
        <f>'Data- Refined'!E13</f>
        <v>242</v>
      </c>
      <c r="F60" s="156">
        <f>'Data- Refined'!F13</f>
        <v>230</v>
      </c>
      <c r="G60" s="156">
        <f>'Data- Refined'!G13</f>
        <v>185</v>
      </c>
      <c r="H60" s="156">
        <f>'Data- Refined'!H13</f>
        <v>202</v>
      </c>
      <c r="I60" s="156">
        <f>'Data- Refined'!I13</f>
        <v>170</v>
      </c>
      <c r="J60" s="156">
        <f>'Data- Refined'!J13</f>
        <v>148</v>
      </c>
      <c r="K60" s="156">
        <f>'Data- Refined'!K13</f>
        <v>115</v>
      </c>
      <c r="L60" s="156">
        <f>'Data- Refined'!L13</f>
        <v>146</v>
      </c>
      <c r="M60" s="156">
        <f>'Data- Refined'!M13</f>
        <v>152</v>
      </c>
      <c r="N60" s="156">
        <f>'Data- Refined'!N13</f>
        <v>123</v>
      </c>
      <c r="O60" s="156">
        <f>'Data- Refined'!O13</f>
        <v>0</v>
      </c>
      <c r="P60" s="156">
        <f>'Data- Refined'!P13</f>
        <v>0</v>
      </c>
      <c r="Q60" s="156">
        <f>'Data- Refined'!Q13</f>
        <v>0</v>
      </c>
    </row>
    <row r="61" spans="1:17" x14ac:dyDescent="0.35">
      <c r="A61" s="158" t="str">
        <f>'Data- Refined'!A14</f>
        <v>GA</v>
      </c>
      <c r="B61" s="156">
        <f>'Data- Refined'!B14</f>
        <v>35</v>
      </c>
      <c r="C61" s="156">
        <f>'Data- Refined'!C14</f>
        <v>130</v>
      </c>
      <c r="D61" s="156">
        <f>'Data- Refined'!D14</f>
        <v>128</v>
      </c>
      <c r="E61" s="156">
        <f>'Data- Refined'!E14</f>
        <v>146</v>
      </c>
      <c r="F61" s="156">
        <f>'Data- Refined'!F14</f>
        <v>143</v>
      </c>
      <c r="G61" s="156">
        <f>'Data- Refined'!G14</f>
        <v>119</v>
      </c>
      <c r="H61" s="156">
        <f>'Data- Refined'!H14</f>
        <v>99</v>
      </c>
      <c r="I61" s="156">
        <f>'Data- Refined'!I14</f>
        <v>76</v>
      </c>
      <c r="J61" s="156">
        <f>'Data- Refined'!J14</f>
        <v>59</v>
      </c>
      <c r="K61" s="156">
        <f>'Data- Refined'!K14</f>
        <v>53</v>
      </c>
      <c r="L61" s="156">
        <f>'Data- Refined'!L14</f>
        <v>70</v>
      </c>
      <c r="M61" s="156">
        <f>'Data- Refined'!M14</f>
        <v>67</v>
      </c>
      <c r="N61" s="156">
        <f>'Data- Refined'!N14</f>
        <v>59</v>
      </c>
      <c r="O61" s="156">
        <f>'Data- Refined'!O14</f>
        <v>0</v>
      </c>
      <c r="P61" s="156">
        <f>'Data- Refined'!P14</f>
        <v>0</v>
      </c>
      <c r="Q61" s="156">
        <f>'Data- Refined'!Q14</f>
        <v>0</v>
      </c>
    </row>
    <row r="62" spans="1:17" x14ac:dyDescent="0.35">
      <c r="A62" s="158" t="str">
        <f>'Data- Refined'!A15</f>
        <v>HI</v>
      </c>
      <c r="B62" s="156">
        <f>'Data- Refined'!B15</f>
        <v>0</v>
      </c>
      <c r="C62" s="156">
        <f>'Data- Refined'!C15</f>
        <v>19</v>
      </c>
      <c r="D62" s="156">
        <f>'Data- Refined'!D15</f>
        <v>14</v>
      </c>
      <c r="E62" s="156">
        <f>'Data- Refined'!E15</f>
        <v>9</v>
      </c>
      <c r="F62" s="156">
        <f>'Data- Refined'!F15</f>
        <v>12</v>
      </c>
      <c r="G62" s="156">
        <f>'Data- Refined'!G15</f>
        <v>14</v>
      </c>
      <c r="H62" s="156">
        <f>'Data- Refined'!H15</f>
        <v>12</v>
      </c>
      <c r="I62" s="156">
        <f>'Data- Refined'!I15</f>
        <v>12</v>
      </c>
      <c r="J62" s="156">
        <f>'Data- Refined'!J15</f>
        <v>8</v>
      </c>
      <c r="K62" s="156">
        <f>'Data- Refined'!K15</f>
        <v>8</v>
      </c>
      <c r="L62" s="156">
        <f>'Data- Refined'!L15</f>
        <v>8</v>
      </c>
      <c r="M62" s="156">
        <f>'Data- Refined'!M15</f>
        <v>23</v>
      </c>
      <c r="N62" s="156">
        <f>'Data- Refined'!N15</f>
        <v>34</v>
      </c>
      <c r="O62" s="156">
        <f>'Data- Refined'!O15</f>
        <v>23</v>
      </c>
      <c r="P62" s="156">
        <f>'Data- Refined'!P15</f>
        <v>0</v>
      </c>
      <c r="Q62" s="156">
        <f>'Data- Refined'!Q15</f>
        <v>0</v>
      </c>
    </row>
    <row r="63" spans="1:17" x14ac:dyDescent="0.35">
      <c r="A63" s="158" t="str">
        <f>'Data- Refined'!A16</f>
        <v>IA</v>
      </c>
      <c r="B63" s="156">
        <f>'Data- Refined'!B16</f>
        <v>0</v>
      </c>
      <c r="C63" s="156">
        <f>'Data- Refined'!C16</f>
        <v>18</v>
      </c>
      <c r="D63" s="156">
        <f>'Data- Refined'!D16</f>
        <v>23</v>
      </c>
      <c r="E63" s="156">
        <f>'Data- Refined'!E16</f>
        <v>12</v>
      </c>
      <c r="F63" s="156">
        <f>'Data- Refined'!F16</f>
        <v>20</v>
      </c>
      <c r="G63" s="156">
        <f>'Data- Refined'!G16</f>
        <v>16</v>
      </c>
      <c r="H63" s="156">
        <f>'Data- Refined'!H16</f>
        <v>12</v>
      </c>
      <c r="I63" s="156">
        <f>'Data- Refined'!I16</f>
        <v>15</v>
      </c>
      <c r="J63" s="156">
        <f>'Data- Refined'!J16</f>
        <v>4</v>
      </c>
      <c r="K63" s="156">
        <f>'Data- Refined'!K16</f>
        <v>11</v>
      </c>
      <c r="L63" s="156">
        <f>'Data- Refined'!L16</f>
        <v>5</v>
      </c>
      <c r="M63" s="156">
        <f>'Data- Refined'!M16</f>
        <v>13</v>
      </c>
      <c r="N63" s="156">
        <f>'Data- Refined'!N16</f>
        <v>10</v>
      </c>
      <c r="O63" s="156">
        <f>'Data- Refined'!O16</f>
        <v>10</v>
      </c>
      <c r="P63" s="156">
        <f>'Data- Refined'!P16</f>
        <v>0</v>
      </c>
      <c r="Q63" s="156">
        <f>'Data- Refined'!Q16</f>
        <v>0</v>
      </c>
    </row>
    <row r="64" spans="1:17" x14ac:dyDescent="0.35">
      <c r="A64" s="158" t="str">
        <f>'Data- Refined'!A17</f>
        <v>ID</v>
      </c>
      <c r="B64" s="156">
        <f>'Data- Refined'!B17</f>
        <v>0</v>
      </c>
      <c r="C64" s="156">
        <f>'Data- Refined'!C17</f>
        <v>0</v>
      </c>
      <c r="D64" s="156">
        <f>'Data- Refined'!D17</f>
        <v>24</v>
      </c>
      <c r="E64" s="156">
        <f>'Data- Refined'!E17</f>
        <v>21</v>
      </c>
      <c r="F64" s="156">
        <f>'Data- Refined'!F17</f>
        <v>23</v>
      </c>
      <c r="G64" s="156">
        <f>'Data- Refined'!G17</f>
        <v>22</v>
      </c>
      <c r="H64" s="156">
        <f>'Data- Refined'!H17</f>
        <v>19</v>
      </c>
      <c r="I64" s="156">
        <f>'Data- Refined'!I17</f>
        <v>14</v>
      </c>
      <c r="J64" s="156">
        <f>'Data- Refined'!J17</f>
        <v>14</v>
      </c>
      <c r="K64" s="156">
        <f>'Data- Refined'!K17</f>
        <v>12</v>
      </c>
      <c r="L64" s="156">
        <f>'Data- Refined'!L17</f>
        <v>9</v>
      </c>
      <c r="M64" s="156">
        <f>'Data- Refined'!M17</f>
        <v>9</v>
      </c>
      <c r="N64" s="156">
        <f>'Data- Refined'!N17</f>
        <v>10</v>
      </c>
      <c r="O64" s="156">
        <f>'Data- Refined'!O17</f>
        <v>9</v>
      </c>
      <c r="P64" s="156">
        <f>'Data- Refined'!P17</f>
        <v>7</v>
      </c>
      <c r="Q64" s="156">
        <f>'Data- Refined'!Q17</f>
        <v>0</v>
      </c>
    </row>
    <row r="65" spans="1:17" x14ac:dyDescent="0.35">
      <c r="A65" s="158" t="str">
        <f>'Data- Refined'!A18</f>
        <v>IL</v>
      </c>
      <c r="B65" s="156">
        <f>'Data- Refined'!B18</f>
        <v>0</v>
      </c>
      <c r="C65" s="156">
        <f>'Data- Refined'!C18</f>
        <v>0</v>
      </c>
      <c r="D65" s="156">
        <f>'Data- Refined'!D18</f>
        <v>135</v>
      </c>
      <c r="E65" s="156">
        <f>'Data- Refined'!E18</f>
        <v>139</v>
      </c>
      <c r="F65" s="156">
        <f>'Data- Refined'!F18</f>
        <v>119</v>
      </c>
      <c r="G65" s="156">
        <f>'Data- Refined'!G18</f>
        <v>107</v>
      </c>
      <c r="H65" s="156">
        <f>'Data- Refined'!H18</f>
        <v>109</v>
      </c>
      <c r="I65" s="156">
        <f>'Data- Refined'!I18</f>
        <v>95</v>
      </c>
      <c r="J65" s="156">
        <f>'Data- Refined'!J18</f>
        <v>105</v>
      </c>
      <c r="K65" s="156">
        <f>'Data- Refined'!K18</f>
        <v>79</v>
      </c>
      <c r="L65" s="156">
        <f>'Data- Refined'!L18</f>
        <v>58</v>
      </c>
      <c r="M65" s="156">
        <f>'Data- Refined'!M18</f>
        <v>34</v>
      </c>
      <c r="N65" s="156">
        <f>'Data- Refined'!N18</f>
        <v>97</v>
      </c>
      <c r="O65" s="156">
        <f>'Data- Refined'!O18</f>
        <v>115</v>
      </c>
      <c r="P65" s="156">
        <f>'Data- Refined'!P18</f>
        <v>87</v>
      </c>
      <c r="Q65" s="156">
        <f>'Data- Refined'!Q18</f>
        <v>0</v>
      </c>
    </row>
    <row r="66" spans="1:17" x14ac:dyDescent="0.35">
      <c r="A66" s="158" t="str">
        <f>'Data- Refined'!A19</f>
        <v>IN</v>
      </c>
      <c r="B66" s="156">
        <f>'Data- Refined'!B19</f>
        <v>9</v>
      </c>
      <c r="C66" s="156">
        <f>'Data- Refined'!C19</f>
        <v>54</v>
      </c>
      <c r="D66" s="156">
        <f>'Data- Refined'!D19</f>
        <v>69</v>
      </c>
      <c r="E66" s="156">
        <f>'Data- Refined'!E19</f>
        <v>66</v>
      </c>
      <c r="F66" s="156">
        <f>'Data- Refined'!F19</f>
        <v>61</v>
      </c>
      <c r="G66" s="156">
        <f>'Data- Refined'!G19</f>
        <v>66</v>
      </c>
      <c r="H66" s="156">
        <f>'Data- Refined'!H19</f>
        <v>54</v>
      </c>
      <c r="I66" s="156">
        <f>'Data- Refined'!I19</f>
        <v>28</v>
      </c>
      <c r="J66" s="156">
        <f>'Data- Refined'!J19</f>
        <v>24</v>
      </c>
      <c r="K66" s="156">
        <f>'Data- Refined'!K19</f>
        <v>27</v>
      </c>
      <c r="L66" s="156">
        <f>'Data- Refined'!L19</f>
        <v>31</v>
      </c>
      <c r="M66" s="156">
        <f>'Data- Refined'!M19</f>
        <v>42</v>
      </c>
      <c r="N66" s="156">
        <f>'Data- Refined'!N19</f>
        <v>30</v>
      </c>
      <c r="O66" s="156">
        <f>'Data- Refined'!O19</f>
        <v>0</v>
      </c>
      <c r="P66" s="156">
        <f>'Data- Refined'!P19</f>
        <v>0</v>
      </c>
      <c r="Q66" s="156">
        <f>'Data- Refined'!Q19</f>
        <v>0</v>
      </c>
    </row>
    <row r="67" spans="1:17" x14ac:dyDescent="0.35">
      <c r="A67" s="158" t="str">
        <f>'Data- Refined'!A20</f>
        <v>KS</v>
      </c>
      <c r="B67" s="156">
        <f>'Data- Refined'!B20</f>
        <v>0</v>
      </c>
      <c r="C67" s="156">
        <f>'Data- Refined'!C20</f>
        <v>21</v>
      </c>
      <c r="D67" s="156">
        <f>'Data- Refined'!D20</f>
        <v>25</v>
      </c>
      <c r="E67" s="156">
        <f>'Data- Refined'!E20</f>
        <v>36</v>
      </c>
      <c r="F67" s="156">
        <f>'Data- Refined'!F20</f>
        <v>26</v>
      </c>
      <c r="G67" s="156">
        <f>'Data- Refined'!G20</f>
        <v>25</v>
      </c>
      <c r="H67" s="156">
        <f>'Data- Refined'!H20</f>
        <v>15</v>
      </c>
      <c r="I67" s="156">
        <f>'Data- Refined'!I20</f>
        <v>10</v>
      </c>
      <c r="J67" s="156">
        <f>'Data- Refined'!J20</f>
        <v>10</v>
      </c>
      <c r="K67" s="156">
        <f>'Data- Refined'!K20</f>
        <v>14</v>
      </c>
      <c r="L67" s="156">
        <f>'Data- Refined'!L20</f>
        <v>11</v>
      </c>
      <c r="M67" s="156">
        <f>'Data- Refined'!M20</f>
        <v>8</v>
      </c>
      <c r="N67" s="156">
        <f>'Data- Refined'!N20</f>
        <v>14</v>
      </c>
      <c r="O67" s="156">
        <f>'Data- Refined'!O20</f>
        <v>8</v>
      </c>
      <c r="P67" s="156">
        <f>'Data- Refined'!P20</f>
        <v>0</v>
      </c>
      <c r="Q67" s="156">
        <f>'Data- Refined'!Q20</f>
        <v>0</v>
      </c>
    </row>
    <row r="68" spans="1:17" x14ac:dyDescent="0.35">
      <c r="A68" s="158" t="str">
        <f>'Data- Refined'!A21</f>
        <v>KY</v>
      </c>
      <c r="B68" s="156">
        <f>'Data- Refined'!B21</f>
        <v>0</v>
      </c>
      <c r="C68" s="156">
        <f>'Data- Refined'!C21</f>
        <v>0</v>
      </c>
      <c r="D68" s="156">
        <f>'Data- Refined'!D21</f>
        <v>51</v>
      </c>
      <c r="E68" s="156">
        <f>'Data- Refined'!E21</f>
        <v>52</v>
      </c>
      <c r="F68" s="156">
        <f>'Data- Refined'!F21</f>
        <v>41</v>
      </c>
      <c r="G68" s="156">
        <f>'Data- Refined'!G21</f>
        <v>36</v>
      </c>
      <c r="H68" s="156">
        <f>'Data- Refined'!H21</f>
        <v>30</v>
      </c>
      <c r="I68" s="156">
        <f>'Data- Refined'!I21</f>
        <v>13</v>
      </c>
      <c r="J68" s="156">
        <f>'Data- Refined'!J21</f>
        <v>10</v>
      </c>
      <c r="K68" s="156">
        <f>'Data- Refined'!K21</f>
        <v>10</v>
      </c>
      <c r="L68" s="156">
        <f>'Data- Refined'!L21</f>
        <v>8</v>
      </c>
      <c r="M68" s="156">
        <f>'Data- Refined'!M21</f>
        <v>6</v>
      </c>
      <c r="N68" s="156">
        <f>'Data- Refined'!N21</f>
        <v>32</v>
      </c>
      <c r="O68" s="156">
        <f>'Data- Refined'!O21</f>
        <v>40</v>
      </c>
      <c r="P68" s="156">
        <f>'Data- Refined'!P21</f>
        <v>31</v>
      </c>
      <c r="Q68" s="156">
        <f>'Data- Refined'!Q21</f>
        <v>0</v>
      </c>
    </row>
    <row r="69" spans="1:17" x14ac:dyDescent="0.35">
      <c r="A69" s="158" t="str">
        <f>'Data- Refined'!A22</f>
        <v>LA</v>
      </c>
      <c r="B69" s="156">
        <f>'Data- Refined'!B22</f>
        <v>0</v>
      </c>
      <c r="C69" s="156">
        <f>'Data- Refined'!C22</f>
        <v>48</v>
      </c>
      <c r="D69" s="156">
        <f>'Data- Refined'!D22</f>
        <v>63</v>
      </c>
      <c r="E69" s="156">
        <f>'Data- Refined'!E22</f>
        <v>68</v>
      </c>
      <c r="F69" s="156">
        <f>'Data- Refined'!F22</f>
        <v>48</v>
      </c>
      <c r="G69" s="156">
        <f>'Data- Refined'!G22</f>
        <v>58</v>
      </c>
      <c r="H69" s="156">
        <f>'Data- Refined'!H22</f>
        <v>33</v>
      </c>
      <c r="I69" s="156">
        <f>'Data- Refined'!I22</f>
        <v>42</v>
      </c>
      <c r="J69" s="156">
        <f>'Data- Refined'!J22</f>
        <v>29</v>
      </c>
      <c r="K69" s="156">
        <f>'Data- Refined'!K22</f>
        <v>23</v>
      </c>
      <c r="L69" s="156">
        <f>'Data- Refined'!L22</f>
        <v>20</v>
      </c>
      <c r="M69" s="156">
        <f>'Data- Refined'!M22</f>
        <v>30</v>
      </c>
      <c r="N69" s="156">
        <f>'Data- Refined'!N22</f>
        <v>37</v>
      </c>
      <c r="O69" s="156">
        <f>'Data- Refined'!O22</f>
        <v>22</v>
      </c>
      <c r="P69" s="156">
        <f>'Data- Refined'!P22</f>
        <v>0</v>
      </c>
      <c r="Q69" s="156">
        <f>'Data- Refined'!Q22</f>
        <v>0</v>
      </c>
    </row>
    <row r="70" spans="1:17" x14ac:dyDescent="0.35">
      <c r="A70" s="158" t="str">
        <f>'Data- Refined'!A23</f>
        <v>MA</v>
      </c>
      <c r="B70" s="156">
        <f>'Data- Refined'!B23</f>
        <v>41</v>
      </c>
      <c r="C70" s="156">
        <f>'Data- Refined'!C23</f>
        <v>84</v>
      </c>
      <c r="D70" s="156">
        <f>'Data- Refined'!D23</f>
        <v>90</v>
      </c>
      <c r="E70" s="156">
        <f>'Data- Refined'!E23</f>
        <v>110</v>
      </c>
      <c r="F70" s="156">
        <f>'Data- Refined'!F23</f>
        <v>95</v>
      </c>
      <c r="G70" s="156">
        <f>'Data- Refined'!G23</f>
        <v>81</v>
      </c>
      <c r="H70" s="156">
        <f>'Data- Refined'!H23</f>
        <v>65</v>
      </c>
      <c r="I70" s="156">
        <f>'Data- Refined'!I23</f>
        <v>66</v>
      </c>
      <c r="J70" s="156">
        <f>'Data- Refined'!J23</f>
        <v>60</v>
      </c>
      <c r="K70" s="156">
        <f>'Data- Refined'!K23</f>
        <v>36</v>
      </c>
      <c r="L70" s="156">
        <f>'Data- Refined'!L23</f>
        <v>71</v>
      </c>
      <c r="M70" s="156">
        <f>'Data- Refined'!M23</f>
        <v>80</v>
      </c>
      <c r="N70" s="156">
        <f>'Data- Refined'!N23</f>
        <v>63</v>
      </c>
      <c r="O70" s="156">
        <f>'Data- Refined'!O23</f>
        <v>0</v>
      </c>
      <c r="P70" s="156">
        <f>'Data- Refined'!P23</f>
        <v>0</v>
      </c>
      <c r="Q70" s="156">
        <f>'Data- Refined'!Q23</f>
        <v>0</v>
      </c>
    </row>
    <row r="71" spans="1:17" x14ac:dyDescent="0.35">
      <c r="A71" s="158" t="str">
        <f>'Data- Refined'!A24</f>
        <v>MD</v>
      </c>
      <c r="B71" s="156">
        <f>'Data- Refined'!B24</f>
        <v>27</v>
      </c>
      <c r="C71" s="156">
        <f>'Data- Refined'!C24</f>
        <v>101</v>
      </c>
      <c r="D71" s="156">
        <f>'Data- Refined'!D24</f>
        <v>124</v>
      </c>
      <c r="E71" s="156">
        <f>'Data- Refined'!E24</f>
        <v>123</v>
      </c>
      <c r="F71" s="156">
        <f>'Data- Refined'!F24</f>
        <v>151</v>
      </c>
      <c r="G71" s="156">
        <f>'Data- Refined'!G24</f>
        <v>111</v>
      </c>
      <c r="H71" s="156">
        <f>'Data- Refined'!H24</f>
        <v>81</v>
      </c>
      <c r="I71" s="156">
        <f>'Data- Refined'!I24</f>
        <v>71</v>
      </c>
      <c r="J71" s="156">
        <f>'Data- Refined'!J24</f>
        <v>73</v>
      </c>
      <c r="K71" s="156">
        <f>'Data- Refined'!K24</f>
        <v>33</v>
      </c>
      <c r="L71" s="156">
        <f>'Data- Refined'!L24</f>
        <v>52</v>
      </c>
      <c r="M71" s="156">
        <f>'Data- Refined'!M24</f>
        <v>54</v>
      </c>
      <c r="N71" s="156">
        <f>'Data- Refined'!N24</f>
        <v>40</v>
      </c>
      <c r="O71" s="156">
        <f>'Data- Refined'!O24</f>
        <v>0</v>
      </c>
      <c r="P71" s="156">
        <f>'Data- Refined'!P24</f>
        <v>0</v>
      </c>
      <c r="Q71" s="156">
        <f>'Data- Refined'!Q24</f>
        <v>0</v>
      </c>
    </row>
    <row r="72" spans="1:17" x14ac:dyDescent="0.35">
      <c r="A72" s="158" t="str">
        <f>'Data- Refined'!A25</f>
        <v>ME</v>
      </c>
      <c r="B72" s="156">
        <f>'Data- Refined'!B25</f>
        <v>7</v>
      </c>
      <c r="C72" s="156">
        <f>'Data- Refined'!C25</f>
        <v>32</v>
      </c>
      <c r="D72" s="156">
        <f>'Data- Refined'!D25</f>
        <v>31</v>
      </c>
      <c r="E72" s="156">
        <f>'Data- Refined'!E25</f>
        <v>33</v>
      </c>
      <c r="F72" s="156">
        <f>'Data- Refined'!F25</f>
        <v>32</v>
      </c>
      <c r="G72" s="156">
        <f>'Data- Refined'!G25</f>
        <v>22</v>
      </c>
      <c r="H72" s="156">
        <f>'Data- Refined'!H25</f>
        <v>10</v>
      </c>
      <c r="I72" s="156">
        <f>'Data- Refined'!I25</f>
        <v>13</v>
      </c>
      <c r="J72" s="156">
        <f>'Data- Refined'!J25</f>
        <v>9</v>
      </c>
      <c r="K72" s="156">
        <f>'Data- Refined'!K25</f>
        <v>10</v>
      </c>
      <c r="L72" s="156">
        <f>'Data- Refined'!L25</f>
        <v>7</v>
      </c>
      <c r="M72" s="156">
        <f>'Data- Refined'!M25</f>
        <v>10</v>
      </c>
      <c r="N72" s="156">
        <f>'Data- Refined'!N25</f>
        <v>7</v>
      </c>
      <c r="O72" s="156">
        <f>'Data- Refined'!O25</f>
        <v>0</v>
      </c>
      <c r="P72" s="156">
        <f>'Data- Refined'!P25</f>
        <v>0</v>
      </c>
      <c r="Q72" s="156">
        <f>'Data- Refined'!Q25</f>
        <v>0</v>
      </c>
    </row>
    <row r="73" spans="1:17" x14ac:dyDescent="0.35">
      <c r="A73" s="158" t="str">
        <f>'Data- Refined'!A26</f>
        <v>MI</v>
      </c>
      <c r="B73" s="156">
        <f>'Data- Refined'!B26</f>
        <v>0</v>
      </c>
      <c r="C73" s="156">
        <f>'Data- Refined'!C26</f>
        <v>67</v>
      </c>
      <c r="D73" s="156">
        <f>'Data- Refined'!D26</f>
        <v>101</v>
      </c>
      <c r="E73" s="156">
        <f>'Data- Refined'!E26</f>
        <v>95</v>
      </c>
      <c r="F73" s="156">
        <f>'Data- Refined'!F26</f>
        <v>75</v>
      </c>
      <c r="G73" s="156">
        <f>'Data- Refined'!G26</f>
        <v>74</v>
      </c>
      <c r="H73" s="156">
        <f>'Data- Refined'!H26</f>
        <v>56</v>
      </c>
      <c r="I73" s="156">
        <f>'Data- Refined'!I26</f>
        <v>49</v>
      </c>
      <c r="J73" s="156">
        <f>'Data- Refined'!J26</f>
        <v>47</v>
      </c>
      <c r="K73" s="156">
        <f>'Data- Refined'!K26</f>
        <v>34</v>
      </c>
      <c r="L73" s="156">
        <f>'Data- Refined'!L26</f>
        <v>30</v>
      </c>
      <c r="M73" s="156">
        <f>'Data- Refined'!M26</f>
        <v>36</v>
      </c>
      <c r="N73" s="156">
        <f>'Data- Refined'!N26</f>
        <v>35</v>
      </c>
      <c r="O73" s="156">
        <f>'Data- Refined'!O26</f>
        <v>23</v>
      </c>
      <c r="P73" s="156">
        <f>'Data- Refined'!P26</f>
        <v>0</v>
      </c>
      <c r="Q73" s="156">
        <f>'Data- Refined'!Q26</f>
        <v>0</v>
      </c>
    </row>
    <row r="74" spans="1:17" x14ac:dyDescent="0.35">
      <c r="A74" s="158" t="str">
        <f>'Data- Refined'!A27</f>
        <v>MN</v>
      </c>
      <c r="B74" s="156">
        <f>'Data- Refined'!B27</f>
        <v>0</v>
      </c>
      <c r="C74" s="156">
        <f>'Data- Refined'!C27</f>
        <v>0</v>
      </c>
      <c r="D74" s="156">
        <f>'Data- Refined'!D27</f>
        <v>69</v>
      </c>
      <c r="E74" s="156">
        <f>'Data- Refined'!E27</f>
        <v>85</v>
      </c>
      <c r="F74" s="156">
        <f>'Data- Refined'!F27</f>
        <v>61</v>
      </c>
      <c r="G74" s="156">
        <f>'Data- Refined'!G27</f>
        <v>80</v>
      </c>
      <c r="H74" s="156">
        <f>'Data- Refined'!H27</f>
        <v>51</v>
      </c>
      <c r="I74" s="156">
        <f>'Data- Refined'!I27</f>
        <v>34</v>
      </c>
      <c r="J74" s="156">
        <f>'Data- Refined'!J27</f>
        <v>33</v>
      </c>
      <c r="K74" s="156">
        <f>'Data- Refined'!K27</f>
        <v>26</v>
      </c>
      <c r="L74" s="156">
        <f>'Data- Refined'!L27</f>
        <v>22</v>
      </c>
      <c r="M74" s="156">
        <f>'Data- Refined'!M27</f>
        <v>13</v>
      </c>
      <c r="N74" s="156">
        <f>'Data- Refined'!N27</f>
        <v>40</v>
      </c>
      <c r="O74" s="156">
        <f>'Data- Refined'!O27</f>
        <v>50</v>
      </c>
      <c r="P74" s="156">
        <f>'Data- Refined'!P27</f>
        <v>37</v>
      </c>
      <c r="Q74" s="156">
        <f>'Data- Refined'!Q27</f>
        <v>0</v>
      </c>
    </row>
    <row r="75" spans="1:17" x14ac:dyDescent="0.35">
      <c r="A75" s="158" t="str">
        <f>'Data- Refined'!A28</f>
        <v>MO</v>
      </c>
      <c r="B75" s="156">
        <f>'Data- Refined'!B28</f>
        <v>0</v>
      </c>
      <c r="C75" s="156">
        <f>'Data- Refined'!C28</f>
        <v>71</v>
      </c>
      <c r="D75" s="156">
        <f>'Data- Refined'!D28</f>
        <v>52</v>
      </c>
      <c r="E75" s="156">
        <f>'Data- Refined'!E28</f>
        <v>78</v>
      </c>
      <c r="F75" s="156">
        <f>'Data- Refined'!F28</f>
        <v>68</v>
      </c>
      <c r="G75" s="156">
        <f>'Data- Refined'!G28</f>
        <v>55</v>
      </c>
      <c r="H75" s="156">
        <f>'Data- Refined'!H28</f>
        <v>49</v>
      </c>
      <c r="I75" s="156">
        <f>'Data- Refined'!I28</f>
        <v>35</v>
      </c>
      <c r="J75" s="156">
        <f>'Data- Refined'!J28</f>
        <v>35</v>
      </c>
      <c r="K75" s="156">
        <f>'Data- Refined'!K28</f>
        <v>33</v>
      </c>
      <c r="L75" s="156">
        <f>'Data- Refined'!L28</f>
        <v>22</v>
      </c>
      <c r="M75" s="156">
        <f>'Data- Refined'!M28</f>
        <v>30</v>
      </c>
      <c r="N75" s="156">
        <f>'Data- Refined'!N28</f>
        <v>30</v>
      </c>
      <c r="O75" s="156">
        <f>'Data- Refined'!O28</f>
        <v>20</v>
      </c>
      <c r="P75" s="156">
        <f>'Data- Refined'!P28</f>
        <v>0</v>
      </c>
      <c r="Q75" s="156">
        <f>'Data- Refined'!Q28</f>
        <v>0</v>
      </c>
    </row>
    <row r="76" spans="1:17" x14ac:dyDescent="0.35">
      <c r="A76" s="158" t="str">
        <f>'Data- Refined'!A29</f>
        <v>MS</v>
      </c>
      <c r="B76" s="156">
        <f>'Data- Refined'!B29</f>
        <v>0</v>
      </c>
      <c r="C76" s="156">
        <f>'Data- Refined'!C29</f>
        <v>34</v>
      </c>
      <c r="D76" s="156">
        <f>'Data- Refined'!D29</f>
        <v>36</v>
      </c>
      <c r="E76" s="156">
        <f>'Data- Refined'!E29</f>
        <v>33</v>
      </c>
      <c r="F76" s="156">
        <f>'Data- Refined'!F29</f>
        <v>34</v>
      </c>
      <c r="G76" s="156">
        <f>'Data- Refined'!G29</f>
        <v>30</v>
      </c>
      <c r="H76" s="156">
        <f>'Data- Refined'!H29</f>
        <v>34</v>
      </c>
      <c r="I76" s="156">
        <f>'Data- Refined'!I29</f>
        <v>14</v>
      </c>
      <c r="J76" s="156">
        <f>'Data- Refined'!J29</f>
        <v>15</v>
      </c>
      <c r="K76" s="156">
        <f>'Data- Refined'!K29</f>
        <v>10</v>
      </c>
      <c r="L76" s="156">
        <f>'Data- Refined'!L29</f>
        <v>8</v>
      </c>
      <c r="M76" s="156">
        <f>'Data- Refined'!M29</f>
        <v>17</v>
      </c>
      <c r="N76" s="156">
        <f>'Data- Refined'!N29</f>
        <v>18</v>
      </c>
      <c r="O76" s="156">
        <f>'Data- Refined'!O29</f>
        <v>14</v>
      </c>
      <c r="P76" s="156">
        <f>'Data- Refined'!P29</f>
        <v>0</v>
      </c>
      <c r="Q76" s="156">
        <f>'Data- Refined'!Q29</f>
        <v>0</v>
      </c>
    </row>
    <row r="77" spans="1:17" x14ac:dyDescent="0.35">
      <c r="A77" s="158" t="str">
        <f>'Data- Refined'!A30</f>
        <v>MT</v>
      </c>
      <c r="B77" s="156">
        <f>'Data- Refined'!B30</f>
        <v>0</v>
      </c>
      <c r="C77" s="156">
        <f>'Data- Refined'!C30</f>
        <v>0</v>
      </c>
      <c r="D77" s="156">
        <f>'Data- Refined'!D30</f>
        <v>6</v>
      </c>
      <c r="E77" s="156">
        <f>'Data- Refined'!E30</f>
        <v>11</v>
      </c>
      <c r="F77" s="156">
        <f>'Data- Refined'!F30</f>
        <v>22</v>
      </c>
      <c r="G77" s="156">
        <f>'Data- Refined'!G30</f>
        <v>19</v>
      </c>
      <c r="H77" s="156">
        <f>'Data- Refined'!H30</f>
        <v>10</v>
      </c>
      <c r="I77" s="156">
        <f>'Data- Refined'!I30</f>
        <v>5</v>
      </c>
      <c r="J77" s="156">
        <f>'Data- Refined'!J30</f>
        <v>6</v>
      </c>
      <c r="K77" s="156">
        <f>'Data- Refined'!K30</f>
        <v>8</v>
      </c>
      <c r="L77" s="156">
        <f>'Data- Refined'!L30</f>
        <v>7</v>
      </c>
      <c r="M77" s="156">
        <f>'Data- Refined'!M30</f>
        <v>8</v>
      </c>
      <c r="N77" s="156">
        <f>'Data- Refined'!N30</f>
        <v>20</v>
      </c>
      <c r="O77" s="156">
        <f>'Data- Refined'!O30</f>
        <v>20</v>
      </c>
      <c r="P77" s="156">
        <f>'Data- Refined'!P30</f>
        <v>14</v>
      </c>
      <c r="Q77" s="156">
        <f>'Data- Refined'!Q30</f>
        <v>0</v>
      </c>
    </row>
    <row r="78" spans="1:17" x14ac:dyDescent="0.35">
      <c r="A78" s="158" t="str">
        <f>'Data- Refined'!A31</f>
        <v>NC</v>
      </c>
      <c r="B78" s="156">
        <f>'Data- Refined'!B31</f>
        <v>34</v>
      </c>
      <c r="C78" s="156">
        <f>'Data- Refined'!C31</f>
        <v>128</v>
      </c>
      <c r="D78" s="156">
        <f>'Data- Refined'!D31</f>
        <v>124</v>
      </c>
      <c r="E78" s="156">
        <f>'Data- Refined'!E31</f>
        <v>115</v>
      </c>
      <c r="F78" s="156">
        <f>'Data- Refined'!F31</f>
        <v>108</v>
      </c>
      <c r="G78" s="156">
        <f>'Data- Refined'!G31</f>
        <v>113</v>
      </c>
      <c r="H78" s="156">
        <f>'Data- Refined'!H31</f>
        <v>85</v>
      </c>
      <c r="I78" s="156">
        <f>'Data- Refined'!I31</f>
        <v>56</v>
      </c>
      <c r="J78" s="156">
        <f>'Data- Refined'!J31</f>
        <v>61</v>
      </c>
      <c r="K78" s="156">
        <f>'Data- Refined'!K31</f>
        <v>43</v>
      </c>
      <c r="L78" s="156">
        <f>'Data- Refined'!L31</f>
        <v>47</v>
      </c>
      <c r="M78" s="156">
        <f>'Data- Refined'!M31</f>
        <v>71</v>
      </c>
      <c r="N78" s="156">
        <f>'Data- Refined'!N31</f>
        <v>48</v>
      </c>
      <c r="O78" s="156">
        <f>'Data- Refined'!O31</f>
        <v>0</v>
      </c>
      <c r="P78" s="156">
        <f>'Data- Refined'!P31</f>
        <v>0</v>
      </c>
      <c r="Q78" s="156">
        <f>'Data- Refined'!Q31</f>
        <v>0</v>
      </c>
    </row>
    <row r="79" spans="1:17" x14ac:dyDescent="0.35">
      <c r="A79" s="158" t="str">
        <f>'Data- Refined'!A32</f>
        <v>ND</v>
      </c>
      <c r="B79" s="156">
        <f>'Data- Refined'!B32</f>
        <v>0</v>
      </c>
      <c r="C79" s="156">
        <f>'Data- Refined'!C32</f>
        <v>10</v>
      </c>
      <c r="D79" s="156">
        <f>'Data- Refined'!D32</f>
        <v>7</v>
      </c>
      <c r="E79" s="156">
        <f>'Data- Refined'!E32</f>
        <v>8</v>
      </c>
      <c r="F79" s="156">
        <f>'Data- Refined'!F32</f>
        <v>15</v>
      </c>
      <c r="G79" s="156">
        <f>'Data- Refined'!G32</f>
        <v>11</v>
      </c>
      <c r="H79" s="156">
        <f>'Data- Refined'!H32</f>
        <v>4</v>
      </c>
      <c r="I79" s="156">
        <f>'Data- Refined'!I32</f>
        <v>2</v>
      </c>
      <c r="J79" s="156">
        <f>'Data- Refined'!J32</f>
        <v>1</v>
      </c>
      <c r="K79" s="156">
        <f>'Data- Refined'!K32</f>
        <v>3</v>
      </c>
      <c r="L79" s="156">
        <f>'Data- Refined'!L32</f>
        <v>2</v>
      </c>
      <c r="M79" s="156">
        <f>'Data- Refined'!M32</f>
        <v>3</v>
      </c>
      <c r="N79" s="156">
        <f>'Data- Refined'!N32</f>
        <v>3</v>
      </c>
      <c r="O79" s="156">
        <f>'Data- Refined'!O32</f>
        <v>4</v>
      </c>
      <c r="P79" s="156">
        <f>'Data- Refined'!P32</f>
        <v>0</v>
      </c>
      <c r="Q79" s="156">
        <f>'Data- Refined'!Q32</f>
        <v>0</v>
      </c>
    </row>
    <row r="80" spans="1:17" x14ac:dyDescent="0.35">
      <c r="A80" s="158" t="str">
        <f>'Data- Refined'!A33</f>
        <v>NE</v>
      </c>
      <c r="B80" s="156">
        <f>'Data- Refined'!B33</f>
        <v>0</v>
      </c>
      <c r="C80" s="156">
        <f>'Data- Refined'!C33</f>
        <v>23</v>
      </c>
      <c r="D80" s="156">
        <f>'Data- Refined'!D33</f>
        <v>25</v>
      </c>
      <c r="E80" s="156">
        <f>'Data- Refined'!E33</f>
        <v>22</v>
      </c>
      <c r="F80" s="156">
        <f>'Data- Refined'!F33</f>
        <v>19</v>
      </c>
      <c r="G80" s="156">
        <f>'Data- Refined'!G33</f>
        <v>31</v>
      </c>
      <c r="H80" s="156">
        <f>'Data- Refined'!H33</f>
        <v>12</v>
      </c>
      <c r="I80" s="156">
        <f>'Data- Refined'!I33</f>
        <v>13</v>
      </c>
      <c r="J80" s="156">
        <f>'Data- Refined'!J33</f>
        <v>12</v>
      </c>
      <c r="K80" s="156">
        <f>'Data- Refined'!K33</f>
        <v>11</v>
      </c>
      <c r="L80" s="156">
        <f>'Data- Refined'!L33</f>
        <v>5</v>
      </c>
      <c r="M80" s="156">
        <f>'Data- Refined'!M33</f>
        <v>7</v>
      </c>
      <c r="N80" s="156">
        <f>'Data- Refined'!N33</f>
        <v>9</v>
      </c>
      <c r="O80" s="156">
        <f>'Data- Refined'!O33</f>
        <v>8</v>
      </c>
      <c r="P80" s="156">
        <f>'Data- Refined'!P33</f>
        <v>0</v>
      </c>
      <c r="Q80" s="156">
        <f>'Data- Refined'!Q33</f>
        <v>0</v>
      </c>
    </row>
    <row r="81" spans="1:17" x14ac:dyDescent="0.35">
      <c r="A81" s="158" t="str">
        <f>'Data- Refined'!A34</f>
        <v>NH</v>
      </c>
      <c r="B81" s="156">
        <f>'Data- Refined'!B34</f>
        <v>4</v>
      </c>
      <c r="C81" s="156">
        <f>'Data- Refined'!C34</f>
        <v>42</v>
      </c>
      <c r="D81" s="156">
        <f>'Data- Refined'!D34</f>
        <v>50</v>
      </c>
      <c r="E81" s="156">
        <f>'Data- Refined'!E34</f>
        <v>44</v>
      </c>
      <c r="F81" s="156">
        <f>'Data- Refined'!F34</f>
        <v>26</v>
      </c>
      <c r="G81" s="156">
        <f>'Data- Refined'!G34</f>
        <v>21</v>
      </c>
      <c r="H81" s="156">
        <f>'Data- Refined'!H34</f>
        <v>23</v>
      </c>
      <c r="I81" s="156">
        <f>'Data- Refined'!I34</f>
        <v>19</v>
      </c>
      <c r="J81" s="156">
        <f>'Data- Refined'!J34</f>
        <v>12</v>
      </c>
      <c r="K81" s="156">
        <f>'Data- Refined'!K34</f>
        <v>4</v>
      </c>
      <c r="L81" s="156">
        <f>'Data- Refined'!L34</f>
        <v>10</v>
      </c>
      <c r="M81" s="156">
        <f>'Data- Refined'!M34</f>
        <v>14</v>
      </c>
      <c r="N81" s="156">
        <f>'Data- Refined'!N34</f>
        <v>10</v>
      </c>
      <c r="O81" s="156">
        <f>'Data- Refined'!O34</f>
        <v>0</v>
      </c>
      <c r="P81" s="156">
        <f>'Data- Refined'!P34</f>
        <v>0</v>
      </c>
      <c r="Q81" s="156">
        <f>'Data- Refined'!Q34</f>
        <v>0</v>
      </c>
    </row>
    <row r="82" spans="1:17" x14ac:dyDescent="0.35">
      <c r="A82" s="158" t="str">
        <f>'Data- Refined'!A35</f>
        <v>NJ</v>
      </c>
      <c r="B82" s="156">
        <f>'Data- Refined'!B35</f>
        <v>48</v>
      </c>
      <c r="C82" s="156">
        <f>'Data- Refined'!C35</f>
        <v>142</v>
      </c>
      <c r="D82" s="156">
        <f>'Data- Refined'!D35</f>
        <v>156</v>
      </c>
      <c r="E82" s="156">
        <f>'Data- Refined'!E35</f>
        <v>176</v>
      </c>
      <c r="F82" s="156">
        <f>'Data- Refined'!F35</f>
        <v>208</v>
      </c>
      <c r="G82" s="156">
        <f>'Data- Refined'!G35</f>
        <v>180</v>
      </c>
      <c r="H82" s="156">
        <f>'Data- Refined'!H35</f>
        <v>146</v>
      </c>
      <c r="I82" s="156">
        <f>'Data- Refined'!I35</f>
        <v>124</v>
      </c>
      <c r="J82" s="156">
        <f>'Data- Refined'!J35</f>
        <v>112</v>
      </c>
      <c r="K82" s="156">
        <f>'Data- Refined'!K35</f>
        <v>77</v>
      </c>
      <c r="L82" s="156">
        <f>'Data- Refined'!L35</f>
        <v>97</v>
      </c>
      <c r="M82" s="156">
        <f>'Data- Refined'!M35</f>
        <v>115</v>
      </c>
      <c r="N82" s="156">
        <f>'Data- Refined'!N35</f>
        <v>84</v>
      </c>
      <c r="O82" s="156">
        <f>'Data- Refined'!O35</f>
        <v>0</v>
      </c>
      <c r="P82" s="156">
        <f>'Data- Refined'!P35</f>
        <v>0</v>
      </c>
      <c r="Q82" s="156">
        <f>'Data- Refined'!Q35</f>
        <v>0</v>
      </c>
    </row>
    <row r="83" spans="1:17" x14ac:dyDescent="0.35">
      <c r="A83" s="158" t="str">
        <f>'Data- Refined'!A36</f>
        <v>NM</v>
      </c>
      <c r="B83" s="156">
        <f>'Data- Refined'!B36</f>
        <v>0</v>
      </c>
      <c r="C83" s="156">
        <f>'Data- Refined'!C36</f>
        <v>0</v>
      </c>
      <c r="D83" s="156">
        <f>'Data- Refined'!D36</f>
        <v>0</v>
      </c>
      <c r="E83" s="156">
        <f>'Data- Refined'!E36</f>
        <v>50</v>
      </c>
      <c r="F83" s="156">
        <f>'Data- Refined'!F36</f>
        <v>42</v>
      </c>
      <c r="G83" s="156">
        <f>'Data- Refined'!G36</f>
        <v>39</v>
      </c>
      <c r="H83" s="156">
        <f>'Data- Refined'!H36</f>
        <v>32</v>
      </c>
      <c r="I83" s="156">
        <f>'Data- Refined'!I36</f>
        <v>19</v>
      </c>
      <c r="J83" s="156">
        <f>'Data- Refined'!J36</f>
        <v>26</v>
      </c>
      <c r="K83" s="156">
        <f>'Data- Refined'!K36</f>
        <v>12</v>
      </c>
      <c r="L83" s="156">
        <f>'Data- Refined'!L36</f>
        <v>16</v>
      </c>
      <c r="M83" s="156">
        <f>'Data- Refined'!M36</f>
        <v>10</v>
      </c>
      <c r="N83" s="156">
        <f>'Data- Refined'!N36</f>
        <v>5</v>
      </c>
      <c r="O83" s="156">
        <f>'Data- Refined'!O36</f>
        <v>33</v>
      </c>
      <c r="P83" s="156">
        <f>'Data- Refined'!P36</f>
        <v>40</v>
      </c>
      <c r="Q83" s="156">
        <f>'Data- Refined'!Q36</f>
        <v>32</v>
      </c>
    </row>
    <row r="84" spans="1:17" x14ac:dyDescent="0.35">
      <c r="A84" s="158" t="str">
        <f>'Data- Refined'!A37</f>
        <v>NV</v>
      </c>
      <c r="B84" s="156">
        <f>'Data- Refined'!B37</f>
        <v>0</v>
      </c>
      <c r="C84" s="156">
        <f>'Data- Refined'!C37</f>
        <v>0</v>
      </c>
      <c r="D84" s="156">
        <f>'Data- Refined'!D37</f>
        <v>0</v>
      </c>
      <c r="E84" s="156">
        <f>'Data- Refined'!E37</f>
        <v>0</v>
      </c>
      <c r="F84" s="156">
        <f>'Data- Refined'!F37</f>
        <v>33</v>
      </c>
      <c r="G84" s="156">
        <f>'Data- Refined'!G37</f>
        <v>37</v>
      </c>
      <c r="H84" s="156">
        <f>'Data- Refined'!H37</f>
        <v>31</v>
      </c>
      <c r="I84" s="156">
        <f>'Data- Refined'!I37</f>
        <v>30</v>
      </c>
      <c r="J84" s="156">
        <f>'Data- Refined'!J37</f>
        <v>14</v>
      </c>
      <c r="K84" s="156">
        <f>'Data- Refined'!K37</f>
        <v>23</v>
      </c>
      <c r="L84" s="156">
        <f>'Data- Refined'!L37</f>
        <v>17</v>
      </c>
      <c r="M84" s="156">
        <f>'Data- Refined'!M37</f>
        <v>14</v>
      </c>
      <c r="N84" s="156">
        <f>'Data- Refined'!N37</f>
        <v>10</v>
      </c>
      <c r="O84" s="156">
        <f>'Data- Refined'!O37</f>
        <v>9</v>
      </c>
      <c r="P84" s="156">
        <f>'Data- Refined'!P37</f>
        <v>35</v>
      </c>
      <c r="Q84" s="156">
        <f>'Data- Refined'!Q37</f>
        <v>39</v>
      </c>
    </row>
    <row r="85" spans="1:17" x14ac:dyDescent="0.35">
      <c r="A85" s="158" t="str">
        <f>'Data- Refined'!A38</f>
        <v>NY</v>
      </c>
      <c r="B85" s="156">
        <f>'Data- Refined'!B38</f>
        <v>73</v>
      </c>
      <c r="C85" s="156">
        <f>'Data- Refined'!C38</f>
        <v>288</v>
      </c>
      <c r="D85" s="156">
        <f>'Data- Refined'!D38</f>
        <v>278</v>
      </c>
      <c r="E85" s="156">
        <f>'Data- Refined'!E38</f>
        <v>285</v>
      </c>
      <c r="F85" s="156">
        <f>'Data- Refined'!F38</f>
        <v>266</v>
      </c>
      <c r="G85" s="156">
        <f>'Data- Refined'!G38</f>
        <v>258</v>
      </c>
      <c r="H85" s="156">
        <f>'Data- Refined'!H38</f>
        <v>207</v>
      </c>
      <c r="I85" s="156">
        <f>'Data- Refined'!I38</f>
        <v>208</v>
      </c>
      <c r="J85" s="156">
        <f>'Data- Refined'!J38</f>
        <v>146</v>
      </c>
      <c r="K85" s="156">
        <f>'Data- Refined'!K38</f>
        <v>109</v>
      </c>
      <c r="L85" s="156">
        <f>'Data- Refined'!L38</f>
        <v>144</v>
      </c>
      <c r="M85" s="156">
        <f>'Data- Refined'!M38</f>
        <v>151</v>
      </c>
      <c r="N85" s="156">
        <f>'Data- Refined'!N38</f>
        <v>120</v>
      </c>
      <c r="O85" s="156">
        <f>'Data- Refined'!O38</f>
        <v>0</v>
      </c>
      <c r="P85" s="156">
        <f>'Data- Refined'!P38</f>
        <v>0</v>
      </c>
      <c r="Q85" s="156">
        <f>'Data- Refined'!Q38</f>
        <v>0</v>
      </c>
    </row>
    <row r="86" spans="1:17" x14ac:dyDescent="0.35">
      <c r="A86" s="158" t="str">
        <f>'Data- Refined'!A39</f>
        <v>OH</v>
      </c>
      <c r="B86" s="156">
        <f>'Data- Refined'!B39</f>
        <v>30</v>
      </c>
      <c r="C86" s="156">
        <f>'Data- Refined'!C39</f>
        <v>116</v>
      </c>
      <c r="D86" s="156">
        <f>'Data- Refined'!D39</f>
        <v>124</v>
      </c>
      <c r="E86" s="156">
        <f>'Data- Refined'!E39</f>
        <v>123</v>
      </c>
      <c r="F86" s="156">
        <f>'Data- Refined'!F39</f>
        <v>98</v>
      </c>
      <c r="G86" s="156">
        <f>'Data- Refined'!G39</f>
        <v>99</v>
      </c>
      <c r="H86" s="156">
        <f>'Data- Refined'!H39</f>
        <v>52</v>
      </c>
      <c r="I86" s="156">
        <f>'Data- Refined'!I39</f>
        <v>65</v>
      </c>
      <c r="J86" s="156">
        <f>'Data- Refined'!J39</f>
        <v>71</v>
      </c>
      <c r="K86" s="156">
        <f>'Data- Refined'!K39</f>
        <v>43</v>
      </c>
      <c r="L86" s="156">
        <f>'Data- Refined'!L39</f>
        <v>67</v>
      </c>
      <c r="M86" s="156">
        <f>'Data- Refined'!M39</f>
        <v>66</v>
      </c>
      <c r="N86" s="156">
        <f>'Data- Refined'!N39</f>
        <v>47</v>
      </c>
      <c r="O86" s="156">
        <f>'Data- Refined'!O39</f>
        <v>0</v>
      </c>
      <c r="P86" s="156">
        <f>'Data- Refined'!P39</f>
        <v>0</v>
      </c>
      <c r="Q86" s="156">
        <f>'Data- Refined'!Q39</f>
        <v>0</v>
      </c>
    </row>
    <row r="87" spans="1:17" x14ac:dyDescent="0.35">
      <c r="A87" s="158" t="str">
        <f>'Data- Refined'!A40</f>
        <v>OK</v>
      </c>
      <c r="B87" s="156">
        <f>'Data- Refined'!B40</f>
        <v>0</v>
      </c>
      <c r="C87" s="156">
        <f>'Data- Refined'!C40</f>
        <v>0</v>
      </c>
      <c r="D87" s="156">
        <f>'Data- Refined'!D40</f>
        <v>43</v>
      </c>
      <c r="E87" s="156">
        <f>'Data- Refined'!E40</f>
        <v>31</v>
      </c>
      <c r="F87" s="156">
        <f>'Data- Refined'!F40</f>
        <v>43</v>
      </c>
      <c r="G87" s="156">
        <f>'Data- Refined'!G40</f>
        <v>43</v>
      </c>
      <c r="H87" s="156">
        <f>'Data- Refined'!H40</f>
        <v>30</v>
      </c>
      <c r="I87" s="156">
        <f>'Data- Refined'!I40</f>
        <v>23</v>
      </c>
      <c r="J87" s="156">
        <f>'Data- Refined'!J40</f>
        <v>15</v>
      </c>
      <c r="K87" s="156">
        <f>'Data- Refined'!K40</f>
        <v>13</v>
      </c>
      <c r="L87" s="156">
        <f>'Data- Refined'!L40</f>
        <v>8</v>
      </c>
      <c r="M87" s="156">
        <f>'Data- Refined'!M40</f>
        <v>6</v>
      </c>
      <c r="N87" s="156">
        <f>'Data- Refined'!N40</f>
        <v>31</v>
      </c>
      <c r="O87" s="156">
        <f>'Data- Refined'!O40</f>
        <v>32</v>
      </c>
      <c r="P87" s="156">
        <f>'Data- Refined'!P40</f>
        <v>24</v>
      </c>
      <c r="Q87" s="156">
        <f>'Data- Refined'!Q40</f>
        <v>0</v>
      </c>
    </row>
    <row r="88" spans="1:17" x14ac:dyDescent="0.35">
      <c r="A88" s="158" t="str">
        <f>'Data- Refined'!A41</f>
        <v>OR</v>
      </c>
      <c r="B88" s="156">
        <f>'Data- Refined'!B41</f>
        <v>0</v>
      </c>
      <c r="C88" s="156">
        <f>'Data- Refined'!C41</f>
        <v>0</v>
      </c>
      <c r="D88" s="156">
        <f>'Data- Refined'!D41</f>
        <v>56</v>
      </c>
      <c r="E88" s="156">
        <f>'Data- Refined'!E41</f>
        <v>77</v>
      </c>
      <c r="F88" s="156">
        <f>'Data- Refined'!F41</f>
        <v>76</v>
      </c>
      <c r="G88" s="156">
        <f>'Data- Refined'!G41</f>
        <v>74</v>
      </c>
      <c r="H88" s="156">
        <f>'Data- Refined'!H41</f>
        <v>65</v>
      </c>
      <c r="I88" s="156">
        <f>'Data- Refined'!I41</f>
        <v>42</v>
      </c>
      <c r="J88" s="156">
        <f>'Data- Refined'!J41</f>
        <v>52</v>
      </c>
      <c r="K88" s="156">
        <f>'Data- Refined'!K41</f>
        <v>47</v>
      </c>
      <c r="L88" s="156">
        <f>'Data- Refined'!L41</f>
        <v>29</v>
      </c>
      <c r="M88" s="156">
        <f>'Data- Refined'!M41</f>
        <v>21</v>
      </c>
      <c r="N88" s="156">
        <f>'Data- Refined'!N41</f>
        <v>44</v>
      </c>
      <c r="O88" s="156">
        <f>'Data- Refined'!O41</f>
        <v>50</v>
      </c>
      <c r="P88" s="156">
        <f>'Data- Refined'!P41</f>
        <v>41</v>
      </c>
      <c r="Q88" s="156">
        <f>'Data- Refined'!Q41</f>
        <v>0</v>
      </c>
    </row>
    <row r="89" spans="1:17" x14ac:dyDescent="0.35">
      <c r="A89" s="158" t="str">
        <f>'Data- Refined'!A42</f>
        <v>PA</v>
      </c>
      <c r="B89" s="156">
        <f>'Data- Refined'!B42</f>
        <v>38</v>
      </c>
      <c r="C89" s="156">
        <f>'Data- Refined'!C42</f>
        <v>158</v>
      </c>
      <c r="D89" s="156">
        <f>'Data- Refined'!D42</f>
        <v>176</v>
      </c>
      <c r="E89" s="156">
        <f>'Data- Refined'!E42</f>
        <v>194</v>
      </c>
      <c r="F89" s="156">
        <f>'Data- Refined'!F42</f>
        <v>181</v>
      </c>
      <c r="G89" s="156">
        <f>'Data- Refined'!G42</f>
        <v>145</v>
      </c>
      <c r="H89" s="156">
        <f>'Data- Refined'!H42</f>
        <v>149</v>
      </c>
      <c r="I89" s="156">
        <f>'Data- Refined'!I42</f>
        <v>107</v>
      </c>
      <c r="J89" s="156">
        <f>'Data- Refined'!J42</f>
        <v>109</v>
      </c>
      <c r="K89" s="156">
        <f>'Data- Refined'!K42</f>
        <v>74</v>
      </c>
      <c r="L89" s="156">
        <f>'Data- Refined'!L42</f>
        <v>86</v>
      </c>
      <c r="M89" s="156">
        <f>'Data- Refined'!M42</f>
        <v>87</v>
      </c>
      <c r="N89" s="156">
        <f>'Data- Refined'!N42</f>
        <v>64</v>
      </c>
      <c r="O89" s="156">
        <f>'Data- Refined'!O42</f>
        <v>0</v>
      </c>
      <c r="P89" s="156">
        <f>'Data- Refined'!P42</f>
        <v>0</v>
      </c>
      <c r="Q89" s="156">
        <f>'Data- Refined'!Q42</f>
        <v>0</v>
      </c>
    </row>
    <row r="90" spans="1:17" x14ac:dyDescent="0.35">
      <c r="A90" s="158" t="str">
        <f>'Data- Refined'!A43</f>
        <v>PR</v>
      </c>
      <c r="B90" s="156">
        <f>'Data- Refined'!B43</f>
        <v>0</v>
      </c>
      <c r="C90" s="156">
        <f>'Data- Refined'!C43</f>
        <v>0</v>
      </c>
      <c r="D90" s="156">
        <f>'Data- Refined'!D43</f>
        <v>0</v>
      </c>
      <c r="E90" s="156">
        <f>'Data- Refined'!E43</f>
        <v>0</v>
      </c>
      <c r="F90" s="156">
        <f>'Data- Refined'!F43</f>
        <v>0</v>
      </c>
      <c r="G90" s="156">
        <f>'Data- Refined'!G43</f>
        <v>0</v>
      </c>
      <c r="H90" s="156">
        <f>'Data- Refined'!H43</f>
        <v>2</v>
      </c>
      <c r="I90" s="156">
        <f>'Data- Refined'!I43</f>
        <v>3</v>
      </c>
      <c r="J90" s="156">
        <f>'Data- Refined'!J43</f>
        <v>0</v>
      </c>
      <c r="K90" s="156">
        <f>'Data- Refined'!K43</f>
        <v>2</v>
      </c>
      <c r="L90" s="156">
        <f>'Data- Refined'!L43</f>
        <v>0</v>
      </c>
      <c r="M90" s="156">
        <f>'Data- Refined'!M43</f>
        <v>0</v>
      </c>
      <c r="N90" s="156">
        <f>'Data- Refined'!N43</f>
        <v>0</v>
      </c>
      <c r="O90" s="156">
        <f>'Data- Refined'!O43</f>
        <v>0</v>
      </c>
      <c r="P90" s="156">
        <f>'Data- Refined'!P43</f>
        <v>0</v>
      </c>
      <c r="Q90" s="156">
        <f>'Data- Refined'!Q43</f>
        <v>0</v>
      </c>
    </row>
    <row r="91" spans="1:17" x14ac:dyDescent="0.35">
      <c r="A91" s="158" t="str">
        <f>'Data- Refined'!A44</f>
        <v>RI</v>
      </c>
      <c r="B91" s="156">
        <f>'Data- Refined'!B44</f>
        <v>0</v>
      </c>
      <c r="C91" s="156">
        <f>'Data- Refined'!C44</f>
        <v>0</v>
      </c>
      <c r="D91" s="156">
        <f>'Data- Refined'!D44</f>
        <v>9</v>
      </c>
      <c r="E91" s="156">
        <f>'Data- Refined'!E44</f>
        <v>16</v>
      </c>
      <c r="F91" s="156">
        <f>'Data- Refined'!F44</f>
        <v>18</v>
      </c>
      <c r="G91" s="156">
        <f>'Data- Refined'!G44</f>
        <v>7</v>
      </c>
      <c r="H91" s="156">
        <f>'Data- Refined'!H44</f>
        <v>10</v>
      </c>
      <c r="I91" s="156">
        <f>'Data- Refined'!I44</f>
        <v>13</v>
      </c>
      <c r="J91" s="156">
        <f>'Data- Refined'!J44</f>
        <v>3</v>
      </c>
      <c r="K91" s="156">
        <f>'Data- Refined'!K44</f>
        <v>5</v>
      </c>
      <c r="L91" s="156">
        <f>'Data- Refined'!L44</f>
        <v>3</v>
      </c>
      <c r="M91" s="156">
        <f>'Data- Refined'!M44</f>
        <v>4</v>
      </c>
      <c r="N91" s="156">
        <f>'Data- Refined'!N44</f>
        <v>17</v>
      </c>
      <c r="O91" s="156">
        <f>'Data- Refined'!O44</f>
        <v>24</v>
      </c>
      <c r="P91" s="156">
        <f>'Data- Refined'!P44</f>
        <v>18</v>
      </c>
      <c r="Q91" s="156">
        <f>'Data- Refined'!Q44</f>
        <v>0</v>
      </c>
    </row>
    <row r="92" spans="1:17" x14ac:dyDescent="0.35">
      <c r="A92" s="158" t="str">
        <f>'Data- Refined'!A45</f>
        <v>SC</v>
      </c>
      <c r="B92" s="156">
        <f>'Data- Refined'!B45</f>
        <v>20</v>
      </c>
      <c r="C92" s="156">
        <f>'Data- Refined'!C45</f>
        <v>55</v>
      </c>
      <c r="D92" s="156">
        <f>'Data- Refined'!D45</f>
        <v>59</v>
      </c>
      <c r="E92" s="156">
        <f>'Data- Refined'!E45</f>
        <v>58</v>
      </c>
      <c r="F92" s="156">
        <f>'Data- Refined'!F45</f>
        <v>76</v>
      </c>
      <c r="G92" s="156">
        <f>'Data- Refined'!G45</f>
        <v>51</v>
      </c>
      <c r="H92" s="156">
        <f>'Data- Refined'!H45</f>
        <v>31</v>
      </c>
      <c r="I92" s="156">
        <f>'Data- Refined'!I45</f>
        <v>26</v>
      </c>
      <c r="J92" s="156">
        <f>'Data- Refined'!J45</f>
        <v>20</v>
      </c>
      <c r="K92" s="156">
        <f>'Data- Refined'!K45</f>
        <v>20</v>
      </c>
      <c r="L92" s="156">
        <f>'Data- Refined'!L45</f>
        <v>34</v>
      </c>
      <c r="M92" s="156">
        <f>'Data- Refined'!M45</f>
        <v>29</v>
      </c>
      <c r="N92" s="156">
        <f>'Data- Refined'!N45</f>
        <v>23</v>
      </c>
      <c r="O92" s="156">
        <f>'Data- Refined'!O45</f>
        <v>0</v>
      </c>
      <c r="P92" s="156">
        <f>'Data- Refined'!P45</f>
        <v>0</v>
      </c>
      <c r="Q92" s="156">
        <f>'Data- Refined'!Q45</f>
        <v>0</v>
      </c>
    </row>
    <row r="93" spans="1:17" x14ac:dyDescent="0.35">
      <c r="A93" s="158" t="str">
        <f>'Data- Refined'!A46</f>
        <v>SD</v>
      </c>
      <c r="B93" s="156">
        <f>'Data- Refined'!B46</f>
        <v>0</v>
      </c>
      <c r="C93" s="156">
        <f>'Data- Refined'!C46</f>
        <v>0</v>
      </c>
      <c r="D93" s="156">
        <f>'Data- Refined'!D46</f>
        <v>7</v>
      </c>
      <c r="E93" s="156">
        <f>'Data- Refined'!E46</f>
        <v>12</v>
      </c>
      <c r="F93" s="156">
        <f>'Data- Refined'!F46</f>
        <v>7</v>
      </c>
      <c r="G93" s="156">
        <f>'Data- Refined'!G46</f>
        <v>3</v>
      </c>
      <c r="H93" s="156">
        <f>'Data- Refined'!H46</f>
        <v>6</v>
      </c>
      <c r="I93" s="156">
        <f>'Data- Refined'!I46</f>
        <v>4</v>
      </c>
      <c r="J93" s="156">
        <f>'Data- Refined'!J46</f>
        <v>3</v>
      </c>
      <c r="K93" s="156">
        <f>'Data- Refined'!K46</f>
        <v>5</v>
      </c>
      <c r="L93" s="156">
        <f>'Data- Refined'!L46</f>
        <v>2</v>
      </c>
      <c r="M93" s="156">
        <f>'Data- Refined'!M46</f>
        <v>1</v>
      </c>
      <c r="N93" s="156">
        <f>'Data- Refined'!N46</f>
        <v>7</v>
      </c>
      <c r="O93" s="156">
        <f>'Data- Refined'!O46</f>
        <v>9</v>
      </c>
      <c r="P93" s="156">
        <f>'Data- Refined'!P46</f>
        <v>7</v>
      </c>
      <c r="Q93" s="156">
        <f>'Data- Refined'!Q46</f>
        <v>0</v>
      </c>
    </row>
    <row r="94" spans="1:17" x14ac:dyDescent="0.35">
      <c r="A94" s="158" t="str">
        <f>'Data- Refined'!A47</f>
        <v>TN</v>
      </c>
      <c r="B94" s="156">
        <f>'Data- Refined'!B47</f>
        <v>21</v>
      </c>
      <c r="C94" s="156">
        <f>'Data- Refined'!C47</f>
        <v>74</v>
      </c>
      <c r="D94" s="156">
        <f>'Data- Refined'!D47</f>
        <v>87</v>
      </c>
      <c r="E94" s="156">
        <f>'Data- Refined'!E47</f>
        <v>79</v>
      </c>
      <c r="F94" s="156">
        <f>'Data- Refined'!F47</f>
        <v>92</v>
      </c>
      <c r="G94" s="156">
        <f>'Data- Refined'!G47</f>
        <v>95</v>
      </c>
      <c r="H94" s="156">
        <f>'Data- Refined'!H47</f>
        <v>56</v>
      </c>
      <c r="I94" s="156">
        <f>'Data- Refined'!I47</f>
        <v>53</v>
      </c>
      <c r="J94" s="156">
        <f>'Data- Refined'!J47</f>
        <v>45</v>
      </c>
      <c r="K94" s="156">
        <f>'Data- Refined'!K47</f>
        <v>20</v>
      </c>
      <c r="L94" s="156">
        <f>'Data- Refined'!L47</f>
        <v>37</v>
      </c>
      <c r="M94" s="156">
        <f>'Data- Refined'!M47</f>
        <v>45</v>
      </c>
      <c r="N94" s="156">
        <f>'Data- Refined'!N47</f>
        <v>28</v>
      </c>
      <c r="O94" s="156">
        <f>'Data- Refined'!O47</f>
        <v>0</v>
      </c>
      <c r="P94" s="156">
        <f>'Data- Refined'!P47</f>
        <v>0</v>
      </c>
      <c r="Q94" s="156">
        <f>'Data- Refined'!Q47</f>
        <v>0</v>
      </c>
    </row>
    <row r="95" spans="1:17" x14ac:dyDescent="0.35">
      <c r="A95" s="158" t="str">
        <f>'Data- Refined'!A48</f>
        <v>TX</v>
      </c>
      <c r="B95" s="156">
        <f>'Data- Refined'!B48</f>
        <v>0</v>
      </c>
      <c r="C95" s="156">
        <f>'Data- Refined'!C48</f>
        <v>0</v>
      </c>
      <c r="D95" s="156">
        <f>'Data- Refined'!D48</f>
        <v>169</v>
      </c>
      <c r="E95" s="156">
        <f>'Data- Refined'!E48</f>
        <v>243</v>
      </c>
      <c r="F95" s="156">
        <f>'Data- Refined'!F48</f>
        <v>199</v>
      </c>
      <c r="G95" s="156">
        <f>'Data- Refined'!G48</f>
        <v>187</v>
      </c>
      <c r="H95" s="156">
        <f>'Data- Refined'!H48</f>
        <v>150</v>
      </c>
      <c r="I95" s="156">
        <f>'Data- Refined'!I48</f>
        <v>152</v>
      </c>
      <c r="J95" s="156">
        <f>'Data- Refined'!J48</f>
        <v>146</v>
      </c>
      <c r="K95" s="156">
        <f>'Data- Refined'!K48</f>
        <v>128</v>
      </c>
      <c r="L95" s="156">
        <f>'Data- Refined'!L48</f>
        <v>81</v>
      </c>
      <c r="M95" s="156">
        <f>'Data- Refined'!M48</f>
        <v>72</v>
      </c>
      <c r="N95" s="156">
        <f>'Data- Refined'!N48</f>
        <v>134</v>
      </c>
      <c r="O95" s="156">
        <f>'Data- Refined'!O48</f>
        <v>160</v>
      </c>
      <c r="P95" s="156">
        <f>'Data- Refined'!P48</f>
        <v>117</v>
      </c>
      <c r="Q95" s="156">
        <f>'Data- Refined'!Q48</f>
        <v>0</v>
      </c>
    </row>
    <row r="96" spans="1:17" x14ac:dyDescent="0.35">
      <c r="A96" s="158" t="str">
        <f>'Data- Refined'!A49</f>
        <v>UT</v>
      </c>
      <c r="B96" s="156">
        <f>'Data- Refined'!B49</f>
        <v>0</v>
      </c>
      <c r="C96" s="156">
        <f>'Data- Refined'!C49</f>
        <v>0</v>
      </c>
      <c r="D96" s="156">
        <f>'Data- Refined'!D49</f>
        <v>37</v>
      </c>
      <c r="E96" s="156">
        <f>'Data- Refined'!E49</f>
        <v>39</v>
      </c>
      <c r="F96" s="156">
        <f>'Data- Refined'!F49</f>
        <v>53</v>
      </c>
      <c r="G96" s="156">
        <f>'Data- Refined'!G49</f>
        <v>45</v>
      </c>
      <c r="H96" s="156">
        <f>'Data- Refined'!H49</f>
        <v>41</v>
      </c>
      <c r="I96" s="156">
        <f>'Data- Refined'!I49</f>
        <v>13</v>
      </c>
      <c r="J96" s="156">
        <f>'Data- Refined'!J49</f>
        <v>10</v>
      </c>
      <c r="K96" s="156">
        <f>'Data- Refined'!K49</f>
        <v>12</v>
      </c>
      <c r="L96" s="156">
        <f>'Data- Refined'!L49</f>
        <v>6</v>
      </c>
      <c r="M96" s="156">
        <f>'Data- Refined'!M49</f>
        <v>5</v>
      </c>
      <c r="N96" s="156">
        <f>'Data- Refined'!N49</f>
        <v>25</v>
      </c>
      <c r="O96" s="156">
        <f>'Data- Refined'!O49</f>
        <v>27</v>
      </c>
      <c r="P96" s="156">
        <f>'Data- Refined'!P49</f>
        <v>18</v>
      </c>
      <c r="Q96" s="156">
        <f>'Data- Refined'!Q49</f>
        <v>0</v>
      </c>
    </row>
    <row r="97" spans="1:17" x14ac:dyDescent="0.35">
      <c r="A97" s="158" t="str">
        <f>'Data- Refined'!A50</f>
        <v>VA</v>
      </c>
      <c r="B97" s="156">
        <f>'Data- Refined'!B50</f>
        <v>41</v>
      </c>
      <c r="C97" s="156">
        <f>'Data- Refined'!C50</f>
        <v>92</v>
      </c>
      <c r="D97" s="156">
        <f>'Data- Refined'!D50</f>
        <v>131</v>
      </c>
      <c r="E97" s="156">
        <f>'Data- Refined'!E50</f>
        <v>170</v>
      </c>
      <c r="F97" s="156">
        <f>'Data- Refined'!F50</f>
        <v>167</v>
      </c>
      <c r="G97" s="156">
        <f>'Data- Refined'!G50</f>
        <v>141</v>
      </c>
      <c r="H97" s="156">
        <f>'Data- Refined'!H50</f>
        <v>107</v>
      </c>
      <c r="I97" s="156">
        <f>'Data- Refined'!I50</f>
        <v>80</v>
      </c>
      <c r="J97" s="156">
        <f>'Data- Refined'!J50</f>
        <v>92</v>
      </c>
      <c r="K97" s="156">
        <f>'Data- Refined'!K50</f>
        <v>60</v>
      </c>
      <c r="L97" s="156">
        <f>'Data- Refined'!L50</f>
        <v>68</v>
      </c>
      <c r="M97" s="156">
        <f>'Data- Refined'!M50</f>
        <v>77</v>
      </c>
      <c r="N97" s="156">
        <f>'Data- Refined'!N50</f>
        <v>59</v>
      </c>
      <c r="O97" s="156">
        <f>'Data- Refined'!O50</f>
        <v>0</v>
      </c>
      <c r="P97" s="156">
        <f>'Data- Refined'!P50</f>
        <v>0</v>
      </c>
      <c r="Q97" s="156">
        <f>'Data- Refined'!Q50</f>
        <v>0</v>
      </c>
    </row>
    <row r="98" spans="1:17" x14ac:dyDescent="0.35">
      <c r="A98" s="158" t="str">
        <f>'Data- Refined'!A51</f>
        <v>VT</v>
      </c>
      <c r="B98" s="156">
        <f>'Data- Refined'!B51</f>
        <v>0</v>
      </c>
      <c r="C98" s="156">
        <f>'Data- Refined'!C51</f>
        <v>19</v>
      </c>
      <c r="D98" s="156">
        <f>'Data- Refined'!D51</f>
        <v>17</v>
      </c>
      <c r="E98" s="156">
        <f>'Data- Refined'!E51</f>
        <v>12</v>
      </c>
      <c r="F98" s="156">
        <f>'Data- Refined'!F51</f>
        <v>13</v>
      </c>
      <c r="G98" s="156">
        <f>'Data- Refined'!G51</f>
        <v>15</v>
      </c>
      <c r="H98" s="156">
        <f>'Data- Refined'!H51</f>
        <v>16</v>
      </c>
      <c r="I98" s="156">
        <f>'Data- Refined'!I51</f>
        <v>7</v>
      </c>
      <c r="J98" s="156">
        <f>'Data- Refined'!J51</f>
        <v>4</v>
      </c>
      <c r="K98" s="156">
        <f>'Data- Refined'!K51</f>
        <v>6</v>
      </c>
      <c r="L98" s="156">
        <f>'Data- Refined'!L51</f>
        <v>8</v>
      </c>
      <c r="M98" s="156">
        <f>'Data- Refined'!M51</f>
        <v>5</v>
      </c>
      <c r="N98" s="156">
        <f>'Data- Refined'!N51</f>
        <v>5</v>
      </c>
      <c r="O98" s="156">
        <f>'Data- Refined'!O51</f>
        <v>0</v>
      </c>
      <c r="P98" s="156">
        <f>'Data- Refined'!P51</f>
        <v>0</v>
      </c>
      <c r="Q98" s="156">
        <f>'Data- Refined'!Q51</f>
        <v>0</v>
      </c>
    </row>
    <row r="99" spans="1:17" x14ac:dyDescent="0.35">
      <c r="A99" s="158" t="str">
        <f>'Data- Refined'!A52</f>
        <v>WA</v>
      </c>
      <c r="B99" s="156">
        <f>'Data- Refined'!B52</f>
        <v>0</v>
      </c>
      <c r="C99" s="156">
        <f>'Data- Refined'!C52</f>
        <v>0</v>
      </c>
      <c r="D99" s="156">
        <f>'Data- Refined'!D52</f>
        <v>0</v>
      </c>
      <c r="E99" s="156">
        <f>'Data- Refined'!E52</f>
        <v>82</v>
      </c>
      <c r="F99" s="156">
        <f>'Data- Refined'!F52</f>
        <v>120</v>
      </c>
      <c r="G99" s="156">
        <f>'Data- Refined'!G52</f>
        <v>120</v>
      </c>
      <c r="H99" s="156">
        <f>'Data- Refined'!H52</f>
        <v>102</v>
      </c>
      <c r="I99" s="156">
        <f>'Data- Refined'!I52</f>
        <v>71</v>
      </c>
      <c r="J99" s="156">
        <f>'Data- Refined'!J52</f>
        <v>64</v>
      </c>
      <c r="K99" s="156">
        <f>'Data- Refined'!K52</f>
        <v>42</v>
      </c>
      <c r="L99" s="156">
        <f>'Data- Refined'!L52</f>
        <v>51</v>
      </c>
      <c r="M99" s="156">
        <f>'Data- Refined'!M52</f>
        <v>33</v>
      </c>
      <c r="N99" s="156">
        <f>'Data- Refined'!N52</f>
        <v>27</v>
      </c>
      <c r="O99" s="156">
        <f>'Data- Refined'!O52</f>
        <v>75</v>
      </c>
      <c r="P99" s="156">
        <f>'Data- Refined'!P52</f>
        <v>87</v>
      </c>
      <c r="Q99" s="156">
        <f>'Data- Refined'!Q52</f>
        <v>65</v>
      </c>
    </row>
    <row r="100" spans="1:17" x14ac:dyDescent="0.35">
      <c r="A100" s="158" t="str">
        <f>'Data- Refined'!A53</f>
        <v>WI</v>
      </c>
      <c r="B100" s="156">
        <f>'Data- Refined'!B53</f>
        <v>0</v>
      </c>
      <c r="C100" s="156">
        <f>'Data- Refined'!C53</f>
        <v>60</v>
      </c>
      <c r="D100" s="156">
        <f>'Data- Refined'!D53</f>
        <v>53</v>
      </c>
      <c r="E100" s="156">
        <f>'Data- Refined'!E53</f>
        <v>71</v>
      </c>
      <c r="F100" s="156">
        <f>'Data- Refined'!F53</f>
        <v>67</v>
      </c>
      <c r="G100" s="156">
        <f>'Data- Refined'!G53</f>
        <v>64</v>
      </c>
      <c r="H100" s="156">
        <f>'Data- Refined'!H53</f>
        <v>43</v>
      </c>
      <c r="I100" s="156">
        <f>'Data- Refined'!I53</f>
        <v>26</v>
      </c>
      <c r="J100" s="156">
        <f>'Data- Refined'!J53</f>
        <v>27</v>
      </c>
      <c r="K100" s="156">
        <f>'Data- Refined'!K53</f>
        <v>22</v>
      </c>
      <c r="L100" s="156">
        <f>'Data- Refined'!L53</f>
        <v>24</v>
      </c>
      <c r="M100" s="156">
        <f>'Data- Refined'!M53</f>
        <v>22</v>
      </c>
      <c r="N100" s="156">
        <f>'Data- Refined'!N53</f>
        <v>21</v>
      </c>
      <c r="O100" s="156">
        <f>'Data- Refined'!O53</f>
        <v>16</v>
      </c>
      <c r="P100" s="156">
        <f>'Data- Refined'!P53</f>
        <v>0</v>
      </c>
      <c r="Q100" s="156">
        <f>'Data- Refined'!Q53</f>
        <v>0</v>
      </c>
    </row>
    <row r="101" spans="1:17" x14ac:dyDescent="0.35">
      <c r="A101" s="158" t="str">
        <f>'Data- Refined'!A54</f>
        <v>WV</v>
      </c>
      <c r="B101" s="156">
        <f>'Data- Refined'!B54</f>
        <v>6</v>
      </c>
      <c r="C101" s="156">
        <f>'Data- Refined'!C54</f>
        <v>34</v>
      </c>
      <c r="D101" s="156">
        <f>'Data- Refined'!D54</f>
        <v>33</v>
      </c>
      <c r="E101" s="156">
        <f>'Data- Refined'!E54</f>
        <v>29</v>
      </c>
      <c r="F101" s="156">
        <f>'Data- Refined'!F54</f>
        <v>17</v>
      </c>
      <c r="G101" s="156">
        <f>'Data- Refined'!G54</f>
        <v>21</v>
      </c>
      <c r="H101" s="156">
        <f>'Data- Refined'!H54</f>
        <v>22</v>
      </c>
      <c r="I101" s="156">
        <f>'Data- Refined'!I54</f>
        <v>15</v>
      </c>
      <c r="J101" s="156">
        <f>'Data- Refined'!J54</f>
        <v>6</v>
      </c>
      <c r="K101" s="156">
        <f>'Data- Refined'!K54</f>
        <v>5</v>
      </c>
      <c r="L101" s="156">
        <f>'Data- Refined'!L54</f>
        <v>14</v>
      </c>
      <c r="M101" s="156">
        <f>'Data- Refined'!M54</f>
        <v>11</v>
      </c>
      <c r="N101" s="156">
        <f>'Data- Refined'!N54</f>
        <v>8</v>
      </c>
      <c r="O101" s="156">
        <f>'Data- Refined'!O54</f>
        <v>0</v>
      </c>
      <c r="P101" s="156">
        <f>'Data- Refined'!P54</f>
        <v>0</v>
      </c>
      <c r="Q101" s="156">
        <f>'Data- Refined'!Q54</f>
        <v>0</v>
      </c>
    </row>
    <row r="102" spans="1:17" x14ac:dyDescent="0.35">
      <c r="A102" s="158" t="str">
        <f>'Data- Refined'!A55</f>
        <v>WY</v>
      </c>
      <c r="B102" s="156">
        <f>'Data- Refined'!B55</f>
        <v>0</v>
      </c>
      <c r="C102" s="156">
        <f>'Data- Refined'!C55</f>
        <v>0</v>
      </c>
      <c r="D102" s="156">
        <f>'Data- Refined'!D55</f>
        <v>18</v>
      </c>
      <c r="E102" s="156">
        <f>'Data- Refined'!E55</f>
        <v>17</v>
      </c>
      <c r="F102" s="156">
        <f>'Data- Refined'!F55</f>
        <v>16</v>
      </c>
      <c r="G102" s="156">
        <f>'Data- Refined'!G55</f>
        <v>12</v>
      </c>
      <c r="H102" s="156">
        <f>'Data- Refined'!H55</f>
        <v>10</v>
      </c>
      <c r="I102" s="156">
        <f>'Data- Refined'!I55</f>
        <v>11</v>
      </c>
      <c r="J102" s="156">
        <f>'Data- Refined'!J55</f>
        <v>9</v>
      </c>
      <c r="K102" s="156">
        <f>'Data- Refined'!K55</f>
        <v>5</v>
      </c>
      <c r="L102" s="156">
        <f>'Data- Refined'!L55</f>
        <v>2</v>
      </c>
      <c r="M102" s="156">
        <f>'Data- Refined'!M55</f>
        <v>6</v>
      </c>
      <c r="N102" s="156">
        <f>'Data- Refined'!N55</f>
        <v>6</v>
      </c>
      <c r="O102" s="156">
        <f>'Data- Refined'!O55</f>
        <v>10</v>
      </c>
      <c r="P102" s="156">
        <f>'Data- Refined'!P55</f>
        <v>7</v>
      </c>
      <c r="Q102" s="156">
        <f>'Data- Refined'!Q55</f>
        <v>0</v>
      </c>
    </row>
    <row r="103" spans="1:17" x14ac:dyDescent="0.35">
      <c r="A103" s="158" t="str">
        <f>'Data- Refined'!A56</f>
        <v>Totals</v>
      </c>
      <c r="B103" s="156">
        <f>'Data- Refined'!B56</f>
        <v>521</v>
      </c>
      <c r="C103" s="156">
        <f>'Data- Refined'!C56</f>
        <v>2347</v>
      </c>
      <c r="D103" s="156">
        <f>'Data- Refined'!D56</f>
        <v>3383</v>
      </c>
      <c r="E103" s="156">
        <f>'Data- Refined'!E56</f>
        <v>4363</v>
      </c>
      <c r="F103" s="156">
        <f>'Data- Refined'!F56</f>
        <v>4392</v>
      </c>
      <c r="G103" s="156">
        <f>'Data- Refined'!G56</f>
        <v>4019</v>
      </c>
      <c r="H103" s="156">
        <f>'Data- Refined'!H56</f>
        <v>3180</v>
      </c>
      <c r="I103" s="156">
        <f>'Data- Refined'!I56</f>
        <v>2636</v>
      </c>
      <c r="J103" s="156">
        <f>'Data- Refined'!J56</f>
        <v>2399</v>
      </c>
      <c r="K103" s="156">
        <f>'Data- Refined'!K56</f>
        <v>1853</v>
      </c>
      <c r="L103" s="156">
        <f>'Data- Refined'!L56</f>
        <v>1879</v>
      </c>
      <c r="M103" s="156">
        <f>'Data- Refined'!M56</f>
        <v>1939</v>
      </c>
      <c r="N103" s="156">
        <f>'Data- Refined'!N56</f>
        <v>1938</v>
      </c>
      <c r="O103" s="156">
        <f>'Data- Refined'!O56</f>
        <v>1541</v>
      </c>
      <c r="P103" s="156">
        <f>'Data- Refined'!P56</f>
        <v>1298</v>
      </c>
      <c r="Q103" s="156">
        <f>'Data- Refined'!Q56</f>
        <v>592</v>
      </c>
    </row>
  </sheetData>
  <conditionalFormatting sqref="B7:Q7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8:Q8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9:Q9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10:Q10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0" tint="-0.14999847407452621"/>
  </sheetPr>
  <dimension ref="A1:DH57"/>
  <sheetViews>
    <sheetView topLeftCell="CZ1" zoomScale="80" zoomScaleNormal="80" workbookViewId="0">
      <selection activeCell="Q5" sqref="Q5"/>
    </sheetView>
  </sheetViews>
  <sheetFormatPr defaultRowHeight="14.5" x14ac:dyDescent="0.35"/>
  <cols>
    <col min="1" max="1" width="16" bestFit="1" customWidth="1"/>
    <col min="2" max="7" width="3.54296875" style="2" customWidth="1"/>
    <col min="8" max="18" width="4.453125" style="2" bestFit="1" customWidth="1"/>
    <col min="19" max="25" width="3.54296875" style="2" customWidth="1"/>
    <col min="26" max="26" width="5.36328125" bestFit="1" customWidth="1"/>
    <col min="28" max="28" width="9.08984375" customWidth="1"/>
    <col min="29" max="40" width="4.453125" customWidth="1"/>
    <col min="41" max="41" width="5.36328125" bestFit="1" customWidth="1"/>
    <col min="42" max="53" width="4.453125" customWidth="1"/>
    <col min="54" max="54" width="5.36328125" bestFit="1" customWidth="1"/>
    <col min="59" max="70" width="4.453125" customWidth="1"/>
    <col min="71" max="71" width="5.36328125" bestFit="1" customWidth="1"/>
    <col min="72" max="83" width="4.453125" customWidth="1"/>
    <col min="84" max="84" width="5.36328125" bestFit="1" customWidth="1"/>
    <col min="85" max="86" width="5.36328125" customWidth="1"/>
    <col min="87" max="87" width="4.08984375" style="9" customWidth="1"/>
    <col min="88" max="88" width="4.08984375" customWidth="1"/>
    <col min="89" max="89" width="4.36328125" customWidth="1"/>
    <col min="90" max="90" width="4.08984375" customWidth="1"/>
    <col min="91" max="91" width="4.36328125" customWidth="1"/>
    <col min="92" max="103" width="4.08984375" customWidth="1"/>
    <col min="104" max="104" width="5.36328125" bestFit="1" customWidth="1"/>
    <col min="107" max="107" width="4.36328125" customWidth="1"/>
    <col min="108" max="108" width="9.54296875" style="81" customWidth="1"/>
    <col min="109" max="109" width="9.90625" style="81" customWidth="1"/>
    <col min="110" max="110" width="3.90625" customWidth="1"/>
    <col min="111" max="112" width="3.6328125" customWidth="1"/>
  </cols>
  <sheetData>
    <row r="1" spans="1:112" x14ac:dyDescent="0.35">
      <c r="A1" s="40"/>
      <c r="B1" s="45" t="s">
        <v>0</v>
      </c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1"/>
    </row>
    <row r="2" spans="1:112" x14ac:dyDescent="0.35">
      <c r="A2" s="40"/>
      <c r="B2" s="244" t="s">
        <v>128</v>
      </c>
      <c r="C2" s="245"/>
      <c r="D2" s="245"/>
      <c r="E2" s="245"/>
      <c r="F2" s="245"/>
      <c r="G2" s="245"/>
      <c r="H2" s="245"/>
      <c r="I2" s="245"/>
      <c r="J2" s="245"/>
      <c r="K2" s="245"/>
      <c r="L2" s="245"/>
      <c r="M2" s="245"/>
      <c r="N2" s="245"/>
      <c r="O2" s="245"/>
      <c r="P2" s="245"/>
      <c r="Q2" s="245"/>
      <c r="R2" s="245"/>
      <c r="S2" s="245"/>
      <c r="T2" s="245"/>
      <c r="U2" s="245"/>
      <c r="V2" s="245"/>
      <c r="W2" s="245"/>
      <c r="X2" s="245"/>
      <c r="Y2" s="246"/>
      <c r="Z2" s="1"/>
      <c r="AC2" s="247" t="s">
        <v>127</v>
      </c>
      <c r="AD2" s="247"/>
      <c r="AE2" s="247"/>
      <c r="AF2" s="247"/>
      <c r="AG2" s="247"/>
      <c r="AH2" s="247"/>
      <c r="AI2" s="247"/>
      <c r="AJ2" s="247"/>
      <c r="AK2" s="247"/>
      <c r="AL2" s="247"/>
      <c r="AM2" s="247"/>
      <c r="AN2" s="247"/>
      <c r="AO2" s="247"/>
      <c r="AP2" s="247"/>
      <c r="AQ2" s="247"/>
      <c r="AR2" s="247"/>
      <c r="AS2" s="247"/>
      <c r="AT2" s="247"/>
      <c r="AU2" s="247"/>
      <c r="AV2" s="247"/>
      <c r="AW2" s="247"/>
      <c r="AX2" s="247"/>
      <c r="AY2" s="247"/>
      <c r="AZ2" s="247"/>
      <c r="BA2" s="247"/>
      <c r="BB2" s="247"/>
      <c r="BG2" s="247" t="s">
        <v>176</v>
      </c>
      <c r="BH2" s="247"/>
      <c r="BI2" s="247"/>
      <c r="BJ2" s="247"/>
      <c r="BK2" s="247"/>
      <c r="BL2" s="247"/>
      <c r="BM2" s="247"/>
      <c r="BN2" s="247"/>
      <c r="BO2" s="247"/>
      <c r="BP2" s="247"/>
      <c r="BQ2" s="247"/>
      <c r="BR2" s="247"/>
      <c r="BS2" s="247"/>
      <c r="BT2" s="247"/>
      <c r="BU2" s="247"/>
      <c r="BV2" s="247"/>
      <c r="BW2" s="247"/>
      <c r="BX2" s="247"/>
      <c r="BY2" s="247"/>
      <c r="BZ2" s="247"/>
      <c r="CA2" s="247"/>
      <c r="CB2" s="247"/>
      <c r="CC2" s="247"/>
      <c r="CD2" s="247"/>
      <c r="CE2" s="247"/>
      <c r="CF2" s="247"/>
      <c r="CG2" s="131"/>
      <c r="CI2" s="128" t="s">
        <v>129</v>
      </c>
      <c r="CJ2" s="129"/>
      <c r="CK2" s="129"/>
      <c r="CL2" s="129"/>
      <c r="CM2" s="129"/>
      <c r="CN2" s="129"/>
      <c r="CO2" s="129"/>
      <c r="CP2" s="129"/>
      <c r="CQ2" s="129"/>
      <c r="CR2" s="129"/>
      <c r="CS2" s="129"/>
      <c r="CT2" s="129"/>
      <c r="CU2" s="129"/>
      <c r="CV2" s="129"/>
      <c r="CW2" s="129"/>
      <c r="CX2" s="129"/>
      <c r="CY2" s="129"/>
      <c r="CZ2" s="130"/>
      <c r="DC2" s="248" t="s">
        <v>130</v>
      </c>
      <c r="DD2" s="248"/>
      <c r="DE2" s="248"/>
      <c r="DF2" s="248"/>
      <c r="DG2" s="248"/>
    </row>
    <row r="3" spans="1:112" ht="91" x14ac:dyDescent="0.35">
      <c r="A3" s="42" t="s">
        <v>3</v>
      </c>
      <c r="B3" s="11" t="s">
        <v>98</v>
      </c>
      <c r="C3" s="11" t="s">
        <v>99</v>
      </c>
      <c r="D3" s="11" t="s">
        <v>100</v>
      </c>
      <c r="E3" s="11" t="s">
        <v>101</v>
      </c>
      <c r="F3" s="11" t="s">
        <v>4</v>
      </c>
      <c r="G3" s="11" t="s">
        <v>1</v>
      </c>
      <c r="H3" s="11" t="s">
        <v>5</v>
      </c>
      <c r="I3" s="11" t="s">
        <v>6</v>
      </c>
      <c r="J3" s="11" t="s">
        <v>7</v>
      </c>
      <c r="K3" s="11" t="s">
        <v>8</v>
      </c>
      <c r="L3" s="11" t="s">
        <v>9</v>
      </c>
      <c r="M3" s="11" t="s">
        <v>10</v>
      </c>
      <c r="N3" s="11" t="s">
        <v>11</v>
      </c>
      <c r="O3" s="11" t="s">
        <v>12</v>
      </c>
      <c r="P3" s="11" t="s">
        <v>13</v>
      </c>
      <c r="Q3" s="11" t="s">
        <v>14</v>
      </c>
      <c r="R3" s="11" t="s">
        <v>2</v>
      </c>
      <c r="S3" s="11" t="s">
        <v>15</v>
      </c>
      <c r="T3" s="11" t="s">
        <v>16</v>
      </c>
      <c r="U3" s="11" t="s">
        <v>17</v>
      </c>
      <c r="V3" s="11" t="s">
        <v>18</v>
      </c>
      <c r="W3" s="11" t="s">
        <v>102</v>
      </c>
      <c r="X3" s="11" t="s">
        <v>103</v>
      </c>
      <c r="Y3" s="11" t="s">
        <v>104</v>
      </c>
      <c r="Z3" s="41" t="s">
        <v>111</v>
      </c>
      <c r="AA3">
        <v>117</v>
      </c>
      <c r="AB3">
        <f>AK8-AA3-I8</f>
        <v>-117</v>
      </c>
      <c r="AC3" s="42" t="s">
        <v>3</v>
      </c>
      <c r="AD3" s="41">
        <v>0</v>
      </c>
      <c r="AE3" s="41">
        <v>1</v>
      </c>
      <c r="AF3" s="41">
        <v>2</v>
      </c>
      <c r="AG3" s="41">
        <v>3</v>
      </c>
      <c r="AH3" s="41">
        <v>4</v>
      </c>
      <c r="AI3" s="41">
        <v>5</v>
      </c>
      <c r="AJ3" s="41">
        <v>6</v>
      </c>
      <c r="AK3" s="41">
        <v>7</v>
      </c>
      <c r="AL3" s="41">
        <v>8</v>
      </c>
      <c r="AM3" s="41">
        <v>9</v>
      </c>
      <c r="AN3" s="41">
        <v>10</v>
      </c>
      <c r="AO3" s="41">
        <v>11</v>
      </c>
      <c r="AP3" s="41">
        <v>12</v>
      </c>
      <c r="AQ3" s="41">
        <v>13</v>
      </c>
      <c r="AR3" s="41">
        <v>14</v>
      </c>
      <c r="AS3" s="41">
        <v>15</v>
      </c>
      <c r="AT3" s="41">
        <v>16</v>
      </c>
      <c r="AU3" s="41">
        <v>17</v>
      </c>
      <c r="AV3" s="41">
        <v>18</v>
      </c>
      <c r="AW3" s="41">
        <v>19</v>
      </c>
      <c r="AX3" s="41">
        <v>20</v>
      </c>
      <c r="AY3" s="41">
        <v>21</v>
      </c>
      <c r="AZ3" s="41">
        <v>22</v>
      </c>
      <c r="BA3" s="41">
        <v>23</v>
      </c>
      <c r="BB3" s="41" t="s">
        <v>111</v>
      </c>
      <c r="BG3" s="42" t="s">
        <v>3</v>
      </c>
      <c r="BH3" s="41">
        <v>0</v>
      </c>
      <c r="BI3" s="41">
        <v>1</v>
      </c>
      <c r="BJ3" s="41">
        <v>2</v>
      </c>
      <c r="BK3" s="41">
        <v>3</v>
      </c>
      <c r="BL3" s="41">
        <v>4</v>
      </c>
      <c r="BM3" s="41">
        <v>5</v>
      </c>
      <c r="BN3" s="41">
        <v>6</v>
      </c>
      <c r="BO3" s="41">
        <v>7</v>
      </c>
      <c r="BP3" s="41">
        <v>8</v>
      </c>
      <c r="BQ3" s="41">
        <v>9</v>
      </c>
      <c r="BR3" s="41">
        <v>10</v>
      </c>
      <c r="BS3" s="41">
        <v>11</v>
      </c>
      <c r="BT3" s="41">
        <v>12</v>
      </c>
      <c r="BU3" s="41">
        <v>13</v>
      </c>
      <c r="BV3" s="41">
        <v>14</v>
      </c>
      <c r="BW3" s="41">
        <v>15</v>
      </c>
      <c r="BX3" s="41">
        <v>16</v>
      </c>
      <c r="BY3" s="41">
        <v>17</v>
      </c>
      <c r="BZ3" s="41">
        <v>18</v>
      </c>
      <c r="CA3" s="41">
        <v>19</v>
      </c>
      <c r="CB3" s="41">
        <v>20</v>
      </c>
      <c r="CC3" s="41">
        <v>21</v>
      </c>
      <c r="CD3" s="41">
        <v>22</v>
      </c>
      <c r="CE3" s="41">
        <v>23</v>
      </c>
      <c r="CF3" s="41" t="s">
        <v>111</v>
      </c>
      <c r="CG3" s="41"/>
      <c r="CI3" s="44" t="s">
        <v>3</v>
      </c>
      <c r="CJ3" s="44" t="s">
        <v>148</v>
      </c>
      <c r="CK3" s="44" t="s">
        <v>85</v>
      </c>
      <c r="CL3" s="44" t="s">
        <v>86</v>
      </c>
      <c r="CM3" s="44" t="s">
        <v>87</v>
      </c>
      <c r="CN3" s="44" t="s">
        <v>88</v>
      </c>
      <c r="CO3" s="44" t="s">
        <v>89</v>
      </c>
      <c r="CP3" s="44" t="s">
        <v>90</v>
      </c>
      <c r="CQ3" s="44" t="s">
        <v>91</v>
      </c>
      <c r="CR3" s="44" t="s">
        <v>92</v>
      </c>
      <c r="CS3" s="44" t="s">
        <v>93</v>
      </c>
      <c r="CT3" s="44" t="s">
        <v>94</v>
      </c>
      <c r="CU3" s="44" t="s">
        <v>95</v>
      </c>
      <c r="CV3" s="44" t="s">
        <v>96</v>
      </c>
      <c r="CW3" s="44" t="s">
        <v>97</v>
      </c>
      <c r="CX3" s="44" t="s">
        <v>178</v>
      </c>
      <c r="CY3" s="44" t="s">
        <v>150</v>
      </c>
      <c r="CZ3" s="92" t="s">
        <v>111</v>
      </c>
      <c r="DC3" s="87" t="s">
        <v>121</v>
      </c>
      <c r="DD3" s="87" t="str">
        <f>FTC!E2</f>
        <v>Daily Till(in PST)</v>
      </c>
      <c r="DE3" s="87" t="str">
        <f>FTC!F2</f>
        <v>Daily From(in PST)</v>
      </c>
      <c r="DF3" s="87" t="s">
        <v>131</v>
      </c>
      <c r="DG3" s="87" t="s">
        <v>132</v>
      </c>
      <c r="DH3" s="87" t="s">
        <v>175</v>
      </c>
    </row>
    <row r="4" spans="1:112" x14ac:dyDescent="0.35">
      <c r="A4" s="43" t="s">
        <v>19</v>
      </c>
      <c r="B4" s="6"/>
      <c r="C4" s="6"/>
      <c r="D4" s="6"/>
      <c r="E4" s="6"/>
      <c r="F4" s="47">
        <v>1</v>
      </c>
      <c r="G4" s="47">
        <v>2</v>
      </c>
      <c r="H4" s="47">
        <v>1</v>
      </c>
      <c r="I4" s="47">
        <v>1</v>
      </c>
      <c r="J4" s="47">
        <v>5</v>
      </c>
      <c r="K4" s="47">
        <v>6</v>
      </c>
      <c r="L4" s="6"/>
      <c r="M4" s="47">
        <v>4</v>
      </c>
      <c r="N4" s="47">
        <v>3</v>
      </c>
      <c r="O4" s="47">
        <v>2</v>
      </c>
      <c r="P4" s="47">
        <v>2</v>
      </c>
      <c r="Q4" s="47">
        <v>3</v>
      </c>
      <c r="R4" s="47">
        <v>1</v>
      </c>
      <c r="S4" s="47">
        <v>1</v>
      </c>
      <c r="T4" s="47">
        <v>1</v>
      </c>
      <c r="U4" s="6"/>
      <c r="V4" s="6"/>
      <c r="W4" s="6"/>
      <c r="X4" s="6"/>
      <c r="Y4" s="6"/>
      <c r="Z4" s="47">
        <f>SUM(B4:Y4)</f>
        <v>33</v>
      </c>
      <c r="AC4" s="43" t="s">
        <v>19</v>
      </c>
      <c r="AD4" s="47"/>
      <c r="AE4" s="47"/>
      <c r="AF4" s="47"/>
      <c r="AG4" s="47"/>
      <c r="AH4" s="47"/>
      <c r="AI4" s="47"/>
      <c r="AJ4" s="47"/>
      <c r="AK4" s="47"/>
      <c r="AL4" s="47"/>
      <c r="AM4" s="47"/>
      <c r="AN4" s="47"/>
      <c r="AO4" s="47"/>
      <c r="AP4" s="47"/>
      <c r="AQ4" s="47"/>
      <c r="AR4" s="47"/>
      <c r="AS4" s="47"/>
      <c r="AT4" s="47"/>
      <c r="AU4" s="47"/>
      <c r="AV4" s="47"/>
      <c r="AW4" s="47"/>
      <c r="AX4" s="47"/>
      <c r="AY4" s="47"/>
      <c r="AZ4" s="47"/>
      <c r="BA4" s="47"/>
      <c r="BB4" s="47">
        <f>SUM(AD4:BA4)</f>
        <v>0</v>
      </c>
      <c r="BD4" t="b">
        <f>IF(Z4=BB4,TRUE,FALSE)</f>
        <v>0</v>
      </c>
      <c r="BG4" s="43" t="s">
        <v>19</v>
      </c>
      <c r="BH4" s="47"/>
      <c r="BI4" s="47"/>
      <c r="BJ4" s="47"/>
      <c r="BK4" s="47"/>
      <c r="BL4" s="47"/>
      <c r="BM4" s="47"/>
      <c r="BN4" s="47"/>
      <c r="BO4" s="47"/>
      <c r="BP4" s="47"/>
      <c r="BQ4" s="47"/>
      <c r="BR4" s="47"/>
      <c r="BS4" s="47"/>
      <c r="BT4" s="47"/>
      <c r="BU4" s="47"/>
      <c r="BV4" s="47"/>
      <c r="BW4" s="47"/>
      <c r="BX4" s="47"/>
      <c r="BY4" s="47"/>
      <c r="BZ4" s="47"/>
      <c r="CA4" s="47"/>
      <c r="CB4" s="47"/>
      <c r="CC4" s="47"/>
      <c r="CD4" s="47"/>
      <c r="CE4" s="47"/>
      <c r="CF4" s="47">
        <f>SUM(BH4:CE4)</f>
        <v>0</v>
      </c>
      <c r="CG4" s="47"/>
      <c r="CI4" s="10" t="s">
        <v>19</v>
      </c>
      <c r="CJ4" s="10">
        <v>5</v>
      </c>
      <c r="CK4" s="10">
        <v>6</v>
      </c>
      <c r="CL4" s="10">
        <v>7</v>
      </c>
      <c r="CM4" s="10">
        <v>8</v>
      </c>
      <c r="CN4" s="10">
        <v>9</v>
      </c>
      <c r="CO4" s="10">
        <v>10</v>
      </c>
      <c r="CP4" s="10">
        <v>11</v>
      </c>
      <c r="CQ4" s="10">
        <v>12</v>
      </c>
      <c r="CR4" s="10">
        <v>13</v>
      </c>
      <c r="CS4" s="10">
        <v>14</v>
      </c>
      <c r="CT4" s="10">
        <v>15</v>
      </c>
      <c r="CU4" s="10">
        <v>16</v>
      </c>
      <c r="CV4" s="10">
        <v>17</v>
      </c>
      <c r="CW4" s="10">
        <v>18</v>
      </c>
      <c r="CX4" s="10">
        <v>19</v>
      </c>
      <c r="CY4" s="10">
        <v>20</v>
      </c>
      <c r="CZ4" s="47"/>
      <c r="DC4" s="88"/>
      <c r="DD4" s="89"/>
      <c r="DE4" s="89"/>
      <c r="DF4" s="88"/>
      <c r="DG4" s="88"/>
      <c r="DH4" s="88"/>
    </row>
    <row r="5" spans="1:112" ht="15" customHeight="1" x14ac:dyDescent="0.35">
      <c r="A5" s="43" t="s">
        <v>20</v>
      </c>
      <c r="B5" s="47">
        <v>2</v>
      </c>
      <c r="C5" s="47">
        <v>2</v>
      </c>
      <c r="D5" s="6"/>
      <c r="E5" s="47">
        <v>1</v>
      </c>
      <c r="F5" s="47">
        <v>1</v>
      </c>
      <c r="G5" s="47">
        <v>2</v>
      </c>
      <c r="H5" s="47">
        <v>14</v>
      </c>
      <c r="I5" s="47">
        <v>9</v>
      </c>
      <c r="J5" s="47">
        <v>16</v>
      </c>
      <c r="K5" s="47">
        <v>13</v>
      </c>
      <c r="L5" s="47">
        <v>10</v>
      </c>
      <c r="M5" s="47">
        <v>8</v>
      </c>
      <c r="N5" s="47">
        <v>6</v>
      </c>
      <c r="O5" s="47">
        <v>8</v>
      </c>
      <c r="P5" s="47">
        <v>6</v>
      </c>
      <c r="Q5" s="47">
        <v>5</v>
      </c>
      <c r="R5" s="47">
        <v>4</v>
      </c>
      <c r="S5" s="47">
        <v>4</v>
      </c>
      <c r="T5" s="47">
        <v>1</v>
      </c>
      <c r="U5" s="47">
        <v>2</v>
      </c>
      <c r="V5" s="6"/>
      <c r="W5" s="47">
        <v>7</v>
      </c>
      <c r="X5" s="47">
        <v>3</v>
      </c>
      <c r="Y5" s="47">
        <v>4</v>
      </c>
      <c r="Z5" s="47">
        <f t="shared" ref="Z5:Z56" si="0">SUM(B5:Y5)</f>
        <v>128</v>
      </c>
      <c r="AC5" s="43" t="s">
        <v>20</v>
      </c>
      <c r="AD5" s="47">
        <f>ROUND(IF(AD$3&lt;$DF5,0,
IF(AD$3=$DF5+'Model Setup'!$B$7,SUMIF($AD$3:$BA$3,"="&amp;$DF5+'Model Setup'!$B$7,$B5:$Y5)+'Model Setup'!$B$8*(SUMIF($AD$3:$BA$3,"&lt;"&amp;$DF5,$B5:$Y5)+SUMIF($AD$3:$BA$3,"&gt;="&amp;$DG5,$B5:$Y5)),
IF(AD$3=$DF5+'Model Setup'!$C$7,SUMIF($AD$3:$BA$3,"="&amp;$DF5+'Model Setup'!$C$7,$B5:$Y5)+'Model Setup'!$C$8*(SUMIF($AD$3:$BA$3,"&lt;"&amp;$DF5,$B5:$Y5)+SUMIF($AD$3:$BA$3,"&gt;="&amp;$DG5,$B5:$Y5)),
IF(AD$3=$DF5+'Model Setup'!$D$7,SUMIF($AD$3:$BA$3,"="&amp;$DF5+'Model Setup'!$D$7,$B5:$Y5)+'Model Setup'!$D$8*(SUMIF($AD$3:$BA$3,"&lt;"&amp;$DF5,$B5:$Y5)+SUMIF($AD$3:$BA$3,"&gt;="&amp;$DG5,$B5:$Y5)),
IF(AD$3=$DF5+'Model Setup'!$E$7,SUMIF($AD$3:$BA$3,"="&amp;$DF5+'Model Setup'!$E$7,$B5:$Y5)+'Model Setup'!$E$8*(SUMIF($AD$3:$BA$3,"&lt;"&amp;$DF5,$B5:$Y5)+SUMIF($AD$3:$BA$3,"&gt;="&amp;$DG5,$B5:$Y5)),
IF(AD$3=$DF5+'Model Setup'!$F$7,SUMIF($AD$3:$BA$3,"="&amp;$DF5+'Model Setup'!$F$7,$B5:$Y5)+'Model Setup'!$F$8*(SUMIF($AD$3:$BA$3,"&lt;"&amp;$DF5,$B5:$Y5)+SUMIF($AD$3:$BA$3,"&gt;="&amp;$DG5,$B5:$Y5)),
IF(AD$3=$DF5+'Model Setup'!$G$7,SUMIF($AD$3:$BA$3,"="&amp;$DF5+'Model Setup'!$G$7,$B5:$Y5)+'Model Setup'!$G$8*(SUMIF($AD$3:$BA$3,"&lt;"&amp;$DF5,$B5:$Y5)+SUMIF($AD$3:$BA$3,"&gt;="&amp;$DG5,$B5:$Y5)),
IF(AD$3=$DF5+'Model Setup'!$H$7,SUMIF($AD$3:$BA$3,"="&amp;$DF5+'Model Setup'!$H$7,$B5:$Y5)+'Model Setup'!$H$8*(SUMIF($AD$3:$BA$3,"&lt;"&amp;$DF5,$B5:$Y5)+SUMIF($AD$3:$BA$3,"&gt;="&amp;$DG5,$B5:$Y5)),
IF(AD$3=$DF5+'Model Setup'!$I$7,SUMIF($AD$3:$BA$3,"="&amp;$DF5+'Model Setup'!$I$7,$B5:$Y5)+'Model Setup'!$I$8*(SUMIF($AD$3:$BA$3,"&lt;"&amp;$DF5,$B5:$Y5)+SUMIF($AD$3:$BA$3,"&gt;="&amp;$DG5,$B5:$Y5)),
IF(AD$3=$DF5+'Model Setup'!$J$7,SUMIF($AD$3:$BA$3,"="&amp;$DF5+'Model Setup'!$J$7,$B5:$Y5)+'Model Setup'!$J$8*(SUMIF($AD$3:$BA$3,"&lt;"&amp;$DF5,$B5:$Y5)+SUMIF($AD$3:$BA$3,"&gt;="&amp;$DG5,$B5:$Y5)),
IF(AD$3=$DF5+'Model Setup'!$K$7,SUMIF($AD$3:$BA$3,"="&amp;$DF5+'Model Setup'!$K$7,$B5:$Y5)+'Model Setup'!$K$8*(SUMIF($AD$3:$BA$3,"&lt;"&amp;$DF5,$B5:$Y5)+SUMIF($AD$3:$BA$3,"&gt;="&amp;$DG5,$B5:$Y5)),
IF(AD$3=$DF5+'Model Setup'!$L$7,SUMIF($AD$3:$BA$3,"="&amp;$DF5+'Model Setup'!$L$7,$B5:$Y5)+'Model Setup'!$L$8*(SUMIF($AD$3:$BA$3,"&lt;"&amp;$DF5,$B5:$Y5)+SUMIF($AD$3:$BA$3,"&gt;="&amp;$DG5,$B5:$Y5)),
IF(AD$3=$DF5+'Model Setup'!$M$7,SUMIF($AD$3:$BA$3,"="&amp;$DF5+'Model Setup'!$M$7,$B5:$Y5)+'Model Setup'!$M$8*(SUMIF($AD$3:$BA$3,"&lt;"&amp;$DF5,$B5:$Y5)+SUMIF($AD$3:$BA$3,"&gt;="&amp;$DG5,$B5:$Y5)),
IF(AD$3=$DF5+'Model Setup'!$N$7,SUMIF($AD$3:$BA$3,"="&amp;$DF5+'Model Setup'!$N$7,$B5:$Y5)+'Model Setup'!$N$8*(SUMIF($AD$3:$BA$3,"&lt;"&amp;$DF5,$B5:$Y5)+SUMIF($AD$3:$BA$3,"&gt;="&amp;$DG5,$B5:$Y5)),
IF(AD$3&lt;$DG5,B5,0))))))))))))))),0)</f>
        <v>0</v>
      </c>
      <c r="AE5" s="47">
        <f>ROUND(IF(AE$3&lt;$DF5,0,
IF(AE$3=$DF5+'Model Setup'!$B$7,SUMIF($AD$3:$BA$3,"="&amp;$DF5+'Model Setup'!$B$7,$B5:$Y5)+'Model Setup'!$B$8*(SUMIF($AD$3:$BA$3,"&lt;"&amp;$DF5,$B5:$Y5)+SUMIF($AD$3:$BA$3,"&gt;="&amp;$DG5,$B5:$Y5)),
IF(AE$3=$DF5+'Model Setup'!$C$7,SUMIF($AD$3:$BA$3,"="&amp;$DF5+'Model Setup'!$C$7,$B5:$Y5)+'Model Setup'!$C$8*(SUMIF($AD$3:$BA$3,"&lt;"&amp;$DF5,$B5:$Y5)+SUMIF($AD$3:$BA$3,"&gt;="&amp;$DG5,$B5:$Y5)),
IF(AE$3=$DF5+'Model Setup'!$D$7,SUMIF($AD$3:$BA$3,"="&amp;$DF5+'Model Setup'!$D$7,$B5:$Y5)+'Model Setup'!$D$8*(SUMIF($AD$3:$BA$3,"&lt;"&amp;$DF5,$B5:$Y5)+SUMIF($AD$3:$BA$3,"&gt;="&amp;$DG5,$B5:$Y5)),
IF(AE$3=$DF5+'Model Setup'!$E$7,SUMIF($AD$3:$BA$3,"="&amp;$DF5+'Model Setup'!$E$7,$B5:$Y5)+'Model Setup'!$E$8*(SUMIF($AD$3:$BA$3,"&lt;"&amp;$DF5,$B5:$Y5)+SUMIF($AD$3:$BA$3,"&gt;="&amp;$DG5,$B5:$Y5)),
IF(AE$3=$DF5+'Model Setup'!$F$7,SUMIF($AD$3:$BA$3,"="&amp;$DF5+'Model Setup'!$F$7,$B5:$Y5)+'Model Setup'!$F$8*(SUMIF($AD$3:$BA$3,"&lt;"&amp;$DF5,$B5:$Y5)+SUMIF($AD$3:$BA$3,"&gt;="&amp;$DG5,$B5:$Y5)),
IF(AE$3=$DF5+'Model Setup'!$G$7,SUMIF($AD$3:$BA$3,"="&amp;$DF5+'Model Setup'!$G$7,$B5:$Y5)+'Model Setup'!$G$8*(SUMIF($AD$3:$BA$3,"&lt;"&amp;$DF5,$B5:$Y5)+SUMIF($AD$3:$BA$3,"&gt;="&amp;$DG5,$B5:$Y5)),
IF(AE$3=$DF5+'Model Setup'!$H$7,SUMIF($AD$3:$BA$3,"="&amp;$DF5+'Model Setup'!$H$7,$B5:$Y5)+'Model Setup'!$H$8*(SUMIF($AD$3:$BA$3,"&lt;"&amp;$DF5,$B5:$Y5)+SUMIF($AD$3:$BA$3,"&gt;="&amp;$DG5,$B5:$Y5)),
IF(AE$3=$DF5+'Model Setup'!$I$7,SUMIF($AD$3:$BA$3,"="&amp;$DF5+'Model Setup'!$I$7,$B5:$Y5)+'Model Setup'!$I$8*(SUMIF($AD$3:$BA$3,"&lt;"&amp;$DF5,$B5:$Y5)+SUMIF($AD$3:$BA$3,"&gt;="&amp;$DG5,$B5:$Y5)),
IF(AE$3=$DF5+'Model Setup'!$J$7,SUMIF($AD$3:$BA$3,"="&amp;$DF5+'Model Setup'!$J$7,$B5:$Y5)+'Model Setup'!$J$8*(SUMIF($AD$3:$BA$3,"&lt;"&amp;$DF5,$B5:$Y5)+SUMIF($AD$3:$BA$3,"&gt;="&amp;$DG5,$B5:$Y5)),
IF(AE$3=$DF5+'Model Setup'!$K$7,SUMIF($AD$3:$BA$3,"="&amp;$DF5+'Model Setup'!$K$7,$B5:$Y5)+'Model Setup'!$K$8*(SUMIF($AD$3:$BA$3,"&lt;"&amp;$DF5,$B5:$Y5)+SUMIF($AD$3:$BA$3,"&gt;="&amp;$DG5,$B5:$Y5)),
IF(AE$3=$DF5+'Model Setup'!$L$7,SUMIF($AD$3:$BA$3,"="&amp;$DF5+'Model Setup'!$L$7,$B5:$Y5)+'Model Setup'!$L$8*(SUMIF($AD$3:$BA$3,"&lt;"&amp;$DF5,$B5:$Y5)+SUMIF($AD$3:$BA$3,"&gt;="&amp;$DG5,$B5:$Y5)),
IF(AE$3=$DF5+'Model Setup'!$M$7,SUMIF($AD$3:$BA$3,"="&amp;$DF5+'Model Setup'!$M$7,$B5:$Y5)+'Model Setup'!$M$8*(SUMIF($AD$3:$BA$3,"&lt;"&amp;$DF5,$B5:$Y5)+SUMIF($AD$3:$BA$3,"&gt;="&amp;$DG5,$B5:$Y5)),
IF(AE$3=$DF5+'Model Setup'!$N$7,SUMIF($AD$3:$BA$3,"="&amp;$DF5+'Model Setup'!$N$7,$B5:$Y5)+'Model Setup'!$N$8*(SUMIF($AD$3:$BA$3,"&lt;"&amp;$DF5,$B5:$Y5)+SUMIF($AD$3:$BA$3,"&gt;="&amp;$DG5,$B5:$Y5)),
IF(AE$3&lt;$DG5,C5,0))))))))))))))),0)</f>
        <v>0</v>
      </c>
      <c r="AF5" s="47">
        <f>ROUND(IF(AF$3&lt;$DF5,0,
IF(AF$3=$DF5+'Model Setup'!$B$7,SUMIF($AD$3:$BA$3,"="&amp;$DF5+'Model Setup'!$B$7,$B5:$Y5)+'Model Setup'!$B$8*(SUMIF($AD$3:$BA$3,"&lt;"&amp;$DF5,$B5:$Y5)+SUMIF($AD$3:$BA$3,"&gt;="&amp;$DG5,$B5:$Y5)),
IF(AF$3=$DF5+'Model Setup'!$C$7,SUMIF($AD$3:$BA$3,"="&amp;$DF5+'Model Setup'!$C$7,$B5:$Y5)+'Model Setup'!$C$8*(SUMIF($AD$3:$BA$3,"&lt;"&amp;$DF5,$B5:$Y5)+SUMIF($AD$3:$BA$3,"&gt;="&amp;$DG5,$B5:$Y5)),
IF(AF$3=$DF5+'Model Setup'!$D$7,SUMIF($AD$3:$BA$3,"="&amp;$DF5+'Model Setup'!$D$7,$B5:$Y5)+'Model Setup'!$D$8*(SUMIF($AD$3:$BA$3,"&lt;"&amp;$DF5,$B5:$Y5)+SUMIF($AD$3:$BA$3,"&gt;="&amp;$DG5,$B5:$Y5)),
IF(AF$3=$DF5+'Model Setup'!$E$7,SUMIF($AD$3:$BA$3,"="&amp;$DF5+'Model Setup'!$E$7,$B5:$Y5)+'Model Setup'!$E$8*(SUMIF($AD$3:$BA$3,"&lt;"&amp;$DF5,$B5:$Y5)+SUMIF($AD$3:$BA$3,"&gt;="&amp;$DG5,$B5:$Y5)),
IF(AF$3=$DF5+'Model Setup'!$F$7,SUMIF($AD$3:$BA$3,"="&amp;$DF5+'Model Setup'!$F$7,$B5:$Y5)+'Model Setup'!$F$8*(SUMIF($AD$3:$BA$3,"&lt;"&amp;$DF5,$B5:$Y5)+SUMIF($AD$3:$BA$3,"&gt;="&amp;$DG5,$B5:$Y5)),
IF(AF$3=$DF5+'Model Setup'!$G$7,SUMIF($AD$3:$BA$3,"="&amp;$DF5+'Model Setup'!$G$7,$B5:$Y5)+'Model Setup'!$G$8*(SUMIF($AD$3:$BA$3,"&lt;"&amp;$DF5,$B5:$Y5)+SUMIF($AD$3:$BA$3,"&gt;="&amp;$DG5,$B5:$Y5)),
IF(AF$3=$DF5+'Model Setup'!$H$7,SUMIF($AD$3:$BA$3,"="&amp;$DF5+'Model Setup'!$H$7,$B5:$Y5)+'Model Setup'!$H$8*(SUMIF($AD$3:$BA$3,"&lt;"&amp;$DF5,$B5:$Y5)+SUMIF($AD$3:$BA$3,"&gt;="&amp;$DG5,$B5:$Y5)),
IF(AF$3=$DF5+'Model Setup'!$I$7,SUMIF($AD$3:$BA$3,"="&amp;$DF5+'Model Setup'!$I$7,$B5:$Y5)+'Model Setup'!$I$8*(SUMIF($AD$3:$BA$3,"&lt;"&amp;$DF5,$B5:$Y5)+SUMIF($AD$3:$BA$3,"&gt;="&amp;$DG5,$B5:$Y5)),
IF(AF$3=$DF5+'Model Setup'!$J$7,SUMIF($AD$3:$BA$3,"="&amp;$DF5+'Model Setup'!$J$7,$B5:$Y5)+'Model Setup'!$J$8*(SUMIF($AD$3:$BA$3,"&lt;"&amp;$DF5,$B5:$Y5)+SUMIF($AD$3:$BA$3,"&gt;="&amp;$DG5,$B5:$Y5)),
IF(AF$3=$DF5+'Model Setup'!$K$7,SUMIF($AD$3:$BA$3,"="&amp;$DF5+'Model Setup'!$K$7,$B5:$Y5)+'Model Setup'!$K$8*(SUMIF($AD$3:$BA$3,"&lt;"&amp;$DF5,$B5:$Y5)+SUMIF($AD$3:$BA$3,"&gt;="&amp;$DG5,$B5:$Y5)),
IF(AF$3=$DF5+'Model Setup'!$L$7,SUMIF($AD$3:$BA$3,"="&amp;$DF5+'Model Setup'!$L$7,$B5:$Y5)+'Model Setup'!$L$8*(SUMIF($AD$3:$BA$3,"&lt;"&amp;$DF5,$B5:$Y5)+SUMIF($AD$3:$BA$3,"&gt;="&amp;$DG5,$B5:$Y5)),
IF(AF$3=$DF5+'Model Setup'!$M$7,SUMIF($AD$3:$BA$3,"="&amp;$DF5+'Model Setup'!$M$7,$B5:$Y5)+'Model Setup'!$M$8*(SUMIF($AD$3:$BA$3,"&lt;"&amp;$DF5,$B5:$Y5)+SUMIF($AD$3:$BA$3,"&gt;="&amp;$DG5,$B5:$Y5)),
IF(AF$3=$DF5+'Model Setup'!$N$7,SUMIF($AD$3:$BA$3,"="&amp;$DF5+'Model Setup'!$N$7,$B5:$Y5)+'Model Setup'!$N$8*(SUMIF($AD$3:$BA$3,"&lt;"&amp;$DF5,$B5:$Y5)+SUMIF($AD$3:$BA$3,"&gt;="&amp;$DG5,$B5:$Y5)),
IF(AF$3&lt;$DG5,D5,0))))))))))))))),0)</f>
        <v>0</v>
      </c>
      <c r="AG5" s="47">
        <f>ROUND(IF(AG$3&lt;$DF5,0,
IF(AG$3=$DF5+'Model Setup'!$B$7,SUMIF($AD$3:$BA$3,"="&amp;$DF5+'Model Setup'!$B$7,$B5:$Y5)+'Model Setup'!$B$8*(SUMIF($AD$3:$BA$3,"&lt;"&amp;$DF5,$B5:$Y5)+SUMIF($AD$3:$BA$3,"&gt;="&amp;$DG5,$B5:$Y5)),
IF(AG$3=$DF5+'Model Setup'!$C$7,SUMIF($AD$3:$BA$3,"="&amp;$DF5+'Model Setup'!$C$7,$B5:$Y5)+'Model Setup'!$C$8*(SUMIF($AD$3:$BA$3,"&lt;"&amp;$DF5,$B5:$Y5)+SUMIF($AD$3:$BA$3,"&gt;="&amp;$DG5,$B5:$Y5)),
IF(AG$3=$DF5+'Model Setup'!$D$7,SUMIF($AD$3:$BA$3,"="&amp;$DF5+'Model Setup'!$D$7,$B5:$Y5)+'Model Setup'!$D$8*(SUMIF($AD$3:$BA$3,"&lt;"&amp;$DF5,$B5:$Y5)+SUMIF($AD$3:$BA$3,"&gt;="&amp;$DG5,$B5:$Y5)),
IF(AG$3=$DF5+'Model Setup'!$E$7,SUMIF($AD$3:$BA$3,"="&amp;$DF5+'Model Setup'!$E$7,$B5:$Y5)+'Model Setup'!$E$8*(SUMIF($AD$3:$BA$3,"&lt;"&amp;$DF5,$B5:$Y5)+SUMIF($AD$3:$BA$3,"&gt;="&amp;$DG5,$B5:$Y5)),
IF(AG$3=$DF5+'Model Setup'!$F$7,SUMIF($AD$3:$BA$3,"="&amp;$DF5+'Model Setup'!$F$7,$B5:$Y5)+'Model Setup'!$F$8*(SUMIF($AD$3:$BA$3,"&lt;"&amp;$DF5,$B5:$Y5)+SUMIF($AD$3:$BA$3,"&gt;="&amp;$DG5,$B5:$Y5)),
IF(AG$3=$DF5+'Model Setup'!$G$7,SUMIF($AD$3:$BA$3,"="&amp;$DF5+'Model Setup'!$G$7,$B5:$Y5)+'Model Setup'!$G$8*(SUMIF($AD$3:$BA$3,"&lt;"&amp;$DF5,$B5:$Y5)+SUMIF($AD$3:$BA$3,"&gt;="&amp;$DG5,$B5:$Y5)),
IF(AG$3=$DF5+'Model Setup'!$H$7,SUMIF($AD$3:$BA$3,"="&amp;$DF5+'Model Setup'!$H$7,$B5:$Y5)+'Model Setup'!$H$8*(SUMIF($AD$3:$BA$3,"&lt;"&amp;$DF5,$B5:$Y5)+SUMIF($AD$3:$BA$3,"&gt;="&amp;$DG5,$B5:$Y5)),
IF(AG$3=$DF5+'Model Setup'!$I$7,SUMIF($AD$3:$BA$3,"="&amp;$DF5+'Model Setup'!$I$7,$B5:$Y5)+'Model Setup'!$I$8*(SUMIF($AD$3:$BA$3,"&lt;"&amp;$DF5,$B5:$Y5)+SUMIF($AD$3:$BA$3,"&gt;="&amp;$DG5,$B5:$Y5)),
IF(AG$3=$DF5+'Model Setup'!$J$7,SUMIF($AD$3:$BA$3,"="&amp;$DF5+'Model Setup'!$J$7,$B5:$Y5)+'Model Setup'!$J$8*(SUMIF($AD$3:$BA$3,"&lt;"&amp;$DF5,$B5:$Y5)+SUMIF($AD$3:$BA$3,"&gt;="&amp;$DG5,$B5:$Y5)),
IF(AG$3=$DF5+'Model Setup'!$K$7,SUMIF($AD$3:$BA$3,"="&amp;$DF5+'Model Setup'!$K$7,$B5:$Y5)+'Model Setup'!$K$8*(SUMIF($AD$3:$BA$3,"&lt;"&amp;$DF5,$B5:$Y5)+SUMIF($AD$3:$BA$3,"&gt;="&amp;$DG5,$B5:$Y5)),
IF(AG$3=$DF5+'Model Setup'!$L$7,SUMIF($AD$3:$BA$3,"="&amp;$DF5+'Model Setup'!$L$7,$B5:$Y5)+'Model Setup'!$L$8*(SUMIF($AD$3:$BA$3,"&lt;"&amp;$DF5,$B5:$Y5)+SUMIF($AD$3:$BA$3,"&gt;="&amp;$DG5,$B5:$Y5)),
IF(AG$3=$DF5+'Model Setup'!$M$7,SUMIF($AD$3:$BA$3,"="&amp;$DF5+'Model Setup'!$M$7,$B5:$Y5)+'Model Setup'!$M$8*(SUMIF($AD$3:$BA$3,"&lt;"&amp;$DF5,$B5:$Y5)+SUMIF($AD$3:$BA$3,"&gt;="&amp;$DG5,$B5:$Y5)),
IF(AG$3=$DF5+'Model Setup'!$N$7,SUMIF($AD$3:$BA$3,"="&amp;$DF5+'Model Setup'!$N$7,$B5:$Y5)+'Model Setup'!$N$8*(SUMIF($AD$3:$BA$3,"&lt;"&amp;$DF5,$B5:$Y5)+SUMIF($AD$3:$BA$3,"&gt;="&amp;$DG5,$B5:$Y5)),
IF(AG$3&lt;$DG5,E5,0))))))))))))))),0)</f>
        <v>0</v>
      </c>
      <c r="AH5" s="47">
        <f>ROUND(IF(AH$3&lt;$DF5,0,
IF(AH$3=$DF5+'Model Setup'!$B$7,SUMIF($AD$3:$BA$3,"="&amp;$DF5+'Model Setup'!$B$7,$B5:$Y5)+'Model Setup'!$B$8*(SUMIF($AD$3:$BA$3,"&lt;"&amp;$DF5,$B5:$Y5)+SUMIF($AD$3:$BA$3,"&gt;="&amp;$DG5,$B5:$Y5)),
IF(AH$3=$DF5+'Model Setup'!$C$7,SUMIF($AD$3:$BA$3,"="&amp;$DF5+'Model Setup'!$C$7,$B5:$Y5)+'Model Setup'!$C$8*(SUMIF($AD$3:$BA$3,"&lt;"&amp;$DF5,$B5:$Y5)+SUMIF($AD$3:$BA$3,"&gt;="&amp;$DG5,$B5:$Y5)),
IF(AH$3=$DF5+'Model Setup'!$D$7,SUMIF($AD$3:$BA$3,"="&amp;$DF5+'Model Setup'!$D$7,$B5:$Y5)+'Model Setup'!$D$8*(SUMIF($AD$3:$BA$3,"&lt;"&amp;$DF5,$B5:$Y5)+SUMIF($AD$3:$BA$3,"&gt;="&amp;$DG5,$B5:$Y5)),
IF(AH$3=$DF5+'Model Setup'!$E$7,SUMIF($AD$3:$BA$3,"="&amp;$DF5+'Model Setup'!$E$7,$B5:$Y5)+'Model Setup'!$E$8*(SUMIF($AD$3:$BA$3,"&lt;"&amp;$DF5,$B5:$Y5)+SUMIF($AD$3:$BA$3,"&gt;="&amp;$DG5,$B5:$Y5)),
IF(AH$3=$DF5+'Model Setup'!$F$7,SUMIF($AD$3:$BA$3,"="&amp;$DF5+'Model Setup'!$F$7,$B5:$Y5)+'Model Setup'!$F$8*(SUMIF($AD$3:$BA$3,"&lt;"&amp;$DF5,$B5:$Y5)+SUMIF($AD$3:$BA$3,"&gt;="&amp;$DG5,$B5:$Y5)),
IF(AH$3=$DF5+'Model Setup'!$G$7,SUMIF($AD$3:$BA$3,"="&amp;$DF5+'Model Setup'!$G$7,$B5:$Y5)+'Model Setup'!$G$8*(SUMIF($AD$3:$BA$3,"&lt;"&amp;$DF5,$B5:$Y5)+SUMIF($AD$3:$BA$3,"&gt;="&amp;$DG5,$B5:$Y5)),
IF(AH$3=$DF5+'Model Setup'!$H$7,SUMIF($AD$3:$BA$3,"="&amp;$DF5+'Model Setup'!$H$7,$B5:$Y5)+'Model Setup'!$H$8*(SUMIF($AD$3:$BA$3,"&lt;"&amp;$DF5,$B5:$Y5)+SUMIF($AD$3:$BA$3,"&gt;="&amp;$DG5,$B5:$Y5)),
IF(AH$3=$DF5+'Model Setup'!$I$7,SUMIF($AD$3:$BA$3,"="&amp;$DF5+'Model Setup'!$I$7,$B5:$Y5)+'Model Setup'!$I$8*(SUMIF($AD$3:$BA$3,"&lt;"&amp;$DF5,$B5:$Y5)+SUMIF($AD$3:$BA$3,"&gt;="&amp;$DG5,$B5:$Y5)),
IF(AH$3=$DF5+'Model Setup'!$J$7,SUMIF($AD$3:$BA$3,"="&amp;$DF5+'Model Setup'!$J$7,$B5:$Y5)+'Model Setup'!$J$8*(SUMIF($AD$3:$BA$3,"&lt;"&amp;$DF5,$B5:$Y5)+SUMIF($AD$3:$BA$3,"&gt;="&amp;$DG5,$B5:$Y5)),
IF(AH$3=$DF5+'Model Setup'!$K$7,SUMIF($AD$3:$BA$3,"="&amp;$DF5+'Model Setup'!$K$7,$B5:$Y5)+'Model Setup'!$K$8*(SUMIF($AD$3:$BA$3,"&lt;"&amp;$DF5,$B5:$Y5)+SUMIF($AD$3:$BA$3,"&gt;="&amp;$DG5,$B5:$Y5)),
IF(AH$3=$DF5+'Model Setup'!$L$7,SUMIF($AD$3:$BA$3,"="&amp;$DF5+'Model Setup'!$L$7,$B5:$Y5)+'Model Setup'!$L$8*(SUMIF($AD$3:$BA$3,"&lt;"&amp;$DF5,$B5:$Y5)+SUMIF($AD$3:$BA$3,"&gt;="&amp;$DG5,$B5:$Y5)),
IF(AH$3=$DF5+'Model Setup'!$M$7,SUMIF($AD$3:$BA$3,"="&amp;$DF5+'Model Setup'!$M$7,$B5:$Y5)+'Model Setup'!$M$8*(SUMIF($AD$3:$BA$3,"&lt;"&amp;$DF5,$B5:$Y5)+SUMIF($AD$3:$BA$3,"&gt;="&amp;$DG5,$B5:$Y5)),
IF(AH$3=$DF5+'Model Setup'!$N$7,SUMIF($AD$3:$BA$3,"="&amp;$DF5+'Model Setup'!$N$7,$B5:$Y5)+'Model Setup'!$N$8*(SUMIF($AD$3:$BA$3,"&lt;"&amp;$DF5,$B5:$Y5)+SUMIF($AD$3:$BA$3,"&gt;="&amp;$DG5,$B5:$Y5)),
IF(AH$3&lt;$DG5,F5,0))))))))))))))),0)</f>
        <v>0</v>
      </c>
      <c r="AI5" s="47">
        <f>ROUND(IF(AI$3&lt;$DF5,0,
IF(AI$3=$DF5+'Model Setup'!$B$7,SUMIF($AD$3:$BA$3,"="&amp;$DF5+'Model Setup'!$B$7,$B5:$Y5)+'Model Setup'!$B$8*(SUMIF($AD$3:$BA$3,"&lt;"&amp;$DF5,$B5:$Y5)+SUMIF($AD$3:$BA$3,"&gt;="&amp;$DG5,$B5:$Y5)),
IF(AI$3=$DF5+'Model Setup'!$C$7,SUMIF($AD$3:$BA$3,"="&amp;$DF5+'Model Setup'!$C$7,$B5:$Y5)+'Model Setup'!$C$8*(SUMIF($AD$3:$BA$3,"&lt;"&amp;$DF5,$B5:$Y5)+SUMIF($AD$3:$BA$3,"&gt;="&amp;$DG5,$B5:$Y5)),
IF(AI$3=$DF5+'Model Setup'!$D$7,SUMIF($AD$3:$BA$3,"="&amp;$DF5+'Model Setup'!$D$7,$B5:$Y5)+'Model Setup'!$D$8*(SUMIF($AD$3:$BA$3,"&lt;"&amp;$DF5,$B5:$Y5)+SUMIF($AD$3:$BA$3,"&gt;="&amp;$DG5,$B5:$Y5)),
IF(AI$3=$DF5+'Model Setup'!$E$7,SUMIF($AD$3:$BA$3,"="&amp;$DF5+'Model Setup'!$E$7,$B5:$Y5)+'Model Setup'!$E$8*(SUMIF($AD$3:$BA$3,"&lt;"&amp;$DF5,$B5:$Y5)+SUMIF($AD$3:$BA$3,"&gt;="&amp;$DG5,$B5:$Y5)),
IF(AI$3=$DF5+'Model Setup'!$F$7,SUMIF($AD$3:$BA$3,"="&amp;$DF5+'Model Setup'!$F$7,$B5:$Y5)+'Model Setup'!$F$8*(SUMIF($AD$3:$BA$3,"&lt;"&amp;$DF5,$B5:$Y5)+SUMIF($AD$3:$BA$3,"&gt;="&amp;$DG5,$B5:$Y5)),
IF(AI$3=$DF5+'Model Setup'!$G$7,SUMIF($AD$3:$BA$3,"="&amp;$DF5+'Model Setup'!$G$7,$B5:$Y5)+'Model Setup'!$G$8*(SUMIF($AD$3:$BA$3,"&lt;"&amp;$DF5,$B5:$Y5)+SUMIF($AD$3:$BA$3,"&gt;="&amp;$DG5,$B5:$Y5)),
IF(AI$3=$DF5+'Model Setup'!$H$7,SUMIF($AD$3:$BA$3,"="&amp;$DF5+'Model Setup'!$H$7,$B5:$Y5)+'Model Setup'!$H$8*(SUMIF($AD$3:$BA$3,"&lt;"&amp;$DF5,$B5:$Y5)+SUMIF($AD$3:$BA$3,"&gt;="&amp;$DG5,$B5:$Y5)),
IF(AI$3=$DF5+'Model Setup'!$I$7,SUMIF($AD$3:$BA$3,"="&amp;$DF5+'Model Setup'!$I$7,$B5:$Y5)+'Model Setup'!$I$8*(SUMIF($AD$3:$BA$3,"&lt;"&amp;$DF5,$B5:$Y5)+SUMIF($AD$3:$BA$3,"&gt;="&amp;$DG5,$B5:$Y5)),
IF(AI$3=$DF5+'Model Setup'!$J$7,SUMIF($AD$3:$BA$3,"="&amp;$DF5+'Model Setup'!$J$7,$B5:$Y5)+'Model Setup'!$J$8*(SUMIF($AD$3:$BA$3,"&lt;"&amp;$DF5,$B5:$Y5)+SUMIF($AD$3:$BA$3,"&gt;="&amp;$DG5,$B5:$Y5)),
IF(AI$3=$DF5+'Model Setup'!$K$7,SUMIF($AD$3:$BA$3,"="&amp;$DF5+'Model Setup'!$K$7,$B5:$Y5)+'Model Setup'!$K$8*(SUMIF($AD$3:$BA$3,"&lt;"&amp;$DF5,$B5:$Y5)+SUMIF($AD$3:$BA$3,"&gt;="&amp;$DG5,$B5:$Y5)),
IF(AI$3=$DF5+'Model Setup'!$L$7,SUMIF($AD$3:$BA$3,"="&amp;$DF5+'Model Setup'!$L$7,$B5:$Y5)+'Model Setup'!$L$8*(SUMIF($AD$3:$BA$3,"&lt;"&amp;$DF5,$B5:$Y5)+SUMIF($AD$3:$BA$3,"&gt;="&amp;$DG5,$B5:$Y5)),
IF(AI$3=$DF5+'Model Setup'!$M$7,SUMIF($AD$3:$BA$3,"="&amp;$DF5+'Model Setup'!$M$7,$B5:$Y5)+'Model Setup'!$M$8*(SUMIF($AD$3:$BA$3,"&lt;"&amp;$DF5,$B5:$Y5)+SUMIF($AD$3:$BA$3,"&gt;="&amp;$DG5,$B5:$Y5)),
IF(AI$3=$DF5+'Model Setup'!$N$7,SUMIF($AD$3:$BA$3,"="&amp;$DF5+'Model Setup'!$N$7,$B5:$Y5)+'Model Setup'!$N$8*(SUMIF($AD$3:$BA$3,"&lt;"&amp;$DF5,$B5:$Y5)+SUMIF($AD$3:$BA$3,"&gt;="&amp;$DG5,$B5:$Y5)),
IF(AI$3&lt;$DG5,G5,0))))))))))))))),0)</f>
        <v>0</v>
      </c>
      <c r="AJ5" s="47">
        <f>ROUND(IF(AJ$3&lt;$DF5,0,
IF(AJ$3=$DF5+'Model Setup'!$B$7,SUMIF($AD$3:$BA$3,"="&amp;$DF5+'Model Setup'!$B$7,$B5:$Y5)+'Model Setup'!$B$8*(SUMIF($AD$3:$BA$3,"&lt;"&amp;$DF5,$B5:$Y5)+SUMIF($AD$3:$BA$3,"&gt;="&amp;$DG5,$B5:$Y5)),
IF(AJ$3=$DF5+'Model Setup'!$C$7,SUMIF($AD$3:$BA$3,"="&amp;$DF5+'Model Setup'!$C$7,$B5:$Y5)+'Model Setup'!$C$8*(SUMIF($AD$3:$BA$3,"&lt;"&amp;$DF5,$B5:$Y5)+SUMIF($AD$3:$BA$3,"&gt;="&amp;$DG5,$B5:$Y5)),
IF(AJ$3=$DF5+'Model Setup'!$D$7,SUMIF($AD$3:$BA$3,"="&amp;$DF5+'Model Setup'!$D$7,$B5:$Y5)+'Model Setup'!$D$8*(SUMIF($AD$3:$BA$3,"&lt;"&amp;$DF5,$B5:$Y5)+SUMIF($AD$3:$BA$3,"&gt;="&amp;$DG5,$B5:$Y5)),
IF(AJ$3=$DF5+'Model Setup'!$E$7,SUMIF($AD$3:$BA$3,"="&amp;$DF5+'Model Setup'!$E$7,$B5:$Y5)+'Model Setup'!$E$8*(SUMIF($AD$3:$BA$3,"&lt;"&amp;$DF5,$B5:$Y5)+SUMIF($AD$3:$BA$3,"&gt;="&amp;$DG5,$B5:$Y5)),
IF(AJ$3=$DF5+'Model Setup'!$F$7,SUMIF($AD$3:$BA$3,"="&amp;$DF5+'Model Setup'!$F$7,$B5:$Y5)+'Model Setup'!$F$8*(SUMIF($AD$3:$BA$3,"&lt;"&amp;$DF5,$B5:$Y5)+SUMIF($AD$3:$BA$3,"&gt;="&amp;$DG5,$B5:$Y5)),
IF(AJ$3=$DF5+'Model Setup'!$G$7,SUMIF($AD$3:$BA$3,"="&amp;$DF5+'Model Setup'!$G$7,$B5:$Y5)+'Model Setup'!$G$8*(SUMIF($AD$3:$BA$3,"&lt;"&amp;$DF5,$B5:$Y5)+SUMIF($AD$3:$BA$3,"&gt;="&amp;$DG5,$B5:$Y5)),
IF(AJ$3=$DF5+'Model Setup'!$H$7,SUMIF($AD$3:$BA$3,"="&amp;$DF5+'Model Setup'!$H$7,$B5:$Y5)+'Model Setup'!$H$8*(SUMIF($AD$3:$BA$3,"&lt;"&amp;$DF5,$B5:$Y5)+SUMIF($AD$3:$BA$3,"&gt;="&amp;$DG5,$B5:$Y5)),
IF(AJ$3=$DF5+'Model Setup'!$I$7,SUMIF($AD$3:$BA$3,"="&amp;$DF5+'Model Setup'!$I$7,$B5:$Y5)+'Model Setup'!$I$8*(SUMIF($AD$3:$BA$3,"&lt;"&amp;$DF5,$B5:$Y5)+SUMIF($AD$3:$BA$3,"&gt;="&amp;$DG5,$B5:$Y5)),
IF(AJ$3=$DF5+'Model Setup'!$J$7,SUMIF($AD$3:$BA$3,"="&amp;$DF5+'Model Setup'!$J$7,$B5:$Y5)+'Model Setup'!$J$8*(SUMIF($AD$3:$BA$3,"&lt;"&amp;$DF5,$B5:$Y5)+SUMIF($AD$3:$BA$3,"&gt;="&amp;$DG5,$B5:$Y5)),
IF(AJ$3=$DF5+'Model Setup'!$K$7,SUMIF($AD$3:$BA$3,"="&amp;$DF5+'Model Setup'!$K$7,$B5:$Y5)+'Model Setup'!$K$8*(SUMIF($AD$3:$BA$3,"&lt;"&amp;$DF5,$B5:$Y5)+SUMIF($AD$3:$BA$3,"&gt;="&amp;$DG5,$B5:$Y5)),
IF(AJ$3=$DF5+'Model Setup'!$L$7,SUMIF($AD$3:$BA$3,"="&amp;$DF5+'Model Setup'!$L$7,$B5:$Y5)+'Model Setup'!$L$8*(SUMIF($AD$3:$BA$3,"&lt;"&amp;$DF5,$B5:$Y5)+SUMIF($AD$3:$BA$3,"&gt;="&amp;$DG5,$B5:$Y5)),
IF(AJ$3=$DF5+'Model Setup'!$M$7,SUMIF($AD$3:$BA$3,"="&amp;$DF5+'Model Setup'!$M$7,$B5:$Y5)+'Model Setup'!$M$8*(SUMIF($AD$3:$BA$3,"&lt;"&amp;$DF5,$B5:$Y5)+SUMIF($AD$3:$BA$3,"&gt;="&amp;$DG5,$B5:$Y5)),
IF(AJ$3=$DF5+'Model Setup'!$N$7,SUMIF($AD$3:$BA$3,"="&amp;$DF5+'Model Setup'!$N$7,$B5:$Y5)+'Model Setup'!$N$8*(SUMIF($AD$3:$BA$3,"&lt;"&amp;$DF5,$B5:$Y5)+SUMIF($AD$3:$BA$3,"&gt;="&amp;$DG5,$B5:$Y5)),
IF(AJ$3&lt;$DG5,H5,0))))))))))))))),0)</f>
        <v>0</v>
      </c>
      <c r="AK5" s="47">
        <f>ROUND(IF(AK$3&lt;$DF5,0,
IF(AK$3=$DF5+'Model Setup'!$B$7,SUMIF($AD$3:$BA$3,"="&amp;$DF5+'Model Setup'!$B$7,$B5:$Y5)+'Model Setup'!$B$8*(SUMIF($AD$3:$BA$3,"&lt;"&amp;$DF5,$B5:$Y5)+SUMIF($AD$3:$BA$3,"&gt;="&amp;$DG5,$B5:$Y5)),
IF(AK$3=$DF5+'Model Setup'!$C$7,SUMIF($AD$3:$BA$3,"="&amp;$DF5+'Model Setup'!$C$7,$B5:$Y5)+'Model Setup'!$C$8*(SUMIF($AD$3:$BA$3,"&lt;"&amp;$DF5,$B5:$Y5)+SUMIF($AD$3:$BA$3,"&gt;="&amp;$DG5,$B5:$Y5)),
IF(AK$3=$DF5+'Model Setup'!$D$7,SUMIF($AD$3:$BA$3,"="&amp;$DF5+'Model Setup'!$D$7,$B5:$Y5)+'Model Setup'!$D$8*(SUMIF($AD$3:$BA$3,"&lt;"&amp;$DF5,$B5:$Y5)+SUMIF($AD$3:$BA$3,"&gt;="&amp;$DG5,$B5:$Y5)),
IF(AK$3=$DF5+'Model Setup'!$E$7,SUMIF($AD$3:$BA$3,"="&amp;$DF5+'Model Setup'!$E$7,$B5:$Y5)+'Model Setup'!$E$8*(SUMIF($AD$3:$BA$3,"&lt;"&amp;$DF5,$B5:$Y5)+SUMIF($AD$3:$BA$3,"&gt;="&amp;$DG5,$B5:$Y5)),
IF(AK$3=$DF5+'Model Setup'!$F$7,SUMIF($AD$3:$BA$3,"="&amp;$DF5+'Model Setup'!$F$7,$B5:$Y5)+'Model Setup'!$F$8*(SUMIF($AD$3:$BA$3,"&lt;"&amp;$DF5,$B5:$Y5)+SUMIF($AD$3:$BA$3,"&gt;="&amp;$DG5,$B5:$Y5)),
IF(AK$3=$DF5+'Model Setup'!$G$7,SUMIF($AD$3:$BA$3,"="&amp;$DF5+'Model Setup'!$G$7,$B5:$Y5)+'Model Setup'!$G$8*(SUMIF($AD$3:$BA$3,"&lt;"&amp;$DF5,$B5:$Y5)+SUMIF($AD$3:$BA$3,"&gt;="&amp;$DG5,$B5:$Y5)),
IF(AK$3=$DF5+'Model Setup'!$H$7,SUMIF($AD$3:$BA$3,"="&amp;$DF5+'Model Setup'!$H$7,$B5:$Y5)+'Model Setup'!$H$8*(SUMIF($AD$3:$BA$3,"&lt;"&amp;$DF5,$B5:$Y5)+SUMIF($AD$3:$BA$3,"&gt;="&amp;$DG5,$B5:$Y5)),
IF(AK$3=$DF5+'Model Setup'!$I$7,SUMIF($AD$3:$BA$3,"="&amp;$DF5+'Model Setup'!$I$7,$B5:$Y5)+'Model Setup'!$I$8*(SUMIF($AD$3:$BA$3,"&lt;"&amp;$DF5,$B5:$Y5)+SUMIF($AD$3:$BA$3,"&gt;="&amp;$DG5,$B5:$Y5)),
IF(AK$3=$DF5+'Model Setup'!$J$7,SUMIF($AD$3:$BA$3,"="&amp;$DF5+'Model Setup'!$J$7,$B5:$Y5)+'Model Setup'!$J$8*(SUMIF($AD$3:$BA$3,"&lt;"&amp;$DF5,$B5:$Y5)+SUMIF($AD$3:$BA$3,"&gt;="&amp;$DG5,$B5:$Y5)),
IF(AK$3=$DF5+'Model Setup'!$K$7,SUMIF($AD$3:$BA$3,"="&amp;$DF5+'Model Setup'!$K$7,$B5:$Y5)+'Model Setup'!$K$8*(SUMIF($AD$3:$BA$3,"&lt;"&amp;$DF5,$B5:$Y5)+SUMIF($AD$3:$BA$3,"&gt;="&amp;$DG5,$B5:$Y5)),
IF(AK$3=$DF5+'Model Setup'!$L$7,SUMIF($AD$3:$BA$3,"="&amp;$DF5+'Model Setup'!$L$7,$B5:$Y5)+'Model Setup'!$L$8*(SUMIF($AD$3:$BA$3,"&lt;"&amp;$DF5,$B5:$Y5)+SUMIF($AD$3:$BA$3,"&gt;="&amp;$DG5,$B5:$Y5)),
IF(AK$3=$DF5+'Model Setup'!$M$7,SUMIF($AD$3:$BA$3,"="&amp;$DF5+'Model Setup'!$M$7,$B5:$Y5)+'Model Setup'!$M$8*(SUMIF($AD$3:$BA$3,"&lt;"&amp;$DF5,$B5:$Y5)+SUMIF($AD$3:$BA$3,"&gt;="&amp;$DG5,$B5:$Y5)),
IF(AK$3=$DF5+'Model Setup'!$N$7,SUMIF($AD$3:$BA$3,"="&amp;$DF5+'Model Setup'!$N$7,$B5:$Y5)+'Model Setup'!$N$8*(SUMIF($AD$3:$BA$3,"&lt;"&amp;$DF5,$B5:$Y5)+SUMIF($AD$3:$BA$3,"&gt;="&amp;$DG5,$B5:$Y5)),
IF(AK$3&lt;$DG5,I5,0))))))))))))))),0)</f>
        <v>0</v>
      </c>
      <c r="AL5" s="47">
        <f>ROUND(IF(AL$3&lt;$DF5,0,
IF(AL$3=$DF5+'Model Setup'!$B$7,SUMIF($AD$3:$BA$3,"="&amp;$DF5+'Model Setup'!$B$7,$B5:$Y5)+'Model Setup'!$B$8*(SUMIF($AD$3:$BA$3,"&lt;"&amp;$DF5,$B5:$Y5)+SUMIF($AD$3:$BA$3,"&gt;="&amp;$DG5,$B5:$Y5)),
IF(AL$3=$DF5+'Model Setup'!$C$7,SUMIF($AD$3:$BA$3,"="&amp;$DF5+'Model Setup'!$C$7,$B5:$Y5)+'Model Setup'!$C$8*(SUMIF($AD$3:$BA$3,"&lt;"&amp;$DF5,$B5:$Y5)+SUMIF($AD$3:$BA$3,"&gt;="&amp;$DG5,$B5:$Y5)),
IF(AL$3=$DF5+'Model Setup'!$D$7,SUMIF($AD$3:$BA$3,"="&amp;$DF5+'Model Setup'!$D$7,$B5:$Y5)+'Model Setup'!$D$8*(SUMIF($AD$3:$BA$3,"&lt;"&amp;$DF5,$B5:$Y5)+SUMIF($AD$3:$BA$3,"&gt;="&amp;$DG5,$B5:$Y5)),
IF(AL$3=$DF5+'Model Setup'!$E$7,SUMIF($AD$3:$BA$3,"="&amp;$DF5+'Model Setup'!$E$7,$B5:$Y5)+'Model Setup'!$E$8*(SUMIF($AD$3:$BA$3,"&lt;"&amp;$DF5,$B5:$Y5)+SUMIF($AD$3:$BA$3,"&gt;="&amp;$DG5,$B5:$Y5)),
IF(AL$3=$DF5+'Model Setup'!$F$7,SUMIF($AD$3:$BA$3,"="&amp;$DF5+'Model Setup'!$F$7,$B5:$Y5)+'Model Setup'!$F$8*(SUMIF($AD$3:$BA$3,"&lt;"&amp;$DF5,$B5:$Y5)+SUMIF($AD$3:$BA$3,"&gt;="&amp;$DG5,$B5:$Y5)),
IF(AL$3=$DF5+'Model Setup'!$G$7,SUMIF($AD$3:$BA$3,"="&amp;$DF5+'Model Setup'!$G$7,$B5:$Y5)+'Model Setup'!$G$8*(SUMIF($AD$3:$BA$3,"&lt;"&amp;$DF5,$B5:$Y5)+SUMIF($AD$3:$BA$3,"&gt;="&amp;$DG5,$B5:$Y5)),
IF(AL$3=$DF5+'Model Setup'!$H$7,SUMIF($AD$3:$BA$3,"="&amp;$DF5+'Model Setup'!$H$7,$B5:$Y5)+'Model Setup'!$H$8*(SUMIF($AD$3:$BA$3,"&lt;"&amp;$DF5,$B5:$Y5)+SUMIF($AD$3:$BA$3,"&gt;="&amp;$DG5,$B5:$Y5)),
IF(AL$3=$DF5+'Model Setup'!$I$7,SUMIF($AD$3:$BA$3,"="&amp;$DF5+'Model Setup'!$I$7,$B5:$Y5)+'Model Setup'!$I$8*(SUMIF($AD$3:$BA$3,"&lt;"&amp;$DF5,$B5:$Y5)+SUMIF($AD$3:$BA$3,"&gt;="&amp;$DG5,$B5:$Y5)),
IF(AL$3=$DF5+'Model Setup'!$J$7,SUMIF($AD$3:$BA$3,"="&amp;$DF5+'Model Setup'!$J$7,$B5:$Y5)+'Model Setup'!$J$8*(SUMIF($AD$3:$BA$3,"&lt;"&amp;$DF5,$B5:$Y5)+SUMIF($AD$3:$BA$3,"&gt;="&amp;$DG5,$B5:$Y5)),
IF(AL$3=$DF5+'Model Setup'!$K$7,SUMIF($AD$3:$BA$3,"="&amp;$DF5+'Model Setup'!$K$7,$B5:$Y5)+'Model Setup'!$K$8*(SUMIF($AD$3:$BA$3,"&lt;"&amp;$DF5,$B5:$Y5)+SUMIF($AD$3:$BA$3,"&gt;="&amp;$DG5,$B5:$Y5)),
IF(AL$3=$DF5+'Model Setup'!$L$7,SUMIF($AD$3:$BA$3,"="&amp;$DF5+'Model Setup'!$L$7,$B5:$Y5)+'Model Setup'!$L$8*(SUMIF($AD$3:$BA$3,"&lt;"&amp;$DF5,$B5:$Y5)+SUMIF($AD$3:$BA$3,"&gt;="&amp;$DG5,$B5:$Y5)),
IF(AL$3=$DF5+'Model Setup'!$M$7,SUMIF($AD$3:$BA$3,"="&amp;$DF5+'Model Setup'!$M$7,$B5:$Y5)+'Model Setup'!$M$8*(SUMIF($AD$3:$BA$3,"&lt;"&amp;$DF5,$B5:$Y5)+SUMIF($AD$3:$BA$3,"&gt;="&amp;$DG5,$B5:$Y5)),
IF(AL$3=$DF5+'Model Setup'!$N$7,SUMIF($AD$3:$BA$3,"="&amp;$DF5+'Model Setup'!$N$7,$B5:$Y5)+'Model Setup'!$N$8*(SUMIF($AD$3:$BA$3,"&lt;"&amp;$DF5,$B5:$Y5)+SUMIF($AD$3:$BA$3,"&gt;="&amp;$DG5,$B5:$Y5)),
IF(AL$3&lt;$DG5,J5,0))))))))))))))),0)</f>
        <v>16</v>
      </c>
      <c r="AM5" s="47">
        <f>ROUND(IF(AM$3&lt;$DF5,0,
IF(AM$3=$DF5+'Model Setup'!$B$7,SUMIF($AD$3:$BA$3,"="&amp;$DF5+'Model Setup'!$B$7,$B5:$Y5)+'Model Setup'!$B$8*(SUMIF($AD$3:$BA$3,"&lt;"&amp;$DF5,$B5:$Y5)+SUMIF($AD$3:$BA$3,"&gt;="&amp;$DG5,$B5:$Y5)),
IF(AM$3=$DF5+'Model Setup'!$C$7,SUMIF($AD$3:$BA$3,"="&amp;$DF5+'Model Setup'!$C$7,$B5:$Y5)+'Model Setup'!$C$8*(SUMIF($AD$3:$BA$3,"&lt;"&amp;$DF5,$B5:$Y5)+SUMIF($AD$3:$BA$3,"&gt;="&amp;$DG5,$B5:$Y5)),
IF(AM$3=$DF5+'Model Setup'!$D$7,SUMIF($AD$3:$BA$3,"="&amp;$DF5+'Model Setup'!$D$7,$B5:$Y5)+'Model Setup'!$D$8*(SUMIF($AD$3:$BA$3,"&lt;"&amp;$DF5,$B5:$Y5)+SUMIF($AD$3:$BA$3,"&gt;="&amp;$DG5,$B5:$Y5)),
IF(AM$3=$DF5+'Model Setup'!$E$7,SUMIF($AD$3:$BA$3,"="&amp;$DF5+'Model Setup'!$E$7,$B5:$Y5)+'Model Setup'!$E$8*(SUMIF($AD$3:$BA$3,"&lt;"&amp;$DF5,$B5:$Y5)+SUMIF($AD$3:$BA$3,"&gt;="&amp;$DG5,$B5:$Y5)),
IF(AM$3=$DF5+'Model Setup'!$F$7,SUMIF($AD$3:$BA$3,"="&amp;$DF5+'Model Setup'!$F$7,$B5:$Y5)+'Model Setup'!$F$8*(SUMIF($AD$3:$BA$3,"&lt;"&amp;$DF5,$B5:$Y5)+SUMIF($AD$3:$BA$3,"&gt;="&amp;$DG5,$B5:$Y5)),
IF(AM$3=$DF5+'Model Setup'!$G$7,SUMIF($AD$3:$BA$3,"="&amp;$DF5+'Model Setup'!$G$7,$B5:$Y5)+'Model Setup'!$G$8*(SUMIF($AD$3:$BA$3,"&lt;"&amp;$DF5,$B5:$Y5)+SUMIF($AD$3:$BA$3,"&gt;="&amp;$DG5,$B5:$Y5)),
IF(AM$3=$DF5+'Model Setup'!$H$7,SUMIF($AD$3:$BA$3,"="&amp;$DF5+'Model Setup'!$H$7,$B5:$Y5)+'Model Setup'!$H$8*(SUMIF($AD$3:$BA$3,"&lt;"&amp;$DF5,$B5:$Y5)+SUMIF($AD$3:$BA$3,"&gt;="&amp;$DG5,$B5:$Y5)),
IF(AM$3=$DF5+'Model Setup'!$I$7,SUMIF($AD$3:$BA$3,"="&amp;$DF5+'Model Setup'!$I$7,$B5:$Y5)+'Model Setup'!$I$8*(SUMIF($AD$3:$BA$3,"&lt;"&amp;$DF5,$B5:$Y5)+SUMIF($AD$3:$BA$3,"&gt;="&amp;$DG5,$B5:$Y5)),
IF(AM$3=$DF5+'Model Setup'!$J$7,SUMIF($AD$3:$BA$3,"="&amp;$DF5+'Model Setup'!$J$7,$B5:$Y5)+'Model Setup'!$J$8*(SUMIF($AD$3:$BA$3,"&lt;"&amp;$DF5,$B5:$Y5)+SUMIF($AD$3:$BA$3,"&gt;="&amp;$DG5,$B5:$Y5)),
IF(AM$3=$DF5+'Model Setup'!$K$7,SUMIF($AD$3:$BA$3,"="&amp;$DF5+'Model Setup'!$K$7,$B5:$Y5)+'Model Setup'!$K$8*(SUMIF($AD$3:$BA$3,"&lt;"&amp;$DF5,$B5:$Y5)+SUMIF($AD$3:$BA$3,"&gt;="&amp;$DG5,$B5:$Y5)),
IF(AM$3=$DF5+'Model Setup'!$L$7,SUMIF($AD$3:$BA$3,"="&amp;$DF5+'Model Setup'!$L$7,$B5:$Y5)+'Model Setup'!$L$8*(SUMIF($AD$3:$BA$3,"&lt;"&amp;$DF5,$B5:$Y5)+SUMIF($AD$3:$BA$3,"&gt;="&amp;$DG5,$B5:$Y5)),
IF(AM$3=$DF5+'Model Setup'!$M$7,SUMIF($AD$3:$BA$3,"="&amp;$DF5+'Model Setup'!$M$7,$B5:$Y5)+'Model Setup'!$M$8*(SUMIF($AD$3:$BA$3,"&lt;"&amp;$DF5,$B5:$Y5)+SUMIF($AD$3:$BA$3,"&gt;="&amp;$DG5,$B5:$Y5)),
IF(AM$3=$DF5+'Model Setup'!$N$7,SUMIF($AD$3:$BA$3,"="&amp;$DF5+'Model Setup'!$N$7,$B5:$Y5)+'Model Setup'!$N$8*(SUMIF($AD$3:$BA$3,"&lt;"&amp;$DF5,$B5:$Y5)+SUMIF($AD$3:$BA$3,"&gt;="&amp;$DG5,$B5:$Y5)),
IF(AM$3&lt;$DG5,K5,0))))))))))))))),0)</f>
        <v>13</v>
      </c>
      <c r="AN5" s="47">
        <f>ROUND(IF(AN$3&lt;$DF5,0,
IF(AN$3=$DF5+'Model Setup'!$B$7,SUMIF($AD$3:$BA$3,"="&amp;$DF5+'Model Setup'!$B$7,$B5:$Y5)+'Model Setup'!$B$8*(SUMIF($AD$3:$BA$3,"&lt;"&amp;$DF5,$B5:$Y5)+SUMIF($AD$3:$BA$3,"&gt;="&amp;$DG5,$B5:$Y5)),
IF(AN$3=$DF5+'Model Setup'!$C$7,SUMIF($AD$3:$BA$3,"="&amp;$DF5+'Model Setup'!$C$7,$B5:$Y5)+'Model Setup'!$C$8*(SUMIF($AD$3:$BA$3,"&lt;"&amp;$DF5,$B5:$Y5)+SUMIF($AD$3:$BA$3,"&gt;="&amp;$DG5,$B5:$Y5)),
IF(AN$3=$DF5+'Model Setup'!$D$7,SUMIF($AD$3:$BA$3,"="&amp;$DF5+'Model Setup'!$D$7,$B5:$Y5)+'Model Setup'!$D$8*(SUMIF($AD$3:$BA$3,"&lt;"&amp;$DF5,$B5:$Y5)+SUMIF($AD$3:$BA$3,"&gt;="&amp;$DG5,$B5:$Y5)),
IF(AN$3=$DF5+'Model Setup'!$E$7,SUMIF($AD$3:$BA$3,"="&amp;$DF5+'Model Setup'!$E$7,$B5:$Y5)+'Model Setup'!$E$8*(SUMIF($AD$3:$BA$3,"&lt;"&amp;$DF5,$B5:$Y5)+SUMIF($AD$3:$BA$3,"&gt;="&amp;$DG5,$B5:$Y5)),
IF(AN$3=$DF5+'Model Setup'!$F$7,SUMIF($AD$3:$BA$3,"="&amp;$DF5+'Model Setup'!$F$7,$B5:$Y5)+'Model Setup'!$F$8*(SUMIF($AD$3:$BA$3,"&lt;"&amp;$DF5,$B5:$Y5)+SUMIF($AD$3:$BA$3,"&gt;="&amp;$DG5,$B5:$Y5)),
IF(AN$3=$DF5+'Model Setup'!$G$7,SUMIF($AD$3:$BA$3,"="&amp;$DF5+'Model Setup'!$G$7,$B5:$Y5)+'Model Setup'!$G$8*(SUMIF($AD$3:$BA$3,"&lt;"&amp;$DF5,$B5:$Y5)+SUMIF($AD$3:$BA$3,"&gt;="&amp;$DG5,$B5:$Y5)),
IF(AN$3=$DF5+'Model Setup'!$H$7,SUMIF($AD$3:$BA$3,"="&amp;$DF5+'Model Setup'!$H$7,$B5:$Y5)+'Model Setup'!$H$8*(SUMIF($AD$3:$BA$3,"&lt;"&amp;$DF5,$B5:$Y5)+SUMIF($AD$3:$BA$3,"&gt;="&amp;$DG5,$B5:$Y5)),
IF(AN$3=$DF5+'Model Setup'!$I$7,SUMIF($AD$3:$BA$3,"="&amp;$DF5+'Model Setup'!$I$7,$B5:$Y5)+'Model Setup'!$I$8*(SUMIF($AD$3:$BA$3,"&lt;"&amp;$DF5,$B5:$Y5)+SUMIF($AD$3:$BA$3,"&gt;="&amp;$DG5,$B5:$Y5)),
IF(AN$3=$DF5+'Model Setup'!$J$7,SUMIF($AD$3:$BA$3,"="&amp;$DF5+'Model Setup'!$J$7,$B5:$Y5)+'Model Setup'!$J$8*(SUMIF($AD$3:$BA$3,"&lt;"&amp;$DF5,$B5:$Y5)+SUMIF($AD$3:$BA$3,"&gt;="&amp;$DG5,$B5:$Y5)),
IF(AN$3=$DF5+'Model Setup'!$K$7,SUMIF($AD$3:$BA$3,"="&amp;$DF5+'Model Setup'!$K$7,$B5:$Y5)+'Model Setup'!$K$8*(SUMIF($AD$3:$BA$3,"&lt;"&amp;$DF5,$B5:$Y5)+SUMIF($AD$3:$BA$3,"&gt;="&amp;$DG5,$B5:$Y5)),
IF(AN$3=$DF5+'Model Setup'!$L$7,SUMIF($AD$3:$BA$3,"="&amp;$DF5+'Model Setup'!$L$7,$B5:$Y5)+'Model Setup'!$L$8*(SUMIF($AD$3:$BA$3,"&lt;"&amp;$DF5,$B5:$Y5)+SUMIF($AD$3:$BA$3,"&gt;="&amp;$DG5,$B5:$Y5)),
IF(AN$3=$DF5+'Model Setup'!$M$7,SUMIF($AD$3:$BA$3,"="&amp;$DF5+'Model Setup'!$M$7,$B5:$Y5)+'Model Setup'!$M$8*(SUMIF($AD$3:$BA$3,"&lt;"&amp;$DF5,$B5:$Y5)+SUMIF($AD$3:$BA$3,"&gt;="&amp;$DG5,$B5:$Y5)),
IF(AN$3=$DF5+'Model Setup'!$N$7,SUMIF($AD$3:$BA$3,"="&amp;$DF5+'Model Setup'!$N$7,$B5:$Y5)+'Model Setup'!$N$8*(SUMIF($AD$3:$BA$3,"&lt;"&amp;$DF5,$B5:$Y5)+SUMIF($AD$3:$BA$3,"&gt;="&amp;$DG5,$B5:$Y5)),
IF(AN$3&lt;$DG5,L5,0))))))))))))))),0)</f>
        <v>10</v>
      </c>
      <c r="AO5" s="47">
        <f>ROUND(IF(AO$3&lt;$DF5,0,
IF(AO$3=$DF5+'Model Setup'!$B$7,SUMIF($AD$3:$BA$3,"="&amp;$DF5+'Model Setup'!$B$7,$B5:$Y5)+'Model Setup'!$B$8*(SUMIF($AD$3:$BA$3,"&lt;"&amp;$DF5,$B5:$Y5)+SUMIF($AD$3:$BA$3,"&gt;="&amp;$DG5,$B5:$Y5)),
IF(AO$3=$DF5+'Model Setup'!$C$7,SUMIF($AD$3:$BA$3,"="&amp;$DF5+'Model Setup'!$C$7,$B5:$Y5)+'Model Setup'!$C$8*(SUMIF($AD$3:$BA$3,"&lt;"&amp;$DF5,$B5:$Y5)+SUMIF($AD$3:$BA$3,"&gt;="&amp;$DG5,$B5:$Y5)),
IF(AO$3=$DF5+'Model Setup'!$D$7,SUMIF($AD$3:$BA$3,"="&amp;$DF5+'Model Setup'!$D$7,$B5:$Y5)+'Model Setup'!$D$8*(SUMIF($AD$3:$BA$3,"&lt;"&amp;$DF5,$B5:$Y5)+SUMIF($AD$3:$BA$3,"&gt;="&amp;$DG5,$B5:$Y5)),
IF(AO$3=$DF5+'Model Setup'!$E$7,SUMIF($AD$3:$BA$3,"="&amp;$DF5+'Model Setup'!$E$7,$B5:$Y5)+'Model Setup'!$E$8*(SUMIF($AD$3:$BA$3,"&lt;"&amp;$DF5,$B5:$Y5)+SUMIF($AD$3:$BA$3,"&gt;="&amp;$DG5,$B5:$Y5)),
IF(AO$3=$DF5+'Model Setup'!$F$7,SUMIF($AD$3:$BA$3,"="&amp;$DF5+'Model Setup'!$F$7,$B5:$Y5)+'Model Setup'!$F$8*(SUMIF($AD$3:$BA$3,"&lt;"&amp;$DF5,$B5:$Y5)+SUMIF($AD$3:$BA$3,"&gt;="&amp;$DG5,$B5:$Y5)),
IF(AO$3=$DF5+'Model Setup'!$G$7,SUMIF($AD$3:$BA$3,"="&amp;$DF5+'Model Setup'!$G$7,$B5:$Y5)+'Model Setup'!$G$8*(SUMIF($AD$3:$BA$3,"&lt;"&amp;$DF5,$B5:$Y5)+SUMIF($AD$3:$BA$3,"&gt;="&amp;$DG5,$B5:$Y5)),
IF(AO$3=$DF5+'Model Setup'!$H$7,SUMIF($AD$3:$BA$3,"="&amp;$DF5+'Model Setup'!$H$7,$B5:$Y5)+'Model Setup'!$H$8*(SUMIF($AD$3:$BA$3,"&lt;"&amp;$DF5,$B5:$Y5)+SUMIF($AD$3:$BA$3,"&gt;="&amp;$DG5,$B5:$Y5)),
IF(AO$3=$DF5+'Model Setup'!$I$7,SUMIF($AD$3:$BA$3,"="&amp;$DF5+'Model Setup'!$I$7,$B5:$Y5)+'Model Setup'!$I$8*(SUMIF($AD$3:$BA$3,"&lt;"&amp;$DF5,$B5:$Y5)+SUMIF($AD$3:$BA$3,"&gt;="&amp;$DG5,$B5:$Y5)),
IF(AO$3=$DF5+'Model Setup'!$J$7,SUMIF($AD$3:$BA$3,"="&amp;$DF5+'Model Setup'!$J$7,$B5:$Y5)+'Model Setup'!$J$8*(SUMIF($AD$3:$BA$3,"&lt;"&amp;$DF5,$B5:$Y5)+SUMIF($AD$3:$BA$3,"&gt;="&amp;$DG5,$B5:$Y5)),
IF(AO$3=$DF5+'Model Setup'!$K$7,SUMIF($AD$3:$BA$3,"="&amp;$DF5+'Model Setup'!$K$7,$B5:$Y5)+'Model Setup'!$K$8*(SUMIF($AD$3:$BA$3,"&lt;"&amp;$DF5,$B5:$Y5)+SUMIF($AD$3:$BA$3,"&gt;="&amp;$DG5,$B5:$Y5)),
IF(AO$3=$DF5+'Model Setup'!$L$7,SUMIF($AD$3:$BA$3,"="&amp;$DF5+'Model Setup'!$L$7,$B5:$Y5)+'Model Setup'!$L$8*(SUMIF($AD$3:$BA$3,"&lt;"&amp;$DF5,$B5:$Y5)+SUMIF($AD$3:$BA$3,"&gt;="&amp;$DG5,$B5:$Y5)),
IF(AO$3=$DF5+'Model Setup'!$M$7,SUMIF($AD$3:$BA$3,"="&amp;$DF5+'Model Setup'!$M$7,$B5:$Y5)+'Model Setup'!$M$8*(SUMIF($AD$3:$BA$3,"&lt;"&amp;$DF5,$B5:$Y5)+SUMIF($AD$3:$BA$3,"&gt;="&amp;$DG5,$B5:$Y5)),
IF(AO$3=$DF5+'Model Setup'!$N$7,SUMIF($AD$3:$BA$3,"="&amp;$DF5+'Model Setup'!$N$7,$B5:$Y5)+'Model Setup'!$N$8*(SUMIF($AD$3:$BA$3,"&lt;"&amp;$DF5,$B5:$Y5)+SUMIF($AD$3:$BA$3,"&gt;="&amp;$DG5,$B5:$Y5)),
IF(AO$3&lt;$DG5,M5,0))))))))))))))),0)</f>
        <v>8</v>
      </c>
      <c r="AP5" s="47">
        <f>ROUND(IF(AP$3&lt;$DF5,0,
IF(AP$3=$DF5+'Model Setup'!$B$7,SUMIF($AD$3:$BA$3,"="&amp;$DF5+'Model Setup'!$B$7,$B5:$Y5)+'Model Setup'!$B$8*(SUMIF($AD$3:$BA$3,"&lt;"&amp;$DF5,$B5:$Y5)+SUMIF($AD$3:$BA$3,"&gt;="&amp;$DG5,$B5:$Y5)),
IF(AP$3=$DF5+'Model Setup'!$C$7,SUMIF($AD$3:$BA$3,"="&amp;$DF5+'Model Setup'!$C$7,$B5:$Y5)+'Model Setup'!$C$8*(SUMIF($AD$3:$BA$3,"&lt;"&amp;$DF5,$B5:$Y5)+SUMIF($AD$3:$BA$3,"&gt;="&amp;$DG5,$B5:$Y5)),
IF(AP$3=$DF5+'Model Setup'!$D$7,SUMIF($AD$3:$BA$3,"="&amp;$DF5+'Model Setup'!$D$7,$B5:$Y5)+'Model Setup'!$D$8*(SUMIF($AD$3:$BA$3,"&lt;"&amp;$DF5,$B5:$Y5)+SUMIF($AD$3:$BA$3,"&gt;="&amp;$DG5,$B5:$Y5)),
IF(AP$3=$DF5+'Model Setup'!$E$7,SUMIF($AD$3:$BA$3,"="&amp;$DF5+'Model Setup'!$E$7,$B5:$Y5)+'Model Setup'!$E$8*(SUMIF($AD$3:$BA$3,"&lt;"&amp;$DF5,$B5:$Y5)+SUMIF($AD$3:$BA$3,"&gt;="&amp;$DG5,$B5:$Y5)),
IF(AP$3=$DF5+'Model Setup'!$F$7,SUMIF($AD$3:$BA$3,"="&amp;$DF5+'Model Setup'!$F$7,$B5:$Y5)+'Model Setup'!$F$8*(SUMIF($AD$3:$BA$3,"&lt;"&amp;$DF5,$B5:$Y5)+SUMIF($AD$3:$BA$3,"&gt;="&amp;$DG5,$B5:$Y5)),
IF(AP$3=$DF5+'Model Setup'!$G$7,SUMIF($AD$3:$BA$3,"="&amp;$DF5+'Model Setup'!$G$7,$B5:$Y5)+'Model Setup'!$G$8*(SUMIF($AD$3:$BA$3,"&lt;"&amp;$DF5,$B5:$Y5)+SUMIF($AD$3:$BA$3,"&gt;="&amp;$DG5,$B5:$Y5)),
IF(AP$3=$DF5+'Model Setup'!$H$7,SUMIF($AD$3:$BA$3,"="&amp;$DF5+'Model Setup'!$H$7,$B5:$Y5)+'Model Setup'!$H$8*(SUMIF($AD$3:$BA$3,"&lt;"&amp;$DF5,$B5:$Y5)+SUMIF($AD$3:$BA$3,"&gt;="&amp;$DG5,$B5:$Y5)),
IF(AP$3=$DF5+'Model Setup'!$I$7,SUMIF($AD$3:$BA$3,"="&amp;$DF5+'Model Setup'!$I$7,$B5:$Y5)+'Model Setup'!$I$8*(SUMIF($AD$3:$BA$3,"&lt;"&amp;$DF5,$B5:$Y5)+SUMIF($AD$3:$BA$3,"&gt;="&amp;$DG5,$B5:$Y5)),
IF(AP$3=$DF5+'Model Setup'!$J$7,SUMIF($AD$3:$BA$3,"="&amp;$DF5+'Model Setup'!$J$7,$B5:$Y5)+'Model Setup'!$J$8*(SUMIF($AD$3:$BA$3,"&lt;"&amp;$DF5,$B5:$Y5)+SUMIF($AD$3:$BA$3,"&gt;="&amp;$DG5,$B5:$Y5)),
IF(AP$3=$DF5+'Model Setup'!$K$7,SUMIF($AD$3:$BA$3,"="&amp;$DF5+'Model Setup'!$K$7,$B5:$Y5)+'Model Setup'!$K$8*(SUMIF($AD$3:$BA$3,"&lt;"&amp;$DF5,$B5:$Y5)+SUMIF($AD$3:$BA$3,"&gt;="&amp;$DG5,$B5:$Y5)),
IF(AP$3=$DF5+'Model Setup'!$L$7,SUMIF($AD$3:$BA$3,"="&amp;$DF5+'Model Setup'!$L$7,$B5:$Y5)+'Model Setup'!$L$8*(SUMIF($AD$3:$BA$3,"&lt;"&amp;$DF5,$B5:$Y5)+SUMIF($AD$3:$BA$3,"&gt;="&amp;$DG5,$B5:$Y5)),
IF(AP$3=$DF5+'Model Setup'!$M$7,SUMIF($AD$3:$BA$3,"="&amp;$DF5+'Model Setup'!$M$7,$B5:$Y5)+'Model Setup'!$M$8*(SUMIF($AD$3:$BA$3,"&lt;"&amp;$DF5,$B5:$Y5)+SUMIF($AD$3:$BA$3,"&gt;="&amp;$DG5,$B5:$Y5)),
IF(AP$3=$DF5+'Model Setup'!$N$7,SUMIF($AD$3:$BA$3,"="&amp;$DF5+'Model Setup'!$N$7,$B5:$Y5)+'Model Setup'!$N$8*(SUMIF($AD$3:$BA$3,"&lt;"&amp;$DF5,$B5:$Y5)+SUMIF($AD$3:$BA$3,"&gt;="&amp;$DG5,$B5:$Y5)),
IF(AP$3&lt;$DG5,N5,0))))))))))))))),0)</f>
        <v>6</v>
      </c>
      <c r="AQ5" s="47">
        <f>ROUND(IF(AQ$3&lt;$DF5,0,
IF(AQ$3=$DF5+'Model Setup'!$B$7,SUMIF($AD$3:$BA$3,"="&amp;$DF5+'Model Setup'!$B$7,$B5:$Y5)+'Model Setup'!$B$8*(SUMIF($AD$3:$BA$3,"&lt;"&amp;$DF5,$B5:$Y5)+SUMIF($AD$3:$BA$3,"&gt;="&amp;$DG5,$B5:$Y5)),
IF(AQ$3=$DF5+'Model Setup'!$C$7,SUMIF($AD$3:$BA$3,"="&amp;$DF5+'Model Setup'!$C$7,$B5:$Y5)+'Model Setup'!$C$8*(SUMIF($AD$3:$BA$3,"&lt;"&amp;$DF5,$B5:$Y5)+SUMIF($AD$3:$BA$3,"&gt;="&amp;$DG5,$B5:$Y5)),
IF(AQ$3=$DF5+'Model Setup'!$D$7,SUMIF($AD$3:$BA$3,"="&amp;$DF5+'Model Setup'!$D$7,$B5:$Y5)+'Model Setup'!$D$8*(SUMIF($AD$3:$BA$3,"&lt;"&amp;$DF5,$B5:$Y5)+SUMIF($AD$3:$BA$3,"&gt;="&amp;$DG5,$B5:$Y5)),
IF(AQ$3=$DF5+'Model Setup'!$E$7,SUMIF($AD$3:$BA$3,"="&amp;$DF5+'Model Setup'!$E$7,$B5:$Y5)+'Model Setup'!$E$8*(SUMIF($AD$3:$BA$3,"&lt;"&amp;$DF5,$B5:$Y5)+SUMIF($AD$3:$BA$3,"&gt;="&amp;$DG5,$B5:$Y5)),
IF(AQ$3=$DF5+'Model Setup'!$F$7,SUMIF($AD$3:$BA$3,"="&amp;$DF5+'Model Setup'!$F$7,$B5:$Y5)+'Model Setup'!$F$8*(SUMIF($AD$3:$BA$3,"&lt;"&amp;$DF5,$B5:$Y5)+SUMIF($AD$3:$BA$3,"&gt;="&amp;$DG5,$B5:$Y5)),
IF(AQ$3=$DF5+'Model Setup'!$G$7,SUMIF($AD$3:$BA$3,"="&amp;$DF5+'Model Setup'!$G$7,$B5:$Y5)+'Model Setup'!$G$8*(SUMIF($AD$3:$BA$3,"&lt;"&amp;$DF5,$B5:$Y5)+SUMIF($AD$3:$BA$3,"&gt;="&amp;$DG5,$B5:$Y5)),
IF(AQ$3=$DF5+'Model Setup'!$H$7,SUMIF($AD$3:$BA$3,"="&amp;$DF5+'Model Setup'!$H$7,$B5:$Y5)+'Model Setup'!$H$8*(SUMIF($AD$3:$BA$3,"&lt;"&amp;$DF5,$B5:$Y5)+SUMIF($AD$3:$BA$3,"&gt;="&amp;$DG5,$B5:$Y5)),
IF(AQ$3=$DF5+'Model Setup'!$I$7,SUMIF($AD$3:$BA$3,"="&amp;$DF5+'Model Setup'!$I$7,$B5:$Y5)+'Model Setup'!$I$8*(SUMIF($AD$3:$BA$3,"&lt;"&amp;$DF5,$B5:$Y5)+SUMIF($AD$3:$BA$3,"&gt;="&amp;$DG5,$B5:$Y5)),
IF(AQ$3=$DF5+'Model Setup'!$J$7,SUMIF($AD$3:$BA$3,"="&amp;$DF5+'Model Setup'!$J$7,$B5:$Y5)+'Model Setup'!$J$8*(SUMIF($AD$3:$BA$3,"&lt;"&amp;$DF5,$B5:$Y5)+SUMIF($AD$3:$BA$3,"&gt;="&amp;$DG5,$B5:$Y5)),
IF(AQ$3=$DF5+'Model Setup'!$K$7,SUMIF($AD$3:$BA$3,"="&amp;$DF5+'Model Setup'!$K$7,$B5:$Y5)+'Model Setup'!$K$8*(SUMIF($AD$3:$BA$3,"&lt;"&amp;$DF5,$B5:$Y5)+SUMIF($AD$3:$BA$3,"&gt;="&amp;$DG5,$B5:$Y5)),
IF(AQ$3=$DF5+'Model Setup'!$L$7,SUMIF($AD$3:$BA$3,"="&amp;$DF5+'Model Setup'!$L$7,$B5:$Y5)+'Model Setup'!$L$8*(SUMIF($AD$3:$BA$3,"&lt;"&amp;$DF5,$B5:$Y5)+SUMIF($AD$3:$BA$3,"&gt;="&amp;$DG5,$B5:$Y5)),
IF(AQ$3=$DF5+'Model Setup'!$M$7,SUMIF($AD$3:$BA$3,"="&amp;$DF5+'Model Setup'!$M$7,$B5:$Y5)+'Model Setup'!$M$8*(SUMIF($AD$3:$BA$3,"&lt;"&amp;$DF5,$B5:$Y5)+SUMIF($AD$3:$BA$3,"&gt;="&amp;$DG5,$B5:$Y5)),
IF(AQ$3=$DF5+'Model Setup'!$N$7,SUMIF($AD$3:$BA$3,"="&amp;$DF5+'Model Setup'!$N$7,$B5:$Y5)+'Model Setup'!$N$8*(SUMIF($AD$3:$BA$3,"&lt;"&amp;$DF5,$B5:$Y5)+SUMIF($AD$3:$BA$3,"&gt;="&amp;$DG5,$B5:$Y5)),
IF(AQ$3&lt;$DG5,O5,0))))))))))))))),0)</f>
        <v>8</v>
      </c>
      <c r="AR5" s="47">
        <f>ROUND(IF(AR$3&lt;$DF5,0,
IF(AR$3=$DF5+'Model Setup'!$B$7,SUMIF($AD$3:$BA$3,"="&amp;$DF5+'Model Setup'!$B$7,$B5:$Y5)+'Model Setup'!$B$8*(SUMIF($AD$3:$BA$3,"&lt;"&amp;$DF5,$B5:$Y5)+SUMIF($AD$3:$BA$3,"&gt;="&amp;$DG5,$B5:$Y5)),
IF(AR$3=$DF5+'Model Setup'!$C$7,SUMIF($AD$3:$BA$3,"="&amp;$DF5+'Model Setup'!$C$7,$B5:$Y5)+'Model Setup'!$C$8*(SUMIF($AD$3:$BA$3,"&lt;"&amp;$DF5,$B5:$Y5)+SUMIF($AD$3:$BA$3,"&gt;="&amp;$DG5,$B5:$Y5)),
IF(AR$3=$DF5+'Model Setup'!$D$7,SUMIF($AD$3:$BA$3,"="&amp;$DF5+'Model Setup'!$D$7,$B5:$Y5)+'Model Setup'!$D$8*(SUMIF($AD$3:$BA$3,"&lt;"&amp;$DF5,$B5:$Y5)+SUMIF($AD$3:$BA$3,"&gt;="&amp;$DG5,$B5:$Y5)),
IF(AR$3=$DF5+'Model Setup'!$E$7,SUMIF($AD$3:$BA$3,"="&amp;$DF5+'Model Setup'!$E$7,$B5:$Y5)+'Model Setup'!$E$8*(SUMIF($AD$3:$BA$3,"&lt;"&amp;$DF5,$B5:$Y5)+SUMIF($AD$3:$BA$3,"&gt;="&amp;$DG5,$B5:$Y5)),
IF(AR$3=$DF5+'Model Setup'!$F$7,SUMIF($AD$3:$BA$3,"="&amp;$DF5+'Model Setup'!$F$7,$B5:$Y5)+'Model Setup'!$F$8*(SUMIF($AD$3:$BA$3,"&lt;"&amp;$DF5,$B5:$Y5)+SUMIF($AD$3:$BA$3,"&gt;="&amp;$DG5,$B5:$Y5)),
IF(AR$3=$DF5+'Model Setup'!$G$7,SUMIF($AD$3:$BA$3,"="&amp;$DF5+'Model Setup'!$G$7,$B5:$Y5)+'Model Setup'!$G$8*(SUMIF($AD$3:$BA$3,"&lt;"&amp;$DF5,$B5:$Y5)+SUMIF($AD$3:$BA$3,"&gt;="&amp;$DG5,$B5:$Y5)),
IF(AR$3=$DF5+'Model Setup'!$H$7,SUMIF($AD$3:$BA$3,"="&amp;$DF5+'Model Setup'!$H$7,$B5:$Y5)+'Model Setup'!$H$8*(SUMIF($AD$3:$BA$3,"&lt;"&amp;$DF5,$B5:$Y5)+SUMIF($AD$3:$BA$3,"&gt;="&amp;$DG5,$B5:$Y5)),
IF(AR$3=$DF5+'Model Setup'!$I$7,SUMIF($AD$3:$BA$3,"="&amp;$DF5+'Model Setup'!$I$7,$B5:$Y5)+'Model Setup'!$I$8*(SUMIF($AD$3:$BA$3,"&lt;"&amp;$DF5,$B5:$Y5)+SUMIF($AD$3:$BA$3,"&gt;="&amp;$DG5,$B5:$Y5)),
IF(AR$3=$DF5+'Model Setup'!$J$7,SUMIF($AD$3:$BA$3,"="&amp;$DF5+'Model Setup'!$J$7,$B5:$Y5)+'Model Setup'!$J$8*(SUMIF($AD$3:$BA$3,"&lt;"&amp;$DF5,$B5:$Y5)+SUMIF($AD$3:$BA$3,"&gt;="&amp;$DG5,$B5:$Y5)),
IF(AR$3=$DF5+'Model Setup'!$K$7,SUMIF($AD$3:$BA$3,"="&amp;$DF5+'Model Setup'!$K$7,$B5:$Y5)+'Model Setup'!$K$8*(SUMIF($AD$3:$BA$3,"&lt;"&amp;$DF5,$B5:$Y5)+SUMIF($AD$3:$BA$3,"&gt;="&amp;$DG5,$B5:$Y5)),
IF(AR$3=$DF5+'Model Setup'!$L$7,SUMIF($AD$3:$BA$3,"="&amp;$DF5+'Model Setup'!$L$7,$B5:$Y5)+'Model Setup'!$L$8*(SUMIF($AD$3:$BA$3,"&lt;"&amp;$DF5,$B5:$Y5)+SUMIF($AD$3:$BA$3,"&gt;="&amp;$DG5,$B5:$Y5)),
IF(AR$3=$DF5+'Model Setup'!$M$7,SUMIF($AD$3:$BA$3,"="&amp;$DF5+'Model Setup'!$M$7,$B5:$Y5)+'Model Setup'!$M$8*(SUMIF($AD$3:$BA$3,"&lt;"&amp;$DF5,$B5:$Y5)+SUMIF($AD$3:$BA$3,"&gt;="&amp;$DG5,$B5:$Y5)),
IF(AR$3=$DF5+'Model Setup'!$N$7,SUMIF($AD$3:$BA$3,"="&amp;$DF5+'Model Setup'!$N$7,$B5:$Y5)+'Model Setup'!$N$8*(SUMIF($AD$3:$BA$3,"&lt;"&amp;$DF5,$B5:$Y5)+SUMIF($AD$3:$BA$3,"&gt;="&amp;$DG5,$B5:$Y5)),
IF(AR$3&lt;$DG5,P5,0))))))))))))))),0)</f>
        <v>6</v>
      </c>
      <c r="AS5" s="47">
        <f>ROUND(IF(AS$3&lt;$DF5,0,
IF(AS$3=$DF5+'Model Setup'!$B$7,SUMIF($AD$3:$BA$3,"="&amp;$DF5+'Model Setup'!$B$7,$B5:$Y5)+'Model Setup'!$B$8*(SUMIF($AD$3:$BA$3,"&lt;"&amp;$DF5,$B5:$Y5)+SUMIF($AD$3:$BA$3,"&gt;="&amp;$DG5,$B5:$Y5)),
IF(AS$3=$DF5+'Model Setup'!$C$7,SUMIF($AD$3:$BA$3,"="&amp;$DF5+'Model Setup'!$C$7,$B5:$Y5)+'Model Setup'!$C$8*(SUMIF($AD$3:$BA$3,"&lt;"&amp;$DF5,$B5:$Y5)+SUMIF($AD$3:$BA$3,"&gt;="&amp;$DG5,$B5:$Y5)),
IF(AS$3=$DF5+'Model Setup'!$D$7,SUMIF($AD$3:$BA$3,"="&amp;$DF5+'Model Setup'!$D$7,$B5:$Y5)+'Model Setup'!$D$8*(SUMIF($AD$3:$BA$3,"&lt;"&amp;$DF5,$B5:$Y5)+SUMIF($AD$3:$BA$3,"&gt;="&amp;$DG5,$B5:$Y5)),
IF(AS$3=$DF5+'Model Setup'!$E$7,SUMIF($AD$3:$BA$3,"="&amp;$DF5+'Model Setup'!$E$7,$B5:$Y5)+'Model Setup'!$E$8*(SUMIF($AD$3:$BA$3,"&lt;"&amp;$DF5,$B5:$Y5)+SUMIF($AD$3:$BA$3,"&gt;="&amp;$DG5,$B5:$Y5)),
IF(AS$3=$DF5+'Model Setup'!$F$7,SUMIF($AD$3:$BA$3,"="&amp;$DF5+'Model Setup'!$F$7,$B5:$Y5)+'Model Setup'!$F$8*(SUMIF($AD$3:$BA$3,"&lt;"&amp;$DF5,$B5:$Y5)+SUMIF($AD$3:$BA$3,"&gt;="&amp;$DG5,$B5:$Y5)),
IF(AS$3=$DF5+'Model Setup'!$G$7,SUMIF($AD$3:$BA$3,"="&amp;$DF5+'Model Setup'!$G$7,$B5:$Y5)+'Model Setup'!$G$8*(SUMIF($AD$3:$BA$3,"&lt;"&amp;$DF5,$B5:$Y5)+SUMIF($AD$3:$BA$3,"&gt;="&amp;$DG5,$B5:$Y5)),
IF(AS$3=$DF5+'Model Setup'!$H$7,SUMIF($AD$3:$BA$3,"="&amp;$DF5+'Model Setup'!$H$7,$B5:$Y5)+'Model Setup'!$H$8*(SUMIF($AD$3:$BA$3,"&lt;"&amp;$DF5,$B5:$Y5)+SUMIF($AD$3:$BA$3,"&gt;="&amp;$DG5,$B5:$Y5)),
IF(AS$3=$DF5+'Model Setup'!$I$7,SUMIF($AD$3:$BA$3,"="&amp;$DF5+'Model Setup'!$I$7,$B5:$Y5)+'Model Setup'!$I$8*(SUMIF($AD$3:$BA$3,"&lt;"&amp;$DF5,$B5:$Y5)+SUMIF($AD$3:$BA$3,"&gt;="&amp;$DG5,$B5:$Y5)),
IF(AS$3=$DF5+'Model Setup'!$J$7,SUMIF($AD$3:$BA$3,"="&amp;$DF5+'Model Setup'!$J$7,$B5:$Y5)+'Model Setup'!$J$8*(SUMIF($AD$3:$BA$3,"&lt;"&amp;$DF5,$B5:$Y5)+SUMIF($AD$3:$BA$3,"&gt;="&amp;$DG5,$B5:$Y5)),
IF(AS$3=$DF5+'Model Setup'!$K$7,SUMIF($AD$3:$BA$3,"="&amp;$DF5+'Model Setup'!$K$7,$B5:$Y5)+'Model Setup'!$K$8*(SUMIF($AD$3:$BA$3,"&lt;"&amp;$DF5,$B5:$Y5)+SUMIF($AD$3:$BA$3,"&gt;="&amp;$DG5,$B5:$Y5)),
IF(AS$3=$DF5+'Model Setup'!$L$7,SUMIF($AD$3:$BA$3,"="&amp;$DF5+'Model Setup'!$L$7,$B5:$Y5)+'Model Setup'!$L$8*(SUMIF($AD$3:$BA$3,"&lt;"&amp;$DF5,$B5:$Y5)+SUMIF($AD$3:$BA$3,"&gt;="&amp;$DG5,$B5:$Y5)),
IF(AS$3=$DF5+'Model Setup'!$M$7,SUMIF($AD$3:$BA$3,"="&amp;$DF5+'Model Setup'!$M$7,$B5:$Y5)+'Model Setup'!$M$8*(SUMIF($AD$3:$BA$3,"&lt;"&amp;$DF5,$B5:$Y5)+SUMIF($AD$3:$BA$3,"&gt;="&amp;$DG5,$B5:$Y5)),
IF(AS$3=$DF5+'Model Setup'!$N$7,SUMIF($AD$3:$BA$3,"="&amp;$DF5+'Model Setup'!$N$7,$B5:$Y5)+'Model Setup'!$N$8*(SUMIF($AD$3:$BA$3,"&lt;"&amp;$DF5,$B5:$Y5)+SUMIF($AD$3:$BA$3,"&gt;="&amp;$DG5,$B5:$Y5)),
IF(AS$3&lt;$DG5,Q5,0))))))))))))))),0)</f>
        <v>5</v>
      </c>
      <c r="AT5" s="47">
        <f>ROUND(IF(AT$3&lt;$DF5,0,
IF(AT$3=$DF5+'Model Setup'!$B$7,SUMIF($AD$3:$BA$3,"="&amp;$DF5+'Model Setup'!$B$7,$B5:$Y5)+'Model Setup'!$B$8*(SUMIF($AD$3:$BA$3,"&lt;"&amp;$DF5,$B5:$Y5)+SUMIF($AD$3:$BA$3,"&gt;="&amp;$DG5,$B5:$Y5)),
IF(AT$3=$DF5+'Model Setup'!$C$7,SUMIF($AD$3:$BA$3,"="&amp;$DF5+'Model Setup'!$C$7,$B5:$Y5)+'Model Setup'!$C$8*(SUMIF($AD$3:$BA$3,"&lt;"&amp;$DF5,$B5:$Y5)+SUMIF($AD$3:$BA$3,"&gt;="&amp;$DG5,$B5:$Y5)),
IF(AT$3=$DF5+'Model Setup'!$D$7,SUMIF($AD$3:$BA$3,"="&amp;$DF5+'Model Setup'!$D$7,$B5:$Y5)+'Model Setup'!$D$8*(SUMIF($AD$3:$BA$3,"&lt;"&amp;$DF5,$B5:$Y5)+SUMIF($AD$3:$BA$3,"&gt;="&amp;$DG5,$B5:$Y5)),
IF(AT$3=$DF5+'Model Setup'!$E$7,SUMIF($AD$3:$BA$3,"="&amp;$DF5+'Model Setup'!$E$7,$B5:$Y5)+'Model Setup'!$E$8*(SUMIF($AD$3:$BA$3,"&lt;"&amp;$DF5,$B5:$Y5)+SUMIF($AD$3:$BA$3,"&gt;="&amp;$DG5,$B5:$Y5)),
IF(AT$3=$DF5+'Model Setup'!$F$7,SUMIF($AD$3:$BA$3,"="&amp;$DF5+'Model Setup'!$F$7,$B5:$Y5)+'Model Setup'!$F$8*(SUMIF($AD$3:$BA$3,"&lt;"&amp;$DF5,$B5:$Y5)+SUMIF($AD$3:$BA$3,"&gt;="&amp;$DG5,$B5:$Y5)),
IF(AT$3=$DF5+'Model Setup'!$G$7,SUMIF($AD$3:$BA$3,"="&amp;$DF5+'Model Setup'!$G$7,$B5:$Y5)+'Model Setup'!$G$8*(SUMIF($AD$3:$BA$3,"&lt;"&amp;$DF5,$B5:$Y5)+SUMIF($AD$3:$BA$3,"&gt;="&amp;$DG5,$B5:$Y5)),
IF(AT$3=$DF5+'Model Setup'!$H$7,SUMIF($AD$3:$BA$3,"="&amp;$DF5+'Model Setup'!$H$7,$B5:$Y5)+'Model Setup'!$H$8*(SUMIF($AD$3:$BA$3,"&lt;"&amp;$DF5,$B5:$Y5)+SUMIF($AD$3:$BA$3,"&gt;="&amp;$DG5,$B5:$Y5)),
IF(AT$3=$DF5+'Model Setup'!$I$7,SUMIF($AD$3:$BA$3,"="&amp;$DF5+'Model Setup'!$I$7,$B5:$Y5)+'Model Setup'!$I$8*(SUMIF($AD$3:$BA$3,"&lt;"&amp;$DF5,$B5:$Y5)+SUMIF($AD$3:$BA$3,"&gt;="&amp;$DG5,$B5:$Y5)),
IF(AT$3=$DF5+'Model Setup'!$J$7,SUMIF($AD$3:$BA$3,"="&amp;$DF5+'Model Setup'!$J$7,$B5:$Y5)+'Model Setup'!$J$8*(SUMIF($AD$3:$BA$3,"&lt;"&amp;$DF5,$B5:$Y5)+SUMIF($AD$3:$BA$3,"&gt;="&amp;$DG5,$B5:$Y5)),
IF(AT$3=$DF5+'Model Setup'!$K$7,SUMIF($AD$3:$BA$3,"="&amp;$DF5+'Model Setup'!$K$7,$B5:$Y5)+'Model Setup'!$K$8*(SUMIF($AD$3:$BA$3,"&lt;"&amp;$DF5,$B5:$Y5)+SUMIF($AD$3:$BA$3,"&gt;="&amp;$DG5,$B5:$Y5)),
IF(AT$3=$DF5+'Model Setup'!$L$7,SUMIF($AD$3:$BA$3,"="&amp;$DF5+'Model Setup'!$L$7,$B5:$Y5)+'Model Setup'!$L$8*(SUMIF($AD$3:$BA$3,"&lt;"&amp;$DF5,$B5:$Y5)+SUMIF($AD$3:$BA$3,"&gt;="&amp;$DG5,$B5:$Y5)),
IF(AT$3=$DF5+'Model Setup'!$M$7,SUMIF($AD$3:$BA$3,"="&amp;$DF5+'Model Setup'!$M$7,$B5:$Y5)+'Model Setup'!$M$8*(SUMIF($AD$3:$BA$3,"&lt;"&amp;$DF5,$B5:$Y5)+SUMIF($AD$3:$BA$3,"&gt;="&amp;$DG5,$B5:$Y5)),
IF(AT$3=$DF5+'Model Setup'!$N$7,SUMIF($AD$3:$BA$3,"="&amp;$DF5+'Model Setup'!$N$7,$B5:$Y5)+'Model Setup'!$N$8*(SUMIF($AD$3:$BA$3,"&lt;"&amp;$DF5,$B5:$Y5)+SUMIF($AD$3:$BA$3,"&gt;="&amp;$DG5,$B5:$Y5)),
IF(AT$3&lt;$DG5,R5,0))))))))))))))),0)</f>
        <v>4</v>
      </c>
      <c r="AU5" s="47">
        <f>ROUND(IF(AU$3&lt;$DF5,0,
IF(AU$3=$DF5+'Model Setup'!$B$7,SUMIF($AD$3:$BA$3,"="&amp;$DF5+'Model Setup'!$B$7,$B5:$Y5)+'Model Setup'!$B$8*(SUMIF($AD$3:$BA$3,"&lt;"&amp;$DF5,$B5:$Y5)+SUMIF($AD$3:$BA$3,"&gt;="&amp;$DG5,$B5:$Y5)),
IF(AU$3=$DF5+'Model Setup'!$C$7,SUMIF($AD$3:$BA$3,"="&amp;$DF5+'Model Setup'!$C$7,$B5:$Y5)+'Model Setup'!$C$8*(SUMIF($AD$3:$BA$3,"&lt;"&amp;$DF5,$B5:$Y5)+SUMIF($AD$3:$BA$3,"&gt;="&amp;$DG5,$B5:$Y5)),
IF(AU$3=$DF5+'Model Setup'!$D$7,SUMIF($AD$3:$BA$3,"="&amp;$DF5+'Model Setup'!$D$7,$B5:$Y5)+'Model Setup'!$D$8*(SUMIF($AD$3:$BA$3,"&lt;"&amp;$DF5,$B5:$Y5)+SUMIF($AD$3:$BA$3,"&gt;="&amp;$DG5,$B5:$Y5)),
IF(AU$3=$DF5+'Model Setup'!$E$7,SUMIF($AD$3:$BA$3,"="&amp;$DF5+'Model Setup'!$E$7,$B5:$Y5)+'Model Setup'!$E$8*(SUMIF($AD$3:$BA$3,"&lt;"&amp;$DF5,$B5:$Y5)+SUMIF($AD$3:$BA$3,"&gt;="&amp;$DG5,$B5:$Y5)),
IF(AU$3=$DF5+'Model Setup'!$F$7,SUMIF($AD$3:$BA$3,"="&amp;$DF5+'Model Setup'!$F$7,$B5:$Y5)+'Model Setup'!$F$8*(SUMIF($AD$3:$BA$3,"&lt;"&amp;$DF5,$B5:$Y5)+SUMIF($AD$3:$BA$3,"&gt;="&amp;$DG5,$B5:$Y5)),
IF(AU$3=$DF5+'Model Setup'!$G$7,SUMIF($AD$3:$BA$3,"="&amp;$DF5+'Model Setup'!$G$7,$B5:$Y5)+'Model Setup'!$G$8*(SUMIF($AD$3:$BA$3,"&lt;"&amp;$DF5,$B5:$Y5)+SUMIF($AD$3:$BA$3,"&gt;="&amp;$DG5,$B5:$Y5)),
IF(AU$3=$DF5+'Model Setup'!$H$7,SUMIF($AD$3:$BA$3,"="&amp;$DF5+'Model Setup'!$H$7,$B5:$Y5)+'Model Setup'!$H$8*(SUMIF($AD$3:$BA$3,"&lt;"&amp;$DF5,$B5:$Y5)+SUMIF($AD$3:$BA$3,"&gt;="&amp;$DG5,$B5:$Y5)),
IF(AU$3=$DF5+'Model Setup'!$I$7,SUMIF($AD$3:$BA$3,"="&amp;$DF5+'Model Setup'!$I$7,$B5:$Y5)+'Model Setup'!$I$8*(SUMIF($AD$3:$BA$3,"&lt;"&amp;$DF5,$B5:$Y5)+SUMIF($AD$3:$BA$3,"&gt;="&amp;$DG5,$B5:$Y5)),
IF(AU$3=$DF5+'Model Setup'!$J$7,SUMIF($AD$3:$BA$3,"="&amp;$DF5+'Model Setup'!$J$7,$B5:$Y5)+'Model Setup'!$J$8*(SUMIF($AD$3:$BA$3,"&lt;"&amp;$DF5,$B5:$Y5)+SUMIF($AD$3:$BA$3,"&gt;="&amp;$DG5,$B5:$Y5)),
IF(AU$3=$DF5+'Model Setup'!$K$7,SUMIF($AD$3:$BA$3,"="&amp;$DF5+'Model Setup'!$K$7,$B5:$Y5)+'Model Setup'!$K$8*(SUMIF($AD$3:$BA$3,"&lt;"&amp;$DF5,$B5:$Y5)+SUMIF($AD$3:$BA$3,"&gt;="&amp;$DG5,$B5:$Y5)),
IF(AU$3=$DF5+'Model Setup'!$L$7,SUMIF($AD$3:$BA$3,"="&amp;$DF5+'Model Setup'!$L$7,$B5:$Y5)+'Model Setup'!$L$8*(SUMIF($AD$3:$BA$3,"&lt;"&amp;$DF5,$B5:$Y5)+SUMIF($AD$3:$BA$3,"&gt;="&amp;$DG5,$B5:$Y5)),
IF(AU$3=$DF5+'Model Setup'!$M$7,SUMIF($AD$3:$BA$3,"="&amp;$DF5+'Model Setup'!$M$7,$B5:$Y5)+'Model Setup'!$M$8*(SUMIF($AD$3:$BA$3,"&lt;"&amp;$DF5,$B5:$Y5)+SUMIF($AD$3:$BA$3,"&gt;="&amp;$DG5,$B5:$Y5)),
IF(AU$3=$DF5+'Model Setup'!$N$7,SUMIF($AD$3:$BA$3,"="&amp;$DF5+'Model Setup'!$N$7,$B5:$Y5)+'Model Setup'!$N$8*(SUMIF($AD$3:$BA$3,"&lt;"&amp;$DF5,$B5:$Y5)+SUMIF($AD$3:$BA$3,"&gt;="&amp;$DG5,$B5:$Y5)),
IF(AU$3&lt;$DG5,S5,0))))))))))))))),0)</f>
        <v>4</v>
      </c>
      <c r="AV5" s="47">
        <f>ROUND(IF(AV$3&lt;$DF5,0,
IF(AV$3=$DF5+'Model Setup'!$B$7,SUMIF($AD$3:$BA$3,"="&amp;$DF5+'Model Setup'!$B$7,$B5:$Y5)+'Model Setup'!$B$8*(SUMIF($AD$3:$BA$3,"&lt;"&amp;$DF5,$B5:$Y5)+SUMIF($AD$3:$BA$3,"&gt;="&amp;$DG5,$B5:$Y5)),
IF(AV$3=$DF5+'Model Setup'!$C$7,SUMIF($AD$3:$BA$3,"="&amp;$DF5+'Model Setup'!$C$7,$B5:$Y5)+'Model Setup'!$C$8*(SUMIF($AD$3:$BA$3,"&lt;"&amp;$DF5,$B5:$Y5)+SUMIF($AD$3:$BA$3,"&gt;="&amp;$DG5,$B5:$Y5)),
IF(AV$3=$DF5+'Model Setup'!$D$7,SUMIF($AD$3:$BA$3,"="&amp;$DF5+'Model Setup'!$D$7,$B5:$Y5)+'Model Setup'!$D$8*(SUMIF($AD$3:$BA$3,"&lt;"&amp;$DF5,$B5:$Y5)+SUMIF($AD$3:$BA$3,"&gt;="&amp;$DG5,$B5:$Y5)),
IF(AV$3=$DF5+'Model Setup'!$E$7,SUMIF($AD$3:$BA$3,"="&amp;$DF5+'Model Setup'!$E$7,$B5:$Y5)+'Model Setup'!$E$8*(SUMIF($AD$3:$BA$3,"&lt;"&amp;$DF5,$B5:$Y5)+SUMIF($AD$3:$BA$3,"&gt;="&amp;$DG5,$B5:$Y5)),
IF(AV$3=$DF5+'Model Setup'!$F$7,SUMIF($AD$3:$BA$3,"="&amp;$DF5+'Model Setup'!$F$7,$B5:$Y5)+'Model Setup'!$F$8*(SUMIF($AD$3:$BA$3,"&lt;"&amp;$DF5,$B5:$Y5)+SUMIF($AD$3:$BA$3,"&gt;="&amp;$DG5,$B5:$Y5)),
IF(AV$3=$DF5+'Model Setup'!$G$7,SUMIF($AD$3:$BA$3,"="&amp;$DF5+'Model Setup'!$G$7,$B5:$Y5)+'Model Setup'!$G$8*(SUMIF($AD$3:$BA$3,"&lt;"&amp;$DF5,$B5:$Y5)+SUMIF($AD$3:$BA$3,"&gt;="&amp;$DG5,$B5:$Y5)),
IF(AV$3=$DF5+'Model Setup'!$H$7,SUMIF($AD$3:$BA$3,"="&amp;$DF5+'Model Setup'!$H$7,$B5:$Y5)+'Model Setup'!$H$8*(SUMIF($AD$3:$BA$3,"&lt;"&amp;$DF5,$B5:$Y5)+SUMIF($AD$3:$BA$3,"&gt;="&amp;$DG5,$B5:$Y5)),
IF(AV$3=$DF5+'Model Setup'!$I$7,SUMIF($AD$3:$BA$3,"="&amp;$DF5+'Model Setup'!$I$7,$B5:$Y5)+'Model Setup'!$I$8*(SUMIF($AD$3:$BA$3,"&lt;"&amp;$DF5,$B5:$Y5)+SUMIF($AD$3:$BA$3,"&gt;="&amp;$DG5,$B5:$Y5)),
IF(AV$3=$DF5+'Model Setup'!$J$7,SUMIF($AD$3:$BA$3,"="&amp;$DF5+'Model Setup'!$J$7,$B5:$Y5)+'Model Setup'!$J$8*(SUMIF($AD$3:$BA$3,"&lt;"&amp;$DF5,$B5:$Y5)+SUMIF($AD$3:$BA$3,"&gt;="&amp;$DG5,$B5:$Y5)),
IF(AV$3=$DF5+'Model Setup'!$K$7,SUMIF($AD$3:$BA$3,"="&amp;$DF5+'Model Setup'!$K$7,$B5:$Y5)+'Model Setup'!$K$8*(SUMIF($AD$3:$BA$3,"&lt;"&amp;$DF5,$B5:$Y5)+SUMIF($AD$3:$BA$3,"&gt;="&amp;$DG5,$B5:$Y5)),
IF(AV$3=$DF5+'Model Setup'!$L$7,SUMIF($AD$3:$BA$3,"="&amp;$DF5+'Model Setup'!$L$7,$B5:$Y5)+'Model Setup'!$L$8*(SUMIF($AD$3:$BA$3,"&lt;"&amp;$DF5,$B5:$Y5)+SUMIF($AD$3:$BA$3,"&gt;="&amp;$DG5,$B5:$Y5)),
IF(AV$3=$DF5+'Model Setup'!$M$7,SUMIF($AD$3:$BA$3,"="&amp;$DF5+'Model Setup'!$M$7,$B5:$Y5)+'Model Setup'!$M$8*(SUMIF($AD$3:$BA$3,"&lt;"&amp;$DF5,$B5:$Y5)+SUMIF($AD$3:$BA$3,"&gt;="&amp;$DG5,$B5:$Y5)),
IF(AV$3=$DF5+'Model Setup'!$N$7,SUMIF($AD$3:$BA$3,"="&amp;$DF5+'Model Setup'!$N$7,$B5:$Y5)+'Model Setup'!$N$8*(SUMIF($AD$3:$BA$3,"&lt;"&amp;$DF5,$B5:$Y5)+SUMIF($AD$3:$BA$3,"&gt;="&amp;$DG5,$B5:$Y5)),
IF(AV$3&lt;$DG5,T5,0))))))))))))))),0)</f>
        <v>15</v>
      </c>
      <c r="AW5" s="47">
        <f>ROUND(IF(AW$3&lt;$DF5,0,
IF(AW$3=$DF5+'Model Setup'!$B$7,SUMIF($AD$3:$BA$3,"="&amp;$DF5+'Model Setup'!$B$7,$B5:$Y5)+'Model Setup'!$B$8*(SUMIF($AD$3:$BA$3,"&lt;"&amp;$DF5,$B5:$Y5)+SUMIF($AD$3:$BA$3,"&gt;="&amp;$DG5,$B5:$Y5)),
IF(AW$3=$DF5+'Model Setup'!$C$7,SUMIF($AD$3:$BA$3,"="&amp;$DF5+'Model Setup'!$C$7,$B5:$Y5)+'Model Setup'!$C$8*(SUMIF($AD$3:$BA$3,"&lt;"&amp;$DF5,$B5:$Y5)+SUMIF($AD$3:$BA$3,"&gt;="&amp;$DG5,$B5:$Y5)),
IF(AW$3=$DF5+'Model Setup'!$D$7,SUMIF($AD$3:$BA$3,"="&amp;$DF5+'Model Setup'!$D$7,$B5:$Y5)+'Model Setup'!$D$8*(SUMIF($AD$3:$BA$3,"&lt;"&amp;$DF5,$B5:$Y5)+SUMIF($AD$3:$BA$3,"&gt;="&amp;$DG5,$B5:$Y5)),
IF(AW$3=$DF5+'Model Setup'!$E$7,SUMIF($AD$3:$BA$3,"="&amp;$DF5+'Model Setup'!$E$7,$B5:$Y5)+'Model Setup'!$E$8*(SUMIF($AD$3:$BA$3,"&lt;"&amp;$DF5,$B5:$Y5)+SUMIF($AD$3:$BA$3,"&gt;="&amp;$DG5,$B5:$Y5)),
IF(AW$3=$DF5+'Model Setup'!$F$7,SUMIF($AD$3:$BA$3,"="&amp;$DF5+'Model Setup'!$F$7,$B5:$Y5)+'Model Setup'!$F$8*(SUMIF($AD$3:$BA$3,"&lt;"&amp;$DF5,$B5:$Y5)+SUMIF($AD$3:$BA$3,"&gt;="&amp;$DG5,$B5:$Y5)),
IF(AW$3=$DF5+'Model Setup'!$G$7,SUMIF($AD$3:$BA$3,"="&amp;$DF5+'Model Setup'!$G$7,$B5:$Y5)+'Model Setup'!$G$8*(SUMIF($AD$3:$BA$3,"&lt;"&amp;$DF5,$B5:$Y5)+SUMIF($AD$3:$BA$3,"&gt;="&amp;$DG5,$B5:$Y5)),
IF(AW$3=$DF5+'Model Setup'!$H$7,SUMIF($AD$3:$BA$3,"="&amp;$DF5+'Model Setup'!$H$7,$B5:$Y5)+'Model Setup'!$H$8*(SUMIF($AD$3:$BA$3,"&lt;"&amp;$DF5,$B5:$Y5)+SUMIF($AD$3:$BA$3,"&gt;="&amp;$DG5,$B5:$Y5)),
IF(AW$3=$DF5+'Model Setup'!$I$7,SUMIF($AD$3:$BA$3,"="&amp;$DF5+'Model Setup'!$I$7,$B5:$Y5)+'Model Setup'!$I$8*(SUMIF($AD$3:$BA$3,"&lt;"&amp;$DF5,$B5:$Y5)+SUMIF($AD$3:$BA$3,"&gt;="&amp;$DG5,$B5:$Y5)),
IF(AW$3=$DF5+'Model Setup'!$J$7,SUMIF($AD$3:$BA$3,"="&amp;$DF5+'Model Setup'!$J$7,$B5:$Y5)+'Model Setup'!$J$8*(SUMIF($AD$3:$BA$3,"&lt;"&amp;$DF5,$B5:$Y5)+SUMIF($AD$3:$BA$3,"&gt;="&amp;$DG5,$B5:$Y5)),
IF(AW$3=$DF5+'Model Setup'!$K$7,SUMIF($AD$3:$BA$3,"="&amp;$DF5+'Model Setup'!$K$7,$B5:$Y5)+'Model Setup'!$K$8*(SUMIF($AD$3:$BA$3,"&lt;"&amp;$DF5,$B5:$Y5)+SUMIF($AD$3:$BA$3,"&gt;="&amp;$DG5,$B5:$Y5)),
IF(AW$3=$DF5+'Model Setup'!$L$7,SUMIF($AD$3:$BA$3,"="&amp;$DF5+'Model Setup'!$L$7,$B5:$Y5)+'Model Setup'!$L$8*(SUMIF($AD$3:$BA$3,"&lt;"&amp;$DF5,$B5:$Y5)+SUMIF($AD$3:$BA$3,"&gt;="&amp;$DG5,$B5:$Y5)),
IF(AW$3=$DF5+'Model Setup'!$M$7,SUMIF($AD$3:$BA$3,"="&amp;$DF5+'Model Setup'!$M$7,$B5:$Y5)+'Model Setup'!$M$8*(SUMIF($AD$3:$BA$3,"&lt;"&amp;$DF5,$B5:$Y5)+SUMIF($AD$3:$BA$3,"&gt;="&amp;$DG5,$B5:$Y5)),
IF(AW$3=$DF5+'Model Setup'!$N$7,SUMIF($AD$3:$BA$3,"="&amp;$DF5+'Model Setup'!$N$7,$B5:$Y5)+'Model Setup'!$N$8*(SUMIF($AD$3:$BA$3,"&lt;"&amp;$DF5,$B5:$Y5)+SUMIF($AD$3:$BA$3,"&gt;="&amp;$DG5,$B5:$Y5)),
IF(AW$3&lt;$DG5,U5,0))))))))))))))),0)</f>
        <v>20</v>
      </c>
      <c r="AX5" s="47">
        <f>ROUND(IF(AX$3&lt;$DF5,0,
IF(AX$3=$DF5+'Model Setup'!$B$7,SUMIF($AD$3:$BA$3,"="&amp;$DF5+'Model Setup'!$B$7,$B5:$Y5)+'Model Setup'!$B$8*(SUMIF($AD$3:$BA$3,"&lt;"&amp;$DF5,$B5:$Y5)+SUMIF($AD$3:$BA$3,"&gt;="&amp;$DG5,$B5:$Y5)),
IF(AX$3=$DF5+'Model Setup'!$C$7,SUMIF($AD$3:$BA$3,"="&amp;$DF5+'Model Setup'!$C$7,$B5:$Y5)+'Model Setup'!$C$8*(SUMIF($AD$3:$BA$3,"&lt;"&amp;$DF5,$B5:$Y5)+SUMIF($AD$3:$BA$3,"&gt;="&amp;$DG5,$B5:$Y5)),
IF(AX$3=$DF5+'Model Setup'!$D$7,SUMIF($AD$3:$BA$3,"="&amp;$DF5+'Model Setup'!$D$7,$B5:$Y5)+'Model Setup'!$D$8*(SUMIF($AD$3:$BA$3,"&lt;"&amp;$DF5,$B5:$Y5)+SUMIF($AD$3:$BA$3,"&gt;="&amp;$DG5,$B5:$Y5)),
IF(AX$3=$DF5+'Model Setup'!$E$7,SUMIF($AD$3:$BA$3,"="&amp;$DF5+'Model Setup'!$E$7,$B5:$Y5)+'Model Setup'!$E$8*(SUMIF($AD$3:$BA$3,"&lt;"&amp;$DF5,$B5:$Y5)+SUMIF($AD$3:$BA$3,"&gt;="&amp;$DG5,$B5:$Y5)),
IF(AX$3=$DF5+'Model Setup'!$F$7,SUMIF($AD$3:$BA$3,"="&amp;$DF5+'Model Setup'!$F$7,$B5:$Y5)+'Model Setup'!$F$8*(SUMIF($AD$3:$BA$3,"&lt;"&amp;$DF5,$B5:$Y5)+SUMIF($AD$3:$BA$3,"&gt;="&amp;$DG5,$B5:$Y5)),
IF(AX$3=$DF5+'Model Setup'!$G$7,SUMIF($AD$3:$BA$3,"="&amp;$DF5+'Model Setup'!$G$7,$B5:$Y5)+'Model Setup'!$G$8*(SUMIF($AD$3:$BA$3,"&lt;"&amp;$DF5,$B5:$Y5)+SUMIF($AD$3:$BA$3,"&gt;="&amp;$DG5,$B5:$Y5)),
IF(AX$3=$DF5+'Model Setup'!$H$7,SUMIF($AD$3:$BA$3,"="&amp;$DF5+'Model Setup'!$H$7,$B5:$Y5)+'Model Setup'!$H$8*(SUMIF($AD$3:$BA$3,"&lt;"&amp;$DF5,$B5:$Y5)+SUMIF($AD$3:$BA$3,"&gt;="&amp;$DG5,$B5:$Y5)),
IF(AX$3=$DF5+'Model Setup'!$I$7,SUMIF($AD$3:$BA$3,"="&amp;$DF5+'Model Setup'!$I$7,$B5:$Y5)+'Model Setup'!$I$8*(SUMIF($AD$3:$BA$3,"&lt;"&amp;$DF5,$B5:$Y5)+SUMIF($AD$3:$BA$3,"&gt;="&amp;$DG5,$B5:$Y5)),
IF(AX$3=$DF5+'Model Setup'!$J$7,SUMIF($AD$3:$BA$3,"="&amp;$DF5+'Model Setup'!$J$7,$B5:$Y5)+'Model Setup'!$J$8*(SUMIF($AD$3:$BA$3,"&lt;"&amp;$DF5,$B5:$Y5)+SUMIF($AD$3:$BA$3,"&gt;="&amp;$DG5,$B5:$Y5)),
IF(AX$3=$DF5+'Model Setup'!$K$7,SUMIF($AD$3:$BA$3,"="&amp;$DF5+'Model Setup'!$K$7,$B5:$Y5)+'Model Setup'!$K$8*(SUMIF($AD$3:$BA$3,"&lt;"&amp;$DF5,$B5:$Y5)+SUMIF($AD$3:$BA$3,"&gt;="&amp;$DG5,$B5:$Y5)),
IF(AX$3=$DF5+'Model Setup'!$L$7,SUMIF($AD$3:$BA$3,"="&amp;$DF5+'Model Setup'!$L$7,$B5:$Y5)+'Model Setup'!$L$8*(SUMIF($AD$3:$BA$3,"&lt;"&amp;$DF5,$B5:$Y5)+SUMIF($AD$3:$BA$3,"&gt;="&amp;$DG5,$B5:$Y5)),
IF(AX$3=$DF5+'Model Setup'!$M$7,SUMIF($AD$3:$BA$3,"="&amp;$DF5+'Model Setup'!$M$7,$B5:$Y5)+'Model Setup'!$M$8*(SUMIF($AD$3:$BA$3,"&lt;"&amp;$DF5,$B5:$Y5)+SUMIF($AD$3:$BA$3,"&gt;="&amp;$DG5,$B5:$Y5)),
IF(AX$3=$DF5+'Model Setup'!$N$7,SUMIF($AD$3:$BA$3,"="&amp;$DF5+'Model Setup'!$N$7,$B5:$Y5)+'Model Setup'!$N$8*(SUMIF($AD$3:$BA$3,"&lt;"&amp;$DF5,$B5:$Y5)+SUMIF($AD$3:$BA$3,"&gt;="&amp;$DG5,$B5:$Y5)),
IF(AX$3&lt;$DG5,V5,0))))))))))))))),0)</f>
        <v>14</v>
      </c>
      <c r="AY5" s="47">
        <f>ROUND(IF(AY$3&lt;$DF5,0,
IF(AY$3=$DF5+'Model Setup'!$B$7,SUMIF($AD$3:$BA$3,"="&amp;$DF5+'Model Setup'!$B$7,$B5:$Y5)+'Model Setup'!$B$8*(SUMIF($AD$3:$BA$3,"&lt;"&amp;$DF5,$B5:$Y5)+SUMIF($AD$3:$BA$3,"&gt;="&amp;$DG5,$B5:$Y5)),
IF(AY$3=$DF5+'Model Setup'!$C$7,SUMIF($AD$3:$BA$3,"="&amp;$DF5+'Model Setup'!$C$7,$B5:$Y5)+'Model Setup'!$C$8*(SUMIF($AD$3:$BA$3,"&lt;"&amp;$DF5,$B5:$Y5)+SUMIF($AD$3:$BA$3,"&gt;="&amp;$DG5,$B5:$Y5)),
IF(AY$3=$DF5+'Model Setup'!$D$7,SUMIF($AD$3:$BA$3,"="&amp;$DF5+'Model Setup'!$D$7,$B5:$Y5)+'Model Setup'!$D$8*(SUMIF($AD$3:$BA$3,"&lt;"&amp;$DF5,$B5:$Y5)+SUMIF($AD$3:$BA$3,"&gt;="&amp;$DG5,$B5:$Y5)),
IF(AY$3=$DF5+'Model Setup'!$E$7,SUMIF($AD$3:$BA$3,"="&amp;$DF5+'Model Setup'!$E$7,$B5:$Y5)+'Model Setup'!$E$8*(SUMIF($AD$3:$BA$3,"&lt;"&amp;$DF5,$B5:$Y5)+SUMIF($AD$3:$BA$3,"&gt;="&amp;$DG5,$B5:$Y5)),
IF(AY$3=$DF5+'Model Setup'!$F$7,SUMIF($AD$3:$BA$3,"="&amp;$DF5+'Model Setup'!$F$7,$B5:$Y5)+'Model Setup'!$F$8*(SUMIF($AD$3:$BA$3,"&lt;"&amp;$DF5,$B5:$Y5)+SUMIF($AD$3:$BA$3,"&gt;="&amp;$DG5,$B5:$Y5)),
IF(AY$3=$DF5+'Model Setup'!$G$7,SUMIF($AD$3:$BA$3,"="&amp;$DF5+'Model Setup'!$G$7,$B5:$Y5)+'Model Setup'!$G$8*(SUMIF($AD$3:$BA$3,"&lt;"&amp;$DF5,$B5:$Y5)+SUMIF($AD$3:$BA$3,"&gt;="&amp;$DG5,$B5:$Y5)),
IF(AY$3=$DF5+'Model Setup'!$H$7,SUMIF($AD$3:$BA$3,"="&amp;$DF5+'Model Setup'!$H$7,$B5:$Y5)+'Model Setup'!$H$8*(SUMIF($AD$3:$BA$3,"&lt;"&amp;$DF5,$B5:$Y5)+SUMIF($AD$3:$BA$3,"&gt;="&amp;$DG5,$B5:$Y5)),
IF(AY$3=$DF5+'Model Setup'!$I$7,SUMIF($AD$3:$BA$3,"="&amp;$DF5+'Model Setup'!$I$7,$B5:$Y5)+'Model Setup'!$I$8*(SUMIF($AD$3:$BA$3,"&lt;"&amp;$DF5,$B5:$Y5)+SUMIF($AD$3:$BA$3,"&gt;="&amp;$DG5,$B5:$Y5)),
IF(AY$3=$DF5+'Model Setup'!$J$7,SUMIF($AD$3:$BA$3,"="&amp;$DF5+'Model Setup'!$J$7,$B5:$Y5)+'Model Setup'!$J$8*(SUMIF($AD$3:$BA$3,"&lt;"&amp;$DF5,$B5:$Y5)+SUMIF($AD$3:$BA$3,"&gt;="&amp;$DG5,$B5:$Y5)),
IF(AY$3=$DF5+'Model Setup'!$K$7,SUMIF($AD$3:$BA$3,"="&amp;$DF5+'Model Setup'!$K$7,$B5:$Y5)+'Model Setup'!$K$8*(SUMIF($AD$3:$BA$3,"&lt;"&amp;$DF5,$B5:$Y5)+SUMIF($AD$3:$BA$3,"&gt;="&amp;$DG5,$B5:$Y5)),
IF(AY$3=$DF5+'Model Setup'!$L$7,SUMIF($AD$3:$BA$3,"="&amp;$DF5+'Model Setup'!$L$7,$B5:$Y5)+'Model Setup'!$L$8*(SUMIF($AD$3:$BA$3,"&lt;"&amp;$DF5,$B5:$Y5)+SUMIF($AD$3:$BA$3,"&gt;="&amp;$DG5,$B5:$Y5)),
IF(AY$3=$DF5+'Model Setup'!$M$7,SUMIF($AD$3:$BA$3,"="&amp;$DF5+'Model Setup'!$M$7,$B5:$Y5)+'Model Setup'!$M$8*(SUMIF($AD$3:$BA$3,"&lt;"&amp;$DF5,$B5:$Y5)+SUMIF($AD$3:$BA$3,"&gt;="&amp;$DG5,$B5:$Y5)),
IF(AY$3=$DF5+'Model Setup'!$N$7,SUMIF($AD$3:$BA$3,"="&amp;$DF5+'Model Setup'!$N$7,$B5:$Y5)+'Model Setup'!$N$8*(SUMIF($AD$3:$BA$3,"&lt;"&amp;$DF5,$B5:$Y5)+SUMIF($AD$3:$BA$3,"&gt;="&amp;$DG5,$B5:$Y5)),
IF(AY$3&lt;$DG5,W5,0))))))))))))))),0)</f>
        <v>0</v>
      </c>
      <c r="AZ5" s="47">
        <f>ROUND(IF(AZ$3&lt;$DF5,0,
IF(AZ$3=$DF5+'Model Setup'!$B$7,SUMIF($AD$3:$BA$3,"="&amp;$DF5+'Model Setup'!$B$7,$B5:$Y5)+'Model Setup'!$B$8*(SUMIF($AD$3:$BA$3,"&lt;"&amp;$DF5,$B5:$Y5)+SUMIF($AD$3:$BA$3,"&gt;="&amp;$DG5,$B5:$Y5)),
IF(AZ$3=$DF5+'Model Setup'!$C$7,SUMIF($AD$3:$BA$3,"="&amp;$DF5+'Model Setup'!$C$7,$B5:$Y5)+'Model Setup'!$C$8*(SUMIF($AD$3:$BA$3,"&lt;"&amp;$DF5,$B5:$Y5)+SUMIF($AD$3:$BA$3,"&gt;="&amp;$DG5,$B5:$Y5)),
IF(AZ$3=$DF5+'Model Setup'!$D$7,SUMIF($AD$3:$BA$3,"="&amp;$DF5+'Model Setup'!$D$7,$B5:$Y5)+'Model Setup'!$D$8*(SUMIF($AD$3:$BA$3,"&lt;"&amp;$DF5,$B5:$Y5)+SUMIF($AD$3:$BA$3,"&gt;="&amp;$DG5,$B5:$Y5)),
IF(AZ$3=$DF5+'Model Setup'!$E$7,SUMIF($AD$3:$BA$3,"="&amp;$DF5+'Model Setup'!$E$7,$B5:$Y5)+'Model Setup'!$E$8*(SUMIF($AD$3:$BA$3,"&lt;"&amp;$DF5,$B5:$Y5)+SUMIF($AD$3:$BA$3,"&gt;="&amp;$DG5,$B5:$Y5)),
IF(AZ$3=$DF5+'Model Setup'!$F$7,SUMIF($AD$3:$BA$3,"="&amp;$DF5+'Model Setup'!$F$7,$B5:$Y5)+'Model Setup'!$F$8*(SUMIF($AD$3:$BA$3,"&lt;"&amp;$DF5,$B5:$Y5)+SUMIF($AD$3:$BA$3,"&gt;="&amp;$DG5,$B5:$Y5)),
IF(AZ$3=$DF5+'Model Setup'!$G$7,SUMIF($AD$3:$BA$3,"="&amp;$DF5+'Model Setup'!$G$7,$B5:$Y5)+'Model Setup'!$G$8*(SUMIF($AD$3:$BA$3,"&lt;"&amp;$DF5,$B5:$Y5)+SUMIF($AD$3:$BA$3,"&gt;="&amp;$DG5,$B5:$Y5)),
IF(AZ$3=$DF5+'Model Setup'!$H$7,SUMIF($AD$3:$BA$3,"="&amp;$DF5+'Model Setup'!$H$7,$B5:$Y5)+'Model Setup'!$H$8*(SUMIF($AD$3:$BA$3,"&lt;"&amp;$DF5,$B5:$Y5)+SUMIF($AD$3:$BA$3,"&gt;="&amp;$DG5,$B5:$Y5)),
IF(AZ$3=$DF5+'Model Setup'!$I$7,SUMIF($AD$3:$BA$3,"="&amp;$DF5+'Model Setup'!$I$7,$B5:$Y5)+'Model Setup'!$I$8*(SUMIF($AD$3:$BA$3,"&lt;"&amp;$DF5,$B5:$Y5)+SUMIF($AD$3:$BA$3,"&gt;="&amp;$DG5,$B5:$Y5)),
IF(AZ$3=$DF5+'Model Setup'!$J$7,SUMIF($AD$3:$BA$3,"="&amp;$DF5+'Model Setup'!$J$7,$B5:$Y5)+'Model Setup'!$J$8*(SUMIF($AD$3:$BA$3,"&lt;"&amp;$DF5,$B5:$Y5)+SUMIF($AD$3:$BA$3,"&gt;="&amp;$DG5,$B5:$Y5)),
IF(AZ$3=$DF5+'Model Setup'!$K$7,SUMIF($AD$3:$BA$3,"="&amp;$DF5+'Model Setup'!$K$7,$B5:$Y5)+'Model Setup'!$K$8*(SUMIF($AD$3:$BA$3,"&lt;"&amp;$DF5,$B5:$Y5)+SUMIF($AD$3:$BA$3,"&gt;="&amp;$DG5,$B5:$Y5)),
IF(AZ$3=$DF5+'Model Setup'!$L$7,SUMIF($AD$3:$BA$3,"="&amp;$DF5+'Model Setup'!$L$7,$B5:$Y5)+'Model Setup'!$L$8*(SUMIF($AD$3:$BA$3,"&lt;"&amp;$DF5,$B5:$Y5)+SUMIF($AD$3:$BA$3,"&gt;="&amp;$DG5,$B5:$Y5)),
IF(AZ$3=$DF5+'Model Setup'!$M$7,SUMIF($AD$3:$BA$3,"="&amp;$DF5+'Model Setup'!$M$7,$B5:$Y5)+'Model Setup'!$M$8*(SUMIF($AD$3:$BA$3,"&lt;"&amp;$DF5,$B5:$Y5)+SUMIF($AD$3:$BA$3,"&gt;="&amp;$DG5,$B5:$Y5)),
IF(AZ$3=$DF5+'Model Setup'!$N$7,SUMIF($AD$3:$BA$3,"="&amp;$DF5+'Model Setup'!$N$7,$B5:$Y5)+'Model Setup'!$N$8*(SUMIF($AD$3:$BA$3,"&lt;"&amp;$DF5,$B5:$Y5)+SUMIF($AD$3:$BA$3,"&gt;="&amp;$DG5,$B5:$Y5)),
IF(AZ$3&lt;$DG5,X5,0))))))))))))))),0)</f>
        <v>0</v>
      </c>
      <c r="BA5" s="47">
        <f>ROUND(IF(BA$3&lt;$DF5,0,
IF(BA$3=$DF5+'Model Setup'!$B$7,SUMIF($AD$3:$BA$3,"="&amp;$DF5+'Model Setup'!$B$7,$B5:$Y5)+'Model Setup'!$B$8*(SUMIF($AD$3:$BA$3,"&lt;"&amp;$DF5,$B5:$Y5)+SUMIF($AD$3:$BA$3,"&gt;="&amp;$DG5,$B5:$Y5)),
IF(BA$3=$DF5+'Model Setup'!$C$7,SUMIF($AD$3:$BA$3,"="&amp;$DF5+'Model Setup'!$C$7,$B5:$Y5)+'Model Setup'!$C$8*(SUMIF($AD$3:$BA$3,"&lt;"&amp;$DF5,$B5:$Y5)+SUMIF($AD$3:$BA$3,"&gt;="&amp;$DG5,$B5:$Y5)),
IF(BA$3=$DF5+'Model Setup'!$D$7,SUMIF($AD$3:$BA$3,"="&amp;$DF5+'Model Setup'!$D$7,$B5:$Y5)+'Model Setup'!$D$8*(SUMIF($AD$3:$BA$3,"&lt;"&amp;$DF5,$B5:$Y5)+SUMIF($AD$3:$BA$3,"&gt;="&amp;$DG5,$B5:$Y5)),
IF(BA$3=$DF5+'Model Setup'!$E$7,SUMIF($AD$3:$BA$3,"="&amp;$DF5+'Model Setup'!$E$7,$B5:$Y5)+'Model Setup'!$E$8*(SUMIF($AD$3:$BA$3,"&lt;"&amp;$DF5,$B5:$Y5)+SUMIF($AD$3:$BA$3,"&gt;="&amp;$DG5,$B5:$Y5)),
IF(BA$3=$DF5+'Model Setup'!$F$7,SUMIF($AD$3:$BA$3,"="&amp;$DF5+'Model Setup'!$F$7,$B5:$Y5)+'Model Setup'!$F$8*(SUMIF($AD$3:$BA$3,"&lt;"&amp;$DF5,$B5:$Y5)+SUMIF($AD$3:$BA$3,"&gt;="&amp;$DG5,$B5:$Y5)),
IF(BA$3=$DF5+'Model Setup'!$G$7,SUMIF($AD$3:$BA$3,"="&amp;$DF5+'Model Setup'!$G$7,$B5:$Y5)+'Model Setup'!$G$8*(SUMIF($AD$3:$BA$3,"&lt;"&amp;$DF5,$B5:$Y5)+SUMIF($AD$3:$BA$3,"&gt;="&amp;$DG5,$B5:$Y5)),
IF(BA$3=$DF5+'Model Setup'!$H$7,SUMIF($AD$3:$BA$3,"="&amp;$DF5+'Model Setup'!$H$7,$B5:$Y5)+'Model Setup'!$H$8*(SUMIF($AD$3:$BA$3,"&lt;"&amp;$DF5,$B5:$Y5)+SUMIF($AD$3:$BA$3,"&gt;="&amp;$DG5,$B5:$Y5)),
IF(BA$3=$DF5+'Model Setup'!$I$7,SUMIF($AD$3:$BA$3,"="&amp;$DF5+'Model Setup'!$I$7,$B5:$Y5)+'Model Setup'!$I$8*(SUMIF($AD$3:$BA$3,"&lt;"&amp;$DF5,$B5:$Y5)+SUMIF($AD$3:$BA$3,"&gt;="&amp;$DG5,$B5:$Y5)),
IF(BA$3=$DF5+'Model Setup'!$J$7,SUMIF($AD$3:$BA$3,"="&amp;$DF5+'Model Setup'!$J$7,$B5:$Y5)+'Model Setup'!$J$8*(SUMIF($AD$3:$BA$3,"&lt;"&amp;$DF5,$B5:$Y5)+SUMIF($AD$3:$BA$3,"&gt;="&amp;$DG5,$B5:$Y5)),
IF(BA$3=$DF5+'Model Setup'!$K$7,SUMIF($AD$3:$BA$3,"="&amp;$DF5+'Model Setup'!$K$7,$B5:$Y5)+'Model Setup'!$K$8*(SUMIF($AD$3:$BA$3,"&lt;"&amp;$DF5,$B5:$Y5)+SUMIF($AD$3:$BA$3,"&gt;="&amp;$DG5,$B5:$Y5)),
IF(BA$3=$DF5+'Model Setup'!$L$7,SUMIF($AD$3:$BA$3,"="&amp;$DF5+'Model Setup'!$L$7,$B5:$Y5)+'Model Setup'!$L$8*(SUMIF($AD$3:$BA$3,"&lt;"&amp;$DF5,$B5:$Y5)+SUMIF($AD$3:$BA$3,"&gt;="&amp;$DG5,$B5:$Y5)),
IF(BA$3=$DF5+'Model Setup'!$M$7,SUMIF($AD$3:$BA$3,"="&amp;$DF5+'Model Setup'!$M$7,$B5:$Y5)+'Model Setup'!$M$8*(SUMIF($AD$3:$BA$3,"&lt;"&amp;$DF5,$B5:$Y5)+SUMIF($AD$3:$BA$3,"&gt;="&amp;$DG5,$B5:$Y5)),
IF(BA$3=$DF5+'Model Setup'!$N$7,SUMIF($AD$3:$BA$3,"="&amp;$DF5+'Model Setup'!$N$7,$B5:$Y5)+'Model Setup'!$N$8*(SUMIF($AD$3:$BA$3,"&lt;"&amp;$DF5,$B5:$Y5)+SUMIF($AD$3:$BA$3,"&gt;="&amp;$DG5,$B5:$Y5)),
IF(BA$3&lt;$DG5,Y5,0))))))))))))))),0)</f>
        <v>0</v>
      </c>
      <c r="BB5" s="47">
        <f t="shared" ref="BB5:BB56" si="1">SUM(AD5:BA5)</f>
        <v>129</v>
      </c>
      <c r="BD5" t="b">
        <f t="shared" ref="BD5:BD57" si="2">IF(Z5=BB5,TRUE,FALSE)</f>
        <v>0</v>
      </c>
      <c r="BE5">
        <f>BB5-Z5</f>
        <v>1</v>
      </c>
      <c r="BF5">
        <f>(FTC!F3-FTC!E3)*24</f>
        <v>13.000000000000002</v>
      </c>
      <c r="BG5" s="43" t="s">
        <v>20</v>
      </c>
      <c r="BH5" s="47">
        <f>ROUND(IF(OR(BH$3&lt;$DF5,BH$3&gt;$CW$4),0,
IF(BH$3=$DF5+'Model Setup'!$B$7,SUMIF($BH$3:$CE$3,"="&amp;$DF5+'Model Setup'!$B$7,$AD5:$BA5)+'Model Setup'!$B$8*(SUMIF($BH$3:$CE$3,"&lt;"&amp;$DF5,$AD5:$BA5)+SUMIF($BH$3:$CE$3,"&gt;"&amp;$CW$4,$AD5:$BA5)),
IF(BH$3=$DF5+'Model Setup'!$C$7,SUMIF($BH$3:$CE$3,"="&amp;$DF5+'Model Setup'!$C$7,$AD5:$BA5)+'Model Setup'!$C$8*(SUMIF($BH$3:$CE$3,"&lt;"&amp;$DF5,$AD5:$BA5)+SUMIF($BH$3:$CE$3,"&gt;"&amp;$CW$4,$AD5:$BA5)),
IF(BH$3=$DF5+'Model Setup'!$D$7,SUMIF($BH$3:$CE$3,"="&amp;$DF5+'Model Setup'!$D$7,$AD5:$BA5)+'Model Setup'!$D$8*(SUMIF($BH$3:$CE$3,"&lt;"&amp;$DF5,$AD5:$BA5)+SUMIF($BH$3:$CE$3,"&gt;"&amp;$CW$4,$AD5:$BA5)),
IF(BH$3=$DF5+'Model Setup'!$E$7,SUMIF($BH$3:$CE$3,"="&amp;$DF5+'Model Setup'!$E$7,$AD5:$BA5)+'Model Setup'!$E$8*(SUMIF($BH$3:$CE$3,"&lt;"&amp;$DF5,$AD5:$BA5)+SUMIF($BH$3:$CE$3,"&gt;"&amp;$CW$4,$AD5:$BA5)),
IF(BH$3=$DF5+'Model Setup'!$F$7,SUMIF($BH$3:$CE$3,"="&amp;$DF5+'Model Setup'!$F$7,$AD5:$BA5)+'Model Setup'!$F$8*(SUMIF($BH$3:$CE$3,"&lt;"&amp;$DF5,$AD5:$BA5)+SUMIF($BH$3:$CE$3,"&gt;"&amp;$CW$4,$AD5:$BA5)),
IF(BH$3=$DF5+'Model Setup'!$G$7,SUMIF($BH$3:$CE$3,"="&amp;$DF5+'Model Setup'!$G$7,$AD5:$BA5)+'Model Setup'!$G$8*(SUMIF($BH$3:$CE$3,"&lt;"&amp;$DF5,$AD5:$BA5)+SUMIF($BH$3:$CE$3,"&gt;"&amp;$CW$4,$AD5:$BA5)),
IF(BH$3=$DF5+'Model Setup'!$H$7,SUMIF($BH$3:$CE$3,"="&amp;$DF5+'Model Setup'!$H$7,$AD5:$BA5)+'Model Setup'!$H$8*(SUMIF($BH$3:$CE$3,"&lt;"&amp;$DF5,$AD5:$BA5)+SUMIF($BH$3:$CE$3,"&gt;"&amp;$CW$4,$AD5:$BA5)),
IF(BH$3=$DF5+'Model Setup'!$I$7,SUMIF($BH$3:$CE$3,"="&amp;$DF5+'Model Setup'!$I$7,$AD5:$BA5)+'Model Setup'!$I$8*(SUMIF($BH$3:$CE$3,"&lt;"&amp;$DF5,$AD5:$BA5)+SUMIF($BH$3:$CE$3,"&gt;"&amp;$CW$4,$AD5:$BA5)),
IF(BH$3=$DF5+'Model Setup'!$J$7,SUMIF($BH$3:$CE$3,"="&amp;$DF5+'Model Setup'!$J$7,$AD5:$BA5)+'Model Setup'!$J$8*(SUMIF($BH$3:$CE$3,"&lt;"&amp;$DF5,$AD5:$BA5)+SUMIF($BH$3:$CE$3,"&gt;"&amp;$CW$4,$AD5:$BA5)),
IF(BH$3=$DF5+'Model Setup'!$K$7,SUMIF($BH$3:$CE$3,"="&amp;$DF5+'Model Setup'!$K$7,$AD5:$BA5)+'Model Setup'!$K$8*(SUMIF($BH$3:$CE$3,"&lt;"&amp;$DF5,$AD5:$BA5)+SUMIF($BH$3:$CE$3,"&gt;"&amp;$CW$4,$AD5:$BA5)),
IF(BH$3=$DF5+'Model Setup'!$L$7,SUMIF($BH$3:$CE$3,"="&amp;$DF5+'Model Setup'!$L$7,$AD5:$BA5)+'Model Setup'!$L$8*(SUMIF($BH$3:$CE$3,"&lt;"&amp;$DF5,$AD5:$BA5)+SUMIF($BH$3:$CE$3,"&gt;"&amp;$CW$4,$AD5:$BA5)),
IF(BH$3=$DF5+'Model Setup'!$M$7,SUMIF($BH$3:$CE$3,"="&amp;$DF5+'Model Setup'!$M$7,$AD5:$BA5)+'Model Setup'!$M$8*(SUMIF($BH$3:$CE$3,"&lt;"&amp;$DF5,$AD5:$BA5)+SUMIF($BH$3:$CE$3,"&gt;"&amp;$CW$4,$AD5:$BA5)),
IF(BH$3=$DF5+'Model Setup'!$N$7,SUMIF($BH$3:$CE$3,"="&amp;$DF5+'Model Setup'!$N$7,$AD5:$BA5)+'Model Setup'!$N$8*(SUMIF($BH$3:$CE$3,"&lt;"&amp;$DF5,$AD5:$BA5)+SUMIF($BH$3:$CE$3,"&gt;"&amp;$CW$4,$AD5:$BA5)),
IF(BH$3&lt;$CW$4,B5,0))))))))))))))),0)</f>
        <v>0</v>
      </c>
      <c r="BI5" s="47">
        <f>ROUND(IF(OR(BI$3&lt;$DF5,BI$3&gt;$CW$4),0,
IF(BI$3=$DF5+'Model Setup'!$B$7,SUMIF($BH$3:$CE$3,"="&amp;$DF5+'Model Setup'!$B$7,$AD5:$BA5)+'Model Setup'!$B$8*(SUMIF($BH$3:$CE$3,"&lt;"&amp;$DF5,$AD5:$BA5)+SUMIF($BH$3:$CE$3,"&gt;"&amp;$CW$4,$AD5:$BA5)),
IF(BI$3=$DF5+'Model Setup'!$C$7,SUMIF($BH$3:$CE$3,"="&amp;$DF5+'Model Setup'!$C$7,$AD5:$BA5)+'Model Setup'!$C$8*(SUMIF($BH$3:$CE$3,"&lt;"&amp;$DF5,$AD5:$BA5)+SUMIF($BH$3:$CE$3,"&gt;"&amp;$CW$4,$AD5:$BA5)),
IF(BI$3=$DF5+'Model Setup'!$D$7,SUMIF($BH$3:$CE$3,"="&amp;$DF5+'Model Setup'!$D$7,$AD5:$BA5)+'Model Setup'!$D$8*(SUMIF($BH$3:$CE$3,"&lt;"&amp;$DF5,$AD5:$BA5)+SUMIF($BH$3:$CE$3,"&gt;"&amp;$CW$4,$AD5:$BA5)),
IF(BI$3=$DF5+'Model Setup'!$E$7,SUMIF($BH$3:$CE$3,"="&amp;$DF5+'Model Setup'!$E$7,$AD5:$BA5)+'Model Setup'!$E$8*(SUMIF($BH$3:$CE$3,"&lt;"&amp;$DF5,$AD5:$BA5)+SUMIF($BH$3:$CE$3,"&gt;"&amp;$CW$4,$AD5:$BA5)),
IF(BI$3=$DF5+'Model Setup'!$F$7,SUMIF($BH$3:$CE$3,"="&amp;$DF5+'Model Setup'!$F$7,$AD5:$BA5)+'Model Setup'!$F$8*(SUMIF($BH$3:$CE$3,"&lt;"&amp;$DF5,$AD5:$BA5)+SUMIF($BH$3:$CE$3,"&gt;"&amp;$CW$4,$AD5:$BA5)),
IF(BI$3=$DF5+'Model Setup'!$G$7,SUMIF($BH$3:$CE$3,"="&amp;$DF5+'Model Setup'!$G$7,$AD5:$BA5)+'Model Setup'!$G$8*(SUMIF($BH$3:$CE$3,"&lt;"&amp;$DF5,$AD5:$BA5)+SUMIF($BH$3:$CE$3,"&gt;"&amp;$CW$4,$AD5:$BA5)),
IF(BI$3=$DF5+'Model Setup'!$H$7,SUMIF($BH$3:$CE$3,"="&amp;$DF5+'Model Setup'!$H$7,$AD5:$BA5)+'Model Setup'!$H$8*(SUMIF($BH$3:$CE$3,"&lt;"&amp;$DF5,$AD5:$BA5)+SUMIF($BH$3:$CE$3,"&gt;"&amp;$CW$4,$AD5:$BA5)),
IF(BI$3=$DF5+'Model Setup'!$I$7,SUMIF($BH$3:$CE$3,"="&amp;$DF5+'Model Setup'!$I$7,$AD5:$BA5)+'Model Setup'!$I$8*(SUMIF($BH$3:$CE$3,"&lt;"&amp;$DF5,$AD5:$BA5)+SUMIF($BH$3:$CE$3,"&gt;"&amp;$CW$4,$AD5:$BA5)),
IF(BI$3=$DF5+'Model Setup'!$J$7,SUMIF($BH$3:$CE$3,"="&amp;$DF5+'Model Setup'!$J$7,$AD5:$BA5)+'Model Setup'!$J$8*(SUMIF($BH$3:$CE$3,"&lt;"&amp;$DF5,$AD5:$BA5)+SUMIF($BH$3:$CE$3,"&gt;"&amp;$CW$4,$AD5:$BA5)),
IF(BI$3=$DF5+'Model Setup'!$K$7,SUMIF($BH$3:$CE$3,"="&amp;$DF5+'Model Setup'!$K$7,$AD5:$BA5)+'Model Setup'!$K$8*(SUMIF($BH$3:$CE$3,"&lt;"&amp;$DF5,$AD5:$BA5)+SUMIF($BH$3:$CE$3,"&gt;"&amp;$CW$4,$AD5:$BA5)),
IF(BI$3=$DF5+'Model Setup'!$L$7,SUMIF($BH$3:$CE$3,"="&amp;$DF5+'Model Setup'!$L$7,$AD5:$BA5)+'Model Setup'!$L$8*(SUMIF($BH$3:$CE$3,"&lt;"&amp;$DF5,$AD5:$BA5)+SUMIF($BH$3:$CE$3,"&gt;"&amp;$CW$4,$AD5:$BA5)),
IF(BI$3=$DF5+'Model Setup'!$M$7,SUMIF($BH$3:$CE$3,"="&amp;$DF5+'Model Setup'!$M$7,$AD5:$BA5)+'Model Setup'!$M$8*(SUMIF($BH$3:$CE$3,"&lt;"&amp;$DF5,$AD5:$BA5)+SUMIF($BH$3:$CE$3,"&gt;"&amp;$CW$4,$AD5:$BA5)),
IF(BI$3=$DF5+'Model Setup'!$N$7,SUMIF($BH$3:$CE$3,"="&amp;$DF5+'Model Setup'!$N$7,$AD5:$BA5)+'Model Setup'!$N$8*(SUMIF($BH$3:$CE$3,"&lt;"&amp;$DF5,$AD5:$BA5)+SUMIF($BH$3:$CE$3,"&gt;"&amp;$CW$4,$AD5:$BA5)),
IF(BI$3&lt;$CW$4,C5,0))))))))))))))),0)</f>
        <v>0</v>
      </c>
      <c r="BJ5" s="47">
        <f>ROUND(IF(OR(BJ$3&lt;$DF5,BJ$3&gt;$CW$4),0,
IF(BJ$3=$DF5+'Model Setup'!$B$7,SUMIF($BH$3:$CE$3,"="&amp;$DF5+'Model Setup'!$B$7,$AD5:$BA5)+'Model Setup'!$B$8*(SUMIF($BH$3:$CE$3,"&lt;"&amp;$DF5,$AD5:$BA5)+SUMIF($BH$3:$CE$3,"&gt;"&amp;$CW$4,$AD5:$BA5)),
IF(BJ$3=$DF5+'Model Setup'!$C$7,SUMIF($BH$3:$CE$3,"="&amp;$DF5+'Model Setup'!$C$7,$AD5:$BA5)+'Model Setup'!$C$8*(SUMIF($BH$3:$CE$3,"&lt;"&amp;$DF5,$AD5:$BA5)+SUMIF($BH$3:$CE$3,"&gt;"&amp;$CW$4,$AD5:$BA5)),
IF(BJ$3=$DF5+'Model Setup'!$D$7,SUMIF($BH$3:$CE$3,"="&amp;$DF5+'Model Setup'!$D$7,$AD5:$BA5)+'Model Setup'!$D$8*(SUMIF($BH$3:$CE$3,"&lt;"&amp;$DF5,$AD5:$BA5)+SUMIF($BH$3:$CE$3,"&gt;"&amp;$CW$4,$AD5:$BA5)),
IF(BJ$3=$DF5+'Model Setup'!$E$7,SUMIF($BH$3:$CE$3,"="&amp;$DF5+'Model Setup'!$E$7,$AD5:$BA5)+'Model Setup'!$E$8*(SUMIF($BH$3:$CE$3,"&lt;"&amp;$DF5,$AD5:$BA5)+SUMIF($BH$3:$CE$3,"&gt;"&amp;$CW$4,$AD5:$BA5)),
IF(BJ$3=$DF5+'Model Setup'!$F$7,SUMIF($BH$3:$CE$3,"="&amp;$DF5+'Model Setup'!$F$7,$AD5:$BA5)+'Model Setup'!$F$8*(SUMIF($BH$3:$CE$3,"&lt;"&amp;$DF5,$AD5:$BA5)+SUMIF($BH$3:$CE$3,"&gt;"&amp;$CW$4,$AD5:$BA5)),
IF(BJ$3=$DF5+'Model Setup'!$G$7,SUMIF($BH$3:$CE$3,"="&amp;$DF5+'Model Setup'!$G$7,$AD5:$BA5)+'Model Setup'!$G$8*(SUMIF($BH$3:$CE$3,"&lt;"&amp;$DF5,$AD5:$BA5)+SUMIF($BH$3:$CE$3,"&gt;"&amp;$CW$4,$AD5:$BA5)),
IF(BJ$3=$DF5+'Model Setup'!$H$7,SUMIF($BH$3:$CE$3,"="&amp;$DF5+'Model Setup'!$H$7,$AD5:$BA5)+'Model Setup'!$H$8*(SUMIF($BH$3:$CE$3,"&lt;"&amp;$DF5,$AD5:$BA5)+SUMIF($BH$3:$CE$3,"&gt;"&amp;$CW$4,$AD5:$BA5)),
IF(BJ$3=$DF5+'Model Setup'!$I$7,SUMIF($BH$3:$CE$3,"="&amp;$DF5+'Model Setup'!$I$7,$AD5:$BA5)+'Model Setup'!$I$8*(SUMIF($BH$3:$CE$3,"&lt;"&amp;$DF5,$AD5:$BA5)+SUMIF($BH$3:$CE$3,"&gt;"&amp;$CW$4,$AD5:$BA5)),
IF(BJ$3=$DF5+'Model Setup'!$J$7,SUMIF($BH$3:$CE$3,"="&amp;$DF5+'Model Setup'!$J$7,$AD5:$BA5)+'Model Setup'!$J$8*(SUMIF($BH$3:$CE$3,"&lt;"&amp;$DF5,$AD5:$BA5)+SUMIF($BH$3:$CE$3,"&gt;"&amp;$CW$4,$AD5:$BA5)),
IF(BJ$3=$DF5+'Model Setup'!$K$7,SUMIF($BH$3:$CE$3,"="&amp;$DF5+'Model Setup'!$K$7,$AD5:$BA5)+'Model Setup'!$K$8*(SUMIF($BH$3:$CE$3,"&lt;"&amp;$DF5,$AD5:$BA5)+SUMIF($BH$3:$CE$3,"&gt;"&amp;$CW$4,$AD5:$BA5)),
IF(BJ$3=$DF5+'Model Setup'!$L$7,SUMIF($BH$3:$CE$3,"="&amp;$DF5+'Model Setup'!$L$7,$AD5:$BA5)+'Model Setup'!$L$8*(SUMIF($BH$3:$CE$3,"&lt;"&amp;$DF5,$AD5:$BA5)+SUMIF($BH$3:$CE$3,"&gt;"&amp;$CW$4,$AD5:$BA5)),
IF(BJ$3=$DF5+'Model Setup'!$M$7,SUMIF($BH$3:$CE$3,"="&amp;$DF5+'Model Setup'!$M$7,$AD5:$BA5)+'Model Setup'!$M$8*(SUMIF($BH$3:$CE$3,"&lt;"&amp;$DF5,$AD5:$BA5)+SUMIF($BH$3:$CE$3,"&gt;"&amp;$CW$4,$AD5:$BA5)),
IF(BJ$3=$DF5+'Model Setup'!$N$7,SUMIF($BH$3:$CE$3,"="&amp;$DF5+'Model Setup'!$N$7,$AD5:$BA5)+'Model Setup'!$N$8*(SUMIF($BH$3:$CE$3,"&lt;"&amp;$DF5,$AD5:$BA5)+SUMIF($BH$3:$CE$3,"&gt;"&amp;$CW$4,$AD5:$BA5)),
IF(BJ$3&lt;$CW$4,D5,0))))))))))))))),0)</f>
        <v>0</v>
      </c>
      <c r="BK5" s="47">
        <f>ROUND(IF(OR(BK$3&lt;$DF5,BK$3&gt;$CW$4),0,
IF(BK$3=$DF5+'Model Setup'!$B$7,SUMIF($BH$3:$CE$3,"="&amp;$DF5+'Model Setup'!$B$7,$AD5:$BA5)+'Model Setup'!$B$8*(SUMIF($BH$3:$CE$3,"&lt;"&amp;$DF5,$AD5:$BA5)+SUMIF($BH$3:$CE$3,"&gt;"&amp;$CW$4,$AD5:$BA5)),
IF(BK$3=$DF5+'Model Setup'!$C$7,SUMIF($BH$3:$CE$3,"="&amp;$DF5+'Model Setup'!$C$7,$AD5:$BA5)+'Model Setup'!$C$8*(SUMIF($BH$3:$CE$3,"&lt;"&amp;$DF5,$AD5:$BA5)+SUMIF($BH$3:$CE$3,"&gt;"&amp;$CW$4,$AD5:$BA5)),
IF(BK$3=$DF5+'Model Setup'!$D$7,SUMIF($BH$3:$CE$3,"="&amp;$DF5+'Model Setup'!$D$7,$AD5:$BA5)+'Model Setup'!$D$8*(SUMIF($BH$3:$CE$3,"&lt;"&amp;$DF5,$AD5:$BA5)+SUMIF($BH$3:$CE$3,"&gt;"&amp;$CW$4,$AD5:$BA5)),
IF(BK$3=$DF5+'Model Setup'!$E$7,SUMIF($BH$3:$CE$3,"="&amp;$DF5+'Model Setup'!$E$7,$AD5:$BA5)+'Model Setup'!$E$8*(SUMIF($BH$3:$CE$3,"&lt;"&amp;$DF5,$AD5:$BA5)+SUMIF($BH$3:$CE$3,"&gt;"&amp;$CW$4,$AD5:$BA5)),
IF(BK$3=$DF5+'Model Setup'!$F$7,SUMIF($BH$3:$CE$3,"="&amp;$DF5+'Model Setup'!$F$7,$AD5:$BA5)+'Model Setup'!$F$8*(SUMIF($BH$3:$CE$3,"&lt;"&amp;$DF5,$AD5:$BA5)+SUMIF($BH$3:$CE$3,"&gt;"&amp;$CW$4,$AD5:$BA5)),
IF(BK$3=$DF5+'Model Setup'!$G$7,SUMIF($BH$3:$CE$3,"="&amp;$DF5+'Model Setup'!$G$7,$AD5:$BA5)+'Model Setup'!$G$8*(SUMIF($BH$3:$CE$3,"&lt;"&amp;$DF5,$AD5:$BA5)+SUMIF($BH$3:$CE$3,"&gt;"&amp;$CW$4,$AD5:$BA5)),
IF(BK$3=$DF5+'Model Setup'!$H$7,SUMIF($BH$3:$CE$3,"="&amp;$DF5+'Model Setup'!$H$7,$AD5:$BA5)+'Model Setup'!$H$8*(SUMIF($BH$3:$CE$3,"&lt;"&amp;$DF5,$AD5:$BA5)+SUMIF($BH$3:$CE$3,"&gt;"&amp;$CW$4,$AD5:$BA5)),
IF(BK$3=$DF5+'Model Setup'!$I$7,SUMIF($BH$3:$CE$3,"="&amp;$DF5+'Model Setup'!$I$7,$AD5:$BA5)+'Model Setup'!$I$8*(SUMIF($BH$3:$CE$3,"&lt;"&amp;$DF5,$AD5:$BA5)+SUMIF($BH$3:$CE$3,"&gt;"&amp;$CW$4,$AD5:$BA5)),
IF(BK$3=$DF5+'Model Setup'!$J$7,SUMIF($BH$3:$CE$3,"="&amp;$DF5+'Model Setup'!$J$7,$AD5:$BA5)+'Model Setup'!$J$8*(SUMIF($BH$3:$CE$3,"&lt;"&amp;$DF5,$AD5:$BA5)+SUMIF($BH$3:$CE$3,"&gt;"&amp;$CW$4,$AD5:$BA5)),
IF(BK$3=$DF5+'Model Setup'!$K$7,SUMIF($BH$3:$CE$3,"="&amp;$DF5+'Model Setup'!$K$7,$AD5:$BA5)+'Model Setup'!$K$8*(SUMIF($BH$3:$CE$3,"&lt;"&amp;$DF5,$AD5:$BA5)+SUMIF($BH$3:$CE$3,"&gt;"&amp;$CW$4,$AD5:$BA5)),
IF(BK$3=$DF5+'Model Setup'!$L$7,SUMIF($BH$3:$CE$3,"="&amp;$DF5+'Model Setup'!$L$7,$AD5:$BA5)+'Model Setup'!$L$8*(SUMIF($BH$3:$CE$3,"&lt;"&amp;$DF5,$AD5:$BA5)+SUMIF($BH$3:$CE$3,"&gt;"&amp;$CW$4,$AD5:$BA5)),
IF(BK$3=$DF5+'Model Setup'!$M$7,SUMIF($BH$3:$CE$3,"="&amp;$DF5+'Model Setup'!$M$7,$AD5:$BA5)+'Model Setup'!$M$8*(SUMIF($BH$3:$CE$3,"&lt;"&amp;$DF5,$AD5:$BA5)+SUMIF($BH$3:$CE$3,"&gt;"&amp;$CW$4,$AD5:$BA5)),
IF(BK$3=$DF5+'Model Setup'!$N$7,SUMIF($BH$3:$CE$3,"="&amp;$DF5+'Model Setup'!$N$7,$AD5:$BA5)+'Model Setup'!$N$8*(SUMIF($BH$3:$CE$3,"&lt;"&amp;$DF5,$AD5:$BA5)+SUMIF($BH$3:$CE$3,"&gt;"&amp;$CW$4,$AD5:$BA5)),
IF(BK$3&lt;$CW$4,E5,0))))))))))))))),0)</f>
        <v>0</v>
      </c>
      <c r="BL5" s="47">
        <f>ROUND(IF(OR(BL$3&lt;$DF5,BL$3&gt;$CW$4),0,
IF(BL$3=$DF5+'Model Setup'!$B$7,SUMIF($BH$3:$CE$3,"="&amp;$DF5+'Model Setup'!$B$7,$AD5:$BA5)+'Model Setup'!$B$8*(SUMIF($BH$3:$CE$3,"&lt;"&amp;$DF5,$AD5:$BA5)+SUMIF($BH$3:$CE$3,"&gt;"&amp;$CW$4,$AD5:$BA5)),
IF(BL$3=$DF5+'Model Setup'!$C$7,SUMIF($BH$3:$CE$3,"="&amp;$DF5+'Model Setup'!$C$7,$AD5:$BA5)+'Model Setup'!$C$8*(SUMIF($BH$3:$CE$3,"&lt;"&amp;$DF5,$AD5:$BA5)+SUMIF($BH$3:$CE$3,"&gt;"&amp;$CW$4,$AD5:$BA5)),
IF(BL$3=$DF5+'Model Setup'!$D$7,SUMIF($BH$3:$CE$3,"="&amp;$DF5+'Model Setup'!$D$7,$AD5:$BA5)+'Model Setup'!$D$8*(SUMIF($BH$3:$CE$3,"&lt;"&amp;$DF5,$AD5:$BA5)+SUMIF($BH$3:$CE$3,"&gt;"&amp;$CW$4,$AD5:$BA5)),
IF(BL$3=$DF5+'Model Setup'!$E$7,SUMIF($BH$3:$CE$3,"="&amp;$DF5+'Model Setup'!$E$7,$AD5:$BA5)+'Model Setup'!$E$8*(SUMIF($BH$3:$CE$3,"&lt;"&amp;$DF5,$AD5:$BA5)+SUMIF($BH$3:$CE$3,"&gt;"&amp;$CW$4,$AD5:$BA5)),
IF(BL$3=$DF5+'Model Setup'!$F$7,SUMIF($BH$3:$CE$3,"="&amp;$DF5+'Model Setup'!$F$7,$AD5:$BA5)+'Model Setup'!$F$8*(SUMIF($BH$3:$CE$3,"&lt;"&amp;$DF5,$AD5:$BA5)+SUMIF($BH$3:$CE$3,"&gt;"&amp;$CW$4,$AD5:$BA5)),
IF(BL$3=$DF5+'Model Setup'!$G$7,SUMIF($BH$3:$CE$3,"="&amp;$DF5+'Model Setup'!$G$7,$AD5:$BA5)+'Model Setup'!$G$8*(SUMIF($BH$3:$CE$3,"&lt;"&amp;$DF5,$AD5:$BA5)+SUMIF($BH$3:$CE$3,"&gt;"&amp;$CW$4,$AD5:$BA5)),
IF(BL$3=$DF5+'Model Setup'!$H$7,SUMIF($BH$3:$CE$3,"="&amp;$DF5+'Model Setup'!$H$7,$AD5:$BA5)+'Model Setup'!$H$8*(SUMIF($BH$3:$CE$3,"&lt;"&amp;$DF5,$AD5:$BA5)+SUMIF($BH$3:$CE$3,"&gt;"&amp;$CW$4,$AD5:$BA5)),
IF(BL$3=$DF5+'Model Setup'!$I$7,SUMIF($BH$3:$CE$3,"="&amp;$DF5+'Model Setup'!$I$7,$AD5:$BA5)+'Model Setup'!$I$8*(SUMIF($BH$3:$CE$3,"&lt;"&amp;$DF5,$AD5:$BA5)+SUMIF($BH$3:$CE$3,"&gt;"&amp;$CW$4,$AD5:$BA5)),
IF(BL$3=$DF5+'Model Setup'!$J$7,SUMIF($BH$3:$CE$3,"="&amp;$DF5+'Model Setup'!$J$7,$AD5:$BA5)+'Model Setup'!$J$8*(SUMIF($BH$3:$CE$3,"&lt;"&amp;$DF5,$AD5:$BA5)+SUMIF($BH$3:$CE$3,"&gt;"&amp;$CW$4,$AD5:$BA5)),
IF(BL$3=$DF5+'Model Setup'!$K$7,SUMIF($BH$3:$CE$3,"="&amp;$DF5+'Model Setup'!$K$7,$AD5:$BA5)+'Model Setup'!$K$8*(SUMIF($BH$3:$CE$3,"&lt;"&amp;$DF5,$AD5:$BA5)+SUMIF($BH$3:$CE$3,"&gt;"&amp;$CW$4,$AD5:$BA5)),
IF(BL$3=$DF5+'Model Setup'!$L$7,SUMIF($BH$3:$CE$3,"="&amp;$DF5+'Model Setup'!$L$7,$AD5:$BA5)+'Model Setup'!$L$8*(SUMIF($BH$3:$CE$3,"&lt;"&amp;$DF5,$AD5:$BA5)+SUMIF($BH$3:$CE$3,"&gt;"&amp;$CW$4,$AD5:$BA5)),
IF(BL$3=$DF5+'Model Setup'!$M$7,SUMIF($BH$3:$CE$3,"="&amp;$DF5+'Model Setup'!$M$7,$AD5:$BA5)+'Model Setup'!$M$8*(SUMIF($BH$3:$CE$3,"&lt;"&amp;$DF5,$AD5:$BA5)+SUMIF($BH$3:$CE$3,"&gt;"&amp;$CW$4,$AD5:$BA5)),
IF(BL$3=$DF5+'Model Setup'!$N$7,SUMIF($BH$3:$CE$3,"="&amp;$DF5+'Model Setup'!$N$7,$AD5:$BA5)+'Model Setup'!$N$8*(SUMIF($BH$3:$CE$3,"&lt;"&amp;$DF5,$AD5:$BA5)+SUMIF($BH$3:$CE$3,"&gt;"&amp;$CW$4,$AD5:$BA5)),
IF(BL$3&lt;$CW$4,F5,0))))))))))))))),0)</f>
        <v>0</v>
      </c>
      <c r="BM5" s="47">
        <f>ROUND(IF(OR(BM$3&lt;$DF5,BM$3&gt;$CW$4),0,
IF(BM$3=$DF5+'Model Setup'!$B$7,SUMIF($BH$3:$CE$3,"="&amp;$DF5+'Model Setup'!$B$7,$AD5:$BA5)+'Model Setup'!$B$8*(SUMIF($BH$3:$CE$3,"&lt;"&amp;$DF5,$AD5:$BA5)+SUMIF($BH$3:$CE$3,"&gt;"&amp;$CW$4,$AD5:$BA5)),
IF(BM$3=$DF5+'Model Setup'!$C$7,SUMIF($BH$3:$CE$3,"="&amp;$DF5+'Model Setup'!$C$7,$AD5:$BA5)+'Model Setup'!$C$8*(SUMIF($BH$3:$CE$3,"&lt;"&amp;$DF5,$AD5:$BA5)+SUMIF($BH$3:$CE$3,"&gt;"&amp;$CW$4,$AD5:$BA5)),
IF(BM$3=$DF5+'Model Setup'!$D$7,SUMIF($BH$3:$CE$3,"="&amp;$DF5+'Model Setup'!$D$7,$AD5:$BA5)+'Model Setup'!$D$8*(SUMIF($BH$3:$CE$3,"&lt;"&amp;$DF5,$AD5:$BA5)+SUMIF($BH$3:$CE$3,"&gt;"&amp;$CW$4,$AD5:$BA5)),
IF(BM$3=$DF5+'Model Setup'!$E$7,SUMIF($BH$3:$CE$3,"="&amp;$DF5+'Model Setup'!$E$7,$AD5:$BA5)+'Model Setup'!$E$8*(SUMIF($BH$3:$CE$3,"&lt;"&amp;$DF5,$AD5:$BA5)+SUMIF($BH$3:$CE$3,"&gt;"&amp;$CW$4,$AD5:$BA5)),
IF(BM$3=$DF5+'Model Setup'!$F$7,SUMIF($BH$3:$CE$3,"="&amp;$DF5+'Model Setup'!$F$7,$AD5:$BA5)+'Model Setup'!$F$8*(SUMIF($BH$3:$CE$3,"&lt;"&amp;$DF5,$AD5:$BA5)+SUMIF($BH$3:$CE$3,"&gt;"&amp;$CW$4,$AD5:$BA5)),
IF(BM$3=$DF5+'Model Setup'!$G$7,SUMIF($BH$3:$CE$3,"="&amp;$DF5+'Model Setup'!$G$7,$AD5:$BA5)+'Model Setup'!$G$8*(SUMIF($BH$3:$CE$3,"&lt;"&amp;$DF5,$AD5:$BA5)+SUMIF($BH$3:$CE$3,"&gt;"&amp;$CW$4,$AD5:$BA5)),
IF(BM$3=$DF5+'Model Setup'!$H$7,SUMIF($BH$3:$CE$3,"="&amp;$DF5+'Model Setup'!$H$7,$AD5:$BA5)+'Model Setup'!$H$8*(SUMIF($BH$3:$CE$3,"&lt;"&amp;$DF5,$AD5:$BA5)+SUMIF($BH$3:$CE$3,"&gt;"&amp;$CW$4,$AD5:$BA5)),
IF(BM$3=$DF5+'Model Setup'!$I$7,SUMIF($BH$3:$CE$3,"="&amp;$DF5+'Model Setup'!$I$7,$AD5:$BA5)+'Model Setup'!$I$8*(SUMIF($BH$3:$CE$3,"&lt;"&amp;$DF5,$AD5:$BA5)+SUMIF($BH$3:$CE$3,"&gt;"&amp;$CW$4,$AD5:$BA5)),
IF(BM$3=$DF5+'Model Setup'!$J$7,SUMIF($BH$3:$CE$3,"="&amp;$DF5+'Model Setup'!$J$7,$AD5:$BA5)+'Model Setup'!$J$8*(SUMIF($BH$3:$CE$3,"&lt;"&amp;$DF5,$AD5:$BA5)+SUMIF($BH$3:$CE$3,"&gt;"&amp;$CW$4,$AD5:$BA5)),
IF(BM$3=$DF5+'Model Setup'!$K$7,SUMIF($BH$3:$CE$3,"="&amp;$DF5+'Model Setup'!$K$7,$AD5:$BA5)+'Model Setup'!$K$8*(SUMIF($BH$3:$CE$3,"&lt;"&amp;$DF5,$AD5:$BA5)+SUMIF($BH$3:$CE$3,"&gt;"&amp;$CW$4,$AD5:$BA5)),
IF(BM$3=$DF5+'Model Setup'!$L$7,SUMIF($BH$3:$CE$3,"="&amp;$DF5+'Model Setup'!$L$7,$AD5:$BA5)+'Model Setup'!$L$8*(SUMIF($BH$3:$CE$3,"&lt;"&amp;$DF5,$AD5:$BA5)+SUMIF($BH$3:$CE$3,"&gt;"&amp;$CW$4,$AD5:$BA5)),
IF(BM$3=$DF5+'Model Setup'!$M$7,SUMIF($BH$3:$CE$3,"="&amp;$DF5+'Model Setup'!$M$7,$AD5:$BA5)+'Model Setup'!$M$8*(SUMIF($BH$3:$CE$3,"&lt;"&amp;$DF5,$AD5:$BA5)+SUMIF($BH$3:$CE$3,"&gt;"&amp;$CW$4,$AD5:$BA5)),
IF(BM$3=$DF5+'Model Setup'!$N$7,SUMIF($BH$3:$CE$3,"="&amp;$DF5+'Model Setup'!$N$7,$AD5:$BA5)+'Model Setup'!$N$8*(SUMIF($BH$3:$CE$3,"&lt;"&amp;$DF5,$AD5:$BA5)+SUMIF($BH$3:$CE$3,"&gt;"&amp;$CW$4,$AD5:$BA5)),
IF(BM$3&lt;$CW$4,G5,0))))))))))))))),0)</f>
        <v>0</v>
      </c>
      <c r="BN5" s="47">
        <f>ROUND(IF(OR(BN$3&lt;$DF5,BN$3&gt;$CW$4),0,
IF(BN$3=$DF5+'Model Setup'!$B$7,SUMIF($BH$3:$CE$3,"="&amp;$DF5+'Model Setup'!$B$7,$AD5:$BA5)+'Model Setup'!$B$8*(SUMIF($BH$3:$CE$3,"&lt;"&amp;$DF5,$AD5:$BA5)+SUMIF($BH$3:$CE$3,"&gt;"&amp;$CW$4,$AD5:$BA5)),
IF(BN$3=$DF5+'Model Setup'!$C$7,SUMIF($BH$3:$CE$3,"="&amp;$DF5+'Model Setup'!$C$7,$AD5:$BA5)+'Model Setup'!$C$8*(SUMIF($BH$3:$CE$3,"&lt;"&amp;$DF5,$AD5:$BA5)+SUMIF($BH$3:$CE$3,"&gt;"&amp;$CW$4,$AD5:$BA5)),
IF(BN$3=$DF5+'Model Setup'!$D$7,SUMIF($BH$3:$CE$3,"="&amp;$DF5+'Model Setup'!$D$7,$AD5:$BA5)+'Model Setup'!$D$8*(SUMIF($BH$3:$CE$3,"&lt;"&amp;$DF5,$AD5:$BA5)+SUMIF($BH$3:$CE$3,"&gt;"&amp;$CW$4,$AD5:$BA5)),
IF(BN$3=$DF5+'Model Setup'!$E$7,SUMIF($BH$3:$CE$3,"="&amp;$DF5+'Model Setup'!$E$7,$AD5:$BA5)+'Model Setup'!$E$8*(SUMIF($BH$3:$CE$3,"&lt;"&amp;$DF5,$AD5:$BA5)+SUMIF($BH$3:$CE$3,"&gt;"&amp;$CW$4,$AD5:$BA5)),
IF(BN$3=$DF5+'Model Setup'!$F$7,SUMIF($BH$3:$CE$3,"="&amp;$DF5+'Model Setup'!$F$7,$AD5:$BA5)+'Model Setup'!$F$8*(SUMIF($BH$3:$CE$3,"&lt;"&amp;$DF5,$AD5:$BA5)+SUMIF($BH$3:$CE$3,"&gt;"&amp;$CW$4,$AD5:$BA5)),
IF(BN$3=$DF5+'Model Setup'!$G$7,SUMIF($BH$3:$CE$3,"="&amp;$DF5+'Model Setup'!$G$7,$AD5:$BA5)+'Model Setup'!$G$8*(SUMIF($BH$3:$CE$3,"&lt;"&amp;$DF5,$AD5:$BA5)+SUMIF($BH$3:$CE$3,"&gt;"&amp;$CW$4,$AD5:$BA5)),
IF(BN$3=$DF5+'Model Setup'!$H$7,SUMIF($BH$3:$CE$3,"="&amp;$DF5+'Model Setup'!$H$7,$AD5:$BA5)+'Model Setup'!$H$8*(SUMIF($BH$3:$CE$3,"&lt;"&amp;$DF5,$AD5:$BA5)+SUMIF($BH$3:$CE$3,"&gt;"&amp;$CW$4,$AD5:$BA5)),
IF(BN$3=$DF5+'Model Setup'!$I$7,SUMIF($BH$3:$CE$3,"="&amp;$DF5+'Model Setup'!$I$7,$AD5:$BA5)+'Model Setup'!$I$8*(SUMIF($BH$3:$CE$3,"&lt;"&amp;$DF5,$AD5:$BA5)+SUMIF($BH$3:$CE$3,"&gt;"&amp;$CW$4,$AD5:$BA5)),
IF(BN$3=$DF5+'Model Setup'!$J$7,SUMIF($BH$3:$CE$3,"="&amp;$DF5+'Model Setup'!$J$7,$AD5:$BA5)+'Model Setup'!$J$8*(SUMIF($BH$3:$CE$3,"&lt;"&amp;$DF5,$AD5:$BA5)+SUMIF($BH$3:$CE$3,"&gt;"&amp;$CW$4,$AD5:$BA5)),
IF(BN$3=$DF5+'Model Setup'!$K$7,SUMIF($BH$3:$CE$3,"="&amp;$DF5+'Model Setup'!$K$7,$AD5:$BA5)+'Model Setup'!$K$8*(SUMIF($BH$3:$CE$3,"&lt;"&amp;$DF5,$AD5:$BA5)+SUMIF($BH$3:$CE$3,"&gt;"&amp;$CW$4,$AD5:$BA5)),
IF(BN$3=$DF5+'Model Setup'!$L$7,SUMIF($BH$3:$CE$3,"="&amp;$DF5+'Model Setup'!$L$7,$AD5:$BA5)+'Model Setup'!$L$8*(SUMIF($BH$3:$CE$3,"&lt;"&amp;$DF5,$AD5:$BA5)+SUMIF($BH$3:$CE$3,"&gt;"&amp;$CW$4,$AD5:$BA5)),
IF(BN$3=$DF5+'Model Setup'!$M$7,SUMIF($BH$3:$CE$3,"="&amp;$DF5+'Model Setup'!$M$7,$AD5:$BA5)+'Model Setup'!$M$8*(SUMIF($BH$3:$CE$3,"&lt;"&amp;$DF5,$AD5:$BA5)+SUMIF($BH$3:$CE$3,"&gt;"&amp;$CW$4,$AD5:$BA5)),
IF(BN$3=$DF5+'Model Setup'!$N$7,SUMIF($BH$3:$CE$3,"="&amp;$DF5+'Model Setup'!$N$7,$AD5:$BA5)+'Model Setup'!$N$8*(SUMIF($BH$3:$CE$3,"&lt;"&amp;$DF5,$AD5:$BA5)+SUMIF($BH$3:$CE$3,"&gt;"&amp;$CW$4,$AD5:$BA5)),
IF(BN$3&lt;$CW$4,H5,0))))))))))))))),0)</f>
        <v>0</v>
      </c>
      <c r="BO5" s="47">
        <f>ROUND(IF(OR(BO$3&lt;$DF5,BO$3&gt;$CW$4),0,
IF(BO$3=$DF5+'Model Setup'!$B$7,SUMIF($BH$3:$CE$3,"="&amp;$DF5+'Model Setup'!$B$7,$AD5:$BA5)+'Model Setup'!$B$8*(SUMIF($BH$3:$CE$3,"&lt;"&amp;$DF5,$AD5:$BA5)+SUMIF($BH$3:$CE$3,"&gt;"&amp;$CW$4,$AD5:$BA5)),
IF(BO$3=$DF5+'Model Setup'!$C$7,SUMIF($BH$3:$CE$3,"="&amp;$DF5+'Model Setup'!$C$7,$AD5:$BA5)+'Model Setup'!$C$8*(SUMIF($BH$3:$CE$3,"&lt;"&amp;$DF5,$AD5:$BA5)+SUMIF($BH$3:$CE$3,"&gt;"&amp;$CW$4,$AD5:$BA5)),
IF(BO$3=$DF5+'Model Setup'!$D$7,SUMIF($BH$3:$CE$3,"="&amp;$DF5+'Model Setup'!$D$7,$AD5:$BA5)+'Model Setup'!$D$8*(SUMIF($BH$3:$CE$3,"&lt;"&amp;$DF5,$AD5:$BA5)+SUMIF($BH$3:$CE$3,"&gt;"&amp;$CW$4,$AD5:$BA5)),
IF(BO$3=$DF5+'Model Setup'!$E$7,SUMIF($BH$3:$CE$3,"="&amp;$DF5+'Model Setup'!$E$7,$AD5:$BA5)+'Model Setup'!$E$8*(SUMIF($BH$3:$CE$3,"&lt;"&amp;$DF5,$AD5:$BA5)+SUMIF($BH$3:$CE$3,"&gt;"&amp;$CW$4,$AD5:$BA5)),
IF(BO$3=$DF5+'Model Setup'!$F$7,SUMIF($BH$3:$CE$3,"="&amp;$DF5+'Model Setup'!$F$7,$AD5:$BA5)+'Model Setup'!$F$8*(SUMIF($BH$3:$CE$3,"&lt;"&amp;$DF5,$AD5:$BA5)+SUMIF($BH$3:$CE$3,"&gt;"&amp;$CW$4,$AD5:$BA5)),
IF(BO$3=$DF5+'Model Setup'!$G$7,SUMIF($BH$3:$CE$3,"="&amp;$DF5+'Model Setup'!$G$7,$AD5:$BA5)+'Model Setup'!$G$8*(SUMIF($BH$3:$CE$3,"&lt;"&amp;$DF5,$AD5:$BA5)+SUMIF($BH$3:$CE$3,"&gt;"&amp;$CW$4,$AD5:$BA5)),
IF(BO$3=$DF5+'Model Setup'!$H$7,SUMIF($BH$3:$CE$3,"="&amp;$DF5+'Model Setup'!$H$7,$AD5:$BA5)+'Model Setup'!$H$8*(SUMIF($BH$3:$CE$3,"&lt;"&amp;$DF5,$AD5:$BA5)+SUMIF($BH$3:$CE$3,"&gt;"&amp;$CW$4,$AD5:$BA5)),
IF(BO$3=$DF5+'Model Setup'!$I$7,SUMIF($BH$3:$CE$3,"="&amp;$DF5+'Model Setup'!$I$7,$AD5:$BA5)+'Model Setup'!$I$8*(SUMIF($BH$3:$CE$3,"&lt;"&amp;$DF5,$AD5:$BA5)+SUMIF($BH$3:$CE$3,"&gt;"&amp;$CW$4,$AD5:$BA5)),
IF(BO$3=$DF5+'Model Setup'!$J$7,SUMIF($BH$3:$CE$3,"="&amp;$DF5+'Model Setup'!$J$7,$AD5:$BA5)+'Model Setup'!$J$8*(SUMIF($BH$3:$CE$3,"&lt;"&amp;$DF5,$AD5:$BA5)+SUMIF($BH$3:$CE$3,"&gt;"&amp;$CW$4,$AD5:$BA5)),
IF(BO$3=$DF5+'Model Setup'!$K$7,SUMIF($BH$3:$CE$3,"="&amp;$DF5+'Model Setup'!$K$7,$AD5:$BA5)+'Model Setup'!$K$8*(SUMIF($BH$3:$CE$3,"&lt;"&amp;$DF5,$AD5:$BA5)+SUMIF($BH$3:$CE$3,"&gt;"&amp;$CW$4,$AD5:$BA5)),
IF(BO$3=$DF5+'Model Setup'!$L$7,SUMIF($BH$3:$CE$3,"="&amp;$DF5+'Model Setup'!$L$7,$AD5:$BA5)+'Model Setup'!$L$8*(SUMIF($BH$3:$CE$3,"&lt;"&amp;$DF5,$AD5:$BA5)+SUMIF($BH$3:$CE$3,"&gt;"&amp;$CW$4,$AD5:$BA5)),
IF(BO$3=$DF5+'Model Setup'!$M$7,SUMIF($BH$3:$CE$3,"="&amp;$DF5+'Model Setup'!$M$7,$AD5:$BA5)+'Model Setup'!$M$8*(SUMIF($BH$3:$CE$3,"&lt;"&amp;$DF5,$AD5:$BA5)+SUMIF($BH$3:$CE$3,"&gt;"&amp;$CW$4,$AD5:$BA5)),
IF(BO$3=$DF5+'Model Setup'!$N$7,SUMIF($BH$3:$CE$3,"="&amp;$DF5+'Model Setup'!$N$7,$AD5:$BA5)+'Model Setup'!$N$8*(SUMIF($BH$3:$CE$3,"&lt;"&amp;$DF5,$AD5:$BA5)+SUMIF($BH$3:$CE$3,"&gt;"&amp;$CW$4,$AD5:$BA5)),
IF(BO$3&lt;$CW$4,I5,0))))))))))))))),0)</f>
        <v>0</v>
      </c>
      <c r="BP5" s="47">
        <f>ROUND(IF(OR(BP$3&lt;$DF5,BP$3&gt;$CW$4),0,
IF(BP$3=$DF5+'Model Setup'!$B$7,SUMIF($BH$3:$CE$3,"="&amp;$DF5+'Model Setup'!$B$7,$AD5:$BA5)+'Model Setup'!$B$8*(SUMIF($BH$3:$CE$3,"&lt;"&amp;$DF5,$AD5:$BA5)+SUMIF($BH$3:$CE$3,"&gt;"&amp;$CW$4,$AD5:$BA5)),
IF(BP$3=$DF5+'Model Setup'!$C$7,SUMIF($BH$3:$CE$3,"="&amp;$DF5+'Model Setup'!$C$7,$AD5:$BA5)+'Model Setup'!$C$8*(SUMIF($BH$3:$CE$3,"&lt;"&amp;$DF5,$AD5:$BA5)+SUMIF($BH$3:$CE$3,"&gt;"&amp;$CW$4,$AD5:$BA5)),
IF(BP$3=$DF5+'Model Setup'!$D$7,SUMIF($BH$3:$CE$3,"="&amp;$DF5+'Model Setup'!$D$7,$AD5:$BA5)+'Model Setup'!$D$8*(SUMIF($BH$3:$CE$3,"&lt;"&amp;$DF5,$AD5:$BA5)+SUMIF($BH$3:$CE$3,"&gt;"&amp;$CW$4,$AD5:$BA5)),
IF(BP$3=$DF5+'Model Setup'!$E$7,SUMIF($BH$3:$CE$3,"="&amp;$DF5+'Model Setup'!$E$7,$AD5:$BA5)+'Model Setup'!$E$8*(SUMIF($BH$3:$CE$3,"&lt;"&amp;$DF5,$AD5:$BA5)+SUMIF($BH$3:$CE$3,"&gt;"&amp;$CW$4,$AD5:$BA5)),
IF(BP$3=$DF5+'Model Setup'!$F$7,SUMIF($BH$3:$CE$3,"="&amp;$DF5+'Model Setup'!$F$7,$AD5:$BA5)+'Model Setup'!$F$8*(SUMIF($BH$3:$CE$3,"&lt;"&amp;$DF5,$AD5:$BA5)+SUMIF($BH$3:$CE$3,"&gt;"&amp;$CW$4,$AD5:$BA5)),
IF(BP$3=$DF5+'Model Setup'!$G$7,SUMIF($BH$3:$CE$3,"="&amp;$DF5+'Model Setup'!$G$7,$AD5:$BA5)+'Model Setup'!$G$8*(SUMIF($BH$3:$CE$3,"&lt;"&amp;$DF5,$AD5:$BA5)+SUMIF($BH$3:$CE$3,"&gt;"&amp;$CW$4,$AD5:$BA5)),
IF(BP$3=$DF5+'Model Setup'!$H$7,SUMIF($BH$3:$CE$3,"="&amp;$DF5+'Model Setup'!$H$7,$AD5:$BA5)+'Model Setup'!$H$8*(SUMIF($BH$3:$CE$3,"&lt;"&amp;$DF5,$AD5:$BA5)+SUMIF($BH$3:$CE$3,"&gt;"&amp;$CW$4,$AD5:$BA5)),
IF(BP$3=$DF5+'Model Setup'!$I$7,SUMIF($BH$3:$CE$3,"="&amp;$DF5+'Model Setup'!$I$7,$AD5:$BA5)+'Model Setup'!$I$8*(SUMIF($BH$3:$CE$3,"&lt;"&amp;$DF5,$AD5:$BA5)+SUMIF($BH$3:$CE$3,"&gt;"&amp;$CW$4,$AD5:$BA5)),
IF(BP$3=$DF5+'Model Setup'!$J$7,SUMIF($BH$3:$CE$3,"="&amp;$DF5+'Model Setup'!$J$7,$AD5:$BA5)+'Model Setup'!$J$8*(SUMIF($BH$3:$CE$3,"&lt;"&amp;$DF5,$AD5:$BA5)+SUMIF($BH$3:$CE$3,"&gt;"&amp;$CW$4,$AD5:$BA5)),
IF(BP$3=$DF5+'Model Setup'!$K$7,SUMIF($BH$3:$CE$3,"="&amp;$DF5+'Model Setup'!$K$7,$AD5:$BA5)+'Model Setup'!$K$8*(SUMIF($BH$3:$CE$3,"&lt;"&amp;$DF5,$AD5:$BA5)+SUMIF($BH$3:$CE$3,"&gt;"&amp;$CW$4,$AD5:$BA5)),
IF(BP$3=$DF5+'Model Setup'!$L$7,SUMIF($BH$3:$CE$3,"="&amp;$DF5+'Model Setup'!$L$7,$AD5:$BA5)+'Model Setup'!$L$8*(SUMIF($BH$3:$CE$3,"&lt;"&amp;$DF5,$AD5:$BA5)+SUMIF($BH$3:$CE$3,"&gt;"&amp;$CW$4,$AD5:$BA5)),
IF(BP$3=$DF5+'Model Setup'!$M$7,SUMIF($BH$3:$CE$3,"="&amp;$DF5+'Model Setup'!$M$7,$AD5:$BA5)+'Model Setup'!$M$8*(SUMIF($BH$3:$CE$3,"&lt;"&amp;$DF5,$AD5:$BA5)+SUMIF($BH$3:$CE$3,"&gt;"&amp;$CW$4,$AD5:$BA5)),
IF(BP$3=$DF5+'Model Setup'!$N$7,SUMIF($BH$3:$CE$3,"="&amp;$DF5+'Model Setup'!$N$7,$AD5:$BA5)+'Model Setup'!$N$8*(SUMIF($BH$3:$CE$3,"&lt;"&amp;$DF5,$AD5:$BA5)+SUMIF($BH$3:$CE$3,"&gt;"&amp;$CW$4,$AD5:$BA5)),
IF(BP$3&lt;$CW$4,J5,0))))))))))))))),0)</f>
        <v>16</v>
      </c>
      <c r="BQ5" s="47">
        <f>ROUND(IF(OR(BQ$3&lt;$DF5,BQ$3&gt;$CW$4),0,
IF(BQ$3=$DF5+'Model Setup'!$B$7,SUMIF($BH$3:$CE$3,"="&amp;$DF5+'Model Setup'!$B$7,$AD5:$BA5)+'Model Setup'!$B$8*(SUMIF($BH$3:$CE$3,"&lt;"&amp;$DF5,$AD5:$BA5)+SUMIF($BH$3:$CE$3,"&gt;"&amp;$CW$4,$AD5:$BA5)),
IF(BQ$3=$DF5+'Model Setup'!$C$7,SUMIF($BH$3:$CE$3,"="&amp;$DF5+'Model Setup'!$C$7,$AD5:$BA5)+'Model Setup'!$C$8*(SUMIF($BH$3:$CE$3,"&lt;"&amp;$DF5,$AD5:$BA5)+SUMIF($BH$3:$CE$3,"&gt;"&amp;$CW$4,$AD5:$BA5)),
IF(BQ$3=$DF5+'Model Setup'!$D$7,SUMIF($BH$3:$CE$3,"="&amp;$DF5+'Model Setup'!$D$7,$AD5:$BA5)+'Model Setup'!$D$8*(SUMIF($BH$3:$CE$3,"&lt;"&amp;$DF5,$AD5:$BA5)+SUMIF($BH$3:$CE$3,"&gt;"&amp;$CW$4,$AD5:$BA5)),
IF(BQ$3=$DF5+'Model Setup'!$E$7,SUMIF($BH$3:$CE$3,"="&amp;$DF5+'Model Setup'!$E$7,$AD5:$BA5)+'Model Setup'!$E$8*(SUMIF($BH$3:$CE$3,"&lt;"&amp;$DF5,$AD5:$BA5)+SUMIF($BH$3:$CE$3,"&gt;"&amp;$CW$4,$AD5:$BA5)),
IF(BQ$3=$DF5+'Model Setup'!$F$7,SUMIF($BH$3:$CE$3,"="&amp;$DF5+'Model Setup'!$F$7,$AD5:$BA5)+'Model Setup'!$F$8*(SUMIF($BH$3:$CE$3,"&lt;"&amp;$DF5,$AD5:$BA5)+SUMIF($BH$3:$CE$3,"&gt;"&amp;$CW$4,$AD5:$BA5)),
IF(BQ$3=$DF5+'Model Setup'!$G$7,SUMIF($BH$3:$CE$3,"="&amp;$DF5+'Model Setup'!$G$7,$AD5:$BA5)+'Model Setup'!$G$8*(SUMIF($BH$3:$CE$3,"&lt;"&amp;$DF5,$AD5:$BA5)+SUMIF($BH$3:$CE$3,"&gt;"&amp;$CW$4,$AD5:$BA5)),
IF(BQ$3=$DF5+'Model Setup'!$H$7,SUMIF($BH$3:$CE$3,"="&amp;$DF5+'Model Setup'!$H$7,$AD5:$BA5)+'Model Setup'!$H$8*(SUMIF($BH$3:$CE$3,"&lt;"&amp;$DF5,$AD5:$BA5)+SUMIF($BH$3:$CE$3,"&gt;"&amp;$CW$4,$AD5:$BA5)),
IF(BQ$3=$DF5+'Model Setup'!$I$7,SUMIF($BH$3:$CE$3,"="&amp;$DF5+'Model Setup'!$I$7,$AD5:$BA5)+'Model Setup'!$I$8*(SUMIF($BH$3:$CE$3,"&lt;"&amp;$DF5,$AD5:$BA5)+SUMIF($BH$3:$CE$3,"&gt;"&amp;$CW$4,$AD5:$BA5)),
IF(BQ$3=$DF5+'Model Setup'!$J$7,SUMIF($BH$3:$CE$3,"="&amp;$DF5+'Model Setup'!$J$7,$AD5:$BA5)+'Model Setup'!$J$8*(SUMIF($BH$3:$CE$3,"&lt;"&amp;$DF5,$AD5:$BA5)+SUMIF($BH$3:$CE$3,"&gt;"&amp;$CW$4,$AD5:$BA5)),
IF(BQ$3=$DF5+'Model Setup'!$K$7,SUMIF($BH$3:$CE$3,"="&amp;$DF5+'Model Setup'!$K$7,$AD5:$BA5)+'Model Setup'!$K$8*(SUMIF($BH$3:$CE$3,"&lt;"&amp;$DF5,$AD5:$BA5)+SUMIF($BH$3:$CE$3,"&gt;"&amp;$CW$4,$AD5:$BA5)),
IF(BQ$3=$DF5+'Model Setup'!$L$7,SUMIF($BH$3:$CE$3,"="&amp;$DF5+'Model Setup'!$L$7,$AD5:$BA5)+'Model Setup'!$L$8*(SUMIF($BH$3:$CE$3,"&lt;"&amp;$DF5,$AD5:$BA5)+SUMIF($BH$3:$CE$3,"&gt;"&amp;$CW$4,$AD5:$BA5)),
IF(BQ$3=$DF5+'Model Setup'!$M$7,SUMIF($BH$3:$CE$3,"="&amp;$DF5+'Model Setup'!$M$7,$AD5:$BA5)+'Model Setup'!$M$8*(SUMIF($BH$3:$CE$3,"&lt;"&amp;$DF5,$AD5:$BA5)+SUMIF($BH$3:$CE$3,"&gt;"&amp;$CW$4,$AD5:$BA5)),
IF(BQ$3=$DF5+'Model Setup'!$N$7,SUMIF($BH$3:$CE$3,"="&amp;$DF5+'Model Setup'!$N$7,$AD5:$BA5)+'Model Setup'!$N$8*(SUMIF($BH$3:$CE$3,"&lt;"&amp;$DF5,$AD5:$BA5)+SUMIF($BH$3:$CE$3,"&gt;"&amp;$CW$4,$AD5:$BA5)),
IF(BQ$3&lt;$CW$4,K5,0))))))))))))))),0)</f>
        <v>13</v>
      </c>
      <c r="BR5" s="47">
        <f>ROUND(IF(OR(BR$3&lt;$DF5,BR$3&gt;$CW$4),0,
IF(BR$3=$DF5+'Model Setup'!$B$7,SUMIF($BH$3:$CE$3,"="&amp;$DF5+'Model Setup'!$B$7,$AD5:$BA5)+'Model Setup'!$B$8*(SUMIF($BH$3:$CE$3,"&lt;"&amp;$DF5,$AD5:$BA5)+SUMIF($BH$3:$CE$3,"&gt;"&amp;$CW$4,$AD5:$BA5)),
IF(BR$3=$DF5+'Model Setup'!$C$7,SUMIF($BH$3:$CE$3,"="&amp;$DF5+'Model Setup'!$C$7,$AD5:$BA5)+'Model Setup'!$C$8*(SUMIF($BH$3:$CE$3,"&lt;"&amp;$DF5,$AD5:$BA5)+SUMIF($BH$3:$CE$3,"&gt;"&amp;$CW$4,$AD5:$BA5)),
IF(BR$3=$DF5+'Model Setup'!$D$7,SUMIF($BH$3:$CE$3,"="&amp;$DF5+'Model Setup'!$D$7,$AD5:$BA5)+'Model Setup'!$D$8*(SUMIF($BH$3:$CE$3,"&lt;"&amp;$DF5,$AD5:$BA5)+SUMIF($BH$3:$CE$3,"&gt;"&amp;$CW$4,$AD5:$BA5)),
IF(BR$3=$DF5+'Model Setup'!$E$7,SUMIF($BH$3:$CE$3,"="&amp;$DF5+'Model Setup'!$E$7,$AD5:$BA5)+'Model Setup'!$E$8*(SUMIF($BH$3:$CE$3,"&lt;"&amp;$DF5,$AD5:$BA5)+SUMIF($BH$3:$CE$3,"&gt;"&amp;$CW$4,$AD5:$BA5)),
IF(BR$3=$DF5+'Model Setup'!$F$7,SUMIF($BH$3:$CE$3,"="&amp;$DF5+'Model Setup'!$F$7,$AD5:$BA5)+'Model Setup'!$F$8*(SUMIF($BH$3:$CE$3,"&lt;"&amp;$DF5,$AD5:$BA5)+SUMIF($BH$3:$CE$3,"&gt;"&amp;$CW$4,$AD5:$BA5)),
IF(BR$3=$DF5+'Model Setup'!$G$7,SUMIF($BH$3:$CE$3,"="&amp;$DF5+'Model Setup'!$G$7,$AD5:$BA5)+'Model Setup'!$G$8*(SUMIF($BH$3:$CE$3,"&lt;"&amp;$DF5,$AD5:$BA5)+SUMIF($BH$3:$CE$3,"&gt;"&amp;$CW$4,$AD5:$BA5)),
IF(BR$3=$DF5+'Model Setup'!$H$7,SUMIF($BH$3:$CE$3,"="&amp;$DF5+'Model Setup'!$H$7,$AD5:$BA5)+'Model Setup'!$H$8*(SUMIF($BH$3:$CE$3,"&lt;"&amp;$DF5,$AD5:$BA5)+SUMIF($BH$3:$CE$3,"&gt;"&amp;$CW$4,$AD5:$BA5)),
IF(BR$3=$DF5+'Model Setup'!$I$7,SUMIF($BH$3:$CE$3,"="&amp;$DF5+'Model Setup'!$I$7,$AD5:$BA5)+'Model Setup'!$I$8*(SUMIF($BH$3:$CE$3,"&lt;"&amp;$DF5,$AD5:$BA5)+SUMIF($BH$3:$CE$3,"&gt;"&amp;$CW$4,$AD5:$BA5)),
IF(BR$3=$DF5+'Model Setup'!$J$7,SUMIF($BH$3:$CE$3,"="&amp;$DF5+'Model Setup'!$J$7,$AD5:$BA5)+'Model Setup'!$J$8*(SUMIF($BH$3:$CE$3,"&lt;"&amp;$DF5,$AD5:$BA5)+SUMIF($BH$3:$CE$3,"&gt;"&amp;$CW$4,$AD5:$BA5)),
IF(BR$3=$DF5+'Model Setup'!$K$7,SUMIF($BH$3:$CE$3,"="&amp;$DF5+'Model Setup'!$K$7,$AD5:$BA5)+'Model Setup'!$K$8*(SUMIF($BH$3:$CE$3,"&lt;"&amp;$DF5,$AD5:$BA5)+SUMIF($BH$3:$CE$3,"&gt;"&amp;$CW$4,$AD5:$BA5)),
IF(BR$3=$DF5+'Model Setup'!$L$7,SUMIF($BH$3:$CE$3,"="&amp;$DF5+'Model Setup'!$L$7,$AD5:$BA5)+'Model Setup'!$L$8*(SUMIF($BH$3:$CE$3,"&lt;"&amp;$DF5,$AD5:$BA5)+SUMIF($BH$3:$CE$3,"&gt;"&amp;$CW$4,$AD5:$BA5)),
IF(BR$3=$DF5+'Model Setup'!$M$7,SUMIF($BH$3:$CE$3,"="&amp;$DF5+'Model Setup'!$M$7,$AD5:$BA5)+'Model Setup'!$M$8*(SUMIF($BH$3:$CE$3,"&lt;"&amp;$DF5,$AD5:$BA5)+SUMIF($BH$3:$CE$3,"&gt;"&amp;$CW$4,$AD5:$BA5)),
IF(BR$3=$DF5+'Model Setup'!$N$7,SUMIF($BH$3:$CE$3,"="&amp;$DF5+'Model Setup'!$N$7,$AD5:$BA5)+'Model Setup'!$N$8*(SUMIF($BH$3:$CE$3,"&lt;"&amp;$DF5,$AD5:$BA5)+SUMIF($BH$3:$CE$3,"&gt;"&amp;$CW$4,$AD5:$BA5)),
IF(BR$3&lt;$CW$4,L5,0))))))))))))))),0)</f>
        <v>10</v>
      </c>
      <c r="BS5" s="47">
        <f>ROUND(IF(OR(BS$3&lt;$DF5,BS$3&gt;$CW$4),0,
IF(BS$3=$DF5+'Model Setup'!$B$7,SUMIF($BH$3:$CE$3,"="&amp;$DF5+'Model Setup'!$B$7,$AD5:$BA5)+'Model Setup'!$B$8*(SUMIF($BH$3:$CE$3,"&lt;"&amp;$DF5,$AD5:$BA5)+SUMIF($BH$3:$CE$3,"&gt;"&amp;$CW$4,$AD5:$BA5)),
IF(BS$3=$DF5+'Model Setup'!$C$7,SUMIF($BH$3:$CE$3,"="&amp;$DF5+'Model Setup'!$C$7,$AD5:$BA5)+'Model Setup'!$C$8*(SUMIF($BH$3:$CE$3,"&lt;"&amp;$DF5,$AD5:$BA5)+SUMIF($BH$3:$CE$3,"&gt;"&amp;$CW$4,$AD5:$BA5)),
IF(BS$3=$DF5+'Model Setup'!$D$7,SUMIF($BH$3:$CE$3,"="&amp;$DF5+'Model Setup'!$D$7,$AD5:$BA5)+'Model Setup'!$D$8*(SUMIF($BH$3:$CE$3,"&lt;"&amp;$DF5,$AD5:$BA5)+SUMIF($BH$3:$CE$3,"&gt;"&amp;$CW$4,$AD5:$BA5)),
IF(BS$3=$DF5+'Model Setup'!$E$7,SUMIF($BH$3:$CE$3,"="&amp;$DF5+'Model Setup'!$E$7,$AD5:$BA5)+'Model Setup'!$E$8*(SUMIF($BH$3:$CE$3,"&lt;"&amp;$DF5,$AD5:$BA5)+SUMIF($BH$3:$CE$3,"&gt;"&amp;$CW$4,$AD5:$BA5)),
IF(BS$3=$DF5+'Model Setup'!$F$7,SUMIF($BH$3:$CE$3,"="&amp;$DF5+'Model Setup'!$F$7,$AD5:$BA5)+'Model Setup'!$F$8*(SUMIF($BH$3:$CE$3,"&lt;"&amp;$DF5,$AD5:$BA5)+SUMIF($BH$3:$CE$3,"&gt;"&amp;$CW$4,$AD5:$BA5)),
IF(BS$3=$DF5+'Model Setup'!$G$7,SUMIF($BH$3:$CE$3,"="&amp;$DF5+'Model Setup'!$G$7,$AD5:$BA5)+'Model Setup'!$G$8*(SUMIF($BH$3:$CE$3,"&lt;"&amp;$DF5,$AD5:$BA5)+SUMIF($BH$3:$CE$3,"&gt;"&amp;$CW$4,$AD5:$BA5)),
IF(BS$3=$DF5+'Model Setup'!$H$7,SUMIF($BH$3:$CE$3,"="&amp;$DF5+'Model Setup'!$H$7,$AD5:$BA5)+'Model Setup'!$H$8*(SUMIF($BH$3:$CE$3,"&lt;"&amp;$DF5,$AD5:$BA5)+SUMIF($BH$3:$CE$3,"&gt;"&amp;$CW$4,$AD5:$BA5)),
IF(BS$3=$DF5+'Model Setup'!$I$7,SUMIF($BH$3:$CE$3,"="&amp;$DF5+'Model Setup'!$I$7,$AD5:$BA5)+'Model Setup'!$I$8*(SUMIF($BH$3:$CE$3,"&lt;"&amp;$DF5,$AD5:$BA5)+SUMIF($BH$3:$CE$3,"&gt;"&amp;$CW$4,$AD5:$BA5)),
IF(BS$3=$DF5+'Model Setup'!$J$7,SUMIF($BH$3:$CE$3,"="&amp;$DF5+'Model Setup'!$J$7,$AD5:$BA5)+'Model Setup'!$J$8*(SUMIF($BH$3:$CE$3,"&lt;"&amp;$DF5,$AD5:$BA5)+SUMIF($BH$3:$CE$3,"&gt;"&amp;$CW$4,$AD5:$BA5)),
IF(BS$3=$DF5+'Model Setup'!$K$7,SUMIF($BH$3:$CE$3,"="&amp;$DF5+'Model Setup'!$K$7,$AD5:$BA5)+'Model Setup'!$K$8*(SUMIF($BH$3:$CE$3,"&lt;"&amp;$DF5,$AD5:$BA5)+SUMIF($BH$3:$CE$3,"&gt;"&amp;$CW$4,$AD5:$BA5)),
IF(BS$3=$DF5+'Model Setup'!$L$7,SUMIF($BH$3:$CE$3,"="&amp;$DF5+'Model Setup'!$L$7,$AD5:$BA5)+'Model Setup'!$L$8*(SUMIF($BH$3:$CE$3,"&lt;"&amp;$DF5,$AD5:$BA5)+SUMIF($BH$3:$CE$3,"&gt;"&amp;$CW$4,$AD5:$BA5)),
IF(BS$3=$DF5+'Model Setup'!$M$7,SUMIF($BH$3:$CE$3,"="&amp;$DF5+'Model Setup'!$M$7,$AD5:$BA5)+'Model Setup'!$M$8*(SUMIF($BH$3:$CE$3,"&lt;"&amp;$DF5,$AD5:$BA5)+SUMIF($BH$3:$CE$3,"&gt;"&amp;$CW$4,$AD5:$BA5)),
IF(BS$3=$DF5+'Model Setup'!$N$7,SUMIF($BH$3:$CE$3,"="&amp;$DF5+'Model Setup'!$N$7,$AD5:$BA5)+'Model Setup'!$N$8*(SUMIF($BH$3:$CE$3,"&lt;"&amp;$DF5,$AD5:$BA5)+SUMIF($BH$3:$CE$3,"&gt;"&amp;$CW$4,$AD5:$BA5)),
IF(BS$3&lt;$CW$4,M5,0))))))))))))))),0)</f>
        <v>8</v>
      </c>
      <c r="BT5" s="47">
        <f>ROUND(IF(OR(BT$3&lt;$DF5,BT$3&gt;$CW$4),0,
IF(BT$3=$DF5+'Model Setup'!$B$7,SUMIF($BH$3:$CE$3,"="&amp;$DF5+'Model Setup'!$B$7,$AD5:$BA5)+'Model Setup'!$B$8*(SUMIF($BH$3:$CE$3,"&lt;"&amp;$DF5,$AD5:$BA5)+SUMIF($BH$3:$CE$3,"&gt;"&amp;$CW$4,$AD5:$BA5)),
IF(BT$3=$DF5+'Model Setup'!$C$7,SUMIF($BH$3:$CE$3,"="&amp;$DF5+'Model Setup'!$C$7,$AD5:$BA5)+'Model Setup'!$C$8*(SUMIF($BH$3:$CE$3,"&lt;"&amp;$DF5,$AD5:$BA5)+SUMIF($BH$3:$CE$3,"&gt;"&amp;$CW$4,$AD5:$BA5)),
IF(BT$3=$DF5+'Model Setup'!$D$7,SUMIF($BH$3:$CE$3,"="&amp;$DF5+'Model Setup'!$D$7,$AD5:$BA5)+'Model Setup'!$D$8*(SUMIF($BH$3:$CE$3,"&lt;"&amp;$DF5,$AD5:$BA5)+SUMIF($BH$3:$CE$3,"&gt;"&amp;$CW$4,$AD5:$BA5)),
IF(BT$3=$DF5+'Model Setup'!$E$7,SUMIF($BH$3:$CE$3,"="&amp;$DF5+'Model Setup'!$E$7,$AD5:$BA5)+'Model Setup'!$E$8*(SUMIF($BH$3:$CE$3,"&lt;"&amp;$DF5,$AD5:$BA5)+SUMIF($BH$3:$CE$3,"&gt;"&amp;$CW$4,$AD5:$BA5)),
IF(BT$3=$DF5+'Model Setup'!$F$7,SUMIF($BH$3:$CE$3,"="&amp;$DF5+'Model Setup'!$F$7,$AD5:$BA5)+'Model Setup'!$F$8*(SUMIF($BH$3:$CE$3,"&lt;"&amp;$DF5,$AD5:$BA5)+SUMIF($BH$3:$CE$3,"&gt;"&amp;$CW$4,$AD5:$BA5)),
IF(BT$3=$DF5+'Model Setup'!$G$7,SUMIF($BH$3:$CE$3,"="&amp;$DF5+'Model Setup'!$G$7,$AD5:$BA5)+'Model Setup'!$G$8*(SUMIF($BH$3:$CE$3,"&lt;"&amp;$DF5,$AD5:$BA5)+SUMIF($BH$3:$CE$3,"&gt;"&amp;$CW$4,$AD5:$BA5)),
IF(BT$3=$DF5+'Model Setup'!$H$7,SUMIF($BH$3:$CE$3,"="&amp;$DF5+'Model Setup'!$H$7,$AD5:$BA5)+'Model Setup'!$H$8*(SUMIF($BH$3:$CE$3,"&lt;"&amp;$DF5,$AD5:$BA5)+SUMIF($BH$3:$CE$3,"&gt;"&amp;$CW$4,$AD5:$BA5)),
IF(BT$3=$DF5+'Model Setup'!$I$7,SUMIF($BH$3:$CE$3,"="&amp;$DF5+'Model Setup'!$I$7,$AD5:$BA5)+'Model Setup'!$I$8*(SUMIF($BH$3:$CE$3,"&lt;"&amp;$DF5,$AD5:$BA5)+SUMIF($BH$3:$CE$3,"&gt;"&amp;$CW$4,$AD5:$BA5)),
IF(BT$3=$DF5+'Model Setup'!$J$7,SUMIF($BH$3:$CE$3,"="&amp;$DF5+'Model Setup'!$J$7,$AD5:$BA5)+'Model Setup'!$J$8*(SUMIF($BH$3:$CE$3,"&lt;"&amp;$DF5,$AD5:$BA5)+SUMIF($BH$3:$CE$3,"&gt;"&amp;$CW$4,$AD5:$BA5)),
IF(BT$3=$DF5+'Model Setup'!$K$7,SUMIF($BH$3:$CE$3,"="&amp;$DF5+'Model Setup'!$K$7,$AD5:$BA5)+'Model Setup'!$K$8*(SUMIF($BH$3:$CE$3,"&lt;"&amp;$DF5,$AD5:$BA5)+SUMIF($BH$3:$CE$3,"&gt;"&amp;$CW$4,$AD5:$BA5)),
IF(BT$3=$DF5+'Model Setup'!$L$7,SUMIF($BH$3:$CE$3,"="&amp;$DF5+'Model Setup'!$L$7,$AD5:$BA5)+'Model Setup'!$L$8*(SUMIF($BH$3:$CE$3,"&lt;"&amp;$DF5,$AD5:$BA5)+SUMIF($BH$3:$CE$3,"&gt;"&amp;$CW$4,$AD5:$BA5)),
IF(BT$3=$DF5+'Model Setup'!$M$7,SUMIF($BH$3:$CE$3,"="&amp;$DF5+'Model Setup'!$M$7,$AD5:$BA5)+'Model Setup'!$M$8*(SUMIF($BH$3:$CE$3,"&lt;"&amp;$DF5,$AD5:$BA5)+SUMIF($BH$3:$CE$3,"&gt;"&amp;$CW$4,$AD5:$BA5)),
IF(BT$3=$DF5+'Model Setup'!$N$7,SUMIF($BH$3:$CE$3,"="&amp;$DF5+'Model Setup'!$N$7,$AD5:$BA5)+'Model Setup'!$N$8*(SUMIF($BH$3:$CE$3,"&lt;"&amp;$DF5,$AD5:$BA5)+SUMIF($BH$3:$CE$3,"&gt;"&amp;$CW$4,$AD5:$BA5)),
IF(BT$3&lt;$CW$4,N5,0))))))))))))))),0)</f>
        <v>6</v>
      </c>
      <c r="BU5" s="47">
        <f>ROUND(IF(OR(BU$3&lt;$DF5,BU$3&gt;$CW$4),0,
IF(BU$3=$DF5+'Model Setup'!$B$7,SUMIF($BH$3:$CE$3,"="&amp;$DF5+'Model Setup'!$B$7,$AD5:$BA5)+'Model Setup'!$B$8*(SUMIF($BH$3:$CE$3,"&lt;"&amp;$DF5,$AD5:$BA5)+SUMIF($BH$3:$CE$3,"&gt;"&amp;$CW$4,$AD5:$BA5)),
IF(BU$3=$DF5+'Model Setup'!$C$7,SUMIF($BH$3:$CE$3,"="&amp;$DF5+'Model Setup'!$C$7,$AD5:$BA5)+'Model Setup'!$C$8*(SUMIF($BH$3:$CE$3,"&lt;"&amp;$DF5,$AD5:$BA5)+SUMIF($BH$3:$CE$3,"&gt;"&amp;$CW$4,$AD5:$BA5)),
IF(BU$3=$DF5+'Model Setup'!$D$7,SUMIF($BH$3:$CE$3,"="&amp;$DF5+'Model Setup'!$D$7,$AD5:$BA5)+'Model Setup'!$D$8*(SUMIF($BH$3:$CE$3,"&lt;"&amp;$DF5,$AD5:$BA5)+SUMIF($BH$3:$CE$3,"&gt;"&amp;$CW$4,$AD5:$BA5)),
IF(BU$3=$DF5+'Model Setup'!$E$7,SUMIF($BH$3:$CE$3,"="&amp;$DF5+'Model Setup'!$E$7,$AD5:$BA5)+'Model Setup'!$E$8*(SUMIF($BH$3:$CE$3,"&lt;"&amp;$DF5,$AD5:$BA5)+SUMIF($BH$3:$CE$3,"&gt;"&amp;$CW$4,$AD5:$BA5)),
IF(BU$3=$DF5+'Model Setup'!$F$7,SUMIF($BH$3:$CE$3,"="&amp;$DF5+'Model Setup'!$F$7,$AD5:$BA5)+'Model Setup'!$F$8*(SUMIF($BH$3:$CE$3,"&lt;"&amp;$DF5,$AD5:$BA5)+SUMIF($BH$3:$CE$3,"&gt;"&amp;$CW$4,$AD5:$BA5)),
IF(BU$3=$DF5+'Model Setup'!$G$7,SUMIF($BH$3:$CE$3,"="&amp;$DF5+'Model Setup'!$G$7,$AD5:$BA5)+'Model Setup'!$G$8*(SUMIF($BH$3:$CE$3,"&lt;"&amp;$DF5,$AD5:$BA5)+SUMIF($BH$3:$CE$3,"&gt;"&amp;$CW$4,$AD5:$BA5)),
IF(BU$3=$DF5+'Model Setup'!$H$7,SUMIF($BH$3:$CE$3,"="&amp;$DF5+'Model Setup'!$H$7,$AD5:$BA5)+'Model Setup'!$H$8*(SUMIF($BH$3:$CE$3,"&lt;"&amp;$DF5,$AD5:$BA5)+SUMIF($BH$3:$CE$3,"&gt;"&amp;$CW$4,$AD5:$BA5)),
IF(BU$3=$DF5+'Model Setup'!$I$7,SUMIF($BH$3:$CE$3,"="&amp;$DF5+'Model Setup'!$I$7,$AD5:$BA5)+'Model Setup'!$I$8*(SUMIF($BH$3:$CE$3,"&lt;"&amp;$DF5,$AD5:$BA5)+SUMIF($BH$3:$CE$3,"&gt;"&amp;$CW$4,$AD5:$BA5)),
IF(BU$3=$DF5+'Model Setup'!$J$7,SUMIF($BH$3:$CE$3,"="&amp;$DF5+'Model Setup'!$J$7,$AD5:$BA5)+'Model Setup'!$J$8*(SUMIF($BH$3:$CE$3,"&lt;"&amp;$DF5,$AD5:$BA5)+SUMIF($BH$3:$CE$3,"&gt;"&amp;$CW$4,$AD5:$BA5)),
IF(BU$3=$DF5+'Model Setup'!$K$7,SUMIF($BH$3:$CE$3,"="&amp;$DF5+'Model Setup'!$K$7,$AD5:$BA5)+'Model Setup'!$K$8*(SUMIF($BH$3:$CE$3,"&lt;"&amp;$DF5,$AD5:$BA5)+SUMIF($BH$3:$CE$3,"&gt;"&amp;$CW$4,$AD5:$BA5)),
IF(BU$3=$DF5+'Model Setup'!$L$7,SUMIF($BH$3:$CE$3,"="&amp;$DF5+'Model Setup'!$L$7,$AD5:$BA5)+'Model Setup'!$L$8*(SUMIF($BH$3:$CE$3,"&lt;"&amp;$DF5,$AD5:$BA5)+SUMIF($BH$3:$CE$3,"&gt;"&amp;$CW$4,$AD5:$BA5)),
IF(BU$3=$DF5+'Model Setup'!$M$7,SUMIF($BH$3:$CE$3,"="&amp;$DF5+'Model Setup'!$M$7,$AD5:$BA5)+'Model Setup'!$M$8*(SUMIF($BH$3:$CE$3,"&lt;"&amp;$DF5,$AD5:$BA5)+SUMIF($BH$3:$CE$3,"&gt;"&amp;$CW$4,$AD5:$BA5)),
IF(BU$3=$DF5+'Model Setup'!$N$7,SUMIF($BH$3:$CE$3,"="&amp;$DF5+'Model Setup'!$N$7,$AD5:$BA5)+'Model Setup'!$N$8*(SUMIF($BH$3:$CE$3,"&lt;"&amp;$DF5,$AD5:$BA5)+SUMIF($BH$3:$CE$3,"&gt;"&amp;$CW$4,$AD5:$BA5)),
IF(BU$3&lt;$CW$4,O5,0))))))))))))))),0)</f>
        <v>8</v>
      </c>
      <c r="BV5" s="47">
        <f>ROUND(IF(OR(BV$3&lt;$DF5,BV$3&gt;$CW$4),0,
IF(BV$3=$DF5+'Model Setup'!$B$7,SUMIF($BH$3:$CE$3,"="&amp;$DF5+'Model Setup'!$B$7,$AD5:$BA5)+'Model Setup'!$B$8*(SUMIF($BH$3:$CE$3,"&lt;"&amp;$DF5,$AD5:$BA5)+SUMIF($BH$3:$CE$3,"&gt;"&amp;$CW$4,$AD5:$BA5)),
IF(BV$3=$DF5+'Model Setup'!$C$7,SUMIF($BH$3:$CE$3,"="&amp;$DF5+'Model Setup'!$C$7,$AD5:$BA5)+'Model Setup'!$C$8*(SUMIF($BH$3:$CE$3,"&lt;"&amp;$DF5,$AD5:$BA5)+SUMIF($BH$3:$CE$3,"&gt;"&amp;$CW$4,$AD5:$BA5)),
IF(BV$3=$DF5+'Model Setup'!$D$7,SUMIF($BH$3:$CE$3,"="&amp;$DF5+'Model Setup'!$D$7,$AD5:$BA5)+'Model Setup'!$D$8*(SUMIF($BH$3:$CE$3,"&lt;"&amp;$DF5,$AD5:$BA5)+SUMIF($BH$3:$CE$3,"&gt;"&amp;$CW$4,$AD5:$BA5)),
IF(BV$3=$DF5+'Model Setup'!$E$7,SUMIF($BH$3:$CE$3,"="&amp;$DF5+'Model Setup'!$E$7,$AD5:$BA5)+'Model Setup'!$E$8*(SUMIF($BH$3:$CE$3,"&lt;"&amp;$DF5,$AD5:$BA5)+SUMIF($BH$3:$CE$3,"&gt;"&amp;$CW$4,$AD5:$BA5)),
IF(BV$3=$DF5+'Model Setup'!$F$7,SUMIF($BH$3:$CE$3,"="&amp;$DF5+'Model Setup'!$F$7,$AD5:$BA5)+'Model Setup'!$F$8*(SUMIF($BH$3:$CE$3,"&lt;"&amp;$DF5,$AD5:$BA5)+SUMIF($BH$3:$CE$3,"&gt;"&amp;$CW$4,$AD5:$BA5)),
IF(BV$3=$DF5+'Model Setup'!$G$7,SUMIF($BH$3:$CE$3,"="&amp;$DF5+'Model Setup'!$G$7,$AD5:$BA5)+'Model Setup'!$G$8*(SUMIF($BH$3:$CE$3,"&lt;"&amp;$DF5,$AD5:$BA5)+SUMIF($BH$3:$CE$3,"&gt;"&amp;$CW$4,$AD5:$BA5)),
IF(BV$3=$DF5+'Model Setup'!$H$7,SUMIF($BH$3:$CE$3,"="&amp;$DF5+'Model Setup'!$H$7,$AD5:$BA5)+'Model Setup'!$H$8*(SUMIF($BH$3:$CE$3,"&lt;"&amp;$DF5,$AD5:$BA5)+SUMIF($BH$3:$CE$3,"&gt;"&amp;$CW$4,$AD5:$BA5)),
IF(BV$3=$DF5+'Model Setup'!$I$7,SUMIF($BH$3:$CE$3,"="&amp;$DF5+'Model Setup'!$I$7,$AD5:$BA5)+'Model Setup'!$I$8*(SUMIF($BH$3:$CE$3,"&lt;"&amp;$DF5,$AD5:$BA5)+SUMIF($BH$3:$CE$3,"&gt;"&amp;$CW$4,$AD5:$BA5)),
IF(BV$3=$DF5+'Model Setup'!$J$7,SUMIF($BH$3:$CE$3,"="&amp;$DF5+'Model Setup'!$J$7,$AD5:$BA5)+'Model Setup'!$J$8*(SUMIF($BH$3:$CE$3,"&lt;"&amp;$DF5,$AD5:$BA5)+SUMIF($BH$3:$CE$3,"&gt;"&amp;$CW$4,$AD5:$BA5)),
IF(BV$3=$DF5+'Model Setup'!$K$7,SUMIF($BH$3:$CE$3,"="&amp;$DF5+'Model Setup'!$K$7,$AD5:$BA5)+'Model Setup'!$K$8*(SUMIF($BH$3:$CE$3,"&lt;"&amp;$DF5,$AD5:$BA5)+SUMIF($BH$3:$CE$3,"&gt;"&amp;$CW$4,$AD5:$BA5)),
IF(BV$3=$DF5+'Model Setup'!$L$7,SUMIF($BH$3:$CE$3,"="&amp;$DF5+'Model Setup'!$L$7,$AD5:$BA5)+'Model Setup'!$L$8*(SUMIF($BH$3:$CE$3,"&lt;"&amp;$DF5,$AD5:$BA5)+SUMIF($BH$3:$CE$3,"&gt;"&amp;$CW$4,$AD5:$BA5)),
IF(BV$3=$DF5+'Model Setup'!$M$7,SUMIF($BH$3:$CE$3,"="&amp;$DF5+'Model Setup'!$M$7,$AD5:$BA5)+'Model Setup'!$M$8*(SUMIF($BH$3:$CE$3,"&lt;"&amp;$DF5,$AD5:$BA5)+SUMIF($BH$3:$CE$3,"&gt;"&amp;$CW$4,$AD5:$BA5)),
IF(BV$3=$DF5+'Model Setup'!$N$7,SUMIF($BH$3:$CE$3,"="&amp;$DF5+'Model Setup'!$N$7,$AD5:$BA5)+'Model Setup'!$N$8*(SUMIF($BH$3:$CE$3,"&lt;"&amp;$DF5,$AD5:$BA5)+SUMIF($BH$3:$CE$3,"&gt;"&amp;$CW$4,$AD5:$BA5)),
IF(BV$3&lt;$CW$4,P5,0))))))))))))))),0)</f>
        <v>6</v>
      </c>
      <c r="BW5" s="47">
        <f>ROUND(IF(OR(BW$3&lt;$DF5,BW$3&gt;$CW$4),0,
IF(BW$3=$DF5+'Model Setup'!$B$7,SUMIF($BH$3:$CE$3,"="&amp;$DF5+'Model Setup'!$B$7,$AD5:$BA5)+'Model Setup'!$B$8*(SUMIF($BH$3:$CE$3,"&lt;"&amp;$DF5,$AD5:$BA5)+SUMIF($BH$3:$CE$3,"&gt;"&amp;$CW$4,$AD5:$BA5)),
IF(BW$3=$DF5+'Model Setup'!$C$7,SUMIF($BH$3:$CE$3,"="&amp;$DF5+'Model Setup'!$C$7,$AD5:$BA5)+'Model Setup'!$C$8*(SUMIF($BH$3:$CE$3,"&lt;"&amp;$DF5,$AD5:$BA5)+SUMIF($BH$3:$CE$3,"&gt;"&amp;$CW$4,$AD5:$BA5)),
IF(BW$3=$DF5+'Model Setup'!$D$7,SUMIF($BH$3:$CE$3,"="&amp;$DF5+'Model Setup'!$D$7,$AD5:$BA5)+'Model Setup'!$D$8*(SUMIF($BH$3:$CE$3,"&lt;"&amp;$DF5,$AD5:$BA5)+SUMIF($BH$3:$CE$3,"&gt;"&amp;$CW$4,$AD5:$BA5)),
IF(BW$3=$DF5+'Model Setup'!$E$7,SUMIF($BH$3:$CE$3,"="&amp;$DF5+'Model Setup'!$E$7,$AD5:$BA5)+'Model Setup'!$E$8*(SUMIF($BH$3:$CE$3,"&lt;"&amp;$DF5,$AD5:$BA5)+SUMIF($BH$3:$CE$3,"&gt;"&amp;$CW$4,$AD5:$BA5)),
IF(BW$3=$DF5+'Model Setup'!$F$7,SUMIF($BH$3:$CE$3,"="&amp;$DF5+'Model Setup'!$F$7,$AD5:$BA5)+'Model Setup'!$F$8*(SUMIF($BH$3:$CE$3,"&lt;"&amp;$DF5,$AD5:$BA5)+SUMIF($BH$3:$CE$3,"&gt;"&amp;$CW$4,$AD5:$BA5)),
IF(BW$3=$DF5+'Model Setup'!$G$7,SUMIF($BH$3:$CE$3,"="&amp;$DF5+'Model Setup'!$G$7,$AD5:$BA5)+'Model Setup'!$G$8*(SUMIF($BH$3:$CE$3,"&lt;"&amp;$DF5,$AD5:$BA5)+SUMIF($BH$3:$CE$3,"&gt;"&amp;$CW$4,$AD5:$BA5)),
IF(BW$3=$DF5+'Model Setup'!$H$7,SUMIF($BH$3:$CE$3,"="&amp;$DF5+'Model Setup'!$H$7,$AD5:$BA5)+'Model Setup'!$H$8*(SUMIF($BH$3:$CE$3,"&lt;"&amp;$DF5,$AD5:$BA5)+SUMIF($BH$3:$CE$3,"&gt;"&amp;$CW$4,$AD5:$BA5)),
IF(BW$3=$DF5+'Model Setup'!$I$7,SUMIF($BH$3:$CE$3,"="&amp;$DF5+'Model Setup'!$I$7,$AD5:$BA5)+'Model Setup'!$I$8*(SUMIF($BH$3:$CE$3,"&lt;"&amp;$DF5,$AD5:$BA5)+SUMIF($BH$3:$CE$3,"&gt;"&amp;$CW$4,$AD5:$BA5)),
IF(BW$3=$DF5+'Model Setup'!$J$7,SUMIF($BH$3:$CE$3,"="&amp;$DF5+'Model Setup'!$J$7,$AD5:$BA5)+'Model Setup'!$J$8*(SUMIF($BH$3:$CE$3,"&lt;"&amp;$DF5,$AD5:$BA5)+SUMIF($BH$3:$CE$3,"&gt;"&amp;$CW$4,$AD5:$BA5)),
IF(BW$3=$DF5+'Model Setup'!$K$7,SUMIF($BH$3:$CE$3,"="&amp;$DF5+'Model Setup'!$K$7,$AD5:$BA5)+'Model Setup'!$K$8*(SUMIF($BH$3:$CE$3,"&lt;"&amp;$DF5,$AD5:$BA5)+SUMIF($BH$3:$CE$3,"&gt;"&amp;$CW$4,$AD5:$BA5)),
IF(BW$3=$DF5+'Model Setup'!$L$7,SUMIF($BH$3:$CE$3,"="&amp;$DF5+'Model Setup'!$L$7,$AD5:$BA5)+'Model Setup'!$L$8*(SUMIF($BH$3:$CE$3,"&lt;"&amp;$DF5,$AD5:$BA5)+SUMIF($BH$3:$CE$3,"&gt;"&amp;$CW$4,$AD5:$BA5)),
IF(BW$3=$DF5+'Model Setup'!$M$7,SUMIF($BH$3:$CE$3,"="&amp;$DF5+'Model Setup'!$M$7,$AD5:$BA5)+'Model Setup'!$M$8*(SUMIF($BH$3:$CE$3,"&lt;"&amp;$DF5,$AD5:$BA5)+SUMIF($BH$3:$CE$3,"&gt;"&amp;$CW$4,$AD5:$BA5)),
IF(BW$3=$DF5+'Model Setup'!$N$7,SUMIF($BH$3:$CE$3,"="&amp;$DF5+'Model Setup'!$N$7,$AD5:$BA5)+'Model Setup'!$N$8*(SUMIF($BH$3:$CE$3,"&lt;"&amp;$DF5,$AD5:$BA5)+SUMIF($BH$3:$CE$3,"&gt;"&amp;$CW$4,$AD5:$BA5)),
IF(BW$3&lt;$CW$4,Q5,0))))))))))))))),0)</f>
        <v>5</v>
      </c>
      <c r="BX5" s="47">
        <f>ROUND(IF(OR(BX$3&lt;$DF5,BX$3&gt;$CW$4),0,
IF(BX$3=$DF5+'Model Setup'!$B$7,SUMIF($BH$3:$CE$3,"="&amp;$DF5+'Model Setup'!$B$7,$AD5:$BA5)+'Model Setup'!$B$8*(SUMIF($BH$3:$CE$3,"&lt;"&amp;$DF5,$AD5:$BA5)+SUMIF($BH$3:$CE$3,"&gt;"&amp;$CW$4,$AD5:$BA5)),
IF(BX$3=$DF5+'Model Setup'!$C$7,SUMIF($BH$3:$CE$3,"="&amp;$DF5+'Model Setup'!$C$7,$AD5:$BA5)+'Model Setup'!$C$8*(SUMIF($BH$3:$CE$3,"&lt;"&amp;$DF5,$AD5:$BA5)+SUMIF($BH$3:$CE$3,"&gt;"&amp;$CW$4,$AD5:$BA5)),
IF(BX$3=$DF5+'Model Setup'!$D$7,SUMIF($BH$3:$CE$3,"="&amp;$DF5+'Model Setup'!$D$7,$AD5:$BA5)+'Model Setup'!$D$8*(SUMIF($BH$3:$CE$3,"&lt;"&amp;$DF5,$AD5:$BA5)+SUMIF($BH$3:$CE$3,"&gt;"&amp;$CW$4,$AD5:$BA5)),
IF(BX$3=$DF5+'Model Setup'!$E$7,SUMIF($BH$3:$CE$3,"="&amp;$DF5+'Model Setup'!$E$7,$AD5:$BA5)+'Model Setup'!$E$8*(SUMIF($BH$3:$CE$3,"&lt;"&amp;$DF5,$AD5:$BA5)+SUMIF($BH$3:$CE$3,"&gt;"&amp;$CW$4,$AD5:$BA5)),
IF(BX$3=$DF5+'Model Setup'!$F$7,SUMIF($BH$3:$CE$3,"="&amp;$DF5+'Model Setup'!$F$7,$AD5:$BA5)+'Model Setup'!$F$8*(SUMIF($BH$3:$CE$3,"&lt;"&amp;$DF5,$AD5:$BA5)+SUMIF($BH$3:$CE$3,"&gt;"&amp;$CW$4,$AD5:$BA5)),
IF(BX$3=$DF5+'Model Setup'!$G$7,SUMIF($BH$3:$CE$3,"="&amp;$DF5+'Model Setup'!$G$7,$AD5:$BA5)+'Model Setup'!$G$8*(SUMIF($BH$3:$CE$3,"&lt;"&amp;$DF5,$AD5:$BA5)+SUMIF($BH$3:$CE$3,"&gt;"&amp;$CW$4,$AD5:$BA5)),
IF(BX$3=$DF5+'Model Setup'!$H$7,SUMIF($BH$3:$CE$3,"="&amp;$DF5+'Model Setup'!$H$7,$AD5:$BA5)+'Model Setup'!$H$8*(SUMIF($BH$3:$CE$3,"&lt;"&amp;$DF5,$AD5:$BA5)+SUMIF($BH$3:$CE$3,"&gt;"&amp;$CW$4,$AD5:$BA5)),
IF(BX$3=$DF5+'Model Setup'!$I$7,SUMIF($BH$3:$CE$3,"="&amp;$DF5+'Model Setup'!$I$7,$AD5:$BA5)+'Model Setup'!$I$8*(SUMIF($BH$3:$CE$3,"&lt;"&amp;$DF5,$AD5:$BA5)+SUMIF($BH$3:$CE$3,"&gt;"&amp;$CW$4,$AD5:$BA5)),
IF(BX$3=$DF5+'Model Setup'!$J$7,SUMIF($BH$3:$CE$3,"="&amp;$DF5+'Model Setup'!$J$7,$AD5:$BA5)+'Model Setup'!$J$8*(SUMIF($BH$3:$CE$3,"&lt;"&amp;$DF5,$AD5:$BA5)+SUMIF($BH$3:$CE$3,"&gt;"&amp;$CW$4,$AD5:$BA5)),
IF(BX$3=$DF5+'Model Setup'!$K$7,SUMIF($BH$3:$CE$3,"="&amp;$DF5+'Model Setup'!$K$7,$AD5:$BA5)+'Model Setup'!$K$8*(SUMIF($BH$3:$CE$3,"&lt;"&amp;$DF5,$AD5:$BA5)+SUMIF($BH$3:$CE$3,"&gt;"&amp;$CW$4,$AD5:$BA5)),
IF(BX$3=$DF5+'Model Setup'!$L$7,SUMIF($BH$3:$CE$3,"="&amp;$DF5+'Model Setup'!$L$7,$AD5:$BA5)+'Model Setup'!$L$8*(SUMIF($BH$3:$CE$3,"&lt;"&amp;$DF5,$AD5:$BA5)+SUMIF($BH$3:$CE$3,"&gt;"&amp;$CW$4,$AD5:$BA5)),
IF(BX$3=$DF5+'Model Setup'!$M$7,SUMIF($BH$3:$CE$3,"="&amp;$DF5+'Model Setup'!$M$7,$AD5:$BA5)+'Model Setup'!$M$8*(SUMIF($BH$3:$CE$3,"&lt;"&amp;$DF5,$AD5:$BA5)+SUMIF($BH$3:$CE$3,"&gt;"&amp;$CW$4,$AD5:$BA5)),
IF(BX$3=$DF5+'Model Setup'!$N$7,SUMIF($BH$3:$CE$3,"="&amp;$DF5+'Model Setup'!$N$7,$AD5:$BA5)+'Model Setup'!$N$8*(SUMIF($BH$3:$CE$3,"&lt;"&amp;$DF5,$AD5:$BA5)+SUMIF($BH$3:$CE$3,"&gt;"&amp;$CW$4,$AD5:$BA5)),
IF(BX$3&lt;$CW$4,R5,0))))))))))))))),0)</f>
        <v>4</v>
      </c>
      <c r="BY5" s="47">
        <f>ROUND(IF(OR(BY$3&lt;$DF5,BY$3&gt;$CW$4),0,
IF(BY$3=$DF5+'Model Setup'!$B$7,SUMIF($BH$3:$CE$3,"="&amp;$DF5+'Model Setup'!$B$7,$AD5:$BA5)+'Model Setup'!$B$8*(SUMIF($BH$3:$CE$3,"&lt;"&amp;$DF5,$AD5:$BA5)+SUMIF($BH$3:$CE$3,"&gt;"&amp;$CW$4,$AD5:$BA5)),
IF(BY$3=$DF5+'Model Setup'!$C$7,SUMIF($BH$3:$CE$3,"="&amp;$DF5+'Model Setup'!$C$7,$AD5:$BA5)+'Model Setup'!$C$8*(SUMIF($BH$3:$CE$3,"&lt;"&amp;$DF5,$AD5:$BA5)+SUMIF($BH$3:$CE$3,"&gt;"&amp;$CW$4,$AD5:$BA5)),
IF(BY$3=$DF5+'Model Setup'!$D$7,SUMIF($BH$3:$CE$3,"="&amp;$DF5+'Model Setup'!$D$7,$AD5:$BA5)+'Model Setup'!$D$8*(SUMIF($BH$3:$CE$3,"&lt;"&amp;$DF5,$AD5:$BA5)+SUMIF($BH$3:$CE$3,"&gt;"&amp;$CW$4,$AD5:$BA5)),
IF(BY$3=$DF5+'Model Setup'!$E$7,SUMIF($BH$3:$CE$3,"="&amp;$DF5+'Model Setup'!$E$7,$AD5:$BA5)+'Model Setup'!$E$8*(SUMIF($BH$3:$CE$3,"&lt;"&amp;$DF5,$AD5:$BA5)+SUMIF($BH$3:$CE$3,"&gt;"&amp;$CW$4,$AD5:$BA5)),
IF(BY$3=$DF5+'Model Setup'!$F$7,SUMIF($BH$3:$CE$3,"="&amp;$DF5+'Model Setup'!$F$7,$AD5:$BA5)+'Model Setup'!$F$8*(SUMIF($BH$3:$CE$3,"&lt;"&amp;$DF5,$AD5:$BA5)+SUMIF($BH$3:$CE$3,"&gt;"&amp;$CW$4,$AD5:$BA5)),
IF(BY$3=$DF5+'Model Setup'!$G$7,SUMIF($BH$3:$CE$3,"="&amp;$DF5+'Model Setup'!$G$7,$AD5:$BA5)+'Model Setup'!$G$8*(SUMIF($BH$3:$CE$3,"&lt;"&amp;$DF5,$AD5:$BA5)+SUMIF($BH$3:$CE$3,"&gt;"&amp;$CW$4,$AD5:$BA5)),
IF(BY$3=$DF5+'Model Setup'!$H$7,SUMIF($BH$3:$CE$3,"="&amp;$DF5+'Model Setup'!$H$7,$AD5:$BA5)+'Model Setup'!$H$8*(SUMIF($BH$3:$CE$3,"&lt;"&amp;$DF5,$AD5:$BA5)+SUMIF($BH$3:$CE$3,"&gt;"&amp;$CW$4,$AD5:$BA5)),
IF(BY$3=$DF5+'Model Setup'!$I$7,SUMIF($BH$3:$CE$3,"="&amp;$DF5+'Model Setup'!$I$7,$AD5:$BA5)+'Model Setup'!$I$8*(SUMIF($BH$3:$CE$3,"&lt;"&amp;$DF5,$AD5:$BA5)+SUMIF($BH$3:$CE$3,"&gt;"&amp;$CW$4,$AD5:$BA5)),
IF(BY$3=$DF5+'Model Setup'!$J$7,SUMIF($BH$3:$CE$3,"="&amp;$DF5+'Model Setup'!$J$7,$AD5:$BA5)+'Model Setup'!$J$8*(SUMIF($BH$3:$CE$3,"&lt;"&amp;$DF5,$AD5:$BA5)+SUMIF($BH$3:$CE$3,"&gt;"&amp;$CW$4,$AD5:$BA5)),
IF(BY$3=$DF5+'Model Setup'!$K$7,SUMIF($BH$3:$CE$3,"="&amp;$DF5+'Model Setup'!$K$7,$AD5:$BA5)+'Model Setup'!$K$8*(SUMIF($BH$3:$CE$3,"&lt;"&amp;$DF5,$AD5:$BA5)+SUMIF($BH$3:$CE$3,"&gt;"&amp;$CW$4,$AD5:$BA5)),
IF(BY$3=$DF5+'Model Setup'!$L$7,SUMIF($BH$3:$CE$3,"="&amp;$DF5+'Model Setup'!$L$7,$AD5:$BA5)+'Model Setup'!$L$8*(SUMIF($BH$3:$CE$3,"&lt;"&amp;$DF5,$AD5:$BA5)+SUMIF($BH$3:$CE$3,"&gt;"&amp;$CW$4,$AD5:$BA5)),
IF(BY$3=$DF5+'Model Setup'!$M$7,SUMIF($BH$3:$CE$3,"="&amp;$DF5+'Model Setup'!$M$7,$AD5:$BA5)+'Model Setup'!$M$8*(SUMIF($BH$3:$CE$3,"&lt;"&amp;$DF5,$AD5:$BA5)+SUMIF($BH$3:$CE$3,"&gt;"&amp;$CW$4,$AD5:$BA5)),
IF(BY$3=$DF5+'Model Setup'!$N$7,SUMIF($BH$3:$CE$3,"="&amp;$DF5+'Model Setup'!$N$7,$AD5:$BA5)+'Model Setup'!$N$8*(SUMIF($BH$3:$CE$3,"&lt;"&amp;$DF5,$AD5:$BA5)+SUMIF($BH$3:$CE$3,"&gt;"&amp;$CW$4,$AD5:$BA5)),
IF(BY$3&lt;$CW$4,S5,0))))))))))))))),0)</f>
        <v>4</v>
      </c>
      <c r="BZ5" s="47">
        <f>ROUND(IF(OR(BZ$3&lt;$DF5,BZ$3&gt;$CW$4),0,
IF(BZ$3=$DF5+'Model Setup'!$B$7,SUMIF($BH$3:$CE$3,"="&amp;$DF5+'Model Setup'!$B$7,$AD5:$BA5)+'Model Setup'!$B$8*(SUMIF($BH$3:$CE$3,"&lt;"&amp;$DF5,$AD5:$BA5)+SUMIF($BH$3:$CE$3,"&gt;"&amp;$CW$4,$AD5:$BA5)),
IF(BZ$3=$DF5+'Model Setup'!$C$7,SUMIF($BH$3:$CE$3,"="&amp;$DF5+'Model Setup'!$C$7,$AD5:$BA5)+'Model Setup'!$C$8*(SUMIF($BH$3:$CE$3,"&lt;"&amp;$DF5,$AD5:$BA5)+SUMIF($BH$3:$CE$3,"&gt;"&amp;$CW$4,$AD5:$BA5)),
IF(BZ$3=$DF5+'Model Setup'!$D$7,SUMIF($BH$3:$CE$3,"="&amp;$DF5+'Model Setup'!$D$7,$AD5:$BA5)+'Model Setup'!$D$8*(SUMIF($BH$3:$CE$3,"&lt;"&amp;$DF5,$AD5:$BA5)+SUMIF($BH$3:$CE$3,"&gt;"&amp;$CW$4,$AD5:$BA5)),
IF(BZ$3=$DF5+'Model Setup'!$E$7,SUMIF($BH$3:$CE$3,"="&amp;$DF5+'Model Setup'!$E$7,$AD5:$BA5)+'Model Setup'!$E$8*(SUMIF($BH$3:$CE$3,"&lt;"&amp;$DF5,$AD5:$BA5)+SUMIF($BH$3:$CE$3,"&gt;"&amp;$CW$4,$AD5:$BA5)),
IF(BZ$3=$DF5+'Model Setup'!$F$7,SUMIF($BH$3:$CE$3,"="&amp;$DF5+'Model Setup'!$F$7,$AD5:$BA5)+'Model Setup'!$F$8*(SUMIF($BH$3:$CE$3,"&lt;"&amp;$DF5,$AD5:$BA5)+SUMIF($BH$3:$CE$3,"&gt;"&amp;$CW$4,$AD5:$BA5)),
IF(BZ$3=$DF5+'Model Setup'!$G$7,SUMIF($BH$3:$CE$3,"="&amp;$DF5+'Model Setup'!$G$7,$AD5:$BA5)+'Model Setup'!$G$8*(SUMIF($BH$3:$CE$3,"&lt;"&amp;$DF5,$AD5:$BA5)+SUMIF($BH$3:$CE$3,"&gt;"&amp;$CW$4,$AD5:$BA5)),
IF(BZ$3=$DF5+'Model Setup'!$H$7,SUMIF($BH$3:$CE$3,"="&amp;$DF5+'Model Setup'!$H$7,$AD5:$BA5)+'Model Setup'!$H$8*(SUMIF($BH$3:$CE$3,"&lt;"&amp;$DF5,$AD5:$BA5)+SUMIF($BH$3:$CE$3,"&gt;"&amp;$CW$4,$AD5:$BA5)),
IF(BZ$3=$DF5+'Model Setup'!$I$7,SUMIF($BH$3:$CE$3,"="&amp;$DF5+'Model Setup'!$I$7,$AD5:$BA5)+'Model Setup'!$I$8*(SUMIF($BH$3:$CE$3,"&lt;"&amp;$DF5,$AD5:$BA5)+SUMIF($BH$3:$CE$3,"&gt;"&amp;$CW$4,$AD5:$BA5)),
IF(BZ$3=$DF5+'Model Setup'!$J$7,SUMIF($BH$3:$CE$3,"="&amp;$DF5+'Model Setup'!$J$7,$AD5:$BA5)+'Model Setup'!$J$8*(SUMIF($BH$3:$CE$3,"&lt;"&amp;$DF5,$AD5:$BA5)+SUMIF($BH$3:$CE$3,"&gt;"&amp;$CW$4,$AD5:$BA5)),
IF(BZ$3=$DF5+'Model Setup'!$K$7,SUMIF($BH$3:$CE$3,"="&amp;$DF5+'Model Setup'!$K$7,$AD5:$BA5)+'Model Setup'!$K$8*(SUMIF($BH$3:$CE$3,"&lt;"&amp;$DF5,$AD5:$BA5)+SUMIF($BH$3:$CE$3,"&gt;"&amp;$CW$4,$AD5:$BA5)),
IF(BZ$3=$DF5+'Model Setup'!$L$7,SUMIF($BH$3:$CE$3,"="&amp;$DF5+'Model Setup'!$L$7,$AD5:$BA5)+'Model Setup'!$L$8*(SUMIF($BH$3:$CE$3,"&lt;"&amp;$DF5,$AD5:$BA5)+SUMIF($BH$3:$CE$3,"&gt;"&amp;$CW$4,$AD5:$BA5)),
IF(BZ$3=$DF5+'Model Setup'!$M$7,SUMIF($BH$3:$CE$3,"="&amp;$DF5+'Model Setup'!$M$7,$AD5:$BA5)+'Model Setup'!$M$8*(SUMIF($BH$3:$CE$3,"&lt;"&amp;$DF5,$AD5:$BA5)+SUMIF($BH$3:$CE$3,"&gt;"&amp;$CW$4,$AD5:$BA5)),
IF(BZ$3=$DF5+'Model Setup'!$N$7,SUMIF($BH$3:$CE$3,"="&amp;$DF5+'Model Setup'!$N$7,$AD5:$BA5)+'Model Setup'!$N$8*(SUMIF($BH$3:$CE$3,"&lt;"&amp;$DF5,$AD5:$BA5)+SUMIF($BH$3:$CE$3,"&gt;"&amp;$CW$4,$AD5:$BA5)),
IF(BZ$3&lt;$CW$4,T5,0))))))))))))))),0)</f>
        <v>25</v>
      </c>
      <c r="CA5" s="47">
        <f>ROUND(IF(OR(CA$3&lt;$DF5,CA$3&gt;$CW$4),0,
IF(CA$3=$DF5+'Model Setup'!$B$7,SUMIF($BH$3:$CE$3,"="&amp;$DF5+'Model Setup'!$B$7,$AD5:$BA5)+'Model Setup'!$B$8*(SUMIF($BH$3:$CE$3,"&lt;"&amp;$DF5,$AD5:$BA5)+SUMIF($BH$3:$CE$3,"&gt;"&amp;$CW$4,$AD5:$BA5)),
IF(CA$3=$DF5+'Model Setup'!$C$7,SUMIF($BH$3:$CE$3,"="&amp;$DF5+'Model Setup'!$C$7,$AD5:$BA5)+'Model Setup'!$C$8*(SUMIF($BH$3:$CE$3,"&lt;"&amp;$DF5,$AD5:$BA5)+SUMIF($BH$3:$CE$3,"&gt;"&amp;$CW$4,$AD5:$BA5)),
IF(CA$3=$DF5+'Model Setup'!$D$7,SUMIF($BH$3:$CE$3,"="&amp;$DF5+'Model Setup'!$D$7,$AD5:$BA5)+'Model Setup'!$D$8*(SUMIF($BH$3:$CE$3,"&lt;"&amp;$DF5,$AD5:$BA5)+SUMIF($BH$3:$CE$3,"&gt;"&amp;$CW$4,$AD5:$BA5)),
IF(CA$3=$DF5+'Model Setup'!$E$7,SUMIF($BH$3:$CE$3,"="&amp;$DF5+'Model Setup'!$E$7,$AD5:$BA5)+'Model Setup'!$E$8*(SUMIF($BH$3:$CE$3,"&lt;"&amp;$DF5,$AD5:$BA5)+SUMIF($BH$3:$CE$3,"&gt;"&amp;$CW$4,$AD5:$BA5)),
IF(CA$3=$DF5+'Model Setup'!$F$7,SUMIF($BH$3:$CE$3,"="&amp;$DF5+'Model Setup'!$F$7,$AD5:$BA5)+'Model Setup'!$F$8*(SUMIF($BH$3:$CE$3,"&lt;"&amp;$DF5,$AD5:$BA5)+SUMIF($BH$3:$CE$3,"&gt;"&amp;$CW$4,$AD5:$BA5)),
IF(CA$3=$DF5+'Model Setup'!$G$7,SUMIF($BH$3:$CE$3,"="&amp;$DF5+'Model Setup'!$G$7,$AD5:$BA5)+'Model Setup'!$G$8*(SUMIF($BH$3:$CE$3,"&lt;"&amp;$DF5,$AD5:$BA5)+SUMIF($BH$3:$CE$3,"&gt;"&amp;$CW$4,$AD5:$BA5)),
IF(CA$3=$DF5+'Model Setup'!$H$7,SUMIF($BH$3:$CE$3,"="&amp;$DF5+'Model Setup'!$H$7,$AD5:$BA5)+'Model Setup'!$H$8*(SUMIF($BH$3:$CE$3,"&lt;"&amp;$DF5,$AD5:$BA5)+SUMIF($BH$3:$CE$3,"&gt;"&amp;$CW$4,$AD5:$BA5)),
IF(CA$3=$DF5+'Model Setup'!$I$7,SUMIF($BH$3:$CE$3,"="&amp;$DF5+'Model Setup'!$I$7,$AD5:$BA5)+'Model Setup'!$I$8*(SUMIF($BH$3:$CE$3,"&lt;"&amp;$DF5,$AD5:$BA5)+SUMIF($BH$3:$CE$3,"&gt;"&amp;$CW$4,$AD5:$BA5)),
IF(CA$3=$DF5+'Model Setup'!$J$7,SUMIF($BH$3:$CE$3,"="&amp;$DF5+'Model Setup'!$J$7,$AD5:$BA5)+'Model Setup'!$J$8*(SUMIF($BH$3:$CE$3,"&lt;"&amp;$DF5,$AD5:$BA5)+SUMIF($BH$3:$CE$3,"&gt;"&amp;$CW$4,$AD5:$BA5)),
IF(CA$3=$DF5+'Model Setup'!$K$7,SUMIF($BH$3:$CE$3,"="&amp;$DF5+'Model Setup'!$K$7,$AD5:$BA5)+'Model Setup'!$K$8*(SUMIF($BH$3:$CE$3,"&lt;"&amp;$DF5,$AD5:$BA5)+SUMIF($BH$3:$CE$3,"&gt;"&amp;$CW$4,$AD5:$BA5)),
IF(CA$3=$DF5+'Model Setup'!$L$7,SUMIF($BH$3:$CE$3,"="&amp;$DF5+'Model Setup'!$L$7,$AD5:$BA5)+'Model Setup'!$L$8*(SUMIF($BH$3:$CE$3,"&lt;"&amp;$DF5,$AD5:$BA5)+SUMIF($BH$3:$CE$3,"&gt;"&amp;$CW$4,$AD5:$BA5)),
IF(CA$3=$DF5+'Model Setup'!$M$7,SUMIF($BH$3:$CE$3,"="&amp;$DF5+'Model Setup'!$M$7,$AD5:$BA5)+'Model Setup'!$M$8*(SUMIF($BH$3:$CE$3,"&lt;"&amp;$DF5,$AD5:$BA5)+SUMIF($BH$3:$CE$3,"&gt;"&amp;$CW$4,$AD5:$BA5)),
IF(CA$3=$DF5+'Model Setup'!$N$7,SUMIF($BH$3:$CE$3,"="&amp;$DF5+'Model Setup'!$N$7,$AD5:$BA5)+'Model Setup'!$N$8*(SUMIF($BH$3:$CE$3,"&lt;"&amp;$DF5,$AD5:$BA5)+SUMIF($BH$3:$CE$3,"&gt;"&amp;$CW$4,$AD5:$BA5)),
IF(CA$3&lt;$CW$4,U5,0))))))))))))))),0)</f>
        <v>0</v>
      </c>
      <c r="CB5" s="47">
        <f>ROUND(IF(OR(CB$3&lt;$DF5,CB$3&gt;$CW$4),0,
IF(CB$3=$DF5+'Model Setup'!$B$7,SUMIF($BH$3:$CE$3,"="&amp;$DF5+'Model Setup'!$B$7,$AD5:$BA5)+'Model Setup'!$B$8*(SUMIF($BH$3:$CE$3,"&lt;"&amp;$DF5,$AD5:$BA5)+SUMIF($BH$3:$CE$3,"&gt;"&amp;$CW$4,$AD5:$BA5)),
IF(CB$3=$DF5+'Model Setup'!$C$7,SUMIF($BH$3:$CE$3,"="&amp;$DF5+'Model Setup'!$C$7,$AD5:$BA5)+'Model Setup'!$C$8*(SUMIF($BH$3:$CE$3,"&lt;"&amp;$DF5,$AD5:$BA5)+SUMIF($BH$3:$CE$3,"&gt;"&amp;$CW$4,$AD5:$BA5)),
IF(CB$3=$DF5+'Model Setup'!$D$7,SUMIF($BH$3:$CE$3,"="&amp;$DF5+'Model Setup'!$D$7,$AD5:$BA5)+'Model Setup'!$D$8*(SUMIF($BH$3:$CE$3,"&lt;"&amp;$DF5,$AD5:$BA5)+SUMIF($BH$3:$CE$3,"&gt;"&amp;$CW$4,$AD5:$BA5)),
IF(CB$3=$DF5+'Model Setup'!$E$7,SUMIF($BH$3:$CE$3,"="&amp;$DF5+'Model Setup'!$E$7,$AD5:$BA5)+'Model Setup'!$E$8*(SUMIF($BH$3:$CE$3,"&lt;"&amp;$DF5,$AD5:$BA5)+SUMIF($BH$3:$CE$3,"&gt;"&amp;$CW$4,$AD5:$BA5)),
IF(CB$3=$DF5+'Model Setup'!$F$7,SUMIF($BH$3:$CE$3,"="&amp;$DF5+'Model Setup'!$F$7,$AD5:$BA5)+'Model Setup'!$F$8*(SUMIF($BH$3:$CE$3,"&lt;"&amp;$DF5,$AD5:$BA5)+SUMIF($BH$3:$CE$3,"&gt;"&amp;$CW$4,$AD5:$BA5)),
IF(CB$3=$DF5+'Model Setup'!$G$7,SUMIF($BH$3:$CE$3,"="&amp;$DF5+'Model Setup'!$G$7,$AD5:$BA5)+'Model Setup'!$G$8*(SUMIF($BH$3:$CE$3,"&lt;"&amp;$DF5,$AD5:$BA5)+SUMIF($BH$3:$CE$3,"&gt;"&amp;$CW$4,$AD5:$BA5)),
IF(CB$3=$DF5+'Model Setup'!$H$7,SUMIF($BH$3:$CE$3,"="&amp;$DF5+'Model Setup'!$H$7,$AD5:$BA5)+'Model Setup'!$H$8*(SUMIF($BH$3:$CE$3,"&lt;"&amp;$DF5,$AD5:$BA5)+SUMIF($BH$3:$CE$3,"&gt;"&amp;$CW$4,$AD5:$BA5)),
IF(CB$3=$DF5+'Model Setup'!$I$7,SUMIF($BH$3:$CE$3,"="&amp;$DF5+'Model Setup'!$I$7,$AD5:$BA5)+'Model Setup'!$I$8*(SUMIF($BH$3:$CE$3,"&lt;"&amp;$DF5,$AD5:$BA5)+SUMIF($BH$3:$CE$3,"&gt;"&amp;$CW$4,$AD5:$BA5)),
IF(CB$3=$DF5+'Model Setup'!$J$7,SUMIF($BH$3:$CE$3,"="&amp;$DF5+'Model Setup'!$J$7,$AD5:$BA5)+'Model Setup'!$J$8*(SUMIF($BH$3:$CE$3,"&lt;"&amp;$DF5,$AD5:$BA5)+SUMIF($BH$3:$CE$3,"&gt;"&amp;$CW$4,$AD5:$BA5)),
IF(CB$3=$DF5+'Model Setup'!$K$7,SUMIF($BH$3:$CE$3,"="&amp;$DF5+'Model Setup'!$K$7,$AD5:$BA5)+'Model Setup'!$K$8*(SUMIF($BH$3:$CE$3,"&lt;"&amp;$DF5,$AD5:$BA5)+SUMIF($BH$3:$CE$3,"&gt;"&amp;$CW$4,$AD5:$BA5)),
IF(CB$3=$DF5+'Model Setup'!$L$7,SUMIF($BH$3:$CE$3,"="&amp;$DF5+'Model Setup'!$L$7,$AD5:$BA5)+'Model Setup'!$L$8*(SUMIF($BH$3:$CE$3,"&lt;"&amp;$DF5,$AD5:$BA5)+SUMIF($BH$3:$CE$3,"&gt;"&amp;$CW$4,$AD5:$BA5)),
IF(CB$3=$DF5+'Model Setup'!$M$7,SUMIF($BH$3:$CE$3,"="&amp;$DF5+'Model Setup'!$M$7,$AD5:$BA5)+'Model Setup'!$M$8*(SUMIF($BH$3:$CE$3,"&lt;"&amp;$DF5,$AD5:$BA5)+SUMIF($BH$3:$CE$3,"&gt;"&amp;$CW$4,$AD5:$BA5)),
IF(CB$3=$DF5+'Model Setup'!$N$7,SUMIF($BH$3:$CE$3,"="&amp;$DF5+'Model Setup'!$N$7,$AD5:$BA5)+'Model Setup'!$N$8*(SUMIF($BH$3:$CE$3,"&lt;"&amp;$DF5,$AD5:$BA5)+SUMIF($BH$3:$CE$3,"&gt;"&amp;$CW$4,$AD5:$BA5)),
IF(CB$3&lt;$CW$4,V5,0))))))))))))))),0)</f>
        <v>0</v>
      </c>
      <c r="CC5" s="47">
        <f>ROUND(IF(OR(CC$3&lt;$DF5,CC$3&gt;$CW$4),0,
IF(CC$3=$DF5+'Model Setup'!$B$7,SUMIF($BH$3:$CE$3,"="&amp;$DF5+'Model Setup'!$B$7,$AD5:$BA5)+'Model Setup'!$B$8*(SUMIF($BH$3:$CE$3,"&lt;"&amp;$DF5,$AD5:$BA5)+SUMIF($BH$3:$CE$3,"&gt;"&amp;$CW$4,$AD5:$BA5)),
IF(CC$3=$DF5+'Model Setup'!$C$7,SUMIF($BH$3:$CE$3,"="&amp;$DF5+'Model Setup'!$C$7,$AD5:$BA5)+'Model Setup'!$C$8*(SUMIF($BH$3:$CE$3,"&lt;"&amp;$DF5,$AD5:$BA5)+SUMIF($BH$3:$CE$3,"&gt;"&amp;$CW$4,$AD5:$BA5)),
IF(CC$3=$DF5+'Model Setup'!$D$7,SUMIF($BH$3:$CE$3,"="&amp;$DF5+'Model Setup'!$D$7,$AD5:$BA5)+'Model Setup'!$D$8*(SUMIF($BH$3:$CE$3,"&lt;"&amp;$DF5,$AD5:$BA5)+SUMIF($BH$3:$CE$3,"&gt;"&amp;$CW$4,$AD5:$BA5)),
IF(CC$3=$DF5+'Model Setup'!$E$7,SUMIF($BH$3:$CE$3,"="&amp;$DF5+'Model Setup'!$E$7,$AD5:$BA5)+'Model Setup'!$E$8*(SUMIF($BH$3:$CE$3,"&lt;"&amp;$DF5,$AD5:$BA5)+SUMIF($BH$3:$CE$3,"&gt;"&amp;$CW$4,$AD5:$BA5)),
IF(CC$3=$DF5+'Model Setup'!$F$7,SUMIF($BH$3:$CE$3,"="&amp;$DF5+'Model Setup'!$F$7,$AD5:$BA5)+'Model Setup'!$F$8*(SUMIF($BH$3:$CE$3,"&lt;"&amp;$DF5,$AD5:$BA5)+SUMIF($BH$3:$CE$3,"&gt;"&amp;$CW$4,$AD5:$BA5)),
IF(CC$3=$DF5+'Model Setup'!$G$7,SUMIF($BH$3:$CE$3,"="&amp;$DF5+'Model Setup'!$G$7,$AD5:$BA5)+'Model Setup'!$G$8*(SUMIF($BH$3:$CE$3,"&lt;"&amp;$DF5,$AD5:$BA5)+SUMIF($BH$3:$CE$3,"&gt;"&amp;$CW$4,$AD5:$BA5)),
IF(CC$3=$DF5+'Model Setup'!$H$7,SUMIF($BH$3:$CE$3,"="&amp;$DF5+'Model Setup'!$H$7,$AD5:$BA5)+'Model Setup'!$H$8*(SUMIF($BH$3:$CE$3,"&lt;"&amp;$DF5,$AD5:$BA5)+SUMIF($BH$3:$CE$3,"&gt;"&amp;$CW$4,$AD5:$BA5)),
IF(CC$3=$DF5+'Model Setup'!$I$7,SUMIF($BH$3:$CE$3,"="&amp;$DF5+'Model Setup'!$I$7,$AD5:$BA5)+'Model Setup'!$I$8*(SUMIF($BH$3:$CE$3,"&lt;"&amp;$DF5,$AD5:$BA5)+SUMIF($BH$3:$CE$3,"&gt;"&amp;$CW$4,$AD5:$BA5)),
IF(CC$3=$DF5+'Model Setup'!$J$7,SUMIF($BH$3:$CE$3,"="&amp;$DF5+'Model Setup'!$J$7,$AD5:$BA5)+'Model Setup'!$J$8*(SUMIF($BH$3:$CE$3,"&lt;"&amp;$DF5,$AD5:$BA5)+SUMIF($BH$3:$CE$3,"&gt;"&amp;$CW$4,$AD5:$BA5)),
IF(CC$3=$DF5+'Model Setup'!$K$7,SUMIF($BH$3:$CE$3,"="&amp;$DF5+'Model Setup'!$K$7,$AD5:$BA5)+'Model Setup'!$K$8*(SUMIF($BH$3:$CE$3,"&lt;"&amp;$DF5,$AD5:$BA5)+SUMIF($BH$3:$CE$3,"&gt;"&amp;$CW$4,$AD5:$BA5)),
IF(CC$3=$DF5+'Model Setup'!$L$7,SUMIF($BH$3:$CE$3,"="&amp;$DF5+'Model Setup'!$L$7,$AD5:$BA5)+'Model Setup'!$L$8*(SUMIF($BH$3:$CE$3,"&lt;"&amp;$DF5,$AD5:$BA5)+SUMIF($BH$3:$CE$3,"&gt;"&amp;$CW$4,$AD5:$BA5)),
IF(CC$3=$DF5+'Model Setup'!$M$7,SUMIF($BH$3:$CE$3,"="&amp;$DF5+'Model Setup'!$M$7,$AD5:$BA5)+'Model Setup'!$M$8*(SUMIF($BH$3:$CE$3,"&lt;"&amp;$DF5,$AD5:$BA5)+SUMIF($BH$3:$CE$3,"&gt;"&amp;$CW$4,$AD5:$BA5)),
IF(CC$3=$DF5+'Model Setup'!$N$7,SUMIF($BH$3:$CE$3,"="&amp;$DF5+'Model Setup'!$N$7,$AD5:$BA5)+'Model Setup'!$N$8*(SUMIF($BH$3:$CE$3,"&lt;"&amp;$DF5,$AD5:$BA5)+SUMIF($BH$3:$CE$3,"&gt;"&amp;$CW$4,$AD5:$BA5)),
IF(CC$3&lt;$CW$4,W5,0))))))))))))))),0)</f>
        <v>0</v>
      </c>
      <c r="CD5" s="47">
        <f>ROUND(IF(OR(CD$3&lt;$DF5,CD$3&gt;$CW$4),0,
IF(CD$3=$DF5+'Model Setup'!$B$7,SUMIF($BH$3:$CE$3,"="&amp;$DF5+'Model Setup'!$B$7,$AD5:$BA5)+'Model Setup'!$B$8*(SUMIF($BH$3:$CE$3,"&lt;"&amp;$DF5,$AD5:$BA5)+SUMIF($BH$3:$CE$3,"&gt;"&amp;$CW$4,$AD5:$BA5)),
IF(CD$3=$DF5+'Model Setup'!$C$7,SUMIF($BH$3:$CE$3,"="&amp;$DF5+'Model Setup'!$C$7,$AD5:$BA5)+'Model Setup'!$C$8*(SUMIF($BH$3:$CE$3,"&lt;"&amp;$DF5,$AD5:$BA5)+SUMIF($BH$3:$CE$3,"&gt;"&amp;$CW$4,$AD5:$BA5)),
IF(CD$3=$DF5+'Model Setup'!$D$7,SUMIF($BH$3:$CE$3,"="&amp;$DF5+'Model Setup'!$D$7,$AD5:$BA5)+'Model Setup'!$D$8*(SUMIF($BH$3:$CE$3,"&lt;"&amp;$DF5,$AD5:$BA5)+SUMIF($BH$3:$CE$3,"&gt;"&amp;$CW$4,$AD5:$BA5)),
IF(CD$3=$DF5+'Model Setup'!$E$7,SUMIF($BH$3:$CE$3,"="&amp;$DF5+'Model Setup'!$E$7,$AD5:$BA5)+'Model Setup'!$E$8*(SUMIF($BH$3:$CE$3,"&lt;"&amp;$DF5,$AD5:$BA5)+SUMIF($BH$3:$CE$3,"&gt;"&amp;$CW$4,$AD5:$BA5)),
IF(CD$3=$DF5+'Model Setup'!$F$7,SUMIF($BH$3:$CE$3,"="&amp;$DF5+'Model Setup'!$F$7,$AD5:$BA5)+'Model Setup'!$F$8*(SUMIF($BH$3:$CE$3,"&lt;"&amp;$DF5,$AD5:$BA5)+SUMIF($BH$3:$CE$3,"&gt;"&amp;$CW$4,$AD5:$BA5)),
IF(CD$3=$DF5+'Model Setup'!$G$7,SUMIF($BH$3:$CE$3,"="&amp;$DF5+'Model Setup'!$G$7,$AD5:$BA5)+'Model Setup'!$G$8*(SUMIF($BH$3:$CE$3,"&lt;"&amp;$DF5,$AD5:$BA5)+SUMIF($BH$3:$CE$3,"&gt;"&amp;$CW$4,$AD5:$BA5)),
IF(CD$3=$DF5+'Model Setup'!$H$7,SUMIF($BH$3:$CE$3,"="&amp;$DF5+'Model Setup'!$H$7,$AD5:$BA5)+'Model Setup'!$H$8*(SUMIF($BH$3:$CE$3,"&lt;"&amp;$DF5,$AD5:$BA5)+SUMIF($BH$3:$CE$3,"&gt;"&amp;$CW$4,$AD5:$BA5)),
IF(CD$3=$DF5+'Model Setup'!$I$7,SUMIF($BH$3:$CE$3,"="&amp;$DF5+'Model Setup'!$I$7,$AD5:$BA5)+'Model Setup'!$I$8*(SUMIF($BH$3:$CE$3,"&lt;"&amp;$DF5,$AD5:$BA5)+SUMIF($BH$3:$CE$3,"&gt;"&amp;$CW$4,$AD5:$BA5)),
IF(CD$3=$DF5+'Model Setup'!$J$7,SUMIF($BH$3:$CE$3,"="&amp;$DF5+'Model Setup'!$J$7,$AD5:$BA5)+'Model Setup'!$J$8*(SUMIF($BH$3:$CE$3,"&lt;"&amp;$DF5,$AD5:$BA5)+SUMIF($BH$3:$CE$3,"&gt;"&amp;$CW$4,$AD5:$BA5)),
IF(CD$3=$DF5+'Model Setup'!$K$7,SUMIF($BH$3:$CE$3,"="&amp;$DF5+'Model Setup'!$K$7,$AD5:$BA5)+'Model Setup'!$K$8*(SUMIF($BH$3:$CE$3,"&lt;"&amp;$DF5,$AD5:$BA5)+SUMIF($BH$3:$CE$3,"&gt;"&amp;$CW$4,$AD5:$BA5)),
IF(CD$3=$DF5+'Model Setup'!$L$7,SUMIF($BH$3:$CE$3,"="&amp;$DF5+'Model Setup'!$L$7,$AD5:$BA5)+'Model Setup'!$L$8*(SUMIF($BH$3:$CE$3,"&lt;"&amp;$DF5,$AD5:$BA5)+SUMIF($BH$3:$CE$3,"&gt;"&amp;$CW$4,$AD5:$BA5)),
IF(CD$3=$DF5+'Model Setup'!$M$7,SUMIF($BH$3:$CE$3,"="&amp;$DF5+'Model Setup'!$M$7,$AD5:$BA5)+'Model Setup'!$M$8*(SUMIF($BH$3:$CE$3,"&lt;"&amp;$DF5,$AD5:$BA5)+SUMIF($BH$3:$CE$3,"&gt;"&amp;$CW$4,$AD5:$BA5)),
IF(CD$3=$DF5+'Model Setup'!$N$7,SUMIF($BH$3:$CE$3,"="&amp;$DF5+'Model Setup'!$N$7,$AD5:$BA5)+'Model Setup'!$N$8*(SUMIF($BH$3:$CE$3,"&lt;"&amp;$DF5,$AD5:$BA5)+SUMIF($BH$3:$CE$3,"&gt;"&amp;$CW$4,$AD5:$BA5)),
IF(CD$3&lt;$CW$4,X5,0))))))))))))))),0)</f>
        <v>0</v>
      </c>
      <c r="CE5" s="47">
        <f>ROUND(IF(OR(CE$3&lt;$DF5,CE$3&gt;$CW$4),0,
IF(CE$3=$DF5+'Model Setup'!$B$7,SUMIF($BH$3:$CE$3,"="&amp;$DF5+'Model Setup'!$B$7,$AD5:$BA5)+'Model Setup'!$B$8*(SUMIF($BH$3:$CE$3,"&lt;"&amp;$DF5,$AD5:$BA5)+SUMIF($BH$3:$CE$3,"&gt;"&amp;$CW$4,$AD5:$BA5)),
IF(CE$3=$DF5+'Model Setup'!$C$7,SUMIF($BH$3:$CE$3,"="&amp;$DF5+'Model Setup'!$C$7,$AD5:$BA5)+'Model Setup'!$C$8*(SUMIF($BH$3:$CE$3,"&lt;"&amp;$DF5,$AD5:$BA5)+SUMIF($BH$3:$CE$3,"&gt;"&amp;$CW$4,$AD5:$BA5)),
IF(CE$3=$DF5+'Model Setup'!$D$7,SUMIF($BH$3:$CE$3,"="&amp;$DF5+'Model Setup'!$D$7,$AD5:$BA5)+'Model Setup'!$D$8*(SUMIF($BH$3:$CE$3,"&lt;"&amp;$DF5,$AD5:$BA5)+SUMIF($BH$3:$CE$3,"&gt;"&amp;$CW$4,$AD5:$BA5)),
IF(CE$3=$DF5+'Model Setup'!$E$7,SUMIF($BH$3:$CE$3,"="&amp;$DF5+'Model Setup'!$E$7,$AD5:$BA5)+'Model Setup'!$E$8*(SUMIF($BH$3:$CE$3,"&lt;"&amp;$DF5,$AD5:$BA5)+SUMIF($BH$3:$CE$3,"&gt;"&amp;$CW$4,$AD5:$BA5)),
IF(CE$3=$DF5+'Model Setup'!$F$7,SUMIF($BH$3:$CE$3,"="&amp;$DF5+'Model Setup'!$F$7,$AD5:$BA5)+'Model Setup'!$F$8*(SUMIF($BH$3:$CE$3,"&lt;"&amp;$DF5,$AD5:$BA5)+SUMIF($BH$3:$CE$3,"&gt;"&amp;$CW$4,$AD5:$BA5)),
IF(CE$3=$DF5+'Model Setup'!$G$7,SUMIF($BH$3:$CE$3,"="&amp;$DF5+'Model Setup'!$G$7,$AD5:$BA5)+'Model Setup'!$G$8*(SUMIF($BH$3:$CE$3,"&lt;"&amp;$DF5,$AD5:$BA5)+SUMIF($BH$3:$CE$3,"&gt;"&amp;$CW$4,$AD5:$BA5)),
IF(CE$3=$DF5+'Model Setup'!$H$7,SUMIF($BH$3:$CE$3,"="&amp;$DF5+'Model Setup'!$H$7,$AD5:$BA5)+'Model Setup'!$H$8*(SUMIF($BH$3:$CE$3,"&lt;"&amp;$DF5,$AD5:$BA5)+SUMIF($BH$3:$CE$3,"&gt;"&amp;$CW$4,$AD5:$BA5)),
IF(CE$3=$DF5+'Model Setup'!$I$7,SUMIF($BH$3:$CE$3,"="&amp;$DF5+'Model Setup'!$I$7,$AD5:$BA5)+'Model Setup'!$I$8*(SUMIF($BH$3:$CE$3,"&lt;"&amp;$DF5,$AD5:$BA5)+SUMIF($BH$3:$CE$3,"&gt;"&amp;$CW$4,$AD5:$BA5)),
IF(CE$3=$DF5+'Model Setup'!$J$7,SUMIF($BH$3:$CE$3,"="&amp;$DF5+'Model Setup'!$J$7,$AD5:$BA5)+'Model Setup'!$J$8*(SUMIF($BH$3:$CE$3,"&lt;"&amp;$DF5,$AD5:$BA5)+SUMIF($BH$3:$CE$3,"&gt;"&amp;$CW$4,$AD5:$BA5)),
IF(CE$3=$DF5+'Model Setup'!$K$7,SUMIF($BH$3:$CE$3,"="&amp;$DF5+'Model Setup'!$K$7,$AD5:$BA5)+'Model Setup'!$K$8*(SUMIF($BH$3:$CE$3,"&lt;"&amp;$DF5,$AD5:$BA5)+SUMIF($BH$3:$CE$3,"&gt;"&amp;$CW$4,$AD5:$BA5)),
IF(CE$3=$DF5+'Model Setup'!$L$7,SUMIF($BH$3:$CE$3,"="&amp;$DF5+'Model Setup'!$L$7,$AD5:$BA5)+'Model Setup'!$L$8*(SUMIF($BH$3:$CE$3,"&lt;"&amp;$DF5,$AD5:$BA5)+SUMIF($BH$3:$CE$3,"&gt;"&amp;$CW$4,$AD5:$BA5)),
IF(CE$3=$DF5+'Model Setup'!$M$7,SUMIF($BH$3:$CE$3,"="&amp;$DF5+'Model Setup'!$M$7,$AD5:$BA5)+'Model Setup'!$M$8*(SUMIF($BH$3:$CE$3,"&lt;"&amp;$DF5,$AD5:$BA5)+SUMIF($BH$3:$CE$3,"&gt;"&amp;$CW$4,$AD5:$BA5)),
IF(CE$3=$DF5+'Model Setup'!$N$7,SUMIF($BH$3:$CE$3,"="&amp;$DF5+'Model Setup'!$N$7,$AD5:$BA5)+'Model Setup'!$N$8*(SUMIF($BH$3:$CE$3,"&lt;"&amp;$DF5,$AD5:$BA5)+SUMIF($BH$3:$CE$3,"&gt;"&amp;$CW$4,$AD5:$BA5)),
IF(CE$3&lt;$CW$4,Y5,0))))))))))))))),0)</f>
        <v>0</v>
      </c>
      <c r="CF5" s="47">
        <f t="shared" ref="CF5:CF56" si="3">SUM(BH5:CE5)</f>
        <v>105</v>
      </c>
      <c r="CG5" s="47">
        <f t="shared" ref="CG5:CG56" si="4">CF5-BB5</f>
        <v>-24</v>
      </c>
      <c r="CI5" s="10" t="s">
        <v>20</v>
      </c>
      <c r="CJ5" s="126">
        <f>AI5</f>
        <v>0</v>
      </c>
      <c r="CK5" s="126">
        <f t="shared" ref="CK5:CW5" si="5">AJ5</f>
        <v>0</v>
      </c>
      <c r="CL5" s="126">
        <f t="shared" si="5"/>
        <v>0</v>
      </c>
      <c r="CM5" s="126">
        <f t="shared" si="5"/>
        <v>16</v>
      </c>
      <c r="CN5" s="126">
        <f t="shared" si="5"/>
        <v>13</v>
      </c>
      <c r="CO5" s="126">
        <f t="shared" si="5"/>
        <v>10</v>
      </c>
      <c r="CP5" s="126">
        <f t="shared" si="5"/>
        <v>8</v>
      </c>
      <c r="CQ5" s="126">
        <f t="shared" si="5"/>
        <v>6</v>
      </c>
      <c r="CR5" s="126">
        <f t="shared" si="5"/>
        <v>8</v>
      </c>
      <c r="CS5" s="126">
        <f t="shared" si="5"/>
        <v>6</v>
      </c>
      <c r="CT5" s="126">
        <f t="shared" si="5"/>
        <v>5</v>
      </c>
      <c r="CU5" s="126">
        <f t="shared" si="5"/>
        <v>4</v>
      </c>
      <c r="CV5" s="126">
        <f t="shared" si="5"/>
        <v>4</v>
      </c>
      <c r="CW5" s="126">
        <f t="shared" si="5"/>
        <v>15</v>
      </c>
      <c r="CX5" s="126">
        <f>AW5</f>
        <v>20</v>
      </c>
      <c r="CY5" s="126">
        <f t="shared" ref="CY5" si="6">AX5</f>
        <v>14</v>
      </c>
      <c r="CZ5" s="47">
        <f t="shared" ref="CZ5:CZ56" si="7">SUM(CJ5:CW5)</f>
        <v>95</v>
      </c>
      <c r="DC5" s="93" t="s">
        <v>20</v>
      </c>
      <c r="DD5" s="89">
        <f>FTC!E3</f>
        <v>0.33333333333333331</v>
      </c>
      <c r="DE5" s="89">
        <f>FTC!F3</f>
        <v>0.875</v>
      </c>
      <c r="DF5" s="90">
        <f>DD5*24</f>
        <v>8</v>
      </c>
      <c r="DG5" s="91">
        <f>DE5*24</f>
        <v>21</v>
      </c>
      <c r="DH5" s="91">
        <f>DG5-DF5</f>
        <v>13</v>
      </c>
    </row>
    <row r="6" spans="1:112" x14ac:dyDescent="0.35">
      <c r="A6" s="43" t="s">
        <v>21</v>
      </c>
      <c r="B6" s="47">
        <v>2</v>
      </c>
      <c r="C6" s="6"/>
      <c r="D6" s="47">
        <v>2</v>
      </c>
      <c r="E6" s="47">
        <v>2</v>
      </c>
      <c r="F6" s="47">
        <v>5</v>
      </c>
      <c r="G6" s="47">
        <v>5</v>
      </c>
      <c r="H6" s="47">
        <v>38</v>
      </c>
      <c r="I6" s="47">
        <v>66</v>
      </c>
      <c r="J6" s="47">
        <v>54</v>
      </c>
      <c r="K6" s="47">
        <v>57</v>
      </c>
      <c r="L6" s="47">
        <v>54</v>
      </c>
      <c r="M6" s="47">
        <v>34</v>
      </c>
      <c r="N6" s="47">
        <v>24</v>
      </c>
      <c r="O6" s="47">
        <v>35</v>
      </c>
      <c r="P6" s="47">
        <v>24</v>
      </c>
      <c r="Q6" s="47">
        <v>11</v>
      </c>
      <c r="R6" s="47">
        <v>8</v>
      </c>
      <c r="S6" s="47">
        <v>8</v>
      </c>
      <c r="T6" s="47">
        <v>6</v>
      </c>
      <c r="U6" s="47">
        <v>6</v>
      </c>
      <c r="V6" s="47">
        <v>3</v>
      </c>
      <c r="W6" s="47">
        <v>4</v>
      </c>
      <c r="X6" s="47">
        <v>6</v>
      </c>
      <c r="Y6" s="47">
        <v>2</v>
      </c>
      <c r="Z6" s="47">
        <f t="shared" si="0"/>
        <v>456</v>
      </c>
      <c r="AC6" s="43" t="s">
        <v>21</v>
      </c>
      <c r="AD6" s="47">
        <f>ROUND(IF(AD$3&lt;$DF6,0,
IF(AD$3=$DF6+'Model Setup'!$B$7,SUMIF($AD$3:$BA$3,"="&amp;$DF6+'Model Setup'!$B$7,$B6:$Y6)+'Model Setup'!$B$8*(SUMIF($AD$3:$BA$3,"&lt;"&amp;$DF6,$B6:$Y6)+SUMIF($AD$3:$BA$3,"&gt;="&amp;$DG6,$B6:$Y6)),
IF(AD$3=$DF6+'Model Setup'!$C$7,SUMIF($AD$3:$BA$3,"="&amp;$DF6+'Model Setup'!$C$7,$B6:$Y6)+'Model Setup'!$C$8*(SUMIF($AD$3:$BA$3,"&lt;"&amp;$DF6,$B6:$Y6)+SUMIF($AD$3:$BA$3,"&gt;="&amp;$DG6,$B6:$Y6)),
IF(AD$3=$DF6+'Model Setup'!$D$7,SUMIF($AD$3:$BA$3,"="&amp;$DF6+'Model Setup'!$D$7,$B6:$Y6)+'Model Setup'!$D$8*(SUMIF($AD$3:$BA$3,"&lt;"&amp;$DF6,$B6:$Y6)+SUMIF($AD$3:$BA$3,"&gt;="&amp;$DG6,$B6:$Y6)),
IF(AD$3=$DF6+'Model Setup'!$E$7,SUMIF($AD$3:$BA$3,"="&amp;$DF6+'Model Setup'!$E$7,$B6:$Y6)+'Model Setup'!$E$8*(SUMIF($AD$3:$BA$3,"&lt;"&amp;$DF6,$B6:$Y6)+SUMIF($AD$3:$BA$3,"&gt;="&amp;$DG6,$B6:$Y6)),
IF(AD$3=$DF6+'Model Setup'!$F$7,SUMIF($AD$3:$BA$3,"="&amp;$DF6+'Model Setup'!$F$7,$B6:$Y6)+'Model Setup'!$F$8*(SUMIF($AD$3:$BA$3,"&lt;"&amp;$DF6,$B6:$Y6)+SUMIF($AD$3:$BA$3,"&gt;="&amp;$DG6,$B6:$Y6)),
IF(AD$3=$DF6+'Model Setup'!$G$7,SUMIF($AD$3:$BA$3,"="&amp;$DF6+'Model Setup'!$G$7,$B6:$Y6)+'Model Setup'!$G$8*(SUMIF($AD$3:$BA$3,"&lt;"&amp;$DF6,$B6:$Y6)+SUMIF($AD$3:$BA$3,"&gt;="&amp;$DG6,$B6:$Y6)),
IF(AD$3=$DF6+'Model Setup'!$H$7,SUMIF($AD$3:$BA$3,"="&amp;$DF6+'Model Setup'!$H$7,$B6:$Y6)+'Model Setup'!$H$8*(SUMIF($AD$3:$BA$3,"&lt;"&amp;$DF6,$B6:$Y6)+SUMIF($AD$3:$BA$3,"&gt;="&amp;$DG6,$B6:$Y6)),
IF(AD$3=$DF6+'Model Setup'!$I$7,SUMIF($AD$3:$BA$3,"="&amp;$DF6+'Model Setup'!$I$7,$B6:$Y6)+'Model Setup'!$I$8*(SUMIF($AD$3:$BA$3,"&lt;"&amp;$DF6,$B6:$Y6)+SUMIF($AD$3:$BA$3,"&gt;="&amp;$DG6,$B6:$Y6)),
IF(AD$3=$DF6+'Model Setup'!$J$7,SUMIF($AD$3:$BA$3,"="&amp;$DF6+'Model Setup'!$J$7,$B6:$Y6)+'Model Setup'!$J$8*(SUMIF($AD$3:$BA$3,"&lt;"&amp;$DF6,$B6:$Y6)+SUMIF($AD$3:$BA$3,"&gt;="&amp;$DG6,$B6:$Y6)),
IF(AD$3=$DF6+'Model Setup'!$K$7,SUMIF($AD$3:$BA$3,"="&amp;$DF6+'Model Setup'!$K$7,$B6:$Y6)+'Model Setup'!$K$8*(SUMIF($AD$3:$BA$3,"&lt;"&amp;$DF6,$B6:$Y6)+SUMIF($AD$3:$BA$3,"&gt;="&amp;$DG6,$B6:$Y6)),
IF(AD$3=$DF6+'Model Setup'!$L$7,SUMIF($AD$3:$BA$3,"="&amp;$DF6+'Model Setup'!$L$7,$B6:$Y6)+'Model Setup'!$L$8*(SUMIF($AD$3:$BA$3,"&lt;"&amp;$DF6,$B6:$Y6)+SUMIF($AD$3:$BA$3,"&gt;="&amp;$DG6,$B6:$Y6)),
IF(AD$3=$DF6+'Model Setup'!$M$7,SUMIF($AD$3:$BA$3,"="&amp;$DF6+'Model Setup'!$M$7,$B6:$Y6)+'Model Setup'!$M$8*(SUMIF($AD$3:$BA$3,"&lt;"&amp;$DF6,$B6:$Y6)+SUMIF($AD$3:$BA$3,"&gt;="&amp;$DG6,$B6:$Y6)),
IF(AD$3=$DF6+'Model Setup'!$N$7,SUMIF($AD$3:$BA$3,"="&amp;$DF6+'Model Setup'!$N$7,$B6:$Y6)+'Model Setup'!$N$8*(SUMIF($AD$3:$BA$3,"&lt;"&amp;$DF6,$B6:$Y6)+SUMIF($AD$3:$BA$3,"&gt;="&amp;$DG6,$B6:$Y6)),
IF(AD$3&lt;$DG6,B6,0))))))))))))))),0)</f>
        <v>0</v>
      </c>
      <c r="AE6" s="47">
        <f>ROUND(IF(AE$3&lt;$DF6,0,
IF(AE$3=$DF6+'Model Setup'!$B$7,SUMIF($AD$3:$BA$3,"="&amp;$DF6+'Model Setup'!$B$7,$B6:$Y6)+'Model Setup'!$B$8*(SUMIF($AD$3:$BA$3,"&lt;"&amp;$DF6,$B6:$Y6)+SUMIF($AD$3:$BA$3,"&gt;="&amp;$DG6,$B6:$Y6)),
IF(AE$3=$DF6+'Model Setup'!$C$7,SUMIF($AD$3:$BA$3,"="&amp;$DF6+'Model Setup'!$C$7,$B6:$Y6)+'Model Setup'!$C$8*(SUMIF($AD$3:$BA$3,"&lt;"&amp;$DF6,$B6:$Y6)+SUMIF($AD$3:$BA$3,"&gt;="&amp;$DG6,$B6:$Y6)),
IF(AE$3=$DF6+'Model Setup'!$D$7,SUMIF($AD$3:$BA$3,"="&amp;$DF6+'Model Setup'!$D$7,$B6:$Y6)+'Model Setup'!$D$8*(SUMIF($AD$3:$BA$3,"&lt;"&amp;$DF6,$B6:$Y6)+SUMIF($AD$3:$BA$3,"&gt;="&amp;$DG6,$B6:$Y6)),
IF(AE$3=$DF6+'Model Setup'!$E$7,SUMIF($AD$3:$BA$3,"="&amp;$DF6+'Model Setup'!$E$7,$B6:$Y6)+'Model Setup'!$E$8*(SUMIF($AD$3:$BA$3,"&lt;"&amp;$DF6,$B6:$Y6)+SUMIF($AD$3:$BA$3,"&gt;="&amp;$DG6,$B6:$Y6)),
IF(AE$3=$DF6+'Model Setup'!$F$7,SUMIF($AD$3:$BA$3,"="&amp;$DF6+'Model Setup'!$F$7,$B6:$Y6)+'Model Setup'!$F$8*(SUMIF($AD$3:$BA$3,"&lt;"&amp;$DF6,$B6:$Y6)+SUMIF($AD$3:$BA$3,"&gt;="&amp;$DG6,$B6:$Y6)),
IF(AE$3=$DF6+'Model Setup'!$G$7,SUMIF($AD$3:$BA$3,"="&amp;$DF6+'Model Setup'!$G$7,$B6:$Y6)+'Model Setup'!$G$8*(SUMIF($AD$3:$BA$3,"&lt;"&amp;$DF6,$B6:$Y6)+SUMIF($AD$3:$BA$3,"&gt;="&amp;$DG6,$B6:$Y6)),
IF(AE$3=$DF6+'Model Setup'!$H$7,SUMIF($AD$3:$BA$3,"="&amp;$DF6+'Model Setup'!$H$7,$B6:$Y6)+'Model Setup'!$H$8*(SUMIF($AD$3:$BA$3,"&lt;"&amp;$DF6,$B6:$Y6)+SUMIF($AD$3:$BA$3,"&gt;="&amp;$DG6,$B6:$Y6)),
IF(AE$3=$DF6+'Model Setup'!$I$7,SUMIF($AD$3:$BA$3,"="&amp;$DF6+'Model Setup'!$I$7,$B6:$Y6)+'Model Setup'!$I$8*(SUMIF($AD$3:$BA$3,"&lt;"&amp;$DF6,$B6:$Y6)+SUMIF($AD$3:$BA$3,"&gt;="&amp;$DG6,$B6:$Y6)),
IF(AE$3=$DF6+'Model Setup'!$J$7,SUMIF($AD$3:$BA$3,"="&amp;$DF6+'Model Setup'!$J$7,$B6:$Y6)+'Model Setup'!$J$8*(SUMIF($AD$3:$BA$3,"&lt;"&amp;$DF6,$B6:$Y6)+SUMIF($AD$3:$BA$3,"&gt;="&amp;$DG6,$B6:$Y6)),
IF(AE$3=$DF6+'Model Setup'!$K$7,SUMIF($AD$3:$BA$3,"="&amp;$DF6+'Model Setup'!$K$7,$B6:$Y6)+'Model Setup'!$K$8*(SUMIF($AD$3:$BA$3,"&lt;"&amp;$DF6,$B6:$Y6)+SUMIF($AD$3:$BA$3,"&gt;="&amp;$DG6,$B6:$Y6)),
IF(AE$3=$DF6+'Model Setup'!$L$7,SUMIF($AD$3:$BA$3,"="&amp;$DF6+'Model Setup'!$L$7,$B6:$Y6)+'Model Setup'!$L$8*(SUMIF($AD$3:$BA$3,"&lt;"&amp;$DF6,$B6:$Y6)+SUMIF($AD$3:$BA$3,"&gt;="&amp;$DG6,$B6:$Y6)),
IF(AE$3=$DF6+'Model Setup'!$M$7,SUMIF($AD$3:$BA$3,"="&amp;$DF6+'Model Setup'!$M$7,$B6:$Y6)+'Model Setup'!$M$8*(SUMIF($AD$3:$BA$3,"&lt;"&amp;$DF6,$B6:$Y6)+SUMIF($AD$3:$BA$3,"&gt;="&amp;$DG6,$B6:$Y6)),
IF(AE$3=$DF6+'Model Setup'!$N$7,SUMIF($AD$3:$BA$3,"="&amp;$DF6+'Model Setup'!$N$7,$B6:$Y6)+'Model Setup'!$N$8*(SUMIF($AD$3:$BA$3,"&lt;"&amp;$DF6,$B6:$Y6)+SUMIF($AD$3:$BA$3,"&gt;="&amp;$DG6,$B6:$Y6)),
IF(AE$3&lt;$DG6,C6,0))))))))))))))),0)</f>
        <v>0</v>
      </c>
      <c r="AF6" s="47">
        <f>ROUND(IF(AF$3&lt;$DF6,0,
IF(AF$3=$DF6+'Model Setup'!$B$7,SUMIF($AD$3:$BA$3,"="&amp;$DF6+'Model Setup'!$B$7,$B6:$Y6)+'Model Setup'!$B$8*(SUMIF($AD$3:$BA$3,"&lt;"&amp;$DF6,$B6:$Y6)+SUMIF($AD$3:$BA$3,"&gt;="&amp;$DG6,$B6:$Y6)),
IF(AF$3=$DF6+'Model Setup'!$C$7,SUMIF($AD$3:$BA$3,"="&amp;$DF6+'Model Setup'!$C$7,$B6:$Y6)+'Model Setup'!$C$8*(SUMIF($AD$3:$BA$3,"&lt;"&amp;$DF6,$B6:$Y6)+SUMIF($AD$3:$BA$3,"&gt;="&amp;$DG6,$B6:$Y6)),
IF(AF$3=$DF6+'Model Setup'!$D$7,SUMIF($AD$3:$BA$3,"="&amp;$DF6+'Model Setup'!$D$7,$B6:$Y6)+'Model Setup'!$D$8*(SUMIF($AD$3:$BA$3,"&lt;"&amp;$DF6,$B6:$Y6)+SUMIF($AD$3:$BA$3,"&gt;="&amp;$DG6,$B6:$Y6)),
IF(AF$3=$DF6+'Model Setup'!$E$7,SUMIF($AD$3:$BA$3,"="&amp;$DF6+'Model Setup'!$E$7,$B6:$Y6)+'Model Setup'!$E$8*(SUMIF($AD$3:$BA$3,"&lt;"&amp;$DF6,$B6:$Y6)+SUMIF($AD$3:$BA$3,"&gt;="&amp;$DG6,$B6:$Y6)),
IF(AF$3=$DF6+'Model Setup'!$F$7,SUMIF($AD$3:$BA$3,"="&amp;$DF6+'Model Setup'!$F$7,$B6:$Y6)+'Model Setup'!$F$8*(SUMIF($AD$3:$BA$3,"&lt;"&amp;$DF6,$B6:$Y6)+SUMIF($AD$3:$BA$3,"&gt;="&amp;$DG6,$B6:$Y6)),
IF(AF$3=$DF6+'Model Setup'!$G$7,SUMIF($AD$3:$BA$3,"="&amp;$DF6+'Model Setup'!$G$7,$B6:$Y6)+'Model Setup'!$G$8*(SUMIF($AD$3:$BA$3,"&lt;"&amp;$DF6,$B6:$Y6)+SUMIF($AD$3:$BA$3,"&gt;="&amp;$DG6,$B6:$Y6)),
IF(AF$3=$DF6+'Model Setup'!$H$7,SUMIF($AD$3:$BA$3,"="&amp;$DF6+'Model Setup'!$H$7,$B6:$Y6)+'Model Setup'!$H$8*(SUMIF($AD$3:$BA$3,"&lt;"&amp;$DF6,$B6:$Y6)+SUMIF($AD$3:$BA$3,"&gt;="&amp;$DG6,$B6:$Y6)),
IF(AF$3=$DF6+'Model Setup'!$I$7,SUMIF($AD$3:$BA$3,"="&amp;$DF6+'Model Setup'!$I$7,$B6:$Y6)+'Model Setup'!$I$8*(SUMIF($AD$3:$BA$3,"&lt;"&amp;$DF6,$B6:$Y6)+SUMIF($AD$3:$BA$3,"&gt;="&amp;$DG6,$B6:$Y6)),
IF(AF$3=$DF6+'Model Setup'!$J$7,SUMIF($AD$3:$BA$3,"="&amp;$DF6+'Model Setup'!$J$7,$B6:$Y6)+'Model Setup'!$J$8*(SUMIF($AD$3:$BA$3,"&lt;"&amp;$DF6,$B6:$Y6)+SUMIF($AD$3:$BA$3,"&gt;="&amp;$DG6,$B6:$Y6)),
IF(AF$3=$DF6+'Model Setup'!$K$7,SUMIF($AD$3:$BA$3,"="&amp;$DF6+'Model Setup'!$K$7,$B6:$Y6)+'Model Setup'!$K$8*(SUMIF($AD$3:$BA$3,"&lt;"&amp;$DF6,$B6:$Y6)+SUMIF($AD$3:$BA$3,"&gt;="&amp;$DG6,$B6:$Y6)),
IF(AF$3=$DF6+'Model Setup'!$L$7,SUMIF($AD$3:$BA$3,"="&amp;$DF6+'Model Setup'!$L$7,$B6:$Y6)+'Model Setup'!$L$8*(SUMIF($AD$3:$BA$3,"&lt;"&amp;$DF6,$B6:$Y6)+SUMIF($AD$3:$BA$3,"&gt;="&amp;$DG6,$B6:$Y6)),
IF(AF$3=$DF6+'Model Setup'!$M$7,SUMIF($AD$3:$BA$3,"="&amp;$DF6+'Model Setup'!$M$7,$B6:$Y6)+'Model Setup'!$M$8*(SUMIF($AD$3:$BA$3,"&lt;"&amp;$DF6,$B6:$Y6)+SUMIF($AD$3:$BA$3,"&gt;="&amp;$DG6,$B6:$Y6)),
IF(AF$3=$DF6+'Model Setup'!$N$7,SUMIF($AD$3:$BA$3,"="&amp;$DF6+'Model Setup'!$N$7,$B6:$Y6)+'Model Setup'!$N$8*(SUMIF($AD$3:$BA$3,"&lt;"&amp;$DF6,$B6:$Y6)+SUMIF($AD$3:$BA$3,"&gt;="&amp;$DG6,$B6:$Y6)),
IF(AF$3&lt;$DG6,D6,0))))))))))))))),0)</f>
        <v>0</v>
      </c>
      <c r="AG6" s="47">
        <f>ROUND(IF(AG$3&lt;$DF6,0,
IF(AG$3=$DF6+'Model Setup'!$B$7,SUMIF($AD$3:$BA$3,"="&amp;$DF6+'Model Setup'!$B$7,$B6:$Y6)+'Model Setup'!$B$8*(SUMIF($AD$3:$BA$3,"&lt;"&amp;$DF6,$B6:$Y6)+SUMIF($AD$3:$BA$3,"&gt;="&amp;$DG6,$B6:$Y6)),
IF(AG$3=$DF6+'Model Setup'!$C$7,SUMIF($AD$3:$BA$3,"="&amp;$DF6+'Model Setup'!$C$7,$B6:$Y6)+'Model Setup'!$C$8*(SUMIF($AD$3:$BA$3,"&lt;"&amp;$DF6,$B6:$Y6)+SUMIF($AD$3:$BA$3,"&gt;="&amp;$DG6,$B6:$Y6)),
IF(AG$3=$DF6+'Model Setup'!$D$7,SUMIF($AD$3:$BA$3,"="&amp;$DF6+'Model Setup'!$D$7,$B6:$Y6)+'Model Setup'!$D$8*(SUMIF($AD$3:$BA$3,"&lt;"&amp;$DF6,$B6:$Y6)+SUMIF($AD$3:$BA$3,"&gt;="&amp;$DG6,$B6:$Y6)),
IF(AG$3=$DF6+'Model Setup'!$E$7,SUMIF($AD$3:$BA$3,"="&amp;$DF6+'Model Setup'!$E$7,$B6:$Y6)+'Model Setup'!$E$8*(SUMIF($AD$3:$BA$3,"&lt;"&amp;$DF6,$B6:$Y6)+SUMIF($AD$3:$BA$3,"&gt;="&amp;$DG6,$B6:$Y6)),
IF(AG$3=$DF6+'Model Setup'!$F$7,SUMIF($AD$3:$BA$3,"="&amp;$DF6+'Model Setup'!$F$7,$B6:$Y6)+'Model Setup'!$F$8*(SUMIF($AD$3:$BA$3,"&lt;"&amp;$DF6,$B6:$Y6)+SUMIF($AD$3:$BA$3,"&gt;="&amp;$DG6,$B6:$Y6)),
IF(AG$3=$DF6+'Model Setup'!$G$7,SUMIF($AD$3:$BA$3,"="&amp;$DF6+'Model Setup'!$G$7,$B6:$Y6)+'Model Setup'!$G$8*(SUMIF($AD$3:$BA$3,"&lt;"&amp;$DF6,$B6:$Y6)+SUMIF($AD$3:$BA$3,"&gt;="&amp;$DG6,$B6:$Y6)),
IF(AG$3=$DF6+'Model Setup'!$H$7,SUMIF($AD$3:$BA$3,"="&amp;$DF6+'Model Setup'!$H$7,$B6:$Y6)+'Model Setup'!$H$8*(SUMIF($AD$3:$BA$3,"&lt;"&amp;$DF6,$B6:$Y6)+SUMIF($AD$3:$BA$3,"&gt;="&amp;$DG6,$B6:$Y6)),
IF(AG$3=$DF6+'Model Setup'!$I$7,SUMIF($AD$3:$BA$3,"="&amp;$DF6+'Model Setup'!$I$7,$B6:$Y6)+'Model Setup'!$I$8*(SUMIF($AD$3:$BA$3,"&lt;"&amp;$DF6,$B6:$Y6)+SUMIF($AD$3:$BA$3,"&gt;="&amp;$DG6,$B6:$Y6)),
IF(AG$3=$DF6+'Model Setup'!$J$7,SUMIF($AD$3:$BA$3,"="&amp;$DF6+'Model Setup'!$J$7,$B6:$Y6)+'Model Setup'!$J$8*(SUMIF($AD$3:$BA$3,"&lt;"&amp;$DF6,$B6:$Y6)+SUMIF($AD$3:$BA$3,"&gt;="&amp;$DG6,$B6:$Y6)),
IF(AG$3=$DF6+'Model Setup'!$K$7,SUMIF($AD$3:$BA$3,"="&amp;$DF6+'Model Setup'!$K$7,$B6:$Y6)+'Model Setup'!$K$8*(SUMIF($AD$3:$BA$3,"&lt;"&amp;$DF6,$B6:$Y6)+SUMIF($AD$3:$BA$3,"&gt;="&amp;$DG6,$B6:$Y6)),
IF(AG$3=$DF6+'Model Setup'!$L$7,SUMIF($AD$3:$BA$3,"="&amp;$DF6+'Model Setup'!$L$7,$B6:$Y6)+'Model Setup'!$L$8*(SUMIF($AD$3:$BA$3,"&lt;"&amp;$DF6,$B6:$Y6)+SUMIF($AD$3:$BA$3,"&gt;="&amp;$DG6,$B6:$Y6)),
IF(AG$3=$DF6+'Model Setup'!$M$7,SUMIF($AD$3:$BA$3,"="&amp;$DF6+'Model Setup'!$M$7,$B6:$Y6)+'Model Setup'!$M$8*(SUMIF($AD$3:$BA$3,"&lt;"&amp;$DF6,$B6:$Y6)+SUMIF($AD$3:$BA$3,"&gt;="&amp;$DG6,$B6:$Y6)),
IF(AG$3=$DF6+'Model Setup'!$N$7,SUMIF($AD$3:$BA$3,"="&amp;$DF6+'Model Setup'!$N$7,$B6:$Y6)+'Model Setup'!$N$8*(SUMIF($AD$3:$BA$3,"&lt;"&amp;$DF6,$B6:$Y6)+SUMIF($AD$3:$BA$3,"&gt;="&amp;$DG6,$B6:$Y6)),
IF(AG$3&lt;$DG6,E6,0))))))))))))))),0)</f>
        <v>0</v>
      </c>
      <c r="AH6" s="47">
        <f>ROUND(IF(AH$3&lt;$DF6,0,
IF(AH$3=$DF6+'Model Setup'!$B$7,SUMIF($AD$3:$BA$3,"="&amp;$DF6+'Model Setup'!$B$7,$B6:$Y6)+'Model Setup'!$B$8*(SUMIF($AD$3:$BA$3,"&lt;"&amp;$DF6,$B6:$Y6)+SUMIF($AD$3:$BA$3,"&gt;="&amp;$DG6,$B6:$Y6)),
IF(AH$3=$DF6+'Model Setup'!$C$7,SUMIF($AD$3:$BA$3,"="&amp;$DF6+'Model Setup'!$C$7,$B6:$Y6)+'Model Setup'!$C$8*(SUMIF($AD$3:$BA$3,"&lt;"&amp;$DF6,$B6:$Y6)+SUMIF($AD$3:$BA$3,"&gt;="&amp;$DG6,$B6:$Y6)),
IF(AH$3=$DF6+'Model Setup'!$D$7,SUMIF($AD$3:$BA$3,"="&amp;$DF6+'Model Setup'!$D$7,$B6:$Y6)+'Model Setup'!$D$8*(SUMIF($AD$3:$BA$3,"&lt;"&amp;$DF6,$B6:$Y6)+SUMIF($AD$3:$BA$3,"&gt;="&amp;$DG6,$B6:$Y6)),
IF(AH$3=$DF6+'Model Setup'!$E$7,SUMIF($AD$3:$BA$3,"="&amp;$DF6+'Model Setup'!$E$7,$B6:$Y6)+'Model Setup'!$E$8*(SUMIF($AD$3:$BA$3,"&lt;"&amp;$DF6,$B6:$Y6)+SUMIF($AD$3:$BA$3,"&gt;="&amp;$DG6,$B6:$Y6)),
IF(AH$3=$DF6+'Model Setup'!$F$7,SUMIF($AD$3:$BA$3,"="&amp;$DF6+'Model Setup'!$F$7,$B6:$Y6)+'Model Setup'!$F$8*(SUMIF($AD$3:$BA$3,"&lt;"&amp;$DF6,$B6:$Y6)+SUMIF($AD$3:$BA$3,"&gt;="&amp;$DG6,$B6:$Y6)),
IF(AH$3=$DF6+'Model Setup'!$G$7,SUMIF($AD$3:$BA$3,"="&amp;$DF6+'Model Setup'!$G$7,$B6:$Y6)+'Model Setup'!$G$8*(SUMIF($AD$3:$BA$3,"&lt;"&amp;$DF6,$B6:$Y6)+SUMIF($AD$3:$BA$3,"&gt;="&amp;$DG6,$B6:$Y6)),
IF(AH$3=$DF6+'Model Setup'!$H$7,SUMIF($AD$3:$BA$3,"="&amp;$DF6+'Model Setup'!$H$7,$B6:$Y6)+'Model Setup'!$H$8*(SUMIF($AD$3:$BA$3,"&lt;"&amp;$DF6,$B6:$Y6)+SUMIF($AD$3:$BA$3,"&gt;="&amp;$DG6,$B6:$Y6)),
IF(AH$3=$DF6+'Model Setup'!$I$7,SUMIF($AD$3:$BA$3,"="&amp;$DF6+'Model Setup'!$I$7,$B6:$Y6)+'Model Setup'!$I$8*(SUMIF($AD$3:$BA$3,"&lt;"&amp;$DF6,$B6:$Y6)+SUMIF($AD$3:$BA$3,"&gt;="&amp;$DG6,$B6:$Y6)),
IF(AH$3=$DF6+'Model Setup'!$J$7,SUMIF($AD$3:$BA$3,"="&amp;$DF6+'Model Setup'!$J$7,$B6:$Y6)+'Model Setup'!$J$8*(SUMIF($AD$3:$BA$3,"&lt;"&amp;$DF6,$B6:$Y6)+SUMIF($AD$3:$BA$3,"&gt;="&amp;$DG6,$B6:$Y6)),
IF(AH$3=$DF6+'Model Setup'!$K$7,SUMIF($AD$3:$BA$3,"="&amp;$DF6+'Model Setup'!$K$7,$B6:$Y6)+'Model Setup'!$K$8*(SUMIF($AD$3:$BA$3,"&lt;"&amp;$DF6,$B6:$Y6)+SUMIF($AD$3:$BA$3,"&gt;="&amp;$DG6,$B6:$Y6)),
IF(AH$3=$DF6+'Model Setup'!$L$7,SUMIF($AD$3:$BA$3,"="&amp;$DF6+'Model Setup'!$L$7,$B6:$Y6)+'Model Setup'!$L$8*(SUMIF($AD$3:$BA$3,"&lt;"&amp;$DF6,$B6:$Y6)+SUMIF($AD$3:$BA$3,"&gt;="&amp;$DG6,$B6:$Y6)),
IF(AH$3=$DF6+'Model Setup'!$M$7,SUMIF($AD$3:$BA$3,"="&amp;$DF6+'Model Setup'!$M$7,$B6:$Y6)+'Model Setup'!$M$8*(SUMIF($AD$3:$BA$3,"&lt;"&amp;$DF6,$B6:$Y6)+SUMIF($AD$3:$BA$3,"&gt;="&amp;$DG6,$B6:$Y6)),
IF(AH$3=$DF6+'Model Setup'!$N$7,SUMIF($AD$3:$BA$3,"="&amp;$DF6+'Model Setup'!$N$7,$B6:$Y6)+'Model Setup'!$N$8*(SUMIF($AD$3:$BA$3,"&lt;"&amp;$DF6,$B6:$Y6)+SUMIF($AD$3:$BA$3,"&gt;="&amp;$DG6,$B6:$Y6)),
IF(AH$3&lt;$DG6,F6,0))))))))))))))),0)</f>
        <v>0</v>
      </c>
      <c r="AI6" s="47">
        <f>ROUND(IF(AI$3&lt;$DF6,0,
IF(AI$3=$DF6+'Model Setup'!$B$7,SUMIF($AD$3:$BA$3,"="&amp;$DF6+'Model Setup'!$B$7,$B6:$Y6)+'Model Setup'!$B$8*(SUMIF($AD$3:$BA$3,"&lt;"&amp;$DF6,$B6:$Y6)+SUMIF($AD$3:$BA$3,"&gt;="&amp;$DG6,$B6:$Y6)),
IF(AI$3=$DF6+'Model Setup'!$C$7,SUMIF($AD$3:$BA$3,"="&amp;$DF6+'Model Setup'!$C$7,$B6:$Y6)+'Model Setup'!$C$8*(SUMIF($AD$3:$BA$3,"&lt;"&amp;$DF6,$B6:$Y6)+SUMIF($AD$3:$BA$3,"&gt;="&amp;$DG6,$B6:$Y6)),
IF(AI$3=$DF6+'Model Setup'!$D$7,SUMIF($AD$3:$BA$3,"="&amp;$DF6+'Model Setup'!$D$7,$B6:$Y6)+'Model Setup'!$D$8*(SUMIF($AD$3:$BA$3,"&lt;"&amp;$DF6,$B6:$Y6)+SUMIF($AD$3:$BA$3,"&gt;="&amp;$DG6,$B6:$Y6)),
IF(AI$3=$DF6+'Model Setup'!$E$7,SUMIF($AD$3:$BA$3,"="&amp;$DF6+'Model Setup'!$E$7,$B6:$Y6)+'Model Setup'!$E$8*(SUMIF($AD$3:$BA$3,"&lt;"&amp;$DF6,$B6:$Y6)+SUMIF($AD$3:$BA$3,"&gt;="&amp;$DG6,$B6:$Y6)),
IF(AI$3=$DF6+'Model Setup'!$F$7,SUMIF($AD$3:$BA$3,"="&amp;$DF6+'Model Setup'!$F$7,$B6:$Y6)+'Model Setup'!$F$8*(SUMIF($AD$3:$BA$3,"&lt;"&amp;$DF6,$B6:$Y6)+SUMIF($AD$3:$BA$3,"&gt;="&amp;$DG6,$B6:$Y6)),
IF(AI$3=$DF6+'Model Setup'!$G$7,SUMIF($AD$3:$BA$3,"="&amp;$DF6+'Model Setup'!$G$7,$B6:$Y6)+'Model Setup'!$G$8*(SUMIF($AD$3:$BA$3,"&lt;"&amp;$DF6,$B6:$Y6)+SUMIF($AD$3:$BA$3,"&gt;="&amp;$DG6,$B6:$Y6)),
IF(AI$3=$DF6+'Model Setup'!$H$7,SUMIF($AD$3:$BA$3,"="&amp;$DF6+'Model Setup'!$H$7,$B6:$Y6)+'Model Setup'!$H$8*(SUMIF($AD$3:$BA$3,"&lt;"&amp;$DF6,$B6:$Y6)+SUMIF($AD$3:$BA$3,"&gt;="&amp;$DG6,$B6:$Y6)),
IF(AI$3=$DF6+'Model Setup'!$I$7,SUMIF($AD$3:$BA$3,"="&amp;$DF6+'Model Setup'!$I$7,$B6:$Y6)+'Model Setup'!$I$8*(SUMIF($AD$3:$BA$3,"&lt;"&amp;$DF6,$B6:$Y6)+SUMIF($AD$3:$BA$3,"&gt;="&amp;$DG6,$B6:$Y6)),
IF(AI$3=$DF6+'Model Setup'!$J$7,SUMIF($AD$3:$BA$3,"="&amp;$DF6+'Model Setup'!$J$7,$B6:$Y6)+'Model Setup'!$J$8*(SUMIF($AD$3:$BA$3,"&lt;"&amp;$DF6,$B6:$Y6)+SUMIF($AD$3:$BA$3,"&gt;="&amp;$DG6,$B6:$Y6)),
IF(AI$3=$DF6+'Model Setup'!$K$7,SUMIF($AD$3:$BA$3,"="&amp;$DF6+'Model Setup'!$K$7,$B6:$Y6)+'Model Setup'!$K$8*(SUMIF($AD$3:$BA$3,"&lt;"&amp;$DF6,$B6:$Y6)+SUMIF($AD$3:$BA$3,"&gt;="&amp;$DG6,$B6:$Y6)),
IF(AI$3=$DF6+'Model Setup'!$L$7,SUMIF($AD$3:$BA$3,"="&amp;$DF6+'Model Setup'!$L$7,$B6:$Y6)+'Model Setup'!$L$8*(SUMIF($AD$3:$BA$3,"&lt;"&amp;$DF6,$B6:$Y6)+SUMIF($AD$3:$BA$3,"&gt;="&amp;$DG6,$B6:$Y6)),
IF(AI$3=$DF6+'Model Setup'!$M$7,SUMIF($AD$3:$BA$3,"="&amp;$DF6+'Model Setup'!$M$7,$B6:$Y6)+'Model Setup'!$M$8*(SUMIF($AD$3:$BA$3,"&lt;"&amp;$DF6,$B6:$Y6)+SUMIF($AD$3:$BA$3,"&gt;="&amp;$DG6,$B6:$Y6)),
IF(AI$3=$DF6+'Model Setup'!$N$7,SUMIF($AD$3:$BA$3,"="&amp;$DF6+'Model Setup'!$N$7,$B6:$Y6)+'Model Setup'!$N$8*(SUMIF($AD$3:$BA$3,"&lt;"&amp;$DF6,$B6:$Y6)+SUMIF($AD$3:$BA$3,"&gt;="&amp;$DG6,$B6:$Y6)),
IF(AI$3&lt;$DG6,G6,0))))))))))))))),0)</f>
        <v>0</v>
      </c>
      <c r="AJ6" s="47">
        <f>ROUND(IF(AJ$3&lt;$DF6,0,
IF(AJ$3=$DF6+'Model Setup'!$B$7,SUMIF($AD$3:$BA$3,"="&amp;$DF6+'Model Setup'!$B$7,$B6:$Y6)+'Model Setup'!$B$8*(SUMIF($AD$3:$BA$3,"&lt;"&amp;$DF6,$B6:$Y6)+SUMIF($AD$3:$BA$3,"&gt;="&amp;$DG6,$B6:$Y6)),
IF(AJ$3=$DF6+'Model Setup'!$C$7,SUMIF($AD$3:$BA$3,"="&amp;$DF6+'Model Setup'!$C$7,$B6:$Y6)+'Model Setup'!$C$8*(SUMIF($AD$3:$BA$3,"&lt;"&amp;$DF6,$B6:$Y6)+SUMIF($AD$3:$BA$3,"&gt;="&amp;$DG6,$B6:$Y6)),
IF(AJ$3=$DF6+'Model Setup'!$D$7,SUMIF($AD$3:$BA$3,"="&amp;$DF6+'Model Setup'!$D$7,$B6:$Y6)+'Model Setup'!$D$8*(SUMIF($AD$3:$BA$3,"&lt;"&amp;$DF6,$B6:$Y6)+SUMIF($AD$3:$BA$3,"&gt;="&amp;$DG6,$B6:$Y6)),
IF(AJ$3=$DF6+'Model Setup'!$E$7,SUMIF($AD$3:$BA$3,"="&amp;$DF6+'Model Setup'!$E$7,$B6:$Y6)+'Model Setup'!$E$8*(SUMIF($AD$3:$BA$3,"&lt;"&amp;$DF6,$B6:$Y6)+SUMIF($AD$3:$BA$3,"&gt;="&amp;$DG6,$B6:$Y6)),
IF(AJ$3=$DF6+'Model Setup'!$F$7,SUMIF($AD$3:$BA$3,"="&amp;$DF6+'Model Setup'!$F$7,$B6:$Y6)+'Model Setup'!$F$8*(SUMIF($AD$3:$BA$3,"&lt;"&amp;$DF6,$B6:$Y6)+SUMIF($AD$3:$BA$3,"&gt;="&amp;$DG6,$B6:$Y6)),
IF(AJ$3=$DF6+'Model Setup'!$G$7,SUMIF($AD$3:$BA$3,"="&amp;$DF6+'Model Setup'!$G$7,$B6:$Y6)+'Model Setup'!$G$8*(SUMIF($AD$3:$BA$3,"&lt;"&amp;$DF6,$B6:$Y6)+SUMIF($AD$3:$BA$3,"&gt;="&amp;$DG6,$B6:$Y6)),
IF(AJ$3=$DF6+'Model Setup'!$H$7,SUMIF($AD$3:$BA$3,"="&amp;$DF6+'Model Setup'!$H$7,$B6:$Y6)+'Model Setup'!$H$8*(SUMIF($AD$3:$BA$3,"&lt;"&amp;$DF6,$B6:$Y6)+SUMIF($AD$3:$BA$3,"&gt;="&amp;$DG6,$B6:$Y6)),
IF(AJ$3=$DF6+'Model Setup'!$I$7,SUMIF($AD$3:$BA$3,"="&amp;$DF6+'Model Setup'!$I$7,$B6:$Y6)+'Model Setup'!$I$8*(SUMIF($AD$3:$BA$3,"&lt;"&amp;$DF6,$B6:$Y6)+SUMIF($AD$3:$BA$3,"&gt;="&amp;$DG6,$B6:$Y6)),
IF(AJ$3=$DF6+'Model Setup'!$J$7,SUMIF($AD$3:$BA$3,"="&amp;$DF6+'Model Setup'!$J$7,$B6:$Y6)+'Model Setup'!$J$8*(SUMIF($AD$3:$BA$3,"&lt;"&amp;$DF6,$B6:$Y6)+SUMIF($AD$3:$BA$3,"&gt;="&amp;$DG6,$B6:$Y6)),
IF(AJ$3=$DF6+'Model Setup'!$K$7,SUMIF($AD$3:$BA$3,"="&amp;$DF6+'Model Setup'!$K$7,$B6:$Y6)+'Model Setup'!$K$8*(SUMIF($AD$3:$BA$3,"&lt;"&amp;$DF6,$B6:$Y6)+SUMIF($AD$3:$BA$3,"&gt;="&amp;$DG6,$B6:$Y6)),
IF(AJ$3=$DF6+'Model Setup'!$L$7,SUMIF($AD$3:$BA$3,"="&amp;$DF6+'Model Setup'!$L$7,$B6:$Y6)+'Model Setup'!$L$8*(SUMIF($AD$3:$BA$3,"&lt;"&amp;$DF6,$B6:$Y6)+SUMIF($AD$3:$BA$3,"&gt;="&amp;$DG6,$B6:$Y6)),
IF(AJ$3=$DF6+'Model Setup'!$M$7,SUMIF($AD$3:$BA$3,"="&amp;$DF6+'Model Setup'!$M$7,$B6:$Y6)+'Model Setup'!$M$8*(SUMIF($AD$3:$BA$3,"&lt;"&amp;$DF6,$B6:$Y6)+SUMIF($AD$3:$BA$3,"&gt;="&amp;$DG6,$B6:$Y6)),
IF(AJ$3=$DF6+'Model Setup'!$N$7,SUMIF($AD$3:$BA$3,"="&amp;$DF6+'Model Setup'!$N$7,$B6:$Y6)+'Model Setup'!$N$8*(SUMIF($AD$3:$BA$3,"&lt;"&amp;$DF6,$B6:$Y6)+SUMIF($AD$3:$BA$3,"&gt;="&amp;$DG6,$B6:$Y6)),
IF(AJ$3&lt;$DG6,H6,0))))))))))))))),0)</f>
        <v>38</v>
      </c>
      <c r="AK6" s="47">
        <f>ROUND(IF(AK$3&lt;$DF6,0,
IF(AK$3=$DF6+'Model Setup'!$B$7,SUMIF($AD$3:$BA$3,"="&amp;$DF6+'Model Setup'!$B$7,$B6:$Y6)+'Model Setup'!$B$8*(SUMIF($AD$3:$BA$3,"&lt;"&amp;$DF6,$B6:$Y6)+SUMIF($AD$3:$BA$3,"&gt;="&amp;$DG6,$B6:$Y6)),
IF(AK$3=$DF6+'Model Setup'!$C$7,SUMIF($AD$3:$BA$3,"="&amp;$DF6+'Model Setup'!$C$7,$B6:$Y6)+'Model Setup'!$C$8*(SUMIF($AD$3:$BA$3,"&lt;"&amp;$DF6,$B6:$Y6)+SUMIF($AD$3:$BA$3,"&gt;="&amp;$DG6,$B6:$Y6)),
IF(AK$3=$DF6+'Model Setup'!$D$7,SUMIF($AD$3:$BA$3,"="&amp;$DF6+'Model Setup'!$D$7,$B6:$Y6)+'Model Setup'!$D$8*(SUMIF($AD$3:$BA$3,"&lt;"&amp;$DF6,$B6:$Y6)+SUMIF($AD$3:$BA$3,"&gt;="&amp;$DG6,$B6:$Y6)),
IF(AK$3=$DF6+'Model Setup'!$E$7,SUMIF($AD$3:$BA$3,"="&amp;$DF6+'Model Setup'!$E$7,$B6:$Y6)+'Model Setup'!$E$8*(SUMIF($AD$3:$BA$3,"&lt;"&amp;$DF6,$B6:$Y6)+SUMIF($AD$3:$BA$3,"&gt;="&amp;$DG6,$B6:$Y6)),
IF(AK$3=$DF6+'Model Setup'!$F$7,SUMIF($AD$3:$BA$3,"="&amp;$DF6+'Model Setup'!$F$7,$B6:$Y6)+'Model Setup'!$F$8*(SUMIF($AD$3:$BA$3,"&lt;"&amp;$DF6,$B6:$Y6)+SUMIF($AD$3:$BA$3,"&gt;="&amp;$DG6,$B6:$Y6)),
IF(AK$3=$DF6+'Model Setup'!$G$7,SUMIF($AD$3:$BA$3,"="&amp;$DF6+'Model Setup'!$G$7,$B6:$Y6)+'Model Setup'!$G$8*(SUMIF($AD$3:$BA$3,"&lt;"&amp;$DF6,$B6:$Y6)+SUMIF($AD$3:$BA$3,"&gt;="&amp;$DG6,$B6:$Y6)),
IF(AK$3=$DF6+'Model Setup'!$H$7,SUMIF($AD$3:$BA$3,"="&amp;$DF6+'Model Setup'!$H$7,$B6:$Y6)+'Model Setup'!$H$8*(SUMIF($AD$3:$BA$3,"&lt;"&amp;$DF6,$B6:$Y6)+SUMIF($AD$3:$BA$3,"&gt;="&amp;$DG6,$B6:$Y6)),
IF(AK$3=$DF6+'Model Setup'!$I$7,SUMIF($AD$3:$BA$3,"="&amp;$DF6+'Model Setup'!$I$7,$B6:$Y6)+'Model Setup'!$I$8*(SUMIF($AD$3:$BA$3,"&lt;"&amp;$DF6,$B6:$Y6)+SUMIF($AD$3:$BA$3,"&gt;="&amp;$DG6,$B6:$Y6)),
IF(AK$3=$DF6+'Model Setup'!$J$7,SUMIF($AD$3:$BA$3,"="&amp;$DF6+'Model Setup'!$J$7,$B6:$Y6)+'Model Setup'!$J$8*(SUMIF($AD$3:$BA$3,"&lt;"&amp;$DF6,$B6:$Y6)+SUMIF($AD$3:$BA$3,"&gt;="&amp;$DG6,$B6:$Y6)),
IF(AK$3=$DF6+'Model Setup'!$K$7,SUMIF($AD$3:$BA$3,"="&amp;$DF6+'Model Setup'!$K$7,$B6:$Y6)+'Model Setup'!$K$8*(SUMIF($AD$3:$BA$3,"&lt;"&amp;$DF6,$B6:$Y6)+SUMIF($AD$3:$BA$3,"&gt;="&amp;$DG6,$B6:$Y6)),
IF(AK$3=$DF6+'Model Setup'!$L$7,SUMIF($AD$3:$BA$3,"="&amp;$DF6+'Model Setup'!$L$7,$B6:$Y6)+'Model Setup'!$L$8*(SUMIF($AD$3:$BA$3,"&lt;"&amp;$DF6,$B6:$Y6)+SUMIF($AD$3:$BA$3,"&gt;="&amp;$DG6,$B6:$Y6)),
IF(AK$3=$DF6+'Model Setup'!$M$7,SUMIF($AD$3:$BA$3,"="&amp;$DF6+'Model Setup'!$M$7,$B6:$Y6)+'Model Setup'!$M$8*(SUMIF($AD$3:$BA$3,"&lt;"&amp;$DF6,$B6:$Y6)+SUMIF($AD$3:$BA$3,"&gt;="&amp;$DG6,$B6:$Y6)),
IF(AK$3=$DF6+'Model Setup'!$N$7,SUMIF($AD$3:$BA$3,"="&amp;$DF6+'Model Setup'!$N$7,$B6:$Y6)+'Model Setup'!$N$8*(SUMIF($AD$3:$BA$3,"&lt;"&amp;$DF6,$B6:$Y6)+SUMIF($AD$3:$BA$3,"&gt;="&amp;$DG6,$B6:$Y6)),
IF(AK$3&lt;$DG6,I6,0))))))))))))))),0)</f>
        <v>66</v>
      </c>
      <c r="AL6" s="47">
        <f>ROUND(IF(AL$3&lt;$DF6,0,
IF(AL$3=$DF6+'Model Setup'!$B$7,SUMIF($AD$3:$BA$3,"="&amp;$DF6+'Model Setup'!$B$7,$B6:$Y6)+'Model Setup'!$B$8*(SUMIF($AD$3:$BA$3,"&lt;"&amp;$DF6,$B6:$Y6)+SUMIF($AD$3:$BA$3,"&gt;="&amp;$DG6,$B6:$Y6)),
IF(AL$3=$DF6+'Model Setup'!$C$7,SUMIF($AD$3:$BA$3,"="&amp;$DF6+'Model Setup'!$C$7,$B6:$Y6)+'Model Setup'!$C$8*(SUMIF($AD$3:$BA$3,"&lt;"&amp;$DF6,$B6:$Y6)+SUMIF($AD$3:$BA$3,"&gt;="&amp;$DG6,$B6:$Y6)),
IF(AL$3=$DF6+'Model Setup'!$D$7,SUMIF($AD$3:$BA$3,"="&amp;$DF6+'Model Setup'!$D$7,$B6:$Y6)+'Model Setup'!$D$8*(SUMIF($AD$3:$BA$3,"&lt;"&amp;$DF6,$B6:$Y6)+SUMIF($AD$3:$BA$3,"&gt;="&amp;$DG6,$B6:$Y6)),
IF(AL$3=$DF6+'Model Setup'!$E$7,SUMIF($AD$3:$BA$3,"="&amp;$DF6+'Model Setup'!$E$7,$B6:$Y6)+'Model Setup'!$E$8*(SUMIF($AD$3:$BA$3,"&lt;"&amp;$DF6,$B6:$Y6)+SUMIF($AD$3:$BA$3,"&gt;="&amp;$DG6,$B6:$Y6)),
IF(AL$3=$DF6+'Model Setup'!$F$7,SUMIF($AD$3:$BA$3,"="&amp;$DF6+'Model Setup'!$F$7,$B6:$Y6)+'Model Setup'!$F$8*(SUMIF($AD$3:$BA$3,"&lt;"&amp;$DF6,$B6:$Y6)+SUMIF($AD$3:$BA$3,"&gt;="&amp;$DG6,$B6:$Y6)),
IF(AL$3=$DF6+'Model Setup'!$G$7,SUMIF($AD$3:$BA$3,"="&amp;$DF6+'Model Setup'!$G$7,$B6:$Y6)+'Model Setup'!$G$8*(SUMIF($AD$3:$BA$3,"&lt;"&amp;$DF6,$B6:$Y6)+SUMIF($AD$3:$BA$3,"&gt;="&amp;$DG6,$B6:$Y6)),
IF(AL$3=$DF6+'Model Setup'!$H$7,SUMIF($AD$3:$BA$3,"="&amp;$DF6+'Model Setup'!$H$7,$B6:$Y6)+'Model Setup'!$H$8*(SUMIF($AD$3:$BA$3,"&lt;"&amp;$DF6,$B6:$Y6)+SUMIF($AD$3:$BA$3,"&gt;="&amp;$DG6,$B6:$Y6)),
IF(AL$3=$DF6+'Model Setup'!$I$7,SUMIF($AD$3:$BA$3,"="&amp;$DF6+'Model Setup'!$I$7,$B6:$Y6)+'Model Setup'!$I$8*(SUMIF($AD$3:$BA$3,"&lt;"&amp;$DF6,$B6:$Y6)+SUMIF($AD$3:$BA$3,"&gt;="&amp;$DG6,$B6:$Y6)),
IF(AL$3=$DF6+'Model Setup'!$J$7,SUMIF($AD$3:$BA$3,"="&amp;$DF6+'Model Setup'!$J$7,$B6:$Y6)+'Model Setup'!$J$8*(SUMIF($AD$3:$BA$3,"&lt;"&amp;$DF6,$B6:$Y6)+SUMIF($AD$3:$BA$3,"&gt;="&amp;$DG6,$B6:$Y6)),
IF(AL$3=$DF6+'Model Setup'!$K$7,SUMIF($AD$3:$BA$3,"="&amp;$DF6+'Model Setup'!$K$7,$B6:$Y6)+'Model Setup'!$K$8*(SUMIF($AD$3:$BA$3,"&lt;"&amp;$DF6,$B6:$Y6)+SUMIF($AD$3:$BA$3,"&gt;="&amp;$DG6,$B6:$Y6)),
IF(AL$3=$DF6+'Model Setup'!$L$7,SUMIF($AD$3:$BA$3,"="&amp;$DF6+'Model Setup'!$L$7,$B6:$Y6)+'Model Setup'!$L$8*(SUMIF($AD$3:$BA$3,"&lt;"&amp;$DF6,$B6:$Y6)+SUMIF($AD$3:$BA$3,"&gt;="&amp;$DG6,$B6:$Y6)),
IF(AL$3=$DF6+'Model Setup'!$M$7,SUMIF($AD$3:$BA$3,"="&amp;$DF6+'Model Setup'!$M$7,$B6:$Y6)+'Model Setup'!$M$8*(SUMIF($AD$3:$BA$3,"&lt;"&amp;$DF6,$B6:$Y6)+SUMIF($AD$3:$BA$3,"&gt;="&amp;$DG6,$B6:$Y6)),
IF(AL$3=$DF6+'Model Setup'!$N$7,SUMIF($AD$3:$BA$3,"="&amp;$DF6+'Model Setup'!$N$7,$B6:$Y6)+'Model Setup'!$N$8*(SUMIF($AD$3:$BA$3,"&lt;"&amp;$DF6,$B6:$Y6)+SUMIF($AD$3:$BA$3,"&gt;="&amp;$DG6,$B6:$Y6)),
IF(AL$3&lt;$DG6,J6,0))))))))))))))),0)</f>
        <v>54</v>
      </c>
      <c r="AM6" s="47">
        <f>ROUND(IF(AM$3&lt;$DF6,0,
IF(AM$3=$DF6+'Model Setup'!$B$7,SUMIF($AD$3:$BA$3,"="&amp;$DF6+'Model Setup'!$B$7,$B6:$Y6)+'Model Setup'!$B$8*(SUMIF($AD$3:$BA$3,"&lt;"&amp;$DF6,$B6:$Y6)+SUMIF($AD$3:$BA$3,"&gt;="&amp;$DG6,$B6:$Y6)),
IF(AM$3=$DF6+'Model Setup'!$C$7,SUMIF($AD$3:$BA$3,"="&amp;$DF6+'Model Setup'!$C$7,$B6:$Y6)+'Model Setup'!$C$8*(SUMIF($AD$3:$BA$3,"&lt;"&amp;$DF6,$B6:$Y6)+SUMIF($AD$3:$BA$3,"&gt;="&amp;$DG6,$B6:$Y6)),
IF(AM$3=$DF6+'Model Setup'!$D$7,SUMIF($AD$3:$BA$3,"="&amp;$DF6+'Model Setup'!$D$7,$B6:$Y6)+'Model Setup'!$D$8*(SUMIF($AD$3:$BA$3,"&lt;"&amp;$DF6,$B6:$Y6)+SUMIF($AD$3:$BA$3,"&gt;="&amp;$DG6,$B6:$Y6)),
IF(AM$3=$DF6+'Model Setup'!$E$7,SUMIF($AD$3:$BA$3,"="&amp;$DF6+'Model Setup'!$E$7,$B6:$Y6)+'Model Setup'!$E$8*(SUMIF($AD$3:$BA$3,"&lt;"&amp;$DF6,$B6:$Y6)+SUMIF($AD$3:$BA$3,"&gt;="&amp;$DG6,$B6:$Y6)),
IF(AM$3=$DF6+'Model Setup'!$F$7,SUMIF($AD$3:$BA$3,"="&amp;$DF6+'Model Setup'!$F$7,$B6:$Y6)+'Model Setup'!$F$8*(SUMIF($AD$3:$BA$3,"&lt;"&amp;$DF6,$B6:$Y6)+SUMIF($AD$3:$BA$3,"&gt;="&amp;$DG6,$B6:$Y6)),
IF(AM$3=$DF6+'Model Setup'!$G$7,SUMIF($AD$3:$BA$3,"="&amp;$DF6+'Model Setup'!$G$7,$B6:$Y6)+'Model Setup'!$G$8*(SUMIF($AD$3:$BA$3,"&lt;"&amp;$DF6,$B6:$Y6)+SUMIF($AD$3:$BA$3,"&gt;="&amp;$DG6,$B6:$Y6)),
IF(AM$3=$DF6+'Model Setup'!$H$7,SUMIF($AD$3:$BA$3,"="&amp;$DF6+'Model Setup'!$H$7,$B6:$Y6)+'Model Setup'!$H$8*(SUMIF($AD$3:$BA$3,"&lt;"&amp;$DF6,$B6:$Y6)+SUMIF($AD$3:$BA$3,"&gt;="&amp;$DG6,$B6:$Y6)),
IF(AM$3=$DF6+'Model Setup'!$I$7,SUMIF($AD$3:$BA$3,"="&amp;$DF6+'Model Setup'!$I$7,$B6:$Y6)+'Model Setup'!$I$8*(SUMIF($AD$3:$BA$3,"&lt;"&amp;$DF6,$B6:$Y6)+SUMIF($AD$3:$BA$3,"&gt;="&amp;$DG6,$B6:$Y6)),
IF(AM$3=$DF6+'Model Setup'!$J$7,SUMIF($AD$3:$BA$3,"="&amp;$DF6+'Model Setup'!$J$7,$B6:$Y6)+'Model Setup'!$J$8*(SUMIF($AD$3:$BA$3,"&lt;"&amp;$DF6,$B6:$Y6)+SUMIF($AD$3:$BA$3,"&gt;="&amp;$DG6,$B6:$Y6)),
IF(AM$3=$DF6+'Model Setup'!$K$7,SUMIF($AD$3:$BA$3,"="&amp;$DF6+'Model Setup'!$K$7,$B6:$Y6)+'Model Setup'!$K$8*(SUMIF($AD$3:$BA$3,"&lt;"&amp;$DF6,$B6:$Y6)+SUMIF($AD$3:$BA$3,"&gt;="&amp;$DG6,$B6:$Y6)),
IF(AM$3=$DF6+'Model Setup'!$L$7,SUMIF($AD$3:$BA$3,"="&amp;$DF6+'Model Setup'!$L$7,$B6:$Y6)+'Model Setup'!$L$8*(SUMIF($AD$3:$BA$3,"&lt;"&amp;$DF6,$B6:$Y6)+SUMIF($AD$3:$BA$3,"&gt;="&amp;$DG6,$B6:$Y6)),
IF(AM$3=$DF6+'Model Setup'!$M$7,SUMIF($AD$3:$BA$3,"="&amp;$DF6+'Model Setup'!$M$7,$B6:$Y6)+'Model Setup'!$M$8*(SUMIF($AD$3:$BA$3,"&lt;"&amp;$DF6,$B6:$Y6)+SUMIF($AD$3:$BA$3,"&gt;="&amp;$DG6,$B6:$Y6)),
IF(AM$3=$DF6+'Model Setup'!$N$7,SUMIF($AD$3:$BA$3,"="&amp;$DF6+'Model Setup'!$N$7,$B6:$Y6)+'Model Setup'!$N$8*(SUMIF($AD$3:$BA$3,"&lt;"&amp;$DF6,$B6:$Y6)+SUMIF($AD$3:$BA$3,"&gt;="&amp;$DG6,$B6:$Y6)),
IF(AM$3&lt;$DG6,K6,0))))))))))))))),0)</f>
        <v>57</v>
      </c>
      <c r="AN6" s="47">
        <f>ROUND(IF(AN$3&lt;$DF6,0,
IF(AN$3=$DF6+'Model Setup'!$B$7,SUMIF($AD$3:$BA$3,"="&amp;$DF6+'Model Setup'!$B$7,$B6:$Y6)+'Model Setup'!$B$8*(SUMIF($AD$3:$BA$3,"&lt;"&amp;$DF6,$B6:$Y6)+SUMIF($AD$3:$BA$3,"&gt;="&amp;$DG6,$B6:$Y6)),
IF(AN$3=$DF6+'Model Setup'!$C$7,SUMIF($AD$3:$BA$3,"="&amp;$DF6+'Model Setup'!$C$7,$B6:$Y6)+'Model Setup'!$C$8*(SUMIF($AD$3:$BA$3,"&lt;"&amp;$DF6,$B6:$Y6)+SUMIF($AD$3:$BA$3,"&gt;="&amp;$DG6,$B6:$Y6)),
IF(AN$3=$DF6+'Model Setup'!$D$7,SUMIF($AD$3:$BA$3,"="&amp;$DF6+'Model Setup'!$D$7,$B6:$Y6)+'Model Setup'!$D$8*(SUMIF($AD$3:$BA$3,"&lt;"&amp;$DF6,$B6:$Y6)+SUMIF($AD$3:$BA$3,"&gt;="&amp;$DG6,$B6:$Y6)),
IF(AN$3=$DF6+'Model Setup'!$E$7,SUMIF($AD$3:$BA$3,"="&amp;$DF6+'Model Setup'!$E$7,$B6:$Y6)+'Model Setup'!$E$8*(SUMIF($AD$3:$BA$3,"&lt;"&amp;$DF6,$B6:$Y6)+SUMIF($AD$3:$BA$3,"&gt;="&amp;$DG6,$B6:$Y6)),
IF(AN$3=$DF6+'Model Setup'!$F$7,SUMIF($AD$3:$BA$3,"="&amp;$DF6+'Model Setup'!$F$7,$B6:$Y6)+'Model Setup'!$F$8*(SUMIF($AD$3:$BA$3,"&lt;"&amp;$DF6,$B6:$Y6)+SUMIF($AD$3:$BA$3,"&gt;="&amp;$DG6,$B6:$Y6)),
IF(AN$3=$DF6+'Model Setup'!$G$7,SUMIF($AD$3:$BA$3,"="&amp;$DF6+'Model Setup'!$G$7,$B6:$Y6)+'Model Setup'!$G$8*(SUMIF($AD$3:$BA$3,"&lt;"&amp;$DF6,$B6:$Y6)+SUMIF($AD$3:$BA$3,"&gt;="&amp;$DG6,$B6:$Y6)),
IF(AN$3=$DF6+'Model Setup'!$H$7,SUMIF($AD$3:$BA$3,"="&amp;$DF6+'Model Setup'!$H$7,$B6:$Y6)+'Model Setup'!$H$8*(SUMIF($AD$3:$BA$3,"&lt;"&amp;$DF6,$B6:$Y6)+SUMIF($AD$3:$BA$3,"&gt;="&amp;$DG6,$B6:$Y6)),
IF(AN$3=$DF6+'Model Setup'!$I$7,SUMIF($AD$3:$BA$3,"="&amp;$DF6+'Model Setup'!$I$7,$B6:$Y6)+'Model Setup'!$I$8*(SUMIF($AD$3:$BA$3,"&lt;"&amp;$DF6,$B6:$Y6)+SUMIF($AD$3:$BA$3,"&gt;="&amp;$DG6,$B6:$Y6)),
IF(AN$3=$DF6+'Model Setup'!$J$7,SUMIF($AD$3:$BA$3,"="&amp;$DF6+'Model Setup'!$J$7,$B6:$Y6)+'Model Setup'!$J$8*(SUMIF($AD$3:$BA$3,"&lt;"&amp;$DF6,$B6:$Y6)+SUMIF($AD$3:$BA$3,"&gt;="&amp;$DG6,$B6:$Y6)),
IF(AN$3=$DF6+'Model Setup'!$K$7,SUMIF($AD$3:$BA$3,"="&amp;$DF6+'Model Setup'!$K$7,$B6:$Y6)+'Model Setup'!$K$8*(SUMIF($AD$3:$BA$3,"&lt;"&amp;$DF6,$B6:$Y6)+SUMIF($AD$3:$BA$3,"&gt;="&amp;$DG6,$B6:$Y6)),
IF(AN$3=$DF6+'Model Setup'!$L$7,SUMIF($AD$3:$BA$3,"="&amp;$DF6+'Model Setup'!$L$7,$B6:$Y6)+'Model Setup'!$L$8*(SUMIF($AD$3:$BA$3,"&lt;"&amp;$DF6,$B6:$Y6)+SUMIF($AD$3:$BA$3,"&gt;="&amp;$DG6,$B6:$Y6)),
IF(AN$3=$DF6+'Model Setup'!$M$7,SUMIF($AD$3:$BA$3,"="&amp;$DF6+'Model Setup'!$M$7,$B6:$Y6)+'Model Setup'!$M$8*(SUMIF($AD$3:$BA$3,"&lt;"&amp;$DF6,$B6:$Y6)+SUMIF($AD$3:$BA$3,"&gt;="&amp;$DG6,$B6:$Y6)),
IF(AN$3=$DF6+'Model Setup'!$N$7,SUMIF($AD$3:$BA$3,"="&amp;$DF6+'Model Setup'!$N$7,$B6:$Y6)+'Model Setup'!$N$8*(SUMIF($AD$3:$BA$3,"&lt;"&amp;$DF6,$B6:$Y6)+SUMIF($AD$3:$BA$3,"&gt;="&amp;$DG6,$B6:$Y6)),
IF(AN$3&lt;$DG6,L6,0))))))))))))))),0)</f>
        <v>54</v>
      </c>
      <c r="AO6" s="47">
        <f>ROUND(IF(AO$3&lt;$DF6,0,
IF(AO$3=$DF6+'Model Setup'!$B$7,SUMIF($AD$3:$BA$3,"="&amp;$DF6+'Model Setup'!$B$7,$B6:$Y6)+'Model Setup'!$B$8*(SUMIF($AD$3:$BA$3,"&lt;"&amp;$DF6,$B6:$Y6)+SUMIF($AD$3:$BA$3,"&gt;="&amp;$DG6,$B6:$Y6)),
IF(AO$3=$DF6+'Model Setup'!$C$7,SUMIF($AD$3:$BA$3,"="&amp;$DF6+'Model Setup'!$C$7,$B6:$Y6)+'Model Setup'!$C$8*(SUMIF($AD$3:$BA$3,"&lt;"&amp;$DF6,$B6:$Y6)+SUMIF($AD$3:$BA$3,"&gt;="&amp;$DG6,$B6:$Y6)),
IF(AO$3=$DF6+'Model Setup'!$D$7,SUMIF($AD$3:$BA$3,"="&amp;$DF6+'Model Setup'!$D$7,$B6:$Y6)+'Model Setup'!$D$8*(SUMIF($AD$3:$BA$3,"&lt;"&amp;$DF6,$B6:$Y6)+SUMIF($AD$3:$BA$3,"&gt;="&amp;$DG6,$B6:$Y6)),
IF(AO$3=$DF6+'Model Setup'!$E$7,SUMIF($AD$3:$BA$3,"="&amp;$DF6+'Model Setup'!$E$7,$B6:$Y6)+'Model Setup'!$E$8*(SUMIF($AD$3:$BA$3,"&lt;"&amp;$DF6,$B6:$Y6)+SUMIF($AD$3:$BA$3,"&gt;="&amp;$DG6,$B6:$Y6)),
IF(AO$3=$DF6+'Model Setup'!$F$7,SUMIF($AD$3:$BA$3,"="&amp;$DF6+'Model Setup'!$F$7,$B6:$Y6)+'Model Setup'!$F$8*(SUMIF($AD$3:$BA$3,"&lt;"&amp;$DF6,$B6:$Y6)+SUMIF($AD$3:$BA$3,"&gt;="&amp;$DG6,$B6:$Y6)),
IF(AO$3=$DF6+'Model Setup'!$G$7,SUMIF($AD$3:$BA$3,"="&amp;$DF6+'Model Setup'!$G$7,$B6:$Y6)+'Model Setup'!$G$8*(SUMIF($AD$3:$BA$3,"&lt;"&amp;$DF6,$B6:$Y6)+SUMIF($AD$3:$BA$3,"&gt;="&amp;$DG6,$B6:$Y6)),
IF(AO$3=$DF6+'Model Setup'!$H$7,SUMIF($AD$3:$BA$3,"="&amp;$DF6+'Model Setup'!$H$7,$B6:$Y6)+'Model Setup'!$H$8*(SUMIF($AD$3:$BA$3,"&lt;"&amp;$DF6,$B6:$Y6)+SUMIF($AD$3:$BA$3,"&gt;="&amp;$DG6,$B6:$Y6)),
IF(AO$3=$DF6+'Model Setup'!$I$7,SUMIF($AD$3:$BA$3,"="&amp;$DF6+'Model Setup'!$I$7,$B6:$Y6)+'Model Setup'!$I$8*(SUMIF($AD$3:$BA$3,"&lt;"&amp;$DF6,$B6:$Y6)+SUMIF($AD$3:$BA$3,"&gt;="&amp;$DG6,$B6:$Y6)),
IF(AO$3=$DF6+'Model Setup'!$J$7,SUMIF($AD$3:$BA$3,"="&amp;$DF6+'Model Setup'!$J$7,$B6:$Y6)+'Model Setup'!$J$8*(SUMIF($AD$3:$BA$3,"&lt;"&amp;$DF6,$B6:$Y6)+SUMIF($AD$3:$BA$3,"&gt;="&amp;$DG6,$B6:$Y6)),
IF(AO$3=$DF6+'Model Setup'!$K$7,SUMIF($AD$3:$BA$3,"="&amp;$DF6+'Model Setup'!$K$7,$B6:$Y6)+'Model Setup'!$K$8*(SUMIF($AD$3:$BA$3,"&lt;"&amp;$DF6,$B6:$Y6)+SUMIF($AD$3:$BA$3,"&gt;="&amp;$DG6,$B6:$Y6)),
IF(AO$3=$DF6+'Model Setup'!$L$7,SUMIF($AD$3:$BA$3,"="&amp;$DF6+'Model Setup'!$L$7,$B6:$Y6)+'Model Setup'!$L$8*(SUMIF($AD$3:$BA$3,"&lt;"&amp;$DF6,$B6:$Y6)+SUMIF($AD$3:$BA$3,"&gt;="&amp;$DG6,$B6:$Y6)),
IF(AO$3=$DF6+'Model Setup'!$M$7,SUMIF($AD$3:$BA$3,"="&amp;$DF6+'Model Setup'!$M$7,$B6:$Y6)+'Model Setup'!$M$8*(SUMIF($AD$3:$BA$3,"&lt;"&amp;$DF6,$B6:$Y6)+SUMIF($AD$3:$BA$3,"&gt;="&amp;$DG6,$B6:$Y6)),
IF(AO$3=$DF6+'Model Setup'!$N$7,SUMIF($AD$3:$BA$3,"="&amp;$DF6+'Model Setup'!$N$7,$B6:$Y6)+'Model Setup'!$N$8*(SUMIF($AD$3:$BA$3,"&lt;"&amp;$DF6,$B6:$Y6)+SUMIF($AD$3:$BA$3,"&gt;="&amp;$DG6,$B6:$Y6)),
IF(AO$3&lt;$DG6,M6,0))))))))))))))),0)</f>
        <v>34</v>
      </c>
      <c r="AP6" s="47">
        <f>ROUND(IF(AP$3&lt;$DF6,0,
IF(AP$3=$DF6+'Model Setup'!$B$7,SUMIF($AD$3:$BA$3,"="&amp;$DF6+'Model Setup'!$B$7,$B6:$Y6)+'Model Setup'!$B$8*(SUMIF($AD$3:$BA$3,"&lt;"&amp;$DF6,$B6:$Y6)+SUMIF($AD$3:$BA$3,"&gt;="&amp;$DG6,$B6:$Y6)),
IF(AP$3=$DF6+'Model Setup'!$C$7,SUMIF($AD$3:$BA$3,"="&amp;$DF6+'Model Setup'!$C$7,$B6:$Y6)+'Model Setup'!$C$8*(SUMIF($AD$3:$BA$3,"&lt;"&amp;$DF6,$B6:$Y6)+SUMIF($AD$3:$BA$3,"&gt;="&amp;$DG6,$B6:$Y6)),
IF(AP$3=$DF6+'Model Setup'!$D$7,SUMIF($AD$3:$BA$3,"="&amp;$DF6+'Model Setup'!$D$7,$B6:$Y6)+'Model Setup'!$D$8*(SUMIF($AD$3:$BA$3,"&lt;"&amp;$DF6,$B6:$Y6)+SUMIF($AD$3:$BA$3,"&gt;="&amp;$DG6,$B6:$Y6)),
IF(AP$3=$DF6+'Model Setup'!$E$7,SUMIF($AD$3:$BA$3,"="&amp;$DF6+'Model Setup'!$E$7,$B6:$Y6)+'Model Setup'!$E$8*(SUMIF($AD$3:$BA$3,"&lt;"&amp;$DF6,$B6:$Y6)+SUMIF($AD$3:$BA$3,"&gt;="&amp;$DG6,$B6:$Y6)),
IF(AP$3=$DF6+'Model Setup'!$F$7,SUMIF($AD$3:$BA$3,"="&amp;$DF6+'Model Setup'!$F$7,$B6:$Y6)+'Model Setup'!$F$8*(SUMIF($AD$3:$BA$3,"&lt;"&amp;$DF6,$B6:$Y6)+SUMIF($AD$3:$BA$3,"&gt;="&amp;$DG6,$B6:$Y6)),
IF(AP$3=$DF6+'Model Setup'!$G$7,SUMIF($AD$3:$BA$3,"="&amp;$DF6+'Model Setup'!$G$7,$B6:$Y6)+'Model Setup'!$G$8*(SUMIF($AD$3:$BA$3,"&lt;"&amp;$DF6,$B6:$Y6)+SUMIF($AD$3:$BA$3,"&gt;="&amp;$DG6,$B6:$Y6)),
IF(AP$3=$DF6+'Model Setup'!$H$7,SUMIF($AD$3:$BA$3,"="&amp;$DF6+'Model Setup'!$H$7,$B6:$Y6)+'Model Setup'!$H$8*(SUMIF($AD$3:$BA$3,"&lt;"&amp;$DF6,$B6:$Y6)+SUMIF($AD$3:$BA$3,"&gt;="&amp;$DG6,$B6:$Y6)),
IF(AP$3=$DF6+'Model Setup'!$I$7,SUMIF($AD$3:$BA$3,"="&amp;$DF6+'Model Setup'!$I$7,$B6:$Y6)+'Model Setup'!$I$8*(SUMIF($AD$3:$BA$3,"&lt;"&amp;$DF6,$B6:$Y6)+SUMIF($AD$3:$BA$3,"&gt;="&amp;$DG6,$B6:$Y6)),
IF(AP$3=$DF6+'Model Setup'!$J$7,SUMIF($AD$3:$BA$3,"="&amp;$DF6+'Model Setup'!$J$7,$B6:$Y6)+'Model Setup'!$J$8*(SUMIF($AD$3:$BA$3,"&lt;"&amp;$DF6,$B6:$Y6)+SUMIF($AD$3:$BA$3,"&gt;="&amp;$DG6,$B6:$Y6)),
IF(AP$3=$DF6+'Model Setup'!$K$7,SUMIF($AD$3:$BA$3,"="&amp;$DF6+'Model Setup'!$K$7,$B6:$Y6)+'Model Setup'!$K$8*(SUMIF($AD$3:$BA$3,"&lt;"&amp;$DF6,$B6:$Y6)+SUMIF($AD$3:$BA$3,"&gt;="&amp;$DG6,$B6:$Y6)),
IF(AP$3=$DF6+'Model Setup'!$L$7,SUMIF($AD$3:$BA$3,"="&amp;$DF6+'Model Setup'!$L$7,$B6:$Y6)+'Model Setup'!$L$8*(SUMIF($AD$3:$BA$3,"&lt;"&amp;$DF6,$B6:$Y6)+SUMIF($AD$3:$BA$3,"&gt;="&amp;$DG6,$B6:$Y6)),
IF(AP$3=$DF6+'Model Setup'!$M$7,SUMIF($AD$3:$BA$3,"="&amp;$DF6+'Model Setup'!$M$7,$B6:$Y6)+'Model Setup'!$M$8*(SUMIF($AD$3:$BA$3,"&lt;"&amp;$DF6,$B6:$Y6)+SUMIF($AD$3:$BA$3,"&gt;="&amp;$DG6,$B6:$Y6)),
IF(AP$3=$DF6+'Model Setup'!$N$7,SUMIF($AD$3:$BA$3,"="&amp;$DF6+'Model Setup'!$N$7,$B6:$Y6)+'Model Setup'!$N$8*(SUMIF($AD$3:$BA$3,"&lt;"&amp;$DF6,$B6:$Y6)+SUMIF($AD$3:$BA$3,"&gt;="&amp;$DG6,$B6:$Y6)),
IF(AP$3&lt;$DG6,N6,0))))))))))))))),0)</f>
        <v>24</v>
      </c>
      <c r="AQ6" s="47">
        <f>ROUND(IF(AQ$3&lt;$DF6,0,
IF(AQ$3=$DF6+'Model Setup'!$B$7,SUMIF($AD$3:$BA$3,"="&amp;$DF6+'Model Setup'!$B$7,$B6:$Y6)+'Model Setup'!$B$8*(SUMIF($AD$3:$BA$3,"&lt;"&amp;$DF6,$B6:$Y6)+SUMIF($AD$3:$BA$3,"&gt;="&amp;$DG6,$B6:$Y6)),
IF(AQ$3=$DF6+'Model Setup'!$C$7,SUMIF($AD$3:$BA$3,"="&amp;$DF6+'Model Setup'!$C$7,$B6:$Y6)+'Model Setup'!$C$8*(SUMIF($AD$3:$BA$3,"&lt;"&amp;$DF6,$B6:$Y6)+SUMIF($AD$3:$BA$3,"&gt;="&amp;$DG6,$B6:$Y6)),
IF(AQ$3=$DF6+'Model Setup'!$D$7,SUMIF($AD$3:$BA$3,"="&amp;$DF6+'Model Setup'!$D$7,$B6:$Y6)+'Model Setup'!$D$8*(SUMIF($AD$3:$BA$3,"&lt;"&amp;$DF6,$B6:$Y6)+SUMIF($AD$3:$BA$3,"&gt;="&amp;$DG6,$B6:$Y6)),
IF(AQ$3=$DF6+'Model Setup'!$E$7,SUMIF($AD$3:$BA$3,"="&amp;$DF6+'Model Setup'!$E$7,$B6:$Y6)+'Model Setup'!$E$8*(SUMIF($AD$3:$BA$3,"&lt;"&amp;$DF6,$B6:$Y6)+SUMIF($AD$3:$BA$3,"&gt;="&amp;$DG6,$B6:$Y6)),
IF(AQ$3=$DF6+'Model Setup'!$F$7,SUMIF($AD$3:$BA$3,"="&amp;$DF6+'Model Setup'!$F$7,$B6:$Y6)+'Model Setup'!$F$8*(SUMIF($AD$3:$BA$3,"&lt;"&amp;$DF6,$B6:$Y6)+SUMIF($AD$3:$BA$3,"&gt;="&amp;$DG6,$B6:$Y6)),
IF(AQ$3=$DF6+'Model Setup'!$G$7,SUMIF($AD$3:$BA$3,"="&amp;$DF6+'Model Setup'!$G$7,$B6:$Y6)+'Model Setup'!$G$8*(SUMIF($AD$3:$BA$3,"&lt;"&amp;$DF6,$B6:$Y6)+SUMIF($AD$3:$BA$3,"&gt;="&amp;$DG6,$B6:$Y6)),
IF(AQ$3=$DF6+'Model Setup'!$H$7,SUMIF($AD$3:$BA$3,"="&amp;$DF6+'Model Setup'!$H$7,$B6:$Y6)+'Model Setup'!$H$8*(SUMIF($AD$3:$BA$3,"&lt;"&amp;$DF6,$B6:$Y6)+SUMIF($AD$3:$BA$3,"&gt;="&amp;$DG6,$B6:$Y6)),
IF(AQ$3=$DF6+'Model Setup'!$I$7,SUMIF($AD$3:$BA$3,"="&amp;$DF6+'Model Setup'!$I$7,$B6:$Y6)+'Model Setup'!$I$8*(SUMIF($AD$3:$BA$3,"&lt;"&amp;$DF6,$B6:$Y6)+SUMIF($AD$3:$BA$3,"&gt;="&amp;$DG6,$B6:$Y6)),
IF(AQ$3=$DF6+'Model Setup'!$J$7,SUMIF($AD$3:$BA$3,"="&amp;$DF6+'Model Setup'!$J$7,$B6:$Y6)+'Model Setup'!$J$8*(SUMIF($AD$3:$BA$3,"&lt;"&amp;$DF6,$B6:$Y6)+SUMIF($AD$3:$BA$3,"&gt;="&amp;$DG6,$B6:$Y6)),
IF(AQ$3=$DF6+'Model Setup'!$K$7,SUMIF($AD$3:$BA$3,"="&amp;$DF6+'Model Setup'!$K$7,$B6:$Y6)+'Model Setup'!$K$8*(SUMIF($AD$3:$BA$3,"&lt;"&amp;$DF6,$B6:$Y6)+SUMIF($AD$3:$BA$3,"&gt;="&amp;$DG6,$B6:$Y6)),
IF(AQ$3=$DF6+'Model Setup'!$L$7,SUMIF($AD$3:$BA$3,"="&amp;$DF6+'Model Setup'!$L$7,$B6:$Y6)+'Model Setup'!$L$8*(SUMIF($AD$3:$BA$3,"&lt;"&amp;$DF6,$B6:$Y6)+SUMIF($AD$3:$BA$3,"&gt;="&amp;$DG6,$B6:$Y6)),
IF(AQ$3=$DF6+'Model Setup'!$M$7,SUMIF($AD$3:$BA$3,"="&amp;$DF6+'Model Setup'!$M$7,$B6:$Y6)+'Model Setup'!$M$8*(SUMIF($AD$3:$BA$3,"&lt;"&amp;$DF6,$B6:$Y6)+SUMIF($AD$3:$BA$3,"&gt;="&amp;$DG6,$B6:$Y6)),
IF(AQ$3=$DF6+'Model Setup'!$N$7,SUMIF($AD$3:$BA$3,"="&amp;$DF6+'Model Setup'!$N$7,$B6:$Y6)+'Model Setup'!$N$8*(SUMIF($AD$3:$BA$3,"&lt;"&amp;$DF6,$B6:$Y6)+SUMIF($AD$3:$BA$3,"&gt;="&amp;$DG6,$B6:$Y6)),
IF(AQ$3&lt;$DG6,O6,0))))))))))))))),0)</f>
        <v>35</v>
      </c>
      <c r="AR6" s="47">
        <f>ROUND(IF(AR$3&lt;$DF6,0,
IF(AR$3=$DF6+'Model Setup'!$B$7,SUMIF($AD$3:$BA$3,"="&amp;$DF6+'Model Setup'!$B$7,$B6:$Y6)+'Model Setup'!$B$8*(SUMIF($AD$3:$BA$3,"&lt;"&amp;$DF6,$B6:$Y6)+SUMIF($AD$3:$BA$3,"&gt;="&amp;$DG6,$B6:$Y6)),
IF(AR$3=$DF6+'Model Setup'!$C$7,SUMIF($AD$3:$BA$3,"="&amp;$DF6+'Model Setup'!$C$7,$B6:$Y6)+'Model Setup'!$C$8*(SUMIF($AD$3:$BA$3,"&lt;"&amp;$DF6,$B6:$Y6)+SUMIF($AD$3:$BA$3,"&gt;="&amp;$DG6,$B6:$Y6)),
IF(AR$3=$DF6+'Model Setup'!$D$7,SUMIF($AD$3:$BA$3,"="&amp;$DF6+'Model Setup'!$D$7,$B6:$Y6)+'Model Setup'!$D$8*(SUMIF($AD$3:$BA$3,"&lt;"&amp;$DF6,$B6:$Y6)+SUMIF($AD$3:$BA$3,"&gt;="&amp;$DG6,$B6:$Y6)),
IF(AR$3=$DF6+'Model Setup'!$E$7,SUMIF($AD$3:$BA$3,"="&amp;$DF6+'Model Setup'!$E$7,$B6:$Y6)+'Model Setup'!$E$8*(SUMIF($AD$3:$BA$3,"&lt;"&amp;$DF6,$B6:$Y6)+SUMIF($AD$3:$BA$3,"&gt;="&amp;$DG6,$B6:$Y6)),
IF(AR$3=$DF6+'Model Setup'!$F$7,SUMIF($AD$3:$BA$3,"="&amp;$DF6+'Model Setup'!$F$7,$B6:$Y6)+'Model Setup'!$F$8*(SUMIF($AD$3:$BA$3,"&lt;"&amp;$DF6,$B6:$Y6)+SUMIF($AD$3:$BA$3,"&gt;="&amp;$DG6,$B6:$Y6)),
IF(AR$3=$DF6+'Model Setup'!$G$7,SUMIF($AD$3:$BA$3,"="&amp;$DF6+'Model Setup'!$G$7,$B6:$Y6)+'Model Setup'!$G$8*(SUMIF($AD$3:$BA$3,"&lt;"&amp;$DF6,$B6:$Y6)+SUMIF($AD$3:$BA$3,"&gt;="&amp;$DG6,$B6:$Y6)),
IF(AR$3=$DF6+'Model Setup'!$H$7,SUMIF($AD$3:$BA$3,"="&amp;$DF6+'Model Setup'!$H$7,$B6:$Y6)+'Model Setup'!$H$8*(SUMIF($AD$3:$BA$3,"&lt;"&amp;$DF6,$B6:$Y6)+SUMIF($AD$3:$BA$3,"&gt;="&amp;$DG6,$B6:$Y6)),
IF(AR$3=$DF6+'Model Setup'!$I$7,SUMIF($AD$3:$BA$3,"="&amp;$DF6+'Model Setup'!$I$7,$B6:$Y6)+'Model Setup'!$I$8*(SUMIF($AD$3:$BA$3,"&lt;"&amp;$DF6,$B6:$Y6)+SUMIF($AD$3:$BA$3,"&gt;="&amp;$DG6,$B6:$Y6)),
IF(AR$3=$DF6+'Model Setup'!$J$7,SUMIF($AD$3:$BA$3,"="&amp;$DF6+'Model Setup'!$J$7,$B6:$Y6)+'Model Setup'!$J$8*(SUMIF($AD$3:$BA$3,"&lt;"&amp;$DF6,$B6:$Y6)+SUMIF($AD$3:$BA$3,"&gt;="&amp;$DG6,$B6:$Y6)),
IF(AR$3=$DF6+'Model Setup'!$K$7,SUMIF($AD$3:$BA$3,"="&amp;$DF6+'Model Setup'!$K$7,$B6:$Y6)+'Model Setup'!$K$8*(SUMIF($AD$3:$BA$3,"&lt;"&amp;$DF6,$B6:$Y6)+SUMIF($AD$3:$BA$3,"&gt;="&amp;$DG6,$B6:$Y6)),
IF(AR$3=$DF6+'Model Setup'!$L$7,SUMIF($AD$3:$BA$3,"="&amp;$DF6+'Model Setup'!$L$7,$B6:$Y6)+'Model Setup'!$L$8*(SUMIF($AD$3:$BA$3,"&lt;"&amp;$DF6,$B6:$Y6)+SUMIF($AD$3:$BA$3,"&gt;="&amp;$DG6,$B6:$Y6)),
IF(AR$3=$DF6+'Model Setup'!$M$7,SUMIF($AD$3:$BA$3,"="&amp;$DF6+'Model Setup'!$M$7,$B6:$Y6)+'Model Setup'!$M$8*(SUMIF($AD$3:$BA$3,"&lt;"&amp;$DF6,$B6:$Y6)+SUMIF($AD$3:$BA$3,"&gt;="&amp;$DG6,$B6:$Y6)),
IF(AR$3=$DF6+'Model Setup'!$N$7,SUMIF($AD$3:$BA$3,"="&amp;$DF6+'Model Setup'!$N$7,$B6:$Y6)+'Model Setup'!$N$8*(SUMIF($AD$3:$BA$3,"&lt;"&amp;$DF6,$B6:$Y6)+SUMIF($AD$3:$BA$3,"&gt;="&amp;$DG6,$B6:$Y6)),
IF(AR$3&lt;$DG6,P6,0))))))))))))))),0)</f>
        <v>24</v>
      </c>
      <c r="AS6" s="47">
        <f>ROUND(IF(AS$3&lt;$DF6,0,
IF(AS$3=$DF6+'Model Setup'!$B$7,SUMIF($AD$3:$BA$3,"="&amp;$DF6+'Model Setup'!$B$7,$B6:$Y6)+'Model Setup'!$B$8*(SUMIF($AD$3:$BA$3,"&lt;"&amp;$DF6,$B6:$Y6)+SUMIF($AD$3:$BA$3,"&gt;="&amp;$DG6,$B6:$Y6)),
IF(AS$3=$DF6+'Model Setup'!$C$7,SUMIF($AD$3:$BA$3,"="&amp;$DF6+'Model Setup'!$C$7,$B6:$Y6)+'Model Setup'!$C$8*(SUMIF($AD$3:$BA$3,"&lt;"&amp;$DF6,$B6:$Y6)+SUMIF($AD$3:$BA$3,"&gt;="&amp;$DG6,$B6:$Y6)),
IF(AS$3=$DF6+'Model Setup'!$D$7,SUMIF($AD$3:$BA$3,"="&amp;$DF6+'Model Setup'!$D$7,$B6:$Y6)+'Model Setup'!$D$8*(SUMIF($AD$3:$BA$3,"&lt;"&amp;$DF6,$B6:$Y6)+SUMIF($AD$3:$BA$3,"&gt;="&amp;$DG6,$B6:$Y6)),
IF(AS$3=$DF6+'Model Setup'!$E$7,SUMIF($AD$3:$BA$3,"="&amp;$DF6+'Model Setup'!$E$7,$B6:$Y6)+'Model Setup'!$E$8*(SUMIF($AD$3:$BA$3,"&lt;"&amp;$DF6,$B6:$Y6)+SUMIF($AD$3:$BA$3,"&gt;="&amp;$DG6,$B6:$Y6)),
IF(AS$3=$DF6+'Model Setup'!$F$7,SUMIF($AD$3:$BA$3,"="&amp;$DF6+'Model Setup'!$F$7,$B6:$Y6)+'Model Setup'!$F$8*(SUMIF($AD$3:$BA$3,"&lt;"&amp;$DF6,$B6:$Y6)+SUMIF($AD$3:$BA$3,"&gt;="&amp;$DG6,$B6:$Y6)),
IF(AS$3=$DF6+'Model Setup'!$G$7,SUMIF($AD$3:$BA$3,"="&amp;$DF6+'Model Setup'!$G$7,$B6:$Y6)+'Model Setup'!$G$8*(SUMIF($AD$3:$BA$3,"&lt;"&amp;$DF6,$B6:$Y6)+SUMIF($AD$3:$BA$3,"&gt;="&amp;$DG6,$B6:$Y6)),
IF(AS$3=$DF6+'Model Setup'!$H$7,SUMIF($AD$3:$BA$3,"="&amp;$DF6+'Model Setup'!$H$7,$B6:$Y6)+'Model Setup'!$H$8*(SUMIF($AD$3:$BA$3,"&lt;"&amp;$DF6,$B6:$Y6)+SUMIF($AD$3:$BA$3,"&gt;="&amp;$DG6,$B6:$Y6)),
IF(AS$3=$DF6+'Model Setup'!$I$7,SUMIF($AD$3:$BA$3,"="&amp;$DF6+'Model Setup'!$I$7,$B6:$Y6)+'Model Setup'!$I$8*(SUMIF($AD$3:$BA$3,"&lt;"&amp;$DF6,$B6:$Y6)+SUMIF($AD$3:$BA$3,"&gt;="&amp;$DG6,$B6:$Y6)),
IF(AS$3=$DF6+'Model Setup'!$J$7,SUMIF($AD$3:$BA$3,"="&amp;$DF6+'Model Setup'!$J$7,$B6:$Y6)+'Model Setup'!$J$8*(SUMIF($AD$3:$BA$3,"&lt;"&amp;$DF6,$B6:$Y6)+SUMIF($AD$3:$BA$3,"&gt;="&amp;$DG6,$B6:$Y6)),
IF(AS$3=$DF6+'Model Setup'!$K$7,SUMIF($AD$3:$BA$3,"="&amp;$DF6+'Model Setup'!$K$7,$B6:$Y6)+'Model Setup'!$K$8*(SUMIF($AD$3:$BA$3,"&lt;"&amp;$DF6,$B6:$Y6)+SUMIF($AD$3:$BA$3,"&gt;="&amp;$DG6,$B6:$Y6)),
IF(AS$3=$DF6+'Model Setup'!$L$7,SUMIF($AD$3:$BA$3,"="&amp;$DF6+'Model Setup'!$L$7,$B6:$Y6)+'Model Setup'!$L$8*(SUMIF($AD$3:$BA$3,"&lt;"&amp;$DF6,$B6:$Y6)+SUMIF($AD$3:$BA$3,"&gt;="&amp;$DG6,$B6:$Y6)),
IF(AS$3=$DF6+'Model Setup'!$M$7,SUMIF($AD$3:$BA$3,"="&amp;$DF6+'Model Setup'!$M$7,$B6:$Y6)+'Model Setup'!$M$8*(SUMIF($AD$3:$BA$3,"&lt;"&amp;$DF6,$B6:$Y6)+SUMIF($AD$3:$BA$3,"&gt;="&amp;$DG6,$B6:$Y6)),
IF(AS$3=$DF6+'Model Setup'!$N$7,SUMIF($AD$3:$BA$3,"="&amp;$DF6+'Model Setup'!$N$7,$B6:$Y6)+'Model Setup'!$N$8*(SUMIF($AD$3:$BA$3,"&lt;"&amp;$DF6,$B6:$Y6)+SUMIF($AD$3:$BA$3,"&gt;="&amp;$DG6,$B6:$Y6)),
IF(AS$3&lt;$DG6,Q6,0))))))))))))))),0)</f>
        <v>11</v>
      </c>
      <c r="AT6" s="47">
        <f>ROUND(IF(AT$3&lt;$DF6,0,
IF(AT$3=$DF6+'Model Setup'!$B$7,SUMIF($AD$3:$BA$3,"="&amp;$DF6+'Model Setup'!$B$7,$B6:$Y6)+'Model Setup'!$B$8*(SUMIF($AD$3:$BA$3,"&lt;"&amp;$DF6,$B6:$Y6)+SUMIF($AD$3:$BA$3,"&gt;="&amp;$DG6,$B6:$Y6)),
IF(AT$3=$DF6+'Model Setup'!$C$7,SUMIF($AD$3:$BA$3,"="&amp;$DF6+'Model Setup'!$C$7,$B6:$Y6)+'Model Setup'!$C$8*(SUMIF($AD$3:$BA$3,"&lt;"&amp;$DF6,$B6:$Y6)+SUMIF($AD$3:$BA$3,"&gt;="&amp;$DG6,$B6:$Y6)),
IF(AT$3=$DF6+'Model Setup'!$D$7,SUMIF($AD$3:$BA$3,"="&amp;$DF6+'Model Setup'!$D$7,$B6:$Y6)+'Model Setup'!$D$8*(SUMIF($AD$3:$BA$3,"&lt;"&amp;$DF6,$B6:$Y6)+SUMIF($AD$3:$BA$3,"&gt;="&amp;$DG6,$B6:$Y6)),
IF(AT$3=$DF6+'Model Setup'!$E$7,SUMIF($AD$3:$BA$3,"="&amp;$DF6+'Model Setup'!$E$7,$B6:$Y6)+'Model Setup'!$E$8*(SUMIF($AD$3:$BA$3,"&lt;"&amp;$DF6,$B6:$Y6)+SUMIF($AD$3:$BA$3,"&gt;="&amp;$DG6,$B6:$Y6)),
IF(AT$3=$DF6+'Model Setup'!$F$7,SUMIF($AD$3:$BA$3,"="&amp;$DF6+'Model Setup'!$F$7,$B6:$Y6)+'Model Setup'!$F$8*(SUMIF($AD$3:$BA$3,"&lt;"&amp;$DF6,$B6:$Y6)+SUMIF($AD$3:$BA$3,"&gt;="&amp;$DG6,$B6:$Y6)),
IF(AT$3=$DF6+'Model Setup'!$G$7,SUMIF($AD$3:$BA$3,"="&amp;$DF6+'Model Setup'!$G$7,$B6:$Y6)+'Model Setup'!$G$8*(SUMIF($AD$3:$BA$3,"&lt;"&amp;$DF6,$B6:$Y6)+SUMIF($AD$3:$BA$3,"&gt;="&amp;$DG6,$B6:$Y6)),
IF(AT$3=$DF6+'Model Setup'!$H$7,SUMIF($AD$3:$BA$3,"="&amp;$DF6+'Model Setup'!$H$7,$B6:$Y6)+'Model Setup'!$H$8*(SUMIF($AD$3:$BA$3,"&lt;"&amp;$DF6,$B6:$Y6)+SUMIF($AD$3:$BA$3,"&gt;="&amp;$DG6,$B6:$Y6)),
IF(AT$3=$DF6+'Model Setup'!$I$7,SUMIF($AD$3:$BA$3,"="&amp;$DF6+'Model Setup'!$I$7,$B6:$Y6)+'Model Setup'!$I$8*(SUMIF($AD$3:$BA$3,"&lt;"&amp;$DF6,$B6:$Y6)+SUMIF($AD$3:$BA$3,"&gt;="&amp;$DG6,$B6:$Y6)),
IF(AT$3=$DF6+'Model Setup'!$J$7,SUMIF($AD$3:$BA$3,"="&amp;$DF6+'Model Setup'!$J$7,$B6:$Y6)+'Model Setup'!$J$8*(SUMIF($AD$3:$BA$3,"&lt;"&amp;$DF6,$B6:$Y6)+SUMIF($AD$3:$BA$3,"&gt;="&amp;$DG6,$B6:$Y6)),
IF(AT$3=$DF6+'Model Setup'!$K$7,SUMIF($AD$3:$BA$3,"="&amp;$DF6+'Model Setup'!$K$7,$B6:$Y6)+'Model Setup'!$K$8*(SUMIF($AD$3:$BA$3,"&lt;"&amp;$DF6,$B6:$Y6)+SUMIF($AD$3:$BA$3,"&gt;="&amp;$DG6,$B6:$Y6)),
IF(AT$3=$DF6+'Model Setup'!$L$7,SUMIF($AD$3:$BA$3,"="&amp;$DF6+'Model Setup'!$L$7,$B6:$Y6)+'Model Setup'!$L$8*(SUMIF($AD$3:$BA$3,"&lt;"&amp;$DF6,$B6:$Y6)+SUMIF($AD$3:$BA$3,"&gt;="&amp;$DG6,$B6:$Y6)),
IF(AT$3=$DF6+'Model Setup'!$M$7,SUMIF($AD$3:$BA$3,"="&amp;$DF6+'Model Setup'!$M$7,$B6:$Y6)+'Model Setup'!$M$8*(SUMIF($AD$3:$BA$3,"&lt;"&amp;$DF6,$B6:$Y6)+SUMIF($AD$3:$BA$3,"&gt;="&amp;$DG6,$B6:$Y6)),
IF(AT$3=$DF6+'Model Setup'!$N$7,SUMIF($AD$3:$BA$3,"="&amp;$DF6+'Model Setup'!$N$7,$B6:$Y6)+'Model Setup'!$N$8*(SUMIF($AD$3:$BA$3,"&lt;"&amp;$DF6,$B6:$Y6)+SUMIF($AD$3:$BA$3,"&gt;="&amp;$DG6,$B6:$Y6)),
IF(AT$3&lt;$DG6,R6,0))))))))))))))),0)</f>
        <v>21</v>
      </c>
      <c r="AU6" s="47">
        <f>ROUND(IF(AU$3&lt;$DF6,0,
IF(AU$3=$DF6+'Model Setup'!$B$7,SUMIF($AD$3:$BA$3,"="&amp;$DF6+'Model Setup'!$B$7,$B6:$Y6)+'Model Setup'!$B$8*(SUMIF($AD$3:$BA$3,"&lt;"&amp;$DF6,$B6:$Y6)+SUMIF($AD$3:$BA$3,"&gt;="&amp;$DG6,$B6:$Y6)),
IF(AU$3=$DF6+'Model Setup'!$C$7,SUMIF($AD$3:$BA$3,"="&amp;$DF6+'Model Setup'!$C$7,$B6:$Y6)+'Model Setup'!$C$8*(SUMIF($AD$3:$BA$3,"&lt;"&amp;$DF6,$B6:$Y6)+SUMIF($AD$3:$BA$3,"&gt;="&amp;$DG6,$B6:$Y6)),
IF(AU$3=$DF6+'Model Setup'!$D$7,SUMIF($AD$3:$BA$3,"="&amp;$DF6+'Model Setup'!$D$7,$B6:$Y6)+'Model Setup'!$D$8*(SUMIF($AD$3:$BA$3,"&lt;"&amp;$DF6,$B6:$Y6)+SUMIF($AD$3:$BA$3,"&gt;="&amp;$DG6,$B6:$Y6)),
IF(AU$3=$DF6+'Model Setup'!$E$7,SUMIF($AD$3:$BA$3,"="&amp;$DF6+'Model Setup'!$E$7,$B6:$Y6)+'Model Setup'!$E$8*(SUMIF($AD$3:$BA$3,"&lt;"&amp;$DF6,$B6:$Y6)+SUMIF($AD$3:$BA$3,"&gt;="&amp;$DG6,$B6:$Y6)),
IF(AU$3=$DF6+'Model Setup'!$F$7,SUMIF($AD$3:$BA$3,"="&amp;$DF6+'Model Setup'!$F$7,$B6:$Y6)+'Model Setup'!$F$8*(SUMIF($AD$3:$BA$3,"&lt;"&amp;$DF6,$B6:$Y6)+SUMIF($AD$3:$BA$3,"&gt;="&amp;$DG6,$B6:$Y6)),
IF(AU$3=$DF6+'Model Setup'!$G$7,SUMIF($AD$3:$BA$3,"="&amp;$DF6+'Model Setup'!$G$7,$B6:$Y6)+'Model Setup'!$G$8*(SUMIF($AD$3:$BA$3,"&lt;"&amp;$DF6,$B6:$Y6)+SUMIF($AD$3:$BA$3,"&gt;="&amp;$DG6,$B6:$Y6)),
IF(AU$3=$DF6+'Model Setup'!$H$7,SUMIF($AD$3:$BA$3,"="&amp;$DF6+'Model Setup'!$H$7,$B6:$Y6)+'Model Setup'!$H$8*(SUMIF($AD$3:$BA$3,"&lt;"&amp;$DF6,$B6:$Y6)+SUMIF($AD$3:$BA$3,"&gt;="&amp;$DG6,$B6:$Y6)),
IF(AU$3=$DF6+'Model Setup'!$I$7,SUMIF($AD$3:$BA$3,"="&amp;$DF6+'Model Setup'!$I$7,$B6:$Y6)+'Model Setup'!$I$8*(SUMIF($AD$3:$BA$3,"&lt;"&amp;$DF6,$B6:$Y6)+SUMIF($AD$3:$BA$3,"&gt;="&amp;$DG6,$B6:$Y6)),
IF(AU$3=$DF6+'Model Setup'!$J$7,SUMIF($AD$3:$BA$3,"="&amp;$DF6+'Model Setup'!$J$7,$B6:$Y6)+'Model Setup'!$J$8*(SUMIF($AD$3:$BA$3,"&lt;"&amp;$DF6,$B6:$Y6)+SUMIF($AD$3:$BA$3,"&gt;="&amp;$DG6,$B6:$Y6)),
IF(AU$3=$DF6+'Model Setup'!$K$7,SUMIF($AD$3:$BA$3,"="&amp;$DF6+'Model Setup'!$K$7,$B6:$Y6)+'Model Setup'!$K$8*(SUMIF($AD$3:$BA$3,"&lt;"&amp;$DF6,$B6:$Y6)+SUMIF($AD$3:$BA$3,"&gt;="&amp;$DG6,$B6:$Y6)),
IF(AU$3=$DF6+'Model Setup'!$L$7,SUMIF($AD$3:$BA$3,"="&amp;$DF6+'Model Setup'!$L$7,$B6:$Y6)+'Model Setup'!$L$8*(SUMIF($AD$3:$BA$3,"&lt;"&amp;$DF6,$B6:$Y6)+SUMIF($AD$3:$BA$3,"&gt;="&amp;$DG6,$B6:$Y6)),
IF(AU$3=$DF6+'Model Setup'!$M$7,SUMIF($AD$3:$BA$3,"="&amp;$DF6+'Model Setup'!$M$7,$B6:$Y6)+'Model Setup'!$M$8*(SUMIF($AD$3:$BA$3,"&lt;"&amp;$DF6,$B6:$Y6)+SUMIF($AD$3:$BA$3,"&gt;="&amp;$DG6,$B6:$Y6)),
IF(AU$3=$DF6+'Model Setup'!$N$7,SUMIF($AD$3:$BA$3,"="&amp;$DF6+'Model Setup'!$N$7,$B6:$Y6)+'Model Setup'!$N$8*(SUMIF($AD$3:$BA$3,"&lt;"&amp;$DF6,$B6:$Y6)+SUMIF($AD$3:$BA$3,"&gt;="&amp;$DG6,$B6:$Y6)),
IF(AU$3&lt;$DG6,S6,0))))))))))))))),0)</f>
        <v>25</v>
      </c>
      <c r="AV6" s="47">
        <f>ROUND(IF(AV$3&lt;$DF6,0,
IF(AV$3=$DF6+'Model Setup'!$B$7,SUMIF($AD$3:$BA$3,"="&amp;$DF6+'Model Setup'!$B$7,$B6:$Y6)+'Model Setup'!$B$8*(SUMIF($AD$3:$BA$3,"&lt;"&amp;$DF6,$B6:$Y6)+SUMIF($AD$3:$BA$3,"&gt;="&amp;$DG6,$B6:$Y6)),
IF(AV$3=$DF6+'Model Setup'!$C$7,SUMIF($AD$3:$BA$3,"="&amp;$DF6+'Model Setup'!$C$7,$B6:$Y6)+'Model Setup'!$C$8*(SUMIF($AD$3:$BA$3,"&lt;"&amp;$DF6,$B6:$Y6)+SUMIF($AD$3:$BA$3,"&gt;="&amp;$DG6,$B6:$Y6)),
IF(AV$3=$DF6+'Model Setup'!$D$7,SUMIF($AD$3:$BA$3,"="&amp;$DF6+'Model Setup'!$D$7,$B6:$Y6)+'Model Setup'!$D$8*(SUMIF($AD$3:$BA$3,"&lt;"&amp;$DF6,$B6:$Y6)+SUMIF($AD$3:$BA$3,"&gt;="&amp;$DG6,$B6:$Y6)),
IF(AV$3=$DF6+'Model Setup'!$E$7,SUMIF($AD$3:$BA$3,"="&amp;$DF6+'Model Setup'!$E$7,$B6:$Y6)+'Model Setup'!$E$8*(SUMIF($AD$3:$BA$3,"&lt;"&amp;$DF6,$B6:$Y6)+SUMIF($AD$3:$BA$3,"&gt;="&amp;$DG6,$B6:$Y6)),
IF(AV$3=$DF6+'Model Setup'!$F$7,SUMIF($AD$3:$BA$3,"="&amp;$DF6+'Model Setup'!$F$7,$B6:$Y6)+'Model Setup'!$F$8*(SUMIF($AD$3:$BA$3,"&lt;"&amp;$DF6,$B6:$Y6)+SUMIF($AD$3:$BA$3,"&gt;="&amp;$DG6,$B6:$Y6)),
IF(AV$3=$DF6+'Model Setup'!$G$7,SUMIF($AD$3:$BA$3,"="&amp;$DF6+'Model Setup'!$G$7,$B6:$Y6)+'Model Setup'!$G$8*(SUMIF($AD$3:$BA$3,"&lt;"&amp;$DF6,$B6:$Y6)+SUMIF($AD$3:$BA$3,"&gt;="&amp;$DG6,$B6:$Y6)),
IF(AV$3=$DF6+'Model Setup'!$H$7,SUMIF($AD$3:$BA$3,"="&amp;$DF6+'Model Setup'!$H$7,$B6:$Y6)+'Model Setup'!$H$8*(SUMIF($AD$3:$BA$3,"&lt;"&amp;$DF6,$B6:$Y6)+SUMIF($AD$3:$BA$3,"&gt;="&amp;$DG6,$B6:$Y6)),
IF(AV$3=$DF6+'Model Setup'!$I$7,SUMIF($AD$3:$BA$3,"="&amp;$DF6+'Model Setup'!$I$7,$B6:$Y6)+'Model Setup'!$I$8*(SUMIF($AD$3:$BA$3,"&lt;"&amp;$DF6,$B6:$Y6)+SUMIF($AD$3:$BA$3,"&gt;="&amp;$DG6,$B6:$Y6)),
IF(AV$3=$DF6+'Model Setup'!$J$7,SUMIF($AD$3:$BA$3,"="&amp;$DF6+'Model Setup'!$J$7,$B6:$Y6)+'Model Setup'!$J$8*(SUMIF($AD$3:$BA$3,"&lt;"&amp;$DF6,$B6:$Y6)+SUMIF($AD$3:$BA$3,"&gt;="&amp;$DG6,$B6:$Y6)),
IF(AV$3=$DF6+'Model Setup'!$K$7,SUMIF($AD$3:$BA$3,"="&amp;$DF6+'Model Setup'!$K$7,$B6:$Y6)+'Model Setup'!$K$8*(SUMIF($AD$3:$BA$3,"&lt;"&amp;$DF6,$B6:$Y6)+SUMIF($AD$3:$BA$3,"&gt;="&amp;$DG6,$B6:$Y6)),
IF(AV$3=$DF6+'Model Setup'!$L$7,SUMIF($AD$3:$BA$3,"="&amp;$DF6+'Model Setup'!$L$7,$B6:$Y6)+'Model Setup'!$L$8*(SUMIF($AD$3:$BA$3,"&lt;"&amp;$DF6,$B6:$Y6)+SUMIF($AD$3:$BA$3,"&gt;="&amp;$DG6,$B6:$Y6)),
IF(AV$3=$DF6+'Model Setup'!$M$7,SUMIF($AD$3:$BA$3,"="&amp;$DF6+'Model Setup'!$M$7,$B6:$Y6)+'Model Setup'!$M$8*(SUMIF($AD$3:$BA$3,"&lt;"&amp;$DF6,$B6:$Y6)+SUMIF($AD$3:$BA$3,"&gt;="&amp;$DG6,$B6:$Y6)),
IF(AV$3=$DF6+'Model Setup'!$N$7,SUMIF($AD$3:$BA$3,"="&amp;$DF6+'Model Setup'!$N$7,$B6:$Y6)+'Model Setup'!$N$8*(SUMIF($AD$3:$BA$3,"&lt;"&amp;$DF6,$B6:$Y6)+SUMIF($AD$3:$BA$3,"&gt;="&amp;$DG6,$B6:$Y6)),
IF(AV$3&lt;$DG6,T6,0))))))))))))))),0)</f>
        <v>19</v>
      </c>
      <c r="AW6" s="47">
        <f>ROUND(IF(AW$3&lt;$DF6,0,
IF(AW$3=$DF6+'Model Setup'!$B$7,SUMIF($AD$3:$BA$3,"="&amp;$DF6+'Model Setup'!$B$7,$B6:$Y6)+'Model Setup'!$B$8*(SUMIF($AD$3:$BA$3,"&lt;"&amp;$DF6,$B6:$Y6)+SUMIF($AD$3:$BA$3,"&gt;="&amp;$DG6,$B6:$Y6)),
IF(AW$3=$DF6+'Model Setup'!$C$7,SUMIF($AD$3:$BA$3,"="&amp;$DF6+'Model Setup'!$C$7,$B6:$Y6)+'Model Setup'!$C$8*(SUMIF($AD$3:$BA$3,"&lt;"&amp;$DF6,$B6:$Y6)+SUMIF($AD$3:$BA$3,"&gt;="&amp;$DG6,$B6:$Y6)),
IF(AW$3=$DF6+'Model Setup'!$D$7,SUMIF($AD$3:$BA$3,"="&amp;$DF6+'Model Setup'!$D$7,$B6:$Y6)+'Model Setup'!$D$8*(SUMIF($AD$3:$BA$3,"&lt;"&amp;$DF6,$B6:$Y6)+SUMIF($AD$3:$BA$3,"&gt;="&amp;$DG6,$B6:$Y6)),
IF(AW$3=$DF6+'Model Setup'!$E$7,SUMIF($AD$3:$BA$3,"="&amp;$DF6+'Model Setup'!$E$7,$B6:$Y6)+'Model Setup'!$E$8*(SUMIF($AD$3:$BA$3,"&lt;"&amp;$DF6,$B6:$Y6)+SUMIF($AD$3:$BA$3,"&gt;="&amp;$DG6,$B6:$Y6)),
IF(AW$3=$DF6+'Model Setup'!$F$7,SUMIF($AD$3:$BA$3,"="&amp;$DF6+'Model Setup'!$F$7,$B6:$Y6)+'Model Setup'!$F$8*(SUMIF($AD$3:$BA$3,"&lt;"&amp;$DF6,$B6:$Y6)+SUMIF($AD$3:$BA$3,"&gt;="&amp;$DG6,$B6:$Y6)),
IF(AW$3=$DF6+'Model Setup'!$G$7,SUMIF($AD$3:$BA$3,"="&amp;$DF6+'Model Setup'!$G$7,$B6:$Y6)+'Model Setup'!$G$8*(SUMIF($AD$3:$BA$3,"&lt;"&amp;$DF6,$B6:$Y6)+SUMIF($AD$3:$BA$3,"&gt;="&amp;$DG6,$B6:$Y6)),
IF(AW$3=$DF6+'Model Setup'!$H$7,SUMIF($AD$3:$BA$3,"="&amp;$DF6+'Model Setup'!$H$7,$B6:$Y6)+'Model Setup'!$H$8*(SUMIF($AD$3:$BA$3,"&lt;"&amp;$DF6,$B6:$Y6)+SUMIF($AD$3:$BA$3,"&gt;="&amp;$DG6,$B6:$Y6)),
IF(AW$3=$DF6+'Model Setup'!$I$7,SUMIF($AD$3:$BA$3,"="&amp;$DF6+'Model Setup'!$I$7,$B6:$Y6)+'Model Setup'!$I$8*(SUMIF($AD$3:$BA$3,"&lt;"&amp;$DF6,$B6:$Y6)+SUMIF($AD$3:$BA$3,"&gt;="&amp;$DG6,$B6:$Y6)),
IF(AW$3=$DF6+'Model Setup'!$J$7,SUMIF($AD$3:$BA$3,"="&amp;$DF6+'Model Setup'!$J$7,$B6:$Y6)+'Model Setup'!$J$8*(SUMIF($AD$3:$BA$3,"&lt;"&amp;$DF6,$B6:$Y6)+SUMIF($AD$3:$BA$3,"&gt;="&amp;$DG6,$B6:$Y6)),
IF(AW$3=$DF6+'Model Setup'!$K$7,SUMIF($AD$3:$BA$3,"="&amp;$DF6+'Model Setup'!$K$7,$B6:$Y6)+'Model Setup'!$K$8*(SUMIF($AD$3:$BA$3,"&lt;"&amp;$DF6,$B6:$Y6)+SUMIF($AD$3:$BA$3,"&gt;="&amp;$DG6,$B6:$Y6)),
IF(AW$3=$DF6+'Model Setup'!$L$7,SUMIF($AD$3:$BA$3,"="&amp;$DF6+'Model Setup'!$L$7,$B6:$Y6)+'Model Setup'!$L$8*(SUMIF($AD$3:$BA$3,"&lt;"&amp;$DF6,$B6:$Y6)+SUMIF($AD$3:$BA$3,"&gt;="&amp;$DG6,$B6:$Y6)),
IF(AW$3=$DF6+'Model Setup'!$M$7,SUMIF($AD$3:$BA$3,"="&amp;$DF6+'Model Setup'!$M$7,$B6:$Y6)+'Model Setup'!$M$8*(SUMIF($AD$3:$BA$3,"&lt;"&amp;$DF6,$B6:$Y6)+SUMIF($AD$3:$BA$3,"&gt;="&amp;$DG6,$B6:$Y6)),
IF(AW$3=$DF6+'Model Setup'!$N$7,SUMIF($AD$3:$BA$3,"="&amp;$DF6+'Model Setup'!$N$7,$B6:$Y6)+'Model Setup'!$N$8*(SUMIF($AD$3:$BA$3,"&lt;"&amp;$DF6,$B6:$Y6)+SUMIF($AD$3:$BA$3,"&gt;="&amp;$DG6,$B6:$Y6)),
IF(AW$3&lt;$DG6,U6,0))))))))))))))),0)</f>
        <v>0</v>
      </c>
      <c r="AX6" s="47">
        <f>ROUND(IF(AX$3&lt;$DF6,0,
IF(AX$3=$DF6+'Model Setup'!$B$7,SUMIF($AD$3:$BA$3,"="&amp;$DF6+'Model Setup'!$B$7,$B6:$Y6)+'Model Setup'!$B$8*(SUMIF($AD$3:$BA$3,"&lt;"&amp;$DF6,$B6:$Y6)+SUMIF($AD$3:$BA$3,"&gt;="&amp;$DG6,$B6:$Y6)),
IF(AX$3=$DF6+'Model Setup'!$C$7,SUMIF($AD$3:$BA$3,"="&amp;$DF6+'Model Setup'!$C$7,$B6:$Y6)+'Model Setup'!$C$8*(SUMIF($AD$3:$BA$3,"&lt;"&amp;$DF6,$B6:$Y6)+SUMIF($AD$3:$BA$3,"&gt;="&amp;$DG6,$B6:$Y6)),
IF(AX$3=$DF6+'Model Setup'!$D$7,SUMIF($AD$3:$BA$3,"="&amp;$DF6+'Model Setup'!$D$7,$B6:$Y6)+'Model Setup'!$D$8*(SUMIF($AD$3:$BA$3,"&lt;"&amp;$DF6,$B6:$Y6)+SUMIF($AD$3:$BA$3,"&gt;="&amp;$DG6,$B6:$Y6)),
IF(AX$3=$DF6+'Model Setup'!$E$7,SUMIF($AD$3:$BA$3,"="&amp;$DF6+'Model Setup'!$E$7,$B6:$Y6)+'Model Setup'!$E$8*(SUMIF($AD$3:$BA$3,"&lt;"&amp;$DF6,$B6:$Y6)+SUMIF($AD$3:$BA$3,"&gt;="&amp;$DG6,$B6:$Y6)),
IF(AX$3=$DF6+'Model Setup'!$F$7,SUMIF($AD$3:$BA$3,"="&amp;$DF6+'Model Setup'!$F$7,$B6:$Y6)+'Model Setup'!$F$8*(SUMIF($AD$3:$BA$3,"&lt;"&amp;$DF6,$B6:$Y6)+SUMIF($AD$3:$BA$3,"&gt;="&amp;$DG6,$B6:$Y6)),
IF(AX$3=$DF6+'Model Setup'!$G$7,SUMIF($AD$3:$BA$3,"="&amp;$DF6+'Model Setup'!$G$7,$B6:$Y6)+'Model Setup'!$G$8*(SUMIF($AD$3:$BA$3,"&lt;"&amp;$DF6,$B6:$Y6)+SUMIF($AD$3:$BA$3,"&gt;="&amp;$DG6,$B6:$Y6)),
IF(AX$3=$DF6+'Model Setup'!$H$7,SUMIF($AD$3:$BA$3,"="&amp;$DF6+'Model Setup'!$H$7,$B6:$Y6)+'Model Setup'!$H$8*(SUMIF($AD$3:$BA$3,"&lt;"&amp;$DF6,$B6:$Y6)+SUMIF($AD$3:$BA$3,"&gt;="&amp;$DG6,$B6:$Y6)),
IF(AX$3=$DF6+'Model Setup'!$I$7,SUMIF($AD$3:$BA$3,"="&amp;$DF6+'Model Setup'!$I$7,$B6:$Y6)+'Model Setup'!$I$8*(SUMIF($AD$3:$BA$3,"&lt;"&amp;$DF6,$B6:$Y6)+SUMIF($AD$3:$BA$3,"&gt;="&amp;$DG6,$B6:$Y6)),
IF(AX$3=$DF6+'Model Setup'!$J$7,SUMIF($AD$3:$BA$3,"="&amp;$DF6+'Model Setup'!$J$7,$B6:$Y6)+'Model Setup'!$J$8*(SUMIF($AD$3:$BA$3,"&lt;"&amp;$DF6,$B6:$Y6)+SUMIF($AD$3:$BA$3,"&gt;="&amp;$DG6,$B6:$Y6)),
IF(AX$3=$DF6+'Model Setup'!$K$7,SUMIF($AD$3:$BA$3,"="&amp;$DF6+'Model Setup'!$K$7,$B6:$Y6)+'Model Setup'!$K$8*(SUMIF($AD$3:$BA$3,"&lt;"&amp;$DF6,$B6:$Y6)+SUMIF($AD$3:$BA$3,"&gt;="&amp;$DG6,$B6:$Y6)),
IF(AX$3=$DF6+'Model Setup'!$L$7,SUMIF($AD$3:$BA$3,"="&amp;$DF6+'Model Setup'!$L$7,$B6:$Y6)+'Model Setup'!$L$8*(SUMIF($AD$3:$BA$3,"&lt;"&amp;$DF6,$B6:$Y6)+SUMIF($AD$3:$BA$3,"&gt;="&amp;$DG6,$B6:$Y6)),
IF(AX$3=$DF6+'Model Setup'!$M$7,SUMIF($AD$3:$BA$3,"="&amp;$DF6+'Model Setup'!$M$7,$B6:$Y6)+'Model Setup'!$M$8*(SUMIF($AD$3:$BA$3,"&lt;"&amp;$DF6,$B6:$Y6)+SUMIF($AD$3:$BA$3,"&gt;="&amp;$DG6,$B6:$Y6)),
IF(AX$3=$DF6+'Model Setup'!$N$7,SUMIF($AD$3:$BA$3,"="&amp;$DF6+'Model Setup'!$N$7,$B6:$Y6)+'Model Setup'!$N$8*(SUMIF($AD$3:$BA$3,"&lt;"&amp;$DF6,$B6:$Y6)+SUMIF($AD$3:$BA$3,"&gt;="&amp;$DG6,$B6:$Y6)),
IF(AX$3&lt;$DG6,V6,0))))))))))))))),0)</f>
        <v>0</v>
      </c>
      <c r="AY6" s="47">
        <f>ROUND(IF(AY$3&lt;$DF6,0,
IF(AY$3=$DF6+'Model Setup'!$B$7,SUMIF($AD$3:$BA$3,"="&amp;$DF6+'Model Setup'!$B$7,$B6:$Y6)+'Model Setup'!$B$8*(SUMIF($AD$3:$BA$3,"&lt;"&amp;$DF6,$B6:$Y6)+SUMIF($AD$3:$BA$3,"&gt;="&amp;$DG6,$B6:$Y6)),
IF(AY$3=$DF6+'Model Setup'!$C$7,SUMIF($AD$3:$BA$3,"="&amp;$DF6+'Model Setup'!$C$7,$B6:$Y6)+'Model Setup'!$C$8*(SUMIF($AD$3:$BA$3,"&lt;"&amp;$DF6,$B6:$Y6)+SUMIF($AD$3:$BA$3,"&gt;="&amp;$DG6,$B6:$Y6)),
IF(AY$3=$DF6+'Model Setup'!$D$7,SUMIF($AD$3:$BA$3,"="&amp;$DF6+'Model Setup'!$D$7,$B6:$Y6)+'Model Setup'!$D$8*(SUMIF($AD$3:$BA$3,"&lt;"&amp;$DF6,$B6:$Y6)+SUMIF($AD$3:$BA$3,"&gt;="&amp;$DG6,$B6:$Y6)),
IF(AY$3=$DF6+'Model Setup'!$E$7,SUMIF($AD$3:$BA$3,"="&amp;$DF6+'Model Setup'!$E$7,$B6:$Y6)+'Model Setup'!$E$8*(SUMIF($AD$3:$BA$3,"&lt;"&amp;$DF6,$B6:$Y6)+SUMIF($AD$3:$BA$3,"&gt;="&amp;$DG6,$B6:$Y6)),
IF(AY$3=$DF6+'Model Setup'!$F$7,SUMIF($AD$3:$BA$3,"="&amp;$DF6+'Model Setup'!$F$7,$B6:$Y6)+'Model Setup'!$F$8*(SUMIF($AD$3:$BA$3,"&lt;"&amp;$DF6,$B6:$Y6)+SUMIF($AD$3:$BA$3,"&gt;="&amp;$DG6,$B6:$Y6)),
IF(AY$3=$DF6+'Model Setup'!$G$7,SUMIF($AD$3:$BA$3,"="&amp;$DF6+'Model Setup'!$G$7,$B6:$Y6)+'Model Setup'!$G$8*(SUMIF($AD$3:$BA$3,"&lt;"&amp;$DF6,$B6:$Y6)+SUMIF($AD$3:$BA$3,"&gt;="&amp;$DG6,$B6:$Y6)),
IF(AY$3=$DF6+'Model Setup'!$H$7,SUMIF($AD$3:$BA$3,"="&amp;$DF6+'Model Setup'!$H$7,$B6:$Y6)+'Model Setup'!$H$8*(SUMIF($AD$3:$BA$3,"&lt;"&amp;$DF6,$B6:$Y6)+SUMIF($AD$3:$BA$3,"&gt;="&amp;$DG6,$B6:$Y6)),
IF(AY$3=$DF6+'Model Setup'!$I$7,SUMIF($AD$3:$BA$3,"="&amp;$DF6+'Model Setup'!$I$7,$B6:$Y6)+'Model Setup'!$I$8*(SUMIF($AD$3:$BA$3,"&lt;"&amp;$DF6,$B6:$Y6)+SUMIF($AD$3:$BA$3,"&gt;="&amp;$DG6,$B6:$Y6)),
IF(AY$3=$DF6+'Model Setup'!$J$7,SUMIF($AD$3:$BA$3,"="&amp;$DF6+'Model Setup'!$J$7,$B6:$Y6)+'Model Setup'!$J$8*(SUMIF($AD$3:$BA$3,"&lt;"&amp;$DF6,$B6:$Y6)+SUMIF($AD$3:$BA$3,"&gt;="&amp;$DG6,$B6:$Y6)),
IF(AY$3=$DF6+'Model Setup'!$K$7,SUMIF($AD$3:$BA$3,"="&amp;$DF6+'Model Setup'!$K$7,$B6:$Y6)+'Model Setup'!$K$8*(SUMIF($AD$3:$BA$3,"&lt;"&amp;$DF6,$B6:$Y6)+SUMIF($AD$3:$BA$3,"&gt;="&amp;$DG6,$B6:$Y6)),
IF(AY$3=$DF6+'Model Setup'!$L$7,SUMIF($AD$3:$BA$3,"="&amp;$DF6+'Model Setup'!$L$7,$B6:$Y6)+'Model Setup'!$L$8*(SUMIF($AD$3:$BA$3,"&lt;"&amp;$DF6,$B6:$Y6)+SUMIF($AD$3:$BA$3,"&gt;="&amp;$DG6,$B6:$Y6)),
IF(AY$3=$DF6+'Model Setup'!$M$7,SUMIF($AD$3:$BA$3,"="&amp;$DF6+'Model Setup'!$M$7,$B6:$Y6)+'Model Setup'!$M$8*(SUMIF($AD$3:$BA$3,"&lt;"&amp;$DF6,$B6:$Y6)+SUMIF($AD$3:$BA$3,"&gt;="&amp;$DG6,$B6:$Y6)),
IF(AY$3=$DF6+'Model Setup'!$N$7,SUMIF($AD$3:$BA$3,"="&amp;$DF6+'Model Setup'!$N$7,$B6:$Y6)+'Model Setup'!$N$8*(SUMIF($AD$3:$BA$3,"&lt;"&amp;$DF6,$B6:$Y6)+SUMIF($AD$3:$BA$3,"&gt;="&amp;$DG6,$B6:$Y6)),
IF(AY$3&lt;$DG6,W6,0))))))))))))))),0)</f>
        <v>0</v>
      </c>
      <c r="AZ6" s="47">
        <f>ROUND(IF(AZ$3&lt;$DF6,0,
IF(AZ$3=$DF6+'Model Setup'!$B$7,SUMIF($AD$3:$BA$3,"="&amp;$DF6+'Model Setup'!$B$7,$B6:$Y6)+'Model Setup'!$B$8*(SUMIF($AD$3:$BA$3,"&lt;"&amp;$DF6,$B6:$Y6)+SUMIF($AD$3:$BA$3,"&gt;="&amp;$DG6,$B6:$Y6)),
IF(AZ$3=$DF6+'Model Setup'!$C$7,SUMIF($AD$3:$BA$3,"="&amp;$DF6+'Model Setup'!$C$7,$B6:$Y6)+'Model Setup'!$C$8*(SUMIF($AD$3:$BA$3,"&lt;"&amp;$DF6,$B6:$Y6)+SUMIF($AD$3:$BA$3,"&gt;="&amp;$DG6,$B6:$Y6)),
IF(AZ$3=$DF6+'Model Setup'!$D$7,SUMIF($AD$3:$BA$3,"="&amp;$DF6+'Model Setup'!$D$7,$B6:$Y6)+'Model Setup'!$D$8*(SUMIF($AD$3:$BA$3,"&lt;"&amp;$DF6,$B6:$Y6)+SUMIF($AD$3:$BA$3,"&gt;="&amp;$DG6,$B6:$Y6)),
IF(AZ$3=$DF6+'Model Setup'!$E$7,SUMIF($AD$3:$BA$3,"="&amp;$DF6+'Model Setup'!$E$7,$B6:$Y6)+'Model Setup'!$E$8*(SUMIF($AD$3:$BA$3,"&lt;"&amp;$DF6,$B6:$Y6)+SUMIF($AD$3:$BA$3,"&gt;="&amp;$DG6,$B6:$Y6)),
IF(AZ$3=$DF6+'Model Setup'!$F$7,SUMIF($AD$3:$BA$3,"="&amp;$DF6+'Model Setup'!$F$7,$B6:$Y6)+'Model Setup'!$F$8*(SUMIF($AD$3:$BA$3,"&lt;"&amp;$DF6,$B6:$Y6)+SUMIF($AD$3:$BA$3,"&gt;="&amp;$DG6,$B6:$Y6)),
IF(AZ$3=$DF6+'Model Setup'!$G$7,SUMIF($AD$3:$BA$3,"="&amp;$DF6+'Model Setup'!$G$7,$B6:$Y6)+'Model Setup'!$G$8*(SUMIF($AD$3:$BA$3,"&lt;"&amp;$DF6,$B6:$Y6)+SUMIF($AD$3:$BA$3,"&gt;="&amp;$DG6,$B6:$Y6)),
IF(AZ$3=$DF6+'Model Setup'!$H$7,SUMIF($AD$3:$BA$3,"="&amp;$DF6+'Model Setup'!$H$7,$B6:$Y6)+'Model Setup'!$H$8*(SUMIF($AD$3:$BA$3,"&lt;"&amp;$DF6,$B6:$Y6)+SUMIF($AD$3:$BA$3,"&gt;="&amp;$DG6,$B6:$Y6)),
IF(AZ$3=$DF6+'Model Setup'!$I$7,SUMIF($AD$3:$BA$3,"="&amp;$DF6+'Model Setup'!$I$7,$B6:$Y6)+'Model Setup'!$I$8*(SUMIF($AD$3:$BA$3,"&lt;"&amp;$DF6,$B6:$Y6)+SUMIF($AD$3:$BA$3,"&gt;="&amp;$DG6,$B6:$Y6)),
IF(AZ$3=$DF6+'Model Setup'!$J$7,SUMIF($AD$3:$BA$3,"="&amp;$DF6+'Model Setup'!$J$7,$B6:$Y6)+'Model Setup'!$J$8*(SUMIF($AD$3:$BA$3,"&lt;"&amp;$DF6,$B6:$Y6)+SUMIF($AD$3:$BA$3,"&gt;="&amp;$DG6,$B6:$Y6)),
IF(AZ$3=$DF6+'Model Setup'!$K$7,SUMIF($AD$3:$BA$3,"="&amp;$DF6+'Model Setup'!$K$7,$B6:$Y6)+'Model Setup'!$K$8*(SUMIF($AD$3:$BA$3,"&lt;"&amp;$DF6,$B6:$Y6)+SUMIF($AD$3:$BA$3,"&gt;="&amp;$DG6,$B6:$Y6)),
IF(AZ$3=$DF6+'Model Setup'!$L$7,SUMIF($AD$3:$BA$3,"="&amp;$DF6+'Model Setup'!$L$7,$B6:$Y6)+'Model Setup'!$L$8*(SUMIF($AD$3:$BA$3,"&lt;"&amp;$DF6,$B6:$Y6)+SUMIF($AD$3:$BA$3,"&gt;="&amp;$DG6,$B6:$Y6)),
IF(AZ$3=$DF6+'Model Setup'!$M$7,SUMIF($AD$3:$BA$3,"="&amp;$DF6+'Model Setup'!$M$7,$B6:$Y6)+'Model Setup'!$M$8*(SUMIF($AD$3:$BA$3,"&lt;"&amp;$DF6,$B6:$Y6)+SUMIF($AD$3:$BA$3,"&gt;="&amp;$DG6,$B6:$Y6)),
IF(AZ$3=$DF6+'Model Setup'!$N$7,SUMIF($AD$3:$BA$3,"="&amp;$DF6+'Model Setup'!$N$7,$B6:$Y6)+'Model Setup'!$N$8*(SUMIF($AD$3:$BA$3,"&lt;"&amp;$DF6,$B6:$Y6)+SUMIF($AD$3:$BA$3,"&gt;="&amp;$DG6,$B6:$Y6)),
IF(AZ$3&lt;$DG6,X6,0))))))))))))))),0)</f>
        <v>0</v>
      </c>
      <c r="BA6" s="47">
        <f>ROUND(IF(BA$3&lt;$DF6,0,
IF(BA$3=$DF6+'Model Setup'!$B$7,SUMIF($AD$3:$BA$3,"="&amp;$DF6+'Model Setup'!$B$7,$B6:$Y6)+'Model Setup'!$B$8*(SUMIF($AD$3:$BA$3,"&lt;"&amp;$DF6,$B6:$Y6)+SUMIF($AD$3:$BA$3,"&gt;="&amp;$DG6,$B6:$Y6)),
IF(BA$3=$DF6+'Model Setup'!$C$7,SUMIF($AD$3:$BA$3,"="&amp;$DF6+'Model Setup'!$C$7,$B6:$Y6)+'Model Setup'!$C$8*(SUMIF($AD$3:$BA$3,"&lt;"&amp;$DF6,$B6:$Y6)+SUMIF($AD$3:$BA$3,"&gt;="&amp;$DG6,$B6:$Y6)),
IF(BA$3=$DF6+'Model Setup'!$D$7,SUMIF($AD$3:$BA$3,"="&amp;$DF6+'Model Setup'!$D$7,$B6:$Y6)+'Model Setup'!$D$8*(SUMIF($AD$3:$BA$3,"&lt;"&amp;$DF6,$B6:$Y6)+SUMIF($AD$3:$BA$3,"&gt;="&amp;$DG6,$B6:$Y6)),
IF(BA$3=$DF6+'Model Setup'!$E$7,SUMIF($AD$3:$BA$3,"="&amp;$DF6+'Model Setup'!$E$7,$B6:$Y6)+'Model Setup'!$E$8*(SUMIF($AD$3:$BA$3,"&lt;"&amp;$DF6,$B6:$Y6)+SUMIF($AD$3:$BA$3,"&gt;="&amp;$DG6,$B6:$Y6)),
IF(BA$3=$DF6+'Model Setup'!$F$7,SUMIF($AD$3:$BA$3,"="&amp;$DF6+'Model Setup'!$F$7,$B6:$Y6)+'Model Setup'!$F$8*(SUMIF($AD$3:$BA$3,"&lt;"&amp;$DF6,$B6:$Y6)+SUMIF($AD$3:$BA$3,"&gt;="&amp;$DG6,$B6:$Y6)),
IF(BA$3=$DF6+'Model Setup'!$G$7,SUMIF($AD$3:$BA$3,"="&amp;$DF6+'Model Setup'!$G$7,$B6:$Y6)+'Model Setup'!$G$8*(SUMIF($AD$3:$BA$3,"&lt;"&amp;$DF6,$B6:$Y6)+SUMIF($AD$3:$BA$3,"&gt;="&amp;$DG6,$B6:$Y6)),
IF(BA$3=$DF6+'Model Setup'!$H$7,SUMIF($AD$3:$BA$3,"="&amp;$DF6+'Model Setup'!$H$7,$B6:$Y6)+'Model Setup'!$H$8*(SUMIF($AD$3:$BA$3,"&lt;"&amp;$DF6,$B6:$Y6)+SUMIF($AD$3:$BA$3,"&gt;="&amp;$DG6,$B6:$Y6)),
IF(BA$3=$DF6+'Model Setup'!$I$7,SUMIF($AD$3:$BA$3,"="&amp;$DF6+'Model Setup'!$I$7,$B6:$Y6)+'Model Setup'!$I$8*(SUMIF($AD$3:$BA$3,"&lt;"&amp;$DF6,$B6:$Y6)+SUMIF($AD$3:$BA$3,"&gt;="&amp;$DG6,$B6:$Y6)),
IF(BA$3=$DF6+'Model Setup'!$J$7,SUMIF($AD$3:$BA$3,"="&amp;$DF6+'Model Setup'!$J$7,$B6:$Y6)+'Model Setup'!$J$8*(SUMIF($AD$3:$BA$3,"&lt;"&amp;$DF6,$B6:$Y6)+SUMIF($AD$3:$BA$3,"&gt;="&amp;$DG6,$B6:$Y6)),
IF(BA$3=$DF6+'Model Setup'!$K$7,SUMIF($AD$3:$BA$3,"="&amp;$DF6+'Model Setup'!$K$7,$B6:$Y6)+'Model Setup'!$K$8*(SUMIF($AD$3:$BA$3,"&lt;"&amp;$DF6,$B6:$Y6)+SUMIF($AD$3:$BA$3,"&gt;="&amp;$DG6,$B6:$Y6)),
IF(BA$3=$DF6+'Model Setup'!$L$7,SUMIF($AD$3:$BA$3,"="&amp;$DF6+'Model Setup'!$L$7,$B6:$Y6)+'Model Setup'!$L$8*(SUMIF($AD$3:$BA$3,"&lt;"&amp;$DF6,$B6:$Y6)+SUMIF($AD$3:$BA$3,"&gt;="&amp;$DG6,$B6:$Y6)),
IF(BA$3=$DF6+'Model Setup'!$M$7,SUMIF($AD$3:$BA$3,"="&amp;$DF6+'Model Setup'!$M$7,$B6:$Y6)+'Model Setup'!$M$8*(SUMIF($AD$3:$BA$3,"&lt;"&amp;$DF6,$B6:$Y6)+SUMIF($AD$3:$BA$3,"&gt;="&amp;$DG6,$B6:$Y6)),
IF(BA$3=$DF6+'Model Setup'!$N$7,SUMIF($AD$3:$BA$3,"="&amp;$DF6+'Model Setup'!$N$7,$B6:$Y6)+'Model Setup'!$N$8*(SUMIF($AD$3:$BA$3,"&lt;"&amp;$DF6,$B6:$Y6)+SUMIF($AD$3:$BA$3,"&gt;="&amp;$DG6,$B6:$Y6)),
IF(BA$3&lt;$DG6,Y6,0))))))))))))))),0)</f>
        <v>0</v>
      </c>
      <c r="BB6" s="47">
        <f t="shared" si="1"/>
        <v>462</v>
      </c>
      <c r="BD6" t="b">
        <f t="shared" si="2"/>
        <v>0</v>
      </c>
      <c r="BE6">
        <f t="shared" ref="BE6:BE57" si="8">BB6-Z6</f>
        <v>6</v>
      </c>
      <c r="BF6">
        <f>(FTC!F4-FTC!E4)*24</f>
        <v>12</v>
      </c>
      <c r="BG6" s="43" t="s">
        <v>21</v>
      </c>
      <c r="BH6" s="47">
        <f>ROUND(IF(OR(BH$3&lt;$DF6,BH$3&gt;$CW$4),0,
IF(BH$3=$DF6+'Model Setup'!$B$7,SUMIF($BH$3:$CE$3,"="&amp;$DF6+'Model Setup'!$B$7,$AD6:$BA6)+'Model Setup'!$B$8*(SUMIF($BH$3:$CE$3,"&lt;"&amp;$DF6,$AD6:$BA6)+SUMIF($BH$3:$CE$3,"&gt;"&amp;$CW$4,$AD6:$BA6)),
IF(BH$3=$DF6+'Model Setup'!$C$7,SUMIF($BH$3:$CE$3,"="&amp;$DF6+'Model Setup'!$C$7,$AD6:$BA6)+'Model Setup'!$C$8*(SUMIF($BH$3:$CE$3,"&lt;"&amp;$DF6,$AD6:$BA6)+SUMIF($BH$3:$CE$3,"&gt;"&amp;$CW$4,$AD6:$BA6)),
IF(BH$3=$DF6+'Model Setup'!$D$7,SUMIF($BH$3:$CE$3,"="&amp;$DF6+'Model Setup'!$D$7,$AD6:$BA6)+'Model Setup'!$D$8*(SUMIF($BH$3:$CE$3,"&lt;"&amp;$DF6,$AD6:$BA6)+SUMIF($BH$3:$CE$3,"&gt;"&amp;$CW$4,$AD6:$BA6)),
IF(BH$3=$DF6+'Model Setup'!$E$7,SUMIF($BH$3:$CE$3,"="&amp;$DF6+'Model Setup'!$E$7,$AD6:$BA6)+'Model Setup'!$E$8*(SUMIF($BH$3:$CE$3,"&lt;"&amp;$DF6,$AD6:$BA6)+SUMIF($BH$3:$CE$3,"&gt;"&amp;$CW$4,$AD6:$BA6)),
IF(BH$3=$DF6+'Model Setup'!$F$7,SUMIF($BH$3:$CE$3,"="&amp;$DF6+'Model Setup'!$F$7,$AD6:$BA6)+'Model Setup'!$F$8*(SUMIF($BH$3:$CE$3,"&lt;"&amp;$DF6,$AD6:$BA6)+SUMIF($BH$3:$CE$3,"&gt;"&amp;$CW$4,$AD6:$BA6)),
IF(BH$3=$DF6+'Model Setup'!$G$7,SUMIF($BH$3:$CE$3,"="&amp;$DF6+'Model Setup'!$G$7,$AD6:$BA6)+'Model Setup'!$G$8*(SUMIF($BH$3:$CE$3,"&lt;"&amp;$DF6,$AD6:$BA6)+SUMIF($BH$3:$CE$3,"&gt;"&amp;$CW$4,$AD6:$BA6)),
IF(BH$3=$DF6+'Model Setup'!$H$7,SUMIF($BH$3:$CE$3,"="&amp;$DF6+'Model Setup'!$H$7,$AD6:$BA6)+'Model Setup'!$H$8*(SUMIF($BH$3:$CE$3,"&lt;"&amp;$DF6,$AD6:$BA6)+SUMIF($BH$3:$CE$3,"&gt;"&amp;$CW$4,$AD6:$BA6)),
IF(BH$3=$DF6+'Model Setup'!$I$7,SUMIF($BH$3:$CE$3,"="&amp;$DF6+'Model Setup'!$I$7,$AD6:$BA6)+'Model Setup'!$I$8*(SUMIF($BH$3:$CE$3,"&lt;"&amp;$DF6,$AD6:$BA6)+SUMIF($BH$3:$CE$3,"&gt;"&amp;$CW$4,$AD6:$BA6)),
IF(BH$3=$DF6+'Model Setup'!$J$7,SUMIF($BH$3:$CE$3,"="&amp;$DF6+'Model Setup'!$J$7,$AD6:$BA6)+'Model Setup'!$J$8*(SUMIF($BH$3:$CE$3,"&lt;"&amp;$DF6,$AD6:$BA6)+SUMIF($BH$3:$CE$3,"&gt;"&amp;$CW$4,$AD6:$BA6)),
IF(BH$3=$DF6+'Model Setup'!$K$7,SUMIF($BH$3:$CE$3,"="&amp;$DF6+'Model Setup'!$K$7,$AD6:$BA6)+'Model Setup'!$K$8*(SUMIF($BH$3:$CE$3,"&lt;"&amp;$DF6,$AD6:$BA6)+SUMIF($BH$3:$CE$3,"&gt;"&amp;$CW$4,$AD6:$BA6)),
IF(BH$3=$DF6+'Model Setup'!$L$7,SUMIF($BH$3:$CE$3,"="&amp;$DF6+'Model Setup'!$L$7,$AD6:$BA6)+'Model Setup'!$L$8*(SUMIF($BH$3:$CE$3,"&lt;"&amp;$DF6,$AD6:$BA6)+SUMIF($BH$3:$CE$3,"&gt;"&amp;$CW$4,$AD6:$BA6)),
IF(BH$3=$DF6+'Model Setup'!$M$7,SUMIF($BH$3:$CE$3,"="&amp;$DF6+'Model Setup'!$M$7,$AD6:$BA6)+'Model Setup'!$M$8*(SUMIF($BH$3:$CE$3,"&lt;"&amp;$DF6,$AD6:$BA6)+SUMIF($BH$3:$CE$3,"&gt;"&amp;$CW$4,$AD6:$BA6)),
IF(BH$3=$DF6+'Model Setup'!$N$7,SUMIF($BH$3:$CE$3,"="&amp;$DF6+'Model Setup'!$N$7,$AD6:$BA6)+'Model Setup'!$N$8*(SUMIF($BH$3:$CE$3,"&lt;"&amp;$DF6,$AD6:$BA6)+SUMIF($BH$3:$CE$3,"&gt;"&amp;$CW$4,$AD6:$BA6)),
IF(BH$3&lt;$CW$4,B6,0))))))))))))))),0)</f>
        <v>0</v>
      </c>
      <c r="BI6" s="47">
        <f>ROUND(IF(OR(BI$3&lt;$DF6,BI$3&gt;$CW$4),0,
IF(BI$3=$DF6+'Model Setup'!$B$7,SUMIF($BH$3:$CE$3,"="&amp;$DF6+'Model Setup'!$B$7,$AD6:$BA6)+'Model Setup'!$B$8*(SUMIF($BH$3:$CE$3,"&lt;"&amp;$DF6,$AD6:$BA6)+SUMIF($BH$3:$CE$3,"&gt;"&amp;$CW$4,$AD6:$BA6)),
IF(BI$3=$DF6+'Model Setup'!$C$7,SUMIF($BH$3:$CE$3,"="&amp;$DF6+'Model Setup'!$C$7,$AD6:$BA6)+'Model Setup'!$C$8*(SUMIF($BH$3:$CE$3,"&lt;"&amp;$DF6,$AD6:$BA6)+SUMIF($BH$3:$CE$3,"&gt;"&amp;$CW$4,$AD6:$BA6)),
IF(BI$3=$DF6+'Model Setup'!$D$7,SUMIF($BH$3:$CE$3,"="&amp;$DF6+'Model Setup'!$D$7,$AD6:$BA6)+'Model Setup'!$D$8*(SUMIF($BH$3:$CE$3,"&lt;"&amp;$DF6,$AD6:$BA6)+SUMIF($BH$3:$CE$3,"&gt;"&amp;$CW$4,$AD6:$BA6)),
IF(BI$3=$DF6+'Model Setup'!$E$7,SUMIF($BH$3:$CE$3,"="&amp;$DF6+'Model Setup'!$E$7,$AD6:$BA6)+'Model Setup'!$E$8*(SUMIF($BH$3:$CE$3,"&lt;"&amp;$DF6,$AD6:$BA6)+SUMIF($BH$3:$CE$3,"&gt;"&amp;$CW$4,$AD6:$BA6)),
IF(BI$3=$DF6+'Model Setup'!$F$7,SUMIF($BH$3:$CE$3,"="&amp;$DF6+'Model Setup'!$F$7,$AD6:$BA6)+'Model Setup'!$F$8*(SUMIF($BH$3:$CE$3,"&lt;"&amp;$DF6,$AD6:$BA6)+SUMIF($BH$3:$CE$3,"&gt;"&amp;$CW$4,$AD6:$BA6)),
IF(BI$3=$DF6+'Model Setup'!$G$7,SUMIF($BH$3:$CE$3,"="&amp;$DF6+'Model Setup'!$G$7,$AD6:$BA6)+'Model Setup'!$G$8*(SUMIF($BH$3:$CE$3,"&lt;"&amp;$DF6,$AD6:$BA6)+SUMIF($BH$3:$CE$3,"&gt;"&amp;$CW$4,$AD6:$BA6)),
IF(BI$3=$DF6+'Model Setup'!$H$7,SUMIF($BH$3:$CE$3,"="&amp;$DF6+'Model Setup'!$H$7,$AD6:$BA6)+'Model Setup'!$H$8*(SUMIF($BH$3:$CE$3,"&lt;"&amp;$DF6,$AD6:$BA6)+SUMIF($BH$3:$CE$3,"&gt;"&amp;$CW$4,$AD6:$BA6)),
IF(BI$3=$DF6+'Model Setup'!$I$7,SUMIF($BH$3:$CE$3,"="&amp;$DF6+'Model Setup'!$I$7,$AD6:$BA6)+'Model Setup'!$I$8*(SUMIF($BH$3:$CE$3,"&lt;"&amp;$DF6,$AD6:$BA6)+SUMIF($BH$3:$CE$3,"&gt;"&amp;$CW$4,$AD6:$BA6)),
IF(BI$3=$DF6+'Model Setup'!$J$7,SUMIF($BH$3:$CE$3,"="&amp;$DF6+'Model Setup'!$J$7,$AD6:$BA6)+'Model Setup'!$J$8*(SUMIF($BH$3:$CE$3,"&lt;"&amp;$DF6,$AD6:$BA6)+SUMIF($BH$3:$CE$3,"&gt;"&amp;$CW$4,$AD6:$BA6)),
IF(BI$3=$DF6+'Model Setup'!$K$7,SUMIF($BH$3:$CE$3,"="&amp;$DF6+'Model Setup'!$K$7,$AD6:$BA6)+'Model Setup'!$K$8*(SUMIF($BH$3:$CE$3,"&lt;"&amp;$DF6,$AD6:$BA6)+SUMIF($BH$3:$CE$3,"&gt;"&amp;$CW$4,$AD6:$BA6)),
IF(BI$3=$DF6+'Model Setup'!$L$7,SUMIF($BH$3:$CE$3,"="&amp;$DF6+'Model Setup'!$L$7,$AD6:$BA6)+'Model Setup'!$L$8*(SUMIF($BH$3:$CE$3,"&lt;"&amp;$DF6,$AD6:$BA6)+SUMIF($BH$3:$CE$3,"&gt;"&amp;$CW$4,$AD6:$BA6)),
IF(BI$3=$DF6+'Model Setup'!$M$7,SUMIF($BH$3:$CE$3,"="&amp;$DF6+'Model Setup'!$M$7,$AD6:$BA6)+'Model Setup'!$M$8*(SUMIF($BH$3:$CE$3,"&lt;"&amp;$DF6,$AD6:$BA6)+SUMIF($BH$3:$CE$3,"&gt;"&amp;$CW$4,$AD6:$BA6)),
IF(BI$3=$DF6+'Model Setup'!$N$7,SUMIF($BH$3:$CE$3,"="&amp;$DF6+'Model Setup'!$N$7,$AD6:$BA6)+'Model Setup'!$N$8*(SUMIF($BH$3:$CE$3,"&lt;"&amp;$DF6,$AD6:$BA6)+SUMIF($BH$3:$CE$3,"&gt;"&amp;$CW$4,$AD6:$BA6)),
IF(BI$3&lt;$CW$4,C6,0))))))))))))))),0)</f>
        <v>0</v>
      </c>
      <c r="BJ6" s="47">
        <f>ROUND(IF(OR(BJ$3&lt;$DF6,BJ$3&gt;$CW$4),0,
IF(BJ$3=$DF6+'Model Setup'!$B$7,SUMIF($BH$3:$CE$3,"="&amp;$DF6+'Model Setup'!$B$7,$AD6:$BA6)+'Model Setup'!$B$8*(SUMIF($BH$3:$CE$3,"&lt;"&amp;$DF6,$AD6:$BA6)+SUMIF($BH$3:$CE$3,"&gt;"&amp;$CW$4,$AD6:$BA6)),
IF(BJ$3=$DF6+'Model Setup'!$C$7,SUMIF($BH$3:$CE$3,"="&amp;$DF6+'Model Setup'!$C$7,$AD6:$BA6)+'Model Setup'!$C$8*(SUMIF($BH$3:$CE$3,"&lt;"&amp;$DF6,$AD6:$BA6)+SUMIF($BH$3:$CE$3,"&gt;"&amp;$CW$4,$AD6:$BA6)),
IF(BJ$3=$DF6+'Model Setup'!$D$7,SUMIF($BH$3:$CE$3,"="&amp;$DF6+'Model Setup'!$D$7,$AD6:$BA6)+'Model Setup'!$D$8*(SUMIF($BH$3:$CE$3,"&lt;"&amp;$DF6,$AD6:$BA6)+SUMIF($BH$3:$CE$3,"&gt;"&amp;$CW$4,$AD6:$BA6)),
IF(BJ$3=$DF6+'Model Setup'!$E$7,SUMIF($BH$3:$CE$3,"="&amp;$DF6+'Model Setup'!$E$7,$AD6:$BA6)+'Model Setup'!$E$8*(SUMIF($BH$3:$CE$3,"&lt;"&amp;$DF6,$AD6:$BA6)+SUMIF($BH$3:$CE$3,"&gt;"&amp;$CW$4,$AD6:$BA6)),
IF(BJ$3=$DF6+'Model Setup'!$F$7,SUMIF($BH$3:$CE$3,"="&amp;$DF6+'Model Setup'!$F$7,$AD6:$BA6)+'Model Setup'!$F$8*(SUMIF($BH$3:$CE$3,"&lt;"&amp;$DF6,$AD6:$BA6)+SUMIF($BH$3:$CE$3,"&gt;"&amp;$CW$4,$AD6:$BA6)),
IF(BJ$3=$DF6+'Model Setup'!$G$7,SUMIF($BH$3:$CE$3,"="&amp;$DF6+'Model Setup'!$G$7,$AD6:$BA6)+'Model Setup'!$G$8*(SUMIF($BH$3:$CE$3,"&lt;"&amp;$DF6,$AD6:$BA6)+SUMIF($BH$3:$CE$3,"&gt;"&amp;$CW$4,$AD6:$BA6)),
IF(BJ$3=$DF6+'Model Setup'!$H$7,SUMIF($BH$3:$CE$3,"="&amp;$DF6+'Model Setup'!$H$7,$AD6:$BA6)+'Model Setup'!$H$8*(SUMIF($BH$3:$CE$3,"&lt;"&amp;$DF6,$AD6:$BA6)+SUMIF($BH$3:$CE$3,"&gt;"&amp;$CW$4,$AD6:$BA6)),
IF(BJ$3=$DF6+'Model Setup'!$I$7,SUMIF($BH$3:$CE$3,"="&amp;$DF6+'Model Setup'!$I$7,$AD6:$BA6)+'Model Setup'!$I$8*(SUMIF($BH$3:$CE$3,"&lt;"&amp;$DF6,$AD6:$BA6)+SUMIF($BH$3:$CE$3,"&gt;"&amp;$CW$4,$AD6:$BA6)),
IF(BJ$3=$DF6+'Model Setup'!$J$7,SUMIF($BH$3:$CE$3,"="&amp;$DF6+'Model Setup'!$J$7,$AD6:$BA6)+'Model Setup'!$J$8*(SUMIF($BH$3:$CE$3,"&lt;"&amp;$DF6,$AD6:$BA6)+SUMIF($BH$3:$CE$3,"&gt;"&amp;$CW$4,$AD6:$BA6)),
IF(BJ$3=$DF6+'Model Setup'!$K$7,SUMIF($BH$3:$CE$3,"="&amp;$DF6+'Model Setup'!$K$7,$AD6:$BA6)+'Model Setup'!$K$8*(SUMIF($BH$3:$CE$3,"&lt;"&amp;$DF6,$AD6:$BA6)+SUMIF($BH$3:$CE$3,"&gt;"&amp;$CW$4,$AD6:$BA6)),
IF(BJ$3=$DF6+'Model Setup'!$L$7,SUMIF($BH$3:$CE$3,"="&amp;$DF6+'Model Setup'!$L$7,$AD6:$BA6)+'Model Setup'!$L$8*(SUMIF($BH$3:$CE$3,"&lt;"&amp;$DF6,$AD6:$BA6)+SUMIF($BH$3:$CE$3,"&gt;"&amp;$CW$4,$AD6:$BA6)),
IF(BJ$3=$DF6+'Model Setup'!$M$7,SUMIF($BH$3:$CE$3,"="&amp;$DF6+'Model Setup'!$M$7,$AD6:$BA6)+'Model Setup'!$M$8*(SUMIF($BH$3:$CE$3,"&lt;"&amp;$DF6,$AD6:$BA6)+SUMIF($BH$3:$CE$3,"&gt;"&amp;$CW$4,$AD6:$BA6)),
IF(BJ$3=$DF6+'Model Setup'!$N$7,SUMIF($BH$3:$CE$3,"="&amp;$DF6+'Model Setup'!$N$7,$AD6:$BA6)+'Model Setup'!$N$8*(SUMIF($BH$3:$CE$3,"&lt;"&amp;$DF6,$AD6:$BA6)+SUMIF($BH$3:$CE$3,"&gt;"&amp;$CW$4,$AD6:$BA6)),
IF(BJ$3&lt;$CW$4,D6,0))))))))))))))),0)</f>
        <v>0</v>
      </c>
      <c r="BK6" s="47">
        <f>ROUND(IF(OR(BK$3&lt;$DF6,BK$3&gt;$CW$4),0,
IF(BK$3=$DF6+'Model Setup'!$B$7,SUMIF($BH$3:$CE$3,"="&amp;$DF6+'Model Setup'!$B$7,$AD6:$BA6)+'Model Setup'!$B$8*(SUMIF($BH$3:$CE$3,"&lt;"&amp;$DF6,$AD6:$BA6)+SUMIF($BH$3:$CE$3,"&gt;"&amp;$CW$4,$AD6:$BA6)),
IF(BK$3=$DF6+'Model Setup'!$C$7,SUMIF($BH$3:$CE$3,"="&amp;$DF6+'Model Setup'!$C$7,$AD6:$BA6)+'Model Setup'!$C$8*(SUMIF($BH$3:$CE$3,"&lt;"&amp;$DF6,$AD6:$BA6)+SUMIF($BH$3:$CE$3,"&gt;"&amp;$CW$4,$AD6:$BA6)),
IF(BK$3=$DF6+'Model Setup'!$D$7,SUMIF($BH$3:$CE$3,"="&amp;$DF6+'Model Setup'!$D$7,$AD6:$BA6)+'Model Setup'!$D$8*(SUMIF($BH$3:$CE$3,"&lt;"&amp;$DF6,$AD6:$BA6)+SUMIF($BH$3:$CE$3,"&gt;"&amp;$CW$4,$AD6:$BA6)),
IF(BK$3=$DF6+'Model Setup'!$E$7,SUMIF($BH$3:$CE$3,"="&amp;$DF6+'Model Setup'!$E$7,$AD6:$BA6)+'Model Setup'!$E$8*(SUMIF($BH$3:$CE$3,"&lt;"&amp;$DF6,$AD6:$BA6)+SUMIF($BH$3:$CE$3,"&gt;"&amp;$CW$4,$AD6:$BA6)),
IF(BK$3=$DF6+'Model Setup'!$F$7,SUMIF($BH$3:$CE$3,"="&amp;$DF6+'Model Setup'!$F$7,$AD6:$BA6)+'Model Setup'!$F$8*(SUMIF($BH$3:$CE$3,"&lt;"&amp;$DF6,$AD6:$BA6)+SUMIF($BH$3:$CE$3,"&gt;"&amp;$CW$4,$AD6:$BA6)),
IF(BK$3=$DF6+'Model Setup'!$G$7,SUMIF($BH$3:$CE$3,"="&amp;$DF6+'Model Setup'!$G$7,$AD6:$BA6)+'Model Setup'!$G$8*(SUMIF($BH$3:$CE$3,"&lt;"&amp;$DF6,$AD6:$BA6)+SUMIF($BH$3:$CE$3,"&gt;"&amp;$CW$4,$AD6:$BA6)),
IF(BK$3=$DF6+'Model Setup'!$H$7,SUMIF($BH$3:$CE$3,"="&amp;$DF6+'Model Setup'!$H$7,$AD6:$BA6)+'Model Setup'!$H$8*(SUMIF($BH$3:$CE$3,"&lt;"&amp;$DF6,$AD6:$BA6)+SUMIF($BH$3:$CE$3,"&gt;"&amp;$CW$4,$AD6:$BA6)),
IF(BK$3=$DF6+'Model Setup'!$I$7,SUMIF($BH$3:$CE$3,"="&amp;$DF6+'Model Setup'!$I$7,$AD6:$BA6)+'Model Setup'!$I$8*(SUMIF($BH$3:$CE$3,"&lt;"&amp;$DF6,$AD6:$BA6)+SUMIF($BH$3:$CE$3,"&gt;"&amp;$CW$4,$AD6:$BA6)),
IF(BK$3=$DF6+'Model Setup'!$J$7,SUMIF($BH$3:$CE$3,"="&amp;$DF6+'Model Setup'!$J$7,$AD6:$BA6)+'Model Setup'!$J$8*(SUMIF($BH$3:$CE$3,"&lt;"&amp;$DF6,$AD6:$BA6)+SUMIF($BH$3:$CE$3,"&gt;"&amp;$CW$4,$AD6:$BA6)),
IF(BK$3=$DF6+'Model Setup'!$K$7,SUMIF($BH$3:$CE$3,"="&amp;$DF6+'Model Setup'!$K$7,$AD6:$BA6)+'Model Setup'!$K$8*(SUMIF($BH$3:$CE$3,"&lt;"&amp;$DF6,$AD6:$BA6)+SUMIF($BH$3:$CE$3,"&gt;"&amp;$CW$4,$AD6:$BA6)),
IF(BK$3=$DF6+'Model Setup'!$L$7,SUMIF($BH$3:$CE$3,"="&amp;$DF6+'Model Setup'!$L$7,$AD6:$BA6)+'Model Setup'!$L$8*(SUMIF($BH$3:$CE$3,"&lt;"&amp;$DF6,$AD6:$BA6)+SUMIF($BH$3:$CE$3,"&gt;"&amp;$CW$4,$AD6:$BA6)),
IF(BK$3=$DF6+'Model Setup'!$M$7,SUMIF($BH$3:$CE$3,"="&amp;$DF6+'Model Setup'!$M$7,$AD6:$BA6)+'Model Setup'!$M$8*(SUMIF($BH$3:$CE$3,"&lt;"&amp;$DF6,$AD6:$BA6)+SUMIF($BH$3:$CE$3,"&gt;"&amp;$CW$4,$AD6:$BA6)),
IF(BK$3=$DF6+'Model Setup'!$N$7,SUMIF($BH$3:$CE$3,"="&amp;$DF6+'Model Setup'!$N$7,$AD6:$BA6)+'Model Setup'!$N$8*(SUMIF($BH$3:$CE$3,"&lt;"&amp;$DF6,$AD6:$BA6)+SUMIF($BH$3:$CE$3,"&gt;"&amp;$CW$4,$AD6:$BA6)),
IF(BK$3&lt;$CW$4,E6,0))))))))))))))),0)</f>
        <v>0</v>
      </c>
      <c r="BL6" s="47">
        <f>ROUND(IF(OR(BL$3&lt;$DF6,BL$3&gt;$CW$4),0,
IF(BL$3=$DF6+'Model Setup'!$B$7,SUMIF($BH$3:$CE$3,"="&amp;$DF6+'Model Setup'!$B$7,$AD6:$BA6)+'Model Setup'!$B$8*(SUMIF($BH$3:$CE$3,"&lt;"&amp;$DF6,$AD6:$BA6)+SUMIF($BH$3:$CE$3,"&gt;"&amp;$CW$4,$AD6:$BA6)),
IF(BL$3=$DF6+'Model Setup'!$C$7,SUMIF($BH$3:$CE$3,"="&amp;$DF6+'Model Setup'!$C$7,$AD6:$BA6)+'Model Setup'!$C$8*(SUMIF($BH$3:$CE$3,"&lt;"&amp;$DF6,$AD6:$BA6)+SUMIF($BH$3:$CE$3,"&gt;"&amp;$CW$4,$AD6:$BA6)),
IF(BL$3=$DF6+'Model Setup'!$D$7,SUMIF($BH$3:$CE$3,"="&amp;$DF6+'Model Setup'!$D$7,$AD6:$BA6)+'Model Setup'!$D$8*(SUMIF($BH$3:$CE$3,"&lt;"&amp;$DF6,$AD6:$BA6)+SUMIF($BH$3:$CE$3,"&gt;"&amp;$CW$4,$AD6:$BA6)),
IF(BL$3=$DF6+'Model Setup'!$E$7,SUMIF($BH$3:$CE$3,"="&amp;$DF6+'Model Setup'!$E$7,$AD6:$BA6)+'Model Setup'!$E$8*(SUMIF($BH$3:$CE$3,"&lt;"&amp;$DF6,$AD6:$BA6)+SUMIF($BH$3:$CE$3,"&gt;"&amp;$CW$4,$AD6:$BA6)),
IF(BL$3=$DF6+'Model Setup'!$F$7,SUMIF($BH$3:$CE$3,"="&amp;$DF6+'Model Setup'!$F$7,$AD6:$BA6)+'Model Setup'!$F$8*(SUMIF($BH$3:$CE$3,"&lt;"&amp;$DF6,$AD6:$BA6)+SUMIF($BH$3:$CE$3,"&gt;"&amp;$CW$4,$AD6:$BA6)),
IF(BL$3=$DF6+'Model Setup'!$G$7,SUMIF($BH$3:$CE$3,"="&amp;$DF6+'Model Setup'!$G$7,$AD6:$BA6)+'Model Setup'!$G$8*(SUMIF($BH$3:$CE$3,"&lt;"&amp;$DF6,$AD6:$BA6)+SUMIF($BH$3:$CE$3,"&gt;"&amp;$CW$4,$AD6:$BA6)),
IF(BL$3=$DF6+'Model Setup'!$H$7,SUMIF($BH$3:$CE$3,"="&amp;$DF6+'Model Setup'!$H$7,$AD6:$BA6)+'Model Setup'!$H$8*(SUMIF($BH$3:$CE$3,"&lt;"&amp;$DF6,$AD6:$BA6)+SUMIF($BH$3:$CE$3,"&gt;"&amp;$CW$4,$AD6:$BA6)),
IF(BL$3=$DF6+'Model Setup'!$I$7,SUMIF($BH$3:$CE$3,"="&amp;$DF6+'Model Setup'!$I$7,$AD6:$BA6)+'Model Setup'!$I$8*(SUMIF($BH$3:$CE$3,"&lt;"&amp;$DF6,$AD6:$BA6)+SUMIF($BH$3:$CE$3,"&gt;"&amp;$CW$4,$AD6:$BA6)),
IF(BL$3=$DF6+'Model Setup'!$J$7,SUMIF($BH$3:$CE$3,"="&amp;$DF6+'Model Setup'!$J$7,$AD6:$BA6)+'Model Setup'!$J$8*(SUMIF($BH$3:$CE$3,"&lt;"&amp;$DF6,$AD6:$BA6)+SUMIF($BH$3:$CE$3,"&gt;"&amp;$CW$4,$AD6:$BA6)),
IF(BL$3=$DF6+'Model Setup'!$K$7,SUMIF($BH$3:$CE$3,"="&amp;$DF6+'Model Setup'!$K$7,$AD6:$BA6)+'Model Setup'!$K$8*(SUMIF($BH$3:$CE$3,"&lt;"&amp;$DF6,$AD6:$BA6)+SUMIF($BH$3:$CE$3,"&gt;"&amp;$CW$4,$AD6:$BA6)),
IF(BL$3=$DF6+'Model Setup'!$L$7,SUMIF($BH$3:$CE$3,"="&amp;$DF6+'Model Setup'!$L$7,$AD6:$BA6)+'Model Setup'!$L$8*(SUMIF($BH$3:$CE$3,"&lt;"&amp;$DF6,$AD6:$BA6)+SUMIF($BH$3:$CE$3,"&gt;"&amp;$CW$4,$AD6:$BA6)),
IF(BL$3=$DF6+'Model Setup'!$M$7,SUMIF($BH$3:$CE$3,"="&amp;$DF6+'Model Setup'!$M$7,$AD6:$BA6)+'Model Setup'!$M$8*(SUMIF($BH$3:$CE$3,"&lt;"&amp;$DF6,$AD6:$BA6)+SUMIF($BH$3:$CE$3,"&gt;"&amp;$CW$4,$AD6:$BA6)),
IF(BL$3=$DF6+'Model Setup'!$N$7,SUMIF($BH$3:$CE$3,"="&amp;$DF6+'Model Setup'!$N$7,$AD6:$BA6)+'Model Setup'!$N$8*(SUMIF($BH$3:$CE$3,"&lt;"&amp;$DF6,$AD6:$BA6)+SUMIF($BH$3:$CE$3,"&gt;"&amp;$CW$4,$AD6:$BA6)),
IF(BL$3&lt;$CW$4,F6,0))))))))))))))),0)</f>
        <v>0</v>
      </c>
      <c r="BM6" s="47">
        <f>ROUND(IF(OR(BM$3&lt;$DF6,BM$3&gt;$CW$4),0,
IF(BM$3=$DF6+'Model Setup'!$B$7,SUMIF($BH$3:$CE$3,"="&amp;$DF6+'Model Setup'!$B$7,$AD6:$BA6)+'Model Setup'!$B$8*(SUMIF($BH$3:$CE$3,"&lt;"&amp;$DF6,$AD6:$BA6)+SUMIF($BH$3:$CE$3,"&gt;"&amp;$CW$4,$AD6:$BA6)),
IF(BM$3=$DF6+'Model Setup'!$C$7,SUMIF($BH$3:$CE$3,"="&amp;$DF6+'Model Setup'!$C$7,$AD6:$BA6)+'Model Setup'!$C$8*(SUMIF($BH$3:$CE$3,"&lt;"&amp;$DF6,$AD6:$BA6)+SUMIF($BH$3:$CE$3,"&gt;"&amp;$CW$4,$AD6:$BA6)),
IF(BM$3=$DF6+'Model Setup'!$D$7,SUMIF($BH$3:$CE$3,"="&amp;$DF6+'Model Setup'!$D$7,$AD6:$BA6)+'Model Setup'!$D$8*(SUMIF($BH$3:$CE$3,"&lt;"&amp;$DF6,$AD6:$BA6)+SUMIF($BH$3:$CE$3,"&gt;"&amp;$CW$4,$AD6:$BA6)),
IF(BM$3=$DF6+'Model Setup'!$E$7,SUMIF($BH$3:$CE$3,"="&amp;$DF6+'Model Setup'!$E$7,$AD6:$BA6)+'Model Setup'!$E$8*(SUMIF($BH$3:$CE$3,"&lt;"&amp;$DF6,$AD6:$BA6)+SUMIF($BH$3:$CE$3,"&gt;"&amp;$CW$4,$AD6:$BA6)),
IF(BM$3=$DF6+'Model Setup'!$F$7,SUMIF($BH$3:$CE$3,"="&amp;$DF6+'Model Setup'!$F$7,$AD6:$BA6)+'Model Setup'!$F$8*(SUMIF($BH$3:$CE$3,"&lt;"&amp;$DF6,$AD6:$BA6)+SUMIF($BH$3:$CE$3,"&gt;"&amp;$CW$4,$AD6:$BA6)),
IF(BM$3=$DF6+'Model Setup'!$G$7,SUMIF($BH$3:$CE$3,"="&amp;$DF6+'Model Setup'!$G$7,$AD6:$BA6)+'Model Setup'!$G$8*(SUMIF($BH$3:$CE$3,"&lt;"&amp;$DF6,$AD6:$BA6)+SUMIF($BH$3:$CE$3,"&gt;"&amp;$CW$4,$AD6:$BA6)),
IF(BM$3=$DF6+'Model Setup'!$H$7,SUMIF($BH$3:$CE$3,"="&amp;$DF6+'Model Setup'!$H$7,$AD6:$BA6)+'Model Setup'!$H$8*(SUMIF($BH$3:$CE$3,"&lt;"&amp;$DF6,$AD6:$BA6)+SUMIF($BH$3:$CE$3,"&gt;"&amp;$CW$4,$AD6:$BA6)),
IF(BM$3=$DF6+'Model Setup'!$I$7,SUMIF($BH$3:$CE$3,"="&amp;$DF6+'Model Setup'!$I$7,$AD6:$BA6)+'Model Setup'!$I$8*(SUMIF($BH$3:$CE$3,"&lt;"&amp;$DF6,$AD6:$BA6)+SUMIF($BH$3:$CE$3,"&gt;"&amp;$CW$4,$AD6:$BA6)),
IF(BM$3=$DF6+'Model Setup'!$J$7,SUMIF($BH$3:$CE$3,"="&amp;$DF6+'Model Setup'!$J$7,$AD6:$BA6)+'Model Setup'!$J$8*(SUMIF($BH$3:$CE$3,"&lt;"&amp;$DF6,$AD6:$BA6)+SUMIF($BH$3:$CE$3,"&gt;"&amp;$CW$4,$AD6:$BA6)),
IF(BM$3=$DF6+'Model Setup'!$K$7,SUMIF($BH$3:$CE$3,"="&amp;$DF6+'Model Setup'!$K$7,$AD6:$BA6)+'Model Setup'!$K$8*(SUMIF($BH$3:$CE$3,"&lt;"&amp;$DF6,$AD6:$BA6)+SUMIF($BH$3:$CE$3,"&gt;"&amp;$CW$4,$AD6:$BA6)),
IF(BM$3=$DF6+'Model Setup'!$L$7,SUMIF($BH$3:$CE$3,"="&amp;$DF6+'Model Setup'!$L$7,$AD6:$BA6)+'Model Setup'!$L$8*(SUMIF($BH$3:$CE$3,"&lt;"&amp;$DF6,$AD6:$BA6)+SUMIF($BH$3:$CE$3,"&gt;"&amp;$CW$4,$AD6:$BA6)),
IF(BM$3=$DF6+'Model Setup'!$M$7,SUMIF($BH$3:$CE$3,"="&amp;$DF6+'Model Setup'!$M$7,$AD6:$BA6)+'Model Setup'!$M$8*(SUMIF($BH$3:$CE$3,"&lt;"&amp;$DF6,$AD6:$BA6)+SUMIF($BH$3:$CE$3,"&gt;"&amp;$CW$4,$AD6:$BA6)),
IF(BM$3=$DF6+'Model Setup'!$N$7,SUMIF($BH$3:$CE$3,"="&amp;$DF6+'Model Setup'!$N$7,$AD6:$BA6)+'Model Setup'!$N$8*(SUMIF($BH$3:$CE$3,"&lt;"&amp;$DF6,$AD6:$BA6)+SUMIF($BH$3:$CE$3,"&gt;"&amp;$CW$4,$AD6:$BA6)),
IF(BM$3&lt;$CW$4,G6,0))))))))))))))),0)</f>
        <v>0</v>
      </c>
      <c r="BN6" s="47">
        <f>ROUND(IF(OR(BN$3&lt;$DF6,BN$3&gt;$CW$4),0,
IF(BN$3=$DF6+'Model Setup'!$B$7,SUMIF($BH$3:$CE$3,"="&amp;$DF6+'Model Setup'!$B$7,$AD6:$BA6)+'Model Setup'!$B$8*(SUMIF($BH$3:$CE$3,"&lt;"&amp;$DF6,$AD6:$BA6)+SUMIF($BH$3:$CE$3,"&gt;"&amp;$CW$4,$AD6:$BA6)),
IF(BN$3=$DF6+'Model Setup'!$C$7,SUMIF($BH$3:$CE$3,"="&amp;$DF6+'Model Setup'!$C$7,$AD6:$BA6)+'Model Setup'!$C$8*(SUMIF($BH$3:$CE$3,"&lt;"&amp;$DF6,$AD6:$BA6)+SUMIF($BH$3:$CE$3,"&gt;"&amp;$CW$4,$AD6:$BA6)),
IF(BN$3=$DF6+'Model Setup'!$D$7,SUMIF($BH$3:$CE$3,"="&amp;$DF6+'Model Setup'!$D$7,$AD6:$BA6)+'Model Setup'!$D$8*(SUMIF($BH$3:$CE$3,"&lt;"&amp;$DF6,$AD6:$BA6)+SUMIF($BH$3:$CE$3,"&gt;"&amp;$CW$4,$AD6:$BA6)),
IF(BN$3=$DF6+'Model Setup'!$E$7,SUMIF($BH$3:$CE$3,"="&amp;$DF6+'Model Setup'!$E$7,$AD6:$BA6)+'Model Setup'!$E$8*(SUMIF($BH$3:$CE$3,"&lt;"&amp;$DF6,$AD6:$BA6)+SUMIF($BH$3:$CE$3,"&gt;"&amp;$CW$4,$AD6:$BA6)),
IF(BN$3=$DF6+'Model Setup'!$F$7,SUMIF($BH$3:$CE$3,"="&amp;$DF6+'Model Setup'!$F$7,$AD6:$BA6)+'Model Setup'!$F$8*(SUMIF($BH$3:$CE$3,"&lt;"&amp;$DF6,$AD6:$BA6)+SUMIF($BH$3:$CE$3,"&gt;"&amp;$CW$4,$AD6:$BA6)),
IF(BN$3=$DF6+'Model Setup'!$G$7,SUMIF($BH$3:$CE$3,"="&amp;$DF6+'Model Setup'!$G$7,$AD6:$BA6)+'Model Setup'!$G$8*(SUMIF($BH$3:$CE$3,"&lt;"&amp;$DF6,$AD6:$BA6)+SUMIF($BH$3:$CE$3,"&gt;"&amp;$CW$4,$AD6:$BA6)),
IF(BN$3=$DF6+'Model Setup'!$H$7,SUMIF($BH$3:$CE$3,"="&amp;$DF6+'Model Setup'!$H$7,$AD6:$BA6)+'Model Setup'!$H$8*(SUMIF($BH$3:$CE$3,"&lt;"&amp;$DF6,$AD6:$BA6)+SUMIF($BH$3:$CE$3,"&gt;"&amp;$CW$4,$AD6:$BA6)),
IF(BN$3=$DF6+'Model Setup'!$I$7,SUMIF($BH$3:$CE$3,"="&amp;$DF6+'Model Setup'!$I$7,$AD6:$BA6)+'Model Setup'!$I$8*(SUMIF($BH$3:$CE$3,"&lt;"&amp;$DF6,$AD6:$BA6)+SUMIF($BH$3:$CE$3,"&gt;"&amp;$CW$4,$AD6:$BA6)),
IF(BN$3=$DF6+'Model Setup'!$J$7,SUMIF($BH$3:$CE$3,"="&amp;$DF6+'Model Setup'!$J$7,$AD6:$BA6)+'Model Setup'!$J$8*(SUMIF($BH$3:$CE$3,"&lt;"&amp;$DF6,$AD6:$BA6)+SUMIF($BH$3:$CE$3,"&gt;"&amp;$CW$4,$AD6:$BA6)),
IF(BN$3=$DF6+'Model Setup'!$K$7,SUMIF($BH$3:$CE$3,"="&amp;$DF6+'Model Setup'!$K$7,$AD6:$BA6)+'Model Setup'!$K$8*(SUMIF($BH$3:$CE$3,"&lt;"&amp;$DF6,$AD6:$BA6)+SUMIF($BH$3:$CE$3,"&gt;"&amp;$CW$4,$AD6:$BA6)),
IF(BN$3=$DF6+'Model Setup'!$L$7,SUMIF($BH$3:$CE$3,"="&amp;$DF6+'Model Setup'!$L$7,$AD6:$BA6)+'Model Setup'!$L$8*(SUMIF($BH$3:$CE$3,"&lt;"&amp;$DF6,$AD6:$BA6)+SUMIF($BH$3:$CE$3,"&gt;"&amp;$CW$4,$AD6:$BA6)),
IF(BN$3=$DF6+'Model Setup'!$M$7,SUMIF($BH$3:$CE$3,"="&amp;$DF6+'Model Setup'!$M$7,$AD6:$BA6)+'Model Setup'!$M$8*(SUMIF($BH$3:$CE$3,"&lt;"&amp;$DF6,$AD6:$BA6)+SUMIF($BH$3:$CE$3,"&gt;"&amp;$CW$4,$AD6:$BA6)),
IF(BN$3=$DF6+'Model Setup'!$N$7,SUMIF($BH$3:$CE$3,"="&amp;$DF6+'Model Setup'!$N$7,$AD6:$BA6)+'Model Setup'!$N$8*(SUMIF($BH$3:$CE$3,"&lt;"&amp;$DF6,$AD6:$BA6)+SUMIF($BH$3:$CE$3,"&gt;"&amp;$CW$4,$AD6:$BA6)),
IF(BN$3&lt;$CW$4,H6,0))))))))))))))),0)</f>
        <v>38</v>
      </c>
      <c r="BO6" s="47">
        <f>ROUND(IF(OR(BO$3&lt;$DF6,BO$3&gt;$CW$4),0,
IF(BO$3=$DF6+'Model Setup'!$B$7,SUMIF($BH$3:$CE$3,"="&amp;$DF6+'Model Setup'!$B$7,$AD6:$BA6)+'Model Setup'!$B$8*(SUMIF($BH$3:$CE$3,"&lt;"&amp;$DF6,$AD6:$BA6)+SUMIF($BH$3:$CE$3,"&gt;"&amp;$CW$4,$AD6:$BA6)),
IF(BO$3=$DF6+'Model Setup'!$C$7,SUMIF($BH$3:$CE$3,"="&amp;$DF6+'Model Setup'!$C$7,$AD6:$BA6)+'Model Setup'!$C$8*(SUMIF($BH$3:$CE$3,"&lt;"&amp;$DF6,$AD6:$BA6)+SUMIF($BH$3:$CE$3,"&gt;"&amp;$CW$4,$AD6:$BA6)),
IF(BO$3=$DF6+'Model Setup'!$D$7,SUMIF($BH$3:$CE$3,"="&amp;$DF6+'Model Setup'!$D$7,$AD6:$BA6)+'Model Setup'!$D$8*(SUMIF($BH$3:$CE$3,"&lt;"&amp;$DF6,$AD6:$BA6)+SUMIF($BH$3:$CE$3,"&gt;"&amp;$CW$4,$AD6:$BA6)),
IF(BO$3=$DF6+'Model Setup'!$E$7,SUMIF($BH$3:$CE$3,"="&amp;$DF6+'Model Setup'!$E$7,$AD6:$BA6)+'Model Setup'!$E$8*(SUMIF($BH$3:$CE$3,"&lt;"&amp;$DF6,$AD6:$BA6)+SUMIF($BH$3:$CE$3,"&gt;"&amp;$CW$4,$AD6:$BA6)),
IF(BO$3=$DF6+'Model Setup'!$F$7,SUMIF($BH$3:$CE$3,"="&amp;$DF6+'Model Setup'!$F$7,$AD6:$BA6)+'Model Setup'!$F$8*(SUMIF($BH$3:$CE$3,"&lt;"&amp;$DF6,$AD6:$BA6)+SUMIF($BH$3:$CE$3,"&gt;"&amp;$CW$4,$AD6:$BA6)),
IF(BO$3=$DF6+'Model Setup'!$G$7,SUMIF($BH$3:$CE$3,"="&amp;$DF6+'Model Setup'!$G$7,$AD6:$BA6)+'Model Setup'!$G$8*(SUMIF($BH$3:$CE$3,"&lt;"&amp;$DF6,$AD6:$BA6)+SUMIF($BH$3:$CE$3,"&gt;"&amp;$CW$4,$AD6:$BA6)),
IF(BO$3=$DF6+'Model Setup'!$H$7,SUMIF($BH$3:$CE$3,"="&amp;$DF6+'Model Setup'!$H$7,$AD6:$BA6)+'Model Setup'!$H$8*(SUMIF($BH$3:$CE$3,"&lt;"&amp;$DF6,$AD6:$BA6)+SUMIF($BH$3:$CE$3,"&gt;"&amp;$CW$4,$AD6:$BA6)),
IF(BO$3=$DF6+'Model Setup'!$I$7,SUMIF($BH$3:$CE$3,"="&amp;$DF6+'Model Setup'!$I$7,$AD6:$BA6)+'Model Setup'!$I$8*(SUMIF($BH$3:$CE$3,"&lt;"&amp;$DF6,$AD6:$BA6)+SUMIF($BH$3:$CE$3,"&gt;"&amp;$CW$4,$AD6:$BA6)),
IF(BO$3=$DF6+'Model Setup'!$J$7,SUMIF($BH$3:$CE$3,"="&amp;$DF6+'Model Setup'!$J$7,$AD6:$BA6)+'Model Setup'!$J$8*(SUMIF($BH$3:$CE$3,"&lt;"&amp;$DF6,$AD6:$BA6)+SUMIF($BH$3:$CE$3,"&gt;"&amp;$CW$4,$AD6:$BA6)),
IF(BO$3=$DF6+'Model Setup'!$K$7,SUMIF($BH$3:$CE$3,"="&amp;$DF6+'Model Setup'!$K$7,$AD6:$BA6)+'Model Setup'!$K$8*(SUMIF($BH$3:$CE$3,"&lt;"&amp;$DF6,$AD6:$BA6)+SUMIF($BH$3:$CE$3,"&gt;"&amp;$CW$4,$AD6:$BA6)),
IF(BO$3=$DF6+'Model Setup'!$L$7,SUMIF($BH$3:$CE$3,"="&amp;$DF6+'Model Setup'!$L$7,$AD6:$BA6)+'Model Setup'!$L$8*(SUMIF($BH$3:$CE$3,"&lt;"&amp;$DF6,$AD6:$BA6)+SUMIF($BH$3:$CE$3,"&gt;"&amp;$CW$4,$AD6:$BA6)),
IF(BO$3=$DF6+'Model Setup'!$M$7,SUMIF($BH$3:$CE$3,"="&amp;$DF6+'Model Setup'!$M$7,$AD6:$BA6)+'Model Setup'!$M$8*(SUMIF($BH$3:$CE$3,"&lt;"&amp;$DF6,$AD6:$BA6)+SUMIF($BH$3:$CE$3,"&gt;"&amp;$CW$4,$AD6:$BA6)),
IF(BO$3=$DF6+'Model Setup'!$N$7,SUMIF($BH$3:$CE$3,"="&amp;$DF6+'Model Setup'!$N$7,$AD6:$BA6)+'Model Setup'!$N$8*(SUMIF($BH$3:$CE$3,"&lt;"&amp;$DF6,$AD6:$BA6)+SUMIF($BH$3:$CE$3,"&gt;"&amp;$CW$4,$AD6:$BA6)),
IF(BO$3&lt;$CW$4,I6,0))))))))))))))),0)</f>
        <v>66</v>
      </c>
      <c r="BP6" s="47">
        <f>ROUND(IF(OR(BP$3&lt;$DF6,BP$3&gt;$CW$4),0,
IF(BP$3=$DF6+'Model Setup'!$B$7,SUMIF($BH$3:$CE$3,"="&amp;$DF6+'Model Setup'!$B$7,$AD6:$BA6)+'Model Setup'!$B$8*(SUMIF($BH$3:$CE$3,"&lt;"&amp;$DF6,$AD6:$BA6)+SUMIF($BH$3:$CE$3,"&gt;"&amp;$CW$4,$AD6:$BA6)),
IF(BP$3=$DF6+'Model Setup'!$C$7,SUMIF($BH$3:$CE$3,"="&amp;$DF6+'Model Setup'!$C$7,$AD6:$BA6)+'Model Setup'!$C$8*(SUMIF($BH$3:$CE$3,"&lt;"&amp;$DF6,$AD6:$BA6)+SUMIF($BH$3:$CE$3,"&gt;"&amp;$CW$4,$AD6:$BA6)),
IF(BP$3=$DF6+'Model Setup'!$D$7,SUMIF($BH$3:$CE$3,"="&amp;$DF6+'Model Setup'!$D$7,$AD6:$BA6)+'Model Setup'!$D$8*(SUMIF($BH$3:$CE$3,"&lt;"&amp;$DF6,$AD6:$BA6)+SUMIF($BH$3:$CE$3,"&gt;"&amp;$CW$4,$AD6:$BA6)),
IF(BP$3=$DF6+'Model Setup'!$E$7,SUMIF($BH$3:$CE$3,"="&amp;$DF6+'Model Setup'!$E$7,$AD6:$BA6)+'Model Setup'!$E$8*(SUMIF($BH$3:$CE$3,"&lt;"&amp;$DF6,$AD6:$BA6)+SUMIF($BH$3:$CE$3,"&gt;"&amp;$CW$4,$AD6:$BA6)),
IF(BP$3=$DF6+'Model Setup'!$F$7,SUMIF($BH$3:$CE$3,"="&amp;$DF6+'Model Setup'!$F$7,$AD6:$BA6)+'Model Setup'!$F$8*(SUMIF($BH$3:$CE$3,"&lt;"&amp;$DF6,$AD6:$BA6)+SUMIF($BH$3:$CE$3,"&gt;"&amp;$CW$4,$AD6:$BA6)),
IF(BP$3=$DF6+'Model Setup'!$G$7,SUMIF($BH$3:$CE$3,"="&amp;$DF6+'Model Setup'!$G$7,$AD6:$BA6)+'Model Setup'!$G$8*(SUMIF($BH$3:$CE$3,"&lt;"&amp;$DF6,$AD6:$BA6)+SUMIF($BH$3:$CE$3,"&gt;"&amp;$CW$4,$AD6:$BA6)),
IF(BP$3=$DF6+'Model Setup'!$H$7,SUMIF($BH$3:$CE$3,"="&amp;$DF6+'Model Setup'!$H$7,$AD6:$BA6)+'Model Setup'!$H$8*(SUMIF($BH$3:$CE$3,"&lt;"&amp;$DF6,$AD6:$BA6)+SUMIF($BH$3:$CE$3,"&gt;"&amp;$CW$4,$AD6:$BA6)),
IF(BP$3=$DF6+'Model Setup'!$I$7,SUMIF($BH$3:$CE$3,"="&amp;$DF6+'Model Setup'!$I$7,$AD6:$BA6)+'Model Setup'!$I$8*(SUMIF($BH$3:$CE$3,"&lt;"&amp;$DF6,$AD6:$BA6)+SUMIF($BH$3:$CE$3,"&gt;"&amp;$CW$4,$AD6:$BA6)),
IF(BP$3=$DF6+'Model Setup'!$J$7,SUMIF($BH$3:$CE$3,"="&amp;$DF6+'Model Setup'!$J$7,$AD6:$BA6)+'Model Setup'!$J$8*(SUMIF($BH$3:$CE$3,"&lt;"&amp;$DF6,$AD6:$BA6)+SUMIF($BH$3:$CE$3,"&gt;"&amp;$CW$4,$AD6:$BA6)),
IF(BP$3=$DF6+'Model Setup'!$K$7,SUMIF($BH$3:$CE$3,"="&amp;$DF6+'Model Setup'!$K$7,$AD6:$BA6)+'Model Setup'!$K$8*(SUMIF($BH$3:$CE$3,"&lt;"&amp;$DF6,$AD6:$BA6)+SUMIF($BH$3:$CE$3,"&gt;"&amp;$CW$4,$AD6:$BA6)),
IF(BP$3=$DF6+'Model Setup'!$L$7,SUMIF($BH$3:$CE$3,"="&amp;$DF6+'Model Setup'!$L$7,$AD6:$BA6)+'Model Setup'!$L$8*(SUMIF($BH$3:$CE$3,"&lt;"&amp;$DF6,$AD6:$BA6)+SUMIF($BH$3:$CE$3,"&gt;"&amp;$CW$4,$AD6:$BA6)),
IF(BP$3=$DF6+'Model Setup'!$M$7,SUMIF($BH$3:$CE$3,"="&amp;$DF6+'Model Setup'!$M$7,$AD6:$BA6)+'Model Setup'!$M$8*(SUMIF($BH$3:$CE$3,"&lt;"&amp;$DF6,$AD6:$BA6)+SUMIF($BH$3:$CE$3,"&gt;"&amp;$CW$4,$AD6:$BA6)),
IF(BP$3=$DF6+'Model Setup'!$N$7,SUMIF($BH$3:$CE$3,"="&amp;$DF6+'Model Setup'!$N$7,$AD6:$BA6)+'Model Setup'!$N$8*(SUMIF($BH$3:$CE$3,"&lt;"&amp;$DF6,$AD6:$BA6)+SUMIF($BH$3:$CE$3,"&gt;"&amp;$CW$4,$AD6:$BA6)),
IF(BP$3&lt;$CW$4,J6,0))))))))))))))),0)</f>
        <v>54</v>
      </c>
      <c r="BQ6" s="47">
        <f>ROUND(IF(OR(BQ$3&lt;$DF6,BQ$3&gt;$CW$4),0,
IF(BQ$3=$DF6+'Model Setup'!$B$7,SUMIF($BH$3:$CE$3,"="&amp;$DF6+'Model Setup'!$B$7,$AD6:$BA6)+'Model Setup'!$B$8*(SUMIF($BH$3:$CE$3,"&lt;"&amp;$DF6,$AD6:$BA6)+SUMIF($BH$3:$CE$3,"&gt;"&amp;$CW$4,$AD6:$BA6)),
IF(BQ$3=$DF6+'Model Setup'!$C$7,SUMIF($BH$3:$CE$3,"="&amp;$DF6+'Model Setup'!$C$7,$AD6:$BA6)+'Model Setup'!$C$8*(SUMIF($BH$3:$CE$3,"&lt;"&amp;$DF6,$AD6:$BA6)+SUMIF($BH$3:$CE$3,"&gt;"&amp;$CW$4,$AD6:$BA6)),
IF(BQ$3=$DF6+'Model Setup'!$D$7,SUMIF($BH$3:$CE$3,"="&amp;$DF6+'Model Setup'!$D$7,$AD6:$BA6)+'Model Setup'!$D$8*(SUMIF($BH$3:$CE$3,"&lt;"&amp;$DF6,$AD6:$BA6)+SUMIF($BH$3:$CE$3,"&gt;"&amp;$CW$4,$AD6:$BA6)),
IF(BQ$3=$DF6+'Model Setup'!$E$7,SUMIF($BH$3:$CE$3,"="&amp;$DF6+'Model Setup'!$E$7,$AD6:$BA6)+'Model Setup'!$E$8*(SUMIF($BH$3:$CE$3,"&lt;"&amp;$DF6,$AD6:$BA6)+SUMIF($BH$3:$CE$3,"&gt;"&amp;$CW$4,$AD6:$BA6)),
IF(BQ$3=$DF6+'Model Setup'!$F$7,SUMIF($BH$3:$CE$3,"="&amp;$DF6+'Model Setup'!$F$7,$AD6:$BA6)+'Model Setup'!$F$8*(SUMIF($BH$3:$CE$3,"&lt;"&amp;$DF6,$AD6:$BA6)+SUMIF($BH$3:$CE$3,"&gt;"&amp;$CW$4,$AD6:$BA6)),
IF(BQ$3=$DF6+'Model Setup'!$G$7,SUMIF($BH$3:$CE$3,"="&amp;$DF6+'Model Setup'!$G$7,$AD6:$BA6)+'Model Setup'!$G$8*(SUMIF($BH$3:$CE$3,"&lt;"&amp;$DF6,$AD6:$BA6)+SUMIF($BH$3:$CE$3,"&gt;"&amp;$CW$4,$AD6:$BA6)),
IF(BQ$3=$DF6+'Model Setup'!$H$7,SUMIF($BH$3:$CE$3,"="&amp;$DF6+'Model Setup'!$H$7,$AD6:$BA6)+'Model Setup'!$H$8*(SUMIF($BH$3:$CE$3,"&lt;"&amp;$DF6,$AD6:$BA6)+SUMIF($BH$3:$CE$3,"&gt;"&amp;$CW$4,$AD6:$BA6)),
IF(BQ$3=$DF6+'Model Setup'!$I$7,SUMIF($BH$3:$CE$3,"="&amp;$DF6+'Model Setup'!$I$7,$AD6:$BA6)+'Model Setup'!$I$8*(SUMIF($BH$3:$CE$3,"&lt;"&amp;$DF6,$AD6:$BA6)+SUMIF($BH$3:$CE$3,"&gt;"&amp;$CW$4,$AD6:$BA6)),
IF(BQ$3=$DF6+'Model Setup'!$J$7,SUMIF($BH$3:$CE$3,"="&amp;$DF6+'Model Setup'!$J$7,$AD6:$BA6)+'Model Setup'!$J$8*(SUMIF($BH$3:$CE$3,"&lt;"&amp;$DF6,$AD6:$BA6)+SUMIF($BH$3:$CE$3,"&gt;"&amp;$CW$4,$AD6:$BA6)),
IF(BQ$3=$DF6+'Model Setup'!$K$7,SUMIF($BH$3:$CE$3,"="&amp;$DF6+'Model Setup'!$K$7,$AD6:$BA6)+'Model Setup'!$K$8*(SUMIF($BH$3:$CE$3,"&lt;"&amp;$DF6,$AD6:$BA6)+SUMIF($BH$3:$CE$3,"&gt;"&amp;$CW$4,$AD6:$BA6)),
IF(BQ$3=$DF6+'Model Setup'!$L$7,SUMIF($BH$3:$CE$3,"="&amp;$DF6+'Model Setup'!$L$7,$AD6:$BA6)+'Model Setup'!$L$8*(SUMIF($BH$3:$CE$3,"&lt;"&amp;$DF6,$AD6:$BA6)+SUMIF($BH$3:$CE$3,"&gt;"&amp;$CW$4,$AD6:$BA6)),
IF(BQ$3=$DF6+'Model Setup'!$M$7,SUMIF($BH$3:$CE$3,"="&amp;$DF6+'Model Setup'!$M$7,$AD6:$BA6)+'Model Setup'!$M$8*(SUMIF($BH$3:$CE$3,"&lt;"&amp;$DF6,$AD6:$BA6)+SUMIF($BH$3:$CE$3,"&gt;"&amp;$CW$4,$AD6:$BA6)),
IF(BQ$3=$DF6+'Model Setup'!$N$7,SUMIF($BH$3:$CE$3,"="&amp;$DF6+'Model Setup'!$N$7,$AD6:$BA6)+'Model Setup'!$N$8*(SUMIF($BH$3:$CE$3,"&lt;"&amp;$DF6,$AD6:$BA6)+SUMIF($BH$3:$CE$3,"&gt;"&amp;$CW$4,$AD6:$BA6)),
IF(BQ$3&lt;$CW$4,K6,0))))))))))))))),0)</f>
        <v>57</v>
      </c>
      <c r="BR6" s="47">
        <f>ROUND(IF(OR(BR$3&lt;$DF6,BR$3&gt;$CW$4),0,
IF(BR$3=$DF6+'Model Setup'!$B$7,SUMIF($BH$3:$CE$3,"="&amp;$DF6+'Model Setup'!$B$7,$AD6:$BA6)+'Model Setup'!$B$8*(SUMIF($BH$3:$CE$3,"&lt;"&amp;$DF6,$AD6:$BA6)+SUMIF($BH$3:$CE$3,"&gt;"&amp;$CW$4,$AD6:$BA6)),
IF(BR$3=$DF6+'Model Setup'!$C$7,SUMIF($BH$3:$CE$3,"="&amp;$DF6+'Model Setup'!$C$7,$AD6:$BA6)+'Model Setup'!$C$8*(SUMIF($BH$3:$CE$3,"&lt;"&amp;$DF6,$AD6:$BA6)+SUMIF($BH$3:$CE$3,"&gt;"&amp;$CW$4,$AD6:$BA6)),
IF(BR$3=$DF6+'Model Setup'!$D$7,SUMIF($BH$3:$CE$3,"="&amp;$DF6+'Model Setup'!$D$7,$AD6:$BA6)+'Model Setup'!$D$8*(SUMIF($BH$3:$CE$3,"&lt;"&amp;$DF6,$AD6:$BA6)+SUMIF($BH$3:$CE$3,"&gt;"&amp;$CW$4,$AD6:$BA6)),
IF(BR$3=$DF6+'Model Setup'!$E$7,SUMIF($BH$3:$CE$3,"="&amp;$DF6+'Model Setup'!$E$7,$AD6:$BA6)+'Model Setup'!$E$8*(SUMIF($BH$3:$CE$3,"&lt;"&amp;$DF6,$AD6:$BA6)+SUMIF($BH$3:$CE$3,"&gt;"&amp;$CW$4,$AD6:$BA6)),
IF(BR$3=$DF6+'Model Setup'!$F$7,SUMIF($BH$3:$CE$3,"="&amp;$DF6+'Model Setup'!$F$7,$AD6:$BA6)+'Model Setup'!$F$8*(SUMIF($BH$3:$CE$3,"&lt;"&amp;$DF6,$AD6:$BA6)+SUMIF($BH$3:$CE$3,"&gt;"&amp;$CW$4,$AD6:$BA6)),
IF(BR$3=$DF6+'Model Setup'!$G$7,SUMIF($BH$3:$CE$3,"="&amp;$DF6+'Model Setup'!$G$7,$AD6:$BA6)+'Model Setup'!$G$8*(SUMIF($BH$3:$CE$3,"&lt;"&amp;$DF6,$AD6:$BA6)+SUMIF($BH$3:$CE$3,"&gt;"&amp;$CW$4,$AD6:$BA6)),
IF(BR$3=$DF6+'Model Setup'!$H$7,SUMIF($BH$3:$CE$3,"="&amp;$DF6+'Model Setup'!$H$7,$AD6:$BA6)+'Model Setup'!$H$8*(SUMIF($BH$3:$CE$3,"&lt;"&amp;$DF6,$AD6:$BA6)+SUMIF($BH$3:$CE$3,"&gt;"&amp;$CW$4,$AD6:$BA6)),
IF(BR$3=$DF6+'Model Setup'!$I$7,SUMIF($BH$3:$CE$3,"="&amp;$DF6+'Model Setup'!$I$7,$AD6:$BA6)+'Model Setup'!$I$8*(SUMIF($BH$3:$CE$3,"&lt;"&amp;$DF6,$AD6:$BA6)+SUMIF($BH$3:$CE$3,"&gt;"&amp;$CW$4,$AD6:$BA6)),
IF(BR$3=$DF6+'Model Setup'!$J$7,SUMIF($BH$3:$CE$3,"="&amp;$DF6+'Model Setup'!$J$7,$AD6:$BA6)+'Model Setup'!$J$8*(SUMIF($BH$3:$CE$3,"&lt;"&amp;$DF6,$AD6:$BA6)+SUMIF($BH$3:$CE$3,"&gt;"&amp;$CW$4,$AD6:$BA6)),
IF(BR$3=$DF6+'Model Setup'!$K$7,SUMIF($BH$3:$CE$3,"="&amp;$DF6+'Model Setup'!$K$7,$AD6:$BA6)+'Model Setup'!$K$8*(SUMIF($BH$3:$CE$3,"&lt;"&amp;$DF6,$AD6:$BA6)+SUMIF($BH$3:$CE$3,"&gt;"&amp;$CW$4,$AD6:$BA6)),
IF(BR$3=$DF6+'Model Setup'!$L$7,SUMIF($BH$3:$CE$3,"="&amp;$DF6+'Model Setup'!$L$7,$AD6:$BA6)+'Model Setup'!$L$8*(SUMIF($BH$3:$CE$3,"&lt;"&amp;$DF6,$AD6:$BA6)+SUMIF($BH$3:$CE$3,"&gt;"&amp;$CW$4,$AD6:$BA6)),
IF(BR$3=$DF6+'Model Setup'!$M$7,SUMIF($BH$3:$CE$3,"="&amp;$DF6+'Model Setup'!$M$7,$AD6:$BA6)+'Model Setup'!$M$8*(SUMIF($BH$3:$CE$3,"&lt;"&amp;$DF6,$AD6:$BA6)+SUMIF($BH$3:$CE$3,"&gt;"&amp;$CW$4,$AD6:$BA6)),
IF(BR$3=$DF6+'Model Setup'!$N$7,SUMIF($BH$3:$CE$3,"="&amp;$DF6+'Model Setup'!$N$7,$AD6:$BA6)+'Model Setup'!$N$8*(SUMIF($BH$3:$CE$3,"&lt;"&amp;$DF6,$AD6:$BA6)+SUMIF($BH$3:$CE$3,"&gt;"&amp;$CW$4,$AD6:$BA6)),
IF(BR$3&lt;$CW$4,L6,0))))))))))))))),0)</f>
        <v>54</v>
      </c>
      <c r="BS6" s="47">
        <f>ROUND(IF(OR(BS$3&lt;$DF6,BS$3&gt;$CW$4),0,
IF(BS$3=$DF6+'Model Setup'!$B$7,SUMIF($BH$3:$CE$3,"="&amp;$DF6+'Model Setup'!$B$7,$AD6:$BA6)+'Model Setup'!$B$8*(SUMIF($BH$3:$CE$3,"&lt;"&amp;$DF6,$AD6:$BA6)+SUMIF($BH$3:$CE$3,"&gt;"&amp;$CW$4,$AD6:$BA6)),
IF(BS$3=$DF6+'Model Setup'!$C$7,SUMIF($BH$3:$CE$3,"="&amp;$DF6+'Model Setup'!$C$7,$AD6:$BA6)+'Model Setup'!$C$8*(SUMIF($BH$3:$CE$3,"&lt;"&amp;$DF6,$AD6:$BA6)+SUMIF($BH$3:$CE$3,"&gt;"&amp;$CW$4,$AD6:$BA6)),
IF(BS$3=$DF6+'Model Setup'!$D$7,SUMIF($BH$3:$CE$3,"="&amp;$DF6+'Model Setup'!$D$7,$AD6:$BA6)+'Model Setup'!$D$8*(SUMIF($BH$3:$CE$3,"&lt;"&amp;$DF6,$AD6:$BA6)+SUMIF($BH$3:$CE$3,"&gt;"&amp;$CW$4,$AD6:$BA6)),
IF(BS$3=$DF6+'Model Setup'!$E$7,SUMIF($BH$3:$CE$3,"="&amp;$DF6+'Model Setup'!$E$7,$AD6:$BA6)+'Model Setup'!$E$8*(SUMIF($BH$3:$CE$3,"&lt;"&amp;$DF6,$AD6:$BA6)+SUMIF($BH$3:$CE$3,"&gt;"&amp;$CW$4,$AD6:$BA6)),
IF(BS$3=$DF6+'Model Setup'!$F$7,SUMIF($BH$3:$CE$3,"="&amp;$DF6+'Model Setup'!$F$7,$AD6:$BA6)+'Model Setup'!$F$8*(SUMIF($BH$3:$CE$3,"&lt;"&amp;$DF6,$AD6:$BA6)+SUMIF($BH$3:$CE$3,"&gt;"&amp;$CW$4,$AD6:$BA6)),
IF(BS$3=$DF6+'Model Setup'!$G$7,SUMIF($BH$3:$CE$3,"="&amp;$DF6+'Model Setup'!$G$7,$AD6:$BA6)+'Model Setup'!$G$8*(SUMIF($BH$3:$CE$3,"&lt;"&amp;$DF6,$AD6:$BA6)+SUMIF($BH$3:$CE$3,"&gt;"&amp;$CW$4,$AD6:$BA6)),
IF(BS$3=$DF6+'Model Setup'!$H$7,SUMIF($BH$3:$CE$3,"="&amp;$DF6+'Model Setup'!$H$7,$AD6:$BA6)+'Model Setup'!$H$8*(SUMIF($BH$3:$CE$3,"&lt;"&amp;$DF6,$AD6:$BA6)+SUMIF($BH$3:$CE$3,"&gt;"&amp;$CW$4,$AD6:$BA6)),
IF(BS$3=$DF6+'Model Setup'!$I$7,SUMIF($BH$3:$CE$3,"="&amp;$DF6+'Model Setup'!$I$7,$AD6:$BA6)+'Model Setup'!$I$8*(SUMIF($BH$3:$CE$3,"&lt;"&amp;$DF6,$AD6:$BA6)+SUMIF($BH$3:$CE$3,"&gt;"&amp;$CW$4,$AD6:$BA6)),
IF(BS$3=$DF6+'Model Setup'!$J$7,SUMIF($BH$3:$CE$3,"="&amp;$DF6+'Model Setup'!$J$7,$AD6:$BA6)+'Model Setup'!$J$8*(SUMIF($BH$3:$CE$3,"&lt;"&amp;$DF6,$AD6:$BA6)+SUMIF($BH$3:$CE$3,"&gt;"&amp;$CW$4,$AD6:$BA6)),
IF(BS$3=$DF6+'Model Setup'!$K$7,SUMIF($BH$3:$CE$3,"="&amp;$DF6+'Model Setup'!$K$7,$AD6:$BA6)+'Model Setup'!$K$8*(SUMIF($BH$3:$CE$3,"&lt;"&amp;$DF6,$AD6:$BA6)+SUMIF($BH$3:$CE$3,"&gt;"&amp;$CW$4,$AD6:$BA6)),
IF(BS$3=$DF6+'Model Setup'!$L$7,SUMIF($BH$3:$CE$3,"="&amp;$DF6+'Model Setup'!$L$7,$AD6:$BA6)+'Model Setup'!$L$8*(SUMIF($BH$3:$CE$3,"&lt;"&amp;$DF6,$AD6:$BA6)+SUMIF($BH$3:$CE$3,"&gt;"&amp;$CW$4,$AD6:$BA6)),
IF(BS$3=$DF6+'Model Setup'!$M$7,SUMIF($BH$3:$CE$3,"="&amp;$DF6+'Model Setup'!$M$7,$AD6:$BA6)+'Model Setup'!$M$8*(SUMIF($BH$3:$CE$3,"&lt;"&amp;$DF6,$AD6:$BA6)+SUMIF($BH$3:$CE$3,"&gt;"&amp;$CW$4,$AD6:$BA6)),
IF(BS$3=$DF6+'Model Setup'!$N$7,SUMIF($BH$3:$CE$3,"="&amp;$DF6+'Model Setup'!$N$7,$AD6:$BA6)+'Model Setup'!$N$8*(SUMIF($BH$3:$CE$3,"&lt;"&amp;$DF6,$AD6:$BA6)+SUMIF($BH$3:$CE$3,"&gt;"&amp;$CW$4,$AD6:$BA6)),
IF(BS$3&lt;$CW$4,M6,0))))))))))))))),0)</f>
        <v>34</v>
      </c>
      <c r="BT6" s="47">
        <f>ROUND(IF(OR(BT$3&lt;$DF6,BT$3&gt;$CW$4),0,
IF(BT$3=$DF6+'Model Setup'!$B$7,SUMIF($BH$3:$CE$3,"="&amp;$DF6+'Model Setup'!$B$7,$AD6:$BA6)+'Model Setup'!$B$8*(SUMIF($BH$3:$CE$3,"&lt;"&amp;$DF6,$AD6:$BA6)+SUMIF($BH$3:$CE$3,"&gt;"&amp;$CW$4,$AD6:$BA6)),
IF(BT$3=$DF6+'Model Setup'!$C$7,SUMIF($BH$3:$CE$3,"="&amp;$DF6+'Model Setup'!$C$7,$AD6:$BA6)+'Model Setup'!$C$8*(SUMIF($BH$3:$CE$3,"&lt;"&amp;$DF6,$AD6:$BA6)+SUMIF($BH$3:$CE$3,"&gt;"&amp;$CW$4,$AD6:$BA6)),
IF(BT$3=$DF6+'Model Setup'!$D$7,SUMIF($BH$3:$CE$3,"="&amp;$DF6+'Model Setup'!$D$7,$AD6:$BA6)+'Model Setup'!$D$8*(SUMIF($BH$3:$CE$3,"&lt;"&amp;$DF6,$AD6:$BA6)+SUMIF($BH$3:$CE$3,"&gt;"&amp;$CW$4,$AD6:$BA6)),
IF(BT$3=$DF6+'Model Setup'!$E$7,SUMIF($BH$3:$CE$3,"="&amp;$DF6+'Model Setup'!$E$7,$AD6:$BA6)+'Model Setup'!$E$8*(SUMIF($BH$3:$CE$3,"&lt;"&amp;$DF6,$AD6:$BA6)+SUMIF($BH$3:$CE$3,"&gt;"&amp;$CW$4,$AD6:$BA6)),
IF(BT$3=$DF6+'Model Setup'!$F$7,SUMIF($BH$3:$CE$3,"="&amp;$DF6+'Model Setup'!$F$7,$AD6:$BA6)+'Model Setup'!$F$8*(SUMIF($BH$3:$CE$3,"&lt;"&amp;$DF6,$AD6:$BA6)+SUMIF($BH$3:$CE$3,"&gt;"&amp;$CW$4,$AD6:$BA6)),
IF(BT$3=$DF6+'Model Setup'!$G$7,SUMIF($BH$3:$CE$3,"="&amp;$DF6+'Model Setup'!$G$7,$AD6:$BA6)+'Model Setup'!$G$8*(SUMIF($BH$3:$CE$3,"&lt;"&amp;$DF6,$AD6:$BA6)+SUMIF($BH$3:$CE$3,"&gt;"&amp;$CW$4,$AD6:$BA6)),
IF(BT$3=$DF6+'Model Setup'!$H$7,SUMIF($BH$3:$CE$3,"="&amp;$DF6+'Model Setup'!$H$7,$AD6:$BA6)+'Model Setup'!$H$8*(SUMIF($BH$3:$CE$3,"&lt;"&amp;$DF6,$AD6:$BA6)+SUMIF($BH$3:$CE$3,"&gt;"&amp;$CW$4,$AD6:$BA6)),
IF(BT$3=$DF6+'Model Setup'!$I$7,SUMIF($BH$3:$CE$3,"="&amp;$DF6+'Model Setup'!$I$7,$AD6:$BA6)+'Model Setup'!$I$8*(SUMIF($BH$3:$CE$3,"&lt;"&amp;$DF6,$AD6:$BA6)+SUMIF($BH$3:$CE$3,"&gt;"&amp;$CW$4,$AD6:$BA6)),
IF(BT$3=$DF6+'Model Setup'!$J$7,SUMIF($BH$3:$CE$3,"="&amp;$DF6+'Model Setup'!$J$7,$AD6:$BA6)+'Model Setup'!$J$8*(SUMIF($BH$3:$CE$3,"&lt;"&amp;$DF6,$AD6:$BA6)+SUMIF($BH$3:$CE$3,"&gt;"&amp;$CW$4,$AD6:$BA6)),
IF(BT$3=$DF6+'Model Setup'!$K$7,SUMIF($BH$3:$CE$3,"="&amp;$DF6+'Model Setup'!$K$7,$AD6:$BA6)+'Model Setup'!$K$8*(SUMIF($BH$3:$CE$3,"&lt;"&amp;$DF6,$AD6:$BA6)+SUMIF($BH$3:$CE$3,"&gt;"&amp;$CW$4,$AD6:$BA6)),
IF(BT$3=$DF6+'Model Setup'!$L$7,SUMIF($BH$3:$CE$3,"="&amp;$DF6+'Model Setup'!$L$7,$AD6:$BA6)+'Model Setup'!$L$8*(SUMIF($BH$3:$CE$3,"&lt;"&amp;$DF6,$AD6:$BA6)+SUMIF($BH$3:$CE$3,"&gt;"&amp;$CW$4,$AD6:$BA6)),
IF(BT$3=$DF6+'Model Setup'!$M$7,SUMIF($BH$3:$CE$3,"="&amp;$DF6+'Model Setup'!$M$7,$AD6:$BA6)+'Model Setup'!$M$8*(SUMIF($BH$3:$CE$3,"&lt;"&amp;$DF6,$AD6:$BA6)+SUMIF($BH$3:$CE$3,"&gt;"&amp;$CW$4,$AD6:$BA6)),
IF(BT$3=$DF6+'Model Setup'!$N$7,SUMIF($BH$3:$CE$3,"="&amp;$DF6+'Model Setup'!$N$7,$AD6:$BA6)+'Model Setup'!$N$8*(SUMIF($BH$3:$CE$3,"&lt;"&amp;$DF6,$AD6:$BA6)+SUMIF($BH$3:$CE$3,"&gt;"&amp;$CW$4,$AD6:$BA6)),
IF(BT$3&lt;$CW$4,N6,0))))))))))))))),0)</f>
        <v>24</v>
      </c>
      <c r="BU6" s="47">
        <f>ROUND(IF(OR(BU$3&lt;$DF6,BU$3&gt;$CW$4),0,
IF(BU$3=$DF6+'Model Setup'!$B$7,SUMIF($BH$3:$CE$3,"="&amp;$DF6+'Model Setup'!$B$7,$AD6:$BA6)+'Model Setup'!$B$8*(SUMIF($BH$3:$CE$3,"&lt;"&amp;$DF6,$AD6:$BA6)+SUMIF($BH$3:$CE$3,"&gt;"&amp;$CW$4,$AD6:$BA6)),
IF(BU$3=$DF6+'Model Setup'!$C$7,SUMIF($BH$3:$CE$3,"="&amp;$DF6+'Model Setup'!$C$7,$AD6:$BA6)+'Model Setup'!$C$8*(SUMIF($BH$3:$CE$3,"&lt;"&amp;$DF6,$AD6:$BA6)+SUMIF($BH$3:$CE$3,"&gt;"&amp;$CW$4,$AD6:$BA6)),
IF(BU$3=$DF6+'Model Setup'!$D$7,SUMIF($BH$3:$CE$3,"="&amp;$DF6+'Model Setup'!$D$7,$AD6:$BA6)+'Model Setup'!$D$8*(SUMIF($BH$3:$CE$3,"&lt;"&amp;$DF6,$AD6:$BA6)+SUMIF($BH$3:$CE$3,"&gt;"&amp;$CW$4,$AD6:$BA6)),
IF(BU$3=$DF6+'Model Setup'!$E$7,SUMIF($BH$3:$CE$3,"="&amp;$DF6+'Model Setup'!$E$7,$AD6:$BA6)+'Model Setup'!$E$8*(SUMIF($BH$3:$CE$3,"&lt;"&amp;$DF6,$AD6:$BA6)+SUMIF($BH$3:$CE$3,"&gt;"&amp;$CW$4,$AD6:$BA6)),
IF(BU$3=$DF6+'Model Setup'!$F$7,SUMIF($BH$3:$CE$3,"="&amp;$DF6+'Model Setup'!$F$7,$AD6:$BA6)+'Model Setup'!$F$8*(SUMIF($BH$3:$CE$3,"&lt;"&amp;$DF6,$AD6:$BA6)+SUMIF($BH$3:$CE$3,"&gt;"&amp;$CW$4,$AD6:$BA6)),
IF(BU$3=$DF6+'Model Setup'!$G$7,SUMIF($BH$3:$CE$3,"="&amp;$DF6+'Model Setup'!$G$7,$AD6:$BA6)+'Model Setup'!$G$8*(SUMIF($BH$3:$CE$3,"&lt;"&amp;$DF6,$AD6:$BA6)+SUMIF($BH$3:$CE$3,"&gt;"&amp;$CW$4,$AD6:$BA6)),
IF(BU$3=$DF6+'Model Setup'!$H$7,SUMIF($BH$3:$CE$3,"="&amp;$DF6+'Model Setup'!$H$7,$AD6:$BA6)+'Model Setup'!$H$8*(SUMIF($BH$3:$CE$3,"&lt;"&amp;$DF6,$AD6:$BA6)+SUMIF($BH$3:$CE$3,"&gt;"&amp;$CW$4,$AD6:$BA6)),
IF(BU$3=$DF6+'Model Setup'!$I$7,SUMIF($BH$3:$CE$3,"="&amp;$DF6+'Model Setup'!$I$7,$AD6:$BA6)+'Model Setup'!$I$8*(SUMIF($BH$3:$CE$3,"&lt;"&amp;$DF6,$AD6:$BA6)+SUMIF($BH$3:$CE$3,"&gt;"&amp;$CW$4,$AD6:$BA6)),
IF(BU$3=$DF6+'Model Setup'!$J$7,SUMIF($BH$3:$CE$3,"="&amp;$DF6+'Model Setup'!$J$7,$AD6:$BA6)+'Model Setup'!$J$8*(SUMIF($BH$3:$CE$3,"&lt;"&amp;$DF6,$AD6:$BA6)+SUMIF($BH$3:$CE$3,"&gt;"&amp;$CW$4,$AD6:$BA6)),
IF(BU$3=$DF6+'Model Setup'!$K$7,SUMIF($BH$3:$CE$3,"="&amp;$DF6+'Model Setup'!$K$7,$AD6:$BA6)+'Model Setup'!$K$8*(SUMIF($BH$3:$CE$3,"&lt;"&amp;$DF6,$AD6:$BA6)+SUMIF($BH$3:$CE$3,"&gt;"&amp;$CW$4,$AD6:$BA6)),
IF(BU$3=$DF6+'Model Setup'!$L$7,SUMIF($BH$3:$CE$3,"="&amp;$DF6+'Model Setup'!$L$7,$AD6:$BA6)+'Model Setup'!$L$8*(SUMIF($BH$3:$CE$3,"&lt;"&amp;$DF6,$AD6:$BA6)+SUMIF($BH$3:$CE$3,"&gt;"&amp;$CW$4,$AD6:$BA6)),
IF(BU$3=$DF6+'Model Setup'!$M$7,SUMIF($BH$3:$CE$3,"="&amp;$DF6+'Model Setup'!$M$7,$AD6:$BA6)+'Model Setup'!$M$8*(SUMIF($BH$3:$CE$3,"&lt;"&amp;$DF6,$AD6:$BA6)+SUMIF($BH$3:$CE$3,"&gt;"&amp;$CW$4,$AD6:$BA6)),
IF(BU$3=$DF6+'Model Setup'!$N$7,SUMIF($BH$3:$CE$3,"="&amp;$DF6+'Model Setup'!$N$7,$AD6:$BA6)+'Model Setup'!$N$8*(SUMIF($BH$3:$CE$3,"&lt;"&amp;$DF6,$AD6:$BA6)+SUMIF($BH$3:$CE$3,"&gt;"&amp;$CW$4,$AD6:$BA6)),
IF(BU$3&lt;$CW$4,O6,0))))))))))))))),0)</f>
        <v>35</v>
      </c>
      <c r="BV6" s="47">
        <f>ROUND(IF(OR(BV$3&lt;$DF6,BV$3&gt;$CW$4),0,
IF(BV$3=$DF6+'Model Setup'!$B$7,SUMIF($BH$3:$CE$3,"="&amp;$DF6+'Model Setup'!$B$7,$AD6:$BA6)+'Model Setup'!$B$8*(SUMIF($BH$3:$CE$3,"&lt;"&amp;$DF6,$AD6:$BA6)+SUMIF($BH$3:$CE$3,"&gt;"&amp;$CW$4,$AD6:$BA6)),
IF(BV$3=$DF6+'Model Setup'!$C$7,SUMIF($BH$3:$CE$3,"="&amp;$DF6+'Model Setup'!$C$7,$AD6:$BA6)+'Model Setup'!$C$8*(SUMIF($BH$3:$CE$3,"&lt;"&amp;$DF6,$AD6:$BA6)+SUMIF($BH$3:$CE$3,"&gt;"&amp;$CW$4,$AD6:$BA6)),
IF(BV$3=$DF6+'Model Setup'!$D$7,SUMIF($BH$3:$CE$3,"="&amp;$DF6+'Model Setup'!$D$7,$AD6:$BA6)+'Model Setup'!$D$8*(SUMIF($BH$3:$CE$3,"&lt;"&amp;$DF6,$AD6:$BA6)+SUMIF($BH$3:$CE$3,"&gt;"&amp;$CW$4,$AD6:$BA6)),
IF(BV$3=$DF6+'Model Setup'!$E$7,SUMIF($BH$3:$CE$3,"="&amp;$DF6+'Model Setup'!$E$7,$AD6:$BA6)+'Model Setup'!$E$8*(SUMIF($BH$3:$CE$3,"&lt;"&amp;$DF6,$AD6:$BA6)+SUMIF($BH$3:$CE$3,"&gt;"&amp;$CW$4,$AD6:$BA6)),
IF(BV$3=$DF6+'Model Setup'!$F$7,SUMIF($BH$3:$CE$3,"="&amp;$DF6+'Model Setup'!$F$7,$AD6:$BA6)+'Model Setup'!$F$8*(SUMIF($BH$3:$CE$3,"&lt;"&amp;$DF6,$AD6:$BA6)+SUMIF($BH$3:$CE$3,"&gt;"&amp;$CW$4,$AD6:$BA6)),
IF(BV$3=$DF6+'Model Setup'!$G$7,SUMIF($BH$3:$CE$3,"="&amp;$DF6+'Model Setup'!$G$7,$AD6:$BA6)+'Model Setup'!$G$8*(SUMIF($BH$3:$CE$3,"&lt;"&amp;$DF6,$AD6:$BA6)+SUMIF($BH$3:$CE$3,"&gt;"&amp;$CW$4,$AD6:$BA6)),
IF(BV$3=$DF6+'Model Setup'!$H$7,SUMIF($BH$3:$CE$3,"="&amp;$DF6+'Model Setup'!$H$7,$AD6:$BA6)+'Model Setup'!$H$8*(SUMIF($BH$3:$CE$3,"&lt;"&amp;$DF6,$AD6:$BA6)+SUMIF($BH$3:$CE$3,"&gt;"&amp;$CW$4,$AD6:$BA6)),
IF(BV$3=$DF6+'Model Setup'!$I$7,SUMIF($BH$3:$CE$3,"="&amp;$DF6+'Model Setup'!$I$7,$AD6:$BA6)+'Model Setup'!$I$8*(SUMIF($BH$3:$CE$3,"&lt;"&amp;$DF6,$AD6:$BA6)+SUMIF($BH$3:$CE$3,"&gt;"&amp;$CW$4,$AD6:$BA6)),
IF(BV$3=$DF6+'Model Setup'!$J$7,SUMIF($BH$3:$CE$3,"="&amp;$DF6+'Model Setup'!$J$7,$AD6:$BA6)+'Model Setup'!$J$8*(SUMIF($BH$3:$CE$3,"&lt;"&amp;$DF6,$AD6:$BA6)+SUMIF($BH$3:$CE$3,"&gt;"&amp;$CW$4,$AD6:$BA6)),
IF(BV$3=$DF6+'Model Setup'!$K$7,SUMIF($BH$3:$CE$3,"="&amp;$DF6+'Model Setup'!$K$7,$AD6:$BA6)+'Model Setup'!$K$8*(SUMIF($BH$3:$CE$3,"&lt;"&amp;$DF6,$AD6:$BA6)+SUMIF($BH$3:$CE$3,"&gt;"&amp;$CW$4,$AD6:$BA6)),
IF(BV$3=$DF6+'Model Setup'!$L$7,SUMIF($BH$3:$CE$3,"="&amp;$DF6+'Model Setup'!$L$7,$AD6:$BA6)+'Model Setup'!$L$8*(SUMIF($BH$3:$CE$3,"&lt;"&amp;$DF6,$AD6:$BA6)+SUMIF($BH$3:$CE$3,"&gt;"&amp;$CW$4,$AD6:$BA6)),
IF(BV$3=$DF6+'Model Setup'!$M$7,SUMIF($BH$3:$CE$3,"="&amp;$DF6+'Model Setup'!$M$7,$AD6:$BA6)+'Model Setup'!$M$8*(SUMIF($BH$3:$CE$3,"&lt;"&amp;$DF6,$AD6:$BA6)+SUMIF($BH$3:$CE$3,"&gt;"&amp;$CW$4,$AD6:$BA6)),
IF(BV$3=$DF6+'Model Setup'!$N$7,SUMIF($BH$3:$CE$3,"="&amp;$DF6+'Model Setup'!$N$7,$AD6:$BA6)+'Model Setup'!$N$8*(SUMIF($BH$3:$CE$3,"&lt;"&amp;$DF6,$AD6:$BA6)+SUMIF($BH$3:$CE$3,"&gt;"&amp;$CW$4,$AD6:$BA6)),
IF(BV$3&lt;$CW$4,P6,0))))))))))))))),0)</f>
        <v>24</v>
      </c>
      <c r="BW6" s="47">
        <f>ROUND(IF(OR(BW$3&lt;$DF6,BW$3&gt;$CW$4),0,
IF(BW$3=$DF6+'Model Setup'!$B$7,SUMIF($BH$3:$CE$3,"="&amp;$DF6+'Model Setup'!$B$7,$AD6:$BA6)+'Model Setup'!$B$8*(SUMIF($BH$3:$CE$3,"&lt;"&amp;$DF6,$AD6:$BA6)+SUMIF($BH$3:$CE$3,"&gt;"&amp;$CW$4,$AD6:$BA6)),
IF(BW$3=$DF6+'Model Setup'!$C$7,SUMIF($BH$3:$CE$3,"="&amp;$DF6+'Model Setup'!$C$7,$AD6:$BA6)+'Model Setup'!$C$8*(SUMIF($BH$3:$CE$3,"&lt;"&amp;$DF6,$AD6:$BA6)+SUMIF($BH$3:$CE$3,"&gt;"&amp;$CW$4,$AD6:$BA6)),
IF(BW$3=$DF6+'Model Setup'!$D$7,SUMIF($BH$3:$CE$3,"="&amp;$DF6+'Model Setup'!$D$7,$AD6:$BA6)+'Model Setup'!$D$8*(SUMIF($BH$3:$CE$3,"&lt;"&amp;$DF6,$AD6:$BA6)+SUMIF($BH$3:$CE$3,"&gt;"&amp;$CW$4,$AD6:$BA6)),
IF(BW$3=$DF6+'Model Setup'!$E$7,SUMIF($BH$3:$CE$3,"="&amp;$DF6+'Model Setup'!$E$7,$AD6:$BA6)+'Model Setup'!$E$8*(SUMIF($BH$3:$CE$3,"&lt;"&amp;$DF6,$AD6:$BA6)+SUMIF($BH$3:$CE$3,"&gt;"&amp;$CW$4,$AD6:$BA6)),
IF(BW$3=$DF6+'Model Setup'!$F$7,SUMIF($BH$3:$CE$3,"="&amp;$DF6+'Model Setup'!$F$7,$AD6:$BA6)+'Model Setup'!$F$8*(SUMIF($BH$3:$CE$3,"&lt;"&amp;$DF6,$AD6:$BA6)+SUMIF($BH$3:$CE$3,"&gt;"&amp;$CW$4,$AD6:$BA6)),
IF(BW$3=$DF6+'Model Setup'!$G$7,SUMIF($BH$3:$CE$3,"="&amp;$DF6+'Model Setup'!$G$7,$AD6:$BA6)+'Model Setup'!$G$8*(SUMIF($BH$3:$CE$3,"&lt;"&amp;$DF6,$AD6:$BA6)+SUMIF($BH$3:$CE$3,"&gt;"&amp;$CW$4,$AD6:$BA6)),
IF(BW$3=$DF6+'Model Setup'!$H$7,SUMIF($BH$3:$CE$3,"="&amp;$DF6+'Model Setup'!$H$7,$AD6:$BA6)+'Model Setup'!$H$8*(SUMIF($BH$3:$CE$3,"&lt;"&amp;$DF6,$AD6:$BA6)+SUMIF($BH$3:$CE$3,"&gt;"&amp;$CW$4,$AD6:$BA6)),
IF(BW$3=$DF6+'Model Setup'!$I$7,SUMIF($BH$3:$CE$3,"="&amp;$DF6+'Model Setup'!$I$7,$AD6:$BA6)+'Model Setup'!$I$8*(SUMIF($BH$3:$CE$3,"&lt;"&amp;$DF6,$AD6:$BA6)+SUMIF($BH$3:$CE$3,"&gt;"&amp;$CW$4,$AD6:$BA6)),
IF(BW$3=$DF6+'Model Setup'!$J$7,SUMIF($BH$3:$CE$3,"="&amp;$DF6+'Model Setup'!$J$7,$AD6:$BA6)+'Model Setup'!$J$8*(SUMIF($BH$3:$CE$3,"&lt;"&amp;$DF6,$AD6:$BA6)+SUMIF($BH$3:$CE$3,"&gt;"&amp;$CW$4,$AD6:$BA6)),
IF(BW$3=$DF6+'Model Setup'!$K$7,SUMIF($BH$3:$CE$3,"="&amp;$DF6+'Model Setup'!$K$7,$AD6:$BA6)+'Model Setup'!$K$8*(SUMIF($BH$3:$CE$3,"&lt;"&amp;$DF6,$AD6:$BA6)+SUMIF($BH$3:$CE$3,"&gt;"&amp;$CW$4,$AD6:$BA6)),
IF(BW$3=$DF6+'Model Setup'!$L$7,SUMIF($BH$3:$CE$3,"="&amp;$DF6+'Model Setup'!$L$7,$AD6:$BA6)+'Model Setup'!$L$8*(SUMIF($BH$3:$CE$3,"&lt;"&amp;$DF6,$AD6:$BA6)+SUMIF($BH$3:$CE$3,"&gt;"&amp;$CW$4,$AD6:$BA6)),
IF(BW$3=$DF6+'Model Setup'!$M$7,SUMIF($BH$3:$CE$3,"="&amp;$DF6+'Model Setup'!$M$7,$AD6:$BA6)+'Model Setup'!$M$8*(SUMIF($BH$3:$CE$3,"&lt;"&amp;$DF6,$AD6:$BA6)+SUMIF($BH$3:$CE$3,"&gt;"&amp;$CW$4,$AD6:$BA6)),
IF(BW$3=$DF6+'Model Setup'!$N$7,SUMIF($BH$3:$CE$3,"="&amp;$DF6+'Model Setup'!$N$7,$AD6:$BA6)+'Model Setup'!$N$8*(SUMIF($BH$3:$CE$3,"&lt;"&amp;$DF6,$AD6:$BA6)+SUMIF($BH$3:$CE$3,"&gt;"&amp;$CW$4,$AD6:$BA6)),
IF(BW$3&lt;$CW$4,Q6,0))))))))))))))),0)</f>
        <v>11</v>
      </c>
      <c r="BX6" s="47">
        <f>ROUND(IF(OR(BX$3&lt;$DF6,BX$3&gt;$CW$4),0,
IF(BX$3=$DF6+'Model Setup'!$B$7,SUMIF($BH$3:$CE$3,"="&amp;$DF6+'Model Setup'!$B$7,$AD6:$BA6)+'Model Setup'!$B$8*(SUMIF($BH$3:$CE$3,"&lt;"&amp;$DF6,$AD6:$BA6)+SUMIF($BH$3:$CE$3,"&gt;"&amp;$CW$4,$AD6:$BA6)),
IF(BX$3=$DF6+'Model Setup'!$C$7,SUMIF($BH$3:$CE$3,"="&amp;$DF6+'Model Setup'!$C$7,$AD6:$BA6)+'Model Setup'!$C$8*(SUMIF($BH$3:$CE$3,"&lt;"&amp;$DF6,$AD6:$BA6)+SUMIF($BH$3:$CE$3,"&gt;"&amp;$CW$4,$AD6:$BA6)),
IF(BX$3=$DF6+'Model Setup'!$D$7,SUMIF($BH$3:$CE$3,"="&amp;$DF6+'Model Setup'!$D$7,$AD6:$BA6)+'Model Setup'!$D$8*(SUMIF($BH$3:$CE$3,"&lt;"&amp;$DF6,$AD6:$BA6)+SUMIF($BH$3:$CE$3,"&gt;"&amp;$CW$4,$AD6:$BA6)),
IF(BX$3=$DF6+'Model Setup'!$E$7,SUMIF($BH$3:$CE$3,"="&amp;$DF6+'Model Setup'!$E$7,$AD6:$BA6)+'Model Setup'!$E$8*(SUMIF($BH$3:$CE$3,"&lt;"&amp;$DF6,$AD6:$BA6)+SUMIF($BH$3:$CE$3,"&gt;"&amp;$CW$4,$AD6:$BA6)),
IF(BX$3=$DF6+'Model Setup'!$F$7,SUMIF($BH$3:$CE$3,"="&amp;$DF6+'Model Setup'!$F$7,$AD6:$BA6)+'Model Setup'!$F$8*(SUMIF($BH$3:$CE$3,"&lt;"&amp;$DF6,$AD6:$BA6)+SUMIF($BH$3:$CE$3,"&gt;"&amp;$CW$4,$AD6:$BA6)),
IF(BX$3=$DF6+'Model Setup'!$G$7,SUMIF($BH$3:$CE$3,"="&amp;$DF6+'Model Setup'!$G$7,$AD6:$BA6)+'Model Setup'!$G$8*(SUMIF($BH$3:$CE$3,"&lt;"&amp;$DF6,$AD6:$BA6)+SUMIF($BH$3:$CE$3,"&gt;"&amp;$CW$4,$AD6:$BA6)),
IF(BX$3=$DF6+'Model Setup'!$H$7,SUMIF($BH$3:$CE$3,"="&amp;$DF6+'Model Setup'!$H$7,$AD6:$BA6)+'Model Setup'!$H$8*(SUMIF($BH$3:$CE$3,"&lt;"&amp;$DF6,$AD6:$BA6)+SUMIF($BH$3:$CE$3,"&gt;"&amp;$CW$4,$AD6:$BA6)),
IF(BX$3=$DF6+'Model Setup'!$I$7,SUMIF($BH$3:$CE$3,"="&amp;$DF6+'Model Setup'!$I$7,$AD6:$BA6)+'Model Setup'!$I$8*(SUMIF($BH$3:$CE$3,"&lt;"&amp;$DF6,$AD6:$BA6)+SUMIF($BH$3:$CE$3,"&gt;"&amp;$CW$4,$AD6:$BA6)),
IF(BX$3=$DF6+'Model Setup'!$J$7,SUMIF($BH$3:$CE$3,"="&amp;$DF6+'Model Setup'!$J$7,$AD6:$BA6)+'Model Setup'!$J$8*(SUMIF($BH$3:$CE$3,"&lt;"&amp;$DF6,$AD6:$BA6)+SUMIF($BH$3:$CE$3,"&gt;"&amp;$CW$4,$AD6:$BA6)),
IF(BX$3=$DF6+'Model Setup'!$K$7,SUMIF($BH$3:$CE$3,"="&amp;$DF6+'Model Setup'!$K$7,$AD6:$BA6)+'Model Setup'!$K$8*(SUMIF($BH$3:$CE$3,"&lt;"&amp;$DF6,$AD6:$BA6)+SUMIF($BH$3:$CE$3,"&gt;"&amp;$CW$4,$AD6:$BA6)),
IF(BX$3=$DF6+'Model Setup'!$L$7,SUMIF($BH$3:$CE$3,"="&amp;$DF6+'Model Setup'!$L$7,$AD6:$BA6)+'Model Setup'!$L$8*(SUMIF($BH$3:$CE$3,"&lt;"&amp;$DF6,$AD6:$BA6)+SUMIF($BH$3:$CE$3,"&gt;"&amp;$CW$4,$AD6:$BA6)),
IF(BX$3=$DF6+'Model Setup'!$M$7,SUMIF($BH$3:$CE$3,"="&amp;$DF6+'Model Setup'!$M$7,$AD6:$BA6)+'Model Setup'!$M$8*(SUMIF($BH$3:$CE$3,"&lt;"&amp;$DF6,$AD6:$BA6)+SUMIF($BH$3:$CE$3,"&gt;"&amp;$CW$4,$AD6:$BA6)),
IF(BX$3=$DF6+'Model Setup'!$N$7,SUMIF($BH$3:$CE$3,"="&amp;$DF6+'Model Setup'!$N$7,$AD6:$BA6)+'Model Setup'!$N$8*(SUMIF($BH$3:$CE$3,"&lt;"&amp;$DF6,$AD6:$BA6)+SUMIF($BH$3:$CE$3,"&gt;"&amp;$CW$4,$AD6:$BA6)),
IF(BX$3&lt;$CW$4,R6,0))))))))))))))),0)</f>
        <v>21</v>
      </c>
      <c r="BY6" s="47">
        <f>ROUND(IF(OR(BY$3&lt;$DF6,BY$3&gt;$CW$4),0,
IF(BY$3=$DF6+'Model Setup'!$B$7,SUMIF($BH$3:$CE$3,"="&amp;$DF6+'Model Setup'!$B$7,$AD6:$BA6)+'Model Setup'!$B$8*(SUMIF($BH$3:$CE$3,"&lt;"&amp;$DF6,$AD6:$BA6)+SUMIF($BH$3:$CE$3,"&gt;"&amp;$CW$4,$AD6:$BA6)),
IF(BY$3=$DF6+'Model Setup'!$C$7,SUMIF($BH$3:$CE$3,"="&amp;$DF6+'Model Setup'!$C$7,$AD6:$BA6)+'Model Setup'!$C$8*(SUMIF($BH$3:$CE$3,"&lt;"&amp;$DF6,$AD6:$BA6)+SUMIF($BH$3:$CE$3,"&gt;"&amp;$CW$4,$AD6:$BA6)),
IF(BY$3=$DF6+'Model Setup'!$D$7,SUMIF($BH$3:$CE$3,"="&amp;$DF6+'Model Setup'!$D$7,$AD6:$BA6)+'Model Setup'!$D$8*(SUMIF($BH$3:$CE$3,"&lt;"&amp;$DF6,$AD6:$BA6)+SUMIF($BH$3:$CE$3,"&gt;"&amp;$CW$4,$AD6:$BA6)),
IF(BY$3=$DF6+'Model Setup'!$E$7,SUMIF($BH$3:$CE$3,"="&amp;$DF6+'Model Setup'!$E$7,$AD6:$BA6)+'Model Setup'!$E$8*(SUMIF($BH$3:$CE$3,"&lt;"&amp;$DF6,$AD6:$BA6)+SUMIF($BH$3:$CE$3,"&gt;"&amp;$CW$4,$AD6:$BA6)),
IF(BY$3=$DF6+'Model Setup'!$F$7,SUMIF($BH$3:$CE$3,"="&amp;$DF6+'Model Setup'!$F$7,$AD6:$BA6)+'Model Setup'!$F$8*(SUMIF($BH$3:$CE$3,"&lt;"&amp;$DF6,$AD6:$BA6)+SUMIF($BH$3:$CE$3,"&gt;"&amp;$CW$4,$AD6:$BA6)),
IF(BY$3=$DF6+'Model Setup'!$G$7,SUMIF($BH$3:$CE$3,"="&amp;$DF6+'Model Setup'!$G$7,$AD6:$BA6)+'Model Setup'!$G$8*(SUMIF($BH$3:$CE$3,"&lt;"&amp;$DF6,$AD6:$BA6)+SUMIF($BH$3:$CE$3,"&gt;"&amp;$CW$4,$AD6:$BA6)),
IF(BY$3=$DF6+'Model Setup'!$H$7,SUMIF($BH$3:$CE$3,"="&amp;$DF6+'Model Setup'!$H$7,$AD6:$BA6)+'Model Setup'!$H$8*(SUMIF($BH$3:$CE$3,"&lt;"&amp;$DF6,$AD6:$BA6)+SUMIF($BH$3:$CE$3,"&gt;"&amp;$CW$4,$AD6:$BA6)),
IF(BY$3=$DF6+'Model Setup'!$I$7,SUMIF($BH$3:$CE$3,"="&amp;$DF6+'Model Setup'!$I$7,$AD6:$BA6)+'Model Setup'!$I$8*(SUMIF($BH$3:$CE$3,"&lt;"&amp;$DF6,$AD6:$BA6)+SUMIF($BH$3:$CE$3,"&gt;"&amp;$CW$4,$AD6:$BA6)),
IF(BY$3=$DF6+'Model Setup'!$J$7,SUMIF($BH$3:$CE$3,"="&amp;$DF6+'Model Setup'!$J$7,$AD6:$BA6)+'Model Setup'!$J$8*(SUMIF($BH$3:$CE$3,"&lt;"&amp;$DF6,$AD6:$BA6)+SUMIF($BH$3:$CE$3,"&gt;"&amp;$CW$4,$AD6:$BA6)),
IF(BY$3=$DF6+'Model Setup'!$K$7,SUMIF($BH$3:$CE$3,"="&amp;$DF6+'Model Setup'!$K$7,$AD6:$BA6)+'Model Setup'!$K$8*(SUMIF($BH$3:$CE$3,"&lt;"&amp;$DF6,$AD6:$BA6)+SUMIF($BH$3:$CE$3,"&gt;"&amp;$CW$4,$AD6:$BA6)),
IF(BY$3=$DF6+'Model Setup'!$L$7,SUMIF($BH$3:$CE$3,"="&amp;$DF6+'Model Setup'!$L$7,$AD6:$BA6)+'Model Setup'!$L$8*(SUMIF($BH$3:$CE$3,"&lt;"&amp;$DF6,$AD6:$BA6)+SUMIF($BH$3:$CE$3,"&gt;"&amp;$CW$4,$AD6:$BA6)),
IF(BY$3=$DF6+'Model Setup'!$M$7,SUMIF($BH$3:$CE$3,"="&amp;$DF6+'Model Setup'!$M$7,$AD6:$BA6)+'Model Setup'!$M$8*(SUMIF($BH$3:$CE$3,"&lt;"&amp;$DF6,$AD6:$BA6)+SUMIF($BH$3:$CE$3,"&gt;"&amp;$CW$4,$AD6:$BA6)),
IF(BY$3=$DF6+'Model Setup'!$N$7,SUMIF($BH$3:$CE$3,"="&amp;$DF6+'Model Setup'!$N$7,$AD6:$BA6)+'Model Setup'!$N$8*(SUMIF($BH$3:$CE$3,"&lt;"&amp;$DF6,$AD6:$BA6)+SUMIF($BH$3:$CE$3,"&gt;"&amp;$CW$4,$AD6:$BA6)),
IF(BY$3&lt;$CW$4,S6,0))))))))))))))),0)</f>
        <v>25</v>
      </c>
      <c r="BZ6" s="47">
        <f>ROUND(IF(OR(BZ$3&lt;$DF6,BZ$3&gt;$CW$4),0,
IF(BZ$3=$DF6+'Model Setup'!$B$7,SUMIF($BH$3:$CE$3,"="&amp;$DF6+'Model Setup'!$B$7,$AD6:$BA6)+'Model Setup'!$B$8*(SUMIF($BH$3:$CE$3,"&lt;"&amp;$DF6,$AD6:$BA6)+SUMIF($BH$3:$CE$3,"&gt;"&amp;$CW$4,$AD6:$BA6)),
IF(BZ$3=$DF6+'Model Setup'!$C$7,SUMIF($BH$3:$CE$3,"="&amp;$DF6+'Model Setup'!$C$7,$AD6:$BA6)+'Model Setup'!$C$8*(SUMIF($BH$3:$CE$3,"&lt;"&amp;$DF6,$AD6:$BA6)+SUMIF($BH$3:$CE$3,"&gt;"&amp;$CW$4,$AD6:$BA6)),
IF(BZ$3=$DF6+'Model Setup'!$D$7,SUMIF($BH$3:$CE$3,"="&amp;$DF6+'Model Setup'!$D$7,$AD6:$BA6)+'Model Setup'!$D$8*(SUMIF($BH$3:$CE$3,"&lt;"&amp;$DF6,$AD6:$BA6)+SUMIF($BH$3:$CE$3,"&gt;"&amp;$CW$4,$AD6:$BA6)),
IF(BZ$3=$DF6+'Model Setup'!$E$7,SUMIF($BH$3:$CE$3,"="&amp;$DF6+'Model Setup'!$E$7,$AD6:$BA6)+'Model Setup'!$E$8*(SUMIF($BH$3:$CE$3,"&lt;"&amp;$DF6,$AD6:$BA6)+SUMIF($BH$3:$CE$3,"&gt;"&amp;$CW$4,$AD6:$BA6)),
IF(BZ$3=$DF6+'Model Setup'!$F$7,SUMIF($BH$3:$CE$3,"="&amp;$DF6+'Model Setup'!$F$7,$AD6:$BA6)+'Model Setup'!$F$8*(SUMIF($BH$3:$CE$3,"&lt;"&amp;$DF6,$AD6:$BA6)+SUMIF($BH$3:$CE$3,"&gt;"&amp;$CW$4,$AD6:$BA6)),
IF(BZ$3=$DF6+'Model Setup'!$G$7,SUMIF($BH$3:$CE$3,"="&amp;$DF6+'Model Setup'!$G$7,$AD6:$BA6)+'Model Setup'!$G$8*(SUMIF($BH$3:$CE$3,"&lt;"&amp;$DF6,$AD6:$BA6)+SUMIF($BH$3:$CE$3,"&gt;"&amp;$CW$4,$AD6:$BA6)),
IF(BZ$3=$DF6+'Model Setup'!$H$7,SUMIF($BH$3:$CE$3,"="&amp;$DF6+'Model Setup'!$H$7,$AD6:$BA6)+'Model Setup'!$H$8*(SUMIF($BH$3:$CE$3,"&lt;"&amp;$DF6,$AD6:$BA6)+SUMIF($BH$3:$CE$3,"&gt;"&amp;$CW$4,$AD6:$BA6)),
IF(BZ$3=$DF6+'Model Setup'!$I$7,SUMIF($BH$3:$CE$3,"="&amp;$DF6+'Model Setup'!$I$7,$AD6:$BA6)+'Model Setup'!$I$8*(SUMIF($BH$3:$CE$3,"&lt;"&amp;$DF6,$AD6:$BA6)+SUMIF($BH$3:$CE$3,"&gt;"&amp;$CW$4,$AD6:$BA6)),
IF(BZ$3=$DF6+'Model Setup'!$J$7,SUMIF($BH$3:$CE$3,"="&amp;$DF6+'Model Setup'!$J$7,$AD6:$BA6)+'Model Setup'!$J$8*(SUMIF($BH$3:$CE$3,"&lt;"&amp;$DF6,$AD6:$BA6)+SUMIF($BH$3:$CE$3,"&gt;"&amp;$CW$4,$AD6:$BA6)),
IF(BZ$3=$DF6+'Model Setup'!$K$7,SUMIF($BH$3:$CE$3,"="&amp;$DF6+'Model Setup'!$K$7,$AD6:$BA6)+'Model Setup'!$K$8*(SUMIF($BH$3:$CE$3,"&lt;"&amp;$DF6,$AD6:$BA6)+SUMIF($BH$3:$CE$3,"&gt;"&amp;$CW$4,$AD6:$BA6)),
IF(BZ$3=$DF6+'Model Setup'!$L$7,SUMIF($BH$3:$CE$3,"="&amp;$DF6+'Model Setup'!$L$7,$AD6:$BA6)+'Model Setup'!$L$8*(SUMIF($BH$3:$CE$3,"&lt;"&amp;$DF6,$AD6:$BA6)+SUMIF($BH$3:$CE$3,"&gt;"&amp;$CW$4,$AD6:$BA6)),
IF(BZ$3=$DF6+'Model Setup'!$M$7,SUMIF($BH$3:$CE$3,"="&amp;$DF6+'Model Setup'!$M$7,$AD6:$BA6)+'Model Setup'!$M$8*(SUMIF($BH$3:$CE$3,"&lt;"&amp;$DF6,$AD6:$BA6)+SUMIF($BH$3:$CE$3,"&gt;"&amp;$CW$4,$AD6:$BA6)),
IF(BZ$3=$DF6+'Model Setup'!$N$7,SUMIF($BH$3:$CE$3,"="&amp;$DF6+'Model Setup'!$N$7,$AD6:$BA6)+'Model Setup'!$N$8*(SUMIF($BH$3:$CE$3,"&lt;"&amp;$DF6,$AD6:$BA6)+SUMIF($BH$3:$CE$3,"&gt;"&amp;$CW$4,$AD6:$BA6)),
IF(BZ$3&lt;$CW$4,T6,0))))))))))))))),0)</f>
        <v>19</v>
      </c>
      <c r="CA6" s="47">
        <f>ROUND(IF(OR(CA$3&lt;$DF6,CA$3&gt;$CW$4),0,
IF(CA$3=$DF6+'Model Setup'!$B$7,SUMIF($BH$3:$CE$3,"="&amp;$DF6+'Model Setup'!$B$7,$AD6:$BA6)+'Model Setup'!$B$8*(SUMIF($BH$3:$CE$3,"&lt;"&amp;$DF6,$AD6:$BA6)+SUMIF($BH$3:$CE$3,"&gt;"&amp;$CW$4,$AD6:$BA6)),
IF(CA$3=$DF6+'Model Setup'!$C$7,SUMIF($BH$3:$CE$3,"="&amp;$DF6+'Model Setup'!$C$7,$AD6:$BA6)+'Model Setup'!$C$8*(SUMIF($BH$3:$CE$3,"&lt;"&amp;$DF6,$AD6:$BA6)+SUMIF($BH$3:$CE$3,"&gt;"&amp;$CW$4,$AD6:$BA6)),
IF(CA$3=$DF6+'Model Setup'!$D$7,SUMIF($BH$3:$CE$3,"="&amp;$DF6+'Model Setup'!$D$7,$AD6:$BA6)+'Model Setup'!$D$8*(SUMIF($BH$3:$CE$3,"&lt;"&amp;$DF6,$AD6:$BA6)+SUMIF($BH$3:$CE$3,"&gt;"&amp;$CW$4,$AD6:$BA6)),
IF(CA$3=$DF6+'Model Setup'!$E$7,SUMIF($BH$3:$CE$3,"="&amp;$DF6+'Model Setup'!$E$7,$AD6:$BA6)+'Model Setup'!$E$8*(SUMIF($BH$3:$CE$3,"&lt;"&amp;$DF6,$AD6:$BA6)+SUMIF($BH$3:$CE$3,"&gt;"&amp;$CW$4,$AD6:$BA6)),
IF(CA$3=$DF6+'Model Setup'!$F$7,SUMIF($BH$3:$CE$3,"="&amp;$DF6+'Model Setup'!$F$7,$AD6:$BA6)+'Model Setup'!$F$8*(SUMIF($BH$3:$CE$3,"&lt;"&amp;$DF6,$AD6:$BA6)+SUMIF($BH$3:$CE$3,"&gt;"&amp;$CW$4,$AD6:$BA6)),
IF(CA$3=$DF6+'Model Setup'!$G$7,SUMIF($BH$3:$CE$3,"="&amp;$DF6+'Model Setup'!$G$7,$AD6:$BA6)+'Model Setup'!$G$8*(SUMIF($BH$3:$CE$3,"&lt;"&amp;$DF6,$AD6:$BA6)+SUMIF($BH$3:$CE$3,"&gt;"&amp;$CW$4,$AD6:$BA6)),
IF(CA$3=$DF6+'Model Setup'!$H$7,SUMIF($BH$3:$CE$3,"="&amp;$DF6+'Model Setup'!$H$7,$AD6:$BA6)+'Model Setup'!$H$8*(SUMIF($BH$3:$CE$3,"&lt;"&amp;$DF6,$AD6:$BA6)+SUMIF($BH$3:$CE$3,"&gt;"&amp;$CW$4,$AD6:$BA6)),
IF(CA$3=$DF6+'Model Setup'!$I$7,SUMIF($BH$3:$CE$3,"="&amp;$DF6+'Model Setup'!$I$7,$AD6:$BA6)+'Model Setup'!$I$8*(SUMIF($BH$3:$CE$3,"&lt;"&amp;$DF6,$AD6:$BA6)+SUMIF($BH$3:$CE$3,"&gt;"&amp;$CW$4,$AD6:$BA6)),
IF(CA$3=$DF6+'Model Setup'!$J$7,SUMIF($BH$3:$CE$3,"="&amp;$DF6+'Model Setup'!$J$7,$AD6:$BA6)+'Model Setup'!$J$8*(SUMIF($BH$3:$CE$3,"&lt;"&amp;$DF6,$AD6:$BA6)+SUMIF($BH$3:$CE$3,"&gt;"&amp;$CW$4,$AD6:$BA6)),
IF(CA$3=$DF6+'Model Setup'!$K$7,SUMIF($BH$3:$CE$3,"="&amp;$DF6+'Model Setup'!$K$7,$AD6:$BA6)+'Model Setup'!$K$8*(SUMIF($BH$3:$CE$3,"&lt;"&amp;$DF6,$AD6:$BA6)+SUMIF($BH$3:$CE$3,"&gt;"&amp;$CW$4,$AD6:$BA6)),
IF(CA$3=$DF6+'Model Setup'!$L$7,SUMIF($BH$3:$CE$3,"="&amp;$DF6+'Model Setup'!$L$7,$AD6:$BA6)+'Model Setup'!$L$8*(SUMIF($BH$3:$CE$3,"&lt;"&amp;$DF6,$AD6:$BA6)+SUMIF($BH$3:$CE$3,"&gt;"&amp;$CW$4,$AD6:$BA6)),
IF(CA$3=$DF6+'Model Setup'!$M$7,SUMIF($BH$3:$CE$3,"="&amp;$DF6+'Model Setup'!$M$7,$AD6:$BA6)+'Model Setup'!$M$8*(SUMIF($BH$3:$CE$3,"&lt;"&amp;$DF6,$AD6:$BA6)+SUMIF($BH$3:$CE$3,"&gt;"&amp;$CW$4,$AD6:$BA6)),
IF(CA$3=$DF6+'Model Setup'!$N$7,SUMIF($BH$3:$CE$3,"="&amp;$DF6+'Model Setup'!$N$7,$AD6:$BA6)+'Model Setup'!$N$8*(SUMIF($BH$3:$CE$3,"&lt;"&amp;$DF6,$AD6:$BA6)+SUMIF($BH$3:$CE$3,"&gt;"&amp;$CW$4,$AD6:$BA6)),
IF(CA$3&lt;$CW$4,U6,0))))))))))))))),0)</f>
        <v>0</v>
      </c>
      <c r="CB6" s="47">
        <f>ROUND(IF(OR(CB$3&lt;$DF6,CB$3&gt;$CW$4),0,
IF(CB$3=$DF6+'Model Setup'!$B$7,SUMIF($BH$3:$CE$3,"="&amp;$DF6+'Model Setup'!$B$7,$AD6:$BA6)+'Model Setup'!$B$8*(SUMIF($BH$3:$CE$3,"&lt;"&amp;$DF6,$AD6:$BA6)+SUMIF($BH$3:$CE$3,"&gt;"&amp;$CW$4,$AD6:$BA6)),
IF(CB$3=$DF6+'Model Setup'!$C$7,SUMIF($BH$3:$CE$3,"="&amp;$DF6+'Model Setup'!$C$7,$AD6:$BA6)+'Model Setup'!$C$8*(SUMIF($BH$3:$CE$3,"&lt;"&amp;$DF6,$AD6:$BA6)+SUMIF($BH$3:$CE$3,"&gt;"&amp;$CW$4,$AD6:$BA6)),
IF(CB$3=$DF6+'Model Setup'!$D$7,SUMIF($BH$3:$CE$3,"="&amp;$DF6+'Model Setup'!$D$7,$AD6:$BA6)+'Model Setup'!$D$8*(SUMIF($BH$3:$CE$3,"&lt;"&amp;$DF6,$AD6:$BA6)+SUMIF($BH$3:$CE$3,"&gt;"&amp;$CW$4,$AD6:$BA6)),
IF(CB$3=$DF6+'Model Setup'!$E$7,SUMIF($BH$3:$CE$3,"="&amp;$DF6+'Model Setup'!$E$7,$AD6:$BA6)+'Model Setup'!$E$8*(SUMIF($BH$3:$CE$3,"&lt;"&amp;$DF6,$AD6:$BA6)+SUMIF($BH$3:$CE$3,"&gt;"&amp;$CW$4,$AD6:$BA6)),
IF(CB$3=$DF6+'Model Setup'!$F$7,SUMIF($BH$3:$CE$3,"="&amp;$DF6+'Model Setup'!$F$7,$AD6:$BA6)+'Model Setup'!$F$8*(SUMIF($BH$3:$CE$3,"&lt;"&amp;$DF6,$AD6:$BA6)+SUMIF($BH$3:$CE$3,"&gt;"&amp;$CW$4,$AD6:$BA6)),
IF(CB$3=$DF6+'Model Setup'!$G$7,SUMIF($BH$3:$CE$3,"="&amp;$DF6+'Model Setup'!$G$7,$AD6:$BA6)+'Model Setup'!$G$8*(SUMIF($BH$3:$CE$3,"&lt;"&amp;$DF6,$AD6:$BA6)+SUMIF($BH$3:$CE$3,"&gt;"&amp;$CW$4,$AD6:$BA6)),
IF(CB$3=$DF6+'Model Setup'!$H$7,SUMIF($BH$3:$CE$3,"="&amp;$DF6+'Model Setup'!$H$7,$AD6:$BA6)+'Model Setup'!$H$8*(SUMIF($BH$3:$CE$3,"&lt;"&amp;$DF6,$AD6:$BA6)+SUMIF($BH$3:$CE$3,"&gt;"&amp;$CW$4,$AD6:$BA6)),
IF(CB$3=$DF6+'Model Setup'!$I$7,SUMIF($BH$3:$CE$3,"="&amp;$DF6+'Model Setup'!$I$7,$AD6:$BA6)+'Model Setup'!$I$8*(SUMIF($BH$3:$CE$3,"&lt;"&amp;$DF6,$AD6:$BA6)+SUMIF($BH$3:$CE$3,"&gt;"&amp;$CW$4,$AD6:$BA6)),
IF(CB$3=$DF6+'Model Setup'!$J$7,SUMIF($BH$3:$CE$3,"="&amp;$DF6+'Model Setup'!$J$7,$AD6:$BA6)+'Model Setup'!$J$8*(SUMIF($BH$3:$CE$3,"&lt;"&amp;$DF6,$AD6:$BA6)+SUMIF($BH$3:$CE$3,"&gt;"&amp;$CW$4,$AD6:$BA6)),
IF(CB$3=$DF6+'Model Setup'!$K$7,SUMIF($BH$3:$CE$3,"="&amp;$DF6+'Model Setup'!$K$7,$AD6:$BA6)+'Model Setup'!$K$8*(SUMIF($BH$3:$CE$3,"&lt;"&amp;$DF6,$AD6:$BA6)+SUMIF($BH$3:$CE$3,"&gt;"&amp;$CW$4,$AD6:$BA6)),
IF(CB$3=$DF6+'Model Setup'!$L$7,SUMIF($BH$3:$CE$3,"="&amp;$DF6+'Model Setup'!$L$7,$AD6:$BA6)+'Model Setup'!$L$8*(SUMIF($BH$3:$CE$3,"&lt;"&amp;$DF6,$AD6:$BA6)+SUMIF($BH$3:$CE$3,"&gt;"&amp;$CW$4,$AD6:$BA6)),
IF(CB$3=$DF6+'Model Setup'!$M$7,SUMIF($BH$3:$CE$3,"="&amp;$DF6+'Model Setup'!$M$7,$AD6:$BA6)+'Model Setup'!$M$8*(SUMIF($BH$3:$CE$3,"&lt;"&amp;$DF6,$AD6:$BA6)+SUMIF($BH$3:$CE$3,"&gt;"&amp;$CW$4,$AD6:$BA6)),
IF(CB$3=$DF6+'Model Setup'!$N$7,SUMIF($BH$3:$CE$3,"="&amp;$DF6+'Model Setup'!$N$7,$AD6:$BA6)+'Model Setup'!$N$8*(SUMIF($BH$3:$CE$3,"&lt;"&amp;$DF6,$AD6:$BA6)+SUMIF($BH$3:$CE$3,"&gt;"&amp;$CW$4,$AD6:$BA6)),
IF(CB$3&lt;$CW$4,V6,0))))))))))))))),0)</f>
        <v>0</v>
      </c>
      <c r="CC6" s="47">
        <f>ROUND(IF(OR(CC$3&lt;$DF6,CC$3&gt;$CW$4),0,
IF(CC$3=$DF6+'Model Setup'!$B$7,SUMIF($BH$3:$CE$3,"="&amp;$DF6+'Model Setup'!$B$7,$AD6:$BA6)+'Model Setup'!$B$8*(SUMIF($BH$3:$CE$3,"&lt;"&amp;$DF6,$AD6:$BA6)+SUMIF($BH$3:$CE$3,"&gt;"&amp;$CW$4,$AD6:$BA6)),
IF(CC$3=$DF6+'Model Setup'!$C$7,SUMIF($BH$3:$CE$3,"="&amp;$DF6+'Model Setup'!$C$7,$AD6:$BA6)+'Model Setup'!$C$8*(SUMIF($BH$3:$CE$3,"&lt;"&amp;$DF6,$AD6:$BA6)+SUMIF($BH$3:$CE$3,"&gt;"&amp;$CW$4,$AD6:$BA6)),
IF(CC$3=$DF6+'Model Setup'!$D$7,SUMIF($BH$3:$CE$3,"="&amp;$DF6+'Model Setup'!$D$7,$AD6:$BA6)+'Model Setup'!$D$8*(SUMIF($BH$3:$CE$3,"&lt;"&amp;$DF6,$AD6:$BA6)+SUMIF($BH$3:$CE$3,"&gt;"&amp;$CW$4,$AD6:$BA6)),
IF(CC$3=$DF6+'Model Setup'!$E$7,SUMIF($BH$3:$CE$3,"="&amp;$DF6+'Model Setup'!$E$7,$AD6:$BA6)+'Model Setup'!$E$8*(SUMIF($BH$3:$CE$3,"&lt;"&amp;$DF6,$AD6:$BA6)+SUMIF($BH$3:$CE$3,"&gt;"&amp;$CW$4,$AD6:$BA6)),
IF(CC$3=$DF6+'Model Setup'!$F$7,SUMIF($BH$3:$CE$3,"="&amp;$DF6+'Model Setup'!$F$7,$AD6:$BA6)+'Model Setup'!$F$8*(SUMIF($BH$3:$CE$3,"&lt;"&amp;$DF6,$AD6:$BA6)+SUMIF($BH$3:$CE$3,"&gt;"&amp;$CW$4,$AD6:$BA6)),
IF(CC$3=$DF6+'Model Setup'!$G$7,SUMIF($BH$3:$CE$3,"="&amp;$DF6+'Model Setup'!$G$7,$AD6:$BA6)+'Model Setup'!$G$8*(SUMIF($BH$3:$CE$3,"&lt;"&amp;$DF6,$AD6:$BA6)+SUMIF($BH$3:$CE$3,"&gt;"&amp;$CW$4,$AD6:$BA6)),
IF(CC$3=$DF6+'Model Setup'!$H$7,SUMIF($BH$3:$CE$3,"="&amp;$DF6+'Model Setup'!$H$7,$AD6:$BA6)+'Model Setup'!$H$8*(SUMIF($BH$3:$CE$3,"&lt;"&amp;$DF6,$AD6:$BA6)+SUMIF($BH$3:$CE$3,"&gt;"&amp;$CW$4,$AD6:$BA6)),
IF(CC$3=$DF6+'Model Setup'!$I$7,SUMIF($BH$3:$CE$3,"="&amp;$DF6+'Model Setup'!$I$7,$AD6:$BA6)+'Model Setup'!$I$8*(SUMIF($BH$3:$CE$3,"&lt;"&amp;$DF6,$AD6:$BA6)+SUMIF($BH$3:$CE$3,"&gt;"&amp;$CW$4,$AD6:$BA6)),
IF(CC$3=$DF6+'Model Setup'!$J$7,SUMIF($BH$3:$CE$3,"="&amp;$DF6+'Model Setup'!$J$7,$AD6:$BA6)+'Model Setup'!$J$8*(SUMIF($BH$3:$CE$3,"&lt;"&amp;$DF6,$AD6:$BA6)+SUMIF($BH$3:$CE$3,"&gt;"&amp;$CW$4,$AD6:$BA6)),
IF(CC$3=$DF6+'Model Setup'!$K$7,SUMIF($BH$3:$CE$3,"="&amp;$DF6+'Model Setup'!$K$7,$AD6:$BA6)+'Model Setup'!$K$8*(SUMIF($BH$3:$CE$3,"&lt;"&amp;$DF6,$AD6:$BA6)+SUMIF($BH$3:$CE$3,"&gt;"&amp;$CW$4,$AD6:$BA6)),
IF(CC$3=$DF6+'Model Setup'!$L$7,SUMIF($BH$3:$CE$3,"="&amp;$DF6+'Model Setup'!$L$7,$AD6:$BA6)+'Model Setup'!$L$8*(SUMIF($BH$3:$CE$3,"&lt;"&amp;$DF6,$AD6:$BA6)+SUMIF($BH$3:$CE$3,"&gt;"&amp;$CW$4,$AD6:$BA6)),
IF(CC$3=$DF6+'Model Setup'!$M$7,SUMIF($BH$3:$CE$3,"="&amp;$DF6+'Model Setup'!$M$7,$AD6:$BA6)+'Model Setup'!$M$8*(SUMIF($BH$3:$CE$3,"&lt;"&amp;$DF6,$AD6:$BA6)+SUMIF($BH$3:$CE$3,"&gt;"&amp;$CW$4,$AD6:$BA6)),
IF(CC$3=$DF6+'Model Setup'!$N$7,SUMIF($BH$3:$CE$3,"="&amp;$DF6+'Model Setup'!$N$7,$AD6:$BA6)+'Model Setup'!$N$8*(SUMIF($BH$3:$CE$3,"&lt;"&amp;$DF6,$AD6:$BA6)+SUMIF($BH$3:$CE$3,"&gt;"&amp;$CW$4,$AD6:$BA6)),
IF(CC$3&lt;$CW$4,W6,0))))))))))))))),0)</f>
        <v>0</v>
      </c>
      <c r="CD6" s="47">
        <f>ROUND(IF(OR(CD$3&lt;$DF6,CD$3&gt;$CW$4),0,
IF(CD$3=$DF6+'Model Setup'!$B$7,SUMIF($BH$3:$CE$3,"="&amp;$DF6+'Model Setup'!$B$7,$AD6:$BA6)+'Model Setup'!$B$8*(SUMIF($BH$3:$CE$3,"&lt;"&amp;$DF6,$AD6:$BA6)+SUMIF($BH$3:$CE$3,"&gt;"&amp;$CW$4,$AD6:$BA6)),
IF(CD$3=$DF6+'Model Setup'!$C$7,SUMIF($BH$3:$CE$3,"="&amp;$DF6+'Model Setup'!$C$7,$AD6:$BA6)+'Model Setup'!$C$8*(SUMIF($BH$3:$CE$3,"&lt;"&amp;$DF6,$AD6:$BA6)+SUMIF($BH$3:$CE$3,"&gt;"&amp;$CW$4,$AD6:$BA6)),
IF(CD$3=$DF6+'Model Setup'!$D$7,SUMIF($BH$3:$CE$3,"="&amp;$DF6+'Model Setup'!$D$7,$AD6:$BA6)+'Model Setup'!$D$8*(SUMIF($BH$3:$CE$3,"&lt;"&amp;$DF6,$AD6:$BA6)+SUMIF($BH$3:$CE$3,"&gt;"&amp;$CW$4,$AD6:$BA6)),
IF(CD$3=$DF6+'Model Setup'!$E$7,SUMIF($BH$3:$CE$3,"="&amp;$DF6+'Model Setup'!$E$7,$AD6:$BA6)+'Model Setup'!$E$8*(SUMIF($BH$3:$CE$3,"&lt;"&amp;$DF6,$AD6:$BA6)+SUMIF($BH$3:$CE$3,"&gt;"&amp;$CW$4,$AD6:$BA6)),
IF(CD$3=$DF6+'Model Setup'!$F$7,SUMIF($BH$3:$CE$3,"="&amp;$DF6+'Model Setup'!$F$7,$AD6:$BA6)+'Model Setup'!$F$8*(SUMIF($BH$3:$CE$3,"&lt;"&amp;$DF6,$AD6:$BA6)+SUMIF($BH$3:$CE$3,"&gt;"&amp;$CW$4,$AD6:$BA6)),
IF(CD$3=$DF6+'Model Setup'!$G$7,SUMIF($BH$3:$CE$3,"="&amp;$DF6+'Model Setup'!$G$7,$AD6:$BA6)+'Model Setup'!$G$8*(SUMIF($BH$3:$CE$3,"&lt;"&amp;$DF6,$AD6:$BA6)+SUMIF($BH$3:$CE$3,"&gt;"&amp;$CW$4,$AD6:$BA6)),
IF(CD$3=$DF6+'Model Setup'!$H$7,SUMIF($BH$3:$CE$3,"="&amp;$DF6+'Model Setup'!$H$7,$AD6:$BA6)+'Model Setup'!$H$8*(SUMIF($BH$3:$CE$3,"&lt;"&amp;$DF6,$AD6:$BA6)+SUMIF($BH$3:$CE$3,"&gt;"&amp;$CW$4,$AD6:$BA6)),
IF(CD$3=$DF6+'Model Setup'!$I$7,SUMIF($BH$3:$CE$3,"="&amp;$DF6+'Model Setup'!$I$7,$AD6:$BA6)+'Model Setup'!$I$8*(SUMIF($BH$3:$CE$3,"&lt;"&amp;$DF6,$AD6:$BA6)+SUMIF($BH$3:$CE$3,"&gt;"&amp;$CW$4,$AD6:$BA6)),
IF(CD$3=$DF6+'Model Setup'!$J$7,SUMIF($BH$3:$CE$3,"="&amp;$DF6+'Model Setup'!$J$7,$AD6:$BA6)+'Model Setup'!$J$8*(SUMIF($BH$3:$CE$3,"&lt;"&amp;$DF6,$AD6:$BA6)+SUMIF($BH$3:$CE$3,"&gt;"&amp;$CW$4,$AD6:$BA6)),
IF(CD$3=$DF6+'Model Setup'!$K$7,SUMIF($BH$3:$CE$3,"="&amp;$DF6+'Model Setup'!$K$7,$AD6:$BA6)+'Model Setup'!$K$8*(SUMIF($BH$3:$CE$3,"&lt;"&amp;$DF6,$AD6:$BA6)+SUMIF($BH$3:$CE$3,"&gt;"&amp;$CW$4,$AD6:$BA6)),
IF(CD$3=$DF6+'Model Setup'!$L$7,SUMIF($BH$3:$CE$3,"="&amp;$DF6+'Model Setup'!$L$7,$AD6:$BA6)+'Model Setup'!$L$8*(SUMIF($BH$3:$CE$3,"&lt;"&amp;$DF6,$AD6:$BA6)+SUMIF($BH$3:$CE$3,"&gt;"&amp;$CW$4,$AD6:$BA6)),
IF(CD$3=$DF6+'Model Setup'!$M$7,SUMIF($BH$3:$CE$3,"="&amp;$DF6+'Model Setup'!$M$7,$AD6:$BA6)+'Model Setup'!$M$8*(SUMIF($BH$3:$CE$3,"&lt;"&amp;$DF6,$AD6:$BA6)+SUMIF($BH$3:$CE$3,"&gt;"&amp;$CW$4,$AD6:$BA6)),
IF(CD$3=$DF6+'Model Setup'!$N$7,SUMIF($BH$3:$CE$3,"="&amp;$DF6+'Model Setup'!$N$7,$AD6:$BA6)+'Model Setup'!$N$8*(SUMIF($BH$3:$CE$3,"&lt;"&amp;$DF6,$AD6:$BA6)+SUMIF($BH$3:$CE$3,"&gt;"&amp;$CW$4,$AD6:$BA6)),
IF(CD$3&lt;$CW$4,X6,0))))))))))))))),0)</f>
        <v>0</v>
      </c>
      <c r="CE6" s="47">
        <f>ROUND(IF(OR(CE$3&lt;$DF6,CE$3&gt;$CW$4),0,
IF(CE$3=$DF6+'Model Setup'!$B$7,SUMIF($BH$3:$CE$3,"="&amp;$DF6+'Model Setup'!$B$7,$AD6:$BA6)+'Model Setup'!$B$8*(SUMIF($BH$3:$CE$3,"&lt;"&amp;$DF6,$AD6:$BA6)+SUMIF($BH$3:$CE$3,"&gt;"&amp;$CW$4,$AD6:$BA6)),
IF(CE$3=$DF6+'Model Setup'!$C$7,SUMIF($BH$3:$CE$3,"="&amp;$DF6+'Model Setup'!$C$7,$AD6:$BA6)+'Model Setup'!$C$8*(SUMIF($BH$3:$CE$3,"&lt;"&amp;$DF6,$AD6:$BA6)+SUMIF($BH$3:$CE$3,"&gt;"&amp;$CW$4,$AD6:$BA6)),
IF(CE$3=$DF6+'Model Setup'!$D$7,SUMIF($BH$3:$CE$3,"="&amp;$DF6+'Model Setup'!$D$7,$AD6:$BA6)+'Model Setup'!$D$8*(SUMIF($BH$3:$CE$3,"&lt;"&amp;$DF6,$AD6:$BA6)+SUMIF($BH$3:$CE$3,"&gt;"&amp;$CW$4,$AD6:$BA6)),
IF(CE$3=$DF6+'Model Setup'!$E$7,SUMIF($BH$3:$CE$3,"="&amp;$DF6+'Model Setup'!$E$7,$AD6:$BA6)+'Model Setup'!$E$8*(SUMIF($BH$3:$CE$3,"&lt;"&amp;$DF6,$AD6:$BA6)+SUMIF($BH$3:$CE$3,"&gt;"&amp;$CW$4,$AD6:$BA6)),
IF(CE$3=$DF6+'Model Setup'!$F$7,SUMIF($BH$3:$CE$3,"="&amp;$DF6+'Model Setup'!$F$7,$AD6:$BA6)+'Model Setup'!$F$8*(SUMIF($BH$3:$CE$3,"&lt;"&amp;$DF6,$AD6:$BA6)+SUMIF($BH$3:$CE$3,"&gt;"&amp;$CW$4,$AD6:$BA6)),
IF(CE$3=$DF6+'Model Setup'!$G$7,SUMIF($BH$3:$CE$3,"="&amp;$DF6+'Model Setup'!$G$7,$AD6:$BA6)+'Model Setup'!$G$8*(SUMIF($BH$3:$CE$3,"&lt;"&amp;$DF6,$AD6:$BA6)+SUMIF($BH$3:$CE$3,"&gt;"&amp;$CW$4,$AD6:$BA6)),
IF(CE$3=$DF6+'Model Setup'!$H$7,SUMIF($BH$3:$CE$3,"="&amp;$DF6+'Model Setup'!$H$7,$AD6:$BA6)+'Model Setup'!$H$8*(SUMIF($BH$3:$CE$3,"&lt;"&amp;$DF6,$AD6:$BA6)+SUMIF($BH$3:$CE$3,"&gt;"&amp;$CW$4,$AD6:$BA6)),
IF(CE$3=$DF6+'Model Setup'!$I$7,SUMIF($BH$3:$CE$3,"="&amp;$DF6+'Model Setup'!$I$7,$AD6:$BA6)+'Model Setup'!$I$8*(SUMIF($BH$3:$CE$3,"&lt;"&amp;$DF6,$AD6:$BA6)+SUMIF($BH$3:$CE$3,"&gt;"&amp;$CW$4,$AD6:$BA6)),
IF(CE$3=$DF6+'Model Setup'!$J$7,SUMIF($BH$3:$CE$3,"="&amp;$DF6+'Model Setup'!$J$7,$AD6:$BA6)+'Model Setup'!$J$8*(SUMIF($BH$3:$CE$3,"&lt;"&amp;$DF6,$AD6:$BA6)+SUMIF($BH$3:$CE$3,"&gt;"&amp;$CW$4,$AD6:$BA6)),
IF(CE$3=$DF6+'Model Setup'!$K$7,SUMIF($BH$3:$CE$3,"="&amp;$DF6+'Model Setup'!$K$7,$AD6:$BA6)+'Model Setup'!$K$8*(SUMIF($BH$3:$CE$3,"&lt;"&amp;$DF6,$AD6:$BA6)+SUMIF($BH$3:$CE$3,"&gt;"&amp;$CW$4,$AD6:$BA6)),
IF(CE$3=$DF6+'Model Setup'!$L$7,SUMIF($BH$3:$CE$3,"="&amp;$DF6+'Model Setup'!$L$7,$AD6:$BA6)+'Model Setup'!$L$8*(SUMIF($BH$3:$CE$3,"&lt;"&amp;$DF6,$AD6:$BA6)+SUMIF($BH$3:$CE$3,"&gt;"&amp;$CW$4,$AD6:$BA6)),
IF(CE$3=$DF6+'Model Setup'!$M$7,SUMIF($BH$3:$CE$3,"="&amp;$DF6+'Model Setup'!$M$7,$AD6:$BA6)+'Model Setup'!$M$8*(SUMIF($BH$3:$CE$3,"&lt;"&amp;$DF6,$AD6:$BA6)+SUMIF($BH$3:$CE$3,"&gt;"&amp;$CW$4,$AD6:$BA6)),
IF(CE$3=$DF6+'Model Setup'!$N$7,SUMIF($BH$3:$CE$3,"="&amp;$DF6+'Model Setup'!$N$7,$AD6:$BA6)+'Model Setup'!$N$8*(SUMIF($BH$3:$CE$3,"&lt;"&amp;$DF6,$AD6:$BA6)+SUMIF($BH$3:$CE$3,"&gt;"&amp;$CW$4,$AD6:$BA6)),
IF(CE$3&lt;$CW$4,Y6,0))))))))))))))),0)</f>
        <v>0</v>
      </c>
      <c r="CF6" s="47">
        <f t="shared" si="3"/>
        <v>462</v>
      </c>
      <c r="CG6" s="47">
        <f t="shared" si="4"/>
        <v>0</v>
      </c>
      <c r="CI6" s="10" t="s">
        <v>21</v>
      </c>
      <c r="CJ6" s="126">
        <f t="shared" ref="CJ6:CJ56" si="9">AI6</f>
        <v>0</v>
      </c>
      <c r="CK6" s="126">
        <f t="shared" ref="CK6:CK56" si="10">AJ6</f>
        <v>38</v>
      </c>
      <c r="CL6" s="126">
        <f t="shared" ref="CL6:CL56" si="11">AK6</f>
        <v>66</v>
      </c>
      <c r="CM6" s="126">
        <f t="shared" ref="CM6:CM56" si="12">AL6</f>
        <v>54</v>
      </c>
      <c r="CN6" s="126">
        <f t="shared" ref="CN6:CN56" si="13">AM6</f>
        <v>57</v>
      </c>
      <c r="CO6" s="126">
        <f t="shared" ref="CO6:CO56" si="14">AN6</f>
        <v>54</v>
      </c>
      <c r="CP6" s="126">
        <f t="shared" ref="CP6:CP56" si="15">AO6</f>
        <v>34</v>
      </c>
      <c r="CQ6" s="126">
        <f t="shared" ref="CQ6:CQ56" si="16">AP6</f>
        <v>24</v>
      </c>
      <c r="CR6" s="126">
        <f t="shared" ref="CR6:CR56" si="17">AQ6</f>
        <v>35</v>
      </c>
      <c r="CS6" s="126">
        <f t="shared" ref="CS6:CS56" si="18">AR6</f>
        <v>24</v>
      </c>
      <c r="CT6" s="126">
        <f t="shared" ref="CT6:CT56" si="19">AS6</f>
        <v>11</v>
      </c>
      <c r="CU6" s="126">
        <f t="shared" ref="CU6:CU56" si="20">AT6</f>
        <v>21</v>
      </c>
      <c r="CV6" s="126">
        <f t="shared" ref="CV6:CV56" si="21">AU6</f>
        <v>25</v>
      </c>
      <c r="CW6" s="126">
        <f t="shared" ref="CW6:CW56" si="22">AV6</f>
        <v>19</v>
      </c>
      <c r="CX6" s="126">
        <f t="shared" ref="CX6:CX56" si="23">AW6</f>
        <v>0</v>
      </c>
      <c r="CY6" s="126">
        <f t="shared" ref="CY6:CY56" si="24">AX6</f>
        <v>0</v>
      </c>
      <c r="CZ6" s="47">
        <f t="shared" si="7"/>
        <v>462</v>
      </c>
      <c r="DC6" s="93" t="s">
        <v>21</v>
      </c>
      <c r="DD6" s="89">
        <f>FTC!E4</f>
        <v>0.25</v>
      </c>
      <c r="DE6" s="89">
        <f>FTC!F4</f>
        <v>0.75</v>
      </c>
      <c r="DF6" s="90">
        <f t="shared" ref="DF6:DF56" si="25">DD6*24</f>
        <v>6</v>
      </c>
      <c r="DG6" s="91">
        <f t="shared" ref="DG6:DG56" si="26">DE6*24</f>
        <v>18</v>
      </c>
      <c r="DH6" s="91">
        <f t="shared" ref="DH6:DH56" si="27">DG6-DF6</f>
        <v>12</v>
      </c>
    </row>
    <row r="7" spans="1:112" x14ac:dyDescent="0.35">
      <c r="A7" s="43" t="s">
        <v>22</v>
      </c>
      <c r="B7" s="6"/>
      <c r="C7" s="6"/>
      <c r="D7" s="47">
        <v>2</v>
      </c>
      <c r="E7" s="47">
        <v>2</v>
      </c>
      <c r="F7" s="47">
        <v>5</v>
      </c>
      <c r="G7" s="47">
        <v>3</v>
      </c>
      <c r="H7" s="47">
        <v>30</v>
      </c>
      <c r="I7" s="47">
        <v>35</v>
      </c>
      <c r="J7" s="47">
        <v>46</v>
      </c>
      <c r="K7" s="47">
        <v>35</v>
      </c>
      <c r="L7" s="47">
        <v>29</v>
      </c>
      <c r="M7" s="47">
        <v>17</v>
      </c>
      <c r="N7" s="47">
        <v>24</v>
      </c>
      <c r="O7" s="47">
        <v>17</v>
      </c>
      <c r="P7" s="47">
        <v>17</v>
      </c>
      <c r="Q7" s="47">
        <v>10</v>
      </c>
      <c r="R7" s="47">
        <v>9</v>
      </c>
      <c r="S7" s="47">
        <v>6</v>
      </c>
      <c r="T7" s="47">
        <v>8</v>
      </c>
      <c r="U7" s="47">
        <v>3</v>
      </c>
      <c r="V7" s="47">
        <v>2</v>
      </c>
      <c r="W7" s="47">
        <v>4</v>
      </c>
      <c r="X7" s="47">
        <v>1</v>
      </c>
      <c r="Y7" s="6"/>
      <c r="Z7" s="47">
        <f t="shared" si="0"/>
        <v>305</v>
      </c>
      <c r="AC7" s="43" t="s">
        <v>22</v>
      </c>
      <c r="AD7" s="47">
        <f>ROUND(IF(AD$3&lt;$DF7,0,
IF(AD$3=$DF7+'Model Setup'!$B$7,SUMIF($AD$3:$BA$3,"="&amp;$DF7+'Model Setup'!$B$7,$B7:$Y7)+'Model Setup'!$B$8*(SUMIF($AD$3:$BA$3,"&lt;"&amp;$DF7,$B7:$Y7)+SUMIF($AD$3:$BA$3,"&gt;="&amp;$DG7,$B7:$Y7)),
IF(AD$3=$DF7+'Model Setup'!$C$7,SUMIF($AD$3:$BA$3,"="&amp;$DF7+'Model Setup'!$C$7,$B7:$Y7)+'Model Setup'!$C$8*(SUMIF($AD$3:$BA$3,"&lt;"&amp;$DF7,$B7:$Y7)+SUMIF($AD$3:$BA$3,"&gt;="&amp;$DG7,$B7:$Y7)),
IF(AD$3=$DF7+'Model Setup'!$D$7,SUMIF($AD$3:$BA$3,"="&amp;$DF7+'Model Setup'!$D$7,$B7:$Y7)+'Model Setup'!$D$8*(SUMIF($AD$3:$BA$3,"&lt;"&amp;$DF7,$B7:$Y7)+SUMIF($AD$3:$BA$3,"&gt;="&amp;$DG7,$B7:$Y7)),
IF(AD$3=$DF7+'Model Setup'!$E$7,SUMIF($AD$3:$BA$3,"="&amp;$DF7+'Model Setup'!$E$7,$B7:$Y7)+'Model Setup'!$E$8*(SUMIF($AD$3:$BA$3,"&lt;"&amp;$DF7,$B7:$Y7)+SUMIF($AD$3:$BA$3,"&gt;="&amp;$DG7,$B7:$Y7)),
IF(AD$3=$DF7+'Model Setup'!$F$7,SUMIF($AD$3:$BA$3,"="&amp;$DF7+'Model Setup'!$F$7,$B7:$Y7)+'Model Setup'!$F$8*(SUMIF($AD$3:$BA$3,"&lt;"&amp;$DF7,$B7:$Y7)+SUMIF($AD$3:$BA$3,"&gt;="&amp;$DG7,$B7:$Y7)),
IF(AD$3=$DF7+'Model Setup'!$G$7,SUMIF($AD$3:$BA$3,"="&amp;$DF7+'Model Setup'!$G$7,$B7:$Y7)+'Model Setup'!$G$8*(SUMIF($AD$3:$BA$3,"&lt;"&amp;$DF7,$B7:$Y7)+SUMIF($AD$3:$BA$3,"&gt;="&amp;$DG7,$B7:$Y7)),
IF(AD$3=$DF7+'Model Setup'!$H$7,SUMIF($AD$3:$BA$3,"="&amp;$DF7+'Model Setup'!$H$7,$B7:$Y7)+'Model Setup'!$H$8*(SUMIF($AD$3:$BA$3,"&lt;"&amp;$DF7,$B7:$Y7)+SUMIF($AD$3:$BA$3,"&gt;="&amp;$DG7,$B7:$Y7)),
IF(AD$3=$DF7+'Model Setup'!$I$7,SUMIF($AD$3:$BA$3,"="&amp;$DF7+'Model Setup'!$I$7,$B7:$Y7)+'Model Setup'!$I$8*(SUMIF($AD$3:$BA$3,"&lt;"&amp;$DF7,$B7:$Y7)+SUMIF($AD$3:$BA$3,"&gt;="&amp;$DG7,$B7:$Y7)),
IF(AD$3=$DF7+'Model Setup'!$J$7,SUMIF($AD$3:$BA$3,"="&amp;$DF7+'Model Setup'!$J$7,$B7:$Y7)+'Model Setup'!$J$8*(SUMIF($AD$3:$BA$3,"&lt;"&amp;$DF7,$B7:$Y7)+SUMIF($AD$3:$BA$3,"&gt;="&amp;$DG7,$B7:$Y7)),
IF(AD$3=$DF7+'Model Setup'!$K$7,SUMIF($AD$3:$BA$3,"="&amp;$DF7+'Model Setup'!$K$7,$B7:$Y7)+'Model Setup'!$K$8*(SUMIF($AD$3:$BA$3,"&lt;"&amp;$DF7,$B7:$Y7)+SUMIF($AD$3:$BA$3,"&gt;="&amp;$DG7,$B7:$Y7)),
IF(AD$3=$DF7+'Model Setup'!$L$7,SUMIF($AD$3:$BA$3,"="&amp;$DF7+'Model Setup'!$L$7,$B7:$Y7)+'Model Setup'!$L$8*(SUMIF($AD$3:$BA$3,"&lt;"&amp;$DF7,$B7:$Y7)+SUMIF($AD$3:$BA$3,"&gt;="&amp;$DG7,$B7:$Y7)),
IF(AD$3=$DF7+'Model Setup'!$M$7,SUMIF($AD$3:$BA$3,"="&amp;$DF7+'Model Setup'!$M$7,$B7:$Y7)+'Model Setup'!$M$8*(SUMIF($AD$3:$BA$3,"&lt;"&amp;$DF7,$B7:$Y7)+SUMIF($AD$3:$BA$3,"&gt;="&amp;$DG7,$B7:$Y7)),
IF(AD$3=$DF7+'Model Setup'!$N$7,SUMIF($AD$3:$BA$3,"="&amp;$DF7+'Model Setup'!$N$7,$B7:$Y7)+'Model Setup'!$N$8*(SUMIF($AD$3:$BA$3,"&lt;"&amp;$DF7,$B7:$Y7)+SUMIF($AD$3:$BA$3,"&gt;="&amp;$DG7,$B7:$Y7)),
IF(AD$3&lt;$DG7,B7,0))))))))))))))),0)</f>
        <v>0</v>
      </c>
      <c r="AE7" s="47">
        <f>ROUND(IF(AE$3&lt;$DF7,0,
IF(AE$3=$DF7+'Model Setup'!$B$7,SUMIF($AD$3:$BA$3,"="&amp;$DF7+'Model Setup'!$B$7,$B7:$Y7)+'Model Setup'!$B$8*(SUMIF($AD$3:$BA$3,"&lt;"&amp;$DF7,$B7:$Y7)+SUMIF($AD$3:$BA$3,"&gt;="&amp;$DG7,$B7:$Y7)),
IF(AE$3=$DF7+'Model Setup'!$C$7,SUMIF($AD$3:$BA$3,"="&amp;$DF7+'Model Setup'!$C$7,$B7:$Y7)+'Model Setup'!$C$8*(SUMIF($AD$3:$BA$3,"&lt;"&amp;$DF7,$B7:$Y7)+SUMIF($AD$3:$BA$3,"&gt;="&amp;$DG7,$B7:$Y7)),
IF(AE$3=$DF7+'Model Setup'!$D$7,SUMIF($AD$3:$BA$3,"="&amp;$DF7+'Model Setup'!$D$7,$B7:$Y7)+'Model Setup'!$D$8*(SUMIF($AD$3:$BA$3,"&lt;"&amp;$DF7,$B7:$Y7)+SUMIF($AD$3:$BA$3,"&gt;="&amp;$DG7,$B7:$Y7)),
IF(AE$3=$DF7+'Model Setup'!$E$7,SUMIF($AD$3:$BA$3,"="&amp;$DF7+'Model Setup'!$E$7,$B7:$Y7)+'Model Setup'!$E$8*(SUMIF($AD$3:$BA$3,"&lt;"&amp;$DF7,$B7:$Y7)+SUMIF($AD$3:$BA$3,"&gt;="&amp;$DG7,$B7:$Y7)),
IF(AE$3=$DF7+'Model Setup'!$F$7,SUMIF($AD$3:$BA$3,"="&amp;$DF7+'Model Setup'!$F$7,$B7:$Y7)+'Model Setup'!$F$8*(SUMIF($AD$3:$BA$3,"&lt;"&amp;$DF7,$B7:$Y7)+SUMIF($AD$3:$BA$3,"&gt;="&amp;$DG7,$B7:$Y7)),
IF(AE$3=$DF7+'Model Setup'!$G$7,SUMIF($AD$3:$BA$3,"="&amp;$DF7+'Model Setup'!$G$7,$B7:$Y7)+'Model Setup'!$G$8*(SUMIF($AD$3:$BA$3,"&lt;"&amp;$DF7,$B7:$Y7)+SUMIF($AD$3:$BA$3,"&gt;="&amp;$DG7,$B7:$Y7)),
IF(AE$3=$DF7+'Model Setup'!$H$7,SUMIF($AD$3:$BA$3,"="&amp;$DF7+'Model Setup'!$H$7,$B7:$Y7)+'Model Setup'!$H$8*(SUMIF($AD$3:$BA$3,"&lt;"&amp;$DF7,$B7:$Y7)+SUMIF($AD$3:$BA$3,"&gt;="&amp;$DG7,$B7:$Y7)),
IF(AE$3=$DF7+'Model Setup'!$I$7,SUMIF($AD$3:$BA$3,"="&amp;$DF7+'Model Setup'!$I$7,$B7:$Y7)+'Model Setup'!$I$8*(SUMIF($AD$3:$BA$3,"&lt;"&amp;$DF7,$B7:$Y7)+SUMIF($AD$3:$BA$3,"&gt;="&amp;$DG7,$B7:$Y7)),
IF(AE$3=$DF7+'Model Setup'!$J$7,SUMIF($AD$3:$BA$3,"="&amp;$DF7+'Model Setup'!$J$7,$B7:$Y7)+'Model Setup'!$J$8*(SUMIF($AD$3:$BA$3,"&lt;"&amp;$DF7,$B7:$Y7)+SUMIF($AD$3:$BA$3,"&gt;="&amp;$DG7,$B7:$Y7)),
IF(AE$3=$DF7+'Model Setup'!$K$7,SUMIF($AD$3:$BA$3,"="&amp;$DF7+'Model Setup'!$K$7,$B7:$Y7)+'Model Setup'!$K$8*(SUMIF($AD$3:$BA$3,"&lt;"&amp;$DF7,$B7:$Y7)+SUMIF($AD$3:$BA$3,"&gt;="&amp;$DG7,$B7:$Y7)),
IF(AE$3=$DF7+'Model Setup'!$L$7,SUMIF($AD$3:$BA$3,"="&amp;$DF7+'Model Setup'!$L$7,$B7:$Y7)+'Model Setup'!$L$8*(SUMIF($AD$3:$BA$3,"&lt;"&amp;$DF7,$B7:$Y7)+SUMIF($AD$3:$BA$3,"&gt;="&amp;$DG7,$B7:$Y7)),
IF(AE$3=$DF7+'Model Setup'!$M$7,SUMIF($AD$3:$BA$3,"="&amp;$DF7+'Model Setup'!$M$7,$B7:$Y7)+'Model Setup'!$M$8*(SUMIF($AD$3:$BA$3,"&lt;"&amp;$DF7,$B7:$Y7)+SUMIF($AD$3:$BA$3,"&gt;="&amp;$DG7,$B7:$Y7)),
IF(AE$3=$DF7+'Model Setup'!$N$7,SUMIF($AD$3:$BA$3,"="&amp;$DF7+'Model Setup'!$N$7,$B7:$Y7)+'Model Setup'!$N$8*(SUMIF($AD$3:$BA$3,"&lt;"&amp;$DF7,$B7:$Y7)+SUMIF($AD$3:$BA$3,"&gt;="&amp;$DG7,$B7:$Y7)),
IF(AE$3&lt;$DG7,C7,0))))))))))))))),0)</f>
        <v>0</v>
      </c>
      <c r="AF7" s="47">
        <f>ROUND(IF(AF$3&lt;$DF7,0,
IF(AF$3=$DF7+'Model Setup'!$B$7,SUMIF($AD$3:$BA$3,"="&amp;$DF7+'Model Setup'!$B$7,$B7:$Y7)+'Model Setup'!$B$8*(SUMIF($AD$3:$BA$3,"&lt;"&amp;$DF7,$B7:$Y7)+SUMIF($AD$3:$BA$3,"&gt;="&amp;$DG7,$B7:$Y7)),
IF(AF$3=$DF7+'Model Setup'!$C$7,SUMIF($AD$3:$BA$3,"="&amp;$DF7+'Model Setup'!$C$7,$B7:$Y7)+'Model Setup'!$C$8*(SUMIF($AD$3:$BA$3,"&lt;"&amp;$DF7,$B7:$Y7)+SUMIF($AD$3:$BA$3,"&gt;="&amp;$DG7,$B7:$Y7)),
IF(AF$3=$DF7+'Model Setup'!$D$7,SUMIF($AD$3:$BA$3,"="&amp;$DF7+'Model Setup'!$D$7,$B7:$Y7)+'Model Setup'!$D$8*(SUMIF($AD$3:$BA$3,"&lt;"&amp;$DF7,$B7:$Y7)+SUMIF($AD$3:$BA$3,"&gt;="&amp;$DG7,$B7:$Y7)),
IF(AF$3=$DF7+'Model Setup'!$E$7,SUMIF($AD$3:$BA$3,"="&amp;$DF7+'Model Setup'!$E$7,$B7:$Y7)+'Model Setup'!$E$8*(SUMIF($AD$3:$BA$3,"&lt;"&amp;$DF7,$B7:$Y7)+SUMIF($AD$3:$BA$3,"&gt;="&amp;$DG7,$B7:$Y7)),
IF(AF$3=$DF7+'Model Setup'!$F$7,SUMIF($AD$3:$BA$3,"="&amp;$DF7+'Model Setup'!$F$7,$B7:$Y7)+'Model Setup'!$F$8*(SUMIF($AD$3:$BA$3,"&lt;"&amp;$DF7,$B7:$Y7)+SUMIF($AD$3:$BA$3,"&gt;="&amp;$DG7,$B7:$Y7)),
IF(AF$3=$DF7+'Model Setup'!$G$7,SUMIF($AD$3:$BA$3,"="&amp;$DF7+'Model Setup'!$G$7,$B7:$Y7)+'Model Setup'!$G$8*(SUMIF($AD$3:$BA$3,"&lt;"&amp;$DF7,$B7:$Y7)+SUMIF($AD$3:$BA$3,"&gt;="&amp;$DG7,$B7:$Y7)),
IF(AF$3=$DF7+'Model Setup'!$H$7,SUMIF($AD$3:$BA$3,"="&amp;$DF7+'Model Setup'!$H$7,$B7:$Y7)+'Model Setup'!$H$8*(SUMIF($AD$3:$BA$3,"&lt;"&amp;$DF7,$B7:$Y7)+SUMIF($AD$3:$BA$3,"&gt;="&amp;$DG7,$B7:$Y7)),
IF(AF$3=$DF7+'Model Setup'!$I$7,SUMIF($AD$3:$BA$3,"="&amp;$DF7+'Model Setup'!$I$7,$B7:$Y7)+'Model Setup'!$I$8*(SUMIF($AD$3:$BA$3,"&lt;"&amp;$DF7,$B7:$Y7)+SUMIF($AD$3:$BA$3,"&gt;="&amp;$DG7,$B7:$Y7)),
IF(AF$3=$DF7+'Model Setup'!$J$7,SUMIF($AD$3:$BA$3,"="&amp;$DF7+'Model Setup'!$J$7,$B7:$Y7)+'Model Setup'!$J$8*(SUMIF($AD$3:$BA$3,"&lt;"&amp;$DF7,$B7:$Y7)+SUMIF($AD$3:$BA$3,"&gt;="&amp;$DG7,$B7:$Y7)),
IF(AF$3=$DF7+'Model Setup'!$K$7,SUMIF($AD$3:$BA$3,"="&amp;$DF7+'Model Setup'!$K$7,$B7:$Y7)+'Model Setup'!$K$8*(SUMIF($AD$3:$BA$3,"&lt;"&amp;$DF7,$B7:$Y7)+SUMIF($AD$3:$BA$3,"&gt;="&amp;$DG7,$B7:$Y7)),
IF(AF$3=$DF7+'Model Setup'!$L$7,SUMIF($AD$3:$BA$3,"="&amp;$DF7+'Model Setup'!$L$7,$B7:$Y7)+'Model Setup'!$L$8*(SUMIF($AD$3:$BA$3,"&lt;"&amp;$DF7,$B7:$Y7)+SUMIF($AD$3:$BA$3,"&gt;="&amp;$DG7,$B7:$Y7)),
IF(AF$3=$DF7+'Model Setup'!$M$7,SUMIF($AD$3:$BA$3,"="&amp;$DF7+'Model Setup'!$M$7,$B7:$Y7)+'Model Setup'!$M$8*(SUMIF($AD$3:$BA$3,"&lt;"&amp;$DF7,$B7:$Y7)+SUMIF($AD$3:$BA$3,"&gt;="&amp;$DG7,$B7:$Y7)),
IF(AF$3=$DF7+'Model Setup'!$N$7,SUMIF($AD$3:$BA$3,"="&amp;$DF7+'Model Setup'!$N$7,$B7:$Y7)+'Model Setup'!$N$8*(SUMIF($AD$3:$BA$3,"&lt;"&amp;$DF7,$B7:$Y7)+SUMIF($AD$3:$BA$3,"&gt;="&amp;$DG7,$B7:$Y7)),
IF(AF$3&lt;$DG7,D7,0))))))))))))))),0)</f>
        <v>0</v>
      </c>
      <c r="AG7" s="47">
        <f>ROUND(IF(AG$3&lt;$DF7,0,
IF(AG$3=$DF7+'Model Setup'!$B$7,SUMIF($AD$3:$BA$3,"="&amp;$DF7+'Model Setup'!$B$7,$B7:$Y7)+'Model Setup'!$B$8*(SUMIF($AD$3:$BA$3,"&lt;"&amp;$DF7,$B7:$Y7)+SUMIF($AD$3:$BA$3,"&gt;="&amp;$DG7,$B7:$Y7)),
IF(AG$3=$DF7+'Model Setup'!$C$7,SUMIF($AD$3:$BA$3,"="&amp;$DF7+'Model Setup'!$C$7,$B7:$Y7)+'Model Setup'!$C$8*(SUMIF($AD$3:$BA$3,"&lt;"&amp;$DF7,$B7:$Y7)+SUMIF($AD$3:$BA$3,"&gt;="&amp;$DG7,$B7:$Y7)),
IF(AG$3=$DF7+'Model Setup'!$D$7,SUMIF($AD$3:$BA$3,"="&amp;$DF7+'Model Setup'!$D$7,$B7:$Y7)+'Model Setup'!$D$8*(SUMIF($AD$3:$BA$3,"&lt;"&amp;$DF7,$B7:$Y7)+SUMIF($AD$3:$BA$3,"&gt;="&amp;$DG7,$B7:$Y7)),
IF(AG$3=$DF7+'Model Setup'!$E$7,SUMIF($AD$3:$BA$3,"="&amp;$DF7+'Model Setup'!$E$7,$B7:$Y7)+'Model Setup'!$E$8*(SUMIF($AD$3:$BA$3,"&lt;"&amp;$DF7,$B7:$Y7)+SUMIF($AD$3:$BA$3,"&gt;="&amp;$DG7,$B7:$Y7)),
IF(AG$3=$DF7+'Model Setup'!$F$7,SUMIF($AD$3:$BA$3,"="&amp;$DF7+'Model Setup'!$F$7,$B7:$Y7)+'Model Setup'!$F$8*(SUMIF($AD$3:$BA$3,"&lt;"&amp;$DF7,$B7:$Y7)+SUMIF($AD$3:$BA$3,"&gt;="&amp;$DG7,$B7:$Y7)),
IF(AG$3=$DF7+'Model Setup'!$G$7,SUMIF($AD$3:$BA$3,"="&amp;$DF7+'Model Setup'!$G$7,$B7:$Y7)+'Model Setup'!$G$8*(SUMIF($AD$3:$BA$3,"&lt;"&amp;$DF7,$B7:$Y7)+SUMIF($AD$3:$BA$3,"&gt;="&amp;$DG7,$B7:$Y7)),
IF(AG$3=$DF7+'Model Setup'!$H$7,SUMIF($AD$3:$BA$3,"="&amp;$DF7+'Model Setup'!$H$7,$B7:$Y7)+'Model Setup'!$H$8*(SUMIF($AD$3:$BA$3,"&lt;"&amp;$DF7,$B7:$Y7)+SUMIF($AD$3:$BA$3,"&gt;="&amp;$DG7,$B7:$Y7)),
IF(AG$3=$DF7+'Model Setup'!$I$7,SUMIF($AD$3:$BA$3,"="&amp;$DF7+'Model Setup'!$I$7,$B7:$Y7)+'Model Setup'!$I$8*(SUMIF($AD$3:$BA$3,"&lt;"&amp;$DF7,$B7:$Y7)+SUMIF($AD$3:$BA$3,"&gt;="&amp;$DG7,$B7:$Y7)),
IF(AG$3=$DF7+'Model Setup'!$J$7,SUMIF($AD$3:$BA$3,"="&amp;$DF7+'Model Setup'!$J$7,$B7:$Y7)+'Model Setup'!$J$8*(SUMIF($AD$3:$BA$3,"&lt;"&amp;$DF7,$B7:$Y7)+SUMIF($AD$3:$BA$3,"&gt;="&amp;$DG7,$B7:$Y7)),
IF(AG$3=$DF7+'Model Setup'!$K$7,SUMIF($AD$3:$BA$3,"="&amp;$DF7+'Model Setup'!$K$7,$B7:$Y7)+'Model Setup'!$K$8*(SUMIF($AD$3:$BA$3,"&lt;"&amp;$DF7,$B7:$Y7)+SUMIF($AD$3:$BA$3,"&gt;="&amp;$DG7,$B7:$Y7)),
IF(AG$3=$DF7+'Model Setup'!$L$7,SUMIF($AD$3:$BA$3,"="&amp;$DF7+'Model Setup'!$L$7,$B7:$Y7)+'Model Setup'!$L$8*(SUMIF($AD$3:$BA$3,"&lt;"&amp;$DF7,$B7:$Y7)+SUMIF($AD$3:$BA$3,"&gt;="&amp;$DG7,$B7:$Y7)),
IF(AG$3=$DF7+'Model Setup'!$M$7,SUMIF($AD$3:$BA$3,"="&amp;$DF7+'Model Setup'!$M$7,$B7:$Y7)+'Model Setup'!$M$8*(SUMIF($AD$3:$BA$3,"&lt;"&amp;$DF7,$B7:$Y7)+SUMIF($AD$3:$BA$3,"&gt;="&amp;$DG7,$B7:$Y7)),
IF(AG$3=$DF7+'Model Setup'!$N$7,SUMIF($AD$3:$BA$3,"="&amp;$DF7+'Model Setup'!$N$7,$B7:$Y7)+'Model Setup'!$N$8*(SUMIF($AD$3:$BA$3,"&lt;"&amp;$DF7,$B7:$Y7)+SUMIF($AD$3:$BA$3,"&gt;="&amp;$DG7,$B7:$Y7)),
IF(AG$3&lt;$DG7,E7,0))))))))))))))),0)</f>
        <v>0</v>
      </c>
      <c r="AH7" s="47">
        <f>ROUND(IF(AH$3&lt;$DF7,0,
IF(AH$3=$DF7+'Model Setup'!$B$7,SUMIF($AD$3:$BA$3,"="&amp;$DF7+'Model Setup'!$B$7,$B7:$Y7)+'Model Setup'!$B$8*(SUMIF($AD$3:$BA$3,"&lt;"&amp;$DF7,$B7:$Y7)+SUMIF($AD$3:$BA$3,"&gt;="&amp;$DG7,$B7:$Y7)),
IF(AH$3=$DF7+'Model Setup'!$C$7,SUMIF($AD$3:$BA$3,"="&amp;$DF7+'Model Setup'!$C$7,$B7:$Y7)+'Model Setup'!$C$8*(SUMIF($AD$3:$BA$3,"&lt;"&amp;$DF7,$B7:$Y7)+SUMIF($AD$3:$BA$3,"&gt;="&amp;$DG7,$B7:$Y7)),
IF(AH$3=$DF7+'Model Setup'!$D$7,SUMIF($AD$3:$BA$3,"="&amp;$DF7+'Model Setup'!$D$7,$B7:$Y7)+'Model Setup'!$D$8*(SUMIF($AD$3:$BA$3,"&lt;"&amp;$DF7,$B7:$Y7)+SUMIF($AD$3:$BA$3,"&gt;="&amp;$DG7,$B7:$Y7)),
IF(AH$3=$DF7+'Model Setup'!$E$7,SUMIF($AD$3:$BA$3,"="&amp;$DF7+'Model Setup'!$E$7,$B7:$Y7)+'Model Setup'!$E$8*(SUMIF($AD$3:$BA$3,"&lt;"&amp;$DF7,$B7:$Y7)+SUMIF($AD$3:$BA$3,"&gt;="&amp;$DG7,$B7:$Y7)),
IF(AH$3=$DF7+'Model Setup'!$F$7,SUMIF($AD$3:$BA$3,"="&amp;$DF7+'Model Setup'!$F$7,$B7:$Y7)+'Model Setup'!$F$8*(SUMIF($AD$3:$BA$3,"&lt;"&amp;$DF7,$B7:$Y7)+SUMIF($AD$3:$BA$3,"&gt;="&amp;$DG7,$B7:$Y7)),
IF(AH$3=$DF7+'Model Setup'!$G$7,SUMIF($AD$3:$BA$3,"="&amp;$DF7+'Model Setup'!$G$7,$B7:$Y7)+'Model Setup'!$G$8*(SUMIF($AD$3:$BA$3,"&lt;"&amp;$DF7,$B7:$Y7)+SUMIF($AD$3:$BA$3,"&gt;="&amp;$DG7,$B7:$Y7)),
IF(AH$3=$DF7+'Model Setup'!$H$7,SUMIF($AD$3:$BA$3,"="&amp;$DF7+'Model Setup'!$H$7,$B7:$Y7)+'Model Setup'!$H$8*(SUMIF($AD$3:$BA$3,"&lt;"&amp;$DF7,$B7:$Y7)+SUMIF($AD$3:$BA$3,"&gt;="&amp;$DG7,$B7:$Y7)),
IF(AH$3=$DF7+'Model Setup'!$I$7,SUMIF($AD$3:$BA$3,"="&amp;$DF7+'Model Setup'!$I$7,$B7:$Y7)+'Model Setup'!$I$8*(SUMIF($AD$3:$BA$3,"&lt;"&amp;$DF7,$B7:$Y7)+SUMIF($AD$3:$BA$3,"&gt;="&amp;$DG7,$B7:$Y7)),
IF(AH$3=$DF7+'Model Setup'!$J$7,SUMIF($AD$3:$BA$3,"="&amp;$DF7+'Model Setup'!$J$7,$B7:$Y7)+'Model Setup'!$J$8*(SUMIF($AD$3:$BA$3,"&lt;"&amp;$DF7,$B7:$Y7)+SUMIF($AD$3:$BA$3,"&gt;="&amp;$DG7,$B7:$Y7)),
IF(AH$3=$DF7+'Model Setup'!$K$7,SUMIF($AD$3:$BA$3,"="&amp;$DF7+'Model Setup'!$K$7,$B7:$Y7)+'Model Setup'!$K$8*(SUMIF($AD$3:$BA$3,"&lt;"&amp;$DF7,$B7:$Y7)+SUMIF($AD$3:$BA$3,"&gt;="&amp;$DG7,$B7:$Y7)),
IF(AH$3=$DF7+'Model Setup'!$L$7,SUMIF($AD$3:$BA$3,"="&amp;$DF7+'Model Setup'!$L$7,$B7:$Y7)+'Model Setup'!$L$8*(SUMIF($AD$3:$BA$3,"&lt;"&amp;$DF7,$B7:$Y7)+SUMIF($AD$3:$BA$3,"&gt;="&amp;$DG7,$B7:$Y7)),
IF(AH$3=$DF7+'Model Setup'!$M$7,SUMIF($AD$3:$BA$3,"="&amp;$DF7+'Model Setup'!$M$7,$B7:$Y7)+'Model Setup'!$M$8*(SUMIF($AD$3:$BA$3,"&lt;"&amp;$DF7,$B7:$Y7)+SUMIF($AD$3:$BA$3,"&gt;="&amp;$DG7,$B7:$Y7)),
IF(AH$3=$DF7+'Model Setup'!$N$7,SUMIF($AD$3:$BA$3,"="&amp;$DF7+'Model Setup'!$N$7,$B7:$Y7)+'Model Setup'!$N$8*(SUMIF($AD$3:$BA$3,"&lt;"&amp;$DF7,$B7:$Y7)+SUMIF($AD$3:$BA$3,"&gt;="&amp;$DG7,$B7:$Y7)),
IF(AH$3&lt;$DG7,F7,0))))))))))))))),0)</f>
        <v>0</v>
      </c>
      <c r="AI7" s="47">
        <f>ROUND(IF(AI$3&lt;$DF7,0,
IF(AI$3=$DF7+'Model Setup'!$B$7,SUMIF($AD$3:$BA$3,"="&amp;$DF7+'Model Setup'!$B$7,$B7:$Y7)+'Model Setup'!$B$8*(SUMIF($AD$3:$BA$3,"&lt;"&amp;$DF7,$B7:$Y7)+SUMIF($AD$3:$BA$3,"&gt;="&amp;$DG7,$B7:$Y7)),
IF(AI$3=$DF7+'Model Setup'!$C$7,SUMIF($AD$3:$BA$3,"="&amp;$DF7+'Model Setup'!$C$7,$B7:$Y7)+'Model Setup'!$C$8*(SUMIF($AD$3:$BA$3,"&lt;"&amp;$DF7,$B7:$Y7)+SUMIF($AD$3:$BA$3,"&gt;="&amp;$DG7,$B7:$Y7)),
IF(AI$3=$DF7+'Model Setup'!$D$7,SUMIF($AD$3:$BA$3,"="&amp;$DF7+'Model Setup'!$D$7,$B7:$Y7)+'Model Setup'!$D$8*(SUMIF($AD$3:$BA$3,"&lt;"&amp;$DF7,$B7:$Y7)+SUMIF($AD$3:$BA$3,"&gt;="&amp;$DG7,$B7:$Y7)),
IF(AI$3=$DF7+'Model Setup'!$E$7,SUMIF($AD$3:$BA$3,"="&amp;$DF7+'Model Setup'!$E$7,$B7:$Y7)+'Model Setup'!$E$8*(SUMIF($AD$3:$BA$3,"&lt;"&amp;$DF7,$B7:$Y7)+SUMIF($AD$3:$BA$3,"&gt;="&amp;$DG7,$B7:$Y7)),
IF(AI$3=$DF7+'Model Setup'!$F$7,SUMIF($AD$3:$BA$3,"="&amp;$DF7+'Model Setup'!$F$7,$B7:$Y7)+'Model Setup'!$F$8*(SUMIF($AD$3:$BA$3,"&lt;"&amp;$DF7,$B7:$Y7)+SUMIF($AD$3:$BA$3,"&gt;="&amp;$DG7,$B7:$Y7)),
IF(AI$3=$DF7+'Model Setup'!$G$7,SUMIF($AD$3:$BA$3,"="&amp;$DF7+'Model Setup'!$G$7,$B7:$Y7)+'Model Setup'!$G$8*(SUMIF($AD$3:$BA$3,"&lt;"&amp;$DF7,$B7:$Y7)+SUMIF($AD$3:$BA$3,"&gt;="&amp;$DG7,$B7:$Y7)),
IF(AI$3=$DF7+'Model Setup'!$H$7,SUMIF($AD$3:$BA$3,"="&amp;$DF7+'Model Setup'!$H$7,$B7:$Y7)+'Model Setup'!$H$8*(SUMIF($AD$3:$BA$3,"&lt;"&amp;$DF7,$B7:$Y7)+SUMIF($AD$3:$BA$3,"&gt;="&amp;$DG7,$B7:$Y7)),
IF(AI$3=$DF7+'Model Setup'!$I$7,SUMIF($AD$3:$BA$3,"="&amp;$DF7+'Model Setup'!$I$7,$B7:$Y7)+'Model Setup'!$I$8*(SUMIF($AD$3:$BA$3,"&lt;"&amp;$DF7,$B7:$Y7)+SUMIF($AD$3:$BA$3,"&gt;="&amp;$DG7,$B7:$Y7)),
IF(AI$3=$DF7+'Model Setup'!$J$7,SUMIF($AD$3:$BA$3,"="&amp;$DF7+'Model Setup'!$J$7,$B7:$Y7)+'Model Setup'!$J$8*(SUMIF($AD$3:$BA$3,"&lt;"&amp;$DF7,$B7:$Y7)+SUMIF($AD$3:$BA$3,"&gt;="&amp;$DG7,$B7:$Y7)),
IF(AI$3=$DF7+'Model Setup'!$K$7,SUMIF($AD$3:$BA$3,"="&amp;$DF7+'Model Setup'!$K$7,$B7:$Y7)+'Model Setup'!$K$8*(SUMIF($AD$3:$BA$3,"&lt;"&amp;$DF7,$B7:$Y7)+SUMIF($AD$3:$BA$3,"&gt;="&amp;$DG7,$B7:$Y7)),
IF(AI$3=$DF7+'Model Setup'!$L$7,SUMIF($AD$3:$BA$3,"="&amp;$DF7+'Model Setup'!$L$7,$B7:$Y7)+'Model Setup'!$L$8*(SUMIF($AD$3:$BA$3,"&lt;"&amp;$DF7,$B7:$Y7)+SUMIF($AD$3:$BA$3,"&gt;="&amp;$DG7,$B7:$Y7)),
IF(AI$3=$DF7+'Model Setup'!$M$7,SUMIF($AD$3:$BA$3,"="&amp;$DF7+'Model Setup'!$M$7,$B7:$Y7)+'Model Setup'!$M$8*(SUMIF($AD$3:$BA$3,"&lt;"&amp;$DF7,$B7:$Y7)+SUMIF($AD$3:$BA$3,"&gt;="&amp;$DG7,$B7:$Y7)),
IF(AI$3=$DF7+'Model Setup'!$N$7,SUMIF($AD$3:$BA$3,"="&amp;$DF7+'Model Setup'!$N$7,$B7:$Y7)+'Model Setup'!$N$8*(SUMIF($AD$3:$BA$3,"&lt;"&amp;$DF7,$B7:$Y7)+SUMIF($AD$3:$BA$3,"&gt;="&amp;$DG7,$B7:$Y7)),
IF(AI$3&lt;$DG7,G7,0))))))))))))))),0)</f>
        <v>0</v>
      </c>
      <c r="AJ7" s="47">
        <f>ROUND(IF(AJ$3&lt;$DF7,0,
IF(AJ$3=$DF7+'Model Setup'!$B$7,SUMIF($AD$3:$BA$3,"="&amp;$DF7+'Model Setup'!$B$7,$B7:$Y7)+'Model Setup'!$B$8*(SUMIF($AD$3:$BA$3,"&lt;"&amp;$DF7,$B7:$Y7)+SUMIF($AD$3:$BA$3,"&gt;="&amp;$DG7,$B7:$Y7)),
IF(AJ$3=$DF7+'Model Setup'!$C$7,SUMIF($AD$3:$BA$3,"="&amp;$DF7+'Model Setup'!$C$7,$B7:$Y7)+'Model Setup'!$C$8*(SUMIF($AD$3:$BA$3,"&lt;"&amp;$DF7,$B7:$Y7)+SUMIF($AD$3:$BA$3,"&gt;="&amp;$DG7,$B7:$Y7)),
IF(AJ$3=$DF7+'Model Setup'!$D$7,SUMIF($AD$3:$BA$3,"="&amp;$DF7+'Model Setup'!$D$7,$B7:$Y7)+'Model Setup'!$D$8*(SUMIF($AD$3:$BA$3,"&lt;"&amp;$DF7,$B7:$Y7)+SUMIF($AD$3:$BA$3,"&gt;="&amp;$DG7,$B7:$Y7)),
IF(AJ$3=$DF7+'Model Setup'!$E$7,SUMIF($AD$3:$BA$3,"="&amp;$DF7+'Model Setup'!$E$7,$B7:$Y7)+'Model Setup'!$E$8*(SUMIF($AD$3:$BA$3,"&lt;"&amp;$DF7,$B7:$Y7)+SUMIF($AD$3:$BA$3,"&gt;="&amp;$DG7,$B7:$Y7)),
IF(AJ$3=$DF7+'Model Setup'!$F$7,SUMIF($AD$3:$BA$3,"="&amp;$DF7+'Model Setup'!$F$7,$B7:$Y7)+'Model Setup'!$F$8*(SUMIF($AD$3:$BA$3,"&lt;"&amp;$DF7,$B7:$Y7)+SUMIF($AD$3:$BA$3,"&gt;="&amp;$DG7,$B7:$Y7)),
IF(AJ$3=$DF7+'Model Setup'!$G$7,SUMIF($AD$3:$BA$3,"="&amp;$DF7+'Model Setup'!$G$7,$B7:$Y7)+'Model Setup'!$G$8*(SUMIF($AD$3:$BA$3,"&lt;"&amp;$DF7,$B7:$Y7)+SUMIF($AD$3:$BA$3,"&gt;="&amp;$DG7,$B7:$Y7)),
IF(AJ$3=$DF7+'Model Setup'!$H$7,SUMIF($AD$3:$BA$3,"="&amp;$DF7+'Model Setup'!$H$7,$B7:$Y7)+'Model Setup'!$H$8*(SUMIF($AD$3:$BA$3,"&lt;"&amp;$DF7,$B7:$Y7)+SUMIF($AD$3:$BA$3,"&gt;="&amp;$DG7,$B7:$Y7)),
IF(AJ$3=$DF7+'Model Setup'!$I$7,SUMIF($AD$3:$BA$3,"="&amp;$DF7+'Model Setup'!$I$7,$B7:$Y7)+'Model Setup'!$I$8*(SUMIF($AD$3:$BA$3,"&lt;"&amp;$DF7,$B7:$Y7)+SUMIF($AD$3:$BA$3,"&gt;="&amp;$DG7,$B7:$Y7)),
IF(AJ$3=$DF7+'Model Setup'!$J$7,SUMIF($AD$3:$BA$3,"="&amp;$DF7+'Model Setup'!$J$7,$B7:$Y7)+'Model Setup'!$J$8*(SUMIF($AD$3:$BA$3,"&lt;"&amp;$DF7,$B7:$Y7)+SUMIF($AD$3:$BA$3,"&gt;="&amp;$DG7,$B7:$Y7)),
IF(AJ$3=$DF7+'Model Setup'!$K$7,SUMIF($AD$3:$BA$3,"="&amp;$DF7+'Model Setup'!$K$7,$B7:$Y7)+'Model Setup'!$K$8*(SUMIF($AD$3:$BA$3,"&lt;"&amp;$DF7,$B7:$Y7)+SUMIF($AD$3:$BA$3,"&gt;="&amp;$DG7,$B7:$Y7)),
IF(AJ$3=$DF7+'Model Setup'!$L$7,SUMIF($AD$3:$BA$3,"="&amp;$DF7+'Model Setup'!$L$7,$B7:$Y7)+'Model Setup'!$L$8*(SUMIF($AD$3:$BA$3,"&lt;"&amp;$DF7,$B7:$Y7)+SUMIF($AD$3:$BA$3,"&gt;="&amp;$DG7,$B7:$Y7)),
IF(AJ$3=$DF7+'Model Setup'!$M$7,SUMIF($AD$3:$BA$3,"="&amp;$DF7+'Model Setup'!$M$7,$B7:$Y7)+'Model Setup'!$M$8*(SUMIF($AD$3:$BA$3,"&lt;"&amp;$DF7,$B7:$Y7)+SUMIF($AD$3:$BA$3,"&gt;="&amp;$DG7,$B7:$Y7)),
IF(AJ$3=$DF7+'Model Setup'!$N$7,SUMIF($AD$3:$BA$3,"="&amp;$DF7+'Model Setup'!$N$7,$B7:$Y7)+'Model Setup'!$N$8*(SUMIF($AD$3:$BA$3,"&lt;"&amp;$DF7,$B7:$Y7)+SUMIF($AD$3:$BA$3,"&gt;="&amp;$DG7,$B7:$Y7)),
IF(AJ$3&lt;$DG7,H7,0))))))))))))))),0)</f>
        <v>30</v>
      </c>
      <c r="AK7" s="47">
        <f>ROUND(IF(AK$3&lt;$DF7,0,
IF(AK$3=$DF7+'Model Setup'!$B$7,SUMIF($AD$3:$BA$3,"="&amp;$DF7+'Model Setup'!$B$7,$B7:$Y7)+'Model Setup'!$B$8*(SUMIF($AD$3:$BA$3,"&lt;"&amp;$DF7,$B7:$Y7)+SUMIF($AD$3:$BA$3,"&gt;="&amp;$DG7,$B7:$Y7)),
IF(AK$3=$DF7+'Model Setup'!$C$7,SUMIF($AD$3:$BA$3,"="&amp;$DF7+'Model Setup'!$C$7,$B7:$Y7)+'Model Setup'!$C$8*(SUMIF($AD$3:$BA$3,"&lt;"&amp;$DF7,$B7:$Y7)+SUMIF($AD$3:$BA$3,"&gt;="&amp;$DG7,$B7:$Y7)),
IF(AK$3=$DF7+'Model Setup'!$D$7,SUMIF($AD$3:$BA$3,"="&amp;$DF7+'Model Setup'!$D$7,$B7:$Y7)+'Model Setup'!$D$8*(SUMIF($AD$3:$BA$3,"&lt;"&amp;$DF7,$B7:$Y7)+SUMIF($AD$3:$BA$3,"&gt;="&amp;$DG7,$B7:$Y7)),
IF(AK$3=$DF7+'Model Setup'!$E$7,SUMIF($AD$3:$BA$3,"="&amp;$DF7+'Model Setup'!$E$7,$B7:$Y7)+'Model Setup'!$E$8*(SUMIF($AD$3:$BA$3,"&lt;"&amp;$DF7,$B7:$Y7)+SUMIF($AD$3:$BA$3,"&gt;="&amp;$DG7,$B7:$Y7)),
IF(AK$3=$DF7+'Model Setup'!$F$7,SUMIF($AD$3:$BA$3,"="&amp;$DF7+'Model Setup'!$F$7,$B7:$Y7)+'Model Setup'!$F$8*(SUMIF($AD$3:$BA$3,"&lt;"&amp;$DF7,$B7:$Y7)+SUMIF($AD$3:$BA$3,"&gt;="&amp;$DG7,$B7:$Y7)),
IF(AK$3=$DF7+'Model Setup'!$G$7,SUMIF($AD$3:$BA$3,"="&amp;$DF7+'Model Setup'!$G$7,$B7:$Y7)+'Model Setup'!$G$8*(SUMIF($AD$3:$BA$3,"&lt;"&amp;$DF7,$B7:$Y7)+SUMIF($AD$3:$BA$3,"&gt;="&amp;$DG7,$B7:$Y7)),
IF(AK$3=$DF7+'Model Setup'!$H$7,SUMIF($AD$3:$BA$3,"="&amp;$DF7+'Model Setup'!$H$7,$B7:$Y7)+'Model Setup'!$H$8*(SUMIF($AD$3:$BA$3,"&lt;"&amp;$DF7,$B7:$Y7)+SUMIF($AD$3:$BA$3,"&gt;="&amp;$DG7,$B7:$Y7)),
IF(AK$3=$DF7+'Model Setup'!$I$7,SUMIF($AD$3:$BA$3,"="&amp;$DF7+'Model Setup'!$I$7,$B7:$Y7)+'Model Setup'!$I$8*(SUMIF($AD$3:$BA$3,"&lt;"&amp;$DF7,$B7:$Y7)+SUMIF($AD$3:$BA$3,"&gt;="&amp;$DG7,$B7:$Y7)),
IF(AK$3=$DF7+'Model Setup'!$J$7,SUMIF($AD$3:$BA$3,"="&amp;$DF7+'Model Setup'!$J$7,$B7:$Y7)+'Model Setup'!$J$8*(SUMIF($AD$3:$BA$3,"&lt;"&amp;$DF7,$B7:$Y7)+SUMIF($AD$3:$BA$3,"&gt;="&amp;$DG7,$B7:$Y7)),
IF(AK$3=$DF7+'Model Setup'!$K$7,SUMIF($AD$3:$BA$3,"="&amp;$DF7+'Model Setup'!$K$7,$B7:$Y7)+'Model Setup'!$K$8*(SUMIF($AD$3:$BA$3,"&lt;"&amp;$DF7,$B7:$Y7)+SUMIF($AD$3:$BA$3,"&gt;="&amp;$DG7,$B7:$Y7)),
IF(AK$3=$DF7+'Model Setup'!$L$7,SUMIF($AD$3:$BA$3,"="&amp;$DF7+'Model Setup'!$L$7,$B7:$Y7)+'Model Setup'!$L$8*(SUMIF($AD$3:$BA$3,"&lt;"&amp;$DF7,$B7:$Y7)+SUMIF($AD$3:$BA$3,"&gt;="&amp;$DG7,$B7:$Y7)),
IF(AK$3=$DF7+'Model Setup'!$M$7,SUMIF($AD$3:$BA$3,"="&amp;$DF7+'Model Setup'!$M$7,$B7:$Y7)+'Model Setup'!$M$8*(SUMIF($AD$3:$BA$3,"&lt;"&amp;$DF7,$B7:$Y7)+SUMIF($AD$3:$BA$3,"&gt;="&amp;$DG7,$B7:$Y7)),
IF(AK$3=$DF7+'Model Setup'!$N$7,SUMIF($AD$3:$BA$3,"="&amp;$DF7+'Model Setup'!$N$7,$B7:$Y7)+'Model Setup'!$N$8*(SUMIF($AD$3:$BA$3,"&lt;"&amp;$DF7,$B7:$Y7)+SUMIF($AD$3:$BA$3,"&gt;="&amp;$DG7,$B7:$Y7)),
IF(AK$3&lt;$DG7,I7,0))))))))))))))),0)</f>
        <v>35</v>
      </c>
      <c r="AL7" s="47">
        <f>ROUND(IF(AL$3&lt;$DF7,0,
IF(AL$3=$DF7+'Model Setup'!$B$7,SUMIF($AD$3:$BA$3,"="&amp;$DF7+'Model Setup'!$B$7,$B7:$Y7)+'Model Setup'!$B$8*(SUMIF($AD$3:$BA$3,"&lt;"&amp;$DF7,$B7:$Y7)+SUMIF($AD$3:$BA$3,"&gt;="&amp;$DG7,$B7:$Y7)),
IF(AL$3=$DF7+'Model Setup'!$C$7,SUMIF($AD$3:$BA$3,"="&amp;$DF7+'Model Setup'!$C$7,$B7:$Y7)+'Model Setup'!$C$8*(SUMIF($AD$3:$BA$3,"&lt;"&amp;$DF7,$B7:$Y7)+SUMIF($AD$3:$BA$3,"&gt;="&amp;$DG7,$B7:$Y7)),
IF(AL$3=$DF7+'Model Setup'!$D$7,SUMIF($AD$3:$BA$3,"="&amp;$DF7+'Model Setup'!$D$7,$B7:$Y7)+'Model Setup'!$D$8*(SUMIF($AD$3:$BA$3,"&lt;"&amp;$DF7,$B7:$Y7)+SUMIF($AD$3:$BA$3,"&gt;="&amp;$DG7,$B7:$Y7)),
IF(AL$3=$DF7+'Model Setup'!$E$7,SUMIF($AD$3:$BA$3,"="&amp;$DF7+'Model Setup'!$E$7,$B7:$Y7)+'Model Setup'!$E$8*(SUMIF($AD$3:$BA$3,"&lt;"&amp;$DF7,$B7:$Y7)+SUMIF($AD$3:$BA$3,"&gt;="&amp;$DG7,$B7:$Y7)),
IF(AL$3=$DF7+'Model Setup'!$F$7,SUMIF($AD$3:$BA$3,"="&amp;$DF7+'Model Setup'!$F$7,$B7:$Y7)+'Model Setup'!$F$8*(SUMIF($AD$3:$BA$3,"&lt;"&amp;$DF7,$B7:$Y7)+SUMIF($AD$3:$BA$3,"&gt;="&amp;$DG7,$B7:$Y7)),
IF(AL$3=$DF7+'Model Setup'!$G$7,SUMIF($AD$3:$BA$3,"="&amp;$DF7+'Model Setup'!$G$7,$B7:$Y7)+'Model Setup'!$G$8*(SUMIF($AD$3:$BA$3,"&lt;"&amp;$DF7,$B7:$Y7)+SUMIF($AD$3:$BA$3,"&gt;="&amp;$DG7,$B7:$Y7)),
IF(AL$3=$DF7+'Model Setup'!$H$7,SUMIF($AD$3:$BA$3,"="&amp;$DF7+'Model Setup'!$H$7,$B7:$Y7)+'Model Setup'!$H$8*(SUMIF($AD$3:$BA$3,"&lt;"&amp;$DF7,$B7:$Y7)+SUMIF($AD$3:$BA$3,"&gt;="&amp;$DG7,$B7:$Y7)),
IF(AL$3=$DF7+'Model Setup'!$I$7,SUMIF($AD$3:$BA$3,"="&amp;$DF7+'Model Setup'!$I$7,$B7:$Y7)+'Model Setup'!$I$8*(SUMIF($AD$3:$BA$3,"&lt;"&amp;$DF7,$B7:$Y7)+SUMIF($AD$3:$BA$3,"&gt;="&amp;$DG7,$B7:$Y7)),
IF(AL$3=$DF7+'Model Setup'!$J$7,SUMIF($AD$3:$BA$3,"="&amp;$DF7+'Model Setup'!$J$7,$B7:$Y7)+'Model Setup'!$J$8*(SUMIF($AD$3:$BA$3,"&lt;"&amp;$DF7,$B7:$Y7)+SUMIF($AD$3:$BA$3,"&gt;="&amp;$DG7,$B7:$Y7)),
IF(AL$3=$DF7+'Model Setup'!$K$7,SUMIF($AD$3:$BA$3,"="&amp;$DF7+'Model Setup'!$K$7,$B7:$Y7)+'Model Setup'!$K$8*(SUMIF($AD$3:$BA$3,"&lt;"&amp;$DF7,$B7:$Y7)+SUMIF($AD$3:$BA$3,"&gt;="&amp;$DG7,$B7:$Y7)),
IF(AL$3=$DF7+'Model Setup'!$L$7,SUMIF($AD$3:$BA$3,"="&amp;$DF7+'Model Setup'!$L$7,$B7:$Y7)+'Model Setup'!$L$8*(SUMIF($AD$3:$BA$3,"&lt;"&amp;$DF7,$B7:$Y7)+SUMIF($AD$3:$BA$3,"&gt;="&amp;$DG7,$B7:$Y7)),
IF(AL$3=$DF7+'Model Setup'!$M$7,SUMIF($AD$3:$BA$3,"="&amp;$DF7+'Model Setup'!$M$7,$B7:$Y7)+'Model Setup'!$M$8*(SUMIF($AD$3:$BA$3,"&lt;"&amp;$DF7,$B7:$Y7)+SUMIF($AD$3:$BA$3,"&gt;="&amp;$DG7,$B7:$Y7)),
IF(AL$3=$DF7+'Model Setup'!$N$7,SUMIF($AD$3:$BA$3,"="&amp;$DF7+'Model Setup'!$N$7,$B7:$Y7)+'Model Setup'!$N$8*(SUMIF($AD$3:$BA$3,"&lt;"&amp;$DF7,$B7:$Y7)+SUMIF($AD$3:$BA$3,"&gt;="&amp;$DG7,$B7:$Y7)),
IF(AL$3&lt;$DG7,J7,0))))))))))))))),0)</f>
        <v>46</v>
      </c>
      <c r="AM7" s="47">
        <f>ROUND(IF(AM$3&lt;$DF7,0,
IF(AM$3=$DF7+'Model Setup'!$B$7,SUMIF($AD$3:$BA$3,"="&amp;$DF7+'Model Setup'!$B$7,$B7:$Y7)+'Model Setup'!$B$8*(SUMIF($AD$3:$BA$3,"&lt;"&amp;$DF7,$B7:$Y7)+SUMIF($AD$3:$BA$3,"&gt;="&amp;$DG7,$B7:$Y7)),
IF(AM$3=$DF7+'Model Setup'!$C$7,SUMIF($AD$3:$BA$3,"="&amp;$DF7+'Model Setup'!$C$7,$B7:$Y7)+'Model Setup'!$C$8*(SUMIF($AD$3:$BA$3,"&lt;"&amp;$DF7,$B7:$Y7)+SUMIF($AD$3:$BA$3,"&gt;="&amp;$DG7,$B7:$Y7)),
IF(AM$3=$DF7+'Model Setup'!$D$7,SUMIF($AD$3:$BA$3,"="&amp;$DF7+'Model Setup'!$D$7,$B7:$Y7)+'Model Setup'!$D$8*(SUMIF($AD$3:$BA$3,"&lt;"&amp;$DF7,$B7:$Y7)+SUMIF($AD$3:$BA$3,"&gt;="&amp;$DG7,$B7:$Y7)),
IF(AM$3=$DF7+'Model Setup'!$E$7,SUMIF($AD$3:$BA$3,"="&amp;$DF7+'Model Setup'!$E$7,$B7:$Y7)+'Model Setup'!$E$8*(SUMIF($AD$3:$BA$3,"&lt;"&amp;$DF7,$B7:$Y7)+SUMIF($AD$3:$BA$3,"&gt;="&amp;$DG7,$B7:$Y7)),
IF(AM$3=$DF7+'Model Setup'!$F$7,SUMIF($AD$3:$BA$3,"="&amp;$DF7+'Model Setup'!$F$7,$B7:$Y7)+'Model Setup'!$F$8*(SUMIF($AD$3:$BA$3,"&lt;"&amp;$DF7,$B7:$Y7)+SUMIF($AD$3:$BA$3,"&gt;="&amp;$DG7,$B7:$Y7)),
IF(AM$3=$DF7+'Model Setup'!$G$7,SUMIF($AD$3:$BA$3,"="&amp;$DF7+'Model Setup'!$G$7,$B7:$Y7)+'Model Setup'!$G$8*(SUMIF($AD$3:$BA$3,"&lt;"&amp;$DF7,$B7:$Y7)+SUMIF($AD$3:$BA$3,"&gt;="&amp;$DG7,$B7:$Y7)),
IF(AM$3=$DF7+'Model Setup'!$H$7,SUMIF($AD$3:$BA$3,"="&amp;$DF7+'Model Setup'!$H$7,$B7:$Y7)+'Model Setup'!$H$8*(SUMIF($AD$3:$BA$3,"&lt;"&amp;$DF7,$B7:$Y7)+SUMIF($AD$3:$BA$3,"&gt;="&amp;$DG7,$B7:$Y7)),
IF(AM$3=$DF7+'Model Setup'!$I$7,SUMIF($AD$3:$BA$3,"="&amp;$DF7+'Model Setup'!$I$7,$B7:$Y7)+'Model Setup'!$I$8*(SUMIF($AD$3:$BA$3,"&lt;"&amp;$DF7,$B7:$Y7)+SUMIF($AD$3:$BA$3,"&gt;="&amp;$DG7,$B7:$Y7)),
IF(AM$3=$DF7+'Model Setup'!$J$7,SUMIF($AD$3:$BA$3,"="&amp;$DF7+'Model Setup'!$J$7,$B7:$Y7)+'Model Setup'!$J$8*(SUMIF($AD$3:$BA$3,"&lt;"&amp;$DF7,$B7:$Y7)+SUMIF($AD$3:$BA$3,"&gt;="&amp;$DG7,$B7:$Y7)),
IF(AM$3=$DF7+'Model Setup'!$K$7,SUMIF($AD$3:$BA$3,"="&amp;$DF7+'Model Setup'!$K$7,$B7:$Y7)+'Model Setup'!$K$8*(SUMIF($AD$3:$BA$3,"&lt;"&amp;$DF7,$B7:$Y7)+SUMIF($AD$3:$BA$3,"&gt;="&amp;$DG7,$B7:$Y7)),
IF(AM$3=$DF7+'Model Setup'!$L$7,SUMIF($AD$3:$BA$3,"="&amp;$DF7+'Model Setup'!$L$7,$B7:$Y7)+'Model Setup'!$L$8*(SUMIF($AD$3:$BA$3,"&lt;"&amp;$DF7,$B7:$Y7)+SUMIF($AD$3:$BA$3,"&gt;="&amp;$DG7,$B7:$Y7)),
IF(AM$3=$DF7+'Model Setup'!$M$7,SUMIF($AD$3:$BA$3,"="&amp;$DF7+'Model Setup'!$M$7,$B7:$Y7)+'Model Setup'!$M$8*(SUMIF($AD$3:$BA$3,"&lt;"&amp;$DF7,$B7:$Y7)+SUMIF($AD$3:$BA$3,"&gt;="&amp;$DG7,$B7:$Y7)),
IF(AM$3=$DF7+'Model Setup'!$N$7,SUMIF($AD$3:$BA$3,"="&amp;$DF7+'Model Setup'!$N$7,$B7:$Y7)+'Model Setup'!$N$8*(SUMIF($AD$3:$BA$3,"&lt;"&amp;$DF7,$B7:$Y7)+SUMIF($AD$3:$BA$3,"&gt;="&amp;$DG7,$B7:$Y7)),
IF(AM$3&lt;$DG7,K7,0))))))))))))))),0)</f>
        <v>35</v>
      </c>
      <c r="AN7" s="47">
        <f>ROUND(IF(AN$3&lt;$DF7,0,
IF(AN$3=$DF7+'Model Setup'!$B$7,SUMIF($AD$3:$BA$3,"="&amp;$DF7+'Model Setup'!$B$7,$B7:$Y7)+'Model Setup'!$B$8*(SUMIF($AD$3:$BA$3,"&lt;"&amp;$DF7,$B7:$Y7)+SUMIF($AD$3:$BA$3,"&gt;="&amp;$DG7,$B7:$Y7)),
IF(AN$3=$DF7+'Model Setup'!$C$7,SUMIF($AD$3:$BA$3,"="&amp;$DF7+'Model Setup'!$C$7,$B7:$Y7)+'Model Setup'!$C$8*(SUMIF($AD$3:$BA$3,"&lt;"&amp;$DF7,$B7:$Y7)+SUMIF($AD$3:$BA$3,"&gt;="&amp;$DG7,$B7:$Y7)),
IF(AN$3=$DF7+'Model Setup'!$D$7,SUMIF($AD$3:$BA$3,"="&amp;$DF7+'Model Setup'!$D$7,$B7:$Y7)+'Model Setup'!$D$8*(SUMIF($AD$3:$BA$3,"&lt;"&amp;$DF7,$B7:$Y7)+SUMIF($AD$3:$BA$3,"&gt;="&amp;$DG7,$B7:$Y7)),
IF(AN$3=$DF7+'Model Setup'!$E$7,SUMIF($AD$3:$BA$3,"="&amp;$DF7+'Model Setup'!$E$7,$B7:$Y7)+'Model Setup'!$E$8*(SUMIF($AD$3:$BA$3,"&lt;"&amp;$DF7,$B7:$Y7)+SUMIF($AD$3:$BA$3,"&gt;="&amp;$DG7,$B7:$Y7)),
IF(AN$3=$DF7+'Model Setup'!$F$7,SUMIF($AD$3:$BA$3,"="&amp;$DF7+'Model Setup'!$F$7,$B7:$Y7)+'Model Setup'!$F$8*(SUMIF($AD$3:$BA$3,"&lt;"&amp;$DF7,$B7:$Y7)+SUMIF($AD$3:$BA$3,"&gt;="&amp;$DG7,$B7:$Y7)),
IF(AN$3=$DF7+'Model Setup'!$G$7,SUMIF($AD$3:$BA$3,"="&amp;$DF7+'Model Setup'!$G$7,$B7:$Y7)+'Model Setup'!$G$8*(SUMIF($AD$3:$BA$3,"&lt;"&amp;$DF7,$B7:$Y7)+SUMIF($AD$3:$BA$3,"&gt;="&amp;$DG7,$B7:$Y7)),
IF(AN$3=$DF7+'Model Setup'!$H$7,SUMIF($AD$3:$BA$3,"="&amp;$DF7+'Model Setup'!$H$7,$B7:$Y7)+'Model Setup'!$H$8*(SUMIF($AD$3:$BA$3,"&lt;"&amp;$DF7,$B7:$Y7)+SUMIF($AD$3:$BA$3,"&gt;="&amp;$DG7,$B7:$Y7)),
IF(AN$3=$DF7+'Model Setup'!$I$7,SUMIF($AD$3:$BA$3,"="&amp;$DF7+'Model Setup'!$I$7,$B7:$Y7)+'Model Setup'!$I$8*(SUMIF($AD$3:$BA$3,"&lt;"&amp;$DF7,$B7:$Y7)+SUMIF($AD$3:$BA$3,"&gt;="&amp;$DG7,$B7:$Y7)),
IF(AN$3=$DF7+'Model Setup'!$J$7,SUMIF($AD$3:$BA$3,"="&amp;$DF7+'Model Setup'!$J$7,$B7:$Y7)+'Model Setup'!$J$8*(SUMIF($AD$3:$BA$3,"&lt;"&amp;$DF7,$B7:$Y7)+SUMIF($AD$3:$BA$3,"&gt;="&amp;$DG7,$B7:$Y7)),
IF(AN$3=$DF7+'Model Setup'!$K$7,SUMIF($AD$3:$BA$3,"="&amp;$DF7+'Model Setup'!$K$7,$B7:$Y7)+'Model Setup'!$K$8*(SUMIF($AD$3:$BA$3,"&lt;"&amp;$DF7,$B7:$Y7)+SUMIF($AD$3:$BA$3,"&gt;="&amp;$DG7,$B7:$Y7)),
IF(AN$3=$DF7+'Model Setup'!$L$7,SUMIF($AD$3:$BA$3,"="&amp;$DF7+'Model Setup'!$L$7,$B7:$Y7)+'Model Setup'!$L$8*(SUMIF($AD$3:$BA$3,"&lt;"&amp;$DF7,$B7:$Y7)+SUMIF($AD$3:$BA$3,"&gt;="&amp;$DG7,$B7:$Y7)),
IF(AN$3=$DF7+'Model Setup'!$M$7,SUMIF($AD$3:$BA$3,"="&amp;$DF7+'Model Setup'!$M$7,$B7:$Y7)+'Model Setup'!$M$8*(SUMIF($AD$3:$BA$3,"&lt;"&amp;$DF7,$B7:$Y7)+SUMIF($AD$3:$BA$3,"&gt;="&amp;$DG7,$B7:$Y7)),
IF(AN$3=$DF7+'Model Setup'!$N$7,SUMIF($AD$3:$BA$3,"="&amp;$DF7+'Model Setup'!$N$7,$B7:$Y7)+'Model Setup'!$N$8*(SUMIF($AD$3:$BA$3,"&lt;"&amp;$DF7,$B7:$Y7)+SUMIF($AD$3:$BA$3,"&gt;="&amp;$DG7,$B7:$Y7)),
IF(AN$3&lt;$DG7,L7,0))))))))))))))),0)</f>
        <v>29</v>
      </c>
      <c r="AO7" s="47">
        <f>ROUND(IF(AO$3&lt;$DF7,0,
IF(AO$3=$DF7+'Model Setup'!$B$7,SUMIF($AD$3:$BA$3,"="&amp;$DF7+'Model Setup'!$B$7,$B7:$Y7)+'Model Setup'!$B$8*(SUMIF($AD$3:$BA$3,"&lt;"&amp;$DF7,$B7:$Y7)+SUMIF($AD$3:$BA$3,"&gt;="&amp;$DG7,$B7:$Y7)),
IF(AO$3=$DF7+'Model Setup'!$C$7,SUMIF($AD$3:$BA$3,"="&amp;$DF7+'Model Setup'!$C$7,$B7:$Y7)+'Model Setup'!$C$8*(SUMIF($AD$3:$BA$3,"&lt;"&amp;$DF7,$B7:$Y7)+SUMIF($AD$3:$BA$3,"&gt;="&amp;$DG7,$B7:$Y7)),
IF(AO$3=$DF7+'Model Setup'!$D$7,SUMIF($AD$3:$BA$3,"="&amp;$DF7+'Model Setup'!$D$7,$B7:$Y7)+'Model Setup'!$D$8*(SUMIF($AD$3:$BA$3,"&lt;"&amp;$DF7,$B7:$Y7)+SUMIF($AD$3:$BA$3,"&gt;="&amp;$DG7,$B7:$Y7)),
IF(AO$3=$DF7+'Model Setup'!$E$7,SUMIF($AD$3:$BA$3,"="&amp;$DF7+'Model Setup'!$E$7,$B7:$Y7)+'Model Setup'!$E$8*(SUMIF($AD$3:$BA$3,"&lt;"&amp;$DF7,$B7:$Y7)+SUMIF($AD$3:$BA$3,"&gt;="&amp;$DG7,$B7:$Y7)),
IF(AO$3=$DF7+'Model Setup'!$F$7,SUMIF($AD$3:$BA$3,"="&amp;$DF7+'Model Setup'!$F$7,$B7:$Y7)+'Model Setup'!$F$8*(SUMIF($AD$3:$BA$3,"&lt;"&amp;$DF7,$B7:$Y7)+SUMIF($AD$3:$BA$3,"&gt;="&amp;$DG7,$B7:$Y7)),
IF(AO$3=$DF7+'Model Setup'!$G$7,SUMIF($AD$3:$BA$3,"="&amp;$DF7+'Model Setup'!$G$7,$B7:$Y7)+'Model Setup'!$G$8*(SUMIF($AD$3:$BA$3,"&lt;"&amp;$DF7,$B7:$Y7)+SUMIF($AD$3:$BA$3,"&gt;="&amp;$DG7,$B7:$Y7)),
IF(AO$3=$DF7+'Model Setup'!$H$7,SUMIF($AD$3:$BA$3,"="&amp;$DF7+'Model Setup'!$H$7,$B7:$Y7)+'Model Setup'!$H$8*(SUMIF($AD$3:$BA$3,"&lt;"&amp;$DF7,$B7:$Y7)+SUMIF($AD$3:$BA$3,"&gt;="&amp;$DG7,$B7:$Y7)),
IF(AO$3=$DF7+'Model Setup'!$I$7,SUMIF($AD$3:$BA$3,"="&amp;$DF7+'Model Setup'!$I$7,$B7:$Y7)+'Model Setup'!$I$8*(SUMIF($AD$3:$BA$3,"&lt;"&amp;$DF7,$B7:$Y7)+SUMIF($AD$3:$BA$3,"&gt;="&amp;$DG7,$B7:$Y7)),
IF(AO$3=$DF7+'Model Setup'!$J$7,SUMIF($AD$3:$BA$3,"="&amp;$DF7+'Model Setup'!$J$7,$B7:$Y7)+'Model Setup'!$J$8*(SUMIF($AD$3:$BA$3,"&lt;"&amp;$DF7,$B7:$Y7)+SUMIF($AD$3:$BA$3,"&gt;="&amp;$DG7,$B7:$Y7)),
IF(AO$3=$DF7+'Model Setup'!$K$7,SUMIF($AD$3:$BA$3,"="&amp;$DF7+'Model Setup'!$K$7,$B7:$Y7)+'Model Setup'!$K$8*(SUMIF($AD$3:$BA$3,"&lt;"&amp;$DF7,$B7:$Y7)+SUMIF($AD$3:$BA$3,"&gt;="&amp;$DG7,$B7:$Y7)),
IF(AO$3=$DF7+'Model Setup'!$L$7,SUMIF($AD$3:$BA$3,"="&amp;$DF7+'Model Setup'!$L$7,$B7:$Y7)+'Model Setup'!$L$8*(SUMIF($AD$3:$BA$3,"&lt;"&amp;$DF7,$B7:$Y7)+SUMIF($AD$3:$BA$3,"&gt;="&amp;$DG7,$B7:$Y7)),
IF(AO$3=$DF7+'Model Setup'!$M$7,SUMIF($AD$3:$BA$3,"="&amp;$DF7+'Model Setup'!$M$7,$B7:$Y7)+'Model Setup'!$M$8*(SUMIF($AD$3:$BA$3,"&lt;"&amp;$DF7,$B7:$Y7)+SUMIF($AD$3:$BA$3,"&gt;="&amp;$DG7,$B7:$Y7)),
IF(AO$3=$DF7+'Model Setup'!$N$7,SUMIF($AD$3:$BA$3,"="&amp;$DF7+'Model Setup'!$N$7,$B7:$Y7)+'Model Setup'!$N$8*(SUMIF($AD$3:$BA$3,"&lt;"&amp;$DF7,$B7:$Y7)+SUMIF($AD$3:$BA$3,"&gt;="&amp;$DG7,$B7:$Y7)),
IF(AO$3&lt;$DG7,M7,0))))))))))))))),0)</f>
        <v>17</v>
      </c>
      <c r="AP7" s="47">
        <f>ROUND(IF(AP$3&lt;$DF7,0,
IF(AP$3=$DF7+'Model Setup'!$B$7,SUMIF($AD$3:$BA$3,"="&amp;$DF7+'Model Setup'!$B$7,$B7:$Y7)+'Model Setup'!$B$8*(SUMIF($AD$3:$BA$3,"&lt;"&amp;$DF7,$B7:$Y7)+SUMIF($AD$3:$BA$3,"&gt;="&amp;$DG7,$B7:$Y7)),
IF(AP$3=$DF7+'Model Setup'!$C$7,SUMIF($AD$3:$BA$3,"="&amp;$DF7+'Model Setup'!$C$7,$B7:$Y7)+'Model Setup'!$C$8*(SUMIF($AD$3:$BA$3,"&lt;"&amp;$DF7,$B7:$Y7)+SUMIF($AD$3:$BA$3,"&gt;="&amp;$DG7,$B7:$Y7)),
IF(AP$3=$DF7+'Model Setup'!$D$7,SUMIF($AD$3:$BA$3,"="&amp;$DF7+'Model Setup'!$D$7,$B7:$Y7)+'Model Setup'!$D$8*(SUMIF($AD$3:$BA$3,"&lt;"&amp;$DF7,$B7:$Y7)+SUMIF($AD$3:$BA$3,"&gt;="&amp;$DG7,$B7:$Y7)),
IF(AP$3=$DF7+'Model Setup'!$E$7,SUMIF($AD$3:$BA$3,"="&amp;$DF7+'Model Setup'!$E$7,$B7:$Y7)+'Model Setup'!$E$8*(SUMIF($AD$3:$BA$3,"&lt;"&amp;$DF7,$B7:$Y7)+SUMIF($AD$3:$BA$3,"&gt;="&amp;$DG7,$B7:$Y7)),
IF(AP$3=$DF7+'Model Setup'!$F$7,SUMIF($AD$3:$BA$3,"="&amp;$DF7+'Model Setup'!$F$7,$B7:$Y7)+'Model Setup'!$F$8*(SUMIF($AD$3:$BA$3,"&lt;"&amp;$DF7,$B7:$Y7)+SUMIF($AD$3:$BA$3,"&gt;="&amp;$DG7,$B7:$Y7)),
IF(AP$3=$DF7+'Model Setup'!$G$7,SUMIF($AD$3:$BA$3,"="&amp;$DF7+'Model Setup'!$G$7,$B7:$Y7)+'Model Setup'!$G$8*(SUMIF($AD$3:$BA$3,"&lt;"&amp;$DF7,$B7:$Y7)+SUMIF($AD$3:$BA$3,"&gt;="&amp;$DG7,$B7:$Y7)),
IF(AP$3=$DF7+'Model Setup'!$H$7,SUMIF($AD$3:$BA$3,"="&amp;$DF7+'Model Setup'!$H$7,$B7:$Y7)+'Model Setup'!$H$8*(SUMIF($AD$3:$BA$3,"&lt;"&amp;$DF7,$B7:$Y7)+SUMIF($AD$3:$BA$3,"&gt;="&amp;$DG7,$B7:$Y7)),
IF(AP$3=$DF7+'Model Setup'!$I$7,SUMIF($AD$3:$BA$3,"="&amp;$DF7+'Model Setup'!$I$7,$B7:$Y7)+'Model Setup'!$I$8*(SUMIF($AD$3:$BA$3,"&lt;"&amp;$DF7,$B7:$Y7)+SUMIF($AD$3:$BA$3,"&gt;="&amp;$DG7,$B7:$Y7)),
IF(AP$3=$DF7+'Model Setup'!$J$7,SUMIF($AD$3:$BA$3,"="&amp;$DF7+'Model Setup'!$J$7,$B7:$Y7)+'Model Setup'!$J$8*(SUMIF($AD$3:$BA$3,"&lt;"&amp;$DF7,$B7:$Y7)+SUMIF($AD$3:$BA$3,"&gt;="&amp;$DG7,$B7:$Y7)),
IF(AP$3=$DF7+'Model Setup'!$K$7,SUMIF($AD$3:$BA$3,"="&amp;$DF7+'Model Setup'!$K$7,$B7:$Y7)+'Model Setup'!$K$8*(SUMIF($AD$3:$BA$3,"&lt;"&amp;$DF7,$B7:$Y7)+SUMIF($AD$3:$BA$3,"&gt;="&amp;$DG7,$B7:$Y7)),
IF(AP$3=$DF7+'Model Setup'!$L$7,SUMIF($AD$3:$BA$3,"="&amp;$DF7+'Model Setup'!$L$7,$B7:$Y7)+'Model Setup'!$L$8*(SUMIF($AD$3:$BA$3,"&lt;"&amp;$DF7,$B7:$Y7)+SUMIF($AD$3:$BA$3,"&gt;="&amp;$DG7,$B7:$Y7)),
IF(AP$3=$DF7+'Model Setup'!$M$7,SUMIF($AD$3:$BA$3,"="&amp;$DF7+'Model Setup'!$M$7,$B7:$Y7)+'Model Setup'!$M$8*(SUMIF($AD$3:$BA$3,"&lt;"&amp;$DF7,$B7:$Y7)+SUMIF($AD$3:$BA$3,"&gt;="&amp;$DG7,$B7:$Y7)),
IF(AP$3=$DF7+'Model Setup'!$N$7,SUMIF($AD$3:$BA$3,"="&amp;$DF7+'Model Setup'!$N$7,$B7:$Y7)+'Model Setup'!$N$8*(SUMIF($AD$3:$BA$3,"&lt;"&amp;$DF7,$B7:$Y7)+SUMIF($AD$3:$BA$3,"&gt;="&amp;$DG7,$B7:$Y7)),
IF(AP$3&lt;$DG7,N7,0))))))))))))))),0)</f>
        <v>24</v>
      </c>
      <c r="AQ7" s="47">
        <f>ROUND(IF(AQ$3&lt;$DF7,0,
IF(AQ$3=$DF7+'Model Setup'!$B$7,SUMIF($AD$3:$BA$3,"="&amp;$DF7+'Model Setup'!$B$7,$B7:$Y7)+'Model Setup'!$B$8*(SUMIF($AD$3:$BA$3,"&lt;"&amp;$DF7,$B7:$Y7)+SUMIF($AD$3:$BA$3,"&gt;="&amp;$DG7,$B7:$Y7)),
IF(AQ$3=$DF7+'Model Setup'!$C$7,SUMIF($AD$3:$BA$3,"="&amp;$DF7+'Model Setup'!$C$7,$B7:$Y7)+'Model Setup'!$C$8*(SUMIF($AD$3:$BA$3,"&lt;"&amp;$DF7,$B7:$Y7)+SUMIF($AD$3:$BA$3,"&gt;="&amp;$DG7,$B7:$Y7)),
IF(AQ$3=$DF7+'Model Setup'!$D$7,SUMIF($AD$3:$BA$3,"="&amp;$DF7+'Model Setup'!$D$7,$B7:$Y7)+'Model Setup'!$D$8*(SUMIF($AD$3:$BA$3,"&lt;"&amp;$DF7,$B7:$Y7)+SUMIF($AD$3:$BA$3,"&gt;="&amp;$DG7,$B7:$Y7)),
IF(AQ$3=$DF7+'Model Setup'!$E$7,SUMIF($AD$3:$BA$3,"="&amp;$DF7+'Model Setup'!$E$7,$B7:$Y7)+'Model Setup'!$E$8*(SUMIF($AD$3:$BA$3,"&lt;"&amp;$DF7,$B7:$Y7)+SUMIF($AD$3:$BA$3,"&gt;="&amp;$DG7,$B7:$Y7)),
IF(AQ$3=$DF7+'Model Setup'!$F$7,SUMIF($AD$3:$BA$3,"="&amp;$DF7+'Model Setup'!$F$7,$B7:$Y7)+'Model Setup'!$F$8*(SUMIF($AD$3:$BA$3,"&lt;"&amp;$DF7,$B7:$Y7)+SUMIF($AD$3:$BA$3,"&gt;="&amp;$DG7,$B7:$Y7)),
IF(AQ$3=$DF7+'Model Setup'!$G$7,SUMIF($AD$3:$BA$3,"="&amp;$DF7+'Model Setup'!$G$7,$B7:$Y7)+'Model Setup'!$G$8*(SUMIF($AD$3:$BA$3,"&lt;"&amp;$DF7,$B7:$Y7)+SUMIF($AD$3:$BA$3,"&gt;="&amp;$DG7,$B7:$Y7)),
IF(AQ$3=$DF7+'Model Setup'!$H$7,SUMIF($AD$3:$BA$3,"="&amp;$DF7+'Model Setup'!$H$7,$B7:$Y7)+'Model Setup'!$H$8*(SUMIF($AD$3:$BA$3,"&lt;"&amp;$DF7,$B7:$Y7)+SUMIF($AD$3:$BA$3,"&gt;="&amp;$DG7,$B7:$Y7)),
IF(AQ$3=$DF7+'Model Setup'!$I$7,SUMIF($AD$3:$BA$3,"="&amp;$DF7+'Model Setup'!$I$7,$B7:$Y7)+'Model Setup'!$I$8*(SUMIF($AD$3:$BA$3,"&lt;"&amp;$DF7,$B7:$Y7)+SUMIF($AD$3:$BA$3,"&gt;="&amp;$DG7,$B7:$Y7)),
IF(AQ$3=$DF7+'Model Setup'!$J$7,SUMIF($AD$3:$BA$3,"="&amp;$DF7+'Model Setup'!$J$7,$B7:$Y7)+'Model Setup'!$J$8*(SUMIF($AD$3:$BA$3,"&lt;"&amp;$DF7,$B7:$Y7)+SUMIF($AD$3:$BA$3,"&gt;="&amp;$DG7,$B7:$Y7)),
IF(AQ$3=$DF7+'Model Setup'!$K$7,SUMIF($AD$3:$BA$3,"="&amp;$DF7+'Model Setup'!$K$7,$B7:$Y7)+'Model Setup'!$K$8*(SUMIF($AD$3:$BA$3,"&lt;"&amp;$DF7,$B7:$Y7)+SUMIF($AD$3:$BA$3,"&gt;="&amp;$DG7,$B7:$Y7)),
IF(AQ$3=$DF7+'Model Setup'!$L$7,SUMIF($AD$3:$BA$3,"="&amp;$DF7+'Model Setup'!$L$7,$B7:$Y7)+'Model Setup'!$L$8*(SUMIF($AD$3:$BA$3,"&lt;"&amp;$DF7,$B7:$Y7)+SUMIF($AD$3:$BA$3,"&gt;="&amp;$DG7,$B7:$Y7)),
IF(AQ$3=$DF7+'Model Setup'!$M$7,SUMIF($AD$3:$BA$3,"="&amp;$DF7+'Model Setup'!$M$7,$B7:$Y7)+'Model Setup'!$M$8*(SUMIF($AD$3:$BA$3,"&lt;"&amp;$DF7,$B7:$Y7)+SUMIF($AD$3:$BA$3,"&gt;="&amp;$DG7,$B7:$Y7)),
IF(AQ$3=$DF7+'Model Setup'!$N$7,SUMIF($AD$3:$BA$3,"="&amp;$DF7+'Model Setup'!$N$7,$B7:$Y7)+'Model Setup'!$N$8*(SUMIF($AD$3:$BA$3,"&lt;"&amp;$DF7,$B7:$Y7)+SUMIF($AD$3:$BA$3,"&gt;="&amp;$DG7,$B7:$Y7)),
IF(AQ$3&lt;$DG7,O7,0))))))))))))))),0)</f>
        <v>17</v>
      </c>
      <c r="AR7" s="47">
        <f>ROUND(IF(AR$3&lt;$DF7,0,
IF(AR$3=$DF7+'Model Setup'!$B$7,SUMIF($AD$3:$BA$3,"="&amp;$DF7+'Model Setup'!$B$7,$B7:$Y7)+'Model Setup'!$B$8*(SUMIF($AD$3:$BA$3,"&lt;"&amp;$DF7,$B7:$Y7)+SUMIF($AD$3:$BA$3,"&gt;="&amp;$DG7,$B7:$Y7)),
IF(AR$3=$DF7+'Model Setup'!$C$7,SUMIF($AD$3:$BA$3,"="&amp;$DF7+'Model Setup'!$C$7,$B7:$Y7)+'Model Setup'!$C$8*(SUMIF($AD$3:$BA$3,"&lt;"&amp;$DF7,$B7:$Y7)+SUMIF($AD$3:$BA$3,"&gt;="&amp;$DG7,$B7:$Y7)),
IF(AR$3=$DF7+'Model Setup'!$D$7,SUMIF($AD$3:$BA$3,"="&amp;$DF7+'Model Setup'!$D$7,$B7:$Y7)+'Model Setup'!$D$8*(SUMIF($AD$3:$BA$3,"&lt;"&amp;$DF7,$B7:$Y7)+SUMIF($AD$3:$BA$3,"&gt;="&amp;$DG7,$B7:$Y7)),
IF(AR$3=$DF7+'Model Setup'!$E$7,SUMIF($AD$3:$BA$3,"="&amp;$DF7+'Model Setup'!$E$7,$B7:$Y7)+'Model Setup'!$E$8*(SUMIF($AD$3:$BA$3,"&lt;"&amp;$DF7,$B7:$Y7)+SUMIF($AD$3:$BA$3,"&gt;="&amp;$DG7,$B7:$Y7)),
IF(AR$3=$DF7+'Model Setup'!$F$7,SUMIF($AD$3:$BA$3,"="&amp;$DF7+'Model Setup'!$F$7,$B7:$Y7)+'Model Setup'!$F$8*(SUMIF($AD$3:$BA$3,"&lt;"&amp;$DF7,$B7:$Y7)+SUMIF($AD$3:$BA$3,"&gt;="&amp;$DG7,$B7:$Y7)),
IF(AR$3=$DF7+'Model Setup'!$G$7,SUMIF($AD$3:$BA$3,"="&amp;$DF7+'Model Setup'!$G$7,$B7:$Y7)+'Model Setup'!$G$8*(SUMIF($AD$3:$BA$3,"&lt;"&amp;$DF7,$B7:$Y7)+SUMIF($AD$3:$BA$3,"&gt;="&amp;$DG7,$B7:$Y7)),
IF(AR$3=$DF7+'Model Setup'!$H$7,SUMIF($AD$3:$BA$3,"="&amp;$DF7+'Model Setup'!$H$7,$B7:$Y7)+'Model Setup'!$H$8*(SUMIF($AD$3:$BA$3,"&lt;"&amp;$DF7,$B7:$Y7)+SUMIF($AD$3:$BA$3,"&gt;="&amp;$DG7,$B7:$Y7)),
IF(AR$3=$DF7+'Model Setup'!$I$7,SUMIF($AD$3:$BA$3,"="&amp;$DF7+'Model Setup'!$I$7,$B7:$Y7)+'Model Setup'!$I$8*(SUMIF($AD$3:$BA$3,"&lt;"&amp;$DF7,$B7:$Y7)+SUMIF($AD$3:$BA$3,"&gt;="&amp;$DG7,$B7:$Y7)),
IF(AR$3=$DF7+'Model Setup'!$J$7,SUMIF($AD$3:$BA$3,"="&amp;$DF7+'Model Setup'!$J$7,$B7:$Y7)+'Model Setup'!$J$8*(SUMIF($AD$3:$BA$3,"&lt;"&amp;$DF7,$B7:$Y7)+SUMIF($AD$3:$BA$3,"&gt;="&amp;$DG7,$B7:$Y7)),
IF(AR$3=$DF7+'Model Setup'!$K$7,SUMIF($AD$3:$BA$3,"="&amp;$DF7+'Model Setup'!$K$7,$B7:$Y7)+'Model Setup'!$K$8*(SUMIF($AD$3:$BA$3,"&lt;"&amp;$DF7,$B7:$Y7)+SUMIF($AD$3:$BA$3,"&gt;="&amp;$DG7,$B7:$Y7)),
IF(AR$3=$DF7+'Model Setup'!$L$7,SUMIF($AD$3:$BA$3,"="&amp;$DF7+'Model Setup'!$L$7,$B7:$Y7)+'Model Setup'!$L$8*(SUMIF($AD$3:$BA$3,"&lt;"&amp;$DF7,$B7:$Y7)+SUMIF($AD$3:$BA$3,"&gt;="&amp;$DG7,$B7:$Y7)),
IF(AR$3=$DF7+'Model Setup'!$M$7,SUMIF($AD$3:$BA$3,"="&amp;$DF7+'Model Setup'!$M$7,$B7:$Y7)+'Model Setup'!$M$8*(SUMIF($AD$3:$BA$3,"&lt;"&amp;$DF7,$B7:$Y7)+SUMIF($AD$3:$BA$3,"&gt;="&amp;$DG7,$B7:$Y7)),
IF(AR$3=$DF7+'Model Setup'!$N$7,SUMIF($AD$3:$BA$3,"="&amp;$DF7+'Model Setup'!$N$7,$B7:$Y7)+'Model Setup'!$N$8*(SUMIF($AD$3:$BA$3,"&lt;"&amp;$DF7,$B7:$Y7)+SUMIF($AD$3:$BA$3,"&gt;="&amp;$DG7,$B7:$Y7)),
IF(AR$3&lt;$DG7,P7,0))))))))))))))),0)</f>
        <v>17</v>
      </c>
      <c r="AS7" s="47">
        <f>ROUND(IF(AS$3&lt;$DF7,0,
IF(AS$3=$DF7+'Model Setup'!$B$7,SUMIF($AD$3:$BA$3,"="&amp;$DF7+'Model Setup'!$B$7,$B7:$Y7)+'Model Setup'!$B$8*(SUMIF($AD$3:$BA$3,"&lt;"&amp;$DF7,$B7:$Y7)+SUMIF($AD$3:$BA$3,"&gt;="&amp;$DG7,$B7:$Y7)),
IF(AS$3=$DF7+'Model Setup'!$C$7,SUMIF($AD$3:$BA$3,"="&amp;$DF7+'Model Setup'!$C$7,$B7:$Y7)+'Model Setup'!$C$8*(SUMIF($AD$3:$BA$3,"&lt;"&amp;$DF7,$B7:$Y7)+SUMIF($AD$3:$BA$3,"&gt;="&amp;$DG7,$B7:$Y7)),
IF(AS$3=$DF7+'Model Setup'!$D$7,SUMIF($AD$3:$BA$3,"="&amp;$DF7+'Model Setup'!$D$7,$B7:$Y7)+'Model Setup'!$D$8*(SUMIF($AD$3:$BA$3,"&lt;"&amp;$DF7,$B7:$Y7)+SUMIF($AD$3:$BA$3,"&gt;="&amp;$DG7,$B7:$Y7)),
IF(AS$3=$DF7+'Model Setup'!$E$7,SUMIF($AD$3:$BA$3,"="&amp;$DF7+'Model Setup'!$E$7,$B7:$Y7)+'Model Setup'!$E$8*(SUMIF($AD$3:$BA$3,"&lt;"&amp;$DF7,$B7:$Y7)+SUMIF($AD$3:$BA$3,"&gt;="&amp;$DG7,$B7:$Y7)),
IF(AS$3=$DF7+'Model Setup'!$F$7,SUMIF($AD$3:$BA$3,"="&amp;$DF7+'Model Setup'!$F$7,$B7:$Y7)+'Model Setup'!$F$8*(SUMIF($AD$3:$BA$3,"&lt;"&amp;$DF7,$B7:$Y7)+SUMIF($AD$3:$BA$3,"&gt;="&amp;$DG7,$B7:$Y7)),
IF(AS$3=$DF7+'Model Setup'!$G$7,SUMIF($AD$3:$BA$3,"="&amp;$DF7+'Model Setup'!$G$7,$B7:$Y7)+'Model Setup'!$G$8*(SUMIF($AD$3:$BA$3,"&lt;"&amp;$DF7,$B7:$Y7)+SUMIF($AD$3:$BA$3,"&gt;="&amp;$DG7,$B7:$Y7)),
IF(AS$3=$DF7+'Model Setup'!$H$7,SUMIF($AD$3:$BA$3,"="&amp;$DF7+'Model Setup'!$H$7,$B7:$Y7)+'Model Setup'!$H$8*(SUMIF($AD$3:$BA$3,"&lt;"&amp;$DF7,$B7:$Y7)+SUMIF($AD$3:$BA$3,"&gt;="&amp;$DG7,$B7:$Y7)),
IF(AS$3=$DF7+'Model Setup'!$I$7,SUMIF($AD$3:$BA$3,"="&amp;$DF7+'Model Setup'!$I$7,$B7:$Y7)+'Model Setup'!$I$8*(SUMIF($AD$3:$BA$3,"&lt;"&amp;$DF7,$B7:$Y7)+SUMIF($AD$3:$BA$3,"&gt;="&amp;$DG7,$B7:$Y7)),
IF(AS$3=$DF7+'Model Setup'!$J$7,SUMIF($AD$3:$BA$3,"="&amp;$DF7+'Model Setup'!$J$7,$B7:$Y7)+'Model Setup'!$J$8*(SUMIF($AD$3:$BA$3,"&lt;"&amp;$DF7,$B7:$Y7)+SUMIF($AD$3:$BA$3,"&gt;="&amp;$DG7,$B7:$Y7)),
IF(AS$3=$DF7+'Model Setup'!$K$7,SUMIF($AD$3:$BA$3,"="&amp;$DF7+'Model Setup'!$K$7,$B7:$Y7)+'Model Setup'!$K$8*(SUMIF($AD$3:$BA$3,"&lt;"&amp;$DF7,$B7:$Y7)+SUMIF($AD$3:$BA$3,"&gt;="&amp;$DG7,$B7:$Y7)),
IF(AS$3=$DF7+'Model Setup'!$L$7,SUMIF($AD$3:$BA$3,"="&amp;$DF7+'Model Setup'!$L$7,$B7:$Y7)+'Model Setup'!$L$8*(SUMIF($AD$3:$BA$3,"&lt;"&amp;$DF7,$B7:$Y7)+SUMIF($AD$3:$BA$3,"&gt;="&amp;$DG7,$B7:$Y7)),
IF(AS$3=$DF7+'Model Setup'!$M$7,SUMIF($AD$3:$BA$3,"="&amp;$DF7+'Model Setup'!$M$7,$B7:$Y7)+'Model Setup'!$M$8*(SUMIF($AD$3:$BA$3,"&lt;"&amp;$DF7,$B7:$Y7)+SUMIF($AD$3:$BA$3,"&gt;="&amp;$DG7,$B7:$Y7)),
IF(AS$3=$DF7+'Model Setup'!$N$7,SUMIF($AD$3:$BA$3,"="&amp;$DF7+'Model Setup'!$N$7,$B7:$Y7)+'Model Setup'!$N$8*(SUMIF($AD$3:$BA$3,"&lt;"&amp;$DF7,$B7:$Y7)+SUMIF($AD$3:$BA$3,"&gt;="&amp;$DG7,$B7:$Y7)),
IF(AS$3&lt;$DG7,Q7,0))))))))))))))),0)</f>
        <v>10</v>
      </c>
      <c r="AT7" s="47">
        <f>ROUND(IF(AT$3&lt;$DF7,0,
IF(AT$3=$DF7+'Model Setup'!$B$7,SUMIF($AD$3:$BA$3,"="&amp;$DF7+'Model Setup'!$B$7,$B7:$Y7)+'Model Setup'!$B$8*(SUMIF($AD$3:$BA$3,"&lt;"&amp;$DF7,$B7:$Y7)+SUMIF($AD$3:$BA$3,"&gt;="&amp;$DG7,$B7:$Y7)),
IF(AT$3=$DF7+'Model Setup'!$C$7,SUMIF($AD$3:$BA$3,"="&amp;$DF7+'Model Setup'!$C$7,$B7:$Y7)+'Model Setup'!$C$8*(SUMIF($AD$3:$BA$3,"&lt;"&amp;$DF7,$B7:$Y7)+SUMIF($AD$3:$BA$3,"&gt;="&amp;$DG7,$B7:$Y7)),
IF(AT$3=$DF7+'Model Setup'!$D$7,SUMIF($AD$3:$BA$3,"="&amp;$DF7+'Model Setup'!$D$7,$B7:$Y7)+'Model Setup'!$D$8*(SUMIF($AD$3:$BA$3,"&lt;"&amp;$DF7,$B7:$Y7)+SUMIF($AD$3:$BA$3,"&gt;="&amp;$DG7,$B7:$Y7)),
IF(AT$3=$DF7+'Model Setup'!$E$7,SUMIF($AD$3:$BA$3,"="&amp;$DF7+'Model Setup'!$E$7,$B7:$Y7)+'Model Setup'!$E$8*(SUMIF($AD$3:$BA$3,"&lt;"&amp;$DF7,$B7:$Y7)+SUMIF($AD$3:$BA$3,"&gt;="&amp;$DG7,$B7:$Y7)),
IF(AT$3=$DF7+'Model Setup'!$F$7,SUMIF($AD$3:$BA$3,"="&amp;$DF7+'Model Setup'!$F$7,$B7:$Y7)+'Model Setup'!$F$8*(SUMIF($AD$3:$BA$3,"&lt;"&amp;$DF7,$B7:$Y7)+SUMIF($AD$3:$BA$3,"&gt;="&amp;$DG7,$B7:$Y7)),
IF(AT$3=$DF7+'Model Setup'!$G$7,SUMIF($AD$3:$BA$3,"="&amp;$DF7+'Model Setup'!$G$7,$B7:$Y7)+'Model Setup'!$G$8*(SUMIF($AD$3:$BA$3,"&lt;"&amp;$DF7,$B7:$Y7)+SUMIF($AD$3:$BA$3,"&gt;="&amp;$DG7,$B7:$Y7)),
IF(AT$3=$DF7+'Model Setup'!$H$7,SUMIF($AD$3:$BA$3,"="&amp;$DF7+'Model Setup'!$H$7,$B7:$Y7)+'Model Setup'!$H$8*(SUMIF($AD$3:$BA$3,"&lt;"&amp;$DF7,$B7:$Y7)+SUMIF($AD$3:$BA$3,"&gt;="&amp;$DG7,$B7:$Y7)),
IF(AT$3=$DF7+'Model Setup'!$I$7,SUMIF($AD$3:$BA$3,"="&amp;$DF7+'Model Setup'!$I$7,$B7:$Y7)+'Model Setup'!$I$8*(SUMIF($AD$3:$BA$3,"&lt;"&amp;$DF7,$B7:$Y7)+SUMIF($AD$3:$BA$3,"&gt;="&amp;$DG7,$B7:$Y7)),
IF(AT$3=$DF7+'Model Setup'!$J$7,SUMIF($AD$3:$BA$3,"="&amp;$DF7+'Model Setup'!$J$7,$B7:$Y7)+'Model Setup'!$J$8*(SUMIF($AD$3:$BA$3,"&lt;"&amp;$DF7,$B7:$Y7)+SUMIF($AD$3:$BA$3,"&gt;="&amp;$DG7,$B7:$Y7)),
IF(AT$3=$DF7+'Model Setup'!$K$7,SUMIF($AD$3:$BA$3,"="&amp;$DF7+'Model Setup'!$K$7,$B7:$Y7)+'Model Setup'!$K$8*(SUMIF($AD$3:$BA$3,"&lt;"&amp;$DF7,$B7:$Y7)+SUMIF($AD$3:$BA$3,"&gt;="&amp;$DG7,$B7:$Y7)),
IF(AT$3=$DF7+'Model Setup'!$L$7,SUMIF($AD$3:$BA$3,"="&amp;$DF7+'Model Setup'!$L$7,$B7:$Y7)+'Model Setup'!$L$8*(SUMIF($AD$3:$BA$3,"&lt;"&amp;$DF7,$B7:$Y7)+SUMIF($AD$3:$BA$3,"&gt;="&amp;$DG7,$B7:$Y7)),
IF(AT$3=$DF7+'Model Setup'!$M$7,SUMIF($AD$3:$BA$3,"="&amp;$DF7+'Model Setup'!$M$7,$B7:$Y7)+'Model Setup'!$M$8*(SUMIF($AD$3:$BA$3,"&lt;"&amp;$DF7,$B7:$Y7)+SUMIF($AD$3:$BA$3,"&gt;="&amp;$DG7,$B7:$Y7)),
IF(AT$3=$DF7+'Model Setup'!$N$7,SUMIF($AD$3:$BA$3,"="&amp;$DF7+'Model Setup'!$N$7,$B7:$Y7)+'Model Setup'!$N$8*(SUMIF($AD$3:$BA$3,"&lt;"&amp;$DF7,$B7:$Y7)+SUMIF($AD$3:$BA$3,"&gt;="&amp;$DG7,$B7:$Y7)),
IF(AT$3&lt;$DG7,R7,0))))))))))))))),0)</f>
        <v>16</v>
      </c>
      <c r="AU7" s="47">
        <f>ROUND(IF(AU$3&lt;$DF7,0,
IF(AU$3=$DF7+'Model Setup'!$B$7,SUMIF($AD$3:$BA$3,"="&amp;$DF7+'Model Setup'!$B$7,$B7:$Y7)+'Model Setup'!$B$8*(SUMIF($AD$3:$BA$3,"&lt;"&amp;$DF7,$B7:$Y7)+SUMIF($AD$3:$BA$3,"&gt;="&amp;$DG7,$B7:$Y7)),
IF(AU$3=$DF7+'Model Setup'!$C$7,SUMIF($AD$3:$BA$3,"="&amp;$DF7+'Model Setup'!$C$7,$B7:$Y7)+'Model Setup'!$C$8*(SUMIF($AD$3:$BA$3,"&lt;"&amp;$DF7,$B7:$Y7)+SUMIF($AD$3:$BA$3,"&gt;="&amp;$DG7,$B7:$Y7)),
IF(AU$3=$DF7+'Model Setup'!$D$7,SUMIF($AD$3:$BA$3,"="&amp;$DF7+'Model Setup'!$D$7,$B7:$Y7)+'Model Setup'!$D$8*(SUMIF($AD$3:$BA$3,"&lt;"&amp;$DF7,$B7:$Y7)+SUMIF($AD$3:$BA$3,"&gt;="&amp;$DG7,$B7:$Y7)),
IF(AU$3=$DF7+'Model Setup'!$E$7,SUMIF($AD$3:$BA$3,"="&amp;$DF7+'Model Setup'!$E$7,$B7:$Y7)+'Model Setup'!$E$8*(SUMIF($AD$3:$BA$3,"&lt;"&amp;$DF7,$B7:$Y7)+SUMIF($AD$3:$BA$3,"&gt;="&amp;$DG7,$B7:$Y7)),
IF(AU$3=$DF7+'Model Setup'!$F$7,SUMIF($AD$3:$BA$3,"="&amp;$DF7+'Model Setup'!$F$7,$B7:$Y7)+'Model Setup'!$F$8*(SUMIF($AD$3:$BA$3,"&lt;"&amp;$DF7,$B7:$Y7)+SUMIF($AD$3:$BA$3,"&gt;="&amp;$DG7,$B7:$Y7)),
IF(AU$3=$DF7+'Model Setup'!$G$7,SUMIF($AD$3:$BA$3,"="&amp;$DF7+'Model Setup'!$G$7,$B7:$Y7)+'Model Setup'!$G$8*(SUMIF($AD$3:$BA$3,"&lt;"&amp;$DF7,$B7:$Y7)+SUMIF($AD$3:$BA$3,"&gt;="&amp;$DG7,$B7:$Y7)),
IF(AU$3=$DF7+'Model Setup'!$H$7,SUMIF($AD$3:$BA$3,"="&amp;$DF7+'Model Setup'!$H$7,$B7:$Y7)+'Model Setup'!$H$8*(SUMIF($AD$3:$BA$3,"&lt;"&amp;$DF7,$B7:$Y7)+SUMIF($AD$3:$BA$3,"&gt;="&amp;$DG7,$B7:$Y7)),
IF(AU$3=$DF7+'Model Setup'!$I$7,SUMIF($AD$3:$BA$3,"="&amp;$DF7+'Model Setup'!$I$7,$B7:$Y7)+'Model Setup'!$I$8*(SUMIF($AD$3:$BA$3,"&lt;"&amp;$DF7,$B7:$Y7)+SUMIF($AD$3:$BA$3,"&gt;="&amp;$DG7,$B7:$Y7)),
IF(AU$3=$DF7+'Model Setup'!$J$7,SUMIF($AD$3:$BA$3,"="&amp;$DF7+'Model Setup'!$J$7,$B7:$Y7)+'Model Setup'!$J$8*(SUMIF($AD$3:$BA$3,"&lt;"&amp;$DF7,$B7:$Y7)+SUMIF($AD$3:$BA$3,"&gt;="&amp;$DG7,$B7:$Y7)),
IF(AU$3=$DF7+'Model Setup'!$K$7,SUMIF($AD$3:$BA$3,"="&amp;$DF7+'Model Setup'!$K$7,$B7:$Y7)+'Model Setup'!$K$8*(SUMIF($AD$3:$BA$3,"&lt;"&amp;$DF7,$B7:$Y7)+SUMIF($AD$3:$BA$3,"&gt;="&amp;$DG7,$B7:$Y7)),
IF(AU$3=$DF7+'Model Setup'!$L$7,SUMIF($AD$3:$BA$3,"="&amp;$DF7+'Model Setup'!$L$7,$B7:$Y7)+'Model Setup'!$L$8*(SUMIF($AD$3:$BA$3,"&lt;"&amp;$DF7,$B7:$Y7)+SUMIF($AD$3:$BA$3,"&gt;="&amp;$DG7,$B7:$Y7)),
IF(AU$3=$DF7+'Model Setup'!$M$7,SUMIF($AD$3:$BA$3,"="&amp;$DF7+'Model Setup'!$M$7,$B7:$Y7)+'Model Setup'!$M$8*(SUMIF($AD$3:$BA$3,"&lt;"&amp;$DF7,$B7:$Y7)+SUMIF($AD$3:$BA$3,"&gt;="&amp;$DG7,$B7:$Y7)),
IF(AU$3=$DF7+'Model Setup'!$N$7,SUMIF($AD$3:$BA$3,"="&amp;$DF7+'Model Setup'!$N$7,$B7:$Y7)+'Model Setup'!$N$8*(SUMIF($AD$3:$BA$3,"&lt;"&amp;$DF7,$B7:$Y7)+SUMIF($AD$3:$BA$3,"&gt;="&amp;$DG7,$B7:$Y7)),
IF(AU$3&lt;$DG7,S7,0))))))))))))))),0)</f>
        <v>15</v>
      </c>
      <c r="AV7" s="47">
        <f>ROUND(IF(AV$3&lt;$DF7,0,
IF(AV$3=$DF7+'Model Setup'!$B$7,SUMIF($AD$3:$BA$3,"="&amp;$DF7+'Model Setup'!$B$7,$B7:$Y7)+'Model Setup'!$B$8*(SUMIF($AD$3:$BA$3,"&lt;"&amp;$DF7,$B7:$Y7)+SUMIF($AD$3:$BA$3,"&gt;="&amp;$DG7,$B7:$Y7)),
IF(AV$3=$DF7+'Model Setup'!$C$7,SUMIF($AD$3:$BA$3,"="&amp;$DF7+'Model Setup'!$C$7,$B7:$Y7)+'Model Setup'!$C$8*(SUMIF($AD$3:$BA$3,"&lt;"&amp;$DF7,$B7:$Y7)+SUMIF($AD$3:$BA$3,"&gt;="&amp;$DG7,$B7:$Y7)),
IF(AV$3=$DF7+'Model Setup'!$D$7,SUMIF($AD$3:$BA$3,"="&amp;$DF7+'Model Setup'!$D$7,$B7:$Y7)+'Model Setup'!$D$8*(SUMIF($AD$3:$BA$3,"&lt;"&amp;$DF7,$B7:$Y7)+SUMIF($AD$3:$BA$3,"&gt;="&amp;$DG7,$B7:$Y7)),
IF(AV$3=$DF7+'Model Setup'!$E$7,SUMIF($AD$3:$BA$3,"="&amp;$DF7+'Model Setup'!$E$7,$B7:$Y7)+'Model Setup'!$E$8*(SUMIF($AD$3:$BA$3,"&lt;"&amp;$DF7,$B7:$Y7)+SUMIF($AD$3:$BA$3,"&gt;="&amp;$DG7,$B7:$Y7)),
IF(AV$3=$DF7+'Model Setup'!$F$7,SUMIF($AD$3:$BA$3,"="&amp;$DF7+'Model Setup'!$F$7,$B7:$Y7)+'Model Setup'!$F$8*(SUMIF($AD$3:$BA$3,"&lt;"&amp;$DF7,$B7:$Y7)+SUMIF($AD$3:$BA$3,"&gt;="&amp;$DG7,$B7:$Y7)),
IF(AV$3=$DF7+'Model Setup'!$G$7,SUMIF($AD$3:$BA$3,"="&amp;$DF7+'Model Setup'!$G$7,$B7:$Y7)+'Model Setup'!$G$8*(SUMIF($AD$3:$BA$3,"&lt;"&amp;$DF7,$B7:$Y7)+SUMIF($AD$3:$BA$3,"&gt;="&amp;$DG7,$B7:$Y7)),
IF(AV$3=$DF7+'Model Setup'!$H$7,SUMIF($AD$3:$BA$3,"="&amp;$DF7+'Model Setup'!$H$7,$B7:$Y7)+'Model Setup'!$H$8*(SUMIF($AD$3:$BA$3,"&lt;"&amp;$DF7,$B7:$Y7)+SUMIF($AD$3:$BA$3,"&gt;="&amp;$DG7,$B7:$Y7)),
IF(AV$3=$DF7+'Model Setup'!$I$7,SUMIF($AD$3:$BA$3,"="&amp;$DF7+'Model Setup'!$I$7,$B7:$Y7)+'Model Setup'!$I$8*(SUMIF($AD$3:$BA$3,"&lt;"&amp;$DF7,$B7:$Y7)+SUMIF($AD$3:$BA$3,"&gt;="&amp;$DG7,$B7:$Y7)),
IF(AV$3=$DF7+'Model Setup'!$J$7,SUMIF($AD$3:$BA$3,"="&amp;$DF7+'Model Setup'!$J$7,$B7:$Y7)+'Model Setup'!$J$8*(SUMIF($AD$3:$BA$3,"&lt;"&amp;$DF7,$B7:$Y7)+SUMIF($AD$3:$BA$3,"&gt;="&amp;$DG7,$B7:$Y7)),
IF(AV$3=$DF7+'Model Setup'!$K$7,SUMIF($AD$3:$BA$3,"="&amp;$DF7+'Model Setup'!$K$7,$B7:$Y7)+'Model Setup'!$K$8*(SUMIF($AD$3:$BA$3,"&lt;"&amp;$DF7,$B7:$Y7)+SUMIF($AD$3:$BA$3,"&gt;="&amp;$DG7,$B7:$Y7)),
IF(AV$3=$DF7+'Model Setup'!$L$7,SUMIF($AD$3:$BA$3,"="&amp;$DF7+'Model Setup'!$L$7,$B7:$Y7)+'Model Setup'!$L$8*(SUMIF($AD$3:$BA$3,"&lt;"&amp;$DF7,$B7:$Y7)+SUMIF($AD$3:$BA$3,"&gt;="&amp;$DG7,$B7:$Y7)),
IF(AV$3=$DF7+'Model Setup'!$M$7,SUMIF($AD$3:$BA$3,"="&amp;$DF7+'Model Setup'!$M$7,$B7:$Y7)+'Model Setup'!$M$8*(SUMIF($AD$3:$BA$3,"&lt;"&amp;$DF7,$B7:$Y7)+SUMIF($AD$3:$BA$3,"&gt;="&amp;$DG7,$B7:$Y7)),
IF(AV$3=$DF7+'Model Setup'!$N$7,SUMIF($AD$3:$BA$3,"="&amp;$DF7+'Model Setup'!$N$7,$B7:$Y7)+'Model Setup'!$N$8*(SUMIF($AD$3:$BA$3,"&lt;"&amp;$DF7,$B7:$Y7)+SUMIF($AD$3:$BA$3,"&gt;="&amp;$DG7,$B7:$Y7)),
IF(AV$3&lt;$DG7,T7,0))))))))))))))),0)</f>
        <v>15</v>
      </c>
      <c r="AW7" s="47">
        <f>ROUND(IF(AW$3&lt;$DF7,0,
IF(AW$3=$DF7+'Model Setup'!$B$7,SUMIF($AD$3:$BA$3,"="&amp;$DF7+'Model Setup'!$B$7,$B7:$Y7)+'Model Setup'!$B$8*(SUMIF($AD$3:$BA$3,"&lt;"&amp;$DF7,$B7:$Y7)+SUMIF($AD$3:$BA$3,"&gt;="&amp;$DG7,$B7:$Y7)),
IF(AW$3=$DF7+'Model Setup'!$C$7,SUMIF($AD$3:$BA$3,"="&amp;$DF7+'Model Setup'!$C$7,$B7:$Y7)+'Model Setup'!$C$8*(SUMIF($AD$3:$BA$3,"&lt;"&amp;$DF7,$B7:$Y7)+SUMIF($AD$3:$BA$3,"&gt;="&amp;$DG7,$B7:$Y7)),
IF(AW$3=$DF7+'Model Setup'!$D$7,SUMIF($AD$3:$BA$3,"="&amp;$DF7+'Model Setup'!$D$7,$B7:$Y7)+'Model Setup'!$D$8*(SUMIF($AD$3:$BA$3,"&lt;"&amp;$DF7,$B7:$Y7)+SUMIF($AD$3:$BA$3,"&gt;="&amp;$DG7,$B7:$Y7)),
IF(AW$3=$DF7+'Model Setup'!$E$7,SUMIF($AD$3:$BA$3,"="&amp;$DF7+'Model Setup'!$E$7,$B7:$Y7)+'Model Setup'!$E$8*(SUMIF($AD$3:$BA$3,"&lt;"&amp;$DF7,$B7:$Y7)+SUMIF($AD$3:$BA$3,"&gt;="&amp;$DG7,$B7:$Y7)),
IF(AW$3=$DF7+'Model Setup'!$F$7,SUMIF($AD$3:$BA$3,"="&amp;$DF7+'Model Setup'!$F$7,$B7:$Y7)+'Model Setup'!$F$8*(SUMIF($AD$3:$BA$3,"&lt;"&amp;$DF7,$B7:$Y7)+SUMIF($AD$3:$BA$3,"&gt;="&amp;$DG7,$B7:$Y7)),
IF(AW$3=$DF7+'Model Setup'!$G$7,SUMIF($AD$3:$BA$3,"="&amp;$DF7+'Model Setup'!$G$7,$B7:$Y7)+'Model Setup'!$G$8*(SUMIF($AD$3:$BA$3,"&lt;"&amp;$DF7,$B7:$Y7)+SUMIF($AD$3:$BA$3,"&gt;="&amp;$DG7,$B7:$Y7)),
IF(AW$3=$DF7+'Model Setup'!$H$7,SUMIF($AD$3:$BA$3,"="&amp;$DF7+'Model Setup'!$H$7,$B7:$Y7)+'Model Setup'!$H$8*(SUMIF($AD$3:$BA$3,"&lt;"&amp;$DF7,$B7:$Y7)+SUMIF($AD$3:$BA$3,"&gt;="&amp;$DG7,$B7:$Y7)),
IF(AW$3=$DF7+'Model Setup'!$I$7,SUMIF($AD$3:$BA$3,"="&amp;$DF7+'Model Setup'!$I$7,$B7:$Y7)+'Model Setup'!$I$8*(SUMIF($AD$3:$BA$3,"&lt;"&amp;$DF7,$B7:$Y7)+SUMIF($AD$3:$BA$3,"&gt;="&amp;$DG7,$B7:$Y7)),
IF(AW$3=$DF7+'Model Setup'!$J$7,SUMIF($AD$3:$BA$3,"="&amp;$DF7+'Model Setup'!$J$7,$B7:$Y7)+'Model Setup'!$J$8*(SUMIF($AD$3:$BA$3,"&lt;"&amp;$DF7,$B7:$Y7)+SUMIF($AD$3:$BA$3,"&gt;="&amp;$DG7,$B7:$Y7)),
IF(AW$3=$DF7+'Model Setup'!$K$7,SUMIF($AD$3:$BA$3,"="&amp;$DF7+'Model Setup'!$K$7,$B7:$Y7)+'Model Setup'!$K$8*(SUMIF($AD$3:$BA$3,"&lt;"&amp;$DF7,$B7:$Y7)+SUMIF($AD$3:$BA$3,"&gt;="&amp;$DG7,$B7:$Y7)),
IF(AW$3=$DF7+'Model Setup'!$L$7,SUMIF($AD$3:$BA$3,"="&amp;$DF7+'Model Setup'!$L$7,$B7:$Y7)+'Model Setup'!$L$8*(SUMIF($AD$3:$BA$3,"&lt;"&amp;$DF7,$B7:$Y7)+SUMIF($AD$3:$BA$3,"&gt;="&amp;$DG7,$B7:$Y7)),
IF(AW$3=$DF7+'Model Setup'!$M$7,SUMIF($AD$3:$BA$3,"="&amp;$DF7+'Model Setup'!$M$7,$B7:$Y7)+'Model Setup'!$M$8*(SUMIF($AD$3:$BA$3,"&lt;"&amp;$DF7,$B7:$Y7)+SUMIF($AD$3:$BA$3,"&gt;="&amp;$DG7,$B7:$Y7)),
IF(AW$3=$DF7+'Model Setup'!$N$7,SUMIF($AD$3:$BA$3,"="&amp;$DF7+'Model Setup'!$N$7,$B7:$Y7)+'Model Setup'!$N$8*(SUMIF($AD$3:$BA$3,"&lt;"&amp;$DF7,$B7:$Y7)+SUMIF($AD$3:$BA$3,"&gt;="&amp;$DG7,$B7:$Y7)),
IF(AW$3&lt;$DG7,U7,0))))))))))))))),0)</f>
        <v>0</v>
      </c>
      <c r="AX7" s="47">
        <f>ROUND(IF(AX$3&lt;$DF7,0,
IF(AX$3=$DF7+'Model Setup'!$B$7,SUMIF($AD$3:$BA$3,"="&amp;$DF7+'Model Setup'!$B$7,$B7:$Y7)+'Model Setup'!$B$8*(SUMIF($AD$3:$BA$3,"&lt;"&amp;$DF7,$B7:$Y7)+SUMIF($AD$3:$BA$3,"&gt;="&amp;$DG7,$B7:$Y7)),
IF(AX$3=$DF7+'Model Setup'!$C$7,SUMIF($AD$3:$BA$3,"="&amp;$DF7+'Model Setup'!$C$7,$B7:$Y7)+'Model Setup'!$C$8*(SUMIF($AD$3:$BA$3,"&lt;"&amp;$DF7,$B7:$Y7)+SUMIF($AD$3:$BA$3,"&gt;="&amp;$DG7,$B7:$Y7)),
IF(AX$3=$DF7+'Model Setup'!$D$7,SUMIF($AD$3:$BA$3,"="&amp;$DF7+'Model Setup'!$D$7,$B7:$Y7)+'Model Setup'!$D$8*(SUMIF($AD$3:$BA$3,"&lt;"&amp;$DF7,$B7:$Y7)+SUMIF($AD$3:$BA$3,"&gt;="&amp;$DG7,$B7:$Y7)),
IF(AX$3=$DF7+'Model Setup'!$E$7,SUMIF($AD$3:$BA$3,"="&amp;$DF7+'Model Setup'!$E$7,$B7:$Y7)+'Model Setup'!$E$8*(SUMIF($AD$3:$BA$3,"&lt;"&amp;$DF7,$B7:$Y7)+SUMIF($AD$3:$BA$3,"&gt;="&amp;$DG7,$B7:$Y7)),
IF(AX$3=$DF7+'Model Setup'!$F$7,SUMIF($AD$3:$BA$3,"="&amp;$DF7+'Model Setup'!$F$7,$B7:$Y7)+'Model Setup'!$F$8*(SUMIF($AD$3:$BA$3,"&lt;"&amp;$DF7,$B7:$Y7)+SUMIF($AD$3:$BA$3,"&gt;="&amp;$DG7,$B7:$Y7)),
IF(AX$3=$DF7+'Model Setup'!$G$7,SUMIF($AD$3:$BA$3,"="&amp;$DF7+'Model Setup'!$G$7,$B7:$Y7)+'Model Setup'!$G$8*(SUMIF($AD$3:$BA$3,"&lt;"&amp;$DF7,$B7:$Y7)+SUMIF($AD$3:$BA$3,"&gt;="&amp;$DG7,$B7:$Y7)),
IF(AX$3=$DF7+'Model Setup'!$H$7,SUMIF($AD$3:$BA$3,"="&amp;$DF7+'Model Setup'!$H$7,$B7:$Y7)+'Model Setup'!$H$8*(SUMIF($AD$3:$BA$3,"&lt;"&amp;$DF7,$B7:$Y7)+SUMIF($AD$3:$BA$3,"&gt;="&amp;$DG7,$B7:$Y7)),
IF(AX$3=$DF7+'Model Setup'!$I$7,SUMIF($AD$3:$BA$3,"="&amp;$DF7+'Model Setup'!$I$7,$B7:$Y7)+'Model Setup'!$I$8*(SUMIF($AD$3:$BA$3,"&lt;"&amp;$DF7,$B7:$Y7)+SUMIF($AD$3:$BA$3,"&gt;="&amp;$DG7,$B7:$Y7)),
IF(AX$3=$DF7+'Model Setup'!$J$7,SUMIF($AD$3:$BA$3,"="&amp;$DF7+'Model Setup'!$J$7,$B7:$Y7)+'Model Setup'!$J$8*(SUMIF($AD$3:$BA$3,"&lt;"&amp;$DF7,$B7:$Y7)+SUMIF($AD$3:$BA$3,"&gt;="&amp;$DG7,$B7:$Y7)),
IF(AX$3=$DF7+'Model Setup'!$K$7,SUMIF($AD$3:$BA$3,"="&amp;$DF7+'Model Setup'!$K$7,$B7:$Y7)+'Model Setup'!$K$8*(SUMIF($AD$3:$BA$3,"&lt;"&amp;$DF7,$B7:$Y7)+SUMIF($AD$3:$BA$3,"&gt;="&amp;$DG7,$B7:$Y7)),
IF(AX$3=$DF7+'Model Setup'!$L$7,SUMIF($AD$3:$BA$3,"="&amp;$DF7+'Model Setup'!$L$7,$B7:$Y7)+'Model Setup'!$L$8*(SUMIF($AD$3:$BA$3,"&lt;"&amp;$DF7,$B7:$Y7)+SUMIF($AD$3:$BA$3,"&gt;="&amp;$DG7,$B7:$Y7)),
IF(AX$3=$DF7+'Model Setup'!$M$7,SUMIF($AD$3:$BA$3,"="&amp;$DF7+'Model Setup'!$M$7,$B7:$Y7)+'Model Setup'!$M$8*(SUMIF($AD$3:$BA$3,"&lt;"&amp;$DF7,$B7:$Y7)+SUMIF($AD$3:$BA$3,"&gt;="&amp;$DG7,$B7:$Y7)),
IF(AX$3=$DF7+'Model Setup'!$N$7,SUMIF($AD$3:$BA$3,"="&amp;$DF7+'Model Setup'!$N$7,$B7:$Y7)+'Model Setup'!$N$8*(SUMIF($AD$3:$BA$3,"&lt;"&amp;$DF7,$B7:$Y7)+SUMIF($AD$3:$BA$3,"&gt;="&amp;$DG7,$B7:$Y7)),
IF(AX$3&lt;$DG7,V7,0))))))))))))))),0)</f>
        <v>0</v>
      </c>
      <c r="AY7" s="47">
        <f>ROUND(IF(AY$3&lt;$DF7,0,
IF(AY$3=$DF7+'Model Setup'!$B$7,SUMIF($AD$3:$BA$3,"="&amp;$DF7+'Model Setup'!$B$7,$B7:$Y7)+'Model Setup'!$B$8*(SUMIF($AD$3:$BA$3,"&lt;"&amp;$DF7,$B7:$Y7)+SUMIF($AD$3:$BA$3,"&gt;="&amp;$DG7,$B7:$Y7)),
IF(AY$3=$DF7+'Model Setup'!$C$7,SUMIF($AD$3:$BA$3,"="&amp;$DF7+'Model Setup'!$C$7,$B7:$Y7)+'Model Setup'!$C$8*(SUMIF($AD$3:$BA$3,"&lt;"&amp;$DF7,$B7:$Y7)+SUMIF($AD$3:$BA$3,"&gt;="&amp;$DG7,$B7:$Y7)),
IF(AY$3=$DF7+'Model Setup'!$D$7,SUMIF($AD$3:$BA$3,"="&amp;$DF7+'Model Setup'!$D$7,$B7:$Y7)+'Model Setup'!$D$8*(SUMIF($AD$3:$BA$3,"&lt;"&amp;$DF7,$B7:$Y7)+SUMIF($AD$3:$BA$3,"&gt;="&amp;$DG7,$B7:$Y7)),
IF(AY$3=$DF7+'Model Setup'!$E$7,SUMIF($AD$3:$BA$3,"="&amp;$DF7+'Model Setup'!$E$7,$B7:$Y7)+'Model Setup'!$E$8*(SUMIF($AD$3:$BA$3,"&lt;"&amp;$DF7,$B7:$Y7)+SUMIF($AD$3:$BA$3,"&gt;="&amp;$DG7,$B7:$Y7)),
IF(AY$3=$DF7+'Model Setup'!$F$7,SUMIF($AD$3:$BA$3,"="&amp;$DF7+'Model Setup'!$F$7,$B7:$Y7)+'Model Setup'!$F$8*(SUMIF($AD$3:$BA$3,"&lt;"&amp;$DF7,$B7:$Y7)+SUMIF($AD$3:$BA$3,"&gt;="&amp;$DG7,$B7:$Y7)),
IF(AY$3=$DF7+'Model Setup'!$G$7,SUMIF($AD$3:$BA$3,"="&amp;$DF7+'Model Setup'!$G$7,$B7:$Y7)+'Model Setup'!$G$8*(SUMIF($AD$3:$BA$3,"&lt;"&amp;$DF7,$B7:$Y7)+SUMIF($AD$3:$BA$3,"&gt;="&amp;$DG7,$B7:$Y7)),
IF(AY$3=$DF7+'Model Setup'!$H$7,SUMIF($AD$3:$BA$3,"="&amp;$DF7+'Model Setup'!$H$7,$B7:$Y7)+'Model Setup'!$H$8*(SUMIF($AD$3:$BA$3,"&lt;"&amp;$DF7,$B7:$Y7)+SUMIF($AD$3:$BA$3,"&gt;="&amp;$DG7,$B7:$Y7)),
IF(AY$3=$DF7+'Model Setup'!$I$7,SUMIF($AD$3:$BA$3,"="&amp;$DF7+'Model Setup'!$I$7,$B7:$Y7)+'Model Setup'!$I$8*(SUMIF($AD$3:$BA$3,"&lt;"&amp;$DF7,$B7:$Y7)+SUMIF($AD$3:$BA$3,"&gt;="&amp;$DG7,$B7:$Y7)),
IF(AY$3=$DF7+'Model Setup'!$J$7,SUMIF($AD$3:$BA$3,"="&amp;$DF7+'Model Setup'!$J$7,$B7:$Y7)+'Model Setup'!$J$8*(SUMIF($AD$3:$BA$3,"&lt;"&amp;$DF7,$B7:$Y7)+SUMIF($AD$3:$BA$3,"&gt;="&amp;$DG7,$B7:$Y7)),
IF(AY$3=$DF7+'Model Setup'!$K$7,SUMIF($AD$3:$BA$3,"="&amp;$DF7+'Model Setup'!$K$7,$B7:$Y7)+'Model Setup'!$K$8*(SUMIF($AD$3:$BA$3,"&lt;"&amp;$DF7,$B7:$Y7)+SUMIF($AD$3:$BA$3,"&gt;="&amp;$DG7,$B7:$Y7)),
IF(AY$3=$DF7+'Model Setup'!$L$7,SUMIF($AD$3:$BA$3,"="&amp;$DF7+'Model Setup'!$L$7,$B7:$Y7)+'Model Setup'!$L$8*(SUMIF($AD$3:$BA$3,"&lt;"&amp;$DF7,$B7:$Y7)+SUMIF($AD$3:$BA$3,"&gt;="&amp;$DG7,$B7:$Y7)),
IF(AY$3=$DF7+'Model Setup'!$M$7,SUMIF($AD$3:$BA$3,"="&amp;$DF7+'Model Setup'!$M$7,$B7:$Y7)+'Model Setup'!$M$8*(SUMIF($AD$3:$BA$3,"&lt;"&amp;$DF7,$B7:$Y7)+SUMIF($AD$3:$BA$3,"&gt;="&amp;$DG7,$B7:$Y7)),
IF(AY$3=$DF7+'Model Setup'!$N$7,SUMIF($AD$3:$BA$3,"="&amp;$DF7+'Model Setup'!$N$7,$B7:$Y7)+'Model Setup'!$N$8*(SUMIF($AD$3:$BA$3,"&lt;"&amp;$DF7,$B7:$Y7)+SUMIF($AD$3:$BA$3,"&gt;="&amp;$DG7,$B7:$Y7)),
IF(AY$3&lt;$DG7,W7,0))))))))))))))),0)</f>
        <v>0</v>
      </c>
      <c r="AZ7" s="47">
        <f>ROUND(IF(AZ$3&lt;$DF7,0,
IF(AZ$3=$DF7+'Model Setup'!$B$7,SUMIF($AD$3:$BA$3,"="&amp;$DF7+'Model Setup'!$B$7,$B7:$Y7)+'Model Setup'!$B$8*(SUMIF($AD$3:$BA$3,"&lt;"&amp;$DF7,$B7:$Y7)+SUMIF($AD$3:$BA$3,"&gt;="&amp;$DG7,$B7:$Y7)),
IF(AZ$3=$DF7+'Model Setup'!$C$7,SUMIF($AD$3:$BA$3,"="&amp;$DF7+'Model Setup'!$C$7,$B7:$Y7)+'Model Setup'!$C$8*(SUMIF($AD$3:$BA$3,"&lt;"&amp;$DF7,$B7:$Y7)+SUMIF($AD$3:$BA$3,"&gt;="&amp;$DG7,$B7:$Y7)),
IF(AZ$3=$DF7+'Model Setup'!$D$7,SUMIF($AD$3:$BA$3,"="&amp;$DF7+'Model Setup'!$D$7,$B7:$Y7)+'Model Setup'!$D$8*(SUMIF($AD$3:$BA$3,"&lt;"&amp;$DF7,$B7:$Y7)+SUMIF($AD$3:$BA$3,"&gt;="&amp;$DG7,$B7:$Y7)),
IF(AZ$3=$DF7+'Model Setup'!$E$7,SUMIF($AD$3:$BA$3,"="&amp;$DF7+'Model Setup'!$E$7,$B7:$Y7)+'Model Setup'!$E$8*(SUMIF($AD$3:$BA$3,"&lt;"&amp;$DF7,$B7:$Y7)+SUMIF($AD$3:$BA$3,"&gt;="&amp;$DG7,$B7:$Y7)),
IF(AZ$3=$DF7+'Model Setup'!$F$7,SUMIF($AD$3:$BA$3,"="&amp;$DF7+'Model Setup'!$F$7,$B7:$Y7)+'Model Setup'!$F$8*(SUMIF($AD$3:$BA$3,"&lt;"&amp;$DF7,$B7:$Y7)+SUMIF($AD$3:$BA$3,"&gt;="&amp;$DG7,$B7:$Y7)),
IF(AZ$3=$DF7+'Model Setup'!$G$7,SUMIF($AD$3:$BA$3,"="&amp;$DF7+'Model Setup'!$G$7,$B7:$Y7)+'Model Setup'!$G$8*(SUMIF($AD$3:$BA$3,"&lt;"&amp;$DF7,$B7:$Y7)+SUMIF($AD$3:$BA$3,"&gt;="&amp;$DG7,$B7:$Y7)),
IF(AZ$3=$DF7+'Model Setup'!$H$7,SUMIF($AD$3:$BA$3,"="&amp;$DF7+'Model Setup'!$H$7,$B7:$Y7)+'Model Setup'!$H$8*(SUMIF($AD$3:$BA$3,"&lt;"&amp;$DF7,$B7:$Y7)+SUMIF($AD$3:$BA$3,"&gt;="&amp;$DG7,$B7:$Y7)),
IF(AZ$3=$DF7+'Model Setup'!$I$7,SUMIF($AD$3:$BA$3,"="&amp;$DF7+'Model Setup'!$I$7,$B7:$Y7)+'Model Setup'!$I$8*(SUMIF($AD$3:$BA$3,"&lt;"&amp;$DF7,$B7:$Y7)+SUMIF($AD$3:$BA$3,"&gt;="&amp;$DG7,$B7:$Y7)),
IF(AZ$3=$DF7+'Model Setup'!$J$7,SUMIF($AD$3:$BA$3,"="&amp;$DF7+'Model Setup'!$J$7,$B7:$Y7)+'Model Setup'!$J$8*(SUMIF($AD$3:$BA$3,"&lt;"&amp;$DF7,$B7:$Y7)+SUMIF($AD$3:$BA$3,"&gt;="&amp;$DG7,$B7:$Y7)),
IF(AZ$3=$DF7+'Model Setup'!$K$7,SUMIF($AD$3:$BA$3,"="&amp;$DF7+'Model Setup'!$K$7,$B7:$Y7)+'Model Setup'!$K$8*(SUMIF($AD$3:$BA$3,"&lt;"&amp;$DF7,$B7:$Y7)+SUMIF($AD$3:$BA$3,"&gt;="&amp;$DG7,$B7:$Y7)),
IF(AZ$3=$DF7+'Model Setup'!$L$7,SUMIF($AD$3:$BA$3,"="&amp;$DF7+'Model Setup'!$L$7,$B7:$Y7)+'Model Setup'!$L$8*(SUMIF($AD$3:$BA$3,"&lt;"&amp;$DF7,$B7:$Y7)+SUMIF($AD$3:$BA$3,"&gt;="&amp;$DG7,$B7:$Y7)),
IF(AZ$3=$DF7+'Model Setup'!$M$7,SUMIF($AD$3:$BA$3,"="&amp;$DF7+'Model Setup'!$M$7,$B7:$Y7)+'Model Setup'!$M$8*(SUMIF($AD$3:$BA$3,"&lt;"&amp;$DF7,$B7:$Y7)+SUMIF($AD$3:$BA$3,"&gt;="&amp;$DG7,$B7:$Y7)),
IF(AZ$3=$DF7+'Model Setup'!$N$7,SUMIF($AD$3:$BA$3,"="&amp;$DF7+'Model Setup'!$N$7,$B7:$Y7)+'Model Setup'!$N$8*(SUMIF($AD$3:$BA$3,"&lt;"&amp;$DF7,$B7:$Y7)+SUMIF($AD$3:$BA$3,"&gt;="&amp;$DG7,$B7:$Y7)),
IF(AZ$3&lt;$DG7,X7,0))))))))))))))),0)</f>
        <v>0</v>
      </c>
      <c r="BA7" s="47">
        <f>ROUND(IF(BA$3&lt;$DF7,0,
IF(BA$3=$DF7+'Model Setup'!$B$7,SUMIF($AD$3:$BA$3,"="&amp;$DF7+'Model Setup'!$B$7,$B7:$Y7)+'Model Setup'!$B$8*(SUMIF($AD$3:$BA$3,"&lt;"&amp;$DF7,$B7:$Y7)+SUMIF($AD$3:$BA$3,"&gt;="&amp;$DG7,$B7:$Y7)),
IF(BA$3=$DF7+'Model Setup'!$C$7,SUMIF($AD$3:$BA$3,"="&amp;$DF7+'Model Setup'!$C$7,$B7:$Y7)+'Model Setup'!$C$8*(SUMIF($AD$3:$BA$3,"&lt;"&amp;$DF7,$B7:$Y7)+SUMIF($AD$3:$BA$3,"&gt;="&amp;$DG7,$B7:$Y7)),
IF(BA$3=$DF7+'Model Setup'!$D$7,SUMIF($AD$3:$BA$3,"="&amp;$DF7+'Model Setup'!$D$7,$B7:$Y7)+'Model Setup'!$D$8*(SUMIF($AD$3:$BA$3,"&lt;"&amp;$DF7,$B7:$Y7)+SUMIF($AD$3:$BA$3,"&gt;="&amp;$DG7,$B7:$Y7)),
IF(BA$3=$DF7+'Model Setup'!$E$7,SUMIF($AD$3:$BA$3,"="&amp;$DF7+'Model Setup'!$E$7,$B7:$Y7)+'Model Setup'!$E$8*(SUMIF($AD$3:$BA$3,"&lt;"&amp;$DF7,$B7:$Y7)+SUMIF($AD$3:$BA$3,"&gt;="&amp;$DG7,$B7:$Y7)),
IF(BA$3=$DF7+'Model Setup'!$F$7,SUMIF($AD$3:$BA$3,"="&amp;$DF7+'Model Setup'!$F$7,$B7:$Y7)+'Model Setup'!$F$8*(SUMIF($AD$3:$BA$3,"&lt;"&amp;$DF7,$B7:$Y7)+SUMIF($AD$3:$BA$3,"&gt;="&amp;$DG7,$B7:$Y7)),
IF(BA$3=$DF7+'Model Setup'!$G$7,SUMIF($AD$3:$BA$3,"="&amp;$DF7+'Model Setup'!$G$7,$B7:$Y7)+'Model Setup'!$G$8*(SUMIF($AD$3:$BA$3,"&lt;"&amp;$DF7,$B7:$Y7)+SUMIF($AD$3:$BA$3,"&gt;="&amp;$DG7,$B7:$Y7)),
IF(BA$3=$DF7+'Model Setup'!$H$7,SUMIF($AD$3:$BA$3,"="&amp;$DF7+'Model Setup'!$H$7,$B7:$Y7)+'Model Setup'!$H$8*(SUMIF($AD$3:$BA$3,"&lt;"&amp;$DF7,$B7:$Y7)+SUMIF($AD$3:$BA$3,"&gt;="&amp;$DG7,$B7:$Y7)),
IF(BA$3=$DF7+'Model Setup'!$I$7,SUMIF($AD$3:$BA$3,"="&amp;$DF7+'Model Setup'!$I$7,$B7:$Y7)+'Model Setup'!$I$8*(SUMIF($AD$3:$BA$3,"&lt;"&amp;$DF7,$B7:$Y7)+SUMIF($AD$3:$BA$3,"&gt;="&amp;$DG7,$B7:$Y7)),
IF(BA$3=$DF7+'Model Setup'!$J$7,SUMIF($AD$3:$BA$3,"="&amp;$DF7+'Model Setup'!$J$7,$B7:$Y7)+'Model Setup'!$J$8*(SUMIF($AD$3:$BA$3,"&lt;"&amp;$DF7,$B7:$Y7)+SUMIF($AD$3:$BA$3,"&gt;="&amp;$DG7,$B7:$Y7)),
IF(BA$3=$DF7+'Model Setup'!$K$7,SUMIF($AD$3:$BA$3,"="&amp;$DF7+'Model Setup'!$K$7,$B7:$Y7)+'Model Setup'!$K$8*(SUMIF($AD$3:$BA$3,"&lt;"&amp;$DF7,$B7:$Y7)+SUMIF($AD$3:$BA$3,"&gt;="&amp;$DG7,$B7:$Y7)),
IF(BA$3=$DF7+'Model Setup'!$L$7,SUMIF($AD$3:$BA$3,"="&amp;$DF7+'Model Setup'!$L$7,$B7:$Y7)+'Model Setup'!$L$8*(SUMIF($AD$3:$BA$3,"&lt;"&amp;$DF7,$B7:$Y7)+SUMIF($AD$3:$BA$3,"&gt;="&amp;$DG7,$B7:$Y7)),
IF(BA$3=$DF7+'Model Setup'!$M$7,SUMIF($AD$3:$BA$3,"="&amp;$DF7+'Model Setup'!$M$7,$B7:$Y7)+'Model Setup'!$M$8*(SUMIF($AD$3:$BA$3,"&lt;"&amp;$DF7,$B7:$Y7)+SUMIF($AD$3:$BA$3,"&gt;="&amp;$DG7,$B7:$Y7)),
IF(BA$3=$DF7+'Model Setup'!$N$7,SUMIF($AD$3:$BA$3,"="&amp;$DF7+'Model Setup'!$N$7,$B7:$Y7)+'Model Setup'!$N$8*(SUMIF($AD$3:$BA$3,"&lt;"&amp;$DF7,$B7:$Y7)+SUMIF($AD$3:$BA$3,"&gt;="&amp;$DG7,$B7:$Y7)),
IF(BA$3&lt;$DG7,Y7,0))))))))))))))),0)</f>
        <v>0</v>
      </c>
      <c r="BB7" s="47">
        <f t="shared" si="1"/>
        <v>306</v>
      </c>
      <c r="BD7" t="b">
        <f t="shared" si="2"/>
        <v>0</v>
      </c>
      <c r="BE7">
        <f t="shared" si="8"/>
        <v>1</v>
      </c>
      <c r="BF7">
        <f>(FTC!F5-FTC!E5)*24</f>
        <v>13</v>
      </c>
      <c r="BG7" s="43" t="s">
        <v>22</v>
      </c>
      <c r="BH7" s="47">
        <f>ROUND(IF(OR(BH$3&lt;$DF7,BH$3&gt;$CW$4),0,
IF(BH$3=$DF7+'Model Setup'!$B$7,SUMIF($BH$3:$CE$3,"="&amp;$DF7+'Model Setup'!$B$7,$AD7:$BA7)+'Model Setup'!$B$8*(SUMIF($BH$3:$CE$3,"&lt;"&amp;$DF7,$AD7:$BA7)+SUMIF($BH$3:$CE$3,"&gt;"&amp;$CW$4,$AD7:$BA7)),
IF(BH$3=$DF7+'Model Setup'!$C$7,SUMIF($BH$3:$CE$3,"="&amp;$DF7+'Model Setup'!$C$7,$AD7:$BA7)+'Model Setup'!$C$8*(SUMIF($BH$3:$CE$3,"&lt;"&amp;$DF7,$AD7:$BA7)+SUMIF($BH$3:$CE$3,"&gt;"&amp;$CW$4,$AD7:$BA7)),
IF(BH$3=$DF7+'Model Setup'!$D$7,SUMIF($BH$3:$CE$3,"="&amp;$DF7+'Model Setup'!$D$7,$AD7:$BA7)+'Model Setup'!$D$8*(SUMIF($BH$3:$CE$3,"&lt;"&amp;$DF7,$AD7:$BA7)+SUMIF($BH$3:$CE$3,"&gt;"&amp;$CW$4,$AD7:$BA7)),
IF(BH$3=$DF7+'Model Setup'!$E$7,SUMIF($BH$3:$CE$3,"="&amp;$DF7+'Model Setup'!$E$7,$AD7:$BA7)+'Model Setup'!$E$8*(SUMIF($BH$3:$CE$3,"&lt;"&amp;$DF7,$AD7:$BA7)+SUMIF($BH$3:$CE$3,"&gt;"&amp;$CW$4,$AD7:$BA7)),
IF(BH$3=$DF7+'Model Setup'!$F$7,SUMIF($BH$3:$CE$3,"="&amp;$DF7+'Model Setup'!$F$7,$AD7:$BA7)+'Model Setup'!$F$8*(SUMIF($BH$3:$CE$3,"&lt;"&amp;$DF7,$AD7:$BA7)+SUMIF($BH$3:$CE$3,"&gt;"&amp;$CW$4,$AD7:$BA7)),
IF(BH$3=$DF7+'Model Setup'!$G$7,SUMIF($BH$3:$CE$3,"="&amp;$DF7+'Model Setup'!$G$7,$AD7:$BA7)+'Model Setup'!$G$8*(SUMIF($BH$3:$CE$3,"&lt;"&amp;$DF7,$AD7:$BA7)+SUMIF($BH$3:$CE$3,"&gt;"&amp;$CW$4,$AD7:$BA7)),
IF(BH$3=$DF7+'Model Setup'!$H$7,SUMIF($BH$3:$CE$3,"="&amp;$DF7+'Model Setup'!$H$7,$AD7:$BA7)+'Model Setup'!$H$8*(SUMIF($BH$3:$CE$3,"&lt;"&amp;$DF7,$AD7:$BA7)+SUMIF($BH$3:$CE$3,"&gt;"&amp;$CW$4,$AD7:$BA7)),
IF(BH$3=$DF7+'Model Setup'!$I$7,SUMIF($BH$3:$CE$3,"="&amp;$DF7+'Model Setup'!$I$7,$AD7:$BA7)+'Model Setup'!$I$8*(SUMIF($BH$3:$CE$3,"&lt;"&amp;$DF7,$AD7:$BA7)+SUMIF($BH$3:$CE$3,"&gt;"&amp;$CW$4,$AD7:$BA7)),
IF(BH$3=$DF7+'Model Setup'!$J$7,SUMIF($BH$3:$CE$3,"="&amp;$DF7+'Model Setup'!$J$7,$AD7:$BA7)+'Model Setup'!$J$8*(SUMIF($BH$3:$CE$3,"&lt;"&amp;$DF7,$AD7:$BA7)+SUMIF($BH$3:$CE$3,"&gt;"&amp;$CW$4,$AD7:$BA7)),
IF(BH$3=$DF7+'Model Setup'!$K$7,SUMIF($BH$3:$CE$3,"="&amp;$DF7+'Model Setup'!$K$7,$AD7:$BA7)+'Model Setup'!$K$8*(SUMIF($BH$3:$CE$3,"&lt;"&amp;$DF7,$AD7:$BA7)+SUMIF($BH$3:$CE$3,"&gt;"&amp;$CW$4,$AD7:$BA7)),
IF(BH$3=$DF7+'Model Setup'!$L$7,SUMIF($BH$3:$CE$3,"="&amp;$DF7+'Model Setup'!$L$7,$AD7:$BA7)+'Model Setup'!$L$8*(SUMIF($BH$3:$CE$3,"&lt;"&amp;$DF7,$AD7:$BA7)+SUMIF($BH$3:$CE$3,"&gt;"&amp;$CW$4,$AD7:$BA7)),
IF(BH$3=$DF7+'Model Setup'!$M$7,SUMIF($BH$3:$CE$3,"="&amp;$DF7+'Model Setup'!$M$7,$AD7:$BA7)+'Model Setup'!$M$8*(SUMIF($BH$3:$CE$3,"&lt;"&amp;$DF7,$AD7:$BA7)+SUMIF($BH$3:$CE$3,"&gt;"&amp;$CW$4,$AD7:$BA7)),
IF(BH$3=$DF7+'Model Setup'!$N$7,SUMIF($BH$3:$CE$3,"="&amp;$DF7+'Model Setup'!$N$7,$AD7:$BA7)+'Model Setup'!$N$8*(SUMIF($BH$3:$CE$3,"&lt;"&amp;$DF7,$AD7:$BA7)+SUMIF($BH$3:$CE$3,"&gt;"&amp;$CW$4,$AD7:$BA7)),
IF(BH$3&lt;$CW$4,B7,0))))))))))))))),0)</f>
        <v>0</v>
      </c>
      <c r="BI7" s="47">
        <f>ROUND(IF(OR(BI$3&lt;$DF7,BI$3&gt;$CW$4),0,
IF(BI$3=$DF7+'Model Setup'!$B$7,SUMIF($BH$3:$CE$3,"="&amp;$DF7+'Model Setup'!$B$7,$AD7:$BA7)+'Model Setup'!$B$8*(SUMIF($BH$3:$CE$3,"&lt;"&amp;$DF7,$AD7:$BA7)+SUMIF($BH$3:$CE$3,"&gt;"&amp;$CW$4,$AD7:$BA7)),
IF(BI$3=$DF7+'Model Setup'!$C$7,SUMIF($BH$3:$CE$3,"="&amp;$DF7+'Model Setup'!$C$7,$AD7:$BA7)+'Model Setup'!$C$8*(SUMIF($BH$3:$CE$3,"&lt;"&amp;$DF7,$AD7:$BA7)+SUMIF($BH$3:$CE$3,"&gt;"&amp;$CW$4,$AD7:$BA7)),
IF(BI$3=$DF7+'Model Setup'!$D$7,SUMIF($BH$3:$CE$3,"="&amp;$DF7+'Model Setup'!$D$7,$AD7:$BA7)+'Model Setup'!$D$8*(SUMIF($BH$3:$CE$3,"&lt;"&amp;$DF7,$AD7:$BA7)+SUMIF($BH$3:$CE$3,"&gt;"&amp;$CW$4,$AD7:$BA7)),
IF(BI$3=$DF7+'Model Setup'!$E$7,SUMIF($BH$3:$CE$3,"="&amp;$DF7+'Model Setup'!$E$7,$AD7:$BA7)+'Model Setup'!$E$8*(SUMIF($BH$3:$CE$3,"&lt;"&amp;$DF7,$AD7:$BA7)+SUMIF($BH$3:$CE$3,"&gt;"&amp;$CW$4,$AD7:$BA7)),
IF(BI$3=$DF7+'Model Setup'!$F$7,SUMIF($BH$3:$CE$3,"="&amp;$DF7+'Model Setup'!$F$7,$AD7:$BA7)+'Model Setup'!$F$8*(SUMIF($BH$3:$CE$3,"&lt;"&amp;$DF7,$AD7:$BA7)+SUMIF($BH$3:$CE$3,"&gt;"&amp;$CW$4,$AD7:$BA7)),
IF(BI$3=$DF7+'Model Setup'!$G$7,SUMIF($BH$3:$CE$3,"="&amp;$DF7+'Model Setup'!$G$7,$AD7:$BA7)+'Model Setup'!$G$8*(SUMIF($BH$3:$CE$3,"&lt;"&amp;$DF7,$AD7:$BA7)+SUMIF($BH$3:$CE$3,"&gt;"&amp;$CW$4,$AD7:$BA7)),
IF(BI$3=$DF7+'Model Setup'!$H$7,SUMIF($BH$3:$CE$3,"="&amp;$DF7+'Model Setup'!$H$7,$AD7:$BA7)+'Model Setup'!$H$8*(SUMIF($BH$3:$CE$3,"&lt;"&amp;$DF7,$AD7:$BA7)+SUMIF($BH$3:$CE$3,"&gt;"&amp;$CW$4,$AD7:$BA7)),
IF(BI$3=$DF7+'Model Setup'!$I$7,SUMIF($BH$3:$CE$3,"="&amp;$DF7+'Model Setup'!$I$7,$AD7:$BA7)+'Model Setup'!$I$8*(SUMIF($BH$3:$CE$3,"&lt;"&amp;$DF7,$AD7:$BA7)+SUMIF($BH$3:$CE$3,"&gt;"&amp;$CW$4,$AD7:$BA7)),
IF(BI$3=$DF7+'Model Setup'!$J$7,SUMIF($BH$3:$CE$3,"="&amp;$DF7+'Model Setup'!$J$7,$AD7:$BA7)+'Model Setup'!$J$8*(SUMIF($BH$3:$CE$3,"&lt;"&amp;$DF7,$AD7:$BA7)+SUMIF($BH$3:$CE$3,"&gt;"&amp;$CW$4,$AD7:$BA7)),
IF(BI$3=$DF7+'Model Setup'!$K$7,SUMIF($BH$3:$CE$3,"="&amp;$DF7+'Model Setup'!$K$7,$AD7:$BA7)+'Model Setup'!$K$8*(SUMIF($BH$3:$CE$3,"&lt;"&amp;$DF7,$AD7:$BA7)+SUMIF($BH$3:$CE$3,"&gt;"&amp;$CW$4,$AD7:$BA7)),
IF(BI$3=$DF7+'Model Setup'!$L$7,SUMIF($BH$3:$CE$3,"="&amp;$DF7+'Model Setup'!$L$7,$AD7:$BA7)+'Model Setup'!$L$8*(SUMIF($BH$3:$CE$3,"&lt;"&amp;$DF7,$AD7:$BA7)+SUMIF($BH$3:$CE$3,"&gt;"&amp;$CW$4,$AD7:$BA7)),
IF(BI$3=$DF7+'Model Setup'!$M$7,SUMIF($BH$3:$CE$3,"="&amp;$DF7+'Model Setup'!$M$7,$AD7:$BA7)+'Model Setup'!$M$8*(SUMIF($BH$3:$CE$3,"&lt;"&amp;$DF7,$AD7:$BA7)+SUMIF($BH$3:$CE$3,"&gt;"&amp;$CW$4,$AD7:$BA7)),
IF(BI$3=$DF7+'Model Setup'!$N$7,SUMIF($BH$3:$CE$3,"="&amp;$DF7+'Model Setup'!$N$7,$AD7:$BA7)+'Model Setup'!$N$8*(SUMIF($BH$3:$CE$3,"&lt;"&amp;$DF7,$AD7:$BA7)+SUMIF($BH$3:$CE$3,"&gt;"&amp;$CW$4,$AD7:$BA7)),
IF(BI$3&lt;$CW$4,C7,0))))))))))))))),0)</f>
        <v>0</v>
      </c>
      <c r="BJ7" s="47">
        <f>ROUND(IF(OR(BJ$3&lt;$DF7,BJ$3&gt;$CW$4),0,
IF(BJ$3=$DF7+'Model Setup'!$B$7,SUMIF($BH$3:$CE$3,"="&amp;$DF7+'Model Setup'!$B$7,$AD7:$BA7)+'Model Setup'!$B$8*(SUMIF($BH$3:$CE$3,"&lt;"&amp;$DF7,$AD7:$BA7)+SUMIF($BH$3:$CE$3,"&gt;"&amp;$CW$4,$AD7:$BA7)),
IF(BJ$3=$DF7+'Model Setup'!$C$7,SUMIF($BH$3:$CE$3,"="&amp;$DF7+'Model Setup'!$C$7,$AD7:$BA7)+'Model Setup'!$C$8*(SUMIF($BH$3:$CE$3,"&lt;"&amp;$DF7,$AD7:$BA7)+SUMIF($BH$3:$CE$3,"&gt;"&amp;$CW$4,$AD7:$BA7)),
IF(BJ$3=$DF7+'Model Setup'!$D$7,SUMIF($BH$3:$CE$3,"="&amp;$DF7+'Model Setup'!$D$7,$AD7:$BA7)+'Model Setup'!$D$8*(SUMIF($BH$3:$CE$3,"&lt;"&amp;$DF7,$AD7:$BA7)+SUMIF($BH$3:$CE$3,"&gt;"&amp;$CW$4,$AD7:$BA7)),
IF(BJ$3=$DF7+'Model Setup'!$E$7,SUMIF($BH$3:$CE$3,"="&amp;$DF7+'Model Setup'!$E$7,$AD7:$BA7)+'Model Setup'!$E$8*(SUMIF($BH$3:$CE$3,"&lt;"&amp;$DF7,$AD7:$BA7)+SUMIF($BH$3:$CE$3,"&gt;"&amp;$CW$4,$AD7:$BA7)),
IF(BJ$3=$DF7+'Model Setup'!$F$7,SUMIF($BH$3:$CE$3,"="&amp;$DF7+'Model Setup'!$F$7,$AD7:$BA7)+'Model Setup'!$F$8*(SUMIF($BH$3:$CE$3,"&lt;"&amp;$DF7,$AD7:$BA7)+SUMIF($BH$3:$CE$3,"&gt;"&amp;$CW$4,$AD7:$BA7)),
IF(BJ$3=$DF7+'Model Setup'!$G$7,SUMIF($BH$3:$CE$3,"="&amp;$DF7+'Model Setup'!$G$7,$AD7:$BA7)+'Model Setup'!$G$8*(SUMIF($BH$3:$CE$3,"&lt;"&amp;$DF7,$AD7:$BA7)+SUMIF($BH$3:$CE$3,"&gt;"&amp;$CW$4,$AD7:$BA7)),
IF(BJ$3=$DF7+'Model Setup'!$H$7,SUMIF($BH$3:$CE$3,"="&amp;$DF7+'Model Setup'!$H$7,$AD7:$BA7)+'Model Setup'!$H$8*(SUMIF($BH$3:$CE$3,"&lt;"&amp;$DF7,$AD7:$BA7)+SUMIF($BH$3:$CE$3,"&gt;"&amp;$CW$4,$AD7:$BA7)),
IF(BJ$3=$DF7+'Model Setup'!$I$7,SUMIF($BH$3:$CE$3,"="&amp;$DF7+'Model Setup'!$I$7,$AD7:$BA7)+'Model Setup'!$I$8*(SUMIF($BH$3:$CE$3,"&lt;"&amp;$DF7,$AD7:$BA7)+SUMIF($BH$3:$CE$3,"&gt;"&amp;$CW$4,$AD7:$BA7)),
IF(BJ$3=$DF7+'Model Setup'!$J$7,SUMIF($BH$3:$CE$3,"="&amp;$DF7+'Model Setup'!$J$7,$AD7:$BA7)+'Model Setup'!$J$8*(SUMIF($BH$3:$CE$3,"&lt;"&amp;$DF7,$AD7:$BA7)+SUMIF($BH$3:$CE$3,"&gt;"&amp;$CW$4,$AD7:$BA7)),
IF(BJ$3=$DF7+'Model Setup'!$K$7,SUMIF($BH$3:$CE$3,"="&amp;$DF7+'Model Setup'!$K$7,$AD7:$BA7)+'Model Setup'!$K$8*(SUMIF($BH$3:$CE$3,"&lt;"&amp;$DF7,$AD7:$BA7)+SUMIF($BH$3:$CE$3,"&gt;"&amp;$CW$4,$AD7:$BA7)),
IF(BJ$3=$DF7+'Model Setup'!$L$7,SUMIF($BH$3:$CE$3,"="&amp;$DF7+'Model Setup'!$L$7,$AD7:$BA7)+'Model Setup'!$L$8*(SUMIF($BH$3:$CE$3,"&lt;"&amp;$DF7,$AD7:$BA7)+SUMIF($BH$3:$CE$3,"&gt;"&amp;$CW$4,$AD7:$BA7)),
IF(BJ$3=$DF7+'Model Setup'!$M$7,SUMIF($BH$3:$CE$3,"="&amp;$DF7+'Model Setup'!$M$7,$AD7:$BA7)+'Model Setup'!$M$8*(SUMIF($BH$3:$CE$3,"&lt;"&amp;$DF7,$AD7:$BA7)+SUMIF($BH$3:$CE$3,"&gt;"&amp;$CW$4,$AD7:$BA7)),
IF(BJ$3=$DF7+'Model Setup'!$N$7,SUMIF($BH$3:$CE$3,"="&amp;$DF7+'Model Setup'!$N$7,$AD7:$BA7)+'Model Setup'!$N$8*(SUMIF($BH$3:$CE$3,"&lt;"&amp;$DF7,$AD7:$BA7)+SUMIF($BH$3:$CE$3,"&gt;"&amp;$CW$4,$AD7:$BA7)),
IF(BJ$3&lt;$CW$4,D7,0))))))))))))))),0)</f>
        <v>0</v>
      </c>
      <c r="BK7" s="47">
        <f>ROUND(IF(OR(BK$3&lt;$DF7,BK$3&gt;$CW$4),0,
IF(BK$3=$DF7+'Model Setup'!$B$7,SUMIF($BH$3:$CE$3,"="&amp;$DF7+'Model Setup'!$B$7,$AD7:$BA7)+'Model Setup'!$B$8*(SUMIF($BH$3:$CE$3,"&lt;"&amp;$DF7,$AD7:$BA7)+SUMIF($BH$3:$CE$3,"&gt;"&amp;$CW$4,$AD7:$BA7)),
IF(BK$3=$DF7+'Model Setup'!$C$7,SUMIF($BH$3:$CE$3,"="&amp;$DF7+'Model Setup'!$C$7,$AD7:$BA7)+'Model Setup'!$C$8*(SUMIF($BH$3:$CE$3,"&lt;"&amp;$DF7,$AD7:$BA7)+SUMIF($BH$3:$CE$3,"&gt;"&amp;$CW$4,$AD7:$BA7)),
IF(BK$3=$DF7+'Model Setup'!$D$7,SUMIF($BH$3:$CE$3,"="&amp;$DF7+'Model Setup'!$D$7,$AD7:$BA7)+'Model Setup'!$D$8*(SUMIF($BH$3:$CE$3,"&lt;"&amp;$DF7,$AD7:$BA7)+SUMIF($BH$3:$CE$3,"&gt;"&amp;$CW$4,$AD7:$BA7)),
IF(BK$3=$DF7+'Model Setup'!$E$7,SUMIF($BH$3:$CE$3,"="&amp;$DF7+'Model Setup'!$E$7,$AD7:$BA7)+'Model Setup'!$E$8*(SUMIF($BH$3:$CE$3,"&lt;"&amp;$DF7,$AD7:$BA7)+SUMIF($BH$3:$CE$3,"&gt;"&amp;$CW$4,$AD7:$BA7)),
IF(BK$3=$DF7+'Model Setup'!$F$7,SUMIF($BH$3:$CE$3,"="&amp;$DF7+'Model Setup'!$F$7,$AD7:$BA7)+'Model Setup'!$F$8*(SUMIF($BH$3:$CE$3,"&lt;"&amp;$DF7,$AD7:$BA7)+SUMIF($BH$3:$CE$3,"&gt;"&amp;$CW$4,$AD7:$BA7)),
IF(BK$3=$DF7+'Model Setup'!$G$7,SUMIF($BH$3:$CE$3,"="&amp;$DF7+'Model Setup'!$G$7,$AD7:$BA7)+'Model Setup'!$G$8*(SUMIF($BH$3:$CE$3,"&lt;"&amp;$DF7,$AD7:$BA7)+SUMIF($BH$3:$CE$3,"&gt;"&amp;$CW$4,$AD7:$BA7)),
IF(BK$3=$DF7+'Model Setup'!$H$7,SUMIF($BH$3:$CE$3,"="&amp;$DF7+'Model Setup'!$H$7,$AD7:$BA7)+'Model Setup'!$H$8*(SUMIF($BH$3:$CE$3,"&lt;"&amp;$DF7,$AD7:$BA7)+SUMIF($BH$3:$CE$3,"&gt;"&amp;$CW$4,$AD7:$BA7)),
IF(BK$3=$DF7+'Model Setup'!$I$7,SUMIF($BH$3:$CE$3,"="&amp;$DF7+'Model Setup'!$I$7,$AD7:$BA7)+'Model Setup'!$I$8*(SUMIF($BH$3:$CE$3,"&lt;"&amp;$DF7,$AD7:$BA7)+SUMIF($BH$3:$CE$3,"&gt;"&amp;$CW$4,$AD7:$BA7)),
IF(BK$3=$DF7+'Model Setup'!$J$7,SUMIF($BH$3:$CE$3,"="&amp;$DF7+'Model Setup'!$J$7,$AD7:$BA7)+'Model Setup'!$J$8*(SUMIF($BH$3:$CE$3,"&lt;"&amp;$DF7,$AD7:$BA7)+SUMIF($BH$3:$CE$3,"&gt;"&amp;$CW$4,$AD7:$BA7)),
IF(BK$3=$DF7+'Model Setup'!$K$7,SUMIF($BH$3:$CE$3,"="&amp;$DF7+'Model Setup'!$K$7,$AD7:$BA7)+'Model Setup'!$K$8*(SUMIF($BH$3:$CE$3,"&lt;"&amp;$DF7,$AD7:$BA7)+SUMIF($BH$3:$CE$3,"&gt;"&amp;$CW$4,$AD7:$BA7)),
IF(BK$3=$DF7+'Model Setup'!$L$7,SUMIF($BH$3:$CE$3,"="&amp;$DF7+'Model Setup'!$L$7,$AD7:$BA7)+'Model Setup'!$L$8*(SUMIF($BH$3:$CE$3,"&lt;"&amp;$DF7,$AD7:$BA7)+SUMIF($BH$3:$CE$3,"&gt;"&amp;$CW$4,$AD7:$BA7)),
IF(BK$3=$DF7+'Model Setup'!$M$7,SUMIF($BH$3:$CE$3,"="&amp;$DF7+'Model Setup'!$M$7,$AD7:$BA7)+'Model Setup'!$M$8*(SUMIF($BH$3:$CE$3,"&lt;"&amp;$DF7,$AD7:$BA7)+SUMIF($BH$3:$CE$3,"&gt;"&amp;$CW$4,$AD7:$BA7)),
IF(BK$3=$DF7+'Model Setup'!$N$7,SUMIF($BH$3:$CE$3,"="&amp;$DF7+'Model Setup'!$N$7,$AD7:$BA7)+'Model Setup'!$N$8*(SUMIF($BH$3:$CE$3,"&lt;"&amp;$DF7,$AD7:$BA7)+SUMIF($BH$3:$CE$3,"&gt;"&amp;$CW$4,$AD7:$BA7)),
IF(BK$3&lt;$CW$4,E7,0))))))))))))))),0)</f>
        <v>0</v>
      </c>
      <c r="BL7" s="47">
        <f>ROUND(IF(OR(BL$3&lt;$DF7,BL$3&gt;$CW$4),0,
IF(BL$3=$DF7+'Model Setup'!$B$7,SUMIF($BH$3:$CE$3,"="&amp;$DF7+'Model Setup'!$B$7,$AD7:$BA7)+'Model Setup'!$B$8*(SUMIF($BH$3:$CE$3,"&lt;"&amp;$DF7,$AD7:$BA7)+SUMIF($BH$3:$CE$3,"&gt;"&amp;$CW$4,$AD7:$BA7)),
IF(BL$3=$DF7+'Model Setup'!$C$7,SUMIF($BH$3:$CE$3,"="&amp;$DF7+'Model Setup'!$C$7,$AD7:$BA7)+'Model Setup'!$C$8*(SUMIF($BH$3:$CE$3,"&lt;"&amp;$DF7,$AD7:$BA7)+SUMIF($BH$3:$CE$3,"&gt;"&amp;$CW$4,$AD7:$BA7)),
IF(BL$3=$DF7+'Model Setup'!$D$7,SUMIF($BH$3:$CE$3,"="&amp;$DF7+'Model Setup'!$D$7,$AD7:$BA7)+'Model Setup'!$D$8*(SUMIF($BH$3:$CE$3,"&lt;"&amp;$DF7,$AD7:$BA7)+SUMIF($BH$3:$CE$3,"&gt;"&amp;$CW$4,$AD7:$BA7)),
IF(BL$3=$DF7+'Model Setup'!$E$7,SUMIF($BH$3:$CE$3,"="&amp;$DF7+'Model Setup'!$E$7,$AD7:$BA7)+'Model Setup'!$E$8*(SUMIF($BH$3:$CE$3,"&lt;"&amp;$DF7,$AD7:$BA7)+SUMIF($BH$3:$CE$3,"&gt;"&amp;$CW$4,$AD7:$BA7)),
IF(BL$3=$DF7+'Model Setup'!$F$7,SUMIF($BH$3:$CE$3,"="&amp;$DF7+'Model Setup'!$F$7,$AD7:$BA7)+'Model Setup'!$F$8*(SUMIF($BH$3:$CE$3,"&lt;"&amp;$DF7,$AD7:$BA7)+SUMIF($BH$3:$CE$3,"&gt;"&amp;$CW$4,$AD7:$BA7)),
IF(BL$3=$DF7+'Model Setup'!$G$7,SUMIF($BH$3:$CE$3,"="&amp;$DF7+'Model Setup'!$G$7,$AD7:$BA7)+'Model Setup'!$G$8*(SUMIF($BH$3:$CE$3,"&lt;"&amp;$DF7,$AD7:$BA7)+SUMIF($BH$3:$CE$3,"&gt;"&amp;$CW$4,$AD7:$BA7)),
IF(BL$3=$DF7+'Model Setup'!$H$7,SUMIF($BH$3:$CE$3,"="&amp;$DF7+'Model Setup'!$H$7,$AD7:$BA7)+'Model Setup'!$H$8*(SUMIF($BH$3:$CE$3,"&lt;"&amp;$DF7,$AD7:$BA7)+SUMIF($BH$3:$CE$3,"&gt;"&amp;$CW$4,$AD7:$BA7)),
IF(BL$3=$DF7+'Model Setup'!$I$7,SUMIF($BH$3:$CE$3,"="&amp;$DF7+'Model Setup'!$I$7,$AD7:$BA7)+'Model Setup'!$I$8*(SUMIF($BH$3:$CE$3,"&lt;"&amp;$DF7,$AD7:$BA7)+SUMIF($BH$3:$CE$3,"&gt;"&amp;$CW$4,$AD7:$BA7)),
IF(BL$3=$DF7+'Model Setup'!$J$7,SUMIF($BH$3:$CE$3,"="&amp;$DF7+'Model Setup'!$J$7,$AD7:$BA7)+'Model Setup'!$J$8*(SUMIF($BH$3:$CE$3,"&lt;"&amp;$DF7,$AD7:$BA7)+SUMIF($BH$3:$CE$3,"&gt;"&amp;$CW$4,$AD7:$BA7)),
IF(BL$3=$DF7+'Model Setup'!$K$7,SUMIF($BH$3:$CE$3,"="&amp;$DF7+'Model Setup'!$K$7,$AD7:$BA7)+'Model Setup'!$K$8*(SUMIF($BH$3:$CE$3,"&lt;"&amp;$DF7,$AD7:$BA7)+SUMIF($BH$3:$CE$3,"&gt;"&amp;$CW$4,$AD7:$BA7)),
IF(BL$3=$DF7+'Model Setup'!$L$7,SUMIF($BH$3:$CE$3,"="&amp;$DF7+'Model Setup'!$L$7,$AD7:$BA7)+'Model Setup'!$L$8*(SUMIF($BH$3:$CE$3,"&lt;"&amp;$DF7,$AD7:$BA7)+SUMIF($BH$3:$CE$3,"&gt;"&amp;$CW$4,$AD7:$BA7)),
IF(BL$3=$DF7+'Model Setup'!$M$7,SUMIF($BH$3:$CE$3,"="&amp;$DF7+'Model Setup'!$M$7,$AD7:$BA7)+'Model Setup'!$M$8*(SUMIF($BH$3:$CE$3,"&lt;"&amp;$DF7,$AD7:$BA7)+SUMIF($BH$3:$CE$3,"&gt;"&amp;$CW$4,$AD7:$BA7)),
IF(BL$3=$DF7+'Model Setup'!$N$7,SUMIF($BH$3:$CE$3,"="&amp;$DF7+'Model Setup'!$N$7,$AD7:$BA7)+'Model Setup'!$N$8*(SUMIF($BH$3:$CE$3,"&lt;"&amp;$DF7,$AD7:$BA7)+SUMIF($BH$3:$CE$3,"&gt;"&amp;$CW$4,$AD7:$BA7)),
IF(BL$3&lt;$CW$4,F7,0))))))))))))))),0)</f>
        <v>0</v>
      </c>
      <c r="BM7" s="47">
        <f>ROUND(IF(OR(BM$3&lt;$DF7,BM$3&gt;$CW$4),0,
IF(BM$3=$DF7+'Model Setup'!$B$7,SUMIF($BH$3:$CE$3,"="&amp;$DF7+'Model Setup'!$B$7,$AD7:$BA7)+'Model Setup'!$B$8*(SUMIF($BH$3:$CE$3,"&lt;"&amp;$DF7,$AD7:$BA7)+SUMIF($BH$3:$CE$3,"&gt;"&amp;$CW$4,$AD7:$BA7)),
IF(BM$3=$DF7+'Model Setup'!$C$7,SUMIF($BH$3:$CE$3,"="&amp;$DF7+'Model Setup'!$C$7,$AD7:$BA7)+'Model Setup'!$C$8*(SUMIF($BH$3:$CE$3,"&lt;"&amp;$DF7,$AD7:$BA7)+SUMIF($BH$3:$CE$3,"&gt;"&amp;$CW$4,$AD7:$BA7)),
IF(BM$3=$DF7+'Model Setup'!$D$7,SUMIF($BH$3:$CE$3,"="&amp;$DF7+'Model Setup'!$D$7,$AD7:$BA7)+'Model Setup'!$D$8*(SUMIF($BH$3:$CE$3,"&lt;"&amp;$DF7,$AD7:$BA7)+SUMIF($BH$3:$CE$3,"&gt;"&amp;$CW$4,$AD7:$BA7)),
IF(BM$3=$DF7+'Model Setup'!$E$7,SUMIF($BH$3:$CE$3,"="&amp;$DF7+'Model Setup'!$E$7,$AD7:$BA7)+'Model Setup'!$E$8*(SUMIF($BH$3:$CE$3,"&lt;"&amp;$DF7,$AD7:$BA7)+SUMIF($BH$3:$CE$3,"&gt;"&amp;$CW$4,$AD7:$BA7)),
IF(BM$3=$DF7+'Model Setup'!$F$7,SUMIF($BH$3:$CE$3,"="&amp;$DF7+'Model Setup'!$F$7,$AD7:$BA7)+'Model Setup'!$F$8*(SUMIF($BH$3:$CE$3,"&lt;"&amp;$DF7,$AD7:$BA7)+SUMIF($BH$3:$CE$3,"&gt;"&amp;$CW$4,$AD7:$BA7)),
IF(BM$3=$DF7+'Model Setup'!$G$7,SUMIF($BH$3:$CE$3,"="&amp;$DF7+'Model Setup'!$G$7,$AD7:$BA7)+'Model Setup'!$G$8*(SUMIF($BH$3:$CE$3,"&lt;"&amp;$DF7,$AD7:$BA7)+SUMIF($BH$3:$CE$3,"&gt;"&amp;$CW$4,$AD7:$BA7)),
IF(BM$3=$DF7+'Model Setup'!$H$7,SUMIF($BH$3:$CE$3,"="&amp;$DF7+'Model Setup'!$H$7,$AD7:$BA7)+'Model Setup'!$H$8*(SUMIF($BH$3:$CE$3,"&lt;"&amp;$DF7,$AD7:$BA7)+SUMIF($BH$3:$CE$3,"&gt;"&amp;$CW$4,$AD7:$BA7)),
IF(BM$3=$DF7+'Model Setup'!$I$7,SUMIF($BH$3:$CE$3,"="&amp;$DF7+'Model Setup'!$I$7,$AD7:$BA7)+'Model Setup'!$I$8*(SUMIF($BH$3:$CE$3,"&lt;"&amp;$DF7,$AD7:$BA7)+SUMIF($BH$3:$CE$3,"&gt;"&amp;$CW$4,$AD7:$BA7)),
IF(BM$3=$DF7+'Model Setup'!$J$7,SUMIF($BH$3:$CE$3,"="&amp;$DF7+'Model Setup'!$J$7,$AD7:$BA7)+'Model Setup'!$J$8*(SUMIF($BH$3:$CE$3,"&lt;"&amp;$DF7,$AD7:$BA7)+SUMIF($BH$3:$CE$3,"&gt;"&amp;$CW$4,$AD7:$BA7)),
IF(BM$3=$DF7+'Model Setup'!$K$7,SUMIF($BH$3:$CE$3,"="&amp;$DF7+'Model Setup'!$K$7,$AD7:$BA7)+'Model Setup'!$K$8*(SUMIF($BH$3:$CE$3,"&lt;"&amp;$DF7,$AD7:$BA7)+SUMIF($BH$3:$CE$3,"&gt;"&amp;$CW$4,$AD7:$BA7)),
IF(BM$3=$DF7+'Model Setup'!$L$7,SUMIF($BH$3:$CE$3,"="&amp;$DF7+'Model Setup'!$L$7,$AD7:$BA7)+'Model Setup'!$L$8*(SUMIF($BH$3:$CE$3,"&lt;"&amp;$DF7,$AD7:$BA7)+SUMIF($BH$3:$CE$3,"&gt;"&amp;$CW$4,$AD7:$BA7)),
IF(BM$3=$DF7+'Model Setup'!$M$7,SUMIF($BH$3:$CE$3,"="&amp;$DF7+'Model Setup'!$M$7,$AD7:$BA7)+'Model Setup'!$M$8*(SUMIF($BH$3:$CE$3,"&lt;"&amp;$DF7,$AD7:$BA7)+SUMIF($BH$3:$CE$3,"&gt;"&amp;$CW$4,$AD7:$BA7)),
IF(BM$3=$DF7+'Model Setup'!$N$7,SUMIF($BH$3:$CE$3,"="&amp;$DF7+'Model Setup'!$N$7,$AD7:$BA7)+'Model Setup'!$N$8*(SUMIF($BH$3:$CE$3,"&lt;"&amp;$DF7,$AD7:$BA7)+SUMIF($BH$3:$CE$3,"&gt;"&amp;$CW$4,$AD7:$BA7)),
IF(BM$3&lt;$CW$4,G7,0))))))))))))))),0)</f>
        <v>0</v>
      </c>
      <c r="BN7" s="47">
        <f>ROUND(IF(OR(BN$3&lt;$DF7,BN$3&gt;$CW$4),0,
IF(BN$3=$DF7+'Model Setup'!$B$7,SUMIF($BH$3:$CE$3,"="&amp;$DF7+'Model Setup'!$B$7,$AD7:$BA7)+'Model Setup'!$B$8*(SUMIF($BH$3:$CE$3,"&lt;"&amp;$DF7,$AD7:$BA7)+SUMIF($BH$3:$CE$3,"&gt;"&amp;$CW$4,$AD7:$BA7)),
IF(BN$3=$DF7+'Model Setup'!$C$7,SUMIF($BH$3:$CE$3,"="&amp;$DF7+'Model Setup'!$C$7,$AD7:$BA7)+'Model Setup'!$C$8*(SUMIF($BH$3:$CE$3,"&lt;"&amp;$DF7,$AD7:$BA7)+SUMIF($BH$3:$CE$3,"&gt;"&amp;$CW$4,$AD7:$BA7)),
IF(BN$3=$DF7+'Model Setup'!$D$7,SUMIF($BH$3:$CE$3,"="&amp;$DF7+'Model Setup'!$D$7,$AD7:$BA7)+'Model Setup'!$D$8*(SUMIF($BH$3:$CE$3,"&lt;"&amp;$DF7,$AD7:$BA7)+SUMIF($BH$3:$CE$3,"&gt;"&amp;$CW$4,$AD7:$BA7)),
IF(BN$3=$DF7+'Model Setup'!$E$7,SUMIF($BH$3:$CE$3,"="&amp;$DF7+'Model Setup'!$E$7,$AD7:$BA7)+'Model Setup'!$E$8*(SUMIF($BH$3:$CE$3,"&lt;"&amp;$DF7,$AD7:$BA7)+SUMIF($BH$3:$CE$3,"&gt;"&amp;$CW$4,$AD7:$BA7)),
IF(BN$3=$DF7+'Model Setup'!$F$7,SUMIF($BH$3:$CE$3,"="&amp;$DF7+'Model Setup'!$F$7,$AD7:$BA7)+'Model Setup'!$F$8*(SUMIF($BH$3:$CE$3,"&lt;"&amp;$DF7,$AD7:$BA7)+SUMIF($BH$3:$CE$3,"&gt;"&amp;$CW$4,$AD7:$BA7)),
IF(BN$3=$DF7+'Model Setup'!$G$7,SUMIF($BH$3:$CE$3,"="&amp;$DF7+'Model Setup'!$G$7,$AD7:$BA7)+'Model Setup'!$G$8*(SUMIF($BH$3:$CE$3,"&lt;"&amp;$DF7,$AD7:$BA7)+SUMIF($BH$3:$CE$3,"&gt;"&amp;$CW$4,$AD7:$BA7)),
IF(BN$3=$DF7+'Model Setup'!$H$7,SUMIF($BH$3:$CE$3,"="&amp;$DF7+'Model Setup'!$H$7,$AD7:$BA7)+'Model Setup'!$H$8*(SUMIF($BH$3:$CE$3,"&lt;"&amp;$DF7,$AD7:$BA7)+SUMIF($BH$3:$CE$3,"&gt;"&amp;$CW$4,$AD7:$BA7)),
IF(BN$3=$DF7+'Model Setup'!$I$7,SUMIF($BH$3:$CE$3,"="&amp;$DF7+'Model Setup'!$I$7,$AD7:$BA7)+'Model Setup'!$I$8*(SUMIF($BH$3:$CE$3,"&lt;"&amp;$DF7,$AD7:$BA7)+SUMIF($BH$3:$CE$3,"&gt;"&amp;$CW$4,$AD7:$BA7)),
IF(BN$3=$DF7+'Model Setup'!$J$7,SUMIF($BH$3:$CE$3,"="&amp;$DF7+'Model Setup'!$J$7,$AD7:$BA7)+'Model Setup'!$J$8*(SUMIF($BH$3:$CE$3,"&lt;"&amp;$DF7,$AD7:$BA7)+SUMIF($BH$3:$CE$3,"&gt;"&amp;$CW$4,$AD7:$BA7)),
IF(BN$3=$DF7+'Model Setup'!$K$7,SUMIF($BH$3:$CE$3,"="&amp;$DF7+'Model Setup'!$K$7,$AD7:$BA7)+'Model Setup'!$K$8*(SUMIF($BH$3:$CE$3,"&lt;"&amp;$DF7,$AD7:$BA7)+SUMIF($BH$3:$CE$3,"&gt;"&amp;$CW$4,$AD7:$BA7)),
IF(BN$3=$DF7+'Model Setup'!$L$7,SUMIF($BH$3:$CE$3,"="&amp;$DF7+'Model Setup'!$L$7,$AD7:$BA7)+'Model Setup'!$L$8*(SUMIF($BH$3:$CE$3,"&lt;"&amp;$DF7,$AD7:$BA7)+SUMIF($BH$3:$CE$3,"&gt;"&amp;$CW$4,$AD7:$BA7)),
IF(BN$3=$DF7+'Model Setup'!$M$7,SUMIF($BH$3:$CE$3,"="&amp;$DF7+'Model Setup'!$M$7,$AD7:$BA7)+'Model Setup'!$M$8*(SUMIF($BH$3:$CE$3,"&lt;"&amp;$DF7,$AD7:$BA7)+SUMIF($BH$3:$CE$3,"&gt;"&amp;$CW$4,$AD7:$BA7)),
IF(BN$3=$DF7+'Model Setup'!$N$7,SUMIF($BH$3:$CE$3,"="&amp;$DF7+'Model Setup'!$N$7,$AD7:$BA7)+'Model Setup'!$N$8*(SUMIF($BH$3:$CE$3,"&lt;"&amp;$DF7,$AD7:$BA7)+SUMIF($BH$3:$CE$3,"&gt;"&amp;$CW$4,$AD7:$BA7)),
IF(BN$3&lt;$CW$4,H7,0))))))))))))))),0)</f>
        <v>30</v>
      </c>
      <c r="BO7" s="47">
        <f>ROUND(IF(OR(BO$3&lt;$DF7,BO$3&gt;$CW$4),0,
IF(BO$3=$DF7+'Model Setup'!$B$7,SUMIF($BH$3:$CE$3,"="&amp;$DF7+'Model Setup'!$B$7,$AD7:$BA7)+'Model Setup'!$B$8*(SUMIF($BH$3:$CE$3,"&lt;"&amp;$DF7,$AD7:$BA7)+SUMIF($BH$3:$CE$3,"&gt;"&amp;$CW$4,$AD7:$BA7)),
IF(BO$3=$DF7+'Model Setup'!$C$7,SUMIF($BH$3:$CE$3,"="&amp;$DF7+'Model Setup'!$C$7,$AD7:$BA7)+'Model Setup'!$C$8*(SUMIF($BH$3:$CE$3,"&lt;"&amp;$DF7,$AD7:$BA7)+SUMIF($BH$3:$CE$3,"&gt;"&amp;$CW$4,$AD7:$BA7)),
IF(BO$3=$DF7+'Model Setup'!$D$7,SUMIF($BH$3:$CE$3,"="&amp;$DF7+'Model Setup'!$D$7,$AD7:$BA7)+'Model Setup'!$D$8*(SUMIF($BH$3:$CE$3,"&lt;"&amp;$DF7,$AD7:$BA7)+SUMIF($BH$3:$CE$3,"&gt;"&amp;$CW$4,$AD7:$BA7)),
IF(BO$3=$DF7+'Model Setup'!$E$7,SUMIF($BH$3:$CE$3,"="&amp;$DF7+'Model Setup'!$E$7,$AD7:$BA7)+'Model Setup'!$E$8*(SUMIF($BH$3:$CE$3,"&lt;"&amp;$DF7,$AD7:$BA7)+SUMIF($BH$3:$CE$3,"&gt;"&amp;$CW$4,$AD7:$BA7)),
IF(BO$3=$DF7+'Model Setup'!$F$7,SUMIF($BH$3:$CE$3,"="&amp;$DF7+'Model Setup'!$F$7,$AD7:$BA7)+'Model Setup'!$F$8*(SUMIF($BH$3:$CE$3,"&lt;"&amp;$DF7,$AD7:$BA7)+SUMIF($BH$3:$CE$3,"&gt;"&amp;$CW$4,$AD7:$BA7)),
IF(BO$3=$DF7+'Model Setup'!$G$7,SUMIF($BH$3:$CE$3,"="&amp;$DF7+'Model Setup'!$G$7,$AD7:$BA7)+'Model Setup'!$G$8*(SUMIF($BH$3:$CE$3,"&lt;"&amp;$DF7,$AD7:$BA7)+SUMIF($BH$3:$CE$3,"&gt;"&amp;$CW$4,$AD7:$BA7)),
IF(BO$3=$DF7+'Model Setup'!$H$7,SUMIF($BH$3:$CE$3,"="&amp;$DF7+'Model Setup'!$H$7,$AD7:$BA7)+'Model Setup'!$H$8*(SUMIF($BH$3:$CE$3,"&lt;"&amp;$DF7,$AD7:$BA7)+SUMIF($BH$3:$CE$3,"&gt;"&amp;$CW$4,$AD7:$BA7)),
IF(BO$3=$DF7+'Model Setup'!$I$7,SUMIF($BH$3:$CE$3,"="&amp;$DF7+'Model Setup'!$I$7,$AD7:$BA7)+'Model Setup'!$I$8*(SUMIF($BH$3:$CE$3,"&lt;"&amp;$DF7,$AD7:$BA7)+SUMIF($BH$3:$CE$3,"&gt;"&amp;$CW$4,$AD7:$BA7)),
IF(BO$3=$DF7+'Model Setup'!$J$7,SUMIF($BH$3:$CE$3,"="&amp;$DF7+'Model Setup'!$J$7,$AD7:$BA7)+'Model Setup'!$J$8*(SUMIF($BH$3:$CE$3,"&lt;"&amp;$DF7,$AD7:$BA7)+SUMIF($BH$3:$CE$3,"&gt;"&amp;$CW$4,$AD7:$BA7)),
IF(BO$3=$DF7+'Model Setup'!$K$7,SUMIF($BH$3:$CE$3,"="&amp;$DF7+'Model Setup'!$K$7,$AD7:$BA7)+'Model Setup'!$K$8*(SUMIF($BH$3:$CE$3,"&lt;"&amp;$DF7,$AD7:$BA7)+SUMIF($BH$3:$CE$3,"&gt;"&amp;$CW$4,$AD7:$BA7)),
IF(BO$3=$DF7+'Model Setup'!$L$7,SUMIF($BH$3:$CE$3,"="&amp;$DF7+'Model Setup'!$L$7,$AD7:$BA7)+'Model Setup'!$L$8*(SUMIF($BH$3:$CE$3,"&lt;"&amp;$DF7,$AD7:$BA7)+SUMIF($BH$3:$CE$3,"&gt;"&amp;$CW$4,$AD7:$BA7)),
IF(BO$3=$DF7+'Model Setup'!$M$7,SUMIF($BH$3:$CE$3,"="&amp;$DF7+'Model Setup'!$M$7,$AD7:$BA7)+'Model Setup'!$M$8*(SUMIF($BH$3:$CE$3,"&lt;"&amp;$DF7,$AD7:$BA7)+SUMIF($BH$3:$CE$3,"&gt;"&amp;$CW$4,$AD7:$BA7)),
IF(BO$3=$DF7+'Model Setup'!$N$7,SUMIF($BH$3:$CE$3,"="&amp;$DF7+'Model Setup'!$N$7,$AD7:$BA7)+'Model Setup'!$N$8*(SUMIF($BH$3:$CE$3,"&lt;"&amp;$DF7,$AD7:$BA7)+SUMIF($BH$3:$CE$3,"&gt;"&amp;$CW$4,$AD7:$BA7)),
IF(BO$3&lt;$CW$4,I7,0))))))))))))))),0)</f>
        <v>35</v>
      </c>
      <c r="BP7" s="47">
        <f>ROUND(IF(OR(BP$3&lt;$DF7,BP$3&gt;$CW$4),0,
IF(BP$3=$DF7+'Model Setup'!$B$7,SUMIF($BH$3:$CE$3,"="&amp;$DF7+'Model Setup'!$B$7,$AD7:$BA7)+'Model Setup'!$B$8*(SUMIF($BH$3:$CE$3,"&lt;"&amp;$DF7,$AD7:$BA7)+SUMIF($BH$3:$CE$3,"&gt;"&amp;$CW$4,$AD7:$BA7)),
IF(BP$3=$DF7+'Model Setup'!$C$7,SUMIF($BH$3:$CE$3,"="&amp;$DF7+'Model Setup'!$C$7,$AD7:$BA7)+'Model Setup'!$C$8*(SUMIF($BH$3:$CE$3,"&lt;"&amp;$DF7,$AD7:$BA7)+SUMIF($BH$3:$CE$3,"&gt;"&amp;$CW$4,$AD7:$BA7)),
IF(BP$3=$DF7+'Model Setup'!$D$7,SUMIF($BH$3:$CE$3,"="&amp;$DF7+'Model Setup'!$D$7,$AD7:$BA7)+'Model Setup'!$D$8*(SUMIF($BH$3:$CE$3,"&lt;"&amp;$DF7,$AD7:$BA7)+SUMIF($BH$3:$CE$3,"&gt;"&amp;$CW$4,$AD7:$BA7)),
IF(BP$3=$DF7+'Model Setup'!$E$7,SUMIF($BH$3:$CE$3,"="&amp;$DF7+'Model Setup'!$E$7,$AD7:$BA7)+'Model Setup'!$E$8*(SUMIF($BH$3:$CE$3,"&lt;"&amp;$DF7,$AD7:$BA7)+SUMIF($BH$3:$CE$3,"&gt;"&amp;$CW$4,$AD7:$BA7)),
IF(BP$3=$DF7+'Model Setup'!$F$7,SUMIF($BH$3:$CE$3,"="&amp;$DF7+'Model Setup'!$F$7,$AD7:$BA7)+'Model Setup'!$F$8*(SUMIF($BH$3:$CE$3,"&lt;"&amp;$DF7,$AD7:$BA7)+SUMIF($BH$3:$CE$3,"&gt;"&amp;$CW$4,$AD7:$BA7)),
IF(BP$3=$DF7+'Model Setup'!$G$7,SUMIF($BH$3:$CE$3,"="&amp;$DF7+'Model Setup'!$G$7,$AD7:$BA7)+'Model Setup'!$G$8*(SUMIF($BH$3:$CE$3,"&lt;"&amp;$DF7,$AD7:$BA7)+SUMIF($BH$3:$CE$3,"&gt;"&amp;$CW$4,$AD7:$BA7)),
IF(BP$3=$DF7+'Model Setup'!$H$7,SUMIF($BH$3:$CE$3,"="&amp;$DF7+'Model Setup'!$H$7,$AD7:$BA7)+'Model Setup'!$H$8*(SUMIF($BH$3:$CE$3,"&lt;"&amp;$DF7,$AD7:$BA7)+SUMIF($BH$3:$CE$3,"&gt;"&amp;$CW$4,$AD7:$BA7)),
IF(BP$3=$DF7+'Model Setup'!$I$7,SUMIF($BH$3:$CE$3,"="&amp;$DF7+'Model Setup'!$I$7,$AD7:$BA7)+'Model Setup'!$I$8*(SUMIF($BH$3:$CE$3,"&lt;"&amp;$DF7,$AD7:$BA7)+SUMIF($BH$3:$CE$3,"&gt;"&amp;$CW$4,$AD7:$BA7)),
IF(BP$3=$DF7+'Model Setup'!$J$7,SUMIF($BH$3:$CE$3,"="&amp;$DF7+'Model Setup'!$J$7,$AD7:$BA7)+'Model Setup'!$J$8*(SUMIF($BH$3:$CE$3,"&lt;"&amp;$DF7,$AD7:$BA7)+SUMIF($BH$3:$CE$3,"&gt;"&amp;$CW$4,$AD7:$BA7)),
IF(BP$3=$DF7+'Model Setup'!$K$7,SUMIF($BH$3:$CE$3,"="&amp;$DF7+'Model Setup'!$K$7,$AD7:$BA7)+'Model Setup'!$K$8*(SUMIF($BH$3:$CE$3,"&lt;"&amp;$DF7,$AD7:$BA7)+SUMIF($BH$3:$CE$3,"&gt;"&amp;$CW$4,$AD7:$BA7)),
IF(BP$3=$DF7+'Model Setup'!$L$7,SUMIF($BH$3:$CE$3,"="&amp;$DF7+'Model Setup'!$L$7,$AD7:$BA7)+'Model Setup'!$L$8*(SUMIF($BH$3:$CE$3,"&lt;"&amp;$DF7,$AD7:$BA7)+SUMIF($BH$3:$CE$3,"&gt;"&amp;$CW$4,$AD7:$BA7)),
IF(BP$3=$DF7+'Model Setup'!$M$7,SUMIF($BH$3:$CE$3,"="&amp;$DF7+'Model Setup'!$M$7,$AD7:$BA7)+'Model Setup'!$M$8*(SUMIF($BH$3:$CE$3,"&lt;"&amp;$DF7,$AD7:$BA7)+SUMIF($BH$3:$CE$3,"&gt;"&amp;$CW$4,$AD7:$BA7)),
IF(BP$3=$DF7+'Model Setup'!$N$7,SUMIF($BH$3:$CE$3,"="&amp;$DF7+'Model Setup'!$N$7,$AD7:$BA7)+'Model Setup'!$N$8*(SUMIF($BH$3:$CE$3,"&lt;"&amp;$DF7,$AD7:$BA7)+SUMIF($BH$3:$CE$3,"&gt;"&amp;$CW$4,$AD7:$BA7)),
IF(BP$3&lt;$CW$4,J7,0))))))))))))))),0)</f>
        <v>46</v>
      </c>
      <c r="BQ7" s="47">
        <f>ROUND(IF(OR(BQ$3&lt;$DF7,BQ$3&gt;$CW$4),0,
IF(BQ$3=$DF7+'Model Setup'!$B$7,SUMIF($BH$3:$CE$3,"="&amp;$DF7+'Model Setup'!$B$7,$AD7:$BA7)+'Model Setup'!$B$8*(SUMIF($BH$3:$CE$3,"&lt;"&amp;$DF7,$AD7:$BA7)+SUMIF($BH$3:$CE$3,"&gt;"&amp;$CW$4,$AD7:$BA7)),
IF(BQ$3=$DF7+'Model Setup'!$C$7,SUMIF($BH$3:$CE$3,"="&amp;$DF7+'Model Setup'!$C$7,$AD7:$BA7)+'Model Setup'!$C$8*(SUMIF($BH$3:$CE$3,"&lt;"&amp;$DF7,$AD7:$BA7)+SUMIF($BH$3:$CE$3,"&gt;"&amp;$CW$4,$AD7:$BA7)),
IF(BQ$3=$DF7+'Model Setup'!$D$7,SUMIF($BH$3:$CE$3,"="&amp;$DF7+'Model Setup'!$D$7,$AD7:$BA7)+'Model Setup'!$D$8*(SUMIF($BH$3:$CE$3,"&lt;"&amp;$DF7,$AD7:$BA7)+SUMIF($BH$3:$CE$3,"&gt;"&amp;$CW$4,$AD7:$BA7)),
IF(BQ$3=$DF7+'Model Setup'!$E$7,SUMIF($BH$3:$CE$3,"="&amp;$DF7+'Model Setup'!$E$7,$AD7:$BA7)+'Model Setup'!$E$8*(SUMIF($BH$3:$CE$3,"&lt;"&amp;$DF7,$AD7:$BA7)+SUMIF($BH$3:$CE$3,"&gt;"&amp;$CW$4,$AD7:$BA7)),
IF(BQ$3=$DF7+'Model Setup'!$F$7,SUMIF($BH$3:$CE$3,"="&amp;$DF7+'Model Setup'!$F$7,$AD7:$BA7)+'Model Setup'!$F$8*(SUMIF($BH$3:$CE$3,"&lt;"&amp;$DF7,$AD7:$BA7)+SUMIF($BH$3:$CE$3,"&gt;"&amp;$CW$4,$AD7:$BA7)),
IF(BQ$3=$DF7+'Model Setup'!$G$7,SUMIF($BH$3:$CE$3,"="&amp;$DF7+'Model Setup'!$G$7,$AD7:$BA7)+'Model Setup'!$G$8*(SUMIF($BH$3:$CE$3,"&lt;"&amp;$DF7,$AD7:$BA7)+SUMIF($BH$3:$CE$3,"&gt;"&amp;$CW$4,$AD7:$BA7)),
IF(BQ$3=$DF7+'Model Setup'!$H$7,SUMIF($BH$3:$CE$3,"="&amp;$DF7+'Model Setup'!$H$7,$AD7:$BA7)+'Model Setup'!$H$8*(SUMIF($BH$3:$CE$3,"&lt;"&amp;$DF7,$AD7:$BA7)+SUMIF($BH$3:$CE$3,"&gt;"&amp;$CW$4,$AD7:$BA7)),
IF(BQ$3=$DF7+'Model Setup'!$I$7,SUMIF($BH$3:$CE$3,"="&amp;$DF7+'Model Setup'!$I$7,$AD7:$BA7)+'Model Setup'!$I$8*(SUMIF($BH$3:$CE$3,"&lt;"&amp;$DF7,$AD7:$BA7)+SUMIF($BH$3:$CE$3,"&gt;"&amp;$CW$4,$AD7:$BA7)),
IF(BQ$3=$DF7+'Model Setup'!$J$7,SUMIF($BH$3:$CE$3,"="&amp;$DF7+'Model Setup'!$J$7,$AD7:$BA7)+'Model Setup'!$J$8*(SUMIF($BH$3:$CE$3,"&lt;"&amp;$DF7,$AD7:$BA7)+SUMIF($BH$3:$CE$3,"&gt;"&amp;$CW$4,$AD7:$BA7)),
IF(BQ$3=$DF7+'Model Setup'!$K$7,SUMIF($BH$3:$CE$3,"="&amp;$DF7+'Model Setup'!$K$7,$AD7:$BA7)+'Model Setup'!$K$8*(SUMIF($BH$3:$CE$3,"&lt;"&amp;$DF7,$AD7:$BA7)+SUMIF($BH$3:$CE$3,"&gt;"&amp;$CW$4,$AD7:$BA7)),
IF(BQ$3=$DF7+'Model Setup'!$L$7,SUMIF($BH$3:$CE$3,"="&amp;$DF7+'Model Setup'!$L$7,$AD7:$BA7)+'Model Setup'!$L$8*(SUMIF($BH$3:$CE$3,"&lt;"&amp;$DF7,$AD7:$BA7)+SUMIF($BH$3:$CE$3,"&gt;"&amp;$CW$4,$AD7:$BA7)),
IF(BQ$3=$DF7+'Model Setup'!$M$7,SUMIF($BH$3:$CE$3,"="&amp;$DF7+'Model Setup'!$M$7,$AD7:$BA7)+'Model Setup'!$M$8*(SUMIF($BH$3:$CE$3,"&lt;"&amp;$DF7,$AD7:$BA7)+SUMIF($BH$3:$CE$3,"&gt;"&amp;$CW$4,$AD7:$BA7)),
IF(BQ$3=$DF7+'Model Setup'!$N$7,SUMIF($BH$3:$CE$3,"="&amp;$DF7+'Model Setup'!$N$7,$AD7:$BA7)+'Model Setup'!$N$8*(SUMIF($BH$3:$CE$3,"&lt;"&amp;$DF7,$AD7:$BA7)+SUMIF($BH$3:$CE$3,"&gt;"&amp;$CW$4,$AD7:$BA7)),
IF(BQ$3&lt;$CW$4,K7,0))))))))))))))),0)</f>
        <v>35</v>
      </c>
      <c r="BR7" s="47">
        <f>ROUND(IF(OR(BR$3&lt;$DF7,BR$3&gt;$CW$4),0,
IF(BR$3=$DF7+'Model Setup'!$B$7,SUMIF($BH$3:$CE$3,"="&amp;$DF7+'Model Setup'!$B$7,$AD7:$BA7)+'Model Setup'!$B$8*(SUMIF($BH$3:$CE$3,"&lt;"&amp;$DF7,$AD7:$BA7)+SUMIF($BH$3:$CE$3,"&gt;"&amp;$CW$4,$AD7:$BA7)),
IF(BR$3=$DF7+'Model Setup'!$C$7,SUMIF($BH$3:$CE$3,"="&amp;$DF7+'Model Setup'!$C$7,$AD7:$BA7)+'Model Setup'!$C$8*(SUMIF($BH$3:$CE$3,"&lt;"&amp;$DF7,$AD7:$BA7)+SUMIF($BH$3:$CE$3,"&gt;"&amp;$CW$4,$AD7:$BA7)),
IF(BR$3=$DF7+'Model Setup'!$D$7,SUMIF($BH$3:$CE$3,"="&amp;$DF7+'Model Setup'!$D$7,$AD7:$BA7)+'Model Setup'!$D$8*(SUMIF($BH$3:$CE$3,"&lt;"&amp;$DF7,$AD7:$BA7)+SUMIF($BH$3:$CE$3,"&gt;"&amp;$CW$4,$AD7:$BA7)),
IF(BR$3=$DF7+'Model Setup'!$E$7,SUMIF($BH$3:$CE$3,"="&amp;$DF7+'Model Setup'!$E$7,$AD7:$BA7)+'Model Setup'!$E$8*(SUMIF($BH$3:$CE$3,"&lt;"&amp;$DF7,$AD7:$BA7)+SUMIF($BH$3:$CE$3,"&gt;"&amp;$CW$4,$AD7:$BA7)),
IF(BR$3=$DF7+'Model Setup'!$F$7,SUMIF($BH$3:$CE$3,"="&amp;$DF7+'Model Setup'!$F$7,$AD7:$BA7)+'Model Setup'!$F$8*(SUMIF($BH$3:$CE$3,"&lt;"&amp;$DF7,$AD7:$BA7)+SUMIF($BH$3:$CE$3,"&gt;"&amp;$CW$4,$AD7:$BA7)),
IF(BR$3=$DF7+'Model Setup'!$G$7,SUMIF($BH$3:$CE$3,"="&amp;$DF7+'Model Setup'!$G$7,$AD7:$BA7)+'Model Setup'!$G$8*(SUMIF($BH$3:$CE$3,"&lt;"&amp;$DF7,$AD7:$BA7)+SUMIF($BH$3:$CE$3,"&gt;"&amp;$CW$4,$AD7:$BA7)),
IF(BR$3=$DF7+'Model Setup'!$H$7,SUMIF($BH$3:$CE$3,"="&amp;$DF7+'Model Setup'!$H$7,$AD7:$BA7)+'Model Setup'!$H$8*(SUMIF($BH$3:$CE$3,"&lt;"&amp;$DF7,$AD7:$BA7)+SUMIF($BH$3:$CE$3,"&gt;"&amp;$CW$4,$AD7:$BA7)),
IF(BR$3=$DF7+'Model Setup'!$I$7,SUMIF($BH$3:$CE$3,"="&amp;$DF7+'Model Setup'!$I$7,$AD7:$BA7)+'Model Setup'!$I$8*(SUMIF($BH$3:$CE$3,"&lt;"&amp;$DF7,$AD7:$BA7)+SUMIF($BH$3:$CE$3,"&gt;"&amp;$CW$4,$AD7:$BA7)),
IF(BR$3=$DF7+'Model Setup'!$J$7,SUMIF($BH$3:$CE$3,"="&amp;$DF7+'Model Setup'!$J$7,$AD7:$BA7)+'Model Setup'!$J$8*(SUMIF($BH$3:$CE$3,"&lt;"&amp;$DF7,$AD7:$BA7)+SUMIF($BH$3:$CE$3,"&gt;"&amp;$CW$4,$AD7:$BA7)),
IF(BR$3=$DF7+'Model Setup'!$K$7,SUMIF($BH$3:$CE$3,"="&amp;$DF7+'Model Setup'!$K$7,$AD7:$BA7)+'Model Setup'!$K$8*(SUMIF($BH$3:$CE$3,"&lt;"&amp;$DF7,$AD7:$BA7)+SUMIF($BH$3:$CE$3,"&gt;"&amp;$CW$4,$AD7:$BA7)),
IF(BR$3=$DF7+'Model Setup'!$L$7,SUMIF($BH$3:$CE$3,"="&amp;$DF7+'Model Setup'!$L$7,$AD7:$BA7)+'Model Setup'!$L$8*(SUMIF($BH$3:$CE$3,"&lt;"&amp;$DF7,$AD7:$BA7)+SUMIF($BH$3:$CE$3,"&gt;"&amp;$CW$4,$AD7:$BA7)),
IF(BR$3=$DF7+'Model Setup'!$M$7,SUMIF($BH$3:$CE$3,"="&amp;$DF7+'Model Setup'!$M$7,$AD7:$BA7)+'Model Setup'!$M$8*(SUMIF($BH$3:$CE$3,"&lt;"&amp;$DF7,$AD7:$BA7)+SUMIF($BH$3:$CE$3,"&gt;"&amp;$CW$4,$AD7:$BA7)),
IF(BR$3=$DF7+'Model Setup'!$N$7,SUMIF($BH$3:$CE$3,"="&amp;$DF7+'Model Setup'!$N$7,$AD7:$BA7)+'Model Setup'!$N$8*(SUMIF($BH$3:$CE$3,"&lt;"&amp;$DF7,$AD7:$BA7)+SUMIF($BH$3:$CE$3,"&gt;"&amp;$CW$4,$AD7:$BA7)),
IF(BR$3&lt;$CW$4,L7,0))))))))))))))),0)</f>
        <v>29</v>
      </c>
      <c r="BS7" s="47">
        <f>ROUND(IF(OR(BS$3&lt;$DF7,BS$3&gt;$CW$4),0,
IF(BS$3=$DF7+'Model Setup'!$B$7,SUMIF($BH$3:$CE$3,"="&amp;$DF7+'Model Setup'!$B$7,$AD7:$BA7)+'Model Setup'!$B$8*(SUMIF($BH$3:$CE$3,"&lt;"&amp;$DF7,$AD7:$BA7)+SUMIF($BH$3:$CE$3,"&gt;"&amp;$CW$4,$AD7:$BA7)),
IF(BS$3=$DF7+'Model Setup'!$C$7,SUMIF($BH$3:$CE$3,"="&amp;$DF7+'Model Setup'!$C$7,$AD7:$BA7)+'Model Setup'!$C$8*(SUMIF($BH$3:$CE$3,"&lt;"&amp;$DF7,$AD7:$BA7)+SUMIF($BH$3:$CE$3,"&gt;"&amp;$CW$4,$AD7:$BA7)),
IF(BS$3=$DF7+'Model Setup'!$D$7,SUMIF($BH$3:$CE$3,"="&amp;$DF7+'Model Setup'!$D$7,$AD7:$BA7)+'Model Setup'!$D$8*(SUMIF($BH$3:$CE$3,"&lt;"&amp;$DF7,$AD7:$BA7)+SUMIF($BH$3:$CE$3,"&gt;"&amp;$CW$4,$AD7:$BA7)),
IF(BS$3=$DF7+'Model Setup'!$E$7,SUMIF($BH$3:$CE$3,"="&amp;$DF7+'Model Setup'!$E$7,$AD7:$BA7)+'Model Setup'!$E$8*(SUMIF($BH$3:$CE$3,"&lt;"&amp;$DF7,$AD7:$BA7)+SUMIF($BH$3:$CE$3,"&gt;"&amp;$CW$4,$AD7:$BA7)),
IF(BS$3=$DF7+'Model Setup'!$F$7,SUMIF($BH$3:$CE$3,"="&amp;$DF7+'Model Setup'!$F$7,$AD7:$BA7)+'Model Setup'!$F$8*(SUMIF($BH$3:$CE$3,"&lt;"&amp;$DF7,$AD7:$BA7)+SUMIF($BH$3:$CE$3,"&gt;"&amp;$CW$4,$AD7:$BA7)),
IF(BS$3=$DF7+'Model Setup'!$G$7,SUMIF($BH$3:$CE$3,"="&amp;$DF7+'Model Setup'!$G$7,$AD7:$BA7)+'Model Setup'!$G$8*(SUMIF($BH$3:$CE$3,"&lt;"&amp;$DF7,$AD7:$BA7)+SUMIF($BH$3:$CE$3,"&gt;"&amp;$CW$4,$AD7:$BA7)),
IF(BS$3=$DF7+'Model Setup'!$H$7,SUMIF($BH$3:$CE$3,"="&amp;$DF7+'Model Setup'!$H$7,$AD7:$BA7)+'Model Setup'!$H$8*(SUMIF($BH$3:$CE$3,"&lt;"&amp;$DF7,$AD7:$BA7)+SUMIF($BH$3:$CE$3,"&gt;"&amp;$CW$4,$AD7:$BA7)),
IF(BS$3=$DF7+'Model Setup'!$I$7,SUMIF($BH$3:$CE$3,"="&amp;$DF7+'Model Setup'!$I$7,$AD7:$BA7)+'Model Setup'!$I$8*(SUMIF($BH$3:$CE$3,"&lt;"&amp;$DF7,$AD7:$BA7)+SUMIF($BH$3:$CE$3,"&gt;"&amp;$CW$4,$AD7:$BA7)),
IF(BS$3=$DF7+'Model Setup'!$J$7,SUMIF($BH$3:$CE$3,"="&amp;$DF7+'Model Setup'!$J$7,$AD7:$BA7)+'Model Setup'!$J$8*(SUMIF($BH$3:$CE$3,"&lt;"&amp;$DF7,$AD7:$BA7)+SUMIF($BH$3:$CE$3,"&gt;"&amp;$CW$4,$AD7:$BA7)),
IF(BS$3=$DF7+'Model Setup'!$K$7,SUMIF($BH$3:$CE$3,"="&amp;$DF7+'Model Setup'!$K$7,$AD7:$BA7)+'Model Setup'!$K$8*(SUMIF($BH$3:$CE$3,"&lt;"&amp;$DF7,$AD7:$BA7)+SUMIF($BH$3:$CE$3,"&gt;"&amp;$CW$4,$AD7:$BA7)),
IF(BS$3=$DF7+'Model Setup'!$L$7,SUMIF($BH$3:$CE$3,"="&amp;$DF7+'Model Setup'!$L$7,$AD7:$BA7)+'Model Setup'!$L$8*(SUMIF($BH$3:$CE$3,"&lt;"&amp;$DF7,$AD7:$BA7)+SUMIF($BH$3:$CE$3,"&gt;"&amp;$CW$4,$AD7:$BA7)),
IF(BS$3=$DF7+'Model Setup'!$M$7,SUMIF($BH$3:$CE$3,"="&amp;$DF7+'Model Setup'!$M$7,$AD7:$BA7)+'Model Setup'!$M$8*(SUMIF($BH$3:$CE$3,"&lt;"&amp;$DF7,$AD7:$BA7)+SUMIF($BH$3:$CE$3,"&gt;"&amp;$CW$4,$AD7:$BA7)),
IF(BS$3=$DF7+'Model Setup'!$N$7,SUMIF($BH$3:$CE$3,"="&amp;$DF7+'Model Setup'!$N$7,$AD7:$BA7)+'Model Setup'!$N$8*(SUMIF($BH$3:$CE$3,"&lt;"&amp;$DF7,$AD7:$BA7)+SUMIF($BH$3:$CE$3,"&gt;"&amp;$CW$4,$AD7:$BA7)),
IF(BS$3&lt;$CW$4,M7,0))))))))))))))),0)</f>
        <v>17</v>
      </c>
      <c r="BT7" s="47">
        <f>ROUND(IF(OR(BT$3&lt;$DF7,BT$3&gt;$CW$4),0,
IF(BT$3=$DF7+'Model Setup'!$B$7,SUMIF($BH$3:$CE$3,"="&amp;$DF7+'Model Setup'!$B$7,$AD7:$BA7)+'Model Setup'!$B$8*(SUMIF($BH$3:$CE$3,"&lt;"&amp;$DF7,$AD7:$BA7)+SUMIF($BH$3:$CE$3,"&gt;"&amp;$CW$4,$AD7:$BA7)),
IF(BT$3=$DF7+'Model Setup'!$C$7,SUMIF($BH$3:$CE$3,"="&amp;$DF7+'Model Setup'!$C$7,$AD7:$BA7)+'Model Setup'!$C$8*(SUMIF($BH$3:$CE$3,"&lt;"&amp;$DF7,$AD7:$BA7)+SUMIF($BH$3:$CE$3,"&gt;"&amp;$CW$4,$AD7:$BA7)),
IF(BT$3=$DF7+'Model Setup'!$D$7,SUMIF($BH$3:$CE$3,"="&amp;$DF7+'Model Setup'!$D$7,$AD7:$BA7)+'Model Setup'!$D$8*(SUMIF($BH$3:$CE$3,"&lt;"&amp;$DF7,$AD7:$BA7)+SUMIF($BH$3:$CE$3,"&gt;"&amp;$CW$4,$AD7:$BA7)),
IF(BT$3=$DF7+'Model Setup'!$E$7,SUMIF($BH$3:$CE$3,"="&amp;$DF7+'Model Setup'!$E$7,$AD7:$BA7)+'Model Setup'!$E$8*(SUMIF($BH$3:$CE$3,"&lt;"&amp;$DF7,$AD7:$BA7)+SUMIF($BH$3:$CE$3,"&gt;"&amp;$CW$4,$AD7:$BA7)),
IF(BT$3=$DF7+'Model Setup'!$F$7,SUMIF($BH$3:$CE$3,"="&amp;$DF7+'Model Setup'!$F$7,$AD7:$BA7)+'Model Setup'!$F$8*(SUMIF($BH$3:$CE$3,"&lt;"&amp;$DF7,$AD7:$BA7)+SUMIF($BH$3:$CE$3,"&gt;"&amp;$CW$4,$AD7:$BA7)),
IF(BT$3=$DF7+'Model Setup'!$G$7,SUMIF($BH$3:$CE$3,"="&amp;$DF7+'Model Setup'!$G$7,$AD7:$BA7)+'Model Setup'!$G$8*(SUMIF($BH$3:$CE$3,"&lt;"&amp;$DF7,$AD7:$BA7)+SUMIF($BH$3:$CE$3,"&gt;"&amp;$CW$4,$AD7:$BA7)),
IF(BT$3=$DF7+'Model Setup'!$H$7,SUMIF($BH$3:$CE$3,"="&amp;$DF7+'Model Setup'!$H$7,$AD7:$BA7)+'Model Setup'!$H$8*(SUMIF($BH$3:$CE$3,"&lt;"&amp;$DF7,$AD7:$BA7)+SUMIF($BH$3:$CE$3,"&gt;"&amp;$CW$4,$AD7:$BA7)),
IF(BT$3=$DF7+'Model Setup'!$I$7,SUMIF($BH$3:$CE$3,"="&amp;$DF7+'Model Setup'!$I$7,$AD7:$BA7)+'Model Setup'!$I$8*(SUMIF($BH$3:$CE$3,"&lt;"&amp;$DF7,$AD7:$BA7)+SUMIF($BH$3:$CE$3,"&gt;"&amp;$CW$4,$AD7:$BA7)),
IF(BT$3=$DF7+'Model Setup'!$J$7,SUMIF($BH$3:$CE$3,"="&amp;$DF7+'Model Setup'!$J$7,$AD7:$BA7)+'Model Setup'!$J$8*(SUMIF($BH$3:$CE$3,"&lt;"&amp;$DF7,$AD7:$BA7)+SUMIF($BH$3:$CE$3,"&gt;"&amp;$CW$4,$AD7:$BA7)),
IF(BT$3=$DF7+'Model Setup'!$K$7,SUMIF($BH$3:$CE$3,"="&amp;$DF7+'Model Setup'!$K$7,$AD7:$BA7)+'Model Setup'!$K$8*(SUMIF($BH$3:$CE$3,"&lt;"&amp;$DF7,$AD7:$BA7)+SUMIF($BH$3:$CE$3,"&gt;"&amp;$CW$4,$AD7:$BA7)),
IF(BT$3=$DF7+'Model Setup'!$L$7,SUMIF($BH$3:$CE$3,"="&amp;$DF7+'Model Setup'!$L$7,$AD7:$BA7)+'Model Setup'!$L$8*(SUMIF($BH$3:$CE$3,"&lt;"&amp;$DF7,$AD7:$BA7)+SUMIF($BH$3:$CE$3,"&gt;"&amp;$CW$4,$AD7:$BA7)),
IF(BT$3=$DF7+'Model Setup'!$M$7,SUMIF($BH$3:$CE$3,"="&amp;$DF7+'Model Setup'!$M$7,$AD7:$BA7)+'Model Setup'!$M$8*(SUMIF($BH$3:$CE$3,"&lt;"&amp;$DF7,$AD7:$BA7)+SUMIF($BH$3:$CE$3,"&gt;"&amp;$CW$4,$AD7:$BA7)),
IF(BT$3=$DF7+'Model Setup'!$N$7,SUMIF($BH$3:$CE$3,"="&amp;$DF7+'Model Setup'!$N$7,$AD7:$BA7)+'Model Setup'!$N$8*(SUMIF($BH$3:$CE$3,"&lt;"&amp;$DF7,$AD7:$BA7)+SUMIF($BH$3:$CE$3,"&gt;"&amp;$CW$4,$AD7:$BA7)),
IF(BT$3&lt;$CW$4,N7,0))))))))))))))),0)</f>
        <v>24</v>
      </c>
      <c r="BU7" s="47">
        <f>ROUND(IF(OR(BU$3&lt;$DF7,BU$3&gt;$CW$4),0,
IF(BU$3=$DF7+'Model Setup'!$B$7,SUMIF($BH$3:$CE$3,"="&amp;$DF7+'Model Setup'!$B$7,$AD7:$BA7)+'Model Setup'!$B$8*(SUMIF($BH$3:$CE$3,"&lt;"&amp;$DF7,$AD7:$BA7)+SUMIF($BH$3:$CE$3,"&gt;"&amp;$CW$4,$AD7:$BA7)),
IF(BU$3=$DF7+'Model Setup'!$C$7,SUMIF($BH$3:$CE$3,"="&amp;$DF7+'Model Setup'!$C$7,$AD7:$BA7)+'Model Setup'!$C$8*(SUMIF($BH$3:$CE$3,"&lt;"&amp;$DF7,$AD7:$BA7)+SUMIF($BH$3:$CE$3,"&gt;"&amp;$CW$4,$AD7:$BA7)),
IF(BU$3=$DF7+'Model Setup'!$D$7,SUMIF($BH$3:$CE$3,"="&amp;$DF7+'Model Setup'!$D$7,$AD7:$BA7)+'Model Setup'!$D$8*(SUMIF($BH$3:$CE$3,"&lt;"&amp;$DF7,$AD7:$BA7)+SUMIF($BH$3:$CE$3,"&gt;"&amp;$CW$4,$AD7:$BA7)),
IF(BU$3=$DF7+'Model Setup'!$E$7,SUMIF($BH$3:$CE$3,"="&amp;$DF7+'Model Setup'!$E$7,$AD7:$BA7)+'Model Setup'!$E$8*(SUMIF($BH$3:$CE$3,"&lt;"&amp;$DF7,$AD7:$BA7)+SUMIF($BH$3:$CE$3,"&gt;"&amp;$CW$4,$AD7:$BA7)),
IF(BU$3=$DF7+'Model Setup'!$F$7,SUMIF($BH$3:$CE$3,"="&amp;$DF7+'Model Setup'!$F$7,$AD7:$BA7)+'Model Setup'!$F$8*(SUMIF($BH$3:$CE$3,"&lt;"&amp;$DF7,$AD7:$BA7)+SUMIF($BH$3:$CE$3,"&gt;"&amp;$CW$4,$AD7:$BA7)),
IF(BU$3=$DF7+'Model Setup'!$G$7,SUMIF($BH$3:$CE$3,"="&amp;$DF7+'Model Setup'!$G$7,$AD7:$BA7)+'Model Setup'!$G$8*(SUMIF($BH$3:$CE$3,"&lt;"&amp;$DF7,$AD7:$BA7)+SUMIF($BH$3:$CE$3,"&gt;"&amp;$CW$4,$AD7:$BA7)),
IF(BU$3=$DF7+'Model Setup'!$H$7,SUMIF($BH$3:$CE$3,"="&amp;$DF7+'Model Setup'!$H$7,$AD7:$BA7)+'Model Setup'!$H$8*(SUMIF($BH$3:$CE$3,"&lt;"&amp;$DF7,$AD7:$BA7)+SUMIF($BH$3:$CE$3,"&gt;"&amp;$CW$4,$AD7:$BA7)),
IF(BU$3=$DF7+'Model Setup'!$I$7,SUMIF($BH$3:$CE$3,"="&amp;$DF7+'Model Setup'!$I$7,$AD7:$BA7)+'Model Setup'!$I$8*(SUMIF($BH$3:$CE$3,"&lt;"&amp;$DF7,$AD7:$BA7)+SUMIF($BH$3:$CE$3,"&gt;"&amp;$CW$4,$AD7:$BA7)),
IF(BU$3=$DF7+'Model Setup'!$J$7,SUMIF($BH$3:$CE$3,"="&amp;$DF7+'Model Setup'!$J$7,$AD7:$BA7)+'Model Setup'!$J$8*(SUMIF($BH$3:$CE$3,"&lt;"&amp;$DF7,$AD7:$BA7)+SUMIF($BH$3:$CE$3,"&gt;"&amp;$CW$4,$AD7:$BA7)),
IF(BU$3=$DF7+'Model Setup'!$K$7,SUMIF($BH$3:$CE$3,"="&amp;$DF7+'Model Setup'!$K$7,$AD7:$BA7)+'Model Setup'!$K$8*(SUMIF($BH$3:$CE$3,"&lt;"&amp;$DF7,$AD7:$BA7)+SUMIF($BH$3:$CE$3,"&gt;"&amp;$CW$4,$AD7:$BA7)),
IF(BU$3=$DF7+'Model Setup'!$L$7,SUMIF($BH$3:$CE$3,"="&amp;$DF7+'Model Setup'!$L$7,$AD7:$BA7)+'Model Setup'!$L$8*(SUMIF($BH$3:$CE$3,"&lt;"&amp;$DF7,$AD7:$BA7)+SUMIF($BH$3:$CE$3,"&gt;"&amp;$CW$4,$AD7:$BA7)),
IF(BU$3=$DF7+'Model Setup'!$M$7,SUMIF($BH$3:$CE$3,"="&amp;$DF7+'Model Setup'!$M$7,$AD7:$BA7)+'Model Setup'!$M$8*(SUMIF($BH$3:$CE$3,"&lt;"&amp;$DF7,$AD7:$BA7)+SUMIF($BH$3:$CE$3,"&gt;"&amp;$CW$4,$AD7:$BA7)),
IF(BU$3=$DF7+'Model Setup'!$N$7,SUMIF($BH$3:$CE$3,"="&amp;$DF7+'Model Setup'!$N$7,$AD7:$BA7)+'Model Setup'!$N$8*(SUMIF($BH$3:$CE$3,"&lt;"&amp;$DF7,$AD7:$BA7)+SUMIF($BH$3:$CE$3,"&gt;"&amp;$CW$4,$AD7:$BA7)),
IF(BU$3&lt;$CW$4,O7,0))))))))))))))),0)</f>
        <v>17</v>
      </c>
      <c r="BV7" s="47">
        <f>ROUND(IF(OR(BV$3&lt;$DF7,BV$3&gt;$CW$4),0,
IF(BV$3=$DF7+'Model Setup'!$B$7,SUMIF($BH$3:$CE$3,"="&amp;$DF7+'Model Setup'!$B$7,$AD7:$BA7)+'Model Setup'!$B$8*(SUMIF($BH$3:$CE$3,"&lt;"&amp;$DF7,$AD7:$BA7)+SUMIF($BH$3:$CE$3,"&gt;"&amp;$CW$4,$AD7:$BA7)),
IF(BV$3=$DF7+'Model Setup'!$C$7,SUMIF($BH$3:$CE$3,"="&amp;$DF7+'Model Setup'!$C$7,$AD7:$BA7)+'Model Setup'!$C$8*(SUMIF($BH$3:$CE$3,"&lt;"&amp;$DF7,$AD7:$BA7)+SUMIF($BH$3:$CE$3,"&gt;"&amp;$CW$4,$AD7:$BA7)),
IF(BV$3=$DF7+'Model Setup'!$D$7,SUMIF($BH$3:$CE$3,"="&amp;$DF7+'Model Setup'!$D$7,$AD7:$BA7)+'Model Setup'!$D$8*(SUMIF($BH$3:$CE$3,"&lt;"&amp;$DF7,$AD7:$BA7)+SUMIF($BH$3:$CE$3,"&gt;"&amp;$CW$4,$AD7:$BA7)),
IF(BV$3=$DF7+'Model Setup'!$E$7,SUMIF($BH$3:$CE$3,"="&amp;$DF7+'Model Setup'!$E$7,$AD7:$BA7)+'Model Setup'!$E$8*(SUMIF($BH$3:$CE$3,"&lt;"&amp;$DF7,$AD7:$BA7)+SUMIF($BH$3:$CE$3,"&gt;"&amp;$CW$4,$AD7:$BA7)),
IF(BV$3=$DF7+'Model Setup'!$F$7,SUMIF($BH$3:$CE$3,"="&amp;$DF7+'Model Setup'!$F$7,$AD7:$BA7)+'Model Setup'!$F$8*(SUMIF($BH$3:$CE$3,"&lt;"&amp;$DF7,$AD7:$BA7)+SUMIF($BH$3:$CE$3,"&gt;"&amp;$CW$4,$AD7:$BA7)),
IF(BV$3=$DF7+'Model Setup'!$G$7,SUMIF($BH$3:$CE$3,"="&amp;$DF7+'Model Setup'!$G$7,$AD7:$BA7)+'Model Setup'!$G$8*(SUMIF($BH$3:$CE$3,"&lt;"&amp;$DF7,$AD7:$BA7)+SUMIF($BH$3:$CE$3,"&gt;"&amp;$CW$4,$AD7:$BA7)),
IF(BV$3=$DF7+'Model Setup'!$H$7,SUMIF($BH$3:$CE$3,"="&amp;$DF7+'Model Setup'!$H$7,$AD7:$BA7)+'Model Setup'!$H$8*(SUMIF($BH$3:$CE$3,"&lt;"&amp;$DF7,$AD7:$BA7)+SUMIF($BH$3:$CE$3,"&gt;"&amp;$CW$4,$AD7:$BA7)),
IF(BV$3=$DF7+'Model Setup'!$I$7,SUMIF($BH$3:$CE$3,"="&amp;$DF7+'Model Setup'!$I$7,$AD7:$BA7)+'Model Setup'!$I$8*(SUMIF($BH$3:$CE$3,"&lt;"&amp;$DF7,$AD7:$BA7)+SUMIF($BH$3:$CE$3,"&gt;"&amp;$CW$4,$AD7:$BA7)),
IF(BV$3=$DF7+'Model Setup'!$J$7,SUMIF($BH$3:$CE$3,"="&amp;$DF7+'Model Setup'!$J$7,$AD7:$BA7)+'Model Setup'!$J$8*(SUMIF($BH$3:$CE$3,"&lt;"&amp;$DF7,$AD7:$BA7)+SUMIF($BH$3:$CE$3,"&gt;"&amp;$CW$4,$AD7:$BA7)),
IF(BV$3=$DF7+'Model Setup'!$K$7,SUMIF($BH$3:$CE$3,"="&amp;$DF7+'Model Setup'!$K$7,$AD7:$BA7)+'Model Setup'!$K$8*(SUMIF($BH$3:$CE$3,"&lt;"&amp;$DF7,$AD7:$BA7)+SUMIF($BH$3:$CE$3,"&gt;"&amp;$CW$4,$AD7:$BA7)),
IF(BV$3=$DF7+'Model Setup'!$L$7,SUMIF($BH$3:$CE$3,"="&amp;$DF7+'Model Setup'!$L$7,$AD7:$BA7)+'Model Setup'!$L$8*(SUMIF($BH$3:$CE$3,"&lt;"&amp;$DF7,$AD7:$BA7)+SUMIF($BH$3:$CE$3,"&gt;"&amp;$CW$4,$AD7:$BA7)),
IF(BV$3=$DF7+'Model Setup'!$M$7,SUMIF($BH$3:$CE$3,"="&amp;$DF7+'Model Setup'!$M$7,$AD7:$BA7)+'Model Setup'!$M$8*(SUMIF($BH$3:$CE$3,"&lt;"&amp;$DF7,$AD7:$BA7)+SUMIF($BH$3:$CE$3,"&gt;"&amp;$CW$4,$AD7:$BA7)),
IF(BV$3=$DF7+'Model Setup'!$N$7,SUMIF($BH$3:$CE$3,"="&amp;$DF7+'Model Setup'!$N$7,$AD7:$BA7)+'Model Setup'!$N$8*(SUMIF($BH$3:$CE$3,"&lt;"&amp;$DF7,$AD7:$BA7)+SUMIF($BH$3:$CE$3,"&gt;"&amp;$CW$4,$AD7:$BA7)),
IF(BV$3&lt;$CW$4,P7,0))))))))))))))),0)</f>
        <v>17</v>
      </c>
      <c r="BW7" s="47">
        <f>ROUND(IF(OR(BW$3&lt;$DF7,BW$3&gt;$CW$4),0,
IF(BW$3=$DF7+'Model Setup'!$B$7,SUMIF($BH$3:$CE$3,"="&amp;$DF7+'Model Setup'!$B$7,$AD7:$BA7)+'Model Setup'!$B$8*(SUMIF($BH$3:$CE$3,"&lt;"&amp;$DF7,$AD7:$BA7)+SUMIF($BH$3:$CE$3,"&gt;"&amp;$CW$4,$AD7:$BA7)),
IF(BW$3=$DF7+'Model Setup'!$C$7,SUMIF($BH$3:$CE$3,"="&amp;$DF7+'Model Setup'!$C$7,$AD7:$BA7)+'Model Setup'!$C$8*(SUMIF($BH$3:$CE$3,"&lt;"&amp;$DF7,$AD7:$BA7)+SUMIF($BH$3:$CE$3,"&gt;"&amp;$CW$4,$AD7:$BA7)),
IF(BW$3=$DF7+'Model Setup'!$D$7,SUMIF($BH$3:$CE$3,"="&amp;$DF7+'Model Setup'!$D$7,$AD7:$BA7)+'Model Setup'!$D$8*(SUMIF($BH$3:$CE$3,"&lt;"&amp;$DF7,$AD7:$BA7)+SUMIF($BH$3:$CE$3,"&gt;"&amp;$CW$4,$AD7:$BA7)),
IF(BW$3=$DF7+'Model Setup'!$E$7,SUMIF($BH$3:$CE$3,"="&amp;$DF7+'Model Setup'!$E$7,$AD7:$BA7)+'Model Setup'!$E$8*(SUMIF($BH$3:$CE$3,"&lt;"&amp;$DF7,$AD7:$BA7)+SUMIF($BH$3:$CE$3,"&gt;"&amp;$CW$4,$AD7:$BA7)),
IF(BW$3=$DF7+'Model Setup'!$F$7,SUMIF($BH$3:$CE$3,"="&amp;$DF7+'Model Setup'!$F$7,$AD7:$BA7)+'Model Setup'!$F$8*(SUMIF($BH$3:$CE$3,"&lt;"&amp;$DF7,$AD7:$BA7)+SUMIF($BH$3:$CE$3,"&gt;"&amp;$CW$4,$AD7:$BA7)),
IF(BW$3=$DF7+'Model Setup'!$G$7,SUMIF($BH$3:$CE$3,"="&amp;$DF7+'Model Setup'!$G$7,$AD7:$BA7)+'Model Setup'!$G$8*(SUMIF($BH$3:$CE$3,"&lt;"&amp;$DF7,$AD7:$BA7)+SUMIF($BH$3:$CE$3,"&gt;"&amp;$CW$4,$AD7:$BA7)),
IF(BW$3=$DF7+'Model Setup'!$H$7,SUMIF($BH$3:$CE$3,"="&amp;$DF7+'Model Setup'!$H$7,$AD7:$BA7)+'Model Setup'!$H$8*(SUMIF($BH$3:$CE$3,"&lt;"&amp;$DF7,$AD7:$BA7)+SUMIF($BH$3:$CE$3,"&gt;"&amp;$CW$4,$AD7:$BA7)),
IF(BW$3=$DF7+'Model Setup'!$I$7,SUMIF($BH$3:$CE$3,"="&amp;$DF7+'Model Setup'!$I$7,$AD7:$BA7)+'Model Setup'!$I$8*(SUMIF($BH$3:$CE$3,"&lt;"&amp;$DF7,$AD7:$BA7)+SUMIF($BH$3:$CE$3,"&gt;"&amp;$CW$4,$AD7:$BA7)),
IF(BW$3=$DF7+'Model Setup'!$J$7,SUMIF($BH$3:$CE$3,"="&amp;$DF7+'Model Setup'!$J$7,$AD7:$BA7)+'Model Setup'!$J$8*(SUMIF($BH$3:$CE$3,"&lt;"&amp;$DF7,$AD7:$BA7)+SUMIF($BH$3:$CE$3,"&gt;"&amp;$CW$4,$AD7:$BA7)),
IF(BW$3=$DF7+'Model Setup'!$K$7,SUMIF($BH$3:$CE$3,"="&amp;$DF7+'Model Setup'!$K$7,$AD7:$BA7)+'Model Setup'!$K$8*(SUMIF($BH$3:$CE$3,"&lt;"&amp;$DF7,$AD7:$BA7)+SUMIF($BH$3:$CE$3,"&gt;"&amp;$CW$4,$AD7:$BA7)),
IF(BW$3=$DF7+'Model Setup'!$L$7,SUMIF($BH$3:$CE$3,"="&amp;$DF7+'Model Setup'!$L$7,$AD7:$BA7)+'Model Setup'!$L$8*(SUMIF($BH$3:$CE$3,"&lt;"&amp;$DF7,$AD7:$BA7)+SUMIF($BH$3:$CE$3,"&gt;"&amp;$CW$4,$AD7:$BA7)),
IF(BW$3=$DF7+'Model Setup'!$M$7,SUMIF($BH$3:$CE$3,"="&amp;$DF7+'Model Setup'!$M$7,$AD7:$BA7)+'Model Setup'!$M$8*(SUMIF($BH$3:$CE$3,"&lt;"&amp;$DF7,$AD7:$BA7)+SUMIF($BH$3:$CE$3,"&gt;"&amp;$CW$4,$AD7:$BA7)),
IF(BW$3=$DF7+'Model Setup'!$N$7,SUMIF($BH$3:$CE$3,"="&amp;$DF7+'Model Setup'!$N$7,$AD7:$BA7)+'Model Setup'!$N$8*(SUMIF($BH$3:$CE$3,"&lt;"&amp;$DF7,$AD7:$BA7)+SUMIF($BH$3:$CE$3,"&gt;"&amp;$CW$4,$AD7:$BA7)),
IF(BW$3&lt;$CW$4,Q7,0))))))))))))))),0)</f>
        <v>10</v>
      </c>
      <c r="BX7" s="47">
        <f>ROUND(IF(OR(BX$3&lt;$DF7,BX$3&gt;$CW$4),0,
IF(BX$3=$DF7+'Model Setup'!$B$7,SUMIF($BH$3:$CE$3,"="&amp;$DF7+'Model Setup'!$B$7,$AD7:$BA7)+'Model Setup'!$B$8*(SUMIF($BH$3:$CE$3,"&lt;"&amp;$DF7,$AD7:$BA7)+SUMIF($BH$3:$CE$3,"&gt;"&amp;$CW$4,$AD7:$BA7)),
IF(BX$3=$DF7+'Model Setup'!$C$7,SUMIF($BH$3:$CE$3,"="&amp;$DF7+'Model Setup'!$C$7,$AD7:$BA7)+'Model Setup'!$C$8*(SUMIF($BH$3:$CE$3,"&lt;"&amp;$DF7,$AD7:$BA7)+SUMIF($BH$3:$CE$3,"&gt;"&amp;$CW$4,$AD7:$BA7)),
IF(BX$3=$DF7+'Model Setup'!$D$7,SUMIF($BH$3:$CE$3,"="&amp;$DF7+'Model Setup'!$D$7,$AD7:$BA7)+'Model Setup'!$D$8*(SUMIF($BH$3:$CE$3,"&lt;"&amp;$DF7,$AD7:$BA7)+SUMIF($BH$3:$CE$3,"&gt;"&amp;$CW$4,$AD7:$BA7)),
IF(BX$3=$DF7+'Model Setup'!$E$7,SUMIF($BH$3:$CE$3,"="&amp;$DF7+'Model Setup'!$E$7,$AD7:$BA7)+'Model Setup'!$E$8*(SUMIF($BH$3:$CE$3,"&lt;"&amp;$DF7,$AD7:$BA7)+SUMIF($BH$3:$CE$3,"&gt;"&amp;$CW$4,$AD7:$BA7)),
IF(BX$3=$DF7+'Model Setup'!$F$7,SUMIF($BH$3:$CE$3,"="&amp;$DF7+'Model Setup'!$F$7,$AD7:$BA7)+'Model Setup'!$F$8*(SUMIF($BH$3:$CE$3,"&lt;"&amp;$DF7,$AD7:$BA7)+SUMIF($BH$3:$CE$3,"&gt;"&amp;$CW$4,$AD7:$BA7)),
IF(BX$3=$DF7+'Model Setup'!$G$7,SUMIF($BH$3:$CE$3,"="&amp;$DF7+'Model Setup'!$G$7,$AD7:$BA7)+'Model Setup'!$G$8*(SUMIF($BH$3:$CE$3,"&lt;"&amp;$DF7,$AD7:$BA7)+SUMIF($BH$3:$CE$3,"&gt;"&amp;$CW$4,$AD7:$BA7)),
IF(BX$3=$DF7+'Model Setup'!$H$7,SUMIF($BH$3:$CE$3,"="&amp;$DF7+'Model Setup'!$H$7,$AD7:$BA7)+'Model Setup'!$H$8*(SUMIF($BH$3:$CE$3,"&lt;"&amp;$DF7,$AD7:$BA7)+SUMIF($BH$3:$CE$3,"&gt;"&amp;$CW$4,$AD7:$BA7)),
IF(BX$3=$DF7+'Model Setup'!$I$7,SUMIF($BH$3:$CE$3,"="&amp;$DF7+'Model Setup'!$I$7,$AD7:$BA7)+'Model Setup'!$I$8*(SUMIF($BH$3:$CE$3,"&lt;"&amp;$DF7,$AD7:$BA7)+SUMIF($BH$3:$CE$3,"&gt;"&amp;$CW$4,$AD7:$BA7)),
IF(BX$3=$DF7+'Model Setup'!$J$7,SUMIF($BH$3:$CE$3,"="&amp;$DF7+'Model Setup'!$J$7,$AD7:$BA7)+'Model Setup'!$J$8*(SUMIF($BH$3:$CE$3,"&lt;"&amp;$DF7,$AD7:$BA7)+SUMIF($BH$3:$CE$3,"&gt;"&amp;$CW$4,$AD7:$BA7)),
IF(BX$3=$DF7+'Model Setup'!$K$7,SUMIF($BH$3:$CE$3,"="&amp;$DF7+'Model Setup'!$K$7,$AD7:$BA7)+'Model Setup'!$K$8*(SUMIF($BH$3:$CE$3,"&lt;"&amp;$DF7,$AD7:$BA7)+SUMIF($BH$3:$CE$3,"&gt;"&amp;$CW$4,$AD7:$BA7)),
IF(BX$3=$DF7+'Model Setup'!$L$7,SUMIF($BH$3:$CE$3,"="&amp;$DF7+'Model Setup'!$L$7,$AD7:$BA7)+'Model Setup'!$L$8*(SUMIF($BH$3:$CE$3,"&lt;"&amp;$DF7,$AD7:$BA7)+SUMIF($BH$3:$CE$3,"&gt;"&amp;$CW$4,$AD7:$BA7)),
IF(BX$3=$DF7+'Model Setup'!$M$7,SUMIF($BH$3:$CE$3,"="&amp;$DF7+'Model Setup'!$M$7,$AD7:$BA7)+'Model Setup'!$M$8*(SUMIF($BH$3:$CE$3,"&lt;"&amp;$DF7,$AD7:$BA7)+SUMIF($BH$3:$CE$3,"&gt;"&amp;$CW$4,$AD7:$BA7)),
IF(BX$3=$DF7+'Model Setup'!$N$7,SUMIF($BH$3:$CE$3,"="&amp;$DF7+'Model Setup'!$N$7,$AD7:$BA7)+'Model Setup'!$N$8*(SUMIF($BH$3:$CE$3,"&lt;"&amp;$DF7,$AD7:$BA7)+SUMIF($BH$3:$CE$3,"&gt;"&amp;$CW$4,$AD7:$BA7)),
IF(BX$3&lt;$CW$4,R7,0))))))))))))))),0)</f>
        <v>16</v>
      </c>
      <c r="BY7" s="47">
        <f>ROUND(IF(OR(BY$3&lt;$DF7,BY$3&gt;$CW$4),0,
IF(BY$3=$DF7+'Model Setup'!$B$7,SUMIF($BH$3:$CE$3,"="&amp;$DF7+'Model Setup'!$B$7,$AD7:$BA7)+'Model Setup'!$B$8*(SUMIF($BH$3:$CE$3,"&lt;"&amp;$DF7,$AD7:$BA7)+SUMIF($BH$3:$CE$3,"&gt;"&amp;$CW$4,$AD7:$BA7)),
IF(BY$3=$DF7+'Model Setup'!$C$7,SUMIF($BH$3:$CE$3,"="&amp;$DF7+'Model Setup'!$C$7,$AD7:$BA7)+'Model Setup'!$C$8*(SUMIF($BH$3:$CE$3,"&lt;"&amp;$DF7,$AD7:$BA7)+SUMIF($BH$3:$CE$3,"&gt;"&amp;$CW$4,$AD7:$BA7)),
IF(BY$3=$DF7+'Model Setup'!$D$7,SUMIF($BH$3:$CE$3,"="&amp;$DF7+'Model Setup'!$D$7,$AD7:$BA7)+'Model Setup'!$D$8*(SUMIF($BH$3:$CE$3,"&lt;"&amp;$DF7,$AD7:$BA7)+SUMIF($BH$3:$CE$3,"&gt;"&amp;$CW$4,$AD7:$BA7)),
IF(BY$3=$DF7+'Model Setup'!$E$7,SUMIF($BH$3:$CE$3,"="&amp;$DF7+'Model Setup'!$E$7,$AD7:$BA7)+'Model Setup'!$E$8*(SUMIF($BH$3:$CE$3,"&lt;"&amp;$DF7,$AD7:$BA7)+SUMIF($BH$3:$CE$3,"&gt;"&amp;$CW$4,$AD7:$BA7)),
IF(BY$3=$DF7+'Model Setup'!$F$7,SUMIF($BH$3:$CE$3,"="&amp;$DF7+'Model Setup'!$F$7,$AD7:$BA7)+'Model Setup'!$F$8*(SUMIF($BH$3:$CE$3,"&lt;"&amp;$DF7,$AD7:$BA7)+SUMIF($BH$3:$CE$3,"&gt;"&amp;$CW$4,$AD7:$BA7)),
IF(BY$3=$DF7+'Model Setup'!$G$7,SUMIF($BH$3:$CE$3,"="&amp;$DF7+'Model Setup'!$G$7,$AD7:$BA7)+'Model Setup'!$G$8*(SUMIF($BH$3:$CE$3,"&lt;"&amp;$DF7,$AD7:$BA7)+SUMIF($BH$3:$CE$3,"&gt;"&amp;$CW$4,$AD7:$BA7)),
IF(BY$3=$DF7+'Model Setup'!$H$7,SUMIF($BH$3:$CE$3,"="&amp;$DF7+'Model Setup'!$H$7,$AD7:$BA7)+'Model Setup'!$H$8*(SUMIF($BH$3:$CE$3,"&lt;"&amp;$DF7,$AD7:$BA7)+SUMIF($BH$3:$CE$3,"&gt;"&amp;$CW$4,$AD7:$BA7)),
IF(BY$3=$DF7+'Model Setup'!$I$7,SUMIF($BH$3:$CE$3,"="&amp;$DF7+'Model Setup'!$I$7,$AD7:$BA7)+'Model Setup'!$I$8*(SUMIF($BH$3:$CE$3,"&lt;"&amp;$DF7,$AD7:$BA7)+SUMIF($BH$3:$CE$3,"&gt;"&amp;$CW$4,$AD7:$BA7)),
IF(BY$3=$DF7+'Model Setup'!$J$7,SUMIF($BH$3:$CE$3,"="&amp;$DF7+'Model Setup'!$J$7,$AD7:$BA7)+'Model Setup'!$J$8*(SUMIF($BH$3:$CE$3,"&lt;"&amp;$DF7,$AD7:$BA7)+SUMIF($BH$3:$CE$3,"&gt;"&amp;$CW$4,$AD7:$BA7)),
IF(BY$3=$DF7+'Model Setup'!$K$7,SUMIF($BH$3:$CE$3,"="&amp;$DF7+'Model Setup'!$K$7,$AD7:$BA7)+'Model Setup'!$K$8*(SUMIF($BH$3:$CE$3,"&lt;"&amp;$DF7,$AD7:$BA7)+SUMIF($BH$3:$CE$3,"&gt;"&amp;$CW$4,$AD7:$BA7)),
IF(BY$3=$DF7+'Model Setup'!$L$7,SUMIF($BH$3:$CE$3,"="&amp;$DF7+'Model Setup'!$L$7,$AD7:$BA7)+'Model Setup'!$L$8*(SUMIF($BH$3:$CE$3,"&lt;"&amp;$DF7,$AD7:$BA7)+SUMIF($BH$3:$CE$3,"&gt;"&amp;$CW$4,$AD7:$BA7)),
IF(BY$3=$DF7+'Model Setup'!$M$7,SUMIF($BH$3:$CE$3,"="&amp;$DF7+'Model Setup'!$M$7,$AD7:$BA7)+'Model Setup'!$M$8*(SUMIF($BH$3:$CE$3,"&lt;"&amp;$DF7,$AD7:$BA7)+SUMIF($BH$3:$CE$3,"&gt;"&amp;$CW$4,$AD7:$BA7)),
IF(BY$3=$DF7+'Model Setup'!$N$7,SUMIF($BH$3:$CE$3,"="&amp;$DF7+'Model Setup'!$N$7,$AD7:$BA7)+'Model Setup'!$N$8*(SUMIF($BH$3:$CE$3,"&lt;"&amp;$DF7,$AD7:$BA7)+SUMIF($BH$3:$CE$3,"&gt;"&amp;$CW$4,$AD7:$BA7)),
IF(BY$3&lt;$CW$4,S7,0))))))))))))))),0)</f>
        <v>15</v>
      </c>
      <c r="BZ7" s="47">
        <f>ROUND(IF(OR(BZ$3&lt;$DF7,BZ$3&gt;$CW$4),0,
IF(BZ$3=$DF7+'Model Setup'!$B$7,SUMIF($BH$3:$CE$3,"="&amp;$DF7+'Model Setup'!$B$7,$AD7:$BA7)+'Model Setup'!$B$8*(SUMIF($BH$3:$CE$3,"&lt;"&amp;$DF7,$AD7:$BA7)+SUMIF($BH$3:$CE$3,"&gt;"&amp;$CW$4,$AD7:$BA7)),
IF(BZ$3=$DF7+'Model Setup'!$C$7,SUMIF($BH$3:$CE$3,"="&amp;$DF7+'Model Setup'!$C$7,$AD7:$BA7)+'Model Setup'!$C$8*(SUMIF($BH$3:$CE$3,"&lt;"&amp;$DF7,$AD7:$BA7)+SUMIF($BH$3:$CE$3,"&gt;"&amp;$CW$4,$AD7:$BA7)),
IF(BZ$3=$DF7+'Model Setup'!$D$7,SUMIF($BH$3:$CE$3,"="&amp;$DF7+'Model Setup'!$D$7,$AD7:$BA7)+'Model Setup'!$D$8*(SUMIF($BH$3:$CE$3,"&lt;"&amp;$DF7,$AD7:$BA7)+SUMIF($BH$3:$CE$3,"&gt;"&amp;$CW$4,$AD7:$BA7)),
IF(BZ$3=$DF7+'Model Setup'!$E$7,SUMIF($BH$3:$CE$3,"="&amp;$DF7+'Model Setup'!$E$7,$AD7:$BA7)+'Model Setup'!$E$8*(SUMIF($BH$3:$CE$3,"&lt;"&amp;$DF7,$AD7:$BA7)+SUMIF($BH$3:$CE$3,"&gt;"&amp;$CW$4,$AD7:$BA7)),
IF(BZ$3=$DF7+'Model Setup'!$F$7,SUMIF($BH$3:$CE$3,"="&amp;$DF7+'Model Setup'!$F$7,$AD7:$BA7)+'Model Setup'!$F$8*(SUMIF($BH$3:$CE$3,"&lt;"&amp;$DF7,$AD7:$BA7)+SUMIF($BH$3:$CE$3,"&gt;"&amp;$CW$4,$AD7:$BA7)),
IF(BZ$3=$DF7+'Model Setup'!$G$7,SUMIF($BH$3:$CE$3,"="&amp;$DF7+'Model Setup'!$G$7,$AD7:$BA7)+'Model Setup'!$G$8*(SUMIF($BH$3:$CE$3,"&lt;"&amp;$DF7,$AD7:$BA7)+SUMIF($BH$3:$CE$3,"&gt;"&amp;$CW$4,$AD7:$BA7)),
IF(BZ$3=$DF7+'Model Setup'!$H$7,SUMIF($BH$3:$CE$3,"="&amp;$DF7+'Model Setup'!$H$7,$AD7:$BA7)+'Model Setup'!$H$8*(SUMIF($BH$3:$CE$3,"&lt;"&amp;$DF7,$AD7:$BA7)+SUMIF($BH$3:$CE$3,"&gt;"&amp;$CW$4,$AD7:$BA7)),
IF(BZ$3=$DF7+'Model Setup'!$I$7,SUMIF($BH$3:$CE$3,"="&amp;$DF7+'Model Setup'!$I$7,$AD7:$BA7)+'Model Setup'!$I$8*(SUMIF($BH$3:$CE$3,"&lt;"&amp;$DF7,$AD7:$BA7)+SUMIF($BH$3:$CE$3,"&gt;"&amp;$CW$4,$AD7:$BA7)),
IF(BZ$3=$DF7+'Model Setup'!$J$7,SUMIF($BH$3:$CE$3,"="&amp;$DF7+'Model Setup'!$J$7,$AD7:$BA7)+'Model Setup'!$J$8*(SUMIF($BH$3:$CE$3,"&lt;"&amp;$DF7,$AD7:$BA7)+SUMIF($BH$3:$CE$3,"&gt;"&amp;$CW$4,$AD7:$BA7)),
IF(BZ$3=$DF7+'Model Setup'!$K$7,SUMIF($BH$3:$CE$3,"="&amp;$DF7+'Model Setup'!$K$7,$AD7:$BA7)+'Model Setup'!$K$8*(SUMIF($BH$3:$CE$3,"&lt;"&amp;$DF7,$AD7:$BA7)+SUMIF($BH$3:$CE$3,"&gt;"&amp;$CW$4,$AD7:$BA7)),
IF(BZ$3=$DF7+'Model Setup'!$L$7,SUMIF($BH$3:$CE$3,"="&amp;$DF7+'Model Setup'!$L$7,$AD7:$BA7)+'Model Setup'!$L$8*(SUMIF($BH$3:$CE$3,"&lt;"&amp;$DF7,$AD7:$BA7)+SUMIF($BH$3:$CE$3,"&gt;"&amp;$CW$4,$AD7:$BA7)),
IF(BZ$3=$DF7+'Model Setup'!$M$7,SUMIF($BH$3:$CE$3,"="&amp;$DF7+'Model Setup'!$M$7,$AD7:$BA7)+'Model Setup'!$M$8*(SUMIF($BH$3:$CE$3,"&lt;"&amp;$DF7,$AD7:$BA7)+SUMIF($BH$3:$CE$3,"&gt;"&amp;$CW$4,$AD7:$BA7)),
IF(BZ$3=$DF7+'Model Setup'!$N$7,SUMIF($BH$3:$CE$3,"="&amp;$DF7+'Model Setup'!$N$7,$AD7:$BA7)+'Model Setup'!$N$8*(SUMIF($BH$3:$CE$3,"&lt;"&amp;$DF7,$AD7:$BA7)+SUMIF($BH$3:$CE$3,"&gt;"&amp;$CW$4,$AD7:$BA7)),
IF(BZ$3&lt;$CW$4,T7,0))))))))))))))),0)</f>
        <v>15</v>
      </c>
      <c r="CA7" s="47">
        <f>ROUND(IF(OR(CA$3&lt;$DF7,CA$3&gt;$CW$4),0,
IF(CA$3=$DF7+'Model Setup'!$B$7,SUMIF($BH$3:$CE$3,"="&amp;$DF7+'Model Setup'!$B$7,$AD7:$BA7)+'Model Setup'!$B$8*(SUMIF($BH$3:$CE$3,"&lt;"&amp;$DF7,$AD7:$BA7)+SUMIF($BH$3:$CE$3,"&gt;"&amp;$CW$4,$AD7:$BA7)),
IF(CA$3=$DF7+'Model Setup'!$C$7,SUMIF($BH$3:$CE$3,"="&amp;$DF7+'Model Setup'!$C$7,$AD7:$BA7)+'Model Setup'!$C$8*(SUMIF($BH$3:$CE$3,"&lt;"&amp;$DF7,$AD7:$BA7)+SUMIF($BH$3:$CE$3,"&gt;"&amp;$CW$4,$AD7:$BA7)),
IF(CA$3=$DF7+'Model Setup'!$D$7,SUMIF($BH$3:$CE$3,"="&amp;$DF7+'Model Setup'!$D$7,$AD7:$BA7)+'Model Setup'!$D$8*(SUMIF($BH$3:$CE$3,"&lt;"&amp;$DF7,$AD7:$BA7)+SUMIF($BH$3:$CE$3,"&gt;"&amp;$CW$4,$AD7:$BA7)),
IF(CA$3=$DF7+'Model Setup'!$E$7,SUMIF($BH$3:$CE$3,"="&amp;$DF7+'Model Setup'!$E$7,$AD7:$BA7)+'Model Setup'!$E$8*(SUMIF($BH$3:$CE$3,"&lt;"&amp;$DF7,$AD7:$BA7)+SUMIF($BH$3:$CE$3,"&gt;"&amp;$CW$4,$AD7:$BA7)),
IF(CA$3=$DF7+'Model Setup'!$F$7,SUMIF($BH$3:$CE$3,"="&amp;$DF7+'Model Setup'!$F$7,$AD7:$BA7)+'Model Setup'!$F$8*(SUMIF($BH$3:$CE$3,"&lt;"&amp;$DF7,$AD7:$BA7)+SUMIF($BH$3:$CE$3,"&gt;"&amp;$CW$4,$AD7:$BA7)),
IF(CA$3=$DF7+'Model Setup'!$G$7,SUMIF($BH$3:$CE$3,"="&amp;$DF7+'Model Setup'!$G$7,$AD7:$BA7)+'Model Setup'!$G$8*(SUMIF($BH$3:$CE$3,"&lt;"&amp;$DF7,$AD7:$BA7)+SUMIF($BH$3:$CE$3,"&gt;"&amp;$CW$4,$AD7:$BA7)),
IF(CA$3=$DF7+'Model Setup'!$H$7,SUMIF($BH$3:$CE$3,"="&amp;$DF7+'Model Setup'!$H$7,$AD7:$BA7)+'Model Setup'!$H$8*(SUMIF($BH$3:$CE$3,"&lt;"&amp;$DF7,$AD7:$BA7)+SUMIF($BH$3:$CE$3,"&gt;"&amp;$CW$4,$AD7:$BA7)),
IF(CA$3=$DF7+'Model Setup'!$I$7,SUMIF($BH$3:$CE$3,"="&amp;$DF7+'Model Setup'!$I$7,$AD7:$BA7)+'Model Setup'!$I$8*(SUMIF($BH$3:$CE$3,"&lt;"&amp;$DF7,$AD7:$BA7)+SUMIF($BH$3:$CE$3,"&gt;"&amp;$CW$4,$AD7:$BA7)),
IF(CA$3=$DF7+'Model Setup'!$J$7,SUMIF($BH$3:$CE$3,"="&amp;$DF7+'Model Setup'!$J$7,$AD7:$BA7)+'Model Setup'!$J$8*(SUMIF($BH$3:$CE$3,"&lt;"&amp;$DF7,$AD7:$BA7)+SUMIF($BH$3:$CE$3,"&gt;"&amp;$CW$4,$AD7:$BA7)),
IF(CA$3=$DF7+'Model Setup'!$K$7,SUMIF($BH$3:$CE$3,"="&amp;$DF7+'Model Setup'!$K$7,$AD7:$BA7)+'Model Setup'!$K$8*(SUMIF($BH$3:$CE$3,"&lt;"&amp;$DF7,$AD7:$BA7)+SUMIF($BH$3:$CE$3,"&gt;"&amp;$CW$4,$AD7:$BA7)),
IF(CA$3=$DF7+'Model Setup'!$L$7,SUMIF($BH$3:$CE$3,"="&amp;$DF7+'Model Setup'!$L$7,$AD7:$BA7)+'Model Setup'!$L$8*(SUMIF($BH$3:$CE$3,"&lt;"&amp;$DF7,$AD7:$BA7)+SUMIF($BH$3:$CE$3,"&gt;"&amp;$CW$4,$AD7:$BA7)),
IF(CA$3=$DF7+'Model Setup'!$M$7,SUMIF($BH$3:$CE$3,"="&amp;$DF7+'Model Setup'!$M$7,$AD7:$BA7)+'Model Setup'!$M$8*(SUMIF($BH$3:$CE$3,"&lt;"&amp;$DF7,$AD7:$BA7)+SUMIF($BH$3:$CE$3,"&gt;"&amp;$CW$4,$AD7:$BA7)),
IF(CA$3=$DF7+'Model Setup'!$N$7,SUMIF($BH$3:$CE$3,"="&amp;$DF7+'Model Setup'!$N$7,$AD7:$BA7)+'Model Setup'!$N$8*(SUMIF($BH$3:$CE$3,"&lt;"&amp;$DF7,$AD7:$BA7)+SUMIF($BH$3:$CE$3,"&gt;"&amp;$CW$4,$AD7:$BA7)),
IF(CA$3&lt;$CW$4,U7,0))))))))))))))),0)</f>
        <v>0</v>
      </c>
      <c r="CB7" s="47">
        <f>ROUND(IF(OR(CB$3&lt;$DF7,CB$3&gt;$CW$4),0,
IF(CB$3=$DF7+'Model Setup'!$B$7,SUMIF($BH$3:$CE$3,"="&amp;$DF7+'Model Setup'!$B$7,$AD7:$BA7)+'Model Setup'!$B$8*(SUMIF($BH$3:$CE$3,"&lt;"&amp;$DF7,$AD7:$BA7)+SUMIF($BH$3:$CE$3,"&gt;"&amp;$CW$4,$AD7:$BA7)),
IF(CB$3=$DF7+'Model Setup'!$C$7,SUMIF($BH$3:$CE$3,"="&amp;$DF7+'Model Setup'!$C$7,$AD7:$BA7)+'Model Setup'!$C$8*(SUMIF($BH$3:$CE$3,"&lt;"&amp;$DF7,$AD7:$BA7)+SUMIF($BH$3:$CE$3,"&gt;"&amp;$CW$4,$AD7:$BA7)),
IF(CB$3=$DF7+'Model Setup'!$D$7,SUMIF($BH$3:$CE$3,"="&amp;$DF7+'Model Setup'!$D$7,$AD7:$BA7)+'Model Setup'!$D$8*(SUMIF($BH$3:$CE$3,"&lt;"&amp;$DF7,$AD7:$BA7)+SUMIF($BH$3:$CE$3,"&gt;"&amp;$CW$4,$AD7:$BA7)),
IF(CB$3=$DF7+'Model Setup'!$E$7,SUMIF($BH$3:$CE$3,"="&amp;$DF7+'Model Setup'!$E$7,$AD7:$BA7)+'Model Setup'!$E$8*(SUMIF($BH$3:$CE$3,"&lt;"&amp;$DF7,$AD7:$BA7)+SUMIF($BH$3:$CE$3,"&gt;"&amp;$CW$4,$AD7:$BA7)),
IF(CB$3=$DF7+'Model Setup'!$F$7,SUMIF($BH$3:$CE$3,"="&amp;$DF7+'Model Setup'!$F$7,$AD7:$BA7)+'Model Setup'!$F$8*(SUMIF($BH$3:$CE$3,"&lt;"&amp;$DF7,$AD7:$BA7)+SUMIF($BH$3:$CE$3,"&gt;"&amp;$CW$4,$AD7:$BA7)),
IF(CB$3=$DF7+'Model Setup'!$G$7,SUMIF($BH$3:$CE$3,"="&amp;$DF7+'Model Setup'!$G$7,$AD7:$BA7)+'Model Setup'!$G$8*(SUMIF($BH$3:$CE$3,"&lt;"&amp;$DF7,$AD7:$BA7)+SUMIF($BH$3:$CE$3,"&gt;"&amp;$CW$4,$AD7:$BA7)),
IF(CB$3=$DF7+'Model Setup'!$H$7,SUMIF($BH$3:$CE$3,"="&amp;$DF7+'Model Setup'!$H$7,$AD7:$BA7)+'Model Setup'!$H$8*(SUMIF($BH$3:$CE$3,"&lt;"&amp;$DF7,$AD7:$BA7)+SUMIF($BH$3:$CE$3,"&gt;"&amp;$CW$4,$AD7:$BA7)),
IF(CB$3=$DF7+'Model Setup'!$I$7,SUMIF($BH$3:$CE$3,"="&amp;$DF7+'Model Setup'!$I$7,$AD7:$BA7)+'Model Setup'!$I$8*(SUMIF($BH$3:$CE$3,"&lt;"&amp;$DF7,$AD7:$BA7)+SUMIF($BH$3:$CE$3,"&gt;"&amp;$CW$4,$AD7:$BA7)),
IF(CB$3=$DF7+'Model Setup'!$J$7,SUMIF($BH$3:$CE$3,"="&amp;$DF7+'Model Setup'!$J$7,$AD7:$BA7)+'Model Setup'!$J$8*(SUMIF($BH$3:$CE$3,"&lt;"&amp;$DF7,$AD7:$BA7)+SUMIF($BH$3:$CE$3,"&gt;"&amp;$CW$4,$AD7:$BA7)),
IF(CB$3=$DF7+'Model Setup'!$K$7,SUMIF($BH$3:$CE$3,"="&amp;$DF7+'Model Setup'!$K$7,$AD7:$BA7)+'Model Setup'!$K$8*(SUMIF($BH$3:$CE$3,"&lt;"&amp;$DF7,$AD7:$BA7)+SUMIF($BH$3:$CE$3,"&gt;"&amp;$CW$4,$AD7:$BA7)),
IF(CB$3=$DF7+'Model Setup'!$L$7,SUMIF($BH$3:$CE$3,"="&amp;$DF7+'Model Setup'!$L$7,$AD7:$BA7)+'Model Setup'!$L$8*(SUMIF($BH$3:$CE$3,"&lt;"&amp;$DF7,$AD7:$BA7)+SUMIF($BH$3:$CE$3,"&gt;"&amp;$CW$4,$AD7:$BA7)),
IF(CB$3=$DF7+'Model Setup'!$M$7,SUMIF($BH$3:$CE$3,"="&amp;$DF7+'Model Setup'!$M$7,$AD7:$BA7)+'Model Setup'!$M$8*(SUMIF($BH$3:$CE$3,"&lt;"&amp;$DF7,$AD7:$BA7)+SUMIF($BH$3:$CE$3,"&gt;"&amp;$CW$4,$AD7:$BA7)),
IF(CB$3=$DF7+'Model Setup'!$N$7,SUMIF($BH$3:$CE$3,"="&amp;$DF7+'Model Setup'!$N$7,$AD7:$BA7)+'Model Setup'!$N$8*(SUMIF($BH$3:$CE$3,"&lt;"&amp;$DF7,$AD7:$BA7)+SUMIF($BH$3:$CE$3,"&gt;"&amp;$CW$4,$AD7:$BA7)),
IF(CB$3&lt;$CW$4,V7,0))))))))))))))),0)</f>
        <v>0</v>
      </c>
      <c r="CC7" s="47">
        <f>ROUND(IF(OR(CC$3&lt;$DF7,CC$3&gt;$CW$4),0,
IF(CC$3=$DF7+'Model Setup'!$B$7,SUMIF($BH$3:$CE$3,"="&amp;$DF7+'Model Setup'!$B$7,$AD7:$BA7)+'Model Setup'!$B$8*(SUMIF($BH$3:$CE$3,"&lt;"&amp;$DF7,$AD7:$BA7)+SUMIF($BH$3:$CE$3,"&gt;"&amp;$CW$4,$AD7:$BA7)),
IF(CC$3=$DF7+'Model Setup'!$C$7,SUMIF($BH$3:$CE$3,"="&amp;$DF7+'Model Setup'!$C$7,$AD7:$BA7)+'Model Setup'!$C$8*(SUMIF($BH$3:$CE$3,"&lt;"&amp;$DF7,$AD7:$BA7)+SUMIF($BH$3:$CE$3,"&gt;"&amp;$CW$4,$AD7:$BA7)),
IF(CC$3=$DF7+'Model Setup'!$D$7,SUMIF($BH$3:$CE$3,"="&amp;$DF7+'Model Setup'!$D$7,$AD7:$BA7)+'Model Setup'!$D$8*(SUMIF($BH$3:$CE$3,"&lt;"&amp;$DF7,$AD7:$BA7)+SUMIF($BH$3:$CE$3,"&gt;"&amp;$CW$4,$AD7:$BA7)),
IF(CC$3=$DF7+'Model Setup'!$E$7,SUMIF($BH$3:$CE$3,"="&amp;$DF7+'Model Setup'!$E$7,$AD7:$BA7)+'Model Setup'!$E$8*(SUMIF($BH$3:$CE$3,"&lt;"&amp;$DF7,$AD7:$BA7)+SUMIF($BH$3:$CE$3,"&gt;"&amp;$CW$4,$AD7:$BA7)),
IF(CC$3=$DF7+'Model Setup'!$F$7,SUMIF($BH$3:$CE$3,"="&amp;$DF7+'Model Setup'!$F$7,$AD7:$BA7)+'Model Setup'!$F$8*(SUMIF($BH$3:$CE$3,"&lt;"&amp;$DF7,$AD7:$BA7)+SUMIF($BH$3:$CE$3,"&gt;"&amp;$CW$4,$AD7:$BA7)),
IF(CC$3=$DF7+'Model Setup'!$G$7,SUMIF($BH$3:$CE$3,"="&amp;$DF7+'Model Setup'!$G$7,$AD7:$BA7)+'Model Setup'!$G$8*(SUMIF($BH$3:$CE$3,"&lt;"&amp;$DF7,$AD7:$BA7)+SUMIF($BH$3:$CE$3,"&gt;"&amp;$CW$4,$AD7:$BA7)),
IF(CC$3=$DF7+'Model Setup'!$H$7,SUMIF($BH$3:$CE$3,"="&amp;$DF7+'Model Setup'!$H$7,$AD7:$BA7)+'Model Setup'!$H$8*(SUMIF($BH$3:$CE$3,"&lt;"&amp;$DF7,$AD7:$BA7)+SUMIF($BH$3:$CE$3,"&gt;"&amp;$CW$4,$AD7:$BA7)),
IF(CC$3=$DF7+'Model Setup'!$I$7,SUMIF($BH$3:$CE$3,"="&amp;$DF7+'Model Setup'!$I$7,$AD7:$BA7)+'Model Setup'!$I$8*(SUMIF($BH$3:$CE$3,"&lt;"&amp;$DF7,$AD7:$BA7)+SUMIF($BH$3:$CE$3,"&gt;"&amp;$CW$4,$AD7:$BA7)),
IF(CC$3=$DF7+'Model Setup'!$J$7,SUMIF($BH$3:$CE$3,"="&amp;$DF7+'Model Setup'!$J$7,$AD7:$BA7)+'Model Setup'!$J$8*(SUMIF($BH$3:$CE$3,"&lt;"&amp;$DF7,$AD7:$BA7)+SUMIF($BH$3:$CE$3,"&gt;"&amp;$CW$4,$AD7:$BA7)),
IF(CC$3=$DF7+'Model Setup'!$K$7,SUMIF($BH$3:$CE$3,"="&amp;$DF7+'Model Setup'!$K$7,$AD7:$BA7)+'Model Setup'!$K$8*(SUMIF($BH$3:$CE$3,"&lt;"&amp;$DF7,$AD7:$BA7)+SUMIF($BH$3:$CE$3,"&gt;"&amp;$CW$4,$AD7:$BA7)),
IF(CC$3=$DF7+'Model Setup'!$L$7,SUMIF($BH$3:$CE$3,"="&amp;$DF7+'Model Setup'!$L$7,$AD7:$BA7)+'Model Setup'!$L$8*(SUMIF($BH$3:$CE$3,"&lt;"&amp;$DF7,$AD7:$BA7)+SUMIF($BH$3:$CE$3,"&gt;"&amp;$CW$4,$AD7:$BA7)),
IF(CC$3=$DF7+'Model Setup'!$M$7,SUMIF($BH$3:$CE$3,"="&amp;$DF7+'Model Setup'!$M$7,$AD7:$BA7)+'Model Setup'!$M$8*(SUMIF($BH$3:$CE$3,"&lt;"&amp;$DF7,$AD7:$BA7)+SUMIF($BH$3:$CE$3,"&gt;"&amp;$CW$4,$AD7:$BA7)),
IF(CC$3=$DF7+'Model Setup'!$N$7,SUMIF($BH$3:$CE$3,"="&amp;$DF7+'Model Setup'!$N$7,$AD7:$BA7)+'Model Setup'!$N$8*(SUMIF($BH$3:$CE$3,"&lt;"&amp;$DF7,$AD7:$BA7)+SUMIF($BH$3:$CE$3,"&gt;"&amp;$CW$4,$AD7:$BA7)),
IF(CC$3&lt;$CW$4,W7,0))))))))))))))),0)</f>
        <v>0</v>
      </c>
      <c r="CD7" s="47">
        <f>ROUND(IF(OR(CD$3&lt;$DF7,CD$3&gt;$CW$4),0,
IF(CD$3=$DF7+'Model Setup'!$B$7,SUMIF($BH$3:$CE$3,"="&amp;$DF7+'Model Setup'!$B$7,$AD7:$BA7)+'Model Setup'!$B$8*(SUMIF($BH$3:$CE$3,"&lt;"&amp;$DF7,$AD7:$BA7)+SUMIF($BH$3:$CE$3,"&gt;"&amp;$CW$4,$AD7:$BA7)),
IF(CD$3=$DF7+'Model Setup'!$C$7,SUMIF($BH$3:$CE$3,"="&amp;$DF7+'Model Setup'!$C$7,$AD7:$BA7)+'Model Setup'!$C$8*(SUMIF($BH$3:$CE$3,"&lt;"&amp;$DF7,$AD7:$BA7)+SUMIF($BH$3:$CE$3,"&gt;"&amp;$CW$4,$AD7:$BA7)),
IF(CD$3=$DF7+'Model Setup'!$D$7,SUMIF($BH$3:$CE$3,"="&amp;$DF7+'Model Setup'!$D$7,$AD7:$BA7)+'Model Setup'!$D$8*(SUMIF($BH$3:$CE$3,"&lt;"&amp;$DF7,$AD7:$BA7)+SUMIF($BH$3:$CE$3,"&gt;"&amp;$CW$4,$AD7:$BA7)),
IF(CD$3=$DF7+'Model Setup'!$E$7,SUMIF($BH$3:$CE$3,"="&amp;$DF7+'Model Setup'!$E$7,$AD7:$BA7)+'Model Setup'!$E$8*(SUMIF($BH$3:$CE$3,"&lt;"&amp;$DF7,$AD7:$BA7)+SUMIF($BH$3:$CE$3,"&gt;"&amp;$CW$4,$AD7:$BA7)),
IF(CD$3=$DF7+'Model Setup'!$F$7,SUMIF($BH$3:$CE$3,"="&amp;$DF7+'Model Setup'!$F$7,$AD7:$BA7)+'Model Setup'!$F$8*(SUMIF($BH$3:$CE$3,"&lt;"&amp;$DF7,$AD7:$BA7)+SUMIF($BH$3:$CE$3,"&gt;"&amp;$CW$4,$AD7:$BA7)),
IF(CD$3=$DF7+'Model Setup'!$G$7,SUMIF($BH$3:$CE$3,"="&amp;$DF7+'Model Setup'!$G$7,$AD7:$BA7)+'Model Setup'!$G$8*(SUMIF($BH$3:$CE$3,"&lt;"&amp;$DF7,$AD7:$BA7)+SUMIF($BH$3:$CE$3,"&gt;"&amp;$CW$4,$AD7:$BA7)),
IF(CD$3=$DF7+'Model Setup'!$H$7,SUMIF($BH$3:$CE$3,"="&amp;$DF7+'Model Setup'!$H$7,$AD7:$BA7)+'Model Setup'!$H$8*(SUMIF($BH$3:$CE$3,"&lt;"&amp;$DF7,$AD7:$BA7)+SUMIF($BH$3:$CE$3,"&gt;"&amp;$CW$4,$AD7:$BA7)),
IF(CD$3=$DF7+'Model Setup'!$I$7,SUMIF($BH$3:$CE$3,"="&amp;$DF7+'Model Setup'!$I$7,$AD7:$BA7)+'Model Setup'!$I$8*(SUMIF($BH$3:$CE$3,"&lt;"&amp;$DF7,$AD7:$BA7)+SUMIF($BH$3:$CE$3,"&gt;"&amp;$CW$4,$AD7:$BA7)),
IF(CD$3=$DF7+'Model Setup'!$J$7,SUMIF($BH$3:$CE$3,"="&amp;$DF7+'Model Setup'!$J$7,$AD7:$BA7)+'Model Setup'!$J$8*(SUMIF($BH$3:$CE$3,"&lt;"&amp;$DF7,$AD7:$BA7)+SUMIF($BH$3:$CE$3,"&gt;"&amp;$CW$4,$AD7:$BA7)),
IF(CD$3=$DF7+'Model Setup'!$K$7,SUMIF($BH$3:$CE$3,"="&amp;$DF7+'Model Setup'!$K$7,$AD7:$BA7)+'Model Setup'!$K$8*(SUMIF($BH$3:$CE$3,"&lt;"&amp;$DF7,$AD7:$BA7)+SUMIF($BH$3:$CE$3,"&gt;"&amp;$CW$4,$AD7:$BA7)),
IF(CD$3=$DF7+'Model Setup'!$L$7,SUMIF($BH$3:$CE$3,"="&amp;$DF7+'Model Setup'!$L$7,$AD7:$BA7)+'Model Setup'!$L$8*(SUMIF($BH$3:$CE$3,"&lt;"&amp;$DF7,$AD7:$BA7)+SUMIF($BH$3:$CE$3,"&gt;"&amp;$CW$4,$AD7:$BA7)),
IF(CD$3=$DF7+'Model Setup'!$M$7,SUMIF($BH$3:$CE$3,"="&amp;$DF7+'Model Setup'!$M$7,$AD7:$BA7)+'Model Setup'!$M$8*(SUMIF($BH$3:$CE$3,"&lt;"&amp;$DF7,$AD7:$BA7)+SUMIF($BH$3:$CE$3,"&gt;"&amp;$CW$4,$AD7:$BA7)),
IF(CD$3=$DF7+'Model Setup'!$N$7,SUMIF($BH$3:$CE$3,"="&amp;$DF7+'Model Setup'!$N$7,$AD7:$BA7)+'Model Setup'!$N$8*(SUMIF($BH$3:$CE$3,"&lt;"&amp;$DF7,$AD7:$BA7)+SUMIF($BH$3:$CE$3,"&gt;"&amp;$CW$4,$AD7:$BA7)),
IF(CD$3&lt;$CW$4,X7,0))))))))))))))),0)</f>
        <v>0</v>
      </c>
      <c r="CE7" s="47">
        <f>ROUND(IF(OR(CE$3&lt;$DF7,CE$3&gt;$CW$4),0,
IF(CE$3=$DF7+'Model Setup'!$B$7,SUMIF($BH$3:$CE$3,"="&amp;$DF7+'Model Setup'!$B$7,$AD7:$BA7)+'Model Setup'!$B$8*(SUMIF($BH$3:$CE$3,"&lt;"&amp;$DF7,$AD7:$BA7)+SUMIF($BH$3:$CE$3,"&gt;"&amp;$CW$4,$AD7:$BA7)),
IF(CE$3=$DF7+'Model Setup'!$C$7,SUMIF($BH$3:$CE$3,"="&amp;$DF7+'Model Setup'!$C$7,$AD7:$BA7)+'Model Setup'!$C$8*(SUMIF($BH$3:$CE$3,"&lt;"&amp;$DF7,$AD7:$BA7)+SUMIF($BH$3:$CE$3,"&gt;"&amp;$CW$4,$AD7:$BA7)),
IF(CE$3=$DF7+'Model Setup'!$D$7,SUMIF($BH$3:$CE$3,"="&amp;$DF7+'Model Setup'!$D$7,$AD7:$BA7)+'Model Setup'!$D$8*(SUMIF($BH$3:$CE$3,"&lt;"&amp;$DF7,$AD7:$BA7)+SUMIF($BH$3:$CE$3,"&gt;"&amp;$CW$4,$AD7:$BA7)),
IF(CE$3=$DF7+'Model Setup'!$E$7,SUMIF($BH$3:$CE$3,"="&amp;$DF7+'Model Setup'!$E$7,$AD7:$BA7)+'Model Setup'!$E$8*(SUMIF($BH$3:$CE$3,"&lt;"&amp;$DF7,$AD7:$BA7)+SUMIF($BH$3:$CE$3,"&gt;"&amp;$CW$4,$AD7:$BA7)),
IF(CE$3=$DF7+'Model Setup'!$F$7,SUMIF($BH$3:$CE$3,"="&amp;$DF7+'Model Setup'!$F$7,$AD7:$BA7)+'Model Setup'!$F$8*(SUMIF($BH$3:$CE$3,"&lt;"&amp;$DF7,$AD7:$BA7)+SUMIF($BH$3:$CE$3,"&gt;"&amp;$CW$4,$AD7:$BA7)),
IF(CE$3=$DF7+'Model Setup'!$G$7,SUMIF($BH$3:$CE$3,"="&amp;$DF7+'Model Setup'!$G$7,$AD7:$BA7)+'Model Setup'!$G$8*(SUMIF($BH$3:$CE$3,"&lt;"&amp;$DF7,$AD7:$BA7)+SUMIF($BH$3:$CE$3,"&gt;"&amp;$CW$4,$AD7:$BA7)),
IF(CE$3=$DF7+'Model Setup'!$H$7,SUMIF($BH$3:$CE$3,"="&amp;$DF7+'Model Setup'!$H$7,$AD7:$BA7)+'Model Setup'!$H$8*(SUMIF($BH$3:$CE$3,"&lt;"&amp;$DF7,$AD7:$BA7)+SUMIF($BH$3:$CE$3,"&gt;"&amp;$CW$4,$AD7:$BA7)),
IF(CE$3=$DF7+'Model Setup'!$I$7,SUMIF($BH$3:$CE$3,"="&amp;$DF7+'Model Setup'!$I$7,$AD7:$BA7)+'Model Setup'!$I$8*(SUMIF($BH$3:$CE$3,"&lt;"&amp;$DF7,$AD7:$BA7)+SUMIF($BH$3:$CE$3,"&gt;"&amp;$CW$4,$AD7:$BA7)),
IF(CE$3=$DF7+'Model Setup'!$J$7,SUMIF($BH$3:$CE$3,"="&amp;$DF7+'Model Setup'!$J$7,$AD7:$BA7)+'Model Setup'!$J$8*(SUMIF($BH$3:$CE$3,"&lt;"&amp;$DF7,$AD7:$BA7)+SUMIF($BH$3:$CE$3,"&gt;"&amp;$CW$4,$AD7:$BA7)),
IF(CE$3=$DF7+'Model Setup'!$K$7,SUMIF($BH$3:$CE$3,"="&amp;$DF7+'Model Setup'!$K$7,$AD7:$BA7)+'Model Setup'!$K$8*(SUMIF($BH$3:$CE$3,"&lt;"&amp;$DF7,$AD7:$BA7)+SUMIF($BH$3:$CE$3,"&gt;"&amp;$CW$4,$AD7:$BA7)),
IF(CE$3=$DF7+'Model Setup'!$L$7,SUMIF($BH$3:$CE$3,"="&amp;$DF7+'Model Setup'!$L$7,$AD7:$BA7)+'Model Setup'!$L$8*(SUMIF($BH$3:$CE$3,"&lt;"&amp;$DF7,$AD7:$BA7)+SUMIF($BH$3:$CE$3,"&gt;"&amp;$CW$4,$AD7:$BA7)),
IF(CE$3=$DF7+'Model Setup'!$M$7,SUMIF($BH$3:$CE$3,"="&amp;$DF7+'Model Setup'!$M$7,$AD7:$BA7)+'Model Setup'!$M$8*(SUMIF($BH$3:$CE$3,"&lt;"&amp;$DF7,$AD7:$BA7)+SUMIF($BH$3:$CE$3,"&gt;"&amp;$CW$4,$AD7:$BA7)),
IF(CE$3=$DF7+'Model Setup'!$N$7,SUMIF($BH$3:$CE$3,"="&amp;$DF7+'Model Setup'!$N$7,$AD7:$BA7)+'Model Setup'!$N$8*(SUMIF($BH$3:$CE$3,"&lt;"&amp;$DF7,$AD7:$BA7)+SUMIF($BH$3:$CE$3,"&gt;"&amp;$CW$4,$AD7:$BA7)),
IF(CE$3&lt;$CW$4,Y7,0))))))))))))))),0)</f>
        <v>0</v>
      </c>
      <c r="CF7" s="47">
        <f t="shared" si="3"/>
        <v>306</v>
      </c>
      <c r="CG7" s="47">
        <f t="shared" si="4"/>
        <v>0</v>
      </c>
      <c r="CI7" s="10" t="s">
        <v>22</v>
      </c>
      <c r="CJ7" s="126">
        <f t="shared" si="9"/>
        <v>0</v>
      </c>
      <c r="CK7" s="126">
        <f t="shared" si="10"/>
        <v>30</v>
      </c>
      <c r="CL7" s="126">
        <f t="shared" si="11"/>
        <v>35</v>
      </c>
      <c r="CM7" s="126">
        <f t="shared" si="12"/>
        <v>46</v>
      </c>
      <c r="CN7" s="126">
        <f t="shared" si="13"/>
        <v>35</v>
      </c>
      <c r="CO7" s="126">
        <f t="shared" si="14"/>
        <v>29</v>
      </c>
      <c r="CP7" s="126">
        <f t="shared" si="15"/>
        <v>17</v>
      </c>
      <c r="CQ7" s="126">
        <f t="shared" si="16"/>
        <v>24</v>
      </c>
      <c r="CR7" s="126">
        <f t="shared" si="17"/>
        <v>17</v>
      </c>
      <c r="CS7" s="126">
        <f t="shared" si="18"/>
        <v>17</v>
      </c>
      <c r="CT7" s="126">
        <f t="shared" si="19"/>
        <v>10</v>
      </c>
      <c r="CU7" s="126">
        <f t="shared" si="20"/>
        <v>16</v>
      </c>
      <c r="CV7" s="126">
        <f t="shared" si="21"/>
        <v>15</v>
      </c>
      <c r="CW7" s="126">
        <f t="shared" si="22"/>
        <v>15</v>
      </c>
      <c r="CX7" s="126">
        <f t="shared" si="23"/>
        <v>0</v>
      </c>
      <c r="CY7" s="126">
        <f t="shared" si="24"/>
        <v>0</v>
      </c>
      <c r="CZ7" s="47">
        <f t="shared" si="7"/>
        <v>306</v>
      </c>
      <c r="DC7" s="93" t="s">
        <v>22</v>
      </c>
      <c r="DD7" s="89">
        <f>FTC!E5</f>
        <v>0.25</v>
      </c>
      <c r="DE7" s="89">
        <f>FTC!F5</f>
        <v>0.79166666666666663</v>
      </c>
      <c r="DF7" s="90">
        <f t="shared" si="25"/>
        <v>6</v>
      </c>
      <c r="DG7" s="91">
        <f t="shared" si="26"/>
        <v>19</v>
      </c>
      <c r="DH7" s="91">
        <f t="shared" si="27"/>
        <v>13</v>
      </c>
    </row>
    <row r="8" spans="1:112" x14ac:dyDescent="0.35">
      <c r="A8" s="43" t="s">
        <v>23</v>
      </c>
      <c r="B8" s="47">
        <v>9</v>
      </c>
      <c r="C8" s="47">
        <v>3</v>
      </c>
      <c r="D8" s="47">
        <v>4</v>
      </c>
      <c r="E8" s="47">
        <v>3</v>
      </c>
      <c r="F8" s="47">
        <v>6</v>
      </c>
      <c r="G8" s="47">
        <v>11</v>
      </c>
      <c r="H8" s="47">
        <v>81</v>
      </c>
      <c r="I8" s="47">
        <v>107</v>
      </c>
      <c r="J8" s="47">
        <v>159</v>
      </c>
      <c r="K8" s="47">
        <v>135</v>
      </c>
      <c r="L8" s="47">
        <v>101</v>
      </c>
      <c r="M8" s="47">
        <v>85</v>
      </c>
      <c r="N8" s="47">
        <v>76</v>
      </c>
      <c r="O8" s="47">
        <v>74</v>
      </c>
      <c r="P8" s="47">
        <v>66</v>
      </c>
      <c r="Q8" s="47">
        <v>46</v>
      </c>
      <c r="R8" s="47">
        <v>27</v>
      </c>
      <c r="S8" s="47">
        <v>21</v>
      </c>
      <c r="T8" s="47">
        <v>15</v>
      </c>
      <c r="U8" s="47">
        <v>14</v>
      </c>
      <c r="V8" s="47">
        <v>7</v>
      </c>
      <c r="W8" s="47">
        <v>23</v>
      </c>
      <c r="X8" s="47">
        <v>7</v>
      </c>
      <c r="Y8" s="47">
        <v>6</v>
      </c>
      <c r="Z8" s="47">
        <f t="shared" si="0"/>
        <v>1086</v>
      </c>
      <c r="AC8" s="43" t="s">
        <v>23</v>
      </c>
      <c r="AD8" s="47">
        <f>ROUND(IF(AD$3&lt;$DF8,0,
IF(AD$3=$DF8+'Model Setup'!$B$7,SUMIF($AD$3:$BA$3,"="&amp;$DF8+'Model Setup'!$B$7,$B8:$Y8)+'Model Setup'!$B$8*(SUMIF($AD$3:$BA$3,"&lt;"&amp;$DF8,$B8:$Y8)+SUMIF($AD$3:$BA$3,"&gt;="&amp;$DG8,$B8:$Y8)),
IF(AD$3=$DF8+'Model Setup'!$C$7,SUMIF($AD$3:$BA$3,"="&amp;$DF8+'Model Setup'!$C$7,$B8:$Y8)+'Model Setup'!$C$8*(SUMIF($AD$3:$BA$3,"&lt;"&amp;$DF8,$B8:$Y8)+SUMIF($AD$3:$BA$3,"&gt;="&amp;$DG8,$B8:$Y8)),
IF(AD$3=$DF8+'Model Setup'!$D$7,SUMIF($AD$3:$BA$3,"="&amp;$DF8+'Model Setup'!$D$7,$B8:$Y8)+'Model Setup'!$D$8*(SUMIF($AD$3:$BA$3,"&lt;"&amp;$DF8,$B8:$Y8)+SUMIF($AD$3:$BA$3,"&gt;="&amp;$DG8,$B8:$Y8)),
IF(AD$3=$DF8+'Model Setup'!$E$7,SUMIF($AD$3:$BA$3,"="&amp;$DF8+'Model Setup'!$E$7,$B8:$Y8)+'Model Setup'!$E$8*(SUMIF($AD$3:$BA$3,"&lt;"&amp;$DF8,$B8:$Y8)+SUMIF($AD$3:$BA$3,"&gt;="&amp;$DG8,$B8:$Y8)),
IF(AD$3=$DF8+'Model Setup'!$F$7,SUMIF($AD$3:$BA$3,"="&amp;$DF8+'Model Setup'!$F$7,$B8:$Y8)+'Model Setup'!$F$8*(SUMIF($AD$3:$BA$3,"&lt;"&amp;$DF8,$B8:$Y8)+SUMIF($AD$3:$BA$3,"&gt;="&amp;$DG8,$B8:$Y8)),
IF(AD$3=$DF8+'Model Setup'!$G$7,SUMIF($AD$3:$BA$3,"="&amp;$DF8+'Model Setup'!$G$7,$B8:$Y8)+'Model Setup'!$G$8*(SUMIF($AD$3:$BA$3,"&lt;"&amp;$DF8,$B8:$Y8)+SUMIF($AD$3:$BA$3,"&gt;="&amp;$DG8,$B8:$Y8)),
IF(AD$3=$DF8+'Model Setup'!$H$7,SUMIF($AD$3:$BA$3,"="&amp;$DF8+'Model Setup'!$H$7,$B8:$Y8)+'Model Setup'!$H$8*(SUMIF($AD$3:$BA$3,"&lt;"&amp;$DF8,$B8:$Y8)+SUMIF($AD$3:$BA$3,"&gt;="&amp;$DG8,$B8:$Y8)),
IF(AD$3=$DF8+'Model Setup'!$I$7,SUMIF($AD$3:$BA$3,"="&amp;$DF8+'Model Setup'!$I$7,$B8:$Y8)+'Model Setup'!$I$8*(SUMIF($AD$3:$BA$3,"&lt;"&amp;$DF8,$B8:$Y8)+SUMIF($AD$3:$BA$3,"&gt;="&amp;$DG8,$B8:$Y8)),
IF(AD$3=$DF8+'Model Setup'!$J$7,SUMIF($AD$3:$BA$3,"="&amp;$DF8+'Model Setup'!$J$7,$B8:$Y8)+'Model Setup'!$J$8*(SUMIF($AD$3:$BA$3,"&lt;"&amp;$DF8,$B8:$Y8)+SUMIF($AD$3:$BA$3,"&gt;="&amp;$DG8,$B8:$Y8)),
IF(AD$3=$DF8+'Model Setup'!$K$7,SUMIF($AD$3:$BA$3,"="&amp;$DF8+'Model Setup'!$K$7,$B8:$Y8)+'Model Setup'!$K$8*(SUMIF($AD$3:$BA$3,"&lt;"&amp;$DF8,$B8:$Y8)+SUMIF($AD$3:$BA$3,"&gt;="&amp;$DG8,$B8:$Y8)),
IF(AD$3=$DF8+'Model Setup'!$L$7,SUMIF($AD$3:$BA$3,"="&amp;$DF8+'Model Setup'!$L$7,$B8:$Y8)+'Model Setup'!$L$8*(SUMIF($AD$3:$BA$3,"&lt;"&amp;$DF8,$B8:$Y8)+SUMIF($AD$3:$BA$3,"&gt;="&amp;$DG8,$B8:$Y8)),
IF(AD$3=$DF8+'Model Setup'!$M$7,SUMIF($AD$3:$BA$3,"="&amp;$DF8+'Model Setup'!$M$7,$B8:$Y8)+'Model Setup'!$M$8*(SUMIF($AD$3:$BA$3,"&lt;"&amp;$DF8,$B8:$Y8)+SUMIF($AD$3:$BA$3,"&gt;="&amp;$DG8,$B8:$Y8)),
IF(AD$3=$DF8+'Model Setup'!$N$7,SUMIF($AD$3:$BA$3,"="&amp;$DF8+'Model Setup'!$N$7,$B8:$Y8)+'Model Setup'!$N$8*(SUMIF($AD$3:$BA$3,"&lt;"&amp;$DF8,$B8:$Y8)+SUMIF($AD$3:$BA$3,"&gt;="&amp;$DG8,$B8:$Y8)),
IF(AD$3&lt;$DG8,B8,0))))))))))))))),0)</f>
        <v>0</v>
      </c>
      <c r="AE8" s="47">
        <f>ROUND(IF(AE$3&lt;$DF8,0,
IF(AE$3=$DF8+'Model Setup'!$B$7,SUMIF($AD$3:$BA$3,"="&amp;$DF8+'Model Setup'!$B$7,$B8:$Y8)+'Model Setup'!$B$8*(SUMIF($AD$3:$BA$3,"&lt;"&amp;$DF8,$B8:$Y8)+SUMIF($AD$3:$BA$3,"&gt;="&amp;$DG8,$B8:$Y8)),
IF(AE$3=$DF8+'Model Setup'!$C$7,SUMIF($AD$3:$BA$3,"="&amp;$DF8+'Model Setup'!$C$7,$B8:$Y8)+'Model Setup'!$C$8*(SUMIF($AD$3:$BA$3,"&lt;"&amp;$DF8,$B8:$Y8)+SUMIF($AD$3:$BA$3,"&gt;="&amp;$DG8,$B8:$Y8)),
IF(AE$3=$DF8+'Model Setup'!$D$7,SUMIF($AD$3:$BA$3,"="&amp;$DF8+'Model Setup'!$D$7,$B8:$Y8)+'Model Setup'!$D$8*(SUMIF($AD$3:$BA$3,"&lt;"&amp;$DF8,$B8:$Y8)+SUMIF($AD$3:$BA$3,"&gt;="&amp;$DG8,$B8:$Y8)),
IF(AE$3=$DF8+'Model Setup'!$E$7,SUMIF($AD$3:$BA$3,"="&amp;$DF8+'Model Setup'!$E$7,$B8:$Y8)+'Model Setup'!$E$8*(SUMIF($AD$3:$BA$3,"&lt;"&amp;$DF8,$B8:$Y8)+SUMIF($AD$3:$BA$3,"&gt;="&amp;$DG8,$B8:$Y8)),
IF(AE$3=$DF8+'Model Setup'!$F$7,SUMIF($AD$3:$BA$3,"="&amp;$DF8+'Model Setup'!$F$7,$B8:$Y8)+'Model Setup'!$F$8*(SUMIF($AD$3:$BA$3,"&lt;"&amp;$DF8,$B8:$Y8)+SUMIF($AD$3:$BA$3,"&gt;="&amp;$DG8,$B8:$Y8)),
IF(AE$3=$DF8+'Model Setup'!$G$7,SUMIF($AD$3:$BA$3,"="&amp;$DF8+'Model Setup'!$G$7,$B8:$Y8)+'Model Setup'!$G$8*(SUMIF($AD$3:$BA$3,"&lt;"&amp;$DF8,$B8:$Y8)+SUMIF($AD$3:$BA$3,"&gt;="&amp;$DG8,$B8:$Y8)),
IF(AE$3=$DF8+'Model Setup'!$H$7,SUMIF($AD$3:$BA$3,"="&amp;$DF8+'Model Setup'!$H$7,$B8:$Y8)+'Model Setup'!$H$8*(SUMIF($AD$3:$BA$3,"&lt;"&amp;$DF8,$B8:$Y8)+SUMIF($AD$3:$BA$3,"&gt;="&amp;$DG8,$B8:$Y8)),
IF(AE$3=$DF8+'Model Setup'!$I$7,SUMIF($AD$3:$BA$3,"="&amp;$DF8+'Model Setup'!$I$7,$B8:$Y8)+'Model Setup'!$I$8*(SUMIF($AD$3:$BA$3,"&lt;"&amp;$DF8,$B8:$Y8)+SUMIF($AD$3:$BA$3,"&gt;="&amp;$DG8,$B8:$Y8)),
IF(AE$3=$DF8+'Model Setup'!$J$7,SUMIF($AD$3:$BA$3,"="&amp;$DF8+'Model Setup'!$J$7,$B8:$Y8)+'Model Setup'!$J$8*(SUMIF($AD$3:$BA$3,"&lt;"&amp;$DF8,$B8:$Y8)+SUMIF($AD$3:$BA$3,"&gt;="&amp;$DG8,$B8:$Y8)),
IF(AE$3=$DF8+'Model Setup'!$K$7,SUMIF($AD$3:$BA$3,"="&amp;$DF8+'Model Setup'!$K$7,$B8:$Y8)+'Model Setup'!$K$8*(SUMIF($AD$3:$BA$3,"&lt;"&amp;$DF8,$B8:$Y8)+SUMIF($AD$3:$BA$3,"&gt;="&amp;$DG8,$B8:$Y8)),
IF(AE$3=$DF8+'Model Setup'!$L$7,SUMIF($AD$3:$BA$3,"="&amp;$DF8+'Model Setup'!$L$7,$B8:$Y8)+'Model Setup'!$L$8*(SUMIF($AD$3:$BA$3,"&lt;"&amp;$DF8,$B8:$Y8)+SUMIF($AD$3:$BA$3,"&gt;="&amp;$DG8,$B8:$Y8)),
IF(AE$3=$DF8+'Model Setup'!$M$7,SUMIF($AD$3:$BA$3,"="&amp;$DF8+'Model Setup'!$M$7,$B8:$Y8)+'Model Setup'!$M$8*(SUMIF($AD$3:$BA$3,"&lt;"&amp;$DF8,$B8:$Y8)+SUMIF($AD$3:$BA$3,"&gt;="&amp;$DG8,$B8:$Y8)),
IF(AE$3=$DF8+'Model Setup'!$N$7,SUMIF($AD$3:$BA$3,"="&amp;$DF8+'Model Setup'!$N$7,$B8:$Y8)+'Model Setup'!$N$8*(SUMIF($AD$3:$BA$3,"&lt;"&amp;$DF8,$B8:$Y8)+SUMIF($AD$3:$BA$3,"&gt;="&amp;$DG8,$B8:$Y8)),
IF(AE$3&lt;$DG8,C8,0))))))))))))))),0)</f>
        <v>0</v>
      </c>
      <c r="AF8" s="47">
        <f>ROUND(IF(AF$3&lt;$DF8,0,
IF(AF$3=$DF8+'Model Setup'!$B$7,SUMIF($AD$3:$BA$3,"="&amp;$DF8+'Model Setup'!$B$7,$B8:$Y8)+'Model Setup'!$B$8*(SUMIF($AD$3:$BA$3,"&lt;"&amp;$DF8,$B8:$Y8)+SUMIF($AD$3:$BA$3,"&gt;="&amp;$DG8,$B8:$Y8)),
IF(AF$3=$DF8+'Model Setup'!$C$7,SUMIF($AD$3:$BA$3,"="&amp;$DF8+'Model Setup'!$C$7,$B8:$Y8)+'Model Setup'!$C$8*(SUMIF($AD$3:$BA$3,"&lt;"&amp;$DF8,$B8:$Y8)+SUMIF($AD$3:$BA$3,"&gt;="&amp;$DG8,$B8:$Y8)),
IF(AF$3=$DF8+'Model Setup'!$D$7,SUMIF($AD$3:$BA$3,"="&amp;$DF8+'Model Setup'!$D$7,$B8:$Y8)+'Model Setup'!$D$8*(SUMIF($AD$3:$BA$3,"&lt;"&amp;$DF8,$B8:$Y8)+SUMIF($AD$3:$BA$3,"&gt;="&amp;$DG8,$B8:$Y8)),
IF(AF$3=$DF8+'Model Setup'!$E$7,SUMIF($AD$3:$BA$3,"="&amp;$DF8+'Model Setup'!$E$7,$B8:$Y8)+'Model Setup'!$E$8*(SUMIF($AD$3:$BA$3,"&lt;"&amp;$DF8,$B8:$Y8)+SUMIF($AD$3:$BA$3,"&gt;="&amp;$DG8,$B8:$Y8)),
IF(AF$3=$DF8+'Model Setup'!$F$7,SUMIF($AD$3:$BA$3,"="&amp;$DF8+'Model Setup'!$F$7,$B8:$Y8)+'Model Setup'!$F$8*(SUMIF($AD$3:$BA$3,"&lt;"&amp;$DF8,$B8:$Y8)+SUMIF($AD$3:$BA$3,"&gt;="&amp;$DG8,$B8:$Y8)),
IF(AF$3=$DF8+'Model Setup'!$G$7,SUMIF($AD$3:$BA$3,"="&amp;$DF8+'Model Setup'!$G$7,$B8:$Y8)+'Model Setup'!$G$8*(SUMIF($AD$3:$BA$3,"&lt;"&amp;$DF8,$B8:$Y8)+SUMIF($AD$3:$BA$3,"&gt;="&amp;$DG8,$B8:$Y8)),
IF(AF$3=$DF8+'Model Setup'!$H$7,SUMIF($AD$3:$BA$3,"="&amp;$DF8+'Model Setup'!$H$7,$B8:$Y8)+'Model Setup'!$H$8*(SUMIF($AD$3:$BA$3,"&lt;"&amp;$DF8,$B8:$Y8)+SUMIF($AD$3:$BA$3,"&gt;="&amp;$DG8,$B8:$Y8)),
IF(AF$3=$DF8+'Model Setup'!$I$7,SUMIF($AD$3:$BA$3,"="&amp;$DF8+'Model Setup'!$I$7,$B8:$Y8)+'Model Setup'!$I$8*(SUMIF($AD$3:$BA$3,"&lt;"&amp;$DF8,$B8:$Y8)+SUMIF($AD$3:$BA$3,"&gt;="&amp;$DG8,$B8:$Y8)),
IF(AF$3=$DF8+'Model Setup'!$J$7,SUMIF($AD$3:$BA$3,"="&amp;$DF8+'Model Setup'!$J$7,$B8:$Y8)+'Model Setup'!$J$8*(SUMIF($AD$3:$BA$3,"&lt;"&amp;$DF8,$B8:$Y8)+SUMIF($AD$3:$BA$3,"&gt;="&amp;$DG8,$B8:$Y8)),
IF(AF$3=$DF8+'Model Setup'!$K$7,SUMIF($AD$3:$BA$3,"="&amp;$DF8+'Model Setup'!$K$7,$B8:$Y8)+'Model Setup'!$K$8*(SUMIF($AD$3:$BA$3,"&lt;"&amp;$DF8,$B8:$Y8)+SUMIF($AD$3:$BA$3,"&gt;="&amp;$DG8,$B8:$Y8)),
IF(AF$3=$DF8+'Model Setup'!$L$7,SUMIF($AD$3:$BA$3,"="&amp;$DF8+'Model Setup'!$L$7,$B8:$Y8)+'Model Setup'!$L$8*(SUMIF($AD$3:$BA$3,"&lt;"&amp;$DF8,$B8:$Y8)+SUMIF($AD$3:$BA$3,"&gt;="&amp;$DG8,$B8:$Y8)),
IF(AF$3=$DF8+'Model Setup'!$M$7,SUMIF($AD$3:$BA$3,"="&amp;$DF8+'Model Setup'!$M$7,$B8:$Y8)+'Model Setup'!$M$8*(SUMIF($AD$3:$BA$3,"&lt;"&amp;$DF8,$B8:$Y8)+SUMIF($AD$3:$BA$3,"&gt;="&amp;$DG8,$B8:$Y8)),
IF(AF$3=$DF8+'Model Setup'!$N$7,SUMIF($AD$3:$BA$3,"="&amp;$DF8+'Model Setup'!$N$7,$B8:$Y8)+'Model Setup'!$N$8*(SUMIF($AD$3:$BA$3,"&lt;"&amp;$DF8,$B8:$Y8)+SUMIF($AD$3:$BA$3,"&gt;="&amp;$DG8,$B8:$Y8)),
IF(AF$3&lt;$DG8,D8,0))))))))))))))),0)</f>
        <v>0</v>
      </c>
      <c r="AG8" s="47">
        <f>ROUND(IF(AG$3&lt;$DF8,0,
IF(AG$3=$DF8+'Model Setup'!$B$7,SUMIF($AD$3:$BA$3,"="&amp;$DF8+'Model Setup'!$B$7,$B8:$Y8)+'Model Setup'!$B$8*(SUMIF($AD$3:$BA$3,"&lt;"&amp;$DF8,$B8:$Y8)+SUMIF($AD$3:$BA$3,"&gt;="&amp;$DG8,$B8:$Y8)),
IF(AG$3=$DF8+'Model Setup'!$C$7,SUMIF($AD$3:$BA$3,"="&amp;$DF8+'Model Setup'!$C$7,$B8:$Y8)+'Model Setup'!$C$8*(SUMIF($AD$3:$BA$3,"&lt;"&amp;$DF8,$B8:$Y8)+SUMIF($AD$3:$BA$3,"&gt;="&amp;$DG8,$B8:$Y8)),
IF(AG$3=$DF8+'Model Setup'!$D$7,SUMIF($AD$3:$BA$3,"="&amp;$DF8+'Model Setup'!$D$7,$B8:$Y8)+'Model Setup'!$D$8*(SUMIF($AD$3:$BA$3,"&lt;"&amp;$DF8,$B8:$Y8)+SUMIF($AD$3:$BA$3,"&gt;="&amp;$DG8,$B8:$Y8)),
IF(AG$3=$DF8+'Model Setup'!$E$7,SUMIF($AD$3:$BA$3,"="&amp;$DF8+'Model Setup'!$E$7,$B8:$Y8)+'Model Setup'!$E$8*(SUMIF($AD$3:$BA$3,"&lt;"&amp;$DF8,$B8:$Y8)+SUMIF($AD$3:$BA$3,"&gt;="&amp;$DG8,$B8:$Y8)),
IF(AG$3=$DF8+'Model Setup'!$F$7,SUMIF($AD$3:$BA$3,"="&amp;$DF8+'Model Setup'!$F$7,$B8:$Y8)+'Model Setup'!$F$8*(SUMIF($AD$3:$BA$3,"&lt;"&amp;$DF8,$B8:$Y8)+SUMIF($AD$3:$BA$3,"&gt;="&amp;$DG8,$B8:$Y8)),
IF(AG$3=$DF8+'Model Setup'!$G$7,SUMIF($AD$3:$BA$3,"="&amp;$DF8+'Model Setup'!$G$7,$B8:$Y8)+'Model Setup'!$G$8*(SUMIF($AD$3:$BA$3,"&lt;"&amp;$DF8,$B8:$Y8)+SUMIF($AD$3:$BA$3,"&gt;="&amp;$DG8,$B8:$Y8)),
IF(AG$3=$DF8+'Model Setup'!$H$7,SUMIF($AD$3:$BA$3,"="&amp;$DF8+'Model Setup'!$H$7,$B8:$Y8)+'Model Setup'!$H$8*(SUMIF($AD$3:$BA$3,"&lt;"&amp;$DF8,$B8:$Y8)+SUMIF($AD$3:$BA$3,"&gt;="&amp;$DG8,$B8:$Y8)),
IF(AG$3=$DF8+'Model Setup'!$I$7,SUMIF($AD$3:$BA$3,"="&amp;$DF8+'Model Setup'!$I$7,$B8:$Y8)+'Model Setup'!$I$8*(SUMIF($AD$3:$BA$3,"&lt;"&amp;$DF8,$B8:$Y8)+SUMIF($AD$3:$BA$3,"&gt;="&amp;$DG8,$B8:$Y8)),
IF(AG$3=$DF8+'Model Setup'!$J$7,SUMIF($AD$3:$BA$3,"="&amp;$DF8+'Model Setup'!$J$7,$B8:$Y8)+'Model Setup'!$J$8*(SUMIF($AD$3:$BA$3,"&lt;"&amp;$DF8,$B8:$Y8)+SUMIF($AD$3:$BA$3,"&gt;="&amp;$DG8,$B8:$Y8)),
IF(AG$3=$DF8+'Model Setup'!$K$7,SUMIF($AD$3:$BA$3,"="&amp;$DF8+'Model Setup'!$K$7,$B8:$Y8)+'Model Setup'!$K$8*(SUMIF($AD$3:$BA$3,"&lt;"&amp;$DF8,$B8:$Y8)+SUMIF($AD$3:$BA$3,"&gt;="&amp;$DG8,$B8:$Y8)),
IF(AG$3=$DF8+'Model Setup'!$L$7,SUMIF($AD$3:$BA$3,"="&amp;$DF8+'Model Setup'!$L$7,$B8:$Y8)+'Model Setup'!$L$8*(SUMIF($AD$3:$BA$3,"&lt;"&amp;$DF8,$B8:$Y8)+SUMIF($AD$3:$BA$3,"&gt;="&amp;$DG8,$B8:$Y8)),
IF(AG$3=$DF8+'Model Setup'!$M$7,SUMIF($AD$3:$BA$3,"="&amp;$DF8+'Model Setup'!$M$7,$B8:$Y8)+'Model Setup'!$M$8*(SUMIF($AD$3:$BA$3,"&lt;"&amp;$DF8,$B8:$Y8)+SUMIF($AD$3:$BA$3,"&gt;="&amp;$DG8,$B8:$Y8)),
IF(AG$3=$DF8+'Model Setup'!$N$7,SUMIF($AD$3:$BA$3,"="&amp;$DF8+'Model Setup'!$N$7,$B8:$Y8)+'Model Setup'!$N$8*(SUMIF($AD$3:$BA$3,"&lt;"&amp;$DF8,$B8:$Y8)+SUMIF($AD$3:$BA$3,"&gt;="&amp;$DG8,$B8:$Y8)),
IF(AG$3&lt;$DG8,E8,0))))))))))))))),0)</f>
        <v>0</v>
      </c>
      <c r="AH8" s="47">
        <f>ROUND(IF(AH$3&lt;$DF8,0,
IF(AH$3=$DF8+'Model Setup'!$B$7,SUMIF($AD$3:$BA$3,"="&amp;$DF8+'Model Setup'!$B$7,$B8:$Y8)+'Model Setup'!$B$8*(SUMIF($AD$3:$BA$3,"&lt;"&amp;$DF8,$B8:$Y8)+SUMIF($AD$3:$BA$3,"&gt;="&amp;$DG8,$B8:$Y8)),
IF(AH$3=$DF8+'Model Setup'!$C$7,SUMIF($AD$3:$BA$3,"="&amp;$DF8+'Model Setup'!$C$7,$B8:$Y8)+'Model Setup'!$C$8*(SUMIF($AD$3:$BA$3,"&lt;"&amp;$DF8,$B8:$Y8)+SUMIF($AD$3:$BA$3,"&gt;="&amp;$DG8,$B8:$Y8)),
IF(AH$3=$DF8+'Model Setup'!$D$7,SUMIF($AD$3:$BA$3,"="&amp;$DF8+'Model Setup'!$D$7,$B8:$Y8)+'Model Setup'!$D$8*(SUMIF($AD$3:$BA$3,"&lt;"&amp;$DF8,$B8:$Y8)+SUMIF($AD$3:$BA$3,"&gt;="&amp;$DG8,$B8:$Y8)),
IF(AH$3=$DF8+'Model Setup'!$E$7,SUMIF($AD$3:$BA$3,"="&amp;$DF8+'Model Setup'!$E$7,$B8:$Y8)+'Model Setup'!$E$8*(SUMIF($AD$3:$BA$3,"&lt;"&amp;$DF8,$B8:$Y8)+SUMIF($AD$3:$BA$3,"&gt;="&amp;$DG8,$B8:$Y8)),
IF(AH$3=$DF8+'Model Setup'!$F$7,SUMIF($AD$3:$BA$3,"="&amp;$DF8+'Model Setup'!$F$7,$B8:$Y8)+'Model Setup'!$F$8*(SUMIF($AD$3:$BA$3,"&lt;"&amp;$DF8,$B8:$Y8)+SUMIF($AD$3:$BA$3,"&gt;="&amp;$DG8,$B8:$Y8)),
IF(AH$3=$DF8+'Model Setup'!$G$7,SUMIF($AD$3:$BA$3,"="&amp;$DF8+'Model Setup'!$G$7,$B8:$Y8)+'Model Setup'!$G$8*(SUMIF($AD$3:$BA$3,"&lt;"&amp;$DF8,$B8:$Y8)+SUMIF($AD$3:$BA$3,"&gt;="&amp;$DG8,$B8:$Y8)),
IF(AH$3=$DF8+'Model Setup'!$H$7,SUMIF($AD$3:$BA$3,"="&amp;$DF8+'Model Setup'!$H$7,$B8:$Y8)+'Model Setup'!$H$8*(SUMIF($AD$3:$BA$3,"&lt;"&amp;$DF8,$B8:$Y8)+SUMIF($AD$3:$BA$3,"&gt;="&amp;$DG8,$B8:$Y8)),
IF(AH$3=$DF8+'Model Setup'!$I$7,SUMIF($AD$3:$BA$3,"="&amp;$DF8+'Model Setup'!$I$7,$B8:$Y8)+'Model Setup'!$I$8*(SUMIF($AD$3:$BA$3,"&lt;"&amp;$DF8,$B8:$Y8)+SUMIF($AD$3:$BA$3,"&gt;="&amp;$DG8,$B8:$Y8)),
IF(AH$3=$DF8+'Model Setup'!$J$7,SUMIF($AD$3:$BA$3,"="&amp;$DF8+'Model Setup'!$J$7,$B8:$Y8)+'Model Setup'!$J$8*(SUMIF($AD$3:$BA$3,"&lt;"&amp;$DF8,$B8:$Y8)+SUMIF($AD$3:$BA$3,"&gt;="&amp;$DG8,$B8:$Y8)),
IF(AH$3=$DF8+'Model Setup'!$K$7,SUMIF($AD$3:$BA$3,"="&amp;$DF8+'Model Setup'!$K$7,$B8:$Y8)+'Model Setup'!$K$8*(SUMIF($AD$3:$BA$3,"&lt;"&amp;$DF8,$B8:$Y8)+SUMIF($AD$3:$BA$3,"&gt;="&amp;$DG8,$B8:$Y8)),
IF(AH$3=$DF8+'Model Setup'!$L$7,SUMIF($AD$3:$BA$3,"="&amp;$DF8+'Model Setup'!$L$7,$B8:$Y8)+'Model Setup'!$L$8*(SUMIF($AD$3:$BA$3,"&lt;"&amp;$DF8,$B8:$Y8)+SUMIF($AD$3:$BA$3,"&gt;="&amp;$DG8,$B8:$Y8)),
IF(AH$3=$DF8+'Model Setup'!$M$7,SUMIF($AD$3:$BA$3,"="&amp;$DF8+'Model Setup'!$M$7,$B8:$Y8)+'Model Setup'!$M$8*(SUMIF($AD$3:$BA$3,"&lt;"&amp;$DF8,$B8:$Y8)+SUMIF($AD$3:$BA$3,"&gt;="&amp;$DG8,$B8:$Y8)),
IF(AH$3=$DF8+'Model Setup'!$N$7,SUMIF($AD$3:$BA$3,"="&amp;$DF8+'Model Setup'!$N$7,$B8:$Y8)+'Model Setup'!$N$8*(SUMIF($AD$3:$BA$3,"&lt;"&amp;$DF8,$B8:$Y8)+SUMIF($AD$3:$BA$3,"&gt;="&amp;$DG8,$B8:$Y8)),
IF(AH$3&lt;$DG8,F8,0))))))))))))))),0)</f>
        <v>0</v>
      </c>
      <c r="AI8" s="47">
        <f>ROUND(IF(AI$3&lt;$DF8,0,
IF(AI$3=$DF8+'Model Setup'!$B$7,SUMIF($AD$3:$BA$3,"="&amp;$DF8+'Model Setup'!$B$7,$B8:$Y8)+'Model Setup'!$B$8*(SUMIF($AD$3:$BA$3,"&lt;"&amp;$DF8,$B8:$Y8)+SUMIF($AD$3:$BA$3,"&gt;="&amp;$DG8,$B8:$Y8)),
IF(AI$3=$DF8+'Model Setup'!$C$7,SUMIF($AD$3:$BA$3,"="&amp;$DF8+'Model Setup'!$C$7,$B8:$Y8)+'Model Setup'!$C$8*(SUMIF($AD$3:$BA$3,"&lt;"&amp;$DF8,$B8:$Y8)+SUMIF($AD$3:$BA$3,"&gt;="&amp;$DG8,$B8:$Y8)),
IF(AI$3=$DF8+'Model Setup'!$D$7,SUMIF($AD$3:$BA$3,"="&amp;$DF8+'Model Setup'!$D$7,$B8:$Y8)+'Model Setup'!$D$8*(SUMIF($AD$3:$BA$3,"&lt;"&amp;$DF8,$B8:$Y8)+SUMIF($AD$3:$BA$3,"&gt;="&amp;$DG8,$B8:$Y8)),
IF(AI$3=$DF8+'Model Setup'!$E$7,SUMIF($AD$3:$BA$3,"="&amp;$DF8+'Model Setup'!$E$7,$B8:$Y8)+'Model Setup'!$E$8*(SUMIF($AD$3:$BA$3,"&lt;"&amp;$DF8,$B8:$Y8)+SUMIF($AD$3:$BA$3,"&gt;="&amp;$DG8,$B8:$Y8)),
IF(AI$3=$DF8+'Model Setup'!$F$7,SUMIF($AD$3:$BA$3,"="&amp;$DF8+'Model Setup'!$F$7,$B8:$Y8)+'Model Setup'!$F$8*(SUMIF($AD$3:$BA$3,"&lt;"&amp;$DF8,$B8:$Y8)+SUMIF($AD$3:$BA$3,"&gt;="&amp;$DG8,$B8:$Y8)),
IF(AI$3=$DF8+'Model Setup'!$G$7,SUMIF($AD$3:$BA$3,"="&amp;$DF8+'Model Setup'!$G$7,$B8:$Y8)+'Model Setup'!$G$8*(SUMIF($AD$3:$BA$3,"&lt;"&amp;$DF8,$B8:$Y8)+SUMIF($AD$3:$BA$3,"&gt;="&amp;$DG8,$B8:$Y8)),
IF(AI$3=$DF8+'Model Setup'!$H$7,SUMIF($AD$3:$BA$3,"="&amp;$DF8+'Model Setup'!$H$7,$B8:$Y8)+'Model Setup'!$H$8*(SUMIF($AD$3:$BA$3,"&lt;"&amp;$DF8,$B8:$Y8)+SUMIF($AD$3:$BA$3,"&gt;="&amp;$DG8,$B8:$Y8)),
IF(AI$3=$DF8+'Model Setup'!$I$7,SUMIF($AD$3:$BA$3,"="&amp;$DF8+'Model Setup'!$I$7,$B8:$Y8)+'Model Setup'!$I$8*(SUMIF($AD$3:$BA$3,"&lt;"&amp;$DF8,$B8:$Y8)+SUMIF($AD$3:$BA$3,"&gt;="&amp;$DG8,$B8:$Y8)),
IF(AI$3=$DF8+'Model Setup'!$J$7,SUMIF($AD$3:$BA$3,"="&amp;$DF8+'Model Setup'!$J$7,$B8:$Y8)+'Model Setup'!$J$8*(SUMIF($AD$3:$BA$3,"&lt;"&amp;$DF8,$B8:$Y8)+SUMIF($AD$3:$BA$3,"&gt;="&amp;$DG8,$B8:$Y8)),
IF(AI$3=$DF8+'Model Setup'!$K$7,SUMIF($AD$3:$BA$3,"="&amp;$DF8+'Model Setup'!$K$7,$B8:$Y8)+'Model Setup'!$K$8*(SUMIF($AD$3:$BA$3,"&lt;"&amp;$DF8,$B8:$Y8)+SUMIF($AD$3:$BA$3,"&gt;="&amp;$DG8,$B8:$Y8)),
IF(AI$3=$DF8+'Model Setup'!$L$7,SUMIF($AD$3:$BA$3,"="&amp;$DF8+'Model Setup'!$L$7,$B8:$Y8)+'Model Setup'!$L$8*(SUMIF($AD$3:$BA$3,"&lt;"&amp;$DF8,$B8:$Y8)+SUMIF($AD$3:$BA$3,"&gt;="&amp;$DG8,$B8:$Y8)),
IF(AI$3=$DF8+'Model Setup'!$M$7,SUMIF($AD$3:$BA$3,"="&amp;$DF8+'Model Setup'!$M$7,$B8:$Y8)+'Model Setup'!$M$8*(SUMIF($AD$3:$BA$3,"&lt;"&amp;$DF8,$B8:$Y8)+SUMIF($AD$3:$BA$3,"&gt;="&amp;$DG8,$B8:$Y8)),
IF(AI$3=$DF8+'Model Setup'!$N$7,SUMIF($AD$3:$BA$3,"="&amp;$DF8+'Model Setup'!$N$7,$B8:$Y8)+'Model Setup'!$N$8*(SUMIF($AD$3:$BA$3,"&lt;"&amp;$DF8,$B8:$Y8)+SUMIF($AD$3:$BA$3,"&gt;="&amp;$DG8,$B8:$Y8)),
IF(AI$3&lt;$DG8,G8,0))))))))))))))),0)</f>
        <v>0</v>
      </c>
      <c r="AJ8" s="47">
        <f>ROUND(IF(AJ$3&lt;$DF8,0,
IF(AJ$3=$DF8+'Model Setup'!$B$7,SUMIF($AD$3:$BA$3,"="&amp;$DF8+'Model Setup'!$B$7,$B8:$Y8)+'Model Setup'!$B$8*(SUMIF($AD$3:$BA$3,"&lt;"&amp;$DF8,$B8:$Y8)+SUMIF($AD$3:$BA$3,"&gt;="&amp;$DG8,$B8:$Y8)),
IF(AJ$3=$DF8+'Model Setup'!$C$7,SUMIF($AD$3:$BA$3,"="&amp;$DF8+'Model Setup'!$C$7,$B8:$Y8)+'Model Setup'!$C$8*(SUMIF($AD$3:$BA$3,"&lt;"&amp;$DF8,$B8:$Y8)+SUMIF($AD$3:$BA$3,"&gt;="&amp;$DG8,$B8:$Y8)),
IF(AJ$3=$DF8+'Model Setup'!$D$7,SUMIF($AD$3:$BA$3,"="&amp;$DF8+'Model Setup'!$D$7,$B8:$Y8)+'Model Setup'!$D$8*(SUMIF($AD$3:$BA$3,"&lt;"&amp;$DF8,$B8:$Y8)+SUMIF($AD$3:$BA$3,"&gt;="&amp;$DG8,$B8:$Y8)),
IF(AJ$3=$DF8+'Model Setup'!$E$7,SUMIF($AD$3:$BA$3,"="&amp;$DF8+'Model Setup'!$E$7,$B8:$Y8)+'Model Setup'!$E$8*(SUMIF($AD$3:$BA$3,"&lt;"&amp;$DF8,$B8:$Y8)+SUMIF($AD$3:$BA$3,"&gt;="&amp;$DG8,$B8:$Y8)),
IF(AJ$3=$DF8+'Model Setup'!$F$7,SUMIF($AD$3:$BA$3,"="&amp;$DF8+'Model Setup'!$F$7,$B8:$Y8)+'Model Setup'!$F$8*(SUMIF($AD$3:$BA$3,"&lt;"&amp;$DF8,$B8:$Y8)+SUMIF($AD$3:$BA$3,"&gt;="&amp;$DG8,$B8:$Y8)),
IF(AJ$3=$DF8+'Model Setup'!$G$7,SUMIF($AD$3:$BA$3,"="&amp;$DF8+'Model Setup'!$G$7,$B8:$Y8)+'Model Setup'!$G$8*(SUMIF($AD$3:$BA$3,"&lt;"&amp;$DF8,$B8:$Y8)+SUMIF($AD$3:$BA$3,"&gt;="&amp;$DG8,$B8:$Y8)),
IF(AJ$3=$DF8+'Model Setup'!$H$7,SUMIF($AD$3:$BA$3,"="&amp;$DF8+'Model Setup'!$H$7,$B8:$Y8)+'Model Setup'!$H$8*(SUMIF($AD$3:$BA$3,"&lt;"&amp;$DF8,$B8:$Y8)+SUMIF($AD$3:$BA$3,"&gt;="&amp;$DG8,$B8:$Y8)),
IF(AJ$3=$DF8+'Model Setup'!$I$7,SUMIF($AD$3:$BA$3,"="&amp;$DF8+'Model Setup'!$I$7,$B8:$Y8)+'Model Setup'!$I$8*(SUMIF($AD$3:$BA$3,"&lt;"&amp;$DF8,$B8:$Y8)+SUMIF($AD$3:$BA$3,"&gt;="&amp;$DG8,$B8:$Y8)),
IF(AJ$3=$DF8+'Model Setup'!$J$7,SUMIF($AD$3:$BA$3,"="&amp;$DF8+'Model Setup'!$J$7,$B8:$Y8)+'Model Setup'!$J$8*(SUMIF($AD$3:$BA$3,"&lt;"&amp;$DF8,$B8:$Y8)+SUMIF($AD$3:$BA$3,"&gt;="&amp;$DG8,$B8:$Y8)),
IF(AJ$3=$DF8+'Model Setup'!$K$7,SUMIF($AD$3:$BA$3,"="&amp;$DF8+'Model Setup'!$K$7,$B8:$Y8)+'Model Setup'!$K$8*(SUMIF($AD$3:$BA$3,"&lt;"&amp;$DF8,$B8:$Y8)+SUMIF($AD$3:$BA$3,"&gt;="&amp;$DG8,$B8:$Y8)),
IF(AJ$3=$DF8+'Model Setup'!$L$7,SUMIF($AD$3:$BA$3,"="&amp;$DF8+'Model Setup'!$L$7,$B8:$Y8)+'Model Setup'!$L$8*(SUMIF($AD$3:$BA$3,"&lt;"&amp;$DF8,$B8:$Y8)+SUMIF($AD$3:$BA$3,"&gt;="&amp;$DG8,$B8:$Y8)),
IF(AJ$3=$DF8+'Model Setup'!$M$7,SUMIF($AD$3:$BA$3,"="&amp;$DF8+'Model Setup'!$M$7,$B8:$Y8)+'Model Setup'!$M$8*(SUMIF($AD$3:$BA$3,"&lt;"&amp;$DF8,$B8:$Y8)+SUMIF($AD$3:$BA$3,"&gt;="&amp;$DG8,$B8:$Y8)),
IF(AJ$3=$DF8+'Model Setup'!$N$7,SUMIF($AD$3:$BA$3,"="&amp;$DF8+'Model Setup'!$N$7,$B8:$Y8)+'Model Setup'!$N$8*(SUMIF($AD$3:$BA$3,"&lt;"&amp;$DF8,$B8:$Y8)+SUMIF($AD$3:$BA$3,"&gt;="&amp;$DG8,$B8:$Y8)),
IF(AJ$3&lt;$DG8,H8,0))))))))))))))),0)</f>
        <v>0</v>
      </c>
      <c r="AK8" s="47">
        <f>ROUND(IF(AK$3&lt;$DF8,0,
IF(AK$3=$DF8+'Model Setup'!$B$7,SUMIF($AD$3:$BA$3,"="&amp;$DF8+'Model Setup'!$B$7,$B8:$Y8)+'Model Setup'!$B$8*(SUMIF($AD$3:$BA$3,"&lt;"&amp;$DF8,$B8:$Y8)+SUMIF($AD$3:$BA$3,"&gt;="&amp;$DG8,$B8:$Y8)),
IF(AK$3=$DF8+'Model Setup'!$C$7,SUMIF($AD$3:$BA$3,"="&amp;$DF8+'Model Setup'!$C$7,$B8:$Y8)+'Model Setup'!$C$8*(SUMIF($AD$3:$BA$3,"&lt;"&amp;$DF8,$B8:$Y8)+SUMIF($AD$3:$BA$3,"&gt;="&amp;$DG8,$B8:$Y8)),
IF(AK$3=$DF8+'Model Setup'!$D$7,SUMIF($AD$3:$BA$3,"="&amp;$DF8+'Model Setup'!$D$7,$B8:$Y8)+'Model Setup'!$D$8*(SUMIF($AD$3:$BA$3,"&lt;"&amp;$DF8,$B8:$Y8)+SUMIF($AD$3:$BA$3,"&gt;="&amp;$DG8,$B8:$Y8)),
IF(AK$3=$DF8+'Model Setup'!$E$7,SUMIF($AD$3:$BA$3,"="&amp;$DF8+'Model Setup'!$E$7,$B8:$Y8)+'Model Setup'!$E$8*(SUMIF($AD$3:$BA$3,"&lt;"&amp;$DF8,$B8:$Y8)+SUMIF($AD$3:$BA$3,"&gt;="&amp;$DG8,$B8:$Y8)),
IF(AK$3=$DF8+'Model Setup'!$F$7,SUMIF($AD$3:$BA$3,"="&amp;$DF8+'Model Setup'!$F$7,$B8:$Y8)+'Model Setup'!$F$8*(SUMIF($AD$3:$BA$3,"&lt;"&amp;$DF8,$B8:$Y8)+SUMIF($AD$3:$BA$3,"&gt;="&amp;$DG8,$B8:$Y8)),
IF(AK$3=$DF8+'Model Setup'!$G$7,SUMIF($AD$3:$BA$3,"="&amp;$DF8+'Model Setup'!$G$7,$B8:$Y8)+'Model Setup'!$G$8*(SUMIF($AD$3:$BA$3,"&lt;"&amp;$DF8,$B8:$Y8)+SUMIF($AD$3:$BA$3,"&gt;="&amp;$DG8,$B8:$Y8)),
IF(AK$3=$DF8+'Model Setup'!$H$7,SUMIF($AD$3:$BA$3,"="&amp;$DF8+'Model Setup'!$H$7,$B8:$Y8)+'Model Setup'!$H$8*(SUMIF($AD$3:$BA$3,"&lt;"&amp;$DF8,$B8:$Y8)+SUMIF($AD$3:$BA$3,"&gt;="&amp;$DG8,$B8:$Y8)),
IF(AK$3=$DF8+'Model Setup'!$I$7,SUMIF($AD$3:$BA$3,"="&amp;$DF8+'Model Setup'!$I$7,$B8:$Y8)+'Model Setup'!$I$8*(SUMIF($AD$3:$BA$3,"&lt;"&amp;$DF8,$B8:$Y8)+SUMIF($AD$3:$BA$3,"&gt;="&amp;$DG8,$B8:$Y8)),
IF(AK$3=$DF8+'Model Setup'!$J$7,SUMIF($AD$3:$BA$3,"="&amp;$DF8+'Model Setup'!$J$7,$B8:$Y8)+'Model Setup'!$J$8*(SUMIF($AD$3:$BA$3,"&lt;"&amp;$DF8,$B8:$Y8)+SUMIF($AD$3:$BA$3,"&gt;="&amp;$DG8,$B8:$Y8)),
IF(AK$3=$DF8+'Model Setup'!$K$7,SUMIF($AD$3:$BA$3,"="&amp;$DF8+'Model Setup'!$K$7,$B8:$Y8)+'Model Setup'!$K$8*(SUMIF($AD$3:$BA$3,"&lt;"&amp;$DF8,$B8:$Y8)+SUMIF($AD$3:$BA$3,"&gt;="&amp;$DG8,$B8:$Y8)),
IF(AK$3=$DF8+'Model Setup'!$L$7,SUMIF($AD$3:$BA$3,"="&amp;$DF8+'Model Setup'!$L$7,$B8:$Y8)+'Model Setup'!$L$8*(SUMIF($AD$3:$BA$3,"&lt;"&amp;$DF8,$B8:$Y8)+SUMIF($AD$3:$BA$3,"&gt;="&amp;$DG8,$B8:$Y8)),
IF(AK$3=$DF8+'Model Setup'!$M$7,SUMIF($AD$3:$BA$3,"="&amp;$DF8+'Model Setup'!$M$7,$B8:$Y8)+'Model Setup'!$M$8*(SUMIF($AD$3:$BA$3,"&lt;"&amp;$DF8,$B8:$Y8)+SUMIF($AD$3:$BA$3,"&gt;="&amp;$DG8,$B8:$Y8)),
IF(AK$3=$DF8+'Model Setup'!$N$7,SUMIF($AD$3:$BA$3,"="&amp;$DF8+'Model Setup'!$N$7,$B8:$Y8)+'Model Setup'!$N$8*(SUMIF($AD$3:$BA$3,"&lt;"&amp;$DF8,$B8:$Y8)+SUMIF($AD$3:$BA$3,"&gt;="&amp;$DG8,$B8:$Y8)),
IF(AK$3&lt;$DG8,I8,0))))))))))))))),0)</f>
        <v>107</v>
      </c>
      <c r="AL8" s="47">
        <f>ROUND(IF(AL$3&lt;$DF8,0,
IF(AL$3=$DF8+'Model Setup'!$B$7,SUMIF($AD$3:$BA$3,"="&amp;$DF8+'Model Setup'!$B$7,$B8:$Y8)+'Model Setup'!$B$8*(SUMIF($AD$3:$BA$3,"&lt;"&amp;$DF8,$B8:$Y8)+SUMIF($AD$3:$BA$3,"&gt;="&amp;$DG8,$B8:$Y8)),
IF(AL$3=$DF8+'Model Setup'!$C$7,SUMIF($AD$3:$BA$3,"="&amp;$DF8+'Model Setup'!$C$7,$B8:$Y8)+'Model Setup'!$C$8*(SUMIF($AD$3:$BA$3,"&lt;"&amp;$DF8,$B8:$Y8)+SUMIF($AD$3:$BA$3,"&gt;="&amp;$DG8,$B8:$Y8)),
IF(AL$3=$DF8+'Model Setup'!$D$7,SUMIF($AD$3:$BA$3,"="&amp;$DF8+'Model Setup'!$D$7,$B8:$Y8)+'Model Setup'!$D$8*(SUMIF($AD$3:$BA$3,"&lt;"&amp;$DF8,$B8:$Y8)+SUMIF($AD$3:$BA$3,"&gt;="&amp;$DG8,$B8:$Y8)),
IF(AL$3=$DF8+'Model Setup'!$E$7,SUMIF($AD$3:$BA$3,"="&amp;$DF8+'Model Setup'!$E$7,$B8:$Y8)+'Model Setup'!$E$8*(SUMIF($AD$3:$BA$3,"&lt;"&amp;$DF8,$B8:$Y8)+SUMIF($AD$3:$BA$3,"&gt;="&amp;$DG8,$B8:$Y8)),
IF(AL$3=$DF8+'Model Setup'!$F$7,SUMIF($AD$3:$BA$3,"="&amp;$DF8+'Model Setup'!$F$7,$B8:$Y8)+'Model Setup'!$F$8*(SUMIF($AD$3:$BA$3,"&lt;"&amp;$DF8,$B8:$Y8)+SUMIF($AD$3:$BA$3,"&gt;="&amp;$DG8,$B8:$Y8)),
IF(AL$3=$DF8+'Model Setup'!$G$7,SUMIF($AD$3:$BA$3,"="&amp;$DF8+'Model Setup'!$G$7,$B8:$Y8)+'Model Setup'!$G$8*(SUMIF($AD$3:$BA$3,"&lt;"&amp;$DF8,$B8:$Y8)+SUMIF($AD$3:$BA$3,"&gt;="&amp;$DG8,$B8:$Y8)),
IF(AL$3=$DF8+'Model Setup'!$H$7,SUMIF($AD$3:$BA$3,"="&amp;$DF8+'Model Setup'!$H$7,$B8:$Y8)+'Model Setup'!$H$8*(SUMIF($AD$3:$BA$3,"&lt;"&amp;$DF8,$B8:$Y8)+SUMIF($AD$3:$BA$3,"&gt;="&amp;$DG8,$B8:$Y8)),
IF(AL$3=$DF8+'Model Setup'!$I$7,SUMIF($AD$3:$BA$3,"="&amp;$DF8+'Model Setup'!$I$7,$B8:$Y8)+'Model Setup'!$I$8*(SUMIF($AD$3:$BA$3,"&lt;"&amp;$DF8,$B8:$Y8)+SUMIF($AD$3:$BA$3,"&gt;="&amp;$DG8,$B8:$Y8)),
IF(AL$3=$DF8+'Model Setup'!$J$7,SUMIF($AD$3:$BA$3,"="&amp;$DF8+'Model Setup'!$J$7,$B8:$Y8)+'Model Setup'!$J$8*(SUMIF($AD$3:$BA$3,"&lt;"&amp;$DF8,$B8:$Y8)+SUMIF($AD$3:$BA$3,"&gt;="&amp;$DG8,$B8:$Y8)),
IF(AL$3=$DF8+'Model Setup'!$K$7,SUMIF($AD$3:$BA$3,"="&amp;$DF8+'Model Setup'!$K$7,$B8:$Y8)+'Model Setup'!$K$8*(SUMIF($AD$3:$BA$3,"&lt;"&amp;$DF8,$B8:$Y8)+SUMIF($AD$3:$BA$3,"&gt;="&amp;$DG8,$B8:$Y8)),
IF(AL$3=$DF8+'Model Setup'!$L$7,SUMIF($AD$3:$BA$3,"="&amp;$DF8+'Model Setup'!$L$7,$B8:$Y8)+'Model Setup'!$L$8*(SUMIF($AD$3:$BA$3,"&lt;"&amp;$DF8,$B8:$Y8)+SUMIF($AD$3:$BA$3,"&gt;="&amp;$DG8,$B8:$Y8)),
IF(AL$3=$DF8+'Model Setup'!$M$7,SUMIF($AD$3:$BA$3,"="&amp;$DF8+'Model Setup'!$M$7,$B8:$Y8)+'Model Setup'!$M$8*(SUMIF($AD$3:$BA$3,"&lt;"&amp;$DF8,$B8:$Y8)+SUMIF($AD$3:$BA$3,"&gt;="&amp;$DG8,$B8:$Y8)),
IF(AL$3=$DF8+'Model Setup'!$N$7,SUMIF($AD$3:$BA$3,"="&amp;$DF8+'Model Setup'!$N$7,$B8:$Y8)+'Model Setup'!$N$8*(SUMIF($AD$3:$BA$3,"&lt;"&amp;$DF8,$B8:$Y8)+SUMIF($AD$3:$BA$3,"&gt;="&amp;$DG8,$B8:$Y8)),
IF(AL$3&lt;$DG8,J8,0))))))))))))))),0)</f>
        <v>159</v>
      </c>
      <c r="AM8" s="47">
        <f>ROUND(IF(AM$3&lt;$DF8,0,
IF(AM$3=$DF8+'Model Setup'!$B$7,SUMIF($AD$3:$BA$3,"="&amp;$DF8+'Model Setup'!$B$7,$B8:$Y8)+'Model Setup'!$B$8*(SUMIF($AD$3:$BA$3,"&lt;"&amp;$DF8,$B8:$Y8)+SUMIF($AD$3:$BA$3,"&gt;="&amp;$DG8,$B8:$Y8)),
IF(AM$3=$DF8+'Model Setup'!$C$7,SUMIF($AD$3:$BA$3,"="&amp;$DF8+'Model Setup'!$C$7,$B8:$Y8)+'Model Setup'!$C$8*(SUMIF($AD$3:$BA$3,"&lt;"&amp;$DF8,$B8:$Y8)+SUMIF($AD$3:$BA$3,"&gt;="&amp;$DG8,$B8:$Y8)),
IF(AM$3=$DF8+'Model Setup'!$D$7,SUMIF($AD$3:$BA$3,"="&amp;$DF8+'Model Setup'!$D$7,$B8:$Y8)+'Model Setup'!$D$8*(SUMIF($AD$3:$BA$3,"&lt;"&amp;$DF8,$B8:$Y8)+SUMIF($AD$3:$BA$3,"&gt;="&amp;$DG8,$B8:$Y8)),
IF(AM$3=$DF8+'Model Setup'!$E$7,SUMIF($AD$3:$BA$3,"="&amp;$DF8+'Model Setup'!$E$7,$B8:$Y8)+'Model Setup'!$E$8*(SUMIF($AD$3:$BA$3,"&lt;"&amp;$DF8,$B8:$Y8)+SUMIF($AD$3:$BA$3,"&gt;="&amp;$DG8,$B8:$Y8)),
IF(AM$3=$DF8+'Model Setup'!$F$7,SUMIF($AD$3:$BA$3,"="&amp;$DF8+'Model Setup'!$F$7,$B8:$Y8)+'Model Setup'!$F$8*(SUMIF($AD$3:$BA$3,"&lt;"&amp;$DF8,$B8:$Y8)+SUMIF($AD$3:$BA$3,"&gt;="&amp;$DG8,$B8:$Y8)),
IF(AM$3=$DF8+'Model Setup'!$G$7,SUMIF($AD$3:$BA$3,"="&amp;$DF8+'Model Setup'!$G$7,$B8:$Y8)+'Model Setup'!$G$8*(SUMIF($AD$3:$BA$3,"&lt;"&amp;$DF8,$B8:$Y8)+SUMIF($AD$3:$BA$3,"&gt;="&amp;$DG8,$B8:$Y8)),
IF(AM$3=$DF8+'Model Setup'!$H$7,SUMIF($AD$3:$BA$3,"="&amp;$DF8+'Model Setup'!$H$7,$B8:$Y8)+'Model Setup'!$H$8*(SUMIF($AD$3:$BA$3,"&lt;"&amp;$DF8,$B8:$Y8)+SUMIF($AD$3:$BA$3,"&gt;="&amp;$DG8,$B8:$Y8)),
IF(AM$3=$DF8+'Model Setup'!$I$7,SUMIF($AD$3:$BA$3,"="&amp;$DF8+'Model Setup'!$I$7,$B8:$Y8)+'Model Setup'!$I$8*(SUMIF($AD$3:$BA$3,"&lt;"&amp;$DF8,$B8:$Y8)+SUMIF($AD$3:$BA$3,"&gt;="&amp;$DG8,$B8:$Y8)),
IF(AM$3=$DF8+'Model Setup'!$J$7,SUMIF($AD$3:$BA$3,"="&amp;$DF8+'Model Setup'!$J$7,$B8:$Y8)+'Model Setup'!$J$8*(SUMIF($AD$3:$BA$3,"&lt;"&amp;$DF8,$B8:$Y8)+SUMIF($AD$3:$BA$3,"&gt;="&amp;$DG8,$B8:$Y8)),
IF(AM$3=$DF8+'Model Setup'!$K$7,SUMIF($AD$3:$BA$3,"="&amp;$DF8+'Model Setup'!$K$7,$B8:$Y8)+'Model Setup'!$K$8*(SUMIF($AD$3:$BA$3,"&lt;"&amp;$DF8,$B8:$Y8)+SUMIF($AD$3:$BA$3,"&gt;="&amp;$DG8,$B8:$Y8)),
IF(AM$3=$DF8+'Model Setup'!$L$7,SUMIF($AD$3:$BA$3,"="&amp;$DF8+'Model Setup'!$L$7,$B8:$Y8)+'Model Setup'!$L$8*(SUMIF($AD$3:$BA$3,"&lt;"&amp;$DF8,$B8:$Y8)+SUMIF($AD$3:$BA$3,"&gt;="&amp;$DG8,$B8:$Y8)),
IF(AM$3=$DF8+'Model Setup'!$M$7,SUMIF($AD$3:$BA$3,"="&amp;$DF8+'Model Setup'!$M$7,$B8:$Y8)+'Model Setup'!$M$8*(SUMIF($AD$3:$BA$3,"&lt;"&amp;$DF8,$B8:$Y8)+SUMIF($AD$3:$BA$3,"&gt;="&amp;$DG8,$B8:$Y8)),
IF(AM$3=$DF8+'Model Setup'!$N$7,SUMIF($AD$3:$BA$3,"="&amp;$DF8+'Model Setup'!$N$7,$B8:$Y8)+'Model Setup'!$N$8*(SUMIF($AD$3:$BA$3,"&lt;"&amp;$DF8,$B8:$Y8)+SUMIF($AD$3:$BA$3,"&gt;="&amp;$DG8,$B8:$Y8)),
IF(AM$3&lt;$DG8,K8,0))))))))))))))),0)</f>
        <v>135</v>
      </c>
      <c r="AN8" s="47">
        <f>ROUND(IF(AN$3&lt;$DF8,0,
IF(AN$3=$DF8+'Model Setup'!$B$7,SUMIF($AD$3:$BA$3,"="&amp;$DF8+'Model Setup'!$B$7,$B8:$Y8)+'Model Setup'!$B$8*(SUMIF($AD$3:$BA$3,"&lt;"&amp;$DF8,$B8:$Y8)+SUMIF($AD$3:$BA$3,"&gt;="&amp;$DG8,$B8:$Y8)),
IF(AN$3=$DF8+'Model Setup'!$C$7,SUMIF($AD$3:$BA$3,"="&amp;$DF8+'Model Setup'!$C$7,$B8:$Y8)+'Model Setup'!$C$8*(SUMIF($AD$3:$BA$3,"&lt;"&amp;$DF8,$B8:$Y8)+SUMIF($AD$3:$BA$3,"&gt;="&amp;$DG8,$B8:$Y8)),
IF(AN$3=$DF8+'Model Setup'!$D$7,SUMIF($AD$3:$BA$3,"="&amp;$DF8+'Model Setup'!$D$7,$B8:$Y8)+'Model Setup'!$D$8*(SUMIF($AD$3:$BA$3,"&lt;"&amp;$DF8,$B8:$Y8)+SUMIF($AD$3:$BA$3,"&gt;="&amp;$DG8,$B8:$Y8)),
IF(AN$3=$DF8+'Model Setup'!$E$7,SUMIF($AD$3:$BA$3,"="&amp;$DF8+'Model Setup'!$E$7,$B8:$Y8)+'Model Setup'!$E$8*(SUMIF($AD$3:$BA$3,"&lt;"&amp;$DF8,$B8:$Y8)+SUMIF($AD$3:$BA$3,"&gt;="&amp;$DG8,$B8:$Y8)),
IF(AN$3=$DF8+'Model Setup'!$F$7,SUMIF($AD$3:$BA$3,"="&amp;$DF8+'Model Setup'!$F$7,$B8:$Y8)+'Model Setup'!$F$8*(SUMIF($AD$3:$BA$3,"&lt;"&amp;$DF8,$B8:$Y8)+SUMIF($AD$3:$BA$3,"&gt;="&amp;$DG8,$B8:$Y8)),
IF(AN$3=$DF8+'Model Setup'!$G$7,SUMIF($AD$3:$BA$3,"="&amp;$DF8+'Model Setup'!$G$7,$B8:$Y8)+'Model Setup'!$G$8*(SUMIF($AD$3:$BA$3,"&lt;"&amp;$DF8,$B8:$Y8)+SUMIF($AD$3:$BA$3,"&gt;="&amp;$DG8,$B8:$Y8)),
IF(AN$3=$DF8+'Model Setup'!$H$7,SUMIF($AD$3:$BA$3,"="&amp;$DF8+'Model Setup'!$H$7,$B8:$Y8)+'Model Setup'!$H$8*(SUMIF($AD$3:$BA$3,"&lt;"&amp;$DF8,$B8:$Y8)+SUMIF($AD$3:$BA$3,"&gt;="&amp;$DG8,$B8:$Y8)),
IF(AN$3=$DF8+'Model Setup'!$I$7,SUMIF($AD$3:$BA$3,"="&amp;$DF8+'Model Setup'!$I$7,$B8:$Y8)+'Model Setup'!$I$8*(SUMIF($AD$3:$BA$3,"&lt;"&amp;$DF8,$B8:$Y8)+SUMIF($AD$3:$BA$3,"&gt;="&amp;$DG8,$B8:$Y8)),
IF(AN$3=$DF8+'Model Setup'!$J$7,SUMIF($AD$3:$BA$3,"="&amp;$DF8+'Model Setup'!$J$7,$B8:$Y8)+'Model Setup'!$J$8*(SUMIF($AD$3:$BA$3,"&lt;"&amp;$DF8,$B8:$Y8)+SUMIF($AD$3:$BA$3,"&gt;="&amp;$DG8,$B8:$Y8)),
IF(AN$3=$DF8+'Model Setup'!$K$7,SUMIF($AD$3:$BA$3,"="&amp;$DF8+'Model Setup'!$K$7,$B8:$Y8)+'Model Setup'!$K$8*(SUMIF($AD$3:$BA$3,"&lt;"&amp;$DF8,$B8:$Y8)+SUMIF($AD$3:$BA$3,"&gt;="&amp;$DG8,$B8:$Y8)),
IF(AN$3=$DF8+'Model Setup'!$L$7,SUMIF($AD$3:$BA$3,"="&amp;$DF8+'Model Setup'!$L$7,$B8:$Y8)+'Model Setup'!$L$8*(SUMIF($AD$3:$BA$3,"&lt;"&amp;$DF8,$B8:$Y8)+SUMIF($AD$3:$BA$3,"&gt;="&amp;$DG8,$B8:$Y8)),
IF(AN$3=$DF8+'Model Setup'!$M$7,SUMIF($AD$3:$BA$3,"="&amp;$DF8+'Model Setup'!$M$7,$B8:$Y8)+'Model Setup'!$M$8*(SUMIF($AD$3:$BA$3,"&lt;"&amp;$DF8,$B8:$Y8)+SUMIF($AD$3:$BA$3,"&gt;="&amp;$DG8,$B8:$Y8)),
IF(AN$3=$DF8+'Model Setup'!$N$7,SUMIF($AD$3:$BA$3,"="&amp;$DF8+'Model Setup'!$N$7,$B8:$Y8)+'Model Setup'!$N$8*(SUMIF($AD$3:$BA$3,"&lt;"&amp;$DF8,$B8:$Y8)+SUMIF($AD$3:$BA$3,"&gt;="&amp;$DG8,$B8:$Y8)),
IF(AN$3&lt;$DG8,L8,0))))))))))))))),0)</f>
        <v>101</v>
      </c>
      <c r="AO8" s="47">
        <f>ROUND(IF(AO$3&lt;$DF8,0,
IF(AO$3=$DF8+'Model Setup'!$B$7,SUMIF($AD$3:$BA$3,"="&amp;$DF8+'Model Setup'!$B$7,$B8:$Y8)+'Model Setup'!$B$8*(SUMIF($AD$3:$BA$3,"&lt;"&amp;$DF8,$B8:$Y8)+SUMIF($AD$3:$BA$3,"&gt;="&amp;$DG8,$B8:$Y8)),
IF(AO$3=$DF8+'Model Setup'!$C$7,SUMIF($AD$3:$BA$3,"="&amp;$DF8+'Model Setup'!$C$7,$B8:$Y8)+'Model Setup'!$C$8*(SUMIF($AD$3:$BA$3,"&lt;"&amp;$DF8,$B8:$Y8)+SUMIF($AD$3:$BA$3,"&gt;="&amp;$DG8,$B8:$Y8)),
IF(AO$3=$DF8+'Model Setup'!$D$7,SUMIF($AD$3:$BA$3,"="&amp;$DF8+'Model Setup'!$D$7,$B8:$Y8)+'Model Setup'!$D$8*(SUMIF($AD$3:$BA$3,"&lt;"&amp;$DF8,$B8:$Y8)+SUMIF($AD$3:$BA$3,"&gt;="&amp;$DG8,$B8:$Y8)),
IF(AO$3=$DF8+'Model Setup'!$E$7,SUMIF($AD$3:$BA$3,"="&amp;$DF8+'Model Setup'!$E$7,$B8:$Y8)+'Model Setup'!$E$8*(SUMIF($AD$3:$BA$3,"&lt;"&amp;$DF8,$B8:$Y8)+SUMIF($AD$3:$BA$3,"&gt;="&amp;$DG8,$B8:$Y8)),
IF(AO$3=$DF8+'Model Setup'!$F$7,SUMIF($AD$3:$BA$3,"="&amp;$DF8+'Model Setup'!$F$7,$B8:$Y8)+'Model Setup'!$F$8*(SUMIF($AD$3:$BA$3,"&lt;"&amp;$DF8,$B8:$Y8)+SUMIF($AD$3:$BA$3,"&gt;="&amp;$DG8,$B8:$Y8)),
IF(AO$3=$DF8+'Model Setup'!$G$7,SUMIF($AD$3:$BA$3,"="&amp;$DF8+'Model Setup'!$G$7,$B8:$Y8)+'Model Setup'!$G$8*(SUMIF($AD$3:$BA$3,"&lt;"&amp;$DF8,$B8:$Y8)+SUMIF($AD$3:$BA$3,"&gt;="&amp;$DG8,$B8:$Y8)),
IF(AO$3=$DF8+'Model Setup'!$H$7,SUMIF($AD$3:$BA$3,"="&amp;$DF8+'Model Setup'!$H$7,$B8:$Y8)+'Model Setup'!$H$8*(SUMIF($AD$3:$BA$3,"&lt;"&amp;$DF8,$B8:$Y8)+SUMIF($AD$3:$BA$3,"&gt;="&amp;$DG8,$B8:$Y8)),
IF(AO$3=$DF8+'Model Setup'!$I$7,SUMIF($AD$3:$BA$3,"="&amp;$DF8+'Model Setup'!$I$7,$B8:$Y8)+'Model Setup'!$I$8*(SUMIF($AD$3:$BA$3,"&lt;"&amp;$DF8,$B8:$Y8)+SUMIF($AD$3:$BA$3,"&gt;="&amp;$DG8,$B8:$Y8)),
IF(AO$3=$DF8+'Model Setup'!$J$7,SUMIF($AD$3:$BA$3,"="&amp;$DF8+'Model Setup'!$J$7,$B8:$Y8)+'Model Setup'!$J$8*(SUMIF($AD$3:$BA$3,"&lt;"&amp;$DF8,$B8:$Y8)+SUMIF($AD$3:$BA$3,"&gt;="&amp;$DG8,$B8:$Y8)),
IF(AO$3=$DF8+'Model Setup'!$K$7,SUMIF($AD$3:$BA$3,"="&amp;$DF8+'Model Setup'!$K$7,$B8:$Y8)+'Model Setup'!$K$8*(SUMIF($AD$3:$BA$3,"&lt;"&amp;$DF8,$B8:$Y8)+SUMIF($AD$3:$BA$3,"&gt;="&amp;$DG8,$B8:$Y8)),
IF(AO$3=$DF8+'Model Setup'!$L$7,SUMIF($AD$3:$BA$3,"="&amp;$DF8+'Model Setup'!$L$7,$B8:$Y8)+'Model Setup'!$L$8*(SUMIF($AD$3:$BA$3,"&lt;"&amp;$DF8,$B8:$Y8)+SUMIF($AD$3:$BA$3,"&gt;="&amp;$DG8,$B8:$Y8)),
IF(AO$3=$DF8+'Model Setup'!$M$7,SUMIF($AD$3:$BA$3,"="&amp;$DF8+'Model Setup'!$M$7,$B8:$Y8)+'Model Setup'!$M$8*(SUMIF($AD$3:$BA$3,"&lt;"&amp;$DF8,$B8:$Y8)+SUMIF($AD$3:$BA$3,"&gt;="&amp;$DG8,$B8:$Y8)),
IF(AO$3=$DF8+'Model Setup'!$N$7,SUMIF($AD$3:$BA$3,"="&amp;$DF8+'Model Setup'!$N$7,$B8:$Y8)+'Model Setup'!$N$8*(SUMIF($AD$3:$BA$3,"&lt;"&amp;$DF8,$B8:$Y8)+SUMIF($AD$3:$BA$3,"&gt;="&amp;$DG8,$B8:$Y8)),
IF(AO$3&lt;$DG8,M8,0))))))))))))))),0)</f>
        <v>85</v>
      </c>
      <c r="AP8" s="47">
        <f>ROUND(IF(AP$3&lt;$DF8,0,
IF(AP$3=$DF8+'Model Setup'!$B$7,SUMIF($AD$3:$BA$3,"="&amp;$DF8+'Model Setup'!$B$7,$B8:$Y8)+'Model Setup'!$B$8*(SUMIF($AD$3:$BA$3,"&lt;"&amp;$DF8,$B8:$Y8)+SUMIF($AD$3:$BA$3,"&gt;="&amp;$DG8,$B8:$Y8)),
IF(AP$3=$DF8+'Model Setup'!$C$7,SUMIF($AD$3:$BA$3,"="&amp;$DF8+'Model Setup'!$C$7,$B8:$Y8)+'Model Setup'!$C$8*(SUMIF($AD$3:$BA$3,"&lt;"&amp;$DF8,$B8:$Y8)+SUMIF($AD$3:$BA$3,"&gt;="&amp;$DG8,$B8:$Y8)),
IF(AP$3=$DF8+'Model Setup'!$D$7,SUMIF($AD$3:$BA$3,"="&amp;$DF8+'Model Setup'!$D$7,$B8:$Y8)+'Model Setup'!$D$8*(SUMIF($AD$3:$BA$3,"&lt;"&amp;$DF8,$B8:$Y8)+SUMIF($AD$3:$BA$3,"&gt;="&amp;$DG8,$B8:$Y8)),
IF(AP$3=$DF8+'Model Setup'!$E$7,SUMIF($AD$3:$BA$3,"="&amp;$DF8+'Model Setup'!$E$7,$B8:$Y8)+'Model Setup'!$E$8*(SUMIF($AD$3:$BA$3,"&lt;"&amp;$DF8,$B8:$Y8)+SUMIF($AD$3:$BA$3,"&gt;="&amp;$DG8,$B8:$Y8)),
IF(AP$3=$DF8+'Model Setup'!$F$7,SUMIF($AD$3:$BA$3,"="&amp;$DF8+'Model Setup'!$F$7,$B8:$Y8)+'Model Setup'!$F$8*(SUMIF($AD$3:$BA$3,"&lt;"&amp;$DF8,$B8:$Y8)+SUMIF($AD$3:$BA$3,"&gt;="&amp;$DG8,$B8:$Y8)),
IF(AP$3=$DF8+'Model Setup'!$G$7,SUMIF($AD$3:$BA$3,"="&amp;$DF8+'Model Setup'!$G$7,$B8:$Y8)+'Model Setup'!$G$8*(SUMIF($AD$3:$BA$3,"&lt;"&amp;$DF8,$B8:$Y8)+SUMIF($AD$3:$BA$3,"&gt;="&amp;$DG8,$B8:$Y8)),
IF(AP$3=$DF8+'Model Setup'!$H$7,SUMIF($AD$3:$BA$3,"="&amp;$DF8+'Model Setup'!$H$7,$B8:$Y8)+'Model Setup'!$H$8*(SUMIF($AD$3:$BA$3,"&lt;"&amp;$DF8,$B8:$Y8)+SUMIF($AD$3:$BA$3,"&gt;="&amp;$DG8,$B8:$Y8)),
IF(AP$3=$DF8+'Model Setup'!$I$7,SUMIF($AD$3:$BA$3,"="&amp;$DF8+'Model Setup'!$I$7,$B8:$Y8)+'Model Setup'!$I$8*(SUMIF($AD$3:$BA$3,"&lt;"&amp;$DF8,$B8:$Y8)+SUMIF($AD$3:$BA$3,"&gt;="&amp;$DG8,$B8:$Y8)),
IF(AP$3=$DF8+'Model Setup'!$J$7,SUMIF($AD$3:$BA$3,"="&amp;$DF8+'Model Setup'!$J$7,$B8:$Y8)+'Model Setup'!$J$8*(SUMIF($AD$3:$BA$3,"&lt;"&amp;$DF8,$B8:$Y8)+SUMIF($AD$3:$BA$3,"&gt;="&amp;$DG8,$B8:$Y8)),
IF(AP$3=$DF8+'Model Setup'!$K$7,SUMIF($AD$3:$BA$3,"="&amp;$DF8+'Model Setup'!$K$7,$B8:$Y8)+'Model Setup'!$K$8*(SUMIF($AD$3:$BA$3,"&lt;"&amp;$DF8,$B8:$Y8)+SUMIF($AD$3:$BA$3,"&gt;="&amp;$DG8,$B8:$Y8)),
IF(AP$3=$DF8+'Model Setup'!$L$7,SUMIF($AD$3:$BA$3,"="&amp;$DF8+'Model Setup'!$L$7,$B8:$Y8)+'Model Setup'!$L$8*(SUMIF($AD$3:$BA$3,"&lt;"&amp;$DF8,$B8:$Y8)+SUMIF($AD$3:$BA$3,"&gt;="&amp;$DG8,$B8:$Y8)),
IF(AP$3=$DF8+'Model Setup'!$M$7,SUMIF($AD$3:$BA$3,"="&amp;$DF8+'Model Setup'!$M$7,$B8:$Y8)+'Model Setup'!$M$8*(SUMIF($AD$3:$BA$3,"&lt;"&amp;$DF8,$B8:$Y8)+SUMIF($AD$3:$BA$3,"&gt;="&amp;$DG8,$B8:$Y8)),
IF(AP$3=$DF8+'Model Setup'!$N$7,SUMIF($AD$3:$BA$3,"="&amp;$DF8+'Model Setup'!$N$7,$B8:$Y8)+'Model Setup'!$N$8*(SUMIF($AD$3:$BA$3,"&lt;"&amp;$DF8,$B8:$Y8)+SUMIF($AD$3:$BA$3,"&gt;="&amp;$DG8,$B8:$Y8)),
IF(AP$3&lt;$DG8,N8,0))))))))))))))),0)</f>
        <v>76</v>
      </c>
      <c r="AQ8" s="47">
        <f>ROUND(IF(AQ$3&lt;$DF8,0,
IF(AQ$3=$DF8+'Model Setup'!$B$7,SUMIF($AD$3:$BA$3,"="&amp;$DF8+'Model Setup'!$B$7,$B8:$Y8)+'Model Setup'!$B$8*(SUMIF($AD$3:$BA$3,"&lt;"&amp;$DF8,$B8:$Y8)+SUMIF($AD$3:$BA$3,"&gt;="&amp;$DG8,$B8:$Y8)),
IF(AQ$3=$DF8+'Model Setup'!$C$7,SUMIF($AD$3:$BA$3,"="&amp;$DF8+'Model Setup'!$C$7,$B8:$Y8)+'Model Setup'!$C$8*(SUMIF($AD$3:$BA$3,"&lt;"&amp;$DF8,$B8:$Y8)+SUMIF($AD$3:$BA$3,"&gt;="&amp;$DG8,$B8:$Y8)),
IF(AQ$3=$DF8+'Model Setup'!$D$7,SUMIF($AD$3:$BA$3,"="&amp;$DF8+'Model Setup'!$D$7,$B8:$Y8)+'Model Setup'!$D$8*(SUMIF($AD$3:$BA$3,"&lt;"&amp;$DF8,$B8:$Y8)+SUMIF($AD$3:$BA$3,"&gt;="&amp;$DG8,$B8:$Y8)),
IF(AQ$3=$DF8+'Model Setup'!$E$7,SUMIF($AD$3:$BA$3,"="&amp;$DF8+'Model Setup'!$E$7,$B8:$Y8)+'Model Setup'!$E$8*(SUMIF($AD$3:$BA$3,"&lt;"&amp;$DF8,$B8:$Y8)+SUMIF($AD$3:$BA$3,"&gt;="&amp;$DG8,$B8:$Y8)),
IF(AQ$3=$DF8+'Model Setup'!$F$7,SUMIF($AD$3:$BA$3,"="&amp;$DF8+'Model Setup'!$F$7,$B8:$Y8)+'Model Setup'!$F$8*(SUMIF($AD$3:$BA$3,"&lt;"&amp;$DF8,$B8:$Y8)+SUMIF($AD$3:$BA$3,"&gt;="&amp;$DG8,$B8:$Y8)),
IF(AQ$3=$DF8+'Model Setup'!$G$7,SUMIF($AD$3:$BA$3,"="&amp;$DF8+'Model Setup'!$G$7,$B8:$Y8)+'Model Setup'!$G$8*(SUMIF($AD$3:$BA$3,"&lt;"&amp;$DF8,$B8:$Y8)+SUMIF($AD$3:$BA$3,"&gt;="&amp;$DG8,$B8:$Y8)),
IF(AQ$3=$DF8+'Model Setup'!$H$7,SUMIF($AD$3:$BA$3,"="&amp;$DF8+'Model Setup'!$H$7,$B8:$Y8)+'Model Setup'!$H$8*(SUMIF($AD$3:$BA$3,"&lt;"&amp;$DF8,$B8:$Y8)+SUMIF($AD$3:$BA$3,"&gt;="&amp;$DG8,$B8:$Y8)),
IF(AQ$3=$DF8+'Model Setup'!$I$7,SUMIF($AD$3:$BA$3,"="&amp;$DF8+'Model Setup'!$I$7,$B8:$Y8)+'Model Setup'!$I$8*(SUMIF($AD$3:$BA$3,"&lt;"&amp;$DF8,$B8:$Y8)+SUMIF($AD$3:$BA$3,"&gt;="&amp;$DG8,$B8:$Y8)),
IF(AQ$3=$DF8+'Model Setup'!$J$7,SUMIF($AD$3:$BA$3,"="&amp;$DF8+'Model Setup'!$J$7,$B8:$Y8)+'Model Setup'!$J$8*(SUMIF($AD$3:$BA$3,"&lt;"&amp;$DF8,$B8:$Y8)+SUMIF($AD$3:$BA$3,"&gt;="&amp;$DG8,$B8:$Y8)),
IF(AQ$3=$DF8+'Model Setup'!$K$7,SUMIF($AD$3:$BA$3,"="&amp;$DF8+'Model Setup'!$K$7,$B8:$Y8)+'Model Setup'!$K$8*(SUMIF($AD$3:$BA$3,"&lt;"&amp;$DF8,$B8:$Y8)+SUMIF($AD$3:$BA$3,"&gt;="&amp;$DG8,$B8:$Y8)),
IF(AQ$3=$DF8+'Model Setup'!$L$7,SUMIF($AD$3:$BA$3,"="&amp;$DF8+'Model Setup'!$L$7,$B8:$Y8)+'Model Setup'!$L$8*(SUMIF($AD$3:$BA$3,"&lt;"&amp;$DF8,$B8:$Y8)+SUMIF($AD$3:$BA$3,"&gt;="&amp;$DG8,$B8:$Y8)),
IF(AQ$3=$DF8+'Model Setup'!$M$7,SUMIF($AD$3:$BA$3,"="&amp;$DF8+'Model Setup'!$M$7,$B8:$Y8)+'Model Setup'!$M$8*(SUMIF($AD$3:$BA$3,"&lt;"&amp;$DF8,$B8:$Y8)+SUMIF($AD$3:$BA$3,"&gt;="&amp;$DG8,$B8:$Y8)),
IF(AQ$3=$DF8+'Model Setup'!$N$7,SUMIF($AD$3:$BA$3,"="&amp;$DF8+'Model Setup'!$N$7,$B8:$Y8)+'Model Setup'!$N$8*(SUMIF($AD$3:$BA$3,"&lt;"&amp;$DF8,$B8:$Y8)+SUMIF($AD$3:$BA$3,"&gt;="&amp;$DG8,$B8:$Y8)),
IF(AQ$3&lt;$DG8,O8,0))))))))))))))),0)</f>
        <v>74</v>
      </c>
      <c r="AR8" s="47">
        <f>ROUND(IF(AR$3&lt;$DF8,0,
IF(AR$3=$DF8+'Model Setup'!$B$7,SUMIF($AD$3:$BA$3,"="&amp;$DF8+'Model Setup'!$B$7,$B8:$Y8)+'Model Setup'!$B$8*(SUMIF($AD$3:$BA$3,"&lt;"&amp;$DF8,$B8:$Y8)+SUMIF($AD$3:$BA$3,"&gt;="&amp;$DG8,$B8:$Y8)),
IF(AR$3=$DF8+'Model Setup'!$C$7,SUMIF($AD$3:$BA$3,"="&amp;$DF8+'Model Setup'!$C$7,$B8:$Y8)+'Model Setup'!$C$8*(SUMIF($AD$3:$BA$3,"&lt;"&amp;$DF8,$B8:$Y8)+SUMIF($AD$3:$BA$3,"&gt;="&amp;$DG8,$B8:$Y8)),
IF(AR$3=$DF8+'Model Setup'!$D$7,SUMIF($AD$3:$BA$3,"="&amp;$DF8+'Model Setup'!$D$7,$B8:$Y8)+'Model Setup'!$D$8*(SUMIF($AD$3:$BA$3,"&lt;"&amp;$DF8,$B8:$Y8)+SUMIF($AD$3:$BA$3,"&gt;="&amp;$DG8,$B8:$Y8)),
IF(AR$3=$DF8+'Model Setup'!$E$7,SUMIF($AD$3:$BA$3,"="&amp;$DF8+'Model Setup'!$E$7,$B8:$Y8)+'Model Setup'!$E$8*(SUMIF($AD$3:$BA$3,"&lt;"&amp;$DF8,$B8:$Y8)+SUMIF($AD$3:$BA$3,"&gt;="&amp;$DG8,$B8:$Y8)),
IF(AR$3=$DF8+'Model Setup'!$F$7,SUMIF($AD$3:$BA$3,"="&amp;$DF8+'Model Setup'!$F$7,$B8:$Y8)+'Model Setup'!$F$8*(SUMIF($AD$3:$BA$3,"&lt;"&amp;$DF8,$B8:$Y8)+SUMIF($AD$3:$BA$3,"&gt;="&amp;$DG8,$B8:$Y8)),
IF(AR$3=$DF8+'Model Setup'!$G$7,SUMIF($AD$3:$BA$3,"="&amp;$DF8+'Model Setup'!$G$7,$B8:$Y8)+'Model Setup'!$G$8*(SUMIF($AD$3:$BA$3,"&lt;"&amp;$DF8,$B8:$Y8)+SUMIF($AD$3:$BA$3,"&gt;="&amp;$DG8,$B8:$Y8)),
IF(AR$3=$DF8+'Model Setup'!$H$7,SUMIF($AD$3:$BA$3,"="&amp;$DF8+'Model Setup'!$H$7,$B8:$Y8)+'Model Setup'!$H$8*(SUMIF($AD$3:$BA$3,"&lt;"&amp;$DF8,$B8:$Y8)+SUMIF($AD$3:$BA$3,"&gt;="&amp;$DG8,$B8:$Y8)),
IF(AR$3=$DF8+'Model Setup'!$I$7,SUMIF($AD$3:$BA$3,"="&amp;$DF8+'Model Setup'!$I$7,$B8:$Y8)+'Model Setup'!$I$8*(SUMIF($AD$3:$BA$3,"&lt;"&amp;$DF8,$B8:$Y8)+SUMIF($AD$3:$BA$3,"&gt;="&amp;$DG8,$B8:$Y8)),
IF(AR$3=$DF8+'Model Setup'!$J$7,SUMIF($AD$3:$BA$3,"="&amp;$DF8+'Model Setup'!$J$7,$B8:$Y8)+'Model Setup'!$J$8*(SUMIF($AD$3:$BA$3,"&lt;"&amp;$DF8,$B8:$Y8)+SUMIF($AD$3:$BA$3,"&gt;="&amp;$DG8,$B8:$Y8)),
IF(AR$3=$DF8+'Model Setup'!$K$7,SUMIF($AD$3:$BA$3,"="&amp;$DF8+'Model Setup'!$K$7,$B8:$Y8)+'Model Setup'!$K$8*(SUMIF($AD$3:$BA$3,"&lt;"&amp;$DF8,$B8:$Y8)+SUMIF($AD$3:$BA$3,"&gt;="&amp;$DG8,$B8:$Y8)),
IF(AR$3=$DF8+'Model Setup'!$L$7,SUMIF($AD$3:$BA$3,"="&amp;$DF8+'Model Setup'!$L$7,$B8:$Y8)+'Model Setup'!$L$8*(SUMIF($AD$3:$BA$3,"&lt;"&amp;$DF8,$B8:$Y8)+SUMIF($AD$3:$BA$3,"&gt;="&amp;$DG8,$B8:$Y8)),
IF(AR$3=$DF8+'Model Setup'!$M$7,SUMIF($AD$3:$BA$3,"="&amp;$DF8+'Model Setup'!$M$7,$B8:$Y8)+'Model Setup'!$M$8*(SUMIF($AD$3:$BA$3,"&lt;"&amp;$DF8,$B8:$Y8)+SUMIF($AD$3:$BA$3,"&gt;="&amp;$DG8,$B8:$Y8)),
IF(AR$3=$DF8+'Model Setup'!$N$7,SUMIF($AD$3:$BA$3,"="&amp;$DF8+'Model Setup'!$N$7,$B8:$Y8)+'Model Setup'!$N$8*(SUMIF($AD$3:$BA$3,"&lt;"&amp;$DF8,$B8:$Y8)+SUMIF($AD$3:$BA$3,"&gt;="&amp;$DG8,$B8:$Y8)),
IF(AR$3&lt;$DG8,P8,0))))))))))))))),0)</f>
        <v>66</v>
      </c>
      <c r="AS8" s="47">
        <f>ROUND(IF(AS$3&lt;$DF8,0,
IF(AS$3=$DF8+'Model Setup'!$B$7,SUMIF($AD$3:$BA$3,"="&amp;$DF8+'Model Setup'!$B$7,$B8:$Y8)+'Model Setup'!$B$8*(SUMIF($AD$3:$BA$3,"&lt;"&amp;$DF8,$B8:$Y8)+SUMIF($AD$3:$BA$3,"&gt;="&amp;$DG8,$B8:$Y8)),
IF(AS$3=$DF8+'Model Setup'!$C$7,SUMIF($AD$3:$BA$3,"="&amp;$DF8+'Model Setup'!$C$7,$B8:$Y8)+'Model Setup'!$C$8*(SUMIF($AD$3:$BA$3,"&lt;"&amp;$DF8,$B8:$Y8)+SUMIF($AD$3:$BA$3,"&gt;="&amp;$DG8,$B8:$Y8)),
IF(AS$3=$DF8+'Model Setup'!$D$7,SUMIF($AD$3:$BA$3,"="&amp;$DF8+'Model Setup'!$D$7,$B8:$Y8)+'Model Setup'!$D$8*(SUMIF($AD$3:$BA$3,"&lt;"&amp;$DF8,$B8:$Y8)+SUMIF($AD$3:$BA$3,"&gt;="&amp;$DG8,$B8:$Y8)),
IF(AS$3=$DF8+'Model Setup'!$E$7,SUMIF($AD$3:$BA$3,"="&amp;$DF8+'Model Setup'!$E$7,$B8:$Y8)+'Model Setup'!$E$8*(SUMIF($AD$3:$BA$3,"&lt;"&amp;$DF8,$B8:$Y8)+SUMIF($AD$3:$BA$3,"&gt;="&amp;$DG8,$B8:$Y8)),
IF(AS$3=$DF8+'Model Setup'!$F$7,SUMIF($AD$3:$BA$3,"="&amp;$DF8+'Model Setup'!$F$7,$B8:$Y8)+'Model Setup'!$F$8*(SUMIF($AD$3:$BA$3,"&lt;"&amp;$DF8,$B8:$Y8)+SUMIF($AD$3:$BA$3,"&gt;="&amp;$DG8,$B8:$Y8)),
IF(AS$3=$DF8+'Model Setup'!$G$7,SUMIF($AD$3:$BA$3,"="&amp;$DF8+'Model Setup'!$G$7,$B8:$Y8)+'Model Setup'!$G$8*(SUMIF($AD$3:$BA$3,"&lt;"&amp;$DF8,$B8:$Y8)+SUMIF($AD$3:$BA$3,"&gt;="&amp;$DG8,$B8:$Y8)),
IF(AS$3=$DF8+'Model Setup'!$H$7,SUMIF($AD$3:$BA$3,"="&amp;$DF8+'Model Setup'!$H$7,$B8:$Y8)+'Model Setup'!$H$8*(SUMIF($AD$3:$BA$3,"&lt;"&amp;$DF8,$B8:$Y8)+SUMIF($AD$3:$BA$3,"&gt;="&amp;$DG8,$B8:$Y8)),
IF(AS$3=$DF8+'Model Setup'!$I$7,SUMIF($AD$3:$BA$3,"="&amp;$DF8+'Model Setup'!$I$7,$B8:$Y8)+'Model Setup'!$I$8*(SUMIF($AD$3:$BA$3,"&lt;"&amp;$DF8,$B8:$Y8)+SUMIF($AD$3:$BA$3,"&gt;="&amp;$DG8,$B8:$Y8)),
IF(AS$3=$DF8+'Model Setup'!$J$7,SUMIF($AD$3:$BA$3,"="&amp;$DF8+'Model Setup'!$J$7,$B8:$Y8)+'Model Setup'!$J$8*(SUMIF($AD$3:$BA$3,"&lt;"&amp;$DF8,$B8:$Y8)+SUMIF($AD$3:$BA$3,"&gt;="&amp;$DG8,$B8:$Y8)),
IF(AS$3=$DF8+'Model Setup'!$K$7,SUMIF($AD$3:$BA$3,"="&amp;$DF8+'Model Setup'!$K$7,$B8:$Y8)+'Model Setup'!$K$8*(SUMIF($AD$3:$BA$3,"&lt;"&amp;$DF8,$B8:$Y8)+SUMIF($AD$3:$BA$3,"&gt;="&amp;$DG8,$B8:$Y8)),
IF(AS$3=$DF8+'Model Setup'!$L$7,SUMIF($AD$3:$BA$3,"="&amp;$DF8+'Model Setup'!$L$7,$B8:$Y8)+'Model Setup'!$L$8*(SUMIF($AD$3:$BA$3,"&lt;"&amp;$DF8,$B8:$Y8)+SUMIF($AD$3:$BA$3,"&gt;="&amp;$DG8,$B8:$Y8)),
IF(AS$3=$DF8+'Model Setup'!$M$7,SUMIF($AD$3:$BA$3,"="&amp;$DF8+'Model Setup'!$M$7,$B8:$Y8)+'Model Setup'!$M$8*(SUMIF($AD$3:$BA$3,"&lt;"&amp;$DF8,$B8:$Y8)+SUMIF($AD$3:$BA$3,"&gt;="&amp;$DG8,$B8:$Y8)),
IF(AS$3=$DF8+'Model Setup'!$N$7,SUMIF($AD$3:$BA$3,"="&amp;$DF8+'Model Setup'!$N$7,$B8:$Y8)+'Model Setup'!$N$8*(SUMIF($AD$3:$BA$3,"&lt;"&amp;$DF8,$B8:$Y8)+SUMIF($AD$3:$BA$3,"&gt;="&amp;$DG8,$B8:$Y8)),
IF(AS$3&lt;$DG8,Q8,0))))))))))))))),0)</f>
        <v>46</v>
      </c>
      <c r="AT8" s="47">
        <f>ROUND(IF(AT$3&lt;$DF8,0,
IF(AT$3=$DF8+'Model Setup'!$B$7,SUMIF($AD$3:$BA$3,"="&amp;$DF8+'Model Setup'!$B$7,$B8:$Y8)+'Model Setup'!$B$8*(SUMIF($AD$3:$BA$3,"&lt;"&amp;$DF8,$B8:$Y8)+SUMIF($AD$3:$BA$3,"&gt;="&amp;$DG8,$B8:$Y8)),
IF(AT$3=$DF8+'Model Setup'!$C$7,SUMIF($AD$3:$BA$3,"="&amp;$DF8+'Model Setup'!$C$7,$B8:$Y8)+'Model Setup'!$C$8*(SUMIF($AD$3:$BA$3,"&lt;"&amp;$DF8,$B8:$Y8)+SUMIF($AD$3:$BA$3,"&gt;="&amp;$DG8,$B8:$Y8)),
IF(AT$3=$DF8+'Model Setup'!$D$7,SUMIF($AD$3:$BA$3,"="&amp;$DF8+'Model Setup'!$D$7,$B8:$Y8)+'Model Setup'!$D$8*(SUMIF($AD$3:$BA$3,"&lt;"&amp;$DF8,$B8:$Y8)+SUMIF($AD$3:$BA$3,"&gt;="&amp;$DG8,$B8:$Y8)),
IF(AT$3=$DF8+'Model Setup'!$E$7,SUMIF($AD$3:$BA$3,"="&amp;$DF8+'Model Setup'!$E$7,$B8:$Y8)+'Model Setup'!$E$8*(SUMIF($AD$3:$BA$3,"&lt;"&amp;$DF8,$B8:$Y8)+SUMIF($AD$3:$BA$3,"&gt;="&amp;$DG8,$B8:$Y8)),
IF(AT$3=$DF8+'Model Setup'!$F$7,SUMIF($AD$3:$BA$3,"="&amp;$DF8+'Model Setup'!$F$7,$B8:$Y8)+'Model Setup'!$F$8*(SUMIF($AD$3:$BA$3,"&lt;"&amp;$DF8,$B8:$Y8)+SUMIF($AD$3:$BA$3,"&gt;="&amp;$DG8,$B8:$Y8)),
IF(AT$3=$DF8+'Model Setup'!$G$7,SUMIF($AD$3:$BA$3,"="&amp;$DF8+'Model Setup'!$G$7,$B8:$Y8)+'Model Setup'!$G$8*(SUMIF($AD$3:$BA$3,"&lt;"&amp;$DF8,$B8:$Y8)+SUMIF($AD$3:$BA$3,"&gt;="&amp;$DG8,$B8:$Y8)),
IF(AT$3=$DF8+'Model Setup'!$H$7,SUMIF($AD$3:$BA$3,"="&amp;$DF8+'Model Setup'!$H$7,$B8:$Y8)+'Model Setup'!$H$8*(SUMIF($AD$3:$BA$3,"&lt;"&amp;$DF8,$B8:$Y8)+SUMIF($AD$3:$BA$3,"&gt;="&amp;$DG8,$B8:$Y8)),
IF(AT$3=$DF8+'Model Setup'!$I$7,SUMIF($AD$3:$BA$3,"="&amp;$DF8+'Model Setup'!$I$7,$B8:$Y8)+'Model Setup'!$I$8*(SUMIF($AD$3:$BA$3,"&lt;"&amp;$DF8,$B8:$Y8)+SUMIF($AD$3:$BA$3,"&gt;="&amp;$DG8,$B8:$Y8)),
IF(AT$3=$DF8+'Model Setup'!$J$7,SUMIF($AD$3:$BA$3,"="&amp;$DF8+'Model Setup'!$J$7,$B8:$Y8)+'Model Setup'!$J$8*(SUMIF($AD$3:$BA$3,"&lt;"&amp;$DF8,$B8:$Y8)+SUMIF($AD$3:$BA$3,"&gt;="&amp;$DG8,$B8:$Y8)),
IF(AT$3=$DF8+'Model Setup'!$K$7,SUMIF($AD$3:$BA$3,"="&amp;$DF8+'Model Setup'!$K$7,$B8:$Y8)+'Model Setup'!$K$8*(SUMIF($AD$3:$BA$3,"&lt;"&amp;$DF8,$B8:$Y8)+SUMIF($AD$3:$BA$3,"&gt;="&amp;$DG8,$B8:$Y8)),
IF(AT$3=$DF8+'Model Setup'!$L$7,SUMIF($AD$3:$BA$3,"="&amp;$DF8+'Model Setup'!$L$7,$B8:$Y8)+'Model Setup'!$L$8*(SUMIF($AD$3:$BA$3,"&lt;"&amp;$DF8,$B8:$Y8)+SUMIF($AD$3:$BA$3,"&gt;="&amp;$DG8,$B8:$Y8)),
IF(AT$3=$DF8+'Model Setup'!$M$7,SUMIF($AD$3:$BA$3,"="&amp;$DF8+'Model Setup'!$M$7,$B8:$Y8)+'Model Setup'!$M$8*(SUMIF($AD$3:$BA$3,"&lt;"&amp;$DF8,$B8:$Y8)+SUMIF($AD$3:$BA$3,"&gt;="&amp;$DG8,$B8:$Y8)),
IF(AT$3=$DF8+'Model Setup'!$N$7,SUMIF($AD$3:$BA$3,"="&amp;$DF8+'Model Setup'!$N$7,$B8:$Y8)+'Model Setup'!$N$8*(SUMIF($AD$3:$BA$3,"&lt;"&amp;$DF8,$B8:$Y8)+SUMIF($AD$3:$BA$3,"&gt;="&amp;$DG8,$B8:$Y8)),
IF(AT$3&lt;$DG8,R8,0))))))))))))))),0)</f>
        <v>27</v>
      </c>
      <c r="AU8" s="47">
        <f>ROUND(IF(AU$3&lt;$DF8,0,
IF(AU$3=$DF8+'Model Setup'!$B$7,SUMIF($AD$3:$BA$3,"="&amp;$DF8+'Model Setup'!$B$7,$B8:$Y8)+'Model Setup'!$B$8*(SUMIF($AD$3:$BA$3,"&lt;"&amp;$DF8,$B8:$Y8)+SUMIF($AD$3:$BA$3,"&gt;="&amp;$DG8,$B8:$Y8)),
IF(AU$3=$DF8+'Model Setup'!$C$7,SUMIF($AD$3:$BA$3,"="&amp;$DF8+'Model Setup'!$C$7,$B8:$Y8)+'Model Setup'!$C$8*(SUMIF($AD$3:$BA$3,"&lt;"&amp;$DF8,$B8:$Y8)+SUMIF($AD$3:$BA$3,"&gt;="&amp;$DG8,$B8:$Y8)),
IF(AU$3=$DF8+'Model Setup'!$D$7,SUMIF($AD$3:$BA$3,"="&amp;$DF8+'Model Setup'!$D$7,$B8:$Y8)+'Model Setup'!$D$8*(SUMIF($AD$3:$BA$3,"&lt;"&amp;$DF8,$B8:$Y8)+SUMIF($AD$3:$BA$3,"&gt;="&amp;$DG8,$B8:$Y8)),
IF(AU$3=$DF8+'Model Setup'!$E$7,SUMIF($AD$3:$BA$3,"="&amp;$DF8+'Model Setup'!$E$7,$B8:$Y8)+'Model Setup'!$E$8*(SUMIF($AD$3:$BA$3,"&lt;"&amp;$DF8,$B8:$Y8)+SUMIF($AD$3:$BA$3,"&gt;="&amp;$DG8,$B8:$Y8)),
IF(AU$3=$DF8+'Model Setup'!$F$7,SUMIF($AD$3:$BA$3,"="&amp;$DF8+'Model Setup'!$F$7,$B8:$Y8)+'Model Setup'!$F$8*(SUMIF($AD$3:$BA$3,"&lt;"&amp;$DF8,$B8:$Y8)+SUMIF($AD$3:$BA$3,"&gt;="&amp;$DG8,$B8:$Y8)),
IF(AU$3=$DF8+'Model Setup'!$G$7,SUMIF($AD$3:$BA$3,"="&amp;$DF8+'Model Setup'!$G$7,$B8:$Y8)+'Model Setup'!$G$8*(SUMIF($AD$3:$BA$3,"&lt;"&amp;$DF8,$B8:$Y8)+SUMIF($AD$3:$BA$3,"&gt;="&amp;$DG8,$B8:$Y8)),
IF(AU$3=$DF8+'Model Setup'!$H$7,SUMIF($AD$3:$BA$3,"="&amp;$DF8+'Model Setup'!$H$7,$B8:$Y8)+'Model Setup'!$H$8*(SUMIF($AD$3:$BA$3,"&lt;"&amp;$DF8,$B8:$Y8)+SUMIF($AD$3:$BA$3,"&gt;="&amp;$DG8,$B8:$Y8)),
IF(AU$3=$DF8+'Model Setup'!$I$7,SUMIF($AD$3:$BA$3,"="&amp;$DF8+'Model Setup'!$I$7,$B8:$Y8)+'Model Setup'!$I$8*(SUMIF($AD$3:$BA$3,"&lt;"&amp;$DF8,$B8:$Y8)+SUMIF($AD$3:$BA$3,"&gt;="&amp;$DG8,$B8:$Y8)),
IF(AU$3=$DF8+'Model Setup'!$J$7,SUMIF($AD$3:$BA$3,"="&amp;$DF8+'Model Setup'!$J$7,$B8:$Y8)+'Model Setup'!$J$8*(SUMIF($AD$3:$BA$3,"&lt;"&amp;$DF8,$B8:$Y8)+SUMIF($AD$3:$BA$3,"&gt;="&amp;$DG8,$B8:$Y8)),
IF(AU$3=$DF8+'Model Setup'!$K$7,SUMIF($AD$3:$BA$3,"="&amp;$DF8+'Model Setup'!$K$7,$B8:$Y8)+'Model Setup'!$K$8*(SUMIF($AD$3:$BA$3,"&lt;"&amp;$DF8,$B8:$Y8)+SUMIF($AD$3:$BA$3,"&gt;="&amp;$DG8,$B8:$Y8)),
IF(AU$3=$DF8+'Model Setup'!$L$7,SUMIF($AD$3:$BA$3,"="&amp;$DF8+'Model Setup'!$L$7,$B8:$Y8)+'Model Setup'!$L$8*(SUMIF($AD$3:$BA$3,"&lt;"&amp;$DF8,$B8:$Y8)+SUMIF($AD$3:$BA$3,"&gt;="&amp;$DG8,$B8:$Y8)),
IF(AU$3=$DF8+'Model Setup'!$M$7,SUMIF($AD$3:$BA$3,"="&amp;$DF8+'Model Setup'!$M$7,$B8:$Y8)+'Model Setup'!$M$8*(SUMIF($AD$3:$BA$3,"&lt;"&amp;$DF8,$B8:$Y8)+SUMIF($AD$3:$BA$3,"&gt;="&amp;$DG8,$B8:$Y8)),
IF(AU$3=$DF8+'Model Setup'!$N$7,SUMIF($AD$3:$BA$3,"="&amp;$DF8+'Model Setup'!$N$7,$B8:$Y8)+'Model Setup'!$N$8*(SUMIF($AD$3:$BA$3,"&lt;"&amp;$DF8,$B8:$Y8)+SUMIF($AD$3:$BA$3,"&gt;="&amp;$DG8,$B8:$Y8)),
IF(AU$3&lt;$DG8,S8,0))))))))))))))),0)</f>
        <v>73</v>
      </c>
      <c r="AV8" s="47">
        <f>ROUND(IF(AV$3&lt;$DF8,0,
IF(AV$3=$DF8+'Model Setup'!$B$7,SUMIF($AD$3:$BA$3,"="&amp;$DF8+'Model Setup'!$B$7,$B8:$Y8)+'Model Setup'!$B$8*(SUMIF($AD$3:$BA$3,"&lt;"&amp;$DF8,$B8:$Y8)+SUMIF($AD$3:$BA$3,"&gt;="&amp;$DG8,$B8:$Y8)),
IF(AV$3=$DF8+'Model Setup'!$C$7,SUMIF($AD$3:$BA$3,"="&amp;$DF8+'Model Setup'!$C$7,$B8:$Y8)+'Model Setup'!$C$8*(SUMIF($AD$3:$BA$3,"&lt;"&amp;$DF8,$B8:$Y8)+SUMIF($AD$3:$BA$3,"&gt;="&amp;$DG8,$B8:$Y8)),
IF(AV$3=$DF8+'Model Setup'!$D$7,SUMIF($AD$3:$BA$3,"="&amp;$DF8+'Model Setup'!$D$7,$B8:$Y8)+'Model Setup'!$D$8*(SUMIF($AD$3:$BA$3,"&lt;"&amp;$DF8,$B8:$Y8)+SUMIF($AD$3:$BA$3,"&gt;="&amp;$DG8,$B8:$Y8)),
IF(AV$3=$DF8+'Model Setup'!$E$7,SUMIF($AD$3:$BA$3,"="&amp;$DF8+'Model Setup'!$E$7,$B8:$Y8)+'Model Setup'!$E$8*(SUMIF($AD$3:$BA$3,"&lt;"&amp;$DF8,$B8:$Y8)+SUMIF($AD$3:$BA$3,"&gt;="&amp;$DG8,$B8:$Y8)),
IF(AV$3=$DF8+'Model Setup'!$F$7,SUMIF($AD$3:$BA$3,"="&amp;$DF8+'Model Setup'!$F$7,$B8:$Y8)+'Model Setup'!$F$8*(SUMIF($AD$3:$BA$3,"&lt;"&amp;$DF8,$B8:$Y8)+SUMIF($AD$3:$BA$3,"&gt;="&amp;$DG8,$B8:$Y8)),
IF(AV$3=$DF8+'Model Setup'!$G$7,SUMIF($AD$3:$BA$3,"="&amp;$DF8+'Model Setup'!$G$7,$B8:$Y8)+'Model Setup'!$G$8*(SUMIF($AD$3:$BA$3,"&lt;"&amp;$DF8,$B8:$Y8)+SUMIF($AD$3:$BA$3,"&gt;="&amp;$DG8,$B8:$Y8)),
IF(AV$3=$DF8+'Model Setup'!$H$7,SUMIF($AD$3:$BA$3,"="&amp;$DF8+'Model Setup'!$H$7,$B8:$Y8)+'Model Setup'!$H$8*(SUMIF($AD$3:$BA$3,"&lt;"&amp;$DF8,$B8:$Y8)+SUMIF($AD$3:$BA$3,"&gt;="&amp;$DG8,$B8:$Y8)),
IF(AV$3=$DF8+'Model Setup'!$I$7,SUMIF($AD$3:$BA$3,"="&amp;$DF8+'Model Setup'!$I$7,$B8:$Y8)+'Model Setup'!$I$8*(SUMIF($AD$3:$BA$3,"&lt;"&amp;$DF8,$B8:$Y8)+SUMIF($AD$3:$BA$3,"&gt;="&amp;$DG8,$B8:$Y8)),
IF(AV$3=$DF8+'Model Setup'!$J$7,SUMIF($AD$3:$BA$3,"="&amp;$DF8+'Model Setup'!$J$7,$B8:$Y8)+'Model Setup'!$J$8*(SUMIF($AD$3:$BA$3,"&lt;"&amp;$DF8,$B8:$Y8)+SUMIF($AD$3:$BA$3,"&gt;="&amp;$DG8,$B8:$Y8)),
IF(AV$3=$DF8+'Model Setup'!$K$7,SUMIF($AD$3:$BA$3,"="&amp;$DF8+'Model Setup'!$K$7,$B8:$Y8)+'Model Setup'!$K$8*(SUMIF($AD$3:$BA$3,"&lt;"&amp;$DF8,$B8:$Y8)+SUMIF($AD$3:$BA$3,"&gt;="&amp;$DG8,$B8:$Y8)),
IF(AV$3=$DF8+'Model Setup'!$L$7,SUMIF($AD$3:$BA$3,"="&amp;$DF8+'Model Setup'!$L$7,$B8:$Y8)+'Model Setup'!$L$8*(SUMIF($AD$3:$BA$3,"&lt;"&amp;$DF8,$B8:$Y8)+SUMIF($AD$3:$BA$3,"&gt;="&amp;$DG8,$B8:$Y8)),
IF(AV$3=$DF8+'Model Setup'!$M$7,SUMIF($AD$3:$BA$3,"="&amp;$DF8+'Model Setup'!$M$7,$B8:$Y8)+'Model Setup'!$M$8*(SUMIF($AD$3:$BA$3,"&lt;"&amp;$DF8,$B8:$Y8)+SUMIF($AD$3:$BA$3,"&gt;="&amp;$DG8,$B8:$Y8)),
IF(AV$3=$DF8+'Model Setup'!$N$7,SUMIF($AD$3:$BA$3,"="&amp;$DF8+'Model Setup'!$N$7,$B8:$Y8)+'Model Setup'!$N$8*(SUMIF($AD$3:$BA$3,"&lt;"&amp;$DF8,$B8:$Y8)+SUMIF($AD$3:$BA$3,"&gt;="&amp;$DG8,$B8:$Y8)),
IF(AV$3&lt;$DG8,T8,0))))))))))))))),0)</f>
        <v>85</v>
      </c>
      <c r="AW8" s="47">
        <f>ROUND(IF(AW$3&lt;$DF8,0,
IF(AW$3=$DF8+'Model Setup'!$B$7,SUMIF($AD$3:$BA$3,"="&amp;$DF8+'Model Setup'!$B$7,$B8:$Y8)+'Model Setup'!$B$8*(SUMIF($AD$3:$BA$3,"&lt;"&amp;$DF8,$B8:$Y8)+SUMIF($AD$3:$BA$3,"&gt;="&amp;$DG8,$B8:$Y8)),
IF(AW$3=$DF8+'Model Setup'!$C$7,SUMIF($AD$3:$BA$3,"="&amp;$DF8+'Model Setup'!$C$7,$B8:$Y8)+'Model Setup'!$C$8*(SUMIF($AD$3:$BA$3,"&lt;"&amp;$DF8,$B8:$Y8)+SUMIF($AD$3:$BA$3,"&gt;="&amp;$DG8,$B8:$Y8)),
IF(AW$3=$DF8+'Model Setup'!$D$7,SUMIF($AD$3:$BA$3,"="&amp;$DF8+'Model Setup'!$D$7,$B8:$Y8)+'Model Setup'!$D$8*(SUMIF($AD$3:$BA$3,"&lt;"&amp;$DF8,$B8:$Y8)+SUMIF($AD$3:$BA$3,"&gt;="&amp;$DG8,$B8:$Y8)),
IF(AW$3=$DF8+'Model Setup'!$E$7,SUMIF($AD$3:$BA$3,"="&amp;$DF8+'Model Setup'!$E$7,$B8:$Y8)+'Model Setup'!$E$8*(SUMIF($AD$3:$BA$3,"&lt;"&amp;$DF8,$B8:$Y8)+SUMIF($AD$3:$BA$3,"&gt;="&amp;$DG8,$B8:$Y8)),
IF(AW$3=$DF8+'Model Setup'!$F$7,SUMIF($AD$3:$BA$3,"="&amp;$DF8+'Model Setup'!$F$7,$B8:$Y8)+'Model Setup'!$F$8*(SUMIF($AD$3:$BA$3,"&lt;"&amp;$DF8,$B8:$Y8)+SUMIF($AD$3:$BA$3,"&gt;="&amp;$DG8,$B8:$Y8)),
IF(AW$3=$DF8+'Model Setup'!$G$7,SUMIF($AD$3:$BA$3,"="&amp;$DF8+'Model Setup'!$G$7,$B8:$Y8)+'Model Setup'!$G$8*(SUMIF($AD$3:$BA$3,"&lt;"&amp;$DF8,$B8:$Y8)+SUMIF($AD$3:$BA$3,"&gt;="&amp;$DG8,$B8:$Y8)),
IF(AW$3=$DF8+'Model Setup'!$H$7,SUMIF($AD$3:$BA$3,"="&amp;$DF8+'Model Setup'!$H$7,$B8:$Y8)+'Model Setup'!$H$8*(SUMIF($AD$3:$BA$3,"&lt;"&amp;$DF8,$B8:$Y8)+SUMIF($AD$3:$BA$3,"&gt;="&amp;$DG8,$B8:$Y8)),
IF(AW$3=$DF8+'Model Setup'!$I$7,SUMIF($AD$3:$BA$3,"="&amp;$DF8+'Model Setup'!$I$7,$B8:$Y8)+'Model Setup'!$I$8*(SUMIF($AD$3:$BA$3,"&lt;"&amp;$DF8,$B8:$Y8)+SUMIF($AD$3:$BA$3,"&gt;="&amp;$DG8,$B8:$Y8)),
IF(AW$3=$DF8+'Model Setup'!$J$7,SUMIF($AD$3:$BA$3,"="&amp;$DF8+'Model Setup'!$J$7,$B8:$Y8)+'Model Setup'!$J$8*(SUMIF($AD$3:$BA$3,"&lt;"&amp;$DF8,$B8:$Y8)+SUMIF($AD$3:$BA$3,"&gt;="&amp;$DG8,$B8:$Y8)),
IF(AW$3=$DF8+'Model Setup'!$K$7,SUMIF($AD$3:$BA$3,"="&amp;$DF8+'Model Setup'!$K$7,$B8:$Y8)+'Model Setup'!$K$8*(SUMIF($AD$3:$BA$3,"&lt;"&amp;$DF8,$B8:$Y8)+SUMIF($AD$3:$BA$3,"&gt;="&amp;$DG8,$B8:$Y8)),
IF(AW$3=$DF8+'Model Setup'!$L$7,SUMIF($AD$3:$BA$3,"="&amp;$DF8+'Model Setup'!$L$7,$B8:$Y8)+'Model Setup'!$L$8*(SUMIF($AD$3:$BA$3,"&lt;"&amp;$DF8,$B8:$Y8)+SUMIF($AD$3:$BA$3,"&gt;="&amp;$DG8,$B8:$Y8)),
IF(AW$3=$DF8+'Model Setup'!$M$7,SUMIF($AD$3:$BA$3,"="&amp;$DF8+'Model Setup'!$M$7,$B8:$Y8)+'Model Setup'!$M$8*(SUMIF($AD$3:$BA$3,"&lt;"&amp;$DF8,$B8:$Y8)+SUMIF($AD$3:$BA$3,"&gt;="&amp;$DG8,$B8:$Y8)),
IF(AW$3=$DF8+'Model Setup'!$N$7,SUMIF($AD$3:$BA$3,"="&amp;$DF8+'Model Setup'!$N$7,$B8:$Y8)+'Model Setup'!$N$8*(SUMIF($AD$3:$BA$3,"&lt;"&amp;$DF8,$B8:$Y8)+SUMIF($AD$3:$BA$3,"&gt;="&amp;$DG8,$B8:$Y8)),
IF(AW$3&lt;$DG8,U8,0))))))))))))))),0)</f>
        <v>66</v>
      </c>
      <c r="AX8" s="47">
        <f>ROUND(IF(AX$3&lt;$DF8,0,
IF(AX$3=$DF8+'Model Setup'!$B$7,SUMIF($AD$3:$BA$3,"="&amp;$DF8+'Model Setup'!$B$7,$B8:$Y8)+'Model Setup'!$B$8*(SUMIF($AD$3:$BA$3,"&lt;"&amp;$DF8,$B8:$Y8)+SUMIF($AD$3:$BA$3,"&gt;="&amp;$DG8,$B8:$Y8)),
IF(AX$3=$DF8+'Model Setup'!$C$7,SUMIF($AD$3:$BA$3,"="&amp;$DF8+'Model Setup'!$C$7,$B8:$Y8)+'Model Setup'!$C$8*(SUMIF($AD$3:$BA$3,"&lt;"&amp;$DF8,$B8:$Y8)+SUMIF($AD$3:$BA$3,"&gt;="&amp;$DG8,$B8:$Y8)),
IF(AX$3=$DF8+'Model Setup'!$D$7,SUMIF($AD$3:$BA$3,"="&amp;$DF8+'Model Setup'!$D$7,$B8:$Y8)+'Model Setup'!$D$8*(SUMIF($AD$3:$BA$3,"&lt;"&amp;$DF8,$B8:$Y8)+SUMIF($AD$3:$BA$3,"&gt;="&amp;$DG8,$B8:$Y8)),
IF(AX$3=$DF8+'Model Setup'!$E$7,SUMIF($AD$3:$BA$3,"="&amp;$DF8+'Model Setup'!$E$7,$B8:$Y8)+'Model Setup'!$E$8*(SUMIF($AD$3:$BA$3,"&lt;"&amp;$DF8,$B8:$Y8)+SUMIF($AD$3:$BA$3,"&gt;="&amp;$DG8,$B8:$Y8)),
IF(AX$3=$DF8+'Model Setup'!$F$7,SUMIF($AD$3:$BA$3,"="&amp;$DF8+'Model Setup'!$F$7,$B8:$Y8)+'Model Setup'!$F$8*(SUMIF($AD$3:$BA$3,"&lt;"&amp;$DF8,$B8:$Y8)+SUMIF($AD$3:$BA$3,"&gt;="&amp;$DG8,$B8:$Y8)),
IF(AX$3=$DF8+'Model Setup'!$G$7,SUMIF($AD$3:$BA$3,"="&amp;$DF8+'Model Setup'!$G$7,$B8:$Y8)+'Model Setup'!$G$8*(SUMIF($AD$3:$BA$3,"&lt;"&amp;$DF8,$B8:$Y8)+SUMIF($AD$3:$BA$3,"&gt;="&amp;$DG8,$B8:$Y8)),
IF(AX$3=$DF8+'Model Setup'!$H$7,SUMIF($AD$3:$BA$3,"="&amp;$DF8+'Model Setup'!$H$7,$B8:$Y8)+'Model Setup'!$H$8*(SUMIF($AD$3:$BA$3,"&lt;"&amp;$DF8,$B8:$Y8)+SUMIF($AD$3:$BA$3,"&gt;="&amp;$DG8,$B8:$Y8)),
IF(AX$3=$DF8+'Model Setup'!$I$7,SUMIF($AD$3:$BA$3,"="&amp;$DF8+'Model Setup'!$I$7,$B8:$Y8)+'Model Setup'!$I$8*(SUMIF($AD$3:$BA$3,"&lt;"&amp;$DF8,$B8:$Y8)+SUMIF($AD$3:$BA$3,"&gt;="&amp;$DG8,$B8:$Y8)),
IF(AX$3=$DF8+'Model Setup'!$J$7,SUMIF($AD$3:$BA$3,"="&amp;$DF8+'Model Setup'!$J$7,$B8:$Y8)+'Model Setup'!$J$8*(SUMIF($AD$3:$BA$3,"&lt;"&amp;$DF8,$B8:$Y8)+SUMIF($AD$3:$BA$3,"&gt;="&amp;$DG8,$B8:$Y8)),
IF(AX$3=$DF8+'Model Setup'!$K$7,SUMIF($AD$3:$BA$3,"="&amp;$DF8+'Model Setup'!$K$7,$B8:$Y8)+'Model Setup'!$K$8*(SUMIF($AD$3:$BA$3,"&lt;"&amp;$DF8,$B8:$Y8)+SUMIF($AD$3:$BA$3,"&gt;="&amp;$DG8,$B8:$Y8)),
IF(AX$3=$DF8+'Model Setup'!$L$7,SUMIF($AD$3:$BA$3,"="&amp;$DF8+'Model Setup'!$L$7,$B8:$Y8)+'Model Setup'!$L$8*(SUMIF($AD$3:$BA$3,"&lt;"&amp;$DF8,$B8:$Y8)+SUMIF($AD$3:$BA$3,"&gt;="&amp;$DG8,$B8:$Y8)),
IF(AX$3=$DF8+'Model Setup'!$M$7,SUMIF($AD$3:$BA$3,"="&amp;$DF8+'Model Setup'!$M$7,$B8:$Y8)+'Model Setup'!$M$8*(SUMIF($AD$3:$BA$3,"&lt;"&amp;$DF8,$B8:$Y8)+SUMIF($AD$3:$BA$3,"&gt;="&amp;$DG8,$B8:$Y8)),
IF(AX$3=$DF8+'Model Setup'!$N$7,SUMIF($AD$3:$BA$3,"="&amp;$DF8+'Model Setup'!$N$7,$B8:$Y8)+'Model Setup'!$N$8*(SUMIF($AD$3:$BA$3,"&lt;"&amp;$DF8,$B8:$Y8)+SUMIF($AD$3:$BA$3,"&gt;="&amp;$DG8,$B8:$Y8)),
IF(AX$3&lt;$DG8,V8,0))))))))))))))),0)</f>
        <v>0</v>
      </c>
      <c r="AY8" s="47">
        <f>ROUND(IF(AY$3&lt;$DF8,0,
IF(AY$3=$DF8+'Model Setup'!$B$7,SUMIF($AD$3:$BA$3,"="&amp;$DF8+'Model Setup'!$B$7,$B8:$Y8)+'Model Setup'!$B$8*(SUMIF($AD$3:$BA$3,"&lt;"&amp;$DF8,$B8:$Y8)+SUMIF($AD$3:$BA$3,"&gt;="&amp;$DG8,$B8:$Y8)),
IF(AY$3=$DF8+'Model Setup'!$C$7,SUMIF($AD$3:$BA$3,"="&amp;$DF8+'Model Setup'!$C$7,$B8:$Y8)+'Model Setup'!$C$8*(SUMIF($AD$3:$BA$3,"&lt;"&amp;$DF8,$B8:$Y8)+SUMIF($AD$3:$BA$3,"&gt;="&amp;$DG8,$B8:$Y8)),
IF(AY$3=$DF8+'Model Setup'!$D$7,SUMIF($AD$3:$BA$3,"="&amp;$DF8+'Model Setup'!$D$7,$B8:$Y8)+'Model Setup'!$D$8*(SUMIF($AD$3:$BA$3,"&lt;"&amp;$DF8,$B8:$Y8)+SUMIF($AD$3:$BA$3,"&gt;="&amp;$DG8,$B8:$Y8)),
IF(AY$3=$DF8+'Model Setup'!$E$7,SUMIF($AD$3:$BA$3,"="&amp;$DF8+'Model Setup'!$E$7,$B8:$Y8)+'Model Setup'!$E$8*(SUMIF($AD$3:$BA$3,"&lt;"&amp;$DF8,$B8:$Y8)+SUMIF($AD$3:$BA$3,"&gt;="&amp;$DG8,$B8:$Y8)),
IF(AY$3=$DF8+'Model Setup'!$F$7,SUMIF($AD$3:$BA$3,"="&amp;$DF8+'Model Setup'!$F$7,$B8:$Y8)+'Model Setup'!$F$8*(SUMIF($AD$3:$BA$3,"&lt;"&amp;$DF8,$B8:$Y8)+SUMIF($AD$3:$BA$3,"&gt;="&amp;$DG8,$B8:$Y8)),
IF(AY$3=$DF8+'Model Setup'!$G$7,SUMIF($AD$3:$BA$3,"="&amp;$DF8+'Model Setup'!$G$7,$B8:$Y8)+'Model Setup'!$G$8*(SUMIF($AD$3:$BA$3,"&lt;"&amp;$DF8,$B8:$Y8)+SUMIF($AD$3:$BA$3,"&gt;="&amp;$DG8,$B8:$Y8)),
IF(AY$3=$DF8+'Model Setup'!$H$7,SUMIF($AD$3:$BA$3,"="&amp;$DF8+'Model Setup'!$H$7,$B8:$Y8)+'Model Setup'!$H$8*(SUMIF($AD$3:$BA$3,"&lt;"&amp;$DF8,$B8:$Y8)+SUMIF($AD$3:$BA$3,"&gt;="&amp;$DG8,$B8:$Y8)),
IF(AY$3=$DF8+'Model Setup'!$I$7,SUMIF($AD$3:$BA$3,"="&amp;$DF8+'Model Setup'!$I$7,$B8:$Y8)+'Model Setup'!$I$8*(SUMIF($AD$3:$BA$3,"&lt;"&amp;$DF8,$B8:$Y8)+SUMIF($AD$3:$BA$3,"&gt;="&amp;$DG8,$B8:$Y8)),
IF(AY$3=$DF8+'Model Setup'!$J$7,SUMIF($AD$3:$BA$3,"="&amp;$DF8+'Model Setup'!$J$7,$B8:$Y8)+'Model Setup'!$J$8*(SUMIF($AD$3:$BA$3,"&lt;"&amp;$DF8,$B8:$Y8)+SUMIF($AD$3:$BA$3,"&gt;="&amp;$DG8,$B8:$Y8)),
IF(AY$3=$DF8+'Model Setup'!$K$7,SUMIF($AD$3:$BA$3,"="&amp;$DF8+'Model Setup'!$K$7,$B8:$Y8)+'Model Setup'!$K$8*(SUMIF($AD$3:$BA$3,"&lt;"&amp;$DF8,$B8:$Y8)+SUMIF($AD$3:$BA$3,"&gt;="&amp;$DG8,$B8:$Y8)),
IF(AY$3=$DF8+'Model Setup'!$L$7,SUMIF($AD$3:$BA$3,"="&amp;$DF8+'Model Setup'!$L$7,$B8:$Y8)+'Model Setup'!$L$8*(SUMIF($AD$3:$BA$3,"&lt;"&amp;$DF8,$B8:$Y8)+SUMIF($AD$3:$BA$3,"&gt;="&amp;$DG8,$B8:$Y8)),
IF(AY$3=$DF8+'Model Setup'!$M$7,SUMIF($AD$3:$BA$3,"="&amp;$DF8+'Model Setup'!$M$7,$B8:$Y8)+'Model Setup'!$M$8*(SUMIF($AD$3:$BA$3,"&lt;"&amp;$DF8,$B8:$Y8)+SUMIF($AD$3:$BA$3,"&gt;="&amp;$DG8,$B8:$Y8)),
IF(AY$3=$DF8+'Model Setup'!$N$7,SUMIF($AD$3:$BA$3,"="&amp;$DF8+'Model Setup'!$N$7,$B8:$Y8)+'Model Setup'!$N$8*(SUMIF($AD$3:$BA$3,"&lt;"&amp;$DF8,$B8:$Y8)+SUMIF($AD$3:$BA$3,"&gt;="&amp;$DG8,$B8:$Y8)),
IF(AY$3&lt;$DG8,W8,0))))))))))))))),0)</f>
        <v>0</v>
      </c>
      <c r="AZ8" s="47">
        <f>ROUND(IF(AZ$3&lt;$DF8,0,
IF(AZ$3=$DF8+'Model Setup'!$B$7,SUMIF($AD$3:$BA$3,"="&amp;$DF8+'Model Setup'!$B$7,$B8:$Y8)+'Model Setup'!$B$8*(SUMIF($AD$3:$BA$3,"&lt;"&amp;$DF8,$B8:$Y8)+SUMIF($AD$3:$BA$3,"&gt;="&amp;$DG8,$B8:$Y8)),
IF(AZ$3=$DF8+'Model Setup'!$C$7,SUMIF($AD$3:$BA$3,"="&amp;$DF8+'Model Setup'!$C$7,$B8:$Y8)+'Model Setup'!$C$8*(SUMIF($AD$3:$BA$3,"&lt;"&amp;$DF8,$B8:$Y8)+SUMIF($AD$3:$BA$3,"&gt;="&amp;$DG8,$B8:$Y8)),
IF(AZ$3=$DF8+'Model Setup'!$D$7,SUMIF($AD$3:$BA$3,"="&amp;$DF8+'Model Setup'!$D$7,$B8:$Y8)+'Model Setup'!$D$8*(SUMIF($AD$3:$BA$3,"&lt;"&amp;$DF8,$B8:$Y8)+SUMIF($AD$3:$BA$3,"&gt;="&amp;$DG8,$B8:$Y8)),
IF(AZ$3=$DF8+'Model Setup'!$E$7,SUMIF($AD$3:$BA$3,"="&amp;$DF8+'Model Setup'!$E$7,$B8:$Y8)+'Model Setup'!$E$8*(SUMIF($AD$3:$BA$3,"&lt;"&amp;$DF8,$B8:$Y8)+SUMIF($AD$3:$BA$3,"&gt;="&amp;$DG8,$B8:$Y8)),
IF(AZ$3=$DF8+'Model Setup'!$F$7,SUMIF($AD$3:$BA$3,"="&amp;$DF8+'Model Setup'!$F$7,$B8:$Y8)+'Model Setup'!$F$8*(SUMIF($AD$3:$BA$3,"&lt;"&amp;$DF8,$B8:$Y8)+SUMIF($AD$3:$BA$3,"&gt;="&amp;$DG8,$B8:$Y8)),
IF(AZ$3=$DF8+'Model Setup'!$G$7,SUMIF($AD$3:$BA$3,"="&amp;$DF8+'Model Setup'!$G$7,$B8:$Y8)+'Model Setup'!$G$8*(SUMIF($AD$3:$BA$3,"&lt;"&amp;$DF8,$B8:$Y8)+SUMIF($AD$3:$BA$3,"&gt;="&amp;$DG8,$B8:$Y8)),
IF(AZ$3=$DF8+'Model Setup'!$H$7,SUMIF($AD$3:$BA$3,"="&amp;$DF8+'Model Setup'!$H$7,$B8:$Y8)+'Model Setup'!$H$8*(SUMIF($AD$3:$BA$3,"&lt;"&amp;$DF8,$B8:$Y8)+SUMIF($AD$3:$BA$3,"&gt;="&amp;$DG8,$B8:$Y8)),
IF(AZ$3=$DF8+'Model Setup'!$I$7,SUMIF($AD$3:$BA$3,"="&amp;$DF8+'Model Setup'!$I$7,$B8:$Y8)+'Model Setup'!$I$8*(SUMIF($AD$3:$BA$3,"&lt;"&amp;$DF8,$B8:$Y8)+SUMIF($AD$3:$BA$3,"&gt;="&amp;$DG8,$B8:$Y8)),
IF(AZ$3=$DF8+'Model Setup'!$J$7,SUMIF($AD$3:$BA$3,"="&amp;$DF8+'Model Setup'!$J$7,$B8:$Y8)+'Model Setup'!$J$8*(SUMIF($AD$3:$BA$3,"&lt;"&amp;$DF8,$B8:$Y8)+SUMIF($AD$3:$BA$3,"&gt;="&amp;$DG8,$B8:$Y8)),
IF(AZ$3=$DF8+'Model Setup'!$K$7,SUMIF($AD$3:$BA$3,"="&amp;$DF8+'Model Setup'!$K$7,$B8:$Y8)+'Model Setup'!$K$8*(SUMIF($AD$3:$BA$3,"&lt;"&amp;$DF8,$B8:$Y8)+SUMIF($AD$3:$BA$3,"&gt;="&amp;$DG8,$B8:$Y8)),
IF(AZ$3=$DF8+'Model Setup'!$L$7,SUMIF($AD$3:$BA$3,"="&amp;$DF8+'Model Setup'!$L$7,$B8:$Y8)+'Model Setup'!$L$8*(SUMIF($AD$3:$BA$3,"&lt;"&amp;$DF8,$B8:$Y8)+SUMIF($AD$3:$BA$3,"&gt;="&amp;$DG8,$B8:$Y8)),
IF(AZ$3=$DF8+'Model Setup'!$M$7,SUMIF($AD$3:$BA$3,"="&amp;$DF8+'Model Setup'!$M$7,$B8:$Y8)+'Model Setup'!$M$8*(SUMIF($AD$3:$BA$3,"&lt;"&amp;$DF8,$B8:$Y8)+SUMIF($AD$3:$BA$3,"&gt;="&amp;$DG8,$B8:$Y8)),
IF(AZ$3=$DF8+'Model Setup'!$N$7,SUMIF($AD$3:$BA$3,"="&amp;$DF8+'Model Setup'!$N$7,$B8:$Y8)+'Model Setup'!$N$8*(SUMIF($AD$3:$BA$3,"&lt;"&amp;$DF8,$B8:$Y8)+SUMIF($AD$3:$BA$3,"&gt;="&amp;$DG8,$B8:$Y8)),
IF(AZ$3&lt;$DG8,X8,0))))))))))))))),0)</f>
        <v>0</v>
      </c>
      <c r="BA8" s="47">
        <f>ROUND(IF(BA$3&lt;$DF8,0,
IF(BA$3=$DF8+'Model Setup'!$B$7,SUMIF($AD$3:$BA$3,"="&amp;$DF8+'Model Setup'!$B$7,$B8:$Y8)+'Model Setup'!$B$8*(SUMIF($AD$3:$BA$3,"&lt;"&amp;$DF8,$B8:$Y8)+SUMIF($AD$3:$BA$3,"&gt;="&amp;$DG8,$B8:$Y8)),
IF(BA$3=$DF8+'Model Setup'!$C$7,SUMIF($AD$3:$BA$3,"="&amp;$DF8+'Model Setup'!$C$7,$B8:$Y8)+'Model Setup'!$C$8*(SUMIF($AD$3:$BA$3,"&lt;"&amp;$DF8,$B8:$Y8)+SUMIF($AD$3:$BA$3,"&gt;="&amp;$DG8,$B8:$Y8)),
IF(BA$3=$DF8+'Model Setup'!$D$7,SUMIF($AD$3:$BA$3,"="&amp;$DF8+'Model Setup'!$D$7,$B8:$Y8)+'Model Setup'!$D$8*(SUMIF($AD$3:$BA$3,"&lt;"&amp;$DF8,$B8:$Y8)+SUMIF($AD$3:$BA$3,"&gt;="&amp;$DG8,$B8:$Y8)),
IF(BA$3=$DF8+'Model Setup'!$E$7,SUMIF($AD$3:$BA$3,"="&amp;$DF8+'Model Setup'!$E$7,$B8:$Y8)+'Model Setup'!$E$8*(SUMIF($AD$3:$BA$3,"&lt;"&amp;$DF8,$B8:$Y8)+SUMIF($AD$3:$BA$3,"&gt;="&amp;$DG8,$B8:$Y8)),
IF(BA$3=$DF8+'Model Setup'!$F$7,SUMIF($AD$3:$BA$3,"="&amp;$DF8+'Model Setup'!$F$7,$B8:$Y8)+'Model Setup'!$F$8*(SUMIF($AD$3:$BA$3,"&lt;"&amp;$DF8,$B8:$Y8)+SUMIF($AD$3:$BA$3,"&gt;="&amp;$DG8,$B8:$Y8)),
IF(BA$3=$DF8+'Model Setup'!$G$7,SUMIF($AD$3:$BA$3,"="&amp;$DF8+'Model Setup'!$G$7,$B8:$Y8)+'Model Setup'!$G$8*(SUMIF($AD$3:$BA$3,"&lt;"&amp;$DF8,$B8:$Y8)+SUMIF($AD$3:$BA$3,"&gt;="&amp;$DG8,$B8:$Y8)),
IF(BA$3=$DF8+'Model Setup'!$H$7,SUMIF($AD$3:$BA$3,"="&amp;$DF8+'Model Setup'!$H$7,$B8:$Y8)+'Model Setup'!$H$8*(SUMIF($AD$3:$BA$3,"&lt;"&amp;$DF8,$B8:$Y8)+SUMIF($AD$3:$BA$3,"&gt;="&amp;$DG8,$B8:$Y8)),
IF(BA$3=$DF8+'Model Setup'!$I$7,SUMIF($AD$3:$BA$3,"="&amp;$DF8+'Model Setup'!$I$7,$B8:$Y8)+'Model Setup'!$I$8*(SUMIF($AD$3:$BA$3,"&lt;"&amp;$DF8,$B8:$Y8)+SUMIF($AD$3:$BA$3,"&gt;="&amp;$DG8,$B8:$Y8)),
IF(BA$3=$DF8+'Model Setup'!$J$7,SUMIF($AD$3:$BA$3,"="&amp;$DF8+'Model Setup'!$J$7,$B8:$Y8)+'Model Setup'!$J$8*(SUMIF($AD$3:$BA$3,"&lt;"&amp;$DF8,$B8:$Y8)+SUMIF($AD$3:$BA$3,"&gt;="&amp;$DG8,$B8:$Y8)),
IF(BA$3=$DF8+'Model Setup'!$K$7,SUMIF($AD$3:$BA$3,"="&amp;$DF8+'Model Setup'!$K$7,$B8:$Y8)+'Model Setup'!$K$8*(SUMIF($AD$3:$BA$3,"&lt;"&amp;$DF8,$B8:$Y8)+SUMIF($AD$3:$BA$3,"&gt;="&amp;$DG8,$B8:$Y8)),
IF(BA$3=$DF8+'Model Setup'!$L$7,SUMIF($AD$3:$BA$3,"="&amp;$DF8+'Model Setup'!$L$7,$B8:$Y8)+'Model Setup'!$L$8*(SUMIF($AD$3:$BA$3,"&lt;"&amp;$DF8,$B8:$Y8)+SUMIF($AD$3:$BA$3,"&gt;="&amp;$DG8,$B8:$Y8)),
IF(BA$3=$DF8+'Model Setup'!$M$7,SUMIF($AD$3:$BA$3,"="&amp;$DF8+'Model Setup'!$M$7,$B8:$Y8)+'Model Setup'!$M$8*(SUMIF($AD$3:$BA$3,"&lt;"&amp;$DF8,$B8:$Y8)+SUMIF($AD$3:$BA$3,"&gt;="&amp;$DG8,$B8:$Y8)),
IF(BA$3=$DF8+'Model Setup'!$N$7,SUMIF($AD$3:$BA$3,"="&amp;$DF8+'Model Setup'!$N$7,$B8:$Y8)+'Model Setup'!$N$8*(SUMIF($AD$3:$BA$3,"&lt;"&amp;$DF8,$B8:$Y8)+SUMIF($AD$3:$BA$3,"&gt;="&amp;$DG8,$B8:$Y8)),
IF(BA$3&lt;$DG8,Y8,0))))))))))))))),0)</f>
        <v>0</v>
      </c>
      <c r="BB8" s="47">
        <f t="shared" si="1"/>
        <v>1100</v>
      </c>
      <c r="BD8" t="b">
        <f t="shared" si="2"/>
        <v>0</v>
      </c>
      <c r="BE8">
        <f t="shared" si="8"/>
        <v>14</v>
      </c>
      <c r="BF8">
        <f>(FTC!F6-FTC!E6)*24</f>
        <v>11.999999999999998</v>
      </c>
      <c r="BG8" s="43" t="s">
        <v>23</v>
      </c>
      <c r="BH8" s="47">
        <f>ROUND(IF(OR(BH$3&lt;$DF8,BH$3&gt;$CW$4),0,
IF(BH$3=$DF8+'Model Setup'!$B$7,SUMIF($BH$3:$CE$3,"="&amp;$DF8+'Model Setup'!$B$7,$AD8:$BA8)+'Model Setup'!$B$8*(SUMIF($BH$3:$CE$3,"&lt;"&amp;$DF8,$AD8:$BA8)+SUMIF($BH$3:$CE$3,"&gt;"&amp;$CW$4,$AD8:$BA8)),
IF(BH$3=$DF8+'Model Setup'!$C$7,SUMIF($BH$3:$CE$3,"="&amp;$DF8+'Model Setup'!$C$7,$AD8:$BA8)+'Model Setup'!$C$8*(SUMIF($BH$3:$CE$3,"&lt;"&amp;$DF8,$AD8:$BA8)+SUMIF($BH$3:$CE$3,"&gt;"&amp;$CW$4,$AD8:$BA8)),
IF(BH$3=$DF8+'Model Setup'!$D$7,SUMIF($BH$3:$CE$3,"="&amp;$DF8+'Model Setup'!$D$7,$AD8:$BA8)+'Model Setup'!$D$8*(SUMIF($BH$3:$CE$3,"&lt;"&amp;$DF8,$AD8:$BA8)+SUMIF($BH$3:$CE$3,"&gt;"&amp;$CW$4,$AD8:$BA8)),
IF(BH$3=$DF8+'Model Setup'!$E$7,SUMIF($BH$3:$CE$3,"="&amp;$DF8+'Model Setup'!$E$7,$AD8:$BA8)+'Model Setup'!$E$8*(SUMIF($BH$3:$CE$3,"&lt;"&amp;$DF8,$AD8:$BA8)+SUMIF($BH$3:$CE$3,"&gt;"&amp;$CW$4,$AD8:$BA8)),
IF(BH$3=$DF8+'Model Setup'!$F$7,SUMIF($BH$3:$CE$3,"="&amp;$DF8+'Model Setup'!$F$7,$AD8:$BA8)+'Model Setup'!$F$8*(SUMIF($BH$3:$CE$3,"&lt;"&amp;$DF8,$AD8:$BA8)+SUMIF($BH$3:$CE$3,"&gt;"&amp;$CW$4,$AD8:$BA8)),
IF(BH$3=$DF8+'Model Setup'!$G$7,SUMIF($BH$3:$CE$3,"="&amp;$DF8+'Model Setup'!$G$7,$AD8:$BA8)+'Model Setup'!$G$8*(SUMIF($BH$3:$CE$3,"&lt;"&amp;$DF8,$AD8:$BA8)+SUMIF($BH$3:$CE$3,"&gt;"&amp;$CW$4,$AD8:$BA8)),
IF(BH$3=$DF8+'Model Setup'!$H$7,SUMIF($BH$3:$CE$3,"="&amp;$DF8+'Model Setup'!$H$7,$AD8:$BA8)+'Model Setup'!$H$8*(SUMIF($BH$3:$CE$3,"&lt;"&amp;$DF8,$AD8:$BA8)+SUMIF($BH$3:$CE$3,"&gt;"&amp;$CW$4,$AD8:$BA8)),
IF(BH$3=$DF8+'Model Setup'!$I$7,SUMIF($BH$3:$CE$3,"="&amp;$DF8+'Model Setup'!$I$7,$AD8:$BA8)+'Model Setup'!$I$8*(SUMIF($BH$3:$CE$3,"&lt;"&amp;$DF8,$AD8:$BA8)+SUMIF($BH$3:$CE$3,"&gt;"&amp;$CW$4,$AD8:$BA8)),
IF(BH$3=$DF8+'Model Setup'!$J$7,SUMIF($BH$3:$CE$3,"="&amp;$DF8+'Model Setup'!$J$7,$AD8:$BA8)+'Model Setup'!$J$8*(SUMIF($BH$3:$CE$3,"&lt;"&amp;$DF8,$AD8:$BA8)+SUMIF($BH$3:$CE$3,"&gt;"&amp;$CW$4,$AD8:$BA8)),
IF(BH$3=$DF8+'Model Setup'!$K$7,SUMIF($BH$3:$CE$3,"="&amp;$DF8+'Model Setup'!$K$7,$AD8:$BA8)+'Model Setup'!$K$8*(SUMIF($BH$3:$CE$3,"&lt;"&amp;$DF8,$AD8:$BA8)+SUMIF($BH$3:$CE$3,"&gt;"&amp;$CW$4,$AD8:$BA8)),
IF(BH$3=$DF8+'Model Setup'!$L$7,SUMIF($BH$3:$CE$3,"="&amp;$DF8+'Model Setup'!$L$7,$AD8:$BA8)+'Model Setup'!$L$8*(SUMIF($BH$3:$CE$3,"&lt;"&amp;$DF8,$AD8:$BA8)+SUMIF($BH$3:$CE$3,"&gt;"&amp;$CW$4,$AD8:$BA8)),
IF(BH$3=$DF8+'Model Setup'!$M$7,SUMIF($BH$3:$CE$3,"="&amp;$DF8+'Model Setup'!$M$7,$AD8:$BA8)+'Model Setup'!$M$8*(SUMIF($BH$3:$CE$3,"&lt;"&amp;$DF8,$AD8:$BA8)+SUMIF($BH$3:$CE$3,"&gt;"&amp;$CW$4,$AD8:$BA8)),
IF(BH$3=$DF8+'Model Setup'!$N$7,SUMIF($BH$3:$CE$3,"="&amp;$DF8+'Model Setup'!$N$7,$AD8:$BA8)+'Model Setup'!$N$8*(SUMIF($BH$3:$CE$3,"&lt;"&amp;$DF8,$AD8:$BA8)+SUMIF($BH$3:$CE$3,"&gt;"&amp;$CW$4,$AD8:$BA8)),
IF(BH$3&lt;$CW$4,B8,0))))))))))))))),0)</f>
        <v>0</v>
      </c>
      <c r="BI8" s="47">
        <f>ROUND(IF(OR(BI$3&lt;$DF8,BI$3&gt;$CW$4),0,
IF(BI$3=$DF8+'Model Setup'!$B$7,SUMIF($BH$3:$CE$3,"="&amp;$DF8+'Model Setup'!$B$7,$AD8:$BA8)+'Model Setup'!$B$8*(SUMIF($BH$3:$CE$3,"&lt;"&amp;$DF8,$AD8:$BA8)+SUMIF($BH$3:$CE$3,"&gt;"&amp;$CW$4,$AD8:$BA8)),
IF(BI$3=$DF8+'Model Setup'!$C$7,SUMIF($BH$3:$CE$3,"="&amp;$DF8+'Model Setup'!$C$7,$AD8:$BA8)+'Model Setup'!$C$8*(SUMIF($BH$3:$CE$3,"&lt;"&amp;$DF8,$AD8:$BA8)+SUMIF($BH$3:$CE$3,"&gt;"&amp;$CW$4,$AD8:$BA8)),
IF(BI$3=$DF8+'Model Setup'!$D$7,SUMIF($BH$3:$CE$3,"="&amp;$DF8+'Model Setup'!$D$7,$AD8:$BA8)+'Model Setup'!$D$8*(SUMIF($BH$3:$CE$3,"&lt;"&amp;$DF8,$AD8:$BA8)+SUMIF($BH$3:$CE$3,"&gt;"&amp;$CW$4,$AD8:$BA8)),
IF(BI$3=$DF8+'Model Setup'!$E$7,SUMIF($BH$3:$CE$3,"="&amp;$DF8+'Model Setup'!$E$7,$AD8:$BA8)+'Model Setup'!$E$8*(SUMIF($BH$3:$CE$3,"&lt;"&amp;$DF8,$AD8:$BA8)+SUMIF($BH$3:$CE$3,"&gt;"&amp;$CW$4,$AD8:$BA8)),
IF(BI$3=$DF8+'Model Setup'!$F$7,SUMIF($BH$3:$CE$3,"="&amp;$DF8+'Model Setup'!$F$7,$AD8:$BA8)+'Model Setup'!$F$8*(SUMIF($BH$3:$CE$3,"&lt;"&amp;$DF8,$AD8:$BA8)+SUMIF($BH$3:$CE$3,"&gt;"&amp;$CW$4,$AD8:$BA8)),
IF(BI$3=$DF8+'Model Setup'!$G$7,SUMIF($BH$3:$CE$3,"="&amp;$DF8+'Model Setup'!$G$7,$AD8:$BA8)+'Model Setup'!$G$8*(SUMIF($BH$3:$CE$3,"&lt;"&amp;$DF8,$AD8:$BA8)+SUMIF($BH$3:$CE$3,"&gt;"&amp;$CW$4,$AD8:$BA8)),
IF(BI$3=$DF8+'Model Setup'!$H$7,SUMIF($BH$3:$CE$3,"="&amp;$DF8+'Model Setup'!$H$7,$AD8:$BA8)+'Model Setup'!$H$8*(SUMIF($BH$3:$CE$3,"&lt;"&amp;$DF8,$AD8:$BA8)+SUMIF($BH$3:$CE$3,"&gt;"&amp;$CW$4,$AD8:$BA8)),
IF(BI$3=$DF8+'Model Setup'!$I$7,SUMIF($BH$3:$CE$3,"="&amp;$DF8+'Model Setup'!$I$7,$AD8:$BA8)+'Model Setup'!$I$8*(SUMIF($BH$3:$CE$3,"&lt;"&amp;$DF8,$AD8:$BA8)+SUMIF($BH$3:$CE$3,"&gt;"&amp;$CW$4,$AD8:$BA8)),
IF(BI$3=$DF8+'Model Setup'!$J$7,SUMIF($BH$3:$CE$3,"="&amp;$DF8+'Model Setup'!$J$7,$AD8:$BA8)+'Model Setup'!$J$8*(SUMIF($BH$3:$CE$3,"&lt;"&amp;$DF8,$AD8:$BA8)+SUMIF($BH$3:$CE$3,"&gt;"&amp;$CW$4,$AD8:$BA8)),
IF(BI$3=$DF8+'Model Setup'!$K$7,SUMIF($BH$3:$CE$3,"="&amp;$DF8+'Model Setup'!$K$7,$AD8:$BA8)+'Model Setup'!$K$8*(SUMIF($BH$3:$CE$3,"&lt;"&amp;$DF8,$AD8:$BA8)+SUMIF($BH$3:$CE$3,"&gt;"&amp;$CW$4,$AD8:$BA8)),
IF(BI$3=$DF8+'Model Setup'!$L$7,SUMIF($BH$3:$CE$3,"="&amp;$DF8+'Model Setup'!$L$7,$AD8:$BA8)+'Model Setup'!$L$8*(SUMIF($BH$3:$CE$3,"&lt;"&amp;$DF8,$AD8:$BA8)+SUMIF($BH$3:$CE$3,"&gt;"&amp;$CW$4,$AD8:$BA8)),
IF(BI$3=$DF8+'Model Setup'!$M$7,SUMIF($BH$3:$CE$3,"="&amp;$DF8+'Model Setup'!$M$7,$AD8:$BA8)+'Model Setup'!$M$8*(SUMIF($BH$3:$CE$3,"&lt;"&amp;$DF8,$AD8:$BA8)+SUMIF($BH$3:$CE$3,"&gt;"&amp;$CW$4,$AD8:$BA8)),
IF(BI$3=$DF8+'Model Setup'!$N$7,SUMIF($BH$3:$CE$3,"="&amp;$DF8+'Model Setup'!$N$7,$AD8:$BA8)+'Model Setup'!$N$8*(SUMIF($BH$3:$CE$3,"&lt;"&amp;$DF8,$AD8:$BA8)+SUMIF($BH$3:$CE$3,"&gt;"&amp;$CW$4,$AD8:$BA8)),
IF(BI$3&lt;$CW$4,C8,0))))))))))))))),0)</f>
        <v>0</v>
      </c>
      <c r="BJ8" s="47">
        <f>ROUND(IF(OR(BJ$3&lt;$DF8,BJ$3&gt;$CW$4),0,
IF(BJ$3=$DF8+'Model Setup'!$B$7,SUMIF($BH$3:$CE$3,"="&amp;$DF8+'Model Setup'!$B$7,$AD8:$BA8)+'Model Setup'!$B$8*(SUMIF($BH$3:$CE$3,"&lt;"&amp;$DF8,$AD8:$BA8)+SUMIF($BH$3:$CE$3,"&gt;"&amp;$CW$4,$AD8:$BA8)),
IF(BJ$3=$DF8+'Model Setup'!$C$7,SUMIF($BH$3:$CE$3,"="&amp;$DF8+'Model Setup'!$C$7,$AD8:$BA8)+'Model Setup'!$C$8*(SUMIF($BH$3:$CE$3,"&lt;"&amp;$DF8,$AD8:$BA8)+SUMIF($BH$3:$CE$3,"&gt;"&amp;$CW$4,$AD8:$BA8)),
IF(BJ$3=$DF8+'Model Setup'!$D$7,SUMIF($BH$3:$CE$3,"="&amp;$DF8+'Model Setup'!$D$7,$AD8:$BA8)+'Model Setup'!$D$8*(SUMIF($BH$3:$CE$3,"&lt;"&amp;$DF8,$AD8:$BA8)+SUMIF($BH$3:$CE$3,"&gt;"&amp;$CW$4,$AD8:$BA8)),
IF(BJ$3=$DF8+'Model Setup'!$E$7,SUMIF($BH$3:$CE$3,"="&amp;$DF8+'Model Setup'!$E$7,$AD8:$BA8)+'Model Setup'!$E$8*(SUMIF($BH$3:$CE$3,"&lt;"&amp;$DF8,$AD8:$BA8)+SUMIF($BH$3:$CE$3,"&gt;"&amp;$CW$4,$AD8:$BA8)),
IF(BJ$3=$DF8+'Model Setup'!$F$7,SUMIF($BH$3:$CE$3,"="&amp;$DF8+'Model Setup'!$F$7,$AD8:$BA8)+'Model Setup'!$F$8*(SUMIF($BH$3:$CE$3,"&lt;"&amp;$DF8,$AD8:$BA8)+SUMIF($BH$3:$CE$3,"&gt;"&amp;$CW$4,$AD8:$BA8)),
IF(BJ$3=$DF8+'Model Setup'!$G$7,SUMIF($BH$3:$CE$3,"="&amp;$DF8+'Model Setup'!$G$7,$AD8:$BA8)+'Model Setup'!$G$8*(SUMIF($BH$3:$CE$3,"&lt;"&amp;$DF8,$AD8:$BA8)+SUMIF($BH$3:$CE$3,"&gt;"&amp;$CW$4,$AD8:$BA8)),
IF(BJ$3=$DF8+'Model Setup'!$H$7,SUMIF($BH$3:$CE$3,"="&amp;$DF8+'Model Setup'!$H$7,$AD8:$BA8)+'Model Setup'!$H$8*(SUMIF($BH$3:$CE$3,"&lt;"&amp;$DF8,$AD8:$BA8)+SUMIF($BH$3:$CE$3,"&gt;"&amp;$CW$4,$AD8:$BA8)),
IF(BJ$3=$DF8+'Model Setup'!$I$7,SUMIF($BH$3:$CE$3,"="&amp;$DF8+'Model Setup'!$I$7,$AD8:$BA8)+'Model Setup'!$I$8*(SUMIF($BH$3:$CE$3,"&lt;"&amp;$DF8,$AD8:$BA8)+SUMIF($BH$3:$CE$3,"&gt;"&amp;$CW$4,$AD8:$BA8)),
IF(BJ$3=$DF8+'Model Setup'!$J$7,SUMIF($BH$3:$CE$3,"="&amp;$DF8+'Model Setup'!$J$7,$AD8:$BA8)+'Model Setup'!$J$8*(SUMIF($BH$3:$CE$3,"&lt;"&amp;$DF8,$AD8:$BA8)+SUMIF($BH$3:$CE$3,"&gt;"&amp;$CW$4,$AD8:$BA8)),
IF(BJ$3=$DF8+'Model Setup'!$K$7,SUMIF($BH$3:$CE$3,"="&amp;$DF8+'Model Setup'!$K$7,$AD8:$BA8)+'Model Setup'!$K$8*(SUMIF($BH$3:$CE$3,"&lt;"&amp;$DF8,$AD8:$BA8)+SUMIF($BH$3:$CE$3,"&gt;"&amp;$CW$4,$AD8:$BA8)),
IF(BJ$3=$DF8+'Model Setup'!$L$7,SUMIF($BH$3:$CE$3,"="&amp;$DF8+'Model Setup'!$L$7,$AD8:$BA8)+'Model Setup'!$L$8*(SUMIF($BH$3:$CE$3,"&lt;"&amp;$DF8,$AD8:$BA8)+SUMIF($BH$3:$CE$3,"&gt;"&amp;$CW$4,$AD8:$BA8)),
IF(BJ$3=$DF8+'Model Setup'!$M$7,SUMIF($BH$3:$CE$3,"="&amp;$DF8+'Model Setup'!$M$7,$AD8:$BA8)+'Model Setup'!$M$8*(SUMIF($BH$3:$CE$3,"&lt;"&amp;$DF8,$AD8:$BA8)+SUMIF($BH$3:$CE$3,"&gt;"&amp;$CW$4,$AD8:$BA8)),
IF(BJ$3=$DF8+'Model Setup'!$N$7,SUMIF($BH$3:$CE$3,"="&amp;$DF8+'Model Setup'!$N$7,$AD8:$BA8)+'Model Setup'!$N$8*(SUMIF($BH$3:$CE$3,"&lt;"&amp;$DF8,$AD8:$BA8)+SUMIF($BH$3:$CE$3,"&gt;"&amp;$CW$4,$AD8:$BA8)),
IF(BJ$3&lt;$CW$4,D8,0))))))))))))))),0)</f>
        <v>0</v>
      </c>
      <c r="BK8" s="47">
        <f>ROUND(IF(OR(BK$3&lt;$DF8,BK$3&gt;$CW$4),0,
IF(BK$3=$DF8+'Model Setup'!$B$7,SUMIF($BH$3:$CE$3,"="&amp;$DF8+'Model Setup'!$B$7,$AD8:$BA8)+'Model Setup'!$B$8*(SUMIF($BH$3:$CE$3,"&lt;"&amp;$DF8,$AD8:$BA8)+SUMIF($BH$3:$CE$3,"&gt;"&amp;$CW$4,$AD8:$BA8)),
IF(BK$3=$DF8+'Model Setup'!$C$7,SUMIF($BH$3:$CE$3,"="&amp;$DF8+'Model Setup'!$C$7,$AD8:$BA8)+'Model Setup'!$C$8*(SUMIF($BH$3:$CE$3,"&lt;"&amp;$DF8,$AD8:$BA8)+SUMIF($BH$3:$CE$3,"&gt;"&amp;$CW$4,$AD8:$BA8)),
IF(BK$3=$DF8+'Model Setup'!$D$7,SUMIF($BH$3:$CE$3,"="&amp;$DF8+'Model Setup'!$D$7,$AD8:$BA8)+'Model Setup'!$D$8*(SUMIF($BH$3:$CE$3,"&lt;"&amp;$DF8,$AD8:$BA8)+SUMIF($BH$3:$CE$3,"&gt;"&amp;$CW$4,$AD8:$BA8)),
IF(BK$3=$DF8+'Model Setup'!$E$7,SUMIF($BH$3:$CE$3,"="&amp;$DF8+'Model Setup'!$E$7,$AD8:$BA8)+'Model Setup'!$E$8*(SUMIF($BH$3:$CE$3,"&lt;"&amp;$DF8,$AD8:$BA8)+SUMIF($BH$3:$CE$3,"&gt;"&amp;$CW$4,$AD8:$BA8)),
IF(BK$3=$DF8+'Model Setup'!$F$7,SUMIF($BH$3:$CE$3,"="&amp;$DF8+'Model Setup'!$F$7,$AD8:$BA8)+'Model Setup'!$F$8*(SUMIF($BH$3:$CE$3,"&lt;"&amp;$DF8,$AD8:$BA8)+SUMIF($BH$3:$CE$3,"&gt;"&amp;$CW$4,$AD8:$BA8)),
IF(BK$3=$DF8+'Model Setup'!$G$7,SUMIF($BH$3:$CE$3,"="&amp;$DF8+'Model Setup'!$G$7,$AD8:$BA8)+'Model Setup'!$G$8*(SUMIF($BH$3:$CE$3,"&lt;"&amp;$DF8,$AD8:$BA8)+SUMIF($BH$3:$CE$3,"&gt;"&amp;$CW$4,$AD8:$BA8)),
IF(BK$3=$DF8+'Model Setup'!$H$7,SUMIF($BH$3:$CE$3,"="&amp;$DF8+'Model Setup'!$H$7,$AD8:$BA8)+'Model Setup'!$H$8*(SUMIF($BH$3:$CE$3,"&lt;"&amp;$DF8,$AD8:$BA8)+SUMIF($BH$3:$CE$3,"&gt;"&amp;$CW$4,$AD8:$BA8)),
IF(BK$3=$DF8+'Model Setup'!$I$7,SUMIF($BH$3:$CE$3,"="&amp;$DF8+'Model Setup'!$I$7,$AD8:$BA8)+'Model Setup'!$I$8*(SUMIF($BH$3:$CE$3,"&lt;"&amp;$DF8,$AD8:$BA8)+SUMIF($BH$3:$CE$3,"&gt;"&amp;$CW$4,$AD8:$BA8)),
IF(BK$3=$DF8+'Model Setup'!$J$7,SUMIF($BH$3:$CE$3,"="&amp;$DF8+'Model Setup'!$J$7,$AD8:$BA8)+'Model Setup'!$J$8*(SUMIF($BH$3:$CE$3,"&lt;"&amp;$DF8,$AD8:$BA8)+SUMIF($BH$3:$CE$3,"&gt;"&amp;$CW$4,$AD8:$BA8)),
IF(BK$3=$DF8+'Model Setup'!$K$7,SUMIF($BH$3:$CE$3,"="&amp;$DF8+'Model Setup'!$K$7,$AD8:$BA8)+'Model Setup'!$K$8*(SUMIF($BH$3:$CE$3,"&lt;"&amp;$DF8,$AD8:$BA8)+SUMIF($BH$3:$CE$3,"&gt;"&amp;$CW$4,$AD8:$BA8)),
IF(BK$3=$DF8+'Model Setup'!$L$7,SUMIF($BH$3:$CE$3,"="&amp;$DF8+'Model Setup'!$L$7,$AD8:$BA8)+'Model Setup'!$L$8*(SUMIF($BH$3:$CE$3,"&lt;"&amp;$DF8,$AD8:$BA8)+SUMIF($BH$3:$CE$3,"&gt;"&amp;$CW$4,$AD8:$BA8)),
IF(BK$3=$DF8+'Model Setup'!$M$7,SUMIF($BH$3:$CE$3,"="&amp;$DF8+'Model Setup'!$M$7,$AD8:$BA8)+'Model Setup'!$M$8*(SUMIF($BH$3:$CE$3,"&lt;"&amp;$DF8,$AD8:$BA8)+SUMIF($BH$3:$CE$3,"&gt;"&amp;$CW$4,$AD8:$BA8)),
IF(BK$3=$DF8+'Model Setup'!$N$7,SUMIF($BH$3:$CE$3,"="&amp;$DF8+'Model Setup'!$N$7,$AD8:$BA8)+'Model Setup'!$N$8*(SUMIF($BH$3:$CE$3,"&lt;"&amp;$DF8,$AD8:$BA8)+SUMIF($BH$3:$CE$3,"&gt;"&amp;$CW$4,$AD8:$BA8)),
IF(BK$3&lt;$CW$4,E8,0))))))))))))))),0)</f>
        <v>0</v>
      </c>
      <c r="BL8" s="47">
        <f>ROUND(IF(OR(BL$3&lt;$DF8,BL$3&gt;$CW$4),0,
IF(BL$3=$DF8+'Model Setup'!$B$7,SUMIF($BH$3:$CE$3,"="&amp;$DF8+'Model Setup'!$B$7,$AD8:$BA8)+'Model Setup'!$B$8*(SUMIF($BH$3:$CE$3,"&lt;"&amp;$DF8,$AD8:$BA8)+SUMIF($BH$3:$CE$3,"&gt;"&amp;$CW$4,$AD8:$BA8)),
IF(BL$3=$DF8+'Model Setup'!$C$7,SUMIF($BH$3:$CE$3,"="&amp;$DF8+'Model Setup'!$C$7,$AD8:$BA8)+'Model Setup'!$C$8*(SUMIF($BH$3:$CE$3,"&lt;"&amp;$DF8,$AD8:$BA8)+SUMIF($BH$3:$CE$3,"&gt;"&amp;$CW$4,$AD8:$BA8)),
IF(BL$3=$DF8+'Model Setup'!$D$7,SUMIF($BH$3:$CE$3,"="&amp;$DF8+'Model Setup'!$D$7,$AD8:$BA8)+'Model Setup'!$D$8*(SUMIF($BH$3:$CE$3,"&lt;"&amp;$DF8,$AD8:$BA8)+SUMIF($BH$3:$CE$3,"&gt;"&amp;$CW$4,$AD8:$BA8)),
IF(BL$3=$DF8+'Model Setup'!$E$7,SUMIF($BH$3:$CE$3,"="&amp;$DF8+'Model Setup'!$E$7,$AD8:$BA8)+'Model Setup'!$E$8*(SUMIF($BH$3:$CE$3,"&lt;"&amp;$DF8,$AD8:$BA8)+SUMIF($BH$3:$CE$3,"&gt;"&amp;$CW$4,$AD8:$BA8)),
IF(BL$3=$DF8+'Model Setup'!$F$7,SUMIF($BH$3:$CE$3,"="&amp;$DF8+'Model Setup'!$F$7,$AD8:$BA8)+'Model Setup'!$F$8*(SUMIF($BH$3:$CE$3,"&lt;"&amp;$DF8,$AD8:$BA8)+SUMIF($BH$3:$CE$3,"&gt;"&amp;$CW$4,$AD8:$BA8)),
IF(BL$3=$DF8+'Model Setup'!$G$7,SUMIF($BH$3:$CE$3,"="&amp;$DF8+'Model Setup'!$G$7,$AD8:$BA8)+'Model Setup'!$G$8*(SUMIF($BH$3:$CE$3,"&lt;"&amp;$DF8,$AD8:$BA8)+SUMIF($BH$3:$CE$3,"&gt;"&amp;$CW$4,$AD8:$BA8)),
IF(BL$3=$DF8+'Model Setup'!$H$7,SUMIF($BH$3:$CE$3,"="&amp;$DF8+'Model Setup'!$H$7,$AD8:$BA8)+'Model Setup'!$H$8*(SUMIF($BH$3:$CE$3,"&lt;"&amp;$DF8,$AD8:$BA8)+SUMIF($BH$3:$CE$3,"&gt;"&amp;$CW$4,$AD8:$BA8)),
IF(BL$3=$DF8+'Model Setup'!$I$7,SUMIF($BH$3:$CE$3,"="&amp;$DF8+'Model Setup'!$I$7,$AD8:$BA8)+'Model Setup'!$I$8*(SUMIF($BH$3:$CE$3,"&lt;"&amp;$DF8,$AD8:$BA8)+SUMIF($BH$3:$CE$3,"&gt;"&amp;$CW$4,$AD8:$BA8)),
IF(BL$3=$DF8+'Model Setup'!$J$7,SUMIF($BH$3:$CE$3,"="&amp;$DF8+'Model Setup'!$J$7,$AD8:$BA8)+'Model Setup'!$J$8*(SUMIF($BH$3:$CE$3,"&lt;"&amp;$DF8,$AD8:$BA8)+SUMIF($BH$3:$CE$3,"&gt;"&amp;$CW$4,$AD8:$BA8)),
IF(BL$3=$DF8+'Model Setup'!$K$7,SUMIF($BH$3:$CE$3,"="&amp;$DF8+'Model Setup'!$K$7,$AD8:$BA8)+'Model Setup'!$K$8*(SUMIF($BH$3:$CE$3,"&lt;"&amp;$DF8,$AD8:$BA8)+SUMIF($BH$3:$CE$3,"&gt;"&amp;$CW$4,$AD8:$BA8)),
IF(BL$3=$DF8+'Model Setup'!$L$7,SUMIF($BH$3:$CE$3,"="&amp;$DF8+'Model Setup'!$L$7,$AD8:$BA8)+'Model Setup'!$L$8*(SUMIF($BH$3:$CE$3,"&lt;"&amp;$DF8,$AD8:$BA8)+SUMIF($BH$3:$CE$3,"&gt;"&amp;$CW$4,$AD8:$BA8)),
IF(BL$3=$DF8+'Model Setup'!$M$7,SUMIF($BH$3:$CE$3,"="&amp;$DF8+'Model Setup'!$M$7,$AD8:$BA8)+'Model Setup'!$M$8*(SUMIF($BH$3:$CE$3,"&lt;"&amp;$DF8,$AD8:$BA8)+SUMIF($BH$3:$CE$3,"&gt;"&amp;$CW$4,$AD8:$BA8)),
IF(BL$3=$DF8+'Model Setup'!$N$7,SUMIF($BH$3:$CE$3,"="&amp;$DF8+'Model Setup'!$N$7,$AD8:$BA8)+'Model Setup'!$N$8*(SUMIF($BH$3:$CE$3,"&lt;"&amp;$DF8,$AD8:$BA8)+SUMIF($BH$3:$CE$3,"&gt;"&amp;$CW$4,$AD8:$BA8)),
IF(BL$3&lt;$CW$4,F8,0))))))))))))))),0)</f>
        <v>0</v>
      </c>
      <c r="BM8" s="47">
        <f>ROUND(IF(OR(BM$3&lt;$DF8,BM$3&gt;$CW$4),0,
IF(BM$3=$DF8+'Model Setup'!$B$7,SUMIF($BH$3:$CE$3,"="&amp;$DF8+'Model Setup'!$B$7,$AD8:$BA8)+'Model Setup'!$B$8*(SUMIF($BH$3:$CE$3,"&lt;"&amp;$DF8,$AD8:$BA8)+SUMIF($BH$3:$CE$3,"&gt;"&amp;$CW$4,$AD8:$BA8)),
IF(BM$3=$DF8+'Model Setup'!$C$7,SUMIF($BH$3:$CE$3,"="&amp;$DF8+'Model Setup'!$C$7,$AD8:$BA8)+'Model Setup'!$C$8*(SUMIF($BH$3:$CE$3,"&lt;"&amp;$DF8,$AD8:$BA8)+SUMIF($BH$3:$CE$3,"&gt;"&amp;$CW$4,$AD8:$BA8)),
IF(BM$3=$DF8+'Model Setup'!$D$7,SUMIF($BH$3:$CE$3,"="&amp;$DF8+'Model Setup'!$D$7,$AD8:$BA8)+'Model Setup'!$D$8*(SUMIF($BH$3:$CE$3,"&lt;"&amp;$DF8,$AD8:$BA8)+SUMIF($BH$3:$CE$3,"&gt;"&amp;$CW$4,$AD8:$BA8)),
IF(BM$3=$DF8+'Model Setup'!$E$7,SUMIF($BH$3:$CE$3,"="&amp;$DF8+'Model Setup'!$E$7,$AD8:$BA8)+'Model Setup'!$E$8*(SUMIF($BH$3:$CE$3,"&lt;"&amp;$DF8,$AD8:$BA8)+SUMIF($BH$3:$CE$3,"&gt;"&amp;$CW$4,$AD8:$BA8)),
IF(BM$3=$DF8+'Model Setup'!$F$7,SUMIF($BH$3:$CE$3,"="&amp;$DF8+'Model Setup'!$F$7,$AD8:$BA8)+'Model Setup'!$F$8*(SUMIF($BH$3:$CE$3,"&lt;"&amp;$DF8,$AD8:$BA8)+SUMIF($BH$3:$CE$3,"&gt;"&amp;$CW$4,$AD8:$BA8)),
IF(BM$3=$DF8+'Model Setup'!$G$7,SUMIF($BH$3:$CE$3,"="&amp;$DF8+'Model Setup'!$G$7,$AD8:$BA8)+'Model Setup'!$G$8*(SUMIF($BH$3:$CE$3,"&lt;"&amp;$DF8,$AD8:$BA8)+SUMIF($BH$3:$CE$3,"&gt;"&amp;$CW$4,$AD8:$BA8)),
IF(BM$3=$DF8+'Model Setup'!$H$7,SUMIF($BH$3:$CE$3,"="&amp;$DF8+'Model Setup'!$H$7,$AD8:$BA8)+'Model Setup'!$H$8*(SUMIF($BH$3:$CE$3,"&lt;"&amp;$DF8,$AD8:$BA8)+SUMIF($BH$3:$CE$3,"&gt;"&amp;$CW$4,$AD8:$BA8)),
IF(BM$3=$DF8+'Model Setup'!$I$7,SUMIF($BH$3:$CE$3,"="&amp;$DF8+'Model Setup'!$I$7,$AD8:$BA8)+'Model Setup'!$I$8*(SUMIF($BH$3:$CE$3,"&lt;"&amp;$DF8,$AD8:$BA8)+SUMIF($BH$3:$CE$3,"&gt;"&amp;$CW$4,$AD8:$BA8)),
IF(BM$3=$DF8+'Model Setup'!$J$7,SUMIF($BH$3:$CE$3,"="&amp;$DF8+'Model Setup'!$J$7,$AD8:$BA8)+'Model Setup'!$J$8*(SUMIF($BH$3:$CE$3,"&lt;"&amp;$DF8,$AD8:$BA8)+SUMIF($BH$3:$CE$3,"&gt;"&amp;$CW$4,$AD8:$BA8)),
IF(BM$3=$DF8+'Model Setup'!$K$7,SUMIF($BH$3:$CE$3,"="&amp;$DF8+'Model Setup'!$K$7,$AD8:$BA8)+'Model Setup'!$K$8*(SUMIF($BH$3:$CE$3,"&lt;"&amp;$DF8,$AD8:$BA8)+SUMIF($BH$3:$CE$3,"&gt;"&amp;$CW$4,$AD8:$BA8)),
IF(BM$3=$DF8+'Model Setup'!$L$7,SUMIF($BH$3:$CE$3,"="&amp;$DF8+'Model Setup'!$L$7,$AD8:$BA8)+'Model Setup'!$L$8*(SUMIF($BH$3:$CE$3,"&lt;"&amp;$DF8,$AD8:$BA8)+SUMIF($BH$3:$CE$3,"&gt;"&amp;$CW$4,$AD8:$BA8)),
IF(BM$3=$DF8+'Model Setup'!$M$7,SUMIF($BH$3:$CE$3,"="&amp;$DF8+'Model Setup'!$M$7,$AD8:$BA8)+'Model Setup'!$M$8*(SUMIF($BH$3:$CE$3,"&lt;"&amp;$DF8,$AD8:$BA8)+SUMIF($BH$3:$CE$3,"&gt;"&amp;$CW$4,$AD8:$BA8)),
IF(BM$3=$DF8+'Model Setup'!$N$7,SUMIF($BH$3:$CE$3,"="&amp;$DF8+'Model Setup'!$N$7,$AD8:$BA8)+'Model Setup'!$N$8*(SUMIF($BH$3:$CE$3,"&lt;"&amp;$DF8,$AD8:$BA8)+SUMIF($BH$3:$CE$3,"&gt;"&amp;$CW$4,$AD8:$BA8)),
IF(BM$3&lt;$CW$4,G8,0))))))))))))))),0)</f>
        <v>0</v>
      </c>
      <c r="BN8" s="47">
        <f>ROUND(IF(OR(BN$3&lt;$DF8,BN$3&gt;$CW$4),0,
IF(BN$3=$DF8+'Model Setup'!$B$7,SUMIF($BH$3:$CE$3,"="&amp;$DF8+'Model Setup'!$B$7,$AD8:$BA8)+'Model Setup'!$B$8*(SUMIF($BH$3:$CE$3,"&lt;"&amp;$DF8,$AD8:$BA8)+SUMIF($BH$3:$CE$3,"&gt;"&amp;$CW$4,$AD8:$BA8)),
IF(BN$3=$DF8+'Model Setup'!$C$7,SUMIF($BH$3:$CE$3,"="&amp;$DF8+'Model Setup'!$C$7,$AD8:$BA8)+'Model Setup'!$C$8*(SUMIF($BH$3:$CE$3,"&lt;"&amp;$DF8,$AD8:$BA8)+SUMIF($BH$3:$CE$3,"&gt;"&amp;$CW$4,$AD8:$BA8)),
IF(BN$3=$DF8+'Model Setup'!$D$7,SUMIF($BH$3:$CE$3,"="&amp;$DF8+'Model Setup'!$D$7,$AD8:$BA8)+'Model Setup'!$D$8*(SUMIF($BH$3:$CE$3,"&lt;"&amp;$DF8,$AD8:$BA8)+SUMIF($BH$3:$CE$3,"&gt;"&amp;$CW$4,$AD8:$BA8)),
IF(BN$3=$DF8+'Model Setup'!$E$7,SUMIF($BH$3:$CE$3,"="&amp;$DF8+'Model Setup'!$E$7,$AD8:$BA8)+'Model Setup'!$E$8*(SUMIF($BH$3:$CE$3,"&lt;"&amp;$DF8,$AD8:$BA8)+SUMIF($BH$3:$CE$3,"&gt;"&amp;$CW$4,$AD8:$BA8)),
IF(BN$3=$DF8+'Model Setup'!$F$7,SUMIF($BH$3:$CE$3,"="&amp;$DF8+'Model Setup'!$F$7,$AD8:$BA8)+'Model Setup'!$F$8*(SUMIF($BH$3:$CE$3,"&lt;"&amp;$DF8,$AD8:$BA8)+SUMIF($BH$3:$CE$3,"&gt;"&amp;$CW$4,$AD8:$BA8)),
IF(BN$3=$DF8+'Model Setup'!$G$7,SUMIF($BH$3:$CE$3,"="&amp;$DF8+'Model Setup'!$G$7,$AD8:$BA8)+'Model Setup'!$G$8*(SUMIF($BH$3:$CE$3,"&lt;"&amp;$DF8,$AD8:$BA8)+SUMIF($BH$3:$CE$3,"&gt;"&amp;$CW$4,$AD8:$BA8)),
IF(BN$3=$DF8+'Model Setup'!$H$7,SUMIF($BH$3:$CE$3,"="&amp;$DF8+'Model Setup'!$H$7,$AD8:$BA8)+'Model Setup'!$H$8*(SUMIF($BH$3:$CE$3,"&lt;"&amp;$DF8,$AD8:$BA8)+SUMIF($BH$3:$CE$3,"&gt;"&amp;$CW$4,$AD8:$BA8)),
IF(BN$3=$DF8+'Model Setup'!$I$7,SUMIF($BH$3:$CE$3,"="&amp;$DF8+'Model Setup'!$I$7,$AD8:$BA8)+'Model Setup'!$I$8*(SUMIF($BH$3:$CE$3,"&lt;"&amp;$DF8,$AD8:$BA8)+SUMIF($BH$3:$CE$3,"&gt;"&amp;$CW$4,$AD8:$BA8)),
IF(BN$3=$DF8+'Model Setup'!$J$7,SUMIF($BH$3:$CE$3,"="&amp;$DF8+'Model Setup'!$J$7,$AD8:$BA8)+'Model Setup'!$J$8*(SUMIF($BH$3:$CE$3,"&lt;"&amp;$DF8,$AD8:$BA8)+SUMIF($BH$3:$CE$3,"&gt;"&amp;$CW$4,$AD8:$BA8)),
IF(BN$3=$DF8+'Model Setup'!$K$7,SUMIF($BH$3:$CE$3,"="&amp;$DF8+'Model Setup'!$K$7,$AD8:$BA8)+'Model Setup'!$K$8*(SUMIF($BH$3:$CE$3,"&lt;"&amp;$DF8,$AD8:$BA8)+SUMIF($BH$3:$CE$3,"&gt;"&amp;$CW$4,$AD8:$BA8)),
IF(BN$3=$DF8+'Model Setup'!$L$7,SUMIF($BH$3:$CE$3,"="&amp;$DF8+'Model Setup'!$L$7,$AD8:$BA8)+'Model Setup'!$L$8*(SUMIF($BH$3:$CE$3,"&lt;"&amp;$DF8,$AD8:$BA8)+SUMIF($BH$3:$CE$3,"&gt;"&amp;$CW$4,$AD8:$BA8)),
IF(BN$3=$DF8+'Model Setup'!$M$7,SUMIF($BH$3:$CE$3,"="&amp;$DF8+'Model Setup'!$M$7,$AD8:$BA8)+'Model Setup'!$M$8*(SUMIF($BH$3:$CE$3,"&lt;"&amp;$DF8,$AD8:$BA8)+SUMIF($BH$3:$CE$3,"&gt;"&amp;$CW$4,$AD8:$BA8)),
IF(BN$3=$DF8+'Model Setup'!$N$7,SUMIF($BH$3:$CE$3,"="&amp;$DF8+'Model Setup'!$N$7,$AD8:$BA8)+'Model Setup'!$N$8*(SUMIF($BH$3:$CE$3,"&lt;"&amp;$DF8,$AD8:$BA8)+SUMIF($BH$3:$CE$3,"&gt;"&amp;$CW$4,$AD8:$BA8)),
IF(BN$3&lt;$CW$4,H8,0))))))))))))))),0)</f>
        <v>0</v>
      </c>
      <c r="BO8" s="47">
        <f>ROUND(IF(OR(BO$3&lt;$DF8,BO$3&gt;$CW$4),0,
IF(BO$3=$DF8+'Model Setup'!$B$7,SUMIF($BH$3:$CE$3,"="&amp;$DF8+'Model Setup'!$B$7,$AD8:$BA8)+'Model Setup'!$B$8*(SUMIF($BH$3:$CE$3,"&lt;"&amp;$DF8,$AD8:$BA8)+SUMIF($BH$3:$CE$3,"&gt;"&amp;$CW$4,$AD8:$BA8)),
IF(BO$3=$DF8+'Model Setup'!$C$7,SUMIF($BH$3:$CE$3,"="&amp;$DF8+'Model Setup'!$C$7,$AD8:$BA8)+'Model Setup'!$C$8*(SUMIF($BH$3:$CE$3,"&lt;"&amp;$DF8,$AD8:$BA8)+SUMIF($BH$3:$CE$3,"&gt;"&amp;$CW$4,$AD8:$BA8)),
IF(BO$3=$DF8+'Model Setup'!$D$7,SUMIF($BH$3:$CE$3,"="&amp;$DF8+'Model Setup'!$D$7,$AD8:$BA8)+'Model Setup'!$D$8*(SUMIF($BH$3:$CE$3,"&lt;"&amp;$DF8,$AD8:$BA8)+SUMIF($BH$3:$CE$3,"&gt;"&amp;$CW$4,$AD8:$BA8)),
IF(BO$3=$DF8+'Model Setup'!$E$7,SUMIF($BH$3:$CE$3,"="&amp;$DF8+'Model Setup'!$E$7,$AD8:$BA8)+'Model Setup'!$E$8*(SUMIF($BH$3:$CE$3,"&lt;"&amp;$DF8,$AD8:$BA8)+SUMIF($BH$3:$CE$3,"&gt;"&amp;$CW$4,$AD8:$BA8)),
IF(BO$3=$DF8+'Model Setup'!$F$7,SUMIF($BH$3:$CE$3,"="&amp;$DF8+'Model Setup'!$F$7,$AD8:$BA8)+'Model Setup'!$F$8*(SUMIF($BH$3:$CE$3,"&lt;"&amp;$DF8,$AD8:$BA8)+SUMIF($BH$3:$CE$3,"&gt;"&amp;$CW$4,$AD8:$BA8)),
IF(BO$3=$DF8+'Model Setup'!$G$7,SUMIF($BH$3:$CE$3,"="&amp;$DF8+'Model Setup'!$G$7,$AD8:$BA8)+'Model Setup'!$G$8*(SUMIF($BH$3:$CE$3,"&lt;"&amp;$DF8,$AD8:$BA8)+SUMIF($BH$3:$CE$3,"&gt;"&amp;$CW$4,$AD8:$BA8)),
IF(BO$3=$DF8+'Model Setup'!$H$7,SUMIF($BH$3:$CE$3,"="&amp;$DF8+'Model Setup'!$H$7,$AD8:$BA8)+'Model Setup'!$H$8*(SUMIF($BH$3:$CE$3,"&lt;"&amp;$DF8,$AD8:$BA8)+SUMIF($BH$3:$CE$3,"&gt;"&amp;$CW$4,$AD8:$BA8)),
IF(BO$3=$DF8+'Model Setup'!$I$7,SUMIF($BH$3:$CE$3,"="&amp;$DF8+'Model Setup'!$I$7,$AD8:$BA8)+'Model Setup'!$I$8*(SUMIF($BH$3:$CE$3,"&lt;"&amp;$DF8,$AD8:$BA8)+SUMIF($BH$3:$CE$3,"&gt;"&amp;$CW$4,$AD8:$BA8)),
IF(BO$3=$DF8+'Model Setup'!$J$7,SUMIF($BH$3:$CE$3,"="&amp;$DF8+'Model Setup'!$J$7,$AD8:$BA8)+'Model Setup'!$J$8*(SUMIF($BH$3:$CE$3,"&lt;"&amp;$DF8,$AD8:$BA8)+SUMIF($BH$3:$CE$3,"&gt;"&amp;$CW$4,$AD8:$BA8)),
IF(BO$3=$DF8+'Model Setup'!$K$7,SUMIF($BH$3:$CE$3,"="&amp;$DF8+'Model Setup'!$K$7,$AD8:$BA8)+'Model Setup'!$K$8*(SUMIF($BH$3:$CE$3,"&lt;"&amp;$DF8,$AD8:$BA8)+SUMIF($BH$3:$CE$3,"&gt;"&amp;$CW$4,$AD8:$BA8)),
IF(BO$3=$DF8+'Model Setup'!$L$7,SUMIF($BH$3:$CE$3,"="&amp;$DF8+'Model Setup'!$L$7,$AD8:$BA8)+'Model Setup'!$L$8*(SUMIF($BH$3:$CE$3,"&lt;"&amp;$DF8,$AD8:$BA8)+SUMIF($BH$3:$CE$3,"&gt;"&amp;$CW$4,$AD8:$BA8)),
IF(BO$3=$DF8+'Model Setup'!$M$7,SUMIF($BH$3:$CE$3,"="&amp;$DF8+'Model Setup'!$M$7,$AD8:$BA8)+'Model Setup'!$M$8*(SUMIF($BH$3:$CE$3,"&lt;"&amp;$DF8,$AD8:$BA8)+SUMIF($BH$3:$CE$3,"&gt;"&amp;$CW$4,$AD8:$BA8)),
IF(BO$3=$DF8+'Model Setup'!$N$7,SUMIF($BH$3:$CE$3,"="&amp;$DF8+'Model Setup'!$N$7,$AD8:$BA8)+'Model Setup'!$N$8*(SUMIF($BH$3:$CE$3,"&lt;"&amp;$DF8,$AD8:$BA8)+SUMIF($BH$3:$CE$3,"&gt;"&amp;$CW$4,$AD8:$BA8)),
IF(BO$3&lt;$CW$4,I8,0))))))))))))))),0)</f>
        <v>107</v>
      </c>
      <c r="BP8" s="47">
        <f>ROUND(IF(OR(BP$3&lt;$DF8,BP$3&gt;$CW$4),0,
IF(BP$3=$DF8+'Model Setup'!$B$7,SUMIF($BH$3:$CE$3,"="&amp;$DF8+'Model Setup'!$B$7,$AD8:$BA8)+'Model Setup'!$B$8*(SUMIF($BH$3:$CE$3,"&lt;"&amp;$DF8,$AD8:$BA8)+SUMIF($BH$3:$CE$3,"&gt;"&amp;$CW$4,$AD8:$BA8)),
IF(BP$3=$DF8+'Model Setup'!$C$7,SUMIF($BH$3:$CE$3,"="&amp;$DF8+'Model Setup'!$C$7,$AD8:$BA8)+'Model Setup'!$C$8*(SUMIF($BH$3:$CE$3,"&lt;"&amp;$DF8,$AD8:$BA8)+SUMIF($BH$3:$CE$3,"&gt;"&amp;$CW$4,$AD8:$BA8)),
IF(BP$3=$DF8+'Model Setup'!$D$7,SUMIF($BH$3:$CE$3,"="&amp;$DF8+'Model Setup'!$D$7,$AD8:$BA8)+'Model Setup'!$D$8*(SUMIF($BH$3:$CE$3,"&lt;"&amp;$DF8,$AD8:$BA8)+SUMIF($BH$3:$CE$3,"&gt;"&amp;$CW$4,$AD8:$BA8)),
IF(BP$3=$DF8+'Model Setup'!$E$7,SUMIF($BH$3:$CE$3,"="&amp;$DF8+'Model Setup'!$E$7,$AD8:$BA8)+'Model Setup'!$E$8*(SUMIF($BH$3:$CE$3,"&lt;"&amp;$DF8,$AD8:$BA8)+SUMIF($BH$3:$CE$3,"&gt;"&amp;$CW$4,$AD8:$BA8)),
IF(BP$3=$DF8+'Model Setup'!$F$7,SUMIF($BH$3:$CE$3,"="&amp;$DF8+'Model Setup'!$F$7,$AD8:$BA8)+'Model Setup'!$F$8*(SUMIF($BH$3:$CE$3,"&lt;"&amp;$DF8,$AD8:$BA8)+SUMIF($BH$3:$CE$3,"&gt;"&amp;$CW$4,$AD8:$BA8)),
IF(BP$3=$DF8+'Model Setup'!$G$7,SUMIF($BH$3:$CE$3,"="&amp;$DF8+'Model Setup'!$G$7,$AD8:$BA8)+'Model Setup'!$G$8*(SUMIF($BH$3:$CE$3,"&lt;"&amp;$DF8,$AD8:$BA8)+SUMIF($BH$3:$CE$3,"&gt;"&amp;$CW$4,$AD8:$BA8)),
IF(BP$3=$DF8+'Model Setup'!$H$7,SUMIF($BH$3:$CE$3,"="&amp;$DF8+'Model Setup'!$H$7,$AD8:$BA8)+'Model Setup'!$H$8*(SUMIF($BH$3:$CE$3,"&lt;"&amp;$DF8,$AD8:$BA8)+SUMIF($BH$3:$CE$3,"&gt;"&amp;$CW$4,$AD8:$BA8)),
IF(BP$3=$DF8+'Model Setup'!$I$7,SUMIF($BH$3:$CE$3,"="&amp;$DF8+'Model Setup'!$I$7,$AD8:$BA8)+'Model Setup'!$I$8*(SUMIF($BH$3:$CE$3,"&lt;"&amp;$DF8,$AD8:$BA8)+SUMIF($BH$3:$CE$3,"&gt;"&amp;$CW$4,$AD8:$BA8)),
IF(BP$3=$DF8+'Model Setup'!$J$7,SUMIF($BH$3:$CE$3,"="&amp;$DF8+'Model Setup'!$J$7,$AD8:$BA8)+'Model Setup'!$J$8*(SUMIF($BH$3:$CE$3,"&lt;"&amp;$DF8,$AD8:$BA8)+SUMIF($BH$3:$CE$3,"&gt;"&amp;$CW$4,$AD8:$BA8)),
IF(BP$3=$DF8+'Model Setup'!$K$7,SUMIF($BH$3:$CE$3,"="&amp;$DF8+'Model Setup'!$K$7,$AD8:$BA8)+'Model Setup'!$K$8*(SUMIF($BH$3:$CE$3,"&lt;"&amp;$DF8,$AD8:$BA8)+SUMIF($BH$3:$CE$3,"&gt;"&amp;$CW$4,$AD8:$BA8)),
IF(BP$3=$DF8+'Model Setup'!$L$7,SUMIF($BH$3:$CE$3,"="&amp;$DF8+'Model Setup'!$L$7,$AD8:$BA8)+'Model Setup'!$L$8*(SUMIF($BH$3:$CE$3,"&lt;"&amp;$DF8,$AD8:$BA8)+SUMIF($BH$3:$CE$3,"&gt;"&amp;$CW$4,$AD8:$BA8)),
IF(BP$3=$DF8+'Model Setup'!$M$7,SUMIF($BH$3:$CE$3,"="&amp;$DF8+'Model Setup'!$M$7,$AD8:$BA8)+'Model Setup'!$M$8*(SUMIF($BH$3:$CE$3,"&lt;"&amp;$DF8,$AD8:$BA8)+SUMIF($BH$3:$CE$3,"&gt;"&amp;$CW$4,$AD8:$BA8)),
IF(BP$3=$DF8+'Model Setup'!$N$7,SUMIF($BH$3:$CE$3,"="&amp;$DF8+'Model Setup'!$N$7,$AD8:$BA8)+'Model Setup'!$N$8*(SUMIF($BH$3:$CE$3,"&lt;"&amp;$DF8,$AD8:$BA8)+SUMIF($BH$3:$CE$3,"&gt;"&amp;$CW$4,$AD8:$BA8)),
IF(BP$3&lt;$CW$4,J8,0))))))))))))))),0)</f>
        <v>159</v>
      </c>
      <c r="BQ8" s="47">
        <f>ROUND(IF(OR(BQ$3&lt;$DF8,BQ$3&gt;$CW$4),0,
IF(BQ$3=$DF8+'Model Setup'!$B$7,SUMIF($BH$3:$CE$3,"="&amp;$DF8+'Model Setup'!$B$7,$AD8:$BA8)+'Model Setup'!$B$8*(SUMIF($BH$3:$CE$3,"&lt;"&amp;$DF8,$AD8:$BA8)+SUMIF($BH$3:$CE$3,"&gt;"&amp;$CW$4,$AD8:$BA8)),
IF(BQ$3=$DF8+'Model Setup'!$C$7,SUMIF($BH$3:$CE$3,"="&amp;$DF8+'Model Setup'!$C$7,$AD8:$BA8)+'Model Setup'!$C$8*(SUMIF($BH$3:$CE$3,"&lt;"&amp;$DF8,$AD8:$BA8)+SUMIF($BH$3:$CE$3,"&gt;"&amp;$CW$4,$AD8:$BA8)),
IF(BQ$3=$DF8+'Model Setup'!$D$7,SUMIF($BH$3:$CE$3,"="&amp;$DF8+'Model Setup'!$D$7,$AD8:$BA8)+'Model Setup'!$D$8*(SUMIF($BH$3:$CE$3,"&lt;"&amp;$DF8,$AD8:$BA8)+SUMIF($BH$3:$CE$3,"&gt;"&amp;$CW$4,$AD8:$BA8)),
IF(BQ$3=$DF8+'Model Setup'!$E$7,SUMIF($BH$3:$CE$3,"="&amp;$DF8+'Model Setup'!$E$7,$AD8:$BA8)+'Model Setup'!$E$8*(SUMIF($BH$3:$CE$3,"&lt;"&amp;$DF8,$AD8:$BA8)+SUMIF($BH$3:$CE$3,"&gt;"&amp;$CW$4,$AD8:$BA8)),
IF(BQ$3=$DF8+'Model Setup'!$F$7,SUMIF($BH$3:$CE$3,"="&amp;$DF8+'Model Setup'!$F$7,$AD8:$BA8)+'Model Setup'!$F$8*(SUMIF($BH$3:$CE$3,"&lt;"&amp;$DF8,$AD8:$BA8)+SUMIF($BH$3:$CE$3,"&gt;"&amp;$CW$4,$AD8:$BA8)),
IF(BQ$3=$DF8+'Model Setup'!$G$7,SUMIF($BH$3:$CE$3,"="&amp;$DF8+'Model Setup'!$G$7,$AD8:$BA8)+'Model Setup'!$G$8*(SUMIF($BH$3:$CE$3,"&lt;"&amp;$DF8,$AD8:$BA8)+SUMIF($BH$3:$CE$3,"&gt;"&amp;$CW$4,$AD8:$BA8)),
IF(BQ$3=$DF8+'Model Setup'!$H$7,SUMIF($BH$3:$CE$3,"="&amp;$DF8+'Model Setup'!$H$7,$AD8:$BA8)+'Model Setup'!$H$8*(SUMIF($BH$3:$CE$3,"&lt;"&amp;$DF8,$AD8:$BA8)+SUMIF($BH$3:$CE$3,"&gt;"&amp;$CW$4,$AD8:$BA8)),
IF(BQ$3=$DF8+'Model Setup'!$I$7,SUMIF($BH$3:$CE$3,"="&amp;$DF8+'Model Setup'!$I$7,$AD8:$BA8)+'Model Setup'!$I$8*(SUMIF($BH$3:$CE$3,"&lt;"&amp;$DF8,$AD8:$BA8)+SUMIF($BH$3:$CE$3,"&gt;"&amp;$CW$4,$AD8:$BA8)),
IF(BQ$3=$DF8+'Model Setup'!$J$7,SUMIF($BH$3:$CE$3,"="&amp;$DF8+'Model Setup'!$J$7,$AD8:$BA8)+'Model Setup'!$J$8*(SUMIF($BH$3:$CE$3,"&lt;"&amp;$DF8,$AD8:$BA8)+SUMIF($BH$3:$CE$3,"&gt;"&amp;$CW$4,$AD8:$BA8)),
IF(BQ$3=$DF8+'Model Setup'!$K$7,SUMIF($BH$3:$CE$3,"="&amp;$DF8+'Model Setup'!$K$7,$AD8:$BA8)+'Model Setup'!$K$8*(SUMIF($BH$3:$CE$3,"&lt;"&amp;$DF8,$AD8:$BA8)+SUMIF($BH$3:$CE$3,"&gt;"&amp;$CW$4,$AD8:$BA8)),
IF(BQ$3=$DF8+'Model Setup'!$L$7,SUMIF($BH$3:$CE$3,"="&amp;$DF8+'Model Setup'!$L$7,$AD8:$BA8)+'Model Setup'!$L$8*(SUMIF($BH$3:$CE$3,"&lt;"&amp;$DF8,$AD8:$BA8)+SUMIF($BH$3:$CE$3,"&gt;"&amp;$CW$4,$AD8:$BA8)),
IF(BQ$3=$DF8+'Model Setup'!$M$7,SUMIF($BH$3:$CE$3,"="&amp;$DF8+'Model Setup'!$M$7,$AD8:$BA8)+'Model Setup'!$M$8*(SUMIF($BH$3:$CE$3,"&lt;"&amp;$DF8,$AD8:$BA8)+SUMIF($BH$3:$CE$3,"&gt;"&amp;$CW$4,$AD8:$BA8)),
IF(BQ$3=$DF8+'Model Setup'!$N$7,SUMIF($BH$3:$CE$3,"="&amp;$DF8+'Model Setup'!$N$7,$AD8:$BA8)+'Model Setup'!$N$8*(SUMIF($BH$3:$CE$3,"&lt;"&amp;$DF8,$AD8:$BA8)+SUMIF($BH$3:$CE$3,"&gt;"&amp;$CW$4,$AD8:$BA8)),
IF(BQ$3&lt;$CW$4,K8,0))))))))))))))),0)</f>
        <v>135</v>
      </c>
      <c r="BR8" s="47">
        <f>ROUND(IF(OR(BR$3&lt;$DF8,BR$3&gt;$CW$4),0,
IF(BR$3=$DF8+'Model Setup'!$B$7,SUMIF($BH$3:$CE$3,"="&amp;$DF8+'Model Setup'!$B$7,$AD8:$BA8)+'Model Setup'!$B$8*(SUMIF($BH$3:$CE$3,"&lt;"&amp;$DF8,$AD8:$BA8)+SUMIF($BH$3:$CE$3,"&gt;"&amp;$CW$4,$AD8:$BA8)),
IF(BR$3=$DF8+'Model Setup'!$C$7,SUMIF($BH$3:$CE$3,"="&amp;$DF8+'Model Setup'!$C$7,$AD8:$BA8)+'Model Setup'!$C$8*(SUMIF($BH$3:$CE$3,"&lt;"&amp;$DF8,$AD8:$BA8)+SUMIF($BH$3:$CE$3,"&gt;"&amp;$CW$4,$AD8:$BA8)),
IF(BR$3=$DF8+'Model Setup'!$D$7,SUMIF($BH$3:$CE$3,"="&amp;$DF8+'Model Setup'!$D$7,$AD8:$BA8)+'Model Setup'!$D$8*(SUMIF($BH$3:$CE$3,"&lt;"&amp;$DF8,$AD8:$BA8)+SUMIF($BH$3:$CE$3,"&gt;"&amp;$CW$4,$AD8:$BA8)),
IF(BR$3=$DF8+'Model Setup'!$E$7,SUMIF($BH$3:$CE$3,"="&amp;$DF8+'Model Setup'!$E$7,$AD8:$BA8)+'Model Setup'!$E$8*(SUMIF($BH$3:$CE$3,"&lt;"&amp;$DF8,$AD8:$BA8)+SUMIF($BH$3:$CE$3,"&gt;"&amp;$CW$4,$AD8:$BA8)),
IF(BR$3=$DF8+'Model Setup'!$F$7,SUMIF($BH$3:$CE$3,"="&amp;$DF8+'Model Setup'!$F$7,$AD8:$BA8)+'Model Setup'!$F$8*(SUMIF($BH$3:$CE$3,"&lt;"&amp;$DF8,$AD8:$BA8)+SUMIF($BH$3:$CE$3,"&gt;"&amp;$CW$4,$AD8:$BA8)),
IF(BR$3=$DF8+'Model Setup'!$G$7,SUMIF($BH$3:$CE$3,"="&amp;$DF8+'Model Setup'!$G$7,$AD8:$BA8)+'Model Setup'!$G$8*(SUMIF($BH$3:$CE$3,"&lt;"&amp;$DF8,$AD8:$BA8)+SUMIF($BH$3:$CE$3,"&gt;"&amp;$CW$4,$AD8:$BA8)),
IF(BR$3=$DF8+'Model Setup'!$H$7,SUMIF($BH$3:$CE$3,"="&amp;$DF8+'Model Setup'!$H$7,$AD8:$BA8)+'Model Setup'!$H$8*(SUMIF($BH$3:$CE$3,"&lt;"&amp;$DF8,$AD8:$BA8)+SUMIF($BH$3:$CE$3,"&gt;"&amp;$CW$4,$AD8:$BA8)),
IF(BR$3=$DF8+'Model Setup'!$I$7,SUMIF($BH$3:$CE$3,"="&amp;$DF8+'Model Setup'!$I$7,$AD8:$BA8)+'Model Setup'!$I$8*(SUMIF($BH$3:$CE$3,"&lt;"&amp;$DF8,$AD8:$BA8)+SUMIF($BH$3:$CE$3,"&gt;"&amp;$CW$4,$AD8:$BA8)),
IF(BR$3=$DF8+'Model Setup'!$J$7,SUMIF($BH$3:$CE$3,"="&amp;$DF8+'Model Setup'!$J$7,$AD8:$BA8)+'Model Setup'!$J$8*(SUMIF($BH$3:$CE$3,"&lt;"&amp;$DF8,$AD8:$BA8)+SUMIF($BH$3:$CE$3,"&gt;"&amp;$CW$4,$AD8:$BA8)),
IF(BR$3=$DF8+'Model Setup'!$K$7,SUMIF($BH$3:$CE$3,"="&amp;$DF8+'Model Setup'!$K$7,$AD8:$BA8)+'Model Setup'!$K$8*(SUMIF($BH$3:$CE$3,"&lt;"&amp;$DF8,$AD8:$BA8)+SUMIF($BH$3:$CE$3,"&gt;"&amp;$CW$4,$AD8:$BA8)),
IF(BR$3=$DF8+'Model Setup'!$L$7,SUMIF($BH$3:$CE$3,"="&amp;$DF8+'Model Setup'!$L$7,$AD8:$BA8)+'Model Setup'!$L$8*(SUMIF($BH$3:$CE$3,"&lt;"&amp;$DF8,$AD8:$BA8)+SUMIF($BH$3:$CE$3,"&gt;"&amp;$CW$4,$AD8:$BA8)),
IF(BR$3=$DF8+'Model Setup'!$M$7,SUMIF($BH$3:$CE$3,"="&amp;$DF8+'Model Setup'!$M$7,$AD8:$BA8)+'Model Setup'!$M$8*(SUMIF($BH$3:$CE$3,"&lt;"&amp;$DF8,$AD8:$BA8)+SUMIF($BH$3:$CE$3,"&gt;"&amp;$CW$4,$AD8:$BA8)),
IF(BR$3=$DF8+'Model Setup'!$N$7,SUMIF($BH$3:$CE$3,"="&amp;$DF8+'Model Setup'!$N$7,$AD8:$BA8)+'Model Setup'!$N$8*(SUMIF($BH$3:$CE$3,"&lt;"&amp;$DF8,$AD8:$BA8)+SUMIF($BH$3:$CE$3,"&gt;"&amp;$CW$4,$AD8:$BA8)),
IF(BR$3&lt;$CW$4,L8,0))))))))))))))),0)</f>
        <v>101</v>
      </c>
      <c r="BS8" s="47">
        <f>ROUND(IF(OR(BS$3&lt;$DF8,BS$3&gt;$CW$4),0,
IF(BS$3=$DF8+'Model Setup'!$B$7,SUMIF($BH$3:$CE$3,"="&amp;$DF8+'Model Setup'!$B$7,$AD8:$BA8)+'Model Setup'!$B$8*(SUMIF($BH$3:$CE$3,"&lt;"&amp;$DF8,$AD8:$BA8)+SUMIF($BH$3:$CE$3,"&gt;"&amp;$CW$4,$AD8:$BA8)),
IF(BS$3=$DF8+'Model Setup'!$C$7,SUMIF($BH$3:$CE$3,"="&amp;$DF8+'Model Setup'!$C$7,$AD8:$BA8)+'Model Setup'!$C$8*(SUMIF($BH$3:$CE$3,"&lt;"&amp;$DF8,$AD8:$BA8)+SUMIF($BH$3:$CE$3,"&gt;"&amp;$CW$4,$AD8:$BA8)),
IF(BS$3=$DF8+'Model Setup'!$D$7,SUMIF($BH$3:$CE$3,"="&amp;$DF8+'Model Setup'!$D$7,$AD8:$BA8)+'Model Setup'!$D$8*(SUMIF($BH$3:$CE$3,"&lt;"&amp;$DF8,$AD8:$BA8)+SUMIF($BH$3:$CE$3,"&gt;"&amp;$CW$4,$AD8:$BA8)),
IF(BS$3=$DF8+'Model Setup'!$E$7,SUMIF($BH$3:$CE$3,"="&amp;$DF8+'Model Setup'!$E$7,$AD8:$BA8)+'Model Setup'!$E$8*(SUMIF($BH$3:$CE$3,"&lt;"&amp;$DF8,$AD8:$BA8)+SUMIF($BH$3:$CE$3,"&gt;"&amp;$CW$4,$AD8:$BA8)),
IF(BS$3=$DF8+'Model Setup'!$F$7,SUMIF($BH$3:$CE$3,"="&amp;$DF8+'Model Setup'!$F$7,$AD8:$BA8)+'Model Setup'!$F$8*(SUMIF($BH$3:$CE$3,"&lt;"&amp;$DF8,$AD8:$BA8)+SUMIF($BH$3:$CE$3,"&gt;"&amp;$CW$4,$AD8:$BA8)),
IF(BS$3=$DF8+'Model Setup'!$G$7,SUMIF($BH$3:$CE$3,"="&amp;$DF8+'Model Setup'!$G$7,$AD8:$BA8)+'Model Setup'!$G$8*(SUMIF($BH$3:$CE$3,"&lt;"&amp;$DF8,$AD8:$BA8)+SUMIF($BH$3:$CE$3,"&gt;"&amp;$CW$4,$AD8:$BA8)),
IF(BS$3=$DF8+'Model Setup'!$H$7,SUMIF($BH$3:$CE$3,"="&amp;$DF8+'Model Setup'!$H$7,$AD8:$BA8)+'Model Setup'!$H$8*(SUMIF($BH$3:$CE$3,"&lt;"&amp;$DF8,$AD8:$BA8)+SUMIF($BH$3:$CE$3,"&gt;"&amp;$CW$4,$AD8:$BA8)),
IF(BS$3=$DF8+'Model Setup'!$I$7,SUMIF($BH$3:$CE$3,"="&amp;$DF8+'Model Setup'!$I$7,$AD8:$BA8)+'Model Setup'!$I$8*(SUMIF($BH$3:$CE$3,"&lt;"&amp;$DF8,$AD8:$BA8)+SUMIF($BH$3:$CE$3,"&gt;"&amp;$CW$4,$AD8:$BA8)),
IF(BS$3=$DF8+'Model Setup'!$J$7,SUMIF($BH$3:$CE$3,"="&amp;$DF8+'Model Setup'!$J$7,$AD8:$BA8)+'Model Setup'!$J$8*(SUMIF($BH$3:$CE$3,"&lt;"&amp;$DF8,$AD8:$BA8)+SUMIF($BH$3:$CE$3,"&gt;"&amp;$CW$4,$AD8:$BA8)),
IF(BS$3=$DF8+'Model Setup'!$K$7,SUMIF($BH$3:$CE$3,"="&amp;$DF8+'Model Setup'!$K$7,$AD8:$BA8)+'Model Setup'!$K$8*(SUMIF($BH$3:$CE$3,"&lt;"&amp;$DF8,$AD8:$BA8)+SUMIF($BH$3:$CE$3,"&gt;"&amp;$CW$4,$AD8:$BA8)),
IF(BS$3=$DF8+'Model Setup'!$L$7,SUMIF($BH$3:$CE$3,"="&amp;$DF8+'Model Setup'!$L$7,$AD8:$BA8)+'Model Setup'!$L$8*(SUMIF($BH$3:$CE$3,"&lt;"&amp;$DF8,$AD8:$BA8)+SUMIF($BH$3:$CE$3,"&gt;"&amp;$CW$4,$AD8:$BA8)),
IF(BS$3=$DF8+'Model Setup'!$M$7,SUMIF($BH$3:$CE$3,"="&amp;$DF8+'Model Setup'!$M$7,$AD8:$BA8)+'Model Setup'!$M$8*(SUMIF($BH$3:$CE$3,"&lt;"&amp;$DF8,$AD8:$BA8)+SUMIF($BH$3:$CE$3,"&gt;"&amp;$CW$4,$AD8:$BA8)),
IF(BS$3=$DF8+'Model Setup'!$N$7,SUMIF($BH$3:$CE$3,"="&amp;$DF8+'Model Setup'!$N$7,$AD8:$BA8)+'Model Setup'!$N$8*(SUMIF($BH$3:$CE$3,"&lt;"&amp;$DF8,$AD8:$BA8)+SUMIF($BH$3:$CE$3,"&gt;"&amp;$CW$4,$AD8:$BA8)),
IF(BS$3&lt;$CW$4,M8,0))))))))))))))),0)</f>
        <v>85</v>
      </c>
      <c r="BT8" s="47">
        <f>ROUND(IF(OR(BT$3&lt;$DF8,BT$3&gt;$CW$4),0,
IF(BT$3=$DF8+'Model Setup'!$B$7,SUMIF($BH$3:$CE$3,"="&amp;$DF8+'Model Setup'!$B$7,$AD8:$BA8)+'Model Setup'!$B$8*(SUMIF($BH$3:$CE$3,"&lt;"&amp;$DF8,$AD8:$BA8)+SUMIF($BH$3:$CE$3,"&gt;"&amp;$CW$4,$AD8:$BA8)),
IF(BT$3=$DF8+'Model Setup'!$C$7,SUMIF($BH$3:$CE$3,"="&amp;$DF8+'Model Setup'!$C$7,$AD8:$BA8)+'Model Setup'!$C$8*(SUMIF($BH$3:$CE$3,"&lt;"&amp;$DF8,$AD8:$BA8)+SUMIF($BH$3:$CE$3,"&gt;"&amp;$CW$4,$AD8:$BA8)),
IF(BT$3=$DF8+'Model Setup'!$D$7,SUMIF($BH$3:$CE$3,"="&amp;$DF8+'Model Setup'!$D$7,$AD8:$BA8)+'Model Setup'!$D$8*(SUMIF($BH$3:$CE$3,"&lt;"&amp;$DF8,$AD8:$BA8)+SUMIF($BH$3:$CE$3,"&gt;"&amp;$CW$4,$AD8:$BA8)),
IF(BT$3=$DF8+'Model Setup'!$E$7,SUMIF($BH$3:$CE$3,"="&amp;$DF8+'Model Setup'!$E$7,$AD8:$BA8)+'Model Setup'!$E$8*(SUMIF($BH$3:$CE$3,"&lt;"&amp;$DF8,$AD8:$BA8)+SUMIF($BH$3:$CE$3,"&gt;"&amp;$CW$4,$AD8:$BA8)),
IF(BT$3=$DF8+'Model Setup'!$F$7,SUMIF($BH$3:$CE$3,"="&amp;$DF8+'Model Setup'!$F$7,$AD8:$BA8)+'Model Setup'!$F$8*(SUMIF($BH$3:$CE$3,"&lt;"&amp;$DF8,$AD8:$BA8)+SUMIF($BH$3:$CE$3,"&gt;"&amp;$CW$4,$AD8:$BA8)),
IF(BT$3=$DF8+'Model Setup'!$G$7,SUMIF($BH$3:$CE$3,"="&amp;$DF8+'Model Setup'!$G$7,$AD8:$BA8)+'Model Setup'!$G$8*(SUMIF($BH$3:$CE$3,"&lt;"&amp;$DF8,$AD8:$BA8)+SUMIF($BH$3:$CE$3,"&gt;"&amp;$CW$4,$AD8:$BA8)),
IF(BT$3=$DF8+'Model Setup'!$H$7,SUMIF($BH$3:$CE$3,"="&amp;$DF8+'Model Setup'!$H$7,$AD8:$BA8)+'Model Setup'!$H$8*(SUMIF($BH$3:$CE$3,"&lt;"&amp;$DF8,$AD8:$BA8)+SUMIF($BH$3:$CE$3,"&gt;"&amp;$CW$4,$AD8:$BA8)),
IF(BT$3=$DF8+'Model Setup'!$I$7,SUMIF($BH$3:$CE$3,"="&amp;$DF8+'Model Setup'!$I$7,$AD8:$BA8)+'Model Setup'!$I$8*(SUMIF($BH$3:$CE$3,"&lt;"&amp;$DF8,$AD8:$BA8)+SUMIF($BH$3:$CE$3,"&gt;"&amp;$CW$4,$AD8:$BA8)),
IF(BT$3=$DF8+'Model Setup'!$J$7,SUMIF($BH$3:$CE$3,"="&amp;$DF8+'Model Setup'!$J$7,$AD8:$BA8)+'Model Setup'!$J$8*(SUMIF($BH$3:$CE$3,"&lt;"&amp;$DF8,$AD8:$BA8)+SUMIF($BH$3:$CE$3,"&gt;"&amp;$CW$4,$AD8:$BA8)),
IF(BT$3=$DF8+'Model Setup'!$K$7,SUMIF($BH$3:$CE$3,"="&amp;$DF8+'Model Setup'!$K$7,$AD8:$BA8)+'Model Setup'!$K$8*(SUMIF($BH$3:$CE$3,"&lt;"&amp;$DF8,$AD8:$BA8)+SUMIF($BH$3:$CE$3,"&gt;"&amp;$CW$4,$AD8:$BA8)),
IF(BT$3=$DF8+'Model Setup'!$L$7,SUMIF($BH$3:$CE$3,"="&amp;$DF8+'Model Setup'!$L$7,$AD8:$BA8)+'Model Setup'!$L$8*(SUMIF($BH$3:$CE$3,"&lt;"&amp;$DF8,$AD8:$BA8)+SUMIF($BH$3:$CE$3,"&gt;"&amp;$CW$4,$AD8:$BA8)),
IF(BT$3=$DF8+'Model Setup'!$M$7,SUMIF($BH$3:$CE$3,"="&amp;$DF8+'Model Setup'!$M$7,$AD8:$BA8)+'Model Setup'!$M$8*(SUMIF($BH$3:$CE$3,"&lt;"&amp;$DF8,$AD8:$BA8)+SUMIF($BH$3:$CE$3,"&gt;"&amp;$CW$4,$AD8:$BA8)),
IF(BT$3=$DF8+'Model Setup'!$N$7,SUMIF($BH$3:$CE$3,"="&amp;$DF8+'Model Setup'!$N$7,$AD8:$BA8)+'Model Setup'!$N$8*(SUMIF($BH$3:$CE$3,"&lt;"&amp;$DF8,$AD8:$BA8)+SUMIF($BH$3:$CE$3,"&gt;"&amp;$CW$4,$AD8:$BA8)),
IF(BT$3&lt;$CW$4,N8,0))))))))))))))),0)</f>
        <v>76</v>
      </c>
      <c r="BU8" s="47">
        <f>ROUND(IF(OR(BU$3&lt;$DF8,BU$3&gt;$CW$4),0,
IF(BU$3=$DF8+'Model Setup'!$B$7,SUMIF($BH$3:$CE$3,"="&amp;$DF8+'Model Setup'!$B$7,$AD8:$BA8)+'Model Setup'!$B$8*(SUMIF($BH$3:$CE$3,"&lt;"&amp;$DF8,$AD8:$BA8)+SUMIF($BH$3:$CE$3,"&gt;"&amp;$CW$4,$AD8:$BA8)),
IF(BU$3=$DF8+'Model Setup'!$C$7,SUMIF($BH$3:$CE$3,"="&amp;$DF8+'Model Setup'!$C$7,$AD8:$BA8)+'Model Setup'!$C$8*(SUMIF($BH$3:$CE$3,"&lt;"&amp;$DF8,$AD8:$BA8)+SUMIF($BH$3:$CE$3,"&gt;"&amp;$CW$4,$AD8:$BA8)),
IF(BU$3=$DF8+'Model Setup'!$D$7,SUMIF($BH$3:$CE$3,"="&amp;$DF8+'Model Setup'!$D$7,$AD8:$BA8)+'Model Setup'!$D$8*(SUMIF($BH$3:$CE$3,"&lt;"&amp;$DF8,$AD8:$BA8)+SUMIF($BH$3:$CE$3,"&gt;"&amp;$CW$4,$AD8:$BA8)),
IF(BU$3=$DF8+'Model Setup'!$E$7,SUMIF($BH$3:$CE$3,"="&amp;$DF8+'Model Setup'!$E$7,$AD8:$BA8)+'Model Setup'!$E$8*(SUMIF($BH$3:$CE$3,"&lt;"&amp;$DF8,$AD8:$BA8)+SUMIF($BH$3:$CE$3,"&gt;"&amp;$CW$4,$AD8:$BA8)),
IF(BU$3=$DF8+'Model Setup'!$F$7,SUMIF($BH$3:$CE$3,"="&amp;$DF8+'Model Setup'!$F$7,$AD8:$BA8)+'Model Setup'!$F$8*(SUMIF($BH$3:$CE$3,"&lt;"&amp;$DF8,$AD8:$BA8)+SUMIF($BH$3:$CE$3,"&gt;"&amp;$CW$4,$AD8:$BA8)),
IF(BU$3=$DF8+'Model Setup'!$G$7,SUMIF($BH$3:$CE$3,"="&amp;$DF8+'Model Setup'!$G$7,$AD8:$BA8)+'Model Setup'!$G$8*(SUMIF($BH$3:$CE$3,"&lt;"&amp;$DF8,$AD8:$BA8)+SUMIF($BH$3:$CE$3,"&gt;"&amp;$CW$4,$AD8:$BA8)),
IF(BU$3=$DF8+'Model Setup'!$H$7,SUMIF($BH$3:$CE$3,"="&amp;$DF8+'Model Setup'!$H$7,$AD8:$BA8)+'Model Setup'!$H$8*(SUMIF($BH$3:$CE$3,"&lt;"&amp;$DF8,$AD8:$BA8)+SUMIF($BH$3:$CE$3,"&gt;"&amp;$CW$4,$AD8:$BA8)),
IF(BU$3=$DF8+'Model Setup'!$I$7,SUMIF($BH$3:$CE$3,"="&amp;$DF8+'Model Setup'!$I$7,$AD8:$BA8)+'Model Setup'!$I$8*(SUMIF($BH$3:$CE$3,"&lt;"&amp;$DF8,$AD8:$BA8)+SUMIF($BH$3:$CE$3,"&gt;"&amp;$CW$4,$AD8:$BA8)),
IF(BU$3=$DF8+'Model Setup'!$J$7,SUMIF($BH$3:$CE$3,"="&amp;$DF8+'Model Setup'!$J$7,$AD8:$BA8)+'Model Setup'!$J$8*(SUMIF($BH$3:$CE$3,"&lt;"&amp;$DF8,$AD8:$BA8)+SUMIF($BH$3:$CE$3,"&gt;"&amp;$CW$4,$AD8:$BA8)),
IF(BU$3=$DF8+'Model Setup'!$K$7,SUMIF($BH$3:$CE$3,"="&amp;$DF8+'Model Setup'!$K$7,$AD8:$BA8)+'Model Setup'!$K$8*(SUMIF($BH$3:$CE$3,"&lt;"&amp;$DF8,$AD8:$BA8)+SUMIF($BH$3:$CE$3,"&gt;"&amp;$CW$4,$AD8:$BA8)),
IF(BU$3=$DF8+'Model Setup'!$L$7,SUMIF($BH$3:$CE$3,"="&amp;$DF8+'Model Setup'!$L$7,$AD8:$BA8)+'Model Setup'!$L$8*(SUMIF($BH$3:$CE$3,"&lt;"&amp;$DF8,$AD8:$BA8)+SUMIF($BH$3:$CE$3,"&gt;"&amp;$CW$4,$AD8:$BA8)),
IF(BU$3=$DF8+'Model Setup'!$M$7,SUMIF($BH$3:$CE$3,"="&amp;$DF8+'Model Setup'!$M$7,$AD8:$BA8)+'Model Setup'!$M$8*(SUMIF($BH$3:$CE$3,"&lt;"&amp;$DF8,$AD8:$BA8)+SUMIF($BH$3:$CE$3,"&gt;"&amp;$CW$4,$AD8:$BA8)),
IF(BU$3=$DF8+'Model Setup'!$N$7,SUMIF($BH$3:$CE$3,"="&amp;$DF8+'Model Setup'!$N$7,$AD8:$BA8)+'Model Setup'!$N$8*(SUMIF($BH$3:$CE$3,"&lt;"&amp;$DF8,$AD8:$BA8)+SUMIF($BH$3:$CE$3,"&gt;"&amp;$CW$4,$AD8:$BA8)),
IF(BU$3&lt;$CW$4,O8,0))))))))))))))),0)</f>
        <v>74</v>
      </c>
      <c r="BV8" s="47">
        <f>ROUND(IF(OR(BV$3&lt;$DF8,BV$3&gt;$CW$4),0,
IF(BV$3=$DF8+'Model Setup'!$B$7,SUMIF($BH$3:$CE$3,"="&amp;$DF8+'Model Setup'!$B$7,$AD8:$BA8)+'Model Setup'!$B$8*(SUMIF($BH$3:$CE$3,"&lt;"&amp;$DF8,$AD8:$BA8)+SUMIF($BH$3:$CE$3,"&gt;"&amp;$CW$4,$AD8:$BA8)),
IF(BV$3=$DF8+'Model Setup'!$C$7,SUMIF($BH$3:$CE$3,"="&amp;$DF8+'Model Setup'!$C$7,$AD8:$BA8)+'Model Setup'!$C$8*(SUMIF($BH$3:$CE$3,"&lt;"&amp;$DF8,$AD8:$BA8)+SUMIF($BH$3:$CE$3,"&gt;"&amp;$CW$4,$AD8:$BA8)),
IF(BV$3=$DF8+'Model Setup'!$D$7,SUMIF($BH$3:$CE$3,"="&amp;$DF8+'Model Setup'!$D$7,$AD8:$BA8)+'Model Setup'!$D$8*(SUMIF($BH$3:$CE$3,"&lt;"&amp;$DF8,$AD8:$BA8)+SUMIF($BH$3:$CE$3,"&gt;"&amp;$CW$4,$AD8:$BA8)),
IF(BV$3=$DF8+'Model Setup'!$E$7,SUMIF($BH$3:$CE$3,"="&amp;$DF8+'Model Setup'!$E$7,$AD8:$BA8)+'Model Setup'!$E$8*(SUMIF($BH$3:$CE$3,"&lt;"&amp;$DF8,$AD8:$BA8)+SUMIF($BH$3:$CE$3,"&gt;"&amp;$CW$4,$AD8:$BA8)),
IF(BV$3=$DF8+'Model Setup'!$F$7,SUMIF($BH$3:$CE$3,"="&amp;$DF8+'Model Setup'!$F$7,$AD8:$BA8)+'Model Setup'!$F$8*(SUMIF($BH$3:$CE$3,"&lt;"&amp;$DF8,$AD8:$BA8)+SUMIF($BH$3:$CE$3,"&gt;"&amp;$CW$4,$AD8:$BA8)),
IF(BV$3=$DF8+'Model Setup'!$G$7,SUMIF($BH$3:$CE$3,"="&amp;$DF8+'Model Setup'!$G$7,$AD8:$BA8)+'Model Setup'!$G$8*(SUMIF($BH$3:$CE$3,"&lt;"&amp;$DF8,$AD8:$BA8)+SUMIF($BH$3:$CE$3,"&gt;"&amp;$CW$4,$AD8:$BA8)),
IF(BV$3=$DF8+'Model Setup'!$H$7,SUMIF($BH$3:$CE$3,"="&amp;$DF8+'Model Setup'!$H$7,$AD8:$BA8)+'Model Setup'!$H$8*(SUMIF($BH$3:$CE$3,"&lt;"&amp;$DF8,$AD8:$BA8)+SUMIF($BH$3:$CE$3,"&gt;"&amp;$CW$4,$AD8:$BA8)),
IF(BV$3=$DF8+'Model Setup'!$I$7,SUMIF($BH$3:$CE$3,"="&amp;$DF8+'Model Setup'!$I$7,$AD8:$BA8)+'Model Setup'!$I$8*(SUMIF($BH$3:$CE$3,"&lt;"&amp;$DF8,$AD8:$BA8)+SUMIF($BH$3:$CE$3,"&gt;"&amp;$CW$4,$AD8:$BA8)),
IF(BV$3=$DF8+'Model Setup'!$J$7,SUMIF($BH$3:$CE$3,"="&amp;$DF8+'Model Setup'!$J$7,$AD8:$BA8)+'Model Setup'!$J$8*(SUMIF($BH$3:$CE$3,"&lt;"&amp;$DF8,$AD8:$BA8)+SUMIF($BH$3:$CE$3,"&gt;"&amp;$CW$4,$AD8:$BA8)),
IF(BV$3=$DF8+'Model Setup'!$K$7,SUMIF($BH$3:$CE$3,"="&amp;$DF8+'Model Setup'!$K$7,$AD8:$BA8)+'Model Setup'!$K$8*(SUMIF($BH$3:$CE$3,"&lt;"&amp;$DF8,$AD8:$BA8)+SUMIF($BH$3:$CE$3,"&gt;"&amp;$CW$4,$AD8:$BA8)),
IF(BV$3=$DF8+'Model Setup'!$L$7,SUMIF($BH$3:$CE$3,"="&amp;$DF8+'Model Setup'!$L$7,$AD8:$BA8)+'Model Setup'!$L$8*(SUMIF($BH$3:$CE$3,"&lt;"&amp;$DF8,$AD8:$BA8)+SUMIF($BH$3:$CE$3,"&gt;"&amp;$CW$4,$AD8:$BA8)),
IF(BV$3=$DF8+'Model Setup'!$M$7,SUMIF($BH$3:$CE$3,"="&amp;$DF8+'Model Setup'!$M$7,$AD8:$BA8)+'Model Setup'!$M$8*(SUMIF($BH$3:$CE$3,"&lt;"&amp;$DF8,$AD8:$BA8)+SUMIF($BH$3:$CE$3,"&gt;"&amp;$CW$4,$AD8:$BA8)),
IF(BV$3=$DF8+'Model Setup'!$N$7,SUMIF($BH$3:$CE$3,"="&amp;$DF8+'Model Setup'!$N$7,$AD8:$BA8)+'Model Setup'!$N$8*(SUMIF($BH$3:$CE$3,"&lt;"&amp;$DF8,$AD8:$BA8)+SUMIF($BH$3:$CE$3,"&gt;"&amp;$CW$4,$AD8:$BA8)),
IF(BV$3&lt;$CW$4,P8,0))))))))))))))),0)</f>
        <v>66</v>
      </c>
      <c r="BW8" s="47">
        <f>ROUND(IF(OR(BW$3&lt;$DF8,BW$3&gt;$CW$4),0,
IF(BW$3=$DF8+'Model Setup'!$B$7,SUMIF($BH$3:$CE$3,"="&amp;$DF8+'Model Setup'!$B$7,$AD8:$BA8)+'Model Setup'!$B$8*(SUMIF($BH$3:$CE$3,"&lt;"&amp;$DF8,$AD8:$BA8)+SUMIF($BH$3:$CE$3,"&gt;"&amp;$CW$4,$AD8:$BA8)),
IF(BW$3=$DF8+'Model Setup'!$C$7,SUMIF($BH$3:$CE$3,"="&amp;$DF8+'Model Setup'!$C$7,$AD8:$BA8)+'Model Setup'!$C$8*(SUMIF($BH$3:$CE$3,"&lt;"&amp;$DF8,$AD8:$BA8)+SUMIF($BH$3:$CE$3,"&gt;"&amp;$CW$4,$AD8:$BA8)),
IF(BW$3=$DF8+'Model Setup'!$D$7,SUMIF($BH$3:$CE$3,"="&amp;$DF8+'Model Setup'!$D$7,$AD8:$BA8)+'Model Setup'!$D$8*(SUMIF($BH$3:$CE$3,"&lt;"&amp;$DF8,$AD8:$BA8)+SUMIF($BH$3:$CE$3,"&gt;"&amp;$CW$4,$AD8:$BA8)),
IF(BW$3=$DF8+'Model Setup'!$E$7,SUMIF($BH$3:$CE$3,"="&amp;$DF8+'Model Setup'!$E$7,$AD8:$BA8)+'Model Setup'!$E$8*(SUMIF($BH$3:$CE$3,"&lt;"&amp;$DF8,$AD8:$BA8)+SUMIF($BH$3:$CE$3,"&gt;"&amp;$CW$4,$AD8:$BA8)),
IF(BW$3=$DF8+'Model Setup'!$F$7,SUMIF($BH$3:$CE$3,"="&amp;$DF8+'Model Setup'!$F$7,$AD8:$BA8)+'Model Setup'!$F$8*(SUMIF($BH$3:$CE$3,"&lt;"&amp;$DF8,$AD8:$BA8)+SUMIF($BH$3:$CE$3,"&gt;"&amp;$CW$4,$AD8:$BA8)),
IF(BW$3=$DF8+'Model Setup'!$G$7,SUMIF($BH$3:$CE$3,"="&amp;$DF8+'Model Setup'!$G$7,$AD8:$BA8)+'Model Setup'!$G$8*(SUMIF($BH$3:$CE$3,"&lt;"&amp;$DF8,$AD8:$BA8)+SUMIF($BH$3:$CE$3,"&gt;"&amp;$CW$4,$AD8:$BA8)),
IF(BW$3=$DF8+'Model Setup'!$H$7,SUMIF($BH$3:$CE$3,"="&amp;$DF8+'Model Setup'!$H$7,$AD8:$BA8)+'Model Setup'!$H$8*(SUMIF($BH$3:$CE$3,"&lt;"&amp;$DF8,$AD8:$BA8)+SUMIF($BH$3:$CE$3,"&gt;"&amp;$CW$4,$AD8:$BA8)),
IF(BW$3=$DF8+'Model Setup'!$I$7,SUMIF($BH$3:$CE$3,"="&amp;$DF8+'Model Setup'!$I$7,$AD8:$BA8)+'Model Setup'!$I$8*(SUMIF($BH$3:$CE$3,"&lt;"&amp;$DF8,$AD8:$BA8)+SUMIF($BH$3:$CE$3,"&gt;"&amp;$CW$4,$AD8:$BA8)),
IF(BW$3=$DF8+'Model Setup'!$J$7,SUMIF($BH$3:$CE$3,"="&amp;$DF8+'Model Setup'!$J$7,$AD8:$BA8)+'Model Setup'!$J$8*(SUMIF($BH$3:$CE$3,"&lt;"&amp;$DF8,$AD8:$BA8)+SUMIF($BH$3:$CE$3,"&gt;"&amp;$CW$4,$AD8:$BA8)),
IF(BW$3=$DF8+'Model Setup'!$K$7,SUMIF($BH$3:$CE$3,"="&amp;$DF8+'Model Setup'!$K$7,$AD8:$BA8)+'Model Setup'!$K$8*(SUMIF($BH$3:$CE$3,"&lt;"&amp;$DF8,$AD8:$BA8)+SUMIF($BH$3:$CE$3,"&gt;"&amp;$CW$4,$AD8:$BA8)),
IF(BW$3=$DF8+'Model Setup'!$L$7,SUMIF($BH$3:$CE$3,"="&amp;$DF8+'Model Setup'!$L$7,$AD8:$BA8)+'Model Setup'!$L$8*(SUMIF($BH$3:$CE$3,"&lt;"&amp;$DF8,$AD8:$BA8)+SUMIF($BH$3:$CE$3,"&gt;"&amp;$CW$4,$AD8:$BA8)),
IF(BW$3=$DF8+'Model Setup'!$M$7,SUMIF($BH$3:$CE$3,"="&amp;$DF8+'Model Setup'!$M$7,$AD8:$BA8)+'Model Setup'!$M$8*(SUMIF($BH$3:$CE$3,"&lt;"&amp;$DF8,$AD8:$BA8)+SUMIF($BH$3:$CE$3,"&gt;"&amp;$CW$4,$AD8:$BA8)),
IF(BW$3=$DF8+'Model Setup'!$N$7,SUMIF($BH$3:$CE$3,"="&amp;$DF8+'Model Setup'!$N$7,$AD8:$BA8)+'Model Setup'!$N$8*(SUMIF($BH$3:$CE$3,"&lt;"&amp;$DF8,$AD8:$BA8)+SUMIF($BH$3:$CE$3,"&gt;"&amp;$CW$4,$AD8:$BA8)),
IF(BW$3&lt;$CW$4,Q8,0))))))))))))))),0)</f>
        <v>46</v>
      </c>
      <c r="BX8" s="47">
        <f>ROUND(IF(OR(BX$3&lt;$DF8,BX$3&gt;$CW$4),0,
IF(BX$3=$DF8+'Model Setup'!$B$7,SUMIF($BH$3:$CE$3,"="&amp;$DF8+'Model Setup'!$B$7,$AD8:$BA8)+'Model Setup'!$B$8*(SUMIF($BH$3:$CE$3,"&lt;"&amp;$DF8,$AD8:$BA8)+SUMIF($BH$3:$CE$3,"&gt;"&amp;$CW$4,$AD8:$BA8)),
IF(BX$3=$DF8+'Model Setup'!$C$7,SUMIF($BH$3:$CE$3,"="&amp;$DF8+'Model Setup'!$C$7,$AD8:$BA8)+'Model Setup'!$C$8*(SUMIF($BH$3:$CE$3,"&lt;"&amp;$DF8,$AD8:$BA8)+SUMIF($BH$3:$CE$3,"&gt;"&amp;$CW$4,$AD8:$BA8)),
IF(BX$3=$DF8+'Model Setup'!$D$7,SUMIF($BH$3:$CE$3,"="&amp;$DF8+'Model Setup'!$D$7,$AD8:$BA8)+'Model Setup'!$D$8*(SUMIF($BH$3:$CE$3,"&lt;"&amp;$DF8,$AD8:$BA8)+SUMIF($BH$3:$CE$3,"&gt;"&amp;$CW$4,$AD8:$BA8)),
IF(BX$3=$DF8+'Model Setup'!$E$7,SUMIF($BH$3:$CE$3,"="&amp;$DF8+'Model Setup'!$E$7,$AD8:$BA8)+'Model Setup'!$E$8*(SUMIF($BH$3:$CE$3,"&lt;"&amp;$DF8,$AD8:$BA8)+SUMIF($BH$3:$CE$3,"&gt;"&amp;$CW$4,$AD8:$BA8)),
IF(BX$3=$DF8+'Model Setup'!$F$7,SUMIF($BH$3:$CE$3,"="&amp;$DF8+'Model Setup'!$F$7,$AD8:$BA8)+'Model Setup'!$F$8*(SUMIF($BH$3:$CE$3,"&lt;"&amp;$DF8,$AD8:$BA8)+SUMIF($BH$3:$CE$3,"&gt;"&amp;$CW$4,$AD8:$BA8)),
IF(BX$3=$DF8+'Model Setup'!$G$7,SUMIF($BH$3:$CE$3,"="&amp;$DF8+'Model Setup'!$G$7,$AD8:$BA8)+'Model Setup'!$G$8*(SUMIF($BH$3:$CE$3,"&lt;"&amp;$DF8,$AD8:$BA8)+SUMIF($BH$3:$CE$3,"&gt;"&amp;$CW$4,$AD8:$BA8)),
IF(BX$3=$DF8+'Model Setup'!$H$7,SUMIF($BH$3:$CE$3,"="&amp;$DF8+'Model Setup'!$H$7,$AD8:$BA8)+'Model Setup'!$H$8*(SUMIF($BH$3:$CE$3,"&lt;"&amp;$DF8,$AD8:$BA8)+SUMIF($BH$3:$CE$3,"&gt;"&amp;$CW$4,$AD8:$BA8)),
IF(BX$3=$DF8+'Model Setup'!$I$7,SUMIF($BH$3:$CE$3,"="&amp;$DF8+'Model Setup'!$I$7,$AD8:$BA8)+'Model Setup'!$I$8*(SUMIF($BH$3:$CE$3,"&lt;"&amp;$DF8,$AD8:$BA8)+SUMIF($BH$3:$CE$3,"&gt;"&amp;$CW$4,$AD8:$BA8)),
IF(BX$3=$DF8+'Model Setup'!$J$7,SUMIF($BH$3:$CE$3,"="&amp;$DF8+'Model Setup'!$J$7,$AD8:$BA8)+'Model Setup'!$J$8*(SUMIF($BH$3:$CE$3,"&lt;"&amp;$DF8,$AD8:$BA8)+SUMIF($BH$3:$CE$3,"&gt;"&amp;$CW$4,$AD8:$BA8)),
IF(BX$3=$DF8+'Model Setup'!$K$7,SUMIF($BH$3:$CE$3,"="&amp;$DF8+'Model Setup'!$K$7,$AD8:$BA8)+'Model Setup'!$K$8*(SUMIF($BH$3:$CE$3,"&lt;"&amp;$DF8,$AD8:$BA8)+SUMIF($BH$3:$CE$3,"&gt;"&amp;$CW$4,$AD8:$BA8)),
IF(BX$3=$DF8+'Model Setup'!$L$7,SUMIF($BH$3:$CE$3,"="&amp;$DF8+'Model Setup'!$L$7,$AD8:$BA8)+'Model Setup'!$L$8*(SUMIF($BH$3:$CE$3,"&lt;"&amp;$DF8,$AD8:$BA8)+SUMIF($BH$3:$CE$3,"&gt;"&amp;$CW$4,$AD8:$BA8)),
IF(BX$3=$DF8+'Model Setup'!$M$7,SUMIF($BH$3:$CE$3,"="&amp;$DF8+'Model Setup'!$M$7,$AD8:$BA8)+'Model Setup'!$M$8*(SUMIF($BH$3:$CE$3,"&lt;"&amp;$DF8,$AD8:$BA8)+SUMIF($BH$3:$CE$3,"&gt;"&amp;$CW$4,$AD8:$BA8)),
IF(BX$3=$DF8+'Model Setup'!$N$7,SUMIF($BH$3:$CE$3,"="&amp;$DF8+'Model Setup'!$N$7,$AD8:$BA8)+'Model Setup'!$N$8*(SUMIF($BH$3:$CE$3,"&lt;"&amp;$DF8,$AD8:$BA8)+SUMIF($BH$3:$CE$3,"&gt;"&amp;$CW$4,$AD8:$BA8)),
IF(BX$3&lt;$CW$4,R8,0))))))))))))))),0)</f>
        <v>27</v>
      </c>
      <c r="BY8" s="47">
        <f>ROUND(IF(OR(BY$3&lt;$DF8,BY$3&gt;$CW$4),0,
IF(BY$3=$DF8+'Model Setup'!$B$7,SUMIF($BH$3:$CE$3,"="&amp;$DF8+'Model Setup'!$B$7,$AD8:$BA8)+'Model Setup'!$B$8*(SUMIF($BH$3:$CE$3,"&lt;"&amp;$DF8,$AD8:$BA8)+SUMIF($BH$3:$CE$3,"&gt;"&amp;$CW$4,$AD8:$BA8)),
IF(BY$3=$DF8+'Model Setup'!$C$7,SUMIF($BH$3:$CE$3,"="&amp;$DF8+'Model Setup'!$C$7,$AD8:$BA8)+'Model Setup'!$C$8*(SUMIF($BH$3:$CE$3,"&lt;"&amp;$DF8,$AD8:$BA8)+SUMIF($BH$3:$CE$3,"&gt;"&amp;$CW$4,$AD8:$BA8)),
IF(BY$3=$DF8+'Model Setup'!$D$7,SUMIF($BH$3:$CE$3,"="&amp;$DF8+'Model Setup'!$D$7,$AD8:$BA8)+'Model Setup'!$D$8*(SUMIF($BH$3:$CE$3,"&lt;"&amp;$DF8,$AD8:$BA8)+SUMIF($BH$3:$CE$3,"&gt;"&amp;$CW$4,$AD8:$BA8)),
IF(BY$3=$DF8+'Model Setup'!$E$7,SUMIF($BH$3:$CE$3,"="&amp;$DF8+'Model Setup'!$E$7,$AD8:$BA8)+'Model Setup'!$E$8*(SUMIF($BH$3:$CE$3,"&lt;"&amp;$DF8,$AD8:$BA8)+SUMIF($BH$3:$CE$3,"&gt;"&amp;$CW$4,$AD8:$BA8)),
IF(BY$3=$DF8+'Model Setup'!$F$7,SUMIF($BH$3:$CE$3,"="&amp;$DF8+'Model Setup'!$F$7,$AD8:$BA8)+'Model Setup'!$F$8*(SUMIF($BH$3:$CE$3,"&lt;"&amp;$DF8,$AD8:$BA8)+SUMIF($BH$3:$CE$3,"&gt;"&amp;$CW$4,$AD8:$BA8)),
IF(BY$3=$DF8+'Model Setup'!$G$7,SUMIF($BH$3:$CE$3,"="&amp;$DF8+'Model Setup'!$G$7,$AD8:$BA8)+'Model Setup'!$G$8*(SUMIF($BH$3:$CE$3,"&lt;"&amp;$DF8,$AD8:$BA8)+SUMIF($BH$3:$CE$3,"&gt;"&amp;$CW$4,$AD8:$BA8)),
IF(BY$3=$DF8+'Model Setup'!$H$7,SUMIF($BH$3:$CE$3,"="&amp;$DF8+'Model Setup'!$H$7,$AD8:$BA8)+'Model Setup'!$H$8*(SUMIF($BH$3:$CE$3,"&lt;"&amp;$DF8,$AD8:$BA8)+SUMIF($BH$3:$CE$3,"&gt;"&amp;$CW$4,$AD8:$BA8)),
IF(BY$3=$DF8+'Model Setup'!$I$7,SUMIF($BH$3:$CE$3,"="&amp;$DF8+'Model Setup'!$I$7,$AD8:$BA8)+'Model Setup'!$I$8*(SUMIF($BH$3:$CE$3,"&lt;"&amp;$DF8,$AD8:$BA8)+SUMIF($BH$3:$CE$3,"&gt;"&amp;$CW$4,$AD8:$BA8)),
IF(BY$3=$DF8+'Model Setup'!$J$7,SUMIF($BH$3:$CE$3,"="&amp;$DF8+'Model Setup'!$J$7,$AD8:$BA8)+'Model Setup'!$J$8*(SUMIF($BH$3:$CE$3,"&lt;"&amp;$DF8,$AD8:$BA8)+SUMIF($BH$3:$CE$3,"&gt;"&amp;$CW$4,$AD8:$BA8)),
IF(BY$3=$DF8+'Model Setup'!$K$7,SUMIF($BH$3:$CE$3,"="&amp;$DF8+'Model Setup'!$K$7,$AD8:$BA8)+'Model Setup'!$K$8*(SUMIF($BH$3:$CE$3,"&lt;"&amp;$DF8,$AD8:$BA8)+SUMIF($BH$3:$CE$3,"&gt;"&amp;$CW$4,$AD8:$BA8)),
IF(BY$3=$DF8+'Model Setup'!$L$7,SUMIF($BH$3:$CE$3,"="&amp;$DF8+'Model Setup'!$L$7,$AD8:$BA8)+'Model Setup'!$L$8*(SUMIF($BH$3:$CE$3,"&lt;"&amp;$DF8,$AD8:$BA8)+SUMIF($BH$3:$CE$3,"&gt;"&amp;$CW$4,$AD8:$BA8)),
IF(BY$3=$DF8+'Model Setup'!$M$7,SUMIF($BH$3:$CE$3,"="&amp;$DF8+'Model Setup'!$M$7,$AD8:$BA8)+'Model Setup'!$M$8*(SUMIF($BH$3:$CE$3,"&lt;"&amp;$DF8,$AD8:$BA8)+SUMIF($BH$3:$CE$3,"&gt;"&amp;$CW$4,$AD8:$BA8)),
IF(BY$3=$DF8+'Model Setup'!$N$7,SUMIF($BH$3:$CE$3,"="&amp;$DF8+'Model Setup'!$N$7,$AD8:$BA8)+'Model Setup'!$N$8*(SUMIF($BH$3:$CE$3,"&lt;"&amp;$DF8,$AD8:$BA8)+SUMIF($BH$3:$CE$3,"&gt;"&amp;$CW$4,$AD8:$BA8)),
IF(BY$3&lt;$CW$4,S8,0))))))))))))))),0)</f>
        <v>93</v>
      </c>
      <c r="BZ8" s="47">
        <f>ROUND(IF(OR(BZ$3&lt;$DF8,BZ$3&gt;$CW$4),0,
IF(BZ$3=$DF8+'Model Setup'!$B$7,SUMIF($BH$3:$CE$3,"="&amp;$DF8+'Model Setup'!$B$7,$AD8:$BA8)+'Model Setup'!$B$8*(SUMIF($BH$3:$CE$3,"&lt;"&amp;$DF8,$AD8:$BA8)+SUMIF($BH$3:$CE$3,"&gt;"&amp;$CW$4,$AD8:$BA8)),
IF(BZ$3=$DF8+'Model Setup'!$C$7,SUMIF($BH$3:$CE$3,"="&amp;$DF8+'Model Setup'!$C$7,$AD8:$BA8)+'Model Setup'!$C$8*(SUMIF($BH$3:$CE$3,"&lt;"&amp;$DF8,$AD8:$BA8)+SUMIF($BH$3:$CE$3,"&gt;"&amp;$CW$4,$AD8:$BA8)),
IF(BZ$3=$DF8+'Model Setup'!$D$7,SUMIF($BH$3:$CE$3,"="&amp;$DF8+'Model Setup'!$D$7,$AD8:$BA8)+'Model Setup'!$D$8*(SUMIF($BH$3:$CE$3,"&lt;"&amp;$DF8,$AD8:$BA8)+SUMIF($BH$3:$CE$3,"&gt;"&amp;$CW$4,$AD8:$BA8)),
IF(BZ$3=$DF8+'Model Setup'!$E$7,SUMIF($BH$3:$CE$3,"="&amp;$DF8+'Model Setup'!$E$7,$AD8:$BA8)+'Model Setup'!$E$8*(SUMIF($BH$3:$CE$3,"&lt;"&amp;$DF8,$AD8:$BA8)+SUMIF($BH$3:$CE$3,"&gt;"&amp;$CW$4,$AD8:$BA8)),
IF(BZ$3=$DF8+'Model Setup'!$F$7,SUMIF($BH$3:$CE$3,"="&amp;$DF8+'Model Setup'!$F$7,$AD8:$BA8)+'Model Setup'!$F$8*(SUMIF($BH$3:$CE$3,"&lt;"&amp;$DF8,$AD8:$BA8)+SUMIF($BH$3:$CE$3,"&gt;"&amp;$CW$4,$AD8:$BA8)),
IF(BZ$3=$DF8+'Model Setup'!$G$7,SUMIF($BH$3:$CE$3,"="&amp;$DF8+'Model Setup'!$G$7,$AD8:$BA8)+'Model Setup'!$G$8*(SUMIF($BH$3:$CE$3,"&lt;"&amp;$DF8,$AD8:$BA8)+SUMIF($BH$3:$CE$3,"&gt;"&amp;$CW$4,$AD8:$BA8)),
IF(BZ$3=$DF8+'Model Setup'!$H$7,SUMIF($BH$3:$CE$3,"="&amp;$DF8+'Model Setup'!$H$7,$AD8:$BA8)+'Model Setup'!$H$8*(SUMIF($BH$3:$CE$3,"&lt;"&amp;$DF8,$AD8:$BA8)+SUMIF($BH$3:$CE$3,"&gt;"&amp;$CW$4,$AD8:$BA8)),
IF(BZ$3=$DF8+'Model Setup'!$I$7,SUMIF($BH$3:$CE$3,"="&amp;$DF8+'Model Setup'!$I$7,$AD8:$BA8)+'Model Setup'!$I$8*(SUMIF($BH$3:$CE$3,"&lt;"&amp;$DF8,$AD8:$BA8)+SUMIF($BH$3:$CE$3,"&gt;"&amp;$CW$4,$AD8:$BA8)),
IF(BZ$3=$DF8+'Model Setup'!$J$7,SUMIF($BH$3:$CE$3,"="&amp;$DF8+'Model Setup'!$J$7,$AD8:$BA8)+'Model Setup'!$J$8*(SUMIF($BH$3:$CE$3,"&lt;"&amp;$DF8,$AD8:$BA8)+SUMIF($BH$3:$CE$3,"&gt;"&amp;$CW$4,$AD8:$BA8)),
IF(BZ$3=$DF8+'Model Setup'!$K$7,SUMIF($BH$3:$CE$3,"="&amp;$DF8+'Model Setup'!$K$7,$AD8:$BA8)+'Model Setup'!$K$8*(SUMIF($BH$3:$CE$3,"&lt;"&amp;$DF8,$AD8:$BA8)+SUMIF($BH$3:$CE$3,"&gt;"&amp;$CW$4,$AD8:$BA8)),
IF(BZ$3=$DF8+'Model Setup'!$L$7,SUMIF($BH$3:$CE$3,"="&amp;$DF8+'Model Setup'!$L$7,$AD8:$BA8)+'Model Setup'!$L$8*(SUMIF($BH$3:$CE$3,"&lt;"&amp;$DF8,$AD8:$BA8)+SUMIF($BH$3:$CE$3,"&gt;"&amp;$CW$4,$AD8:$BA8)),
IF(BZ$3=$DF8+'Model Setup'!$M$7,SUMIF($BH$3:$CE$3,"="&amp;$DF8+'Model Setup'!$M$7,$AD8:$BA8)+'Model Setup'!$M$8*(SUMIF($BH$3:$CE$3,"&lt;"&amp;$DF8,$AD8:$BA8)+SUMIF($BH$3:$CE$3,"&gt;"&amp;$CW$4,$AD8:$BA8)),
IF(BZ$3=$DF8+'Model Setup'!$N$7,SUMIF($BH$3:$CE$3,"="&amp;$DF8+'Model Setup'!$N$7,$AD8:$BA8)+'Model Setup'!$N$8*(SUMIF($BH$3:$CE$3,"&lt;"&amp;$DF8,$AD8:$BA8)+SUMIF($BH$3:$CE$3,"&gt;"&amp;$CW$4,$AD8:$BA8)),
IF(BZ$3&lt;$CW$4,T8,0))))))))))))))),0)</f>
        <v>111</v>
      </c>
      <c r="CA8" s="47">
        <f>ROUND(IF(OR(CA$3&lt;$DF8,CA$3&gt;$CW$4),0,
IF(CA$3=$DF8+'Model Setup'!$B$7,SUMIF($BH$3:$CE$3,"="&amp;$DF8+'Model Setup'!$B$7,$AD8:$BA8)+'Model Setup'!$B$8*(SUMIF($BH$3:$CE$3,"&lt;"&amp;$DF8,$AD8:$BA8)+SUMIF($BH$3:$CE$3,"&gt;"&amp;$CW$4,$AD8:$BA8)),
IF(CA$3=$DF8+'Model Setup'!$C$7,SUMIF($BH$3:$CE$3,"="&amp;$DF8+'Model Setup'!$C$7,$AD8:$BA8)+'Model Setup'!$C$8*(SUMIF($BH$3:$CE$3,"&lt;"&amp;$DF8,$AD8:$BA8)+SUMIF($BH$3:$CE$3,"&gt;"&amp;$CW$4,$AD8:$BA8)),
IF(CA$3=$DF8+'Model Setup'!$D$7,SUMIF($BH$3:$CE$3,"="&amp;$DF8+'Model Setup'!$D$7,$AD8:$BA8)+'Model Setup'!$D$8*(SUMIF($BH$3:$CE$3,"&lt;"&amp;$DF8,$AD8:$BA8)+SUMIF($BH$3:$CE$3,"&gt;"&amp;$CW$4,$AD8:$BA8)),
IF(CA$3=$DF8+'Model Setup'!$E$7,SUMIF($BH$3:$CE$3,"="&amp;$DF8+'Model Setup'!$E$7,$AD8:$BA8)+'Model Setup'!$E$8*(SUMIF($BH$3:$CE$3,"&lt;"&amp;$DF8,$AD8:$BA8)+SUMIF($BH$3:$CE$3,"&gt;"&amp;$CW$4,$AD8:$BA8)),
IF(CA$3=$DF8+'Model Setup'!$F$7,SUMIF($BH$3:$CE$3,"="&amp;$DF8+'Model Setup'!$F$7,$AD8:$BA8)+'Model Setup'!$F$8*(SUMIF($BH$3:$CE$3,"&lt;"&amp;$DF8,$AD8:$BA8)+SUMIF($BH$3:$CE$3,"&gt;"&amp;$CW$4,$AD8:$BA8)),
IF(CA$3=$DF8+'Model Setup'!$G$7,SUMIF($BH$3:$CE$3,"="&amp;$DF8+'Model Setup'!$G$7,$AD8:$BA8)+'Model Setup'!$G$8*(SUMIF($BH$3:$CE$3,"&lt;"&amp;$DF8,$AD8:$BA8)+SUMIF($BH$3:$CE$3,"&gt;"&amp;$CW$4,$AD8:$BA8)),
IF(CA$3=$DF8+'Model Setup'!$H$7,SUMIF($BH$3:$CE$3,"="&amp;$DF8+'Model Setup'!$H$7,$AD8:$BA8)+'Model Setup'!$H$8*(SUMIF($BH$3:$CE$3,"&lt;"&amp;$DF8,$AD8:$BA8)+SUMIF($BH$3:$CE$3,"&gt;"&amp;$CW$4,$AD8:$BA8)),
IF(CA$3=$DF8+'Model Setup'!$I$7,SUMIF($BH$3:$CE$3,"="&amp;$DF8+'Model Setup'!$I$7,$AD8:$BA8)+'Model Setup'!$I$8*(SUMIF($BH$3:$CE$3,"&lt;"&amp;$DF8,$AD8:$BA8)+SUMIF($BH$3:$CE$3,"&gt;"&amp;$CW$4,$AD8:$BA8)),
IF(CA$3=$DF8+'Model Setup'!$J$7,SUMIF($BH$3:$CE$3,"="&amp;$DF8+'Model Setup'!$J$7,$AD8:$BA8)+'Model Setup'!$J$8*(SUMIF($BH$3:$CE$3,"&lt;"&amp;$DF8,$AD8:$BA8)+SUMIF($BH$3:$CE$3,"&gt;"&amp;$CW$4,$AD8:$BA8)),
IF(CA$3=$DF8+'Model Setup'!$K$7,SUMIF($BH$3:$CE$3,"="&amp;$DF8+'Model Setup'!$K$7,$AD8:$BA8)+'Model Setup'!$K$8*(SUMIF($BH$3:$CE$3,"&lt;"&amp;$DF8,$AD8:$BA8)+SUMIF($BH$3:$CE$3,"&gt;"&amp;$CW$4,$AD8:$BA8)),
IF(CA$3=$DF8+'Model Setup'!$L$7,SUMIF($BH$3:$CE$3,"="&amp;$DF8+'Model Setup'!$L$7,$AD8:$BA8)+'Model Setup'!$L$8*(SUMIF($BH$3:$CE$3,"&lt;"&amp;$DF8,$AD8:$BA8)+SUMIF($BH$3:$CE$3,"&gt;"&amp;$CW$4,$AD8:$BA8)),
IF(CA$3=$DF8+'Model Setup'!$M$7,SUMIF($BH$3:$CE$3,"="&amp;$DF8+'Model Setup'!$M$7,$AD8:$BA8)+'Model Setup'!$M$8*(SUMIF($BH$3:$CE$3,"&lt;"&amp;$DF8,$AD8:$BA8)+SUMIF($BH$3:$CE$3,"&gt;"&amp;$CW$4,$AD8:$BA8)),
IF(CA$3=$DF8+'Model Setup'!$N$7,SUMIF($BH$3:$CE$3,"="&amp;$DF8+'Model Setup'!$N$7,$AD8:$BA8)+'Model Setup'!$N$8*(SUMIF($BH$3:$CE$3,"&lt;"&amp;$DF8,$AD8:$BA8)+SUMIF($BH$3:$CE$3,"&gt;"&amp;$CW$4,$AD8:$BA8)),
IF(CA$3&lt;$CW$4,U8,0))))))))))))))),0)</f>
        <v>0</v>
      </c>
      <c r="CB8" s="47">
        <f>ROUND(IF(OR(CB$3&lt;$DF8,CB$3&gt;$CW$4),0,
IF(CB$3=$DF8+'Model Setup'!$B$7,SUMIF($BH$3:$CE$3,"="&amp;$DF8+'Model Setup'!$B$7,$AD8:$BA8)+'Model Setup'!$B$8*(SUMIF($BH$3:$CE$3,"&lt;"&amp;$DF8,$AD8:$BA8)+SUMIF($BH$3:$CE$3,"&gt;"&amp;$CW$4,$AD8:$BA8)),
IF(CB$3=$DF8+'Model Setup'!$C$7,SUMIF($BH$3:$CE$3,"="&amp;$DF8+'Model Setup'!$C$7,$AD8:$BA8)+'Model Setup'!$C$8*(SUMIF($BH$3:$CE$3,"&lt;"&amp;$DF8,$AD8:$BA8)+SUMIF($BH$3:$CE$3,"&gt;"&amp;$CW$4,$AD8:$BA8)),
IF(CB$3=$DF8+'Model Setup'!$D$7,SUMIF($BH$3:$CE$3,"="&amp;$DF8+'Model Setup'!$D$7,$AD8:$BA8)+'Model Setup'!$D$8*(SUMIF($BH$3:$CE$3,"&lt;"&amp;$DF8,$AD8:$BA8)+SUMIF($BH$3:$CE$3,"&gt;"&amp;$CW$4,$AD8:$BA8)),
IF(CB$3=$DF8+'Model Setup'!$E$7,SUMIF($BH$3:$CE$3,"="&amp;$DF8+'Model Setup'!$E$7,$AD8:$BA8)+'Model Setup'!$E$8*(SUMIF($BH$3:$CE$3,"&lt;"&amp;$DF8,$AD8:$BA8)+SUMIF($BH$3:$CE$3,"&gt;"&amp;$CW$4,$AD8:$BA8)),
IF(CB$3=$DF8+'Model Setup'!$F$7,SUMIF($BH$3:$CE$3,"="&amp;$DF8+'Model Setup'!$F$7,$AD8:$BA8)+'Model Setup'!$F$8*(SUMIF($BH$3:$CE$3,"&lt;"&amp;$DF8,$AD8:$BA8)+SUMIF($BH$3:$CE$3,"&gt;"&amp;$CW$4,$AD8:$BA8)),
IF(CB$3=$DF8+'Model Setup'!$G$7,SUMIF($BH$3:$CE$3,"="&amp;$DF8+'Model Setup'!$G$7,$AD8:$BA8)+'Model Setup'!$G$8*(SUMIF($BH$3:$CE$3,"&lt;"&amp;$DF8,$AD8:$BA8)+SUMIF($BH$3:$CE$3,"&gt;"&amp;$CW$4,$AD8:$BA8)),
IF(CB$3=$DF8+'Model Setup'!$H$7,SUMIF($BH$3:$CE$3,"="&amp;$DF8+'Model Setup'!$H$7,$AD8:$BA8)+'Model Setup'!$H$8*(SUMIF($BH$3:$CE$3,"&lt;"&amp;$DF8,$AD8:$BA8)+SUMIF($BH$3:$CE$3,"&gt;"&amp;$CW$4,$AD8:$BA8)),
IF(CB$3=$DF8+'Model Setup'!$I$7,SUMIF($BH$3:$CE$3,"="&amp;$DF8+'Model Setup'!$I$7,$AD8:$BA8)+'Model Setup'!$I$8*(SUMIF($BH$3:$CE$3,"&lt;"&amp;$DF8,$AD8:$BA8)+SUMIF($BH$3:$CE$3,"&gt;"&amp;$CW$4,$AD8:$BA8)),
IF(CB$3=$DF8+'Model Setup'!$J$7,SUMIF($BH$3:$CE$3,"="&amp;$DF8+'Model Setup'!$J$7,$AD8:$BA8)+'Model Setup'!$J$8*(SUMIF($BH$3:$CE$3,"&lt;"&amp;$DF8,$AD8:$BA8)+SUMIF($BH$3:$CE$3,"&gt;"&amp;$CW$4,$AD8:$BA8)),
IF(CB$3=$DF8+'Model Setup'!$K$7,SUMIF($BH$3:$CE$3,"="&amp;$DF8+'Model Setup'!$K$7,$AD8:$BA8)+'Model Setup'!$K$8*(SUMIF($BH$3:$CE$3,"&lt;"&amp;$DF8,$AD8:$BA8)+SUMIF($BH$3:$CE$3,"&gt;"&amp;$CW$4,$AD8:$BA8)),
IF(CB$3=$DF8+'Model Setup'!$L$7,SUMIF($BH$3:$CE$3,"="&amp;$DF8+'Model Setup'!$L$7,$AD8:$BA8)+'Model Setup'!$L$8*(SUMIF($BH$3:$CE$3,"&lt;"&amp;$DF8,$AD8:$BA8)+SUMIF($BH$3:$CE$3,"&gt;"&amp;$CW$4,$AD8:$BA8)),
IF(CB$3=$DF8+'Model Setup'!$M$7,SUMIF($BH$3:$CE$3,"="&amp;$DF8+'Model Setup'!$M$7,$AD8:$BA8)+'Model Setup'!$M$8*(SUMIF($BH$3:$CE$3,"&lt;"&amp;$DF8,$AD8:$BA8)+SUMIF($BH$3:$CE$3,"&gt;"&amp;$CW$4,$AD8:$BA8)),
IF(CB$3=$DF8+'Model Setup'!$N$7,SUMIF($BH$3:$CE$3,"="&amp;$DF8+'Model Setup'!$N$7,$AD8:$BA8)+'Model Setup'!$N$8*(SUMIF($BH$3:$CE$3,"&lt;"&amp;$DF8,$AD8:$BA8)+SUMIF($BH$3:$CE$3,"&gt;"&amp;$CW$4,$AD8:$BA8)),
IF(CB$3&lt;$CW$4,V8,0))))))))))))))),0)</f>
        <v>0</v>
      </c>
      <c r="CC8" s="47">
        <f>ROUND(IF(OR(CC$3&lt;$DF8,CC$3&gt;$CW$4),0,
IF(CC$3=$DF8+'Model Setup'!$B$7,SUMIF($BH$3:$CE$3,"="&amp;$DF8+'Model Setup'!$B$7,$AD8:$BA8)+'Model Setup'!$B$8*(SUMIF($BH$3:$CE$3,"&lt;"&amp;$DF8,$AD8:$BA8)+SUMIF($BH$3:$CE$3,"&gt;"&amp;$CW$4,$AD8:$BA8)),
IF(CC$3=$DF8+'Model Setup'!$C$7,SUMIF($BH$3:$CE$3,"="&amp;$DF8+'Model Setup'!$C$7,$AD8:$BA8)+'Model Setup'!$C$8*(SUMIF($BH$3:$CE$3,"&lt;"&amp;$DF8,$AD8:$BA8)+SUMIF($BH$3:$CE$3,"&gt;"&amp;$CW$4,$AD8:$BA8)),
IF(CC$3=$DF8+'Model Setup'!$D$7,SUMIF($BH$3:$CE$3,"="&amp;$DF8+'Model Setup'!$D$7,$AD8:$BA8)+'Model Setup'!$D$8*(SUMIF($BH$3:$CE$3,"&lt;"&amp;$DF8,$AD8:$BA8)+SUMIF($BH$3:$CE$3,"&gt;"&amp;$CW$4,$AD8:$BA8)),
IF(CC$3=$DF8+'Model Setup'!$E$7,SUMIF($BH$3:$CE$3,"="&amp;$DF8+'Model Setup'!$E$7,$AD8:$BA8)+'Model Setup'!$E$8*(SUMIF($BH$3:$CE$3,"&lt;"&amp;$DF8,$AD8:$BA8)+SUMIF($BH$3:$CE$3,"&gt;"&amp;$CW$4,$AD8:$BA8)),
IF(CC$3=$DF8+'Model Setup'!$F$7,SUMIF($BH$3:$CE$3,"="&amp;$DF8+'Model Setup'!$F$7,$AD8:$BA8)+'Model Setup'!$F$8*(SUMIF($BH$3:$CE$3,"&lt;"&amp;$DF8,$AD8:$BA8)+SUMIF($BH$3:$CE$3,"&gt;"&amp;$CW$4,$AD8:$BA8)),
IF(CC$3=$DF8+'Model Setup'!$G$7,SUMIF($BH$3:$CE$3,"="&amp;$DF8+'Model Setup'!$G$7,$AD8:$BA8)+'Model Setup'!$G$8*(SUMIF($BH$3:$CE$3,"&lt;"&amp;$DF8,$AD8:$BA8)+SUMIF($BH$3:$CE$3,"&gt;"&amp;$CW$4,$AD8:$BA8)),
IF(CC$3=$DF8+'Model Setup'!$H$7,SUMIF($BH$3:$CE$3,"="&amp;$DF8+'Model Setup'!$H$7,$AD8:$BA8)+'Model Setup'!$H$8*(SUMIF($BH$3:$CE$3,"&lt;"&amp;$DF8,$AD8:$BA8)+SUMIF($BH$3:$CE$3,"&gt;"&amp;$CW$4,$AD8:$BA8)),
IF(CC$3=$DF8+'Model Setup'!$I$7,SUMIF($BH$3:$CE$3,"="&amp;$DF8+'Model Setup'!$I$7,$AD8:$BA8)+'Model Setup'!$I$8*(SUMIF($BH$3:$CE$3,"&lt;"&amp;$DF8,$AD8:$BA8)+SUMIF($BH$3:$CE$3,"&gt;"&amp;$CW$4,$AD8:$BA8)),
IF(CC$3=$DF8+'Model Setup'!$J$7,SUMIF($BH$3:$CE$3,"="&amp;$DF8+'Model Setup'!$J$7,$AD8:$BA8)+'Model Setup'!$J$8*(SUMIF($BH$3:$CE$3,"&lt;"&amp;$DF8,$AD8:$BA8)+SUMIF($BH$3:$CE$3,"&gt;"&amp;$CW$4,$AD8:$BA8)),
IF(CC$3=$DF8+'Model Setup'!$K$7,SUMIF($BH$3:$CE$3,"="&amp;$DF8+'Model Setup'!$K$7,$AD8:$BA8)+'Model Setup'!$K$8*(SUMIF($BH$3:$CE$3,"&lt;"&amp;$DF8,$AD8:$BA8)+SUMIF($BH$3:$CE$3,"&gt;"&amp;$CW$4,$AD8:$BA8)),
IF(CC$3=$DF8+'Model Setup'!$L$7,SUMIF($BH$3:$CE$3,"="&amp;$DF8+'Model Setup'!$L$7,$AD8:$BA8)+'Model Setup'!$L$8*(SUMIF($BH$3:$CE$3,"&lt;"&amp;$DF8,$AD8:$BA8)+SUMIF($BH$3:$CE$3,"&gt;"&amp;$CW$4,$AD8:$BA8)),
IF(CC$3=$DF8+'Model Setup'!$M$7,SUMIF($BH$3:$CE$3,"="&amp;$DF8+'Model Setup'!$M$7,$AD8:$BA8)+'Model Setup'!$M$8*(SUMIF($BH$3:$CE$3,"&lt;"&amp;$DF8,$AD8:$BA8)+SUMIF($BH$3:$CE$3,"&gt;"&amp;$CW$4,$AD8:$BA8)),
IF(CC$3=$DF8+'Model Setup'!$N$7,SUMIF($BH$3:$CE$3,"="&amp;$DF8+'Model Setup'!$N$7,$AD8:$BA8)+'Model Setup'!$N$8*(SUMIF($BH$3:$CE$3,"&lt;"&amp;$DF8,$AD8:$BA8)+SUMIF($BH$3:$CE$3,"&gt;"&amp;$CW$4,$AD8:$BA8)),
IF(CC$3&lt;$CW$4,W8,0))))))))))))))),0)</f>
        <v>0</v>
      </c>
      <c r="CD8" s="47">
        <f>ROUND(IF(OR(CD$3&lt;$DF8,CD$3&gt;$CW$4),0,
IF(CD$3=$DF8+'Model Setup'!$B$7,SUMIF($BH$3:$CE$3,"="&amp;$DF8+'Model Setup'!$B$7,$AD8:$BA8)+'Model Setup'!$B$8*(SUMIF($BH$3:$CE$3,"&lt;"&amp;$DF8,$AD8:$BA8)+SUMIF($BH$3:$CE$3,"&gt;"&amp;$CW$4,$AD8:$BA8)),
IF(CD$3=$DF8+'Model Setup'!$C$7,SUMIF($BH$3:$CE$3,"="&amp;$DF8+'Model Setup'!$C$7,$AD8:$BA8)+'Model Setup'!$C$8*(SUMIF($BH$3:$CE$3,"&lt;"&amp;$DF8,$AD8:$BA8)+SUMIF($BH$3:$CE$3,"&gt;"&amp;$CW$4,$AD8:$BA8)),
IF(CD$3=$DF8+'Model Setup'!$D$7,SUMIF($BH$3:$CE$3,"="&amp;$DF8+'Model Setup'!$D$7,$AD8:$BA8)+'Model Setup'!$D$8*(SUMIF($BH$3:$CE$3,"&lt;"&amp;$DF8,$AD8:$BA8)+SUMIF($BH$3:$CE$3,"&gt;"&amp;$CW$4,$AD8:$BA8)),
IF(CD$3=$DF8+'Model Setup'!$E$7,SUMIF($BH$3:$CE$3,"="&amp;$DF8+'Model Setup'!$E$7,$AD8:$BA8)+'Model Setup'!$E$8*(SUMIF($BH$3:$CE$3,"&lt;"&amp;$DF8,$AD8:$BA8)+SUMIF($BH$3:$CE$3,"&gt;"&amp;$CW$4,$AD8:$BA8)),
IF(CD$3=$DF8+'Model Setup'!$F$7,SUMIF($BH$3:$CE$3,"="&amp;$DF8+'Model Setup'!$F$7,$AD8:$BA8)+'Model Setup'!$F$8*(SUMIF($BH$3:$CE$3,"&lt;"&amp;$DF8,$AD8:$BA8)+SUMIF($BH$3:$CE$3,"&gt;"&amp;$CW$4,$AD8:$BA8)),
IF(CD$3=$DF8+'Model Setup'!$G$7,SUMIF($BH$3:$CE$3,"="&amp;$DF8+'Model Setup'!$G$7,$AD8:$BA8)+'Model Setup'!$G$8*(SUMIF($BH$3:$CE$3,"&lt;"&amp;$DF8,$AD8:$BA8)+SUMIF($BH$3:$CE$3,"&gt;"&amp;$CW$4,$AD8:$BA8)),
IF(CD$3=$DF8+'Model Setup'!$H$7,SUMIF($BH$3:$CE$3,"="&amp;$DF8+'Model Setup'!$H$7,$AD8:$BA8)+'Model Setup'!$H$8*(SUMIF($BH$3:$CE$3,"&lt;"&amp;$DF8,$AD8:$BA8)+SUMIF($BH$3:$CE$3,"&gt;"&amp;$CW$4,$AD8:$BA8)),
IF(CD$3=$DF8+'Model Setup'!$I$7,SUMIF($BH$3:$CE$3,"="&amp;$DF8+'Model Setup'!$I$7,$AD8:$BA8)+'Model Setup'!$I$8*(SUMIF($BH$3:$CE$3,"&lt;"&amp;$DF8,$AD8:$BA8)+SUMIF($BH$3:$CE$3,"&gt;"&amp;$CW$4,$AD8:$BA8)),
IF(CD$3=$DF8+'Model Setup'!$J$7,SUMIF($BH$3:$CE$3,"="&amp;$DF8+'Model Setup'!$J$7,$AD8:$BA8)+'Model Setup'!$J$8*(SUMIF($BH$3:$CE$3,"&lt;"&amp;$DF8,$AD8:$BA8)+SUMIF($BH$3:$CE$3,"&gt;"&amp;$CW$4,$AD8:$BA8)),
IF(CD$3=$DF8+'Model Setup'!$K$7,SUMIF($BH$3:$CE$3,"="&amp;$DF8+'Model Setup'!$K$7,$AD8:$BA8)+'Model Setup'!$K$8*(SUMIF($BH$3:$CE$3,"&lt;"&amp;$DF8,$AD8:$BA8)+SUMIF($BH$3:$CE$3,"&gt;"&amp;$CW$4,$AD8:$BA8)),
IF(CD$3=$DF8+'Model Setup'!$L$7,SUMIF($BH$3:$CE$3,"="&amp;$DF8+'Model Setup'!$L$7,$AD8:$BA8)+'Model Setup'!$L$8*(SUMIF($BH$3:$CE$3,"&lt;"&amp;$DF8,$AD8:$BA8)+SUMIF($BH$3:$CE$3,"&gt;"&amp;$CW$4,$AD8:$BA8)),
IF(CD$3=$DF8+'Model Setup'!$M$7,SUMIF($BH$3:$CE$3,"="&amp;$DF8+'Model Setup'!$M$7,$AD8:$BA8)+'Model Setup'!$M$8*(SUMIF($BH$3:$CE$3,"&lt;"&amp;$DF8,$AD8:$BA8)+SUMIF($BH$3:$CE$3,"&gt;"&amp;$CW$4,$AD8:$BA8)),
IF(CD$3=$DF8+'Model Setup'!$N$7,SUMIF($BH$3:$CE$3,"="&amp;$DF8+'Model Setup'!$N$7,$AD8:$BA8)+'Model Setup'!$N$8*(SUMIF($BH$3:$CE$3,"&lt;"&amp;$DF8,$AD8:$BA8)+SUMIF($BH$3:$CE$3,"&gt;"&amp;$CW$4,$AD8:$BA8)),
IF(CD$3&lt;$CW$4,X8,0))))))))))))))),0)</f>
        <v>0</v>
      </c>
      <c r="CE8" s="47">
        <f>ROUND(IF(OR(CE$3&lt;$DF8,CE$3&gt;$CW$4),0,
IF(CE$3=$DF8+'Model Setup'!$B$7,SUMIF($BH$3:$CE$3,"="&amp;$DF8+'Model Setup'!$B$7,$AD8:$BA8)+'Model Setup'!$B$8*(SUMIF($BH$3:$CE$3,"&lt;"&amp;$DF8,$AD8:$BA8)+SUMIF($BH$3:$CE$3,"&gt;"&amp;$CW$4,$AD8:$BA8)),
IF(CE$3=$DF8+'Model Setup'!$C$7,SUMIF($BH$3:$CE$3,"="&amp;$DF8+'Model Setup'!$C$7,$AD8:$BA8)+'Model Setup'!$C$8*(SUMIF($BH$3:$CE$3,"&lt;"&amp;$DF8,$AD8:$BA8)+SUMIF($BH$3:$CE$3,"&gt;"&amp;$CW$4,$AD8:$BA8)),
IF(CE$3=$DF8+'Model Setup'!$D$7,SUMIF($BH$3:$CE$3,"="&amp;$DF8+'Model Setup'!$D$7,$AD8:$BA8)+'Model Setup'!$D$8*(SUMIF($BH$3:$CE$3,"&lt;"&amp;$DF8,$AD8:$BA8)+SUMIF($BH$3:$CE$3,"&gt;"&amp;$CW$4,$AD8:$BA8)),
IF(CE$3=$DF8+'Model Setup'!$E$7,SUMIF($BH$3:$CE$3,"="&amp;$DF8+'Model Setup'!$E$7,$AD8:$BA8)+'Model Setup'!$E$8*(SUMIF($BH$3:$CE$3,"&lt;"&amp;$DF8,$AD8:$BA8)+SUMIF($BH$3:$CE$3,"&gt;"&amp;$CW$4,$AD8:$BA8)),
IF(CE$3=$DF8+'Model Setup'!$F$7,SUMIF($BH$3:$CE$3,"="&amp;$DF8+'Model Setup'!$F$7,$AD8:$BA8)+'Model Setup'!$F$8*(SUMIF($BH$3:$CE$3,"&lt;"&amp;$DF8,$AD8:$BA8)+SUMIF($BH$3:$CE$3,"&gt;"&amp;$CW$4,$AD8:$BA8)),
IF(CE$3=$DF8+'Model Setup'!$G$7,SUMIF($BH$3:$CE$3,"="&amp;$DF8+'Model Setup'!$G$7,$AD8:$BA8)+'Model Setup'!$G$8*(SUMIF($BH$3:$CE$3,"&lt;"&amp;$DF8,$AD8:$BA8)+SUMIF($BH$3:$CE$3,"&gt;"&amp;$CW$4,$AD8:$BA8)),
IF(CE$3=$DF8+'Model Setup'!$H$7,SUMIF($BH$3:$CE$3,"="&amp;$DF8+'Model Setup'!$H$7,$AD8:$BA8)+'Model Setup'!$H$8*(SUMIF($BH$3:$CE$3,"&lt;"&amp;$DF8,$AD8:$BA8)+SUMIF($BH$3:$CE$3,"&gt;"&amp;$CW$4,$AD8:$BA8)),
IF(CE$3=$DF8+'Model Setup'!$I$7,SUMIF($BH$3:$CE$3,"="&amp;$DF8+'Model Setup'!$I$7,$AD8:$BA8)+'Model Setup'!$I$8*(SUMIF($BH$3:$CE$3,"&lt;"&amp;$DF8,$AD8:$BA8)+SUMIF($BH$3:$CE$3,"&gt;"&amp;$CW$4,$AD8:$BA8)),
IF(CE$3=$DF8+'Model Setup'!$J$7,SUMIF($BH$3:$CE$3,"="&amp;$DF8+'Model Setup'!$J$7,$AD8:$BA8)+'Model Setup'!$J$8*(SUMIF($BH$3:$CE$3,"&lt;"&amp;$DF8,$AD8:$BA8)+SUMIF($BH$3:$CE$3,"&gt;"&amp;$CW$4,$AD8:$BA8)),
IF(CE$3=$DF8+'Model Setup'!$K$7,SUMIF($BH$3:$CE$3,"="&amp;$DF8+'Model Setup'!$K$7,$AD8:$BA8)+'Model Setup'!$K$8*(SUMIF($BH$3:$CE$3,"&lt;"&amp;$DF8,$AD8:$BA8)+SUMIF($BH$3:$CE$3,"&gt;"&amp;$CW$4,$AD8:$BA8)),
IF(CE$3=$DF8+'Model Setup'!$L$7,SUMIF($BH$3:$CE$3,"="&amp;$DF8+'Model Setup'!$L$7,$AD8:$BA8)+'Model Setup'!$L$8*(SUMIF($BH$3:$CE$3,"&lt;"&amp;$DF8,$AD8:$BA8)+SUMIF($BH$3:$CE$3,"&gt;"&amp;$CW$4,$AD8:$BA8)),
IF(CE$3=$DF8+'Model Setup'!$M$7,SUMIF($BH$3:$CE$3,"="&amp;$DF8+'Model Setup'!$M$7,$AD8:$BA8)+'Model Setup'!$M$8*(SUMIF($BH$3:$CE$3,"&lt;"&amp;$DF8,$AD8:$BA8)+SUMIF($BH$3:$CE$3,"&gt;"&amp;$CW$4,$AD8:$BA8)),
IF(CE$3=$DF8+'Model Setup'!$N$7,SUMIF($BH$3:$CE$3,"="&amp;$DF8+'Model Setup'!$N$7,$AD8:$BA8)+'Model Setup'!$N$8*(SUMIF($BH$3:$CE$3,"&lt;"&amp;$DF8,$AD8:$BA8)+SUMIF($BH$3:$CE$3,"&gt;"&amp;$CW$4,$AD8:$BA8)),
IF(CE$3&lt;$CW$4,Y8,0))))))))))))))),0)</f>
        <v>0</v>
      </c>
      <c r="CF8" s="47">
        <f t="shared" si="3"/>
        <v>1080</v>
      </c>
      <c r="CG8" s="47">
        <f t="shared" si="4"/>
        <v>-20</v>
      </c>
      <c r="CI8" s="10" t="s">
        <v>23</v>
      </c>
      <c r="CJ8" s="126">
        <f t="shared" si="9"/>
        <v>0</v>
      </c>
      <c r="CK8" s="126">
        <f t="shared" si="10"/>
        <v>0</v>
      </c>
      <c r="CL8" s="126">
        <f t="shared" si="11"/>
        <v>107</v>
      </c>
      <c r="CM8" s="126">
        <f t="shared" si="12"/>
        <v>159</v>
      </c>
      <c r="CN8" s="126">
        <f t="shared" si="13"/>
        <v>135</v>
      </c>
      <c r="CO8" s="126">
        <f t="shared" si="14"/>
        <v>101</v>
      </c>
      <c r="CP8" s="126">
        <f t="shared" si="15"/>
        <v>85</v>
      </c>
      <c r="CQ8" s="126">
        <f t="shared" si="16"/>
        <v>76</v>
      </c>
      <c r="CR8" s="126">
        <f t="shared" si="17"/>
        <v>74</v>
      </c>
      <c r="CS8" s="126">
        <f t="shared" si="18"/>
        <v>66</v>
      </c>
      <c r="CT8" s="126">
        <f t="shared" si="19"/>
        <v>46</v>
      </c>
      <c r="CU8" s="126">
        <f t="shared" si="20"/>
        <v>27</v>
      </c>
      <c r="CV8" s="126">
        <f t="shared" si="21"/>
        <v>73</v>
      </c>
      <c r="CW8" s="126">
        <f t="shared" si="22"/>
        <v>85</v>
      </c>
      <c r="CX8" s="126">
        <f t="shared" si="23"/>
        <v>66</v>
      </c>
      <c r="CY8" s="126">
        <f t="shared" si="24"/>
        <v>0</v>
      </c>
      <c r="CZ8" s="47">
        <f t="shared" si="7"/>
        <v>1034</v>
      </c>
      <c r="DC8" s="93" t="s">
        <v>23</v>
      </c>
      <c r="DD8" s="89">
        <f>FTC!E6</f>
        <v>0.29166666666666669</v>
      </c>
      <c r="DE8" s="89">
        <f>FTC!F6</f>
        <v>0.79166666666666663</v>
      </c>
      <c r="DF8" s="90">
        <f t="shared" si="25"/>
        <v>7</v>
      </c>
      <c r="DG8" s="91">
        <f t="shared" si="26"/>
        <v>19</v>
      </c>
      <c r="DH8" s="91">
        <f t="shared" si="27"/>
        <v>12</v>
      </c>
    </row>
    <row r="9" spans="1:112" x14ac:dyDescent="0.35">
      <c r="A9" s="43" t="s">
        <v>24</v>
      </c>
      <c r="B9" s="47">
        <v>49</v>
      </c>
      <c r="C9" s="47">
        <v>42</v>
      </c>
      <c r="D9" s="47">
        <v>24</v>
      </c>
      <c r="E9" s="47">
        <v>20</v>
      </c>
      <c r="F9" s="47">
        <v>25</v>
      </c>
      <c r="G9" s="47">
        <v>40</v>
      </c>
      <c r="H9" s="47">
        <v>355</v>
      </c>
      <c r="I9" s="47">
        <v>342</v>
      </c>
      <c r="J9" s="47">
        <v>526</v>
      </c>
      <c r="K9" s="47">
        <v>681</v>
      </c>
      <c r="L9" s="47">
        <v>691</v>
      </c>
      <c r="M9" s="47">
        <v>526</v>
      </c>
      <c r="N9" s="47">
        <v>460</v>
      </c>
      <c r="O9" s="47">
        <v>418</v>
      </c>
      <c r="P9" s="47">
        <v>320</v>
      </c>
      <c r="Q9" s="47">
        <v>298</v>
      </c>
      <c r="R9" s="47">
        <v>292</v>
      </c>
      <c r="S9" s="47">
        <v>179</v>
      </c>
      <c r="T9" s="47">
        <v>144</v>
      </c>
      <c r="U9" s="47">
        <v>110</v>
      </c>
      <c r="V9" s="47">
        <v>77</v>
      </c>
      <c r="W9" s="47">
        <v>121</v>
      </c>
      <c r="X9" s="47">
        <v>125</v>
      </c>
      <c r="Y9" s="47">
        <v>72</v>
      </c>
      <c r="Z9" s="47">
        <f t="shared" si="0"/>
        <v>5937</v>
      </c>
      <c r="AC9" s="43" t="s">
        <v>24</v>
      </c>
      <c r="AD9" s="47">
        <f>ROUND(IF(AD$3&lt;$DF9,0,
IF(AD$3=$DF9+'Model Setup'!$B$7,SUMIF($AD$3:$BA$3,"="&amp;$DF9+'Model Setup'!$B$7,$B9:$Y9)+'Model Setup'!$B$8*(SUMIF($AD$3:$BA$3,"&lt;"&amp;$DF9,$B9:$Y9)+SUMIF($AD$3:$BA$3,"&gt;="&amp;$DG9,$B9:$Y9)),
IF(AD$3=$DF9+'Model Setup'!$C$7,SUMIF($AD$3:$BA$3,"="&amp;$DF9+'Model Setup'!$C$7,$B9:$Y9)+'Model Setup'!$C$8*(SUMIF($AD$3:$BA$3,"&lt;"&amp;$DF9,$B9:$Y9)+SUMIF($AD$3:$BA$3,"&gt;="&amp;$DG9,$B9:$Y9)),
IF(AD$3=$DF9+'Model Setup'!$D$7,SUMIF($AD$3:$BA$3,"="&amp;$DF9+'Model Setup'!$D$7,$B9:$Y9)+'Model Setup'!$D$8*(SUMIF($AD$3:$BA$3,"&lt;"&amp;$DF9,$B9:$Y9)+SUMIF($AD$3:$BA$3,"&gt;="&amp;$DG9,$B9:$Y9)),
IF(AD$3=$DF9+'Model Setup'!$E$7,SUMIF($AD$3:$BA$3,"="&amp;$DF9+'Model Setup'!$E$7,$B9:$Y9)+'Model Setup'!$E$8*(SUMIF($AD$3:$BA$3,"&lt;"&amp;$DF9,$B9:$Y9)+SUMIF($AD$3:$BA$3,"&gt;="&amp;$DG9,$B9:$Y9)),
IF(AD$3=$DF9+'Model Setup'!$F$7,SUMIF($AD$3:$BA$3,"="&amp;$DF9+'Model Setup'!$F$7,$B9:$Y9)+'Model Setup'!$F$8*(SUMIF($AD$3:$BA$3,"&lt;"&amp;$DF9,$B9:$Y9)+SUMIF($AD$3:$BA$3,"&gt;="&amp;$DG9,$B9:$Y9)),
IF(AD$3=$DF9+'Model Setup'!$G$7,SUMIF($AD$3:$BA$3,"="&amp;$DF9+'Model Setup'!$G$7,$B9:$Y9)+'Model Setup'!$G$8*(SUMIF($AD$3:$BA$3,"&lt;"&amp;$DF9,$B9:$Y9)+SUMIF($AD$3:$BA$3,"&gt;="&amp;$DG9,$B9:$Y9)),
IF(AD$3=$DF9+'Model Setup'!$H$7,SUMIF($AD$3:$BA$3,"="&amp;$DF9+'Model Setup'!$H$7,$B9:$Y9)+'Model Setup'!$H$8*(SUMIF($AD$3:$BA$3,"&lt;"&amp;$DF9,$B9:$Y9)+SUMIF($AD$3:$BA$3,"&gt;="&amp;$DG9,$B9:$Y9)),
IF(AD$3=$DF9+'Model Setup'!$I$7,SUMIF($AD$3:$BA$3,"="&amp;$DF9+'Model Setup'!$I$7,$B9:$Y9)+'Model Setup'!$I$8*(SUMIF($AD$3:$BA$3,"&lt;"&amp;$DF9,$B9:$Y9)+SUMIF($AD$3:$BA$3,"&gt;="&amp;$DG9,$B9:$Y9)),
IF(AD$3=$DF9+'Model Setup'!$J$7,SUMIF($AD$3:$BA$3,"="&amp;$DF9+'Model Setup'!$J$7,$B9:$Y9)+'Model Setup'!$J$8*(SUMIF($AD$3:$BA$3,"&lt;"&amp;$DF9,$B9:$Y9)+SUMIF($AD$3:$BA$3,"&gt;="&amp;$DG9,$B9:$Y9)),
IF(AD$3=$DF9+'Model Setup'!$K$7,SUMIF($AD$3:$BA$3,"="&amp;$DF9+'Model Setup'!$K$7,$B9:$Y9)+'Model Setup'!$K$8*(SUMIF($AD$3:$BA$3,"&lt;"&amp;$DF9,$B9:$Y9)+SUMIF($AD$3:$BA$3,"&gt;="&amp;$DG9,$B9:$Y9)),
IF(AD$3=$DF9+'Model Setup'!$L$7,SUMIF($AD$3:$BA$3,"="&amp;$DF9+'Model Setup'!$L$7,$B9:$Y9)+'Model Setup'!$L$8*(SUMIF($AD$3:$BA$3,"&lt;"&amp;$DF9,$B9:$Y9)+SUMIF($AD$3:$BA$3,"&gt;="&amp;$DG9,$B9:$Y9)),
IF(AD$3=$DF9+'Model Setup'!$M$7,SUMIF($AD$3:$BA$3,"="&amp;$DF9+'Model Setup'!$M$7,$B9:$Y9)+'Model Setup'!$M$8*(SUMIF($AD$3:$BA$3,"&lt;"&amp;$DF9,$B9:$Y9)+SUMIF($AD$3:$BA$3,"&gt;="&amp;$DG9,$B9:$Y9)),
IF(AD$3=$DF9+'Model Setup'!$N$7,SUMIF($AD$3:$BA$3,"="&amp;$DF9+'Model Setup'!$N$7,$B9:$Y9)+'Model Setup'!$N$8*(SUMIF($AD$3:$BA$3,"&lt;"&amp;$DF9,$B9:$Y9)+SUMIF($AD$3:$BA$3,"&gt;="&amp;$DG9,$B9:$Y9)),
IF(AD$3&lt;$DG9,B9,0))))))))))))))),0)</f>
        <v>0</v>
      </c>
      <c r="AE9" s="47">
        <f>ROUND(IF(AE$3&lt;$DF9,0,
IF(AE$3=$DF9+'Model Setup'!$B$7,SUMIF($AD$3:$BA$3,"="&amp;$DF9+'Model Setup'!$B$7,$B9:$Y9)+'Model Setup'!$B$8*(SUMIF($AD$3:$BA$3,"&lt;"&amp;$DF9,$B9:$Y9)+SUMIF($AD$3:$BA$3,"&gt;="&amp;$DG9,$B9:$Y9)),
IF(AE$3=$DF9+'Model Setup'!$C$7,SUMIF($AD$3:$BA$3,"="&amp;$DF9+'Model Setup'!$C$7,$B9:$Y9)+'Model Setup'!$C$8*(SUMIF($AD$3:$BA$3,"&lt;"&amp;$DF9,$B9:$Y9)+SUMIF($AD$3:$BA$3,"&gt;="&amp;$DG9,$B9:$Y9)),
IF(AE$3=$DF9+'Model Setup'!$D$7,SUMIF($AD$3:$BA$3,"="&amp;$DF9+'Model Setup'!$D$7,$B9:$Y9)+'Model Setup'!$D$8*(SUMIF($AD$3:$BA$3,"&lt;"&amp;$DF9,$B9:$Y9)+SUMIF($AD$3:$BA$3,"&gt;="&amp;$DG9,$B9:$Y9)),
IF(AE$3=$DF9+'Model Setup'!$E$7,SUMIF($AD$3:$BA$3,"="&amp;$DF9+'Model Setup'!$E$7,$B9:$Y9)+'Model Setup'!$E$8*(SUMIF($AD$3:$BA$3,"&lt;"&amp;$DF9,$B9:$Y9)+SUMIF($AD$3:$BA$3,"&gt;="&amp;$DG9,$B9:$Y9)),
IF(AE$3=$DF9+'Model Setup'!$F$7,SUMIF($AD$3:$BA$3,"="&amp;$DF9+'Model Setup'!$F$7,$B9:$Y9)+'Model Setup'!$F$8*(SUMIF($AD$3:$BA$3,"&lt;"&amp;$DF9,$B9:$Y9)+SUMIF($AD$3:$BA$3,"&gt;="&amp;$DG9,$B9:$Y9)),
IF(AE$3=$DF9+'Model Setup'!$G$7,SUMIF($AD$3:$BA$3,"="&amp;$DF9+'Model Setup'!$G$7,$B9:$Y9)+'Model Setup'!$G$8*(SUMIF($AD$3:$BA$3,"&lt;"&amp;$DF9,$B9:$Y9)+SUMIF($AD$3:$BA$3,"&gt;="&amp;$DG9,$B9:$Y9)),
IF(AE$3=$DF9+'Model Setup'!$H$7,SUMIF($AD$3:$BA$3,"="&amp;$DF9+'Model Setup'!$H$7,$B9:$Y9)+'Model Setup'!$H$8*(SUMIF($AD$3:$BA$3,"&lt;"&amp;$DF9,$B9:$Y9)+SUMIF($AD$3:$BA$3,"&gt;="&amp;$DG9,$B9:$Y9)),
IF(AE$3=$DF9+'Model Setup'!$I$7,SUMIF($AD$3:$BA$3,"="&amp;$DF9+'Model Setup'!$I$7,$B9:$Y9)+'Model Setup'!$I$8*(SUMIF($AD$3:$BA$3,"&lt;"&amp;$DF9,$B9:$Y9)+SUMIF($AD$3:$BA$3,"&gt;="&amp;$DG9,$B9:$Y9)),
IF(AE$3=$DF9+'Model Setup'!$J$7,SUMIF($AD$3:$BA$3,"="&amp;$DF9+'Model Setup'!$J$7,$B9:$Y9)+'Model Setup'!$J$8*(SUMIF($AD$3:$BA$3,"&lt;"&amp;$DF9,$B9:$Y9)+SUMIF($AD$3:$BA$3,"&gt;="&amp;$DG9,$B9:$Y9)),
IF(AE$3=$DF9+'Model Setup'!$K$7,SUMIF($AD$3:$BA$3,"="&amp;$DF9+'Model Setup'!$K$7,$B9:$Y9)+'Model Setup'!$K$8*(SUMIF($AD$3:$BA$3,"&lt;"&amp;$DF9,$B9:$Y9)+SUMIF($AD$3:$BA$3,"&gt;="&amp;$DG9,$B9:$Y9)),
IF(AE$3=$DF9+'Model Setup'!$L$7,SUMIF($AD$3:$BA$3,"="&amp;$DF9+'Model Setup'!$L$7,$B9:$Y9)+'Model Setup'!$L$8*(SUMIF($AD$3:$BA$3,"&lt;"&amp;$DF9,$B9:$Y9)+SUMIF($AD$3:$BA$3,"&gt;="&amp;$DG9,$B9:$Y9)),
IF(AE$3=$DF9+'Model Setup'!$M$7,SUMIF($AD$3:$BA$3,"="&amp;$DF9+'Model Setup'!$M$7,$B9:$Y9)+'Model Setup'!$M$8*(SUMIF($AD$3:$BA$3,"&lt;"&amp;$DF9,$B9:$Y9)+SUMIF($AD$3:$BA$3,"&gt;="&amp;$DG9,$B9:$Y9)),
IF(AE$3=$DF9+'Model Setup'!$N$7,SUMIF($AD$3:$BA$3,"="&amp;$DF9+'Model Setup'!$N$7,$B9:$Y9)+'Model Setup'!$N$8*(SUMIF($AD$3:$BA$3,"&lt;"&amp;$DF9,$B9:$Y9)+SUMIF($AD$3:$BA$3,"&gt;="&amp;$DG9,$B9:$Y9)),
IF(AE$3&lt;$DG9,C9,0))))))))))))))),0)</f>
        <v>0</v>
      </c>
      <c r="AF9" s="47">
        <f>ROUND(IF(AF$3&lt;$DF9,0,
IF(AF$3=$DF9+'Model Setup'!$B$7,SUMIF($AD$3:$BA$3,"="&amp;$DF9+'Model Setup'!$B$7,$B9:$Y9)+'Model Setup'!$B$8*(SUMIF($AD$3:$BA$3,"&lt;"&amp;$DF9,$B9:$Y9)+SUMIF($AD$3:$BA$3,"&gt;="&amp;$DG9,$B9:$Y9)),
IF(AF$3=$DF9+'Model Setup'!$C$7,SUMIF($AD$3:$BA$3,"="&amp;$DF9+'Model Setup'!$C$7,$B9:$Y9)+'Model Setup'!$C$8*(SUMIF($AD$3:$BA$3,"&lt;"&amp;$DF9,$B9:$Y9)+SUMIF($AD$3:$BA$3,"&gt;="&amp;$DG9,$B9:$Y9)),
IF(AF$3=$DF9+'Model Setup'!$D$7,SUMIF($AD$3:$BA$3,"="&amp;$DF9+'Model Setup'!$D$7,$B9:$Y9)+'Model Setup'!$D$8*(SUMIF($AD$3:$BA$3,"&lt;"&amp;$DF9,$B9:$Y9)+SUMIF($AD$3:$BA$3,"&gt;="&amp;$DG9,$B9:$Y9)),
IF(AF$3=$DF9+'Model Setup'!$E$7,SUMIF($AD$3:$BA$3,"="&amp;$DF9+'Model Setup'!$E$7,$B9:$Y9)+'Model Setup'!$E$8*(SUMIF($AD$3:$BA$3,"&lt;"&amp;$DF9,$B9:$Y9)+SUMIF($AD$3:$BA$3,"&gt;="&amp;$DG9,$B9:$Y9)),
IF(AF$3=$DF9+'Model Setup'!$F$7,SUMIF($AD$3:$BA$3,"="&amp;$DF9+'Model Setup'!$F$7,$B9:$Y9)+'Model Setup'!$F$8*(SUMIF($AD$3:$BA$3,"&lt;"&amp;$DF9,$B9:$Y9)+SUMIF($AD$3:$BA$3,"&gt;="&amp;$DG9,$B9:$Y9)),
IF(AF$3=$DF9+'Model Setup'!$G$7,SUMIF($AD$3:$BA$3,"="&amp;$DF9+'Model Setup'!$G$7,$B9:$Y9)+'Model Setup'!$G$8*(SUMIF($AD$3:$BA$3,"&lt;"&amp;$DF9,$B9:$Y9)+SUMIF($AD$3:$BA$3,"&gt;="&amp;$DG9,$B9:$Y9)),
IF(AF$3=$DF9+'Model Setup'!$H$7,SUMIF($AD$3:$BA$3,"="&amp;$DF9+'Model Setup'!$H$7,$B9:$Y9)+'Model Setup'!$H$8*(SUMIF($AD$3:$BA$3,"&lt;"&amp;$DF9,$B9:$Y9)+SUMIF($AD$3:$BA$3,"&gt;="&amp;$DG9,$B9:$Y9)),
IF(AF$3=$DF9+'Model Setup'!$I$7,SUMIF($AD$3:$BA$3,"="&amp;$DF9+'Model Setup'!$I$7,$B9:$Y9)+'Model Setup'!$I$8*(SUMIF($AD$3:$BA$3,"&lt;"&amp;$DF9,$B9:$Y9)+SUMIF($AD$3:$BA$3,"&gt;="&amp;$DG9,$B9:$Y9)),
IF(AF$3=$DF9+'Model Setup'!$J$7,SUMIF($AD$3:$BA$3,"="&amp;$DF9+'Model Setup'!$J$7,$B9:$Y9)+'Model Setup'!$J$8*(SUMIF($AD$3:$BA$3,"&lt;"&amp;$DF9,$B9:$Y9)+SUMIF($AD$3:$BA$3,"&gt;="&amp;$DG9,$B9:$Y9)),
IF(AF$3=$DF9+'Model Setup'!$K$7,SUMIF($AD$3:$BA$3,"="&amp;$DF9+'Model Setup'!$K$7,$B9:$Y9)+'Model Setup'!$K$8*(SUMIF($AD$3:$BA$3,"&lt;"&amp;$DF9,$B9:$Y9)+SUMIF($AD$3:$BA$3,"&gt;="&amp;$DG9,$B9:$Y9)),
IF(AF$3=$DF9+'Model Setup'!$L$7,SUMIF($AD$3:$BA$3,"="&amp;$DF9+'Model Setup'!$L$7,$B9:$Y9)+'Model Setup'!$L$8*(SUMIF($AD$3:$BA$3,"&lt;"&amp;$DF9,$B9:$Y9)+SUMIF($AD$3:$BA$3,"&gt;="&amp;$DG9,$B9:$Y9)),
IF(AF$3=$DF9+'Model Setup'!$M$7,SUMIF($AD$3:$BA$3,"="&amp;$DF9+'Model Setup'!$M$7,$B9:$Y9)+'Model Setup'!$M$8*(SUMIF($AD$3:$BA$3,"&lt;"&amp;$DF9,$B9:$Y9)+SUMIF($AD$3:$BA$3,"&gt;="&amp;$DG9,$B9:$Y9)),
IF(AF$3=$DF9+'Model Setup'!$N$7,SUMIF($AD$3:$BA$3,"="&amp;$DF9+'Model Setup'!$N$7,$B9:$Y9)+'Model Setup'!$N$8*(SUMIF($AD$3:$BA$3,"&lt;"&amp;$DF9,$B9:$Y9)+SUMIF($AD$3:$BA$3,"&gt;="&amp;$DG9,$B9:$Y9)),
IF(AF$3&lt;$DG9,D9,0))))))))))))))),0)</f>
        <v>0</v>
      </c>
      <c r="AG9" s="47">
        <f>ROUND(IF(AG$3&lt;$DF9,0,
IF(AG$3=$DF9+'Model Setup'!$B$7,SUMIF($AD$3:$BA$3,"="&amp;$DF9+'Model Setup'!$B$7,$B9:$Y9)+'Model Setup'!$B$8*(SUMIF($AD$3:$BA$3,"&lt;"&amp;$DF9,$B9:$Y9)+SUMIF($AD$3:$BA$3,"&gt;="&amp;$DG9,$B9:$Y9)),
IF(AG$3=$DF9+'Model Setup'!$C$7,SUMIF($AD$3:$BA$3,"="&amp;$DF9+'Model Setup'!$C$7,$B9:$Y9)+'Model Setup'!$C$8*(SUMIF($AD$3:$BA$3,"&lt;"&amp;$DF9,$B9:$Y9)+SUMIF($AD$3:$BA$3,"&gt;="&amp;$DG9,$B9:$Y9)),
IF(AG$3=$DF9+'Model Setup'!$D$7,SUMIF($AD$3:$BA$3,"="&amp;$DF9+'Model Setup'!$D$7,$B9:$Y9)+'Model Setup'!$D$8*(SUMIF($AD$3:$BA$3,"&lt;"&amp;$DF9,$B9:$Y9)+SUMIF($AD$3:$BA$3,"&gt;="&amp;$DG9,$B9:$Y9)),
IF(AG$3=$DF9+'Model Setup'!$E$7,SUMIF($AD$3:$BA$3,"="&amp;$DF9+'Model Setup'!$E$7,$B9:$Y9)+'Model Setup'!$E$8*(SUMIF($AD$3:$BA$3,"&lt;"&amp;$DF9,$B9:$Y9)+SUMIF($AD$3:$BA$3,"&gt;="&amp;$DG9,$B9:$Y9)),
IF(AG$3=$DF9+'Model Setup'!$F$7,SUMIF($AD$3:$BA$3,"="&amp;$DF9+'Model Setup'!$F$7,$B9:$Y9)+'Model Setup'!$F$8*(SUMIF($AD$3:$BA$3,"&lt;"&amp;$DF9,$B9:$Y9)+SUMIF($AD$3:$BA$3,"&gt;="&amp;$DG9,$B9:$Y9)),
IF(AG$3=$DF9+'Model Setup'!$G$7,SUMIF($AD$3:$BA$3,"="&amp;$DF9+'Model Setup'!$G$7,$B9:$Y9)+'Model Setup'!$G$8*(SUMIF($AD$3:$BA$3,"&lt;"&amp;$DF9,$B9:$Y9)+SUMIF($AD$3:$BA$3,"&gt;="&amp;$DG9,$B9:$Y9)),
IF(AG$3=$DF9+'Model Setup'!$H$7,SUMIF($AD$3:$BA$3,"="&amp;$DF9+'Model Setup'!$H$7,$B9:$Y9)+'Model Setup'!$H$8*(SUMIF($AD$3:$BA$3,"&lt;"&amp;$DF9,$B9:$Y9)+SUMIF($AD$3:$BA$3,"&gt;="&amp;$DG9,$B9:$Y9)),
IF(AG$3=$DF9+'Model Setup'!$I$7,SUMIF($AD$3:$BA$3,"="&amp;$DF9+'Model Setup'!$I$7,$B9:$Y9)+'Model Setup'!$I$8*(SUMIF($AD$3:$BA$3,"&lt;"&amp;$DF9,$B9:$Y9)+SUMIF($AD$3:$BA$3,"&gt;="&amp;$DG9,$B9:$Y9)),
IF(AG$3=$DF9+'Model Setup'!$J$7,SUMIF($AD$3:$BA$3,"="&amp;$DF9+'Model Setup'!$J$7,$B9:$Y9)+'Model Setup'!$J$8*(SUMIF($AD$3:$BA$3,"&lt;"&amp;$DF9,$B9:$Y9)+SUMIF($AD$3:$BA$3,"&gt;="&amp;$DG9,$B9:$Y9)),
IF(AG$3=$DF9+'Model Setup'!$K$7,SUMIF($AD$3:$BA$3,"="&amp;$DF9+'Model Setup'!$K$7,$B9:$Y9)+'Model Setup'!$K$8*(SUMIF($AD$3:$BA$3,"&lt;"&amp;$DF9,$B9:$Y9)+SUMIF($AD$3:$BA$3,"&gt;="&amp;$DG9,$B9:$Y9)),
IF(AG$3=$DF9+'Model Setup'!$L$7,SUMIF($AD$3:$BA$3,"="&amp;$DF9+'Model Setup'!$L$7,$B9:$Y9)+'Model Setup'!$L$8*(SUMIF($AD$3:$BA$3,"&lt;"&amp;$DF9,$B9:$Y9)+SUMIF($AD$3:$BA$3,"&gt;="&amp;$DG9,$B9:$Y9)),
IF(AG$3=$DF9+'Model Setup'!$M$7,SUMIF($AD$3:$BA$3,"="&amp;$DF9+'Model Setup'!$M$7,$B9:$Y9)+'Model Setup'!$M$8*(SUMIF($AD$3:$BA$3,"&lt;"&amp;$DF9,$B9:$Y9)+SUMIF($AD$3:$BA$3,"&gt;="&amp;$DG9,$B9:$Y9)),
IF(AG$3=$DF9+'Model Setup'!$N$7,SUMIF($AD$3:$BA$3,"="&amp;$DF9+'Model Setup'!$N$7,$B9:$Y9)+'Model Setup'!$N$8*(SUMIF($AD$3:$BA$3,"&lt;"&amp;$DF9,$B9:$Y9)+SUMIF($AD$3:$BA$3,"&gt;="&amp;$DG9,$B9:$Y9)),
IF(AG$3&lt;$DG9,E9,0))))))))))))))),0)</f>
        <v>0</v>
      </c>
      <c r="AH9" s="47">
        <f>ROUND(IF(AH$3&lt;$DF9,0,
IF(AH$3=$DF9+'Model Setup'!$B$7,SUMIF($AD$3:$BA$3,"="&amp;$DF9+'Model Setup'!$B$7,$B9:$Y9)+'Model Setup'!$B$8*(SUMIF($AD$3:$BA$3,"&lt;"&amp;$DF9,$B9:$Y9)+SUMIF($AD$3:$BA$3,"&gt;="&amp;$DG9,$B9:$Y9)),
IF(AH$3=$DF9+'Model Setup'!$C$7,SUMIF($AD$3:$BA$3,"="&amp;$DF9+'Model Setup'!$C$7,$B9:$Y9)+'Model Setup'!$C$8*(SUMIF($AD$3:$BA$3,"&lt;"&amp;$DF9,$B9:$Y9)+SUMIF($AD$3:$BA$3,"&gt;="&amp;$DG9,$B9:$Y9)),
IF(AH$3=$DF9+'Model Setup'!$D$7,SUMIF($AD$3:$BA$3,"="&amp;$DF9+'Model Setup'!$D$7,$B9:$Y9)+'Model Setup'!$D$8*(SUMIF($AD$3:$BA$3,"&lt;"&amp;$DF9,$B9:$Y9)+SUMIF($AD$3:$BA$3,"&gt;="&amp;$DG9,$B9:$Y9)),
IF(AH$3=$DF9+'Model Setup'!$E$7,SUMIF($AD$3:$BA$3,"="&amp;$DF9+'Model Setup'!$E$7,$B9:$Y9)+'Model Setup'!$E$8*(SUMIF($AD$3:$BA$3,"&lt;"&amp;$DF9,$B9:$Y9)+SUMIF($AD$3:$BA$3,"&gt;="&amp;$DG9,$B9:$Y9)),
IF(AH$3=$DF9+'Model Setup'!$F$7,SUMIF($AD$3:$BA$3,"="&amp;$DF9+'Model Setup'!$F$7,$B9:$Y9)+'Model Setup'!$F$8*(SUMIF($AD$3:$BA$3,"&lt;"&amp;$DF9,$B9:$Y9)+SUMIF($AD$3:$BA$3,"&gt;="&amp;$DG9,$B9:$Y9)),
IF(AH$3=$DF9+'Model Setup'!$G$7,SUMIF($AD$3:$BA$3,"="&amp;$DF9+'Model Setup'!$G$7,$B9:$Y9)+'Model Setup'!$G$8*(SUMIF($AD$3:$BA$3,"&lt;"&amp;$DF9,$B9:$Y9)+SUMIF($AD$3:$BA$3,"&gt;="&amp;$DG9,$B9:$Y9)),
IF(AH$3=$DF9+'Model Setup'!$H$7,SUMIF($AD$3:$BA$3,"="&amp;$DF9+'Model Setup'!$H$7,$B9:$Y9)+'Model Setup'!$H$8*(SUMIF($AD$3:$BA$3,"&lt;"&amp;$DF9,$B9:$Y9)+SUMIF($AD$3:$BA$3,"&gt;="&amp;$DG9,$B9:$Y9)),
IF(AH$3=$DF9+'Model Setup'!$I$7,SUMIF($AD$3:$BA$3,"="&amp;$DF9+'Model Setup'!$I$7,$B9:$Y9)+'Model Setup'!$I$8*(SUMIF($AD$3:$BA$3,"&lt;"&amp;$DF9,$B9:$Y9)+SUMIF($AD$3:$BA$3,"&gt;="&amp;$DG9,$B9:$Y9)),
IF(AH$3=$DF9+'Model Setup'!$J$7,SUMIF($AD$3:$BA$3,"="&amp;$DF9+'Model Setup'!$J$7,$B9:$Y9)+'Model Setup'!$J$8*(SUMIF($AD$3:$BA$3,"&lt;"&amp;$DF9,$B9:$Y9)+SUMIF($AD$3:$BA$3,"&gt;="&amp;$DG9,$B9:$Y9)),
IF(AH$3=$DF9+'Model Setup'!$K$7,SUMIF($AD$3:$BA$3,"="&amp;$DF9+'Model Setup'!$K$7,$B9:$Y9)+'Model Setup'!$K$8*(SUMIF($AD$3:$BA$3,"&lt;"&amp;$DF9,$B9:$Y9)+SUMIF($AD$3:$BA$3,"&gt;="&amp;$DG9,$B9:$Y9)),
IF(AH$3=$DF9+'Model Setup'!$L$7,SUMIF($AD$3:$BA$3,"="&amp;$DF9+'Model Setup'!$L$7,$B9:$Y9)+'Model Setup'!$L$8*(SUMIF($AD$3:$BA$3,"&lt;"&amp;$DF9,$B9:$Y9)+SUMIF($AD$3:$BA$3,"&gt;="&amp;$DG9,$B9:$Y9)),
IF(AH$3=$DF9+'Model Setup'!$M$7,SUMIF($AD$3:$BA$3,"="&amp;$DF9+'Model Setup'!$M$7,$B9:$Y9)+'Model Setup'!$M$8*(SUMIF($AD$3:$BA$3,"&lt;"&amp;$DF9,$B9:$Y9)+SUMIF($AD$3:$BA$3,"&gt;="&amp;$DG9,$B9:$Y9)),
IF(AH$3=$DF9+'Model Setup'!$N$7,SUMIF($AD$3:$BA$3,"="&amp;$DF9+'Model Setup'!$N$7,$B9:$Y9)+'Model Setup'!$N$8*(SUMIF($AD$3:$BA$3,"&lt;"&amp;$DF9,$B9:$Y9)+SUMIF($AD$3:$BA$3,"&gt;="&amp;$DG9,$B9:$Y9)),
IF(AH$3&lt;$DG9,F9,0))))))))))))))),0)</f>
        <v>0</v>
      </c>
      <c r="AI9" s="47">
        <f>ROUND(IF(AI$3&lt;$DF9,0,
IF(AI$3=$DF9+'Model Setup'!$B$7,SUMIF($AD$3:$BA$3,"="&amp;$DF9+'Model Setup'!$B$7,$B9:$Y9)+'Model Setup'!$B$8*(SUMIF($AD$3:$BA$3,"&lt;"&amp;$DF9,$B9:$Y9)+SUMIF($AD$3:$BA$3,"&gt;="&amp;$DG9,$B9:$Y9)),
IF(AI$3=$DF9+'Model Setup'!$C$7,SUMIF($AD$3:$BA$3,"="&amp;$DF9+'Model Setup'!$C$7,$B9:$Y9)+'Model Setup'!$C$8*(SUMIF($AD$3:$BA$3,"&lt;"&amp;$DF9,$B9:$Y9)+SUMIF($AD$3:$BA$3,"&gt;="&amp;$DG9,$B9:$Y9)),
IF(AI$3=$DF9+'Model Setup'!$D$7,SUMIF($AD$3:$BA$3,"="&amp;$DF9+'Model Setup'!$D$7,$B9:$Y9)+'Model Setup'!$D$8*(SUMIF($AD$3:$BA$3,"&lt;"&amp;$DF9,$B9:$Y9)+SUMIF($AD$3:$BA$3,"&gt;="&amp;$DG9,$B9:$Y9)),
IF(AI$3=$DF9+'Model Setup'!$E$7,SUMIF($AD$3:$BA$3,"="&amp;$DF9+'Model Setup'!$E$7,$B9:$Y9)+'Model Setup'!$E$8*(SUMIF($AD$3:$BA$3,"&lt;"&amp;$DF9,$B9:$Y9)+SUMIF($AD$3:$BA$3,"&gt;="&amp;$DG9,$B9:$Y9)),
IF(AI$3=$DF9+'Model Setup'!$F$7,SUMIF($AD$3:$BA$3,"="&amp;$DF9+'Model Setup'!$F$7,$B9:$Y9)+'Model Setup'!$F$8*(SUMIF($AD$3:$BA$3,"&lt;"&amp;$DF9,$B9:$Y9)+SUMIF($AD$3:$BA$3,"&gt;="&amp;$DG9,$B9:$Y9)),
IF(AI$3=$DF9+'Model Setup'!$G$7,SUMIF($AD$3:$BA$3,"="&amp;$DF9+'Model Setup'!$G$7,$B9:$Y9)+'Model Setup'!$G$8*(SUMIF($AD$3:$BA$3,"&lt;"&amp;$DF9,$B9:$Y9)+SUMIF($AD$3:$BA$3,"&gt;="&amp;$DG9,$B9:$Y9)),
IF(AI$3=$DF9+'Model Setup'!$H$7,SUMIF($AD$3:$BA$3,"="&amp;$DF9+'Model Setup'!$H$7,$B9:$Y9)+'Model Setup'!$H$8*(SUMIF($AD$3:$BA$3,"&lt;"&amp;$DF9,$B9:$Y9)+SUMIF($AD$3:$BA$3,"&gt;="&amp;$DG9,$B9:$Y9)),
IF(AI$3=$DF9+'Model Setup'!$I$7,SUMIF($AD$3:$BA$3,"="&amp;$DF9+'Model Setup'!$I$7,$B9:$Y9)+'Model Setup'!$I$8*(SUMIF($AD$3:$BA$3,"&lt;"&amp;$DF9,$B9:$Y9)+SUMIF($AD$3:$BA$3,"&gt;="&amp;$DG9,$B9:$Y9)),
IF(AI$3=$DF9+'Model Setup'!$J$7,SUMIF($AD$3:$BA$3,"="&amp;$DF9+'Model Setup'!$J$7,$B9:$Y9)+'Model Setup'!$J$8*(SUMIF($AD$3:$BA$3,"&lt;"&amp;$DF9,$B9:$Y9)+SUMIF($AD$3:$BA$3,"&gt;="&amp;$DG9,$B9:$Y9)),
IF(AI$3=$DF9+'Model Setup'!$K$7,SUMIF($AD$3:$BA$3,"="&amp;$DF9+'Model Setup'!$K$7,$B9:$Y9)+'Model Setup'!$K$8*(SUMIF($AD$3:$BA$3,"&lt;"&amp;$DF9,$B9:$Y9)+SUMIF($AD$3:$BA$3,"&gt;="&amp;$DG9,$B9:$Y9)),
IF(AI$3=$DF9+'Model Setup'!$L$7,SUMIF($AD$3:$BA$3,"="&amp;$DF9+'Model Setup'!$L$7,$B9:$Y9)+'Model Setup'!$L$8*(SUMIF($AD$3:$BA$3,"&lt;"&amp;$DF9,$B9:$Y9)+SUMIF($AD$3:$BA$3,"&gt;="&amp;$DG9,$B9:$Y9)),
IF(AI$3=$DF9+'Model Setup'!$M$7,SUMIF($AD$3:$BA$3,"="&amp;$DF9+'Model Setup'!$M$7,$B9:$Y9)+'Model Setup'!$M$8*(SUMIF($AD$3:$BA$3,"&lt;"&amp;$DF9,$B9:$Y9)+SUMIF($AD$3:$BA$3,"&gt;="&amp;$DG9,$B9:$Y9)),
IF(AI$3=$DF9+'Model Setup'!$N$7,SUMIF($AD$3:$BA$3,"="&amp;$DF9+'Model Setup'!$N$7,$B9:$Y9)+'Model Setup'!$N$8*(SUMIF($AD$3:$BA$3,"&lt;"&amp;$DF9,$B9:$Y9)+SUMIF($AD$3:$BA$3,"&gt;="&amp;$DG9,$B9:$Y9)),
IF(AI$3&lt;$DG9,G9,0))))))))))))))),0)</f>
        <v>0</v>
      </c>
      <c r="AJ9" s="47">
        <f>ROUND(IF(AJ$3&lt;$DF9,0,
IF(AJ$3=$DF9+'Model Setup'!$B$7,SUMIF($AD$3:$BA$3,"="&amp;$DF9+'Model Setup'!$B$7,$B9:$Y9)+'Model Setup'!$B$8*(SUMIF($AD$3:$BA$3,"&lt;"&amp;$DF9,$B9:$Y9)+SUMIF($AD$3:$BA$3,"&gt;="&amp;$DG9,$B9:$Y9)),
IF(AJ$3=$DF9+'Model Setup'!$C$7,SUMIF($AD$3:$BA$3,"="&amp;$DF9+'Model Setup'!$C$7,$B9:$Y9)+'Model Setup'!$C$8*(SUMIF($AD$3:$BA$3,"&lt;"&amp;$DF9,$B9:$Y9)+SUMIF($AD$3:$BA$3,"&gt;="&amp;$DG9,$B9:$Y9)),
IF(AJ$3=$DF9+'Model Setup'!$D$7,SUMIF($AD$3:$BA$3,"="&amp;$DF9+'Model Setup'!$D$7,$B9:$Y9)+'Model Setup'!$D$8*(SUMIF($AD$3:$BA$3,"&lt;"&amp;$DF9,$B9:$Y9)+SUMIF($AD$3:$BA$3,"&gt;="&amp;$DG9,$B9:$Y9)),
IF(AJ$3=$DF9+'Model Setup'!$E$7,SUMIF($AD$3:$BA$3,"="&amp;$DF9+'Model Setup'!$E$7,$B9:$Y9)+'Model Setup'!$E$8*(SUMIF($AD$3:$BA$3,"&lt;"&amp;$DF9,$B9:$Y9)+SUMIF($AD$3:$BA$3,"&gt;="&amp;$DG9,$B9:$Y9)),
IF(AJ$3=$DF9+'Model Setup'!$F$7,SUMIF($AD$3:$BA$3,"="&amp;$DF9+'Model Setup'!$F$7,$B9:$Y9)+'Model Setup'!$F$8*(SUMIF($AD$3:$BA$3,"&lt;"&amp;$DF9,$B9:$Y9)+SUMIF($AD$3:$BA$3,"&gt;="&amp;$DG9,$B9:$Y9)),
IF(AJ$3=$DF9+'Model Setup'!$G$7,SUMIF($AD$3:$BA$3,"="&amp;$DF9+'Model Setup'!$G$7,$B9:$Y9)+'Model Setup'!$G$8*(SUMIF($AD$3:$BA$3,"&lt;"&amp;$DF9,$B9:$Y9)+SUMIF($AD$3:$BA$3,"&gt;="&amp;$DG9,$B9:$Y9)),
IF(AJ$3=$DF9+'Model Setup'!$H$7,SUMIF($AD$3:$BA$3,"="&amp;$DF9+'Model Setup'!$H$7,$B9:$Y9)+'Model Setup'!$H$8*(SUMIF($AD$3:$BA$3,"&lt;"&amp;$DF9,$B9:$Y9)+SUMIF($AD$3:$BA$3,"&gt;="&amp;$DG9,$B9:$Y9)),
IF(AJ$3=$DF9+'Model Setup'!$I$7,SUMIF($AD$3:$BA$3,"="&amp;$DF9+'Model Setup'!$I$7,$B9:$Y9)+'Model Setup'!$I$8*(SUMIF($AD$3:$BA$3,"&lt;"&amp;$DF9,$B9:$Y9)+SUMIF($AD$3:$BA$3,"&gt;="&amp;$DG9,$B9:$Y9)),
IF(AJ$3=$DF9+'Model Setup'!$J$7,SUMIF($AD$3:$BA$3,"="&amp;$DF9+'Model Setup'!$J$7,$B9:$Y9)+'Model Setup'!$J$8*(SUMIF($AD$3:$BA$3,"&lt;"&amp;$DF9,$B9:$Y9)+SUMIF($AD$3:$BA$3,"&gt;="&amp;$DG9,$B9:$Y9)),
IF(AJ$3=$DF9+'Model Setup'!$K$7,SUMIF($AD$3:$BA$3,"="&amp;$DF9+'Model Setup'!$K$7,$B9:$Y9)+'Model Setup'!$K$8*(SUMIF($AD$3:$BA$3,"&lt;"&amp;$DF9,$B9:$Y9)+SUMIF($AD$3:$BA$3,"&gt;="&amp;$DG9,$B9:$Y9)),
IF(AJ$3=$DF9+'Model Setup'!$L$7,SUMIF($AD$3:$BA$3,"="&amp;$DF9+'Model Setup'!$L$7,$B9:$Y9)+'Model Setup'!$L$8*(SUMIF($AD$3:$BA$3,"&lt;"&amp;$DF9,$B9:$Y9)+SUMIF($AD$3:$BA$3,"&gt;="&amp;$DG9,$B9:$Y9)),
IF(AJ$3=$DF9+'Model Setup'!$M$7,SUMIF($AD$3:$BA$3,"="&amp;$DF9+'Model Setup'!$M$7,$B9:$Y9)+'Model Setup'!$M$8*(SUMIF($AD$3:$BA$3,"&lt;"&amp;$DF9,$B9:$Y9)+SUMIF($AD$3:$BA$3,"&gt;="&amp;$DG9,$B9:$Y9)),
IF(AJ$3=$DF9+'Model Setup'!$N$7,SUMIF($AD$3:$BA$3,"="&amp;$DF9+'Model Setup'!$N$7,$B9:$Y9)+'Model Setup'!$N$8*(SUMIF($AD$3:$BA$3,"&lt;"&amp;$DF9,$B9:$Y9)+SUMIF($AD$3:$BA$3,"&gt;="&amp;$DG9,$B9:$Y9)),
IF(AJ$3&lt;$DG9,H9,0))))))))))))))),0)</f>
        <v>0</v>
      </c>
      <c r="AK9" s="47">
        <f>ROUND(IF(AK$3&lt;$DF9,0,
IF(AK$3=$DF9+'Model Setup'!$B$7,SUMIF($AD$3:$BA$3,"="&amp;$DF9+'Model Setup'!$B$7,$B9:$Y9)+'Model Setup'!$B$8*(SUMIF($AD$3:$BA$3,"&lt;"&amp;$DF9,$B9:$Y9)+SUMIF($AD$3:$BA$3,"&gt;="&amp;$DG9,$B9:$Y9)),
IF(AK$3=$DF9+'Model Setup'!$C$7,SUMIF($AD$3:$BA$3,"="&amp;$DF9+'Model Setup'!$C$7,$B9:$Y9)+'Model Setup'!$C$8*(SUMIF($AD$3:$BA$3,"&lt;"&amp;$DF9,$B9:$Y9)+SUMIF($AD$3:$BA$3,"&gt;="&amp;$DG9,$B9:$Y9)),
IF(AK$3=$DF9+'Model Setup'!$D$7,SUMIF($AD$3:$BA$3,"="&amp;$DF9+'Model Setup'!$D$7,$B9:$Y9)+'Model Setup'!$D$8*(SUMIF($AD$3:$BA$3,"&lt;"&amp;$DF9,$B9:$Y9)+SUMIF($AD$3:$BA$3,"&gt;="&amp;$DG9,$B9:$Y9)),
IF(AK$3=$DF9+'Model Setup'!$E$7,SUMIF($AD$3:$BA$3,"="&amp;$DF9+'Model Setup'!$E$7,$B9:$Y9)+'Model Setup'!$E$8*(SUMIF($AD$3:$BA$3,"&lt;"&amp;$DF9,$B9:$Y9)+SUMIF($AD$3:$BA$3,"&gt;="&amp;$DG9,$B9:$Y9)),
IF(AK$3=$DF9+'Model Setup'!$F$7,SUMIF($AD$3:$BA$3,"="&amp;$DF9+'Model Setup'!$F$7,$B9:$Y9)+'Model Setup'!$F$8*(SUMIF($AD$3:$BA$3,"&lt;"&amp;$DF9,$B9:$Y9)+SUMIF($AD$3:$BA$3,"&gt;="&amp;$DG9,$B9:$Y9)),
IF(AK$3=$DF9+'Model Setup'!$G$7,SUMIF($AD$3:$BA$3,"="&amp;$DF9+'Model Setup'!$G$7,$B9:$Y9)+'Model Setup'!$G$8*(SUMIF($AD$3:$BA$3,"&lt;"&amp;$DF9,$B9:$Y9)+SUMIF($AD$3:$BA$3,"&gt;="&amp;$DG9,$B9:$Y9)),
IF(AK$3=$DF9+'Model Setup'!$H$7,SUMIF($AD$3:$BA$3,"="&amp;$DF9+'Model Setup'!$H$7,$B9:$Y9)+'Model Setup'!$H$8*(SUMIF($AD$3:$BA$3,"&lt;"&amp;$DF9,$B9:$Y9)+SUMIF($AD$3:$BA$3,"&gt;="&amp;$DG9,$B9:$Y9)),
IF(AK$3=$DF9+'Model Setup'!$I$7,SUMIF($AD$3:$BA$3,"="&amp;$DF9+'Model Setup'!$I$7,$B9:$Y9)+'Model Setup'!$I$8*(SUMIF($AD$3:$BA$3,"&lt;"&amp;$DF9,$B9:$Y9)+SUMIF($AD$3:$BA$3,"&gt;="&amp;$DG9,$B9:$Y9)),
IF(AK$3=$DF9+'Model Setup'!$J$7,SUMIF($AD$3:$BA$3,"="&amp;$DF9+'Model Setup'!$J$7,$B9:$Y9)+'Model Setup'!$J$8*(SUMIF($AD$3:$BA$3,"&lt;"&amp;$DF9,$B9:$Y9)+SUMIF($AD$3:$BA$3,"&gt;="&amp;$DG9,$B9:$Y9)),
IF(AK$3=$DF9+'Model Setup'!$K$7,SUMIF($AD$3:$BA$3,"="&amp;$DF9+'Model Setup'!$K$7,$B9:$Y9)+'Model Setup'!$K$8*(SUMIF($AD$3:$BA$3,"&lt;"&amp;$DF9,$B9:$Y9)+SUMIF($AD$3:$BA$3,"&gt;="&amp;$DG9,$B9:$Y9)),
IF(AK$3=$DF9+'Model Setup'!$L$7,SUMIF($AD$3:$BA$3,"="&amp;$DF9+'Model Setup'!$L$7,$B9:$Y9)+'Model Setup'!$L$8*(SUMIF($AD$3:$BA$3,"&lt;"&amp;$DF9,$B9:$Y9)+SUMIF($AD$3:$BA$3,"&gt;="&amp;$DG9,$B9:$Y9)),
IF(AK$3=$DF9+'Model Setup'!$M$7,SUMIF($AD$3:$BA$3,"="&amp;$DF9+'Model Setup'!$M$7,$B9:$Y9)+'Model Setup'!$M$8*(SUMIF($AD$3:$BA$3,"&lt;"&amp;$DF9,$B9:$Y9)+SUMIF($AD$3:$BA$3,"&gt;="&amp;$DG9,$B9:$Y9)),
IF(AK$3=$DF9+'Model Setup'!$N$7,SUMIF($AD$3:$BA$3,"="&amp;$DF9+'Model Setup'!$N$7,$B9:$Y9)+'Model Setup'!$N$8*(SUMIF($AD$3:$BA$3,"&lt;"&amp;$DF9,$B9:$Y9)+SUMIF($AD$3:$BA$3,"&gt;="&amp;$DG9,$B9:$Y9)),
IF(AK$3&lt;$DG9,I9,0))))))))))))))),0)</f>
        <v>0</v>
      </c>
      <c r="AL9" s="47">
        <f>ROUND(IF(AL$3&lt;$DF9,0,
IF(AL$3=$DF9+'Model Setup'!$B$7,SUMIF($AD$3:$BA$3,"="&amp;$DF9+'Model Setup'!$B$7,$B9:$Y9)+'Model Setup'!$B$8*(SUMIF($AD$3:$BA$3,"&lt;"&amp;$DF9,$B9:$Y9)+SUMIF($AD$3:$BA$3,"&gt;="&amp;$DG9,$B9:$Y9)),
IF(AL$3=$DF9+'Model Setup'!$C$7,SUMIF($AD$3:$BA$3,"="&amp;$DF9+'Model Setup'!$C$7,$B9:$Y9)+'Model Setup'!$C$8*(SUMIF($AD$3:$BA$3,"&lt;"&amp;$DF9,$B9:$Y9)+SUMIF($AD$3:$BA$3,"&gt;="&amp;$DG9,$B9:$Y9)),
IF(AL$3=$DF9+'Model Setup'!$D$7,SUMIF($AD$3:$BA$3,"="&amp;$DF9+'Model Setup'!$D$7,$B9:$Y9)+'Model Setup'!$D$8*(SUMIF($AD$3:$BA$3,"&lt;"&amp;$DF9,$B9:$Y9)+SUMIF($AD$3:$BA$3,"&gt;="&amp;$DG9,$B9:$Y9)),
IF(AL$3=$DF9+'Model Setup'!$E$7,SUMIF($AD$3:$BA$3,"="&amp;$DF9+'Model Setup'!$E$7,$B9:$Y9)+'Model Setup'!$E$8*(SUMIF($AD$3:$BA$3,"&lt;"&amp;$DF9,$B9:$Y9)+SUMIF($AD$3:$BA$3,"&gt;="&amp;$DG9,$B9:$Y9)),
IF(AL$3=$DF9+'Model Setup'!$F$7,SUMIF($AD$3:$BA$3,"="&amp;$DF9+'Model Setup'!$F$7,$B9:$Y9)+'Model Setup'!$F$8*(SUMIF($AD$3:$BA$3,"&lt;"&amp;$DF9,$B9:$Y9)+SUMIF($AD$3:$BA$3,"&gt;="&amp;$DG9,$B9:$Y9)),
IF(AL$3=$DF9+'Model Setup'!$G$7,SUMIF($AD$3:$BA$3,"="&amp;$DF9+'Model Setup'!$G$7,$B9:$Y9)+'Model Setup'!$G$8*(SUMIF($AD$3:$BA$3,"&lt;"&amp;$DF9,$B9:$Y9)+SUMIF($AD$3:$BA$3,"&gt;="&amp;$DG9,$B9:$Y9)),
IF(AL$3=$DF9+'Model Setup'!$H$7,SUMIF($AD$3:$BA$3,"="&amp;$DF9+'Model Setup'!$H$7,$B9:$Y9)+'Model Setup'!$H$8*(SUMIF($AD$3:$BA$3,"&lt;"&amp;$DF9,$B9:$Y9)+SUMIF($AD$3:$BA$3,"&gt;="&amp;$DG9,$B9:$Y9)),
IF(AL$3=$DF9+'Model Setup'!$I$7,SUMIF($AD$3:$BA$3,"="&amp;$DF9+'Model Setup'!$I$7,$B9:$Y9)+'Model Setup'!$I$8*(SUMIF($AD$3:$BA$3,"&lt;"&amp;$DF9,$B9:$Y9)+SUMIF($AD$3:$BA$3,"&gt;="&amp;$DG9,$B9:$Y9)),
IF(AL$3=$DF9+'Model Setup'!$J$7,SUMIF($AD$3:$BA$3,"="&amp;$DF9+'Model Setup'!$J$7,$B9:$Y9)+'Model Setup'!$J$8*(SUMIF($AD$3:$BA$3,"&lt;"&amp;$DF9,$B9:$Y9)+SUMIF($AD$3:$BA$3,"&gt;="&amp;$DG9,$B9:$Y9)),
IF(AL$3=$DF9+'Model Setup'!$K$7,SUMIF($AD$3:$BA$3,"="&amp;$DF9+'Model Setup'!$K$7,$B9:$Y9)+'Model Setup'!$K$8*(SUMIF($AD$3:$BA$3,"&lt;"&amp;$DF9,$B9:$Y9)+SUMIF($AD$3:$BA$3,"&gt;="&amp;$DG9,$B9:$Y9)),
IF(AL$3=$DF9+'Model Setup'!$L$7,SUMIF($AD$3:$BA$3,"="&amp;$DF9+'Model Setup'!$L$7,$B9:$Y9)+'Model Setup'!$L$8*(SUMIF($AD$3:$BA$3,"&lt;"&amp;$DF9,$B9:$Y9)+SUMIF($AD$3:$BA$3,"&gt;="&amp;$DG9,$B9:$Y9)),
IF(AL$3=$DF9+'Model Setup'!$M$7,SUMIF($AD$3:$BA$3,"="&amp;$DF9+'Model Setup'!$M$7,$B9:$Y9)+'Model Setup'!$M$8*(SUMIF($AD$3:$BA$3,"&lt;"&amp;$DF9,$B9:$Y9)+SUMIF($AD$3:$BA$3,"&gt;="&amp;$DG9,$B9:$Y9)),
IF(AL$3=$DF9+'Model Setup'!$N$7,SUMIF($AD$3:$BA$3,"="&amp;$DF9+'Model Setup'!$N$7,$B9:$Y9)+'Model Setup'!$N$8*(SUMIF($AD$3:$BA$3,"&lt;"&amp;$DF9,$B9:$Y9)+SUMIF($AD$3:$BA$3,"&gt;="&amp;$DG9,$B9:$Y9)),
IF(AL$3&lt;$DG9,J9,0))))))))))))))),0)</f>
        <v>526</v>
      </c>
      <c r="AM9" s="47">
        <f>ROUND(IF(AM$3&lt;$DF9,0,
IF(AM$3=$DF9+'Model Setup'!$B$7,SUMIF($AD$3:$BA$3,"="&amp;$DF9+'Model Setup'!$B$7,$B9:$Y9)+'Model Setup'!$B$8*(SUMIF($AD$3:$BA$3,"&lt;"&amp;$DF9,$B9:$Y9)+SUMIF($AD$3:$BA$3,"&gt;="&amp;$DG9,$B9:$Y9)),
IF(AM$3=$DF9+'Model Setup'!$C$7,SUMIF($AD$3:$BA$3,"="&amp;$DF9+'Model Setup'!$C$7,$B9:$Y9)+'Model Setup'!$C$8*(SUMIF($AD$3:$BA$3,"&lt;"&amp;$DF9,$B9:$Y9)+SUMIF($AD$3:$BA$3,"&gt;="&amp;$DG9,$B9:$Y9)),
IF(AM$3=$DF9+'Model Setup'!$D$7,SUMIF($AD$3:$BA$3,"="&amp;$DF9+'Model Setup'!$D$7,$B9:$Y9)+'Model Setup'!$D$8*(SUMIF($AD$3:$BA$3,"&lt;"&amp;$DF9,$B9:$Y9)+SUMIF($AD$3:$BA$3,"&gt;="&amp;$DG9,$B9:$Y9)),
IF(AM$3=$DF9+'Model Setup'!$E$7,SUMIF($AD$3:$BA$3,"="&amp;$DF9+'Model Setup'!$E$7,$B9:$Y9)+'Model Setup'!$E$8*(SUMIF($AD$3:$BA$3,"&lt;"&amp;$DF9,$B9:$Y9)+SUMIF($AD$3:$BA$3,"&gt;="&amp;$DG9,$B9:$Y9)),
IF(AM$3=$DF9+'Model Setup'!$F$7,SUMIF($AD$3:$BA$3,"="&amp;$DF9+'Model Setup'!$F$7,$B9:$Y9)+'Model Setup'!$F$8*(SUMIF($AD$3:$BA$3,"&lt;"&amp;$DF9,$B9:$Y9)+SUMIF($AD$3:$BA$3,"&gt;="&amp;$DG9,$B9:$Y9)),
IF(AM$3=$DF9+'Model Setup'!$G$7,SUMIF($AD$3:$BA$3,"="&amp;$DF9+'Model Setup'!$G$7,$B9:$Y9)+'Model Setup'!$G$8*(SUMIF($AD$3:$BA$3,"&lt;"&amp;$DF9,$B9:$Y9)+SUMIF($AD$3:$BA$3,"&gt;="&amp;$DG9,$B9:$Y9)),
IF(AM$3=$DF9+'Model Setup'!$H$7,SUMIF($AD$3:$BA$3,"="&amp;$DF9+'Model Setup'!$H$7,$B9:$Y9)+'Model Setup'!$H$8*(SUMIF($AD$3:$BA$3,"&lt;"&amp;$DF9,$B9:$Y9)+SUMIF($AD$3:$BA$3,"&gt;="&amp;$DG9,$B9:$Y9)),
IF(AM$3=$DF9+'Model Setup'!$I$7,SUMIF($AD$3:$BA$3,"="&amp;$DF9+'Model Setup'!$I$7,$B9:$Y9)+'Model Setup'!$I$8*(SUMIF($AD$3:$BA$3,"&lt;"&amp;$DF9,$B9:$Y9)+SUMIF($AD$3:$BA$3,"&gt;="&amp;$DG9,$B9:$Y9)),
IF(AM$3=$DF9+'Model Setup'!$J$7,SUMIF($AD$3:$BA$3,"="&amp;$DF9+'Model Setup'!$J$7,$B9:$Y9)+'Model Setup'!$J$8*(SUMIF($AD$3:$BA$3,"&lt;"&amp;$DF9,$B9:$Y9)+SUMIF($AD$3:$BA$3,"&gt;="&amp;$DG9,$B9:$Y9)),
IF(AM$3=$DF9+'Model Setup'!$K$7,SUMIF($AD$3:$BA$3,"="&amp;$DF9+'Model Setup'!$K$7,$B9:$Y9)+'Model Setup'!$K$8*(SUMIF($AD$3:$BA$3,"&lt;"&amp;$DF9,$B9:$Y9)+SUMIF($AD$3:$BA$3,"&gt;="&amp;$DG9,$B9:$Y9)),
IF(AM$3=$DF9+'Model Setup'!$L$7,SUMIF($AD$3:$BA$3,"="&amp;$DF9+'Model Setup'!$L$7,$B9:$Y9)+'Model Setup'!$L$8*(SUMIF($AD$3:$BA$3,"&lt;"&amp;$DF9,$B9:$Y9)+SUMIF($AD$3:$BA$3,"&gt;="&amp;$DG9,$B9:$Y9)),
IF(AM$3=$DF9+'Model Setup'!$M$7,SUMIF($AD$3:$BA$3,"="&amp;$DF9+'Model Setup'!$M$7,$B9:$Y9)+'Model Setup'!$M$8*(SUMIF($AD$3:$BA$3,"&lt;"&amp;$DF9,$B9:$Y9)+SUMIF($AD$3:$BA$3,"&gt;="&amp;$DG9,$B9:$Y9)),
IF(AM$3=$DF9+'Model Setup'!$N$7,SUMIF($AD$3:$BA$3,"="&amp;$DF9+'Model Setup'!$N$7,$B9:$Y9)+'Model Setup'!$N$8*(SUMIF($AD$3:$BA$3,"&lt;"&amp;$DF9,$B9:$Y9)+SUMIF($AD$3:$BA$3,"&gt;="&amp;$DG9,$B9:$Y9)),
IF(AM$3&lt;$DG9,K9,0))))))))))))))),0)</f>
        <v>681</v>
      </c>
      <c r="AN9" s="47">
        <f>ROUND(IF(AN$3&lt;$DF9,0,
IF(AN$3=$DF9+'Model Setup'!$B$7,SUMIF($AD$3:$BA$3,"="&amp;$DF9+'Model Setup'!$B$7,$B9:$Y9)+'Model Setup'!$B$8*(SUMIF($AD$3:$BA$3,"&lt;"&amp;$DF9,$B9:$Y9)+SUMIF($AD$3:$BA$3,"&gt;="&amp;$DG9,$B9:$Y9)),
IF(AN$3=$DF9+'Model Setup'!$C$7,SUMIF($AD$3:$BA$3,"="&amp;$DF9+'Model Setup'!$C$7,$B9:$Y9)+'Model Setup'!$C$8*(SUMIF($AD$3:$BA$3,"&lt;"&amp;$DF9,$B9:$Y9)+SUMIF($AD$3:$BA$3,"&gt;="&amp;$DG9,$B9:$Y9)),
IF(AN$3=$DF9+'Model Setup'!$D$7,SUMIF($AD$3:$BA$3,"="&amp;$DF9+'Model Setup'!$D$7,$B9:$Y9)+'Model Setup'!$D$8*(SUMIF($AD$3:$BA$3,"&lt;"&amp;$DF9,$B9:$Y9)+SUMIF($AD$3:$BA$3,"&gt;="&amp;$DG9,$B9:$Y9)),
IF(AN$3=$DF9+'Model Setup'!$E$7,SUMIF($AD$3:$BA$3,"="&amp;$DF9+'Model Setup'!$E$7,$B9:$Y9)+'Model Setup'!$E$8*(SUMIF($AD$3:$BA$3,"&lt;"&amp;$DF9,$B9:$Y9)+SUMIF($AD$3:$BA$3,"&gt;="&amp;$DG9,$B9:$Y9)),
IF(AN$3=$DF9+'Model Setup'!$F$7,SUMIF($AD$3:$BA$3,"="&amp;$DF9+'Model Setup'!$F$7,$B9:$Y9)+'Model Setup'!$F$8*(SUMIF($AD$3:$BA$3,"&lt;"&amp;$DF9,$B9:$Y9)+SUMIF($AD$3:$BA$3,"&gt;="&amp;$DG9,$B9:$Y9)),
IF(AN$3=$DF9+'Model Setup'!$G$7,SUMIF($AD$3:$BA$3,"="&amp;$DF9+'Model Setup'!$G$7,$B9:$Y9)+'Model Setup'!$G$8*(SUMIF($AD$3:$BA$3,"&lt;"&amp;$DF9,$B9:$Y9)+SUMIF($AD$3:$BA$3,"&gt;="&amp;$DG9,$B9:$Y9)),
IF(AN$3=$DF9+'Model Setup'!$H$7,SUMIF($AD$3:$BA$3,"="&amp;$DF9+'Model Setup'!$H$7,$B9:$Y9)+'Model Setup'!$H$8*(SUMIF($AD$3:$BA$3,"&lt;"&amp;$DF9,$B9:$Y9)+SUMIF($AD$3:$BA$3,"&gt;="&amp;$DG9,$B9:$Y9)),
IF(AN$3=$DF9+'Model Setup'!$I$7,SUMIF($AD$3:$BA$3,"="&amp;$DF9+'Model Setup'!$I$7,$B9:$Y9)+'Model Setup'!$I$8*(SUMIF($AD$3:$BA$3,"&lt;"&amp;$DF9,$B9:$Y9)+SUMIF($AD$3:$BA$3,"&gt;="&amp;$DG9,$B9:$Y9)),
IF(AN$3=$DF9+'Model Setup'!$J$7,SUMIF($AD$3:$BA$3,"="&amp;$DF9+'Model Setup'!$J$7,$B9:$Y9)+'Model Setup'!$J$8*(SUMIF($AD$3:$BA$3,"&lt;"&amp;$DF9,$B9:$Y9)+SUMIF($AD$3:$BA$3,"&gt;="&amp;$DG9,$B9:$Y9)),
IF(AN$3=$DF9+'Model Setup'!$K$7,SUMIF($AD$3:$BA$3,"="&amp;$DF9+'Model Setup'!$K$7,$B9:$Y9)+'Model Setup'!$K$8*(SUMIF($AD$3:$BA$3,"&lt;"&amp;$DF9,$B9:$Y9)+SUMIF($AD$3:$BA$3,"&gt;="&amp;$DG9,$B9:$Y9)),
IF(AN$3=$DF9+'Model Setup'!$L$7,SUMIF($AD$3:$BA$3,"="&amp;$DF9+'Model Setup'!$L$7,$B9:$Y9)+'Model Setup'!$L$8*(SUMIF($AD$3:$BA$3,"&lt;"&amp;$DF9,$B9:$Y9)+SUMIF($AD$3:$BA$3,"&gt;="&amp;$DG9,$B9:$Y9)),
IF(AN$3=$DF9+'Model Setup'!$M$7,SUMIF($AD$3:$BA$3,"="&amp;$DF9+'Model Setup'!$M$7,$B9:$Y9)+'Model Setup'!$M$8*(SUMIF($AD$3:$BA$3,"&lt;"&amp;$DF9,$B9:$Y9)+SUMIF($AD$3:$BA$3,"&gt;="&amp;$DG9,$B9:$Y9)),
IF(AN$3=$DF9+'Model Setup'!$N$7,SUMIF($AD$3:$BA$3,"="&amp;$DF9+'Model Setup'!$N$7,$B9:$Y9)+'Model Setup'!$N$8*(SUMIF($AD$3:$BA$3,"&lt;"&amp;$DF9,$B9:$Y9)+SUMIF($AD$3:$BA$3,"&gt;="&amp;$DG9,$B9:$Y9)),
IF(AN$3&lt;$DG9,L9,0))))))))))))))),0)</f>
        <v>691</v>
      </c>
      <c r="AO9" s="47">
        <f>ROUND(IF(AO$3&lt;$DF9,0,
IF(AO$3=$DF9+'Model Setup'!$B$7,SUMIF($AD$3:$BA$3,"="&amp;$DF9+'Model Setup'!$B$7,$B9:$Y9)+'Model Setup'!$B$8*(SUMIF($AD$3:$BA$3,"&lt;"&amp;$DF9,$B9:$Y9)+SUMIF($AD$3:$BA$3,"&gt;="&amp;$DG9,$B9:$Y9)),
IF(AO$3=$DF9+'Model Setup'!$C$7,SUMIF($AD$3:$BA$3,"="&amp;$DF9+'Model Setup'!$C$7,$B9:$Y9)+'Model Setup'!$C$8*(SUMIF($AD$3:$BA$3,"&lt;"&amp;$DF9,$B9:$Y9)+SUMIF($AD$3:$BA$3,"&gt;="&amp;$DG9,$B9:$Y9)),
IF(AO$3=$DF9+'Model Setup'!$D$7,SUMIF($AD$3:$BA$3,"="&amp;$DF9+'Model Setup'!$D$7,$B9:$Y9)+'Model Setup'!$D$8*(SUMIF($AD$3:$BA$3,"&lt;"&amp;$DF9,$B9:$Y9)+SUMIF($AD$3:$BA$3,"&gt;="&amp;$DG9,$B9:$Y9)),
IF(AO$3=$DF9+'Model Setup'!$E$7,SUMIF($AD$3:$BA$3,"="&amp;$DF9+'Model Setup'!$E$7,$B9:$Y9)+'Model Setup'!$E$8*(SUMIF($AD$3:$BA$3,"&lt;"&amp;$DF9,$B9:$Y9)+SUMIF($AD$3:$BA$3,"&gt;="&amp;$DG9,$B9:$Y9)),
IF(AO$3=$DF9+'Model Setup'!$F$7,SUMIF($AD$3:$BA$3,"="&amp;$DF9+'Model Setup'!$F$7,$B9:$Y9)+'Model Setup'!$F$8*(SUMIF($AD$3:$BA$3,"&lt;"&amp;$DF9,$B9:$Y9)+SUMIF($AD$3:$BA$3,"&gt;="&amp;$DG9,$B9:$Y9)),
IF(AO$3=$DF9+'Model Setup'!$G$7,SUMIF($AD$3:$BA$3,"="&amp;$DF9+'Model Setup'!$G$7,$B9:$Y9)+'Model Setup'!$G$8*(SUMIF($AD$3:$BA$3,"&lt;"&amp;$DF9,$B9:$Y9)+SUMIF($AD$3:$BA$3,"&gt;="&amp;$DG9,$B9:$Y9)),
IF(AO$3=$DF9+'Model Setup'!$H$7,SUMIF($AD$3:$BA$3,"="&amp;$DF9+'Model Setup'!$H$7,$B9:$Y9)+'Model Setup'!$H$8*(SUMIF($AD$3:$BA$3,"&lt;"&amp;$DF9,$B9:$Y9)+SUMIF($AD$3:$BA$3,"&gt;="&amp;$DG9,$B9:$Y9)),
IF(AO$3=$DF9+'Model Setup'!$I$7,SUMIF($AD$3:$BA$3,"="&amp;$DF9+'Model Setup'!$I$7,$B9:$Y9)+'Model Setup'!$I$8*(SUMIF($AD$3:$BA$3,"&lt;"&amp;$DF9,$B9:$Y9)+SUMIF($AD$3:$BA$3,"&gt;="&amp;$DG9,$B9:$Y9)),
IF(AO$3=$DF9+'Model Setup'!$J$7,SUMIF($AD$3:$BA$3,"="&amp;$DF9+'Model Setup'!$J$7,$B9:$Y9)+'Model Setup'!$J$8*(SUMIF($AD$3:$BA$3,"&lt;"&amp;$DF9,$B9:$Y9)+SUMIF($AD$3:$BA$3,"&gt;="&amp;$DG9,$B9:$Y9)),
IF(AO$3=$DF9+'Model Setup'!$K$7,SUMIF($AD$3:$BA$3,"="&amp;$DF9+'Model Setup'!$K$7,$B9:$Y9)+'Model Setup'!$K$8*(SUMIF($AD$3:$BA$3,"&lt;"&amp;$DF9,$B9:$Y9)+SUMIF($AD$3:$BA$3,"&gt;="&amp;$DG9,$B9:$Y9)),
IF(AO$3=$DF9+'Model Setup'!$L$7,SUMIF($AD$3:$BA$3,"="&amp;$DF9+'Model Setup'!$L$7,$B9:$Y9)+'Model Setup'!$L$8*(SUMIF($AD$3:$BA$3,"&lt;"&amp;$DF9,$B9:$Y9)+SUMIF($AD$3:$BA$3,"&gt;="&amp;$DG9,$B9:$Y9)),
IF(AO$3=$DF9+'Model Setup'!$M$7,SUMIF($AD$3:$BA$3,"="&amp;$DF9+'Model Setup'!$M$7,$B9:$Y9)+'Model Setup'!$M$8*(SUMIF($AD$3:$BA$3,"&lt;"&amp;$DF9,$B9:$Y9)+SUMIF($AD$3:$BA$3,"&gt;="&amp;$DG9,$B9:$Y9)),
IF(AO$3=$DF9+'Model Setup'!$N$7,SUMIF($AD$3:$BA$3,"="&amp;$DF9+'Model Setup'!$N$7,$B9:$Y9)+'Model Setup'!$N$8*(SUMIF($AD$3:$BA$3,"&lt;"&amp;$DF9,$B9:$Y9)+SUMIF($AD$3:$BA$3,"&gt;="&amp;$DG9,$B9:$Y9)),
IF(AO$3&lt;$DG9,M9,0))))))))))))))),0)</f>
        <v>526</v>
      </c>
      <c r="AP9" s="47">
        <f>ROUND(IF(AP$3&lt;$DF9,0,
IF(AP$3=$DF9+'Model Setup'!$B$7,SUMIF($AD$3:$BA$3,"="&amp;$DF9+'Model Setup'!$B$7,$B9:$Y9)+'Model Setup'!$B$8*(SUMIF($AD$3:$BA$3,"&lt;"&amp;$DF9,$B9:$Y9)+SUMIF($AD$3:$BA$3,"&gt;="&amp;$DG9,$B9:$Y9)),
IF(AP$3=$DF9+'Model Setup'!$C$7,SUMIF($AD$3:$BA$3,"="&amp;$DF9+'Model Setup'!$C$7,$B9:$Y9)+'Model Setup'!$C$8*(SUMIF($AD$3:$BA$3,"&lt;"&amp;$DF9,$B9:$Y9)+SUMIF($AD$3:$BA$3,"&gt;="&amp;$DG9,$B9:$Y9)),
IF(AP$3=$DF9+'Model Setup'!$D$7,SUMIF($AD$3:$BA$3,"="&amp;$DF9+'Model Setup'!$D$7,$B9:$Y9)+'Model Setup'!$D$8*(SUMIF($AD$3:$BA$3,"&lt;"&amp;$DF9,$B9:$Y9)+SUMIF($AD$3:$BA$3,"&gt;="&amp;$DG9,$B9:$Y9)),
IF(AP$3=$DF9+'Model Setup'!$E$7,SUMIF($AD$3:$BA$3,"="&amp;$DF9+'Model Setup'!$E$7,$B9:$Y9)+'Model Setup'!$E$8*(SUMIF($AD$3:$BA$3,"&lt;"&amp;$DF9,$B9:$Y9)+SUMIF($AD$3:$BA$3,"&gt;="&amp;$DG9,$B9:$Y9)),
IF(AP$3=$DF9+'Model Setup'!$F$7,SUMIF($AD$3:$BA$3,"="&amp;$DF9+'Model Setup'!$F$7,$B9:$Y9)+'Model Setup'!$F$8*(SUMIF($AD$3:$BA$3,"&lt;"&amp;$DF9,$B9:$Y9)+SUMIF($AD$3:$BA$3,"&gt;="&amp;$DG9,$B9:$Y9)),
IF(AP$3=$DF9+'Model Setup'!$G$7,SUMIF($AD$3:$BA$3,"="&amp;$DF9+'Model Setup'!$G$7,$B9:$Y9)+'Model Setup'!$G$8*(SUMIF($AD$3:$BA$3,"&lt;"&amp;$DF9,$B9:$Y9)+SUMIF($AD$3:$BA$3,"&gt;="&amp;$DG9,$B9:$Y9)),
IF(AP$3=$DF9+'Model Setup'!$H$7,SUMIF($AD$3:$BA$3,"="&amp;$DF9+'Model Setup'!$H$7,$B9:$Y9)+'Model Setup'!$H$8*(SUMIF($AD$3:$BA$3,"&lt;"&amp;$DF9,$B9:$Y9)+SUMIF($AD$3:$BA$3,"&gt;="&amp;$DG9,$B9:$Y9)),
IF(AP$3=$DF9+'Model Setup'!$I$7,SUMIF($AD$3:$BA$3,"="&amp;$DF9+'Model Setup'!$I$7,$B9:$Y9)+'Model Setup'!$I$8*(SUMIF($AD$3:$BA$3,"&lt;"&amp;$DF9,$B9:$Y9)+SUMIF($AD$3:$BA$3,"&gt;="&amp;$DG9,$B9:$Y9)),
IF(AP$3=$DF9+'Model Setup'!$J$7,SUMIF($AD$3:$BA$3,"="&amp;$DF9+'Model Setup'!$J$7,$B9:$Y9)+'Model Setup'!$J$8*(SUMIF($AD$3:$BA$3,"&lt;"&amp;$DF9,$B9:$Y9)+SUMIF($AD$3:$BA$3,"&gt;="&amp;$DG9,$B9:$Y9)),
IF(AP$3=$DF9+'Model Setup'!$K$7,SUMIF($AD$3:$BA$3,"="&amp;$DF9+'Model Setup'!$K$7,$B9:$Y9)+'Model Setup'!$K$8*(SUMIF($AD$3:$BA$3,"&lt;"&amp;$DF9,$B9:$Y9)+SUMIF($AD$3:$BA$3,"&gt;="&amp;$DG9,$B9:$Y9)),
IF(AP$3=$DF9+'Model Setup'!$L$7,SUMIF($AD$3:$BA$3,"="&amp;$DF9+'Model Setup'!$L$7,$B9:$Y9)+'Model Setup'!$L$8*(SUMIF($AD$3:$BA$3,"&lt;"&amp;$DF9,$B9:$Y9)+SUMIF($AD$3:$BA$3,"&gt;="&amp;$DG9,$B9:$Y9)),
IF(AP$3=$DF9+'Model Setup'!$M$7,SUMIF($AD$3:$BA$3,"="&amp;$DF9+'Model Setup'!$M$7,$B9:$Y9)+'Model Setup'!$M$8*(SUMIF($AD$3:$BA$3,"&lt;"&amp;$DF9,$B9:$Y9)+SUMIF($AD$3:$BA$3,"&gt;="&amp;$DG9,$B9:$Y9)),
IF(AP$3=$DF9+'Model Setup'!$N$7,SUMIF($AD$3:$BA$3,"="&amp;$DF9+'Model Setup'!$N$7,$B9:$Y9)+'Model Setup'!$N$8*(SUMIF($AD$3:$BA$3,"&lt;"&amp;$DF9,$B9:$Y9)+SUMIF($AD$3:$BA$3,"&gt;="&amp;$DG9,$B9:$Y9)),
IF(AP$3&lt;$DG9,N9,0))))))))))))))),0)</f>
        <v>460</v>
      </c>
      <c r="AQ9" s="47">
        <f>ROUND(IF(AQ$3&lt;$DF9,0,
IF(AQ$3=$DF9+'Model Setup'!$B$7,SUMIF($AD$3:$BA$3,"="&amp;$DF9+'Model Setup'!$B$7,$B9:$Y9)+'Model Setup'!$B$8*(SUMIF($AD$3:$BA$3,"&lt;"&amp;$DF9,$B9:$Y9)+SUMIF($AD$3:$BA$3,"&gt;="&amp;$DG9,$B9:$Y9)),
IF(AQ$3=$DF9+'Model Setup'!$C$7,SUMIF($AD$3:$BA$3,"="&amp;$DF9+'Model Setup'!$C$7,$B9:$Y9)+'Model Setup'!$C$8*(SUMIF($AD$3:$BA$3,"&lt;"&amp;$DF9,$B9:$Y9)+SUMIF($AD$3:$BA$3,"&gt;="&amp;$DG9,$B9:$Y9)),
IF(AQ$3=$DF9+'Model Setup'!$D$7,SUMIF($AD$3:$BA$3,"="&amp;$DF9+'Model Setup'!$D$7,$B9:$Y9)+'Model Setup'!$D$8*(SUMIF($AD$3:$BA$3,"&lt;"&amp;$DF9,$B9:$Y9)+SUMIF($AD$3:$BA$3,"&gt;="&amp;$DG9,$B9:$Y9)),
IF(AQ$3=$DF9+'Model Setup'!$E$7,SUMIF($AD$3:$BA$3,"="&amp;$DF9+'Model Setup'!$E$7,$B9:$Y9)+'Model Setup'!$E$8*(SUMIF($AD$3:$BA$3,"&lt;"&amp;$DF9,$B9:$Y9)+SUMIF($AD$3:$BA$3,"&gt;="&amp;$DG9,$B9:$Y9)),
IF(AQ$3=$DF9+'Model Setup'!$F$7,SUMIF($AD$3:$BA$3,"="&amp;$DF9+'Model Setup'!$F$7,$B9:$Y9)+'Model Setup'!$F$8*(SUMIF($AD$3:$BA$3,"&lt;"&amp;$DF9,$B9:$Y9)+SUMIF($AD$3:$BA$3,"&gt;="&amp;$DG9,$B9:$Y9)),
IF(AQ$3=$DF9+'Model Setup'!$G$7,SUMIF($AD$3:$BA$3,"="&amp;$DF9+'Model Setup'!$G$7,$B9:$Y9)+'Model Setup'!$G$8*(SUMIF($AD$3:$BA$3,"&lt;"&amp;$DF9,$B9:$Y9)+SUMIF($AD$3:$BA$3,"&gt;="&amp;$DG9,$B9:$Y9)),
IF(AQ$3=$DF9+'Model Setup'!$H$7,SUMIF($AD$3:$BA$3,"="&amp;$DF9+'Model Setup'!$H$7,$B9:$Y9)+'Model Setup'!$H$8*(SUMIF($AD$3:$BA$3,"&lt;"&amp;$DF9,$B9:$Y9)+SUMIF($AD$3:$BA$3,"&gt;="&amp;$DG9,$B9:$Y9)),
IF(AQ$3=$DF9+'Model Setup'!$I$7,SUMIF($AD$3:$BA$3,"="&amp;$DF9+'Model Setup'!$I$7,$B9:$Y9)+'Model Setup'!$I$8*(SUMIF($AD$3:$BA$3,"&lt;"&amp;$DF9,$B9:$Y9)+SUMIF($AD$3:$BA$3,"&gt;="&amp;$DG9,$B9:$Y9)),
IF(AQ$3=$DF9+'Model Setup'!$J$7,SUMIF($AD$3:$BA$3,"="&amp;$DF9+'Model Setup'!$J$7,$B9:$Y9)+'Model Setup'!$J$8*(SUMIF($AD$3:$BA$3,"&lt;"&amp;$DF9,$B9:$Y9)+SUMIF($AD$3:$BA$3,"&gt;="&amp;$DG9,$B9:$Y9)),
IF(AQ$3=$DF9+'Model Setup'!$K$7,SUMIF($AD$3:$BA$3,"="&amp;$DF9+'Model Setup'!$K$7,$B9:$Y9)+'Model Setup'!$K$8*(SUMIF($AD$3:$BA$3,"&lt;"&amp;$DF9,$B9:$Y9)+SUMIF($AD$3:$BA$3,"&gt;="&amp;$DG9,$B9:$Y9)),
IF(AQ$3=$DF9+'Model Setup'!$L$7,SUMIF($AD$3:$BA$3,"="&amp;$DF9+'Model Setup'!$L$7,$B9:$Y9)+'Model Setup'!$L$8*(SUMIF($AD$3:$BA$3,"&lt;"&amp;$DF9,$B9:$Y9)+SUMIF($AD$3:$BA$3,"&gt;="&amp;$DG9,$B9:$Y9)),
IF(AQ$3=$DF9+'Model Setup'!$M$7,SUMIF($AD$3:$BA$3,"="&amp;$DF9+'Model Setup'!$M$7,$B9:$Y9)+'Model Setup'!$M$8*(SUMIF($AD$3:$BA$3,"&lt;"&amp;$DF9,$B9:$Y9)+SUMIF($AD$3:$BA$3,"&gt;="&amp;$DG9,$B9:$Y9)),
IF(AQ$3=$DF9+'Model Setup'!$N$7,SUMIF($AD$3:$BA$3,"="&amp;$DF9+'Model Setup'!$N$7,$B9:$Y9)+'Model Setup'!$N$8*(SUMIF($AD$3:$BA$3,"&lt;"&amp;$DF9,$B9:$Y9)+SUMIF($AD$3:$BA$3,"&gt;="&amp;$DG9,$B9:$Y9)),
IF(AQ$3&lt;$DG9,O9,0))))))))))))))),0)</f>
        <v>418</v>
      </c>
      <c r="AR9" s="47">
        <f>ROUND(IF(AR$3&lt;$DF9,0,
IF(AR$3=$DF9+'Model Setup'!$B$7,SUMIF($AD$3:$BA$3,"="&amp;$DF9+'Model Setup'!$B$7,$B9:$Y9)+'Model Setup'!$B$8*(SUMIF($AD$3:$BA$3,"&lt;"&amp;$DF9,$B9:$Y9)+SUMIF($AD$3:$BA$3,"&gt;="&amp;$DG9,$B9:$Y9)),
IF(AR$3=$DF9+'Model Setup'!$C$7,SUMIF($AD$3:$BA$3,"="&amp;$DF9+'Model Setup'!$C$7,$B9:$Y9)+'Model Setup'!$C$8*(SUMIF($AD$3:$BA$3,"&lt;"&amp;$DF9,$B9:$Y9)+SUMIF($AD$3:$BA$3,"&gt;="&amp;$DG9,$B9:$Y9)),
IF(AR$3=$DF9+'Model Setup'!$D$7,SUMIF($AD$3:$BA$3,"="&amp;$DF9+'Model Setup'!$D$7,$B9:$Y9)+'Model Setup'!$D$8*(SUMIF($AD$3:$BA$3,"&lt;"&amp;$DF9,$B9:$Y9)+SUMIF($AD$3:$BA$3,"&gt;="&amp;$DG9,$B9:$Y9)),
IF(AR$3=$DF9+'Model Setup'!$E$7,SUMIF($AD$3:$BA$3,"="&amp;$DF9+'Model Setup'!$E$7,$B9:$Y9)+'Model Setup'!$E$8*(SUMIF($AD$3:$BA$3,"&lt;"&amp;$DF9,$B9:$Y9)+SUMIF($AD$3:$BA$3,"&gt;="&amp;$DG9,$B9:$Y9)),
IF(AR$3=$DF9+'Model Setup'!$F$7,SUMIF($AD$3:$BA$3,"="&amp;$DF9+'Model Setup'!$F$7,$B9:$Y9)+'Model Setup'!$F$8*(SUMIF($AD$3:$BA$3,"&lt;"&amp;$DF9,$B9:$Y9)+SUMIF($AD$3:$BA$3,"&gt;="&amp;$DG9,$B9:$Y9)),
IF(AR$3=$DF9+'Model Setup'!$G$7,SUMIF($AD$3:$BA$3,"="&amp;$DF9+'Model Setup'!$G$7,$B9:$Y9)+'Model Setup'!$G$8*(SUMIF($AD$3:$BA$3,"&lt;"&amp;$DF9,$B9:$Y9)+SUMIF($AD$3:$BA$3,"&gt;="&amp;$DG9,$B9:$Y9)),
IF(AR$3=$DF9+'Model Setup'!$H$7,SUMIF($AD$3:$BA$3,"="&amp;$DF9+'Model Setup'!$H$7,$B9:$Y9)+'Model Setup'!$H$8*(SUMIF($AD$3:$BA$3,"&lt;"&amp;$DF9,$B9:$Y9)+SUMIF($AD$3:$BA$3,"&gt;="&amp;$DG9,$B9:$Y9)),
IF(AR$3=$DF9+'Model Setup'!$I$7,SUMIF($AD$3:$BA$3,"="&amp;$DF9+'Model Setup'!$I$7,$B9:$Y9)+'Model Setup'!$I$8*(SUMIF($AD$3:$BA$3,"&lt;"&amp;$DF9,$B9:$Y9)+SUMIF($AD$3:$BA$3,"&gt;="&amp;$DG9,$B9:$Y9)),
IF(AR$3=$DF9+'Model Setup'!$J$7,SUMIF($AD$3:$BA$3,"="&amp;$DF9+'Model Setup'!$J$7,$B9:$Y9)+'Model Setup'!$J$8*(SUMIF($AD$3:$BA$3,"&lt;"&amp;$DF9,$B9:$Y9)+SUMIF($AD$3:$BA$3,"&gt;="&amp;$DG9,$B9:$Y9)),
IF(AR$3=$DF9+'Model Setup'!$K$7,SUMIF($AD$3:$BA$3,"="&amp;$DF9+'Model Setup'!$K$7,$B9:$Y9)+'Model Setup'!$K$8*(SUMIF($AD$3:$BA$3,"&lt;"&amp;$DF9,$B9:$Y9)+SUMIF($AD$3:$BA$3,"&gt;="&amp;$DG9,$B9:$Y9)),
IF(AR$3=$DF9+'Model Setup'!$L$7,SUMIF($AD$3:$BA$3,"="&amp;$DF9+'Model Setup'!$L$7,$B9:$Y9)+'Model Setup'!$L$8*(SUMIF($AD$3:$BA$3,"&lt;"&amp;$DF9,$B9:$Y9)+SUMIF($AD$3:$BA$3,"&gt;="&amp;$DG9,$B9:$Y9)),
IF(AR$3=$DF9+'Model Setup'!$M$7,SUMIF($AD$3:$BA$3,"="&amp;$DF9+'Model Setup'!$M$7,$B9:$Y9)+'Model Setup'!$M$8*(SUMIF($AD$3:$BA$3,"&lt;"&amp;$DF9,$B9:$Y9)+SUMIF($AD$3:$BA$3,"&gt;="&amp;$DG9,$B9:$Y9)),
IF(AR$3=$DF9+'Model Setup'!$N$7,SUMIF($AD$3:$BA$3,"="&amp;$DF9+'Model Setup'!$N$7,$B9:$Y9)+'Model Setup'!$N$8*(SUMIF($AD$3:$BA$3,"&lt;"&amp;$DF9,$B9:$Y9)+SUMIF($AD$3:$BA$3,"&gt;="&amp;$DG9,$B9:$Y9)),
IF(AR$3&lt;$DG9,P9,0))))))))))))))),0)</f>
        <v>320</v>
      </c>
      <c r="AS9" s="47">
        <f>ROUND(IF(AS$3&lt;$DF9,0,
IF(AS$3=$DF9+'Model Setup'!$B$7,SUMIF($AD$3:$BA$3,"="&amp;$DF9+'Model Setup'!$B$7,$B9:$Y9)+'Model Setup'!$B$8*(SUMIF($AD$3:$BA$3,"&lt;"&amp;$DF9,$B9:$Y9)+SUMIF($AD$3:$BA$3,"&gt;="&amp;$DG9,$B9:$Y9)),
IF(AS$3=$DF9+'Model Setup'!$C$7,SUMIF($AD$3:$BA$3,"="&amp;$DF9+'Model Setup'!$C$7,$B9:$Y9)+'Model Setup'!$C$8*(SUMIF($AD$3:$BA$3,"&lt;"&amp;$DF9,$B9:$Y9)+SUMIF($AD$3:$BA$3,"&gt;="&amp;$DG9,$B9:$Y9)),
IF(AS$3=$DF9+'Model Setup'!$D$7,SUMIF($AD$3:$BA$3,"="&amp;$DF9+'Model Setup'!$D$7,$B9:$Y9)+'Model Setup'!$D$8*(SUMIF($AD$3:$BA$3,"&lt;"&amp;$DF9,$B9:$Y9)+SUMIF($AD$3:$BA$3,"&gt;="&amp;$DG9,$B9:$Y9)),
IF(AS$3=$DF9+'Model Setup'!$E$7,SUMIF($AD$3:$BA$3,"="&amp;$DF9+'Model Setup'!$E$7,$B9:$Y9)+'Model Setup'!$E$8*(SUMIF($AD$3:$BA$3,"&lt;"&amp;$DF9,$B9:$Y9)+SUMIF($AD$3:$BA$3,"&gt;="&amp;$DG9,$B9:$Y9)),
IF(AS$3=$DF9+'Model Setup'!$F$7,SUMIF($AD$3:$BA$3,"="&amp;$DF9+'Model Setup'!$F$7,$B9:$Y9)+'Model Setup'!$F$8*(SUMIF($AD$3:$BA$3,"&lt;"&amp;$DF9,$B9:$Y9)+SUMIF($AD$3:$BA$3,"&gt;="&amp;$DG9,$B9:$Y9)),
IF(AS$3=$DF9+'Model Setup'!$G$7,SUMIF($AD$3:$BA$3,"="&amp;$DF9+'Model Setup'!$G$7,$B9:$Y9)+'Model Setup'!$G$8*(SUMIF($AD$3:$BA$3,"&lt;"&amp;$DF9,$B9:$Y9)+SUMIF($AD$3:$BA$3,"&gt;="&amp;$DG9,$B9:$Y9)),
IF(AS$3=$DF9+'Model Setup'!$H$7,SUMIF($AD$3:$BA$3,"="&amp;$DF9+'Model Setup'!$H$7,$B9:$Y9)+'Model Setup'!$H$8*(SUMIF($AD$3:$BA$3,"&lt;"&amp;$DF9,$B9:$Y9)+SUMIF($AD$3:$BA$3,"&gt;="&amp;$DG9,$B9:$Y9)),
IF(AS$3=$DF9+'Model Setup'!$I$7,SUMIF($AD$3:$BA$3,"="&amp;$DF9+'Model Setup'!$I$7,$B9:$Y9)+'Model Setup'!$I$8*(SUMIF($AD$3:$BA$3,"&lt;"&amp;$DF9,$B9:$Y9)+SUMIF($AD$3:$BA$3,"&gt;="&amp;$DG9,$B9:$Y9)),
IF(AS$3=$DF9+'Model Setup'!$J$7,SUMIF($AD$3:$BA$3,"="&amp;$DF9+'Model Setup'!$J$7,$B9:$Y9)+'Model Setup'!$J$8*(SUMIF($AD$3:$BA$3,"&lt;"&amp;$DF9,$B9:$Y9)+SUMIF($AD$3:$BA$3,"&gt;="&amp;$DG9,$B9:$Y9)),
IF(AS$3=$DF9+'Model Setup'!$K$7,SUMIF($AD$3:$BA$3,"="&amp;$DF9+'Model Setup'!$K$7,$B9:$Y9)+'Model Setup'!$K$8*(SUMIF($AD$3:$BA$3,"&lt;"&amp;$DF9,$B9:$Y9)+SUMIF($AD$3:$BA$3,"&gt;="&amp;$DG9,$B9:$Y9)),
IF(AS$3=$DF9+'Model Setup'!$L$7,SUMIF($AD$3:$BA$3,"="&amp;$DF9+'Model Setup'!$L$7,$B9:$Y9)+'Model Setup'!$L$8*(SUMIF($AD$3:$BA$3,"&lt;"&amp;$DF9,$B9:$Y9)+SUMIF($AD$3:$BA$3,"&gt;="&amp;$DG9,$B9:$Y9)),
IF(AS$3=$DF9+'Model Setup'!$M$7,SUMIF($AD$3:$BA$3,"="&amp;$DF9+'Model Setup'!$M$7,$B9:$Y9)+'Model Setup'!$M$8*(SUMIF($AD$3:$BA$3,"&lt;"&amp;$DF9,$B9:$Y9)+SUMIF($AD$3:$BA$3,"&gt;="&amp;$DG9,$B9:$Y9)),
IF(AS$3=$DF9+'Model Setup'!$N$7,SUMIF($AD$3:$BA$3,"="&amp;$DF9+'Model Setup'!$N$7,$B9:$Y9)+'Model Setup'!$N$8*(SUMIF($AD$3:$BA$3,"&lt;"&amp;$DF9,$B9:$Y9)+SUMIF($AD$3:$BA$3,"&gt;="&amp;$DG9,$B9:$Y9)),
IF(AS$3&lt;$DG9,Q9,0))))))))))))))),0)</f>
        <v>298</v>
      </c>
      <c r="AT9" s="47">
        <f>ROUND(IF(AT$3&lt;$DF9,0,
IF(AT$3=$DF9+'Model Setup'!$B$7,SUMIF($AD$3:$BA$3,"="&amp;$DF9+'Model Setup'!$B$7,$B9:$Y9)+'Model Setup'!$B$8*(SUMIF($AD$3:$BA$3,"&lt;"&amp;$DF9,$B9:$Y9)+SUMIF($AD$3:$BA$3,"&gt;="&amp;$DG9,$B9:$Y9)),
IF(AT$3=$DF9+'Model Setup'!$C$7,SUMIF($AD$3:$BA$3,"="&amp;$DF9+'Model Setup'!$C$7,$B9:$Y9)+'Model Setup'!$C$8*(SUMIF($AD$3:$BA$3,"&lt;"&amp;$DF9,$B9:$Y9)+SUMIF($AD$3:$BA$3,"&gt;="&amp;$DG9,$B9:$Y9)),
IF(AT$3=$DF9+'Model Setup'!$D$7,SUMIF($AD$3:$BA$3,"="&amp;$DF9+'Model Setup'!$D$7,$B9:$Y9)+'Model Setup'!$D$8*(SUMIF($AD$3:$BA$3,"&lt;"&amp;$DF9,$B9:$Y9)+SUMIF($AD$3:$BA$3,"&gt;="&amp;$DG9,$B9:$Y9)),
IF(AT$3=$DF9+'Model Setup'!$E$7,SUMIF($AD$3:$BA$3,"="&amp;$DF9+'Model Setup'!$E$7,$B9:$Y9)+'Model Setup'!$E$8*(SUMIF($AD$3:$BA$3,"&lt;"&amp;$DF9,$B9:$Y9)+SUMIF($AD$3:$BA$3,"&gt;="&amp;$DG9,$B9:$Y9)),
IF(AT$3=$DF9+'Model Setup'!$F$7,SUMIF($AD$3:$BA$3,"="&amp;$DF9+'Model Setup'!$F$7,$B9:$Y9)+'Model Setup'!$F$8*(SUMIF($AD$3:$BA$3,"&lt;"&amp;$DF9,$B9:$Y9)+SUMIF($AD$3:$BA$3,"&gt;="&amp;$DG9,$B9:$Y9)),
IF(AT$3=$DF9+'Model Setup'!$G$7,SUMIF($AD$3:$BA$3,"="&amp;$DF9+'Model Setup'!$G$7,$B9:$Y9)+'Model Setup'!$G$8*(SUMIF($AD$3:$BA$3,"&lt;"&amp;$DF9,$B9:$Y9)+SUMIF($AD$3:$BA$3,"&gt;="&amp;$DG9,$B9:$Y9)),
IF(AT$3=$DF9+'Model Setup'!$H$7,SUMIF($AD$3:$BA$3,"="&amp;$DF9+'Model Setup'!$H$7,$B9:$Y9)+'Model Setup'!$H$8*(SUMIF($AD$3:$BA$3,"&lt;"&amp;$DF9,$B9:$Y9)+SUMIF($AD$3:$BA$3,"&gt;="&amp;$DG9,$B9:$Y9)),
IF(AT$3=$DF9+'Model Setup'!$I$7,SUMIF($AD$3:$BA$3,"="&amp;$DF9+'Model Setup'!$I$7,$B9:$Y9)+'Model Setup'!$I$8*(SUMIF($AD$3:$BA$3,"&lt;"&amp;$DF9,$B9:$Y9)+SUMIF($AD$3:$BA$3,"&gt;="&amp;$DG9,$B9:$Y9)),
IF(AT$3=$DF9+'Model Setup'!$J$7,SUMIF($AD$3:$BA$3,"="&amp;$DF9+'Model Setup'!$J$7,$B9:$Y9)+'Model Setup'!$J$8*(SUMIF($AD$3:$BA$3,"&lt;"&amp;$DF9,$B9:$Y9)+SUMIF($AD$3:$BA$3,"&gt;="&amp;$DG9,$B9:$Y9)),
IF(AT$3=$DF9+'Model Setup'!$K$7,SUMIF($AD$3:$BA$3,"="&amp;$DF9+'Model Setup'!$K$7,$B9:$Y9)+'Model Setup'!$K$8*(SUMIF($AD$3:$BA$3,"&lt;"&amp;$DF9,$B9:$Y9)+SUMIF($AD$3:$BA$3,"&gt;="&amp;$DG9,$B9:$Y9)),
IF(AT$3=$DF9+'Model Setup'!$L$7,SUMIF($AD$3:$BA$3,"="&amp;$DF9+'Model Setup'!$L$7,$B9:$Y9)+'Model Setup'!$L$8*(SUMIF($AD$3:$BA$3,"&lt;"&amp;$DF9,$B9:$Y9)+SUMIF($AD$3:$BA$3,"&gt;="&amp;$DG9,$B9:$Y9)),
IF(AT$3=$DF9+'Model Setup'!$M$7,SUMIF($AD$3:$BA$3,"="&amp;$DF9+'Model Setup'!$M$7,$B9:$Y9)+'Model Setup'!$M$8*(SUMIF($AD$3:$BA$3,"&lt;"&amp;$DF9,$B9:$Y9)+SUMIF($AD$3:$BA$3,"&gt;="&amp;$DG9,$B9:$Y9)),
IF(AT$3=$DF9+'Model Setup'!$N$7,SUMIF($AD$3:$BA$3,"="&amp;$DF9+'Model Setup'!$N$7,$B9:$Y9)+'Model Setup'!$N$8*(SUMIF($AD$3:$BA$3,"&lt;"&amp;$DF9,$B9:$Y9)+SUMIF($AD$3:$BA$3,"&gt;="&amp;$DG9,$B9:$Y9)),
IF(AT$3&lt;$DG9,R9,0))))))))))))))),0)</f>
        <v>292</v>
      </c>
      <c r="AU9" s="47">
        <f>ROUND(IF(AU$3&lt;$DF9,0,
IF(AU$3=$DF9+'Model Setup'!$B$7,SUMIF($AD$3:$BA$3,"="&amp;$DF9+'Model Setup'!$B$7,$B9:$Y9)+'Model Setup'!$B$8*(SUMIF($AD$3:$BA$3,"&lt;"&amp;$DF9,$B9:$Y9)+SUMIF($AD$3:$BA$3,"&gt;="&amp;$DG9,$B9:$Y9)),
IF(AU$3=$DF9+'Model Setup'!$C$7,SUMIF($AD$3:$BA$3,"="&amp;$DF9+'Model Setup'!$C$7,$B9:$Y9)+'Model Setup'!$C$8*(SUMIF($AD$3:$BA$3,"&lt;"&amp;$DF9,$B9:$Y9)+SUMIF($AD$3:$BA$3,"&gt;="&amp;$DG9,$B9:$Y9)),
IF(AU$3=$DF9+'Model Setup'!$D$7,SUMIF($AD$3:$BA$3,"="&amp;$DF9+'Model Setup'!$D$7,$B9:$Y9)+'Model Setup'!$D$8*(SUMIF($AD$3:$BA$3,"&lt;"&amp;$DF9,$B9:$Y9)+SUMIF($AD$3:$BA$3,"&gt;="&amp;$DG9,$B9:$Y9)),
IF(AU$3=$DF9+'Model Setup'!$E$7,SUMIF($AD$3:$BA$3,"="&amp;$DF9+'Model Setup'!$E$7,$B9:$Y9)+'Model Setup'!$E$8*(SUMIF($AD$3:$BA$3,"&lt;"&amp;$DF9,$B9:$Y9)+SUMIF($AD$3:$BA$3,"&gt;="&amp;$DG9,$B9:$Y9)),
IF(AU$3=$DF9+'Model Setup'!$F$7,SUMIF($AD$3:$BA$3,"="&amp;$DF9+'Model Setup'!$F$7,$B9:$Y9)+'Model Setup'!$F$8*(SUMIF($AD$3:$BA$3,"&lt;"&amp;$DF9,$B9:$Y9)+SUMIF($AD$3:$BA$3,"&gt;="&amp;$DG9,$B9:$Y9)),
IF(AU$3=$DF9+'Model Setup'!$G$7,SUMIF($AD$3:$BA$3,"="&amp;$DF9+'Model Setup'!$G$7,$B9:$Y9)+'Model Setup'!$G$8*(SUMIF($AD$3:$BA$3,"&lt;"&amp;$DF9,$B9:$Y9)+SUMIF($AD$3:$BA$3,"&gt;="&amp;$DG9,$B9:$Y9)),
IF(AU$3=$DF9+'Model Setup'!$H$7,SUMIF($AD$3:$BA$3,"="&amp;$DF9+'Model Setup'!$H$7,$B9:$Y9)+'Model Setup'!$H$8*(SUMIF($AD$3:$BA$3,"&lt;"&amp;$DF9,$B9:$Y9)+SUMIF($AD$3:$BA$3,"&gt;="&amp;$DG9,$B9:$Y9)),
IF(AU$3=$DF9+'Model Setup'!$I$7,SUMIF($AD$3:$BA$3,"="&amp;$DF9+'Model Setup'!$I$7,$B9:$Y9)+'Model Setup'!$I$8*(SUMIF($AD$3:$BA$3,"&lt;"&amp;$DF9,$B9:$Y9)+SUMIF($AD$3:$BA$3,"&gt;="&amp;$DG9,$B9:$Y9)),
IF(AU$3=$DF9+'Model Setup'!$J$7,SUMIF($AD$3:$BA$3,"="&amp;$DF9+'Model Setup'!$J$7,$B9:$Y9)+'Model Setup'!$J$8*(SUMIF($AD$3:$BA$3,"&lt;"&amp;$DF9,$B9:$Y9)+SUMIF($AD$3:$BA$3,"&gt;="&amp;$DG9,$B9:$Y9)),
IF(AU$3=$DF9+'Model Setup'!$K$7,SUMIF($AD$3:$BA$3,"="&amp;$DF9+'Model Setup'!$K$7,$B9:$Y9)+'Model Setup'!$K$8*(SUMIF($AD$3:$BA$3,"&lt;"&amp;$DF9,$B9:$Y9)+SUMIF($AD$3:$BA$3,"&gt;="&amp;$DG9,$B9:$Y9)),
IF(AU$3=$DF9+'Model Setup'!$L$7,SUMIF($AD$3:$BA$3,"="&amp;$DF9+'Model Setup'!$L$7,$B9:$Y9)+'Model Setup'!$L$8*(SUMIF($AD$3:$BA$3,"&lt;"&amp;$DF9,$B9:$Y9)+SUMIF($AD$3:$BA$3,"&gt;="&amp;$DG9,$B9:$Y9)),
IF(AU$3=$DF9+'Model Setup'!$M$7,SUMIF($AD$3:$BA$3,"="&amp;$DF9+'Model Setup'!$M$7,$B9:$Y9)+'Model Setup'!$M$8*(SUMIF($AD$3:$BA$3,"&lt;"&amp;$DF9,$B9:$Y9)+SUMIF($AD$3:$BA$3,"&gt;="&amp;$DG9,$B9:$Y9)),
IF(AU$3=$DF9+'Model Setup'!$N$7,SUMIF($AD$3:$BA$3,"="&amp;$DF9+'Model Setup'!$N$7,$B9:$Y9)+'Model Setup'!$N$8*(SUMIF($AD$3:$BA$3,"&lt;"&amp;$DF9,$B9:$Y9)+SUMIF($AD$3:$BA$3,"&gt;="&amp;$DG9,$B9:$Y9)),
IF(AU$3&lt;$DG9,S9,0))))))))))))))),0)</f>
        <v>179</v>
      </c>
      <c r="AV9" s="47">
        <f>ROUND(IF(AV$3&lt;$DF9,0,
IF(AV$3=$DF9+'Model Setup'!$B$7,SUMIF($AD$3:$BA$3,"="&amp;$DF9+'Model Setup'!$B$7,$B9:$Y9)+'Model Setup'!$B$8*(SUMIF($AD$3:$BA$3,"&lt;"&amp;$DF9,$B9:$Y9)+SUMIF($AD$3:$BA$3,"&gt;="&amp;$DG9,$B9:$Y9)),
IF(AV$3=$DF9+'Model Setup'!$C$7,SUMIF($AD$3:$BA$3,"="&amp;$DF9+'Model Setup'!$C$7,$B9:$Y9)+'Model Setup'!$C$8*(SUMIF($AD$3:$BA$3,"&lt;"&amp;$DF9,$B9:$Y9)+SUMIF($AD$3:$BA$3,"&gt;="&amp;$DG9,$B9:$Y9)),
IF(AV$3=$DF9+'Model Setup'!$D$7,SUMIF($AD$3:$BA$3,"="&amp;$DF9+'Model Setup'!$D$7,$B9:$Y9)+'Model Setup'!$D$8*(SUMIF($AD$3:$BA$3,"&lt;"&amp;$DF9,$B9:$Y9)+SUMIF($AD$3:$BA$3,"&gt;="&amp;$DG9,$B9:$Y9)),
IF(AV$3=$DF9+'Model Setup'!$E$7,SUMIF($AD$3:$BA$3,"="&amp;$DF9+'Model Setup'!$E$7,$B9:$Y9)+'Model Setup'!$E$8*(SUMIF($AD$3:$BA$3,"&lt;"&amp;$DF9,$B9:$Y9)+SUMIF($AD$3:$BA$3,"&gt;="&amp;$DG9,$B9:$Y9)),
IF(AV$3=$DF9+'Model Setup'!$F$7,SUMIF($AD$3:$BA$3,"="&amp;$DF9+'Model Setup'!$F$7,$B9:$Y9)+'Model Setup'!$F$8*(SUMIF($AD$3:$BA$3,"&lt;"&amp;$DF9,$B9:$Y9)+SUMIF($AD$3:$BA$3,"&gt;="&amp;$DG9,$B9:$Y9)),
IF(AV$3=$DF9+'Model Setup'!$G$7,SUMIF($AD$3:$BA$3,"="&amp;$DF9+'Model Setup'!$G$7,$B9:$Y9)+'Model Setup'!$G$8*(SUMIF($AD$3:$BA$3,"&lt;"&amp;$DF9,$B9:$Y9)+SUMIF($AD$3:$BA$3,"&gt;="&amp;$DG9,$B9:$Y9)),
IF(AV$3=$DF9+'Model Setup'!$H$7,SUMIF($AD$3:$BA$3,"="&amp;$DF9+'Model Setup'!$H$7,$B9:$Y9)+'Model Setup'!$H$8*(SUMIF($AD$3:$BA$3,"&lt;"&amp;$DF9,$B9:$Y9)+SUMIF($AD$3:$BA$3,"&gt;="&amp;$DG9,$B9:$Y9)),
IF(AV$3=$DF9+'Model Setup'!$I$7,SUMIF($AD$3:$BA$3,"="&amp;$DF9+'Model Setup'!$I$7,$B9:$Y9)+'Model Setup'!$I$8*(SUMIF($AD$3:$BA$3,"&lt;"&amp;$DF9,$B9:$Y9)+SUMIF($AD$3:$BA$3,"&gt;="&amp;$DG9,$B9:$Y9)),
IF(AV$3=$DF9+'Model Setup'!$J$7,SUMIF($AD$3:$BA$3,"="&amp;$DF9+'Model Setup'!$J$7,$B9:$Y9)+'Model Setup'!$J$8*(SUMIF($AD$3:$BA$3,"&lt;"&amp;$DF9,$B9:$Y9)+SUMIF($AD$3:$BA$3,"&gt;="&amp;$DG9,$B9:$Y9)),
IF(AV$3=$DF9+'Model Setup'!$K$7,SUMIF($AD$3:$BA$3,"="&amp;$DF9+'Model Setup'!$K$7,$B9:$Y9)+'Model Setup'!$K$8*(SUMIF($AD$3:$BA$3,"&lt;"&amp;$DF9,$B9:$Y9)+SUMIF($AD$3:$BA$3,"&gt;="&amp;$DG9,$B9:$Y9)),
IF(AV$3=$DF9+'Model Setup'!$L$7,SUMIF($AD$3:$BA$3,"="&amp;$DF9+'Model Setup'!$L$7,$B9:$Y9)+'Model Setup'!$L$8*(SUMIF($AD$3:$BA$3,"&lt;"&amp;$DF9,$B9:$Y9)+SUMIF($AD$3:$BA$3,"&gt;="&amp;$DG9,$B9:$Y9)),
IF(AV$3=$DF9+'Model Setup'!$M$7,SUMIF($AD$3:$BA$3,"="&amp;$DF9+'Model Setup'!$M$7,$B9:$Y9)+'Model Setup'!$M$8*(SUMIF($AD$3:$BA$3,"&lt;"&amp;$DF9,$B9:$Y9)+SUMIF($AD$3:$BA$3,"&gt;="&amp;$DG9,$B9:$Y9)),
IF(AV$3=$DF9+'Model Setup'!$N$7,SUMIF($AD$3:$BA$3,"="&amp;$DF9+'Model Setup'!$N$7,$B9:$Y9)+'Model Setup'!$N$8*(SUMIF($AD$3:$BA$3,"&lt;"&amp;$DF9,$B9:$Y9)+SUMIF($AD$3:$BA$3,"&gt;="&amp;$DG9,$B9:$Y9)),
IF(AV$3&lt;$DG9,T9,0))))))))))))))),0)</f>
        <v>509</v>
      </c>
      <c r="AW9" s="47">
        <f>ROUND(IF(AW$3&lt;$DF9,0,
IF(AW$3=$DF9+'Model Setup'!$B$7,SUMIF($AD$3:$BA$3,"="&amp;$DF9+'Model Setup'!$B$7,$B9:$Y9)+'Model Setup'!$B$8*(SUMIF($AD$3:$BA$3,"&lt;"&amp;$DF9,$B9:$Y9)+SUMIF($AD$3:$BA$3,"&gt;="&amp;$DG9,$B9:$Y9)),
IF(AW$3=$DF9+'Model Setup'!$C$7,SUMIF($AD$3:$BA$3,"="&amp;$DF9+'Model Setup'!$C$7,$B9:$Y9)+'Model Setup'!$C$8*(SUMIF($AD$3:$BA$3,"&lt;"&amp;$DF9,$B9:$Y9)+SUMIF($AD$3:$BA$3,"&gt;="&amp;$DG9,$B9:$Y9)),
IF(AW$3=$DF9+'Model Setup'!$D$7,SUMIF($AD$3:$BA$3,"="&amp;$DF9+'Model Setup'!$D$7,$B9:$Y9)+'Model Setup'!$D$8*(SUMIF($AD$3:$BA$3,"&lt;"&amp;$DF9,$B9:$Y9)+SUMIF($AD$3:$BA$3,"&gt;="&amp;$DG9,$B9:$Y9)),
IF(AW$3=$DF9+'Model Setup'!$E$7,SUMIF($AD$3:$BA$3,"="&amp;$DF9+'Model Setup'!$E$7,$B9:$Y9)+'Model Setup'!$E$8*(SUMIF($AD$3:$BA$3,"&lt;"&amp;$DF9,$B9:$Y9)+SUMIF($AD$3:$BA$3,"&gt;="&amp;$DG9,$B9:$Y9)),
IF(AW$3=$DF9+'Model Setup'!$F$7,SUMIF($AD$3:$BA$3,"="&amp;$DF9+'Model Setup'!$F$7,$B9:$Y9)+'Model Setup'!$F$8*(SUMIF($AD$3:$BA$3,"&lt;"&amp;$DF9,$B9:$Y9)+SUMIF($AD$3:$BA$3,"&gt;="&amp;$DG9,$B9:$Y9)),
IF(AW$3=$DF9+'Model Setup'!$G$7,SUMIF($AD$3:$BA$3,"="&amp;$DF9+'Model Setup'!$G$7,$B9:$Y9)+'Model Setup'!$G$8*(SUMIF($AD$3:$BA$3,"&lt;"&amp;$DF9,$B9:$Y9)+SUMIF($AD$3:$BA$3,"&gt;="&amp;$DG9,$B9:$Y9)),
IF(AW$3=$DF9+'Model Setup'!$H$7,SUMIF($AD$3:$BA$3,"="&amp;$DF9+'Model Setup'!$H$7,$B9:$Y9)+'Model Setup'!$H$8*(SUMIF($AD$3:$BA$3,"&lt;"&amp;$DF9,$B9:$Y9)+SUMIF($AD$3:$BA$3,"&gt;="&amp;$DG9,$B9:$Y9)),
IF(AW$3=$DF9+'Model Setup'!$I$7,SUMIF($AD$3:$BA$3,"="&amp;$DF9+'Model Setup'!$I$7,$B9:$Y9)+'Model Setup'!$I$8*(SUMIF($AD$3:$BA$3,"&lt;"&amp;$DF9,$B9:$Y9)+SUMIF($AD$3:$BA$3,"&gt;="&amp;$DG9,$B9:$Y9)),
IF(AW$3=$DF9+'Model Setup'!$J$7,SUMIF($AD$3:$BA$3,"="&amp;$DF9+'Model Setup'!$J$7,$B9:$Y9)+'Model Setup'!$J$8*(SUMIF($AD$3:$BA$3,"&lt;"&amp;$DF9,$B9:$Y9)+SUMIF($AD$3:$BA$3,"&gt;="&amp;$DG9,$B9:$Y9)),
IF(AW$3=$DF9+'Model Setup'!$K$7,SUMIF($AD$3:$BA$3,"="&amp;$DF9+'Model Setup'!$K$7,$B9:$Y9)+'Model Setup'!$K$8*(SUMIF($AD$3:$BA$3,"&lt;"&amp;$DF9,$B9:$Y9)+SUMIF($AD$3:$BA$3,"&gt;="&amp;$DG9,$B9:$Y9)),
IF(AW$3=$DF9+'Model Setup'!$L$7,SUMIF($AD$3:$BA$3,"="&amp;$DF9+'Model Setup'!$L$7,$B9:$Y9)+'Model Setup'!$L$8*(SUMIF($AD$3:$BA$3,"&lt;"&amp;$DF9,$B9:$Y9)+SUMIF($AD$3:$BA$3,"&gt;="&amp;$DG9,$B9:$Y9)),
IF(AW$3=$DF9+'Model Setup'!$M$7,SUMIF($AD$3:$BA$3,"="&amp;$DF9+'Model Setup'!$M$7,$B9:$Y9)+'Model Setup'!$M$8*(SUMIF($AD$3:$BA$3,"&lt;"&amp;$DF9,$B9:$Y9)+SUMIF($AD$3:$BA$3,"&gt;="&amp;$DG9,$B9:$Y9)),
IF(AW$3=$DF9+'Model Setup'!$N$7,SUMIF($AD$3:$BA$3,"="&amp;$DF9+'Model Setup'!$N$7,$B9:$Y9)+'Model Setup'!$N$8*(SUMIF($AD$3:$BA$3,"&lt;"&amp;$DF9,$B9:$Y9)+SUMIF($AD$3:$BA$3,"&gt;="&amp;$DG9,$B9:$Y9)),
IF(AW$3&lt;$DG9,U9,0))))))))))))))),0)</f>
        <v>596</v>
      </c>
      <c r="AX9" s="47">
        <f>ROUND(IF(AX$3&lt;$DF9,0,
IF(AX$3=$DF9+'Model Setup'!$B$7,SUMIF($AD$3:$BA$3,"="&amp;$DF9+'Model Setup'!$B$7,$B9:$Y9)+'Model Setup'!$B$8*(SUMIF($AD$3:$BA$3,"&lt;"&amp;$DF9,$B9:$Y9)+SUMIF($AD$3:$BA$3,"&gt;="&amp;$DG9,$B9:$Y9)),
IF(AX$3=$DF9+'Model Setup'!$C$7,SUMIF($AD$3:$BA$3,"="&amp;$DF9+'Model Setup'!$C$7,$B9:$Y9)+'Model Setup'!$C$8*(SUMIF($AD$3:$BA$3,"&lt;"&amp;$DF9,$B9:$Y9)+SUMIF($AD$3:$BA$3,"&gt;="&amp;$DG9,$B9:$Y9)),
IF(AX$3=$DF9+'Model Setup'!$D$7,SUMIF($AD$3:$BA$3,"="&amp;$DF9+'Model Setup'!$D$7,$B9:$Y9)+'Model Setup'!$D$8*(SUMIF($AD$3:$BA$3,"&lt;"&amp;$DF9,$B9:$Y9)+SUMIF($AD$3:$BA$3,"&gt;="&amp;$DG9,$B9:$Y9)),
IF(AX$3=$DF9+'Model Setup'!$E$7,SUMIF($AD$3:$BA$3,"="&amp;$DF9+'Model Setup'!$E$7,$B9:$Y9)+'Model Setup'!$E$8*(SUMIF($AD$3:$BA$3,"&lt;"&amp;$DF9,$B9:$Y9)+SUMIF($AD$3:$BA$3,"&gt;="&amp;$DG9,$B9:$Y9)),
IF(AX$3=$DF9+'Model Setup'!$F$7,SUMIF($AD$3:$BA$3,"="&amp;$DF9+'Model Setup'!$F$7,$B9:$Y9)+'Model Setup'!$F$8*(SUMIF($AD$3:$BA$3,"&lt;"&amp;$DF9,$B9:$Y9)+SUMIF($AD$3:$BA$3,"&gt;="&amp;$DG9,$B9:$Y9)),
IF(AX$3=$DF9+'Model Setup'!$G$7,SUMIF($AD$3:$BA$3,"="&amp;$DF9+'Model Setup'!$G$7,$B9:$Y9)+'Model Setup'!$G$8*(SUMIF($AD$3:$BA$3,"&lt;"&amp;$DF9,$B9:$Y9)+SUMIF($AD$3:$BA$3,"&gt;="&amp;$DG9,$B9:$Y9)),
IF(AX$3=$DF9+'Model Setup'!$H$7,SUMIF($AD$3:$BA$3,"="&amp;$DF9+'Model Setup'!$H$7,$B9:$Y9)+'Model Setup'!$H$8*(SUMIF($AD$3:$BA$3,"&lt;"&amp;$DF9,$B9:$Y9)+SUMIF($AD$3:$BA$3,"&gt;="&amp;$DG9,$B9:$Y9)),
IF(AX$3=$DF9+'Model Setup'!$I$7,SUMIF($AD$3:$BA$3,"="&amp;$DF9+'Model Setup'!$I$7,$B9:$Y9)+'Model Setup'!$I$8*(SUMIF($AD$3:$BA$3,"&lt;"&amp;$DF9,$B9:$Y9)+SUMIF($AD$3:$BA$3,"&gt;="&amp;$DG9,$B9:$Y9)),
IF(AX$3=$DF9+'Model Setup'!$J$7,SUMIF($AD$3:$BA$3,"="&amp;$DF9+'Model Setup'!$J$7,$B9:$Y9)+'Model Setup'!$J$8*(SUMIF($AD$3:$BA$3,"&lt;"&amp;$DF9,$B9:$Y9)+SUMIF($AD$3:$BA$3,"&gt;="&amp;$DG9,$B9:$Y9)),
IF(AX$3=$DF9+'Model Setup'!$K$7,SUMIF($AD$3:$BA$3,"="&amp;$DF9+'Model Setup'!$K$7,$B9:$Y9)+'Model Setup'!$K$8*(SUMIF($AD$3:$BA$3,"&lt;"&amp;$DF9,$B9:$Y9)+SUMIF($AD$3:$BA$3,"&gt;="&amp;$DG9,$B9:$Y9)),
IF(AX$3=$DF9+'Model Setup'!$L$7,SUMIF($AD$3:$BA$3,"="&amp;$DF9+'Model Setup'!$L$7,$B9:$Y9)+'Model Setup'!$L$8*(SUMIF($AD$3:$BA$3,"&lt;"&amp;$DF9,$B9:$Y9)+SUMIF($AD$3:$BA$3,"&gt;="&amp;$DG9,$B9:$Y9)),
IF(AX$3=$DF9+'Model Setup'!$M$7,SUMIF($AD$3:$BA$3,"="&amp;$DF9+'Model Setup'!$M$7,$B9:$Y9)+'Model Setup'!$M$8*(SUMIF($AD$3:$BA$3,"&lt;"&amp;$DF9,$B9:$Y9)+SUMIF($AD$3:$BA$3,"&gt;="&amp;$DG9,$B9:$Y9)),
IF(AX$3=$DF9+'Model Setup'!$N$7,SUMIF($AD$3:$BA$3,"="&amp;$DF9+'Model Setup'!$N$7,$B9:$Y9)+'Model Setup'!$N$8*(SUMIF($AD$3:$BA$3,"&lt;"&amp;$DF9,$B9:$Y9)+SUMIF($AD$3:$BA$3,"&gt;="&amp;$DG9,$B9:$Y9)),
IF(AX$3&lt;$DG9,V9,0))))))))))))))),0)</f>
        <v>442</v>
      </c>
      <c r="AY9" s="47">
        <f>ROUND(IF(AY$3&lt;$DF9,0,
IF(AY$3=$DF9+'Model Setup'!$B$7,SUMIF($AD$3:$BA$3,"="&amp;$DF9+'Model Setup'!$B$7,$B9:$Y9)+'Model Setup'!$B$8*(SUMIF($AD$3:$BA$3,"&lt;"&amp;$DF9,$B9:$Y9)+SUMIF($AD$3:$BA$3,"&gt;="&amp;$DG9,$B9:$Y9)),
IF(AY$3=$DF9+'Model Setup'!$C$7,SUMIF($AD$3:$BA$3,"="&amp;$DF9+'Model Setup'!$C$7,$B9:$Y9)+'Model Setup'!$C$8*(SUMIF($AD$3:$BA$3,"&lt;"&amp;$DF9,$B9:$Y9)+SUMIF($AD$3:$BA$3,"&gt;="&amp;$DG9,$B9:$Y9)),
IF(AY$3=$DF9+'Model Setup'!$D$7,SUMIF($AD$3:$BA$3,"="&amp;$DF9+'Model Setup'!$D$7,$B9:$Y9)+'Model Setup'!$D$8*(SUMIF($AD$3:$BA$3,"&lt;"&amp;$DF9,$B9:$Y9)+SUMIF($AD$3:$BA$3,"&gt;="&amp;$DG9,$B9:$Y9)),
IF(AY$3=$DF9+'Model Setup'!$E$7,SUMIF($AD$3:$BA$3,"="&amp;$DF9+'Model Setup'!$E$7,$B9:$Y9)+'Model Setup'!$E$8*(SUMIF($AD$3:$BA$3,"&lt;"&amp;$DF9,$B9:$Y9)+SUMIF($AD$3:$BA$3,"&gt;="&amp;$DG9,$B9:$Y9)),
IF(AY$3=$DF9+'Model Setup'!$F$7,SUMIF($AD$3:$BA$3,"="&amp;$DF9+'Model Setup'!$F$7,$B9:$Y9)+'Model Setup'!$F$8*(SUMIF($AD$3:$BA$3,"&lt;"&amp;$DF9,$B9:$Y9)+SUMIF($AD$3:$BA$3,"&gt;="&amp;$DG9,$B9:$Y9)),
IF(AY$3=$DF9+'Model Setup'!$G$7,SUMIF($AD$3:$BA$3,"="&amp;$DF9+'Model Setup'!$G$7,$B9:$Y9)+'Model Setup'!$G$8*(SUMIF($AD$3:$BA$3,"&lt;"&amp;$DF9,$B9:$Y9)+SUMIF($AD$3:$BA$3,"&gt;="&amp;$DG9,$B9:$Y9)),
IF(AY$3=$DF9+'Model Setup'!$H$7,SUMIF($AD$3:$BA$3,"="&amp;$DF9+'Model Setup'!$H$7,$B9:$Y9)+'Model Setup'!$H$8*(SUMIF($AD$3:$BA$3,"&lt;"&amp;$DF9,$B9:$Y9)+SUMIF($AD$3:$BA$3,"&gt;="&amp;$DG9,$B9:$Y9)),
IF(AY$3=$DF9+'Model Setup'!$I$7,SUMIF($AD$3:$BA$3,"="&amp;$DF9+'Model Setup'!$I$7,$B9:$Y9)+'Model Setup'!$I$8*(SUMIF($AD$3:$BA$3,"&lt;"&amp;$DF9,$B9:$Y9)+SUMIF($AD$3:$BA$3,"&gt;="&amp;$DG9,$B9:$Y9)),
IF(AY$3=$DF9+'Model Setup'!$J$7,SUMIF($AD$3:$BA$3,"="&amp;$DF9+'Model Setup'!$J$7,$B9:$Y9)+'Model Setup'!$J$8*(SUMIF($AD$3:$BA$3,"&lt;"&amp;$DF9,$B9:$Y9)+SUMIF($AD$3:$BA$3,"&gt;="&amp;$DG9,$B9:$Y9)),
IF(AY$3=$DF9+'Model Setup'!$K$7,SUMIF($AD$3:$BA$3,"="&amp;$DF9+'Model Setup'!$K$7,$B9:$Y9)+'Model Setup'!$K$8*(SUMIF($AD$3:$BA$3,"&lt;"&amp;$DF9,$B9:$Y9)+SUMIF($AD$3:$BA$3,"&gt;="&amp;$DG9,$B9:$Y9)),
IF(AY$3=$DF9+'Model Setup'!$L$7,SUMIF($AD$3:$BA$3,"="&amp;$DF9+'Model Setup'!$L$7,$B9:$Y9)+'Model Setup'!$L$8*(SUMIF($AD$3:$BA$3,"&lt;"&amp;$DF9,$B9:$Y9)+SUMIF($AD$3:$BA$3,"&gt;="&amp;$DG9,$B9:$Y9)),
IF(AY$3=$DF9+'Model Setup'!$M$7,SUMIF($AD$3:$BA$3,"="&amp;$DF9+'Model Setup'!$M$7,$B9:$Y9)+'Model Setup'!$M$8*(SUMIF($AD$3:$BA$3,"&lt;"&amp;$DF9,$B9:$Y9)+SUMIF($AD$3:$BA$3,"&gt;="&amp;$DG9,$B9:$Y9)),
IF(AY$3=$DF9+'Model Setup'!$N$7,SUMIF($AD$3:$BA$3,"="&amp;$DF9+'Model Setup'!$N$7,$B9:$Y9)+'Model Setup'!$N$8*(SUMIF($AD$3:$BA$3,"&lt;"&amp;$DF9,$B9:$Y9)+SUMIF($AD$3:$BA$3,"&gt;="&amp;$DG9,$B9:$Y9)),
IF(AY$3&lt;$DG9,W9,0))))))))))))))),0)</f>
        <v>0</v>
      </c>
      <c r="AZ9" s="47">
        <f>ROUND(IF(AZ$3&lt;$DF9,0,
IF(AZ$3=$DF9+'Model Setup'!$B$7,SUMIF($AD$3:$BA$3,"="&amp;$DF9+'Model Setup'!$B$7,$B9:$Y9)+'Model Setup'!$B$8*(SUMIF($AD$3:$BA$3,"&lt;"&amp;$DF9,$B9:$Y9)+SUMIF($AD$3:$BA$3,"&gt;="&amp;$DG9,$B9:$Y9)),
IF(AZ$3=$DF9+'Model Setup'!$C$7,SUMIF($AD$3:$BA$3,"="&amp;$DF9+'Model Setup'!$C$7,$B9:$Y9)+'Model Setup'!$C$8*(SUMIF($AD$3:$BA$3,"&lt;"&amp;$DF9,$B9:$Y9)+SUMIF($AD$3:$BA$3,"&gt;="&amp;$DG9,$B9:$Y9)),
IF(AZ$3=$DF9+'Model Setup'!$D$7,SUMIF($AD$3:$BA$3,"="&amp;$DF9+'Model Setup'!$D$7,$B9:$Y9)+'Model Setup'!$D$8*(SUMIF($AD$3:$BA$3,"&lt;"&amp;$DF9,$B9:$Y9)+SUMIF($AD$3:$BA$3,"&gt;="&amp;$DG9,$B9:$Y9)),
IF(AZ$3=$DF9+'Model Setup'!$E$7,SUMIF($AD$3:$BA$3,"="&amp;$DF9+'Model Setup'!$E$7,$B9:$Y9)+'Model Setup'!$E$8*(SUMIF($AD$3:$BA$3,"&lt;"&amp;$DF9,$B9:$Y9)+SUMIF($AD$3:$BA$3,"&gt;="&amp;$DG9,$B9:$Y9)),
IF(AZ$3=$DF9+'Model Setup'!$F$7,SUMIF($AD$3:$BA$3,"="&amp;$DF9+'Model Setup'!$F$7,$B9:$Y9)+'Model Setup'!$F$8*(SUMIF($AD$3:$BA$3,"&lt;"&amp;$DF9,$B9:$Y9)+SUMIF($AD$3:$BA$3,"&gt;="&amp;$DG9,$B9:$Y9)),
IF(AZ$3=$DF9+'Model Setup'!$G$7,SUMIF($AD$3:$BA$3,"="&amp;$DF9+'Model Setup'!$G$7,$B9:$Y9)+'Model Setup'!$G$8*(SUMIF($AD$3:$BA$3,"&lt;"&amp;$DF9,$B9:$Y9)+SUMIF($AD$3:$BA$3,"&gt;="&amp;$DG9,$B9:$Y9)),
IF(AZ$3=$DF9+'Model Setup'!$H$7,SUMIF($AD$3:$BA$3,"="&amp;$DF9+'Model Setup'!$H$7,$B9:$Y9)+'Model Setup'!$H$8*(SUMIF($AD$3:$BA$3,"&lt;"&amp;$DF9,$B9:$Y9)+SUMIF($AD$3:$BA$3,"&gt;="&amp;$DG9,$B9:$Y9)),
IF(AZ$3=$DF9+'Model Setup'!$I$7,SUMIF($AD$3:$BA$3,"="&amp;$DF9+'Model Setup'!$I$7,$B9:$Y9)+'Model Setup'!$I$8*(SUMIF($AD$3:$BA$3,"&lt;"&amp;$DF9,$B9:$Y9)+SUMIF($AD$3:$BA$3,"&gt;="&amp;$DG9,$B9:$Y9)),
IF(AZ$3=$DF9+'Model Setup'!$J$7,SUMIF($AD$3:$BA$3,"="&amp;$DF9+'Model Setup'!$J$7,$B9:$Y9)+'Model Setup'!$J$8*(SUMIF($AD$3:$BA$3,"&lt;"&amp;$DF9,$B9:$Y9)+SUMIF($AD$3:$BA$3,"&gt;="&amp;$DG9,$B9:$Y9)),
IF(AZ$3=$DF9+'Model Setup'!$K$7,SUMIF($AD$3:$BA$3,"="&amp;$DF9+'Model Setup'!$K$7,$B9:$Y9)+'Model Setup'!$K$8*(SUMIF($AD$3:$BA$3,"&lt;"&amp;$DF9,$B9:$Y9)+SUMIF($AD$3:$BA$3,"&gt;="&amp;$DG9,$B9:$Y9)),
IF(AZ$3=$DF9+'Model Setup'!$L$7,SUMIF($AD$3:$BA$3,"="&amp;$DF9+'Model Setup'!$L$7,$B9:$Y9)+'Model Setup'!$L$8*(SUMIF($AD$3:$BA$3,"&lt;"&amp;$DF9,$B9:$Y9)+SUMIF($AD$3:$BA$3,"&gt;="&amp;$DG9,$B9:$Y9)),
IF(AZ$3=$DF9+'Model Setup'!$M$7,SUMIF($AD$3:$BA$3,"="&amp;$DF9+'Model Setup'!$M$7,$B9:$Y9)+'Model Setup'!$M$8*(SUMIF($AD$3:$BA$3,"&lt;"&amp;$DF9,$B9:$Y9)+SUMIF($AD$3:$BA$3,"&gt;="&amp;$DG9,$B9:$Y9)),
IF(AZ$3=$DF9+'Model Setup'!$N$7,SUMIF($AD$3:$BA$3,"="&amp;$DF9+'Model Setup'!$N$7,$B9:$Y9)+'Model Setup'!$N$8*(SUMIF($AD$3:$BA$3,"&lt;"&amp;$DF9,$B9:$Y9)+SUMIF($AD$3:$BA$3,"&gt;="&amp;$DG9,$B9:$Y9)),
IF(AZ$3&lt;$DG9,X9,0))))))))))))))),0)</f>
        <v>0</v>
      </c>
      <c r="BA9" s="47">
        <f>ROUND(IF(BA$3&lt;$DF9,0,
IF(BA$3=$DF9+'Model Setup'!$B$7,SUMIF($AD$3:$BA$3,"="&amp;$DF9+'Model Setup'!$B$7,$B9:$Y9)+'Model Setup'!$B$8*(SUMIF($AD$3:$BA$3,"&lt;"&amp;$DF9,$B9:$Y9)+SUMIF($AD$3:$BA$3,"&gt;="&amp;$DG9,$B9:$Y9)),
IF(BA$3=$DF9+'Model Setup'!$C$7,SUMIF($AD$3:$BA$3,"="&amp;$DF9+'Model Setup'!$C$7,$B9:$Y9)+'Model Setup'!$C$8*(SUMIF($AD$3:$BA$3,"&lt;"&amp;$DF9,$B9:$Y9)+SUMIF($AD$3:$BA$3,"&gt;="&amp;$DG9,$B9:$Y9)),
IF(BA$3=$DF9+'Model Setup'!$D$7,SUMIF($AD$3:$BA$3,"="&amp;$DF9+'Model Setup'!$D$7,$B9:$Y9)+'Model Setup'!$D$8*(SUMIF($AD$3:$BA$3,"&lt;"&amp;$DF9,$B9:$Y9)+SUMIF($AD$3:$BA$3,"&gt;="&amp;$DG9,$B9:$Y9)),
IF(BA$3=$DF9+'Model Setup'!$E$7,SUMIF($AD$3:$BA$3,"="&amp;$DF9+'Model Setup'!$E$7,$B9:$Y9)+'Model Setup'!$E$8*(SUMIF($AD$3:$BA$3,"&lt;"&amp;$DF9,$B9:$Y9)+SUMIF($AD$3:$BA$3,"&gt;="&amp;$DG9,$B9:$Y9)),
IF(BA$3=$DF9+'Model Setup'!$F$7,SUMIF($AD$3:$BA$3,"="&amp;$DF9+'Model Setup'!$F$7,$B9:$Y9)+'Model Setup'!$F$8*(SUMIF($AD$3:$BA$3,"&lt;"&amp;$DF9,$B9:$Y9)+SUMIF($AD$3:$BA$3,"&gt;="&amp;$DG9,$B9:$Y9)),
IF(BA$3=$DF9+'Model Setup'!$G$7,SUMIF($AD$3:$BA$3,"="&amp;$DF9+'Model Setup'!$G$7,$B9:$Y9)+'Model Setup'!$G$8*(SUMIF($AD$3:$BA$3,"&lt;"&amp;$DF9,$B9:$Y9)+SUMIF($AD$3:$BA$3,"&gt;="&amp;$DG9,$B9:$Y9)),
IF(BA$3=$DF9+'Model Setup'!$H$7,SUMIF($AD$3:$BA$3,"="&amp;$DF9+'Model Setup'!$H$7,$B9:$Y9)+'Model Setup'!$H$8*(SUMIF($AD$3:$BA$3,"&lt;"&amp;$DF9,$B9:$Y9)+SUMIF($AD$3:$BA$3,"&gt;="&amp;$DG9,$B9:$Y9)),
IF(BA$3=$DF9+'Model Setup'!$I$7,SUMIF($AD$3:$BA$3,"="&amp;$DF9+'Model Setup'!$I$7,$B9:$Y9)+'Model Setup'!$I$8*(SUMIF($AD$3:$BA$3,"&lt;"&amp;$DF9,$B9:$Y9)+SUMIF($AD$3:$BA$3,"&gt;="&amp;$DG9,$B9:$Y9)),
IF(BA$3=$DF9+'Model Setup'!$J$7,SUMIF($AD$3:$BA$3,"="&amp;$DF9+'Model Setup'!$J$7,$B9:$Y9)+'Model Setup'!$J$8*(SUMIF($AD$3:$BA$3,"&lt;"&amp;$DF9,$B9:$Y9)+SUMIF($AD$3:$BA$3,"&gt;="&amp;$DG9,$B9:$Y9)),
IF(BA$3=$DF9+'Model Setup'!$K$7,SUMIF($AD$3:$BA$3,"="&amp;$DF9+'Model Setup'!$K$7,$B9:$Y9)+'Model Setup'!$K$8*(SUMIF($AD$3:$BA$3,"&lt;"&amp;$DF9,$B9:$Y9)+SUMIF($AD$3:$BA$3,"&gt;="&amp;$DG9,$B9:$Y9)),
IF(BA$3=$DF9+'Model Setup'!$L$7,SUMIF($AD$3:$BA$3,"="&amp;$DF9+'Model Setup'!$L$7,$B9:$Y9)+'Model Setup'!$L$8*(SUMIF($AD$3:$BA$3,"&lt;"&amp;$DF9,$B9:$Y9)+SUMIF($AD$3:$BA$3,"&gt;="&amp;$DG9,$B9:$Y9)),
IF(BA$3=$DF9+'Model Setup'!$M$7,SUMIF($AD$3:$BA$3,"="&amp;$DF9+'Model Setup'!$M$7,$B9:$Y9)+'Model Setup'!$M$8*(SUMIF($AD$3:$BA$3,"&lt;"&amp;$DF9,$B9:$Y9)+SUMIF($AD$3:$BA$3,"&gt;="&amp;$DG9,$B9:$Y9)),
IF(BA$3=$DF9+'Model Setup'!$N$7,SUMIF($AD$3:$BA$3,"="&amp;$DF9+'Model Setup'!$N$7,$B9:$Y9)+'Model Setup'!$N$8*(SUMIF($AD$3:$BA$3,"&lt;"&amp;$DF9,$B9:$Y9)+SUMIF($AD$3:$BA$3,"&gt;="&amp;$DG9,$B9:$Y9)),
IF(BA$3&lt;$DG9,Y9,0))))))))))))))),0)</f>
        <v>0</v>
      </c>
      <c r="BB9" s="47">
        <f t="shared" si="1"/>
        <v>5938</v>
      </c>
      <c r="BD9" t="b">
        <f t="shared" si="2"/>
        <v>0</v>
      </c>
      <c r="BE9">
        <f t="shared" si="8"/>
        <v>1</v>
      </c>
      <c r="BF9">
        <f>(FTC!F7-FTC!E7)*24</f>
        <v>13.000000000000002</v>
      </c>
      <c r="BG9" s="43" t="s">
        <v>24</v>
      </c>
      <c r="BH9" s="47">
        <f>ROUND(IF(OR(BH$3&lt;$DF9,BH$3&gt;$CW$4),0,
IF(BH$3=$DF9+'Model Setup'!$B$7,SUMIF($BH$3:$CE$3,"="&amp;$DF9+'Model Setup'!$B$7,$AD9:$BA9)+'Model Setup'!$B$8*(SUMIF($BH$3:$CE$3,"&lt;"&amp;$DF9,$AD9:$BA9)+SUMIF($BH$3:$CE$3,"&gt;"&amp;$CW$4,$AD9:$BA9)),
IF(BH$3=$DF9+'Model Setup'!$C$7,SUMIF($BH$3:$CE$3,"="&amp;$DF9+'Model Setup'!$C$7,$AD9:$BA9)+'Model Setup'!$C$8*(SUMIF($BH$3:$CE$3,"&lt;"&amp;$DF9,$AD9:$BA9)+SUMIF($BH$3:$CE$3,"&gt;"&amp;$CW$4,$AD9:$BA9)),
IF(BH$3=$DF9+'Model Setup'!$D$7,SUMIF($BH$3:$CE$3,"="&amp;$DF9+'Model Setup'!$D$7,$AD9:$BA9)+'Model Setup'!$D$8*(SUMIF($BH$3:$CE$3,"&lt;"&amp;$DF9,$AD9:$BA9)+SUMIF($BH$3:$CE$3,"&gt;"&amp;$CW$4,$AD9:$BA9)),
IF(BH$3=$DF9+'Model Setup'!$E$7,SUMIF($BH$3:$CE$3,"="&amp;$DF9+'Model Setup'!$E$7,$AD9:$BA9)+'Model Setup'!$E$8*(SUMIF($BH$3:$CE$3,"&lt;"&amp;$DF9,$AD9:$BA9)+SUMIF($BH$3:$CE$3,"&gt;"&amp;$CW$4,$AD9:$BA9)),
IF(BH$3=$DF9+'Model Setup'!$F$7,SUMIF($BH$3:$CE$3,"="&amp;$DF9+'Model Setup'!$F$7,$AD9:$BA9)+'Model Setup'!$F$8*(SUMIF($BH$3:$CE$3,"&lt;"&amp;$DF9,$AD9:$BA9)+SUMIF($BH$3:$CE$3,"&gt;"&amp;$CW$4,$AD9:$BA9)),
IF(BH$3=$DF9+'Model Setup'!$G$7,SUMIF($BH$3:$CE$3,"="&amp;$DF9+'Model Setup'!$G$7,$AD9:$BA9)+'Model Setup'!$G$8*(SUMIF($BH$3:$CE$3,"&lt;"&amp;$DF9,$AD9:$BA9)+SUMIF($BH$3:$CE$3,"&gt;"&amp;$CW$4,$AD9:$BA9)),
IF(BH$3=$DF9+'Model Setup'!$H$7,SUMIF($BH$3:$CE$3,"="&amp;$DF9+'Model Setup'!$H$7,$AD9:$BA9)+'Model Setup'!$H$8*(SUMIF($BH$3:$CE$3,"&lt;"&amp;$DF9,$AD9:$BA9)+SUMIF($BH$3:$CE$3,"&gt;"&amp;$CW$4,$AD9:$BA9)),
IF(BH$3=$DF9+'Model Setup'!$I$7,SUMIF($BH$3:$CE$3,"="&amp;$DF9+'Model Setup'!$I$7,$AD9:$BA9)+'Model Setup'!$I$8*(SUMIF($BH$3:$CE$3,"&lt;"&amp;$DF9,$AD9:$BA9)+SUMIF($BH$3:$CE$3,"&gt;"&amp;$CW$4,$AD9:$BA9)),
IF(BH$3=$DF9+'Model Setup'!$J$7,SUMIF($BH$3:$CE$3,"="&amp;$DF9+'Model Setup'!$J$7,$AD9:$BA9)+'Model Setup'!$J$8*(SUMIF($BH$3:$CE$3,"&lt;"&amp;$DF9,$AD9:$BA9)+SUMIF($BH$3:$CE$3,"&gt;"&amp;$CW$4,$AD9:$BA9)),
IF(BH$3=$DF9+'Model Setup'!$K$7,SUMIF($BH$3:$CE$3,"="&amp;$DF9+'Model Setup'!$K$7,$AD9:$BA9)+'Model Setup'!$K$8*(SUMIF($BH$3:$CE$3,"&lt;"&amp;$DF9,$AD9:$BA9)+SUMIF($BH$3:$CE$3,"&gt;"&amp;$CW$4,$AD9:$BA9)),
IF(BH$3=$DF9+'Model Setup'!$L$7,SUMIF($BH$3:$CE$3,"="&amp;$DF9+'Model Setup'!$L$7,$AD9:$BA9)+'Model Setup'!$L$8*(SUMIF($BH$3:$CE$3,"&lt;"&amp;$DF9,$AD9:$BA9)+SUMIF($BH$3:$CE$3,"&gt;"&amp;$CW$4,$AD9:$BA9)),
IF(BH$3=$DF9+'Model Setup'!$M$7,SUMIF($BH$3:$CE$3,"="&amp;$DF9+'Model Setup'!$M$7,$AD9:$BA9)+'Model Setup'!$M$8*(SUMIF($BH$3:$CE$3,"&lt;"&amp;$DF9,$AD9:$BA9)+SUMIF($BH$3:$CE$3,"&gt;"&amp;$CW$4,$AD9:$BA9)),
IF(BH$3=$DF9+'Model Setup'!$N$7,SUMIF($BH$3:$CE$3,"="&amp;$DF9+'Model Setup'!$N$7,$AD9:$BA9)+'Model Setup'!$N$8*(SUMIF($BH$3:$CE$3,"&lt;"&amp;$DF9,$AD9:$BA9)+SUMIF($BH$3:$CE$3,"&gt;"&amp;$CW$4,$AD9:$BA9)),
IF(BH$3&lt;$CW$4,B9,0))))))))))))))),0)</f>
        <v>0</v>
      </c>
      <c r="BI9" s="47">
        <f>ROUND(IF(OR(BI$3&lt;$DF9,BI$3&gt;$CW$4),0,
IF(BI$3=$DF9+'Model Setup'!$B$7,SUMIF($BH$3:$CE$3,"="&amp;$DF9+'Model Setup'!$B$7,$AD9:$BA9)+'Model Setup'!$B$8*(SUMIF($BH$3:$CE$3,"&lt;"&amp;$DF9,$AD9:$BA9)+SUMIF($BH$3:$CE$3,"&gt;"&amp;$CW$4,$AD9:$BA9)),
IF(BI$3=$DF9+'Model Setup'!$C$7,SUMIF($BH$3:$CE$3,"="&amp;$DF9+'Model Setup'!$C$7,$AD9:$BA9)+'Model Setup'!$C$8*(SUMIF($BH$3:$CE$3,"&lt;"&amp;$DF9,$AD9:$BA9)+SUMIF($BH$3:$CE$3,"&gt;"&amp;$CW$4,$AD9:$BA9)),
IF(BI$3=$DF9+'Model Setup'!$D$7,SUMIF($BH$3:$CE$3,"="&amp;$DF9+'Model Setup'!$D$7,$AD9:$BA9)+'Model Setup'!$D$8*(SUMIF($BH$3:$CE$3,"&lt;"&amp;$DF9,$AD9:$BA9)+SUMIF($BH$3:$CE$3,"&gt;"&amp;$CW$4,$AD9:$BA9)),
IF(BI$3=$DF9+'Model Setup'!$E$7,SUMIF($BH$3:$CE$3,"="&amp;$DF9+'Model Setup'!$E$7,$AD9:$BA9)+'Model Setup'!$E$8*(SUMIF($BH$3:$CE$3,"&lt;"&amp;$DF9,$AD9:$BA9)+SUMIF($BH$3:$CE$3,"&gt;"&amp;$CW$4,$AD9:$BA9)),
IF(BI$3=$DF9+'Model Setup'!$F$7,SUMIF($BH$3:$CE$3,"="&amp;$DF9+'Model Setup'!$F$7,$AD9:$BA9)+'Model Setup'!$F$8*(SUMIF($BH$3:$CE$3,"&lt;"&amp;$DF9,$AD9:$BA9)+SUMIF($BH$3:$CE$3,"&gt;"&amp;$CW$4,$AD9:$BA9)),
IF(BI$3=$DF9+'Model Setup'!$G$7,SUMIF($BH$3:$CE$3,"="&amp;$DF9+'Model Setup'!$G$7,$AD9:$BA9)+'Model Setup'!$G$8*(SUMIF($BH$3:$CE$3,"&lt;"&amp;$DF9,$AD9:$BA9)+SUMIF($BH$3:$CE$3,"&gt;"&amp;$CW$4,$AD9:$BA9)),
IF(BI$3=$DF9+'Model Setup'!$H$7,SUMIF($BH$3:$CE$3,"="&amp;$DF9+'Model Setup'!$H$7,$AD9:$BA9)+'Model Setup'!$H$8*(SUMIF($BH$3:$CE$3,"&lt;"&amp;$DF9,$AD9:$BA9)+SUMIF($BH$3:$CE$3,"&gt;"&amp;$CW$4,$AD9:$BA9)),
IF(BI$3=$DF9+'Model Setup'!$I$7,SUMIF($BH$3:$CE$3,"="&amp;$DF9+'Model Setup'!$I$7,$AD9:$BA9)+'Model Setup'!$I$8*(SUMIF($BH$3:$CE$3,"&lt;"&amp;$DF9,$AD9:$BA9)+SUMIF($BH$3:$CE$3,"&gt;"&amp;$CW$4,$AD9:$BA9)),
IF(BI$3=$DF9+'Model Setup'!$J$7,SUMIF($BH$3:$CE$3,"="&amp;$DF9+'Model Setup'!$J$7,$AD9:$BA9)+'Model Setup'!$J$8*(SUMIF($BH$3:$CE$3,"&lt;"&amp;$DF9,$AD9:$BA9)+SUMIF($BH$3:$CE$3,"&gt;"&amp;$CW$4,$AD9:$BA9)),
IF(BI$3=$DF9+'Model Setup'!$K$7,SUMIF($BH$3:$CE$3,"="&amp;$DF9+'Model Setup'!$K$7,$AD9:$BA9)+'Model Setup'!$K$8*(SUMIF($BH$3:$CE$3,"&lt;"&amp;$DF9,$AD9:$BA9)+SUMIF($BH$3:$CE$3,"&gt;"&amp;$CW$4,$AD9:$BA9)),
IF(BI$3=$DF9+'Model Setup'!$L$7,SUMIF($BH$3:$CE$3,"="&amp;$DF9+'Model Setup'!$L$7,$AD9:$BA9)+'Model Setup'!$L$8*(SUMIF($BH$3:$CE$3,"&lt;"&amp;$DF9,$AD9:$BA9)+SUMIF($BH$3:$CE$3,"&gt;"&amp;$CW$4,$AD9:$BA9)),
IF(BI$3=$DF9+'Model Setup'!$M$7,SUMIF($BH$3:$CE$3,"="&amp;$DF9+'Model Setup'!$M$7,$AD9:$BA9)+'Model Setup'!$M$8*(SUMIF($BH$3:$CE$3,"&lt;"&amp;$DF9,$AD9:$BA9)+SUMIF($BH$3:$CE$3,"&gt;"&amp;$CW$4,$AD9:$BA9)),
IF(BI$3=$DF9+'Model Setup'!$N$7,SUMIF($BH$3:$CE$3,"="&amp;$DF9+'Model Setup'!$N$7,$AD9:$BA9)+'Model Setup'!$N$8*(SUMIF($BH$3:$CE$3,"&lt;"&amp;$DF9,$AD9:$BA9)+SUMIF($BH$3:$CE$3,"&gt;"&amp;$CW$4,$AD9:$BA9)),
IF(BI$3&lt;$CW$4,C9,0))))))))))))))),0)</f>
        <v>0</v>
      </c>
      <c r="BJ9" s="47">
        <f>ROUND(IF(OR(BJ$3&lt;$DF9,BJ$3&gt;$CW$4),0,
IF(BJ$3=$DF9+'Model Setup'!$B$7,SUMIF($BH$3:$CE$3,"="&amp;$DF9+'Model Setup'!$B$7,$AD9:$BA9)+'Model Setup'!$B$8*(SUMIF($BH$3:$CE$3,"&lt;"&amp;$DF9,$AD9:$BA9)+SUMIF($BH$3:$CE$3,"&gt;"&amp;$CW$4,$AD9:$BA9)),
IF(BJ$3=$DF9+'Model Setup'!$C$7,SUMIF($BH$3:$CE$3,"="&amp;$DF9+'Model Setup'!$C$7,$AD9:$BA9)+'Model Setup'!$C$8*(SUMIF($BH$3:$CE$3,"&lt;"&amp;$DF9,$AD9:$BA9)+SUMIF($BH$3:$CE$3,"&gt;"&amp;$CW$4,$AD9:$BA9)),
IF(BJ$3=$DF9+'Model Setup'!$D$7,SUMIF($BH$3:$CE$3,"="&amp;$DF9+'Model Setup'!$D$7,$AD9:$BA9)+'Model Setup'!$D$8*(SUMIF($BH$3:$CE$3,"&lt;"&amp;$DF9,$AD9:$BA9)+SUMIF($BH$3:$CE$3,"&gt;"&amp;$CW$4,$AD9:$BA9)),
IF(BJ$3=$DF9+'Model Setup'!$E$7,SUMIF($BH$3:$CE$3,"="&amp;$DF9+'Model Setup'!$E$7,$AD9:$BA9)+'Model Setup'!$E$8*(SUMIF($BH$3:$CE$3,"&lt;"&amp;$DF9,$AD9:$BA9)+SUMIF($BH$3:$CE$3,"&gt;"&amp;$CW$4,$AD9:$BA9)),
IF(BJ$3=$DF9+'Model Setup'!$F$7,SUMIF($BH$3:$CE$3,"="&amp;$DF9+'Model Setup'!$F$7,$AD9:$BA9)+'Model Setup'!$F$8*(SUMIF($BH$3:$CE$3,"&lt;"&amp;$DF9,$AD9:$BA9)+SUMIF($BH$3:$CE$3,"&gt;"&amp;$CW$4,$AD9:$BA9)),
IF(BJ$3=$DF9+'Model Setup'!$G$7,SUMIF($BH$3:$CE$3,"="&amp;$DF9+'Model Setup'!$G$7,$AD9:$BA9)+'Model Setup'!$G$8*(SUMIF($BH$3:$CE$3,"&lt;"&amp;$DF9,$AD9:$BA9)+SUMIF($BH$3:$CE$3,"&gt;"&amp;$CW$4,$AD9:$BA9)),
IF(BJ$3=$DF9+'Model Setup'!$H$7,SUMIF($BH$3:$CE$3,"="&amp;$DF9+'Model Setup'!$H$7,$AD9:$BA9)+'Model Setup'!$H$8*(SUMIF($BH$3:$CE$3,"&lt;"&amp;$DF9,$AD9:$BA9)+SUMIF($BH$3:$CE$3,"&gt;"&amp;$CW$4,$AD9:$BA9)),
IF(BJ$3=$DF9+'Model Setup'!$I$7,SUMIF($BH$3:$CE$3,"="&amp;$DF9+'Model Setup'!$I$7,$AD9:$BA9)+'Model Setup'!$I$8*(SUMIF($BH$3:$CE$3,"&lt;"&amp;$DF9,$AD9:$BA9)+SUMIF($BH$3:$CE$3,"&gt;"&amp;$CW$4,$AD9:$BA9)),
IF(BJ$3=$DF9+'Model Setup'!$J$7,SUMIF($BH$3:$CE$3,"="&amp;$DF9+'Model Setup'!$J$7,$AD9:$BA9)+'Model Setup'!$J$8*(SUMIF($BH$3:$CE$3,"&lt;"&amp;$DF9,$AD9:$BA9)+SUMIF($BH$3:$CE$3,"&gt;"&amp;$CW$4,$AD9:$BA9)),
IF(BJ$3=$DF9+'Model Setup'!$K$7,SUMIF($BH$3:$CE$3,"="&amp;$DF9+'Model Setup'!$K$7,$AD9:$BA9)+'Model Setup'!$K$8*(SUMIF($BH$3:$CE$3,"&lt;"&amp;$DF9,$AD9:$BA9)+SUMIF($BH$3:$CE$3,"&gt;"&amp;$CW$4,$AD9:$BA9)),
IF(BJ$3=$DF9+'Model Setup'!$L$7,SUMIF($BH$3:$CE$3,"="&amp;$DF9+'Model Setup'!$L$7,$AD9:$BA9)+'Model Setup'!$L$8*(SUMIF($BH$3:$CE$3,"&lt;"&amp;$DF9,$AD9:$BA9)+SUMIF($BH$3:$CE$3,"&gt;"&amp;$CW$4,$AD9:$BA9)),
IF(BJ$3=$DF9+'Model Setup'!$M$7,SUMIF($BH$3:$CE$3,"="&amp;$DF9+'Model Setup'!$M$7,$AD9:$BA9)+'Model Setup'!$M$8*(SUMIF($BH$3:$CE$3,"&lt;"&amp;$DF9,$AD9:$BA9)+SUMIF($BH$3:$CE$3,"&gt;"&amp;$CW$4,$AD9:$BA9)),
IF(BJ$3=$DF9+'Model Setup'!$N$7,SUMIF($BH$3:$CE$3,"="&amp;$DF9+'Model Setup'!$N$7,$AD9:$BA9)+'Model Setup'!$N$8*(SUMIF($BH$3:$CE$3,"&lt;"&amp;$DF9,$AD9:$BA9)+SUMIF($BH$3:$CE$3,"&gt;"&amp;$CW$4,$AD9:$BA9)),
IF(BJ$3&lt;$CW$4,D9,0))))))))))))))),0)</f>
        <v>0</v>
      </c>
      <c r="BK9" s="47">
        <f>ROUND(IF(OR(BK$3&lt;$DF9,BK$3&gt;$CW$4),0,
IF(BK$3=$DF9+'Model Setup'!$B$7,SUMIF($BH$3:$CE$3,"="&amp;$DF9+'Model Setup'!$B$7,$AD9:$BA9)+'Model Setup'!$B$8*(SUMIF($BH$3:$CE$3,"&lt;"&amp;$DF9,$AD9:$BA9)+SUMIF($BH$3:$CE$3,"&gt;"&amp;$CW$4,$AD9:$BA9)),
IF(BK$3=$DF9+'Model Setup'!$C$7,SUMIF($BH$3:$CE$3,"="&amp;$DF9+'Model Setup'!$C$7,$AD9:$BA9)+'Model Setup'!$C$8*(SUMIF($BH$3:$CE$3,"&lt;"&amp;$DF9,$AD9:$BA9)+SUMIF($BH$3:$CE$3,"&gt;"&amp;$CW$4,$AD9:$BA9)),
IF(BK$3=$DF9+'Model Setup'!$D$7,SUMIF($BH$3:$CE$3,"="&amp;$DF9+'Model Setup'!$D$7,$AD9:$BA9)+'Model Setup'!$D$8*(SUMIF($BH$3:$CE$3,"&lt;"&amp;$DF9,$AD9:$BA9)+SUMIF($BH$3:$CE$3,"&gt;"&amp;$CW$4,$AD9:$BA9)),
IF(BK$3=$DF9+'Model Setup'!$E$7,SUMIF($BH$3:$CE$3,"="&amp;$DF9+'Model Setup'!$E$7,$AD9:$BA9)+'Model Setup'!$E$8*(SUMIF($BH$3:$CE$3,"&lt;"&amp;$DF9,$AD9:$BA9)+SUMIF($BH$3:$CE$3,"&gt;"&amp;$CW$4,$AD9:$BA9)),
IF(BK$3=$DF9+'Model Setup'!$F$7,SUMIF($BH$3:$CE$3,"="&amp;$DF9+'Model Setup'!$F$7,$AD9:$BA9)+'Model Setup'!$F$8*(SUMIF($BH$3:$CE$3,"&lt;"&amp;$DF9,$AD9:$BA9)+SUMIF($BH$3:$CE$3,"&gt;"&amp;$CW$4,$AD9:$BA9)),
IF(BK$3=$DF9+'Model Setup'!$G$7,SUMIF($BH$3:$CE$3,"="&amp;$DF9+'Model Setup'!$G$7,$AD9:$BA9)+'Model Setup'!$G$8*(SUMIF($BH$3:$CE$3,"&lt;"&amp;$DF9,$AD9:$BA9)+SUMIF($BH$3:$CE$3,"&gt;"&amp;$CW$4,$AD9:$BA9)),
IF(BK$3=$DF9+'Model Setup'!$H$7,SUMIF($BH$3:$CE$3,"="&amp;$DF9+'Model Setup'!$H$7,$AD9:$BA9)+'Model Setup'!$H$8*(SUMIF($BH$3:$CE$3,"&lt;"&amp;$DF9,$AD9:$BA9)+SUMIF($BH$3:$CE$3,"&gt;"&amp;$CW$4,$AD9:$BA9)),
IF(BK$3=$DF9+'Model Setup'!$I$7,SUMIF($BH$3:$CE$3,"="&amp;$DF9+'Model Setup'!$I$7,$AD9:$BA9)+'Model Setup'!$I$8*(SUMIF($BH$3:$CE$3,"&lt;"&amp;$DF9,$AD9:$BA9)+SUMIF($BH$3:$CE$3,"&gt;"&amp;$CW$4,$AD9:$BA9)),
IF(BK$3=$DF9+'Model Setup'!$J$7,SUMIF($BH$3:$CE$3,"="&amp;$DF9+'Model Setup'!$J$7,$AD9:$BA9)+'Model Setup'!$J$8*(SUMIF($BH$3:$CE$3,"&lt;"&amp;$DF9,$AD9:$BA9)+SUMIF($BH$3:$CE$3,"&gt;"&amp;$CW$4,$AD9:$BA9)),
IF(BK$3=$DF9+'Model Setup'!$K$7,SUMIF($BH$3:$CE$3,"="&amp;$DF9+'Model Setup'!$K$7,$AD9:$BA9)+'Model Setup'!$K$8*(SUMIF($BH$3:$CE$3,"&lt;"&amp;$DF9,$AD9:$BA9)+SUMIF($BH$3:$CE$3,"&gt;"&amp;$CW$4,$AD9:$BA9)),
IF(BK$3=$DF9+'Model Setup'!$L$7,SUMIF($BH$3:$CE$3,"="&amp;$DF9+'Model Setup'!$L$7,$AD9:$BA9)+'Model Setup'!$L$8*(SUMIF($BH$3:$CE$3,"&lt;"&amp;$DF9,$AD9:$BA9)+SUMIF($BH$3:$CE$3,"&gt;"&amp;$CW$4,$AD9:$BA9)),
IF(BK$3=$DF9+'Model Setup'!$M$7,SUMIF($BH$3:$CE$3,"="&amp;$DF9+'Model Setup'!$M$7,$AD9:$BA9)+'Model Setup'!$M$8*(SUMIF($BH$3:$CE$3,"&lt;"&amp;$DF9,$AD9:$BA9)+SUMIF($BH$3:$CE$3,"&gt;"&amp;$CW$4,$AD9:$BA9)),
IF(BK$3=$DF9+'Model Setup'!$N$7,SUMIF($BH$3:$CE$3,"="&amp;$DF9+'Model Setup'!$N$7,$AD9:$BA9)+'Model Setup'!$N$8*(SUMIF($BH$3:$CE$3,"&lt;"&amp;$DF9,$AD9:$BA9)+SUMIF($BH$3:$CE$3,"&gt;"&amp;$CW$4,$AD9:$BA9)),
IF(BK$3&lt;$CW$4,E9,0))))))))))))))),0)</f>
        <v>0</v>
      </c>
      <c r="BL9" s="47">
        <f>ROUND(IF(OR(BL$3&lt;$DF9,BL$3&gt;$CW$4),0,
IF(BL$3=$DF9+'Model Setup'!$B$7,SUMIF($BH$3:$CE$3,"="&amp;$DF9+'Model Setup'!$B$7,$AD9:$BA9)+'Model Setup'!$B$8*(SUMIF($BH$3:$CE$3,"&lt;"&amp;$DF9,$AD9:$BA9)+SUMIF($BH$3:$CE$3,"&gt;"&amp;$CW$4,$AD9:$BA9)),
IF(BL$3=$DF9+'Model Setup'!$C$7,SUMIF($BH$3:$CE$3,"="&amp;$DF9+'Model Setup'!$C$7,$AD9:$BA9)+'Model Setup'!$C$8*(SUMIF($BH$3:$CE$3,"&lt;"&amp;$DF9,$AD9:$BA9)+SUMIF($BH$3:$CE$3,"&gt;"&amp;$CW$4,$AD9:$BA9)),
IF(BL$3=$DF9+'Model Setup'!$D$7,SUMIF($BH$3:$CE$3,"="&amp;$DF9+'Model Setup'!$D$7,$AD9:$BA9)+'Model Setup'!$D$8*(SUMIF($BH$3:$CE$3,"&lt;"&amp;$DF9,$AD9:$BA9)+SUMIF($BH$3:$CE$3,"&gt;"&amp;$CW$4,$AD9:$BA9)),
IF(BL$3=$DF9+'Model Setup'!$E$7,SUMIF($BH$3:$CE$3,"="&amp;$DF9+'Model Setup'!$E$7,$AD9:$BA9)+'Model Setup'!$E$8*(SUMIF($BH$3:$CE$3,"&lt;"&amp;$DF9,$AD9:$BA9)+SUMIF($BH$3:$CE$3,"&gt;"&amp;$CW$4,$AD9:$BA9)),
IF(BL$3=$DF9+'Model Setup'!$F$7,SUMIF($BH$3:$CE$3,"="&amp;$DF9+'Model Setup'!$F$7,$AD9:$BA9)+'Model Setup'!$F$8*(SUMIF($BH$3:$CE$3,"&lt;"&amp;$DF9,$AD9:$BA9)+SUMIF($BH$3:$CE$3,"&gt;"&amp;$CW$4,$AD9:$BA9)),
IF(BL$3=$DF9+'Model Setup'!$G$7,SUMIF($BH$3:$CE$3,"="&amp;$DF9+'Model Setup'!$G$7,$AD9:$BA9)+'Model Setup'!$G$8*(SUMIF($BH$3:$CE$3,"&lt;"&amp;$DF9,$AD9:$BA9)+SUMIF($BH$3:$CE$3,"&gt;"&amp;$CW$4,$AD9:$BA9)),
IF(BL$3=$DF9+'Model Setup'!$H$7,SUMIF($BH$3:$CE$3,"="&amp;$DF9+'Model Setup'!$H$7,$AD9:$BA9)+'Model Setup'!$H$8*(SUMIF($BH$3:$CE$3,"&lt;"&amp;$DF9,$AD9:$BA9)+SUMIF($BH$3:$CE$3,"&gt;"&amp;$CW$4,$AD9:$BA9)),
IF(BL$3=$DF9+'Model Setup'!$I$7,SUMIF($BH$3:$CE$3,"="&amp;$DF9+'Model Setup'!$I$7,$AD9:$BA9)+'Model Setup'!$I$8*(SUMIF($BH$3:$CE$3,"&lt;"&amp;$DF9,$AD9:$BA9)+SUMIF($BH$3:$CE$3,"&gt;"&amp;$CW$4,$AD9:$BA9)),
IF(BL$3=$DF9+'Model Setup'!$J$7,SUMIF($BH$3:$CE$3,"="&amp;$DF9+'Model Setup'!$J$7,$AD9:$BA9)+'Model Setup'!$J$8*(SUMIF($BH$3:$CE$3,"&lt;"&amp;$DF9,$AD9:$BA9)+SUMIF($BH$3:$CE$3,"&gt;"&amp;$CW$4,$AD9:$BA9)),
IF(BL$3=$DF9+'Model Setup'!$K$7,SUMIF($BH$3:$CE$3,"="&amp;$DF9+'Model Setup'!$K$7,$AD9:$BA9)+'Model Setup'!$K$8*(SUMIF($BH$3:$CE$3,"&lt;"&amp;$DF9,$AD9:$BA9)+SUMIF($BH$3:$CE$3,"&gt;"&amp;$CW$4,$AD9:$BA9)),
IF(BL$3=$DF9+'Model Setup'!$L$7,SUMIF($BH$3:$CE$3,"="&amp;$DF9+'Model Setup'!$L$7,$AD9:$BA9)+'Model Setup'!$L$8*(SUMIF($BH$3:$CE$3,"&lt;"&amp;$DF9,$AD9:$BA9)+SUMIF($BH$3:$CE$3,"&gt;"&amp;$CW$4,$AD9:$BA9)),
IF(BL$3=$DF9+'Model Setup'!$M$7,SUMIF($BH$3:$CE$3,"="&amp;$DF9+'Model Setup'!$M$7,$AD9:$BA9)+'Model Setup'!$M$8*(SUMIF($BH$3:$CE$3,"&lt;"&amp;$DF9,$AD9:$BA9)+SUMIF($BH$3:$CE$3,"&gt;"&amp;$CW$4,$AD9:$BA9)),
IF(BL$3=$DF9+'Model Setup'!$N$7,SUMIF($BH$3:$CE$3,"="&amp;$DF9+'Model Setup'!$N$7,$AD9:$BA9)+'Model Setup'!$N$8*(SUMIF($BH$3:$CE$3,"&lt;"&amp;$DF9,$AD9:$BA9)+SUMIF($BH$3:$CE$3,"&gt;"&amp;$CW$4,$AD9:$BA9)),
IF(BL$3&lt;$CW$4,F9,0))))))))))))))),0)</f>
        <v>0</v>
      </c>
      <c r="BM9" s="47">
        <f>ROUND(IF(OR(BM$3&lt;$DF9,BM$3&gt;$CW$4),0,
IF(BM$3=$DF9+'Model Setup'!$B$7,SUMIF($BH$3:$CE$3,"="&amp;$DF9+'Model Setup'!$B$7,$AD9:$BA9)+'Model Setup'!$B$8*(SUMIF($BH$3:$CE$3,"&lt;"&amp;$DF9,$AD9:$BA9)+SUMIF($BH$3:$CE$3,"&gt;"&amp;$CW$4,$AD9:$BA9)),
IF(BM$3=$DF9+'Model Setup'!$C$7,SUMIF($BH$3:$CE$3,"="&amp;$DF9+'Model Setup'!$C$7,$AD9:$BA9)+'Model Setup'!$C$8*(SUMIF($BH$3:$CE$3,"&lt;"&amp;$DF9,$AD9:$BA9)+SUMIF($BH$3:$CE$3,"&gt;"&amp;$CW$4,$AD9:$BA9)),
IF(BM$3=$DF9+'Model Setup'!$D$7,SUMIF($BH$3:$CE$3,"="&amp;$DF9+'Model Setup'!$D$7,$AD9:$BA9)+'Model Setup'!$D$8*(SUMIF($BH$3:$CE$3,"&lt;"&amp;$DF9,$AD9:$BA9)+SUMIF($BH$3:$CE$3,"&gt;"&amp;$CW$4,$AD9:$BA9)),
IF(BM$3=$DF9+'Model Setup'!$E$7,SUMIF($BH$3:$CE$3,"="&amp;$DF9+'Model Setup'!$E$7,$AD9:$BA9)+'Model Setup'!$E$8*(SUMIF($BH$3:$CE$3,"&lt;"&amp;$DF9,$AD9:$BA9)+SUMIF($BH$3:$CE$3,"&gt;"&amp;$CW$4,$AD9:$BA9)),
IF(BM$3=$DF9+'Model Setup'!$F$7,SUMIF($BH$3:$CE$3,"="&amp;$DF9+'Model Setup'!$F$7,$AD9:$BA9)+'Model Setup'!$F$8*(SUMIF($BH$3:$CE$3,"&lt;"&amp;$DF9,$AD9:$BA9)+SUMIF($BH$3:$CE$3,"&gt;"&amp;$CW$4,$AD9:$BA9)),
IF(BM$3=$DF9+'Model Setup'!$G$7,SUMIF($BH$3:$CE$3,"="&amp;$DF9+'Model Setup'!$G$7,$AD9:$BA9)+'Model Setup'!$G$8*(SUMIF($BH$3:$CE$3,"&lt;"&amp;$DF9,$AD9:$BA9)+SUMIF($BH$3:$CE$3,"&gt;"&amp;$CW$4,$AD9:$BA9)),
IF(BM$3=$DF9+'Model Setup'!$H$7,SUMIF($BH$3:$CE$3,"="&amp;$DF9+'Model Setup'!$H$7,$AD9:$BA9)+'Model Setup'!$H$8*(SUMIF($BH$3:$CE$3,"&lt;"&amp;$DF9,$AD9:$BA9)+SUMIF($BH$3:$CE$3,"&gt;"&amp;$CW$4,$AD9:$BA9)),
IF(BM$3=$DF9+'Model Setup'!$I$7,SUMIF($BH$3:$CE$3,"="&amp;$DF9+'Model Setup'!$I$7,$AD9:$BA9)+'Model Setup'!$I$8*(SUMIF($BH$3:$CE$3,"&lt;"&amp;$DF9,$AD9:$BA9)+SUMIF($BH$3:$CE$3,"&gt;"&amp;$CW$4,$AD9:$BA9)),
IF(BM$3=$DF9+'Model Setup'!$J$7,SUMIF($BH$3:$CE$3,"="&amp;$DF9+'Model Setup'!$J$7,$AD9:$BA9)+'Model Setup'!$J$8*(SUMIF($BH$3:$CE$3,"&lt;"&amp;$DF9,$AD9:$BA9)+SUMIF($BH$3:$CE$3,"&gt;"&amp;$CW$4,$AD9:$BA9)),
IF(BM$3=$DF9+'Model Setup'!$K$7,SUMIF($BH$3:$CE$3,"="&amp;$DF9+'Model Setup'!$K$7,$AD9:$BA9)+'Model Setup'!$K$8*(SUMIF($BH$3:$CE$3,"&lt;"&amp;$DF9,$AD9:$BA9)+SUMIF($BH$3:$CE$3,"&gt;"&amp;$CW$4,$AD9:$BA9)),
IF(BM$3=$DF9+'Model Setup'!$L$7,SUMIF($BH$3:$CE$3,"="&amp;$DF9+'Model Setup'!$L$7,$AD9:$BA9)+'Model Setup'!$L$8*(SUMIF($BH$3:$CE$3,"&lt;"&amp;$DF9,$AD9:$BA9)+SUMIF($BH$3:$CE$3,"&gt;"&amp;$CW$4,$AD9:$BA9)),
IF(BM$3=$DF9+'Model Setup'!$M$7,SUMIF($BH$3:$CE$3,"="&amp;$DF9+'Model Setup'!$M$7,$AD9:$BA9)+'Model Setup'!$M$8*(SUMIF($BH$3:$CE$3,"&lt;"&amp;$DF9,$AD9:$BA9)+SUMIF($BH$3:$CE$3,"&gt;"&amp;$CW$4,$AD9:$BA9)),
IF(BM$3=$DF9+'Model Setup'!$N$7,SUMIF($BH$3:$CE$3,"="&amp;$DF9+'Model Setup'!$N$7,$AD9:$BA9)+'Model Setup'!$N$8*(SUMIF($BH$3:$CE$3,"&lt;"&amp;$DF9,$AD9:$BA9)+SUMIF($BH$3:$CE$3,"&gt;"&amp;$CW$4,$AD9:$BA9)),
IF(BM$3&lt;$CW$4,G9,0))))))))))))))),0)</f>
        <v>0</v>
      </c>
      <c r="BN9" s="47">
        <f>ROUND(IF(OR(BN$3&lt;$DF9,BN$3&gt;$CW$4),0,
IF(BN$3=$DF9+'Model Setup'!$B$7,SUMIF($BH$3:$CE$3,"="&amp;$DF9+'Model Setup'!$B$7,$AD9:$BA9)+'Model Setup'!$B$8*(SUMIF($BH$3:$CE$3,"&lt;"&amp;$DF9,$AD9:$BA9)+SUMIF($BH$3:$CE$3,"&gt;"&amp;$CW$4,$AD9:$BA9)),
IF(BN$3=$DF9+'Model Setup'!$C$7,SUMIF($BH$3:$CE$3,"="&amp;$DF9+'Model Setup'!$C$7,$AD9:$BA9)+'Model Setup'!$C$8*(SUMIF($BH$3:$CE$3,"&lt;"&amp;$DF9,$AD9:$BA9)+SUMIF($BH$3:$CE$3,"&gt;"&amp;$CW$4,$AD9:$BA9)),
IF(BN$3=$DF9+'Model Setup'!$D$7,SUMIF($BH$3:$CE$3,"="&amp;$DF9+'Model Setup'!$D$7,$AD9:$BA9)+'Model Setup'!$D$8*(SUMIF($BH$3:$CE$3,"&lt;"&amp;$DF9,$AD9:$BA9)+SUMIF($BH$3:$CE$3,"&gt;"&amp;$CW$4,$AD9:$BA9)),
IF(BN$3=$DF9+'Model Setup'!$E$7,SUMIF($BH$3:$CE$3,"="&amp;$DF9+'Model Setup'!$E$7,$AD9:$BA9)+'Model Setup'!$E$8*(SUMIF($BH$3:$CE$3,"&lt;"&amp;$DF9,$AD9:$BA9)+SUMIF($BH$3:$CE$3,"&gt;"&amp;$CW$4,$AD9:$BA9)),
IF(BN$3=$DF9+'Model Setup'!$F$7,SUMIF($BH$3:$CE$3,"="&amp;$DF9+'Model Setup'!$F$7,$AD9:$BA9)+'Model Setup'!$F$8*(SUMIF($BH$3:$CE$3,"&lt;"&amp;$DF9,$AD9:$BA9)+SUMIF($BH$3:$CE$3,"&gt;"&amp;$CW$4,$AD9:$BA9)),
IF(BN$3=$DF9+'Model Setup'!$G$7,SUMIF($BH$3:$CE$3,"="&amp;$DF9+'Model Setup'!$G$7,$AD9:$BA9)+'Model Setup'!$G$8*(SUMIF($BH$3:$CE$3,"&lt;"&amp;$DF9,$AD9:$BA9)+SUMIF($BH$3:$CE$3,"&gt;"&amp;$CW$4,$AD9:$BA9)),
IF(BN$3=$DF9+'Model Setup'!$H$7,SUMIF($BH$3:$CE$3,"="&amp;$DF9+'Model Setup'!$H$7,$AD9:$BA9)+'Model Setup'!$H$8*(SUMIF($BH$3:$CE$3,"&lt;"&amp;$DF9,$AD9:$BA9)+SUMIF($BH$3:$CE$3,"&gt;"&amp;$CW$4,$AD9:$BA9)),
IF(BN$3=$DF9+'Model Setup'!$I$7,SUMIF($BH$3:$CE$3,"="&amp;$DF9+'Model Setup'!$I$7,$AD9:$BA9)+'Model Setup'!$I$8*(SUMIF($BH$3:$CE$3,"&lt;"&amp;$DF9,$AD9:$BA9)+SUMIF($BH$3:$CE$3,"&gt;"&amp;$CW$4,$AD9:$BA9)),
IF(BN$3=$DF9+'Model Setup'!$J$7,SUMIF($BH$3:$CE$3,"="&amp;$DF9+'Model Setup'!$J$7,$AD9:$BA9)+'Model Setup'!$J$8*(SUMIF($BH$3:$CE$3,"&lt;"&amp;$DF9,$AD9:$BA9)+SUMIF($BH$3:$CE$3,"&gt;"&amp;$CW$4,$AD9:$BA9)),
IF(BN$3=$DF9+'Model Setup'!$K$7,SUMIF($BH$3:$CE$3,"="&amp;$DF9+'Model Setup'!$K$7,$AD9:$BA9)+'Model Setup'!$K$8*(SUMIF($BH$3:$CE$3,"&lt;"&amp;$DF9,$AD9:$BA9)+SUMIF($BH$3:$CE$3,"&gt;"&amp;$CW$4,$AD9:$BA9)),
IF(BN$3=$DF9+'Model Setup'!$L$7,SUMIF($BH$3:$CE$3,"="&amp;$DF9+'Model Setup'!$L$7,$AD9:$BA9)+'Model Setup'!$L$8*(SUMIF($BH$3:$CE$3,"&lt;"&amp;$DF9,$AD9:$BA9)+SUMIF($BH$3:$CE$3,"&gt;"&amp;$CW$4,$AD9:$BA9)),
IF(BN$3=$DF9+'Model Setup'!$M$7,SUMIF($BH$3:$CE$3,"="&amp;$DF9+'Model Setup'!$M$7,$AD9:$BA9)+'Model Setup'!$M$8*(SUMIF($BH$3:$CE$3,"&lt;"&amp;$DF9,$AD9:$BA9)+SUMIF($BH$3:$CE$3,"&gt;"&amp;$CW$4,$AD9:$BA9)),
IF(BN$3=$DF9+'Model Setup'!$N$7,SUMIF($BH$3:$CE$3,"="&amp;$DF9+'Model Setup'!$N$7,$AD9:$BA9)+'Model Setup'!$N$8*(SUMIF($BH$3:$CE$3,"&lt;"&amp;$DF9,$AD9:$BA9)+SUMIF($BH$3:$CE$3,"&gt;"&amp;$CW$4,$AD9:$BA9)),
IF(BN$3&lt;$CW$4,H9,0))))))))))))))),0)</f>
        <v>0</v>
      </c>
      <c r="BO9" s="47">
        <f>ROUND(IF(OR(BO$3&lt;$DF9,BO$3&gt;$CW$4),0,
IF(BO$3=$DF9+'Model Setup'!$B$7,SUMIF($BH$3:$CE$3,"="&amp;$DF9+'Model Setup'!$B$7,$AD9:$BA9)+'Model Setup'!$B$8*(SUMIF($BH$3:$CE$3,"&lt;"&amp;$DF9,$AD9:$BA9)+SUMIF($BH$3:$CE$3,"&gt;"&amp;$CW$4,$AD9:$BA9)),
IF(BO$3=$DF9+'Model Setup'!$C$7,SUMIF($BH$3:$CE$3,"="&amp;$DF9+'Model Setup'!$C$7,$AD9:$BA9)+'Model Setup'!$C$8*(SUMIF($BH$3:$CE$3,"&lt;"&amp;$DF9,$AD9:$BA9)+SUMIF($BH$3:$CE$3,"&gt;"&amp;$CW$4,$AD9:$BA9)),
IF(BO$3=$DF9+'Model Setup'!$D$7,SUMIF($BH$3:$CE$3,"="&amp;$DF9+'Model Setup'!$D$7,$AD9:$BA9)+'Model Setup'!$D$8*(SUMIF($BH$3:$CE$3,"&lt;"&amp;$DF9,$AD9:$BA9)+SUMIF($BH$3:$CE$3,"&gt;"&amp;$CW$4,$AD9:$BA9)),
IF(BO$3=$DF9+'Model Setup'!$E$7,SUMIF($BH$3:$CE$3,"="&amp;$DF9+'Model Setup'!$E$7,$AD9:$BA9)+'Model Setup'!$E$8*(SUMIF($BH$3:$CE$3,"&lt;"&amp;$DF9,$AD9:$BA9)+SUMIF($BH$3:$CE$3,"&gt;"&amp;$CW$4,$AD9:$BA9)),
IF(BO$3=$DF9+'Model Setup'!$F$7,SUMIF($BH$3:$CE$3,"="&amp;$DF9+'Model Setup'!$F$7,$AD9:$BA9)+'Model Setup'!$F$8*(SUMIF($BH$3:$CE$3,"&lt;"&amp;$DF9,$AD9:$BA9)+SUMIF($BH$3:$CE$3,"&gt;"&amp;$CW$4,$AD9:$BA9)),
IF(BO$3=$DF9+'Model Setup'!$G$7,SUMIF($BH$3:$CE$3,"="&amp;$DF9+'Model Setup'!$G$7,$AD9:$BA9)+'Model Setup'!$G$8*(SUMIF($BH$3:$CE$3,"&lt;"&amp;$DF9,$AD9:$BA9)+SUMIF($BH$3:$CE$3,"&gt;"&amp;$CW$4,$AD9:$BA9)),
IF(BO$3=$DF9+'Model Setup'!$H$7,SUMIF($BH$3:$CE$3,"="&amp;$DF9+'Model Setup'!$H$7,$AD9:$BA9)+'Model Setup'!$H$8*(SUMIF($BH$3:$CE$3,"&lt;"&amp;$DF9,$AD9:$BA9)+SUMIF($BH$3:$CE$3,"&gt;"&amp;$CW$4,$AD9:$BA9)),
IF(BO$3=$DF9+'Model Setup'!$I$7,SUMIF($BH$3:$CE$3,"="&amp;$DF9+'Model Setup'!$I$7,$AD9:$BA9)+'Model Setup'!$I$8*(SUMIF($BH$3:$CE$3,"&lt;"&amp;$DF9,$AD9:$BA9)+SUMIF($BH$3:$CE$3,"&gt;"&amp;$CW$4,$AD9:$BA9)),
IF(BO$3=$DF9+'Model Setup'!$J$7,SUMIF($BH$3:$CE$3,"="&amp;$DF9+'Model Setup'!$J$7,$AD9:$BA9)+'Model Setup'!$J$8*(SUMIF($BH$3:$CE$3,"&lt;"&amp;$DF9,$AD9:$BA9)+SUMIF($BH$3:$CE$3,"&gt;"&amp;$CW$4,$AD9:$BA9)),
IF(BO$3=$DF9+'Model Setup'!$K$7,SUMIF($BH$3:$CE$3,"="&amp;$DF9+'Model Setup'!$K$7,$AD9:$BA9)+'Model Setup'!$K$8*(SUMIF($BH$3:$CE$3,"&lt;"&amp;$DF9,$AD9:$BA9)+SUMIF($BH$3:$CE$3,"&gt;"&amp;$CW$4,$AD9:$BA9)),
IF(BO$3=$DF9+'Model Setup'!$L$7,SUMIF($BH$3:$CE$3,"="&amp;$DF9+'Model Setup'!$L$7,$AD9:$BA9)+'Model Setup'!$L$8*(SUMIF($BH$3:$CE$3,"&lt;"&amp;$DF9,$AD9:$BA9)+SUMIF($BH$3:$CE$3,"&gt;"&amp;$CW$4,$AD9:$BA9)),
IF(BO$3=$DF9+'Model Setup'!$M$7,SUMIF($BH$3:$CE$3,"="&amp;$DF9+'Model Setup'!$M$7,$AD9:$BA9)+'Model Setup'!$M$8*(SUMIF($BH$3:$CE$3,"&lt;"&amp;$DF9,$AD9:$BA9)+SUMIF($BH$3:$CE$3,"&gt;"&amp;$CW$4,$AD9:$BA9)),
IF(BO$3=$DF9+'Model Setup'!$N$7,SUMIF($BH$3:$CE$3,"="&amp;$DF9+'Model Setup'!$N$7,$AD9:$BA9)+'Model Setup'!$N$8*(SUMIF($BH$3:$CE$3,"&lt;"&amp;$DF9,$AD9:$BA9)+SUMIF($BH$3:$CE$3,"&gt;"&amp;$CW$4,$AD9:$BA9)),
IF(BO$3&lt;$CW$4,I9,0))))))))))))))),0)</f>
        <v>0</v>
      </c>
      <c r="BP9" s="47">
        <f>ROUND(IF(OR(BP$3&lt;$DF9,BP$3&gt;$CW$4),0,
IF(BP$3=$DF9+'Model Setup'!$B$7,SUMIF($BH$3:$CE$3,"="&amp;$DF9+'Model Setup'!$B$7,$AD9:$BA9)+'Model Setup'!$B$8*(SUMIF($BH$3:$CE$3,"&lt;"&amp;$DF9,$AD9:$BA9)+SUMIF($BH$3:$CE$3,"&gt;"&amp;$CW$4,$AD9:$BA9)),
IF(BP$3=$DF9+'Model Setup'!$C$7,SUMIF($BH$3:$CE$3,"="&amp;$DF9+'Model Setup'!$C$7,$AD9:$BA9)+'Model Setup'!$C$8*(SUMIF($BH$3:$CE$3,"&lt;"&amp;$DF9,$AD9:$BA9)+SUMIF($BH$3:$CE$3,"&gt;"&amp;$CW$4,$AD9:$BA9)),
IF(BP$3=$DF9+'Model Setup'!$D$7,SUMIF($BH$3:$CE$3,"="&amp;$DF9+'Model Setup'!$D$7,$AD9:$BA9)+'Model Setup'!$D$8*(SUMIF($BH$3:$CE$3,"&lt;"&amp;$DF9,$AD9:$BA9)+SUMIF($BH$3:$CE$3,"&gt;"&amp;$CW$4,$AD9:$BA9)),
IF(BP$3=$DF9+'Model Setup'!$E$7,SUMIF($BH$3:$CE$3,"="&amp;$DF9+'Model Setup'!$E$7,$AD9:$BA9)+'Model Setup'!$E$8*(SUMIF($BH$3:$CE$3,"&lt;"&amp;$DF9,$AD9:$BA9)+SUMIF($BH$3:$CE$3,"&gt;"&amp;$CW$4,$AD9:$BA9)),
IF(BP$3=$DF9+'Model Setup'!$F$7,SUMIF($BH$3:$CE$3,"="&amp;$DF9+'Model Setup'!$F$7,$AD9:$BA9)+'Model Setup'!$F$8*(SUMIF($BH$3:$CE$3,"&lt;"&amp;$DF9,$AD9:$BA9)+SUMIF($BH$3:$CE$3,"&gt;"&amp;$CW$4,$AD9:$BA9)),
IF(BP$3=$DF9+'Model Setup'!$G$7,SUMIF($BH$3:$CE$3,"="&amp;$DF9+'Model Setup'!$G$7,$AD9:$BA9)+'Model Setup'!$G$8*(SUMIF($BH$3:$CE$3,"&lt;"&amp;$DF9,$AD9:$BA9)+SUMIF($BH$3:$CE$3,"&gt;"&amp;$CW$4,$AD9:$BA9)),
IF(BP$3=$DF9+'Model Setup'!$H$7,SUMIF($BH$3:$CE$3,"="&amp;$DF9+'Model Setup'!$H$7,$AD9:$BA9)+'Model Setup'!$H$8*(SUMIF($BH$3:$CE$3,"&lt;"&amp;$DF9,$AD9:$BA9)+SUMIF($BH$3:$CE$3,"&gt;"&amp;$CW$4,$AD9:$BA9)),
IF(BP$3=$DF9+'Model Setup'!$I$7,SUMIF($BH$3:$CE$3,"="&amp;$DF9+'Model Setup'!$I$7,$AD9:$BA9)+'Model Setup'!$I$8*(SUMIF($BH$3:$CE$3,"&lt;"&amp;$DF9,$AD9:$BA9)+SUMIF($BH$3:$CE$3,"&gt;"&amp;$CW$4,$AD9:$BA9)),
IF(BP$3=$DF9+'Model Setup'!$J$7,SUMIF($BH$3:$CE$3,"="&amp;$DF9+'Model Setup'!$J$7,$AD9:$BA9)+'Model Setup'!$J$8*(SUMIF($BH$3:$CE$3,"&lt;"&amp;$DF9,$AD9:$BA9)+SUMIF($BH$3:$CE$3,"&gt;"&amp;$CW$4,$AD9:$BA9)),
IF(BP$3=$DF9+'Model Setup'!$K$7,SUMIF($BH$3:$CE$3,"="&amp;$DF9+'Model Setup'!$K$7,$AD9:$BA9)+'Model Setup'!$K$8*(SUMIF($BH$3:$CE$3,"&lt;"&amp;$DF9,$AD9:$BA9)+SUMIF($BH$3:$CE$3,"&gt;"&amp;$CW$4,$AD9:$BA9)),
IF(BP$3=$DF9+'Model Setup'!$L$7,SUMIF($BH$3:$CE$3,"="&amp;$DF9+'Model Setup'!$L$7,$AD9:$BA9)+'Model Setup'!$L$8*(SUMIF($BH$3:$CE$3,"&lt;"&amp;$DF9,$AD9:$BA9)+SUMIF($BH$3:$CE$3,"&gt;"&amp;$CW$4,$AD9:$BA9)),
IF(BP$3=$DF9+'Model Setup'!$M$7,SUMIF($BH$3:$CE$3,"="&amp;$DF9+'Model Setup'!$M$7,$AD9:$BA9)+'Model Setup'!$M$8*(SUMIF($BH$3:$CE$3,"&lt;"&amp;$DF9,$AD9:$BA9)+SUMIF($BH$3:$CE$3,"&gt;"&amp;$CW$4,$AD9:$BA9)),
IF(BP$3=$DF9+'Model Setup'!$N$7,SUMIF($BH$3:$CE$3,"="&amp;$DF9+'Model Setup'!$N$7,$AD9:$BA9)+'Model Setup'!$N$8*(SUMIF($BH$3:$CE$3,"&lt;"&amp;$DF9,$AD9:$BA9)+SUMIF($BH$3:$CE$3,"&gt;"&amp;$CW$4,$AD9:$BA9)),
IF(BP$3&lt;$CW$4,J9,0))))))))))))))),0)</f>
        <v>526</v>
      </c>
      <c r="BQ9" s="47">
        <f>ROUND(IF(OR(BQ$3&lt;$DF9,BQ$3&gt;$CW$4),0,
IF(BQ$3=$DF9+'Model Setup'!$B$7,SUMIF($BH$3:$CE$3,"="&amp;$DF9+'Model Setup'!$B$7,$AD9:$BA9)+'Model Setup'!$B$8*(SUMIF($BH$3:$CE$3,"&lt;"&amp;$DF9,$AD9:$BA9)+SUMIF($BH$3:$CE$3,"&gt;"&amp;$CW$4,$AD9:$BA9)),
IF(BQ$3=$DF9+'Model Setup'!$C$7,SUMIF($BH$3:$CE$3,"="&amp;$DF9+'Model Setup'!$C$7,$AD9:$BA9)+'Model Setup'!$C$8*(SUMIF($BH$3:$CE$3,"&lt;"&amp;$DF9,$AD9:$BA9)+SUMIF($BH$3:$CE$3,"&gt;"&amp;$CW$4,$AD9:$BA9)),
IF(BQ$3=$DF9+'Model Setup'!$D$7,SUMIF($BH$3:$CE$3,"="&amp;$DF9+'Model Setup'!$D$7,$AD9:$BA9)+'Model Setup'!$D$8*(SUMIF($BH$3:$CE$3,"&lt;"&amp;$DF9,$AD9:$BA9)+SUMIF($BH$3:$CE$3,"&gt;"&amp;$CW$4,$AD9:$BA9)),
IF(BQ$3=$DF9+'Model Setup'!$E$7,SUMIF($BH$3:$CE$3,"="&amp;$DF9+'Model Setup'!$E$7,$AD9:$BA9)+'Model Setup'!$E$8*(SUMIF($BH$3:$CE$3,"&lt;"&amp;$DF9,$AD9:$BA9)+SUMIF($BH$3:$CE$3,"&gt;"&amp;$CW$4,$AD9:$BA9)),
IF(BQ$3=$DF9+'Model Setup'!$F$7,SUMIF($BH$3:$CE$3,"="&amp;$DF9+'Model Setup'!$F$7,$AD9:$BA9)+'Model Setup'!$F$8*(SUMIF($BH$3:$CE$3,"&lt;"&amp;$DF9,$AD9:$BA9)+SUMIF($BH$3:$CE$3,"&gt;"&amp;$CW$4,$AD9:$BA9)),
IF(BQ$3=$DF9+'Model Setup'!$G$7,SUMIF($BH$3:$CE$3,"="&amp;$DF9+'Model Setup'!$G$7,$AD9:$BA9)+'Model Setup'!$G$8*(SUMIF($BH$3:$CE$3,"&lt;"&amp;$DF9,$AD9:$BA9)+SUMIF($BH$3:$CE$3,"&gt;"&amp;$CW$4,$AD9:$BA9)),
IF(BQ$3=$DF9+'Model Setup'!$H$7,SUMIF($BH$3:$CE$3,"="&amp;$DF9+'Model Setup'!$H$7,$AD9:$BA9)+'Model Setup'!$H$8*(SUMIF($BH$3:$CE$3,"&lt;"&amp;$DF9,$AD9:$BA9)+SUMIF($BH$3:$CE$3,"&gt;"&amp;$CW$4,$AD9:$BA9)),
IF(BQ$3=$DF9+'Model Setup'!$I$7,SUMIF($BH$3:$CE$3,"="&amp;$DF9+'Model Setup'!$I$7,$AD9:$BA9)+'Model Setup'!$I$8*(SUMIF($BH$3:$CE$3,"&lt;"&amp;$DF9,$AD9:$BA9)+SUMIF($BH$3:$CE$3,"&gt;"&amp;$CW$4,$AD9:$BA9)),
IF(BQ$3=$DF9+'Model Setup'!$J$7,SUMIF($BH$3:$CE$3,"="&amp;$DF9+'Model Setup'!$J$7,$AD9:$BA9)+'Model Setup'!$J$8*(SUMIF($BH$3:$CE$3,"&lt;"&amp;$DF9,$AD9:$BA9)+SUMIF($BH$3:$CE$3,"&gt;"&amp;$CW$4,$AD9:$BA9)),
IF(BQ$3=$DF9+'Model Setup'!$K$7,SUMIF($BH$3:$CE$3,"="&amp;$DF9+'Model Setup'!$K$7,$AD9:$BA9)+'Model Setup'!$K$8*(SUMIF($BH$3:$CE$3,"&lt;"&amp;$DF9,$AD9:$BA9)+SUMIF($BH$3:$CE$3,"&gt;"&amp;$CW$4,$AD9:$BA9)),
IF(BQ$3=$DF9+'Model Setup'!$L$7,SUMIF($BH$3:$CE$3,"="&amp;$DF9+'Model Setup'!$L$7,$AD9:$BA9)+'Model Setup'!$L$8*(SUMIF($BH$3:$CE$3,"&lt;"&amp;$DF9,$AD9:$BA9)+SUMIF($BH$3:$CE$3,"&gt;"&amp;$CW$4,$AD9:$BA9)),
IF(BQ$3=$DF9+'Model Setup'!$M$7,SUMIF($BH$3:$CE$3,"="&amp;$DF9+'Model Setup'!$M$7,$AD9:$BA9)+'Model Setup'!$M$8*(SUMIF($BH$3:$CE$3,"&lt;"&amp;$DF9,$AD9:$BA9)+SUMIF($BH$3:$CE$3,"&gt;"&amp;$CW$4,$AD9:$BA9)),
IF(BQ$3=$DF9+'Model Setup'!$N$7,SUMIF($BH$3:$CE$3,"="&amp;$DF9+'Model Setup'!$N$7,$AD9:$BA9)+'Model Setup'!$N$8*(SUMIF($BH$3:$CE$3,"&lt;"&amp;$DF9,$AD9:$BA9)+SUMIF($BH$3:$CE$3,"&gt;"&amp;$CW$4,$AD9:$BA9)),
IF(BQ$3&lt;$CW$4,K9,0))))))))))))))),0)</f>
        <v>681</v>
      </c>
      <c r="BR9" s="47">
        <f>ROUND(IF(OR(BR$3&lt;$DF9,BR$3&gt;$CW$4),0,
IF(BR$3=$DF9+'Model Setup'!$B$7,SUMIF($BH$3:$CE$3,"="&amp;$DF9+'Model Setup'!$B$7,$AD9:$BA9)+'Model Setup'!$B$8*(SUMIF($BH$3:$CE$3,"&lt;"&amp;$DF9,$AD9:$BA9)+SUMIF($BH$3:$CE$3,"&gt;"&amp;$CW$4,$AD9:$BA9)),
IF(BR$3=$DF9+'Model Setup'!$C$7,SUMIF($BH$3:$CE$3,"="&amp;$DF9+'Model Setup'!$C$7,$AD9:$BA9)+'Model Setup'!$C$8*(SUMIF($BH$3:$CE$3,"&lt;"&amp;$DF9,$AD9:$BA9)+SUMIF($BH$3:$CE$3,"&gt;"&amp;$CW$4,$AD9:$BA9)),
IF(BR$3=$DF9+'Model Setup'!$D$7,SUMIF($BH$3:$CE$3,"="&amp;$DF9+'Model Setup'!$D$7,$AD9:$BA9)+'Model Setup'!$D$8*(SUMIF($BH$3:$CE$3,"&lt;"&amp;$DF9,$AD9:$BA9)+SUMIF($BH$3:$CE$3,"&gt;"&amp;$CW$4,$AD9:$BA9)),
IF(BR$3=$DF9+'Model Setup'!$E$7,SUMIF($BH$3:$CE$3,"="&amp;$DF9+'Model Setup'!$E$7,$AD9:$BA9)+'Model Setup'!$E$8*(SUMIF($BH$3:$CE$3,"&lt;"&amp;$DF9,$AD9:$BA9)+SUMIF($BH$3:$CE$3,"&gt;"&amp;$CW$4,$AD9:$BA9)),
IF(BR$3=$DF9+'Model Setup'!$F$7,SUMIF($BH$3:$CE$3,"="&amp;$DF9+'Model Setup'!$F$7,$AD9:$BA9)+'Model Setup'!$F$8*(SUMIF($BH$3:$CE$3,"&lt;"&amp;$DF9,$AD9:$BA9)+SUMIF($BH$3:$CE$3,"&gt;"&amp;$CW$4,$AD9:$BA9)),
IF(BR$3=$DF9+'Model Setup'!$G$7,SUMIF($BH$3:$CE$3,"="&amp;$DF9+'Model Setup'!$G$7,$AD9:$BA9)+'Model Setup'!$G$8*(SUMIF($BH$3:$CE$3,"&lt;"&amp;$DF9,$AD9:$BA9)+SUMIF($BH$3:$CE$3,"&gt;"&amp;$CW$4,$AD9:$BA9)),
IF(BR$3=$DF9+'Model Setup'!$H$7,SUMIF($BH$3:$CE$3,"="&amp;$DF9+'Model Setup'!$H$7,$AD9:$BA9)+'Model Setup'!$H$8*(SUMIF($BH$3:$CE$3,"&lt;"&amp;$DF9,$AD9:$BA9)+SUMIF($BH$3:$CE$3,"&gt;"&amp;$CW$4,$AD9:$BA9)),
IF(BR$3=$DF9+'Model Setup'!$I$7,SUMIF($BH$3:$CE$3,"="&amp;$DF9+'Model Setup'!$I$7,$AD9:$BA9)+'Model Setup'!$I$8*(SUMIF($BH$3:$CE$3,"&lt;"&amp;$DF9,$AD9:$BA9)+SUMIF($BH$3:$CE$3,"&gt;"&amp;$CW$4,$AD9:$BA9)),
IF(BR$3=$DF9+'Model Setup'!$J$7,SUMIF($BH$3:$CE$3,"="&amp;$DF9+'Model Setup'!$J$7,$AD9:$BA9)+'Model Setup'!$J$8*(SUMIF($BH$3:$CE$3,"&lt;"&amp;$DF9,$AD9:$BA9)+SUMIF($BH$3:$CE$3,"&gt;"&amp;$CW$4,$AD9:$BA9)),
IF(BR$3=$DF9+'Model Setup'!$K$7,SUMIF($BH$3:$CE$3,"="&amp;$DF9+'Model Setup'!$K$7,$AD9:$BA9)+'Model Setup'!$K$8*(SUMIF($BH$3:$CE$3,"&lt;"&amp;$DF9,$AD9:$BA9)+SUMIF($BH$3:$CE$3,"&gt;"&amp;$CW$4,$AD9:$BA9)),
IF(BR$3=$DF9+'Model Setup'!$L$7,SUMIF($BH$3:$CE$3,"="&amp;$DF9+'Model Setup'!$L$7,$AD9:$BA9)+'Model Setup'!$L$8*(SUMIF($BH$3:$CE$3,"&lt;"&amp;$DF9,$AD9:$BA9)+SUMIF($BH$3:$CE$3,"&gt;"&amp;$CW$4,$AD9:$BA9)),
IF(BR$3=$DF9+'Model Setup'!$M$7,SUMIF($BH$3:$CE$3,"="&amp;$DF9+'Model Setup'!$M$7,$AD9:$BA9)+'Model Setup'!$M$8*(SUMIF($BH$3:$CE$3,"&lt;"&amp;$DF9,$AD9:$BA9)+SUMIF($BH$3:$CE$3,"&gt;"&amp;$CW$4,$AD9:$BA9)),
IF(BR$3=$DF9+'Model Setup'!$N$7,SUMIF($BH$3:$CE$3,"="&amp;$DF9+'Model Setup'!$N$7,$AD9:$BA9)+'Model Setup'!$N$8*(SUMIF($BH$3:$CE$3,"&lt;"&amp;$DF9,$AD9:$BA9)+SUMIF($BH$3:$CE$3,"&gt;"&amp;$CW$4,$AD9:$BA9)),
IF(BR$3&lt;$CW$4,L9,0))))))))))))))),0)</f>
        <v>691</v>
      </c>
      <c r="BS9" s="47">
        <f>ROUND(IF(OR(BS$3&lt;$DF9,BS$3&gt;$CW$4),0,
IF(BS$3=$DF9+'Model Setup'!$B$7,SUMIF($BH$3:$CE$3,"="&amp;$DF9+'Model Setup'!$B$7,$AD9:$BA9)+'Model Setup'!$B$8*(SUMIF($BH$3:$CE$3,"&lt;"&amp;$DF9,$AD9:$BA9)+SUMIF($BH$3:$CE$3,"&gt;"&amp;$CW$4,$AD9:$BA9)),
IF(BS$3=$DF9+'Model Setup'!$C$7,SUMIF($BH$3:$CE$3,"="&amp;$DF9+'Model Setup'!$C$7,$AD9:$BA9)+'Model Setup'!$C$8*(SUMIF($BH$3:$CE$3,"&lt;"&amp;$DF9,$AD9:$BA9)+SUMIF($BH$3:$CE$3,"&gt;"&amp;$CW$4,$AD9:$BA9)),
IF(BS$3=$DF9+'Model Setup'!$D$7,SUMIF($BH$3:$CE$3,"="&amp;$DF9+'Model Setup'!$D$7,$AD9:$BA9)+'Model Setup'!$D$8*(SUMIF($BH$3:$CE$3,"&lt;"&amp;$DF9,$AD9:$BA9)+SUMIF($BH$3:$CE$3,"&gt;"&amp;$CW$4,$AD9:$BA9)),
IF(BS$3=$DF9+'Model Setup'!$E$7,SUMIF($BH$3:$CE$3,"="&amp;$DF9+'Model Setup'!$E$7,$AD9:$BA9)+'Model Setup'!$E$8*(SUMIF($BH$3:$CE$3,"&lt;"&amp;$DF9,$AD9:$BA9)+SUMIF($BH$3:$CE$3,"&gt;"&amp;$CW$4,$AD9:$BA9)),
IF(BS$3=$DF9+'Model Setup'!$F$7,SUMIF($BH$3:$CE$3,"="&amp;$DF9+'Model Setup'!$F$7,$AD9:$BA9)+'Model Setup'!$F$8*(SUMIF($BH$3:$CE$3,"&lt;"&amp;$DF9,$AD9:$BA9)+SUMIF($BH$3:$CE$3,"&gt;"&amp;$CW$4,$AD9:$BA9)),
IF(BS$3=$DF9+'Model Setup'!$G$7,SUMIF($BH$3:$CE$3,"="&amp;$DF9+'Model Setup'!$G$7,$AD9:$BA9)+'Model Setup'!$G$8*(SUMIF($BH$3:$CE$3,"&lt;"&amp;$DF9,$AD9:$BA9)+SUMIF($BH$3:$CE$3,"&gt;"&amp;$CW$4,$AD9:$BA9)),
IF(BS$3=$DF9+'Model Setup'!$H$7,SUMIF($BH$3:$CE$3,"="&amp;$DF9+'Model Setup'!$H$7,$AD9:$BA9)+'Model Setup'!$H$8*(SUMIF($BH$3:$CE$3,"&lt;"&amp;$DF9,$AD9:$BA9)+SUMIF($BH$3:$CE$3,"&gt;"&amp;$CW$4,$AD9:$BA9)),
IF(BS$3=$DF9+'Model Setup'!$I$7,SUMIF($BH$3:$CE$3,"="&amp;$DF9+'Model Setup'!$I$7,$AD9:$BA9)+'Model Setup'!$I$8*(SUMIF($BH$3:$CE$3,"&lt;"&amp;$DF9,$AD9:$BA9)+SUMIF($BH$3:$CE$3,"&gt;"&amp;$CW$4,$AD9:$BA9)),
IF(BS$3=$DF9+'Model Setup'!$J$7,SUMIF($BH$3:$CE$3,"="&amp;$DF9+'Model Setup'!$J$7,$AD9:$BA9)+'Model Setup'!$J$8*(SUMIF($BH$3:$CE$3,"&lt;"&amp;$DF9,$AD9:$BA9)+SUMIF($BH$3:$CE$3,"&gt;"&amp;$CW$4,$AD9:$BA9)),
IF(BS$3=$DF9+'Model Setup'!$K$7,SUMIF($BH$3:$CE$3,"="&amp;$DF9+'Model Setup'!$K$7,$AD9:$BA9)+'Model Setup'!$K$8*(SUMIF($BH$3:$CE$3,"&lt;"&amp;$DF9,$AD9:$BA9)+SUMIF($BH$3:$CE$3,"&gt;"&amp;$CW$4,$AD9:$BA9)),
IF(BS$3=$DF9+'Model Setup'!$L$7,SUMIF($BH$3:$CE$3,"="&amp;$DF9+'Model Setup'!$L$7,$AD9:$BA9)+'Model Setup'!$L$8*(SUMIF($BH$3:$CE$3,"&lt;"&amp;$DF9,$AD9:$BA9)+SUMIF($BH$3:$CE$3,"&gt;"&amp;$CW$4,$AD9:$BA9)),
IF(BS$3=$DF9+'Model Setup'!$M$7,SUMIF($BH$3:$CE$3,"="&amp;$DF9+'Model Setup'!$M$7,$AD9:$BA9)+'Model Setup'!$M$8*(SUMIF($BH$3:$CE$3,"&lt;"&amp;$DF9,$AD9:$BA9)+SUMIF($BH$3:$CE$3,"&gt;"&amp;$CW$4,$AD9:$BA9)),
IF(BS$3=$DF9+'Model Setup'!$N$7,SUMIF($BH$3:$CE$3,"="&amp;$DF9+'Model Setup'!$N$7,$AD9:$BA9)+'Model Setup'!$N$8*(SUMIF($BH$3:$CE$3,"&lt;"&amp;$DF9,$AD9:$BA9)+SUMIF($BH$3:$CE$3,"&gt;"&amp;$CW$4,$AD9:$BA9)),
IF(BS$3&lt;$CW$4,M9,0))))))))))))))),0)</f>
        <v>526</v>
      </c>
      <c r="BT9" s="47">
        <f>ROUND(IF(OR(BT$3&lt;$DF9,BT$3&gt;$CW$4),0,
IF(BT$3=$DF9+'Model Setup'!$B$7,SUMIF($BH$3:$CE$3,"="&amp;$DF9+'Model Setup'!$B$7,$AD9:$BA9)+'Model Setup'!$B$8*(SUMIF($BH$3:$CE$3,"&lt;"&amp;$DF9,$AD9:$BA9)+SUMIF($BH$3:$CE$3,"&gt;"&amp;$CW$4,$AD9:$BA9)),
IF(BT$3=$DF9+'Model Setup'!$C$7,SUMIF($BH$3:$CE$3,"="&amp;$DF9+'Model Setup'!$C$7,$AD9:$BA9)+'Model Setup'!$C$8*(SUMIF($BH$3:$CE$3,"&lt;"&amp;$DF9,$AD9:$BA9)+SUMIF($BH$3:$CE$3,"&gt;"&amp;$CW$4,$AD9:$BA9)),
IF(BT$3=$DF9+'Model Setup'!$D$7,SUMIF($BH$3:$CE$3,"="&amp;$DF9+'Model Setup'!$D$7,$AD9:$BA9)+'Model Setup'!$D$8*(SUMIF($BH$3:$CE$3,"&lt;"&amp;$DF9,$AD9:$BA9)+SUMIF($BH$3:$CE$3,"&gt;"&amp;$CW$4,$AD9:$BA9)),
IF(BT$3=$DF9+'Model Setup'!$E$7,SUMIF($BH$3:$CE$3,"="&amp;$DF9+'Model Setup'!$E$7,$AD9:$BA9)+'Model Setup'!$E$8*(SUMIF($BH$3:$CE$3,"&lt;"&amp;$DF9,$AD9:$BA9)+SUMIF($BH$3:$CE$3,"&gt;"&amp;$CW$4,$AD9:$BA9)),
IF(BT$3=$DF9+'Model Setup'!$F$7,SUMIF($BH$3:$CE$3,"="&amp;$DF9+'Model Setup'!$F$7,$AD9:$BA9)+'Model Setup'!$F$8*(SUMIF($BH$3:$CE$3,"&lt;"&amp;$DF9,$AD9:$BA9)+SUMIF($BH$3:$CE$3,"&gt;"&amp;$CW$4,$AD9:$BA9)),
IF(BT$3=$DF9+'Model Setup'!$G$7,SUMIF($BH$3:$CE$3,"="&amp;$DF9+'Model Setup'!$G$7,$AD9:$BA9)+'Model Setup'!$G$8*(SUMIF($BH$3:$CE$3,"&lt;"&amp;$DF9,$AD9:$BA9)+SUMIF($BH$3:$CE$3,"&gt;"&amp;$CW$4,$AD9:$BA9)),
IF(BT$3=$DF9+'Model Setup'!$H$7,SUMIF($BH$3:$CE$3,"="&amp;$DF9+'Model Setup'!$H$7,$AD9:$BA9)+'Model Setup'!$H$8*(SUMIF($BH$3:$CE$3,"&lt;"&amp;$DF9,$AD9:$BA9)+SUMIF($BH$3:$CE$3,"&gt;"&amp;$CW$4,$AD9:$BA9)),
IF(BT$3=$DF9+'Model Setup'!$I$7,SUMIF($BH$3:$CE$3,"="&amp;$DF9+'Model Setup'!$I$7,$AD9:$BA9)+'Model Setup'!$I$8*(SUMIF($BH$3:$CE$3,"&lt;"&amp;$DF9,$AD9:$BA9)+SUMIF($BH$3:$CE$3,"&gt;"&amp;$CW$4,$AD9:$BA9)),
IF(BT$3=$DF9+'Model Setup'!$J$7,SUMIF($BH$3:$CE$3,"="&amp;$DF9+'Model Setup'!$J$7,$AD9:$BA9)+'Model Setup'!$J$8*(SUMIF($BH$3:$CE$3,"&lt;"&amp;$DF9,$AD9:$BA9)+SUMIF($BH$3:$CE$3,"&gt;"&amp;$CW$4,$AD9:$BA9)),
IF(BT$3=$DF9+'Model Setup'!$K$7,SUMIF($BH$3:$CE$3,"="&amp;$DF9+'Model Setup'!$K$7,$AD9:$BA9)+'Model Setup'!$K$8*(SUMIF($BH$3:$CE$3,"&lt;"&amp;$DF9,$AD9:$BA9)+SUMIF($BH$3:$CE$3,"&gt;"&amp;$CW$4,$AD9:$BA9)),
IF(BT$3=$DF9+'Model Setup'!$L$7,SUMIF($BH$3:$CE$3,"="&amp;$DF9+'Model Setup'!$L$7,$AD9:$BA9)+'Model Setup'!$L$8*(SUMIF($BH$3:$CE$3,"&lt;"&amp;$DF9,$AD9:$BA9)+SUMIF($BH$3:$CE$3,"&gt;"&amp;$CW$4,$AD9:$BA9)),
IF(BT$3=$DF9+'Model Setup'!$M$7,SUMIF($BH$3:$CE$3,"="&amp;$DF9+'Model Setup'!$M$7,$AD9:$BA9)+'Model Setup'!$M$8*(SUMIF($BH$3:$CE$3,"&lt;"&amp;$DF9,$AD9:$BA9)+SUMIF($BH$3:$CE$3,"&gt;"&amp;$CW$4,$AD9:$BA9)),
IF(BT$3=$DF9+'Model Setup'!$N$7,SUMIF($BH$3:$CE$3,"="&amp;$DF9+'Model Setup'!$N$7,$AD9:$BA9)+'Model Setup'!$N$8*(SUMIF($BH$3:$CE$3,"&lt;"&amp;$DF9,$AD9:$BA9)+SUMIF($BH$3:$CE$3,"&gt;"&amp;$CW$4,$AD9:$BA9)),
IF(BT$3&lt;$CW$4,N9,0))))))))))))))),0)</f>
        <v>460</v>
      </c>
      <c r="BU9" s="47">
        <f>ROUND(IF(OR(BU$3&lt;$DF9,BU$3&gt;$CW$4),0,
IF(BU$3=$DF9+'Model Setup'!$B$7,SUMIF($BH$3:$CE$3,"="&amp;$DF9+'Model Setup'!$B$7,$AD9:$BA9)+'Model Setup'!$B$8*(SUMIF($BH$3:$CE$3,"&lt;"&amp;$DF9,$AD9:$BA9)+SUMIF($BH$3:$CE$3,"&gt;"&amp;$CW$4,$AD9:$BA9)),
IF(BU$3=$DF9+'Model Setup'!$C$7,SUMIF($BH$3:$CE$3,"="&amp;$DF9+'Model Setup'!$C$7,$AD9:$BA9)+'Model Setup'!$C$8*(SUMIF($BH$3:$CE$3,"&lt;"&amp;$DF9,$AD9:$BA9)+SUMIF($BH$3:$CE$3,"&gt;"&amp;$CW$4,$AD9:$BA9)),
IF(BU$3=$DF9+'Model Setup'!$D$7,SUMIF($BH$3:$CE$3,"="&amp;$DF9+'Model Setup'!$D$7,$AD9:$BA9)+'Model Setup'!$D$8*(SUMIF($BH$3:$CE$3,"&lt;"&amp;$DF9,$AD9:$BA9)+SUMIF($BH$3:$CE$3,"&gt;"&amp;$CW$4,$AD9:$BA9)),
IF(BU$3=$DF9+'Model Setup'!$E$7,SUMIF($BH$3:$CE$3,"="&amp;$DF9+'Model Setup'!$E$7,$AD9:$BA9)+'Model Setup'!$E$8*(SUMIF($BH$3:$CE$3,"&lt;"&amp;$DF9,$AD9:$BA9)+SUMIF($BH$3:$CE$3,"&gt;"&amp;$CW$4,$AD9:$BA9)),
IF(BU$3=$DF9+'Model Setup'!$F$7,SUMIF($BH$3:$CE$3,"="&amp;$DF9+'Model Setup'!$F$7,$AD9:$BA9)+'Model Setup'!$F$8*(SUMIF($BH$3:$CE$3,"&lt;"&amp;$DF9,$AD9:$BA9)+SUMIF($BH$3:$CE$3,"&gt;"&amp;$CW$4,$AD9:$BA9)),
IF(BU$3=$DF9+'Model Setup'!$G$7,SUMIF($BH$3:$CE$3,"="&amp;$DF9+'Model Setup'!$G$7,$AD9:$BA9)+'Model Setup'!$G$8*(SUMIF($BH$3:$CE$3,"&lt;"&amp;$DF9,$AD9:$BA9)+SUMIF($BH$3:$CE$3,"&gt;"&amp;$CW$4,$AD9:$BA9)),
IF(BU$3=$DF9+'Model Setup'!$H$7,SUMIF($BH$3:$CE$3,"="&amp;$DF9+'Model Setup'!$H$7,$AD9:$BA9)+'Model Setup'!$H$8*(SUMIF($BH$3:$CE$3,"&lt;"&amp;$DF9,$AD9:$BA9)+SUMIF($BH$3:$CE$3,"&gt;"&amp;$CW$4,$AD9:$BA9)),
IF(BU$3=$DF9+'Model Setup'!$I$7,SUMIF($BH$3:$CE$3,"="&amp;$DF9+'Model Setup'!$I$7,$AD9:$BA9)+'Model Setup'!$I$8*(SUMIF($BH$3:$CE$3,"&lt;"&amp;$DF9,$AD9:$BA9)+SUMIF($BH$3:$CE$3,"&gt;"&amp;$CW$4,$AD9:$BA9)),
IF(BU$3=$DF9+'Model Setup'!$J$7,SUMIF($BH$3:$CE$3,"="&amp;$DF9+'Model Setup'!$J$7,$AD9:$BA9)+'Model Setup'!$J$8*(SUMIF($BH$3:$CE$3,"&lt;"&amp;$DF9,$AD9:$BA9)+SUMIF($BH$3:$CE$3,"&gt;"&amp;$CW$4,$AD9:$BA9)),
IF(BU$3=$DF9+'Model Setup'!$K$7,SUMIF($BH$3:$CE$3,"="&amp;$DF9+'Model Setup'!$K$7,$AD9:$BA9)+'Model Setup'!$K$8*(SUMIF($BH$3:$CE$3,"&lt;"&amp;$DF9,$AD9:$BA9)+SUMIF($BH$3:$CE$3,"&gt;"&amp;$CW$4,$AD9:$BA9)),
IF(BU$3=$DF9+'Model Setup'!$L$7,SUMIF($BH$3:$CE$3,"="&amp;$DF9+'Model Setup'!$L$7,$AD9:$BA9)+'Model Setup'!$L$8*(SUMIF($BH$3:$CE$3,"&lt;"&amp;$DF9,$AD9:$BA9)+SUMIF($BH$3:$CE$3,"&gt;"&amp;$CW$4,$AD9:$BA9)),
IF(BU$3=$DF9+'Model Setup'!$M$7,SUMIF($BH$3:$CE$3,"="&amp;$DF9+'Model Setup'!$M$7,$AD9:$BA9)+'Model Setup'!$M$8*(SUMIF($BH$3:$CE$3,"&lt;"&amp;$DF9,$AD9:$BA9)+SUMIF($BH$3:$CE$3,"&gt;"&amp;$CW$4,$AD9:$BA9)),
IF(BU$3=$DF9+'Model Setup'!$N$7,SUMIF($BH$3:$CE$3,"="&amp;$DF9+'Model Setup'!$N$7,$AD9:$BA9)+'Model Setup'!$N$8*(SUMIF($BH$3:$CE$3,"&lt;"&amp;$DF9,$AD9:$BA9)+SUMIF($BH$3:$CE$3,"&gt;"&amp;$CW$4,$AD9:$BA9)),
IF(BU$3&lt;$CW$4,O9,0))))))))))))))),0)</f>
        <v>418</v>
      </c>
      <c r="BV9" s="47">
        <f>ROUND(IF(OR(BV$3&lt;$DF9,BV$3&gt;$CW$4),0,
IF(BV$3=$DF9+'Model Setup'!$B$7,SUMIF($BH$3:$CE$3,"="&amp;$DF9+'Model Setup'!$B$7,$AD9:$BA9)+'Model Setup'!$B$8*(SUMIF($BH$3:$CE$3,"&lt;"&amp;$DF9,$AD9:$BA9)+SUMIF($BH$3:$CE$3,"&gt;"&amp;$CW$4,$AD9:$BA9)),
IF(BV$3=$DF9+'Model Setup'!$C$7,SUMIF($BH$3:$CE$3,"="&amp;$DF9+'Model Setup'!$C$7,$AD9:$BA9)+'Model Setup'!$C$8*(SUMIF($BH$3:$CE$3,"&lt;"&amp;$DF9,$AD9:$BA9)+SUMIF($BH$3:$CE$3,"&gt;"&amp;$CW$4,$AD9:$BA9)),
IF(BV$3=$DF9+'Model Setup'!$D$7,SUMIF($BH$3:$CE$3,"="&amp;$DF9+'Model Setup'!$D$7,$AD9:$BA9)+'Model Setup'!$D$8*(SUMIF($BH$3:$CE$3,"&lt;"&amp;$DF9,$AD9:$BA9)+SUMIF($BH$3:$CE$3,"&gt;"&amp;$CW$4,$AD9:$BA9)),
IF(BV$3=$DF9+'Model Setup'!$E$7,SUMIF($BH$3:$CE$3,"="&amp;$DF9+'Model Setup'!$E$7,$AD9:$BA9)+'Model Setup'!$E$8*(SUMIF($BH$3:$CE$3,"&lt;"&amp;$DF9,$AD9:$BA9)+SUMIF($BH$3:$CE$3,"&gt;"&amp;$CW$4,$AD9:$BA9)),
IF(BV$3=$DF9+'Model Setup'!$F$7,SUMIF($BH$3:$CE$3,"="&amp;$DF9+'Model Setup'!$F$7,$AD9:$BA9)+'Model Setup'!$F$8*(SUMIF($BH$3:$CE$3,"&lt;"&amp;$DF9,$AD9:$BA9)+SUMIF($BH$3:$CE$3,"&gt;"&amp;$CW$4,$AD9:$BA9)),
IF(BV$3=$DF9+'Model Setup'!$G$7,SUMIF($BH$3:$CE$3,"="&amp;$DF9+'Model Setup'!$G$7,$AD9:$BA9)+'Model Setup'!$G$8*(SUMIF($BH$3:$CE$3,"&lt;"&amp;$DF9,$AD9:$BA9)+SUMIF($BH$3:$CE$3,"&gt;"&amp;$CW$4,$AD9:$BA9)),
IF(BV$3=$DF9+'Model Setup'!$H$7,SUMIF($BH$3:$CE$3,"="&amp;$DF9+'Model Setup'!$H$7,$AD9:$BA9)+'Model Setup'!$H$8*(SUMIF($BH$3:$CE$3,"&lt;"&amp;$DF9,$AD9:$BA9)+SUMIF($BH$3:$CE$3,"&gt;"&amp;$CW$4,$AD9:$BA9)),
IF(BV$3=$DF9+'Model Setup'!$I$7,SUMIF($BH$3:$CE$3,"="&amp;$DF9+'Model Setup'!$I$7,$AD9:$BA9)+'Model Setup'!$I$8*(SUMIF($BH$3:$CE$3,"&lt;"&amp;$DF9,$AD9:$BA9)+SUMIF($BH$3:$CE$3,"&gt;"&amp;$CW$4,$AD9:$BA9)),
IF(BV$3=$DF9+'Model Setup'!$J$7,SUMIF($BH$3:$CE$3,"="&amp;$DF9+'Model Setup'!$J$7,$AD9:$BA9)+'Model Setup'!$J$8*(SUMIF($BH$3:$CE$3,"&lt;"&amp;$DF9,$AD9:$BA9)+SUMIF($BH$3:$CE$3,"&gt;"&amp;$CW$4,$AD9:$BA9)),
IF(BV$3=$DF9+'Model Setup'!$K$7,SUMIF($BH$3:$CE$3,"="&amp;$DF9+'Model Setup'!$K$7,$AD9:$BA9)+'Model Setup'!$K$8*(SUMIF($BH$3:$CE$3,"&lt;"&amp;$DF9,$AD9:$BA9)+SUMIF($BH$3:$CE$3,"&gt;"&amp;$CW$4,$AD9:$BA9)),
IF(BV$3=$DF9+'Model Setup'!$L$7,SUMIF($BH$3:$CE$3,"="&amp;$DF9+'Model Setup'!$L$7,$AD9:$BA9)+'Model Setup'!$L$8*(SUMIF($BH$3:$CE$3,"&lt;"&amp;$DF9,$AD9:$BA9)+SUMIF($BH$3:$CE$3,"&gt;"&amp;$CW$4,$AD9:$BA9)),
IF(BV$3=$DF9+'Model Setup'!$M$7,SUMIF($BH$3:$CE$3,"="&amp;$DF9+'Model Setup'!$M$7,$AD9:$BA9)+'Model Setup'!$M$8*(SUMIF($BH$3:$CE$3,"&lt;"&amp;$DF9,$AD9:$BA9)+SUMIF($BH$3:$CE$3,"&gt;"&amp;$CW$4,$AD9:$BA9)),
IF(BV$3=$DF9+'Model Setup'!$N$7,SUMIF($BH$3:$CE$3,"="&amp;$DF9+'Model Setup'!$N$7,$AD9:$BA9)+'Model Setup'!$N$8*(SUMIF($BH$3:$CE$3,"&lt;"&amp;$DF9,$AD9:$BA9)+SUMIF($BH$3:$CE$3,"&gt;"&amp;$CW$4,$AD9:$BA9)),
IF(BV$3&lt;$CW$4,P9,0))))))))))))))),0)</f>
        <v>320</v>
      </c>
      <c r="BW9" s="47">
        <f>ROUND(IF(OR(BW$3&lt;$DF9,BW$3&gt;$CW$4),0,
IF(BW$3=$DF9+'Model Setup'!$B$7,SUMIF($BH$3:$CE$3,"="&amp;$DF9+'Model Setup'!$B$7,$AD9:$BA9)+'Model Setup'!$B$8*(SUMIF($BH$3:$CE$3,"&lt;"&amp;$DF9,$AD9:$BA9)+SUMIF($BH$3:$CE$3,"&gt;"&amp;$CW$4,$AD9:$BA9)),
IF(BW$3=$DF9+'Model Setup'!$C$7,SUMIF($BH$3:$CE$3,"="&amp;$DF9+'Model Setup'!$C$7,$AD9:$BA9)+'Model Setup'!$C$8*(SUMIF($BH$3:$CE$3,"&lt;"&amp;$DF9,$AD9:$BA9)+SUMIF($BH$3:$CE$3,"&gt;"&amp;$CW$4,$AD9:$BA9)),
IF(BW$3=$DF9+'Model Setup'!$D$7,SUMIF($BH$3:$CE$3,"="&amp;$DF9+'Model Setup'!$D$7,$AD9:$BA9)+'Model Setup'!$D$8*(SUMIF($BH$3:$CE$3,"&lt;"&amp;$DF9,$AD9:$BA9)+SUMIF($BH$3:$CE$3,"&gt;"&amp;$CW$4,$AD9:$BA9)),
IF(BW$3=$DF9+'Model Setup'!$E$7,SUMIF($BH$3:$CE$3,"="&amp;$DF9+'Model Setup'!$E$7,$AD9:$BA9)+'Model Setup'!$E$8*(SUMIF($BH$3:$CE$3,"&lt;"&amp;$DF9,$AD9:$BA9)+SUMIF($BH$3:$CE$3,"&gt;"&amp;$CW$4,$AD9:$BA9)),
IF(BW$3=$DF9+'Model Setup'!$F$7,SUMIF($BH$3:$CE$3,"="&amp;$DF9+'Model Setup'!$F$7,$AD9:$BA9)+'Model Setup'!$F$8*(SUMIF($BH$3:$CE$3,"&lt;"&amp;$DF9,$AD9:$BA9)+SUMIF($BH$3:$CE$3,"&gt;"&amp;$CW$4,$AD9:$BA9)),
IF(BW$3=$DF9+'Model Setup'!$G$7,SUMIF($BH$3:$CE$3,"="&amp;$DF9+'Model Setup'!$G$7,$AD9:$BA9)+'Model Setup'!$G$8*(SUMIF($BH$3:$CE$3,"&lt;"&amp;$DF9,$AD9:$BA9)+SUMIF($BH$3:$CE$3,"&gt;"&amp;$CW$4,$AD9:$BA9)),
IF(BW$3=$DF9+'Model Setup'!$H$7,SUMIF($BH$3:$CE$3,"="&amp;$DF9+'Model Setup'!$H$7,$AD9:$BA9)+'Model Setup'!$H$8*(SUMIF($BH$3:$CE$3,"&lt;"&amp;$DF9,$AD9:$BA9)+SUMIF($BH$3:$CE$3,"&gt;"&amp;$CW$4,$AD9:$BA9)),
IF(BW$3=$DF9+'Model Setup'!$I$7,SUMIF($BH$3:$CE$3,"="&amp;$DF9+'Model Setup'!$I$7,$AD9:$BA9)+'Model Setup'!$I$8*(SUMIF($BH$3:$CE$3,"&lt;"&amp;$DF9,$AD9:$BA9)+SUMIF($BH$3:$CE$3,"&gt;"&amp;$CW$4,$AD9:$BA9)),
IF(BW$3=$DF9+'Model Setup'!$J$7,SUMIF($BH$3:$CE$3,"="&amp;$DF9+'Model Setup'!$J$7,$AD9:$BA9)+'Model Setup'!$J$8*(SUMIF($BH$3:$CE$3,"&lt;"&amp;$DF9,$AD9:$BA9)+SUMIF($BH$3:$CE$3,"&gt;"&amp;$CW$4,$AD9:$BA9)),
IF(BW$3=$DF9+'Model Setup'!$K$7,SUMIF($BH$3:$CE$3,"="&amp;$DF9+'Model Setup'!$K$7,$AD9:$BA9)+'Model Setup'!$K$8*(SUMIF($BH$3:$CE$3,"&lt;"&amp;$DF9,$AD9:$BA9)+SUMIF($BH$3:$CE$3,"&gt;"&amp;$CW$4,$AD9:$BA9)),
IF(BW$3=$DF9+'Model Setup'!$L$7,SUMIF($BH$3:$CE$3,"="&amp;$DF9+'Model Setup'!$L$7,$AD9:$BA9)+'Model Setup'!$L$8*(SUMIF($BH$3:$CE$3,"&lt;"&amp;$DF9,$AD9:$BA9)+SUMIF($BH$3:$CE$3,"&gt;"&amp;$CW$4,$AD9:$BA9)),
IF(BW$3=$DF9+'Model Setup'!$M$7,SUMIF($BH$3:$CE$3,"="&amp;$DF9+'Model Setup'!$M$7,$AD9:$BA9)+'Model Setup'!$M$8*(SUMIF($BH$3:$CE$3,"&lt;"&amp;$DF9,$AD9:$BA9)+SUMIF($BH$3:$CE$3,"&gt;"&amp;$CW$4,$AD9:$BA9)),
IF(BW$3=$DF9+'Model Setup'!$N$7,SUMIF($BH$3:$CE$3,"="&amp;$DF9+'Model Setup'!$N$7,$AD9:$BA9)+'Model Setup'!$N$8*(SUMIF($BH$3:$CE$3,"&lt;"&amp;$DF9,$AD9:$BA9)+SUMIF($BH$3:$CE$3,"&gt;"&amp;$CW$4,$AD9:$BA9)),
IF(BW$3&lt;$CW$4,Q9,0))))))))))))))),0)</f>
        <v>298</v>
      </c>
      <c r="BX9" s="47">
        <f>ROUND(IF(OR(BX$3&lt;$DF9,BX$3&gt;$CW$4),0,
IF(BX$3=$DF9+'Model Setup'!$B$7,SUMIF($BH$3:$CE$3,"="&amp;$DF9+'Model Setup'!$B$7,$AD9:$BA9)+'Model Setup'!$B$8*(SUMIF($BH$3:$CE$3,"&lt;"&amp;$DF9,$AD9:$BA9)+SUMIF($BH$3:$CE$3,"&gt;"&amp;$CW$4,$AD9:$BA9)),
IF(BX$3=$DF9+'Model Setup'!$C$7,SUMIF($BH$3:$CE$3,"="&amp;$DF9+'Model Setup'!$C$7,$AD9:$BA9)+'Model Setup'!$C$8*(SUMIF($BH$3:$CE$3,"&lt;"&amp;$DF9,$AD9:$BA9)+SUMIF($BH$3:$CE$3,"&gt;"&amp;$CW$4,$AD9:$BA9)),
IF(BX$3=$DF9+'Model Setup'!$D$7,SUMIF($BH$3:$CE$3,"="&amp;$DF9+'Model Setup'!$D$7,$AD9:$BA9)+'Model Setup'!$D$8*(SUMIF($BH$3:$CE$3,"&lt;"&amp;$DF9,$AD9:$BA9)+SUMIF($BH$3:$CE$3,"&gt;"&amp;$CW$4,$AD9:$BA9)),
IF(BX$3=$DF9+'Model Setup'!$E$7,SUMIF($BH$3:$CE$3,"="&amp;$DF9+'Model Setup'!$E$7,$AD9:$BA9)+'Model Setup'!$E$8*(SUMIF($BH$3:$CE$3,"&lt;"&amp;$DF9,$AD9:$BA9)+SUMIF($BH$3:$CE$3,"&gt;"&amp;$CW$4,$AD9:$BA9)),
IF(BX$3=$DF9+'Model Setup'!$F$7,SUMIF($BH$3:$CE$3,"="&amp;$DF9+'Model Setup'!$F$7,$AD9:$BA9)+'Model Setup'!$F$8*(SUMIF($BH$3:$CE$3,"&lt;"&amp;$DF9,$AD9:$BA9)+SUMIF($BH$3:$CE$3,"&gt;"&amp;$CW$4,$AD9:$BA9)),
IF(BX$3=$DF9+'Model Setup'!$G$7,SUMIF($BH$3:$CE$3,"="&amp;$DF9+'Model Setup'!$G$7,$AD9:$BA9)+'Model Setup'!$G$8*(SUMIF($BH$3:$CE$3,"&lt;"&amp;$DF9,$AD9:$BA9)+SUMIF($BH$3:$CE$3,"&gt;"&amp;$CW$4,$AD9:$BA9)),
IF(BX$3=$DF9+'Model Setup'!$H$7,SUMIF($BH$3:$CE$3,"="&amp;$DF9+'Model Setup'!$H$7,$AD9:$BA9)+'Model Setup'!$H$8*(SUMIF($BH$3:$CE$3,"&lt;"&amp;$DF9,$AD9:$BA9)+SUMIF($BH$3:$CE$3,"&gt;"&amp;$CW$4,$AD9:$BA9)),
IF(BX$3=$DF9+'Model Setup'!$I$7,SUMIF($BH$3:$CE$3,"="&amp;$DF9+'Model Setup'!$I$7,$AD9:$BA9)+'Model Setup'!$I$8*(SUMIF($BH$3:$CE$3,"&lt;"&amp;$DF9,$AD9:$BA9)+SUMIF($BH$3:$CE$3,"&gt;"&amp;$CW$4,$AD9:$BA9)),
IF(BX$3=$DF9+'Model Setup'!$J$7,SUMIF($BH$3:$CE$3,"="&amp;$DF9+'Model Setup'!$J$7,$AD9:$BA9)+'Model Setup'!$J$8*(SUMIF($BH$3:$CE$3,"&lt;"&amp;$DF9,$AD9:$BA9)+SUMIF($BH$3:$CE$3,"&gt;"&amp;$CW$4,$AD9:$BA9)),
IF(BX$3=$DF9+'Model Setup'!$K$7,SUMIF($BH$3:$CE$3,"="&amp;$DF9+'Model Setup'!$K$7,$AD9:$BA9)+'Model Setup'!$K$8*(SUMIF($BH$3:$CE$3,"&lt;"&amp;$DF9,$AD9:$BA9)+SUMIF($BH$3:$CE$3,"&gt;"&amp;$CW$4,$AD9:$BA9)),
IF(BX$3=$DF9+'Model Setup'!$L$7,SUMIF($BH$3:$CE$3,"="&amp;$DF9+'Model Setup'!$L$7,$AD9:$BA9)+'Model Setup'!$L$8*(SUMIF($BH$3:$CE$3,"&lt;"&amp;$DF9,$AD9:$BA9)+SUMIF($BH$3:$CE$3,"&gt;"&amp;$CW$4,$AD9:$BA9)),
IF(BX$3=$DF9+'Model Setup'!$M$7,SUMIF($BH$3:$CE$3,"="&amp;$DF9+'Model Setup'!$M$7,$AD9:$BA9)+'Model Setup'!$M$8*(SUMIF($BH$3:$CE$3,"&lt;"&amp;$DF9,$AD9:$BA9)+SUMIF($BH$3:$CE$3,"&gt;"&amp;$CW$4,$AD9:$BA9)),
IF(BX$3=$DF9+'Model Setup'!$N$7,SUMIF($BH$3:$CE$3,"="&amp;$DF9+'Model Setup'!$N$7,$AD9:$BA9)+'Model Setup'!$N$8*(SUMIF($BH$3:$CE$3,"&lt;"&amp;$DF9,$AD9:$BA9)+SUMIF($BH$3:$CE$3,"&gt;"&amp;$CW$4,$AD9:$BA9)),
IF(BX$3&lt;$CW$4,R9,0))))))))))))))),0)</f>
        <v>292</v>
      </c>
      <c r="BY9" s="47">
        <f>ROUND(IF(OR(BY$3&lt;$DF9,BY$3&gt;$CW$4),0,
IF(BY$3=$DF9+'Model Setup'!$B$7,SUMIF($BH$3:$CE$3,"="&amp;$DF9+'Model Setup'!$B$7,$AD9:$BA9)+'Model Setup'!$B$8*(SUMIF($BH$3:$CE$3,"&lt;"&amp;$DF9,$AD9:$BA9)+SUMIF($BH$3:$CE$3,"&gt;"&amp;$CW$4,$AD9:$BA9)),
IF(BY$3=$DF9+'Model Setup'!$C$7,SUMIF($BH$3:$CE$3,"="&amp;$DF9+'Model Setup'!$C$7,$AD9:$BA9)+'Model Setup'!$C$8*(SUMIF($BH$3:$CE$3,"&lt;"&amp;$DF9,$AD9:$BA9)+SUMIF($BH$3:$CE$3,"&gt;"&amp;$CW$4,$AD9:$BA9)),
IF(BY$3=$DF9+'Model Setup'!$D$7,SUMIF($BH$3:$CE$3,"="&amp;$DF9+'Model Setup'!$D$7,$AD9:$BA9)+'Model Setup'!$D$8*(SUMIF($BH$3:$CE$3,"&lt;"&amp;$DF9,$AD9:$BA9)+SUMIF($BH$3:$CE$3,"&gt;"&amp;$CW$4,$AD9:$BA9)),
IF(BY$3=$DF9+'Model Setup'!$E$7,SUMIF($BH$3:$CE$3,"="&amp;$DF9+'Model Setup'!$E$7,$AD9:$BA9)+'Model Setup'!$E$8*(SUMIF($BH$3:$CE$3,"&lt;"&amp;$DF9,$AD9:$BA9)+SUMIF($BH$3:$CE$3,"&gt;"&amp;$CW$4,$AD9:$BA9)),
IF(BY$3=$DF9+'Model Setup'!$F$7,SUMIF($BH$3:$CE$3,"="&amp;$DF9+'Model Setup'!$F$7,$AD9:$BA9)+'Model Setup'!$F$8*(SUMIF($BH$3:$CE$3,"&lt;"&amp;$DF9,$AD9:$BA9)+SUMIF($BH$3:$CE$3,"&gt;"&amp;$CW$4,$AD9:$BA9)),
IF(BY$3=$DF9+'Model Setup'!$G$7,SUMIF($BH$3:$CE$3,"="&amp;$DF9+'Model Setup'!$G$7,$AD9:$BA9)+'Model Setup'!$G$8*(SUMIF($BH$3:$CE$3,"&lt;"&amp;$DF9,$AD9:$BA9)+SUMIF($BH$3:$CE$3,"&gt;"&amp;$CW$4,$AD9:$BA9)),
IF(BY$3=$DF9+'Model Setup'!$H$7,SUMIF($BH$3:$CE$3,"="&amp;$DF9+'Model Setup'!$H$7,$AD9:$BA9)+'Model Setup'!$H$8*(SUMIF($BH$3:$CE$3,"&lt;"&amp;$DF9,$AD9:$BA9)+SUMIF($BH$3:$CE$3,"&gt;"&amp;$CW$4,$AD9:$BA9)),
IF(BY$3=$DF9+'Model Setup'!$I$7,SUMIF($BH$3:$CE$3,"="&amp;$DF9+'Model Setup'!$I$7,$AD9:$BA9)+'Model Setup'!$I$8*(SUMIF($BH$3:$CE$3,"&lt;"&amp;$DF9,$AD9:$BA9)+SUMIF($BH$3:$CE$3,"&gt;"&amp;$CW$4,$AD9:$BA9)),
IF(BY$3=$DF9+'Model Setup'!$J$7,SUMIF($BH$3:$CE$3,"="&amp;$DF9+'Model Setup'!$J$7,$AD9:$BA9)+'Model Setup'!$J$8*(SUMIF($BH$3:$CE$3,"&lt;"&amp;$DF9,$AD9:$BA9)+SUMIF($BH$3:$CE$3,"&gt;"&amp;$CW$4,$AD9:$BA9)),
IF(BY$3=$DF9+'Model Setup'!$K$7,SUMIF($BH$3:$CE$3,"="&amp;$DF9+'Model Setup'!$K$7,$AD9:$BA9)+'Model Setup'!$K$8*(SUMIF($BH$3:$CE$3,"&lt;"&amp;$DF9,$AD9:$BA9)+SUMIF($BH$3:$CE$3,"&gt;"&amp;$CW$4,$AD9:$BA9)),
IF(BY$3=$DF9+'Model Setup'!$L$7,SUMIF($BH$3:$CE$3,"="&amp;$DF9+'Model Setup'!$L$7,$AD9:$BA9)+'Model Setup'!$L$8*(SUMIF($BH$3:$CE$3,"&lt;"&amp;$DF9,$AD9:$BA9)+SUMIF($BH$3:$CE$3,"&gt;"&amp;$CW$4,$AD9:$BA9)),
IF(BY$3=$DF9+'Model Setup'!$M$7,SUMIF($BH$3:$CE$3,"="&amp;$DF9+'Model Setup'!$M$7,$AD9:$BA9)+'Model Setup'!$M$8*(SUMIF($BH$3:$CE$3,"&lt;"&amp;$DF9,$AD9:$BA9)+SUMIF($BH$3:$CE$3,"&gt;"&amp;$CW$4,$AD9:$BA9)),
IF(BY$3=$DF9+'Model Setup'!$N$7,SUMIF($BH$3:$CE$3,"="&amp;$DF9+'Model Setup'!$N$7,$AD9:$BA9)+'Model Setup'!$N$8*(SUMIF($BH$3:$CE$3,"&lt;"&amp;$DF9,$AD9:$BA9)+SUMIF($BH$3:$CE$3,"&gt;"&amp;$CW$4,$AD9:$BA9)),
IF(BY$3&lt;$CW$4,S9,0))))))))))))))),0)</f>
        <v>179</v>
      </c>
      <c r="BZ9" s="47">
        <f>ROUND(IF(OR(BZ$3&lt;$DF9,BZ$3&gt;$CW$4),0,
IF(BZ$3=$DF9+'Model Setup'!$B$7,SUMIF($BH$3:$CE$3,"="&amp;$DF9+'Model Setup'!$B$7,$AD9:$BA9)+'Model Setup'!$B$8*(SUMIF($BH$3:$CE$3,"&lt;"&amp;$DF9,$AD9:$BA9)+SUMIF($BH$3:$CE$3,"&gt;"&amp;$CW$4,$AD9:$BA9)),
IF(BZ$3=$DF9+'Model Setup'!$C$7,SUMIF($BH$3:$CE$3,"="&amp;$DF9+'Model Setup'!$C$7,$AD9:$BA9)+'Model Setup'!$C$8*(SUMIF($BH$3:$CE$3,"&lt;"&amp;$DF9,$AD9:$BA9)+SUMIF($BH$3:$CE$3,"&gt;"&amp;$CW$4,$AD9:$BA9)),
IF(BZ$3=$DF9+'Model Setup'!$D$7,SUMIF($BH$3:$CE$3,"="&amp;$DF9+'Model Setup'!$D$7,$AD9:$BA9)+'Model Setup'!$D$8*(SUMIF($BH$3:$CE$3,"&lt;"&amp;$DF9,$AD9:$BA9)+SUMIF($BH$3:$CE$3,"&gt;"&amp;$CW$4,$AD9:$BA9)),
IF(BZ$3=$DF9+'Model Setup'!$E$7,SUMIF($BH$3:$CE$3,"="&amp;$DF9+'Model Setup'!$E$7,$AD9:$BA9)+'Model Setup'!$E$8*(SUMIF($BH$3:$CE$3,"&lt;"&amp;$DF9,$AD9:$BA9)+SUMIF($BH$3:$CE$3,"&gt;"&amp;$CW$4,$AD9:$BA9)),
IF(BZ$3=$DF9+'Model Setup'!$F$7,SUMIF($BH$3:$CE$3,"="&amp;$DF9+'Model Setup'!$F$7,$AD9:$BA9)+'Model Setup'!$F$8*(SUMIF($BH$3:$CE$3,"&lt;"&amp;$DF9,$AD9:$BA9)+SUMIF($BH$3:$CE$3,"&gt;"&amp;$CW$4,$AD9:$BA9)),
IF(BZ$3=$DF9+'Model Setup'!$G$7,SUMIF($BH$3:$CE$3,"="&amp;$DF9+'Model Setup'!$G$7,$AD9:$BA9)+'Model Setup'!$G$8*(SUMIF($BH$3:$CE$3,"&lt;"&amp;$DF9,$AD9:$BA9)+SUMIF($BH$3:$CE$3,"&gt;"&amp;$CW$4,$AD9:$BA9)),
IF(BZ$3=$DF9+'Model Setup'!$H$7,SUMIF($BH$3:$CE$3,"="&amp;$DF9+'Model Setup'!$H$7,$AD9:$BA9)+'Model Setup'!$H$8*(SUMIF($BH$3:$CE$3,"&lt;"&amp;$DF9,$AD9:$BA9)+SUMIF($BH$3:$CE$3,"&gt;"&amp;$CW$4,$AD9:$BA9)),
IF(BZ$3=$DF9+'Model Setup'!$I$7,SUMIF($BH$3:$CE$3,"="&amp;$DF9+'Model Setup'!$I$7,$AD9:$BA9)+'Model Setup'!$I$8*(SUMIF($BH$3:$CE$3,"&lt;"&amp;$DF9,$AD9:$BA9)+SUMIF($BH$3:$CE$3,"&gt;"&amp;$CW$4,$AD9:$BA9)),
IF(BZ$3=$DF9+'Model Setup'!$J$7,SUMIF($BH$3:$CE$3,"="&amp;$DF9+'Model Setup'!$J$7,$AD9:$BA9)+'Model Setup'!$J$8*(SUMIF($BH$3:$CE$3,"&lt;"&amp;$DF9,$AD9:$BA9)+SUMIF($BH$3:$CE$3,"&gt;"&amp;$CW$4,$AD9:$BA9)),
IF(BZ$3=$DF9+'Model Setup'!$K$7,SUMIF($BH$3:$CE$3,"="&amp;$DF9+'Model Setup'!$K$7,$AD9:$BA9)+'Model Setup'!$K$8*(SUMIF($BH$3:$CE$3,"&lt;"&amp;$DF9,$AD9:$BA9)+SUMIF($BH$3:$CE$3,"&gt;"&amp;$CW$4,$AD9:$BA9)),
IF(BZ$3=$DF9+'Model Setup'!$L$7,SUMIF($BH$3:$CE$3,"="&amp;$DF9+'Model Setup'!$L$7,$AD9:$BA9)+'Model Setup'!$L$8*(SUMIF($BH$3:$CE$3,"&lt;"&amp;$DF9,$AD9:$BA9)+SUMIF($BH$3:$CE$3,"&gt;"&amp;$CW$4,$AD9:$BA9)),
IF(BZ$3=$DF9+'Model Setup'!$M$7,SUMIF($BH$3:$CE$3,"="&amp;$DF9+'Model Setup'!$M$7,$AD9:$BA9)+'Model Setup'!$M$8*(SUMIF($BH$3:$CE$3,"&lt;"&amp;$DF9,$AD9:$BA9)+SUMIF($BH$3:$CE$3,"&gt;"&amp;$CW$4,$AD9:$BA9)),
IF(BZ$3=$DF9+'Model Setup'!$N$7,SUMIF($BH$3:$CE$3,"="&amp;$DF9+'Model Setup'!$N$7,$AD9:$BA9)+'Model Setup'!$N$8*(SUMIF($BH$3:$CE$3,"&lt;"&amp;$DF9,$AD9:$BA9)+SUMIF($BH$3:$CE$3,"&gt;"&amp;$CW$4,$AD9:$BA9)),
IF(BZ$3&lt;$CW$4,T9,0))))))))))))))),0)</f>
        <v>820</v>
      </c>
      <c r="CA9" s="47">
        <f>ROUND(IF(OR(CA$3&lt;$DF9,CA$3&gt;$CW$4),0,
IF(CA$3=$DF9+'Model Setup'!$B$7,SUMIF($BH$3:$CE$3,"="&amp;$DF9+'Model Setup'!$B$7,$AD9:$BA9)+'Model Setup'!$B$8*(SUMIF($BH$3:$CE$3,"&lt;"&amp;$DF9,$AD9:$BA9)+SUMIF($BH$3:$CE$3,"&gt;"&amp;$CW$4,$AD9:$BA9)),
IF(CA$3=$DF9+'Model Setup'!$C$7,SUMIF($BH$3:$CE$3,"="&amp;$DF9+'Model Setup'!$C$7,$AD9:$BA9)+'Model Setup'!$C$8*(SUMIF($BH$3:$CE$3,"&lt;"&amp;$DF9,$AD9:$BA9)+SUMIF($BH$3:$CE$3,"&gt;"&amp;$CW$4,$AD9:$BA9)),
IF(CA$3=$DF9+'Model Setup'!$D$7,SUMIF($BH$3:$CE$3,"="&amp;$DF9+'Model Setup'!$D$7,$AD9:$BA9)+'Model Setup'!$D$8*(SUMIF($BH$3:$CE$3,"&lt;"&amp;$DF9,$AD9:$BA9)+SUMIF($BH$3:$CE$3,"&gt;"&amp;$CW$4,$AD9:$BA9)),
IF(CA$3=$DF9+'Model Setup'!$E$7,SUMIF($BH$3:$CE$3,"="&amp;$DF9+'Model Setup'!$E$7,$AD9:$BA9)+'Model Setup'!$E$8*(SUMIF($BH$3:$CE$3,"&lt;"&amp;$DF9,$AD9:$BA9)+SUMIF($BH$3:$CE$3,"&gt;"&amp;$CW$4,$AD9:$BA9)),
IF(CA$3=$DF9+'Model Setup'!$F$7,SUMIF($BH$3:$CE$3,"="&amp;$DF9+'Model Setup'!$F$7,$AD9:$BA9)+'Model Setup'!$F$8*(SUMIF($BH$3:$CE$3,"&lt;"&amp;$DF9,$AD9:$BA9)+SUMIF($BH$3:$CE$3,"&gt;"&amp;$CW$4,$AD9:$BA9)),
IF(CA$3=$DF9+'Model Setup'!$G$7,SUMIF($BH$3:$CE$3,"="&amp;$DF9+'Model Setup'!$G$7,$AD9:$BA9)+'Model Setup'!$G$8*(SUMIF($BH$3:$CE$3,"&lt;"&amp;$DF9,$AD9:$BA9)+SUMIF($BH$3:$CE$3,"&gt;"&amp;$CW$4,$AD9:$BA9)),
IF(CA$3=$DF9+'Model Setup'!$H$7,SUMIF($BH$3:$CE$3,"="&amp;$DF9+'Model Setup'!$H$7,$AD9:$BA9)+'Model Setup'!$H$8*(SUMIF($BH$3:$CE$3,"&lt;"&amp;$DF9,$AD9:$BA9)+SUMIF($BH$3:$CE$3,"&gt;"&amp;$CW$4,$AD9:$BA9)),
IF(CA$3=$DF9+'Model Setup'!$I$7,SUMIF($BH$3:$CE$3,"="&amp;$DF9+'Model Setup'!$I$7,$AD9:$BA9)+'Model Setup'!$I$8*(SUMIF($BH$3:$CE$3,"&lt;"&amp;$DF9,$AD9:$BA9)+SUMIF($BH$3:$CE$3,"&gt;"&amp;$CW$4,$AD9:$BA9)),
IF(CA$3=$DF9+'Model Setup'!$J$7,SUMIF($BH$3:$CE$3,"="&amp;$DF9+'Model Setup'!$J$7,$AD9:$BA9)+'Model Setup'!$J$8*(SUMIF($BH$3:$CE$3,"&lt;"&amp;$DF9,$AD9:$BA9)+SUMIF($BH$3:$CE$3,"&gt;"&amp;$CW$4,$AD9:$BA9)),
IF(CA$3=$DF9+'Model Setup'!$K$7,SUMIF($BH$3:$CE$3,"="&amp;$DF9+'Model Setup'!$K$7,$AD9:$BA9)+'Model Setup'!$K$8*(SUMIF($BH$3:$CE$3,"&lt;"&amp;$DF9,$AD9:$BA9)+SUMIF($BH$3:$CE$3,"&gt;"&amp;$CW$4,$AD9:$BA9)),
IF(CA$3=$DF9+'Model Setup'!$L$7,SUMIF($BH$3:$CE$3,"="&amp;$DF9+'Model Setup'!$L$7,$AD9:$BA9)+'Model Setup'!$L$8*(SUMIF($BH$3:$CE$3,"&lt;"&amp;$DF9,$AD9:$BA9)+SUMIF($BH$3:$CE$3,"&gt;"&amp;$CW$4,$AD9:$BA9)),
IF(CA$3=$DF9+'Model Setup'!$M$7,SUMIF($BH$3:$CE$3,"="&amp;$DF9+'Model Setup'!$M$7,$AD9:$BA9)+'Model Setup'!$M$8*(SUMIF($BH$3:$CE$3,"&lt;"&amp;$DF9,$AD9:$BA9)+SUMIF($BH$3:$CE$3,"&gt;"&amp;$CW$4,$AD9:$BA9)),
IF(CA$3=$DF9+'Model Setup'!$N$7,SUMIF($BH$3:$CE$3,"="&amp;$DF9+'Model Setup'!$N$7,$AD9:$BA9)+'Model Setup'!$N$8*(SUMIF($BH$3:$CE$3,"&lt;"&amp;$DF9,$AD9:$BA9)+SUMIF($BH$3:$CE$3,"&gt;"&amp;$CW$4,$AD9:$BA9)),
IF(CA$3&lt;$CW$4,U9,0))))))))))))))),0)</f>
        <v>0</v>
      </c>
      <c r="CB9" s="47">
        <f>ROUND(IF(OR(CB$3&lt;$DF9,CB$3&gt;$CW$4),0,
IF(CB$3=$DF9+'Model Setup'!$B$7,SUMIF($BH$3:$CE$3,"="&amp;$DF9+'Model Setup'!$B$7,$AD9:$BA9)+'Model Setup'!$B$8*(SUMIF($BH$3:$CE$3,"&lt;"&amp;$DF9,$AD9:$BA9)+SUMIF($BH$3:$CE$3,"&gt;"&amp;$CW$4,$AD9:$BA9)),
IF(CB$3=$DF9+'Model Setup'!$C$7,SUMIF($BH$3:$CE$3,"="&amp;$DF9+'Model Setup'!$C$7,$AD9:$BA9)+'Model Setup'!$C$8*(SUMIF($BH$3:$CE$3,"&lt;"&amp;$DF9,$AD9:$BA9)+SUMIF($BH$3:$CE$3,"&gt;"&amp;$CW$4,$AD9:$BA9)),
IF(CB$3=$DF9+'Model Setup'!$D$7,SUMIF($BH$3:$CE$3,"="&amp;$DF9+'Model Setup'!$D$7,$AD9:$BA9)+'Model Setup'!$D$8*(SUMIF($BH$3:$CE$3,"&lt;"&amp;$DF9,$AD9:$BA9)+SUMIF($BH$3:$CE$3,"&gt;"&amp;$CW$4,$AD9:$BA9)),
IF(CB$3=$DF9+'Model Setup'!$E$7,SUMIF($BH$3:$CE$3,"="&amp;$DF9+'Model Setup'!$E$7,$AD9:$BA9)+'Model Setup'!$E$8*(SUMIF($BH$3:$CE$3,"&lt;"&amp;$DF9,$AD9:$BA9)+SUMIF($BH$3:$CE$3,"&gt;"&amp;$CW$4,$AD9:$BA9)),
IF(CB$3=$DF9+'Model Setup'!$F$7,SUMIF($BH$3:$CE$3,"="&amp;$DF9+'Model Setup'!$F$7,$AD9:$BA9)+'Model Setup'!$F$8*(SUMIF($BH$3:$CE$3,"&lt;"&amp;$DF9,$AD9:$BA9)+SUMIF($BH$3:$CE$3,"&gt;"&amp;$CW$4,$AD9:$BA9)),
IF(CB$3=$DF9+'Model Setup'!$G$7,SUMIF($BH$3:$CE$3,"="&amp;$DF9+'Model Setup'!$G$7,$AD9:$BA9)+'Model Setup'!$G$8*(SUMIF($BH$3:$CE$3,"&lt;"&amp;$DF9,$AD9:$BA9)+SUMIF($BH$3:$CE$3,"&gt;"&amp;$CW$4,$AD9:$BA9)),
IF(CB$3=$DF9+'Model Setup'!$H$7,SUMIF($BH$3:$CE$3,"="&amp;$DF9+'Model Setup'!$H$7,$AD9:$BA9)+'Model Setup'!$H$8*(SUMIF($BH$3:$CE$3,"&lt;"&amp;$DF9,$AD9:$BA9)+SUMIF($BH$3:$CE$3,"&gt;"&amp;$CW$4,$AD9:$BA9)),
IF(CB$3=$DF9+'Model Setup'!$I$7,SUMIF($BH$3:$CE$3,"="&amp;$DF9+'Model Setup'!$I$7,$AD9:$BA9)+'Model Setup'!$I$8*(SUMIF($BH$3:$CE$3,"&lt;"&amp;$DF9,$AD9:$BA9)+SUMIF($BH$3:$CE$3,"&gt;"&amp;$CW$4,$AD9:$BA9)),
IF(CB$3=$DF9+'Model Setup'!$J$7,SUMIF($BH$3:$CE$3,"="&amp;$DF9+'Model Setup'!$J$7,$AD9:$BA9)+'Model Setup'!$J$8*(SUMIF($BH$3:$CE$3,"&lt;"&amp;$DF9,$AD9:$BA9)+SUMIF($BH$3:$CE$3,"&gt;"&amp;$CW$4,$AD9:$BA9)),
IF(CB$3=$DF9+'Model Setup'!$K$7,SUMIF($BH$3:$CE$3,"="&amp;$DF9+'Model Setup'!$K$7,$AD9:$BA9)+'Model Setup'!$K$8*(SUMIF($BH$3:$CE$3,"&lt;"&amp;$DF9,$AD9:$BA9)+SUMIF($BH$3:$CE$3,"&gt;"&amp;$CW$4,$AD9:$BA9)),
IF(CB$3=$DF9+'Model Setup'!$L$7,SUMIF($BH$3:$CE$3,"="&amp;$DF9+'Model Setup'!$L$7,$AD9:$BA9)+'Model Setup'!$L$8*(SUMIF($BH$3:$CE$3,"&lt;"&amp;$DF9,$AD9:$BA9)+SUMIF($BH$3:$CE$3,"&gt;"&amp;$CW$4,$AD9:$BA9)),
IF(CB$3=$DF9+'Model Setup'!$M$7,SUMIF($BH$3:$CE$3,"="&amp;$DF9+'Model Setup'!$M$7,$AD9:$BA9)+'Model Setup'!$M$8*(SUMIF($BH$3:$CE$3,"&lt;"&amp;$DF9,$AD9:$BA9)+SUMIF($BH$3:$CE$3,"&gt;"&amp;$CW$4,$AD9:$BA9)),
IF(CB$3=$DF9+'Model Setup'!$N$7,SUMIF($BH$3:$CE$3,"="&amp;$DF9+'Model Setup'!$N$7,$AD9:$BA9)+'Model Setup'!$N$8*(SUMIF($BH$3:$CE$3,"&lt;"&amp;$DF9,$AD9:$BA9)+SUMIF($BH$3:$CE$3,"&gt;"&amp;$CW$4,$AD9:$BA9)),
IF(CB$3&lt;$CW$4,V9,0))))))))))))))),0)</f>
        <v>0</v>
      </c>
      <c r="CC9" s="47">
        <f>ROUND(IF(OR(CC$3&lt;$DF9,CC$3&gt;$CW$4),0,
IF(CC$3=$DF9+'Model Setup'!$B$7,SUMIF($BH$3:$CE$3,"="&amp;$DF9+'Model Setup'!$B$7,$AD9:$BA9)+'Model Setup'!$B$8*(SUMIF($BH$3:$CE$3,"&lt;"&amp;$DF9,$AD9:$BA9)+SUMIF($BH$3:$CE$3,"&gt;"&amp;$CW$4,$AD9:$BA9)),
IF(CC$3=$DF9+'Model Setup'!$C$7,SUMIF($BH$3:$CE$3,"="&amp;$DF9+'Model Setup'!$C$7,$AD9:$BA9)+'Model Setup'!$C$8*(SUMIF($BH$3:$CE$3,"&lt;"&amp;$DF9,$AD9:$BA9)+SUMIF($BH$3:$CE$3,"&gt;"&amp;$CW$4,$AD9:$BA9)),
IF(CC$3=$DF9+'Model Setup'!$D$7,SUMIF($BH$3:$CE$3,"="&amp;$DF9+'Model Setup'!$D$7,$AD9:$BA9)+'Model Setup'!$D$8*(SUMIF($BH$3:$CE$3,"&lt;"&amp;$DF9,$AD9:$BA9)+SUMIF($BH$3:$CE$3,"&gt;"&amp;$CW$4,$AD9:$BA9)),
IF(CC$3=$DF9+'Model Setup'!$E$7,SUMIF($BH$3:$CE$3,"="&amp;$DF9+'Model Setup'!$E$7,$AD9:$BA9)+'Model Setup'!$E$8*(SUMIF($BH$3:$CE$3,"&lt;"&amp;$DF9,$AD9:$BA9)+SUMIF($BH$3:$CE$3,"&gt;"&amp;$CW$4,$AD9:$BA9)),
IF(CC$3=$DF9+'Model Setup'!$F$7,SUMIF($BH$3:$CE$3,"="&amp;$DF9+'Model Setup'!$F$7,$AD9:$BA9)+'Model Setup'!$F$8*(SUMIF($BH$3:$CE$3,"&lt;"&amp;$DF9,$AD9:$BA9)+SUMIF($BH$3:$CE$3,"&gt;"&amp;$CW$4,$AD9:$BA9)),
IF(CC$3=$DF9+'Model Setup'!$G$7,SUMIF($BH$3:$CE$3,"="&amp;$DF9+'Model Setup'!$G$7,$AD9:$BA9)+'Model Setup'!$G$8*(SUMIF($BH$3:$CE$3,"&lt;"&amp;$DF9,$AD9:$BA9)+SUMIF($BH$3:$CE$3,"&gt;"&amp;$CW$4,$AD9:$BA9)),
IF(CC$3=$DF9+'Model Setup'!$H$7,SUMIF($BH$3:$CE$3,"="&amp;$DF9+'Model Setup'!$H$7,$AD9:$BA9)+'Model Setup'!$H$8*(SUMIF($BH$3:$CE$3,"&lt;"&amp;$DF9,$AD9:$BA9)+SUMIF($BH$3:$CE$3,"&gt;"&amp;$CW$4,$AD9:$BA9)),
IF(CC$3=$DF9+'Model Setup'!$I$7,SUMIF($BH$3:$CE$3,"="&amp;$DF9+'Model Setup'!$I$7,$AD9:$BA9)+'Model Setup'!$I$8*(SUMIF($BH$3:$CE$3,"&lt;"&amp;$DF9,$AD9:$BA9)+SUMIF($BH$3:$CE$3,"&gt;"&amp;$CW$4,$AD9:$BA9)),
IF(CC$3=$DF9+'Model Setup'!$J$7,SUMIF($BH$3:$CE$3,"="&amp;$DF9+'Model Setup'!$J$7,$AD9:$BA9)+'Model Setup'!$J$8*(SUMIF($BH$3:$CE$3,"&lt;"&amp;$DF9,$AD9:$BA9)+SUMIF($BH$3:$CE$3,"&gt;"&amp;$CW$4,$AD9:$BA9)),
IF(CC$3=$DF9+'Model Setup'!$K$7,SUMIF($BH$3:$CE$3,"="&amp;$DF9+'Model Setup'!$K$7,$AD9:$BA9)+'Model Setup'!$K$8*(SUMIF($BH$3:$CE$3,"&lt;"&amp;$DF9,$AD9:$BA9)+SUMIF($BH$3:$CE$3,"&gt;"&amp;$CW$4,$AD9:$BA9)),
IF(CC$3=$DF9+'Model Setup'!$L$7,SUMIF($BH$3:$CE$3,"="&amp;$DF9+'Model Setup'!$L$7,$AD9:$BA9)+'Model Setup'!$L$8*(SUMIF($BH$3:$CE$3,"&lt;"&amp;$DF9,$AD9:$BA9)+SUMIF($BH$3:$CE$3,"&gt;"&amp;$CW$4,$AD9:$BA9)),
IF(CC$3=$DF9+'Model Setup'!$M$7,SUMIF($BH$3:$CE$3,"="&amp;$DF9+'Model Setup'!$M$7,$AD9:$BA9)+'Model Setup'!$M$8*(SUMIF($BH$3:$CE$3,"&lt;"&amp;$DF9,$AD9:$BA9)+SUMIF($BH$3:$CE$3,"&gt;"&amp;$CW$4,$AD9:$BA9)),
IF(CC$3=$DF9+'Model Setup'!$N$7,SUMIF($BH$3:$CE$3,"="&amp;$DF9+'Model Setup'!$N$7,$AD9:$BA9)+'Model Setup'!$N$8*(SUMIF($BH$3:$CE$3,"&lt;"&amp;$DF9,$AD9:$BA9)+SUMIF($BH$3:$CE$3,"&gt;"&amp;$CW$4,$AD9:$BA9)),
IF(CC$3&lt;$CW$4,W9,0))))))))))))))),0)</f>
        <v>0</v>
      </c>
      <c r="CD9" s="47">
        <f>ROUND(IF(OR(CD$3&lt;$DF9,CD$3&gt;$CW$4),0,
IF(CD$3=$DF9+'Model Setup'!$B$7,SUMIF($BH$3:$CE$3,"="&amp;$DF9+'Model Setup'!$B$7,$AD9:$BA9)+'Model Setup'!$B$8*(SUMIF($BH$3:$CE$3,"&lt;"&amp;$DF9,$AD9:$BA9)+SUMIF($BH$3:$CE$3,"&gt;"&amp;$CW$4,$AD9:$BA9)),
IF(CD$3=$DF9+'Model Setup'!$C$7,SUMIF($BH$3:$CE$3,"="&amp;$DF9+'Model Setup'!$C$7,$AD9:$BA9)+'Model Setup'!$C$8*(SUMIF($BH$3:$CE$3,"&lt;"&amp;$DF9,$AD9:$BA9)+SUMIF($BH$3:$CE$3,"&gt;"&amp;$CW$4,$AD9:$BA9)),
IF(CD$3=$DF9+'Model Setup'!$D$7,SUMIF($BH$3:$CE$3,"="&amp;$DF9+'Model Setup'!$D$7,$AD9:$BA9)+'Model Setup'!$D$8*(SUMIF($BH$3:$CE$3,"&lt;"&amp;$DF9,$AD9:$BA9)+SUMIF($BH$3:$CE$3,"&gt;"&amp;$CW$4,$AD9:$BA9)),
IF(CD$3=$DF9+'Model Setup'!$E$7,SUMIF($BH$3:$CE$3,"="&amp;$DF9+'Model Setup'!$E$7,$AD9:$BA9)+'Model Setup'!$E$8*(SUMIF($BH$3:$CE$3,"&lt;"&amp;$DF9,$AD9:$BA9)+SUMIF($BH$3:$CE$3,"&gt;"&amp;$CW$4,$AD9:$BA9)),
IF(CD$3=$DF9+'Model Setup'!$F$7,SUMIF($BH$3:$CE$3,"="&amp;$DF9+'Model Setup'!$F$7,$AD9:$BA9)+'Model Setup'!$F$8*(SUMIF($BH$3:$CE$3,"&lt;"&amp;$DF9,$AD9:$BA9)+SUMIF($BH$3:$CE$3,"&gt;"&amp;$CW$4,$AD9:$BA9)),
IF(CD$3=$DF9+'Model Setup'!$G$7,SUMIF($BH$3:$CE$3,"="&amp;$DF9+'Model Setup'!$G$7,$AD9:$BA9)+'Model Setup'!$G$8*(SUMIF($BH$3:$CE$3,"&lt;"&amp;$DF9,$AD9:$BA9)+SUMIF($BH$3:$CE$3,"&gt;"&amp;$CW$4,$AD9:$BA9)),
IF(CD$3=$DF9+'Model Setup'!$H$7,SUMIF($BH$3:$CE$3,"="&amp;$DF9+'Model Setup'!$H$7,$AD9:$BA9)+'Model Setup'!$H$8*(SUMIF($BH$3:$CE$3,"&lt;"&amp;$DF9,$AD9:$BA9)+SUMIF($BH$3:$CE$3,"&gt;"&amp;$CW$4,$AD9:$BA9)),
IF(CD$3=$DF9+'Model Setup'!$I$7,SUMIF($BH$3:$CE$3,"="&amp;$DF9+'Model Setup'!$I$7,$AD9:$BA9)+'Model Setup'!$I$8*(SUMIF($BH$3:$CE$3,"&lt;"&amp;$DF9,$AD9:$BA9)+SUMIF($BH$3:$CE$3,"&gt;"&amp;$CW$4,$AD9:$BA9)),
IF(CD$3=$DF9+'Model Setup'!$J$7,SUMIF($BH$3:$CE$3,"="&amp;$DF9+'Model Setup'!$J$7,$AD9:$BA9)+'Model Setup'!$J$8*(SUMIF($BH$3:$CE$3,"&lt;"&amp;$DF9,$AD9:$BA9)+SUMIF($BH$3:$CE$3,"&gt;"&amp;$CW$4,$AD9:$BA9)),
IF(CD$3=$DF9+'Model Setup'!$K$7,SUMIF($BH$3:$CE$3,"="&amp;$DF9+'Model Setup'!$K$7,$AD9:$BA9)+'Model Setup'!$K$8*(SUMIF($BH$3:$CE$3,"&lt;"&amp;$DF9,$AD9:$BA9)+SUMIF($BH$3:$CE$3,"&gt;"&amp;$CW$4,$AD9:$BA9)),
IF(CD$3=$DF9+'Model Setup'!$L$7,SUMIF($BH$3:$CE$3,"="&amp;$DF9+'Model Setup'!$L$7,$AD9:$BA9)+'Model Setup'!$L$8*(SUMIF($BH$3:$CE$3,"&lt;"&amp;$DF9,$AD9:$BA9)+SUMIF($BH$3:$CE$3,"&gt;"&amp;$CW$4,$AD9:$BA9)),
IF(CD$3=$DF9+'Model Setup'!$M$7,SUMIF($BH$3:$CE$3,"="&amp;$DF9+'Model Setup'!$M$7,$AD9:$BA9)+'Model Setup'!$M$8*(SUMIF($BH$3:$CE$3,"&lt;"&amp;$DF9,$AD9:$BA9)+SUMIF($BH$3:$CE$3,"&gt;"&amp;$CW$4,$AD9:$BA9)),
IF(CD$3=$DF9+'Model Setup'!$N$7,SUMIF($BH$3:$CE$3,"="&amp;$DF9+'Model Setup'!$N$7,$AD9:$BA9)+'Model Setup'!$N$8*(SUMIF($BH$3:$CE$3,"&lt;"&amp;$DF9,$AD9:$BA9)+SUMIF($BH$3:$CE$3,"&gt;"&amp;$CW$4,$AD9:$BA9)),
IF(CD$3&lt;$CW$4,X9,0))))))))))))))),0)</f>
        <v>0</v>
      </c>
      <c r="CE9" s="47">
        <f>ROUND(IF(OR(CE$3&lt;$DF9,CE$3&gt;$CW$4),0,
IF(CE$3=$DF9+'Model Setup'!$B$7,SUMIF($BH$3:$CE$3,"="&amp;$DF9+'Model Setup'!$B$7,$AD9:$BA9)+'Model Setup'!$B$8*(SUMIF($BH$3:$CE$3,"&lt;"&amp;$DF9,$AD9:$BA9)+SUMIF($BH$3:$CE$3,"&gt;"&amp;$CW$4,$AD9:$BA9)),
IF(CE$3=$DF9+'Model Setup'!$C$7,SUMIF($BH$3:$CE$3,"="&amp;$DF9+'Model Setup'!$C$7,$AD9:$BA9)+'Model Setup'!$C$8*(SUMIF($BH$3:$CE$3,"&lt;"&amp;$DF9,$AD9:$BA9)+SUMIF($BH$3:$CE$3,"&gt;"&amp;$CW$4,$AD9:$BA9)),
IF(CE$3=$DF9+'Model Setup'!$D$7,SUMIF($BH$3:$CE$3,"="&amp;$DF9+'Model Setup'!$D$7,$AD9:$BA9)+'Model Setup'!$D$8*(SUMIF($BH$3:$CE$3,"&lt;"&amp;$DF9,$AD9:$BA9)+SUMIF($BH$3:$CE$3,"&gt;"&amp;$CW$4,$AD9:$BA9)),
IF(CE$3=$DF9+'Model Setup'!$E$7,SUMIF($BH$3:$CE$3,"="&amp;$DF9+'Model Setup'!$E$7,$AD9:$BA9)+'Model Setup'!$E$8*(SUMIF($BH$3:$CE$3,"&lt;"&amp;$DF9,$AD9:$BA9)+SUMIF($BH$3:$CE$3,"&gt;"&amp;$CW$4,$AD9:$BA9)),
IF(CE$3=$DF9+'Model Setup'!$F$7,SUMIF($BH$3:$CE$3,"="&amp;$DF9+'Model Setup'!$F$7,$AD9:$BA9)+'Model Setup'!$F$8*(SUMIF($BH$3:$CE$3,"&lt;"&amp;$DF9,$AD9:$BA9)+SUMIF($BH$3:$CE$3,"&gt;"&amp;$CW$4,$AD9:$BA9)),
IF(CE$3=$DF9+'Model Setup'!$G$7,SUMIF($BH$3:$CE$3,"="&amp;$DF9+'Model Setup'!$G$7,$AD9:$BA9)+'Model Setup'!$G$8*(SUMIF($BH$3:$CE$3,"&lt;"&amp;$DF9,$AD9:$BA9)+SUMIF($BH$3:$CE$3,"&gt;"&amp;$CW$4,$AD9:$BA9)),
IF(CE$3=$DF9+'Model Setup'!$H$7,SUMIF($BH$3:$CE$3,"="&amp;$DF9+'Model Setup'!$H$7,$AD9:$BA9)+'Model Setup'!$H$8*(SUMIF($BH$3:$CE$3,"&lt;"&amp;$DF9,$AD9:$BA9)+SUMIF($BH$3:$CE$3,"&gt;"&amp;$CW$4,$AD9:$BA9)),
IF(CE$3=$DF9+'Model Setup'!$I$7,SUMIF($BH$3:$CE$3,"="&amp;$DF9+'Model Setup'!$I$7,$AD9:$BA9)+'Model Setup'!$I$8*(SUMIF($BH$3:$CE$3,"&lt;"&amp;$DF9,$AD9:$BA9)+SUMIF($BH$3:$CE$3,"&gt;"&amp;$CW$4,$AD9:$BA9)),
IF(CE$3=$DF9+'Model Setup'!$J$7,SUMIF($BH$3:$CE$3,"="&amp;$DF9+'Model Setup'!$J$7,$AD9:$BA9)+'Model Setup'!$J$8*(SUMIF($BH$3:$CE$3,"&lt;"&amp;$DF9,$AD9:$BA9)+SUMIF($BH$3:$CE$3,"&gt;"&amp;$CW$4,$AD9:$BA9)),
IF(CE$3=$DF9+'Model Setup'!$K$7,SUMIF($BH$3:$CE$3,"="&amp;$DF9+'Model Setup'!$K$7,$AD9:$BA9)+'Model Setup'!$K$8*(SUMIF($BH$3:$CE$3,"&lt;"&amp;$DF9,$AD9:$BA9)+SUMIF($BH$3:$CE$3,"&gt;"&amp;$CW$4,$AD9:$BA9)),
IF(CE$3=$DF9+'Model Setup'!$L$7,SUMIF($BH$3:$CE$3,"="&amp;$DF9+'Model Setup'!$L$7,$AD9:$BA9)+'Model Setup'!$L$8*(SUMIF($BH$3:$CE$3,"&lt;"&amp;$DF9,$AD9:$BA9)+SUMIF($BH$3:$CE$3,"&gt;"&amp;$CW$4,$AD9:$BA9)),
IF(CE$3=$DF9+'Model Setup'!$M$7,SUMIF($BH$3:$CE$3,"="&amp;$DF9+'Model Setup'!$M$7,$AD9:$BA9)+'Model Setup'!$M$8*(SUMIF($BH$3:$CE$3,"&lt;"&amp;$DF9,$AD9:$BA9)+SUMIF($BH$3:$CE$3,"&gt;"&amp;$CW$4,$AD9:$BA9)),
IF(CE$3=$DF9+'Model Setup'!$N$7,SUMIF($BH$3:$CE$3,"="&amp;$DF9+'Model Setup'!$N$7,$AD9:$BA9)+'Model Setup'!$N$8*(SUMIF($BH$3:$CE$3,"&lt;"&amp;$DF9,$AD9:$BA9)+SUMIF($BH$3:$CE$3,"&gt;"&amp;$CW$4,$AD9:$BA9)),
IF(CE$3&lt;$CW$4,Y9,0))))))))))))))),0)</f>
        <v>0</v>
      </c>
      <c r="CF9" s="47">
        <f t="shared" si="3"/>
        <v>5211</v>
      </c>
      <c r="CG9" s="47">
        <f>CF9-BB9</f>
        <v>-727</v>
      </c>
      <c r="CI9" s="10" t="s">
        <v>24</v>
      </c>
      <c r="CJ9" s="126">
        <f t="shared" si="9"/>
        <v>0</v>
      </c>
      <c r="CK9" s="126">
        <f t="shared" si="10"/>
        <v>0</v>
      </c>
      <c r="CL9" s="126">
        <f t="shared" si="11"/>
        <v>0</v>
      </c>
      <c r="CM9" s="126">
        <f t="shared" si="12"/>
        <v>526</v>
      </c>
      <c r="CN9" s="126">
        <f t="shared" si="13"/>
        <v>681</v>
      </c>
      <c r="CO9" s="126">
        <f t="shared" si="14"/>
        <v>691</v>
      </c>
      <c r="CP9" s="126">
        <f t="shared" si="15"/>
        <v>526</v>
      </c>
      <c r="CQ9" s="126">
        <f t="shared" si="16"/>
        <v>460</v>
      </c>
      <c r="CR9" s="126">
        <f t="shared" si="17"/>
        <v>418</v>
      </c>
      <c r="CS9" s="126">
        <f t="shared" si="18"/>
        <v>320</v>
      </c>
      <c r="CT9" s="126">
        <f t="shared" si="19"/>
        <v>298</v>
      </c>
      <c r="CU9" s="126">
        <f t="shared" si="20"/>
        <v>292</v>
      </c>
      <c r="CV9" s="126">
        <f t="shared" si="21"/>
        <v>179</v>
      </c>
      <c r="CW9" s="126">
        <f t="shared" si="22"/>
        <v>509</v>
      </c>
      <c r="CX9" s="126">
        <f t="shared" si="23"/>
        <v>596</v>
      </c>
      <c r="CY9" s="126">
        <f t="shared" si="24"/>
        <v>442</v>
      </c>
      <c r="CZ9" s="47">
        <f t="shared" si="7"/>
        <v>4900</v>
      </c>
      <c r="DC9" s="93" t="s">
        <v>24</v>
      </c>
      <c r="DD9" s="89">
        <f>FTC!E7</f>
        <v>0.33333333333333331</v>
      </c>
      <c r="DE9" s="89">
        <f>FTC!F7</f>
        <v>0.875</v>
      </c>
      <c r="DF9" s="90">
        <f t="shared" si="25"/>
        <v>8</v>
      </c>
      <c r="DG9" s="91">
        <f t="shared" si="26"/>
        <v>21</v>
      </c>
      <c r="DH9" s="91">
        <f t="shared" si="27"/>
        <v>13</v>
      </c>
    </row>
    <row r="10" spans="1:112" x14ac:dyDescent="0.35">
      <c r="A10" s="43" t="s">
        <v>25</v>
      </c>
      <c r="B10" s="47">
        <v>2</v>
      </c>
      <c r="C10" s="6"/>
      <c r="D10" s="47">
        <v>3</v>
      </c>
      <c r="E10" s="47">
        <v>2</v>
      </c>
      <c r="F10" s="6"/>
      <c r="G10" s="47">
        <v>11</v>
      </c>
      <c r="H10" s="47">
        <v>64</v>
      </c>
      <c r="I10" s="47">
        <v>97</v>
      </c>
      <c r="J10" s="47">
        <v>122</v>
      </c>
      <c r="K10" s="47">
        <v>121</v>
      </c>
      <c r="L10" s="47">
        <v>109</v>
      </c>
      <c r="M10" s="47">
        <v>71</v>
      </c>
      <c r="N10" s="47">
        <v>54</v>
      </c>
      <c r="O10" s="47">
        <v>54</v>
      </c>
      <c r="P10" s="47">
        <v>54</v>
      </c>
      <c r="Q10" s="47">
        <v>26</v>
      </c>
      <c r="R10" s="47">
        <v>30</v>
      </c>
      <c r="S10" s="47">
        <v>19</v>
      </c>
      <c r="T10" s="47">
        <v>12</v>
      </c>
      <c r="U10" s="47">
        <v>12</v>
      </c>
      <c r="V10" s="47">
        <v>8</v>
      </c>
      <c r="W10" s="47">
        <v>11</v>
      </c>
      <c r="X10" s="47">
        <v>8</v>
      </c>
      <c r="Y10" s="47">
        <v>3</v>
      </c>
      <c r="Z10" s="47">
        <f t="shared" si="0"/>
        <v>893</v>
      </c>
      <c r="AC10" s="43" t="s">
        <v>25</v>
      </c>
      <c r="AD10" s="47">
        <f>ROUND(IF(AD$3&lt;$DF10,0,
IF(AD$3=$DF10+'Model Setup'!$B$7,SUMIF($AD$3:$BA$3,"="&amp;$DF10+'Model Setup'!$B$7,$B10:$Y10)+'Model Setup'!$B$8*(SUMIF($AD$3:$BA$3,"&lt;"&amp;$DF10,$B10:$Y10)+SUMIF($AD$3:$BA$3,"&gt;="&amp;$DG10,$B10:$Y10)),
IF(AD$3=$DF10+'Model Setup'!$C$7,SUMIF($AD$3:$BA$3,"="&amp;$DF10+'Model Setup'!$C$7,$B10:$Y10)+'Model Setup'!$C$8*(SUMIF($AD$3:$BA$3,"&lt;"&amp;$DF10,$B10:$Y10)+SUMIF($AD$3:$BA$3,"&gt;="&amp;$DG10,$B10:$Y10)),
IF(AD$3=$DF10+'Model Setup'!$D$7,SUMIF($AD$3:$BA$3,"="&amp;$DF10+'Model Setup'!$D$7,$B10:$Y10)+'Model Setup'!$D$8*(SUMIF($AD$3:$BA$3,"&lt;"&amp;$DF10,$B10:$Y10)+SUMIF($AD$3:$BA$3,"&gt;="&amp;$DG10,$B10:$Y10)),
IF(AD$3=$DF10+'Model Setup'!$E$7,SUMIF($AD$3:$BA$3,"="&amp;$DF10+'Model Setup'!$E$7,$B10:$Y10)+'Model Setup'!$E$8*(SUMIF($AD$3:$BA$3,"&lt;"&amp;$DF10,$B10:$Y10)+SUMIF($AD$3:$BA$3,"&gt;="&amp;$DG10,$B10:$Y10)),
IF(AD$3=$DF10+'Model Setup'!$F$7,SUMIF($AD$3:$BA$3,"="&amp;$DF10+'Model Setup'!$F$7,$B10:$Y10)+'Model Setup'!$F$8*(SUMIF($AD$3:$BA$3,"&lt;"&amp;$DF10,$B10:$Y10)+SUMIF($AD$3:$BA$3,"&gt;="&amp;$DG10,$B10:$Y10)),
IF(AD$3=$DF10+'Model Setup'!$G$7,SUMIF($AD$3:$BA$3,"="&amp;$DF10+'Model Setup'!$G$7,$B10:$Y10)+'Model Setup'!$G$8*(SUMIF($AD$3:$BA$3,"&lt;"&amp;$DF10,$B10:$Y10)+SUMIF($AD$3:$BA$3,"&gt;="&amp;$DG10,$B10:$Y10)),
IF(AD$3=$DF10+'Model Setup'!$H$7,SUMIF($AD$3:$BA$3,"="&amp;$DF10+'Model Setup'!$H$7,$B10:$Y10)+'Model Setup'!$H$8*(SUMIF($AD$3:$BA$3,"&lt;"&amp;$DF10,$B10:$Y10)+SUMIF($AD$3:$BA$3,"&gt;="&amp;$DG10,$B10:$Y10)),
IF(AD$3=$DF10+'Model Setup'!$I$7,SUMIF($AD$3:$BA$3,"="&amp;$DF10+'Model Setup'!$I$7,$B10:$Y10)+'Model Setup'!$I$8*(SUMIF($AD$3:$BA$3,"&lt;"&amp;$DF10,$B10:$Y10)+SUMIF($AD$3:$BA$3,"&gt;="&amp;$DG10,$B10:$Y10)),
IF(AD$3=$DF10+'Model Setup'!$J$7,SUMIF($AD$3:$BA$3,"="&amp;$DF10+'Model Setup'!$J$7,$B10:$Y10)+'Model Setup'!$J$8*(SUMIF($AD$3:$BA$3,"&lt;"&amp;$DF10,$B10:$Y10)+SUMIF($AD$3:$BA$3,"&gt;="&amp;$DG10,$B10:$Y10)),
IF(AD$3=$DF10+'Model Setup'!$K$7,SUMIF($AD$3:$BA$3,"="&amp;$DF10+'Model Setup'!$K$7,$B10:$Y10)+'Model Setup'!$K$8*(SUMIF($AD$3:$BA$3,"&lt;"&amp;$DF10,$B10:$Y10)+SUMIF($AD$3:$BA$3,"&gt;="&amp;$DG10,$B10:$Y10)),
IF(AD$3=$DF10+'Model Setup'!$L$7,SUMIF($AD$3:$BA$3,"="&amp;$DF10+'Model Setup'!$L$7,$B10:$Y10)+'Model Setup'!$L$8*(SUMIF($AD$3:$BA$3,"&lt;"&amp;$DF10,$B10:$Y10)+SUMIF($AD$3:$BA$3,"&gt;="&amp;$DG10,$B10:$Y10)),
IF(AD$3=$DF10+'Model Setup'!$M$7,SUMIF($AD$3:$BA$3,"="&amp;$DF10+'Model Setup'!$M$7,$B10:$Y10)+'Model Setup'!$M$8*(SUMIF($AD$3:$BA$3,"&lt;"&amp;$DF10,$B10:$Y10)+SUMIF($AD$3:$BA$3,"&gt;="&amp;$DG10,$B10:$Y10)),
IF(AD$3=$DF10+'Model Setup'!$N$7,SUMIF($AD$3:$BA$3,"="&amp;$DF10+'Model Setup'!$N$7,$B10:$Y10)+'Model Setup'!$N$8*(SUMIF($AD$3:$BA$3,"&lt;"&amp;$DF10,$B10:$Y10)+SUMIF($AD$3:$BA$3,"&gt;="&amp;$DG10,$B10:$Y10)),
IF(AD$3&lt;$DG10,B10,0))))))))))))))),0)</f>
        <v>0</v>
      </c>
      <c r="AE10" s="47">
        <f>ROUND(IF(AE$3&lt;$DF10,0,
IF(AE$3=$DF10+'Model Setup'!$B$7,SUMIF($AD$3:$BA$3,"="&amp;$DF10+'Model Setup'!$B$7,$B10:$Y10)+'Model Setup'!$B$8*(SUMIF($AD$3:$BA$3,"&lt;"&amp;$DF10,$B10:$Y10)+SUMIF($AD$3:$BA$3,"&gt;="&amp;$DG10,$B10:$Y10)),
IF(AE$3=$DF10+'Model Setup'!$C$7,SUMIF($AD$3:$BA$3,"="&amp;$DF10+'Model Setup'!$C$7,$B10:$Y10)+'Model Setup'!$C$8*(SUMIF($AD$3:$BA$3,"&lt;"&amp;$DF10,$B10:$Y10)+SUMIF($AD$3:$BA$3,"&gt;="&amp;$DG10,$B10:$Y10)),
IF(AE$3=$DF10+'Model Setup'!$D$7,SUMIF($AD$3:$BA$3,"="&amp;$DF10+'Model Setup'!$D$7,$B10:$Y10)+'Model Setup'!$D$8*(SUMIF($AD$3:$BA$3,"&lt;"&amp;$DF10,$B10:$Y10)+SUMIF($AD$3:$BA$3,"&gt;="&amp;$DG10,$B10:$Y10)),
IF(AE$3=$DF10+'Model Setup'!$E$7,SUMIF($AD$3:$BA$3,"="&amp;$DF10+'Model Setup'!$E$7,$B10:$Y10)+'Model Setup'!$E$8*(SUMIF($AD$3:$BA$3,"&lt;"&amp;$DF10,$B10:$Y10)+SUMIF($AD$3:$BA$3,"&gt;="&amp;$DG10,$B10:$Y10)),
IF(AE$3=$DF10+'Model Setup'!$F$7,SUMIF($AD$3:$BA$3,"="&amp;$DF10+'Model Setup'!$F$7,$B10:$Y10)+'Model Setup'!$F$8*(SUMIF($AD$3:$BA$3,"&lt;"&amp;$DF10,$B10:$Y10)+SUMIF($AD$3:$BA$3,"&gt;="&amp;$DG10,$B10:$Y10)),
IF(AE$3=$DF10+'Model Setup'!$G$7,SUMIF($AD$3:$BA$3,"="&amp;$DF10+'Model Setup'!$G$7,$B10:$Y10)+'Model Setup'!$G$8*(SUMIF($AD$3:$BA$3,"&lt;"&amp;$DF10,$B10:$Y10)+SUMIF($AD$3:$BA$3,"&gt;="&amp;$DG10,$B10:$Y10)),
IF(AE$3=$DF10+'Model Setup'!$H$7,SUMIF($AD$3:$BA$3,"="&amp;$DF10+'Model Setup'!$H$7,$B10:$Y10)+'Model Setup'!$H$8*(SUMIF($AD$3:$BA$3,"&lt;"&amp;$DF10,$B10:$Y10)+SUMIF($AD$3:$BA$3,"&gt;="&amp;$DG10,$B10:$Y10)),
IF(AE$3=$DF10+'Model Setup'!$I$7,SUMIF($AD$3:$BA$3,"="&amp;$DF10+'Model Setup'!$I$7,$B10:$Y10)+'Model Setup'!$I$8*(SUMIF($AD$3:$BA$3,"&lt;"&amp;$DF10,$B10:$Y10)+SUMIF($AD$3:$BA$3,"&gt;="&amp;$DG10,$B10:$Y10)),
IF(AE$3=$DF10+'Model Setup'!$J$7,SUMIF($AD$3:$BA$3,"="&amp;$DF10+'Model Setup'!$J$7,$B10:$Y10)+'Model Setup'!$J$8*(SUMIF($AD$3:$BA$3,"&lt;"&amp;$DF10,$B10:$Y10)+SUMIF($AD$3:$BA$3,"&gt;="&amp;$DG10,$B10:$Y10)),
IF(AE$3=$DF10+'Model Setup'!$K$7,SUMIF($AD$3:$BA$3,"="&amp;$DF10+'Model Setup'!$K$7,$B10:$Y10)+'Model Setup'!$K$8*(SUMIF($AD$3:$BA$3,"&lt;"&amp;$DF10,$B10:$Y10)+SUMIF($AD$3:$BA$3,"&gt;="&amp;$DG10,$B10:$Y10)),
IF(AE$3=$DF10+'Model Setup'!$L$7,SUMIF($AD$3:$BA$3,"="&amp;$DF10+'Model Setup'!$L$7,$B10:$Y10)+'Model Setup'!$L$8*(SUMIF($AD$3:$BA$3,"&lt;"&amp;$DF10,$B10:$Y10)+SUMIF($AD$3:$BA$3,"&gt;="&amp;$DG10,$B10:$Y10)),
IF(AE$3=$DF10+'Model Setup'!$M$7,SUMIF($AD$3:$BA$3,"="&amp;$DF10+'Model Setup'!$M$7,$B10:$Y10)+'Model Setup'!$M$8*(SUMIF($AD$3:$BA$3,"&lt;"&amp;$DF10,$B10:$Y10)+SUMIF($AD$3:$BA$3,"&gt;="&amp;$DG10,$B10:$Y10)),
IF(AE$3=$DF10+'Model Setup'!$N$7,SUMIF($AD$3:$BA$3,"="&amp;$DF10+'Model Setup'!$N$7,$B10:$Y10)+'Model Setup'!$N$8*(SUMIF($AD$3:$BA$3,"&lt;"&amp;$DF10,$B10:$Y10)+SUMIF($AD$3:$BA$3,"&gt;="&amp;$DG10,$B10:$Y10)),
IF(AE$3&lt;$DG10,C10,0))))))))))))))),0)</f>
        <v>0</v>
      </c>
      <c r="AF10" s="47">
        <f>ROUND(IF(AF$3&lt;$DF10,0,
IF(AF$3=$DF10+'Model Setup'!$B$7,SUMIF($AD$3:$BA$3,"="&amp;$DF10+'Model Setup'!$B$7,$B10:$Y10)+'Model Setup'!$B$8*(SUMIF($AD$3:$BA$3,"&lt;"&amp;$DF10,$B10:$Y10)+SUMIF($AD$3:$BA$3,"&gt;="&amp;$DG10,$B10:$Y10)),
IF(AF$3=$DF10+'Model Setup'!$C$7,SUMIF($AD$3:$BA$3,"="&amp;$DF10+'Model Setup'!$C$7,$B10:$Y10)+'Model Setup'!$C$8*(SUMIF($AD$3:$BA$3,"&lt;"&amp;$DF10,$B10:$Y10)+SUMIF($AD$3:$BA$3,"&gt;="&amp;$DG10,$B10:$Y10)),
IF(AF$3=$DF10+'Model Setup'!$D$7,SUMIF($AD$3:$BA$3,"="&amp;$DF10+'Model Setup'!$D$7,$B10:$Y10)+'Model Setup'!$D$8*(SUMIF($AD$3:$BA$3,"&lt;"&amp;$DF10,$B10:$Y10)+SUMIF($AD$3:$BA$3,"&gt;="&amp;$DG10,$B10:$Y10)),
IF(AF$3=$DF10+'Model Setup'!$E$7,SUMIF($AD$3:$BA$3,"="&amp;$DF10+'Model Setup'!$E$7,$B10:$Y10)+'Model Setup'!$E$8*(SUMIF($AD$3:$BA$3,"&lt;"&amp;$DF10,$B10:$Y10)+SUMIF($AD$3:$BA$3,"&gt;="&amp;$DG10,$B10:$Y10)),
IF(AF$3=$DF10+'Model Setup'!$F$7,SUMIF($AD$3:$BA$3,"="&amp;$DF10+'Model Setup'!$F$7,$B10:$Y10)+'Model Setup'!$F$8*(SUMIF($AD$3:$BA$3,"&lt;"&amp;$DF10,$B10:$Y10)+SUMIF($AD$3:$BA$3,"&gt;="&amp;$DG10,$B10:$Y10)),
IF(AF$3=$DF10+'Model Setup'!$G$7,SUMIF($AD$3:$BA$3,"="&amp;$DF10+'Model Setup'!$G$7,$B10:$Y10)+'Model Setup'!$G$8*(SUMIF($AD$3:$BA$3,"&lt;"&amp;$DF10,$B10:$Y10)+SUMIF($AD$3:$BA$3,"&gt;="&amp;$DG10,$B10:$Y10)),
IF(AF$3=$DF10+'Model Setup'!$H$7,SUMIF($AD$3:$BA$3,"="&amp;$DF10+'Model Setup'!$H$7,$B10:$Y10)+'Model Setup'!$H$8*(SUMIF($AD$3:$BA$3,"&lt;"&amp;$DF10,$B10:$Y10)+SUMIF($AD$3:$BA$3,"&gt;="&amp;$DG10,$B10:$Y10)),
IF(AF$3=$DF10+'Model Setup'!$I$7,SUMIF($AD$3:$BA$3,"="&amp;$DF10+'Model Setup'!$I$7,$B10:$Y10)+'Model Setup'!$I$8*(SUMIF($AD$3:$BA$3,"&lt;"&amp;$DF10,$B10:$Y10)+SUMIF($AD$3:$BA$3,"&gt;="&amp;$DG10,$B10:$Y10)),
IF(AF$3=$DF10+'Model Setup'!$J$7,SUMIF($AD$3:$BA$3,"="&amp;$DF10+'Model Setup'!$J$7,$B10:$Y10)+'Model Setup'!$J$8*(SUMIF($AD$3:$BA$3,"&lt;"&amp;$DF10,$B10:$Y10)+SUMIF($AD$3:$BA$3,"&gt;="&amp;$DG10,$B10:$Y10)),
IF(AF$3=$DF10+'Model Setup'!$K$7,SUMIF($AD$3:$BA$3,"="&amp;$DF10+'Model Setup'!$K$7,$B10:$Y10)+'Model Setup'!$K$8*(SUMIF($AD$3:$BA$3,"&lt;"&amp;$DF10,$B10:$Y10)+SUMIF($AD$3:$BA$3,"&gt;="&amp;$DG10,$B10:$Y10)),
IF(AF$3=$DF10+'Model Setup'!$L$7,SUMIF($AD$3:$BA$3,"="&amp;$DF10+'Model Setup'!$L$7,$B10:$Y10)+'Model Setup'!$L$8*(SUMIF($AD$3:$BA$3,"&lt;"&amp;$DF10,$B10:$Y10)+SUMIF($AD$3:$BA$3,"&gt;="&amp;$DG10,$B10:$Y10)),
IF(AF$3=$DF10+'Model Setup'!$M$7,SUMIF($AD$3:$BA$3,"="&amp;$DF10+'Model Setup'!$M$7,$B10:$Y10)+'Model Setup'!$M$8*(SUMIF($AD$3:$BA$3,"&lt;"&amp;$DF10,$B10:$Y10)+SUMIF($AD$3:$BA$3,"&gt;="&amp;$DG10,$B10:$Y10)),
IF(AF$3=$DF10+'Model Setup'!$N$7,SUMIF($AD$3:$BA$3,"="&amp;$DF10+'Model Setup'!$N$7,$B10:$Y10)+'Model Setup'!$N$8*(SUMIF($AD$3:$BA$3,"&lt;"&amp;$DF10,$B10:$Y10)+SUMIF($AD$3:$BA$3,"&gt;="&amp;$DG10,$B10:$Y10)),
IF(AF$3&lt;$DG10,D10,0))))))))))))))),0)</f>
        <v>0</v>
      </c>
      <c r="AG10" s="47">
        <f>ROUND(IF(AG$3&lt;$DF10,0,
IF(AG$3=$DF10+'Model Setup'!$B$7,SUMIF($AD$3:$BA$3,"="&amp;$DF10+'Model Setup'!$B$7,$B10:$Y10)+'Model Setup'!$B$8*(SUMIF($AD$3:$BA$3,"&lt;"&amp;$DF10,$B10:$Y10)+SUMIF($AD$3:$BA$3,"&gt;="&amp;$DG10,$B10:$Y10)),
IF(AG$3=$DF10+'Model Setup'!$C$7,SUMIF($AD$3:$BA$3,"="&amp;$DF10+'Model Setup'!$C$7,$B10:$Y10)+'Model Setup'!$C$8*(SUMIF($AD$3:$BA$3,"&lt;"&amp;$DF10,$B10:$Y10)+SUMIF($AD$3:$BA$3,"&gt;="&amp;$DG10,$B10:$Y10)),
IF(AG$3=$DF10+'Model Setup'!$D$7,SUMIF($AD$3:$BA$3,"="&amp;$DF10+'Model Setup'!$D$7,$B10:$Y10)+'Model Setup'!$D$8*(SUMIF($AD$3:$BA$3,"&lt;"&amp;$DF10,$B10:$Y10)+SUMIF($AD$3:$BA$3,"&gt;="&amp;$DG10,$B10:$Y10)),
IF(AG$3=$DF10+'Model Setup'!$E$7,SUMIF($AD$3:$BA$3,"="&amp;$DF10+'Model Setup'!$E$7,$B10:$Y10)+'Model Setup'!$E$8*(SUMIF($AD$3:$BA$3,"&lt;"&amp;$DF10,$B10:$Y10)+SUMIF($AD$3:$BA$3,"&gt;="&amp;$DG10,$B10:$Y10)),
IF(AG$3=$DF10+'Model Setup'!$F$7,SUMIF($AD$3:$BA$3,"="&amp;$DF10+'Model Setup'!$F$7,$B10:$Y10)+'Model Setup'!$F$8*(SUMIF($AD$3:$BA$3,"&lt;"&amp;$DF10,$B10:$Y10)+SUMIF($AD$3:$BA$3,"&gt;="&amp;$DG10,$B10:$Y10)),
IF(AG$3=$DF10+'Model Setup'!$G$7,SUMIF($AD$3:$BA$3,"="&amp;$DF10+'Model Setup'!$G$7,$B10:$Y10)+'Model Setup'!$G$8*(SUMIF($AD$3:$BA$3,"&lt;"&amp;$DF10,$B10:$Y10)+SUMIF($AD$3:$BA$3,"&gt;="&amp;$DG10,$B10:$Y10)),
IF(AG$3=$DF10+'Model Setup'!$H$7,SUMIF($AD$3:$BA$3,"="&amp;$DF10+'Model Setup'!$H$7,$B10:$Y10)+'Model Setup'!$H$8*(SUMIF($AD$3:$BA$3,"&lt;"&amp;$DF10,$B10:$Y10)+SUMIF($AD$3:$BA$3,"&gt;="&amp;$DG10,$B10:$Y10)),
IF(AG$3=$DF10+'Model Setup'!$I$7,SUMIF($AD$3:$BA$3,"="&amp;$DF10+'Model Setup'!$I$7,$B10:$Y10)+'Model Setup'!$I$8*(SUMIF($AD$3:$BA$3,"&lt;"&amp;$DF10,$B10:$Y10)+SUMIF($AD$3:$BA$3,"&gt;="&amp;$DG10,$B10:$Y10)),
IF(AG$3=$DF10+'Model Setup'!$J$7,SUMIF($AD$3:$BA$3,"="&amp;$DF10+'Model Setup'!$J$7,$B10:$Y10)+'Model Setup'!$J$8*(SUMIF($AD$3:$BA$3,"&lt;"&amp;$DF10,$B10:$Y10)+SUMIF($AD$3:$BA$3,"&gt;="&amp;$DG10,$B10:$Y10)),
IF(AG$3=$DF10+'Model Setup'!$K$7,SUMIF($AD$3:$BA$3,"="&amp;$DF10+'Model Setup'!$K$7,$B10:$Y10)+'Model Setup'!$K$8*(SUMIF($AD$3:$BA$3,"&lt;"&amp;$DF10,$B10:$Y10)+SUMIF($AD$3:$BA$3,"&gt;="&amp;$DG10,$B10:$Y10)),
IF(AG$3=$DF10+'Model Setup'!$L$7,SUMIF($AD$3:$BA$3,"="&amp;$DF10+'Model Setup'!$L$7,$B10:$Y10)+'Model Setup'!$L$8*(SUMIF($AD$3:$BA$3,"&lt;"&amp;$DF10,$B10:$Y10)+SUMIF($AD$3:$BA$3,"&gt;="&amp;$DG10,$B10:$Y10)),
IF(AG$3=$DF10+'Model Setup'!$M$7,SUMIF($AD$3:$BA$3,"="&amp;$DF10+'Model Setup'!$M$7,$B10:$Y10)+'Model Setup'!$M$8*(SUMIF($AD$3:$BA$3,"&lt;"&amp;$DF10,$B10:$Y10)+SUMIF($AD$3:$BA$3,"&gt;="&amp;$DG10,$B10:$Y10)),
IF(AG$3=$DF10+'Model Setup'!$N$7,SUMIF($AD$3:$BA$3,"="&amp;$DF10+'Model Setup'!$N$7,$B10:$Y10)+'Model Setup'!$N$8*(SUMIF($AD$3:$BA$3,"&lt;"&amp;$DF10,$B10:$Y10)+SUMIF($AD$3:$BA$3,"&gt;="&amp;$DG10,$B10:$Y10)),
IF(AG$3&lt;$DG10,E10,0))))))))))))))),0)</f>
        <v>0</v>
      </c>
      <c r="AH10" s="47">
        <f>ROUND(IF(AH$3&lt;$DF10,0,
IF(AH$3=$DF10+'Model Setup'!$B$7,SUMIF($AD$3:$BA$3,"="&amp;$DF10+'Model Setup'!$B$7,$B10:$Y10)+'Model Setup'!$B$8*(SUMIF($AD$3:$BA$3,"&lt;"&amp;$DF10,$B10:$Y10)+SUMIF($AD$3:$BA$3,"&gt;="&amp;$DG10,$B10:$Y10)),
IF(AH$3=$DF10+'Model Setup'!$C$7,SUMIF($AD$3:$BA$3,"="&amp;$DF10+'Model Setup'!$C$7,$B10:$Y10)+'Model Setup'!$C$8*(SUMIF($AD$3:$BA$3,"&lt;"&amp;$DF10,$B10:$Y10)+SUMIF($AD$3:$BA$3,"&gt;="&amp;$DG10,$B10:$Y10)),
IF(AH$3=$DF10+'Model Setup'!$D$7,SUMIF($AD$3:$BA$3,"="&amp;$DF10+'Model Setup'!$D$7,$B10:$Y10)+'Model Setup'!$D$8*(SUMIF($AD$3:$BA$3,"&lt;"&amp;$DF10,$B10:$Y10)+SUMIF($AD$3:$BA$3,"&gt;="&amp;$DG10,$B10:$Y10)),
IF(AH$3=$DF10+'Model Setup'!$E$7,SUMIF($AD$3:$BA$3,"="&amp;$DF10+'Model Setup'!$E$7,$B10:$Y10)+'Model Setup'!$E$8*(SUMIF($AD$3:$BA$3,"&lt;"&amp;$DF10,$B10:$Y10)+SUMIF($AD$3:$BA$3,"&gt;="&amp;$DG10,$B10:$Y10)),
IF(AH$3=$DF10+'Model Setup'!$F$7,SUMIF($AD$3:$BA$3,"="&amp;$DF10+'Model Setup'!$F$7,$B10:$Y10)+'Model Setup'!$F$8*(SUMIF($AD$3:$BA$3,"&lt;"&amp;$DF10,$B10:$Y10)+SUMIF($AD$3:$BA$3,"&gt;="&amp;$DG10,$B10:$Y10)),
IF(AH$3=$DF10+'Model Setup'!$G$7,SUMIF($AD$3:$BA$3,"="&amp;$DF10+'Model Setup'!$G$7,$B10:$Y10)+'Model Setup'!$G$8*(SUMIF($AD$3:$BA$3,"&lt;"&amp;$DF10,$B10:$Y10)+SUMIF($AD$3:$BA$3,"&gt;="&amp;$DG10,$B10:$Y10)),
IF(AH$3=$DF10+'Model Setup'!$H$7,SUMIF($AD$3:$BA$3,"="&amp;$DF10+'Model Setup'!$H$7,$B10:$Y10)+'Model Setup'!$H$8*(SUMIF($AD$3:$BA$3,"&lt;"&amp;$DF10,$B10:$Y10)+SUMIF($AD$3:$BA$3,"&gt;="&amp;$DG10,$B10:$Y10)),
IF(AH$3=$DF10+'Model Setup'!$I$7,SUMIF($AD$3:$BA$3,"="&amp;$DF10+'Model Setup'!$I$7,$B10:$Y10)+'Model Setup'!$I$8*(SUMIF($AD$3:$BA$3,"&lt;"&amp;$DF10,$B10:$Y10)+SUMIF($AD$3:$BA$3,"&gt;="&amp;$DG10,$B10:$Y10)),
IF(AH$3=$DF10+'Model Setup'!$J$7,SUMIF($AD$3:$BA$3,"="&amp;$DF10+'Model Setup'!$J$7,$B10:$Y10)+'Model Setup'!$J$8*(SUMIF($AD$3:$BA$3,"&lt;"&amp;$DF10,$B10:$Y10)+SUMIF($AD$3:$BA$3,"&gt;="&amp;$DG10,$B10:$Y10)),
IF(AH$3=$DF10+'Model Setup'!$K$7,SUMIF($AD$3:$BA$3,"="&amp;$DF10+'Model Setup'!$K$7,$B10:$Y10)+'Model Setup'!$K$8*(SUMIF($AD$3:$BA$3,"&lt;"&amp;$DF10,$B10:$Y10)+SUMIF($AD$3:$BA$3,"&gt;="&amp;$DG10,$B10:$Y10)),
IF(AH$3=$DF10+'Model Setup'!$L$7,SUMIF($AD$3:$BA$3,"="&amp;$DF10+'Model Setup'!$L$7,$B10:$Y10)+'Model Setup'!$L$8*(SUMIF($AD$3:$BA$3,"&lt;"&amp;$DF10,$B10:$Y10)+SUMIF($AD$3:$BA$3,"&gt;="&amp;$DG10,$B10:$Y10)),
IF(AH$3=$DF10+'Model Setup'!$M$7,SUMIF($AD$3:$BA$3,"="&amp;$DF10+'Model Setup'!$M$7,$B10:$Y10)+'Model Setup'!$M$8*(SUMIF($AD$3:$BA$3,"&lt;"&amp;$DF10,$B10:$Y10)+SUMIF($AD$3:$BA$3,"&gt;="&amp;$DG10,$B10:$Y10)),
IF(AH$3=$DF10+'Model Setup'!$N$7,SUMIF($AD$3:$BA$3,"="&amp;$DF10+'Model Setup'!$N$7,$B10:$Y10)+'Model Setup'!$N$8*(SUMIF($AD$3:$BA$3,"&lt;"&amp;$DF10,$B10:$Y10)+SUMIF($AD$3:$BA$3,"&gt;="&amp;$DG10,$B10:$Y10)),
IF(AH$3&lt;$DG10,F10,0))))))))))))))),0)</f>
        <v>0</v>
      </c>
      <c r="AI10" s="47">
        <f>ROUND(IF(AI$3&lt;$DF10,0,
IF(AI$3=$DF10+'Model Setup'!$B$7,SUMIF($AD$3:$BA$3,"="&amp;$DF10+'Model Setup'!$B$7,$B10:$Y10)+'Model Setup'!$B$8*(SUMIF($AD$3:$BA$3,"&lt;"&amp;$DF10,$B10:$Y10)+SUMIF($AD$3:$BA$3,"&gt;="&amp;$DG10,$B10:$Y10)),
IF(AI$3=$DF10+'Model Setup'!$C$7,SUMIF($AD$3:$BA$3,"="&amp;$DF10+'Model Setup'!$C$7,$B10:$Y10)+'Model Setup'!$C$8*(SUMIF($AD$3:$BA$3,"&lt;"&amp;$DF10,$B10:$Y10)+SUMIF($AD$3:$BA$3,"&gt;="&amp;$DG10,$B10:$Y10)),
IF(AI$3=$DF10+'Model Setup'!$D$7,SUMIF($AD$3:$BA$3,"="&amp;$DF10+'Model Setup'!$D$7,$B10:$Y10)+'Model Setup'!$D$8*(SUMIF($AD$3:$BA$3,"&lt;"&amp;$DF10,$B10:$Y10)+SUMIF($AD$3:$BA$3,"&gt;="&amp;$DG10,$B10:$Y10)),
IF(AI$3=$DF10+'Model Setup'!$E$7,SUMIF($AD$3:$BA$3,"="&amp;$DF10+'Model Setup'!$E$7,$B10:$Y10)+'Model Setup'!$E$8*(SUMIF($AD$3:$BA$3,"&lt;"&amp;$DF10,$B10:$Y10)+SUMIF($AD$3:$BA$3,"&gt;="&amp;$DG10,$B10:$Y10)),
IF(AI$3=$DF10+'Model Setup'!$F$7,SUMIF($AD$3:$BA$3,"="&amp;$DF10+'Model Setup'!$F$7,$B10:$Y10)+'Model Setup'!$F$8*(SUMIF($AD$3:$BA$3,"&lt;"&amp;$DF10,$B10:$Y10)+SUMIF($AD$3:$BA$3,"&gt;="&amp;$DG10,$B10:$Y10)),
IF(AI$3=$DF10+'Model Setup'!$G$7,SUMIF($AD$3:$BA$3,"="&amp;$DF10+'Model Setup'!$G$7,$B10:$Y10)+'Model Setup'!$G$8*(SUMIF($AD$3:$BA$3,"&lt;"&amp;$DF10,$B10:$Y10)+SUMIF($AD$3:$BA$3,"&gt;="&amp;$DG10,$B10:$Y10)),
IF(AI$3=$DF10+'Model Setup'!$H$7,SUMIF($AD$3:$BA$3,"="&amp;$DF10+'Model Setup'!$H$7,$B10:$Y10)+'Model Setup'!$H$8*(SUMIF($AD$3:$BA$3,"&lt;"&amp;$DF10,$B10:$Y10)+SUMIF($AD$3:$BA$3,"&gt;="&amp;$DG10,$B10:$Y10)),
IF(AI$3=$DF10+'Model Setup'!$I$7,SUMIF($AD$3:$BA$3,"="&amp;$DF10+'Model Setup'!$I$7,$B10:$Y10)+'Model Setup'!$I$8*(SUMIF($AD$3:$BA$3,"&lt;"&amp;$DF10,$B10:$Y10)+SUMIF($AD$3:$BA$3,"&gt;="&amp;$DG10,$B10:$Y10)),
IF(AI$3=$DF10+'Model Setup'!$J$7,SUMIF($AD$3:$BA$3,"="&amp;$DF10+'Model Setup'!$J$7,$B10:$Y10)+'Model Setup'!$J$8*(SUMIF($AD$3:$BA$3,"&lt;"&amp;$DF10,$B10:$Y10)+SUMIF($AD$3:$BA$3,"&gt;="&amp;$DG10,$B10:$Y10)),
IF(AI$3=$DF10+'Model Setup'!$K$7,SUMIF($AD$3:$BA$3,"="&amp;$DF10+'Model Setup'!$K$7,$B10:$Y10)+'Model Setup'!$K$8*(SUMIF($AD$3:$BA$3,"&lt;"&amp;$DF10,$B10:$Y10)+SUMIF($AD$3:$BA$3,"&gt;="&amp;$DG10,$B10:$Y10)),
IF(AI$3=$DF10+'Model Setup'!$L$7,SUMIF($AD$3:$BA$3,"="&amp;$DF10+'Model Setup'!$L$7,$B10:$Y10)+'Model Setup'!$L$8*(SUMIF($AD$3:$BA$3,"&lt;"&amp;$DF10,$B10:$Y10)+SUMIF($AD$3:$BA$3,"&gt;="&amp;$DG10,$B10:$Y10)),
IF(AI$3=$DF10+'Model Setup'!$M$7,SUMIF($AD$3:$BA$3,"="&amp;$DF10+'Model Setup'!$M$7,$B10:$Y10)+'Model Setup'!$M$8*(SUMIF($AD$3:$BA$3,"&lt;"&amp;$DF10,$B10:$Y10)+SUMIF($AD$3:$BA$3,"&gt;="&amp;$DG10,$B10:$Y10)),
IF(AI$3=$DF10+'Model Setup'!$N$7,SUMIF($AD$3:$BA$3,"="&amp;$DF10+'Model Setup'!$N$7,$B10:$Y10)+'Model Setup'!$N$8*(SUMIF($AD$3:$BA$3,"&lt;"&amp;$DF10,$B10:$Y10)+SUMIF($AD$3:$BA$3,"&gt;="&amp;$DG10,$B10:$Y10)),
IF(AI$3&lt;$DG10,G10,0))))))))))))))),0)</f>
        <v>0</v>
      </c>
      <c r="AJ10" s="47">
        <f>ROUND(IF(AJ$3&lt;$DF10,0,
IF(AJ$3=$DF10+'Model Setup'!$B$7,SUMIF($AD$3:$BA$3,"="&amp;$DF10+'Model Setup'!$B$7,$B10:$Y10)+'Model Setup'!$B$8*(SUMIF($AD$3:$BA$3,"&lt;"&amp;$DF10,$B10:$Y10)+SUMIF($AD$3:$BA$3,"&gt;="&amp;$DG10,$B10:$Y10)),
IF(AJ$3=$DF10+'Model Setup'!$C$7,SUMIF($AD$3:$BA$3,"="&amp;$DF10+'Model Setup'!$C$7,$B10:$Y10)+'Model Setup'!$C$8*(SUMIF($AD$3:$BA$3,"&lt;"&amp;$DF10,$B10:$Y10)+SUMIF($AD$3:$BA$3,"&gt;="&amp;$DG10,$B10:$Y10)),
IF(AJ$3=$DF10+'Model Setup'!$D$7,SUMIF($AD$3:$BA$3,"="&amp;$DF10+'Model Setup'!$D$7,$B10:$Y10)+'Model Setup'!$D$8*(SUMIF($AD$3:$BA$3,"&lt;"&amp;$DF10,$B10:$Y10)+SUMIF($AD$3:$BA$3,"&gt;="&amp;$DG10,$B10:$Y10)),
IF(AJ$3=$DF10+'Model Setup'!$E$7,SUMIF($AD$3:$BA$3,"="&amp;$DF10+'Model Setup'!$E$7,$B10:$Y10)+'Model Setup'!$E$8*(SUMIF($AD$3:$BA$3,"&lt;"&amp;$DF10,$B10:$Y10)+SUMIF($AD$3:$BA$3,"&gt;="&amp;$DG10,$B10:$Y10)),
IF(AJ$3=$DF10+'Model Setup'!$F$7,SUMIF($AD$3:$BA$3,"="&amp;$DF10+'Model Setup'!$F$7,$B10:$Y10)+'Model Setup'!$F$8*(SUMIF($AD$3:$BA$3,"&lt;"&amp;$DF10,$B10:$Y10)+SUMIF($AD$3:$BA$3,"&gt;="&amp;$DG10,$B10:$Y10)),
IF(AJ$3=$DF10+'Model Setup'!$G$7,SUMIF($AD$3:$BA$3,"="&amp;$DF10+'Model Setup'!$G$7,$B10:$Y10)+'Model Setup'!$G$8*(SUMIF($AD$3:$BA$3,"&lt;"&amp;$DF10,$B10:$Y10)+SUMIF($AD$3:$BA$3,"&gt;="&amp;$DG10,$B10:$Y10)),
IF(AJ$3=$DF10+'Model Setup'!$H$7,SUMIF($AD$3:$BA$3,"="&amp;$DF10+'Model Setup'!$H$7,$B10:$Y10)+'Model Setup'!$H$8*(SUMIF($AD$3:$BA$3,"&lt;"&amp;$DF10,$B10:$Y10)+SUMIF($AD$3:$BA$3,"&gt;="&amp;$DG10,$B10:$Y10)),
IF(AJ$3=$DF10+'Model Setup'!$I$7,SUMIF($AD$3:$BA$3,"="&amp;$DF10+'Model Setup'!$I$7,$B10:$Y10)+'Model Setup'!$I$8*(SUMIF($AD$3:$BA$3,"&lt;"&amp;$DF10,$B10:$Y10)+SUMIF($AD$3:$BA$3,"&gt;="&amp;$DG10,$B10:$Y10)),
IF(AJ$3=$DF10+'Model Setup'!$J$7,SUMIF($AD$3:$BA$3,"="&amp;$DF10+'Model Setup'!$J$7,$B10:$Y10)+'Model Setup'!$J$8*(SUMIF($AD$3:$BA$3,"&lt;"&amp;$DF10,$B10:$Y10)+SUMIF($AD$3:$BA$3,"&gt;="&amp;$DG10,$B10:$Y10)),
IF(AJ$3=$DF10+'Model Setup'!$K$7,SUMIF($AD$3:$BA$3,"="&amp;$DF10+'Model Setup'!$K$7,$B10:$Y10)+'Model Setup'!$K$8*(SUMIF($AD$3:$BA$3,"&lt;"&amp;$DF10,$B10:$Y10)+SUMIF($AD$3:$BA$3,"&gt;="&amp;$DG10,$B10:$Y10)),
IF(AJ$3=$DF10+'Model Setup'!$L$7,SUMIF($AD$3:$BA$3,"="&amp;$DF10+'Model Setup'!$L$7,$B10:$Y10)+'Model Setup'!$L$8*(SUMIF($AD$3:$BA$3,"&lt;"&amp;$DF10,$B10:$Y10)+SUMIF($AD$3:$BA$3,"&gt;="&amp;$DG10,$B10:$Y10)),
IF(AJ$3=$DF10+'Model Setup'!$M$7,SUMIF($AD$3:$BA$3,"="&amp;$DF10+'Model Setup'!$M$7,$B10:$Y10)+'Model Setup'!$M$8*(SUMIF($AD$3:$BA$3,"&lt;"&amp;$DF10,$B10:$Y10)+SUMIF($AD$3:$BA$3,"&gt;="&amp;$DG10,$B10:$Y10)),
IF(AJ$3=$DF10+'Model Setup'!$N$7,SUMIF($AD$3:$BA$3,"="&amp;$DF10+'Model Setup'!$N$7,$B10:$Y10)+'Model Setup'!$N$8*(SUMIF($AD$3:$BA$3,"&lt;"&amp;$DF10,$B10:$Y10)+SUMIF($AD$3:$BA$3,"&gt;="&amp;$DG10,$B10:$Y10)),
IF(AJ$3&lt;$DG10,H10,0))))))))))))))),0)</f>
        <v>0</v>
      </c>
      <c r="AK10" s="47">
        <f>ROUND(IF(AK$3&lt;$DF10,0,
IF(AK$3=$DF10+'Model Setup'!$B$7,SUMIF($AD$3:$BA$3,"="&amp;$DF10+'Model Setup'!$B$7,$B10:$Y10)+'Model Setup'!$B$8*(SUMIF($AD$3:$BA$3,"&lt;"&amp;$DF10,$B10:$Y10)+SUMIF($AD$3:$BA$3,"&gt;="&amp;$DG10,$B10:$Y10)),
IF(AK$3=$DF10+'Model Setup'!$C$7,SUMIF($AD$3:$BA$3,"="&amp;$DF10+'Model Setup'!$C$7,$B10:$Y10)+'Model Setup'!$C$8*(SUMIF($AD$3:$BA$3,"&lt;"&amp;$DF10,$B10:$Y10)+SUMIF($AD$3:$BA$3,"&gt;="&amp;$DG10,$B10:$Y10)),
IF(AK$3=$DF10+'Model Setup'!$D$7,SUMIF($AD$3:$BA$3,"="&amp;$DF10+'Model Setup'!$D$7,$B10:$Y10)+'Model Setup'!$D$8*(SUMIF($AD$3:$BA$3,"&lt;"&amp;$DF10,$B10:$Y10)+SUMIF($AD$3:$BA$3,"&gt;="&amp;$DG10,$B10:$Y10)),
IF(AK$3=$DF10+'Model Setup'!$E$7,SUMIF($AD$3:$BA$3,"="&amp;$DF10+'Model Setup'!$E$7,$B10:$Y10)+'Model Setup'!$E$8*(SUMIF($AD$3:$BA$3,"&lt;"&amp;$DF10,$B10:$Y10)+SUMIF($AD$3:$BA$3,"&gt;="&amp;$DG10,$B10:$Y10)),
IF(AK$3=$DF10+'Model Setup'!$F$7,SUMIF($AD$3:$BA$3,"="&amp;$DF10+'Model Setup'!$F$7,$B10:$Y10)+'Model Setup'!$F$8*(SUMIF($AD$3:$BA$3,"&lt;"&amp;$DF10,$B10:$Y10)+SUMIF($AD$3:$BA$3,"&gt;="&amp;$DG10,$B10:$Y10)),
IF(AK$3=$DF10+'Model Setup'!$G$7,SUMIF($AD$3:$BA$3,"="&amp;$DF10+'Model Setup'!$G$7,$B10:$Y10)+'Model Setup'!$G$8*(SUMIF($AD$3:$BA$3,"&lt;"&amp;$DF10,$B10:$Y10)+SUMIF($AD$3:$BA$3,"&gt;="&amp;$DG10,$B10:$Y10)),
IF(AK$3=$DF10+'Model Setup'!$H$7,SUMIF($AD$3:$BA$3,"="&amp;$DF10+'Model Setup'!$H$7,$B10:$Y10)+'Model Setup'!$H$8*(SUMIF($AD$3:$BA$3,"&lt;"&amp;$DF10,$B10:$Y10)+SUMIF($AD$3:$BA$3,"&gt;="&amp;$DG10,$B10:$Y10)),
IF(AK$3=$DF10+'Model Setup'!$I$7,SUMIF($AD$3:$BA$3,"="&amp;$DF10+'Model Setup'!$I$7,$B10:$Y10)+'Model Setup'!$I$8*(SUMIF($AD$3:$BA$3,"&lt;"&amp;$DF10,$B10:$Y10)+SUMIF($AD$3:$BA$3,"&gt;="&amp;$DG10,$B10:$Y10)),
IF(AK$3=$DF10+'Model Setup'!$J$7,SUMIF($AD$3:$BA$3,"="&amp;$DF10+'Model Setup'!$J$7,$B10:$Y10)+'Model Setup'!$J$8*(SUMIF($AD$3:$BA$3,"&lt;"&amp;$DF10,$B10:$Y10)+SUMIF($AD$3:$BA$3,"&gt;="&amp;$DG10,$B10:$Y10)),
IF(AK$3=$DF10+'Model Setup'!$K$7,SUMIF($AD$3:$BA$3,"="&amp;$DF10+'Model Setup'!$K$7,$B10:$Y10)+'Model Setup'!$K$8*(SUMIF($AD$3:$BA$3,"&lt;"&amp;$DF10,$B10:$Y10)+SUMIF($AD$3:$BA$3,"&gt;="&amp;$DG10,$B10:$Y10)),
IF(AK$3=$DF10+'Model Setup'!$L$7,SUMIF($AD$3:$BA$3,"="&amp;$DF10+'Model Setup'!$L$7,$B10:$Y10)+'Model Setup'!$L$8*(SUMIF($AD$3:$BA$3,"&lt;"&amp;$DF10,$B10:$Y10)+SUMIF($AD$3:$BA$3,"&gt;="&amp;$DG10,$B10:$Y10)),
IF(AK$3=$DF10+'Model Setup'!$M$7,SUMIF($AD$3:$BA$3,"="&amp;$DF10+'Model Setup'!$M$7,$B10:$Y10)+'Model Setup'!$M$8*(SUMIF($AD$3:$BA$3,"&lt;"&amp;$DF10,$B10:$Y10)+SUMIF($AD$3:$BA$3,"&gt;="&amp;$DG10,$B10:$Y10)),
IF(AK$3=$DF10+'Model Setup'!$N$7,SUMIF($AD$3:$BA$3,"="&amp;$DF10+'Model Setup'!$N$7,$B10:$Y10)+'Model Setup'!$N$8*(SUMIF($AD$3:$BA$3,"&lt;"&amp;$DF10,$B10:$Y10)+SUMIF($AD$3:$BA$3,"&gt;="&amp;$DG10,$B10:$Y10)),
IF(AK$3&lt;$DG10,I10,0))))))))))))))),0)</f>
        <v>97</v>
      </c>
      <c r="AL10" s="47">
        <f>ROUND(IF(AL$3&lt;$DF10,0,
IF(AL$3=$DF10+'Model Setup'!$B$7,SUMIF($AD$3:$BA$3,"="&amp;$DF10+'Model Setup'!$B$7,$B10:$Y10)+'Model Setup'!$B$8*(SUMIF($AD$3:$BA$3,"&lt;"&amp;$DF10,$B10:$Y10)+SUMIF($AD$3:$BA$3,"&gt;="&amp;$DG10,$B10:$Y10)),
IF(AL$3=$DF10+'Model Setup'!$C$7,SUMIF($AD$3:$BA$3,"="&amp;$DF10+'Model Setup'!$C$7,$B10:$Y10)+'Model Setup'!$C$8*(SUMIF($AD$3:$BA$3,"&lt;"&amp;$DF10,$B10:$Y10)+SUMIF($AD$3:$BA$3,"&gt;="&amp;$DG10,$B10:$Y10)),
IF(AL$3=$DF10+'Model Setup'!$D$7,SUMIF($AD$3:$BA$3,"="&amp;$DF10+'Model Setup'!$D$7,$B10:$Y10)+'Model Setup'!$D$8*(SUMIF($AD$3:$BA$3,"&lt;"&amp;$DF10,$B10:$Y10)+SUMIF($AD$3:$BA$3,"&gt;="&amp;$DG10,$B10:$Y10)),
IF(AL$3=$DF10+'Model Setup'!$E$7,SUMIF($AD$3:$BA$3,"="&amp;$DF10+'Model Setup'!$E$7,$B10:$Y10)+'Model Setup'!$E$8*(SUMIF($AD$3:$BA$3,"&lt;"&amp;$DF10,$B10:$Y10)+SUMIF($AD$3:$BA$3,"&gt;="&amp;$DG10,$B10:$Y10)),
IF(AL$3=$DF10+'Model Setup'!$F$7,SUMIF($AD$3:$BA$3,"="&amp;$DF10+'Model Setup'!$F$7,$B10:$Y10)+'Model Setup'!$F$8*(SUMIF($AD$3:$BA$3,"&lt;"&amp;$DF10,$B10:$Y10)+SUMIF($AD$3:$BA$3,"&gt;="&amp;$DG10,$B10:$Y10)),
IF(AL$3=$DF10+'Model Setup'!$G$7,SUMIF($AD$3:$BA$3,"="&amp;$DF10+'Model Setup'!$G$7,$B10:$Y10)+'Model Setup'!$G$8*(SUMIF($AD$3:$BA$3,"&lt;"&amp;$DF10,$B10:$Y10)+SUMIF($AD$3:$BA$3,"&gt;="&amp;$DG10,$B10:$Y10)),
IF(AL$3=$DF10+'Model Setup'!$H$7,SUMIF($AD$3:$BA$3,"="&amp;$DF10+'Model Setup'!$H$7,$B10:$Y10)+'Model Setup'!$H$8*(SUMIF($AD$3:$BA$3,"&lt;"&amp;$DF10,$B10:$Y10)+SUMIF($AD$3:$BA$3,"&gt;="&amp;$DG10,$B10:$Y10)),
IF(AL$3=$DF10+'Model Setup'!$I$7,SUMIF($AD$3:$BA$3,"="&amp;$DF10+'Model Setup'!$I$7,$B10:$Y10)+'Model Setup'!$I$8*(SUMIF($AD$3:$BA$3,"&lt;"&amp;$DF10,$B10:$Y10)+SUMIF($AD$3:$BA$3,"&gt;="&amp;$DG10,$B10:$Y10)),
IF(AL$3=$DF10+'Model Setup'!$J$7,SUMIF($AD$3:$BA$3,"="&amp;$DF10+'Model Setup'!$J$7,$B10:$Y10)+'Model Setup'!$J$8*(SUMIF($AD$3:$BA$3,"&lt;"&amp;$DF10,$B10:$Y10)+SUMIF($AD$3:$BA$3,"&gt;="&amp;$DG10,$B10:$Y10)),
IF(AL$3=$DF10+'Model Setup'!$K$7,SUMIF($AD$3:$BA$3,"="&amp;$DF10+'Model Setup'!$K$7,$B10:$Y10)+'Model Setup'!$K$8*(SUMIF($AD$3:$BA$3,"&lt;"&amp;$DF10,$B10:$Y10)+SUMIF($AD$3:$BA$3,"&gt;="&amp;$DG10,$B10:$Y10)),
IF(AL$3=$DF10+'Model Setup'!$L$7,SUMIF($AD$3:$BA$3,"="&amp;$DF10+'Model Setup'!$L$7,$B10:$Y10)+'Model Setup'!$L$8*(SUMIF($AD$3:$BA$3,"&lt;"&amp;$DF10,$B10:$Y10)+SUMIF($AD$3:$BA$3,"&gt;="&amp;$DG10,$B10:$Y10)),
IF(AL$3=$DF10+'Model Setup'!$M$7,SUMIF($AD$3:$BA$3,"="&amp;$DF10+'Model Setup'!$M$7,$B10:$Y10)+'Model Setup'!$M$8*(SUMIF($AD$3:$BA$3,"&lt;"&amp;$DF10,$B10:$Y10)+SUMIF($AD$3:$BA$3,"&gt;="&amp;$DG10,$B10:$Y10)),
IF(AL$3=$DF10+'Model Setup'!$N$7,SUMIF($AD$3:$BA$3,"="&amp;$DF10+'Model Setup'!$N$7,$B10:$Y10)+'Model Setup'!$N$8*(SUMIF($AD$3:$BA$3,"&lt;"&amp;$DF10,$B10:$Y10)+SUMIF($AD$3:$BA$3,"&gt;="&amp;$DG10,$B10:$Y10)),
IF(AL$3&lt;$DG10,J10,0))))))))))))))),0)</f>
        <v>122</v>
      </c>
      <c r="AM10" s="47">
        <f>ROUND(IF(AM$3&lt;$DF10,0,
IF(AM$3=$DF10+'Model Setup'!$B$7,SUMIF($AD$3:$BA$3,"="&amp;$DF10+'Model Setup'!$B$7,$B10:$Y10)+'Model Setup'!$B$8*(SUMIF($AD$3:$BA$3,"&lt;"&amp;$DF10,$B10:$Y10)+SUMIF($AD$3:$BA$3,"&gt;="&amp;$DG10,$B10:$Y10)),
IF(AM$3=$DF10+'Model Setup'!$C$7,SUMIF($AD$3:$BA$3,"="&amp;$DF10+'Model Setup'!$C$7,$B10:$Y10)+'Model Setup'!$C$8*(SUMIF($AD$3:$BA$3,"&lt;"&amp;$DF10,$B10:$Y10)+SUMIF($AD$3:$BA$3,"&gt;="&amp;$DG10,$B10:$Y10)),
IF(AM$3=$DF10+'Model Setup'!$D$7,SUMIF($AD$3:$BA$3,"="&amp;$DF10+'Model Setup'!$D$7,$B10:$Y10)+'Model Setup'!$D$8*(SUMIF($AD$3:$BA$3,"&lt;"&amp;$DF10,$B10:$Y10)+SUMIF($AD$3:$BA$3,"&gt;="&amp;$DG10,$B10:$Y10)),
IF(AM$3=$DF10+'Model Setup'!$E$7,SUMIF($AD$3:$BA$3,"="&amp;$DF10+'Model Setup'!$E$7,$B10:$Y10)+'Model Setup'!$E$8*(SUMIF($AD$3:$BA$3,"&lt;"&amp;$DF10,$B10:$Y10)+SUMIF($AD$3:$BA$3,"&gt;="&amp;$DG10,$B10:$Y10)),
IF(AM$3=$DF10+'Model Setup'!$F$7,SUMIF($AD$3:$BA$3,"="&amp;$DF10+'Model Setup'!$F$7,$B10:$Y10)+'Model Setup'!$F$8*(SUMIF($AD$3:$BA$3,"&lt;"&amp;$DF10,$B10:$Y10)+SUMIF($AD$3:$BA$3,"&gt;="&amp;$DG10,$B10:$Y10)),
IF(AM$3=$DF10+'Model Setup'!$G$7,SUMIF($AD$3:$BA$3,"="&amp;$DF10+'Model Setup'!$G$7,$B10:$Y10)+'Model Setup'!$G$8*(SUMIF($AD$3:$BA$3,"&lt;"&amp;$DF10,$B10:$Y10)+SUMIF($AD$3:$BA$3,"&gt;="&amp;$DG10,$B10:$Y10)),
IF(AM$3=$DF10+'Model Setup'!$H$7,SUMIF($AD$3:$BA$3,"="&amp;$DF10+'Model Setup'!$H$7,$B10:$Y10)+'Model Setup'!$H$8*(SUMIF($AD$3:$BA$3,"&lt;"&amp;$DF10,$B10:$Y10)+SUMIF($AD$3:$BA$3,"&gt;="&amp;$DG10,$B10:$Y10)),
IF(AM$3=$DF10+'Model Setup'!$I$7,SUMIF($AD$3:$BA$3,"="&amp;$DF10+'Model Setup'!$I$7,$B10:$Y10)+'Model Setup'!$I$8*(SUMIF($AD$3:$BA$3,"&lt;"&amp;$DF10,$B10:$Y10)+SUMIF($AD$3:$BA$3,"&gt;="&amp;$DG10,$B10:$Y10)),
IF(AM$3=$DF10+'Model Setup'!$J$7,SUMIF($AD$3:$BA$3,"="&amp;$DF10+'Model Setup'!$J$7,$B10:$Y10)+'Model Setup'!$J$8*(SUMIF($AD$3:$BA$3,"&lt;"&amp;$DF10,$B10:$Y10)+SUMIF($AD$3:$BA$3,"&gt;="&amp;$DG10,$B10:$Y10)),
IF(AM$3=$DF10+'Model Setup'!$K$7,SUMIF($AD$3:$BA$3,"="&amp;$DF10+'Model Setup'!$K$7,$B10:$Y10)+'Model Setup'!$K$8*(SUMIF($AD$3:$BA$3,"&lt;"&amp;$DF10,$B10:$Y10)+SUMIF($AD$3:$BA$3,"&gt;="&amp;$DG10,$B10:$Y10)),
IF(AM$3=$DF10+'Model Setup'!$L$7,SUMIF($AD$3:$BA$3,"="&amp;$DF10+'Model Setup'!$L$7,$B10:$Y10)+'Model Setup'!$L$8*(SUMIF($AD$3:$BA$3,"&lt;"&amp;$DF10,$B10:$Y10)+SUMIF($AD$3:$BA$3,"&gt;="&amp;$DG10,$B10:$Y10)),
IF(AM$3=$DF10+'Model Setup'!$M$7,SUMIF($AD$3:$BA$3,"="&amp;$DF10+'Model Setup'!$M$7,$B10:$Y10)+'Model Setup'!$M$8*(SUMIF($AD$3:$BA$3,"&lt;"&amp;$DF10,$B10:$Y10)+SUMIF($AD$3:$BA$3,"&gt;="&amp;$DG10,$B10:$Y10)),
IF(AM$3=$DF10+'Model Setup'!$N$7,SUMIF($AD$3:$BA$3,"="&amp;$DF10+'Model Setup'!$N$7,$B10:$Y10)+'Model Setup'!$N$8*(SUMIF($AD$3:$BA$3,"&lt;"&amp;$DF10,$B10:$Y10)+SUMIF($AD$3:$BA$3,"&gt;="&amp;$DG10,$B10:$Y10)),
IF(AM$3&lt;$DG10,K10,0))))))))))))))),0)</f>
        <v>121</v>
      </c>
      <c r="AN10" s="47">
        <f>ROUND(IF(AN$3&lt;$DF10,0,
IF(AN$3=$DF10+'Model Setup'!$B$7,SUMIF($AD$3:$BA$3,"="&amp;$DF10+'Model Setup'!$B$7,$B10:$Y10)+'Model Setup'!$B$8*(SUMIF($AD$3:$BA$3,"&lt;"&amp;$DF10,$B10:$Y10)+SUMIF($AD$3:$BA$3,"&gt;="&amp;$DG10,$B10:$Y10)),
IF(AN$3=$DF10+'Model Setup'!$C$7,SUMIF($AD$3:$BA$3,"="&amp;$DF10+'Model Setup'!$C$7,$B10:$Y10)+'Model Setup'!$C$8*(SUMIF($AD$3:$BA$3,"&lt;"&amp;$DF10,$B10:$Y10)+SUMIF($AD$3:$BA$3,"&gt;="&amp;$DG10,$B10:$Y10)),
IF(AN$3=$DF10+'Model Setup'!$D$7,SUMIF($AD$3:$BA$3,"="&amp;$DF10+'Model Setup'!$D$7,$B10:$Y10)+'Model Setup'!$D$8*(SUMIF($AD$3:$BA$3,"&lt;"&amp;$DF10,$B10:$Y10)+SUMIF($AD$3:$BA$3,"&gt;="&amp;$DG10,$B10:$Y10)),
IF(AN$3=$DF10+'Model Setup'!$E$7,SUMIF($AD$3:$BA$3,"="&amp;$DF10+'Model Setup'!$E$7,$B10:$Y10)+'Model Setup'!$E$8*(SUMIF($AD$3:$BA$3,"&lt;"&amp;$DF10,$B10:$Y10)+SUMIF($AD$3:$BA$3,"&gt;="&amp;$DG10,$B10:$Y10)),
IF(AN$3=$DF10+'Model Setup'!$F$7,SUMIF($AD$3:$BA$3,"="&amp;$DF10+'Model Setup'!$F$7,$B10:$Y10)+'Model Setup'!$F$8*(SUMIF($AD$3:$BA$3,"&lt;"&amp;$DF10,$B10:$Y10)+SUMIF($AD$3:$BA$3,"&gt;="&amp;$DG10,$B10:$Y10)),
IF(AN$3=$DF10+'Model Setup'!$G$7,SUMIF($AD$3:$BA$3,"="&amp;$DF10+'Model Setup'!$G$7,$B10:$Y10)+'Model Setup'!$G$8*(SUMIF($AD$3:$BA$3,"&lt;"&amp;$DF10,$B10:$Y10)+SUMIF($AD$3:$BA$3,"&gt;="&amp;$DG10,$B10:$Y10)),
IF(AN$3=$DF10+'Model Setup'!$H$7,SUMIF($AD$3:$BA$3,"="&amp;$DF10+'Model Setup'!$H$7,$B10:$Y10)+'Model Setup'!$H$8*(SUMIF($AD$3:$BA$3,"&lt;"&amp;$DF10,$B10:$Y10)+SUMIF($AD$3:$BA$3,"&gt;="&amp;$DG10,$B10:$Y10)),
IF(AN$3=$DF10+'Model Setup'!$I$7,SUMIF($AD$3:$BA$3,"="&amp;$DF10+'Model Setup'!$I$7,$B10:$Y10)+'Model Setup'!$I$8*(SUMIF($AD$3:$BA$3,"&lt;"&amp;$DF10,$B10:$Y10)+SUMIF($AD$3:$BA$3,"&gt;="&amp;$DG10,$B10:$Y10)),
IF(AN$3=$DF10+'Model Setup'!$J$7,SUMIF($AD$3:$BA$3,"="&amp;$DF10+'Model Setup'!$J$7,$B10:$Y10)+'Model Setup'!$J$8*(SUMIF($AD$3:$BA$3,"&lt;"&amp;$DF10,$B10:$Y10)+SUMIF($AD$3:$BA$3,"&gt;="&amp;$DG10,$B10:$Y10)),
IF(AN$3=$DF10+'Model Setup'!$K$7,SUMIF($AD$3:$BA$3,"="&amp;$DF10+'Model Setup'!$K$7,$B10:$Y10)+'Model Setup'!$K$8*(SUMIF($AD$3:$BA$3,"&lt;"&amp;$DF10,$B10:$Y10)+SUMIF($AD$3:$BA$3,"&gt;="&amp;$DG10,$B10:$Y10)),
IF(AN$3=$DF10+'Model Setup'!$L$7,SUMIF($AD$3:$BA$3,"="&amp;$DF10+'Model Setup'!$L$7,$B10:$Y10)+'Model Setup'!$L$8*(SUMIF($AD$3:$BA$3,"&lt;"&amp;$DF10,$B10:$Y10)+SUMIF($AD$3:$BA$3,"&gt;="&amp;$DG10,$B10:$Y10)),
IF(AN$3=$DF10+'Model Setup'!$M$7,SUMIF($AD$3:$BA$3,"="&amp;$DF10+'Model Setup'!$M$7,$B10:$Y10)+'Model Setup'!$M$8*(SUMIF($AD$3:$BA$3,"&lt;"&amp;$DF10,$B10:$Y10)+SUMIF($AD$3:$BA$3,"&gt;="&amp;$DG10,$B10:$Y10)),
IF(AN$3=$DF10+'Model Setup'!$N$7,SUMIF($AD$3:$BA$3,"="&amp;$DF10+'Model Setup'!$N$7,$B10:$Y10)+'Model Setup'!$N$8*(SUMIF($AD$3:$BA$3,"&lt;"&amp;$DF10,$B10:$Y10)+SUMIF($AD$3:$BA$3,"&gt;="&amp;$DG10,$B10:$Y10)),
IF(AN$3&lt;$DG10,L10,0))))))))))))))),0)</f>
        <v>109</v>
      </c>
      <c r="AO10" s="47">
        <f>ROUND(IF(AO$3&lt;$DF10,0,
IF(AO$3=$DF10+'Model Setup'!$B$7,SUMIF($AD$3:$BA$3,"="&amp;$DF10+'Model Setup'!$B$7,$B10:$Y10)+'Model Setup'!$B$8*(SUMIF($AD$3:$BA$3,"&lt;"&amp;$DF10,$B10:$Y10)+SUMIF($AD$3:$BA$3,"&gt;="&amp;$DG10,$B10:$Y10)),
IF(AO$3=$DF10+'Model Setup'!$C$7,SUMIF($AD$3:$BA$3,"="&amp;$DF10+'Model Setup'!$C$7,$B10:$Y10)+'Model Setup'!$C$8*(SUMIF($AD$3:$BA$3,"&lt;"&amp;$DF10,$B10:$Y10)+SUMIF($AD$3:$BA$3,"&gt;="&amp;$DG10,$B10:$Y10)),
IF(AO$3=$DF10+'Model Setup'!$D$7,SUMIF($AD$3:$BA$3,"="&amp;$DF10+'Model Setup'!$D$7,$B10:$Y10)+'Model Setup'!$D$8*(SUMIF($AD$3:$BA$3,"&lt;"&amp;$DF10,$B10:$Y10)+SUMIF($AD$3:$BA$3,"&gt;="&amp;$DG10,$B10:$Y10)),
IF(AO$3=$DF10+'Model Setup'!$E$7,SUMIF($AD$3:$BA$3,"="&amp;$DF10+'Model Setup'!$E$7,$B10:$Y10)+'Model Setup'!$E$8*(SUMIF($AD$3:$BA$3,"&lt;"&amp;$DF10,$B10:$Y10)+SUMIF($AD$3:$BA$3,"&gt;="&amp;$DG10,$B10:$Y10)),
IF(AO$3=$DF10+'Model Setup'!$F$7,SUMIF($AD$3:$BA$3,"="&amp;$DF10+'Model Setup'!$F$7,$B10:$Y10)+'Model Setup'!$F$8*(SUMIF($AD$3:$BA$3,"&lt;"&amp;$DF10,$B10:$Y10)+SUMIF($AD$3:$BA$3,"&gt;="&amp;$DG10,$B10:$Y10)),
IF(AO$3=$DF10+'Model Setup'!$G$7,SUMIF($AD$3:$BA$3,"="&amp;$DF10+'Model Setup'!$G$7,$B10:$Y10)+'Model Setup'!$G$8*(SUMIF($AD$3:$BA$3,"&lt;"&amp;$DF10,$B10:$Y10)+SUMIF($AD$3:$BA$3,"&gt;="&amp;$DG10,$B10:$Y10)),
IF(AO$3=$DF10+'Model Setup'!$H$7,SUMIF($AD$3:$BA$3,"="&amp;$DF10+'Model Setup'!$H$7,$B10:$Y10)+'Model Setup'!$H$8*(SUMIF($AD$3:$BA$3,"&lt;"&amp;$DF10,$B10:$Y10)+SUMIF($AD$3:$BA$3,"&gt;="&amp;$DG10,$B10:$Y10)),
IF(AO$3=$DF10+'Model Setup'!$I$7,SUMIF($AD$3:$BA$3,"="&amp;$DF10+'Model Setup'!$I$7,$B10:$Y10)+'Model Setup'!$I$8*(SUMIF($AD$3:$BA$3,"&lt;"&amp;$DF10,$B10:$Y10)+SUMIF($AD$3:$BA$3,"&gt;="&amp;$DG10,$B10:$Y10)),
IF(AO$3=$DF10+'Model Setup'!$J$7,SUMIF($AD$3:$BA$3,"="&amp;$DF10+'Model Setup'!$J$7,$B10:$Y10)+'Model Setup'!$J$8*(SUMIF($AD$3:$BA$3,"&lt;"&amp;$DF10,$B10:$Y10)+SUMIF($AD$3:$BA$3,"&gt;="&amp;$DG10,$B10:$Y10)),
IF(AO$3=$DF10+'Model Setup'!$K$7,SUMIF($AD$3:$BA$3,"="&amp;$DF10+'Model Setup'!$K$7,$B10:$Y10)+'Model Setup'!$K$8*(SUMIF($AD$3:$BA$3,"&lt;"&amp;$DF10,$B10:$Y10)+SUMIF($AD$3:$BA$3,"&gt;="&amp;$DG10,$B10:$Y10)),
IF(AO$3=$DF10+'Model Setup'!$L$7,SUMIF($AD$3:$BA$3,"="&amp;$DF10+'Model Setup'!$L$7,$B10:$Y10)+'Model Setup'!$L$8*(SUMIF($AD$3:$BA$3,"&lt;"&amp;$DF10,$B10:$Y10)+SUMIF($AD$3:$BA$3,"&gt;="&amp;$DG10,$B10:$Y10)),
IF(AO$3=$DF10+'Model Setup'!$M$7,SUMIF($AD$3:$BA$3,"="&amp;$DF10+'Model Setup'!$M$7,$B10:$Y10)+'Model Setup'!$M$8*(SUMIF($AD$3:$BA$3,"&lt;"&amp;$DF10,$B10:$Y10)+SUMIF($AD$3:$BA$3,"&gt;="&amp;$DG10,$B10:$Y10)),
IF(AO$3=$DF10+'Model Setup'!$N$7,SUMIF($AD$3:$BA$3,"="&amp;$DF10+'Model Setup'!$N$7,$B10:$Y10)+'Model Setup'!$N$8*(SUMIF($AD$3:$BA$3,"&lt;"&amp;$DF10,$B10:$Y10)+SUMIF($AD$3:$BA$3,"&gt;="&amp;$DG10,$B10:$Y10)),
IF(AO$3&lt;$DG10,M10,0))))))))))))))),0)</f>
        <v>71</v>
      </c>
      <c r="AP10" s="47">
        <f>ROUND(IF(AP$3&lt;$DF10,0,
IF(AP$3=$DF10+'Model Setup'!$B$7,SUMIF($AD$3:$BA$3,"="&amp;$DF10+'Model Setup'!$B$7,$B10:$Y10)+'Model Setup'!$B$8*(SUMIF($AD$3:$BA$3,"&lt;"&amp;$DF10,$B10:$Y10)+SUMIF($AD$3:$BA$3,"&gt;="&amp;$DG10,$B10:$Y10)),
IF(AP$3=$DF10+'Model Setup'!$C$7,SUMIF($AD$3:$BA$3,"="&amp;$DF10+'Model Setup'!$C$7,$B10:$Y10)+'Model Setup'!$C$8*(SUMIF($AD$3:$BA$3,"&lt;"&amp;$DF10,$B10:$Y10)+SUMIF($AD$3:$BA$3,"&gt;="&amp;$DG10,$B10:$Y10)),
IF(AP$3=$DF10+'Model Setup'!$D$7,SUMIF($AD$3:$BA$3,"="&amp;$DF10+'Model Setup'!$D$7,$B10:$Y10)+'Model Setup'!$D$8*(SUMIF($AD$3:$BA$3,"&lt;"&amp;$DF10,$B10:$Y10)+SUMIF($AD$3:$BA$3,"&gt;="&amp;$DG10,$B10:$Y10)),
IF(AP$3=$DF10+'Model Setup'!$E$7,SUMIF($AD$3:$BA$3,"="&amp;$DF10+'Model Setup'!$E$7,$B10:$Y10)+'Model Setup'!$E$8*(SUMIF($AD$3:$BA$3,"&lt;"&amp;$DF10,$B10:$Y10)+SUMIF($AD$3:$BA$3,"&gt;="&amp;$DG10,$B10:$Y10)),
IF(AP$3=$DF10+'Model Setup'!$F$7,SUMIF($AD$3:$BA$3,"="&amp;$DF10+'Model Setup'!$F$7,$B10:$Y10)+'Model Setup'!$F$8*(SUMIF($AD$3:$BA$3,"&lt;"&amp;$DF10,$B10:$Y10)+SUMIF($AD$3:$BA$3,"&gt;="&amp;$DG10,$B10:$Y10)),
IF(AP$3=$DF10+'Model Setup'!$G$7,SUMIF($AD$3:$BA$3,"="&amp;$DF10+'Model Setup'!$G$7,$B10:$Y10)+'Model Setup'!$G$8*(SUMIF($AD$3:$BA$3,"&lt;"&amp;$DF10,$B10:$Y10)+SUMIF($AD$3:$BA$3,"&gt;="&amp;$DG10,$B10:$Y10)),
IF(AP$3=$DF10+'Model Setup'!$H$7,SUMIF($AD$3:$BA$3,"="&amp;$DF10+'Model Setup'!$H$7,$B10:$Y10)+'Model Setup'!$H$8*(SUMIF($AD$3:$BA$3,"&lt;"&amp;$DF10,$B10:$Y10)+SUMIF($AD$3:$BA$3,"&gt;="&amp;$DG10,$B10:$Y10)),
IF(AP$3=$DF10+'Model Setup'!$I$7,SUMIF($AD$3:$BA$3,"="&amp;$DF10+'Model Setup'!$I$7,$B10:$Y10)+'Model Setup'!$I$8*(SUMIF($AD$3:$BA$3,"&lt;"&amp;$DF10,$B10:$Y10)+SUMIF($AD$3:$BA$3,"&gt;="&amp;$DG10,$B10:$Y10)),
IF(AP$3=$DF10+'Model Setup'!$J$7,SUMIF($AD$3:$BA$3,"="&amp;$DF10+'Model Setup'!$J$7,$B10:$Y10)+'Model Setup'!$J$8*(SUMIF($AD$3:$BA$3,"&lt;"&amp;$DF10,$B10:$Y10)+SUMIF($AD$3:$BA$3,"&gt;="&amp;$DG10,$B10:$Y10)),
IF(AP$3=$DF10+'Model Setup'!$K$7,SUMIF($AD$3:$BA$3,"="&amp;$DF10+'Model Setup'!$K$7,$B10:$Y10)+'Model Setup'!$K$8*(SUMIF($AD$3:$BA$3,"&lt;"&amp;$DF10,$B10:$Y10)+SUMIF($AD$3:$BA$3,"&gt;="&amp;$DG10,$B10:$Y10)),
IF(AP$3=$DF10+'Model Setup'!$L$7,SUMIF($AD$3:$BA$3,"="&amp;$DF10+'Model Setup'!$L$7,$B10:$Y10)+'Model Setup'!$L$8*(SUMIF($AD$3:$BA$3,"&lt;"&amp;$DF10,$B10:$Y10)+SUMIF($AD$3:$BA$3,"&gt;="&amp;$DG10,$B10:$Y10)),
IF(AP$3=$DF10+'Model Setup'!$M$7,SUMIF($AD$3:$BA$3,"="&amp;$DF10+'Model Setup'!$M$7,$B10:$Y10)+'Model Setup'!$M$8*(SUMIF($AD$3:$BA$3,"&lt;"&amp;$DF10,$B10:$Y10)+SUMIF($AD$3:$BA$3,"&gt;="&amp;$DG10,$B10:$Y10)),
IF(AP$3=$DF10+'Model Setup'!$N$7,SUMIF($AD$3:$BA$3,"="&amp;$DF10+'Model Setup'!$N$7,$B10:$Y10)+'Model Setup'!$N$8*(SUMIF($AD$3:$BA$3,"&lt;"&amp;$DF10,$B10:$Y10)+SUMIF($AD$3:$BA$3,"&gt;="&amp;$DG10,$B10:$Y10)),
IF(AP$3&lt;$DG10,N10,0))))))))))))))),0)</f>
        <v>54</v>
      </c>
      <c r="AQ10" s="47">
        <f>ROUND(IF(AQ$3&lt;$DF10,0,
IF(AQ$3=$DF10+'Model Setup'!$B$7,SUMIF($AD$3:$BA$3,"="&amp;$DF10+'Model Setup'!$B$7,$B10:$Y10)+'Model Setup'!$B$8*(SUMIF($AD$3:$BA$3,"&lt;"&amp;$DF10,$B10:$Y10)+SUMIF($AD$3:$BA$3,"&gt;="&amp;$DG10,$B10:$Y10)),
IF(AQ$3=$DF10+'Model Setup'!$C$7,SUMIF($AD$3:$BA$3,"="&amp;$DF10+'Model Setup'!$C$7,$B10:$Y10)+'Model Setup'!$C$8*(SUMIF($AD$3:$BA$3,"&lt;"&amp;$DF10,$B10:$Y10)+SUMIF($AD$3:$BA$3,"&gt;="&amp;$DG10,$B10:$Y10)),
IF(AQ$3=$DF10+'Model Setup'!$D$7,SUMIF($AD$3:$BA$3,"="&amp;$DF10+'Model Setup'!$D$7,$B10:$Y10)+'Model Setup'!$D$8*(SUMIF($AD$3:$BA$3,"&lt;"&amp;$DF10,$B10:$Y10)+SUMIF($AD$3:$BA$3,"&gt;="&amp;$DG10,$B10:$Y10)),
IF(AQ$3=$DF10+'Model Setup'!$E$7,SUMIF($AD$3:$BA$3,"="&amp;$DF10+'Model Setup'!$E$7,$B10:$Y10)+'Model Setup'!$E$8*(SUMIF($AD$3:$BA$3,"&lt;"&amp;$DF10,$B10:$Y10)+SUMIF($AD$3:$BA$3,"&gt;="&amp;$DG10,$B10:$Y10)),
IF(AQ$3=$DF10+'Model Setup'!$F$7,SUMIF($AD$3:$BA$3,"="&amp;$DF10+'Model Setup'!$F$7,$B10:$Y10)+'Model Setup'!$F$8*(SUMIF($AD$3:$BA$3,"&lt;"&amp;$DF10,$B10:$Y10)+SUMIF($AD$3:$BA$3,"&gt;="&amp;$DG10,$B10:$Y10)),
IF(AQ$3=$DF10+'Model Setup'!$G$7,SUMIF($AD$3:$BA$3,"="&amp;$DF10+'Model Setup'!$G$7,$B10:$Y10)+'Model Setup'!$G$8*(SUMIF($AD$3:$BA$3,"&lt;"&amp;$DF10,$B10:$Y10)+SUMIF($AD$3:$BA$3,"&gt;="&amp;$DG10,$B10:$Y10)),
IF(AQ$3=$DF10+'Model Setup'!$H$7,SUMIF($AD$3:$BA$3,"="&amp;$DF10+'Model Setup'!$H$7,$B10:$Y10)+'Model Setup'!$H$8*(SUMIF($AD$3:$BA$3,"&lt;"&amp;$DF10,$B10:$Y10)+SUMIF($AD$3:$BA$3,"&gt;="&amp;$DG10,$B10:$Y10)),
IF(AQ$3=$DF10+'Model Setup'!$I$7,SUMIF($AD$3:$BA$3,"="&amp;$DF10+'Model Setup'!$I$7,$B10:$Y10)+'Model Setup'!$I$8*(SUMIF($AD$3:$BA$3,"&lt;"&amp;$DF10,$B10:$Y10)+SUMIF($AD$3:$BA$3,"&gt;="&amp;$DG10,$B10:$Y10)),
IF(AQ$3=$DF10+'Model Setup'!$J$7,SUMIF($AD$3:$BA$3,"="&amp;$DF10+'Model Setup'!$J$7,$B10:$Y10)+'Model Setup'!$J$8*(SUMIF($AD$3:$BA$3,"&lt;"&amp;$DF10,$B10:$Y10)+SUMIF($AD$3:$BA$3,"&gt;="&amp;$DG10,$B10:$Y10)),
IF(AQ$3=$DF10+'Model Setup'!$K$7,SUMIF($AD$3:$BA$3,"="&amp;$DF10+'Model Setup'!$K$7,$B10:$Y10)+'Model Setup'!$K$8*(SUMIF($AD$3:$BA$3,"&lt;"&amp;$DF10,$B10:$Y10)+SUMIF($AD$3:$BA$3,"&gt;="&amp;$DG10,$B10:$Y10)),
IF(AQ$3=$DF10+'Model Setup'!$L$7,SUMIF($AD$3:$BA$3,"="&amp;$DF10+'Model Setup'!$L$7,$B10:$Y10)+'Model Setup'!$L$8*(SUMIF($AD$3:$BA$3,"&lt;"&amp;$DF10,$B10:$Y10)+SUMIF($AD$3:$BA$3,"&gt;="&amp;$DG10,$B10:$Y10)),
IF(AQ$3=$DF10+'Model Setup'!$M$7,SUMIF($AD$3:$BA$3,"="&amp;$DF10+'Model Setup'!$M$7,$B10:$Y10)+'Model Setup'!$M$8*(SUMIF($AD$3:$BA$3,"&lt;"&amp;$DF10,$B10:$Y10)+SUMIF($AD$3:$BA$3,"&gt;="&amp;$DG10,$B10:$Y10)),
IF(AQ$3=$DF10+'Model Setup'!$N$7,SUMIF($AD$3:$BA$3,"="&amp;$DF10+'Model Setup'!$N$7,$B10:$Y10)+'Model Setup'!$N$8*(SUMIF($AD$3:$BA$3,"&lt;"&amp;$DF10,$B10:$Y10)+SUMIF($AD$3:$BA$3,"&gt;="&amp;$DG10,$B10:$Y10)),
IF(AQ$3&lt;$DG10,O10,0))))))))))))))),0)</f>
        <v>54</v>
      </c>
      <c r="AR10" s="47">
        <f>ROUND(IF(AR$3&lt;$DF10,0,
IF(AR$3=$DF10+'Model Setup'!$B$7,SUMIF($AD$3:$BA$3,"="&amp;$DF10+'Model Setup'!$B$7,$B10:$Y10)+'Model Setup'!$B$8*(SUMIF($AD$3:$BA$3,"&lt;"&amp;$DF10,$B10:$Y10)+SUMIF($AD$3:$BA$3,"&gt;="&amp;$DG10,$B10:$Y10)),
IF(AR$3=$DF10+'Model Setup'!$C$7,SUMIF($AD$3:$BA$3,"="&amp;$DF10+'Model Setup'!$C$7,$B10:$Y10)+'Model Setup'!$C$8*(SUMIF($AD$3:$BA$3,"&lt;"&amp;$DF10,$B10:$Y10)+SUMIF($AD$3:$BA$3,"&gt;="&amp;$DG10,$B10:$Y10)),
IF(AR$3=$DF10+'Model Setup'!$D$7,SUMIF($AD$3:$BA$3,"="&amp;$DF10+'Model Setup'!$D$7,$B10:$Y10)+'Model Setup'!$D$8*(SUMIF($AD$3:$BA$3,"&lt;"&amp;$DF10,$B10:$Y10)+SUMIF($AD$3:$BA$3,"&gt;="&amp;$DG10,$B10:$Y10)),
IF(AR$3=$DF10+'Model Setup'!$E$7,SUMIF($AD$3:$BA$3,"="&amp;$DF10+'Model Setup'!$E$7,$B10:$Y10)+'Model Setup'!$E$8*(SUMIF($AD$3:$BA$3,"&lt;"&amp;$DF10,$B10:$Y10)+SUMIF($AD$3:$BA$3,"&gt;="&amp;$DG10,$B10:$Y10)),
IF(AR$3=$DF10+'Model Setup'!$F$7,SUMIF($AD$3:$BA$3,"="&amp;$DF10+'Model Setup'!$F$7,$B10:$Y10)+'Model Setup'!$F$8*(SUMIF($AD$3:$BA$3,"&lt;"&amp;$DF10,$B10:$Y10)+SUMIF($AD$3:$BA$3,"&gt;="&amp;$DG10,$B10:$Y10)),
IF(AR$3=$DF10+'Model Setup'!$G$7,SUMIF($AD$3:$BA$3,"="&amp;$DF10+'Model Setup'!$G$7,$B10:$Y10)+'Model Setup'!$G$8*(SUMIF($AD$3:$BA$3,"&lt;"&amp;$DF10,$B10:$Y10)+SUMIF($AD$3:$BA$3,"&gt;="&amp;$DG10,$B10:$Y10)),
IF(AR$3=$DF10+'Model Setup'!$H$7,SUMIF($AD$3:$BA$3,"="&amp;$DF10+'Model Setup'!$H$7,$B10:$Y10)+'Model Setup'!$H$8*(SUMIF($AD$3:$BA$3,"&lt;"&amp;$DF10,$B10:$Y10)+SUMIF($AD$3:$BA$3,"&gt;="&amp;$DG10,$B10:$Y10)),
IF(AR$3=$DF10+'Model Setup'!$I$7,SUMIF($AD$3:$BA$3,"="&amp;$DF10+'Model Setup'!$I$7,$B10:$Y10)+'Model Setup'!$I$8*(SUMIF($AD$3:$BA$3,"&lt;"&amp;$DF10,$B10:$Y10)+SUMIF($AD$3:$BA$3,"&gt;="&amp;$DG10,$B10:$Y10)),
IF(AR$3=$DF10+'Model Setup'!$J$7,SUMIF($AD$3:$BA$3,"="&amp;$DF10+'Model Setup'!$J$7,$B10:$Y10)+'Model Setup'!$J$8*(SUMIF($AD$3:$BA$3,"&lt;"&amp;$DF10,$B10:$Y10)+SUMIF($AD$3:$BA$3,"&gt;="&amp;$DG10,$B10:$Y10)),
IF(AR$3=$DF10+'Model Setup'!$K$7,SUMIF($AD$3:$BA$3,"="&amp;$DF10+'Model Setup'!$K$7,$B10:$Y10)+'Model Setup'!$K$8*(SUMIF($AD$3:$BA$3,"&lt;"&amp;$DF10,$B10:$Y10)+SUMIF($AD$3:$BA$3,"&gt;="&amp;$DG10,$B10:$Y10)),
IF(AR$3=$DF10+'Model Setup'!$L$7,SUMIF($AD$3:$BA$3,"="&amp;$DF10+'Model Setup'!$L$7,$B10:$Y10)+'Model Setup'!$L$8*(SUMIF($AD$3:$BA$3,"&lt;"&amp;$DF10,$B10:$Y10)+SUMIF($AD$3:$BA$3,"&gt;="&amp;$DG10,$B10:$Y10)),
IF(AR$3=$DF10+'Model Setup'!$M$7,SUMIF($AD$3:$BA$3,"="&amp;$DF10+'Model Setup'!$M$7,$B10:$Y10)+'Model Setup'!$M$8*(SUMIF($AD$3:$BA$3,"&lt;"&amp;$DF10,$B10:$Y10)+SUMIF($AD$3:$BA$3,"&gt;="&amp;$DG10,$B10:$Y10)),
IF(AR$3=$DF10+'Model Setup'!$N$7,SUMIF($AD$3:$BA$3,"="&amp;$DF10+'Model Setup'!$N$7,$B10:$Y10)+'Model Setup'!$N$8*(SUMIF($AD$3:$BA$3,"&lt;"&amp;$DF10,$B10:$Y10)+SUMIF($AD$3:$BA$3,"&gt;="&amp;$DG10,$B10:$Y10)),
IF(AR$3&lt;$DG10,P10,0))))))))))))))),0)</f>
        <v>54</v>
      </c>
      <c r="AS10" s="47">
        <f>ROUND(IF(AS$3&lt;$DF10,0,
IF(AS$3=$DF10+'Model Setup'!$B$7,SUMIF($AD$3:$BA$3,"="&amp;$DF10+'Model Setup'!$B$7,$B10:$Y10)+'Model Setup'!$B$8*(SUMIF($AD$3:$BA$3,"&lt;"&amp;$DF10,$B10:$Y10)+SUMIF($AD$3:$BA$3,"&gt;="&amp;$DG10,$B10:$Y10)),
IF(AS$3=$DF10+'Model Setup'!$C$7,SUMIF($AD$3:$BA$3,"="&amp;$DF10+'Model Setup'!$C$7,$B10:$Y10)+'Model Setup'!$C$8*(SUMIF($AD$3:$BA$3,"&lt;"&amp;$DF10,$B10:$Y10)+SUMIF($AD$3:$BA$3,"&gt;="&amp;$DG10,$B10:$Y10)),
IF(AS$3=$DF10+'Model Setup'!$D$7,SUMIF($AD$3:$BA$3,"="&amp;$DF10+'Model Setup'!$D$7,$B10:$Y10)+'Model Setup'!$D$8*(SUMIF($AD$3:$BA$3,"&lt;"&amp;$DF10,$B10:$Y10)+SUMIF($AD$3:$BA$3,"&gt;="&amp;$DG10,$B10:$Y10)),
IF(AS$3=$DF10+'Model Setup'!$E$7,SUMIF($AD$3:$BA$3,"="&amp;$DF10+'Model Setup'!$E$7,$B10:$Y10)+'Model Setup'!$E$8*(SUMIF($AD$3:$BA$3,"&lt;"&amp;$DF10,$B10:$Y10)+SUMIF($AD$3:$BA$3,"&gt;="&amp;$DG10,$B10:$Y10)),
IF(AS$3=$DF10+'Model Setup'!$F$7,SUMIF($AD$3:$BA$3,"="&amp;$DF10+'Model Setup'!$F$7,$B10:$Y10)+'Model Setup'!$F$8*(SUMIF($AD$3:$BA$3,"&lt;"&amp;$DF10,$B10:$Y10)+SUMIF($AD$3:$BA$3,"&gt;="&amp;$DG10,$B10:$Y10)),
IF(AS$3=$DF10+'Model Setup'!$G$7,SUMIF($AD$3:$BA$3,"="&amp;$DF10+'Model Setup'!$G$7,$B10:$Y10)+'Model Setup'!$G$8*(SUMIF($AD$3:$BA$3,"&lt;"&amp;$DF10,$B10:$Y10)+SUMIF($AD$3:$BA$3,"&gt;="&amp;$DG10,$B10:$Y10)),
IF(AS$3=$DF10+'Model Setup'!$H$7,SUMIF($AD$3:$BA$3,"="&amp;$DF10+'Model Setup'!$H$7,$B10:$Y10)+'Model Setup'!$H$8*(SUMIF($AD$3:$BA$3,"&lt;"&amp;$DF10,$B10:$Y10)+SUMIF($AD$3:$BA$3,"&gt;="&amp;$DG10,$B10:$Y10)),
IF(AS$3=$DF10+'Model Setup'!$I$7,SUMIF($AD$3:$BA$3,"="&amp;$DF10+'Model Setup'!$I$7,$B10:$Y10)+'Model Setup'!$I$8*(SUMIF($AD$3:$BA$3,"&lt;"&amp;$DF10,$B10:$Y10)+SUMIF($AD$3:$BA$3,"&gt;="&amp;$DG10,$B10:$Y10)),
IF(AS$3=$DF10+'Model Setup'!$J$7,SUMIF($AD$3:$BA$3,"="&amp;$DF10+'Model Setup'!$J$7,$B10:$Y10)+'Model Setup'!$J$8*(SUMIF($AD$3:$BA$3,"&lt;"&amp;$DF10,$B10:$Y10)+SUMIF($AD$3:$BA$3,"&gt;="&amp;$DG10,$B10:$Y10)),
IF(AS$3=$DF10+'Model Setup'!$K$7,SUMIF($AD$3:$BA$3,"="&amp;$DF10+'Model Setup'!$K$7,$B10:$Y10)+'Model Setup'!$K$8*(SUMIF($AD$3:$BA$3,"&lt;"&amp;$DF10,$B10:$Y10)+SUMIF($AD$3:$BA$3,"&gt;="&amp;$DG10,$B10:$Y10)),
IF(AS$3=$DF10+'Model Setup'!$L$7,SUMIF($AD$3:$BA$3,"="&amp;$DF10+'Model Setup'!$L$7,$B10:$Y10)+'Model Setup'!$L$8*(SUMIF($AD$3:$BA$3,"&lt;"&amp;$DF10,$B10:$Y10)+SUMIF($AD$3:$BA$3,"&gt;="&amp;$DG10,$B10:$Y10)),
IF(AS$3=$DF10+'Model Setup'!$M$7,SUMIF($AD$3:$BA$3,"="&amp;$DF10+'Model Setup'!$M$7,$B10:$Y10)+'Model Setup'!$M$8*(SUMIF($AD$3:$BA$3,"&lt;"&amp;$DF10,$B10:$Y10)+SUMIF($AD$3:$BA$3,"&gt;="&amp;$DG10,$B10:$Y10)),
IF(AS$3=$DF10+'Model Setup'!$N$7,SUMIF($AD$3:$BA$3,"="&amp;$DF10+'Model Setup'!$N$7,$B10:$Y10)+'Model Setup'!$N$8*(SUMIF($AD$3:$BA$3,"&lt;"&amp;$DF10,$B10:$Y10)+SUMIF($AD$3:$BA$3,"&gt;="&amp;$DG10,$B10:$Y10)),
IF(AS$3&lt;$DG10,Q10,0))))))))))))))),0)</f>
        <v>26</v>
      </c>
      <c r="AT10" s="47">
        <f>ROUND(IF(AT$3&lt;$DF10,0,
IF(AT$3=$DF10+'Model Setup'!$B$7,SUMIF($AD$3:$BA$3,"="&amp;$DF10+'Model Setup'!$B$7,$B10:$Y10)+'Model Setup'!$B$8*(SUMIF($AD$3:$BA$3,"&lt;"&amp;$DF10,$B10:$Y10)+SUMIF($AD$3:$BA$3,"&gt;="&amp;$DG10,$B10:$Y10)),
IF(AT$3=$DF10+'Model Setup'!$C$7,SUMIF($AD$3:$BA$3,"="&amp;$DF10+'Model Setup'!$C$7,$B10:$Y10)+'Model Setup'!$C$8*(SUMIF($AD$3:$BA$3,"&lt;"&amp;$DF10,$B10:$Y10)+SUMIF($AD$3:$BA$3,"&gt;="&amp;$DG10,$B10:$Y10)),
IF(AT$3=$DF10+'Model Setup'!$D$7,SUMIF($AD$3:$BA$3,"="&amp;$DF10+'Model Setup'!$D$7,$B10:$Y10)+'Model Setup'!$D$8*(SUMIF($AD$3:$BA$3,"&lt;"&amp;$DF10,$B10:$Y10)+SUMIF($AD$3:$BA$3,"&gt;="&amp;$DG10,$B10:$Y10)),
IF(AT$3=$DF10+'Model Setup'!$E$7,SUMIF($AD$3:$BA$3,"="&amp;$DF10+'Model Setup'!$E$7,$B10:$Y10)+'Model Setup'!$E$8*(SUMIF($AD$3:$BA$3,"&lt;"&amp;$DF10,$B10:$Y10)+SUMIF($AD$3:$BA$3,"&gt;="&amp;$DG10,$B10:$Y10)),
IF(AT$3=$DF10+'Model Setup'!$F$7,SUMIF($AD$3:$BA$3,"="&amp;$DF10+'Model Setup'!$F$7,$B10:$Y10)+'Model Setup'!$F$8*(SUMIF($AD$3:$BA$3,"&lt;"&amp;$DF10,$B10:$Y10)+SUMIF($AD$3:$BA$3,"&gt;="&amp;$DG10,$B10:$Y10)),
IF(AT$3=$DF10+'Model Setup'!$G$7,SUMIF($AD$3:$BA$3,"="&amp;$DF10+'Model Setup'!$G$7,$B10:$Y10)+'Model Setup'!$G$8*(SUMIF($AD$3:$BA$3,"&lt;"&amp;$DF10,$B10:$Y10)+SUMIF($AD$3:$BA$3,"&gt;="&amp;$DG10,$B10:$Y10)),
IF(AT$3=$DF10+'Model Setup'!$H$7,SUMIF($AD$3:$BA$3,"="&amp;$DF10+'Model Setup'!$H$7,$B10:$Y10)+'Model Setup'!$H$8*(SUMIF($AD$3:$BA$3,"&lt;"&amp;$DF10,$B10:$Y10)+SUMIF($AD$3:$BA$3,"&gt;="&amp;$DG10,$B10:$Y10)),
IF(AT$3=$DF10+'Model Setup'!$I$7,SUMIF($AD$3:$BA$3,"="&amp;$DF10+'Model Setup'!$I$7,$B10:$Y10)+'Model Setup'!$I$8*(SUMIF($AD$3:$BA$3,"&lt;"&amp;$DF10,$B10:$Y10)+SUMIF($AD$3:$BA$3,"&gt;="&amp;$DG10,$B10:$Y10)),
IF(AT$3=$DF10+'Model Setup'!$J$7,SUMIF($AD$3:$BA$3,"="&amp;$DF10+'Model Setup'!$J$7,$B10:$Y10)+'Model Setup'!$J$8*(SUMIF($AD$3:$BA$3,"&lt;"&amp;$DF10,$B10:$Y10)+SUMIF($AD$3:$BA$3,"&gt;="&amp;$DG10,$B10:$Y10)),
IF(AT$3=$DF10+'Model Setup'!$K$7,SUMIF($AD$3:$BA$3,"="&amp;$DF10+'Model Setup'!$K$7,$B10:$Y10)+'Model Setup'!$K$8*(SUMIF($AD$3:$BA$3,"&lt;"&amp;$DF10,$B10:$Y10)+SUMIF($AD$3:$BA$3,"&gt;="&amp;$DG10,$B10:$Y10)),
IF(AT$3=$DF10+'Model Setup'!$L$7,SUMIF($AD$3:$BA$3,"="&amp;$DF10+'Model Setup'!$L$7,$B10:$Y10)+'Model Setup'!$L$8*(SUMIF($AD$3:$BA$3,"&lt;"&amp;$DF10,$B10:$Y10)+SUMIF($AD$3:$BA$3,"&gt;="&amp;$DG10,$B10:$Y10)),
IF(AT$3=$DF10+'Model Setup'!$M$7,SUMIF($AD$3:$BA$3,"="&amp;$DF10+'Model Setup'!$M$7,$B10:$Y10)+'Model Setup'!$M$8*(SUMIF($AD$3:$BA$3,"&lt;"&amp;$DF10,$B10:$Y10)+SUMIF($AD$3:$BA$3,"&gt;="&amp;$DG10,$B10:$Y10)),
IF(AT$3=$DF10+'Model Setup'!$N$7,SUMIF($AD$3:$BA$3,"="&amp;$DF10+'Model Setup'!$N$7,$B10:$Y10)+'Model Setup'!$N$8*(SUMIF($AD$3:$BA$3,"&lt;"&amp;$DF10,$B10:$Y10)+SUMIF($AD$3:$BA$3,"&gt;="&amp;$DG10,$B10:$Y10)),
IF(AT$3&lt;$DG10,R10,0))))))))))))))),0)</f>
        <v>30</v>
      </c>
      <c r="AU10" s="47">
        <f>ROUND(IF(AU$3&lt;$DF10,0,
IF(AU$3=$DF10+'Model Setup'!$B$7,SUMIF($AD$3:$BA$3,"="&amp;$DF10+'Model Setup'!$B$7,$B10:$Y10)+'Model Setup'!$B$8*(SUMIF($AD$3:$BA$3,"&lt;"&amp;$DF10,$B10:$Y10)+SUMIF($AD$3:$BA$3,"&gt;="&amp;$DG10,$B10:$Y10)),
IF(AU$3=$DF10+'Model Setup'!$C$7,SUMIF($AD$3:$BA$3,"="&amp;$DF10+'Model Setup'!$C$7,$B10:$Y10)+'Model Setup'!$C$8*(SUMIF($AD$3:$BA$3,"&lt;"&amp;$DF10,$B10:$Y10)+SUMIF($AD$3:$BA$3,"&gt;="&amp;$DG10,$B10:$Y10)),
IF(AU$3=$DF10+'Model Setup'!$D$7,SUMIF($AD$3:$BA$3,"="&amp;$DF10+'Model Setup'!$D$7,$B10:$Y10)+'Model Setup'!$D$8*(SUMIF($AD$3:$BA$3,"&lt;"&amp;$DF10,$B10:$Y10)+SUMIF($AD$3:$BA$3,"&gt;="&amp;$DG10,$B10:$Y10)),
IF(AU$3=$DF10+'Model Setup'!$E$7,SUMIF($AD$3:$BA$3,"="&amp;$DF10+'Model Setup'!$E$7,$B10:$Y10)+'Model Setup'!$E$8*(SUMIF($AD$3:$BA$3,"&lt;"&amp;$DF10,$B10:$Y10)+SUMIF($AD$3:$BA$3,"&gt;="&amp;$DG10,$B10:$Y10)),
IF(AU$3=$DF10+'Model Setup'!$F$7,SUMIF($AD$3:$BA$3,"="&amp;$DF10+'Model Setup'!$F$7,$B10:$Y10)+'Model Setup'!$F$8*(SUMIF($AD$3:$BA$3,"&lt;"&amp;$DF10,$B10:$Y10)+SUMIF($AD$3:$BA$3,"&gt;="&amp;$DG10,$B10:$Y10)),
IF(AU$3=$DF10+'Model Setup'!$G$7,SUMIF($AD$3:$BA$3,"="&amp;$DF10+'Model Setup'!$G$7,$B10:$Y10)+'Model Setup'!$G$8*(SUMIF($AD$3:$BA$3,"&lt;"&amp;$DF10,$B10:$Y10)+SUMIF($AD$3:$BA$3,"&gt;="&amp;$DG10,$B10:$Y10)),
IF(AU$3=$DF10+'Model Setup'!$H$7,SUMIF($AD$3:$BA$3,"="&amp;$DF10+'Model Setup'!$H$7,$B10:$Y10)+'Model Setup'!$H$8*(SUMIF($AD$3:$BA$3,"&lt;"&amp;$DF10,$B10:$Y10)+SUMIF($AD$3:$BA$3,"&gt;="&amp;$DG10,$B10:$Y10)),
IF(AU$3=$DF10+'Model Setup'!$I$7,SUMIF($AD$3:$BA$3,"="&amp;$DF10+'Model Setup'!$I$7,$B10:$Y10)+'Model Setup'!$I$8*(SUMIF($AD$3:$BA$3,"&lt;"&amp;$DF10,$B10:$Y10)+SUMIF($AD$3:$BA$3,"&gt;="&amp;$DG10,$B10:$Y10)),
IF(AU$3=$DF10+'Model Setup'!$J$7,SUMIF($AD$3:$BA$3,"="&amp;$DF10+'Model Setup'!$J$7,$B10:$Y10)+'Model Setup'!$J$8*(SUMIF($AD$3:$BA$3,"&lt;"&amp;$DF10,$B10:$Y10)+SUMIF($AD$3:$BA$3,"&gt;="&amp;$DG10,$B10:$Y10)),
IF(AU$3=$DF10+'Model Setup'!$K$7,SUMIF($AD$3:$BA$3,"="&amp;$DF10+'Model Setup'!$K$7,$B10:$Y10)+'Model Setup'!$K$8*(SUMIF($AD$3:$BA$3,"&lt;"&amp;$DF10,$B10:$Y10)+SUMIF($AD$3:$BA$3,"&gt;="&amp;$DG10,$B10:$Y10)),
IF(AU$3=$DF10+'Model Setup'!$L$7,SUMIF($AD$3:$BA$3,"="&amp;$DF10+'Model Setup'!$L$7,$B10:$Y10)+'Model Setup'!$L$8*(SUMIF($AD$3:$BA$3,"&lt;"&amp;$DF10,$B10:$Y10)+SUMIF($AD$3:$BA$3,"&gt;="&amp;$DG10,$B10:$Y10)),
IF(AU$3=$DF10+'Model Setup'!$M$7,SUMIF($AD$3:$BA$3,"="&amp;$DF10+'Model Setup'!$M$7,$B10:$Y10)+'Model Setup'!$M$8*(SUMIF($AD$3:$BA$3,"&lt;"&amp;$DF10,$B10:$Y10)+SUMIF($AD$3:$BA$3,"&gt;="&amp;$DG10,$B10:$Y10)),
IF(AU$3=$DF10+'Model Setup'!$N$7,SUMIF($AD$3:$BA$3,"="&amp;$DF10+'Model Setup'!$N$7,$B10:$Y10)+'Model Setup'!$N$8*(SUMIF($AD$3:$BA$3,"&lt;"&amp;$DF10,$B10:$Y10)+SUMIF($AD$3:$BA$3,"&gt;="&amp;$DG10,$B10:$Y10)),
IF(AU$3&lt;$DG10,S10,0))))))))))))))),0)</f>
        <v>53</v>
      </c>
      <c r="AV10" s="47">
        <f>ROUND(IF(AV$3&lt;$DF10,0,
IF(AV$3=$DF10+'Model Setup'!$B$7,SUMIF($AD$3:$BA$3,"="&amp;$DF10+'Model Setup'!$B$7,$B10:$Y10)+'Model Setup'!$B$8*(SUMIF($AD$3:$BA$3,"&lt;"&amp;$DF10,$B10:$Y10)+SUMIF($AD$3:$BA$3,"&gt;="&amp;$DG10,$B10:$Y10)),
IF(AV$3=$DF10+'Model Setup'!$C$7,SUMIF($AD$3:$BA$3,"="&amp;$DF10+'Model Setup'!$C$7,$B10:$Y10)+'Model Setup'!$C$8*(SUMIF($AD$3:$BA$3,"&lt;"&amp;$DF10,$B10:$Y10)+SUMIF($AD$3:$BA$3,"&gt;="&amp;$DG10,$B10:$Y10)),
IF(AV$3=$DF10+'Model Setup'!$D$7,SUMIF($AD$3:$BA$3,"="&amp;$DF10+'Model Setup'!$D$7,$B10:$Y10)+'Model Setup'!$D$8*(SUMIF($AD$3:$BA$3,"&lt;"&amp;$DF10,$B10:$Y10)+SUMIF($AD$3:$BA$3,"&gt;="&amp;$DG10,$B10:$Y10)),
IF(AV$3=$DF10+'Model Setup'!$E$7,SUMIF($AD$3:$BA$3,"="&amp;$DF10+'Model Setup'!$E$7,$B10:$Y10)+'Model Setup'!$E$8*(SUMIF($AD$3:$BA$3,"&lt;"&amp;$DF10,$B10:$Y10)+SUMIF($AD$3:$BA$3,"&gt;="&amp;$DG10,$B10:$Y10)),
IF(AV$3=$DF10+'Model Setup'!$F$7,SUMIF($AD$3:$BA$3,"="&amp;$DF10+'Model Setup'!$F$7,$B10:$Y10)+'Model Setup'!$F$8*(SUMIF($AD$3:$BA$3,"&lt;"&amp;$DF10,$B10:$Y10)+SUMIF($AD$3:$BA$3,"&gt;="&amp;$DG10,$B10:$Y10)),
IF(AV$3=$DF10+'Model Setup'!$G$7,SUMIF($AD$3:$BA$3,"="&amp;$DF10+'Model Setup'!$G$7,$B10:$Y10)+'Model Setup'!$G$8*(SUMIF($AD$3:$BA$3,"&lt;"&amp;$DF10,$B10:$Y10)+SUMIF($AD$3:$BA$3,"&gt;="&amp;$DG10,$B10:$Y10)),
IF(AV$3=$DF10+'Model Setup'!$H$7,SUMIF($AD$3:$BA$3,"="&amp;$DF10+'Model Setup'!$H$7,$B10:$Y10)+'Model Setup'!$H$8*(SUMIF($AD$3:$BA$3,"&lt;"&amp;$DF10,$B10:$Y10)+SUMIF($AD$3:$BA$3,"&gt;="&amp;$DG10,$B10:$Y10)),
IF(AV$3=$DF10+'Model Setup'!$I$7,SUMIF($AD$3:$BA$3,"="&amp;$DF10+'Model Setup'!$I$7,$B10:$Y10)+'Model Setup'!$I$8*(SUMIF($AD$3:$BA$3,"&lt;"&amp;$DF10,$B10:$Y10)+SUMIF($AD$3:$BA$3,"&gt;="&amp;$DG10,$B10:$Y10)),
IF(AV$3=$DF10+'Model Setup'!$J$7,SUMIF($AD$3:$BA$3,"="&amp;$DF10+'Model Setup'!$J$7,$B10:$Y10)+'Model Setup'!$J$8*(SUMIF($AD$3:$BA$3,"&lt;"&amp;$DF10,$B10:$Y10)+SUMIF($AD$3:$BA$3,"&gt;="&amp;$DG10,$B10:$Y10)),
IF(AV$3=$DF10+'Model Setup'!$K$7,SUMIF($AD$3:$BA$3,"="&amp;$DF10+'Model Setup'!$K$7,$B10:$Y10)+'Model Setup'!$K$8*(SUMIF($AD$3:$BA$3,"&lt;"&amp;$DF10,$B10:$Y10)+SUMIF($AD$3:$BA$3,"&gt;="&amp;$DG10,$B10:$Y10)),
IF(AV$3=$DF10+'Model Setup'!$L$7,SUMIF($AD$3:$BA$3,"="&amp;$DF10+'Model Setup'!$L$7,$B10:$Y10)+'Model Setup'!$L$8*(SUMIF($AD$3:$BA$3,"&lt;"&amp;$DF10,$B10:$Y10)+SUMIF($AD$3:$BA$3,"&gt;="&amp;$DG10,$B10:$Y10)),
IF(AV$3=$DF10+'Model Setup'!$M$7,SUMIF($AD$3:$BA$3,"="&amp;$DF10+'Model Setup'!$M$7,$B10:$Y10)+'Model Setup'!$M$8*(SUMIF($AD$3:$BA$3,"&lt;"&amp;$DF10,$B10:$Y10)+SUMIF($AD$3:$BA$3,"&gt;="&amp;$DG10,$B10:$Y10)),
IF(AV$3=$DF10+'Model Setup'!$N$7,SUMIF($AD$3:$BA$3,"="&amp;$DF10+'Model Setup'!$N$7,$B10:$Y10)+'Model Setup'!$N$8*(SUMIF($AD$3:$BA$3,"&lt;"&amp;$DF10,$B10:$Y10)+SUMIF($AD$3:$BA$3,"&gt;="&amp;$DG10,$B10:$Y10)),
IF(AV$3&lt;$DG10,T10,0))))))))))))))),0)</f>
        <v>57</v>
      </c>
      <c r="AW10" s="47">
        <f>ROUND(IF(AW$3&lt;$DF10,0,
IF(AW$3=$DF10+'Model Setup'!$B$7,SUMIF($AD$3:$BA$3,"="&amp;$DF10+'Model Setup'!$B$7,$B10:$Y10)+'Model Setup'!$B$8*(SUMIF($AD$3:$BA$3,"&lt;"&amp;$DF10,$B10:$Y10)+SUMIF($AD$3:$BA$3,"&gt;="&amp;$DG10,$B10:$Y10)),
IF(AW$3=$DF10+'Model Setup'!$C$7,SUMIF($AD$3:$BA$3,"="&amp;$DF10+'Model Setup'!$C$7,$B10:$Y10)+'Model Setup'!$C$8*(SUMIF($AD$3:$BA$3,"&lt;"&amp;$DF10,$B10:$Y10)+SUMIF($AD$3:$BA$3,"&gt;="&amp;$DG10,$B10:$Y10)),
IF(AW$3=$DF10+'Model Setup'!$D$7,SUMIF($AD$3:$BA$3,"="&amp;$DF10+'Model Setup'!$D$7,$B10:$Y10)+'Model Setup'!$D$8*(SUMIF($AD$3:$BA$3,"&lt;"&amp;$DF10,$B10:$Y10)+SUMIF($AD$3:$BA$3,"&gt;="&amp;$DG10,$B10:$Y10)),
IF(AW$3=$DF10+'Model Setup'!$E$7,SUMIF($AD$3:$BA$3,"="&amp;$DF10+'Model Setup'!$E$7,$B10:$Y10)+'Model Setup'!$E$8*(SUMIF($AD$3:$BA$3,"&lt;"&amp;$DF10,$B10:$Y10)+SUMIF($AD$3:$BA$3,"&gt;="&amp;$DG10,$B10:$Y10)),
IF(AW$3=$DF10+'Model Setup'!$F$7,SUMIF($AD$3:$BA$3,"="&amp;$DF10+'Model Setup'!$F$7,$B10:$Y10)+'Model Setup'!$F$8*(SUMIF($AD$3:$BA$3,"&lt;"&amp;$DF10,$B10:$Y10)+SUMIF($AD$3:$BA$3,"&gt;="&amp;$DG10,$B10:$Y10)),
IF(AW$3=$DF10+'Model Setup'!$G$7,SUMIF($AD$3:$BA$3,"="&amp;$DF10+'Model Setup'!$G$7,$B10:$Y10)+'Model Setup'!$G$8*(SUMIF($AD$3:$BA$3,"&lt;"&amp;$DF10,$B10:$Y10)+SUMIF($AD$3:$BA$3,"&gt;="&amp;$DG10,$B10:$Y10)),
IF(AW$3=$DF10+'Model Setup'!$H$7,SUMIF($AD$3:$BA$3,"="&amp;$DF10+'Model Setup'!$H$7,$B10:$Y10)+'Model Setup'!$H$8*(SUMIF($AD$3:$BA$3,"&lt;"&amp;$DF10,$B10:$Y10)+SUMIF($AD$3:$BA$3,"&gt;="&amp;$DG10,$B10:$Y10)),
IF(AW$3=$DF10+'Model Setup'!$I$7,SUMIF($AD$3:$BA$3,"="&amp;$DF10+'Model Setup'!$I$7,$B10:$Y10)+'Model Setup'!$I$8*(SUMIF($AD$3:$BA$3,"&lt;"&amp;$DF10,$B10:$Y10)+SUMIF($AD$3:$BA$3,"&gt;="&amp;$DG10,$B10:$Y10)),
IF(AW$3=$DF10+'Model Setup'!$J$7,SUMIF($AD$3:$BA$3,"="&amp;$DF10+'Model Setup'!$J$7,$B10:$Y10)+'Model Setup'!$J$8*(SUMIF($AD$3:$BA$3,"&lt;"&amp;$DF10,$B10:$Y10)+SUMIF($AD$3:$BA$3,"&gt;="&amp;$DG10,$B10:$Y10)),
IF(AW$3=$DF10+'Model Setup'!$K$7,SUMIF($AD$3:$BA$3,"="&amp;$DF10+'Model Setup'!$K$7,$B10:$Y10)+'Model Setup'!$K$8*(SUMIF($AD$3:$BA$3,"&lt;"&amp;$DF10,$B10:$Y10)+SUMIF($AD$3:$BA$3,"&gt;="&amp;$DG10,$B10:$Y10)),
IF(AW$3=$DF10+'Model Setup'!$L$7,SUMIF($AD$3:$BA$3,"="&amp;$DF10+'Model Setup'!$L$7,$B10:$Y10)+'Model Setup'!$L$8*(SUMIF($AD$3:$BA$3,"&lt;"&amp;$DF10,$B10:$Y10)+SUMIF($AD$3:$BA$3,"&gt;="&amp;$DG10,$B10:$Y10)),
IF(AW$3=$DF10+'Model Setup'!$M$7,SUMIF($AD$3:$BA$3,"="&amp;$DF10+'Model Setup'!$M$7,$B10:$Y10)+'Model Setup'!$M$8*(SUMIF($AD$3:$BA$3,"&lt;"&amp;$DF10,$B10:$Y10)+SUMIF($AD$3:$BA$3,"&gt;="&amp;$DG10,$B10:$Y10)),
IF(AW$3=$DF10+'Model Setup'!$N$7,SUMIF($AD$3:$BA$3,"="&amp;$DF10+'Model Setup'!$N$7,$B10:$Y10)+'Model Setup'!$N$8*(SUMIF($AD$3:$BA$3,"&lt;"&amp;$DF10,$B10:$Y10)+SUMIF($AD$3:$BA$3,"&gt;="&amp;$DG10,$B10:$Y10)),
IF(AW$3&lt;$DG10,U10,0))))))))))))))),0)</f>
        <v>46</v>
      </c>
      <c r="AX10" s="47">
        <f>ROUND(IF(AX$3&lt;$DF10,0,
IF(AX$3=$DF10+'Model Setup'!$B$7,SUMIF($AD$3:$BA$3,"="&amp;$DF10+'Model Setup'!$B$7,$B10:$Y10)+'Model Setup'!$B$8*(SUMIF($AD$3:$BA$3,"&lt;"&amp;$DF10,$B10:$Y10)+SUMIF($AD$3:$BA$3,"&gt;="&amp;$DG10,$B10:$Y10)),
IF(AX$3=$DF10+'Model Setup'!$C$7,SUMIF($AD$3:$BA$3,"="&amp;$DF10+'Model Setup'!$C$7,$B10:$Y10)+'Model Setup'!$C$8*(SUMIF($AD$3:$BA$3,"&lt;"&amp;$DF10,$B10:$Y10)+SUMIF($AD$3:$BA$3,"&gt;="&amp;$DG10,$B10:$Y10)),
IF(AX$3=$DF10+'Model Setup'!$D$7,SUMIF($AD$3:$BA$3,"="&amp;$DF10+'Model Setup'!$D$7,$B10:$Y10)+'Model Setup'!$D$8*(SUMIF($AD$3:$BA$3,"&lt;"&amp;$DF10,$B10:$Y10)+SUMIF($AD$3:$BA$3,"&gt;="&amp;$DG10,$B10:$Y10)),
IF(AX$3=$DF10+'Model Setup'!$E$7,SUMIF($AD$3:$BA$3,"="&amp;$DF10+'Model Setup'!$E$7,$B10:$Y10)+'Model Setup'!$E$8*(SUMIF($AD$3:$BA$3,"&lt;"&amp;$DF10,$B10:$Y10)+SUMIF($AD$3:$BA$3,"&gt;="&amp;$DG10,$B10:$Y10)),
IF(AX$3=$DF10+'Model Setup'!$F$7,SUMIF($AD$3:$BA$3,"="&amp;$DF10+'Model Setup'!$F$7,$B10:$Y10)+'Model Setup'!$F$8*(SUMIF($AD$3:$BA$3,"&lt;"&amp;$DF10,$B10:$Y10)+SUMIF($AD$3:$BA$3,"&gt;="&amp;$DG10,$B10:$Y10)),
IF(AX$3=$DF10+'Model Setup'!$G$7,SUMIF($AD$3:$BA$3,"="&amp;$DF10+'Model Setup'!$G$7,$B10:$Y10)+'Model Setup'!$G$8*(SUMIF($AD$3:$BA$3,"&lt;"&amp;$DF10,$B10:$Y10)+SUMIF($AD$3:$BA$3,"&gt;="&amp;$DG10,$B10:$Y10)),
IF(AX$3=$DF10+'Model Setup'!$H$7,SUMIF($AD$3:$BA$3,"="&amp;$DF10+'Model Setup'!$H$7,$B10:$Y10)+'Model Setup'!$H$8*(SUMIF($AD$3:$BA$3,"&lt;"&amp;$DF10,$B10:$Y10)+SUMIF($AD$3:$BA$3,"&gt;="&amp;$DG10,$B10:$Y10)),
IF(AX$3=$DF10+'Model Setup'!$I$7,SUMIF($AD$3:$BA$3,"="&amp;$DF10+'Model Setup'!$I$7,$B10:$Y10)+'Model Setup'!$I$8*(SUMIF($AD$3:$BA$3,"&lt;"&amp;$DF10,$B10:$Y10)+SUMIF($AD$3:$BA$3,"&gt;="&amp;$DG10,$B10:$Y10)),
IF(AX$3=$DF10+'Model Setup'!$J$7,SUMIF($AD$3:$BA$3,"="&amp;$DF10+'Model Setup'!$J$7,$B10:$Y10)+'Model Setup'!$J$8*(SUMIF($AD$3:$BA$3,"&lt;"&amp;$DF10,$B10:$Y10)+SUMIF($AD$3:$BA$3,"&gt;="&amp;$DG10,$B10:$Y10)),
IF(AX$3=$DF10+'Model Setup'!$K$7,SUMIF($AD$3:$BA$3,"="&amp;$DF10+'Model Setup'!$K$7,$B10:$Y10)+'Model Setup'!$K$8*(SUMIF($AD$3:$BA$3,"&lt;"&amp;$DF10,$B10:$Y10)+SUMIF($AD$3:$BA$3,"&gt;="&amp;$DG10,$B10:$Y10)),
IF(AX$3=$DF10+'Model Setup'!$L$7,SUMIF($AD$3:$BA$3,"="&amp;$DF10+'Model Setup'!$L$7,$B10:$Y10)+'Model Setup'!$L$8*(SUMIF($AD$3:$BA$3,"&lt;"&amp;$DF10,$B10:$Y10)+SUMIF($AD$3:$BA$3,"&gt;="&amp;$DG10,$B10:$Y10)),
IF(AX$3=$DF10+'Model Setup'!$M$7,SUMIF($AD$3:$BA$3,"="&amp;$DF10+'Model Setup'!$M$7,$B10:$Y10)+'Model Setup'!$M$8*(SUMIF($AD$3:$BA$3,"&lt;"&amp;$DF10,$B10:$Y10)+SUMIF($AD$3:$BA$3,"&gt;="&amp;$DG10,$B10:$Y10)),
IF(AX$3=$DF10+'Model Setup'!$N$7,SUMIF($AD$3:$BA$3,"="&amp;$DF10+'Model Setup'!$N$7,$B10:$Y10)+'Model Setup'!$N$8*(SUMIF($AD$3:$BA$3,"&lt;"&amp;$DF10,$B10:$Y10)+SUMIF($AD$3:$BA$3,"&gt;="&amp;$DG10,$B10:$Y10)),
IF(AX$3&lt;$DG10,V10,0))))))))))))))),0)</f>
        <v>0</v>
      </c>
      <c r="AY10" s="47">
        <f>ROUND(IF(AY$3&lt;$DF10,0,
IF(AY$3=$DF10+'Model Setup'!$B$7,SUMIF($AD$3:$BA$3,"="&amp;$DF10+'Model Setup'!$B$7,$B10:$Y10)+'Model Setup'!$B$8*(SUMIF($AD$3:$BA$3,"&lt;"&amp;$DF10,$B10:$Y10)+SUMIF($AD$3:$BA$3,"&gt;="&amp;$DG10,$B10:$Y10)),
IF(AY$3=$DF10+'Model Setup'!$C$7,SUMIF($AD$3:$BA$3,"="&amp;$DF10+'Model Setup'!$C$7,$B10:$Y10)+'Model Setup'!$C$8*(SUMIF($AD$3:$BA$3,"&lt;"&amp;$DF10,$B10:$Y10)+SUMIF($AD$3:$BA$3,"&gt;="&amp;$DG10,$B10:$Y10)),
IF(AY$3=$DF10+'Model Setup'!$D$7,SUMIF($AD$3:$BA$3,"="&amp;$DF10+'Model Setup'!$D$7,$B10:$Y10)+'Model Setup'!$D$8*(SUMIF($AD$3:$BA$3,"&lt;"&amp;$DF10,$B10:$Y10)+SUMIF($AD$3:$BA$3,"&gt;="&amp;$DG10,$B10:$Y10)),
IF(AY$3=$DF10+'Model Setup'!$E$7,SUMIF($AD$3:$BA$3,"="&amp;$DF10+'Model Setup'!$E$7,$B10:$Y10)+'Model Setup'!$E$8*(SUMIF($AD$3:$BA$3,"&lt;"&amp;$DF10,$B10:$Y10)+SUMIF($AD$3:$BA$3,"&gt;="&amp;$DG10,$B10:$Y10)),
IF(AY$3=$DF10+'Model Setup'!$F$7,SUMIF($AD$3:$BA$3,"="&amp;$DF10+'Model Setup'!$F$7,$B10:$Y10)+'Model Setup'!$F$8*(SUMIF($AD$3:$BA$3,"&lt;"&amp;$DF10,$B10:$Y10)+SUMIF($AD$3:$BA$3,"&gt;="&amp;$DG10,$B10:$Y10)),
IF(AY$3=$DF10+'Model Setup'!$G$7,SUMIF($AD$3:$BA$3,"="&amp;$DF10+'Model Setup'!$G$7,$B10:$Y10)+'Model Setup'!$G$8*(SUMIF($AD$3:$BA$3,"&lt;"&amp;$DF10,$B10:$Y10)+SUMIF($AD$3:$BA$3,"&gt;="&amp;$DG10,$B10:$Y10)),
IF(AY$3=$DF10+'Model Setup'!$H$7,SUMIF($AD$3:$BA$3,"="&amp;$DF10+'Model Setup'!$H$7,$B10:$Y10)+'Model Setup'!$H$8*(SUMIF($AD$3:$BA$3,"&lt;"&amp;$DF10,$B10:$Y10)+SUMIF($AD$3:$BA$3,"&gt;="&amp;$DG10,$B10:$Y10)),
IF(AY$3=$DF10+'Model Setup'!$I$7,SUMIF($AD$3:$BA$3,"="&amp;$DF10+'Model Setup'!$I$7,$B10:$Y10)+'Model Setup'!$I$8*(SUMIF($AD$3:$BA$3,"&lt;"&amp;$DF10,$B10:$Y10)+SUMIF($AD$3:$BA$3,"&gt;="&amp;$DG10,$B10:$Y10)),
IF(AY$3=$DF10+'Model Setup'!$J$7,SUMIF($AD$3:$BA$3,"="&amp;$DF10+'Model Setup'!$J$7,$B10:$Y10)+'Model Setup'!$J$8*(SUMIF($AD$3:$BA$3,"&lt;"&amp;$DF10,$B10:$Y10)+SUMIF($AD$3:$BA$3,"&gt;="&amp;$DG10,$B10:$Y10)),
IF(AY$3=$DF10+'Model Setup'!$K$7,SUMIF($AD$3:$BA$3,"="&amp;$DF10+'Model Setup'!$K$7,$B10:$Y10)+'Model Setup'!$K$8*(SUMIF($AD$3:$BA$3,"&lt;"&amp;$DF10,$B10:$Y10)+SUMIF($AD$3:$BA$3,"&gt;="&amp;$DG10,$B10:$Y10)),
IF(AY$3=$DF10+'Model Setup'!$L$7,SUMIF($AD$3:$BA$3,"="&amp;$DF10+'Model Setup'!$L$7,$B10:$Y10)+'Model Setup'!$L$8*(SUMIF($AD$3:$BA$3,"&lt;"&amp;$DF10,$B10:$Y10)+SUMIF($AD$3:$BA$3,"&gt;="&amp;$DG10,$B10:$Y10)),
IF(AY$3=$DF10+'Model Setup'!$M$7,SUMIF($AD$3:$BA$3,"="&amp;$DF10+'Model Setup'!$M$7,$B10:$Y10)+'Model Setup'!$M$8*(SUMIF($AD$3:$BA$3,"&lt;"&amp;$DF10,$B10:$Y10)+SUMIF($AD$3:$BA$3,"&gt;="&amp;$DG10,$B10:$Y10)),
IF(AY$3=$DF10+'Model Setup'!$N$7,SUMIF($AD$3:$BA$3,"="&amp;$DF10+'Model Setup'!$N$7,$B10:$Y10)+'Model Setup'!$N$8*(SUMIF($AD$3:$BA$3,"&lt;"&amp;$DF10,$B10:$Y10)+SUMIF($AD$3:$BA$3,"&gt;="&amp;$DG10,$B10:$Y10)),
IF(AY$3&lt;$DG10,W10,0))))))))))))))),0)</f>
        <v>0</v>
      </c>
      <c r="AZ10" s="47">
        <f>ROUND(IF(AZ$3&lt;$DF10,0,
IF(AZ$3=$DF10+'Model Setup'!$B$7,SUMIF($AD$3:$BA$3,"="&amp;$DF10+'Model Setup'!$B$7,$B10:$Y10)+'Model Setup'!$B$8*(SUMIF($AD$3:$BA$3,"&lt;"&amp;$DF10,$B10:$Y10)+SUMIF($AD$3:$BA$3,"&gt;="&amp;$DG10,$B10:$Y10)),
IF(AZ$3=$DF10+'Model Setup'!$C$7,SUMIF($AD$3:$BA$3,"="&amp;$DF10+'Model Setup'!$C$7,$B10:$Y10)+'Model Setup'!$C$8*(SUMIF($AD$3:$BA$3,"&lt;"&amp;$DF10,$B10:$Y10)+SUMIF($AD$3:$BA$3,"&gt;="&amp;$DG10,$B10:$Y10)),
IF(AZ$3=$DF10+'Model Setup'!$D$7,SUMIF($AD$3:$BA$3,"="&amp;$DF10+'Model Setup'!$D$7,$B10:$Y10)+'Model Setup'!$D$8*(SUMIF($AD$3:$BA$3,"&lt;"&amp;$DF10,$B10:$Y10)+SUMIF($AD$3:$BA$3,"&gt;="&amp;$DG10,$B10:$Y10)),
IF(AZ$3=$DF10+'Model Setup'!$E$7,SUMIF($AD$3:$BA$3,"="&amp;$DF10+'Model Setup'!$E$7,$B10:$Y10)+'Model Setup'!$E$8*(SUMIF($AD$3:$BA$3,"&lt;"&amp;$DF10,$B10:$Y10)+SUMIF($AD$3:$BA$3,"&gt;="&amp;$DG10,$B10:$Y10)),
IF(AZ$3=$DF10+'Model Setup'!$F$7,SUMIF($AD$3:$BA$3,"="&amp;$DF10+'Model Setup'!$F$7,$B10:$Y10)+'Model Setup'!$F$8*(SUMIF($AD$3:$BA$3,"&lt;"&amp;$DF10,$B10:$Y10)+SUMIF($AD$3:$BA$3,"&gt;="&amp;$DG10,$B10:$Y10)),
IF(AZ$3=$DF10+'Model Setup'!$G$7,SUMIF($AD$3:$BA$3,"="&amp;$DF10+'Model Setup'!$G$7,$B10:$Y10)+'Model Setup'!$G$8*(SUMIF($AD$3:$BA$3,"&lt;"&amp;$DF10,$B10:$Y10)+SUMIF($AD$3:$BA$3,"&gt;="&amp;$DG10,$B10:$Y10)),
IF(AZ$3=$DF10+'Model Setup'!$H$7,SUMIF($AD$3:$BA$3,"="&amp;$DF10+'Model Setup'!$H$7,$B10:$Y10)+'Model Setup'!$H$8*(SUMIF($AD$3:$BA$3,"&lt;"&amp;$DF10,$B10:$Y10)+SUMIF($AD$3:$BA$3,"&gt;="&amp;$DG10,$B10:$Y10)),
IF(AZ$3=$DF10+'Model Setup'!$I$7,SUMIF($AD$3:$BA$3,"="&amp;$DF10+'Model Setup'!$I$7,$B10:$Y10)+'Model Setup'!$I$8*(SUMIF($AD$3:$BA$3,"&lt;"&amp;$DF10,$B10:$Y10)+SUMIF($AD$3:$BA$3,"&gt;="&amp;$DG10,$B10:$Y10)),
IF(AZ$3=$DF10+'Model Setup'!$J$7,SUMIF($AD$3:$BA$3,"="&amp;$DF10+'Model Setup'!$J$7,$B10:$Y10)+'Model Setup'!$J$8*(SUMIF($AD$3:$BA$3,"&lt;"&amp;$DF10,$B10:$Y10)+SUMIF($AD$3:$BA$3,"&gt;="&amp;$DG10,$B10:$Y10)),
IF(AZ$3=$DF10+'Model Setup'!$K$7,SUMIF($AD$3:$BA$3,"="&amp;$DF10+'Model Setup'!$K$7,$B10:$Y10)+'Model Setup'!$K$8*(SUMIF($AD$3:$BA$3,"&lt;"&amp;$DF10,$B10:$Y10)+SUMIF($AD$3:$BA$3,"&gt;="&amp;$DG10,$B10:$Y10)),
IF(AZ$3=$DF10+'Model Setup'!$L$7,SUMIF($AD$3:$BA$3,"="&amp;$DF10+'Model Setup'!$L$7,$B10:$Y10)+'Model Setup'!$L$8*(SUMIF($AD$3:$BA$3,"&lt;"&amp;$DF10,$B10:$Y10)+SUMIF($AD$3:$BA$3,"&gt;="&amp;$DG10,$B10:$Y10)),
IF(AZ$3=$DF10+'Model Setup'!$M$7,SUMIF($AD$3:$BA$3,"="&amp;$DF10+'Model Setup'!$M$7,$B10:$Y10)+'Model Setup'!$M$8*(SUMIF($AD$3:$BA$3,"&lt;"&amp;$DF10,$B10:$Y10)+SUMIF($AD$3:$BA$3,"&gt;="&amp;$DG10,$B10:$Y10)),
IF(AZ$3=$DF10+'Model Setup'!$N$7,SUMIF($AD$3:$BA$3,"="&amp;$DF10+'Model Setup'!$N$7,$B10:$Y10)+'Model Setup'!$N$8*(SUMIF($AD$3:$BA$3,"&lt;"&amp;$DF10,$B10:$Y10)+SUMIF($AD$3:$BA$3,"&gt;="&amp;$DG10,$B10:$Y10)),
IF(AZ$3&lt;$DG10,X10,0))))))))))))))),0)</f>
        <v>0</v>
      </c>
      <c r="BA10" s="47">
        <f>ROUND(IF(BA$3&lt;$DF10,0,
IF(BA$3=$DF10+'Model Setup'!$B$7,SUMIF($AD$3:$BA$3,"="&amp;$DF10+'Model Setup'!$B$7,$B10:$Y10)+'Model Setup'!$B$8*(SUMIF($AD$3:$BA$3,"&lt;"&amp;$DF10,$B10:$Y10)+SUMIF($AD$3:$BA$3,"&gt;="&amp;$DG10,$B10:$Y10)),
IF(BA$3=$DF10+'Model Setup'!$C$7,SUMIF($AD$3:$BA$3,"="&amp;$DF10+'Model Setup'!$C$7,$B10:$Y10)+'Model Setup'!$C$8*(SUMIF($AD$3:$BA$3,"&lt;"&amp;$DF10,$B10:$Y10)+SUMIF($AD$3:$BA$3,"&gt;="&amp;$DG10,$B10:$Y10)),
IF(BA$3=$DF10+'Model Setup'!$D$7,SUMIF($AD$3:$BA$3,"="&amp;$DF10+'Model Setup'!$D$7,$B10:$Y10)+'Model Setup'!$D$8*(SUMIF($AD$3:$BA$3,"&lt;"&amp;$DF10,$B10:$Y10)+SUMIF($AD$3:$BA$3,"&gt;="&amp;$DG10,$B10:$Y10)),
IF(BA$3=$DF10+'Model Setup'!$E$7,SUMIF($AD$3:$BA$3,"="&amp;$DF10+'Model Setup'!$E$7,$B10:$Y10)+'Model Setup'!$E$8*(SUMIF($AD$3:$BA$3,"&lt;"&amp;$DF10,$B10:$Y10)+SUMIF($AD$3:$BA$3,"&gt;="&amp;$DG10,$B10:$Y10)),
IF(BA$3=$DF10+'Model Setup'!$F$7,SUMIF($AD$3:$BA$3,"="&amp;$DF10+'Model Setup'!$F$7,$B10:$Y10)+'Model Setup'!$F$8*(SUMIF($AD$3:$BA$3,"&lt;"&amp;$DF10,$B10:$Y10)+SUMIF($AD$3:$BA$3,"&gt;="&amp;$DG10,$B10:$Y10)),
IF(BA$3=$DF10+'Model Setup'!$G$7,SUMIF($AD$3:$BA$3,"="&amp;$DF10+'Model Setup'!$G$7,$B10:$Y10)+'Model Setup'!$G$8*(SUMIF($AD$3:$BA$3,"&lt;"&amp;$DF10,$B10:$Y10)+SUMIF($AD$3:$BA$3,"&gt;="&amp;$DG10,$B10:$Y10)),
IF(BA$3=$DF10+'Model Setup'!$H$7,SUMIF($AD$3:$BA$3,"="&amp;$DF10+'Model Setup'!$H$7,$B10:$Y10)+'Model Setup'!$H$8*(SUMIF($AD$3:$BA$3,"&lt;"&amp;$DF10,$B10:$Y10)+SUMIF($AD$3:$BA$3,"&gt;="&amp;$DG10,$B10:$Y10)),
IF(BA$3=$DF10+'Model Setup'!$I$7,SUMIF($AD$3:$BA$3,"="&amp;$DF10+'Model Setup'!$I$7,$B10:$Y10)+'Model Setup'!$I$8*(SUMIF($AD$3:$BA$3,"&lt;"&amp;$DF10,$B10:$Y10)+SUMIF($AD$3:$BA$3,"&gt;="&amp;$DG10,$B10:$Y10)),
IF(BA$3=$DF10+'Model Setup'!$J$7,SUMIF($AD$3:$BA$3,"="&amp;$DF10+'Model Setup'!$J$7,$B10:$Y10)+'Model Setup'!$J$8*(SUMIF($AD$3:$BA$3,"&lt;"&amp;$DF10,$B10:$Y10)+SUMIF($AD$3:$BA$3,"&gt;="&amp;$DG10,$B10:$Y10)),
IF(BA$3=$DF10+'Model Setup'!$K$7,SUMIF($AD$3:$BA$3,"="&amp;$DF10+'Model Setup'!$K$7,$B10:$Y10)+'Model Setup'!$K$8*(SUMIF($AD$3:$BA$3,"&lt;"&amp;$DF10,$B10:$Y10)+SUMIF($AD$3:$BA$3,"&gt;="&amp;$DG10,$B10:$Y10)),
IF(BA$3=$DF10+'Model Setup'!$L$7,SUMIF($AD$3:$BA$3,"="&amp;$DF10+'Model Setup'!$L$7,$B10:$Y10)+'Model Setup'!$L$8*(SUMIF($AD$3:$BA$3,"&lt;"&amp;$DF10,$B10:$Y10)+SUMIF($AD$3:$BA$3,"&gt;="&amp;$DG10,$B10:$Y10)),
IF(BA$3=$DF10+'Model Setup'!$M$7,SUMIF($AD$3:$BA$3,"="&amp;$DF10+'Model Setup'!$M$7,$B10:$Y10)+'Model Setup'!$M$8*(SUMIF($AD$3:$BA$3,"&lt;"&amp;$DF10,$B10:$Y10)+SUMIF($AD$3:$BA$3,"&gt;="&amp;$DG10,$B10:$Y10)),
IF(BA$3=$DF10+'Model Setup'!$N$7,SUMIF($AD$3:$BA$3,"="&amp;$DF10+'Model Setup'!$N$7,$B10:$Y10)+'Model Setup'!$N$8*(SUMIF($AD$3:$BA$3,"&lt;"&amp;$DF10,$B10:$Y10)+SUMIF($AD$3:$BA$3,"&gt;="&amp;$DG10,$B10:$Y10)),
IF(BA$3&lt;$DG10,Y10,0))))))))))))))),0)</f>
        <v>0</v>
      </c>
      <c r="BB10" s="47">
        <f t="shared" si="1"/>
        <v>894</v>
      </c>
      <c r="BD10" t="b">
        <f t="shared" si="2"/>
        <v>0</v>
      </c>
      <c r="BE10">
        <f t="shared" si="8"/>
        <v>1</v>
      </c>
      <c r="BF10">
        <f>(FTC!F8-FTC!E8)*24</f>
        <v>13.000000000000002</v>
      </c>
      <c r="BG10" s="43" t="s">
        <v>25</v>
      </c>
      <c r="BH10" s="47">
        <f>ROUND(IF(OR(BH$3&lt;$DF10,BH$3&gt;$CW$4),0,
IF(BH$3=$DF10+'Model Setup'!$B$7,SUMIF($BH$3:$CE$3,"="&amp;$DF10+'Model Setup'!$B$7,$AD10:$BA10)+'Model Setup'!$B$8*(SUMIF($BH$3:$CE$3,"&lt;"&amp;$DF10,$AD10:$BA10)+SUMIF($BH$3:$CE$3,"&gt;"&amp;$CW$4,$AD10:$BA10)),
IF(BH$3=$DF10+'Model Setup'!$C$7,SUMIF($BH$3:$CE$3,"="&amp;$DF10+'Model Setup'!$C$7,$AD10:$BA10)+'Model Setup'!$C$8*(SUMIF($BH$3:$CE$3,"&lt;"&amp;$DF10,$AD10:$BA10)+SUMIF($BH$3:$CE$3,"&gt;"&amp;$CW$4,$AD10:$BA10)),
IF(BH$3=$DF10+'Model Setup'!$D$7,SUMIF($BH$3:$CE$3,"="&amp;$DF10+'Model Setup'!$D$7,$AD10:$BA10)+'Model Setup'!$D$8*(SUMIF($BH$3:$CE$3,"&lt;"&amp;$DF10,$AD10:$BA10)+SUMIF($BH$3:$CE$3,"&gt;"&amp;$CW$4,$AD10:$BA10)),
IF(BH$3=$DF10+'Model Setup'!$E$7,SUMIF($BH$3:$CE$3,"="&amp;$DF10+'Model Setup'!$E$7,$AD10:$BA10)+'Model Setup'!$E$8*(SUMIF($BH$3:$CE$3,"&lt;"&amp;$DF10,$AD10:$BA10)+SUMIF($BH$3:$CE$3,"&gt;"&amp;$CW$4,$AD10:$BA10)),
IF(BH$3=$DF10+'Model Setup'!$F$7,SUMIF($BH$3:$CE$3,"="&amp;$DF10+'Model Setup'!$F$7,$AD10:$BA10)+'Model Setup'!$F$8*(SUMIF($BH$3:$CE$3,"&lt;"&amp;$DF10,$AD10:$BA10)+SUMIF($BH$3:$CE$3,"&gt;"&amp;$CW$4,$AD10:$BA10)),
IF(BH$3=$DF10+'Model Setup'!$G$7,SUMIF($BH$3:$CE$3,"="&amp;$DF10+'Model Setup'!$G$7,$AD10:$BA10)+'Model Setup'!$G$8*(SUMIF($BH$3:$CE$3,"&lt;"&amp;$DF10,$AD10:$BA10)+SUMIF($BH$3:$CE$3,"&gt;"&amp;$CW$4,$AD10:$BA10)),
IF(BH$3=$DF10+'Model Setup'!$H$7,SUMIF($BH$3:$CE$3,"="&amp;$DF10+'Model Setup'!$H$7,$AD10:$BA10)+'Model Setup'!$H$8*(SUMIF($BH$3:$CE$3,"&lt;"&amp;$DF10,$AD10:$BA10)+SUMIF($BH$3:$CE$3,"&gt;"&amp;$CW$4,$AD10:$BA10)),
IF(BH$3=$DF10+'Model Setup'!$I$7,SUMIF($BH$3:$CE$3,"="&amp;$DF10+'Model Setup'!$I$7,$AD10:$BA10)+'Model Setup'!$I$8*(SUMIF($BH$3:$CE$3,"&lt;"&amp;$DF10,$AD10:$BA10)+SUMIF($BH$3:$CE$3,"&gt;"&amp;$CW$4,$AD10:$BA10)),
IF(BH$3=$DF10+'Model Setup'!$J$7,SUMIF($BH$3:$CE$3,"="&amp;$DF10+'Model Setup'!$J$7,$AD10:$BA10)+'Model Setup'!$J$8*(SUMIF($BH$3:$CE$3,"&lt;"&amp;$DF10,$AD10:$BA10)+SUMIF($BH$3:$CE$3,"&gt;"&amp;$CW$4,$AD10:$BA10)),
IF(BH$3=$DF10+'Model Setup'!$K$7,SUMIF($BH$3:$CE$3,"="&amp;$DF10+'Model Setup'!$K$7,$AD10:$BA10)+'Model Setup'!$K$8*(SUMIF($BH$3:$CE$3,"&lt;"&amp;$DF10,$AD10:$BA10)+SUMIF($BH$3:$CE$3,"&gt;"&amp;$CW$4,$AD10:$BA10)),
IF(BH$3=$DF10+'Model Setup'!$L$7,SUMIF($BH$3:$CE$3,"="&amp;$DF10+'Model Setup'!$L$7,$AD10:$BA10)+'Model Setup'!$L$8*(SUMIF($BH$3:$CE$3,"&lt;"&amp;$DF10,$AD10:$BA10)+SUMIF($BH$3:$CE$3,"&gt;"&amp;$CW$4,$AD10:$BA10)),
IF(BH$3=$DF10+'Model Setup'!$M$7,SUMIF($BH$3:$CE$3,"="&amp;$DF10+'Model Setup'!$M$7,$AD10:$BA10)+'Model Setup'!$M$8*(SUMIF($BH$3:$CE$3,"&lt;"&amp;$DF10,$AD10:$BA10)+SUMIF($BH$3:$CE$3,"&gt;"&amp;$CW$4,$AD10:$BA10)),
IF(BH$3=$DF10+'Model Setup'!$N$7,SUMIF($BH$3:$CE$3,"="&amp;$DF10+'Model Setup'!$N$7,$AD10:$BA10)+'Model Setup'!$N$8*(SUMIF($BH$3:$CE$3,"&lt;"&amp;$DF10,$AD10:$BA10)+SUMIF($BH$3:$CE$3,"&gt;"&amp;$CW$4,$AD10:$BA10)),
IF(BH$3&lt;$CW$4,B10,0))))))))))))))),0)</f>
        <v>0</v>
      </c>
      <c r="BI10" s="47">
        <f>ROUND(IF(OR(BI$3&lt;$DF10,BI$3&gt;$CW$4),0,
IF(BI$3=$DF10+'Model Setup'!$B$7,SUMIF($BH$3:$CE$3,"="&amp;$DF10+'Model Setup'!$B$7,$AD10:$BA10)+'Model Setup'!$B$8*(SUMIF($BH$3:$CE$3,"&lt;"&amp;$DF10,$AD10:$BA10)+SUMIF($BH$3:$CE$3,"&gt;"&amp;$CW$4,$AD10:$BA10)),
IF(BI$3=$DF10+'Model Setup'!$C$7,SUMIF($BH$3:$CE$3,"="&amp;$DF10+'Model Setup'!$C$7,$AD10:$BA10)+'Model Setup'!$C$8*(SUMIF($BH$3:$CE$3,"&lt;"&amp;$DF10,$AD10:$BA10)+SUMIF($BH$3:$CE$3,"&gt;"&amp;$CW$4,$AD10:$BA10)),
IF(BI$3=$DF10+'Model Setup'!$D$7,SUMIF($BH$3:$CE$3,"="&amp;$DF10+'Model Setup'!$D$7,$AD10:$BA10)+'Model Setup'!$D$8*(SUMIF($BH$3:$CE$3,"&lt;"&amp;$DF10,$AD10:$BA10)+SUMIF($BH$3:$CE$3,"&gt;"&amp;$CW$4,$AD10:$BA10)),
IF(BI$3=$DF10+'Model Setup'!$E$7,SUMIF($BH$3:$CE$3,"="&amp;$DF10+'Model Setup'!$E$7,$AD10:$BA10)+'Model Setup'!$E$8*(SUMIF($BH$3:$CE$3,"&lt;"&amp;$DF10,$AD10:$BA10)+SUMIF($BH$3:$CE$3,"&gt;"&amp;$CW$4,$AD10:$BA10)),
IF(BI$3=$DF10+'Model Setup'!$F$7,SUMIF($BH$3:$CE$3,"="&amp;$DF10+'Model Setup'!$F$7,$AD10:$BA10)+'Model Setup'!$F$8*(SUMIF($BH$3:$CE$3,"&lt;"&amp;$DF10,$AD10:$BA10)+SUMIF($BH$3:$CE$3,"&gt;"&amp;$CW$4,$AD10:$BA10)),
IF(BI$3=$DF10+'Model Setup'!$G$7,SUMIF($BH$3:$CE$3,"="&amp;$DF10+'Model Setup'!$G$7,$AD10:$BA10)+'Model Setup'!$G$8*(SUMIF($BH$3:$CE$3,"&lt;"&amp;$DF10,$AD10:$BA10)+SUMIF($BH$3:$CE$3,"&gt;"&amp;$CW$4,$AD10:$BA10)),
IF(BI$3=$DF10+'Model Setup'!$H$7,SUMIF($BH$3:$CE$3,"="&amp;$DF10+'Model Setup'!$H$7,$AD10:$BA10)+'Model Setup'!$H$8*(SUMIF($BH$3:$CE$3,"&lt;"&amp;$DF10,$AD10:$BA10)+SUMIF($BH$3:$CE$3,"&gt;"&amp;$CW$4,$AD10:$BA10)),
IF(BI$3=$DF10+'Model Setup'!$I$7,SUMIF($BH$3:$CE$3,"="&amp;$DF10+'Model Setup'!$I$7,$AD10:$BA10)+'Model Setup'!$I$8*(SUMIF($BH$3:$CE$3,"&lt;"&amp;$DF10,$AD10:$BA10)+SUMIF($BH$3:$CE$3,"&gt;"&amp;$CW$4,$AD10:$BA10)),
IF(BI$3=$DF10+'Model Setup'!$J$7,SUMIF($BH$3:$CE$3,"="&amp;$DF10+'Model Setup'!$J$7,$AD10:$BA10)+'Model Setup'!$J$8*(SUMIF($BH$3:$CE$3,"&lt;"&amp;$DF10,$AD10:$BA10)+SUMIF($BH$3:$CE$3,"&gt;"&amp;$CW$4,$AD10:$BA10)),
IF(BI$3=$DF10+'Model Setup'!$K$7,SUMIF($BH$3:$CE$3,"="&amp;$DF10+'Model Setup'!$K$7,$AD10:$BA10)+'Model Setup'!$K$8*(SUMIF($BH$3:$CE$3,"&lt;"&amp;$DF10,$AD10:$BA10)+SUMIF($BH$3:$CE$3,"&gt;"&amp;$CW$4,$AD10:$BA10)),
IF(BI$3=$DF10+'Model Setup'!$L$7,SUMIF($BH$3:$CE$3,"="&amp;$DF10+'Model Setup'!$L$7,$AD10:$BA10)+'Model Setup'!$L$8*(SUMIF($BH$3:$CE$3,"&lt;"&amp;$DF10,$AD10:$BA10)+SUMIF($BH$3:$CE$3,"&gt;"&amp;$CW$4,$AD10:$BA10)),
IF(BI$3=$DF10+'Model Setup'!$M$7,SUMIF($BH$3:$CE$3,"="&amp;$DF10+'Model Setup'!$M$7,$AD10:$BA10)+'Model Setup'!$M$8*(SUMIF($BH$3:$CE$3,"&lt;"&amp;$DF10,$AD10:$BA10)+SUMIF($BH$3:$CE$3,"&gt;"&amp;$CW$4,$AD10:$BA10)),
IF(BI$3=$DF10+'Model Setup'!$N$7,SUMIF($BH$3:$CE$3,"="&amp;$DF10+'Model Setup'!$N$7,$AD10:$BA10)+'Model Setup'!$N$8*(SUMIF($BH$3:$CE$3,"&lt;"&amp;$DF10,$AD10:$BA10)+SUMIF($BH$3:$CE$3,"&gt;"&amp;$CW$4,$AD10:$BA10)),
IF(BI$3&lt;$CW$4,C10,0))))))))))))))),0)</f>
        <v>0</v>
      </c>
      <c r="BJ10" s="47">
        <f>ROUND(IF(OR(BJ$3&lt;$DF10,BJ$3&gt;$CW$4),0,
IF(BJ$3=$DF10+'Model Setup'!$B$7,SUMIF($BH$3:$CE$3,"="&amp;$DF10+'Model Setup'!$B$7,$AD10:$BA10)+'Model Setup'!$B$8*(SUMIF($BH$3:$CE$3,"&lt;"&amp;$DF10,$AD10:$BA10)+SUMIF($BH$3:$CE$3,"&gt;"&amp;$CW$4,$AD10:$BA10)),
IF(BJ$3=$DF10+'Model Setup'!$C$7,SUMIF($BH$3:$CE$3,"="&amp;$DF10+'Model Setup'!$C$7,$AD10:$BA10)+'Model Setup'!$C$8*(SUMIF($BH$3:$CE$3,"&lt;"&amp;$DF10,$AD10:$BA10)+SUMIF($BH$3:$CE$3,"&gt;"&amp;$CW$4,$AD10:$BA10)),
IF(BJ$3=$DF10+'Model Setup'!$D$7,SUMIF($BH$3:$CE$3,"="&amp;$DF10+'Model Setup'!$D$7,$AD10:$BA10)+'Model Setup'!$D$8*(SUMIF($BH$3:$CE$3,"&lt;"&amp;$DF10,$AD10:$BA10)+SUMIF($BH$3:$CE$3,"&gt;"&amp;$CW$4,$AD10:$BA10)),
IF(BJ$3=$DF10+'Model Setup'!$E$7,SUMIF($BH$3:$CE$3,"="&amp;$DF10+'Model Setup'!$E$7,$AD10:$BA10)+'Model Setup'!$E$8*(SUMIF($BH$3:$CE$3,"&lt;"&amp;$DF10,$AD10:$BA10)+SUMIF($BH$3:$CE$3,"&gt;"&amp;$CW$4,$AD10:$BA10)),
IF(BJ$3=$DF10+'Model Setup'!$F$7,SUMIF($BH$3:$CE$3,"="&amp;$DF10+'Model Setup'!$F$7,$AD10:$BA10)+'Model Setup'!$F$8*(SUMIF($BH$3:$CE$3,"&lt;"&amp;$DF10,$AD10:$BA10)+SUMIF($BH$3:$CE$3,"&gt;"&amp;$CW$4,$AD10:$BA10)),
IF(BJ$3=$DF10+'Model Setup'!$G$7,SUMIF($BH$3:$CE$3,"="&amp;$DF10+'Model Setup'!$G$7,$AD10:$BA10)+'Model Setup'!$G$8*(SUMIF($BH$3:$CE$3,"&lt;"&amp;$DF10,$AD10:$BA10)+SUMIF($BH$3:$CE$3,"&gt;"&amp;$CW$4,$AD10:$BA10)),
IF(BJ$3=$DF10+'Model Setup'!$H$7,SUMIF($BH$3:$CE$3,"="&amp;$DF10+'Model Setup'!$H$7,$AD10:$BA10)+'Model Setup'!$H$8*(SUMIF($BH$3:$CE$3,"&lt;"&amp;$DF10,$AD10:$BA10)+SUMIF($BH$3:$CE$3,"&gt;"&amp;$CW$4,$AD10:$BA10)),
IF(BJ$3=$DF10+'Model Setup'!$I$7,SUMIF($BH$3:$CE$3,"="&amp;$DF10+'Model Setup'!$I$7,$AD10:$BA10)+'Model Setup'!$I$8*(SUMIF($BH$3:$CE$3,"&lt;"&amp;$DF10,$AD10:$BA10)+SUMIF($BH$3:$CE$3,"&gt;"&amp;$CW$4,$AD10:$BA10)),
IF(BJ$3=$DF10+'Model Setup'!$J$7,SUMIF($BH$3:$CE$3,"="&amp;$DF10+'Model Setup'!$J$7,$AD10:$BA10)+'Model Setup'!$J$8*(SUMIF($BH$3:$CE$3,"&lt;"&amp;$DF10,$AD10:$BA10)+SUMIF($BH$3:$CE$3,"&gt;"&amp;$CW$4,$AD10:$BA10)),
IF(BJ$3=$DF10+'Model Setup'!$K$7,SUMIF($BH$3:$CE$3,"="&amp;$DF10+'Model Setup'!$K$7,$AD10:$BA10)+'Model Setup'!$K$8*(SUMIF($BH$3:$CE$3,"&lt;"&amp;$DF10,$AD10:$BA10)+SUMIF($BH$3:$CE$3,"&gt;"&amp;$CW$4,$AD10:$BA10)),
IF(BJ$3=$DF10+'Model Setup'!$L$7,SUMIF($BH$3:$CE$3,"="&amp;$DF10+'Model Setup'!$L$7,$AD10:$BA10)+'Model Setup'!$L$8*(SUMIF($BH$3:$CE$3,"&lt;"&amp;$DF10,$AD10:$BA10)+SUMIF($BH$3:$CE$3,"&gt;"&amp;$CW$4,$AD10:$BA10)),
IF(BJ$3=$DF10+'Model Setup'!$M$7,SUMIF($BH$3:$CE$3,"="&amp;$DF10+'Model Setup'!$M$7,$AD10:$BA10)+'Model Setup'!$M$8*(SUMIF($BH$3:$CE$3,"&lt;"&amp;$DF10,$AD10:$BA10)+SUMIF($BH$3:$CE$3,"&gt;"&amp;$CW$4,$AD10:$BA10)),
IF(BJ$3=$DF10+'Model Setup'!$N$7,SUMIF($BH$3:$CE$3,"="&amp;$DF10+'Model Setup'!$N$7,$AD10:$BA10)+'Model Setup'!$N$8*(SUMIF($BH$3:$CE$3,"&lt;"&amp;$DF10,$AD10:$BA10)+SUMIF($BH$3:$CE$3,"&gt;"&amp;$CW$4,$AD10:$BA10)),
IF(BJ$3&lt;$CW$4,D10,0))))))))))))))),0)</f>
        <v>0</v>
      </c>
      <c r="BK10" s="47">
        <f>ROUND(IF(OR(BK$3&lt;$DF10,BK$3&gt;$CW$4),0,
IF(BK$3=$DF10+'Model Setup'!$B$7,SUMIF($BH$3:$CE$3,"="&amp;$DF10+'Model Setup'!$B$7,$AD10:$BA10)+'Model Setup'!$B$8*(SUMIF($BH$3:$CE$3,"&lt;"&amp;$DF10,$AD10:$BA10)+SUMIF($BH$3:$CE$3,"&gt;"&amp;$CW$4,$AD10:$BA10)),
IF(BK$3=$DF10+'Model Setup'!$C$7,SUMIF($BH$3:$CE$3,"="&amp;$DF10+'Model Setup'!$C$7,$AD10:$BA10)+'Model Setup'!$C$8*(SUMIF($BH$3:$CE$3,"&lt;"&amp;$DF10,$AD10:$BA10)+SUMIF($BH$3:$CE$3,"&gt;"&amp;$CW$4,$AD10:$BA10)),
IF(BK$3=$DF10+'Model Setup'!$D$7,SUMIF($BH$3:$CE$3,"="&amp;$DF10+'Model Setup'!$D$7,$AD10:$BA10)+'Model Setup'!$D$8*(SUMIF($BH$3:$CE$3,"&lt;"&amp;$DF10,$AD10:$BA10)+SUMIF($BH$3:$CE$3,"&gt;"&amp;$CW$4,$AD10:$BA10)),
IF(BK$3=$DF10+'Model Setup'!$E$7,SUMIF($BH$3:$CE$3,"="&amp;$DF10+'Model Setup'!$E$7,$AD10:$BA10)+'Model Setup'!$E$8*(SUMIF($BH$3:$CE$3,"&lt;"&amp;$DF10,$AD10:$BA10)+SUMIF($BH$3:$CE$3,"&gt;"&amp;$CW$4,$AD10:$BA10)),
IF(BK$3=$DF10+'Model Setup'!$F$7,SUMIF($BH$3:$CE$3,"="&amp;$DF10+'Model Setup'!$F$7,$AD10:$BA10)+'Model Setup'!$F$8*(SUMIF($BH$3:$CE$3,"&lt;"&amp;$DF10,$AD10:$BA10)+SUMIF($BH$3:$CE$3,"&gt;"&amp;$CW$4,$AD10:$BA10)),
IF(BK$3=$DF10+'Model Setup'!$G$7,SUMIF($BH$3:$CE$3,"="&amp;$DF10+'Model Setup'!$G$7,$AD10:$BA10)+'Model Setup'!$G$8*(SUMIF($BH$3:$CE$3,"&lt;"&amp;$DF10,$AD10:$BA10)+SUMIF($BH$3:$CE$3,"&gt;"&amp;$CW$4,$AD10:$BA10)),
IF(BK$3=$DF10+'Model Setup'!$H$7,SUMIF($BH$3:$CE$3,"="&amp;$DF10+'Model Setup'!$H$7,$AD10:$BA10)+'Model Setup'!$H$8*(SUMIF($BH$3:$CE$3,"&lt;"&amp;$DF10,$AD10:$BA10)+SUMIF($BH$3:$CE$3,"&gt;"&amp;$CW$4,$AD10:$BA10)),
IF(BK$3=$DF10+'Model Setup'!$I$7,SUMIF($BH$3:$CE$3,"="&amp;$DF10+'Model Setup'!$I$7,$AD10:$BA10)+'Model Setup'!$I$8*(SUMIF($BH$3:$CE$3,"&lt;"&amp;$DF10,$AD10:$BA10)+SUMIF($BH$3:$CE$3,"&gt;"&amp;$CW$4,$AD10:$BA10)),
IF(BK$3=$DF10+'Model Setup'!$J$7,SUMIF($BH$3:$CE$3,"="&amp;$DF10+'Model Setup'!$J$7,$AD10:$BA10)+'Model Setup'!$J$8*(SUMIF($BH$3:$CE$3,"&lt;"&amp;$DF10,$AD10:$BA10)+SUMIF($BH$3:$CE$3,"&gt;"&amp;$CW$4,$AD10:$BA10)),
IF(BK$3=$DF10+'Model Setup'!$K$7,SUMIF($BH$3:$CE$3,"="&amp;$DF10+'Model Setup'!$K$7,$AD10:$BA10)+'Model Setup'!$K$8*(SUMIF($BH$3:$CE$3,"&lt;"&amp;$DF10,$AD10:$BA10)+SUMIF($BH$3:$CE$3,"&gt;"&amp;$CW$4,$AD10:$BA10)),
IF(BK$3=$DF10+'Model Setup'!$L$7,SUMIF($BH$3:$CE$3,"="&amp;$DF10+'Model Setup'!$L$7,$AD10:$BA10)+'Model Setup'!$L$8*(SUMIF($BH$3:$CE$3,"&lt;"&amp;$DF10,$AD10:$BA10)+SUMIF($BH$3:$CE$3,"&gt;"&amp;$CW$4,$AD10:$BA10)),
IF(BK$3=$DF10+'Model Setup'!$M$7,SUMIF($BH$3:$CE$3,"="&amp;$DF10+'Model Setup'!$M$7,$AD10:$BA10)+'Model Setup'!$M$8*(SUMIF($BH$3:$CE$3,"&lt;"&amp;$DF10,$AD10:$BA10)+SUMIF($BH$3:$CE$3,"&gt;"&amp;$CW$4,$AD10:$BA10)),
IF(BK$3=$DF10+'Model Setup'!$N$7,SUMIF($BH$3:$CE$3,"="&amp;$DF10+'Model Setup'!$N$7,$AD10:$BA10)+'Model Setup'!$N$8*(SUMIF($BH$3:$CE$3,"&lt;"&amp;$DF10,$AD10:$BA10)+SUMIF($BH$3:$CE$3,"&gt;"&amp;$CW$4,$AD10:$BA10)),
IF(BK$3&lt;$CW$4,E10,0))))))))))))))),0)</f>
        <v>0</v>
      </c>
      <c r="BL10" s="47">
        <f>ROUND(IF(OR(BL$3&lt;$DF10,BL$3&gt;$CW$4),0,
IF(BL$3=$DF10+'Model Setup'!$B$7,SUMIF($BH$3:$CE$3,"="&amp;$DF10+'Model Setup'!$B$7,$AD10:$BA10)+'Model Setup'!$B$8*(SUMIF($BH$3:$CE$3,"&lt;"&amp;$DF10,$AD10:$BA10)+SUMIF($BH$3:$CE$3,"&gt;"&amp;$CW$4,$AD10:$BA10)),
IF(BL$3=$DF10+'Model Setup'!$C$7,SUMIF($BH$3:$CE$3,"="&amp;$DF10+'Model Setup'!$C$7,$AD10:$BA10)+'Model Setup'!$C$8*(SUMIF($BH$3:$CE$3,"&lt;"&amp;$DF10,$AD10:$BA10)+SUMIF($BH$3:$CE$3,"&gt;"&amp;$CW$4,$AD10:$BA10)),
IF(BL$3=$DF10+'Model Setup'!$D$7,SUMIF($BH$3:$CE$3,"="&amp;$DF10+'Model Setup'!$D$7,$AD10:$BA10)+'Model Setup'!$D$8*(SUMIF($BH$3:$CE$3,"&lt;"&amp;$DF10,$AD10:$BA10)+SUMIF($BH$3:$CE$3,"&gt;"&amp;$CW$4,$AD10:$BA10)),
IF(BL$3=$DF10+'Model Setup'!$E$7,SUMIF($BH$3:$CE$3,"="&amp;$DF10+'Model Setup'!$E$7,$AD10:$BA10)+'Model Setup'!$E$8*(SUMIF($BH$3:$CE$3,"&lt;"&amp;$DF10,$AD10:$BA10)+SUMIF($BH$3:$CE$3,"&gt;"&amp;$CW$4,$AD10:$BA10)),
IF(BL$3=$DF10+'Model Setup'!$F$7,SUMIF($BH$3:$CE$3,"="&amp;$DF10+'Model Setup'!$F$7,$AD10:$BA10)+'Model Setup'!$F$8*(SUMIF($BH$3:$CE$3,"&lt;"&amp;$DF10,$AD10:$BA10)+SUMIF($BH$3:$CE$3,"&gt;"&amp;$CW$4,$AD10:$BA10)),
IF(BL$3=$DF10+'Model Setup'!$G$7,SUMIF($BH$3:$CE$3,"="&amp;$DF10+'Model Setup'!$G$7,$AD10:$BA10)+'Model Setup'!$G$8*(SUMIF($BH$3:$CE$3,"&lt;"&amp;$DF10,$AD10:$BA10)+SUMIF($BH$3:$CE$3,"&gt;"&amp;$CW$4,$AD10:$BA10)),
IF(BL$3=$DF10+'Model Setup'!$H$7,SUMIF($BH$3:$CE$3,"="&amp;$DF10+'Model Setup'!$H$7,$AD10:$BA10)+'Model Setup'!$H$8*(SUMIF($BH$3:$CE$3,"&lt;"&amp;$DF10,$AD10:$BA10)+SUMIF($BH$3:$CE$3,"&gt;"&amp;$CW$4,$AD10:$BA10)),
IF(BL$3=$DF10+'Model Setup'!$I$7,SUMIF($BH$3:$CE$3,"="&amp;$DF10+'Model Setup'!$I$7,$AD10:$BA10)+'Model Setup'!$I$8*(SUMIF($BH$3:$CE$3,"&lt;"&amp;$DF10,$AD10:$BA10)+SUMIF($BH$3:$CE$3,"&gt;"&amp;$CW$4,$AD10:$BA10)),
IF(BL$3=$DF10+'Model Setup'!$J$7,SUMIF($BH$3:$CE$3,"="&amp;$DF10+'Model Setup'!$J$7,$AD10:$BA10)+'Model Setup'!$J$8*(SUMIF($BH$3:$CE$3,"&lt;"&amp;$DF10,$AD10:$BA10)+SUMIF($BH$3:$CE$3,"&gt;"&amp;$CW$4,$AD10:$BA10)),
IF(BL$3=$DF10+'Model Setup'!$K$7,SUMIF($BH$3:$CE$3,"="&amp;$DF10+'Model Setup'!$K$7,$AD10:$BA10)+'Model Setup'!$K$8*(SUMIF($BH$3:$CE$3,"&lt;"&amp;$DF10,$AD10:$BA10)+SUMIF($BH$3:$CE$3,"&gt;"&amp;$CW$4,$AD10:$BA10)),
IF(BL$3=$DF10+'Model Setup'!$L$7,SUMIF($BH$3:$CE$3,"="&amp;$DF10+'Model Setup'!$L$7,$AD10:$BA10)+'Model Setup'!$L$8*(SUMIF($BH$3:$CE$3,"&lt;"&amp;$DF10,$AD10:$BA10)+SUMIF($BH$3:$CE$3,"&gt;"&amp;$CW$4,$AD10:$BA10)),
IF(BL$3=$DF10+'Model Setup'!$M$7,SUMIF($BH$3:$CE$3,"="&amp;$DF10+'Model Setup'!$M$7,$AD10:$BA10)+'Model Setup'!$M$8*(SUMIF($BH$3:$CE$3,"&lt;"&amp;$DF10,$AD10:$BA10)+SUMIF($BH$3:$CE$3,"&gt;"&amp;$CW$4,$AD10:$BA10)),
IF(BL$3=$DF10+'Model Setup'!$N$7,SUMIF($BH$3:$CE$3,"="&amp;$DF10+'Model Setup'!$N$7,$AD10:$BA10)+'Model Setup'!$N$8*(SUMIF($BH$3:$CE$3,"&lt;"&amp;$DF10,$AD10:$BA10)+SUMIF($BH$3:$CE$3,"&gt;"&amp;$CW$4,$AD10:$BA10)),
IF(BL$3&lt;$CW$4,F10,0))))))))))))))),0)</f>
        <v>0</v>
      </c>
      <c r="BM10" s="47">
        <f>ROUND(IF(OR(BM$3&lt;$DF10,BM$3&gt;$CW$4),0,
IF(BM$3=$DF10+'Model Setup'!$B$7,SUMIF($BH$3:$CE$3,"="&amp;$DF10+'Model Setup'!$B$7,$AD10:$BA10)+'Model Setup'!$B$8*(SUMIF($BH$3:$CE$3,"&lt;"&amp;$DF10,$AD10:$BA10)+SUMIF($BH$3:$CE$3,"&gt;"&amp;$CW$4,$AD10:$BA10)),
IF(BM$3=$DF10+'Model Setup'!$C$7,SUMIF($BH$3:$CE$3,"="&amp;$DF10+'Model Setup'!$C$7,$AD10:$BA10)+'Model Setup'!$C$8*(SUMIF($BH$3:$CE$3,"&lt;"&amp;$DF10,$AD10:$BA10)+SUMIF($BH$3:$CE$3,"&gt;"&amp;$CW$4,$AD10:$BA10)),
IF(BM$3=$DF10+'Model Setup'!$D$7,SUMIF($BH$3:$CE$3,"="&amp;$DF10+'Model Setup'!$D$7,$AD10:$BA10)+'Model Setup'!$D$8*(SUMIF($BH$3:$CE$3,"&lt;"&amp;$DF10,$AD10:$BA10)+SUMIF($BH$3:$CE$3,"&gt;"&amp;$CW$4,$AD10:$BA10)),
IF(BM$3=$DF10+'Model Setup'!$E$7,SUMIF($BH$3:$CE$3,"="&amp;$DF10+'Model Setup'!$E$7,$AD10:$BA10)+'Model Setup'!$E$8*(SUMIF($BH$3:$CE$3,"&lt;"&amp;$DF10,$AD10:$BA10)+SUMIF($BH$3:$CE$3,"&gt;"&amp;$CW$4,$AD10:$BA10)),
IF(BM$3=$DF10+'Model Setup'!$F$7,SUMIF($BH$3:$CE$3,"="&amp;$DF10+'Model Setup'!$F$7,$AD10:$BA10)+'Model Setup'!$F$8*(SUMIF($BH$3:$CE$3,"&lt;"&amp;$DF10,$AD10:$BA10)+SUMIF($BH$3:$CE$3,"&gt;"&amp;$CW$4,$AD10:$BA10)),
IF(BM$3=$DF10+'Model Setup'!$G$7,SUMIF($BH$3:$CE$3,"="&amp;$DF10+'Model Setup'!$G$7,$AD10:$BA10)+'Model Setup'!$G$8*(SUMIF($BH$3:$CE$3,"&lt;"&amp;$DF10,$AD10:$BA10)+SUMIF($BH$3:$CE$3,"&gt;"&amp;$CW$4,$AD10:$BA10)),
IF(BM$3=$DF10+'Model Setup'!$H$7,SUMIF($BH$3:$CE$3,"="&amp;$DF10+'Model Setup'!$H$7,$AD10:$BA10)+'Model Setup'!$H$8*(SUMIF($BH$3:$CE$3,"&lt;"&amp;$DF10,$AD10:$BA10)+SUMIF($BH$3:$CE$3,"&gt;"&amp;$CW$4,$AD10:$BA10)),
IF(BM$3=$DF10+'Model Setup'!$I$7,SUMIF($BH$3:$CE$3,"="&amp;$DF10+'Model Setup'!$I$7,$AD10:$BA10)+'Model Setup'!$I$8*(SUMIF($BH$3:$CE$3,"&lt;"&amp;$DF10,$AD10:$BA10)+SUMIF($BH$3:$CE$3,"&gt;"&amp;$CW$4,$AD10:$BA10)),
IF(BM$3=$DF10+'Model Setup'!$J$7,SUMIF($BH$3:$CE$3,"="&amp;$DF10+'Model Setup'!$J$7,$AD10:$BA10)+'Model Setup'!$J$8*(SUMIF($BH$3:$CE$3,"&lt;"&amp;$DF10,$AD10:$BA10)+SUMIF($BH$3:$CE$3,"&gt;"&amp;$CW$4,$AD10:$BA10)),
IF(BM$3=$DF10+'Model Setup'!$K$7,SUMIF($BH$3:$CE$3,"="&amp;$DF10+'Model Setup'!$K$7,$AD10:$BA10)+'Model Setup'!$K$8*(SUMIF($BH$3:$CE$3,"&lt;"&amp;$DF10,$AD10:$BA10)+SUMIF($BH$3:$CE$3,"&gt;"&amp;$CW$4,$AD10:$BA10)),
IF(BM$3=$DF10+'Model Setup'!$L$7,SUMIF($BH$3:$CE$3,"="&amp;$DF10+'Model Setup'!$L$7,$AD10:$BA10)+'Model Setup'!$L$8*(SUMIF($BH$3:$CE$3,"&lt;"&amp;$DF10,$AD10:$BA10)+SUMIF($BH$3:$CE$3,"&gt;"&amp;$CW$4,$AD10:$BA10)),
IF(BM$3=$DF10+'Model Setup'!$M$7,SUMIF($BH$3:$CE$3,"="&amp;$DF10+'Model Setup'!$M$7,$AD10:$BA10)+'Model Setup'!$M$8*(SUMIF($BH$3:$CE$3,"&lt;"&amp;$DF10,$AD10:$BA10)+SUMIF($BH$3:$CE$3,"&gt;"&amp;$CW$4,$AD10:$BA10)),
IF(BM$3=$DF10+'Model Setup'!$N$7,SUMIF($BH$3:$CE$3,"="&amp;$DF10+'Model Setup'!$N$7,$AD10:$BA10)+'Model Setup'!$N$8*(SUMIF($BH$3:$CE$3,"&lt;"&amp;$DF10,$AD10:$BA10)+SUMIF($BH$3:$CE$3,"&gt;"&amp;$CW$4,$AD10:$BA10)),
IF(BM$3&lt;$CW$4,G10,0))))))))))))))),0)</f>
        <v>0</v>
      </c>
      <c r="BN10" s="47">
        <f>ROUND(IF(OR(BN$3&lt;$DF10,BN$3&gt;$CW$4),0,
IF(BN$3=$DF10+'Model Setup'!$B$7,SUMIF($BH$3:$CE$3,"="&amp;$DF10+'Model Setup'!$B$7,$AD10:$BA10)+'Model Setup'!$B$8*(SUMIF($BH$3:$CE$3,"&lt;"&amp;$DF10,$AD10:$BA10)+SUMIF($BH$3:$CE$3,"&gt;"&amp;$CW$4,$AD10:$BA10)),
IF(BN$3=$DF10+'Model Setup'!$C$7,SUMIF($BH$3:$CE$3,"="&amp;$DF10+'Model Setup'!$C$7,$AD10:$BA10)+'Model Setup'!$C$8*(SUMIF($BH$3:$CE$3,"&lt;"&amp;$DF10,$AD10:$BA10)+SUMIF($BH$3:$CE$3,"&gt;"&amp;$CW$4,$AD10:$BA10)),
IF(BN$3=$DF10+'Model Setup'!$D$7,SUMIF($BH$3:$CE$3,"="&amp;$DF10+'Model Setup'!$D$7,$AD10:$BA10)+'Model Setup'!$D$8*(SUMIF($BH$3:$CE$3,"&lt;"&amp;$DF10,$AD10:$BA10)+SUMIF($BH$3:$CE$3,"&gt;"&amp;$CW$4,$AD10:$BA10)),
IF(BN$3=$DF10+'Model Setup'!$E$7,SUMIF($BH$3:$CE$3,"="&amp;$DF10+'Model Setup'!$E$7,$AD10:$BA10)+'Model Setup'!$E$8*(SUMIF($BH$3:$CE$3,"&lt;"&amp;$DF10,$AD10:$BA10)+SUMIF($BH$3:$CE$3,"&gt;"&amp;$CW$4,$AD10:$BA10)),
IF(BN$3=$DF10+'Model Setup'!$F$7,SUMIF($BH$3:$CE$3,"="&amp;$DF10+'Model Setup'!$F$7,$AD10:$BA10)+'Model Setup'!$F$8*(SUMIF($BH$3:$CE$3,"&lt;"&amp;$DF10,$AD10:$BA10)+SUMIF($BH$3:$CE$3,"&gt;"&amp;$CW$4,$AD10:$BA10)),
IF(BN$3=$DF10+'Model Setup'!$G$7,SUMIF($BH$3:$CE$3,"="&amp;$DF10+'Model Setup'!$G$7,$AD10:$BA10)+'Model Setup'!$G$8*(SUMIF($BH$3:$CE$3,"&lt;"&amp;$DF10,$AD10:$BA10)+SUMIF($BH$3:$CE$3,"&gt;"&amp;$CW$4,$AD10:$BA10)),
IF(BN$3=$DF10+'Model Setup'!$H$7,SUMIF($BH$3:$CE$3,"="&amp;$DF10+'Model Setup'!$H$7,$AD10:$BA10)+'Model Setup'!$H$8*(SUMIF($BH$3:$CE$3,"&lt;"&amp;$DF10,$AD10:$BA10)+SUMIF($BH$3:$CE$3,"&gt;"&amp;$CW$4,$AD10:$BA10)),
IF(BN$3=$DF10+'Model Setup'!$I$7,SUMIF($BH$3:$CE$3,"="&amp;$DF10+'Model Setup'!$I$7,$AD10:$BA10)+'Model Setup'!$I$8*(SUMIF($BH$3:$CE$3,"&lt;"&amp;$DF10,$AD10:$BA10)+SUMIF($BH$3:$CE$3,"&gt;"&amp;$CW$4,$AD10:$BA10)),
IF(BN$3=$DF10+'Model Setup'!$J$7,SUMIF($BH$3:$CE$3,"="&amp;$DF10+'Model Setup'!$J$7,$AD10:$BA10)+'Model Setup'!$J$8*(SUMIF($BH$3:$CE$3,"&lt;"&amp;$DF10,$AD10:$BA10)+SUMIF($BH$3:$CE$3,"&gt;"&amp;$CW$4,$AD10:$BA10)),
IF(BN$3=$DF10+'Model Setup'!$K$7,SUMIF($BH$3:$CE$3,"="&amp;$DF10+'Model Setup'!$K$7,$AD10:$BA10)+'Model Setup'!$K$8*(SUMIF($BH$3:$CE$3,"&lt;"&amp;$DF10,$AD10:$BA10)+SUMIF($BH$3:$CE$3,"&gt;"&amp;$CW$4,$AD10:$BA10)),
IF(BN$3=$DF10+'Model Setup'!$L$7,SUMIF($BH$3:$CE$3,"="&amp;$DF10+'Model Setup'!$L$7,$AD10:$BA10)+'Model Setup'!$L$8*(SUMIF($BH$3:$CE$3,"&lt;"&amp;$DF10,$AD10:$BA10)+SUMIF($BH$3:$CE$3,"&gt;"&amp;$CW$4,$AD10:$BA10)),
IF(BN$3=$DF10+'Model Setup'!$M$7,SUMIF($BH$3:$CE$3,"="&amp;$DF10+'Model Setup'!$M$7,$AD10:$BA10)+'Model Setup'!$M$8*(SUMIF($BH$3:$CE$3,"&lt;"&amp;$DF10,$AD10:$BA10)+SUMIF($BH$3:$CE$3,"&gt;"&amp;$CW$4,$AD10:$BA10)),
IF(BN$3=$DF10+'Model Setup'!$N$7,SUMIF($BH$3:$CE$3,"="&amp;$DF10+'Model Setup'!$N$7,$AD10:$BA10)+'Model Setup'!$N$8*(SUMIF($BH$3:$CE$3,"&lt;"&amp;$DF10,$AD10:$BA10)+SUMIF($BH$3:$CE$3,"&gt;"&amp;$CW$4,$AD10:$BA10)),
IF(BN$3&lt;$CW$4,H10,0))))))))))))))),0)</f>
        <v>0</v>
      </c>
      <c r="BO10" s="47">
        <f>ROUND(IF(OR(BO$3&lt;$DF10,BO$3&gt;$CW$4),0,
IF(BO$3=$DF10+'Model Setup'!$B$7,SUMIF($BH$3:$CE$3,"="&amp;$DF10+'Model Setup'!$B$7,$AD10:$BA10)+'Model Setup'!$B$8*(SUMIF($BH$3:$CE$3,"&lt;"&amp;$DF10,$AD10:$BA10)+SUMIF($BH$3:$CE$3,"&gt;"&amp;$CW$4,$AD10:$BA10)),
IF(BO$3=$DF10+'Model Setup'!$C$7,SUMIF($BH$3:$CE$3,"="&amp;$DF10+'Model Setup'!$C$7,$AD10:$BA10)+'Model Setup'!$C$8*(SUMIF($BH$3:$CE$3,"&lt;"&amp;$DF10,$AD10:$BA10)+SUMIF($BH$3:$CE$3,"&gt;"&amp;$CW$4,$AD10:$BA10)),
IF(BO$3=$DF10+'Model Setup'!$D$7,SUMIF($BH$3:$CE$3,"="&amp;$DF10+'Model Setup'!$D$7,$AD10:$BA10)+'Model Setup'!$D$8*(SUMIF($BH$3:$CE$3,"&lt;"&amp;$DF10,$AD10:$BA10)+SUMIF($BH$3:$CE$3,"&gt;"&amp;$CW$4,$AD10:$BA10)),
IF(BO$3=$DF10+'Model Setup'!$E$7,SUMIF($BH$3:$CE$3,"="&amp;$DF10+'Model Setup'!$E$7,$AD10:$BA10)+'Model Setup'!$E$8*(SUMIF($BH$3:$CE$3,"&lt;"&amp;$DF10,$AD10:$BA10)+SUMIF($BH$3:$CE$3,"&gt;"&amp;$CW$4,$AD10:$BA10)),
IF(BO$3=$DF10+'Model Setup'!$F$7,SUMIF($BH$3:$CE$3,"="&amp;$DF10+'Model Setup'!$F$7,$AD10:$BA10)+'Model Setup'!$F$8*(SUMIF($BH$3:$CE$3,"&lt;"&amp;$DF10,$AD10:$BA10)+SUMIF($BH$3:$CE$3,"&gt;"&amp;$CW$4,$AD10:$BA10)),
IF(BO$3=$DF10+'Model Setup'!$G$7,SUMIF($BH$3:$CE$3,"="&amp;$DF10+'Model Setup'!$G$7,$AD10:$BA10)+'Model Setup'!$G$8*(SUMIF($BH$3:$CE$3,"&lt;"&amp;$DF10,$AD10:$BA10)+SUMIF($BH$3:$CE$3,"&gt;"&amp;$CW$4,$AD10:$BA10)),
IF(BO$3=$DF10+'Model Setup'!$H$7,SUMIF($BH$3:$CE$3,"="&amp;$DF10+'Model Setup'!$H$7,$AD10:$BA10)+'Model Setup'!$H$8*(SUMIF($BH$3:$CE$3,"&lt;"&amp;$DF10,$AD10:$BA10)+SUMIF($BH$3:$CE$3,"&gt;"&amp;$CW$4,$AD10:$BA10)),
IF(BO$3=$DF10+'Model Setup'!$I$7,SUMIF($BH$3:$CE$3,"="&amp;$DF10+'Model Setup'!$I$7,$AD10:$BA10)+'Model Setup'!$I$8*(SUMIF($BH$3:$CE$3,"&lt;"&amp;$DF10,$AD10:$BA10)+SUMIF($BH$3:$CE$3,"&gt;"&amp;$CW$4,$AD10:$BA10)),
IF(BO$3=$DF10+'Model Setup'!$J$7,SUMIF($BH$3:$CE$3,"="&amp;$DF10+'Model Setup'!$J$7,$AD10:$BA10)+'Model Setup'!$J$8*(SUMIF($BH$3:$CE$3,"&lt;"&amp;$DF10,$AD10:$BA10)+SUMIF($BH$3:$CE$3,"&gt;"&amp;$CW$4,$AD10:$BA10)),
IF(BO$3=$DF10+'Model Setup'!$K$7,SUMIF($BH$3:$CE$3,"="&amp;$DF10+'Model Setup'!$K$7,$AD10:$BA10)+'Model Setup'!$K$8*(SUMIF($BH$3:$CE$3,"&lt;"&amp;$DF10,$AD10:$BA10)+SUMIF($BH$3:$CE$3,"&gt;"&amp;$CW$4,$AD10:$BA10)),
IF(BO$3=$DF10+'Model Setup'!$L$7,SUMIF($BH$3:$CE$3,"="&amp;$DF10+'Model Setup'!$L$7,$AD10:$BA10)+'Model Setup'!$L$8*(SUMIF($BH$3:$CE$3,"&lt;"&amp;$DF10,$AD10:$BA10)+SUMIF($BH$3:$CE$3,"&gt;"&amp;$CW$4,$AD10:$BA10)),
IF(BO$3=$DF10+'Model Setup'!$M$7,SUMIF($BH$3:$CE$3,"="&amp;$DF10+'Model Setup'!$M$7,$AD10:$BA10)+'Model Setup'!$M$8*(SUMIF($BH$3:$CE$3,"&lt;"&amp;$DF10,$AD10:$BA10)+SUMIF($BH$3:$CE$3,"&gt;"&amp;$CW$4,$AD10:$BA10)),
IF(BO$3=$DF10+'Model Setup'!$N$7,SUMIF($BH$3:$CE$3,"="&amp;$DF10+'Model Setup'!$N$7,$AD10:$BA10)+'Model Setup'!$N$8*(SUMIF($BH$3:$CE$3,"&lt;"&amp;$DF10,$AD10:$BA10)+SUMIF($BH$3:$CE$3,"&gt;"&amp;$CW$4,$AD10:$BA10)),
IF(BO$3&lt;$CW$4,I10,0))))))))))))))),0)</f>
        <v>97</v>
      </c>
      <c r="BP10" s="47">
        <f>ROUND(IF(OR(BP$3&lt;$DF10,BP$3&gt;$CW$4),0,
IF(BP$3=$DF10+'Model Setup'!$B$7,SUMIF($BH$3:$CE$3,"="&amp;$DF10+'Model Setup'!$B$7,$AD10:$BA10)+'Model Setup'!$B$8*(SUMIF($BH$3:$CE$3,"&lt;"&amp;$DF10,$AD10:$BA10)+SUMIF($BH$3:$CE$3,"&gt;"&amp;$CW$4,$AD10:$BA10)),
IF(BP$3=$DF10+'Model Setup'!$C$7,SUMIF($BH$3:$CE$3,"="&amp;$DF10+'Model Setup'!$C$7,$AD10:$BA10)+'Model Setup'!$C$8*(SUMIF($BH$3:$CE$3,"&lt;"&amp;$DF10,$AD10:$BA10)+SUMIF($BH$3:$CE$3,"&gt;"&amp;$CW$4,$AD10:$BA10)),
IF(BP$3=$DF10+'Model Setup'!$D$7,SUMIF($BH$3:$CE$3,"="&amp;$DF10+'Model Setup'!$D$7,$AD10:$BA10)+'Model Setup'!$D$8*(SUMIF($BH$3:$CE$3,"&lt;"&amp;$DF10,$AD10:$BA10)+SUMIF($BH$3:$CE$3,"&gt;"&amp;$CW$4,$AD10:$BA10)),
IF(BP$3=$DF10+'Model Setup'!$E$7,SUMIF($BH$3:$CE$3,"="&amp;$DF10+'Model Setup'!$E$7,$AD10:$BA10)+'Model Setup'!$E$8*(SUMIF($BH$3:$CE$3,"&lt;"&amp;$DF10,$AD10:$BA10)+SUMIF($BH$3:$CE$3,"&gt;"&amp;$CW$4,$AD10:$BA10)),
IF(BP$3=$DF10+'Model Setup'!$F$7,SUMIF($BH$3:$CE$3,"="&amp;$DF10+'Model Setup'!$F$7,$AD10:$BA10)+'Model Setup'!$F$8*(SUMIF($BH$3:$CE$3,"&lt;"&amp;$DF10,$AD10:$BA10)+SUMIF($BH$3:$CE$3,"&gt;"&amp;$CW$4,$AD10:$BA10)),
IF(BP$3=$DF10+'Model Setup'!$G$7,SUMIF($BH$3:$CE$3,"="&amp;$DF10+'Model Setup'!$G$7,$AD10:$BA10)+'Model Setup'!$G$8*(SUMIF($BH$3:$CE$3,"&lt;"&amp;$DF10,$AD10:$BA10)+SUMIF($BH$3:$CE$3,"&gt;"&amp;$CW$4,$AD10:$BA10)),
IF(BP$3=$DF10+'Model Setup'!$H$7,SUMIF($BH$3:$CE$3,"="&amp;$DF10+'Model Setup'!$H$7,$AD10:$BA10)+'Model Setup'!$H$8*(SUMIF($BH$3:$CE$3,"&lt;"&amp;$DF10,$AD10:$BA10)+SUMIF($BH$3:$CE$3,"&gt;"&amp;$CW$4,$AD10:$BA10)),
IF(BP$3=$DF10+'Model Setup'!$I$7,SUMIF($BH$3:$CE$3,"="&amp;$DF10+'Model Setup'!$I$7,$AD10:$BA10)+'Model Setup'!$I$8*(SUMIF($BH$3:$CE$3,"&lt;"&amp;$DF10,$AD10:$BA10)+SUMIF($BH$3:$CE$3,"&gt;"&amp;$CW$4,$AD10:$BA10)),
IF(BP$3=$DF10+'Model Setup'!$J$7,SUMIF($BH$3:$CE$3,"="&amp;$DF10+'Model Setup'!$J$7,$AD10:$BA10)+'Model Setup'!$J$8*(SUMIF($BH$3:$CE$3,"&lt;"&amp;$DF10,$AD10:$BA10)+SUMIF($BH$3:$CE$3,"&gt;"&amp;$CW$4,$AD10:$BA10)),
IF(BP$3=$DF10+'Model Setup'!$K$7,SUMIF($BH$3:$CE$3,"="&amp;$DF10+'Model Setup'!$K$7,$AD10:$BA10)+'Model Setup'!$K$8*(SUMIF($BH$3:$CE$3,"&lt;"&amp;$DF10,$AD10:$BA10)+SUMIF($BH$3:$CE$3,"&gt;"&amp;$CW$4,$AD10:$BA10)),
IF(BP$3=$DF10+'Model Setup'!$L$7,SUMIF($BH$3:$CE$3,"="&amp;$DF10+'Model Setup'!$L$7,$AD10:$BA10)+'Model Setup'!$L$8*(SUMIF($BH$3:$CE$3,"&lt;"&amp;$DF10,$AD10:$BA10)+SUMIF($BH$3:$CE$3,"&gt;"&amp;$CW$4,$AD10:$BA10)),
IF(BP$3=$DF10+'Model Setup'!$M$7,SUMIF($BH$3:$CE$3,"="&amp;$DF10+'Model Setup'!$M$7,$AD10:$BA10)+'Model Setup'!$M$8*(SUMIF($BH$3:$CE$3,"&lt;"&amp;$DF10,$AD10:$BA10)+SUMIF($BH$3:$CE$3,"&gt;"&amp;$CW$4,$AD10:$BA10)),
IF(BP$3=$DF10+'Model Setup'!$N$7,SUMIF($BH$3:$CE$3,"="&amp;$DF10+'Model Setup'!$N$7,$AD10:$BA10)+'Model Setup'!$N$8*(SUMIF($BH$3:$CE$3,"&lt;"&amp;$DF10,$AD10:$BA10)+SUMIF($BH$3:$CE$3,"&gt;"&amp;$CW$4,$AD10:$BA10)),
IF(BP$3&lt;$CW$4,J10,0))))))))))))))),0)</f>
        <v>122</v>
      </c>
      <c r="BQ10" s="47">
        <f>ROUND(IF(OR(BQ$3&lt;$DF10,BQ$3&gt;$CW$4),0,
IF(BQ$3=$DF10+'Model Setup'!$B$7,SUMIF($BH$3:$CE$3,"="&amp;$DF10+'Model Setup'!$B$7,$AD10:$BA10)+'Model Setup'!$B$8*(SUMIF($BH$3:$CE$3,"&lt;"&amp;$DF10,$AD10:$BA10)+SUMIF($BH$3:$CE$3,"&gt;"&amp;$CW$4,$AD10:$BA10)),
IF(BQ$3=$DF10+'Model Setup'!$C$7,SUMIF($BH$3:$CE$3,"="&amp;$DF10+'Model Setup'!$C$7,$AD10:$BA10)+'Model Setup'!$C$8*(SUMIF($BH$3:$CE$3,"&lt;"&amp;$DF10,$AD10:$BA10)+SUMIF($BH$3:$CE$3,"&gt;"&amp;$CW$4,$AD10:$BA10)),
IF(BQ$3=$DF10+'Model Setup'!$D$7,SUMIF($BH$3:$CE$3,"="&amp;$DF10+'Model Setup'!$D$7,$AD10:$BA10)+'Model Setup'!$D$8*(SUMIF($BH$3:$CE$3,"&lt;"&amp;$DF10,$AD10:$BA10)+SUMIF($BH$3:$CE$3,"&gt;"&amp;$CW$4,$AD10:$BA10)),
IF(BQ$3=$DF10+'Model Setup'!$E$7,SUMIF($BH$3:$CE$3,"="&amp;$DF10+'Model Setup'!$E$7,$AD10:$BA10)+'Model Setup'!$E$8*(SUMIF($BH$3:$CE$3,"&lt;"&amp;$DF10,$AD10:$BA10)+SUMIF($BH$3:$CE$3,"&gt;"&amp;$CW$4,$AD10:$BA10)),
IF(BQ$3=$DF10+'Model Setup'!$F$7,SUMIF($BH$3:$CE$3,"="&amp;$DF10+'Model Setup'!$F$7,$AD10:$BA10)+'Model Setup'!$F$8*(SUMIF($BH$3:$CE$3,"&lt;"&amp;$DF10,$AD10:$BA10)+SUMIF($BH$3:$CE$3,"&gt;"&amp;$CW$4,$AD10:$BA10)),
IF(BQ$3=$DF10+'Model Setup'!$G$7,SUMIF($BH$3:$CE$3,"="&amp;$DF10+'Model Setup'!$G$7,$AD10:$BA10)+'Model Setup'!$G$8*(SUMIF($BH$3:$CE$3,"&lt;"&amp;$DF10,$AD10:$BA10)+SUMIF($BH$3:$CE$3,"&gt;"&amp;$CW$4,$AD10:$BA10)),
IF(BQ$3=$DF10+'Model Setup'!$H$7,SUMIF($BH$3:$CE$3,"="&amp;$DF10+'Model Setup'!$H$7,$AD10:$BA10)+'Model Setup'!$H$8*(SUMIF($BH$3:$CE$3,"&lt;"&amp;$DF10,$AD10:$BA10)+SUMIF($BH$3:$CE$3,"&gt;"&amp;$CW$4,$AD10:$BA10)),
IF(BQ$3=$DF10+'Model Setup'!$I$7,SUMIF($BH$3:$CE$3,"="&amp;$DF10+'Model Setup'!$I$7,$AD10:$BA10)+'Model Setup'!$I$8*(SUMIF($BH$3:$CE$3,"&lt;"&amp;$DF10,$AD10:$BA10)+SUMIF($BH$3:$CE$3,"&gt;"&amp;$CW$4,$AD10:$BA10)),
IF(BQ$3=$DF10+'Model Setup'!$J$7,SUMIF($BH$3:$CE$3,"="&amp;$DF10+'Model Setup'!$J$7,$AD10:$BA10)+'Model Setup'!$J$8*(SUMIF($BH$3:$CE$3,"&lt;"&amp;$DF10,$AD10:$BA10)+SUMIF($BH$3:$CE$3,"&gt;"&amp;$CW$4,$AD10:$BA10)),
IF(BQ$3=$DF10+'Model Setup'!$K$7,SUMIF($BH$3:$CE$3,"="&amp;$DF10+'Model Setup'!$K$7,$AD10:$BA10)+'Model Setup'!$K$8*(SUMIF($BH$3:$CE$3,"&lt;"&amp;$DF10,$AD10:$BA10)+SUMIF($BH$3:$CE$3,"&gt;"&amp;$CW$4,$AD10:$BA10)),
IF(BQ$3=$DF10+'Model Setup'!$L$7,SUMIF($BH$3:$CE$3,"="&amp;$DF10+'Model Setup'!$L$7,$AD10:$BA10)+'Model Setup'!$L$8*(SUMIF($BH$3:$CE$3,"&lt;"&amp;$DF10,$AD10:$BA10)+SUMIF($BH$3:$CE$3,"&gt;"&amp;$CW$4,$AD10:$BA10)),
IF(BQ$3=$DF10+'Model Setup'!$M$7,SUMIF($BH$3:$CE$3,"="&amp;$DF10+'Model Setup'!$M$7,$AD10:$BA10)+'Model Setup'!$M$8*(SUMIF($BH$3:$CE$3,"&lt;"&amp;$DF10,$AD10:$BA10)+SUMIF($BH$3:$CE$3,"&gt;"&amp;$CW$4,$AD10:$BA10)),
IF(BQ$3=$DF10+'Model Setup'!$N$7,SUMIF($BH$3:$CE$3,"="&amp;$DF10+'Model Setup'!$N$7,$AD10:$BA10)+'Model Setup'!$N$8*(SUMIF($BH$3:$CE$3,"&lt;"&amp;$DF10,$AD10:$BA10)+SUMIF($BH$3:$CE$3,"&gt;"&amp;$CW$4,$AD10:$BA10)),
IF(BQ$3&lt;$CW$4,K10,0))))))))))))))),0)</f>
        <v>121</v>
      </c>
      <c r="BR10" s="47">
        <f>ROUND(IF(OR(BR$3&lt;$DF10,BR$3&gt;$CW$4),0,
IF(BR$3=$DF10+'Model Setup'!$B$7,SUMIF($BH$3:$CE$3,"="&amp;$DF10+'Model Setup'!$B$7,$AD10:$BA10)+'Model Setup'!$B$8*(SUMIF($BH$3:$CE$3,"&lt;"&amp;$DF10,$AD10:$BA10)+SUMIF($BH$3:$CE$3,"&gt;"&amp;$CW$4,$AD10:$BA10)),
IF(BR$3=$DF10+'Model Setup'!$C$7,SUMIF($BH$3:$CE$3,"="&amp;$DF10+'Model Setup'!$C$7,$AD10:$BA10)+'Model Setup'!$C$8*(SUMIF($BH$3:$CE$3,"&lt;"&amp;$DF10,$AD10:$BA10)+SUMIF($BH$3:$CE$3,"&gt;"&amp;$CW$4,$AD10:$BA10)),
IF(BR$3=$DF10+'Model Setup'!$D$7,SUMIF($BH$3:$CE$3,"="&amp;$DF10+'Model Setup'!$D$7,$AD10:$BA10)+'Model Setup'!$D$8*(SUMIF($BH$3:$CE$3,"&lt;"&amp;$DF10,$AD10:$BA10)+SUMIF($BH$3:$CE$3,"&gt;"&amp;$CW$4,$AD10:$BA10)),
IF(BR$3=$DF10+'Model Setup'!$E$7,SUMIF($BH$3:$CE$3,"="&amp;$DF10+'Model Setup'!$E$7,$AD10:$BA10)+'Model Setup'!$E$8*(SUMIF($BH$3:$CE$3,"&lt;"&amp;$DF10,$AD10:$BA10)+SUMIF($BH$3:$CE$3,"&gt;"&amp;$CW$4,$AD10:$BA10)),
IF(BR$3=$DF10+'Model Setup'!$F$7,SUMIF($BH$3:$CE$3,"="&amp;$DF10+'Model Setup'!$F$7,$AD10:$BA10)+'Model Setup'!$F$8*(SUMIF($BH$3:$CE$3,"&lt;"&amp;$DF10,$AD10:$BA10)+SUMIF($BH$3:$CE$3,"&gt;"&amp;$CW$4,$AD10:$BA10)),
IF(BR$3=$DF10+'Model Setup'!$G$7,SUMIF($BH$3:$CE$3,"="&amp;$DF10+'Model Setup'!$G$7,$AD10:$BA10)+'Model Setup'!$G$8*(SUMIF($BH$3:$CE$3,"&lt;"&amp;$DF10,$AD10:$BA10)+SUMIF($BH$3:$CE$3,"&gt;"&amp;$CW$4,$AD10:$BA10)),
IF(BR$3=$DF10+'Model Setup'!$H$7,SUMIF($BH$3:$CE$3,"="&amp;$DF10+'Model Setup'!$H$7,$AD10:$BA10)+'Model Setup'!$H$8*(SUMIF($BH$3:$CE$3,"&lt;"&amp;$DF10,$AD10:$BA10)+SUMIF($BH$3:$CE$3,"&gt;"&amp;$CW$4,$AD10:$BA10)),
IF(BR$3=$DF10+'Model Setup'!$I$7,SUMIF($BH$3:$CE$3,"="&amp;$DF10+'Model Setup'!$I$7,$AD10:$BA10)+'Model Setup'!$I$8*(SUMIF($BH$3:$CE$3,"&lt;"&amp;$DF10,$AD10:$BA10)+SUMIF($BH$3:$CE$3,"&gt;"&amp;$CW$4,$AD10:$BA10)),
IF(BR$3=$DF10+'Model Setup'!$J$7,SUMIF($BH$3:$CE$3,"="&amp;$DF10+'Model Setup'!$J$7,$AD10:$BA10)+'Model Setup'!$J$8*(SUMIF($BH$3:$CE$3,"&lt;"&amp;$DF10,$AD10:$BA10)+SUMIF($BH$3:$CE$3,"&gt;"&amp;$CW$4,$AD10:$BA10)),
IF(BR$3=$DF10+'Model Setup'!$K$7,SUMIF($BH$3:$CE$3,"="&amp;$DF10+'Model Setup'!$K$7,$AD10:$BA10)+'Model Setup'!$K$8*(SUMIF($BH$3:$CE$3,"&lt;"&amp;$DF10,$AD10:$BA10)+SUMIF($BH$3:$CE$3,"&gt;"&amp;$CW$4,$AD10:$BA10)),
IF(BR$3=$DF10+'Model Setup'!$L$7,SUMIF($BH$3:$CE$3,"="&amp;$DF10+'Model Setup'!$L$7,$AD10:$BA10)+'Model Setup'!$L$8*(SUMIF($BH$3:$CE$3,"&lt;"&amp;$DF10,$AD10:$BA10)+SUMIF($BH$3:$CE$3,"&gt;"&amp;$CW$4,$AD10:$BA10)),
IF(BR$3=$DF10+'Model Setup'!$M$7,SUMIF($BH$3:$CE$3,"="&amp;$DF10+'Model Setup'!$M$7,$AD10:$BA10)+'Model Setup'!$M$8*(SUMIF($BH$3:$CE$3,"&lt;"&amp;$DF10,$AD10:$BA10)+SUMIF($BH$3:$CE$3,"&gt;"&amp;$CW$4,$AD10:$BA10)),
IF(BR$3=$DF10+'Model Setup'!$N$7,SUMIF($BH$3:$CE$3,"="&amp;$DF10+'Model Setup'!$N$7,$AD10:$BA10)+'Model Setup'!$N$8*(SUMIF($BH$3:$CE$3,"&lt;"&amp;$DF10,$AD10:$BA10)+SUMIF($BH$3:$CE$3,"&gt;"&amp;$CW$4,$AD10:$BA10)),
IF(BR$3&lt;$CW$4,L10,0))))))))))))))),0)</f>
        <v>109</v>
      </c>
      <c r="BS10" s="47">
        <f>ROUND(IF(OR(BS$3&lt;$DF10,BS$3&gt;$CW$4),0,
IF(BS$3=$DF10+'Model Setup'!$B$7,SUMIF($BH$3:$CE$3,"="&amp;$DF10+'Model Setup'!$B$7,$AD10:$BA10)+'Model Setup'!$B$8*(SUMIF($BH$3:$CE$3,"&lt;"&amp;$DF10,$AD10:$BA10)+SUMIF($BH$3:$CE$3,"&gt;"&amp;$CW$4,$AD10:$BA10)),
IF(BS$3=$DF10+'Model Setup'!$C$7,SUMIF($BH$3:$CE$3,"="&amp;$DF10+'Model Setup'!$C$7,$AD10:$BA10)+'Model Setup'!$C$8*(SUMIF($BH$3:$CE$3,"&lt;"&amp;$DF10,$AD10:$BA10)+SUMIF($BH$3:$CE$3,"&gt;"&amp;$CW$4,$AD10:$BA10)),
IF(BS$3=$DF10+'Model Setup'!$D$7,SUMIF($BH$3:$CE$3,"="&amp;$DF10+'Model Setup'!$D$7,$AD10:$BA10)+'Model Setup'!$D$8*(SUMIF($BH$3:$CE$3,"&lt;"&amp;$DF10,$AD10:$BA10)+SUMIF($BH$3:$CE$3,"&gt;"&amp;$CW$4,$AD10:$BA10)),
IF(BS$3=$DF10+'Model Setup'!$E$7,SUMIF($BH$3:$CE$3,"="&amp;$DF10+'Model Setup'!$E$7,$AD10:$BA10)+'Model Setup'!$E$8*(SUMIF($BH$3:$CE$3,"&lt;"&amp;$DF10,$AD10:$BA10)+SUMIF($BH$3:$CE$3,"&gt;"&amp;$CW$4,$AD10:$BA10)),
IF(BS$3=$DF10+'Model Setup'!$F$7,SUMIF($BH$3:$CE$3,"="&amp;$DF10+'Model Setup'!$F$7,$AD10:$BA10)+'Model Setup'!$F$8*(SUMIF($BH$3:$CE$3,"&lt;"&amp;$DF10,$AD10:$BA10)+SUMIF($BH$3:$CE$3,"&gt;"&amp;$CW$4,$AD10:$BA10)),
IF(BS$3=$DF10+'Model Setup'!$G$7,SUMIF($BH$3:$CE$3,"="&amp;$DF10+'Model Setup'!$G$7,$AD10:$BA10)+'Model Setup'!$G$8*(SUMIF($BH$3:$CE$3,"&lt;"&amp;$DF10,$AD10:$BA10)+SUMIF($BH$3:$CE$3,"&gt;"&amp;$CW$4,$AD10:$BA10)),
IF(BS$3=$DF10+'Model Setup'!$H$7,SUMIF($BH$3:$CE$3,"="&amp;$DF10+'Model Setup'!$H$7,$AD10:$BA10)+'Model Setup'!$H$8*(SUMIF($BH$3:$CE$3,"&lt;"&amp;$DF10,$AD10:$BA10)+SUMIF($BH$3:$CE$3,"&gt;"&amp;$CW$4,$AD10:$BA10)),
IF(BS$3=$DF10+'Model Setup'!$I$7,SUMIF($BH$3:$CE$3,"="&amp;$DF10+'Model Setup'!$I$7,$AD10:$BA10)+'Model Setup'!$I$8*(SUMIF($BH$3:$CE$3,"&lt;"&amp;$DF10,$AD10:$BA10)+SUMIF($BH$3:$CE$3,"&gt;"&amp;$CW$4,$AD10:$BA10)),
IF(BS$3=$DF10+'Model Setup'!$J$7,SUMIF($BH$3:$CE$3,"="&amp;$DF10+'Model Setup'!$J$7,$AD10:$BA10)+'Model Setup'!$J$8*(SUMIF($BH$3:$CE$3,"&lt;"&amp;$DF10,$AD10:$BA10)+SUMIF($BH$3:$CE$3,"&gt;"&amp;$CW$4,$AD10:$BA10)),
IF(BS$3=$DF10+'Model Setup'!$K$7,SUMIF($BH$3:$CE$3,"="&amp;$DF10+'Model Setup'!$K$7,$AD10:$BA10)+'Model Setup'!$K$8*(SUMIF($BH$3:$CE$3,"&lt;"&amp;$DF10,$AD10:$BA10)+SUMIF($BH$3:$CE$3,"&gt;"&amp;$CW$4,$AD10:$BA10)),
IF(BS$3=$DF10+'Model Setup'!$L$7,SUMIF($BH$3:$CE$3,"="&amp;$DF10+'Model Setup'!$L$7,$AD10:$BA10)+'Model Setup'!$L$8*(SUMIF($BH$3:$CE$3,"&lt;"&amp;$DF10,$AD10:$BA10)+SUMIF($BH$3:$CE$3,"&gt;"&amp;$CW$4,$AD10:$BA10)),
IF(BS$3=$DF10+'Model Setup'!$M$7,SUMIF($BH$3:$CE$3,"="&amp;$DF10+'Model Setup'!$M$7,$AD10:$BA10)+'Model Setup'!$M$8*(SUMIF($BH$3:$CE$3,"&lt;"&amp;$DF10,$AD10:$BA10)+SUMIF($BH$3:$CE$3,"&gt;"&amp;$CW$4,$AD10:$BA10)),
IF(BS$3=$DF10+'Model Setup'!$N$7,SUMIF($BH$3:$CE$3,"="&amp;$DF10+'Model Setup'!$N$7,$AD10:$BA10)+'Model Setup'!$N$8*(SUMIF($BH$3:$CE$3,"&lt;"&amp;$DF10,$AD10:$BA10)+SUMIF($BH$3:$CE$3,"&gt;"&amp;$CW$4,$AD10:$BA10)),
IF(BS$3&lt;$CW$4,M10,0))))))))))))))),0)</f>
        <v>71</v>
      </c>
      <c r="BT10" s="47">
        <f>ROUND(IF(OR(BT$3&lt;$DF10,BT$3&gt;$CW$4),0,
IF(BT$3=$DF10+'Model Setup'!$B$7,SUMIF($BH$3:$CE$3,"="&amp;$DF10+'Model Setup'!$B$7,$AD10:$BA10)+'Model Setup'!$B$8*(SUMIF($BH$3:$CE$3,"&lt;"&amp;$DF10,$AD10:$BA10)+SUMIF($BH$3:$CE$3,"&gt;"&amp;$CW$4,$AD10:$BA10)),
IF(BT$3=$DF10+'Model Setup'!$C$7,SUMIF($BH$3:$CE$3,"="&amp;$DF10+'Model Setup'!$C$7,$AD10:$BA10)+'Model Setup'!$C$8*(SUMIF($BH$3:$CE$3,"&lt;"&amp;$DF10,$AD10:$BA10)+SUMIF($BH$3:$CE$3,"&gt;"&amp;$CW$4,$AD10:$BA10)),
IF(BT$3=$DF10+'Model Setup'!$D$7,SUMIF($BH$3:$CE$3,"="&amp;$DF10+'Model Setup'!$D$7,$AD10:$BA10)+'Model Setup'!$D$8*(SUMIF($BH$3:$CE$3,"&lt;"&amp;$DF10,$AD10:$BA10)+SUMIF($BH$3:$CE$3,"&gt;"&amp;$CW$4,$AD10:$BA10)),
IF(BT$3=$DF10+'Model Setup'!$E$7,SUMIF($BH$3:$CE$3,"="&amp;$DF10+'Model Setup'!$E$7,$AD10:$BA10)+'Model Setup'!$E$8*(SUMIF($BH$3:$CE$3,"&lt;"&amp;$DF10,$AD10:$BA10)+SUMIF($BH$3:$CE$3,"&gt;"&amp;$CW$4,$AD10:$BA10)),
IF(BT$3=$DF10+'Model Setup'!$F$7,SUMIF($BH$3:$CE$3,"="&amp;$DF10+'Model Setup'!$F$7,$AD10:$BA10)+'Model Setup'!$F$8*(SUMIF($BH$3:$CE$3,"&lt;"&amp;$DF10,$AD10:$BA10)+SUMIF($BH$3:$CE$3,"&gt;"&amp;$CW$4,$AD10:$BA10)),
IF(BT$3=$DF10+'Model Setup'!$G$7,SUMIF($BH$3:$CE$3,"="&amp;$DF10+'Model Setup'!$G$7,$AD10:$BA10)+'Model Setup'!$G$8*(SUMIF($BH$3:$CE$3,"&lt;"&amp;$DF10,$AD10:$BA10)+SUMIF($BH$3:$CE$3,"&gt;"&amp;$CW$4,$AD10:$BA10)),
IF(BT$3=$DF10+'Model Setup'!$H$7,SUMIF($BH$3:$CE$3,"="&amp;$DF10+'Model Setup'!$H$7,$AD10:$BA10)+'Model Setup'!$H$8*(SUMIF($BH$3:$CE$3,"&lt;"&amp;$DF10,$AD10:$BA10)+SUMIF($BH$3:$CE$3,"&gt;"&amp;$CW$4,$AD10:$BA10)),
IF(BT$3=$DF10+'Model Setup'!$I$7,SUMIF($BH$3:$CE$3,"="&amp;$DF10+'Model Setup'!$I$7,$AD10:$BA10)+'Model Setup'!$I$8*(SUMIF($BH$3:$CE$3,"&lt;"&amp;$DF10,$AD10:$BA10)+SUMIF($BH$3:$CE$3,"&gt;"&amp;$CW$4,$AD10:$BA10)),
IF(BT$3=$DF10+'Model Setup'!$J$7,SUMIF($BH$3:$CE$3,"="&amp;$DF10+'Model Setup'!$J$7,$AD10:$BA10)+'Model Setup'!$J$8*(SUMIF($BH$3:$CE$3,"&lt;"&amp;$DF10,$AD10:$BA10)+SUMIF($BH$3:$CE$3,"&gt;"&amp;$CW$4,$AD10:$BA10)),
IF(BT$3=$DF10+'Model Setup'!$K$7,SUMIF($BH$3:$CE$3,"="&amp;$DF10+'Model Setup'!$K$7,$AD10:$BA10)+'Model Setup'!$K$8*(SUMIF($BH$3:$CE$3,"&lt;"&amp;$DF10,$AD10:$BA10)+SUMIF($BH$3:$CE$3,"&gt;"&amp;$CW$4,$AD10:$BA10)),
IF(BT$3=$DF10+'Model Setup'!$L$7,SUMIF($BH$3:$CE$3,"="&amp;$DF10+'Model Setup'!$L$7,$AD10:$BA10)+'Model Setup'!$L$8*(SUMIF($BH$3:$CE$3,"&lt;"&amp;$DF10,$AD10:$BA10)+SUMIF($BH$3:$CE$3,"&gt;"&amp;$CW$4,$AD10:$BA10)),
IF(BT$3=$DF10+'Model Setup'!$M$7,SUMIF($BH$3:$CE$3,"="&amp;$DF10+'Model Setup'!$M$7,$AD10:$BA10)+'Model Setup'!$M$8*(SUMIF($BH$3:$CE$3,"&lt;"&amp;$DF10,$AD10:$BA10)+SUMIF($BH$3:$CE$3,"&gt;"&amp;$CW$4,$AD10:$BA10)),
IF(BT$3=$DF10+'Model Setup'!$N$7,SUMIF($BH$3:$CE$3,"="&amp;$DF10+'Model Setup'!$N$7,$AD10:$BA10)+'Model Setup'!$N$8*(SUMIF($BH$3:$CE$3,"&lt;"&amp;$DF10,$AD10:$BA10)+SUMIF($BH$3:$CE$3,"&gt;"&amp;$CW$4,$AD10:$BA10)),
IF(BT$3&lt;$CW$4,N10,0))))))))))))))),0)</f>
        <v>54</v>
      </c>
      <c r="BU10" s="47">
        <f>ROUND(IF(OR(BU$3&lt;$DF10,BU$3&gt;$CW$4),0,
IF(BU$3=$DF10+'Model Setup'!$B$7,SUMIF($BH$3:$CE$3,"="&amp;$DF10+'Model Setup'!$B$7,$AD10:$BA10)+'Model Setup'!$B$8*(SUMIF($BH$3:$CE$3,"&lt;"&amp;$DF10,$AD10:$BA10)+SUMIF($BH$3:$CE$3,"&gt;"&amp;$CW$4,$AD10:$BA10)),
IF(BU$3=$DF10+'Model Setup'!$C$7,SUMIF($BH$3:$CE$3,"="&amp;$DF10+'Model Setup'!$C$7,$AD10:$BA10)+'Model Setup'!$C$8*(SUMIF($BH$3:$CE$3,"&lt;"&amp;$DF10,$AD10:$BA10)+SUMIF($BH$3:$CE$3,"&gt;"&amp;$CW$4,$AD10:$BA10)),
IF(BU$3=$DF10+'Model Setup'!$D$7,SUMIF($BH$3:$CE$3,"="&amp;$DF10+'Model Setup'!$D$7,$AD10:$BA10)+'Model Setup'!$D$8*(SUMIF($BH$3:$CE$3,"&lt;"&amp;$DF10,$AD10:$BA10)+SUMIF($BH$3:$CE$3,"&gt;"&amp;$CW$4,$AD10:$BA10)),
IF(BU$3=$DF10+'Model Setup'!$E$7,SUMIF($BH$3:$CE$3,"="&amp;$DF10+'Model Setup'!$E$7,$AD10:$BA10)+'Model Setup'!$E$8*(SUMIF($BH$3:$CE$3,"&lt;"&amp;$DF10,$AD10:$BA10)+SUMIF($BH$3:$CE$3,"&gt;"&amp;$CW$4,$AD10:$BA10)),
IF(BU$3=$DF10+'Model Setup'!$F$7,SUMIF($BH$3:$CE$3,"="&amp;$DF10+'Model Setup'!$F$7,$AD10:$BA10)+'Model Setup'!$F$8*(SUMIF($BH$3:$CE$3,"&lt;"&amp;$DF10,$AD10:$BA10)+SUMIF($BH$3:$CE$3,"&gt;"&amp;$CW$4,$AD10:$BA10)),
IF(BU$3=$DF10+'Model Setup'!$G$7,SUMIF($BH$3:$CE$3,"="&amp;$DF10+'Model Setup'!$G$7,$AD10:$BA10)+'Model Setup'!$G$8*(SUMIF($BH$3:$CE$3,"&lt;"&amp;$DF10,$AD10:$BA10)+SUMIF($BH$3:$CE$3,"&gt;"&amp;$CW$4,$AD10:$BA10)),
IF(BU$3=$DF10+'Model Setup'!$H$7,SUMIF($BH$3:$CE$3,"="&amp;$DF10+'Model Setup'!$H$7,$AD10:$BA10)+'Model Setup'!$H$8*(SUMIF($BH$3:$CE$3,"&lt;"&amp;$DF10,$AD10:$BA10)+SUMIF($BH$3:$CE$3,"&gt;"&amp;$CW$4,$AD10:$BA10)),
IF(BU$3=$DF10+'Model Setup'!$I$7,SUMIF($BH$3:$CE$3,"="&amp;$DF10+'Model Setup'!$I$7,$AD10:$BA10)+'Model Setup'!$I$8*(SUMIF($BH$3:$CE$3,"&lt;"&amp;$DF10,$AD10:$BA10)+SUMIF($BH$3:$CE$3,"&gt;"&amp;$CW$4,$AD10:$BA10)),
IF(BU$3=$DF10+'Model Setup'!$J$7,SUMIF($BH$3:$CE$3,"="&amp;$DF10+'Model Setup'!$J$7,$AD10:$BA10)+'Model Setup'!$J$8*(SUMIF($BH$3:$CE$3,"&lt;"&amp;$DF10,$AD10:$BA10)+SUMIF($BH$3:$CE$3,"&gt;"&amp;$CW$4,$AD10:$BA10)),
IF(BU$3=$DF10+'Model Setup'!$K$7,SUMIF($BH$3:$CE$3,"="&amp;$DF10+'Model Setup'!$K$7,$AD10:$BA10)+'Model Setup'!$K$8*(SUMIF($BH$3:$CE$3,"&lt;"&amp;$DF10,$AD10:$BA10)+SUMIF($BH$3:$CE$3,"&gt;"&amp;$CW$4,$AD10:$BA10)),
IF(BU$3=$DF10+'Model Setup'!$L$7,SUMIF($BH$3:$CE$3,"="&amp;$DF10+'Model Setup'!$L$7,$AD10:$BA10)+'Model Setup'!$L$8*(SUMIF($BH$3:$CE$3,"&lt;"&amp;$DF10,$AD10:$BA10)+SUMIF($BH$3:$CE$3,"&gt;"&amp;$CW$4,$AD10:$BA10)),
IF(BU$3=$DF10+'Model Setup'!$M$7,SUMIF($BH$3:$CE$3,"="&amp;$DF10+'Model Setup'!$M$7,$AD10:$BA10)+'Model Setup'!$M$8*(SUMIF($BH$3:$CE$3,"&lt;"&amp;$DF10,$AD10:$BA10)+SUMIF($BH$3:$CE$3,"&gt;"&amp;$CW$4,$AD10:$BA10)),
IF(BU$3=$DF10+'Model Setup'!$N$7,SUMIF($BH$3:$CE$3,"="&amp;$DF10+'Model Setup'!$N$7,$AD10:$BA10)+'Model Setup'!$N$8*(SUMIF($BH$3:$CE$3,"&lt;"&amp;$DF10,$AD10:$BA10)+SUMIF($BH$3:$CE$3,"&gt;"&amp;$CW$4,$AD10:$BA10)),
IF(BU$3&lt;$CW$4,O10,0))))))))))))))),0)</f>
        <v>54</v>
      </c>
      <c r="BV10" s="47">
        <f>ROUND(IF(OR(BV$3&lt;$DF10,BV$3&gt;$CW$4),0,
IF(BV$3=$DF10+'Model Setup'!$B$7,SUMIF($BH$3:$CE$3,"="&amp;$DF10+'Model Setup'!$B$7,$AD10:$BA10)+'Model Setup'!$B$8*(SUMIF($BH$3:$CE$3,"&lt;"&amp;$DF10,$AD10:$BA10)+SUMIF($BH$3:$CE$3,"&gt;"&amp;$CW$4,$AD10:$BA10)),
IF(BV$3=$DF10+'Model Setup'!$C$7,SUMIF($BH$3:$CE$3,"="&amp;$DF10+'Model Setup'!$C$7,$AD10:$BA10)+'Model Setup'!$C$8*(SUMIF($BH$3:$CE$3,"&lt;"&amp;$DF10,$AD10:$BA10)+SUMIF($BH$3:$CE$3,"&gt;"&amp;$CW$4,$AD10:$BA10)),
IF(BV$3=$DF10+'Model Setup'!$D$7,SUMIF($BH$3:$CE$3,"="&amp;$DF10+'Model Setup'!$D$7,$AD10:$BA10)+'Model Setup'!$D$8*(SUMIF($BH$3:$CE$3,"&lt;"&amp;$DF10,$AD10:$BA10)+SUMIF($BH$3:$CE$3,"&gt;"&amp;$CW$4,$AD10:$BA10)),
IF(BV$3=$DF10+'Model Setup'!$E$7,SUMIF($BH$3:$CE$3,"="&amp;$DF10+'Model Setup'!$E$7,$AD10:$BA10)+'Model Setup'!$E$8*(SUMIF($BH$3:$CE$3,"&lt;"&amp;$DF10,$AD10:$BA10)+SUMIF($BH$3:$CE$3,"&gt;"&amp;$CW$4,$AD10:$BA10)),
IF(BV$3=$DF10+'Model Setup'!$F$7,SUMIF($BH$3:$CE$3,"="&amp;$DF10+'Model Setup'!$F$7,$AD10:$BA10)+'Model Setup'!$F$8*(SUMIF($BH$3:$CE$3,"&lt;"&amp;$DF10,$AD10:$BA10)+SUMIF($BH$3:$CE$3,"&gt;"&amp;$CW$4,$AD10:$BA10)),
IF(BV$3=$DF10+'Model Setup'!$G$7,SUMIF($BH$3:$CE$3,"="&amp;$DF10+'Model Setup'!$G$7,$AD10:$BA10)+'Model Setup'!$G$8*(SUMIF($BH$3:$CE$3,"&lt;"&amp;$DF10,$AD10:$BA10)+SUMIF($BH$3:$CE$3,"&gt;"&amp;$CW$4,$AD10:$BA10)),
IF(BV$3=$DF10+'Model Setup'!$H$7,SUMIF($BH$3:$CE$3,"="&amp;$DF10+'Model Setup'!$H$7,$AD10:$BA10)+'Model Setup'!$H$8*(SUMIF($BH$3:$CE$3,"&lt;"&amp;$DF10,$AD10:$BA10)+SUMIF($BH$3:$CE$3,"&gt;"&amp;$CW$4,$AD10:$BA10)),
IF(BV$3=$DF10+'Model Setup'!$I$7,SUMIF($BH$3:$CE$3,"="&amp;$DF10+'Model Setup'!$I$7,$AD10:$BA10)+'Model Setup'!$I$8*(SUMIF($BH$3:$CE$3,"&lt;"&amp;$DF10,$AD10:$BA10)+SUMIF($BH$3:$CE$3,"&gt;"&amp;$CW$4,$AD10:$BA10)),
IF(BV$3=$DF10+'Model Setup'!$J$7,SUMIF($BH$3:$CE$3,"="&amp;$DF10+'Model Setup'!$J$7,$AD10:$BA10)+'Model Setup'!$J$8*(SUMIF($BH$3:$CE$3,"&lt;"&amp;$DF10,$AD10:$BA10)+SUMIF($BH$3:$CE$3,"&gt;"&amp;$CW$4,$AD10:$BA10)),
IF(BV$3=$DF10+'Model Setup'!$K$7,SUMIF($BH$3:$CE$3,"="&amp;$DF10+'Model Setup'!$K$7,$AD10:$BA10)+'Model Setup'!$K$8*(SUMIF($BH$3:$CE$3,"&lt;"&amp;$DF10,$AD10:$BA10)+SUMIF($BH$3:$CE$3,"&gt;"&amp;$CW$4,$AD10:$BA10)),
IF(BV$3=$DF10+'Model Setup'!$L$7,SUMIF($BH$3:$CE$3,"="&amp;$DF10+'Model Setup'!$L$7,$AD10:$BA10)+'Model Setup'!$L$8*(SUMIF($BH$3:$CE$3,"&lt;"&amp;$DF10,$AD10:$BA10)+SUMIF($BH$3:$CE$3,"&gt;"&amp;$CW$4,$AD10:$BA10)),
IF(BV$3=$DF10+'Model Setup'!$M$7,SUMIF($BH$3:$CE$3,"="&amp;$DF10+'Model Setup'!$M$7,$AD10:$BA10)+'Model Setup'!$M$8*(SUMIF($BH$3:$CE$3,"&lt;"&amp;$DF10,$AD10:$BA10)+SUMIF($BH$3:$CE$3,"&gt;"&amp;$CW$4,$AD10:$BA10)),
IF(BV$3=$DF10+'Model Setup'!$N$7,SUMIF($BH$3:$CE$3,"="&amp;$DF10+'Model Setup'!$N$7,$AD10:$BA10)+'Model Setup'!$N$8*(SUMIF($BH$3:$CE$3,"&lt;"&amp;$DF10,$AD10:$BA10)+SUMIF($BH$3:$CE$3,"&gt;"&amp;$CW$4,$AD10:$BA10)),
IF(BV$3&lt;$CW$4,P10,0))))))))))))))),0)</f>
        <v>54</v>
      </c>
      <c r="BW10" s="47">
        <f>ROUND(IF(OR(BW$3&lt;$DF10,BW$3&gt;$CW$4),0,
IF(BW$3=$DF10+'Model Setup'!$B$7,SUMIF($BH$3:$CE$3,"="&amp;$DF10+'Model Setup'!$B$7,$AD10:$BA10)+'Model Setup'!$B$8*(SUMIF($BH$3:$CE$3,"&lt;"&amp;$DF10,$AD10:$BA10)+SUMIF($BH$3:$CE$3,"&gt;"&amp;$CW$4,$AD10:$BA10)),
IF(BW$3=$DF10+'Model Setup'!$C$7,SUMIF($BH$3:$CE$3,"="&amp;$DF10+'Model Setup'!$C$7,$AD10:$BA10)+'Model Setup'!$C$8*(SUMIF($BH$3:$CE$3,"&lt;"&amp;$DF10,$AD10:$BA10)+SUMIF($BH$3:$CE$3,"&gt;"&amp;$CW$4,$AD10:$BA10)),
IF(BW$3=$DF10+'Model Setup'!$D$7,SUMIF($BH$3:$CE$3,"="&amp;$DF10+'Model Setup'!$D$7,$AD10:$BA10)+'Model Setup'!$D$8*(SUMIF($BH$3:$CE$3,"&lt;"&amp;$DF10,$AD10:$BA10)+SUMIF($BH$3:$CE$3,"&gt;"&amp;$CW$4,$AD10:$BA10)),
IF(BW$3=$DF10+'Model Setup'!$E$7,SUMIF($BH$3:$CE$3,"="&amp;$DF10+'Model Setup'!$E$7,$AD10:$BA10)+'Model Setup'!$E$8*(SUMIF($BH$3:$CE$3,"&lt;"&amp;$DF10,$AD10:$BA10)+SUMIF($BH$3:$CE$3,"&gt;"&amp;$CW$4,$AD10:$BA10)),
IF(BW$3=$DF10+'Model Setup'!$F$7,SUMIF($BH$3:$CE$3,"="&amp;$DF10+'Model Setup'!$F$7,$AD10:$BA10)+'Model Setup'!$F$8*(SUMIF($BH$3:$CE$3,"&lt;"&amp;$DF10,$AD10:$BA10)+SUMIF($BH$3:$CE$3,"&gt;"&amp;$CW$4,$AD10:$BA10)),
IF(BW$3=$DF10+'Model Setup'!$G$7,SUMIF($BH$3:$CE$3,"="&amp;$DF10+'Model Setup'!$G$7,$AD10:$BA10)+'Model Setup'!$G$8*(SUMIF($BH$3:$CE$3,"&lt;"&amp;$DF10,$AD10:$BA10)+SUMIF($BH$3:$CE$3,"&gt;"&amp;$CW$4,$AD10:$BA10)),
IF(BW$3=$DF10+'Model Setup'!$H$7,SUMIF($BH$3:$CE$3,"="&amp;$DF10+'Model Setup'!$H$7,$AD10:$BA10)+'Model Setup'!$H$8*(SUMIF($BH$3:$CE$3,"&lt;"&amp;$DF10,$AD10:$BA10)+SUMIF($BH$3:$CE$3,"&gt;"&amp;$CW$4,$AD10:$BA10)),
IF(BW$3=$DF10+'Model Setup'!$I$7,SUMIF($BH$3:$CE$3,"="&amp;$DF10+'Model Setup'!$I$7,$AD10:$BA10)+'Model Setup'!$I$8*(SUMIF($BH$3:$CE$3,"&lt;"&amp;$DF10,$AD10:$BA10)+SUMIF($BH$3:$CE$3,"&gt;"&amp;$CW$4,$AD10:$BA10)),
IF(BW$3=$DF10+'Model Setup'!$J$7,SUMIF($BH$3:$CE$3,"="&amp;$DF10+'Model Setup'!$J$7,$AD10:$BA10)+'Model Setup'!$J$8*(SUMIF($BH$3:$CE$3,"&lt;"&amp;$DF10,$AD10:$BA10)+SUMIF($BH$3:$CE$3,"&gt;"&amp;$CW$4,$AD10:$BA10)),
IF(BW$3=$DF10+'Model Setup'!$K$7,SUMIF($BH$3:$CE$3,"="&amp;$DF10+'Model Setup'!$K$7,$AD10:$BA10)+'Model Setup'!$K$8*(SUMIF($BH$3:$CE$3,"&lt;"&amp;$DF10,$AD10:$BA10)+SUMIF($BH$3:$CE$3,"&gt;"&amp;$CW$4,$AD10:$BA10)),
IF(BW$3=$DF10+'Model Setup'!$L$7,SUMIF($BH$3:$CE$3,"="&amp;$DF10+'Model Setup'!$L$7,$AD10:$BA10)+'Model Setup'!$L$8*(SUMIF($BH$3:$CE$3,"&lt;"&amp;$DF10,$AD10:$BA10)+SUMIF($BH$3:$CE$3,"&gt;"&amp;$CW$4,$AD10:$BA10)),
IF(BW$3=$DF10+'Model Setup'!$M$7,SUMIF($BH$3:$CE$3,"="&amp;$DF10+'Model Setup'!$M$7,$AD10:$BA10)+'Model Setup'!$M$8*(SUMIF($BH$3:$CE$3,"&lt;"&amp;$DF10,$AD10:$BA10)+SUMIF($BH$3:$CE$3,"&gt;"&amp;$CW$4,$AD10:$BA10)),
IF(BW$3=$DF10+'Model Setup'!$N$7,SUMIF($BH$3:$CE$3,"="&amp;$DF10+'Model Setup'!$N$7,$AD10:$BA10)+'Model Setup'!$N$8*(SUMIF($BH$3:$CE$3,"&lt;"&amp;$DF10,$AD10:$BA10)+SUMIF($BH$3:$CE$3,"&gt;"&amp;$CW$4,$AD10:$BA10)),
IF(BW$3&lt;$CW$4,Q10,0))))))))))))))),0)</f>
        <v>26</v>
      </c>
      <c r="BX10" s="47">
        <f>ROUND(IF(OR(BX$3&lt;$DF10,BX$3&gt;$CW$4),0,
IF(BX$3=$DF10+'Model Setup'!$B$7,SUMIF($BH$3:$CE$3,"="&amp;$DF10+'Model Setup'!$B$7,$AD10:$BA10)+'Model Setup'!$B$8*(SUMIF($BH$3:$CE$3,"&lt;"&amp;$DF10,$AD10:$BA10)+SUMIF($BH$3:$CE$3,"&gt;"&amp;$CW$4,$AD10:$BA10)),
IF(BX$3=$DF10+'Model Setup'!$C$7,SUMIF($BH$3:$CE$3,"="&amp;$DF10+'Model Setup'!$C$7,$AD10:$BA10)+'Model Setup'!$C$8*(SUMIF($BH$3:$CE$3,"&lt;"&amp;$DF10,$AD10:$BA10)+SUMIF($BH$3:$CE$3,"&gt;"&amp;$CW$4,$AD10:$BA10)),
IF(BX$3=$DF10+'Model Setup'!$D$7,SUMIF($BH$3:$CE$3,"="&amp;$DF10+'Model Setup'!$D$7,$AD10:$BA10)+'Model Setup'!$D$8*(SUMIF($BH$3:$CE$3,"&lt;"&amp;$DF10,$AD10:$BA10)+SUMIF($BH$3:$CE$3,"&gt;"&amp;$CW$4,$AD10:$BA10)),
IF(BX$3=$DF10+'Model Setup'!$E$7,SUMIF($BH$3:$CE$3,"="&amp;$DF10+'Model Setup'!$E$7,$AD10:$BA10)+'Model Setup'!$E$8*(SUMIF($BH$3:$CE$3,"&lt;"&amp;$DF10,$AD10:$BA10)+SUMIF($BH$3:$CE$3,"&gt;"&amp;$CW$4,$AD10:$BA10)),
IF(BX$3=$DF10+'Model Setup'!$F$7,SUMIF($BH$3:$CE$3,"="&amp;$DF10+'Model Setup'!$F$7,$AD10:$BA10)+'Model Setup'!$F$8*(SUMIF($BH$3:$CE$3,"&lt;"&amp;$DF10,$AD10:$BA10)+SUMIF($BH$3:$CE$3,"&gt;"&amp;$CW$4,$AD10:$BA10)),
IF(BX$3=$DF10+'Model Setup'!$G$7,SUMIF($BH$3:$CE$3,"="&amp;$DF10+'Model Setup'!$G$7,$AD10:$BA10)+'Model Setup'!$G$8*(SUMIF($BH$3:$CE$3,"&lt;"&amp;$DF10,$AD10:$BA10)+SUMIF($BH$3:$CE$3,"&gt;"&amp;$CW$4,$AD10:$BA10)),
IF(BX$3=$DF10+'Model Setup'!$H$7,SUMIF($BH$3:$CE$3,"="&amp;$DF10+'Model Setup'!$H$7,$AD10:$BA10)+'Model Setup'!$H$8*(SUMIF($BH$3:$CE$3,"&lt;"&amp;$DF10,$AD10:$BA10)+SUMIF($BH$3:$CE$3,"&gt;"&amp;$CW$4,$AD10:$BA10)),
IF(BX$3=$DF10+'Model Setup'!$I$7,SUMIF($BH$3:$CE$3,"="&amp;$DF10+'Model Setup'!$I$7,$AD10:$BA10)+'Model Setup'!$I$8*(SUMIF($BH$3:$CE$3,"&lt;"&amp;$DF10,$AD10:$BA10)+SUMIF($BH$3:$CE$3,"&gt;"&amp;$CW$4,$AD10:$BA10)),
IF(BX$3=$DF10+'Model Setup'!$J$7,SUMIF($BH$3:$CE$3,"="&amp;$DF10+'Model Setup'!$J$7,$AD10:$BA10)+'Model Setup'!$J$8*(SUMIF($BH$3:$CE$3,"&lt;"&amp;$DF10,$AD10:$BA10)+SUMIF($BH$3:$CE$3,"&gt;"&amp;$CW$4,$AD10:$BA10)),
IF(BX$3=$DF10+'Model Setup'!$K$7,SUMIF($BH$3:$CE$3,"="&amp;$DF10+'Model Setup'!$K$7,$AD10:$BA10)+'Model Setup'!$K$8*(SUMIF($BH$3:$CE$3,"&lt;"&amp;$DF10,$AD10:$BA10)+SUMIF($BH$3:$CE$3,"&gt;"&amp;$CW$4,$AD10:$BA10)),
IF(BX$3=$DF10+'Model Setup'!$L$7,SUMIF($BH$3:$CE$3,"="&amp;$DF10+'Model Setup'!$L$7,$AD10:$BA10)+'Model Setup'!$L$8*(SUMIF($BH$3:$CE$3,"&lt;"&amp;$DF10,$AD10:$BA10)+SUMIF($BH$3:$CE$3,"&gt;"&amp;$CW$4,$AD10:$BA10)),
IF(BX$3=$DF10+'Model Setup'!$M$7,SUMIF($BH$3:$CE$3,"="&amp;$DF10+'Model Setup'!$M$7,$AD10:$BA10)+'Model Setup'!$M$8*(SUMIF($BH$3:$CE$3,"&lt;"&amp;$DF10,$AD10:$BA10)+SUMIF($BH$3:$CE$3,"&gt;"&amp;$CW$4,$AD10:$BA10)),
IF(BX$3=$DF10+'Model Setup'!$N$7,SUMIF($BH$3:$CE$3,"="&amp;$DF10+'Model Setup'!$N$7,$AD10:$BA10)+'Model Setup'!$N$8*(SUMIF($BH$3:$CE$3,"&lt;"&amp;$DF10,$AD10:$BA10)+SUMIF($BH$3:$CE$3,"&gt;"&amp;$CW$4,$AD10:$BA10)),
IF(BX$3&lt;$CW$4,R10,0))))))))))))))),0)</f>
        <v>30</v>
      </c>
      <c r="BY10" s="47">
        <f>ROUND(IF(OR(BY$3&lt;$DF10,BY$3&gt;$CW$4),0,
IF(BY$3=$DF10+'Model Setup'!$B$7,SUMIF($BH$3:$CE$3,"="&amp;$DF10+'Model Setup'!$B$7,$AD10:$BA10)+'Model Setup'!$B$8*(SUMIF($BH$3:$CE$3,"&lt;"&amp;$DF10,$AD10:$BA10)+SUMIF($BH$3:$CE$3,"&gt;"&amp;$CW$4,$AD10:$BA10)),
IF(BY$3=$DF10+'Model Setup'!$C$7,SUMIF($BH$3:$CE$3,"="&amp;$DF10+'Model Setup'!$C$7,$AD10:$BA10)+'Model Setup'!$C$8*(SUMIF($BH$3:$CE$3,"&lt;"&amp;$DF10,$AD10:$BA10)+SUMIF($BH$3:$CE$3,"&gt;"&amp;$CW$4,$AD10:$BA10)),
IF(BY$3=$DF10+'Model Setup'!$D$7,SUMIF($BH$3:$CE$3,"="&amp;$DF10+'Model Setup'!$D$7,$AD10:$BA10)+'Model Setup'!$D$8*(SUMIF($BH$3:$CE$3,"&lt;"&amp;$DF10,$AD10:$BA10)+SUMIF($BH$3:$CE$3,"&gt;"&amp;$CW$4,$AD10:$BA10)),
IF(BY$3=$DF10+'Model Setup'!$E$7,SUMIF($BH$3:$CE$3,"="&amp;$DF10+'Model Setup'!$E$7,$AD10:$BA10)+'Model Setup'!$E$8*(SUMIF($BH$3:$CE$3,"&lt;"&amp;$DF10,$AD10:$BA10)+SUMIF($BH$3:$CE$3,"&gt;"&amp;$CW$4,$AD10:$BA10)),
IF(BY$3=$DF10+'Model Setup'!$F$7,SUMIF($BH$3:$CE$3,"="&amp;$DF10+'Model Setup'!$F$7,$AD10:$BA10)+'Model Setup'!$F$8*(SUMIF($BH$3:$CE$3,"&lt;"&amp;$DF10,$AD10:$BA10)+SUMIF($BH$3:$CE$3,"&gt;"&amp;$CW$4,$AD10:$BA10)),
IF(BY$3=$DF10+'Model Setup'!$G$7,SUMIF($BH$3:$CE$3,"="&amp;$DF10+'Model Setup'!$G$7,$AD10:$BA10)+'Model Setup'!$G$8*(SUMIF($BH$3:$CE$3,"&lt;"&amp;$DF10,$AD10:$BA10)+SUMIF($BH$3:$CE$3,"&gt;"&amp;$CW$4,$AD10:$BA10)),
IF(BY$3=$DF10+'Model Setup'!$H$7,SUMIF($BH$3:$CE$3,"="&amp;$DF10+'Model Setup'!$H$7,$AD10:$BA10)+'Model Setup'!$H$8*(SUMIF($BH$3:$CE$3,"&lt;"&amp;$DF10,$AD10:$BA10)+SUMIF($BH$3:$CE$3,"&gt;"&amp;$CW$4,$AD10:$BA10)),
IF(BY$3=$DF10+'Model Setup'!$I$7,SUMIF($BH$3:$CE$3,"="&amp;$DF10+'Model Setup'!$I$7,$AD10:$BA10)+'Model Setup'!$I$8*(SUMIF($BH$3:$CE$3,"&lt;"&amp;$DF10,$AD10:$BA10)+SUMIF($BH$3:$CE$3,"&gt;"&amp;$CW$4,$AD10:$BA10)),
IF(BY$3=$DF10+'Model Setup'!$J$7,SUMIF($BH$3:$CE$3,"="&amp;$DF10+'Model Setup'!$J$7,$AD10:$BA10)+'Model Setup'!$J$8*(SUMIF($BH$3:$CE$3,"&lt;"&amp;$DF10,$AD10:$BA10)+SUMIF($BH$3:$CE$3,"&gt;"&amp;$CW$4,$AD10:$BA10)),
IF(BY$3=$DF10+'Model Setup'!$K$7,SUMIF($BH$3:$CE$3,"="&amp;$DF10+'Model Setup'!$K$7,$AD10:$BA10)+'Model Setup'!$K$8*(SUMIF($BH$3:$CE$3,"&lt;"&amp;$DF10,$AD10:$BA10)+SUMIF($BH$3:$CE$3,"&gt;"&amp;$CW$4,$AD10:$BA10)),
IF(BY$3=$DF10+'Model Setup'!$L$7,SUMIF($BH$3:$CE$3,"="&amp;$DF10+'Model Setup'!$L$7,$AD10:$BA10)+'Model Setup'!$L$8*(SUMIF($BH$3:$CE$3,"&lt;"&amp;$DF10,$AD10:$BA10)+SUMIF($BH$3:$CE$3,"&gt;"&amp;$CW$4,$AD10:$BA10)),
IF(BY$3=$DF10+'Model Setup'!$M$7,SUMIF($BH$3:$CE$3,"="&amp;$DF10+'Model Setup'!$M$7,$AD10:$BA10)+'Model Setup'!$M$8*(SUMIF($BH$3:$CE$3,"&lt;"&amp;$DF10,$AD10:$BA10)+SUMIF($BH$3:$CE$3,"&gt;"&amp;$CW$4,$AD10:$BA10)),
IF(BY$3=$DF10+'Model Setup'!$N$7,SUMIF($BH$3:$CE$3,"="&amp;$DF10+'Model Setup'!$N$7,$AD10:$BA10)+'Model Setup'!$N$8*(SUMIF($BH$3:$CE$3,"&lt;"&amp;$DF10,$AD10:$BA10)+SUMIF($BH$3:$CE$3,"&gt;"&amp;$CW$4,$AD10:$BA10)),
IF(BY$3&lt;$CW$4,S10,0))))))))))))))),0)</f>
        <v>67</v>
      </c>
      <c r="BZ10" s="47">
        <f>ROUND(IF(OR(BZ$3&lt;$DF10,BZ$3&gt;$CW$4),0,
IF(BZ$3=$DF10+'Model Setup'!$B$7,SUMIF($BH$3:$CE$3,"="&amp;$DF10+'Model Setup'!$B$7,$AD10:$BA10)+'Model Setup'!$B$8*(SUMIF($BH$3:$CE$3,"&lt;"&amp;$DF10,$AD10:$BA10)+SUMIF($BH$3:$CE$3,"&gt;"&amp;$CW$4,$AD10:$BA10)),
IF(BZ$3=$DF10+'Model Setup'!$C$7,SUMIF($BH$3:$CE$3,"="&amp;$DF10+'Model Setup'!$C$7,$AD10:$BA10)+'Model Setup'!$C$8*(SUMIF($BH$3:$CE$3,"&lt;"&amp;$DF10,$AD10:$BA10)+SUMIF($BH$3:$CE$3,"&gt;"&amp;$CW$4,$AD10:$BA10)),
IF(BZ$3=$DF10+'Model Setup'!$D$7,SUMIF($BH$3:$CE$3,"="&amp;$DF10+'Model Setup'!$D$7,$AD10:$BA10)+'Model Setup'!$D$8*(SUMIF($BH$3:$CE$3,"&lt;"&amp;$DF10,$AD10:$BA10)+SUMIF($BH$3:$CE$3,"&gt;"&amp;$CW$4,$AD10:$BA10)),
IF(BZ$3=$DF10+'Model Setup'!$E$7,SUMIF($BH$3:$CE$3,"="&amp;$DF10+'Model Setup'!$E$7,$AD10:$BA10)+'Model Setup'!$E$8*(SUMIF($BH$3:$CE$3,"&lt;"&amp;$DF10,$AD10:$BA10)+SUMIF($BH$3:$CE$3,"&gt;"&amp;$CW$4,$AD10:$BA10)),
IF(BZ$3=$DF10+'Model Setup'!$F$7,SUMIF($BH$3:$CE$3,"="&amp;$DF10+'Model Setup'!$F$7,$AD10:$BA10)+'Model Setup'!$F$8*(SUMIF($BH$3:$CE$3,"&lt;"&amp;$DF10,$AD10:$BA10)+SUMIF($BH$3:$CE$3,"&gt;"&amp;$CW$4,$AD10:$BA10)),
IF(BZ$3=$DF10+'Model Setup'!$G$7,SUMIF($BH$3:$CE$3,"="&amp;$DF10+'Model Setup'!$G$7,$AD10:$BA10)+'Model Setup'!$G$8*(SUMIF($BH$3:$CE$3,"&lt;"&amp;$DF10,$AD10:$BA10)+SUMIF($BH$3:$CE$3,"&gt;"&amp;$CW$4,$AD10:$BA10)),
IF(BZ$3=$DF10+'Model Setup'!$H$7,SUMIF($BH$3:$CE$3,"="&amp;$DF10+'Model Setup'!$H$7,$AD10:$BA10)+'Model Setup'!$H$8*(SUMIF($BH$3:$CE$3,"&lt;"&amp;$DF10,$AD10:$BA10)+SUMIF($BH$3:$CE$3,"&gt;"&amp;$CW$4,$AD10:$BA10)),
IF(BZ$3=$DF10+'Model Setup'!$I$7,SUMIF($BH$3:$CE$3,"="&amp;$DF10+'Model Setup'!$I$7,$AD10:$BA10)+'Model Setup'!$I$8*(SUMIF($BH$3:$CE$3,"&lt;"&amp;$DF10,$AD10:$BA10)+SUMIF($BH$3:$CE$3,"&gt;"&amp;$CW$4,$AD10:$BA10)),
IF(BZ$3=$DF10+'Model Setup'!$J$7,SUMIF($BH$3:$CE$3,"="&amp;$DF10+'Model Setup'!$J$7,$AD10:$BA10)+'Model Setup'!$J$8*(SUMIF($BH$3:$CE$3,"&lt;"&amp;$DF10,$AD10:$BA10)+SUMIF($BH$3:$CE$3,"&gt;"&amp;$CW$4,$AD10:$BA10)),
IF(BZ$3=$DF10+'Model Setup'!$K$7,SUMIF($BH$3:$CE$3,"="&amp;$DF10+'Model Setup'!$K$7,$AD10:$BA10)+'Model Setup'!$K$8*(SUMIF($BH$3:$CE$3,"&lt;"&amp;$DF10,$AD10:$BA10)+SUMIF($BH$3:$CE$3,"&gt;"&amp;$CW$4,$AD10:$BA10)),
IF(BZ$3=$DF10+'Model Setup'!$L$7,SUMIF($BH$3:$CE$3,"="&amp;$DF10+'Model Setup'!$L$7,$AD10:$BA10)+'Model Setup'!$L$8*(SUMIF($BH$3:$CE$3,"&lt;"&amp;$DF10,$AD10:$BA10)+SUMIF($BH$3:$CE$3,"&gt;"&amp;$CW$4,$AD10:$BA10)),
IF(BZ$3=$DF10+'Model Setup'!$M$7,SUMIF($BH$3:$CE$3,"="&amp;$DF10+'Model Setup'!$M$7,$AD10:$BA10)+'Model Setup'!$M$8*(SUMIF($BH$3:$CE$3,"&lt;"&amp;$DF10,$AD10:$BA10)+SUMIF($BH$3:$CE$3,"&gt;"&amp;$CW$4,$AD10:$BA10)),
IF(BZ$3=$DF10+'Model Setup'!$N$7,SUMIF($BH$3:$CE$3,"="&amp;$DF10+'Model Setup'!$N$7,$AD10:$BA10)+'Model Setup'!$N$8*(SUMIF($BH$3:$CE$3,"&lt;"&amp;$DF10,$AD10:$BA10)+SUMIF($BH$3:$CE$3,"&gt;"&amp;$CW$4,$AD10:$BA10)),
IF(BZ$3&lt;$CW$4,T10,0))))))))))))))),0)</f>
        <v>75</v>
      </c>
      <c r="CA10" s="47">
        <f>ROUND(IF(OR(CA$3&lt;$DF10,CA$3&gt;$CW$4),0,
IF(CA$3=$DF10+'Model Setup'!$B$7,SUMIF($BH$3:$CE$3,"="&amp;$DF10+'Model Setup'!$B$7,$AD10:$BA10)+'Model Setup'!$B$8*(SUMIF($BH$3:$CE$3,"&lt;"&amp;$DF10,$AD10:$BA10)+SUMIF($BH$3:$CE$3,"&gt;"&amp;$CW$4,$AD10:$BA10)),
IF(CA$3=$DF10+'Model Setup'!$C$7,SUMIF($BH$3:$CE$3,"="&amp;$DF10+'Model Setup'!$C$7,$AD10:$BA10)+'Model Setup'!$C$8*(SUMIF($BH$3:$CE$3,"&lt;"&amp;$DF10,$AD10:$BA10)+SUMIF($BH$3:$CE$3,"&gt;"&amp;$CW$4,$AD10:$BA10)),
IF(CA$3=$DF10+'Model Setup'!$D$7,SUMIF($BH$3:$CE$3,"="&amp;$DF10+'Model Setup'!$D$7,$AD10:$BA10)+'Model Setup'!$D$8*(SUMIF($BH$3:$CE$3,"&lt;"&amp;$DF10,$AD10:$BA10)+SUMIF($BH$3:$CE$3,"&gt;"&amp;$CW$4,$AD10:$BA10)),
IF(CA$3=$DF10+'Model Setup'!$E$7,SUMIF($BH$3:$CE$3,"="&amp;$DF10+'Model Setup'!$E$7,$AD10:$BA10)+'Model Setup'!$E$8*(SUMIF($BH$3:$CE$3,"&lt;"&amp;$DF10,$AD10:$BA10)+SUMIF($BH$3:$CE$3,"&gt;"&amp;$CW$4,$AD10:$BA10)),
IF(CA$3=$DF10+'Model Setup'!$F$7,SUMIF($BH$3:$CE$3,"="&amp;$DF10+'Model Setup'!$F$7,$AD10:$BA10)+'Model Setup'!$F$8*(SUMIF($BH$3:$CE$3,"&lt;"&amp;$DF10,$AD10:$BA10)+SUMIF($BH$3:$CE$3,"&gt;"&amp;$CW$4,$AD10:$BA10)),
IF(CA$3=$DF10+'Model Setup'!$G$7,SUMIF($BH$3:$CE$3,"="&amp;$DF10+'Model Setup'!$G$7,$AD10:$BA10)+'Model Setup'!$G$8*(SUMIF($BH$3:$CE$3,"&lt;"&amp;$DF10,$AD10:$BA10)+SUMIF($BH$3:$CE$3,"&gt;"&amp;$CW$4,$AD10:$BA10)),
IF(CA$3=$DF10+'Model Setup'!$H$7,SUMIF($BH$3:$CE$3,"="&amp;$DF10+'Model Setup'!$H$7,$AD10:$BA10)+'Model Setup'!$H$8*(SUMIF($BH$3:$CE$3,"&lt;"&amp;$DF10,$AD10:$BA10)+SUMIF($BH$3:$CE$3,"&gt;"&amp;$CW$4,$AD10:$BA10)),
IF(CA$3=$DF10+'Model Setup'!$I$7,SUMIF($BH$3:$CE$3,"="&amp;$DF10+'Model Setup'!$I$7,$AD10:$BA10)+'Model Setup'!$I$8*(SUMIF($BH$3:$CE$3,"&lt;"&amp;$DF10,$AD10:$BA10)+SUMIF($BH$3:$CE$3,"&gt;"&amp;$CW$4,$AD10:$BA10)),
IF(CA$3=$DF10+'Model Setup'!$J$7,SUMIF($BH$3:$CE$3,"="&amp;$DF10+'Model Setup'!$J$7,$AD10:$BA10)+'Model Setup'!$J$8*(SUMIF($BH$3:$CE$3,"&lt;"&amp;$DF10,$AD10:$BA10)+SUMIF($BH$3:$CE$3,"&gt;"&amp;$CW$4,$AD10:$BA10)),
IF(CA$3=$DF10+'Model Setup'!$K$7,SUMIF($BH$3:$CE$3,"="&amp;$DF10+'Model Setup'!$K$7,$AD10:$BA10)+'Model Setup'!$K$8*(SUMIF($BH$3:$CE$3,"&lt;"&amp;$DF10,$AD10:$BA10)+SUMIF($BH$3:$CE$3,"&gt;"&amp;$CW$4,$AD10:$BA10)),
IF(CA$3=$DF10+'Model Setup'!$L$7,SUMIF($BH$3:$CE$3,"="&amp;$DF10+'Model Setup'!$L$7,$AD10:$BA10)+'Model Setup'!$L$8*(SUMIF($BH$3:$CE$3,"&lt;"&amp;$DF10,$AD10:$BA10)+SUMIF($BH$3:$CE$3,"&gt;"&amp;$CW$4,$AD10:$BA10)),
IF(CA$3=$DF10+'Model Setup'!$M$7,SUMIF($BH$3:$CE$3,"="&amp;$DF10+'Model Setup'!$M$7,$AD10:$BA10)+'Model Setup'!$M$8*(SUMIF($BH$3:$CE$3,"&lt;"&amp;$DF10,$AD10:$BA10)+SUMIF($BH$3:$CE$3,"&gt;"&amp;$CW$4,$AD10:$BA10)),
IF(CA$3=$DF10+'Model Setup'!$N$7,SUMIF($BH$3:$CE$3,"="&amp;$DF10+'Model Setup'!$N$7,$AD10:$BA10)+'Model Setup'!$N$8*(SUMIF($BH$3:$CE$3,"&lt;"&amp;$DF10,$AD10:$BA10)+SUMIF($BH$3:$CE$3,"&gt;"&amp;$CW$4,$AD10:$BA10)),
IF(CA$3&lt;$CW$4,U10,0))))))))))))))),0)</f>
        <v>0</v>
      </c>
      <c r="CB10" s="47">
        <f>ROUND(IF(OR(CB$3&lt;$DF10,CB$3&gt;$CW$4),0,
IF(CB$3=$DF10+'Model Setup'!$B$7,SUMIF($BH$3:$CE$3,"="&amp;$DF10+'Model Setup'!$B$7,$AD10:$BA10)+'Model Setup'!$B$8*(SUMIF($BH$3:$CE$3,"&lt;"&amp;$DF10,$AD10:$BA10)+SUMIF($BH$3:$CE$3,"&gt;"&amp;$CW$4,$AD10:$BA10)),
IF(CB$3=$DF10+'Model Setup'!$C$7,SUMIF($BH$3:$CE$3,"="&amp;$DF10+'Model Setup'!$C$7,$AD10:$BA10)+'Model Setup'!$C$8*(SUMIF($BH$3:$CE$3,"&lt;"&amp;$DF10,$AD10:$BA10)+SUMIF($BH$3:$CE$3,"&gt;"&amp;$CW$4,$AD10:$BA10)),
IF(CB$3=$DF10+'Model Setup'!$D$7,SUMIF($BH$3:$CE$3,"="&amp;$DF10+'Model Setup'!$D$7,$AD10:$BA10)+'Model Setup'!$D$8*(SUMIF($BH$3:$CE$3,"&lt;"&amp;$DF10,$AD10:$BA10)+SUMIF($BH$3:$CE$3,"&gt;"&amp;$CW$4,$AD10:$BA10)),
IF(CB$3=$DF10+'Model Setup'!$E$7,SUMIF($BH$3:$CE$3,"="&amp;$DF10+'Model Setup'!$E$7,$AD10:$BA10)+'Model Setup'!$E$8*(SUMIF($BH$3:$CE$3,"&lt;"&amp;$DF10,$AD10:$BA10)+SUMIF($BH$3:$CE$3,"&gt;"&amp;$CW$4,$AD10:$BA10)),
IF(CB$3=$DF10+'Model Setup'!$F$7,SUMIF($BH$3:$CE$3,"="&amp;$DF10+'Model Setup'!$F$7,$AD10:$BA10)+'Model Setup'!$F$8*(SUMIF($BH$3:$CE$3,"&lt;"&amp;$DF10,$AD10:$BA10)+SUMIF($BH$3:$CE$3,"&gt;"&amp;$CW$4,$AD10:$BA10)),
IF(CB$3=$DF10+'Model Setup'!$G$7,SUMIF($BH$3:$CE$3,"="&amp;$DF10+'Model Setup'!$G$7,$AD10:$BA10)+'Model Setup'!$G$8*(SUMIF($BH$3:$CE$3,"&lt;"&amp;$DF10,$AD10:$BA10)+SUMIF($BH$3:$CE$3,"&gt;"&amp;$CW$4,$AD10:$BA10)),
IF(CB$3=$DF10+'Model Setup'!$H$7,SUMIF($BH$3:$CE$3,"="&amp;$DF10+'Model Setup'!$H$7,$AD10:$BA10)+'Model Setup'!$H$8*(SUMIF($BH$3:$CE$3,"&lt;"&amp;$DF10,$AD10:$BA10)+SUMIF($BH$3:$CE$3,"&gt;"&amp;$CW$4,$AD10:$BA10)),
IF(CB$3=$DF10+'Model Setup'!$I$7,SUMIF($BH$3:$CE$3,"="&amp;$DF10+'Model Setup'!$I$7,$AD10:$BA10)+'Model Setup'!$I$8*(SUMIF($BH$3:$CE$3,"&lt;"&amp;$DF10,$AD10:$BA10)+SUMIF($BH$3:$CE$3,"&gt;"&amp;$CW$4,$AD10:$BA10)),
IF(CB$3=$DF10+'Model Setup'!$J$7,SUMIF($BH$3:$CE$3,"="&amp;$DF10+'Model Setup'!$J$7,$AD10:$BA10)+'Model Setup'!$J$8*(SUMIF($BH$3:$CE$3,"&lt;"&amp;$DF10,$AD10:$BA10)+SUMIF($BH$3:$CE$3,"&gt;"&amp;$CW$4,$AD10:$BA10)),
IF(CB$3=$DF10+'Model Setup'!$K$7,SUMIF($BH$3:$CE$3,"="&amp;$DF10+'Model Setup'!$K$7,$AD10:$BA10)+'Model Setup'!$K$8*(SUMIF($BH$3:$CE$3,"&lt;"&amp;$DF10,$AD10:$BA10)+SUMIF($BH$3:$CE$3,"&gt;"&amp;$CW$4,$AD10:$BA10)),
IF(CB$3=$DF10+'Model Setup'!$L$7,SUMIF($BH$3:$CE$3,"="&amp;$DF10+'Model Setup'!$L$7,$AD10:$BA10)+'Model Setup'!$L$8*(SUMIF($BH$3:$CE$3,"&lt;"&amp;$DF10,$AD10:$BA10)+SUMIF($BH$3:$CE$3,"&gt;"&amp;$CW$4,$AD10:$BA10)),
IF(CB$3=$DF10+'Model Setup'!$M$7,SUMIF($BH$3:$CE$3,"="&amp;$DF10+'Model Setup'!$M$7,$AD10:$BA10)+'Model Setup'!$M$8*(SUMIF($BH$3:$CE$3,"&lt;"&amp;$DF10,$AD10:$BA10)+SUMIF($BH$3:$CE$3,"&gt;"&amp;$CW$4,$AD10:$BA10)),
IF(CB$3=$DF10+'Model Setup'!$N$7,SUMIF($BH$3:$CE$3,"="&amp;$DF10+'Model Setup'!$N$7,$AD10:$BA10)+'Model Setup'!$N$8*(SUMIF($BH$3:$CE$3,"&lt;"&amp;$DF10,$AD10:$BA10)+SUMIF($BH$3:$CE$3,"&gt;"&amp;$CW$4,$AD10:$BA10)),
IF(CB$3&lt;$CW$4,V10,0))))))))))))))),0)</f>
        <v>0</v>
      </c>
      <c r="CC10" s="47">
        <f>ROUND(IF(OR(CC$3&lt;$DF10,CC$3&gt;$CW$4),0,
IF(CC$3=$DF10+'Model Setup'!$B$7,SUMIF($BH$3:$CE$3,"="&amp;$DF10+'Model Setup'!$B$7,$AD10:$BA10)+'Model Setup'!$B$8*(SUMIF($BH$3:$CE$3,"&lt;"&amp;$DF10,$AD10:$BA10)+SUMIF($BH$3:$CE$3,"&gt;"&amp;$CW$4,$AD10:$BA10)),
IF(CC$3=$DF10+'Model Setup'!$C$7,SUMIF($BH$3:$CE$3,"="&amp;$DF10+'Model Setup'!$C$7,$AD10:$BA10)+'Model Setup'!$C$8*(SUMIF($BH$3:$CE$3,"&lt;"&amp;$DF10,$AD10:$BA10)+SUMIF($BH$3:$CE$3,"&gt;"&amp;$CW$4,$AD10:$BA10)),
IF(CC$3=$DF10+'Model Setup'!$D$7,SUMIF($BH$3:$CE$3,"="&amp;$DF10+'Model Setup'!$D$7,$AD10:$BA10)+'Model Setup'!$D$8*(SUMIF($BH$3:$CE$3,"&lt;"&amp;$DF10,$AD10:$BA10)+SUMIF($BH$3:$CE$3,"&gt;"&amp;$CW$4,$AD10:$BA10)),
IF(CC$3=$DF10+'Model Setup'!$E$7,SUMIF($BH$3:$CE$3,"="&amp;$DF10+'Model Setup'!$E$7,$AD10:$BA10)+'Model Setup'!$E$8*(SUMIF($BH$3:$CE$3,"&lt;"&amp;$DF10,$AD10:$BA10)+SUMIF($BH$3:$CE$3,"&gt;"&amp;$CW$4,$AD10:$BA10)),
IF(CC$3=$DF10+'Model Setup'!$F$7,SUMIF($BH$3:$CE$3,"="&amp;$DF10+'Model Setup'!$F$7,$AD10:$BA10)+'Model Setup'!$F$8*(SUMIF($BH$3:$CE$3,"&lt;"&amp;$DF10,$AD10:$BA10)+SUMIF($BH$3:$CE$3,"&gt;"&amp;$CW$4,$AD10:$BA10)),
IF(CC$3=$DF10+'Model Setup'!$G$7,SUMIF($BH$3:$CE$3,"="&amp;$DF10+'Model Setup'!$G$7,$AD10:$BA10)+'Model Setup'!$G$8*(SUMIF($BH$3:$CE$3,"&lt;"&amp;$DF10,$AD10:$BA10)+SUMIF($BH$3:$CE$3,"&gt;"&amp;$CW$4,$AD10:$BA10)),
IF(CC$3=$DF10+'Model Setup'!$H$7,SUMIF($BH$3:$CE$3,"="&amp;$DF10+'Model Setup'!$H$7,$AD10:$BA10)+'Model Setup'!$H$8*(SUMIF($BH$3:$CE$3,"&lt;"&amp;$DF10,$AD10:$BA10)+SUMIF($BH$3:$CE$3,"&gt;"&amp;$CW$4,$AD10:$BA10)),
IF(CC$3=$DF10+'Model Setup'!$I$7,SUMIF($BH$3:$CE$3,"="&amp;$DF10+'Model Setup'!$I$7,$AD10:$BA10)+'Model Setup'!$I$8*(SUMIF($BH$3:$CE$3,"&lt;"&amp;$DF10,$AD10:$BA10)+SUMIF($BH$3:$CE$3,"&gt;"&amp;$CW$4,$AD10:$BA10)),
IF(CC$3=$DF10+'Model Setup'!$J$7,SUMIF($BH$3:$CE$3,"="&amp;$DF10+'Model Setup'!$J$7,$AD10:$BA10)+'Model Setup'!$J$8*(SUMIF($BH$3:$CE$3,"&lt;"&amp;$DF10,$AD10:$BA10)+SUMIF($BH$3:$CE$3,"&gt;"&amp;$CW$4,$AD10:$BA10)),
IF(CC$3=$DF10+'Model Setup'!$K$7,SUMIF($BH$3:$CE$3,"="&amp;$DF10+'Model Setup'!$K$7,$AD10:$BA10)+'Model Setup'!$K$8*(SUMIF($BH$3:$CE$3,"&lt;"&amp;$DF10,$AD10:$BA10)+SUMIF($BH$3:$CE$3,"&gt;"&amp;$CW$4,$AD10:$BA10)),
IF(CC$3=$DF10+'Model Setup'!$L$7,SUMIF($BH$3:$CE$3,"="&amp;$DF10+'Model Setup'!$L$7,$AD10:$BA10)+'Model Setup'!$L$8*(SUMIF($BH$3:$CE$3,"&lt;"&amp;$DF10,$AD10:$BA10)+SUMIF($BH$3:$CE$3,"&gt;"&amp;$CW$4,$AD10:$BA10)),
IF(CC$3=$DF10+'Model Setup'!$M$7,SUMIF($BH$3:$CE$3,"="&amp;$DF10+'Model Setup'!$M$7,$AD10:$BA10)+'Model Setup'!$M$8*(SUMIF($BH$3:$CE$3,"&lt;"&amp;$DF10,$AD10:$BA10)+SUMIF($BH$3:$CE$3,"&gt;"&amp;$CW$4,$AD10:$BA10)),
IF(CC$3=$DF10+'Model Setup'!$N$7,SUMIF($BH$3:$CE$3,"="&amp;$DF10+'Model Setup'!$N$7,$AD10:$BA10)+'Model Setup'!$N$8*(SUMIF($BH$3:$CE$3,"&lt;"&amp;$DF10,$AD10:$BA10)+SUMIF($BH$3:$CE$3,"&gt;"&amp;$CW$4,$AD10:$BA10)),
IF(CC$3&lt;$CW$4,W10,0))))))))))))))),0)</f>
        <v>0</v>
      </c>
      <c r="CD10" s="47">
        <f>ROUND(IF(OR(CD$3&lt;$DF10,CD$3&gt;$CW$4),0,
IF(CD$3=$DF10+'Model Setup'!$B$7,SUMIF($BH$3:$CE$3,"="&amp;$DF10+'Model Setup'!$B$7,$AD10:$BA10)+'Model Setup'!$B$8*(SUMIF($BH$3:$CE$3,"&lt;"&amp;$DF10,$AD10:$BA10)+SUMIF($BH$3:$CE$3,"&gt;"&amp;$CW$4,$AD10:$BA10)),
IF(CD$3=$DF10+'Model Setup'!$C$7,SUMIF($BH$3:$CE$3,"="&amp;$DF10+'Model Setup'!$C$7,$AD10:$BA10)+'Model Setup'!$C$8*(SUMIF($BH$3:$CE$3,"&lt;"&amp;$DF10,$AD10:$BA10)+SUMIF($BH$3:$CE$3,"&gt;"&amp;$CW$4,$AD10:$BA10)),
IF(CD$3=$DF10+'Model Setup'!$D$7,SUMIF($BH$3:$CE$3,"="&amp;$DF10+'Model Setup'!$D$7,$AD10:$BA10)+'Model Setup'!$D$8*(SUMIF($BH$3:$CE$3,"&lt;"&amp;$DF10,$AD10:$BA10)+SUMIF($BH$3:$CE$3,"&gt;"&amp;$CW$4,$AD10:$BA10)),
IF(CD$3=$DF10+'Model Setup'!$E$7,SUMIF($BH$3:$CE$3,"="&amp;$DF10+'Model Setup'!$E$7,$AD10:$BA10)+'Model Setup'!$E$8*(SUMIF($BH$3:$CE$3,"&lt;"&amp;$DF10,$AD10:$BA10)+SUMIF($BH$3:$CE$3,"&gt;"&amp;$CW$4,$AD10:$BA10)),
IF(CD$3=$DF10+'Model Setup'!$F$7,SUMIF($BH$3:$CE$3,"="&amp;$DF10+'Model Setup'!$F$7,$AD10:$BA10)+'Model Setup'!$F$8*(SUMIF($BH$3:$CE$3,"&lt;"&amp;$DF10,$AD10:$BA10)+SUMIF($BH$3:$CE$3,"&gt;"&amp;$CW$4,$AD10:$BA10)),
IF(CD$3=$DF10+'Model Setup'!$G$7,SUMIF($BH$3:$CE$3,"="&amp;$DF10+'Model Setup'!$G$7,$AD10:$BA10)+'Model Setup'!$G$8*(SUMIF($BH$3:$CE$3,"&lt;"&amp;$DF10,$AD10:$BA10)+SUMIF($BH$3:$CE$3,"&gt;"&amp;$CW$4,$AD10:$BA10)),
IF(CD$3=$DF10+'Model Setup'!$H$7,SUMIF($BH$3:$CE$3,"="&amp;$DF10+'Model Setup'!$H$7,$AD10:$BA10)+'Model Setup'!$H$8*(SUMIF($BH$3:$CE$3,"&lt;"&amp;$DF10,$AD10:$BA10)+SUMIF($BH$3:$CE$3,"&gt;"&amp;$CW$4,$AD10:$BA10)),
IF(CD$3=$DF10+'Model Setup'!$I$7,SUMIF($BH$3:$CE$3,"="&amp;$DF10+'Model Setup'!$I$7,$AD10:$BA10)+'Model Setup'!$I$8*(SUMIF($BH$3:$CE$3,"&lt;"&amp;$DF10,$AD10:$BA10)+SUMIF($BH$3:$CE$3,"&gt;"&amp;$CW$4,$AD10:$BA10)),
IF(CD$3=$DF10+'Model Setup'!$J$7,SUMIF($BH$3:$CE$3,"="&amp;$DF10+'Model Setup'!$J$7,$AD10:$BA10)+'Model Setup'!$J$8*(SUMIF($BH$3:$CE$3,"&lt;"&amp;$DF10,$AD10:$BA10)+SUMIF($BH$3:$CE$3,"&gt;"&amp;$CW$4,$AD10:$BA10)),
IF(CD$3=$DF10+'Model Setup'!$K$7,SUMIF($BH$3:$CE$3,"="&amp;$DF10+'Model Setup'!$K$7,$AD10:$BA10)+'Model Setup'!$K$8*(SUMIF($BH$3:$CE$3,"&lt;"&amp;$DF10,$AD10:$BA10)+SUMIF($BH$3:$CE$3,"&gt;"&amp;$CW$4,$AD10:$BA10)),
IF(CD$3=$DF10+'Model Setup'!$L$7,SUMIF($BH$3:$CE$3,"="&amp;$DF10+'Model Setup'!$L$7,$AD10:$BA10)+'Model Setup'!$L$8*(SUMIF($BH$3:$CE$3,"&lt;"&amp;$DF10,$AD10:$BA10)+SUMIF($BH$3:$CE$3,"&gt;"&amp;$CW$4,$AD10:$BA10)),
IF(CD$3=$DF10+'Model Setup'!$M$7,SUMIF($BH$3:$CE$3,"="&amp;$DF10+'Model Setup'!$M$7,$AD10:$BA10)+'Model Setup'!$M$8*(SUMIF($BH$3:$CE$3,"&lt;"&amp;$DF10,$AD10:$BA10)+SUMIF($BH$3:$CE$3,"&gt;"&amp;$CW$4,$AD10:$BA10)),
IF(CD$3=$DF10+'Model Setup'!$N$7,SUMIF($BH$3:$CE$3,"="&amp;$DF10+'Model Setup'!$N$7,$AD10:$BA10)+'Model Setup'!$N$8*(SUMIF($BH$3:$CE$3,"&lt;"&amp;$DF10,$AD10:$BA10)+SUMIF($BH$3:$CE$3,"&gt;"&amp;$CW$4,$AD10:$BA10)),
IF(CD$3&lt;$CW$4,X10,0))))))))))))))),0)</f>
        <v>0</v>
      </c>
      <c r="CE10" s="47">
        <f>ROUND(IF(OR(CE$3&lt;$DF10,CE$3&gt;$CW$4),0,
IF(CE$3=$DF10+'Model Setup'!$B$7,SUMIF($BH$3:$CE$3,"="&amp;$DF10+'Model Setup'!$B$7,$AD10:$BA10)+'Model Setup'!$B$8*(SUMIF($BH$3:$CE$3,"&lt;"&amp;$DF10,$AD10:$BA10)+SUMIF($BH$3:$CE$3,"&gt;"&amp;$CW$4,$AD10:$BA10)),
IF(CE$3=$DF10+'Model Setup'!$C$7,SUMIF($BH$3:$CE$3,"="&amp;$DF10+'Model Setup'!$C$7,$AD10:$BA10)+'Model Setup'!$C$8*(SUMIF($BH$3:$CE$3,"&lt;"&amp;$DF10,$AD10:$BA10)+SUMIF($BH$3:$CE$3,"&gt;"&amp;$CW$4,$AD10:$BA10)),
IF(CE$3=$DF10+'Model Setup'!$D$7,SUMIF($BH$3:$CE$3,"="&amp;$DF10+'Model Setup'!$D$7,$AD10:$BA10)+'Model Setup'!$D$8*(SUMIF($BH$3:$CE$3,"&lt;"&amp;$DF10,$AD10:$BA10)+SUMIF($BH$3:$CE$3,"&gt;"&amp;$CW$4,$AD10:$BA10)),
IF(CE$3=$DF10+'Model Setup'!$E$7,SUMIF($BH$3:$CE$3,"="&amp;$DF10+'Model Setup'!$E$7,$AD10:$BA10)+'Model Setup'!$E$8*(SUMIF($BH$3:$CE$3,"&lt;"&amp;$DF10,$AD10:$BA10)+SUMIF($BH$3:$CE$3,"&gt;"&amp;$CW$4,$AD10:$BA10)),
IF(CE$3=$DF10+'Model Setup'!$F$7,SUMIF($BH$3:$CE$3,"="&amp;$DF10+'Model Setup'!$F$7,$AD10:$BA10)+'Model Setup'!$F$8*(SUMIF($BH$3:$CE$3,"&lt;"&amp;$DF10,$AD10:$BA10)+SUMIF($BH$3:$CE$3,"&gt;"&amp;$CW$4,$AD10:$BA10)),
IF(CE$3=$DF10+'Model Setup'!$G$7,SUMIF($BH$3:$CE$3,"="&amp;$DF10+'Model Setup'!$G$7,$AD10:$BA10)+'Model Setup'!$G$8*(SUMIF($BH$3:$CE$3,"&lt;"&amp;$DF10,$AD10:$BA10)+SUMIF($BH$3:$CE$3,"&gt;"&amp;$CW$4,$AD10:$BA10)),
IF(CE$3=$DF10+'Model Setup'!$H$7,SUMIF($BH$3:$CE$3,"="&amp;$DF10+'Model Setup'!$H$7,$AD10:$BA10)+'Model Setup'!$H$8*(SUMIF($BH$3:$CE$3,"&lt;"&amp;$DF10,$AD10:$BA10)+SUMIF($BH$3:$CE$3,"&gt;"&amp;$CW$4,$AD10:$BA10)),
IF(CE$3=$DF10+'Model Setup'!$I$7,SUMIF($BH$3:$CE$3,"="&amp;$DF10+'Model Setup'!$I$7,$AD10:$BA10)+'Model Setup'!$I$8*(SUMIF($BH$3:$CE$3,"&lt;"&amp;$DF10,$AD10:$BA10)+SUMIF($BH$3:$CE$3,"&gt;"&amp;$CW$4,$AD10:$BA10)),
IF(CE$3=$DF10+'Model Setup'!$J$7,SUMIF($BH$3:$CE$3,"="&amp;$DF10+'Model Setup'!$J$7,$AD10:$BA10)+'Model Setup'!$J$8*(SUMIF($BH$3:$CE$3,"&lt;"&amp;$DF10,$AD10:$BA10)+SUMIF($BH$3:$CE$3,"&gt;"&amp;$CW$4,$AD10:$BA10)),
IF(CE$3=$DF10+'Model Setup'!$K$7,SUMIF($BH$3:$CE$3,"="&amp;$DF10+'Model Setup'!$K$7,$AD10:$BA10)+'Model Setup'!$K$8*(SUMIF($BH$3:$CE$3,"&lt;"&amp;$DF10,$AD10:$BA10)+SUMIF($BH$3:$CE$3,"&gt;"&amp;$CW$4,$AD10:$BA10)),
IF(CE$3=$DF10+'Model Setup'!$L$7,SUMIF($BH$3:$CE$3,"="&amp;$DF10+'Model Setup'!$L$7,$AD10:$BA10)+'Model Setup'!$L$8*(SUMIF($BH$3:$CE$3,"&lt;"&amp;$DF10,$AD10:$BA10)+SUMIF($BH$3:$CE$3,"&gt;"&amp;$CW$4,$AD10:$BA10)),
IF(CE$3=$DF10+'Model Setup'!$M$7,SUMIF($BH$3:$CE$3,"="&amp;$DF10+'Model Setup'!$M$7,$AD10:$BA10)+'Model Setup'!$M$8*(SUMIF($BH$3:$CE$3,"&lt;"&amp;$DF10,$AD10:$BA10)+SUMIF($BH$3:$CE$3,"&gt;"&amp;$CW$4,$AD10:$BA10)),
IF(CE$3=$DF10+'Model Setup'!$N$7,SUMIF($BH$3:$CE$3,"="&amp;$DF10+'Model Setup'!$N$7,$AD10:$BA10)+'Model Setup'!$N$8*(SUMIF($BH$3:$CE$3,"&lt;"&amp;$DF10,$AD10:$BA10)+SUMIF($BH$3:$CE$3,"&gt;"&amp;$CW$4,$AD10:$BA10)),
IF(CE$3&lt;$CW$4,Y10,0))))))))))))))),0)</f>
        <v>0</v>
      </c>
      <c r="CF10" s="47">
        <f t="shared" si="3"/>
        <v>880</v>
      </c>
      <c r="CG10" s="47">
        <f t="shared" si="4"/>
        <v>-14</v>
      </c>
      <c r="CI10" s="10" t="s">
        <v>25</v>
      </c>
      <c r="CJ10" s="126">
        <f t="shared" si="9"/>
        <v>0</v>
      </c>
      <c r="CK10" s="126">
        <f t="shared" si="10"/>
        <v>0</v>
      </c>
      <c r="CL10" s="126">
        <f t="shared" si="11"/>
        <v>97</v>
      </c>
      <c r="CM10" s="126">
        <f t="shared" si="12"/>
        <v>122</v>
      </c>
      <c r="CN10" s="126">
        <f t="shared" si="13"/>
        <v>121</v>
      </c>
      <c r="CO10" s="126">
        <f t="shared" si="14"/>
        <v>109</v>
      </c>
      <c r="CP10" s="126">
        <f t="shared" si="15"/>
        <v>71</v>
      </c>
      <c r="CQ10" s="126">
        <f t="shared" si="16"/>
        <v>54</v>
      </c>
      <c r="CR10" s="126">
        <f t="shared" si="17"/>
        <v>54</v>
      </c>
      <c r="CS10" s="126">
        <f t="shared" si="18"/>
        <v>54</v>
      </c>
      <c r="CT10" s="126">
        <f t="shared" si="19"/>
        <v>26</v>
      </c>
      <c r="CU10" s="126">
        <f t="shared" si="20"/>
        <v>30</v>
      </c>
      <c r="CV10" s="126">
        <f t="shared" si="21"/>
        <v>53</v>
      </c>
      <c r="CW10" s="126">
        <f t="shared" si="22"/>
        <v>57</v>
      </c>
      <c r="CX10" s="126">
        <f t="shared" si="23"/>
        <v>46</v>
      </c>
      <c r="CY10" s="126">
        <f t="shared" si="24"/>
        <v>0</v>
      </c>
      <c r="CZ10" s="47">
        <f t="shared" si="7"/>
        <v>848</v>
      </c>
      <c r="DC10" s="93" t="s">
        <v>25</v>
      </c>
      <c r="DD10" s="89">
        <f>FTC!E8</f>
        <v>0.29166666666666669</v>
      </c>
      <c r="DE10" s="89">
        <f>FTC!F8</f>
        <v>0.83333333333333337</v>
      </c>
      <c r="DF10" s="90">
        <f t="shared" si="25"/>
        <v>7</v>
      </c>
      <c r="DG10" s="91">
        <f t="shared" si="26"/>
        <v>20</v>
      </c>
      <c r="DH10" s="91">
        <f t="shared" si="27"/>
        <v>13</v>
      </c>
    </row>
    <row r="11" spans="1:112" x14ac:dyDescent="0.35">
      <c r="A11" s="43" t="s">
        <v>26</v>
      </c>
      <c r="B11" s="47">
        <v>1</v>
      </c>
      <c r="C11" s="47">
        <v>3</v>
      </c>
      <c r="D11" s="47">
        <v>1</v>
      </c>
      <c r="E11" s="47">
        <v>7</v>
      </c>
      <c r="F11" s="47">
        <v>15</v>
      </c>
      <c r="G11" s="47">
        <v>14</v>
      </c>
      <c r="H11" s="47">
        <v>67</v>
      </c>
      <c r="I11" s="47">
        <v>101</v>
      </c>
      <c r="J11" s="47">
        <v>99</v>
      </c>
      <c r="K11" s="47">
        <v>94</v>
      </c>
      <c r="L11" s="47">
        <v>69</v>
      </c>
      <c r="M11" s="47">
        <v>48</v>
      </c>
      <c r="N11" s="47">
        <v>30</v>
      </c>
      <c r="O11" s="47">
        <v>26</v>
      </c>
      <c r="P11" s="47">
        <v>20</v>
      </c>
      <c r="Q11" s="47">
        <v>27</v>
      </c>
      <c r="R11" s="47">
        <v>12</v>
      </c>
      <c r="S11" s="47">
        <v>16</v>
      </c>
      <c r="T11" s="47">
        <v>11</v>
      </c>
      <c r="U11" s="47">
        <v>4</v>
      </c>
      <c r="V11" s="47">
        <v>2</v>
      </c>
      <c r="W11" s="47">
        <v>4</v>
      </c>
      <c r="X11" s="47">
        <v>1</v>
      </c>
      <c r="Y11" s="6"/>
      <c r="Z11" s="47">
        <f t="shared" si="0"/>
        <v>672</v>
      </c>
      <c r="AC11" s="43" t="s">
        <v>26</v>
      </c>
      <c r="AD11" s="47">
        <f>ROUND(IF(AD$3&lt;$DF11,0,
IF(AD$3=$DF11+'Model Setup'!$B$7,SUMIF($AD$3:$BA$3,"="&amp;$DF11+'Model Setup'!$B$7,$B11:$Y11)+'Model Setup'!$B$8*(SUMIF($AD$3:$BA$3,"&lt;"&amp;$DF11,$B11:$Y11)+SUMIF($AD$3:$BA$3,"&gt;="&amp;$DG11,$B11:$Y11)),
IF(AD$3=$DF11+'Model Setup'!$C$7,SUMIF($AD$3:$BA$3,"="&amp;$DF11+'Model Setup'!$C$7,$B11:$Y11)+'Model Setup'!$C$8*(SUMIF($AD$3:$BA$3,"&lt;"&amp;$DF11,$B11:$Y11)+SUMIF($AD$3:$BA$3,"&gt;="&amp;$DG11,$B11:$Y11)),
IF(AD$3=$DF11+'Model Setup'!$D$7,SUMIF($AD$3:$BA$3,"="&amp;$DF11+'Model Setup'!$D$7,$B11:$Y11)+'Model Setup'!$D$8*(SUMIF($AD$3:$BA$3,"&lt;"&amp;$DF11,$B11:$Y11)+SUMIF($AD$3:$BA$3,"&gt;="&amp;$DG11,$B11:$Y11)),
IF(AD$3=$DF11+'Model Setup'!$E$7,SUMIF($AD$3:$BA$3,"="&amp;$DF11+'Model Setup'!$E$7,$B11:$Y11)+'Model Setup'!$E$8*(SUMIF($AD$3:$BA$3,"&lt;"&amp;$DF11,$B11:$Y11)+SUMIF($AD$3:$BA$3,"&gt;="&amp;$DG11,$B11:$Y11)),
IF(AD$3=$DF11+'Model Setup'!$F$7,SUMIF($AD$3:$BA$3,"="&amp;$DF11+'Model Setup'!$F$7,$B11:$Y11)+'Model Setup'!$F$8*(SUMIF($AD$3:$BA$3,"&lt;"&amp;$DF11,$B11:$Y11)+SUMIF($AD$3:$BA$3,"&gt;="&amp;$DG11,$B11:$Y11)),
IF(AD$3=$DF11+'Model Setup'!$G$7,SUMIF($AD$3:$BA$3,"="&amp;$DF11+'Model Setup'!$G$7,$B11:$Y11)+'Model Setup'!$G$8*(SUMIF($AD$3:$BA$3,"&lt;"&amp;$DF11,$B11:$Y11)+SUMIF($AD$3:$BA$3,"&gt;="&amp;$DG11,$B11:$Y11)),
IF(AD$3=$DF11+'Model Setup'!$H$7,SUMIF($AD$3:$BA$3,"="&amp;$DF11+'Model Setup'!$H$7,$B11:$Y11)+'Model Setup'!$H$8*(SUMIF($AD$3:$BA$3,"&lt;"&amp;$DF11,$B11:$Y11)+SUMIF($AD$3:$BA$3,"&gt;="&amp;$DG11,$B11:$Y11)),
IF(AD$3=$DF11+'Model Setup'!$I$7,SUMIF($AD$3:$BA$3,"="&amp;$DF11+'Model Setup'!$I$7,$B11:$Y11)+'Model Setup'!$I$8*(SUMIF($AD$3:$BA$3,"&lt;"&amp;$DF11,$B11:$Y11)+SUMIF($AD$3:$BA$3,"&gt;="&amp;$DG11,$B11:$Y11)),
IF(AD$3=$DF11+'Model Setup'!$J$7,SUMIF($AD$3:$BA$3,"="&amp;$DF11+'Model Setup'!$J$7,$B11:$Y11)+'Model Setup'!$J$8*(SUMIF($AD$3:$BA$3,"&lt;"&amp;$DF11,$B11:$Y11)+SUMIF($AD$3:$BA$3,"&gt;="&amp;$DG11,$B11:$Y11)),
IF(AD$3=$DF11+'Model Setup'!$K$7,SUMIF($AD$3:$BA$3,"="&amp;$DF11+'Model Setup'!$K$7,$B11:$Y11)+'Model Setup'!$K$8*(SUMIF($AD$3:$BA$3,"&lt;"&amp;$DF11,$B11:$Y11)+SUMIF($AD$3:$BA$3,"&gt;="&amp;$DG11,$B11:$Y11)),
IF(AD$3=$DF11+'Model Setup'!$L$7,SUMIF($AD$3:$BA$3,"="&amp;$DF11+'Model Setup'!$L$7,$B11:$Y11)+'Model Setup'!$L$8*(SUMIF($AD$3:$BA$3,"&lt;"&amp;$DF11,$B11:$Y11)+SUMIF($AD$3:$BA$3,"&gt;="&amp;$DG11,$B11:$Y11)),
IF(AD$3=$DF11+'Model Setup'!$M$7,SUMIF($AD$3:$BA$3,"="&amp;$DF11+'Model Setup'!$M$7,$B11:$Y11)+'Model Setup'!$M$8*(SUMIF($AD$3:$BA$3,"&lt;"&amp;$DF11,$B11:$Y11)+SUMIF($AD$3:$BA$3,"&gt;="&amp;$DG11,$B11:$Y11)),
IF(AD$3=$DF11+'Model Setup'!$N$7,SUMIF($AD$3:$BA$3,"="&amp;$DF11+'Model Setup'!$N$7,$B11:$Y11)+'Model Setup'!$N$8*(SUMIF($AD$3:$BA$3,"&lt;"&amp;$DF11,$B11:$Y11)+SUMIF($AD$3:$BA$3,"&gt;="&amp;$DG11,$B11:$Y11)),
IF(AD$3&lt;$DG11,B11,0))))))))))))))),0)</f>
        <v>0</v>
      </c>
      <c r="AE11" s="47">
        <f>ROUND(IF(AE$3&lt;$DF11,0,
IF(AE$3=$DF11+'Model Setup'!$B$7,SUMIF($AD$3:$BA$3,"="&amp;$DF11+'Model Setup'!$B$7,$B11:$Y11)+'Model Setup'!$B$8*(SUMIF($AD$3:$BA$3,"&lt;"&amp;$DF11,$B11:$Y11)+SUMIF($AD$3:$BA$3,"&gt;="&amp;$DG11,$B11:$Y11)),
IF(AE$3=$DF11+'Model Setup'!$C$7,SUMIF($AD$3:$BA$3,"="&amp;$DF11+'Model Setup'!$C$7,$B11:$Y11)+'Model Setup'!$C$8*(SUMIF($AD$3:$BA$3,"&lt;"&amp;$DF11,$B11:$Y11)+SUMIF($AD$3:$BA$3,"&gt;="&amp;$DG11,$B11:$Y11)),
IF(AE$3=$DF11+'Model Setup'!$D$7,SUMIF($AD$3:$BA$3,"="&amp;$DF11+'Model Setup'!$D$7,$B11:$Y11)+'Model Setup'!$D$8*(SUMIF($AD$3:$BA$3,"&lt;"&amp;$DF11,$B11:$Y11)+SUMIF($AD$3:$BA$3,"&gt;="&amp;$DG11,$B11:$Y11)),
IF(AE$3=$DF11+'Model Setup'!$E$7,SUMIF($AD$3:$BA$3,"="&amp;$DF11+'Model Setup'!$E$7,$B11:$Y11)+'Model Setup'!$E$8*(SUMIF($AD$3:$BA$3,"&lt;"&amp;$DF11,$B11:$Y11)+SUMIF($AD$3:$BA$3,"&gt;="&amp;$DG11,$B11:$Y11)),
IF(AE$3=$DF11+'Model Setup'!$F$7,SUMIF($AD$3:$BA$3,"="&amp;$DF11+'Model Setup'!$F$7,$B11:$Y11)+'Model Setup'!$F$8*(SUMIF($AD$3:$BA$3,"&lt;"&amp;$DF11,$B11:$Y11)+SUMIF($AD$3:$BA$3,"&gt;="&amp;$DG11,$B11:$Y11)),
IF(AE$3=$DF11+'Model Setup'!$G$7,SUMIF($AD$3:$BA$3,"="&amp;$DF11+'Model Setup'!$G$7,$B11:$Y11)+'Model Setup'!$G$8*(SUMIF($AD$3:$BA$3,"&lt;"&amp;$DF11,$B11:$Y11)+SUMIF($AD$3:$BA$3,"&gt;="&amp;$DG11,$B11:$Y11)),
IF(AE$3=$DF11+'Model Setup'!$H$7,SUMIF($AD$3:$BA$3,"="&amp;$DF11+'Model Setup'!$H$7,$B11:$Y11)+'Model Setup'!$H$8*(SUMIF($AD$3:$BA$3,"&lt;"&amp;$DF11,$B11:$Y11)+SUMIF($AD$3:$BA$3,"&gt;="&amp;$DG11,$B11:$Y11)),
IF(AE$3=$DF11+'Model Setup'!$I$7,SUMIF($AD$3:$BA$3,"="&amp;$DF11+'Model Setup'!$I$7,$B11:$Y11)+'Model Setup'!$I$8*(SUMIF($AD$3:$BA$3,"&lt;"&amp;$DF11,$B11:$Y11)+SUMIF($AD$3:$BA$3,"&gt;="&amp;$DG11,$B11:$Y11)),
IF(AE$3=$DF11+'Model Setup'!$J$7,SUMIF($AD$3:$BA$3,"="&amp;$DF11+'Model Setup'!$J$7,$B11:$Y11)+'Model Setup'!$J$8*(SUMIF($AD$3:$BA$3,"&lt;"&amp;$DF11,$B11:$Y11)+SUMIF($AD$3:$BA$3,"&gt;="&amp;$DG11,$B11:$Y11)),
IF(AE$3=$DF11+'Model Setup'!$K$7,SUMIF($AD$3:$BA$3,"="&amp;$DF11+'Model Setup'!$K$7,$B11:$Y11)+'Model Setup'!$K$8*(SUMIF($AD$3:$BA$3,"&lt;"&amp;$DF11,$B11:$Y11)+SUMIF($AD$3:$BA$3,"&gt;="&amp;$DG11,$B11:$Y11)),
IF(AE$3=$DF11+'Model Setup'!$L$7,SUMIF($AD$3:$BA$3,"="&amp;$DF11+'Model Setup'!$L$7,$B11:$Y11)+'Model Setup'!$L$8*(SUMIF($AD$3:$BA$3,"&lt;"&amp;$DF11,$B11:$Y11)+SUMIF($AD$3:$BA$3,"&gt;="&amp;$DG11,$B11:$Y11)),
IF(AE$3=$DF11+'Model Setup'!$M$7,SUMIF($AD$3:$BA$3,"="&amp;$DF11+'Model Setup'!$M$7,$B11:$Y11)+'Model Setup'!$M$8*(SUMIF($AD$3:$BA$3,"&lt;"&amp;$DF11,$B11:$Y11)+SUMIF($AD$3:$BA$3,"&gt;="&amp;$DG11,$B11:$Y11)),
IF(AE$3=$DF11+'Model Setup'!$N$7,SUMIF($AD$3:$BA$3,"="&amp;$DF11+'Model Setup'!$N$7,$B11:$Y11)+'Model Setup'!$N$8*(SUMIF($AD$3:$BA$3,"&lt;"&amp;$DF11,$B11:$Y11)+SUMIF($AD$3:$BA$3,"&gt;="&amp;$DG11,$B11:$Y11)),
IF(AE$3&lt;$DG11,C11,0))))))))))))))),0)</f>
        <v>0</v>
      </c>
      <c r="AF11" s="47">
        <f>ROUND(IF(AF$3&lt;$DF11,0,
IF(AF$3=$DF11+'Model Setup'!$B$7,SUMIF($AD$3:$BA$3,"="&amp;$DF11+'Model Setup'!$B$7,$B11:$Y11)+'Model Setup'!$B$8*(SUMIF($AD$3:$BA$3,"&lt;"&amp;$DF11,$B11:$Y11)+SUMIF($AD$3:$BA$3,"&gt;="&amp;$DG11,$B11:$Y11)),
IF(AF$3=$DF11+'Model Setup'!$C$7,SUMIF($AD$3:$BA$3,"="&amp;$DF11+'Model Setup'!$C$7,$B11:$Y11)+'Model Setup'!$C$8*(SUMIF($AD$3:$BA$3,"&lt;"&amp;$DF11,$B11:$Y11)+SUMIF($AD$3:$BA$3,"&gt;="&amp;$DG11,$B11:$Y11)),
IF(AF$3=$DF11+'Model Setup'!$D$7,SUMIF($AD$3:$BA$3,"="&amp;$DF11+'Model Setup'!$D$7,$B11:$Y11)+'Model Setup'!$D$8*(SUMIF($AD$3:$BA$3,"&lt;"&amp;$DF11,$B11:$Y11)+SUMIF($AD$3:$BA$3,"&gt;="&amp;$DG11,$B11:$Y11)),
IF(AF$3=$DF11+'Model Setup'!$E$7,SUMIF($AD$3:$BA$3,"="&amp;$DF11+'Model Setup'!$E$7,$B11:$Y11)+'Model Setup'!$E$8*(SUMIF($AD$3:$BA$3,"&lt;"&amp;$DF11,$B11:$Y11)+SUMIF($AD$3:$BA$3,"&gt;="&amp;$DG11,$B11:$Y11)),
IF(AF$3=$DF11+'Model Setup'!$F$7,SUMIF($AD$3:$BA$3,"="&amp;$DF11+'Model Setup'!$F$7,$B11:$Y11)+'Model Setup'!$F$8*(SUMIF($AD$3:$BA$3,"&lt;"&amp;$DF11,$B11:$Y11)+SUMIF($AD$3:$BA$3,"&gt;="&amp;$DG11,$B11:$Y11)),
IF(AF$3=$DF11+'Model Setup'!$G$7,SUMIF($AD$3:$BA$3,"="&amp;$DF11+'Model Setup'!$G$7,$B11:$Y11)+'Model Setup'!$G$8*(SUMIF($AD$3:$BA$3,"&lt;"&amp;$DF11,$B11:$Y11)+SUMIF($AD$3:$BA$3,"&gt;="&amp;$DG11,$B11:$Y11)),
IF(AF$3=$DF11+'Model Setup'!$H$7,SUMIF($AD$3:$BA$3,"="&amp;$DF11+'Model Setup'!$H$7,$B11:$Y11)+'Model Setup'!$H$8*(SUMIF($AD$3:$BA$3,"&lt;"&amp;$DF11,$B11:$Y11)+SUMIF($AD$3:$BA$3,"&gt;="&amp;$DG11,$B11:$Y11)),
IF(AF$3=$DF11+'Model Setup'!$I$7,SUMIF($AD$3:$BA$3,"="&amp;$DF11+'Model Setup'!$I$7,$B11:$Y11)+'Model Setup'!$I$8*(SUMIF($AD$3:$BA$3,"&lt;"&amp;$DF11,$B11:$Y11)+SUMIF($AD$3:$BA$3,"&gt;="&amp;$DG11,$B11:$Y11)),
IF(AF$3=$DF11+'Model Setup'!$J$7,SUMIF($AD$3:$BA$3,"="&amp;$DF11+'Model Setup'!$J$7,$B11:$Y11)+'Model Setup'!$J$8*(SUMIF($AD$3:$BA$3,"&lt;"&amp;$DF11,$B11:$Y11)+SUMIF($AD$3:$BA$3,"&gt;="&amp;$DG11,$B11:$Y11)),
IF(AF$3=$DF11+'Model Setup'!$K$7,SUMIF($AD$3:$BA$3,"="&amp;$DF11+'Model Setup'!$K$7,$B11:$Y11)+'Model Setup'!$K$8*(SUMIF($AD$3:$BA$3,"&lt;"&amp;$DF11,$B11:$Y11)+SUMIF($AD$3:$BA$3,"&gt;="&amp;$DG11,$B11:$Y11)),
IF(AF$3=$DF11+'Model Setup'!$L$7,SUMIF($AD$3:$BA$3,"="&amp;$DF11+'Model Setup'!$L$7,$B11:$Y11)+'Model Setup'!$L$8*(SUMIF($AD$3:$BA$3,"&lt;"&amp;$DF11,$B11:$Y11)+SUMIF($AD$3:$BA$3,"&gt;="&amp;$DG11,$B11:$Y11)),
IF(AF$3=$DF11+'Model Setup'!$M$7,SUMIF($AD$3:$BA$3,"="&amp;$DF11+'Model Setup'!$M$7,$B11:$Y11)+'Model Setup'!$M$8*(SUMIF($AD$3:$BA$3,"&lt;"&amp;$DF11,$B11:$Y11)+SUMIF($AD$3:$BA$3,"&gt;="&amp;$DG11,$B11:$Y11)),
IF(AF$3=$DF11+'Model Setup'!$N$7,SUMIF($AD$3:$BA$3,"="&amp;$DF11+'Model Setup'!$N$7,$B11:$Y11)+'Model Setup'!$N$8*(SUMIF($AD$3:$BA$3,"&lt;"&amp;$DF11,$B11:$Y11)+SUMIF($AD$3:$BA$3,"&gt;="&amp;$DG11,$B11:$Y11)),
IF(AF$3&lt;$DG11,D11,0))))))))))))))),0)</f>
        <v>0</v>
      </c>
      <c r="AG11" s="47">
        <f>ROUND(IF(AG$3&lt;$DF11,0,
IF(AG$3=$DF11+'Model Setup'!$B$7,SUMIF($AD$3:$BA$3,"="&amp;$DF11+'Model Setup'!$B$7,$B11:$Y11)+'Model Setup'!$B$8*(SUMIF($AD$3:$BA$3,"&lt;"&amp;$DF11,$B11:$Y11)+SUMIF($AD$3:$BA$3,"&gt;="&amp;$DG11,$B11:$Y11)),
IF(AG$3=$DF11+'Model Setup'!$C$7,SUMIF($AD$3:$BA$3,"="&amp;$DF11+'Model Setup'!$C$7,$B11:$Y11)+'Model Setup'!$C$8*(SUMIF($AD$3:$BA$3,"&lt;"&amp;$DF11,$B11:$Y11)+SUMIF($AD$3:$BA$3,"&gt;="&amp;$DG11,$B11:$Y11)),
IF(AG$3=$DF11+'Model Setup'!$D$7,SUMIF($AD$3:$BA$3,"="&amp;$DF11+'Model Setup'!$D$7,$B11:$Y11)+'Model Setup'!$D$8*(SUMIF($AD$3:$BA$3,"&lt;"&amp;$DF11,$B11:$Y11)+SUMIF($AD$3:$BA$3,"&gt;="&amp;$DG11,$B11:$Y11)),
IF(AG$3=$DF11+'Model Setup'!$E$7,SUMIF($AD$3:$BA$3,"="&amp;$DF11+'Model Setup'!$E$7,$B11:$Y11)+'Model Setup'!$E$8*(SUMIF($AD$3:$BA$3,"&lt;"&amp;$DF11,$B11:$Y11)+SUMIF($AD$3:$BA$3,"&gt;="&amp;$DG11,$B11:$Y11)),
IF(AG$3=$DF11+'Model Setup'!$F$7,SUMIF($AD$3:$BA$3,"="&amp;$DF11+'Model Setup'!$F$7,$B11:$Y11)+'Model Setup'!$F$8*(SUMIF($AD$3:$BA$3,"&lt;"&amp;$DF11,$B11:$Y11)+SUMIF($AD$3:$BA$3,"&gt;="&amp;$DG11,$B11:$Y11)),
IF(AG$3=$DF11+'Model Setup'!$G$7,SUMIF($AD$3:$BA$3,"="&amp;$DF11+'Model Setup'!$G$7,$B11:$Y11)+'Model Setup'!$G$8*(SUMIF($AD$3:$BA$3,"&lt;"&amp;$DF11,$B11:$Y11)+SUMIF($AD$3:$BA$3,"&gt;="&amp;$DG11,$B11:$Y11)),
IF(AG$3=$DF11+'Model Setup'!$H$7,SUMIF($AD$3:$BA$3,"="&amp;$DF11+'Model Setup'!$H$7,$B11:$Y11)+'Model Setup'!$H$8*(SUMIF($AD$3:$BA$3,"&lt;"&amp;$DF11,$B11:$Y11)+SUMIF($AD$3:$BA$3,"&gt;="&amp;$DG11,$B11:$Y11)),
IF(AG$3=$DF11+'Model Setup'!$I$7,SUMIF($AD$3:$BA$3,"="&amp;$DF11+'Model Setup'!$I$7,$B11:$Y11)+'Model Setup'!$I$8*(SUMIF($AD$3:$BA$3,"&lt;"&amp;$DF11,$B11:$Y11)+SUMIF($AD$3:$BA$3,"&gt;="&amp;$DG11,$B11:$Y11)),
IF(AG$3=$DF11+'Model Setup'!$J$7,SUMIF($AD$3:$BA$3,"="&amp;$DF11+'Model Setup'!$J$7,$B11:$Y11)+'Model Setup'!$J$8*(SUMIF($AD$3:$BA$3,"&lt;"&amp;$DF11,$B11:$Y11)+SUMIF($AD$3:$BA$3,"&gt;="&amp;$DG11,$B11:$Y11)),
IF(AG$3=$DF11+'Model Setup'!$K$7,SUMIF($AD$3:$BA$3,"="&amp;$DF11+'Model Setup'!$K$7,$B11:$Y11)+'Model Setup'!$K$8*(SUMIF($AD$3:$BA$3,"&lt;"&amp;$DF11,$B11:$Y11)+SUMIF($AD$3:$BA$3,"&gt;="&amp;$DG11,$B11:$Y11)),
IF(AG$3=$DF11+'Model Setup'!$L$7,SUMIF($AD$3:$BA$3,"="&amp;$DF11+'Model Setup'!$L$7,$B11:$Y11)+'Model Setup'!$L$8*(SUMIF($AD$3:$BA$3,"&lt;"&amp;$DF11,$B11:$Y11)+SUMIF($AD$3:$BA$3,"&gt;="&amp;$DG11,$B11:$Y11)),
IF(AG$3=$DF11+'Model Setup'!$M$7,SUMIF($AD$3:$BA$3,"="&amp;$DF11+'Model Setup'!$M$7,$B11:$Y11)+'Model Setup'!$M$8*(SUMIF($AD$3:$BA$3,"&lt;"&amp;$DF11,$B11:$Y11)+SUMIF($AD$3:$BA$3,"&gt;="&amp;$DG11,$B11:$Y11)),
IF(AG$3=$DF11+'Model Setup'!$N$7,SUMIF($AD$3:$BA$3,"="&amp;$DF11+'Model Setup'!$N$7,$B11:$Y11)+'Model Setup'!$N$8*(SUMIF($AD$3:$BA$3,"&lt;"&amp;$DF11,$B11:$Y11)+SUMIF($AD$3:$BA$3,"&gt;="&amp;$DG11,$B11:$Y11)),
IF(AG$3&lt;$DG11,E11,0))))))))))))))),0)</f>
        <v>0</v>
      </c>
      <c r="AH11" s="47">
        <f>ROUND(IF(AH$3&lt;$DF11,0,
IF(AH$3=$DF11+'Model Setup'!$B$7,SUMIF($AD$3:$BA$3,"="&amp;$DF11+'Model Setup'!$B$7,$B11:$Y11)+'Model Setup'!$B$8*(SUMIF($AD$3:$BA$3,"&lt;"&amp;$DF11,$B11:$Y11)+SUMIF($AD$3:$BA$3,"&gt;="&amp;$DG11,$B11:$Y11)),
IF(AH$3=$DF11+'Model Setup'!$C$7,SUMIF($AD$3:$BA$3,"="&amp;$DF11+'Model Setup'!$C$7,$B11:$Y11)+'Model Setup'!$C$8*(SUMIF($AD$3:$BA$3,"&lt;"&amp;$DF11,$B11:$Y11)+SUMIF($AD$3:$BA$3,"&gt;="&amp;$DG11,$B11:$Y11)),
IF(AH$3=$DF11+'Model Setup'!$D$7,SUMIF($AD$3:$BA$3,"="&amp;$DF11+'Model Setup'!$D$7,$B11:$Y11)+'Model Setup'!$D$8*(SUMIF($AD$3:$BA$3,"&lt;"&amp;$DF11,$B11:$Y11)+SUMIF($AD$3:$BA$3,"&gt;="&amp;$DG11,$B11:$Y11)),
IF(AH$3=$DF11+'Model Setup'!$E$7,SUMIF($AD$3:$BA$3,"="&amp;$DF11+'Model Setup'!$E$7,$B11:$Y11)+'Model Setup'!$E$8*(SUMIF($AD$3:$BA$3,"&lt;"&amp;$DF11,$B11:$Y11)+SUMIF($AD$3:$BA$3,"&gt;="&amp;$DG11,$B11:$Y11)),
IF(AH$3=$DF11+'Model Setup'!$F$7,SUMIF($AD$3:$BA$3,"="&amp;$DF11+'Model Setup'!$F$7,$B11:$Y11)+'Model Setup'!$F$8*(SUMIF($AD$3:$BA$3,"&lt;"&amp;$DF11,$B11:$Y11)+SUMIF($AD$3:$BA$3,"&gt;="&amp;$DG11,$B11:$Y11)),
IF(AH$3=$DF11+'Model Setup'!$G$7,SUMIF($AD$3:$BA$3,"="&amp;$DF11+'Model Setup'!$G$7,$B11:$Y11)+'Model Setup'!$G$8*(SUMIF($AD$3:$BA$3,"&lt;"&amp;$DF11,$B11:$Y11)+SUMIF($AD$3:$BA$3,"&gt;="&amp;$DG11,$B11:$Y11)),
IF(AH$3=$DF11+'Model Setup'!$H$7,SUMIF($AD$3:$BA$3,"="&amp;$DF11+'Model Setup'!$H$7,$B11:$Y11)+'Model Setup'!$H$8*(SUMIF($AD$3:$BA$3,"&lt;"&amp;$DF11,$B11:$Y11)+SUMIF($AD$3:$BA$3,"&gt;="&amp;$DG11,$B11:$Y11)),
IF(AH$3=$DF11+'Model Setup'!$I$7,SUMIF($AD$3:$BA$3,"="&amp;$DF11+'Model Setup'!$I$7,$B11:$Y11)+'Model Setup'!$I$8*(SUMIF($AD$3:$BA$3,"&lt;"&amp;$DF11,$B11:$Y11)+SUMIF($AD$3:$BA$3,"&gt;="&amp;$DG11,$B11:$Y11)),
IF(AH$3=$DF11+'Model Setup'!$J$7,SUMIF($AD$3:$BA$3,"="&amp;$DF11+'Model Setup'!$J$7,$B11:$Y11)+'Model Setup'!$J$8*(SUMIF($AD$3:$BA$3,"&lt;"&amp;$DF11,$B11:$Y11)+SUMIF($AD$3:$BA$3,"&gt;="&amp;$DG11,$B11:$Y11)),
IF(AH$3=$DF11+'Model Setup'!$K$7,SUMIF($AD$3:$BA$3,"="&amp;$DF11+'Model Setup'!$K$7,$B11:$Y11)+'Model Setup'!$K$8*(SUMIF($AD$3:$BA$3,"&lt;"&amp;$DF11,$B11:$Y11)+SUMIF($AD$3:$BA$3,"&gt;="&amp;$DG11,$B11:$Y11)),
IF(AH$3=$DF11+'Model Setup'!$L$7,SUMIF($AD$3:$BA$3,"="&amp;$DF11+'Model Setup'!$L$7,$B11:$Y11)+'Model Setup'!$L$8*(SUMIF($AD$3:$BA$3,"&lt;"&amp;$DF11,$B11:$Y11)+SUMIF($AD$3:$BA$3,"&gt;="&amp;$DG11,$B11:$Y11)),
IF(AH$3=$DF11+'Model Setup'!$M$7,SUMIF($AD$3:$BA$3,"="&amp;$DF11+'Model Setup'!$M$7,$B11:$Y11)+'Model Setup'!$M$8*(SUMIF($AD$3:$BA$3,"&lt;"&amp;$DF11,$B11:$Y11)+SUMIF($AD$3:$BA$3,"&gt;="&amp;$DG11,$B11:$Y11)),
IF(AH$3=$DF11+'Model Setup'!$N$7,SUMIF($AD$3:$BA$3,"="&amp;$DF11+'Model Setup'!$N$7,$B11:$Y11)+'Model Setup'!$N$8*(SUMIF($AD$3:$BA$3,"&lt;"&amp;$DF11,$B11:$Y11)+SUMIF($AD$3:$BA$3,"&gt;="&amp;$DG11,$B11:$Y11)),
IF(AH$3&lt;$DG11,F11,0))))))))))))))),0)</f>
        <v>0</v>
      </c>
      <c r="AI11" s="47">
        <f>ROUND(IF(AI$3&lt;$DF11,0,
IF(AI$3=$DF11+'Model Setup'!$B$7,SUMIF($AD$3:$BA$3,"="&amp;$DF11+'Model Setup'!$B$7,$B11:$Y11)+'Model Setup'!$B$8*(SUMIF($AD$3:$BA$3,"&lt;"&amp;$DF11,$B11:$Y11)+SUMIF($AD$3:$BA$3,"&gt;="&amp;$DG11,$B11:$Y11)),
IF(AI$3=$DF11+'Model Setup'!$C$7,SUMIF($AD$3:$BA$3,"="&amp;$DF11+'Model Setup'!$C$7,$B11:$Y11)+'Model Setup'!$C$8*(SUMIF($AD$3:$BA$3,"&lt;"&amp;$DF11,$B11:$Y11)+SUMIF($AD$3:$BA$3,"&gt;="&amp;$DG11,$B11:$Y11)),
IF(AI$3=$DF11+'Model Setup'!$D$7,SUMIF($AD$3:$BA$3,"="&amp;$DF11+'Model Setup'!$D$7,$B11:$Y11)+'Model Setup'!$D$8*(SUMIF($AD$3:$BA$3,"&lt;"&amp;$DF11,$B11:$Y11)+SUMIF($AD$3:$BA$3,"&gt;="&amp;$DG11,$B11:$Y11)),
IF(AI$3=$DF11+'Model Setup'!$E$7,SUMIF($AD$3:$BA$3,"="&amp;$DF11+'Model Setup'!$E$7,$B11:$Y11)+'Model Setup'!$E$8*(SUMIF($AD$3:$BA$3,"&lt;"&amp;$DF11,$B11:$Y11)+SUMIF($AD$3:$BA$3,"&gt;="&amp;$DG11,$B11:$Y11)),
IF(AI$3=$DF11+'Model Setup'!$F$7,SUMIF($AD$3:$BA$3,"="&amp;$DF11+'Model Setup'!$F$7,$B11:$Y11)+'Model Setup'!$F$8*(SUMIF($AD$3:$BA$3,"&lt;"&amp;$DF11,$B11:$Y11)+SUMIF($AD$3:$BA$3,"&gt;="&amp;$DG11,$B11:$Y11)),
IF(AI$3=$DF11+'Model Setup'!$G$7,SUMIF($AD$3:$BA$3,"="&amp;$DF11+'Model Setup'!$G$7,$B11:$Y11)+'Model Setup'!$G$8*(SUMIF($AD$3:$BA$3,"&lt;"&amp;$DF11,$B11:$Y11)+SUMIF($AD$3:$BA$3,"&gt;="&amp;$DG11,$B11:$Y11)),
IF(AI$3=$DF11+'Model Setup'!$H$7,SUMIF($AD$3:$BA$3,"="&amp;$DF11+'Model Setup'!$H$7,$B11:$Y11)+'Model Setup'!$H$8*(SUMIF($AD$3:$BA$3,"&lt;"&amp;$DF11,$B11:$Y11)+SUMIF($AD$3:$BA$3,"&gt;="&amp;$DG11,$B11:$Y11)),
IF(AI$3=$DF11+'Model Setup'!$I$7,SUMIF($AD$3:$BA$3,"="&amp;$DF11+'Model Setup'!$I$7,$B11:$Y11)+'Model Setup'!$I$8*(SUMIF($AD$3:$BA$3,"&lt;"&amp;$DF11,$B11:$Y11)+SUMIF($AD$3:$BA$3,"&gt;="&amp;$DG11,$B11:$Y11)),
IF(AI$3=$DF11+'Model Setup'!$J$7,SUMIF($AD$3:$BA$3,"="&amp;$DF11+'Model Setup'!$J$7,$B11:$Y11)+'Model Setup'!$J$8*(SUMIF($AD$3:$BA$3,"&lt;"&amp;$DF11,$B11:$Y11)+SUMIF($AD$3:$BA$3,"&gt;="&amp;$DG11,$B11:$Y11)),
IF(AI$3=$DF11+'Model Setup'!$K$7,SUMIF($AD$3:$BA$3,"="&amp;$DF11+'Model Setup'!$K$7,$B11:$Y11)+'Model Setup'!$K$8*(SUMIF($AD$3:$BA$3,"&lt;"&amp;$DF11,$B11:$Y11)+SUMIF($AD$3:$BA$3,"&gt;="&amp;$DG11,$B11:$Y11)),
IF(AI$3=$DF11+'Model Setup'!$L$7,SUMIF($AD$3:$BA$3,"="&amp;$DF11+'Model Setup'!$L$7,$B11:$Y11)+'Model Setup'!$L$8*(SUMIF($AD$3:$BA$3,"&lt;"&amp;$DF11,$B11:$Y11)+SUMIF($AD$3:$BA$3,"&gt;="&amp;$DG11,$B11:$Y11)),
IF(AI$3=$DF11+'Model Setup'!$M$7,SUMIF($AD$3:$BA$3,"="&amp;$DF11+'Model Setup'!$M$7,$B11:$Y11)+'Model Setup'!$M$8*(SUMIF($AD$3:$BA$3,"&lt;"&amp;$DF11,$B11:$Y11)+SUMIF($AD$3:$BA$3,"&gt;="&amp;$DG11,$B11:$Y11)),
IF(AI$3=$DF11+'Model Setup'!$N$7,SUMIF($AD$3:$BA$3,"="&amp;$DF11+'Model Setup'!$N$7,$B11:$Y11)+'Model Setup'!$N$8*(SUMIF($AD$3:$BA$3,"&lt;"&amp;$DF11,$B11:$Y11)+SUMIF($AD$3:$BA$3,"&gt;="&amp;$DG11,$B11:$Y11)),
IF(AI$3&lt;$DG11,G11,0))))))))))))))),0)</f>
        <v>0</v>
      </c>
      <c r="AJ11" s="47">
        <f>ROUND(IF(AJ$3&lt;$DF11,0,
IF(AJ$3=$DF11+'Model Setup'!$B$7,SUMIF($AD$3:$BA$3,"="&amp;$DF11+'Model Setup'!$B$7,$B11:$Y11)+'Model Setup'!$B$8*(SUMIF($AD$3:$BA$3,"&lt;"&amp;$DF11,$B11:$Y11)+SUMIF($AD$3:$BA$3,"&gt;="&amp;$DG11,$B11:$Y11)),
IF(AJ$3=$DF11+'Model Setup'!$C$7,SUMIF($AD$3:$BA$3,"="&amp;$DF11+'Model Setup'!$C$7,$B11:$Y11)+'Model Setup'!$C$8*(SUMIF($AD$3:$BA$3,"&lt;"&amp;$DF11,$B11:$Y11)+SUMIF($AD$3:$BA$3,"&gt;="&amp;$DG11,$B11:$Y11)),
IF(AJ$3=$DF11+'Model Setup'!$D$7,SUMIF($AD$3:$BA$3,"="&amp;$DF11+'Model Setup'!$D$7,$B11:$Y11)+'Model Setup'!$D$8*(SUMIF($AD$3:$BA$3,"&lt;"&amp;$DF11,$B11:$Y11)+SUMIF($AD$3:$BA$3,"&gt;="&amp;$DG11,$B11:$Y11)),
IF(AJ$3=$DF11+'Model Setup'!$E$7,SUMIF($AD$3:$BA$3,"="&amp;$DF11+'Model Setup'!$E$7,$B11:$Y11)+'Model Setup'!$E$8*(SUMIF($AD$3:$BA$3,"&lt;"&amp;$DF11,$B11:$Y11)+SUMIF($AD$3:$BA$3,"&gt;="&amp;$DG11,$B11:$Y11)),
IF(AJ$3=$DF11+'Model Setup'!$F$7,SUMIF($AD$3:$BA$3,"="&amp;$DF11+'Model Setup'!$F$7,$B11:$Y11)+'Model Setup'!$F$8*(SUMIF($AD$3:$BA$3,"&lt;"&amp;$DF11,$B11:$Y11)+SUMIF($AD$3:$BA$3,"&gt;="&amp;$DG11,$B11:$Y11)),
IF(AJ$3=$DF11+'Model Setup'!$G$7,SUMIF($AD$3:$BA$3,"="&amp;$DF11+'Model Setup'!$G$7,$B11:$Y11)+'Model Setup'!$G$8*(SUMIF($AD$3:$BA$3,"&lt;"&amp;$DF11,$B11:$Y11)+SUMIF($AD$3:$BA$3,"&gt;="&amp;$DG11,$B11:$Y11)),
IF(AJ$3=$DF11+'Model Setup'!$H$7,SUMIF($AD$3:$BA$3,"="&amp;$DF11+'Model Setup'!$H$7,$B11:$Y11)+'Model Setup'!$H$8*(SUMIF($AD$3:$BA$3,"&lt;"&amp;$DF11,$B11:$Y11)+SUMIF($AD$3:$BA$3,"&gt;="&amp;$DG11,$B11:$Y11)),
IF(AJ$3=$DF11+'Model Setup'!$I$7,SUMIF($AD$3:$BA$3,"="&amp;$DF11+'Model Setup'!$I$7,$B11:$Y11)+'Model Setup'!$I$8*(SUMIF($AD$3:$BA$3,"&lt;"&amp;$DF11,$B11:$Y11)+SUMIF($AD$3:$BA$3,"&gt;="&amp;$DG11,$B11:$Y11)),
IF(AJ$3=$DF11+'Model Setup'!$J$7,SUMIF($AD$3:$BA$3,"="&amp;$DF11+'Model Setup'!$J$7,$B11:$Y11)+'Model Setup'!$J$8*(SUMIF($AD$3:$BA$3,"&lt;"&amp;$DF11,$B11:$Y11)+SUMIF($AD$3:$BA$3,"&gt;="&amp;$DG11,$B11:$Y11)),
IF(AJ$3=$DF11+'Model Setup'!$K$7,SUMIF($AD$3:$BA$3,"="&amp;$DF11+'Model Setup'!$K$7,$B11:$Y11)+'Model Setup'!$K$8*(SUMIF($AD$3:$BA$3,"&lt;"&amp;$DF11,$B11:$Y11)+SUMIF($AD$3:$BA$3,"&gt;="&amp;$DG11,$B11:$Y11)),
IF(AJ$3=$DF11+'Model Setup'!$L$7,SUMIF($AD$3:$BA$3,"="&amp;$DF11+'Model Setup'!$L$7,$B11:$Y11)+'Model Setup'!$L$8*(SUMIF($AD$3:$BA$3,"&lt;"&amp;$DF11,$B11:$Y11)+SUMIF($AD$3:$BA$3,"&gt;="&amp;$DG11,$B11:$Y11)),
IF(AJ$3=$DF11+'Model Setup'!$M$7,SUMIF($AD$3:$BA$3,"="&amp;$DF11+'Model Setup'!$M$7,$B11:$Y11)+'Model Setup'!$M$8*(SUMIF($AD$3:$BA$3,"&lt;"&amp;$DF11,$B11:$Y11)+SUMIF($AD$3:$BA$3,"&gt;="&amp;$DG11,$B11:$Y11)),
IF(AJ$3=$DF11+'Model Setup'!$N$7,SUMIF($AD$3:$BA$3,"="&amp;$DF11+'Model Setup'!$N$7,$B11:$Y11)+'Model Setup'!$N$8*(SUMIF($AD$3:$BA$3,"&lt;"&amp;$DF11,$B11:$Y11)+SUMIF($AD$3:$BA$3,"&gt;="&amp;$DG11,$B11:$Y11)),
IF(AJ$3&lt;$DG11,H11,0))))))))))))))),0)</f>
        <v>67</v>
      </c>
      <c r="AK11" s="47">
        <f>ROUND(IF(AK$3&lt;$DF11,0,
IF(AK$3=$DF11+'Model Setup'!$B$7,SUMIF($AD$3:$BA$3,"="&amp;$DF11+'Model Setup'!$B$7,$B11:$Y11)+'Model Setup'!$B$8*(SUMIF($AD$3:$BA$3,"&lt;"&amp;$DF11,$B11:$Y11)+SUMIF($AD$3:$BA$3,"&gt;="&amp;$DG11,$B11:$Y11)),
IF(AK$3=$DF11+'Model Setup'!$C$7,SUMIF($AD$3:$BA$3,"="&amp;$DF11+'Model Setup'!$C$7,$B11:$Y11)+'Model Setup'!$C$8*(SUMIF($AD$3:$BA$3,"&lt;"&amp;$DF11,$B11:$Y11)+SUMIF($AD$3:$BA$3,"&gt;="&amp;$DG11,$B11:$Y11)),
IF(AK$3=$DF11+'Model Setup'!$D$7,SUMIF($AD$3:$BA$3,"="&amp;$DF11+'Model Setup'!$D$7,$B11:$Y11)+'Model Setup'!$D$8*(SUMIF($AD$3:$BA$3,"&lt;"&amp;$DF11,$B11:$Y11)+SUMIF($AD$3:$BA$3,"&gt;="&amp;$DG11,$B11:$Y11)),
IF(AK$3=$DF11+'Model Setup'!$E$7,SUMIF($AD$3:$BA$3,"="&amp;$DF11+'Model Setup'!$E$7,$B11:$Y11)+'Model Setup'!$E$8*(SUMIF($AD$3:$BA$3,"&lt;"&amp;$DF11,$B11:$Y11)+SUMIF($AD$3:$BA$3,"&gt;="&amp;$DG11,$B11:$Y11)),
IF(AK$3=$DF11+'Model Setup'!$F$7,SUMIF($AD$3:$BA$3,"="&amp;$DF11+'Model Setup'!$F$7,$B11:$Y11)+'Model Setup'!$F$8*(SUMIF($AD$3:$BA$3,"&lt;"&amp;$DF11,$B11:$Y11)+SUMIF($AD$3:$BA$3,"&gt;="&amp;$DG11,$B11:$Y11)),
IF(AK$3=$DF11+'Model Setup'!$G$7,SUMIF($AD$3:$BA$3,"="&amp;$DF11+'Model Setup'!$G$7,$B11:$Y11)+'Model Setup'!$G$8*(SUMIF($AD$3:$BA$3,"&lt;"&amp;$DF11,$B11:$Y11)+SUMIF($AD$3:$BA$3,"&gt;="&amp;$DG11,$B11:$Y11)),
IF(AK$3=$DF11+'Model Setup'!$H$7,SUMIF($AD$3:$BA$3,"="&amp;$DF11+'Model Setup'!$H$7,$B11:$Y11)+'Model Setup'!$H$8*(SUMIF($AD$3:$BA$3,"&lt;"&amp;$DF11,$B11:$Y11)+SUMIF($AD$3:$BA$3,"&gt;="&amp;$DG11,$B11:$Y11)),
IF(AK$3=$DF11+'Model Setup'!$I$7,SUMIF($AD$3:$BA$3,"="&amp;$DF11+'Model Setup'!$I$7,$B11:$Y11)+'Model Setup'!$I$8*(SUMIF($AD$3:$BA$3,"&lt;"&amp;$DF11,$B11:$Y11)+SUMIF($AD$3:$BA$3,"&gt;="&amp;$DG11,$B11:$Y11)),
IF(AK$3=$DF11+'Model Setup'!$J$7,SUMIF($AD$3:$BA$3,"="&amp;$DF11+'Model Setup'!$J$7,$B11:$Y11)+'Model Setup'!$J$8*(SUMIF($AD$3:$BA$3,"&lt;"&amp;$DF11,$B11:$Y11)+SUMIF($AD$3:$BA$3,"&gt;="&amp;$DG11,$B11:$Y11)),
IF(AK$3=$DF11+'Model Setup'!$K$7,SUMIF($AD$3:$BA$3,"="&amp;$DF11+'Model Setup'!$K$7,$B11:$Y11)+'Model Setup'!$K$8*(SUMIF($AD$3:$BA$3,"&lt;"&amp;$DF11,$B11:$Y11)+SUMIF($AD$3:$BA$3,"&gt;="&amp;$DG11,$B11:$Y11)),
IF(AK$3=$DF11+'Model Setup'!$L$7,SUMIF($AD$3:$BA$3,"="&amp;$DF11+'Model Setup'!$L$7,$B11:$Y11)+'Model Setup'!$L$8*(SUMIF($AD$3:$BA$3,"&lt;"&amp;$DF11,$B11:$Y11)+SUMIF($AD$3:$BA$3,"&gt;="&amp;$DG11,$B11:$Y11)),
IF(AK$3=$DF11+'Model Setup'!$M$7,SUMIF($AD$3:$BA$3,"="&amp;$DF11+'Model Setup'!$M$7,$B11:$Y11)+'Model Setup'!$M$8*(SUMIF($AD$3:$BA$3,"&lt;"&amp;$DF11,$B11:$Y11)+SUMIF($AD$3:$BA$3,"&gt;="&amp;$DG11,$B11:$Y11)),
IF(AK$3=$DF11+'Model Setup'!$N$7,SUMIF($AD$3:$BA$3,"="&amp;$DF11+'Model Setup'!$N$7,$B11:$Y11)+'Model Setup'!$N$8*(SUMIF($AD$3:$BA$3,"&lt;"&amp;$DF11,$B11:$Y11)+SUMIF($AD$3:$BA$3,"&gt;="&amp;$DG11,$B11:$Y11)),
IF(AK$3&lt;$DG11,I11,0))))))))))))))),0)</f>
        <v>101</v>
      </c>
      <c r="AL11" s="47">
        <f>ROUND(IF(AL$3&lt;$DF11,0,
IF(AL$3=$DF11+'Model Setup'!$B$7,SUMIF($AD$3:$BA$3,"="&amp;$DF11+'Model Setup'!$B$7,$B11:$Y11)+'Model Setup'!$B$8*(SUMIF($AD$3:$BA$3,"&lt;"&amp;$DF11,$B11:$Y11)+SUMIF($AD$3:$BA$3,"&gt;="&amp;$DG11,$B11:$Y11)),
IF(AL$3=$DF11+'Model Setup'!$C$7,SUMIF($AD$3:$BA$3,"="&amp;$DF11+'Model Setup'!$C$7,$B11:$Y11)+'Model Setup'!$C$8*(SUMIF($AD$3:$BA$3,"&lt;"&amp;$DF11,$B11:$Y11)+SUMIF($AD$3:$BA$3,"&gt;="&amp;$DG11,$B11:$Y11)),
IF(AL$3=$DF11+'Model Setup'!$D$7,SUMIF($AD$3:$BA$3,"="&amp;$DF11+'Model Setup'!$D$7,$B11:$Y11)+'Model Setup'!$D$8*(SUMIF($AD$3:$BA$3,"&lt;"&amp;$DF11,$B11:$Y11)+SUMIF($AD$3:$BA$3,"&gt;="&amp;$DG11,$B11:$Y11)),
IF(AL$3=$DF11+'Model Setup'!$E$7,SUMIF($AD$3:$BA$3,"="&amp;$DF11+'Model Setup'!$E$7,$B11:$Y11)+'Model Setup'!$E$8*(SUMIF($AD$3:$BA$3,"&lt;"&amp;$DF11,$B11:$Y11)+SUMIF($AD$3:$BA$3,"&gt;="&amp;$DG11,$B11:$Y11)),
IF(AL$3=$DF11+'Model Setup'!$F$7,SUMIF($AD$3:$BA$3,"="&amp;$DF11+'Model Setup'!$F$7,$B11:$Y11)+'Model Setup'!$F$8*(SUMIF($AD$3:$BA$3,"&lt;"&amp;$DF11,$B11:$Y11)+SUMIF($AD$3:$BA$3,"&gt;="&amp;$DG11,$B11:$Y11)),
IF(AL$3=$DF11+'Model Setup'!$G$7,SUMIF($AD$3:$BA$3,"="&amp;$DF11+'Model Setup'!$G$7,$B11:$Y11)+'Model Setup'!$G$8*(SUMIF($AD$3:$BA$3,"&lt;"&amp;$DF11,$B11:$Y11)+SUMIF($AD$3:$BA$3,"&gt;="&amp;$DG11,$B11:$Y11)),
IF(AL$3=$DF11+'Model Setup'!$H$7,SUMIF($AD$3:$BA$3,"="&amp;$DF11+'Model Setup'!$H$7,$B11:$Y11)+'Model Setup'!$H$8*(SUMIF($AD$3:$BA$3,"&lt;"&amp;$DF11,$B11:$Y11)+SUMIF($AD$3:$BA$3,"&gt;="&amp;$DG11,$B11:$Y11)),
IF(AL$3=$DF11+'Model Setup'!$I$7,SUMIF($AD$3:$BA$3,"="&amp;$DF11+'Model Setup'!$I$7,$B11:$Y11)+'Model Setup'!$I$8*(SUMIF($AD$3:$BA$3,"&lt;"&amp;$DF11,$B11:$Y11)+SUMIF($AD$3:$BA$3,"&gt;="&amp;$DG11,$B11:$Y11)),
IF(AL$3=$DF11+'Model Setup'!$J$7,SUMIF($AD$3:$BA$3,"="&amp;$DF11+'Model Setup'!$J$7,$B11:$Y11)+'Model Setup'!$J$8*(SUMIF($AD$3:$BA$3,"&lt;"&amp;$DF11,$B11:$Y11)+SUMIF($AD$3:$BA$3,"&gt;="&amp;$DG11,$B11:$Y11)),
IF(AL$3=$DF11+'Model Setup'!$K$7,SUMIF($AD$3:$BA$3,"="&amp;$DF11+'Model Setup'!$K$7,$B11:$Y11)+'Model Setup'!$K$8*(SUMIF($AD$3:$BA$3,"&lt;"&amp;$DF11,$B11:$Y11)+SUMIF($AD$3:$BA$3,"&gt;="&amp;$DG11,$B11:$Y11)),
IF(AL$3=$DF11+'Model Setup'!$L$7,SUMIF($AD$3:$BA$3,"="&amp;$DF11+'Model Setup'!$L$7,$B11:$Y11)+'Model Setup'!$L$8*(SUMIF($AD$3:$BA$3,"&lt;"&amp;$DF11,$B11:$Y11)+SUMIF($AD$3:$BA$3,"&gt;="&amp;$DG11,$B11:$Y11)),
IF(AL$3=$DF11+'Model Setup'!$M$7,SUMIF($AD$3:$BA$3,"="&amp;$DF11+'Model Setup'!$M$7,$B11:$Y11)+'Model Setup'!$M$8*(SUMIF($AD$3:$BA$3,"&lt;"&amp;$DF11,$B11:$Y11)+SUMIF($AD$3:$BA$3,"&gt;="&amp;$DG11,$B11:$Y11)),
IF(AL$3=$DF11+'Model Setup'!$N$7,SUMIF($AD$3:$BA$3,"="&amp;$DF11+'Model Setup'!$N$7,$B11:$Y11)+'Model Setup'!$N$8*(SUMIF($AD$3:$BA$3,"&lt;"&amp;$DF11,$B11:$Y11)+SUMIF($AD$3:$BA$3,"&gt;="&amp;$DG11,$B11:$Y11)),
IF(AL$3&lt;$DG11,J11,0))))))))))))))),0)</f>
        <v>99</v>
      </c>
      <c r="AM11" s="47">
        <f>ROUND(IF(AM$3&lt;$DF11,0,
IF(AM$3=$DF11+'Model Setup'!$B$7,SUMIF($AD$3:$BA$3,"="&amp;$DF11+'Model Setup'!$B$7,$B11:$Y11)+'Model Setup'!$B$8*(SUMIF($AD$3:$BA$3,"&lt;"&amp;$DF11,$B11:$Y11)+SUMIF($AD$3:$BA$3,"&gt;="&amp;$DG11,$B11:$Y11)),
IF(AM$3=$DF11+'Model Setup'!$C$7,SUMIF($AD$3:$BA$3,"="&amp;$DF11+'Model Setup'!$C$7,$B11:$Y11)+'Model Setup'!$C$8*(SUMIF($AD$3:$BA$3,"&lt;"&amp;$DF11,$B11:$Y11)+SUMIF($AD$3:$BA$3,"&gt;="&amp;$DG11,$B11:$Y11)),
IF(AM$3=$DF11+'Model Setup'!$D$7,SUMIF($AD$3:$BA$3,"="&amp;$DF11+'Model Setup'!$D$7,$B11:$Y11)+'Model Setup'!$D$8*(SUMIF($AD$3:$BA$3,"&lt;"&amp;$DF11,$B11:$Y11)+SUMIF($AD$3:$BA$3,"&gt;="&amp;$DG11,$B11:$Y11)),
IF(AM$3=$DF11+'Model Setup'!$E$7,SUMIF($AD$3:$BA$3,"="&amp;$DF11+'Model Setup'!$E$7,$B11:$Y11)+'Model Setup'!$E$8*(SUMIF($AD$3:$BA$3,"&lt;"&amp;$DF11,$B11:$Y11)+SUMIF($AD$3:$BA$3,"&gt;="&amp;$DG11,$B11:$Y11)),
IF(AM$3=$DF11+'Model Setup'!$F$7,SUMIF($AD$3:$BA$3,"="&amp;$DF11+'Model Setup'!$F$7,$B11:$Y11)+'Model Setup'!$F$8*(SUMIF($AD$3:$BA$3,"&lt;"&amp;$DF11,$B11:$Y11)+SUMIF($AD$3:$BA$3,"&gt;="&amp;$DG11,$B11:$Y11)),
IF(AM$3=$DF11+'Model Setup'!$G$7,SUMIF($AD$3:$BA$3,"="&amp;$DF11+'Model Setup'!$G$7,$B11:$Y11)+'Model Setup'!$G$8*(SUMIF($AD$3:$BA$3,"&lt;"&amp;$DF11,$B11:$Y11)+SUMIF($AD$3:$BA$3,"&gt;="&amp;$DG11,$B11:$Y11)),
IF(AM$3=$DF11+'Model Setup'!$H$7,SUMIF($AD$3:$BA$3,"="&amp;$DF11+'Model Setup'!$H$7,$B11:$Y11)+'Model Setup'!$H$8*(SUMIF($AD$3:$BA$3,"&lt;"&amp;$DF11,$B11:$Y11)+SUMIF($AD$3:$BA$3,"&gt;="&amp;$DG11,$B11:$Y11)),
IF(AM$3=$DF11+'Model Setup'!$I$7,SUMIF($AD$3:$BA$3,"="&amp;$DF11+'Model Setup'!$I$7,$B11:$Y11)+'Model Setup'!$I$8*(SUMIF($AD$3:$BA$3,"&lt;"&amp;$DF11,$B11:$Y11)+SUMIF($AD$3:$BA$3,"&gt;="&amp;$DG11,$B11:$Y11)),
IF(AM$3=$DF11+'Model Setup'!$J$7,SUMIF($AD$3:$BA$3,"="&amp;$DF11+'Model Setup'!$J$7,$B11:$Y11)+'Model Setup'!$J$8*(SUMIF($AD$3:$BA$3,"&lt;"&amp;$DF11,$B11:$Y11)+SUMIF($AD$3:$BA$3,"&gt;="&amp;$DG11,$B11:$Y11)),
IF(AM$3=$DF11+'Model Setup'!$K$7,SUMIF($AD$3:$BA$3,"="&amp;$DF11+'Model Setup'!$K$7,$B11:$Y11)+'Model Setup'!$K$8*(SUMIF($AD$3:$BA$3,"&lt;"&amp;$DF11,$B11:$Y11)+SUMIF($AD$3:$BA$3,"&gt;="&amp;$DG11,$B11:$Y11)),
IF(AM$3=$DF11+'Model Setup'!$L$7,SUMIF($AD$3:$BA$3,"="&amp;$DF11+'Model Setup'!$L$7,$B11:$Y11)+'Model Setup'!$L$8*(SUMIF($AD$3:$BA$3,"&lt;"&amp;$DF11,$B11:$Y11)+SUMIF($AD$3:$BA$3,"&gt;="&amp;$DG11,$B11:$Y11)),
IF(AM$3=$DF11+'Model Setup'!$M$7,SUMIF($AD$3:$BA$3,"="&amp;$DF11+'Model Setup'!$M$7,$B11:$Y11)+'Model Setup'!$M$8*(SUMIF($AD$3:$BA$3,"&lt;"&amp;$DF11,$B11:$Y11)+SUMIF($AD$3:$BA$3,"&gt;="&amp;$DG11,$B11:$Y11)),
IF(AM$3=$DF11+'Model Setup'!$N$7,SUMIF($AD$3:$BA$3,"="&amp;$DF11+'Model Setup'!$N$7,$B11:$Y11)+'Model Setup'!$N$8*(SUMIF($AD$3:$BA$3,"&lt;"&amp;$DF11,$B11:$Y11)+SUMIF($AD$3:$BA$3,"&gt;="&amp;$DG11,$B11:$Y11)),
IF(AM$3&lt;$DG11,K11,0))))))))))))))),0)</f>
        <v>94</v>
      </c>
      <c r="AN11" s="47">
        <f>ROUND(IF(AN$3&lt;$DF11,0,
IF(AN$3=$DF11+'Model Setup'!$B$7,SUMIF($AD$3:$BA$3,"="&amp;$DF11+'Model Setup'!$B$7,$B11:$Y11)+'Model Setup'!$B$8*(SUMIF($AD$3:$BA$3,"&lt;"&amp;$DF11,$B11:$Y11)+SUMIF($AD$3:$BA$3,"&gt;="&amp;$DG11,$B11:$Y11)),
IF(AN$3=$DF11+'Model Setup'!$C$7,SUMIF($AD$3:$BA$3,"="&amp;$DF11+'Model Setup'!$C$7,$B11:$Y11)+'Model Setup'!$C$8*(SUMIF($AD$3:$BA$3,"&lt;"&amp;$DF11,$B11:$Y11)+SUMIF($AD$3:$BA$3,"&gt;="&amp;$DG11,$B11:$Y11)),
IF(AN$3=$DF11+'Model Setup'!$D$7,SUMIF($AD$3:$BA$3,"="&amp;$DF11+'Model Setup'!$D$7,$B11:$Y11)+'Model Setup'!$D$8*(SUMIF($AD$3:$BA$3,"&lt;"&amp;$DF11,$B11:$Y11)+SUMIF($AD$3:$BA$3,"&gt;="&amp;$DG11,$B11:$Y11)),
IF(AN$3=$DF11+'Model Setup'!$E$7,SUMIF($AD$3:$BA$3,"="&amp;$DF11+'Model Setup'!$E$7,$B11:$Y11)+'Model Setup'!$E$8*(SUMIF($AD$3:$BA$3,"&lt;"&amp;$DF11,$B11:$Y11)+SUMIF($AD$3:$BA$3,"&gt;="&amp;$DG11,$B11:$Y11)),
IF(AN$3=$DF11+'Model Setup'!$F$7,SUMIF($AD$3:$BA$3,"="&amp;$DF11+'Model Setup'!$F$7,$B11:$Y11)+'Model Setup'!$F$8*(SUMIF($AD$3:$BA$3,"&lt;"&amp;$DF11,$B11:$Y11)+SUMIF($AD$3:$BA$3,"&gt;="&amp;$DG11,$B11:$Y11)),
IF(AN$3=$DF11+'Model Setup'!$G$7,SUMIF($AD$3:$BA$3,"="&amp;$DF11+'Model Setup'!$G$7,$B11:$Y11)+'Model Setup'!$G$8*(SUMIF($AD$3:$BA$3,"&lt;"&amp;$DF11,$B11:$Y11)+SUMIF($AD$3:$BA$3,"&gt;="&amp;$DG11,$B11:$Y11)),
IF(AN$3=$DF11+'Model Setup'!$H$7,SUMIF($AD$3:$BA$3,"="&amp;$DF11+'Model Setup'!$H$7,$B11:$Y11)+'Model Setup'!$H$8*(SUMIF($AD$3:$BA$3,"&lt;"&amp;$DF11,$B11:$Y11)+SUMIF($AD$3:$BA$3,"&gt;="&amp;$DG11,$B11:$Y11)),
IF(AN$3=$DF11+'Model Setup'!$I$7,SUMIF($AD$3:$BA$3,"="&amp;$DF11+'Model Setup'!$I$7,$B11:$Y11)+'Model Setup'!$I$8*(SUMIF($AD$3:$BA$3,"&lt;"&amp;$DF11,$B11:$Y11)+SUMIF($AD$3:$BA$3,"&gt;="&amp;$DG11,$B11:$Y11)),
IF(AN$3=$DF11+'Model Setup'!$J$7,SUMIF($AD$3:$BA$3,"="&amp;$DF11+'Model Setup'!$J$7,$B11:$Y11)+'Model Setup'!$J$8*(SUMIF($AD$3:$BA$3,"&lt;"&amp;$DF11,$B11:$Y11)+SUMIF($AD$3:$BA$3,"&gt;="&amp;$DG11,$B11:$Y11)),
IF(AN$3=$DF11+'Model Setup'!$K$7,SUMIF($AD$3:$BA$3,"="&amp;$DF11+'Model Setup'!$K$7,$B11:$Y11)+'Model Setup'!$K$8*(SUMIF($AD$3:$BA$3,"&lt;"&amp;$DF11,$B11:$Y11)+SUMIF($AD$3:$BA$3,"&gt;="&amp;$DG11,$B11:$Y11)),
IF(AN$3=$DF11+'Model Setup'!$L$7,SUMIF($AD$3:$BA$3,"="&amp;$DF11+'Model Setup'!$L$7,$B11:$Y11)+'Model Setup'!$L$8*(SUMIF($AD$3:$BA$3,"&lt;"&amp;$DF11,$B11:$Y11)+SUMIF($AD$3:$BA$3,"&gt;="&amp;$DG11,$B11:$Y11)),
IF(AN$3=$DF11+'Model Setup'!$M$7,SUMIF($AD$3:$BA$3,"="&amp;$DF11+'Model Setup'!$M$7,$B11:$Y11)+'Model Setup'!$M$8*(SUMIF($AD$3:$BA$3,"&lt;"&amp;$DF11,$B11:$Y11)+SUMIF($AD$3:$BA$3,"&gt;="&amp;$DG11,$B11:$Y11)),
IF(AN$3=$DF11+'Model Setup'!$N$7,SUMIF($AD$3:$BA$3,"="&amp;$DF11+'Model Setup'!$N$7,$B11:$Y11)+'Model Setup'!$N$8*(SUMIF($AD$3:$BA$3,"&lt;"&amp;$DF11,$B11:$Y11)+SUMIF($AD$3:$BA$3,"&gt;="&amp;$DG11,$B11:$Y11)),
IF(AN$3&lt;$DG11,L11,0))))))))))))))),0)</f>
        <v>69</v>
      </c>
      <c r="AO11" s="47">
        <f>ROUND(IF(AO$3&lt;$DF11,0,
IF(AO$3=$DF11+'Model Setup'!$B$7,SUMIF($AD$3:$BA$3,"="&amp;$DF11+'Model Setup'!$B$7,$B11:$Y11)+'Model Setup'!$B$8*(SUMIF($AD$3:$BA$3,"&lt;"&amp;$DF11,$B11:$Y11)+SUMIF($AD$3:$BA$3,"&gt;="&amp;$DG11,$B11:$Y11)),
IF(AO$3=$DF11+'Model Setup'!$C$7,SUMIF($AD$3:$BA$3,"="&amp;$DF11+'Model Setup'!$C$7,$B11:$Y11)+'Model Setup'!$C$8*(SUMIF($AD$3:$BA$3,"&lt;"&amp;$DF11,$B11:$Y11)+SUMIF($AD$3:$BA$3,"&gt;="&amp;$DG11,$B11:$Y11)),
IF(AO$3=$DF11+'Model Setup'!$D$7,SUMIF($AD$3:$BA$3,"="&amp;$DF11+'Model Setup'!$D$7,$B11:$Y11)+'Model Setup'!$D$8*(SUMIF($AD$3:$BA$3,"&lt;"&amp;$DF11,$B11:$Y11)+SUMIF($AD$3:$BA$3,"&gt;="&amp;$DG11,$B11:$Y11)),
IF(AO$3=$DF11+'Model Setup'!$E$7,SUMIF($AD$3:$BA$3,"="&amp;$DF11+'Model Setup'!$E$7,$B11:$Y11)+'Model Setup'!$E$8*(SUMIF($AD$3:$BA$3,"&lt;"&amp;$DF11,$B11:$Y11)+SUMIF($AD$3:$BA$3,"&gt;="&amp;$DG11,$B11:$Y11)),
IF(AO$3=$DF11+'Model Setup'!$F$7,SUMIF($AD$3:$BA$3,"="&amp;$DF11+'Model Setup'!$F$7,$B11:$Y11)+'Model Setup'!$F$8*(SUMIF($AD$3:$BA$3,"&lt;"&amp;$DF11,$B11:$Y11)+SUMIF($AD$3:$BA$3,"&gt;="&amp;$DG11,$B11:$Y11)),
IF(AO$3=$DF11+'Model Setup'!$G$7,SUMIF($AD$3:$BA$3,"="&amp;$DF11+'Model Setup'!$G$7,$B11:$Y11)+'Model Setup'!$G$8*(SUMIF($AD$3:$BA$3,"&lt;"&amp;$DF11,$B11:$Y11)+SUMIF($AD$3:$BA$3,"&gt;="&amp;$DG11,$B11:$Y11)),
IF(AO$3=$DF11+'Model Setup'!$H$7,SUMIF($AD$3:$BA$3,"="&amp;$DF11+'Model Setup'!$H$7,$B11:$Y11)+'Model Setup'!$H$8*(SUMIF($AD$3:$BA$3,"&lt;"&amp;$DF11,$B11:$Y11)+SUMIF($AD$3:$BA$3,"&gt;="&amp;$DG11,$B11:$Y11)),
IF(AO$3=$DF11+'Model Setup'!$I$7,SUMIF($AD$3:$BA$3,"="&amp;$DF11+'Model Setup'!$I$7,$B11:$Y11)+'Model Setup'!$I$8*(SUMIF($AD$3:$BA$3,"&lt;"&amp;$DF11,$B11:$Y11)+SUMIF($AD$3:$BA$3,"&gt;="&amp;$DG11,$B11:$Y11)),
IF(AO$3=$DF11+'Model Setup'!$J$7,SUMIF($AD$3:$BA$3,"="&amp;$DF11+'Model Setup'!$J$7,$B11:$Y11)+'Model Setup'!$J$8*(SUMIF($AD$3:$BA$3,"&lt;"&amp;$DF11,$B11:$Y11)+SUMIF($AD$3:$BA$3,"&gt;="&amp;$DG11,$B11:$Y11)),
IF(AO$3=$DF11+'Model Setup'!$K$7,SUMIF($AD$3:$BA$3,"="&amp;$DF11+'Model Setup'!$K$7,$B11:$Y11)+'Model Setup'!$K$8*(SUMIF($AD$3:$BA$3,"&lt;"&amp;$DF11,$B11:$Y11)+SUMIF($AD$3:$BA$3,"&gt;="&amp;$DG11,$B11:$Y11)),
IF(AO$3=$DF11+'Model Setup'!$L$7,SUMIF($AD$3:$BA$3,"="&amp;$DF11+'Model Setup'!$L$7,$B11:$Y11)+'Model Setup'!$L$8*(SUMIF($AD$3:$BA$3,"&lt;"&amp;$DF11,$B11:$Y11)+SUMIF($AD$3:$BA$3,"&gt;="&amp;$DG11,$B11:$Y11)),
IF(AO$3=$DF11+'Model Setup'!$M$7,SUMIF($AD$3:$BA$3,"="&amp;$DF11+'Model Setup'!$M$7,$B11:$Y11)+'Model Setup'!$M$8*(SUMIF($AD$3:$BA$3,"&lt;"&amp;$DF11,$B11:$Y11)+SUMIF($AD$3:$BA$3,"&gt;="&amp;$DG11,$B11:$Y11)),
IF(AO$3=$DF11+'Model Setup'!$N$7,SUMIF($AD$3:$BA$3,"="&amp;$DF11+'Model Setup'!$N$7,$B11:$Y11)+'Model Setup'!$N$8*(SUMIF($AD$3:$BA$3,"&lt;"&amp;$DF11,$B11:$Y11)+SUMIF($AD$3:$BA$3,"&gt;="&amp;$DG11,$B11:$Y11)),
IF(AO$3&lt;$DG11,M11,0))))))))))))))),0)</f>
        <v>48</v>
      </c>
      <c r="AP11" s="47">
        <f>ROUND(IF(AP$3&lt;$DF11,0,
IF(AP$3=$DF11+'Model Setup'!$B$7,SUMIF($AD$3:$BA$3,"="&amp;$DF11+'Model Setup'!$B$7,$B11:$Y11)+'Model Setup'!$B$8*(SUMIF($AD$3:$BA$3,"&lt;"&amp;$DF11,$B11:$Y11)+SUMIF($AD$3:$BA$3,"&gt;="&amp;$DG11,$B11:$Y11)),
IF(AP$3=$DF11+'Model Setup'!$C$7,SUMIF($AD$3:$BA$3,"="&amp;$DF11+'Model Setup'!$C$7,$B11:$Y11)+'Model Setup'!$C$8*(SUMIF($AD$3:$BA$3,"&lt;"&amp;$DF11,$B11:$Y11)+SUMIF($AD$3:$BA$3,"&gt;="&amp;$DG11,$B11:$Y11)),
IF(AP$3=$DF11+'Model Setup'!$D$7,SUMIF($AD$3:$BA$3,"="&amp;$DF11+'Model Setup'!$D$7,$B11:$Y11)+'Model Setup'!$D$8*(SUMIF($AD$3:$BA$3,"&lt;"&amp;$DF11,$B11:$Y11)+SUMIF($AD$3:$BA$3,"&gt;="&amp;$DG11,$B11:$Y11)),
IF(AP$3=$DF11+'Model Setup'!$E$7,SUMIF($AD$3:$BA$3,"="&amp;$DF11+'Model Setup'!$E$7,$B11:$Y11)+'Model Setup'!$E$8*(SUMIF($AD$3:$BA$3,"&lt;"&amp;$DF11,$B11:$Y11)+SUMIF($AD$3:$BA$3,"&gt;="&amp;$DG11,$B11:$Y11)),
IF(AP$3=$DF11+'Model Setup'!$F$7,SUMIF($AD$3:$BA$3,"="&amp;$DF11+'Model Setup'!$F$7,$B11:$Y11)+'Model Setup'!$F$8*(SUMIF($AD$3:$BA$3,"&lt;"&amp;$DF11,$B11:$Y11)+SUMIF($AD$3:$BA$3,"&gt;="&amp;$DG11,$B11:$Y11)),
IF(AP$3=$DF11+'Model Setup'!$G$7,SUMIF($AD$3:$BA$3,"="&amp;$DF11+'Model Setup'!$G$7,$B11:$Y11)+'Model Setup'!$G$8*(SUMIF($AD$3:$BA$3,"&lt;"&amp;$DF11,$B11:$Y11)+SUMIF($AD$3:$BA$3,"&gt;="&amp;$DG11,$B11:$Y11)),
IF(AP$3=$DF11+'Model Setup'!$H$7,SUMIF($AD$3:$BA$3,"="&amp;$DF11+'Model Setup'!$H$7,$B11:$Y11)+'Model Setup'!$H$8*(SUMIF($AD$3:$BA$3,"&lt;"&amp;$DF11,$B11:$Y11)+SUMIF($AD$3:$BA$3,"&gt;="&amp;$DG11,$B11:$Y11)),
IF(AP$3=$DF11+'Model Setup'!$I$7,SUMIF($AD$3:$BA$3,"="&amp;$DF11+'Model Setup'!$I$7,$B11:$Y11)+'Model Setup'!$I$8*(SUMIF($AD$3:$BA$3,"&lt;"&amp;$DF11,$B11:$Y11)+SUMIF($AD$3:$BA$3,"&gt;="&amp;$DG11,$B11:$Y11)),
IF(AP$3=$DF11+'Model Setup'!$J$7,SUMIF($AD$3:$BA$3,"="&amp;$DF11+'Model Setup'!$J$7,$B11:$Y11)+'Model Setup'!$J$8*(SUMIF($AD$3:$BA$3,"&lt;"&amp;$DF11,$B11:$Y11)+SUMIF($AD$3:$BA$3,"&gt;="&amp;$DG11,$B11:$Y11)),
IF(AP$3=$DF11+'Model Setup'!$K$7,SUMIF($AD$3:$BA$3,"="&amp;$DF11+'Model Setup'!$K$7,$B11:$Y11)+'Model Setup'!$K$8*(SUMIF($AD$3:$BA$3,"&lt;"&amp;$DF11,$B11:$Y11)+SUMIF($AD$3:$BA$3,"&gt;="&amp;$DG11,$B11:$Y11)),
IF(AP$3=$DF11+'Model Setup'!$L$7,SUMIF($AD$3:$BA$3,"="&amp;$DF11+'Model Setup'!$L$7,$B11:$Y11)+'Model Setup'!$L$8*(SUMIF($AD$3:$BA$3,"&lt;"&amp;$DF11,$B11:$Y11)+SUMIF($AD$3:$BA$3,"&gt;="&amp;$DG11,$B11:$Y11)),
IF(AP$3=$DF11+'Model Setup'!$M$7,SUMIF($AD$3:$BA$3,"="&amp;$DF11+'Model Setup'!$M$7,$B11:$Y11)+'Model Setup'!$M$8*(SUMIF($AD$3:$BA$3,"&lt;"&amp;$DF11,$B11:$Y11)+SUMIF($AD$3:$BA$3,"&gt;="&amp;$DG11,$B11:$Y11)),
IF(AP$3=$DF11+'Model Setup'!$N$7,SUMIF($AD$3:$BA$3,"="&amp;$DF11+'Model Setup'!$N$7,$B11:$Y11)+'Model Setup'!$N$8*(SUMIF($AD$3:$BA$3,"&lt;"&amp;$DF11,$B11:$Y11)+SUMIF($AD$3:$BA$3,"&gt;="&amp;$DG11,$B11:$Y11)),
IF(AP$3&lt;$DG11,N11,0))))))))))))))),0)</f>
        <v>30</v>
      </c>
      <c r="AQ11" s="47">
        <f>ROUND(IF(AQ$3&lt;$DF11,0,
IF(AQ$3=$DF11+'Model Setup'!$B$7,SUMIF($AD$3:$BA$3,"="&amp;$DF11+'Model Setup'!$B$7,$B11:$Y11)+'Model Setup'!$B$8*(SUMIF($AD$3:$BA$3,"&lt;"&amp;$DF11,$B11:$Y11)+SUMIF($AD$3:$BA$3,"&gt;="&amp;$DG11,$B11:$Y11)),
IF(AQ$3=$DF11+'Model Setup'!$C$7,SUMIF($AD$3:$BA$3,"="&amp;$DF11+'Model Setup'!$C$7,$B11:$Y11)+'Model Setup'!$C$8*(SUMIF($AD$3:$BA$3,"&lt;"&amp;$DF11,$B11:$Y11)+SUMIF($AD$3:$BA$3,"&gt;="&amp;$DG11,$B11:$Y11)),
IF(AQ$3=$DF11+'Model Setup'!$D$7,SUMIF($AD$3:$BA$3,"="&amp;$DF11+'Model Setup'!$D$7,$B11:$Y11)+'Model Setup'!$D$8*(SUMIF($AD$3:$BA$3,"&lt;"&amp;$DF11,$B11:$Y11)+SUMIF($AD$3:$BA$3,"&gt;="&amp;$DG11,$B11:$Y11)),
IF(AQ$3=$DF11+'Model Setup'!$E$7,SUMIF($AD$3:$BA$3,"="&amp;$DF11+'Model Setup'!$E$7,$B11:$Y11)+'Model Setup'!$E$8*(SUMIF($AD$3:$BA$3,"&lt;"&amp;$DF11,$B11:$Y11)+SUMIF($AD$3:$BA$3,"&gt;="&amp;$DG11,$B11:$Y11)),
IF(AQ$3=$DF11+'Model Setup'!$F$7,SUMIF($AD$3:$BA$3,"="&amp;$DF11+'Model Setup'!$F$7,$B11:$Y11)+'Model Setup'!$F$8*(SUMIF($AD$3:$BA$3,"&lt;"&amp;$DF11,$B11:$Y11)+SUMIF($AD$3:$BA$3,"&gt;="&amp;$DG11,$B11:$Y11)),
IF(AQ$3=$DF11+'Model Setup'!$G$7,SUMIF($AD$3:$BA$3,"="&amp;$DF11+'Model Setup'!$G$7,$B11:$Y11)+'Model Setup'!$G$8*(SUMIF($AD$3:$BA$3,"&lt;"&amp;$DF11,$B11:$Y11)+SUMIF($AD$3:$BA$3,"&gt;="&amp;$DG11,$B11:$Y11)),
IF(AQ$3=$DF11+'Model Setup'!$H$7,SUMIF($AD$3:$BA$3,"="&amp;$DF11+'Model Setup'!$H$7,$B11:$Y11)+'Model Setup'!$H$8*(SUMIF($AD$3:$BA$3,"&lt;"&amp;$DF11,$B11:$Y11)+SUMIF($AD$3:$BA$3,"&gt;="&amp;$DG11,$B11:$Y11)),
IF(AQ$3=$DF11+'Model Setup'!$I$7,SUMIF($AD$3:$BA$3,"="&amp;$DF11+'Model Setup'!$I$7,$B11:$Y11)+'Model Setup'!$I$8*(SUMIF($AD$3:$BA$3,"&lt;"&amp;$DF11,$B11:$Y11)+SUMIF($AD$3:$BA$3,"&gt;="&amp;$DG11,$B11:$Y11)),
IF(AQ$3=$DF11+'Model Setup'!$J$7,SUMIF($AD$3:$BA$3,"="&amp;$DF11+'Model Setup'!$J$7,$B11:$Y11)+'Model Setup'!$J$8*(SUMIF($AD$3:$BA$3,"&lt;"&amp;$DF11,$B11:$Y11)+SUMIF($AD$3:$BA$3,"&gt;="&amp;$DG11,$B11:$Y11)),
IF(AQ$3=$DF11+'Model Setup'!$K$7,SUMIF($AD$3:$BA$3,"="&amp;$DF11+'Model Setup'!$K$7,$B11:$Y11)+'Model Setup'!$K$8*(SUMIF($AD$3:$BA$3,"&lt;"&amp;$DF11,$B11:$Y11)+SUMIF($AD$3:$BA$3,"&gt;="&amp;$DG11,$B11:$Y11)),
IF(AQ$3=$DF11+'Model Setup'!$L$7,SUMIF($AD$3:$BA$3,"="&amp;$DF11+'Model Setup'!$L$7,$B11:$Y11)+'Model Setup'!$L$8*(SUMIF($AD$3:$BA$3,"&lt;"&amp;$DF11,$B11:$Y11)+SUMIF($AD$3:$BA$3,"&gt;="&amp;$DG11,$B11:$Y11)),
IF(AQ$3=$DF11+'Model Setup'!$M$7,SUMIF($AD$3:$BA$3,"="&amp;$DF11+'Model Setup'!$M$7,$B11:$Y11)+'Model Setup'!$M$8*(SUMIF($AD$3:$BA$3,"&lt;"&amp;$DF11,$B11:$Y11)+SUMIF($AD$3:$BA$3,"&gt;="&amp;$DG11,$B11:$Y11)),
IF(AQ$3=$DF11+'Model Setup'!$N$7,SUMIF($AD$3:$BA$3,"="&amp;$DF11+'Model Setup'!$N$7,$B11:$Y11)+'Model Setup'!$N$8*(SUMIF($AD$3:$BA$3,"&lt;"&amp;$DF11,$B11:$Y11)+SUMIF($AD$3:$BA$3,"&gt;="&amp;$DG11,$B11:$Y11)),
IF(AQ$3&lt;$DG11,O11,0))))))))))))))),0)</f>
        <v>26</v>
      </c>
      <c r="AR11" s="47">
        <f>ROUND(IF(AR$3&lt;$DF11,0,
IF(AR$3=$DF11+'Model Setup'!$B$7,SUMIF($AD$3:$BA$3,"="&amp;$DF11+'Model Setup'!$B$7,$B11:$Y11)+'Model Setup'!$B$8*(SUMIF($AD$3:$BA$3,"&lt;"&amp;$DF11,$B11:$Y11)+SUMIF($AD$3:$BA$3,"&gt;="&amp;$DG11,$B11:$Y11)),
IF(AR$3=$DF11+'Model Setup'!$C$7,SUMIF($AD$3:$BA$3,"="&amp;$DF11+'Model Setup'!$C$7,$B11:$Y11)+'Model Setup'!$C$8*(SUMIF($AD$3:$BA$3,"&lt;"&amp;$DF11,$B11:$Y11)+SUMIF($AD$3:$BA$3,"&gt;="&amp;$DG11,$B11:$Y11)),
IF(AR$3=$DF11+'Model Setup'!$D$7,SUMIF($AD$3:$BA$3,"="&amp;$DF11+'Model Setup'!$D$7,$B11:$Y11)+'Model Setup'!$D$8*(SUMIF($AD$3:$BA$3,"&lt;"&amp;$DF11,$B11:$Y11)+SUMIF($AD$3:$BA$3,"&gt;="&amp;$DG11,$B11:$Y11)),
IF(AR$3=$DF11+'Model Setup'!$E$7,SUMIF($AD$3:$BA$3,"="&amp;$DF11+'Model Setup'!$E$7,$B11:$Y11)+'Model Setup'!$E$8*(SUMIF($AD$3:$BA$3,"&lt;"&amp;$DF11,$B11:$Y11)+SUMIF($AD$3:$BA$3,"&gt;="&amp;$DG11,$B11:$Y11)),
IF(AR$3=$DF11+'Model Setup'!$F$7,SUMIF($AD$3:$BA$3,"="&amp;$DF11+'Model Setup'!$F$7,$B11:$Y11)+'Model Setup'!$F$8*(SUMIF($AD$3:$BA$3,"&lt;"&amp;$DF11,$B11:$Y11)+SUMIF($AD$3:$BA$3,"&gt;="&amp;$DG11,$B11:$Y11)),
IF(AR$3=$DF11+'Model Setup'!$G$7,SUMIF($AD$3:$BA$3,"="&amp;$DF11+'Model Setup'!$G$7,$B11:$Y11)+'Model Setup'!$G$8*(SUMIF($AD$3:$BA$3,"&lt;"&amp;$DF11,$B11:$Y11)+SUMIF($AD$3:$BA$3,"&gt;="&amp;$DG11,$B11:$Y11)),
IF(AR$3=$DF11+'Model Setup'!$H$7,SUMIF($AD$3:$BA$3,"="&amp;$DF11+'Model Setup'!$H$7,$B11:$Y11)+'Model Setup'!$H$8*(SUMIF($AD$3:$BA$3,"&lt;"&amp;$DF11,$B11:$Y11)+SUMIF($AD$3:$BA$3,"&gt;="&amp;$DG11,$B11:$Y11)),
IF(AR$3=$DF11+'Model Setup'!$I$7,SUMIF($AD$3:$BA$3,"="&amp;$DF11+'Model Setup'!$I$7,$B11:$Y11)+'Model Setup'!$I$8*(SUMIF($AD$3:$BA$3,"&lt;"&amp;$DF11,$B11:$Y11)+SUMIF($AD$3:$BA$3,"&gt;="&amp;$DG11,$B11:$Y11)),
IF(AR$3=$DF11+'Model Setup'!$J$7,SUMIF($AD$3:$BA$3,"="&amp;$DF11+'Model Setup'!$J$7,$B11:$Y11)+'Model Setup'!$J$8*(SUMIF($AD$3:$BA$3,"&lt;"&amp;$DF11,$B11:$Y11)+SUMIF($AD$3:$BA$3,"&gt;="&amp;$DG11,$B11:$Y11)),
IF(AR$3=$DF11+'Model Setup'!$K$7,SUMIF($AD$3:$BA$3,"="&amp;$DF11+'Model Setup'!$K$7,$B11:$Y11)+'Model Setup'!$K$8*(SUMIF($AD$3:$BA$3,"&lt;"&amp;$DF11,$B11:$Y11)+SUMIF($AD$3:$BA$3,"&gt;="&amp;$DG11,$B11:$Y11)),
IF(AR$3=$DF11+'Model Setup'!$L$7,SUMIF($AD$3:$BA$3,"="&amp;$DF11+'Model Setup'!$L$7,$B11:$Y11)+'Model Setup'!$L$8*(SUMIF($AD$3:$BA$3,"&lt;"&amp;$DF11,$B11:$Y11)+SUMIF($AD$3:$BA$3,"&gt;="&amp;$DG11,$B11:$Y11)),
IF(AR$3=$DF11+'Model Setup'!$M$7,SUMIF($AD$3:$BA$3,"="&amp;$DF11+'Model Setup'!$M$7,$B11:$Y11)+'Model Setup'!$M$8*(SUMIF($AD$3:$BA$3,"&lt;"&amp;$DF11,$B11:$Y11)+SUMIF($AD$3:$BA$3,"&gt;="&amp;$DG11,$B11:$Y11)),
IF(AR$3=$DF11+'Model Setup'!$N$7,SUMIF($AD$3:$BA$3,"="&amp;$DF11+'Model Setup'!$N$7,$B11:$Y11)+'Model Setup'!$N$8*(SUMIF($AD$3:$BA$3,"&lt;"&amp;$DF11,$B11:$Y11)+SUMIF($AD$3:$BA$3,"&gt;="&amp;$DG11,$B11:$Y11)),
IF(AR$3&lt;$DG11,P11,0))))))))))))))),0)</f>
        <v>20</v>
      </c>
      <c r="AS11" s="47">
        <f>ROUND(IF(AS$3&lt;$DF11,0,
IF(AS$3=$DF11+'Model Setup'!$B$7,SUMIF($AD$3:$BA$3,"="&amp;$DF11+'Model Setup'!$B$7,$B11:$Y11)+'Model Setup'!$B$8*(SUMIF($AD$3:$BA$3,"&lt;"&amp;$DF11,$B11:$Y11)+SUMIF($AD$3:$BA$3,"&gt;="&amp;$DG11,$B11:$Y11)),
IF(AS$3=$DF11+'Model Setup'!$C$7,SUMIF($AD$3:$BA$3,"="&amp;$DF11+'Model Setup'!$C$7,$B11:$Y11)+'Model Setup'!$C$8*(SUMIF($AD$3:$BA$3,"&lt;"&amp;$DF11,$B11:$Y11)+SUMIF($AD$3:$BA$3,"&gt;="&amp;$DG11,$B11:$Y11)),
IF(AS$3=$DF11+'Model Setup'!$D$7,SUMIF($AD$3:$BA$3,"="&amp;$DF11+'Model Setup'!$D$7,$B11:$Y11)+'Model Setup'!$D$8*(SUMIF($AD$3:$BA$3,"&lt;"&amp;$DF11,$B11:$Y11)+SUMIF($AD$3:$BA$3,"&gt;="&amp;$DG11,$B11:$Y11)),
IF(AS$3=$DF11+'Model Setup'!$E$7,SUMIF($AD$3:$BA$3,"="&amp;$DF11+'Model Setup'!$E$7,$B11:$Y11)+'Model Setup'!$E$8*(SUMIF($AD$3:$BA$3,"&lt;"&amp;$DF11,$B11:$Y11)+SUMIF($AD$3:$BA$3,"&gt;="&amp;$DG11,$B11:$Y11)),
IF(AS$3=$DF11+'Model Setup'!$F$7,SUMIF($AD$3:$BA$3,"="&amp;$DF11+'Model Setup'!$F$7,$B11:$Y11)+'Model Setup'!$F$8*(SUMIF($AD$3:$BA$3,"&lt;"&amp;$DF11,$B11:$Y11)+SUMIF($AD$3:$BA$3,"&gt;="&amp;$DG11,$B11:$Y11)),
IF(AS$3=$DF11+'Model Setup'!$G$7,SUMIF($AD$3:$BA$3,"="&amp;$DF11+'Model Setup'!$G$7,$B11:$Y11)+'Model Setup'!$G$8*(SUMIF($AD$3:$BA$3,"&lt;"&amp;$DF11,$B11:$Y11)+SUMIF($AD$3:$BA$3,"&gt;="&amp;$DG11,$B11:$Y11)),
IF(AS$3=$DF11+'Model Setup'!$H$7,SUMIF($AD$3:$BA$3,"="&amp;$DF11+'Model Setup'!$H$7,$B11:$Y11)+'Model Setup'!$H$8*(SUMIF($AD$3:$BA$3,"&lt;"&amp;$DF11,$B11:$Y11)+SUMIF($AD$3:$BA$3,"&gt;="&amp;$DG11,$B11:$Y11)),
IF(AS$3=$DF11+'Model Setup'!$I$7,SUMIF($AD$3:$BA$3,"="&amp;$DF11+'Model Setup'!$I$7,$B11:$Y11)+'Model Setup'!$I$8*(SUMIF($AD$3:$BA$3,"&lt;"&amp;$DF11,$B11:$Y11)+SUMIF($AD$3:$BA$3,"&gt;="&amp;$DG11,$B11:$Y11)),
IF(AS$3=$DF11+'Model Setup'!$J$7,SUMIF($AD$3:$BA$3,"="&amp;$DF11+'Model Setup'!$J$7,$B11:$Y11)+'Model Setup'!$J$8*(SUMIF($AD$3:$BA$3,"&lt;"&amp;$DF11,$B11:$Y11)+SUMIF($AD$3:$BA$3,"&gt;="&amp;$DG11,$B11:$Y11)),
IF(AS$3=$DF11+'Model Setup'!$K$7,SUMIF($AD$3:$BA$3,"="&amp;$DF11+'Model Setup'!$K$7,$B11:$Y11)+'Model Setup'!$K$8*(SUMIF($AD$3:$BA$3,"&lt;"&amp;$DF11,$B11:$Y11)+SUMIF($AD$3:$BA$3,"&gt;="&amp;$DG11,$B11:$Y11)),
IF(AS$3=$DF11+'Model Setup'!$L$7,SUMIF($AD$3:$BA$3,"="&amp;$DF11+'Model Setup'!$L$7,$B11:$Y11)+'Model Setup'!$L$8*(SUMIF($AD$3:$BA$3,"&lt;"&amp;$DF11,$B11:$Y11)+SUMIF($AD$3:$BA$3,"&gt;="&amp;$DG11,$B11:$Y11)),
IF(AS$3=$DF11+'Model Setup'!$M$7,SUMIF($AD$3:$BA$3,"="&amp;$DF11+'Model Setup'!$M$7,$B11:$Y11)+'Model Setup'!$M$8*(SUMIF($AD$3:$BA$3,"&lt;"&amp;$DF11,$B11:$Y11)+SUMIF($AD$3:$BA$3,"&gt;="&amp;$DG11,$B11:$Y11)),
IF(AS$3=$DF11+'Model Setup'!$N$7,SUMIF($AD$3:$BA$3,"="&amp;$DF11+'Model Setup'!$N$7,$B11:$Y11)+'Model Setup'!$N$8*(SUMIF($AD$3:$BA$3,"&lt;"&amp;$DF11,$B11:$Y11)+SUMIF($AD$3:$BA$3,"&gt;="&amp;$DG11,$B11:$Y11)),
IF(AS$3&lt;$DG11,Q11,0))))))))))))))),0)</f>
        <v>27</v>
      </c>
      <c r="AT11" s="47">
        <f>ROUND(IF(AT$3&lt;$DF11,0,
IF(AT$3=$DF11+'Model Setup'!$B$7,SUMIF($AD$3:$BA$3,"="&amp;$DF11+'Model Setup'!$B$7,$B11:$Y11)+'Model Setup'!$B$8*(SUMIF($AD$3:$BA$3,"&lt;"&amp;$DF11,$B11:$Y11)+SUMIF($AD$3:$BA$3,"&gt;="&amp;$DG11,$B11:$Y11)),
IF(AT$3=$DF11+'Model Setup'!$C$7,SUMIF($AD$3:$BA$3,"="&amp;$DF11+'Model Setup'!$C$7,$B11:$Y11)+'Model Setup'!$C$8*(SUMIF($AD$3:$BA$3,"&lt;"&amp;$DF11,$B11:$Y11)+SUMIF($AD$3:$BA$3,"&gt;="&amp;$DG11,$B11:$Y11)),
IF(AT$3=$DF11+'Model Setup'!$D$7,SUMIF($AD$3:$BA$3,"="&amp;$DF11+'Model Setup'!$D$7,$B11:$Y11)+'Model Setup'!$D$8*(SUMIF($AD$3:$BA$3,"&lt;"&amp;$DF11,$B11:$Y11)+SUMIF($AD$3:$BA$3,"&gt;="&amp;$DG11,$B11:$Y11)),
IF(AT$3=$DF11+'Model Setup'!$E$7,SUMIF($AD$3:$BA$3,"="&amp;$DF11+'Model Setup'!$E$7,$B11:$Y11)+'Model Setup'!$E$8*(SUMIF($AD$3:$BA$3,"&lt;"&amp;$DF11,$B11:$Y11)+SUMIF($AD$3:$BA$3,"&gt;="&amp;$DG11,$B11:$Y11)),
IF(AT$3=$DF11+'Model Setup'!$F$7,SUMIF($AD$3:$BA$3,"="&amp;$DF11+'Model Setup'!$F$7,$B11:$Y11)+'Model Setup'!$F$8*(SUMIF($AD$3:$BA$3,"&lt;"&amp;$DF11,$B11:$Y11)+SUMIF($AD$3:$BA$3,"&gt;="&amp;$DG11,$B11:$Y11)),
IF(AT$3=$DF11+'Model Setup'!$G$7,SUMIF($AD$3:$BA$3,"="&amp;$DF11+'Model Setup'!$G$7,$B11:$Y11)+'Model Setup'!$G$8*(SUMIF($AD$3:$BA$3,"&lt;"&amp;$DF11,$B11:$Y11)+SUMIF($AD$3:$BA$3,"&gt;="&amp;$DG11,$B11:$Y11)),
IF(AT$3=$DF11+'Model Setup'!$H$7,SUMIF($AD$3:$BA$3,"="&amp;$DF11+'Model Setup'!$H$7,$B11:$Y11)+'Model Setup'!$H$8*(SUMIF($AD$3:$BA$3,"&lt;"&amp;$DF11,$B11:$Y11)+SUMIF($AD$3:$BA$3,"&gt;="&amp;$DG11,$B11:$Y11)),
IF(AT$3=$DF11+'Model Setup'!$I$7,SUMIF($AD$3:$BA$3,"="&amp;$DF11+'Model Setup'!$I$7,$B11:$Y11)+'Model Setup'!$I$8*(SUMIF($AD$3:$BA$3,"&lt;"&amp;$DF11,$B11:$Y11)+SUMIF($AD$3:$BA$3,"&gt;="&amp;$DG11,$B11:$Y11)),
IF(AT$3=$DF11+'Model Setup'!$J$7,SUMIF($AD$3:$BA$3,"="&amp;$DF11+'Model Setup'!$J$7,$B11:$Y11)+'Model Setup'!$J$8*(SUMIF($AD$3:$BA$3,"&lt;"&amp;$DF11,$B11:$Y11)+SUMIF($AD$3:$BA$3,"&gt;="&amp;$DG11,$B11:$Y11)),
IF(AT$3=$DF11+'Model Setup'!$K$7,SUMIF($AD$3:$BA$3,"="&amp;$DF11+'Model Setup'!$K$7,$B11:$Y11)+'Model Setup'!$K$8*(SUMIF($AD$3:$BA$3,"&lt;"&amp;$DF11,$B11:$Y11)+SUMIF($AD$3:$BA$3,"&gt;="&amp;$DG11,$B11:$Y11)),
IF(AT$3=$DF11+'Model Setup'!$L$7,SUMIF($AD$3:$BA$3,"="&amp;$DF11+'Model Setup'!$L$7,$B11:$Y11)+'Model Setup'!$L$8*(SUMIF($AD$3:$BA$3,"&lt;"&amp;$DF11,$B11:$Y11)+SUMIF($AD$3:$BA$3,"&gt;="&amp;$DG11,$B11:$Y11)),
IF(AT$3=$DF11+'Model Setup'!$M$7,SUMIF($AD$3:$BA$3,"="&amp;$DF11+'Model Setup'!$M$7,$B11:$Y11)+'Model Setup'!$M$8*(SUMIF($AD$3:$BA$3,"&lt;"&amp;$DF11,$B11:$Y11)+SUMIF($AD$3:$BA$3,"&gt;="&amp;$DG11,$B11:$Y11)),
IF(AT$3=$DF11+'Model Setup'!$N$7,SUMIF($AD$3:$BA$3,"="&amp;$DF11+'Model Setup'!$N$7,$B11:$Y11)+'Model Setup'!$N$8*(SUMIF($AD$3:$BA$3,"&lt;"&amp;$DF11,$B11:$Y11)+SUMIF($AD$3:$BA$3,"&gt;="&amp;$DG11,$B11:$Y11)),
IF(AT$3&lt;$DG11,R11,0))))))))))))))),0)</f>
        <v>31</v>
      </c>
      <c r="AU11" s="47">
        <f>ROUND(IF(AU$3&lt;$DF11,0,
IF(AU$3=$DF11+'Model Setup'!$B$7,SUMIF($AD$3:$BA$3,"="&amp;$DF11+'Model Setup'!$B$7,$B11:$Y11)+'Model Setup'!$B$8*(SUMIF($AD$3:$BA$3,"&lt;"&amp;$DF11,$B11:$Y11)+SUMIF($AD$3:$BA$3,"&gt;="&amp;$DG11,$B11:$Y11)),
IF(AU$3=$DF11+'Model Setup'!$C$7,SUMIF($AD$3:$BA$3,"="&amp;$DF11+'Model Setup'!$C$7,$B11:$Y11)+'Model Setup'!$C$8*(SUMIF($AD$3:$BA$3,"&lt;"&amp;$DF11,$B11:$Y11)+SUMIF($AD$3:$BA$3,"&gt;="&amp;$DG11,$B11:$Y11)),
IF(AU$3=$DF11+'Model Setup'!$D$7,SUMIF($AD$3:$BA$3,"="&amp;$DF11+'Model Setup'!$D$7,$B11:$Y11)+'Model Setup'!$D$8*(SUMIF($AD$3:$BA$3,"&lt;"&amp;$DF11,$B11:$Y11)+SUMIF($AD$3:$BA$3,"&gt;="&amp;$DG11,$B11:$Y11)),
IF(AU$3=$DF11+'Model Setup'!$E$7,SUMIF($AD$3:$BA$3,"="&amp;$DF11+'Model Setup'!$E$7,$B11:$Y11)+'Model Setup'!$E$8*(SUMIF($AD$3:$BA$3,"&lt;"&amp;$DF11,$B11:$Y11)+SUMIF($AD$3:$BA$3,"&gt;="&amp;$DG11,$B11:$Y11)),
IF(AU$3=$DF11+'Model Setup'!$F$7,SUMIF($AD$3:$BA$3,"="&amp;$DF11+'Model Setup'!$F$7,$B11:$Y11)+'Model Setup'!$F$8*(SUMIF($AD$3:$BA$3,"&lt;"&amp;$DF11,$B11:$Y11)+SUMIF($AD$3:$BA$3,"&gt;="&amp;$DG11,$B11:$Y11)),
IF(AU$3=$DF11+'Model Setup'!$G$7,SUMIF($AD$3:$BA$3,"="&amp;$DF11+'Model Setup'!$G$7,$B11:$Y11)+'Model Setup'!$G$8*(SUMIF($AD$3:$BA$3,"&lt;"&amp;$DF11,$B11:$Y11)+SUMIF($AD$3:$BA$3,"&gt;="&amp;$DG11,$B11:$Y11)),
IF(AU$3=$DF11+'Model Setup'!$H$7,SUMIF($AD$3:$BA$3,"="&amp;$DF11+'Model Setup'!$H$7,$B11:$Y11)+'Model Setup'!$H$8*(SUMIF($AD$3:$BA$3,"&lt;"&amp;$DF11,$B11:$Y11)+SUMIF($AD$3:$BA$3,"&gt;="&amp;$DG11,$B11:$Y11)),
IF(AU$3=$DF11+'Model Setup'!$I$7,SUMIF($AD$3:$BA$3,"="&amp;$DF11+'Model Setup'!$I$7,$B11:$Y11)+'Model Setup'!$I$8*(SUMIF($AD$3:$BA$3,"&lt;"&amp;$DF11,$B11:$Y11)+SUMIF($AD$3:$BA$3,"&gt;="&amp;$DG11,$B11:$Y11)),
IF(AU$3=$DF11+'Model Setup'!$J$7,SUMIF($AD$3:$BA$3,"="&amp;$DF11+'Model Setup'!$J$7,$B11:$Y11)+'Model Setup'!$J$8*(SUMIF($AD$3:$BA$3,"&lt;"&amp;$DF11,$B11:$Y11)+SUMIF($AD$3:$BA$3,"&gt;="&amp;$DG11,$B11:$Y11)),
IF(AU$3=$DF11+'Model Setup'!$K$7,SUMIF($AD$3:$BA$3,"="&amp;$DF11+'Model Setup'!$K$7,$B11:$Y11)+'Model Setup'!$K$8*(SUMIF($AD$3:$BA$3,"&lt;"&amp;$DF11,$B11:$Y11)+SUMIF($AD$3:$BA$3,"&gt;="&amp;$DG11,$B11:$Y11)),
IF(AU$3=$DF11+'Model Setup'!$L$7,SUMIF($AD$3:$BA$3,"="&amp;$DF11+'Model Setup'!$L$7,$B11:$Y11)+'Model Setup'!$L$8*(SUMIF($AD$3:$BA$3,"&lt;"&amp;$DF11,$B11:$Y11)+SUMIF($AD$3:$BA$3,"&gt;="&amp;$DG11,$B11:$Y11)),
IF(AU$3=$DF11+'Model Setup'!$M$7,SUMIF($AD$3:$BA$3,"="&amp;$DF11+'Model Setup'!$M$7,$B11:$Y11)+'Model Setup'!$M$8*(SUMIF($AD$3:$BA$3,"&lt;"&amp;$DF11,$B11:$Y11)+SUMIF($AD$3:$BA$3,"&gt;="&amp;$DG11,$B11:$Y11)),
IF(AU$3=$DF11+'Model Setup'!$N$7,SUMIF($AD$3:$BA$3,"="&amp;$DF11+'Model Setup'!$N$7,$B11:$Y11)+'Model Setup'!$N$8*(SUMIF($AD$3:$BA$3,"&lt;"&amp;$DF11,$B11:$Y11)+SUMIF($AD$3:$BA$3,"&gt;="&amp;$DG11,$B11:$Y11)),
IF(AU$3&lt;$DG11,S11,0))))))))))))))),0)</f>
        <v>41</v>
      </c>
      <c r="AV11" s="47">
        <f>ROUND(IF(AV$3&lt;$DF11,0,
IF(AV$3=$DF11+'Model Setup'!$B$7,SUMIF($AD$3:$BA$3,"="&amp;$DF11+'Model Setup'!$B$7,$B11:$Y11)+'Model Setup'!$B$8*(SUMIF($AD$3:$BA$3,"&lt;"&amp;$DF11,$B11:$Y11)+SUMIF($AD$3:$BA$3,"&gt;="&amp;$DG11,$B11:$Y11)),
IF(AV$3=$DF11+'Model Setup'!$C$7,SUMIF($AD$3:$BA$3,"="&amp;$DF11+'Model Setup'!$C$7,$B11:$Y11)+'Model Setup'!$C$8*(SUMIF($AD$3:$BA$3,"&lt;"&amp;$DF11,$B11:$Y11)+SUMIF($AD$3:$BA$3,"&gt;="&amp;$DG11,$B11:$Y11)),
IF(AV$3=$DF11+'Model Setup'!$D$7,SUMIF($AD$3:$BA$3,"="&amp;$DF11+'Model Setup'!$D$7,$B11:$Y11)+'Model Setup'!$D$8*(SUMIF($AD$3:$BA$3,"&lt;"&amp;$DF11,$B11:$Y11)+SUMIF($AD$3:$BA$3,"&gt;="&amp;$DG11,$B11:$Y11)),
IF(AV$3=$DF11+'Model Setup'!$E$7,SUMIF($AD$3:$BA$3,"="&amp;$DF11+'Model Setup'!$E$7,$B11:$Y11)+'Model Setup'!$E$8*(SUMIF($AD$3:$BA$3,"&lt;"&amp;$DF11,$B11:$Y11)+SUMIF($AD$3:$BA$3,"&gt;="&amp;$DG11,$B11:$Y11)),
IF(AV$3=$DF11+'Model Setup'!$F$7,SUMIF($AD$3:$BA$3,"="&amp;$DF11+'Model Setup'!$F$7,$B11:$Y11)+'Model Setup'!$F$8*(SUMIF($AD$3:$BA$3,"&lt;"&amp;$DF11,$B11:$Y11)+SUMIF($AD$3:$BA$3,"&gt;="&amp;$DG11,$B11:$Y11)),
IF(AV$3=$DF11+'Model Setup'!$G$7,SUMIF($AD$3:$BA$3,"="&amp;$DF11+'Model Setup'!$G$7,$B11:$Y11)+'Model Setup'!$G$8*(SUMIF($AD$3:$BA$3,"&lt;"&amp;$DF11,$B11:$Y11)+SUMIF($AD$3:$BA$3,"&gt;="&amp;$DG11,$B11:$Y11)),
IF(AV$3=$DF11+'Model Setup'!$H$7,SUMIF($AD$3:$BA$3,"="&amp;$DF11+'Model Setup'!$H$7,$B11:$Y11)+'Model Setup'!$H$8*(SUMIF($AD$3:$BA$3,"&lt;"&amp;$DF11,$B11:$Y11)+SUMIF($AD$3:$BA$3,"&gt;="&amp;$DG11,$B11:$Y11)),
IF(AV$3=$DF11+'Model Setup'!$I$7,SUMIF($AD$3:$BA$3,"="&amp;$DF11+'Model Setup'!$I$7,$B11:$Y11)+'Model Setup'!$I$8*(SUMIF($AD$3:$BA$3,"&lt;"&amp;$DF11,$B11:$Y11)+SUMIF($AD$3:$BA$3,"&gt;="&amp;$DG11,$B11:$Y11)),
IF(AV$3=$DF11+'Model Setup'!$J$7,SUMIF($AD$3:$BA$3,"="&amp;$DF11+'Model Setup'!$J$7,$B11:$Y11)+'Model Setup'!$J$8*(SUMIF($AD$3:$BA$3,"&lt;"&amp;$DF11,$B11:$Y11)+SUMIF($AD$3:$BA$3,"&gt;="&amp;$DG11,$B11:$Y11)),
IF(AV$3=$DF11+'Model Setup'!$K$7,SUMIF($AD$3:$BA$3,"="&amp;$DF11+'Model Setup'!$K$7,$B11:$Y11)+'Model Setup'!$K$8*(SUMIF($AD$3:$BA$3,"&lt;"&amp;$DF11,$B11:$Y11)+SUMIF($AD$3:$BA$3,"&gt;="&amp;$DG11,$B11:$Y11)),
IF(AV$3=$DF11+'Model Setup'!$L$7,SUMIF($AD$3:$BA$3,"="&amp;$DF11+'Model Setup'!$L$7,$B11:$Y11)+'Model Setup'!$L$8*(SUMIF($AD$3:$BA$3,"&lt;"&amp;$DF11,$B11:$Y11)+SUMIF($AD$3:$BA$3,"&gt;="&amp;$DG11,$B11:$Y11)),
IF(AV$3=$DF11+'Model Setup'!$M$7,SUMIF($AD$3:$BA$3,"="&amp;$DF11+'Model Setup'!$M$7,$B11:$Y11)+'Model Setup'!$M$8*(SUMIF($AD$3:$BA$3,"&lt;"&amp;$DF11,$B11:$Y11)+SUMIF($AD$3:$BA$3,"&gt;="&amp;$DG11,$B11:$Y11)),
IF(AV$3=$DF11+'Model Setup'!$N$7,SUMIF($AD$3:$BA$3,"="&amp;$DF11+'Model Setup'!$N$7,$B11:$Y11)+'Model Setup'!$N$8*(SUMIF($AD$3:$BA$3,"&lt;"&amp;$DF11,$B11:$Y11)+SUMIF($AD$3:$BA$3,"&gt;="&amp;$DG11,$B11:$Y11)),
IF(AV$3&lt;$DG11,T11,0))))))))))))))),0)</f>
        <v>30</v>
      </c>
      <c r="AW11" s="47">
        <f>ROUND(IF(AW$3&lt;$DF11,0,
IF(AW$3=$DF11+'Model Setup'!$B$7,SUMIF($AD$3:$BA$3,"="&amp;$DF11+'Model Setup'!$B$7,$B11:$Y11)+'Model Setup'!$B$8*(SUMIF($AD$3:$BA$3,"&lt;"&amp;$DF11,$B11:$Y11)+SUMIF($AD$3:$BA$3,"&gt;="&amp;$DG11,$B11:$Y11)),
IF(AW$3=$DF11+'Model Setup'!$C$7,SUMIF($AD$3:$BA$3,"="&amp;$DF11+'Model Setup'!$C$7,$B11:$Y11)+'Model Setup'!$C$8*(SUMIF($AD$3:$BA$3,"&lt;"&amp;$DF11,$B11:$Y11)+SUMIF($AD$3:$BA$3,"&gt;="&amp;$DG11,$B11:$Y11)),
IF(AW$3=$DF11+'Model Setup'!$D$7,SUMIF($AD$3:$BA$3,"="&amp;$DF11+'Model Setup'!$D$7,$B11:$Y11)+'Model Setup'!$D$8*(SUMIF($AD$3:$BA$3,"&lt;"&amp;$DF11,$B11:$Y11)+SUMIF($AD$3:$BA$3,"&gt;="&amp;$DG11,$B11:$Y11)),
IF(AW$3=$DF11+'Model Setup'!$E$7,SUMIF($AD$3:$BA$3,"="&amp;$DF11+'Model Setup'!$E$7,$B11:$Y11)+'Model Setup'!$E$8*(SUMIF($AD$3:$BA$3,"&lt;"&amp;$DF11,$B11:$Y11)+SUMIF($AD$3:$BA$3,"&gt;="&amp;$DG11,$B11:$Y11)),
IF(AW$3=$DF11+'Model Setup'!$F$7,SUMIF($AD$3:$BA$3,"="&amp;$DF11+'Model Setup'!$F$7,$B11:$Y11)+'Model Setup'!$F$8*(SUMIF($AD$3:$BA$3,"&lt;"&amp;$DF11,$B11:$Y11)+SUMIF($AD$3:$BA$3,"&gt;="&amp;$DG11,$B11:$Y11)),
IF(AW$3=$DF11+'Model Setup'!$G$7,SUMIF($AD$3:$BA$3,"="&amp;$DF11+'Model Setup'!$G$7,$B11:$Y11)+'Model Setup'!$G$8*(SUMIF($AD$3:$BA$3,"&lt;"&amp;$DF11,$B11:$Y11)+SUMIF($AD$3:$BA$3,"&gt;="&amp;$DG11,$B11:$Y11)),
IF(AW$3=$DF11+'Model Setup'!$H$7,SUMIF($AD$3:$BA$3,"="&amp;$DF11+'Model Setup'!$H$7,$B11:$Y11)+'Model Setup'!$H$8*(SUMIF($AD$3:$BA$3,"&lt;"&amp;$DF11,$B11:$Y11)+SUMIF($AD$3:$BA$3,"&gt;="&amp;$DG11,$B11:$Y11)),
IF(AW$3=$DF11+'Model Setup'!$I$7,SUMIF($AD$3:$BA$3,"="&amp;$DF11+'Model Setup'!$I$7,$B11:$Y11)+'Model Setup'!$I$8*(SUMIF($AD$3:$BA$3,"&lt;"&amp;$DF11,$B11:$Y11)+SUMIF($AD$3:$BA$3,"&gt;="&amp;$DG11,$B11:$Y11)),
IF(AW$3=$DF11+'Model Setup'!$J$7,SUMIF($AD$3:$BA$3,"="&amp;$DF11+'Model Setup'!$J$7,$B11:$Y11)+'Model Setup'!$J$8*(SUMIF($AD$3:$BA$3,"&lt;"&amp;$DF11,$B11:$Y11)+SUMIF($AD$3:$BA$3,"&gt;="&amp;$DG11,$B11:$Y11)),
IF(AW$3=$DF11+'Model Setup'!$K$7,SUMIF($AD$3:$BA$3,"="&amp;$DF11+'Model Setup'!$K$7,$B11:$Y11)+'Model Setup'!$K$8*(SUMIF($AD$3:$BA$3,"&lt;"&amp;$DF11,$B11:$Y11)+SUMIF($AD$3:$BA$3,"&gt;="&amp;$DG11,$B11:$Y11)),
IF(AW$3=$DF11+'Model Setup'!$L$7,SUMIF($AD$3:$BA$3,"="&amp;$DF11+'Model Setup'!$L$7,$B11:$Y11)+'Model Setup'!$L$8*(SUMIF($AD$3:$BA$3,"&lt;"&amp;$DF11,$B11:$Y11)+SUMIF($AD$3:$BA$3,"&gt;="&amp;$DG11,$B11:$Y11)),
IF(AW$3=$DF11+'Model Setup'!$M$7,SUMIF($AD$3:$BA$3,"="&amp;$DF11+'Model Setup'!$M$7,$B11:$Y11)+'Model Setup'!$M$8*(SUMIF($AD$3:$BA$3,"&lt;"&amp;$DF11,$B11:$Y11)+SUMIF($AD$3:$BA$3,"&gt;="&amp;$DG11,$B11:$Y11)),
IF(AW$3=$DF11+'Model Setup'!$N$7,SUMIF($AD$3:$BA$3,"="&amp;$DF11+'Model Setup'!$N$7,$B11:$Y11)+'Model Setup'!$N$8*(SUMIF($AD$3:$BA$3,"&lt;"&amp;$DF11,$B11:$Y11)+SUMIF($AD$3:$BA$3,"&gt;="&amp;$DG11,$B11:$Y11)),
IF(AW$3&lt;$DG11,U11,0))))))))))))))),0)</f>
        <v>0</v>
      </c>
      <c r="AX11" s="47">
        <f>ROUND(IF(AX$3&lt;$DF11,0,
IF(AX$3=$DF11+'Model Setup'!$B$7,SUMIF($AD$3:$BA$3,"="&amp;$DF11+'Model Setup'!$B$7,$B11:$Y11)+'Model Setup'!$B$8*(SUMIF($AD$3:$BA$3,"&lt;"&amp;$DF11,$B11:$Y11)+SUMIF($AD$3:$BA$3,"&gt;="&amp;$DG11,$B11:$Y11)),
IF(AX$3=$DF11+'Model Setup'!$C$7,SUMIF($AD$3:$BA$3,"="&amp;$DF11+'Model Setup'!$C$7,$B11:$Y11)+'Model Setup'!$C$8*(SUMIF($AD$3:$BA$3,"&lt;"&amp;$DF11,$B11:$Y11)+SUMIF($AD$3:$BA$3,"&gt;="&amp;$DG11,$B11:$Y11)),
IF(AX$3=$DF11+'Model Setup'!$D$7,SUMIF($AD$3:$BA$3,"="&amp;$DF11+'Model Setup'!$D$7,$B11:$Y11)+'Model Setup'!$D$8*(SUMIF($AD$3:$BA$3,"&lt;"&amp;$DF11,$B11:$Y11)+SUMIF($AD$3:$BA$3,"&gt;="&amp;$DG11,$B11:$Y11)),
IF(AX$3=$DF11+'Model Setup'!$E$7,SUMIF($AD$3:$BA$3,"="&amp;$DF11+'Model Setup'!$E$7,$B11:$Y11)+'Model Setup'!$E$8*(SUMIF($AD$3:$BA$3,"&lt;"&amp;$DF11,$B11:$Y11)+SUMIF($AD$3:$BA$3,"&gt;="&amp;$DG11,$B11:$Y11)),
IF(AX$3=$DF11+'Model Setup'!$F$7,SUMIF($AD$3:$BA$3,"="&amp;$DF11+'Model Setup'!$F$7,$B11:$Y11)+'Model Setup'!$F$8*(SUMIF($AD$3:$BA$3,"&lt;"&amp;$DF11,$B11:$Y11)+SUMIF($AD$3:$BA$3,"&gt;="&amp;$DG11,$B11:$Y11)),
IF(AX$3=$DF11+'Model Setup'!$G$7,SUMIF($AD$3:$BA$3,"="&amp;$DF11+'Model Setup'!$G$7,$B11:$Y11)+'Model Setup'!$G$8*(SUMIF($AD$3:$BA$3,"&lt;"&amp;$DF11,$B11:$Y11)+SUMIF($AD$3:$BA$3,"&gt;="&amp;$DG11,$B11:$Y11)),
IF(AX$3=$DF11+'Model Setup'!$H$7,SUMIF($AD$3:$BA$3,"="&amp;$DF11+'Model Setup'!$H$7,$B11:$Y11)+'Model Setup'!$H$8*(SUMIF($AD$3:$BA$3,"&lt;"&amp;$DF11,$B11:$Y11)+SUMIF($AD$3:$BA$3,"&gt;="&amp;$DG11,$B11:$Y11)),
IF(AX$3=$DF11+'Model Setup'!$I$7,SUMIF($AD$3:$BA$3,"="&amp;$DF11+'Model Setup'!$I$7,$B11:$Y11)+'Model Setup'!$I$8*(SUMIF($AD$3:$BA$3,"&lt;"&amp;$DF11,$B11:$Y11)+SUMIF($AD$3:$BA$3,"&gt;="&amp;$DG11,$B11:$Y11)),
IF(AX$3=$DF11+'Model Setup'!$J$7,SUMIF($AD$3:$BA$3,"="&amp;$DF11+'Model Setup'!$J$7,$B11:$Y11)+'Model Setup'!$J$8*(SUMIF($AD$3:$BA$3,"&lt;"&amp;$DF11,$B11:$Y11)+SUMIF($AD$3:$BA$3,"&gt;="&amp;$DG11,$B11:$Y11)),
IF(AX$3=$DF11+'Model Setup'!$K$7,SUMIF($AD$3:$BA$3,"="&amp;$DF11+'Model Setup'!$K$7,$B11:$Y11)+'Model Setup'!$K$8*(SUMIF($AD$3:$BA$3,"&lt;"&amp;$DF11,$B11:$Y11)+SUMIF($AD$3:$BA$3,"&gt;="&amp;$DG11,$B11:$Y11)),
IF(AX$3=$DF11+'Model Setup'!$L$7,SUMIF($AD$3:$BA$3,"="&amp;$DF11+'Model Setup'!$L$7,$B11:$Y11)+'Model Setup'!$L$8*(SUMIF($AD$3:$BA$3,"&lt;"&amp;$DF11,$B11:$Y11)+SUMIF($AD$3:$BA$3,"&gt;="&amp;$DG11,$B11:$Y11)),
IF(AX$3=$DF11+'Model Setup'!$M$7,SUMIF($AD$3:$BA$3,"="&amp;$DF11+'Model Setup'!$M$7,$B11:$Y11)+'Model Setup'!$M$8*(SUMIF($AD$3:$BA$3,"&lt;"&amp;$DF11,$B11:$Y11)+SUMIF($AD$3:$BA$3,"&gt;="&amp;$DG11,$B11:$Y11)),
IF(AX$3=$DF11+'Model Setup'!$N$7,SUMIF($AD$3:$BA$3,"="&amp;$DF11+'Model Setup'!$N$7,$B11:$Y11)+'Model Setup'!$N$8*(SUMIF($AD$3:$BA$3,"&lt;"&amp;$DF11,$B11:$Y11)+SUMIF($AD$3:$BA$3,"&gt;="&amp;$DG11,$B11:$Y11)),
IF(AX$3&lt;$DG11,V11,0))))))))))))))),0)</f>
        <v>0</v>
      </c>
      <c r="AY11" s="47">
        <f>ROUND(IF(AY$3&lt;$DF11,0,
IF(AY$3=$DF11+'Model Setup'!$B$7,SUMIF($AD$3:$BA$3,"="&amp;$DF11+'Model Setup'!$B$7,$B11:$Y11)+'Model Setup'!$B$8*(SUMIF($AD$3:$BA$3,"&lt;"&amp;$DF11,$B11:$Y11)+SUMIF($AD$3:$BA$3,"&gt;="&amp;$DG11,$B11:$Y11)),
IF(AY$3=$DF11+'Model Setup'!$C$7,SUMIF($AD$3:$BA$3,"="&amp;$DF11+'Model Setup'!$C$7,$B11:$Y11)+'Model Setup'!$C$8*(SUMIF($AD$3:$BA$3,"&lt;"&amp;$DF11,$B11:$Y11)+SUMIF($AD$3:$BA$3,"&gt;="&amp;$DG11,$B11:$Y11)),
IF(AY$3=$DF11+'Model Setup'!$D$7,SUMIF($AD$3:$BA$3,"="&amp;$DF11+'Model Setup'!$D$7,$B11:$Y11)+'Model Setup'!$D$8*(SUMIF($AD$3:$BA$3,"&lt;"&amp;$DF11,$B11:$Y11)+SUMIF($AD$3:$BA$3,"&gt;="&amp;$DG11,$B11:$Y11)),
IF(AY$3=$DF11+'Model Setup'!$E$7,SUMIF($AD$3:$BA$3,"="&amp;$DF11+'Model Setup'!$E$7,$B11:$Y11)+'Model Setup'!$E$8*(SUMIF($AD$3:$BA$3,"&lt;"&amp;$DF11,$B11:$Y11)+SUMIF($AD$3:$BA$3,"&gt;="&amp;$DG11,$B11:$Y11)),
IF(AY$3=$DF11+'Model Setup'!$F$7,SUMIF($AD$3:$BA$3,"="&amp;$DF11+'Model Setup'!$F$7,$B11:$Y11)+'Model Setup'!$F$8*(SUMIF($AD$3:$BA$3,"&lt;"&amp;$DF11,$B11:$Y11)+SUMIF($AD$3:$BA$3,"&gt;="&amp;$DG11,$B11:$Y11)),
IF(AY$3=$DF11+'Model Setup'!$G$7,SUMIF($AD$3:$BA$3,"="&amp;$DF11+'Model Setup'!$G$7,$B11:$Y11)+'Model Setup'!$G$8*(SUMIF($AD$3:$BA$3,"&lt;"&amp;$DF11,$B11:$Y11)+SUMIF($AD$3:$BA$3,"&gt;="&amp;$DG11,$B11:$Y11)),
IF(AY$3=$DF11+'Model Setup'!$H$7,SUMIF($AD$3:$BA$3,"="&amp;$DF11+'Model Setup'!$H$7,$B11:$Y11)+'Model Setup'!$H$8*(SUMIF($AD$3:$BA$3,"&lt;"&amp;$DF11,$B11:$Y11)+SUMIF($AD$3:$BA$3,"&gt;="&amp;$DG11,$B11:$Y11)),
IF(AY$3=$DF11+'Model Setup'!$I$7,SUMIF($AD$3:$BA$3,"="&amp;$DF11+'Model Setup'!$I$7,$B11:$Y11)+'Model Setup'!$I$8*(SUMIF($AD$3:$BA$3,"&lt;"&amp;$DF11,$B11:$Y11)+SUMIF($AD$3:$BA$3,"&gt;="&amp;$DG11,$B11:$Y11)),
IF(AY$3=$DF11+'Model Setup'!$J$7,SUMIF($AD$3:$BA$3,"="&amp;$DF11+'Model Setup'!$J$7,$B11:$Y11)+'Model Setup'!$J$8*(SUMIF($AD$3:$BA$3,"&lt;"&amp;$DF11,$B11:$Y11)+SUMIF($AD$3:$BA$3,"&gt;="&amp;$DG11,$B11:$Y11)),
IF(AY$3=$DF11+'Model Setup'!$K$7,SUMIF($AD$3:$BA$3,"="&amp;$DF11+'Model Setup'!$K$7,$B11:$Y11)+'Model Setup'!$K$8*(SUMIF($AD$3:$BA$3,"&lt;"&amp;$DF11,$B11:$Y11)+SUMIF($AD$3:$BA$3,"&gt;="&amp;$DG11,$B11:$Y11)),
IF(AY$3=$DF11+'Model Setup'!$L$7,SUMIF($AD$3:$BA$3,"="&amp;$DF11+'Model Setup'!$L$7,$B11:$Y11)+'Model Setup'!$L$8*(SUMIF($AD$3:$BA$3,"&lt;"&amp;$DF11,$B11:$Y11)+SUMIF($AD$3:$BA$3,"&gt;="&amp;$DG11,$B11:$Y11)),
IF(AY$3=$DF11+'Model Setup'!$M$7,SUMIF($AD$3:$BA$3,"="&amp;$DF11+'Model Setup'!$M$7,$B11:$Y11)+'Model Setup'!$M$8*(SUMIF($AD$3:$BA$3,"&lt;"&amp;$DF11,$B11:$Y11)+SUMIF($AD$3:$BA$3,"&gt;="&amp;$DG11,$B11:$Y11)),
IF(AY$3=$DF11+'Model Setup'!$N$7,SUMIF($AD$3:$BA$3,"="&amp;$DF11+'Model Setup'!$N$7,$B11:$Y11)+'Model Setup'!$N$8*(SUMIF($AD$3:$BA$3,"&lt;"&amp;$DF11,$B11:$Y11)+SUMIF($AD$3:$BA$3,"&gt;="&amp;$DG11,$B11:$Y11)),
IF(AY$3&lt;$DG11,W11,0))))))))))))))),0)</f>
        <v>0</v>
      </c>
      <c r="AZ11" s="47">
        <f>ROUND(IF(AZ$3&lt;$DF11,0,
IF(AZ$3=$DF11+'Model Setup'!$B$7,SUMIF($AD$3:$BA$3,"="&amp;$DF11+'Model Setup'!$B$7,$B11:$Y11)+'Model Setup'!$B$8*(SUMIF($AD$3:$BA$3,"&lt;"&amp;$DF11,$B11:$Y11)+SUMIF($AD$3:$BA$3,"&gt;="&amp;$DG11,$B11:$Y11)),
IF(AZ$3=$DF11+'Model Setup'!$C$7,SUMIF($AD$3:$BA$3,"="&amp;$DF11+'Model Setup'!$C$7,$B11:$Y11)+'Model Setup'!$C$8*(SUMIF($AD$3:$BA$3,"&lt;"&amp;$DF11,$B11:$Y11)+SUMIF($AD$3:$BA$3,"&gt;="&amp;$DG11,$B11:$Y11)),
IF(AZ$3=$DF11+'Model Setup'!$D$7,SUMIF($AD$3:$BA$3,"="&amp;$DF11+'Model Setup'!$D$7,$B11:$Y11)+'Model Setup'!$D$8*(SUMIF($AD$3:$BA$3,"&lt;"&amp;$DF11,$B11:$Y11)+SUMIF($AD$3:$BA$3,"&gt;="&amp;$DG11,$B11:$Y11)),
IF(AZ$3=$DF11+'Model Setup'!$E$7,SUMIF($AD$3:$BA$3,"="&amp;$DF11+'Model Setup'!$E$7,$B11:$Y11)+'Model Setup'!$E$8*(SUMIF($AD$3:$BA$3,"&lt;"&amp;$DF11,$B11:$Y11)+SUMIF($AD$3:$BA$3,"&gt;="&amp;$DG11,$B11:$Y11)),
IF(AZ$3=$DF11+'Model Setup'!$F$7,SUMIF($AD$3:$BA$3,"="&amp;$DF11+'Model Setup'!$F$7,$B11:$Y11)+'Model Setup'!$F$8*(SUMIF($AD$3:$BA$3,"&lt;"&amp;$DF11,$B11:$Y11)+SUMIF($AD$3:$BA$3,"&gt;="&amp;$DG11,$B11:$Y11)),
IF(AZ$3=$DF11+'Model Setup'!$G$7,SUMIF($AD$3:$BA$3,"="&amp;$DF11+'Model Setup'!$G$7,$B11:$Y11)+'Model Setup'!$G$8*(SUMIF($AD$3:$BA$3,"&lt;"&amp;$DF11,$B11:$Y11)+SUMIF($AD$3:$BA$3,"&gt;="&amp;$DG11,$B11:$Y11)),
IF(AZ$3=$DF11+'Model Setup'!$H$7,SUMIF($AD$3:$BA$3,"="&amp;$DF11+'Model Setup'!$H$7,$B11:$Y11)+'Model Setup'!$H$8*(SUMIF($AD$3:$BA$3,"&lt;"&amp;$DF11,$B11:$Y11)+SUMIF($AD$3:$BA$3,"&gt;="&amp;$DG11,$B11:$Y11)),
IF(AZ$3=$DF11+'Model Setup'!$I$7,SUMIF($AD$3:$BA$3,"="&amp;$DF11+'Model Setup'!$I$7,$B11:$Y11)+'Model Setup'!$I$8*(SUMIF($AD$3:$BA$3,"&lt;"&amp;$DF11,$B11:$Y11)+SUMIF($AD$3:$BA$3,"&gt;="&amp;$DG11,$B11:$Y11)),
IF(AZ$3=$DF11+'Model Setup'!$J$7,SUMIF($AD$3:$BA$3,"="&amp;$DF11+'Model Setup'!$J$7,$B11:$Y11)+'Model Setup'!$J$8*(SUMIF($AD$3:$BA$3,"&lt;"&amp;$DF11,$B11:$Y11)+SUMIF($AD$3:$BA$3,"&gt;="&amp;$DG11,$B11:$Y11)),
IF(AZ$3=$DF11+'Model Setup'!$K$7,SUMIF($AD$3:$BA$3,"="&amp;$DF11+'Model Setup'!$K$7,$B11:$Y11)+'Model Setup'!$K$8*(SUMIF($AD$3:$BA$3,"&lt;"&amp;$DF11,$B11:$Y11)+SUMIF($AD$3:$BA$3,"&gt;="&amp;$DG11,$B11:$Y11)),
IF(AZ$3=$DF11+'Model Setup'!$L$7,SUMIF($AD$3:$BA$3,"="&amp;$DF11+'Model Setup'!$L$7,$B11:$Y11)+'Model Setup'!$L$8*(SUMIF($AD$3:$BA$3,"&lt;"&amp;$DF11,$B11:$Y11)+SUMIF($AD$3:$BA$3,"&gt;="&amp;$DG11,$B11:$Y11)),
IF(AZ$3=$DF11+'Model Setup'!$M$7,SUMIF($AD$3:$BA$3,"="&amp;$DF11+'Model Setup'!$M$7,$B11:$Y11)+'Model Setup'!$M$8*(SUMIF($AD$3:$BA$3,"&lt;"&amp;$DF11,$B11:$Y11)+SUMIF($AD$3:$BA$3,"&gt;="&amp;$DG11,$B11:$Y11)),
IF(AZ$3=$DF11+'Model Setup'!$N$7,SUMIF($AD$3:$BA$3,"="&amp;$DF11+'Model Setup'!$N$7,$B11:$Y11)+'Model Setup'!$N$8*(SUMIF($AD$3:$BA$3,"&lt;"&amp;$DF11,$B11:$Y11)+SUMIF($AD$3:$BA$3,"&gt;="&amp;$DG11,$B11:$Y11)),
IF(AZ$3&lt;$DG11,X11,0))))))))))))))),0)</f>
        <v>0</v>
      </c>
      <c r="BA11" s="47">
        <f>ROUND(IF(BA$3&lt;$DF11,0,
IF(BA$3=$DF11+'Model Setup'!$B$7,SUMIF($AD$3:$BA$3,"="&amp;$DF11+'Model Setup'!$B$7,$B11:$Y11)+'Model Setup'!$B$8*(SUMIF($AD$3:$BA$3,"&lt;"&amp;$DF11,$B11:$Y11)+SUMIF($AD$3:$BA$3,"&gt;="&amp;$DG11,$B11:$Y11)),
IF(BA$3=$DF11+'Model Setup'!$C$7,SUMIF($AD$3:$BA$3,"="&amp;$DF11+'Model Setup'!$C$7,$B11:$Y11)+'Model Setup'!$C$8*(SUMIF($AD$3:$BA$3,"&lt;"&amp;$DF11,$B11:$Y11)+SUMIF($AD$3:$BA$3,"&gt;="&amp;$DG11,$B11:$Y11)),
IF(BA$3=$DF11+'Model Setup'!$D$7,SUMIF($AD$3:$BA$3,"="&amp;$DF11+'Model Setup'!$D$7,$B11:$Y11)+'Model Setup'!$D$8*(SUMIF($AD$3:$BA$3,"&lt;"&amp;$DF11,$B11:$Y11)+SUMIF($AD$3:$BA$3,"&gt;="&amp;$DG11,$B11:$Y11)),
IF(BA$3=$DF11+'Model Setup'!$E$7,SUMIF($AD$3:$BA$3,"="&amp;$DF11+'Model Setup'!$E$7,$B11:$Y11)+'Model Setup'!$E$8*(SUMIF($AD$3:$BA$3,"&lt;"&amp;$DF11,$B11:$Y11)+SUMIF($AD$3:$BA$3,"&gt;="&amp;$DG11,$B11:$Y11)),
IF(BA$3=$DF11+'Model Setup'!$F$7,SUMIF($AD$3:$BA$3,"="&amp;$DF11+'Model Setup'!$F$7,$B11:$Y11)+'Model Setup'!$F$8*(SUMIF($AD$3:$BA$3,"&lt;"&amp;$DF11,$B11:$Y11)+SUMIF($AD$3:$BA$3,"&gt;="&amp;$DG11,$B11:$Y11)),
IF(BA$3=$DF11+'Model Setup'!$G$7,SUMIF($AD$3:$BA$3,"="&amp;$DF11+'Model Setup'!$G$7,$B11:$Y11)+'Model Setup'!$G$8*(SUMIF($AD$3:$BA$3,"&lt;"&amp;$DF11,$B11:$Y11)+SUMIF($AD$3:$BA$3,"&gt;="&amp;$DG11,$B11:$Y11)),
IF(BA$3=$DF11+'Model Setup'!$H$7,SUMIF($AD$3:$BA$3,"="&amp;$DF11+'Model Setup'!$H$7,$B11:$Y11)+'Model Setup'!$H$8*(SUMIF($AD$3:$BA$3,"&lt;"&amp;$DF11,$B11:$Y11)+SUMIF($AD$3:$BA$3,"&gt;="&amp;$DG11,$B11:$Y11)),
IF(BA$3=$DF11+'Model Setup'!$I$7,SUMIF($AD$3:$BA$3,"="&amp;$DF11+'Model Setup'!$I$7,$B11:$Y11)+'Model Setup'!$I$8*(SUMIF($AD$3:$BA$3,"&lt;"&amp;$DF11,$B11:$Y11)+SUMIF($AD$3:$BA$3,"&gt;="&amp;$DG11,$B11:$Y11)),
IF(BA$3=$DF11+'Model Setup'!$J$7,SUMIF($AD$3:$BA$3,"="&amp;$DF11+'Model Setup'!$J$7,$B11:$Y11)+'Model Setup'!$J$8*(SUMIF($AD$3:$BA$3,"&lt;"&amp;$DF11,$B11:$Y11)+SUMIF($AD$3:$BA$3,"&gt;="&amp;$DG11,$B11:$Y11)),
IF(BA$3=$DF11+'Model Setup'!$K$7,SUMIF($AD$3:$BA$3,"="&amp;$DF11+'Model Setup'!$K$7,$B11:$Y11)+'Model Setup'!$K$8*(SUMIF($AD$3:$BA$3,"&lt;"&amp;$DF11,$B11:$Y11)+SUMIF($AD$3:$BA$3,"&gt;="&amp;$DG11,$B11:$Y11)),
IF(BA$3=$DF11+'Model Setup'!$L$7,SUMIF($AD$3:$BA$3,"="&amp;$DF11+'Model Setup'!$L$7,$B11:$Y11)+'Model Setup'!$L$8*(SUMIF($AD$3:$BA$3,"&lt;"&amp;$DF11,$B11:$Y11)+SUMIF($AD$3:$BA$3,"&gt;="&amp;$DG11,$B11:$Y11)),
IF(BA$3=$DF11+'Model Setup'!$M$7,SUMIF($AD$3:$BA$3,"="&amp;$DF11+'Model Setup'!$M$7,$B11:$Y11)+'Model Setup'!$M$8*(SUMIF($AD$3:$BA$3,"&lt;"&amp;$DF11,$B11:$Y11)+SUMIF($AD$3:$BA$3,"&gt;="&amp;$DG11,$B11:$Y11)),
IF(BA$3=$DF11+'Model Setup'!$N$7,SUMIF($AD$3:$BA$3,"="&amp;$DF11+'Model Setup'!$N$7,$B11:$Y11)+'Model Setup'!$N$8*(SUMIF($AD$3:$BA$3,"&lt;"&amp;$DF11,$B11:$Y11)+SUMIF($AD$3:$BA$3,"&gt;="&amp;$DG11,$B11:$Y11)),
IF(BA$3&lt;$DG11,Y11,0))))))))))))))),0)</f>
        <v>0</v>
      </c>
      <c r="BB11" s="47">
        <f t="shared" si="1"/>
        <v>683</v>
      </c>
      <c r="BD11" t="b">
        <f t="shared" si="2"/>
        <v>0</v>
      </c>
      <c r="BE11">
        <f t="shared" si="8"/>
        <v>11</v>
      </c>
      <c r="BF11">
        <f>(FTC!F9-FTC!E9)*24</f>
        <v>12</v>
      </c>
      <c r="BG11" s="43" t="s">
        <v>26</v>
      </c>
      <c r="BH11" s="47">
        <f>ROUND(IF(OR(BH$3&lt;$DF11,BH$3&gt;$CW$4),0,
IF(BH$3=$DF11+'Model Setup'!$B$7,SUMIF($BH$3:$CE$3,"="&amp;$DF11+'Model Setup'!$B$7,$AD11:$BA11)+'Model Setup'!$B$8*(SUMIF($BH$3:$CE$3,"&lt;"&amp;$DF11,$AD11:$BA11)+SUMIF($BH$3:$CE$3,"&gt;"&amp;$CW$4,$AD11:$BA11)),
IF(BH$3=$DF11+'Model Setup'!$C$7,SUMIF($BH$3:$CE$3,"="&amp;$DF11+'Model Setup'!$C$7,$AD11:$BA11)+'Model Setup'!$C$8*(SUMIF($BH$3:$CE$3,"&lt;"&amp;$DF11,$AD11:$BA11)+SUMIF($BH$3:$CE$3,"&gt;"&amp;$CW$4,$AD11:$BA11)),
IF(BH$3=$DF11+'Model Setup'!$D$7,SUMIF($BH$3:$CE$3,"="&amp;$DF11+'Model Setup'!$D$7,$AD11:$BA11)+'Model Setup'!$D$8*(SUMIF($BH$3:$CE$3,"&lt;"&amp;$DF11,$AD11:$BA11)+SUMIF($BH$3:$CE$3,"&gt;"&amp;$CW$4,$AD11:$BA11)),
IF(BH$3=$DF11+'Model Setup'!$E$7,SUMIF($BH$3:$CE$3,"="&amp;$DF11+'Model Setup'!$E$7,$AD11:$BA11)+'Model Setup'!$E$8*(SUMIF($BH$3:$CE$3,"&lt;"&amp;$DF11,$AD11:$BA11)+SUMIF($BH$3:$CE$3,"&gt;"&amp;$CW$4,$AD11:$BA11)),
IF(BH$3=$DF11+'Model Setup'!$F$7,SUMIF($BH$3:$CE$3,"="&amp;$DF11+'Model Setup'!$F$7,$AD11:$BA11)+'Model Setup'!$F$8*(SUMIF($BH$3:$CE$3,"&lt;"&amp;$DF11,$AD11:$BA11)+SUMIF($BH$3:$CE$3,"&gt;"&amp;$CW$4,$AD11:$BA11)),
IF(BH$3=$DF11+'Model Setup'!$G$7,SUMIF($BH$3:$CE$3,"="&amp;$DF11+'Model Setup'!$G$7,$AD11:$BA11)+'Model Setup'!$G$8*(SUMIF($BH$3:$CE$3,"&lt;"&amp;$DF11,$AD11:$BA11)+SUMIF($BH$3:$CE$3,"&gt;"&amp;$CW$4,$AD11:$BA11)),
IF(BH$3=$DF11+'Model Setup'!$H$7,SUMIF($BH$3:$CE$3,"="&amp;$DF11+'Model Setup'!$H$7,$AD11:$BA11)+'Model Setup'!$H$8*(SUMIF($BH$3:$CE$3,"&lt;"&amp;$DF11,$AD11:$BA11)+SUMIF($BH$3:$CE$3,"&gt;"&amp;$CW$4,$AD11:$BA11)),
IF(BH$3=$DF11+'Model Setup'!$I$7,SUMIF($BH$3:$CE$3,"="&amp;$DF11+'Model Setup'!$I$7,$AD11:$BA11)+'Model Setup'!$I$8*(SUMIF($BH$3:$CE$3,"&lt;"&amp;$DF11,$AD11:$BA11)+SUMIF($BH$3:$CE$3,"&gt;"&amp;$CW$4,$AD11:$BA11)),
IF(BH$3=$DF11+'Model Setup'!$J$7,SUMIF($BH$3:$CE$3,"="&amp;$DF11+'Model Setup'!$J$7,$AD11:$BA11)+'Model Setup'!$J$8*(SUMIF($BH$3:$CE$3,"&lt;"&amp;$DF11,$AD11:$BA11)+SUMIF($BH$3:$CE$3,"&gt;"&amp;$CW$4,$AD11:$BA11)),
IF(BH$3=$DF11+'Model Setup'!$K$7,SUMIF($BH$3:$CE$3,"="&amp;$DF11+'Model Setup'!$K$7,$AD11:$BA11)+'Model Setup'!$K$8*(SUMIF($BH$3:$CE$3,"&lt;"&amp;$DF11,$AD11:$BA11)+SUMIF($BH$3:$CE$3,"&gt;"&amp;$CW$4,$AD11:$BA11)),
IF(BH$3=$DF11+'Model Setup'!$L$7,SUMIF($BH$3:$CE$3,"="&amp;$DF11+'Model Setup'!$L$7,$AD11:$BA11)+'Model Setup'!$L$8*(SUMIF($BH$3:$CE$3,"&lt;"&amp;$DF11,$AD11:$BA11)+SUMIF($BH$3:$CE$3,"&gt;"&amp;$CW$4,$AD11:$BA11)),
IF(BH$3=$DF11+'Model Setup'!$M$7,SUMIF($BH$3:$CE$3,"="&amp;$DF11+'Model Setup'!$M$7,$AD11:$BA11)+'Model Setup'!$M$8*(SUMIF($BH$3:$CE$3,"&lt;"&amp;$DF11,$AD11:$BA11)+SUMIF($BH$3:$CE$3,"&gt;"&amp;$CW$4,$AD11:$BA11)),
IF(BH$3=$DF11+'Model Setup'!$N$7,SUMIF($BH$3:$CE$3,"="&amp;$DF11+'Model Setup'!$N$7,$AD11:$BA11)+'Model Setup'!$N$8*(SUMIF($BH$3:$CE$3,"&lt;"&amp;$DF11,$AD11:$BA11)+SUMIF($BH$3:$CE$3,"&gt;"&amp;$CW$4,$AD11:$BA11)),
IF(BH$3&lt;$CW$4,B11,0))))))))))))))),0)</f>
        <v>0</v>
      </c>
      <c r="BI11" s="47">
        <f>ROUND(IF(OR(BI$3&lt;$DF11,BI$3&gt;$CW$4),0,
IF(BI$3=$DF11+'Model Setup'!$B$7,SUMIF($BH$3:$CE$3,"="&amp;$DF11+'Model Setup'!$B$7,$AD11:$BA11)+'Model Setup'!$B$8*(SUMIF($BH$3:$CE$3,"&lt;"&amp;$DF11,$AD11:$BA11)+SUMIF($BH$3:$CE$3,"&gt;"&amp;$CW$4,$AD11:$BA11)),
IF(BI$3=$DF11+'Model Setup'!$C$7,SUMIF($BH$3:$CE$3,"="&amp;$DF11+'Model Setup'!$C$7,$AD11:$BA11)+'Model Setup'!$C$8*(SUMIF($BH$3:$CE$3,"&lt;"&amp;$DF11,$AD11:$BA11)+SUMIF($BH$3:$CE$3,"&gt;"&amp;$CW$4,$AD11:$BA11)),
IF(BI$3=$DF11+'Model Setup'!$D$7,SUMIF($BH$3:$CE$3,"="&amp;$DF11+'Model Setup'!$D$7,$AD11:$BA11)+'Model Setup'!$D$8*(SUMIF($BH$3:$CE$3,"&lt;"&amp;$DF11,$AD11:$BA11)+SUMIF($BH$3:$CE$3,"&gt;"&amp;$CW$4,$AD11:$BA11)),
IF(BI$3=$DF11+'Model Setup'!$E$7,SUMIF($BH$3:$CE$3,"="&amp;$DF11+'Model Setup'!$E$7,$AD11:$BA11)+'Model Setup'!$E$8*(SUMIF($BH$3:$CE$3,"&lt;"&amp;$DF11,$AD11:$BA11)+SUMIF($BH$3:$CE$3,"&gt;"&amp;$CW$4,$AD11:$BA11)),
IF(BI$3=$DF11+'Model Setup'!$F$7,SUMIF($BH$3:$CE$3,"="&amp;$DF11+'Model Setup'!$F$7,$AD11:$BA11)+'Model Setup'!$F$8*(SUMIF($BH$3:$CE$3,"&lt;"&amp;$DF11,$AD11:$BA11)+SUMIF($BH$3:$CE$3,"&gt;"&amp;$CW$4,$AD11:$BA11)),
IF(BI$3=$DF11+'Model Setup'!$G$7,SUMIF($BH$3:$CE$3,"="&amp;$DF11+'Model Setup'!$G$7,$AD11:$BA11)+'Model Setup'!$G$8*(SUMIF($BH$3:$CE$3,"&lt;"&amp;$DF11,$AD11:$BA11)+SUMIF($BH$3:$CE$3,"&gt;"&amp;$CW$4,$AD11:$BA11)),
IF(BI$3=$DF11+'Model Setup'!$H$7,SUMIF($BH$3:$CE$3,"="&amp;$DF11+'Model Setup'!$H$7,$AD11:$BA11)+'Model Setup'!$H$8*(SUMIF($BH$3:$CE$3,"&lt;"&amp;$DF11,$AD11:$BA11)+SUMIF($BH$3:$CE$3,"&gt;"&amp;$CW$4,$AD11:$BA11)),
IF(BI$3=$DF11+'Model Setup'!$I$7,SUMIF($BH$3:$CE$3,"="&amp;$DF11+'Model Setup'!$I$7,$AD11:$BA11)+'Model Setup'!$I$8*(SUMIF($BH$3:$CE$3,"&lt;"&amp;$DF11,$AD11:$BA11)+SUMIF($BH$3:$CE$3,"&gt;"&amp;$CW$4,$AD11:$BA11)),
IF(BI$3=$DF11+'Model Setup'!$J$7,SUMIF($BH$3:$CE$3,"="&amp;$DF11+'Model Setup'!$J$7,$AD11:$BA11)+'Model Setup'!$J$8*(SUMIF($BH$3:$CE$3,"&lt;"&amp;$DF11,$AD11:$BA11)+SUMIF($BH$3:$CE$3,"&gt;"&amp;$CW$4,$AD11:$BA11)),
IF(BI$3=$DF11+'Model Setup'!$K$7,SUMIF($BH$3:$CE$3,"="&amp;$DF11+'Model Setup'!$K$7,$AD11:$BA11)+'Model Setup'!$K$8*(SUMIF($BH$3:$CE$3,"&lt;"&amp;$DF11,$AD11:$BA11)+SUMIF($BH$3:$CE$3,"&gt;"&amp;$CW$4,$AD11:$BA11)),
IF(BI$3=$DF11+'Model Setup'!$L$7,SUMIF($BH$3:$CE$3,"="&amp;$DF11+'Model Setup'!$L$7,$AD11:$BA11)+'Model Setup'!$L$8*(SUMIF($BH$3:$CE$3,"&lt;"&amp;$DF11,$AD11:$BA11)+SUMIF($BH$3:$CE$3,"&gt;"&amp;$CW$4,$AD11:$BA11)),
IF(BI$3=$DF11+'Model Setup'!$M$7,SUMIF($BH$3:$CE$3,"="&amp;$DF11+'Model Setup'!$M$7,$AD11:$BA11)+'Model Setup'!$M$8*(SUMIF($BH$3:$CE$3,"&lt;"&amp;$DF11,$AD11:$BA11)+SUMIF($BH$3:$CE$3,"&gt;"&amp;$CW$4,$AD11:$BA11)),
IF(BI$3=$DF11+'Model Setup'!$N$7,SUMIF($BH$3:$CE$3,"="&amp;$DF11+'Model Setup'!$N$7,$AD11:$BA11)+'Model Setup'!$N$8*(SUMIF($BH$3:$CE$3,"&lt;"&amp;$DF11,$AD11:$BA11)+SUMIF($BH$3:$CE$3,"&gt;"&amp;$CW$4,$AD11:$BA11)),
IF(BI$3&lt;$CW$4,C11,0))))))))))))))),0)</f>
        <v>0</v>
      </c>
      <c r="BJ11" s="47">
        <f>ROUND(IF(OR(BJ$3&lt;$DF11,BJ$3&gt;$CW$4),0,
IF(BJ$3=$DF11+'Model Setup'!$B$7,SUMIF($BH$3:$CE$3,"="&amp;$DF11+'Model Setup'!$B$7,$AD11:$BA11)+'Model Setup'!$B$8*(SUMIF($BH$3:$CE$3,"&lt;"&amp;$DF11,$AD11:$BA11)+SUMIF($BH$3:$CE$3,"&gt;"&amp;$CW$4,$AD11:$BA11)),
IF(BJ$3=$DF11+'Model Setup'!$C$7,SUMIF($BH$3:$CE$3,"="&amp;$DF11+'Model Setup'!$C$7,$AD11:$BA11)+'Model Setup'!$C$8*(SUMIF($BH$3:$CE$3,"&lt;"&amp;$DF11,$AD11:$BA11)+SUMIF($BH$3:$CE$3,"&gt;"&amp;$CW$4,$AD11:$BA11)),
IF(BJ$3=$DF11+'Model Setup'!$D$7,SUMIF($BH$3:$CE$3,"="&amp;$DF11+'Model Setup'!$D$7,$AD11:$BA11)+'Model Setup'!$D$8*(SUMIF($BH$3:$CE$3,"&lt;"&amp;$DF11,$AD11:$BA11)+SUMIF($BH$3:$CE$3,"&gt;"&amp;$CW$4,$AD11:$BA11)),
IF(BJ$3=$DF11+'Model Setup'!$E$7,SUMIF($BH$3:$CE$3,"="&amp;$DF11+'Model Setup'!$E$7,$AD11:$BA11)+'Model Setup'!$E$8*(SUMIF($BH$3:$CE$3,"&lt;"&amp;$DF11,$AD11:$BA11)+SUMIF($BH$3:$CE$3,"&gt;"&amp;$CW$4,$AD11:$BA11)),
IF(BJ$3=$DF11+'Model Setup'!$F$7,SUMIF($BH$3:$CE$3,"="&amp;$DF11+'Model Setup'!$F$7,$AD11:$BA11)+'Model Setup'!$F$8*(SUMIF($BH$3:$CE$3,"&lt;"&amp;$DF11,$AD11:$BA11)+SUMIF($BH$3:$CE$3,"&gt;"&amp;$CW$4,$AD11:$BA11)),
IF(BJ$3=$DF11+'Model Setup'!$G$7,SUMIF($BH$3:$CE$3,"="&amp;$DF11+'Model Setup'!$G$7,$AD11:$BA11)+'Model Setup'!$G$8*(SUMIF($BH$3:$CE$3,"&lt;"&amp;$DF11,$AD11:$BA11)+SUMIF($BH$3:$CE$3,"&gt;"&amp;$CW$4,$AD11:$BA11)),
IF(BJ$3=$DF11+'Model Setup'!$H$7,SUMIF($BH$3:$CE$3,"="&amp;$DF11+'Model Setup'!$H$7,$AD11:$BA11)+'Model Setup'!$H$8*(SUMIF($BH$3:$CE$3,"&lt;"&amp;$DF11,$AD11:$BA11)+SUMIF($BH$3:$CE$3,"&gt;"&amp;$CW$4,$AD11:$BA11)),
IF(BJ$3=$DF11+'Model Setup'!$I$7,SUMIF($BH$3:$CE$3,"="&amp;$DF11+'Model Setup'!$I$7,$AD11:$BA11)+'Model Setup'!$I$8*(SUMIF($BH$3:$CE$3,"&lt;"&amp;$DF11,$AD11:$BA11)+SUMIF($BH$3:$CE$3,"&gt;"&amp;$CW$4,$AD11:$BA11)),
IF(BJ$3=$DF11+'Model Setup'!$J$7,SUMIF($BH$3:$CE$3,"="&amp;$DF11+'Model Setup'!$J$7,$AD11:$BA11)+'Model Setup'!$J$8*(SUMIF($BH$3:$CE$3,"&lt;"&amp;$DF11,$AD11:$BA11)+SUMIF($BH$3:$CE$3,"&gt;"&amp;$CW$4,$AD11:$BA11)),
IF(BJ$3=$DF11+'Model Setup'!$K$7,SUMIF($BH$3:$CE$3,"="&amp;$DF11+'Model Setup'!$K$7,$AD11:$BA11)+'Model Setup'!$K$8*(SUMIF($BH$3:$CE$3,"&lt;"&amp;$DF11,$AD11:$BA11)+SUMIF($BH$3:$CE$3,"&gt;"&amp;$CW$4,$AD11:$BA11)),
IF(BJ$3=$DF11+'Model Setup'!$L$7,SUMIF($BH$3:$CE$3,"="&amp;$DF11+'Model Setup'!$L$7,$AD11:$BA11)+'Model Setup'!$L$8*(SUMIF($BH$3:$CE$3,"&lt;"&amp;$DF11,$AD11:$BA11)+SUMIF($BH$3:$CE$3,"&gt;"&amp;$CW$4,$AD11:$BA11)),
IF(BJ$3=$DF11+'Model Setup'!$M$7,SUMIF($BH$3:$CE$3,"="&amp;$DF11+'Model Setup'!$M$7,$AD11:$BA11)+'Model Setup'!$M$8*(SUMIF($BH$3:$CE$3,"&lt;"&amp;$DF11,$AD11:$BA11)+SUMIF($BH$3:$CE$3,"&gt;"&amp;$CW$4,$AD11:$BA11)),
IF(BJ$3=$DF11+'Model Setup'!$N$7,SUMIF($BH$3:$CE$3,"="&amp;$DF11+'Model Setup'!$N$7,$AD11:$BA11)+'Model Setup'!$N$8*(SUMIF($BH$3:$CE$3,"&lt;"&amp;$DF11,$AD11:$BA11)+SUMIF($BH$3:$CE$3,"&gt;"&amp;$CW$4,$AD11:$BA11)),
IF(BJ$3&lt;$CW$4,D11,0))))))))))))))),0)</f>
        <v>0</v>
      </c>
      <c r="BK11" s="47">
        <f>ROUND(IF(OR(BK$3&lt;$DF11,BK$3&gt;$CW$4),0,
IF(BK$3=$DF11+'Model Setup'!$B$7,SUMIF($BH$3:$CE$3,"="&amp;$DF11+'Model Setup'!$B$7,$AD11:$BA11)+'Model Setup'!$B$8*(SUMIF($BH$3:$CE$3,"&lt;"&amp;$DF11,$AD11:$BA11)+SUMIF($BH$3:$CE$3,"&gt;"&amp;$CW$4,$AD11:$BA11)),
IF(BK$3=$DF11+'Model Setup'!$C$7,SUMIF($BH$3:$CE$3,"="&amp;$DF11+'Model Setup'!$C$7,$AD11:$BA11)+'Model Setup'!$C$8*(SUMIF($BH$3:$CE$3,"&lt;"&amp;$DF11,$AD11:$BA11)+SUMIF($BH$3:$CE$3,"&gt;"&amp;$CW$4,$AD11:$BA11)),
IF(BK$3=$DF11+'Model Setup'!$D$7,SUMIF($BH$3:$CE$3,"="&amp;$DF11+'Model Setup'!$D$7,$AD11:$BA11)+'Model Setup'!$D$8*(SUMIF($BH$3:$CE$3,"&lt;"&amp;$DF11,$AD11:$BA11)+SUMIF($BH$3:$CE$3,"&gt;"&amp;$CW$4,$AD11:$BA11)),
IF(BK$3=$DF11+'Model Setup'!$E$7,SUMIF($BH$3:$CE$3,"="&amp;$DF11+'Model Setup'!$E$7,$AD11:$BA11)+'Model Setup'!$E$8*(SUMIF($BH$3:$CE$3,"&lt;"&amp;$DF11,$AD11:$BA11)+SUMIF($BH$3:$CE$3,"&gt;"&amp;$CW$4,$AD11:$BA11)),
IF(BK$3=$DF11+'Model Setup'!$F$7,SUMIF($BH$3:$CE$3,"="&amp;$DF11+'Model Setup'!$F$7,$AD11:$BA11)+'Model Setup'!$F$8*(SUMIF($BH$3:$CE$3,"&lt;"&amp;$DF11,$AD11:$BA11)+SUMIF($BH$3:$CE$3,"&gt;"&amp;$CW$4,$AD11:$BA11)),
IF(BK$3=$DF11+'Model Setup'!$G$7,SUMIF($BH$3:$CE$3,"="&amp;$DF11+'Model Setup'!$G$7,$AD11:$BA11)+'Model Setup'!$G$8*(SUMIF($BH$3:$CE$3,"&lt;"&amp;$DF11,$AD11:$BA11)+SUMIF($BH$3:$CE$3,"&gt;"&amp;$CW$4,$AD11:$BA11)),
IF(BK$3=$DF11+'Model Setup'!$H$7,SUMIF($BH$3:$CE$3,"="&amp;$DF11+'Model Setup'!$H$7,$AD11:$BA11)+'Model Setup'!$H$8*(SUMIF($BH$3:$CE$3,"&lt;"&amp;$DF11,$AD11:$BA11)+SUMIF($BH$3:$CE$3,"&gt;"&amp;$CW$4,$AD11:$BA11)),
IF(BK$3=$DF11+'Model Setup'!$I$7,SUMIF($BH$3:$CE$3,"="&amp;$DF11+'Model Setup'!$I$7,$AD11:$BA11)+'Model Setup'!$I$8*(SUMIF($BH$3:$CE$3,"&lt;"&amp;$DF11,$AD11:$BA11)+SUMIF($BH$3:$CE$3,"&gt;"&amp;$CW$4,$AD11:$BA11)),
IF(BK$3=$DF11+'Model Setup'!$J$7,SUMIF($BH$3:$CE$3,"="&amp;$DF11+'Model Setup'!$J$7,$AD11:$BA11)+'Model Setup'!$J$8*(SUMIF($BH$3:$CE$3,"&lt;"&amp;$DF11,$AD11:$BA11)+SUMIF($BH$3:$CE$3,"&gt;"&amp;$CW$4,$AD11:$BA11)),
IF(BK$3=$DF11+'Model Setup'!$K$7,SUMIF($BH$3:$CE$3,"="&amp;$DF11+'Model Setup'!$K$7,$AD11:$BA11)+'Model Setup'!$K$8*(SUMIF($BH$3:$CE$3,"&lt;"&amp;$DF11,$AD11:$BA11)+SUMIF($BH$3:$CE$3,"&gt;"&amp;$CW$4,$AD11:$BA11)),
IF(BK$3=$DF11+'Model Setup'!$L$7,SUMIF($BH$3:$CE$3,"="&amp;$DF11+'Model Setup'!$L$7,$AD11:$BA11)+'Model Setup'!$L$8*(SUMIF($BH$3:$CE$3,"&lt;"&amp;$DF11,$AD11:$BA11)+SUMIF($BH$3:$CE$3,"&gt;"&amp;$CW$4,$AD11:$BA11)),
IF(BK$3=$DF11+'Model Setup'!$M$7,SUMIF($BH$3:$CE$3,"="&amp;$DF11+'Model Setup'!$M$7,$AD11:$BA11)+'Model Setup'!$M$8*(SUMIF($BH$3:$CE$3,"&lt;"&amp;$DF11,$AD11:$BA11)+SUMIF($BH$3:$CE$3,"&gt;"&amp;$CW$4,$AD11:$BA11)),
IF(BK$3=$DF11+'Model Setup'!$N$7,SUMIF($BH$3:$CE$3,"="&amp;$DF11+'Model Setup'!$N$7,$AD11:$BA11)+'Model Setup'!$N$8*(SUMIF($BH$3:$CE$3,"&lt;"&amp;$DF11,$AD11:$BA11)+SUMIF($BH$3:$CE$3,"&gt;"&amp;$CW$4,$AD11:$BA11)),
IF(BK$3&lt;$CW$4,E11,0))))))))))))))),0)</f>
        <v>0</v>
      </c>
      <c r="BL11" s="47">
        <f>ROUND(IF(OR(BL$3&lt;$DF11,BL$3&gt;$CW$4),0,
IF(BL$3=$DF11+'Model Setup'!$B$7,SUMIF($BH$3:$CE$3,"="&amp;$DF11+'Model Setup'!$B$7,$AD11:$BA11)+'Model Setup'!$B$8*(SUMIF($BH$3:$CE$3,"&lt;"&amp;$DF11,$AD11:$BA11)+SUMIF($BH$3:$CE$3,"&gt;"&amp;$CW$4,$AD11:$BA11)),
IF(BL$3=$DF11+'Model Setup'!$C$7,SUMIF($BH$3:$CE$3,"="&amp;$DF11+'Model Setup'!$C$7,$AD11:$BA11)+'Model Setup'!$C$8*(SUMIF($BH$3:$CE$3,"&lt;"&amp;$DF11,$AD11:$BA11)+SUMIF($BH$3:$CE$3,"&gt;"&amp;$CW$4,$AD11:$BA11)),
IF(BL$3=$DF11+'Model Setup'!$D$7,SUMIF($BH$3:$CE$3,"="&amp;$DF11+'Model Setup'!$D$7,$AD11:$BA11)+'Model Setup'!$D$8*(SUMIF($BH$3:$CE$3,"&lt;"&amp;$DF11,$AD11:$BA11)+SUMIF($BH$3:$CE$3,"&gt;"&amp;$CW$4,$AD11:$BA11)),
IF(BL$3=$DF11+'Model Setup'!$E$7,SUMIF($BH$3:$CE$3,"="&amp;$DF11+'Model Setup'!$E$7,$AD11:$BA11)+'Model Setup'!$E$8*(SUMIF($BH$3:$CE$3,"&lt;"&amp;$DF11,$AD11:$BA11)+SUMIF($BH$3:$CE$3,"&gt;"&amp;$CW$4,$AD11:$BA11)),
IF(BL$3=$DF11+'Model Setup'!$F$7,SUMIF($BH$3:$CE$3,"="&amp;$DF11+'Model Setup'!$F$7,$AD11:$BA11)+'Model Setup'!$F$8*(SUMIF($BH$3:$CE$3,"&lt;"&amp;$DF11,$AD11:$BA11)+SUMIF($BH$3:$CE$3,"&gt;"&amp;$CW$4,$AD11:$BA11)),
IF(BL$3=$DF11+'Model Setup'!$G$7,SUMIF($BH$3:$CE$3,"="&amp;$DF11+'Model Setup'!$G$7,$AD11:$BA11)+'Model Setup'!$G$8*(SUMIF($BH$3:$CE$3,"&lt;"&amp;$DF11,$AD11:$BA11)+SUMIF($BH$3:$CE$3,"&gt;"&amp;$CW$4,$AD11:$BA11)),
IF(BL$3=$DF11+'Model Setup'!$H$7,SUMIF($BH$3:$CE$3,"="&amp;$DF11+'Model Setup'!$H$7,$AD11:$BA11)+'Model Setup'!$H$8*(SUMIF($BH$3:$CE$3,"&lt;"&amp;$DF11,$AD11:$BA11)+SUMIF($BH$3:$CE$3,"&gt;"&amp;$CW$4,$AD11:$BA11)),
IF(BL$3=$DF11+'Model Setup'!$I$7,SUMIF($BH$3:$CE$3,"="&amp;$DF11+'Model Setup'!$I$7,$AD11:$BA11)+'Model Setup'!$I$8*(SUMIF($BH$3:$CE$3,"&lt;"&amp;$DF11,$AD11:$BA11)+SUMIF($BH$3:$CE$3,"&gt;"&amp;$CW$4,$AD11:$BA11)),
IF(BL$3=$DF11+'Model Setup'!$J$7,SUMIF($BH$3:$CE$3,"="&amp;$DF11+'Model Setup'!$J$7,$AD11:$BA11)+'Model Setup'!$J$8*(SUMIF($BH$3:$CE$3,"&lt;"&amp;$DF11,$AD11:$BA11)+SUMIF($BH$3:$CE$3,"&gt;"&amp;$CW$4,$AD11:$BA11)),
IF(BL$3=$DF11+'Model Setup'!$K$7,SUMIF($BH$3:$CE$3,"="&amp;$DF11+'Model Setup'!$K$7,$AD11:$BA11)+'Model Setup'!$K$8*(SUMIF($BH$3:$CE$3,"&lt;"&amp;$DF11,$AD11:$BA11)+SUMIF($BH$3:$CE$3,"&gt;"&amp;$CW$4,$AD11:$BA11)),
IF(BL$3=$DF11+'Model Setup'!$L$7,SUMIF($BH$3:$CE$3,"="&amp;$DF11+'Model Setup'!$L$7,$AD11:$BA11)+'Model Setup'!$L$8*(SUMIF($BH$3:$CE$3,"&lt;"&amp;$DF11,$AD11:$BA11)+SUMIF($BH$3:$CE$3,"&gt;"&amp;$CW$4,$AD11:$BA11)),
IF(BL$3=$DF11+'Model Setup'!$M$7,SUMIF($BH$3:$CE$3,"="&amp;$DF11+'Model Setup'!$M$7,$AD11:$BA11)+'Model Setup'!$M$8*(SUMIF($BH$3:$CE$3,"&lt;"&amp;$DF11,$AD11:$BA11)+SUMIF($BH$3:$CE$3,"&gt;"&amp;$CW$4,$AD11:$BA11)),
IF(BL$3=$DF11+'Model Setup'!$N$7,SUMIF($BH$3:$CE$3,"="&amp;$DF11+'Model Setup'!$N$7,$AD11:$BA11)+'Model Setup'!$N$8*(SUMIF($BH$3:$CE$3,"&lt;"&amp;$DF11,$AD11:$BA11)+SUMIF($BH$3:$CE$3,"&gt;"&amp;$CW$4,$AD11:$BA11)),
IF(BL$3&lt;$CW$4,F11,0))))))))))))))),0)</f>
        <v>0</v>
      </c>
      <c r="BM11" s="47">
        <f>ROUND(IF(OR(BM$3&lt;$DF11,BM$3&gt;$CW$4),0,
IF(BM$3=$DF11+'Model Setup'!$B$7,SUMIF($BH$3:$CE$3,"="&amp;$DF11+'Model Setup'!$B$7,$AD11:$BA11)+'Model Setup'!$B$8*(SUMIF($BH$3:$CE$3,"&lt;"&amp;$DF11,$AD11:$BA11)+SUMIF($BH$3:$CE$3,"&gt;"&amp;$CW$4,$AD11:$BA11)),
IF(BM$3=$DF11+'Model Setup'!$C$7,SUMIF($BH$3:$CE$3,"="&amp;$DF11+'Model Setup'!$C$7,$AD11:$BA11)+'Model Setup'!$C$8*(SUMIF($BH$3:$CE$3,"&lt;"&amp;$DF11,$AD11:$BA11)+SUMIF($BH$3:$CE$3,"&gt;"&amp;$CW$4,$AD11:$BA11)),
IF(BM$3=$DF11+'Model Setup'!$D$7,SUMIF($BH$3:$CE$3,"="&amp;$DF11+'Model Setup'!$D$7,$AD11:$BA11)+'Model Setup'!$D$8*(SUMIF($BH$3:$CE$3,"&lt;"&amp;$DF11,$AD11:$BA11)+SUMIF($BH$3:$CE$3,"&gt;"&amp;$CW$4,$AD11:$BA11)),
IF(BM$3=$DF11+'Model Setup'!$E$7,SUMIF($BH$3:$CE$3,"="&amp;$DF11+'Model Setup'!$E$7,$AD11:$BA11)+'Model Setup'!$E$8*(SUMIF($BH$3:$CE$3,"&lt;"&amp;$DF11,$AD11:$BA11)+SUMIF($BH$3:$CE$3,"&gt;"&amp;$CW$4,$AD11:$BA11)),
IF(BM$3=$DF11+'Model Setup'!$F$7,SUMIF($BH$3:$CE$3,"="&amp;$DF11+'Model Setup'!$F$7,$AD11:$BA11)+'Model Setup'!$F$8*(SUMIF($BH$3:$CE$3,"&lt;"&amp;$DF11,$AD11:$BA11)+SUMIF($BH$3:$CE$3,"&gt;"&amp;$CW$4,$AD11:$BA11)),
IF(BM$3=$DF11+'Model Setup'!$G$7,SUMIF($BH$3:$CE$3,"="&amp;$DF11+'Model Setup'!$G$7,$AD11:$BA11)+'Model Setup'!$G$8*(SUMIF($BH$3:$CE$3,"&lt;"&amp;$DF11,$AD11:$BA11)+SUMIF($BH$3:$CE$3,"&gt;"&amp;$CW$4,$AD11:$BA11)),
IF(BM$3=$DF11+'Model Setup'!$H$7,SUMIF($BH$3:$CE$3,"="&amp;$DF11+'Model Setup'!$H$7,$AD11:$BA11)+'Model Setup'!$H$8*(SUMIF($BH$3:$CE$3,"&lt;"&amp;$DF11,$AD11:$BA11)+SUMIF($BH$3:$CE$3,"&gt;"&amp;$CW$4,$AD11:$BA11)),
IF(BM$3=$DF11+'Model Setup'!$I$7,SUMIF($BH$3:$CE$3,"="&amp;$DF11+'Model Setup'!$I$7,$AD11:$BA11)+'Model Setup'!$I$8*(SUMIF($BH$3:$CE$3,"&lt;"&amp;$DF11,$AD11:$BA11)+SUMIF($BH$3:$CE$3,"&gt;"&amp;$CW$4,$AD11:$BA11)),
IF(BM$3=$DF11+'Model Setup'!$J$7,SUMIF($BH$3:$CE$3,"="&amp;$DF11+'Model Setup'!$J$7,$AD11:$BA11)+'Model Setup'!$J$8*(SUMIF($BH$3:$CE$3,"&lt;"&amp;$DF11,$AD11:$BA11)+SUMIF($BH$3:$CE$3,"&gt;"&amp;$CW$4,$AD11:$BA11)),
IF(BM$3=$DF11+'Model Setup'!$K$7,SUMIF($BH$3:$CE$3,"="&amp;$DF11+'Model Setup'!$K$7,$AD11:$BA11)+'Model Setup'!$K$8*(SUMIF($BH$3:$CE$3,"&lt;"&amp;$DF11,$AD11:$BA11)+SUMIF($BH$3:$CE$3,"&gt;"&amp;$CW$4,$AD11:$BA11)),
IF(BM$3=$DF11+'Model Setup'!$L$7,SUMIF($BH$3:$CE$3,"="&amp;$DF11+'Model Setup'!$L$7,$AD11:$BA11)+'Model Setup'!$L$8*(SUMIF($BH$3:$CE$3,"&lt;"&amp;$DF11,$AD11:$BA11)+SUMIF($BH$3:$CE$3,"&gt;"&amp;$CW$4,$AD11:$BA11)),
IF(BM$3=$DF11+'Model Setup'!$M$7,SUMIF($BH$3:$CE$3,"="&amp;$DF11+'Model Setup'!$M$7,$AD11:$BA11)+'Model Setup'!$M$8*(SUMIF($BH$3:$CE$3,"&lt;"&amp;$DF11,$AD11:$BA11)+SUMIF($BH$3:$CE$3,"&gt;"&amp;$CW$4,$AD11:$BA11)),
IF(BM$3=$DF11+'Model Setup'!$N$7,SUMIF($BH$3:$CE$3,"="&amp;$DF11+'Model Setup'!$N$7,$AD11:$BA11)+'Model Setup'!$N$8*(SUMIF($BH$3:$CE$3,"&lt;"&amp;$DF11,$AD11:$BA11)+SUMIF($BH$3:$CE$3,"&gt;"&amp;$CW$4,$AD11:$BA11)),
IF(BM$3&lt;$CW$4,G11,0))))))))))))))),0)</f>
        <v>0</v>
      </c>
      <c r="BN11" s="47">
        <f>ROUND(IF(OR(BN$3&lt;$DF11,BN$3&gt;$CW$4),0,
IF(BN$3=$DF11+'Model Setup'!$B$7,SUMIF($BH$3:$CE$3,"="&amp;$DF11+'Model Setup'!$B$7,$AD11:$BA11)+'Model Setup'!$B$8*(SUMIF($BH$3:$CE$3,"&lt;"&amp;$DF11,$AD11:$BA11)+SUMIF($BH$3:$CE$3,"&gt;"&amp;$CW$4,$AD11:$BA11)),
IF(BN$3=$DF11+'Model Setup'!$C$7,SUMIF($BH$3:$CE$3,"="&amp;$DF11+'Model Setup'!$C$7,$AD11:$BA11)+'Model Setup'!$C$8*(SUMIF($BH$3:$CE$3,"&lt;"&amp;$DF11,$AD11:$BA11)+SUMIF($BH$3:$CE$3,"&gt;"&amp;$CW$4,$AD11:$BA11)),
IF(BN$3=$DF11+'Model Setup'!$D$7,SUMIF($BH$3:$CE$3,"="&amp;$DF11+'Model Setup'!$D$7,$AD11:$BA11)+'Model Setup'!$D$8*(SUMIF($BH$3:$CE$3,"&lt;"&amp;$DF11,$AD11:$BA11)+SUMIF($BH$3:$CE$3,"&gt;"&amp;$CW$4,$AD11:$BA11)),
IF(BN$3=$DF11+'Model Setup'!$E$7,SUMIF($BH$3:$CE$3,"="&amp;$DF11+'Model Setup'!$E$7,$AD11:$BA11)+'Model Setup'!$E$8*(SUMIF($BH$3:$CE$3,"&lt;"&amp;$DF11,$AD11:$BA11)+SUMIF($BH$3:$CE$3,"&gt;"&amp;$CW$4,$AD11:$BA11)),
IF(BN$3=$DF11+'Model Setup'!$F$7,SUMIF($BH$3:$CE$3,"="&amp;$DF11+'Model Setup'!$F$7,$AD11:$BA11)+'Model Setup'!$F$8*(SUMIF($BH$3:$CE$3,"&lt;"&amp;$DF11,$AD11:$BA11)+SUMIF($BH$3:$CE$3,"&gt;"&amp;$CW$4,$AD11:$BA11)),
IF(BN$3=$DF11+'Model Setup'!$G$7,SUMIF($BH$3:$CE$3,"="&amp;$DF11+'Model Setup'!$G$7,$AD11:$BA11)+'Model Setup'!$G$8*(SUMIF($BH$3:$CE$3,"&lt;"&amp;$DF11,$AD11:$BA11)+SUMIF($BH$3:$CE$3,"&gt;"&amp;$CW$4,$AD11:$BA11)),
IF(BN$3=$DF11+'Model Setup'!$H$7,SUMIF($BH$3:$CE$3,"="&amp;$DF11+'Model Setup'!$H$7,$AD11:$BA11)+'Model Setup'!$H$8*(SUMIF($BH$3:$CE$3,"&lt;"&amp;$DF11,$AD11:$BA11)+SUMIF($BH$3:$CE$3,"&gt;"&amp;$CW$4,$AD11:$BA11)),
IF(BN$3=$DF11+'Model Setup'!$I$7,SUMIF($BH$3:$CE$3,"="&amp;$DF11+'Model Setup'!$I$7,$AD11:$BA11)+'Model Setup'!$I$8*(SUMIF($BH$3:$CE$3,"&lt;"&amp;$DF11,$AD11:$BA11)+SUMIF($BH$3:$CE$3,"&gt;"&amp;$CW$4,$AD11:$BA11)),
IF(BN$3=$DF11+'Model Setup'!$J$7,SUMIF($BH$3:$CE$3,"="&amp;$DF11+'Model Setup'!$J$7,$AD11:$BA11)+'Model Setup'!$J$8*(SUMIF($BH$3:$CE$3,"&lt;"&amp;$DF11,$AD11:$BA11)+SUMIF($BH$3:$CE$3,"&gt;"&amp;$CW$4,$AD11:$BA11)),
IF(BN$3=$DF11+'Model Setup'!$K$7,SUMIF($BH$3:$CE$3,"="&amp;$DF11+'Model Setup'!$K$7,$AD11:$BA11)+'Model Setup'!$K$8*(SUMIF($BH$3:$CE$3,"&lt;"&amp;$DF11,$AD11:$BA11)+SUMIF($BH$3:$CE$3,"&gt;"&amp;$CW$4,$AD11:$BA11)),
IF(BN$3=$DF11+'Model Setup'!$L$7,SUMIF($BH$3:$CE$3,"="&amp;$DF11+'Model Setup'!$L$7,$AD11:$BA11)+'Model Setup'!$L$8*(SUMIF($BH$3:$CE$3,"&lt;"&amp;$DF11,$AD11:$BA11)+SUMIF($BH$3:$CE$3,"&gt;"&amp;$CW$4,$AD11:$BA11)),
IF(BN$3=$DF11+'Model Setup'!$M$7,SUMIF($BH$3:$CE$3,"="&amp;$DF11+'Model Setup'!$M$7,$AD11:$BA11)+'Model Setup'!$M$8*(SUMIF($BH$3:$CE$3,"&lt;"&amp;$DF11,$AD11:$BA11)+SUMIF($BH$3:$CE$3,"&gt;"&amp;$CW$4,$AD11:$BA11)),
IF(BN$3=$DF11+'Model Setup'!$N$7,SUMIF($BH$3:$CE$3,"="&amp;$DF11+'Model Setup'!$N$7,$AD11:$BA11)+'Model Setup'!$N$8*(SUMIF($BH$3:$CE$3,"&lt;"&amp;$DF11,$AD11:$BA11)+SUMIF($BH$3:$CE$3,"&gt;"&amp;$CW$4,$AD11:$BA11)),
IF(BN$3&lt;$CW$4,H11,0))))))))))))))),0)</f>
        <v>67</v>
      </c>
      <c r="BO11" s="47">
        <f>ROUND(IF(OR(BO$3&lt;$DF11,BO$3&gt;$CW$4),0,
IF(BO$3=$DF11+'Model Setup'!$B$7,SUMIF($BH$3:$CE$3,"="&amp;$DF11+'Model Setup'!$B$7,$AD11:$BA11)+'Model Setup'!$B$8*(SUMIF($BH$3:$CE$3,"&lt;"&amp;$DF11,$AD11:$BA11)+SUMIF($BH$3:$CE$3,"&gt;"&amp;$CW$4,$AD11:$BA11)),
IF(BO$3=$DF11+'Model Setup'!$C$7,SUMIF($BH$3:$CE$3,"="&amp;$DF11+'Model Setup'!$C$7,$AD11:$BA11)+'Model Setup'!$C$8*(SUMIF($BH$3:$CE$3,"&lt;"&amp;$DF11,$AD11:$BA11)+SUMIF($BH$3:$CE$3,"&gt;"&amp;$CW$4,$AD11:$BA11)),
IF(BO$3=$DF11+'Model Setup'!$D$7,SUMIF($BH$3:$CE$3,"="&amp;$DF11+'Model Setup'!$D$7,$AD11:$BA11)+'Model Setup'!$D$8*(SUMIF($BH$3:$CE$3,"&lt;"&amp;$DF11,$AD11:$BA11)+SUMIF($BH$3:$CE$3,"&gt;"&amp;$CW$4,$AD11:$BA11)),
IF(BO$3=$DF11+'Model Setup'!$E$7,SUMIF($BH$3:$CE$3,"="&amp;$DF11+'Model Setup'!$E$7,$AD11:$BA11)+'Model Setup'!$E$8*(SUMIF($BH$3:$CE$3,"&lt;"&amp;$DF11,$AD11:$BA11)+SUMIF($BH$3:$CE$3,"&gt;"&amp;$CW$4,$AD11:$BA11)),
IF(BO$3=$DF11+'Model Setup'!$F$7,SUMIF($BH$3:$CE$3,"="&amp;$DF11+'Model Setup'!$F$7,$AD11:$BA11)+'Model Setup'!$F$8*(SUMIF($BH$3:$CE$3,"&lt;"&amp;$DF11,$AD11:$BA11)+SUMIF($BH$3:$CE$3,"&gt;"&amp;$CW$4,$AD11:$BA11)),
IF(BO$3=$DF11+'Model Setup'!$G$7,SUMIF($BH$3:$CE$3,"="&amp;$DF11+'Model Setup'!$G$7,$AD11:$BA11)+'Model Setup'!$G$8*(SUMIF($BH$3:$CE$3,"&lt;"&amp;$DF11,$AD11:$BA11)+SUMIF($BH$3:$CE$3,"&gt;"&amp;$CW$4,$AD11:$BA11)),
IF(BO$3=$DF11+'Model Setup'!$H$7,SUMIF($BH$3:$CE$3,"="&amp;$DF11+'Model Setup'!$H$7,$AD11:$BA11)+'Model Setup'!$H$8*(SUMIF($BH$3:$CE$3,"&lt;"&amp;$DF11,$AD11:$BA11)+SUMIF($BH$3:$CE$3,"&gt;"&amp;$CW$4,$AD11:$BA11)),
IF(BO$3=$DF11+'Model Setup'!$I$7,SUMIF($BH$3:$CE$3,"="&amp;$DF11+'Model Setup'!$I$7,$AD11:$BA11)+'Model Setup'!$I$8*(SUMIF($BH$3:$CE$3,"&lt;"&amp;$DF11,$AD11:$BA11)+SUMIF($BH$3:$CE$3,"&gt;"&amp;$CW$4,$AD11:$BA11)),
IF(BO$3=$DF11+'Model Setup'!$J$7,SUMIF($BH$3:$CE$3,"="&amp;$DF11+'Model Setup'!$J$7,$AD11:$BA11)+'Model Setup'!$J$8*(SUMIF($BH$3:$CE$3,"&lt;"&amp;$DF11,$AD11:$BA11)+SUMIF($BH$3:$CE$3,"&gt;"&amp;$CW$4,$AD11:$BA11)),
IF(BO$3=$DF11+'Model Setup'!$K$7,SUMIF($BH$3:$CE$3,"="&amp;$DF11+'Model Setup'!$K$7,$AD11:$BA11)+'Model Setup'!$K$8*(SUMIF($BH$3:$CE$3,"&lt;"&amp;$DF11,$AD11:$BA11)+SUMIF($BH$3:$CE$3,"&gt;"&amp;$CW$4,$AD11:$BA11)),
IF(BO$3=$DF11+'Model Setup'!$L$7,SUMIF($BH$3:$CE$3,"="&amp;$DF11+'Model Setup'!$L$7,$AD11:$BA11)+'Model Setup'!$L$8*(SUMIF($BH$3:$CE$3,"&lt;"&amp;$DF11,$AD11:$BA11)+SUMIF($BH$3:$CE$3,"&gt;"&amp;$CW$4,$AD11:$BA11)),
IF(BO$3=$DF11+'Model Setup'!$M$7,SUMIF($BH$3:$CE$3,"="&amp;$DF11+'Model Setup'!$M$7,$AD11:$BA11)+'Model Setup'!$M$8*(SUMIF($BH$3:$CE$3,"&lt;"&amp;$DF11,$AD11:$BA11)+SUMIF($BH$3:$CE$3,"&gt;"&amp;$CW$4,$AD11:$BA11)),
IF(BO$3=$DF11+'Model Setup'!$N$7,SUMIF($BH$3:$CE$3,"="&amp;$DF11+'Model Setup'!$N$7,$AD11:$BA11)+'Model Setup'!$N$8*(SUMIF($BH$3:$CE$3,"&lt;"&amp;$DF11,$AD11:$BA11)+SUMIF($BH$3:$CE$3,"&gt;"&amp;$CW$4,$AD11:$BA11)),
IF(BO$3&lt;$CW$4,I11,0))))))))))))))),0)</f>
        <v>101</v>
      </c>
      <c r="BP11" s="47">
        <f>ROUND(IF(OR(BP$3&lt;$DF11,BP$3&gt;$CW$4),0,
IF(BP$3=$DF11+'Model Setup'!$B$7,SUMIF($BH$3:$CE$3,"="&amp;$DF11+'Model Setup'!$B$7,$AD11:$BA11)+'Model Setup'!$B$8*(SUMIF($BH$3:$CE$3,"&lt;"&amp;$DF11,$AD11:$BA11)+SUMIF($BH$3:$CE$3,"&gt;"&amp;$CW$4,$AD11:$BA11)),
IF(BP$3=$DF11+'Model Setup'!$C$7,SUMIF($BH$3:$CE$3,"="&amp;$DF11+'Model Setup'!$C$7,$AD11:$BA11)+'Model Setup'!$C$8*(SUMIF($BH$3:$CE$3,"&lt;"&amp;$DF11,$AD11:$BA11)+SUMIF($BH$3:$CE$3,"&gt;"&amp;$CW$4,$AD11:$BA11)),
IF(BP$3=$DF11+'Model Setup'!$D$7,SUMIF($BH$3:$CE$3,"="&amp;$DF11+'Model Setup'!$D$7,$AD11:$BA11)+'Model Setup'!$D$8*(SUMIF($BH$3:$CE$3,"&lt;"&amp;$DF11,$AD11:$BA11)+SUMIF($BH$3:$CE$3,"&gt;"&amp;$CW$4,$AD11:$BA11)),
IF(BP$3=$DF11+'Model Setup'!$E$7,SUMIF($BH$3:$CE$3,"="&amp;$DF11+'Model Setup'!$E$7,$AD11:$BA11)+'Model Setup'!$E$8*(SUMIF($BH$3:$CE$3,"&lt;"&amp;$DF11,$AD11:$BA11)+SUMIF($BH$3:$CE$3,"&gt;"&amp;$CW$4,$AD11:$BA11)),
IF(BP$3=$DF11+'Model Setup'!$F$7,SUMIF($BH$3:$CE$3,"="&amp;$DF11+'Model Setup'!$F$7,$AD11:$BA11)+'Model Setup'!$F$8*(SUMIF($BH$3:$CE$3,"&lt;"&amp;$DF11,$AD11:$BA11)+SUMIF($BH$3:$CE$3,"&gt;"&amp;$CW$4,$AD11:$BA11)),
IF(BP$3=$DF11+'Model Setup'!$G$7,SUMIF($BH$3:$CE$3,"="&amp;$DF11+'Model Setup'!$G$7,$AD11:$BA11)+'Model Setup'!$G$8*(SUMIF($BH$3:$CE$3,"&lt;"&amp;$DF11,$AD11:$BA11)+SUMIF($BH$3:$CE$3,"&gt;"&amp;$CW$4,$AD11:$BA11)),
IF(BP$3=$DF11+'Model Setup'!$H$7,SUMIF($BH$3:$CE$3,"="&amp;$DF11+'Model Setup'!$H$7,$AD11:$BA11)+'Model Setup'!$H$8*(SUMIF($BH$3:$CE$3,"&lt;"&amp;$DF11,$AD11:$BA11)+SUMIF($BH$3:$CE$3,"&gt;"&amp;$CW$4,$AD11:$BA11)),
IF(BP$3=$DF11+'Model Setup'!$I$7,SUMIF($BH$3:$CE$3,"="&amp;$DF11+'Model Setup'!$I$7,$AD11:$BA11)+'Model Setup'!$I$8*(SUMIF($BH$3:$CE$3,"&lt;"&amp;$DF11,$AD11:$BA11)+SUMIF($BH$3:$CE$3,"&gt;"&amp;$CW$4,$AD11:$BA11)),
IF(BP$3=$DF11+'Model Setup'!$J$7,SUMIF($BH$3:$CE$3,"="&amp;$DF11+'Model Setup'!$J$7,$AD11:$BA11)+'Model Setup'!$J$8*(SUMIF($BH$3:$CE$3,"&lt;"&amp;$DF11,$AD11:$BA11)+SUMIF($BH$3:$CE$3,"&gt;"&amp;$CW$4,$AD11:$BA11)),
IF(BP$3=$DF11+'Model Setup'!$K$7,SUMIF($BH$3:$CE$3,"="&amp;$DF11+'Model Setup'!$K$7,$AD11:$BA11)+'Model Setup'!$K$8*(SUMIF($BH$3:$CE$3,"&lt;"&amp;$DF11,$AD11:$BA11)+SUMIF($BH$3:$CE$3,"&gt;"&amp;$CW$4,$AD11:$BA11)),
IF(BP$3=$DF11+'Model Setup'!$L$7,SUMIF($BH$3:$CE$3,"="&amp;$DF11+'Model Setup'!$L$7,$AD11:$BA11)+'Model Setup'!$L$8*(SUMIF($BH$3:$CE$3,"&lt;"&amp;$DF11,$AD11:$BA11)+SUMIF($BH$3:$CE$3,"&gt;"&amp;$CW$4,$AD11:$BA11)),
IF(BP$3=$DF11+'Model Setup'!$M$7,SUMIF($BH$3:$CE$3,"="&amp;$DF11+'Model Setup'!$M$7,$AD11:$BA11)+'Model Setup'!$M$8*(SUMIF($BH$3:$CE$3,"&lt;"&amp;$DF11,$AD11:$BA11)+SUMIF($BH$3:$CE$3,"&gt;"&amp;$CW$4,$AD11:$BA11)),
IF(BP$3=$DF11+'Model Setup'!$N$7,SUMIF($BH$3:$CE$3,"="&amp;$DF11+'Model Setup'!$N$7,$AD11:$BA11)+'Model Setup'!$N$8*(SUMIF($BH$3:$CE$3,"&lt;"&amp;$DF11,$AD11:$BA11)+SUMIF($BH$3:$CE$3,"&gt;"&amp;$CW$4,$AD11:$BA11)),
IF(BP$3&lt;$CW$4,J11,0))))))))))))))),0)</f>
        <v>99</v>
      </c>
      <c r="BQ11" s="47">
        <f>ROUND(IF(OR(BQ$3&lt;$DF11,BQ$3&gt;$CW$4),0,
IF(BQ$3=$DF11+'Model Setup'!$B$7,SUMIF($BH$3:$CE$3,"="&amp;$DF11+'Model Setup'!$B$7,$AD11:$BA11)+'Model Setup'!$B$8*(SUMIF($BH$3:$CE$3,"&lt;"&amp;$DF11,$AD11:$BA11)+SUMIF($BH$3:$CE$3,"&gt;"&amp;$CW$4,$AD11:$BA11)),
IF(BQ$3=$DF11+'Model Setup'!$C$7,SUMIF($BH$3:$CE$3,"="&amp;$DF11+'Model Setup'!$C$7,$AD11:$BA11)+'Model Setup'!$C$8*(SUMIF($BH$3:$CE$3,"&lt;"&amp;$DF11,$AD11:$BA11)+SUMIF($BH$3:$CE$3,"&gt;"&amp;$CW$4,$AD11:$BA11)),
IF(BQ$3=$DF11+'Model Setup'!$D$7,SUMIF($BH$3:$CE$3,"="&amp;$DF11+'Model Setup'!$D$7,$AD11:$BA11)+'Model Setup'!$D$8*(SUMIF($BH$3:$CE$3,"&lt;"&amp;$DF11,$AD11:$BA11)+SUMIF($BH$3:$CE$3,"&gt;"&amp;$CW$4,$AD11:$BA11)),
IF(BQ$3=$DF11+'Model Setup'!$E$7,SUMIF($BH$3:$CE$3,"="&amp;$DF11+'Model Setup'!$E$7,$AD11:$BA11)+'Model Setup'!$E$8*(SUMIF($BH$3:$CE$3,"&lt;"&amp;$DF11,$AD11:$BA11)+SUMIF($BH$3:$CE$3,"&gt;"&amp;$CW$4,$AD11:$BA11)),
IF(BQ$3=$DF11+'Model Setup'!$F$7,SUMIF($BH$3:$CE$3,"="&amp;$DF11+'Model Setup'!$F$7,$AD11:$BA11)+'Model Setup'!$F$8*(SUMIF($BH$3:$CE$3,"&lt;"&amp;$DF11,$AD11:$BA11)+SUMIF($BH$3:$CE$3,"&gt;"&amp;$CW$4,$AD11:$BA11)),
IF(BQ$3=$DF11+'Model Setup'!$G$7,SUMIF($BH$3:$CE$3,"="&amp;$DF11+'Model Setup'!$G$7,$AD11:$BA11)+'Model Setup'!$G$8*(SUMIF($BH$3:$CE$3,"&lt;"&amp;$DF11,$AD11:$BA11)+SUMIF($BH$3:$CE$3,"&gt;"&amp;$CW$4,$AD11:$BA11)),
IF(BQ$3=$DF11+'Model Setup'!$H$7,SUMIF($BH$3:$CE$3,"="&amp;$DF11+'Model Setup'!$H$7,$AD11:$BA11)+'Model Setup'!$H$8*(SUMIF($BH$3:$CE$3,"&lt;"&amp;$DF11,$AD11:$BA11)+SUMIF($BH$3:$CE$3,"&gt;"&amp;$CW$4,$AD11:$BA11)),
IF(BQ$3=$DF11+'Model Setup'!$I$7,SUMIF($BH$3:$CE$3,"="&amp;$DF11+'Model Setup'!$I$7,$AD11:$BA11)+'Model Setup'!$I$8*(SUMIF($BH$3:$CE$3,"&lt;"&amp;$DF11,$AD11:$BA11)+SUMIF($BH$3:$CE$3,"&gt;"&amp;$CW$4,$AD11:$BA11)),
IF(BQ$3=$DF11+'Model Setup'!$J$7,SUMIF($BH$3:$CE$3,"="&amp;$DF11+'Model Setup'!$J$7,$AD11:$BA11)+'Model Setup'!$J$8*(SUMIF($BH$3:$CE$3,"&lt;"&amp;$DF11,$AD11:$BA11)+SUMIF($BH$3:$CE$3,"&gt;"&amp;$CW$4,$AD11:$BA11)),
IF(BQ$3=$DF11+'Model Setup'!$K$7,SUMIF($BH$3:$CE$3,"="&amp;$DF11+'Model Setup'!$K$7,$AD11:$BA11)+'Model Setup'!$K$8*(SUMIF($BH$3:$CE$3,"&lt;"&amp;$DF11,$AD11:$BA11)+SUMIF($BH$3:$CE$3,"&gt;"&amp;$CW$4,$AD11:$BA11)),
IF(BQ$3=$DF11+'Model Setup'!$L$7,SUMIF($BH$3:$CE$3,"="&amp;$DF11+'Model Setup'!$L$7,$AD11:$BA11)+'Model Setup'!$L$8*(SUMIF($BH$3:$CE$3,"&lt;"&amp;$DF11,$AD11:$BA11)+SUMIF($BH$3:$CE$3,"&gt;"&amp;$CW$4,$AD11:$BA11)),
IF(BQ$3=$DF11+'Model Setup'!$M$7,SUMIF($BH$3:$CE$3,"="&amp;$DF11+'Model Setup'!$M$7,$AD11:$BA11)+'Model Setup'!$M$8*(SUMIF($BH$3:$CE$3,"&lt;"&amp;$DF11,$AD11:$BA11)+SUMIF($BH$3:$CE$3,"&gt;"&amp;$CW$4,$AD11:$BA11)),
IF(BQ$3=$DF11+'Model Setup'!$N$7,SUMIF($BH$3:$CE$3,"="&amp;$DF11+'Model Setup'!$N$7,$AD11:$BA11)+'Model Setup'!$N$8*(SUMIF($BH$3:$CE$3,"&lt;"&amp;$DF11,$AD11:$BA11)+SUMIF($BH$3:$CE$3,"&gt;"&amp;$CW$4,$AD11:$BA11)),
IF(BQ$3&lt;$CW$4,K11,0))))))))))))))),0)</f>
        <v>94</v>
      </c>
      <c r="BR11" s="47">
        <f>ROUND(IF(OR(BR$3&lt;$DF11,BR$3&gt;$CW$4),0,
IF(BR$3=$DF11+'Model Setup'!$B$7,SUMIF($BH$3:$CE$3,"="&amp;$DF11+'Model Setup'!$B$7,$AD11:$BA11)+'Model Setup'!$B$8*(SUMIF($BH$3:$CE$3,"&lt;"&amp;$DF11,$AD11:$BA11)+SUMIF($BH$3:$CE$3,"&gt;"&amp;$CW$4,$AD11:$BA11)),
IF(BR$3=$DF11+'Model Setup'!$C$7,SUMIF($BH$3:$CE$3,"="&amp;$DF11+'Model Setup'!$C$7,$AD11:$BA11)+'Model Setup'!$C$8*(SUMIF($BH$3:$CE$3,"&lt;"&amp;$DF11,$AD11:$BA11)+SUMIF($BH$3:$CE$3,"&gt;"&amp;$CW$4,$AD11:$BA11)),
IF(BR$3=$DF11+'Model Setup'!$D$7,SUMIF($BH$3:$CE$3,"="&amp;$DF11+'Model Setup'!$D$7,$AD11:$BA11)+'Model Setup'!$D$8*(SUMIF($BH$3:$CE$3,"&lt;"&amp;$DF11,$AD11:$BA11)+SUMIF($BH$3:$CE$3,"&gt;"&amp;$CW$4,$AD11:$BA11)),
IF(BR$3=$DF11+'Model Setup'!$E$7,SUMIF($BH$3:$CE$3,"="&amp;$DF11+'Model Setup'!$E$7,$AD11:$BA11)+'Model Setup'!$E$8*(SUMIF($BH$3:$CE$3,"&lt;"&amp;$DF11,$AD11:$BA11)+SUMIF($BH$3:$CE$3,"&gt;"&amp;$CW$4,$AD11:$BA11)),
IF(BR$3=$DF11+'Model Setup'!$F$7,SUMIF($BH$3:$CE$3,"="&amp;$DF11+'Model Setup'!$F$7,$AD11:$BA11)+'Model Setup'!$F$8*(SUMIF($BH$3:$CE$3,"&lt;"&amp;$DF11,$AD11:$BA11)+SUMIF($BH$3:$CE$3,"&gt;"&amp;$CW$4,$AD11:$BA11)),
IF(BR$3=$DF11+'Model Setup'!$G$7,SUMIF($BH$3:$CE$3,"="&amp;$DF11+'Model Setup'!$G$7,$AD11:$BA11)+'Model Setup'!$G$8*(SUMIF($BH$3:$CE$3,"&lt;"&amp;$DF11,$AD11:$BA11)+SUMIF($BH$3:$CE$3,"&gt;"&amp;$CW$4,$AD11:$BA11)),
IF(BR$3=$DF11+'Model Setup'!$H$7,SUMIF($BH$3:$CE$3,"="&amp;$DF11+'Model Setup'!$H$7,$AD11:$BA11)+'Model Setup'!$H$8*(SUMIF($BH$3:$CE$3,"&lt;"&amp;$DF11,$AD11:$BA11)+SUMIF($BH$3:$CE$3,"&gt;"&amp;$CW$4,$AD11:$BA11)),
IF(BR$3=$DF11+'Model Setup'!$I$7,SUMIF($BH$3:$CE$3,"="&amp;$DF11+'Model Setup'!$I$7,$AD11:$BA11)+'Model Setup'!$I$8*(SUMIF($BH$3:$CE$3,"&lt;"&amp;$DF11,$AD11:$BA11)+SUMIF($BH$3:$CE$3,"&gt;"&amp;$CW$4,$AD11:$BA11)),
IF(BR$3=$DF11+'Model Setup'!$J$7,SUMIF($BH$3:$CE$3,"="&amp;$DF11+'Model Setup'!$J$7,$AD11:$BA11)+'Model Setup'!$J$8*(SUMIF($BH$3:$CE$3,"&lt;"&amp;$DF11,$AD11:$BA11)+SUMIF($BH$3:$CE$3,"&gt;"&amp;$CW$4,$AD11:$BA11)),
IF(BR$3=$DF11+'Model Setup'!$K$7,SUMIF($BH$3:$CE$3,"="&amp;$DF11+'Model Setup'!$K$7,$AD11:$BA11)+'Model Setup'!$K$8*(SUMIF($BH$3:$CE$3,"&lt;"&amp;$DF11,$AD11:$BA11)+SUMIF($BH$3:$CE$3,"&gt;"&amp;$CW$4,$AD11:$BA11)),
IF(BR$3=$DF11+'Model Setup'!$L$7,SUMIF($BH$3:$CE$3,"="&amp;$DF11+'Model Setup'!$L$7,$AD11:$BA11)+'Model Setup'!$L$8*(SUMIF($BH$3:$CE$3,"&lt;"&amp;$DF11,$AD11:$BA11)+SUMIF($BH$3:$CE$3,"&gt;"&amp;$CW$4,$AD11:$BA11)),
IF(BR$3=$DF11+'Model Setup'!$M$7,SUMIF($BH$3:$CE$3,"="&amp;$DF11+'Model Setup'!$M$7,$AD11:$BA11)+'Model Setup'!$M$8*(SUMIF($BH$3:$CE$3,"&lt;"&amp;$DF11,$AD11:$BA11)+SUMIF($BH$3:$CE$3,"&gt;"&amp;$CW$4,$AD11:$BA11)),
IF(BR$3=$DF11+'Model Setup'!$N$7,SUMIF($BH$3:$CE$3,"="&amp;$DF11+'Model Setup'!$N$7,$AD11:$BA11)+'Model Setup'!$N$8*(SUMIF($BH$3:$CE$3,"&lt;"&amp;$DF11,$AD11:$BA11)+SUMIF($BH$3:$CE$3,"&gt;"&amp;$CW$4,$AD11:$BA11)),
IF(BR$3&lt;$CW$4,L11,0))))))))))))))),0)</f>
        <v>69</v>
      </c>
      <c r="BS11" s="47">
        <f>ROUND(IF(OR(BS$3&lt;$DF11,BS$3&gt;$CW$4),0,
IF(BS$3=$DF11+'Model Setup'!$B$7,SUMIF($BH$3:$CE$3,"="&amp;$DF11+'Model Setup'!$B$7,$AD11:$BA11)+'Model Setup'!$B$8*(SUMIF($BH$3:$CE$3,"&lt;"&amp;$DF11,$AD11:$BA11)+SUMIF($BH$3:$CE$3,"&gt;"&amp;$CW$4,$AD11:$BA11)),
IF(BS$3=$DF11+'Model Setup'!$C$7,SUMIF($BH$3:$CE$3,"="&amp;$DF11+'Model Setup'!$C$7,$AD11:$BA11)+'Model Setup'!$C$8*(SUMIF($BH$3:$CE$3,"&lt;"&amp;$DF11,$AD11:$BA11)+SUMIF($BH$3:$CE$3,"&gt;"&amp;$CW$4,$AD11:$BA11)),
IF(BS$3=$DF11+'Model Setup'!$D$7,SUMIF($BH$3:$CE$3,"="&amp;$DF11+'Model Setup'!$D$7,$AD11:$BA11)+'Model Setup'!$D$8*(SUMIF($BH$3:$CE$3,"&lt;"&amp;$DF11,$AD11:$BA11)+SUMIF($BH$3:$CE$3,"&gt;"&amp;$CW$4,$AD11:$BA11)),
IF(BS$3=$DF11+'Model Setup'!$E$7,SUMIF($BH$3:$CE$3,"="&amp;$DF11+'Model Setup'!$E$7,$AD11:$BA11)+'Model Setup'!$E$8*(SUMIF($BH$3:$CE$3,"&lt;"&amp;$DF11,$AD11:$BA11)+SUMIF($BH$3:$CE$3,"&gt;"&amp;$CW$4,$AD11:$BA11)),
IF(BS$3=$DF11+'Model Setup'!$F$7,SUMIF($BH$3:$CE$3,"="&amp;$DF11+'Model Setup'!$F$7,$AD11:$BA11)+'Model Setup'!$F$8*(SUMIF($BH$3:$CE$3,"&lt;"&amp;$DF11,$AD11:$BA11)+SUMIF($BH$3:$CE$3,"&gt;"&amp;$CW$4,$AD11:$BA11)),
IF(BS$3=$DF11+'Model Setup'!$G$7,SUMIF($BH$3:$CE$3,"="&amp;$DF11+'Model Setup'!$G$7,$AD11:$BA11)+'Model Setup'!$G$8*(SUMIF($BH$3:$CE$3,"&lt;"&amp;$DF11,$AD11:$BA11)+SUMIF($BH$3:$CE$3,"&gt;"&amp;$CW$4,$AD11:$BA11)),
IF(BS$3=$DF11+'Model Setup'!$H$7,SUMIF($BH$3:$CE$3,"="&amp;$DF11+'Model Setup'!$H$7,$AD11:$BA11)+'Model Setup'!$H$8*(SUMIF($BH$3:$CE$3,"&lt;"&amp;$DF11,$AD11:$BA11)+SUMIF($BH$3:$CE$3,"&gt;"&amp;$CW$4,$AD11:$BA11)),
IF(BS$3=$DF11+'Model Setup'!$I$7,SUMIF($BH$3:$CE$3,"="&amp;$DF11+'Model Setup'!$I$7,$AD11:$BA11)+'Model Setup'!$I$8*(SUMIF($BH$3:$CE$3,"&lt;"&amp;$DF11,$AD11:$BA11)+SUMIF($BH$3:$CE$3,"&gt;"&amp;$CW$4,$AD11:$BA11)),
IF(BS$3=$DF11+'Model Setup'!$J$7,SUMIF($BH$3:$CE$3,"="&amp;$DF11+'Model Setup'!$J$7,$AD11:$BA11)+'Model Setup'!$J$8*(SUMIF($BH$3:$CE$3,"&lt;"&amp;$DF11,$AD11:$BA11)+SUMIF($BH$3:$CE$3,"&gt;"&amp;$CW$4,$AD11:$BA11)),
IF(BS$3=$DF11+'Model Setup'!$K$7,SUMIF($BH$3:$CE$3,"="&amp;$DF11+'Model Setup'!$K$7,$AD11:$BA11)+'Model Setup'!$K$8*(SUMIF($BH$3:$CE$3,"&lt;"&amp;$DF11,$AD11:$BA11)+SUMIF($BH$3:$CE$3,"&gt;"&amp;$CW$4,$AD11:$BA11)),
IF(BS$3=$DF11+'Model Setup'!$L$7,SUMIF($BH$3:$CE$3,"="&amp;$DF11+'Model Setup'!$L$7,$AD11:$BA11)+'Model Setup'!$L$8*(SUMIF($BH$3:$CE$3,"&lt;"&amp;$DF11,$AD11:$BA11)+SUMIF($BH$3:$CE$3,"&gt;"&amp;$CW$4,$AD11:$BA11)),
IF(BS$3=$DF11+'Model Setup'!$M$7,SUMIF($BH$3:$CE$3,"="&amp;$DF11+'Model Setup'!$M$7,$AD11:$BA11)+'Model Setup'!$M$8*(SUMIF($BH$3:$CE$3,"&lt;"&amp;$DF11,$AD11:$BA11)+SUMIF($BH$3:$CE$3,"&gt;"&amp;$CW$4,$AD11:$BA11)),
IF(BS$3=$DF11+'Model Setup'!$N$7,SUMIF($BH$3:$CE$3,"="&amp;$DF11+'Model Setup'!$N$7,$AD11:$BA11)+'Model Setup'!$N$8*(SUMIF($BH$3:$CE$3,"&lt;"&amp;$DF11,$AD11:$BA11)+SUMIF($BH$3:$CE$3,"&gt;"&amp;$CW$4,$AD11:$BA11)),
IF(BS$3&lt;$CW$4,M11,0))))))))))))))),0)</f>
        <v>48</v>
      </c>
      <c r="BT11" s="47">
        <f>ROUND(IF(OR(BT$3&lt;$DF11,BT$3&gt;$CW$4),0,
IF(BT$3=$DF11+'Model Setup'!$B$7,SUMIF($BH$3:$CE$3,"="&amp;$DF11+'Model Setup'!$B$7,$AD11:$BA11)+'Model Setup'!$B$8*(SUMIF($BH$3:$CE$3,"&lt;"&amp;$DF11,$AD11:$BA11)+SUMIF($BH$3:$CE$3,"&gt;"&amp;$CW$4,$AD11:$BA11)),
IF(BT$3=$DF11+'Model Setup'!$C$7,SUMIF($BH$3:$CE$3,"="&amp;$DF11+'Model Setup'!$C$7,$AD11:$BA11)+'Model Setup'!$C$8*(SUMIF($BH$3:$CE$3,"&lt;"&amp;$DF11,$AD11:$BA11)+SUMIF($BH$3:$CE$3,"&gt;"&amp;$CW$4,$AD11:$BA11)),
IF(BT$3=$DF11+'Model Setup'!$D$7,SUMIF($BH$3:$CE$3,"="&amp;$DF11+'Model Setup'!$D$7,$AD11:$BA11)+'Model Setup'!$D$8*(SUMIF($BH$3:$CE$3,"&lt;"&amp;$DF11,$AD11:$BA11)+SUMIF($BH$3:$CE$3,"&gt;"&amp;$CW$4,$AD11:$BA11)),
IF(BT$3=$DF11+'Model Setup'!$E$7,SUMIF($BH$3:$CE$3,"="&amp;$DF11+'Model Setup'!$E$7,$AD11:$BA11)+'Model Setup'!$E$8*(SUMIF($BH$3:$CE$3,"&lt;"&amp;$DF11,$AD11:$BA11)+SUMIF($BH$3:$CE$3,"&gt;"&amp;$CW$4,$AD11:$BA11)),
IF(BT$3=$DF11+'Model Setup'!$F$7,SUMIF($BH$3:$CE$3,"="&amp;$DF11+'Model Setup'!$F$7,$AD11:$BA11)+'Model Setup'!$F$8*(SUMIF($BH$3:$CE$3,"&lt;"&amp;$DF11,$AD11:$BA11)+SUMIF($BH$3:$CE$3,"&gt;"&amp;$CW$4,$AD11:$BA11)),
IF(BT$3=$DF11+'Model Setup'!$G$7,SUMIF($BH$3:$CE$3,"="&amp;$DF11+'Model Setup'!$G$7,$AD11:$BA11)+'Model Setup'!$G$8*(SUMIF($BH$3:$CE$3,"&lt;"&amp;$DF11,$AD11:$BA11)+SUMIF($BH$3:$CE$3,"&gt;"&amp;$CW$4,$AD11:$BA11)),
IF(BT$3=$DF11+'Model Setup'!$H$7,SUMIF($BH$3:$CE$3,"="&amp;$DF11+'Model Setup'!$H$7,$AD11:$BA11)+'Model Setup'!$H$8*(SUMIF($BH$3:$CE$3,"&lt;"&amp;$DF11,$AD11:$BA11)+SUMIF($BH$3:$CE$3,"&gt;"&amp;$CW$4,$AD11:$BA11)),
IF(BT$3=$DF11+'Model Setup'!$I$7,SUMIF($BH$3:$CE$3,"="&amp;$DF11+'Model Setup'!$I$7,$AD11:$BA11)+'Model Setup'!$I$8*(SUMIF($BH$3:$CE$3,"&lt;"&amp;$DF11,$AD11:$BA11)+SUMIF($BH$3:$CE$3,"&gt;"&amp;$CW$4,$AD11:$BA11)),
IF(BT$3=$DF11+'Model Setup'!$J$7,SUMIF($BH$3:$CE$3,"="&amp;$DF11+'Model Setup'!$J$7,$AD11:$BA11)+'Model Setup'!$J$8*(SUMIF($BH$3:$CE$3,"&lt;"&amp;$DF11,$AD11:$BA11)+SUMIF($BH$3:$CE$3,"&gt;"&amp;$CW$4,$AD11:$BA11)),
IF(BT$3=$DF11+'Model Setup'!$K$7,SUMIF($BH$3:$CE$3,"="&amp;$DF11+'Model Setup'!$K$7,$AD11:$BA11)+'Model Setup'!$K$8*(SUMIF($BH$3:$CE$3,"&lt;"&amp;$DF11,$AD11:$BA11)+SUMIF($BH$3:$CE$3,"&gt;"&amp;$CW$4,$AD11:$BA11)),
IF(BT$3=$DF11+'Model Setup'!$L$7,SUMIF($BH$3:$CE$3,"="&amp;$DF11+'Model Setup'!$L$7,$AD11:$BA11)+'Model Setup'!$L$8*(SUMIF($BH$3:$CE$3,"&lt;"&amp;$DF11,$AD11:$BA11)+SUMIF($BH$3:$CE$3,"&gt;"&amp;$CW$4,$AD11:$BA11)),
IF(BT$3=$DF11+'Model Setup'!$M$7,SUMIF($BH$3:$CE$3,"="&amp;$DF11+'Model Setup'!$M$7,$AD11:$BA11)+'Model Setup'!$M$8*(SUMIF($BH$3:$CE$3,"&lt;"&amp;$DF11,$AD11:$BA11)+SUMIF($BH$3:$CE$3,"&gt;"&amp;$CW$4,$AD11:$BA11)),
IF(BT$3=$DF11+'Model Setup'!$N$7,SUMIF($BH$3:$CE$3,"="&amp;$DF11+'Model Setup'!$N$7,$AD11:$BA11)+'Model Setup'!$N$8*(SUMIF($BH$3:$CE$3,"&lt;"&amp;$DF11,$AD11:$BA11)+SUMIF($BH$3:$CE$3,"&gt;"&amp;$CW$4,$AD11:$BA11)),
IF(BT$3&lt;$CW$4,N11,0))))))))))))))),0)</f>
        <v>30</v>
      </c>
      <c r="BU11" s="47">
        <f>ROUND(IF(OR(BU$3&lt;$DF11,BU$3&gt;$CW$4),0,
IF(BU$3=$DF11+'Model Setup'!$B$7,SUMIF($BH$3:$CE$3,"="&amp;$DF11+'Model Setup'!$B$7,$AD11:$BA11)+'Model Setup'!$B$8*(SUMIF($BH$3:$CE$3,"&lt;"&amp;$DF11,$AD11:$BA11)+SUMIF($BH$3:$CE$3,"&gt;"&amp;$CW$4,$AD11:$BA11)),
IF(BU$3=$DF11+'Model Setup'!$C$7,SUMIF($BH$3:$CE$3,"="&amp;$DF11+'Model Setup'!$C$7,$AD11:$BA11)+'Model Setup'!$C$8*(SUMIF($BH$3:$CE$3,"&lt;"&amp;$DF11,$AD11:$BA11)+SUMIF($BH$3:$CE$3,"&gt;"&amp;$CW$4,$AD11:$BA11)),
IF(BU$3=$DF11+'Model Setup'!$D$7,SUMIF($BH$3:$CE$3,"="&amp;$DF11+'Model Setup'!$D$7,$AD11:$BA11)+'Model Setup'!$D$8*(SUMIF($BH$3:$CE$3,"&lt;"&amp;$DF11,$AD11:$BA11)+SUMIF($BH$3:$CE$3,"&gt;"&amp;$CW$4,$AD11:$BA11)),
IF(BU$3=$DF11+'Model Setup'!$E$7,SUMIF($BH$3:$CE$3,"="&amp;$DF11+'Model Setup'!$E$7,$AD11:$BA11)+'Model Setup'!$E$8*(SUMIF($BH$3:$CE$3,"&lt;"&amp;$DF11,$AD11:$BA11)+SUMIF($BH$3:$CE$3,"&gt;"&amp;$CW$4,$AD11:$BA11)),
IF(BU$3=$DF11+'Model Setup'!$F$7,SUMIF($BH$3:$CE$3,"="&amp;$DF11+'Model Setup'!$F$7,$AD11:$BA11)+'Model Setup'!$F$8*(SUMIF($BH$3:$CE$3,"&lt;"&amp;$DF11,$AD11:$BA11)+SUMIF($BH$3:$CE$3,"&gt;"&amp;$CW$4,$AD11:$BA11)),
IF(BU$3=$DF11+'Model Setup'!$G$7,SUMIF($BH$3:$CE$3,"="&amp;$DF11+'Model Setup'!$G$7,$AD11:$BA11)+'Model Setup'!$G$8*(SUMIF($BH$3:$CE$3,"&lt;"&amp;$DF11,$AD11:$BA11)+SUMIF($BH$3:$CE$3,"&gt;"&amp;$CW$4,$AD11:$BA11)),
IF(BU$3=$DF11+'Model Setup'!$H$7,SUMIF($BH$3:$CE$3,"="&amp;$DF11+'Model Setup'!$H$7,$AD11:$BA11)+'Model Setup'!$H$8*(SUMIF($BH$3:$CE$3,"&lt;"&amp;$DF11,$AD11:$BA11)+SUMIF($BH$3:$CE$3,"&gt;"&amp;$CW$4,$AD11:$BA11)),
IF(BU$3=$DF11+'Model Setup'!$I$7,SUMIF($BH$3:$CE$3,"="&amp;$DF11+'Model Setup'!$I$7,$AD11:$BA11)+'Model Setup'!$I$8*(SUMIF($BH$3:$CE$3,"&lt;"&amp;$DF11,$AD11:$BA11)+SUMIF($BH$3:$CE$3,"&gt;"&amp;$CW$4,$AD11:$BA11)),
IF(BU$3=$DF11+'Model Setup'!$J$7,SUMIF($BH$3:$CE$3,"="&amp;$DF11+'Model Setup'!$J$7,$AD11:$BA11)+'Model Setup'!$J$8*(SUMIF($BH$3:$CE$3,"&lt;"&amp;$DF11,$AD11:$BA11)+SUMIF($BH$3:$CE$3,"&gt;"&amp;$CW$4,$AD11:$BA11)),
IF(BU$3=$DF11+'Model Setup'!$K$7,SUMIF($BH$3:$CE$3,"="&amp;$DF11+'Model Setup'!$K$7,$AD11:$BA11)+'Model Setup'!$K$8*(SUMIF($BH$3:$CE$3,"&lt;"&amp;$DF11,$AD11:$BA11)+SUMIF($BH$3:$CE$3,"&gt;"&amp;$CW$4,$AD11:$BA11)),
IF(BU$3=$DF11+'Model Setup'!$L$7,SUMIF($BH$3:$CE$3,"="&amp;$DF11+'Model Setup'!$L$7,$AD11:$BA11)+'Model Setup'!$L$8*(SUMIF($BH$3:$CE$3,"&lt;"&amp;$DF11,$AD11:$BA11)+SUMIF($BH$3:$CE$3,"&gt;"&amp;$CW$4,$AD11:$BA11)),
IF(BU$3=$DF11+'Model Setup'!$M$7,SUMIF($BH$3:$CE$3,"="&amp;$DF11+'Model Setup'!$M$7,$AD11:$BA11)+'Model Setup'!$M$8*(SUMIF($BH$3:$CE$3,"&lt;"&amp;$DF11,$AD11:$BA11)+SUMIF($BH$3:$CE$3,"&gt;"&amp;$CW$4,$AD11:$BA11)),
IF(BU$3=$DF11+'Model Setup'!$N$7,SUMIF($BH$3:$CE$3,"="&amp;$DF11+'Model Setup'!$N$7,$AD11:$BA11)+'Model Setup'!$N$8*(SUMIF($BH$3:$CE$3,"&lt;"&amp;$DF11,$AD11:$BA11)+SUMIF($BH$3:$CE$3,"&gt;"&amp;$CW$4,$AD11:$BA11)),
IF(BU$3&lt;$CW$4,O11,0))))))))))))))),0)</f>
        <v>26</v>
      </c>
      <c r="BV11" s="47">
        <f>ROUND(IF(OR(BV$3&lt;$DF11,BV$3&gt;$CW$4),0,
IF(BV$3=$DF11+'Model Setup'!$B$7,SUMIF($BH$3:$CE$3,"="&amp;$DF11+'Model Setup'!$B$7,$AD11:$BA11)+'Model Setup'!$B$8*(SUMIF($BH$3:$CE$3,"&lt;"&amp;$DF11,$AD11:$BA11)+SUMIF($BH$3:$CE$3,"&gt;"&amp;$CW$4,$AD11:$BA11)),
IF(BV$3=$DF11+'Model Setup'!$C$7,SUMIF($BH$3:$CE$3,"="&amp;$DF11+'Model Setup'!$C$7,$AD11:$BA11)+'Model Setup'!$C$8*(SUMIF($BH$3:$CE$3,"&lt;"&amp;$DF11,$AD11:$BA11)+SUMIF($BH$3:$CE$3,"&gt;"&amp;$CW$4,$AD11:$BA11)),
IF(BV$3=$DF11+'Model Setup'!$D$7,SUMIF($BH$3:$CE$3,"="&amp;$DF11+'Model Setup'!$D$7,$AD11:$BA11)+'Model Setup'!$D$8*(SUMIF($BH$3:$CE$3,"&lt;"&amp;$DF11,$AD11:$BA11)+SUMIF($BH$3:$CE$3,"&gt;"&amp;$CW$4,$AD11:$BA11)),
IF(BV$3=$DF11+'Model Setup'!$E$7,SUMIF($BH$3:$CE$3,"="&amp;$DF11+'Model Setup'!$E$7,$AD11:$BA11)+'Model Setup'!$E$8*(SUMIF($BH$3:$CE$3,"&lt;"&amp;$DF11,$AD11:$BA11)+SUMIF($BH$3:$CE$3,"&gt;"&amp;$CW$4,$AD11:$BA11)),
IF(BV$3=$DF11+'Model Setup'!$F$7,SUMIF($BH$3:$CE$3,"="&amp;$DF11+'Model Setup'!$F$7,$AD11:$BA11)+'Model Setup'!$F$8*(SUMIF($BH$3:$CE$3,"&lt;"&amp;$DF11,$AD11:$BA11)+SUMIF($BH$3:$CE$3,"&gt;"&amp;$CW$4,$AD11:$BA11)),
IF(BV$3=$DF11+'Model Setup'!$G$7,SUMIF($BH$3:$CE$3,"="&amp;$DF11+'Model Setup'!$G$7,$AD11:$BA11)+'Model Setup'!$G$8*(SUMIF($BH$3:$CE$3,"&lt;"&amp;$DF11,$AD11:$BA11)+SUMIF($BH$3:$CE$3,"&gt;"&amp;$CW$4,$AD11:$BA11)),
IF(BV$3=$DF11+'Model Setup'!$H$7,SUMIF($BH$3:$CE$3,"="&amp;$DF11+'Model Setup'!$H$7,$AD11:$BA11)+'Model Setup'!$H$8*(SUMIF($BH$3:$CE$3,"&lt;"&amp;$DF11,$AD11:$BA11)+SUMIF($BH$3:$CE$3,"&gt;"&amp;$CW$4,$AD11:$BA11)),
IF(BV$3=$DF11+'Model Setup'!$I$7,SUMIF($BH$3:$CE$3,"="&amp;$DF11+'Model Setup'!$I$7,$AD11:$BA11)+'Model Setup'!$I$8*(SUMIF($BH$3:$CE$3,"&lt;"&amp;$DF11,$AD11:$BA11)+SUMIF($BH$3:$CE$3,"&gt;"&amp;$CW$4,$AD11:$BA11)),
IF(BV$3=$DF11+'Model Setup'!$J$7,SUMIF($BH$3:$CE$3,"="&amp;$DF11+'Model Setup'!$J$7,$AD11:$BA11)+'Model Setup'!$J$8*(SUMIF($BH$3:$CE$3,"&lt;"&amp;$DF11,$AD11:$BA11)+SUMIF($BH$3:$CE$3,"&gt;"&amp;$CW$4,$AD11:$BA11)),
IF(BV$3=$DF11+'Model Setup'!$K$7,SUMIF($BH$3:$CE$3,"="&amp;$DF11+'Model Setup'!$K$7,$AD11:$BA11)+'Model Setup'!$K$8*(SUMIF($BH$3:$CE$3,"&lt;"&amp;$DF11,$AD11:$BA11)+SUMIF($BH$3:$CE$3,"&gt;"&amp;$CW$4,$AD11:$BA11)),
IF(BV$3=$DF11+'Model Setup'!$L$7,SUMIF($BH$3:$CE$3,"="&amp;$DF11+'Model Setup'!$L$7,$AD11:$BA11)+'Model Setup'!$L$8*(SUMIF($BH$3:$CE$3,"&lt;"&amp;$DF11,$AD11:$BA11)+SUMIF($BH$3:$CE$3,"&gt;"&amp;$CW$4,$AD11:$BA11)),
IF(BV$3=$DF11+'Model Setup'!$M$7,SUMIF($BH$3:$CE$3,"="&amp;$DF11+'Model Setup'!$M$7,$AD11:$BA11)+'Model Setup'!$M$8*(SUMIF($BH$3:$CE$3,"&lt;"&amp;$DF11,$AD11:$BA11)+SUMIF($BH$3:$CE$3,"&gt;"&amp;$CW$4,$AD11:$BA11)),
IF(BV$3=$DF11+'Model Setup'!$N$7,SUMIF($BH$3:$CE$3,"="&amp;$DF11+'Model Setup'!$N$7,$AD11:$BA11)+'Model Setup'!$N$8*(SUMIF($BH$3:$CE$3,"&lt;"&amp;$DF11,$AD11:$BA11)+SUMIF($BH$3:$CE$3,"&gt;"&amp;$CW$4,$AD11:$BA11)),
IF(BV$3&lt;$CW$4,P11,0))))))))))))))),0)</f>
        <v>20</v>
      </c>
      <c r="BW11" s="47">
        <f>ROUND(IF(OR(BW$3&lt;$DF11,BW$3&gt;$CW$4),0,
IF(BW$3=$DF11+'Model Setup'!$B$7,SUMIF($BH$3:$CE$3,"="&amp;$DF11+'Model Setup'!$B$7,$AD11:$BA11)+'Model Setup'!$B$8*(SUMIF($BH$3:$CE$3,"&lt;"&amp;$DF11,$AD11:$BA11)+SUMIF($BH$3:$CE$3,"&gt;"&amp;$CW$4,$AD11:$BA11)),
IF(BW$3=$DF11+'Model Setup'!$C$7,SUMIF($BH$3:$CE$3,"="&amp;$DF11+'Model Setup'!$C$7,$AD11:$BA11)+'Model Setup'!$C$8*(SUMIF($BH$3:$CE$3,"&lt;"&amp;$DF11,$AD11:$BA11)+SUMIF($BH$3:$CE$3,"&gt;"&amp;$CW$4,$AD11:$BA11)),
IF(BW$3=$DF11+'Model Setup'!$D$7,SUMIF($BH$3:$CE$3,"="&amp;$DF11+'Model Setup'!$D$7,$AD11:$BA11)+'Model Setup'!$D$8*(SUMIF($BH$3:$CE$3,"&lt;"&amp;$DF11,$AD11:$BA11)+SUMIF($BH$3:$CE$3,"&gt;"&amp;$CW$4,$AD11:$BA11)),
IF(BW$3=$DF11+'Model Setup'!$E$7,SUMIF($BH$3:$CE$3,"="&amp;$DF11+'Model Setup'!$E$7,$AD11:$BA11)+'Model Setup'!$E$8*(SUMIF($BH$3:$CE$3,"&lt;"&amp;$DF11,$AD11:$BA11)+SUMIF($BH$3:$CE$3,"&gt;"&amp;$CW$4,$AD11:$BA11)),
IF(BW$3=$DF11+'Model Setup'!$F$7,SUMIF($BH$3:$CE$3,"="&amp;$DF11+'Model Setup'!$F$7,$AD11:$BA11)+'Model Setup'!$F$8*(SUMIF($BH$3:$CE$3,"&lt;"&amp;$DF11,$AD11:$BA11)+SUMIF($BH$3:$CE$3,"&gt;"&amp;$CW$4,$AD11:$BA11)),
IF(BW$3=$DF11+'Model Setup'!$G$7,SUMIF($BH$3:$CE$3,"="&amp;$DF11+'Model Setup'!$G$7,$AD11:$BA11)+'Model Setup'!$G$8*(SUMIF($BH$3:$CE$3,"&lt;"&amp;$DF11,$AD11:$BA11)+SUMIF($BH$3:$CE$3,"&gt;"&amp;$CW$4,$AD11:$BA11)),
IF(BW$3=$DF11+'Model Setup'!$H$7,SUMIF($BH$3:$CE$3,"="&amp;$DF11+'Model Setup'!$H$7,$AD11:$BA11)+'Model Setup'!$H$8*(SUMIF($BH$3:$CE$3,"&lt;"&amp;$DF11,$AD11:$BA11)+SUMIF($BH$3:$CE$3,"&gt;"&amp;$CW$4,$AD11:$BA11)),
IF(BW$3=$DF11+'Model Setup'!$I$7,SUMIF($BH$3:$CE$3,"="&amp;$DF11+'Model Setup'!$I$7,$AD11:$BA11)+'Model Setup'!$I$8*(SUMIF($BH$3:$CE$3,"&lt;"&amp;$DF11,$AD11:$BA11)+SUMIF($BH$3:$CE$3,"&gt;"&amp;$CW$4,$AD11:$BA11)),
IF(BW$3=$DF11+'Model Setup'!$J$7,SUMIF($BH$3:$CE$3,"="&amp;$DF11+'Model Setup'!$J$7,$AD11:$BA11)+'Model Setup'!$J$8*(SUMIF($BH$3:$CE$3,"&lt;"&amp;$DF11,$AD11:$BA11)+SUMIF($BH$3:$CE$3,"&gt;"&amp;$CW$4,$AD11:$BA11)),
IF(BW$3=$DF11+'Model Setup'!$K$7,SUMIF($BH$3:$CE$3,"="&amp;$DF11+'Model Setup'!$K$7,$AD11:$BA11)+'Model Setup'!$K$8*(SUMIF($BH$3:$CE$3,"&lt;"&amp;$DF11,$AD11:$BA11)+SUMIF($BH$3:$CE$3,"&gt;"&amp;$CW$4,$AD11:$BA11)),
IF(BW$3=$DF11+'Model Setup'!$L$7,SUMIF($BH$3:$CE$3,"="&amp;$DF11+'Model Setup'!$L$7,$AD11:$BA11)+'Model Setup'!$L$8*(SUMIF($BH$3:$CE$3,"&lt;"&amp;$DF11,$AD11:$BA11)+SUMIF($BH$3:$CE$3,"&gt;"&amp;$CW$4,$AD11:$BA11)),
IF(BW$3=$DF11+'Model Setup'!$M$7,SUMIF($BH$3:$CE$3,"="&amp;$DF11+'Model Setup'!$M$7,$AD11:$BA11)+'Model Setup'!$M$8*(SUMIF($BH$3:$CE$3,"&lt;"&amp;$DF11,$AD11:$BA11)+SUMIF($BH$3:$CE$3,"&gt;"&amp;$CW$4,$AD11:$BA11)),
IF(BW$3=$DF11+'Model Setup'!$N$7,SUMIF($BH$3:$CE$3,"="&amp;$DF11+'Model Setup'!$N$7,$AD11:$BA11)+'Model Setup'!$N$8*(SUMIF($BH$3:$CE$3,"&lt;"&amp;$DF11,$AD11:$BA11)+SUMIF($BH$3:$CE$3,"&gt;"&amp;$CW$4,$AD11:$BA11)),
IF(BW$3&lt;$CW$4,Q11,0))))))))))))))),0)</f>
        <v>27</v>
      </c>
      <c r="BX11" s="47">
        <f>ROUND(IF(OR(BX$3&lt;$DF11,BX$3&gt;$CW$4),0,
IF(BX$3=$DF11+'Model Setup'!$B$7,SUMIF($BH$3:$CE$3,"="&amp;$DF11+'Model Setup'!$B$7,$AD11:$BA11)+'Model Setup'!$B$8*(SUMIF($BH$3:$CE$3,"&lt;"&amp;$DF11,$AD11:$BA11)+SUMIF($BH$3:$CE$3,"&gt;"&amp;$CW$4,$AD11:$BA11)),
IF(BX$3=$DF11+'Model Setup'!$C$7,SUMIF($BH$3:$CE$3,"="&amp;$DF11+'Model Setup'!$C$7,$AD11:$BA11)+'Model Setup'!$C$8*(SUMIF($BH$3:$CE$3,"&lt;"&amp;$DF11,$AD11:$BA11)+SUMIF($BH$3:$CE$3,"&gt;"&amp;$CW$4,$AD11:$BA11)),
IF(BX$3=$DF11+'Model Setup'!$D$7,SUMIF($BH$3:$CE$3,"="&amp;$DF11+'Model Setup'!$D$7,$AD11:$BA11)+'Model Setup'!$D$8*(SUMIF($BH$3:$CE$3,"&lt;"&amp;$DF11,$AD11:$BA11)+SUMIF($BH$3:$CE$3,"&gt;"&amp;$CW$4,$AD11:$BA11)),
IF(BX$3=$DF11+'Model Setup'!$E$7,SUMIF($BH$3:$CE$3,"="&amp;$DF11+'Model Setup'!$E$7,$AD11:$BA11)+'Model Setup'!$E$8*(SUMIF($BH$3:$CE$3,"&lt;"&amp;$DF11,$AD11:$BA11)+SUMIF($BH$3:$CE$3,"&gt;"&amp;$CW$4,$AD11:$BA11)),
IF(BX$3=$DF11+'Model Setup'!$F$7,SUMIF($BH$3:$CE$3,"="&amp;$DF11+'Model Setup'!$F$7,$AD11:$BA11)+'Model Setup'!$F$8*(SUMIF($BH$3:$CE$3,"&lt;"&amp;$DF11,$AD11:$BA11)+SUMIF($BH$3:$CE$3,"&gt;"&amp;$CW$4,$AD11:$BA11)),
IF(BX$3=$DF11+'Model Setup'!$G$7,SUMIF($BH$3:$CE$3,"="&amp;$DF11+'Model Setup'!$G$7,$AD11:$BA11)+'Model Setup'!$G$8*(SUMIF($BH$3:$CE$3,"&lt;"&amp;$DF11,$AD11:$BA11)+SUMIF($BH$3:$CE$3,"&gt;"&amp;$CW$4,$AD11:$BA11)),
IF(BX$3=$DF11+'Model Setup'!$H$7,SUMIF($BH$3:$CE$3,"="&amp;$DF11+'Model Setup'!$H$7,$AD11:$BA11)+'Model Setup'!$H$8*(SUMIF($BH$3:$CE$3,"&lt;"&amp;$DF11,$AD11:$BA11)+SUMIF($BH$3:$CE$3,"&gt;"&amp;$CW$4,$AD11:$BA11)),
IF(BX$3=$DF11+'Model Setup'!$I$7,SUMIF($BH$3:$CE$3,"="&amp;$DF11+'Model Setup'!$I$7,$AD11:$BA11)+'Model Setup'!$I$8*(SUMIF($BH$3:$CE$3,"&lt;"&amp;$DF11,$AD11:$BA11)+SUMIF($BH$3:$CE$3,"&gt;"&amp;$CW$4,$AD11:$BA11)),
IF(BX$3=$DF11+'Model Setup'!$J$7,SUMIF($BH$3:$CE$3,"="&amp;$DF11+'Model Setup'!$J$7,$AD11:$BA11)+'Model Setup'!$J$8*(SUMIF($BH$3:$CE$3,"&lt;"&amp;$DF11,$AD11:$BA11)+SUMIF($BH$3:$CE$3,"&gt;"&amp;$CW$4,$AD11:$BA11)),
IF(BX$3=$DF11+'Model Setup'!$K$7,SUMIF($BH$3:$CE$3,"="&amp;$DF11+'Model Setup'!$K$7,$AD11:$BA11)+'Model Setup'!$K$8*(SUMIF($BH$3:$CE$3,"&lt;"&amp;$DF11,$AD11:$BA11)+SUMIF($BH$3:$CE$3,"&gt;"&amp;$CW$4,$AD11:$BA11)),
IF(BX$3=$DF11+'Model Setup'!$L$7,SUMIF($BH$3:$CE$3,"="&amp;$DF11+'Model Setup'!$L$7,$AD11:$BA11)+'Model Setup'!$L$8*(SUMIF($BH$3:$CE$3,"&lt;"&amp;$DF11,$AD11:$BA11)+SUMIF($BH$3:$CE$3,"&gt;"&amp;$CW$4,$AD11:$BA11)),
IF(BX$3=$DF11+'Model Setup'!$M$7,SUMIF($BH$3:$CE$3,"="&amp;$DF11+'Model Setup'!$M$7,$AD11:$BA11)+'Model Setup'!$M$8*(SUMIF($BH$3:$CE$3,"&lt;"&amp;$DF11,$AD11:$BA11)+SUMIF($BH$3:$CE$3,"&gt;"&amp;$CW$4,$AD11:$BA11)),
IF(BX$3=$DF11+'Model Setup'!$N$7,SUMIF($BH$3:$CE$3,"="&amp;$DF11+'Model Setup'!$N$7,$AD11:$BA11)+'Model Setup'!$N$8*(SUMIF($BH$3:$CE$3,"&lt;"&amp;$DF11,$AD11:$BA11)+SUMIF($BH$3:$CE$3,"&gt;"&amp;$CW$4,$AD11:$BA11)),
IF(BX$3&lt;$CW$4,R11,0))))))))))))))),0)</f>
        <v>31</v>
      </c>
      <c r="BY11" s="47">
        <f>ROUND(IF(OR(BY$3&lt;$DF11,BY$3&gt;$CW$4),0,
IF(BY$3=$DF11+'Model Setup'!$B$7,SUMIF($BH$3:$CE$3,"="&amp;$DF11+'Model Setup'!$B$7,$AD11:$BA11)+'Model Setup'!$B$8*(SUMIF($BH$3:$CE$3,"&lt;"&amp;$DF11,$AD11:$BA11)+SUMIF($BH$3:$CE$3,"&gt;"&amp;$CW$4,$AD11:$BA11)),
IF(BY$3=$DF11+'Model Setup'!$C$7,SUMIF($BH$3:$CE$3,"="&amp;$DF11+'Model Setup'!$C$7,$AD11:$BA11)+'Model Setup'!$C$8*(SUMIF($BH$3:$CE$3,"&lt;"&amp;$DF11,$AD11:$BA11)+SUMIF($BH$3:$CE$3,"&gt;"&amp;$CW$4,$AD11:$BA11)),
IF(BY$3=$DF11+'Model Setup'!$D$7,SUMIF($BH$3:$CE$3,"="&amp;$DF11+'Model Setup'!$D$7,$AD11:$BA11)+'Model Setup'!$D$8*(SUMIF($BH$3:$CE$3,"&lt;"&amp;$DF11,$AD11:$BA11)+SUMIF($BH$3:$CE$3,"&gt;"&amp;$CW$4,$AD11:$BA11)),
IF(BY$3=$DF11+'Model Setup'!$E$7,SUMIF($BH$3:$CE$3,"="&amp;$DF11+'Model Setup'!$E$7,$AD11:$BA11)+'Model Setup'!$E$8*(SUMIF($BH$3:$CE$3,"&lt;"&amp;$DF11,$AD11:$BA11)+SUMIF($BH$3:$CE$3,"&gt;"&amp;$CW$4,$AD11:$BA11)),
IF(BY$3=$DF11+'Model Setup'!$F$7,SUMIF($BH$3:$CE$3,"="&amp;$DF11+'Model Setup'!$F$7,$AD11:$BA11)+'Model Setup'!$F$8*(SUMIF($BH$3:$CE$3,"&lt;"&amp;$DF11,$AD11:$BA11)+SUMIF($BH$3:$CE$3,"&gt;"&amp;$CW$4,$AD11:$BA11)),
IF(BY$3=$DF11+'Model Setup'!$G$7,SUMIF($BH$3:$CE$3,"="&amp;$DF11+'Model Setup'!$G$7,$AD11:$BA11)+'Model Setup'!$G$8*(SUMIF($BH$3:$CE$3,"&lt;"&amp;$DF11,$AD11:$BA11)+SUMIF($BH$3:$CE$3,"&gt;"&amp;$CW$4,$AD11:$BA11)),
IF(BY$3=$DF11+'Model Setup'!$H$7,SUMIF($BH$3:$CE$3,"="&amp;$DF11+'Model Setup'!$H$7,$AD11:$BA11)+'Model Setup'!$H$8*(SUMIF($BH$3:$CE$3,"&lt;"&amp;$DF11,$AD11:$BA11)+SUMIF($BH$3:$CE$3,"&gt;"&amp;$CW$4,$AD11:$BA11)),
IF(BY$3=$DF11+'Model Setup'!$I$7,SUMIF($BH$3:$CE$3,"="&amp;$DF11+'Model Setup'!$I$7,$AD11:$BA11)+'Model Setup'!$I$8*(SUMIF($BH$3:$CE$3,"&lt;"&amp;$DF11,$AD11:$BA11)+SUMIF($BH$3:$CE$3,"&gt;"&amp;$CW$4,$AD11:$BA11)),
IF(BY$3=$DF11+'Model Setup'!$J$7,SUMIF($BH$3:$CE$3,"="&amp;$DF11+'Model Setup'!$J$7,$AD11:$BA11)+'Model Setup'!$J$8*(SUMIF($BH$3:$CE$3,"&lt;"&amp;$DF11,$AD11:$BA11)+SUMIF($BH$3:$CE$3,"&gt;"&amp;$CW$4,$AD11:$BA11)),
IF(BY$3=$DF11+'Model Setup'!$K$7,SUMIF($BH$3:$CE$3,"="&amp;$DF11+'Model Setup'!$K$7,$AD11:$BA11)+'Model Setup'!$K$8*(SUMIF($BH$3:$CE$3,"&lt;"&amp;$DF11,$AD11:$BA11)+SUMIF($BH$3:$CE$3,"&gt;"&amp;$CW$4,$AD11:$BA11)),
IF(BY$3=$DF11+'Model Setup'!$L$7,SUMIF($BH$3:$CE$3,"="&amp;$DF11+'Model Setup'!$L$7,$AD11:$BA11)+'Model Setup'!$L$8*(SUMIF($BH$3:$CE$3,"&lt;"&amp;$DF11,$AD11:$BA11)+SUMIF($BH$3:$CE$3,"&gt;"&amp;$CW$4,$AD11:$BA11)),
IF(BY$3=$DF11+'Model Setup'!$M$7,SUMIF($BH$3:$CE$3,"="&amp;$DF11+'Model Setup'!$M$7,$AD11:$BA11)+'Model Setup'!$M$8*(SUMIF($BH$3:$CE$3,"&lt;"&amp;$DF11,$AD11:$BA11)+SUMIF($BH$3:$CE$3,"&gt;"&amp;$CW$4,$AD11:$BA11)),
IF(BY$3=$DF11+'Model Setup'!$N$7,SUMIF($BH$3:$CE$3,"="&amp;$DF11+'Model Setup'!$N$7,$AD11:$BA11)+'Model Setup'!$N$8*(SUMIF($BH$3:$CE$3,"&lt;"&amp;$DF11,$AD11:$BA11)+SUMIF($BH$3:$CE$3,"&gt;"&amp;$CW$4,$AD11:$BA11)),
IF(BY$3&lt;$CW$4,S11,0))))))))))))))),0)</f>
        <v>41</v>
      </c>
      <c r="BZ11" s="47">
        <f>ROUND(IF(OR(BZ$3&lt;$DF11,BZ$3&gt;$CW$4),0,
IF(BZ$3=$DF11+'Model Setup'!$B$7,SUMIF($BH$3:$CE$3,"="&amp;$DF11+'Model Setup'!$B$7,$AD11:$BA11)+'Model Setup'!$B$8*(SUMIF($BH$3:$CE$3,"&lt;"&amp;$DF11,$AD11:$BA11)+SUMIF($BH$3:$CE$3,"&gt;"&amp;$CW$4,$AD11:$BA11)),
IF(BZ$3=$DF11+'Model Setup'!$C$7,SUMIF($BH$3:$CE$3,"="&amp;$DF11+'Model Setup'!$C$7,$AD11:$BA11)+'Model Setup'!$C$8*(SUMIF($BH$3:$CE$3,"&lt;"&amp;$DF11,$AD11:$BA11)+SUMIF($BH$3:$CE$3,"&gt;"&amp;$CW$4,$AD11:$BA11)),
IF(BZ$3=$DF11+'Model Setup'!$D$7,SUMIF($BH$3:$CE$3,"="&amp;$DF11+'Model Setup'!$D$7,$AD11:$BA11)+'Model Setup'!$D$8*(SUMIF($BH$3:$CE$3,"&lt;"&amp;$DF11,$AD11:$BA11)+SUMIF($BH$3:$CE$3,"&gt;"&amp;$CW$4,$AD11:$BA11)),
IF(BZ$3=$DF11+'Model Setup'!$E$7,SUMIF($BH$3:$CE$3,"="&amp;$DF11+'Model Setup'!$E$7,$AD11:$BA11)+'Model Setup'!$E$8*(SUMIF($BH$3:$CE$3,"&lt;"&amp;$DF11,$AD11:$BA11)+SUMIF($BH$3:$CE$3,"&gt;"&amp;$CW$4,$AD11:$BA11)),
IF(BZ$3=$DF11+'Model Setup'!$F$7,SUMIF($BH$3:$CE$3,"="&amp;$DF11+'Model Setup'!$F$7,$AD11:$BA11)+'Model Setup'!$F$8*(SUMIF($BH$3:$CE$3,"&lt;"&amp;$DF11,$AD11:$BA11)+SUMIF($BH$3:$CE$3,"&gt;"&amp;$CW$4,$AD11:$BA11)),
IF(BZ$3=$DF11+'Model Setup'!$G$7,SUMIF($BH$3:$CE$3,"="&amp;$DF11+'Model Setup'!$G$7,$AD11:$BA11)+'Model Setup'!$G$8*(SUMIF($BH$3:$CE$3,"&lt;"&amp;$DF11,$AD11:$BA11)+SUMIF($BH$3:$CE$3,"&gt;"&amp;$CW$4,$AD11:$BA11)),
IF(BZ$3=$DF11+'Model Setup'!$H$7,SUMIF($BH$3:$CE$3,"="&amp;$DF11+'Model Setup'!$H$7,$AD11:$BA11)+'Model Setup'!$H$8*(SUMIF($BH$3:$CE$3,"&lt;"&amp;$DF11,$AD11:$BA11)+SUMIF($BH$3:$CE$3,"&gt;"&amp;$CW$4,$AD11:$BA11)),
IF(BZ$3=$DF11+'Model Setup'!$I$7,SUMIF($BH$3:$CE$3,"="&amp;$DF11+'Model Setup'!$I$7,$AD11:$BA11)+'Model Setup'!$I$8*(SUMIF($BH$3:$CE$3,"&lt;"&amp;$DF11,$AD11:$BA11)+SUMIF($BH$3:$CE$3,"&gt;"&amp;$CW$4,$AD11:$BA11)),
IF(BZ$3=$DF11+'Model Setup'!$J$7,SUMIF($BH$3:$CE$3,"="&amp;$DF11+'Model Setup'!$J$7,$AD11:$BA11)+'Model Setup'!$J$8*(SUMIF($BH$3:$CE$3,"&lt;"&amp;$DF11,$AD11:$BA11)+SUMIF($BH$3:$CE$3,"&gt;"&amp;$CW$4,$AD11:$BA11)),
IF(BZ$3=$DF11+'Model Setup'!$K$7,SUMIF($BH$3:$CE$3,"="&amp;$DF11+'Model Setup'!$K$7,$AD11:$BA11)+'Model Setup'!$K$8*(SUMIF($BH$3:$CE$3,"&lt;"&amp;$DF11,$AD11:$BA11)+SUMIF($BH$3:$CE$3,"&gt;"&amp;$CW$4,$AD11:$BA11)),
IF(BZ$3=$DF11+'Model Setup'!$L$7,SUMIF($BH$3:$CE$3,"="&amp;$DF11+'Model Setup'!$L$7,$AD11:$BA11)+'Model Setup'!$L$8*(SUMIF($BH$3:$CE$3,"&lt;"&amp;$DF11,$AD11:$BA11)+SUMIF($BH$3:$CE$3,"&gt;"&amp;$CW$4,$AD11:$BA11)),
IF(BZ$3=$DF11+'Model Setup'!$M$7,SUMIF($BH$3:$CE$3,"="&amp;$DF11+'Model Setup'!$M$7,$AD11:$BA11)+'Model Setup'!$M$8*(SUMIF($BH$3:$CE$3,"&lt;"&amp;$DF11,$AD11:$BA11)+SUMIF($BH$3:$CE$3,"&gt;"&amp;$CW$4,$AD11:$BA11)),
IF(BZ$3=$DF11+'Model Setup'!$N$7,SUMIF($BH$3:$CE$3,"="&amp;$DF11+'Model Setup'!$N$7,$AD11:$BA11)+'Model Setup'!$N$8*(SUMIF($BH$3:$CE$3,"&lt;"&amp;$DF11,$AD11:$BA11)+SUMIF($BH$3:$CE$3,"&gt;"&amp;$CW$4,$AD11:$BA11)),
IF(BZ$3&lt;$CW$4,T11,0))))))))))))))),0)</f>
        <v>30</v>
      </c>
      <c r="CA11" s="47">
        <f>ROUND(IF(OR(CA$3&lt;$DF11,CA$3&gt;$CW$4),0,
IF(CA$3=$DF11+'Model Setup'!$B$7,SUMIF($BH$3:$CE$3,"="&amp;$DF11+'Model Setup'!$B$7,$AD11:$BA11)+'Model Setup'!$B$8*(SUMIF($BH$3:$CE$3,"&lt;"&amp;$DF11,$AD11:$BA11)+SUMIF($BH$3:$CE$3,"&gt;"&amp;$CW$4,$AD11:$BA11)),
IF(CA$3=$DF11+'Model Setup'!$C$7,SUMIF($BH$3:$CE$3,"="&amp;$DF11+'Model Setup'!$C$7,$AD11:$BA11)+'Model Setup'!$C$8*(SUMIF($BH$3:$CE$3,"&lt;"&amp;$DF11,$AD11:$BA11)+SUMIF($BH$3:$CE$3,"&gt;"&amp;$CW$4,$AD11:$BA11)),
IF(CA$3=$DF11+'Model Setup'!$D$7,SUMIF($BH$3:$CE$3,"="&amp;$DF11+'Model Setup'!$D$7,$AD11:$BA11)+'Model Setup'!$D$8*(SUMIF($BH$3:$CE$3,"&lt;"&amp;$DF11,$AD11:$BA11)+SUMIF($BH$3:$CE$3,"&gt;"&amp;$CW$4,$AD11:$BA11)),
IF(CA$3=$DF11+'Model Setup'!$E$7,SUMIF($BH$3:$CE$3,"="&amp;$DF11+'Model Setup'!$E$7,$AD11:$BA11)+'Model Setup'!$E$8*(SUMIF($BH$3:$CE$3,"&lt;"&amp;$DF11,$AD11:$BA11)+SUMIF($BH$3:$CE$3,"&gt;"&amp;$CW$4,$AD11:$BA11)),
IF(CA$3=$DF11+'Model Setup'!$F$7,SUMIF($BH$3:$CE$3,"="&amp;$DF11+'Model Setup'!$F$7,$AD11:$BA11)+'Model Setup'!$F$8*(SUMIF($BH$3:$CE$3,"&lt;"&amp;$DF11,$AD11:$BA11)+SUMIF($BH$3:$CE$3,"&gt;"&amp;$CW$4,$AD11:$BA11)),
IF(CA$3=$DF11+'Model Setup'!$G$7,SUMIF($BH$3:$CE$3,"="&amp;$DF11+'Model Setup'!$G$7,$AD11:$BA11)+'Model Setup'!$G$8*(SUMIF($BH$3:$CE$3,"&lt;"&amp;$DF11,$AD11:$BA11)+SUMIF($BH$3:$CE$3,"&gt;"&amp;$CW$4,$AD11:$BA11)),
IF(CA$3=$DF11+'Model Setup'!$H$7,SUMIF($BH$3:$CE$3,"="&amp;$DF11+'Model Setup'!$H$7,$AD11:$BA11)+'Model Setup'!$H$8*(SUMIF($BH$3:$CE$3,"&lt;"&amp;$DF11,$AD11:$BA11)+SUMIF($BH$3:$CE$3,"&gt;"&amp;$CW$4,$AD11:$BA11)),
IF(CA$3=$DF11+'Model Setup'!$I$7,SUMIF($BH$3:$CE$3,"="&amp;$DF11+'Model Setup'!$I$7,$AD11:$BA11)+'Model Setup'!$I$8*(SUMIF($BH$3:$CE$3,"&lt;"&amp;$DF11,$AD11:$BA11)+SUMIF($BH$3:$CE$3,"&gt;"&amp;$CW$4,$AD11:$BA11)),
IF(CA$3=$DF11+'Model Setup'!$J$7,SUMIF($BH$3:$CE$3,"="&amp;$DF11+'Model Setup'!$J$7,$AD11:$BA11)+'Model Setup'!$J$8*(SUMIF($BH$3:$CE$3,"&lt;"&amp;$DF11,$AD11:$BA11)+SUMIF($BH$3:$CE$3,"&gt;"&amp;$CW$4,$AD11:$BA11)),
IF(CA$3=$DF11+'Model Setup'!$K$7,SUMIF($BH$3:$CE$3,"="&amp;$DF11+'Model Setup'!$K$7,$AD11:$BA11)+'Model Setup'!$K$8*(SUMIF($BH$3:$CE$3,"&lt;"&amp;$DF11,$AD11:$BA11)+SUMIF($BH$3:$CE$3,"&gt;"&amp;$CW$4,$AD11:$BA11)),
IF(CA$3=$DF11+'Model Setup'!$L$7,SUMIF($BH$3:$CE$3,"="&amp;$DF11+'Model Setup'!$L$7,$AD11:$BA11)+'Model Setup'!$L$8*(SUMIF($BH$3:$CE$3,"&lt;"&amp;$DF11,$AD11:$BA11)+SUMIF($BH$3:$CE$3,"&gt;"&amp;$CW$4,$AD11:$BA11)),
IF(CA$3=$DF11+'Model Setup'!$M$7,SUMIF($BH$3:$CE$3,"="&amp;$DF11+'Model Setup'!$M$7,$AD11:$BA11)+'Model Setup'!$M$8*(SUMIF($BH$3:$CE$3,"&lt;"&amp;$DF11,$AD11:$BA11)+SUMIF($BH$3:$CE$3,"&gt;"&amp;$CW$4,$AD11:$BA11)),
IF(CA$3=$DF11+'Model Setup'!$N$7,SUMIF($BH$3:$CE$3,"="&amp;$DF11+'Model Setup'!$N$7,$AD11:$BA11)+'Model Setup'!$N$8*(SUMIF($BH$3:$CE$3,"&lt;"&amp;$DF11,$AD11:$BA11)+SUMIF($BH$3:$CE$3,"&gt;"&amp;$CW$4,$AD11:$BA11)),
IF(CA$3&lt;$CW$4,U11,0))))))))))))))),0)</f>
        <v>0</v>
      </c>
      <c r="CB11" s="47">
        <f>ROUND(IF(OR(CB$3&lt;$DF11,CB$3&gt;$CW$4),0,
IF(CB$3=$DF11+'Model Setup'!$B$7,SUMIF($BH$3:$CE$3,"="&amp;$DF11+'Model Setup'!$B$7,$AD11:$BA11)+'Model Setup'!$B$8*(SUMIF($BH$3:$CE$3,"&lt;"&amp;$DF11,$AD11:$BA11)+SUMIF($BH$3:$CE$3,"&gt;"&amp;$CW$4,$AD11:$BA11)),
IF(CB$3=$DF11+'Model Setup'!$C$7,SUMIF($BH$3:$CE$3,"="&amp;$DF11+'Model Setup'!$C$7,$AD11:$BA11)+'Model Setup'!$C$8*(SUMIF($BH$3:$CE$3,"&lt;"&amp;$DF11,$AD11:$BA11)+SUMIF($BH$3:$CE$3,"&gt;"&amp;$CW$4,$AD11:$BA11)),
IF(CB$3=$DF11+'Model Setup'!$D$7,SUMIF($BH$3:$CE$3,"="&amp;$DF11+'Model Setup'!$D$7,$AD11:$BA11)+'Model Setup'!$D$8*(SUMIF($BH$3:$CE$3,"&lt;"&amp;$DF11,$AD11:$BA11)+SUMIF($BH$3:$CE$3,"&gt;"&amp;$CW$4,$AD11:$BA11)),
IF(CB$3=$DF11+'Model Setup'!$E$7,SUMIF($BH$3:$CE$3,"="&amp;$DF11+'Model Setup'!$E$7,$AD11:$BA11)+'Model Setup'!$E$8*(SUMIF($BH$3:$CE$3,"&lt;"&amp;$DF11,$AD11:$BA11)+SUMIF($BH$3:$CE$3,"&gt;"&amp;$CW$4,$AD11:$BA11)),
IF(CB$3=$DF11+'Model Setup'!$F$7,SUMIF($BH$3:$CE$3,"="&amp;$DF11+'Model Setup'!$F$7,$AD11:$BA11)+'Model Setup'!$F$8*(SUMIF($BH$3:$CE$3,"&lt;"&amp;$DF11,$AD11:$BA11)+SUMIF($BH$3:$CE$3,"&gt;"&amp;$CW$4,$AD11:$BA11)),
IF(CB$3=$DF11+'Model Setup'!$G$7,SUMIF($BH$3:$CE$3,"="&amp;$DF11+'Model Setup'!$G$7,$AD11:$BA11)+'Model Setup'!$G$8*(SUMIF($BH$3:$CE$3,"&lt;"&amp;$DF11,$AD11:$BA11)+SUMIF($BH$3:$CE$3,"&gt;"&amp;$CW$4,$AD11:$BA11)),
IF(CB$3=$DF11+'Model Setup'!$H$7,SUMIF($BH$3:$CE$3,"="&amp;$DF11+'Model Setup'!$H$7,$AD11:$BA11)+'Model Setup'!$H$8*(SUMIF($BH$3:$CE$3,"&lt;"&amp;$DF11,$AD11:$BA11)+SUMIF($BH$3:$CE$3,"&gt;"&amp;$CW$4,$AD11:$BA11)),
IF(CB$3=$DF11+'Model Setup'!$I$7,SUMIF($BH$3:$CE$3,"="&amp;$DF11+'Model Setup'!$I$7,$AD11:$BA11)+'Model Setup'!$I$8*(SUMIF($BH$3:$CE$3,"&lt;"&amp;$DF11,$AD11:$BA11)+SUMIF($BH$3:$CE$3,"&gt;"&amp;$CW$4,$AD11:$BA11)),
IF(CB$3=$DF11+'Model Setup'!$J$7,SUMIF($BH$3:$CE$3,"="&amp;$DF11+'Model Setup'!$J$7,$AD11:$BA11)+'Model Setup'!$J$8*(SUMIF($BH$3:$CE$3,"&lt;"&amp;$DF11,$AD11:$BA11)+SUMIF($BH$3:$CE$3,"&gt;"&amp;$CW$4,$AD11:$BA11)),
IF(CB$3=$DF11+'Model Setup'!$K$7,SUMIF($BH$3:$CE$3,"="&amp;$DF11+'Model Setup'!$K$7,$AD11:$BA11)+'Model Setup'!$K$8*(SUMIF($BH$3:$CE$3,"&lt;"&amp;$DF11,$AD11:$BA11)+SUMIF($BH$3:$CE$3,"&gt;"&amp;$CW$4,$AD11:$BA11)),
IF(CB$3=$DF11+'Model Setup'!$L$7,SUMIF($BH$3:$CE$3,"="&amp;$DF11+'Model Setup'!$L$7,$AD11:$BA11)+'Model Setup'!$L$8*(SUMIF($BH$3:$CE$3,"&lt;"&amp;$DF11,$AD11:$BA11)+SUMIF($BH$3:$CE$3,"&gt;"&amp;$CW$4,$AD11:$BA11)),
IF(CB$3=$DF11+'Model Setup'!$M$7,SUMIF($BH$3:$CE$3,"="&amp;$DF11+'Model Setup'!$M$7,$AD11:$BA11)+'Model Setup'!$M$8*(SUMIF($BH$3:$CE$3,"&lt;"&amp;$DF11,$AD11:$BA11)+SUMIF($BH$3:$CE$3,"&gt;"&amp;$CW$4,$AD11:$BA11)),
IF(CB$3=$DF11+'Model Setup'!$N$7,SUMIF($BH$3:$CE$3,"="&amp;$DF11+'Model Setup'!$N$7,$AD11:$BA11)+'Model Setup'!$N$8*(SUMIF($BH$3:$CE$3,"&lt;"&amp;$DF11,$AD11:$BA11)+SUMIF($BH$3:$CE$3,"&gt;"&amp;$CW$4,$AD11:$BA11)),
IF(CB$3&lt;$CW$4,V11,0))))))))))))))),0)</f>
        <v>0</v>
      </c>
      <c r="CC11" s="47">
        <f>ROUND(IF(OR(CC$3&lt;$DF11,CC$3&gt;$CW$4),0,
IF(CC$3=$DF11+'Model Setup'!$B$7,SUMIF($BH$3:$CE$3,"="&amp;$DF11+'Model Setup'!$B$7,$AD11:$BA11)+'Model Setup'!$B$8*(SUMIF($BH$3:$CE$3,"&lt;"&amp;$DF11,$AD11:$BA11)+SUMIF($BH$3:$CE$3,"&gt;"&amp;$CW$4,$AD11:$BA11)),
IF(CC$3=$DF11+'Model Setup'!$C$7,SUMIF($BH$3:$CE$3,"="&amp;$DF11+'Model Setup'!$C$7,$AD11:$BA11)+'Model Setup'!$C$8*(SUMIF($BH$3:$CE$3,"&lt;"&amp;$DF11,$AD11:$BA11)+SUMIF($BH$3:$CE$3,"&gt;"&amp;$CW$4,$AD11:$BA11)),
IF(CC$3=$DF11+'Model Setup'!$D$7,SUMIF($BH$3:$CE$3,"="&amp;$DF11+'Model Setup'!$D$7,$AD11:$BA11)+'Model Setup'!$D$8*(SUMIF($BH$3:$CE$3,"&lt;"&amp;$DF11,$AD11:$BA11)+SUMIF($BH$3:$CE$3,"&gt;"&amp;$CW$4,$AD11:$BA11)),
IF(CC$3=$DF11+'Model Setup'!$E$7,SUMIF($BH$3:$CE$3,"="&amp;$DF11+'Model Setup'!$E$7,$AD11:$BA11)+'Model Setup'!$E$8*(SUMIF($BH$3:$CE$3,"&lt;"&amp;$DF11,$AD11:$BA11)+SUMIF($BH$3:$CE$3,"&gt;"&amp;$CW$4,$AD11:$BA11)),
IF(CC$3=$DF11+'Model Setup'!$F$7,SUMIF($BH$3:$CE$3,"="&amp;$DF11+'Model Setup'!$F$7,$AD11:$BA11)+'Model Setup'!$F$8*(SUMIF($BH$3:$CE$3,"&lt;"&amp;$DF11,$AD11:$BA11)+SUMIF($BH$3:$CE$3,"&gt;"&amp;$CW$4,$AD11:$BA11)),
IF(CC$3=$DF11+'Model Setup'!$G$7,SUMIF($BH$3:$CE$3,"="&amp;$DF11+'Model Setup'!$G$7,$AD11:$BA11)+'Model Setup'!$G$8*(SUMIF($BH$3:$CE$3,"&lt;"&amp;$DF11,$AD11:$BA11)+SUMIF($BH$3:$CE$3,"&gt;"&amp;$CW$4,$AD11:$BA11)),
IF(CC$3=$DF11+'Model Setup'!$H$7,SUMIF($BH$3:$CE$3,"="&amp;$DF11+'Model Setup'!$H$7,$AD11:$BA11)+'Model Setup'!$H$8*(SUMIF($BH$3:$CE$3,"&lt;"&amp;$DF11,$AD11:$BA11)+SUMIF($BH$3:$CE$3,"&gt;"&amp;$CW$4,$AD11:$BA11)),
IF(CC$3=$DF11+'Model Setup'!$I$7,SUMIF($BH$3:$CE$3,"="&amp;$DF11+'Model Setup'!$I$7,$AD11:$BA11)+'Model Setup'!$I$8*(SUMIF($BH$3:$CE$3,"&lt;"&amp;$DF11,$AD11:$BA11)+SUMIF($BH$3:$CE$3,"&gt;"&amp;$CW$4,$AD11:$BA11)),
IF(CC$3=$DF11+'Model Setup'!$J$7,SUMIF($BH$3:$CE$3,"="&amp;$DF11+'Model Setup'!$J$7,$AD11:$BA11)+'Model Setup'!$J$8*(SUMIF($BH$3:$CE$3,"&lt;"&amp;$DF11,$AD11:$BA11)+SUMIF($BH$3:$CE$3,"&gt;"&amp;$CW$4,$AD11:$BA11)),
IF(CC$3=$DF11+'Model Setup'!$K$7,SUMIF($BH$3:$CE$3,"="&amp;$DF11+'Model Setup'!$K$7,$AD11:$BA11)+'Model Setup'!$K$8*(SUMIF($BH$3:$CE$3,"&lt;"&amp;$DF11,$AD11:$BA11)+SUMIF($BH$3:$CE$3,"&gt;"&amp;$CW$4,$AD11:$BA11)),
IF(CC$3=$DF11+'Model Setup'!$L$7,SUMIF($BH$3:$CE$3,"="&amp;$DF11+'Model Setup'!$L$7,$AD11:$BA11)+'Model Setup'!$L$8*(SUMIF($BH$3:$CE$3,"&lt;"&amp;$DF11,$AD11:$BA11)+SUMIF($BH$3:$CE$3,"&gt;"&amp;$CW$4,$AD11:$BA11)),
IF(CC$3=$DF11+'Model Setup'!$M$7,SUMIF($BH$3:$CE$3,"="&amp;$DF11+'Model Setup'!$M$7,$AD11:$BA11)+'Model Setup'!$M$8*(SUMIF($BH$3:$CE$3,"&lt;"&amp;$DF11,$AD11:$BA11)+SUMIF($BH$3:$CE$3,"&gt;"&amp;$CW$4,$AD11:$BA11)),
IF(CC$3=$DF11+'Model Setup'!$N$7,SUMIF($BH$3:$CE$3,"="&amp;$DF11+'Model Setup'!$N$7,$AD11:$BA11)+'Model Setup'!$N$8*(SUMIF($BH$3:$CE$3,"&lt;"&amp;$DF11,$AD11:$BA11)+SUMIF($BH$3:$CE$3,"&gt;"&amp;$CW$4,$AD11:$BA11)),
IF(CC$3&lt;$CW$4,W11,0))))))))))))))),0)</f>
        <v>0</v>
      </c>
      <c r="CD11" s="47">
        <f>ROUND(IF(OR(CD$3&lt;$DF11,CD$3&gt;$CW$4),0,
IF(CD$3=$DF11+'Model Setup'!$B$7,SUMIF($BH$3:$CE$3,"="&amp;$DF11+'Model Setup'!$B$7,$AD11:$BA11)+'Model Setup'!$B$8*(SUMIF($BH$3:$CE$3,"&lt;"&amp;$DF11,$AD11:$BA11)+SUMIF($BH$3:$CE$3,"&gt;"&amp;$CW$4,$AD11:$BA11)),
IF(CD$3=$DF11+'Model Setup'!$C$7,SUMIF($BH$3:$CE$3,"="&amp;$DF11+'Model Setup'!$C$7,$AD11:$BA11)+'Model Setup'!$C$8*(SUMIF($BH$3:$CE$3,"&lt;"&amp;$DF11,$AD11:$BA11)+SUMIF($BH$3:$CE$3,"&gt;"&amp;$CW$4,$AD11:$BA11)),
IF(CD$3=$DF11+'Model Setup'!$D$7,SUMIF($BH$3:$CE$3,"="&amp;$DF11+'Model Setup'!$D$7,$AD11:$BA11)+'Model Setup'!$D$8*(SUMIF($BH$3:$CE$3,"&lt;"&amp;$DF11,$AD11:$BA11)+SUMIF($BH$3:$CE$3,"&gt;"&amp;$CW$4,$AD11:$BA11)),
IF(CD$3=$DF11+'Model Setup'!$E$7,SUMIF($BH$3:$CE$3,"="&amp;$DF11+'Model Setup'!$E$7,$AD11:$BA11)+'Model Setup'!$E$8*(SUMIF($BH$3:$CE$3,"&lt;"&amp;$DF11,$AD11:$BA11)+SUMIF($BH$3:$CE$3,"&gt;"&amp;$CW$4,$AD11:$BA11)),
IF(CD$3=$DF11+'Model Setup'!$F$7,SUMIF($BH$3:$CE$3,"="&amp;$DF11+'Model Setup'!$F$7,$AD11:$BA11)+'Model Setup'!$F$8*(SUMIF($BH$3:$CE$3,"&lt;"&amp;$DF11,$AD11:$BA11)+SUMIF($BH$3:$CE$3,"&gt;"&amp;$CW$4,$AD11:$BA11)),
IF(CD$3=$DF11+'Model Setup'!$G$7,SUMIF($BH$3:$CE$3,"="&amp;$DF11+'Model Setup'!$G$7,$AD11:$BA11)+'Model Setup'!$G$8*(SUMIF($BH$3:$CE$3,"&lt;"&amp;$DF11,$AD11:$BA11)+SUMIF($BH$3:$CE$3,"&gt;"&amp;$CW$4,$AD11:$BA11)),
IF(CD$3=$DF11+'Model Setup'!$H$7,SUMIF($BH$3:$CE$3,"="&amp;$DF11+'Model Setup'!$H$7,$AD11:$BA11)+'Model Setup'!$H$8*(SUMIF($BH$3:$CE$3,"&lt;"&amp;$DF11,$AD11:$BA11)+SUMIF($BH$3:$CE$3,"&gt;"&amp;$CW$4,$AD11:$BA11)),
IF(CD$3=$DF11+'Model Setup'!$I$7,SUMIF($BH$3:$CE$3,"="&amp;$DF11+'Model Setup'!$I$7,$AD11:$BA11)+'Model Setup'!$I$8*(SUMIF($BH$3:$CE$3,"&lt;"&amp;$DF11,$AD11:$BA11)+SUMIF($BH$3:$CE$3,"&gt;"&amp;$CW$4,$AD11:$BA11)),
IF(CD$3=$DF11+'Model Setup'!$J$7,SUMIF($BH$3:$CE$3,"="&amp;$DF11+'Model Setup'!$J$7,$AD11:$BA11)+'Model Setup'!$J$8*(SUMIF($BH$3:$CE$3,"&lt;"&amp;$DF11,$AD11:$BA11)+SUMIF($BH$3:$CE$3,"&gt;"&amp;$CW$4,$AD11:$BA11)),
IF(CD$3=$DF11+'Model Setup'!$K$7,SUMIF($BH$3:$CE$3,"="&amp;$DF11+'Model Setup'!$K$7,$AD11:$BA11)+'Model Setup'!$K$8*(SUMIF($BH$3:$CE$3,"&lt;"&amp;$DF11,$AD11:$BA11)+SUMIF($BH$3:$CE$3,"&gt;"&amp;$CW$4,$AD11:$BA11)),
IF(CD$3=$DF11+'Model Setup'!$L$7,SUMIF($BH$3:$CE$3,"="&amp;$DF11+'Model Setup'!$L$7,$AD11:$BA11)+'Model Setup'!$L$8*(SUMIF($BH$3:$CE$3,"&lt;"&amp;$DF11,$AD11:$BA11)+SUMIF($BH$3:$CE$3,"&gt;"&amp;$CW$4,$AD11:$BA11)),
IF(CD$3=$DF11+'Model Setup'!$M$7,SUMIF($BH$3:$CE$3,"="&amp;$DF11+'Model Setup'!$M$7,$AD11:$BA11)+'Model Setup'!$M$8*(SUMIF($BH$3:$CE$3,"&lt;"&amp;$DF11,$AD11:$BA11)+SUMIF($BH$3:$CE$3,"&gt;"&amp;$CW$4,$AD11:$BA11)),
IF(CD$3=$DF11+'Model Setup'!$N$7,SUMIF($BH$3:$CE$3,"="&amp;$DF11+'Model Setup'!$N$7,$AD11:$BA11)+'Model Setup'!$N$8*(SUMIF($BH$3:$CE$3,"&lt;"&amp;$DF11,$AD11:$BA11)+SUMIF($BH$3:$CE$3,"&gt;"&amp;$CW$4,$AD11:$BA11)),
IF(CD$3&lt;$CW$4,X11,0))))))))))))))),0)</f>
        <v>0</v>
      </c>
      <c r="CE11" s="47">
        <f>ROUND(IF(OR(CE$3&lt;$DF11,CE$3&gt;$CW$4),0,
IF(CE$3=$DF11+'Model Setup'!$B$7,SUMIF($BH$3:$CE$3,"="&amp;$DF11+'Model Setup'!$B$7,$AD11:$BA11)+'Model Setup'!$B$8*(SUMIF($BH$3:$CE$3,"&lt;"&amp;$DF11,$AD11:$BA11)+SUMIF($BH$3:$CE$3,"&gt;"&amp;$CW$4,$AD11:$BA11)),
IF(CE$3=$DF11+'Model Setup'!$C$7,SUMIF($BH$3:$CE$3,"="&amp;$DF11+'Model Setup'!$C$7,$AD11:$BA11)+'Model Setup'!$C$8*(SUMIF($BH$3:$CE$3,"&lt;"&amp;$DF11,$AD11:$BA11)+SUMIF($BH$3:$CE$3,"&gt;"&amp;$CW$4,$AD11:$BA11)),
IF(CE$3=$DF11+'Model Setup'!$D$7,SUMIF($BH$3:$CE$3,"="&amp;$DF11+'Model Setup'!$D$7,$AD11:$BA11)+'Model Setup'!$D$8*(SUMIF($BH$3:$CE$3,"&lt;"&amp;$DF11,$AD11:$BA11)+SUMIF($BH$3:$CE$3,"&gt;"&amp;$CW$4,$AD11:$BA11)),
IF(CE$3=$DF11+'Model Setup'!$E$7,SUMIF($BH$3:$CE$3,"="&amp;$DF11+'Model Setup'!$E$7,$AD11:$BA11)+'Model Setup'!$E$8*(SUMIF($BH$3:$CE$3,"&lt;"&amp;$DF11,$AD11:$BA11)+SUMIF($BH$3:$CE$3,"&gt;"&amp;$CW$4,$AD11:$BA11)),
IF(CE$3=$DF11+'Model Setup'!$F$7,SUMIF($BH$3:$CE$3,"="&amp;$DF11+'Model Setup'!$F$7,$AD11:$BA11)+'Model Setup'!$F$8*(SUMIF($BH$3:$CE$3,"&lt;"&amp;$DF11,$AD11:$BA11)+SUMIF($BH$3:$CE$3,"&gt;"&amp;$CW$4,$AD11:$BA11)),
IF(CE$3=$DF11+'Model Setup'!$G$7,SUMIF($BH$3:$CE$3,"="&amp;$DF11+'Model Setup'!$G$7,$AD11:$BA11)+'Model Setup'!$G$8*(SUMIF($BH$3:$CE$3,"&lt;"&amp;$DF11,$AD11:$BA11)+SUMIF($BH$3:$CE$3,"&gt;"&amp;$CW$4,$AD11:$BA11)),
IF(CE$3=$DF11+'Model Setup'!$H$7,SUMIF($BH$3:$CE$3,"="&amp;$DF11+'Model Setup'!$H$7,$AD11:$BA11)+'Model Setup'!$H$8*(SUMIF($BH$3:$CE$3,"&lt;"&amp;$DF11,$AD11:$BA11)+SUMIF($BH$3:$CE$3,"&gt;"&amp;$CW$4,$AD11:$BA11)),
IF(CE$3=$DF11+'Model Setup'!$I$7,SUMIF($BH$3:$CE$3,"="&amp;$DF11+'Model Setup'!$I$7,$AD11:$BA11)+'Model Setup'!$I$8*(SUMIF($BH$3:$CE$3,"&lt;"&amp;$DF11,$AD11:$BA11)+SUMIF($BH$3:$CE$3,"&gt;"&amp;$CW$4,$AD11:$BA11)),
IF(CE$3=$DF11+'Model Setup'!$J$7,SUMIF($BH$3:$CE$3,"="&amp;$DF11+'Model Setup'!$J$7,$AD11:$BA11)+'Model Setup'!$J$8*(SUMIF($BH$3:$CE$3,"&lt;"&amp;$DF11,$AD11:$BA11)+SUMIF($BH$3:$CE$3,"&gt;"&amp;$CW$4,$AD11:$BA11)),
IF(CE$3=$DF11+'Model Setup'!$K$7,SUMIF($BH$3:$CE$3,"="&amp;$DF11+'Model Setup'!$K$7,$AD11:$BA11)+'Model Setup'!$K$8*(SUMIF($BH$3:$CE$3,"&lt;"&amp;$DF11,$AD11:$BA11)+SUMIF($BH$3:$CE$3,"&gt;"&amp;$CW$4,$AD11:$BA11)),
IF(CE$3=$DF11+'Model Setup'!$L$7,SUMIF($BH$3:$CE$3,"="&amp;$DF11+'Model Setup'!$L$7,$AD11:$BA11)+'Model Setup'!$L$8*(SUMIF($BH$3:$CE$3,"&lt;"&amp;$DF11,$AD11:$BA11)+SUMIF($BH$3:$CE$3,"&gt;"&amp;$CW$4,$AD11:$BA11)),
IF(CE$3=$DF11+'Model Setup'!$M$7,SUMIF($BH$3:$CE$3,"="&amp;$DF11+'Model Setup'!$M$7,$AD11:$BA11)+'Model Setup'!$M$8*(SUMIF($BH$3:$CE$3,"&lt;"&amp;$DF11,$AD11:$BA11)+SUMIF($BH$3:$CE$3,"&gt;"&amp;$CW$4,$AD11:$BA11)),
IF(CE$3=$DF11+'Model Setup'!$N$7,SUMIF($BH$3:$CE$3,"="&amp;$DF11+'Model Setup'!$N$7,$AD11:$BA11)+'Model Setup'!$N$8*(SUMIF($BH$3:$CE$3,"&lt;"&amp;$DF11,$AD11:$BA11)+SUMIF($BH$3:$CE$3,"&gt;"&amp;$CW$4,$AD11:$BA11)),
IF(CE$3&lt;$CW$4,Y11,0))))))))))))))),0)</f>
        <v>0</v>
      </c>
      <c r="CF11" s="47">
        <f t="shared" si="3"/>
        <v>683</v>
      </c>
      <c r="CG11" s="47">
        <f t="shared" si="4"/>
        <v>0</v>
      </c>
      <c r="CI11" s="10" t="s">
        <v>26</v>
      </c>
      <c r="CJ11" s="126">
        <f t="shared" si="9"/>
        <v>0</v>
      </c>
      <c r="CK11" s="126">
        <f t="shared" si="10"/>
        <v>67</v>
      </c>
      <c r="CL11" s="126">
        <f t="shared" si="11"/>
        <v>101</v>
      </c>
      <c r="CM11" s="126">
        <f t="shared" si="12"/>
        <v>99</v>
      </c>
      <c r="CN11" s="126">
        <f t="shared" si="13"/>
        <v>94</v>
      </c>
      <c r="CO11" s="126">
        <f t="shared" si="14"/>
        <v>69</v>
      </c>
      <c r="CP11" s="126">
        <f t="shared" si="15"/>
        <v>48</v>
      </c>
      <c r="CQ11" s="126">
        <f t="shared" si="16"/>
        <v>30</v>
      </c>
      <c r="CR11" s="126">
        <f t="shared" si="17"/>
        <v>26</v>
      </c>
      <c r="CS11" s="126">
        <f t="shared" si="18"/>
        <v>20</v>
      </c>
      <c r="CT11" s="126">
        <f t="shared" si="19"/>
        <v>27</v>
      </c>
      <c r="CU11" s="126">
        <f t="shared" si="20"/>
        <v>31</v>
      </c>
      <c r="CV11" s="126">
        <f t="shared" si="21"/>
        <v>41</v>
      </c>
      <c r="CW11" s="126">
        <f t="shared" si="22"/>
        <v>30</v>
      </c>
      <c r="CX11" s="126">
        <f t="shared" si="23"/>
        <v>0</v>
      </c>
      <c r="CY11" s="126">
        <f t="shared" si="24"/>
        <v>0</v>
      </c>
      <c r="CZ11" s="47">
        <f t="shared" si="7"/>
        <v>683</v>
      </c>
      <c r="DC11" s="93" t="s">
        <v>26</v>
      </c>
      <c r="DD11" s="89">
        <f>FTC!E9</f>
        <v>0.25</v>
      </c>
      <c r="DE11" s="89">
        <f>FTC!F9</f>
        <v>0.75</v>
      </c>
      <c r="DF11" s="90">
        <f t="shared" si="25"/>
        <v>6</v>
      </c>
      <c r="DG11" s="91">
        <f t="shared" si="26"/>
        <v>18</v>
      </c>
      <c r="DH11" s="91">
        <f t="shared" si="27"/>
        <v>12</v>
      </c>
    </row>
    <row r="12" spans="1:112" x14ac:dyDescent="0.35">
      <c r="A12" s="43" t="s">
        <v>27</v>
      </c>
      <c r="B12" s="6"/>
      <c r="C12" s="6"/>
      <c r="D12" s="47">
        <v>1</v>
      </c>
      <c r="E12" s="6"/>
      <c r="F12" s="6"/>
      <c r="G12" s="47">
        <v>1</v>
      </c>
      <c r="H12" s="47">
        <v>12</v>
      </c>
      <c r="I12" s="47">
        <v>10</v>
      </c>
      <c r="J12" s="47">
        <v>18</v>
      </c>
      <c r="K12" s="47">
        <v>20</v>
      </c>
      <c r="L12" s="47">
        <v>12</v>
      </c>
      <c r="M12" s="47">
        <v>7</v>
      </c>
      <c r="N12" s="47">
        <v>8</v>
      </c>
      <c r="O12" s="47">
        <v>10</v>
      </c>
      <c r="P12" s="47">
        <v>7</v>
      </c>
      <c r="Q12" s="47">
        <v>3</v>
      </c>
      <c r="R12" s="6"/>
      <c r="S12" s="47">
        <v>2</v>
      </c>
      <c r="T12" s="47">
        <v>2</v>
      </c>
      <c r="U12" s="6"/>
      <c r="V12" s="6"/>
      <c r="W12" s="47">
        <v>1</v>
      </c>
      <c r="X12" s="47">
        <v>2</v>
      </c>
      <c r="Y12" s="6"/>
      <c r="Z12" s="47">
        <f t="shared" si="0"/>
        <v>116</v>
      </c>
      <c r="AC12" s="43" t="s">
        <v>27</v>
      </c>
      <c r="AD12" s="47">
        <f>ROUND(IF(AD$3&lt;$DF12,0,
IF(AD$3=$DF12+'Model Setup'!$B$7,SUMIF($AD$3:$BA$3,"="&amp;$DF12+'Model Setup'!$B$7,$B12:$Y12)+'Model Setup'!$B$8*(SUMIF($AD$3:$BA$3,"&lt;"&amp;$DF12,$B12:$Y12)+SUMIF($AD$3:$BA$3,"&gt;="&amp;$DG12,$B12:$Y12)),
IF(AD$3=$DF12+'Model Setup'!$C$7,SUMIF($AD$3:$BA$3,"="&amp;$DF12+'Model Setup'!$C$7,$B12:$Y12)+'Model Setup'!$C$8*(SUMIF($AD$3:$BA$3,"&lt;"&amp;$DF12,$B12:$Y12)+SUMIF($AD$3:$BA$3,"&gt;="&amp;$DG12,$B12:$Y12)),
IF(AD$3=$DF12+'Model Setup'!$D$7,SUMIF($AD$3:$BA$3,"="&amp;$DF12+'Model Setup'!$D$7,$B12:$Y12)+'Model Setup'!$D$8*(SUMIF($AD$3:$BA$3,"&lt;"&amp;$DF12,$B12:$Y12)+SUMIF($AD$3:$BA$3,"&gt;="&amp;$DG12,$B12:$Y12)),
IF(AD$3=$DF12+'Model Setup'!$E$7,SUMIF($AD$3:$BA$3,"="&amp;$DF12+'Model Setup'!$E$7,$B12:$Y12)+'Model Setup'!$E$8*(SUMIF($AD$3:$BA$3,"&lt;"&amp;$DF12,$B12:$Y12)+SUMIF($AD$3:$BA$3,"&gt;="&amp;$DG12,$B12:$Y12)),
IF(AD$3=$DF12+'Model Setup'!$F$7,SUMIF($AD$3:$BA$3,"="&amp;$DF12+'Model Setup'!$F$7,$B12:$Y12)+'Model Setup'!$F$8*(SUMIF($AD$3:$BA$3,"&lt;"&amp;$DF12,$B12:$Y12)+SUMIF($AD$3:$BA$3,"&gt;="&amp;$DG12,$B12:$Y12)),
IF(AD$3=$DF12+'Model Setup'!$G$7,SUMIF($AD$3:$BA$3,"="&amp;$DF12+'Model Setup'!$G$7,$B12:$Y12)+'Model Setup'!$G$8*(SUMIF($AD$3:$BA$3,"&lt;"&amp;$DF12,$B12:$Y12)+SUMIF($AD$3:$BA$3,"&gt;="&amp;$DG12,$B12:$Y12)),
IF(AD$3=$DF12+'Model Setup'!$H$7,SUMIF($AD$3:$BA$3,"="&amp;$DF12+'Model Setup'!$H$7,$B12:$Y12)+'Model Setup'!$H$8*(SUMIF($AD$3:$BA$3,"&lt;"&amp;$DF12,$B12:$Y12)+SUMIF($AD$3:$BA$3,"&gt;="&amp;$DG12,$B12:$Y12)),
IF(AD$3=$DF12+'Model Setup'!$I$7,SUMIF($AD$3:$BA$3,"="&amp;$DF12+'Model Setup'!$I$7,$B12:$Y12)+'Model Setup'!$I$8*(SUMIF($AD$3:$BA$3,"&lt;"&amp;$DF12,$B12:$Y12)+SUMIF($AD$3:$BA$3,"&gt;="&amp;$DG12,$B12:$Y12)),
IF(AD$3=$DF12+'Model Setup'!$J$7,SUMIF($AD$3:$BA$3,"="&amp;$DF12+'Model Setup'!$J$7,$B12:$Y12)+'Model Setup'!$J$8*(SUMIF($AD$3:$BA$3,"&lt;"&amp;$DF12,$B12:$Y12)+SUMIF($AD$3:$BA$3,"&gt;="&amp;$DG12,$B12:$Y12)),
IF(AD$3=$DF12+'Model Setup'!$K$7,SUMIF($AD$3:$BA$3,"="&amp;$DF12+'Model Setup'!$K$7,$B12:$Y12)+'Model Setup'!$K$8*(SUMIF($AD$3:$BA$3,"&lt;"&amp;$DF12,$B12:$Y12)+SUMIF($AD$3:$BA$3,"&gt;="&amp;$DG12,$B12:$Y12)),
IF(AD$3=$DF12+'Model Setup'!$L$7,SUMIF($AD$3:$BA$3,"="&amp;$DF12+'Model Setup'!$L$7,$B12:$Y12)+'Model Setup'!$L$8*(SUMIF($AD$3:$BA$3,"&lt;"&amp;$DF12,$B12:$Y12)+SUMIF($AD$3:$BA$3,"&gt;="&amp;$DG12,$B12:$Y12)),
IF(AD$3=$DF12+'Model Setup'!$M$7,SUMIF($AD$3:$BA$3,"="&amp;$DF12+'Model Setup'!$M$7,$B12:$Y12)+'Model Setup'!$M$8*(SUMIF($AD$3:$BA$3,"&lt;"&amp;$DF12,$B12:$Y12)+SUMIF($AD$3:$BA$3,"&gt;="&amp;$DG12,$B12:$Y12)),
IF(AD$3=$DF12+'Model Setup'!$N$7,SUMIF($AD$3:$BA$3,"="&amp;$DF12+'Model Setup'!$N$7,$B12:$Y12)+'Model Setup'!$N$8*(SUMIF($AD$3:$BA$3,"&lt;"&amp;$DF12,$B12:$Y12)+SUMIF($AD$3:$BA$3,"&gt;="&amp;$DG12,$B12:$Y12)),
IF(AD$3&lt;$DG12,B12,0))))))))))))))),0)</f>
        <v>0</v>
      </c>
      <c r="AE12" s="47">
        <f>ROUND(IF(AE$3&lt;$DF12,0,
IF(AE$3=$DF12+'Model Setup'!$B$7,SUMIF($AD$3:$BA$3,"="&amp;$DF12+'Model Setup'!$B$7,$B12:$Y12)+'Model Setup'!$B$8*(SUMIF($AD$3:$BA$3,"&lt;"&amp;$DF12,$B12:$Y12)+SUMIF($AD$3:$BA$3,"&gt;="&amp;$DG12,$B12:$Y12)),
IF(AE$3=$DF12+'Model Setup'!$C$7,SUMIF($AD$3:$BA$3,"="&amp;$DF12+'Model Setup'!$C$7,$B12:$Y12)+'Model Setup'!$C$8*(SUMIF($AD$3:$BA$3,"&lt;"&amp;$DF12,$B12:$Y12)+SUMIF($AD$3:$BA$3,"&gt;="&amp;$DG12,$B12:$Y12)),
IF(AE$3=$DF12+'Model Setup'!$D$7,SUMIF($AD$3:$BA$3,"="&amp;$DF12+'Model Setup'!$D$7,$B12:$Y12)+'Model Setup'!$D$8*(SUMIF($AD$3:$BA$3,"&lt;"&amp;$DF12,$B12:$Y12)+SUMIF($AD$3:$BA$3,"&gt;="&amp;$DG12,$B12:$Y12)),
IF(AE$3=$DF12+'Model Setup'!$E$7,SUMIF($AD$3:$BA$3,"="&amp;$DF12+'Model Setup'!$E$7,$B12:$Y12)+'Model Setup'!$E$8*(SUMIF($AD$3:$BA$3,"&lt;"&amp;$DF12,$B12:$Y12)+SUMIF($AD$3:$BA$3,"&gt;="&amp;$DG12,$B12:$Y12)),
IF(AE$3=$DF12+'Model Setup'!$F$7,SUMIF($AD$3:$BA$3,"="&amp;$DF12+'Model Setup'!$F$7,$B12:$Y12)+'Model Setup'!$F$8*(SUMIF($AD$3:$BA$3,"&lt;"&amp;$DF12,$B12:$Y12)+SUMIF($AD$3:$BA$3,"&gt;="&amp;$DG12,$B12:$Y12)),
IF(AE$3=$DF12+'Model Setup'!$G$7,SUMIF($AD$3:$BA$3,"="&amp;$DF12+'Model Setup'!$G$7,$B12:$Y12)+'Model Setup'!$G$8*(SUMIF($AD$3:$BA$3,"&lt;"&amp;$DF12,$B12:$Y12)+SUMIF($AD$3:$BA$3,"&gt;="&amp;$DG12,$B12:$Y12)),
IF(AE$3=$DF12+'Model Setup'!$H$7,SUMIF($AD$3:$BA$3,"="&amp;$DF12+'Model Setup'!$H$7,$B12:$Y12)+'Model Setup'!$H$8*(SUMIF($AD$3:$BA$3,"&lt;"&amp;$DF12,$B12:$Y12)+SUMIF($AD$3:$BA$3,"&gt;="&amp;$DG12,$B12:$Y12)),
IF(AE$3=$DF12+'Model Setup'!$I$7,SUMIF($AD$3:$BA$3,"="&amp;$DF12+'Model Setup'!$I$7,$B12:$Y12)+'Model Setup'!$I$8*(SUMIF($AD$3:$BA$3,"&lt;"&amp;$DF12,$B12:$Y12)+SUMIF($AD$3:$BA$3,"&gt;="&amp;$DG12,$B12:$Y12)),
IF(AE$3=$DF12+'Model Setup'!$J$7,SUMIF($AD$3:$BA$3,"="&amp;$DF12+'Model Setup'!$J$7,$B12:$Y12)+'Model Setup'!$J$8*(SUMIF($AD$3:$BA$3,"&lt;"&amp;$DF12,$B12:$Y12)+SUMIF($AD$3:$BA$3,"&gt;="&amp;$DG12,$B12:$Y12)),
IF(AE$3=$DF12+'Model Setup'!$K$7,SUMIF($AD$3:$BA$3,"="&amp;$DF12+'Model Setup'!$K$7,$B12:$Y12)+'Model Setup'!$K$8*(SUMIF($AD$3:$BA$3,"&lt;"&amp;$DF12,$B12:$Y12)+SUMIF($AD$3:$BA$3,"&gt;="&amp;$DG12,$B12:$Y12)),
IF(AE$3=$DF12+'Model Setup'!$L$7,SUMIF($AD$3:$BA$3,"="&amp;$DF12+'Model Setup'!$L$7,$B12:$Y12)+'Model Setup'!$L$8*(SUMIF($AD$3:$BA$3,"&lt;"&amp;$DF12,$B12:$Y12)+SUMIF($AD$3:$BA$3,"&gt;="&amp;$DG12,$B12:$Y12)),
IF(AE$3=$DF12+'Model Setup'!$M$7,SUMIF($AD$3:$BA$3,"="&amp;$DF12+'Model Setup'!$M$7,$B12:$Y12)+'Model Setup'!$M$8*(SUMIF($AD$3:$BA$3,"&lt;"&amp;$DF12,$B12:$Y12)+SUMIF($AD$3:$BA$3,"&gt;="&amp;$DG12,$B12:$Y12)),
IF(AE$3=$DF12+'Model Setup'!$N$7,SUMIF($AD$3:$BA$3,"="&amp;$DF12+'Model Setup'!$N$7,$B12:$Y12)+'Model Setup'!$N$8*(SUMIF($AD$3:$BA$3,"&lt;"&amp;$DF12,$B12:$Y12)+SUMIF($AD$3:$BA$3,"&gt;="&amp;$DG12,$B12:$Y12)),
IF(AE$3&lt;$DG12,C12,0))))))))))))))),0)</f>
        <v>0</v>
      </c>
      <c r="AF12" s="47">
        <f>ROUND(IF(AF$3&lt;$DF12,0,
IF(AF$3=$DF12+'Model Setup'!$B$7,SUMIF($AD$3:$BA$3,"="&amp;$DF12+'Model Setup'!$B$7,$B12:$Y12)+'Model Setup'!$B$8*(SUMIF($AD$3:$BA$3,"&lt;"&amp;$DF12,$B12:$Y12)+SUMIF($AD$3:$BA$3,"&gt;="&amp;$DG12,$B12:$Y12)),
IF(AF$3=$DF12+'Model Setup'!$C$7,SUMIF($AD$3:$BA$3,"="&amp;$DF12+'Model Setup'!$C$7,$B12:$Y12)+'Model Setup'!$C$8*(SUMIF($AD$3:$BA$3,"&lt;"&amp;$DF12,$B12:$Y12)+SUMIF($AD$3:$BA$3,"&gt;="&amp;$DG12,$B12:$Y12)),
IF(AF$3=$DF12+'Model Setup'!$D$7,SUMIF($AD$3:$BA$3,"="&amp;$DF12+'Model Setup'!$D$7,$B12:$Y12)+'Model Setup'!$D$8*(SUMIF($AD$3:$BA$3,"&lt;"&amp;$DF12,$B12:$Y12)+SUMIF($AD$3:$BA$3,"&gt;="&amp;$DG12,$B12:$Y12)),
IF(AF$3=$DF12+'Model Setup'!$E$7,SUMIF($AD$3:$BA$3,"="&amp;$DF12+'Model Setup'!$E$7,$B12:$Y12)+'Model Setup'!$E$8*(SUMIF($AD$3:$BA$3,"&lt;"&amp;$DF12,$B12:$Y12)+SUMIF($AD$3:$BA$3,"&gt;="&amp;$DG12,$B12:$Y12)),
IF(AF$3=$DF12+'Model Setup'!$F$7,SUMIF($AD$3:$BA$3,"="&amp;$DF12+'Model Setup'!$F$7,$B12:$Y12)+'Model Setup'!$F$8*(SUMIF($AD$3:$BA$3,"&lt;"&amp;$DF12,$B12:$Y12)+SUMIF($AD$3:$BA$3,"&gt;="&amp;$DG12,$B12:$Y12)),
IF(AF$3=$DF12+'Model Setup'!$G$7,SUMIF($AD$3:$BA$3,"="&amp;$DF12+'Model Setup'!$G$7,$B12:$Y12)+'Model Setup'!$G$8*(SUMIF($AD$3:$BA$3,"&lt;"&amp;$DF12,$B12:$Y12)+SUMIF($AD$3:$BA$3,"&gt;="&amp;$DG12,$B12:$Y12)),
IF(AF$3=$DF12+'Model Setup'!$H$7,SUMIF($AD$3:$BA$3,"="&amp;$DF12+'Model Setup'!$H$7,$B12:$Y12)+'Model Setup'!$H$8*(SUMIF($AD$3:$BA$3,"&lt;"&amp;$DF12,$B12:$Y12)+SUMIF($AD$3:$BA$3,"&gt;="&amp;$DG12,$B12:$Y12)),
IF(AF$3=$DF12+'Model Setup'!$I$7,SUMIF($AD$3:$BA$3,"="&amp;$DF12+'Model Setup'!$I$7,$B12:$Y12)+'Model Setup'!$I$8*(SUMIF($AD$3:$BA$3,"&lt;"&amp;$DF12,$B12:$Y12)+SUMIF($AD$3:$BA$3,"&gt;="&amp;$DG12,$B12:$Y12)),
IF(AF$3=$DF12+'Model Setup'!$J$7,SUMIF($AD$3:$BA$3,"="&amp;$DF12+'Model Setup'!$J$7,$B12:$Y12)+'Model Setup'!$J$8*(SUMIF($AD$3:$BA$3,"&lt;"&amp;$DF12,$B12:$Y12)+SUMIF($AD$3:$BA$3,"&gt;="&amp;$DG12,$B12:$Y12)),
IF(AF$3=$DF12+'Model Setup'!$K$7,SUMIF($AD$3:$BA$3,"="&amp;$DF12+'Model Setup'!$K$7,$B12:$Y12)+'Model Setup'!$K$8*(SUMIF($AD$3:$BA$3,"&lt;"&amp;$DF12,$B12:$Y12)+SUMIF($AD$3:$BA$3,"&gt;="&amp;$DG12,$B12:$Y12)),
IF(AF$3=$DF12+'Model Setup'!$L$7,SUMIF($AD$3:$BA$3,"="&amp;$DF12+'Model Setup'!$L$7,$B12:$Y12)+'Model Setup'!$L$8*(SUMIF($AD$3:$BA$3,"&lt;"&amp;$DF12,$B12:$Y12)+SUMIF($AD$3:$BA$3,"&gt;="&amp;$DG12,$B12:$Y12)),
IF(AF$3=$DF12+'Model Setup'!$M$7,SUMIF($AD$3:$BA$3,"="&amp;$DF12+'Model Setup'!$M$7,$B12:$Y12)+'Model Setup'!$M$8*(SUMIF($AD$3:$BA$3,"&lt;"&amp;$DF12,$B12:$Y12)+SUMIF($AD$3:$BA$3,"&gt;="&amp;$DG12,$B12:$Y12)),
IF(AF$3=$DF12+'Model Setup'!$N$7,SUMIF($AD$3:$BA$3,"="&amp;$DF12+'Model Setup'!$N$7,$B12:$Y12)+'Model Setup'!$N$8*(SUMIF($AD$3:$BA$3,"&lt;"&amp;$DF12,$B12:$Y12)+SUMIF($AD$3:$BA$3,"&gt;="&amp;$DG12,$B12:$Y12)),
IF(AF$3&lt;$DG12,D12,0))))))))))))))),0)</f>
        <v>0</v>
      </c>
      <c r="AG12" s="47">
        <f>ROUND(IF(AG$3&lt;$DF12,0,
IF(AG$3=$DF12+'Model Setup'!$B$7,SUMIF($AD$3:$BA$3,"="&amp;$DF12+'Model Setup'!$B$7,$B12:$Y12)+'Model Setup'!$B$8*(SUMIF($AD$3:$BA$3,"&lt;"&amp;$DF12,$B12:$Y12)+SUMIF($AD$3:$BA$3,"&gt;="&amp;$DG12,$B12:$Y12)),
IF(AG$3=$DF12+'Model Setup'!$C$7,SUMIF($AD$3:$BA$3,"="&amp;$DF12+'Model Setup'!$C$7,$B12:$Y12)+'Model Setup'!$C$8*(SUMIF($AD$3:$BA$3,"&lt;"&amp;$DF12,$B12:$Y12)+SUMIF($AD$3:$BA$3,"&gt;="&amp;$DG12,$B12:$Y12)),
IF(AG$3=$DF12+'Model Setup'!$D$7,SUMIF($AD$3:$BA$3,"="&amp;$DF12+'Model Setup'!$D$7,$B12:$Y12)+'Model Setup'!$D$8*(SUMIF($AD$3:$BA$3,"&lt;"&amp;$DF12,$B12:$Y12)+SUMIF($AD$3:$BA$3,"&gt;="&amp;$DG12,$B12:$Y12)),
IF(AG$3=$DF12+'Model Setup'!$E$7,SUMIF($AD$3:$BA$3,"="&amp;$DF12+'Model Setup'!$E$7,$B12:$Y12)+'Model Setup'!$E$8*(SUMIF($AD$3:$BA$3,"&lt;"&amp;$DF12,$B12:$Y12)+SUMIF($AD$3:$BA$3,"&gt;="&amp;$DG12,$B12:$Y12)),
IF(AG$3=$DF12+'Model Setup'!$F$7,SUMIF($AD$3:$BA$3,"="&amp;$DF12+'Model Setup'!$F$7,$B12:$Y12)+'Model Setup'!$F$8*(SUMIF($AD$3:$BA$3,"&lt;"&amp;$DF12,$B12:$Y12)+SUMIF($AD$3:$BA$3,"&gt;="&amp;$DG12,$B12:$Y12)),
IF(AG$3=$DF12+'Model Setup'!$G$7,SUMIF($AD$3:$BA$3,"="&amp;$DF12+'Model Setup'!$G$7,$B12:$Y12)+'Model Setup'!$G$8*(SUMIF($AD$3:$BA$3,"&lt;"&amp;$DF12,$B12:$Y12)+SUMIF($AD$3:$BA$3,"&gt;="&amp;$DG12,$B12:$Y12)),
IF(AG$3=$DF12+'Model Setup'!$H$7,SUMIF($AD$3:$BA$3,"="&amp;$DF12+'Model Setup'!$H$7,$B12:$Y12)+'Model Setup'!$H$8*(SUMIF($AD$3:$BA$3,"&lt;"&amp;$DF12,$B12:$Y12)+SUMIF($AD$3:$BA$3,"&gt;="&amp;$DG12,$B12:$Y12)),
IF(AG$3=$DF12+'Model Setup'!$I$7,SUMIF($AD$3:$BA$3,"="&amp;$DF12+'Model Setup'!$I$7,$B12:$Y12)+'Model Setup'!$I$8*(SUMIF($AD$3:$BA$3,"&lt;"&amp;$DF12,$B12:$Y12)+SUMIF($AD$3:$BA$3,"&gt;="&amp;$DG12,$B12:$Y12)),
IF(AG$3=$DF12+'Model Setup'!$J$7,SUMIF($AD$3:$BA$3,"="&amp;$DF12+'Model Setup'!$J$7,$B12:$Y12)+'Model Setup'!$J$8*(SUMIF($AD$3:$BA$3,"&lt;"&amp;$DF12,$B12:$Y12)+SUMIF($AD$3:$BA$3,"&gt;="&amp;$DG12,$B12:$Y12)),
IF(AG$3=$DF12+'Model Setup'!$K$7,SUMIF($AD$3:$BA$3,"="&amp;$DF12+'Model Setup'!$K$7,$B12:$Y12)+'Model Setup'!$K$8*(SUMIF($AD$3:$BA$3,"&lt;"&amp;$DF12,$B12:$Y12)+SUMIF($AD$3:$BA$3,"&gt;="&amp;$DG12,$B12:$Y12)),
IF(AG$3=$DF12+'Model Setup'!$L$7,SUMIF($AD$3:$BA$3,"="&amp;$DF12+'Model Setup'!$L$7,$B12:$Y12)+'Model Setup'!$L$8*(SUMIF($AD$3:$BA$3,"&lt;"&amp;$DF12,$B12:$Y12)+SUMIF($AD$3:$BA$3,"&gt;="&amp;$DG12,$B12:$Y12)),
IF(AG$3=$DF12+'Model Setup'!$M$7,SUMIF($AD$3:$BA$3,"="&amp;$DF12+'Model Setup'!$M$7,$B12:$Y12)+'Model Setup'!$M$8*(SUMIF($AD$3:$BA$3,"&lt;"&amp;$DF12,$B12:$Y12)+SUMIF($AD$3:$BA$3,"&gt;="&amp;$DG12,$B12:$Y12)),
IF(AG$3=$DF12+'Model Setup'!$N$7,SUMIF($AD$3:$BA$3,"="&amp;$DF12+'Model Setup'!$N$7,$B12:$Y12)+'Model Setup'!$N$8*(SUMIF($AD$3:$BA$3,"&lt;"&amp;$DF12,$B12:$Y12)+SUMIF($AD$3:$BA$3,"&gt;="&amp;$DG12,$B12:$Y12)),
IF(AG$3&lt;$DG12,E12,0))))))))))))))),0)</f>
        <v>0</v>
      </c>
      <c r="AH12" s="47">
        <f>ROUND(IF(AH$3&lt;$DF12,0,
IF(AH$3=$DF12+'Model Setup'!$B$7,SUMIF($AD$3:$BA$3,"="&amp;$DF12+'Model Setup'!$B$7,$B12:$Y12)+'Model Setup'!$B$8*(SUMIF($AD$3:$BA$3,"&lt;"&amp;$DF12,$B12:$Y12)+SUMIF($AD$3:$BA$3,"&gt;="&amp;$DG12,$B12:$Y12)),
IF(AH$3=$DF12+'Model Setup'!$C$7,SUMIF($AD$3:$BA$3,"="&amp;$DF12+'Model Setup'!$C$7,$B12:$Y12)+'Model Setup'!$C$8*(SUMIF($AD$3:$BA$3,"&lt;"&amp;$DF12,$B12:$Y12)+SUMIF($AD$3:$BA$3,"&gt;="&amp;$DG12,$B12:$Y12)),
IF(AH$3=$DF12+'Model Setup'!$D$7,SUMIF($AD$3:$BA$3,"="&amp;$DF12+'Model Setup'!$D$7,$B12:$Y12)+'Model Setup'!$D$8*(SUMIF($AD$3:$BA$3,"&lt;"&amp;$DF12,$B12:$Y12)+SUMIF($AD$3:$BA$3,"&gt;="&amp;$DG12,$B12:$Y12)),
IF(AH$3=$DF12+'Model Setup'!$E$7,SUMIF($AD$3:$BA$3,"="&amp;$DF12+'Model Setup'!$E$7,$B12:$Y12)+'Model Setup'!$E$8*(SUMIF($AD$3:$BA$3,"&lt;"&amp;$DF12,$B12:$Y12)+SUMIF($AD$3:$BA$3,"&gt;="&amp;$DG12,$B12:$Y12)),
IF(AH$3=$DF12+'Model Setup'!$F$7,SUMIF($AD$3:$BA$3,"="&amp;$DF12+'Model Setup'!$F$7,$B12:$Y12)+'Model Setup'!$F$8*(SUMIF($AD$3:$BA$3,"&lt;"&amp;$DF12,$B12:$Y12)+SUMIF($AD$3:$BA$3,"&gt;="&amp;$DG12,$B12:$Y12)),
IF(AH$3=$DF12+'Model Setup'!$G$7,SUMIF($AD$3:$BA$3,"="&amp;$DF12+'Model Setup'!$G$7,$B12:$Y12)+'Model Setup'!$G$8*(SUMIF($AD$3:$BA$3,"&lt;"&amp;$DF12,$B12:$Y12)+SUMIF($AD$3:$BA$3,"&gt;="&amp;$DG12,$B12:$Y12)),
IF(AH$3=$DF12+'Model Setup'!$H$7,SUMIF($AD$3:$BA$3,"="&amp;$DF12+'Model Setup'!$H$7,$B12:$Y12)+'Model Setup'!$H$8*(SUMIF($AD$3:$BA$3,"&lt;"&amp;$DF12,$B12:$Y12)+SUMIF($AD$3:$BA$3,"&gt;="&amp;$DG12,$B12:$Y12)),
IF(AH$3=$DF12+'Model Setup'!$I$7,SUMIF($AD$3:$BA$3,"="&amp;$DF12+'Model Setup'!$I$7,$B12:$Y12)+'Model Setup'!$I$8*(SUMIF($AD$3:$BA$3,"&lt;"&amp;$DF12,$B12:$Y12)+SUMIF($AD$3:$BA$3,"&gt;="&amp;$DG12,$B12:$Y12)),
IF(AH$3=$DF12+'Model Setup'!$J$7,SUMIF($AD$3:$BA$3,"="&amp;$DF12+'Model Setup'!$J$7,$B12:$Y12)+'Model Setup'!$J$8*(SUMIF($AD$3:$BA$3,"&lt;"&amp;$DF12,$B12:$Y12)+SUMIF($AD$3:$BA$3,"&gt;="&amp;$DG12,$B12:$Y12)),
IF(AH$3=$DF12+'Model Setup'!$K$7,SUMIF($AD$3:$BA$3,"="&amp;$DF12+'Model Setup'!$K$7,$B12:$Y12)+'Model Setup'!$K$8*(SUMIF($AD$3:$BA$3,"&lt;"&amp;$DF12,$B12:$Y12)+SUMIF($AD$3:$BA$3,"&gt;="&amp;$DG12,$B12:$Y12)),
IF(AH$3=$DF12+'Model Setup'!$L$7,SUMIF($AD$3:$BA$3,"="&amp;$DF12+'Model Setup'!$L$7,$B12:$Y12)+'Model Setup'!$L$8*(SUMIF($AD$3:$BA$3,"&lt;"&amp;$DF12,$B12:$Y12)+SUMIF($AD$3:$BA$3,"&gt;="&amp;$DG12,$B12:$Y12)),
IF(AH$3=$DF12+'Model Setup'!$M$7,SUMIF($AD$3:$BA$3,"="&amp;$DF12+'Model Setup'!$M$7,$B12:$Y12)+'Model Setup'!$M$8*(SUMIF($AD$3:$BA$3,"&lt;"&amp;$DF12,$B12:$Y12)+SUMIF($AD$3:$BA$3,"&gt;="&amp;$DG12,$B12:$Y12)),
IF(AH$3=$DF12+'Model Setup'!$N$7,SUMIF($AD$3:$BA$3,"="&amp;$DF12+'Model Setup'!$N$7,$B12:$Y12)+'Model Setup'!$N$8*(SUMIF($AD$3:$BA$3,"&lt;"&amp;$DF12,$B12:$Y12)+SUMIF($AD$3:$BA$3,"&gt;="&amp;$DG12,$B12:$Y12)),
IF(AH$3&lt;$DG12,F12,0))))))))))))))),0)</f>
        <v>0</v>
      </c>
      <c r="AI12" s="47">
        <f>ROUND(IF(AI$3&lt;$DF12,0,
IF(AI$3=$DF12+'Model Setup'!$B$7,SUMIF($AD$3:$BA$3,"="&amp;$DF12+'Model Setup'!$B$7,$B12:$Y12)+'Model Setup'!$B$8*(SUMIF($AD$3:$BA$3,"&lt;"&amp;$DF12,$B12:$Y12)+SUMIF($AD$3:$BA$3,"&gt;="&amp;$DG12,$B12:$Y12)),
IF(AI$3=$DF12+'Model Setup'!$C$7,SUMIF($AD$3:$BA$3,"="&amp;$DF12+'Model Setup'!$C$7,$B12:$Y12)+'Model Setup'!$C$8*(SUMIF($AD$3:$BA$3,"&lt;"&amp;$DF12,$B12:$Y12)+SUMIF($AD$3:$BA$3,"&gt;="&amp;$DG12,$B12:$Y12)),
IF(AI$3=$DF12+'Model Setup'!$D$7,SUMIF($AD$3:$BA$3,"="&amp;$DF12+'Model Setup'!$D$7,$B12:$Y12)+'Model Setup'!$D$8*(SUMIF($AD$3:$BA$3,"&lt;"&amp;$DF12,$B12:$Y12)+SUMIF($AD$3:$BA$3,"&gt;="&amp;$DG12,$B12:$Y12)),
IF(AI$3=$DF12+'Model Setup'!$E$7,SUMIF($AD$3:$BA$3,"="&amp;$DF12+'Model Setup'!$E$7,$B12:$Y12)+'Model Setup'!$E$8*(SUMIF($AD$3:$BA$3,"&lt;"&amp;$DF12,$B12:$Y12)+SUMIF($AD$3:$BA$3,"&gt;="&amp;$DG12,$B12:$Y12)),
IF(AI$3=$DF12+'Model Setup'!$F$7,SUMIF($AD$3:$BA$3,"="&amp;$DF12+'Model Setup'!$F$7,$B12:$Y12)+'Model Setup'!$F$8*(SUMIF($AD$3:$BA$3,"&lt;"&amp;$DF12,$B12:$Y12)+SUMIF($AD$3:$BA$3,"&gt;="&amp;$DG12,$B12:$Y12)),
IF(AI$3=$DF12+'Model Setup'!$G$7,SUMIF($AD$3:$BA$3,"="&amp;$DF12+'Model Setup'!$G$7,$B12:$Y12)+'Model Setup'!$G$8*(SUMIF($AD$3:$BA$3,"&lt;"&amp;$DF12,$B12:$Y12)+SUMIF($AD$3:$BA$3,"&gt;="&amp;$DG12,$B12:$Y12)),
IF(AI$3=$DF12+'Model Setup'!$H$7,SUMIF($AD$3:$BA$3,"="&amp;$DF12+'Model Setup'!$H$7,$B12:$Y12)+'Model Setup'!$H$8*(SUMIF($AD$3:$BA$3,"&lt;"&amp;$DF12,$B12:$Y12)+SUMIF($AD$3:$BA$3,"&gt;="&amp;$DG12,$B12:$Y12)),
IF(AI$3=$DF12+'Model Setup'!$I$7,SUMIF($AD$3:$BA$3,"="&amp;$DF12+'Model Setup'!$I$7,$B12:$Y12)+'Model Setup'!$I$8*(SUMIF($AD$3:$BA$3,"&lt;"&amp;$DF12,$B12:$Y12)+SUMIF($AD$3:$BA$3,"&gt;="&amp;$DG12,$B12:$Y12)),
IF(AI$3=$DF12+'Model Setup'!$J$7,SUMIF($AD$3:$BA$3,"="&amp;$DF12+'Model Setup'!$J$7,$B12:$Y12)+'Model Setup'!$J$8*(SUMIF($AD$3:$BA$3,"&lt;"&amp;$DF12,$B12:$Y12)+SUMIF($AD$3:$BA$3,"&gt;="&amp;$DG12,$B12:$Y12)),
IF(AI$3=$DF12+'Model Setup'!$K$7,SUMIF($AD$3:$BA$3,"="&amp;$DF12+'Model Setup'!$K$7,$B12:$Y12)+'Model Setup'!$K$8*(SUMIF($AD$3:$BA$3,"&lt;"&amp;$DF12,$B12:$Y12)+SUMIF($AD$3:$BA$3,"&gt;="&amp;$DG12,$B12:$Y12)),
IF(AI$3=$DF12+'Model Setup'!$L$7,SUMIF($AD$3:$BA$3,"="&amp;$DF12+'Model Setup'!$L$7,$B12:$Y12)+'Model Setup'!$L$8*(SUMIF($AD$3:$BA$3,"&lt;"&amp;$DF12,$B12:$Y12)+SUMIF($AD$3:$BA$3,"&gt;="&amp;$DG12,$B12:$Y12)),
IF(AI$3=$DF12+'Model Setup'!$M$7,SUMIF($AD$3:$BA$3,"="&amp;$DF12+'Model Setup'!$M$7,$B12:$Y12)+'Model Setup'!$M$8*(SUMIF($AD$3:$BA$3,"&lt;"&amp;$DF12,$B12:$Y12)+SUMIF($AD$3:$BA$3,"&gt;="&amp;$DG12,$B12:$Y12)),
IF(AI$3=$DF12+'Model Setup'!$N$7,SUMIF($AD$3:$BA$3,"="&amp;$DF12+'Model Setup'!$N$7,$B12:$Y12)+'Model Setup'!$N$8*(SUMIF($AD$3:$BA$3,"&lt;"&amp;$DF12,$B12:$Y12)+SUMIF($AD$3:$BA$3,"&gt;="&amp;$DG12,$B12:$Y12)),
IF(AI$3&lt;$DG12,G12,0))))))))))))))),0)</f>
        <v>1</v>
      </c>
      <c r="AJ12" s="47">
        <f>ROUND(IF(AJ$3&lt;$DF12,0,
IF(AJ$3=$DF12+'Model Setup'!$B$7,SUMIF($AD$3:$BA$3,"="&amp;$DF12+'Model Setup'!$B$7,$B12:$Y12)+'Model Setup'!$B$8*(SUMIF($AD$3:$BA$3,"&lt;"&amp;$DF12,$B12:$Y12)+SUMIF($AD$3:$BA$3,"&gt;="&amp;$DG12,$B12:$Y12)),
IF(AJ$3=$DF12+'Model Setup'!$C$7,SUMIF($AD$3:$BA$3,"="&amp;$DF12+'Model Setup'!$C$7,$B12:$Y12)+'Model Setup'!$C$8*(SUMIF($AD$3:$BA$3,"&lt;"&amp;$DF12,$B12:$Y12)+SUMIF($AD$3:$BA$3,"&gt;="&amp;$DG12,$B12:$Y12)),
IF(AJ$3=$DF12+'Model Setup'!$D$7,SUMIF($AD$3:$BA$3,"="&amp;$DF12+'Model Setup'!$D$7,$B12:$Y12)+'Model Setup'!$D$8*(SUMIF($AD$3:$BA$3,"&lt;"&amp;$DF12,$B12:$Y12)+SUMIF($AD$3:$BA$3,"&gt;="&amp;$DG12,$B12:$Y12)),
IF(AJ$3=$DF12+'Model Setup'!$E$7,SUMIF($AD$3:$BA$3,"="&amp;$DF12+'Model Setup'!$E$7,$B12:$Y12)+'Model Setup'!$E$8*(SUMIF($AD$3:$BA$3,"&lt;"&amp;$DF12,$B12:$Y12)+SUMIF($AD$3:$BA$3,"&gt;="&amp;$DG12,$B12:$Y12)),
IF(AJ$3=$DF12+'Model Setup'!$F$7,SUMIF($AD$3:$BA$3,"="&amp;$DF12+'Model Setup'!$F$7,$B12:$Y12)+'Model Setup'!$F$8*(SUMIF($AD$3:$BA$3,"&lt;"&amp;$DF12,$B12:$Y12)+SUMIF($AD$3:$BA$3,"&gt;="&amp;$DG12,$B12:$Y12)),
IF(AJ$3=$DF12+'Model Setup'!$G$7,SUMIF($AD$3:$BA$3,"="&amp;$DF12+'Model Setup'!$G$7,$B12:$Y12)+'Model Setup'!$G$8*(SUMIF($AD$3:$BA$3,"&lt;"&amp;$DF12,$B12:$Y12)+SUMIF($AD$3:$BA$3,"&gt;="&amp;$DG12,$B12:$Y12)),
IF(AJ$3=$DF12+'Model Setup'!$H$7,SUMIF($AD$3:$BA$3,"="&amp;$DF12+'Model Setup'!$H$7,$B12:$Y12)+'Model Setup'!$H$8*(SUMIF($AD$3:$BA$3,"&lt;"&amp;$DF12,$B12:$Y12)+SUMIF($AD$3:$BA$3,"&gt;="&amp;$DG12,$B12:$Y12)),
IF(AJ$3=$DF12+'Model Setup'!$I$7,SUMIF($AD$3:$BA$3,"="&amp;$DF12+'Model Setup'!$I$7,$B12:$Y12)+'Model Setup'!$I$8*(SUMIF($AD$3:$BA$3,"&lt;"&amp;$DF12,$B12:$Y12)+SUMIF($AD$3:$BA$3,"&gt;="&amp;$DG12,$B12:$Y12)),
IF(AJ$3=$DF12+'Model Setup'!$J$7,SUMIF($AD$3:$BA$3,"="&amp;$DF12+'Model Setup'!$J$7,$B12:$Y12)+'Model Setup'!$J$8*(SUMIF($AD$3:$BA$3,"&lt;"&amp;$DF12,$B12:$Y12)+SUMIF($AD$3:$BA$3,"&gt;="&amp;$DG12,$B12:$Y12)),
IF(AJ$3=$DF12+'Model Setup'!$K$7,SUMIF($AD$3:$BA$3,"="&amp;$DF12+'Model Setup'!$K$7,$B12:$Y12)+'Model Setup'!$K$8*(SUMIF($AD$3:$BA$3,"&lt;"&amp;$DF12,$B12:$Y12)+SUMIF($AD$3:$BA$3,"&gt;="&amp;$DG12,$B12:$Y12)),
IF(AJ$3=$DF12+'Model Setup'!$L$7,SUMIF($AD$3:$BA$3,"="&amp;$DF12+'Model Setup'!$L$7,$B12:$Y12)+'Model Setup'!$L$8*(SUMIF($AD$3:$BA$3,"&lt;"&amp;$DF12,$B12:$Y12)+SUMIF($AD$3:$BA$3,"&gt;="&amp;$DG12,$B12:$Y12)),
IF(AJ$3=$DF12+'Model Setup'!$M$7,SUMIF($AD$3:$BA$3,"="&amp;$DF12+'Model Setup'!$M$7,$B12:$Y12)+'Model Setup'!$M$8*(SUMIF($AD$3:$BA$3,"&lt;"&amp;$DF12,$B12:$Y12)+SUMIF($AD$3:$BA$3,"&gt;="&amp;$DG12,$B12:$Y12)),
IF(AJ$3=$DF12+'Model Setup'!$N$7,SUMIF($AD$3:$BA$3,"="&amp;$DF12+'Model Setup'!$N$7,$B12:$Y12)+'Model Setup'!$N$8*(SUMIF($AD$3:$BA$3,"&lt;"&amp;$DF12,$B12:$Y12)+SUMIF($AD$3:$BA$3,"&gt;="&amp;$DG12,$B12:$Y12)),
IF(AJ$3&lt;$DG12,H12,0))))))))))))))),0)</f>
        <v>12</v>
      </c>
      <c r="AK12" s="47">
        <f>ROUND(IF(AK$3&lt;$DF12,0,
IF(AK$3=$DF12+'Model Setup'!$B$7,SUMIF($AD$3:$BA$3,"="&amp;$DF12+'Model Setup'!$B$7,$B12:$Y12)+'Model Setup'!$B$8*(SUMIF($AD$3:$BA$3,"&lt;"&amp;$DF12,$B12:$Y12)+SUMIF($AD$3:$BA$3,"&gt;="&amp;$DG12,$B12:$Y12)),
IF(AK$3=$DF12+'Model Setup'!$C$7,SUMIF($AD$3:$BA$3,"="&amp;$DF12+'Model Setup'!$C$7,$B12:$Y12)+'Model Setup'!$C$8*(SUMIF($AD$3:$BA$3,"&lt;"&amp;$DF12,$B12:$Y12)+SUMIF($AD$3:$BA$3,"&gt;="&amp;$DG12,$B12:$Y12)),
IF(AK$3=$DF12+'Model Setup'!$D$7,SUMIF($AD$3:$BA$3,"="&amp;$DF12+'Model Setup'!$D$7,$B12:$Y12)+'Model Setup'!$D$8*(SUMIF($AD$3:$BA$3,"&lt;"&amp;$DF12,$B12:$Y12)+SUMIF($AD$3:$BA$3,"&gt;="&amp;$DG12,$B12:$Y12)),
IF(AK$3=$DF12+'Model Setup'!$E$7,SUMIF($AD$3:$BA$3,"="&amp;$DF12+'Model Setup'!$E$7,$B12:$Y12)+'Model Setup'!$E$8*(SUMIF($AD$3:$BA$3,"&lt;"&amp;$DF12,$B12:$Y12)+SUMIF($AD$3:$BA$3,"&gt;="&amp;$DG12,$B12:$Y12)),
IF(AK$3=$DF12+'Model Setup'!$F$7,SUMIF($AD$3:$BA$3,"="&amp;$DF12+'Model Setup'!$F$7,$B12:$Y12)+'Model Setup'!$F$8*(SUMIF($AD$3:$BA$3,"&lt;"&amp;$DF12,$B12:$Y12)+SUMIF($AD$3:$BA$3,"&gt;="&amp;$DG12,$B12:$Y12)),
IF(AK$3=$DF12+'Model Setup'!$G$7,SUMIF($AD$3:$BA$3,"="&amp;$DF12+'Model Setup'!$G$7,$B12:$Y12)+'Model Setup'!$G$8*(SUMIF($AD$3:$BA$3,"&lt;"&amp;$DF12,$B12:$Y12)+SUMIF($AD$3:$BA$3,"&gt;="&amp;$DG12,$B12:$Y12)),
IF(AK$3=$DF12+'Model Setup'!$H$7,SUMIF($AD$3:$BA$3,"="&amp;$DF12+'Model Setup'!$H$7,$B12:$Y12)+'Model Setup'!$H$8*(SUMIF($AD$3:$BA$3,"&lt;"&amp;$DF12,$B12:$Y12)+SUMIF($AD$3:$BA$3,"&gt;="&amp;$DG12,$B12:$Y12)),
IF(AK$3=$DF12+'Model Setup'!$I$7,SUMIF($AD$3:$BA$3,"="&amp;$DF12+'Model Setup'!$I$7,$B12:$Y12)+'Model Setup'!$I$8*(SUMIF($AD$3:$BA$3,"&lt;"&amp;$DF12,$B12:$Y12)+SUMIF($AD$3:$BA$3,"&gt;="&amp;$DG12,$B12:$Y12)),
IF(AK$3=$DF12+'Model Setup'!$J$7,SUMIF($AD$3:$BA$3,"="&amp;$DF12+'Model Setup'!$J$7,$B12:$Y12)+'Model Setup'!$J$8*(SUMIF($AD$3:$BA$3,"&lt;"&amp;$DF12,$B12:$Y12)+SUMIF($AD$3:$BA$3,"&gt;="&amp;$DG12,$B12:$Y12)),
IF(AK$3=$DF12+'Model Setup'!$K$7,SUMIF($AD$3:$BA$3,"="&amp;$DF12+'Model Setup'!$K$7,$B12:$Y12)+'Model Setup'!$K$8*(SUMIF($AD$3:$BA$3,"&lt;"&amp;$DF12,$B12:$Y12)+SUMIF($AD$3:$BA$3,"&gt;="&amp;$DG12,$B12:$Y12)),
IF(AK$3=$DF12+'Model Setup'!$L$7,SUMIF($AD$3:$BA$3,"="&amp;$DF12+'Model Setup'!$L$7,$B12:$Y12)+'Model Setup'!$L$8*(SUMIF($AD$3:$BA$3,"&lt;"&amp;$DF12,$B12:$Y12)+SUMIF($AD$3:$BA$3,"&gt;="&amp;$DG12,$B12:$Y12)),
IF(AK$3=$DF12+'Model Setup'!$M$7,SUMIF($AD$3:$BA$3,"="&amp;$DF12+'Model Setup'!$M$7,$B12:$Y12)+'Model Setup'!$M$8*(SUMIF($AD$3:$BA$3,"&lt;"&amp;$DF12,$B12:$Y12)+SUMIF($AD$3:$BA$3,"&gt;="&amp;$DG12,$B12:$Y12)),
IF(AK$3=$DF12+'Model Setup'!$N$7,SUMIF($AD$3:$BA$3,"="&amp;$DF12+'Model Setup'!$N$7,$B12:$Y12)+'Model Setup'!$N$8*(SUMIF($AD$3:$BA$3,"&lt;"&amp;$DF12,$B12:$Y12)+SUMIF($AD$3:$BA$3,"&gt;="&amp;$DG12,$B12:$Y12)),
IF(AK$3&lt;$DG12,I12,0))))))))))))))),0)</f>
        <v>10</v>
      </c>
      <c r="AL12" s="47">
        <f>ROUND(IF(AL$3&lt;$DF12,0,
IF(AL$3=$DF12+'Model Setup'!$B$7,SUMIF($AD$3:$BA$3,"="&amp;$DF12+'Model Setup'!$B$7,$B12:$Y12)+'Model Setup'!$B$8*(SUMIF($AD$3:$BA$3,"&lt;"&amp;$DF12,$B12:$Y12)+SUMIF($AD$3:$BA$3,"&gt;="&amp;$DG12,$B12:$Y12)),
IF(AL$3=$DF12+'Model Setup'!$C$7,SUMIF($AD$3:$BA$3,"="&amp;$DF12+'Model Setup'!$C$7,$B12:$Y12)+'Model Setup'!$C$8*(SUMIF($AD$3:$BA$3,"&lt;"&amp;$DF12,$B12:$Y12)+SUMIF($AD$3:$BA$3,"&gt;="&amp;$DG12,$B12:$Y12)),
IF(AL$3=$DF12+'Model Setup'!$D$7,SUMIF($AD$3:$BA$3,"="&amp;$DF12+'Model Setup'!$D$7,$B12:$Y12)+'Model Setup'!$D$8*(SUMIF($AD$3:$BA$3,"&lt;"&amp;$DF12,$B12:$Y12)+SUMIF($AD$3:$BA$3,"&gt;="&amp;$DG12,$B12:$Y12)),
IF(AL$3=$DF12+'Model Setup'!$E$7,SUMIF($AD$3:$BA$3,"="&amp;$DF12+'Model Setup'!$E$7,$B12:$Y12)+'Model Setup'!$E$8*(SUMIF($AD$3:$BA$3,"&lt;"&amp;$DF12,$B12:$Y12)+SUMIF($AD$3:$BA$3,"&gt;="&amp;$DG12,$B12:$Y12)),
IF(AL$3=$DF12+'Model Setup'!$F$7,SUMIF($AD$3:$BA$3,"="&amp;$DF12+'Model Setup'!$F$7,$B12:$Y12)+'Model Setup'!$F$8*(SUMIF($AD$3:$BA$3,"&lt;"&amp;$DF12,$B12:$Y12)+SUMIF($AD$3:$BA$3,"&gt;="&amp;$DG12,$B12:$Y12)),
IF(AL$3=$DF12+'Model Setup'!$G$7,SUMIF($AD$3:$BA$3,"="&amp;$DF12+'Model Setup'!$G$7,$B12:$Y12)+'Model Setup'!$G$8*(SUMIF($AD$3:$BA$3,"&lt;"&amp;$DF12,$B12:$Y12)+SUMIF($AD$3:$BA$3,"&gt;="&amp;$DG12,$B12:$Y12)),
IF(AL$3=$DF12+'Model Setup'!$H$7,SUMIF($AD$3:$BA$3,"="&amp;$DF12+'Model Setup'!$H$7,$B12:$Y12)+'Model Setup'!$H$8*(SUMIF($AD$3:$BA$3,"&lt;"&amp;$DF12,$B12:$Y12)+SUMIF($AD$3:$BA$3,"&gt;="&amp;$DG12,$B12:$Y12)),
IF(AL$3=$DF12+'Model Setup'!$I$7,SUMIF($AD$3:$BA$3,"="&amp;$DF12+'Model Setup'!$I$7,$B12:$Y12)+'Model Setup'!$I$8*(SUMIF($AD$3:$BA$3,"&lt;"&amp;$DF12,$B12:$Y12)+SUMIF($AD$3:$BA$3,"&gt;="&amp;$DG12,$B12:$Y12)),
IF(AL$3=$DF12+'Model Setup'!$J$7,SUMIF($AD$3:$BA$3,"="&amp;$DF12+'Model Setup'!$J$7,$B12:$Y12)+'Model Setup'!$J$8*(SUMIF($AD$3:$BA$3,"&lt;"&amp;$DF12,$B12:$Y12)+SUMIF($AD$3:$BA$3,"&gt;="&amp;$DG12,$B12:$Y12)),
IF(AL$3=$DF12+'Model Setup'!$K$7,SUMIF($AD$3:$BA$3,"="&amp;$DF12+'Model Setup'!$K$7,$B12:$Y12)+'Model Setup'!$K$8*(SUMIF($AD$3:$BA$3,"&lt;"&amp;$DF12,$B12:$Y12)+SUMIF($AD$3:$BA$3,"&gt;="&amp;$DG12,$B12:$Y12)),
IF(AL$3=$DF12+'Model Setup'!$L$7,SUMIF($AD$3:$BA$3,"="&amp;$DF12+'Model Setup'!$L$7,$B12:$Y12)+'Model Setup'!$L$8*(SUMIF($AD$3:$BA$3,"&lt;"&amp;$DF12,$B12:$Y12)+SUMIF($AD$3:$BA$3,"&gt;="&amp;$DG12,$B12:$Y12)),
IF(AL$3=$DF12+'Model Setup'!$M$7,SUMIF($AD$3:$BA$3,"="&amp;$DF12+'Model Setup'!$M$7,$B12:$Y12)+'Model Setup'!$M$8*(SUMIF($AD$3:$BA$3,"&lt;"&amp;$DF12,$B12:$Y12)+SUMIF($AD$3:$BA$3,"&gt;="&amp;$DG12,$B12:$Y12)),
IF(AL$3=$DF12+'Model Setup'!$N$7,SUMIF($AD$3:$BA$3,"="&amp;$DF12+'Model Setup'!$N$7,$B12:$Y12)+'Model Setup'!$N$8*(SUMIF($AD$3:$BA$3,"&lt;"&amp;$DF12,$B12:$Y12)+SUMIF($AD$3:$BA$3,"&gt;="&amp;$DG12,$B12:$Y12)),
IF(AL$3&lt;$DG12,J12,0))))))))))))))),0)</f>
        <v>18</v>
      </c>
      <c r="AM12" s="47">
        <f>ROUND(IF(AM$3&lt;$DF12,0,
IF(AM$3=$DF12+'Model Setup'!$B$7,SUMIF($AD$3:$BA$3,"="&amp;$DF12+'Model Setup'!$B$7,$B12:$Y12)+'Model Setup'!$B$8*(SUMIF($AD$3:$BA$3,"&lt;"&amp;$DF12,$B12:$Y12)+SUMIF($AD$3:$BA$3,"&gt;="&amp;$DG12,$B12:$Y12)),
IF(AM$3=$DF12+'Model Setup'!$C$7,SUMIF($AD$3:$BA$3,"="&amp;$DF12+'Model Setup'!$C$7,$B12:$Y12)+'Model Setup'!$C$8*(SUMIF($AD$3:$BA$3,"&lt;"&amp;$DF12,$B12:$Y12)+SUMIF($AD$3:$BA$3,"&gt;="&amp;$DG12,$B12:$Y12)),
IF(AM$3=$DF12+'Model Setup'!$D$7,SUMIF($AD$3:$BA$3,"="&amp;$DF12+'Model Setup'!$D$7,$B12:$Y12)+'Model Setup'!$D$8*(SUMIF($AD$3:$BA$3,"&lt;"&amp;$DF12,$B12:$Y12)+SUMIF($AD$3:$BA$3,"&gt;="&amp;$DG12,$B12:$Y12)),
IF(AM$3=$DF12+'Model Setup'!$E$7,SUMIF($AD$3:$BA$3,"="&amp;$DF12+'Model Setup'!$E$7,$B12:$Y12)+'Model Setup'!$E$8*(SUMIF($AD$3:$BA$3,"&lt;"&amp;$DF12,$B12:$Y12)+SUMIF($AD$3:$BA$3,"&gt;="&amp;$DG12,$B12:$Y12)),
IF(AM$3=$DF12+'Model Setup'!$F$7,SUMIF($AD$3:$BA$3,"="&amp;$DF12+'Model Setup'!$F$7,$B12:$Y12)+'Model Setup'!$F$8*(SUMIF($AD$3:$BA$3,"&lt;"&amp;$DF12,$B12:$Y12)+SUMIF($AD$3:$BA$3,"&gt;="&amp;$DG12,$B12:$Y12)),
IF(AM$3=$DF12+'Model Setup'!$G$7,SUMIF($AD$3:$BA$3,"="&amp;$DF12+'Model Setup'!$G$7,$B12:$Y12)+'Model Setup'!$G$8*(SUMIF($AD$3:$BA$3,"&lt;"&amp;$DF12,$B12:$Y12)+SUMIF($AD$3:$BA$3,"&gt;="&amp;$DG12,$B12:$Y12)),
IF(AM$3=$DF12+'Model Setup'!$H$7,SUMIF($AD$3:$BA$3,"="&amp;$DF12+'Model Setup'!$H$7,$B12:$Y12)+'Model Setup'!$H$8*(SUMIF($AD$3:$BA$3,"&lt;"&amp;$DF12,$B12:$Y12)+SUMIF($AD$3:$BA$3,"&gt;="&amp;$DG12,$B12:$Y12)),
IF(AM$3=$DF12+'Model Setup'!$I$7,SUMIF($AD$3:$BA$3,"="&amp;$DF12+'Model Setup'!$I$7,$B12:$Y12)+'Model Setup'!$I$8*(SUMIF($AD$3:$BA$3,"&lt;"&amp;$DF12,$B12:$Y12)+SUMIF($AD$3:$BA$3,"&gt;="&amp;$DG12,$B12:$Y12)),
IF(AM$3=$DF12+'Model Setup'!$J$7,SUMIF($AD$3:$BA$3,"="&amp;$DF12+'Model Setup'!$J$7,$B12:$Y12)+'Model Setup'!$J$8*(SUMIF($AD$3:$BA$3,"&lt;"&amp;$DF12,$B12:$Y12)+SUMIF($AD$3:$BA$3,"&gt;="&amp;$DG12,$B12:$Y12)),
IF(AM$3=$DF12+'Model Setup'!$K$7,SUMIF($AD$3:$BA$3,"="&amp;$DF12+'Model Setup'!$K$7,$B12:$Y12)+'Model Setup'!$K$8*(SUMIF($AD$3:$BA$3,"&lt;"&amp;$DF12,$B12:$Y12)+SUMIF($AD$3:$BA$3,"&gt;="&amp;$DG12,$B12:$Y12)),
IF(AM$3=$DF12+'Model Setup'!$L$7,SUMIF($AD$3:$BA$3,"="&amp;$DF12+'Model Setup'!$L$7,$B12:$Y12)+'Model Setup'!$L$8*(SUMIF($AD$3:$BA$3,"&lt;"&amp;$DF12,$B12:$Y12)+SUMIF($AD$3:$BA$3,"&gt;="&amp;$DG12,$B12:$Y12)),
IF(AM$3=$DF12+'Model Setup'!$M$7,SUMIF($AD$3:$BA$3,"="&amp;$DF12+'Model Setup'!$M$7,$B12:$Y12)+'Model Setup'!$M$8*(SUMIF($AD$3:$BA$3,"&lt;"&amp;$DF12,$B12:$Y12)+SUMIF($AD$3:$BA$3,"&gt;="&amp;$DG12,$B12:$Y12)),
IF(AM$3=$DF12+'Model Setup'!$N$7,SUMIF($AD$3:$BA$3,"="&amp;$DF12+'Model Setup'!$N$7,$B12:$Y12)+'Model Setup'!$N$8*(SUMIF($AD$3:$BA$3,"&lt;"&amp;$DF12,$B12:$Y12)+SUMIF($AD$3:$BA$3,"&gt;="&amp;$DG12,$B12:$Y12)),
IF(AM$3&lt;$DG12,K12,0))))))))))))))),0)</f>
        <v>20</v>
      </c>
      <c r="AN12" s="47">
        <f>ROUND(IF(AN$3&lt;$DF12,0,
IF(AN$3=$DF12+'Model Setup'!$B$7,SUMIF($AD$3:$BA$3,"="&amp;$DF12+'Model Setup'!$B$7,$B12:$Y12)+'Model Setup'!$B$8*(SUMIF($AD$3:$BA$3,"&lt;"&amp;$DF12,$B12:$Y12)+SUMIF($AD$3:$BA$3,"&gt;="&amp;$DG12,$B12:$Y12)),
IF(AN$3=$DF12+'Model Setup'!$C$7,SUMIF($AD$3:$BA$3,"="&amp;$DF12+'Model Setup'!$C$7,$B12:$Y12)+'Model Setup'!$C$8*(SUMIF($AD$3:$BA$3,"&lt;"&amp;$DF12,$B12:$Y12)+SUMIF($AD$3:$BA$3,"&gt;="&amp;$DG12,$B12:$Y12)),
IF(AN$3=$DF12+'Model Setup'!$D$7,SUMIF($AD$3:$BA$3,"="&amp;$DF12+'Model Setup'!$D$7,$B12:$Y12)+'Model Setup'!$D$8*(SUMIF($AD$3:$BA$3,"&lt;"&amp;$DF12,$B12:$Y12)+SUMIF($AD$3:$BA$3,"&gt;="&amp;$DG12,$B12:$Y12)),
IF(AN$3=$DF12+'Model Setup'!$E$7,SUMIF($AD$3:$BA$3,"="&amp;$DF12+'Model Setup'!$E$7,$B12:$Y12)+'Model Setup'!$E$8*(SUMIF($AD$3:$BA$3,"&lt;"&amp;$DF12,$B12:$Y12)+SUMIF($AD$3:$BA$3,"&gt;="&amp;$DG12,$B12:$Y12)),
IF(AN$3=$DF12+'Model Setup'!$F$7,SUMIF($AD$3:$BA$3,"="&amp;$DF12+'Model Setup'!$F$7,$B12:$Y12)+'Model Setup'!$F$8*(SUMIF($AD$3:$BA$3,"&lt;"&amp;$DF12,$B12:$Y12)+SUMIF($AD$3:$BA$3,"&gt;="&amp;$DG12,$B12:$Y12)),
IF(AN$3=$DF12+'Model Setup'!$G$7,SUMIF($AD$3:$BA$3,"="&amp;$DF12+'Model Setup'!$G$7,$B12:$Y12)+'Model Setup'!$G$8*(SUMIF($AD$3:$BA$3,"&lt;"&amp;$DF12,$B12:$Y12)+SUMIF($AD$3:$BA$3,"&gt;="&amp;$DG12,$B12:$Y12)),
IF(AN$3=$DF12+'Model Setup'!$H$7,SUMIF($AD$3:$BA$3,"="&amp;$DF12+'Model Setup'!$H$7,$B12:$Y12)+'Model Setup'!$H$8*(SUMIF($AD$3:$BA$3,"&lt;"&amp;$DF12,$B12:$Y12)+SUMIF($AD$3:$BA$3,"&gt;="&amp;$DG12,$B12:$Y12)),
IF(AN$3=$DF12+'Model Setup'!$I$7,SUMIF($AD$3:$BA$3,"="&amp;$DF12+'Model Setup'!$I$7,$B12:$Y12)+'Model Setup'!$I$8*(SUMIF($AD$3:$BA$3,"&lt;"&amp;$DF12,$B12:$Y12)+SUMIF($AD$3:$BA$3,"&gt;="&amp;$DG12,$B12:$Y12)),
IF(AN$3=$DF12+'Model Setup'!$J$7,SUMIF($AD$3:$BA$3,"="&amp;$DF12+'Model Setup'!$J$7,$B12:$Y12)+'Model Setup'!$J$8*(SUMIF($AD$3:$BA$3,"&lt;"&amp;$DF12,$B12:$Y12)+SUMIF($AD$3:$BA$3,"&gt;="&amp;$DG12,$B12:$Y12)),
IF(AN$3=$DF12+'Model Setup'!$K$7,SUMIF($AD$3:$BA$3,"="&amp;$DF12+'Model Setup'!$K$7,$B12:$Y12)+'Model Setup'!$K$8*(SUMIF($AD$3:$BA$3,"&lt;"&amp;$DF12,$B12:$Y12)+SUMIF($AD$3:$BA$3,"&gt;="&amp;$DG12,$B12:$Y12)),
IF(AN$3=$DF12+'Model Setup'!$L$7,SUMIF($AD$3:$BA$3,"="&amp;$DF12+'Model Setup'!$L$7,$B12:$Y12)+'Model Setup'!$L$8*(SUMIF($AD$3:$BA$3,"&lt;"&amp;$DF12,$B12:$Y12)+SUMIF($AD$3:$BA$3,"&gt;="&amp;$DG12,$B12:$Y12)),
IF(AN$3=$DF12+'Model Setup'!$M$7,SUMIF($AD$3:$BA$3,"="&amp;$DF12+'Model Setup'!$M$7,$B12:$Y12)+'Model Setup'!$M$8*(SUMIF($AD$3:$BA$3,"&lt;"&amp;$DF12,$B12:$Y12)+SUMIF($AD$3:$BA$3,"&gt;="&amp;$DG12,$B12:$Y12)),
IF(AN$3=$DF12+'Model Setup'!$N$7,SUMIF($AD$3:$BA$3,"="&amp;$DF12+'Model Setup'!$N$7,$B12:$Y12)+'Model Setup'!$N$8*(SUMIF($AD$3:$BA$3,"&lt;"&amp;$DF12,$B12:$Y12)+SUMIF($AD$3:$BA$3,"&gt;="&amp;$DG12,$B12:$Y12)),
IF(AN$3&lt;$DG12,L12,0))))))))))))))),0)</f>
        <v>12</v>
      </c>
      <c r="AO12" s="47">
        <f>ROUND(IF(AO$3&lt;$DF12,0,
IF(AO$3=$DF12+'Model Setup'!$B$7,SUMIF($AD$3:$BA$3,"="&amp;$DF12+'Model Setup'!$B$7,$B12:$Y12)+'Model Setup'!$B$8*(SUMIF($AD$3:$BA$3,"&lt;"&amp;$DF12,$B12:$Y12)+SUMIF($AD$3:$BA$3,"&gt;="&amp;$DG12,$B12:$Y12)),
IF(AO$3=$DF12+'Model Setup'!$C$7,SUMIF($AD$3:$BA$3,"="&amp;$DF12+'Model Setup'!$C$7,$B12:$Y12)+'Model Setup'!$C$8*(SUMIF($AD$3:$BA$3,"&lt;"&amp;$DF12,$B12:$Y12)+SUMIF($AD$3:$BA$3,"&gt;="&amp;$DG12,$B12:$Y12)),
IF(AO$3=$DF12+'Model Setup'!$D$7,SUMIF($AD$3:$BA$3,"="&amp;$DF12+'Model Setup'!$D$7,$B12:$Y12)+'Model Setup'!$D$8*(SUMIF($AD$3:$BA$3,"&lt;"&amp;$DF12,$B12:$Y12)+SUMIF($AD$3:$BA$3,"&gt;="&amp;$DG12,$B12:$Y12)),
IF(AO$3=$DF12+'Model Setup'!$E$7,SUMIF($AD$3:$BA$3,"="&amp;$DF12+'Model Setup'!$E$7,$B12:$Y12)+'Model Setup'!$E$8*(SUMIF($AD$3:$BA$3,"&lt;"&amp;$DF12,$B12:$Y12)+SUMIF($AD$3:$BA$3,"&gt;="&amp;$DG12,$B12:$Y12)),
IF(AO$3=$DF12+'Model Setup'!$F$7,SUMIF($AD$3:$BA$3,"="&amp;$DF12+'Model Setup'!$F$7,$B12:$Y12)+'Model Setup'!$F$8*(SUMIF($AD$3:$BA$3,"&lt;"&amp;$DF12,$B12:$Y12)+SUMIF($AD$3:$BA$3,"&gt;="&amp;$DG12,$B12:$Y12)),
IF(AO$3=$DF12+'Model Setup'!$G$7,SUMIF($AD$3:$BA$3,"="&amp;$DF12+'Model Setup'!$G$7,$B12:$Y12)+'Model Setup'!$G$8*(SUMIF($AD$3:$BA$3,"&lt;"&amp;$DF12,$B12:$Y12)+SUMIF($AD$3:$BA$3,"&gt;="&amp;$DG12,$B12:$Y12)),
IF(AO$3=$DF12+'Model Setup'!$H$7,SUMIF($AD$3:$BA$3,"="&amp;$DF12+'Model Setup'!$H$7,$B12:$Y12)+'Model Setup'!$H$8*(SUMIF($AD$3:$BA$3,"&lt;"&amp;$DF12,$B12:$Y12)+SUMIF($AD$3:$BA$3,"&gt;="&amp;$DG12,$B12:$Y12)),
IF(AO$3=$DF12+'Model Setup'!$I$7,SUMIF($AD$3:$BA$3,"="&amp;$DF12+'Model Setup'!$I$7,$B12:$Y12)+'Model Setup'!$I$8*(SUMIF($AD$3:$BA$3,"&lt;"&amp;$DF12,$B12:$Y12)+SUMIF($AD$3:$BA$3,"&gt;="&amp;$DG12,$B12:$Y12)),
IF(AO$3=$DF12+'Model Setup'!$J$7,SUMIF($AD$3:$BA$3,"="&amp;$DF12+'Model Setup'!$J$7,$B12:$Y12)+'Model Setup'!$J$8*(SUMIF($AD$3:$BA$3,"&lt;"&amp;$DF12,$B12:$Y12)+SUMIF($AD$3:$BA$3,"&gt;="&amp;$DG12,$B12:$Y12)),
IF(AO$3=$DF12+'Model Setup'!$K$7,SUMIF($AD$3:$BA$3,"="&amp;$DF12+'Model Setup'!$K$7,$B12:$Y12)+'Model Setup'!$K$8*(SUMIF($AD$3:$BA$3,"&lt;"&amp;$DF12,$B12:$Y12)+SUMIF($AD$3:$BA$3,"&gt;="&amp;$DG12,$B12:$Y12)),
IF(AO$3=$DF12+'Model Setup'!$L$7,SUMIF($AD$3:$BA$3,"="&amp;$DF12+'Model Setup'!$L$7,$B12:$Y12)+'Model Setup'!$L$8*(SUMIF($AD$3:$BA$3,"&lt;"&amp;$DF12,$B12:$Y12)+SUMIF($AD$3:$BA$3,"&gt;="&amp;$DG12,$B12:$Y12)),
IF(AO$3=$DF12+'Model Setup'!$M$7,SUMIF($AD$3:$BA$3,"="&amp;$DF12+'Model Setup'!$M$7,$B12:$Y12)+'Model Setup'!$M$8*(SUMIF($AD$3:$BA$3,"&lt;"&amp;$DF12,$B12:$Y12)+SUMIF($AD$3:$BA$3,"&gt;="&amp;$DG12,$B12:$Y12)),
IF(AO$3=$DF12+'Model Setup'!$N$7,SUMIF($AD$3:$BA$3,"="&amp;$DF12+'Model Setup'!$N$7,$B12:$Y12)+'Model Setup'!$N$8*(SUMIF($AD$3:$BA$3,"&lt;"&amp;$DF12,$B12:$Y12)+SUMIF($AD$3:$BA$3,"&gt;="&amp;$DG12,$B12:$Y12)),
IF(AO$3&lt;$DG12,M12,0))))))))))))))),0)</f>
        <v>7</v>
      </c>
      <c r="AP12" s="47">
        <f>ROUND(IF(AP$3&lt;$DF12,0,
IF(AP$3=$DF12+'Model Setup'!$B$7,SUMIF($AD$3:$BA$3,"="&amp;$DF12+'Model Setup'!$B$7,$B12:$Y12)+'Model Setup'!$B$8*(SUMIF($AD$3:$BA$3,"&lt;"&amp;$DF12,$B12:$Y12)+SUMIF($AD$3:$BA$3,"&gt;="&amp;$DG12,$B12:$Y12)),
IF(AP$3=$DF12+'Model Setup'!$C$7,SUMIF($AD$3:$BA$3,"="&amp;$DF12+'Model Setup'!$C$7,$B12:$Y12)+'Model Setup'!$C$8*(SUMIF($AD$3:$BA$3,"&lt;"&amp;$DF12,$B12:$Y12)+SUMIF($AD$3:$BA$3,"&gt;="&amp;$DG12,$B12:$Y12)),
IF(AP$3=$DF12+'Model Setup'!$D$7,SUMIF($AD$3:$BA$3,"="&amp;$DF12+'Model Setup'!$D$7,$B12:$Y12)+'Model Setup'!$D$8*(SUMIF($AD$3:$BA$3,"&lt;"&amp;$DF12,$B12:$Y12)+SUMIF($AD$3:$BA$3,"&gt;="&amp;$DG12,$B12:$Y12)),
IF(AP$3=$DF12+'Model Setup'!$E$7,SUMIF($AD$3:$BA$3,"="&amp;$DF12+'Model Setup'!$E$7,$B12:$Y12)+'Model Setup'!$E$8*(SUMIF($AD$3:$BA$3,"&lt;"&amp;$DF12,$B12:$Y12)+SUMIF($AD$3:$BA$3,"&gt;="&amp;$DG12,$B12:$Y12)),
IF(AP$3=$DF12+'Model Setup'!$F$7,SUMIF($AD$3:$BA$3,"="&amp;$DF12+'Model Setup'!$F$7,$B12:$Y12)+'Model Setup'!$F$8*(SUMIF($AD$3:$BA$3,"&lt;"&amp;$DF12,$B12:$Y12)+SUMIF($AD$3:$BA$3,"&gt;="&amp;$DG12,$B12:$Y12)),
IF(AP$3=$DF12+'Model Setup'!$G$7,SUMIF($AD$3:$BA$3,"="&amp;$DF12+'Model Setup'!$G$7,$B12:$Y12)+'Model Setup'!$G$8*(SUMIF($AD$3:$BA$3,"&lt;"&amp;$DF12,$B12:$Y12)+SUMIF($AD$3:$BA$3,"&gt;="&amp;$DG12,$B12:$Y12)),
IF(AP$3=$DF12+'Model Setup'!$H$7,SUMIF($AD$3:$BA$3,"="&amp;$DF12+'Model Setup'!$H$7,$B12:$Y12)+'Model Setup'!$H$8*(SUMIF($AD$3:$BA$3,"&lt;"&amp;$DF12,$B12:$Y12)+SUMIF($AD$3:$BA$3,"&gt;="&amp;$DG12,$B12:$Y12)),
IF(AP$3=$DF12+'Model Setup'!$I$7,SUMIF($AD$3:$BA$3,"="&amp;$DF12+'Model Setup'!$I$7,$B12:$Y12)+'Model Setup'!$I$8*(SUMIF($AD$3:$BA$3,"&lt;"&amp;$DF12,$B12:$Y12)+SUMIF($AD$3:$BA$3,"&gt;="&amp;$DG12,$B12:$Y12)),
IF(AP$3=$DF12+'Model Setup'!$J$7,SUMIF($AD$3:$BA$3,"="&amp;$DF12+'Model Setup'!$J$7,$B12:$Y12)+'Model Setup'!$J$8*(SUMIF($AD$3:$BA$3,"&lt;"&amp;$DF12,$B12:$Y12)+SUMIF($AD$3:$BA$3,"&gt;="&amp;$DG12,$B12:$Y12)),
IF(AP$3=$DF12+'Model Setup'!$K$7,SUMIF($AD$3:$BA$3,"="&amp;$DF12+'Model Setup'!$K$7,$B12:$Y12)+'Model Setup'!$K$8*(SUMIF($AD$3:$BA$3,"&lt;"&amp;$DF12,$B12:$Y12)+SUMIF($AD$3:$BA$3,"&gt;="&amp;$DG12,$B12:$Y12)),
IF(AP$3=$DF12+'Model Setup'!$L$7,SUMIF($AD$3:$BA$3,"="&amp;$DF12+'Model Setup'!$L$7,$B12:$Y12)+'Model Setup'!$L$8*(SUMIF($AD$3:$BA$3,"&lt;"&amp;$DF12,$B12:$Y12)+SUMIF($AD$3:$BA$3,"&gt;="&amp;$DG12,$B12:$Y12)),
IF(AP$3=$DF12+'Model Setup'!$M$7,SUMIF($AD$3:$BA$3,"="&amp;$DF12+'Model Setup'!$M$7,$B12:$Y12)+'Model Setup'!$M$8*(SUMIF($AD$3:$BA$3,"&lt;"&amp;$DF12,$B12:$Y12)+SUMIF($AD$3:$BA$3,"&gt;="&amp;$DG12,$B12:$Y12)),
IF(AP$3=$DF12+'Model Setup'!$N$7,SUMIF($AD$3:$BA$3,"="&amp;$DF12+'Model Setup'!$N$7,$B12:$Y12)+'Model Setup'!$N$8*(SUMIF($AD$3:$BA$3,"&lt;"&amp;$DF12,$B12:$Y12)+SUMIF($AD$3:$BA$3,"&gt;="&amp;$DG12,$B12:$Y12)),
IF(AP$3&lt;$DG12,N12,0))))))))))))))),0)</f>
        <v>8</v>
      </c>
      <c r="AQ12" s="47">
        <f>ROUND(IF(AQ$3&lt;$DF12,0,
IF(AQ$3=$DF12+'Model Setup'!$B$7,SUMIF($AD$3:$BA$3,"="&amp;$DF12+'Model Setup'!$B$7,$B12:$Y12)+'Model Setup'!$B$8*(SUMIF($AD$3:$BA$3,"&lt;"&amp;$DF12,$B12:$Y12)+SUMIF($AD$3:$BA$3,"&gt;="&amp;$DG12,$B12:$Y12)),
IF(AQ$3=$DF12+'Model Setup'!$C$7,SUMIF($AD$3:$BA$3,"="&amp;$DF12+'Model Setup'!$C$7,$B12:$Y12)+'Model Setup'!$C$8*(SUMIF($AD$3:$BA$3,"&lt;"&amp;$DF12,$B12:$Y12)+SUMIF($AD$3:$BA$3,"&gt;="&amp;$DG12,$B12:$Y12)),
IF(AQ$3=$DF12+'Model Setup'!$D$7,SUMIF($AD$3:$BA$3,"="&amp;$DF12+'Model Setup'!$D$7,$B12:$Y12)+'Model Setup'!$D$8*(SUMIF($AD$3:$BA$3,"&lt;"&amp;$DF12,$B12:$Y12)+SUMIF($AD$3:$BA$3,"&gt;="&amp;$DG12,$B12:$Y12)),
IF(AQ$3=$DF12+'Model Setup'!$E$7,SUMIF($AD$3:$BA$3,"="&amp;$DF12+'Model Setup'!$E$7,$B12:$Y12)+'Model Setup'!$E$8*(SUMIF($AD$3:$BA$3,"&lt;"&amp;$DF12,$B12:$Y12)+SUMIF($AD$3:$BA$3,"&gt;="&amp;$DG12,$B12:$Y12)),
IF(AQ$3=$DF12+'Model Setup'!$F$7,SUMIF($AD$3:$BA$3,"="&amp;$DF12+'Model Setup'!$F$7,$B12:$Y12)+'Model Setup'!$F$8*(SUMIF($AD$3:$BA$3,"&lt;"&amp;$DF12,$B12:$Y12)+SUMIF($AD$3:$BA$3,"&gt;="&amp;$DG12,$B12:$Y12)),
IF(AQ$3=$DF12+'Model Setup'!$G$7,SUMIF($AD$3:$BA$3,"="&amp;$DF12+'Model Setup'!$G$7,$B12:$Y12)+'Model Setup'!$G$8*(SUMIF($AD$3:$BA$3,"&lt;"&amp;$DF12,$B12:$Y12)+SUMIF($AD$3:$BA$3,"&gt;="&amp;$DG12,$B12:$Y12)),
IF(AQ$3=$DF12+'Model Setup'!$H$7,SUMIF($AD$3:$BA$3,"="&amp;$DF12+'Model Setup'!$H$7,$B12:$Y12)+'Model Setup'!$H$8*(SUMIF($AD$3:$BA$3,"&lt;"&amp;$DF12,$B12:$Y12)+SUMIF($AD$3:$BA$3,"&gt;="&amp;$DG12,$B12:$Y12)),
IF(AQ$3=$DF12+'Model Setup'!$I$7,SUMIF($AD$3:$BA$3,"="&amp;$DF12+'Model Setup'!$I$7,$B12:$Y12)+'Model Setup'!$I$8*(SUMIF($AD$3:$BA$3,"&lt;"&amp;$DF12,$B12:$Y12)+SUMIF($AD$3:$BA$3,"&gt;="&amp;$DG12,$B12:$Y12)),
IF(AQ$3=$DF12+'Model Setup'!$J$7,SUMIF($AD$3:$BA$3,"="&amp;$DF12+'Model Setup'!$J$7,$B12:$Y12)+'Model Setup'!$J$8*(SUMIF($AD$3:$BA$3,"&lt;"&amp;$DF12,$B12:$Y12)+SUMIF($AD$3:$BA$3,"&gt;="&amp;$DG12,$B12:$Y12)),
IF(AQ$3=$DF12+'Model Setup'!$K$7,SUMIF($AD$3:$BA$3,"="&amp;$DF12+'Model Setup'!$K$7,$B12:$Y12)+'Model Setup'!$K$8*(SUMIF($AD$3:$BA$3,"&lt;"&amp;$DF12,$B12:$Y12)+SUMIF($AD$3:$BA$3,"&gt;="&amp;$DG12,$B12:$Y12)),
IF(AQ$3=$DF12+'Model Setup'!$L$7,SUMIF($AD$3:$BA$3,"="&amp;$DF12+'Model Setup'!$L$7,$B12:$Y12)+'Model Setup'!$L$8*(SUMIF($AD$3:$BA$3,"&lt;"&amp;$DF12,$B12:$Y12)+SUMIF($AD$3:$BA$3,"&gt;="&amp;$DG12,$B12:$Y12)),
IF(AQ$3=$DF12+'Model Setup'!$M$7,SUMIF($AD$3:$BA$3,"="&amp;$DF12+'Model Setup'!$M$7,$B12:$Y12)+'Model Setup'!$M$8*(SUMIF($AD$3:$BA$3,"&lt;"&amp;$DF12,$B12:$Y12)+SUMIF($AD$3:$BA$3,"&gt;="&amp;$DG12,$B12:$Y12)),
IF(AQ$3=$DF12+'Model Setup'!$N$7,SUMIF($AD$3:$BA$3,"="&amp;$DF12+'Model Setup'!$N$7,$B12:$Y12)+'Model Setup'!$N$8*(SUMIF($AD$3:$BA$3,"&lt;"&amp;$DF12,$B12:$Y12)+SUMIF($AD$3:$BA$3,"&gt;="&amp;$DG12,$B12:$Y12)),
IF(AQ$3&lt;$DG12,O12,0))))))))))))))),0)</f>
        <v>10</v>
      </c>
      <c r="AR12" s="47">
        <f>ROUND(IF(AR$3&lt;$DF12,0,
IF(AR$3=$DF12+'Model Setup'!$B$7,SUMIF($AD$3:$BA$3,"="&amp;$DF12+'Model Setup'!$B$7,$B12:$Y12)+'Model Setup'!$B$8*(SUMIF($AD$3:$BA$3,"&lt;"&amp;$DF12,$B12:$Y12)+SUMIF($AD$3:$BA$3,"&gt;="&amp;$DG12,$B12:$Y12)),
IF(AR$3=$DF12+'Model Setup'!$C$7,SUMIF($AD$3:$BA$3,"="&amp;$DF12+'Model Setup'!$C$7,$B12:$Y12)+'Model Setup'!$C$8*(SUMIF($AD$3:$BA$3,"&lt;"&amp;$DF12,$B12:$Y12)+SUMIF($AD$3:$BA$3,"&gt;="&amp;$DG12,$B12:$Y12)),
IF(AR$3=$DF12+'Model Setup'!$D$7,SUMIF($AD$3:$BA$3,"="&amp;$DF12+'Model Setup'!$D$7,$B12:$Y12)+'Model Setup'!$D$8*(SUMIF($AD$3:$BA$3,"&lt;"&amp;$DF12,$B12:$Y12)+SUMIF($AD$3:$BA$3,"&gt;="&amp;$DG12,$B12:$Y12)),
IF(AR$3=$DF12+'Model Setup'!$E$7,SUMIF($AD$3:$BA$3,"="&amp;$DF12+'Model Setup'!$E$7,$B12:$Y12)+'Model Setup'!$E$8*(SUMIF($AD$3:$BA$3,"&lt;"&amp;$DF12,$B12:$Y12)+SUMIF($AD$3:$BA$3,"&gt;="&amp;$DG12,$B12:$Y12)),
IF(AR$3=$DF12+'Model Setup'!$F$7,SUMIF($AD$3:$BA$3,"="&amp;$DF12+'Model Setup'!$F$7,$B12:$Y12)+'Model Setup'!$F$8*(SUMIF($AD$3:$BA$3,"&lt;"&amp;$DF12,$B12:$Y12)+SUMIF($AD$3:$BA$3,"&gt;="&amp;$DG12,$B12:$Y12)),
IF(AR$3=$DF12+'Model Setup'!$G$7,SUMIF($AD$3:$BA$3,"="&amp;$DF12+'Model Setup'!$G$7,$B12:$Y12)+'Model Setup'!$G$8*(SUMIF($AD$3:$BA$3,"&lt;"&amp;$DF12,$B12:$Y12)+SUMIF($AD$3:$BA$3,"&gt;="&amp;$DG12,$B12:$Y12)),
IF(AR$3=$DF12+'Model Setup'!$H$7,SUMIF($AD$3:$BA$3,"="&amp;$DF12+'Model Setup'!$H$7,$B12:$Y12)+'Model Setup'!$H$8*(SUMIF($AD$3:$BA$3,"&lt;"&amp;$DF12,$B12:$Y12)+SUMIF($AD$3:$BA$3,"&gt;="&amp;$DG12,$B12:$Y12)),
IF(AR$3=$DF12+'Model Setup'!$I$7,SUMIF($AD$3:$BA$3,"="&amp;$DF12+'Model Setup'!$I$7,$B12:$Y12)+'Model Setup'!$I$8*(SUMIF($AD$3:$BA$3,"&lt;"&amp;$DF12,$B12:$Y12)+SUMIF($AD$3:$BA$3,"&gt;="&amp;$DG12,$B12:$Y12)),
IF(AR$3=$DF12+'Model Setup'!$J$7,SUMIF($AD$3:$BA$3,"="&amp;$DF12+'Model Setup'!$J$7,$B12:$Y12)+'Model Setup'!$J$8*(SUMIF($AD$3:$BA$3,"&lt;"&amp;$DF12,$B12:$Y12)+SUMIF($AD$3:$BA$3,"&gt;="&amp;$DG12,$B12:$Y12)),
IF(AR$3=$DF12+'Model Setup'!$K$7,SUMIF($AD$3:$BA$3,"="&amp;$DF12+'Model Setup'!$K$7,$B12:$Y12)+'Model Setup'!$K$8*(SUMIF($AD$3:$BA$3,"&lt;"&amp;$DF12,$B12:$Y12)+SUMIF($AD$3:$BA$3,"&gt;="&amp;$DG12,$B12:$Y12)),
IF(AR$3=$DF12+'Model Setup'!$L$7,SUMIF($AD$3:$BA$3,"="&amp;$DF12+'Model Setup'!$L$7,$B12:$Y12)+'Model Setup'!$L$8*(SUMIF($AD$3:$BA$3,"&lt;"&amp;$DF12,$B12:$Y12)+SUMIF($AD$3:$BA$3,"&gt;="&amp;$DG12,$B12:$Y12)),
IF(AR$3=$DF12+'Model Setup'!$M$7,SUMIF($AD$3:$BA$3,"="&amp;$DF12+'Model Setup'!$M$7,$B12:$Y12)+'Model Setup'!$M$8*(SUMIF($AD$3:$BA$3,"&lt;"&amp;$DF12,$B12:$Y12)+SUMIF($AD$3:$BA$3,"&gt;="&amp;$DG12,$B12:$Y12)),
IF(AR$3=$DF12+'Model Setup'!$N$7,SUMIF($AD$3:$BA$3,"="&amp;$DF12+'Model Setup'!$N$7,$B12:$Y12)+'Model Setup'!$N$8*(SUMIF($AD$3:$BA$3,"&lt;"&amp;$DF12,$B12:$Y12)+SUMIF($AD$3:$BA$3,"&gt;="&amp;$DG12,$B12:$Y12)),
IF(AR$3&lt;$DG12,P12,0))))))))))))))),0)</f>
        <v>7</v>
      </c>
      <c r="AS12" s="47">
        <f>ROUND(IF(AS$3&lt;$DF12,0,
IF(AS$3=$DF12+'Model Setup'!$B$7,SUMIF($AD$3:$BA$3,"="&amp;$DF12+'Model Setup'!$B$7,$B12:$Y12)+'Model Setup'!$B$8*(SUMIF($AD$3:$BA$3,"&lt;"&amp;$DF12,$B12:$Y12)+SUMIF($AD$3:$BA$3,"&gt;="&amp;$DG12,$B12:$Y12)),
IF(AS$3=$DF12+'Model Setup'!$C$7,SUMIF($AD$3:$BA$3,"="&amp;$DF12+'Model Setup'!$C$7,$B12:$Y12)+'Model Setup'!$C$8*(SUMIF($AD$3:$BA$3,"&lt;"&amp;$DF12,$B12:$Y12)+SUMIF($AD$3:$BA$3,"&gt;="&amp;$DG12,$B12:$Y12)),
IF(AS$3=$DF12+'Model Setup'!$D$7,SUMIF($AD$3:$BA$3,"="&amp;$DF12+'Model Setup'!$D$7,$B12:$Y12)+'Model Setup'!$D$8*(SUMIF($AD$3:$BA$3,"&lt;"&amp;$DF12,$B12:$Y12)+SUMIF($AD$3:$BA$3,"&gt;="&amp;$DG12,$B12:$Y12)),
IF(AS$3=$DF12+'Model Setup'!$E$7,SUMIF($AD$3:$BA$3,"="&amp;$DF12+'Model Setup'!$E$7,$B12:$Y12)+'Model Setup'!$E$8*(SUMIF($AD$3:$BA$3,"&lt;"&amp;$DF12,$B12:$Y12)+SUMIF($AD$3:$BA$3,"&gt;="&amp;$DG12,$B12:$Y12)),
IF(AS$3=$DF12+'Model Setup'!$F$7,SUMIF($AD$3:$BA$3,"="&amp;$DF12+'Model Setup'!$F$7,$B12:$Y12)+'Model Setup'!$F$8*(SUMIF($AD$3:$BA$3,"&lt;"&amp;$DF12,$B12:$Y12)+SUMIF($AD$3:$BA$3,"&gt;="&amp;$DG12,$B12:$Y12)),
IF(AS$3=$DF12+'Model Setup'!$G$7,SUMIF($AD$3:$BA$3,"="&amp;$DF12+'Model Setup'!$G$7,$B12:$Y12)+'Model Setup'!$G$8*(SUMIF($AD$3:$BA$3,"&lt;"&amp;$DF12,$B12:$Y12)+SUMIF($AD$3:$BA$3,"&gt;="&amp;$DG12,$B12:$Y12)),
IF(AS$3=$DF12+'Model Setup'!$H$7,SUMIF($AD$3:$BA$3,"="&amp;$DF12+'Model Setup'!$H$7,$B12:$Y12)+'Model Setup'!$H$8*(SUMIF($AD$3:$BA$3,"&lt;"&amp;$DF12,$B12:$Y12)+SUMIF($AD$3:$BA$3,"&gt;="&amp;$DG12,$B12:$Y12)),
IF(AS$3=$DF12+'Model Setup'!$I$7,SUMIF($AD$3:$BA$3,"="&amp;$DF12+'Model Setup'!$I$7,$B12:$Y12)+'Model Setup'!$I$8*(SUMIF($AD$3:$BA$3,"&lt;"&amp;$DF12,$B12:$Y12)+SUMIF($AD$3:$BA$3,"&gt;="&amp;$DG12,$B12:$Y12)),
IF(AS$3=$DF12+'Model Setup'!$J$7,SUMIF($AD$3:$BA$3,"="&amp;$DF12+'Model Setup'!$J$7,$B12:$Y12)+'Model Setup'!$J$8*(SUMIF($AD$3:$BA$3,"&lt;"&amp;$DF12,$B12:$Y12)+SUMIF($AD$3:$BA$3,"&gt;="&amp;$DG12,$B12:$Y12)),
IF(AS$3=$DF12+'Model Setup'!$K$7,SUMIF($AD$3:$BA$3,"="&amp;$DF12+'Model Setup'!$K$7,$B12:$Y12)+'Model Setup'!$K$8*(SUMIF($AD$3:$BA$3,"&lt;"&amp;$DF12,$B12:$Y12)+SUMIF($AD$3:$BA$3,"&gt;="&amp;$DG12,$B12:$Y12)),
IF(AS$3=$DF12+'Model Setup'!$L$7,SUMIF($AD$3:$BA$3,"="&amp;$DF12+'Model Setup'!$L$7,$B12:$Y12)+'Model Setup'!$L$8*(SUMIF($AD$3:$BA$3,"&lt;"&amp;$DF12,$B12:$Y12)+SUMIF($AD$3:$BA$3,"&gt;="&amp;$DG12,$B12:$Y12)),
IF(AS$3=$DF12+'Model Setup'!$M$7,SUMIF($AD$3:$BA$3,"="&amp;$DF12+'Model Setup'!$M$7,$B12:$Y12)+'Model Setup'!$M$8*(SUMIF($AD$3:$BA$3,"&lt;"&amp;$DF12,$B12:$Y12)+SUMIF($AD$3:$BA$3,"&gt;="&amp;$DG12,$B12:$Y12)),
IF(AS$3=$DF12+'Model Setup'!$N$7,SUMIF($AD$3:$BA$3,"="&amp;$DF12+'Model Setup'!$N$7,$B12:$Y12)+'Model Setup'!$N$8*(SUMIF($AD$3:$BA$3,"&lt;"&amp;$DF12,$B12:$Y12)+SUMIF($AD$3:$BA$3,"&gt;="&amp;$DG12,$B12:$Y12)),
IF(AS$3&lt;$DG12,Q12,0))))))))))))))),0)</f>
        <v>5</v>
      </c>
      <c r="AT12" s="47">
        <f>ROUND(IF(AT$3&lt;$DF12,0,
IF(AT$3=$DF12+'Model Setup'!$B$7,SUMIF($AD$3:$BA$3,"="&amp;$DF12+'Model Setup'!$B$7,$B12:$Y12)+'Model Setup'!$B$8*(SUMIF($AD$3:$BA$3,"&lt;"&amp;$DF12,$B12:$Y12)+SUMIF($AD$3:$BA$3,"&gt;="&amp;$DG12,$B12:$Y12)),
IF(AT$3=$DF12+'Model Setup'!$C$7,SUMIF($AD$3:$BA$3,"="&amp;$DF12+'Model Setup'!$C$7,$B12:$Y12)+'Model Setup'!$C$8*(SUMIF($AD$3:$BA$3,"&lt;"&amp;$DF12,$B12:$Y12)+SUMIF($AD$3:$BA$3,"&gt;="&amp;$DG12,$B12:$Y12)),
IF(AT$3=$DF12+'Model Setup'!$D$7,SUMIF($AD$3:$BA$3,"="&amp;$DF12+'Model Setup'!$D$7,$B12:$Y12)+'Model Setup'!$D$8*(SUMIF($AD$3:$BA$3,"&lt;"&amp;$DF12,$B12:$Y12)+SUMIF($AD$3:$BA$3,"&gt;="&amp;$DG12,$B12:$Y12)),
IF(AT$3=$DF12+'Model Setup'!$E$7,SUMIF($AD$3:$BA$3,"="&amp;$DF12+'Model Setup'!$E$7,$B12:$Y12)+'Model Setup'!$E$8*(SUMIF($AD$3:$BA$3,"&lt;"&amp;$DF12,$B12:$Y12)+SUMIF($AD$3:$BA$3,"&gt;="&amp;$DG12,$B12:$Y12)),
IF(AT$3=$DF12+'Model Setup'!$F$7,SUMIF($AD$3:$BA$3,"="&amp;$DF12+'Model Setup'!$F$7,$B12:$Y12)+'Model Setup'!$F$8*(SUMIF($AD$3:$BA$3,"&lt;"&amp;$DF12,$B12:$Y12)+SUMIF($AD$3:$BA$3,"&gt;="&amp;$DG12,$B12:$Y12)),
IF(AT$3=$DF12+'Model Setup'!$G$7,SUMIF($AD$3:$BA$3,"="&amp;$DF12+'Model Setup'!$G$7,$B12:$Y12)+'Model Setup'!$G$8*(SUMIF($AD$3:$BA$3,"&lt;"&amp;$DF12,$B12:$Y12)+SUMIF($AD$3:$BA$3,"&gt;="&amp;$DG12,$B12:$Y12)),
IF(AT$3=$DF12+'Model Setup'!$H$7,SUMIF($AD$3:$BA$3,"="&amp;$DF12+'Model Setup'!$H$7,$B12:$Y12)+'Model Setup'!$H$8*(SUMIF($AD$3:$BA$3,"&lt;"&amp;$DF12,$B12:$Y12)+SUMIF($AD$3:$BA$3,"&gt;="&amp;$DG12,$B12:$Y12)),
IF(AT$3=$DF12+'Model Setup'!$I$7,SUMIF($AD$3:$BA$3,"="&amp;$DF12+'Model Setup'!$I$7,$B12:$Y12)+'Model Setup'!$I$8*(SUMIF($AD$3:$BA$3,"&lt;"&amp;$DF12,$B12:$Y12)+SUMIF($AD$3:$BA$3,"&gt;="&amp;$DG12,$B12:$Y12)),
IF(AT$3=$DF12+'Model Setup'!$J$7,SUMIF($AD$3:$BA$3,"="&amp;$DF12+'Model Setup'!$J$7,$B12:$Y12)+'Model Setup'!$J$8*(SUMIF($AD$3:$BA$3,"&lt;"&amp;$DF12,$B12:$Y12)+SUMIF($AD$3:$BA$3,"&gt;="&amp;$DG12,$B12:$Y12)),
IF(AT$3=$DF12+'Model Setup'!$K$7,SUMIF($AD$3:$BA$3,"="&amp;$DF12+'Model Setup'!$K$7,$B12:$Y12)+'Model Setup'!$K$8*(SUMIF($AD$3:$BA$3,"&lt;"&amp;$DF12,$B12:$Y12)+SUMIF($AD$3:$BA$3,"&gt;="&amp;$DG12,$B12:$Y12)),
IF(AT$3=$DF12+'Model Setup'!$L$7,SUMIF($AD$3:$BA$3,"="&amp;$DF12+'Model Setup'!$L$7,$B12:$Y12)+'Model Setup'!$L$8*(SUMIF($AD$3:$BA$3,"&lt;"&amp;$DF12,$B12:$Y12)+SUMIF($AD$3:$BA$3,"&gt;="&amp;$DG12,$B12:$Y12)),
IF(AT$3=$DF12+'Model Setup'!$M$7,SUMIF($AD$3:$BA$3,"="&amp;$DF12+'Model Setup'!$M$7,$B12:$Y12)+'Model Setup'!$M$8*(SUMIF($AD$3:$BA$3,"&lt;"&amp;$DF12,$B12:$Y12)+SUMIF($AD$3:$BA$3,"&gt;="&amp;$DG12,$B12:$Y12)),
IF(AT$3=$DF12+'Model Setup'!$N$7,SUMIF($AD$3:$BA$3,"="&amp;$DF12+'Model Setup'!$N$7,$B12:$Y12)+'Model Setup'!$N$8*(SUMIF($AD$3:$BA$3,"&lt;"&amp;$DF12,$B12:$Y12)+SUMIF($AD$3:$BA$3,"&gt;="&amp;$DG12,$B12:$Y12)),
IF(AT$3&lt;$DG12,R12,0))))))))))))))),0)</f>
        <v>2</v>
      </c>
      <c r="AU12" s="47">
        <f>ROUND(IF(AU$3&lt;$DF12,0,
IF(AU$3=$DF12+'Model Setup'!$B$7,SUMIF($AD$3:$BA$3,"="&amp;$DF12+'Model Setup'!$B$7,$B12:$Y12)+'Model Setup'!$B$8*(SUMIF($AD$3:$BA$3,"&lt;"&amp;$DF12,$B12:$Y12)+SUMIF($AD$3:$BA$3,"&gt;="&amp;$DG12,$B12:$Y12)),
IF(AU$3=$DF12+'Model Setup'!$C$7,SUMIF($AD$3:$BA$3,"="&amp;$DF12+'Model Setup'!$C$7,$B12:$Y12)+'Model Setup'!$C$8*(SUMIF($AD$3:$BA$3,"&lt;"&amp;$DF12,$B12:$Y12)+SUMIF($AD$3:$BA$3,"&gt;="&amp;$DG12,$B12:$Y12)),
IF(AU$3=$DF12+'Model Setup'!$D$7,SUMIF($AD$3:$BA$3,"="&amp;$DF12+'Model Setup'!$D$7,$B12:$Y12)+'Model Setup'!$D$8*(SUMIF($AD$3:$BA$3,"&lt;"&amp;$DF12,$B12:$Y12)+SUMIF($AD$3:$BA$3,"&gt;="&amp;$DG12,$B12:$Y12)),
IF(AU$3=$DF12+'Model Setup'!$E$7,SUMIF($AD$3:$BA$3,"="&amp;$DF12+'Model Setup'!$E$7,$B12:$Y12)+'Model Setup'!$E$8*(SUMIF($AD$3:$BA$3,"&lt;"&amp;$DF12,$B12:$Y12)+SUMIF($AD$3:$BA$3,"&gt;="&amp;$DG12,$B12:$Y12)),
IF(AU$3=$DF12+'Model Setup'!$F$7,SUMIF($AD$3:$BA$3,"="&amp;$DF12+'Model Setup'!$F$7,$B12:$Y12)+'Model Setup'!$F$8*(SUMIF($AD$3:$BA$3,"&lt;"&amp;$DF12,$B12:$Y12)+SUMIF($AD$3:$BA$3,"&gt;="&amp;$DG12,$B12:$Y12)),
IF(AU$3=$DF12+'Model Setup'!$G$7,SUMIF($AD$3:$BA$3,"="&amp;$DF12+'Model Setup'!$G$7,$B12:$Y12)+'Model Setup'!$G$8*(SUMIF($AD$3:$BA$3,"&lt;"&amp;$DF12,$B12:$Y12)+SUMIF($AD$3:$BA$3,"&gt;="&amp;$DG12,$B12:$Y12)),
IF(AU$3=$DF12+'Model Setup'!$H$7,SUMIF($AD$3:$BA$3,"="&amp;$DF12+'Model Setup'!$H$7,$B12:$Y12)+'Model Setup'!$H$8*(SUMIF($AD$3:$BA$3,"&lt;"&amp;$DF12,$B12:$Y12)+SUMIF($AD$3:$BA$3,"&gt;="&amp;$DG12,$B12:$Y12)),
IF(AU$3=$DF12+'Model Setup'!$I$7,SUMIF($AD$3:$BA$3,"="&amp;$DF12+'Model Setup'!$I$7,$B12:$Y12)+'Model Setup'!$I$8*(SUMIF($AD$3:$BA$3,"&lt;"&amp;$DF12,$B12:$Y12)+SUMIF($AD$3:$BA$3,"&gt;="&amp;$DG12,$B12:$Y12)),
IF(AU$3=$DF12+'Model Setup'!$J$7,SUMIF($AD$3:$BA$3,"="&amp;$DF12+'Model Setup'!$J$7,$B12:$Y12)+'Model Setup'!$J$8*(SUMIF($AD$3:$BA$3,"&lt;"&amp;$DF12,$B12:$Y12)+SUMIF($AD$3:$BA$3,"&gt;="&amp;$DG12,$B12:$Y12)),
IF(AU$3=$DF12+'Model Setup'!$K$7,SUMIF($AD$3:$BA$3,"="&amp;$DF12+'Model Setup'!$K$7,$B12:$Y12)+'Model Setup'!$K$8*(SUMIF($AD$3:$BA$3,"&lt;"&amp;$DF12,$B12:$Y12)+SUMIF($AD$3:$BA$3,"&gt;="&amp;$DG12,$B12:$Y12)),
IF(AU$3=$DF12+'Model Setup'!$L$7,SUMIF($AD$3:$BA$3,"="&amp;$DF12+'Model Setup'!$L$7,$B12:$Y12)+'Model Setup'!$L$8*(SUMIF($AD$3:$BA$3,"&lt;"&amp;$DF12,$B12:$Y12)+SUMIF($AD$3:$BA$3,"&gt;="&amp;$DG12,$B12:$Y12)),
IF(AU$3=$DF12+'Model Setup'!$M$7,SUMIF($AD$3:$BA$3,"="&amp;$DF12+'Model Setup'!$M$7,$B12:$Y12)+'Model Setup'!$M$8*(SUMIF($AD$3:$BA$3,"&lt;"&amp;$DF12,$B12:$Y12)+SUMIF($AD$3:$BA$3,"&gt;="&amp;$DG12,$B12:$Y12)),
IF(AU$3=$DF12+'Model Setup'!$N$7,SUMIF($AD$3:$BA$3,"="&amp;$DF12+'Model Setup'!$N$7,$B12:$Y12)+'Model Setup'!$N$8*(SUMIF($AD$3:$BA$3,"&lt;"&amp;$DF12,$B12:$Y12)+SUMIF($AD$3:$BA$3,"&gt;="&amp;$DG12,$B12:$Y12)),
IF(AU$3&lt;$DG12,S12,0))))))))))))))),0)</f>
        <v>4</v>
      </c>
      <c r="AV12" s="47">
        <f>ROUND(IF(AV$3&lt;$DF12,0,
IF(AV$3=$DF12+'Model Setup'!$B$7,SUMIF($AD$3:$BA$3,"="&amp;$DF12+'Model Setup'!$B$7,$B12:$Y12)+'Model Setup'!$B$8*(SUMIF($AD$3:$BA$3,"&lt;"&amp;$DF12,$B12:$Y12)+SUMIF($AD$3:$BA$3,"&gt;="&amp;$DG12,$B12:$Y12)),
IF(AV$3=$DF12+'Model Setup'!$C$7,SUMIF($AD$3:$BA$3,"="&amp;$DF12+'Model Setup'!$C$7,$B12:$Y12)+'Model Setup'!$C$8*(SUMIF($AD$3:$BA$3,"&lt;"&amp;$DF12,$B12:$Y12)+SUMIF($AD$3:$BA$3,"&gt;="&amp;$DG12,$B12:$Y12)),
IF(AV$3=$DF12+'Model Setup'!$D$7,SUMIF($AD$3:$BA$3,"="&amp;$DF12+'Model Setup'!$D$7,$B12:$Y12)+'Model Setup'!$D$8*(SUMIF($AD$3:$BA$3,"&lt;"&amp;$DF12,$B12:$Y12)+SUMIF($AD$3:$BA$3,"&gt;="&amp;$DG12,$B12:$Y12)),
IF(AV$3=$DF12+'Model Setup'!$E$7,SUMIF($AD$3:$BA$3,"="&amp;$DF12+'Model Setup'!$E$7,$B12:$Y12)+'Model Setup'!$E$8*(SUMIF($AD$3:$BA$3,"&lt;"&amp;$DF12,$B12:$Y12)+SUMIF($AD$3:$BA$3,"&gt;="&amp;$DG12,$B12:$Y12)),
IF(AV$3=$DF12+'Model Setup'!$F$7,SUMIF($AD$3:$BA$3,"="&amp;$DF12+'Model Setup'!$F$7,$B12:$Y12)+'Model Setup'!$F$8*(SUMIF($AD$3:$BA$3,"&lt;"&amp;$DF12,$B12:$Y12)+SUMIF($AD$3:$BA$3,"&gt;="&amp;$DG12,$B12:$Y12)),
IF(AV$3=$DF12+'Model Setup'!$G$7,SUMIF($AD$3:$BA$3,"="&amp;$DF12+'Model Setup'!$G$7,$B12:$Y12)+'Model Setup'!$G$8*(SUMIF($AD$3:$BA$3,"&lt;"&amp;$DF12,$B12:$Y12)+SUMIF($AD$3:$BA$3,"&gt;="&amp;$DG12,$B12:$Y12)),
IF(AV$3=$DF12+'Model Setup'!$H$7,SUMIF($AD$3:$BA$3,"="&amp;$DF12+'Model Setup'!$H$7,$B12:$Y12)+'Model Setup'!$H$8*(SUMIF($AD$3:$BA$3,"&lt;"&amp;$DF12,$B12:$Y12)+SUMIF($AD$3:$BA$3,"&gt;="&amp;$DG12,$B12:$Y12)),
IF(AV$3=$DF12+'Model Setup'!$I$7,SUMIF($AD$3:$BA$3,"="&amp;$DF12+'Model Setup'!$I$7,$B12:$Y12)+'Model Setup'!$I$8*(SUMIF($AD$3:$BA$3,"&lt;"&amp;$DF12,$B12:$Y12)+SUMIF($AD$3:$BA$3,"&gt;="&amp;$DG12,$B12:$Y12)),
IF(AV$3=$DF12+'Model Setup'!$J$7,SUMIF($AD$3:$BA$3,"="&amp;$DF12+'Model Setup'!$J$7,$B12:$Y12)+'Model Setup'!$J$8*(SUMIF($AD$3:$BA$3,"&lt;"&amp;$DF12,$B12:$Y12)+SUMIF($AD$3:$BA$3,"&gt;="&amp;$DG12,$B12:$Y12)),
IF(AV$3=$DF12+'Model Setup'!$K$7,SUMIF($AD$3:$BA$3,"="&amp;$DF12+'Model Setup'!$K$7,$B12:$Y12)+'Model Setup'!$K$8*(SUMIF($AD$3:$BA$3,"&lt;"&amp;$DF12,$B12:$Y12)+SUMIF($AD$3:$BA$3,"&gt;="&amp;$DG12,$B12:$Y12)),
IF(AV$3=$DF12+'Model Setup'!$L$7,SUMIF($AD$3:$BA$3,"="&amp;$DF12+'Model Setup'!$L$7,$B12:$Y12)+'Model Setup'!$L$8*(SUMIF($AD$3:$BA$3,"&lt;"&amp;$DF12,$B12:$Y12)+SUMIF($AD$3:$BA$3,"&gt;="&amp;$DG12,$B12:$Y12)),
IF(AV$3=$DF12+'Model Setup'!$M$7,SUMIF($AD$3:$BA$3,"="&amp;$DF12+'Model Setup'!$M$7,$B12:$Y12)+'Model Setup'!$M$8*(SUMIF($AD$3:$BA$3,"&lt;"&amp;$DF12,$B12:$Y12)+SUMIF($AD$3:$BA$3,"&gt;="&amp;$DG12,$B12:$Y12)),
IF(AV$3=$DF12+'Model Setup'!$N$7,SUMIF($AD$3:$BA$3,"="&amp;$DF12+'Model Setup'!$N$7,$B12:$Y12)+'Model Setup'!$N$8*(SUMIF($AD$3:$BA$3,"&lt;"&amp;$DF12,$B12:$Y12)+SUMIF($AD$3:$BA$3,"&gt;="&amp;$DG12,$B12:$Y12)),
IF(AV$3&lt;$DG12,T12,0))))))))))))))),0)</f>
        <v>0</v>
      </c>
      <c r="AW12" s="47">
        <f>ROUND(IF(AW$3&lt;$DF12,0,
IF(AW$3=$DF12+'Model Setup'!$B$7,SUMIF($AD$3:$BA$3,"="&amp;$DF12+'Model Setup'!$B$7,$B12:$Y12)+'Model Setup'!$B$8*(SUMIF($AD$3:$BA$3,"&lt;"&amp;$DF12,$B12:$Y12)+SUMIF($AD$3:$BA$3,"&gt;="&amp;$DG12,$B12:$Y12)),
IF(AW$3=$DF12+'Model Setup'!$C$7,SUMIF($AD$3:$BA$3,"="&amp;$DF12+'Model Setup'!$C$7,$B12:$Y12)+'Model Setup'!$C$8*(SUMIF($AD$3:$BA$3,"&lt;"&amp;$DF12,$B12:$Y12)+SUMIF($AD$3:$BA$3,"&gt;="&amp;$DG12,$B12:$Y12)),
IF(AW$3=$DF12+'Model Setup'!$D$7,SUMIF($AD$3:$BA$3,"="&amp;$DF12+'Model Setup'!$D$7,$B12:$Y12)+'Model Setup'!$D$8*(SUMIF($AD$3:$BA$3,"&lt;"&amp;$DF12,$B12:$Y12)+SUMIF($AD$3:$BA$3,"&gt;="&amp;$DG12,$B12:$Y12)),
IF(AW$3=$DF12+'Model Setup'!$E$7,SUMIF($AD$3:$BA$3,"="&amp;$DF12+'Model Setup'!$E$7,$B12:$Y12)+'Model Setup'!$E$8*(SUMIF($AD$3:$BA$3,"&lt;"&amp;$DF12,$B12:$Y12)+SUMIF($AD$3:$BA$3,"&gt;="&amp;$DG12,$B12:$Y12)),
IF(AW$3=$DF12+'Model Setup'!$F$7,SUMIF($AD$3:$BA$3,"="&amp;$DF12+'Model Setup'!$F$7,$B12:$Y12)+'Model Setup'!$F$8*(SUMIF($AD$3:$BA$3,"&lt;"&amp;$DF12,$B12:$Y12)+SUMIF($AD$3:$BA$3,"&gt;="&amp;$DG12,$B12:$Y12)),
IF(AW$3=$DF12+'Model Setup'!$G$7,SUMIF($AD$3:$BA$3,"="&amp;$DF12+'Model Setup'!$G$7,$B12:$Y12)+'Model Setup'!$G$8*(SUMIF($AD$3:$BA$3,"&lt;"&amp;$DF12,$B12:$Y12)+SUMIF($AD$3:$BA$3,"&gt;="&amp;$DG12,$B12:$Y12)),
IF(AW$3=$DF12+'Model Setup'!$H$7,SUMIF($AD$3:$BA$3,"="&amp;$DF12+'Model Setup'!$H$7,$B12:$Y12)+'Model Setup'!$H$8*(SUMIF($AD$3:$BA$3,"&lt;"&amp;$DF12,$B12:$Y12)+SUMIF($AD$3:$BA$3,"&gt;="&amp;$DG12,$B12:$Y12)),
IF(AW$3=$DF12+'Model Setup'!$I$7,SUMIF($AD$3:$BA$3,"="&amp;$DF12+'Model Setup'!$I$7,$B12:$Y12)+'Model Setup'!$I$8*(SUMIF($AD$3:$BA$3,"&lt;"&amp;$DF12,$B12:$Y12)+SUMIF($AD$3:$BA$3,"&gt;="&amp;$DG12,$B12:$Y12)),
IF(AW$3=$DF12+'Model Setup'!$J$7,SUMIF($AD$3:$BA$3,"="&amp;$DF12+'Model Setup'!$J$7,$B12:$Y12)+'Model Setup'!$J$8*(SUMIF($AD$3:$BA$3,"&lt;"&amp;$DF12,$B12:$Y12)+SUMIF($AD$3:$BA$3,"&gt;="&amp;$DG12,$B12:$Y12)),
IF(AW$3=$DF12+'Model Setup'!$K$7,SUMIF($AD$3:$BA$3,"="&amp;$DF12+'Model Setup'!$K$7,$B12:$Y12)+'Model Setup'!$K$8*(SUMIF($AD$3:$BA$3,"&lt;"&amp;$DF12,$B12:$Y12)+SUMIF($AD$3:$BA$3,"&gt;="&amp;$DG12,$B12:$Y12)),
IF(AW$3=$DF12+'Model Setup'!$L$7,SUMIF($AD$3:$BA$3,"="&amp;$DF12+'Model Setup'!$L$7,$B12:$Y12)+'Model Setup'!$L$8*(SUMIF($AD$3:$BA$3,"&lt;"&amp;$DF12,$B12:$Y12)+SUMIF($AD$3:$BA$3,"&gt;="&amp;$DG12,$B12:$Y12)),
IF(AW$3=$DF12+'Model Setup'!$M$7,SUMIF($AD$3:$BA$3,"="&amp;$DF12+'Model Setup'!$M$7,$B12:$Y12)+'Model Setup'!$M$8*(SUMIF($AD$3:$BA$3,"&lt;"&amp;$DF12,$B12:$Y12)+SUMIF($AD$3:$BA$3,"&gt;="&amp;$DG12,$B12:$Y12)),
IF(AW$3=$DF12+'Model Setup'!$N$7,SUMIF($AD$3:$BA$3,"="&amp;$DF12+'Model Setup'!$N$7,$B12:$Y12)+'Model Setup'!$N$8*(SUMIF($AD$3:$BA$3,"&lt;"&amp;$DF12,$B12:$Y12)+SUMIF($AD$3:$BA$3,"&gt;="&amp;$DG12,$B12:$Y12)),
IF(AW$3&lt;$DG12,U12,0))))))))))))))),0)</f>
        <v>0</v>
      </c>
      <c r="AX12" s="47">
        <f>ROUND(IF(AX$3&lt;$DF12,0,
IF(AX$3=$DF12+'Model Setup'!$B$7,SUMIF($AD$3:$BA$3,"="&amp;$DF12+'Model Setup'!$B$7,$B12:$Y12)+'Model Setup'!$B$8*(SUMIF($AD$3:$BA$3,"&lt;"&amp;$DF12,$B12:$Y12)+SUMIF($AD$3:$BA$3,"&gt;="&amp;$DG12,$B12:$Y12)),
IF(AX$3=$DF12+'Model Setup'!$C$7,SUMIF($AD$3:$BA$3,"="&amp;$DF12+'Model Setup'!$C$7,$B12:$Y12)+'Model Setup'!$C$8*(SUMIF($AD$3:$BA$3,"&lt;"&amp;$DF12,$B12:$Y12)+SUMIF($AD$3:$BA$3,"&gt;="&amp;$DG12,$B12:$Y12)),
IF(AX$3=$DF12+'Model Setup'!$D$7,SUMIF($AD$3:$BA$3,"="&amp;$DF12+'Model Setup'!$D$7,$B12:$Y12)+'Model Setup'!$D$8*(SUMIF($AD$3:$BA$3,"&lt;"&amp;$DF12,$B12:$Y12)+SUMIF($AD$3:$BA$3,"&gt;="&amp;$DG12,$B12:$Y12)),
IF(AX$3=$DF12+'Model Setup'!$E$7,SUMIF($AD$3:$BA$3,"="&amp;$DF12+'Model Setup'!$E$7,$B12:$Y12)+'Model Setup'!$E$8*(SUMIF($AD$3:$BA$3,"&lt;"&amp;$DF12,$B12:$Y12)+SUMIF($AD$3:$BA$3,"&gt;="&amp;$DG12,$B12:$Y12)),
IF(AX$3=$DF12+'Model Setup'!$F$7,SUMIF($AD$3:$BA$3,"="&amp;$DF12+'Model Setup'!$F$7,$B12:$Y12)+'Model Setup'!$F$8*(SUMIF($AD$3:$BA$3,"&lt;"&amp;$DF12,$B12:$Y12)+SUMIF($AD$3:$BA$3,"&gt;="&amp;$DG12,$B12:$Y12)),
IF(AX$3=$DF12+'Model Setup'!$G$7,SUMIF($AD$3:$BA$3,"="&amp;$DF12+'Model Setup'!$G$7,$B12:$Y12)+'Model Setup'!$G$8*(SUMIF($AD$3:$BA$3,"&lt;"&amp;$DF12,$B12:$Y12)+SUMIF($AD$3:$BA$3,"&gt;="&amp;$DG12,$B12:$Y12)),
IF(AX$3=$DF12+'Model Setup'!$H$7,SUMIF($AD$3:$BA$3,"="&amp;$DF12+'Model Setup'!$H$7,$B12:$Y12)+'Model Setup'!$H$8*(SUMIF($AD$3:$BA$3,"&lt;"&amp;$DF12,$B12:$Y12)+SUMIF($AD$3:$BA$3,"&gt;="&amp;$DG12,$B12:$Y12)),
IF(AX$3=$DF12+'Model Setup'!$I$7,SUMIF($AD$3:$BA$3,"="&amp;$DF12+'Model Setup'!$I$7,$B12:$Y12)+'Model Setup'!$I$8*(SUMIF($AD$3:$BA$3,"&lt;"&amp;$DF12,$B12:$Y12)+SUMIF($AD$3:$BA$3,"&gt;="&amp;$DG12,$B12:$Y12)),
IF(AX$3=$DF12+'Model Setup'!$J$7,SUMIF($AD$3:$BA$3,"="&amp;$DF12+'Model Setup'!$J$7,$B12:$Y12)+'Model Setup'!$J$8*(SUMIF($AD$3:$BA$3,"&lt;"&amp;$DF12,$B12:$Y12)+SUMIF($AD$3:$BA$3,"&gt;="&amp;$DG12,$B12:$Y12)),
IF(AX$3=$DF12+'Model Setup'!$K$7,SUMIF($AD$3:$BA$3,"="&amp;$DF12+'Model Setup'!$K$7,$B12:$Y12)+'Model Setup'!$K$8*(SUMIF($AD$3:$BA$3,"&lt;"&amp;$DF12,$B12:$Y12)+SUMIF($AD$3:$BA$3,"&gt;="&amp;$DG12,$B12:$Y12)),
IF(AX$3=$DF12+'Model Setup'!$L$7,SUMIF($AD$3:$BA$3,"="&amp;$DF12+'Model Setup'!$L$7,$B12:$Y12)+'Model Setup'!$L$8*(SUMIF($AD$3:$BA$3,"&lt;"&amp;$DF12,$B12:$Y12)+SUMIF($AD$3:$BA$3,"&gt;="&amp;$DG12,$B12:$Y12)),
IF(AX$3=$DF12+'Model Setup'!$M$7,SUMIF($AD$3:$BA$3,"="&amp;$DF12+'Model Setup'!$M$7,$B12:$Y12)+'Model Setup'!$M$8*(SUMIF($AD$3:$BA$3,"&lt;"&amp;$DF12,$B12:$Y12)+SUMIF($AD$3:$BA$3,"&gt;="&amp;$DG12,$B12:$Y12)),
IF(AX$3=$DF12+'Model Setup'!$N$7,SUMIF($AD$3:$BA$3,"="&amp;$DF12+'Model Setup'!$N$7,$B12:$Y12)+'Model Setup'!$N$8*(SUMIF($AD$3:$BA$3,"&lt;"&amp;$DF12,$B12:$Y12)+SUMIF($AD$3:$BA$3,"&gt;="&amp;$DG12,$B12:$Y12)),
IF(AX$3&lt;$DG12,V12,0))))))))))))))),0)</f>
        <v>0</v>
      </c>
      <c r="AY12" s="47">
        <f>ROUND(IF(AY$3&lt;$DF12,0,
IF(AY$3=$DF12+'Model Setup'!$B$7,SUMIF($AD$3:$BA$3,"="&amp;$DF12+'Model Setup'!$B$7,$B12:$Y12)+'Model Setup'!$B$8*(SUMIF($AD$3:$BA$3,"&lt;"&amp;$DF12,$B12:$Y12)+SUMIF($AD$3:$BA$3,"&gt;="&amp;$DG12,$B12:$Y12)),
IF(AY$3=$DF12+'Model Setup'!$C$7,SUMIF($AD$3:$BA$3,"="&amp;$DF12+'Model Setup'!$C$7,$B12:$Y12)+'Model Setup'!$C$8*(SUMIF($AD$3:$BA$3,"&lt;"&amp;$DF12,$B12:$Y12)+SUMIF($AD$3:$BA$3,"&gt;="&amp;$DG12,$B12:$Y12)),
IF(AY$3=$DF12+'Model Setup'!$D$7,SUMIF($AD$3:$BA$3,"="&amp;$DF12+'Model Setup'!$D$7,$B12:$Y12)+'Model Setup'!$D$8*(SUMIF($AD$3:$BA$3,"&lt;"&amp;$DF12,$B12:$Y12)+SUMIF($AD$3:$BA$3,"&gt;="&amp;$DG12,$B12:$Y12)),
IF(AY$3=$DF12+'Model Setup'!$E$7,SUMIF($AD$3:$BA$3,"="&amp;$DF12+'Model Setup'!$E$7,$B12:$Y12)+'Model Setup'!$E$8*(SUMIF($AD$3:$BA$3,"&lt;"&amp;$DF12,$B12:$Y12)+SUMIF($AD$3:$BA$3,"&gt;="&amp;$DG12,$B12:$Y12)),
IF(AY$3=$DF12+'Model Setup'!$F$7,SUMIF($AD$3:$BA$3,"="&amp;$DF12+'Model Setup'!$F$7,$B12:$Y12)+'Model Setup'!$F$8*(SUMIF($AD$3:$BA$3,"&lt;"&amp;$DF12,$B12:$Y12)+SUMIF($AD$3:$BA$3,"&gt;="&amp;$DG12,$B12:$Y12)),
IF(AY$3=$DF12+'Model Setup'!$G$7,SUMIF($AD$3:$BA$3,"="&amp;$DF12+'Model Setup'!$G$7,$B12:$Y12)+'Model Setup'!$G$8*(SUMIF($AD$3:$BA$3,"&lt;"&amp;$DF12,$B12:$Y12)+SUMIF($AD$3:$BA$3,"&gt;="&amp;$DG12,$B12:$Y12)),
IF(AY$3=$DF12+'Model Setup'!$H$7,SUMIF($AD$3:$BA$3,"="&amp;$DF12+'Model Setup'!$H$7,$B12:$Y12)+'Model Setup'!$H$8*(SUMIF($AD$3:$BA$3,"&lt;"&amp;$DF12,$B12:$Y12)+SUMIF($AD$3:$BA$3,"&gt;="&amp;$DG12,$B12:$Y12)),
IF(AY$3=$DF12+'Model Setup'!$I$7,SUMIF($AD$3:$BA$3,"="&amp;$DF12+'Model Setup'!$I$7,$B12:$Y12)+'Model Setup'!$I$8*(SUMIF($AD$3:$BA$3,"&lt;"&amp;$DF12,$B12:$Y12)+SUMIF($AD$3:$BA$3,"&gt;="&amp;$DG12,$B12:$Y12)),
IF(AY$3=$DF12+'Model Setup'!$J$7,SUMIF($AD$3:$BA$3,"="&amp;$DF12+'Model Setup'!$J$7,$B12:$Y12)+'Model Setup'!$J$8*(SUMIF($AD$3:$BA$3,"&lt;"&amp;$DF12,$B12:$Y12)+SUMIF($AD$3:$BA$3,"&gt;="&amp;$DG12,$B12:$Y12)),
IF(AY$3=$DF12+'Model Setup'!$K$7,SUMIF($AD$3:$BA$3,"="&amp;$DF12+'Model Setup'!$K$7,$B12:$Y12)+'Model Setup'!$K$8*(SUMIF($AD$3:$BA$3,"&lt;"&amp;$DF12,$B12:$Y12)+SUMIF($AD$3:$BA$3,"&gt;="&amp;$DG12,$B12:$Y12)),
IF(AY$3=$DF12+'Model Setup'!$L$7,SUMIF($AD$3:$BA$3,"="&amp;$DF12+'Model Setup'!$L$7,$B12:$Y12)+'Model Setup'!$L$8*(SUMIF($AD$3:$BA$3,"&lt;"&amp;$DF12,$B12:$Y12)+SUMIF($AD$3:$BA$3,"&gt;="&amp;$DG12,$B12:$Y12)),
IF(AY$3=$DF12+'Model Setup'!$M$7,SUMIF($AD$3:$BA$3,"="&amp;$DF12+'Model Setup'!$M$7,$B12:$Y12)+'Model Setup'!$M$8*(SUMIF($AD$3:$BA$3,"&lt;"&amp;$DF12,$B12:$Y12)+SUMIF($AD$3:$BA$3,"&gt;="&amp;$DG12,$B12:$Y12)),
IF(AY$3=$DF12+'Model Setup'!$N$7,SUMIF($AD$3:$BA$3,"="&amp;$DF12+'Model Setup'!$N$7,$B12:$Y12)+'Model Setup'!$N$8*(SUMIF($AD$3:$BA$3,"&lt;"&amp;$DF12,$B12:$Y12)+SUMIF($AD$3:$BA$3,"&gt;="&amp;$DG12,$B12:$Y12)),
IF(AY$3&lt;$DG12,W12,0))))))))))))))),0)</f>
        <v>0</v>
      </c>
      <c r="AZ12" s="47">
        <f>ROUND(IF(AZ$3&lt;$DF12,0,
IF(AZ$3=$DF12+'Model Setup'!$B$7,SUMIF($AD$3:$BA$3,"="&amp;$DF12+'Model Setup'!$B$7,$B12:$Y12)+'Model Setup'!$B$8*(SUMIF($AD$3:$BA$3,"&lt;"&amp;$DF12,$B12:$Y12)+SUMIF($AD$3:$BA$3,"&gt;="&amp;$DG12,$B12:$Y12)),
IF(AZ$3=$DF12+'Model Setup'!$C$7,SUMIF($AD$3:$BA$3,"="&amp;$DF12+'Model Setup'!$C$7,$B12:$Y12)+'Model Setup'!$C$8*(SUMIF($AD$3:$BA$3,"&lt;"&amp;$DF12,$B12:$Y12)+SUMIF($AD$3:$BA$3,"&gt;="&amp;$DG12,$B12:$Y12)),
IF(AZ$3=$DF12+'Model Setup'!$D$7,SUMIF($AD$3:$BA$3,"="&amp;$DF12+'Model Setup'!$D$7,$B12:$Y12)+'Model Setup'!$D$8*(SUMIF($AD$3:$BA$3,"&lt;"&amp;$DF12,$B12:$Y12)+SUMIF($AD$3:$BA$3,"&gt;="&amp;$DG12,$B12:$Y12)),
IF(AZ$3=$DF12+'Model Setup'!$E$7,SUMIF($AD$3:$BA$3,"="&amp;$DF12+'Model Setup'!$E$7,$B12:$Y12)+'Model Setup'!$E$8*(SUMIF($AD$3:$BA$3,"&lt;"&amp;$DF12,$B12:$Y12)+SUMIF($AD$3:$BA$3,"&gt;="&amp;$DG12,$B12:$Y12)),
IF(AZ$3=$DF12+'Model Setup'!$F$7,SUMIF($AD$3:$BA$3,"="&amp;$DF12+'Model Setup'!$F$7,$B12:$Y12)+'Model Setup'!$F$8*(SUMIF($AD$3:$BA$3,"&lt;"&amp;$DF12,$B12:$Y12)+SUMIF($AD$3:$BA$3,"&gt;="&amp;$DG12,$B12:$Y12)),
IF(AZ$3=$DF12+'Model Setup'!$G$7,SUMIF($AD$3:$BA$3,"="&amp;$DF12+'Model Setup'!$G$7,$B12:$Y12)+'Model Setup'!$G$8*(SUMIF($AD$3:$BA$3,"&lt;"&amp;$DF12,$B12:$Y12)+SUMIF($AD$3:$BA$3,"&gt;="&amp;$DG12,$B12:$Y12)),
IF(AZ$3=$DF12+'Model Setup'!$H$7,SUMIF($AD$3:$BA$3,"="&amp;$DF12+'Model Setup'!$H$7,$B12:$Y12)+'Model Setup'!$H$8*(SUMIF($AD$3:$BA$3,"&lt;"&amp;$DF12,$B12:$Y12)+SUMIF($AD$3:$BA$3,"&gt;="&amp;$DG12,$B12:$Y12)),
IF(AZ$3=$DF12+'Model Setup'!$I$7,SUMIF($AD$3:$BA$3,"="&amp;$DF12+'Model Setup'!$I$7,$B12:$Y12)+'Model Setup'!$I$8*(SUMIF($AD$3:$BA$3,"&lt;"&amp;$DF12,$B12:$Y12)+SUMIF($AD$3:$BA$3,"&gt;="&amp;$DG12,$B12:$Y12)),
IF(AZ$3=$DF12+'Model Setup'!$J$7,SUMIF($AD$3:$BA$3,"="&amp;$DF12+'Model Setup'!$J$7,$B12:$Y12)+'Model Setup'!$J$8*(SUMIF($AD$3:$BA$3,"&lt;"&amp;$DF12,$B12:$Y12)+SUMIF($AD$3:$BA$3,"&gt;="&amp;$DG12,$B12:$Y12)),
IF(AZ$3=$DF12+'Model Setup'!$K$7,SUMIF($AD$3:$BA$3,"="&amp;$DF12+'Model Setup'!$K$7,$B12:$Y12)+'Model Setup'!$K$8*(SUMIF($AD$3:$BA$3,"&lt;"&amp;$DF12,$B12:$Y12)+SUMIF($AD$3:$BA$3,"&gt;="&amp;$DG12,$B12:$Y12)),
IF(AZ$3=$DF12+'Model Setup'!$L$7,SUMIF($AD$3:$BA$3,"="&amp;$DF12+'Model Setup'!$L$7,$B12:$Y12)+'Model Setup'!$L$8*(SUMIF($AD$3:$BA$3,"&lt;"&amp;$DF12,$B12:$Y12)+SUMIF($AD$3:$BA$3,"&gt;="&amp;$DG12,$B12:$Y12)),
IF(AZ$3=$DF12+'Model Setup'!$M$7,SUMIF($AD$3:$BA$3,"="&amp;$DF12+'Model Setup'!$M$7,$B12:$Y12)+'Model Setup'!$M$8*(SUMIF($AD$3:$BA$3,"&lt;"&amp;$DF12,$B12:$Y12)+SUMIF($AD$3:$BA$3,"&gt;="&amp;$DG12,$B12:$Y12)),
IF(AZ$3=$DF12+'Model Setup'!$N$7,SUMIF($AD$3:$BA$3,"="&amp;$DF12+'Model Setup'!$N$7,$B12:$Y12)+'Model Setup'!$N$8*(SUMIF($AD$3:$BA$3,"&lt;"&amp;$DF12,$B12:$Y12)+SUMIF($AD$3:$BA$3,"&gt;="&amp;$DG12,$B12:$Y12)),
IF(AZ$3&lt;$DG12,X12,0))))))))))))))),0)</f>
        <v>0</v>
      </c>
      <c r="BA12" s="47">
        <f>ROUND(IF(BA$3&lt;$DF12,0,
IF(BA$3=$DF12+'Model Setup'!$B$7,SUMIF($AD$3:$BA$3,"="&amp;$DF12+'Model Setup'!$B$7,$B12:$Y12)+'Model Setup'!$B$8*(SUMIF($AD$3:$BA$3,"&lt;"&amp;$DF12,$B12:$Y12)+SUMIF($AD$3:$BA$3,"&gt;="&amp;$DG12,$B12:$Y12)),
IF(BA$3=$DF12+'Model Setup'!$C$7,SUMIF($AD$3:$BA$3,"="&amp;$DF12+'Model Setup'!$C$7,$B12:$Y12)+'Model Setup'!$C$8*(SUMIF($AD$3:$BA$3,"&lt;"&amp;$DF12,$B12:$Y12)+SUMIF($AD$3:$BA$3,"&gt;="&amp;$DG12,$B12:$Y12)),
IF(BA$3=$DF12+'Model Setup'!$D$7,SUMIF($AD$3:$BA$3,"="&amp;$DF12+'Model Setup'!$D$7,$B12:$Y12)+'Model Setup'!$D$8*(SUMIF($AD$3:$BA$3,"&lt;"&amp;$DF12,$B12:$Y12)+SUMIF($AD$3:$BA$3,"&gt;="&amp;$DG12,$B12:$Y12)),
IF(BA$3=$DF12+'Model Setup'!$E$7,SUMIF($AD$3:$BA$3,"="&amp;$DF12+'Model Setup'!$E$7,$B12:$Y12)+'Model Setup'!$E$8*(SUMIF($AD$3:$BA$3,"&lt;"&amp;$DF12,$B12:$Y12)+SUMIF($AD$3:$BA$3,"&gt;="&amp;$DG12,$B12:$Y12)),
IF(BA$3=$DF12+'Model Setup'!$F$7,SUMIF($AD$3:$BA$3,"="&amp;$DF12+'Model Setup'!$F$7,$B12:$Y12)+'Model Setup'!$F$8*(SUMIF($AD$3:$BA$3,"&lt;"&amp;$DF12,$B12:$Y12)+SUMIF($AD$3:$BA$3,"&gt;="&amp;$DG12,$B12:$Y12)),
IF(BA$3=$DF12+'Model Setup'!$G$7,SUMIF($AD$3:$BA$3,"="&amp;$DF12+'Model Setup'!$G$7,$B12:$Y12)+'Model Setup'!$G$8*(SUMIF($AD$3:$BA$3,"&lt;"&amp;$DF12,$B12:$Y12)+SUMIF($AD$3:$BA$3,"&gt;="&amp;$DG12,$B12:$Y12)),
IF(BA$3=$DF12+'Model Setup'!$H$7,SUMIF($AD$3:$BA$3,"="&amp;$DF12+'Model Setup'!$H$7,$B12:$Y12)+'Model Setup'!$H$8*(SUMIF($AD$3:$BA$3,"&lt;"&amp;$DF12,$B12:$Y12)+SUMIF($AD$3:$BA$3,"&gt;="&amp;$DG12,$B12:$Y12)),
IF(BA$3=$DF12+'Model Setup'!$I$7,SUMIF($AD$3:$BA$3,"="&amp;$DF12+'Model Setup'!$I$7,$B12:$Y12)+'Model Setup'!$I$8*(SUMIF($AD$3:$BA$3,"&lt;"&amp;$DF12,$B12:$Y12)+SUMIF($AD$3:$BA$3,"&gt;="&amp;$DG12,$B12:$Y12)),
IF(BA$3=$DF12+'Model Setup'!$J$7,SUMIF($AD$3:$BA$3,"="&amp;$DF12+'Model Setup'!$J$7,$B12:$Y12)+'Model Setup'!$J$8*(SUMIF($AD$3:$BA$3,"&lt;"&amp;$DF12,$B12:$Y12)+SUMIF($AD$3:$BA$3,"&gt;="&amp;$DG12,$B12:$Y12)),
IF(BA$3=$DF12+'Model Setup'!$K$7,SUMIF($AD$3:$BA$3,"="&amp;$DF12+'Model Setup'!$K$7,$B12:$Y12)+'Model Setup'!$K$8*(SUMIF($AD$3:$BA$3,"&lt;"&amp;$DF12,$B12:$Y12)+SUMIF($AD$3:$BA$3,"&gt;="&amp;$DG12,$B12:$Y12)),
IF(BA$3=$DF12+'Model Setup'!$L$7,SUMIF($AD$3:$BA$3,"="&amp;$DF12+'Model Setup'!$L$7,$B12:$Y12)+'Model Setup'!$L$8*(SUMIF($AD$3:$BA$3,"&lt;"&amp;$DF12,$B12:$Y12)+SUMIF($AD$3:$BA$3,"&gt;="&amp;$DG12,$B12:$Y12)),
IF(BA$3=$DF12+'Model Setup'!$M$7,SUMIF($AD$3:$BA$3,"="&amp;$DF12+'Model Setup'!$M$7,$B12:$Y12)+'Model Setup'!$M$8*(SUMIF($AD$3:$BA$3,"&lt;"&amp;$DF12,$B12:$Y12)+SUMIF($AD$3:$BA$3,"&gt;="&amp;$DG12,$B12:$Y12)),
IF(BA$3=$DF12+'Model Setup'!$N$7,SUMIF($AD$3:$BA$3,"="&amp;$DF12+'Model Setup'!$N$7,$B12:$Y12)+'Model Setup'!$N$8*(SUMIF($AD$3:$BA$3,"&lt;"&amp;$DF12,$B12:$Y12)+SUMIF($AD$3:$BA$3,"&gt;="&amp;$DG12,$B12:$Y12)),
IF(BA$3&lt;$DG12,Y12,0))))))))))))))),0)</f>
        <v>0</v>
      </c>
      <c r="BB12" s="47">
        <f t="shared" si="1"/>
        <v>116</v>
      </c>
      <c r="BD12" t="b">
        <f t="shared" si="2"/>
        <v>1</v>
      </c>
      <c r="BE12">
        <f t="shared" si="8"/>
        <v>0</v>
      </c>
      <c r="BF12">
        <f>(FTC!F10-FTC!E10)*24</f>
        <v>13</v>
      </c>
      <c r="BG12" s="43" t="s">
        <v>27</v>
      </c>
      <c r="BH12" s="47">
        <f>ROUND(IF(OR(BH$3&lt;$DF12,BH$3&gt;$CW$4),0,
IF(BH$3=$DF12+'Model Setup'!$B$7,SUMIF($BH$3:$CE$3,"="&amp;$DF12+'Model Setup'!$B$7,$AD12:$BA12)+'Model Setup'!$B$8*(SUMIF($BH$3:$CE$3,"&lt;"&amp;$DF12,$AD12:$BA12)+SUMIF($BH$3:$CE$3,"&gt;"&amp;$CW$4,$AD12:$BA12)),
IF(BH$3=$DF12+'Model Setup'!$C$7,SUMIF($BH$3:$CE$3,"="&amp;$DF12+'Model Setup'!$C$7,$AD12:$BA12)+'Model Setup'!$C$8*(SUMIF($BH$3:$CE$3,"&lt;"&amp;$DF12,$AD12:$BA12)+SUMIF($BH$3:$CE$3,"&gt;"&amp;$CW$4,$AD12:$BA12)),
IF(BH$3=$DF12+'Model Setup'!$D$7,SUMIF($BH$3:$CE$3,"="&amp;$DF12+'Model Setup'!$D$7,$AD12:$BA12)+'Model Setup'!$D$8*(SUMIF($BH$3:$CE$3,"&lt;"&amp;$DF12,$AD12:$BA12)+SUMIF($BH$3:$CE$3,"&gt;"&amp;$CW$4,$AD12:$BA12)),
IF(BH$3=$DF12+'Model Setup'!$E$7,SUMIF($BH$3:$CE$3,"="&amp;$DF12+'Model Setup'!$E$7,$AD12:$BA12)+'Model Setup'!$E$8*(SUMIF($BH$3:$CE$3,"&lt;"&amp;$DF12,$AD12:$BA12)+SUMIF($BH$3:$CE$3,"&gt;"&amp;$CW$4,$AD12:$BA12)),
IF(BH$3=$DF12+'Model Setup'!$F$7,SUMIF($BH$3:$CE$3,"="&amp;$DF12+'Model Setup'!$F$7,$AD12:$BA12)+'Model Setup'!$F$8*(SUMIF($BH$3:$CE$3,"&lt;"&amp;$DF12,$AD12:$BA12)+SUMIF($BH$3:$CE$3,"&gt;"&amp;$CW$4,$AD12:$BA12)),
IF(BH$3=$DF12+'Model Setup'!$G$7,SUMIF($BH$3:$CE$3,"="&amp;$DF12+'Model Setup'!$G$7,$AD12:$BA12)+'Model Setup'!$G$8*(SUMIF($BH$3:$CE$3,"&lt;"&amp;$DF12,$AD12:$BA12)+SUMIF($BH$3:$CE$3,"&gt;"&amp;$CW$4,$AD12:$BA12)),
IF(BH$3=$DF12+'Model Setup'!$H$7,SUMIF($BH$3:$CE$3,"="&amp;$DF12+'Model Setup'!$H$7,$AD12:$BA12)+'Model Setup'!$H$8*(SUMIF($BH$3:$CE$3,"&lt;"&amp;$DF12,$AD12:$BA12)+SUMIF($BH$3:$CE$3,"&gt;"&amp;$CW$4,$AD12:$BA12)),
IF(BH$3=$DF12+'Model Setup'!$I$7,SUMIF($BH$3:$CE$3,"="&amp;$DF12+'Model Setup'!$I$7,$AD12:$BA12)+'Model Setup'!$I$8*(SUMIF($BH$3:$CE$3,"&lt;"&amp;$DF12,$AD12:$BA12)+SUMIF($BH$3:$CE$3,"&gt;"&amp;$CW$4,$AD12:$BA12)),
IF(BH$3=$DF12+'Model Setup'!$J$7,SUMIF($BH$3:$CE$3,"="&amp;$DF12+'Model Setup'!$J$7,$AD12:$BA12)+'Model Setup'!$J$8*(SUMIF($BH$3:$CE$3,"&lt;"&amp;$DF12,$AD12:$BA12)+SUMIF($BH$3:$CE$3,"&gt;"&amp;$CW$4,$AD12:$BA12)),
IF(BH$3=$DF12+'Model Setup'!$K$7,SUMIF($BH$3:$CE$3,"="&amp;$DF12+'Model Setup'!$K$7,$AD12:$BA12)+'Model Setup'!$K$8*(SUMIF($BH$3:$CE$3,"&lt;"&amp;$DF12,$AD12:$BA12)+SUMIF($BH$3:$CE$3,"&gt;"&amp;$CW$4,$AD12:$BA12)),
IF(BH$3=$DF12+'Model Setup'!$L$7,SUMIF($BH$3:$CE$3,"="&amp;$DF12+'Model Setup'!$L$7,$AD12:$BA12)+'Model Setup'!$L$8*(SUMIF($BH$3:$CE$3,"&lt;"&amp;$DF12,$AD12:$BA12)+SUMIF($BH$3:$CE$3,"&gt;"&amp;$CW$4,$AD12:$BA12)),
IF(BH$3=$DF12+'Model Setup'!$M$7,SUMIF($BH$3:$CE$3,"="&amp;$DF12+'Model Setup'!$M$7,$AD12:$BA12)+'Model Setup'!$M$8*(SUMIF($BH$3:$CE$3,"&lt;"&amp;$DF12,$AD12:$BA12)+SUMIF($BH$3:$CE$3,"&gt;"&amp;$CW$4,$AD12:$BA12)),
IF(BH$3=$DF12+'Model Setup'!$N$7,SUMIF($BH$3:$CE$3,"="&amp;$DF12+'Model Setup'!$N$7,$AD12:$BA12)+'Model Setup'!$N$8*(SUMIF($BH$3:$CE$3,"&lt;"&amp;$DF12,$AD12:$BA12)+SUMIF($BH$3:$CE$3,"&gt;"&amp;$CW$4,$AD12:$BA12)),
IF(BH$3&lt;$CW$4,B12,0))))))))))))))),0)</f>
        <v>0</v>
      </c>
      <c r="BI12" s="47">
        <f>ROUND(IF(OR(BI$3&lt;$DF12,BI$3&gt;$CW$4),0,
IF(BI$3=$DF12+'Model Setup'!$B$7,SUMIF($BH$3:$CE$3,"="&amp;$DF12+'Model Setup'!$B$7,$AD12:$BA12)+'Model Setup'!$B$8*(SUMIF($BH$3:$CE$3,"&lt;"&amp;$DF12,$AD12:$BA12)+SUMIF($BH$3:$CE$3,"&gt;"&amp;$CW$4,$AD12:$BA12)),
IF(BI$3=$DF12+'Model Setup'!$C$7,SUMIF($BH$3:$CE$3,"="&amp;$DF12+'Model Setup'!$C$7,$AD12:$BA12)+'Model Setup'!$C$8*(SUMIF($BH$3:$CE$3,"&lt;"&amp;$DF12,$AD12:$BA12)+SUMIF($BH$3:$CE$3,"&gt;"&amp;$CW$4,$AD12:$BA12)),
IF(BI$3=$DF12+'Model Setup'!$D$7,SUMIF($BH$3:$CE$3,"="&amp;$DF12+'Model Setup'!$D$7,$AD12:$BA12)+'Model Setup'!$D$8*(SUMIF($BH$3:$CE$3,"&lt;"&amp;$DF12,$AD12:$BA12)+SUMIF($BH$3:$CE$3,"&gt;"&amp;$CW$4,$AD12:$BA12)),
IF(BI$3=$DF12+'Model Setup'!$E$7,SUMIF($BH$3:$CE$3,"="&amp;$DF12+'Model Setup'!$E$7,$AD12:$BA12)+'Model Setup'!$E$8*(SUMIF($BH$3:$CE$3,"&lt;"&amp;$DF12,$AD12:$BA12)+SUMIF($BH$3:$CE$3,"&gt;"&amp;$CW$4,$AD12:$BA12)),
IF(BI$3=$DF12+'Model Setup'!$F$7,SUMIF($BH$3:$CE$3,"="&amp;$DF12+'Model Setup'!$F$7,$AD12:$BA12)+'Model Setup'!$F$8*(SUMIF($BH$3:$CE$3,"&lt;"&amp;$DF12,$AD12:$BA12)+SUMIF($BH$3:$CE$3,"&gt;"&amp;$CW$4,$AD12:$BA12)),
IF(BI$3=$DF12+'Model Setup'!$G$7,SUMIF($BH$3:$CE$3,"="&amp;$DF12+'Model Setup'!$G$7,$AD12:$BA12)+'Model Setup'!$G$8*(SUMIF($BH$3:$CE$3,"&lt;"&amp;$DF12,$AD12:$BA12)+SUMIF($BH$3:$CE$3,"&gt;"&amp;$CW$4,$AD12:$BA12)),
IF(BI$3=$DF12+'Model Setup'!$H$7,SUMIF($BH$3:$CE$3,"="&amp;$DF12+'Model Setup'!$H$7,$AD12:$BA12)+'Model Setup'!$H$8*(SUMIF($BH$3:$CE$3,"&lt;"&amp;$DF12,$AD12:$BA12)+SUMIF($BH$3:$CE$3,"&gt;"&amp;$CW$4,$AD12:$BA12)),
IF(BI$3=$DF12+'Model Setup'!$I$7,SUMIF($BH$3:$CE$3,"="&amp;$DF12+'Model Setup'!$I$7,$AD12:$BA12)+'Model Setup'!$I$8*(SUMIF($BH$3:$CE$3,"&lt;"&amp;$DF12,$AD12:$BA12)+SUMIF($BH$3:$CE$3,"&gt;"&amp;$CW$4,$AD12:$BA12)),
IF(BI$3=$DF12+'Model Setup'!$J$7,SUMIF($BH$3:$CE$3,"="&amp;$DF12+'Model Setup'!$J$7,$AD12:$BA12)+'Model Setup'!$J$8*(SUMIF($BH$3:$CE$3,"&lt;"&amp;$DF12,$AD12:$BA12)+SUMIF($BH$3:$CE$3,"&gt;"&amp;$CW$4,$AD12:$BA12)),
IF(BI$3=$DF12+'Model Setup'!$K$7,SUMIF($BH$3:$CE$3,"="&amp;$DF12+'Model Setup'!$K$7,$AD12:$BA12)+'Model Setup'!$K$8*(SUMIF($BH$3:$CE$3,"&lt;"&amp;$DF12,$AD12:$BA12)+SUMIF($BH$3:$CE$3,"&gt;"&amp;$CW$4,$AD12:$BA12)),
IF(BI$3=$DF12+'Model Setup'!$L$7,SUMIF($BH$3:$CE$3,"="&amp;$DF12+'Model Setup'!$L$7,$AD12:$BA12)+'Model Setup'!$L$8*(SUMIF($BH$3:$CE$3,"&lt;"&amp;$DF12,$AD12:$BA12)+SUMIF($BH$3:$CE$3,"&gt;"&amp;$CW$4,$AD12:$BA12)),
IF(BI$3=$DF12+'Model Setup'!$M$7,SUMIF($BH$3:$CE$3,"="&amp;$DF12+'Model Setup'!$M$7,$AD12:$BA12)+'Model Setup'!$M$8*(SUMIF($BH$3:$CE$3,"&lt;"&amp;$DF12,$AD12:$BA12)+SUMIF($BH$3:$CE$3,"&gt;"&amp;$CW$4,$AD12:$BA12)),
IF(BI$3=$DF12+'Model Setup'!$N$7,SUMIF($BH$3:$CE$3,"="&amp;$DF12+'Model Setup'!$N$7,$AD12:$BA12)+'Model Setup'!$N$8*(SUMIF($BH$3:$CE$3,"&lt;"&amp;$DF12,$AD12:$BA12)+SUMIF($BH$3:$CE$3,"&gt;"&amp;$CW$4,$AD12:$BA12)),
IF(BI$3&lt;$CW$4,C12,0))))))))))))))),0)</f>
        <v>0</v>
      </c>
      <c r="BJ12" s="47">
        <f>ROUND(IF(OR(BJ$3&lt;$DF12,BJ$3&gt;$CW$4),0,
IF(BJ$3=$DF12+'Model Setup'!$B$7,SUMIF($BH$3:$CE$3,"="&amp;$DF12+'Model Setup'!$B$7,$AD12:$BA12)+'Model Setup'!$B$8*(SUMIF($BH$3:$CE$3,"&lt;"&amp;$DF12,$AD12:$BA12)+SUMIF($BH$3:$CE$3,"&gt;"&amp;$CW$4,$AD12:$BA12)),
IF(BJ$3=$DF12+'Model Setup'!$C$7,SUMIF($BH$3:$CE$3,"="&amp;$DF12+'Model Setup'!$C$7,$AD12:$BA12)+'Model Setup'!$C$8*(SUMIF($BH$3:$CE$3,"&lt;"&amp;$DF12,$AD12:$BA12)+SUMIF($BH$3:$CE$3,"&gt;"&amp;$CW$4,$AD12:$BA12)),
IF(BJ$3=$DF12+'Model Setup'!$D$7,SUMIF($BH$3:$CE$3,"="&amp;$DF12+'Model Setup'!$D$7,$AD12:$BA12)+'Model Setup'!$D$8*(SUMIF($BH$3:$CE$3,"&lt;"&amp;$DF12,$AD12:$BA12)+SUMIF($BH$3:$CE$3,"&gt;"&amp;$CW$4,$AD12:$BA12)),
IF(BJ$3=$DF12+'Model Setup'!$E$7,SUMIF($BH$3:$CE$3,"="&amp;$DF12+'Model Setup'!$E$7,$AD12:$BA12)+'Model Setup'!$E$8*(SUMIF($BH$3:$CE$3,"&lt;"&amp;$DF12,$AD12:$BA12)+SUMIF($BH$3:$CE$3,"&gt;"&amp;$CW$4,$AD12:$BA12)),
IF(BJ$3=$DF12+'Model Setup'!$F$7,SUMIF($BH$3:$CE$3,"="&amp;$DF12+'Model Setup'!$F$7,$AD12:$BA12)+'Model Setup'!$F$8*(SUMIF($BH$3:$CE$3,"&lt;"&amp;$DF12,$AD12:$BA12)+SUMIF($BH$3:$CE$3,"&gt;"&amp;$CW$4,$AD12:$BA12)),
IF(BJ$3=$DF12+'Model Setup'!$G$7,SUMIF($BH$3:$CE$3,"="&amp;$DF12+'Model Setup'!$G$7,$AD12:$BA12)+'Model Setup'!$G$8*(SUMIF($BH$3:$CE$3,"&lt;"&amp;$DF12,$AD12:$BA12)+SUMIF($BH$3:$CE$3,"&gt;"&amp;$CW$4,$AD12:$BA12)),
IF(BJ$3=$DF12+'Model Setup'!$H$7,SUMIF($BH$3:$CE$3,"="&amp;$DF12+'Model Setup'!$H$7,$AD12:$BA12)+'Model Setup'!$H$8*(SUMIF($BH$3:$CE$3,"&lt;"&amp;$DF12,$AD12:$BA12)+SUMIF($BH$3:$CE$3,"&gt;"&amp;$CW$4,$AD12:$BA12)),
IF(BJ$3=$DF12+'Model Setup'!$I$7,SUMIF($BH$3:$CE$3,"="&amp;$DF12+'Model Setup'!$I$7,$AD12:$BA12)+'Model Setup'!$I$8*(SUMIF($BH$3:$CE$3,"&lt;"&amp;$DF12,$AD12:$BA12)+SUMIF($BH$3:$CE$3,"&gt;"&amp;$CW$4,$AD12:$BA12)),
IF(BJ$3=$DF12+'Model Setup'!$J$7,SUMIF($BH$3:$CE$3,"="&amp;$DF12+'Model Setup'!$J$7,$AD12:$BA12)+'Model Setup'!$J$8*(SUMIF($BH$3:$CE$3,"&lt;"&amp;$DF12,$AD12:$BA12)+SUMIF($BH$3:$CE$3,"&gt;"&amp;$CW$4,$AD12:$BA12)),
IF(BJ$3=$DF12+'Model Setup'!$K$7,SUMIF($BH$3:$CE$3,"="&amp;$DF12+'Model Setup'!$K$7,$AD12:$BA12)+'Model Setup'!$K$8*(SUMIF($BH$3:$CE$3,"&lt;"&amp;$DF12,$AD12:$BA12)+SUMIF($BH$3:$CE$3,"&gt;"&amp;$CW$4,$AD12:$BA12)),
IF(BJ$3=$DF12+'Model Setup'!$L$7,SUMIF($BH$3:$CE$3,"="&amp;$DF12+'Model Setup'!$L$7,$AD12:$BA12)+'Model Setup'!$L$8*(SUMIF($BH$3:$CE$3,"&lt;"&amp;$DF12,$AD12:$BA12)+SUMIF($BH$3:$CE$3,"&gt;"&amp;$CW$4,$AD12:$BA12)),
IF(BJ$3=$DF12+'Model Setup'!$M$7,SUMIF($BH$3:$CE$3,"="&amp;$DF12+'Model Setup'!$M$7,$AD12:$BA12)+'Model Setup'!$M$8*(SUMIF($BH$3:$CE$3,"&lt;"&amp;$DF12,$AD12:$BA12)+SUMIF($BH$3:$CE$3,"&gt;"&amp;$CW$4,$AD12:$BA12)),
IF(BJ$3=$DF12+'Model Setup'!$N$7,SUMIF($BH$3:$CE$3,"="&amp;$DF12+'Model Setup'!$N$7,$AD12:$BA12)+'Model Setup'!$N$8*(SUMIF($BH$3:$CE$3,"&lt;"&amp;$DF12,$AD12:$BA12)+SUMIF($BH$3:$CE$3,"&gt;"&amp;$CW$4,$AD12:$BA12)),
IF(BJ$3&lt;$CW$4,D12,0))))))))))))))),0)</f>
        <v>0</v>
      </c>
      <c r="BK12" s="47">
        <f>ROUND(IF(OR(BK$3&lt;$DF12,BK$3&gt;$CW$4),0,
IF(BK$3=$DF12+'Model Setup'!$B$7,SUMIF($BH$3:$CE$3,"="&amp;$DF12+'Model Setup'!$B$7,$AD12:$BA12)+'Model Setup'!$B$8*(SUMIF($BH$3:$CE$3,"&lt;"&amp;$DF12,$AD12:$BA12)+SUMIF($BH$3:$CE$3,"&gt;"&amp;$CW$4,$AD12:$BA12)),
IF(BK$3=$DF12+'Model Setup'!$C$7,SUMIF($BH$3:$CE$3,"="&amp;$DF12+'Model Setup'!$C$7,$AD12:$BA12)+'Model Setup'!$C$8*(SUMIF($BH$3:$CE$3,"&lt;"&amp;$DF12,$AD12:$BA12)+SUMIF($BH$3:$CE$3,"&gt;"&amp;$CW$4,$AD12:$BA12)),
IF(BK$3=$DF12+'Model Setup'!$D$7,SUMIF($BH$3:$CE$3,"="&amp;$DF12+'Model Setup'!$D$7,$AD12:$BA12)+'Model Setup'!$D$8*(SUMIF($BH$3:$CE$3,"&lt;"&amp;$DF12,$AD12:$BA12)+SUMIF($BH$3:$CE$3,"&gt;"&amp;$CW$4,$AD12:$BA12)),
IF(BK$3=$DF12+'Model Setup'!$E$7,SUMIF($BH$3:$CE$3,"="&amp;$DF12+'Model Setup'!$E$7,$AD12:$BA12)+'Model Setup'!$E$8*(SUMIF($BH$3:$CE$3,"&lt;"&amp;$DF12,$AD12:$BA12)+SUMIF($BH$3:$CE$3,"&gt;"&amp;$CW$4,$AD12:$BA12)),
IF(BK$3=$DF12+'Model Setup'!$F$7,SUMIF($BH$3:$CE$3,"="&amp;$DF12+'Model Setup'!$F$7,$AD12:$BA12)+'Model Setup'!$F$8*(SUMIF($BH$3:$CE$3,"&lt;"&amp;$DF12,$AD12:$BA12)+SUMIF($BH$3:$CE$3,"&gt;"&amp;$CW$4,$AD12:$BA12)),
IF(BK$3=$DF12+'Model Setup'!$G$7,SUMIF($BH$3:$CE$3,"="&amp;$DF12+'Model Setup'!$G$7,$AD12:$BA12)+'Model Setup'!$G$8*(SUMIF($BH$3:$CE$3,"&lt;"&amp;$DF12,$AD12:$BA12)+SUMIF($BH$3:$CE$3,"&gt;"&amp;$CW$4,$AD12:$BA12)),
IF(BK$3=$DF12+'Model Setup'!$H$7,SUMIF($BH$3:$CE$3,"="&amp;$DF12+'Model Setup'!$H$7,$AD12:$BA12)+'Model Setup'!$H$8*(SUMIF($BH$3:$CE$3,"&lt;"&amp;$DF12,$AD12:$BA12)+SUMIF($BH$3:$CE$3,"&gt;"&amp;$CW$4,$AD12:$BA12)),
IF(BK$3=$DF12+'Model Setup'!$I$7,SUMIF($BH$3:$CE$3,"="&amp;$DF12+'Model Setup'!$I$7,$AD12:$BA12)+'Model Setup'!$I$8*(SUMIF($BH$3:$CE$3,"&lt;"&amp;$DF12,$AD12:$BA12)+SUMIF($BH$3:$CE$3,"&gt;"&amp;$CW$4,$AD12:$BA12)),
IF(BK$3=$DF12+'Model Setup'!$J$7,SUMIF($BH$3:$CE$3,"="&amp;$DF12+'Model Setup'!$J$7,$AD12:$BA12)+'Model Setup'!$J$8*(SUMIF($BH$3:$CE$3,"&lt;"&amp;$DF12,$AD12:$BA12)+SUMIF($BH$3:$CE$3,"&gt;"&amp;$CW$4,$AD12:$BA12)),
IF(BK$3=$DF12+'Model Setup'!$K$7,SUMIF($BH$3:$CE$3,"="&amp;$DF12+'Model Setup'!$K$7,$AD12:$BA12)+'Model Setup'!$K$8*(SUMIF($BH$3:$CE$3,"&lt;"&amp;$DF12,$AD12:$BA12)+SUMIF($BH$3:$CE$3,"&gt;"&amp;$CW$4,$AD12:$BA12)),
IF(BK$3=$DF12+'Model Setup'!$L$7,SUMIF($BH$3:$CE$3,"="&amp;$DF12+'Model Setup'!$L$7,$AD12:$BA12)+'Model Setup'!$L$8*(SUMIF($BH$3:$CE$3,"&lt;"&amp;$DF12,$AD12:$BA12)+SUMIF($BH$3:$CE$3,"&gt;"&amp;$CW$4,$AD12:$BA12)),
IF(BK$3=$DF12+'Model Setup'!$M$7,SUMIF($BH$3:$CE$3,"="&amp;$DF12+'Model Setup'!$M$7,$AD12:$BA12)+'Model Setup'!$M$8*(SUMIF($BH$3:$CE$3,"&lt;"&amp;$DF12,$AD12:$BA12)+SUMIF($BH$3:$CE$3,"&gt;"&amp;$CW$4,$AD12:$BA12)),
IF(BK$3=$DF12+'Model Setup'!$N$7,SUMIF($BH$3:$CE$3,"="&amp;$DF12+'Model Setup'!$N$7,$AD12:$BA12)+'Model Setup'!$N$8*(SUMIF($BH$3:$CE$3,"&lt;"&amp;$DF12,$AD12:$BA12)+SUMIF($BH$3:$CE$3,"&gt;"&amp;$CW$4,$AD12:$BA12)),
IF(BK$3&lt;$CW$4,E12,0))))))))))))))),0)</f>
        <v>0</v>
      </c>
      <c r="BL12" s="47">
        <f>ROUND(IF(OR(BL$3&lt;$DF12,BL$3&gt;$CW$4),0,
IF(BL$3=$DF12+'Model Setup'!$B$7,SUMIF($BH$3:$CE$3,"="&amp;$DF12+'Model Setup'!$B$7,$AD12:$BA12)+'Model Setup'!$B$8*(SUMIF($BH$3:$CE$3,"&lt;"&amp;$DF12,$AD12:$BA12)+SUMIF($BH$3:$CE$3,"&gt;"&amp;$CW$4,$AD12:$BA12)),
IF(BL$3=$DF12+'Model Setup'!$C$7,SUMIF($BH$3:$CE$3,"="&amp;$DF12+'Model Setup'!$C$7,$AD12:$BA12)+'Model Setup'!$C$8*(SUMIF($BH$3:$CE$3,"&lt;"&amp;$DF12,$AD12:$BA12)+SUMIF($BH$3:$CE$3,"&gt;"&amp;$CW$4,$AD12:$BA12)),
IF(BL$3=$DF12+'Model Setup'!$D$7,SUMIF($BH$3:$CE$3,"="&amp;$DF12+'Model Setup'!$D$7,$AD12:$BA12)+'Model Setup'!$D$8*(SUMIF($BH$3:$CE$3,"&lt;"&amp;$DF12,$AD12:$BA12)+SUMIF($BH$3:$CE$3,"&gt;"&amp;$CW$4,$AD12:$BA12)),
IF(BL$3=$DF12+'Model Setup'!$E$7,SUMIF($BH$3:$CE$3,"="&amp;$DF12+'Model Setup'!$E$7,$AD12:$BA12)+'Model Setup'!$E$8*(SUMIF($BH$3:$CE$3,"&lt;"&amp;$DF12,$AD12:$BA12)+SUMIF($BH$3:$CE$3,"&gt;"&amp;$CW$4,$AD12:$BA12)),
IF(BL$3=$DF12+'Model Setup'!$F$7,SUMIF($BH$3:$CE$3,"="&amp;$DF12+'Model Setup'!$F$7,$AD12:$BA12)+'Model Setup'!$F$8*(SUMIF($BH$3:$CE$3,"&lt;"&amp;$DF12,$AD12:$BA12)+SUMIF($BH$3:$CE$3,"&gt;"&amp;$CW$4,$AD12:$BA12)),
IF(BL$3=$DF12+'Model Setup'!$G$7,SUMIF($BH$3:$CE$3,"="&amp;$DF12+'Model Setup'!$G$7,$AD12:$BA12)+'Model Setup'!$G$8*(SUMIF($BH$3:$CE$3,"&lt;"&amp;$DF12,$AD12:$BA12)+SUMIF($BH$3:$CE$3,"&gt;"&amp;$CW$4,$AD12:$BA12)),
IF(BL$3=$DF12+'Model Setup'!$H$7,SUMIF($BH$3:$CE$3,"="&amp;$DF12+'Model Setup'!$H$7,$AD12:$BA12)+'Model Setup'!$H$8*(SUMIF($BH$3:$CE$3,"&lt;"&amp;$DF12,$AD12:$BA12)+SUMIF($BH$3:$CE$3,"&gt;"&amp;$CW$4,$AD12:$BA12)),
IF(BL$3=$DF12+'Model Setup'!$I$7,SUMIF($BH$3:$CE$3,"="&amp;$DF12+'Model Setup'!$I$7,$AD12:$BA12)+'Model Setup'!$I$8*(SUMIF($BH$3:$CE$3,"&lt;"&amp;$DF12,$AD12:$BA12)+SUMIF($BH$3:$CE$3,"&gt;"&amp;$CW$4,$AD12:$BA12)),
IF(BL$3=$DF12+'Model Setup'!$J$7,SUMIF($BH$3:$CE$3,"="&amp;$DF12+'Model Setup'!$J$7,$AD12:$BA12)+'Model Setup'!$J$8*(SUMIF($BH$3:$CE$3,"&lt;"&amp;$DF12,$AD12:$BA12)+SUMIF($BH$3:$CE$3,"&gt;"&amp;$CW$4,$AD12:$BA12)),
IF(BL$3=$DF12+'Model Setup'!$K$7,SUMIF($BH$3:$CE$3,"="&amp;$DF12+'Model Setup'!$K$7,$AD12:$BA12)+'Model Setup'!$K$8*(SUMIF($BH$3:$CE$3,"&lt;"&amp;$DF12,$AD12:$BA12)+SUMIF($BH$3:$CE$3,"&gt;"&amp;$CW$4,$AD12:$BA12)),
IF(BL$3=$DF12+'Model Setup'!$L$7,SUMIF($BH$3:$CE$3,"="&amp;$DF12+'Model Setup'!$L$7,$AD12:$BA12)+'Model Setup'!$L$8*(SUMIF($BH$3:$CE$3,"&lt;"&amp;$DF12,$AD12:$BA12)+SUMIF($BH$3:$CE$3,"&gt;"&amp;$CW$4,$AD12:$BA12)),
IF(BL$3=$DF12+'Model Setup'!$M$7,SUMIF($BH$3:$CE$3,"="&amp;$DF12+'Model Setup'!$M$7,$AD12:$BA12)+'Model Setup'!$M$8*(SUMIF($BH$3:$CE$3,"&lt;"&amp;$DF12,$AD12:$BA12)+SUMIF($BH$3:$CE$3,"&gt;"&amp;$CW$4,$AD12:$BA12)),
IF(BL$3=$DF12+'Model Setup'!$N$7,SUMIF($BH$3:$CE$3,"="&amp;$DF12+'Model Setup'!$N$7,$AD12:$BA12)+'Model Setup'!$N$8*(SUMIF($BH$3:$CE$3,"&lt;"&amp;$DF12,$AD12:$BA12)+SUMIF($BH$3:$CE$3,"&gt;"&amp;$CW$4,$AD12:$BA12)),
IF(BL$3&lt;$CW$4,F12,0))))))))))))))),0)</f>
        <v>0</v>
      </c>
      <c r="BM12" s="47">
        <f>ROUND(IF(OR(BM$3&lt;$DF12,BM$3&gt;$CW$4),0,
IF(BM$3=$DF12+'Model Setup'!$B$7,SUMIF($BH$3:$CE$3,"="&amp;$DF12+'Model Setup'!$B$7,$AD12:$BA12)+'Model Setup'!$B$8*(SUMIF($BH$3:$CE$3,"&lt;"&amp;$DF12,$AD12:$BA12)+SUMIF($BH$3:$CE$3,"&gt;"&amp;$CW$4,$AD12:$BA12)),
IF(BM$3=$DF12+'Model Setup'!$C$7,SUMIF($BH$3:$CE$3,"="&amp;$DF12+'Model Setup'!$C$7,$AD12:$BA12)+'Model Setup'!$C$8*(SUMIF($BH$3:$CE$3,"&lt;"&amp;$DF12,$AD12:$BA12)+SUMIF($BH$3:$CE$3,"&gt;"&amp;$CW$4,$AD12:$BA12)),
IF(BM$3=$DF12+'Model Setup'!$D$7,SUMIF($BH$3:$CE$3,"="&amp;$DF12+'Model Setup'!$D$7,$AD12:$BA12)+'Model Setup'!$D$8*(SUMIF($BH$3:$CE$3,"&lt;"&amp;$DF12,$AD12:$BA12)+SUMIF($BH$3:$CE$3,"&gt;"&amp;$CW$4,$AD12:$BA12)),
IF(BM$3=$DF12+'Model Setup'!$E$7,SUMIF($BH$3:$CE$3,"="&amp;$DF12+'Model Setup'!$E$7,$AD12:$BA12)+'Model Setup'!$E$8*(SUMIF($BH$3:$CE$3,"&lt;"&amp;$DF12,$AD12:$BA12)+SUMIF($BH$3:$CE$3,"&gt;"&amp;$CW$4,$AD12:$BA12)),
IF(BM$3=$DF12+'Model Setup'!$F$7,SUMIF($BH$3:$CE$3,"="&amp;$DF12+'Model Setup'!$F$7,$AD12:$BA12)+'Model Setup'!$F$8*(SUMIF($BH$3:$CE$3,"&lt;"&amp;$DF12,$AD12:$BA12)+SUMIF($BH$3:$CE$3,"&gt;"&amp;$CW$4,$AD12:$BA12)),
IF(BM$3=$DF12+'Model Setup'!$G$7,SUMIF($BH$3:$CE$3,"="&amp;$DF12+'Model Setup'!$G$7,$AD12:$BA12)+'Model Setup'!$G$8*(SUMIF($BH$3:$CE$3,"&lt;"&amp;$DF12,$AD12:$BA12)+SUMIF($BH$3:$CE$3,"&gt;"&amp;$CW$4,$AD12:$BA12)),
IF(BM$3=$DF12+'Model Setup'!$H$7,SUMIF($BH$3:$CE$3,"="&amp;$DF12+'Model Setup'!$H$7,$AD12:$BA12)+'Model Setup'!$H$8*(SUMIF($BH$3:$CE$3,"&lt;"&amp;$DF12,$AD12:$BA12)+SUMIF($BH$3:$CE$3,"&gt;"&amp;$CW$4,$AD12:$BA12)),
IF(BM$3=$DF12+'Model Setup'!$I$7,SUMIF($BH$3:$CE$3,"="&amp;$DF12+'Model Setup'!$I$7,$AD12:$BA12)+'Model Setup'!$I$8*(SUMIF($BH$3:$CE$3,"&lt;"&amp;$DF12,$AD12:$BA12)+SUMIF($BH$3:$CE$3,"&gt;"&amp;$CW$4,$AD12:$BA12)),
IF(BM$3=$DF12+'Model Setup'!$J$7,SUMIF($BH$3:$CE$3,"="&amp;$DF12+'Model Setup'!$J$7,$AD12:$BA12)+'Model Setup'!$J$8*(SUMIF($BH$3:$CE$3,"&lt;"&amp;$DF12,$AD12:$BA12)+SUMIF($BH$3:$CE$3,"&gt;"&amp;$CW$4,$AD12:$BA12)),
IF(BM$3=$DF12+'Model Setup'!$K$7,SUMIF($BH$3:$CE$3,"="&amp;$DF12+'Model Setup'!$K$7,$AD12:$BA12)+'Model Setup'!$K$8*(SUMIF($BH$3:$CE$3,"&lt;"&amp;$DF12,$AD12:$BA12)+SUMIF($BH$3:$CE$3,"&gt;"&amp;$CW$4,$AD12:$BA12)),
IF(BM$3=$DF12+'Model Setup'!$L$7,SUMIF($BH$3:$CE$3,"="&amp;$DF12+'Model Setup'!$L$7,$AD12:$BA12)+'Model Setup'!$L$8*(SUMIF($BH$3:$CE$3,"&lt;"&amp;$DF12,$AD12:$BA12)+SUMIF($BH$3:$CE$3,"&gt;"&amp;$CW$4,$AD12:$BA12)),
IF(BM$3=$DF12+'Model Setup'!$M$7,SUMIF($BH$3:$CE$3,"="&amp;$DF12+'Model Setup'!$M$7,$AD12:$BA12)+'Model Setup'!$M$8*(SUMIF($BH$3:$CE$3,"&lt;"&amp;$DF12,$AD12:$BA12)+SUMIF($BH$3:$CE$3,"&gt;"&amp;$CW$4,$AD12:$BA12)),
IF(BM$3=$DF12+'Model Setup'!$N$7,SUMIF($BH$3:$CE$3,"="&amp;$DF12+'Model Setup'!$N$7,$AD12:$BA12)+'Model Setup'!$N$8*(SUMIF($BH$3:$CE$3,"&lt;"&amp;$DF12,$AD12:$BA12)+SUMIF($BH$3:$CE$3,"&gt;"&amp;$CW$4,$AD12:$BA12)),
IF(BM$3&lt;$CW$4,G12,0))))))))))))))),0)</f>
        <v>1</v>
      </c>
      <c r="BN12" s="47">
        <f>ROUND(IF(OR(BN$3&lt;$DF12,BN$3&gt;$CW$4),0,
IF(BN$3=$DF12+'Model Setup'!$B$7,SUMIF($BH$3:$CE$3,"="&amp;$DF12+'Model Setup'!$B$7,$AD12:$BA12)+'Model Setup'!$B$8*(SUMIF($BH$3:$CE$3,"&lt;"&amp;$DF12,$AD12:$BA12)+SUMIF($BH$3:$CE$3,"&gt;"&amp;$CW$4,$AD12:$BA12)),
IF(BN$3=$DF12+'Model Setup'!$C$7,SUMIF($BH$3:$CE$3,"="&amp;$DF12+'Model Setup'!$C$7,$AD12:$BA12)+'Model Setup'!$C$8*(SUMIF($BH$3:$CE$3,"&lt;"&amp;$DF12,$AD12:$BA12)+SUMIF($BH$3:$CE$3,"&gt;"&amp;$CW$4,$AD12:$BA12)),
IF(BN$3=$DF12+'Model Setup'!$D$7,SUMIF($BH$3:$CE$3,"="&amp;$DF12+'Model Setup'!$D$7,$AD12:$BA12)+'Model Setup'!$D$8*(SUMIF($BH$3:$CE$3,"&lt;"&amp;$DF12,$AD12:$BA12)+SUMIF($BH$3:$CE$3,"&gt;"&amp;$CW$4,$AD12:$BA12)),
IF(BN$3=$DF12+'Model Setup'!$E$7,SUMIF($BH$3:$CE$3,"="&amp;$DF12+'Model Setup'!$E$7,$AD12:$BA12)+'Model Setup'!$E$8*(SUMIF($BH$3:$CE$3,"&lt;"&amp;$DF12,$AD12:$BA12)+SUMIF($BH$3:$CE$3,"&gt;"&amp;$CW$4,$AD12:$BA12)),
IF(BN$3=$DF12+'Model Setup'!$F$7,SUMIF($BH$3:$CE$3,"="&amp;$DF12+'Model Setup'!$F$7,$AD12:$BA12)+'Model Setup'!$F$8*(SUMIF($BH$3:$CE$3,"&lt;"&amp;$DF12,$AD12:$BA12)+SUMIF($BH$3:$CE$3,"&gt;"&amp;$CW$4,$AD12:$BA12)),
IF(BN$3=$DF12+'Model Setup'!$G$7,SUMIF($BH$3:$CE$3,"="&amp;$DF12+'Model Setup'!$G$7,$AD12:$BA12)+'Model Setup'!$G$8*(SUMIF($BH$3:$CE$3,"&lt;"&amp;$DF12,$AD12:$BA12)+SUMIF($BH$3:$CE$3,"&gt;"&amp;$CW$4,$AD12:$BA12)),
IF(BN$3=$DF12+'Model Setup'!$H$7,SUMIF($BH$3:$CE$3,"="&amp;$DF12+'Model Setup'!$H$7,$AD12:$BA12)+'Model Setup'!$H$8*(SUMIF($BH$3:$CE$3,"&lt;"&amp;$DF12,$AD12:$BA12)+SUMIF($BH$3:$CE$3,"&gt;"&amp;$CW$4,$AD12:$BA12)),
IF(BN$3=$DF12+'Model Setup'!$I$7,SUMIF($BH$3:$CE$3,"="&amp;$DF12+'Model Setup'!$I$7,$AD12:$BA12)+'Model Setup'!$I$8*(SUMIF($BH$3:$CE$3,"&lt;"&amp;$DF12,$AD12:$BA12)+SUMIF($BH$3:$CE$3,"&gt;"&amp;$CW$4,$AD12:$BA12)),
IF(BN$3=$DF12+'Model Setup'!$J$7,SUMIF($BH$3:$CE$3,"="&amp;$DF12+'Model Setup'!$J$7,$AD12:$BA12)+'Model Setup'!$J$8*(SUMIF($BH$3:$CE$3,"&lt;"&amp;$DF12,$AD12:$BA12)+SUMIF($BH$3:$CE$3,"&gt;"&amp;$CW$4,$AD12:$BA12)),
IF(BN$3=$DF12+'Model Setup'!$K$7,SUMIF($BH$3:$CE$3,"="&amp;$DF12+'Model Setup'!$K$7,$AD12:$BA12)+'Model Setup'!$K$8*(SUMIF($BH$3:$CE$3,"&lt;"&amp;$DF12,$AD12:$BA12)+SUMIF($BH$3:$CE$3,"&gt;"&amp;$CW$4,$AD12:$BA12)),
IF(BN$3=$DF12+'Model Setup'!$L$7,SUMIF($BH$3:$CE$3,"="&amp;$DF12+'Model Setup'!$L$7,$AD12:$BA12)+'Model Setup'!$L$8*(SUMIF($BH$3:$CE$3,"&lt;"&amp;$DF12,$AD12:$BA12)+SUMIF($BH$3:$CE$3,"&gt;"&amp;$CW$4,$AD12:$BA12)),
IF(BN$3=$DF12+'Model Setup'!$M$7,SUMIF($BH$3:$CE$3,"="&amp;$DF12+'Model Setup'!$M$7,$AD12:$BA12)+'Model Setup'!$M$8*(SUMIF($BH$3:$CE$3,"&lt;"&amp;$DF12,$AD12:$BA12)+SUMIF($BH$3:$CE$3,"&gt;"&amp;$CW$4,$AD12:$BA12)),
IF(BN$3=$DF12+'Model Setup'!$N$7,SUMIF($BH$3:$CE$3,"="&amp;$DF12+'Model Setup'!$N$7,$AD12:$BA12)+'Model Setup'!$N$8*(SUMIF($BH$3:$CE$3,"&lt;"&amp;$DF12,$AD12:$BA12)+SUMIF($BH$3:$CE$3,"&gt;"&amp;$CW$4,$AD12:$BA12)),
IF(BN$3&lt;$CW$4,H12,0))))))))))))))),0)</f>
        <v>12</v>
      </c>
      <c r="BO12" s="47">
        <f>ROUND(IF(OR(BO$3&lt;$DF12,BO$3&gt;$CW$4),0,
IF(BO$3=$DF12+'Model Setup'!$B$7,SUMIF($BH$3:$CE$3,"="&amp;$DF12+'Model Setup'!$B$7,$AD12:$BA12)+'Model Setup'!$B$8*(SUMIF($BH$3:$CE$3,"&lt;"&amp;$DF12,$AD12:$BA12)+SUMIF($BH$3:$CE$3,"&gt;"&amp;$CW$4,$AD12:$BA12)),
IF(BO$3=$DF12+'Model Setup'!$C$7,SUMIF($BH$3:$CE$3,"="&amp;$DF12+'Model Setup'!$C$7,$AD12:$BA12)+'Model Setup'!$C$8*(SUMIF($BH$3:$CE$3,"&lt;"&amp;$DF12,$AD12:$BA12)+SUMIF($BH$3:$CE$3,"&gt;"&amp;$CW$4,$AD12:$BA12)),
IF(BO$3=$DF12+'Model Setup'!$D$7,SUMIF($BH$3:$CE$3,"="&amp;$DF12+'Model Setup'!$D$7,$AD12:$BA12)+'Model Setup'!$D$8*(SUMIF($BH$3:$CE$3,"&lt;"&amp;$DF12,$AD12:$BA12)+SUMIF($BH$3:$CE$3,"&gt;"&amp;$CW$4,$AD12:$BA12)),
IF(BO$3=$DF12+'Model Setup'!$E$7,SUMIF($BH$3:$CE$3,"="&amp;$DF12+'Model Setup'!$E$7,$AD12:$BA12)+'Model Setup'!$E$8*(SUMIF($BH$3:$CE$3,"&lt;"&amp;$DF12,$AD12:$BA12)+SUMIF($BH$3:$CE$3,"&gt;"&amp;$CW$4,$AD12:$BA12)),
IF(BO$3=$DF12+'Model Setup'!$F$7,SUMIF($BH$3:$CE$3,"="&amp;$DF12+'Model Setup'!$F$7,$AD12:$BA12)+'Model Setup'!$F$8*(SUMIF($BH$3:$CE$3,"&lt;"&amp;$DF12,$AD12:$BA12)+SUMIF($BH$3:$CE$3,"&gt;"&amp;$CW$4,$AD12:$BA12)),
IF(BO$3=$DF12+'Model Setup'!$G$7,SUMIF($BH$3:$CE$3,"="&amp;$DF12+'Model Setup'!$G$7,$AD12:$BA12)+'Model Setup'!$G$8*(SUMIF($BH$3:$CE$3,"&lt;"&amp;$DF12,$AD12:$BA12)+SUMIF($BH$3:$CE$3,"&gt;"&amp;$CW$4,$AD12:$BA12)),
IF(BO$3=$DF12+'Model Setup'!$H$7,SUMIF($BH$3:$CE$3,"="&amp;$DF12+'Model Setup'!$H$7,$AD12:$BA12)+'Model Setup'!$H$8*(SUMIF($BH$3:$CE$3,"&lt;"&amp;$DF12,$AD12:$BA12)+SUMIF($BH$3:$CE$3,"&gt;"&amp;$CW$4,$AD12:$BA12)),
IF(BO$3=$DF12+'Model Setup'!$I$7,SUMIF($BH$3:$CE$3,"="&amp;$DF12+'Model Setup'!$I$7,$AD12:$BA12)+'Model Setup'!$I$8*(SUMIF($BH$3:$CE$3,"&lt;"&amp;$DF12,$AD12:$BA12)+SUMIF($BH$3:$CE$3,"&gt;"&amp;$CW$4,$AD12:$BA12)),
IF(BO$3=$DF12+'Model Setup'!$J$7,SUMIF($BH$3:$CE$3,"="&amp;$DF12+'Model Setup'!$J$7,$AD12:$BA12)+'Model Setup'!$J$8*(SUMIF($BH$3:$CE$3,"&lt;"&amp;$DF12,$AD12:$BA12)+SUMIF($BH$3:$CE$3,"&gt;"&amp;$CW$4,$AD12:$BA12)),
IF(BO$3=$DF12+'Model Setup'!$K$7,SUMIF($BH$3:$CE$3,"="&amp;$DF12+'Model Setup'!$K$7,$AD12:$BA12)+'Model Setup'!$K$8*(SUMIF($BH$3:$CE$3,"&lt;"&amp;$DF12,$AD12:$BA12)+SUMIF($BH$3:$CE$3,"&gt;"&amp;$CW$4,$AD12:$BA12)),
IF(BO$3=$DF12+'Model Setup'!$L$7,SUMIF($BH$3:$CE$3,"="&amp;$DF12+'Model Setup'!$L$7,$AD12:$BA12)+'Model Setup'!$L$8*(SUMIF($BH$3:$CE$3,"&lt;"&amp;$DF12,$AD12:$BA12)+SUMIF($BH$3:$CE$3,"&gt;"&amp;$CW$4,$AD12:$BA12)),
IF(BO$3=$DF12+'Model Setup'!$M$7,SUMIF($BH$3:$CE$3,"="&amp;$DF12+'Model Setup'!$M$7,$AD12:$BA12)+'Model Setup'!$M$8*(SUMIF($BH$3:$CE$3,"&lt;"&amp;$DF12,$AD12:$BA12)+SUMIF($BH$3:$CE$3,"&gt;"&amp;$CW$4,$AD12:$BA12)),
IF(BO$3=$DF12+'Model Setup'!$N$7,SUMIF($BH$3:$CE$3,"="&amp;$DF12+'Model Setup'!$N$7,$AD12:$BA12)+'Model Setup'!$N$8*(SUMIF($BH$3:$CE$3,"&lt;"&amp;$DF12,$AD12:$BA12)+SUMIF($BH$3:$CE$3,"&gt;"&amp;$CW$4,$AD12:$BA12)),
IF(BO$3&lt;$CW$4,I12,0))))))))))))))),0)</f>
        <v>10</v>
      </c>
      <c r="BP12" s="47">
        <f>ROUND(IF(OR(BP$3&lt;$DF12,BP$3&gt;$CW$4),0,
IF(BP$3=$DF12+'Model Setup'!$B$7,SUMIF($BH$3:$CE$3,"="&amp;$DF12+'Model Setup'!$B$7,$AD12:$BA12)+'Model Setup'!$B$8*(SUMIF($BH$3:$CE$3,"&lt;"&amp;$DF12,$AD12:$BA12)+SUMIF($BH$3:$CE$3,"&gt;"&amp;$CW$4,$AD12:$BA12)),
IF(BP$3=$DF12+'Model Setup'!$C$7,SUMIF($BH$3:$CE$3,"="&amp;$DF12+'Model Setup'!$C$7,$AD12:$BA12)+'Model Setup'!$C$8*(SUMIF($BH$3:$CE$3,"&lt;"&amp;$DF12,$AD12:$BA12)+SUMIF($BH$3:$CE$3,"&gt;"&amp;$CW$4,$AD12:$BA12)),
IF(BP$3=$DF12+'Model Setup'!$D$7,SUMIF($BH$3:$CE$3,"="&amp;$DF12+'Model Setup'!$D$7,$AD12:$BA12)+'Model Setup'!$D$8*(SUMIF($BH$3:$CE$3,"&lt;"&amp;$DF12,$AD12:$BA12)+SUMIF($BH$3:$CE$3,"&gt;"&amp;$CW$4,$AD12:$BA12)),
IF(BP$3=$DF12+'Model Setup'!$E$7,SUMIF($BH$3:$CE$3,"="&amp;$DF12+'Model Setup'!$E$7,$AD12:$BA12)+'Model Setup'!$E$8*(SUMIF($BH$3:$CE$3,"&lt;"&amp;$DF12,$AD12:$BA12)+SUMIF($BH$3:$CE$3,"&gt;"&amp;$CW$4,$AD12:$BA12)),
IF(BP$3=$DF12+'Model Setup'!$F$7,SUMIF($BH$3:$CE$3,"="&amp;$DF12+'Model Setup'!$F$7,$AD12:$BA12)+'Model Setup'!$F$8*(SUMIF($BH$3:$CE$3,"&lt;"&amp;$DF12,$AD12:$BA12)+SUMIF($BH$3:$CE$3,"&gt;"&amp;$CW$4,$AD12:$BA12)),
IF(BP$3=$DF12+'Model Setup'!$G$7,SUMIF($BH$3:$CE$3,"="&amp;$DF12+'Model Setup'!$G$7,$AD12:$BA12)+'Model Setup'!$G$8*(SUMIF($BH$3:$CE$3,"&lt;"&amp;$DF12,$AD12:$BA12)+SUMIF($BH$3:$CE$3,"&gt;"&amp;$CW$4,$AD12:$BA12)),
IF(BP$3=$DF12+'Model Setup'!$H$7,SUMIF($BH$3:$CE$3,"="&amp;$DF12+'Model Setup'!$H$7,$AD12:$BA12)+'Model Setup'!$H$8*(SUMIF($BH$3:$CE$3,"&lt;"&amp;$DF12,$AD12:$BA12)+SUMIF($BH$3:$CE$3,"&gt;"&amp;$CW$4,$AD12:$BA12)),
IF(BP$3=$DF12+'Model Setup'!$I$7,SUMIF($BH$3:$CE$3,"="&amp;$DF12+'Model Setup'!$I$7,$AD12:$BA12)+'Model Setup'!$I$8*(SUMIF($BH$3:$CE$3,"&lt;"&amp;$DF12,$AD12:$BA12)+SUMIF($BH$3:$CE$3,"&gt;"&amp;$CW$4,$AD12:$BA12)),
IF(BP$3=$DF12+'Model Setup'!$J$7,SUMIF($BH$3:$CE$3,"="&amp;$DF12+'Model Setup'!$J$7,$AD12:$BA12)+'Model Setup'!$J$8*(SUMIF($BH$3:$CE$3,"&lt;"&amp;$DF12,$AD12:$BA12)+SUMIF($BH$3:$CE$3,"&gt;"&amp;$CW$4,$AD12:$BA12)),
IF(BP$3=$DF12+'Model Setup'!$K$7,SUMIF($BH$3:$CE$3,"="&amp;$DF12+'Model Setup'!$K$7,$AD12:$BA12)+'Model Setup'!$K$8*(SUMIF($BH$3:$CE$3,"&lt;"&amp;$DF12,$AD12:$BA12)+SUMIF($BH$3:$CE$3,"&gt;"&amp;$CW$4,$AD12:$BA12)),
IF(BP$3=$DF12+'Model Setup'!$L$7,SUMIF($BH$3:$CE$3,"="&amp;$DF12+'Model Setup'!$L$7,$AD12:$BA12)+'Model Setup'!$L$8*(SUMIF($BH$3:$CE$3,"&lt;"&amp;$DF12,$AD12:$BA12)+SUMIF($BH$3:$CE$3,"&gt;"&amp;$CW$4,$AD12:$BA12)),
IF(BP$3=$DF12+'Model Setup'!$M$7,SUMIF($BH$3:$CE$3,"="&amp;$DF12+'Model Setup'!$M$7,$AD12:$BA12)+'Model Setup'!$M$8*(SUMIF($BH$3:$CE$3,"&lt;"&amp;$DF12,$AD12:$BA12)+SUMIF($BH$3:$CE$3,"&gt;"&amp;$CW$4,$AD12:$BA12)),
IF(BP$3=$DF12+'Model Setup'!$N$7,SUMIF($BH$3:$CE$3,"="&amp;$DF12+'Model Setup'!$N$7,$AD12:$BA12)+'Model Setup'!$N$8*(SUMIF($BH$3:$CE$3,"&lt;"&amp;$DF12,$AD12:$BA12)+SUMIF($BH$3:$CE$3,"&gt;"&amp;$CW$4,$AD12:$BA12)),
IF(BP$3&lt;$CW$4,J12,0))))))))))))))),0)</f>
        <v>18</v>
      </c>
      <c r="BQ12" s="47">
        <f>ROUND(IF(OR(BQ$3&lt;$DF12,BQ$3&gt;$CW$4),0,
IF(BQ$3=$DF12+'Model Setup'!$B$7,SUMIF($BH$3:$CE$3,"="&amp;$DF12+'Model Setup'!$B$7,$AD12:$BA12)+'Model Setup'!$B$8*(SUMIF($BH$3:$CE$3,"&lt;"&amp;$DF12,$AD12:$BA12)+SUMIF($BH$3:$CE$3,"&gt;"&amp;$CW$4,$AD12:$BA12)),
IF(BQ$3=$DF12+'Model Setup'!$C$7,SUMIF($BH$3:$CE$3,"="&amp;$DF12+'Model Setup'!$C$7,$AD12:$BA12)+'Model Setup'!$C$8*(SUMIF($BH$3:$CE$3,"&lt;"&amp;$DF12,$AD12:$BA12)+SUMIF($BH$3:$CE$3,"&gt;"&amp;$CW$4,$AD12:$BA12)),
IF(BQ$3=$DF12+'Model Setup'!$D$7,SUMIF($BH$3:$CE$3,"="&amp;$DF12+'Model Setup'!$D$7,$AD12:$BA12)+'Model Setup'!$D$8*(SUMIF($BH$3:$CE$3,"&lt;"&amp;$DF12,$AD12:$BA12)+SUMIF($BH$3:$CE$3,"&gt;"&amp;$CW$4,$AD12:$BA12)),
IF(BQ$3=$DF12+'Model Setup'!$E$7,SUMIF($BH$3:$CE$3,"="&amp;$DF12+'Model Setup'!$E$7,$AD12:$BA12)+'Model Setup'!$E$8*(SUMIF($BH$3:$CE$3,"&lt;"&amp;$DF12,$AD12:$BA12)+SUMIF($BH$3:$CE$3,"&gt;"&amp;$CW$4,$AD12:$BA12)),
IF(BQ$3=$DF12+'Model Setup'!$F$7,SUMIF($BH$3:$CE$3,"="&amp;$DF12+'Model Setup'!$F$7,$AD12:$BA12)+'Model Setup'!$F$8*(SUMIF($BH$3:$CE$3,"&lt;"&amp;$DF12,$AD12:$BA12)+SUMIF($BH$3:$CE$3,"&gt;"&amp;$CW$4,$AD12:$BA12)),
IF(BQ$3=$DF12+'Model Setup'!$G$7,SUMIF($BH$3:$CE$3,"="&amp;$DF12+'Model Setup'!$G$7,$AD12:$BA12)+'Model Setup'!$G$8*(SUMIF($BH$3:$CE$3,"&lt;"&amp;$DF12,$AD12:$BA12)+SUMIF($BH$3:$CE$3,"&gt;"&amp;$CW$4,$AD12:$BA12)),
IF(BQ$3=$DF12+'Model Setup'!$H$7,SUMIF($BH$3:$CE$3,"="&amp;$DF12+'Model Setup'!$H$7,$AD12:$BA12)+'Model Setup'!$H$8*(SUMIF($BH$3:$CE$3,"&lt;"&amp;$DF12,$AD12:$BA12)+SUMIF($BH$3:$CE$3,"&gt;"&amp;$CW$4,$AD12:$BA12)),
IF(BQ$3=$DF12+'Model Setup'!$I$7,SUMIF($BH$3:$CE$3,"="&amp;$DF12+'Model Setup'!$I$7,$AD12:$BA12)+'Model Setup'!$I$8*(SUMIF($BH$3:$CE$3,"&lt;"&amp;$DF12,$AD12:$BA12)+SUMIF($BH$3:$CE$3,"&gt;"&amp;$CW$4,$AD12:$BA12)),
IF(BQ$3=$DF12+'Model Setup'!$J$7,SUMIF($BH$3:$CE$3,"="&amp;$DF12+'Model Setup'!$J$7,$AD12:$BA12)+'Model Setup'!$J$8*(SUMIF($BH$3:$CE$3,"&lt;"&amp;$DF12,$AD12:$BA12)+SUMIF($BH$3:$CE$3,"&gt;"&amp;$CW$4,$AD12:$BA12)),
IF(BQ$3=$DF12+'Model Setup'!$K$7,SUMIF($BH$3:$CE$3,"="&amp;$DF12+'Model Setup'!$K$7,$AD12:$BA12)+'Model Setup'!$K$8*(SUMIF($BH$3:$CE$3,"&lt;"&amp;$DF12,$AD12:$BA12)+SUMIF($BH$3:$CE$3,"&gt;"&amp;$CW$4,$AD12:$BA12)),
IF(BQ$3=$DF12+'Model Setup'!$L$7,SUMIF($BH$3:$CE$3,"="&amp;$DF12+'Model Setup'!$L$7,$AD12:$BA12)+'Model Setup'!$L$8*(SUMIF($BH$3:$CE$3,"&lt;"&amp;$DF12,$AD12:$BA12)+SUMIF($BH$3:$CE$3,"&gt;"&amp;$CW$4,$AD12:$BA12)),
IF(BQ$3=$DF12+'Model Setup'!$M$7,SUMIF($BH$3:$CE$3,"="&amp;$DF12+'Model Setup'!$M$7,$AD12:$BA12)+'Model Setup'!$M$8*(SUMIF($BH$3:$CE$3,"&lt;"&amp;$DF12,$AD12:$BA12)+SUMIF($BH$3:$CE$3,"&gt;"&amp;$CW$4,$AD12:$BA12)),
IF(BQ$3=$DF12+'Model Setup'!$N$7,SUMIF($BH$3:$CE$3,"="&amp;$DF12+'Model Setup'!$N$7,$AD12:$BA12)+'Model Setup'!$N$8*(SUMIF($BH$3:$CE$3,"&lt;"&amp;$DF12,$AD12:$BA12)+SUMIF($BH$3:$CE$3,"&gt;"&amp;$CW$4,$AD12:$BA12)),
IF(BQ$3&lt;$CW$4,K12,0))))))))))))))),0)</f>
        <v>20</v>
      </c>
      <c r="BR12" s="47">
        <f>ROUND(IF(OR(BR$3&lt;$DF12,BR$3&gt;$CW$4),0,
IF(BR$3=$DF12+'Model Setup'!$B$7,SUMIF($BH$3:$CE$3,"="&amp;$DF12+'Model Setup'!$B$7,$AD12:$BA12)+'Model Setup'!$B$8*(SUMIF($BH$3:$CE$3,"&lt;"&amp;$DF12,$AD12:$BA12)+SUMIF($BH$3:$CE$3,"&gt;"&amp;$CW$4,$AD12:$BA12)),
IF(BR$3=$DF12+'Model Setup'!$C$7,SUMIF($BH$3:$CE$3,"="&amp;$DF12+'Model Setup'!$C$7,$AD12:$BA12)+'Model Setup'!$C$8*(SUMIF($BH$3:$CE$3,"&lt;"&amp;$DF12,$AD12:$BA12)+SUMIF($BH$3:$CE$3,"&gt;"&amp;$CW$4,$AD12:$BA12)),
IF(BR$3=$DF12+'Model Setup'!$D$7,SUMIF($BH$3:$CE$3,"="&amp;$DF12+'Model Setup'!$D$7,$AD12:$BA12)+'Model Setup'!$D$8*(SUMIF($BH$3:$CE$3,"&lt;"&amp;$DF12,$AD12:$BA12)+SUMIF($BH$3:$CE$3,"&gt;"&amp;$CW$4,$AD12:$BA12)),
IF(BR$3=$DF12+'Model Setup'!$E$7,SUMIF($BH$3:$CE$3,"="&amp;$DF12+'Model Setup'!$E$7,$AD12:$BA12)+'Model Setup'!$E$8*(SUMIF($BH$3:$CE$3,"&lt;"&amp;$DF12,$AD12:$BA12)+SUMIF($BH$3:$CE$3,"&gt;"&amp;$CW$4,$AD12:$BA12)),
IF(BR$3=$DF12+'Model Setup'!$F$7,SUMIF($BH$3:$CE$3,"="&amp;$DF12+'Model Setup'!$F$7,$AD12:$BA12)+'Model Setup'!$F$8*(SUMIF($BH$3:$CE$3,"&lt;"&amp;$DF12,$AD12:$BA12)+SUMIF($BH$3:$CE$3,"&gt;"&amp;$CW$4,$AD12:$BA12)),
IF(BR$3=$DF12+'Model Setup'!$G$7,SUMIF($BH$3:$CE$3,"="&amp;$DF12+'Model Setup'!$G$7,$AD12:$BA12)+'Model Setup'!$G$8*(SUMIF($BH$3:$CE$3,"&lt;"&amp;$DF12,$AD12:$BA12)+SUMIF($BH$3:$CE$3,"&gt;"&amp;$CW$4,$AD12:$BA12)),
IF(BR$3=$DF12+'Model Setup'!$H$7,SUMIF($BH$3:$CE$3,"="&amp;$DF12+'Model Setup'!$H$7,$AD12:$BA12)+'Model Setup'!$H$8*(SUMIF($BH$3:$CE$3,"&lt;"&amp;$DF12,$AD12:$BA12)+SUMIF($BH$3:$CE$3,"&gt;"&amp;$CW$4,$AD12:$BA12)),
IF(BR$3=$DF12+'Model Setup'!$I$7,SUMIF($BH$3:$CE$3,"="&amp;$DF12+'Model Setup'!$I$7,$AD12:$BA12)+'Model Setup'!$I$8*(SUMIF($BH$3:$CE$3,"&lt;"&amp;$DF12,$AD12:$BA12)+SUMIF($BH$3:$CE$3,"&gt;"&amp;$CW$4,$AD12:$BA12)),
IF(BR$3=$DF12+'Model Setup'!$J$7,SUMIF($BH$3:$CE$3,"="&amp;$DF12+'Model Setup'!$J$7,$AD12:$BA12)+'Model Setup'!$J$8*(SUMIF($BH$3:$CE$3,"&lt;"&amp;$DF12,$AD12:$BA12)+SUMIF($BH$3:$CE$3,"&gt;"&amp;$CW$4,$AD12:$BA12)),
IF(BR$3=$DF12+'Model Setup'!$K$7,SUMIF($BH$3:$CE$3,"="&amp;$DF12+'Model Setup'!$K$7,$AD12:$BA12)+'Model Setup'!$K$8*(SUMIF($BH$3:$CE$3,"&lt;"&amp;$DF12,$AD12:$BA12)+SUMIF($BH$3:$CE$3,"&gt;"&amp;$CW$4,$AD12:$BA12)),
IF(BR$3=$DF12+'Model Setup'!$L$7,SUMIF($BH$3:$CE$3,"="&amp;$DF12+'Model Setup'!$L$7,$AD12:$BA12)+'Model Setup'!$L$8*(SUMIF($BH$3:$CE$3,"&lt;"&amp;$DF12,$AD12:$BA12)+SUMIF($BH$3:$CE$3,"&gt;"&amp;$CW$4,$AD12:$BA12)),
IF(BR$3=$DF12+'Model Setup'!$M$7,SUMIF($BH$3:$CE$3,"="&amp;$DF12+'Model Setup'!$M$7,$AD12:$BA12)+'Model Setup'!$M$8*(SUMIF($BH$3:$CE$3,"&lt;"&amp;$DF12,$AD12:$BA12)+SUMIF($BH$3:$CE$3,"&gt;"&amp;$CW$4,$AD12:$BA12)),
IF(BR$3=$DF12+'Model Setup'!$N$7,SUMIF($BH$3:$CE$3,"="&amp;$DF12+'Model Setup'!$N$7,$AD12:$BA12)+'Model Setup'!$N$8*(SUMIF($BH$3:$CE$3,"&lt;"&amp;$DF12,$AD12:$BA12)+SUMIF($BH$3:$CE$3,"&gt;"&amp;$CW$4,$AD12:$BA12)),
IF(BR$3&lt;$CW$4,L12,0))))))))))))))),0)</f>
        <v>12</v>
      </c>
      <c r="BS12" s="47">
        <f>ROUND(IF(OR(BS$3&lt;$DF12,BS$3&gt;$CW$4),0,
IF(BS$3=$DF12+'Model Setup'!$B$7,SUMIF($BH$3:$CE$3,"="&amp;$DF12+'Model Setup'!$B$7,$AD12:$BA12)+'Model Setup'!$B$8*(SUMIF($BH$3:$CE$3,"&lt;"&amp;$DF12,$AD12:$BA12)+SUMIF($BH$3:$CE$3,"&gt;"&amp;$CW$4,$AD12:$BA12)),
IF(BS$3=$DF12+'Model Setup'!$C$7,SUMIF($BH$3:$CE$3,"="&amp;$DF12+'Model Setup'!$C$7,$AD12:$BA12)+'Model Setup'!$C$8*(SUMIF($BH$3:$CE$3,"&lt;"&amp;$DF12,$AD12:$BA12)+SUMIF($BH$3:$CE$3,"&gt;"&amp;$CW$4,$AD12:$BA12)),
IF(BS$3=$DF12+'Model Setup'!$D$7,SUMIF($BH$3:$CE$3,"="&amp;$DF12+'Model Setup'!$D$7,$AD12:$BA12)+'Model Setup'!$D$8*(SUMIF($BH$3:$CE$3,"&lt;"&amp;$DF12,$AD12:$BA12)+SUMIF($BH$3:$CE$3,"&gt;"&amp;$CW$4,$AD12:$BA12)),
IF(BS$3=$DF12+'Model Setup'!$E$7,SUMIF($BH$3:$CE$3,"="&amp;$DF12+'Model Setup'!$E$7,$AD12:$BA12)+'Model Setup'!$E$8*(SUMIF($BH$3:$CE$3,"&lt;"&amp;$DF12,$AD12:$BA12)+SUMIF($BH$3:$CE$3,"&gt;"&amp;$CW$4,$AD12:$BA12)),
IF(BS$3=$DF12+'Model Setup'!$F$7,SUMIF($BH$3:$CE$3,"="&amp;$DF12+'Model Setup'!$F$7,$AD12:$BA12)+'Model Setup'!$F$8*(SUMIF($BH$3:$CE$3,"&lt;"&amp;$DF12,$AD12:$BA12)+SUMIF($BH$3:$CE$3,"&gt;"&amp;$CW$4,$AD12:$BA12)),
IF(BS$3=$DF12+'Model Setup'!$G$7,SUMIF($BH$3:$CE$3,"="&amp;$DF12+'Model Setup'!$G$7,$AD12:$BA12)+'Model Setup'!$G$8*(SUMIF($BH$3:$CE$3,"&lt;"&amp;$DF12,$AD12:$BA12)+SUMIF($BH$3:$CE$3,"&gt;"&amp;$CW$4,$AD12:$BA12)),
IF(BS$3=$DF12+'Model Setup'!$H$7,SUMIF($BH$3:$CE$3,"="&amp;$DF12+'Model Setup'!$H$7,$AD12:$BA12)+'Model Setup'!$H$8*(SUMIF($BH$3:$CE$3,"&lt;"&amp;$DF12,$AD12:$BA12)+SUMIF($BH$3:$CE$3,"&gt;"&amp;$CW$4,$AD12:$BA12)),
IF(BS$3=$DF12+'Model Setup'!$I$7,SUMIF($BH$3:$CE$3,"="&amp;$DF12+'Model Setup'!$I$7,$AD12:$BA12)+'Model Setup'!$I$8*(SUMIF($BH$3:$CE$3,"&lt;"&amp;$DF12,$AD12:$BA12)+SUMIF($BH$3:$CE$3,"&gt;"&amp;$CW$4,$AD12:$BA12)),
IF(BS$3=$DF12+'Model Setup'!$J$7,SUMIF($BH$3:$CE$3,"="&amp;$DF12+'Model Setup'!$J$7,$AD12:$BA12)+'Model Setup'!$J$8*(SUMIF($BH$3:$CE$3,"&lt;"&amp;$DF12,$AD12:$BA12)+SUMIF($BH$3:$CE$3,"&gt;"&amp;$CW$4,$AD12:$BA12)),
IF(BS$3=$DF12+'Model Setup'!$K$7,SUMIF($BH$3:$CE$3,"="&amp;$DF12+'Model Setup'!$K$7,$AD12:$BA12)+'Model Setup'!$K$8*(SUMIF($BH$3:$CE$3,"&lt;"&amp;$DF12,$AD12:$BA12)+SUMIF($BH$3:$CE$3,"&gt;"&amp;$CW$4,$AD12:$BA12)),
IF(BS$3=$DF12+'Model Setup'!$L$7,SUMIF($BH$3:$CE$3,"="&amp;$DF12+'Model Setup'!$L$7,$AD12:$BA12)+'Model Setup'!$L$8*(SUMIF($BH$3:$CE$3,"&lt;"&amp;$DF12,$AD12:$BA12)+SUMIF($BH$3:$CE$3,"&gt;"&amp;$CW$4,$AD12:$BA12)),
IF(BS$3=$DF12+'Model Setup'!$M$7,SUMIF($BH$3:$CE$3,"="&amp;$DF12+'Model Setup'!$M$7,$AD12:$BA12)+'Model Setup'!$M$8*(SUMIF($BH$3:$CE$3,"&lt;"&amp;$DF12,$AD12:$BA12)+SUMIF($BH$3:$CE$3,"&gt;"&amp;$CW$4,$AD12:$BA12)),
IF(BS$3=$DF12+'Model Setup'!$N$7,SUMIF($BH$3:$CE$3,"="&amp;$DF12+'Model Setup'!$N$7,$AD12:$BA12)+'Model Setup'!$N$8*(SUMIF($BH$3:$CE$3,"&lt;"&amp;$DF12,$AD12:$BA12)+SUMIF($BH$3:$CE$3,"&gt;"&amp;$CW$4,$AD12:$BA12)),
IF(BS$3&lt;$CW$4,M12,0))))))))))))))),0)</f>
        <v>7</v>
      </c>
      <c r="BT12" s="47">
        <f>ROUND(IF(OR(BT$3&lt;$DF12,BT$3&gt;$CW$4),0,
IF(BT$3=$DF12+'Model Setup'!$B$7,SUMIF($BH$3:$CE$3,"="&amp;$DF12+'Model Setup'!$B$7,$AD12:$BA12)+'Model Setup'!$B$8*(SUMIF($BH$3:$CE$3,"&lt;"&amp;$DF12,$AD12:$BA12)+SUMIF($BH$3:$CE$3,"&gt;"&amp;$CW$4,$AD12:$BA12)),
IF(BT$3=$DF12+'Model Setup'!$C$7,SUMIF($BH$3:$CE$3,"="&amp;$DF12+'Model Setup'!$C$7,$AD12:$BA12)+'Model Setup'!$C$8*(SUMIF($BH$3:$CE$3,"&lt;"&amp;$DF12,$AD12:$BA12)+SUMIF($BH$3:$CE$3,"&gt;"&amp;$CW$4,$AD12:$BA12)),
IF(BT$3=$DF12+'Model Setup'!$D$7,SUMIF($BH$3:$CE$3,"="&amp;$DF12+'Model Setup'!$D$7,$AD12:$BA12)+'Model Setup'!$D$8*(SUMIF($BH$3:$CE$3,"&lt;"&amp;$DF12,$AD12:$BA12)+SUMIF($BH$3:$CE$3,"&gt;"&amp;$CW$4,$AD12:$BA12)),
IF(BT$3=$DF12+'Model Setup'!$E$7,SUMIF($BH$3:$CE$3,"="&amp;$DF12+'Model Setup'!$E$7,$AD12:$BA12)+'Model Setup'!$E$8*(SUMIF($BH$3:$CE$3,"&lt;"&amp;$DF12,$AD12:$BA12)+SUMIF($BH$3:$CE$3,"&gt;"&amp;$CW$4,$AD12:$BA12)),
IF(BT$3=$DF12+'Model Setup'!$F$7,SUMIF($BH$3:$CE$3,"="&amp;$DF12+'Model Setup'!$F$7,$AD12:$BA12)+'Model Setup'!$F$8*(SUMIF($BH$3:$CE$3,"&lt;"&amp;$DF12,$AD12:$BA12)+SUMIF($BH$3:$CE$3,"&gt;"&amp;$CW$4,$AD12:$BA12)),
IF(BT$3=$DF12+'Model Setup'!$G$7,SUMIF($BH$3:$CE$3,"="&amp;$DF12+'Model Setup'!$G$7,$AD12:$BA12)+'Model Setup'!$G$8*(SUMIF($BH$3:$CE$3,"&lt;"&amp;$DF12,$AD12:$BA12)+SUMIF($BH$3:$CE$3,"&gt;"&amp;$CW$4,$AD12:$BA12)),
IF(BT$3=$DF12+'Model Setup'!$H$7,SUMIF($BH$3:$CE$3,"="&amp;$DF12+'Model Setup'!$H$7,$AD12:$BA12)+'Model Setup'!$H$8*(SUMIF($BH$3:$CE$3,"&lt;"&amp;$DF12,$AD12:$BA12)+SUMIF($BH$3:$CE$3,"&gt;"&amp;$CW$4,$AD12:$BA12)),
IF(BT$3=$DF12+'Model Setup'!$I$7,SUMIF($BH$3:$CE$3,"="&amp;$DF12+'Model Setup'!$I$7,$AD12:$BA12)+'Model Setup'!$I$8*(SUMIF($BH$3:$CE$3,"&lt;"&amp;$DF12,$AD12:$BA12)+SUMIF($BH$3:$CE$3,"&gt;"&amp;$CW$4,$AD12:$BA12)),
IF(BT$3=$DF12+'Model Setup'!$J$7,SUMIF($BH$3:$CE$3,"="&amp;$DF12+'Model Setup'!$J$7,$AD12:$BA12)+'Model Setup'!$J$8*(SUMIF($BH$3:$CE$3,"&lt;"&amp;$DF12,$AD12:$BA12)+SUMIF($BH$3:$CE$3,"&gt;"&amp;$CW$4,$AD12:$BA12)),
IF(BT$3=$DF12+'Model Setup'!$K$7,SUMIF($BH$3:$CE$3,"="&amp;$DF12+'Model Setup'!$K$7,$AD12:$BA12)+'Model Setup'!$K$8*(SUMIF($BH$3:$CE$3,"&lt;"&amp;$DF12,$AD12:$BA12)+SUMIF($BH$3:$CE$3,"&gt;"&amp;$CW$4,$AD12:$BA12)),
IF(BT$3=$DF12+'Model Setup'!$L$7,SUMIF($BH$3:$CE$3,"="&amp;$DF12+'Model Setup'!$L$7,$AD12:$BA12)+'Model Setup'!$L$8*(SUMIF($BH$3:$CE$3,"&lt;"&amp;$DF12,$AD12:$BA12)+SUMIF($BH$3:$CE$3,"&gt;"&amp;$CW$4,$AD12:$BA12)),
IF(BT$3=$DF12+'Model Setup'!$M$7,SUMIF($BH$3:$CE$3,"="&amp;$DF12+'Model Setup'!$M$7,$AD12:$BA12)+'Model Setup'!$M$8*(SUMIF($BH$3:$CE$3,"&lt;"&amp;$DF12,$AD12:$BA12)+SUMIF($BH$3:$CE$3,"&gt;"&amp;$CW$4,$AD12:$BA12)),
IF(BT$3=$DF12+'Model Setup'!$N$7,SUMIF($BH$3:$CE$3,"="&amp;$DF12+'Model Setup'!$N$7,$AD12:$BA12)+'Model Setup'!$N$8*(SUMIF($BH$3:$CE$3,"&lt;"&amp;$DF12,$AD12:$BA12)+SUMIF($BH$3:$CE$3,"&gt;"&amp;$CW$4,$AD12:$BA12)),
IF(BT$3&lt;$CW$4,N12,0))))))))))))))),0)</f>
        <v>8</v>
      </c>
      <c r="BU12" s="47">
        <f>ROUND(IF(OR(BU$3&lt;$DF12,BU$3&gt;$CW$4),0,
IF(BU$3=$DF12+'Model Setup'!$B$7,SUMIF($BH$3:$CE$3,"="&amp;$DF12+'Model Setup'!$B$7,$AD12:$BA12)+'Model Setup'!$B$8*(SUMIF($BH$3:$CE$3,"&lt;"&amp;$DF12,$AD12:$BA12)+SUMIF($BH$3:$CE$3,"&gt;"&amp;$CW$4,$AD12:$BA12)),
IF(BU$3=$DF12+'Model Setup'!$C$7,SUMIF($BH$3:$CE$3,"="&amp;$DF12+'Model Setup'!$C$7,$AD12:$BA12)+'Model Setup'!$C$8*(SUMIF($BH$3:$CE$3,"&lt;"&amp;$DF12,$AD12:$BA12)+SUMIF($BH$3:$CE$3,"&gt;"&amp;$CW$4,$AD12:$BA12)),
IF(BU$3=$DF12+'Model Setup'!$D$7,SUMIF($BH$3:$CE$3,"="&amp;$DF12+'Model Setup'!$D$7,$AD12:$BA12)+'Model Setup'!$D$8*(SUMIF($BH$3:$CE$3,"&lt;"&amp;$DF12,$AD12:$BA12)+SUMIF($BH$3:$CE$3,"&gt;"&amp;$CW$4,$AD12:$BA12)),
IF(BU$3=$DF12+'Model Setup'!$E$7,SUMIF($BH$3:$CE$3,"="&amp;$DF12+'Model Setup'!$E$7,$AD12:$BA12)+'Model Setup'!$E$8*(SUMIF($BH$3:$CE$3,"&lt;"&amp;$DF12,$AD12:$BA12)+SUMIF($BH$3:$CE$3,"&gt;"&amp;$CW$4,$AD12:$BA12)),
IF(BU$3=$DF12+'Model Setup'!$F$7,SUMIF($BH$3:$CE$3,"="&amp;$DF12+'Model Setup'!$F$7,$AD12:$BA12)+'Model Setup'!$F$8*(SUMIF($BH$3:$CE$3,"&lt;"&amp;$DF12,$AD12:$BA12)+SUMIF($BH$3:$CE$3,"&gt;"&amp;$CW$4,$AD12:$BA12)),
IF(BU$3=$DF12+'Model Setup'!$G$7,SUMIF($BH$3:$CE$3,"="&amp;$DF12+'Model Setup'!$G$7,$AD12:$BA12)+'Model Setup'!$G$8*(SUMIF($BH$3:$CE$3,"&lt;"&amp;$DF12,$AD12:$BA12)+SUMIF($BH$3:$CE$3,"&gt;"&amp;$CW$4,$AD12:$BA12)),
IF(BU$3=$DF12+'Model Setup'!$H$7,SUMIF($BH$3:$CE$3,"="&amp;$DF12+'Model Setup'!$H$7,$AD12:$BA12)+'Model Setup'!$H$8*(SUMIF($BH$3:$CE$3,"&lt;"&amp;$DF12,$AD12:$BA12)+SUMIF($BH$3:$CE$3,"&gt;"&amp;$CW$4,$AD12:$BA12)),
IF(BU$3=$DF12+'Model Setup'!$I$7,SUMIF($BH$3:$CE$3,"="&amp;$DF12+'Model Setup'!$I$7,$AD12:$BA12)+'Model Setup'!$I$8*(SUMIF($BH$3:$CE$3,"&lt;"&amp;$DF12,$AD12:$BA12)+SUMIF($BH$3:$CE$3,"&gt;"&amp;$CW$4,$AD12:$BA12)),
IF(BU$3=$DF12+'Model Setup'!$J$7,SUMIF($BH$3:$CE$3,"="&amp;$DF12+'Model Setup'!$J$7,$AD12:$BA12)+'Model Setup'!$J$8*(SUMIF($BH$3:$CE$3,"&lt;"&amp;$DF12,$AD12:$BA12)+SUMIF($BH$3:$CE$3,"&gt;"&amp;$CW$4,$AD12:$BA12)),
IF(BU$3=$DF12+'Model Setup'!$K$7,SUMIF($BH$3:$CE$3,"="&amp;$DF12+'Model Setup'!$K$7,$AD12:$BA12)+'Model Setup'!$K$8*(SUMIF($BH$3:$CE$3,"&lt;"&amp;$DF12,$AD12:$BA12)+SUMIF($BH$3:$CE$3,"&gt;"&amp;$CW$4,$AD12:$BA12)),
IF(BU$3=$DF12+'Model Setup'!$L$7,SUMIF($BH$3:$CE$3,"="&amp;$DF12+'Model Setup'!$L$7,$AD12:$BA12)+'Model Setup'!$L$8*(SUMIF($BH$3:$CE$3,"&lt;"&amp;$DF12,$AD12:$BA12)+SUMIF($BH$3:$CE$3,"&gt;"&amp;$CW$4,$AD12:$BA12)),
IF(BU$3=$DF12+'Model Setup'!$M$7,SUMIF($BH$3:$CE$3,"="&amp;$DF12+'Model Setup'!$M$7,$AD12:$BA12)+'Model Setup'!$M$8*(SUMIF($BH$3:$CE$3,"&lt;"&amp;$DF12,$AD12:$BA12)+SUMIF($BH$3:$CE$3,"&gt;"&amp;$CW$4,$AD12:$BA12)),
IF(BU$3=$DF12+'Model Setup'!$N$7,SUMIF($BH$3:$CE$3,"="&amp;$DF12+'Model Setup'!$N$7,$AD12:$BA12)+'Model Setup'!$N$8*(SUMIF($BH$3:$CE$3,"&lt;"&amp;$DF12,$AD12:$BA12)+SUMIF($BH$3:$CE$3,"&gt;"&amp;$CW$4,$AD12:$BA12)),
IF(BU$3&lt;$CW$4,O12,0))))))))))))))),0)</f>
        <v>10</v>
      </c>
      <c r="BV12" s="47">
        <f>ROUND(IF(OR(BV$3&lt;$DF12,BV$3&gt;$CW$4),0,
IF(BV$3=$DF12+'Model Setup'!$B$7,SUMIF($BH$3:$CE$3,"="&amp;$DF12+'Model Setup'!$B$7,$AD12:$BA12)+'Model Setup'!$B$8*(SUMIF($BH$3:$CE$3,"&lt;"&amp;$DF12,$AD12:$BA12)+SUMIF($BH$3:$CE$3,"&gt;"&amp;$CW$4,$AD12:$BA12)),
IF(BV$3=$DF12+'Model Setup'!$C$7,SUMIF($BH$3:$CE$3,"="&amp;$DF12+'Model Setup'!$C$7,$AD12:$BA12)+'Model Setup'!$C$8*(SUMIF($BH$3:$CE$3,"&lt;"&amp;$DF12,$AD12:$BA12)+SUMIF($BH$3:$CE$3,"&gt;"&amp;$CW$4,$AD12:$BA12)),
IF(BV$3=$DF12+'Model Setup'!$D$7,SUMIF($BH$3:$CE$3,"="&amp;$DF12+'Model Setup'!$D$7,$AD12:$BA12)+'Model Setup'!$D$8*(SUMIF($BH$3:$CE$3,"&lt;"&amp;$DF12,$AD12:$BA12)+SUMIF($BH$3:$CE$3,"&gt;"&amp;$CW$4,$AD12:$BA12)),
IF(BV$3=$DF12+'Model Setup'!$E$7,SUMIF($BH$3:$CE$3,"="&amp;$DF12+'Model Setup'!$E$7,$AD12:$BA12)+'Model Setup'!$E$8*(SUMIF($BH$3:$CE$3,"&lt;"&amp;$DF12,$AD12:$BA12)+SUMIF($BH$3:$CE$3,"&gt;"&amp;$CW$4,$AD12:$BA12)),
IF(BV$3=$DF12+'Model Setup'!$F$7,SUMIF($BH$3:$CE$3,"="&amp;$DF12+'Model Setup'!$F$7,$AD12:$BA12)+'Model Setup'!$F$8*(SUMIF($BH$3:$CE$3,"&lt;"&amp;$DF12,$AD12:$BA12)+SUMIF($BH$3:$CE$3,"&gt;"&amp;$CW$4,$AD12:$BA12)),
IF(BV$3=$DF12+'Model Setup'!$G$7,SUMIF($BH$3:$CE$3,"="&amp;$DF12+'Model Setup'!$G$7,$AD12:$BA12)+'Model Setup'!$G$8*(SUMIF($BH$3:$CE$3,"&lt;"&amp;$DF12,$AD12:$BA12)+SUMIF($BH$3:$CE$3,"&gt;"&amp;$CW$4,$AD12:$BA12)),
IF(BV$3=$DF12+'Model Setup'!$H$7,SUMIF($BH$3:$CE$3,"="&amp;$DF12+'Model Setup'!$H$7,$AD12:$BA12)+'Model Setup'!$H$8*(SUMIF($BH$3:$CE$3,"&lt;"&amp;$DF12,$AD12:$BA12)+SUMIF($BH$3:$CE$3,"&gt;"&amp;$CW$4,$AD12:$BA12)),
IF(BV$3=$DF12+'Model Setup'!$I$7,SUMIF($BH$3:$CE$3,"="&amp;$DF12+'Model Setup'!$I$7,$AD12:$BA12)+'Model Setup'!$I$8*(SUMIF($BH$3:$CE$3,"&lt;"&amp;$DF12,$AD12:$BA12)+SUMIF($BH$3:$CE$3,"&gt;"&amp;$CW$4,$AD12:$BA12)),
IF(BV$3=$DF12+'Model Setup'!$J$7,SUMIF($BH$3:$CE$3,"="&amp;$DF12+'Model Setup'!$J$7,$AD12:$BA12)+'Model Setup'!$J$8*(SUMIF($BH$3:$CE$3,"&lt;"&amp;$DF12,$AD12:$BA12)+SUMIF($BH$3:$CE$3,"&gt;"&amp;$CW$4,$AD12:$BA12)),
IF(BV$3=$DF12+'Model Setup'!$K$7,SUMIF($BH$3:$CE$3,"="&amp;$DF12+'Model Setup'!$K$7,$AD12:$BA12)+'Model Setup'!$K$8*(SUMIF($BH$3:$CE$3,"&lt;"&amp;$DF12,$AD12:$BA12)+SUMIF($BH$3:$CE$3,"&gt;"&amp;$CW$4,$AD12:$BA12)),
IF(BV$3=$DF12+'Model Setup'!$L$7,SUMIF($BH$3:$CE$3,"="&amp;$DF12+'Model Setup'!$L$7,$AD12:$BA12)+'Model Setup'!$L$8*(SUMIF($BH$3:$CE$3,"&lt;"&amp;$DF12,$AD12:$BA12)+SUMIF($BH$3:$CE$3,"&gt;"&amp;$CW$4,$AD12:$BA12)),
IF(BV$3=$DF12+'Model Setup'!$M$7,SUMIF($BH$3:$CE$3,"="&amp;$DF12+'Model Setup'!$M$7,$AD12:$BA12)+'Model Setup'!$M$8*(SUMIF($BH$3:$CE$3,"&lt;"&amp;$DF12,$AD12:$BA12)+SUMIF($BH$3:$CE$3,"&gt;"&amp;$CW$4,$AD12:$BA12)),
IF(BV$3=$DF12+'Model Setup'!$N$7,SUMIF($BH$3:$CE$3,"="&amp;$DF12+'Model Setup'!$N$7,$AD12:$BA12)+'Model Setup'!$N$8*(SUMIF($BH$3:$CE$3,"&lt;"&amp;$DF12,$AD12:$BA12)+SUMIF($BH$3:$CE$3,"&gt;"&amp;$CW$4,$AD12:$BA12)),
IF(BV$3&lt;$CW$4,P12,0))))))))))))))),0)</f>
        <v>7</v>
      </c>
      <c r="BW12" s="47">
        <f>ROUND(IF(OR(BW$3&lt;$DF12,BW$3&gt;$CW$4),0,
IF(BW$3=$DF12+'Model Setup'!$B$7,SUMIF($BH$3:$CE$3,"="&amp;$DF12+'Model Setup'!$B$7,$AD12:$BA12)+'Model Setup'!$B$8*(SUMIF($BH$3:$CE$3,"&lt;"&amp;$DF12,$AD12:$BA12)+SUMIF($BH$3:$CE$3,"&gt;"&amp;$CW$4,$AD12:$BA12)),
IF(BW$3=$DF12+'Model Setup'!$C$7,SUMIF($BH$3:$CE$3,"="&amp;$DF12+'Model Setup'!$C$7,$AD12:$BA12)+'Model Setup'!$C$8*(SUMIF($BH$3:$CE$3,"&lt;"&amp;$DF12,$AD12:$BA12)+SUMIF($BH$3:$CE$3,"&gt;"&amp;$CW$4,$AD12:$BA12)),
IF(BW$3=$DF12+'Model Setup'!$D$7,SUMIF($BH$3:$CE$3,"="&amp;$DF12+'Model Setup'!$D$7,$AD12:$BA12)+'Model Setup'!$D$8*(SUMIF($BH$3:$CE$3,"&lt;"&amp;$DF12,$AD12:$BA12)+SUMIF($BH$3:$CE$3,"&gt;"&amp;$CW$4,$AD12:$BA12)),
IF(BW$3=$DF12+'Model Setup'!$E$7,SUMIF($BH$3:$CE$3,"="&amp;$DF12+'Model Setup'!$E$7,$AD12:$BA12)+'Model Setup'!$E$8*(SUMIF($BH$3:$CE$3,"&lt;"&amp;$DF12,$AD12:$BA12)+SUMIF($BH$3:$CE$3,"&gt;"&amp;$CW$4,$AD12:$BA12)),
IF(BW$3=$DF12+'Model Setup'!$F$7,SUMIF($BH$3:$CE$3,"="&amp;$DF12+'Model Setup'!$F$7,$AD12:$BA12)+'Model Setup'!$F$8*(SUMIF($BH$3:$CE$3,"&lt;"&amp;$DF12,$AD12:$BA12)+SUMIF($BH$3:$CE$3,"&gt;"&amp;$CW$4,$AD12:$BA12)),
IF(BW$3=$DF12+'Model Setup'!$G$7,SUMIF($BH$3:$CE$3,"="&amp;$DF12+'Model Setup'!$G$7,$AD12:$BA12)+'Model Setup'!$G$8*(SUMIF($BH$3:$CE$3,"&lt;"&amp;$DF12,$AD12:$BA12)+SUMIF($BH$3:$CE$3,"&gt;"&amp;$CW$4,$AD12:$BA12)),
IF(BW$3=$DF12+'Model Setup'!$H$7,SUMIF($BH$3:$CE$3,"="&amp;$DF12+'Model Setup'!$H$7,$AD12:$BA12)+'Model Setup'!$H$8*(SUMIF($BH$3:$CE$3,"&lt;"&amp;$DF12,$AD12:$BA12)+SUMIF($BH$3:$CE$3,"&gt;"&amp;$CW$4,$AD12:$BA12)),
IF(BW$3=$DF12+'Model Setup'!$I$7,SUMIF($BH$3:$CE$3,"="&amp;$DF12+'Model Setup'!$I$7,$AD12:$BA12)+'Model Setup'!$I$8*(SUMIF($BH$3:$CE$3,"&lt;"&amp;$DF12,$AD12:$BA12)+SUMIF($BH$3:$CE$3,"&gt;"&amp;$CW$4,$AD12:$BA12)),
IF(BW$3=$DF12+'Model Setup'!$J$7,SUMIF($BH$3:$CE$3,"="&amp;$DF12+'Model Setup'!$J$7,$AD12:$BA12)+'Model Setup'!$J$8*(SUMIF($BH$3:$CE$3,"&lt;"&amp;$DF12,$AD12:$BA12)+SUMIF($BH$3:$CE$3,"&gt;"&amp;$CW$4,$AD12:$BA12)),
IF(BW$3=$DF12+'Model Setup'!$K$7,SUMIF($BH$3:$CE$3,"="&amp;$DF12+'Model Setup'!$K$7,$AD12:$BA12)+'Model Setup'!$K$8*(SUMIF($BH$3:$CE$3,"&lt;"&amp;$DF12,$AD12:$BA12)+SUMIF($BH$3:$CE$3,"&gt;"&amp;$CW$4,$AD12:$BA12)),
IF(BW$3=$DF12+'Model Setup'!$L$7,SUMIF($BH$3:$CE$3,"="&amp;$DF12+'Model Setup'!$L$7,$AD12:$BA12)+'Model Setup'!$L$8*(SUMIF($BH$3:$CE$3,"&lt;"&amp;$DF12,$AD12:$BA12)+SUMIF($BH$3:$CE$3,"&gt;"&amp;$CW$4,$AD12:$BA12)),
IF(BW$3=$DF12+'Model Setup'!$M$7,SUMIF($BH$3:$CE$3,"="&amp;$DF12+'Model Setup'!$M$7,$AD12:$BA12)+'Model Setup'!$M$8*(SUMIF($BH$3:$CE$3,"&lt;"&amp;$DF12,$AD12:$BA12)+SUMIF($BH$3:$CE$3,"&gt;"&amp;$CW$4,$AD12:$BA12)),
IF(BW$3=$DF12+'Model Setup'!$N$7,SUMIF($BH$3:$CE$3,"="&amp;$DF12+'Model Setup'!$N$7,$AD12:$BA12)+'Model Setup'!$N$8*(SUMIF($BH$3:$CE$3,"&lt;"&amp;$DF12,$AD12:$BA12)+SUMIF($BH$3:$CE$3,"&gt;"&amp;$CW$4,$AD12:$BA12)),
IF(BW$3&lt;$CW$4,Q12,0))))))))))))))),0)</f>
        <v>5</v>
      </c>
      <c r="BX12" s="47">
        <f>ROUND(IF(OR(BX$3&lt;$DF12,BX$3&gt;$CW$4),0,
IF(BX$3=$DF12+'Model Setup'!$B$7,SUMIF($BH$3:$CE$3,"="&amp;$DF12+'Model Setup'!$B$7,$AD12:$BA12)+'Model Setup'!$B$8*(SUMIF($BH$3:$CE$3,"&lt;"&amp;$DF12,$AD12:$BA12)+SUMIF($BH$3:$CE$3,"&gt;"&amp;$CW$4,$AD12:$BA12)),
IF(BX$3=$DF12+'Model Setup'!$C$7,SUMIF($BH$3:$CE$3,"="&amp;$DF12+'Model Setup'!$C$7,$AD12:$BA12)+'Model Setup'!$C$8*(SUMIF($BH$3:$CE$3,"&lt;"&amp;$DF12,$AD12:$BA12)+SUMIF($BH$3:$CE$3,"&gt;"&amp;$CW$4,$AD12:$BA12)),
IF(BX$3=$DF12+'Model Setup'!$D$7,SUMIF($BH$3:$CE$3,"="&amp;$DF12+'Model Setup'!$D$7,$AD12:$BA12)+'Model Setup'!$D$8*(SUMIF($BH$3:$CE$3,"&lt;"&amp;$DF12,$AD12:$BA12)+SUMIF($BH$3:$CE$3,"&gt;"&amp;$CW$4,$AD12:$BA12)),
IF(BX$3=$DF12+'Model Setup'!$E$7,SUMIF($BH$3:$CE$3,"="&amp;$DF12+'Model Setup'!$E$7,$AD12:$BA12)+'Model Setup'!$E$8*(SUMIF($BH$3:$CE$3,"&lt;"&amp;$DF12,$AD12:$BA12)+SUMIF($BH$3:$CE$3,"&gt;"&amp;$CW$4,$AD12:$BA12)),
IF(BX$3=$DF12+'Model Setup'!$F$7,SUMIF($BH$3:$CE$3,"="&amp;$DF12+'Model Setup'!$F$7,$AD12:$BA12)+'Model Setup'!$F$8*(SUMIF($BH$3:$CE$3,"&lt;"&amp;$DF12,$AD12:$BA12)+SUMIF($BH$3:$CE$3,"&gt;"&amp;$CW$4,$AD12:$BA12)),
IF(BX$3=$DF12+'Model Setup'!$G$7,SUMIF($BH$3:$CE$3,"="&amp;$DF12+'Model Setup'!$G$7,$AD12:$BA12)+'Model Setup'!$G$8*(SUMIF($BH$3:$CE$3,"&lt;"&amp;$DF12,$AD12:$BA12)+SUMIF($BH$3:$CE$3,"&gt;"&amp;$CW$4,$AD12:$BA12)),
IF(BX$3=$DF12+'Model Setup'!$H$7,SUMIF($BH$3:$CE$3,"="&amp;$DF12+'Model Setup'!$H$7,$AD12:$BA12)+'Model Setup'!$H$8*(SUMIF($BH$3:$CE$3,"&lt;"&amp;$DF12,$AD12:$BA12)+SUMIF($BH$3:$CE$3,"&gt;"&amp;$CW$4,$AD12:$BA12)),
IF(BX$3=$DF12+'Model Setup'!$I$7,SUMIF($BH$3:$CE$3,"="&amp;$DF12+'Model Setup'!$I$7,$AD12:$BA12)+'Model Setup'!$I$8*(SUMIF($BH$3:$CE$3,"&lt;"&amp;$DF12,$AD12:$BA12)+SUMIF($BH$3:$CE$3,"&gt;"&amp;$CW$4,$AD12:$BA12)),
IF(BX$3=$DF12+'Model Setup'!$J$7,SUMIF($BH$3:$CE$3,"="&amp;$DF12+'Model Setup'!$J$7,$AD12:$BA12)+'Model Setup'!$J$8*(SUMIF($BH$3:$CE$3,"&lt;"&amp;$DF12,$AD12:$BA12)+SUMIF($BH$3:$CE$3,"&gt;"&amp;$CW$4,$AD12:$BA12)),
IF(BX$3=$DF12+'Model Setup'!$K$7,SUMIF($BH$3:$CE$3,"="&amp;$DF12+'Model Setup'!$K$7,$AD12:$BA12)+'Model Setup'!$K$8*(SUMIF($BH$3:$CE$3,"&lt;"&amp;$DF12,$AD12:$BA12)+SUMIF($BH$3:$CE$3,"&gt;"&amp;$CW$4,$AD12:$BA12)),
IF(BX$3=$DF12+'Model Setup'!$L$7,SUMIF($BH$3:$CE$3,"="&amp;$DF12+'Model Setup'!$L$7,$AD12:$BA12)+'Model Setup'!$L$8*(SUMIF($BH$3:$CE$3,"&lt;"&amp;$DF12,$AD12:$BA12)+SUMIF($BH$3:$CE$3,"&gt;"&amp;$CW$4,$AD12:$BA12)),
IF(BX$3=$DF12+'Model Setup'!$M$7,SUMIF($BH$3:$CE$3,"="&amp;$DF12+'Model Setup'!$M$7,$AD12:$BA12)+'Model Setup'!$M$8*(SUMIF($BH$3:$CE$3,"&lt;"&amp;$DF12,$AD12:$BA12)+SUMIF($BH$3:$CE$3,"&gt;"&amp;$CW$4,$AD12:$BA12)),
IF(BX$3=$DF12+'Model Setup'!$N$7,SUMIF($BH$3:$CE$3,"="&amp;$DF12+'Model Setup'!$N$7,$AD12:$BA12)+'Model Setup'!$N$8*(SUMIF($BH$3:$CE$3,"&lt;"&amp;$DF12,$AD12:$BA12)+SUMIF($BH$3:$CE$3,"&gt;"&amp;$CW$4,$AD12:$BA12)),
IF(BX$3&lt;$CW$4,R12,0))))))))))))))),0)</f>
        <v>2</v>
      </c>
      <c r="BY12" s="47">
        <f>ROUND(IF(OR(BY$3&lt;$DF12,BY$3&gt;$CW$4),0,
IF(BY$3=$DF12+'Model Setup'!$B$7,SUMIF($BH$3:$CE$3,"="&amp;$DF12+'Model Setup'!$B$7,$AD12:$BA12)+'Model Setup'!$B$8*(SUMIF($BH$3:$CE$3,"&lt;"&amp;$DF12,$AD12:$BA12)+SUMIF($BH$3:$CE$3,"&gt;"&amp;$CW$4,$AD12:$BA12)),
IF(BY$3=$DF12+'Model Setup'!$C$7,SUMIF($BH$3:$CE$3,"="&amp;$DF12+'Model Setup'!$C$7,$AD12:$BA12)+'Model Setup'!$C$8*(SUMIF($BH$3:$CE$3,"&lt;"&amp;$DF12,$AD12:$BA12)+SUMIF($BH$3:$CE$3,"&gt;"&amp;$CW$4,$AD12:$BA12)),
IF(BY$3=$DF12+'Model Setup'!$D$7,SUMIF($BH$3:$CE$3,"="&amp;$DF12+'Model Setup'!$D$7,$AD12:$BA12)+'Model Setup'!$D$8*(SUMIF($BH$3:$CE$3,"&lt;"&amp;$DF12,$AD12:$BA12)+SUMIF($BH$3:$CE$3,"&gt;"&amp;$CW$4,$AD12:$BA12)),
IF(BY$3=$DF12+'Model Setup'!$E$7,SUMIF($BH$3:$CE$3,"="&amp;$DF12+'Model Setup'!$E$7,$AD12:$BA12)+'Model Setup'!$E$8*(SUMIF($BH$3:$CE$3,"&lt;"&amp;$DF12,$AD12:$BA12)+SUMIF($BH$3:$CE$3,"&gt;"&amp;$CW$4,$AD12:$BA12)),
IF(BY$3=$DF12+'Model Setup'!$F$7,SUMIF($BH$3:$CE$3,"="&amp;$DF12+'Model Setup'!$F$7,$AD12:$BA12)+'Model Setup'!$F$8*(SUMIF($BH$3:$CE$3,"&lt;"&amp;$DF12,$AD12:$BA12)+SUMIF($BH$3:$CE$3,"&gt;"&amp;$CW$4,$AD12:$BA12)),
IF(BY$3=$DF12+'Model Setup'!$G$7,SUMIF($BH$3:$CE$3,"="&amp;$DF12+'Model Setup'!$G$7,$AD12:$BA12)+'Model Setup'!$G$8*(SUMIF($BH$3:$CE$3,"&lt;"&amp;$DF12,$AD12:$BA12)+SUMIF($BH$3:$CE$3,"&gt;"&amp;$CW$4,$AD12:$BA12)),
IF(BY$3=$DF12+'Model Setup'!$H$7,SUMIF($BH$3:$CE$3,"="&amp;$DF12+'Model Setup'!$H$7,$AD12:$BA12)+'Model Setup'!$H$8*(SUMIF($BH$3:$CE$3,"&lt;"&amp;$DF12,$AD12:$BA12)+SUMIF($BH$3:$CE$3,"&gt;"&amp;$CW$4,$AD12:$BA12)),
IF(BY$3=$DF12+'Model Setup'!$I$7,SUMIF($BH$3:$CE$3,"="&amp;$DF12+'Model Setup'!$I$7,$AD12:$BA12)+'Model Setup'!$I$8*(SUMIF($BH$3:$CE$3,"&lt;"&amp;$DF12,$AD12:$BA12)+SUMIF($BH$3:$CE$3,"&gt;"&amp;$CW$4,$AD12:$BA12)),
IF(BY$3=$DF12+'Model Setup'!$J$7,SUMIF($BH$3:$CE$3,"="&amp;$DF12+'Model Setup'!$J$7,$AD12:$BA12)+'Model Setup'!$J$8*(SUMIF($BH$3:$CE$3,"&lt;"&amp;$DF12,$AD12:$BA12)+SUMIF($BH$3:$CE$3,"&gt;"&amp;$CW$4,$AD12:$BA12)),
IF(BY$3=$DF12+'Model Setup'!$K$7,SUMIF($BH$3:$CE$3,"="&amp;$DF12+'Model Setup'!$K$7,$AD12:$BA12)+'Model Setup'!$K$8*(SUMIF($BH$3:$CE$3,"&lt;"&amp;$DF12,$AD12:$BA12)+SUMIF($BH$3:$CE$3,"&gt;"&amp;$CW$4,$AD12:$BA12)),
IF(BY$3=$DF12+'Model Setup'!$L$7,SUMIF($BH$3:$CE$3,"="&amp;$DF12+'Model Setup'!$L$7,$AD12:$BA12)+'Model Setup'!$L$8*(SUMIF($BH$3:$CE$3,"&lt;"&amp;$DF12,$AD12:$BA12)+SUMIF($BH$3:$CE$3,"&gt;"&amp;$CW$4,$AD12:$BA12)),
IF(BY$3=$DF12+'Model Setup'!$M$7,SUMIF($BH$3:$CE$3,"="&amp;$DF12+'Model Setup'!$M$7,$AD12:$BA12)+'Model Setup'!$M$8*(SUMIF($BH$3:$CE$3,"&lt;"&amp;$DF12,$AD12:$BA12)+SUMIF($BH$3:$CE$3,"&gt;"&amp;$CW$4,$AD12:$BA12)),
IF(BY$3=$DF12+'Model Setup'!$N$7,SUMIF($BH$3:$CE$3,"="&amp;$DF12+'Model Setup'!$N$7,$AD12:$BA12)+'Model Setup'!$N$8*(SUMIF($BH$3:$CE$3,"&lt;"&amp;$DF12,$AD12:$BA12)+SUMIF($BH$3:$CE$3,"&gt;"&amp;$CW$4,$AD12:$BA12)),
IF(BY$3&lt;$CW$4,S12,0))))))))))))))),0)</f>
        <v>4</v>
      </c>
      <c r="BZ12" s="47">
        <f>ROUND(IF(OR(BZ$3&lt;$DF12,BZ$3&gt;$CW$4),0,
IF(BZ$3=$DF12+'Model Setup'!$B$7,SUMIF($BH$3:$CE$3,"="&amp;$DF12+'Model Setup'!$B$7,$AD12:$BA12)+'Model Setup'!$B$8*(SUMIF($BH$3:$CE$3,"&lt;"&amp;$DF12,$AD12:$BA12)+SUMIF($BH$3:$CE$3,"&gt;"&amp;$CW$4,$AD12:$BA12)),
IF(BZ$3=$DF12+'Model Setup'!$C$7,SUMIF($BH$3:$CE$3,"="&amp;$DF12+'Model Setup'!$C$7,$AD12:$BA12)+'Model Setup'!$C$8*(SUMIF($BH$3:$CE$3,"&lt;"&amp;$DF12,$AD12:$BA12)+SUMIF($BH$3:$CE$3,"&gt;"&amp;$CW$4,$AD12:$BA12)),
IF(BZ$3=$DF12+'Model Setup'!$D$7,SUMIF($BH$3:$CE$3,"="&amp;$DF12+'Model Setup'!$D$7,$AD12:$BA12)+'Model Setup'!$D$8*(SUMIF($BH$3:$CE$3,"&lt;"&amp;$DF12,$AD12:$BA12)+SUMIF($BH$3:$CE$3,"&gt;"&amp;$CW$4,$AD12:$BA12)),
IF(BZ$3=$DF12+'Model Setup'!$E$7,SUMIF($BH$3:$CE$3,"="&amp;$DF12+'Model Setup'!$E$7,$AD12:$BA12)+'Model Setup'!$E$8*(SUMIF($BH$3:$CE$3,"&lt;"&amp;$DF12,$AD12:$BA12)+SUMIF($BH$3:$CE$3,"&gt;"&amp;$CW$4,$AD12:$BA12)),
IF(BZ$3=$DF12+'Model Setup'!$F$7,SUMIF($BH$3:$CE$3,"="&amp;$DF12+'Model Setup'!$F$7,$AD12:$BA12)+'Model Setup'!$F$8*(SUMIF($BH$3:$CE$3,"&lt;"&amp;$DF12,$AD12:$BA12)+SUMIF($BH$3:$CE$3,"&gt;"&amp;$CW$4,$AD12:$BA12)),
IF(BZ$3=$DF12+'Model Setup'!$G$7,SUMIF($BH$3:$CE$3,"="&amp;$DF12+'Model Setup'!$G$7,$AD12:$BA12)+'Model Setup'!$G$8*(SUMIF($BH$3:$CE$3,"&lt;"&amp;$DF12,$AD12:$BA12)+SUMIF($BH$3:$CE$3,"&gt;"&amp;$CW$4,$AD12:$BA12)),
IF(BZ$3=$DF12+'Model Setup'!$H$7,SUMIF($BH$3:$CE$3,"="&amp;$DF12+'Model Setup'!$H$7,$AD12:$BA12)+'Model Setup'!$H$8*(SUMIF($BH$3:$CE$3,"&lt;"&amp;$DF12,$AD12:$BA12)+SUMIF($BH$3:$CE$3,"&gt;"&amp;$CW$4,$AD12:$BA12)),
IF(BZ$3=$DF12+'Model Setup'!$I$7,SUMIF($BH$3:$CE$3,"="&amp;$DF12+'Model Setup'!$I$7,$AD12:$BA12)+'Model Setup'!$I$8*(SUMIF($BH$3:$CE$3,"&lt;"&amp;$DF12,$AD12:$BA12)+SUMIF($BH$3:$CE$3,"&gt;"&amp;$CW$4,$AD12:$BA12)),
IF(BZ$3=$DF12+'Model Setup'!$J$7,SUMIF($BH$3:$CE$3,"="&amp;$DF12+'Model Setup'!$J$7,$AD12:$BA12)+'Model Setup'!$J$8*(SUMIF($BH$3:$CE$3,"&lt;"&amp;$DF12,$AD12:$BA12)+SUMIF($BH$3:$CE$3,"&gt;"&amp;$CW$4,$AD12:$BA12)),
IF(BZ$3=$DF12+'Model Setup'!$K$7,SUMIF($BH$3:$CE$3,"="&amp;$DF12+'Model Setup'!$K$7,$AD12:$BA12)+'Model Setup'!$K$8*(SUMIF($BH$3:$CE$3,"&lt;"&amp;$DF12,$AD12:$BA12)+SUMIF($BH$3:$CE$3,"&gt;"&amp;$CW$4,$AD12:$BA12)),
IF(BZ$3=$DF12+'Model Setup'!$L$7,SUMIF($BH$3:$CE$3,"="&amp;$DF12+'Model Setup'!$L$7,$AD12:$BA12)+'Model Setup'!$L$8*(SUMIF($BH$3:$CE$3,"&lt;"&amp;$DF12,$AD12:$BA12)+SUMIF($BH$3:$CE$3,"&gt;"&amp;$CW$4,$AD12:$BA12)),
IF(BZ$3=$DF12+'Model Setup'!$M$7,SUMIF($BH$3:$CE$3,"="&amp;$DF12+'Model Setup'!$M$7,$AD12:$BA12)+'Model Setup'!$M$8*(SUMIF($BH$3:$CE$3,"&lt;"&amp;$DF12,$AD12:$BA12)+SUMIF($BH$3:$CE$3,"&gt;"&amp;$CW$4,$AD12:$BA12)),
IF(BZ$3=$DF12+'Model Setup'!$N$7,SUMIF($BH$3:$CE$3,"="&amp;$DF12+'Model Setup'!$N$7,$AD12:$BA12)+'Model Setup'!$N$8*(SUMIF($BH$3:$CE$3,"&lt;"&amp;$DF12,$AD12:$BA12)+SUMIF($BH$3:$CE$3,"&gt;"&amp;$CW$4,$AD12:$BA12)),
IF(BZ$3&lt;$CW$4,T12,0))))))))))))))),0)</f>
        <v>0</v>
      </c>
      <c r="CA12" s="47">
        <f>ROUND(IF(OR(CA$3&lt;$DF12,CA$3&gt;$CW$4),0,
IF(CA$3=$DF12+'Model Setup'!$B$7,SUMIF($BH$3:$CE$3,"="&amp;$DF12+'Model Setup'!$B$7,$AD12:$BA12)+'Model Setup'!$B$8*(SUMIF($BH$3:$CE$3,"&lt;"&amp;$DF12,$AD12:$BA12)+SUMIF($BH$3:$CE$3,"&gt;"&amp;$CW$4,$AD12:$BA12)),
IF(CA$3=$DF12+'Model Setup'!$C$7,SUMIF($BH$3:$CE$3,"="&amp;$DF12+'Model Setup'!$C$7,$AD12:$BA12)+'Model Setup'!$C$8*(SUMIF($BH$3:$CE$3,"&lt;"&amp;$DF12,$AD12:$BA12)+SUMIF($BH$3:$CE$3,"&gt;"&amp;$CW$4,$AD12:$BA12)),
IF(CA$3=$DF12+'Model Setup'!$D$7,SUMIF($BH$3:$CE$3,"="&amp;$DF12+'Model Setup'!$D$7,$AD12:$BA12)+'Model Setup'!$D$8*(SUMIF($BH$3:$CE$3,"&lt;"&amp;$DF12,$AD12:$BA12)+SUMIF($BH$3:$CE$3,"&gt;"&amp;$CW$4,$AD12:$BA12)),
IF(CA$3=$DF12+'Model Setup'!$E$7,SUMIF($BH$3:$CE$3,"="&amp;$DF12+'Model Setup'!$E$7,$AD12:$BA12)+'Model Setup'!$E$8*(SUMIF($BH$3:$CE$3,"&lt;"&amp;$DF12,$AD12:$BA12)+SUMIF($BH$3:$CE$3,"&gt;"&amp;$CW$4,$AD12:$BA12)),
IF(CA$3=$DF12+'Model Setup'!$F$7,SUMIF($BH$3:$CE$3,"="&amp;$DF12+'Model Setup'!$F$7,$AD12:$BA12)+'Model Setup'!$F$8*(SUMIF($BH$3:$CE$3,"&lt;"&amp;$DF12,$AD12:$BA12)+SUMIF($BH$3:$CE$3,"&gt;"&amp;$CW$4,$AD12:$BA12)),
IF(CA$3=$DF12+'Model Setup'!$G$7,SUMIF($BH$3:$CE$3,"="&amp;$DF12+'Model Setup'!$G$7,$AD12:$BA12)+'Model Setup'!$G$8*(SUMIF($BH$3:$CE$3,"&lt;"&amp;$DF12,$AD12:$BA12)+SUMIF($BH$3:$CE$3,"&gt;"&amp;$CW$4,$AD12:$BA12)),
IF(CA$3=$DF12+'Model Setup'!$H$7,SUMIF($BH$3:$CE$3,"="&amp;$DF12+'Model Setup'!$H$7,$AD12:$BA12)+'Model Setup'!$H$8*(SUMIF($BH$3:$CE$3,"&lt;"&amp;$DF12,$AD12:$BA12)+SUMIF($BH$3:$CE$3,"&gt;"&amp;$CW$4,$AD12:$BA12)),
IF(CA$3=$DF12+'Model Setup'!$I$7,SUMIF($BH$3:$CE$3,"="&amp;$DF12+'Model Setup'!$I$7,$AD12:$BA12)+'Model Setup'!$I$8*(SUMIF($BH$3:$CE$3,"&lt;"&amp;$DF12,$AD12:$BA12)+SUMIF($BH$3:$CE$3,"&gt;"&amp;$CW$4,$AD12:$BA12)),
IF(CA$3=$DF12+'Model Setup'!$J$7,SUMIF($BH$3:$CE$3,"="&amp;$DF12+'Model Setup'!$J$7,$AD12:$BA12)+'Model Setup'!$J$8*(SUMIF($BH$3:$CE$3,"&lt;"&amp;$DF12,$AD12:$BA12)+SUMIF($BH$3:$CE$3,"&gt;"&amp;$CW$4,$AD12:$BA12)),
IF(CA$3=$DF12+'Model Setup'!$K$7,SUMIF($BH$3:$CE$3,"="&amp;$DF12+'Model Setup'!$K$7,$AD12:$BA12)+'Model Setup'!$K$8*(SUMIF($BH$3:$CE$3,"&lt;"&amp;$DF12,$AD12:$BA12)+SUMIF($BH$3:$CE$3,"&gt;"&amp;$CW$4,$AD12:$BA12)),
IF(CA$3=$DF12+'Model Setup'!$L$7,SUMIF($BH$3:$CE$3,"="&amp;$DF12+'Model Setup'!$L$7,$AD12:$BA12)+'Model Setup'!$L$8*(SUMIF($BH$3:$CE$3,"&lt;"&amp;$DF12,$AD12:$BA12)+SUMIF($BH$3:$CE$3,"&gt;"&amp;$CW$4,$AD12:$BA12)),
IF(CA$3=$DF12+'Model Setup'!$M$7,SUMIF($BH$3:$CE$3,"="&amp;$DF12+'Model Setup'!$M$7,$AD12:$BA12)+'Model Setup'!$M$8*(SUMIF($BH$3:$CE$3,"&lt;"&amp;$DF12,$AD12:$BA12)+SUMIF($BH$3:$CE$3,"&gt;"&amp;$CW$4,$AD12:$BA12)),
IF(CA$3=$DF12+'Model Setup'!$N$7,SUMIF($BH$3:$CE$3,"="&amp;$DF12+'Model Setup'!$N$7,$AD12:$BA12)+'Model Setup'!$N$8*(SUMIF($BH$3:$CE$3,"&lt;"&amp;$DF12,$AD12:$BA12)+SUMIF($BH$3:$CE$3,"&gt;"&amp;$CW$4,$AD12:$BA12)),
IF(CA$3&lt;$CW$4,U12,0))))))))))))))),0)</f>
        <v>0</v>
      </c>
      <c r="CB12" s="47">
        <f>ROUND(IF(OR(CB$3&lt;$DF12,CB$3&gt;$CW$4),0,
IF(CB$3=$DF12+'Model Setup'!$B$7,SUMIF($BH$3:$CE$3,"="&amp;$DF12+'Model Setup'!$B$7,$AD12:$BA12)+'Model Setup'!$B$8*(SUMIF($BH$3:$CE$3,"&lt;"&amp;$DF12,$AD12:$BA12)+SUMIF($BH$3:$CE$3,"&gt;"&amp;$CW$4,$AD12:$BA12)),
IF(CB$3=$DF12+'Model Setup'!$C$7,SUMIF($BH$3:$CE$3,"="&amp;$DF12+'Model Setup'!$C$7,$AD12:$BA12)+'Model Setup'!$C$8*(SUMIF($BH$3:$CE$3,"&lt;"&amp;$DF12,$AD12:$BA12)+SUMIF($BH$3:$CE$3,"&gt;"&amp;$CW$4,$AD12:$BA12)),
IF(CB$3=$DF12+'Model Setup'!$D$7,SUMIF($BH$3:$CE$3,"="&amp;$DF12+'Model Setup'!$D$7,$AD12:$BA12)+'Model Setup'!$D$8*(SUMIF($BH$3:$CE$3,"&lt;"&amp;$DF12,$AD12:$BA12)+SUMIF($BH$3:$CE$3,"&gt;"&amp;$CW$4,$AD12:$BA12)),
IF(CB$3=$DF12+'Model Setup'!$E$7,SUMIF($BH$3:$CE$3,"="&amp;$DF12+'Model Setup'!$E$7,$AD12:$BA12)+'Model Setup'!$E$8*(SUMIF($BH$3:$CE$3,"&lt;"&amp;$DF12,$AD12:$BA12)+SUMIF($BH$3:$CE$3,"&gt;"&amp;$CW$4,$AD12:$BA12)),
IF(CB$3=$DF12+'Model Setup'!$F$7,SUMIF($BH$3:$CE$3,"="&amp;$DF12+'Model Setup'!$F$7,$AD12:$BA12)+'Model Setup'!$F$8*(SUMIF($BH$3:$CE$3,"&lt;"&amp;$DF12,$AD12:$BA12)+SUMIF($BH$3:$CE$3,"&gt;"&amp;$CW$4,$AD12:$BA12)),
IF(CB$3=$DF12+'Model Setup'!$G$7,SUMIF($BH$3:$CE$3,"="&amp;$DF12+'Model Setup'!$G$7,$AD12:$BA12)+'Model Setup'!$G$8*(SUMIF($BH$3:$CE$3,"&lt;"&amp;$DF12,$AD12:$BA12)+SUMIF($BH$3:$CE$3,"&gt;"&amp;$CW$4,$AD12:$BA12)),
IF(CB$3=$DF12+'Model Setup'!$H$7,SUMIF($BH$3:$CE$3,"="&amp;$DF12+'Model Setup'!$H$7,$AD12:$BA12)+'Model Setup'!$H$8*(SUMIF($BH$3:$CE$3,"&lt;"&amp;$DF12,$AD12:$BA12)+SUMIF($BH$3:$CE$3,"&gt;"&amp;$CW$4,$AD12:$BA12)),
IF(CB$3=$DF12+'Model Setup'!$I$7,SUMIF($BH$3:$CE$3,"="&amp;$DF12+'Model Setup'!$I$7,$AD12:$BA12)+'Model Setup'!$I$8*(SUMIF($BH$3:$CE$3,"&lt;"&amp;$DF12,$AD12:$BA12)+SUMIF($BH$3:$CE$3,"&gt;"&amp;$CW$4,$AD12:$BA12)),
IF(CB$3=$DF12+'Model Setup'!$J$7,SUMIF($BH$3:$CE$3,"="&amp;$DF12+'Model Setup'!$J$7,$AD12:$BA12)+'Model Setup'!$J$8*(SUMIF($BH$3:$CE$3,"&lt;"&amp;$DF12,$AD12:$BA12)+SUMIF($BH$3:$CE$3,"&gt;"&amp;$CW$4,$AD12:$BA12)),
IF(CB$3=$DF12+'Model Setup'!$K$7,SUMIF($BH$3:$CE$3,"="&amp;$DF12+'Model Setup'!$K$7,$AD12:$BA12)+'Model Setup'!$K$8*(SUMIF($BH$3:$CE$3,"&lt;"&amp;$DF12,$AD12:$BA12)+SUMIF($BH$3:$CE$3,"&gt;"&amp;$CW$4,$AD12:$BA12)),
IF(CB$3=$DF12+'Model Setup'!$L$7,SUMIF($BH$3:$CE$3,"="&amp;$DF12+'Model Setup'!$L$7,$AD12:$BA12)+'Model Setup'!$L$8*(SUMIF($BH$3:$CE$3,"&lt;"&amp;$DF12,$AD12:$BA12)+SUMIF($BH$3:$CE$3,"&gt;"&amp;$CW$4,$AD12:$BA12)),
IF(CB$3=$DF12+'Model Setup'!$M$7,SUMIF($BH$3:$CE$3,"="&amp;$DF12+'Model Setup'!$M$7,$AD12:$BA12)+'Model Setup'!$M$8*(SUMIF($BH$3:$CE$3,"&lt;"&amp;$DF12,$AD12:$BA12)+SUMIF($BH$3:$CE$3,"&gt;"&amp;$CW$4,$AD12:$BA12)),
IF(CB$3=$DF12+'Model Setup'!$N$7,SUMIF($BH$3:$CE$3,"="&amp;$DF12+'Model Setup'!$N$7,$AD12:$BA12)+'Model Setup'!$N$8*(SUMIF($BH$3:$CE$3,"&lt;"&amp;$DF12,$AD12:$BA12)+SUMIF($BH$3:$CE$3,"&gt;"&amp;$CW$4,$AD12:$BA12)),
IF(CB$3&lt;$CW$4,V12,0))))))))))))))),0)</f>
        <v>0</v>
      </c>
      <c r="CC12" s="47">
        <f>ROUND(IF(OR(CC$3&lt;$DF12,CC$3&gt;$CW$4),0,
IF(CC$3=$DF12+'Model Setup'!$B$7,SUMIF($BH$3:$CE$3,"="&amp;$DF12+'Model Setup'!$B$7,$AD12:$BA12)+'Model Setup'!$B$8*(SUMIF($BH$3:$CE$3,"&lt;"&amp;$DF12,$AD12:$BA12)+SUMIF($BH$3:$CE$3,"&gt;"&amp;$CW$4,$AD12:$BA12)),
IF(CC$3=$DF12+'Model Setup'!$C$7,SUMIF($BH$3:$CE$3,"="&amp;$DF12+'Model Setup'!$C$7,$AD12:$BA12)+'Model Setup'!$C$8*(SUMIF($BH$3:$CE$3,"&lt;"&amp;$DF12,$AD12:$BA12)+SUMIF($BH$3:$CE$3,"&gt;"&amp;$CW$4,$AD12:$BA12)),
IF(CC$3=$DF12+'Model Setup'!$D$7,SUMIF($BH$3:$CE$3,"="&amp;$DF12+'Model Setup'!$D$7,$AD12:$BA12)+'Model Setup'!$D$8*(SUMIF($BH$3:$CE$3,"&lt;"&amp;$DF12,$AD12:$BA12)+SUMIF($BH$3:$CE$3,"&gt;"&amp;$CW$4,$AD12:$BA12)),
IF(CC$3=$DF12+'Model Setup'!$E$7,SUMIF($BH$3:$CE$3,"="&amp;$DF12+'Model Setup'!$E$7,$AD12:$BA12)+'Model Setup'!$E$8*(SUMIF($BH$3:$CE$3,"&lt;"&amp;$DF12,$AD12:$BA12)+SUMIF($BH$3:$CE$3,"&gt;"&amp;$CW$4,$AD12:$BA12)),
IF(CC$3=$DF12+'Model Setup'!$F$7,SUMIF($BH$3:$CE$3,"="&amp;$DF12+'Model Setup'!$F$7,$AD12:$BA12)+'Model Setup'!$F$8*(SUMIF($BH$3:$CE$3,"&lt;"&amp;$DF12,$AD12:$BA12)+SUMIF($BH$3:$CE$3,"&gt;"&amp;$CW$4,$AD12:$BA12)),
IF(CC$3=$DF12+'Model Setup'!$G$7,SUMIF($BH$3:$CE$3,"="&amp;$DF12+'Model Setup'!$G$7,$AD12:$BA12)+'Model Setup'!$G$8*(SUMIF($BH$3:$CE$3,"&lt;"&amp;$DF12,$AD12:$BA12)+SUMIF($BH$3:$CE$3,"&gt;"&amp;$CW$4,$AD12:$BA12)),
IF(CC$3=$DF12+'Model Setup'!$H$7,SUMIF($BH$3:$CE$3,"="&amp;$DF12+'Model Setup'!$H$7,$AD12:$BA12)+'Model Setup'!$H$8*(SUMIF($BH$3:$CE$3,"&lt;"&amp;$DF12,$AD12:$BA12)+SUMIF($BH$3:$CE$3,"&gt;"&amp;$CW$4,$AD12:$BA12)),
IF(CC$3=$DF12+'Model Setup'!$I$7,SUMIF($BH$3:$CE$3,"="&amp;$DF12+'Model Setup'!$I$7,$AD12:$BA12)+'Model Setup'!$I$8*(SUMIF($BH$3:$CE$3,"&lt;"&amp;$DF12,$AD12:$BA12)+SUMIF($BH$3:$CE$3,"&gt;"&amp;$CW$4,$AD12:$BA12)),
IF(CC$3=$DF12+'Model Setup'!$J$7,SUMIF($BH$3:$CE$3,"="&amp;$DF12+'Model Setup'!$J$7,$AD12:$BA12)+'Model Setup'!$J$8*(SUMIF($BH$3:$CE$3,"&lt;"&amp;$DF12,$AD12:$BA12)+SUMIF($BH$3:$CE$3,"&gt;"&amp;$CW$4,$AD12:$BA12)),
IF(CC$3=$DF12+'Model Setup'!$K$7,SUMIF($BH$3:$CE$3,"="&amp;$DF12+'Model Setup'!$K$7,$AD12:$BA12)+'Model Setup'!$K$8*(SUMIF($BH$3:$CE$3,"&lt;"&amp;$DF12,$AD12:$BA12)+SUMIF($BH$3:$CE$3,"&gt;"&amp;$CW$4,$AD12:$BA12)),
IF(CC$3=$DF12+'Model Setup'!$L$7,SUMIF($BH$3:$CE$3,"="&amp;$DF12+'Model Setup'!$L$7,$AD12:$BA12)+'Model Setup'!$L$8*(SUMIF($BH$3:$CE$3,"&lt;"&amp;$DF12,$AD12:$BA12)+SUMIF($BH$3:$CE$3,"&gt;"&amp;$CW$4,$AD12:$BA12)),
IF(CC$3=$DF12+'Model Setup'!$M$7,SUMIF($BH$3:$CE$3,"="&amp;$DF12+'Model Setup'!$M$7,$AD12:$BA12)+'Model Setup'!$M$8*(SUMIF($BH$3:$CE$3,"&lt;"&amp;$DF12,$AD12:$BA12)+SUMIF($BH$3:$CE$3,"&gt;"&amp;$CW$4,$AD12:$BA12)),
IF(CC$3=$DF12+'Model Setup'!$N$7,SUMIF($BH$3:$CE$3,"="&amp;$DF12+'Model Setup'!$N$7,$AD12:$BA12)+'Model Setup'!$N$8*(SUMIF($BH$3:$CE$3,"&lt;"&amp;$DF12,$AD12:$BA12)+SUMIF($BH$3:$CE$3,"&gt;"&amp;$CW$4,$AD12:$BA12)),
IF(CC$3&lt;$CW$4,W12,0))))))))))))))),0)</f>
        <v>0</v>
      </c>
      <c r="CD12" s="47">
        <f>ROUND(IF(OR(CD$3&lt;$DF12,CD$3&gt;$CW$4),0,
IF(CD$3=$DF12+'Model Setup'!$B$7,SUMIF($BH$3:$CE$3,"="&amp;$DF12+'Model Setup'!$B$7,$AD12:$BA12)+'Model Setup'!$B$8*(SUMIF($BH$3:$CE$3,"&lt;"&amp;$DF12,$AD12:$BA12)+SUMIF($BH$3:$CE$3,"&gt;"&amp;$CW$4,$AD12:$BA12)),
IF(CD$3=$DF12+'Model Setup'!$C$7,SUMIF($BH$3:$CE$3,"="&amp;$DF12+'Model Setup'!$C$7,$AD12:$BA12)+'Model Setup'!$C$8*(SUMIF($BH$3:$CE$3,"&lt;"&amp;$DF12,$AD12:$BA12)+SUMIF($BH$3:$CE$3,"&gt;"&amp;$CW$4,$AD12:$BA12)),
IF(CD$3=$DF12+'Model Setup'!$D$7,SUMIF($BH$3:$CE$3,"="&amp;$DF12+'Model Setup'!$D$7,$AD12:$BA12)+'Model Setup'!$D$8*(SUMIF($BH$3:$CE$3,"&lt;"&amp;$DF12,$AD12:$BA12)+SUMIF($BH$3:$CE$3,"&gt;"&amp;$CW$4,$AD12:$BA12)),
IF(CD$3=$DF12+'Model Setup'!$E$7,SUMIF($BH$3:$CE$3,"="&amp;$DF12+'Model Setup'!$E$7,$AD12:$BA12)+'Model Setup'!$E$8*(SUMIF($BH$3:$CE$3,"&lt;"&amp;$DF12,$AD12:$BA12)+SUMIF($BH$3:$CE$3,"&gt;"&amp;$CW$4,$AD12:$BA12)),
IF(CD$3=$DF12+'Model Setup'!$F$7,SUMIF($BH$3:$CE$3,"="&amp;$DF12+'Model Setup'!$F$7,$AD12:$BA12)+'Model Setup'!$F$8*(SUMIF($BH$3:$CE$3,"&lt;"&amp;$DF12,$AD12:$BA12)+SUMIF($BH$3:$CE$3,"&gt;"&amp;$CW$4,$AD12:$BA12)),
IF(CD$3=$DF12+'Model Setup'!$G$7,SUMIF($BH$3:$CE$3,"="&amp;$DF12+'Model Setup'!$G$7,$AD12:$BA12)+'Model Setup'!$G$8*(SUMIF($BH$3:$CE$3,"&lt;"&amp;$DF12,$AD12:$BA12)+SUMIF($BH$3:$CE$3,"&gt;"&amp;$CW$4,$AD12:$BA12)),
IF(CD$3=$DF12+'Model Setup'!$H$7,SUMIF($BH$3:$CE$3,"="&amp;$DF12+'Model Setup'!$H$7,$AD12:$BA12)+'Model Setup'!$H$8*(SUMIF($BH$3:$CE$3,"&lt;"&amp;$DF12,$AD12:$BA12)+SUMIF($BH$3:$CE$3,"&gt;"&amp;$CW$4,$AD12:$BA12)),
IF(CD$3=$DF12+'Model Setup'!$I$7,SUMIF($BH$3:$CE$3,"="&amp;$DF12+'Model Setup'!$I$7,$AD12:$BA12)+'Model Setup'!$I$8*(SUMIF($BH$3:$CE$3,"&lt;"&amp;$DF12,$AD12:$BA12)+SUMIF($BH$3:$CE$3,"&gt;"&amp;$CW$4,$AD12:$BA12)),
IF(CD$3=$DF12+'Model Setup'!$J$7,SUMIF($BH$3:$CE$3,"="&amp;$DF12+'Model Setup'!$J$7,$AD12:$BA12)+'Model Setup'!$J$8*(SUMIF($BH$3:$CE$3,"&lt;"&amp;$DF12,$AD12:$BA12)+SUMIF($BH$3:$CE$3,"&gt;"&amp;$CW$4,$AD12:$BA12)),
IF(CD$3=$DF12+'Model Setup'!$K$7,SUMIF($BH$3:$CE$3,"="&amp;$DF12+'Model Setup'!$K$7,$AD12:$BA12)+'Model Setup'!$K$8*(SUMIF($BH$3:$CE$3,"&lt;"&amp;$DF12,$AD12:$BA12)+SUMIF($BH$3:$CE$3,"&gt;"&amp;$CW$4,$AD12:$BA12)),
IF(CD$3=$DF12+'Model Setup'!$L$7,SUMIF($BH$3:$CE$3,"="&amp;$DF12+'Model Setup'!$L$7,$AD12:$BA12)+'Model Setup'!$L$8*(SUMIF($BH$3:$CE$3,"&lt;"&amp;$DF12,$AD12:$BA12)+SUMIF($BH$3:$CE$3,"&gt;"&amp;$CW$4,$AD12:$BA12)),
IF(CD$3=$DF12+'Model Setup'!$M$7,SUMIF($BH$3:$CE$3,"="&amp;$DF12+'Model Setup'!$M$7,$AD12:$BA12)+'Model Setup'!$M$8*(SUMIF($BH$3:$CE$3,"&lt;"&amp;$DF12,$AD12:$BA12)+SUMIF($BH$3:$CE$3,"&gt;"&amp;$CW$4,$AD12:$BA12)),
IF(CD$3=$DF12+'Model Setup'!$N$7,SUMIF($BH$3:$CE$3,"="&amp;$DF12+'Model Setup'!$N$7,$AD12:$BA12)+'Model Setup'!$N$8*(SUMIF($BH$3:$CE$3,"&lt;"&amp;$DF12,$AD12:$BA12)+SUMIF($BH$3:$CE$3,"&gt;"&amp;$CW$4,$AD12:$BA12)),
IF(CD$3&lt;$CW$4,X12,0))))))))))))))),0)</f>
        <v>0</v>
      </c>
      <c r="CE12" s="47">
        <f>ROUND(IF(OR(CE$3&lt;$DF12,CE$3&gt;$CW$4),0,
IF(CE$3=$DF12+'Model Setup'!$B$7,SUMIF($BH$3:$CE$3,"="&amp;$DF12+'Model Setup'!$B$7,$AD12:$BA12)+'Model Setup'!$B$8*(SUMIF($BH$3:$CE$3,"&lt;"&amp;$DF12,$AD12:$BA12)+SUMIF($BH$3:$CE$3,"&gt;"&amp;$CW$4,$AD12:$BA12)),
IF(CE$3=$DF12+'Model Setup'!$C$7,SUMIF($BH$3:$CE$3,"="&amp;$DF12+'Model Setup'!$C$7,$AD12:$BA12)+'Model Setup'!$C$8*(SUMIF($BH$3:$CE$3,"&lt;"&amp;$DF12,$AD12:$BA12)+SUMIF($BH$3:$CE$3,"&gt;"&amp;$CW$4,$AD12:$BA12)),
IF(CE$3=$DF12+'Model Setup'!$D$7,SUMIF($BH$3:$CE$3,"="&amp;$DF12+'Model Setup'!$D$7,$AD12:$BA12)+'Model Setup'!$D$8*(SUMIF($BH$3:$CE$3,"&lt;"&amp;$DF12,$AD12:$BA12)+SUMIF($BH$3:$CE$3,"&gt;"&amp;$CW$4,$AD12:$BA12)),
IF(CE$3=$DF12+'Model Setup'!$E$7,SUMIF($BH$3:$CE$3,"="&amp;$DF12+'Model Setup'!$E$7,$AD12:$BA12)+'Model Setup'!$E$8*(SUMIF($BH$3:$CE$3,"&lt;"&amp;$DF12,$AD12:$BA12)+SUMIF($BH$3:$CE$3,"&gt;"&amp;$CW$4,$AD12:$BA12)),
IF(CE$3=$DF12+'Model Setup'!$F$7,SUMIF($BH$3:$CE$3,"="&amp;$DF12+'Model Setup'!$F$7,$AD12:$BA12)+'Model Setup'!$F$8*(SUMIF($BH$3:$CE$3,"&lt;"&amp;$DF12,$AD12:$BA12)+SUMIF($BH$3:$CE$3,"&gt;"&amp;$CW$4,$AD12:$BA12)),
IF(CE$3=$DF12+'Model Setup'!$G$7,SUMIF($BH$3:$CE$3,"="&amp;$DF12+'Model Setup'!$G$7,$AD12:$BA12)+'Model Setup'!$G$8*(SUMIF($BH$3:$CE$3,"&lt;"&amp;$DF12,$AD12:$BA12)+SUMIF($BH$3:$CE$3,"&gt;"&amp;$CW$4,$AD12:$BA12)),
IF(CE$3=$DF12+'Model Setup'!$H$7,SUMIF($BH$3:$CE$3,"="&amp;$DF12+'Model Setup'!$H$7,$AD12:$BA12)+'Model Setup'!$H$8*(SUMIF($BH$3:$CE$3,"&lt;"&amp;$DF12,$AD12:$BA12)+SUMIF($BH$3:$CE$3,"&gt;"&amp;$CW$4,$AD12:$BA12)),
IF(CE$3=$DF12+'Model Setup'!$I$7,SUMIF($BH$3:$CE$3,"="&amp;$DF12+'Model Setup'!$I$7,$AD12:$BA12)+'Model Setup'!$I$8*(SUMIF($BH$3:$CE$3,"&lt;"&amp;$DF12,$AD12:$BA12)+SUMIF($BH$3:$CE$3,"&gt;"&amp;$CW$4,$AD12:$BA12)),
IF(CE$3=$DF12+'Model Setup'!$J$7,SUMIF($BH$3:$CE$3,"="&amp;$DF12+'Model Setup'!$J$7,$AD12:$BA12)+'Model Setup'!$J$8*(SUMIF($BH$3:$CE$3,"&lt;"&amp;$DF12,$AD12:$BA12)+SUMIF($BH$3:$CE$3,"&gt;"&amp;$CW$4,$AD12:$BA12)),
IF(CE$3=$DF12+'Model Setup'!$K$7,SUMIF($BH$3:$CE$3,"="&amp;$DF12+'Model Setup'!$K$7,$AD12:$BA12)+'Model Setup'!$K$8*(SUMIF($BH$3:$CE$3,"&lt;"&amp;$DF12,$AD12:$BA12)+SUMIF($BH$3:$CE$3,"&gt;"&amp;$CW$4,$AD12:$BA12)),
IF(CE$3=$DF12+'Model Setup'!$L$7,SUMIF($BH$3:$CE$3,"="&amp;$DF12+'Model Setup'!$L$7,$AD12:$BA12)+'Model Setup'!$L$8*(SUMIF($BH$3:$CE$3,"&lt;"&amp;$DF12,$AD12:$BA12)+SUMIF($BH$3:$CE$3,"&gt;"&amp;$CW$4,$AD12:$BA12)),
IF(CE$3=$DF12+'Model Setup'!$M$7,SUMIF($BH$3:$CE$3,"="&amp;$DF12+'Model Setup'!$M$7,$AD12:$BA12)+'Model Setup'!$M$8*(SUMIF($BH$3:$CE$3,"&lt;"&amp;$DF12,$AD12:$BA12)+SUMIF($BH$3:$CE$3,"&gt;"&amp;$CW$4,$AD12:$BA12)),
IF(CE$3=$DF12+'Model Setup'!$N$7,SUMIF($BH$3:$CE$3,"="&amp;$DF12+'Model Setup'!$N$7,$AD12:$BA12)+'Model Setup'!$N$8*(SUMIF($BH$3:$CE$3,"&lt;"&amp;$DF12,$AD12:$BA12)+SUMIF($BH$3:$CE$3,"&gt;"&amp;$CW$4,$AD12:$BA12)),
IF(CE$3&lt;$CW$4,Y12,0))))))))))))))),0)</f>
        <v>0</v>
      </c>
      <c r="CF12" s="47">
        <f t="shared" si="3"/>
        <v>116</v>
      </c>
      <c r="CG12" s="47">
        <f t="shared" si="4"/>
        <v>0</v>
      </c>
      <c r="CI12" s="10" t="s">
        <v>27</v>
      </c>
      <c r="CJ12" s="126">
        <f t="shared" si="9"/>
        <v>1</v>
      </c>
      <c r="CK12" s="126">
        <f t="shared" si="10"/>
        <v>12</v>
      </c>
      <c r="CL12" s="126">
        <f t="shared" si="11"/>
        <v>10</v>
      </c>
      <c r="CM12" s="126">
        <f t="shared" si="12"/>
        <v>18</v>
      </c>
      <c r="CN12" s="126">
        <f t="shared" si="13"/>
        <v>20</v>
      </c>
      <c r="CO12" s="126">
        <f t="shared" si="14"/>
        <v>12</v>
      </c>
      <c r="CP12" s="126">
        <f t="shared" si="15"/>
        <v>7</v>
      </c>
      <c r="CQ12" s="126">
        <f t="shared" si="16"/>
        <v>8</v>
      </c>
      <c r="CR12" s="126">
        <f t="shared" si="17"/>
        <v>10</v>
      </c>
      <c r="CS12" s="126">
        <f t="shared" si="18"/>
        <v>7</v>
      </c>
      <c r="CT12" s="126">
        <f t="shared" si="19"/>
        <v>5</v>
      </c>
      <c r="CU12" s="126">
        <f t="shared" si="20"/>
        <v>2</v>
      </c>
      <c r="CV12" s="126">
        <f t="shared" si="21"/>
        <v>4</v>
      </c>
      <c r="CW12" s="126">
        <f t="shared" si="22"/>
        <v>0</v>
      </c>
      <c r="CX12" s="126">
        <f t="shared" si="23"/>
        <v>0</v>
      </c>
      <c r="CY12" s="126">
        <f t="shared" si="24"/>
        <v>0</v>
      </c>
      <c r="CZ12" s="47">
        <f t="shared" si="7"/>
        <v>116</v>
      </c>
      <c r="DC12" s="93" t="s">
        <v>27</v>
      </c>
      <c r="DD12" s="89">
        <f>FTC!E10</f>
        <v>0.20833333333333334</v>
      </c>
      <c r="DE12" s="89">
        <f>FTC!F10</f>
        <v>0.75</v>
      </c>
      <c r="DF12" s="90">
        <f t="shared" si="25"/>
        <v>5</v>
      </c>
      <c r="DG12" s="91">
        <f t="shared" si="26"/>
        <v>18</v>
      </c>
      <c r="DH12" s="91">
        <f t="shared" si="27"/>
        <v>13</v>
      </c>
    </row>
    <row r="13" spans="1:112" x14ac:dyDescent="0.35">
      <c r="A13" s="43" t="s">
        <v>28</v>
      </c>
      <c r="B13" s="6"/>
      <c r="C13" s="6"/>
      <c r="D13" s="47">
        <v>1</v>
      </c>
      <c r="E13" s="47">
        <v>2</v>
      </c>
      <c r="F13" s="47">
        <v>1</v>
      </c>
      <c r="G13" s="47">
        <v>8</v>
      </c>
      <c r="H13" s="47">
        <v>18</v>
      </c>
      <c r="I13" s="47">
        <v>17</v>
      </c>
      <c r="J13" s="47">
        <v>11</v>
      </c>
      <c r="K13" s="47">
        <v>15</v>
      </c>
      <c r="L13" s="47">
        <v>12</v>
      </c>
      <c r="M13" s="47">
        <v>11</v>
      </c>
      <c r="N13" s="47">
        <v>10</v>
      </c>
      <c r="O13" s="47">
        <v>8</v>
      </c>
      <c r="P13" s="47">
        <v>6</v>
      </c>
      <c r="Q13" s="47">
        <v>3</v>
      </c>
      <c r="R13" s="47">
        <v>3</v>
      </c>
      <c r="S13" s="47">
        <v>5</v>
      </c>
      <c r="T13" s="47">
        <v>2</v>
      </c>
      <c r="U13" s="47">
        <v>1</v>
      </c>
      <c r="V13" s="47">
        <v>2</v>
      </c>
      <c r="W13" s="47">
        <v>5</v>
      </c>
      <c r="X13" s="6"/>
      <c r="Y13" s="47">
        <v>1</v>
      </c>
      <c r="Z13" s="47">
        <f t="shared" si="0"/>
        <v>142</v>
      </c>
      <c r="AC13" s="43" t="s">
        <v>28</v>
      </c>
      <c r="AD13" s="47">
        <f>ROUND(IF(AD$3&lt;$DF13,0,
IF(AD$3=$DF13+'Model Setup'!$B$7,SUMIF($AD$3:$BA$3,"="&amp;$DF13+'Model Setup'!$B$7,$B13:$Y13)+'Model Setup'!$B$8*(SUMIF($AD$3:$BA$3,"&lt;"&amp;$DF13,$B13:$Y13)+SUMIF($AD$3:$BA$3,"&gt;="&amp;$DG13,$B13:$Y13)),
IF(AD$3=$DF13+'Model Setup'!$C$7,SUMIF($AD$3:$BA$3,"="&amp;$DF13+'Model Setup'!$C$7,$B13:$Y13)+'Model Setup'!$C$8*(SUMIF($AD$3:$BA$3,"&lt;"&amp;$DF13,$B13:$Y13)+SUMIF($AD$3:$BA$3,"&gt;="&amp;$DG13,$B13:$Y13)),
IF(AD$3=$DF13+'Model Setup'!$D$7,SUMIF($AD$3:$BA$3,"="&amp;$DF13+'Model Setup'!$D$7,$B13:$Y13)+'Model Setup'!$D$8*(SUMIF($AD$3:$BA$3,"&lt;"&amp;$DF13,$B13:$Y13)+SUMIF($AD$3:$BA$3,"&gt;="&amp;$DG13,$B13:$Y13)),
IF(AD$3=$DF13+'Model Setup'!$E$7,SUMIF($AD$3:$BA$3,"="&amp;$DF13+'Model Setup'!$E$7,$B13:$Y13)+'Model Setup'!$E$8*(SUMIF($AD$3:$BA$3,"&lt;"&amp;$DF13,$B13:$Y13)+SUMIF($AD$3:$BA$3,"&gt;="&amp;$DG13,$B13:$Y13)),
IF(AD$3=$DF13+'Model Setup'!$F$7,SUMIF($AD$3:$BA$3,"="&amp;$DF13+'Model Setup'!$F$7,$B13:$Y13)+'Model Setup'!$F$8*(SUMIF($AD$3:$BA$3,"&lt;"&amp;$DF13,$B13:$Y13)+SUMIF($AD$3:$BA$3,"&gt;="&amp;$DG13,$B13:$Y13)),
IF(AD$3=$DF13+'Model Setup'!$G$7,SUMIF($AD$3:$BA$3,"="&amp;$DF13+'Model Setup'!$G$7,$B13:$Y13)+'Model Setup'!$G$8*(SUMIF($AD$3:$BA$3,"&lt;"&amp;$DF13,$B13:$Y13)+SUMIF($AD$3:$BA$3,"&gt;="&amp;$DG13,$B13:$Y13)),
IF(AD$3=$DF13+'Model Setup'!$H$7,SUMIF($AD$3:$BA$3,"="&amp;$DF13+'Model Setup'!$H$7,$B13:$Y13)+'Model Setup'!$H$8*(SUMIF($AD$3:$BA$3,"&lt;"&amp;$DF13,$B13:$Y13)+SUMIF($AD$3:$BA$3,"&gt;="&amp;$DG13,$B13:$Y13)),
IF(AD$3=$DF13+'Model Setup'!$I$7,SUMIF($AD$3:$BA$3,"="&amp;$DF13+'Model Setup'!$I$7,$B13:$Y13)+'Model Setup'!$I$8*(SUMIF($AD$3:$BA$3,"&lt;"&amp;$DF13,$B13:$Y13)+SUMIF($AD$3:$BA$3,"&gt;="&amp;$DG13,$B13:$Y13)),
IF(AD$3=$DF13+'Model Setup'!$J$7,SUMIF($AD$3:$BA$3,"="&amp;$DF13+'Model Setup'!$J$7,$B13:$Y13)+'Model Setup'!$J$8*(SUMIF($AD$3:$BA$3,"&lt;"&amp;$DF13,$B13:$Y13)+SUMIF($AD$3:$BA$3,"&gt;="&amp;$DG13,$B13:$Y13)),
IF(AD$3=$DF13+'Model Setup'!$K$7,SUMIF($AD$3:$BA$3,"="&amp;$DF13+'Model Setup'!$K$7,$B13:$Y13)+'Model Setup'!$K$8*(SUMIF($AD$3:$BA$3,"&lt;"&amp;$DF13,$B13:$Y13)+SUMIF($AD$3:$BA$3,"&gt;="&amp;$DG13,$B13:$Y13)),
IF(AD$3=$DF13+'Model Setup'!$L$7,SUMIF($AD$3:$BA$3,"="&amp;$DF13+'Model Setup'!$L$7,$B13:$Y13)+'Model Setup'!$L$8*(SUMIF($AD$3:$BA$3,"&lt;"&amp;$DF13,$B13:$Y13)+SUMIF($AD$3:$BA$3,"&gt;="&amp;$DG13,$B13:$Y13)),
IF(AD$3=$DF13+'Model Setup'!$M$7,SUMIF($AD$3:$BA$3,"="&amp;$DF13+'Model Setup'!$M$7,$B13:$Y13)+'Model Setup'!$M$8*(SUMIF($AD$3:$BA$3,"&lt;"&amp;$DF13,$B13:$Y13)+SUMIF($AD$3:$BA$3,"&gt;="&amp;$DG13,$B13:$Y13)),
IF(AD$3=$DF13+'Model Setup'!$N$7,SUMIF($AD$3:$BA$3,"="&amp;$DF13+'Model Setup'!$N$7,$B13:$Y13)+'Model Setup'!$N$8*(SUMIF($AD$3:$BA$3,"&lt;"&amp;$DF13,$B13:$Y13)+SUMIF($AD$3:$BA$3,"&gt;="&amp;$DG13,$B13:$Y13)),
IF(AD$3&lt;$DG13,B13,0))))))))))))))),0)</f>
        <v>0</v>
      </c>
      <c r="AE13" s="47">
        <f>ROUND(IF(AE$3&lt;$DF13,0,
IF(AE$3=$DF13+'Model Setup'!$B$7,SUMIF($AD$3:$BA$3,"="&amp;$DF13+'Model Setup'!$B$7,$B13:$Y13)+'Model Setup'!$B$8*(SUMIF($AD$3:$BA$3,"&lt;"&amp;$DF13,$B13:$Y13)+SUMIF($AD$3:$BA$3,"&gt;="&amp;$DG13,$B13:$Y13)),
IF(AE$3=$DF13+'Model Setup'!$C$7,SUMIF($AD$3:$BA$3,"="&amp;$DF13+'Model Setup'!$C$7,$B13:$Y13)+'Model Setup'!$C$8*(SUMIF($AD$3:$BA$3,"&lt;"&amp;$DF13,$B13:$Y13)+SUMIF($AD$3:$BA$3,"&gt;="&amp;$DG13,$B13:$Y13)),
IF(AE$3=$DF13+'Model Setup'!$D$7,SUMIF($AD$3:$BA$3,"="&amp;$DF13+'Model Setup'!$D$7,$B13:$Y13)+'Model Setup'!$D$8*(SUMIF($AD$3:$BA$3,"&lt;"&amp;$DF13,$B13:$Y13)+SUMIF($AD$3:$BA$3,"&gt;="&amp;$DG13,$B13:$Y13)),
IF(AE$3=$DF13+'Model Setup'!$E$7,SUMIF($AD$3:$BA$3,"="&amp;$DF13+'Model Setup'!$E$7,$B13:$Y13)+'Model Setup'!$E$8*(SUMIF($AD$3:$BA$3,"&lt;"&amp;$DF13,$B13:$Y13)+SUMIF($AD$3:$BA$3,"&gt;="&amp;$DG13,$B13:$Y13)),
IF(AE$3=$DF13+'Model Setup'!$F$7,SUMIF($AD$3:$BA$3,"="&amp;$DF13+'Model Setup'!$F$7,$B13:$Y13)+'Model Setup'!$F$8*(SUMIF($AD$3:$BA$3,"&lt;"&amp;$DF13,$B13:$Y13)+SUMIF($AD$3:$BA$3,"&gt;="&amp;$DG13,$B13:$Y13)),
IF(AE$3=$DF13+'Model Setup'!$G$7,SUMIF($AD$3:$BA$3,"="&amp;$DF13+'Model Setup'!$G$7,$B13:$Y13)+'Model Setup'!$G$8*(SUMIF($AD$3:$BA$3,"&lt;"&amp;$DF13,$B13:$Y13)+SUMIF($AD$3:$BA$3,"&gt;="&amp;$DG13,$B13:$Y13)),
IF(AE$3=$DF13+'Model Setup'!$H$7,SUMIF($AD$3:$BA$3,"="&amp;$DF13+'Model Setup'!$H$7,$B13:$Y13)+'Model Setup'!$H$8*(SUMIF($AD$3:$BA$3,"&lt;"&amp;$DF13,$B13:$Y13)+SUMIF($AD$3:$BA$3,"&gt;="&amp;$DG13,$B13:$Y13)),
IF(AE$3=$DF13+'Model Setup'!$I$7,SUMIF($AD$3:$BA$3,"="&amp;$DF13+'Model Setup'!$I$7,$B13:$Y13)+'Model Setup'!$I$8*(SUMIF($AD$3:$BA$3,"&lt;"&amp;$DF13,$B13:$Y13)+SUMIF($AD$3:$BA$3,"&gt;="&amp;$DG13,$B13:$Y13)),
IF(AE$3=$DF13+'Model Setup'!$J$7,SUMIF($AD$3:$BA$3,"="&amp;$DF13+'Model Setup'!$J$7,$B13:$Y13)+'Model Setup'!$J$8*(SUMIF($AD$3:$BA$3,"&lt;"&amp;$DF13,$B13:$Y13)+SUMIF($AD$3:$BA$3,"&gt;="&amp;$DG13,$B13:$Y13)),
IF(AE$3=$DF13+'Model Setup'!$K$7,SUMIF($AD$3:$BA$3,"="&amp;$DF13+'Model Setup'!$K$7,$B13:$Y13)+'Model Setup'!$K$8*(SUMIF($AD$3:$BA$3,"&lt;"&amp;$DF13,$B13:$Y13)+SUMIF($AD$3:$BA$3,"&gt;="&amp;$DG13,$B13:$Y13)),
IF(AE$3=$DF13+'Model Setup'!$L$7,SUMIF($AD$3:$BA$3,"="&amp;$DF13+'Model Setup'!$L$7,$B13:$Y13)+'Model Setup'!$L$8*(SUMIF($AD$3:$BA$3,"&lt;"&amp;$DF13,$B13:$Y13)+SUMIF($AD$3:$BA$3,"&gt;="&amp;$DG13,$B13:$Y13)),
IF(AE$3=$DF13+'Model Setup'!$M$7,SUMIF($AD$3:$BA$3,"="&amp;$DF13+'Model Setup'!$M$7,$B13:$Y13)+'Model Setup'!$M$8*(SUMIF($AD$3:$BA$3,"&lt;"&amp;$DF13,$B13:$Y13)+SUMIF($AD$3:$BA$3,"&gt;="&amp;$DG13,$B13:$Y13)),
IF(AE$3=$DF13+'Model Setup'!$N$7,SUMIF($AD$3:$BA$3,"="&amp;$DF13+'Model Setup'!$N$7,$B13:$Y13)+'Model Setup'!$N$8*(SUMIF($AD$3:$BA$3,"&lt;"&amp;$DF13,$B13:$Y13)+SUMIF($AD$3:$BA$3,"&gt;="&amp;$DG13,$B13:$Y13)),
IF(AE$3&lt;$DG13,C13,0))))))))))))))),0)</f>
        <v>0</v>
      </c>
      <c r="AF13" s="47">
        <f>ROUND(IF(AF$3&lt;$DF13,0,
IF(AF$3=$DF13+'Model Setup'!$B$7,SUMIF($AD$3:$BA$3,"="&amp;$DF13+'Model Setup'!$B$7,$B13:$Y13)+'Model Setup'!$B$8*(SUMIF($AD$3:$BA$3,"&lt;"&amp;$DF13,$B13:$Y13)+SUMIF($AD$3:$BA$3,"&gt;="&amp;$DG13,$B13:$Y13)),
IF(AF$3=$DF13+'Model Setup'!$C$7,SUMIF($AD$3:$BA$3,"="&amp;$DF13+'Model Setup'!$C$7,$B13:$Y13)+'Model Setup'!$C$8*(SUMIF($AD$3:$BA$3,"&lt;"&amp;$DF13,$B13:$Y13)+SUMIF($AD$3:$BA$3,"&gt;="&amp;$DG13,$B13:$Y13)),
IF(AF$3=$DF13+'Model Setup'!$D$7,SUMIF($AD$3:$BA$3,"="&amp;$DF13+'Model Setup'!$D$7,$B13:$Y13)+'Model Setup'!$D$8*(SUMIF($AD$3:$BA$3,"&lt;"&amp;$DF13,$B13:$Y13)+SUMIF($AD$3:$BA$3,"&gt;="&amp;$DG13,$B13:$Y13)),
IF(AF$3=$DF13+'Model Setup'!$E$7,SUMIF($AD$3:$BA$3,"="&amp;$DF13+'Model Setup'!$E$7,$B13:$Y13)+'Model Setup'!$E$8*(SUMIF($AD$3:$BA$3,"&lt;"&amp;$DF13,$B13:$Y13)+SUMIF($AD$3:$BA$3,"&gt;="&amp;$DG13,$B13:$Y13)),
IF(AF$3=$DF13+'Model Setup'!$F$7,SUMIF($AD$3:$BA$3,"="&amp;$DF13+'Model Setup'!$F$7,$B13:$Y13)+'Model Setup'!$F$8*(SUMIF($AD$3:$BA$3,"&lt;"&amp;$DF13,$B13:$Y13)+SUMIF($AD$3:$BA$3,"&gt;="&amp;$DG13,$B13:$Y13)),
IF(AF$3=$DF13+'Model Setup'!$G$7,SUMIF($AD$3:$BA$3,"="&amp;$DF13+'Model Setup'!$G$7,$B13:$Y13)+'Model Setup'!$G$8*(SUMIF($AD$3:$BA$3,"&lt;"&amp;$DF13,$B13:$Y13)+SUMIF($AD$3:$BA$3,"&gt;="&amp;$DG13,$B13:$Y13)),
IF(AF$3=$DF13+'Model Setup'!$H$7,SUMIF($AD$3:$BA$3,"="&amp;$DF13+'Model Setup'!$H$7,$B13:$Y13)+'Model Setup'!$H$8*(SUMIF($AD$3:$BA$3,"&lt;"&amp;$DF13,$B13:$Y13)+SUMIF($AD$3:$BA$3,"&gt;="&amp;$DG13,$B13:$Y13)),
IF(AF$3=$DF13+'Model Setup'!$I$7,SUMIF($AD$3:$BA$3,"="&amp;$DF13+'Model Setup'!$I$7,$B13:$Y13)+'Model Setup'!$I$8*(SUMIF($AD$3:$BA$3,"&lt;"&amp;$DF13,$B13:$Y13)+SUMIF($AD$3:$BA$3,"&gt;="&amp;$DG13,$B13:$Y13)),
IF(AF$3=$DF13+'Model Setup'!$J$7,SUMIF($AD$3:$BA$3,"="&amp;$DF13+'Model Setup'!$J$7,$B13:$Y13)+'Model Setup'!$J$8*(SUMIF($AD$3:$BA$3,"&lt;"&amp;$DF13,$B13:$Y13)+SUMIF($AD$3:$BA$3,"&gt;="&amp;$DG13,$B13:$Y13)),
IF(AF$3=$DF13+'Model Setup'!$K$7,SUMIF($AD$3:$BA$3,"="&amp;$DF13+'Model Setup'!$K$7,$B13:$Y13)+'Model Setup'!$K$8*(SUMIF($AD$3:$BA$3,"&lt;"&amp;$DF13,$B13:$Y13)+SUMIF($AD$3:$BA$3,"&gt;="&amp;$DG13,$B13:$Y13)),
IF(AF$3=$DF13+'Model Setup'!$L$7,SUMIF($AD$3:$BA$3,"="&amp;$DF13+'Model Setup'!$L$7,$B13:$Y13)+'Model Setup'!$L$8*(SUMIF($AD$3:$BA$3,"&lt;"&amp;$DF13,$B13:$Y13)+SUMIF($AD$3:$BA$3,"&gt;="&amp;$DG13,$B13:$Y13)),
IF(AF$3=$DF13+'Model Setup'!$M$7,SUMIF($AD$3:$BA$3,"="&amp;$DF13+'Model Setup'!$M$7,$B13:$Y13)+'Model Setup'!$M$8*(SUMIF($AD$3:$BA$3,"&lt;"&amp;$DF13,$B13:$Y13)+SUMIF($AD$3:$BA$3,"&gt;="&amp;$DG13,$B13:$Y13)),
IF(AF$3=$DF13+'Model Setup'!$N$7,SUMIF($AD$3:$BA$3,"="&amp;$DF13+'Model Setup'!$N$7,$B13:$Y13)+'Model Setup'!$N$8*(SUMIF($AD$3:$BA$3,"&lt;"&amp;$DF13,$B13:$Y13)+SUMIF($AD$3:$BA$3,"&gt;="&amp;$DG13,$B13:$Y13)),
IF(AF$3&lt;$DG13,D13,0))))))))))))))),0)</f>
        <v>0</v>
      </c>
      <c r="AG13" s="47">
        <f>ROUND(IF(AG$3&lt;$DF13,0,
IF(AG$3=$DF13+'Model Setup'!$B$7,SUMIF($AD$3:$BA$3,"="&amp;$DF13+'Model Setup'!$B$7,$B13:$Y13)+'Model Setup'!$B$8*(SUMIF($AD$3:$BA$3,"&lt;"&amp;$DF13,$B13:$Y13)+SUMIF($AD$3:$BA$3,"&gt;="&amp;$DG13,$B13:$Y13)),
IF(AG$3=$DF13+'Model Setup'!$C$7,SUMIF($AD$3:$BA$3,"="&amp;$DF13+'Model Setup'!$C$7,$B13:$Y13)+'Model Setup'!$C$8*(SUMIF($AD$3:$BA$3,"&lt;"&amp;$DF13,$B13:$Y13)+SUMIF($AD$3:$BA$3,"&gt;="&amp;$DG13,$B13:$Y13)),
IF(AG$3=$DF13+'Model Setup'!$D$7,SUMIF($AD$3:$BA$3,"="&amp;$DF13+'Model Setup'!$D$7,$B13:$Y13)+'Model Setup'!$D$8*(SUMIF($AD$3:$BA$3,"&lt;"&amp;$DF13,$B13:$Y13)+SUMIF($AD$3:$BA$3,"&gt;="&amp;$DG13,$B13:$Y13)),
IF(AG$3=$DF13+'Model Setup'!$E$7,SUMIF($AD$3:$BA$3,"="&amp;$DF13+'Model Setup'!$E$7,$B13:$Y13)+'Model Setup'!$E$8*(SUMIF($AD$3:$BA$3,"&lt;"&amp;$DF13,$B13:$Y13)+SUMIF($AD$3:$BA$3,"&gt;="&amp;$DG13,$B13:$Y13)),
IF(AG$3=$DF13+'Model Setup'!$F$7,SUMIF($AD$3:$BA$3,"="&amp;$DF13+'Model Setup'!$F$7,$B13:$Y13)+'Model Setup'!$F$8*(SUMIF($AD$3:$BA$3,"&lt;"&amp;$DF13,$B13:$Y13)+SUMIF($AD$3:$BA$3,"&gt;="&amp;$DG13,$B13:$Y13)),
IF(AG$3=$DF13+'Model Setup'!$G$7,SUMIF($AD$3:$BA$3,"="&amp;$DF13+'Model Setup'!$G$7,$B13:$Y13)+'Model Setup'!$G$8*(SUMIF($AD$3:$BA$3,"&lt;"&amp;$DF13,$B13:$Y13)+SUMIF($AD$3:$BA$3,"&gt;="&amp;$DG13,$B13:$Y13)),
IF(AG$3=$DF13+'Model Setup'!$H$7,SUMIF($AD$3:$BA$3,"="&amp;$DF13+'Model Setup'!$H$7,$B13:$Y13)+'Model Setup'!$H$8*(SUMIF($AD$3:$BA$3,"&lt;"&amp;$DF13,$B13:$Y13)+SUMIF($AD$3:$BA$3,"&gt;="&amp;$DG13,$B13:$Y13)),
IF(AG$3=$DF13+'Model Setup'!$I$7,SUMIF($AD$3:$BA$3,"="&amp;$DF13+'Model Setup'!$I$7,$B13:$Y13)+'Model Setup'!$I$8*(SUMIF($AD$3:$BA$3,"&lt;"&amp;$DF13,$B13:$Y13)+SUMIF($AD$3:$BA$3,"&gt;="&amp;$DG13,$B13:$Y13)),
IF(AG$3=$DF13+'Model Setup'!$J$7,SUMIF($AD$3:$BA$3,"="&amp;$DF13+'Model Setup'!$J$7,$B13:$Y13)+'Model Setup'!$J$8*(SUMIF($AD$3:$BA$3,"&lt;"&amp;$DF13,$B13:$Y13)+SUMIF($AD$3:$BA$3,"&gt;="&amp;$DG13,$B13:$Y13)),
IF(AG$3=$DF13+'Model Setup'!$K$7,SUMIF($AD$3:$BA$3,"="&amp;$DF13+'Model Setup'!$K$7,$B13:$Y13)+'Model Setup'!$K$8*(SUMIF($AD$3:$BA$3,"&lt;"&amp;$DF13,$B13:$Y13)+SUMIF($AD$3:$BA$3,"&gt;="&amp;$DG13,$B13:$Y13)),
IF(AG$3=$DF13+'Model Setup'!$L$7,SUMIF($AD$3:$BA$3,"="&amp;$DF13+'Model Setup'!$L$7,$B13:$Y13)+'Model Setup'!$L$8*(SUMIF($AD$3:$BA$3,"&lt;"&amp;$DF13,$B13:$Y13)+SUMIF($AD$3:$BA$3,"&gt;="&amp;$DG13,$B13:$Y13)),
IF(AG$3=$DF13+'Model Setup'!$M$7,SUMIF($AD$3:$BA$3,"="&amp;$DF13+'Model Setup'!$M$7,$B13:$Y13)+'Model Setup'!$M$8*(SUMIF($AD$3:$BA$3,"&lt;"&amp;$DF13,$B13:$Y13)+SUMIF($AD$3:$BA$3,"&gt;="&amp;$DG13,$B13:$Y13)),
IF(AG$3=$DF13+'Model Setup'!$N$7,SUMIF($AD$3:$BA$3,"="&amp;$DF13+'Model Setup'!$N$7,$B13:$Y13)+'Model Setup'!$N$8*(SUMIF($AD$3:$BA$3,"&lt;"&amp;$DF13,$B13:$Y13)+SUMIF($AD$3:$BA$3,"&gt;="&amp;$DG13,$B13:$Y13)),
IF(AG$3&lt;$DG13,E13,0))))))))))))))),0)</f>
        <v>0</v>
      </c>
      <c r="AH13" s="47">
        <f>ROUND(IF(AH$3&lt;$DF13,0,
IF(AH$3=$DF13+'Model Setup'!$B$7,SUMIF($AD$3:$BA$3,"="&amp;$DF13+'Model Setup'!$B$7,$B13:$Y13)+'Model Setup'!$B$8*(SUMIF($AD$3:$BA$3,"&lt;"&amp;$DF13,$B13:$Y13)+SUMIF($AD$3:$BA$3,"&gt;="&amp;$DG13,$B13:$Y13)),
IF(AH$3=$DF13+'Model Setup'!$C$7,SUMIF($AD$3:$BA$3,"="&amp;$DF13+'Model Setup'!$C$7,$B13:$Y13)+'Model Setup'!$C$8*(SUMIF($AD$3:$BA$3,"&lt;"&amp;$DF13,$B13:$Y13)+SUMIF($AD$3:$BA$3,"&gt;="&amp;$DG13,$B13:$Y13)),
IF(AH$3=$DF13+'Model Setup'!$D$7,SUMIF($AD$3:$BA$3,"="&amp;$DF13+'Model Setup'!$D$7,$B13:$Y13)+'Model Setup'!$D$8*(SUMIF($AD$3:$BA$3,"&lt;"&amp;$DF13,$B13:$Y13)+SUMIF($AD$3:$BA$3,"&gt;="&amp;$DG13,$B13:$Y13)),
IF(AH$3=$DF13+'Model Setup'!$E$7,SUMIF($AD$3:$BA$3,"="&amp;$DF13+'Model Setup'!$E$7,$B13:$Y13)+'Model Setup'!$E$8*(SUMIF($AD$3:$BA$3,"&lt;"&amp;$DF13,$B13:$Y13)+SUMIF($AD$3:$BA$3,"&gt;="&amp;$DG13,$B13:$Y13)),
IF(AH$3=$DF13+'Model Setup'!$F$7,SUMIF($AD$3:$BA$3,"="&amp;$DF13+'Model Setup'!$F$7,$B13:$Y13)+'Model Setup'!$F$8*(SUMIF($AD$3:$BA$3,"&lt;"&amp;$DF13,$B13:$Y13)+SUMIF($AD$3:$BA$3,"&gt;="&amp;$DG13,$B13:$Y13)),
IF(AH$3=$DF13+'Model Setup'!$G$7,SUMIF($AD$3:$BA$3,"="&amp;$DF13+'Model Setup'!$G$7,$B13:$Y13)+'Model Setup'!$G$8*(SUMIF($AD$3:$BA$3,"&lt;"&amp;$DF13,$B13:$Y13)+SUMIF($AD$3:$BA$3,"&gt;="&amp;$DG13,$B13:$Y13)),
IF(AH$3=$DF13+'Model Setup'!$H$7,SUMIF($AD$3:$BA$3,"="&amp;$DF13+'Model Setup'!$H$7,$B13:$Y13)+'Model Setup'!$H$8*(SUMIF($AD$3:$BA$3,"&lt;"&amp;$DF13,$B13:$Y13)+SUMIF($AD$3:$BA$3,"&gt;="&amp;$DG13,$B13:$Y13)),
IF(AH$3=$DF13+'Model Setup'!$I$7,SUMIF($AD$3:$BA$3,"="&amp;$DF13+'Model Setup'!$I$7,$B13:$Y13)+'Model Setup'!$I$8*(SUMIF($AD$3:$BA$3,"&lt;"&amp;$DF13,$B13:$Y13)+SUMIF($AD$3:$BA$3,"&gt;="&amp;$DG13,$B13:$Y13)),
IF(AH$3=$DF13+'Model Setup'!$J$7,SUMIF($AD$3:$BA$3,"="&amp;$DF13+'Model Setup'!$J$7,$B13:$Y13)+'Model Setup'!$J$8*(SUMIF($AD$3:$BA$3,"&lt;"&amp;$DF13,$B13:$Y13)+SUMIF($AD$3:$BA$3,"&gt;="&amp;$DG13,$B13:$Y13)),
IF(AH$3=$DF13+'Model Setup'!$K$7,SUMIF($AD$3:$BA$3,"="&amp;$DF13+'Model Setup'!$K$7,$B13:$Y13)+'Model Setup'!$K$8*(SUMIF($AD$3:$BA$3,"&lt;"&amp;$DF13,$B13:$Y13)+SUMIF($AD$3:$BA$3,"&gt;="&amp;$DG13,$B13:$Y13)),
IF(AH$3=$DF13+'Model Setup'!$L$7,SUMIF($AD$3:$BA$3,"="&amp;$DF13+'Model Setup'!$L$7,$B13:$Y13)+'Model Setup'!$L$8*(SUMIF($AD$3:$BA$3,"&lt;"&amp;$DF13,$B13:$Y13)+SUMIF($AD$3:$BA$3,"&gt;="&amp;$DG13,$B13:$Y13)),
IF(AH$3=$DF13+'Model Setup'!$M$7,SUMIF($AD$3:$BA$3,"="&amp;$DF13+'Model Setup'!$M$7,$B13:$Y13)+'Model Setup'!$M$8*(SUMIF($AD$3:$BA$3,"&lt;"&amp;$DF13,$B13:$Y13)+SUMIF($AD$3:$BA$3,"&gt;="&amp;$DG13,$B13:$Y13)),
IF(AH$3=$DF13+'Model Setup'!$N$7,SUMIF($AD$3:$BA$3,"="&amp;$DF13+'Model Setup'!$N$7,$B13:$Y13)+'Model Setup'!$N$8*(SUMIF($AD$3:$BA$3,"&lt;"&amp;$DF13,$B13:$Y13)+SUMIF($AD$3:$BA$3,"&gt;="&amp;$DG13,$B13:$Y13)),
IF(AH$3&lt;$DG13,F13,0))))))))))))))),0)</f>
        <v>0</v>
      </c>
      <c r="AI13" s="47">
        <f>ROUND(IF(AI$3&lt;$DF13,0,
IF(AI$3=$DF13+'Model Setup'!$B$7,SUMIF($AD$3:$BA$3,"="&amp;$DF13+'Model Setup'!$B$7,$B13:$Y13)+'Model Setup'!$B$8*(SUMIF($AD$3:$BA$3,"&lt;"&amp;$DF13,$B13:$Y13)+SUMIF($AD$3:$BA$3,"&gt;="&amp;$DG13,$B13:$Y13)),
IF(AI$3=$DF13+'Model Setup'!$C$7,SUMIF($AD$3:$BA$3,"="&amp;$DF13+'Model Setup'!$C$7,$B13:$Y13)+'Model Setup'!$C$8*(SUMIF($AD$3:$BA$3,"&lt;"&amp;$DF13,$B13:$Y13)+SUMIF($AD$3:$BA$3,"&gt;="&amp;$DG13,$B13:$Y13)),
IF(AI$3=$DF13+'Model Setup'!$D$7,SUMIF($AD$3:$BA$3,"="&amp;$DF13+'Model Setup'!$D$7,$B13:$Y13)+'Model Setup'!$D$8*(SUMIF($AD$3:$BA$3,"&lt;"&amp;$DF13,$B13:$Y13)+SUMIF($AD$3:$BA$3,"&gt;="&amp;$DG13,$B13:$Y13)),
IF(AI$3=$DF13+'Model Setup'!$E$7,SUMIF($AD$3:$BA$3,"="&amp;$DF13+'Model Setup'!$E$7,$B13:$Y13)+'Model Setup'!$E$8*(SUMIF($AD$3:$BA$3,"&lt;"&amp;$DF13,$B13:$Y13)+SUMIF($AD$3:$BA$3,"&gt;="&amp;$DG13,$B13:$Y13)),
IF(AI$3=$DF13+'Model Setup'!$F$7,SUMIF($AD$3:$BA$3,"="&amp;$DF13+'Model Setup'!$F$7,$B13:$Y13)+'Model Setup'!$F$8*(SUMIF($AD$3:$BA$3,"&lt;"&amp;$DF13,$B13:$Y13)+SUMIF($AD$3:$BA$3,"&gt;="&amp;$DG13,$B13:$Y13)),
IF(AI$3=$DF13+'Model Setup'!$G$7,SUMIF($AD$3:$BA$3,"="&amp;$DF13+'Model Setup'!$G$7,$B13:$Y13)+'Model Setup'!$G$8*(SUMIF($AD$3:$BA$3,"&lt;"&amp;$DF13,$B13:$Y13)+SUMIF($AD$3:$BA$3,"&gt;="&amp;$DG13,$B13:$Y13)),
IF(AI$3=$DF13+'Model Setup'!$H$7,SUMIF($AD$3:$BA$3,"="&amp;$DF13+'Model Setup'!$H$7,$B13:$Y13)+'Model Setup'!$H$8*(SUMIF($AD$3:$BA$3,"&lt;"&amp;$DF13,$B13:$Y13)+SUMIF($AD$3:$BA$3,"&gt;="&amp;$DG13,$B13:$Y13)),
IF(AI$3=$DF13+'Model Setup'!$I$7,SUMIF($AD$3:$BA$3,"="&amp;$DF13+'Model Setup'!$I$7,$B13:$Y13)+'Model Setup'!$I$8*(SUMIF($AD$3:$BA$3,"&lt;"&amp;$DF13,$B13:$Y13)+SUMIF($AD$3:$BA$3,"&gt;="&amp;$DG13,$B13:$Y13)),
IF(AI$3=$DF13+'Model Setup'!$J$7,SUMIF($AD$3:$BA$3,"="&amp;$DF13+'Model Setup'!$J$7,$B13:$Y13)+'Model Setup'!$J$8*(SUMIF($AD$3:$BA$3,"&lt;"&amp;$DF13,$B13:$Y13)+SUMIF($AD$3:$BA$3,"&gt;="&amp;$DG13,$B13:$Y13)),
IF(AI$3=$DF13+'Model Setup'!$K$7,SUMIF($AD$3:$BA$3,"="&amp;$DF13+'Model Setup'!$K$7,$B13:$Y13)+'Model Setup'!$K$8*(SUMIF($AD$3:$BA$3,"&lt;"&amp;$DF13,$B13:$Y13)+SUMIF($AD$3:$BA$3,"&gt;="&amp;$DG13,$B13:$Y13)),
IF(AI$3=$DF13+'Model Setup'!$L$7,SUMIF($AD$3:$BA$3,"="&amp;$DF13+'Model Setup'!$L$7,$B13:$Y13)+'Model Setup'!$L$8*(SUMIF($AD$3:$BA$3,"&lt;"&amp;$DF13,$B13:$Y13)+SUMIF($AD$3:$BA$3,"&gt;="&amp;$DG13,$B13:$Y13)),
IF(AI$3=$DF13+'Model Setup'!$M$7,SUMIF($AD$3:$BA$3,"="&amp;$DF13+'Model Setup'!$M$7,$B13:$Y13)+'Model Setup'!$M$8*(SUMIF($AD$3:$BA$3,"&lt;"&amp;$DF13,$B13:$Y13)+SUMIF($AD$3:$BA$3,"&gt;="&amp;$DG13,$B13:$Y13)),
IF(AI$3=$DF13+'Model Setup'!$N$7,SUMIF($AD$3:$BA$3,"="&amp;$DF13+'Model Setup'!$N$7,$B13:$Y13)+'Model Setup'!$N$8*(SUMIF($AD$3:$BA$3,"&lt;"&amp;$DF13,$B13:$Y13)+SUMIF($AD$3:$BA$3,"&gt;="&amp;$DG13,$B13:$Y13)),
IF(AI$3&lt;$DG13,G13,0))))))))))))))),0)</f>
        <v>8</v>
      </c>
      <c r="AJ13" s="47">
        <f>ROUND(IF(AJ$3&lt;$DF13,0,
IF(AJ$3=$DF13+'Model Setup'!$B$7,SUMIF($AD$3:$BA$3,"="&amp;$DF13+'Model Setup'!$B$7,$B13:$Y13)+'Model Setup'!$B$8*(SUMIF($AD$3:$BA$3,"&lt;"&amp;$DF13,$B13:$Y13)+SUMIF($AD$3:$BA$3,"&gt;="&amp;$DG13,$B13:$Y13)),
IF(AJ$3=$DF13+'Model Setup'!$C$7,SUMIF($AD$3:$BA$3,"="&amp;$DF13+'Model Setup'!$C$7,$B13:$Y13)+'Model Setup'!$C$8*(SUMIF($AD$3:$BA$3,"&lt;"&amp;$DF13,$B13:$Y13)+SUMIF($AD$3:$BA$3,"&gt;="&amp;$DG13,$B13:$Y13)),
IF(AJ$3=$DF13+'Model Setup'!$D$7,SUMIF($AD$3:$BA$3,"="&amp;$DF13+'Model Setup'!$D$7,$B13:$Y13)+'Model Setup'!$D$8*(SUMIF($AD$3:$BA$3,"&lt;"&amp;$DF13,$B13:$Y13)+SUMIF($AD$3:$BA$3,"&gt;="&amp;$DG13,$B13:$Y13)),
IF(AJ$3=$DF13+'Model Setup'!$E$7,SUMIF($AD$3:$BA$3,"="&amp;$DF13+'Model Setup'!$E$7,$B13:$Y13)+'Model Setup'!$E$8*(SUMIF($AD$3:$BA$3,"&lt;"&amp;$DF13,$B13:$Y13)+SUMIF($AD$3:$BA$3,"&gt;="&amp;$DG13,$B13:$Y13)),
IF(AJ$3=$DF13+'Model Setup'!$F$7,SUMIF($AD$3:$BA$3,"="&amp;$DF13+'Model Setup'!$F$7,$B13:$Y13)+'Model Setup'!$F$8*(SUMIF($AD$3:$BA$3,"&lt;"&amp;$DF13,$B13:$Y13)+SUMIF($AD$3:$BA$3,"&gt;="&amp;$DG13,$B13:$Y13)),
IF(AJ$3=$DF13+'Model Setup'!$G$7,SUMIF($AD$3:$BA$3,"="&amp;$DF13+'Model Setup'!$G$7,$B13:$Y13)+'Model Setup'!$G$8*(SUMIF($AD$3:$BA$3,"&lt;"&amp;$DF13,$B13:$Y13)+SUMIF($AD$3:$BA$3,"&gt;="&amp;$DG13,$B13:$Y13)),
IF(AJ$3=$DF13+'Model Setup'!$H$7,SUMIF($AD$3:$BA$3,"="&amp;$DF13+'Model Setup'!$H$7,$B13:$Y13)+'Model Setup'!$H$8*(SUMIF($AD$3:$BA$3,"&lt;"&amp;$DF13,$B13:$Y13)+SUMIF($AD$3:$BA$3,"&gt;="&amp;$DG13,$B13:$Y13)),
IF(AJ$3=$DF13+'Model Setup'!$I$7,SUMIF($AD$3:$BA$3,"="&amp;$DF13+'Model Setup'!$I$7,$B13:$Y13)+'Model Setup'!$I$8*(SUMIF($AD$3:$BA$3,"&lt;"&amp;$DF13,$B13:$Y13)+SUMIF($AD$3:$BA$3,"&gt;="&amp;$DG13,$B13:$Y13)),
IF(AJ$3=$DF13+'Model Setup'!$J$7,SUMIF($AD$3:$BA$3,"="&amp;$DF13+'Model Setup'!$J$7,$B13:$Y13)+'Model Setup'!$J$8*(SUMIF($AD$3:$BA$3,"&lt;"&amp;$DF13,$B13:$Y13)+SUMIF($AD$3:$BA$3,"&gt;="&amp;$DG13,$B13:$Y13)),
IF(AJ$3=$DF13+'Model Setup'!$K$7,SUMIF($AD$3:$BA$3,"="&amp;$DF13+'Model Setup'!$K$7,$B13:$Y13)+'Model Setup'!$K$8*(SUMIF($AD$3:$BA$3,"&lt;"&amp;$DF13,$B13:$Y13)+SUMIF($AD$3:$BA$3,"&gt;="&amp;$DG13,$B13:$Y13)),
IF(AJ$3=$DF13+'Model Setup'!$L$7,SUMIF($AD$3:$BA$3,"="&amp;$DF13+'Model Setup'!$L$7,$B13:$Y13)+'Model Setup'!$L$8*(SUMIF($AD$3:$BA$3,"&lt;"&amp;$DF13,$B13:$Y13)+SUMIF($AD$3:$BA$3,"&gt;="&amp;$DG13,$B13:$Y13)),
IF(AJ$3=$DF13+'Model Setup'!$M$7,SUMIF($AD$3:$BA$3,"="&amp;$DF13+'Model Setup'!$M$7,$B13:$Y13)+'Model Setup'!$M$8*(SUMIF($AD$3:$BA$3,"&lt;"&amp;$DF13,$B13:$Y13)+SUMIF($AD$3:$BA$3,"&gt;="&amp;$DG13,$B13:$Y13)),
IF(AJ$3=$DF13+'Model Setup'!$N$7,SUMIF($AD$3:$BA$3,"="&amp;$DF13+'Model Setup'!$N$7,$B13:$Y13)+'Model Setup'!$N$8*(SUMIF($AD$3:$BA$3,"&lt;"&amp;$DF13,$B13:$Y13)+SUMIF($AD$3:$BA$3,"&gt;="&amp;$DG13,$B13:$Y13)),
IF(AJ$3&lt;$DG13,H13,0))))))))))))))),0)</f>
        <v>18</v>
      </c>
      <c r="AK13" s="47">
        <f>ROUND(IF(AK$3&lt;$DF13,0,
IF(AK$3=$DF13+'Model Setup'!$B$7,SUMIF($AD$3:$BA$3,"="&amp;$DF13+'Model Setup'!$B$7,$B13:$Y13)+'Model Setup'!$B$8*(SUMIF($AD$3:$BA$3,"&lt;"&amp;$DF13,$B13:$Y13)+SUMIF($AD$3:$BA$3,"&gt;="&amp;$DG13,$B13:$Y13)),
IF(AK$3=$DF13+'Model Setup'!$C$7,SUMIF($AD$3:$BA$3,"="&amp;$DF13+'Model Setup'!$C$7,$B13:$Y13)+'Model Setup'!$C$8*(SUMIF($AD$3:$BA$3,"&lt;"&amp;$DF13,$B13:$Y13)+SUMIF($AD$3:$BA$3,"&gt;="&amp;$DG13,$B13:$Y13)),
IF(AK$3=$DF13+'Model Setup'!$D$7,SUMIF($AD$3:$BA$3,"="&amp;$DF13+'Model Setup'!$D$7,$B13:$Y13)+'Model Setup'!$D$8*(SUMIF($AD$3:$BA$3,"&lt;"&amp;$DF13,$B13:$Y13)+SUMIF($AD$3:$BA$3,"&gt;="&amp;$DG13,$B13:$Y13)),
IF(AK$3=$DF13+'Model Setup'!$E$7,SUMIF($AD$3:$BA$3,"="&amp;$DF13+'Model Setup'!$E$7,$B13:$Y13)+'Model Setup'!$E$8*(SUMIF($AD$3:$BA$3,"&lt;"&amp;$DF13,$B13:$Y13)+SUMIF($AD$3:$BA$3,"&gt;="&amp;$DG13,$B13:$Y13)),
IF(AK$3=$DF13+'Model Setup'!$F$7,SUMIF($AD$3:$BA$3,"="&amp;$DF13+'Model Setup'!$F$7,$B13:$Y13)+'Model Setup'!$F$8*(SUMIF($AD$3:$BA$3,"&lt;"&amp;$DF13,$B13:$Y13)+SUMIF($AD$3:$BA$3,"&gt;="&amp;$DG13,$B13:$Y13)),
IF(AK$3=$DF13+'Model Setup'!$G$7,SUMIF($AD$3:$BA$3,"="&amp;$DF13+'Model Setup'!$G$7,$B13:$Y13)+'Model Setup'!$G$8*(SUMIF($AD$3:$BA$3,"&lt;"&amp;$DF13,$B13:$Y13)+SUMIF($AD$3:$BA$3,"&gt;="&amp;$DG13,$B13:$Y13)),
IF(AK$3=$DF13+'Model Setup'!$H$7,SUMIF($AD$3:$BA$3,"="&amp;$DF13+'Model Setup'!$H$7,$B13:$Y13)+'Model Setup'!$H$8*(SUMIF($AD$3:$BA$3,"&lt;"&amp;$DF13,$B13:$Y13)+SUMIF($AD$3:$BA$3,"&gt;="&amp;$DG13,$B13:$Y13)),
IF(AK$3=$DF13+'Model Setup'!$I$7,SUMIF($AD$3:$BA$3,"="&amp;$DF13+'Model Setup'!$I$7,$B13:$Y13)+'Model Setup'!$I$8*(SUMIF($AD$3:$BA$3,"&lt;"&amp;$DF13,$B13:$Y13)+SUMIF($AD$3:$BA$3,"&gt;="&amp;$DG13,$B13:$Y13)),
IF(AK$3=$DF13+'Model Setup'!$J$7,SUMIF($AD$3:$BA$3,"="&amp;$DF13+'Model Setup'!$J$7,$B13:$Y13)+'Model Setup'!$J$8*(SUMIF($AD$3:$BA$3,"&lt;"&amp;$DF13,$B13:$Y13)+SUMIF($AD$3:$BA$3,"&gt;="&amp;$DG13,$B13:$Y13)),
IF(AK$3=$DF13+'Model Setup'!$K$7,SUMIF($AD$3:$BA$3,"="&amp;$DF13+'Model Setup'!$K$7,$B13:$Y13)+'Model Setup'!$K$8*(SUMIF($AD$3:$BA$3,"&lt;"&amp;$DF13,$B13:$Y13)+SUMIF($AD$3:$BA$3,"&gt;="&amp;$DG13,$B13:$Y13)),
IF(AK$3=$DF13+'Model Setup'!$L$7,SUMIF($AD$3:$BA$3,"="&amp;$DF13+'Model Setup'!$L$7,$B13:$Y13)+'Model Setup'!$L$8*(SUMIF($AD$3:$BA$3,"&lt;"&amp;$DF13,$B13:$Y13)+SUMIF($AD$3:$BA$3,"&gt;="&amp;$DG13,$B13:$Y13)),
IF(AK$3=$DF13+'Model Setup'!$M$7,SUMIF($AD$3:$BA$3,"="&amp;$DF13+'Model Setup'!$M$7,$B13:$Y13)+'Model Setup'!$M$8*(SUMIF($AD$3:$BA$3,"&lt;"&amp;$DF13,$B13:$Y13)+SUMIF($AD$3:$BA$3,"&gt;="&amp;$DG13,$B13:$Y13)),
IF(AK$3=$DF13+'Model Setup'!$N$7,SUMIF($AD$3:$BA$3,"="&amp;$DF13+'Model Setup'!$N$7,$B13:$Y13)+'Model Setup'!$N$8*(SUMIF($AD$3:$BA$3,"&lt;"&amp;$DF13,$B13:$Y13)+SUMIF($AD$3:$BA$3,"&gt;="&amp;$DG13,$B13:$Y13)),
IF(AK$3&lt;$DG13,I13,0))))))))))))))),0)</f>
        <v>17</v>
      </c>
      <c r="AL13" s="47">
        <f>ROUND(IF(AL$3&lt;$DF13,0,
IF(AL$3=$DF13+'Model Setup'!$B$7,SUMIF($AD$3:$BA$3,"="&amp;$DF13+'Model Setup'!$B$7,$B13:$Y13)+'Model Setup'!$B$8*(SUMIF($AD$3:$BA$3,"&lt;"&amp;$DF13,$B13:$Y13)+SUMIF($AD$3:$BA$3,"&gt;="&amp;$DG13,$B13:$Y13)),
IF(AL$3=$DF13+'Model Setup'!$C$7,SUMIF($AD$3:$BA$3,"="&amp;$DF13+'Model Setup'!$C$7,$B13:$Y13)+'Model Setup'!$C$8*(SUMIF($AD$3:$BA$3,"&lt;"&amp;$DF13,$B13:$Y13)+SUMIF($AD$3:$BA$3,"&gt;="&amp;$DG13,$B13:$Y13)),
IF(AL$3=$DF13+'Model Setup'!$D$7,SUMIF($AD$3:$BA$3,"="&amp;$DF13+'Model Setup'!$D$7,$B13:$Y13)+'Model Setup'!$D$8*(SUMIF($AD$3:$BA$3,"&lt;"&amp;$DF13,$B13:$Y13)+SUMIF($AD$3:$BA$3,"&gt;="&amp;$DG13,$B13:$Y13)),
IF(AL$3=$DF13+'Model Setup'!$E$7,SUMIF($AD$3:$BA$3,"="&amp;$DF13+'Model Setup'!$E$7,$B13:$Y13)+'Model Setup'!$E$8*(SUMIF($AD$3:$BA$3,"&lt;"&amp;$DF13,$B13:$Y13)+SUMIF($AD$3:$BA$3,"&gt;="&amp;$DG13,$B13:$Y13)),
IF(AL$3=$DF13+'Model Setup'!$F$7,SUMIF($AD$3:$BA$3,"="&amp;$DF13+'Model Setup'!$F$7,$B13:$Y13)+'Model Setup'!$F$8*(SUMIF($AD$3:$BA$3,"&lt;"&amp;$DF13,$B13:$Y13)+SUMIF($AD$3:$BA$3,"&gt;="&amp;$DG13,$B13:$Y13)),
IF(AL$3=$DF13+'Model Setup'!$G$7,SUMIF($AD$3:$BA$3,"="&amp;$DF13+'Model Setup'!$G$7,$B13:$Y13)+'Model Setup'!$G$8*(SUMIF($AD$3:$BA$3,"&lt;"&amp;$DF13,$B13:$Y13)+SUMIF($AD$3:$BA$3,"&gt;="&amp;$DG13,$B13:$Y13)),
IF(AL$3=$DF13+'Model Setup'!$H$7,SUMIF($AD$3:$BA$3,"="&amp;$DF13+'Model Setup'!$H$7,$B13:$Y13)+'Model Setup'!$H$8*(SUMIF($AD$3:$BA$3,"&lt;"&amp;$DF13,$B13:$Y13)+SUMIF($AD$3:$BA$3,"&gt;="&amp;$DG13,$B13:$Y13)),
IF(AL$3=$DF13+'Model Setup'!$I$7,SUMIF($AD$3:$BA$3,"="&amp;$DF13+'Model Setup'!$I$7,$B13:$Y13)+'Model Setup'!$I$8*(SUMIF($AD$3:$BA$3,"&lt;"&amp;$DF13,$B13:$Y13)+SUMIF($AD$3:$BA$3,"&gt;="&amp;$DG13,$B13:$Y13)),
IF(AL$3=$DF13+'Model Setup'!$J$7,SUMIF($AD$3:$BA$3,"="&amp;$DF13+'Model Setup'!$J$7,$B13:$Y13)+'Model Setup'!$J$8*(SUMIF($AD$3:$BA$3,"&lt;"&amp;$DF13,$B13:$Y13)+SUMIF($AD$3:$BA$3,"&gt;="&amp;$DG13,$B13:$Y13)),
IF(AL$3=$DF13+'Model Setup'!$K$7,SUMIF($AD$3:$BA$3,"="&amp;$DF13+'Model Setup'!$K$7,$B13:$Y13)+'Model Setup'!$K$8*(SUMIF($AD$3:$BA$3,"&lt;"&amp;$DF13,$B13:$Y13)+SUMIF($AD$3:$BA$3,"&gt;="&amp;$DG13,$B13:$Y13)),
IF(AL$3=$DF13+'Model Setup'!$L$7,SUMIF($AD$3:$BA$3,"="&amp;$DF13+'Model Setup'!$L$7,$B13:$Y13)+'Model Setup'!$L$8*(SUMIF($AD$3:$BA$3,"&lt;"&amp;$DF13,$B13:$Y13)+SUMIF($AD$3:$BA$3,"&gt;="&amp;$DG13,$B13:$Y13)),
IF(AL$3=$DF13+'Model Setup'!$M$7,SUMIF($AD$3:$BA$3,"="&amp;$DF13+'Model Setup'!$M$7,$B13:$Y13)+'Model Setup'!$M$8*(SUMIF($AD$3:$BA$3,"&lt;"&amp;$DF13,$B13:$Y13)+SUMIF($AD$3:$BA$3,"&gt;="&amp;$DG13,$B13:$Y13)),
IF(AL$3=$DF13+'Model Setup'!$N$7,SUMIF($AD$3:$BA$3,"="&amp;$DF13+'Model Setup'!$N$7,$B13:$Y13)+'Model Setup'!$N$8*(SUMIF($AD$3:$BA$3,"&lt;"&amp;$DF13,$B13:$Y13)+SUMIF($AD$3:$BA$3,"&gt;="&amp;$DG13,$B13:$Y13)),
IF(AL$3&lt;$DG13,J13,0))))))))))))))),0)</f>
        <v>11</v>
      </c>
      <c r="AM13" s="47">
        <f>ROUND(IF(AM$3&lt;$DF13,0,
IF(AM$3=$DF13+'Model Setup'!$B$7,SUMIF($AD$3:$BA$3,"="&amp;$DF13+'Model Setup'!$B$7,$B13:$Y13)+'Model Setup'!$B$8*(SUMIF($AD$3:$BA$3,"&lt;"&amp;$DF13,$B13:$Y13)+SUMIF($AD$3:$BA$3,"&gt;="&amp;$DG13,$B13:$Y13)),
IF(AM$3=$DF13+'Model Setup'!$C$7,SUMIF($AD$3:$BA$3,"="&amp;$DF13+'Model Setup'!$C$7,$B13:$Y13)+'Model Setup'!$C$8*(SUMIF($AD$3:$BA$3,"&lt;"&amp;$DF13,$B13:$Y13)+SUMIF($AD$3:$BA$3,"&gt;="&amp;$DG13,$B13:$Y13)),
IF(AM$3=$DF13+'Model Setup'!$D$7,SUMIF($AD$3:$BA$3,"="&amp;$DF13+'Model Setup'!$D$7,$B13:$Y13)+'Model Setup'!$D$8*(SUMIF($AD$3:$BA$3,"&lt;"&amp;$DF13,$B13:$Y13)+SUMIF($AD$3:$BA$3,"&gt;="&amp;$DG13,$B13:$Y13)),
IF(AM$3=$DF13+'Model Setup'!$E$7,SUMIF($AD$3:$BA$3,"="&amp;$DF13+'Model Setup'!$E$7,$B13:$Y13)+'Model Setup'!$E$8*(SUMIF($AD$3:$BA$3,"&lt;"&amp;$DF13,$B13:$Y13)+SUMIF($AD$3:$BA$3,"&gt;="&amp;$DG13,$B13:$Y13)),
IF(AM$3=$DF13+'Model Setup'!$F$7,SUMIF($AD$3:$BA$3,"="&amp;$DF13+'Model Setup'!$F$7,$B13:$Y13)+'Model Setup'!$F$8*(SUMIF($AD$3:$BA$3,"&lt;"&amp;$DF13,$B13:$Y13)+SUMIF($AD$3:$BA$3,"&gt;="&amp;$DG13,$B13:$Y13)),
IF(AM$3=$DF13+'Model Setup'!$G$7,SUMIF($AD$3:$BA$3,"="&amp;$DF13+'Model Setup'!$G$7,$B13:$Y13)+'Model Setup'!$G$8*(SUMIF($AD$3:$BA$3,"&lt;"&amp;$DF13,$B13:$Y13)+SUMIF($AD$3:$BA$3,"&gt;="&amp;$DG13,$B13:$Y13)),
IF(AM$3=$DF13+'Model Setup'!$H$7,SUMIF($AD$3:$BA$3,"="&amp;$DF13+'Model Setup'!$H$7,$B13:$Y13)+'Model Setup'!$H$8*(SUMIF($AD$3:$BA$3,"&lt;"&amp;$DF13,$B13:$Y13)+SUMIF($AD$3:$BA$3,"&gt;="&amp;$DG13,$B13:$Y13)),
IF(AM$3=$DF13+'Model Setup'!$I$7,SUMIF($AD$3:$BA$3,"="&amp;$DF13+'Model Setup'!$I$7,$B13:$Y13)+'Model Setup'!$I$8*(SUMIF($AD$3:$BA$3,"&lt;"&amp;$DF13,$B13:$Y13)+SUMIF($AD$3:$BA$3,"&gt;="&amp;$DG13,$B13:$Y13)),
IF(AM$3=$DF13+'Model Setup'!$J$7,SUMIF($AD$3:$BA$3,"="&amp;$DF13+'Model Setup'!$J$7,$B13:$Y13)+'Model Setup'!$J$8*(SUMIF($AD$3:$BA$3,"&lt;"&amp;$DF13,$B13:$Y13)+SUMIF($AD$3:$BA$3,"&gt;="&amp;$DG13,$B13:$Y13)),
IF(AM$3=$DF13+'Model Setup'!$K$7,SUMIF($AD$3:$BA$3,"="&amp;$DF13+'Model Setup'!$K$7,$B13:$Y13)+'Model Setup'!$K$8*(SUMIF($AD$3:$BA$3,"&lt;"&amp;$DF13,$B13:$Y13)+SUMIF($AD$3:$BA$3,"&gt;="&amp;$DG13,$B13:$Y13)),
IF(AM$3=$DF13+'Model Setup'!$L$7,SUMIF($AD$3:$BA$3,"="&amp;$DF13+'Model Setup'!$L$7,$B13:$Y13)+'Model Setup'!$L$8*(SUMIF($AD$3:$BA$3,"&lt;"&amp;$DF13,$B13:$Y13)+SUMIF($AD$3:$BA$3,"&gt;="&amp;$DG13,$B13:$Y13)),
IF(AM$3=$DF13+'Model Setup'!$M$7,SUMIF($AD$3:$BA$3,"="&amp;$DF13+'Model Setup'!$M$7,$B13:$Y13)+'Model Setup'!$M$8*(SUMIF($AD$3:$BA$3,"&lt;"&amp;$DF13,$B13:$Y13)+SUMIF($AD$3:$BA$3,"&gt;="&amp;$DG13,$B13:$Y13)),
IF(AM$3=$DF13+'Model Setup'!$N$7,SUMIF($AD$3:$BA$3,"="&amp;$DF13+'Model Setup'!$N$7,$B13:$Y13)+'Model Setup'!$N$8*(SUMIF($AD$3:$BA$3,"&lt;"&amp;$DF13,$B13:$Y13)+SUMIF($AD$3:$BA$3,"&gt;="&amp;$DG13,$B13:$Y13)),
IF(AM$3&lt;$DG13,K13,0))))))))))))))),0)</f>
        <v>15</v>
      </c>
      <c r="AN13" s="47">
        <f>ROUND(IF(AN$3&lt;$DF13,0,
IF(AN$3=$DF13+'Model Setup'!$B$7,SUMIF($AD$3:$BA$3,"="&amp;$DF13+'Model Setup'!$B$7,$B13:$Y13)+'Model Setup'!$B$8*(SUMIF($AD$3:$BA$3,"&lt;"&amp;$DF13,$B13:$Y13)+SUMIF($AD$3:$BA$3,"&gt;="&amp;$DG13,$B13:$Y13)),
IF(AN$3=$DF13+'Model Setup'!$C$7,SUMIF($AD$3:$BA$3,"="&amp;$DF13+'Model Setup'!$C$7,$B13:$Y13)+'Model Setup'!$C$8*(SUMIF($AD$3:$BA$3,"&lt;"&amp;$DF13,$B13:$Y13)+SUMIF($AD$3:$BA$3,"&gt;="&amp;$DG13,$B13:$Y13)),
IF(AN$3=$DF13+'Model Setup'!$D$7,SUMIF($AD$3:$BA$3,"="&amp;$DF13+'Model Setup'!$D$7,$B13:$Y13)+'Model Setup'!$D$8*(SUMIF($AD$3:$BA$3,"&lt;"&amp;$DF13,$B13:$Y13)+SUMIF($AD$3:$BA$3,"&gt;="&amp;$DG13,$B13:$Y13)),
IF(AN$3=$DF13+'Model Setup'!$E$7,SUMIF($AD$3:$BA$3,"="&amp;$DF13+'Model Setup'!$E$7,$B13:$Y13)+'Model Setup'!$E$8*(SUMIF($AD$3:$BA$3,"&lt;"&amp;$DF13,$B13:$Y13)+SUMIF($AD$3:$BA$3,"&gt;="&amp;$DG13,$B13:$Y13)),
IF(AN$3=$DF13+'Model Setup'!$F$7,SUMIF($AD$3:$BA$3,"="&amp;$DF13+'Model Setup'!$F$7,$B13:$Y13)+'Model Setup'!$F$8*(SUMIF($AD$3:$BA$3,"&lt;"&amp;$DF13,$B13:$Y13)+SUMIF($AD$3:$BA$3,"&gt;="&amp;$DG13,$B13:$Y13)),
IF(AN$3=$DF13+'Model Setup'!$G$7,SUMIF($AD$3:$BA$3,"="&amp;$DF13+'Model Setup'!$G$7,$B13:$Y13)+'Model Setup'!$G$8*(SUMIF($AD$3:$BA$3,"&lt;"&amp;$DF13,$B13:$Y13)+SUMIF($AD$3:$BA$3,"&gt;="&amp;$DG13,$B13:$Y13)),
IF(AN$3=$DF13+'Model Setup'!$H$7,SUMIF($AD$3:$BA$3,"="&amp;$DF13+'Model Setup'!$H$7,$B13:$Y13)+'Model Setup'!$H$8*(SUMIF($AD$3:$BA$3,"&lt;"&amp;$DF13,$B13:$Y13)+SUMIF($AD$3:$BA$3,"&gt;="&amp;$DG13,$B13:$Y13)),
IF(AN$3=$DF13+'Model Setup'!$I$7,SUMIF($AD$3:$BA$3,"="&amp;$DF13+'Model Setup'!$I$7,$B13:$Y13)+'Model Setup'!$I$8*(SUMIF($AD$3:$BA$3,"&lt;"&amp;$DF13,$B13:$Y13)+SUMIF($AD$3:$BA$3,"&gt;="&amp;$DG13,$B13:$Y13)),
IF(AN$3=$DF13+'Model Setup'!$J$7,SUMIF($AD$3:$BA$3,"="&amp;$DF13+'Model Setup'!$J$7,$B13:$Y13)+'Model Setup'!$J$8*(SUMIF($AD$3:$BA$3,"&lt;"&amp;$DF13,$B13:$Y13)+SUMIF($AD$3:$BA$3,"&gt;="&amp;$DG13,$B13:$Y13)),
IF(AN$3=$DF13+'Model Setup'!$K$7,SUMIF($AD$3:$BA$3,"="&amp;$DF13+'Model Setup'!$K$7,$B13:$Y13)+'Model Setup'!$K$8*(SUMIF($AD$3:$BA$3,"&lt;"&amp;$DF13,$B13:$Y13)+SUMIF($AD$3:$BA$3,"&gt;="&amp;$DG13,$B13:$Y13)),
IF(AN$3=$DF13+'Model Setup'!$L$7,SUMIF($AD$3:$BA$3,"="&amp;$DF13+'Model Setup'!$L$7,$B13:$Y13)+'Model Setup'!$L$8*(SUMIF($AD$3:$BA$3,"&lt;"&amp;$DF13,$B13:$Y13)+SUMIF($AD$3:$BA$3,"&gt;="&amp;$DG13,$B13:$Y13)),
IF(AN$3=$DF13+'Model Setup'!$M$7,SUMIF($AD$3:$BA$3,"="&amp;$DF13+'Model Setup'!$M$7,$B13:$Y13)+'Model Setup'!$M$8*(SUMIF($AD$3:$BA$3,"&lt;"&amp;$DF13,$B13:$Y13)+SUMIF($AD$3:$BA$3,"&gt;="&amp;$DG13,$B13:$Y13)),
IF(AN$3=$DF13+'Model Setup'!$N$7,SUMIF($AD$3:$BA$3,"="&amp;$DF13+'Model Setup'!$N$7,$B13:$Y13)+'Model Setup'!$N$8*(SUMIF($AD$3:$BA$3,"&lt;"&amp;$DF13,$B13:$Y13)+SUMIF($AD$3:$BA$3,"&gt;="&amp;$DG13,$B13:$Y13)),
IF(AN$3&lt;$DG13,L13,0))))))))))))))),0)</f>
        <v>12</v>
      </c>
      <c r="AO13" s="47">
        <f>ROUND(IF(AO$3&lt;$DF13,0,
IF(AO$3=$DF13+'Model Setup'!$B$7,SUMIF($AD$3:$BA$3,"="&amp;$DF13+'Model Setup'!$B$7,$B13:$Y13)+'Model Setup'!$B$8*(SUMIF($AD$3:$BA$3,"&lt;"&amp;$DF13,$B13:$Y13)+SUMIF($AD$3:$BA$3,"&gt;="&amp;$DG13,$B13:$Y13)),
IF(AO$3=$DF13+'Model Setup'!$C$7,SUMIF($AD$3:$BA$3,"="&amp;$DF13+'Model Setup'!$C$7,$B13:$Y13)+'Model Setup'!$C$8*(SUMIF($AD$3:$BA$3,"&lt;"&amp;$DF13,$B13:$Y13)+SUMIF($AD$3:$BA$3,"&gt;="&amp;$DG13,$B13:$Y13)),
IF(AO$3=$DF13+'Model Setup'!$D$7,SUMIF($AD$3:$BA$3,"="&amp;$DF13+'Model Setup'!$D$7,$B13:$Y13)+'Model Setup'!$D$8*(SUMIF($AD$3:$BA$3,"&lt;"&amp;$DF13,$B13:$Y13)+SUMIF($AD$3:$BA$3,"&gt;="&amp;$DG13,$B13:$Y13)),
IF(AO$3=$DF13+'Model Setup'!$E$7,SUMIF($AD$3:$BA$3,"="&amp;$DF13+'Model Setup'!$E$7,$B13:$Y13)+'Model Setup'!$E$8*(SUMIF($AD$3:$BA$3,"&lt;"&amp;$DF13,$B13:$Y13)+SUMIF($AD$3:$BA$3,"&gt;="&amp;$DG13,$B13:$Y13)),
IF(AO$3=$DF13+'Model Setup'!$F$7,SUMIF($AD$3:$BA$3,"="&amp;$DF13+'Model Setup'!$F$7,$B13:$Y13)+'Model Setup'!$F$8*(SUMIF($AD$3:$BA$3,"&lt;"&amp;$DF13,$B13:$Y13)+SUMIF($AD$3:$BA$3,"&gt;="&amp;$DG13,$B13:$Y13)),
IF(AO$3=$DF13+'Model Setup'!$G$7,SUMIF($AD$3:$BA$3,"="&amp;$DF13+'Model Setup'!$G$7,$B13:$Y13)+'Model Setup'!$G$8*(SUMIF($AD$3:$BA$3,"&lt;"&amp;$DF13,$B13:$Y13)+SUMIF($AD$3:$BA$3,"&gt;="&amp;$DG13,$B13:$Y13)),
IF(AO$3=$DF13+'Model Setup'!$H$7,SUMIF($AD$3:$BA$3,"="&amp;$DF13+'Model Setup'!$H$7,$B13:$Y13)+'Model Setup'!$H$8*(SUMIF($AD$3:$BA$3,"&lt;"&amp;$DF13,$B13:$Y13)+SUMIF($AD$3:$BA$3,"&gt;="&amp;$DG13,$B13:$Y13)),
IF(AO$3=$DF13+'Model Setup'!$I$7,SUMIF($AD$3:$BA$3,"="&amp;$DF13+'Model Setup'!$I$7,$B13:$Y13)+'Model Setup'!$I$8*(SUMIF($AD$3:$BA$3,"&lt;"&amp;$DF13,$B13:$Y13)+SUMIF($AD$3:$BA$3,"&gt;="&amp;$DG13,$B13:$Y13)),
IF(AO$3=$DF13+'Model Setup'!$J$7,SUMIF($AD$3:$BA$3,"="&amp;$DF13+'Model Setup'!$J$7,$B13:$Y13)+'Model Setup'!$J$8*(SUMIF($AD$3:$BA$3,"&lt;"&amp;$DF13,$B13:$Y13)+SUMIF($AD$3:$BA$3,"&gt;="&amp;$DG13,$B13:$Y13)),
IF(AO$3=$DF13+'Model Setup'!$K$7,SUMIF($AD$3:$BA$3,"="&amp;$DF13+'Model Setup'!$K$7,$B13:$Y13)+'Model Setup'!$K$8*(SUMIF($AD$3:$BA$3,"&lt;"&amp;$DF13,$B13:$Y13)+SUMIF($AD$3:$BA$3,"&gt;="&amp;$DG13,$B13:$Y13)),
IF(AO$3=$DF13+'Model Setup'!$L$7,SUMIF($AD$3:$BA$3,"="&amp;$DF13+'Model Setup'!$L$7,$B13:$Y13)+'Model Setup'!$L$8*(SUMIF($AD$3:$BA$3,"&lt;"&amp;$DF13,$B13:$Y13)+SUMIF($AD$3:$BA$3,"&gt;="&amp;$DG13,$B13:$Y13)),
IF(AO$3=$DF13+'Model Setup'!$M$7,SUMIF($AD$3:$BA$3,"="&amp;$DF13+'Model Setup'!$M$7,$B13:$Y13)+'Model Setup'!$M$8*(SUMIF($AD$3:$BA$3,"&lt;"&amp;$DF13,$B13:$Y13)+SUMIF($AD$3:$BA$3,"&gt;="&amp;$DG13,$B13:$Y13)),
IF(AO$3=$DF13+'Model Setup'!$N$7,SUMIF($AD$3:$BA$3,"="&amp;$DF13+'Model Setup'!$N$7,$B13:$Y13)+'Model Setup'!$N$8*(SUMIF($AD$3:$BA$3,"&lt;"&amp;$DF13,$B13:$Y13)+SUMIF($AD$3:$BA$3,"&gt;="&amp;$DG13,$B13:$Y13)),
IF(AO$3&lt;$DG13,M13,0))))))))))))))),0)</f>
        <v>11</v>
      </c>
      <c r="AP13" s="47">
        <f>ROUND(IF(AP$3&lt;$DF13,0,
IF(AP$3=$DF13+'Model Setup'!$B$7,SUMIF($AD$3:$BA$3,"="&amp;$DF13+'Model Setup'!$B$7,$B13:$Y13)+'Model Setup'!$B$8*(SUMIF($AD$3:$BA$3,"&lt;"&amp;$DF13,$B13:$Y13)+SUMIF($AD$3:$BA$3,"&gt;="&amp;$DG13,$B13:$Y13)),
IF(AP$3=$DF13+'Model Setup'!$C$7,SUMIF($AD$3:$BA$3,"="&amp;$DF13+'Model Setup'!$C$7,$B13:$Y13)+'Model Setup'!$C$8*(SUMIF($AD$3:$BA$3,"&lt;"&amp;$DF13,$B13:$Y13)+SUMIF($AD$3:$BA$3,"&gt;="&amp;$DG13,$B13:$Y13)),
IF(AP$3=$DF13+'Model Setup'!$D$7,SUMIF($AD$3:$BA$3,"="&amp;$DF13+'Model Setup'!$D$7,$B13:$Y13)+'Model Setup'!$D$8*(SUMIF($AD$3:$BA$3,"&lt;"&amp;$DF13,$B13:$Y13)+SUMIF($AD$3:$BA$3,"&gt;="&amp;$DG13,$B13:$Y13)),
IF(AP$3=$DF13+'Model Setup'!$E$7,SUMIF($AD$3:$BA$3,"="&amp;$DF13+'Model Setup'!$E$7,$B13:$Y13)+'Model Setup'!$E$8*(SUMIF($AD$3:$BA$3,"&lt;"&amp;$DF13,$B13:$Y13)+SUMIF($AD$3:$BA$3,"&gt;="&amp;$DG13,$B13:$Y13)),
IF(AP$3=$DF13+'Model Setup'!$F$7,SUMIF($AD$3:$BA$3,"="&amp;$DF13+'Model Setup'!$F$7,$B13:$Y13)+'Model Setup'!$F$8*(SUMIF($AD$3:$BA$3,"&lt;"&amp;$DF13,$B13:$Y13)+SUMIF($AD$3:$BA$3,"&gt;="&amp;$DG13,$B13:$Y13)),
IF(AP$3=$DF13+'Model Setup'!$G$7,SUMIF($AD$3:$BA$3,"="&amp;$DF13+'Model Setup'!$G$7,$B13:$Y13)+'Model Setup'!$G$8*(SUMIF($AD$3:$BA$3,"&lt;"&amp;$DF13,$B13:$Y13)+SUMIF($AD$3:$BA$3,"&gt;="&amp;$DG13,$B13:$Y13)),
IF(AP$3=$DF13+'Model Setup'!$H$7,SUMIF($AD$3:$BA$3,"="&amp;$DF13+'Model Setup'!$H$7,$B13:$Y13)+'Model Setup'!$H$8*(SUMIF($AD$3:$BA$3,"&lt;"&amp;$DF13,$B13:$Y13)+SUMIF($AD$3:$BA$3,"&gt;="&amp;$DG13,$B13:$Y13)),
IF(AP$3=$DF13+'Model Setup'!$I$7,SUMIF($AD$3:$BA$3,"="&amp;$DF13+'Model Setup'!$I$7,$B13:$Y13)+'Model Setup'!$I$8*(SUMIF($AD$3:$BA$3,"&lt;"&amp;$DF13,$B13:$Y13)+SUMIF($AD$3:$BA$3,"&gt;="&amp;$DG13,$B13:$Y13)),
IF(AP$3=$DF13+'Model Setup'!$J$7,SUMIF($AD$3:$BA$3,"="&amp;$DF13+'Model Setup'!$J$7,$B13:$Y13)+'Model Setup'!$J$8*(SUMIF($AD$3:$BA$3,"&lt;"&amp;$DF13,$B13:$Y13)+SUMIF($AD$3:$BA$3,"&gt;="&amp;$DG13,$B13:$Y13)),
IF(AP$3=$DF13+'Model Setup'!$K$7,SUMIF($AD$3:$BA$3,"="&amp;$DF13+'Model Setup'!$K$7,$B13:$Y13)+'Model Setup'!$K$8*(SUMIF($AD$3:$BA$3,"&lt;"&amp;$DF13,$B13:$Y13)+SUMIF($AD$3:$BA$3,"&gt;="&amp;$DG13,$B13:$Y13)),
IF(AP$3=$DF13+'Model Setup'!$L$7,SUMIF($AD$3:$BA$3,"="&amp;$DF13+'Model Setup'!$L$7,$B13:$Y13)+'Model Setup'!$L$8*(SUMIF($AD$3:$BA$3,"&lt;"&amp;$DF13,$B13:$Y13)+SUMIF($AD$3:$BA$3,"&gt;="&amp;$DG13,$B13:$Y13)),
IF(AP$3=$DF13+'Model Setup'!$M$7,SUMIF($AD$3:$BA$3,"="&amp;$DF13+'Model Setup'!$M$7,$B13:$Y13)+'Model Setup'!$M$8*(SUMIF($AD$3:$BA$3,"&lt;"&amp;$DF13,$B13:$Y13)+SUMIF($AD$3:$BA$3,"&gt;="&amp;$DG13,$B13:$Y13)),
IF(AP$3=$DF13+'Model Setup'!$N$7,SUMIF($AD$3:$BA$3,"="&amp;$DF13+'Model Setup'!$N$7,$B13:$Y13)+'Model Setup'!$N$8*(SUMIF($AD$3:$BA$3,"&lt;"&amp;$DF13,$B13:$Y13)+SUMIF($AD$3:$BA$3,"&gt;="&amp;$DG13,$B13:$Y13)),
IF(AP$3&lt;$DG13,N13,0))))))))))))))),0)</f>
        <v>10</v>
      </c>
      <c r="AQ13" s="47">
        <f>ROUND(IF(AQ$3&lt;$DF13,0,
IF(AQ$3=$DF13+'Model Setup'!$B$7,SUMIF($AD$3:$BA$3,"="&amp;$DF13+'Model Setup'!$B$7,$B13:$Y13)+'Model Setup'!$B$8*(SUMIF($AD$3:$BA$3,"&lt;"&amp;$DF13,$B13:$Y13)+SUMIF($AD$3:$BA$3,"&gt;="&amp;$DG13,$B13:$Y13)),
IF(AQ$3=$DF13+'Model Setup'!$C$7,SUMIF($AD$3:$BA$3,"="&amp;$DF13+'Model Setup'!$C$7,$B13:$Y13)+'Model Setup'!$C$8*(SUMIF($AD$3:$BA$3,"&lt;"&amp;$DF13,$B13:$Y13)+SUMIF($AD$3:$BA$3,"&gt;="&amp;$DG13,$B13:$Y13)),
IF(AQ$3=$DF13+'Model Setup'!$D$7,SUMIF($AD$3:$BA$3,"="&amp;$DF13+'Model Setup'!$D$7,$B13:$Y13)+'Model Setup'!$D$8*(SUMIF($AD$3:$BA$3,"&lt;"&amp;$DF13,$B13:$Y13)+SUMIF($AD$3:$BA$3,"&gt;="&amp;$DG13,$B13:$Y13)),
IF(AQ$3=$DF13+'Model Setup'!$E$7,SUMIF($AD$3:$BA$3,"="&amp;$DF13+'Model Setup'!$E$7,$B13:$Y13)+'Model Setup'!$E$8*(SUMIF($AD$3:$BA$3,"&lt;"&amp;$DF13,$B13:$Y13)+SUMIF($AD$3:$BA$3,"&gt;="&amp;$DG13,$B13:$Y13)),
IF(AQ$3=$DF13+'Model Setup'!$F$7,SUMIF($AD$3:$BA$3,"="&amp;$DF13+'Model Setup'!$F$7,$B13:$Y13)+'Model Setup'!$F$8*(SUMIF($AD$3:$BA$3,"&lt;"&amp;$DF13,$B13:$Y13)+SUMIF($AD$3:$BA$3,"&gt;="&amp;$DG13,$B13:$Y13)),
IF(AQ$3=$DF13+'Model Setup'!$G$7,SUMIF($AD$3:$BA$3,"="&amp;$DF13+'Model Setup'!$G$7,$B13:$Y13)+'Model Setup'!$G$8*(SUMIF($AD$3:$BA$3,"&lt;"&amp;$DF13,$B13:$Y13)+SUMIF($AD$3:$BA$3,"&gt;="&amp;$DG13,$B13:$Y13)),
IF(AQ$3=$DF13+'Model Setup'!$H$7,SUMIF($AD$3:$BA$3,"="&amp;$DF13+'Model Setup'!$H$7,$B13:$Y13)+'Model Setup'!$H$8*(SUMIF($AD$3:$BA$3,"&lt;"&amp;$DF13,$B13:$Y13)+SUMIF($AD$3:$BA$3,"&gt;="&amp;$DG13,$B13:$Y13)),
IF(AQ$3=$DF13+'Model Setup'!$I$7,SUMIF($AD$3:$BA$3,"="&amp;$DF13+'Model Setup'!$I$7,$B13:$Y13)+'Model Setup'!$I$8*(SUMIF($AD$3:$BA$3,"&lt;"&amp;$DF13,$B13:$Y13)+SUMIF($AD$3:$BA$3,"&gt;="&amp;$DG13,$B13:$Y13)),
IF(AQ$3=$DF13+'Model Setup'!$J$7,SUMIF($AD$3:$BA$3,"="&amp;$DF13+'Model Setup'!$J$7,$B13:$Y13)+'Model Setup'!$J$8*(SUMIF($AD$3:$BA$3,"&lt;"&amp;$DF13,$B13:$Y13)+SUMIF($AD$3:$BA$3,"&gt;="&amp;$DG13,$B13:$Y13)),
IF(AQ$3=$DF13+'Model Setup'!$K$7,SUMIF($AD$3:$BA$3,"="&amp;$DF13+'Model Setup'!$K$7,$B13:$Y13)+'Model Setup'!$K$8*(SUMIF($AD$3:$BA$3,"&lt;"&amp;$DF13,$B13:$Y13)+SUMIF($AD$3:$BA$3,"&gt;="&amp;$DG13,$B13:$Y13)),
IF(AQ$3=$DF13+'Model Setup'!$L$7,SUMIF($AD$3:$BA$3,"="&amp;$DF13+'Model Setup'!$L$7,$B13:$Y13)+'Model Setup'!$L$8*(SUMIF($AD$3:$BA$3,"&lt;"&amp;$DF13,$B13:$Y13)+SUMIF($AD$3:$BA$3,"&gt;="&amp;$DG13,$B13:$Y13)),
IF(AQ$3=$DF13+'Model Setup'!$M$7,SUMIF($AD$3:$BA$3,"="&amp;$DF13+'Model Setup'!$M$7,$B13:$Y13)+'Model Setup'!$M$8*(SUMIF($AD$3:$BA$3,"&lt;"&amp;$DF13,$B13:$Y13)+SUMIF($AD$3:$BA$3,"&gt;="&amp;$DG13,$B13:$Y13)),
IF(AQ$3=$DF13+'Model Setup'!$N$7,SUMIF($AD$3:$BA$3,"="&amp;$DF13+'Model Setup'!$N$7,$B13:$Y13)+'Model Setup'!$N$8*(SUMIF($AD$3:$BA$3,"&lt;"&amp;$DF13,$B13:$Y13)+SUMIF($AD$3:$BA$3,"&gt;="&amp;$DG13,$B13:$Y13)),
IF(AQ$3&lt;$DG13,O13,0))))))))))))))),0)</f>
        <v>8</v>
      </c>
      <c r="AR13" s="47">
        <f>ROUND(IF(AR$3&lt;$DF13,0,
IF(AR$3=$DF13+'Model Setup'!$B$7,SUMIF($AD$3:$BA$3,"="&amp;$DF13+'Model Setup'!$B$7,$B13:$Y13)+'Model Setup'!$B$8*(SUMIF($AD$3:$BA$3,"&lt;"&amp;$DF13,$B13:$Y13)+SUMIF($AD$3:$BA$3,"&gt;="&amp;$DG13,$B13:$Y13)),
IF(AR$3=$DF13+'Model Setup'!$C$7,SUMIF($AD$3:$BA$3,"="&amp;$DF13+'Model Setup'!$C$7,$B13:$Y13)+'Model Setup'!$C$8*(SUMIF($AD$3:$BA$3,"&lt;"&amp;$DF13,$B13:$Y13)+SUMIF($AD$3:$BA$3,"&gt;="&amp;$DG13,$B13:$Y13)),
IF(AR$3=$DF13+'Model Setup'!$D$7,SUMIF($AD$3:$BA$3,"="&amp;$DF13+'Model Setup'!$D$7,$B13:$Y13)+'Model Setup'!$D$8*(SUMIF($AD$3:$BA$3,"&lt;"&amp;$DF13,$B13:$Y13)+SUMIF($AD$3:$BA$3,"&gt;="&amp;$DG13,$B13:$Y13)),
IF(AR$3=$DF13+'Model Setup'!$E$7,SUMIF($AD$3:$BA$3,"="&amp;$DF13+'Model Setup'!$E$7,$B13:$Y13)+'Model Setup'!$E$8*(SUMIF($AD$3:$BA$3,"&lt;"&amp;$DF13,$B13:$Y13)+SUMIF($AD$3:$BA$3,"&gt;="&amp;$DG13,$B13:$Y13)),
IF(AR$3=$DF13+'Model Setup'!$F$7,SUMIF($AD$3:$BA$3,"="&amp;$DF13+'Model Setup'!$F$7,$B13:$Y13)+'Model Setup'!$F$8*(SUMIF($AD$3:$BA$3,"&lt;"&amp;$DF13,$B13:$Y13)+SUMIF($AD$3:$BA$3,"&gt;="&amp;$DG13,$B13:$Y13)),
IF(AR$3=$DF13+'Model Setup'!$G$7,SUMIF($AD$3:$BA$3,"="&amp;$DF13+'Model Setup'!$G$7,$B13:$Y13)+'Model Setup'!$G$8*(SUMIF($AD$3:$BA$3,"&lt;"&amp;$DF13,$B13:$Y13)+SUMIF($AD$3:$BA$3,"&gt;="&amp;$DG13,$B13:$Y13)),
IF(AR$3=$DF13+'Model Setup'!$H$7,SUMIF($AD$3:$BA$3,"="&amp;$DF13+'Model Setup'!$H$7,$B13:$Y13)+'Model Setup'!$H$8*(SUMIF($AD$3:$BA$3,"&lt;"&amp;$DF13,$B13:$Y13)+SUMIF($AD$3:$BA$3,"&gt;="&amp;$DG13,$B13:$Y13)),
IF(AR$3=$DF13+'Model Setup'!$I$7,SUMIF($AD$3:$BA$3,"="&amp;$DF13+'Model Setup'!$I$7,$B13:$Y13)+'Model Setup'!$I$8*(SUMIF($AD$3:$BA$3,"&lt;"&amp;$DF13,$B13:$Y13)+SUMIF($AD$3:$BA$3,"&gt;="&amp;$DG13,$B13:$Y13)),
IF(AR$3=$DF13+'Model Setup'!$J$7,SUMIF($AD$3:$BA$3,"="&amp;$DF13+'Model Setup'!$J$7,$B13:$Y13)+'Model Setup'!$J$8*(SUMIF($AD$3:$BA$3,"&lt;"&amp;$DF13,$B13:$Y13)+SUMIF($AD$3:$BA$3,"&gt;="&amp;$DG13,$B13:$Y13)),
IF(AR$3=$DF13+'Model Setup'!$K$7,SUMIF($AD$3:$BA$3,"="&amp;$DF13+'Model Setup'!$K$7,$B13:$Y13)+'Model Setup'!$K$8*(SUMIF($AD$3:$BA$3,"&lt;"&amp;$DF13,$B13:$Y13)+SUMIF($AD$3:$BA$3,"&gt;="&amp;$DG13,$B13:$Y13)),
IF(AR$3=$DF13+'Model Setup'!$L$7,SUMIF($AD$3:$BA$3,"="&amp;$DF13+'Model Setup'!$L$7,$B13:$Y13)+'Model Setup'!$L$8*(SUMIF($AD$3:$BA$3,"&lt;"&amp;$DF13,$B13:$Y13)+SUMIF($AD$3:$BA$3,"&gt;="&amp;$DG13,$B13:$Y13)),
IF(AR$3=$DF13+'Model Setup'!$M$7,SUMIF($AD$3:$BA$3,"="&amp;$DF13+'Model Setup'!$M$7,$B13:$Y13)+'Model Setup'!$M$8*(SUMIF($AD$3:$BA$3,"&lt;"&amp;$DF13,$B13:$Y13)+SUMIF($AD$3:$BA$3,"&gt;="&amp;$DG13,$B13:$Y13)),
IF(AR$3=$DF13+'Model Setup'!$N$7,SUMIF($AD$3:$BA$3,"="&amp;$DF13+'Model Setup'!$N$7,$B13:$Y13)+'Model Setup'!$N$8*(SUMIF($AD$3:$BA$3,"&lt;"&amp;$DF13,$B13:$Y13)+SUMIF($AD$3:$BA$3,"&gt;="&amp;$DG13,$B13:$Y13)),
IF(AR$3&lt;$DG13,P13,0))))))))))))))),0)</f>
        <v>6</v>
      </c>
      <c r="AS13" s="47">
        <f>ROUND(IF(AS$3&lt;$DF13,0,
IF(AS$3=$DF13+'Model Setup'!$B$7,SUMIF($AD$3:$BA$3,"="&amp;$DF13+'Model Setup'!$B$7,$B13:$Y13)+'Model Setup'!$B$8*(SUMIF($AD$3:$BA$3,"&lt;"&amp;$DF13,$B13:$Y13)+SUMIF($AD$3:$BA$3,"&gt;="&amp;$DG13,$B13:$Y13)),
IF(AS$3=$DF13+'Model Setup'!$C$7,SUMIF($AD$3:$BA$3,"="&amp;$DF13+'Model Setup'!$C$7,$B13:$Y13)+'Model Setup'!$C$8*(SUMIF($AD$3:$BA$3,"&lt;"&amp;$DF13,$B13:$Y13)+SUMIF($AD$3:$BA$3,"&gt;="&amp;$DG13,$B13:$Y13)),
IF(AS$3=$DF13+'Model Setup'!$D$7,SUMIF($AD$3:$BA$3,"="&amp;$DF13+'Model Setup'!$D$7,$B13:$Y13)+'Model Setup'!$D$8*(SUMIF($AD$3:$BA$3,"&lt;"&amp;$DF13,$B13:$Y13)+SUMIF($AD$3:$BA$3,"&gt;="&amp;$DG13,$B13:$Y13)),
IF(AS$3=$DF13+'Model Setup'!$E$7,SUMIF($AD$3:$BA$3,"="&amp;$DF13+'Model Setup'!$E$7,$B13:$Y13)+'Model Setup'!$E$8*(SUMIF($AD$3:$BA$3,"&lt;"&amp;$DF13,$B13:$Y13)+SUMIF($AD$3:$BA$3,"&gt;="&amp;$DG13,$B13:$Y13)),
IF(AS$3=$DF13+'Model Setup'!$F$7,SUMIF($AD$3:$BA$3,"="&amp;$DF13+'Model Setup'!$F$7,$B13:$Y13)+'Model Setup'!$F$8*(SUMIF($AD$3:$BA$3,"&lt;"&amp;$DF13,$B13:$Y13)+SUMIF($AD$3:$BA$3,"&gt;="&amp;$DG13,$B13:$Y13)),
IF(AS$3=$DF13+'Model Setup'!$G$7,SUMIF($AD$3:$BA$3,"="&amp;$DF13+'Model Setup'!$G$7,$B13:$Y13)+'Model Setup'!$G$8*(SUMIF($AD$3:$BA$3,"&lt;"&amp;$DF13,$B13:$Y13)+SUMIF($AD$3:$BA$3,"&gt;="&amp;$DG13,$B13:$Y13)),
IF(AS$3=$DF13+'Model Setup'!$H$7,SUMIF($AD$3:$BA$3,"="&amp;$DF13+'Model Setup'!$H$7,$B13:$Y13)+'Model Setup'!$H$8*(SUMIF($AD$3:$BA$3,"&lt;"&amp;$DF13,$B13:$Y13)+SUMIF($AD$3:$BA$3,"&gt;="&amp;$DG13,$B13:$Y13)),
IF(AS$3=$DF13+'Model Setup'!$I$7,SUMIF($AD$3:$BA$3,"="&amp;$DF13+'Model Setup'!$I$7,$B13:$Y13)+'Model Setup'!$I$8*(SUMIF($AD$3:$BA$3,"&lt;"&amp;$DF13,$B13:$Y13)+SUMIF($AD$3:$BA$3,"&gt;="&amp;$DG13,$B13:$Y13)),
IF(AS$3=$DF13+'Model Setup'!$J$7,SUMIF($AD$3:$BA$3,"="&amp;$DF13+'Model Setup'!$J$7,$B13:$Y13)+'Model Setup'!$J$8*(SUMIF($AD$3:$BA$3,"&lt;"&amp;$DF13,$B13:$Y13)+SUMIF($AD$3:$BA$3,"&gt;="&amp;$DG13,$B13:$Y13)),
IF(AS$3=$DF13+'Model Setup'!$K$7,SUMIF($AD$3:$BA$3,"="&amp;$DF13+'Model Setup'!$K$7,$B13:$Y13)+'Model Setup'!$K$8*(SUMIF($AD$3:$BA$3,"&lt;"&amp;$DF13,$B13:$Y13)+SUMIF($AD$3:$BA$3,"&gt;="&amp;$DG13,$B13:$Y13)),
IF(AS$3=$DF13+'Model Setup'!$L$7,SUMIF($AD$3:$BA$3,"="&amp;$DF13+'Model Setup'!$L$7,$B13:$Y13)+'Model Setup'!$L$8*(SUMIF($AD$3:$BA$3,"&lt;"&amp;$DF13,$B13:$Y13)+SUMIF($AD$3:$BA$3,"&gt;="&amp;$DG13,$B13:$Y13)),
IF(AS$3=$DF13+'Model Setup'!$M$7,SUMIF($AD$3:$BA$3,"="&amp;$DF13+'Model Setup'!$M$7,$B13:$Y13)+'Model Setup'!$M$8*(SUMIF($AD$3:$BA$3,"&lt;"&amp;$DF13,$B13:$Y13)+SUMIF($AD$3:$BA$3,"&gt;="&amp;$DG13,$B13:$Y13)),
IF(AS$3=$DF13+'Model Setup'!$N$7,SUMIF($AD$3:$BA$3,"="&amp;$DF13+'Model Setup'!$N$7,$B13:$Y13)+'Model Setup'!$N$8*(SUMIF($AD$3:$BA$3,"&lt;"&amp;$DF13,$B13:$Y13)+SUMIF($AD$3:$BA$3,"&gt;="&amp;$DG13,$B13:$Y13)),
IF(AS$3&lt;$DG13,Q13,0))))))))))))))),0)</f>
        <v>8</v>
      </c>
      <c r="AT13" s="47">
        <f>ROUND(IF(AT$3&lt;$DF13,0,
IF(AT$3=$DF13+'Model Setup'!$B$7,SUMIF($AD$3:$BA$3,"="&amp;$DF13+'Model Setup'!$B$7,$B13:$Y13)+'Model Setup'!$B$8*(SUMIF($AD$3:$BA$3,"&lt;"&amp;$DF13,$B13:$Y13)+SUMIF($AD$3:$BA$3,"&gt;="&amp;$DG13,$B13:$Y13)),
IF(AT$3=$DF13+'Model Setup'!$C$7,SUMIF($AD$3:$BA$3,"="&amp;$DF13+'Model Setup'!$C$7,$B13:$Y13)+'Model Setup'!$C$8*(SUMIF($AD$3:$BA$3,"&lt;"&amp;$DF13,$B13:$Y13)+SUMIF($AD$3:$BA$3,"&gt;="&amp;$DG13,$B13:$Y13)),
IF(AT$3=$DF13+'Model Setup'!$D$7,SUMIF($AD$3:$BA$3,"="&amp;$DF13+'Model Setup'!$D$7,$B13:$Y13)+'Model Setup'!$D$8*(SUMIF($AD$3:$BA$3,"&lt;"&amp;$DF13,$B13:$Y13)+SUMIF($AD$3:$BA$3,"&gt;="&amp;$DG13,$B13:$Y13)),
IF(AT$3=$DF13+'Model Setup'!$E$7,SUMIF($AD$3:$BA$3,"="&amp;$DF13+'Model Setup'!$E$7,$B13:$Y13)+'Model Setup'!$E$8*(SUMIF($AD$3:$BA$3,"&lt;"&amp;$DF13,$B13:$Y13)+SUMIF($AD$3:$BA$3,"&gt;="&amp;$DG13,$B13:$Y13)),
IF(AT$3=$DF13+'Model Setup'!$F$7,SUMIF($AD$3:$BA$3,"="&amp;$DF13+'Model Setup'!$F$7,$B13:$Y13)+'Model Setup'!$F$8*(SUMIF($AD$3:$BA$3,"&lt;"&amp;$DF13,$B13:$Y13)+SUMIF($AD$3:$BA$3,"&gt;="&amp;$DG13,$B13:$Y13)),
IF(AT$3=$DF13+'Model Setup'!$G$7,SUMIF($AD$3:$BA$3,"="&amp;$DF13+'Model Setup'!$G$7,$B13:$Y13)+'Model Setup'!$G$8*(SUMIF($AD$3:$BA$3,"&lt;"&amp;$DF13,$B13:$Y13)+SUMIF($AD$3:$BA$3,"&gt;="&amp;$DG13,$B13:$Y13)),
IF(AT$3=$DF13+'Model Setup'!$H$7,SUMIF($AD$3:$BA$3,"="&amp;$DF13+'Model Setup'!$H$7,$B13:$Y13)+'Model Setup'!$H$8*(SUMIF($AD$3:$BA$3,"&lt;"&amp;$DF13,$B13:$Y13)+SUMIF($AD$3:$BA$3,"&gt;="&amp;$DG13,$B13:$Y13)),
IF(AT$3=$DF13+'Model Setup'!$I$7,SUMIF($AD$3:$BA$3,"="&amp;$DF13+'Model Setup'!$I$7,$B13:$Y13)+'Model Setup'!$I$8*(SUMIF($AD$3:$BA$3,"&lt;"&amp;$DF13,$B13:$Y13)+SUMIF($AD$3:$BA$3,"&gt;="&amp;$DG13,$B13:$Y13)),
IF(AT$3=$DF13+'Model Setup'!$J$7,SUMIF($AD$3:$BA$3,"="&amp;$DF13+'Model Setup'!$J$7,$B13:$Y13)+'Model Setup'!$J$8*(SUMIF($AD$3:$BA$3,"&lt;"&amp;$DF13,$B13:$Y13)+SUMIF($AD$3:$BA$3,"&gt;="&amp;$DG13,$B13:$Y13)),
IF(AT$3=$DF13+'Model Setup'!$K$7,SUMIF($AD$3:$BA$3,"="&amp;$DF13+'Model Setup'!$K$7,$B13:$Y13)+'Model Setup'!$K$8*(SUMIF($AD$3:$BA$3,"&lt;"&amp;$DF13,$B13:$Y13)+SUMIF($AD$3:$BA$3,"&gt;="&amp;$DG13,$B13:$Y13)),
IF(AT$3=$DF13+'Model Setup'!$L$7,SUMIF($AD$3:$BA$3,"="&amp;$DF13+'Model Setup'!$L$7,$B13:$Y13)+'Model Setup'!$L$8*(SUMIF($AD$3:$BA$3,"&lt;"&amp;$DF13,$B13:$Y13)+SUMIF($AD$3:$BA$3,"&gt;="&amp;$DG13,$B13:$Y13)),
IF(AT$3=$DF13+'Model Setup'!$M$7,SUMIF($AD$3:$BA$3,"="&amp;$DF13+'Model Setup'!$M$7,$B13:$Y13)+'Model Setup'!$M$8*(SUMIF($AD$3:$BA$3,"&lt;"&amp;$DF13,$B13:$Y13)+SUMIF($AD$3:$BA$3,"&gt;="&amp;$DG13,$B13:$Y13)),
IF(AT$3=$DF13+'Model Setup'!$N$7,SUMIF($AD$3:$BA$3,"="&amp;$DF13+'Model Setup'!$N$7,$B13:$Y13)+'Model Setup'!$N$8*(SUMIF($AD$3:$BA$3,"&lt;"&amp;$DF13,$B13:$Y13)+SUMIF($AD$3:$BA$3,"&gt;="&amp;$DG13,$B13:$Y13)),
IF(AT$3&lt;$DG13,R13,0))))))))))))))),0)</f>
        <v>9</v>
      </c>
      <c r="AU13" s="47">
        <f>ROUND(IF(AU$3&lt;$DF13,0,
IF(AU$3=$DF13+'Model Setup'!$B$7,SUMIF($AD$3:$BA$3,"="&amp;$DF13+'Model Setup'!$B$7,$B13:$Y13)+'Model Setup'!$B$8*(SUMIF($AD$3:$BA$3,"&lt;"&amp;$DF13,$B13:$Y13)+SUMIF($AD$3:$BA$3,"&gt;="&amp;$DG13,$B13:$Y13)),
IF(AU$3=$DF13+'Model Setup'!$C$7,SUMIF($AD$3:$BA$3,"="&amp;$DF13+'Model Setup'!$C$7,$B13:$Y13)+'Model Setup'!$C$8*(SUMIF($AD$3:$BA$3,"&lt;"&amp;$DF13,$B13:$Y13)+SUMIF($AD$3:$BA$3,"&gt;="&amp;$DG13,$B13:$Y13)),
IF(AU$3=$DF13+'Model Setup'!$D$7,SUMIF($AD$3:$BA$3,"="&amp;$DF13+'Model Setup'!$D$7,$B13:$Y13)+'Model Setup'!$D$8*(SUMIF($AD$3:$BA$3,"&lt;"&amp;$DF13,$B13:$Y13)+SUMIF($AD$3:$BA$3,"&gt;="&amp;$DG13,$B13:$Y13)),
IF(AU$3=$DF13+'Model Setup'!$E$7,SUMIF($AD$3:$BA$3,"="&amp;$DF13+'Model Setup'!$E$7,$B13:$Y13)+'Model Setup'!$E$8*(SUMIF($AD$3:$BA$3,"&lt;"&amp;$DF13,$B13:$Y13)+SUMIF($AD$3:$BA$3,"&gt;="&amp;$DG13,$B13:$Y13)),
IF(AU$3=$DF13+'Model Setup'!$F$7,SUMIF($AD$3:$BA$3,"="&amp;$DF13+'Model Setup'!$F$7,$B13:$Y13)+'Model Setup'!$F$8*(SUMIF($AD$3:$BA$3,"&lt;"&amp;$DF13,$B13:$Y13)+SUMIF($AD$3:$BA$3,"&gt;="&amp;$DG13,$B13:$Y13)),
IF(AU$3=$DF13+'Model Setup'!$G$7,SUMIF($AD$3:$BA$3,"="&amp;$DF13+'Model Setup'!$G$7,$B13:$Y13)+'Model Setup'!$G$8*(SUMIF($AD$3:$BA$3,"&lt;"&amp;$DF13,$B13:$Y13)+SUMIF($AD$3:$BA$3,"&gt;="&amp;$DG13,$B13:$Y13)),
IF(AU$3=$DF13+'Model Setup'!$H$7,SUMIF($AD$3:$BA$3,"="&amp;$DF13+'Model Setup'!$H$7,$B13:$Y13)+'Model Setup'!$H$8*(SUMIF($AD$3:$BA$3,"&lt;"&amp;$DF13,$B13:$Y13)+SUMIF($AD$3:$BA$3,"&gt;="&amp;$DG13,$B13:$Y13)),
IF(AU$3=$DF13+'Model Setup'!$I$7,SUMIF($AD$3:$BA$3,"="&amp;$DF13+'Model Setup'!$I$7,$B13:$Y13)+'Model Setup'!$I$8*(SUMIF($AD$3:$BA$3,"&lt;"&amp;$DF13,$B13:$Y13)+SUMIF($AD$3:$BA$3,"&gt;="&amp;$DG13,$B13:$Y13)),
IF(AU$3=$DF13+'Model Setup'!$J$7,SUMIF($AD$3:$BA$3,"="&amp;$DF13+'Model Setup'!$J$7,$B13:$Y13)+'Model Setup'!$J$8*(SUMIF($AD$3:$BA$3,"&lt;"&amp;$DF13,$B13:$Y13)+SUMIF($AD$3:$BA$3,"&gt;="&amp;$DG13,$B13:$Y13)),
IF(AU$3=$DF13+'Model Setup'!$K$7,SUMIF($AD$3:$BA$3,"="&amp;$DF13+'Model Setup'!$K$7,$B13:$Y13)+'Model Setup'!$K$8*(SUMIF($AD$3:$BA$3,"&lt;"&amp;$DF13,$B13:$Y13)+SUMIF($AD$3:$BA$3,"&gt;="&amp;$DG13,$B13:$Y13)),
IF(AU$3=$DF13+'Model Setup'!$L$7,SUMIF($AD$3:$BA$3,"="&amp;$DF13+'Model Setup'!$L$7,$B13:$Y13)+'Model Setup'!$L$8*(SUMIF($AD$3:$BA$3,"&lt;"&amp;$DF13,$B13:$Y13)+SUMIF($AD$3:$BA$3,"&gt;="&amp;$DG13,$B13:$Y13)),
IF(AU$3=$DF13+'Model Setup'!$M$7,SUMIF($AD$3:$BA$3,"="&amp;$DF13+'Model Setup'!$M$7,$B13:$Y13)+'Model Setup'!$M$8*(SUMIF($AD$3:$BA$3,"&lt;"&amp;$DF13,$B13:$Y13)+SUMIF($AD$3:$BA$3,"&gt;="&amp;$DG13,$B13:$Y13)),
IF(AU$3=$DF13+'Model Setup'!$N$7,SUMIF($AD$3:$BA$3,"="&amp;$DF13+'Model Setup'!$N$7,$B13:$Y13)+'Model Setup'!$N$8*(SUMIF($AD$3:$BA$3,"&lt;"&amp;$DF13,$B13:$Y13)+SUMIF($AD$3:$BA$3,"&gt;="&amp;$DG13,$B13:$Y13)),
IF(AU$3&lt;$DG13,S13,0))))))))))))))),0)</f>
        <v>10</v>
      </c>
      <c r="AV13" s="47">
        <f>ROUND(IF(AV$3&lt;$DF13,0,
IF(AV$3=$DF13+'Model Setup'!$B$7,SUMIF($AD$3:$BA$3,"="&amp;$DF13+'Model Setup'!$B$7,$B13:$Y13)+'Model Setup'!$B$8*(SUMIF($AD$3:$BA$3,"&lt;"&amp;$DF13,$B13:$Y13)+SUMIF($AD$3:$BA$3,"&gt;="&amp;$DG13,$B13:$Y13)),
IF(AV$3=$DF13+'Model Setup'!$C$7,SUMIF($AD$3:$BA$3,"="&amp;$DF13+'Model Setup'!$C$7,$B13:$Y13)+'Model Setup'!$C$8*(SUMIF($AD$3:$BA$3,"&lt;"&amp;$DF13,$B13:$Y13)+SUMIF($AD$3:$BA$3,"&gt;="&amp;$DG13,$B13:$Y13)),
IF(AV$3=$DF13+'Model Setup'!$D$7,SUMIF($AD$3:$BA$3,"="&amp;$DF13+'Model Setup'!$D$7,$B13:$Y13)+'Model Setup'!$D$8*(SUMIF($AD$3:$BA$3,"&lt;"&amp;$DF13,$B13:$Y13)+SUMIF($AD$3:$BA$3,"&gt;="&amp;$DG13,$B13:$Y13)),
IF(AV$3=$DF13+'Model Setup'!$E$7,SUMIF($AD$3:$BA$3,"="&amp;$DF13+'Model Setup'!$E$7,$B13:$Y13)+'Model Setup'!$E$8*(SUMIF($AD$3:$BA$3,"&lt;"&amp;$DF13,$B13:$Y13)+SUMIF($AD$3:$BA$3,"&gt;="&amp;$DG13,$B13:$Y13)),
IF(AV$3=$DF13+'Model Setup'!$F$7,SUMIF($AD$3:$BA$3,"="&amp;$DF13+'Model Setup'!$F$7,$B13:$Y13)+'Model Setup'!$F$8*(SUMIF($AD$3:$BA$3,"&lt;"&amp;$DF13,$B13:$Y13)+SUMIF($AD$3:$BA$3,"&gt;="&amp;$DG13,$B13:$Y13)),
IF(AV$3=$DF13+'Model Setup'!$G$7,SUMIF($AD$3:$BA$3,"="&amp;$DF13+'Model Setup'!$G$7,$B13:$Y13)+'Model Setup'!$G$8*(SUMIF($AD$3:$BA$3,"&lt;"&amp;$DF13,$B13:$Y13)+SUMIF($AD$3:$BA$3,"&gt;="&amp;$DG13,$B13:$Y13)),
IF(AV$3=$DF13+'Model Setup'!$H$7,SUMIF($AD$3:$BA$3,"="&amp;$DF13+'Model Setup'!$H$7,$B13:$Y13)+'Model Setup'!$H$8*(SUMIF($AD$3:$BA$3,"&lt;"&amp;$DF13,$B13:$Y13)+SUMIF($AD$3:$BA$3,"&gt;="&amp;$DG13,$B13:$Y13)),
IF(AV$3=$DF13+'Model Setup'!$I$7,SUMIF($AD$3:$BA$3,"="&amp;$DF13+'Model Setup'!$I$7,$B13:$Y13)+'Model Setup'!$I$8*(SUMIF($AD$3:$BA$3,"&lt;"&amp;$DF13,$B13:$Y13)+SUMIF($AD$3:$BA$3,"&gt;="&amp;$DG13,$B13:$Y13)),
IF(AV$3=$DF13+'Model Setup'!$J$7,SUMIF($AD$3:$BA$3,"="&amp;$DF13+'Model Setup'!$J$7,$B13:$Y13)+'Model Setup'!$J$8*(SUMIF($AD$3:$BA$3,"&lt;"&amp;$DF13,$B13:$Y13)+SUMIF($AD$3:$BA$3,"&gt;="&amp;$DG13,$B13:$Y13)),
IF(AV$3=$DF13+'Model Setup'!$K$7,SUMIF($AD$3:$BA$3,"="&amp;$DF13+'Model Setup'!$K$7,$B13:$Y13)+'Model Setup'!$K$8*(SUMIF($AD$3:$BA$3,"&lt;"&amp;$DF13,$B13:$Y13)+SUMIF($AD$3:$BA$3,"&gt;="&amp;$DG13,$B13:$Y13)),
IF(AV$3=$DF13+'Model Setup'!$L$7,SUMIF($AD$3:$BA$3,"="&amp;$DF13+'Model Setup'!$L$7,$B13:$Y13)+'Model Setup'!$L$8*(SUMIF($AD$3:$BA$3,"&lt;"&amp;$DF13,$B13:$Y13)+SUMIF($AD$3:$BA$3,"&gt;="&amp;$DG13,$B13:$Y13)),
IF(AV$3=$DF13+'Model Setup'!$M$7,SUMIF($AD$3:$BA$3,"="&amp;$DF13+'Model Setup'!$M$7,$B13:$Y13)+'Model Setup'!$M$8*(SUMIF($AD$3:$BA$3,"&lt;"&amp;$DF13,$B13:$Y13)+SUMIF($AD$3:$BA$3,"&gt;="&amp;$DG13,$B13:$Y13)),
IF(AV$3=$DF13+'Model Setup'!$N$7,SUMIF($AD$3:$BA$3,"="&amp;$DF13+'Model Setup'!$N$7,$B13:$Y13)+'Model Setup'!$N$8*(SUMIF($AD$3:$BA$3,"&lt;"&amp;$DF13,$B13:$Y13)+SUMIF($AD$3:$BA$3,"&gt;="&amp;$DG13,$B13:$Y13)),
IF(AV$3&lt;$DG13,T13,0))))))))))))))),0)</f>
        <v>0</v>
      </c>
      <c r="AW13" s="47">
        <f>ROUND(IF(AW$3&lt;$DF13,0,
IF(AW$3=$DF13+'Model Setup'!$B$7,SUMIF($AD$3:$BA$3,"="&amp;$DF13+'Model Setup'!$B$7,$B13:$Y13)+'Model Setup'!$B$8*(SUMIF($AD$3:$BA$3,"&lt;"&amp;$DF13,$B13:$Y13)+SUMIF($AD$3:$BA$3,"&gt;="&amp;$DG13,$B13:$Y13)),
IF(AW$3=$DF13+'Model Setup'!$C$7,SUMIF($AD$3:$BA$3,"="&amp;$DF13+'Model Setup'!$C$7,$B13:$Y13)+'Model Setup'!$C$8*(SUMIF($AD$3:$BA$3,"&lt;"&amp;$DF13,$B13:$Y13)+SUMIF($AD$3:$BA$3,"&gt;="&amp;$DG13,$B13:$Y13)),
IF(AW$3=$DF13+'Model Setup'!$D$7,SUMIF($AD$3:$BA$3,"="&amp;$DF13+'Model Setup'!$D$7,$B13:$Y13)+'Model Setup'!$D$8*(SUMIF($AD$3:$BA$3,"&lt;"&amp;$DF13,$B13:$Y13)+SUMIF($AD$3:$BA$3,"&gt;="&amp;$DG13,$B13:$Y13)),
IF(AW$3=$DF13+'Model Setup'!$E$7,SUMIF($AD$3:$BA$3,"="&amp;$DF13+'Model Setup'!$E$7,$B13:$Y13)+'Model Setup'!$E$8*(SUMIF($AD$3:$BA$3,"&lt;"&amp;$DF13,$B13:$Y13)+SUMIF($AD$3:$BA$3,"&gt;="&amp;$DG13,$B13:$Y13)),
IF(AW$3=$DF13+'Model Setup'!$F$7,SUMIF($AD$3:$BA$3,"="&amp;$DF13+'Model Setup'!$F$7,$B13:$Y13)+'Model Setup'!$F$8*(SUMIF($AD$3:$BA$3,"&lt;"&amp;$DF13,$B13:$Y13)+SUMIF($AD$3:$BA$3,"&gt;="&amp;$DG13,$B13:$Y13)),
IF(AW$3=$DF13+'Model Setup'!$G$7,SUMIF($AD$3:$BA$3,"="&amp;$DF13+'Model Setup'!$G$7,$B13:$Y13)+'Model Setup'!$G$8*(SUMIF($AD$3:$BA$3,"&lt;"&amp;$DF13,$B13:$Y13)+SUMIF($AD$3:$BA$3,"&gt;="&amp;$DG13,$B13:$Y13)),
IF(AW$3=$DF13+'Model Setup'!$H$7,SUMIF($AD$3:$BA$3,"="&amp;$DF13+'Model Setup'!$H$7,$B13:$Y13)+'Model Setup'!$H$8*(SUMIF($AD$3:$BA$3,"&lt;"&amp;$DF13,$B13:$Y13)+SUMIF($AD$3:$BA$3,"&gt;="&amp;$DG13,$B13:$Y13)),
IF(AW$3=$DF13+'Model Setup'!$I$7,SUMIF($AD$3:$BA$3,"="&amp;$DF13+'Model Setup'!$I$7,$B13:$Y13)+'Model Setup'!$I$8*(SUMIF($AD$3:$BA$3,"&lt;"&amp;$DF13,$B13:$Y13)+SUMIF($AD$3:$BA$3,"&gt;="&amp;$DG13,$B13:$Y13)),
IF(AW$3=$DF13+'Model Setup'!$J$7,SUMIF($AD$3:$BA$3,"="&amp;$DF13+'Model Setup'!$J$7,$B13:$Y13)+'Model Setup'!$J$8*(SUMIF($AD$3:$BA$3,"&lt;"&amp;$DF13,$B13:$Y13)+SUMIF($AD$3:$BA$3,"&gt;="&amp;$DG13,$B13:$Y13)),
IF(AW$3=$DF13+'Model Setup'!$K$7,SUMIF($AD$3:$BA$3,"="&amp;$DF13+'Model Setup'!$K$7,$B13:$Y13)+'Model Setup'!$K$8*(SUMIF($AD$3:$BA$3,"&lt;"&amp;$DF13,$B13:$Y13)+SUMIF($AD$3:$BA$3,"&gt;="&amp;$DG13,$B13:$Y13)),
IF(AW$3=$DF13+'Model Setup'!$L$7,SUMIF($AD$3:$BA$3,"="&amp;$DF13+'Model Setup'!$L$7,$B13:$Y13)+'Model Setup'!$L$8*(SUMIF($AD$3:$BA$3,"&lt;"&amp;$DF13,$B13:$Y13)+SUMIF($AD$3:$BA$3,"&gt;="&amp;$DG13,$B13:$Y13)),
IF(AW$3=$DF13+'Model Setup'!$M$7,SUMIF($AD$3:$BA$3,"="&amp;$DF13+'Model Setup'!$M$7,$B13:$Y13)+'Model Setup'!$M$8*(SUMIF($AD$3:$BA$3,"&lt;"&amp;$DF13,$B13:$Y13)+SUMIF($AD$3:$BA$3,"&gt;="&amp;$DG13,$B13:$Y13)),
IF(AW$3=$DF13+'Model Setup'!$N$7,SUMIF($AD$3:$BA$3,"="&amp;$DF13+'Model Setup'!$N$7,$B13:$Y13)+'Model Setup'!$N$8*(SUMIF($AD$3:$BA$3,"&lt;"&amp;$DF13,$B13:$Y13)+SUMIF($AD$3:$BA$3,"&gt;="&amp;$DG13,$B13:$Y13)),
IF(AW$3&lt;$DG13,U13,0))))))))))))))),0)</f>
        <v>0</v>
      </c>
      <c r="AX13" s="47">
        <f>ROUND(IF(AX$3&lt;$DF13,0,
IF(AX$3=$DF13+'Model Setup'!$B$7,SUMIF($AD$3:$BA$3,"="&amp;$DF13+'Model Setup'!$B$7,$B13:$Y13)+'Model Setup'!$B$8*(SUMIF($AD$3:$BA$3,"&lt;"&amp;$DF13,$B13:$Y13)+SUMIF($AD$3:$BA$3,"&gt;="&amp;$DG13,$B13:$Y13)),
IF(AX$3=$DF13+'Model Setup'!$C$7,SUMIF($AD$3:$BA$3,"="&amp;$DF13+'Model Setup'!$C$7,$B13:$Y13)+'Model Setup'!$C$8*(SUMIF($AD$3:$BA$3,"&lt;"&amp;$DF13,$B13:$Y13)+SUMIF($AD$3:$BA$3,"&gt;="&amp;$DG13,$B13:$Y13)),
IF(AX$3=$DF13+'Model Setup'!$D$7,SUMIF($AD$3:$BA$3,"="&amp;$DF13+'Model Setup'!$D$7,$B13:$Y13)+'Model Setup'!$D$8*(SUMIF($AD$3:$BA$3,"&lt;"&amp;$DF13,$B13:$Y13)+SUMIF($AD$3:$BA$3,"&gt;="&amp;$DG13,$B13:$Y13)),
IF(AX$3=$DF13+'Model Setup'!$E$7,SUMIF($AD$3:$BA$3,"="&amp;$DF13+'Model Setup'!$E$7,$B13:$Y13)+'Model Setup'!$E$8*(SUMIF($AD$3:$BA$3,"&lt;"&amp;$DF13,$B13:$Y13)+SUMIF($AD$3:$BA$3,"&gt;="&amp;$DG13,$B13:$Y13)),
IF(AX$3=$DF13+'Model Setup'!$F$7,SUMIF($AD$3:$BA$3,"="&amp;$DF13+'Model Setup'!$F$7,$B13:$Y13)+'Model Setup'!$F$8*(SUMIF($AD$3:$BA$3,"&lt;"&amp;$DF13,$B13:$Y13)+SUMIF($AD$3:$BA$3,"&gt;="&amp;$DG13,$B13:$Y13)),
IF(AX$3=$DF13+'Model Setup'!$G$7,SUMIF($AD$3:$BA$3,"="&amp;$DF13+'Model Setup'!$G$7,$B13:$Y13)+'Model Setup'!$G$8*(SUMIF($AD$3:$BA$3,"&lt;"&amp;$DF13,$B13:$Y13)+SUMIF($AD$3:$BA$3,"&gt;="&amp;$DG13,$B13:$Y13)),
IF(AX$3=$DF13+'Model Setup'!$H$7,SUMIF($AD$3:$BA$3,"="&amp;$DF13+'Model Setup'!$H$7,$B13:$Y13)+'Model Setup'!$H$8*(SUMIF($AD$3:$BA$3,"&lt;"&amp;$DF13,$B13:$Y13)+SUMIF($AD$3:$BA$3,"&gt;="&amp;$DG13,$B13:$Y13)),
IF(AX$3=$DF13+'Model Setup'!$I$7,SUMIF($AD$3:$BA$3,"="&amp;$DF13+'Model Setup'!$I$7,$B13:$Y13)+'Model Setup'!$I$8*(SUMIF($AD$3:$BA$3,"&lt;"&amp;$DF13,$B13:$Y13)+SUMIF($AD$3:$BA$3,"&gt;="&amp;$DG13,$B13:$Y13)),
IF(AX$3=$DF13+'Model Setup'!$J$7,SUMIF($AD$3:$BA$3,"="&amp;$DF13+'Model Setup'!$J$7,$B13:$Y13)+'Model Setup'!$J$8*(SUMIF($AD$3:$BA$3,"&lt;"&amp;$DF13,$B13:$Y13)+SUMIF($AD$3:$BA$3,"&gt;="&amp;$DG13,$B13:$Y13)),
IF(AX$3=$DF13+'Model Setup'!$K$7,SUMIF($AD$3:$BA$3,"="&amp;$DF13+'Model Setup'!$K$7,$B13:$Y13)+'Model Setup'!$K$8*(SUMIF($AD$3:$BA$3,"&lt;"&amp;$DF13,$B13:$Y13)+SUMIF($AD$3:$BA$3,"&gt;="&amp;$DG13,$B13:$Y13)),
IF(AX$3=$DF13+'Model Setup'!$L$7,SUMIF($AD$3:$BA$3,"="&amp;$DF13+'Model Setup'!$L$7,$B13:$Y13)+'Model Setup'!$L$8*(SUMIF($AD$3:$BA$3,"&lt;"&amp;$DF13,$B13:$Y13)+SUMIF($AD$3:$BA$3,"&gt;="&amp;$DG13,$B13:$Y13)),
IF(AX$3=$DF13+'Model Setup'!$M$7,SUMIF($AD$3:$BA$3,"="&amp;$DF13+'Model Setup'!$M$7,$B13:$Y13)+'Model Setup'!$M$8*(SUMIF($AD$3:$BA$3,"&lt;"&amp;$DF13,$B13:$Y13)+SUMIF($AD$3:$BA$3,"&gt;="&amp;$DG13,$B13:$Y13)),
IF(AX$3=$DF13+'Model Setup'!$N$7,SUMIF($AD$3:$BA$3,"="&amp;$DF13+'Model Setup'!$N$7,$B13:$Y13)+'Model Setup'!$N$8*(SUMIF($AD$3:$BA$3,"&lt;"&amp;$DF13,$B13:$Y13)+SUMIF($AD$3:$BA$3,"&gt;="&amp;$DG13,$B13:$Y13)),
IF(AX$3&lt;$DG13,V13,0))))))))))))))),0)</f>
        <v>0</v>
      </c>
      <c r="AY13" s="47">
        <f>ROUND(IF(AY$3&lt;$DF13,0,
IF(AY$3=$DF13+'Model Setup'!$B$7,SUMIF($AD$3:$BA$3,"="&amp;$DF13+'Model Setup'!$B$7,$B13:$Y13)+'Model Setup'!$B$8*(SUMIF($AD$3:$BA$3,"&lt;"&amp;$DF13,$B13:$Y13)+SUMIF($AD$3:$BA$3,"&gt;="&amp;$DG13,$B13:$Y13)),
IF(AY$3=$DF13+'Model Setup'!$C$7,SUMIF($AD$3:$BA$3,"="&amp;$DF13+'Model Setup'!$C$7,$B13:$Y13)+'Model Setup'!$C$8*(SUMIF($AD$3:$BA$3,"&lt;"&amp;$DF13,$B13:$Y13)+SUMIF($AD$3:$BA$3,"&gt;="&amp;$DG13,$B13:$Y13)),
IF(AY$3=$DF13+'Model Setup'!$D$7,SUMIF($AD$3:$BA$3,"="&amp;$DF13+'Model Setup'!$D$7,$B13:$Y13)+'Model Setup'!$D$8*(SUMIF($AD$3:$BA$3,"&lt;"&amp;$DF13,$B13:$Y13)+SUMIF($AD$3:$BA$3,"&gt;="&amp;$DG13,$B13:$Y13)),
IF(AY$3=$DF13+'Model Setup'!$E$7,SUMIF($AD$3:$BA$3,"="&amp;$DF13+'Model Setup'!$E$7,$B13:$Y13)+'Model Setup'!$E$8*(SUMIF($AD$3:$BA$3,"&lt;"&amp;$DF13,$B13:$Y13)+SUMIF($AD$3:$BA$3,"&gt;="&amp;$DG13,$B13:$Y13)),
IF(AY$3=$DF13+'Model Setup'!$F$7,SUMIF($AD$3:$BA$3,"="&amp;$DF13+'Model Setup'!$F$7,$B13:$Y13)+'Model Setup'!$F$8*(SUMIF($AD$3:$BA$3,"&lt;"&amp;$DF13,$B13:$Y13)+SUMIF($AD$3:$BA$3,"&gt;="&amp;$DG13,$B13:$Y13)),
IF(AY$3=$DF13+'Model Setup'!$G$7,SUMIF($AD$3:$BA$3,"="&amp;$DF13+'Model Setup'!$G$7,$B13:$Y13)+'Model Setup'!$G$8*(SUMIF($AD$3:$BA$3,"&lt;"&amp;$DF13,$B13:$Y13)+SUMIF($AD$3:$BA$3,"&gt;="&amp;$DG13,$B13:$Y13)),
IF(AY$3=$DF13+'Model Setup'!$H$7,SUMIF($AD$3:$BA$3,"="&amp;$DF13+'Model Setup'!$H$7,$B13:$Y13)+'Model Setup'!$H$8*(SUMIF($AD$3:$BA$3,"&lt;"&amp;$DF13,$B13:$Y13)+SUMIF($AD$3:$BA$3,"&gt;="&amp;$DG13,$B13:$Y13)),
IF(AY$3=$DF13+'Model Setup'!$I$7,SUMIF($AD$3:$BA$3,"="&amp;$DF13+'Model Setup'!$I$7,$B13:$Y13)+'Model Setup'!$I$8*(SUMIF($AD$3:$BA$3,"&lt;"&amp;$DF13,$B13:$Y13)+SUMIF($AD$3:$BA$3,"&gt;="&amp;$DG13,$B13:$Y13)),
IF(AY$3=$DF13+'Model Setup'!$J$7,SUMIF($AD$3:$BA$3,"="&amp;$DF13+'Model Setup'!$J$7,$B13:$Y13)+'Model Setup'!$J$8*(SUMIF($AD$3:$BA$3,"&lt;"&amp;$DF13,$B13:$Y13)+SUMIF($AD$3:$BA$3,"&gt;="&amp;$DG13,$B13:$Y13)),
IF(AY$3=$DF13+'Model Setup'!$K$7,SUMIF($AD$3:$BA$3,"="&amp;$DF13+'Model Setup'!$K$7,$B13:$Y13)+'Model Setup'!$K$8*(SUMIF($AD$3:$BA$3,"&lt;"&amp;$DF13,$B13:$Y13)+SUMIF($AD$3:$BA$3,"&gt;="&amp;$DG13,$B13:$Y13)),
IF(AY$3=$DF13+'Model Setup'!$L$7,SUMIF($AD$3:$BA$3,"="&amp;$DF13+'Model Setup'!$L$7,$B13:$Y13)+'Model Setup'!$L$8*(SUMIF($AD$3:$BA$3,"&lt;"&amp;$DF13,$B13:$Y13)+SUMIF($AD$3:$BA$3,"&gt;="&amp;$DG13,$B13:$Y13)),
IF(AY$3=$DF13+'Model Setup'!$M$7,SUMIF($AD$3:$BA$3,"="&amp;$DF13+'Model Setup'!$M$7,$B13:$Y13)+'Model Setup'!$M$8*(SUMIF($AD$3:$BA$3,"&lt;"&amp;$DF13,$B13:$Y13)+SUMIF($AD$3:$BA$3,"&gt;="&amp;$DG13,$B13:$Y13)),
IF(AY$3=$DF13+'Model Setup'!$N$7,SUMIF($AD$3:$BA$3,"="&amp;$DF13+'Model Setup'!$N$7,$B13:$Y13)+'Model Setup'!$N$8*(SUMIF($AD$3:$BA$3,"&lt;"&amp;$DF13,$B13:$Y13)+SUMIF($AD$3:$BA$3,"&gt;="&amp;$DG13,$B13:$Y13)),
IF(AY$3&lt;$DG13,W13,0))))))))))))))),0)</f>
        <v>0</v>
      </c>
      <c r="AZ13" s="47">
        <f>ROUND(IF(AZ$3&lt;$DF13,0,
IF(AZ$3=$DF13+'Model Setup'!$B$7,SUMIF($AD$3:$BA$3,"="&amp;$DF13+'Model Setup'!$B$7,$B13:$Y13)+'Model Setup'!$B$8*(SUMIF($AD$3:$BA$3,"&lt;"&amp;$DF13,$B13:$Y13)+SUMIF($AD$3:$BA$3,"&gt;="&amp;$DG13,$B13:$Y13)),
IF(AZ$3=$DF13+'Model Setup'!$C$7,SUMIF($AD$3:$BA$3,"="&amp;$DF13+'Model Setup'!$C$7,$B13:$Y13)+'Model Setup'!$C$8*(SUMIF($AD$3:$BA$3,"&lt;"&amp;$DF13,$B13:$Y13)+SUMIF($AD$3:$BA$3,"&gt;="&amp;$DG13,$B13:$Y13)),
IF(AZ$3=$DF13+'Model Setup'!$D$7,SUMIF($AD$3:$BA$3,"="&amp;$DF13+'Model Setup'!$D$7,$B13:$Y13)+'Model Setup'!$D$8*(SUMIF($AD$3:$BA$3,"&lt;"&amp;$DF13,$B13:$Y13)+SUMIF($AD$3:$BA$3,"&gt;="&amp;$DG13,$B13:$Y13)),
IF(AZ$3=$DF13+'Model Setup'!$E$7,SUMIF($AD$3:$BA$3,"="&amp;$DF13+'Model Setup'!$E$7,$B13:$Y13)+'Model Setup'!$E$8*(SUMIF($AD$3:$BA$3,"&lt;"&amp;$DF13,$B13:$Y13)+SUMIF($AD$3:$BA$3,"&gt;="&amp;$DG13,$B13:$Y13)),
IF(AZ$3=$DF13+'Model Setup'!$F$7,SUMIF($AD$3:$BA$3,"="&amp;$DF13+'Model Setup'!$F$7,$B13:$Y13)+'Model Setup'!$F$8*(SUMIF($AD$3:$BA$3,"&lt;"&amp;$DF13,$B13:$Y13)+SUMIF($AD$3:$BA$3,"&gt;="&amp;$DG13,$B13:$Y13)),
IF(AZ$3=$DF13+'Model Setup'!$G$7,SUMIF($AD$3:$BA$3,"="&amp;$DF13+'Model Setup'!$G$7,$B13:$Y13)+'Model Setup'!$G$8*(SUMIF($AD$3:$BA$3,"&lt;"&amp;$DF13,$B13:$Y13)+SUMIF($AD$3:$BA$3,"&gt;="&amp;$DG13,$B13:$Y13)),
IF(AZ$3=$DF13+'Model Setup'!$H$7,SUMIF($AD$3:$BA$3,"="&amp;$DF13+'Model Setup'!$H$7,$B13:$Y13)+'Model Setup'!$H$8*(SUMIF($AD$3:$BA$3,"&lt;"&amp;$DF13,$B13:$Y13)+SUMIF($AD$3:$BA$3,"&gt;="&amp;$DG13,$B13:$Y13)),
IF(AZ$3=$DF13+'Model Setup'!$I$7,SUMIF($AD$3:$BA$3,"="&amp;$DF13+'Model Setup'!$I$7,$B13:$Y13)+'Model Setup'!$I$8*(SUMIF($AD$3:$BA$3,"&lt;"&amp;$DF13,$B13:$Y13)+SUMIF($AD$3:$BA$3,"&gt;="&amp;$DG13,$B13:$Y13)),
IF(AZ$3=$DF13+'Model Setup'!$J$7,SUMIF($AD$3:$BA$3,"="&amp;$DF13+'Model Setup'!$J$7,$B13:$Y13)+'Model Setup'!$J$8*(SUMIF($AD$3:$BA$3,"&lt;"&amp;$DF13,$B13:$Y13)+SUMIF($AD$3:$BA$3,"&gt;="&amp;$DG13,$B13:$Y13)),
IF(AZ$3=$DF13+'Model Setup'!$K$7,SUMIF($AD$3:$BA$3,"="&amp;$DF13+'Model Setup'!$K$7,$B13:$Y13)+'Model Setup'!$K$8*(SUMIF($AD$3:$BA$3,"&lt;"&amp;$DF13,$B13:$Y13)+SUMIF($AD$3:$BA$3,"&gt;="&amp;$DG13,$B13:$Y13)),
IF(AZ$3=$DF13+'Model Setup'!$L$7,SUMIF($AD$3:$BA$3,"="&amp;$DF13+'Model Setup'!$L$7,$B13:$Y13)+'Model Setup'!$L$8*(SUMIF($AD$3:$BA$3,"&lt;"&amp;$DF13,$B13:$Y13)+SUMIF($AD$3:$BA$3,"&gt;="&amp;$DG13,$B13:$Y13)),
IF(AZ$3=$DF13+'Model Setup'!$M$7,SUMIF($AD$3:$BA$3,"="&amp;$DF13+'Model Setup'!$M$7,$B13:$Y13)+'Model Setup'!$M$8*(SUMIF($AD$3:$BA$3,"&lt;"&amp;$DF13,$B13:$Y13)+SUMIF($AD$3:$BA$3,"&gt;="&amp;$DG13,$B13:$Y13)),
IF(AZ$3=$DF13+'Model Setup'!$N$7,SUMIF($AD$3:$BA$3,"="&amp;$DF13+'Model Setup'!$N$7,$B13:$Y13)+'Model Setup'!$N$8*(SUMIF($AD$3:$BA$3,"&lt;"&amp;$DF13,$B13:$Y13)+SUMIF($AD$3:$BA$3,"&gt;="&amp;$DG13,$B13:$Y13)),
IF(AZ$3&lt;$DG13,X13,0))))))))))))))),0)</f>
        <v>0</v>
      </c>
      <c r="BA13" s="47">
        <f>ROUND(IF(BA$3&lt;$DF13,0,
IF(BA$3=$DF13+'Model Setup'!$B$7,SUMIF($AD$3:$BA$3,"="&amp;$DF13+'Model Setup'!$B$7,$B13:$Y13)+'Model Setup'!$B$8*(SUMIF($AD$3:$BA$3,"&lt;"&amp;$DF13,$B13:$Y13)+SUMIF($AD$3:$BA$3,"&gt;="&amp;$DG13,$B13:$Y13)),
IF(BA$3=$DF13+'Model Setup'!$C$7,SUMIF($AD$3:$BA$3,"="&amp;$DF13+'Model Setup'!$C$7,$B13:$Y13)+'Model Setup'!$C$8*(SUMIF($AD$3:$BA$3,"&lt;"&amp;$DF13,$B13:$Y13)+SUMIF($AD$3:$BA$3,"&gt;="&amp;$DG13,$B13:$Y13)),
IF(BA$3=$DF13+'Model Setup'!$D$7,SUMIF($AD$3:$BA$3,"="&amp;$DF13+'Model Setup'!$D$7,$B13:$Y13)+'Model Setup'!$D$8*(SUMIF($AD$3:$BA$3,"&lt;"&amp;$DF13,$B13:$Y13)+SUMIF($AD$3:$BA$3,"&gt;="&amp;$DG13,$B13:$Y13)),
IF(BA$3=$DF13+'Model Setup'!$E$7,SUMIF($AD$3:$BA$3,"="&amp;$DF13+'Model Setup'!$E$7,$B13:$Y13)+'Model Setup'!$E$8*(SUMIF($AD$3:$BA$3,"&lt;"&amp;$DF13,$B13:$Y13)+SUMIF($AD$3:$BA$3,"&gt;="&amp;$DG13,$B13:$Y13)),
IF(BA$3=$DF13+'Model Setup'!$F$7,SUMIF($AD$3:$BA$3,"="&amp;$DF13+'Model Setup'!$F$7,$B13:$Y13)+'Model Setup'!$F$8*(SUMIF($AD$3:$BA$3,"&lt;"&amp;$DF13,$B13:$Y13)+SUMIF($AD$3:$BA$3,"&gt;="&amp;$DG13,$B13:$Y13)),
IF(BA$3=$DF13+'Model Setup'!$G$7,SUMIF($AD$3:$BA$3,"="&amp;$DF13+'Model Setup'!$G$7,$B13:$Y13)+'Model Setup'!$G$8*(SUMIF($AD$3:$BA$3,"&lt;"&amp;$DF13,$B13:$Y13)+SUMIF($AD$3:$BA$3,"&gt;="&amp;$DG13,$B13:$Y13)),
IF(BA$3=$DF13+'Model Setup'!$H$7,SUMIF($AD$3:$BA$3,"="&amp;$DF13+'Model Setup'!$H$7,$B13:$Y13)+'Model Setup'!$H$8*(SUMIF($AD$3:$BA$3,"&lt;"&amp;$DF13,$B13:$Y13)+SUMIF($AD$3:$BA$3,"&gt;="&amp;$DG13,$B13:$Y13)),
IF(BA$3=$DF13+'Model Setup'!$I$7,SUMIF($AD$3:$BA$3,"="&amp;$DF13+'Model Setup'!$I$7,$B13:$Y13)+'Model Setup'!$I$8*(SUMIF($AD$3:$BA$3,"&lt;"&amp;$DF13,$B13:$Y13)+SUMIF($AD$3:$BA$3,"&gt;="&amp;$DG13,$B13:$Y13)),
IF(BA$3=$DF13+'Model Setup'!$J$7,SUMIF($AD$3:$BA$3,"="&amp;$DF13+'Model Setup'!$J$7,$B13:$Y13)+'Model Setup'!$J$8*(SUMIF($AD$3:$BA$3,"&lt;"&amp;$DF13,$B13:$Y13)+SUMIF($AD$3:$BA$3,"&gt;="&amp;$DG13,$B13:$Y13)),
IF(BA$3=$DF13+'Model Setup'!$K$7,SUMIF($AD$3:$BA$3,"="&amp;$DF13+'Model Setup'!$K$7,$B13:$Y13)+'Model Setup'!$K$8*(SUMIF($AD$3:$BA$3,"&lt;"&amp;$DF13,$B13:$Y13)+SUMIF($AD$3:$BA$3,"&gt;="&amp;$DG13,$B13:$Y13)),
IF(BA$3=$DF13+'Model Setup'!$L$7,SUMIF($AD$3:$BA$3,"="&amp;$DF13+'Model Setup'!$L$7,$B13:$Y13)+'Model Setup'!$L$8*(SUMIF($AD$3:$BA$3,"&lt;"&amp;$DF13,$B13:$Y13)+SUMIF($AD$3:$BA$3,"&gt;="&amp;$DG13,$B13:$Y13)),
IF(BA$3=$DF13+'Model Setup'!$M$7,SUMIF($AD$3:$BA$3,"="&amp;$DF13+'Model Setup'!$M$7,$B13:$Y13)+'Model Setup'!$M$8*(SUMIF($AD$3:$BA$3,"&lt;"&amp;$DF13,$B13:$Y13)+SUMIF($AD$3:$BA$3,"&gt;="&amp;$DG13,$B13:$Y13)),
IF(BA$3=$DF13+'Model Setup'!$N$7,SUMIF($AD$3:$BA$3,"="&amp;$DF13+'Model Setup'!$N$7,$B13:$Y13)+'Model Setup'!$N$8*(SUMIF($AD$3:$BA$3,"&lt;"&amp;$DF13,$B13:$Y13)+SUMIF($AD$3:$BA$3,"&gt;="&amp;$DG13,$B13:$Y13)),
IF(BA$3&lt;$DG13,Y13,0))))))))))))))),0)</f>
        <v>0</v>
      </c>
      <c r="BB13" s="47">
        <f t="shared" si="1"/>
        <v>143</v>
      </c>
      <c r="BD13" t="b">
        <f t="shared" si="2"/>
        <v>0</v>
      </c>
      <c r="BE13">
        <f t="shared" si="8"/>
        <v>1</v>
      </c>
      <c r="BF13">
        <f>(FTC!F11-FTC!E11)*24</f>
        <v>13</v>
      </c>
      <c r="BG13" s="43" t="s">
        <v>28</v>
      </c>
      <c r="BH13" s="47">
        <f>ROUND(IF(OR(BH$3&lt;$DF13,BH$3&gt;$CW$4),0,
IF(BH$3=$DF13+'Model Setup'!$B$7,SUMIF($BH$3:$CE$3,"="&amp;$DF13+'Model Setup'!$B$7,$AD13:$BA13)+'Model Setup'!$B$8*(SUMIF($BH$3:$CE$3,"&lt;"&amp;$DF13,$AD13:$BA13)+SUMIF($BH$3:$CE$3,"&gt;"&amp;$CW$4,$AD13:$BA13)),
IF(BH$3=$DF13+'Model Setup'!$C$7,SUMIF($BH$3:$CE$3,"="&amp;$DF13+'Model Setup'!$C$7,$AD13:$BA13)+'Model Setup'!$C$8*(SUMIF($BH$3:$CE$3,"&lt;"&amp;$DF13,$AD13:$BA13)+SUMIF($BH$3:$CE$3,"&gt;"&amp;$CW$4,$AD13:$BA13)),
IF(BH$3=$DF13+'Model Setup'!$D$7,SUMIF($BH$3:$CE$3,"="&amp;$DF13+'Model Setup'!$D$7,$AD13:$BA13)+'Model Setup'!$D$8*(SUMIF($BH$3:$CE$3,"&lt;"&amp;$DF13,$AD13:$BA13)+SUMIF($BH$3:$CE$3,"&gt;"&amp;$CW$4,$AD13:$BA13)),
IF(BH$3=$DF13+'Model Setup'!$E$7,SUMIF($BH$3:$CE$3,"="&amp;$DF13+'Model Setup'!$E$7,$AD13:$BA13)+'Model Setup'!$E$8*(SUMIF($BH$3:$CE$3,"&lt;"&amp;$DF13,$AD13:$BA13)+SUMIF($BH$3:$CE$3,"&gt;"&amp;$CW$4,$AD13:$BA13)),
IF(BH$3=$DF13+'Model Setup'!$F$7,SUMIF($BH$3:$CE$3,"="&amp;$DF13+'Model Setup'!$F$7,$AD13:$BA13)+'Model Setup'!$F$8*(SUMIF($BH$3:$CE$3,"&lt;"&amp;$DF13,$AD13:$BA13)+SUMIF($BH$3:$CE$3,"&gt;"&amp;$CW$4,$AD13:$BA13)),
IF(BH$3=$DF13+'Model Setup'!$G$7,SUMIF($BH$3:$CE$3,"="&amp;$DF13+'Model Setup'!$G$7,$AD13:$BA13)+'Model Setup'!$G$8*(SUMIF($BH$3:$CE$3,"&lt;"&amp;$DF13,$AD13:$BA13)+SUMIF($BH$3:$CE$3,"&gt;"&amp;$CW$4,$AD13:$BA13)),
IF(BH$3=$DF13+'Model Setup'!$H$7,SUMIF($BH$3:$CE$3,"="&amp;$DF13+'Model Setup'!$H$7,$AD13:$BA13)+'Model Setup'!$H$8*(SUMIF($BH$3:$CE$3,"&lt;"&amp;$DF13,$AD13:$BA13)+SUMIF($BH$3:$CE$3,"&gt;"&amp;$CW$4,$AD13:$BA13)),
IF(BH$3=$DF13+'Model Setup'!$I$7,SUMIF($BH$3:$CE$3,"="&amp;$DF13+'Model Setup'!$I$7,$AD13:$BA13)+'Model Setup'!$I$8*(SUMIF($BH$3:$CE$3,"&lt;"&amp;$DF13,$AD13:$BA13)+SUMIF($BH$3:$CE$3,"&gt;"&amp;$CW$4,$AD13:$BA13)),
IF(BH$3=$DF13+'Model Setup'!$J$7,SUMIF($BH$3:$CE$3,"="&amp;$DF13+'Model Setup'!$J$7,$AD13:$BA13)+'Model Setup'!$J$8*(SUMIF($BH$3:$CE$3,"&lt;"&amp;$DF13,$AD13:$BA13)+SUMIF($BH$3:$CE$3,"&gt;"&amp;$CW$4,$AD13:$BA13)),
IF(BH$3=$DF13+'Model Setup'!$K$7,SUMIF($BH$3:$CE$3,"="&amp;$DF13+'Model Setup'!$K$7,$AD13:$BA13)+'Model Setup'!$K$8*(SUMIF($BH$3:$CE$3,"&lt;"&amp;$DF13,$AD13:$BA13)+SUMIF($BH$3:$CE$3,"&gt;"&amp;$CW$4,$AD13:$BA13)),
IF(BH$3=$DF13+'Model Setup'!$L$7,SUMIF($BH$3:$CE$3,"="&amp;$DF13+'Model Setup'!$L$7,$AD13:$BA13)+'Model Setup'!$L$8*(SUMIF($BH$3:$CE$3,"&lt;"&amp;$DF13,$AD13:$BA13)+SUMIF($BH$3:$CE$3,"&gt;"&amp;$CW$4,$AD13:$BA13)),
IF(BH$3=$DF13+'Model Setup'!$M$7,SUMIF($BH$3:$CE$3,"="&amp;$DF13+'Model Setup'!$M$7,$AD13:$BA13)+'Model Setup'!$M$8*(SUMIF($BH$3:$CE$3,"&lt;"&amp;$DF13,$AD13:$BA13)+SUMIF($BH$3:$CE$3,"&gt;"&amp;$CW$4,$AD13:$BA13)),
IF(BH$3=$DF13+'Model Setup'!$N$7,SUMIF($BH$3:$CE$3,"="&amp;$DF13+'Model Setup'!$N$7,$AD13:$BA13)+'Model Setup'!$N$8*(SUMIF($BH$3:$CE$3,"&lt;"&amp;$DF13,$AD13:$BA13)+SUMIF($BH$3:$CE$3,"&gt;"&amp;$CW$4,$AD13:$BA13)),
IF(BH$3&lt;$CW$4,B13,0))))))))))))))),0)</f>
        <v>0</v>
      </c>
      <c r="BI13" s="47">
        <f>ROUND(IF(OR(BI$3&lt;$DF13,BI$3&gt;$CW$4),0,
IF(BI$3=$DF13+'Model Setup'!$B$7,SUMIF($BH$3:$CE$3,"="&amp;$DF13+'Model Setup'!$B$7,$AD13:$BA13)+'Model Setup'!$B$8*(SUMIF($BH$3:$CE$3,"&lt;"&amp;$DF13,$AD13:$BA13)+SUMIF($BH$3:$CE$3,"&gt;"&amp;$CW$4,$AD13:$BA13)),
IF(BI$3=$DF13+'Model Setup'!$C$7,SUMIF($BH$3:$CE$3,"="&amp;$DF13+'Model Setup'!$C$7,$AD13:$BA13)+'Model Setup'!$C$8*(SUMIF($BH$3:$CE$3,"&lt;"&amp;$DF13,$AD13:$BA13)+SUMIF($BH$3:$CE$3,"&gt;"&amp;$CW$4,$AD13:$BA13)),
IF(BI$3=$DF13+'Model Setup'!$D$7,SUMIF($BH$3:$CE$3,"="&amp;$DF13+'Model Setup'!$D$7,$AD13:$BA13)+'Model Setup'!$D$8*(SUMIF($BH$3:$CE$3,"&lt;"&amp;$DF13,$AD13:$BA13)+SUMIF($BH$3:$CE$3,"&gt;"&amp;$CW$4,$AD13:$BA13)),
IF(BI$3=$DF13+'Model Setup'!$E$7,SUMIF($BH$3:$CE$3,"="&amp;$DF13+'Model Setup'!$E$7,$AD13:$BA13)+'Model Setup'!$E$8*(SUMIF($BH$3:$CE$3,"&lt;"&amp;$DF13,$AD13:$BA13)+SUMIF($BH$3:$CE$3,"&gt;"&amp;$CW$4,$AD13:$BA13)),
IF(BI$3=$DF13+'Model Setup'!$F$7,SUMIF($BH$3:$CE$3,"="&amp;$DF13+'Model Setup'!$F$7,$AD13:$BA13)+'Model Setup'!$F$8*(SUMIF($BH$3:$CE$3,"&lt;"&amp;$DF13,$AD13:$BA13)+SUMIF($BH$3:$CE$3,"&gt;"&amp;$CW$4,$AD13:$BA13)),
IF(BI$3=$DF13+'Model Setup'!$G$7,SUMIF($BH$3:$CE$3,"="&amp;$DF13+'Model Setup'!$G$7,$AD13:$BA13)+'Model Setup'!$G$8*(SUMIF($BH$3:$CE$3,"&lt;"&amp;$DF13,$AD13:$BA13)+SUMIF($BH$3:$CE$3,"&gt;"&amp;$CW$4,$AD13:$BA13)),
IF(BI$3=$DF13+'Model Setup'!$H$7,SUMIF($BH$3:$CE$3,"="&amp;$DF13+'Model Setup'!$H$7,$AD13:$BA13)+'Model Setup'!$H$8*(SUMIF($BH$3:$CE$3,"&lt;"&amp;$DF13,$AD13:$BA13)+SUMIF($BH$3:$CE$3,"&gt;"&amp;$CW$4,$AD13:$BA13)),
IF(BI$3=$DF13+'Model Setup'!$I$7,SUMIF($BH$3:$CE$3,"="&amp;$DF13+'Model Setup'!$I$7,$AD13:$BA13)+'Model Setup'!$I$8*(SUMIF($BH$3:$CE$3,"&lt;"&amp;$DF13,$AD13:$BA13)+SUMIF($BH$3:$CE$3,"&gt;"&amp;$CW$4,$AD13:$BA13)),
IF(BI$3=$DF13+'Model Setup'!$J$7,SUMIF($BH$3:$CE$3,"="&amp;$DF13+'Model Setup'!$J$7,$AD13:$BA13)+'Model Setup'!$J$8*(SUMIF($BH$3:$CE$3,"&lt;"&amp;$DF13,$AD13:$BA13)+SUMIF($BH$3:$CE$3,"&gt;"&amp;$CW$4,$AD13:$BA13)),
IF(BI$3=$DF13+'Model Setup'!$K$7,SUMIF($BH$3:$CE$3,"="&amp;$DF13+'Model Setup'!$K$7,$AD13:$BA13)+'Model Setup'!$K$8*(SUMIF($BH$3:$CE$3,"&lt;"&amp;$DF13,$AD13:$BA13)+SUMIF($BH$3:$CE$3,"&gt;"&amp;$CW$4,$AD13:$BA13)),
IF(BI$3=$DF13+'Model Setup'!$L$7,SUMIF($BH$3:$CE$3,"="&amp;$DF13+'Model Setup'!$L$7,$AD13:$BA13)+'Model Setup'!$L$8*(SUMIF($BH$3:$CE$3,"&lt;"&amp;$DF13,$AD13:$BA13)+SUMIF($BH$3:$CE$3,"&gt;"&amp;$CW$4,$AD13:$BA13)),
IF(BI$3=$DF13+'Model Setup'!$M$7,SUMIF($BH$3:$CE$3,"="&amp;$DF13+'Model Setup'!$M$7,$AD13:$BA13)+'Model Setup'!$M$8*(SUMIF($BH$3:$CE$3,"&lt;"&amp;$DF13,$AD13:$BA13)+SUMIF($BH$3:$CE$3,"&gt;"&amp;$CW$4,$AD13:$BA13)),
IF(BI$3=$DF13+'Model Setup'!$N$7,SUMIF($BH$3:$CE$3,"="&amp;$DF13+'Model Setup'!$N$7,$AD13:$BA13)+'Model Setup'!$N$8*(SUMIF($BH$3:$CE$3,"&lt;"&amp;$DF13,$AD13:$BA13)+SUMIF($BH$3:$CE$3,"&gt;"&amp;$CW$4,$AD13:$BA13)),
IF(BI$3&lt;$CW$4,C13,0))))))))))))))),0)</f>
        <v>0</v>
      </c>
      <c r="BJ13" s="47">
        <f>ROUND(IF(OR(BJ$3&lt;$DF13,BJ$3&gt;$CW$4),0,
IF(BJ$3=$DF13+'Model Setup'!$B$7,SUMIF($BH$3:$CE$3,"="&amp;$DF13+'Model Setup'!$B$7,$AD13:$BA13)+'Model Setup'!$B$8*(SUMIF($BH$3:$CE$3,"&lt;"&amp;$DF13,$AD13:$BA13)+SUMIF($BH$3:$CE$3,"&gt;"&amp;$CW$4,$AD13:$BA13)),
IF(BJ$3=$DF13+'Model Setup'!$C$7,SUMIF($BH$3:$CE$3,"="&amp;$DF13+'Model Setup'!$C$7,$AD13:$BA13)+'Model Setup'!$C$8*(SUMIF($BH$3:$CE$3,"&lt;"&amp;$DF13,$AD13:$BA13)+SUMIF($BH$3:$CE$3,"&gt;"&amp;$CW$4,$AD13:$BA13)),
IF(BJ$3=$DF13+'Model Setup'!$D$7,SUMIF($BH$3:$CE$3,"="&amp;$DF13+'Model Setup'!$D$7,$AD13:$BA13)+'Model Setup'!$D$8*(SUMIF($BH$3:$CE$3,"&lt;"&amp;$DF13,$AD13:$BA13)+SUMIF($BH$3:$CE$3,"&gt;"&amp;$CW$4,$AD13:$BA13)),
IF(BJ$3=$DF13+'Model Setup'!$E$7,SUMIF($BH$3:$CE$3,"="&amp;$DF13+'Model Setup'!$E$7,$AD13:$BA13)+'Model Setup'!$E$8*(SUMIF($BH$3:$CE$3,"&lt;"&amp;$DF13,$AD13:$BA13)+SUMIF($BH$3:$CE$3,"&gt;"&amp;$CW$4,$AD13:$BA13)),
IF(BJ$3=$DF13+'Model Setup'!$F$7,SUMIF($BH$3:$CE$3,"="&amp;$DF13+'Model Setup'!$F$7,$AD13:$BA13)+'Model Setup'!$F$8*(SUMIF($BH$3:$CE$3,"&lt;"&amp;$DF13,$AD13:$BA13)+SUMIF($BH$3:$CE$3,"&gt;"&amp;$CW$4,$AD13:$BA13)),
IF(BJ$3=$DF13+'Model Setup'!$G$7,SUMIF($BH$3:$CE$3,"="&amp;$DF13+'Model Setup'!$G$7,$AD13:$BA13)+'Model Setup'!$G$8*(SUMIF($BH$3:$CE$3,"&lt;"&amp;$DF13,$AD13:$BA13)+SUMIF($BH$3:$CE$3,"&gt;"&amp;$CW$4,$AD13:$BA13)),
IF(BJ$3=$DF13+'Model Setup'!$H$7,SUMIF($BH$3:$CE$3,"="&amp;$DF13+'Model Setup'!$H$7,$AD13:$BA13)+'Model Setup'!$H$8*(SUMIF($BH$3:$CE$3,"&lt;"&amp;$DF13,$AD13:$BA13)+SUMIF($BH$3:$CE$3,"&gt;"&amp;$CW$4,$AD13:$BA13)),
IF(BJ$3=$DF13+'Model Setup'!$I$7,SUMIF($BH$3:$CE$3,"="&amp;$DF13+'Model Setup'!$I$7,$AD13:$BA13)+'Model Setup'!$I$8*(SUMIF($BH$3:$CE$3,"&lt;"&amp;$DF13,$AD13:$BA13)+SUMIF($BH$3:$CE$3,"&gt;"&amp;$CW$4,$AD13:$BA13)),
IF(BJ$3=$DF13+'Model Setup'!$J$7,SUMIF($BH$3:$CE$3,"="&amp;$DF13+'Model Setup'!$J$7,$AD13:$BA13)+'Model Setup'!$J$8*(SUMIF($BH$3:$CE$3,"&lt;"&amp;$DF13,$AD13:$BA13)+SUMIF($BH$3:$CE$3,"&gt;"&amp;$CW$4,$AD13:$BA13)),
IF(BJ$3=$DF13+'Model Setup'!$K$7,SUMIF($BH$3:$CE$3,"="&amp;$DF13+'Model Setup'!$K$7,$AD13:$BA13)+'Model Setup'!$K$8*(SUMIF($BH$3:$CE$3,"&lt;"&amp;$DF13,$AD13:$BA13)+SUMIF($BH$3:$CE$3,"&gt;"&amp;$CW$4,$AD13:$BA13)),
IF(BJ$3=$DF13+'Model Setup'!$L$7,SUMIF($BH$3:$CE$3,"="&amp;$DF13+'Model Setup'!$L$7,$AD13:$BA13)+'Model Setup'!$L$8*(SUMIF($BH$3:$CE$3,"&lt;"&amp;$DF13,$AD13:$BA13)+SUMIF($BH$3:$CE$3,"&gt;"&amp;$CW$4,$AD13:$BA13)),
IF(BJ$3=$DF13+'Model Setup'!$M$7,SUMIF($BH$3:$CE$3,"="&amp;$DF13+'Model Setup'!$M$7,$AD13:$BA13)+'Model Setup'!$M$8*(SUMIF($BH$3:$CE$3,"&lt;"&amp;$DF13,$AD13:$BA13)+SUMIF($BH$3:$CE$3,"&gt;"&amp;$CW$4,$AD13:$BA13)),
IF(BJ$3=$DF13+'Model Setup'!$N$7,SUMIF($BH$3:$CE$3,"="&amp;$DF13+'Model Setup'!$N$7,$AD13:$BA13)+'Model Setup'!$N$8*(SUMIF($BH$3:$CE$3,"&lt;"&amp;$DF13,$AD13:$BA13)+SUMIF($BH$3:$CE$3,"&gt;"&amp;$CW$4,$AD13:$BA13)),
IF(BJ$3&lt;$CW$4,D13,0))))))))))))))),0)</f>
        <v>0</v>
      </c>
      <c r="BK13" s="47">
        <f>ROUND(IF(OR(BK$3&lt;$DF13,BK$3&gt;$CW$4),0,
IF(BK$3=$DF13+'Model Setup'!$B$7,SUMIF($BH$3:$CE$3,"="&amp;$DF13+'Model Setup'!$B$7,$AD13:$BA13)+'Model Setup'!$B$8*(SUMIF($BH$3:$CE$3,"&lt;"&amp;$DF13,$AD13:$BA13)+SUMIF($BH$3:$CE$3,"&gt;"&amp;$CW$4,$AD13:$BA13)),
IF(BK$3=$DF13+'Model Setup'!$C$7,SUMIF($BH$3:$CE$3,"="&amp;$DF13+'Model Setup'!$C$7,$AD13:$BA13)+'Model Setup'!$C$8*(SUMIF($BH$3:$CE$3,"&lt;"&amp;$DF13,$AD13:$BA13)+SUMIF($BH$3:$CE$3,"&gt;"&amp;$CW$4,$AD13:$BA13)),
IF(BK$3=$DF13+'Model Setup'!$D$7,SUMIF($BH$3:$CE$3,"="&amp;$DF13+'Model Setup'!$D$7,$AD13:$BA13)+'Model Setup'!$D$8*(SUMIF($BH$3:$CE$3,"&lt;"&amp;$DF13,$AD13:$BA13)+SUMIF($BH$3:$CE$3,"&gt;"&amp;$CW$4,$AD13:$BA13)),
IF(BK$3=$DF13+'Model Setup'!$E$7,SUMIF($BH$3:$CE$3,"="&amp;$DF13+'Model Setup'!$E$7,$AD13:$BA13)+'Model Setup'!$E$8*(SUMIF($BH$3:$CE$3,"&lt;"&amp;$DF13,$AD13:$BA13)+SUMIF($BH$3:$CE$3,"&gt;"&amp;$CW$4,$AD13:$BA13)),
IF(BK$3=$DF13+'Model Setup'!$F$7,SUMIF($BH$3:$CE$3,"="&amp;$DF13+'Model Setup'!$F$7,$AD13:$BA13)+'Model Setup'!$F$8*(SUMIF($BH$3:$CE$3,"&lt;"&amp;$DF13,$AD13:$BA13)+SUMIF($BH$3:$CE$3,"&gt;"&amp;$CW$4,$AD13:$BA13)),
IF(BK$3=$DF13+'Model Setup'!$G$7,SUMIF($BH$3:$CE$3,"="&amp;$DF13+'Model Setup'!$G$7,$AD13:$BA13)+'Model Setup'!$G$8*(SUMIF($BH$3:$CE$3,"&lt;"&amp;$DF13,$AD13:$BA13)+SUMIF($BH$3:$CE$3,"&gt;"&amp;$CW$4,$AD13:$BA13)),
IF(BK$3=$DF13+'Model Setup'!$H$7,SUMIF($BH$3:$CE$3,"="&amp;$DF13+'Model Setup'!$H$7,$AD13:$BA13)+'Model Setup'!$H$8*(SUMIF($BH$3:$CE$3,"&lt;"&amp;$DF13,$AD13:$BA13)+SUMIF($BH$3:$CE$3,"&gt;"&amp;$CW$4,$AD13:$BA13)),
IF(BK$3=$DF13+'Model Setup'!$I$7,SUMIF($BH$3:$CE$3,"="&amp;$DF13+'Model Setup'!$I$7,$AD13:$BA13)+'Model Setup'!$I$8*(SUMIF($BH$3:$CE$3,"&lt;"&amp;$DF13,$AD13:$BA13)+SUMIF($BH$3:$CE$3,"&gt;"&amp;$CW$4,$AD13:$BA13)),
IF(BK$3=$DF13+'Model Setup'!$J$7,SUMIF($BH$3:$CE$3,"="&amp;$DF13+'Model Setup'!$J$7,$AD13:$BA13)+'Model Setup'!$J$8*(SUMIF($BH$3:$CE$3,"&lt;"&amp;$DF13,$AD13:$BA13)+SUMIF($BH$3:$CE$3,"&gt;"&amp;$CW$4,$AD13:$BA13)),
IF(BK$3=$DF13+'Model Setup'!$K$7,SUMIF($BH$3:$CE$3,"="&amp;$DF13+'Model Setup'!$K$7,$AD13:$BA13)+'Model Setup'!$K$8*(SUMIF($BH$3:$CE$3,"&lt;"&amp;$DF13,$AD13:$BA13)+SUMIF($BH$3:$CE$3,"&gt;"&amp;$CW$4,$AD13:$BA13)),
IF(BK$3=$DF13+'Model Setup'!$L$7,SUMIF($BH$3:$CE$3,"="&amp;$DF13+'Model Setup'!$L$7,$AD13:$BA13)+'Model Setup'!$L$8*(SUMIF($BH$3:$CE$3,"&lt;"&amp;$DF13,$AD13:$BA13)+SUMIF($BH$3:$CE$3,"&gt;"&amp;$CW$4,$AD13:$BA13)),
IF(BK$3=$DF13+'Model Setup'!$M$7,SUMIF($BH$3:$CE$3,"="&amp;$DF13+'Model Setup'!$M$7,$AD13:$BA13)+'Model Setup'!$M$8*(SUMIF($BH$3:$CE$3,"&lt;"&amp;$DF13,$AD13:$BA13)+SUMIF($BH$3:$CE$3,"&gt;"&amp;$CW$4,$AD13:$BA13)),
IF(BK$3=$DF13+'Model Setup'!$N$7,SUMIF($BH$3:$CE$3,"="&amp;$DF13+'Model Setup'!$N$7,$AD13:$BA13)+'Model Setup'!$N$8*(SUMIF($BH$3:$CE$3,"&lt;"&amp;$DF13,$AD13:$BA13)+SUMIF($BH$3:$CE$3,"&gt;"&amp;$CW$4,$AD13:$BA13)),
IF(BK$3&lt;$CW$4,E13,0))))))))))))))),0)</f>
        <v>0</v>
      </c>
      <c r="BL13" s="47">
        <f>ROUND(IF(OR(BL$3&lt;$DF13,BL$3&gt;$CW$4),0,
IF(BL$3=$DF13+'Model Setup'!$B$7,SUMIF($BH$3:$CE$3,"="&amp;$DF13+'Model Setup'!$B$7,$AD13:$BA13)+'Model Setup'!$B$8*(SUMIF($BH$3:$CE$3,"&lt;"&amp;$DF13,$AD13:$BA13)+SUMIF($BH$3:$CE$3,"&gt;"&amp;$CW$4,$AD13:$BA13)),
IF(BL$3=$DF13+'Model Setup'!$C$7,SUMIF($BH$3:$CE$3,"="&amp;$DF13+'Model Setup'!$C$7,$AD13:$BA13)+'Model Setup'!$C$8*(SUMIF($BH$3:$CE$3,"&lt;"&amp;$DF13,$AD13:$BA13)+SUMIF($BH$3:$CE$3,"&gt;"&amp;$CW$4,$AD13:$BA13)),
IF(BL$3=$DF13+'Model Setup'!$D$7,SUMIF($BH$3:$CE$3,"="&amp;$DF13+'Model Setup'!$D$7,$AD13:$BA13)+'Model Setup'!$D$8*(SUMIF($BH$3:$CE$3,"&lt;"&amp;$DF13,$AD13:$BA13)+SUMIF($BH$3:$CE$3,"&gt;"&amp;$CW$4,$AD13:$BA13)),
IF(BL$3=$DF13+'Model Setup'!$E$7,SUMIF($BH$3:$CE$3,"="&amp;$DF13+'Model Setup'!$E$7,$AD13:$BA13)+'Model Setup'!$E$8*(SUMIF($BH$3:$CE$3,"&lt;"&amp;$DF13,$AD13:$BA13)+SUMIF($BH$3:$CE$3,"&gt;"&amp;$CW$4,$AD13:$BA13)),
IF(BL$3=$DF13+'Model Setup'!$F$7,SUMIF($BH$3:$CE$3,"="&amp;$DF13+'Model Setup'!$F$7,$AD13:$BA13)+'Model Setup'!$F$8*(SUMIF($BH$3:$CE$3,"&lt;"&amp;$DF13,$AD13:$BA13)+SUMIF($BH$3:$CE$3,"&gt;"&amp;$CW$4,$AD13:$BA13)),
IF(BL$3=$DF13+'Model Setup'!$G$7,SUMIF($BH$3:$CE$3,"="&amp;$DF13+'Model Setup'!$G$7,$AD13:$BA13)+'Model Setup'!$G$8*(SUMIF($BH$3:$CE$3,"&lt;"&amp;$DF13,$AD13:$BA13)+SUMIF($BH$3:$CE$3,"&gt;"&amp;$CW$4,$AD13:$BA13)),
IF(BL$3=$DF13+'Model Setup'!$H$7,SUMIF($BH$3:$CE$3,"="&amp;$DF13+'Model Setup'!$H$7,$AD13:$BA13)+'Model Setup'!$H$8*(SUMIF($BH$3:$CE$3,"&lt;"&amp;$DF13,$AD13:$BA13)+SUMIF($BH$3:$CE$3,"&gt;"&amp;$CW$4,$AD13:$BA13)),
IF(BL$3=$DF13+'Model Setup'!$I$7,SUMIF($BH$3:$CE$3,"="&amp;$DF13+'Model Setup'!$I$7,$AD13:$BA13)+'Model Setup'!$I$8*(SUMIF($BH$3:$CE$3,"&lt;"&amp;$DF13,$AD13:$BA13)+SUMIF($BH$3:$CE$3,"&gt;"&amp;$CW$4,$AD13:$BA13)),
IF(BL$3=$DF13+'Model Setup'!$J$7,SUMIF($BH$3:$CE$3,"="&amp;$DF13+'Model Setup'!$J$7,$AD13:$BA13)+'Model Setup'!$J$8*(SUMIF($BH$3:$CE$3,"&lt;"&amp;$DF13,$AD13:$BA13)+SUMIF($BH$3:$CE$3,"&gt;"&amp;$CW$4,$AD13:$BA13)),
IF(BL$3=$DF13+'Model Setup'!$K$7,SUMIF($BH$3:$CE$3,"="&amp;$DF13+'Model Setup'!$K$7,$AD13:$BA13)+'Model Setup'!$K$8*(SUMIF($BH$3:$CE$3,"&lt;"&amp;$DF13,$AD13:$BA13)+SUMIF($BH$3:$CE$3,"&gt;"&amp;$CW$4,$AD13:$BA13)),
IF(BL$3=$DF13+'Model Setup'!$L$7,SUMIF($BH$3:$CE$3,"="&amp;$DF13+'Model Setup'!$L$7,$AD13:$BA13)+'Model Setup'!$L$8*(SUMIF($BH$3:$CE$3,"&lt;"&amp;$DF13,$AD13:$BA13)+SUMIF($BH$3:$CE$3,"&gt;"&amp;$CW$4,$AD13:$BA13)),
IF(BL$3=$DF13+'Model Setup'!$M$7,SUMIF($BH$3:$CE$3,"="&amp;$DF13+'Model Setup'!$M$7,$AD13:$BA13)+'Model Setup'!$M$8*(SUMIF($BH$3:$CE$3,"&lt;"&amp;$DF13,$AD13:$BA13)+SUMIF($BH$3:$CE$3,"&gt;"&amp;$CW$4,$AD13:$BA13)),
IF(BL$3=$DF13+'Model Setup'!$N$7,SUMIF($BH$3:$CE$3,"="&amp;$DF13+'Model Setup'!$N$7,$AD13:$BA13)+'Model Setup'!$N$8*(SUMIF($BH$3:$CE$3,"&lt;"&amp;$DF13,$AD13:$BA13)+SUMIF($BH$3:$CE$3,"&gt;"&amp;$CW$4,$AD13:$BA13)),
IF(BL$3&lt;$CW$4,F13,0))))))))))))))),0)</f>
        <v>0</v>
      </c>
      <c r="BM13" s="47">
        <f>ROUND(IF(OR(BM$3&lt;$DF13,BM$3&gt;$CW$4),0,
IF(BM$3=$DF13+'Model Setup'!$B$7,SUMIF($BH$3:$CE$3,"="&amp;$DF13+'Model Setup'!$B$7,$AD13:$BA13)+'Model Setup'!$B$8*(SUMIF($BH$3:$CE$3,"&lt;"&amp;$DF13,$AD13:$BA13)+SUMIF($BH$3:$CE$3,"&gt;"&amp;$CW$4,$AD13:$BA13)),
IF(BM$3=$DF13+'Model Setup'!$C$7,SUMIF($BH$3:$CE$3,"="&amp;$DF13+'Model Setup'!$C$7,$AD13:$BA13)+'Model Setup'!$C$8*(SUMIF($BH$3:$CE$3,"&lt;"&amp;$DF13,$AD13:$BA13)+SUMIF($BH$3:$CE$3,"&gt;"&amp;$CW$4,$AD13:$BA13)),
IF(BM$3=$DF13+'Model Setup'!$D$7,SUMIF($BH$3:$CE$3,"="&amp;$DF13+'Model Setup'!$D$7,$AD13:$BA13)+'Model Setup'!$D$8*(SUMIF($BH$3:$CE$3,"&lt;"&amp;$DF13,$AD13:$BA13)+SUMIF($BH$3:$CE$3,"&gt;"&amp;$CW$4,$AD13:$BA13)),
IF(BM$3=$DF13+'Model Setup'!$E$7,SUMIF($BH$3:$CE$3,"="&amp;$DF13+'Model Setup'!$E$7,$AD13:$BA13)+'Model Setup'!$E$8*(SUMIF($BH$3:$CE$3,"&lt;"&amp;$DF13,$AD13:$BA13)+SUMIF($BH$3:$CE$3,"&gt;"&amp;$CW$4,$AD13:$BA13)),
IF(BM$3=$DF13+'Model Setup'!$F$7,SUMIF($BH$3:$CE$3,"="&amp;$DF13+'Model Setup'!$F$7,$AD13:$BA13)+'Model Setup'!$F$8*(SUMIF($BH$3:$CE$3,"&lt;"&amp;$DF13,$AD13:$BA13)+SUMIF($BH$3:$CE$3,"&gt;"&amp;$CW$4,$AD13:$BA13)),
IF(BM$3=$DF13+'Model Setup'!$G$7,SUMIF($BH$3:$CE$3,"="&amp;$DF13+'Model Setup'!$G$7,$AD13:$BA13)+'Model Setup'!$G$8*(SUMIF($BH$3:$CE$3,"&lt;"&amp;$DF13,$AD13:$BA13)+SUMIF($BH$3:$CE$3,"&gt;"&amp;$CW$4,$AD13:$BA13)),
IF(BM$3=$DF13+'Model Setup'!$H$7,SUMIF($BH$3:$CE$3,"="&amp;$DF13+'Model Setup'!$H$7,$AD13:$BA13)+'Model Setup'!$H$8*(SUMIF($BH$3:$CE$3,"&lt;"&amp;$DF13,$AD13:$BA13)+SUMIF($BH$3:$CE$3,"&gt;"&amp;$CW$4,$AD13:$BA13)),
IF(BM$3=$DF13+'Model Setup'!$I$7,SUMIF($BH$3:$CE$3,"="&amp;$DF13+'Model Setup'!$I$7,$AD13:$BA13)+'Model Setup'!$I$8*(SUMIF($BH$3:$CE$3,"&lt;"&amp;$DF13,$AD13:$BA13)+SUMIF($BH$3:$CE$3,"&gt;"&amp;$CW$4,$AD13:$BA13)),
IF(BM$3=$DF13+'Model Setup'!$J$7,SUMIF($BH$3:$CE$3,"="&amp;$DF13+'Model Setup'!$J$7,$AD13:$BA13)+'Model Setup'!$J$8*(SUMIF($BH$3:$CE$3,"&lt;"&amp;$DF13,$AD13:$BA13)+SUMIF($BH$3:$CE$3,"&gt;"&amp;$CW$4,$AD13:$BA13)),
IF(BM$3=$DF13+'Model Setup'!$K$7,SUMIF($BH$3:$CE$3,"="&amp;$DF13+'Model Setup'!$K$7,$AD13:$BA13)+'Model Setup'!$K$8*(SUMIF($BH$3:$CE$3,"&lt;"&amp;$DF13,$AD13:$BA13)+SUMIF($BH$3:$CE$3,"&gt;"&amp;$CW$4,$AD13:$BA13)),
IF(BM$3=$DF13+'Model Setup'!$L$7,SUMIF($BH$3:$CE$3,"="&amp;$DF13+'Model Setup'!$L$7,$AD13:$BA13)+'Model Setup'!$L$8*(SUMIF($BH$3:$CE$3,"&lt;"&amp;$DF13,$AD13:$BA13)+SUMIF($BH$3:$CE$3,"&gt;"&amp;$CW$4,$AD13:$BA13)),
IF(BM$3=$DF13+'Model Setup'!$M$7,SUMIF($BH$3:$CE$3,"="&amp;$DF13+'Model Setup'!$M$7,$AD13:$BA13)+'Model Setup'!$M$8*(SUMIF($BH$3:$CE$3,"&lt;"&amp;$DF13,$AD13:$BA13)+SUMIF($BH$3:$CE$3,"&gt;"&amp;$CW$4,$AD13:$BA13)),
IF(BM$3=$DF13+'Model Setup'!$N$7,SUMIF($BH$3:$CE$3,"="&amp;$DF13+'Model Setup'!$N$7,$AD13:$BA13)+'Model Setup'!$N$8*(SUMIF($BH$3:$CE$3,"&lt;"&amp;$DF13,$AD13:$BA13)+SUMIF($BH$3:$CE$3,"&gt;"&amp;$CW$4,$AD13:$BA13)),
IF(BM$3&lt;$CW$4,G13,0))))))))))))))),0)</f>
        <v>8</v>
      </c>
      <c r="BN13" s="47">
        <f>ROUND(IF(OR(BN$3&lt;$DF13,BN$3&gt;$CW$4),0,
IF(BN$3=$DF13+'Model Setup'!$B$7,SUMIF($BH$3:$CE$3,"="&amp;$DF13+'Model Setup'!$B$7,$AD13:$BA13)+'Model Setup'!$B$8*(SUMIF($BH$3:$CE$3,"&lt;"&amp;$DF13,$AD13:$BA13)+SUMIF($BH$3:$CE$3,"&gt;"&amp;$CW$4,$AD13:$BA13)),
IF(BN$3=$DF13+'Model Setup'!$C$7,SUMIF($BH$3:$CE$3,"="&amp;$DF13+'Model Setup'!$C$7,$AD13:$BA13)+'Model Setup'!$C$8*(SUMIF($BH$3:$CE$3,"&lt;"&amp;$DF13,$AD13:$BA13)+SUMIF($BH$3:$CE$3,"&gt;"&amp;$CW$4,$AD13:$BA13)),
IF(BN$3=$DF13+'Model Setup'!$D$7,SUMIF($BH$3:$CE$3,"="&amp;$DF13+'Model Setup'!$D$7,$AD13:$BA13)+'Model Setup'!$D$8*(SUMIF($BH$3:$CE$3,"&lt;"&amp;$DF13,$AD13:$BA13)+SUMIF($BH$3:$CE$3,"&gt;"&amp;$CW$4,$AD13:$BA13)),
IF(BN$3=$DF13+'Model Setup'!$E$7,SUMIF($BH$3:$CE$3,"="&amp;$DF13+'Model Setup'!$E$7,$AD13:$BA13)+'Model Setup'!$E$8*(SUMIF($BH$3:$CE$3,"&lt;"&amp;$DF13,$AD13:$BA13)+SUMIF($BH$3:$CE$3,"&gt;"&amp;$CW$4,$AD13:$BA13)),
IF(BN$3=$DF13+'Model Setup'!$F$7,SUMIF($BH$3:$CE$3,"="&amp;$DF13+'Model Setup'!$F$7,$AD13:$BA13)+'Model Setup'!$F$8*(SUMIF($BH$3:$CE$3,"&lt;"&amp;$DF13,$AD13:$BA13)+SUMIF($BH$3:$CE$3,"&gt;"&amp;$CW$4,$AD13:$BA13)),
IF(BN$3=$DF13+'Model Setup'!$G$7,SUMIF($BH$3:$CE$3,"="&amp;$DF13+'Model Setup'!$G$7,$AD13:$BA13)+'Model Setup'!$G$8*(SUMIF($BH$3:$CE$3,"&lt;"&amp;$DF13,$AD13:$BA13)+SUMIF($BH$3:$CE$3,"&gt;"&amp;$CW$4,$AD13:$BA13)),
IF(BN$3=$DF13+'Model Setup'!$H$7,SUMIF($BH$3:$CE$3,"="&amp;$DF13+'Model Setup'!$H$7,$AD13:$BA13)+'Model Setup'!$H$8*(SUMIF($BH$3:$CE$3,"&lt;"&amp;$DF13,$AD13:$BA13)+SUMIF($BH$3:$CE$3,"&gt;"&amp;$CW$4,$AD13:$BA13)),
IF(BN$3=$DF13+'Model Setup'!$I$7,SUMIF($BH$3:$CE$3,"="&amp;$DF13+'Model Setup'!$I$7,$AD13:$BA13)+'Model Setup'!$I$8*(SUMIF($BH$3:$CE$3,"&lt;"&amp;$DF13,$AD13:$BA13)+SUMIF($BH$3:$CE$3,"&gt;"&amp;$CW$4,$AD13:$BA13)),
IF(BN$3=$DF13+'Model Setup'!$J$7,SUMIF($BH$3:$CE$3,"="&amp;$DF13+'Model Setup'!$J$7,$AD13:$BA13)+'Model Setup'!$J$8*(SUMIF($BH$3:$CE$3,"&lt;"&amp;$DF13,$AD13:$BA13)+SUMIF($BH$3:$CE$3,"&gt;"&amp;$CW$4,$AD13:$BA13)),
IF(BN$3=$DF13+'Model Setup'!$K$7,SUMIF($BH$3:$CE$3,"="&amp;$DF13+'Model Setup'!$K$7,$AD13:$BA13)+'Model Setup'!$K$8*(SUMIF($BH$3:$CE$3,"&lt;"&amp;$DF13,$AD13:$BA13)+SUMIF($BH$3:$CE$3,"&gt;"&amp;$CW$4,$AD13:$BA13)),
IF(BN$3=$DF13+'Model Setup'!$L$7,SUMIF($BH$3:$CE$3,"="&amp;$DF13+'Model Setup'!$L$7,$AD13:$BA13)+'Model Setup'!$L$8*(SUMIF($BH$3:$CE$3,"&lt;"&amp;$DF13,$AD13:$BA13)+SUMIF($BH$3:$CE$3,"&gt;"&amp;$CW$4,$AD13:$BA13)),
IF(BN$3=$DF13+'Model Setup'!$M$7,SUMIF($BH$3:$CE$3,"="&amp;$DF13+'Model Setup'!$M$7,$AD13:$BA13)+'Model Setup'!$M$8*(SUMIF($BH$3:$CE$3,"&lt;"&amp;$DF13,$AD13:$BA13)+SUMIF($BH$3:$CE$3,"&gt;"&amp;$CW$4,$AD13:$BA13)),
IF(BN$3=$DF13+'Model Setup'!$N$7,SUMIF($BH$3:$CE$3,"="&amp;$DF13+'Model Setup'!$N$7,$AD13:$BA13)+'Model Setup'!$N$8*(SUMIF($BH$3:$CE$3,"&lt;"&amp;$DF13,$AD13:$BA13)+SUMIF($BH$3:$CE$3,"&gt;"&amp;$CW$4,$AD13:$BA13)),
IF(BN$3&lt;$CW$4,H13,0))))))))))))))),0)</f>
        <v>18</v>
      </c>
      <c r="BO13" s="47">
        <f>ROUND(IF(OR(BO$3&lt;$DF13,BO$3&gt;$CW$4),0,
IF(BO$3=$DF13+'Model Setup'!$B$7,SUMIF($BH$3:$CE$3,"="&amp;$DF13+'Model Setup'!$B$7,$AD13:$BA13)+'Model Setup'!$B$8*(SUMIF($BH$3:$CE$3,"&lt;"&amp;$DF13,$AD13:$BA13)+SUMIF($BH$3:$CE$3,"&gt;"&amp;$CW$4,$AD13:$BA13)),
IF(BO$3=$DF13+'Model Setup'!$C$7,SUMIF($BH$3:$CE$3,"="&amp;$DF13+'Model Setup'!$C$7,$AD13:$BA13)+'Model Setup'!$C$8*(SUMIF($BH$3:$CE$3,"&lt;"&amp;$DF13,$AD13:$BA13)+SUMIF($BH$3:$CE$3,"&gt;"&amp;$CW$4,$AD13:$BA13)),
IF(BO$3=$DF13+'Model Setup'!$D$7,SUMIF($BH$3:$CE$3,"="&amp;$DF13+'Model Setup'!$D$7,$AD13:$BA13)+'Model Setup'!$D$8*(SUMIF($BH$3:$CE$3,"&lt;"&amp;$DF13,$AD13:$BA13)+SUMIF($BH$3:$CE$3,"&gt;"&amp;$CW$4,$AD13:$BA13)),
IF(BO$3=$DF13+'Model Setup'!$E$7,SUMIF($BH$3:$CE$3,"="&amp;$DF13+'Model Setup'!$E$7,$AD13:$BA13)+'Model Setup'!$E$8*(SUMIF($BH$3:$CE$3,"&lt;"&amp;$DF13,$AD13:$BA13)+SUMIF($BH$3:$CE$3,"&gt;"&amp;$CW$4,$AD13:$BA13)),
IF(BO$3=$DF13+'Model Setup'!$F$7,SUMIF($BH$3:$CE$3,"="&amp;$DF13+'Model Setup'!$F$7,$AD13:$BA13)+'Model Setup'!$F$8*(SUMIF($BH$3:$CE$3,"&lt;"&amp;$DF13,$AD13:$BA13)+SUMIF($BH$3:$CE$3,"&gt;"&amp;$CW$4,$AD13:$BA13)),
IF(BO$3=$DF13+'Model Setup'!$G$7,SUMIF($BH$3:$CE$3,"="&amp;$DF13+'Model Setup'!$G$7,$AD13:$BA13)+'Model Setup'!$G$8*(SUMIF($BH$3:$CE$3,"&lt;"&amp;$DF13,$AD13:$BA13)+SUMIF($BH$3:$CE$3,"&gt;"&amp;$CW$4,$AD13:$BA13)),
IF(BO$3=$DF13+'Model Setup'!$H$7,SUMIF($BH$3:$CE$3,"="&amp;$DF13+'Model Setup'!$H$7,$AD13:$BA13)+'Model Setup'!$H$8*(SUMIF($BH$3:$CE$3,"&lt;"&amp;$DF13,$AD13:$BA13)+SUMIF($BH$3:$CE$3,"&gt;"&amp;$CW$4,$AD13:$BA13)),
IF(BO$3=$DF13+'Model Setup'!$I$7,SUMIF($BH$3:$CE$3,"="&amp;$DF13+'Model Setup'!$I$7,$AD13:$BA13)+'Model Setup'!$I$8*(SUMIF($BH$3:$CE$3,"&lt;"&amp;$DF13,$AD13:$BA13)+SUMIF($BH$3:$CE$3,"&gt;"&amp;$CW$4,$AD13:$BA13)),
IF(BO$3=$DF13+'Model Setup'!$J$7,SUMIF($BH$3:$CE$3,"="&amp;$DF13+'Model Setup'!$J$7,$AD13:$BA13)+'Model Setup'!$J$8*(SUMIF($BH$3:$CE$3,"&lt;"&amp;$DF13,$AD13:$BA13)+SUMIF($BH$3:$CE$3,"&gt;"&amp;$CW$4,$AD13:$BA13)),
IF(BO$3=$DF13+'Model Setup'!$K$7,SUMIF($BH$3:$CE$3,"="&amp;$DF13+'Model Setup'!$K$7,$AD13:$BA13)+'Model Setup'!$K$8*(SUMIF($BH$3:$CE$3,"&lt;"&amp;$DF13,$AD13:$BA13)+SUMIF($BH$3:$CE$3,"&gt;"&amp;$CW$4,$AD13:$BA13)),
IF(BO$3=$DF13+'Model Setup'!$L$7,SUMIF($BH$3:$CE$3,"="&amp;$DF13+'Model Setup'!$L$7,$AD13:$BA13)+'Model Setup'!$L$8*(SUMIF($BH$3:$CE$3,"&lt;"&amp;$DF13,$AD13:$BA13)+SUMIF($BH$3:$CE$3,"&gt;"&amp;$CW$4,$AD13:$BA13)),
IF(BO$3=$DF13+'Model Setup'!$M$7,SUMIF($BH$3:$CE$3,"="&amp;$DF13+'Model Setup'!$M$7,$AD13:$BA13)+'Model Setup'!$M$8*(SUMIF($BH$3:$CE$3,"&lt;"&amp;$DF13,$AD13:$BA13)+SUMIF($BH$3:$CE$3,"&gt;"&amp;$CW$4,$AD13:$BA13)),
IF(BO$3=$DF13+'Model Setup'!$N$7,SUMIF($BH$3:$CE$3,"="&amp;$DF13+'Model Setup'!$N$7,$AD13:$BA13)+'Model Setup'!$N$8*(SUMIF($BH$3:$CE$3,"&lt;"&amp;$DF13,$AD13:$BA13)+SUMIF($BH$3:$CE$3,"&gt;"&amp;$CW$4,$AD13:$BA13)),
IF(BO$3&lt;$CW$4,I13,0))))))))))))))),0)</f>
        <v>17</v>
      </c>
      <c r="BP13" s="47">
        <f>ROUND(IF(OR(BP$3&lt;$DF13,BP$3&gt;$CW$4),0,
IF(BP$3=$DF13+'Model Setup'!$B$7,SUMIF($BH$3:$CE$3,"="&amp;$DF13+'Model Setup'!$B$7,$AD13:$BA13)+'Model Setup'!$B$8*(SUMIF($BH$3:$CE$3,"&lt;"&amp;$DF13,$AD13:$BA13)+SUMIF($BH$3:$CE$3,"&gt;"&amp;$CW$4,$AD13:$BA13)),
IF(BP$3=$DF13+'Model Setup'!$C$7,SUMIF($BH$3:$CE$3,"="&amp;$DF13+'Model Setup'!$C$7,$AD13:$BA13)+'Model Setup'!$C$8*(SUMIF($BH$3:$CE$3,"&lt;"&amp;$DF13,$AD13:$BA13)+SUMIF($BH$3:$CE$3,"&gt;"&amp;$CW$4,$AD13:$BA13)),
IF(BP$3=$DF13+'Model Setup'!$D$7,SUMIF($BH$3:$CE$3,"="&amp;$DF13+'Model Setup'!$D$7,$AD13:$BA13)+'Model Setup'!$D$8*(SUMIF($BH$3:$CE$3,"&lt;"&amp;$DF13,$AD13:$BA13)+SUMIF($BH$3:$CE$3,"&gt;"&amp;$CW$4,$AD13:$BA13)),
IF(BP$3=$DF13+'Model Setup'!$E$7,SUMIF($BH$3:$CE$3,"="&amp;$DF13+'Model Setup'!$E$7,$AD13:$BA13)+'Model Setup'!$E$8*(SUMIF($BH$3:$CE$3,"&lt;"&amp;$DF13,$AD13:$BA13)+SUMIF($BH$3:$CE$3,"&gt;"&amp;$CW$4,$AD13:$BA13)),
IF(BP$3=$DF13+'Model Setup'!$F$7,SUMIF($BH$3:$CE$3,"="&amp;$DF13+'Model Setup'!$F$7,$AD13:$BA13)+'Model Setup'!$F$8*(SUMIF($BH$3:$CE$3,"&lt;"&amp;$DF13,$AD13:$BA13)+SUMIF($BH$3:$CE$3,"&gt;"&amp;$CW$4,$AD13:$BA13)),
IF(BP$3=$DF13+'Model Setup'!$G$7,SUMIF($BH$3:$CE$3,"="&amp;$DF13+'Model Setup'!$G$7,$AD13:$BA13)+'Model Setup'!$G$8*(SUMIF($BH$3:$CE$3,"&lt;"&amp;$DF13,$AD13:$BA13)+SUMIF($BH$3:$CE$3,"&gt;"&amp;$CW$4,$AD13:$BA13)),
IF(BP$3=$DF13+'Model Setup'!$H$7,SUMIF($BH$3:$CE$3,"="&amp;$DF13+'Model Setup'!$H$7,$AD13:$BA13)+'Model Setup'!$H$8*(SUMIF($BH$3:$CE$3,"&lt;"&amp;$DF13,$AD13:$BA13)+SUMIF($BH$3:$CE$3,"&gt;"&amp;$CW$4,$AD13:$BA13)),
IF(BP$3=$DF13+'Model Setup'!$I$7,SUMIF($BH$3:$CE$3,"="&amp;$DF13+'Model Setup'!$I$7,$AD13:$BA13)+'Model Setup'!$I$8*(SUMIF($BH$3:$CE$3,"&lt;"&amp;$DF13,$AD13:$BA13)+SUMIF($BH$3:$CE$3,"&gt;"&amp;$CW$4,$AD13:$BA13)),
IF(BP$3=$DF13+'Model Setup'!$J$7,SUMIF($BH$3:$CE$3,"="&amp;$DF13+'Model Setup'!$J$7,$AD13:$BA13)+'Model Setup'!$J$8*(SUMIF($BH$3:$CE$3,"&lt;"&amp;$DF13,$AD13:$BA13)+SUMIF($BH$3:$CE$3,"&gt;"&amp;$CW$4,$AD13:$BA13)),
IF(BP$3=$DF13+'Model Setup'!$K$7,SUMIF($BH$3:$CE$3,"="&amp;$DF13+'Model Setup'!$K$7,$AD13:$BA13)+'Model Setup'!$K$8*(SUMIF($BH$3:$CE$3,"&lt;"&amp;$DF13,$AD13:$BA13)+SUMIF($BH$3:$CE$3,"&gt;"&amp;$CW$4,$AD13:$BA13)),
IF(BP$3=$DF13+'Model Setup'!$L$7,SUMIF($BH$3:$CE$3,"="&amp;$DF13+'Model Setup'!$L$7,$AD13:$BA13)+'Model Setup'!$L$8*(SUMIF($BH$3:$CE$3,"&lt;"&amp;$DF13,$AD13:$BA13)+SUMIF($BH$3:$CE$3,"&gt;"&amp;$CW$4,$AD13:$BA13)),
IF(BP$3=$DF13+'Model Setup'!$M$7,SUMIF($BH$3:$CE$3,"="&amp;$DF13+'Model Setup'!$M$7,$AD13:$BA13)+'Model Setup'!$M$8*(SUMIF($BH$3:$CE$3,"&lt;"&amp;$DF13,$AD13:$BA13)+SUMIF($BH$3:$CE$3,"&gt;"&amp;$CW$4,$AD13:$BA13)),
IF(BP$3=$DF13+'Model Setup'!$N$7,SUMIF($BH$3:$CE$3,"="&amp;$DF13+'Model Setup'!$N$7,$AD13:$BA13)+'Model Setup'!$N$8*(SUMIF($BH$3:$CE$3,"&lt;"&amp;$DF13,$AD13:$BA13)+SUMIF($BH$3:$CE$3,"&gt;"&amp;$CW$4,$AD13:$BA13)),
IF(BP$3&lt;$CW$4,J13,0))))))))))))))),0)</f>
        <v>11</v>
      </c>
      <c r="BQ13" s="47">
        <f>ROUND(IF(OR(BQ$3&lt;$DF13,BQ$3&gt;$CW$4),0,
IF(BQ$3=$DF13+'Model Setup'!$B$7,SUMIF($BH$3:$CE$3,"="&amp;$DF13+'Model Setup'!$B$7,$AD13:$BA13)+'Model Setup'!$B$8*(SUMIF($BH$3:$CE$3,"&lt;"&amp;$DF13,$AD13:$BA13)+SUMIF($BH$3:$CE$3,"&gt;"&amp;$CW$4,$AD13:$BA13)),
IF(BQ$3=$DF13+'Model Setup'!$C$7,SUMIF($BH$3:$CE$3,"="&amp;$DF13+'Model Setup'!$C$7,$AD13:$BA13)+'Model Setup'!$C$8*(SUMIF($BH$3:$CE$3,"&lt;"&amp;$DF13,$AD13:$BA13)+SUMIF($BH$3:$CE$3,"&gt;"&amp;$CW$4,$AD13:$BA13)),
IF(BQ$3=$DF13+'Model Setup'!$D$7,SUMIF($BH$3:$CE$3,"="&amp;$DF13+'Model Setup'!$D$7,$AD13:$BA13)+'Model Setup'!$D$8*(SUMIF($BH$3:$CE$3,"&lt;"&amp;$DF13,$AD13:$BA13)+SUMIF($BH$3:$CE$3,"&gt;"&amp;$CW$4,$AD13:$BA13)),
IF(BQ$3=$DF13+'Model Setup'!$E$7,SUMIF($BH$3:$CE$3,"="&amp;$DF13+'Model Setup'!$E$7,$AD13:$BA13)+'Model Setup'!$E$8*(SUMIF($BH$3:$CE$3,"&lt;"&amp;$DF13,$AD13:$BA13)+SUMIF($BH$3:$CE$3,"&gt;"&amp;$CW$4,$AD13:$BA13)),
IF(BQ$3=$DF13+'Model Setup'!$F$7,SUMIF($BH$3:$CE$3,"="&amp;$DF13+'Model Setup'!$F$7,$AD13:$BA13)+'Model Setup'!$F$8*(SUMIF($BH$3:$CE$3,"&lt;"&amp;$DF13,$AD13:$BA13)+SUMIF($BH$3:$CE$3,"&gt;"&amp;$CW$4,$AD13:$BA13)),
IF(BQ$3=$DF13+'Model Setup'!$G$7,SUMIF($BH$3:$CE$3,"="&amp;$DF13+'Model Setup'!$G$7,$AD13:$BA13)+'Model Setup'!$G$8*(SUMIF($BH$3:$CE$3,"&lt;"&amp;$DF13,$AD13:$BA13)+SUMIF($BH$3:$CE$3,"&gt;"&amp;$CW$4,$AD13:$BA13)),
IF(BQ$3=$DF13+'Model Setup'!$H$7,SUMIF($BH$3:$CE$3,"="&amp;$DF13+'Model Setup'!$H$7,$AD13:$BA13)+'Model Setup'!$H$8*(SUMIF($BH$3:$CE$3,"&lt;"&amp;$DF13,$AD13:$BA13)+SUMIF($BH$3:$CE$3,"&gt;"&amp;$CW$4,$AD13:$BA13)),
IF(BQ$3=$DF13+'Model Setup'!$I$7,SUMIF($BH$3:$CE$3,"="&amp;$DF13+'Model Setup'!$I$7,$AD13:$BA13)+'Model Setup'!$I$8*(SUMIF($BH$3:$CE$3,"&lt;"&amp;$DF13,$AD13:$BA13)+SUMIF($BH$3:$CE$3,"&gt;"&amp;$CW$4,$AD13:$BA13)),
IF(BQ$3=$DF13+'Model Setup'!$J$7,SUMIF($BH$3:$CE$3,"="&amp;$DF13+'Model Setup'!$J$7,$AD13:$BA13)+'Model Setup'!$J$8*(SUMIF($BH$3:$CE$3,"&lt;"&amp;$DF13,$AD13:$BA13)+SUMIF($BH$3:$CE$3,"&gt;"&amp;$CW$4,$AD13:$BA13)),
IF(BQ$3=$DF13+'Model Setup'!$K$7,SUMIF($BH$3:$CE$3,"="&amp;$DF13+'Model Setup'!$K$7,$AD13:$BA13)+'Model Setup'!$K$8*(SUMIF($BH$3:$CE$3,"&lt;"&amp;$DF13,$AD13:$BA13)+SUMIF($BH$3:$CE$3,"&gt;"&amp;$CW$4,$AD13:$BA13)),
IF(BQ$3=$DF13+'Model Setup'!$L$7,SUMIF($BH$3:$CE$3,"="&amp;$DF13+'Model Setup'!$L$7,$AD13:$BA13)+'Model Setup'!$L$8*(SUMIF($BH$3:$CE$3,"&lt;"&amp;$DF13,$AD13:$BA13)+SUMIF($BH$3:$CE$3,"&gt;"&amp;$CW$4,$AD13:$BA13)),
IF(BQ$3=$DF13+'Model Setup'!$M$7,SUMIF($BH$3:$CE$3,"="&amp;$DF13+'Model Setup'!$M$7,$AD13:$BA13)+'Model Setup'!$M$8*(SUMIF($BH$3:$CE$3,"&lt;"&amp;$DF13,$AD13:$BA13)+SUMIF($BH$3:$CE$3,"&gt;"&amp;$CW$4,$AD13:$BA13)),
IF(BQ$3=$DF13+'Model Setup'!$N$7,SUMIF($BH$3:$CE$3,"="&amp;$DF13+'Model Setup'!$N$7,$AD13:$BA13)+'Model Setup'!$N$8*(SUMIF($BH$3:$CE$3,"&lt;"&amp;$DF13,$AD13:$BA13)+SUMIF($BH$3:$CE$3,"&gt;"&amp;$CW$4,$AD13:$BA13)),
IF(BQ$3&lt;$CW$4,K13,0))))))))))))))),0)</f>
        <v>15</v>
      </c>
      <c r="BR13" s="47">
        <f>ROUND(IF(OR(BR$3&lt;$DF13,BR$3&gt;$CW$4),0,
IF(BR$3=$DF13+'Model Setup'!$B$7,SUMIF($BH$3:$CE$3,"="&amp;$DF13+'Model Setup'!$B$7,$AD13:$BA13)+'Model Setup'!$B$8*(SUMIF($BH$3:$CE$3,"&lt;"&amp;$DF13,$AD13:$BA13)+SUMIF($BH$3:$CE$3,"&gt;"&amp;$CW$4,$AD13:$BA13)),
IF(BR$3=$DF13+'Model Setup'!$C$7,SUMIF($BH$3:$CE$3,"="&amp;$DF13+'Model Setup'!$C$7,$AD13:$BA13)+'Model Setup'!$C$8*(SUMIF($BH$3:$CE$3,"&lt;"&amp;$DF13,$AD13:$BA13)+SUMIF($BH$3:$CE$3,"&gt;"&amp;$CW$4,$AD13:$BA13)),
IF(BR$3=$DF13+'Model Setup'!$D$7,SUMIF($BH$3:$CE$3,"="&amp;$DF13+'Model Setup'!$D$7,$AD13:$BA13)+'Model Setup'!$D$8*(SUMIF($BH$3:$CE$3,"&lt;"&amp;$DF13,$AD13:$BA13)+SUMIF($BH$3:$CE$3,"&gt;"&amp;$CW$4,$AD13:$BA13)),
IF(BR$3=$DF13+'Model Setup'!$E$7,SUMIF($BH$3:$CE$3,"="&amp;$DF13+'Model Setup'!$E$7,$AD13:$BA13)+'Model Setup'!$E$8*(SUMIF($BH$3:$CE$3,"&lt;"&amp;$DF13,$AD13:$BA13)+SUMIF($BH$3:$CE$3,"&gt;"&amp;$CW$4,$AD13:$BA13)),
IF(BR$3=$DF13+'Model Setup'!$F$7,SUMIF($BH$3:$CE$3,"="&amp;$DF13+'Model Setup'!$F$7,$AD13:$BA13)+'Model Setup'!$F$8*(SUMIF($BH$3:$CE$3,"&lt;"&amp;$DF13,$AD13:$BA13)+SUMIF($BH$3:$CE$3,"&gt;"&amp;$CW$4,$AD13:$BA13)),
IF(BR$3=$DF13+'Model Setup'!$G$7,SUMIF($BH$3:$CE$3,"="&amp;$DF13+'Model Setup'!$G$7,$AD13:$BA13)+'Model Setup'!$G$8*(SUMIF($BH$3:$CE$3,"&lt;"&amp;$DF13,$AD13:$BA13)+SUMIF($BH$3:$CE$3,"&gt;"&amp;$CW$4,$AD13:$BA13)),
IF(BR$3=$DF13+'Model Setup'!$H$7,SUMIF($BH$3:$CE$3,"="&amp;$DF13+'Model Setup'!$H$7,$AD13:$BA13)+'Model Setup'!$H$8*(SUMIF($BH$3:$CE$3,"&lt;"&amp;$DF13,$AD13:$BA13)+SUMIF($BH$3:$CE$3,"&gt;"&amp;$CW$4,$AD13:$BA13)),
IF(BR$3=$DF13+'Model Setup'!$I$7,SUMIF($BH$3:$CE$3,"="&amp;$DF13+'Model Setup'!$I$7,$AD13:$BA13)+'Model Setup'!$I$8*(SUMIF($BH$3:$CE$3,"&lt;"&amp;$DF13,$AD13:$BA13)+SUMIF($BH$3:$CE$3,"&gt;"&amp;$CW$4,$AD13:$BA13)),
IF(BR$3=$DF13+'Model Setup'!$J$7,SUMIF($BH$3:$CE$3,"="&amp;$DF13+'Model Setup'!$J$7,$AD13:$BA13)+'Model Setup'!$J$8*(SUMIF($BH$3:$CE$3,"&lt;"&amp;$DF13,$AD13:$BA13)+SUMIF($BH$3:$CE$3,"&gt;"&amp;$CW$4,$AD13:$BA13)),
IF(BR$3=$DF13+'Model Setup'!$K$7,SUMIF($BH$3:$CE$3,"="&amp;$DF13+'Model Setup'!$K$7,$AD13:$BA13)+'Model Setup'!$K$8*(SUMIF($BH$3:$CE$3,"&lt;"&amp;$DF13,$AD13:$BA13)+SUMIF($BH$3:$CE$3,"&gt;"&amp;$CW$4,$AD13:$BA13)),
IF(BR$3=$DF13+'Model Setup'!$L$7,SUMIF($BH$3:$CE$3,"="&amp;$DF13+'Model Setup'!$L$7,$AD13:$BA13)+'Model Setup'!$L$8*(SUMIF($BH$3:$CE$3,"&lt;"&amp;$DF13,$AD13:$BA13)+SUMIF($BH$3:$CE$3,"&gt;"&amp;$CW$4,$AD13:$BA13)),
IF(BR$3=$DF13+'Model Setup'!$M$7,SUMIF($BH$3:$CE$3,"="&amp;$DF13+'Model Setup'!$M$7,$AD13:$BA13)+'Model Setup'!$M$8*(SUMIF($BH$3:$CE$3,"&lt;"&amp;$DF13,$AD13:$BA13)+SUMIF($BH$3:$CE$3,"&gt;"&amp;$CW$4,$AD13:$BA13)),
IF(BR$3=$DF13+'Model Setup'!$N$7,SUMIF($BH$3:$CE$3,"="&amp;$DF13+'Model Setup'!$N$7,$AD13:$BA13)+'Model Setup'!$N$8*(SUMIF($BH$3:$CE$3,"&lt;"&amp;$DF13,$AD13:$BA13)+SUMIF($BH$3:$CE$3,"&gt;"&amp;$CW$4,$AD13:$BA13)),
IF(BR$3&lt;$CW$4,L13,0))))))))))))))),0)</f>
        <v>12</v>
      </c>
      <c r="BS13" s="47">
        <f>ROUND(IF(OR(BS$3&lt;$DF13,BS$3&gt;$CW$4),0,
IF(BS$3=$DF13+'Model Setup'!$B$7,SUMIF($BH$3:$CE$3,"="&amp;$DF13+'Model Setup'!$B$7,$AD13:$BA13)+'Model Setup'!$B$8*(SUMIF($BH$3:$CE$3,"&lt;"&amp;$DF13,$AD13:$BA13)+SUMIF($BH$3:$CE$3,"&gt;"&amp;$CW$4,$AD13:$BA13)),
IF(BS$3=$DF13+'Model Setup'!$C$7,SUMIF($BH$3:$CE$3,"="&amp;$DF13+'Model Setup'!$C$7,$AD13:$BA13)+'Model Setup'!$C$8*(SUMIF($BH$3:$CE$3,"&lt;"&amp;$DF13,$AD13:$BA13)+SUMIF($BH$3:$CE$3,"&gt;"&amp;$CW$4,$AD13:$BA13)),
IF(BS$3=$DF13+'Model Setup'!$D$7,SUMIF($BH$3:$CE$3,"="&amp;$DF13+'Model Setup'!$D$7,$AD13:$BA13)+'Model Setup'!$D$8*(SUMIF($BH$3:$CE$3,"&lt;"&amp;$DF13,$AD13:$BA13)+SUMIF($BH$3:$CE$3,"&gt;"&amp;$CW$4,$AD13:$BA13)),
IF(BS$3=$DF13+'Model Setup'!$E$7,SUMIF($BH$3:$CE$3,"="&amp;$DF13+'Model Setup'!$E$7,$AD13:$BA13)+'Model Setup'!$E$8*(SUMIF($BH$3:$CE$3,"&lt;"&amp;$DF13,$AD13:$BA13)+SUMIF($BH$3:$CE$3,"&gt;"&amp;$CW$4,$AD13:$BA13)),
IF(BS$3=$DF13+'Model Setup'!$F$7,SUMIF($BH$3:$CE$3,"="&amp;$DF13+'Model Setup'!$F$7,$AD13:$BA13)+'Model Setup'!$F$8*(SUMIF($BH$3:$CE$3,"&lt;"&amp;$DF13,$AD13:$BA13)+SUMIF($BH$3:$CE$3,"&gt;"&amp;$CW$4,$AD13:$BA13)),
IF(BS$3=$DF13+'Model Setup'!$G$7,SUMIF($BH$3:$CE$3,"="&amp;$DF13+'Model Setup'!$G$7,$AD13:$BA13)+'Model Setup'!$G$8*(SUMIF($BH$3:$CE$3,"&lt;"&amp;$DF13,$AD13:$BA13)+SUMIF($BH$3:$CE$3,"&gt;"&amp;$CW$4,$AD13:$BA13)),
IF(BS$3=$DF13+'Model Setup'!$H$7,SUMIF($BH$3:$CE$3,"="&amp;$DF13+'Model Setup'!$H$7,$AD13:$BA13)+'Model Setup'!$H$8*(SUMIF($BH$3:$CE$3,"&lt;"&amp;$DF13,$AD13:$BA13)+SUMIF($BH$3:$CE$3,"&gt;"&amp;$CW$4,$AD13:$BA13)),
IF(BS$3=$DF13+'Model Setup'!$I$7,SUMIF($BH$3:$CE$3,"="&amp;$DF13+'Model Setup'!$I$7,$AD13:$BA13)+'Model Setup'!$I$8*(SUMIF($BH$3:$CE$3,"&lt;"&amp;$DF13,$AD13:$BA13)+SUMIF($BH$3:$CE$3,"&gt;"&amp;$CW$4,$AD13:$BA13)),
IF(BS$3=$DF13+'Model Setup'!$J$7,SUMIF($BH$3:$CE$3,"="&amp;$DF13+'Model Setup'!$J$7,$AD13:$BA13)+'Model Setup'!$J$8*(SUMIF($BH$3:$CE$3,"&lt;"&amp;$DF13,$AD13:$BA13)+SUMIF($BH$3:$CE$3,"&gt;"&amp;$CW$4,$AD13:$BA13)),
IF(BS$3=$DF13+'Model Setup'!$K$7,SUMIF($BH$3:$CE$3,"="&amp;$DF13+'Model Setup'!$K$7,$AD13:$BA13)+'Model Setup'!$K$8*(SUMIF($BH$3:$CE$3,"&lt;"&amp;$DF13,$AD13:$BA13)+SUMIF($BH$3:$CE$3,"&gt;"&amp;$CW$4,$AD13:$BA13)),
IF(BS$3=$DF13+'Model Setup'!$L$7,SUMIF($BH$3:$CE$3,"="&amp;$DF13+'Model Setup'!$L$7,$AD13:$BA13)+'Model Setup'!$L$8*(SUMIF($BH$3:$CE$3,"&lt;"&amp;$DF13,$AD13:$BA13)+SUMIF($BH$3:$CE$3,"&gt;"&amp;$CW$4,$AD13:$BA13)),
IF(BS$3=$DF13+'Model Setup'!$M$7,SUMIF($BH$3:$CE$3,"="&amp;$DF13+'Model Setup'!$M$7,$AD13:$BA13)+'Model Setup'!$M$8*(SUMIF($BH$3:$CE$3,"&lt;"&amp;$DF13,$AD13:$BA13)+SUMIF($BH$3:$CE$3,"&gt;"&amp;$CW$4,$AD13:$BA13)),
IF(BS$3=$DF13+'Model Setup'!$N$7,SUMIF($BH$3:$CE$3,"="&amp;$DF13+'Model Setup'!$N$7,$AD13:$BA13)+'Model Setup'!$N$8*(SUMIF($BH$3:$CE$3,"&lt;"&amp;$DF13,$AD13:$BA13)+SUMIF($BH$3:$CE$3,"&gt;"&amp;$CW$4,$AD13:$BA13)),
IF(BS$3&lt;$CW$4,M13,0))))))))))))))),0)</f>
        <v>11</v>
      </c>
      <c r="BT13" s="47">
        <f>ROUND(IF(OR(BT$3&lt;$DF13,BT$3&gt;$CW$4),0,
IF(BT$3=$DF13+'Model Setup'!$B$7,SUMIF($BH$3:$CE$3,"="&amp;$DF13+'Model Setup'!$B$7,$AD13:$BA13)+'Model Setup'!$B$8*(SUMIF($BH$3:$CE$3,"&lt;"&amp;$DF13,$AD13:$BA13)+SUMIF($BH$3:$CE$3,"&gt;"&amp;$CW$4,$AD13:$BA13)),
IF(BT$3=$DF13+'Model Setup'!$C$7,SUMIF($BH$3:$CE$3,"="&amp;$DF13+'Model Setup'!$C$7,$AD13:$BA13)+'Model Setup'!$C$8*(SUMIF($BH$3:$CE$3,"&lt;"&amp;$DF13,$AD13:$BA13)+SUMIF($BH$3:$CE$3,"&gt;"&amp;$CW$4,$AD13:$BA13)),
IF(BT$3=$DF13+'Model Setup'!$D$7,SUMIF($BH$3:$CE$3,"="&amp;$DF13+'Model Setup'!$D$7,$AD13:$BA13)+'Model Setup'!$D$8*(SUMIF($BH$3:$CE$3,"&lt;"&amp;$DF13,$AD13:$BA13)+SUMIF($BH$3:$CE$3,"&gt;"&amp;$CW$4,$AD13:$BA13)),
IF(BT$3=$DF13+'Model Setup'!$E$7,SUMIF($BH$3:$CE$3,"="&amp;$DF13+'Model Setup'!$E$7,$AD13:$BA13)+'Model Setup'!$E$8*(SUMIF($BH$3:$CE$3,"&lt;"&amp;$DF13,$AD13:$BA13)+SUMIF($BH$3:$CE$3,"&gt;"&amp;$CW$4,$AD13:$BA13)),
IF(BT$3=$DF13+'Model Setup'!$F$7,SUMIF($BH$3:$CE$3,"="&amp;$DF13+'Model Setup'!$F$7,$AD13:$BA13)+'Model Setup'!$F$8*(SUMIF($BH$3:$CE$3,"&lt;"&amp;$DF13,$AD13:$BA13)+SUMIF($BH$3:$CE$3,"&gt;"&amp;$CW$4,$AD13:$BA13)),
IF(BT$3=$DF13+'Model Setup'!$G$7,SUMIF($BH$3:$CE$3,"="&amp;$DF13+'Model Setup'!$G$7,$AD13:$BA13)+'Model Setup'!$G$8*(SUMIF($BH$3:$CE$3,"&lt;"&amp;$DF13,$AD13:$BA13)+SUMIF($BH$3:$CE$3,"&gt;"&amp;$CW$4,$AD13:$BA13)),
IF(BT$3=$DF13+'Model Setup'!$H$7,SUMIF($BH$3:$CE$3,"="&amp;$DF13+'Model Setup'!$H$7,$AD13:$BA13)+'Model Setup'!$H$8*(SUMIF($BH$3:$CE$3,"&lt;"&amp;$DF13,$AD13:$BA13)+SUMIF($BH$3:$CE$3,"&gt;"&amp;$CW$4,$AD13:$BA13)),
IF(BT$3=$DF13+'Model Setup'!$I$7,SUMIF($BH$3:$CE$3,"="&amp;$DF13+'Model Setup'!$I$7,$AD13:$BA13)+'Model Setup'!$I$8*(SUMIF($BH$3:$CE$3,"&lt;"&amp;$DF13,$AD13:$BA13)+SUMIF($BH$3:$CE$3,"&gt;"&amp;$CW$4,$AD13:$BA13)),
IF(BT$3=$DF13+'Model Setup'!$J$7,SUMIF($BH$3:$CE$3,"="&amp;$DF13+'Model Setup'!$J$7,$AD13:$BA13)+'Model Setup'!$J$8*(SUMIF($BH$3:$CE$3,"&lt;"&amp;$DF13,$AD13:$BA13)+SUMIF($BH$3:$CE$3,"&gt;"&amp;$CW$4,$AD13:$BA13)),
IF(BT$3=$DF13+'Model Setup'!$K$7,SUMIF($BH$3:$CE$3,"="&amp;$DF13+'Model Setup'!$K$7,$AD13:$BA13)+'Model Setup'!$K$8*(SUMIF($BH$3:$CE$3,"&lt;"&amp;$DF13,$AD13:$BA13)+SUMIF($BH$3:$CE$3,"&gt;"&amp;$CW$4,$AD13:$BA13)),
IF(BT$3=$DF13+'Model Setup'!$L$7,SUMIF($BH$3:$CE$3,"="&amp;$DF13+'Model Setup'!$L$7,$AD13:$BA13)+'Model Setup'!$L$8*(SUMIF($BH$3:$CE$3,"&lt;"&amp;$DF13,$AD13:$BA13)+SUMIF($BH$3:$CE$3,"&gt;"&amp;$CW$4,$AD13:$BA13)),
IF(BT$3=$DF13+'Model Setup'!$M$7,SUMIF($BH$3:$CE$3,"="&amp;$DF13+'Model Setup'!$M$7,$AD13:$BA13)+'Model Setup'!$M$8*(SUMIF($BH$3:$CE$3,"&lt;"&amp;$DF13,$AD13:$BA13)+SUMIF($BH$3:$CE$3,"&gt;"&amp;$CW$4,$AD13:$BA13)),
IF(BT$3=$DF13+'Model Setup'!$N$7,SUMIF($BH$3:$CE$3,"="&amp;$DF13+'Model Setup'!$N$7,$AD13:$BA13)+'Model Setup'!$N$8*(SUMIF($BH$3:$CE$3,"&lt;"&amp;$DF13,$AD13:$BA13)+SUMIF($BH$3:$CE$3,"&gt;"&amp;$CW$4,$AD13:$BA13)),
IF(BT$3&lt;$CW$4,N13,0))))))))))))))),0)</f>
        <v>10</v>
      </c>
      <c r="BU13" s="47">
        <f>ROUND(IF(OR(BU$3&lt;$DF13,BU$3&gt;$CW$4),0,
IF(BU$3=$DF13+'Model Setup'!$B$7,SUMIF($BH$3:$CE$3,"="&amp;$DF13+'Model Setup'!$B$7,$AD13:$BA13)+'Model Setup'!$B$8*(SUMIF($BH$3:$CE$3,"&lt;"&amp;$DF13,$AD13:$BA13)+SUMIF($BH$3:$CE$3,"&gt;"&amp;$CW$4,$AD13:$BA13)),
IF(BU$3=$DF13+'Model Setup'!$C$7,SUMIF($BH$3:$CE$3,"="&amp;$DF13+'Model Setup'!$C$7,$AD13:$BA13)+'Model Setup'!$C$8*(SUMIF($BH$3:$CE$3,"&lt;"&amp;$DF13,$AD13:$BA13)+SUMIF($BH$3:$CE$3,"&gt;"&amp;$CW$4,$AD13:$BA13)),
IF(BU$3=$DF13+'Model Setup'!$D$7,SUMIF($BH$3:$CE$3,"="&amp;$DF13+'Model Setup'!$D$7,$AD13:$BA13)+'Model Setup'!$D$8*(SUMIF($BH$3:$CE$3,"&lt;"&amp;$DF13,$AD13:$BA13)+SUMIF($BH$3:$CE$3,"&gt;"&amp;$CW$4,$AD13:$BA13)),
IF(BU$3=$DF13+'Model Setup'!$E$7,SUMIF($BH$3:$CE$3,"="&amp;$DF13+'Model Setup'!$E$7,$AD13:$BA13)+'Model Setup'!$E$8*(SUMIF($BH$3:$CE$3,"&lt;"&amp;$DF13,$AD13:$BA13)+SUMIF($BH$3:$CE$3,"&gt;"&amp;$CW$4,$AD13:$BA13)),
IF(BU$3=$DF13+'Model Setup'!$F$7,SUMIF($BH$3:$CE$3,"="&amp;$DF13+'Model Setup'!$F$7,$AD13:$BA13)+'Model Setup'!$F$8*(SUMIF($BH$3:$CE$3,"&lt;"&amp;$DF13,$AD13:$BA13)+SUMIF($BH$3:$CE$3,"&gt;"&amp;$CW$4,$AD13:$BA13)),
IF(BU$3=$DF13+'Model Setup'!$G$7,SUMIF($BH$3:$CE$3,"="&amp;$DF13+'Model Setup'!$G$7,$AD13:$BA13)+'Model Setup'!$G$8*(SUMIF($BH$3:$CE$3,"&lt;"&amp;$DF13,$AD13:$BA13)+SUMIF($BH$3:$CE$3,"&gt;"&amp;$CW$4,$AD13:$BA13)),
IF(BU$3=$DF13+'Model Setup'!$H$7,SUMIF($BH$3:$CE$3,"="&amp;$DF13+'Model Setup'!$H$7,$AD13:$BA13)+'Model Setup'!$H$8*(SUMIF($BH$3:$CE$3,"&lt;"&amp;$DF13,$AD13:$BA13)+SUMIF($BH$3:$CE$3,"&gt;"&amp;$CW$4,$AD13:$BA13)),
IF(BU$3=$DF13+'Model Setup'!$I$7,SUMIF($BH$3:$CE$3,"="&amp;$DF13+'Model Setup'!$I$7,$AD13:$BA13)+'Model Setup'!$I$8*(SUMIF($BH$3:$CE$3,"&lt;"&amp;$DF13,$AD13:$BA13)+SUMIF($BH$3:$CE$3,"&gt;"&amp;$CW$4,$AD13:$BA13)),
IF(BU$3=$DF13+'Model Setup'!$J$7,SUMIF($BH$3:$CE$3,"="&amp;$DF13+'Model Setup'!$J$7,$AD13:$BA13)+'Model Setup'!$J$8*(SUMIF($BH$3:$CE$3,"&lt;"&amp;$DF13,$AD13:$BA13)+SUMIF($BH$3:$CE$3,"&gt;"&amp;$CW$4,$AD13:$BA13)),
IF(BU$3=$DF13+'Model Setup'!$K$7,SUMIF($BH$3:$CE$3,"="&amp;$DF13+'Model Setup'!$K$7,$AD13:$BA13)+'Model Setup'!$K$8*(SUMIF($BH$3:$CE$3,"&lt;"&amp;$DF13,$AD13:$BA13)+SUMIF($BH$3:$CE$3,"&gt;"&amp;$CW$4,$AD13:$BA13)),
IF(BU$3=$DF13+'Model Setup'!$L$7,SUMIF($BH$3:$CE$3,"="&amp;$DF13+'Model Setup'!$L$7,$AD13:$BA13)+'Model Setup'!$L$8*(SUMIF($BH$3:$CE$3,"&lt;"&amp;$DF13,$AD13:$BA13)+SUMIF($BH$3:$CE$3,"&gt;"&amp;$CW$4,$AD13:$BA13)),
IF(BU$3=$DF13+'Model Setup'!$M$7,SUMIF($BH$3:$CE$3,"="&amp;$DF13+'Model Setup'!$M$7,$AD13:$BA13)+'Model Setup'!$M$8*(SUMIF($BH$3:$CE$3,"&lt;"&amp;$DF13,$AD13:$BA13)+SUMIF($BH$3:$CE$3,"&gt;"&amp;$CW$4,$AD13:$BA13)),
IF(BU$3=$DF13+'Model Setup'!$N$7,SUMIF($BH$3:$CE$3,"="&amp;$DF13+'Model Setup'!$N$7,$AD13:$BA13)+'Model Setup'!$N$8*(SUMIF($BH$3:$CE$3,"&lt;"&amp;$DF13,$AD13:$BA13)+SUMIF($BH$3:$CE$3,"&gt;"&amp;$CW$4,$AD13:$BA13)),
IF(BU$3&lt;$CW$4,O13,0))))))))))))))),0)</f>
        <v>8</v>
      </c>
      <c r="BV13" s="47">
        <f>ROUND(IF(OR(BV$3&lt;$DF13,BV$3&gt;$CW$4),0,
IF(BV$3=$DF13+'Model Setup'!$B$7,SUMIF($BH$3:$CE$3,"="&amp;$DF13+'Model Setup'!$B$7,$AD13:$BA13)+'Model Setup'!$B$8*(SUMIF($BH$3:$CE$3,"&lt;"&amp;$DF13,$AD13:$BA13)+SUMIF($BH$3:$CE$3,"&gt;"&amp;$CW$4,$AD13:$BA13)),
IF(BV$3=$DF13+'Model Setup'!$C$7,SUMIF($BH$3:$CE$3,"="&amp;$DF13+'Model Setup'!$C$7,$AD13:$BA13)+'Model Setup'!$C$8*(SUMIF($BH$3:$CE$3,"&lt;"&amp;$DF13,$AD13:$BA13)+SUMIF($BH$3:$CE$3,"&gt;"&amp;$CW$4,$AD13:$BA13)),
IF(BV$3=$DF13+'Model Setup'!$D$7,SUMIF($BH$3:$CE$3,"="&amp;$DF13+'Model Setup'!$D$7,$AD13:$BA13)+'Model Setup'!$D$8*(SUMIF($BH$3:$CE$3,"&lt;"&amp;$DF13,$AD13:$BA13)+SUMIF($BH$3:$CE$3,"&gt;"&amp;$CW$4,$AD13:$BA13)),
IF(BV$3=$DF13+'Model Setup'!$E$7,SUMIF($BH$3:$CE$3,"="&amp;$DF13+'Model Setup'!$E$7,$AD13:$BA13)+'Model Setup'!$E$8*(SUMIF($BH$3:$CE$3,"&lt;"&amp;$DF13,$AD13:$BA13)+SUMIF($BH$3:$CE$3,"&gt;"&amp;$CW$4,$AD13:$BA13)),
IF(BV$3=$DF13+'Model Setup'!$F$7,SUMIF($BH$3:$CE$3,"="&amp;$DF13+'Model Setup'!$F$7,$AD13:$BA13)+'Model Setup'!$F$8*(SUMIF($BH$3:$CE$3,"&lt;"&amp;$DF13,$AD13:$BA13)+SUMIF($BH$3:$CE$3,"&gt;"&amp;$CW$4,$AD13:$BA13)),
IF(BV$3=$DF13+'Model Setup'!$G$7,SUMIF($BH$3:$CE$3,"="&amp;$DF13+'Model Setup'!$G$7,$AD13:$BA13)+'Model Setup'!$G$8*(SUMIF($BH$3:$CE$3,"&lt;"&amp;$DF13,$AD13:$BA13)+SUMIF($BH$3:$CE$3,"&gt;"&amp;$CW$4,$AD13:$BA13)),
IF(BV$3=$DF13+'Model Setup'!$H$7,SUMIF($BH$3:$CE$3,"="&amp;$DF13+'Model Setup'!$H$7,$AD13:$BA13)+'Model Setup'!$H$8*(SUMIF($BH$3:$CE$3,"&lt;"&amp;$DF13,$AD13:$BA13)+SUMIF($BH$3:$CE$3,"&gt;"&amp;$CW$4,$AD13:$BA13)),
IF(BV$3=$DF13+'Model Setup'!$I$7,SUMIF($BH$3:$CE$3,"="&amp;$DF13+'Model Setup'!$I$7,$AD13:$BA13)+'Model Setup'!$I$8*(SUMIF($BH$3:$CE$3,"&lt;"&amp;$DF13,$AD13:$BA13)+SUMIF($BH$3:$CE$3,"&gt;"&amp;$CW$4,$AD13:$BA13)),
IF(BV$3=$DF13+'Model Setup'!$J$7,SUMIF($BH$3:$CE$3,"="&amp;$DF13+'Model Setup'!$J$7,$AD13:$BA13)+'Model Setup'!$J$8*(SUMIF($BH$3:$CE$3,"&lt;"&amp;$DF13,$AD13:$BA13)+SUMIF($BH$3:$CE$3,"&gt;"&amp;$CW$4,$AD13:$BA13)),
IF(BV$3=$DF13+'Model Setup'!$K$7,SUMIF($BH$3:$CE$3,"="&amp;$DF13+'Model Setup'!$K$7,$AD13:$BA13)+'Model Setup'!$K$8*(SUMIF($BH$3:$CE$3,"&lt;"&amp;$DF13,$AD13:$BA13)+SUMIF($BH$3:$CE$3,"&gt;"&amp;$CW$4,$AD13:$BA13)),
IF(BV$3=$DF13+'Model Setup'!$L$7,SUMIF($BH$3:$CE$3,"="&amp;$DF13+'Model Setup'!$L$7,$AD13:$BA13)+'Model Setup'!$L$8*(SUMIF($BH$3:$CE$3,"&lt;"&amp;$DF13,$AD13:$BA13)+SUMIF($BH$3:$CE$3,"&gt;"&amp;$CW$4,$AD13:$BA13)),
IF(BV$3=$DF13+'Model Setup'!$M$7,SUMIF($BH$3:$CE$3,"="&amp;$DF13+'Model Setup'!$M$7,$AD13:$BA13)+'Model Setup'!$M$8*(SUMIF($BH$3:$CE$3,"&lt;"&amp;$DF13,$AD13:$BA13)+SUMIF($BH$3:$CE$3,"&gt;"&amp;$CW$4,$AD13:$BA13)),
IF(BV$3=$DF13+'Model Setup'!$N$7,SUMIF($BH$3:$CE$3,"="&amp;$DF13+'Model Setup'!$N$7,$AD13:$BA13)+'Model Setup'!$N$8*(SUMIF($BH$3:$CE$3,"&lt;"&amp;$DF13,$AD13:$BA13)+SUMIF($BH$3:$CE$3,"&gt;"&amp;$CW$4,$AD13:$BA13)),
IF(BV$3&lt;$CW$4,P13,0))))))))))))))),0)</f>
        <v>6</v>
      </c>
      <c r="BW13" s="47">
        <f>ROUND(IF(OR(BW$3&lt;$DF13,BW$3&gt;$CW$4),0,
IF(BW$3=$DF13+'Model Setup'!$B$7,SUMIF($BH$3:$CE$3,"="&amp;$DF13+'Model Setup'!$B$7,$AD13:$BA13)+'Model Setup'!$B$8*(SUMIF($BH$3:$CE$3,"&lt;"&amp;$DF13,$AD13:$BA13)+SUMIF($BH$3:$CE$3,"&gt;"&amp;$CW$4,$AD13:$BA13)),
IF(BW$3=$DF13+'Model Setup'!$C$7,SUMIF($BH$3:$CE$3,"="&amp;$DF13+'Model Setup'!$C$7,$AD13:$BA13)+'Model Setup'!$C$8*(SUMIF($BH$3:$CE$3,"&lt;"&amp;$DF13,$AD13:$BA13)+SUMIF($BH$3:$CE$3,"&gt;"&amp;$CW$4,$AD13:$BA13)),
IF(BW$3=$DF13+'Model Setup'!$D$7,SUMIF($BH$3:$CE$3,"="&amp;$DF13+'Model Setup'!$D$7,$AD13:$BA13)+'Model Setup'!$D$8*(SUMIF($BH$3:$CE$3,"&lt;"&amp;$DF13,$AD13:$BA13)+SUMIF($BH$3:$CE$3,"&gt;"&amp;$CW$4,$AD13:$BA13)),
IF(BW$3=$DF13+'Model Setup'!$E$7,SUMIF($BH$3:$CE$3,"="&amp;$DF13+'Model Setup'!$E$7,$AD13:$BA13)+'Model Setup'!$E$8*(SUMIF($BH$3:$CE$3,"&lt;"&amp;$DF13,$AD13:$BA13)+SUMIF($BH$3:$CE$3,"&gt;"&amp;$CW$4,$AD13:$BA13)),
IF(BW$3=$DF13+'Model Setup'!$F$7,SUMIF($BH$3:$CE$3,"="&amp;$DF13+'Model Setup'!$F$7,$AD13:$BA13)+'Model Setup'!$F$8*(SUMIF($BH$3:$CE$3,"&lt;"&amp;$DF13,$AD13:$BA13)+SUMIF($BH$3:$CE$3,"&gt;"&amp;$CW$4,$AD13:$BA13)),
IF(BW$3=$DF13+'Model Setup'!$G$7,SUMIF($BH$3:$CE$3,"="&amp;$DF13+'Model Setup'!$G$7,$AD13:$BA13)+'Model Setup'!$G$8*(SUMIF($BH$3:$CE$3,"&lt;"&amp;$DF13,$AD13:$BA13)+SUMIF($BH$3:$CE$3,"&gt;"&amp;$CW$4,$AD13:$BA13)),
IF(BW$3=$DF13+'Model Setup'!$H$7,SUMIF($BH$3:$CE$3,"="&amp;$DF13+'Model Setup'!$H$7,$AD13:$BA13)+'Model Setup'!$H$8*(SUMIF($BH$3:$CE$3,"&lt;"&amp;$DF13,$AD13:$BA13)+SUMIF($BH$3:$CE$3,"&gt;"&amp;$CW$4,$AD13:$BA13)),
IF(BW$3=$DF13+'Model Setup'!$I$7,SUMIF($BH$3:$CE$3,"="&amp;$DF13+'Model Setup'!$I$7,$AD13:$BA13)+'Model Setup'!$I$8*(SUMIF($BH$3:$CE$3,"&lt;"&amp;$DF13,$AD13:$BA13)+SUMIF($BH$3:$CE$3,"&gt;"&amp;$CW$4,$AD13:$BA13)),
IF(BW$3=$DF13+'Model Setup'!$J$7,SUMIF($BH$3:$CE$3,"="&amp;$DF13+'Model Setup'!$J$7,$AD13:$BA13)+'Model Setup'!$J$8*(SUMIF($BH$3:$CE$3,"&lt;"&amp;$DF13,$AD13:$BA13)+SUMIF($BH$3:$CE$3,"&gt;"&amp;$CW$4,$AD13:$BA13)),
IF(BW$3=$DF13+'Model Setup'!$K$7,SUMIF($BH$3:$CE$3,"="&amp;$DF13+'Model Setup'!$K$7,$AD13:$BA13)+'Model Setup'!$K$8*(SUMIF($BH$3:$CE$3,"&lt;"&amp;$DF13,$AD13:$BA13)+SUMIF($BH$3:$CE$3,"&gt;"&amp;$CW$4,$AD13:$BA13)),
IF(BW$3=$DF13+'Model Setup'!$L$7,SUMIF($BH$3:$CE$3,"="&amp;$DF13+'Model Setup'!$L$7,$AD13:$BA13)+'Model Setup'!$L$8*(SUMIF($BH$3:$CE$3,"&lt;"&amp;$DF13,$AD13:$BA13)+SUMIF($BH$3:$CE$3,"&gt;"&amp;$CW$4,$AD13:$BA13)),
IF(BW$3=$DF13+'Model Setup'!$M$7,SUMIF($BH$3:$CE$3,"="&amp;$DF13+'Model Setup'!$M$7,$AD13:$BA13)+'Model Setup'!$M$8*(SUMIF($BH$3:$CE$3,"&lt;"&amp;$DF13,$AD13:$BA13)+SUMIF($BH$3:$CE$3,"&gt;"&amp;$CW$4,$AD13:$BA13)),
IF(BW$3=$DF13+'Model Setup'!$N$7,SUMIF($BH$3:$CE$3,"="&amp;$DF13+'Model Setup'!$N$7,$AD13:$BA13)+'Model Setup'!$N$8*(SUMIF($BH$3:$CE$3,"&lt;"&amp;$DF13,$AD13:$BA13)+SUMIF($BH$3:$CE$3,"&gt;"&amp;$CW$4,$AD13:$BA13)),
IF(BW$3&lt;$CW$4,Q13,0))))))))))))))),0)</f>
        <v>8</v>
      </c>
      <c r="BX13" s="47">
        <f>ROUND(IF(OR(BX$3&lt;$DF13,BX$3&gt;$CW$4),0,
IF(BX$3=$DF13+'Model Setup'!$B$7,SUMIF($BH$3:$CE$3,"="&amp;$DF13+'Model Setup'!$B$7,$AD13:$BA13)+'Model Setup'!$B$8*(SUMIF($BH$3:$CE$3,"&lt;"&amp;$DF13,$AD13:$BA13)+SUMIF($BH$3:$CE$3,"&gt;"&amp;$CW$4,$AD13:$BA13)),
IF(BX$3=$DF13+'Model Setup'!$C$7,SUMIF($BH$3:$CE$3,"="&amp;$DF13+'Model Setup'!$C$7,$AD13:$BA13)+'Model Setup'!$C$8*(SUMIF($BH$3:$CE$3,"&lt;"&amp;$DF13,$AD13:$BA13)+SUMIF($BH$3:$CE$3,"&gt;"&amp;$CW$4,$AD13:$BA13)),
IF(BX$3=$DF13+'Model Setup'!$D$7,SUMIF($BH$3:$CE$3,"="&amp;$DF13+'Model Setup'!$D$7,$AD13:$BA13)+'Model Setup'!$D$8*(SUMIF($BH$3:$CE$3,"&lt;"&amp;$DF13,$AD13:$BA13)+SUMIF($BH$3:$CE$3,"&gt;"&amp;$CW$4,$AD13:$BA13)),
IF(BX$3=$DF13+'Model Setup'!$E$7,SUMIF($BH$3:$CE$3,"="&amp;$DF13+'Model Setup'!$E$7,$AD13:$BA13)+'Model Setup'!$E$8*(SUMIF($BH$3:$CE$3,"&lt;"&amp;$DF13,$AD13:$BA13)+SUMIF($BH$3:$CE$3,"&gt;"&amp;$CW$4,$AD13:$BA13)),
IF(BX$3=$DF13+'Model Setup'!$F$7,SUMIF($BH$3:$CE$3,"="&amp;$DF13+'Model Setup'!$F$7,$AD13:$BA13)+'Model Setup'!$F$8*(SUMIF($BH$3:$CE$3,"&lt;"&amp;$DF13,$AD13:$BA13)+SUMIF($BH$3:$CE$3,"&gt;"&amp;$CW$4,$AD13:$BA13)),
IF(BX$3=$DF13+'Model Setup'!$G$7,SUMIF($BH$3:$CE$3,"="&amp;$DF13+'Model Setup'!$G$7,$AD13:$BA13)+'Model Setup'!$G$8*(SUMIF($BH$3:$CE$3,"&lt;"&amp;$DF13,$AD13:$BA13)+SUMIF($BH$3:$CE$3,"&gt;"&amp;$CW$4,$AD13:$BA13)),
IF(BX$3=$DF13+'Model Setup'!$H$7,SUMIF($BH$3:$CE$3,"="&amp;$DF13+'Model Setup'!$H$7,$AD13:$BA13)+'Model Setup'!$H$8*(SUMIF($BH$3:$CE$3,"&lt;"&amp;$DF13,$AD13:$BA13)+SUMIF($BH$3:$CE$3,"&gt;"&amp;$CW$4,$AD13:$BA13)),
IF(BX$3=$DF13+'Model Setup'!$I$7,SUMIF($BH$3:$CE$3,"="&amp;$DF13+'Model Setup'!$I$7,$AD13:$BA13)+'Model Setup'!$I$8*(SUMIF($BH$3:$CE$3,"&lt;"&amp;$DF13,$AD13:$BA13)+SUMIF($BH$3:$CE$3,"&gt;"&amp;$CW$4,$AD13:$BA13)),
IF(BX$3=$DF13+'Model Setup'!$J$7,SUMIF($BH$3:$CE$3,"="&amp;$DF13+'Model Setup'!$J$7,$AD13:$BA13)+'Model Setup'!$J$8*(SUMIF($BH$3:$CE$3,"&lt;"&amp;$DF13,$AD13:$BA13)+SUMIF($BH$3:$CE$3,"&gt;"&amp;$CW$4,$AD13:$BA13)),
IF(BX$3=$DF13+'Model Setup'!$K$7,SUMIF($BH$3:$CE$3,"="&amp;$DF13+'Model Setup'!$K$7,$AD13:$BA13)+'Model Setup'!$K$8*(SUMIF($BH$3:$CE$3,"&lt;"&amp;$DF13,$AD13:$BA13)+SUMIF($BH$3:$CE$3,"&gt;"&amp;$CW$4,$AD13:$BA13)),
IF(BX$3=$DF13+'Model Setup'!$L$7,SUMIF($BH$3:$CE$3,"="&amp;$DF13+'Model Setup'!$L$7,$AD13:$BA13)+'Model Setup'!$L$8*(SUMIF($BH$3:$CE$3,"&lt;"&amp;$DF13,$AD13:$BA13)+SUMIF($BH$3:$CE$3,"&gt;"&amp;$CW$4,$AD13:$BA13)),
IF(BX$3=$DF13+'Model Setup'!$M$7,SUMIF($BH$3:$CE$3,"="&amp;$DF13+'Model Setup'!$M$7,$AD13:$BA13)+'Model Setup'!$M$8*(SUMIF($BH$3:$CE$3,"&lt;"&amp;$DF13,$AD13:$BA13)+SUMIF($BH$3:$CE$3,"&gt;"&amp;$CW$4,$AD13:$BA13)),
IF(BX$3=$DF13+'Model Setup'!$N$7,SUMIF($BH$3:$CE$3,"="&amp;$DF13+'Model Setup'!$N$7,$AD13:$BA13)+'Model Setup'!$N$8*(SUMIF($BH$3:$CE$3,"&lt;"&amp;$DF13,$AD13:$BA13)+SUMIF($BH$3:$CE$3,"&gt;"&amp;$CW$4,$AD13:$BA13)),
IF(BX$3&lt;$CW$4,R13,0))))))))))))))),0)</f>
        <v>9</v>
      </c>
      <c r="BY13" s="47">
        <f>ROUND(IF(OR(BY$3&lt;$DF13,BY$3&gt;$CW$4),0,
IF(BY$3=$DF13+'Model Setup'!$B$7,SUMIF($BH$3:$CE$3,"="&amp;$DF13+'Model Setup'!$B$7,$AD13:$BA13)+'Model Setup'!$B$8*(SUMIF($BH$3:$CE$3,"&lt;"&amp;$DF13,$AD13:$BA13)+SUMIF($BH$3:$CE$3,"&gt;"&amp;$CW$4,$AD13:$BA13)),
IF(BY$3=$DF13+'Model Setup'!$C$7,SUMIF($BH$3:$CE$3,"="&amp;$DF13+'Model Setup'!$C$7,$AD13:$BA13)+'Model Setup'!$C$8*(SUMIF($BH$3:$CE$3,"&lt;"&amp;$DF13,$AD13:$BA13)+SUMIF($BH$3:$CE$3,"&gt;"&amp;$CW$4,$AD13:$BA13)),
IF(BY$3=$DF13+'Model Setup'!$D$7,SUMIF($BH$3:$CE$3,"="&amp;$DF13+'Model Setup'!$D$7,$AD13:$BA13)+'Model Setup'!$D$8*(SUMIF($BH$3:$CE$3,"&lt;"&amp;$DF13,$AD13:$BA13)+SUMIF($BH$3:$CE$3,"&gt;"&amp;$CW$4,$AD13:$BA13)),
IF(BY$3=$DF13+'Model Setup'!$E$7,SUMIF($BH$3:$CE$3,"="&amp;$DF13+'Model Setup'!$E$7,$AD13:$BA13)+'Model Setup'!$E$8*(SUMIF($BH$3:$CE$3,"&lt;"&amp;$DF13,$AD13:$BA13)+SUMIF($BH$3:$CE$3,"&gt;"&amp;$CW$4,$AD13:$BA13)),
IF(BY$3=$DF13+'Model Setup'!$F$7,SUMIF($BH$3:$CE$3,"="&amp;$DF13+'Model Setup'!$F$7,$AD13:$BA13)+'Model Setup'!$F$8*(SUMIF($BH$3:$CE$3,"&lt;"&amp;$DF13,$AD13:$BA13)+SUMIF($BH$3:$CE$3,"&gt;"&amp;$CW$4,$AD13:$BA13)),
IF(BY$3=$DF13+'Model Setup'!$G$7,SUMIF($BH$3:$CE$3,"="&amp;$DF13+'Model Setup'!$G$7,$AD13:$BA13)+'Model Setup'!$G$8*(SUMIF($BH$3:$CE$3,"&lt;"&amp;$DF13,$AD13:$BA13)+SUMIF($BH$3:$CE$3,"&gt;"&amp;$CW$4,$AD13:$BA13)),
IF(BY$3=$DF13+'Model Setup'!$H$7,SUMIF($BH$3:$CE$3,"="&amp;$DF13+'Model Setup'!$H$7,$AD13:$BA13)+'Model Setup'!$H$8*(SUMIF($BH$3:$CE$3,"&lt;"&amp;$DF13,$AD13:$BA13)+SUMIF($BH$3:$CE$3,"&gt;"&amp;$CW$4,$AD13:$BA13)),
IF(BY$3=$DF13+'Model Setup'!$I$7,SUMIF($BH$3:$CE$3,"="&amp;$DF13+'Model Setup'!$I$7,$AD13:$BA13)+'Model Setup'!$I$8*(SUMIF($BH$3:$CE$3,"&lt;"&amp;$DF13,$AD13:$BA13)+SUMIF($BH$3:$CE$3,"&gt;"&amp;$CW$4,$AD13:$BA13)),
IF(BY$3=$DF13+'Model Setup'!$J$7,SUMIF($BH$3:$CE$3,"="&amp;$DF13+'Model Setup'!$J$7,$AD13:$BA13)+'Model Setup'!$J$8*(SUMIF($BH$3:$CE$3,"&lt;"&amp;$DF13,$AD13:$BA13)+SUMIF($BH$3:$CE$3,"&gt;"&amp;$CW$4,$AD13:$BA13)),
IF(BY$3=$DF13+'Model Setup'!$K$7,SUMIF($BH$3:$CE$3,"="&amp;$DF13+'Model Setup'!$K$7,$AD13:$BA13)+'Model Setup'!$K$8*(SUMIF($BH$3:$CE$3,"&lt;"&amp;$DF13,$AD13:$BA13)+SUMIF($BH$3:$CE$3,"&gt;"&amp;$CW$4,$AD13:$BA13)),
IF(BY$3=$DF13+'Model Setup'!$L$7,SUMIF($BH$3:$CE$3,"="&amp;$DF13+'Model Setup'!$L$7,$AD13:$BA13)+'Model Setup'!$L$8*(SUMIF($BH$3:$CE$3,"&lt;"&amp;$DF13,$AD13:$BA13)+SUMIF($BH$3:$CE$3,"&gt;"&amp;$CW$4,$AD13:$BA13)),
IF(BY$3=$DF13+'Model Setup'!$M$7,SUMIF($BH$3:$CE$3,"="&amp;$DF13+'Model Setup'!$M$7,$AD13:$BA13)+'Model Setup'!$M$8*(SUMIF($BH$3:$CE$3,"&lt;"&amp;$DF13,$AD13:$BA13)+SUMIF($BH$3:$CE$3,"&gt;"&amp;$CW$4,$AD13:$BA13)),
IF(BY$3=$DF13+'Model Setup'!$N$7,SUMIF($BH$3:$CE$3,"="&amp;$DF13+'Model Setup'!$N$7,$AD13:$BA13)+'Model Setup'!$N$8*(SUMIF($BH$3:$CE$3,"&lt;"&amp;$DF13,$AD13:$BA13)+SUMIF($BH$3:$CE$3,"&gt;"&amp;$CW$4,$AD13:$BA13)),
IF(BY$3&lt;$CW$4,S13,0))))))))))))))),0)</f>
        <v>10</v>
      </c>
      <c r="BZ13" s="47">
        <f>ROUND(IF(OR(BZ$3&lt;$DF13,BZ$3&gt;$CW$4),0,
IF(BZ$3=$DF13+'Model Setup'!$B$7,SUMIF($BH$3:$CE$3,"="&amp;$DF13+'Model Setup'!$B$7,$AD13:$BA13)+'Model Setup'!$B$8*(SUMIF($BH$3:$CE$3,"&lt;"&amp;$DF13,$AD13:$BA13)+SUMIF($BH$3:$CE$3,"&gt;"&amp;$CW$4,$AD13:$BA13)),
IF(BZ$3=$DF13+'Model Setup'!$C$7,SUMIF($BH$3:$CE$3,"="&amp;$DF13+'Model Setup'!$C$7,$AD13:$BA13)+'Model Setup'!$C$8*(SUMIF($BH$3:$CE$3,"&lt;"&amp;$DF13,$AD13:$BA13)+SUMIF($BH$3:$CE$3,"&gt;"&amp;$CW$4,$AD13:$BA13)),
IF(BZ$3=$DF13+'Model Setup'!$D$7,SUMIF($BH$3:$CE$3,"="&amp;$DF13+'Model Setup'!$D$7,$AD13:$BA13)+'Model Setup'!$D$8*(SUMIF($BH$3:$CE$3,"&lt;"&amp;$DF13,$AD13:$BA13)+SUMIF($BH$3:$CE$3,"&gt;"&amp;$CW$4,$AD13:$BA13)),
IF(BZ$3=$DF13+'Model Setup'!$E$7,SUMIF($BH$3:$CE$3,"="&amp;$DF13+'Model Setup'!$E$7,$AD13:$BA13)+'Model Setup'!$E$8*(SUMIF($BH$3:$CE$3,"&lt;"&amp;$DF13,$AD13:$BA13)+SUMIF($BH$3:$CE$3,"&gt;"&amp;$CW$4,$AD13:$BA13)),
IF(BZ$3=$DF13+'Model Setup'!$F$7,SUMIF($BH$3:$CE$3,"="&amp;$DF13+'Model Setup'!$F$7,$AD13:$BA13)+'Model Setup'!$F$8*(SUMIF($BH$3:$CE$3,"&lt;"&amp;$DF13,$AD13:$BA13)+SUMIF($BH$3:$CE$3,"&gt;"&amp;$CW$4,$AD13:$BA13)),
IF(BZ$3=$DF13+'Model Setup'!$G$7,SUMIF($BH$3:$CE$3,"="&amp;$DF13+'Model Setup'!$G$7,$AD13:$BA13)+'Model Setup'!$G$8*(SUMIF($BH$3:$CE$3,"&lt;"&amp;$DF13,$AD13:$BA13)+SUMIF($BH$3:$CE$3,"&gt;"&amp;$CW$4,$AD13:$BA13)),
IF(BZ$3=$DF13+'Model Setup'!$H$7,SUMIF($BH$3:$CE$3,"="&amp;$DF13+'Model Setup'!$H$7,$AD13:$BA13)+'Model Setup'!$H$8*(SUMIF($BH$3:$CE$3,"&lt;"&amp;$DF13,$AD13:$BA13)+SUMIF($BH$3:$CE$3,"&gt;"&amp;$CW$4,$AD13:$BA13)),
IF(BZ$3=$DF13+'Model Setup'!$I$7,SUMIF($BH$3:$CE$3,"="&amp;$DF13+'Model Setup'!$I$7,$AD13:$BA13)+'Model Setup'!$I$8*(SUMIF($BH$3:$CE$3,"&lt;"&amp;$DF13,$AD13:$BA13)+SUMIF($BH$3:$CE$3,"&gt;"&amp;$CW$4,$AD13:$BA13)),
IF(BZ$3=$DF13+'Model Setup'!$J$7,SUMIF($BH$3:$CE$3,"="&amp;$DF13+'Model Setup'!$J$7,$AD13:$BA13)+'Model Setup'!$J$8*(SUMIF($BH$3:$CE$3,"&lt;"&amp;$DF13,$AD13:$BA13)+SUMIF($BH$3:$CE$3,"&gt;"&amp;$CW$4,$AD13:$BA13)),
IF(BZ$3=$DF13+'Model Setup'!$K$7,SUMIF($BH$3:$CE$3,"="&amp;$DF13+'Model Setup'!$K$7,$AD13:$BA13)+'Model Setup'!$K$8*(SUMIF($BH$3:$CE$3,"&lt;"&amp;$DF13,$AD13:$BA13)+SUMIF($BH$3:$CE$3,"&gt;"&amp;$CW$4,$AD13:$BA13)),
IF(BZ$3=$DF13+'Model Setup'!$L$7,SUMIF($BH$3:$CE$3,"="&amp;$DF13+'Model Setup'!$L$7,$AD13:$BA13)+'Model Setup'!$L$8*(SUMIF($BH$3:$CE$3,"&lt;"&amp;$DF13,$AD13:$BA13)+SUMIF($BH$3:$CE$3,"&gt;"&amp;$CW$4,$AD13:$BA13)),
IF(BZ$3=$DF13+'Model Setup'!$M$7,SUMIF($BH$3:$CE$3,"="&amp;$DF13+'Model Setup'!$M$7,$AD13:$BA13)+'Model Setup'!$M$8*(SUMIF($BH$3:$CE$3,"&lt;"&amp;$DF13,$AD13:$BA13)+SUMIF($BH$3:$CE$3,"&gt;"&amp;$CW$4,$AD13:$BA13)),
IF(BZ$3=$DF13+'Model Setup'!$N$7,SUMIF($BH$3:$CE$3,"="&amp;$DF13+'Model Setup'!$N$7,$AD13:$BA13)+'Model Setup'!$N$8*(SUMIF($BH$3:$CE$3,"&lt;"&amp;$DF13,$AD13:$BA13)+SUMIF($BH$3:$CE$3,"&gt;"&amp;$CW$4,$AD13:$BA13)),
IF(BZ$3&lt;$CW$4,T13,0))))))))))))))),0)</f>
        <v>0</v>
      </c>
      <c r="CA13" s="47">
        <f>ROUND(IF(OR(CA$3&lt;$DF13,CA$3&gt;$CW$4),0,
IF(CA$3=$DF13+'Model Setup'!$B$7,SUMIF($BH$3:$CE$3,"="&amp;$DF13+'Model Setup'!$B$7,$AD13:$BA13)+'Model Setup'!$B$8*(SUMIF($BH$3:$CE$3,"&lt;"&amp;$DF13,$AD13:$BA13)+SUMIF($BH$3:$CE$3,"&gt;"&amp;$CW$4,$AD13:$BA13)),
IF(CA$3=$DF13+'Model Setup'!$C$7,SUMIF($BH$3:$CE$3,"="&amp;$DF13+'Model Setup'!$C$7,$AD13:$BA13)+'Model Setup'!$C$8*(SUMIF($BH$3:$CE$3,"&lt;"&amp;$DF13,$AD13:$BA13)+SUMIF($BH$3:$CE$3,"&gt;"&amp;$CW$4,$AD13:$BA13)),
IF(CA$3=$DF13+'Model Setup'!$D$7,SUMIF($BH$3:$CE$3,"="&amp;$DF13+'Model Setup'!$D$7,$AD13:$BA13)+'Model Setup'!$D$8*(SUMIF($BH$3:$CE$3,"&lt;"&amp;$DF13,$AD13:$BA13)+SUMIF($BH$3:$CE$3,"&gt;"&amp;$CW$4,$AD13:$BA13)),
IF(CA$3=$DF13+'Model Setup'!$E$7,SUMIF($BH$3:$CE$3,"="&amp;$DF13+'Model Setup'!$E$7,$AD13:$BA13)+'Model Setup'!$E$8*(SUMIF($BH$3:$CE$3,"&lt;"&amp;$DF13,$AD13:$BA13)+SUMIF($BH$3:$CE$3,"&gt;"&amp;$CW$4,$AD13:$BA13)),
IF(CA$3=$DF13+'Model Setup'!$F$7,SUMIF($BH$3:$CE$3,"="&amp;$DF13+'Model Setup'!$F$7,$AD13:$BA13)+'Model Setup'!$F$8*(SUMIF($BH$3:$CE$3,"&lt;"&amp;$DF13,$AD13:$BA13)+SUMIF($BH$3:$CE$3,"&gt;"&amp;$CW$4,$AD13:$BA13)),
IF(CA$3=$DF13+'Model Setup'!$G$7,SUMIF($BH$3:$CE$3,"="&amp;$DF13+'Model Setup'!$G$7,$AD13:$BA13)+'Model Setup'!$G$8*(SUMIF($BH$3:$CE$3,"&lt;"&amp;$DF13,$AD13:$BA13)+SUMIF($BH$3:$CE$3,"&gt;"&amp;$CW$4,$AD13:$BA13)),
IF(CA$3=$DF13+'Model Setup'!$H$7,SUMIF($BH$3:$CE$3,"="&amp;$DF13+'Model Setup'!$H$7,$AD13:$BA13)+'Model Setup'!$H$8*(SUMIF($BH$3:$CE$3,"&lt;"&amp;$DF13,$AD13:$BA13)+SUMIF($BH$3:$CE$3,"&gt;"&amp;$CW$4,$AD13:$BA13)),
IF(CA$3=$DF13+'Model Setup'!$I$7,SUMIF($BH$3:$CE$3,"="&amp;$DF13+'Model Setup'!$I$7,$AD13:$BA13)+'Model Setup'!$I$8*(SUMIF($BH$3:$CE$3,"&lt;"&amp;$DF13,$AD13:$BA13)+SUMIF($BH$3:$CE$3,"&gt;"&amp;$CW$4,$AD13:$BA13)),
IF(CA$3=$DF13+'Model Setup'!$J$7,SUMIF($BH$3:$CE$3,"="&amp;$DF13+'Model Setup'!$J$7,$AD13:$BA13)+'Model Setup'!$J$8*(SUMIF($BH$3:$CE$3,"&lt;"&amp;$DF13,$AD13:$BA13)+SUMIF($BH$3:$CE$3,"&gt;"&amp;$CW$4,$AD13:$BA13)),
IF(CA$3=$DF13+'Model Setup'!$K$7,SUMIF($BH$3:$CE$3,"="&amp;$DF13+'Model Setup'!$K$7,$AD13:$BA13)+'Model Setup'!$K$8*(SUMIF($BH$3:$CE$3,"&lt;"&amp;$DF13,$AD13:$BA13)+SUMIF($BH$3:$CE$3,"&gt;"&amp;$CW$4,$AD13:$BA13)),
IF(CA$3=$DF13+'Model Setup'!$L$7,SUMIF($BH$3:$CE$3,"="&amp;$DF13+'Model Setup'!$L$7,$AD13:$BA13)+'Model Setup'!$L$8*(SUMIF($BH$3:$CE$3,"&lt;"&amp;$DF13,$AD13:$BA13)+SUMIF($BH$3:$CE$3,"&gt;"&amp;$CW$4,$AD13:$BA13)),
IF(CA$3=$DF13+'Model Setup'!$M$7,SUMIF($BH$3:$CE$3,"="&amp;$DF13+'Model Setup'!$M$7,$AD13:$BA13)+'Model Setup'!$M$8*(SUMIF($BH$3:$CE$3,"&lt;"&amp;$DF13,$AD13:$BA13)+SUMIF($BH$3:$CE$3,"&gt;"&amp;$CW$4,$AD13:$BA13)),
IF(CA$3=$DF13+'Model Setup'!$N$7,SUMIF($BH$3:$CE$3,"="&amp;$DF13+'Model Setup'!$N$7,$AD13:$BA13)+'Model Setup'!$N$8*(SUMIF($BH$3:$CE$3,"&lt;"&amp;$DF13,$AD13:$BA13)+SUMIF($BH$3:$CE$3,"&gt;"&amp;$CW$4,$AD13:$BA13)),
IF(CA$3&lt;$CW$4,U13,0))))))))))))))),0)</f>
        <v>0</v>
      </c>
      <c r="CB13" s="47">
        <f>ROUND(IF(OR(CB$3&lt;$DF13,CB$3&gt;$CW$4),0,
IF(CB$3=$DF13+'Model Setup'!$B$7,SUMIF($BH$3:$CE$3,"="&amp;$DF13+'Model Setup'!$B$7,$AD13:$BA13)+'Model Setup'!$B$8*(SUMIF($BH$3:$CE$3,"&lt;"&amp;$DF13,$AD13:$BA13)+SUMIF($BH$3:$CE$3,"&gt;"&amp;$CW$4,$AD13:$BA13)),
IF(CB$3=$DF13+'Model Setup'!$C$7,SUMIF($BH$3:$CE$3,"="&amp;$DF13+'Model Setup'!$C$7,$AD13:$BA13)+'Model Setup'!$C$8*(SUMIF($BH$3:$CE$3,"&lt;"&amp;$DF13,$AD13:$BA13)+SUMIF($BH$3:$CE$3,"&gt;"&amp;$CW$4,$AD13:$BA13)),
IF(CB$3=$DF13+'Model Setup'!$D$7,SUMIF($BH$3:$CE$3,"="&amp;$DF13+'Model Setup'!$D$7,$AD13:$BA13)+'Model Setup'!$D$8*(SUMIF($BH$3:$CE$3,"&lt;"&amp;$DF13,$AD13:$BA13)+SUMIF($BH$3:$CE$3,"&gt;"&amp;$CW$4,$AD13:$BA13)),
IF(CB$3=$DF13+'Model Setup'!$E$7,SUMIF($BH$3:$CE$3,"="&amp;$DF13+'Model Setup'!$E$7,$AD13:$BA13)+'Model Setup'!$E$8*(SUMIF($BH$3:$CE$3,"&lt;"&amp;$DF13,$AD13:$BA13)+SUMIF($BH$3:$CE$3,"&gt;"&amp;$CW$4,$AD13:$BA13)),
IF(CB$3=$DF13+'Model Setup'!$F$7,SUMIF($BH$3:$CE$3,"="&amp;$DF13+'Model Setup'!$F$7,$AD13:$BA13)+'Model Setup'!$F$8*(SUMIF($BH$3:$CE$3,"&lt;"&amp;$DF13,$AD13:$BA13)+SUMIF($BH$3:$CE$3,"&gt;"&amp;$CW$4,$AD13:$BA13)),
IF(CB$3=$DF13+'Model Setup'!$G$7,SUMIF($BH$3:$CE$3,"="&amp;$DF13+'Model Setup'!$G$7,$AD13:$BA13)+'Model Setup'!$G$8*(SUMIF($BH$3:$CE$3,"&lt;"&amp;$DF13,$AD13:$BA13)+SUMIF($BH$3:$CE$3,"&gt;"&amp;$CW$4,$AD13:$BA13)),
IF(CB$3=$DF13+'Model Setup'!$H$7,SUMIF($BH$3:$CE$3,"="&amp;$DF13+'Model Setup'!$H$7,$AD13:$BA13)+'Model Setup'!$H$8*(SUMIF($BH$3:$CE$3,"&lt;"&amp;$DF13,$AD13:$BA13)+SUMIF($BH$3:$CE$3,"&gt;"&amp;$CW$4,$AD13:$BA13)),
IF(CB$3=$DF13+'Model Setup'!$I$7,SUMIF($BH$3:$CE$3,"="&amp;$DF13+'Model Setup'!$I$7,$AD13:$BA13)+'Model Setup'!$I$8*(SUMIF($BH$3:$CE$3,"&lt;"&amp;$DF13,$AD13:$BA13)+SUMIF($BH$3:$CE$3,"&gt;"&amp;$CW$4,$AD13:$BA13)),
IF(CB$3=$DF13+'Model Setup'!$J$7,SUMIF($BH$3:$CE$3,"="&amp;$DF13+'Model Setup'!$J$7,$AD13:$BA13)+'Model Setup'!$J$8*(SUMIF($BH$3:$CE$3,"&lt;"&amp;$DF13,$AD13:$BA13)+SUMIF($BH$3:$CE$3,"&gt;"&amp;$CW$4,$AD13:$BA13)),
IF(CB$3=$DF13+'Model Setup'!$K$7,SUMIF($BH$3:$CE$3,"="&amp;$DF13+'Model Setup'!$K$7,$AD13:$BA13)+'Model Setup'!$K$8*(SUMIF($BH$3:$CE$3,"&lt;"&amp;$DF13,$AD13:$BA13)+SUMIF($BH$3:$CE$3,"&gt;"&amp;$CW$4,$AD13:$BA13)),
IF(CB$3=$DF13+'Model Setup'!$L$7,SUMIF($BH$3:$CE$3,"="&amp;$DF13+'Model Setup'!$L$7,$AD13:$BA13)+'Model Setup'!$L$8*(SUMIF($BH$3:$CE$3,"&lt;"&amp;$DF13,$AD13:$BA13)+SUMIF($BH$3:$CE$3,"&gt;"&amp;$CW$4,$AD13:$BA13)),
IF(CB$3=$DF13+'Model Setup'!$M$7,SUMIF($BH$3:$CE$3,"="&amp;$DF13+'Model Setup'!$M$7,$AD13:$BA13)+'Model Setup'!$M$8*(SUMIF($BH$3:$CE$3,"&lt;"&amp;$DF13,$AD13:$BA13)+SUMIF($BH$3:$CE$3,"&gt;"&amp;$CW$4,$AD13:$BA13)),
IF(CB$3=$DF13+'Model Setup'!$N$7,SUMIF($BH$3:$CE$3,"="&amp;$DF13+'Model Setup'!$N$7,$AD13:$BA13)+'Model Setup'!$N$8*(SUMIF($BH$3:$CE$3,"&lt;"&amp;$DF13,$AD13:$BA13)+SUMIF($BH$3:$CE$3,"&gt;"&amp;$CW$4,$AD13:$BA13)),
IF(CB$3&lt;$CW$4,V13,0))))))))))))))),0)</f>
        <v>0</v>
      </c>
      <c r="CC13" s="47">
        <f>ROUND(IF(OR(CC$3&lt;$DF13,CC$3&gt;$CW$4),0,
IF(CC$3=$DF13+'Model Setup'!$B$7,SUMIF($BH$3:$CE$3,"="&amp;$DF13+'Model Setup'!$B$7,$AD13:$BA13)+'Model Setup'!$B$8*(SUMIF($BH$3:$CE$3,"&lt;"&amp;$DF13,$AD13:$BA13)+SUMIF($BH$3:$CE$3,"&gt;"&amp;$CW$4,$AD13:$BA13)),
IF(CC$3=$DF13+'Model Setup'!$C$7,SUMIF($BH$3:$CE$3,"="&amp;$DF13+'Model Setup'!$C$7,$AD13:$BA13)+'Model Setup'!$C$8*(SUMIF($BH$3:$CE$3,"&lt;"&amp;$DF13,$AD13:$BA13)+SUMIF($BH$3:$CE$3,"&gt;"&amp;$CW$4,$AD13:$BA13)),
IF(CC$3=$DF13+'Model Setup'!$D$7,SUMIF($BH$3:$CE$3,"="&amp;$DF13+'Model Setup'!$D$7,$AD13:$BA13)+'Model Setup'!$D$8*(SUMIF($BH$3:$CE$3,"&lt;"&amp;$DF13,$AD13:$BA13)+SUMIF($BH$3:$CE$3,"&gt;"&amp;$CW$4,$AD13:$BA13)),
IF(CC$3=$DF13+'Model Setup'!$E$7,SUMIF($BH$3:$CE$3,"="&amp;$DF13+'Model Setup'!$E$7,$AD13:$BA13)+'Model Setup'!$E$8*(SUMIF($BH$3:$CE$3,"&lt;"&amp;$DF13,$AD13:$BA13)+SUMIF($BH$3:$CE$3,"&gt;"&amp;$CW$4,$AD13:$BA13)),
IF(CC$3=$DF13+'Model Setup'!$F$7,SUMIF($BH$3:$CE$3,"="&amp;$DF13+'Model Setup'!$F$7,$AD13:$BA13)+'Model Setup'!$F$8*(SUMIF($BH$3:$CE$3,"&lt;"&amp;$DF13,$AD13:$BA13)+SUMIF($BH$3:$CE$3,"&gt;"&amp;$CW$4,$AD13:$BA13)),
IF(CC$3=$DF13+'Model Setup'!$G$7,SUMIF($BH$3:$CE$3,"="&amp;$DF13+'Model Setup'!$G$7,$AD13:$BA13)+'Model Setup'!$G$8*(SUMIF($BH$3:$CE$3,"&lt;"&amp;$DF13,$AD13:$BA13)+SUMIF($BH$3:$CE$3,"&gt;"&amp;$CW$4,$AD13:$BA13)),
IF(CC$3=$DF13+'Model Setup'!$H$7,SUMIF($BH$3:$CE$3,"="&amp;$DF13+'Model Setup'!$H$7,$AD13:$BA13)+'Model Setup'!$H$8*(SUMIF($BH$3:$CE$3,"&lt;"&amp;$DF13,$AD13:$BA13)+SUMIF($BH$3:$CE$3,"&gt;"&amp;$CW$4,$AD13:$BA13)),
IF(CC$3=$DF13+'Model Setup'!$I$7,SUMIF($BH$3:$CE$3,"="&amp;$DF13+'Model Setup'!$I$7,$AD13:$BA13)+'Model Setup'!$I$8*(SUMIF($BH$3:$CE$3,"&lt;"&amp;$DF13,$AD13:$BA13)+SUMIF($BH$3:$CE$3,"&gt;"&amp;$CW$4,$AD13:$BA13)),
IF(CC$3=$DF13+'Model Setup'!$J$7,SUMIF($BH$3:$CE$3,"="&amp;$DF13+'Model Setup'!$J$7,$AD13:$BA13)+'Model Setup'!$J$8*(SUMIF($BH$3:$CE$3,"&lt;"&amp;$DF13,$AD13:$BA13)+SUMIF($BH$3:$CE$3,"&gt;"&amp;$CW$4,$AD13:$BA13)),
IF(CC$3=$DF13+'Model Setup'!$K$7,SUMIF($BH$3:$CE$3,"="&amp;$DF13+'Model Setup'!$K$7,$AD13:$BA13)+'Model Setup'!$K$8*(SUMIF($BH$3:$CE$3,"&lt;"&amp;$DF13,$AD13:$BA13)+SUMIF($BH$3:$CE$3,"&gt;"&amp;$CW$4,$AD13:$BA13)),
IF(CC$3=$DF13+'Model Setup'!$L$7,SUMIF($BH$3:$CE$3,"="&amp;$DF13+'Model Setup'!$L$7,$AD13:$BA13)+'Model Setup'!$L$8*(SUMIF($BH$3:$CE$3,"&lt;"&amp;$DF13,$AD13:$BA13)+SUMIF($BH$3:$CE$3,"&gt;"&amp;$CW$4,$AD13:$BA13)),
IF(CC$3=$DF13+'Model Setup'!$M$7,SUMIF($BH$3:$CE$3,"="&amp;$DF13+'Model Setup'!$M$7,$AD13:$BA13)+'Model Setup'!$M$8*(SUMIF($BH$3:$CE$3,"&lt;"&amp;$DF13,$AD13:$BA13)+SUMIF($BH$3:$CE$3,"&gt;"&amp;$CW$4,$AD13:$BA13)),
IF(CC$3=$DF13+'Model Setup'!$N$7,SUMIF($BH$3:$CE$3,"="&amp;$DF13+'Model Setup'!$N$7,$AD13:$BA13)+'Model Setup'!$N$8*(SUMIF($BH$3:$CE$3,"&lt;"&amp;$DF13,$AD13:$BA13)+SUMIF($BH$3:$CE$3,"&gt;"&amp;$CW$4,$AD13:$BA13)),
IF(CC$3&lt;$CW$4,W13,0))))))))))))))),0)</f>
        <v>0</v>
      </c>
      <c r="CD13" s="47">
        <f>ROUND(IF(OR(CD$3&lt;$DF13,CD$3&gt;$CW$4),0,
IF(CD$3=$DF13+'Model Setup'!$B$7,SUMIF($BH$3:$CE$3,"="&amp;$DF13+'Model Setup'!$B$7,$AD13:$BA13)+'Model Setup'!$B$8*(SUMIF($BH$3:$CE$3,"&lt;"&amp;$DF13,$AD13:$BA13)+SUMIF($BH$3:$CE$3,"&gt;"&amp;$CW$4,$AD13:$BA13)),
IF(CD$3=$DF13+'Model Setup'!$C$7,SUMIF($BH$3:$CE$3,"="&amp;$DF13+'Model Setup'!$C$7,$AD13:$BA13)+'Model Setup'!$C$8*(SUMIF($BH$3:$CE$3,"&lt;"&amp;$DF13,$AD13:$BA13)+SUMIF($BH$3:$CE$3,"&gt;"&amp;$CW$4,$AD13:$BA13)),
IF(CD$3=$DF13+'Model Setup'!$D$7,SUMIF($BH$3:$CE$3,"="&amp;$DF13+'Model Setup'!$D$7,$AD13:$BA13)+'Model Setup'!$D$8*(SUMIF($BH$3:$CE$3,"&lt;"&amp;$DF13,$AD13:$BA13)+SUMIF($BH$3:$CE$3,"&gt;"&amp;$CW$4,$AD13:$BA13)),
IF(CD$3=$DF13+'Model Setup'!$E$7,SUMIF($BH$3:$CE$3,"="&amp;$DF13+'Model Setup'!$E$7,$AD13:$BA13)+'Model Setup'!$E$8*(SUMIF($BH$3:$CE$3,"&lt;"&amp;$DF13,$AD13:$BA13)+SUMIF($BH$3:$CE$3,"&gt;"&amp;$CW$4,$AD13:$BA13)),
IF(CD$3=$DF13+'Model Setup'!$F$7,SUMIF($BH$3:$CE$3,"="&amp;$DF13+'Model Setup'!$F$7,$AD13:$BA13)+'Model Setup'!$F$8*(SUMIF($BH$3:$CE$3,"&lt;"&amp;$DF13,$AD13:$BA13)+SUMIF($BH$3:$CE$3,"&gt;"&amp;$CW$4,$AD13:$BA13)),
IF(CD$3=$DF13+'Model Setup'!$G$7,SUMIF($BH$3:$CE$3,"="&amp;$DF13+'Model Setup'!$G$7,$AD13:$BA13)+'Model Setup'!$G$8*(SUMIF($BH$3:$CE$3,"&lt;"&amp;$DF13,$AD13:$BA13)+SUMIF($BH$3:$CE$3,"&gt;"&amp;$CW$4,$AD13:$BA13)),
IF(CD$3=$DF13+'Model Setup'!$H$7,SUMIF($BH$3:$CE$3,"="&amp;$DF13+'Model Setup'!$H$7,$AD13:$BA13)+'Model Setup'!$H$8*(SUMIF($BH$3:$CE$3,"&lt;"&amp;$DF13,$AD13:$BA13)+SUMIF($BH$3:$CE$3,"&gt;"&amp;$CW$4,$AD13:$BA13)),
IF(CD$3=$DF13+'Model Setup'!$I$7,SUMIF($BH$3:$CE$3,"="&amp;$DF13+'Model Setup'!$I$7,$AD13:$BA13)+'Model Setup'!$I$8*(SUMIF($BH$3:$CE$3,"&lt;"&amp;$DF13,$AD13:$BA13)+SUMIF($BH$3:$CE$3,"&gt;"&amp;$CW$4,$AD13:$BA13)),
IF(CD$3=$DF13+'Model Setup'!$J$7,SUMIF($BH$3:$CE$3,"="&amp;$DF13+'Model Setup'!$J$7,$AD13:$BA13)+'Model Setup'!$J$8*(SUMIF($BH$3:$CE$3,"&lt;"&amp;$DF13,$AD13:$BA13)+SUMIF($BH$3:$CE$3,"&gt;"&amp;$CW$4,$AD13:$BA13)),
IF(CD$3=$DF13+'Model Setup'!$K$7,SUMIF($BH$3:$CE$3,"="&amp;$DF13+'Model Setup'!$K$7,$AD13:$BA13)+'Model Setup'!$K$8*(SUMIF($BH$3:$CE$3,"&lt;"&amp;$DF13,$AD13:$BA13)+SUMIF($BH$3:$CE$3,"&gt;"&amp;$CW$4,$AD13:$BA13)),
IF(CD$3=$DF13+'Model Setup'!$L$7,SUMIF($BH$3:$CE$3,"="&amp;$DF13+'Model Setup'!$L$7,$AD13:$BA13)+'Model Setup'!$L$8*(SUMIF($BH$3:$CE$3,"&lt;"&amp;$DF13,$AD13:$BA13)+SUMIF($BH$3:$CE$3,"&gt;"&amp;$CW$4,$AD13:$BA13)),
IF(CD$3=$DF13+'Model Setup'!$M$7,SUMIF($BH$3:$CE$3,"="&amp;$DF13+'Model Setup'!$M$7,$AD13:$BA13)+'Model Setup'!$M$8*(SUMIF($BH$3:$CE$3,"&lt;"&amp;$DF13,$AD13:$BA13)+SUMIF($BH$3:$CE$3,"&gt;"&amp;$CW$4,$AD13:$BA13)),
IF(CD$3=$DF13+'Model Setup'!$N$7,SUMIF($BH$3:$CE$3,"="&amp;$DF13+'Model Setup'!$N$7,$AD13:$BA13)+'Model Setup'!$N$8*(SUMIF($BH$3:$CE$3,"&lt;"&amp;$DF13,$AD13:$BA13)+SUMIF($BH$3:$CE$3,"&gt;"&amp;$CW$4,$AD13:$BA13)),
IF(CD$3&lt;$CW$4,X13,0))))))))))))))),0)</f>
        <v>0</v>
      </c>
      <c r="CE13" s="47">
        <f>ROUND(IF(OR(CE$3&lt;$DF13,CE$3&gt;$CW$4),0,
IF(CE$3=$DF13+'Model Setup'!$B$7,SUMIF($BH$3:$CE$3,"="&amp;$DF13+'Model Setup'!$B$7,$AD13:$BA13)+'Model Setup'!$B$8*(SUMIF($BH$3:$CE$3,"&lt;"&amp;$DF13,$AD13:$BA13)+SUMIF($BH$3:$CE$3,"&gt;"&amp;$CW$4,$AD13:$BA13)),
IF(CE$3=$DF13+'Model Setup'!$C$7,SUMIF($BH$3:$CE$3,"="&amp;$DF13+'Model Setup'!$C$7,$AD13:$BA13)+'Model Setup'!$C$8*(SUMIF($BH$3:$CE$3,"&lt;"&amp;$DF13,$AD13:$BA13)+SUMIF($BH$3:$CE$3,"&gt;"&amp;$CW$4,$AD13:$BA13)),
IF(CE$3=$DF13+'Model Setup'!$D$7,SUMIF($BH$3:$CE$3,"="&amp;$DF13+'Model Setup'!$D$7,$AD13:$BA13)+'Model Setup'!$D$8*(SUMIF($BH$3:$CE$3,"&lt;"&amp;$DF13,$AD13:$BA13)+SUMIF($BH$3:$CE$3,"&gt;"&amp;$CW$4,$AD13:$BA13)),
IF(CE$3=$DF13+'Model Setup'!$E$7,SUMIF($BH$3:$CE$3,"="&amp;$DF13+'Model Setup'!$E$7,$AD13:$BA13)+'Model Setup'!$E$8*(SUMIF($BH$3:$CE$3,"&lt;"&amp;$DF13,$AD13:$BA13)+SUMIF($BH$3:$CE$3,"&gt;"&amp;$CW$4,$AD13:$BA13)),
IF(CE$3=$DF13+'Model Setup'!$F$7,SUMIF($BH$3:$CE$3,"="&amp;$DF13+'Model Setup'!$F$7,$AD13:$BA13)+'Model Setup'!$F$8*(SUMIF($BH$3:$CE$3,"&lt;"&amp;$DF13,$AD13:$BA13)+SUMIF($BH$3:$CE$3,"&gt;"&amp;$CW$4,$AD13:$BA13)),
IF(CE$3=$DF13+'Model Setup'!$G$7,SUMIF($BH$3:$CE$3,"="&amp;$DF13+'Model Setup'!$G$7,$AD13:$BA13)+'Model Setup'!$G$8*(SUMIF($BH$3:$CE$3,"&lt;"&amp;$DF13,$AD13:$BA13)+SUMIF($BH$3:$CE$3,"&gt;"&amp;$CW$4,$AD13:$BA13)),
IF(CE$3=$DF13+'Model Setup'!$H$7,SUMIF($BH$3:$CE$3,"="&amp;$DF13+'Model Setup'!$H$7,$AD13:$BA13)+'Model Setup'!$H$8*(SUMIF($BH$3:$CE$3,"&lt;"&amp;$DF13,$AD13:$BA13)+SUMIF($BH$3:$CE$3,"&gt;"&amp;$CW$4,$AD13:$BA13)),
IF(CE$3=$DF13+'Model Setup'!$I$7,SUMIF($BH$3:$CE$3,"="&amp;$DF13+'Model Setup'!$I$7,$AD13:$BA13)+'Model Setup'!$I$8*(SUMIF($BH$3:$CE$3,"&lt;"&amp;$DF13,$AD13:$BA13)+SUMIF($BH$3:$CE$3,"&gt;"&amp;$CW$4,$AD13:$BA13)),
IF(CE$3=$DF13+'Model Setup'!$J$7,SUMIF($BH$3:$CE$3,"="&amp;$DF13+'Model Setup'!$J$7,$AD13:$BA13)+'Model Setup'!$J$8*(SUMIF($BH$3:$CE$3,"&lt;"&amp;$DF13,$AD13:$BA13)+SUMIF($BH$3:$CE$3,"&gt;"&amp;$CW$4,$AD13:$BA13)),
IF(CE$3=$DF13+'Model Setup'!$K$7,SUMIF($BH$3:$CE$3,"="&amp;$DF13+'Model Setup'!$K$7,$AD13:$BA13)+'Model Setup'!$K$8*(SUMIF($BH$3:$CE$3,"&lt;"&amp;$DF13,$AD13:$BA13)+SUMIF($BH$3:$CE$3,"&gt;"&amp;$CW$4,$AD13:$BA13)),
IF(CE$3=$DF13+'Model Setup'!$L$7,SUMIF($BH$3:$CE$3,"="&amp;$DF13+'Model Setup'!$L$7,$AD13:$BA13)+'Model Setup'!$L$8*(SUMIF($BH$3:$CE$3,"&lt;"&amp;$DF13,$AD13:$BA13)+SUMIF($BH$3:$CE$3,"&gt;"&amp;$CW$4,$AD13:$BA13)),
IF(CE$3=$DF13+'Model Setup'!$M$7,SUMIF($BH$3:$CE$3,"="&amp;$DF13+'Model Setup'!$M$7,$AD13:$BA13)+'Model Setup'!$M$8*(SUMIF($BH$3:$CE$3,"&lt;"&amp;$DF13,$AD13:$BA13)+SUMIF($BH$3:$CE$3,"&gt;"&amp;$CW$4,$AD13:$BA13)),
IF(CE$3=$DF13+'Model Setup'!$N$7,SUMIF($BH$3:$CE$3,"="&amp;$DF13+'Model Setup'!$N$7,$AD13:$BA13)+'Model Setup'!$N$8*(SUMIF($BH$3:$CE$3,"&lt;"&amp;$DF13,$AD13:$BA13)+SUMIF($BH$3:$CE$3,"&gt;"&amp;$CW$4,$AD13:$BA13)),
IF(CE$3&lt;$CW$4,Y13,0))))))))))))))),0)</f>
        <v>0</v>
      </c>
      <c r="CF13" s="47">
        <f t="shared" si="3"/>
        <v>143</v>
      </c>
      <c r="CG13" s="47">
        <f t="shared" si="4"/>
        <v>0</v>
      </c>
      <c r="CI13" s="10" t="s">
        <v>28</v>
      </c>
      <c r="CJ13" s="126">
        <f t="shared" si="9"/>
        <v>8</v>
      </c>
      <c r="CK13" s="126">
        <f t="shared" si="10"/>
        <v>18</v>
      </c>
      <c r="CL13" s="126">
        <f t="shared" si="11"/>
        <v>17</v>
      </c>
      <c r="CM13" s="126">
        <f t="shared" si="12"/>
        <v>11</v>
      </c>
      <c r="CN13" s="126">
        <f t="shared" si="13"/>
        <v>15</v>
      </c>
      <c r="CO13" s="126">
        <f t="shared" si="14"/>
        <v>12</v>
      </c>
      <c r="CP13" s="126">
        <f t="shared" si="15"/>
        <v>11</v>
      </c>
      <c r="CQ13" s="126">
        <f t="shared" si="16"/>
        <v>10</v>
      </c>
      <c r="CR13" s="126">
        <f t="shared" si="17"/>
        <v>8</v>
      </c>
      <c r="CS13" s="126">
        <f t="shared" si="18"/>
        <v>6</v>
      </c>
      <c r="CT13" s="126">
        <f t="shared" si="19"/>
        <v>8</v>
      </c>
      <c r="CU13" s="126">
        <f t="shared" si="20"/>
        <v>9</v>
      </c>
      <c r="CV13" s="126">
        <f t="shared" si="21"/>
        <v>10</v>
      </c>
      <c r="CW13" s="126">
        <f t="shared" si="22"/>
        <v>0</v>
      </c>
      <c r="CX13" s="126">
        <f t="shared" si="23"/>
        <v>0</v>
      </c>
      <c r="CY13" s="126">
        <f t="shared" si="24"/>
        <v>0</v>
      </c>
      <c r="CZ13" s="47">
        <f t="shared" si="7"/>
        <v>143</v>
      </c>
      <c r="DC13" s="93" t="s">
        <v>28</v>
      </c>
      <c r="DD13" s="89">
        <f>FTC!E11</f>
        <v>0.20833333333333334</v>
      </c>
      <c r="DE13" s="89">
        <f>FTC!F11</f>
        <v>0.75</v>
      </c>
      <c r="DF13" s="90">
        <f t="shared" si="25"/>
        <v>5</v>
      </c>
      <c r="DG13" s="91">
        <f t="shared" si="26"/>
        <v>18</v>
      </c>
      <c r="DH13" s="91">
        <f t="shared" si="27"/>
        <v>13</v>
      </c>
    </row>
    <row r="14" spans="1:112" x14ac:dyDescent="0.35">
      <c r="A14" s="43" t="s">
        <v>29</v>
      </c>
      <c r="B14" s="47">
        <v>8</v>
      </c>
      <c r="C14" s="47">
        <v>9</v>
      </c>
      <c r="D14" s="47">
        <v>9</v>
      </c>
      <c r="E14" s="47">
        <v>18</v>
      </c>
      <c r="F14" s="47">
        <v>41</v>
      </c>
      <c r="G14" s="47">
        <v>78</v>
      </c>
      <c r="H14" s="47">
        <v>262</v>
      </c>
      <c r="I14" s="47">
        <v>250</v>
      </c>
      <c r="J14" s="47">
        <v>242</v>
      </c>
      <c r="K14" s="47">
        <v>230</v>
      </c>
      <c r="L14" s="47">
        <v>185</v>
      </c>
      <c r="M14" s="47">
        <v>202</v>
      </c>
      <c r="N14" s="47">
        <v>170</v>
      </c>
      <c r="O14" s="47">
        <v>148</v>
      </c>
      <c r="P14" s="47">
        <v>115</v>
      </c>
      <c r="Q14" s="47">
        <v>85</v>
      </c>
      <c r="R14" s="47">
        <v>71</v>
      </c>
      <c r="S14" s="47">
        <v>62</v>
      </c>
      <c r="T14" s="47">
        <v>34</v>
      </c>
      <c r="U14" s="47">
        <v>23</v>
      </c>
      <c r="V14" s="47">
        <v>9</v>
      </c>
      <c r="W14" s="47">
        <v>23</v>
      </c>
      <c r="X14" s="47">
        <v>20</v>
      </c>
      <c r="Y14" s="47">
        <v>8</v>
      </c>
      <c r="Z14" s="47">
        <f t="shared" si="0"/>
        <v>2302</v>
      </c>
      <c r="AC14" s="43" t="s">
        <v>29</v>
      </c>
      <c r="AD14" s="47">
        <f>ROUND(IF(AD$3&lt;$DF14,0,
IF(AD$3=$DF14+'Model Setup'!$B$7,SUMIF($AD$3:$BA$3,"="&amp;$DF14+'Model Setup'!$B$7,$B14:$Y14)+'Model Setup'!$B$8*(SUMIF($AD$3:$BA$3,"&lt;"&amp;$DF14,$B14:$Y14)+SUMIF($AD$3:$BA$3,"&gt;="&amp;$DG14,$B14:$Y14)),
IF(AD$3=$DF14+'Model Setup'!$C$7,SUMIF($AD$3:$BA$3,"="&amp;$DF14+'Model Setup'!$C$7,$B14:$Y14)+'Model Setup'!$C$8*(SUMIF($AD$3:$BA$3,"&lt;"&amp;$DF14,$B14:$Y14)+SUMIF($AD$3:$BA$3,"&gt;="&amp;$DG14,$B14:$Y14)),
IF(AD$3=$DF14+'Model Setup'!$D$7,SUMIF($AD$3:$BA$3,"="&amp;$DF14+'Model Setup'!$D$7,$B14:$Y14)+'Model Setup'!$D$8*(SUMIF($AD$3:$BA$3,"&lt;"&amp;$DF14,$B14:$Y14)+SUMIF($AD$3:$BA$3,"&gt;="&amp;$DG14,$B14:$Y14)),
IF(AD$3=$DF14+'Model Setup'!$E$7,SUMIF($AD$3:$BA$3,"="&amp;$DF14+'Model Setup'!$E$7,$B14:$Y14)+'Model Setup'!$E$8*(SUMIF($AD$3:$BA$3,"&lt;"&amp;$DF14,$B14:$Y14)+SUMIF($AD$3:$BA$3,"&gt;="&amp;$DG14,$B14:$Y14)),
IF(AD$3=$DF14+'Model Setup'!$F$7,SUMIF($AD$3:$BA$3,"="&amp;$DF14+'Model Setup'!$F$7,$B14:$Y14)+'Model Setup'!$F$8*(SUMIF($AD$3:$BA$3,"&lt;"&amp;$DF14,$B14:$Y14)+SUMIF($AD$3:$BA$3,"&gt;="&amp;$DG14,$B14:$Y14)),
IF(AD$3=$DF14+'Model Setup'!$G$7,SUMIF($AD$3:$BA$3,"="&amp;$DF14+'Model Setup'!$G$7,$B14:$Y14)+'Model Setup'!$G$8*(SUMIF($AD$3:$BA$3,"&lt;"&amp;$DF14,$B14:$Y14)+SUMIF($AD$3:$BA$3,"&gt;="&amp;$DG14,$B14:$Y14)),
IF(AD$3=$DF14+'Model Setup'!$H$7,SUMIF($AD$3:$BA$3,"="&amp;$DF14+'Model Setup'!$H$7,$B14:$Y14)+'Model Setup'!$H$8*(SUMIF($AD$3:$BA$3,"&lt;"&amp;$DF14,$B14:$Y14)+SUMIF($AD$3:$BA$3,"&gt;="&amp;$DG14,$B14:$Y14)),
IF(AD$3=$DF14+'Model Setup'!$I$7,SUMIF($AD$3:$BA$3,"="&amp;$DF14+'Model Setup'!$I$7,$B14:$Y14)+'Model Setup'!$I$8*(SUMIF($AD$3:$BA$3,"&lt;"&amp;$DF14,$B14:$Y14)+SUMIF($AD$3:$BA$3,"&gt;="&amp;$DG14,$B14:$Y14)),
IF(AD$3=$DF14+'Model Setup'!$J$7,SUMIF($AD$3:$BA$3,"="&amp;$DF14+'Model Setup'!$J$7,$B14:$Y14)+'Model Setup'!$J$8*(SUMIF($AD$3:$BA$3,"&lt;"&amp;$DF14,$B14:$Y14)+SUMIF($AD$3:$BA$3,"&gt;="&amp;$DG14,$B14:$Y14)),
IF(AD$3=$DF14+'Model Setup'!$K$7,SUMIF($AD$3:$BA$3,"="&amp;$DF14+'Model Setup'!$K$7,$B14:$Y14)+'Model Setup'!$K$8*(SUMIF($AD$3:$BA$3,"&lt;"&amp;$DF14,$B14:$Y14)+SUMIF($AD$3:$BA$3,"&gt;="&amp;$DG14,$B14:$Y14)),
IF(AD$3=$DF14+'Model Setup'!$L$7,SUMIF($AD$3:$BA$3,"="&amp;$DF14+'Model Setup'!$L$7,$B14:$Y14)+'Model Setup'!$L$8*(SUMIF($AD$3:$BA$3,"&lt;"&amp;$DF14,$B14:$Y14)+SUMIF($AD$3:$BA$3,"&gt;="&amp;$DG14,$B14:$Y14)),
IF(AD$3=$DF14+'Model Setup'!$M$7,SUMIF($AD$3:$BA$3,"="&amp;$DF14+'Model Setup'!$M$7,$B14:$Y14)+'Model Setup'!$M$8*(SUMIF($AD$3:$BA$3,"&lt;"&amp;$DF14,$B14:$Y14)+SUMIF($AD$3:$BA$3,"&gt;="&amp;$DG14,$B14:$Y14)),
IF(AD$3=$DF14+'Model Setup'!$N$7,SUMIF($AD$3:$BA$3,"="&amp;$DF14+'Model Setup'!$N$7,$B14:$Y14)+'Model Setup'!$N$8*(SUMIF($AD$3:$BA$3,"&lt;"&amp;$DF14,$B14:$Y14)+SUMIF($AD$3:$BA$3,"&gt;="&amp;$DG14,$B14:$Y14)),
IF(AD$3&lt;$DG14,B14,0))))))))))))))),0)</f>
        <v>0</v>
      </c>
      <c r="AE14" s="47">
        <f>ROUND(IF(AE$3&lt;$DF14,0,
IF(AE$3=$DF14+'Model Setup'!$B$7,SUMIF($AD$3:$BA$3,"="&amp;$DF14+'Model Setup'!$B$7,$B14:$Y14)+'Model Setup'!$B$8*(SUMIF($AD$3:$BA$3,"&lt;"&amp;$DF14,$B14:$Y14)+SUMIF($AD$3:$BA$3,"&gt;="&amp;$DG14,$B14:$Y14)),
IF(AE$3=$DF14+'Model Setup'!$C$7,SUMIF($AD$3:$BA$3,"="&amp;$DF14+'Model Setup'!$C$7,$B14:$Y14)+'Model Setup'!$C$8*(SUMIF($AD$3:$BA$3,"&lt;"&amp;$DF14,$B14:$Y14)+SUMIF($AD$3:$BA$3,"&gt;="&amp;$DG14,$B14:$Y14)),
IF(AE$3=$DF14+'Model Setup'!$D$7,SUMIF($AD$3:$BA$3,"="&amp;$DF14+'Model Setup'!$D$7,$B14:$Y14)+'Model Setup'!$D$8*(SUMIF($AD$3:$BA$3,"&lt;"&amp;$DF14,$B14:$Y14)+SUMIF($AD$3:$BA$3,"&gt;="&amp;$DG14,$B14:$Y14)),
IF(AE$3=$DF14+'Model Setup'!$E$7,SUMIF($AD$3:$BA$3,"="&amp;$DF14+'Model Setup'!$E$7,$B14:$Y14)+'Model Setup'!$E$8*(SUMIF($AD$3:$BA$3,"&lt;"&amp;$DF14,$B14:$Y14)+SUMIF($AD$3:$BA$3,"&gt;="&amp;$DG14,$B14:$Y14)),
IF(AE$3=$DF14+'Model Setup'!$F$7,SUMIF($AD$3:$BA$3,"="&amp;$DF14+'Model Setup'!$F$7,$B14:$Y14)+'Model Setup'!$F$8*(SUMIF($AD$3:$BA$3,"&lt;"&amp;$DF14,$B14:$Y14)+SUMIF($AD$3:$BA$3,"&gt;="&amp;$DG14,$B14:$Y14)),
IF(AE$3=$DF14+'Model Setup'!$G$7,SUMIF($AD$3:$BA$3,"="&amp;$DF14+'Model Setup'!$G$7,$B14:$Y14)+'Model Setup'!$G$8*(SUMIF($AD$3:$BA$3,"&lt;"&amp;$DF14,$B14:$Y14)+SUMIF($AD$3:$BA$3,"&gt;="&amp;$DG14,$B14:$Y14)),
IF(AE$3=$DF14+'Model Setup'!$H$7,SUMIF($AD$3:$BA$3,"="&amp;$DF14+'Model Setup'!$H$7,$B14:$Y14)+'Model Setup'!$H$8*(SUMIF($AD$3:$BA$3,"&lt;"&amp;$DF14,$B14:$Y14)+SUMIF($AD$3:$BA$3,"&gt;="&amp;$DG14,$B14:$Y14)),
IF(AE$3=$DF14+'Model Setup'!$I$7,SUMIF($AD$3:$BA$3,"="&amp;$DF14+'Model Setup'!$I$7,$B14:$Y14)+'Model Setup'!$I$8*(SUMIF($AD$3:$BA$3,"&lt;"&amp;$DF14,$B14:$Y14)+SUMIF($AD$3:$BA$3,"&gt;="&amp;$DG14,$B14:$Y14)),
IF(AE$3=$DF14+'Model Setup'!$J$7,SUMIF($AD$3:$BA$3,"="&amp;$DF14+'Model Setup'!$J$7,$B14:$Y14)+'Model Setup'!$J$8*(SUMIF($AD$3:$BA$3,"&lt;"&amp;$DF14,$B14:$Y14)+SUMIF($AD$3:$BA$3,"&gt;="&amp;$DG14,$B14:$Y14)),
IF(AE$3=$DF14+'Model Setup'!$K$7,SUMIF($AD$3:$BA$3,"="&amp;$DF14+'Model Setup'!$K$7,$B14:$Y14)+'Model Setup'!$K$8*(SUMIF($AD$3:$BA$3,"&lt;"&amp;$DF14,$B14:$Y14)+SUMIF($AD$3:$BA$3,"&gt;="&amp;$DG14,$B14:$Y14)),
IF(AE$3=$DF14+'Model Setup'!$L$7,SUMIF($AD$3:$BA$3,"="&amp;$DF14+'Model Setup'!$L$7,$B14:$Y14)+'Model Setup'!$L$8*(SUMIF($AD$3:$BA$3,"&lt;"&amp;$DF14,$B14:$Y14)+SUMIF($AD$3:$BA$3,"&gt;="&amp;$DG14,$B14:$Y14)),
IF(AE$3=$DF14+'Model Setup'!$M$7,SUMIF($AD$3:$BA$3,"="&amp;$DF14+'Model Setup'!$M$7,$B14:$Y14)+'Model Setup'!$M$8*(SUMIF($AD$3:$BA$3,"&lt;"&amp;$DF14,$B14:$Y14)+SUMIF($AD$3:$BA$3,"&gt;="&amp;$DG14,$B14:$Y14)),
IF(AE$3=$DF14+'Model Setup'!$N$7,SUMIF($AD$3:$BA$3,"="&amp;$DF14+'Model Setup'!$N$7,$B14:$Y14)+'Model Setup'!$N$8*(SUMIF($AD$3:$BA$3,"&lt;"&amp;$DF14,$B14:$Y14)+SUMIF($AD$3:$BA$3,"&gt;="&amp;$DG14,$B14:$Y14)),
IF(AE$3&lt;$DG14,C14,0))))))))))))))),0)</f>
        <v>0</v>
      </c>
      <c r="AF14" s="47">
        <f>ROUND(IF(AF$3&lt;$DF14,0,
IF(AF$3=$DF14+'Model Setup'!$B$7,SUMIF($AD$3:$BA$3,"="&amp;$DF14+'Model Setup'!$B$7,$B14:$Y14)+'Model Setup'!$B$8*(SUMIF($AD$3:$BA$3,"&lt;"&amp;$DF14,$B14:$Y14)+SUMIF($AD$3:$BA$3,"&gt;="&amp;$DG14,$B14:$Y14)),
IF(AF$3=$DF14+'Model Setup'!$C$7,SUMIF($AD$3:$BA$3,"="&amp;$DF14+'Model Setup'!$C$7,$B14:$Y14)+'Model Setup'!$C$8*(SUMIF($AD$3:$BA$3,"&lt;"&amp;$DF14,$B14:$Y14)+SUMIF($AD$3:$BA$3,"&gt;="&amp;$DG14,$B14:$Y14)),
IF(AF$3=$DF14+'Model Setup'!$D$7,SUMIF($AD$3:$BA$3,"="&amp;$DF14+'Model Setup'!$D$7,$B14:$Y14)+'Model Setup'!$D$8*(SUMIF($AD$3:$BA$3,"&lt;"&amp;$DF14,$B14:$Y14)+SUMIF($AD$3:$BA$3,"&gt;="&amp;$DG14,$B14:$Y14)),
IF(AF$3=$DF14+'Model Setup'!$E$7,SUMIF($AD$3:$BA$3,"="&amp;$DF14+'Model Setup'!$E$7,$B14:$Y14)+'Model Setup'!$E$8*(SUMIF($AD$3:$BA$3,"&lt;"&amp;$DF14,$B14:$Y14)+SUMIF($AD$3:$BA$3,"&gt;="&amp;$DG14,$B14:$Y14)),
IF(AF$3=$DF14+'Model Setup'!$F$7,SUMIF($AD$3:$BA$3,"="&amp;$DF14+'Model Setup'!$F$7,$B14:$Y14)+'Model Setup'!$F$8*(SUMIF($AD$3:$BA$3,"&lt;"&amp;$DF14,$B14:$Y14)+SUMIF($AD$3:$BA$3,"&gt;="&amp;$DG14,$B14:$Y14)),
IF(AF$3=$DF14+'Model Setup'!$G$7,SUMIF($AD$3:$BA$3,"="&amp;$DF14+'Model Setup'!$G$7,$B14:$Y14)+'Model Setup'!$G$8*(SUMIF($AD$3:$BA$3,"&lt;"&amp;$DF14,$B14:$Y14)+SUMIF($AD$3:$BA$3,"&gt;="&amp;$DG14,$B14:$Y14)),
IF(AF$3=$DF14+'Model Setup'!$H$7,SUMIF($AD$3:$BA$3,"="&amp;$DF14+'Model Setup'!$H$7,$B14:$Y14)+'Model Setup'!$H$8*(SUMIF($AD$3:$BA$3,"&lt;"&amp;$DF14,$B14:$Y14)+SUMIF($AD$3:$BA$3,"&gt;="&amp;$DG14,$B14:$Y14)),
IF(AF$3=$DF14+'Model Setup'!$I$7,SUMIF($AD$3:$BA$3,"="&amp;$DF14+'Model Setup'!$I$7,$B14:$Y14)+'Model Setup'!$I$8*(SUMIF($AD$3:$BA$3,"&lt;"&amp;$DF14,$B14:$Y14)+SUMIF($AD$3:$BA$3,"&gt;="&amp;$DG14,$B14:$Y14)),
IF(AF$3=$DF14+'Model Setup'!$J$7,SUMIF($AD$3:$BA$3,"="&amp;$DF14+'Model Setup'!$J$7,$B14:$Y14)+'Model Setup'!$J$8*(SUMIF($AD$3:$BA$3,"&lt;"&amp;$DF14,$B14:$Y14)+SUMIF($AD$3:$BA$3,"&gt;="&amp;$DG14,$B14:$Y14)),
IF(AF$3=$DF14+'Model Setup'!$K$7,SUMIF($AD$3:$BA$3,"="&amp;$DF14+'Model Setup'!$K$7,$B14:$Y14)+'Model Setup'!$K$8*(SUMIF($AD$3:$BA$3,"&lt;"&amp;$DF14,$B14:$Y14)+SUMIF($AD$3:$BA$3,"&gt;="&amp;$DG14,$B14:$Y14)),
IF(AF$3=$DF14+'Model Setup'!$L$7,SUMIF($AD$3:$BA$3,"="&amp;$DF14+'Model Setup'!$L$7,$B14:$Y14)+'Model Setup'!$L$8*(SUMIF($AD$3:$BA$3,"&lt;"&amp;$DF14,$B14:$Y14)+SUMIF($AD$3:$BA$3,"&gt;="&amp;$DG14,$B14:$Y14)),
IF(AF$3=$DF14+'Model Setup'!$M$7,SUMIF($AD$3:$BA$3,"="&amp;$DF14+'Model Setup'!$M$7,$B14:$Y14)+'Model Setup'!$M$8*(SUMIF($AD$3:$BA$3,"&lt;"&amp;$DF14,$B14:$Y14)+SUMIF($AD$3:$BA$3,"&gt;="&amp;$DG14,$B14:$Y14)),
IF(AF$3=$DF14+'Model Setup'!$N$7,SUMIF($AD$3:$BA$3,"="&amp;$DF14+'Model Setup'!$N$7,$B14:$Y14)+'Model Setup'!$N$8*(SUMIF($AD$3:$BA$3,"&lt;"&amp;$DF14,$B14:$Y14)+SUMIF($AD$3:$BA$3,"&gt;="&amp;$DG14,$B14:$Y14)),
IF(AF$3&lt;$DG14,D14,0))))))))))))))),0)</f>
        <v>0</v>
      </c>
      <c r="AG14" s="47">
        <f>ROUND(IF(AG$3&lt;$DF14,0,
IF(AG$3=$DF14+'Model Setup'!$B$7,SUMIF($AD$3:$BA$3,"="&amp;$DF14+'Model Setup'!$B$7,$B14:$Y14)+'Model Setup'!$B$8*(SUMIF($AD$3:$BA$3,"&lt;"&amp;$DF14,$B14:$Y14)+SUMIF($AD$3:$BA$3,"&gt;="&amp;$DG14,$B14:$Y14)),
IF(AG$3=$DF14+'Model Setup'!$C$7,SUMIF($AD$3:$BA$3,"="&amp;$DF14+'Model Setup'!$C$7,$B14:$Y14)+'Model Setup'!$C$8*(SUMIF($AD$3:$BA$3,"&lt;"&amp;$DF14,$B14:$Y14)+SUMIF($AD$3:$BA$3,"&gt;="&amp;$DG14,$B14:$Y14)),
IF(AG$3=$DF14+'Model Setup'!$D$7,SUMIF($AD$3:$BA$3,"="&amp;$DF14+'Model Setup'!$D$7,$B14:$Y14)+'Model Setup'!$D$8*(SUMIF($AD$3:$BA$3,"&lt;"&amp;$DF14,$B14:$Y14)+SUMIF($AD$3:$BA$3,"&gt;="&amp;$DG14,$B14:$Y14)),
IF(AG$3=$DF14+'Model Setup'!$E$7,SUMIF($AD$3:$BA$3,"="&amp;$DF14+'Model Setup'!$E$7,$B14:$Y14)+'Model Setup'!$E$8*(SUMIF($AD$3:$BA$3,"&lt;"&amp;$DF14,$B14:$Y14)+SUMIF($AD$3:$BA$3,"&gt;="&amp;$DG14,$B14:$Y14)),
IF(AG$3=$DF14+'Model Setup'!$F$7,SUMIF($AD$3:$BA$3,"="&amp;$DF14+'Model Setup'!$F$7,$B14:$Y14)+'Model Setup'!$F$8*(SUMIF($AD$3:$BA$3,"&lt;"&amp;$DF14,$B14:$Y14)+SUMIF($AD$3:$BA$3,"&gt;="&amp;$DG14,$B14:$Y14)),
IF(AG$3=$DF14+'Model Setup'!$G$7,SUMIF($AD$3:$BA$3,"="&amp;$DF14+'Model Setup'!$G$7,$B14:$Y14)+'Model Setup'!$G$8*(SUMIF($AD$3:$BA$3,"&lt;"&amp;$DF14,$B14:$Y14)+SUMIF($AD$3:$BA$3,"&gt;="&amp;$DG14,$B14:$Y14)),
IF(AG$3=$DF14+'Model Setup'!$H$7,SUMIF($AD$3:$BA$3,"="&amp;$DF14+'Model Setup'!$H$7,$B14:$Y14)+'Model Setup'!$H$8*(SUMIF($AD$3:$BA$3,"&lt;"&amp;$DF14,$B14:$Y14)+SUMIF($AD$3:$BA$3,"&gt;="&amp;$DG14,$B14:$Y14)),
IF(AG$3=$DF14+'Model Setup'!$I$7,SUMIF($AD$3:$BA$3,"="&amp;$DF14+'Model Setup'!$I$7,$B14:$Y14)+'Model Setup'!$I$8*(SUMIF($AD$3:$BA$3,"&lt;"&amp;$DF14,$B14:$Y14)+SUMIF($AD$3:$BA$3,"&gt;="&amp;$DG14,$B14:$Y14)),
IF(AG$3=$DF14+'Model Setup'!$J$7,SUMIF($AD$3:$BA$3,"="&amp;$DF14+'Model Setup'!$J$7,$B14:$Y14)+'Model Setup'!$J$8*(SUMIF($AD$3:$BA$3,"&lt;"&amp;$DF14,$B14:$Y14)+SUMIF($AD$3:$BA$3,"&gt;="&amp;$DG14,$B14:$Y14)),
IF(AG$3=$DF14+'Model Setup'!$K$7,SUMIF($AD$3:$BA$3,"="&amp;$DF14+'Model Setup'!$K$7,$B14:$Y14)+'Model Setup'!$K$8*(SUMIF($AD$3:$BA$3,"&lt;"&amp;$DF14,$B14:$Y14)+SUMIF($AD$3:$BA$3,"&gt;="&amp;$DG14,$B14:$Y14)),
IF(AG$3=$DF14+'Model Setup'!$L$7,SUMIF($AD$3:$BA$3,"="&amp;$DF14+'Model Setup'!$L$7,$B14:$Y14)+'Model Setup'!$L$8*(SUMIF($AD$3:$BA$3,"&lt;"&amp;$DF14,$B14:$Y14)+SUMIF($AD$3:$BA$3,"&gt;="&amp;$DG14,$B14:$Y14)),
IF(AG$3=$DF14+'Model Setup'!$M$7,SUMIF($AD$3:$BA$3,"="&amp;$DF14+'Model Setup'!$M$7,$B14:$Y14)+'Model Setup'!$M$8*(SUMIF($AD$3:$BA$3,"&lt;"&amp;$DF14,$B14:$Y14)+SUMIF($AD$3:$BA$3,"&gt;="&amp;$DG14,$B14:$Y14)),
IF(AG$3=$DF14+'Model Setup'!$N$7,SUMIF($AD$3:$BA$3,"="&amp;$DF14+'Model Setup'!$N$7,$B14:$Y14)+'Model Setup'!$N$8*(SUMIF($AD$3:$BA$3,"&lt;"&amp;$DF14,$B14:$Y14)+SUMIF($AD$3:$BA$3,"&gt;="&amp;$DG14,$B14:$Y14)),
IF(AG$3&lt;$DG14,E14,0))))))))))))))),0)</f>
        <v>0</v>
      </c>
      <c r="AH14" s="47">
        <f>ROUND(IF(AH$3&lt;$DF14,0,
IF(AH$3=$DF14+'Model Setup'!$B$7,SUMIF($AD$3:$BA$3,"="&amp;$DF14+'Model Setup'!$B$7,$B14:$Y14)+'Model Setup'!$B$8*(SUMIF($AD$3:$BA$3,"&lt;"&amp;$DF14,$B14:$Y14)+SUMIF($AD$3:$BA$3,"&gt;="&amp;$DG14,$B14:$Y14)),
IF(AH$3=$DF14+'Model Setup'!$C$7,SUMIF($AD$3:$BA$3,"="&amp;$DF14+'Model Setup'!$C$7,$B14:$Y14)+'Model Setup'!$C$8*(SUMIF($AD$3:$BA$3,"&lt;"&amp;$DF14,$B14:$Y14)+SUMIF($AD$3:$BA$3,"&gt;="&amp;$DG14,$B14:$Y14)),
IF(AH$3=$DF14+'Model Setup'!$D$7,SUMIF($AD$3:$BA$3,"="&amp;$DF14+'Model Setup'!$D$7,$B14:$Y14)+'Model Setup'!$D$8*(SUMIF($AD$3:$BA$3,"&lt;"&amp;$DF14,$B14:$Y14)+SUMIF($AD$3:$BA$3,"&gt;="&amp;$DG14,$B14:$Y14)),
IF(AH$3=$DF14+'Model Setup'!$E$7,SUMIF($AD$3:$BA$3,"="&amp;$DF14+'Model Setup'!$E$7,$B14:$Y14)+'Model Setup'!$E$8*(SUMIF($AD$3:$BA$3,"&lt;"&amp;$DF14,$B14:$Y14)+SUMIF($AD$3:$BA$3,"&gt;="&amp;$DG14,$B14:$Y14)),
IF(AH$3=$DF14+'Model Setup'!$F$7,SUMIF($AD$3:$BA$3,"="&amp;$DF14+'Model Setup'!$F$7,$B14:$Y14)+'Model Setup'!$F$8*(SUMIF($AD$3:$BA$3,"&lt;"&amp;$DF14,$B14:$Y14)+SUMIF($AD$3:$BA$3,"&gt;="&amp;$DG14,$B14:$Y14)),
IF(AH$3=$DF14+'Model Setup'!$G$7,SUMIF($AD$3:$BA$3,"="&amp;$DF14+'Model Setup'!$G$7,$B14:$Y14)+'Model Setup'!$G$8*(SUMIF($AD$3:$BA$3,"&lt;"&amp;$DF14,$B14:$Y14)+SUMIF($AD$3:$BA$3,"&gt;="&amp;$DG14,$B14:$Y14)),
IF(AH$3=$DF14+'Model Setup'!$H$7,SUMIF($AD$3:$BA$3,"="&amp;$DF14+'Model Setup'!$H$7,$B14:$Y14)+'Model Setup'!$H$8*(SUMIF($AD$3:$BA$3,"&lt;"&amp;$DF14,$B14:$Y14)+SUMIF($AD$3:$BA$3,"&gt;="&amp;$DG14,$B14:$Y14)),
IF(AH$3=$DF14+'Model Setup'!$I$7,SUMIF($AD$3:$BA$3,"="&amp;$DF14+'Model Setup'!$I$7,$B14:$Y14)+'Model Setup'!$I$8*(SUMIF($AD$3:$BA$3,"&lt;"&amp;$DF14,$B14:$Y14)+SUMIF($AD$3:$BA$3,"&gt;="&amp;$DG14,$B14:$Y14)),
IF(AH$3=$DF14+'Model Setup'!$J$7,SUMIF($AD$3:$BA$3,"="&amp;$DF14+'Model Setup'!$J$7,$B14:$Y14)+'Model Setup'!$J$8*(SUMIF($AD$3:$BA$3,"&lt;"&amp;$DF14,$B14:$Y14)+SUMIF($AD$3:$BA$3,"&gt;="&amp;$DG14,$B14:$Y14)),
IF(AH$3=$DF14+'Model Setup'!$K$7,SUMIF($AD$3:$BA$3,"="&amp;$DF14+'Model Setup'!$K$7,$B14:$Y14)+'Model Setup'!$K$8*(SUMIF($AD$3:$BA$3,"&lt;"&amp;$DF14,$B14:$Y14)+SUMIF($AD$3:$BA$3,"&gt;="&amp;$DG14,$B14:$Y14)),
IF(AH$3=$DF14+'Model Setup'!$L$7,SUMIF($AD$3:$BA$3,"="&amp;$DF14+'Model Setup'!$L$7,$B14:$Y14)+'Model Setup'!$L$8*(SUMIF($AD$3:$BA$3,"&lt;"&amp;$DF14,$B14:$Y14)+SUMIF($AD$3:$BA$3,"&gt;="&amp;$DG14,$B14:$Y14)),
IF(AH$3=$DF14+'Model Setup'!$M$7,SUMIF($AD$3:$BA$3,"="&amp;$DF14+'Model Setup'!$M$7,$B14:$Y14)+'Model Setup'!$M$8*(SUMIF($AD$3:$BA$3,"&lt;"&amp;$DF14,$B14:$Y14)+SUMIF($AD$3:$BA$3,"&gt;="&amp;$DG14,$B14:$Y14)),
IF(AH$3=$DF14+'Model Setup'!$N$7,SUMIF($AD$3:$BA$3,"="&amp;$DF14+'Model Setup'!$N$7,$B14:$Y14)+'Model Setup'!$N$8*(SUMIF($AD$3:$BA$3,"&lt;"&amp;$DF14,$B14:$Y14)+SUMIF($AD$3:$BA$3,"&gt;="&amp;$DG14,$B14:$Y14)),
IF(AH$3&lt;$DG14,F14,0))))))))))))))),0)</f>
        <v>0</v>
      </c>
      <c r="AI14" s="47">
        <f>ROUND(IF(AI$3&lt;$DF14,0,
IF(AI$3=$DF14+'Model Setup'!$B$7,SUMIF($AD$3:$BA$3,"="&amp;$DF14+'Model Setup'!$B$7,$B14:$Y14)+'Model Setup'!$B$8*(SUMIF($AD$3:$BA$3,"&lt;"&amp;$DF14,$B14:$Y14)+SUMIF($AD$3:$BA$3,"&gt;="&amp;$DG14,$B14:$Y14)),
IF(AI$3=$DF14+'Model Setup'!$C$7,SUMIF($AD$3:$BA$3,"="&amp;$DF14+'Model Setup'!$C$7,$B14:$Y14)+'Model Setup'!$C$8*(SUMIF($AD$3:$BA$3,"&lt;"&amp;$DF14,$B14:$Y14)+SUMIF($AD$3:$BA$3,"&gt;="&amp;$DG14,$B14:$Y14)),
IF(AI$3=$DF14+'Model Setup'!$D$7,SUMIF($AD$3:$BA$3,"="&amp;$DF14+'Model Setup'!$D$7,$B14:$Y14)+'Model Setup'!$D$8*(SUMIF($AD$3:$BA$3,"&lt;"&amp;$DF14,$B14:$Y14)+SUMIF($AD$3:$BA$3,"&gt;="&amp;$DG14,$B14:$Y14)),
IF(AI$3=$DF14+'Model Setup'!$E$7,SUMIF($AD$3:$BA$3,"="&amp;$DF14+'Model Setup'!$E$7,$B14:$Y14)+'Model Setup'!$E$8*(SUMIF($AD$3:$BA$3,"&lt;"&amp;$DF14,$B14:$Y14)+SUMIF($AD$3:$BA$3,"&gt;="&amp;$DG14,$B14:$Y14)),
IF(AI$3=$DF14+'Model Setup'!$F$7,SUMIF($AD$3:$BA$3,"="&amp;$DF14+'Model Setup'!$F$7,$B14:$Y14)+'Model Setup'!$F$8*(SUMIF($AD$3:$BA$3,"&lt;"&amp;$DF14,$B14:$Y14)+SUMIF($AD$3:$BA$3,"&gt;="&amp;$DG14,$B14:$Y14)),
IF(AI$3=$DF14+'Model Setup'!$G$7,SUMIF($AD$3:$BA$3,"="&amp;$DF14+'Model Setup'!$G$7,$B14:$Y14)+'Model Setup'!$G$8*(SUMIF($AD$3:$BA$3,"&lt;"&amp;$DF14,$B14:$Y14)+SUMIF($AD$3:$BA$3,"&gt;="&amp;$DG14,$B14:$Y14)),
IF(AI$3=$DF14+'Model Setup'!$H$7,SUMIF($AD$3:$BA$3,"="&amp;$DF14+'Model Setup'!$H$7,$B14:$Y14)+'Model Setup'!$H$8*(SUMIF($AD$3:$BA$3,"&lt;"&amp;$DF14,$B14:$Y14)+SUMIF($AD$3:$BA$3,"&gt;="&amp;$DG14,$B14:$Y14)),
IF(AI$3=$DF14+'Model Setup'!$I$7,SUMIF($AD$3:$BA$3,"="&amp;$DF14+'Model Setup'!$I$7,$B14:$Y14)+'Model Setup'!$I$8*(SUMIF($AD$3:$BA$3,"&lt;"&amp;$DF14,$B14:$Y14)+SUMIF($AD$3:$BA$3,"&gt;="&amp;$DG14,$B14:$Y14)),
IF(AI$3=$DF14+'Model Setup'!$J$7,SUMIF($AD$3:$BA$3,"="&amp;$DF14+'Model Setup'!$J$7,$B14:$Y14)+'Model Setup'!$J$8*(SUMIF($AD$3:$BA$3,"&lt;"&amp;$DF14,$B14:$Y14)+SUMIF($AD$3:$BA$3,"&gt;="&amp;$DG14,$B14:$Y14)),
IF(AI$3=$DF14+'Model Setup'!$K$7,SUMIF($AD$3:$BA$3,"="&amp;$DF14+'Model Setup'!$K$7,$B14:$Y14)+'Model Setup'!$K$8*(SUMIF($AD$3:$BA$3,"&lt;"&amp;$DF14,$B14:$Y14)+SUMIF($AD$3:$BA$3,"&gt;="&amp;$DG14,$B14:$Y14)),
IF(AI$3=$DF14+'Model Setup'!$L$7,SUMIF($AD$3:$BA$3,"="&amp;$DF14+'Model Setup'!$L$7,$B14:$Y14)+'Model Setup'!$L$8*(SUMIF($AD$3:$BA$3,"&lt;"&amp;$DF14,$B14:$Y14)+SUMIF($AD$3:$BA$3,"&gt;="&amp;$DG14,$B14:$Y14)),
IF(AI$3=$DF14+'Model Setup'!$M$7,SUMIF($AD$3:$BA$3,"="&amp;$DF14+'Model Setup'!$M$7,$B14:$Y14)+'Model Setup'!$M$8*(SUMIF($AD$3:$BA$3,"&lt;"&amp;$DF14,$B14:$Y14)+SUMIF($AD$3:$BA$3,"&gt;="&amp;$DG14,$B14:$Y14)),
IF(AI$3=$DF14+'Model Setup'!$N$7,SUMIF($AD$3:$BA$3,"="&amp;$DF14+'Model Setup'!$N$7,$B14:$Y14)+'Model Setup'!$N$8*(SUMIF($AD$3:$BA$3,"&lt;"&amp;$DF14,$B14:$Y14)+SUMIF($AD$3:$BA$3,"&gt;="&amp;$DG14,$B14:$Y14)),
IF(AI$3&lt;$DG14,G14,0))))))))))))))),0)</f>
        <v>78</v>
      </c>
      <c r="AJ14" s="47">
        <f>ROUND(IF(AJ$3&lt;$DF14,0,
IF(AJ$3=$DF14+'Model Setup'!$B$7,SUMIF($AD$3:$BA$3,"="&amp;$DF14+'Model Setup'!$B$7,$B14:$Y14)+'Model Setup'!$B$8*(SUMIF($AD$3:$BA$3,"&lt;"&amp;$DF14,$B14:$Y14)+SUMIF($AD$3:$BA$3,"&gt;="&amp;$DG14,$B14:$Y14)),
IF(AJ$3=$DF14+'Model Setup'!$C$7,SUMIF($AD$3:$BA$3,"="&amp;$DF14+'Model Setup'!$C$7,$B14:$Y14)+'Model Setup'!$C$8*(SUMIF($AD$3:$BA$3,"&lt;"&amp;$DF14,$B14:$Y14)+SUMIF($AD$3:$BA$3,"&gt;="&amp;$DG14,$B14:$Y14)),
IF(AJ$3=$DF14+'Model Setup'!$D$7,SUMIF($AD$3:$BA$3,"="&amp;$DF14+'Model Setup'!$D$7,$B14:$Y14)+'Model Setup'!$D$8*(SUMIF($AD$3:$BA$3,"&lt;"&amp;$DF14,$B14:$Y14)+SUMIF($AD$3:$BA$3,"&gt;="&amp;$DG14,$B14:$Y14)),
IF(AJ$3=$DF14+'Model Setup'!$E$7,SUMIF($AD$3:$BA$3,"="&amp;$DF14+'Model Setup'!$E$7,$B14:$Y14)+'Model Setup'!$E$8*(SUMIF($AD$3:$BA$3,"&lt;"&amp;$DF14,$B14:$Y14)+SUMIF($AD$3:$BA$3,"&gt;="&amp;$DG14,$B14:$Y14)),
IF(AJ$3=$DF14+'Model Setup'!$F$7,SUMIF($AD$3:$BA$3,"="&amp;$DF14+'Model Setup'!$F$7,$B14:$Y14)+'Model Setup'!$F$8*(SUMIF($AD$3:$BA$3,"&lt;"&amp;$DF14,$B14:$Y14)+SUMIF($AD$3:$BA$3,"&gt;="&amp;$DG14,$B14:$Y14)),
IF(AJ$3=$DF14+'Model Setup'!$G$7,SUMIF($AD$3:$BA$3,"="&amp;$DF14+'Model Setup'!$G$7,$B14:$Y14)+'Model Setup'!$G$8*(SUMIF($AD$3:$BA$3,"&lt;"&amp;$DF14,$B14:$Y14)+SUMIF($AD$3:$BA$3,"&gt;="&amp;$DG14,$B14:$Y14)),
IF(AJ$3=$DF14+'Model Setup'!$H$7,SUMIF($AD$3:$BA$3,"="&amp;$DF14+'Model Setup'!$H$7,$B14:$Y14)+'Model Setup'!$H$8*(SUMIF($AD$3:$BA$3,"&lt;"&amp;$DF14,$B14:$Y14)+SUMIF($AD$3:$BA$3,"&gt;="&amp;$DG14,$B14:$Y14)),
IF(AJ$3=$DF14+'Model Setup'!$I$7,SUMIF($AD$3:$BA$3,"="&amp;$DF14+'Model Setup'!$I$7,$B14:$Y14)+'Model Setup'!$I$8*(SUMIF($AD$3:$BA$3,"&lt;"&amp;$DF14,$B14:$Y14)+SUMIF($AD$3:$BA$3,"&gt;="&amp;$DG14,$B14:$Y14)),
IF(AJ$3=$DF14+'Model Setup'!$J$7,SUMIF($AD$3:$BA$3,"="&amp;$DF14+'Model Setup'!$J$7,$B14:$Y14)+'Model Setup'!$J$8*(SUMIF($AD$3:$BA$3,"&lt;"&amp;$DF14,$B14:$Y14)+SUMIF($AD$3:$BA$3,"&gt;="&amp;$DG14,$B14:$Y14)),
IF(AJ$3=$DF14+'Model Setup'!$K$7,SUMIF($AD$3:$BA$3,"="&amp;$DF14+'Model Setup'!$K$7,$B14:$Y14)+'Model Setup'!$K$8*(SUMIF($AD$3:$BA$3,"&lt;"&amp;$DF14,$B14:$Y14)+SUMIF($AD$3:$BA$3,"&gt;="&amp;$DG14,$B14:$Y14)),
IF(AJ$3=$DF14+'Model Setup'!$L$7,SUMIF($AD$3:$BA$3,"="&amp;$DF14+'Model Setup'!$L$7,$B14:$Y14)+'Model Setup'!$L$8*(SUMIF($AD$3:$BA$3,"&lt;"&amp;$DF14,$B14:$Y14)+SUMIF($AD$3:$BA$3,"&gt;="&amp;$DG14,$B14:$Y14)),
IF(AJ$3=$DF14+'Model Setup'!$M$7,SUMIF($AD$3:$BA$3,"="&amp;$DF14+'Model Setup'!$M$7,$B14:$Y14)+'Model Setup'!$M$8*(SUMIF($AD$3:$BA$3,"&lt;"&amp;$DF14,$B14:$Y14)+SUMIF($AD$3:$BA$3,"&gt;="&amp;$DG14,$B14:$Y14)),
IF(AJ$3=$DF14+'Model Setup'!$N$7,SUMIF($AD$3:$BA$3,"="&amp;$DF14+'Model Setup'!$N$7,$B14:$Y14)+'Model Setup'!$N$8*(SUMIF($AD$3:$BA$3,"&lt;"&amp;$DF14,$B14:$Y14)+SUMIF($AD$3:$BA$3,"&gt;="&amp;$DG14,$B14:$Y14)),
IF(AJ$3&lt;$DG14,H14,0))))))))))))))),0)</f>
        <v>262</v>
      </c>
      <c r="AK14" s="47">
        <f>ROUND(IF(AK$3&lt;$DF14,0,
IF(AK$3=$DF14+'Model Setup'!$B$7,SUMIF($AD$3:$BA$3,"="&amp;$DF14+'Model Setup'!$B$7,$B14:$Y14)+'Model Setup'!$B$8*(SUMIF($AD$3:$BA$3,"&lt;"&amp;$DF14,$B14:$Y14)+SUMIF($AD$3:$BA$3,"&gt;="&amp;$DG14,$B14:$Y14)),
IF(AK$3=$DF14+'Model Setup'!$C$7,SUMIF($AD$3:$BA$3,"="&amp;$DF14+'Model Setup'!$C$7,$B14:$Y14)+'Model Setup'!$C$8*(SUMIF($AD$3:$BA$3,"&lt;"&amp;$DF14,$B14:$Y14)+SUMIF($AD$3:$BA$3,"&gt;="&amp;$DG14,$B14:$Y14)),
IF(AK$3=$DF14+'Model Setup'!$D$7,SUMIF($AD$3:$BA$3,"="&amp;$DF14+'Model Setup'!$D$7,$B14:$Y14)+'Model Setup'!$D$8*(SUMIF($AD$3:$BA$3,"&lt;"&amp;$DF14,$B14:$Y14)+SUMIF($AD$3:$BA$3,"&gt;="&amp;$DG14,$B14:$Y14)),
IF(AK$3=$DF14+'Model Setup'!$E$7,SUMIF($AD$3:$BA$3,"="&amp;$DF14+'Model Setup'!$E$7,$B14:$Y14)+'Model Setup'!$E$8*(SUMIF($AD$3:$BA$3,"&lt;"&amp;$DF14,$B14:$Y14)+SUMIF($AD$3:$BA$3,"&gt;="&amp;$DG14,$B14:$Y14)),
IF(AK$3=$DF14+'Model Setup'!$F$7,SUMIF($AD$3:$BA$3,"="&amp;$DF14+'Model Setup'!$F$7,$B14:$Y14)+'Model Setup'!$F$8*(SUMIF($AD$3:$BA$3,"&lt;"&amp;$DF14,$B14:$Y14)+SUMIF($AD$3:$BA$3,"&gt;="&amp;$DG14,$B14:$Y14)),
IF(AK$3=$DF14+'Model Setup'!$G$7,SUMIF($AD$3:$BA$3,"="&amp;$DF14+'Model Setup'!$G$7,$B14:$Y14)+'Model Setup'!$G$8*(SUMIF($AD$3:$BA$3,"&lt;"&amp;$DF14,$B14:$Y14)+SUMIF($AD$3:$BA$3,"&gt;="&amp;$DG14,$B14:$Y14)),
IF(AK$3=$DF14+'Model Setup'!$H$7,SUMIF($AD$3:$BA$3,"="&amp;$DF14+'Model Setup'!$H$7,$B14:$Y14)+'Model Setup'!$H$8*(SUMIF($AD$3:$BA$3,"&lt;"&amp;$DF14,$B14:$Y14)+SUMIF($AD$3:$BA$3,"&gt;="&amp;$DG14,$B14:$Y14)),
IF(AK$3=$DF14+'Model Setup'!$I$7,SUMIF($AD$3:$BA$3,"="&amp;$DF14+'Model Setup'!$I$7,$B14:$Y14)+'Model Setup'!$I$8*(SUMIF($AD$3:$BA$3,"&lt;"&amp;$DF14,$B14:$Y14)+SUMIF($AD$3:$BA$3,"&gt;="&amp;$DG14,$B14:$Y14)),
IF(AK$3=$DF14+'Model Setup'!$J$7,SUMIF($AD$3:$BA$3,"="&amp;$DF14+'Model Setup'!$J$7,$B14:$Y14)+'Model Setup'!$J$8*(SUMIF($AD$3:$BA$3,"&lt;"&amp;$DF14,$B14:$Y14)+SUMIF($AD$3:$BA$3,"&gt;="&amp;$DG14,$B14:$Y14)),
IF(AK$3=$DF14+'Model Setup'!$K$7,SUMIF($AD$3:$BA$3,"="&amp;$DF14+'Model Setup'!$K$7,$B14:$Y14)+'Model Setup'!$K$8*(SUMIF($AD$3:$BA$3,"&lt;"&amp;$DF14,$B14:$Y14)+SUMIF($AD$3:$BA$3,"&gt;="&amp;$DG14,$B14:$Y14)),
IF(AK$3=$DF14+'Model Setup'!$L$7,SUMIF($AD$3:$BA$3,"="&amp;$DF14+'Model Setup'!$L$7,$B14:$Y14)+'Model Setup'!$L$8*(SUMIF($AD$3:$BA$3,"&lt;"&amp;$DF14,$B14:$Y14)+SUMIF($AD$3:$BA$3,"&gt;="&amp;$DG14,$B14:$Y14)),
IF(AK$3=$DF14+'Model Setup'!$M$7,SUMIF($AD$3:$BA$3,"="&amp;$DF14+'Model Setup'!$M$7,$B14:$Y14)+'Model Setup'!$M$8*(SUMIF($AD$3:$BA$3,"&lt;"&amp;$DF14,$B14:$Y14)+SUMIF($AD$3:$BA$3,"&gt;="&amp;$DG14,$B14:$Y14)),
IF(AK$3=$DF14+'Model Setup'!$N$7,SUMIF($AD$3:$BA$3,"="&amp;$DF14+'Model Setup'!$N$7,$B14:$Y14)+'Model Setup'!$N$8*(SUMIF($AD$3:$BA$3,"&lt;"&amp;$DF14,$B14:$Y14)+SUMIF($AD$3:$BA$3,"&gt;="&amp;$DG14,$B14:$Y14)),
IF(AK$3&lt;$DG14,I14,0))))))))))))))),0)</f>
        <v>250</v>
      </c>
      <c r="AL14" s="47">
        <f>ROUND(IF(AL$3&lt;$DF14,0,
IF(AL$3=$DF14+'Model Setup'!$B$7,SUMIF($AD$3:$BA$3,"="&amp;$DF14+'Model Setup'!$B$7,$B14:$Y14)+'Model Setup'!$B$8*(SUMIF($AD$3:$BA$3,"&lt;"&amp;$DF14,$B14:$Y14)+SUMIF($AD$3:$BA$3,"&gt;="&amp;$DG14,$B14:$Y14)),
IF(AL$3=$DF14+'Model Setup'!$C$7,SUMIF($AD$3:$BA$3,"="&amp;$DF14+'Model Setup'!$C$7,$B14:$Y14)+'Model Setup'!$C$8*(SUMIF($AD$3:$BA$3,"&lt;"&amp;$DF14,$B14:$Y14)+SUMIF($AD$3:$BA$3,"&gt;="&amp;$DG14,$B14:$Y14)),
IF(AL$3=$DF14+'Model Setup'!$D$7,SUMIF($AD$3:$BA$3,"="&amp;$DF14+'Model Setup'!$D$7,$B14:$Y14)+'Model Setup'!$D$8*(SUMIF($AD$3:$BA$3,"&lt;"&amp;$DF14,$B14:$Y14)+SUMIF($AD$3:$BA$3,"&gt;="&amp;$DG14,$B14:$Y14)),
IF(AL$3=$DF14+'Model Setup'!$E$7,SUMIF($AD$3:$BA$3,"="&amp;$DF14+'Model Setup'!$E$7,$B14:$Y14)+'Model Setup'!$E$8*(SUMIF($AD$3:$BA$3,"&lt;"&amp;$DF14,$B14:$Y14)+SUMIF($AD$3:$BA$3,"&gt;="&amp;$DG14,$B14:$Y14)),
IF(AL$3=$DF14+'Model Setup'!$F$7,SUMIF($AD$3:$BA$3,"="&amp;$DF14+'Model Setup'!$F$7,$B14:$Y14)+'Model Setup'!$F$8*(SUMIF($AD$3:$BA$3,"&lt;"&amp;$DF14,$B14:$Y14)+SUMIF($AD$3:$BA$3,"&gt;="&amp;$DG14,$B14:$Y14)),
IF(AL$3=$DF14+'Model Setup'!$G$7,SUMIF($AD$3:$BA$3,"="&amp;$DF14+'Model Setup'!$G$7,$B14:$Y14)+'Model Setup'!$G$8*(SUMIF($AD$3:$BA$3,"&lt;"&amp;$DF14,$B14:$Y14)+SUMIF($AD$3:$BA$3,"&gt;="&amp;$DG14,$B14:$Y14)),
IF(AL$3=$DF14+'Model Setup'!$H$7,SUMIF($AD$3:$BA$3,"="&amp;$DF14+'Model Setup'!$H$7,$B14:$Y14)+'Model Setup'!$H$8*(SUMIF($AD$3:$BA$3,"&lt;"&amp;$DF14,$B14:$Y14)+SUMIF($AD$3:$BA$3,"&gt;="&amp;$DG14,$B14:$Y14)),
IF(AL$3=$DF14+'Model Setup'!$I$7,SUMIF($AD$3:$BA$3,"="&amp;$DF14+'Model Setup'!$I$7,$B14:$Y14)+'Model Setup'!$I$8*(SUMIF($AD$3:$BA$3,"&lt;"&amp;$DF14,$B14:$Y14)+SUMIF($AD$3:$BA$3,"&gt;="&amp;$DG14,$B14:$Y14)),
IF(AL$3=$DF14+'Model Setup'!$J$7,SUMIF($AD$3:$BA$3,"="&amp;$DF14+'Model Setup'!$J$7,$B14:$Y14)+'Model Setup'!$J$8*(SUMIF($AD$3:$BA$3,"&lt;"&amp;$DF14,$B14:$Y14)+SUMIF($AD$3:$BA$3,"&gt;="&amp;$DG14,$B14:$Y14)),
IF(AL$3=$DF14+'Model Setup'!$K$7,SUMIF($AD$3:$BA$3,"="&amp;$DF14+'Model Setup'!$K$7,$B14:$Y14)+'Model Setup'!$K$8*(SUMIF($AD$3:$BA$3,"&lt;"&amp;$DF14,$B14:$Y14)+SUMIF($AD$3:$BA$3,"&gt;="&amp;$DG14,$B14:$Y14)),
IF(AL$3=$DF14+'Model Setup'!$L$7,SUMIF($AD$3:$BA$3,"="&amp;$DF14+'Model Setup'!$L$7,$B14:$Y14)+'Model Setup'!$L$8*(SUMIF($AD$3:$BA$3,"&lt;"&amp;$DF14,$B14:$Y14)+SUMIF($AD$3:$BA$3,"&gt;="&amp;$DG14,$B14:$Y14)),
IF(AL$3=$DF14+'Model Setup'!$M$7,SUMIF($AD$3:$BA$3,"="&amp;$DF14+'Model Setup'!$M$7,$B14:$Y14)+'Model Setup'!$M$8*(SUMIF($AD$3:$BA$3,"&lt;"&amp;$DF14,$B14:$Y14)+SUMIF($AD$3:$BA$3,"&gt;="&amp;$DG14,$B14:$Y14)),
IF(AL$3=$DF14+'Model Setup'!$N$7,SUMIF($AD$3:$BA$3,"="&amp;$DF14+'Model Setup'!$N$7,$B14:$Y14)+'Model Setup'!$N$8*(SUMIF($AD$3:$BA$3,"&lt;"&amp;$DF14,$B14:$Y14)+SUMIF($AD$3:$BA$3,"&gt;="&amp;$DG14,$B14:$Y14)),
IF(AL$3&lt;$DG14,J14,0))))))))))))))),0)</f>
        <v>242</v>
      </c>
      <c r="AM14" s="47">
        <f>ROUND(IF(AM$3&lt;$DF14,0,
IF(AM$3=$DF14+'Model Setup'!$B$7,SUMIF($AD$3:$BA$3,"="&amp;$DF14+'Model Setup'!$B$7,$B14:$Y14)+'Model Setup'!$B$8*(SUMIF($AD$3:$BA$3,"&lt;"&amp;$DF14,$B14:$Y14)+SUMIF($AD$3:$BA$3,"&gt;="&amp;$DG14,$B14:$Y14)),
IF(AM$3=$DF14+'Model Setup'!$C$7,SUMIF($AD$3:$BA$3,"="&amp;$DF14+'Model Setup'!$C$7,$B14:$Y14)+'Model Setup'!$C$8*(SUMIF($AD$3:$BA$3,"&lt;"&amp;$DF14,$B14:$Y14)+SUMIF($AD$3:$BA$3,"&gt;="&amp;$DG14,$B14:$Y14)),
IF(AM$3=$DF14+'Model Setup'!$D$7,SUMIF($AD$3:$BA$3,"="&amp;$DF14+'Model Setup'!$D$7,$B14:$Y14)+'Model Setup'!$D$8*(SUMIF($AD$3:$BA$3,"&lt;"&amp;$DF14,$B14:$Y14)+SUMIF($AD$3:$BA$3,"&gt;="&amp;$DG14,$B14:$Y14)),
IF(AM$3=$DF14+'Model Setup'!$E$7,SUMIF($AD$3:$BA$3,"="&amp;$DF14+'Model Setup'!$E$7,$B14:$Y14)+'Model Setup'!$E$8*(SUMIF($AD$3:$BA$3,"&lt;"&amp;$DF14,$B14:$Y14)+SUMIF($AD$3:$BA$3,"&gt;="&amp;$DG14,$B14:$Y14)),
IF(AM$3=$DF14+'Model Setup'!$F$7,SUMIF($AD$3:$BA$3,"="&amp;$DF14+'Model Setup'!$F$7,$B14:$Y14)+'Model Setup'!$F$8*(SUMIF($AD$3:$BA$3,"&lt;"&amp;$DF14,$B14:$Y14)+SUMIF($AD$3:$BA$3,"&gt;="&amp;$DG14,$B14:$Y14)),
IF(AM$3=$DF14+'Model Setup'!$G$7,SUMIF($AD$3:$BA$3,"="&amp;$DF14+'Model Setup'!$G$7,$B14:$Y14)+'Model Setup'!$G$8*(SUMIF($AD$3:$BA$3,"&lt;"&amp;$DF14,$B14:$Y14)+SUMIF($AD$3:$BA$3,"&gt;="&amp;$DG14,$B14:$Y14)),
IF(AM$3=$DF14+'Model Setup'!$H$7,SUMIF($AD$3:$BA$3,"="&amp;$DF14+'Model Setup'!$H$7,$B14:$Y14)+'Model Setup'!$H$8*(SUMIF($AD$3:$BA$3,"&lt;"&amp;$DF14,$B14:$Y14)+SUMIF($AD$3:$BA$3,"&gt;="&amp;$DG14,$B14:$Y14)),
IF(AM$3=$DF14+'Model Setup'!$I$7,SUMIF($AD$3:$BA$3,"="&amp;$DF14+'Model Setup'!$I$7,$B14:$Y14)+'Model Setup'!$I$8*(SUMIF($AD$3:$BA$3,"&lt;"&amp;$DF14,$B14:$Y14)+SUMIF($AD$3:$BA$3,"&gt;="&amp;$DG14,$B14:$Y14)),
IF(AM$3=$DF14+'Model Setup'!$J$7,SUMIF($AD$3:$BA$3,"="&amp;$DF14+'Model Setup'!$J$7,$B14:$Y14)+'Model Setup'!$J$8*(SUMIF($AD$3:$BA$3,"&lt;"&amp;$DF14,$B14:$Y14)+SUMIF($AD$3:$BA$3,"&gt;="&amp;$DG14,$B14:$Y14)),
IF(AM$3=$DF14+'Model Setup'!$K$7,SUMIF($AD$3:$BA$3,"="&amp;$DF14+'Model Setup'!$K$7,$B14:$Y14)+'Model Setup'!$K$8*(SUMIF($AD$3:$BA$3,"&lt;"&amp;$DF14,$B14:$Y14)+SUMIF($AD$3:$BA$3,"&gt;="&amp;$DG14,$B14:$Y14)),
IF(AM$3=$DF14+'Model Setup'!$L$7,SUMIF($AD$3:$BA$3,"="&amp;$DF14+'Model Setup'!$L$7,$B14:$Y14)+'Model Setup'!$L$8*(SUMIF($AD$3:$BA$3,"&lt;"&amp;$DF14,$B14:$Y14)+SUMIF($AD$3:$BA$3,"&gt;="&amp;$DG14,$B14:$Y14)),
IF(AM$3=$DF14+'Model Setup'!$M$7,SUMIF($AD$3:$BA$3,"="&amp;$DF14+'Model Setup'!$M$7,$B14:$Y14)+'Model Setup'!$M$8*(SUMIF($AD$3:$BA$3,"&lt;"&amp;$DF14,$B14:$Y14)+SUMIF($AD$3:$BA$3,"&gt;="&amp;$DG14,$B14:$Y14)),
IF(AM$3=$DF14+'Model Setup'!$N$7,SUMIF($AD$3:$BA$3,"="&amp;$DF14+'Model Setup'!$N$7,$B14:$Y14)+'Model Setup'!$N$8*(SUMIF($AD$3:$BA$3,"&lt;"&amp;$DF14,$B14:$Y14)+SUMIF($AD$3:$BA$3,"&gt;="&amp;$DG14,$B14:$Y14)),
IF(AM$3&lt;$DG14,K14,0))))))))))))))),0)</f>
        <v>230</v>
      </c>
      <c r="AN14" s="47">
        <f>ROUND(IF(AN$3&lt;$DF14,0,
IF(AN$3=$DF14+'Model Setup'!$B$7,SUMIF($AD$3:$BA$3,"="&amp;$DF14+'Model Setup'!$B$7,$B14:$Y14)+'Model Setup'!$B$8*(SUMIF($AD$3:$BA$3,"&lt;"&amp;$DF14,$B14:$Y14)+SUMIF($AD$3:$BA$3,"&gt;="&amp;$DG14,$B14:$Y14)),
IF(AN$3=$DF14+'Model Setup'!$C$7,SUMIF($AD$3:$BA$3,"="&amp;$DF14+'Model Setup'!$C$7,$B14:$Y14)+'Model Setup'!$C$8*(SUMIF($AD$3:$BA$3,"&lt;"&amp;$DF14,$B14:$Y14)+SUMIF($AD$3:$BA$3,"&gt;="&amp;$DG14,$B14:$Y14)),
IF(AN$3=$DF14+'Model Setup'!$D$7,SUMIF($AD$3:$BA$3,"="&amp;$DF14+'Model Setup'!$D$7,$B14:$Y14)+'Model Setup'!$D$8*(SUMIF($AD$3:$BA$3,"&lt;"&amp;$DF14,$B14:$Y14)+SUMIF($AD$3:$BA$3,"&gt;="&amp;$DG14,$B14:$Y14)),
IF(AN$3=$DF14+'Model Setup'!$E$7,SUMIF($AD$3:$BA$3,"="&amp;$DF14+'Model Setup'!$E$7,$B14:$Y14)+'Model Setup'!$E$8*(SUMIF($AD$3:$BA$3,"&lt;"&amp;$DF14,$B14:$Y14)+SUMIF($AD$3:$BA$3,"&gt;="&amp;$DG14,$B14:$Y14)),
IF(AN$3=$DF14+'Model Setup'!$F$7,SUMIF($AD$3:$BA$3,"="&amp;$DF14+'Model Setup'!$F$7,$B14:$Y14)+'Model Setup'!$F$8*(SUMIF($AD$3:$BA$3,"&lt;"&amp;$DF14,$B14:$Y14)+SUMIF($AD$3:$BA$3,"&gt;="&amp;$DG14,$B14:$Y14)),
IF(AN$3=$DF14+'Model Setup'!$G$7,SUMIF($AD$3:$BA$3,"="&amp;$DF14+'Model Setup'!$G$7,$B14:$Y14)+'Model Setup'!$G$8*(SUMIF($AD$3:$BA$3,"&lt;"&amp;$DF14,$B14:$Y14)+SUMIF($AD$3:$BA$3,"&gt;="&amp;$DG14,$B14:$Y14)),
IF(AN$3=$DF14+'Model Setup'!$H$7,SUMIF($AD$3:$BA$3,"="&amp;$DF14+'Model Setup'!$H$7,$B14:$Y14)+'Model Setup'!$H$8*(SUMIF($AD$3:$BA$3,"&lt;"&amp;$DF14,$B14:$Y14)+SUMIF($AD$3:$BA$3,"&gt;="&amp;$DG14,$B14:$Y14)),
IF(AN$3=$DF14+'Model Setup'!$I$7,SUMIF($AD$3:$BA$3,"="&amp;$DF14+'Model Setup'!$I$7,$B14:$Y14)+'Model Setup'!$I$8*(SUMIF($AD$3:$BA$3,"&lt;"&amp;$DF14,$B14:$Y14)+SUMIF($AD$3:$BA$3,"&gt;="&amp;$DG14,$B14:$Y14)),
IF(AN$3=$DF14+'Model Setup'!$J$7,SUMIF($AD$3:$BA$3,"="&amp;$DF14+'Model Setup'!$J$7,$B14:$Y14)+'Model Setup'!$J$8*(SUMIF($AD$3:$BA$3,"&lt;"&amp;$DF14,$B14:$Y14)+SUMIF($AD$3:$BA$3,"&gt;="&amp;$DG14,$B14:$Y14)),
IF(AN$3=$DF14+'Model Setup'!$K$7,SUMIF($AD$3:$BA$3,"="&amp;$DF14+'Model Setup'!$K$7,$B14:$Y14)+'Model Setup'!$K$8*(SUMIF($AD$3:$BA$3,"&lt;"&amp;$DF14,$B14:$Y14)+SUMIF($AD$3:$BA$3,"&gt;="&amp;$DG14,$B14:$Y14)),
IF(AN$3=$DF14+'Model Setup'!$L$7,SUMIF($AD$3:$BA$3,"="&amp;$DF14+'Model Setup'!$L$7,$B14:$Y14)+'Model Setup'!$L$8*(SUMIF($AD$3:$BA$3,"&lt;"&amp;$DF14,$B14:$Y14)+SUMIF($AD$3:$BA$3,"&gt;="&amp;$DG14,$B14:$Y14)),
IF(AN$3=$DF14+'Model Setup'!$M$7,SUMIF($AD$3:$BA$3,"="&amp;$DF14+'Model Setup'!$M$7,$B14:$Y14)+'Model Setup'!$M$8*(SUMIF($AD$3:$BA$3,"&lt;"&amp;$DF14,$B14:$Y14)+SUMIF($AD$3:$BA$3,"&gt;="&amp;$DG14,$B14:$Y14)),
IF(AN$3=$DF14+'Model Setup'!$N$7,SUMIF($AD$3:$BA$3,"="&amp;$DF14+'Model Setup'!$N$7,$B14:$Y14)+'Model Setup'!$N$8*(SUMIF($AD$3:$BA$3,"&lt;"&amp;$DF14,$B14:$Y14)+SUMIF($AD$3:$BA$3,"&gt;="&amp;$DG14,$B14:$Y14)),
IF(AN$3&lt;$DG14,L14,0))))))))))))))),0)</f>
        <v>185</v>
      </c>
      <c r="AO14" s="47">
        <f>ROUND(IF(AO$3&lt;$DF14,0,
IF(AO$3=$DF14+'Model Setup'!$B$7,SUMIF($AD$3:$BA$3,"="&amp;$DF14+'Model Setup'!$B$7,$B14:$Y14)+'Model Setup'!$B$8*(SUMIF($AD$3:$BA$3,"&lt;"&amp;$DF14,$B14:$Y14)+SUMIF($AD$3:$BA$3,"&gt;="&amp;$DG14,$B14:$Y14)),
IF(AO$3=$DF14+'Model Setup'!$C$7,SUMIF($AD$3:$BA$3,"="&amp;$DF14+'Model Setup'!$C$7,$B14:$Y14)+'Model Setup'!$C$8*(SUMIF($AD$3:$BA$3,"&lt;"&amp;$DF14,$B14:$Y14)+SUMIF($AD$3:$BA$3,"&gt;="&amp;$DG14,$B14:$Y14)),
IF(AO$3=$DF14+'Model Setup'!$D$7,SUMIF($AD$3:$BA$3,"="&amp;$DF14+'Model Setup'!$D$7,$B14:$Y14)+'Model Setup'!$D$8*(SUMIF($AD$3:$BA$3,"&lt;"&amp;$DF14,$B14:$Y14)+SUMIF($AD$3:$BA$3,"&gt;="&amp;$DG14,$B14:$Y14)),
IF(AO$3=$DF14+'Model Setup'!$E$7,SUMIF($AD$3:$BA$3,"="&amp;$DF14+'Model Setup'!$E$7,$B14:$Y14)+'Model Setup'!$E$8*(SUMIF($AD$3:$BA$3,"&lt;"&amp;$DF14,$B14:$Y14)+SUMIF($AD$3:$BA$3,"&gt;="&amp;$DG14,$B14:$Y14)),
IF(AO$3=$DF14+'Model Setup'!$F$7,SUMIF($AD$3:$BA$3,"="&amp;$DF14+'Model Setup'!$F$7,$B14:$Y14)+'Model Setup'!$F$8*(SUMIF($AD$3:$BA$3,"&lt;"&amp;$DF14,$B14:$Y14)+SUMIF($AD$3:$BA$3,"&gt;="&amp;$DG14,$B14:$Y14)),
IF(AO$3=$DF14+'Model Setup'!$G$7,SUMIF($AD$3:$BA$3,"="&amp;$DF14+'Model Setup'!$G$7,$B14:$Y14)+'Model Setup'!$G$8*(SUMIF($AD$3:$BA$3,"&lt;"&amp;$DF14,$B14:$Y14)+SUMIF($AD$3:$BA$3,"&gt;="&amp;$DG14,$B14:$Y14)),
IF(AO$3=$DF14+'Model Setup'!$H$7,SUMIF($AD$3:$BA$3,"="&amp;$DF14+'Model Setup'!$H$7,$B14:$Y14)+'Model Setup'!$H$8*(SUMIF($AD$3:$BA$3,"&lt;"&amp;$DF14,$B14:$Y14)+SUMIF($AD$3:$BA$3,"&gt;="&amp;$DG14,$B14:$Y14)),
IF(AO$3=$DF14+'Model Setup'!$I$7,SUMIF($AD$3:$BA$3,"="&amp;$DF14+'Model Setup'!$I$7,$B14:$Y14)+'Model Setup'!$I$8*(SUMIF($AD$3:$BA$3,"&lt;"&amp;$DF14,$B14:$Y14)+SUMIF($AD$3:$BA$3,"&gt;="&amp;$DG14,$B14:$Y14)),
IF(AO$3=$DF14+'Model Setup'!$J$7,SUMIF($AD$3:$BA$3,"="&amp;$DF14+'Model Setup'!$J$7,$B14:$Y14)+'Model Setup'!$J$8*(SUMIF($AD$3:$BA$3,"&lt;"&amp;$DF14,$B14:$Y14)+SUMIF($AD$3:$BA$3,"&gt;="&amp;$DG14,$B14:$Y14)),
IF(AO$3=$DF14+'Model Setup'!$K$7,SUMIF($AD$3:$BA$3,"="&amp;$DF14+'Model Setup'!$K$7,$B14:$Y14)+'Model Setup'!$K$8*(SUMIF($AD$3:$BA$3,"&lt;"&amp;$DF14,$B14:$Y14)+SUMIF($AD$3:$BA$3,"&gt;="&amp;$DG14,$B14:$Y14)),
IF(AO$3=$DF14+'Model Setup'!$L$7,SUMIF($AD$3:$BA$3,"="&amp;$DF14+'Model Setup'!$L$7,$B14:$Y14)+'Model Setup'!$L$8*(SUMIF($AD$3:$BA$3,"&lt;"&amp;$DF14,$B14:$Y14)+SUMIF($AD$3:$BA$3,"&gt;="&amp;$DG14,$B14:$Y14)),
IF(AO$3=$DF14+'Model Setup'!$M$7,SUMIF($AD$3:$BA$3,"="&amp;$DF14+'Model Setup'!$M$7,$B14:$Y14)+'Model Setup'!$M$8*(SUMIF($AD$3:$BA$3,"&lt;"&amp;$DF14,$B14:$Y14)+SUMIF($AD$3:$BA$3,"&gt;="&amp;$DG14,$B14:$Y14)),
IF(AO$3=$DF14+'Model Setup'!$N$7,SUMIF($AD$3:$BA$3,"="&amp;$DF14+'Model Setup'!$N$7,$B14:$Y14)+'Model Setup'!$N$8*(SUMIF($AD$3:$BA$3,"&lt;"&amp;$DF14,$B14:$Y14)+SUMIF($AD$3:$BA$3,"&gt;="&amp;$DG14,$B14:$Y14)),
IF(AO$3&lt;$DG14,M14,0))))))))))))))),0)</f>
        <v>202</v>
      </c>
      <c r="AP14" s="47">
        <f>ROUND(IF(AP$3&lt;$DF14,0,
IF(AP$3=$DF14+'Model Setup'!$B$7,SUMIF($AD$3:$BA$3,"="&amp;$DF14+'Model Setup'!$B$7,$B14:$Y14)+'Model Setup'!$B$8*(SUMIF($AD$3:$BA$3,"&lt;"&amp;$DF14,$B14:$Y14)+SUMIF($AD$3:$BA$3,"&gt;="&amp;$DG14,$B14:$Y14)),
IF(AP$3=$DF14+'Model Setup'!$C$7,SUMIF($AD$3:$BA$3,"="&amp;$DF14+'Model Setup'!$C$7,$B14:$Y14)+'Model Setup'!$C$8*(SUMIF($AD$3:$BA$3,"&lt;"&amp;$DF14,$B14:$Y14)+SUMIF($AD$3:$BA$3,"&gt;="&amp;$DG14,$B14:$Y14)),
IF(AP$3=$DF14+'Model Setup'!$D$7,SUMIF($AD$3:$BA$3,"="&amp;$DF14+'Model Setup'!$D$7,$B14:$Y14)+'Model Setup'!$D$8*(SUMIF($AD$3:$BA$3,"&lt;"&amp;$DF14,$B14:$Y14)+SUMIF($AD$3:$BA$3,"&gt;="&amp;$DG14,$B14:$Y14)),
IF(AP$3=$DF14+'Model Setup'!$E$7,SUMIF($AD$3:$BA$3,"="&amp;$DF14+'Model Setup'!$E$7,$B14:$Y14)+'Model Setup'!$E$8*(SUMIF($AD$3:$BA$3,"&lt;"&amp;$DF14,$B14:$Y14)+SUMIF($AD$3:$BA$3,"&gt;="&amp;$DG14,$B14:$Y14)),
IF(AP$3=$DF14+'Model Setup'!$F$7,SUMIF($AD$3:$BA$3,"="&amp;$DF14+'Model Setup'!$F$7,$B14:$Y14)+'Model Setup'!$F$8*(SUMIF($AD$3:$BA$3,"&lt;"&amp;$DF14,$B14:$Y14)+SUMIF($AD$3:$BA$3,"&gt;="&amp;$DG14,$B14:$Y14)),
IF(AP$3=$DF14+'Model Setup'!$G$7,SUMIF($AD$3:$BA$3,"="&amp;$DF14+'Model Setup'!$G$7,$B14:$Y14)+'Model Setup'!$G$8*(SUMIF($AD$3:$BA$3,"&lt;"&amp;$DF14,$B14:$Y14)+SUMIF($AD$3:$BA$3,"&gt;="&amp;$DG14,$B14:$Y14)),
IF(AP$3=$DF14+'Model Setup'!$H$7,SUMIF($AD$3:$BA$3,"="&amp;$DF14+'Model Setup'!$H$7,$B14:$Y14)+'Model Setup'!$H$8*(SUMIF($AD$3:$BA$3,"&lt;"&amp;$DF14,$B14:$Y14)+SUMIF($AD$3:$BA$3,"&gt;="&amp;$DG14,$B14:$Y14)),
IF(AP$3=$DF14+'Model Setup'!$I$7,SUMIF($AD$3:$BA$3,"="&amp;$DF14+'Model Setup'!$I$7,$B14:$Y14)+'Model Setup'!$I$8*(SUMIF($AD$3:$BA$3,"&lt;"&amp;$DF14,$B14:$Y14)+SUMIF($AD$3:$BA$3,"&gt;="&amp;$DG14,$B14:$Y14)),
IF(AP$3=$DF14+'Model Setup'!$J$7,SUMIF($AD$3:$BA$3,"="&amp;$DF14+'Model Setup'!$J$7,$B14:$Y14)+'Model Setup'!$J$8*(SUMIF($AD$3:$BA$3,"&lt;"&amp;$DF14,$B14:$Y14)+SUMIF($AD$3:$BA$3,"&gt;="&amp;$DG14,$B14:$Y14)),
IF(AP$3=$DF14+'Model Setup'!$K$7,SUMIF($AD$3:$BA$3,"="&amp;$DF14+'Model Setup'!$K$7,$B14:$Y14)+'Model Setup'!$K$8*(SUMIF($AD$3:$BA$3,"&lt;"&amp;$DF14,$B14:$Y14)+SUMIF($AD$3:$BA$3,"&gt;="&amp;$DG14,$B14:$Y14)),
IF(AP$3=$DF14+'Model Setup'!$L$7,SUMIF($AD$3:$BA$3,"="&amp;$DF14+'Model Setup'!$L$7,$B14:$Y14)+'Model Setup'!$L$8*(SUMIF($AD$3:$BA$3,"&lt;"&amp;$DF14,$B14:$Y14)+SUMIF($AD$3:$BA$3,"&gt;="&amp;$DG14,$B14:$Y14)),
IF(AP$3=$DF14+'Model Setup'!$M$7,SUMIF($AD$3:$BA$3,"="&amp;$DF14+'Model Setup'!$M$7,$B14:$Y14)+'Model Setup'!$M$8*(SUMIF($AD$3:$BA$3,"&lt;"&amp;$DF14,$B14:$Y14)+SUMIF($AD$3:$BA$3,"&gt;="&amp;$DG14,$B14:$Y14)),
IF(AP$3=$DF14+'Model Setup'!$N$7,SUMIF($AD$3:$BA$3,"="&amp;$DF14+'Model Setup'!$N$7,$B14:$Y14)+'Model Setup'!$N$8*(SUMIF($AD$3:$BA$3,"&lt;"&amp;$DF14,$B14:$Y14)+SUMIF($AD$3:$BA$3,"&gt;="&amp;$DG14,$B14:$Y14)),
IF(AP$3&lt;$DG14,N14,0))))))))))))))),0)</f>
        <v>170</v>
      </c>
      <c r="AQ14" s="47">
        <f>ROUND(IF(AQ$3&lt;$DF14,0,
IF(AQ$3=$DF14+'Model Setup'!$B$7,SUMIF($AD$3:$BA$3,"="&amp;$DF14+'Model Setup'!$B$7,$B14:$Y14)+'Model Setup'!$B$8*(SUMIF($AD$3:$BA$3,"&lt;"&amp;$DF14,$B14:$Y14)+SUMIF($AD$3:$BA$3,"&gt;="&amp;$DG14,$B14:$Y14)),
IF(AQ$3=$DF14+'Model Setup'!$C$7,SUMIF($AD$3:$BA$3,"="&amp;$DF14+'Model Setup'!$C$7,$B14:$Y14)+'Model Setup'!$C$8*(SUMIF($AD$3:$BA$3,"&lt;"&amp;$DF14,$B14:$Y14)+SUMIF($AD$3:$BA$3,"&gt;="&amp;$DG14,$B14:$Y14)),
IF(AQ$3=$DF14+'Model Setup'!$D$7,SUMIF($AD$3:$BA$3,"="&amp;$DF14+'Model Setup'!$D$7,$B14:$Y14)+'Model Setup'!$D$8*(SUMIF($AD$3:$BA$3,"&lt;"&amp;$DF14,$B14:$Y14)+SUMIF($AD$3:$BA$3,"&gt;="&amp;$DG14,$B14:$Y14)),
IF(AQ$3=$DF14+'Model Setup'!$E$7,SUMIF($AD$3:$BA$3,"="&amp;$DF14+'Model Setup'!$E$7,$B14:$Y14)+'Model Setup'!$E$8*(SUMIF($AD$3:$BA$3,"&lt;"&amp;$DF14,$B14:$Y14)+SUMIF($AD$3:$BA$3,"&gt;="&amp;$DG14,$B14:$Y14)),
IF(AQ$3=$DF14+'Model Setup'!$F$7,SUMIF($AD$3:$BA$3,"="&amp;$DF14+'Model Setup'!$F$7,$B14:$Y14)+'Model Setup'!$F$8*(SUMIF($AD$3:$BA$3,"&lt;"&amp;$DF14,$B14:$Y14)+SUMIF($AD$3:$BA$3,"&gt;="&amp;$DG14,$B14:$Y14)),
IF(AQ$3=$DF14+'Model Setup'!$G$7,SUMIF($AD$3:$BA$3,"="&amp;$DF14+'Model Setup'!$G$7,$B14:$Y14)+'Model Setup'!$G$8*(SUMIF($AD$3:$BA$3,"&lt;"&amp;$DF14,$B14:$Y14)+SUMIF($AD$3:$BA$3,"&gt;="&amp;$DG14,$B14:$Y14)),
IF(AQ$3=$DF14+'Model Setup'!$H$7,SUMIF($AD$3:$BA$3,"="&amp;$DF14+'Model Setup'!$H$7,$B14:$Y14)+'Model Setup'!$H$8*(SUMIF($AD$3:$BA$3,"&lt;"&amp;$DF14,$B14:$Y14)+SUMIF($AD$3:$BA$3,"&gt;="&amp;$DG14,$B14:$Y14)),
IF(AQ$3=$DF14+'Model Setup'!$I$7,SUMIF($AD$3:$BA$3,"="&amp;$DF14+'Model Setup'!$I$7,$B14:$Y14)+'Model Setup'!$I$8*(SUMIF($AD$3:$BA$3,"&lt;"&amp;$DF14,$B14:$Y14)+SUMIF($AD$3:$BA$3,"&gt;="&amp;$DG14,$B14:$Y14)),
IF(AQ$3=$DF14+'Model Setup'!$J$7,SUMIF($AD$3:$BA$3,"="&amp;$DF14+'Model Setup'!$J$7,$B14:$Y14)+'Model Setup'!$J$8*(SUMIF($AD$3:$BA$3,"&lt;"&amp;$DF14,$B14:$Y14)+SUMIF($AD$3:$BA$3,"&gt;="&amp;$DG14,$B14:$Y14)),
IF(AQ$3=$DF14+'Model Setup'!$K$7,SUMIF($AD$3:$BA$3,"="&amp;$DF14+'Model Setup'!$K$7,$B14:$Y14)+'Model Setup'!$K$8*(SUMIF($AD$3:$BA$3,"&lt;"&amp;$DF14,$B14:$Y14)+SUMIF($AD$3:$BA$3,"&gt;="&amp;$DG14,$B14:$Y14)),
IF(AQ$3=$DF14+'Model Setup'!$L$7,SUMIF($AD$3:$BA$3,"="&amp;$DF14+'Model Setup'!$L$7,$B14:$Y14)+'Model Setup'!$L$8*(SUMIF($AD$3:$BA$3,"&lt;"&amp;$DF14,$B14:$Y14)+SUMIF($AD$3:$BA$3,"&gt;="&amp;$DG14,$B14:$Y14)),
IF(AQ$3=$DF14+'Model Setup'!$M$7,SUMIF($AD$3:$BA$3,"="&amp;$DF14+'Model Setup'!$M$7,$B14:$Y14)+'Model Setup'!$M$8*(SUMIF($AD$3:$BA$3,"&lt;"&amp;$DF14,$B14:$Y14)+SUMIF($AD$3:$BA$3,"&gt;="&amp;$DG14,$B14:$Y14)),
IF(AQ$3=$DF14+'Model Setup'!$N$7,SUMIF($AD$3:$BA$3,"="&amp;$DF14+'Model Setup'!$N$7,$B14:$Y14)+'Model Setup'!$N$8*(SUMIF($AD$3:$BA$3,"&lt;"&amp;$DF14,$B14:$Y14)+SUMIF($AD$3:$BA$3,"&gt;="&amp;$DG14,$B14:$Y14)),
IF(AQ$3&lt;$DG14,O14,0))))))))))))))),0)</f>
        <v>148</v>
      </c>
      <c r="AR14" s="47">
        <f>ROUND(IF(AR$3&lt;$DF14,0,
IF(AR$3=$DF14+'Model Setup'!$B$7,SUMIF($AD$3:$BA$3,"="&amp;$DF14+'Model Setup'!$B$7,$B14:$Y14)+'Model Setup'!$B$8*(SUMIF($AD$3:$BA$3,"&lt;"&amp;$DF14,$B14:$Y14)+SUMIF($AD$3:$BA$3,"&gt;="&amp;$DG14,$B14:$Y14)),
IF(AR$3=$DF14+'Model Setup'!$C$7,SUMIF($AD$3:$BA$3,"="&amp;$DF14+'Model Setup'!$C$7,$B14:$Y14)+'Model Setup'!$C$8*(SUMIF($AD$3:$BA$3,"&lt;"&amp;$DF14,$B14:$Y14)+SUMIF($AD$3:$BA$3,"&gt;="&amp;$DG14,$B14:$Y14)),
IF(AR$3=$DF14+'Model Setup'!$D$7,SUMIF($AD$3:$BA$3,"="&amp;$DF14+'Model Setup'!$D$7,$B14:$Y14)+'Model Setup'!$D$8*(SUMIF($AD$3:$BA$3,"&lt;"&amp;$DF14,$B14:$Y14)+SUMIF($AD$3:$BA$3,"&gt;="&amp;$DG14,$B14:$Y14)),
IF(AR$3=$DF14+'Model Setup'!$E$7,SUMIF($AD$3:$BA$3,"="&amp;$DF14+'Model Setup'!$E$7,$B14:$Y14)+'Model Setup'!$E$8*(SUMIF($AD$3:$BA$3,"&lt;"&amp;$DF14,$B14:$Y14)+SUMIF($AD$3:$BA$3,"&gt;="&amp;$DG14,$B14:$Y14)),
IF(AR$3=$DF14+'Model Setup'!$F$7,SUMIF($AD$3:$BA$3,"="&amp;$DF14+'Model Setup'!$F$7,$B14:$Y14)+'Model Setup'!$F$8*(SUMIF($AD$3:$BA$3,"&lt;"&amp;$DF14,$B14:$Y14)+SUMIF($AD$3:$BA$3,"&gt;="&amp;$DG14,$B14:$Y14)),
IF(AR$3=$DF14+'Model Setup'!$G$7,SUMIF($AD$3:$BA$3,"="&amp;$DF14+'Model Setup'!$G$7,$B14:$Y14)+'Model Setup'!$G$8*(SUMIF($AD$3:$BA$3,"&lt;"&amp;$DF14,$B14:$Y14)+SUMIF($AD$3:$BA$3,"&gt;="&amp;$DG14,$B14:$Y14)),
IF(AR$3=$DF14+'Model Setup'!$H$7,SUMIF($AD$3:$BA$3,"="&amp;$DF14+'Model Setup'!$H$7,$B14:$Y14)+'Model Setup'!$H$8*(SUMIF($AD$3:$BA$3,"&lt;"&amp;$DF14,$B14:$Y14)+SUMIF($AD$3:$BA$3,"&gt;="&amp;$DG14,$B14:$Y14)),
IF(AR$3=$DF14+'Model Setup'!$I$7,SUMIF($AD$3:$BA$3,"="&amp;$DF14+'Model Setup'!$I$7,$B14:$Y14)+'Model Setup'!$I$8*(SUMIF($AD$3:$BA$3,"&lt;"&amp;$DF14,$B14:$Y14)+SUMIF($AD$3:$BA$3,"&gt;="&amp;$DG14,$B14:$Y14)),
IF(AR$3=$DF14+'Model Setup'!$J$7,SUMIF($AD$3:$BA$3,"="&amp;$DF14+'Model Setup'!$J$7,$B14:$Y14)+'Model Setup'!$J$8*(SUMIF($AD$3:$BA$3,"&lt;"&amp;$DF14,$B14:$Y14)+SUMIF($AD$3:$BA$3,"&gt;="&amp;$DG14,$B14:$Y14)),
IF(AR$3=$DF14+'Model Setup'!$K$7,SUMIF($AD$3:$BA$3,"="&amp;$DF14+'Model Setup'!$K$7,$B14:$Y14)+'Model Setup'!$K$8*(SUMIF($AD$3:$BA$3,"&lt;"&amp;$DF14,$B14:$Y14)+SUMIF($AD$3:$BA$3,"&gt;="&amp;$DG14,$B14:$Y14)),
IF(AR$3=$DF14+'Model Setup'!$L$7,SUMIF($AD$3:$BA$3,"="&amp;$DF14+'Model Setup'!$L$7,$B14:$Y14)+'Model Setup'!$L$8*(SUMIF($AD$3:$BA$3,"&lt;"&amp;$DF14,$B14:$Y14)+SUMIF($AD$3:$BA$3,"&gt;="&amp;$DG14,$B14:$Y14)),
IF(AR$3=$DF14+'Model Setup'!$M$7,SUMIF($AD$3:$BA$3,"="&amp;$DF14+'Model Setup'!$M$7,$B14:$Y14)+'Model Setup'!$M$8*(SUMIF($AD$3:$BA$3,"&lt;"&amp;$DF14,$B14:$Y14)+SUMIF($AD$3:$BA$3,"&gt;="&amp;$DG14,$B14:$Y14)),
IF(AR$3=$DF14+'Model Setup'!$N$7,SUMIF($AD$3:$BA$3,"="&amp;$DF14+'Model Setup'!$N$7,$B14:$Y14)+'Model Setup'!$N$8*(SUMIF($AD$3:$BA$3,"&lt;"&amp;$DF14,$B14:$Y14)+SUMIF($AD$3:$BA$3,"&gt;="&amp;$DG14,$B14:$Y14)),
IF(AR$3&lt;$DG14,P14,0))))))))))))))),0)</f>
        <v>115</v>
      </c>
      <c r="AS14" s="47">
        <f>ROUND(IF(AS$3&lt;$DF14,0,
IF(AS$3=$DF14+'Model Setup'!$B$7,SUMIF($AD$3:$BA$3,"="&amp;$DF14+'Model Setup'!$B$7,$B14:$Y14)+'Model Setup'!$B$8*(SUMIF($AD$3:$BA$3,"&lt;"&amp;$DF14,$B14:$Y14)+SUMIF($AD$3:$BA$3,"&gt;="&amp;$DG14,$B14:$Y14)),
IF(AS$3=$DF14+'Model Setup'!$C$7,SUMIF($AD$3:$BA$3,"="&amp;$DF14+'Model Setup'!$C$7,$B14:$Y14)+'Model Setup'!$C$8*(SUMIF($AD$3:$BA$3,"&lt;"&amp;$DF14,$B14:$Y14)+SUMIF($AD$3:$BA$3,"&gt;="&amp;$DG14,$B14:$Y14)),
IF(AS$3=$DF14+'Model Setup'!$D$7,SUMIF($AD$3:$BA$3,"="&amp;$DF14+'Model Setup'!$D$7,$B14:$Y14)+'Model Setup'!$D$8*(SUMIF($AD$3:$BA$3,"&lt;"&amp;$DF14,$B14:$Y14)+SUMIF($AD$3:$BA$3,"&gt;="&amp;$DG14,$B14:$Y14)),
IF(AS$3=$DF14+'Model Setup'!$E$7,SUMIF($AD$3:$BA$3,"="&amp;$DF14+'Model Setup'!$E$7,$B14:$Y14)+'Model Setup'!$E$8*(SUMIF($AD$3:$BA$3,"&lt;"&amp;$DF14,$B14:$Y14)+SUMIF($AD$3:$BA$3,"&gt;="&amp;$DG14,$B14:$Y14)),
IF(AS$3=$DF14+'Model Setup'!$F$7,SUMIF($AD$3:$BA$3,"="&amp;$DF14+'Model Setup'!$F$7,$B14:$Y14)+'Model Setup'!$F$8*(SUMIF($AD$3:$BA$3,"&lt;"&amp;$DF14,$B14:$Y14)+SUMIF($AD$3:$BA$3,"&gt;="&amp;$DG14,$B14:$Y14)),
IF(AS$3=$DF14+'Model Setup'!$G$7,SUMIF($AD$3:$BA$3,"="&amp;$DF14+'Model Setup'!$G$7,$B14:$Y14)+'Model Setup'!$G$8*(SUMIF($AD$3:$BA$3,"&lt;"&amp;$DF14,$B14:$Y14)+SUMIF($AD$3:$BA$3,"&gt;="&amp;$DG14,$B14:$Y14)),
IF(AS$3=$DF14+'Model Setup'!$H$7,SUMIF($AD$3:$BA$3,"="&amp;$DF14+'Model Setup'!$H$7,$B14:$Y14)+'Model Setup'!$H$8*(SUMIF($AD$3:$BA$3,"&lt;"&amp;$DF14,$B14:$Y14)+SUMIF($AD$3:$BA$3,"&gt;="&amp;$DG14,$B14:$Y14)),
IF(AS$3=$DF14+'Model Setup'!$I$7,SUMIF($AD$3:$BA$3,"="&amp;$DF14+'Model Setup'!$I$7,$B14:$Y14)+'Model Setup'!$I$8*(SUMIF($AD$3:$BA$3,"&lt;"&amp;$DF14,$B14:$Y14)+SUMIF($AD$3:$BA$3,"&gt;="&amp;$DG14,$B14:$Y14)),
IF(AS$3=$DF14+'Model Setup'!$J$7,SUMIF($AD$3:$BA$3,"="&amp;$DF14+'Model Setup'!$J$7,$B14:$Y14)+'Model Setup'!$J$8*(SUMIF($AD$3:$BA$3,"&lt;"&amp;$DF14,$B14:$Y14)+SUMIF($AD$3:$BA$3,"&gt;="&amp;$DG14,$B14:$Y14)),
IF(AS$3=$DF14+'Model Setup'!$K$7,SUMIF($AD$3:$BA$3,"="&amp;$DF14+'Model Setup'!$K$7,$B14:$Y14)+'Model Setup'!$K$8*(SUMIF($AD$3:$BA$3,"&lt;"&amp;$DF14,$B14:$Y14)+SUMIF($AD$3:$BA$3,"&gt;="&amp;$DG14,$B14:$Y14)),
IF(AS$3=$DF14+'Model Setup'!$L$7,SUMIF($AD$3:$BA$3,"="&amp;$DF14+'Model Setup'!$L$7,$B14:$Y14)+'Model Setup'!$L$8*(SUMIF($AD$3:$BA$3,"&lt;"&amp;$DF14,$B14:$Y14)+SUMIF($AD$3:$BA$3,"&gt;="&amp;$DG14,$B14:$Y14)),
IF(AS$3=$DF14+'Model Setup'!$M$7,SUMIF($AD$3:$BA$3,"="&amp;$DF14+'Model Setup'!$M$7,$B14:$Y14)+'Model Setup'!$M$8*(SUMIF($AD$3:$BA$3,"&lt;"&amp;$DF14,$B14:$Y14)+SUMIF($AD$3:$BA$3,"&gt;="&amp;$DG14,$B14:$Y14)),
IF(AS$3=$DF14+'Model Setup'!$N$7,SUMIF($AD$3:$BA$3,"="&amp;$DF14+'Model Setup'!$N$7,$B14:$Y14)+'Model Setup'!$N$8*(SUMIF($AD$3:$BA$3,"&lt;"&amp;$DF14,$B14:$Y14)+SUMIF($AD$3:$BA$3,"&gt;="&amp;$DG14,$B14:$Y14)),
IF(AS$3&lt;$DG14,Q14,0))))))))))))))),0)</f>
        <v>146</v>
      </c>
      <c r="AT14" s="47">
        <f>ROUND(IF(AT$3&lt;$DF14,0,
IF(AT$3=$DF14+'Model Setup'!$B$7,SUMIF($AD$3:$BA$3,"="&amp;$DF14+'Model Setup'!$B$7,$B14:$Y14)+'Model Setup'!$B$8*(SUMIF($AD$3:$BA$3,"&lt;"&amp;$DF14,$B14:$Y14)+SUMIF($AD$3:$BA$3,"&gt;="&amp;$DG14,$B14:$Y14)),
IF(AT$3=$DF14+'Model Setup'!$C$7,SUMIF($AD$3:$BA$3,"="&amp;$DF14+'Model Setup'!$C$7,$B14:$Y14)+'Model Setup'!$C$8*(SUMIF($AD$3:$BA$3,"&lt;"&amp;$DF14,$B14:$Y14)+SUMIF($AD$3:$BA$3,"&gt;="&amp;$DG14,$B14:$Y14)),
IF(AT$3=$DF14+'Model Setup'!$D$7,SUMIF($AD$3:$BA$3,"="&amp;$DF14+'Model Setup'!$D$7,$B14:$Y14)+'Model Setup'!$D$8*(SUMIF($AD$3:$BA$3,"&lt;"&amp;$DF14,$B14:$Y14)+SUMIF($AD$3:$BA$3,"&gt;="&amp;$DG14,$B14:$Y14)),
IF(AT$3=$DF14+'Model Setup'!$E$7,SUMIF($AD$3:$BA$3,"="&amp;$DF14+'Model Setup'!$E$7,$B14:$Y14)+'Model Setup'!$E$8*(SUMIF($AD$3:$BA$3,"&lt;"&amp;$DF14,$B14:$Y14)+SUMIF($AD$3:$BA$3,"&gt;="&amp;$DG14,$B14:$Y14)),
IF(AT$3=$DF14+'Model Setup'!$F$7,SUMIF($AD$3:$BA$3,"="&amp;$DF14+'Model Setup'!$F$7,$B14:$Y14)+'Model Setup'!$F$8*(SUMIF($AD$3:$BA$3,"&lt;"&amp;$DF14,$B14:$Y14)+SUMIF($AD$3:$BA$3,"&gt;="&amp;$DG14,$B14:$Y14)),
IF(AT$3=$DF14+'Model Setup'!$G$7,SUMIF($AD$3:$BA$3,"="&amp;$DF14+'Model Setup'!$G$7,$B14:$Y14)+'Model Setup'!$G$8*(SUMIF($AD$3:$BA$3,"&lt;"&amp;$DF14,$B14:$Y14)+SUMIF($AD$3:$BA$3,"&gt;="&amp;$DG14,$B14:$Y14)),
IF(AT$3=$DF14+'Model Setup'!$H$7,SUMIF($AD$3:$BA$3,"="&amp;$DF14+'Model Setup'!$H$7,$B14:$Y14)+'Model Setup'!$H$8*(SUMIF($AD$3:$BA$3,"&lt;"&amp;$DF14,$B14:$Y14)+SUMIF($AD$3:$BA$3,"&gt;="&amp;$DG14,$B14:$Y14)),
IF(AT$3=$DF14+'Model Setup'!$I$7,SUMIF($AD$3:$BA$3,"="&amp;$DF14+'Model Setup'!$I$7,$B14:$Y14)+'Model Setup'!$I$8*(SUMIF($AD$3:$BA$3,"&lt;"&amp;$DF14,$B14:$Y14)+SUMIF($AD$3:$BA$3,"&gt;="&amp;$DG14,$B14:$Y14)),
IF(AT$3=$DF14+'Model Setup'!$J$7,SUMIF($AD$3:$BA$3,"="&amp;$DF14+'Model Setup'!$J$7,$B14:$Y14)+'Model Setup'!$J$8*(SUMIF($AD$3:$BA$3,"&lt;"&amp;$DF14,$B14:$Y14)+SUMIF($AD$3:$BA$3,"&gt;="&amp;$DG14,$B14:$Y14)),
IF(AT$3=$DF14+'Model Setup'!$K$7,SUMIF($AD$3:$BA$3,"="&amp;$DF14+'Model Setup'!$K$7,$B14:$Y14)+'Model Setup'!$K$8*(SUMIF($AD$3:$BA$3,"&lt;"&amp;$DF14,$B14:$Y14)+SUMIF($AD$3:$BA$3,"&gt;="&amp;$DG14,$B14:$Y14)),
IF(AT$3=$DF14+'Model Setup'!$L$7,SUMIF($AD$3:$BA$3,"="&amp;$DF14+'Model Setup'!$L$7,$B14:$Y14)+'Model Setup'!$L$8*(SUMIF($AD$3:$BA$3,"&lt;"&amp;$DF14,$B14:$Y14)+SUMIF($AD$3:$BA$3,"&gt;="&amp;$DG14,$B14:$Y14)),
IF(AT$3=$DF14+'Model Setup'!$M$7,SUMIF($AD$3:$BA$3,"="&amp;$DF14+'Model Setup'!$M$7,$B14:$Y14)+'Model Setup'!$M$8*(SUMIF($AD$3:$BA$3,"&lt;"&amp;$DF14,$B14:$Y14)+SUMIF($AD$3:$BA$3,"&gt;="&amp;$DG14,$B14:$Y14)),
IF(AT$3=$DF14+'Model Setup'!$N$7,SUMIF($AD$3:$BA$3,"="&amp;$DF14+'Model Setup'!$N$7,$B14:$Y14)+'Model Setup'!$N$8*(SUMIF($AD$3:$BA$3,"&lt;"&amp;$DF14,$B14:$Y14)+SUMIF($AD$3:$BA$3,"&gt;="&amp;$DG14,$B14:$Y14)),
IF(AT$3&lt;$DG14,R14,0))))))))))))))),0)</f>
        <v>152</v>
      </c>
      <c r="AU14" s="47">
        <f>ROUND(IF(AU$3&lt;$DF14,0,
IF(AU$3=$DF14+'Model Setup'!$B$7,SUMIF($AD$3:$BA$3,"="&amp;$DF14+'Model Setup'!$B$7,$B14:$Y14)+'Model Setup'!$B$8*(SUMIF($AD$3:$BA$3,"&lt;"&amp;$DF14,$B14:$Y14)+SUMIF($AD$3:$BA$3,"&gt;="&amp;$DG14,$B14:$Y14)),
IF(AU$3=$DF14+'Model Setup'!$C$7,SUMIF($AD$3:$BA$3,"="&amp;$DF14+'Model Setup'!$C$7,$B14:$Y14)+'Model Setup'!$C$8*(SUMIF($AD$3:$BA$3,"&lt;"&amp;$DF14,$B14:$Y14)+SUMIF($AD$3:$BA$3,"&gt;="&amp;$DG14,$B14:$Y14)),
IF(AU$3=$DF14+'Model Setup'!$D$7,SUMIF($AD$3:$BA$3,"="&amp;$DF14+'Model Setup'!$D$7,$B14:$Y14)+'Model Setup'!$D$8*(SUMIF($AD$3:$BA$3,"&lt;"&amp;$DF14,$B14:$Y14)+SUMIF($AD$3:$BA$3,"&gt;="&amp;$DG14,$B14:$Y14)),
IF(AU$3=$DF14+'Model Setup'!$E$7,SUMIF($AD$3:$BA$3,"="&amp;$DF14+'Model Setup'!$E$7,$B14:$Y14)+'Model Setup'!$E$8*(SUMIF($AD$3:$BA$3,"&lt;"&amp;$DF14,$B14:$Y14)+SUMIF($AD$3:$BA$3,"&gt;="&amp;$DG14,$B14:$Y14)),
IF(AU$3=$DF14+'Model Setup'!$F$7,SUMIF($AD$3:$BA$3,"="&amp;$DF14+'Model Setup'!$F$7,$B14:$Y14)+'Model Setup'!$F$8*(SUMIF($AD$3:$BA$3,"&lt;"&amp;$DF14,$B14:$Y14)+SUMIF($AD$3:$BA$3,"&gt;="&amp;$DG14,$B14:$Y14)),
IF(AU$3=$DF14+'Model Setup'!$G$7,SUMIF($AD$3:$BA$3,"="&amp;$DF14+'Model Setup'!$G$7,$B14:$Y14)+'Model Setup'!$G$8*(SUMIF($AD$3:$BA$3,"&lt;"&amp;$DF14,$B14:$Y14)+SUMIF($AD$3:$BA$3,"&gt;="&amp;$DG14,$B14:$Y14)),
IF(AU$3=$DF14+'Model Setup'!$H$7,SUMIF($AD$3:$BA$3,"="&amp;$DF14+'Model Setup'!$H$7,$B14:$Y14)+'Model Setup'!$H$8*(SUMIF($AD$3:$BA$3,"&lt;"&amp;$DF14,$B14:$Y14)+SUMIF($AD$3:$BA$3,"&gt;="&amp;$DG14,$B14:$Y14)),
IF(AU$3=$DF14+'Model Setup'!$I$7,SUMIF($AD$3:$BA$3,"="&amp;$DF14+'Model Setup'!$I$7,$B14:$Y14)+'Model Setup'!$I$8*(SUMIF($AD$3:$BA$3,"&lt;"&amp;$DF14,$B14:$Y14)+SUMIF($AD$3:$BA$3,"&gt;="&amp;$DG14,$B14:$Y14)),
IF(AU$3=$DF14+'Model Setup'!$J$7,SUMIF($AD$3:$BA$3,"="&amp;$DF14+'Model Setup'!$J$7,$B14:$Y14)+'Model Setup'!$J$8*(SUMIF($AD$3:$BA$3,"&lt;"&amp;$DF14,$B14:$Y14)+SUMIF($AD$3:$BA$3,"&gt;="&amp;$DG14,$B14:$Y14)),
IF(AU$3=$DF14+'Model Setup'!$K$7,SUMIF($AD$3:$BA$3,"="&amp;$DF14+'Model Setup'!$K$7,$B14:$Y14)+'Model Setup'!$K$8*(SUMIF($AD$3:$BA$3,"&lt;"&amp;$DF14,$B14:$Y14)+SUMIF($AD$3:$BA$3,"&gt;="&amp;$DG14,$B14:$Y14)),
IF(AU$3=$DF14+'Model Setup'!$L$7,SUMIF($AD$3:$BA$3,"="&amp;$DF14+'Model Setup'!$L$7,$B14:$Y14)+'Model Setup'!$L$8*(SUMIF($AD$3:$BA$3,"&lt;"&amp;$DF14,$B14:$Y14)+SUMIF($AD$3:$BA$3,"&gt;="&amp;$DG14,$B14:$Y14)),
IF(AU$3=$DF14+'Model Setup'!$M$7,SUMIF($AD$3:$BA$3,"="&amp;$DF14+'Model Setup'!$M$7,$B14:$Y14)+'Model Setup'!$M$8*(SUMIF($AD$3:$BA$3,"&lt;"&amp;$DF14,$B14:$Y14)+SUMIF($AD$3:$BA$3,"&gt;="&amp;$DG14,$B14:$Y14)),
IF(AU$3=$DF14+'Model Setup'!$N$7,SUMIF($AD$3:$BA$3,"="&amp;$DF14+'Model Setup'!$N$7,$B14:$Y14)+'Model Setup'!$N$8*(SUMIF($AD$3:$BA$3,"&lt;"&amp;$DF14,$B14:$Y14)+SUMIF($AD$3:$BA$3,"&gt;="&amp;$DG14,$B14:$Y14)),
IF(AU$3&lt;$DG14,S14,0))))))))))))))),0)</f>
        <v>123</v>
      </c>
      <c r="AV14" s="47">
        <f>ROUND(IF(AV$3&lt;$DF14,0,
IF(AV$3=$DF14+'Model Setup'!$B$7,SUMIF($AD$3:$BA$3,"="&amp;$DF14+'Model Setup'!$B$7,$B14:$Y14)+'Model Setup'!$B$8*(SUMIF($AD$3:$BA$3,"&lt;"&amp;$DF14,$B14:$Y14)+SUMIF($AD$3:$BA$3,"&gt;="&amp;$DG14,$B14:$Y14)),
IF(AV$3=$DF14+'Model Setup'!$C$7,SUMIF($AD$3:$BA$3,"="&amp;$DF14+'Model Setup'!$C$7,$B14:$Y14)+'Model Setup'!$C$8*(SUMIF($AD$3:$BA$3,"&lt;"&amp;$DF14,$B14:$Y14)+SUMIF($AD$3:$BA$3,"&gt;="&amp;$DG14,$B14:$Y14)),
IF(AV$3=$DF14+'Model Setup'!$D$7,SUMIF($AD$3:$BA$3,"="&amp;$DF14+'Model Setup'!$D$7,$B14:$Y14)+'Model Setup'!$D$8*(SUMIF($AD$3:$BA$3,"&lt;"&amp;$DF14,$B14:$Y14)+SUMIF($AD$3:$BA$3,"&gt;="&amp;$DG14,$B14:$Y14)),
IF(AV$3=$DF14+'Model Setup'!$E$7,SUMIF($AD$3:$BA$3,"="&amp;$DF14+'Model Setup'!$E$7,$B14:$Y14)+'Model Setup'!$E$8*(SUMIF($AD$3:$BA$3,"&lt;"&amp;$DF14,$B14:$Y14)+SUMIF($AD$3:$BA$3,"&gt;="&amp;$DG14,$B14:$Y14)),
IF(AV$3=$DF14+'Model Setup'!$F$7,SUMIF($AD$3:$BA$3,"="&amp;$DF14+'Model Setup'!$F$7,$B14:$Y14)+'Model Setup'!$F$8*(SUMIF($AD$3:$BA$3,"&lt;"&amp;$DF14,$B14:$Y14)+SUMIF($AD$3:$BA$3,"&gt;="&amp;$DG14,$B14:$Y14)),
IF(AV$3=$DF14+'Model Setup'!$G$7,SUMIF($AD$3:$BA$3,"="&amp;$DF14+'Model Setup'!$G$7,$B14:$Y14)+'Model Setup'!$G$8*(SUMIF($AD$3:$BA$3,"&lt;"&amp;$DF14,$B14:$Y14)+SUMIF($AD$3:$BA$3,"&gt;="&amp;$DG14,$B14:$Y14)),
IF(AV$3=$DF14+'Model Setup'!$H$7,SUMIF($AD$3:$BA$3,"="&amp;$DF14+'Model Setup'!$H$7,$B14:$Y14)+'Model Setup'!$H$8*(SUMIF($AD$3:$BA$3,"&lt;"&amp;$DF14,$B14:$Y14)+SUMIF($AD$3:$BA$3,"&gt;="&amp;$DG14,$B14:$Y14)),
IF(AV$3=$DF14+'Model Setup'!$I$7,SUMIF($AD$3:$BA$3,"="&amp;$DF14+'Model Setup'!$I$7,$B14:$Y14)+'Model Setup'!$I$8*(SUMIF($AD$3:$BA$3,"&lt;"&amp;$DF14,$B14:$Y14)+SUMIF($AD$3:$BA$3,"&gt;="&amp;$DG14,$B14:$Y14)),
IF(AV$3=$DF14+'Model Setup'!$J$7,SUMIF($AD$3:$BA$3,"="&amp;$DF14+'Model Setup'!$J$7,$B14:$Y14)+'Model Setup'!$J$8*(SUMIF($AD$3:$BA$3,"&lt;"&amp;$DF14,$B14:$Y14)+SUMIF($AD$3:$BA$3,"&gt;="&amp;$DG14,$B14:$Y14)),
IF(AV$3=$DF14+'Model Setup'!$K$7,SUMIF($AD$3:$BA$3,"="&amp;$DF14+'Model Setup'!$K$7,$B14:$Y14)+'Model Setup'!$K$8*(SUMIF($AD$3:$BA$3,"&lt;"&amp;$DF14,$B14:$Y14)+SUMIF($AD$3:$BA$3,"&gt;="&amp;$DG14,$B14:$Y14)),
IF(AV$3=$DF14+'Model Setup'!$L$7,SUMIF($AD$3:$BA$3,"="&amp;$DF14+'Model Setup'!$L$7,$B14:$Y14)+'Model Setup'!$L$8*(SUMIF($AD$3:$BA$3,"&lt;"&amp;$DF14,$B14:$Y14)+SUMIF($AD$3:$BA$3,"&gt;="&amp;$DG14,$B14:$Y14)),
IF(AV$3=$DF14+'Model Setup'!$M$7,SUMIF($AD$3:$BA$3,"="&amp;$DF14+'Model Setup'!$M$7,$B14:$Y14)+'Model Setup'!$M$8*(SUMIF($AD$3:$BA$3,"&lt;"&amp;$DF14,$B14:$Y14)+SUMIF($AD$3:$BA$3,"&gt;="&amp;$DG14,$B14:$Y14)),
IF(AV$3=$DF14+'Model Setup'!$N$7,SUMIF($AD$3:$BA$3,"="&amp;$DF14+'Model Setup'!$N$7,$B14:$Y14)+'Model Setup'!$N$8*(SUMIF($AD$3:$BA$3,"&lt;"&amp;$DF14,$B14:$Y14)+SUMIF($AD$3:$BA$3,"&gt;="&amp;$DG14,$B14:$Y14)),
IF(AV$3&lt;$DG14,T14,0))))))))))))))),0)</f>
        <v>0</v>
      </c>
      <c r="AW14" s="47">
        <f>ROUND(IF(AW$3&lt;$DF14,0,
IF(AW$3=$DF14+'Model Setup'!$B$7,SUMIF($AD$3:$BA$3,"="&amp;$DF14+'Model Setup'!$B$7,$B14:$Y14)+'Model Setup'!$B$8*(SUMIF($AD$3:$BA$3,"&lt;"&amp;$DF14,$B14:$Y14)+SUMIF($AD$3:$BA$3,"&gt;="&amp;$DG14,$B14:$Y14)),
IF(AW$3=$DF14+'Model Setup'!$C$7,SUMIF($AD$3:$BA$3,"="&amp;$DF14+'Model Setup'!$C$7,$B14:$Y14)+'Model Setup'!$C$8*(SUMIF($AD$3:$BA$3,"&lt;"&amp;$DF14,$B14:$Y14)+SUMIF($AD$3:$BA$3,"&gt;="&amp;$DG14,$B14:$Y14)),
IF(AW$3=$DF14+'Model Setup'!$D$7,SUMIF($AD$3:$BA$3,"="&amp;$DF14+'Model Setup'!$D$7,$B14:$Y14)+'Model Setup'!$D$8*(SUMIF($AD$3:$BA$3,"&lt;"&amp;$DF14,$B14:$Y14)+SUMIF($AD$3:$BA$3,"&gt;="&amp;$DG14,$B14:$Y14)),
IF(AW$3=$DF14+'Model Setup'!$E$7,SUMIF($AD$3:$BA$3,"="&amp;$DF14+'Model Setup'!$E$7,$B14:$Y14)+'Model Setup'!$E$8*(SUMIF($AD$3:$BA$3,"&lt;"&amp;$DF14,$B14:$Y14)+SUMIF($AD$3:$BA$3,"&gt;="&amp;$DG14,$B14:$Y14)),
IF(AW$3=$DF14+'Model Setup'!$F$7,SUMIF($AD$3:$BA$3,"="&amp;$DF14+'Model Setup'!$F$7,$B14:$Y14)+'Model Setup'!$F$8*(SUMIF($AD$3:$BA$3,"&lt;"&amp;$DF14,$B14:$Y14)+SUMIF($AD$3:$BA$3,"&gt;="&amp;$DG14,$B14:$Y14)),
IF(AW$3=$DF14+'Model Setup'!$G$7,SUMIF($AD$3:$BA$3,"="&amp;$DF14+'Model Setup'!$G$7,$B14:$Y14)+'Model Setup'!$G$8*(SUMIF($AD$3:$BA$3,"&lt;"&amp;$DF14,$B14:$Y14)+SUMIF($AD$3:$BA$3,"&gt;="&amp;$DG14,$B14:$Y14)),
IF(AW$3=$DF14+'Model Setup'!$H$7,SUMIF($AD$3:$BA$3,"="&amp;$DF14+'Model Setup'!$H$7,$B14:$Y14)+'Model Setup'!$H$8*(SUMIF($AD$3:$BA$3,"&lt;"&amp;$DF14,$B14:$Y14)+SUMIF($AD$3:$BA$3,"&gt;="&amp;$DG14,$B14:$Y14)),
IF(AW$3=$DF14+'Model Setup'!$I$7,SUMIF($AD$3:$BA$3,"="&amp;$DF14+'Model Setup'!$I$7,$B14:$Y14)+'Model Setup'!$I$8*(SUMIF($AD$3:$BA$3,"&lt;"&amp;$DF14,$B14:$Y14)+SUMIF($AD$3:$BA$3,"&gt;="&amp;$DG14,$B14:$Y14)),
IF(AW$3=$DF14+'Model Setup'!$J$7,SUMIF($AD$3:$BA$3,"="&amp;$DF14+'Model Setup'!$J$7,$B14:$Y14)+'Model Setup'!$J$8*(SUMIF($AD$3:$BA$3,"&lt;"&amp;$DF14,$B14:$Y14)+SUMIF($AD$3:$BA$3,"&gt;="&amp;$DG14,$B14:$Y14)),
IF(AW$3=$DF14+'Model Setup'!$K$7,SUMIF($AD$3:$BA$3,"="&amp;$DF14+'Model Setup'!$K$7,$B14:$Y14)+'Model Setup'!$K$8*(SUMIF($AD$3:$BA$3,"&lt;"&amp;$DF14,$B14:$Y14)+SUMIF($AD$3:$BA$3,"&gt;="&amp;$DG14,$B14:$Y14)),
IF(AW$3=$DF14+'Model Setup'!$L$7,SUMIF($AD$3:$BA$3,"="&amp;$DF14+'Model Setup'!$L$7,$B14:$Y14)+'Model Setup'!$L$8*(SUMIF($AD$3:$BA$3,"&lt;"&amp;$DF14,$B14:$Y14)+SUMIF($AD$3:$BA$3,"&gt;="&amp;$DG14,$B14:$Y14)),
IF(AW$3=$DF14+'Model Setup'!$M$7,SUMIF($AD$3:$BA$3,"="&amp;$DF14+'Model Setup'!$M$7,$B14:$Y14)+'Model Setup'!$M$8*(SUMIF($AD$3:$BA$3,"&lt;"&amp;$DF14,$B14:$Y14)+SUMIF($AD$3:$BA$3,"&gt;="&amp;$DG14,$B14:$Y14)),
IF(AW$3=$DF14+'Model Setup'!$N$7,SUMIF($AD$3:$BA$3,"="&amp;$DF14+'Model Setup'!$N$7,$B14:$Y14)+'Model Setup'!$N$8*(SUMIF($AD$3:$BA$3,"&lt;"&amp;$DF14,$B14:$Y14)+SUMIF($AD$3:$BA$3,"&gt;="&amp;$DG14,$B14:$Y14)),
IF(AW$3&lt;$DG14,U14,0))))))))))))))),0)</f>
        <v>0</v>
      </c>
      <c r="AX14" s="47">
        <f>ROUND(IF(AX$3&lt;$DF14,0,
IF(AX$3=$DF14+'Model Setup'!$B$7,SUMIF($AD$3:$BA$3,"="&amp;$DF14+'Model Setup'!$B$7,$B14:$Y14)+'Model Setup'!$B$8*(SUMIF($AD$3:$BA$3,"&lt;"&amp;$DF14,$B14:$Y14)+SUMIF($AD$3:$BA$3,"&gt;="&amp;$DG14,$B14:$Y14)),
IF(AX$3=$DF14+'Model Setup'!$C$7,SUMIF($AD$3:$BA$3,"="&amp;$DF14+'Model Setup'!$C$7,$B14:$Y14)+'Model Setup'!$C$8*(SUMIF($AD$3:$BA$3,"&lt;"&amp;$DF14,$B14:$Y14)+SUMIF($AD$3:$BA$3,"&gt;="&amp;$DG14,$B14:$Y14)),
IF(AX$3=$DF14+'Model Setup'!$D$7,SUMIF($AD$3:$BA$3,"="&amp;$DF14+'Model Setup'!$D$7,$B14:$Y14)+'Model Setup'!$D$8*(SUMIF($AD$3:$BA$3,"&lt;"&amp;$DF14,$B14:$Y14)+SUMIF($AD$3:$BA$3,"&gt;="&amp;$DG14,$B14:$Y14)),
IF(AX$3=$DF14+'Model Setup'!$E$7,SUMIF($AD$3:$BA$3,"="&amp;$DF14+'Model Setup'!$E$7,$B14:$Y14)+'Model Setup'!$E$8*(SUMIF($AD$3:$BA$3,"&lt;"&amp;$DF14,$B14:$Y14)+SUMIF($AD$3:$BA$3,"&gt;="&amp;$DG14,$B14:$Y14)),
IF(AX$3=$DF14+'Model Setup'!$F$7,SUMIF($AD$3:$BA$3,"="&amp;$DF14+'Model Setup'!$F$7,$B14:$Y14)+'Model Setup'!$F$8*(SUMIF($AD$3:$BA$3,"&lt;"&amp;$DF14,$B14:$Y14)+SUMIF($AD$3:$BA$3,"&gt;="&amp;$DG14,$B14:$Y14)),
IF(AX$3=$DF14+'Model Setup'!$G$7,SUMIF($AD$3:$BA$3,"="&amp;$DF14+'Model Setup'!$G$7,$B14:$Y14)+'Model Setup'!$G$8*(SUMIF($AD$3:$BA$3,"&lt;"&amp;$DF14,$B14:$Y14)+SUMIF($AD$3:$BA$3,"&gt;="&amp;$DG14,$B14:$Y14)),
IF(AX$3=$DF14+'Model Setup'!$H$7,SUMIF($AD$3:$BA$3,"="&amp;$DF14+'Model Setup'!$H$7,$B14:$Y14)+'Model Setup'!$H$8*(SUMIF($AD$3:$BA$3,"&lt;"&amp;$DF14,$B14:$Y14)+SUMIF($AD$3:$BA$3,"&gt;="&amp;$DG14,$B14:$Y14)),
IF(AX$3=$DF14+'Model Setup'!$I$7,SUMIF($AD$3:$BA$3,"="&amp;$DF14+'Model Setup'!$I$7,$B14:$Y14)+'Model Setup'!$I$8*(SUMIF($AD$3:$BA$3,"&lt;"&amp;$DF14,$B14:$Y14)+SUMIF($AD$3:$BA$3,"&gt;="&amp;$DG14,$B14:$Y14)),
IF(AX$3=$DF14+'Model Setup'!$J$7,SUMIF($AD$3:$BA$3,"="&amp;$DF14+'Model Setup'!$J$7,$B14:$Y14)+'Model Setup'!$J$8*(SUMIF($AD$3:$BA$3,"&lt;"&amp;$DF14,$B14:$Y14)+SUMIF($AD$3:$BA$3,"&gt;="&amp;$DG14,$B14:$Y14)),
IF(AX$3=$DF14+'Model Setup'!$K$7,SUMIF($AD$3:$BA$3,"="&amp;$DF14+'Model Setup'!$K$7,$B14:$Y14)+'Model Setup'!$K$8*(SUMIF($AD$3:$BA$3,"&lt;"&amp;$DF14,$B14:$Y14)+SUMIF($AD$3:$BA$3,"&gt;="&amp;$DG14,$B14:$Y14)),
IF(AX$3=$DF14+'Model Setup'!$L$7,SUMIF($AD$3:$BA$3,"="&amp;$DF14+'Model Setup'!$L$7,$B14:$Y14)+'Model Setup'!$L$8*(SUMIF($AD$3:$BA$3,"&lt;"&amp;$DF14,$B14:$Y14)+SUMIF($AD$3:$BA$3,"&gt;="&amp;$DG14,$B14:$Y14)),
IF(AX$3=$DF14+'Model Setup'!$M$7,SUMIF($AD$3:$BA$3,"="&amp;$DF14+'Model Setup'!$M$7,$B14:$Y14)+'Model Setup'!$M$8*(SUMIF($AD$3:$BA$3,"&lt;"&amp;$DF14,$B14:$Y14)+SUMIF($AD$3:$BA$3,"&gt;="&amp;$DG14,$B14:$Y14)),
IF(AX$3=$DF14+'Model Setup'!$N$7,SUMIF($AD$3:$BA$3,"="&amp;$DF14+'Model Setup'!$N$7,$B14:$Y14)+'Model Setup'!$N$8*(SUMIF($AD$3:$BA$3,"&lt;"&amp;$DF14,$B14:$Y14)+SUMIF($AD$3:$BA$3,"&gt;="&amp;$DG14,$B14:$Y14)),
IF(AX$3&lt;$DG14,V14,0))))))))))))))),0)</f>
        <v>0</v>
      </c>
      <c r="AY14" s="47">
        <f>ROUND(IF(AY$3&lt;$DF14,0,
IF(AY$3=$DF14+'Model Setup'!$B$7,SUMIF($AD$3:$BA$3,"="&amp;$DF14+'Model Setup'!$B$7,$B14:$Y14)+'Model Setup'!$B$8*(SUMIF($AD$3:$BA$3,"&lt;"&amp;$DF14,$B14:$Y14)+SUMIF($AD$3:$BA$3,"&gt;="&amp;$DG14,$B14:$Y14)),
IF(AY$3=$DF14+'Model Setup'!$C$7,SUMIF($AD$3:$BA$3,"="&amp;$DF14+'Model Setup'!$C$7,$B14:$Y14)+'Model Setup'!$C$8*(SUMIF($AD$3:$BA$3,"&lt;"&amp;$DF14,$B14:$Y14)+SUMIF($AD$3:$BA$3,"&gt;="&amp;$DG14,$B14:$Y14)),
IF(AY$3=$DF14+'Model Setup'!$D$7,SUMIF($AD$3:$BA$3,"="&amp;$DF14+'Model Setup'!$D$7,$B14:$Y14)+'Model Setup'!$D$8*(SUMIF($AD$3:$BA$3,"&lt;"&amp;$DF14,$B14:$Y14)+SUMIF($AD$3:$BA$3,"&gt;="&amp;$DG14,$B14:$Y14)),
IF(AY$3=$DF14+'Model Setup'!$E$7,SUMIF($AD$3:$BA$3,"="&amp;$DF14+'Model Setup'!$E$7,$B14:$Y14)+'Model Setup'!$E$8*(SUMIF($AD$3:$BA$3,"&lt;"&amp;$DF14,$B14:$Y14)+SUMIF($AD$3:$BA$3,"&gt;="&amp;$DG14,$B14:$Y14)),
IF(AY$3=$DF14+'Model Setup'!$F$7,SUMIF($AD$3:$BA$3,"="&amp;$DF14+'Model Setup'!$F$7,$B14:$Y14)+'Model Setup'!$F$8*(SUMIF($AD$3:$BA$3,"&lt;"&amp;$DF14,$B14:$Y14)+SUMIF($AD$3:$BA$3,"&gt;="&amp;$DG14,$B14:$Y14)),
IF(AY$3=$DF14+'Model Setup'!$G$7,SUMIF($AD$3:$BA$3,"="&amp;$DF14+'Model Setup'!$G$7,$B14:$Y14)+'Model Setup'!$G$8*(SUMIF($AD$3:$BA$3,"&lt;"&amp;$DF14,$B14:$Y14)+SUMIF($AD$3:$BA$3,"&gt;="&amp;$DG14,$B14:$Y14)),
IF(AY$3=$DF14+'Model Setup'!$H$7,SUMIF($AD$3:$BA$3,"="&amp;$DF14+'Model Setup'!$H$7,$B14:$Y14)+'Model Setup'!$H$8*(SUMIF($AD$3:$BA$3,"&lt;"&amp;$DF14,$B14:$Y14)+SUMIF($AD$3:$BA$3,"&gt;="&amp;$DG14,$B14:$Y14)),
IF(AY$3=$DF14+'Model Setup'!$I$7,SUMIF($AD$3:$BA$3,"="&amp;$DF14+'Model Setup'!$I$7,$B14:$Y14)+'Model Setup'!$I$8*(SUMIF($AD$3:$BA$3,"&lt;"&amp;$DF14,$B14:$Y14)+SUMIF($AD$3:$BA$3,"&gt;="&amp;$DG14,$B14:$Y14)),
IF(AY$3=$DF14+'Model Setup'!$J$7,SUMIF($AD$3:$BA$3,"="&amp;$DF14+'Model Setup'!$J$7,$B14:$Y14)+'Model Setup'!$J$8*(SUMIF($AD$3:$BA$3,"&lt;"&amp;$DF14,$B14:$Y14)+SUMIF($AD$3:$BA$3,"&gt;="&amp;$DG14,$B14:$Y14)),
IF(AY$3=$DF14+'Model Setup'!$K$7,SUMIF($AD$3:$BA$3,"="&amp;$DF14+'Model Setup'!$K$7,$B14:$Y14)+'Model Setup'!$K$8*(SUMIF($AD$3:$BA$3,"&lt;"&amp;$DF14,$B14:$Y14)+SUMIF($AD$3:$BA$3,"&gt;="&amp;$DG14,$B14:$Y14)),
IF(AY$3=$DF14+'Model Setup'!$L$7,SUMIF($AD$3:$BA$3,"="&amp;$DF14+'Model Setup'!$L$7,$B14:$Y14)+'Model Setup'!$L$8*(SUMIF($AD$3:$BA$3,"&lt;"&amp;$DF14,$B14:$Y14)+SUMIF($AD$3:$BA$3,"&gt;="&amp;$DG14,$B14:$Y14)),
IF(AY$3=$DF14+'Model Setup'!$M$7,SUMIF($AD$3:$BA$3,"="&amp;$DF14+'Model Setup'!$M$7,$B14:$Y14)+'Model Setup'!$M$8*(SUMIF($AD$3:$BA$3,"&lt;"&amp;$DF14,$B14:$Y14)+SUMIF($AD$3:$BA$3,"&gt;="&amp;$DG14,$B14:$Y14)),
IF(AY$3=$DF14+'Model Setup'!$N$7,SUMIF($AD$3:$BA$3,"="&amp;$DF14+'Model Setup'!$N$7,$B14:$Y14)+'Model Setup'!$N$8*(SUMIF($AD$3:$BA$3,"&lt;"&amp;$DF14,$B14:$Y14)+SUMIF($AD$3:$BA$3,"&gt;="&amp;$DG14,$B14:$Y14)),
IF(AY$3&lt;$DG14,W14,0))))))))))))))),0)</f>
        <v>0</v>
      </c>
      <c r="AZ14" s="47">
        <f>ROUND(IF(AZ$3&lt;$DF14,0,
IF(AZ$3=$DF14+'Model Setup'!$B$7,SUMIF($AD$3:$BA$3,"="&amp;$DF14+'Model Setup'!$B$7,$B14:$Y14)+'Model Setup'!$B$8*(SUMIF($AD$3:$BA$3,"&lt;"&amp;$DF14,$B14:$Y14)+SUMIF($AD$3:$BA$3,"&gt;="&amp;$DG14,$B14:$Y14)),
IF(AZ$3=$DF14+'Model Setup'!$C$7,SUMIF($AD$3:$BA$3,"="&amp;$DF14+'Model Setup'!$C$7,$B14:$Y14)+'Model Setup'!$C$8*(SUMIF($AD$3:$BA$3,"&lt;"&amp;$DF14,$B14:$Y14)+SUMIF($AD$3:$BA$3,"&gt;="&amp;$DG14,$B14:$Y14)),
IF(AZ$3=$DF14+'Model Setup'!$D$7,SUMIF($AD$3:$BA$3,"="&amp;$DF14+'Model Setup'!$D$7,$B14:$Y14)+'Model Setup'!$D$8*(SUMIF($AD$3:$BA$3,"&lt;"&amp;$DF14,$B14:$Y14)+SUMIF($AD$3:$BA$3,"&gt;="&amp;$DG14,$B14:$Y14)),
IF(AZ$3=$DF14+'Model Setup'!$E$7,SUMIF($AD$3:$BA$3,"="&amp;$DF14+'Model Setup'!$E$7,$B14:$Y14)+'Model Setup'!$E$8*(SUMIF($AD$3:$BA$3,"&lt;"&amp;$DF14,$B14:$Y14)+SUMIF($AD$3:$BA$3,"&gt;="&amp;$DG14,$B14:$Y14)),
IF(AZ$3=$DF14+'Model Setup'!$F$7,SUMIF($AD$3:$BA$3,"="&amp;$DF14+'Model Setup'!$F$7,$B14:$Y14)+'Model Setup'!$F$8*(SUMIF($AD$3:$BA$3,"&lt;"&amp;$DF14,$B14:$Y14)+SUMIF($AD$3:$BA$3,"&gt;="&amp;$DG14,$B14:$Y14)),
IF(AZ$3=$DF14+'Model Setup'!$G$7,SUMIF($AD$3:$BA$3,"="&amp;$DF14+'Model Setup'!$G$7,$B14:$Y14)+'Model Setup'!$G$8*(SUMIF($AD$3:$BA$3,"&lt;"&amp;$DF14,$B14:$Y14)+SUMIF($AD$3:$BA$3,"&gt;="&amp;$DG14,$B14:$Y14)),
IF(AZ$3=$DF14+'Model Setup'!$H$7,SUMIF($AD$3:$BA$3,"="&amp;$DF14+'Model Setup'!$H$7,$B14:$Y14)+'Model Setup'!$H$8*(SUMIF($AD$3:$BA$3,"&lt;"&amp;$DF14,$B14:$Y14)+SUMIF($AD$3:$BA$3,"&gt;="&amp;$DG14,$B14:$Y14)),
IF(AZ$3=$DF14+'Model Setup'!$I$7,SUMIF($AD$3:$BA$3,"="&amp;$DF14+'Model Setup'!$I$7,$B14:$Y14)+'Model Setup'!$I$8*(SUMIF($AD$3:$BA$3,"&lt;"&amp;$DF14,$B14:$Y14)+SUMIF($AD$3:$BA$3,"&gt;="&amp;$DG14,$B14:$Y14)),
IF(AZ$3=$DF14+'Model Setup'!$J$7,SUMIF($AD$3:$BA$3,"="&amp;$DF14+'Model Setup'!$J$7,$B14:$Y14)+'Model Setup'!$J$8*(SUMIF($AD$3:$BA$3,"&lt;"&amp;$DF14,$B14:$Y14)+SUMIF($AD$3:$BA$3,"&gt;="&amp;$DG14,$B14:$Y14)),
IF(AZ$3=$DF14+'Model Setup'!$K$7,SUMIF($AD$3:$BA$3,"="&amp;$DF14+'Model Setup'!$K$7,$B14:$Y14)+'Model Setup'!$K$8*(SUMIF($AD$3:$BA$3,"&lt;"&amp;$DF14,$B14:$Y14)+SUMIF($AD$3:$BA$3,"&gt;="&amp;$DG14,$B14:$Y14)),
IF(AZ$3=$DF14+'Model Setup'!$L$7,SUMIF($AD$3:$BA$3,"="&amp;$DF14+'Model Setup'!$L$7,$B14:$Y14)+'Model Setup'!$L$8*(SUMIF($AD$3:$BA$3,"&lt;"&amp;$DF14,$B14:$Y14)+SUMIF($AD$3:$BA$3,"&gt;="&amp;$DG14,$B14:$Y14)),
IF(AZ$3=$DF14+'Model Setup'!$M$7,SUMIF($AD$3:$BA$3,"="&amp;$DF14+'Model Setup'!$M$7,$B14:$Y14)+'Model Setup'!$M$8*(SUMIF($AD$3:$BA$3,"&lt;"&amp;$DF14,$B14:$Y14)+SUMIF($AD$3:$BA$3,"&gt;="&amp;$DG14,$B14:$Y14)),
IF(AZ$3=$DF14+'Model Setup'!$N$7,SUMIF($AD$3:$BA$3,"="&amp;$DF14+'Model Setup'!$N$7,$B14:$Y14)+'Model Setup'!$N$8*(SUMIF($AD$3:$BA$3,"&lt;"&amp;$DF14,$B14:$Y14)+SUMIF($AD$3:$BA$3,"&gt;="&amp;$DG14,$B14:$Y14)),
IF(AZ$3&lt;$DG14,X14,0))))))))))))))),0)</f>
        <v>0</v>
      </c>
      <c r="BA14" s="47">
        <f>ROUND(IF(BA$3&lt;$DF14,0,
IF(BA$3=$DF14+'Model Setup'!$B$7,SUMIF($AD$3:$BA$3,"="&amp;$DF14+'Model Setup'!$B$7,$B14:$Y14)+'Model Setup'!$B$8*(SUMIF($AD$3:$BA$3,"&lt;"&amp;$DF14,$B14:$Y14)+SUMIF($AD$3:$BA$3,"&gt;="&amp;$DG14,$B14:$Y14)),
IF(BA$3=$DF14+'Model Setup'!$C$7,SUMIF($AD$3:$BA$3,"="&amp;$DF14+'Model Setup'!$C$7,$B14:$Y14)+'Model Setup'!$C$8*(SUMIF($AD$3:$BA$3,"&lt;"&amp;$DF14,$B14:$Y14)+SUMIF($AD$3:$BA$3,"&gt;="&amp;$DG14,$B14:$Y14)),
IF(BA$3=$DF14+'Model Setup'!$D$7,SUMIF($AD$3:$BA$3,"="&amp;$DF14+'Model Setup'!$D$7,$B14:$Y14)+'Model Setup'!$D$8*(SUMIF($AD$3:$BA$3,"&lt;"&amp;$DF14,$B14:$Y14)+SUMIF($AD$3:$BA$3,"&gt;="&amp;$DG14,$B14:$Y14)),
IF(BA$3=$DF14+'Model Setup'!$E$7,SUMIF($AD$3:$BA$3,"="&amp;$DF14+'Model Setup'!$E$7,$B14:$Y14)+'Model Setup'!$E$8*(SUMIF($AD$3:$BA$3,"&lt;"&amp;$DF14,$B14:$Y14)+SUMIF($AD$3:$BA$3,"&gt;="&amp;$DG14,$B14:$Y14)),
IF(BA$3=$DF14+'Model Setup'!$F$7,SUMIF($AD$3:$BA$3,"="&amp;$DF14+'Model Setup'!$F$7,$B14:$Y14)+'Model Setup'!$F$8*(SUMIF($AD$3:$BA$3,"&lt;"&amp;$DF14,$B14:$Y14)+SUMIF($AD$3:$BA$3,"&gt;="&amp;$DG14,$B14:$Y14)),
IF(BA$3=$DF14+'Model Setup'!$G$7,SUMIF($AD$3:$BA$3,"="&amp;$DF14+'Model Setup'!$G$7,$B14:$Y14)+'Model Setup'!$G$8*(SUMIF($AD$3:$BA$3,"&lt;"&amp;$DF14,$B14:$Y14)+SUMIF($AD$3:$BA$3,"&gt;="&amp;$DG14,$B14:$Y14)),
IF(BA$3=$DF14+'Model Setup'!$H$7,SUMIF($AD$3:$BA$3,"="&amp;$DF14+'Model Setup'!$H$7,$B14:$Y14)+'Model Setup'!$H$8*(SUMIF($AD$3:$BA$3,"&lt;"&amp;$DF14,$B14:$Y14)+SUMIF($AD$3:$BA$3,"&gt;="&amp;$DG14,$B14:$Y14)),
IF(BA$3=$DF14+'Model Setup'!$I$7,SUMIF($AD$3:$BA$3,"="&amp;$DF14+'Model Setup'!$I$7,$B14:$Y14)+'Model Setup'!$I$8*(SUMIF($AD$3:$BA$3,"&lt;"&amp;$DF14,$B14:$Y14)+SUMIF($AD$3:$BA$3,"&gt;="&amp;$DG14,$B14:$Y14)),
IF(BA$3=$DF14+'Model Setup'!$J$7,SUMIF($AD$3:$BA$3,"="&amp;$DF14+'Model Setup'!$J$7,$B14:$Y14)+'Model Setup'!$J$8*(SUMIF($AD$3:$BA$3,"&lt;"&amp;$DF14,$B14:$Y14)+SUMIF($AD$3:$BA$3,"&gt;="&amp;$DG14,$B14:$Y14)),
IF(BA$3=$DF14+'Model Setup'!$K$7,SUMIF($AD$3:$BA$3,"="&amp;$DF14+'Model Setup'!$K$7,$B14:$Y14)+'Model Setup'!$K$8*(SUMIF($AD$3:$BA$3,"&lt;"&amp;$DF14,$B14:$Y14)+SUMIF($AD$3:$BA$3,"&gt;="&amp;$DG14,$B14:$Y14)),
IF(BA$3=$DF14+'Model Setup'!$L$7,SUMIF($AD$3:$BA$3,"="&amp;$DF14+'Model Setup'!$L$7,$B14:$Y14)+'Model Setup'!$L$8*(SUMIF($AD$3:$BA$3,"&lt;"&amp;$DF14,$B14:$Y14)+SUMIF($AD$3:$BA$3,"&gt;="&amp;$DG14,$B14:$Y14)),
IF(BA$3=$DF14+'Model Setup'!$M$7,SUMIF($AD$3:$BA$3,"="&amp;$DF14+'Model Setup'!$M$7,$B14:$Y14)+'Model Setup'!$M$8*(SUMIF($AD$3:$BA$3,"&lt;"&amp;$DF14,$B14:$Y14)+SUMIF($AD$3:$BA$3,"&gt;="&amp;$DG14,$B14:$Y14)),
IF(BA$3=$DF14+'Model Setup'!$N$7,SUMIF($AD$3:$BA$3,"="&amp;$DF14+'Model Setup'!$N$7,$B14:$Y14)+'Model Setup'!$N$8*(SUMIF($AD$3:$BA$3,"&lt;"&amp;$DF14,$B14:$Y14)+SUMIF($AD$3:$BA$3,"&gt;="&amp;$DG14,$B14:$Y14)),
IF(BA$3&lt;$DG14,Y14,0))))))))))))))),0)</f>
        <v>0</v>
      </c>
      <c r="BB14" s="47">
        <f t="shared" si="1"/>
        <v>2303</v>
      </c>
      <c r="BD14" t="b">
        <f t="shared" si="2"/>
        <v>0</v>
      </c>
      <c r="BE14">
        <f t="shared" si="8"/>
        <v>1</v>
      </c>
      <c r="BF14">
        <f>(FTC!F12-FTC!E12)*24</f>
        <v>13</v>
      </c>
      <c r="BG14" s="43" t="s">
        <v>29</v>
      </c>
      <c r="BH14" s="47">
        <f>ROUND(IF(OR(BH$3&lt;$DF14,BH$3&gt;$CW$4),0,
IF(BH$3=$DF14+'Model Setup'!$B$7,SUMIF($BH$3:$CE$3,"="&amp;$DF14+'Model Setup'!$B$7,$AD14:$BA14)+'Model Setup'!$B$8*(SUMIF($BH$3:$CE$3,"&lt;"&amp;$DF14,$AD14:$BA14)+SUMIF($BH$3:$CE$3,"&gt;"&amp;$CW$4,$AD14:$BA14)),
IF(BH$3=$DF14+'Model Setup'!$C$7,SUMIF($BH$3:$CE$3,"="&amp;$DF14+'Model Setup'!$C$7,$AD14:$BA14)+'Model Setup'!$C$8*(SUMIF($BH$3:$CE$3,"&lt;"&amp;$DF14,$AD14:$BA14)+SUMIF($BH$3:$CE$3,"&gt;"&amp;$CW$4,$AD14:$BA14)),
IF(BH$3=$DF14+'Model Setup'!$D$7,SUMIF($BH$3:$CE$3,"="&amp;$DF14+'Model Setup'!$D$7,$AD14:$BA14)+'Model Setup'!$D$8*(SUMIF($BH$3:$CE$3,"&lt;"&amp;$DF14,$AD14:$BA14)+SUMIF($BH$3:$CE$3,"&gt;"&amp;$CW$4,$AD14:$BA14)),
IF(BH$3=$DF14+'Model Setup'!$E$7,SUMIF($BH$3:$CE$3,"="&amp;$DF14+'Model Setup'!$E$7,$AD14:$BA14)+'Model Setup'!$E$8*(SUMIF($BH$3:$CE$3,"&lt;"&amp;$DF14,$AD14:$BA14)+SUMIF($BH$3:$CE$3,"&gt;"&amp;$CW$4,$AD14:$BA14)),
IF(BH$3=$DF14+'Model Setup'!$F$7,SUMIF($BH$3:$CE$3,"="&amp;$DF14+'Model Setup'!$F$7,$AD14:$BA14)+'Model Setup'!$F$8*(SUMIF($BH$3:$CE$3,"&lt;"&amp;$DF14,$AD14:$BA14)+SUMIF($BH$3:$CE$3,"&gt;"&amp;$CW$4,$AD14:$BA14)),
IF(BH$3=$DF14+'Model Setup'!$G$7,SUMIF($BH$3:$CE$3,"="&amp;$DF14+'Model Setup'!$G$7,$AD14:$BA14)+'Model Setup'!$G$8*(SUMIF($BH$3:$CE$3,"&lt;"&amp;$DF14,$AD14:$BA14)+SUMIF($BH$3:$CE$3,"&gt;"&amp;$CW$4,$AD14:$BA14)),
IF(BH$3=$DF14+'Model Setup'!$H$7,SUMIF($BH$3:$CE$3,"="&amp;$DF14+'Model Setup'!$H$7,$AD14:$BA14)+'Model Setup'!$H$8*(SUMIF($BH$3:$CE$3,"&lt;"&amp;$DF14,$AD14:$BA14)+SUMIF($BH$3:$CE$3,"&gt;"&amp;$CW$4,$AD14:$BA14)),
IF(BH$3=$DF14+'Model Setup'!$I$7,SUMIF($BH$3:$CE$3,"="&amp;$DF14+'Model Setup'!$I$7,$AD14:$BA14)+'Model Setup'!$I$8*(SUMIF($BH$3:$CE$3,"&lt;"&amp;$DF14,$AD14:$BA14)+SUMIF($BH$3:$CE$3,"&gt;"&amp;$CW$4,$AD14:$BA14)),
IF(BH$3=$DF14+'Model Setup'!$J$7,SUMIF($BH$3:$CE$3,"="&amp;$DF14+'Model Setup'!$J$7,$AD14:$BA14)+'Model Setup'!$J$8*(SUMIF($BH$3:$CE$3,"&lt;"&amp;$DF14,$AD14:$BA14)+SUMIF($BH$3:$CE$3,"&gt;"&amp;$CW$4,$AD14:$BA14)),
IF(BH$3=$DF14+'Model Setup'!$K$7,SUMIF($BH$3:$CE$3,"="&amp;$DF14+'Model Setup'!$K$7,$AD14:$BA14)+'Model Setup'!$K$8*(SUMIF($BH$3:$CE$3,"&lt;"&amp;$DF14,$AD14:$BA14)+SUMIF($BH$3:$CE$3,"&gt;"&amp;$CW$4,$AD14:$BA14)),
IF(BH$3=$DF14+'Model Setup'!$L$7,SUMIF($BH$3:$CE$3,"="&amp;$DF14+'Model Setup'!$L$7,$AD14:$BA14)+'Model Setup'!$L$8*(SUMIF($BH$3:$CE$3,"&lt;"&amp;$DF14,$AD14:$BA14)+SUMIF($BH$3:$CE$3,"&gt;"&amp;$CW$4,$AD14:$BA14)),
IF(BH$3=$DF14+'Model Setup'!$M$7,SUMIF($BH$3:$CE$3,"="&amp;$DF14+'Model Setup'!$M$7,$AD14:$BA14)+'Model Setup'!$M$8*(SUMIF($BH$3:$CE$3,"&lt;"&amp;$DF14,$AD14:$BA14)+SUMIF($BH$3:$CE$3,"&gt;"&amp;$CW$4,$AD14:$BA14)),
IF(BH$3=$DF14+'Model Setup'!$N$7,SUMIF($BH$3:$CE$3,"="&amp;$DF14+'Model Setup'!$N$7,$AD14:$BA14)+'Model Setup'!$N$8*(SUMIF($BH$3:$CE$3,"&lt;"&amp;$DF14,$AD14:$BA14)+SUMIF($BH$3:$CE$3,"&gt;"&amp;$CW$4,$AD14:$BA14)),
IF(BH$3&lt;$CW$4,B14,0))))))))))))))),0)</f>
        <v>0</v>
      </c>
      <c r="BI14" s="47">
        <f>ROUND(IF(OR(BI$3&lt;$DF14,BI$3&gt;$CW$4),0,
IF(BI$3=$DF14+'Model Setup'!$B$7,SUMIF($BH$3:$CE$3,"="&amp;$DF14+'Model Setup'!$B$7,$AD14:$BA14)+'Model Setup'!$B$8*(SUMIF($BH$3:$CE$3,"&lt;"&amp;$DF14,$AD14:$BA14)+SUMIF($BH$3:$CE$3,"&gt;"&amp;$CW$4,$AD14:$BA14)),
IF(BI$3=$DF14+'Model Setup'!$C$7,SUMIF($BH$3:$CE$3,"="&amp;$DF14+'Model Setup'!$C$7,$AD14:$BA14)+'Model Setup'!$C$8*(SUMIF($BH$3:$CE$3,"&lt;"&amp;$DF14,$AD14:$BA14)+SUMIF($BH$3:$CE$3,"&gt;"&amp;$CW$4,$AD14:$BA14)),
IF(BI$3=$DF14+'Model Setup'!$D$7,SUMIF($BH$3:$CE$3,"="&amp;$DF14+'Model Setup'!$D$7,$AD14:$BA14)+'Model Setup'!$D$8*(SUMIF($BH$3:$CE$3,"&lt;"&amp;$DF14,$AD14:$BA14)+SUMIF($BH$3:$CE$3,"&gt;"&amp;$CW$4,$AD14:$BA14)),
IF(BI$3=$DF14+'Model Setup'!$E$7,SUMIF($BH$3:$CE$3,"="&amp;$DF14+'Model Setup'!$E$7,$AD14:$BA14)+'Model Setup'!$E$8*(SUMIF($BH$3:$CE$3,"&lt;"&amp;$DF14,$AD14:$BA14)+SUMIF($BH$3:$CE$3,"&gt;"&amp;$CW$4,$AD14:$BA14)),
IF(BI$3=$DF14+'Model Setup'!$F$7,SUMIF($BH$3:$CE$3,"="&amp;$DF14+'Model Setup'!$F$7,$AD14:$BA14)+'Model Setup'!$F$8*(SUMIF($BH$3:$CE$3,"&lt;"&amp;$DF14,$AD14:$BA14)+SUMIF($BH$3:$CE$3,"&gt;"&amp;$CW$4,$AD14:$BA14)),
IF(BI$3=$DF14+'Model Setup'!$G$7,SUMIF($BH$3:$CE$3,"="&amp;$DF14+'Model Setup'!$G$7,$AD14:$BA14)+'Model Setup'!$G$8*(SUMIF($BH$3:$CE$3,"&lt;"&amp;$DF14,$AD14:$BA14)+SUMIF($BH$3:$CE$3,"&gt;"&amp;$CW$4,$AD14:$BA14)),
IF(BI$3=$DF14+'Model Setup'!$H$7,SUMIF($BH$3:$CE$3,"="&amp;$DF14+'Model Setup'!$H$7,$AD14:$BA14)+'Model Setup'!$H$8*(SUMIF($BH$3:$CE$3,"&lt;"&amp;$DF14,$AD14:$BA14)+SUMIF($BH$3:$CE$3,"&gt;"&amp;$CW$4,$AD14:$BA14)),
IF(BI$3=$DF14+'Model Setup'!$I$7,SUMIF($BH$3:$CE$3,"="&amp;$DF14+'Model Setup'!$I$7,$AD14:$BA14)+'Model Setup'!$I$8*(SUMIF($BH$3:$CE$3,"&lt;"&amp;$DF14,$AD14:$BA14)+SUMIF($BH$3:$CE$3,"&gt;"&amp;$CW$4,$AD14:$BA14)),
IF(BI$3=$DF14+'Model Setup'!$J$7,SUMIF($BH$3:$CE$3,"="&amp;$DF14+'Model Setup'!$J$7,$AD14:$BA14)+'Model Setup'!$J$8*(SUMIF($BH$3:$CE$3,"&lt;"&amp;$DF14,$AD14:$BA14)+SUMIF($BH$3:$CE$3,"&gt;"&amp;$CW$4,$AD14:$BA14)),
IF(BI$3=$DF14+'Model Setup'!$K$7,SUMIF($BH$3:$CE$3,"="&amp;$DF14+'Model Setup'!$K$7,$AD14:$BA14)+'Model Setup'!$K$8*(SUMIF($BH$3:$CE$3,"&lt;"&amp;$DF14,$AD14:$BA14)+SUMIF($BH$3:$CE$3,"&gt;"&amp;$CW$4,$AD14:$BA14)),
IF(BI$3=$DF14+'Model Setup'!$L$7,SUMIF($BH$3:$CE$3,"="&amp;$DF14+'Model Setup'!$L$7,$AD14:$BA14)+'Model Setup'!$L$8*(SUMIF($BH$3:$CE$3,"&lt;"&amp;$DF14,$AD14:$BA14)+SUMIF($BH$3:$CE$3,"&gt;"&amp;$CW$4,$AD14:$BA14)),
IF(BI$3=$DF14+'Model Setup'!$M$7,SUMIF($BH$3:$CE$3,"="&amp;$DF14+'Model Setup'!$M$7,$AD14:$BA14)+'Model Setup'!$M$8*(SUMIF($BH$3:$CE$3,"&lt;"&amp;$DF14,$AD14:$BA14)+SUMIF($BH$3:$CE$3,"&gt;"&amp;$CW$4,$AD14:$BA14)),
IF(BI$3=$DF14+'Model Setup'!$N$7,SUMIF($BH$3:$CE$3,"="&amp;$DF14+'Model Setup'!$N$7,$AD14:$BA14)+'Model Setup'!$N$8*(SUMIF($BH$3:$CE$3,"&lt;"&amp;$DF14,$AD14:$BA14)+SUMIF($BH$3:$CE$3,"&gt;"&amp;$CW$4,$AD14:$BA14)),
IF(BI$3&lt;$CW$4,C14,0))))))))))))))),0)</f>
        <v>0</v>
      </c>
      <c r="BJ14" s="47">
        <f>ROUND(IF(OR(BJ$3&lt;$DF14,BJ$3&gt;$CW$4),0,
IF(BJ$3=$DF14+'Model Setup'!$B$7,SUMIF($BH$3:$CE$3,"="&amp;$DF14+'Model Setup'!$B$7,$AD14:$BA14)+'Model Setup'!$B$8*(SUMIF($BH$3:$CE$3,"&lt;"&amp;$DF14,$AD14:$BA14)+SUMIF($BH$3:$CE$3,"&gt;"&amp;$CW$4,$AD14:$BA14)),
IF(BJ$3=$DF14+'Model Setup'!$C$7,SUMIF($BH$3:$CE$3,"="&amp;$DF14+'Model Setup'!$C$7,$AD14:$BA14)+'Model Setup'!$C$8*(SUMIF($BH$3:$CE$3,"&lt;"&amp;$DF14,$AD14:$BA14)+SUMIF($BH$3:$CE$3,"&gt;"&amp;$CW$4,$AD14:$BA14)),
IF(BJ$3=$DF14+'Model Setup'!$D$7,SUMIF($BH$3:$CE$3,"="&amp;$DF14+'Model Setup'!$D$7,$AD14:$BA14)+'Model Setup'!$D$8*(SUMIF($BH$3:$CE$3,"&lt;"&amp;$DF14,$AD14:$BA14)+SUMIF($BH$3:$CE$3,"&gt;"&amp;$CW$4,$AD14:$BA14)),
IF(BJ$3=$DF14+'Model Setup'!$E$7,SUMIF($BH$3:$CE$3,"="&amp;$DF14+'Model Setup'!$E$7,$AD14:$BA14)+'Model Setup'!$E$8*(SUMIF($BH$3:$CE$3,"&lt;"&amp;$DF14,$AD14:$BA14)+SUMIF($BH$3:$CE$3,"&gt;"&amp;$CW$4,$AD14:$BA14)),
IF(BJ$3=$DF14+'Model Setup'!$F$7,SUMIF($BH$3:$CE$3,"="&amp;$DF14+'Model Setup'!$F$7,$AD14:$BA14)+'Model Setup'!$F$8*(SUMIF($BH$3:$CE$3,"&lt;"&amp;$DF14,$AD14:$BA14)+SUMIF($BH$3:$CE$3,"&gt;"&amp;$CW$4,$AD14:$BA14)),
IF(BJ$3=$DF14+'Model Setup'!$G$7,SUMIF($BH$3:$CE$3,"="&amp;$DF14+'Model Setup'!$G$7,$AD14:$BA14)+'Model Setup'!$G$8*(SUMIF($BH$3:$CE$3,"&lt;"&amp;$DF14,$AD14:$BA14)+SUMIF($BH$3:$CE$3,"&gt;"&amp;$CW$4,$AD14:$BA14)),
IF(BJ$3=$DF14+'Model Setup'!$H$7,SUMIF($BH$3:$CE$3,"="&amp;$DF14+'Model Setup'!$H$7,$AD14:$BA14)+'Model Setup'!$H$8*(SUMIF($BH$3:$CE$3,"&lt;"&amp;$DF14,$AD14:$BA14)+SUMIF($BH$3:$CE$3,"&gt;"&amp;$CW$4,$AD14:$BA14)),
IF(BJ$3=$DF14+'Model Setup'!$I$7,SUMIF($BH$3:$CE$3,"="&amp;$DF14+'Model Setup'!$I$7,$AD14:$BA14)+'Model Setup'!$I$8*(SUMIF($BH$3:$CE$3,"&lt;"&amp;$DF14,$AD14:$BA14)+SUMIF($BH$3:$CE$3,"&gt;"&amp;$CW$4,$AD14:$BA14)),
IF(BJ$3=$DF14+'Model Setup'!$J$7,SUMIF($BH$3:$CE$3,"="&amp;$DF14+'Model Setup'!$J$7,$AD14:$BA14)+'Model Setup'!$J$8*(SUMIF($BH$3:$CE$3,"&lt;"&amp;$DF14,$AD14:$BA14)+SUMIF($BH$3:$CE$3,"&gt;"&amp;$CW$4,$AD14:$BA14)),
IF(BJ$3=$DF14+'Model Setup'!$K$7,SUMIF($BH$3:$CE$3,"="&amp;$DF14+'Model Setup'!$K$7,$AD14:$BA14)+'Model Setup'!$K$8*(SUMIF($BH$3:$CE$3,"&lt;"&amp;$DF14,$AD14:$BA14)+SUMIF($BH$3:$CE$3,"&gt;"&amp;$CW$4,$AD14:$BA14)),
IF(BJ$3=$DF14+'Model Setup'!$L$7,SUMIF($BH$3:$CE$3,"="&amp;$DF14+'Model Setup'!$L$7,$AD14:$BA14)+'Model Setup'!$L$8*(SUMIF($BH$3:$CE$3,"&lt;"&amp;$DF14,$AD14:$BA14)+SUMIF($BH$3:$CE$3,"&gt;"&amp;$CW$4,$AD14:$BA14)),
IF(BJ$3=$DF14+'Model Setup'!$M$7,SUMIF($BH$3:$CE$3,"="&amp;$DF14+'Model Setup'!$M$7,$AD14:$BA14)+'Model Setup'!$M$8*(SUMIF($BH$3:$CE$3,"&lt;"&amp;$DF14,$AD14:$BA14)+SUMIF($BH$3:$CE$3,"&gt;"&amp;$CW$4,$AD14:$BA14)),
IF(BJ$3=$DF14+'Model Setup'!$N$7,SUMIF($BH$3:$CE$3,"="&amp;$DF14+'Model Setup'!$N$7,$AD14:$BA14)+'Model Setup'!$N$8*(SUMIF($BH$3:$CE$3,"&lt;"&amp;$DF14,$AD14:$BA14)+SUMIF($BH$3:$CE$3,"&gt;"&amp;$CW$4,$AD14:$BA14)),
IF(BJ$3&lt;$CW$4,D14,0))))))))))))))),0)</f>
        <v>0</v>
      </c>
      <c r="BK14" s="47">
        <f>ROUND(IF(OR(BK$3&lt;$DF14,BK$3&gt;$CW$4),0,
IF(BK$3=$DF14+'Model Setup'!$B$7,SUMIF($BH$3:$CE$3,"="&amp;$DF14+'Model Setup'!$B$7,$AD14:$BA14)+'Model Setup'!$B$8*(SUMIF($BH$3:$CE$3,"&lt;"&amp;$DF14,$AD14:$BA14)+SUMIF($BH$3:$CE$3,"&gt;"&amp;$CW$4,$AD14:$BA14)),
IF(BK$3=$DF14+'Model Setup'!$C$7,SUMIF($BH$3:$CE$3,"="&amp;$DF14+'Model Setup'!$C$7,$AD14:$BA14)+'Model Setup'!$C$8*(SUMIF($BH$3:$CE$3,"&lt;"&amp;$DF14,$AD14:$BA14)+SUMIF($BH$3:$CE$3,"&gt;"&amp;$CW$4,$AD14:$BA14)),
IF(BK$3=$DF14+'Model Setup'!$D$7,SUMIF($BH$3:$CE$3,"="&amp;$DF14+'Model Setup'!$D$7,$AD14:$BA14)+'Model Setup'!$D$8*(SUMIF($BH$3:$CE$3,"&lt;"&amp;$DF14,$AD14:$BA14)+SUMIF($BH$3:$CE$3,"&gt;"&amp;$CW$4,$AD14:$BA14)),
IF(BK$3=$DF14+'Model Setup'!$E$7,SUMIF($BH$3:$CE$3,"="&amp;$DF14+'Model Setup'!$E$7,$AD14:$BA14)+'Model Setup'!$E$8*(SUMIF($BH$3:$CE$3,"&lt;"&amp;$DF14,$AD14:$BA14)+SUMIF($BH$3:$CE$3,"&gt;"&amp;$CW$4,$AD14:$BA14)),
IF(BK$3=$DF14+'Model Setup'!$F$7,SUMIF($BH$3:$CE$3,"="&amp;$DF14+'Model Setup'!$F$7,$AD14:$BA14)+'Model Setup'!$F$8*(SUMIF($BH$3:$CE$3,"&lt;"&amp;$DF14,$AD14:$BA14)+SUMIF($BH$3:$CE$3,"&gt;"&amp;$CW$4,$AD14:$BA14)),
IF(BK$3=$DF14+'Model Setup'!$G$7,SUMIF($BH$3:$CE$3,"="&amp;$DF14+'Model Setup'!$G$7,$AD14:$BA14)+'Model Setup'!$G$8*(SUMIF($BH$3:$CE$3,"&lt;"&amp;$DF14,$AD14:$BA14)+SUMIF($BH$3:$CE$3,"&gt;"&amp;$CW$4,$AD14:$BA14)),
IF(BK$3=$DF14+'Model Setup'!$H$7,SUMIF($BH$3:$CE$3,"="&amp;$DF14+'Model Setup'!$H$7,$AD14:$BA14)+'Model Setup'!$H$8*(SUMIF($BH$3:$CE$3,"&lt;"&amp;$DF14,$AD14:$BA14)+SUMIF($BH$3:$CE$3,"&gt;"&amp;$CW$4,$AD14:$BA14)),
IF(BK$3=$DF14+'Model Setup'!$I$7,SUMIF($BH$3:$CE$3,"="&amp;$DF14+'Model Setup'!$I$7,$AD14:$BA14)+'Model Setup'!$I$8*(SUMIF($BH$3:$CE$3,"&lt;"&amp;$DF14,$AD14:$BA14)+SUMIF($BH$3:$CE$3,"&gt;"&amp;$CW$4,$AD14:$BA14)),
IF(BK$3=$DF14+'Model Setup'!$J$7,SUMIF($BH$3:$CE$3,"="&amp;$DF14+'Model Setup'!$J$7,$AD14:$BA14)+'Model Setup'!$J$8*(SUMIF($BH$3:$CE$3,"&lt;"&amp;$DF14,$AD14:$BA14)+SUMIF($BH$3:$CE$3,"&gt;"&amp;$CW$4,$AD14:$BA14)),
IF(BK$3=$DF14+'Model Setup'!$K$7,SUMIF($BH$3:$CE$3,"="&amp;$DF14+'Model Setup'!$K$7,$AD14:$BA14)+'Model Setup'!$K$8*(SUMIF($BH$3:$CE$3,"&lt;"&amp;$DF14,$AD14:$BA14)+SUMIF($BH$3:$CE$3,"&gt;"&amp;$CW$4,$AD14:$BA14)),
IF(BK$3=$DF14+'Model Setup'!$L$7,SUMIF($BH$3:$CE$3,"="&amp;$DF14+'Model Setup'!$L$7,$AD14:$BA14)+'Model Setup'!$L$8*(SUMIF($BH$3:$CE$3,"&lt;"&amp;$DF14,$AD14:$BA14)+SUMIF($BH$3:$CE$3,"&gt;"&amp;$CW$4,$AD14:$BA14)),
IF(BK$3=$DF14+'Model Setup'!$M$7,SUMIF($BH$3:$CE$3,"="&amp;$DF14+'Model Setup'!$M$7,$AD14:$BA14)+'Model Setup'!$M$8*(SUMIF($BH$3:$CE$3,"&lt;"&amp;$DF14,$AD14:$BA14)+SUMIF($BH$3:$CE$3,"&gt;"&amp;$CW$4,$AD14:$BA14)),
IF(BK$3=$DF14+'Model Setup'!$N$7,SUMIF($BH$3:$CE$3,"="&amp;$DF14+'Model Setup'!$N$7,$AD14:$BA14)+'Model Setup'!$N$8*(SUMIF($BH$3:$CE$3,"&lt;"&amp;$DF14,$AD14:$BA14)+SUMIF($BH$3:$CE$3,"&gt;"&amp;$CW$4,$AD14:$BA14)),
IF(BK$3&lt;$CW$4,E14,0))))))))))))))),0)</f>
        <v>0</v>
      </c>
      <c r="BL14" s="47">
        <f>ROUND(IF(OR(BL$3&lt;$DF14,BL$3&gt;$CW$4),0,
IF(BL$3=$DF14+'Model Setup'!$B$7,SUMIF($BH$3:$CE$3,"="&amp;$DF14+'Model Setup'!$B$7,$AD14:$BA14)+'Model Setup'!$B$8*(SUMIF($BH$3:$CE$3,"&lt;"&amp;$DF14,$AD14:$BA14)+SUMIF($BH$3:$CE$3,"&gt;"&amp;$CW$4,$AD14:$BA14)),
IF(BL$3=$DF14+'Model Setup'!$C$7,SUMIF($BH$3:$CE$3,"="&amp;$DF14+'Model Setup'!$C$7,$AD14:$BA14)+'Model Setup'!$C$8*(SUMIF($BH$3:$CE$3,"&lt;"&amp;$DF14,$AD14:$BA14)+SUMIF($BH$3:$CE$3,"&gt;"&amp;$CW$4,$AD14:$BA14)),
IF(BL$3=$DF14+'Model Setup'!$D$7,SUMIF($BH$3:$CE$3,"="&amp;$DF14+'Model Setup'!$D$7,$AD14:$BA14)+'Model Setup'!$D$8*(SUMIF($BH$3:$CE$3,"&lt;"&amp;$DF14,$AD14:$BA14)+SUMIF($BH$3:$CE$3,"&gt;"&amp;$CW$4,$AD14:$BA14)),
IF(BL$3=$DF14+'Model Setup'!$E$7,SUMIF($BH$3:$CE$3,"="&amp;$DF14+'Model Setup'!$E$7,$AD14:$BA14)+'Model Setup'!$E$8*(SUMIF($BH$3:$CE$3,"&lt;"&amp;$DF14,$AD14:$BA14)+SUMIF($BH$3:$CE$3,"&gt;"&amp;$CW$4,$AD14:$BA14)),
IF(BL$3=$DF14+'Model Setup'!$F$7,SUMIF($BH$3:$CE$3,"="&amp;$DF14+'Model Setup'!$F$7,$AD14:$BA14)+'Model Setup'!$F$8*(SUMIF($BH$3:$CE$3,"&lt;"&amp;$DF14,$AD14:$BA14)+SUMIF($BH$3:$CE$3,"&gt;"&amp;$CW$4,$AD14:$BA14)),
IF(BL$3=$DF14+'Model Setup'!$G$7,SUMIF($BH$3:$CE$3,"="&amp;$DF14+'Model Setup'!$G$7,$AD14:$BA14)+'Model Setup'!$G$8*(SUMIF($BH$3:$CE$3,"&lt;"&amp;$DF14,$AD14:$BA14)+SUMIF($BH$3:$CE$3,"&gt;"&amp;$CW$4,$AD14:$BA14)),
IF(BL$3=$DF14+'Model Setup'!$H$7,SUMIF($BH$3:$CE$3,"="&amp;$DF14+'Model Setup'!$H$7,$AD14:$BA14)+'Model Setup'!$H$8*(SUMIF($BH$3:$CE$3,"&lt;"&amp;$DF14,$AD14:$BA14)+SUMIF($BH$3:$CE$3,"&gt;"&amp;$CW$4,$AD14:$BA14)),
IF(BL$3=$DF14+'Model Setup'!$I$7,SUMIF($BH$3:$CE$3,"="&amp;$DF14+'Model Setup'!$I$7,$AD14:$BA14)+'Model Setup'!$I$8*(SUMIF($BH$3:$CE$3,"&lt;"&amp;$DF14,$AD14:$BA14)+SUMIF($BH$3:$CE$3,"&gt;"&amp;$CW$4,$AD14:$BA14)),
IF(BL$3=$DF14+'Model Setup'!$J$7,SUMIF($BH$3:$CE$3,"="&amp;$DF14+'Model Setup'!$J$7,$AD14:$BA14)+'Model Setup'!$J$8*(SUMIF($BH$3:$CE$3,"&lt;"&amp;$DF14,$AD14:$BA14)+SUMIF($BH$3:$CE$3,"&gt;"&amp;$CW$4,$AD14:$BA14)),
IF(BL$3=$DF14+'Model Setup'!$K$7,SUMIF($BH$3:$CE$3,"="&amp;$DF14+'Model Setup'!$K$7,$AD14:$BA14)+'Model Setup'!$K$8*(SUMIF($BH$3:$CE$3,"&lt;"&amp;$DF14,$AD14:$BA14)+SUMIF($BH$3:$CE$3,"&gt;"&amp;$CW$4,$AD14:$BA14)),
IF(BL$3=$DF14+'Model Setup'!$L$7,SUMIF($BH$3:$CE$3,"="&amp;$DF14+'Model Setup'!$L$7,$AD14:$BA14)+'Model Setup'!$L$8*(SUMIF($BH$3:$CE$3,"&lt;"&amp;$DF14,$AD14:$BA14)+SUMIF($BH$3:$CE$3,"&gt;"&amp;$CW$4,$AD14:$BA14)),
IF(BL$3=$DF14+'Model Setup'!$M$7,SUMIF($BH$3:$CE$3,"="&amp;$DF14+'Model Setup'!$M$7,$AD14:$BA14)+'Model Setup'!$M$8*(SUMIF($BH$3:$CE$3,"&lt;"&amp;$DF14,$AD14:$BA14)+SUMIF($BH$3:$CE$3,"&gt;"&amp;$CW$4,$AD14:$BA14)),
IF(BL$3=$DF14+'Model Setup'!$N$7,SUMIF($BH$3:$CE$3,"="&amp;$DF14+'Model Setup'!$N$7,$AD14:$BA14)+'Model Setup'!$N$8*(SUMIF($BH$3:$CE$3,"&lt;"&amp;$DF14,$AD14:$BA14)+SUMIF($BH$3:$CE$3,"&gt;"&amp;$CW$4,$AD14:$BA14)),
IF(BL$3&lt;$CW$4,F14,0))))))))))))))),0)</f>
        <v>0</v>
      </c>
      <c r="BM14" s="47">
        <f>ROUND(IF(OR(BM$3&lt;$DF14,BM$3&gt;$CW$4),0,
IF(BM$3=$DF14+'Model Setup'!$B$7,SUMIF($BH$3:$CE$3,"="&amp;$DF14+'Model Setup'!$B$7,$AD14:$BA14)+'Model Setup'!$B$8*(SUMIF($BH$3:$CE$3,"&lt;"&amp;$DF14,$AD14:$BA14)+SUMIF($BH$3:$CE$3,"&gt;"&amp;$CW$4,$AD14:$BA14)),
IF(BM$3=$DF14+'Model Setup'!$C$7,SUMIF($BH$3:$CE$3,"="&amp;$DF14+'Model Setup'!$C$7,$AD14:$BA14)+'Model Setup'!$C$8*(SUMIF($BH$3:$CE$3,"&lt;"&amp;$DF14,$AD14:$BA14)+SUMIF($BH$3:$CE$3,"&gt;"&amp;$CW$4,$AD14:$BA14)),
IF(BM$3=$DF14+'Model Setup'!$D$7,SUMIF($BH$3:$CE$3,"="&amp;$DF14+'Model Setup'!$D$7,$AD14:$BA14)+'Model Setup'!$D$8*(SUMIF($BH$3:$CE$3,"&lt;"&amp;$DF14,$AD14:$BA14)+SUMIF($BH$3:$CE$3,"&gt;"&amp;$CW$4,$AD14:$BA14)),
IF(BM$3=$DF14+'Model Setup'!$E$7,SUMIF($BH$3:$CE$3,"="&amp;$DF14+'Model Setup'!$E$7,$AD14:$BA14)+'Model Setup'!$E$8*(SUMIF($BH$3:$CE$3,"&lt;"&amp;$DF14,$AD14:$BA14)+SUMIF($BH$3:$CE$3,"&gt;"&amp;$CW$4,$AD14:$BA14)),
IF(BM$3=$DF14+'Model Setup'!$F$7,SUMIF($BH$3:$CE$3,"="&amp;$DF14+'Model Setup'!$F$7,$AD14:$BA14)+'Model Setup'!$F$8*(SUMIF($BH$3:$CE$3,"&lt;"&amp;$DF14,$AD14:$BA14)+SUMIF($BH$3:$CE$3,"&gt;"&amp;$CW$4,$AD14:$BA14)),
IF(BM$3=$DF14+'Model Setup'!$G$7,SUMIF($BH$3:$CE$3,"="&amp;$DF14+'Model Setup'!$G$7,$AD14:$BA14)+'Model Setup'!$G$8*(SUMIF($BH$3:$CE$3,"&lt;"&amp;$DF14,$AD14:$BA14)+SUMIF($BH$3:$CE$3,"&gt;"&amp;$CW$4,$AD14:$BA14)),
IF(BM$3=$DF14+'Model Setup'!$H$7,SUMIF($BH$3:$CE$3,"="&amp;$DF14+'Model Setup'!$H$7,$AD14:$BA14)+'Model Setup'!$H$8*(SUMIF($BH$3:$CE$3,"&lt;"&amp;$DF14,$AD14:$BA14)+SUMIF($BH$3:$CE$3,"&gt;"&amp;$CW$4,$AD14:$BA14)),
IF(BM$3=$DF14+'Model Setup'!$I$7,SUMIF($BH$3:$CE$3,"="&amp;$DF14+'Model Setup'!$I$7,$AD14:$BA14)+'Model Setup'!$I$8*(SUMIF($BH$3:$CE$3,"&lt;"&amp;$DF14,$AD14:$BA14)+SUMIF($BH$3:$CE$3,"&gt;"&amp;$CW$4,$AD14:$BA14)),
IF(BM$3=$DF14+'Model Setup'!$J$7,SUMIF($BH$3:$CE$3,"="&amp;$DF14+'Model Setup'!$J$7,$AD14:$BA14)+'Model Setup'!$J$8*(SUMIF($BH$3:$CE$3,"&lt;"&amp;$DF14,$AD14:$BA14)+SUMIF($BH$3:$CE$3,"&gt;"&amp;$CW$4,$AD14:$BA14)),
IF(BM$3=$DF14+'Model Setup'!$K$7,SUMIF($BH$3:$CE$3,"="&amp;$DF14+'Model Setup'!$K$7,$AD14:$BA14)+'Model Setup'!$K$8*(SUMIF($BH$3:$CE$3,"&lt;"&amp;$DF14,$AD14:$BA14)+SUMIF($BH$3:$CE$3,"&gt;"&amp;$CW$4,$AD14:$BA14)),
IF(BM$3=$DF14+'Model Setup'!$L$7,SUMIF($BH$3:$CE$3,"="&amp;$DF14+'Model Setup'!$L$7,$AD14:$BA14)+'Model Setup'!$L$8*(SUMIF($BH$3:$CE$3,"&lt;"&amp;$DF14,$AD14:$BA14)+SUMIF($BH$3:$CE$3,"&gt;"&amp;$CW$4,$AD14:$BA14)),
IF(BM$3=$DF14+'Model Setup'!$M$7,SUMIF($BH$3:$CE$3,"="&amp;$DF14+'Model Setup'!$M$7,$AD14:$BA14)+'Model Setup'!$M$8*(SUMIF($BH$3:$CE$3,"&lt;"&amp;$DF14,$AD14:$BA14)+SUMIF($BH$3:$CE$3,"&gt;"&amp;$CW$4,$AD14:$BA14)),
IF(BM$3=$DF14+'Model Setup'!$N$7,SUMIF($BH$3:$CE$3,"="&amp;$DF14+'Model Setup'!$N$7,$AD14:$BA14)+'Model Setup'!$N$8*(SUMIF($BH$3:$CE$3,"&lt;"&amp;$DF14,$AD14:$BA14)+SUMIF($BH$3:$CE$3,"&gt;"&amp;$CW$4,$AD14:$BA14)),
IF(BM$3&lt;$CW$4,G14,0))))))))))))))),0)</f>
        <v>78</v>
      </c>
      <c r="BN14" s="47">
        <f>ROUND(IF(OR(BN$3&lt;$DF14,BN$3&gt;$CW$4),0,
IF(BN$3=$DF14+'Model Setup'!$B$7,SUMIF($BH$3:$CE$3,"="&amp;$DF14+'Model Setup'!$B$7,$AD14:$BA14)+'Model Setup'!$B$8*(SUMIF($BH$3:$CE$3,"&lt;"&amp;$DF14,$AD14:$BA14)+SUMIF($BH$3:$CE$3,"&gt;"&amp;$CW$4,$AD14:$BA14)),
IF(BN$3=$DF14+'Model Setup'!$C$7,SUMIF($BH$3:$CE$3,"="&amp;$DF14+'Model Setup'!$C$7,$AD14:$BA14)+'Model Setup'!$C$8*(SUMIF($BH$3:$CE$3,"&lt;"&amp;$DF14,$AD14:$BA14)+SUMIF($BH$3:$CE$3,"&gt;"&amp;$CW$4,$AD14:$BA14)),
IF(BN$3=$DF14+'Model Setup'!$D$7,SUMIF($BH$3:$CE$3,"="&amp;$DF14+'Model Setup'!$D$7,$AD14:$BA14)+'Model Setup'!$D$8*(SUMIF($BH$3:$CE$3,"&lt;"&amp;$DF14,$AD14:$BA14)+SUMIF($BH$3:$CE$3,"&gt;"&amp;$CW$4,$AD14:$BA14)),
IF(BN$3=$DF14+'Model Setup'!$E$7,SUMIF($BH$3:$CE$3,"="&amp;$DF14+'Model Setup'!$E$7,$AD14:$BA14)+'Model Setup'!$E$8*(SUMIF($BH$3:$CE$3,"&lt;"&amp;$DF14,$AD14:$BA14)+SUMIF($BH$3:$CE$3,"&gt;"&amp;$CW$4,$AD14:$BA14)),
IF(BN$3=$DF14+'Model Setup'!$F$7,SUMIF($BH$3:$CE$3,"="&amp;$DF14+'Model Setup'!$F$7,$AD14:$BA14)+'Model Setup'!$F$8*(SUMIF($BH$3:$CE$3,"&lt;"&amp;$DF14,$AD14:$BA14)+SUMIF($BH$3:$CE$3,"&gt;"&amp;$CW$4,$AD14:$BA14)),
IF(BN$3=$DF14+'Model Setup'!$G$7,SUMIF($BH$3:$CE$3,"="&amp;$DF14+'Model Setup'!$G$7,$AD14:$BA14)+'Model Setup'!$G$8*(SUMIF($BH$3:$CE$3,"&lt;"&amp;$DF14,$AD14:$BA14)+SUMIF($BH$3:$CE$3,"&gt;"&amp;$CW$4,$AD14:$BA14)),
IF(BN$3=$DF14+'Model Setup'!$H$7,SUMIF($BH$3:$CE$3,"="&amp;$DF14+'Model Setup'!$H$7,$AD14:$BA14)+'Model Setup'!$H$8*(SUMIF($BH$3:$CE$3,"&lt;"&amp;$DF14,$AD14:$BA14)+SUMIF($BH$3:$CE$3,"&gt;"&amp;$CW$4,$AD14:$BA14)),
IF(BN$3=$DF14+'Model Setup'!$I$7,SUMIF($BH$3:$CE$3,"="&amp;$DF14+'Model Setup'!$I$7,$AD14:$BA14)+'Model Setup'!$I$8*(SUMIF($BH$3:$CE$3,"&lt;"&amp;$DF14,$AD14:$BA14)+SUMIF($BH$3:$CE$3,"&gt;"&amp;$CW$4,$AD14:$BA14)),
IF(BN$3=$DF14+'Model Setup'!$J$7,SUMIF($BH$3:$CE$3,"="&amp;$DF14+'Model Setup'!$J$7,$AD14:$BA14)+'Model Setup'!$J$8*(SUMIF($BH$3:$CE$3,"&lt;"&amp;$DF14,$AD14:$BA14)+SUMIF($BH$3:$CE$3,"&gt;"&amp;$CW$4,$AD14:$BA14)),
IF(BN$3=$DF14+'Model Setup'!$K$7,SUMIF($BH$3:$CE$3,"="&amp;$DF14+'Model Setup'!$K$7,$AD14:$BA14)+'Model Setup'!$K$8*(SUMIF($BH$3:$CE$3,"&lt;"&amp;$DF14,$AD14:$BA14)+SUMIF($BH$3:$CE$3,"&gt;"&amp;$CW$4,$AD14:$BA14)),
IF(BN$3=$DF14+'Model Setup'!$L$7,SUMIF($BH$3:$CE$3,"="&amp;$DF14+'Model Setup'!$L$7,$AD14:$BA14)+'Model Setup'!$L$8*(SUMIF($BH$3:$CE$3,"&lt;"&amp;$DF14,$AD14:$BA14)+SUMIF($BH$3:$CE$3,"&gt;"&amp;$CW$4,$AD14:$BA14)),
IF(BN$3=$DF14+'Model Setup'!$M$7,SUMIF($BH$3:$CE$3,"="&amp;$DF14+'Model Setup'!$M$7,$AD14:$BA14)+'Model Setup'!$M$8*(SUMIF($BH$3:$CE$3,"&lt;"&amp;$DF14,$AD14:$BA14)+SUMIF($BH$3:$CE$3,"&gt;"&amp;$CW$4,$AD14:$BA14)),
IF(BN$3=$DF14+'Model Setup'!$N$7,SUMIF($BH$3:$CE$3,"="&amp;$DF14+'Model Setup'!$N$7,$AD14:$BA14)+'Model Setup'!$N$8*(SUMIF($BH$3:$CE$3,"&lt;"&amp;$DF14,$AD14:$BA14)+SUMIF($BH$3:$CE$3,"&gt;"&amp;$CW$4,$AD14:$BA14)),
IF(BN$3&lt;$CW$4,H14,0))))))))))))))),0)</f>
        <v>262</v>
      </c>
      <c r="BO14" s="47">
        <f>ROUND(IF(OR(BO$3&lt;$DF14,BO$3&gt;$CW$4),0,
IF(BO$3=$DF14+'Model Setup'!$B$7,SUMIF($BH$3:$CE$3,"="&amp;$DF14+'Model Setup'!$B$7,$AD14:$BA14)+'Model Setup'!$B$8*(SUMIF($BH$3:$CE$3,"&lt;"&amp;$DF14,$AD14:$BA14)+SUMIF($BH$3:$CE$3,"&gt;"&amp;$CW$4,$AD14:$BA14)),
IF(BO$3=$DF14+'Model Setup'!$C$7,SUMIF($BH$3:$CE$3,"="&amp;$DF14+'Model Setup'!$C$7,$AD14:$BA14)+'Model Setup'!$C$8*(SUMIF($BH$3:$CE$3,"&lt;"&amp;$DF14,$AD14:$BA14)+SUMIF($BH$3:$CE$3,"&gt;"&amp;$CW$4,$AD14:$BA14)),
IF(BO$3=$DF14+'Model Setup'!$D$7,SUMIF($BH$3:$CE$3,"="&amp;$DF14+'Model Setup'!$D$7,$AD14:$BA14)+'Model Setup'!$D$8*(SUMIF($BH$3:$CE$3,"&lt;"&amp;$DF14,$AD14:$BA14)+SUMIF($BH$3:$CE$3,"&gt;"&amp;$CW$4,$AD14:$BA14)),
IF(BO$3=$DF14+'Model Setup'!$E$7,SUMIF($BH$3:$CE$3,"="&amp;$DF14+'Model Setup'!$E$7,$AD14:$BA14)+'Model Setup'!$E$8*(SUMIF($BH$3:$CE$3,"&lt;"&amp;$DF14,$AD14:$BA14)+SUMIF($BH$3:$CE$3,"&gt;"&amp;$CW$4,$AD14:$BA14)),
IF(BO$3=$DF14+'Model Setup'!$F$7,SUMIF($BH$3:$CE$3,"="&amp;$DF14+'Model Setup'!$F$7,$AD14:$BA14)+'Model Setup'!$F$8*(SUMIF($BH$3:$CE$3,"&lt;"&amp;$DF14,$AD14:$BA14)+SUMIF($BH$3:$CE$3,"&gt;"&amp;$CW$4,$AD14:$BA14)),
IF(BO$3=$DF14+'Model Setup'!$G$7,SUMIF($BH$3:$CE$3,"="&amp;$DF14+'Model Setup'!$G$7,$AD14:$BA14)+'Model Setup'!$G$8*(SUMIF($BH$3:$CE$3,"&lt;"&amp;$DF14,$AD14:$BA14)+SUMIF($BH$3:$CE$3,"&gt;"&amp;$CW$4,$AD14:$BA14)),
IF(BO$3=$DF14+'Model Setup'!$H$7,SUMIF($BH$3:$CE$3,"="&amp;$DF14+'Model Setup'!$H$7,$AD14:$BA14)+'Model Setup'!$H$8*(SUMIF($BH$3:$CE$3,"&lt;"&amp;$DF14,$AD14:$BA14)+SUMIF($BH$3:$CE$3,"&gt;"&amp;$CW$4,$AD14:$BA14)),
IF(BO$3=$DF14+'Model Setup'!$I$7,SUMIF($BH$3:$CE$3,"="&amp;$DF14+'Model Setup'!$I$7,$AD14:$BA14)+'Model Setup'!$I$8*(SUMIF($BH$3:$CE$3,"&lt;"&amp;$DF14,$AD14:$BA14)+SUMIF($BH$3:$CE$3,"&gt;"&amp;$CW$4,$AD14:$BA14)),
IF(BO$3=$DF14+'Model Setup'!$J$7,SUMIF($BH$3:$CE$3,"="&amp;$DF14+'Model Setup'!$J$7,$AD14:$BA14)+'Model Setup'!$J$8*(SUMIF($BH$3:$CE$3,"&lt;"&amp;$DF14,$AD14:$BA14)+SUMIF($BH$3:$CE$3,"&gt;"&amp;$CW$4,$AD14:$BA14)),
IF(BO$3=$DF14+'Model Setup'!$K$7,SUMIF($BH$3:$CE$3,"="&amp;$DF14+'Model Setup'!$K$7,$AD14:$BA14)+'Model Setup'!$K$8*(SUMIF($BH$3:$CE$3,"&lt;"&amp;$DF14,$AD14:$BA14)+SUMIF($BH$3:$CE$3,"&gt;"&amp;$CW$4,$AD14:$BA14)),
IF(BO$3=$DF14+'Model Setup'!$L$7,SUMIF($BH$3:$CE$3,"="&amp;$DF14+'Model Setup'!$L$7,$AD14:$BA14)+'Model Setup'!$L$8*(SUMIF($BH$3:$CE$3,"&lt;"&amp;$DF14,$AD14:$BA14)+SUMIF($BH$3:$CE$3,"&gt;"&amp;$CW$4,$AD14:$BA14)),
IF(BO$3=$DF14+'Model Setup'!$M$7,SUMIF($BH$3:$CE$3,"="&amp;$DF14+'Model Setup'!$M$7,$AD14:$BA14)+'Model Setup'!$M$8*(SUMIF($BH$3:$CE$3,"&lt;"&amp;$DF14,$AD14:$BA14)+SUMIF($BH$3:$CE$3,"&gt;"&amp;$CW$4,$AD14:$BA14)),
IF(BO$3=$DF14+'Model Setup'!$N$7,SUMIF($BH$3:$CE$3,"="&amp;$DF14+'Model Setup'!$N$7,$AD14:$BA14)+'Model Setup'!$N$8*(SUMIF($BH$3:$CE$3,"&lt;"&amp;$DF14,$AD14:$BA14)+SUMIF($BH$3:$CE$3,"&gt;"&amp;$CW$4,$AD14:$BA14)),
IF(BO$3&lt;$CW$4,I14,0))))))))))))))),0)</f>
        <v>250</v>
      </c>
      <c r="BP14" s="47">
        <f>ROUND(IF(OR(BP$3&lt;$DF14,BP$3&gt;$CW$4),0,
IF(BP$3=$DF14+'Model Setup'!$B$7,SUMIF($BH$3:$CE$3,"="&amp;$DF14+'Model Setup'!$B$7,$AD14:$BA14)+'Model Setup'!$B$8*(SUMIF($BH$3:$CE$3,"&lt;"&amp;$DF14,$AD14:$BA14)+SUMIF($BH$3:$CE$3,"&gt;"&amp;$CW$4,$AD14:$BA14)),
IF(BP$3=$DF14+'Model Setup'!$C$7,SUMIF($BH$3:$CE$3,"="&amp;$DF14+'Model Setup'!$C$7,$AD14:$BA14)+'Model Setup'!$C$8*(SUMIF($BH$3:$CE$3,"&lt;"&amp;$DF14,$AD14:$BA14)+SUMIF($BH$3:$CE$3,"&gt;"&amp;$CW$4,$AD14:$BA14)),
IF(BP$3=$DF14+'Model Setup'!$D$7,SUMIF($BH$3:$CE$3,"="&amp;$DF14+'Model Setup'!$D$7,$AD14:$BA14)+'Model Setup'!$D$8*(SUMIF($BH$3:$CE$3,"&lt;"&amp;$DF14,$AD14:$BA14)+SUMIF($BH$3:$CE$3,"&gt;"&amp;$CW$4,$AD14:$BA14)),
IF(BP$3=$DF14+'Model Setup'!$E$7,SUMIF($BH$3:$CE$3,"="&amp;$DF14+'Model Setup'!$E$7,$AD14:$BA14)+'Model Setup'!$E$8*(SUMIF($BH$3:$CE$3,"&lt;"&amp;$DF14,$AD14:$BA14)+SUMIF($BH$3:$CE$3,"&gt;"&amp;$CW$4,$AD14:$BA14)),
IF(BP$3=$DF14+'Model Setup'!$F$7,SUMIF($BH$3:$CE$3,"="&amp;$DF14+'Model Setup'!$F$7,$AD14:$BA14)+'Model Setup'!$F$8*(SUMIF($BH$3:$CE$3,"&lt;"&amp;$DF14,$AD14:$BA14)+SUMIF($BH$3:$CE$3,"&gt;"&amp;$CW$4,$AD14:$BA14)),
IF(BP$3=$DF14+'Model Setup'!$G$7,SUMIF($BH$3:$CE$3,"="&amp;$DF14+'Model Setup'!$G$7,$AD14:$BA14)+'Model Setup'!$G$8*(SUMIF($BH$3:$CE$3,"&lt;"&amp;$DF14,$AD14:$BA14)+SUMIF($BH$3:$CE$3,"&gt;"&amp;$CW$4,$AD14:$BA14)),
IF(BP$3=$DF14+'Model Setup'!$H$7,SUMIF($BH$3:$CE$3,"="&amp;$DF14+'Model Setup'!$H$7,$AD14:$BA14)+'Model Setup'!$H$8*(SUMIF($BH$3:$CE$3,"&lt;"&amp;$DF14,$AD14:$BA14)+SUMIF($BH$3:$CE$3,"&gt;"&amp;$CW$4,$AD14:$BA14)),
IF(BP$3=$DF14+'Model Setup'!$I$7,SUMIF($BH$3:$CE$3,"="&amp;$DF14+'Model Setup'!$I$7,$AD14:$BA14)+'Model Setup'!$I$8*(SUMIF($BH$3:$CE$3,"&lt;"&amp;$DF14,$AD14:$BA14)+SUMIF($BH$3:$CE$3,"&gt;"&amp;$CW$4,$AD14:$BA14)),
IF(BP$3=$DF14+'Model Setup'!$J$7,SUMIF($BH$3:$CE$3,"="&amp;$DF14+'Model Setup'!$J$7,$AD14:$BA14)+'Model Setup'!$J$8*(SUMIF($BH$3:$CE$3,"&lt;"&amp;$DF14,$AD14:$BA14)+SUMIF($BH$3:$CE$3,"&gt;"&amp;$CW$4,$AD14:$BA14)),
IF(BP$3=$DF14+'Model Setup'!$K$7,SUMIF($BH$3:$CE$3,"="&amp;$DF14+'Model Setup'!$K$7,$AD14:$BA14)+'Model Setup'!$K$8*(SUMIF($BH$3:$CE$3,"&lt;"&amp;$DF14,$AD14:$BA14)+SUMIF($BH$3:$CE$3,"&gt;"&amp;$CW$4,$AD14:$BA14)),
IF(BP$3=$DF14+'Model Setup'!$L$7,SUMIF($BH$3:$CE$3,"="&amp;$DF14+'Model Setup'!$L$7,$AD14:$BA14)+'Model Setup'!$L$8*(SUMIF($BH$3:$CE$3,"&lt;"&amp;$DF14,$AD14:$BA14)+SUMIF($BH$3:$CE$3,"&gt;"&amp;$CW$4,$AD14:$BA14)),
IF(BP$3=$DF14+'Model Setup'!$M$7,SUMIF($BH$3:$CE$3,"="&amp;$DF14+'Model Setup'!$M$7,$AD14:$BA14)+'Model Setup'!$M$8*(SUMIF($BH$3:$CE$3,"&lt;"&amp;$DF14,$AD14:$BA14)+SUMIF($BH$3:$CE$3,"&gt;"&amp;$CW$4,$AD14:$BA14)),
IF(BP$3=$DF14+'Model Setup'!$N$7,SUMIF($BH$3:$CE$3,"="&amp;$DF14+'Model Setup'!$N$7,$AD14:$BA14)+'Model Setup'!$N$8*(SUMIF($BH$3:$CE$3,"&lt;"&amp;$DF14,$AD14:$BA14)+SUMIF($BH$3:$CE$3,"&gt;"&amp;$CW$4,$AD14:$BA14)),
IF(BP$3&lt;$CW$4,J14,0))))))))))))))),0)</f>
        <v>242</v>
      </c>
      <c r="BQ14" s="47">
        <f>ROUND(IF(OR(BQ$3&lt;$DF14,BQ$3&gt;$CW$4),0,
IF(BQ$3=$DF14+'Model Setup'!$B$7,SUMIF($BH$3:$CE$3,"="&amp;$DF14+'Model Setup'!$B$7,$AD14:$BA14)+'Model Setup'!$B$8*(SUMIF($BH$3:$CE$3,"&lt;"&amp;$DF14,$AD14:$BA14)+SUMIF($BH$3:$CE$3,"&gt;"&amp;$CW$4,$AD14:$BA14)),
IF(BQ$3=$DF14+'Model Setup'!$C$7,SUMIF($BH$3:$CE$3,"="&amp;$DF14+'Model Setup'!$C$7,$AD14:$BA14)+'Model Setup'!$C$8*(SUMIF($BH$3:$CE$3,"&lt;"&amp;$DF14,$AD14:$BA14)+SUMIF($BH$3:$CE$3,"&gt;"&amp;$CW$4,$AD14:$BA14)),
IF(BQ$3=$DF14+'Model Setup'!$D$7,SUMIF($BH$3:$CE$3,"="&amp;$DF14+'Model Setup'!$D$7,$AD14:$BA14)+'Model Setup'!$D$8*(SUMIF($BH$3:$CE$3,"&lt;"&amp;$DF14,$AD14:$BA14)+SUMIF($BH$3:$CE$3,"&gt;"&amp;$CW$4,$AD14:$BA14)),
IF(BQ$3=$DF14+'Model Setup'!$E$7,SUMIF($BH$3:$CE$3,"="&amp;$DF14+'Model Setup'!$E$7,$AD14:$BA14)+'Model Setup'!$E$8*(SUMIF($BH$3:$CE$3,"&lt;"&amp;$DF14,$AD14:$BA14)+SUMIF($BH$3:$CE$3,"&gt;"&amp;$CW$4,$AD14:$BA14)),
IF(BQ$3=$DF14+'Model Setup'!$F$7,SUMIF($BH$3:$CE$3,"="&amp;$DF14+'Model Setup'!$F$7,$AD14:$BA14)+'Model Setup'!$F$8*(SUMIF($BH$3:$CE$3,"&lt;"&amp;$DF14,$AD14:$BA14)+SUMIF($BH$3:$CE$3,"&gt;"&amp;$CW$4,$AD14:$BA14)),
IF(BQ$3=$DF14+'Model Setup'!$G$7,SUMIF($BH$3:$CE$3,"="&amp;$DF14+'Model Setup'!$G$7,$AD14:$BA14)+'Model Setup'!$G$8*(SUMIF($BH$3:$CE$3,"&lt;"&amp;$DF14,$AD14:$BA14)+SUMIF($BH$3:$CE$3,"&gt;"&amp;$CW$4,$AD14:$BA14)),
IF(BQ$3=$DF14+'Model Setup'!$H$7,SUMIF($BH$3:$CE$3,"="&amp;$DF14+'Model Setup'!$H$7,$AD14:$BA14)+'Model Setup'!$H$8*(SUMIF($BH$3:$CE$3,"&lt;"&amp;$DF14,$AD14:$BA14)+SUMIF($BH$3:$CE$3,"&gt;"&amp;$CW$4,$AD14:$BA14)),
IF(BQ$3=$DF14+'Model Setup'!$I$7,SUMIF($BH$3:$CE$3,"="&amp;$DF14+'Model Setup'!$I$7,$AD14:$BA14)+'Model Setup'!$I$8*(SUMIF($BH$3:$CE$3,"&lt;"&amp;$DF14,$AD14:$BA14)+SUMIF($BH$3:$CE$3,"&gt;"&amp;$CW$4,$AD14:$BA14)),
IF(BQ$3=$DF14+'Model Setup'!$J$7,SUMIF($BH$3:$CE$3,"="&amp;$DF14+'Model Setup'!$J$7,$AD14:$BA14)+'Model Setup'!$J$8*(SUMIF($BH$3:$CE$3,"&lt;"&amp;$DF14,$AD14:$BA14)+SUMIF($BH$3:$CE$3,"&gt;"&amp;$CW$4,$AD14:$BA14)),
IF(BQ$3=$DF14+'Model Setup'!$K$7,SUMIF($BH$3:$CE$3,"="&amp;$DF14+'Model Setup'!$K$7,$AD14:$BA14)+'Model Setup'!$K$8*(SUMIF($BH$3:$CE$3,"&lt;"&amp;$DF14,$AD14:$BA14)+SUMIF($BH$3:$CE$3,"&gt;"&amp;$CW$4,$AD14:$BA14)),
IF(BQ$3=$DF14+'Model Setup'!$L$7,SUMIF($BH$3:$CE$3,"="&amp;$DF14+'Model Setup'!$L$7,$AD14:$BA14)+'Model Setup'!$L$8*(SUMIF($BH$3:$CE$3,"&lt;"&amp;$DF14,$AD14:$BA14)+SUMIF($BH$3:$CE$3,"&gt;"&amp;$CW$4,$AD14:$BA14)),
IF(BQ$3=$DF14+'Model Setup'!$M$7,SUMIF($BH$3:$CE$3,"="&amp;$DF14+'Model Setup'!$M$7,$AD14:$BA14)+'Model Setup'!$M$8*(SUMIF($BH$3:$CE$3,"&lt;"&amp;$DF14,$AD14:$BA14)+SUMIF($BH$3:$CE$3,"&gt;"&amp;$CW$4,$AD14:$BA14)),
IF(BQ$3=$DF14+'Model Setup'!$N$7,SUMIF($BH$3:$CE$3,"="&amp;$DF14+'Model Setup'!$N$7,$AD14:$BA14)+'Model Setup'!$N$8*(SUMIF($BH$3:$CE$3,"&lt;"&amp;$DF14,$AD14:$BA14)+SUMIF($BH$3:$CE$3,"&gt;"&amp;$CW$4,$AD14:$BA14)),
IF(BQ$3&lt;$CW$4,K14,0))))))))))))))),0)</f>
        <v>230</v>
      </c>
      <c r="BR14" s="47">
        <f>ROUND(IF(OR(BR$3&lt;$DF14,BR$3&gt;$CW$4),0,
IF(BR$3=$DF14+'Model Setup'!$B$7,SUMIF($BH$3:$CE$3,"="&amp;$DF14+'Model Setup'!$B$7,$AD14:$BA14)+'Model Setup'!$B$8*(SUMIF($BH$3:$CE$3,"&lt;"&amp;$DF14,$AD14:$BA14)+SUMIF($BH$3:$CE$3,"&gt;"&amp;$CW$4,$AD14:$BA14)),
IF(BR$3=$DF14+'Model Setup'!$C$7,SUMIF($BH$3:$CE$3,"="&amp;$DF14+'Model Setup'!$C$7,$AD14:$BA14)+'Model Setup'!$C$8*(SUMIF($BH$3:$CE$3,"&lt;"&amp;$DF14,$AD14:$BA14)+SUMIF($BH$3:$CE$3,"&gt;"&amp;$CW$4,$AD14:$BA14)),
IF(BR$3=$DF14+'Model Setup'!$D$7,SUMIF($BH$3:$CE$3,"="&amp;$DF14+'Model Setup'!$D$7,$AD14:$BA14)+'Model Setup'!$D$8*(SUMIF($BH$3:$CE$3,"&lt;"&amp;$DF14,$AD14:$BA14)+SUMIF($BH$3:$CE$3,"&gt;"&amp;$CW$4,$AD14:$BA14)),
IF(BR$3=$DF14+'Model Setup'!$E$7,SUMIF($BH$3:$CE$3,"="&amp;$DF14+'Model Setup'!$E$7,$AD14:$BA14)+'Model Setup'!$E$8*(SUMIF($BH$3:$CE$3,"&lt;"&amp;$DF14,$AD14:$BA14)+SUMIF($BH$3:$CE$3,"&gt;"&amp;$CW$4,$AD14:$BA14)),
IF(BR$3=$DF14+'Model Setup'!$F$7,SUMIF($BH$3:$CE$3,"="&amp;$DF14+'Model Setup'!$F$7,$AD14:$BA14)+'Model Setup'!$F$8*(SUMIF($BH$3:$CE$3,"&lt;"&amp;$DF14,$AD14:$BA14)+SUMIF($BH$3:$CE$3,"&gt;"&amp;$CW$4,$AD14:$BA14)),
IF(BR$3=$DF14+'Model Setup'!$G$7,SUMIF($BH$3:$CE$3,"="&amp;$DF14+'Model Setup'!$G$7,$AD14:$BA14)+'Model Setup'!$G$8*(SUMIF($BH$3:$CE$3,"&lt;"&amp;$DF14,$AD14:$BA14)+SUMIF($BH$3:$CE$3,"&gt;"&amp;$CW$4,$AD14:$BA14)),
IF(BR$3=$DF14+'Model Setup'!$H$7,SUMIF($BH$3:$CE$3,"="&amp;$DF14+'Model Setup'!$H$7,$AD14:$BA14)+'Model Setup'!$H$8*(SUMIF($BH$3:$CE$3,"&lt;"&amp;$DF14,$AD14:$BA14)+SUMIF($BH$3:$CE$3,"&gt;"&amp;$CW$4,$AD14:$BA14)),
IF(BR$3=$DF14+'Model Setup'!$I$7,SUMIF($BH$3:$CE$3,"="&amp;$DF14+'Model Setup'!$I$7,$AD14:$BA14)+'Model Setup'!$I$8*(SUMIF($BH$3:$CE$3,"&lt;"&amp;$DF14,$AD14:$BA14)+SUMIF($BH$3:$CE$3,"&gt;"&amp;$CW$4,$AD14:$BA14)),
IF(BR$3=$DF14+'Model Setup'!$J$7,SUMIF($BH$3:$CE$3,"="&amp;$DF14+'Model Setup'!$J$7,$AD14:$BA14)+'Model Setup'!$J$8*(SUMIF($BH$3:$CE$3,"&lt;"&amp;$DF14,$AD14:$BA14)+SUMIF($BH$3:$CE$3,"&gt;"&amp;$CW$4,$AD14:$BA14)),
IF(BR$3=$DF14+'Model Setup'!$K$7,SUMIF($BH$3:$CE$3,"="&amp;$DF14+'Model Setup'!$K$7,$AD14:$BA14)+'Model Setup'!$K$8*(SUMIF($BH$3:$CE$3,"&lt;"&amp;$DF14,$AD14:$BA14)+SUMIF($BH$3:$CE$3,"&gt;"&amp;$CW$4,$AD14:$BA14)),
IF(BR$3=$DF14+'Model Setup'!$L$7,SUMIF($BH$3:$CE$3,"="&amp;$DF14+'Model Setup'!$L$7,$AD14:$BA14)+'Model Setup'!$L$8*(SUMIF($BH$3:$CE$3,"&lt;"&amp;$DF14,$AD14:$BA14)+SUMIF($BH$3:$CE$3,"&gt;"&amp;$CW$4,$AD14:$BA14)),
IF(BR$3=$DF14+'Model Setup'!$M$7,SUMIF($BH$3:$CE$3,"="&amp;$DF14+'Model Setup'!$M$7,$AD14:$BA14)+'Model Setup'!$M$8*(SUMIF($BH$3:$CE$3,"&lt;"&amp;$DF14,$AD14:$BA14)+SUMIF($BH$3:$CE$3,"&gt;"&amp;$CW$4,$AD14:$BA14)),
IF(BR$3=$DF14+'Model Setup'!$N$7,SUMIF($BH$3:$CE$3,"="&amp;$DF14+'Model Setup'!$N$7,$AD14:$BA14)+'Model Setup'!$N$8*(SUMIF($BH$3:$CE$3,"&lt;"&amp;$DF14,$AD14:$BA14)+SUMIF($BH$3:$CE$3,"&gt;"&amp;$CW$4,$AD14:$BA14)),
IF(BR$3&lt;$CW$4,L14,0))))))))))))))),0)</f>
        <v>185</v>
      </c>
      <c r="BS14" s="47">
        <f>ROUND(IF(OR(BS$3&lt;$DF14,BS$3&gt;$CW$4),0,
IF(BS$3=$DF14+'Model Setup'!$B$7,SUMIF($BH$3:$CE$3,"="&amp;$DF14+'Model Setup'!$B$7,$AD14:$BA14)+'Model Setup'!$B$8*(SUMIF($BH$3:$CE$3,"&lt;"&amp;$DF14,$AD14:$BA14)+SUMIF($BH$3:$CE$3,"&gt;"&amp;$CW$4,$AD14:$BA14)),
IF(BS$3=$DF14+'Model Setup'!$C$7,SUMIF($BH$3:$CE$3,"="&amp;$DF14+'Model Setup'!$C$7,$AD14:$BA14)+'Model Setup'!$C$8*(SUMIF($BH$3:$CE$3,"&lt;"&amp;$DF14,$AD14:$BA14)+SUMIF($BH$3:$CE$3,"&gt;"&amp;$CW$4,$AD14:$BA14)),
IF(BS$3=$DF14+'Model Setup'!$D$7,SUMIF($BH$3:$CE$3,"="&amp;$DF14+'Model Setup'!$D$7,$AD14:$BA14)+'Model Setup'!$D$8*(SUMIF($BH$3:$CE$3,"&lt;"&amp;$DF14,$AD14:$BA14)+SUMIF($BH$3:$CE$3,"&gt;"&amp;$CW$4,$AD14:$BA14)),
IF(BS$3=$DF14+'Model Setup'!$E$7,SUMIF($BH$3:$CE$3,"="&amp;$DF14+'Model Setup'!$E$7,$AD14:$BA14)+'Model Setup'!$E$8*(SUMIF($BH$3:$CE$3,"&lt;"&amp;$DF14,$AD14:$BA14)+SUMIF($BH$3:$CE$3,"&gt;"&amp;$CW$4,$AD14:$BA14)),
IF(BS$3=$DF14+'Model Setup'!$F$7,SUMIF($BH$3:$CE$3,"="&amp;$DF14+'Model Setup'!$F$7,$AD14:$BA14)+'Model Setup'!$F$8*(SUMIF($BH$3:$CE$3,"&lt;"&amp;$DF14,$AD14:$BA14)+SUMIF($BH$3:$CE$3,"&gt;"&amp;$CW$4,$AD14:$BA14)),
IF(BS$3=$DF14+'Model Setup'!$G$7,SUMIF($BH$3:$CE$3,"="&amp;$DF14+'Model Setup'!$G$7,$AD14:$BA14)+'Model Setup'!$G$8*(SUMIF($BH$3:$CE$3,"&lt;"&amp;$DF14,$AD14:$BA14)+SUMIF($BH$3:$CE$3,"&gt;"&amp;$CW$4,$AD14:$BA14)),
IF(BS$3=$DF14+'Model Setup'!$H$7,SUMIF($BH$3:$CE$3,"="&amp;$DF14+'Model Setup'!$H$7,$AD14:$BA14)+'Model Setup'!$H$8*(SUMIF($BH$3:$CE$3,"&lt;"&amp;$DF14,$AD14:$BA14)+SUMIF($BH$3:$CE$3,"&gt;"&amp;$CW$4,$AD14:$BA14)),
IF(BS$3=$DF14+'Model Setup'!$I$7,SUMIF($BH$3:$CE$3,"="&amp;$DF14+'Model Setup'!$I$7,$AD14:$BA14)+'Model Setup'!$I$8*(SUMIF($BH$3:$CE$3,"&lt;"&amp;$DF14,$AD14:$BA14)+SUMIF($BH$3:$CE$3,"&gt;"&amp;$CW$4,$AD14:$BA14)),
IF(BS$3=$DF14+'Model Setup'!$J$7,SUMIF($BH$3:$CE$3,"="&amp;$DF14+'Model Setup'!$J$7,$AD14:$BA14)+'Model Setup'!$J$8*(SUMIF($BH$3:$CE$3,"&lt;"&amp;$DF14,$AD14:$BA14)+SUMIF($BH$3:$CE$3,"&gt;"&amp;$CW$4,$AD14:$BA14)),
IF(BS$3=$DF14+'Model Setup'!$K$7,SUMIF($BH$3:$CE$3,"="&amp;$DF14+'Model Setup'!$K$7,$AD14:$BA14)+'Model Setup'!$K$8*(SUMIF($BH$3:$CE$3,"&lt;"&amp;$DF14,$AD14:$BA14)+SUMIF($BH$3:$CE$3,"&gt;"&amp;$CW$4,$AD14:$BA14)),
IF(BS$3=$DF14+'Model Setup'!$L$7,SUMIF($BH$3:$CE$3,"="&amp;$DF14+'Model Setup'!$L$7,$AD14:$BA14)+'Model Setup'!$L$8*(SUMIF($BH$3:$CE$3,"&lt;"&amp;$DF14,$AD14:$BA14)+SUMIF($BH$3:$CE$3,"&gt;"&amp;$CW$4,$AD14:$BA14)),
IF(BS$3=$DF14+'Model Setup'!$M$7,SUMIF($BH$3:$CE$3,"="&amp;$DF14+'Model Setup'!$M$7,$AD14:$BA14)+'Model Setup'!$M$8*(SUMIF($BH$3:$CE$3,"&lt;"&amp;$DF14,$AD14:$BA14)+SUMIF($BH$3:$CE$3,"&gt;"&amp;$CW$4,$AD14:$BA14)),
IF(BS$3=$DF14+'Model Setup'!$N$7,SUMIF($BH$3:$CE$3,"="&amp;$DF14+'Model Setup'!$N$7,$AD14:$BA14)+'Model Setup'!$N$8*(SUMIF($BH$3:$CE$3,"&lt;"&amp;$DF14,$AD14:$BA14)+SUMIF($BH$3:$CE$3,"&gt;"&amp;$CW$4,$AD14:$BA14)),
IF(BS$3&lt;$CW$4,M14,0))))))))))))))),0)</f>
        <v>202</v>
      </c>
      <c r="BT14" s="47">
        <f>ROUND(IF(OR(BT$3&lt;$DF14,BT$3&gt;$CW$4),0,
IF(BT$3=$DF14+'Model Setup'!$B$7,SUMIF($BH$3:$CE$3,"="&amp;$DF14+'Model Setup'!$B$7,$AD14:$BA14)+'Model Setup'!$B$8*(SUMIF($BH$3:$CE$3,"&lt;"&amp;$DF14,$AD14:$BA14)+SUMIF($BH$3:$CE$3,"&gt;"&amp;$CW$4,$AD14:$BA14)),
IF(BT$3=$DF14+'Model Setup'!$C$7,SUMIF($BH$3:$CE$3,"="&amp;$DF14+'Model Setup'!$C$7,$AD14:$BA14)+'Model Setup'!$C$8*(SUMIF($BH$3:$CE$3,"&lt;"&amp;$DF14,$AD14:$BA14)+SUMIF($BH$3:$CE$3,"&gt;"&amp;$CW$4,$AD14:$BA14)),
IF(BT$3=$DF14+'Model Setup'!$D$7,SUMIF($BH$3:$CE$3,"="&amp;$DF14+'Model Setup'!$D$7,$AD14:$BA14)+'Model Setup'!$D$8*(SUMIF($BH$3:$CE$3,"&lt;"&amp;$DF14,$AD14:$BA14)+SUMIF($BH$3:$CE$3,"&gt;"&amp;$CW$4,$AD14:$BA14)),
IF(BT$3=$DF14+'Model Setup'!$E$7,SUMIF($BH$3:$CE$3,"="&amp;$DF14+'Model Setup'!$E$7,$AD14:$BA14)+'Model Setup'!$E$8*(SUMIF($BH$3:$CE$3,"&lt;"&amp;$DF14,$AD14:$BA14)+SUMIF($BH$3:$CE$3,"&gt;"&amp;$CW$4,$AD14:$BA14)),
IF(BT$3=$DF14+'Model Setup'!$F$7,SUMIF($BH$3:$CE$3,"="&amp;$DF14+'Model Setup'!$F$7,$AD14:$BA14)+'Model Setup'!$F$8*(SUMIF($BH$3:$CE$3,"&lt;"&amp;$DF14,$AD14:$BA14)+SUMIF($BH$3:$CE$3,"&gt;"&amp;$CW$4,$AD14:$BA14)),
IF(BT$3=$DF14+'Model Setup'!$G$7,SUMIF($BH$3:$CE$3,"="&amp;$DF14+'Model Setup'!$G$7,$AD14:$BA14)+'Model Setup'!$G$8*(SUMIF($BH$3:$CE$3,"&lt;"&amp;$DF14,$AD14:$BA14)+SUMIF($BH$3:$CE$3,"&gt;"&amp;$CW$4,$AD14:$BA14)),
IF(BT$3=$DF14+'Model Setup'!$H$7,SUMIF($BH$3:$CE$3,"="&amp;$DF14+'Model Setup'!$H$7,$AD14:$BA14)+'Model Setup'!$H$8*(SUMIF($BH$3:$CE$3,"&lt;"&amp;$DF14,$AD14:$BA14)+SUMIF($BH$3:$CE$3,"&gt;"&amp;$CW$4,$AD14:$BA14)),
IF(BT$3=$DF14+'Model Setup'!$I$7,SUMIF($BH$3:$CE$3,"="&amp;$DF14+'Model Setup'!$I$7,$AD14:$BA14)+'Model Setup'!$I$8*(SUMIF($BH$3:$CE$3,"&lt;"&amp;$DF14,$AD14:$BA14)+SUMIF($BH$3:$CE$3,"&gt;"&amp;$CW$4,$AD14:$BA14)),
IF(BT$3=$DF14+'Model Setup'!$J$7,SUMIF($BH$3:$CE$3,"="&amp;$DF14+'Model Setup'!$J$7,$AD14:$BA14)+'Model Setup'!$J$8*(SUMIF($BH$3:$CE$3,"&lt;"&amp;$DF14,$AD14:$BA14)+SUMIF($BH$3:$CE$3,"&gt;"&amp;$CW$4,$AD14:$BA14)),
IF(BT$3=$DF14+'Model Setup'!$K$7,SUMIF($BH$3:$CE$3,"="&amp;$DF14+'Model Setup'!$K$7,$AD14:$BA14)+'Model Setup'!$K$8*(SUMIF($BH$3:$CE$3,"&lt;"&amp;$DF14,$AD14:$BA14)+SUMIF($BH$3:$CE$3,"&gt;"&amp;$CW$4,$AD14:$BA14)),
IF(BT$3=$DF14+'Model Setup'!$L$7,SUMIF($BH$3:$CE$3,"="&amp;$DF14+'Model Setup'!$L$7,$AD14:$BA14)+'Model Setup'!$L$8*(SUMIF($BH$3:$CE$3,"&lt;"&amp;$DF14,$AD14:$BA14)+SUMIF($BH$3:$CE$3,"&gt;"&amp;$CW$4,$AD14:$BA14)),
IF(BT$3=$DF14+'Model Setup'!$M$7,SUMIF($BH$3:$CE$3,"="&amp;$DF14+'Model Setup'!$M$7,$AD14:$BA14)+'Model Setup'!$M$8*(SUMIF($BH$3:$CE$3,"&lt;"&amp;$DF14,$AD14:$BA14)+SUMIF($BH$3:$CE$3,"&gt;"&amp;$CW$4,$AD14:$BA14)),
IF(BT$3=$DF14+'Model Setup'!$N$7,SUMIF($BH$3:$CE$3,"="&amp;$DF14+'Model Setup'!$N$7,$AD14:$BA14)+'Model Setup'!$N$8*(SUMIF($BH$3:$CE$3,"&lt;"&amp;$DF14,$AD14:$BA14)+SUMIF($BH$3:$CE$3,"&gt;"&amp;$CW$4,$AD14:$BA14)),
IF(BT$3&lt;$CW$4,N14,0))))))))))))))),0)</f>
        <v>170</v>
      </c>
      <c r="BU14" s="47">
        <f>ROUND(IF(OR(BU$3&lt;$DF14,BU$3&gt;$CW$4),0,
IF(BU$3=$DF14+'Model Setup'!$B$7,SUMIF($BH$3:$CE$3,"="&amp;$DF14+'Model Setup'!$B$7,$AD14:$BA14)+'Model Setup'!$B$8*(SUMIF($BH$3:$CE$3,"&lt;"&amp;$DF14,$AD14:$BA14)+SUMIF($BH$3:$CE$3,"&gt;"&amp;$CW$4,$AD14:$BA14)),
IF(BU$3=$DF14+'Model Setup'!$C$7,SUMIF($BH$3:$CE$3,"="&amp;$DF14+'Model Setup'!$C$7,$AD14:$BA14)+'Model Setup'!$C$8*(SUMIF($BH$3:$CE$3,"&lt;"&amp;$DF14,$AD14:$BA14)+SUMIF($BH$3:$CE$3,"&gt;"&amp;$CW$4,$AD14:$BA14)),
IF(BU$3=$DF14+'Model Setup'!$D$7,SUMIF($BH$3:$CE$3,"="&amp;$DF14+'Model Setup'!$D$7,$AD14:$BA14)+'Model Setup'!$D$8*(SUMIF($BH$3:$CE$3,"&lt;"&amp;$DF14,$AD14:$BA14)+SUMIF($BH$3:$CE$3,"&gt;"&amp;$CW$4,$AD14:$BA14)),
IF(BU$3=$DF14+'Model Setup'!$E$7,SUMIF($BH$3:$CE$3,"="&amp;$DF14+'Model Setup'!$E$7,$AD14:$BA14)+'Model Setup'!$E$8*(SUMIF($BH$3:$CE$3,"&lt;"&amp;$DF14,$AD14:$BA14)+SUMIF($BH$3:$CE$3,"&gt;"&amp;$CW$4,$AD14:$BA14)),
IF(BU$3=$DF14+'Model Setup'!$F$7,SUMIF($BH$3:$CE$3,"="&amp;$DF14+'Model Setup'!$F$7,$AD14:$BA14)+'Model Setup'!$F$8*(SUMIF($BH$3:$CE$3,"&lt;"&amp;$DF14,$AD14:$BA14)+SUMIF($BH$3:$CE$3,"&gt;"&amp;$CW$4,$AD14:$BA14)),
IF(BU$3=$DF14+'Model Setup'!$G$7,SUMIF($BH$3:$CE$3,"="&amp;$DF14+'Model Setup'!$G$7,$AD14:$BA14)+'Model Setup'!$G$8*(SUMIF($BH$3:$CE$3,"&lt;"&amp;$DF14,$AD14:$BA14)+SUMIF($BH$3:$CE$3,"&gt;"&amp;$CW$4,$AD14:$BA14)),
IF(BU$3=$DF14+'Model Setup'!$H$7,SUMIF($BH$3:$CE$3,"="&amp;$DF14+'Model Setup'!$H$7,$AD14:$BA14)+'Model Setup'!$H$8*(SUMIF($BH$3:$CE$3,"&lt;"&amp;$DF14,$AD14:$BA14)+SUMIF($BH$3:$CE$3,"&gt;"&amp;$CW$4,$AD14:$BA14)),
IF(BU$3=$DF14+'Model Setup'!$I$7,SUMIF($BH$3:$CE$3,"="&amp;$DF14+'Model Setup'!$I$7,$AD14:$BA14)+'Model Setup'!$I$8*(SUMIF($BH$3:$CE$3,"&lt;"&amp;$DF14,$AD14:$BA14)+SUMIF($BH$3:$CE$3,"&gt;"&amp;$CW$4,$AD14:$BA14)),
IF(BU$3=$DF14+'Model Setup'!$J$7,SUMIF($BH$3:$CE$3,"="&amp;$DF14+'Model Setup'!$J$7,$AD14:$BA14)+'Model Setup'!$J$8*(SUMIF($BH$3:$CE$3,"&lt;"&amp;$DF14,$AD14:$BA14)+SUMIF($BH$3:$CE$3,"&gt;"&amp;$CW$4,$AD14:$BA14)),
IF(BU$3=$DF14+'Model Setup'!$K$7,SUMIF($BH$3:$CE$3,"="&amp;$DF14+'Model Setup'!$K$7,$AD14:$BA14)+'Model Setup'!$K$8*(SUMIF($BH$3:$CE$3,"&lt;"&amp;$DF14,$AD14:$BA14)+SUMIF($BH$3:$CE$3,"&gt;"&amp;$CW$4,$AD14:$BA14)),
IF(BU$3=$DF14+'Model Setup'!$L$7,SUMIF($BH$3:$CE$3,"="&amp;$DF14+'Model Setup'!$L$7,$AD14:$BA14)+'Model Setup'!$L$8*(SUMIF($BH$3:$CE$3,"&lt;"&amp;$DF14,$AD14:$BA14)+SUMIF($BH$3:$CE$3,"&gt;"&amp;$CW$4,$AD14:$BA14)),
IF(BU$3=$DF14+'Model Setup'!$M$7,SUMIF($BH$3:$CE$3,"="&amp;$DF14+'Model Setup'!$M$7,$AD14:$BA14)+'Model Setup'!$M$8*(SUMIF($BH$3:$CE$3,"&lt;"&amp;$DF14,$AD14:$BA14)+SUMIF($BH$3:$CE$3,"&gt;"&amp;$CW$4,$AD14:$BA14)),
IF(BU$3=$DF14+'Model Setup'!$N$7,SUMIF($BH$3:$CE$3,"="&amp;$DF14+'Model Setup'!$N$7,$AD14:$BA14)+'Model Setup'!$N$8*(SUMIF($BH$3:$CE$3,"&lt;"&amp;$DF14,$AD14:$BA14)+SUMIF($BH$3:$CE$3,"&gt;"&amp;$CW$4,$AD14:$BA14)),
IF(BU$3&lt;$CW$4,O14,0))))))))))))))),0)</f>
        <v>148</v>
      </c>
      <c r="BV14" s="47">
        <f>ROUND(IF(OR(BV$3&lt;$DF14,BV$3&gt;$CW$4),0,
IF(BV$3=$DF14+'Model Setup'!$B$7,SUMIF($BH$3:$CE$3,"="&amp;$DF14+'Model Setup'!$B$7,$AD14:$BA14)+'Model Setup'!$B$8*(SUMIF($BH$3:$CE$3,"&lt;"&amp;$DF14,$AD14:$BA14)+SUMIF($BH$3:$CE$3,"&gt;"&amp;$CW$4,$AD14:$BA14)),
IF(BV$3=$DF14+'Model Setup'!$C$7,SUMIF($BH$3:$CE$3,"="&amp;$DF14+'Model Setup'!$C$7,$AD14:$BA14)+'Model Setup'!$C$8*(SUMIF($BH$3:$CE$3,"&lt;"&amp;$DF14,$AD14:$BA14)+SUMIF($BH$3:$CE$3,"&gt;"&amp;$CW$4,$AD14:$BA14)),
IF(BV$3=$DF14+'Model Setup'!$D$7,SUMIF($BH$3:$CE$3,"="&amp;$DF14+'Model Setup'!$D$7,$AD14:$BA14)+'Model Setup'!$D$8*(SUMIF($BH$3:$CE$3,"&lt;"&amp;$DF14,$AD14:$BA14)+SUMIF($BH$3:$CE$3,"&gt;"&amp;$CW$4,$AD14:$BA14)),
IF(BV$3=$DF14+'Model Setup'!$E$7,SUMIF($BH$3:$CE$3,"="&amp;$DF14+'Model Setup'!$E$7,$AD14:$BA14)+'Model Setup'!$E$8*(SUMIF($BH$3:$CE$3,"&lt;"&amp;$DF14,$AD14:$BA14)+SUMIF($BH$3:$CE$3,"&gt;"&amp;$CW$4,$AD14:$BA14)),
IF(BV$3=$DF14+'Model Setup'!$F$7,SUMIF($BH$3:$CE$3,"="&amp;$DF14+'Model Setup'!$F$7,$AD14:$BA14)+'Model Setup'!$F$8*(SUMIF($BH$3:$CE$3,"&lt;"&amp;$DF14,$AD14:$BA14)+SUMIF($BH$3:$CE$3,"&gt;"&amp;$CW$4,$AD14:$BA14)),
IF(BV$3=$DF14+'Model Setup'!$G$7,SUMIF($BH$3:$CE$3,"="&amp;$DF14+'Model Setup'!$G$7,$AD14:$BA14)+'Model Setup'!$G$8*(SUMIF($BH$3:$CE$3,"&lt;"&amp;$DF14,$AD14:$BA14)+SUMIF($BH$3:$CE$3,"&gt;"&amp;$CW$4,$AD14:$BA14)),
IF(BV$3=$DF14+'Model Setup'!$H$7,SUMIF($BH$3:$CE$3,"="&amp;$DF14+'Model Setup'!$H$7,$AD14:$BA14)+'Model Setup'!$H$8*(SUMIF($BH$3:$CE$3,"&lt;"&amp;$DF14,$AD14:$BA14)+SUMIF($BH$3:$CE$3,"&gt;"&amp;$CW$4,$AD14:$BA14)),
IF(BV$3=$DF14+'Model Setup'!$I$7,SUMIF($BH$3:$CE$3,"="&amp;$DF14+'Model Setup'!$I$7,$AD14:$BA14)+'Model Setup'!$I$8*(SUMIF($BH$3:$CE$3,"&lt;"&amp;$DF14,$AD14:$BA14)+SUMIF($BH$3:$CE$3,"&gt;"&amp;$CW$4,$AD14:$BA14)),
IF(BV$3=$DF14+'Model Setup'!$J$7,SUMIF($BH$3:$CE$3,"="&amp;$DF14+'Model Setup'!$J$7,$AD14:$BA14)+'Model Setup'!$J$8*(SUMIF($BH$3:$CE$3,"&lt;"&amp;$DF14,$AD14:$BA14)+SUMIF($BH$3:$CE$3,"&gt;"&amp;$CW$4,$AD14:$BA14)),
IF(BV$3=$DF14+'Model Setup'!$K$7,SUMIF($BH$3:$CE$3,"="&amp;$DF14+'Model Setup'!$K$7,$AD14:$BA14)+'Model Setup'!$K$8*(SUMIF($BH$3:$CE$3,"&lt;"&amp;$DF14,$AD14:$BA14)+SUMIF($BH$3:$CE$3,"&gt;"&amp;$CW$4,$AD14:$BA14)),
IF(BV$3=$DF14+'Model Setup'!$L$7,SUMIF($BH$3:$CE$3,"="&amp;$DF14+'Model Setup'!$L$7,$AD14:$BA14)+'Model Setup'!$L$8*(SUMIF($BH$3:$CE$3,"&lt;"&amp;$DF14,$AD14:$BA14)+SUMIF($BH$3:$CE$3,"&gt;"&amp;$CW$4,$AD14:$BA14)),
IF(BV$3=$DF14+'Model Setup'!$M$7,SUMIF($BH$3:$CE$3,"="&amp;$DF14+'Model Setup'!$M$7,$AD14:$BA14)+'Model Setup'!$M$8*(SUMIF($BH$3:$CE$3,"&lt;"&amp;$DF14,$AD14:$BA14)+SUMIF($BH$3:$CE$3,"&gt;"&amp;$CW$4,$AD14:$BA14)),
IF(BV$3=$DF14+'Model Setup'!$N$7,SUMIF($BH$3:$CE$3,"="&amp;$DF14+'Model Setup'!$N$7,$AD14:$BA14)+'Model Setup'!$N$8*(SUMIF($BH$3:$CE$3,"&lt;"&amp;$DF14,$AD14:$BA14)+SUMIF($BH$3:$CE$3,"&gt;"&amp;$CW$4,$AD14:$BA14)),
IF(BV$3&lt;$CW$4,P14,0))))))))))))))),0)</f>
        <v>115</v>
      </c>
      <c r="BW14" s="47">
        <f>ROUND(IF(OR(BW$3&lt;$DF14,BW$3&gt;$CW$4),0,
IF(BW$3=$DF14+'Model Setup'!$B$7,SUMIF($BH$3:$CE$3,"="&amp;$DF14+'Model Setup'!$B$7,$AD14:$BA14)+'Model Setup'!$B$8*(SUMIF($BH$3:$CE$3,"&lt;"&amp;$DF14,$AD14:$BA14)+SUMIF($BH$3:$CE$3,"&gt;"&amp;$CW$4,$AD14:$BA14)),
IF(BW$3=$DF14+'Model Setup'!$C$7,SUMIF($BH$3:$CE$3,"="&amp;$DF14+'Model Setup'!$C$7,$AD14:$BA14)+'Model Setup'!$C$8*(SUMIF($BH$3:$CE$3,"&lt;"&amp;$DF14,$AD14:$BA14)+SUMIF($BH$3:$CE$3,"&gt;"&amp;$CW$4,$AD14:$BA14)),
IF(BW$3=$DF14+'Model Setup'!$D$7,SUMIF($BH$3:$CE$3,"="&amp;$DF14+'Model Setup'!$D$7,$AD14:$BA14)+'Model Setup'!$D$8*(SUMIF($BH$3:$CE$3,"&lt;"&amp;$DF14,$AD14:$BA14)+SUMIF($BH$3:$CE$3,"&gt;"&amp;$CW$4,$AD14:$BA14)),
IF(BW$3=$DF14+'Model Setup'!$E$7,SUMIF($BH$3:$CE$3,"="&amp;$DF14+'Model Setup'!$E$7,$AD14:$BA14)+'Model Setup'!$E$8*(SUMIF($BH$3:$CE$3,"&lt;"&amp;$DF14,$AD14:$BA14)+SUMIF($BH$3:$CE$3,"&gt;"&amp;$CW$4,$AD14:$BA14)),
IF(BW$3=$DF14+'Model Setup'!$F$7,SUMIF($BH$3:$CE$3,"="&amp;$DF14+'Model Setup'!$F$7,$AD14:$BA14)+'Model Setup'!$F$8*(SUMIF($BH$3:$CE$3,"&lt;"&amp;$DF14,$AD14:$BA14)+SUMIF($BH$3:$CE$3,"&gt;"&amp;$CW$4,$AD14:$BA14)),
IF(BW$3=$DF14+'Model Setup'!$G$7,SUMIF($BH$3:$CE$3,"="&amp;$DF14+'Model Setup'!$G$7,$AD14:$BA14)+'Model Setup'!$G$8*(SUMIF($BH$3:$CE$3,"&lt;"&amp;$DF14,$AD14:$BA14)+SUMIF($BH$3:$CE$3,"&gt;"&amp;$CW$4,$AD14:$BA14)),
IF(BW$3=$DF14+'Model Setup'!$H$7,SUMIF($BH$3:$CE$3,"="&amp;$DF14+'Model Setup'!$H$7,$AD14:$BA14)+'Model Setup'!$H$8*(SUMIF($BH$3:$CE$3,"&lt;"&amp;$DF14,$AD14:$BA14)+SUMIF($BH$3:$CE$3,"&gt;"&amp;$CW$4,$AD14:$BA14)),
IF(BW$3=$DF14+'Model Setup'!$I$7,SUMIF($BH$3:$CE$3,"="&amp;$DF14+'Model Setup'!$I$7,$AD14:$BA14)+'Model Setup'!$I$8*(SUMIF($BH$3:$CE$3,"&lt;"&amp;$DF14,$AD14:$BA14)+SUMIF($BH$3:$CE$3,"&gt;"&amp;$CW$4,$AD14:$BA14)),
IF(BW$3=$DF14+'Model Setup'!$J$7,SUMIF($BH$3:$CE$3,"="&amp;$DF14+'Model Setup'!$J$7,$AD14:$BA14)+'Model Setup'!$J$8*(SUMIF($BH$3:$CE$3,"&lt;"&amp;$DF14,$AD14:$BA14)+SUMIF($BH$3:$CE$3,"&gt;"&amp;$CW$4,$AD14:$BA14)),
IF(BW$3=$DF14+'Model Setup'!$K$7,SUMIF($BH$3:$CE$3,"="&amp;$DF14+'Model Setup'!$K$7,$AD14:$BA14)+'Model Setup'!$K$8*(SUMIF($BH$3:$CE$3,"&lt;"&amp;$DF14,$AD14:$BA14)+SUMIF($BH$3:$CE$3,"&gt;"&amp;$CW$4,$AD14:$BA14)),
IF(BW$3=$DF14+'Model Setup'!$L$7,SUMIF($BH$3:$CE$3,"="&amp;$DF14+'Model Setup'!$L$7,$AD14:$BA14)+'Model Setup'!$L$8*(SUMIF($BH$3:$CE$3,"&lt;"&amp;$DF14,$AD14:$BA14)+SUMIF($BH$3:$CE$3,"&gt;"&amp;$CW$4,$AD14:$BA14)),
IF(BW$3=$DF14+'Model Setup'!$M$7,SUMIF($BH$3:$CE$3,"="&amp;$DF14+'Model Setup'!$M$7,$AD14:$BA14)+'Model Setup'!$M$8*(SUMIF($BH$3:$CE$3,"&lt;"&amp;$DF14,$AD14:$BA14)+SUMIF($BH$3:$CE$3,"&gt;"&amp;$CW$4,$AD14:$BA14)),
IF(BW$3=$DF14+'Model Setup'!$N$7,SUMIF($BH$3:$CE$3,"="&amp;$DF14+'Model Setup'!$N$7,$AD14:$BA14)+'Model Setup'!$N$8*(SUMIF($BH$3:$CE$3,"&lt;"&amp;$DF14,$AD14:$BA14)+SUMIF($BH$3:$CE$3,"&gt;"&amp;$CW$4,$AD14:$BA14)),
IF(BW$3&lt;$CW$4,Q14,0))))))))))))))),0)</f>
        <v>146</v>
      </c>
      <c r="BX14" s="47">
        <f>ROUND(IF(OR(BX$3&lt;$DF14,BX$3&gt;$CW$4),0,
IF(BX$3=$DF14+'Model Setup'!$B$7,SUMIF($BH$3:$CE$3,"="&amp;$DF14+'Model Setup'!$B$7,$AD14:$BA14)+'Model Setup'!$B$8*(SUMIF($BH$3:$CE$3,"&lt;"&amp;$DF14,$AD14:$BA14)+SUMIF($BH$3:$CE$3,"&gt;"&amp;$CW$4,$AD14:$BA14)),
IF(BX$3=$DF14+'Model Setup'!$C$7,SUMIF($BH$3:$CE$3,"="&amp;$DF14+'Model Setup'!$C$7,$AD14:$BA14)+'Model Setup'!$C$8*(SUMIF($BH$3:$CE$3,"&lt;"&amp;$DF14,$AD14:$BA14)+SUMIF($BH$3:$CE$3,"&gt;"&amp;$CW$4,$AD14:$BA14)),
IF(BX$3=$DF14+'Model Setup'!$D$7,SUMIF($BH$3:$CE$3,"="&amp;$DF14+'Model Setup'!$D$7,$AD14:$BA14)+'Model Setup'!$D$8*(SUMIF($BH$3:$CE$3,"&lt;"&amp;$DF14,$AD14:$BA14)+SUMIF($BH$3:$CE$3,"&gt;"&amp;$CW$4,$AD14:$BA14)),
IF(BX$3=$DF14+'Model Setup'!$E$7,SUMIF($BH$3:$CE$3,"="&amp;$DF14+'Model Setup'!$E$7,$AD14:$BA14)+'Model Setup'!$E$8*(SUMIF($BH$3:$CE$3,"&lt;"&amp;$DF14,$AD14:$BA14)+SUMIF($BH$3:$CE$3,"&gt;"&amp;$CW$4,$AD14:$BA14)),
IF(BX$3=$DF14+'Model Setup'!$F$7,SUMIF($BH$3:$CE$3,"="&amp;$DF14+'Model Setup'!$F$7,$AD14:$BA14)+'Model Setup'!$F$8*(SUMIF($BH$3:$CE$3,"&lt;"&amp;$DF14,$AD14:$BA14)+SUMIF($BH$3:$CE$3,"&gt;"&amp;$CW$4,$AD14:$BA14)),
IF(BX$3=$DF14+'Model Setup'!$G$7,SUMIF($BH$3:$CE$3,"="&amp;$DF14+'Model Setup'!$G$7,$AD14:$BA14)+'Model Setup'!$G$8*(SUMIF($BH$3:$CE$3,"&lt;"&amp;$DF14,$AD14:$BA14)+SUMIF($BH$3:$CE$3,"&gt;"&amp;$CW$4,$AD14:$BA14)),
IF(BX$3=$DF14+'Model Setup'!$H$7,SUMIF($BH$3:$CE$3,"="&amp;$DF14+'Model Setup'!$H$7,$AD14:$BA14)+'Model Setup'!$H$8*(SUMIF($BH$3:$CE$3,"&lt;"&amp;$DF14,$AD14:$BA14)+SUMIF($BH$3:$CE$3,"&gt;"&amp;$CW$4,$AD14:$BA14)),
IF(BX$3=$DF14+'Model Setup'!$I$7,SUMIF($BH$3:$CE$3,"="&amp;$DF14+'Model Setup'!$I$7,$AD14:$BA14)+'Model Setup'!$I$8*(SUMIF($BH$3:$CE$3,"&lt;"&amp;$DF14,$AD14:$BA14)+SUMIF($BH$3:$CE$3,"&gt;"&amp;$CW$4,$AD14:$BA14)),
IF(BX$3=$DF14+'Model Setup'!$J$7,SUMIF($BH$3:$CE$3,"="&amp;$DF14+'Model Setup'!$J$7,$AD14:$BA14)+'Model Setup'!$J$8*(SUMIF($BH$3:$CE$3,"&lt;"&amp;$DF14,$AD14:$BA14)+SUMIF($BH$3:$CE$3,"&gt;"&amp;$CW$4,$AD14:$BA14)),
IF(BX$3=$DF14+'Model Setup'!$K$7,SUMIF($BH$3:$CE$3,"="&amp;$DF14+'Model Setup'!$K$7,$AD14:$BA14)+'Model Setup'!$K$8*(SUMIF($BH$3:$CE$3,"&lt;"&amp;$DF14,$AD14:$BA14)+SUMIF($BH$3:$CE$3,"&gt;"&amp;$CW$4,$AD14:$BA14)),
IF(BX$3=$DF14+'Model Setup'!$L$7,SUMIF($BH$3:$CE$3,"="&amp;$DF14+'Model Setup'!$L$7,$AD14:$BA14)+'Model Setup'!$L$8*(SUMIF($BH$3:$CE$3,"&lt;"&amp;$DF14,$AD14:$BA14)+SUMIF($BH$3:$CE$3,"&gt;"&amp;$CW$4,$AD14:$BA14)),
IF(BX$3=$DF14+'Model Setup'!$M$7,SUMIF($BH$3:$CE$3,"="&amp;$DF14+'Model Setup'!$M$7,$AD14:$BA14)+'Model Setup'!$M$8*(SUMIF($BH$3:$CE$3,"&lt;"&amp;$DF14,$AD14:$BA14)+SUMIF($BH$3:$CE$3,"&gt;"&amp;$CW$4,$AD14:$BA14)),
IF(BX$3=$DF14+'Model Setup'!$N$7,SUMIF($BH$3:$CE$3,"="&amp;$DF14+'Model Setup'!$N$7,$AD14:$BA14)+'Model Setup'!$N$8*(SUMIF($BH$3:$CE$3,"&lt;"&amp;$DF14,$AD14:$BA14)+SUMIF($BH$3:$CE$3,"&gt;"&amp;$CW$4,$AD14:$BA14)),
IF(BX$3&lt;$CW$4,R14,0))))))))))))))),0)</f>
        <v>152</v>
      </c>
      <c r="BY14" s="47">
        <f>ROUND(IF(OR(BY$3&lt;$DF14,BY$3&gt;$CW$4),0,
IF(BY$3=$DF14+'Model Setup'!$B$7,SUMIF($BH$3:$CE$3,"="&amp;$DF14+'Model Setup'!$B$7,$AD14:$BA14)+'Model Setup'!$B$8*(SUMIF($BH$3:$CE$3,"&lt;"&amp;$DF14,$AD14:$BA14)+SUMIF($BH$3:$CE$3,"&gt;"&amp;$CW$4,$AD14:$BA14)),
IF(BY$3=$DF14+'Model Setup'!$C$7,SUMIF($BH$3:$CE$3,"="&amp;$DF14+'Model Setup'!$C$7,$AD14:$BA14)+'Model Setup'!$C$8*(SUMIF($BH$3:$CE$3,"&lt;"&amp;$DF14,$AD14:$BA14)+SUMIF($BH$3:$CE$3,"&gt;"&amp;$CW$4,$AD14:$BA14)),
IF(BY$3=$DF14+'Model Setup'!$D$7,SUMIF($BH$3:$CE$3,"="&amp;$DF14+'Model Setup'!$D$7,$AD14:$BA14)+'Model Setup'!$D$8*(SUMIF($BH$3:$CE$3,"&lt;"&amp;$DF14,$AD14:$BA14)+SUMIF($BH$3:$CE$3,"&gt;"&amp;$CW$4,$AD14:$BA14)),
IF(BY$3=$DF14+'Model Setup'!$E$7,SUMIF($BH$3:$CE$3,"="&amp;$DF14+'Model Setup'!$E$7,$AD14:$BA14)+'Model Setup'!$E$8*(SUMIF($BH$3:$CE$3,"&lt;"&amp;$DF14,$AD14:$BA14)+SUMIF($BH$3:$CE$3,"&gt;"&amp;$CW$4,$AD14:$BA14)),
IF(BY$3=$DF14+'Model Setup'!$F$7,SUMIF($BH$3:$CE$3,"="&amp;$DF14+'Model Setup'!$F$7,$AD14:$BA14)+'Model Setup'!$F$8*(SUMIF($BH$3:$CE$3,"&lt;"&amp;$DF14,$AD14:$BA14)+SUMIF($BH$3:$CE$3,"&gt;"&amp;$CW$4,$AD14:$BA14)),
IF(BY$3=$DF14+'Model Setup'!$G$7,SUMIF($BH$3:$CE$3,"="&amp;$DF14+'Model Setup'!$G$7,$AD14:$BA14)+'Model Setup'!$G$8*(SUMIF($BH$3:$CE$3,"&lt;"&amp;$DF14,$AD14:$BA14)+SUMIF($BH$3:$CE$3,"&gt;"&amp;$CW$4,$AD14:$BA14)),
IF(BY$3=$DF14+'Model Setup'!$H$7,SUMIF($BH$3:$CE$3,"="&amp;$DF14+'Model Setup'!$H$7,$AD14:$BA14)+'Model Setup'!$H$8*(SUMIF($BH$3:$CE$3,"&lt;"&amp;$DF14,$AD14:$BA14)+SUMIF($BH$3:$CE$3,"&gt;"&amp;$CW$4,$AD14:$BA14)),
IF(BY$3=$DF14+'Model Setup'!$I$7,SUMIF($BH$3:$CE$3,"="&amp;$DF14+'Model Setup'!$I$7,$AD14:$BA14)+'Model Setup'!$I$8*(SUMIF($BH$3:$CE$3,"&lt;"&amp;$DF14,$AD14:$BA14)+SUMIF($BH$3:$CE$3,"&gt;"&amp;$CW$4,$AD14:$BA14)),
IF(BY$3=$DF14+'Model Setup'!$J$7,SUMIF($BH$3:$CE$3,"="&amp;$DF14+'Model Setup'!$J$7,$AD14:$BA14)+'Model Setup'!$J$8*(SUMIF($BH$3:$CE$3,"&lt;"&amp;$DF14,$AD14:$BA14)+SUMIF($BH$3:$CE$3,"&gt;"&amp;$CW$4,$AD14:$BA14)),
IF(BY$3=$DF14+'Model Setup'!$K$7,SUMIF($BH$3:$CE$3,"="&amp;$DF14+'Model Setup'!$K$7,$AD14:$BA14)+'Model Setup'!$K$8*(SUMIF($BH$3:$CE$3,"&lt;"&amp;$DF14,$AD14:$BA14)+SUMIF($BH$3:$CE$3,"&gt;"&amp;$CW$4,$AD14:$BA14)),
IF(BY$3=$DF14+'Model Setup'!$L$7,SUMIF($BH$3:$CE$3,"="&amp;$DF14+'Model Setup'!$L$7,$AD14:$BA14)+'Model Setup'!$L$8*(SUMIF($BH$3:$CE$3,"&lt;"&amp;$DF14,$AD14:$BA14)+SUMIF($BH$3:$CE$3,"&gt;"&amp;$CW$4,$AD14:$BA14)),
IF(BY$3=$DF14+'Model Setup'!$M$7,SUMIF($BH$3:$CE$3,"="&amp;$DF14+'Model Setup'!$M$7,$AD14:$BA14)+'Model Setup'!$M$8*(SUMIF($BH$3:$CE$3,"&lt;"&amp;$DF14,$AD14:$BA14)+SUMIF($BH$3:$CE$3,"&gt;"&amp;$CW$4,$AD14:$BA14)),
IF(BY$3=$DF14+'Model Setup'!$N$7,SUMIF($BH$3:$CE$3,"="&amp;$DF14+'Model Setup'!$N$7,$AD14:$BA14)+'Model Setup'!$N$8*(SUMIF($BH$3:$CE$3,"&lt;"&amp;$DF14,$AD14:$BA14)+SUMIF($BH$3:$CE$3,"&gt;"&amp;$CW$4,$AD14:$BA14)),
IF(BY$3&lt;$CW$4,S14,0))))))))))))))),0)</f>
        <v>123</v>
      </c>
      <c r="BZ14" s="47">
        <f>ROUND(IF(OR(BZ$3&lt;$DF14,BZ$3&gt;$CW$4),0,
IF(BZ$3=$DF14+'Model Setup'!$B$7,SUMIF($BH$3:$CE$3,"="&amp;$DF14+'Model Setup'!$B$7,$AD14:$BA14)+'Model Setup'!$B$8*(SUMIF($BH$3:$CE$3,"&lt;"&amp;$DF14,$AD14:$BA14)+SUMIF($BH$3:$CE$3,"&gt;"&amp;$CW$4,$AD14:$BA14)),
IF(BZ$3=$DF14+'Model Setup'!$C$7,SUMIF($BH$3:$CE$3,"="&amp;$DF14+'Model Setup'!$C$7,$AD14:$BA14)+'Model Setup'!$C$8*(SUMIF($BH$3:$CE$3,"&lt;"&amp;$DF14,$AD14:$BA14)+SUMIF($BH$3:$CE$3,"&gt;"&amp;$CW$4,$AD14:$BA14)),
IF(BZ$3=$DF14+'Model Setup'!$D$7,SUMIF($BH$3:$CE$3,"="&amp;$DF14+'Model Setup'!$D$7,$AD14:$BA14)+'Model Setup'!$D$8*(SUMIF($BH$3:$CE$3,"&lt;"&amp;$DF14,$AD14:$BA14)+SUMIF($BH$3:$CE$3,"&gt;"&amp;$CW$4,$AD14:$BA14)),
IF(BZ$3=$DF14+'Model Setup'!$E$7,SUMIF($BH$3:$CE$3,"="&amp;$DF14+'Model Setup'!$E$7,$AD14:$BA14)+'Model Setup'!$E$8*(SUMIF($BH$3:$CE$3,"&lt;"&amp;$DF14,$AD14:$BA14)+SUMIF($BH$3:$CE$3,"&gt;"&amp;$CW$4,$AD14:$BA14)),
IF(BZ$3=$DF14+'Model Setup'!$F$7,SUMIF($BH$3:$CE$3,"="&amp;$DF14+'Model Setup'!$F$7,$AD14:$BA14)+'Model Setup'!$F$8*(SUMIF($BH$3:$CE$3,"&lt;"&amp;$DF14,$AD14:$BA14)+SUMIF($BH$3:$CE$3,"&gt;"&amp;$CW$4,$AD14:$BA14)),
IF(BZ$3=$DF14+'Model Setup'!$G$7,SUMIF($BH$3:$CE$3,"="&amp;$DF14+'Model Setup'!$G$7,$AD14:$BA14)+'Model Setup'!$G$8*(SUMIF($BH$3:$CE$3,"&lt;"&amp;$DF14,$AD14:$BA14)+SUMIF($BH$3:$CE$3,"&gt;"&amp;$CW$4,$AD14:$BA14)),
IF(BZ$3=$DF14+'Model Setup'!$H$7,SUMIF($BH$3:$CE$3,"="&amp;$DF14+'Model Setup'!$H$7,$AD14:$BA14)+'Model Setup'!$H$8*(SUMIF($BH$3:$CE$3,"&lt;"&amp;$DF14,$AD14:$BA14)+SUMIF($BH$3:$CE$3,"&gt;"&amp;$CW$4,$AD14:$BA14)),
IF(BZ$3=$DF14+'Model Setup'!$I$7,SUMIF($BH$3:$CE$3,"="&amp;$DF14+'Model Setup'!$I$7,$AD14:$BA14)+'Model Setup'!$I$8*(SUMIF($BH$3:$CE$3,"&lt;"&amp;$DF14,$AD14:$BA14)+SUMIF($BH$3:$CE$3,"&gt;"&amp;$CW$4,$AD14:$BA14)),
IF(BZ$3=$DF14+'Model Setup'!$J$7,SUMIF($BH$3:$CE$3,"="&amp;$DF14+'Model Setup'!$J$7,$AD14:$BA14)+'Model Setup'!$J$8*(SUMIF($BH$3:$CE$3,"&lt;"&amp;$DF14,$AD14:$BA14)+SUMIF($BH$3:$CE$3,"&gt;"&amp;$CW$4,$AD14:$BA14)),
IF(BZ$3=$DF14+'Model Setup'!$K$7,SUMIF($BH$3:$CE$3,"="&amp;$DF14+'Model Setup'!$K$7,$AD14:$BA14)+'Model Setup'!$K$8*(SUMIF($BH$3:$CE$3,"&lt;"&amp;$DF14,$AD14:$BA14)+SUMIF($BH$3:$CE$3,"&gt;"&amp;$CW$4,$AD14:$BA14)),
IF(BZ$3=$DF14+'Model Setup'!$L$7,SUMIF($BH$3:$CE$3,"="&amp;$DF14+'Model Setup'!$L$7,$AD14:$BA14)+'Model Setup'!$L$8*(SUMIF($BH$3:$CE$3,"&lt;"&amp;$DF14,$AD14:$BA14)+SUMIF($BH$3:$CE$3,"&gt;"&amp;$CW$4,$AD14:$BA14)),
IF(BZ$3=$DF14+'Model Setup'!$M$7,SUMIF($BH$3:$CE$3,"="&amp;$DF14+'Model Setup'!$M$7,$AD14:$BA14)+'Model Setup'!$M$8*(SUMIF($BH$3:$CE$3,"&lt;"&amp;$DF14,$AD14:$BA14)+SUMIF($BH$3:$CE$3,"&gt;"&amp;$CW$4,$AD14:$BA14)),
IF(BZ$3=$DF14+'Model Setup'!$N$7,SUMIF($BH$3:$CE$3,"="&amp;$DF14+'Model Setup'!$N$7,$AD14:$BA14)+'Model Setup'!$N$8*(SUMIF($BH$3:$CE$3,"&lt;"&amp;$DF14,$AD14:$BA14)+SUMIF($BH$3:$CE$3,"&gt;"&amp;$CW$4,$AD14:$BA14)),
IF(BZ$3&lt;$CW$4,T14,0))))))))))))))),0)</f>
        <v>0</v>
      </c>
      <c r="CA14" s="47">
        <f>ROUND(IF(OR(CA$3&lt;$DF14,CA$3&gt;$CW$4),0,
IF(CA$3=$DF14+'Model Setup'!$B$7,SUMIF($BH$3:$CE$3,"="&amp;$DF14+'Model Setup'!$B$7,$AD14:$BA14)+'Model Setup'!$B$8*(SUMIF($BH$3:$CE$3,"&lt;"&amp;$DF14,$AD14:$BA14)+SUMIF($BH$3:$CE$3,"&gt;"&amp;$CW$4,$AD14:$BA14)),
IF(CA$3=$DF14+'Model Setup'!$C$7,SUMIF($BH$3:$CE$3,"="&amp;$DF14+'Model Setup'!$C$7,$AD14:$BA14)+'Model Setup'!$C$8*(SUMIF($BH$3:$CE$3,"&lt;"&amp;$DF14,$AD14:$BA14)+SUMIF($BH$3:$CE$3,"&gt;"&amp;$CW$4,$AD14:$BA14)),
IF(CA$3=$DF14+'Model Setup'!$D$7,SUMIF($BH$3:$CE$3,"="&amp;$DF14+'Model Setup'!$D$7,$AD14:$BA14)+'Model Setup'!$D$8*(SUMIF($BH$3:$CE$3,"&lt;"&amp;$DF14,$AD14:$BA14)+SUMIF($BH$3:$CE$3,"&gt;"&amp;$CW$4,$AD14:$BA14)),
IF(CA$3=$DF14+'Model Setup'!$E$7,SUMIF($BH$3:$CE$3,"="&amp;$DF14+'Model Setup'!$E$7,$AD14:$BA14)+'Model Setup'!$E$8*(SUMIF($BH$3:$CE$3,"&lt;"&amp;$DF14,$AD14:$BA14)+SUMIF($BH$3:$CE$3,"&gt;"&amp;$CW$4,$AD14:$BA14)),
IF(CA$3=$DF14+'Model Setup'!$F$7,SUMIF($BH$3:$CE$3,"="&amp;$DF14+'Model Setup'!$F$7,$AD14:$BA14)+'Model Setup'!$F$8*(SUMIF($BH$3:$CE$3,"&lt;"&amp;$DF14,$AD14:$BA14)+SUMIF($BH$3:$CE$3,"&gt;"&amp;$CW$4,$AD14:$BA14)),
IF(CA$3=$DF14+'Model Setup'!$G$7,SUMIF($BH$3:$CE$3,"="&amp;$DF14+'Model Setup'!$G$7,$AD14:$BA14)+'Model Setup'!$G$8*(SUMIF($BH$3:$CE$3,"&lt;"&amp;$DF14,$AD14:$BA14)+SUMIF($BH$3:$CE$3,"&gt;"&amp;$CW$4,$AD14:$BA14)),
IF(CA$3=$DF14+'Model Setup'!$H$7,SUMIF($BH$3:$CE$3,"="&amp;$DF14+'Model Setup'!$H$7,$AD14:$BA14)+'Model Setup'!$H$8*(SUMIF($BH$3:$CE$3,"&lt;"&amp;$DF14,$AD14:$BA14)+SUMIF($BH$3:$CE$3,"&gt;"&amp;$CW$4,$AD14:$BA14)),
IF(CA$3=$DF14+'Model Setup'!$I$7,SUMIF($BH$3:$CE$3,"="&amp;$DF14+'Model Setup'!$I$7,$AD14:$BA14)+'Model Setup'!$I$8*(SUMIF($BH$3:$CE$3,"&lt;"&amp;$DF14,$AD14:$BA14)+SUMIF($BH$3:$CE$3,"&gt;"&amp;$CW$4,$AD14:$BA14)),
IF(CA$3=$DF14+'Model Setup'!$J$7,SUMIF($BH$3:$CE$3,"="&amp;$DF14+'Model Setup'!$J$7,$AD14:$BA14)+'Model Setup'!$J$8*(SUMIF($BH$3:$CE$3,"&lt;"&amp;$DF14,$AD14:$BA14)+SUMIF($BH$3:$CE$3,"&gt;"&amp;$CW$4,$AD14:$BA14)),
IF(CA$3=$DF14+'Model Setup'!$K$7,SUMIF($BH$3:$CE$3,"="&amp;$DF14+'Model Setup'!$K$7,$AD14:$BA14)+'Model Setup'!$K$8*(SUMIF($BH$3:$CE$3,"&lt;"&amp;$DF14,$AD14:$BA14)+SUMIF($BH$3:$CE$3,"&gt;"&amp;$CW$4,$AD14:$BA14)),
IF(CA$3=$DF14+'Model Setup'!$L$7,SUMIF($BH$3:$CE$3,"="&amp;$DF14+'Model Setup'!$L$7,$AD14:$BA14)+'Model Setup'!$L$8*(SUMIF($BH$3:$CE$3,"&lt;"&amp;$DF14,$AD14:$BA14)+SUMIF($BH$3:$CE$3,"&gt;"&amp;$CW$4,$AD14:$BA14)),
IF(CA$3=$DF14+'Model Setup'!$M$7,SUMIF($BH$3:$CE$3,"="&amp;$DF14+'Model Setup'!$M$7,$AD14:$BA14)+'Model Setup'!$M$8*(SUMIF($BH$3:$CE$3,"&lt;"&amp;$DF14,$AD14:$BA14)+SUMIF($BH$3:$CE$3,"&gt;"&amp;$CW$4,$AD14:$BA14)),
IF(CA$3=$DF14+'Model Setup'!$N$7,SUMIF($BH$3:$CE$3,"="&amp;$DF14+'Model Setup'!$N$7,$AD14:$BA14)+'Model Setup'!$N$8*(SUMIF($BH$3:$CE$3,"&lt;"&amp;$DF14,$AD14:$BA14)+SUMIF($BH$3:$CE$3,"&gt;"&amp;$CW$4,$AD14:$BA14)),
IF(CA$3&lt;$CW$4,U14,0))))))))))))))),0)</f>
        <v>0</v>
      </c>
      <c r="CB14" s="47">
        <f>ROUND(IF(OR(CB$3&lt;$DF14,CB$3&gt;$CW$4),0,
IF(CB$3=$DF14+'Model Setup'!$B$7,SUMIF($BH$3:$CE$3,"="&amp;$DF14+'Model Setup'!$B$7,$AD14:$BA14)+'Model Setup'!$B$8*(SUMIF($BH$3:$CE$3,"&lt;"&amp;$DF14,$AD14:$BA14)+SUMIF($BH$3:$CE$3,"&gt;"&amp;$CW$4,$AD14:$BA14)),
IF(CB$3=$DF14+'Model Setup'!$C$7,SUMIF($BH$3:$CE$3,"="&amp;$DF14+'Model Setup'!$C$7,$AD14:$BA14)+'Model Setup'!$C$8*(SUMIF($BH$3:$CE$3,"&lt;"&amp;$DF14,$AD14:$BA14)+SUMIF($BH$3:$CE$3,"&gt;"&amp;$CW$4,$AD14:$BA14)),
IF(CB$3=$DF14+'Model Setup'!$D$7,SUMIF($BH$3:$CE$3,"="&amp;$DF14+'Model Setup'!$D$7,$AD14:$BA14)+'Model Setup'!$D$8*(SUMIF($BH$3:$CE$3,"&lt;"&amp;$DF14,$AD14:$BA14)+SUMIF($BH$3:$CE$3,"&gt;"&amp;$CW$4,$AD14:$BA14)),
IF(CB$3=$DF14+'Model Setup'!$E$7,SUMIF($BH$3:$CE$3,"="&amp;$DF14+'Model Setup'!$E$7,$AD14:$BA14)+'Model Setup'!$E$8*(SUMIF($BH$3:$CE$3,"&lt;"&amp;$DF14,$AD14:$BA14)+SUMIF($BH$3:$CE$3,"&gt;"&amp;$CW$4,$AD14:$BA14)),
IF(CB$3=$DF14+'Model Setup'!$F$7,SUMIF($BH$3:$CE$3,"="&amp;$DF14+'Model Setup'!$F$7,$AD14:$BA14)+'Model Setup'!$F$8*(SUMIF($BH$3:$CE$3,"&lt;"&amp;$DF14,$AD14:$BA14)+SUMIF($BH$3:$CE$3,"&gt;"&amp;$CW$4,$AD14:$BA14)),
IF(CB$3=$DF14+'Model Setup'!$G$7,SUMIF($BH$3:$CE$3,"="&amp;$DF14+'Model Setup'!$G$7,$AD14:$BA14)+'Model Setup'!$G$8*(SUMIF($BH$3:$CE$3,"&lt;"&amp;$DF14,$AD14:$BA14)+SUMIF($BH$3:$CE$3,"&gt;"&amp;$CW$4,$AD14:$BA14)),
IF(CB$3=$DF14+'Model Setup'!$H$7,SUMIF($BH$3:$CE$3,"="&amp;$DF14+'Model Setup'!$H$7,$AD14:$BA14)+'Model Setup'!$H$8*(SUMIF($BH$3:$CE$3,"&lt;"&amp;$DF14,$AD14:$BA14)+SUMIF($BH$3:$CE$3,"&gt;"&amp;$CW$4,$AD14:$BA14)),
IF(CB$3=$DF14+'Model Setup'!$I$7,SUMIF($BH$3:$CE$3,"="&amp;$DF14+'Model Setup'!$I$7,$AD14:$BA14)+'Model Setup'!$I$8*(SUMIF($BH$3:$CE$3,"&lt;"&amp;$DF14,$AD14:$BA14)+SUMIF($BH$3:$CE$3,"&gt;"&amp;$CW$4,$AD14:$BA14)),
IF(CB$3=$DF14+'Model Setup'!$J$7,SUMIF($BH$3:$CE$3,"="&amp;$DF14+'Model Setup'!$J$7,$AD14:$BA14)+'Model Setup'!$J$8*(SUMIF($BH$3:$CE$3,"&lt;"&amp;$DF14,$AD14:$BA14)+SUMIF($BH$3:$CE$3,"&gt;"&amp;$CW$4,$AD14:$BA14)),
IF(CB$3=$DF14+'Model Setup'!$K$7,SUMIF($BH$3:$CE$3,"="&amp;$DF14+'Model Setup'!$K$7,$AD14:$BA14)+'Model Setup'!$K$8*(SUMIF($BH$3:$CE$3,"&lt;"&amp;$DF14,$AD14:$BA14)+SUMIF($BH$3:$CE$3,"&gt;"&amp;$CW$4,$AD14:$BA14)),
IF(CB$3=$DF14+'Model Setup'!$L$7,SUMIF($BH$3:$CE$3,"="&amp;$DF14+'Model Setup'!$L$7,$AD14:$BA14)+'Model Setup'!$L$8*(SUMIF($BH$3:$CE$3,"&lt;"&amp;$DF14,$AD14:$BA14)+SUMIF($BH$3:$CE$3,"&gt;"&amp;$CW$4,$AD14:$BA14)),
IF(CB$3=$DF14+'Model Setup'!$M$7,SUMIF($BH$3:$CE$3,"="&amp;$DF14+'Model Setup'!$M$7,$AD14:$BA14)+'Model Setup'!$M$8*(SUMIF($BH$3:$CE$3,"&lt;"&amp;$DF14,$AD14:$BA14)+SUMIF($BH$3:$CE$3,"&gt;"&amp;$CW$4,$AD14:$BA14)),
IF(CB$3=$DF14+'Model Setup'!$N$7,SUMIF($BH$3:$CE$3,"="&amp;$DF14+'Model Setup'!$N$7,$AD14:$BA14)+'Model Setup'!$N$8*(SUMIF($BH$3:$CE$3,"&lt;"&amp;$DF14,$AD14:$BA14)+SUMIF($BH$3:$CE$3,"&gt;"&amp;$CW$4,$AD14:$BA14)),
IF(CB$3&lt;$CW$4,V14,0))))))))))))))),0)</f>
        <v>0</v>
      </c>
      <c r="CC14" s="47">
        <f>ROUND(IF(OR(CC$3&lt;$DF14,CC$3&gt;$CW$4),0,
IF(CC$3=$DF14+'Model Setup'!$B$7,SUMIF($BH$3:$CE$3,"="&amp;$DF14+'Model Setup'!$B$7,$AD14:$BA14)+'Model Setup'!$B$8*(SUMIF($BH$3:$CE$3,"&lt;"&amp;$DF14,$AD14:$BA14)+SUMIF($BH$3:$CE$3,"&gt;"&amp;$CW$4,$AD14:$BA14)),
IF(CC$3=$DF14+'Model Setup'!$C$7,SUMIF($BH$3:$CE$3,"="&amp;$DF14+'Model Setup'!$C$7,$AD14:$BA14)+'Model Setup'!$C$8*(SUMIF($BH$3:$CE$3,"&lt;"&amp;$DF14,$AD14:$BA14)+SUMIF($BH$3:$CE$3,"&gt;"&amp;$CW$4,$AD14:$BA14)),
IF(CC$3=$DF14+'Model Setup'!$D$7,SUMIF($BH$3:$CE$3,"="&amp;$DF14+'Model Setup'!$D$7,$AD14:$BA14)+'Model Setup'!$D$8*(SUMIF($BH$3:$CE$3,"&lt;"&amp;$DF14,$AD14:$BA14)+SUMIF($BH$3:$CE$3,"&gt;"&amp;$CW$4,$AD14:$BA14)),
IF(CC$3=$DF14+'Model Setup'!$E$7,SUMIF($BH$3:$CE$3,"="&amp;$DF14+'Model Setup'!$E$7,$AD14:$BA14)+'Model Setup'!$E$8*(SUMIF($BH$3:$CE$3,"&lt;"&amp;$DF14,$AD14:$BA14)+SUMIF($BH$3:$CE$3,"&gt;"&amp;$CW$4,$AD14:$BA14)),
IF(CC$3=$DF14+'Model Setup'!$F$7,SUMIF($BH$3:$CE$3,"="&amp;$DF14+'Model Setup'!$F$7,$AD14:$BA14)+'Model Setup'!$F$8*(SUMIF($BH$3:$CE$3,"&lt;"&amp;$DF14,$AD14:$BA14)+SUMIF($BH$3:$CE$3,"&gt;"&amp;$CW$4,$AD14:$BA14)),
IF(CC$3=$DF14+'Model Setup'!$G$7,SUMIF($BH$3:$CE$3,"="&amp;$DF14+'Model Setup'!$G$7,$AD14:$BA14)+'Model Setup'!$G$8*(SUMIF($BH$3:$CE$3,"&lt;"&amp;$DF14,$AD14:$BA14)+SUMIF($BH$3:$CE$3,"&gt;"&amp;$CW$4,$AD14:$BA14)),
IF(CC$3=$DF14+'Model Setup'!$H$7,SUMIF($BH$3:$CE$3,"="&amp;$DF14+'Model Setup'!$H$7,$AD14:$BA14)+'Model Setup'!$H$8*(SUMIF($BH$3:$CE$3,"&lt;"&amp;$DF14,$AD14:$BA14)+SUMIF($BH$3:$CE$3,"&gt;"&amp;$CW$4,$AD14:$BA14)),
IF(CC$3=$DF14+'Model Setup'!$I$7,SUMIF($BH$3:$CE$3,"="&amp;$DF14+'Model Setup'!$I$7,$AD14:$BA14)+'Model Setup'!$I$8*(SUMIF($BH$3:$CE$3,"&lt;"&amp;$DF14,$AD14:$BA14)+SUMIF($BH$3:$CE$3,"&gt;"&amp;$CW$4,$AD14:$BA14)),
IF(CC$3=$DF14+'Model Setup'!$J$7,SUMIF($BH$3:$CE$3,"="&amp;$DF14+'Model Setup'!$J$7,$AD14:$BA14)+'Model Setup'!$J$8*(SUMIF($BH$3:$CE$3,"&lt;"&amp;$DF14,$AD14:$BA14)+SUMIF($BH$3:$CE$3,"&gt;"&amp;$CW$4,$AD14:$BA14)),
IF(CC$3=$DF14+'Model Setup'!$K$7,SUMIF($BH$3:$CE$3,"="&amp;$DF14+'Model Setup'!$K$7,$AD14:$BA14)+'Model Setup'!$K$8*(SUMIF($BH$3:$CE$3,"&lt;"&amp;$DF14,$AD14:$BA14)+SUMIF($BH$3:$CE$3,"&gt;"&amp;$CW$4,$AD14:$BA14)),
IF(CC$3=$DF14+'Model Setup'!$L$7,SUMIF($BH$3:$CE$3,"="&amp;$DF14+'Model Setup'!$L$7,$AD14:$BA14)+'Model Setup'!$L$8*(SUMIF($BH$3:$CE$3,"&lt;"&amp;$DF14,$AD14:$BA14)+SUMIF($BH$3:$CE$3,"&gt;"&amp;$CW$4,$AD14:$BA14)),
IF(CC$3=$DF14+'Model Setup'!$M$7,SUMIF($BH$3:$CE$3,"="&amp;$DF14+'Model Setup'!$M$7,$AD14:$BA14)+'Model Setup'!$M$8*(SUMIF($BH$3:$CE$3,"&lt;"&amp;$DF14,$AD14:$BA14)+SUMIF($BH$3:$CE$3,"&gt;"&amp;$CW$4,$AD14:$BA14)),
IF(CC$3=$DF14+'Model Setup'!$N$7,SUMIF($BH$3:$CE$3,"="&amp;$DF14+'Model Setup'!$N$7,$AD14:$BA14)+'Model Setup'!$N$8*(SUMIF($BH$3:$CE$3,"&lt;"&amp;$DF14,$AD14:$BA14)+SUMIF($BH$3:$CE$3,"&gt;"&amp;$CW$4,$AD14:$BA14)),
IF(CC$3&lt;$CW$4,W14,0))))))))))))))),0)</f>
        <v>0</v>
      </c>
      <c r="CD14" s="47">
        <f>ROUND(IF(OR(CD$3&lt;$DF14,CD$3&gt;$CW$4),0,
IF(CD$3=$DF14+'Model Setup'!$B$7,SUMIF($BH$3:$CE$3,"="&amp;$DF14+'Model Setup'!$B$7,$AD14:$BA14)+'Model Setup'!$B$8*(SUMIF($BH$3:$CE$3,"&lt;"&amp;$DF14,$AD14:$BA14)+SUMIF($BH$3:$CE$3,"&gt;"&amp;$CW$4,$AD14:$BA14)),
IF(CD$3=$DF14+'Model Setup'!$C$7,SUMIF($BH$3:$CE$3,"="&amp;$DF14+'Model Setup'!$C$7,$AD14:$BA14)+'Model Setup'!$C$8*(SUMIF($BH$3:$CE$3,"&lt;"&amp;$DF14,$AD14:$BA14)+SUMIF($BH$3:$CE$3,"&gt;"&amp;$CW$4,$AD14:$BA14)),
IF(CD$3=$DF14+'Model Setup'!$D$7,SUMIF($BH$3:$CE$3,"="&amp;$DF14+'Model Setup'!$D$7,$AD14:$BA14)+'Model Setup'!$D$8*(SUMIF($BH$3:$CE$3,"&lt;"&amp;$DF14,$AD14:$BA14)+SUMIF($BH$3:$CE$3,"&gt;"&amp;$CW$4,$AD14:$BA14)),
IF(CD$3=$DF14+'Model Setup'!$E$7,SUMIF($BH$3:$CE$3,"="&amp;$DF14+'Model Setup'!$E$7,$AD14:$BA14)+'Model Setup'!$E$8*(SUMIF($BH$3:$CE$3,"&lt;"&amp;$DF14,$AD14:$BA14)+SUMIF($BH$3:$CE$3,"&gt;"&amp;$CW$4,$AD14:$BA14)),
IF(CD$3=$DF14+'Model Setup'!$F$7,SUMIF($BH$3:$CE$3,"="&amp;$DF14+'Model Setup'!$F$7,$AD14:$BA14)+'Model Setup'!$F$8*(SUMIF($BH$3:$CE$3,"&lt;"&amp;$DF14,$AD14:$BA14)+SUMIF($BH$3:$CE$3,"&gt;"&amp;$CW$4,$AD14:$BA14)),
IF(CD$3=$DF14+'Model Setup'!$G$7,SUMIF($BH$3:$CE$3,"="&amp;$DF14+'Model Setup'!$G$7,$AD14:$BA14)+'Model Setup'!$G$8*(SUMIF($BH$3:$CE$3,"&lt;"&amp;$DF14,$AD14:$BA14)+SUMIF($BH$3:$CE$3,"&gt;"&amp;$CW$4,$AD14:$BA14)),
IF(CD$3=$DF14+'Model Setup'!$H$7,SUMIF($BH$3:$CE$3,"="&amp;$DF14+'Model Setup'!$H$7,$AD14:$BA14)+'Model Setup'!$H$8*(SUMIF($BH$3:$CE$3,"&lt;"&amp;$DF14,$AD14:$BA14)+SUMIF($BH$3:$CE$3,"&gt;"&amp;$CW$4,$AD14:$BA14)),
IF(CD$3=$DF14+'Model Setup'!$I$7,SUMIF($BH$3:$CE$3,"="&amp;$DF14+'Model Setup'!$I$7,$AD14:$BA14)+'Model Setup'!$I$8*(SUMIF($BH$3:$CE$3,"&lt;"&amp;$DF14,$AD14:$BA14)+SUMIF($BH$3:$CE$3,"&gt;"&amp;$CW$4,$AD14:$BA14)),
IF(CD$3=$DF14+'Model Setup'!$J$7,SUMIF($BH$3:$CE$3,"="&amp;$DF14+'Model Setup'!$J$7,$AD14:$BA14)+'Model Setup'!$J$8*(SUMIF($BH$3:$CE$3,"&lt;"&amp;$DF14,$AD14:$BA14)+SUMIF($BH$3:$CE$3,"&gt;"&amp;$CW$4,$AD14:$BA14)),
IF(CD$3=$DF14+'Model Setup'!$K$7,SUMIF($BH$3:$CE$3,"="&amp;$DF14+'Model Setup'!$K$7,$AD14:$BA14)+'Model Setup'!$K$8*(SUMIF($BH$3:$CE$3,"&lt;"&amp;$DF14,$AD14:$BA14)+SUMIF($BH$3:$CE$3,"&gt;"&amp;$CW$4,$AD14:$BA14)),
IF(CD$3=$DF14+'Model Setup'!$L$7,SUMIF($BH$3:$CE$3,"="&amp;$DF14+'Model Setup'!$L$7,$AD14:$BA14)+'Model Setup'!$L$8*(SUMIF($BH$3:$CE$3,"&lt;"&amp;$DF14,$AD14:$BA14)+SUMIF($BH$3:$CE$3,"&gt;"&amp;$CW$4,$AD14:$BA14)),
IF(CD$3=$DF14+'Model Setup'!$M$7,SUMIF($BH$3:$CE$3,"="&amp;$DF14+'Model Setup'!$M$7,$AD14:$BA14)+'Model Setup'!$M$8*(SUMIF($BH$3:$CE$3,"&lt;"&amp;$DF14,$AD14:$BA14)+SUMIF($BH$3:$CE$3,"&gt;"&amp;$CW$4,$AD14:$BA14)),
IF(CD$3=$DF14+'Model Setup'!$N$7,SUMIF($BH$3:$CE$3,"="&amp;$DF14+'Model Setup'!$N$7,$AD14:$BA14)+'Model Setup'!$N$8*(SUMIF($BH$3:$CE$3,"&lt;"&amp;$DF14,$AD14:$BA14)+SUMIF($BH$3:$CE$3,"&gt;"&amp;$CW$4,$AD14:$BA14)),
IF(CD$3&lt;$CW$4,X14,0))))))))))))))),0)</f>
        <v>0</v>
      </c>
      <c r="CE14" s="47">
        <f>ROUND(IF(OR(CE$3&lt;$DF14,CE$3&gt;$CW$4),0,
IF(CE$3=$DF14+'Model Setup'!$B$7,SUMIF($BH$3:$CE$3,"="&amp;$DF14+'Model Setup'!$B$7,$AD14:$BA14)+'Model Setup'!$B$8*(SUMIF($BH$3:$CE$3,"&lt;"&amp;$DF14,$AD14:$BA14)+SUMIF($BH$3:$CE$3,"&gt;"&amp;$CW$4,$AD14:$BA14)),
IF(CE$3=$DF14+'Model Setup'!$C$7,SUMIF($BH$3:$CE$3,"="&amp;$DF14+'Model Setup'!$C$7,$AD14:$BA14)+'Model Setup'!$C$8*(SUMIF($BH$3:$CE$3,"&lt;"&amp;$DF14,$AD14:$BA14)+SUMIF($BH$3:$CE$3,"&gt;"&amp;$CW$4,$AD14:$BA14)),
IF(CE$3=$DF14+'Model Setup'!$D$7,SUMIF($BH$3:$CE$3,"="&amp;$DF14+'Model Setup'!$D$7,$AD14:$BA14)+'Model Setup'!$D$8*(SUMIF($BH$3:$CE$3,"&lt;"&amp;$DF14,$AD14:$BA14)+SUMIF($BH$3:$CE$3,"&gt;"&amp;$CW$4,$AD14:$BA14)),
IF(CE$3=$DF14+'Model Setup'!$E$7,SUMIF($BH$3:$CE$3,"="&amp;$DF14+'Model Setup'!$E$7,$AD14:$BA14)+'Model Setup'!$E$8*(SUMIF($BH$3:$CE$3,"&lt;"&amp;$DF14,$AD14:$BA14)+SUMIF($BH$3:$CE$3,"&gt;"&amp;$CW$4,$AD14:$BA14)),
IF(CE$3=$DF14+'Model Setup'!$F$7,SUMIF($BH$3:$CE$3,"="&amp;$DF14+'Model Setup'!$F$7,$AD14:$BA14)+'Model Setup'!$F$8*(SUMIF($BH$3:$CE$3,"&lt;"&amp;$DF14,$AD14:$BA14)+SUMIF($BH$3:$CE$3,"&gt;"&amp;$CW$4,$AD14:$BA14)),
IF(CE$3=$DF14+'Model Setup'!$G$7,SUMIF($BH$3:$CE$3,"="&amp;$DF14+'Model Setup'!$G$7,$AD14:$BA14)+'Model Setup'!$G$8*(SUMIF($BH$3:$CE$3,"&lt;"&amp;$DF14,$AD14:$BA14)+SUMIF($BH$3:$CE$3,"&gt;"&amp;$CW$4,$AD14:$BA14)),
IF(CE$3=$DF14+'Model Setup'!$H$7,SUMIF($BH$3:$CE$3,"="&amp;$DF14+'Model Setup'!$H$7,$AD14:$BA14)+'Model Setup'!$H$8*(SUMIF($BH$3:$CE$3,"&lt;"&amp;$DF14,$AD14:$BA14)+SUMIF($BH$3:$CE$3,"&gt;"&amp;$CW$4,$AD14:$BA14)),
IF(CE$3=$DF14+'Model Setup'!$I$7,SUMIF($BH$3:$CE$3,"="&amp;$DF14+'Model Setup'!$I$7,$AD14:$BA14)+'Model Setup'!$I$8*(SUMIF($BH$3:$CE$3,"&lt;"&amp;$DF14,$AD14:$BA14)+SUMIF($BH$3:$CE$3,"&gt;"&amp;$CW$4,$AD14:$BA14)),
IF(CE$3=$DF14+'Model Setup'!$J$7,SUMIF($BH$3:$CE$3,"="&amp;$DF14+'Model Setup'!$J$7,$AD14:$BA14)+'Model Setup'!$J$8*(SUMIF($BH$3:$CE$3,"&lt;"&amp;$DF14,$AD14:$BA14)+SUMIF($BH$3:$CE$3,"&gt;"&amp;$CW$4,$AD14:$BA14)),
IF(CE$3=$DF14+'Model Setup'!$K$7,SUMIF($BH$3:$CE$3,"="&amp;$DF14+'Model Setup'!$K$7,$AD14:$BA14)+'Model Setup'!$K$8*(SUMIF($BH$3:$CE$3,"&lt;"&amp;$DF14,$AD14:$BA14)+SUMIF($BH$3:$CE$3,"&gt;"&amp;$CW$4,$AD14:$BA14)),
IF(CE$3=$DF14+'Model Setup'!$L$7,SUMIF($BH$3:$CE$3,"="&amp;$DF14+'Model Setup'!$L$7,$AD14:$BA14)+'Model Setup'!$L$8*(SUMIF($BH$3:$CE$3,"&lt;"&amp;$DF14,$AD14:$BA14)+SUMIF($BH$3:$CE$3,"&gt;"&amp;$CW$4,$AD14:$BA14)),
IF(CE$3=$DF14+'Model Setup'!$M$7,SUMIF($BH$3:$CE$3,"="&amp;$DF14+'Model Setup'!$M$7,$AD14:$BA14)+'Model Setup'!$M$8*(SUMIF($BH$3:$CE$3,"&lt;"&amp;$DF14,$AD14:$BA14)+SUMIF($BH$3:$CE$3,"&gt;"&amp;$CW$4,$AD14:$BA14)),
IF(CE$3=$DF14+'Model Setup'!$N$7,SUMIF($BH$3:$CE$3,"="&amp;$DF14+'Model Setup'!$N$7,$AD14:$BA14)+'Model Setup'!$N$8*(SUMIF($BH$3:$CE$3,"&lt;"&amp;$DF14,$AD14:$BA14)+SUMIF($BH$3:$CE$3,"&gt;"&amp;$CW$4,$AD14:$BA14)),
IF(CE$3&lt;$CW$4,Y14,0))))))))))))))),0)</f>
        <v>0</v>
      </c>
      <c r="CF14" s="47">
        <f t="shared" si="3"/>
        <v>2303</v>
      </c>
      <c r="CG14" s="47">
        <f t="shared" si="4"/>
        <v>0</v>
      </c>
      <c r="CI14" s="10" t="s">
        <v>29</v>
      </c>
      <c r="CJ14" s="126">
        <f t="shared" si="9"/>
        <v>78</v>
      </c>
      <c r="CK14" s="126">
        <f t="shared" si="10"/>
        <v>262</v>
      </c>
      <c r="CL14" s="126">
        <f t="shared" si="11"/>
        <v>250</v>
      </c>
      <c r="CM14" s="126">
        <f t="shared" si="12"/>
        <v>242</v>
      </c>
      <c r="CN14" s="126">
        <f t="shared" si="13"/>
        <v>230</v>
      </c>
      <c r="CO14" s="126">
        <f t="shared" si="14"/>
        <v>185</v>
      </c>
      <c r="CP14" s="126">
        <f t="shared" si="15"/>
        <v>202</v>
      </c>
      <c r="CQ14" s="126">
        <f t="shared" si="16"/>
        <v>170</v>
      </c>
      <c r="CR14" s="126">
        <f t="shared" si="17"/>
        <v>148</v>
      </c>
      <c r="CS14" s="126">
        <f t="shared" si="18"/>
        <v>115</v>
      </c>
      <c r="CT14" s="126">
        <f t="shared" si="19"/>
        <v>146</v>
      </c>
      <c r="CU14" s="126">
        <f t="shared" si="20"/>
        <v>152</v>
      </c>
      <c r="CV14" s="126">
        <f t="shared" si="21"/>
        <v>123</v>
      </c>
      <c r="CW14" s="126">
        <f t="shared" si="22"/>
        <v>0</v>
      </c>
      <c r="CX14" s="126">
        <f t="shared" si="23"/>
        <v>0</v>
      </c>
      <c r="CY14" s="126">
        <f t="shared" si="24"/>
        <v>0</v>
      </c>
      <c r="CZ14" s="47">
        <f t="shared" si="7"/>
        <v>2303</v>
      </c>
      <c r="DC14" s="93" t="s">
        <v>29</v>
      </c>
      <c r="DD14" s="89">
        <f>FTC!E12</f>
        <v>0.20833333333333334</v>
      </c>
      <c r="DE14" s="89">
        <f>FTC!F12</f>
        <v>0.75</v>
      </c>
      <c r="DF14" s="90">
        <f t="shared" si="25"/>
        <v>5</v>
      </c>
      <c r="DG14" s="91">
        <f t="shared" si="26"/>
        <v>18</v>
      </c>
      <c r="DH14" s="91">
        <f t="shared" si="27"/>
        <v>13</v>
      </c>
    </row>
    <row r="15" spans="1:112" x14ac:dyDescent="0.35">
      <c r="A15" s="43" t="s">
        <v>30</v>
      </c>
      <c r="B15" s="47">
        <v>4</v>
      </c>
      <c r="C15" s="47">
        <v>3</v>
      </c>
      <c r="D15" s="47">
        <v>5</v>
      </c>
      <c r="E15" s="47">
        <v>6</v>
      </c>
      <c r="F15" s="47">
        <v>14</v>
      </c>
      <c r="G15" s="47">
        <v>35</v>
      </c>
      <c r="H15" s="47">
        <v>130</v>
      </c>
      <c r="I15" s="47">
        <v>128</v>
      </c>
      <c r="J15" s="47">
        <v>146</v>
      </c>
      <c r="K15" s="47">
        <v>143</v>
      </c>
      <c r="L15" s="47">
        <v>119</v>
      </c>
      <c r="M15" s="47">
        <v>99</v>
      </c>
      <c r="N15" s="47">
        <v>76</v>
      </c>
      <c r="O15" s="47">
        <v>59</v>
      </c>
      <c r="P15" s="47">
        <v>53</v>
      </c>
      <c r="Q15" s="47">
        <v>39</v>
      </c>
      <c r="R15" s="47">
        <v>25</v>
      </c>
      <c r="S15" s="47">
        <v>28</v>
      </c>
      <c r="T15" s="47">
        <v>21</v>
      </c>
      <c r="U15" s="47">
        <v>10</v>
      </c>
      <c r="V15" s="47">
        <v>6</v>
      </c>
      <c r="W15" s="47">
        <v>16</v>
      </c>
      <c r="X15" s="47">
        <v>12</v>
      </c>
      <c r="Y15" s="47">
        <v>7</v>
      </c>
      <c r="Z15" s="47">
        <f t="shared" si="0"/>
        <v>1184</v>
      </c>
      <c r="AC15" s="43" t="s">
        <v>30</v>
      </c>
      <c r="AD15" s="47">
        <f>ROUND(IF(AD$3&lt;$DF15,0,
IF(AD$3=$DF15+'Model Setup'!$B$7,SUMIF($AD$3:$BA$3,"="&amp;$DF15+'Model Setup'!$B$7,$B15:$Y15)+'Model Setup'!$B$8*(SUMIF($AD$3:$BA$3,"&lt;"&amp;$DF15,$B15:$Y15)+SUMIF($AD$3:$BA$3,"&gt;="&amp;$DG15,$B15:$Y15)),
IF(AD$3=$DF15+'Model Setup'!$C$7,SUMIF($AD$3:$BA$3,"="&amp;$DF15+'Model Setup'!$C$7,$B15:$Y15)+'Model Setup'!$C$8*(SUMIF($AD$3:$BA$3,"&lt;"&amp;$DF15,$B15:$Y15)+SUMIF($AD$3:$BA$3,"&gt;="&amp;$DG15,$B15:$Y15)),
IF(AD$3=$DF15+'Model Setup'!$D$7,SUMIF($AD$3:$BA$3,"="&amp;$DF15+'Model Setup'!$D$7,$B15:$Y15)+'Model Setup'!$D$8*(SUMIF($AD$3:$BA$3,"&lt;"&amp;$DF15,$B15:$Y15)+SUMIF($AD$3:$BA$3,"&gt;="&amp;$DG15,$B15:$Y15)),
IF(AD$3=$DF15+'Model Setup'!$E$7,SUMIF($AD$3:$BA$3,"="&amp;$DF15+'Model Setup'!$E$7,$B15:$Y15)+'Model Setup'!$E$8*(SUMIF($AD$3:$BA$3,"&lt;"&amp;$DF15,$B15:$Y15)+SUMIF($AD$3:$BA$3,"&gt;="&amp;$DG15,$B15:$Y15)),
IF(AD$3=$DF15+'Model Setup'!$F$7,SUMIF($AD$3:$BA$3,"="&amp;$DF15+'Model Setup'!$F$7,$B15:$Y15)+'Model Setup'!$F$8*(SUMIF($AD$3:$BA$3,"&lt;"&amp;$DF15,$B15:$Y15)+SUMIF($AD$3:$BA$3,"&gt;="&amp;$DG15,$B15:$Y15)),
IF(AD$3=$DF15+'Model Setup'!$G$7,SUMIF($AD$3:$BA$3,"="&amp;$DF15+'Model Setup'!$G$7,$B15:$Y15)+'Model Setup'!$G$8*(SUMIF($AD$3:$BA$3,"&lt;"&amp;$DF15,$B15:$Y15)+SUMIF($AD$3:$BA$3,"&gt;="&amp;$DG15,$B15:$Y15)),
IF(AD$3=$DF15+'Model Setup'!$H$7,SUMIF($AD$3:$BA$3,"="&amp;$DF15+'Model Setup'!$H$7,$B15:$Y15)+'Model Setup'!$H$8*(SUMIF($AD$3:$BA$3,"&lt;"&amp;$DF15,$B15:$Y15)+SUMIF($AD$3:$BA$3,"&gt;="&amp;$DG15,$B15:$Y15)),
IF(AD$3=$DF15+'Model Setup'!$I$7,SUMIF($AD$3:$BA$3,"="&amp;$DF15+'Model Setup'!$I$7,$B15:$Y15)+'Model Setup'!$I$8*(SUMIF($AD$3:$BA$3,"&lt;"&amp;$DF15,$B15:$Y15)+SUMIF($AD$3:$BA$3,"&gt;="&amp;$DG15,$B15:$Y15)),
IF(AD$3=$DF15+'Model Setup'!$J$7,SUMIF($AD$3:$BA$3,"="&amp;$DF15+'Model Setup'!$J$7,$B15:$Y15)+'Model Setup'!$J$8*(SUMIF($AD$3:$BA$3,"&lt;"&amp;$DF15,$B15:$Y15)+SUMIF($AD$3:$BA$3,"&gt;="&amp;$DG15,$B15:$Y15)),
IF(AD$3=$DF15+'Model Setup'!$K$7,SUMIF($AD$3:$BA$3,"="&amp;$DF15+'Model Setup'!$K$7,$B15:$Y15)+'Model Setup'!$K$8*(SUMIF($AD$3:$BA$3,"&lt;"&amp;$DF15,$B15:$Y15)+SUMIF($AD$3:$BA$3,"&gt;="&amp;$DG15,$B15:$Y15)),
IF(AD$3=$DF15+'Model Setup'!$L$7,SUMIF($AD$3:$BA$3,"="&amp;$DF15+'Model Setup'!$L$7,$B15:$Y15)+'Model Setup'!$L$8*(SUMIF($AD$3:$BA$3,"&lt;"&amp;$DF15,$B15:$Y15)+SUMIF($AD$3:$BA$3,"&gt;="&amp;$DG15,$B15:$Y15)),
IF(AD$3=$DF15+'Model Setup'!$M$7,SUMIF($AD$3:$BA$3,"="&amp;$DF15+'Model Setup'!$M$7,$B15:$Y15)+'Model Setup'!$M$8*(SUMIF($AD$3:$BA$3,"&lt;"&amp;$DF15,$B15:$Y15)+SUMIF($AD$3:$BA$3,"&gt;="&amp;$DG15,$B15:$Y15)),
IF(AD$3=$DF15+'Model Setup'!$N$7,SUMIF($AD$3:$BA$3,"="&amp;$DF15+'Model Setup'!$N$7,$B15:$Y15)+'Model Setup'!$N$8*(SUMIF($AD$3:$BA$3,"&lt;"&amp;$DF15,$B15:$Y15)+SUMIF($AD$3:$BA$3,"&gt;="&amp;$DG15,$B15:$Y15)),
IF(AD$3&lt;$DG15,B15,0))))))))))))))),0)</f>
        <v>0</v>
      </c>
      <c r="AE15" s="47">
        <f>ROUND(IF(AE$3&lt;$DF15,0,
IF(AE$3=$DF15+'Model Setup'!$B$7,SUMIF($AD$3:$BA$3,"="&amp;$DF15+'Model Setup'!$B$7,$B15:$Y15)+'Model Setup'!$B$8*(SUMIF($AD$3:$BA$3,"&lt;"&amp;$DF15,$B15:$Y15)+SUMIF($AD$3:$BA$3,"&gt;="&amp;$DG15,$B15:$Y15)),
IF(AE$3=$DF15+'Model Setup'!$C$7,SUMIF($AD$3:$BA$3,"="&amp;$DF15+'Model Setup'!$C$7,$B15:$Y15)+'Model Setup'!$C$8*(SUMIF($AD$3:$BA$3,"&lt;"&amp;$DF15,$B15:$Y15)+SUMIF($AD$3:$BA$3,"&gt;="&amp;$DG15,$B15:$Y15)),
IF(AE$3=$DF15+'Model Setup'!$D$7,SUMIF($AD$3:$BA$3,"="&amp;$DF15+'Model Setup'!$D$7,$B15:$Y15)+'Model Setup'!$D$8*(SUMIF($AD$3:$BA$3,"&lt;"&amp;$DF15,$B15:$Y15)+SUMIF($AD$3:$BA$3,"&gt;="&amp;$DG15,$B15:$Y15)),
IF(AE$3=$DF15+'Model Setup'!$E$7,SUMIF($AD$3:$BA$3,"="&amp;$DF15+'Model Setup'!$E$7,$B15:$Y15)+'Model Setup'!$E$8*(SUMIF($AD$3:$BA$3,"&lt;"&amp;$DF15,$B15:$Y15)+SUMIF($AD$3:$BA$3,"&gt;="&amp;$DG15,$B15:$Y15)),
IF(AE$3=$DF15+'Model Setup'!$F$7,SUMIF($AD$3:$BA$3,"="&amp;$DF15+'Model Setup'!$F$7,$B15:$Y15)+'Model Setup'!$F$8*(SUMIF($AD$3:$BA$3,"&lt;"&amp;$DF15,$B15:$Y15)+SUMIF($AD$3:$BA$3,"&gt;="&amp;$DG15,$B15:$Y15)),
IF(AE$3=$DF15+'Model Setup'!$G$7,SUMIF($AD$3:$BA$3,"="&amp;$DF15+'Model Setup'!$G$7,$B15:$Y15)+'Model Setup'!$G$8*(SUMIF($AD$3:$BA$3,"&lt;"&amp;$DF15,$B15:$Y15)+SUMIF($AD$3:$BA$3,"&gt;="&amp;$DG15,$B15:$Y15)),
IF(AE$3=$DF15+'Model Setup'!$H$7,SUMIF($AD$3:$BA$3,"="&amp;$DF15+'Model Setup'!$H$7,$B15:$Y15)+'Model Setup'!$H$8*(SUMIF($AD$3:$BA$3,"&lt;"&amp;$DF15,$B15:$Y15)+SUMIF($AD$3:$BA$3,"&gt;="&amp;$DG15,$B15:$Y15)),
IF(AE$3=$DF15+'Model Setup'!$I$7,SUMIF($AD$3:$BA$3,"="&amp;$DF15+'Model Setup'!$I$7,$B15:$Y15)+'Model Setup'!$I$8*(SUMIF($AD$3:$BA$3,"&lt;"&amp;$DF15,$B15:$Y15)+SUMIF($AD$3:$BA$3,"&gt;="&amp;$DG15,$B15:$Y15)),
IF(AE$3=$DF15+'Model Setup'!$J$7,SUMIF($AD$3:$BA$3,"="&amp;$DF15+'Model Setup'!$J$7,$B15:$Y15)+'Model Setup'!$J$8*(SUMIF($AD$3:$BA$3,"&lt;"&amp;$DF15,$B15:$Y15)+SUMIF($AD$3:$BA$3,"&gt;="&amp;$DG15,$B15:$Y15)),
IF(AE$3=$DF15+'Model Setup'!$K$7,SUMIF($AD$3:$BA$3,"="&amp;$DF15+'Model Setup'!$K$7,$B15:$Y15)+'Model Setup'!$K$8*(SUMIF($AD$3:$BA$3,"&lt;"&amp;$DF15,$B15:$Y15)+SUMIF($AD$3:$BA$3,"&gt;="&amp;$DG15,$B15:$Y15)),
IF(AE$3=$DF15+'Model Setup'!$L$7,SUMIF($AD$3:$BA$3,"="&amp;$DF15+'Model Setup'!$L$7,$B15:$Y15)+'Model Setup'!$L$8*(SUMIF($AD$3:$BA$3,"&lt;"&amp;$DF15,$B15:$Y15)+SUMIF($AD$3:$BA$3,"&gt;="&amp;$DG15,$B15:$Y15)),
IF(AE$3=$DF15+'Model Setup'!$M$7,SUMIF($AD$3:$BA$3,"="&amp;$DF15+'Model Setup'!$M$7,$B15:$Y15)+'Model Setup'!$M$8*(SUMIF($AD$3:$BA$3,"&lt;"&amp;$DF15,$B15:$Y15)+SUMIF($AD$3:$BA$3,"&gt;="&amp;$DG15,$B15:$Y15)),
IF(AE$3=$DF15+'Model Setup'!$N$7,SUMIF($AD$3:$BA$3,"="&amp;$DF15+'Model Setup'!$N$7,$B15:$Y15)+'Model Setup'!$N$8*(SUMIF($AD$3:$BA$3,"&lt;"&amp;$DF15,$B15:$Y15)+SUMIF($AD$3:$BA$3,"&gt;="&amp;$DG15,$B15:$Y15)),
IF(AE$3&lt;$DG15,C15,0))))))))))))))),0)</f>
        <v>0</v>
      </c>
      <c r="AF15" s="47">
        <f>ROUND(IF(AF$3&lt;$DF15,0,
IF(AF$3=$DF15+'Model Setup'!$B$7,SUMIF($AD$3:$BA$3,"="&amp;$DF15+'Model Setup'!$B$7,$B15:$Y15)+'Model Setup'!$B$8*(SUMIF($AD$3:$BA$3,"&lt;"&amp;$DF15,$B15:$Y15)+SUMIF($AD$3:$BA$3,"&gt;="&amp;$DG15,$B15:$Y15)),
IF(AF$3=$DF15+'Model Setup'!$C$7,SUMIF($AD$3:$BA$3,"="&amp;$DF15+'Model Setup'!$C$7,$B15:$Y15)+'Model Setup'!$C$8*(SUMIF($AD$3:$BA$3,"&lt;"&amp;$DF15,$B15:$Y15)+SUMIF($AD$3:$BA$3,"&gt;="&amp;$DG15,$B15:$Y15)),
IF(AF$3=$DF15+'Model Setup'!$D$7,SUMIF($AD$3:$BA$3,"="&amp;$DF15+'Model Setup'!$D$7,$B15:$Y15)+'Model Setup'!$D$8*(SUMIF($AD$3:$BA$3,"&lt;"&amp;$DF15,$B15:$Y15)+SUMIF($AD$3:$BA$3,"&gt;="&amp;$DG15,$B15:$Y15)),
IF(AF$3=$DF15+'Model Setup'!$E$7,SUMIF($AD$3:$BA$3,"="&amp;$DF15+'Model Setup'!$E$7,$B15:$Y15)+'Model Setup'!$E$8*(SUMIF($AD$3:$BA$3,"&lt;"&amp;$DF15,$B15:$Y15)+SUMIF($AD$3:$BA$3,"&gt;="&amp;$DG15,$B15:$Y15)),
IF(AF$3=$DF15+'Model Setup'!$F$7,SUMIF($AD$3:$BA$3,"="&amp;$DF15+'Model Setup'!$F$7,$B15:$Y15)+'Model Setup'!$F$8*(SUMIF($AD$3:$BA$3,"&lt;"&amp;$DF15,$B15:$Y15)+SUMIF($AD$3:$BA$3,"&gt;="&amp;$DG15,$B15:$Y15)),
IF(AF$3=$DF15+'Model Setup'!$G$7,SUMIF($AD$3:$BA$3,"="&amp;$DF15+'Model Setup'!$G$7,$B15:$Y15)+'Model Setup'!$G$8*(SUMIF($AD$3:$BA$3,"&lt;"&amp;$DF15,$B15:$Y15)+SUMIF($AD$3:$BA$3,"&gt;="&amp;$DG15,$B15:$Y15)),
IF(AF$3=$DF15+'Model Setup'!$H$7,SUMIF($AD$3:$BA$3,"="&amp;$DF15+'Model Setup'!$H$7,$B15:$Y15)+'Model Setup'!$H$8*(SUMIF($AD$3:$BA$3,"&lt;"&amp;$DF15,$B15:$Y15)+SUMIF($AD$3:$BA$3,"&gt;="&amp;$DG15,$B15:$Y15)),
IF(AF$3=$DF15+'Model Setup'!$I$7,SUMIF($AD$3:$BA$3,"="&amp;$DF15+'Model Setup'!$I$7,$B15:$Y15)+'Model Setup'!$I$8*(SUMIF($AD$3:$BA$3,"&lt;"&amp;$DF15,$B15:$Y15)+SUMIF($AD$3:$BA$3,"&gt;="&amp;$DG15,$B15:$Y15)),
IF(AF$3=$DF15+'Model Setup'!$J$7,SUMIF($AD$3:$BA$3,"="&amp;$DF15+'Model Setup'!$J$7,$B15:$Y15)+'Model Setup'!$J$8*(SUMIF($AD$3:$BA$3,"&lt;"&amp;$DF15,$B15:$Y15)+SUMIF($AD$3:$BA$3,"&gt;="&amp;$DG15,$B15:$Y15)),
IF(AF$3=$DF15+'Model Setup'!$K$7,SUMIF($AD$3:$BA$3,"="&amp;$DF15+'Model Setup'!$K$7,$B15:$Y15)+'Model Setup'!$K$8*(SUMIF($AD$3:$BA$3,"&lt;"&amp;$DF15,$B15:$Y15)+SUMIF($AD$3:$BA$3,"&gt;="&amp;$DG15,$B15:$Y15)),
IF(AF$3=$DF15+'Model Setup'!$L$7,SUMIF($AD$3:$BA$3,"="&amp;$DF15+'Model Setup'!$L$7,$B15:$Y15)+'Model Setup'!$L$8*(SUMIF($AD$3:$BA$3,"&lt;"&amp;$DF15,$B15:$Y15)+SUMIF($AD$3:$BA$3,"&gt;="&amp;$DG15,$B15:$Y15)),
IF(AF$3=$DF15+'Model Setup'!$M$7,SUMIF($AD$3:$BA$3,"="&amp;$DF15+'Model Setup'!$M$7,$B15:$Y15)+'Model Setup'!$M$8*(SUMIF($AD$3:$BA$3,"&lt;"&amp;$DF15,$B15:$Y15)+SUMIF($AD$3:$BA$3,"&gt;="&amp;$DG15,$B15:$Y15)),
IF(AF$3=$DF15+'Model Setup'!$N$7,SUMIF($AD$3:$BA$3,"="&amp;$DF15+'Model Setup'!$N$7,$B15:$Y15)+'Model Setup'!$N$8*(SUMIF($AD$3:$BA$3,"&lt;"&amp;$DF15,$B15:$Y15)+SUMIF($AD$3:$BA$3,"&gt;="&amp;$DG15,$B15:$Y15)),
IF(AF$3&lt;$DG15,D15,0))))))))))))))),0)</f>
        <v>0</v>
      </c>
      <c r="AG15" s="47">
        <f>ROUND(IF(AG$3&lt;$DF15,0,
IF(AG$3=$DF15+'Model Setup'!$B$7,SUMIF($AD$3:$BA$3,"="&amp;$DF15+'Model Setup'!$B$7,$B15:$Y15)+'Model Setup'!$B$8*(SUMIF($AD$3:$BA$3,"&lt;"&amp;$DF15,$B15:$Y15)+SUMIF($AD$3:$BA$3,"&gt;="&amp;$DG15,$B15:$Y15)),
IF(AG$3=$DF15+'Model Setup'!$C$7,SUMIF($AD$3:$BA$3,"="&amp;$DF15+'Model Setup'!$C$7,$B15:$Y15)+'Model Setup'!$C$8*(SUMIF($AD$3:$BA$3,"&lt;"&amp;$DF15,$B15:$Y15)+SUMIF($AD$3:$BA$3,"&gt;="&amp;$DG15,$B15:$Y15)),
IF(AG$3=$DF15+'Model Setup'!$D$7,SUMIF($AD$3:$BA$3,"="&amp;$DF15+'Model Setup'!$D$7,$B15:$Y15)+'Model Setup'!$D$8*(SUMIF($AD$3:$BA$3,"&lt;"&amp;$DF15,$B15:$Y15)+SUMIF($AD$3:$BA$3,"&gt;="&amp;$DG15,$B15:$Y15)),
IF(AG$3=$DF15+'Model Setup'!$E$7,SUMIF($AD$3:$BA$3,"="&amp;$DF15+'Model Setup'!$E$7,$B15:$Y15)+'Model Setup'!$E$8*(SUMIF($AD$3:$BA$3,"&lt;"&amp;$DF15,$B15:$Y15)+SUMIF($AD$3:$BA$3,"&gt;="&amp;$DG15,$B15:$Y15)),
IF(AG$3=$DF15+'Model Setup'!$F$7,SUMIF($AD$3:$BA$3,"="&amp;$DF15+'Model Setup'!$F$7,$B15:$Y15)+'Model Setup'!$F$8*(SUMIF($AD$3:$BA$3,"&lt;"&amp;$DF15,$B15:$Y15)+SUMIF($AD$3:$BA$3,"&gt;="&amp;$DG15,$B15:$Y15)),
IF(AG$3=$DF15+'Model Setup'!$G$7,SUMIF($AD$3:$BA$3,"="&amp;$DF15+'Model Setup'!$G$7,$B15:$Y15)+'Model Setup'!$G$8*(SUMIF($AD$3:$BA$3,"&lt;"&amp;$DF15,$B15:$Y15)+SUMIF($AD$3:$BA$3,"&gt;="&amp;$DG15,$B15:$Y15)),
IF(AG$3=$DF15+'Model Setup'!$H$7,SUMIF($AD$3:$BA$3,"="&amp;$DF15+'Model Setup'!$H$7,$B15:$Y15)+'Model Setup'!$H$8*(SUMIF($AD$3:$BA$3,"&lt;"&amp;$DF15,$B15:$Y15)+SUMIF($AD$3:$BA$3,"&gt;="&amp;$DG15,$B15:$Y15)),
IF(AG$3=$DF15+'Model Setup'!$I$7,SUMIF($AD$3:$BA$3,"="&amp;$DF15+'Model Setup'!$I$7,$B15:$Y15)+'Model Setup'!$I$8*(SUMIF($AD$3:$BA$3,"&lt;"&amp;$DF15,$B15:$Y15)+SUMIF($AD$3:$BA$3,"&gt;="&amp;$DG15,$B15:$Y15)),
IF(AG$3=$DF15+'Model Setup'!$J$7,SUMIF($AD$3:$BA$3,"="&amp;$DF15+'Model Setup'!$J$7,$B15:$Y15)+'Model Setup'!$J$8*(SUMIF($AD$3:$BA$3,"&lt;"&amp;$DF15,$B15:$Y15)+SUMIF($AD$3:$BA$3,"&gt;="&amp;$DG15,$B15:$Y15)),
IF(AG$3=$DF15+'Model Setup'!$K$7,SUMIF($AD$3:$BA$3,"="&amp;$DF15+'Model Setup'!$K$7,$B15:$Y15)+'Model Setup'!$K$8*(SUMIF($AD$3:$BA$3,"&lt;"&amp;$DF15,$B15:$Y15)+SUMIF($AD$3:$BA$3,"&gt;="&amp;$DG15,$B15:$Y15)),
IF(AG$3=$DF15+'Model Setup'!$L$7,SUMIF($AD$3:$BA$3,"="&amp;$DF15+'Model Setup'!$L$7,$B15:$Y15)+'Model Setup'!$L$8*(SUMIF($AD$3:$BA$3,"&lt;"&amp;$DF15,$B15:$Y15)+SUMIF($AD$3:$BA$3,"&gt;="&amp;$DG15,$B15:$Y15)),
IF(AG$3=$DF15+'Model Setup'!$M$7,SUMIF($AD$3:$BA$3,"="&amp;$DF15+'Model Setup'!$M$7,$B15:$Y15)+'Model Setup'!$M$8*(SUMIF($AD$3:$BA$3,"&lt;"&amp;$DF15,$B15:$Y15)+SUMIF($AD$3:$BA$3,"&gt;="&amp;$DG15,$B15:$Y15)),
IF(AG$3=$DF15+'Model Setup'!$N$7,SUMIF($AD$3:$BA$3,"="&amp;$DF15+'Model Setup'!$N$7,$B15:$Y15)+'Model Setup'!$N$8*(SUMIF($AD$3:$BA$3,"&lt;"&amp;$DF15,$B15:$Y15)+SUMIF($AD$3:$BA$3,"&gt;="&amp;$DG15,$B15:$Y15)),
IF(AG$3&lt;$DG15,E15,0))))))))))))))),0)</f>
        <v>0</v>
      </c>
      <c r="AH15" s="47">
        <f>ROUND(IF(AH$3&lt;$DF15,0,
IF(AH$3=$DF15+'Model Setup'!$B$7,SUMIF($AD$3:$BA$3,"="&amp;$DF15+'Model Setup'!$B$7,$B15:$Y15)+'Model Setup'!$B$8*(SUMIF($AD$3:$BA$3,"&lt;"&amp;$DF15,$B15:$Y15)+SUMIF($AD$3:$BA$3,"&gt;="&amp;$DG15,$B15:$Y15)),
IF(AH$3=$DF15+'Model Setup'!$C$7,SUMIF($AD$3:$BA$3,"="&amp;$DF15+'Model Setup'!$C$7,$B15:$Y15)+'Model Setup'!$C$8*(SUMIF($AD$3:$BA$3,"&lt;"&amp;$DF15,$B15:$Y15)+SUMIF($AD$3:$BA$3,"&gt;="&amp;$DG15,$B15:$Y15)),
IF(AH$3=$DF15+'Model Setup'!$D$7,SUMIF($AD$3:$BA$3,"="&amp;$DF15+'Model Setup'!$D$7,$B15:$Y15)+'Model Setup'!$D$8*(SUMIF($AD$3:$BA$3,"&lt;"&amp;$DF15,$B15:$Y15)+SUMIF($AD$3:$BA$3,"&gt;="&amp;$DG15,$B15:$Y15)),
IF(AH$3=$DF15+'Model Setup'!$E$7,SUMIF($AD$3:$BA$3,"="&amp;$DF15+'Model Setup'!$E$7,$B15:$Y15)+'Model Setup'!$E$8*(SUMIF($AD$3:$BA$3,"&lt;"&amp;$DF15,$B15:$Y15)+SUMIF($AD$3:$BA$3,"&gt;="&amp;$DG15,$B15:$Y15)),
IF(AH$3=$DF15+'Model Setup'!$F$7,SUMIF($AD$3:$BA$3,"="&amp;$DF15+'Model Setup'!$F$7,$B15:$Y15)+'Model Setup'!$F$8*(SUMIF($AD$3:$BA$3,"&lt;"&amp;$DF15,$B15:$Y15)+SUMIF($AD$3:$BA$3,"&gt;="&amp;$DG15,$B15:$Y15)),
IF(AH$3=$DF15+'Model Setup'!$G$7,SUMIF($AD$3:$BA$3,"="&amp;$DF15+'Model Setup'!$G$7,$B15:$Y15)+'Model Setup'!$G$8*(SUMIF($AD$3:$BA$3,"&lt;"&amp;$DF15,$B15:$Y15)+SUMIF($AD$3:$BA$3,"&gt;="&amp;$DG15,$B15:$Y15)),
IF(AH$3=$DF15+'Model Setup'!$H$7,SUMIF($AD$3:$BA$3,"="&amp;$DF15+'Model Setup'!$H$7,$B15:$Y15)+'Model Setup'!$H$8*(SUMIF($AD$3:$BA$3,"&lt;"&amp;$DF15,$B15:$Y15)+SUMIF($AD$3:$BA$3,"&gt;="&amp;$DG15,$B15:$Y15)),
IF(AH$3=$DF15+'Model Setup'!$I$7,SUMIF($AD$3:$BA$3,"="&amp;$DF15+'Model Setup'!$I$7,$B15:$Y15)+'Model Setup'!$I$8*(SUMIF($AD$3:$BA$3,"&lt;"&amp;$DF15,$B15:$Y15)+SUMIF($AD$3:$BA$3,"&gt;="&amp;$DG15,$B15:$Y15)),
IF(AH$3=$DF15+'Model Setup'!$J$7,SUMIF($AD$3:$BA$3,"="&amp;$DF15+'Model Setup'!$J$7,$B15:$Y15)+'Model Setup'!$J$8*(SUMIF($AD$3:$BA$3,"&lt;"&amp;$DF15,$B15:$Y15)+SUMIF($AD$3:$BA$3,"&gt;="&amp;$DG15,$B15:$Y15)),
IF(AH$3=$DF15+'Model Setup'!$K$7,SUMIF($AD$3:$BA$3,"="&amp;$DF15+'Model Setup'!$K$7,$B15:$Y15)+'Model Setup'!$K$8*(SUMIF($AD$3:$BA$3,"&lt;"&amp;$DF15,$B15:$Y15)+SUMIF($AD$3:$BA$3,"&gt;="&amp;$DG15,$B15:$Y15)),
IF(AH$3=$DF15+'Model Setup'!$L$7,SUMIF($AD$3:$BA$3,"="&amp;$DF15+'Model Setup'!$L$7,$B15:$Y15)+'Model Setup'!$L$8*(SUMIF($AD$3:$BA$3,"&lt;"&amp;$DF15,$B15:$Y15)+SUMIF($AD$3:$BA$3,"&gt;="&amp;$DG15,$B15:$Y15)),
IF(AH$3=$DF15+'Model Setup'!$M$7,SUMIF($AD$3:$BA$3,"="&amp;$DF15+'Model Setup'!$M$7,$B15:$Y15)+'Model Setup'!$M$8*(SUMIF($AD$3:$BA$3,"&lt;"&amp;$DF15,$B15:$Y15)+SUMIF($AD$3:$BA$3,"&gt;="&amp;$DG15,$B15:$Y15)),
IF(AH$3=$DF15+'Model Setup'!$N$7,SUMIF($AD$3:$BA$3,"="&amp;$DF15+'Model Setup'!$N$7,$B15:$Y15)+'Model Setup'!$N$8*(SUMIF($AD$3:$BA$3,"&lt;"&amp;$DF15,$B15:$Y15)+SUMIF($AD$3:$BA$3,"&gt;="&amp;$DG15,$B15:$Y15)),
IF(AH$3&lt;$DG15,F15,0))))))))))))))),0)</f>
        <v>0</v>
      </c>
      <c r="AI15" s="47">
        <f>ROUND(IF(AI$3&lt;$DF15,0,
IF(AI$3=$DF15+'Model Setup'!$B$7,SUMIF($AD$3:$BA$3,"="&amp;$DF15+'Model Setup'!$B$7,$B15:$Y15)+'Model Setup'!$B$8*(SUMIF($AD$3:$BA$3,"&lt;"&amp;$DF15,$B15:$Y15)+SUMIF($AD$3:$BA$3,"&gt;="&amp;$DG15,$B15:$Y15)),
IF(AI$3=$DF15+'Model Setup'!$C$7,SUMIF($AD$3:$BA$3,"="&amp;$DF15+'Model Setup'!$C$7,$B15:$Y15)+'Model Setup'!$C$8*(SUMIF($AD$3:$BA$3,"&lt;"&amp;$DF15,$B15:$Y15)+SUMIF($AD$3:$BA$3,"&gt;="&amp;$DG15,$B15:$Y15)),
IF(AI$3=$DF15+'Model Setup'!$D$7,SUMIF($AD$3:$BA$3,"="&amp;$DF15+'Model Setup'!$D$7,$B15:$Y15)+'Model Setup'!$D$8*(SUMIF($AD$3:$BA$3,"&lt;"&amp;$DF15,$B15:$Y15)+SUMIF($AD$3:$BA$3,"&gt;="&amp;$DG15,$B15:$Y15)),
IF(AI$3=$DF15+'Model Setup'!$E$7,SUMIF($AD$3:$BA$3,"="&amp;$DF15+'Model Setup'!$E$7,$B15:$Y15)+'Model Setup'!$E$8*(SUMIF($AD$3:$BA$3,"&lt;"&amp;$DF15,$B15:$Y15)+SUMIF($AD$3:$BA$3,"&gt;="&amp;$DG15,$B15:$Y15)),
IF(AI$3=$DF15+'Model Setup'!$F$7,SUMIF($AD$3:$BA$3,"="&amp;$DF15+'Model Setup'!$F$7,$B15:$Y15)+'Model Setup'!$F$8*(SUMIF($AD$3:$BA$3,"&lt;"&amp;$DF15,$B15:$Y15)+SUMIF($AD$3:$BA$3,"&gt;="&amp;$DG15,$B15:$Y15)),
IF(AI$3=$DF15+'Model Setup'!$G$7,SUMIF($AD$3:$BA$3,"="&amp;$DF15+'Model Setup'!$G$7,$B15:$Y15)+'Model Setup'!$G$8*(SUMIF($AD$3:$BA$3,"&lt;"&amp;$DF15,$B15:$Y15)+SUMIF($AD$3:$BA$3,"&gt;="&amp;$DG15,$B15:$Y15)),
IF(AI$3=$DF15+'Model Setup'!$H$7,SUMIF($AD$3:$BA$3,"="&amp;$DF15+'Model Setup'!$H$7,$B15:$Y15)+'Model Setup'!$H$8*(SUMIF($AD$3:$BA$3,"&lt;"&amp;$DF15,$B15:$Y15)+SUMIF($AD$3:$BA$3,"&gt;="&amp;$DG15,$B15:$Y15)),
IF(AI$3=$DF15+'Model Setup'!$I$7,SUMIF($AD$3:$BA$3,"="&amp;$DF15+'Model Setup'!$I$7,$B15:$Y15)+'Model Setup'!$I$8*(SUMIF($AD$3:$BA$3,"&lt;"&amp;$DF15,$B15:$Y15)+SUMIF($AD$3:$BA$3,"&gt;="&amp;$DG15,$B15:$Y15)),
IF(AI$3=$DF15+'Model Setup'!$J$7,SUMIF($AD$3:$BA$3,"="&amp;$DF15+'Model Setup'!$J$7,$B15:$Y15)+'Model Setup'!$J$8*(SUMIF($AD$3:$BA$3,"&lt;"&amp;$DF15,$B15:$Y15)+SUMIF($AD$3:$BA$3,"&gt;="&amp;$DG15,$B15:$Y15)),
IF(AI$3=$DF15+'Model Setup'!$K$7,SUMIF($AD$3:$BA$3,"="&amp;$DF15+'Model Setup'!$K$7,$B15:$Y15)+'Model Setup'!$K$8*(SUMIF($AD$3:$BA$3,"&lt;"&amp;$DF15,$B15:$Y15)+SUMIF($AD$3:$BA$3,"&gt;="&amp;$DG15,$B15:$Y15)),
IF(AI$3=$DF15+'Model Setup'!$L$7,SUMIF($AD$3:$BA$3,"="&amp;$DF15+'Model Setup'!$L$7,$B15:$Y15)+'Model Setup'!$L$8*(SUMIF($AD$3:$BA$3,"&lt;"&amp;$DF15,$B15:$Y15)+SUMIF($AD$3:$BA$3,"&gt;="&amp;$DG15,$B15:$Y15)),
IF(AI$3=$DF15+'Model Setup'!$M$7,SUMIF($AD$3:$BA$3,"="&amp;$DF15+'Model Setup'!$M$7,$B15:$Y15)+'Model Setup'!$M$8*(SUMIF($AD$3:$BA$3,"&lt;"&amp;$DF15,$B15:$Y15)+SUMIF($AD$3:$BA$3,"&gt;="&amp;$DG15,$B15:$Y15)),
IF(AI$3=$DF15+'Model Setup'!$N$7,SUMIF($AD$3:$BA$3,"="&amp;$DF15+'Model Setup'!$N$7,$B15:$Y15)+'Model Setup'!$N$8*(SUMIF($AD$3:$BA$3,"&lt;"&amp;$DF15,$B15:$Y15)+SUMIF($AD$3:$BA$3,"&gt;="&amp;$DG15,$B15:$Y15)),
IF(AI$3&lt;$DG15,G15,0))))))))))))))),0)</f>
        <v>35</v>
      </c>
      <c r="AJ15" s="47">
        <f>ROUND(IF(AJ$3&lt;$DF15,0,
IF(AJ$3=$DF15+'Model Setup'!$B$7,SUMIF($AD$3:$BA$3,"="&amp;$DF15+'Model Setup'!$B$7,$B15:$Y15)+'Model Setup'!$B$8*(SUMIF($AD$3:$BA$3,"&lt;"&amp;$DF15,$B15:$Y15)+SUMIF($AD$3:$BA$3,"&gt;="&amp;$DG15,$B15:$Y15)),
IF(AJ$3=$DF15+'Model Setup'!$C$7,SUMIF($AD$3:$BA$3,"="&amp;$DF15+'Model Setup'!$C$7,$B15:$Y15)+'Model Setup'!$C$8*(SUMIF($AD$3:$BA$3,"&lt;"&amp;$DF15,$B15:$Y15)+SUMIF($AD$3:$BA$3,"&gt;="&amp;$DG15,$B15:$Y15)),
IF(AJ$3=$DF15+'Model Setup'!$D$7,SUMIF($AD$3:$BA$3,"="&amp;$DF15+'Model Setup'!$D$7,$B15:$Y15)+'Model Setup'!$D$8*(SUMIF($AD$3:$BA$3,"&lt;"&amp;$DF15,$B15:$Y15)+SUMIF($AD$3:$BA$3,"&gt;="&amp;$DG15,$B15:$Y15)),
IF(AJ$3=$DF15+'Model Setup'!$E$7,SUMIF($AD$3:$BA$3,"="&amp;$DF15+'Model Setup'!$E$7,$B15:$Y15)+'Model Setup'!$E$8*(SUMIF($AD$3:$BA$3,"&lt;"&amp;$DF15,$B15:$Y15)+SUMIF($AD$3:$BA$3,"&gt;="&amp;$DG15,$B15:$Y15)),
IF(AJ$3=$DF15+'Model Setup'!$F$7,SUMIF($AD$3:$BA$3,"="&amp;$DF15+'Model Setup'!$F$7,$B15:$Y15)+'Model Setup'!$F$8*(SUMIF($AD$3:$BA$3,"&lt;"&amp;$DF15,$B15:$Y15)+SUMIF($AD$3:$BA$3,"&gt;="&amp;$DG15,$B15:$Y15)),
IF(AJ$3=$DF15+'Model Setup'!$G$7,SUMIF($AD$3:$BA$3,"="&amp;$DF15+'Model Setup'!$G$7,$B15:$Y15)+'Model Setup'!$G$8*(SUMIF($AD$3:$BA$3,"&lt;"&amp;$DF15,$B15:$Y15)+SUMIF($AD$3:$BA$3,"&gt;="&amp;$DG15,$B15:$Y15)),
IF(AJ$3=$DF15+'Model Setup'!$H$7,SUMIF($AD$3:$BA$3,"="&amp;$DF15+'Model Setup'!$H$7,$B15:$Y15)+'Model Setup'!$H$8*(SUMIF($AD$3:$BA$3,"&lt;"&amp;$DF15,$B15:$Y15)+SUMIF($AD$3:$BA$3,"&gt;="&amp;$DG15,$B15:$Y15)),
IF(AJ$3=$DF15+'Model Setup'!$I$7,SUMIF($AD$3:$BA$3,"="&amp;$DF15+'Model Setup'!$I$7,$B15:$Y15)+'Model Setup'!$I$8*(SUMIF($AD$3:$BA$3,"&lt;"&amp;$DF15,$B15:$Y15)+SUMIF($AD$3:$BA$3,"&gt;="&amp;$DG15,$B15:$Y15)),
IF(AJ$3=$DF15+'Model Setup'!$J$7,SUMIF($AD$3:$BA$3,"="&amp;$DF15+'Model Setup'!$J$7,$B15:$Y15)+'Model Setup'!$J$8*(SUMIF($AD$3:$BA$3,"&lt;"&amp;$DF15,$B15:$Y15)+SUMIF($AD$3:$BA$3,"&gt;="&amp;$DG15,$B15:$Y15)),
IF(AJ$3=$DF15+'Model Setup'!$K$7,SUMIF($AD$3:$BA$3,"="&amp;$DF15+'Model Setup'!$K$7,$B15:$Y15)+'Model Setup'!$K$8*(SUMIF($AD$3:$BA$3,"&lt;"&amp;$DF15,$B15:$Y15)+SUMIF($AD$3:$BA$3,"&gt;="&amp;$DG15,$B15:$Y15)),
IF(AJ$3=$DF15+'Model Setup'!$L$7,SUMIF($AD$3:$BA$3,"="&amp;$DF15+'Model Setup'!$L$7,$B15:$Y15)+'Model Setup'!$L$8*(SUMIF($AD$3:$BA$3,"&lt;"&amp;$DF15,$B15:$Y15)+SUMIF($AD$3:$BA$3,"&gt;="&amp;$DG15,$B15:$Y15)),
IF(AJ$3=$DF15+'Model Setup'!$M$7,SUMIF($AD$3:$BA$3,"="&amp;$DF15+'Model Setup'!$M$7,$B15:$Y15)+'Model Setup'!$M$8*(SUMIF($AD$3:$BA$3,"&lt;"&amp;$DF15,$B15:$Y15)+SUMIF($AD$3:$BA$3,"&gt;="&amp;$DG15,$B15:$Y15)),
IF(AJ$3=$DF15+'Model Setup'!$N$7,SUMIF($AD$3:$BA$3,"="&amp;$DF15+'Model Setup'!$N$7,$B15:$Y15)+'Model Setup'!$N$8*(SUMIF($AD$3:$BA$3,"&lt;"&amp;$DF15,$B15:$Y15)+SUMIF($AD$3:$BA$3,"&gt;="&amp;$DG15,$B15:$Y15)),
IF(AJ$3&lt;$DG15,H15,0))))))))))))))),0)</f>
        <v>130</v>
      </c>
      <c r="AK15" s="47">
        <f>ROUND(IF(AK$3&lt;$DF15,0,
IF(AK$3=$DF15+'Model Setup'!$B$7,SUMIF($AD$3:$BA$3,"="&amp;$DF15+'Model Setup'!$B$7,$B15:$Y15)+'Model Setup'!$B$8*(SUMIF($AD$3:$BA$3,"&lt;"&amp;$DF15,$B15:$Y15)+SUMIF($AD$3:$BA$3,"&gt;="&amp;$DG15,$B15:$Y15)),
IF(AK$3=$DF15+'Model Setup'!$C$7,SUMIF($AD$3:$BA$3,"="&amp;$DF15+'Model Setup'!$C$7,$B15:$Y15)+'Model Setup'!$C$8*(SUMIF($AD$3:$BA$3,"&lt;"&amp;$DF15,$B15:$Y15)+SUMIF($AD$3:$BA$3,"&gt;="&amp;$DG15,$B15:$Y15)),
IF(AK$3=$DF15+'Model Setup'!$D$7,SUMIF($AD$3:$BA$3,"="&amp;$DF15+'Model Setup'!$D$7,$B15:$Y15)+'Model Setup'!$D$8*(SUMIF($AD$3:$BA$3,"&lt;"&amp;$DF15,$B15:$Y15)+SUMIF($AD$3:$BA$3,"&gt;="&amp;$DG15,$B15:$Y15)),
IF(AK$3=$DF15+'Model Setup'!$E$7,SUMIF($AD$3:$BA$3,"="&amp;$DF15+'Model Setup'!$E$7,$B15:$Y15)+'Model Setup'!$E$8*(SUMIF($AD$3:$BA$3,"&lt;"&amp;$DF15,$B15:$Y15)+SUMIF($AD$3:$BA$3,"&gt;="&amp;$DG15,$B15:$Y15)),
IF(AK$3=$DF15+'Model Setup'!$F$7,SUMIF($AD$3:$BA$3,"="&amp;$DF15+'Model Setup'!$F$7,$B15:$Y15)+'Model Setup'!$F$8*(SUMIF($AD$3:$BA$3,"&lt;"&amp;$DF15,$B15:$Y15)+SUMIF($AD$3:$BA$3,"&gt;="&amp;$DG15,$B15:$Y15)),
IF(AK$3=$DF15+'Model Setup'!$G$7,SUMIF($AD$3:$BA$3,"="&amp;$DF15+'Model Setup'!$G$7,$B15:$Y15)+'Model Setup'!$G$8*(SUMIF($AD$3:$BA$3,"&lt;"&amp;$DF15,$B15:$Y15)+SUMIF($AD$3:$BA$3,"&gt;="&amp;$DG15,$B15:$Y15)),
IF(AK$3=$DF15+'Model Setup'!$H$7,SUMIF($AD$3:$BA$3,"="&amp;$DF15+'Model Setup'!$H$7,$B15:$Y15)+'Model Setup'!$H$8*(SUMIF($AD$3:$BA$3,"&lt;"&amp;$DF15,$B15:$Y15)+SUMIF($AD$3:$BA$3,"&gt;="&amp;$DG15,$B15:$Y15)),
IF(AK$3=$DF15+'Model Setup'!$I$7,SUMIF($AD$3:$BA$3,"="&amp;$DF15+'Model Setup'!$I$7,$B15:$Y15)+'Model Setup'!$I$8*(SUMIF($AD$3:$BA$3,"&lt;"&amp;$DF15,$B15:$Y15)+SUMIF($AD$3:$BA$3,"&gt;="&amp;$DG15,$B15:$Y15)),
IF(AK$3=$DF15+'Model Setup'!$J$7,SUMIF($AD$3:$BA$3,"="&amp;$DF15+'Model Setup'!$J$7,$B15:$Y15)+'Model Setup'!$J$8*(SUMIF($AD$3:$BA$3,"&lt;"&amp;$DF15,$B15:$Y15)+SUMIF($AD$3:$BA$3,"&gt;="&amp;$DG15,$B15:$Y15)),
IF(AK$3=$DF15+'Model Setup'!$K$7,SUMIF($AD$3:$BA$3,"="&amp;$DF15+'Model Setup'!$K$7,$B15:$Y15)+'Model Setup'!$K$8*(SUMIF($AD$3:$BA$3,"&lt;"&amp;$DF15,$B15:$Y15)+SUMIF($AD$3:$BA$3,"&gt;="&amp;$DG15,$B15:$Y15)),
IF(AK$3=$DF15+'Model Setup'!$L$7,SUMIF($AD$3:$BA$3,"="&amp;$DF15+'Model Setup'!$L$7,$B15:$Y15)+'Model Setup'!$L$8*(SUMIF($AD$3:$BA$3,"&lt;"&amp;$DF15,$B15:$Y15)+SUMIF($AD$3:$BA$3,"&gt;="&amp;$DG15,$B15:$Y15)),
IF(AK$3=$DF15+'Model Setup'!$M$7,SUMIF($AD$3:$BA$3,"="&amp;$DF15+'Model Setup'!$M$7,$B15:$Y15)+'Model Setup'!$M$8*(SUMIF($AD$3:$BA$3,"&lt;"&amp;$DF15,$B15:$Y15)+SUMIF($AD$3:$BA$3,"&gt;="&amp;$DG15,$B15:$Y15)),
IF(AK$3=$DF15+'Model Setup'!$N$7,SUMIF($AD$3:$BA$3,"="&amp;$DF15+'Model Setup'!$N$7,$B15:$Y15)+'Model Setup'!$N$8*(SUMIF($AD$3:$BA$3,"&lt;"&amp;$DF15,$B15:$Y15)+SUMIF($AD$3:$BA$3,"&gt;="&amp;$DG15,$B15:$Y15)),
IF(AK$3&lt;$DG15,I15,0))))))))))))))),0)</f>
        <v>128</v>
      </c>
      <c r="AL15" s="47">
        <f>ROUND(IF(AL$3&lt;$DF15,0,
IF(AL$3=$DF15+'Model Setup'!$B$7,SUMIF($AD$3:$BA$3,"="&amp;$DF15+'Model Setup'!$B$7,$B15:$Y15)+'Model Setup'!$B$8*(SUMIF($AD$3:$BA$3,"&lt;"&amp;$DF15,$B15:$Y15)+SUMIF($AD$3:$BA$3,"&gt;="&amp;$DG15,$B15:$Y15)),
IF(AL$3=$DF15+'Model Setup'!$C$7,SUMIF($AD$3:$BA$3,"="&amp;$DF15+'Model Setup'!$C$7,$B15:$Y15)+'Model Setup'!$C$8*(SUMIF($AD$3:$BA$3,"&lt;"&amp;$DF15,$B15:$Y15)+SUMIF($AD$3:$BA$3,"&gt;="&amp;$DG15,$B15:$Y15)),
IF(AL$3=$DF15+'Model Setup'!$D$7,SUMIF($AD$3:$BA$3,"="&amp;$DF15+'Model Setup'!$D$7,$B15:$Y15)+'Model Setup'!$D$8*(SUMIF($AD$3:$BA$3,"&lt;"&amp;$DF15,$B15:$Y15)+SUMIF($AD$3:$BA$3,"&gt;="&amp;$DG15,$B15:$Y15)),
IF(AL$3=$DF15+'Model Setup'!$E$7,SUMIF($AD$3:$BA$3,"="&amp;$DF15+'Model Setup'!$E$7,$B15:$Y15)+'Model Setup'!$E$8*(SUMIF($AD$3:$BA$3,"&lt;"&amp;$DF15,$B15:$Y15)+SUMIF($AD$3:$BA$3,"&gt;="&amp;$DG15,$B15:$Y15)),
IF(AL$3=$DF15+'Model Setup'!$F$7,SUMIF($AD$3:$BA$3,"="&amp;$DF15+'Model Setup'!$F$7,$B15:$Y15)+'Model Setup'!$F$8*(SUMIF($AD$3:$BA$3,"&lt;"&amp;$DF15,$B15:$Y15)+SUMIF($AD$3:$BA$3,"&gt;="&amp;$DG15,$B15:$Y15)),
IF(AL$3=$DF15+'Model Setup'!$G$7,SUMIF($AD$3:$BA$3,"="&amp;$DF15+'Model Setup'!$G$7,$B15:$Y15)+'Model Setup'!$G$8*(SUMIF($AD$3:$BA$3,"&lt;"&amp;$DF15,$B15:$Y15)+SUMIF($AD$3:$BA$3,"&gt;="&amp;$DG15,$B15:$Y15)),
IF(AL$3=$DF15+'Model Setup'!$H$7,SUMIF($AD$3:$BA$3,"="&amp;$DF15+'Model Setup'!$H$7,$B15:$Y15)+'Model Setup'!$H$8*(SUMIF($AD$3:$BA$3,"&lt;"&amp;$DF15,$B15:$Y15)+SUMIF($AD$3:$BA$3,"&gt;="&amp;$DG15,$B15:$Y15)),
IF(AL$3=$DF15+'Model Setup'!$I$7,SUMIF($AD$3:$BA$3,"="&amp;$DF15+'Model Setup'!$I$7,$B15:$Y15)+'Model Setup'!$I$8*(SUMIF($AD$3:$BA$3,"&lt;"&amp;$DF15,$B15:$Y15)+SUMIF($AD$3:$BA$3,"&gt;="&amp;$DG15,$B15:$Y15)),
IF(AL$3=$DF15+'Model Setup'!$J$7,SUMIF($AD$3:$BA$3,"="&amp;$DF15+'Model Setup'!$J$7,$B15:$Y15)+'Model Setup'!$J$8*(SUMIF($AD$3:$BA$3,"&lt;"&amp;$DF15,$B15:$Y15)+SUMIF($AD$3:$BA$3,"&gt;="&amp;$DG15,$B15:$Y15)),
IF(AL$3=$DF15+'Model Setup'!$K$7,SUMIF($AD$3:$BA$3,"="&amp;$DF15+'Model Setup'!$K$7,$B15:$Y15)+'Model Setup'!$K$8*(SUMIF($AD$3:$BA$3,"&lt;"&amp;$DF15,$B15:$Y15)+SUMIF($AD$3:$BA$3,"&gt;="&amp;$DG15,$B15:$Y15)),
IF(AL$3=$DF15+'Model Setup'!$L$7,SUMIF($AD$3:$BA$3,"="&amp;$DF15+'Model Setup'!$L$7,$B15:$Y15)+'Model Setup'!$L$8*(SUMIF($AD$3:$BA$3,"&lt;"&amp;$DF15,$B15:$Y15)+SUMIF($AD$3:$BA$3,"&gt;="&amp;$DG15,$B15:$Y15)),
IF(AL$3=$DF15+'Model Setup'!$M$7,SUMIF($AD$3:$BA$3,"="&amp;$DF15+'Model Setup'!$M$7,$B15:$Y15)+'Model Setup'!$M$8*(SUMIF($AD$3:$BA$3,"&lt;"&amp;$DF15,$B15:$Y15)+SUMIF($AD$3:$BA$3,"&gt;="&amp;$DG15,$B15:$Y15)),
IF(AL$3=$DF15+'Model Setup'!$N$7,SUMIF($AD$3:$BA$3,"="&amp;$DF15+'Model Setup'!$N$7,$B15:$Y15)+'Model Setup'!$N$8*(SUMIF($AD$3:$BA$3,"&lt;"&amp;$DF15,$B15:$Y15)+SUMIF($AD$3:$BA$3,"&gt;="&amp;$DG15,$B15:$Y15)),
IF(AL$3&lt;$DG15,J15,0))))))))))))))),0)</f>
        <v>146</v>
      </c>
      <c r="AM15" s="47">
        <f>ROUND(IF(AM$3&lt;$DF15,0,
IF(AM$3=$DF15+'Model Setup'!$B$7,SUMIF($AD$3:$BA$3,"="&amp;$DF15+'Model Setup'!$B$7,$B15:$Y15)+'Model Setup'!$B$8*(SUMIF($AD$3:$BA$3,"&lt;"&amp;$DF15,$B15:$Y15)+SUMIF($AD$3:$BA$3,"&gt;="&amp;$DG15,$B15:$Y15)),
IF(AM$3=$DF15+'Model Setup'!$C$7,SUMIF($AD$3:$BA$3,"="&amp;$DF15+'Model Setup'!$C$7,$B15:$Y15)+'Model Setup'!$C$8*(SUMIF($AD$3:$BA$3,"&lt;"&amp;$DF15,$B15:$Y15)+SUMIF($AD$3:$BA$3,"&gt;="&amp;$DG15,$B15:$Y15)),
IF(AM$3=$DF15+'Model Setup'!$D$7,SUMIF($AD$3:$BA$3,"="&amp;$DF15+'Model Setup'!$D$7,$B15:$Y15)+'Model Setup'!$D$8*(SUMIF($AD$3:$BA$3,"&lt;"&amp;$DF15,$B15:$Y15)+SUMIF($AD$3:$BA$3,"&gt;="&amp;$DG15,$B15:$Y15)),
IF(AM$3=$DF15+'Model Setup'!$E$7,SUMIF($AD$3:$BA$3,"="&amp;$DF15+'Model Setup'!$E$7,$B15:$Y15)+'Model Setup'!$E$8*(SUMIF($AD$3:$BA$3,"&lt;"&amp;$DF15,$B15:$Y15)+SUMIF($AD$3:$BA$3,"&gt;="&amp;$DG15,$B15:$Y15)),
IF(AM$3=$DF15+'Model Setup'!$F$7,SUMIF($AD$3:$BA$3,"="&amp;$DF15+'Model Setup'!$F$7,$B15:$Y15)+'Model Setup'!$F$8*(SUMIF($AD$3:$BA$3,"&lt;"&amp;$DF15,$B15:$Y15)+SUMIF($AD$3:$BA$3,"&gt;="&amp;$DG15,$B15:$Y15)),
IF(AM$3=$DF15+'Model Setup'!$G$7,SUMIF($AD$3:$BA$3,"="&amp;$DF15+'Model Setup'!$G$7,$B15:$Y15)+'Model Setup'!$G$8*(SUMIF($AD$3:$BA$3,"&lt;"&amp;$DF15,$B15:$Y15)+SUMIF($AD$3:$BA$3,"&gt;="&amp;$DG15,$B15:$Y15)),
IF(AM$3=$DF15+'Model Setup'!$H$7,SUMIF($AD$3:$BA$3,"="&amp;$DF15+'Model Setup'!$H$7,$B15:$Y15)+'Model Setup'!$H$8*(SUMIF($AD$3:$BA$3,"&lt;"&amp;$DF15,$B15:$Y15)+SUMIF($AD$3:$BA$3,"&gt;="&amp;$DG15,$B15:$Y15)),
IF(AM$3=$DF15+'Model Setup'!$I$7,SUMIF($AD$3:$BA$3,"="&amp;$DF15+'Model Setup'!$I$7,$B15:$Y15)+'Model Setup'!$I$8*(SUMIF($AD$3:$BA$3,"&lt;"&amp;$DF15,$B15:$Y15)+SUMIF($AD$3:$BA$3,"&gt;="&amp;$DG15,$B15:$Y15)),
IF(AM$3=$DF15+'Model Setup'!$J$7,SUMIF($AD$3:$BA$3,"="&amp;$DF15+'Model Setup'!$J$7,$B15:$Y15)+'Model Setup'!$J$8*(SUMIF($AD$3:$BA$3,"&lt;"&amp;$DF15,$B15:$Y15)+SUMIF($AD$3:$BA$3,"&gt;="&amp;$DG15,$B15:$Y15)),
IF(AM$3=$DF15+'Model Setup'!$K$7,SUMIF($AD$3:$BA$3,"="&amp;$DF15+'Model Setup'!$K$7,$B15:$Y15)+'Model Setup'!$K$8*(SUMIF($AD$3:$BA$3,"&lt;"&amp;$DF15,$B15:$Y15)+SUMIF($AD$3:$BA$3,"&gt;="&amp;$DG15,$B15:$Y15)),
IF(AM$3=$DF15+'Model Setup'!$L$7,SUMIF($AD$3:$BA$3,"="&amp;$DF15+'Model Setup'!$L$7,$B15:$Y15)+'Model Setup'!$L$8*(SUMIF($AD$3:$BA$3,"&lt;"&amp;$DF15,$B15:$Y15)+SUMIF($AD$3:$BA$3,"&gt;="&amp;$DG15,$B15:$Y15)),
IF(AM$3=$DF15+'Model Setup'!$M$7,SUMIF($AD$3:$BA$3,"="&amp;$DF15+'Model Setup'!$M$7,$B15:$Y15)+'Model Setup'!$M$8*(SUMIF($AD$3:$BA$3,"&lt;"&amp;$DF15,$B15:$Y15)+SUMIF($AD$3:$BA$3,"&gt;="&amp;$DG15,$B15:$Y15)),
IF(AM$3=$DF15+'Model Setup'!$N$7,SUMIF($AD$3:$BA$3,"="&amp;$DF15+'Model Setup'!$N$7,$B15:$Y15)+'Model Setup'!$N$8*(SUMIF($AD$3:$BA$3,"&lt;"&amp;$DF15,$B15:$Y15)+SUMIF($AD$3:$BA$3,"&gt;="&amp;$DG15,$B15:$Y15)),
IF(AM$3&lt;$DG15,K15,0))))))))))))))),0)</f>
        <v>143</v>
      </c>
      <c r="AN15" s="47">
        <f>ROUND(IF(AN$3&lt;$DF15,0,
IF(AN$3=$DF15+'Model Setup'!$B$7,SUMIF($AD$3:$BA$3,"="&amp;$DF15+'Model Setup'!$B$7,$B15:$Y15)+'Model Setup'!$B$8*(SUMIF($AD$3:$BA$3,"&lt;"&amp;$DF15,$B15:$Y15)+SUMIF($AD$3:$BA$3,"&gt;="&amp;$DG15,$B15:$Y15)),
IF(AN$3=$DF15+'Model Setup'!$C$7,SUMIF($AD$3:$BA$3,"="&amp;$DF15+'Model Setup'!$C$7,$B15:$Y15)+'Model Setup'!$C$8*(SUMIF($AD$3:$BA$3,"&lt;"&amp;$DF15,$B15:$Y15)+SUMIF($AD$3:$BA$3,"&gt;="&amp;$DG15,$B15:$Y15)),
IF(AN$3=$DF15+'Model Setup'!$D$7,SUMIF($AD$3:$BA$3,"="&amp;$DF15+'Model Setup'!$D$7,$B15:$Y15)+'Model Setup'!$D$8*(SUMIF($AD$3:$BA$3,"&lt;"&amp;$DF15,$B15:$Y15)+SUMIF($AD$3:$BA$3,"&gt;="&amp;$DG15,$B15:$Y15)),
IF(AN$3=$DF15+'Model Setup'!$E$7,SUMIF($AD$3:$BA$3,"="&amp;$DF15+'Model Setup'!$E$7,$B15:$Y15)+'Model Setup'!$E$8*(SUMIF($AD$3:$BA$3,"&lt;"&amp;$DF15,$B15:$Y15)+SUMIF($AD$3:$BA$3,"&gt;="&amp;$DG15,$B15:$Y15)),
IF(AN$3=$DF15+'Model Setup'!$F$7,SUMIF($AD$3:$BA$3,"="&amp;$DF15+'Model Setup'!$F$7,$B15:$Y15)+'Model Setup'!$F$8*(SUMIF($AD$3:$BA$3,"&lt;"&amp;$DF15,$B15:$Y15)+SUMIF($AD$3:$BA$3,"&gt;="&amp;$DG15,$B15:$Y15)),
IF(AN$3=$DF15+'Model Setup'!$G$7,SUMIF($AD$3:$BA$3,"="&amp;$DF15+'Model Setup'!$G$7,$B15:$Y15)+'Model Setup'!$G$8*(SUMIF($AD$3:$BA$3,"&lt;"&amp;$DF15,$B15:$Y15)+SUMIF($AD$3:$BA$3,"&gt;="&amp;$DG15,$B15:$Y15)),
IF(AN$3=$DF15+'Model Setup'!$H$7,SUMIF($AD$3:$BA$3,"="&amp;$DF15+'Model Setup'!$H$7,$B15:$Y15)+'Model Setup'!$H$8*(SUMIF($AD$3:$BA$3,"&lt;"&amp;$DF15,$B15:$Y15)+SUMIF($AD$3:$BA$3,"&gt;="&amp;$DG15,$B15:$Y15)),
IF(AN$3=$DF15+'Model Setup'!$I$7,SUMIF($AD$3:$BA$3,"="&amp;$DF15+'Model Setup'!$I$7,$B15:$Y15)+'Model Setup'!$I$8*(SUMIF($AD$3:$BA$3,"&lt;"&amp;$DF15,$B15:$Y15)+SUMIF($AD$3:$BA$3,"&gt;="&amp;$DG15,$B15:$Y15)),
IF(AN$3=$DF15+'Model Setup'!$J$7,SUMIF($AD$3:$BA$3,"="&amp;$DF15+'Model Setup'!$J$7,$B15:$Y15)+'Model Setup'!$J$8*(SUMIF($AD$3:$BA$3,"&lt;"&amp;$DF15,$B15:$Y15)+SUMIF($AD$3:$BA$3,"&gt;="&amp;$DG15,$B15:$Y15)),
IF(AN$3=$DF15+'Model Setup'!$K$7,SUMIF($AD$3:$BA$3,"="&amp;$DF15+'Model Setup'!$K$7,$B15:$Y15)+'Model Setup'!$K$8*(SUMIF($AD$3:$BA$3,"&lt;"&amp;$DF15,$B15:$Y15)+SUMIF($AD$3:$BA$3,"&gt;="&amp;$DG15,$B15:$Y15)),
IF(AN$3=$DF15+'Model Setup'!$L$7,SUMIF($AD$3:$BA$3,"="&amp;$DF15+'Model Setup'!$L$7,$B15:$Y15)+'Model Setup'!$L$8*(SUMIF($AD$3:$BA$3,"&lt;"&amp;$DF15,$B15:$Y15)+SUMIF($AD$3:$BA$3,"&gt;="&amp;$DG15,$B15:$Y15)),
IF(AN$3=$DF15+'Model Setup'!$M$7,SUMIF($AD$3:$BA$3,"="&amp;$DF15+'Model Setup'!$M$7,$B15:$Y15)+'Model Setup'!$M$8*(SUMIF($AD$3:$BA$3,"&lt;"&amp;$DF15,$B15:$Y15)+SUMIF($AD$3:$BA$3,"&gt;="&amp;$DG15,$B15:$Y15)),
IF(AN$3=$DF15+'Model Setup'!$N$7,SUMIF($AD$3:$BA$3,"="&amp;$DF15+'Model Setup'!$N$7,$B15:$Y15)+'Model Setup'!$N$8*(SUMIF($AD$3:$BA$3,"&lt;"&amp;$DF15,$B15:$Y15)+SUMIF($AD$3:$BA$3,"&gt;="&amp;$DG15,$B15:$Y15)),
IF(AN$3&lt;$DG15,L15,0))))))))))))))),0)</f>
        <v>119</v>
      </c>
      <c r="AO15" s="47">
        <f>ROUND(IF(AO$3&lt;$DF15,0,
IF(AO$3=$DF15+'Model Setup'!$B$7,SUMIF($AD$3:$BA$3,"="&amp;$DF15+'Model Setup'!$B$7,$B15:$Y15)+'Model Setup'!$B$8*(SUMIF($AD$3:$BA$3,"&lt;"&amp;$DF15,$B15:$Y15)+SUMIF($AD$3:$BA$3,"&gt;="&amp;$DG15,$B15:$Y15)),
IF(AO$3=$DF15+'Model Setup'!$C$7,SUMIF($AD$3:$BA$3,"="&amp;$DF15+'Model Setup'!$C$7,$B15:$Y15)+'Model Setup'!$C$8*(SUMIF($AD$3:$BA$3,"&lt;"&amp;$DF15,$B15:$Y15)+SUMIF($AD$3:$BA$3,"&gt;="&amp;$DG15,$B15:$Y15)),
IF(AO$3=$DF15+'Model Setup'!$D$7,SUMIF($AD$3:$BA$3,"="&amp;$DF15+'Model Setup'!$D$7,$B15:$Y15)+'Model Setup'!$D$8*(SUMIF($AD$3:$BA$3,"&lt;"&amp;$DF15,$B15:$Y15)+SUMIF($AD$3:$BA$3,"&gt;="&amp;$DG15,$B15:$Y15)),
IF(AO$3=$DF15+'Model Setup'!$E$7,SUMIF($AD$3:$BA$3,"="&amp;$DF15+'Model Setup'!$E$7,$B15:$Y15)+'Model Setup'!$E$8*(SUMIF($AD$3:$BA$3,"&lt;"&amp;$DF15,$B15:$Y15)+SUMIF($AD$3:$BA$3,"&gt;="&amp;$DG15,$B15:$Y15)),
IF(AO$3=$DF15+'Model Setup'!$F$7,SUMIF($AD$3:$BA$3,"="&amp;$DF15+'Model Setup'!$F$7,$B15:$Y15)+'Model Setup'!$F$8*(SUMIF($AD$3:$BA$3,"&lt;"&amp;$DF15,$B15:$Y15)+SUMIF($AD$3:$BA$3,"&gt;="&amp;$DG15,$B15:$Y15)),
IF(AO$3=$DF15+'Model Setup'!$G$7,SUMIF($AD$3:$BA$3,"="&amp;$DF15+'Model Setup'!$G$7,$B15:$Y15)+'Model Setup'!$G$8*(SUMIF($AD$3:$BA$3,"&lt;"&amp;$DF15,$B15:$Y15)+SUMIF($AD$3:$BA$3,"&gt;="&amp;$DG15,$B15:$Y15)),
IF(AO$3=$DF15+'Model Setup'!$H$7,SUMIF($AD$3:$BA$3,"="&amp;$DF15+'Model Setup'!$H$7,$B15:$Y15)+'Model Setup'!$H$8*(SUMIF($AD$3:$BA$3,"&lt;"&amp;$DF15,$B15:$Y15)+SUMIF($AD$3:$BA$3,"&gt;="&amp;$DG15,$B15:$Y15)),
IF(AO$3=$DF15+'Model Setup'!$I$7,SUMIF($AD$3:$BA$3,"="&amp;$DF15+'Model Setup'!$I$7,$B15:$Y15)+'Model Setup'!$I$8*(SUMIF($AD$3:$BA$3,"&lt;"&amp;$DF15,$B15:$Y15)+SUMIF($AD$3:$BA$3,"&gt;="&amp;$DG15,$B15:$Y15)),
IF(AO$3=$DF15+'Model Setup'!$J$7,SUMIF($AD$3:$BA$3,"="&amp;$DF15+'Model Setup'!$J$7,$B15:$Y15)+'Model Setup'!$J$8*(SUMIF($AD$3:$BA$3,"&lt;"&amp;$DF15,$B15:$Y15)+SUMIF($AD$3:$BA$3,"&gt;="&amp;$DG15,$B15:$Y15)),
IF(AO$3=$DF15+'Model Setup'!$K$7,SUMIF($AD$3:$BA$3,"="&amp;$DF15+'Model Setup'!$K$7,$B15:$Y15)+'Model Setup'!$K$8*(SUMIF($AD$3:$BA$3,"&lt;"&amp;$DF15,$B15:$Y15)+SUMIF($AD$3:$BA$3,"&gt;="&amp;$DG15,$B15:$Y15)),
IF(AO$3=$DF15+'Model Setup'!$L$7,SUMIF($AD$3:$BA$3,"="&amp;$DF15+'Model Setup'!$L$7,$B15:$Y15)+'Model Setup'!$L$8*(SUMIF($AD$3:$BA$3,"&lt;"&amp;$DF15,$B15:$Y15)+SUMIF($AD$3:$BA$3,"&gt;="&amp;$DG15,$B15:$Y15)),
IF(AO$3=$DF15+'Model Setup'!$M$7,SUMIF($AD$3:$BA$3,"="&amp;$DF15+'Model Setup'!$M$7,$B15:$Y15)+'Model Setup'!$M$8*(SUMIF($AD$3:$BA$3,"&lt;"&amp;$DF15,$B15:$Y15)+SUMIF($AD$3:$BA$3,"&gt;="&amp;$DG15,$B15:$Y15)),
IF(AO$3=$DF15+'Model Setup'!$N$7,SUMIF($AD$3:$BA$3,"="&amp;$DF15+'Model Setup'!$N$7,$B15:$Y15)+'Model Setup'!$N$8*(SUMIF($AD$3:$BA$3,"&lt;"&amp;$DF15,$B15:$Y15)+SUMIF($AD$3:$BA$3,"&gt;="&amp;$DG15,$B15:$Y15)),
IF(AO$3&lt;$DG15,M15,0))))))))))))))),0)</f>
        <v>99</v>
      </c>
      <c r="AP15" s="47">
        <f>ROUND(IF(AP$3&lt;$DF15,0,
IF(AP$3=$DF15+'Model Setup'!$B$7,SUMIF($AD$3:$BA$3,"="&amp;$DF15+'Model Setup'!$B$7,$B15:$Y15)+'Model Setup'!$B$8*(SUMIF($AD$3:$BA$3,"&lt;"&amp;$DF15,$B15:$Y15)+SUMIF($AD$3:$BA$3,"&gt;="&amp;$DG15,$B15:$Y15)),
IF(AP$3=$DF15+'Model Setup'!$C$7,SUMIF($AD$3:$BA$3,"="&amp;$DF15+'Model Setup'!$C$7,$B15:$Y15)+'Model Setup'!$C$8*(SUMIF($AD$3:$BA$3,"&lt;"&amp;$DF15,$B15:$Y15)+SUMIF($AD$3:$BA$3,"&gt;="&amp;$DG15,$B15:$Y15)),
IF(AP$3=$DF15+'Model Setup'!$D$7,SUMIF($AD$3:$BA$3,"="&amp;$DF15+'Model Setup'!$D$7,$B15:$Y15)+'Model Setup'!$D$8*(SUMIF($AD$3:$BA$3,"&lt;"&amp;$DF15,$B15:$Y15)+SUMIF($AD$3:$BA$3,"&gt;="&amp;$DG15,$B15:$Y15)),
IF(AP$3=$DF15+'Model Setup'!$E$7,SUMIF($AD$3:$BA$3,"="&amp;$DF15+'Model Setup'!$E$7,$B15:$Y15)+'Model Setup'!$E$8*(SUMIF($AD$3:$BA$3,"&lt;"&amp;$DF15,$B15:$Y15)+SUMIF($AD$3:$BA$3,"&gt;="&amp;$DG15,$B15:$Y15)),
IF(AP$3=$DF15+'Model Setup'!$F$7,SUMIF($AD$3:$BA$3,"="&amp;$DF15+'Model Setup'!$F$7,$B15:$Y15)+'Model Setup'!$F$8*(SUMIF($AD$3:$BA$3,"&lt;"&amp;$DF15,$B15:$Y15)+SUMIF($AD$3:$BA$3,"&gt;="&amp;$DG15,$B15:$Y15)),
IF(AP$3=$DF15+'Model Setup'!$G$7,SUMIF($AD$3:$BA$3,"="&amp;$DF15+'Model Setup'!$G$7,$B15:$Y15)+'Model Setup'!$G$8*(SUMIF($AD$3:$BA$3,"&lt;"&amp;$DF15,$B15:$Y15)+SUMIF($AD$3:$BA$3,"&gt;="&amp;$DG15,$B15:$Y15)),
IF(AP$3=$DF15+'Model Setup'!$H$7,SUMIF($AD$3:$BA$3,"="&amp;$DF15+'Model Setup'!$H$7,$B15:$Y15)+'Model Setup'!$H$8*(SUMIF($AD$3:$BA$3,"&lt;"&amp;$DF15,$B15:$Y15)+SUMIF($AD$3:$BA$3,"&gt;="&amp;$DG15,$B15:$Y15)),
IF(AP$3=$DF15+'Model Setup'!$I$7,SUMIF($AD$3:$BA$3,"="&amp;$DF15+'Model Setup'!$I$7,$B15:$Y15)+'Model Setup'!$I$8*(SUMIF($AD$3:$BA$3,"&lt;"&amp;$DF15,$B15:$Y15)+SUMIF($AD$3:$BA$3,"&gt;="&amp;$DG15,$B15:$Y15)),
IF(AP$3=$DF15+'Model Setup'!$J$7,SUMIF($AD$3:$BA$3,"="&amp;$DF15+'Model Setup'!$J$7,$B15:$Y15)+'Model Setup'!$J$8*(SUMIF($AD$3:$BA$3,"&lt;"&amp;$DF15,$B15:$Y15)+SUMIF($AD$3:$BA$3,"&gt;="&amp;$DG15,$B15:$Y15)),
IF(AP$3=$DF15+'Model Setup'!$K$7,SUMIF($AD$3:$BA$3,"="&amp;$DF15+'Model Setup'!$K$7,$B15:$Y15)+'Model Setup'!$K$8*(SUMIF($AD$3:$BA$3,"&lt;"&amp;$DF15,$B15:$Y15)+SUMIF($AD$3:$BA$3,"&gt;="&amp;$DG15,$B15:$Y15)),
IF(AP$3=$DF15+'Model Setup'!$L$7,SUMIF($AD$3:$BA$3,"="&amp;$DF15+'Model Setup'!$L$7,$B15:$Y15)+'Model Setup'!$L$8*(SUMIF($AD$3:$BA$3,"&lt;"&amp;$DF15,$B15:$Y15)+SUMIF($AD$3:$BA$3,"&gt;="&amp;$DG15,$B15:$Y15)),
IF(AP$3=$DF15+'Model Setup'!$M$7,SUMIF($AD$3:$BA$3,"="&amp;$DF15+'Model Setup'!$M$7,$B15:$Y15)+'Model Setup'!$M$8*(SUMIF($AD$3:$BA$3,"&lt;"&amp;$DF15,$B15:$Y15)+SUMIF($AD$3:$BA$3,"&gt;="&amp;$DG15,$B15:$Y15)),
IF(AP$3=$DF15+'Model Setup'!$N$7,SUMIF($AD$3:$BA$3,"="&amp;$DF15+'Model Setup'!$N$7,$B15:$Y15)+'Model Setup'!$N$8*(SUMIF($AD$3:$BA$3,"&lt;"&amp;$DF15,$B15:$Y15)+SUMIF($AD$3:$BA$3,"&gt;="&amp;$DG15,$B15:$Y15)),
IF(AP$3&lt;$DG15,N15,0))))))))))))))),0)</f>
        <v>76</v>
      </c>
      <c r="AQ15" s="47">
        <f>ROUND(IF(AQ$3&lt;$DF15,0,
IF(AQ$3=$DF15+'Model Setup'!$B$7,SUMIF($AD$3:$BA$3,"="&amp;$DF15+'Model Setup'!$B$7,$B15:$Y15)+'Model Setup'!$B$8*(SUMIF($AD$3:$BA$3,"&lt;"&amp;$DF15,$B15:$Y15)+SUMIF($AD$3:$BA$3,"&gt;="&amp;$DG15,$B15:$Y15)),
IF(AQ$3=$DF15+'Model Setup'!$C$7,SUMIF($AD$3:$BA$3,"="&amp;$DF15+'Model Setup'!$C$7,$B15:$Y15)+'Model Setup'!$C$8*(SUMIF($AD$3:$BA$3,"&lt;"&amp;$DF15,$B15:$Y15)+SUMIF($AD$3:$BA$3,"&gt;="&amp;$DG15,$B15:$Y15)),
IF(AQ$3=$DF15+'Model Setup'!$D$7,SUMIF($AD$3:$BA$3,"="&amp;$DF15+'Model Setup'!$D$7,$B15:$Y15)+'Model Setup'!$D$8*(SUMIF($AD$3:$BA$3,"&lt;"&amp;$DF15,$B15:$Y15)+SUMIF($AD$3:$BA$3,"&gt;="&amp;$DG15,$B15:$Y15)),
IF(AQ$3=$DF15+'Model Setup'!$E$7,SUMIF($AD$3:$BA$3,"="&amp;$DF15+'Model Setup'!$E$7,$B15:$Y15)+'Model Setup'!$E$8*(SUMIF($AD$3:$BA$3,"&lt;"&amp;$DF15,$B15:$Y15)+SUMIF($AD$3:$BA$3,"&gt;="&amp;$DG15,$B15:$Y15)),
IF(AQ$3=$DF15+'Model Setup'!$F$7,SUMIF($AD$3:$BA$3,"="&amp;$DF15+'Model Setup'!$F$7,$B15:$Y15)+'Model Setup'!$F$8*(SUMIF($AD$3:$BA$3,"&lt;"&amp;$DF15,$B15:$Y15)+SUMIF($AD$3:$BA$3,"&gt;="&amp;$DG15,$B15:$Y15)),
IF(AQ$3=$DF15+'Model Setup'!$G$7,SUMIF($AD$3:$BA$3,"="&amp;$DF15+'Model Setup'!$G$7,$B15:$Y15)+'Model Setup'!$G$8*(SUMIF($AD$3:$BA$3,"&lt;"&amp;$DF15,$B15:$Y15)+SUMIF($AD$3:$BA$3,"&gt;="&amp;$DG15,$B15:$Y15)),
IF(AQ$3=$DF15+'Model Setup'!$H$7,SUMIF($AD$3:$BA$3,"="&amp;$DF15+'Model Setup'!$H$7,$B15:$Y15)+'Model Setup'!$H$8*(SUMIF($AD$3:$BA$3,"&lt;"&amp;$DF15,$B15:$Y15)+SUMIF($AD$3:$BA$3,"&gt;="&amp;$DG15,$B15:$Y15)),
IF(AQ$3=$DF15+'Model Setup'!$I$7,SUMIF($AD$3:$BA$3,"="&amp;$DF15+'Model Setup'!$I$7,$B15:$Y15)+'Model Setup'!$I$8*(SUMIF($AD$3:$BA$3,"&lt;"&amp;$DF15,$B15:$Y15)+SUMIF($AD$3:$BA$3,"&gt;="&amp;$DG15,$B15:$Y15)),
IF(AQ$3=$DF15+'Model Setup'!$J$7,SUMIF($AD$3:$BA$3,"="&amp;$DF15+'Model Setup'!$J$7,$B15:$Y15)+'Model Setup'!$J$8*(SUMIF($AD$3:$BA$3,"&lt;"&amp;$DF15,$B15:$Y15)+SUMIF($AD$3:$BA$3,"&gt;="&amp;$DG15,$B15:$Y15)),
IF(AQ$3=$DF15+'Model Setup'!$K$7,SUMIF($AD$3:$BA$3,"="&amp;$DF15+'Model Setup'!$K$7,$B15:$Y15)+'Model Setup'!$K$8*(SUMIF($AD$3:$BA$3,"&lt;"&amp;$DF15,$B15:$Y15)+SUMIF($AD$3:$BA$3,"&gt;="&amp;$DG15,$B15:$Y15)),
IF(AQ$3=$DF15+'Model Setup'!$L$7,SUMIF($AD$3:$BA$3,"="&amp;$DF15+'Model Setup'!$L$7,$B15:$Y15)+'Model Setup'!$L$8*(SUMIF($AD$3:$BA$3,"&lt;"&amp;$DF15,$B15:$Y15)+SUMIF($AD$3:$BA$3,"&gt;="&amp;$DG15,$B15:$Y15)),
IF(AQ$3=$DF15+'Model Setup'!$M$7,SUMIF($AD$3:$BA$3,"="&amp;$DF15+'Model Setup'!$M$7,$B15:$Y15)+'Model Setup'!$M$8*(SUMIF($AD$3:$BA$3,"&lt;"&amp;$DF15,$B15:$Y15)+SUMIF($AD$3:$BA$3,"&gt;="&amp;$DG15,$B15:$Y15)),
IF(AQ$3=$DF15+'Model Setup'!$N$7,SUMIF($AD$3:$BA$3,"="&amp;$DF15+'Model Setup'!$N$7,$B15:$Y15)+'Model Setup'!$N$8*(SUMIF($AD$3:$BA$3,"&lt;"&amp;$DF15,$B15:$Y15)+SUMIF($AD$3:$BA$3,"&gt;="&amp;$DG15,$B15:$Y15)),
IF(AQ$3&lt;$DG15,O15,0))))))))))))))),0)</f>
        <v>59</v>
      </c>
      <c r="AR15" s="47">
        <f>ROUND(IF(AR$3&lt;$DF15,0,
IF(AR$3=$DF15+'Model Setup'!$B$7,SUMIF($AD$3:$BA$3,"="&amp;$DF15+'Model Setup'!$B$7,$B15:$Y15)+'Model Setup'!$B$8*(SUMIF($AD$3:$BA$3,"&lt;"&amp;$DF15,$B15:$Y15)+SUMIF($AD$3:$BA$3,"&gt;="&amp;$DG15,$B15:$Y15)),
IF(AR$3=$DF15+'Model Setup'!$C$7,SUMIF($AD$3:$BA$3,"="&amp;$DF15+'Model Setup'!$C$7,$B15:$Y15)+'Model Setup'!$C$8*(SUMIF($AD$3:$BA$3,"&lt;"&amp;$DF15,$B15:$Y15)+SUMIF($AD$3:$BA$3,"&gt;="&amp;$DG15,$B15:$Y15)),
IF(AR$3=$DF15+'Model Setup'!$D$7,SUMIF($AD$3:$BA$3,"="&amp;$DF15+'Model Setup'!$D$7,$B15:$Y15)+'Model Setup'!$D$8*(SUMIF($AD$3:$BA$3,"&lt;"&amp;$DF15,$B15:$Y15)+SUMIF($AD$3:$BA$3,"&gt;="&amp;$DG15,$B15:$Y15)),
IF(AR$3=$DF15+'Model Setup'!$E$7,SUMIF($AD$3:$BA$3,"="&amp;$DF15+'Model Setup'!$E$7,$B15:$Y15)+'Model Setup'!$E$8*(SUMIF($AD$3:$BA$3,"&lt;"&amp;$DF15,$B15:$Y15)+SUMIF($AD$3:$BA$3,"&gt;="&amp;$DG15,$B15:$Y15)),
IF(AR$3=$DF15+'Model Setup'!$F$7,SUMIF($AD$3:$BA$3,"="&amp;$DF15+'Model Setup'!$F$7,$B15:$Y15)+'Model Setup'!$F$8*(SUMIF($AD$3:$BA$3,"&lt;"&amp;$DF15,$B15:$Y15)+SUMIF($AD$3:$BA$3,"&gt;="&amp;$DG15,$B15:$Y15)),
IF(AR$3=$DF15+'Model Setup'!$G$7,SUMIF($AD$3:$BA$3,"="&amp;$DF15+'Model Setup'!$G$7,$B15:$Y15)+'Model Setup'!$G$8*(SUMIF($AD$3:$BA$3,"&lt;"&amp;$DF15,$B15:$Y15)+SUMIF($AD$3:$BA$3,"&gt;="&amp;$DG15,$B15:$Y15)),
IF(AR$3=$DF15+'Model Setup'!$H$7,SUMIF($AD$3:$BA$3,"="&amp;$DF15+'Model Setup'!$H$7,$B15:$Y15)+'Model Setup'!$H$8*(SUMIF($AD$3:$BA$3,"&lt;"&amp;$DF15,$B15:$Y15)+SUMIF($AD$3:$BA$3,"&gt;="&amp;$DG15,$B15:$Y15)),
IF(AR$3=$DF15+'Model Setup'!$I$7,SUMIF($AD$3:$BA$3,"="&amp;$DF15+'Model Setup'!$I$7,$B15:$Y15)+'Model Setup'!$I$8*(SUMIF($AD$3:$BA$3,"&lt;"&amp;$DF15,$B15:$Y15)+SUMIF($AD$3:$BA$3,"&gt;="&amp;$DG15,$B15:$Y15)),
IF(AR$3=$DF15+'Model Setup'!$J$7,SUMIF($AD$3:$BA$3,"="&amp;$DF15+'Model Setup'!$J$7,$B15:$Y15)+'Model Setup'!$J$8*(SUMIF($AD$3:$BA$3,"&lt;"&amp;$DF15,$B15:$Y15)+SUMIF($AD$3:$BA$3,"&gt;="&amp;$DG15,$B15:$Y15)),
IF(AR$3=$DF15+'Model Setup'!$K$7,SUMIF($AD$3:$BA$3,"="&amp;$DF15+'Model Setup'!$K$7,$B15:$Y15)+'Model Setup'!$K$8*(SUMIF($AD$3:$BA$3,"&lt;"&amp;$DF15,$B15:$Y15)+SUMIF($AD$3:$BA$3,"&gt;="&amp;$DG15,$B15:$Y15)),
IF(AR$3=$DF15+'Model Setup'!$L$7,SUMIF($AD$3:$BA$3,"="&amp;$DF15+'Model Setup'!$L$7,$B15:$Y15)+'Model Setup'!$L$8*(SUMIF($AD$3:$BA$3,"&lt;"&amp;$DF15,$B15:$Y15)+SUMIF($AD$3:$BA$3,"&gt;="&amp;$DG15,$B15:$Y15)),
IF(AR$3=$DF15+'Model Setup'!$M$7,SUMIF($AD$3:$BA$3,"="&amp;$DF15+'Model Setup'!$M$7,$B15:$Y15)+'Model Setup'!$M$8*(SUMIF($AD$3:$BA$3,"&lt;"&amp;$DF15,$B15:$Y15)+SUMIF($AD$3:$BA$3,"&gt;="&amp;$DG15,$B15:$Y15)),
IF(AR$3=$DF15+'Model Setup'!$N$7,SUMIF($AD$3:$BA$3,"="&amp;$DF15+'Model Setup'!$N$7,$B15:$Y15)+'Model Setup'!$N$8*(SUMIF($AD$3:$BA$3,"&lt;"&amp;$DF15,$B15:$Y15)+SUMIF($AD$3:$BA$3,"&gt;="&amp;$DG15,$B15:$Y15)),
IF(AR$3&lt;$DG15,P15,0))))))))))))))),0)</f>
        <v>53</v>
      </c>
      <c r="AS15" s="47">
        <f>ROUND(IF(AS$3&lt;$DF15,0,
IF(AS$3=$DF15+'Model Setup'!$B$7,SUMIF($AD$3:$BA$3,"="&amp;$DF15+'Model Setup'!$B$7,$B15:$Y15)+'Model Setup'!$B$8*(SUMIF($AD$3:$BA$3,"&lt;"&amp;$DF15,$B15:$Y15)+SUMIF($AD$3:$BA$3,"&gt;="&amp;$DG15,$B15:$Y15)),
IF(AS$3=$DF15+'Model Setup'!$C$7,SUMIF($AD$3:$BA$3,"="&amp;$DF15+'Model Setup'!$C$7,$B15:$Y15)+'Model Setup'!$C$8*(SUMIF($AD$3:$BA$3,"&lt;"&amp;$DF15,$B15:$Y15)+SUMIF($AD$3:$BA$3,"&gt;="&amp;$DG15,$B15:$Y15)),
IF(AS$3=$DF15+'Model Setup'!$D$7,SUMIF($AD$3:$BA$3,"="&amp;$DF15+'Model Setup'!$D$7,$B15:$Y15)+'Model Setup'!$D$8*(SUMIF($AD$3:$BA$3,"&lt;"&amp;$DF15,$B15:$Y15)+SUMIF($AD$3:$BA$3,"&gt;="&amp;$DG15,$B15:$Y15)),
IF(AS$3=$DF15+'Model Setup'!$E$7,SUMIF($AD$3:$BA$3,"="&amp;$DF15+'Model Setup'!$E$7,$B15:$Y15)+'Model Setup'!$E$8*(SUMIF($AD$3:$BA$3,"&lt;"&amp;$DF15,$B15:$Y15)+SUMIF($AD$3:$BA$3,"&gt;="&amp;$DG15,$B15:$Y15)),
IF(AS$3=$DF15+'Model Setup'!$F$7,SUMIF($AD$3:$BA$3,"="&amp;$DF15+'Model Setup'!$F$7,$B15:$Y15)+'Model Setup'!$F$8*(SUMIF($AD$3:$BA$3,"&lt;"&amp;$DF15,$B15:$Y15)+SUMIF($AD$3:$BA$3,"&gt;="&amp;$DG15,$B15:$Y15)),
IF(AS$3=$DF15+'Model Setup'!$G$7,SUMIF($AD$3:$BA$3,"="&amp;$DF15+'Model Setup'!$G$7,$B15:$Y15)+'Model Setup'!$G$8*(SUMIF($AD$3:$BA$3,"&lt;"&amp;$DF15,$B15:$Y15)+SUMIF($AD$3:$BA$3,"&gt;="&amp;$DG15,$B15:$Y15)),
IF(AS$3=$DF15+'Model Setup'!$H$7,SUMIF($AD$3:$BA$3,"="&amp;$DF15+'Model Setup'!$H$7,$B15:$Y15)+'Model Setup'!$H$8*(SUMIF($AD$3:$BA$3,"&lt;"&amp;$DF15,$B15:$Y15)+SUMIF($AD$3:$BA$3,"&gt;="&amp;$DG15,$B15:$Y15)),
IF(AS$3=$DF15+'Model Setup'!$I$7,SUMIF($AD$3:$BA$3,"="&amp;$DF15+'Model Setup'!$I$7,$B15:$Y15)+'Model Setup'!$I$8*(SUMIF($AD$3:$BA$3,"&lt;"&amp;$DF15,$B15:$Y15)+SUMIF($AD$3:$BA$3,"&gt;="&amp;$DG15,$B15:$Y15)),
IF(AS$3=$DF15+'Model Setup'!$J$7,SUMIF($AD$3:$BA$3,"="&amp;$DF15+'Model Setup'!$J$7,$B15:$Y15)+'Model Setup'!$J$8*(SUMIF($AD$3:$BA$3,"&lt;"&amp;$DF15,$B15:$Y15)+SUMIF($AD$3:$BA$3,"&gt;="&amp;$DG15,$B15:$Y15)),
IF(AS$3=$DF15+'Model Setup'!$K$7,SUMIF($AD$3:$BA$3,"="&amp;$DF15+'Model Setup'!$K$7,$B15:$Y15)+'Model Setup'!$K$8*(SUMIF($AD$3:$BA$3,"&lt;"&amp;$DF15,$B15:$Y15)+SUMIF($AD$3:$BA$3,"&gt;="&amp;$DG15,$B15:$Y15)),
IF(AS$3=$DF15+'Model Setup'!$L$7,SUMIF($AD$3:$BA$3,"="&amp;$DF15+'Model Setup'!$L$7,$B15:$Y15)+'Model Setup'!$L$8*(SUMIF($AD$3:$BA$3,"&lt;"&amp;$DF15,$B15:$Y15)+SUMIF($AD$3:$BA$3,"&gt;="&amp;$DG15,$B15:$Y15)),
IF(AS$3=$DF15+'Model Setup'!$M$7,SUMIF($AD$3:$BA$3,"="&amp;$DF15+'Model Setup'!$M$7,$B15:$Y15)+'Model Setup'!$M$8*(SUMIF($AD$3:$BA$3,"&lt;"&amp;$DF15,$B15:$Y15)+SUMIF($AD$3:$BA$3,"&gt;="&amp;$DG15,$B15:$Y15)),
IF(AS$3=$DF15+'Model Setup'!$N$7,SUMIF($AD$3:$BA$3,"="&amp;$DF15+'Model Setup'!$N$7,$B15:$Y15)+'Model Setup'!$N$8*(SUMIF($AD$3:$BA$3,"&lt;"&amp;$DF15,$B15:$Y15)+SUMIF($AD$3:$BA$3,"&gt;="&amp;$DG15,$B15:$Y15)),
IF(AS$3&lt;$DG15,Q15,0))))))))))))))),0)</f>
        <v>70</v>
      </c>
      <c r="AT15" s="47">
        <f>ROUND(IF(AT$3&lt;$DF15,0,
IF(AT$3=$DF15+'Model Setup'!$B$7,SUMIF($AD$3:$BA$3,"="&amp;$DF15+'Model Setup'!$B$7,$B15:$Y15)+'Model Setup'!$B$8*(SUMIF($AD$3:$BA$3,"&lt;"&amp;$DF15,$B15:$Y15)+SUMIF($AD$3:$BA$3,"&gt;="&amp;$DG15,$B15:$Y15)),
IF(AT$3=$DF15+'Model Setup'!$C$7,SUMIF($AD$3:$BA$3,"="&amp;$DF15+'Model Setup'!$C$7,$B15:$Y15)+'Model Setup'!$C$8*(SUMIF($AD$3:$BA$3,"&lt;"&amp;$DF15,$B15:$Y15)+SUMIF($AD$3:$BA$3,"&gt;="&amp;$DG15,$B15:$Y15)),
IF(AT$3=$DF15+'Model Setup'!$D$7,SUMIF($AD$3:$BA$3,"="&amp;$DF15+'Model Setup'!$D$7,$B15:$Y15)+'Model Setup'!$D$8*(SUMIF($AD$3:$BA$3,"&lt;"&amp;$DF15,$B15:$Y15)+SUMIF($AD$3:$BA$3,"&gt;="&amp;$DG15,$B15:$Y15)),
IF(AT$3=$DF15+'Model Setup'!$E$7,SUMIF($AD$3:$BA$3,"="&amp;$DF15+'Model Setup'!$E$7,$B15:$Y15)+'Model Setup'!$E$8*(SUMIF($AD$3:$BA$3,"&lt;"&amp;$DF15,$B15:$Y15)+SUMIF($AD$3:$BA$3,"&gt;="&amp;$DG15,$B15:$Y15)),
IF(AT$3=$DF15+'Model Setup'!$F$7,SUMIF($AD$3:$BA$3,"="&amp;$DF15+'Model Setup'!$F$7,$B15:$Y15)+'Model Setup'!$F$8*(SUMIF($AD$3:$BA$3,"&lt;"&amp;$DF15,$B15:$Y15)+SUMIF($AD$3:$BA$3,"&gt;="&amp;$DG15,$B15:$Y15)),
IF(AT$3=$DF15+'Model Setup'!$G$7,SUMIF($AD$3:$BA$3,"="&amp;$DF15+'Model Setup'!$G$7,$B15:$Y15)+'Model Setup'!$G$8*(SUMIF($AD$3:$BA$3,"&lt;"&amp;$DF15,$B15:$Y15)+SUMIF($AD$3:$BA$3,"&gt;="&amp;$DG15,$B15:$Y15)),
IF(AT$3=$DF15+'Model Setup'!$H$7,SUMIF($AD$3:$BA$3,"="&amp;$DF15+'Model Setup'!$H$7,$B15:$Y15)+'Model Setup'!$H$8*(SUMIF($AD$3:$BA$3,"&lt;"&amp;$DF15,$B15:$Y15)+SUMIF($AD$3:$BA$3,"&gt;="&amp;$DG15,$B15:$Y15)),
IF(AT$3=$DF15+'Model Setup'!$I$7,SUMIF($AD$3:$BA$3,"="&amp;$DF15+'Model Setup'!$I$7,$B15:$Y15)+'Model Setup'!$I$8*(SUMIF($AD$3:$BA$3,"&lt;"&amp;$DF15,$B15:$Y15)+SUMIF($AD$3:$BA$3,"&gt;="&amp;$DG15,$B15:$Y15)),
IF(AT$3=$DF15+'Model Setup'!$J$7,SUMIF($AD$3:$BA$3,"="&amp;$DF15+'Model Setup'!$J$7,$B15:$Y15)+'Model Setup'!$J$8*(SUMIF($AD$3:$BA$3,"&lt;"&amp;$DF15,$B15:$Y15)+SUMIF($AD$3:$BA$3,"&gt;="&amp;$DG15,$B15:$Y15)),
IF(AT$3=$DF15+'Model Setup'!$K$7,SUMIF($AD$3:$BA$3,"="&amp;$DF15+'Model Setup'!$K$7,$B15:$Y15)+'Model Setup'!$K$8*(SUMIF($AD$3:$BA$3,"&lt;"&amp;$DF15,$B15:$Y15)+SUMIF($AD$3:$BA$3,"&gt;="&amp;$DG15,$B15:$Y15)),
IF(AT$3=$DF15+'Model Setup'!$L$7,SUMIF($AD$3:$BA$3,"="&amp;$DF15+'Model Setup'!$L$7,$B15:$Y15)+'Model Setup'!$L$8*(SUMIF($AD$3:$BA$3,"&lt;"&amp;$DF15,$B15:$Y15)+SUMIF($AD$3:$BA$3,"&gt;="&amp;$DG15,$B15:$Y15)),
IF(AT$3=$DF15+'Model Setup'!$M$7,SUMIF($AD$3:$BA$3,"="&amp;$DF15+'Model Setup'!$M$7,$B15:$Y15)+'Model Setup'!$M$8*(SUMIF($AD$3:$BA$3,"&lt;"&amp;$DF15,$B15:$Y15)+SUMIF($AD$3:$BA$3,"&gt;="&amp;$DG15,$B15:$Y15)),
IF(AT$3=$DF15+'Model Setup'!$N$7,SUMIF($AD$3:$BA$3,"="&amp;$DF15+'Model Setup'!$N$7,$B15:$Y15)+'Model Setup'!$N$8*(SUMIF($AD$3:$BA$3,"&lt;"&amp;$DF15,$B15:$Y15)+SUMIF($AD$3:$BA$3,"&gt;="&amp;$DG15,$B15:$Y15)),
IF(AT$3&lt;$DG15,R15,0))))))))))))))),0)</f>
        <v>67</v>
      </c>
      <c r="AU15" s="47">
        <f>ROUND(IF(AU$3&lt;$DF15,0,
IF(AU$3=$DF15+'Model Setup'!$B$7,SUMIF($AD$3:$BA$3,"="&amp;$DF15+'Model Setup'!$B$7,$B15:$Y15)+'Model Setup'!$B$8*(SUMIF($AD$3:$BA$3,"&lt;"&amp;$DF15,$B15:$Y15)+SUMIF($AD$3:$BA$3,"&gt;="&amp;$DG15,$B15:$Y15)),
IF(AU$3=$DF15+'Model Setup'!$C$7,SUMIF($AD$3:$BA$3,"="&amp;$DF15+'Model Setup'!$C$7,$B15:$Y15)+'Model Setup'!$C$8*(SUMIF($AD$3:$BA$3,"&lt;"&amp;$DF15,$B15:$Y15)+SUMIF($AD$3:$BA$3,"&gt;="&amp;$DG15,$B15:$Y15)),
IF(AU$3=$DF15+'Model Setup'!$D$7,SUMIF($AD$3:$BA$3,"="&amp;$DF15+'Model Setup'!$D$7,$B15:$Y15)+'Model Setup'!$D$8*(SUMIF($AD$3:$BA$3,"&lt;"&amp;$DF15,$B15:$Y15)+SUMIF($AD$3:$BA$3,"&gt;="&amp;$DG15,$B15:$Y15)),
IF(AU$3=$DF15+'Model Setup'!$E$7,SUMIF($AD$3:$BA$3,"="&amp;$DF15+'Model Setup'!$E$7,$B15:$Y15)+'Model Setup'!$E$8*(SUMIF($AD$3:$BA$3,"&lt;"&amp;$DF15,$B15:$Y15)+SUMIF($AD$3:$BA$3,"&gt;="&amp;$DG15,$B15:$Y15)),
IF(AU$3=$DF15+'Model Setup'!$F$7,SUMIF($AD$3:$BA$3,"="&amp;$DF15+'Model Setup'!$F$7,$B15:$Y15)+'Model Setup'!$F$8*(SUMIF($AD$3:$BA$3,"&lt;"&amp;$DF15,$B15:$Y15)+SUMIF($AD$3:$BA$3,"&gt;="&amp;$DG15,$B15:$Y15)),
IF(AU$3=$DF15+'Model Setup'!$G$7,SUMIF($AD$3:$BA$3,"="&amp;$DF15+'Model Setup'!$G$7,$B15:$Y15)+'Model Setup'!$G$8*(SUMIF($AD$3:$BA$3,"&lt;"&amp;$DF15,$B15:$Y15)+SUMIF($AD$3:$BA$3,"&gt;="&amp;$DG15,$B15:$Y15)),
IF(AU$3=$DF15+'Model Setup'!$H$7,SUMIF($AD$3:$BA$3,"="&amp;$DF15+'Model Setup'!$H$7,$B15:$Y15)+'Model Setup'!$H$8*(SUMIF($AD$3:$BA$3,"&lt;"&amp;$DF15,$B15:$Y15)+SUMIF($AD$3:$BA$3,"&gt;="&amp;$DG15,$B15:$Y15)),
IF(AU$3=$DF15+'Model Setup'!$I$7,SUMIF($AD$3:$BA$3,"="&amp;$DF15+'Model Setup'!$I$7,$B15:$Y15)+'Model Setup'!$I$8*(SUMIF($AD$3:$BA$3,"&lt;"&amp;$DF15,$B15:$Y15)+SUMIF($AD$3:$BA$3,"&gt;="&amp;$DG15,$B15:$Y15)),
IF(AU$3=$DF15+'Model Setup'!$J$7,SUMIF($AD$3:$BA$3,"="&amp;$DF15+'Model Setup'!$J$7,$B15:$Y15)+'Model Setup'!$J$8*(SUMIF($AD$3:$BA$3,"&lt;"&amp;$DF15,$B15:$Y15)+SUMIF($AD$3:$BA$3,"&gt;="&amp;$DG15,$B15:$Y15)),
IF(AU$3=$DF15+'Model Setup'!$K$7,SUMIF($AD$3:$BA$3,"="&amp;$DF15+'Model Setup'!$K$7,$B15:$Y15)+'Model Setup'!$K$8*(SUMIF($AD$3:$BA$3,"&lt;"&amp;$DF15,$B15:$Y15)+SUMIF($AD$3:$BA$3,"&gt;="&amp;$DG15,$B15:$Y15)),
IF(AU$3=$DF15+'Model Setup'!$L$7,SUMIF($AD$3:$BA$3,"="&amp;$DF15+'Model Setup'!$L$7,$B15:$Y15)+'Model Setup'!$L$8*(SUMIF($AD$3:$BA$3,"&lt;"&amp;$DF15,$B15:$Y15)+SUMIF($AD$3:$BA$3,"&gt;="&amp;$DG15,$B15:$Y15)),
IF(AU$3=$DF15+'Model Setup'!$M$7,SUMIF($AD$3:$BA$3,"="&amp;$DF15+'Model Setup'!$M$7,$B15:$Y15)+'Model Setup'!$M$8*(SUMIF($AD$3:$BA$3,"&lt;"&amp;$DF15,$B15:$Y15)+SUMIF($AD$3:$BA$3,"&gt;="&amp;$DG15,$B15:$Y15)),
IF(AU$3=$DF15+'Model Setup'!$N$7,SUMIF($AD$3:$BA$3,"="&amp;$DF15+'Model Setup'!$N$7,$B15:$Y15)+'Model Setup'!$N$8*(SUMIF($AD$3:$BA$3,"&lt;"&amp;$DF15,$B15:$Y15)+SUMIF($AD$3:$BA$3,"&gt;="&amp;$DG15,$B15:$Y15)),
IF(AU$3&lt;$DG15,S15,0))))))))))))))),0)</f>
        <v>59</v>
      </c>
      <c r="AV15" s="47">
        <f>ROUND(IF(AV$3&lt;$DF15,0,
IF(AV$3=$DF15+'Model Setup'!$B$7,SUMIF($AD$3:$BA$3,"="&amp;$DF15+'Model Setup'!$B$7,$B15:$Y15)+'Model Setup'!$B$8*(SUMIF($AD$3:$BA$3,"&lt;"&amp;$DF15,$B15:$Y15)+SUMIF($AD$3:$BA$3,"&gt;="&amp;$DG15,$B15:$Y15)),
IF(AV$3=$DF15+'Model Setup'!$C$7,SUMIF($AD$3:$BA$3,"="&amp;$DF15+'Model Setup'!$C$7,$B15:$Y15)+'Model Setup'!$C$8*(SUMIF($AD$3:$BA$3,"&lt;"&amp;$DF15,$B15:$Y15)+SUMIF($AD$3:$BA$3,"&gt;="&amp;$DG15,$B15:$Y15)),
IF(AV$3=$DF15+'Model Setup'!$D$7,SUMIF($AD$3:$BA$3,"="&amp;$DF15+'Model Setup'!$D$7,$B15:$Y15)+'Model Setup'!$D$8*(SUMIF($AD$3:$BA$3,"&lt;"&amp;$DF15,$B15:$Y15)+SUMIF($AD$3:$BA$3,"&gt;="&amp;$DG15,$B15:$Y15)),
IF(AV$3=$DF15+'Model Setup'!$E$7,SUMIF($AD$3:$BA$3,"="&amp;$DF15+'Model Setup'!$E$7,$B15:$Y15)+'Model Setup'!$E$8*(SUMIF($AD$3:$BA$3,"&lt;"&amp;$DF15,$B15:$Y15)+SUMIF($AD$3:$BA$3,"&gt;="&amp;$DG15,$B15:$Y15)),
IF(AV$3=$DF15+'Model Setup'!$F$7,SUMIF($AD$3:$BA$3,"="&amp;$DF15+'Model Setup'!$F$7,$B15:$Y15)+'Model Setup'!$F$8*(SUMIF($AD$3:$BA$3,"&lt;"&amp;$DF15,$B15:$Y15)+SUMIF($AD$3:$BA$3,"&gt;="&amp;$DG15,$B15:$Y15)),
IF(AV$3=$DF15+'Model Setup'!$G$7,SUMIF($AD$3:$BA$3,"="&amp;$DF15+'Model Setup'!$G$7,$B15:$Y15)+'Model Setup'!$G$8*(SUMIF($AD$3:$BA$3,"&lt;"&amp;$DF15,$B15:$Y15)+SUMIF($AD$3:$BA$3,"&gt;="&amp;$DG15,$B15:$Y15)),
IF(AV$3=$DF15+'Model Setup'!$H$7,SUMIF($AD$3:$BA$3,"="&amp;$DF15+'Model Setup'!$H$7,$B15:$Y15)+'Model Setup'!$H$8*(SUMIF($AD$3:$BA$3,"&lt;"&amp;$DF15,$B15:$Y15)+SUMIF($AD$3:$BA$3,"&gt;="&amp;$DG15,$B15:$Y15)),
IF(AV$3=$DF15+'Model Setup'!$I$7,SUMIF($AD$3:$BA$3,"="&amp;$DF15+'Model Setup'!$I$7,$B15:$Y15)+'Model Setup'!$I$8*(SUMIF($AD$3:$BA$3,"&lt;"&amp;$DF15,$B15:$Y15)+SUMIF($AD$3:$BA$3,"&gt;="&amp;$DG15,$B15:$Y15)),
IF(AV$3=$DF15+'Model Setup'!$J$7,SUMIF($AD$3:$BA$3,"="&amp;$DF15+'Model Setup'!$J$7,$B15:$Y15)+'Model Setup'!$J$8*(SUMIF($AD$3:$BA$3,"&lt;"&amp;$DF15,$B15:$Y15)+SUMIF($AD$3:$BA$3,"&gt;="&amp;$DG15,$B15:$Y15)),
IF(AV$3=$DF15+'Model Setup'!$K$7,SUMIF($AD$3:$BA$3,"="&amp;$DF15+'Model Setup'!$K$7,$B15:$Y15)+'Model Setup'!$K$8*(SUMIF($AD$3:$BA$3,"&lt;"&amp;$DF15,$B15:$Y15)+SUMIF($AD$3:$BA$3,"&gt;="&amp;$DG15,$B15:$Y15)),
IF(AV$3=$DF15+'Model Setup'!$L$7,SUMIF($AD$3:$BA$3,"="&amp;$DF15+'Model Setup'!$L$7,$B15:$Y15)+'Model Setup'!$L$8*(SUMIF($AD$3:$BA$3,"&lt;"&amp;$DF15,$B15:$Y15)+SUMIF($AD$3:$BA$3,"&gt;="&amp;$DG15,$B15:$Y15)),
IF(AV$3=$DF15+'Model Setup'!$M$7,SUMIF($AD$3:$BA$3,"="&amp;$DF15+'Model Setup'!$M$7,$B15:$Y15)+'Model Setup'!$M$8*(SUMIF($AD$3:$BA$3,"&lt;"&amp;$DF15,$B15:$Y15)+SUMIF($AD$3:$BA$3,"&gt;="&amp;$DG15,$B15:$Y15)),
IF(AV$3=$DF15+'Model Setup'!$N$7,SUMIF($AD$3:$BA$3,"="&amp;$DF15+'Model Setup'!$N$7,$B15:$Y15)+'Model Setup'!$N$8*(SUMIF($AD$3:$BA$3,"&lt;"&amp;$DF15,$B15:$Y15)+SUMIF($AD$3:$BA$3,"&gt;="&amp;$DG15,$B15:$Y15)),
IF(AV$3&lt;$DG15,T15,0))))))))))))))),0)</f>
        <v>0</v>
      </c>
      <c r="AW15" s="47">
        <f>ROUND(IF(AW$3&lt;$DF15,0,
IF(AW$3=$DF15+'Model Setup'!$B$7,SUMIF($AD$3:$BA$3,"="&amp;$DF15+'Model Setup'!$B$7,$B15:$Y15)+'Model Setup'!$B$8*(SUMIF($AD$3:$BA$3,"&lt;"&amp;$DF15,$B15:$Y15)+SUMIF($AD$3:$BA$3,"&gt;="&amp;$DG15,$B15:$Y15)),
IF(AW$3=$DF15+'Model Setup'!$C$7,SUMIF($AD$3:$BA$3,"="&amp;$DF15+'Model Setup'!$C$7,$B15:$Y15)+'Model Setup'!$C$8*(SUMIF($AD$3:$BA$3,"&lt;"&amp;$DF15,$B15:$Y15)+SUMIF($AD$3:$BA$3,"&gt;="&amp;$DG15,$B15:$Y15)),
IF(AW$3=$DF15+'Model Setup'!$D$7,SUMIF($AD$3:$BA$3,"="&amp;$DF15+'Model Setup'!$D$7,$B15:$Y15)+'Model Setup'!$D$8*(SUMIF($AD$3:$BA$3,"&lt;"&amp;$DF15,$B15:$Y15)+SUMIF($AD$3:$BA$3,"&gt;="&amp;$DG15,$B15:$Y15)),
IF(AW$3=$DF15+'Model Setup'!$E$7,SUMIF($AD$3:$BA$3,"="&amp;$DF15+'Model Setup'!$E$7,$B15:$Y15)+'Model Setup'!$E$8*(SUMIF($AD$3:$BA$3,"&lt;"&amp;$DF15,$B15:$Y15)+SUMIF($AD$3:$BA$3,"&gt;="&amp;$DG15,$B15:$Y15)),
IF(AW$3=$DF15+'Model Setup'!$F$7,SUMIF($AD$3:$BA$3,"="&amp;$DF15+'Model Setup'!$F$7,$B15:$Y15)+'Model Setup'!$F$8*(SUMIF($AD$3:$BA$3,"&lt;"&amp;$DF15,$B15:$Y15)+SUMIF($AD$3:$BA$3,"&gt;="&amp;$DG15,$B15:$Y15)),
IF(AW$3=$DF15+'Model Setup'!$G$7,SUMIF($AD$3:$BA$3,"="&amp;$DF15+'Model Setup'!$G$7,$B15:$Y15)+'Model Setup'!$G$8*(SUMIF($AD$3:$BA$3,"&lt;"&amp;$DF15,$B15:$Y15)+SUMIF($AD$3:$BA$3,"&gt;="&amp;$DG15,$B15:$Y15)),
IF(AW$3=$DF15+'Model Setup'!$H$7,SUMIF($AD$3:$BA$3,"="&amp;$DF15+'Model Setup'!$H$7,$B15:$Y15)+'Model Setup'!$H$8*(SUMIF($AD$3:$BA$3,"&lt;"&amp;$DF15,$B15:$Y15)+SUMIF($AD$3:$BA$3,"&gt;="&amp;$DG15,$B15:$Y15)),
IF(AW$3=$DF15+'Model Setup'!$I$7,SUMIF($AD$3:$BA$3,"="&amp;$DF15+'Model Setup'!$I$7,$B15:$Y15)+'Model Setup'!$I$8*(SUMIF($AD$3:$BA$3,"&lt;"&amp;$DF15,$B15:$Y15)+SUMIF($AD$3:$BA$3,"&gt;="&amp;$DG15,$B15:$Y15)),
IF(AW$3=$DF15+'Model Setup'!$J$7,SUMIF($AD$3:$BA$3,"="&amp;$DF15+'Model Setup'!$J$7,$B15:$Y15)+'Model Setup'!$J$8*(SUMIF($AD$3:$BA$3,"&lt;"&amp;$DF15,$B15:$Y15)+SUMIF($AD$3:$BA$3,"&gt;="&amp;$DG15,$B15:$Y15)),
IF(AW$3=$DF15+'Model Setup'!$K$7,SUMIF($AD$3:$BA$3,"="&amp;$DF15+'Model Setup'!$K$7,$B15:$Y15)+'Model Setup'!$K$8*(SUMIF($AD$3:$BA$3,"&lt;"&amp;$DF15,$B15:$Y15)+SUMIF($AD$3:$BA$3,"&gt;="&amp;$DG15,$B15:$Y15)),
IF(AW$3=$DF15+'Model Setup'!$L$7,SUMIF($AD$3:$BA$3,"="&amp;$DF15+'Model Setup'!$L$7,$B15:$Y15)+'Model Setup'!$L$8*(SUMIF($AD$3:$BA$3,"&lt;"&amp;$DF15,$B15:$Y15)+SUMIF($AD$3:$BA$3,"&gt;="&amp;$DG15,$B15:$Y15)),
IF(AW$3=$DF15+'Model Setup'!$M$7,SUMIF($AD$3:$BA$3,"="&amp;$DF15+'Model Setup'!$M$7,$B15:$Y15)+'Model Setup'!$M$8*(SUMIF($AD$3:$BA$3,"&lt;"&amp;$DF15,$B15:$Y15)+SUMIF($AD$3:$BA$3,"&gt;="&amp;$DG15,$B15:$Y15)),
IF(AW$3=$DF15+'Model Setup'!$N$7,SUMIF($AD$3:$BA$3,"="&amp;$DF15+'Model Setup'!$N$7,$B15:$Y15)+'Model Setup'!$N$8*(SUMIF($AD$3:$BA$3,"&lt;"&amp;$DF15,$B15:$Y15)+SUMIF($AD$3:$BA$3,"&gt;="&amp;$DG15,$B15:$Y15)),
IF(AW$3&lt;$DG15,U15,0))))))))))))))),0)</f>
        <v>0</v>
      </c>
      <c r="AX15" s="47">
        <f>ROUND(IF(AX$3&lt;$DF15,0,
IF(AX$3=$DF15+'Model Setup'!$B$7,SUMIF($AD$3:$BA$3,"="&amp;$DF15+'Model Setup'!$B$7,$B15:$Y15)+'Model Setup'!$B$8*(SUMIF($AD$3:$BA$3,"&lt;"&amp;$DF15,$B15:$Y15)+SUMIF($AD$3:$BA$3,"&gt;="&amp;$DG15,$B15:$Y15)),
IF(AX$3=$DF15+'Model Setup'!$C$7,SUMIF($AD$3:$BA$3,"="&amp;$DF15+'Model Setup'!$C$7,$B15:$Y15)+'Model Setup'!$C$8*(SUMIF($AD$3:$BA$3,"&lt;"&amp;$DF15,$B15:$Y15)+SUMIF($AD$3:$BA$3,"&gt;="&amp;$DG15,$B15:$Y15)),
IF(AX$3=$DF15+'Model Setup'!$D$7,SUMIF($AD$3:$BA$3,"="&amp;$DF15+'Model Setup'!$D$7,$B15:$Y15)+'Model Setup'!$D$8*(SUMIF($AD$3:$BA$3,"&lt;"&amp;$DF15,$B15:$Y15)+SUMIF($AD$3:$BA$3,"&gt;="&amp;$DG15,$B15:$Y15)),
IF(AX$3=$DF15+'Model Setup'!$E$7,SUMIF($AD$3:$BA$3,"="&amp;$DF15+'Model Setup'!$E$7,$B15:$Y15)+'Model Setup'!$E$8*(SUMIF($AD$3:$BA$3,"&lt;"&amp;$DF15,$B15:$Y15)+SUMIF($AD$3:$BA$3,"&gt;="&amp;$DG15,$B15:$Y15)),
IF(AX$3=$DF15+'Model Setup'!$F$7,SUMIF($AD$3:$BA$3,"="&amp;$DF15+'Model Setup'!$F$7,$B15:$Y15)+'Model Setup'!$F$8*(SUMIF($AD$3:$BA$3,"&lt;"&amp;$DF15,$B15:$Y15)+SUMIF($AD$3:$BA$3,"&gt;="&amp;$DG15,$B15:$Y15)),
IF(AX$3=$DF15+'Model Setup'!$G$7,SUMIF($AD$3:$BA$3,"="&amp;$DF15+'Model Setup'!$G$7,$B15:$Y15)+'Model Setup'!$G$8*(SUMIF($AD$3:$BA$3,"&lt;"&amp;$DF15,$B15:$Y15)+SUMIF($AD$3:$BA$3,"&gt;="&amp;$DG15,$B15:$Y15)),
IF(AX$3=$DF15+'Model Setup'!$H$7,SUMIF($AD$3:$BA$3,"="&amp;$DF15+'Model Setup'!$H$7,$B15:$Y15)+'Model Setup'!$H$8*(SUMIF($AD$3:$BA$3,"&lt;"&amp;$DF15,$B15:$Y15)+SUMIF($AD$3:$BA$3,"&gt;="&amp;$DG15,$B15:$Y15)),
IF(AX$3=$DF15+'Model Setup'!$I$7,SUMIF($AD$3:$BA$3,"="&amp;$DF15+'Model Setup'!$I$7,$B15:$Y15)+'Model Setup'!$I$8*(SUMIF($AD$3:$BA$3,"&lt;"&amp;$DF15,$B15:$Y15)+SUMIF($AD$3:$BA$3,"&gt;="&amp;$DG15,$B15:$Y15)),
IF(AX$3=$DF15+'Model Setup'!$J$7,SUMIF($AD$3:$BA$3,"="&amp;$DF15+'Model Setup'!$J$7,$B15:$Y15)+'Model Setup'!$J$8*(SUMIF($AD$3:$BA$3,"&lt;"&amp;$DF15,$B15:$Y15)+SUMIF($AD$3:$BA$3,"&gt;="&amp;$DG15,$B15:$Y15)),
IF(AX$3=$DF15+'Model Setup'!$K$7,SUMIF($AD$3:$BA$3,"="&amp;$DF15+'Model Setup'!$K$7,$B15:$Y15)+'Model Setup'!$K$8*(SUMIF($AD$3:$BA$3,"&lt;"&amp;$DF15,$B15:$Y15)+SUMIF($AD$3:$BA$3,"&gt;="&amp;$DG15,$B15:$Y15)),
IF(AX$3=$DF15+'Model Setup'!$L$7,SUMIF($AD$3:$BA$3,"="&amp;$DF15+'Model Setup'!$L$7,$B15:$Y15)+'Model Setup'!$L$8*(SUMIF($AD$3:$BA$3,"&lt;"&amp;$DF15,$B15:$Y15)+SUMIF($AD$3:$BA$3,"&gt;="&amp;$DG15,$B15:$Y15)),
IF(AX$3=$DF15+'Model Setup'!$M$7,SUMIF($AD$3:$BA$3,"="&amp;$DF15+'Model Setup'!$M$7,$B15:$Y15)+'Model Setup'!$M$8*(SUMIF($AD$3:$BA$3,"&lt;"&amp;$DF15,$B15:$Y15)+SUMIF($AD$3:$BA$3,"&gt;="&amp;$DG15,$B15:$Y15)),
IF(AX$3=$DF15+'Model Setup'!$N$7,SUMIF($AD$3:$BA$3,"="&amp;$DF15+'Model Setup'!$N$7,$B15:$Y15)+'Model Setup'!$N$8*(SUMIF($AD$3:$BA$3,"&lt;"&amp;$DF15,$B15:$Y15)+SUMIF($AD$3:$BA$3,"&gt;="&amp;$DG15,$B15:$Y15)),
IF(AX$3&lt;$DG15,V15,0))))))))))))))),0)</f>
        <v>0</v>
      </c>
      <c r="AY15" s="47">
        <f>ROUND(IF(AY$3&lt;$DF15,0,
IF(AY$3=$DF15+'Model Setup'!$B$7,SUMIF($AD$3:$BA$3,"="&amp;$DF15+'Model Setup'!$B$7,$B15:$Y15)+'Model Setup'!$B$8*(SUMIF($AD$3:$BA$3,"&lt;"&amp;$DF15,$B15:$Y15)+SUMIF($AD$3:$BA$3,"&gt;="&amp;$DG15,$B15:$Y15)),
IF(AY$3=$DF15+'Model Setup'!$C$7,SUMIF($AD$3:$BA$3,"="&amp;$DF15+'Model Setup'!$C$7,$B15:$Y15)+'Model Setup'!$C$8*(SUMIF($AD$3:$BA$3,"&lt;"&amp;$DF15,$B15:$Y15)+SUMIF($AD$3:$BA$3,"&gt;="&amp;$DG15,$B15:$Y15)),
IF(AY$3=$DF15+'Model Setup'!$D$7,SUMIF($AD$3:$BA$3,"="&amp;$DF15+'Model Setup'!$D$7,$B15:$Y15)+'Model Setup'!$D$8*(SUMIF($AD$3:$BA$3,"&lt;"&amp;$DF15,$B15:$Y15)+SUMIF($AD$3:$BA$3,"&gt;="&amp;$DG15,$B15:$Y15)),
IF(AY$3=$DF15+'Model Setup'!$E$7,SUMIF($AD$3:$BA$3,"="&amp;$DF15+'Model Setup'!$E$7,$B15:$Y15)+'Model Setup'!$E$8*(SUMIF($AD$3:$BA$3,"&lt;"&amp;$DF15,$B15:$Y15)+SUMIF($AD$3:$BA$3,"&gt;="&amp;$DG15,$B15:$Y15)),
IF(AY$3=$DF15+'Model Setup'!$F$7,SUMIF($AD$3:$BA$3,"="&amp;$DF15+'Model Setup'!$F$7,$B15:$Y15)+'Model Setup'!$F$8*(SUMIF($AD$3:$BA$3,"&lt;"&amp;$DF15,$B15:$Y15)+SUMIF($AD$3:$BA$3,"&gt;="&amp;$DG15,$B15:$Y15)),
IF(AY$3=$DF15+'Model Setup'!$G$7,SUMIF($AD$3:$BA$3,"="&amp;$DF15+'Model Setup'!$G$7,$B15:$Y15)+'Model Setup'!$G$8*(SUMIF($AD$3:$BA$3,"&lt;"&amp;$DF15,$B15:$Y15)+SUMIF($AD$3:$BA$3,"&gt;="&amp;$DG15,$B15:$Y15)),
IF(AY$3=$DF15+'Model Setup'!$H$7,SUMIF($AD$3:$BA$3,"="&amp;$DF15+'Model Setup'!$H$7,$B15:$Y15)+'Model Setup'!$H$8*(SUMIF($AD$3:$BA$3,"&lt;"&amp;$DF15,$B15:$Y15)+SUMIF($AD$3:$BA$3,"&gt;="&amp;$DG15,$B15:$Y15)),
IF(AY$3=$DF15+'Model Setup'!$I$7,SUMIF($AD$3:$BA$3,"="&amp;$DF15+'Model Setup'!$I$7,$B15:$Y15)+'Model Setup'!$I$8*(SUMIF($AD$3:$BA$3,"&lt;"&amp;$DF15,$B15:$Y15)+SUMIF($AD$3:$BA$3,"&gt;="&amp;$DG15,$B15:$Y15)),
IF(AY$3=$DF15+'Model Setup'!$J$7,SUMIF($AD$3:$BA$3,"="&amp;$DF15+'Model Setup'!$J$7,$B15:$Y15)+'Model Setup'!$J$8*(SUMIF($AD$3:$BA$3,"&lt;"&amp;$DF15,$B15:$Y15)+SUMIF($AD$3:$BA$3,"&gt;="&amp;$DG15,$B15:$Y15)),
IF(AY$3=$DF15+'Model Setup'!$K$7,SUMIF($AD$3:$BA$3,"="&amp;$DF15+'Model Setup'!$K$7,$B15:$Y15)+'Model Setup'!$K$8*(SUMIF($AD$3:$BA$3,"&lt;"&amp;$DF15,$B15:$Y15)+SUMIF($AD$3:$BA$3,"&gt;="&amp;$DG15,$B15:$Y15)),
IF(AY$3=$DF15+'Model Setup'!$L$7,SUMIF($AD$3:$BA$3,"="&amp;$DF15+'Model Setup'!$L$7,$B15:$Y15)+'Model Setup'!$L$8*(SUMIF($AD$3:$BA$3,"&lt;"&amp;$DF15,$B15:$Y15)+SUMIF($AD$3:$BA$3,"&gt;="&amp;$DG15,$B15:$Y15)),
IF(AY$3=$DF15+'Model Setup'!$M$7,SUMIF($AD$3:$BA$3,"="&amp;$DF15+'Model Setup'!$M$7,$B15:$Y15)+'Model Setup'!$M$8*(SUMIF($AD$3:$BA$3,"&lt;"&amp;$DF15,$B15:$Y15)+SUMIF($AD$3:$BA$3,"&gt;="&amp;$DG15,$B15:$Y15)),
IF(AY$3=$DF15+'Model Setup'!$N$7,SUMIF($AD$3:$BA$3,"="&amp;$DF15+'Model Setup'!$N$7,$B15:$Y15)+'Model Setup'!$N$8*(SUMIF($AD$3:$BA$3,"&lt;"&amp;$DF15,$B15:$Y15)+SUMIF($AD$3:$BA$3,"&gt;="&amp;$DG15,$B15:$Y15)),
IF(AY$3&lt;$DG15,W15,0))))))))))))))),0)</f>
        <v>0</v>
      </c>
      <c r="AZ15" s="47">
        <f>ROUND(IF(AZ$3&lt;$DF15,0,
IF(AZ$3=$DF15+'Model Setup'!$B$7,SUMIF($AD$3:$BA$3,"="&amp;$DF15+'Model Setup'!$B$7,$B15:$Y15)+'Model Setup'!$B$8*(SUMIF($AD$3:$BA$3,"&lt;"&amp;$DF15,$B15:$Y15)+SUMIF($AD$3:$BA$3,"&gt;="&amp;$DG15,$B15:$Y15)),
IF(AZ$3=$DF15+'Model Setup'!$C$7,SUMIF($AD$3:$BA$3,"="&amp;$DF15+'Model Setup'!$C$7,$B15:$Y15)+'Model Setup'!$C$8*(SUMIF($AD$3:$BA$3,"&lt;"&amp;$DF15,$B15:$Y15)+SUMIF($AD$3:$BA$3,"&gt;="&amp;$DG15,$B15:$Y15)),
IF(AZ$3=$DF15+'Model Setup'!$D$7,SUMIF($AD$3:$BA$3,"="&amp;$DF15+'Model Setup'!$D$7,$B15:$Y15)+'Model Setup'!$D$8*(SUMIF($AD$3:$BA$3,"&lt;"&amp;$DF15,$B15:$Y15)+SUMIF($AD$3:$BA$3,"&gt;="&amp;$DG15,$B15:$Y15)),
IF(AZ$3=$DF15+'Model Setup'!$E$7,SUMIF($AD$3:$BA$3,"="&amp;$DF15+'Model Setup'!$E$7,$B15:$Y15)+'Model Setup'!$E$8*(SUMIF($AD$3:$BA$3,"&lt;"&amp;$DF15,$B15:$Y15)+SUMIF($AD$3:$BA$3,"&gt;="&amp;$DG15,$B15:$Y15)),
IF(AZ$3=$DF15+'Model Setup'!$F$7,SUMIF($AD$3:$BA$3,"="&amp;$DF15+'Model Setup'!$F$7,$B15:$Y15)+'Model Setup'!$F$8*(SUMIF($AD$3:$BA$3,"&lt;"&amp;$DF15,$B15:$Y15)+SUMIF($AD$3:$BA$3,"&gt;="&amp;$DG15,$B15:$Y15)),
IF(AZ$3=$DF15+'Model Setup'!$G$7,SUMIF($AD$3:$BA$3,"="&amp;$DF15+'Model Setup'!$G$7,$B15:$Y15)+'Model Setup'!$G$8*(SUMIF($AD$3:$BA$3,"&lt;"&amp;$DF15,$B15:$Y15)+SUMIF($AD$3:$BA$3,"&gt;="&amp;$DG15,$B15:$Y15)),
IF(AZ$3=$DF15+'Model Setup'!$H$7,SUMIF($AD$3:$BA$3,"="&amp;$DF15+'Model Setup'!$H$7,$B15:$Y15)+'Model Setup'!$H$8*(SUMIF($AD$3:$BA$3,"&lt;"&amp;$DF15,$B15:$Y15)+SUMIF($AD$3:$BA$3,"&gt;="&amp;$DG15,$B15:$Y15)),
IF(AZ$3=$DF15+'Model Setup'!$I$7,SUMIF($AD$3:$BA$3,"="&amp;$DF15+'Model Setup'!$I$7,$B15:$Y15)+'Model Setup'!$I$8*(SUMIF($AD$3:$BA$3,"&lt;"&amp;$DF15,$B15:$Y15)+SUMIF($AD$3:$BA$3,"&gt;="&amp;$DG15,$B15:$Y15)),
IF(AZ$3=$DF15+'Model Setup'!$J$7,SUMIF($AD$3:$BA$3,"="&amp;$DF15+'Model Setup'!$J$7,$B15:$Y15)+'Model Setup'!$J$8*(SUMIF($AD$3:$BA$3,"&lt;"&amp;$DF15,$B15:$Y15)+SUMIF($AD$3:$BA$3,"&gt;="&amp;$DG15,$B15:$Y15)),
IF(AZ$3=$DF15+'Model Setup'!$K$7,SUMIF($AD$3:$BA$3,"="&amp;$DF15+'Model Setup'!$K$7,$B15:$Y15)+'Model Setup'!$K$8*(SUMIF($AD$3:$BA$3,"&lt;"&amp;$DF15,$B15:$Y15)+SUMIF($AD$3:$BA$3,"&gt;="&amp;$DG15,$B15:$Y15)),
IF(AZ$3=$DF15+'Model Setup'!$L$7,SUMIF($AD$3:$BA$3,"="&amp;$DF15+'Model Setup'!$L$7,$B15:$Y15)+'Model Setup'!$L$8*(SUMIF($AD$3:$BA$3,"&lt;"&amp;$DF15,$B15:$Y15)+SUMIF($AD$3:$BA$3,"&gt;="&amp;$DG15,$B15:$Y15)),
IF(AZ$3=$DF15+'Model Setup'!$M$7,SUMIF($AD$3:$BA$3,"="&amp;$DF15+'Model Setup'!$M$7,$B15:$Y15)+'Model Setup'!$M$8*(SUMIF($AD$3:$BA$3,"&lt;"&amp;$DF15,$B15:$Y15)+SUMIF($AD$3:$BA$3,"&gt;="&amp;$DG15,$B15:$Y15)),
IF(AZ$3=$DF15+'Model Setup'!$N$7,SUMIF($AD$3:$BA$3,"="&amp;$DF15+'Model Setup'!$N$7,$B15:$Y15)+'Model Setup'!$N$8*(SUMIF($AD$3:$BA$3,"&lt;"&amp;$DF15,$B15:$Y15)+SUMIF($AD$3:$BA$3,"&gt;="&amp;$DG15,$B15:$Y15)),
IF(AZ$3&lt;$DG15,X15,0))))))))))))))),0)</f>
        <v>0</v>
      </c>
      <c r="BA15" s="47">
        <f>ROUND(IF(BA$3&lt;$DF15,0,
IF(BA$3=$DF15+'Model Setup'!$B$7,SUMIF($AD$3:$BA$3,"="&amp;$DF15+'Model Setup'!$B$7,$B15:$Y15)+'Model Setup'!$B$8*(SUMIF($AD$3:$BA$3,"&lt;"&amp;$DF15,$B15:$Y15)+SUMIF($AD$3:$BA$3,"&gt;="&amp;$DG15,$B15:$Y15)),
IF(BA$3=$DF15+'Model Setup'!$C$7,SUMIF($AD$3:$BA$3,"="&amp;$DF15+'Model Setup'!$C$7,$B15:$Y15)+'Model Setup'!$C$8*(SUMIF($AD$3:$BA$3,"&lt;"&amp;$DF15,$B15:$Y15)+SUMIF($AD$3:$BA$3,"&gt;="&amp;$DG15,$B15:$Y15)),
IF(BA$3=$DF15+'Model Setup'!$D$7,SUMIF($AD$3:$BA$3,"="&amp;$DF15+'Model Setup'!$D$7,$B15:$Y15)+'Model Setup'!$D$8*(SUMIF($AD$3:$BA$3,"&lt;"&amp;$DF15,$B15:$Y15)+SUMIF($AD$3:$BA$3,"&gt;="&amp;$DG15,$B15:$Y15)),
IF(BA$3=$DF15+'Model Setup'!$E$7,SUMIF($AD$3:$BA$3,"="&amp;$DF15+'Model Setup'!$E$7,$B15:$Y15)+'Model Setup'!$E$8*(SUMIF($AD$3:$BA$3,"&lt;"&amp;$DF15,$B15:$Y15)+SUMIF($AD$3:$BA$3,"&gt;="&amp;$DG15,$B15:$Y15)),
IF(BA$3=$DF15+'Model Setup'!$F$7,SUMIF($AD$3:$BA$3,"="&amp;$DF15+'Model Setup'!$F$7,$B15:$Y15)+'Model Setup'!$F$8*(SUMIF($AD$3:$BA$3,"&lt;"&amp;$DF15,$B15:$Y15)+SUMIF($AD$3:$BA$3,"&gt;="&amp;$DG15,$B15:$Y15)),
IF(BA$3=$DF15+'Model Setup'!$G$7,SUMIF($AD$3:$BA$3,"="&amp;$DF15+'Model Setup'!$G$7,$B15:$Y15)+'Model Setup'!$G$8*(SUMIF($AD$3:$BA$3,"&lt;"&amp;$DF15,$B15:$Y15)+SUMIF($AD$3:$BA$3,"&gt;="&amp;$DG15,$B15:$Y15)),
IF(BA$3=$DF15+'Model Setup'!$H$7,SUMIF($AD$3:$BA$3,"="&amp;$DF15+'Model Setup'!$H$7,$B15:$Y15)+'Model Setup'!$H$8*(SUMIF($AD$3:$BA$3,"&lt;"&amp;$DF15,$B15:$Y15)+SUMIF($AD$3:$BA$3,"&gt;="&amp;$DG15,$B15:$Y15)),
IF(BA$3=$DF15+'Model Setup'!$I$7,SUMIF($AD$3:$BA$3,"="&amp;$DF15+'Model Setup'!$I$7,$B15:$Y15)+'Model Setup'!$I$8*(SUMIF($AD$3:$BA$3,"&lt;"&amp;$DF15,$B15:$Y15)+SUMIF($AD$3:$BA$3,"&gt;="&amp;$DG15,$B15:$Y15)),
IF(BA$3=$DF15+'Model Setup'!$J$7,SUMIF($AD$3:$BA$3,"="&amp;$DF15+'Model Setup'!$J$7,$B15:$Y15)+'Model Setup'!$J$8*(SUMIF($AD$3:$BA$3,"&lt;"&amp;$DF15,$B15:$Y15)+SUMIF($AD$3:$BA$3,"&gt;="&amp;$DG15,$B15:$Y15)),
IF(BA$3=$DF15+'Model Setup'!$K$7,SUMIF($AD$3:$BA$3,"="&amp;$DF15+'Model Setup'!$K$7,$B15:$Y15)+'Model Setup'!$K$8*(SUMIF($AD$3:$BA$3,"&lt;"&amp;$DF15,$B15:$Y15)+SUMIF($AD$3:$BA$3,"&gt;="&amp;$DG15,$B15:$Y15)),
IF(BA$3=$DF15+'Model Setup'!$L$7,SUMIF($AD$3:$BA$3,"="&amp;$DF15+'Model Setup'!$L$7,$B15:$Y15)+'Model Setup'!$L$8*(SUMIF($AD$3:$BA$3,"&lt;"&amp;$DF15,$B15:$Y15)+SUMIF($AD$3:$BA$3,"&gt;="&amp;$DG15,$B15:$Y15)),
IF(BA$3=$DF15+'Model Setup'!$M$7,SUMIF($AD$3:$BA$3,"="&amp;$DF15+'Model Setup'!$M$7,$B15:$Y15)+'Model Setup'!$M$8*(SUMIF($AD$3:$BA$3,"&lt;"&amp;$DF15,$B15:$Y15)+SUMIF($AD$3:$BA$3,"&gt;="&amp;$DG15,$B15:$Y15)),
IF(BA$3=$DF15+'Model Setup'!$N$7,SUMIF($AD$3:$BA$3,"="&amp;$DF15+'Model Setup'!$N$7,$B15:$Y15)+'Model Setup'!$N$8*(SUMIF($AD$3:$BA$3,"&lt;"&amp;$DF15,$B15:$Y15)+SUMIF($AD$3:$BA$3,"&gt;="&amp;$DG15,$B15:$Y15)),
IF(BA$3&lt;$DG15,Y15,0))))))))))))))),0)</f>
        <v>0</v>
      </c>
      <c r="BB15" s="47">
        <f t="shared" si="1"/>
        <v>1184</v>
      </c>
      <c r="BD15" t="b">
        <f t="shared" si="2"/>
        <v>1</v>
      </c>
      <c r="BE15">
        <f t="shared" si="8"/>
        <v>0</v>
      </c>
      <c r="BF15">
        <f>(FTC!F13-FTC!E13)*24</f>
        <v>13</v>
      </c>
      <c r="BG15" s="43" t="s">
        <v>30</v>
      </c>
      <c r="BH15" s="47">
        <f>ROUND(IF(OR(BH$3&lt;$DF15,BH$3&gt;$CW$4),0,
IF(BH$3=$DF15+'Model Setup'!$B$7,SUMIF($BH$3:$CE$3,"="&amp;$DF15+'Model Setup'!$B$7,$AD15:$BA15)+'Model Setup'!$B$8*(SUMIF($BH$3:$CE$3,"&lt;"&amp;$DF15,$AD15:$BA15)+SUMIF($BH$3:$CE$3,"&gt;"&amp;$CW$4,$AD15:$BA15)),
IF(BH$3=$DF15+'Model Setup'!$C$7,SUMIF($BH$3:$CE$3,"="&amp;$DF15+'Model Setup'!$C$7,$AD15:$BA15)+'Model Setup'!$C$8*(SUMIF($BH$3:$CE$3,"&lt;"&amp;$DF15,$AD15:$BA15)+SUMIF($BH$3:$CE$3,"&gt;"&amp;$CW$4,$AD15:$BA15)),
IF(BH$3=$DF15+'Model Setup'!$D$7,SUMIF($BH$3:$CE$3,"="&amp;$DF15+'Model Setup'!$D$7,$AD15:$BA15)+'Model Setup'!$D$8*(SUMIF($BH$3:$CE$3,"&lt;"&amp;$DF15,$AD15:$BA15)+SUMIF($BH$3:$CE$3,"&gt;"&amp;$CW$4,$AD15:$BA15)),
IF(BH$3=$DF15+'Model Setup'!$E$7,SUMIF($BH$3:$CE$3,"="&amp;$DF15+'Model Setup'!$E$7,$AD15:$BA15)+'Model Setup'!$E$8*(SUMIF($BH$3:$CE$3,"&lt;"&amp;$DF15,$AD15:$BA15)+SUMIF($BH$3:$CE$3,"&gt;"&amp;$CW$4,$AD15:$BA15)),
IF(BH$3=$DF15+'Model Setup'!$F$7,SUMIF($BH$3:$CE$3,"="&amp;$DF15+'Model Setup'!$F$7,$AD15:$BA15)+'Model Setup'!$F$8*(SUMIF($BH$3:$CE$3,"&lt;"&amp;$DF15,$AD15:$BA15)+SUMIF($BH$3:$CE$3,"&gt;"&amp;$CW$4,$AD15:$BA15)),
IF(BH$3=$DF15+'Model Setup'!$G$7,SUMIF($BH$3:$CE$3,"="&amp;$DF15+'Model Setup'!$G$7,$AD15:$BA15)+'Model Setup'!$G$8*(SUMIF($BH$3:$CE$3,"&lt;"&amp;$DF15,$AD15:$BA15)+SUMIF($BH$3:$CE$3,"&gt;"&amp;$CW$4,$AD15:$BA15)),
IF(BH$3=$DF15+'Model Setup'!$H$7,SUMIF($BH$3:$CE$3,"="&amp;$DF15+'Model Setup'!$H$7,$AD15:$BA15)+'Model Setup'!$H$8*(SUMIF($BH$3:$CE$3,"&lt;"&amp;$DF15,$AD15:$BA15)+SUMIF($BH$3:$CE$3,"&gt;"&amp;$CW$4,$AD15:$BA15)),
IF(BH$3=$DF15+'Model Setup'!$I$7,SUMIF($BH$3:$CE$3,"="&amp;$DF15+'Model Setup'!$I$7,$AD15:$BA15)+'Model Setup'!$I$8*(SUMIF($BH$3:$CE$3,"&lt;"&amp;$DF15,$AD15:$BA15)+SUMIF($BH$3:$CE$3,"&gt;"&amp;$CW$4,$AD15:$BA15)),
IF(BH$3=$DF15+'Model Setup'!$J$7,SUMIF($BH$3:$CE$3,"="&amp;$DF15+'Model Setup'!$J$7,$AD15:$BA15)+'Model Setup'!$J$8*(SUMIF($BH$3:$CE$3,"&lt;"&amp;$DF15,$AD15:$BA15)+SUMIF($BH$3:$CE$3,"&gt;"&amp;$CW$4,$AD15:$BA15)),
IF(BH$3=$DF15+'Model Setup'!$K$7,SUMIF($BH$3:$CE$3,"="&amp;$DF15+'Model Setup'!$K$7,$AD15:$BA15)+'Model Setup'!$K$8*(SUMIF($BH$3:$CE$3,"&lt;"&amp;$DF15,$AD15:$BA15)+SUMIF($BH$3:$CE$3,"&gt;"&amp;$CW$4,$AD15:$BA15)),
IF(BH$3=$DF15+'Model Setup'!$L$7,SUMIF($BH$3:$CE$3,"="&amp;$DF15+'Model Setup'!$L$7,$AD15:$BA15)+'Model Setup'!$L$8*(SUMIF($BH$3:$CE$3,"&lt;"&amp;$DF15,$AD15:$BA15)+SUMIF($BH$3:$CE$3,"&gt;"&amp;$CW$4,$AD15:$BA15)),
IF(BH$3=$DF15+'Model Setup'!$M$7,SUMIF($BH$3:$CE$3,"="&amp;$DF15+'Model Setup'!$M$7,$AD15:$BA15)+'Model Setup'!$M$8*(SUMIF($BH$3:$CE$3,"&lt;"&amp;$DF15,$AD15:$BA15)+SUMIF($BH$3:$CE$3,"&gt;"&amp;$CW$4,$AD15:$BA15)),
IF(BH$3=$DF15+'Model Setup'!$N$7,SUMIF($BH$3:$CE$3,"="&amp;$DF15+'Model Setup'!$N$7,$AD15:$BA15)+'Model Setup'!$N$8*(SUMIF($BH$3:$CE$3,"&lt;"&amp;$DF15,$AD15:$BA15)+SUMIF($BH$3:$CE$3,"&gt;"&amp;$CW$4,$AD15:$BA15)),
IF(BH$3&lt;$CW$4,B15,0))))))))))))))),0)</f>
        <v>0</v>
      </c>
      <c r="BI15" s="47">
        <f>ROUND(IF(OR(BI$3&lt;$DF15,BI$3&gt;$CW$4),0,
IF(BI$3=$DF15+'Model Setup'!$B$7,SUMIF($BH$3:$CE$3,"="&amp;$DF15+'Model Setup'!$B$7,$AD15:$BA15)+'Model Setup'!$B$8*(SUMIF($BH$3:$CE$3,"&lt;"&amp;$DF15,$AD15:$BA15)+SUMIF($BH$3:$CE$3,"&gt;"&amp;$CW$4,$AD15:$BA15)),
IF(BI$3=$DF15+'Model Setup'!$C$7,SUMIF($BH$3:$CE$3,"="&amp;$DF15+'Model Setup'!$C$7,$AD15:$BA15)+'Model Setup'!$C$8*(SUMIF($BH$3:$CE$3,"&lt;"&amp;$DF15,$AD15:$BA15)+SUMIF($BH$3:$CE$3,"&gt;"&amp;$CW$4,$AD15:$BA15)),
IF(BI$3=$DF15+'Model Setup'!$D$7,SUMIF($BH$3:$CE$3,"="&amp;$DF15+'Model Setup'!$D$7,$AD15:$BA15)+'Model Setup'!$D$8*(SUMIF($BH$3:$CE$3,"&lt;"&amp;$DF15,$AD15:$BA15)+SUMIF($BH$3:$CE$3,"&gt;"&amp;$CW$4,$AD15:$BA15)),
IF(BI$3=$DF15+'Model Setup'!$E$7,SUMIF($BH$3:$CE$3,"="&amp;$DF15+'Model Setup'!$E$7,$AD15:$BA15)+'Model Setup'!$E$8*(SUMIF($BH$3:$CE$3,"&lt;"&amp;$DF15,$AD15:$BA15)+SUMIF($BH$3:$CE$3,"&gt;"&amp;$CW$4,$AD15:$BA15)),
IF(BI$3=$DF15+'Model Setup'!$F$7,SUMIF($BH$3:$CE$3,"="&amp;$DF15+'Model Setup'!$F$7,$AD15:$BA15)+'Model Setup'!$F$8*(SUMIF($BH$3:$CE$3,"&lt;"&amp;$DF15,$AD15:$BA15)+SUMIF($BH$3:$CE$3,"&gt;"&amp;$CW$4,$AD15:$BA15)),
IF(BI$3=$DF15+'Model Setup'!$G$7,SUMIF($BH$3:$CE$3,"="&amp;$DF15+'Model Setup'!$G$7,$AD15:$BA15)+'Model Setup'!$G$8*(SUMIF($BH$3:$CE$3,"&lt;"&amp;$DF15,$AD15:$BA15)+SUMIF($BH$3:$CE$3,"&gt;"&amp;$CW$4,$AD15:$BA15)),
IF(BI$3=$DF15+'Model Setup'!$H$7,SUMIF($BH$3:$CE$3,"="&amp;$DF15+'Model Setup'!$H$7,$AD15:$BA15)+'Model Setup'!$H$8*(SUMIF($BH$3:$CE$3,"&lt;"&amp;$DF15,$AD15:$BA15)+SUMIF($BH$3:$CE$3,"&gt;"&amp;$CW$4,$AD15:$BA15)),
IF(BI$3=$DF15+'Model Setup'!$I$7,SUMIF($BH$3:$CE$3,"="&amp;$DF15+'Model Setup'!$I$7,$AD15:$BA15)+'Model Setup'!$I$8*(SUMIF($BH$3:$CE$3,"&lt;"&amp;$DF15,$AD15:$BA15)+SUMIF($BH$3:$CE$3,"&gt;"&amp;$CW$4,$AD15:$BA15)),
IF(BI$3=$DF15+'Model Setup'!$J$7,SUMIF($BH$3:$CE$3,"="&amp;$DF15+'Model Setup'!$J$7,$AD15:$BA15)+'Model Setup'!$J$8*(SUMIF($BH$3:$CE$3,"&lt;"&amp;$DF15,$AD15:$BA15)+SUMIF($BH$3:$CE$3,"&gt;"&amp;$CW$4,$AD15:$BA15)),
IF(BI$3=$DF15+'Model Setup'!$K$7,SUMIF($BH$3:$CE$3,"="&amp;$DF15+'Model Setup'!$K$7,$AD15:$BA15)+'Model Setup'!$K$8*(SUMIF($BH$3:$CE$3,"&lt;"&amp;$DF15,$AD15:$BA15)+SUMIF($BH$3:$CE$3,"&gt;"&amp;$CW$4,$AD15:$BA15)),
IF(BI$3=$DF15+'Model Setup'!$L$7,SUMIF($BH$3:$CE$3,"="&amp;$DF15+'Model Setup'!$L$7,$AD15:$BA15)+'Model Setup'!$L$8*(SUMIF($BH$3:$CE$3,"&lt;"&amp;$DF15,$AD15:$BA15)+SUMIF($BH$3:$CE$3,"&gt;"&amp;$CW$4,$AD15:$BA15)),
IF(BI$3=$DF15+'Model Setup'!$M$7,SUMIF($BH$3:$CE$3,"="&amp;$DF15+'Model Setup'!$M$7,$AD15:$BA15)+'Model Setup'!$M$8*(SUMIF($BH$3:$CE$3,"&lt;"&amp;$DF15,$AD15:$BA15)+SUMIF($BH$3:$CE$3,"&gt;"&amp;$CW$4,$AD15:$BA15)),
IF(BI$3=$DF15+'Model Setup'!$N$7,SUMIF($BH$3:$CE$3,"="&amp;$DF15+'Model Setup'!$N$7,$AD15:$BA15)+'Model Setup'!$N$8*(SUMIF($BH$3:$CE$3,"&lt;"&amp;$DF15,$AD15:$BA15)+SUMIF($BH$3:$CE$3,"&gt;"&amp;$CW$4,$AD15:$BA15)),
IF(BI$3&lt;$CW$4,C15,0))))))))))))))),0)</f>
        <v>0</v>
      </c>
      <c r="BJ15" s="47">
        <f>ROUND(IF(OR(BJ$3&lt;$DF15,BJ$3&gt;$CW$4),0,
IF(BJ$3=$DF15+'Model Setup'!$B$7,SUMIF($BH$3:$CE$3,"="&amp;$DF15+'Model Setup'!$B$7,$AD15:$BA15)+'Model Setup'!$B$8*(SUMIF($BH$3:$CE$3,"&lt;"&amp;$DF15,$AD15:$BA15)+SUMIF($BH$3:$CE$3,"&gt;"&amp;$CW$4,$AD15:$BA15)),
IF(BJ$3=$DF15+'Model Setup'!$C$7,SUMIF($BH$3:$CE$3,"="&amp;$DF15+'Model Setup'!$C$7,$AD15:$BA15)+'Model Setup'!$C$8*(SUMIF($BH$3:$CE$3,"&lt;"&amp;$DF15,$AD15:$BA15)+SUMIF($BH$3:$CE$3,"&gt;"&amp;$CW$4,$AD15:$BA15)),
IF(BJ$3=$DF15+'Model Setup'!$D$7,SUMIF($BH$3:$CE$3,"="&amp;$DF15+'Model Setup'!$D$7,$AD15:$BA15)+'Model Setup'!$D$8*(SUMIF($BH$3:$CE$3,"&lt;"&amp;$DF15,$AD15:$BA15)+SUMIF($BH$3:$CE$3,"&gt;"&amp;$CW$4,$AD15:$BA15)),
IF(BJ$3=$DF15+'Model Setup'!$E$7,SUMIF($BH$3:$CE$3,"="&amp;$DF15+'Model Setup'!$E$7,$AD15:$BA15)+'Model Setup'!$E$8*(SUMIF($BH$3:$CE$3,"&lt;"&amp;$DF15,$AD15:$BA15)+SUMIF($BH$3:$CE$3,"&gt;"&amp;$CW$4,$AD15:$BA15)),
IF(BJ$3=$DF15+'Model Setup'!$F$7,SUMIF($BH$3:$CE$3,"="&amp;$DF15+'Model Setup'!$F$7,$AD15:$BA15)+'Model Setup'!$F$8*(SUMIF($BH$3:$CE$3,"&lt;"&amp;$DF15,$AD15:$BA15)+SUMIF($BH$3:$CE$3,"&gt;"&amp;$CW$4,$AD15:$BA15)),
IF(BJ$3=$DF15+'Model Setup'!$G$7,SUMIF($BH$3:$CE$3,"="&amp;$DF15+'Model Setup'!$G$7,$AD15:$BA15)+'Model Setup'!$G$8*(SUMIF($BH$3:$CE$3,"&lt;"&amp;$DF15,$AD15:$BA15)+SUMIF($BH$3:$CE$3,"&gt;"&amp;$CW$4,$AD15:$BA15)),
IF(BJ$3=$DF15+'Model Setup'!$H$7,SUMIF($BH$3:$CE$3,"="&amp;$DF15+'Model Setup'!$H$7,$AD15:$BA15)+'Model Setup'!$H$8*(SUMIF($BH$3:$CE$3,"&lt;"&amp;$DF15,$AD15:$BA15)+SUMIF($BH$3:$CE$3,"&gt;"&amp;$CW$4,$AD15:$BA15)),
IF(BJ$3=$DF15+'Model Setup'!$I$7,SUMIF($BH$3:$CE$3,"="&amp;$DF15+'Model Setup'!$I$7,$AD15:$BA15)+'Model Setup'!$I$8*(SUMIF($BH$3:$CE$3,"&lt;"&amp;$DF15,$AD15:$BA15)+SUMIF($BH$3:$CE$3,"&gt;"&amp;$CW$4,$AD15:$BA15)),
IF(BJ$3=$DF15+'Model Setup'!$J$7,SUMIF($BH$3:$CE$3,"="&amp;$DF15+'Model Setup'!$J$7,$AD15:$BA15)+'Model Setup'!$J$8*(SUMIF($BH$3:$CE$3,"&lt;"&amp;$DF15,$AD15:$BA15)+SUMIF($BH$3:$CE$3,"&gt;"&amp;$CW$4,$AD15:$BA15)),
IF(BJ$3=$DF15+'Model Setup'!$K$7,SUMIF($BH$3:$CE$3,"="&amp;$DF15+'Model Setup'!$K$7,$AD15:$BA15)+'Model Setup'!$K$8*(SUMIF($BH$3:$CE$3,"&lt;"&amp;$DF15,$AD15:$BA15)+SUMIF($BH$3:$CE$3,"&gt;"&amp;$CW$4,$AD15:$BA15)),
IF(BJ$3=$DF15+'Model Setup'!$L$7,SUMIF($BH$3:$CE$3,"="&amp;$DF15+'Model Setup'!$L$7,$AD15:$BA15)+'Model Setup'!$L$8*(SUMIF($BH$3:$CE$3,"&lt;"&amp;$DF15,$AD15:$BA15)+SUMIF($BH$3:$CE$3,"&gt;"&amp;$CW$4,$AD15:$BA15)),
IF(BJ$3=$DF15+'Model Setup'!$M$7,SUMIF($BH$3:$CE$3,"="&amp;$DF15+'Model Setup'!$M$7,$AD15:$BA15)+'Model Setup'!$M$8*(SUMIF($BH$3:$CE$3,"&lt;"&amp;$DF15,$AD15:$BA15)+SUMIF($BH$3:$CE$3,"&gt;"&amp;$CW$4,$AD15:$BA15)),
IF(BJ$3=$DF15+'Model Setup'!$N$7,SUMIF($BH$3:$CE$3,"="&amp;$DF15+'Model Setup'!$N$7,$AD15:$BA15)+'Model Setup'!$N$8*(SUMIF($BH$3:$CE$3,"&lt;"&amp;$DF15,$AD15:$BA15)+SUMIF($BH$3:$CE$3,"&gt;"&amp;$CW$4,$AD15:$BA15)),
IF(BJ$3&lt;$CW$4,D15,0))))))))))))))),0)</f>
        <v>0</v>
      </c>
      <c r="BK15" s="47">
        <f>ROUND(IF(OR(BK$3&lt;$DF15,BK$3&gt;$CW$4),0,
IF(BK$3=$DF15+'Model Setup'!$B$7,SUMIF($BH$3:$CE$3,"="&amp;$DF15+'Model Setup'!$B$7,$AD15:$BA15)+'Model Setup'!$B$8*(SUMIF($BH$3:$CE$3,"&lt;"&amp;$DF15,$AD15:$BA15)+SUMIF($BH$3:$CE$3,"&gt;"&amp;$CW$4,$AD15:$BA15)),
IF(BK$3=$DF15+'Model Setup'!$C$7,SUMIF($BH$3:$CE$3,"="&amp;$DF15+'Model Setup'!$C$7,$AD15:$BA15)+'Model Setup'!$C$8*(SUMIF($BH$3:$CE$3,"&lt;"&amp;$DF15,$AD15:$BA15)+SUMIF($BH$3:$CE$3,"&gt;"&amp;$CW$4,$AD15:$BA15)),
IF(BK$3=$DF15+'Model Setup'!$D$7,SUMIF($BH$3:$CE$3,"="&amp;$DF15+'Model Setup'!$D$7,$AD15:$BA15)+'Model Setup'!$D$8*(SUMIF($BH$3:$CE$3,"&lt;"&amp;$DF15,$AD15:$BA15)+SUMIF($BH$3:$CE$3,"&gt;"&amp;$CW$4,$AD15:$BA15)),
IF(BK$3=$DF15+'Model Setup'!$E$7,SUMIF($BH$3:$CE$3,"="&amp;$DF15+'Model Setup'!$E$7,$AD15:$BA15)+'Model Setup'!$E$8*(SUMIF($BH$3:$CE$3,"&lt;"&amp;$DF15,$AD15:$BA15)+SUMIF($BH$3:$CE$3,"&gt;"&amp;$CW$4,$AD15:$BA15)),
IF(BK$3=$DF15+'Model Setup'!$F$7,SUMIF($BH$3:$CE$3,"="&amp;$DF15+'Model Setup'!$F$7,$AD15:$BA15)+'Model Setup'!$F$8*(SUMIF($BH$3:$CE$3,"&lt;"&amp;$DF15,$AD15:$BA15)+SUMIF($BH$3:$CE$3,"&gt;"&amp;$CW$4,$AD15:$BA15)),
IF(BK$3=$DF15+'Model Setup'!$G$7,SUMIF($BH$3:$CE$3,"="&amp;$DF15+'Model Setup'!$G$7,$AD15:$BA15)+'Model Setup'!$G$8*(SUMIF($BH$3:$CE$3,"&lt;"&amp;$DF15,$AD15:$BA15)+SUMIF($BH$3:$CE$3,"&gt;"&amp;$CW$4,$AD15:$BA15)),
IF(BK$3=$DF15+'Model Setup'!$H$7,SUMIF($BH$3:$CE$3,"="&amp;$DF15+'Model Setup'!$H$7,$AD15:$BA15)+'Model Setup'!$H$8*(SUMIF($BH$3:$CE$3,"&lt;"&amp;$DF15,$AD15:$BA15)+SUMIF($BH$3:$CE$3,"&gt;"&amp;$CW$4,$AD15:$BA15)),
IF(BK$3=$DF15+'Model Setup'!$I$7,SUMIF($BH$3:$CE$3,"="&amp;$DF15+'Model Setup'!$I$7,$AD15:$BA15)+'Model Setup'!$I$8*(SUMIF($BH$3:$CE$3,"&lt;"&amp;$DF15,$AD15:$BA15)+SUMIF($BH$3:$CE$3,"&gt;"&amp;$CW$4,$AD15:$BA15)),
IF(BK$3=$DF15+'Model Setup'!$J$7,SUMIF($BH$3:$CE$3,"="&amp;$DF15+'Model Setup'!$J$7,$AD15:$BA15)+'Model Setup'!$J$8*(SUMIF($BH$3:$CE$3,"&lt;"&amp;$DF15,$AD15:$BA15)+SUMIF($BH$3:$CE$3,"&gt;"&amp;$CW$4,$AD15:$BA15)),
IF(BK$3=$DF15+'Model Setup'!$K$7,SUMIF($BH$3:$CE$3,"="&amp;$DF15+'Model Setup'!$K$7,$AD15:$BA15)+'Model Setup'!$K$8*(SUMIF($BH$3:$CE$3,"&lt;"&amp;$DF15,$AD15:$BA15)+SUMIF($BH$3:$CE$3,"&gt;"&amp;$CW$4,$AD15:$BA15)),
IF(BK$3=$DF15+'Model Setup'!$L$7,SUMIF($BH$3:$CE$3,"="&amp;$DF15+'Model Setup'!$L$7,$AD15:$BA15)+'Model Setup'!$L$8*(SUMIF($BH$3:$CE$3,"&lt;"&amp;$DF15,$AD15:$BA15)+SUMIF($BH$3:$CE$3,"&gt;"&amp;$CW$4,$AD15:$BA15)),
IF(BK$3=$DF15+'Model Setup'!$M$7,SUMIF($BH$3:$CE$3,"="&amp;$DF15+'Model Setup'!$M$7,$AD15:$BA15)+'Model Setup'!$M$8*(SUMIF($BH$3:$CE$3,"&lt;"&amp;$DF15,$AD15:$BA15)+SUMIF($BH$3:$CE$3,"&gt;"&amp;$CW$4,$AD15:$BA15)),
IF(BK$3=$DF15+'Model Setup'!$N$7,SUMIF($BH$3:$CE$3,"="&amp;$DF15+'Model Setup'!$N$7,$AD15:$BA15)+'Model Setup'!$N$8*(SUMIF($BH$3:$CE$3,"&lt;"&amp;$DF15,$AD15:$BA15)+SUMIF($BH$3:$CE$3,"&gt;"&amp;$CW$4,$AD15:$BA15)),
IF(BK$3&lt;$CW$4,E15,0))))))))))))))),0)</f>
        <v>0</v>
      </c>
      <c r="BL15" s="47">
        <f>ROUND(IF(OR(BL$3&lt;$DF15,BL$3&gt;$CW$4),0,
IF(BL$3=$DF15+'Model Setup'!$B$7,SUMIF($BH$3:$CE$3,"="&amp;$DF15+'Model Setup'!$B$7,$AD15:$BA15)+'Model Setup'!$B$8*(SUMIF($BH$3:$CE$3,"&lt;"&amp;$DF15,$AD15:$BA15)+SUMIF($BH$3:$CE$3,"&gt;"&amp;$CW$4,$AD15:$BA15)),
IF(BL$3=$DF15+'Model Setup'!$C$7,SUMIF($BH$3:$CE$3,"="&amp;$DF15+'Model Setup'!$C$7,$AD15:$BA15)+'Model Setup'!$C$8*(SUMIF($BH$3:$CE$3,"&lt;"&amp;$DF15,$AD15:$BA15)+SUMIF($BH$3:$CE$3,"&gt;"&amp;$CW$4,$AD15:$BA15)),
IF(BL$3=$DF15+'Model Setup'!$D$7,SUMIF($BH$3:$CE$3,"="&amp;$DF15+'Model Setup'!$D$7,$AD15:$BA15)+'Model Setup'!$D$8*(SUMIF($BH$3:$CE$3,"&lt;"&amp;$DF15,$AD15:$BA15)+SUMIF($BH$3:$CE$3,"&gt;"&amp;$CW$4,$AD15:$BA15)),
IF(BL$3=$DF15+'Model Setup'!$E$7,SUMIF($BH$3:$CE$3,"="&amp;$DF15+'Model Setup'!$E$7,$AD15:$BA15)+'Model Setup'!$E$8*(SUMIF($BH$3:$CE$3,"&lt;"&amp;$DF15,$AD15:$BA15)+SUMIF($BH$3:$CE$3,"&gt;"&amp;$CW$4,$AD15:$BA15)),
IF(BL$3=$DF15+'Model Setup'!$F$7,SUMIF($BH$3:$CE$3,"="&amp;$DF15+'Model Setup'!$F$7,$AD15:$BA15)+'Model Setup'!$F$8*(SUMIF($BH$3:$CE$3,"&lt;"&amp;$DF15,$AD15:$BA15)+SUMIF($BH$3:$CE$3,"&gt;"&amp;$CW$4,$AD15:$BA15)),
IF(BL$3=$DF15+'Model Setup'!$G$7,SUMIF($BH$3:$CE$3,"="&amp;$DF15+'Model Setup'!$G$7,$AD15:$BA15)+'Model Setup'!$G$8*(SUMIF($BH$3:$CE$3,"&lt;"&amp;$DF15,$AD15:$BA15)+SUMIF($BH$3:$CE$3,"&gt;"&amp;$CW$4,$AD15:$BA15)),
IF(BL$3=$DF15+'Model Setup'!$H$7,SUMIF($BH$3:$CE$3,"="&amp;$DF15+'Model Setup'!$H$7,$AD15:$BA15)+'Model Setup'!$H$8*(SUMIF($BH$3:$CE$3,"&lt;"&amp;$DF15,$AD15:$BA15)+SUMIF($BH$3:$CE$3,"&gt;"&amp;$CW$4,$AD15:$BA15)),
IF(BL$3=$DF15+'Model Setup'!$I$7,SUMIF($BH$3:$CE$3,"="&amp;$DF15+'Model Setup'!$I$7,$AD15:$BA15)+'Model Setup'!$I$8*(SUMIF($BH$3:$CE$3,"&lt;"&amp;$DF15,$AD15:$BA15)+SUMIF($BH$3:$CE$3,"&gt;"&amp;$CW$4,$AD15:$BA15)),
IF(BL$3=$DF15+'Model Setup'!$J$7,SUMIF($BH$3:$CE$3,"="&amp;$DF15+'Model Setup'!$J$7,$AD15:$BA15)+'Model Setup'!$J$8*(SUMIF($BH$3:$CE$3,"&lt;"&amp;$DF15,$AD15:$BA15)+SUMIF($BH$3:$CE$3,"&gt;"&amp;$CW$4,$AD15:$BA15)),
IF(BL$3=$DF15+'Model Setup'!$K$7,SUMIF($BH$3:$CE$3,"="&amp;$DF15+'Model Setup'!$K$7,$AD15:$BA15)+'Model Setup'!$K$8*(SUMIF($BH$3:$CE$3,"&lt;"&amp;$DF15,$AD15:$BA15)+SUMIF($BH$3:$CE$3,"&gt;"&amp;$CW$4,$AD15:$BA15)),
IF(BL$3=$DF15+'Model Setup'!$L$7,SUMIF($BH$3:$CE$3,"="&amp;$DF15+'Model Setup'!$L$7,$AD15:$BA15)+'Model Setup'!$L$8*(SUMIF($BH$3:$CE$3,"&lt;"&amp;$DF15,$AD15:$BA15)+SUMIF($BH$3:$CE$3,"&gt;"&amp;$CW$4,$AD15:$BA15)),
IF(BL$3=$DF15+'Model Setup'!$M$7,SUMIF($BH$3:$CE$3,"="&amp;$DF15+'Model Setup'!$M$7,$AD15:$BA15)+'Model Setup'!$M$8*(SUMIF($BH$3:$CE$3,"&lt;"&amp;$DF15,$AD15:$BA15)+SUMIF($BH$3:$CE$3,"&gt;"&amp;$CW$4,$AD15:$BA15)),
IF(BL$3=$DF15+'Model Setup'!$N$7,SUMIF($BH$3:$CE$3,"="&amp;$DF15+'Model Setup'!$N$7,$AD15:$BA15)+'Model Setup'!$N$8*(SUMIF($BH$3:$CE$3,"&lt;"&amp;$DF15,$AD15:$BA15)+SUMIF($BH$3:$CE$3,"&gt;"&amp;$CW$4,$AD15:$BA15)),
IF(BL$3&lt;$CW$4,F15,0))))))))))))))),0)</f>
        <v>0</v>
      </c>
      <c r="BM15" s="47">
        <f>ROUND(IF(OR(BM$3&lt;$DF15,BM$3&gt;$CW$4),0,
IF(BM$3=$DF15+'Model Setup'!$B$7,SUMIF($BH$3:$CE$3,"="&amp;$DF15+'Model Setup'!$B$7,$AD15:$BA15)+'Model Setup'!$B$8*(SUMIF($BH$3:$CE$3,"&lt;"&amp;$DF15,$AD15:$BA15)+SUMIF($BH$3:$CE$3,"&gt;"&amp;$CW$4,$AD15:$BA15)),
IF(BM$3=$DF15+'Model Setup'!$C$7,SUMIF($BH$3:$CE$3,"="&amp;$DF15+'Model Setup'!$C$7,$AD15:$BA15)+'Model Setup'!$C$8*(SUMIF($BH$3:$CE$3,"&lt;"&amp;$DF15,$AD15:$BA15)+SUMIF($BH$3:$CE$3,"&gt;"&amp;$CW$4,$AD15:$BA15)),
IF(BM$3=$DF15+'Model Setup'!$D$7,SUMIF($BH$3:$CE$3,"="&amp;$DF15+'Model Setup'!$D$7,$AD15:$BA15)+'Model Setup'!$D$8*(SUMIF($BH$3:$CE$3,"&lt;"&amp;$DF15,$AD15:$BA15)+SUMIF($BH$3:$CE$3,"&gt;"&amp;$CW$4,$AD15:$BA15)),
IF(BM$3=$DF15+'Model Setup'!$E$7,SUMIF($BH$3:$CE$3,"="&amp;$DF15+'Model Setup'!$E$7,$AD15:$BA15)+'Model Setup'!$E$8*(SUMIF($BH$3:$CE$3,"&lt;"&amp;$DF15,$AD15:$BA15)+SUMIF($BH$3:$CE$3,"&gt;"&amp;$CW$4,$AD15:$BA15)),
IF(BM$3=$DF15+'Model Setup'!$F$7,SUMIF($BH$3:$CE$3,"="&amp;$DF15+'Model Setup'!$F$7,$AD15:$BA15)+'Model Setup'!$F$8*(SUMIF($BH$3:$CE$3,"&lt;"&amp;$DF15,$AD15:$BA15)+SUMIF($BH$3:$CE$3,"&gt;"&amp;$CW$4,$AD15:$BA15)),
IF(BM$3=$DF15+'Model Setup'!$G$7,SUMIF($BH$3:$CE$3,"="&amp;$DF15+'Model Setup'!$G$7,$AD15:$BA15)+'Model Setup'!$G$8*(SUMIF($BH$3:$CE$3,"&lt;"&amp;$DF15,$AD15:$BA15)+SUMIF($BH$3:$CE$3,"&gt;"&amp;$CW$4,$AD15:$BA15)),
IF(BM$3=$DF15+'Model Setup'!$H$7,SUMIF($BH$3:$CE$3,"="&amp;$DF15+'Model Setup'!$H$7,$AD15:$BA15)+'Model Setup'!$H$8*(SUMIF($BH$3:$CE$3,"&lt;"&amp;$DF15,$AD15:$BA15)+SUMIF($BH$3:$CE$3,"&gt;"&amp;$CW$4,$AD15:$BA15)),
IF(BM$3=$DF15+'Model Setup'!$I$7,SUMIF($BH$3:$CE$3,"="&amp;$DF15+'Model Setup'!$I$7,$AD15:$BA15)+'Model Setup'!$I$8*(SUMIF($BH$3:$CE$3,"&lt;"&amp;$DF15,$AD15:$BA15)+SUMIF($BH$3:$CE$3,"&gt;"&amp;$CW$4,$AD15:$BA15)),
IF(BM$3=$DF15+'Model Setup'!$J$7,SUMIF($BH$3:$CE$3,"="&amp;$DF15+'Model Setup'!$J$7,$AD15:$BA15)+'Model Setup'!$J$8*(SUMIF($BH$3:$CE$3,"&lt;"&amp;$DF15,$AD15:$BA15)+SUMIF($BH$3:$CE$3,"&gt;"&amp;$CW$4,$AD15:$BA15)),
IF(BM$3=$DF15+'Model Setup'!$K$7,SUMIF($BH$3:$CE$3,"="&amp;$DF15+'Model Setup'!$K$7,$AD15:$BA15)+'Model Setup'!$K$8*(SUMIF($BH$3:$CE$3,"&lt;"&amp;$DF15,$AD15:$BA15)+SUMIF($BH$3:$CE$3,"&gt;"&amp;$CW$4,$AD15:$BA15)),
IF(BM$3=$DF15+'Model Setup'!$L$7,SUMIF($BH$3:$CE$3,"="&amp;$DF15+'Model Setup'!$L$7,$AD15:$BA15)+'Model Setup'!$L$8*(SUMIF($BH$3:$CE$3,"&lt;"&amp;$DF15,$AD15:$BA15)+SUMIF($BH$3:$CE$3,"&gt;"&amp;$CW$4,$AD15:$BA15)),
IF(BM$3=$DF15+'Model Setup'!$M$7,SUMIF($BH$3:$CE$3,"="&amp;$DF15+'Model Setup'!$M$7,$AD15:$BA15)+'Model Setup'!$M$8*(SUMIF($BH$3:$CE$3,"&lt;"&amp;$DF15,$AD15:$BA15)+SUMIF($BH$3:$CE$3,"&gt;"&amp;$CW$4,$AD15:$BA15)),
IF(BM$3=$DF15+'Model Setup'!$N$7,SUMIF($BH$3:$CE$3,"="&amp;$DF15+'Model Setup'!$N$7,$AD15:$BA15)+'Model Setup'!$N$8*(SUMIF($BH$3:$CE$3,"&lt;"&amp;$DF15,$AD15:$BA15)+SUMIF($BH$3:$CE$3,"&gt;"&amp;$CW$4,$AD15:$BA15)),
IF(BM$3&lt;$CW$4,G15,0))))))))))))))),0)</f>
        <v>35</v>
      </c>
      <c r="BN15" s="47">
        <f>ROUND(IF(OR(BN$3&lt;$DF15,BN$3&gt;$CW$4),0,
IF(BN$3=$DF15+'Model Setup'!$B$7,SUMIF($BH$3:$CE$3,"="&amp;$DF15+'Model Setup'!$B$7,$AD15:$BA15)+'Model Setup'!$B$8*(SUMIF($BH$3:$CE$3,"&lt;"&amp;$DF15,$AD15:$BA15)+SUMIF($BH$3:$CE$3,"&gt;"&amp;$CW$4,$AD15:$BA15)),
IF(BN$3=$DF15+'Model Setup'!$C$7,SUMIF($BH$3:$CE$3,"="&amp;$DF15+'Model Setup'!$C$7,$AD15:$BA15)+'Model Setup'!$C$8*(SUMIF($BH$3:$CE$3,"&lt;"&amp;$DF15,$AD15:$BA15)+SUMIF($BH$3:$CE$3,"&gt;"&amp;$CW$4,$AD15:$BA15)),
IF(BN$3=$DF15+'Model Setup'!$D$7,SUMIF($BH$3:$CE$3,"="&amp;$DF15+'Model Setup'!$D$7,$AD15:$BA15)+'Model Setup'!$D$8*(SUMIF($BH$3:$CE$3,"&lt;"&amp;$DF15,$AD15:$BA15)+SUMIF($BH$3:$CE$3,"&gt;"&amp;$CW$4,$AD15:$BA15)),
IF(BN$3=$DF15+'Model Setup'!$E$7,SUMIF($BH$3:$CE$3,"="&amp;$DF15+'Model Setup'!$E$7,$AD15:$BA15)+'Model Setup'!$E$8*(SUMIF($BH$3:$CE$3,"&lt;"&amp;$DF15,$AD15:$BA15)+SUMIF($BH$3:$CE$3,"&gt;"&amp;$CW$4,$AD15:$BA15)),
IF(BN$3=$DF15+'Model Setup'!$F$7,SUMIF($BH$3:$CE$3,"="&amp;$DF15+'Model Setup'!$F$7,$AD15:$BA15)+'Model Setup'!$F$8*(SUMIF($BH$3:$CE$3,"&lt;"&amp;$DF15,$AD15:$BA15)+SUMIF($BH$3:$CE$3,"&gt;"&amp;$CW$4,$AD15:$BA15)),
IF(BN$3=$DF15+'Model Setup'!$G$7,SUMIF($BH$3:$CE$3,"="&amp;$DF15+'Model Setup'!$G$7,$AD15:$BA15)+'Model Setup'!$G$8*(SUMIF($BH$3:$CE$3,"&lt;"&amp;$DF15,$AD15:$BA15)+SUMIF($BH$3:$CE$3,"&gt;"&amp;$CW$4,$AD15:$BA15)),
IF(BN$3=$DF15+'Model Setup'!$H$7,SUMIF($BH$3:$CE$3,"="&amp;$DF15+'Model Setup'!$H$7,$AD15:$BA15)+'Model Setup'!$H$8*(SUMIF($BH$3:$CE$3,"&lt;"&amp;$DF15,$AD15:$BA15)+SUMIF($BH$3:$CE$3,"&gt;"&amp;$CW$4,$AD15:$BA15)),
IF(BN$3=$DF15+'Model Setup'!$I$7,SUMIF($BH$3:$CE$3,"="&amp;$DF15+'Model Setup'!$I$7,$AD15:$BA15)+'Model Setup'!$I$8*(SUMIF($BH$3:$CE$3,"&lt;"&amp;$DF15,$AD15:$BA15)+SUMIF($BH$3:$CE$3,"&gt;"&amp;$CW$4,$AD15:$BA15)),
IF(BN$3=$DF15+'Model Setup'!$J$7,SUMIF($BH$3:$CE$3,"="&amp;$DF15+'Model Setup'!$J$7,$AD15:$BA15)+'Model Setup'!$J$8*(SUMIF($BH$3:$CE$3,"&lt;"&amp;$DF15,$AD15:$BA15)+SUMIF($BH$3:$CE$3,"&gt;"&amp;$CW$4,$AD15:$BA15)),
IF(BN$3=$DF15+'Model Setup'!$K$7,SUMIF($BH$3:$CE$3,"="&amp;$DF15+'Model Setup'!$K$7,$AD15:$BA15)+'Model Setup'!$K$8*(SUMIF($BH$3:$CE$3,"&lt;"&amp;$DF15,$AD15:$BA15)+SUMIF($BH$3:$CE$3,"&gt;"&amp;$CW$4,$AD15:$BA15)),
IF(BN$3=$DF15+'Model Setup'!$L$7,SUMIF($BH$3:$CE$3,"="&amp;$DF15+'Model Setup'!$L$7,$AD15:$BA15)+'Model Setup'!$L$8*(SUMIF($BH$3:$CE$3,"&lt;"&amp;$DF15,$AD15:$BA15)+SUMIF($BH$3:$CE$3,"&gt;"&amp;$CW$4,$AD15:$BA15)),
IF(BN$3=$DF15+'Model Setup'!$M$7,SUMIF($BH$3:$CE$3,"="&amp;$DF15+'Model Setup'!$M$7,$AD15:$BA15)+'Model Setup'!$M$8*(SUMIF($BH$3:$CE$3,"&lt;"&amp;$DF15,$AD15:$BA15)+SUMIF($BH$3:$CE$3,"&gt;"&amp;$CW$4,$AD15:$BA15)),
IF(BN$3=$DF15+'Model Setup'!$N$7,SUMIF($BH$3:$CE$3,"="&amp;$DF15+'Model Setup'!$N$7,$AD15:$BA15)+'Model Setup'!$N$8*(SUMIF($BH$3:$CE$3,"&lt;"&amp;$DF15,$AD15:$BA15)+SUMIF($BH$3:$CE$3,"&gt;"&amp;$CW$4,$AD15:$BA15)),
IF(BN$3&lt;$CW$4,H15,0))))))))))))))),0)</f>
        <v>130</v>
      </c>
      <c r="BO15" s="47">
        <f>ROUND(IF(OR(BO$3&lt;$DF15,BO$3&gt;$CW$4),0,
IF(BO$3=$DF15+'Model Setup'!$B$7,SUMIF($BH$3:$CE$3,"="&amp;$DF15+'Model Setup'!$B$7,$AD15:$BA15)+'Model Setup'!$B$8*(SUMIF($BH$3:$CE$3,"&lt;"&amp;$DF15,$AD15:$BA15)+SUMIF($BH$3:$CE$3,"&gt;"&amp;$CW$4,$AD15:$BA15)),
IF(BO$3=$DF15+'Model Setup'!$C$7,SUMIF($BH$3:$CE$3,"="&amp;$DF15+'Model Setup'!$C$7,$AD15:$BA15)+'Model Setup'!$C$8*(SUMIF($BH$3:$CE$3,"&lt;"&amp;$DF15,$AD15:$BA15)+SUMIF($BH$3:$CE$3,"&gt;"&amp;$CW$4,$AD15:$BA15)),
IF(BO$3=$DF15+'Model Setup'!$D$7,SUMIF($BH$3:$CE$3,"="&amp;$DF15+'Model Setup'!$D$7,$AD15:$BA15)+'Model Setup'!$D$8*(SUMIF($BH$3:$CE$3,"&lt;"&amp;$DF15,$AD15:$BA15)+SUMIF($BH$3:$CE$3,"&gt;"&amp;$CW$4,$AD15:$BA15)),
IF(BO$3=$DF15+'Model Setup'!$E$7,SUMIF($BH$3:$CE$3,"="&amp;$DF15+'Model Setup'!$E$7,$AD15:$BA15)+'Model Setup'!$E$8*(SUMIF($BH$3:$CE$3,"&lt;"&amp;$DF15,$AD15:$BA15)+SUMIF($BH$3:$CE$3,"&gt;"&amp;$CW$4,$AD15:$BA15)),
IF(BO$3=$DF15+'Model Setup'!$F$7,SUMIF($BH$3:$CE$3,"="&amp;$DF15+'Model Setup'!$F$7,$AD15:$BA15)+'Model Setup'!$F$8*(SUMIF($BH$3:$CE$3,"&lt;"&amp;$DF15,$AD15:$BA15)+SUMIF($BH$3:$CE$3,"&gt;"&amp;$CW$4,$AD15:$BA15)),
IF(BO$3=$DF15+'Model Setup'!$G$7,SUMIF($BH$3:$CE$3,"="&amp;$DF15+'Model Setup'!$G$7,$AD15:$BA15)+'Model Setup'!$G$8*(SUMIF($BH$3:$CE$3,"&lt;"&amp;$DF15,$AD15:$BA15)+SUMIF($BH$3:$CE$3,"&gt;"&amp;$CW$4,$AD15:$BA15)),
IF(BO$3=$DF15+'Model Setup'!$H$7,SUMIF($BH$3:$CE$3,"="&amp;$DF15+'Model Setup'!$H$7,$AD15:$BA15)+'Model Setup'!$H$8*(SUMIF($BH$3:$CE$3,"&lt;"&amp;$DF15,$AD15:$BA15)+SUMIF($BH$3:$CE$3,"&gt;"&amp;$CW$4,$AD15:$BA15)),
IF(BO$3=$DF15+'Model Setup'!$I$7,SUMIF($BH$3:$CE$3,"="&amp;$DF15+'Model Setup'!$I$7,$AD15:$BA15)+'Model Setup'!$I$8*(SUMIF($BH$3:$CE$3,"&lt;"&amp;$DF15,$AD15:$BA15)+SUMIF($BH$3:$CE$3,"&gt;"&amp;$CW$4,$AD15:$BA15)),
IF(BO$3=$DF15+'Model Setup'!$J$7,SUMIF($BH$3:$CE$3,"="&amp;$DF15+'Model Setup'!$J$7,$AD15:$BA15)+'Model Setup'!$J$8*(SUMIF($BH$3:$CE$3,"&lt;"&amp;$DF15,$AD15:$BA15)+SUMIF($BH$3:$CE$3,"&gt;"&amp;$CW$4,$AD15:$BA15)),
IF(BO$3=$DF15+'Model Setup'!$K$7,SUMIF($BH$3:$CE$3,"="&amp;$DF15+'Model Setup'!$K$7,$AD15:$BA15)+'Model Setup'!$K$8*(SUMIF($BH$3:$CE$3,"&lt;"&amp;$DF15,$AD15:$BA15)+SUMIF($BH$3:$CE$3,"&gt;"&amp;$CW$4,$AD15:$BA15)),
IF(BO$3=$DF15+'Model Setup'!$L$7,SUMIF($BH$3:$CE$3,"="&amp;$DF15+'Model Setup'!$L$7,$AD15:$BA15)+'Model Setup'!$L$8*(SUMIF($BH$3:$CE$3,"&lt;"&amp;$DF15,$AD15:$BA15)+SUMIF($BH$3:$CE$3,"&gt;"&amp;$CW$4,$AD15:$BA15)),
IF(BO$3=$DF15+'Model Setup'!$M$7,SUMIF($BH$3:$CE$3,"="&amp;$DF15+'Model Setup'!$M$7,$AD15:$BA15)+'Model Setup'!$M$8*(SUMIF($BH$3:$CE$3,"&lt;"&amp;$DF15,$AD15:$BA15)+SUMIF($BH$3:$CE$3,"&gt;"&amp;$CW$4,$AD15:$BA15)),
IF(BO$3=$DF15+'Model Setup'!$N$7,SUMIF($BH$3:$CE$3,"="&amp;$DF15+'Model Setup'!$N$7,$AD15:$BA15)+'Model Setup'!$N$8*(SUMIF($BH$3:$CE$3,"&lt;"&amp;$DF15,$AD15:$BA15)+SUMIF($BH$3:$CE$3,"&gt;"&amp;$CW$4,$AD15:$BA15)),
IF(BO$3&lt;$CW$4,I15,0))))))))))))))),0)</f>
        <v>128</v>
      </c>
      <c r="BP15" s="47">
        <f>ROUND(IF(OR(BP$3&lt;$DF15,BP$3&gt;$CW$4),0,
IF(BP$3=$DF15+'Model Setup'!$B$7,SUMIF($BH$3:$CE$3,"="&amp;$DF15+'Model Setup'!$B$7,$AD15:$BA15)+'Model Setup'!$B$8*(SUMIF($BH$3:$CE$3,"&lt;"&amp;$DF15,$AD15:$BA15)+SUMIF($BH$3:$CE$3,"&gt;"&amp;$CW$4,$AD15:$BA15)),
IF(BP$3=$DF15+'Model Setup'!$C$7,SUMIF($BH$3:$CE$3,"="&amp;$DF15+'Model Setup'!$C$7,$AD15:$BA15)+'Model Setup'!$C$8*(SUMIF($BH$3:$CE$3,"&lt;"&amp;$DF15,$AD15:$BA15)+SUMIF($BH$3:$CE$3,"&gt;"&amp;$CW$4,$AD15:$BA15)),
IF(BP$3=$DF15+'Model Setup'!$D$7,SUMIF($BH$3:$CE$3,"="&amp;$DF15+'Model Setup'!$D$7,$AD15:$BA15)+'Model Setup'!$D$8*(SUMIF($BH$3:$CE$3,"&lt;"&amp;$DF15,$AD15:$BA15)+SUMIF($BH$3:$CE$3,"&gt;"&amp;$CW$4,$AD15:$BA15)),
IF(BP$3=$DF15+'Model Setup'!$E$7,SUMIF($BH$3:$CE$3,"="&amp;$DF15+'Model Setup'!$E$7,$AD15:$BA15)+'Model Setup'!$E$8*(SUMIF($BH$3:$CE$3,"&lt;"&amp;$DF15,$AD15:$BA15)+SUMIF($BH$3:$CE$3,"&gt;"&amp;$CW$4,$AD15:$BA15)),
IF(BP$3=$DF15+'Model Setup'!$F$7,SUMIF($BH$3:$CE$3,"="&amp;$DF15+'Model Setup'!$F$7,$AD15:$BA15)+'Model Setup'!$F$8*(SUMIF($BH$3:$CE$3,"&lt;"&amp;$DF15,$AD15:$BA15)+SUMIF($BH$3:$CE$3,"&gt;"&amp;$CW$4,$AD15:$BA15)),
IF(BP$3=$DF15+'Model Setup'!$G$7,SUMIF($BH$3:$CE$3,"="&amp;$DF15+'Model Setup'!$G$7,$AD15:$BA15)+'Model Setup'!$G$8*(SUMIF($BH$3:$CE$3,"&lt;"&amp;$DF15,$AD15:$BA15)+SUMIF($BH$3:$CE$3,"&gt;"&amp;$CW$4,$AD15:$BA15)),
IF(BP$3=$DF15+'Model Setup'!$H$7,SUMIF($BH$3:$CE$3,"="&amp;$DF15+'Model Setup'!$H$7,$AD15:$BA15)+'Model Setup'!$H$8*(SUMIF($BH$3:$CE$3,"&lt;"&amp;$DF15,$AD15:$BA15)+SUMIF($BH$3:$CE$3,"&gt;"&amp;$CW$4,$AD15:$BA15)),
IF(BP$3=$DF15+'Model Setup'!$I$7,SUMIF($BH$3:$CE$3,"="&amp;$DF15+'Model Setup'!$I$7,$AD15:$BA15)+'Model Setup'!$I$8*(SUMIF($BH$3:$CE$3,"&lt;"&amp;$DF15,$AD15:$BA15)+SUMIF($BH$3:$CE$3,"&gt;"&amp;$CW$4,$AD15:$BA15)),
IF(BP$3=$DF15+'Model Setup'!$J$7,SUMIF($BH$3:$CE$3,"="&amp;$DF15+'Model Setup'!$J$7,$AD15:$BA15)+'Model Setup'!$J$8*(SUMIF($BH$3:$CE$3,"&lt;"&amp;$DF15,$AD15:$BA15)+SUMIF($BH$3:$CE$3,"&gt;"&amp;$CW$4,$AD15:$BA15)),
IF(BP$3=$DF15+'Model Setup'!$K$7,SUMIF($BH$3:$CE$3,"="&amp;$DF15+'Model Setup'!$K$7,$AD15:$BA15)+'Model Setup'!$K$8*(SUMIF($BH$3:$CE$3,"&lt;"&amp;$DF15,$AD15:$BA15)+SUMIF($BH$3:$CE$3,"&gt;"&amp;$CW$4,$AD15:$BA15)),
IF(BP$3=$DF15+'Model Setup'!$L$7,SUMIF($BH$3:$CE$3,"="&amp;$DF15+'Model Setup'!$L$7,$AD15:$BA15)+'Model Setup'!$L$8*(SUMIF($BH$3:$CE$3,"&lt;"&amp;$DF15,$AD15:$BA15)+SUMIF($BH$3:$CE$3,"&gt;"&amp;$CW$4,$AD15:$BA15)),
IF(BP$3=$DF15+'Model Setup'!$M$7,SUMIF($BH$3:$CE$3,"="&amp;$DF15+'Model Setup'!$M$7,$AD15:$BA15)+'Model Setup'!$M$8*(SUMIF($BH$3:$CE$3,"&lt;"&amp;$DF15,$AD15:$BA15)+SUMIF($BH$3:$CE$3,"&gt;"&amp;$CW$4,$AD15:$BA15)),
IF(BP$3=$DF15+'Model Setup'!$N$7,SUMIF($BH$3:$CE$3,"="&amp;$DF15+'Model Setup'!$N$7,$AD15:$BA15)+'Model Setup'!$N$8*(SUMIF($BH$3:$CE$3,"&lt;"&amp;$DF15,$AD15:$BA15)+SUMIF($BH$3:$CE$3,"&gt;"&amp;$CW$4,$AD15:$BA15)),
IF(BP$3&lt;$CW$4,J15,0))))))))))))))),0)</f>
        <v>146</v>
      </c>
      <c r="BQ15" s="47">
        <f>ROUND(IF(OR(BQ$3&lt;$DF15,BQ$3&gt;$CW$4),0,
IF(BQ$3=$DF15+'Model Setup'!$B$7,SUMIF($BH$3:$CE$3,"="&amp;$DF15+'Model Setup'!$B$7,$AD15:$BA15)+'Model Setup'!$B$8*(SUMIF($BH$3:$CE$3,"&lt;"&amp;$DF15,$AD15:$BA15)+SUMIF($BH$3:$CE$3,"&gt;"&amp;$CW$4,$AD15:$BA15)),
IF(BQ$3=$DF15+'Model Setup'!$C$7,SUMIF($BH$3:$CE$3,"="&amp;$DF15+'Model Setup'!$C$7,$AD15:$BA15)+'Model Setup'!$C$8*(SUMIF($BH$3:$CE$3,"&lt;"&amp;$DF15,$AD15:$BA15)+SUMIF($BH$3:$CE$3,"&gt;"&amp;$CW$4,$AD15:$BA15)),
IF(BQ$3=$DF15+'Model Setup'!$D$7,SUMIF($BH$3:$CE$3,"="&amp;$DF15+'Model Setup'!$D$7,$AD15:$BA15)+'Model Setup'!$D$8*(SUMIF($BH$3:$CE$3,"&lt;"&amp;$DF15,$AD15:$BA15)+SUMIF($BH$3:$CE$3,"&gt;"&amp;$CW$4,$AD15:$BA15)),
IF(BQ$3=$DF15+'Model Setup'!$E$7,SUMIF($BH$3:$CE$3,"="&amp;$DF15+'Model Setup'!$E$7,$AD15:$BA15)+'Model Setup'!$E$8*(SUMIF($BH$3:$CE$3,"&lt;"&amp;$DF15,$AD15:$BA15)+SUMIF($BH$3:$CE$3,"&gt;"&amp;$CW$4,$AD15:$BA15)),
IF(BQ$3=$DF15+'Model Setup'!$F$7,SUMIF($BH$3:$CE$3,"="&amp;$DF15+'Model Setup'!$F$7,$AD15:$BA15)+'Model Setup'!$F$8*(SUMIF($BH$3:$CE$3,"&lt;"&amp;$DF15,$AD15:$BA15)+SUMIF($BH$3:$CE$3,"&gt;"&amp;$CW$4,$AD15:$BA15)),
IF(BQ$3=$DF15+'Model Setup'!$G$7,SUMIF($BH$3:$CE$3,"="&amp;$DF15+'Model Setup'!$G$7,$AD15:$BA15)+'Model Setup'!$G$8*(SUMIF($BH$3:$CE$3,"&lt;"&amp;$DF15,$AD15:$BA15)+SUMIF($BH$3:$CE$3,"&gt;"&amp;$CW$4,$AD15:$BA15)),
IF(BQ$3=$DF15+'Model Setup'!$H$7,SUMIF($BH$3:$CE$3,"="&amp;$DF15+'Model Setup'!$H$7,$AD15:$BA15)+'Model Setup'!$H$8*(SUMIF($BH$3:$CE$3,"&lt;"&amp;$DF15,$AD15:$BA15)+SUMIF($BH$3:$CE$3,"&gt;"&amp;$CW$4,$AD15:$BA15)),
IF(BQ$3=$DF15+'Model Setup'!$I$7,SUMIF($BH$3:$CE$3,"="&amp;$DF15+'Model Setup'!$I$7,$AD15:$BA15)+'Model Setup'!$I$8*(SUMIF($BH$3:$CE$3,"&lt;"&amp;$DF15,$AD15:$BA15)+SUMIF($BH$3:$CE$3,"&gt;"&amp;$CW$4,$AD15:$BA15)),
IF(BQ$3=$DF15+'Model Setup'!$J$7,SUMIF($BH$3:$CE$3,"="&amp;$DF15+'Model Setup'!$J$7,$AD15:$BA15)+'Model Setup'!$J$8*(SUMIF($BH$3:$CE$3,"&lt;"&amp;$DF15,$AD15:$BA15)+SUMIF($BH$3:$CE$3,"&gt;"&amp;$CW$4,$AD15:$BA15)),
IF(BQ$3=$DF15+'Model Setup'!$K$7,SUMIF($BH$3:$CE$3,"="&amp;$DF15+'Model Setup'!$K$7,$AD15:$BA15)+'Model Setup'!$K$8*(SUMIF($BH$3:$CE$3,"&lt;"&amp;$DF15,$AD15:$BA15)+SUMIF($BH$3:$CE$3,"&gt;"&amp;$CW$4,$AD15:$BA15)),
IF(BQ$3=$DF15+'Model Setup'!$L$7,SUMIF($BH$3:$CE$3,"="&amp;$DF15+'Model Setup'!$L$7,$AD15:$BA15)+'Model Setup'!$L$8*(SUMIF($BH$3:$CE$3,"&lt;"&amp;$DF15,$AD15:$BA15)+SUMIF($BH$3:$CE$3,"&gt;"&amp;$CW$4,$AD15:$BA15)),
IF(BQ$3=$DF15+'Model Setup'!$M$7,SUMIF($BH$3:$CE$3,"="&amp;$DF15+'Model Setup'!$M$7,$AD15:$BA15)+'Model Setup'!$M$8*(SUMIF($BH$3:$CE$3,"&lt;"&amp;$DF15,$AD15:$BA15)+SUMIF($BH$3:$CE$3,"&gt;"&amp;$CW$4,$AD15:$BA15)),
IF(BQ$3=$DF15+'Model Setup'!$N$7,SUMIF($BH$3:$CE$3,"="&amp;$DF15+'Model Setup'!$N$7,$AD15:$BA15)+'Model Setup'!$N$8*(SUMIF($BH$3:$CE$3,"&lt;"&amp;$DF15,$AD15:$BA15)+SUMIF($BH$3:$CE$3,"&gt;"&amp;$CW$4,$AD15:$BA15)),
IF(BQ$3&lt;$CW$4,K15,0))))))))))))))),0)</f>
        <v>143</v>
      </c>
      <c r="BR15" s="47">
        <f>ROUND(IF(OR(BR$3&lt;$DF15,BR$3&gt;$CW$4),0,
IF(BR$3=$DF15+'Model Setup'!$B$7,SUMIF($BH$3:$CE$3,"="&amp;$DF15+'Model Setup'!$B$7,$AD15:$BA15)+'Model Setup'!$B$8*(SUMIF($BH$3:$CE$3,"&lt;"&amp;$DF15,$AD15:$BA15)+SUMIF($BH$3:$CE$3,"&gt;"&amp;$CW$4,$AD15:$BA15)),
IF(BR$3=$DF15+'Model Setup'!$C$7,SUMIF($BH$3:$CE$3,"="&amp;$DF15+'Model Setup'!$C$7,$AD15:$BA15)+'Model Setup'!$C$8*(SUMIF($BH$3:$CE$3,"&lt;"&amp;$DF15,$AD15:$BA15)+SUMIF($BH$3:$CE$3,"&gt;"&amp;$CW$4,$AD15:$BA15)),
IF(BR$3=$DF15+'Model Setup'!$D$7,SUMIF($BH$3:$CE$3,"="&amp;$DF15+'Model Setup'!$D$7,$AD15:$BA15)+'Model Setup'!$D$8*(SUMIF($BH$3:$CE$3,"&lt;"&amp;$DF15,$AD15:$BA15)+SUMIF($BH$3:$CE$3,"&gt;"&amp;$CW$4,$AD15:$BA15)),
IF(BR$3=$DF15+'Model Setup'!$E$7,SUMIF($BH$3:$CE$3,"="&amp;$DF15+'Model Setup'!$E$7,$AD15:$BA15)+'Model Setup'!$E$8*(SUMIF($BH$3:$CE$3,"&lt;"&amp;$DF15,$AD15:$BA15)+SUMIF($BH$3:$CE$3,"&gt;"&amp;$CW$4,$AD15:$BA15)),
IF(BR$3=$DF15+'Model Setup'!$F$7,SUMIF($BH$3:$CE$3,"="&amp;$DF15+'Model Setup'!$F$7,$AD15:$BA15)+'Model Setup'!$F$8*(SUMIF($BH$3:$CE$3,"&lt;"&amp;$DF15,$AD15:$BA15)+SUMIF($BH$3:$CE$3,"&gt;"&amp;$CW$4,$AD15:$BA15)),
IF(BR$3=$DF15+'Model Setup'!$G$7,SUMIF($BH$3:$CE$3,"="&amp;$DF15+'Model Setup'!$G$7,$AD15:$BA15)+'Model Setup'!$G$8*(SUMIF($BH$3:$CE$3,"&lt;"&amp;$DF15,$AD15:$BA15)+SUMIF($BH$3:$CE$3,"&gt;"&amp;$CW$4,$AD15:$BA15)),
IF(BR$3=$DF15+'Model Setup'!$H$7,SUMIF($BH$3:$CE$3,"="&amp;$DF15+'Model Setup'!$H$7,$AD15:$BA15)+'Model Setup'!$H$8*(SUMIF($BH$3:$CE$3,"&lt;"&amp;$DF15,$AD15:$BA15)+SUMIF($BH$3:$CE$3,"&gt;"&amp;$CW$4,$AD15:$BA15)),
IF(BR$3=$DF15+'Model Setup'!$I$7,SUMIF($BH$3:$CE$3,"="&amp;$DF15+'Model Setup'!$I$7,$AD15:$BA15)+'Model Setup'!$I$8*(SUMIF($BH$3:$CE$3,"&lt;"&amp;$DF15,$AD15:$BA15)+SUMIF($BH$3:$CE$3,"&gt;"&amp;$CW$4,$AD15:$BA15)),
IF(BR$3=$DF15+'Model Setup'!$J$7,SUMIF($BH$3:$CE$3,"="&amp;$DF15+'Model Setup'!$J$7,$AD15:$BA15)+'Model Setup'!$J$8*(SUMIF($BH$3:$CE$3,"&lt;"&amp;$DF15,$AD15:$BA15)+SUMIF($BH$3:$CE$3,"&gt;"&amp;$CW$4,$AD15:$BA15)),
IF(BR$3=$DF15+'Model Setup'!$K$7,SUMIF($BH$3:$CE$3,"="&amp;$DF15+'Model Setup'!$K$7,$AD15:$BA15)+'Model Setup'!$K$8*(SUMIF($BH$3:$CE$3,"&lt;"&amp;$DF15,$AD15:$BA15)+SUMIF($BH$3:$CE$3,"&gt;"&amp;$CW$4,$AD15:$BA15)),
IF(BR$3=$DF15+'Model Setup'!$L$7,SUMIF($BH$3:$CE$3,"="&amp;$DF15+'Model Setup'!$L$7,$AD15:$BA15)+'Model Setup'!$L$8*(SUMIF($BH$3:$CE$3,"&lt;"&amp;$DF15,$AD15:$BA15)+SUMIF($BH$3:$CE$3,"&gt;"&amp;$CW$4,$AD15:$BA15)),
IF(BR$3=$DF15+'Model Setup'!$M$7,SUMIF($BH$3:$CE$3,"="&amp;$DF15+'Model Setup'!$M$7,$AD15:$BA15)+'Model Setup'!$M$8*(SUMIF($BH$3:$CE$3,"&lt;"&amp;$DF15,$AD15:$BA15)+SUMIF($BH$3:$CE$3,"&gt;"&amp;$CW$4,$AD15:$BA15)),
IF(BR$3=$DF15+'Model Setup'!$N$7,SUMIF($BH$3:$CE$3,"="&amp;$DF15+'Model Setup'!$N$7,$AD15:$BA15)+'Model Setup'!$N$8*(SUMIF($BH$3:$CE$3,"&lt;"&amp;$DF15,$AD15:$BA15)+SUMIF($BH$3:$CE$3,"&gt;"&amp;$CW$4,$AD15:$BA15)),
IF(BR$3&lt;$CW$4,L15,0))))))))))))))),0)</f>
        <v>119</v>
      </c>
      <c r="BS15" s="47">
        <f>ROUND(IF(OR(BS$3&lt;$DF15,BS$3&gt;$CW$4),0,
IF(BS$3=$DF15+'Model Setup'!$B$7,SUMIF($BH$3:$CE$3,"="&amp;$DF15+'Model Setup'!$B$7,$AD15:$BA15)+'Model Setup'!$B$8*(SUMIF($BH$3:$CE$3,"&lt;"&amp;$DF15,$AD15:$BA15)+SUMIF($BH$3:$CE$3,"&gt;"&amp;$CW$4,$AD15:$BA15)),
IF(BS$3=$DF15+'Model Setup'!$C$7,SUMIF($BH$3:$CE$3,"="&amp;$DF15+'Model Setup'!$C$7,$AD15:$BA15)+'Model Setup'!$C$8*(SUMIF($BH$3:$CE$3,"&lt;"&amp;$DF15,$AD15:$BA15)+SUMIF($BH$3:$CE$3,"&gt;"&amp;$CW$4,$AD15:$BA15)),
IF(BS$3=$DF15+'Model Setup'!$D$7,SUMIF($BH$3:$CE$3,"="&amp;$DF15+'Model Setup'!$D$7,$AD15:$BA15)+'Model Setup'!$D$8*(SUMIF($BH$3:$CE$3,"&lt;"&amp;$DF15,$AD15:$BA15)+SUMIF($BH$3:$CE$3,"&gt;"&amp;$CW$4,$AD15:$BA15)),
IF(BS$3=$DF15+'Model Setup'!$E$7,SUMIF($BH$3:$CE$3,"="&amp;$DF15+'Model Setup'!$E$7,$AD15:$BA15)+'Model Setup'!$E$8*(SUMIF($BH$3:$CE$3,"&lt;"&amp;$DF15,$AD15:$BA15)+SUMIF($BH$3:$CE$3,"&gt;"&amp;$CW$4,$AD15:$BA15)),
IF(BS$3=$DF15+'Model Setup'!$F$7,SUMIF($BH$3:$CE$3,"="&amp;$DF15+'Model Setup'!$F$7,$AD15:$BA15)+'Model Setup'!$F$8*(SUMIF($BH$3:$CE$3,"&lt;"&amp;$DF15,$AD15:$BA15)+SUMIF($BH$3:$CE$3,"&gt;"&amp;$CW$4,$AD15:$BA15)),
IF(BS$3=$DF15+'Model Setup'!$G$7,SUMIF($BH$3:$CE$3,"="&amp;$DF15+'Model Setup'!$G$7,$AD15:$BA15)+'Model Setup'!$G$8*(SUMIF($BH$3:$CE$3,"&lt;"&amp;$DF15,$AD15:$BA15)+SUMIF($BH$3:$CE$3,"&gt;"&amp;$CW$4,$AD15:$BA15)),
IF(BS$3=$DF15+'Model Setup'!$H$7,SUMIF($BH$3:$CE$3,"="&amp;$DF15+'Model Setup'!$H$7,$AD15:$BA15)+'Model Setup'!$H$8*(SUMIF($BH$3:$CE$3,"&lt;"&amp;$DF15,$AD15:$BA15)+SUMIF($BH$3:$CE$3,"&gt;"&amp;$CW$4,$AD15:$BA15)),
IF(BS$3=$DF15+'Model Setup'!$I$7,SUMIF($BH$3:$CE$3,"="&amp;$DF15+'Model Setup'!$I$7,$AD15:$BA15)+'Model Setup'!$I$8*(SUMIF($BH$3:$CE$3,"&lt;"&amp;$DF15,$AD15:$BA15)+SUMIF($BH$3:$CE$3,"&gt;"&amp;$CW$4,$AD15:$BA15)),
IF(BS$3=$DF15+'Model Setup'!$J$7,SUMIF($BH$3:$CE$3,"="&amp;$DF15+'Model Setup'!$J$7,$AD15:$BA15)+'Model Setup'!$J$8*(SUMIF($BH$3:$CE$3,"&lt;"&amp;$DF15,$AD15:$BA15)+SUMIF($BH$3:$CE$3,"&gt;"&amp;$CW$4,$AD15:$BA15)),
IF(BS$3=$DF15+'Model Setup'!$K$7,SUMIF($BH$3:$CE$3,"="&amp;$DF15+'Model Setup'!$K$7,$AD15:$BA15)+'Model Setup'!$K$8*(SUMIF($BH$3:$CE$3,"&lt;"&amp;$DF15,$AD15:$BA15)+SUMIF($BH$3:$CE$3,"&gt;"&amp;$CW$4,$AD15:$BA15)),
IF(BS$3=$DF15+'Model Setup'!$L$7,SUMIF($BH$3:$CE$3,"="&amp;$DF15+'Model Setup'!$L$7,$AD15:$BA15)+'Model Setup'!$L$8*(SUMIF($BH$3:$CE$3,"&lt;"&amp;$DF15,$AD15:$BA15)+SUMIF($BH$3:$CE$3,"&gt;"&amp;$CW$4,$AD15:$BA15)),
IF(BS$3=$DF15+'Model Setup'!$M$7,SUMIF($BH$3:$CE$3,"="&amp;$DF15+'Model Setup'!$M$7,$AD15:$BA15)+'Model Setup'!$M$8*(SUMIF($BH$3:$CE$3,"&lt;"&amp;$DF15,$AD15:$BA15)+SUMIF($BH$3:$CE$3,"&gt;"&amp;$CW$4,$AD15:$BA15)),
IF(BS$3=$DF15+'Model Setup'!$N$7,SUMIF($BH$3:$CE$3,"="&amp;$DF15+'Model Setup'!$N$7,$AD15:$BA15)+'Model Setup'!$N$8*(SUMIF($BH$3:$CE$3,"&lt;"&amp;$DF15,$AD15:$BA15)+SUMIF($BH$3:$CE$3,"&gt;"&amp;$CW$4,$AD15:$BA15)),
IF(BS$3&lt;$CW$4,M15,0))))))))))))))),0)</f>
        <v>99</v>
      </c>
      <c r="BT15" s="47">
        <f>ROUND(IF(OR(BT$3&lt;$DF15,BT$3&gt;$CW$4),0,
IF(BT$3=$DF15+'Model Setup'!$B$7,SUMIF($BH$3:$CE$3,"="&amp;$DF15+'Model Setup'!$B$7,$AD15:$BA15)+'Model Setup'!$B$8*(SUMIF($BH$3:$CE$3,"&lt;"&amp;$DF15,$AD15:$BA15)+SUMIF($BH$3:$CE$3,"&gt;"&amp;$CW$4,$AD15:$BA15)),
IF(BT$3=$DF15+'Model Setup'!$C$7,SUMIF($BH$3:$CE$3,"="&amp;$DF15+'Model Setup'!$C$7,$AD15:$BA15)+'Model Setup'!$C$8*(SUMIF($BH$3:$CE$3,"&lt;"&amp;$DF15,$AD15:$BA15)+SUMIF($BH$3:$CE$3,"&gt;"&amp;$CW$4,$AD15:$BA15)),
IF(BT$3=$DF15+'Model Setup'!$D$7,SUMIF($BH$3:$CE$3,"="&amp;$DF15+'Model Setup'!$D$7,$AD15:$BA15)+'Model Setup'!$D$8*(SUMIF($BH$3:$CE$3,"&lt;"&amp;$DF15,$AD15:$BA15)+SUMIF($BH$3:$CE$3,"&gt;"&amp;$CW$4,$AD15:$BA15)),
IF(BT$3=$DF15+'Model Setup'!$E$7,SUMIF($BH$3:$CE$3,"="&amp;$DF15+'Model Setup'!$E$7,$AD15:$BA15)+'Model Setup'!$E$8*(SUMIF($BH$3:$CE$3,"&lt;"&amp;$DF15,$AD15:$BA15)+SUMIF($BH$3:$CE$3,"&gt;"&amp;$CW$4,$AD15:$BA15)),
IF(BT$3=$DF15+'Model Setup'!$F$7,SUMIF($BH$3:$CE$3,"="&amp;$DF15+'Model Setup'!$F$7,$AD15:$BA15)+'Model Setup'!$F$8*(SUMIF($BH$3:$CE$3,"&lt;"&amp;$DF15,$AD15:$BA15)+SUMIF($BH$3:$CE$3,"&gt;"&amp;$CW$4,$AD15:$BA15)),
IF(BT$3=$DF15+'Model Setup'!$G$7,SUMIF($BH$3:$CE$3,"="&amp;$DF15+'Model Setup'!$G$7,$AD15:$BA15)+'Model Setup'!$G$8*(SUMIF($BH$3:$CE$3,"&lt;"&amp;$DF15,$AD15:$BA15)+SUMIF($BH$3:$CE$3,"&gt;"&amp;$CW$4,$AD15:$BA15)),
IF(BT$3=$DF15+'Model Setup'!$H$7,SUMIF($BH$3:$CE$3,"="&amp;$DF15+'Model Setup'!$H$7,$AD15:$BA15)+'Model Setup'!$H$8*(SUMIF($BH$3:$CE$3,"&lt;"&amp;$DF15,$AD15:$BA15)+SUMIF($BH$3:$CE$3,"&gt;"&amp;$CW$4,$AD15:$BA15)),
IF(BT$3=$DF15+'Model Setup'!$I$7,SUMIF($BH$3:$CE$3,"="&amp;$DF15+'Model Setup'!$I$7,$AD15:$BA15)+'Model Setup'!$I$8*(SUMIF($BH$3:$CE$3,"&lt;"&amp;$DF15,$AD15:$BA15)+SUMIF($BH$3:$CE$3,"&gt;"&amp;$CW$4,$AD15:$BA15)),
IF(BT$3=$DF15+'Model Setup'!$J$7,SUMIF($BH$3:$CE$3,"="&amp;$DF15+'Model Setup'!$J$7,$AD15:$BA15)+'Model Setup'!$J$8*(SUMIF($BH$3:$CE$3,"&lt;"&amp;$DF15,$AD15:$BA15)+SUMIF($BH$3:$CE$3,"&gt;"&amp;$CW$4,$AD15:$BA15)),
IF(BT$3=$DF15+'Model Setup'!$K$7,SUMIF($BH$3:$CE$3,"="&amp;$DF15+'Model Setup'!$K$7,$AD15:$BA15)+'Model Setup'!$K$8*(SUMIF($BH$3:$CE$3,"&lt;"&amp;$DF15,$AD15:$BA15)+SUMIF($BH$3:$CE$3,"&gt;"&amp;$CW$4,$AD15:$BA15)),
IF(BT$3=$DF15+'Model Setup'!$L$7,SUMIF($BH$3:$CE$3,"="&amp;$DF15+'Model Setup'!$L$7,$AD15:$BA15)+'Model Setup'!$L$8*(SUMIF($BH$3:$CE$3,"&lt;"&amp;$DF15,$AD15:$BA15)+SUMIF($BH$3:$CE$3,"&gt;"&amp;$CW$4,$AD15:$BA15)),
IF(BT$3=$DF15+'Model Setup'!$M$7,SUMIF($BH$3:$CE$3,"="&amp;$DF15+'Model Setup'!$M$7,$AD15:$BA15)+'Model Setup'!$M$8*(SUMIF($BH$3:$CE$3,"&lt;"&amp;$DF15,$AD15:$BA15)+SUMIF($BH$3:$CE$3,"&gt;"&amp;$CW$4,$AD15:$BA15)),
IF(BT$3=$DF15+'Model Setup'!$N$7,SUMIF($BH$3:$CE$3,"="&amp;$DF15+'Model Setup'!$N$7,$AD15:$BA15)+'Model Setup'!$N$8*(SUMIF($BH$3:$CE$3,"&lt;"&amp;$DF15,$AD15:$BA15)+SUMIF($BH$3:$CE$3,"&gt;"&amp;$CW$4,$AD15:$BA15)),
IF(BT$3&lt;$CW$4,N15,0))))))))))))))),0)</f>
        <v>76</v>
      </c>
      <c r="BU15" s="47">
        <f>ROUND(IF(OR(BU$3&lt;$DF15,BU$3&gt;$CW$4),0,
IF(BU$3=$DF15+'Model Setup'!$B$7,SUMIF($BH$3:$CE$3,"="&amp;$DF15+'Model Setup'!$B$7,$AD15:$BA15)+'Model Setup'!$B$8*(SUMIF($BH$3:$CE$3,"&lt;"&amp;$DF15,$AD15:$BA15)+SUMIF($BH$3:$CE$3,"&gt;"&amp;$CW$4,$AD15:$BA15)),
IF(BU$3=$DF15+'Model Setup'!$C$7,SUMIF($BH$3:$CE$3,"="&amp;$DF15+'Model Setup'!$C$7,$AD15:$BA15)+'Model Setup'!$C$8*(SUMIF($BH$3:$CE$3,"&lt;"&amp;$DF15,$AD15:$BA15)+SUMIF($BH$3:$CE$3,"&gt;"&amp;$CW$4,$AD15:$BA15)),
IF(BU$3=$DF15+'Model Setup'!$D$7,SUMIF($BH$3:$CE$3,"="&amp;$DF15+'Model Setup'!$D$7,$AD15:$BA15)+'Model Setup'!$D$8*(SUMIF($BH$3:$CE$3,"&lt;"&amp;$DF15,$AD15:$BA15)+SUMIF($BH$3:$CE$3,"&gt;"&amp;$CW$4,$AD15:$BA15)),
IF(BU$3=$DF15+'Model Setup'!$E$7,SUMIF($BH$3:$CE$3,"="&amp;$DF15+'Model Setup'!$E$7,$AD15:$BA15)+'Model Setup'!$E$8*(SUMIF($BH$3:$CE$3,"&lt;"&amp;$DF15,$AD15:$BA15)+SUMIF($BH$3:$CE$3,"&gt;"&amp;$CW$4,$AD15:$BA15)),
IF(BU$3=$DF15+'Model Setup'!$F$7,SUMIF($BH$3:$CE$3,"="&amp;$DF15+'Model Setup'!$F$7,$AD15:$BA15)+'Model Setup'!$F$8*(SUMIF($BH$3:$CE$3,"&lt;"&amp;$DF15,$AD15:$BA15)+SUMIF($BH$3:$CE$3,"&gt;"&amp;$CW$4,$AD15:$BA15)),
IF(BU$3=$DF15+'Model Setup'!$G$7,SUMIF($BH$3:$CE$3,"="&amp;$DF15+'Model Setup'!$G$7,$AD15:$BA15)+'Model Setup'!$G$8*(SUMIF($BH$3:$CE$3,"&lt;"&amp;$DF15,$AD15:$BA15)+SUMIF($BH$3:$CE$3,"&gt;"&amp;$CW$4,$AD15:$BA15)),
IF(BU$3=$DF15+'Model Setup'!$H$7,SUMIF($BH$3:$CE$3,"="&amp;$DF15+'Model Setup'!$H$7,$AD15:$BA15)+'Model Setup'!$H$8*(SUMIF($BH$3:$CE$3,"&lt;"&amp;$DF15,$AD15:$BA15)+SUMIF($BH$3:$CE$3,"&gt;"&amp;$CW$4,$AD15:$BA15)),
IF(BU$3=$DF15+'Model Setup'!$I$7,SUMIF($BH$3:$CE$3,"="&amp;$DF15+'Model Setup'!$I$7,$AD15:$BA15)+'Model Setup'!$I$8*(SUMIF($BH$3:$CE$3,"&lt;"&amp;$DF15,$AD15:$BA15)+SUMIF($BH$3:$CE$3,"&gt;"&amp;$CW$4,$AD15:$BA15)),
IF(BU$3=$DF15+'Model Setup'!$J$7,SUMIF($BH$3:$CE$3,"="&amp;$DF15+'Model Setup'!$J$7,$AD15:$BA15)+'Model Setup'!$J$8*(SUMIF($BH$3:$CE$3,"&lt;"&amp;$DF15,$AD15:$BA15)+SUMIF($BH$3:$CE$3,"&gt;"&amp;$CW$4,$AD15:$BA15)),
IF(BU$3=$DF15+'Model Setup'!$K$7,SUMIF($BH$3:$CE$3,"="&amp;$DF15+'Model Setup'!$K$7,$AD15:$BA15)+'Model Setup'!$K$8*(SUMIF($BH$3:$CE$3,"&lt;"&amp;$DF15,$AD15:$BA15)+SUMIF($BH$3:$CE$3,"&gt;"&amp;$CW$4,$AD15:$BA15)),
IF(BU$3=$DF15+'Model Setup'!$L$7,SUMIF($BH$3:$CE$3,"="&amp;$DF15+'Model Setup'!$L$7,$AD15:$BA15)+'Model Setup'!$L$8*(SUMIF($BH$3:$CE$3,"&lt;"&amp;$DF15,$AD15:$BA15)+SUMIF($BH$3:$CE$3,"&gt;"&amp;$CW$4,$AD15:$BA15)),
IF(BU$3=$DF15+'Model Setup'!$M$7,SUMIF($BH$3:$CE$3,"="&amp;$DF15+'Model Setup'!$M$7,$AD15:$BA15)+'Model Setup'!$M$8*(SUMIF($BH$3:$CE$3,"&lt;"&amp;$DF15,$AD15:$BA15)+SUMIF($BH$3:$CE$3,"&gt;"&amp;$CW$4,$AD15:$BA15)),
IF(BU$3=$DF15+'Model Setup'!$N$7,SUMIF($BH$3:$CE$3,"="&amp;$DF15+'Model Setup'!$N$7,$AD15:$BA15)+'Model Setup'!$N$8*(SUMIF($BH$3:$CE$3,"&lt;"&amp;$DF15,$AD15:$BA15)+SUMIF($BH$3:$CE$3,"&gt;"&amp;$CW$4,$AD15:$BA15)),
IF(BU$3&lt;$CW$4,O15,0))))))))))))))),0)</f>
        <v>59</v>
      </c>
      <c r="BV15" s="47">
        <f>ROUND(IF(OR(BV$3&lt;$DF15,BV$3&gt;$CW$4),0,
IF(BV$3=$DF15+'Model Setup'!$B$7,SUMIF($BH$3:$CE$3,"="&amp;$DF15+'Model Setup'!$B$7,$AD15:$BA15)+'Model Setup'!$B$8*(SUMIF($BH$3:$CE$3,"&lt;"&amp;$DF15,$AD15:$BA15)+SUMIF($BH$3:$CE$3,"&gt;"&amp;$CW$4,$AD15:$BA15)),
IF(BV$3=$DF15+'Model Setup'!$C$7,SUMIF($BH$3:$CE$3,"="&amp;$DF15+'Model Setup'!$C$7,$AD15:$BA15)+'Model Setup'!$C$8*(SUMIF($BH$3:$CE$3,"&lt;"&amp;$DF15,$AD15:$BA15)+SUMIF($BH$3:$CE$3,"&gt;"&amp;$CW$4,$AD15:$BA15)),
IF(BV$3=$DF15+'Model Setup'!$D$7,SUMIF($BH$3:$CE$3,"="&amp;$DF15+'Model Setup'!$D$7,$AD15:$BA15)+'Model Setup'!$D$8*(SUMIF($BH$3:$CE$3,"&lt;"&amp;$DF15,$AD15:$BA15)+SUMIF($BH$3:$CE$3,"&gt;"&amp;$CW$4,$AD15:$BA15)),
IF(BV$3=$DF15+'Model Setup'!$E$7,SUMIF($BH$3:$CE$3,"="&amp;$DF15+'Model Setup'!$E$7,$AD15:$BA15)+'Model Setup'!$E$8*(SUMIF($BH$3:$CE$3,"&lt;"&amp;$DF15,$AD15:$BA15)+SUMIF($BH$3:$CE$3,"&gt;"&amp;$CW$4,$AD15:$BA15)),
IF(BV$3=$DF15+'Model Setup'!$F$7,SUMIF($BH$3:$CE$3,"="&amp;$DF15+'Model Setup'!$F$7,$AD15:$BA15)+'Model Setup'!$F$8*(SUMIF($BH$3:$CE$3,"&lt;"&amp;$DF15,$AD15:$BA15)+SUMIF($BH$3:$CE$3,"&gt;"&amp;$CW$4,$AD15:$BA15)),
IF(BV$3=$DF15+'Model Setup'!$G$7,SUMIF($BH$3:$CE$3,"="&amp;$DF15+'Model Setup'!$G$7,$AD15:$BA15)+'Model Setup'!$G$8*(SUMIF($BH$3:$CE$3,"&lt;"&amp;$DF15,$AD15:$BA15)+SUMIF($BH$3:$CE$3,"&gt;"&amp;$CW$4,$AD15:$BA15)),
IF(BV$3=$DF15+'Model Setup'!$H$7,SUMIF($BH$3:$CE$3,"="&amp;$DF15+'Model Setup'!$H$7,$AD15:$BA15)+'Model Setup'!$H$8*(SUMIF($BH$3:$CE$3,"&lt;"&amp;$DF15,$AD15:$BA15)+SUMIF($BH$3:$CE$3,"&gt;"&amp;$CW$4,$AD15:$BA15)),
IF(BV$3=$DF15+'Model Setup'!$I$7,SUMIF($BH$3:$CE$3,"="&amp;$DF15+'Model Setup'!$I$7,$AD15:$BA15)+'Model Setup'!$I$8*(SUMIF($BH$3:$CE$3,"&lt;"&amp;$DF15,$AD15:$BA15)+SUMIF($BH$3:$CE$3,"&gt;"&amp;$CW$4,$AD15:$BA15)),
IF(BV$3=$DF15+'Model Setup'!$J$7,SUMIF($BH$3:$CE$3,"="&amp;$DF15+'Model Setup'!$J$7,$AD15:$BA15)+'Model Setup'!$J$8*(SUMIF($BH$3:$CE$3,"&lt;"&amp;$DF15,$AD15:$BA15)+SUMIF($BH$3:$CE$3,"&gt;"&amp;$CW$4,$AD15:$BA15)),
IF(BV$3=$DF15+'Model Setup'!$K$7,SUMIF($BH$3:$CE$3,"="&amp;$DF15+'Model Setup'!$K$7,$AD15:$BA15)+'Model Setup'!$K$8*(SUMIF($BH$3:$CE$3,"&lt;"&amp;$DF15,$AD15:$BA15)+SUMIF($BH$3:$CE$3,"&gt;"&amp;$CW$4,$AD15:$BA15)),
IF(BV$3=$DF15+'Model Setup'!$L$7,SUMIF($BH$3:$CE$3,"="&amp;$DF15+'Model Setup'!$L$7,$AD15:$BA15)+'Model Setup'!$L$8*(SUMIF($BH$3:$CE$3,"&lt;"&amp;$DF15,$AD15:$BA15)+SUMIF($BH$3:$CE$3,"&gt;"&amp;$CW$4,$AD15:$BA15)),
IF(BV$3=$DF15+'Model Setup'!$M$7,SUMIF($BH$3:$CE$3,"="&amp;$DF15+'Model Setup'!$M$7,$AD15:$BA15)+'Model Setup'!$M$8*(SUMIF($BH$3:$CE$3,"&lt;"&amp;$DF15,$AD15:$BA15)+SUMIF($BH$3:$CE$3,"&gt;"&amp;$CW$4,$AD15:$BA15)),
IF(BV$3=$DF15+'Model Setup'!$N$7,SUMIF($BH$3:$CE$3,"="&amp;$DF15+'Model Setup'!$N$7,$AD15:$BA15)+'Model Setup'!$N$8*(SUMIF($BH$3:$CE$3,"&lt;"&amp;$DF15,$AD15:$BA15)+SUMIF($BH$3:$CE$3,"&gt;"&amp;$CW$4,$AD15:$BA15)),
IF(BV$3&lt;$CW$4,P15,0))))))))))))))),0)</f>
        <v>53</v>
      </c>
      <c r="BW15" s="47">
        <f>ROUND(IF(OR(BW$3&lt;$DF15,BW$3&gt;$CW$4),0,
IF(BW$3=$DF15+'Model Setup'!$B$7,SUMIF($BH$3:$CE$3,"="&amp;$DF15+'Model Setup'!$B$7,$AD15:$BA15)+'Model Setup'!$B$8*(SUMIF($BH$3:$CE$3,"&lt;"&amp;$DF15,$AD15:$BA15)+SUMIF($BH$3:$CE$3,"&gt;"&amp;$CW$4,$AD15:$BA15)),
IF(BW$3=$DF15+'Model Setup'!$C$7,SUMIF($BH$3:$CE$3,"="&amp;$DF15+'Model Setup'!$C$7,$AD15:$BA15)+'Model Setup'!$C$8*(SUMIF($BH$3:$CE$3,"&lt;"&amp;$DF15,$AD15:$BA15)+SUMIF($BH$3:$CE$3,"&gt;"&amp;$CW$4,$AD15:$BA15)),
IF(BW$3=$DF15+'Model Setup'!$D$7,SUMIF($BH$3:$CE$3,"="&amp;$DF15+'Model Setup'!$D$7,$AD15:$BA15)+'Model Setup'!$D$8*(SUMIF($BH$3:$CE$3,"&lt;"&amp;$DF15,$AD15:$BA15)+SUMIF($BH$3:$CE$3,"&gt;"&amp;$CW$4,$AD15:$BA15)),
IF(BW$3=$DF15+'Model Setup'!$E$7,SUMIF($BH$3:$CE$3,"="&amp;$DF15+'Model Setup'!$E$7,$AD15:$BA15)+'Model Setup'!$E$8*(SUMIF($BH$3:$CE$3,"&lt;"&amp;$DF15,$AD15:$BA15)+SUMIF($BH$3:$CE$3,"&gt;"&amp;$CW$4,$AD15:$BA15)),
IF(BW$3=$DF15+'Model Setup'!$F$7,SUMIF($BH$3:$CE$3,"="&amp;$DF15+'Model Setup'!$F$7,$AD15:$BA15)+'Model Setup'!$F$8*(SUMIF($BH$3:$CE$3,"&lt;"&amp;$DF15,$AD15:$BA15)+SUMIF($BH$3:$CE$3,"&gt;"&amp;$CW$4,$AD15:$BA15)),
IF(BW$3=$DF15+'Model Setup'!$G$7,SUMIF($BH$3:$CE$3,"="&amp;$DF15+'Model Setup'!$G$7,$AD15:$BA15)+'Model Setup'!$G$8*(SUMIF($BH$3:$CE$3,"&lt;"&amp;$DF15,$AD15:$BA15)+SUMIF($BH$3:$CE$3,"&gt;"&amp;$CW$4,$AD15:$BA15)),
IF(BW$3=$DF15+'Model Setup'!$H$7,SUMIF($BH$3:$CE$3,"="&amp;$DF15+'Model Setup'!$H$7,$AD15:$BA15)+'Model Setup'!$H$8*(SUMIF($BH$3:$CE$3,"&lt;"&amp;$DF15,$AD15:$BA15)+SUMIF($BH$3:$CE$3,"&gt;"&amp;$CW$4,$AD15:$BA15)),
IF(BW$3=$DF15+'Model Setup'!$I$7,SUMIF($BH$3:$CE$3,"="&amp;$DF15+'Model Setup'!$I$7,$AD15:$BA15)+'Model Setup'!$I$8*(SUMIF($BH$3:$CE$3,"&lt;"&amp;$DF15,$AD15:$BA15)+SUMIF($BH$3:$CE$3,"&gt;"&amp;$CW$4,$AD15:$BA15)),
IF(BW$3=$DF15+'Model Setup'!$J$7,SUMIF($BH$3:$CE$3,"="&amp;$DF15+'Model Setup'!$J$7,$AD15:$BA15)+'Model Setup'!$J$8*(SUMIF($BH$3:$CE$3,"&lt;"&amp;$DF15,$AD15:$BA15)+SUMIF($BH$3:$CE$3,"&gt;"&amp;$CW$4,$AD15:$BA15)),
IF(BW$3=$DF15+'Model Setup'!$K$7,SUMIF($BH$3:$CE$3,"="&amp;$DF15+'Model Setup'!$K$7,$AD15:$BA15)+'Model Setup'!$K$8*(SUMIF($BH$3:$CE$3,"&lt;"&amp;$DF15,$AD15:$BA15)+SUMIF($BH$3:$CE$3,"&gt;"&amp;$CW$4,$AD15:$BA15)),
IF(BW$3=$DF15+'Model Setup'!$L$7,SUMIF($BH$3:$CE$3,"="&amp;$DF15+'Model Setup'!$L$7,$AD15:$BA15)+'Model Setup'!$L$8*(SUMIF($BH$3:$CE$3,"&lt;"&amp;$DF15,$AD15:$BA15)+SUMIF($BH$3:$CE$3,"&gt;"&amp;$CW$4,$AD15:$BA15)),
IF(BW$3=$DF15+'Model Setup'!$M$7,SUMIF($BH$3:$CE$3,"="&amp;$DF15+'Model Setup'!$M$7,$AD15:$BA15)+'Model Setup'!$M$8*(SUMIF($BH$3:$CE$3,"&lt;"&amp;$DF15,$AD15:$BA15)+SUMIF($BH$3:$CE$3,"&gt;"&amp;$CW$4,$AD15:$BA15)),
IF(BW$3=$DF15+'Model Setup'!$N$7,SUMIF($BH$3:$CE$3,"="&amp;$DF15+'Model Setup'!$N$7,$AD15:$BA15)+'Model Setup'!$N$8*(SUMIF($BH$3:$CE$3,"&lt;"&amp;$DF15,$AD15:$BA15)+SUMIF($BH$3:$CE$3,"&gt;"&amp;$CW$4,$AD15:$BA15)),
IF(BW$3&lt;$CW$4,Q15,0))))))))))))))),0)</f>
        <v>70</v>
      </c>
      <c r="BX15" s="47">
        <f>ROUND(IF(OR(BX$3&lt;$DF15,BX$3&gt;$CW$4),0,
IF(BX$3=$DF15+'Model Setup'!$B$7,SUMIF($BH$3:$CE$3,"="&amp;$DF15+'Model Setup'!$B$7,$AD15:$BA15)+'Model Setup'!$B$8*(SUMIF($BH$3:$CE$3,"&lt;"&amp;$DF15,$AD15:$BA15)+SUMIF($BH$3:$CE$3,"&gt;"&amp;$CW$4,$AD15:$BA15)),
IF(BX$3=$DF15+'Model Setup'!$C$7,SUMIF($BH$3:$CE$3,"="&amp;$DF15+'Model Setup'!$C$7,$AD15:$BA15)+'Model Setup'!$C$8*(SUMIF($BH$3:$CE$3,"&lt;"&amp;$DF15,$AD15:$BA15)+SUMIF($BH$3:$CE$3,"&gt;"&amp;$CW$4,$AD15:$BA15)),
IF(BX$3=$DF15+'Model Setup'!$D$7,SUMIF($BH$3:$CE$3,"="&amp;$DF15+'Model Setup'!$D$7,$AD15:$BA15)+'Model Setup'!$D$8*(SUMIF($BH$3:$CE$3,"&lt;"&amp;$DF15,$AD15:$BA15)+SUMIF($BH$3:$CE$3,"&gt;"&amp;$CW$4,$AD15:$BA15)),
IF(BX$3=$DF15+'Model Setup'!$E$7,SUMIF($BH$3:$CE$3,"="&amp;$DF15+'Model Setup'!$E$7,$AD15:$BA15)+'Model Setup'!$E$8*(SUMIF($BH$3:$CE$3,"&lt;"&amp;$DF15,$AD15:$BA15)+SUMIF($BH$3:$CE$3,"&gt;"&amp;$CW$4,$AD15:$BA15)),
IF(BX$3=$DF15+'Model Setup'!$F$7,SUMIF($BH$3:$CE$3,"="&amp;$DF15+'Model Setup'!$F$7,$AD15:$BA15)+'Model Setup'!$F$8*(SUMIF($BH$3:$CE$3,"&lt;"&amp;$DF15,$AD15:$BA15)+SUMIF($BH$3:$CE$3,"&gt;"&amp;$CW$4,$AD15:$BA15)),
IF(BX$3=$DF15+'Model Setup'!$G$7,SUMIF($BH$3:$CE$3,"="&amp;$DF15+'Model Setup'!$G$7,$AD15:$BA15)+'Model Setup'!$G$8*(SUMIF($BH$3:$CE$3,"&lt;"&amp;$DF15,$AD15:$BA15)+SUMIF($BH$3:$CE$3,"&gt;"&amp;$CW$4,$AD15:$BA15)),
IF(BX$3=$DF15+'Model Setup'!$H$7,SUMIF($BH$3:$CE$3,"="&amp;$DF15+'Model Setup'!$H$7,$AD15:$BA15)+'Model Setup'!$H$8*(SUMIF($BH$3:$CE$3,"&lt;"&amp;$DF15,$AD15:$BA15)+SUMIF($BH$3:$CE$3,"&gt;"&amp;$CW$4,$AD15:$BA15)),
IF(BX$3=$DF15+'Model Setup'!$I$7,SUMIF($BH$3:$CE$3,"="&amp;$DF15+'Model Setup'!$I$7,$AD15:$BA15)+'Model Setup'!$I$8*(SUMIF($BH$3:$CE$3,"&lt;"&amp;$DF15,$AD15:$BA15)+SUMIF($BH$3:$CE$3,"&gt;"&amp;$CW$4,$AD15:$BA15)),
IF(BX$3=$DF15+'Model Setup'!$J$7,SUMIF($BH$3:$CE$3,"="&amp;$DF15+'Model Setup'!$J$7,$AD15:$BA15)+'Model Setup'!$J$8*(SUMIF($BH$3:$CE$3,"&lt;"&amp;$DF15,$AD15:$BA15)+SUMIF($BH$3:$CE$3,"&gt;"&amp;$CW$4,$AD15:$BA15)),
IF(BX$3=$DF15+'Model Setup'!$K$7,SUMIF($BH$3:$CE$3,"="&amp;$DF15+'Model Setup'!$K$7,$AD15:$BA15)+'Model Setup'!$K$8*(SUMIF($BH$3:$CE$3,"&lt;"&amp;$DF15,$AD15:$BA15)+SUMIF($BH$3:$CE$3,"&gt;"&amp;$CW$4,$AD15:$BA15)),
IF(BX$3=$DF15+'Model Setup'!$L$7,SUMIF($BH$3:$CE$3,"="&amp;$DF15+'Model Setup'!$L$7,$AD15:$BA15)+'Model Setup'!$L$8*(SUMIF($BH$3:$CE$3,"&lt;"&amp;$DF15,$AD15:$BA15)+SUMIF($BH$3:$CE$3,"&gt;"&amp;$CW$4,$AD15:$BA15)),
IF(BX$3=$DF15+'Model Setup'!$M$7,SUMIF($BH$3:$CE$3,"="&amp;$DF15+'Model Setup'!$M$7,$AD15:$BA15)+'Model Setup'!$M$8*(SUMIF($BH$3:$CE$3,"&lt;"&amp;$DF15,$AD15:$BA15)+SUMIF($BH$3:$CE$3,"&gt;"&amp;$CW$4,$AD15:$BA15)),
IF(BX$3=$DF15+'Model Setup'!$N$7,SUMIF($BH$3:$CE$3,"="&amp;$DF15+'Model Setup'!$N$7,$AD15:$BA15)+'Model Setup'!$N$8*(SUMIF($BH$3:$CE$3,"&lt;"&amp;$DF15,$AD15:$BA15)+SUMIF($BH$3:$CE$3,"&gt;"&amp;$CW$4,$AD15:$BA15)),
IF(BX$3&lt;$CW$4,R15,0))))))))))))))),0)</f>
        <v>67</v>
      </c>
      <c r="BY15" s="47">
        <f>ROUND(IF(OR(BY$3&lt;$DF15,BY$3&gt;$CW$4),0,
IF(BY$3=$DF15+'Model Setup'!$B$7,SUMIF($BH$3:$CE$3,"="&amp;$DF15+'Model Setup'!$B$7,$AD15:$BA15)+'Model Setup'!$B$8*(SUMIF($BH$3:$CE$3,"&lt;"&amp;$DF15,$AD15:$BA15)+SUMIF($BH$3:$CE$3,"&gt;"&amp;$CW$4,$AD15:$BA15)),
IF(BY$3=$DF15+'Model Setup'!$C$7,SUMIF($BH$3:$CE$3,"="&amp;$DF15+'Model Setup'!$C$7,$AD15:$BA15)+'Model Setup'!$C$8*(SUMIF($BH$3:$CE$3,"&lt;"&amp;$DF15,$AD15:$BA15)+SUMIF($BH$3:$CE$3,"&gt;"&amp;$CW$4,$AD15:$BA15)),
IF(BY$3=$DF15+'Model Setup'!$D$7,SUMIF($BH$3:$CE$3,"="&amp;$DF15+'Model Setup'!$D$7,$AD15:$BA15)+'Model Setup'!$D$8*(SUMIF($BH$3:$CE$3,"&lt;"&amp;$DF15,$AD15:$BA15)+SUMIF($BH$3:$CE$3,"&gt;"&amp;$CW$4,$AD15:$BA15)),
IF(BY$3=$DF15+'Model Setup'!$E$7,SUMIF($BH$3:$CE$3,"="&amp;$DF15+'Model Setup'!$E$7,$AD15:$BA15)+'Model Setup'!$E$8*(SUMIF($BH$3:$CE$3,"&lt;"&amp;$DF15,$AD15:$BA15)+SUMIF($BH$3:$CE$3,"&gt;"&amp;$CW$4,$AD15:$BA15)),
IF(BY$3=$DF15+'Model Setup'!$F$7,SUMIF($BH$3:$CE$3,"="&amp;$DF15+'Model Setup'!$F$7,$AD15:$BA15)+'Model Setup'!$F$8*(SUMIF($BH$3:$CE$3,"&lt;"&amp;$DF15,$AD15:$BA15)+SUMIF($BH$3:$CE$3,"&gt;"&amp;$CW$4,$AD15:$BA15)),
IF(BY$3=$DF15+'Model Setup'!$G$7,SUMIF($BH$3:$CE$3,"="&amp;$DF15+'Model Setup'!$G$7,$AD15:$BA15)+'Model Setup'!$G$8*(SUMIF($BH$3:$CE$3,"&lt;"&amp;$DF15,$AD15:$BA15)+SUMIF($BH$3:$CE$3,"&gt;"&amp;$CW$4,$AD15:$BA15)),
IF(BY$3=$DF15+'Model Setup'!$H$7,SUMIF($BH$3:$CE$3,"="&amp;$DF15+'Model Setup'!$H$7,$AD15:$BA15)+'Model Setup'!$H$8*(SUMIF($BH$3:$CE$3,"&lt;"&amp;$DF15,$AD15:$BA15)+SUMIF($BH$3:$CE$3,"&gt;"&amp;$CW$4,$AD15:$BA15)),
IF(BY$3=$DF15+'Model Setup'!$I$7,SUMIF($BH$3:$CE$3,"="&amp;$DF15+'Model Setup'!$I$7,$AD15:$BA15)+'Model Setup'!$I$8*(SUMIF($BH$3:$CE$3,"&lt;"&amp;$DF15,$AD15:$BA15)+SUMIF($BH$3:$CE$3,"&gt;"&amp;$CW$4,$AD15:$BA15)),
IF(BY$3=$DF15+'Model Setup'!$J$7,SUMIF($BH$3:$CE$3,"="&amp;$DF15+'Model Setup'!$J$7,$AD15:$BA15)+'Model Setup'!$J$8*(SUMIF($BH$3:$CE$3,"&lt;"&amp;$DF15,$AD15:$BA15)+SUMIF($BH$3:$CE$3,"&gt;"&amp;$CW$4,$AD15:$BA15)),
IF(BY$3=$DF15+'Model Setup'!$K$7,SUMIF($BH$3:$CE$3,"="&amp;$DF15+'Model Setup'!$K$7,$AD15:$BA15)+'Model Setup'!$K$8*(SUMIF($BH$3:$CE$3,"&lt;"&amp;$DF15,$AD15:$BA15)+SUMIF($BH$3:$CE$3,"&gt;"&amp;$CW$4,$AD15:$BA15)),
IF(BY$3=$DF15+'Model Setup'!$L$7,SUMIF($BH$3:$CE$3,"="&amp;$DF15+'Model Setup'!$L$7,$AD15:$BA15)+'Model Setup'!$L$8*(SUMIF($BH$3:$CE$3,"&lt;"&amp;$DF15,$AD15:$BA15)+SUMIF($BH$3:$CE$3,"&gt;"&amp;$CW$4,$AD15:$BA15)),
IF(BY$3=$DF15+'Model Setup'!$M$7,SUMIF($BH$3:$CE$3,"="&amp;$DF15+'Model Setup'!$M$7,$AD15:$BA15)+'Model Setup'!$M$8*(SUMIF($BH$3:$CE$3,"&lt;"&amp;$DF15,$AD15:$BA15)+SUMIF($BH$3:$CE$3,"&gt;"&amp;$CW$4,$AD15:$BA15)),
IF(BY$3=$DF15+'Model Setup'!$N$7,SUMIF($BH$3:$CE$3,"="&amp;$DF15+'Model Setup'!$N$7,$AD15:$BA15)+'Model Setup'!$N$8*(SUMIF($BH$3:$CE$3,"&lt;"&amp;$DF15,$AD15:$BA15)+SUMIF($BH$3:$CE$3,"&gt;"&amp;$CW$4,$AD15:$BA15)),
IF(BY$3&lt;$CW$4,S15,0))))))))))))))),0)</f>
        <v>59</v>
      </c>
      <c r="BZ15" s="47">
        <f>ROUND(IF(OR(BZ$3&lt;$DF15,BZ$3&gt;$CW$4),0,
IF(BZ$3=$DF15+'Model Setup'!$B$7,SUMIF($BH$3:$CE$3,"="&amp;$DF15+'Model Setup'!$B$7,$AD15:$BA15)+'Model Setup'!$B$8*(SUMIF($BH$3:$CE$3,"&lt;"&amp;$DF15,$AD15:$BA15)+SUMIF($BH$3:$CE$3,"&gt;"&amp;$CW$4,$AD15:$BA15)),
IF(BZ$3=$DF15+'Model Setup'!$C$7,SUMIF($BH$3:$CE$3,"="&amp;$DF15+'Model Setup'!$C$7,$AD15:$BA15)+'Model Setup'!$C$8*(SUMIF($BH$3:$CE$3,"&lt;"&amp;$DF15,$AD15:$BA15)+SUMIF($BH$3:$CE$3,"&gt;"&amp;$CW$4,$AD15:$BA15)),
IF(BZ$3=$DF15+'Model Setup'!$D$7,SUMIF($BH$3:$CE$3,"="&amp;$DF15+'Model Setup'!$D$7,$AD15:$BA15)+'Model Setup'!$D$8*(SUMIF($BH$3:$CE$3,"&lt;"&amp;$DF15,$AD15:$BA15)+SUMIF($BH$3:$CE$3,"&gt;"&amp;$CW$4,$AD15:$BA15)),
IF(BZ$3=$DF15+'Model Setup'!$E$7,SUMIF($BH$3:$CE$3,"="&amp;$DF15+'Model Setup'!$E$7,$AD15:$BA15)+'Model Setup'!$E$8*(SUMIF($BH$3:$CE$3,"&lt;"&amp;$DF15,$AD15:$BA15)+SUMIF($BH$3:$CE$3,"&gt;"&amp;$CW$4,$AD15:$BA15)),
IF(BZ$3=$DF15+'Model Setup'!$F$7,SUMIF($BH$3:$CE$3,"="&amp;$DF15+'Model Setup'!$F$7,$AD15:$BA15)+'Model Setup'!$F$8*(SUMIF($BH$3:$CE$3,"&lt;"&amp;$DF15,$AD15:$BA15)+SUMIF($BH$3:$CE$3,"&gt;"&amp;$CW$4,$AD15:$BA15)),
IF(BZ$3=$DF15+'Model Setup'!$G$7,SUMIF($BH$3:$CE$3,"="&amp;$DF15+'Model Setup'!$G$7,$AD15:$BA15)+'Model Setup'!$G$8*(SUMIF($BH$3:$CE$3,"&lt;"&amp;$DF15,$AD15:$BA15)+SUMIF($BH$3:$CE$3,"&gt;"&amp;$CW$4,$AD15:$BA15)),
IF(BZ$3=$DF15+'Model Setup'!$H$7,SUMIF($BH$3:$CE$3,"="&amp;$DF15+'Model Setup'!$H$7,$AD15:$BA15)+'Model Setup'!$H$8*(SUMIF($BH$3:$CE$3,"&lt;"&amp;$DF15,$AD15:$BA15)+SUMIF($BH$3:$CE$3,"&gt;"&amp;$CW$4,$AD15:$BA15)),
IF(BZ$3=$DF15+'Model Setup'!$I$7,SUMIF($BH$3:$CE$3,"="&amp;$DF15+'Model Setup'!$I$7,$AD15:$BA15)+'Model Setup'!$I$8*(SUMIF($BH$3:$CE$3,"&lt;"&amp;$DF15,$AD15:$BA15)+SUMIF($BH$3:$CE$3,"&gt;"&amp;$CW$4,$AD15:$BA15)),
IF(BZ$3=$DF15+'Model Setup'!$J$7,SUMIF($BH$3:$CE$3,"="&amp;$DF15+'Model Setup'!$J$7,$AD15:$BA15)+'Model Setup'!$J$8*(SUMIF($BH$3:$CE$3,"&lt;"&amp;$DF15,$AD15:$BA15)+SUMIF($BH$3:$CE$3,"&gt;"&amp;$CW$4,$AD15:$BA15)),
IF(BZ$3=$DF15+'Model Setup'!$K$7,SUMIF($BH$3:$CE$3,"="&amp;$DF15+'Model Setup'!$K$7,$AD15:$BA15)+'Model Setup'!$K$8*(SUMIF($BH$3:$CE$3,"&lt;"&amp;$DF15,$AD15:$BA15)+SUMIF($BH$3:$CE$3,"&gt;"&amp;$CW$4,$AD15:$BA15)),
IF(BZ$3=$DF15+'Model Setup'!$L$7,SUMIF($BH$3:$CE$3,"="&amp;$DF15+'Model Setup'!$L$7,$AD15:$BA15)+'Model Setup'!$L$8*(SUMIF($BH$3:$CE$3,"&lt;"&amp;$DF15,$AD15:$BA15)+SUMIF($BH$3:$CE$3,"&gt;"&amp;$CW$4,$AD15:$BA15)),
IF(BZ$3=$DF15+'Model Setup'!$M$7,SUMIF($BH$3:$CE$3,"="&amp;$DF15+'Model Setup'!$M$7,$AD15:$BA15)+'Model Setup'!$M$8*(SUMIF($BH$3:$CE$3,"&lt;"&amp;$DF15,$AD15:$BA15)+SUMIF($BH$3:$CE$3,"&gt;"&amp;$CW$4,$AD15:$BA15)),
IF(BZ$3=$DF15+'Model Setup'!$N$7,SUMIF($BH$3:$CE$3,"="&amp;$DF15+'Model Setup'!$N$7,$AD15:$BA15)+'Model Setup'!$N$8*(SUMIF($BH$3:$CE$3,"&lt;"&amp;$DF15,$AD15:$BA15)+SUMIF($BH$3:$CE$3,"&gt;"&amp;$CW$4,$AD15:$BA15)),
IF(BZ$3&lt;$CW$4,T15,0))))))))))))))),0)</f>
        <v>0</v>
      </c>
      <c r="CA15" s="47">
        <f>ROUND(IF(OR(CA$3&lt;$DF15,CA$3&gt;$CW$4),0,
IF(CA$3=$DF15+'Model Setup'!$B$7,SUMIF($BH$3:$CE$3,"="&amp;$DF15+'Model Setup'!$B$7,$AD15:$BA15)+'Model Setup'!$B$8*(SUMIF($BH$3:$CE$3,"&lt;"&amp;$DF15,$AD15:$BA15)+SUMIF($BH$3:$CE$3,"&gt;"&amp;$CW$4,$AD15:$BA15)),
IF(CA$3=$DF15+'Model Setup'!$C$7,SUMIF($BH$3:$CE$3,"="&amp;$DF15+'Model Setup'!$C$7,$AD15:$BA15)+'Model Setup'!$C$8*(SUMIF($BH$3:$CE$3,"&lt;"&amp;$DF15,$AD15:$BA15)+SUMIF($BH$3:$CE$3,"&gt;"&amp;$CW$4,$AD15:$BA15)),
IF(CA$3=$DF15+'Model Setup'!$D$7,SUMIF($BH$3:$CE$3,"="&amp;$DF15+'Model Setup'!$D$7,$AD15:$BA15)+'Model Setup'!$D$8*(SUMIF($BH$3:$CE$3,"&lt;"&amp;$DF15,$AD15:$BA15)+SUMIF($BH$3:$CE$3,"&gt;"&amp;$CW$4,$AD15:$BA15)),
IF(CA$3=$DF15+'Model Setup'!$E$7,SUMIF($BH$3:$CE$3,"="&amp;$DF15+'Model Setup'!$E$7,$AD15:$BA15)+'Model Setup'!$E$8*(SUMIF($BH$3:$CE$3,"&lt;"&amp;$DF15,$AD15:$BA15)+SUMIF($BH$3:$CE$3,"&gt;"&amp;$CW$4,$AD15:$BA15)),
IF(CA$3=$DF15+'Model Setup'!$F$7,SUMIF($BH$3:$CE$3,"="&amp;$DF15+'Model Setup'!$F$7,$AD15:$BA15)+'Model Setup'!$F$8*(SUMIF($BH$3:$CE$3,"&lt;"&amp;$DF15,$AD15:$BA15)+SUMIF($BH$3:$CE$3,"&gt;"&amp;$CW$4,$AD15:$BA15)),
IF(CA$3=$DF15+'Model Setup'!$G$7,SUMIF($BH$3:$CE$3,"="&amp;$DF15+'Model Setup'!$G$7,$AD15:$BA15)+'Model Setup'!$G$8*(SUMIF($BH$3:$CE$3,"&lt;"&amp;$DF15,$AD15:$BA15)+SUMIF($BH$3:$CE$3,"&gt;"&amp;$CW$4,$AD15:$BA15)),
IF(CA$3=$DF15+'Model Setup'!$H$7,SUMIF($BH$3:$CE$3,"="&amp;$DF15+'Model Setup'!$H$7,$AD15:$BA15)+'Model Setup'!$H$8*(SUMIF($BH$3:$CE$3,"&lt;"&amp;$DF15,$AD15:$BA15)+SUMIF($BH$3:$CE$3,"&gt;"&amp;$CW$4,$AD15:$BA15)),
IF(CA$3=$DF15+'Model Setup'!$I$7,SUMIF($BH$3:$CE$3,"="&amp;$DF15+'Model Setup'!$I$7,$AD15:$BA15)+'Model Setup'!$I$8*(SUMIF($BH$3:$CE$3,"&lt;"&amp;$DF15,$AD15:$BA15)+SUMIF($BH$3:$CE$3,"&gt;"&amp;$CW$4,$AD15:$BA15)),
IF(CA$3=$DF15+'Model Setup'!$J$7,SUMIF($BH$3:$CE$3,"="&amp;$DF15+'Model Setup'!$J$7,$AD15:$BA15)+'Model Setup'!$J$8*(SUMIF($BH$3:$CE$3,"&lt;"&amp;$DF15,$AD15:$BA15)+SUMIF($BH$3:$CE$3,"&gt;"&amp;$CW$4,$AD15:$BA15)),
IF(CA$3=$DF15+'Model Setup'!$K$7,SUMIF($BH$3:$CE$3,"="&amp;$DF15+'Model Setup'!$K$7,$AD15:$BA15)+'Model Setup'!$K$8*(SUMIF($BH$3:$CE$3,"&lt;"&amp;$DF15,$AD15:$BA15)+SUMIF($BH$3:$CE$3,"&gt;"&amp;$CW$4,$AD15:$BA15)),
IF(CA$3=$DF15+'Model Setup'!$L$7,SUMIF($BH$3:$CE$3,"="&amp;$DF15+'Model Setup'!$L$7,$AD15:$BA15)+'Model Setup'!$L$8*(SUMIF($BH$3:$CE$3,"&lt;"&amp;$DF15,$AD15:$BA15)+SUMIF($BH$3:$CE$3,"&gt;"&amp;$CW$4,$AD15:$BA15)),
IF(CA$3=$DF15+'Model Setup'!$M$7,SUMIF($BH$3:$CE$3,"="&amp;$DF15+'Model Setup'!$M$7,$AD15:$BA15)+'Model Setup'!$M$8*(SUMIF($BH$3:$CE$3,"&lt;"&amp;$DF15,$AD15:$BA15)+SUMIF($BH$3:$CE$3,"&gt;"&amp;$CW$4,$AD15:$BA15)),
IF(CA$3=$DF15+'Model Setup'!$N$7,SUMIF($BH$3:$CE$3,"="&amp;$DF15+'Model Setup'!$N$7,$AD15:$BA15)+'Model Setup'!$N$8*(SUMIF($BH$3:$CE$3,"&lt;"&amp;$DF15,$AD15:$BA15)+SUMIF($BH$3:$CE$3,"&gt;"&amp;$CW$4,$AD15:$BA15)),
IF(CA$3&lt;$CW$4,U15,0))))))))))))))),0)</f>
        <v>0</v>
      </c>
      <c r="CB15" s="47">
        <f>ROUND(IF(OR(CB$3&lt;$DF15,CB$3&gt;$CW$4),0,
IF(CB$3=$DF15+'Model Setup'!$B$7,SUMIF($BH$3:$CE$3,"="&amp;$DF15+'Model Setup'!$B$7,$AD15:$BA15)+'Model Setup'!$B$8*(SUMIF($BH$3:$CE$3,"&lt;"&amp;$DF15,$AD15:$BA15)+SUMIF($BH$3:$CE$3,"&gt;"&amp;$CW$4,$AD15:$BA15)),
IF(CB$3=$DF15+'Model Setup'!$C$7,SUMIF($BH$3:$CE$3,"="&amp;$DF15+'Model Setup'!$C$7,$AD15:$BA15)+'Model Setup'!$C$8*(SUMIF($BH$3:$CE$3,"&lt;"&amp;$DF15,$AD15:$BA15)+SUMIF($BH$3:$CE$3,"&gt;"&amp;$CW$4,$AD15:$BA15)),
IF(CB$3=$DF15+'Model Setup'!$D$7,SUMIF($BH$3:$CE$3,"="&amp;$DF15+'Model Setup'!$D$7,$AD15:$BA15)+'Model Setup'!$D$8*(SUMIF($BH$3:$CE$3,"&lt;"&amp;$DF15,$AD15:$BA15)+SUMIF($BH$3:$CE$3,"&gt;"&amp;$CW$4,$AD15:$BA15)),
IF(CB$3=$DF15+'Model Setup'!$E$7,SUMIF($BH$3:$CE$3,"="&amp;$DF15+'Model Setup'!$E$7,$AD15:$BA15)+'Model Setup'!$E$8*(SUMIF($BH$3:$CE$3,"&lt;"&amp;$DF15,$AD15:$BA15)+SUMIF($BH$3:$CE$3,"&gt;"&amp;$CW$4,$AD15:$BA15)),
IF(CB$3=$DF15+'Model Setup'!$F$7,SUMIF($BH$3:$CE$3,"="&amp;$DF15+'Model Setup'!$F$7,$AD15:$BA15)+'Model Setup'!$F$8*(SUMIF($BH$3:$CE$3,"&lt;"&amp;$DF15,$AD15:$BA15)+SUMIF($BH$3:$CE$3,"&gt;"&amp;$CW$4,$AD15:$BA15)),
IF(CB$3=$DF15+'Model Setup'!$G$7,SUMIF($BH$3:$CE$3,"="&amp;$DF15+'Model Setup'!$G$7,$AD15:$BA15)+'Model Setup'!$G$8*(SUMIF($BH$3:$CE$3,"&lt;"&amp;$DF15,$AD15:$BA15)+SUMIF($BH$3:$CE$3,"&gt;"&amp;$CW$4,$AD15:$BA15)),
IF(CB$3=$DF15+'Model Setup'!$H$7,SUMIF($BH$3:$CE$3,"="&amp;$DF15+'Model Setup'!$H$7,$AD15:$BA15)+'Model Setup'!$H$8*(SUMIF($BH$3:$CE$3,"&lt;"&amp;$DF15,$AD15:$BA15)+SUMIF($BH$3:$CE$3,"&gt;"&amp;$CW$4,$AD15:$BA15)),
IF(CB$3=$DF15+'Model Setup'!$I$7,SUMIF($BH$3:$CE$3,"="&amp;$DF15+'Model Setup'!$I$7,$AD15:$BA15)+'Model Setup'!$I$8*(SUMIF($BH$3:$CE$3,"&lt;"&amp;$DF15,$AD15:$BA15)+SUMIF($BH$3:$CE$3,"&gt;"&amp;$CW$4,$AD15:$BA15)),
IF(CB$3=$DF15+'Model Setup'!$J$7,SUMIF($BH$3:$CE$3,"="&amp;$DF15+'Model Setup'!$J$7,$AD15:$BA15)+'Model Setup'!$J$8*(SUMIF($BH$3:$CE$3,"&lt;"&amp;$DF15,$AD15:$BA15)+SUMIF($BH$3:$CE$3,"&gt;"&amp;$CW$4,$AD15:$BA15)),
IF(CB$3=$DF15+'Model Setup'!$K$7,SUMIF($BH$3:$CE$3,"="&amp;$DF15+'Model Setup'!$K$7,$AD15:$BA15)+'Model Setup'!$K$8*(SUMIF($BH$3:$CE$3,"&lt;"&amp;$DF15,$AD15:$BA15)+SUMIF($BH$3:$CE$3,"&gt;"&amp;$CW$4,$AD15:$BA15)),
IF(CB$3=$DF15+'Model Setup'!$L$7,SUMIF($BH$3:$CE$3,"="&amp;$DF15+'Model Setup'!$L$7,$AD15:$BA15)+'Model Setup'!$L$8*(SUMIF($BH$3:$CE$3,"&lt;"&amp;$DF15,$AD15:$BA15)+SUMIF($BH$3:$CE$3,"&gt;"&amp;$CW$4,$AD15:$BA15)),
IF(CB$3=$DF15+'Model Setup'!$M$7,SUMIF($BH$3:$CE$3,"="&amp;$DF15+'Model Setup'!$M$7,$AD15:$BA15)+'Model Setup'!$M$8*(SUMIF($BH$3:$CE$3,"&lt;"&amp;$DF15,$AD15:$BA15)+SUMIF($BH$3:$CE$3,"&gt;"&amp;$CW$4,$AD15:$BA15)),
IF(CB$3=$DF15+'Model Setup'!$N$7,SUMIF($BH$3:$CE$3,"="&amp;$DF15+'Model Setup'!$N$7,$AD15:$BA15)+'Model Setup'!$N$8*(SUMIF($BH$3:$CE$3,"&lt;"&amp;$DF15,$AD15:$BA15)+SUMIF($BH$3:$CE$3,"&gt;"&amp;$CW$4,$AD15:$BA15)),
IF(CB$3&lt;$CW$4,V15,0))))))))))))))),0)</f>
        <v>0</v>
      </c>
      <c r="CC15" s="47">
        <f>ROUND(IF(OR(CC$3&lt;$DF15,CC$3&gt;$CW$4),0,
IF(CC$3=$DF15+'Model Setup'!$B$7,SUMIF($BH$3:$CE$3,"="&amp;$DF15+'Model Setup'!$B$7,$AD15:$BA15)+'Model Setup'!$B$8*(SUMIF($BH$3:$CE$3,"&lt;"&amp;$DF15,$AD15:$BA15)+SUMIF($BH$3:$CE$3,"&gt;"&amp;$CW$4,$AD15:$BA15)),
IF(CC$3=$DF15+'Model Setup'!$C$7,SUMIF($BH$3:$CE$3,"="&amp;$DF15+'Model Setup'!$C$7,$AD15:$BA15)+'Model Setup'!$C$8*(SUMIF($BH$3:$CE$3,"&lt;"&amp;$DF15,$AD15:$BA15)+SUMIF($BH$3:$CE$3,"&gt;"&amp;$CW$4,$AD15:$BA15)),
IF(CC$3=$DF15+'Model Setup'!$D$7,SUMIF($BH$3:$CE$3,"="&amp;$DF15+'Model Setup'!$D$7,$AD15:$BA15)+'Model Setup'!$D$8*(SUMIF($BH$3:$CE$3,"&lt;"&amp;$DF15,$AD15:$BA15)+SUMIF($BH$3:$CE$3,"&gt;"&amp;$CW$4,$AD15:$BA15)),
IF(CC$3=$DF15+'Model Setup'!$E$7,SUMIF($BH$3:$CE$3,"="&amp;$DF15+'Model Setup'!$E$7,$AD15:$BA15)+'Model Setup'!$E$8*(SUMIF($BH$3:$CE$3,"&lt;"&amp;$DF15,$AD15:$BA15)+SUMIF($BH$3:$CE$3,"&gt;"&amp;$CW$4,$AD15:$BA15)),
IF(CC$3=$DF15+'Model Setup'!$F$7,SUMIF($BH$3:$CE$3,"="&amp;$DF15+'Model Setup'!$F$7,$AD15:$BA15)+'Model Setup'!$F$8*(SUMIF($BH$3:$CE$3,"&lt;"&amp;$DF15,$AD15:$BA15)+SUMIF($BH$3:$CE$3,"&gt;"&amp;$CW$4,$AD15:$BA15)),
IF(CC$3=$DF15+'Model Setup'!$G$7,SUMIF($BH$3:$CE$3,"="&amp;$DF15+'Model Setup'!$G$7,$AD15:$BA15)+'Model Setup'!$G$8*(SUMIF($BH$3:$CE$3,"&lt;"&amp;$DF15,$AD15:$BA15)+SUMIF($BH$3:$CE$3,"&gt;"&amp;$CW$4,$AD15:$BA15)),
IF(CC$3=$DF15+'Model Setup'!$H$7,SUMIF($BH$3:$CE$3,"="&amp;$DF15+'Model Setup'!$H$7,$AD15:$BA15)+'Model Setup'!$H$8*(SUMIF($BH$3:$CE$3,"&lt;"&amp;$DF15,$AD15:$BA15)+SUMIF($BH$3:$CE$3,"&gt;"&amp;$CW$4,$AD15:$BA15)),
IF(CC$3=$DF15+'Model Setup'!$I$7,SUMIF($BH$3:$CE$3,"="&amp;$DF15+'Model Setup'!$I$7,$AD15:$BA15)+'Model Setup'!$I$8*(SUMIF($BH$3:$CE$3,"&lt;"&amp;$DF15,$AD15:$BA15)+SUMIF($BH$3:$CE$3,"&gt;"&amp;$CW$4,$AD15:$BA15)),
IF(CC$3=$DF15+'Model Setup'!$J$7,SUMIF($BH$3:$CE$3,"="&amp;$DF15+'Model Setup'!$J$7,$AD15:$BA15)+'Model Setup'!$J$8*(SUMIF($BH$3:$CE$3,"&lt;"&amp;$DF15,$AD15:$BA15)+SUMIF($BH$3:$CE$3,"&gt;"&amp;$CW$4,$AD15:$BA15)),
IF(CC$3=$DF15+'Model Setup'!$K$7,SUMIF($BH$3:$CE$3,"="&amp;$DF15+'Model Setup'!$K$7,$AD15:$BA15)+'Model Setup'!$K$8*(SUMIF($BH$3:$CE$3,"&lt;"&amp;$DF15,$AD15:$BA15)+SUMIF($BH$3:$CE$3,"&gt;"&amp;$CW$4,$AD15:$BA15)),
IF(CC$3=$DF15+'Model Setup'!$L$7,SUMIF($BH$3:$CE$3,"="&amp;$DF15+'Model Setup'!$L$7,$AD15:$BA15)+'Model Setup'!$L$8*(SUMIF($BH$3:$CE$3,"&lt;"&amp;$DF15,$AD15:$BA15)+SUMIF($BH$3:$CE$3,"&gt;"&amp;$CW$4,$AD15:$BA15)),
IF(CC$3=$DF15+'Model Setup'!$M$7,SUMIF($BH$3:$CE$3,"="&amp;$DF15+'Model Setup'!$M$7,$AD15:$BA15)+'Model Setup'!$M$8*(SUMIF($BH$3:$CE$3,"&lt;"&amp;$DF15,$AD15:$BA15)+SUMIF($BH$3:$CE$3,"&gt;"&amp;$CW$4,$AD15:$BA15)),
IF(CC$3=$DF15+'Model Setup'!$N$7,SUMIF($BH$3:$CE$3,"="&amp;$DF15+'Model Setup'!$N$7,$AD15:$BA15)+'Model Setup'!$N$8*(SUMIF($BH$3:$CE$3,"&lt;"&amp;$DF15,$AD15:$BA15)+SUMIF($BH$3:$CE$3,"&gt;"&amp;$CW$4,$AD15:$BA15)),
IF(CC$3&lt;$CW$4,W15,0))))))))))))))),0)</f>
        <v>0</v>
      </c>
      <c r="CD15" s="47">
        <f>ROUND(IF(OR(CD$3&lt;$DF15,CD$3&gt;$CW$4),0,
IF(CD$3=$DF15+'Model Setup'!$B$7,SUMIF($BH$3:$CE$3,"="&amp;$DF15+'Model Setup'!$B$7,$AD15:$BA15)+'Model Setup'!$B$8*(SUMIF($BH$3:$CE$3,"&lt;"&amp;$DF15,$AD15:$BA15)+SUMIF($BH$3:$CE$3,"&gt;"&amp;$CW$4,$AD15:$BA15)),
IF(CD$3=$DF15+'Model Setup'!$C$7,SUMIF($BH$3:$CE$3,"="&amp;$DF15+'Model Setup'!$C$7,$AD15:$BA15)+'Model Setup'!$C$8*(SUMIF($BH$3:$CE$3,"&lt;"&amp;$DF15,$AD15:$BA15)+SUMIF($BH$3:$CE$3,"&gt;"&amp;$CW$4,$AD15:$BA15)),
IF(CD$3=$DF15+'Model Setup'!$D$7,SUMIF($BH$3:$CE$3,"="&amp;$DF15+'Model Setup'!$D$7,$AD15:$BA15)+'Model Setup'!$D$8*(SUMIF($BH$3:$CE$3,"&lt;"&amp;$DF15,$AD15:$BA15)+SUMIF($BH$3:$CE$3,"&gt;"&amp;$CW$4,$AD15:$BA15)),
IF(CD$3=$DF15+'Model Setup'!$E$7,SUMIF($BH$3:$CE$3,"="&amp;$DF15+'Model Setup'!$E$7,$AD15:$BA15)+'Model Setup'!$E$8*(SUMIF($BH$3:$CE$3,"&lt;"&amp;$DF15,$AD15:$BA15)+SUMIF($BH$3:$CE$3,"&gt;"&amp;$CW$4,$AD15:$BA15)),
IF(CD$3=$DF15+'Model Setup'!$F$7,SUMIF($BH$3:$CE$3,"="&amp;$DF15+'Model Setup'!$F$7,$AD15:$BA15)+'Model Setup'!$F$8*(SUMIF($BH$3:$CE$3,"&lt;"&amp;$DF15,$AD15:$BA15)+SUMIF($BH$3:$CE$3,"&gt;"&amp;$CW$4,$AD15:$BA15)),
IF(CD$3=$DF15+'Model Setup'!$G$7,SUMIF($BH$3:$CE$3,"="&amp;$DF15+'Model Setup'!$G$7,$AD15:$BA15)+'Model Setup'!$G$8*(SUMIF($BH$3:$CE$3,"&lt;"&amp;$DF15,$AD15:$BA15)+SUMIF($BH$3:$CE$3,"&gt;"&amp;$CW$4,$AD15:$BA15)),
IF(CD$3=$DF15+'Model Setup'!$H$7,SUMIF($BH$3:$CE$3,"="&amp;$DF15+'Model Setup'!$H$7,$AD15:$BA15)+'Model Setup'!$H$8*(SUMIF($BH$3:$CE$3,"&lt;"&amp;$DF15,$AD15:$BA15)+SUMIF($BH$3:$CE$3,"&gt;"&amp;$CW$4,$AD15:$BA15)),
IF(CD$3=$DF15+'Model Setup'!$I$7,SUMIF($BH$3:$CE$3,"="&amp;$DF15+'Model Setup'!$I$7,$AD15:$BA15)+'Model Setup'!$I$8*(SUMIF($BH$3:$CE$3,"&lt;"&amp;$DF15,$AD15:$BA15)+SUMIF($BH$3:$CE$3,"&gt;"&amp;$CW$4,$AD15:$BA15)),
IF(CD$3=$DF15+'Model Setup'!$J$7,SUMIF($BH$3:$CE$3,"="&amp;$DF15+'Model Setup'!$J$7,$AD15:$BA15)+'Model Setup'!$J$8*(SUMIF($BH$3:$CE$3,"&lt;"&amp;$DF15,$AD15:$BA15)+SUMIF($BH$3:$CE$3,"&gt;"&amp;$CW$4,$AD15:$BA15)),
IF(CD$3=$DF15+'Model Setup'!$K$7,SUMIF($BH$3:$CE$3,"="&amp;$DF15+'Model Setup'!$K$7,$AD15:$BA15)+'Model Setup'!$K$8*(SUMIF($BH$3:$CE$3,"&lt;"&amp;$DF15,$AD15:$BA15)+SUMIF($BH$3:$CE$3,"&gt;"&amp;$CW$4,$AD15:$BA15)),
IF(CD$3=$DF15+'Model Setup'!$L$7,SUMIF($BH$3:$CE$3,"="&amp;$DF15+'Model Setup'!$L$7,$AD15:$BA15)+'Model Setup'!$L$8*(SUMIF($BH$3:$CE$3,"&lt;"&amp;$DF15,$AD15:$BA15)+SUMIF($BH$3:$CE$3,"&gt;"&amp;$CW$4,$AD15:$BA15)),
IF(CD$3=$DF15+'Model Setup'!$M$7,SUMIF($BH$3:$CE$3,"="&amp;$DF15+'Model Setup'!$M$7,$AD15:$BA15)+'Model Setup'!$M$8*(SUMIF($BH$3:$CE$3,"&lt;"&amp;$DF15,$AD15:$BA15)+SUMIF($BH$3:$CE$3,"&gt;"&amp;$CW$4,$AD15:$BA15)),
IF(CD$3=$DF15+'Model Setup'!$N$7,SUMIF($BH$3:$CE$3,"="&amp;$DF15+'Model Setup'!$N$7,$AD15:$BA15)+'Model Setup'!$N$8*(SUMIF($BH$3:$CE$3,"&lt;"&amp;$DF15,$AD15:$BA15)+SUMIF($BH$3:$CE$3,"&gt;"&amp;$CW$4,$AD15:$BA15)),
IF(CD$3&lt;$CW$4,X15,0))))))))))))))),0)</f>
        <v>0</v>
      </c>
      <c r="CE15" s="47">
        <f>ROUND(IF(OR(CE$3&lt;$DF15,CE$3&gt;$CW$4),0,
IF(CE$3=$DF15+'Model Setup'!$B$7,SUMIF($BH$3:$CE$3,"="&amp;$DF15+'Model Setup'!$B$7,$AD15:$BA15)+'Model Setup'!$B$8*(SUMIF($BH$3:$CE$3,"&lt;"&amp;$DF15,$AD15:$BA15)+SUMIF($BH$3:$CE$3,"&gt;"&amp;$CW$4,$AD15:$BA15)),
IF(CE$3=$DF15+'Model Setup'!$C$7,SUMIF($BH$3:$CE$3,"="&amp;$DF15+'Model Setup'!$C$7,$AD15:$BA15)+'Model Setup'!$C$8*(SUMIF($BH$3:$CE$3,"&lt;"&amp;$DF15,$AD15:$BA15)+SUMIF($BH$3:$CE$3,"&gt;"&amp;$CW$4,$AD15:$BA15)),
IF(CE$3=$DF15+'Model Setup'!$D$7,SUMIF($BH$3:$CE$3,"="&amp;$DF15+'Model Setup'!$D$7,$AD15:$BA15)+'Model Setup'!$D$8*(SUMIF($BH$3:$CE$3,"&lt;"&amp;$DF15,$AD15:$BA15)+SUMIF($BH$3:$CE$3,"&gt;"&amp;$CW$4,$AD15:$BA15)),
IF(CE$3=$DF15+'Model Setup'!$E$7,SUMIF($BH$3:$CE$3,"="&amp;$DF15+'Model Setup'!$E$7,$AD15:$BA15)+'Model Setup'!$E$8*(SUMIF($BH$3:$CE$3,"&lt;"&amp;$DF15,$AD15:$BA15)+SUMIF($BH$3:$CE$3,"&gt;"&amp;$CW$4,$AD15:$BA15)),
IF(CE$3=$DF15+'Model Setup'!$F$7,SUMIF($BH$3:$CE$3,"="&amp;$DF15+'Model Setup'!$F$7,$AD15:$BA15)+'Model Setup'!$F$8*(SUMIF($BH$3:$CE$3,"&lt;"&amp;$DF15,$AD15:$BA15)+SUMIF($BH$3:$CE$3,"&gt;"&amp;$CW$4,$AD15:$BA15)),
IF(CE$3=$DF15+'Model Setup'!$G$7,SUMIF($BH$3:$CE$3,"="&amp;$DF15+'Model Setup'!$G$7,$AD15:$BA15)+'Model Setup'!$G$8*(SUMIF($BH$3:$CE$3,"&lt;"&amp;$DF15,$AD15:$BA15)+SUMIF($BH$3:$CE$3,"&gt;"&amp;$CW$4,$AD15:$BA15)),
IF(CE$3=$DF15+'Model Setup'!$H$7,SUMIF($BH$3:$CE$3,"="&amp;$DF15+'Model Setup'!$H$7,$AD15:$BA15)+'Model Setup'!$H$8*(SUMIF($BH$3:$CE$3,"&lt;"&amp;$DF15,$AD15:$BA15)+SUMIF($BH$3:$CE$3,"&gt;"&amp;$CW$4,$AD15:$BA15)),
IF(CE$3=$DF15+'Model Setup'!$I$7,SUMIF($BH$3:$CE$3,"="&amp;$DF15+'Model Setup'!$I$7,$AD15:$BA15)+'Model Setup'!$I$8*(SUMIF($BH$3:$CE$3,"&lt;"&amp;$DF15,$AD15:$BA15)+SUMIF($BH$3:$CE$3,"&gt;"&amp;$CW$4,$AD15:$BA15)),
IF(CE$3=$DF15+'Model Setup'!$J$7,SUMIF($BH$3:$CE$3,"="&amp;$DF15+'Model Setup'!$J$7,$AD15:$BA15)+'Model Setup'!$J$8*(SUMIF($BH$3:$CE$3,"&lt;"&amp;$DF15,$AD15:$BA15)+SUMIF($BH$3:$CE$3,"&gt;"&amp;$CW$4,$AD15:$BA15)),
IF(CE$3=$DF15+'Model Setup'!$K$7,SUMIF($BH$3:$CE$3,"="&amp;$DF15+'Model Setup'!$K$7,$AD15:$BA15)+'Model Setup'!$K$8*(SUMIF($BH$3:$CE$3,"&lt;"&amp;$DF15,$AD15:$BA15)+SUMIF($BH$3:$CE$3,"&gt;"&amp;$CW$4,$AD15:$BA15)),
IF(CE$3=$DF15+'Model Setup'!$L$7,SUMIF($BH$3:$CE$3,"="&amp;$DF15+'Model Setup'!$L$7,$AD15:$BA15)+'Model Setup'!$L$8*(SUMIF($BH$3:$CE$3,"&lt;"&amp;$DF15,$AD15:$BA15)+SUMIF($BH$3:$CE$3,"&gt;"&amp;$CW$4,$AD15:$BA15)),
IF(CE$3=$DF15+'Model Setup'!$M$7,SUMIF($BH$3:$CE$3,"="&amp;$DF15+'Model Setup'!$M$7,$AD15:$BA15)+'Model Setup'!$M$8*(SUMIF($BH$3:$CE$3,"&lt;"&amp;$DF15,$AD15:$BA15)+SUMIF($BH$3:$CE$3,"&gt;"&amp;$CW$4,$AD15:$BA15)),
IF(CE$3=$DF15+'Model Setup'!$N$7,SUMIF($BH$3:$CE$3,"="&amp;$DF15+'Model Setup'!$N$7,$AD15:$BA15)+'Model Setup'!$N$8*(SUMIF($BH$3:$CE$3,"&lt;"&amp;$DF15,$AD15:$BA15)+SUMIF($BH$3:$CE$3,"&gt;"&amp;$CW$4,$AD15:$BA15)),
IF(CE$3&lt;$CW$4,Y15,0))))))))))))))),0)</f>
        <v>0</v>
      </c>
      <c r="CF15" s="47">
        <f t="shared" si="3"/>
        <v>1184</v>
      </c>
      <c r="CG15" s="47">
        <f t="shared" si="4"/>
        <v>0</v>
      </c>
      <c r="CI15" s="10" t="s">
        <v>30</v>
      </c>
      <c r="CJ15" s="126">
        <f t="shared" si="9"/>
        <v>35</v>
      </c>
      <c r="CK15" s="126">
        <f t="shared" si="10"/>
        <v>130</v>
      </c>
      <c r="CL15" s="126">
        <f t="shared" si="11"/>
        <v>128</v>
      </c>
      <c r="CM15" s="126">
        <f t="shared" si="12"/>
        <v>146</v>
      </c>
      <c r="CN15" s="126">
        <f t="shared" si="13"/>
        <v>143</v>
      </c>
      <c r="CO15" s="126">
        <f t="shared" si="14"/>
        <v>119</v>
      </c>
      <c r="CP15" s="126">
        <f t="shared" si="15"/>
        <v>99</v>
      </c>
      <c r="CQ15" s="126">
        <f t="shared" si="16"/>
        <v>76</v>
      </c>
      <c r="CR15" s="126">
        <f t="shared" si="17"/>
        <v>59</v>
      </c>
      <c r="CS15" s="126">
        <f t="shared" si="18"/>
        <v>53</v>
      </c>
      <c r="CT15" s="126">
        <f t="shared" si="19"/>
        <v>70</v>
      </c>
      <c r="CU15" s="126">
        <f t="shared" si="20"/>
        <v>67</v>
      </c>
      <c r="CV15" s="126">
        <f t="shared" si="21"/>
        <v>59</v>
      </c>
      <c r="CW15" s="126">
        <f t="shared" si="22"/>
        <v>0</v>
      </c>
      <c r="CX15" s="126">
        <f t="shared" si="23"/>
        <v>0</v>
      </c>
      <c r="CY15" s="126">
        <f t="shared" si="24"/>
        <v>0</v>
      </c>
      <c r="CZ15" s="47">
        <f t="shared" si="7"/>
        <v>1184</v>
      </c>
      <c r="DC15" s="93" t="s">
        <v>30</v>
      </c>
      <c r="DD15" s="89">
        <f>FTC!E13</f>
        <v>0.20833333333333334</v>
      </c>
      <c r="DE15" s="89">
        <f>FTC!F13</f>
        <v>0.75</v>
      </c>
      <c r="DF15" s="90">
        <f t="shared" si="25"/>
        <v>5</v>
      </c>
      <c r="DG15" s="91">
        <f t="shared" si="26"/>
        <v>18</v>
      </c>
      <c r="DH15" s="91">
        <f t="shared" si="27"/>
        <v>13</v>
      </c>
    </row>
    <row r="16" spans="1:112" x14ac:dyDescent="0.35">
      <c r="A16" s="43" t="s">
        <v>31</v>
      </c>
      <c r="B16" s="47">
        <v>9</v>
      </c>
      <c r="C16" s="47">
        <v>7</v>
      </c>
      <c r="D16" s="47">
        <v>4</v>
      </c>
      <c r="E16" s="47">
        <v>4</v>
      </c>
      <c r="F16" s="6"/>
      <c r="G16" s="6"/>
      <c r="H16" s="47">
        <v>19</v>
      </c>
      <c r="I16" s="47">
        <v>14</v>
      </c>
      <c r="J16" s="47">
        <v>9</v>
      </c>
      <c r="K16" s="47">
        <v>12</v>
      </c>
      <c r="L16" s="47">
        <v>14</v>
      </c>
      <c r="M16" s="47">
        <v>12</v>
      </c>
      <c r="N16" s="47">
        <v>12</v>
      </c>
      <c r="O16" s="47">
        <v>8</v>
      </c>
      <c r="P16" s="47">
        <v>8</v>
      </c>
      <c r="Q16" s="47">
        <v>8</v>
      </c>
      <c r="R16" s="47">
        <v>4</v>
      </c>
      <c r="S16" s="47">
        <v>9</v>
      </c>
      <c r="T16" s="47">
        <v>4</v>
      </c>
      <c r="U16" s="47">
        <v>1</v>
      </c>
      <c r="V16" s="47">
        <v>2</v>
      </c>
      <c r="W16" s="47">
        <v>10</v>
      </c>
      <c r="X16" s="47">
        <v>10</v>
      </c>
      <c r="Y16" s="47">
        <v>16</v>
      </c>
      <c r="Z16" s="47">
        <f t="shared" si="0"/>
        <v>196</v>
      </c>
      <c r="AC16" s="43" t="s">
        <v>31</v>
      </c>
      <c r="AD16" s="47">
        <f>ROUND(IF(AD$3&lt;$DF16,0,
IF(AD$3=$DF16+'Model Setup'!$B$7,SUMIF($AD$3:$BA$3,"="&amp;$DF16+'Model Setup'!$B$7,$B16:$Y16)+'Model Setup'!$B$8*(SUMIF($AD$3:$BA$3,"&lt;"&amp;$DF16,$B16:$Y16)+SUMIF($AD$3:$BA$3,"&gt;="&amp;$DG16,$B16:$Y16)),
IF(AD$3=$DF16+'Model Setup'!$C$7,SUMIF($AD$3:$BA$3,"="&amp;$DF16+'Model Setup'!$C$7,$B16:$Y16)+'Model Setup'!$C$8*(SUMIF($AD$3:$BA$3,"&lt;"&amp;$DF16,$B16:$Y16)+SUMIF($AD$3:$BA$3,"&gt;="&amp;$DG16,$B16:$Y16)),
IF(AD$3=$DF16+'Model Setup'!$D$7,SUMIF($AD$3:$BA$3,"="&amp;$DF16+'Model Setup'!$D$7,$B16:$Y16)+'Model Setup'!$D$8*(SUMIF($AD$3:$BA$3,"&lt;"&amp;$DF16,$B16:$Y16)+SUMIF($AD$3:$BA$3,"&gt;="&amp;$DG16,$B16:$Y16)),
IF(AD$3=$DF16+'Model Setup'!$E$7,SUMIF($AD$3:$BA$3,"="&amp;$DF16+'Model Setup'!$E$7,$B16:$Y16)+'Model Setup'!$E$8*(SUMIF($AD$3:$BA$3,"&lt;"&amp;$DF16,$B16:$Y16)+SUMIF($AD$3:$BA$3,"&gt;="&amp;$DG16,$B16:$Y16)),
IF(AD$3=$DF16+'Model Setup'!$F$7,SUMIF($AD$3:$BA$3,"="&amp;$DF16+'Model Setup'!$F$7,$B16:$Y16)+'Model Setup'!$F$8*(SUMIF($AD$3:$BA$3,"&lt;"&amp;$DF16,$B16:$Y16)+SUMIF($AD$3:$BA$3,"&gt;="&amp;$DG16,$B16:$Y16)),
IF(AD$3=$DF16+'Model Setup'!$G$7,SUMIF($AD$3:$BA$3,"="&amp;$DF16+'Model Setup'!$G$7,$B16:$Y16)+'Model Setup'!$G$8*(SUMIF($AD$3:$BA$3,"&lt;"&amp;$DF16,$B16:$Y16)+SUMIF($AD$3:$BA$3,"&gt;="&amp;$DG16,$B16:$Y16)),
IF(AD$3=$DF16+'Model Setup'!$H$7,SUMIF($AD$3:$BA$3,"="&amp;$DF16+'Model Setup'!$H$7,$B16:$Y16)+'Model Setup'!$H$8*(SUMIF($AD$3:$BA$3,"&lt;"&amp;$DF16,$B16:$Y16)+SUMIF($AD$3:$BA$3,"&gt;="&amp;$DG16,$B16:$Y16)),
IF(AD$3=$DF16+'Model Setup'!$I$7,SUMIF($AD$3:$BA$3,"="&amp;$DF16+'Model Setup'!$I$7,$B16:$Y16)+'Model Setup'!$I$8*(SUMIF($AD$3:$BA$3,"&lt;"&amp;$DF16,$B16:$Y16)+SUMIF($AD$3:$BA$3,"&gt;="&amp;$DG16,$B16:$Y16)),
IF(AD$3=$DF16+'Model Setup'!$J$7,SUMIF($AD$3:$BA$3,"="&amp;$DF16+'Model Setup'!$J$7,$B16:$Y16)+'Model Setup'!$J$8*(SUMIF($AD$3:$BA$3,"&lt;"&amp;$DF16,$B16:$Y16)+SUMIF($AD$3:$BA$3,"&gt;="&amp;$DG16,$B16:$Y16)),
IF(AD$3=$DF16+'Model Setup'!$K$7,SUMIF($AD$3:$BA$3,"="&amp;$DF16+'Model Setup'!$K$7,$B16:$Y16)+'Model Setup'!$K$8*(SUMIF($AD$3:$BA$3,"&lt;"&amp;$DF16,$B16:$Y16)+SUMIF($AD$3:$BA$3,"&gt;="&amp;$DG16,$B16:$Y16)),
IF(AD$3=$DF16+'Model Setup'!$L$7,SUMIF($AD$3:$BA$3,"="&amp;$DF16+'Model Setup'!$L$7,$B16:$Y16)+'Model Setup'!$L$8*(SUMIF($AD$3:$BA$3,"&lt;"&amp;$DF16,$B16:$Y16)+SUMIF($AD$3:$BA$3,"&gt;="&amp;$DG16,$B16:$Y16)),
IF(AD$3=$DF16+'Model Setup'!$M$7,SUMIF($AD$3:$BA$3,"="&amp;$DF16+'Model Setup'!$M$7,$B16:$Y16)+'Model Setup'!$M$8*(SUMIF($AD$3:$BA$3,"&lt;"&amp;$DF16,$B16:$Y16)+SUMIF($AD$3:$BA$3,"&gt;="&amp;$DG16,$B16:$Y16)),
IF(AD$3=$DF16+'Model Setup'!$N$7,SUMIF($AD$3:$BA$3,"="&amp;$DF16+'Model Setup'!$N$7,$B16:$Y16)+'Model Setup'!$N$8*(SUMIF($AD$3:$BA$3,"&lt;"&amp;$DF16,$B16:$Y16)+SUMIF($AD$3:$BA$3,"&gt;="&amp;$DG16,$B16:$Y16)),
IF(AD$3&lt;$DG16,B16,0))))))))))))))),0)</f>
        <v>0</v>
      </c>
      <c r="AE16" s="47">
        <f>ROUND(IF(AE$3&lt;$DF16,0,
IF(AE$3=$DF16+'Model Setup'!$B$7,SUMIF($AD$3:$BA$3,"="&amp;$DF16+'Model Setup'!$B$7,$B16:$Y16)+'Model Setup'!$B$8*(SUMIF($AD$3:$BA$3,"&lt;"&amp;$DF16,$B16:$Y16)+SUMIF($AD$3:$BA$3,"&gt;="&amp;$DG16,$B16:$Y16)),
IF(AE$3=$DF16+'Model Setup'!$C$7,SUMIF($AD$3:$BA$3,"="&amp;$DF16+'Model Setup'!$C$7,$B16:$Y16)+'Model Setup'!$C$8*(SUMIF($AD$3:$BA$3,"&lt;"&amp;$DF16,$B16:$Y16)+SUMIF($AD$3:$BA$3,"&gt;="&amp;$DG16,$B16:$Y16)),
IF(AE$3=$DF16+'Model Setup'!$D$7,SUMIF($AD$3:$BA$3,"="&amp;$DF16+'Model Setup'!$D$7,$B16:$Y16)+'Model Setup'!$D$8*(SUMIF($AD$3:$BA$3,"&lt;"&amp;$DF16,$B16:$Y16)+SUMIF($AD$3:$BA$3,"&gt;="&amp;$DG16,$B16:$Y16)),
IF(AE$3=$DF16+'Model Setup'!$E$7,SUMIF($AD$3:$BA$3,"="&amp;$DF16+'Model Setup'!$E$7,$B16:$Y16)+'Model Setup'!$E$8*(SUMIF($AD$3:$BA$3,"&lt;"&amp;$DF16,$B16:$Y16)+SUMIF($AD$3:$BA$3,"&gt;="&amp;$DG16,$B16:$Y16)),
IF(AE$3=$DF16+'Model Setup'!$F$7,SUMIF($AD$3:$BA$3,"="&amp;$DF16+'Model Setup'!$F$7,$B16:$Y16)+'Model Setup'!$F$8*(SUMIF($AD$3:$BA$3,"&lt;"&amp;$DF16,$B16:$Y16)+SUMIF($AD$3:$BA$3,"&gt;="&amp;$DG16,$B16:$Y16)),
IF(AE$3=$DF16+'Model Setup'!$G$7,SUMIF($AD$3:$BA$3,"="&amp;$DF16+'Model Setup'!$G$7,$B16:$Y16)+'Model Setup'!$G$8*(SUMIF($AD$3:$BA$3,"&lt;"&amp;$DF16,$B16:$Y16)+SUMIF($AD$3:$BA$3,"&gt;="&amp;$DG16,$B16:$Y16)),
IF(AE$3=$DF16+'Model Setup'!$H$7,SUMIF($AD$3:$BA$3,"="&amp;$DF16+'Model Setup'!$H$7,$B16:$Y16)+'Model Setup'!$H$8*(SUMIF($AD$3:$BA$3,"&lt;"&amp;$DF16,$B16:$Y16)+SUMIF($AD$3:$BA$3,"&gt;="&amp;$DG16,$B16:$Y16)),
IF(AE$3=$DF16+'Model Setup'!$I$7,SUMIF($AD$3:$BA$3,"="&amp;$DF16+'Model Setup'!$I$7,$B16:$Y16)+'Model Setup'!$I$8*(SUMIF($AD$3:$BA$3,"&lt;"&amp;$DF16,$B16:$Y16)+SUMIF($AD$3:$BA$3,"&gt;="&amp;$DG16,$B16:$Y16)),
IF(AE$3=$DF16+'Model Setup'!$J$7,SUMIF($AD$3:$BA$3,"="&amp;$DF16+'Model Setup'!$J$7,$B16:$Y16)+'Model Setup'!$J$8*(SUMIF($AD$3:$BA$3,"&lt;"&amp;$DF16,$B16:$Y16)+SUMIF($AD$3:$BA$3,"&gt;="&amp;$DG16,$B16:$Y16)),
IF(AE$3=$DF16+'Model Setup'!$K$7,SUMIF($AD$3:$BA$3,"="&amp;$DF16+'Model Setup'!$K$7,$B16:$Y16)+'Model Setup'!$K$8*(SUMIF($AD$3:$BA$3,"&lt;"&amp;$DF16,$B16:$Y16)+SUMIF($AD$3:$BA$3,"&gt;="&amp;$DG16,$B16:$Y16)),
IF(AE$3=$DF16+'Model Setup'!$L$7,SUMIF($AD$3:$BA$3,"="&amp;$DF16+'Model Setup'!$L$7,$B16:$Y16)+'Model Setup'!$L$8*(SUMIF($AD$3:$BA$3,"&lt;"&amp;$DF16,$B16:$Y16)+SUMIF($AD$3:$BA$3,"&gt;="&amp;$DG16,$B16:$Y16)),
IF(AE$3=$DF16+'Model Setup'!$M$7,SUMIF($AD$3:$BA$3,"="&amp;$DF16+'Model Setup'!$M$7,$B16:$Y16)+'Model Setup'!$M$8*(SUMIF($AD$3:$BA$3,"&lt;"&amp;$DF16,$B16:$Y16)+SUMIF($AD$3:$BA$3,"&gt;="&amp;$DG16,$B16:$Y16)),
IF(AE$3=$DF16+'Model Setup'!$N$7,SUMIF($AD$3:$BA$3,"="&amp;$DF16+'Model Setup'!$N$7,$B16:$Y16)+'Model Setup'!$N$8*(SUMIF($AD$3:$BA$3,"&lt;"&amp;$DF16,$B16:$Y16)+SUMIF($AD$3:$BA$3,"&gt;="&amp;$DG16,$B16:$Y16)),
IF(AE$3&lt;$DG16,C16,0))))))))))))))),0)</f>
        <v>0</v>
      </c>
      <c r="AF16" s="47">
        <f>ROUND(IF(AF$3&lt;$DF16,0,
IF(AF$3=$DF16+'Model Setup'!$B$7,SUMIF($AD$3:$BA$3,"="&amp;$DF16+'Model Setup'!$B$7,$B16:$Y16)+'Model Setup'!$B$8*(SUMIF($AD$3:$BA$3,"&lt;"&amp;$DF16,$B16:$Y16)+SUMIF($AD$3:$BA$3,"&gt;="&amp;$DG16,$B16:$Y16)),
IF(AF$3=$DF16+'Model Setup'!$C$7,SUMIF($AD$3:$BA$3,"="&amp;$DF16+'Model Setup'!$C$7,$B16:$Y16)+'Model Setup'!$C$8*(SUMIF($AD$3:$BA$3,"&lt;"&amp;$DF16,$B16:$Y16)+SUMIF($AD$3:$BA$3,"&gt;="&amp;$DG16,$B16:$Y16)),
IF(AF$3=$DF16+'Model Setup'!$D$7,SUMIF($AD$3:$BA$3,"="&amp;$DF16+'Model Setup'!$D$7,$B16:$Y16)+'Model Setup'!$D$8*(SUMIF($AD$3:$BA$3,"&lt;"&amp;$DF16,$B16:$Y16)+SUMIF($AD$3:$BA$3,"&gt;="&amp;$DG16,$B16:$Y16)),
IF(AF$3=$DF16+'Model Setup'!$E$7,SUMIF($AD$3:$BA$3,"="&amp;$DF16+'Model Setup'!$E$7,$B16:$Y16)+'Model Setup'!$E$8*(SUMIF($AD$3:$BA$3,"&lt;"&amp;$DF16,$B16:$Y16)+SUMIF($AD$3:$BA$3,"&gt;="&amp;$DG16,$B16:$Y16)),
IF(AF$3=$DF16+'Model Setup'!$F$7,SUMIF($AD$3:$BA$3,"="&amp;$DF16+'Model Setup'!$F$7,$B16:$Y16)+'Model Setup'!$F$8*(SUMIF($AD$3:$BA$3,"&lt;"&amp;$DF16,$B16:$Y16)+SUMIF($AD$3:$BA$3,"&gt;="&amp;$DG16,$B16:$Y16)),
IF(AF$3=$DF16+'Model Setup'!$G$7,SUMIF($AD$3:$BA$3,"="&amp;$DF16+'Model Setup'!$G$7,$B16:$Y16)+'Model Setup'!$G$8*(SUMIF($AD$3:$BA$3,"&lt;"&amp;$DF16,$B16:$Y16)+SUMIF($AD$3:$BA$3,"&gt;="&amp;$DG16,$B16:$Y16)),
IF(AF$3=$DF16+'Model Setup'!$H$7,SUMIF($AD$3:$BA$3,"="&amp;$DF16+'Model Setup'!$H$7,$B16:$Y16)+'Model Setup'!$H$8*(SUMIF($AD$3:$BA$3,"&lt;"&amp;$DF16,$B16:$Y16)+SUMIF($AD$3:$BA$3,"&gt;="&amp;$DG16,$B16:$Y16)),
IF(AF$3=$DF16+'Model Setup'!$I$7,SUMIF($AD$3:$BA$3,"="&amp;$DF16+'Model Setup'!$I$7,$B16:$Y16)+'Model Setup'!$I$8*(SUMIF($AD$3:$BA$3,"&lt;"&amp;$DF16,$B16:$Y16)+SUMIF($AD$3:$BA$3,"&gt;="&amp;$DG16,$B16:$Y16)),
IF(AF$3=$DF16+'Model Setup'!$J$7,SUMIF($AD$3:$BA$3,"="&amp;$DF16+'Model Setup'!$J$7,$B16:$Y16)+'Model Setup'!$J$8*(SUMIF($AD$3:$BA$3,"&lt;"&amp;$DF16,$B16:$Y16)+SUMIF($AD$3:$BA$3,"&gt;="&amp;$DG16,$B16:$Y16)),
IF(AF$3=$DF16+'Model Setup'!$K$7,SUMIF($AD$3:$BA$3,"="&amp;$DF16+'Model Setup'!$K$7,$B16:$Y16)+'Model Setup'!$K$8*(SUMIF($AD$3:$BA$3,"&lt;"&amp;$DF16,$B16:$Y16)+SUMIF($AD$3:$BA$3,"&gt;="&amp;$DG16,$B16:$Y16)),
IF(AF$3=$DF16+'Model Setup'!$L$7,SUMIF($AD$3:$BA$3,"="&amp;$DF16+'Model Setup'!$L$7,$B16:$Y16)+'Model Setup'!$L$8*(SUMIF($AD$3:$BA$3,"&lt;"&amp;$DF16,$B16:$Y16)+SUMIF($AD$3:$BA$3,"&gt;="&amp;$DG16,$B16:$Y16)),
IF(AF$3=$DF16+'Model Setup'!$M$7,SUMIF($AD$3:$BA$3,"="&amp;$DF16+'Model Setup'!$M$7,$B16:$Y16)+'Model Setup'!$M$8*(SUMIF($AD$3:$BA$3,"&lt;"&amp;$DF16,$B16:$Y16)+SUMIF($AD$3:$BA$3,"&gt;="&amp;$DG16,$B16:$Y16)),
IF(AF$3=$DF16+'Model Setup'!$N$7,SUMIF($AD$3:$BA$3,"="&amp;$DF16+'Model Setup'!$N$7,$B16:$Y16)+'Model Setup'!$N$8*(SUMIF($AD$3:$BA$3,"&lt;"&amp;$DF16,$B16:$Y16)+SUMIF($AD$3:$BA$3,"&gt;="&amp;$DG16,$B16:$Y16)),
IF(AF$3&lt;$DG16,D16,0))))))))))))))),0)</f>
        <v>0</v>
      </c>
      <c r="AG16" s="47">
        <f>ROUND(IF(AG$3&lt;$DF16,0,
IF(AG$3=$DF16+'Model Setup'!$B$7,SUMIF($AD$3:$BA$3,"="&amp;$DF16+'Model Setup'!$B$7,$B16:$Y16)+'Model Setup'!$B$8*(SUMIF($AD$3:$BA$3,"&lt;"&amp;$DF16,$B16:$Y16)+SUMIF($AD$3:$BA$3,"&gt;="&amp;$DG16,$B16:$Y16)),
IF(AG$3=$DF16+'Model Setup'!$C$7,SUMIF($AD$3:$BA$3,"="&amp;$DF16+'Model Setup'!$C$7,$B16:$Y16)+'Model Setup'!$C$8*(SUMIF($AD$3:$BA$3,"&lt;"&amp;$DF16,$B16:$Y16)+SUMIF($AD$3:$BA$3,"&gt;="&amp;$DG16,$B16:$Y16)),
IF(AG$3=$DF16+'Model Setup'!$D$7,SUMIF($AD$3:$BA$3,"="&amp;$DF16+'Model Setup'!$D$7,$B16:$Y16)+'Model Setup'!$D$8*(SUMIF($AD$3:$BA$3,"&lt;"&amp;$DF16,$B16:$Y16)+SUMIF($AD$3:$BA$3,"&gt;="&amp;$DG16,$B16:$Y16)),
IF(AG$3=$DF16+'Model Setup'!$E$7,SUMIF($AD$3:$BA$3,"="&amp;$DF16+'Model Setup'!$E$7,$B16:$Y16)+'Model Setup'!$E$8*(SUMIF($AD$3:$BA$3,"&lt;"&amp;$DF16,$B16:$Y16)+SUMIF($AD$3:$BA$3,"&gt;="&amp;$DG16,$B16:$Y16)),
IF(AG$3=$DF16+'Model Setup'!$F$7,SUMIF($AD$3:$BA$3,"="&amp;$DF16+'Model Setup'!$F$7,$B16:$Y16)+'Model Setup'!$F$8*(SUMIF($AD$3:$BA$3,"&lt;"&amp;$DF16,$B16:$Y16)+SUMIF($AD$3:$BA$3,"&gt;="&amp;$DG16,$B16:$Y16)),
IF(AG$3=$DF16+'Model Setup'!$G$7,SUMIF($AD$3:$BA$3,"="&amp;$DF16+'Model Setup'!$G$7,$B16:$Y16)+'Model Setup'!$G$8*(SUMIF($AD$3:$BA$3,"&lt;"&amp;$DF16,$B16:$Y16)+SUMIF($AD$3:$BA$3,"&gt;="&amp;$DG16,$B16:$Y16)),
IF(AG$3=$DF16+'Model Setup'!$H$7,SUMIF($AD$3:$BA$3,"="&amp;$DF16+'Model Setup'!$H$7,$B16:$Y16)+'Model Setup'!$H$8*(SUMIF($AD$3:$BA$3,"&lt;"&amp;$DF16,$B16:$Y16)+SUMIF($AD$3:$BA$3,"&gt;="&amp;$DG16,$B16:$Y16)),
IF(AG$3=$DF16+'Model Setup'!$I$7,SUMIF($AD$3:$BA$3,"="&amp;$DF16+'Model Setup'!$I$7,$B16:$Y16)+'Model Setup'!$I$8*(SUMIF($AD$3:$BA$3,"&lt;"&amp;$DF16,$B16:$Y16)+SUMIF($AD$3:$BA$3,"&gt;="&amp;$DG16,$B16:$Y16)),
IF(AG$3=$DF16+'Model Setup'!$J$7,SUMIF($AD$3:$BA$3,"="&amp;$DF16+'Model Setup'!$J$7,$B16:$Y16)+'Model Setup'!$J$8*(SUMIF($AD$3:$BA$3,"&lt;"&amp;$DF16,$B16:$Y16)+SUMIF($AD$3:$BA$3,"&gt;="&amp;$DG16,$B16:$Y16)),
IF(AG$3=$DF16+'Model Setup'!$K$7,SUMIF($AD$3:$BA$3,"="&amp;$DF16+'Model Setup'!$K$7,$B16:$Y16)+'Model Setup'!$K$8*(SUMIF($AD$3:$BA$3,"&lt;"&amp;$DF16,$B16:$Y16)+SUMIF($AD$3:$BA$3,"&gt;="&amp;$DG16,$B16:$Y16)),
IF(AG$3=$DF16+'Model Setup'!$L$7,SUMIF($AD$3:$BA$3,"="&amp;$DF16+'Model Setup'!$L$7,$B16:$Y16)+'Model Setup'!$L$8*(SUMIF($AD$3:$BA$3,"&lt;"&amp;$DF16,$B16:$Y16)+SUMIF($AD$3:$BA$3,"&gt;="&amp;$DG16,$B16:$Y16)),
IF(AG$3=$DF16+'Model Setup'!$M$7,SUMIF($AD$3:$BA$3,"="&amp;$DF16+'Model Setup'!$M$7,$B16:$Y16)+'Model Setup'!$M$8*(SUMIF($AD$3:$BA$3,"&lt;"&amp;$DF16,$B16:$Y16)+SUMIF($AD$3:$BA$3,"&gt;="&amp;$DG16,$B16:$Y16)),
IF(AG$3=$DF16+'Model Setup'!$N$7,SUMIF($AD$3:$BA$3,"="&amp;$DF16+'Model Setup'!$N$7,$B16:$Y16)+'Model Setup'!$N$8*(SUMIF($AD$3:$BA$3,"&lt;"&amp;$DF16,$B16:$Y16)+SUMIF($AD$3:$BA$3,"&gt;="&amp;$DG16,$B16:$Y16)),
IF(AG$3&lt;$DG16,E16,0))))))))))))))),0)</f>
        <v>0</v>
      </c>
      <c r="AH16" s="47">
        <f>ROUND(IF(AH$3&lt;$DF16,0,
IF(AH$3=$DF16+'Model Setup'!$B$7,SUMIF($AD$3:$BA$3,"="&amp;$DF16+'Model Setup'!$B$7,$B16:$Y16)+'Model Setup'!$B$8*(SUMIF($AD$3:$BA$3,"&lt;"&amp;$DF16,$B16:$Y16)+SUMIF($AD$3:$BA$3,"&gt;="&amp;$DG16,$B16:$Y16)),
IF(AH$3=$DF16+'Model Setup'!$C$7,SUMIF($AD$3:$BA$3,"="&amp;$DF16+'Model Setup'!$C$7,$B16:$Y16)+'Model Setup'!$C$8*(SUMIF($AD$3:$BA$3,"&lt;"&amp;$DF16,$B16:$Y16)+SUMIF($AD$3:$BA$3,"&gt;="&amp;$DG16,$B16:$Y16)),
IF(AH$3=$DF16+'Model Setup'!$D$7,SUMIF($AD$3:$BA$3,"="&amp;$DF16+'Model Setup'!$D$7,$B16:$Y16)+'Model Setup'!$D$8*(SUMIF($AD$3:$BA$3,"&lt;"&amp;$DF16,$B16:$Y16)+SUMIF($AD$3:$BA$3,"&gt;="&amp;$DG16,$B16:$Y16)),
IF(AH$3=$DF16+'Model Setup'!$E$7,SUMIF($AD$3:$BA$3,"="&amp;$DF16+'Model Setup'!$E$7,$B16:$Y16)+'Model Setup'!$E$8*(SUMIF($AD$3:$BA$3,"&lt;"&amp;$DF16,$B16:$Y16)+SUMIF($AD$3:$BA$3,"&gt;="&amp;$DG16,$B16:$Y16)),
IF(AH$3=$DF16+'Model Setup'!$F$7,SUMIF($AD$3:$BA$3,"="&amp;$DF16+'Model Setup'!$F$7,$B16:$Y16)+'Model Setup'!$F$8*(SUMIF($AD$3:$BA$3,"&lt;"&amp;$DF16,$B16:$Y16)+SUMIF($AD$3:$BA$3,"&gt;="&amp;$DG16,$B16:$Y16)),
IF(AH$3=$DF16+'Model Setup'!$G$7,SUMIF($AD$3:$BA$3,"="&amp;$DF16+'Model Setup'!$G$7,$B16:$Y16)+'Model Setup'!$G$8*(SUMIF($AD$3:$BA$3,"&lt;"&amp;$DF16,$B16:$Y16)+SUMIF($AD$3:$BA$3,"&gt;="&amp;$DG16,$B16:$Y16)),
IF(AH$3=$DF16+'Model Setup'!$H$7,SUMIF($AD$3:$BA$3,"="&amp;$DF16+'Model Setup'!$H$7,$B16:$Y16)+'Model Setup'!$H$8*(SUMIF($AD$3:$BA$3,"&lt;"&amp;$DF16,$B16:$Y16)+SUMIF($AD$3:$BA$3,"&gt;="&amp;$DG16,$B16:$Y16)),
IF(AH$3=$DF16+'Model Setup'!$I$7,SUMIF($AD$3:$BA$3,"="&amp;$DF16+'Model Setup'!$I$7,$B16:$Y16)+'Model Setup'!$I$8*(SUMIF($AD$3:$BA$3,"&lt;"&amp;$DF16,$B16:$Y16)+SUMIF($AD$3:$BA$3,"&gt;="&amp;$DG16,$B16:$Y16)),
IF(AH$3=$DF16+'Model Setup'!$J$7,SUMIF($AD$3:$BA$3,"="&amp;$DF16+'Model Setup'!$J$7,$B16:$Y16)+'Model Setup'!$J$8*(SUMIF($AD$3:$BA$3,"&lt;"&amp;$DF16,$B16:$Y16)+SUMIF($AD$3:$BA$3,"&gt;="&amp;$DG16,$B16:$Y16)),
IF(AH$3=$DF16+'Model Setup'!$K$7,SUMIF($AD$3:$BA$3,"="&amp;$DF16+'Model Setup'!$K$7,$B16:$Y16)+'Model Setup'!$K$8*(SUMIF($AD$3:$BA$3,"&lt;"&amp;$DF16,$B16:$Y16)+SUMIF($AD$3:$BA$3,"&gt;="&amp;$DG16,$B16:$Y16)),
IF(AH$3=$DF16+'Model Setup'!$L$7,SUMIF($AD$3:$BA$3,"="&amp;$DF16+'Model Setup'!$L$7,$B16:$Y16)+'Model Setup'!$L$8*(SUMIF($AD$3:$BA$3,"&lt;"&amp;$DF16,$B16:$Y16)+SUMIF($AD$3:$BA$3,"&gt;="&amp;$DG16,$B16:$Y16)),
IF(AH$3=$DF16+'Model Setup'!$M$7,SUMIF($AD$3:$BA$3,"="&amp;$DF16+'Model Setup'!$M$7,$B16:$Y16)+'Model Setup'!$M$8*(SUMIF($AD$3:$BA$3,"&lt;"&amp;$DF16,$B16:$Y16)+SUMIF($AD$3:$BA$3,"&gt;="&amp;$DG16,$B16:$Y16)),
IF(AH$3=$DF16+'Model Setup'!$N$7,SUMIF($AD$3:$BA$3,"="&amp;$DF16+'Model Setup'!$N$7,$B16:$Y16)+'Model Setup'!$N$8*(SUMIF($AD$3:$BA$3,"&lt;"&amp;$DF16,$B16:$Y16)+SUMIF($AD$3:$BA$3,"&gt;="&amp;$DG16,$B16:$Y16)),
IF(AH$3&lt;$DG16,F16,0))))))))))))))),0)</f>
        <v>0</v>
      </c>
      <c r="AI16" s="47">
        <f>ROUND(IF(AI$3&lt;$DF16,0,
IF(AI$3=$DF16+'Model Setup'!$B$7,SUMIF($AD$3:$BA$3,"="&amp;$DF16+'Model Setup'!$B$7,$B16:$Y16)+'Model Setup'!$B$8*(SUMIF($AD$3:$BA$3,"&lt;"&amp;$DF16,$B16:$Y16)+SUMIF($AD$3:$BA$3,"&gt;="&amp;$DG16,$B16:$Y16)),
IF(AI$3=$DF16+'Model Setup'!$C$7,SUMIF($AD$3:$BA$3,"="&amp;$DF16+'Model Setup'!$C$7,$B16:$Y16)+'Model Setup'!$C$8*(SUMIF($AD$3:$BA$3,"&lt;"&amp;$DF16,$B16:$Y16)+SUMIF($AD$3:$BA$3,"&gt;="&amp;$DG16,$B16:$Y16)),
IF(AI$3=$DF16+'Model Setup'!$D$7,SUMIF($AD$3:$BA$3,"="&amp;$DF16+'Model Setup'!$D$7,$B16:$Y16)+'Model Setup'!$D$8*(SUMIF($AD$3:$BA$3,"&lt;"&amp;$DF16,$B16:$Y16)+SUMIF($AD$3:$BA$3,"&gt;="&amp;$DG16,$B16:$Y16)),
IF(AI$3=$DF16+'Model Setup'!$E$7,SUMIF($AD$3:$BA$3,"="&amp;$DF16+'Model Setup'!$E$7,$B16:$Y16)+'Model Setup'!$E$8*(SUMIF($AD$3:$BA$3,"&lt;"&amp;$DF16,$B16:$Y16)+SUMIF($AD$3:$BA$3,"&gt;="&amp;$DG16,$B16:$Y16)),
IF(AI$3=$DF16+'Model Setup'!$F$7,SUMIF($AD$3:$BA$3,"="&amp;$DF16+'Model Setup'!$F$7,$B16:$Y16)+'Model Setup'!$F$8*(SUMIF($AD$3:$BA$3,"&lt;"&amp;$DF16,$B16:$Y16)+SUMIF($AD$3:$BA$3,"&gt;="&amp;$DG16,$B16:$Y16)),
IF(AI$3=$DF16+'Model Setup'!$G$7,SUMIF($AD$3:$BA$3,"="&amp;$DF16+'Model Setup'!$G$7,$B16:$Y16)+'Model Setup'!$G$8*(SUMIF($AD$3:$BA$3,"&lt;"&amp;$DF16,$B16:$Y16)+SUMIF($AD$3:$BA$3,"&gt;="&amp;$DG16,$B16:$Y16)),
IF(AI$3=$DF16+'Model Setup'!$H$7,SUMIF($AD$3:$BA$3,"="&amp;$DF16+'Model Setup'!$H$7,$B16:$Y16)+'Model Setup'!$H$8*(SUMIF($AD$3:$BA$3,"&lt;"&amp;$DF16,$B16:$Y16)+SUMIF($AD$3:$BA$3,"&gt;="&amp;$DG16,$B16:$Y16)),
IF(AI$3=$DF16+'Model Setup'!$I$7,SUMIF($AD$3:$BA$3,"="&amp;$DF16+'Model Setup'!$I$7,$B16:$Y16)+'Model Setup'!$I$8*(SUMIF($AD$3:$BA$3,"&lt;"&amp;$DF16,$B16:$Y16)+SUMIF($AD$3:$BA$3,"&gt;="&amp;$DG16,$B16:$Y16)),
IF(AI$3=$DF16+'Model Setup'!$J$7,SUMIF($AD$3:$BA$3,"="&amp;$DF16+'Model Setup'!$J$7,$B16:$Y16)+'Model Setup'!$J$8*(SUMIF($AD$3:$BA$3,"&lt;"&amp;$DF16,$B16:$Y16)+SUMIF($AD$3:$BA$3,"&gt;="&amp;$DG16,$B16:$Y16)),
IF(AI$3=$DF16+'Model Setup'!$K$7,SUMIF($AD$3:$BA$3,"="&amp;$DF16+'Model Setup'!$K$7,$B16:$Y16)+'Model Setup'!$K$8*(SUMIF($AD$3:$BA$3,"&lt;"&amp;$DF16,$B16:$Y16)+SUMIF($AD$3:$BA$3,"&gt;="&amp;$DG16,$B16:$Y16)),
IF(AI$3=$DF16+'Model Setup'!$L$7,SUMIF($AD$3:$BA$3,"="&amp;$DF16+'Model Setup'!$L$7,$B16:$Y16)+'Model Setup'!$L$8*(SUMIF($AD$3:$BA$3,"&lt;"&amp;$DF16,$B16:$Y16)+SUMIF($AD$3:$BA$3,"&gt;="&amp;$DG16,$B16:$Y16)),
IF(AI$3=$DF16+'Model Setup'!$M$7,SUMIF($AD$3:$BA$3,"="&amp;$DF16+'Model Setup'!$M$7,$B16:$Y16)+'Model Setup'!$M$8*(SUMIF($AD$3:$BA$3,"&lt;"&amp;$DF16,$B16:$Y16)+SUMIF($AD$3:$BA$3,"&gt;="&amp;$DG16,$B16:$Y16)),
IF(AI$3=$DF16+'Model Setup'!$N$7,SUMIF($AD$3:$BA$3,"="&amp;$DF16+'Model Setup'!$N$7,$B16:$Y16)+'Model Setup'!$N$8*(SUMIF($AD$3:$BA$3,"&lt;"&amp;$DF16,$B16:$Y16)+SUMIF($AD$3:$BA$3,"&gt;="&amp;$DG16,$B16:$Y16)),
IF(AI$3&lt;$DG16,G16,0))))))))))))))),0)</f>
        <v>0</v>
      </c>
      <c r="AJ16" s="47">
        <f>ROUND(IF(AJ$3&lt;$DF16,0,
IF(AJ$3=$DF16+'Model Setup'!$B$7,SUMIF($AD$3:$BA$3,"="&amp;$DF16+'Model Setup'!$B$7,$B16:$Y16)+'Model Setup'!$B$8*(SUMIF($AD$3:$BA$3,"&lt;"&amp;$DF16,$B16:$Y16)+SUMIF($AD$3:$BA$3,"&gt;="&amp;$DG16,$B16:$Y16)),
IF(AJ$3=$DF16+'Model Setup'!$C$7,SUMIF($AD$3:$BA$3,"="&amp;$DF16+'Model Setup'!$C$7,$B16:$Y16)+'Model Setup'!$C$8*(SUMIF($AD$3:$BA$3,"&lt;"&amp;$DF16,$B16:$Y16)+SUMIF($AD$3:$BA$3,"&gt;="&amp;$DG16,$B16:$Y16)),
IF(AJ$3=$DF16+'Model Setup'!$D$7,SUMIF($AD$3:$BA$3,"="&amp;$DF16+'Model Setup'!$D$7,$B16:$Y16)+'Model Setup'!$D$8*(SUMIF($AD$3:$BA$3,"&lt;"&amp;$DF16,$B16:$Y16)+SUMIF($AD$3:$BA$3,"&gt;="&amp;$DG16,$B16:$Y16)),
IF(AJ$3=$DF16+'Model Setup'!$E$7,SUMIF($AD$3:$BA$3,"="&amp;$DF16+'Model Setup'!$E$7,$B16:$Y16)+'Model Setup'!$E$8*(SUMIF($AD$3:$BA$3,"&lt;"&amp;$DF16,$B16:$Y16)+SUMIF($AD$3:$BA$3,"&gt;="&amp;$DG16,$B16:$Y16)),
IF(AJ$3=$DF16+'Model Setup'!$F$7,SUMIF($AD$3:$BA$3,"="&amp;$DF16+'Model Setup'!$F$7,$B16:$Y16)+'Model Setup'!$F$8*(SUMIF($AD$3:$BA$3,"&lt;"&amp;$DF16,$B16:$Y16)+SUMIF($AD$3:$BA$3,"&gt;="&amp;$DG16,$B16:$Y16)),
IF(AJ$3=$DF16+'Model Setup'!$G$7,SUMIF($AD$3:$BA$3,"="&amp;$DF16+'Model Setup'!$G$7,$B16:$Y16)+'Model Setup'!$G$8*(SUMIF($AD$3:$BA$3,"&lt;"&amp;$DF16,$B16:$Y16)+SUMIF($AD$3:$BA$3,"&gt;="&amp;$DG16,$B16:$Y16)),
IF(AJ$3=$DF16+'Model Setup'!$H$7,SUMIF($AD$3:$BA$3,"="&amp;$DF16+'Model Setup'!$H$7,$B16:$Y16)+'Model Setup'!$H$8*(SUMIF($AD$3:$BA$3,"&lt;"&amp;$DF16,$B16:$Y16)+SUMIF($AD$3:$BA$3,"&gt;="&amp;$DG16,$B16:$Y16)),
IF(AJ$3=$DF16+'Model Setup'!$I$7,SUMIF($AD$3:$BA$3,"="&amp;$DF16+'Model Setup'!$I$7,$B16:$Y16)+'Model Setup'!$I$8*(SUMIF($AD$3:$BA$3,"&lt;"&amp;$DF16,$B16:$Y16)+SUMIF($AD$3:$BA$3,"&gt;="&amp;$DG16,$B16:$Y16)),
IF(AJ$3=$DF16+'Model Setup'!$J$7,SUMIF($AD$3:$BA$3,"="&amp;$DF16+'Model Setup'!$J$7,$B16:$Y16)+'Model Setup'!$J$8*(SUMIF($AD$3:$BA$3,"&lt;"&amp;$DF16,$B16:$Y16)+SUMIF($AD$3:$BA$3,"&gt;="&amp;$DG16,$B16:$Y16)),
IF(AJ$3=$DF16+'Model Setup'!$K$7,SUMIF($AD$3:$BA$3,"="&amp;$DF16+'Model Setup'!$K$7,$B16:$Y16)+'Model Setup'!$K$8*(SUMIF($AD$3:$BA$3,"&lt;"&amp;$DF16,$B16:$Y16)+SUMIF($AD$3:$BA$3,"&gt;="&amp;$DG16,$B16:$Y16)),
IF(AJ$3=$DF16+'Model Setup'!$L$7,SUMIF($AD$3:$BA$3,"="&amp;$DF16+'Model Setup'!$L$7,$B16:$Y16)+'Model Setup'!$L$8*(SUMIF($AD$3:$BA$3,"&lt;"&amp;$DF16,$B16:$Y16)+SUMIF($AD$3:$BA$3,"&gt;="&amp;$DG16,$B16:$Y16)),
IF(AJ$3=$DF16+'Model Setup'!$M$7,SUMIF($AD$3:$BA$3,"="&amp;$DF16+'Model Setup'!$M$7,$B16:$Y16)+'Model Setup'!$M$8*(SUMIF($AD$3:$BA$3,"&lt;"&amp;$DF16,$B16:$Y16)+SUMIF($AD$3:$BA$3,"&gt;="&amp;$DG16,$B16:$Y16)),
IF(AJ$3=$DF16+'Model Setup'!$N$7,SUMIF($AD$3:$BA$3,"="&amp;$DF16+'Model Setup'!$N$7,$B16:$Y16)+'Model Setup'!$N$8*(SUMIF($AD$3:$BA$3,"&lt;"&amp;$DF16,$B16:$Y16)+SUMIF($AD$3:$BA$3,"&gt;="&amp;$DG16,$B16:$Y16)),
IF(AJ$3&lt;$DG16,H16,0))))))))))))))),0)</f>
        <v>19</v>
      </c>
      <c r="AK16" s="47">
        <f>ROUND(IF(AK$3&lt;$DF16,0,
IF(AK$3=$DF16+'Model Setup'!$B$7,SUMIF($AD$3:$BA$3,"="&amp;$DF16+'Model Setup'!$B$7,$B16:$Y16)+'Model Setup'!$B$8*(SUMIF($AD$3:$BA$3,"&lt;"&amp;$DF16,$B16:$Y16)+SUMIF($AD$3:$BA$3,"&gt;="&amp;$DG16,$B16:$Y16)),
IF(AK$3=$DF16+'Model Setup'!$C$7,SUMIF($AD$3:$BA$3,"="&amp;$DF16+'Model Setup'!$C$7,$B16:$Y16)+'Model Setup'!$C$8*(SUMIF($AD$3:$BA$3,"&lt;"&amp;$DF16,$B16:$Y16)+SUMIF($AD$3:$BA$3,"&gt;="&amp;$DG16,$B16:$Y16)),
IF(AK$3=$DF16+'Model Setup'!$D$7,SUMIF($AD$3:$BA$3,"="&amp;$DF16+'Model Setup'!$D$7,$B16:$Y16)+'Model Setup'!$D$8*(SUMIF($AD$3:$BA$3,"&lt;"&amp;$DF16,$B16:$Y16)+SUMIF($AD$3:$BA$3,"&gt;="&amp;$DG16,$B16:$Y16)),
IF(AK$3=$DF16+'Model Setup'!$E$7,SUMIF($AD$3:$BA$3,"="&amp;$DF16+'Model Setup'!$E$7,$B16:$Y16)+'Model Setup'!$E$8*(SUMIF($AD$3:$BA$3,"&lt;"&amp;$DF16,$B16:$Y16)+SUMIF($AD$3:$BA$3,"&gt;="&amp;$DG16,$B16:$Y16)),
IF(AK$3=$DF16+'Model Setup'!$F$7,SUMIF($AD$3:$BA$3,"="&amp;$DF16+'Model Setup'!$F$7,$B16:$Y16)+'Model Setup'!$F$8*(SUMIF($AD$3:$BA$3,"&lt;"&amp;$DF16,$B16:$Y16)+SUMIF($AD$3:$BA$3,"&gt;="&amp;$DG16,$B16:$Y16)),
IF(AK$3=$DF16+'Model Setup'!$G$7,SUMIF($AD$3:$BA$3,"="&amp;$DF16+'Model Setup'!$G$7,$B16:$Y16)+'Model Setup'!$G$8*(SUMIF($AD$3:$BA$3,"&lt;"&amp;$DF16,$B16:$Y16)+SUMIF($AD$3:$BA$3,"&gt;="&amp;$DG16,$B16:$Y16)),
IF(AK$3=$DF16+'Model Setup'!$H$7,SUMIF($AD$3:$BA$3,"="&amp;$DF16+'Model Setup'!$H$7,$B16:$Y16)+'Model Setup'!$H$8*(SUMIF($AD$3:$BA$3,"&lt;"&amp;$DF16,$B16:$Y16)+SUMIF($AD$3:$BA$3,"&gt;="&amp;$DG16,$B16:$Y16)),
IF(AK$3=$DF16+'Model Setup'!$I$7,SUMIF($AD$3:$BA$3,"="&amp;$DF16+'Model Setup'!$I$7,$B16:$Y16)+'Model Setup'!$I$8*(SUMIF($AD$3:$BA$3,"&lt;"&amp;$DF16,$B16:$Y16)+SUMIF($AD$3:$BA$3,"&gt;="&amp;$DG16,$B16:$Y16)),
IF(AK$3=$DF16+'Model Setup'!$J$7,SUMIF($AD$3:$BA$3,"="&amp;$DF16+'Model Setup'!$J$7,$B16:$Y16)+'Model Setup'!$J$8*(SUMIF($AD$3:$BA$3,"&lt;"&amp;$DF16,$B16:$Y16)+SUMIF($AD$3:$BA$3,"&gt;="&amp;$DG16,$B16:$Y16)),
IF(AK$3=$DF16+'Model Setup'!$K$7,SUMIF($AD$3:$BA$3,"="&amp;$DF16+'Model Setup'!$K$7,$B16:$Y16)+'Model Setup'!$K$8*(SUMIF($AD$3:$BA$3,"&lt;"&amp;$DF16,$B16:$Y16)+SUMIF($AD$3:$BA$3,"&gt;="&amp;$DG16,$B16:$Y16)),
IF(AK$3=$DF16+'Model Setup'!$L$7,SUMIF($AD$3:$BA$3,"="&amp;$DF16+'Model Setup'!$L$7,$B16:$Y16)+'Model Setup'!$L$8*(SUMIF($AD$3:$BA$3,"&lt;"&amp;$DF16,$B16:$Y16)+SUMIF($AD$3:$BA$3,"&gt;="&amp;$DG16,$B16:$Y16)),
IF(AK$3=$DF16+'Model Setup'!$M$7,SUMIF($AD$3:$BA$3,"="&amp;$DF16+'Model Setup'!$M$7,$B16:$Y16)+'Model Setup'!$M$8*(SUMIF($AD$3:$BA$3,"&lt;"&amp;$DF16,$B16:$Y16)+SUMIF($AD$3:$BA$3,"&gt;="&amp;$DG16,$B16:$Y16)),
IF(AK$3=$DF16+'Model Setup'!$N$7,SUMIF($AD$3:$BA$3,"="&amp;$DF16+'Model Setup'!$N$7,$B16:$Y16)+'Model Setup'!$N$8*(SUMIF($AD$3:$BA$3,"&lt;"&amp;$DF16,$B16:$Y16)+SUMIF($AD$3:$BA$3,"&gt;="&amp;$DG16,$B16:$Y16)),
IF(AK$3&lt;$DG16,I16,0))))))))))))))),0)</f>
        <v>14</v>
      </c>
      <c r="AL16" s="47">
        <f>ROUND(IF(AL$3&lt;$DF16,0,
IF(AL$3=$DF16+'Model Setup'!$B$7,SUMIF($AD$3:$BA$3,"="&amp;$DF16+'Model Setup'!$B$7,$B16:$Y16)+'Model Setup'!$B$8*(SUMIF($AD$3:$BA$3,"&lt;"&amp;$DF16,$B16:$Y16)+SUMIF($AD$3:$BA$3,"&gt;="&amp;$DG16,$B16:$Y16)),
IF(AL$3=$DF16+'Model Setup'!$C$7,SUMIF($AD$3:$BA$3,"="&amp;$DF16+'Model Setup'!$C$7,$B16:$Y16)+'Model Setup'!$C$8*(SUMIF($AD$3:$BA$3,"&lt;"&amp;$DF16,$B16:$Y16)+SUMIF($AD$3:$BA$3,"&gt;="&amp;$DG16,$B16:$Y16)),
IF(AL$3=$DF16+'Model Setup'!$D$7,SUMIF($AD$3:$BA$3,"="&amp;$DF16+'Model Setup'!$D$7,$B16:$Y16)+'Model Setup'!$D$8*(SUMIF($AD$3:$BA$3,"&lt;"&amp;$DF16,$B16:$Y16)+SUMIF($AD$3:$BA$3,"&gt;="&amp;$DG16,$B16:$Y16)),
IF(AL$3=$DF16+'Model Setup'!$E$7,SUMIF($AD$3:$BA$3,"="&amp;$DF16+'Model Setup'!$E$7,$B16:$Y16)+'Model Setup'!$E$8*(SUMIF($AD$3:$BA$3,"&lt;"&amp;$DF16,$B16:$Y16)+SUMIF($AD$3:$BA$3,"&gt;="&amp;$DG16,$B16:$Y16)),
IF(AL$3=$DF16+'Model Setup'!$F$7,SUMIF($AD$3:$BA$3,"="&amp;$DF16+'Model Setup'!$F$7,$B16:$Y16)+'Model Setup'!$F$8*(SUMIF($AD$3:$BA$3,"&lt;"&amp;$DF16,$B16:$Y16)+SUMIF($AD$3:$BA$3,"&gt;="&amp;$DG16,$B16:$Y16)),
IF(AL$3=$DF16+'Model Setup'!$G$7,SUMIF($AD$3:$BA$3,"="&amp;$DF16+'Model Setup'!$G$7,$B16:$Y16)+'Model Setup'!$G$8*(SUMIF($AD$3:$BA$3,"&lt;"&amp;$DF16,$B16:$Y16)+SUMIF($AD$3:$BA$3,"&gt;="&amp;$DG16,$B16:$Y16)),
IF(AL$3=$DF16+'Model Setup'!$H$7,SUMIF($AD$3:$BA$3,"="&amp;$DF16+'Model Setup'!$H$7,$B16:$Y16)+'Model Setup'!$H$8*(SUMIF($AD$3:$BA$3,"&lt;"&amp;$DF16,$B16:$Y16)+SUMIF($AD$3:$BA$3,"&gt;="&amp;$DG16,$B16:$Y16)),
IF(AL$3=$DF16+'Model Setup'!$I$7,SUMIF($AD$3:$BA$3,"="&amp;$DF16+'Model Setup'!$I$7,$B16:$Y16)+'Model Setup'!$I$8*(SUMIF($AD$3:$BA$3,"&lt;"&amp;$DF16,$B16:$Y16)+SUMIF($AD$3:$BA$3,"&gt;="&amp;$DG16,$B16:$Y16)),
IF(AL$3=$DF16+'Model Setup'!$J$7,SUMIF($AD$3:$BA$3,"="&amp;$DF16+'Model Setup'!$J$7,$B16:$Y16)+'Model Setup'!$J$8*(SUMIF($AD$3:$BA$3,"&lt;"&amp;$DF16,$B16:$Y16)+SUMIF($AD$3:$BA$3,"&gt;="&amp;$DG16,$B16:$Y16)),
IF(AL$3=$DF16+'Model Setup'!$K$7,SUMIF($AD$3:$BA$3,"="&amp;$DF16+'Model Setup'!$K$7,$B16:$Y16)+'Model Setup'!$K$8*(SUMIF($AD$3:$BA$3,"&lt;"&amp;$DF16,$B16:$Y16)+SUMIF($AD$3:$BA$3,"&gt;="&amp;$DG16,$B16:$Y16)),
IF(AL$3=$DF16+'Model Setup'!$L$7,SUMIF($AD$3:$BA$3,"="&amp;$DF16+'Model Setup'!$L$7,$B16:$Y16)+'Model Setup'!$L$8*(SUMIF($AD$3:$BA$3,"&lt;"&amp;$DF16,$B16:$Y16)+SUMIF($AD$3:$BA$3,"&gt;="&amp;$DG16,$B16:$Y16)),
IF(AL$3=$DF16+'Model Setup'!$M$7,SUMIF($AD$3:$BA$3,"="&amp;$DF16+'Model Setup'!$M$7,$B16:$Y16)+'Model Setup'!$M$8*(SUMIF($AD$3:$BA$3,"&lt;"&amp;$DF16,$B16:$Y16)+SUMIF($AD$3:$BA$3,"&gt;="&amp;$DG16,$B16:$Y16)),
IF(AL$3=$DF16+'Model Setup'!$N$7,SUMIF($AD$3:$BA$3,"="&amp;$DF16+'Model Setup'!$N$7,$B16:$Y16)+'Model Setup'!$N$8*(SUMIF($AD$3:$BA$3,"&lt;"&amp;$DF16,$B16:$Y16)+SUMIF($AD$3:$BA$3,"&gt;="&amp;$DG16,$B16:$Y16)),
IF(AL$3&lt;$DG16,J16,0))))))))))))))),0)</f>
        <v>9</v>
      </c>
      <c r="AM16" s="47">
        <f>ROUND(IF(AM$3&lt;$DF16,0,
IF(AM$3=$DF16+'Model Setup'!$B$7,SUMIF($AD$3:$BA$3,"="&amp;$DF16+'Model Setup'!$B$7,$B16:$Y16)+'Model Setup'!$B$8*(SUMIF($AD$3:$BA$3,"&lt;"&amp;$DF16,$B16:$Y16)+SUMIF($AD$3:$BA$3,"&gt;="&amp;$DG16,$B16:$Y16)),
IF(AM$3=$DF16+'Model Setup'!$C$7,SUMIF($AD$3:$BA$3,"="&amp;$DF16+'Model Setup'!$C$7,$B16:$Y16)+'Model Setup'!$C$8*(SUMIF($AD$3:$BA$3,"&lt;"&amp;$DF16,$B16:$Y16)+SUMIF($AD$3:$BA$3,"&gt;="&amp;$DG16,$B16:$Y16)),
IF(AM$3=$DF16+'Model Setup'!$D$7,SUMIF($AD$3:$BA$3,"="&amp;$DF16+'Model Setup'!$D$7,$B16:$Y16)+'Model Setup'!$D$8*(SUMIF($AD$3:$BA$3,"&lt;"&amp;$DF16,$B16:$Y16)+SUMIF($AD$3:$BA$3,"&gt;="&amp;$DG16,$B16:$Y16)),
IF(AM$3=$DF16+'Model Setup'!$E$7,SUMIF($AD$3:$BA$3,"="&amp;$DF16+'Model Setup'!$E$7,$B16:$Y16)+'Model Setup'!$E$8*(SUMIF($AD$3:$BA$3,"&lt;"&amp;$DF16,$B16:$Y16)+SUMIF($AD$3:$BA$3,"&gt;="&amp;$DG16,$B16:$Y16)),
IF(AM$3=$DF16+'Model Setup'!$F$7,SUMIF($AD$3:$BA$3,"="&amp;$DF16+'Model Setup'!$F$7,$B16:$Y16)+'Model Setup'!$F$8*(SUMIF($AD$3:$BA$3,"&lt;"&amp;$DF16,$B16:$Y16)+SUMIF($AD$3:$BA$3,"&gt;="&amp;$DG16,$B16:$Y16)),
IF(AM$3=$DF16+'Model Setup'!$G$7,SUMIF($AD$3:$BA$3,"="&amp;$DF16+'Model Setup'!$G$7,$B16:$Y16)+'Model Setup'!$G$8*(SUMIF($AD$3:$BA$3,"&lt;"&amp;$DF16,$B16:$Y16)+SUMIF($AD$3:$BA$3,"&gt;="&amp;$DG16,$B16:$Y16)),
IF(AM$3=$DF16+'Model Setup'!$H$7,SUMIF($AD$3:$BA$3,"="&amp;$DF16+'Model Setup'!$H$7,$B16:$Y16)+'Model Setup'!$H$8*(SUMIF($AD$3:$BA$3,"&lt;"&amp;$DF16,$B16:$Y16)+SUMIF($AD$3:$BA$3,"&gt;="&amp;$DG16,$B16:$Y16)),
IF(AM$3=$DF16+'Model Setup'!$I$7,SUMIF($AD$3:$BA$3,"="&amp;$DF16+'Model Setup'!$I$7,$B16:$Y16)+'Model Setup'!$I$8*(SUMIF($AD$3:$BA$3,"&lt;"&amp;$DF16,$B16:$Y16)+SUMIF($AD$3:$BA$3,"&gt;="&amp;$DG16,$B16:$Y16)),
IF(AM$3=$DF16+'Model Setup'!$J$7,SUMIF($AD$3:$BA$3,"="&amp;$DF16+'Model Setup'!$J$7,$B16:$Y16)+'Model Setup'!$J$8*(SUMIF($AD$3:$BA$3,"&lt;"&amp;$DF16,$B16:$Y16)+SUMIF($AD$3:$BA$3,"&gt;="&amp;$DG16,$B16:$Y16)),
IF(AM$3=$DF16+'Model Setup'!$K$7,SUMIF($AD$3:$BA$3,"="&amp;$DF16+'Model Setup'!$K$7,$B16:$Y16)+'Model Setup'!$K$8*(SUMIF($AD$3:$BA$3,"&lt;"&amp;$DF16,$B16:$Y16)+SUMIF($AD$3:$BA$3,"&gt;="&amp;$DG16,$B16:$Y16)),
IF(AM$3=$DF16+'Model Setup'!$L$7,SUMIF($AD$3:$BA$3,"="&amp;$DF16+'Model Setup'!$L$7,$B16:$Y16)+'Model Setup'!$L$8*(SUMIF($AD$3:$BA$3,"&lt;"&amp;$DF16,$B16:$Y16)+SUMIF($AD$3:$BA$3,"&gt;="&amp;$DG16,$B16:$Y16)),
IF(AM$3=$DF16+'Model Setup'!$M$7,SUMIF($AD$3:$BA$3,"="&amp;$DF16+'Model Setup'!$M$7,$B16:$Y16)+'Model Setup'!$M$8*(SUMIF($AD$3:$BA$3,"&lt;"&amp;$DF16,$B16:$Y16)+SUMIF($AD$3:$BA$3,"&gt;="&amp;$DG16,$B16:$Y16)),
IF(AM$3=$DF16+'Model Setup'!$N$7,SUMIF($AD$3:$BA$3,"="&amp;$DF16+'Model Setup'!$N$7,$B16:$Y16)+'Model Setup'!$N$8*(SUMIF($AD$3:$BA$3,"&lt;"&amp;$DF16,$B16:$Y16)+SUMIF($AD$3:$BA$3,"&gt;="&amp;$DG16,$B16:$Y16)),
IF(AM$3&lt;$DG16,K16,0))))))))))))))),0)</f>
        <v>12</v>
      </c>
      <c r="AN16" s="47">
        <f>ROUND(IF(AN$3&lt;$DF16,0,
IF(AN$3=$DF16+'Model Setup'!$B$7,SUMIF($AD$3:$BA$3,"="&amp;$DF16+'Model Setup'!$B$7,$B16:$Y16)+'Model Setup'!$B$8*(SUMIF($AD$3:$BA$3,"&lt;"&amp;$DF16,$B16:$Y16)+SUMIF($AD$3:$BA$3,"&gt;="&amp;$DG16,$B16:$Y16)),
IF(AN$3=$DF16+'Model Setup'!$C$7,SUMIF($AD$3:$BA$3,"="&amp;$DF16+'Model Setup'!$C$7,$B16:$Y16)+'Model Setup'!$C$8*(SUMIF($AD$3:$BA$3,"&lt;"&amp;$DF16,$B16:$Y16)+SUMIF($AD$3:$BA$3,"&gt;="&amp;$DG16,$B16:$Y16)),
IF(AN$3=$DF16+'Model Setup'!$D$7,SUMIF($AD$3:$BA$3,"="&amp;$DF16+'Model Setup'!$D$7,$B16:$Y16)+'Model Setup'!$D$8*(SUMIF($AD$3:$BA$3,"&lt;"&amp;$DF16,$B16:$Y16)+SUMIF($AD$3:$BA$3,"&gt;="&amp;$DG16,$B16:$Y16)),
IF(AN$3=$DF16+'Model Setup'!$E$7,SUMIF($AD$3:$BA$3,"="&amp;$DF16+'Model Setup'!$E$7,$B16:$Y16)+'Model Setup'!$E$8*(SUMIF($AD$3:$BA$3,"&lt;"&amp;$DF16,$B16:$Y16)+SUMIF($AD$3:$BA$3,"&gt;="&amp;$DG16,$B16:$Y16)),
IF(AN$3=$DF16+'Model Setup'!$F$7,SUMIF($AD$3:$BA$3,"="&amp;$DF16+'Model Setup'!$F$7,$B16:$Y16)+'Model Setup'!$F$8*(SUMIF($AD$3:$BA$3,"&lt;"&amp;$DF16,$B16:$Y16)+SUMIF($AD$3:$BA$3,"&gt;="&amp;$DG16,$B16:$Y16)),
IF(AN$3=$DF16+'Model Setup'!$G$7,SUMIF($AD$3:$BA$3,"="&amp;$DF16+'Model Setup'!$G$7,$B16:$Y16)+'Model Setup'!$G$8*(SUMIF($AD$3:$BA$3,"&lt;"&amp;$DF16,$B16:$Y16)+SUMIF($AD$3:$BA$3,"&gt;="&amp;$DG16,$B16:$Y16)),
IF(AN$3=$DF16+'Model Setup'!$H$7,SUMIF($AD$3:$BA$3,"="&amp;$DF16+'Model Setup'!$H$7,$B16:$Y16)+'Model Setup'!$H$8*(SUMIF($AD$3:$BA$3,"&lt;"&amp;$DF16,$B16:$Y16)+SUMIF($AD$3:$BA$3,"&gt;="&amp;$DG16,$B16:$Y16)),
IF(AN$3=$DF16+'Model Setup'!$I$7,SUMIF($AD$3:$BA$3,"="&amp;$DF16+'Model Setup'!$I$7,$B16:$Y16)+'Model Setup'!$I$8*(SUMIF($AD$3:$BA$3,"&lt;"&amp;$DF16,$B16:$Y16)+SUMIF($AD$3:$BA$3,"&gt;="&amp;$DG16,$B16:$Y16)),
IF(AN$3=$DF16+'Model Setup'!$J$7,SUMIF($AD$3:$BA$3,"="&amp;$DF16+'Model Setup'!$J$7,$B16:$Y16)+'Model Setup'!$J$8*(SUMIF($AD$3:$BA$3,"&lt;"&amp;$DF16,$B16:$Y16)+SUMIF($AD$3:$BA$3,"&gt;="&amp;$DG16,$B16:$Y16)),
IF(AN$3=$DF16+'Model Setup'!$K$7,SUMIF($AD$3:$BA$3,"="&amp;$DF16+'Model Setup'!$K$7,$B16:$Y16)+'Model Setup'!$K$8*(SUMIF($AD$3:$BA$3,"&lt;"&amp;$DF16,$B16:$Y16)+SUMIF($AD$3:$BA$3,"&gt;="&amp;$DG16,$B16:$Y16)),
IF(AN$3=$DF16+'Model Setup'!$L$7,SUMIF($AD$3:$BA$3,"="&amp;$DF16+'Model Setup'!$L$7,$B16:$Y16)+'Model Setup'!$L$8*(SUMIF($AD$3:$BA$3,"&lt;"&amp;$DF16,$B16:$Y16)+SUMIF($AD$3:$BA$3,"&gt;="&amp;$DG16,$B16:$Y16)),
IF(AN$3=$DF16+'Model Setup'!$M$7,SUMIF($AD$3:$BA$3,"="&amp;$DF16+'Model Setup'!$M$7,$B16:$Y16)+'Model Setup'!$M$8*(SUMIF($AD$3:$BA$3,"&lt;"&amp;$DF16,$B16:$Y16)+SUMIF($AD$3:$BA$3,"&gt;="&amp;$DG16,$B16:$Y16)),
IF(AN$3=$DF16+'Model Setup'!$N$7,SUMIF($AD$3:$BA$3,"="&amp;$DF16+'Model Setup'!$N$7,$B16:$Y16)+'Model Setup'!$N$8*(SUMIF($AD$3:$BA$3,"&lt;"&amp;$DF16,$B16:$Y16)+SUMIF($AD$3:$BA$3,"&gt;="&amp;$DG16,$B16:$Y16)),
IF(AN$3&lt;$DG16,L16,0))))))))))))))),0)</f>
        <v>14</v>
      </c>
      <c r="AO16" s="47">
        <f>ROUND(IF(AO$3&lt;$DF16,0,
IF(AO$3=$DF16+'Model Setup'!$B$7,SUMIF($AD$3:$BA$3,"="&amp;$DF16+'Model Setup'!$B$7,$B16:$Y16)+'Model Setup'!$B$8*(SUMIF($AD$3:$BA$3,"&lt;"&amp;$DF16,$B16:$Y16)+SUMIF($AD$3:$BA$3,"&gt;="&amp;$DG16,$B16:$Y16)),
IF(AO$3=$DF16+'Model Setup'!$C$7,SUMIF($AD$3:$BA$3,"="&amp;$DF16+'Model Setup'!$C$7,$B16:$Y16)+'Model Setup'!$C$8*(SUMIF($AD$3:$BA$3,"&lt;"&amp;$DF16,$B16:$Y16)+SUMIF($AD$3:$BA$3,"&gt;="&amp;$DG16,$B16:$Y16)),
IF(AO$3=$DF16+'Model Setup'!$D$7,SUMIF($AD$3:$BA$3,"="&amp;$DF16+'Model Setup'!$D$7,$B16:$Y16)+'Model Setup'!$D$8*(SUMIF($AD$3:$BA$3,"&lt;"&amp;$DF16,$B16:$Y16)+SUMIF($AD$3:$BA$3,"&gt;="&amp;$DG16,$B16:$Y16)),
IF(AO$3=$DF16+'Model Setup'!$E$7,SUMIF($AD$3:$BA$3,"="&amp;$DF16+'Model Setup'!$E$7,$B16:$Y16)+'Model Setup'!$E$8*(SUMIF($AD$3:$BA$3,"&lt;"&amp;$DF16,$B16:$Y16)+SUMIF($AD$3:$BA$3,"&gt;="&amp;$DG16,$B16:$Y16)),
IF(AO$3=$DF16+'Model Setup'!$F$7,SUMIF($AD$3:$BA$3,"="&amp;$DF16+'Model Setup'!$F$7,$B16:$Y16)+'Model Setup'!$F$8*(SUMIF($AD$3:$BA$3,"&lt;"&amp;$DF16,$B16:$Y16)+SUMIF($AD$3:$BA$3,"&gt;="&amp;$DG16,$B16:$Y16)),
IF(AO$3=$DF16+'Model Setup'!$G$7,SUMIF($AD$3:$BA$3,"="&amp;$DF16+'Model Setup'!$G$7,$B16:$Y16)+'Model Setup'!$G$8*(SUMIF($AD$3:$BA$3,"&lt;"&amp;$DF16,$B16:$Y16)+SUMIF($AD$3:$BA$3,"&gt;="&amp;$DG16,$B16:$Y16)),
IF(AO$3=$DF16+'Model Setup'!$H$7,SUMIF($AD$3:$BA$3,"="&amp;$DF16+'Model Setup'!$H$7,$B16:$Y16)+'Model Setup'!$H$8*(SUMIF($AD$3:$BA$3,"&lt;"&amp;$DF16,$B16:$Y16)+SUMIF($AD$3:$BA$3,"&gt;="&amp;$DG16,$B16:$Y16)),
IF(AO$3=$DF16+'Model Setup'!$I$7,SUMIF($AD$3:$BA$3,"="&amp;$DF16+'Model Setup'!$I$7,$B16:$Y16)+'Model Setup'!$I$8*(SUMIF($AD$3:$BA$3,"&lt;"&amp;$DF16,$B16:$Y16)+SUMIF($AD$3:$BA$3,"&gt;="&amp;$DG16,$B16:$Y16)),
IF(AO$3=$DF16+'Model Setup'!$J$7,SUMIF($AD$3:$BA$3,"="&amp;$DF16+'Model Setup'!$J$7,$B16:$Y16)+'Model Setup'!$J$8*(SUMIF($AD$3:$BA$3,"&lt;"&amp;$DF16,$B16:$Y16)+SUMIF($AD$3:$BA$3,"&gt;="&amp;$DG16,$B16:$Y16)),
IF(AO$3=$DF16+'Model Setup'!$K$7,SUMIF($AD$3:$BA$3,"="&amp;$DF16+'Model Setup'!$K$7,$B16:$Y16)+'Model Setup'!$K$8*(SUMIF($AD$3:$BA$3,"&lt;"&amp;$DF16,$B16:$Y16)+SUMIF($AD$3:$BA$3,"&gt;="&amp;$DG16,$B16:$Y16)),
IF(AO$3=$DF16+'Model Setup'!$L$7,SUMIF($AD$3:$BA$3,"="&amp;$DF16+'Model Setup'!$L$7,$B16:$Y16)+'Model Setup'!$L$8*(SUMIF($AD$3:$BA$3,"&lt;"&amp;$DF16,$B16:$Y16)+SUMIF($AD$3:$BA$3,"&gt;="&amp;$DG16,$B16:$Y16)),
IF(AO$3=$DF16+'Model Setup'!$M$7,SUMIF($AD$3:$BA$3,"="&amp;$DF16+'Model Setup'!$M$7,$B16:$Y16)+'Model Setup'!$M$8*(SUMIF($AD$3:$BA$3,"&lt;"&amp;$DF16,$B16:$Y16)+SUMIF($AD$3:$BA$3,"&gt;="&amp;$DG16,$B16:$Y16)),
IF(AO$3=$DF16+'Model Setup'!$N$7,SUMIF($AD$3:$BA$3,"="&amp;$DF16+'Model Setup'!$N$7,$B16:$Y16)+'Model Setup'!$N$8*(SUMIF($AD$3:$BA$3,"&lt;"&amp;$DF16,$B16:$Y16)+SUMIF($AD$3:$BA$3,"&gt;="&amp;$DG16,$B16:$Y16)),
IF(AO$3&lt;$DG16,M16,0))))))))))))))),0)</f>
        <v>12</v>
      </c>
      <c r="AP16" s="47">
        <f>ROUND(IF(AP$3&lt;$DF16,0,
IF(AP$3=$DF16+'Model Setup'!$B$7,SUMIF($AD$3:$BA$3,"="&amp;$DF16+'Model Setup'!$B$7,$B16:$Y16)+'Model Setup'!$B$8*(SUMIF($AD$3:$BA$3,"&lt;"&amp;$DF16,$B16:$Y16)+SUMIF($AD$3:$BA$3,"&gt;="&amp;$DG16,$B16:$Y16)),
IF(AP$3=$DF16+'Model Setup'!$C$7,SUMIF($AD$3:$BA$3,"="&amp;$DF16+'Model Setup'!$C$7,$B16:$Y16)+'Model Setup'!$C$8*(SUMIF($AD$3:$BA$3,"&lt;"&amp;$DF16,$B16:$Y16)+SUMIF($AD$3:$BA$3,"&gt;="&amp;$DG16,$B16:$Y16)),
IF(AP$3=$DF16+'Model Setup'!$D$7,SUMIF($AD$3:$BA$3,"="&amp;$DF16+'Model Setup'!$D$7,$B16:$Y16)+'Model Setup'!$D$8*(SUMIF($AD$3:$BA$3,"&lt;"&amp;$DF16,$B16:$Y16)+SUMIF($AD$3:$BA$3,"&gt;="&amp;$DG16,$B16:$Y16)),
IF(AP$3=$DF16+'Model Setup'!$E$7,SUMIF($AD$3:$BA$3,"="&amp;$DF16+'Model Setup'!$E$7,$B16:$Y16)+'Model Setup'!$E$8*(SUMIF($AD$3:$BA$3,"&lt;"&amp;$DF16,$B16:$Y16)+SUMIF($AD$3:$BA$3,"&gt;="&amp;$DG16,$B16:$Y16)),
IF(AP$3=$DF16+'Model Setup'!$F$7,SUMIF($AD$3:$BA$3,"="&amp;$DF16+'Model Setup'!$F$7,$B16:$Y16)+'Model Setup'!$F$8*(SUMIF($AD$3:$BA$3,"&lt;"&amp;$DF16,$B16:$Y16)+SUMIF($AD$3:$BA$3,"&gt;="&amp;$DG16,$B16:$Y16)),
IF(AP$3=$DF16+'Model Setup'!$G$7,SUMIF($AD$3:$BA$3,"="&amp;$DF16+'Model Setup'!$G$7,$B16:$Y16)+'Model Setup'!$G$8*(SUMIF($AD$3:$BA$3,"&lt;"&amp;$DF16,$B16:$Y16)+SUMIF($AD$3:$BA$3,"&gt;="&amp;$DG16,$B16:$Y16)),
IF(AP$3=$DF16+'Model Setup'!$H$7,SUMIF($AD$3:$BA$3,"="&amp;$DF16+'Model Setup'!$H$7,$B16:$Y16)+'Model Setup'!$H$8*(SUMIF($AD$3:$BA$3,"&lt;"&amp;$DF16,$B16:$Y16)+SUMIF($AD$3:$BA$3,"&gt;="&amp;$DG16,$B16:$Y16)),
IF(AP$3=$DF16+'Model Setup'!$I$7,SUMIF($AD$3:$BA$3,"="&amp;$DF16+'Model Setup'!$I$7,$B16:$Y16)+'Model Setup'!$I$8*(SUMIF($AD$3:$BA$3,"&lt;"&amp;$DF16,$B16:$Y16)+SUMIF($AD$3:$BA$3,"&gt;="&amp;$DG16,$B16:$Y16)),
IF(AP$3=$DF16+'Model Setup'!$J$7,SUMIF($AD$3:$BA$3,"="&amp;$DF16+'Model Setup'!$J$7,$B16:$Y16)+'Model Setup'!$J$8*(SUMIF($AD$3:$BA$3,"&lt;"&amp;$DF16,$B16:$Y16)+SUMIF($AD$3:$BA$3,"&gt;="&amp;$DG16,$B16:$Y16)),
IF(AP$3=$DF16+'Model Setup'!$K$7,SUMIF($AD$3:$BA$3,"="&amp;$DF16+'Model Setup'!$K$7,$B16:$Y16)+'Model Setup'!$K$8*(SUMIF($AD$3:$BA$3,"&lt;"&amp;$DF16,$B16:$Y16)+SUMIF($AD$3:$BA$3,"&gt;="&amp;$DG16,$B16:$Y16)),
IF(AP$3=$DF16+'Model Setup'!$L$7,SUMIF($AD$3:$BA$3,"="&amp;$DF16+'Model Setup'!$L$7,$B16:$Y16)+'Model Setup'!$L$8*(SUMIF($AD$3:$BA$3,"&lt;"&amp;$DF16,$B16:$Y16)+SUMIF($AD$3:$BA$3,"&gt;="&amp;$DG16,$B16:$Y16)),
IF(AP$3=$DF16+'Model Setup'!$M$7,SUMIF($AD$3:$BA$3,"="&amp;$DF16+'Model Setup'!$M$7,$B16:$Y16)+'Model Setup'!$M$8*(SUMIF($AD$3:$BA$3,"&lt;"&amp;$DF16,$B16:$Y16)+SUMIF($AD$3:$BA$3,"&gt;="&amp;$DG16,$B16:$Y16)),
IF(AP$3=$DF16+'Model Setup'!$N$7,SUMIF($AD$3:$BA$3,"="&amp;$DF16+'Model Setup'!$N$7,$B16:$Y16)+'Model Setup'!$N$8*(SUMIF($AD$3:$BA$3,"&lt;"&amp;$DF16,$B16:$Y16)+SUMIF($AD$3:$BA$3,"&gt;="&amp;$DG16,$B16:$Y16)),
IF(AP$3&lt;$DG16,N16,0))))))))))))))),0)</f>
        <v>12</v>
      </c>
      <c r="AQ16" s="47">
        <f>ROUND(IF(AQ$3&lt;$DF16,0,
IF(AQ$3=$DF16+'Model Setup'!$B$7,SUMIF($AD$3:$BA$3,"="&amp;$DF16+'Model Setup'!$B$7,$B16:$Y16)+'Model Setup'!$B$8*(SUMIF($AD$3:$BA$3,"&lt;"&amp;$DF16,$B16:$Y16)+SUMIF($AD$3:$BA$3,"&gt;="&amp;$DG16,$B16:$Y16)),
IF(AQ$3=$DF16+'Model Setup'!$C$7,SUMIF($AD$3:$BA$3,"="&amp;$DF16+'Model Setup'!$C$7,$B16:$Y16)+'Model Setup'!$C$8*(SUMIF($AD$3:$BA$3,"&lt;"&amp;$DF16,$B16:$Y16)+SUMIF($AD$3:$BA$3,"&gt;="&amp;$DG16,$B16:$Y16)),
IF(AQ$3=$DF16+'Model Setup'!$D$7,SUMIF($AD$3:$BA$3,"="&amp;$DF16+'Model Setup'!$D$7,$B16:$Y16)+'Model Setup'!$D$8*(SUMIF($AD$3:$BA$3,"&lt;"&amp;$DF16,$B16:$Y16)+SUMIF($AD$3:$BA$3,"&gt;="&amp;$DG16,$B16:$Y16)),
IF(AQ$3=$DF16+'Model Setup'!$E$7,SUMIF($AD$3:$BA$3,"="&amp;$DF16+'Model Setup'!$E$7,$B16:$Y16)+'Model Setup'!$E$8*(SUMIF($AD$3:$BA$3,"&lt;"&amp;$DF16,$B16:$Y16)+SUMIF($AD$3:$BA$3,"&gt;="&amp;$DG16,$B16:$Y16)),
IF(AQ$3=$DF16+'Model Setup'!$F$7,SUMIF($AD$3:$BA$3,"="&amp;$DF16+'Model Setup'!$F$7,$B16:$Y16)+'Model Setup'!$F$8*(SUMIF($AD$3:$BA$3,"&lt;"&amp;$DF16,$B16:$Y16)+SUMIF($AD$3:$BA$3,"&gt;="&amp;$DG16,$B16:$Y16)),
IF(AQ$3=$DF16+'Model Setup'!$G$7,SUMIF($AD$3:$BA$3,"="&amp;$DF16+'Model Setup'!$G$7,$B16:$Y16)+'Model Setup'!$G$8*(SUMIF($AD$3:$BA$3,"&lt;"&amp;$DF16,$B16:$Y16)+SUMIF($AD$3:$BA$3,"&gt;="&amp;$DG16,$B16:$Y16)),
IF(AQ$3=$DF16+'Model Setup'!$H$7,SUMIF($AD$3:$BA$3,"="&amp;$DF16+'Model Setup'!$H$7,$B16:$Y16)+'Model Setup'!$H$8*(SUMIF($AD$3:$BA$3,"&lt;"&amp;$DF16,$B16:$Y16)+SUMIF($AD$3:$BA$3,"&gt;="&amp;$DG16,$B16:$Y16)),
IF(AQ$3=$DF16+'Model Setup'!$I$7,SUMIF($AD$3:$BA$3,"="&amp;$DF16+'Model Setup'!$I$7,$B16:$Y16)+'Model Setup'!$I$8*(SUMIF($AD$3:$BA$3,"&lt;"&amp;$DF16,$B16:$Y16)+SUMIF($AD$3:$BA$3,"&gt;="&amp;$DG16,$B16:$Y16)),
IF(AQ$3=$DF16+'Model Setup'!$J$7,SUMIF($AD$3:$BA$3,"="&amp;$DF16+'Model Setup'!$J$7,$B16:$Y16)+'Model Setup'!$J$8*(SUMIF($AD$3:$BA$3,"&lt;"&amp;$DF16,$B16:$Y16)+SUMIF($AD$3:$BA$3,"&gt;="&amp;$DG16,$B16:$Y16)),
IF(AQ$3=$DF16+'Model Setup'!$K$7,SUMIF($AD$3:$BA$3,"="&amp;$DF16+'Model Setup'!$K$7,$B16:$Y16)+'Model Setup'!$K$8*(SUMIF($AD$3:$BA$3,"&lt;"&amp;$DF16,$B16:$Y16)+SUMIF($AD$3:$BA$3,"&gt;="&amp;$DG16,$B16:$Y16)),
IF(AQ$3=$DF16+'Model Setup'!$L$7,SUMIF($AD$3:$BA$3,"="&amp;$DF16+'Model Setup'!$L$7,$B16:$Y16)+'Model Setup'!$L$8*(SUMIF($AD$3:$BA$3,"&lt;"&amp;$DF16,$B16:$Y16)+SUMIF($AD$3:$BA$3,"&gt;="&amp;$DG16,$B16:$Y16)),
IF(AQ$3=$DF16+'Model Setup'!$M$7,SUMIF($AD$3:$BA$3,"="&amp;$DF16+'Model Setup'!$M$7,$B16:$Y16)+'Model Setup'!$M$8*(SUMIF($AD$3:$BA$3,"&lt;"&amp;$DF16,$B16:$Y16)+SUMIF($AD$3:$BA$3,"&gt;="&amp;$DG16,$B16:$Y16)),
IF(AQ$3=$DF16+'Model Setup'!$N$7,SUMIF($AD$3:$BA$3,"="&amp;$DF16+'Model Setup'!$N$7,$B16:$Y16)+'Model Setup'!$N$8*(SUMIF($AD$3:$BA$3,"&lt;"&amp;$DF16,$B16:$Y16)+SUMIF($AD$3:$BA$3,"&gt;="&amp;$DG16,$B16:$Y16)),
IF(AQ$3&lt;$DG16,O16,0))))))))))))))),0)</f>
        <v>8</v>
      </c>
      <c r="AR16" s="47">
        <f>ROUND(IF(AR$3&lt;$DF16,0,
IF(AR$3=$DF16+'Model Setup'!$B$7,SUMIF($AD$3:$BA$3,"="&amp;$DF16+'Model Setup'!$B$7,$B16:$Y16)+'Model Setup'!$B$8*(SUMIF($AD$3:$BA$3,"&lt;"&amp;$DF16,$B16:$Y16)+SUMIF($AD$3:$BA$3,"&gt;="&amp;$DG16,$B16:$Y16)),
IF(AR$3=$DF16+'Model Setup'!$C$7,SUMIF($AD$3:$BA$3,"="&amp;$DF16+'Model Setup'!$C$7,$B16:$Y16)+'Model Setup'!$C$8*(SUMIF($AD$3:$BA$3,"&lt;"&amp;$DF16,$B16:$Y16)+SUMIF($AD$3:$BA$3,"&gt;="&amp;$DG16,$B16:$Y16)),
IF(AR$3=$DF16+'Model Setup'!$D$7,SUMIF($AD$3:$BA$3,"="&amp;$DF16+'Model Setup'!$D$7,$B16:$Y16)+'Model Setup'!$D$8*(SUMIF($AD$3:$BA$3,"&lt;"&amp;$DF16,$B16:$Y16)+SUMIF($AD$3:$BA$3,"&gt;="&amp;$DG16,$B16:$Y16)),
IF(AR$3=$DF16+'Model Setup'!$E$7,SUMIF($AD$3:$BA$3,"="&amp;$DF16+'Model Setup'!$E$7,$B16:$Y16)+'Model Setup'!$E$8*(SUMIF($AD$3:$BA$3,"&lt;"&amp;$DF16,$B16:$Y16)+SUMIF($AD$3:$BA$3,"&gt;="&amp;$DG16,$B16:$Y16)),
IF(AR$3=$DF16+'Model Setup'!$F$7,SUMIF($AD$3:$BA$3,"="&amp;$DF16+'Model Setup'!$F$7,$B16:$Y16)+'Model Setup'!$F$8*(SUMIF($AD$3:$BA$3,"&lt;"&amp;$DF16,$B16:$Y16)+SUMIF($AD$3:$BA$3,"&gt;="&amp;$DG16,$B16:$Y16)),
IF(AR$3=$DF16+'Model Setup'!$G$7,SUMIF($AD$3:$BA$3,"="&amp;$DF16+'Model Setup'!$G$7,$B16:$Y16)+'Model Setup'!$G$8*(SUMIF($AD$3:$BA$3,"&lt;"&amp;$DF16,$B16:$Y16)+SUMIF($AD$3:$BA$3,"&gt;="&amp;$DG16,$B16:$Y16)),
IF(AR$3=$DF16+'Model Setup'!$H$7,SUMIF($AD$3:$BA$3,"="&amp;$DF16+'Model Setup'!$H$7,$B16:$Y16)+'Model Setup'!$H$8*(SUMIF($AD$3:$BA$3,"&lt;"&amp;$DF16,$B16:$Y16)+SUMIF($AD$3:$BA$3,"&gt;="&amp;$DG16,$B16:$Y16)),
IF(AR$3=$DF16+'Model Setup'!$I$7,SUMIF($AD$3:$BA$3,"="&amp;$DF16+'Model Setup'!$I$7,$B16:$Y16)+'Model Setup'!$I$8*(SUMIF($AD$3:$BA$3,"&lt;"&amp;$DF16,$B16:$Y16)+SUMIF($AD$3:$BA$3,"&gt;="&amp;$DG16,$B16:$Y16)),
IF(AR$3=$DF16+'Model Setup'!$J$7,SUMIF($AD$3:$BA$3,"="&amp;$DF16+'Model Setup'!$J$7,$B16:$Y16)+'Model Setup'!$J$8*(SUMIF($AD$3:$BA$3,"&lt;"&amp;$DF16,$B16:$Y16)+SUMIF($AD$3:$BA$3,"&gt;="&amp;$DG16,$B16:$Y16)),
IF(AR$3=$DF16+'Model Setup'!$K$7,SUMIF($AD$3:$BA$3,"="&amp;$DF16+'Model Setup'!$K$7,$B16:$Y16)+'Model Setup'!$K$8*(SUMIF($AD$3:$BA$3,"&lt;"&amp;$DF16,$B16:$Y16)+SUMIF($AD$3:$BA$3,"&gt;="&amp;$DG16,$B16:$Y16)),
IF(AR$3=$DF16+'Model Setup'!$L$7,SUMIF($AD$3:$BA$3,"="&amp;$DF16+'Model Setup'!$L$7,$B16:$Y16)+'Model Setup'!$L$8*(SUMIF($AD$3:$BA$3,"&lt;"&amp;$DF16,$B16:$Y16)+SUMIF($AD$3:$BA$3,"&gt;="&amp;$DG16,$B16:$Y16)),
IF(AR$3=$DF16+'Model Setup'!$M$7,SUMIF($AD$3:$BA$3,"="&amp;$DF16+'Model Setup'!$M$7,$B16:$Y16)+'Model Setup'!$M$8*(SUMIF($AD$3:$BA$3,"&lt;"&amp;$DF16,$B16:$Y16)+SUMIF($AD$3:$BA$3,"&gt;="&amp;$DG16,$B16:$Y16)),
IF(AR$3=$DF16+'Model Setup'!$N$7,SUMIF($AD$3:$BA$3,"="&amp;$DF16+'Model Setup'!$N$7,$B16:$Y16)+'Model Setup'!$N$8*(SUMIF($AD$3:$BA$3,"&lt;"&amp;$DF16,$B16:$Y16)+SUMIF($AD$3:$BA$3,"&gt;="&amp;$DG16,$B16:$Y16)),
IF(AR$3&lt;$DG16,P16,0))))))))))))))),0)</f>
        <v>8</v>
      </c>
      <c r="AS16" s="47">
        <f>ROUND(IF(AS$3&lt;$DF16,0,
IF(AS$3=$DF16+'Model Setup'!$B$7,SUMIF($AD$3:$BA$3,"="&amp;$DF16+'Model Setup'!$B$7,$B16:$Y16)+'Model Setup'!$B$8*(SUMIF($AD$3:$BA$3,"&lt;"&amp;$DF16,$B16:$Y16)+SUMIF($AD$3:$BA$3,"&gt;="&amp;$DG16,$B16:$Y16)),
IF(AS$3=$DF16+'Model Setup'!$C$7,SUMIF($AD$3:$BA$3,"="&amp;$DF16+'Model Setup'!$C$7,$B16:$Y16)+'Model Setup'!$C$8*(SUMIF($AD$3:$BA$3,"&lt;"&amp;$DF16,$B16:$Y16)+SUMIF($AD$3:$BA$3,"&gt;="&amp;$DG16,$B16:$Y16)),
IF(AS$3=$DF16+'Model Setup'!$D$7,SUMIF($AD$3:$BA$3,"="&amp;$DF16+'Model Setup'!$D$7,$B16:$Y16)+'Model Setup'!$D$8*(SUMIF($AD$3:$BA$3,"&lt;"&amp;$DF16,$B16:$Y16)+SUMIF($AD$3:$BA$3,"&gt;="&amp;$DG16,$B16:$Y16)),
IF(AS$3=$DF16+'Model Setup'!$E$7,SUMIF($AD$3:$BA$3,"="&amp;$DF16+'Model Setup'!$E$7,$B16:$Y16)+'Model Setup'!$E$8*(SUMIF($AD$3:$BA$3,"&lt;"&amp;$DF16,$B16:$Y16)+SUMIF($AD$3:$BA$3,"&gt;="&amp;$DG16,$B16:$Y16)),
IF(AS$3=$DF16+'Model Setup'!$F$7,SUMIF($AD$3:$BA$3,"="&amp;$DF16+'Model Setup'!$F$7,$B16:$Y16)+'Model Setup'!$F$8*(SUMIF($AD$3:$BA$3,"&lt;"&amp;$DF16,$B16:$Y16)+SUMIF($AD$3:$BA$3,"&gt;="&amp;$DG16,$B16:$Y16)),
IF(AS$3=$DF16+'Model Setup'!$G$7,SUMIF($AD$3:$BA$3,"="&amp;$DF16+'Model Setup'!$G$7,$B16:$Y16)+'Model Setup'!$G$8*(SUMIF($AD$3:$BA$3,"&lt;"&amp;$DF16,$B16:$Y16)+SUMIF($AD$3:$BA$3,"&gt;="&amp;$DG16,$B16:$Y16)),
IF(AS$3=$DF16+'Model Setup'!$H$7,SUMIF($AD$3:$BA$3,"="&amp;$DF16+'Model Setup'!$H$7,$B16:$Y16)+'Model Setup'!$H$8*(SUMIF($AD$3:$BA$3,"&lt;"&amp;$DF16,$B16:$Y16)+SUMIF($AD$3:$BA$3,"&gt;="&amp;$DG16,$B16:$Y16)),
IF(AS$3=$DF16+'Model Setup'!$I$7,SUMIF($AD$3:$BA$3,"="&amp;$DF16+'Model Setup'!$I$7,$B16:$Y16)+'Model Setup'!$I$8*(SUMIF($AD$3:$BA$3,"&lt;"&amp;$DF16,$B16:$Y16)+SUMIF($AD$3:$BA$3,"&gt;="&amp;$DG16,$B16:$Y16)),
IF(AS$3=$DF16+'Model Setup'!$J$7,SUMIF($AD$3:$BA$3,"="&amp;$DF16+'Model Setup'!$J$7,$B16:$Y16)+'Model Setup'!$J$8*(SUMIF($AD$3:$BA$3,"&lt;"&amp;$DF16,$B16:$Y16)+SUMIF($AD$3:$BA$3,"&gt;="&amp;$DG16,$B16:$Y16)),
IF(AS$3=$DF16+'Model Setup'!$K$7,SUMIF($AD$3:$BA$3,"="&amp;$DF16+'Model Setup'!$K$7,$B16:$Y16)+'Model Setup'!$K$8*(SUMIF($AD$3:$BA$3,"&lt;"&amp;$DF16,$B16:$Y16)+SUMIF($AD$3:$BA$3,"&gt;="&amp;$DG16,$B16:$Y16)),
IF(AS$3=$DF16+'Model Setup'!$L$7,SUMIF($AD$3:$BA$3,"="&amp;$DF16+'Model Setup'!$L$7,$B16:$Y16)+'Model Setup'!$L$8*(SUMIF($AD$3:$BA$3,"&lt;"&amp;$DF16,$B16:$Y16)+SUMIF($AD$3:$BA$3,"&gt;="&amp;$DG16,$B16:$Y16)),
IF(AS$3=$DF16+'Model Setup'!$M$7,SUMIF($AD$3:$BA$3,"="&amp;$DF16+'Model Setup'!$M$7,$B16:$Y16)+'Model Setup'!$M$8*(SUMIF($AD$3:$BA$3,"&lt;"&amp;$DF16,$B16:$Y16)+SUMIF($AD$3:$BA$3,"&gt;="&amp;$DG16,$B16:$Y16)),
IF(AS$3=$DF16+'Model Setup'!$N$7,SUMIF($AD$3:$BA$3,"="&amp;$DF16+'Model Setup'!$N$7,$B16:$Y16)+'Model Setup'!$N$8*(SUMIF($AD$3:$BA$3,"&lt;"&amp;$DF16,$B16:$Y16)+SUMIF($AD$3:$BA$3,"&gt;="&amp;$DG16,$B16:$Y16)),
IF(AS$3&lt;$DG16,Q16,0))))))))))))))),0)</f>
        <v>8</v>
      </c>
      <c r="AT16" s="47">
        <f>ROUND(IF(AT$3&lt;$DF16,0,
IF(AT$3=$DF16+'Model Setup'!$B$7,SUMIF($AD$3:$BA$3,"="&amp;$DF16+'Model Setup'!$B$7,$B16:$Y16)+'Model Setup'!$B$8*(SUMIF($AD$3:$BA$3,"&lt;"&amp;$DF16,$B16:$Y16)+SUMIF($AD$3:$BA$3,"&gt;="&amp;$DG16,$B16:$Y16)),
IF(AT$3=$DF16+'Model Setup'!$C$7,SUMIF($AD$3:$BA$3,"="&amp;$DF16+'Model Setup'!$C$7,$B16:$Y16)+'Model Setup'!$C$8*(SUMIF($AD$3:$BA$3,"&lt;"&amp;$DF16,$B16:$Y16)+SUMIF($AD$3:$BA$3,"&gt;="&amp;$DG16,$B16:$Y16)),
IF(AT$3=$DF16+'Model Setup'!$D$7,SUMIF($AD$3:$BA$3,"="&amp;$DF16+'Model Setup'!$D$7,$B16:$Y16)+'Model Setup'!$D$8*(SUMIF($AD$3:$BA$3,"&lt;"&amp;$DF16,$B16:$Y16)+SUMIF($AD$3:$BA$3,"&gt;="&amp;$DG16,$B16:$Y16)),
IF(AT$3=$DF16+'Model Setup'!$E$7,SUMIF($AD$3:$BA$3,"="&amp;$DF16+'Model Setup'!$E$7,$B16:$Y16)+'Model Setup'!$E$8*(SUMIF($AD$3:$BA$3,"&lt;"&amp;$DF16,$B16:$Y16)+SUMIF($AD$3:$BA$3,"&gt;="&amp;$DG16,$B16:$Y16)),
IF(AT$3=$DF16+'Model Setup'!$F$7,SUMIF($AD$3:$BA$3,"="&amp;$DF16+'Model Setup'!$F$7,$B16:$Y16)+'Model Setup'!$F$8*(SUMIF($AD$3:$BA$3,"&lt;"&amp;$DF16,$B16:$Y16)+SUMIF($AD$3:$BA$3,"&gt;="&amp;$DG16,$B16:$Y16)),
IF(AT$3=$DF16+'Model Setup'!$G$7,SUMIF($AD$3:$BA$3,"="&amp;$DF16+'Model Setup'!$G$7,$B16:$Y16)+'Model Setup'!$G$8*(SUMIF($AD$3:$BA$3,"&lt;"&amp;$DF16,$B16:$Y16)+SUMIF($AD$3:$BA$3,"&gt;="&amp;$DG16,$B16:$Y16)),
IF(AT$3=$DF16+'Model Setup'!$H$7,SUMIF($AD$3:$BA$3,"="&amp;$DF16+'Model Setup'!$H$7,$B16:$Y16)+'Model Setup'!$H$8*(SUMIF($AD$3:$BA$3,"&lt;"&amp;$DF16,$B16:$Y16)+SUMIF($AD$3:$BA$3,"&gt;="&amp;$DG16,$B16:$Y16)),
IF(AT$3=$DF16+'Model Setup'!$I$7,SUMIF($AD$3:$BA$3,"="&amp;$DF16+'Model Setup'!$I$7,$B16:$Y16)+'Model Setup'!$I$8*(SUMIF($AD$3:$BA$3,"&lt;"&amp;$DF16,$B16:$Y16)+SUMIF($AD$3:$BA$3,"&gt;="&amp;$DG16,$B16:$Y16)),
IF(AT$3=$DF16+'Model Setup'!$J$7,SUMIF($AD$3:$BA$3,"="&amp;$DF16+'Model Setup'!$J$7,$B16:$Y16)+'Model Setup'!$J$8*(SUMIF($AD$3:$BA$3,"&lt;"&amp;$DF16,$B16:$Y16)+SUMIF($AD$3:$BA$3,"&gt;="&amp;$DG16,$B16:$Y16)),
IF(AT$3=$DF16+'Model Setup'!$K$7,SUMIF($AD$3:$BA$3,"="&amp;$DF16+'Model Setup'!$K$7,$B16:$Y16)+'Model Setup'!$K$8*(SUMIF($AD$3:$BA$3,"&lt;"&amp;$DF16,$B16:$Y16)+SUMIF($AD$3:$BA$3,"&gt;="&amp;$DG16,$B16:$Y16)),
IF(AT$3=$DF16+'Model Setup'!$L$7,SUMIF($AD$3:$BA$3,"="&amp;$DF16+'Model Setup'!$L$7,$B16:$Y16)+'Model Setup'!$L$8*(SUMIF($AD$3:$BA$3,"&lt;"&amp;$DF16,$B16:$Y16)+SUMIF($AD$3:$BA$3,"&gt;="&amp;$DG16,$B16:$Y16)),
IF(AT$3=$DF16+'Model Setup'!$M$7,SUMIF($AD$3:$BA$3,"="&amp;$DF16+'Model Setup'!$M$7,$B16:$Y16)+'Model Setup'!$M$8*(SUMIF($AD$3:$BA$3,"&lt;"&amp;$DF16,$B16:$Y16)+SUMIF($AD$3:$BA$3,"&gt;="&amp;$DG16,$B16:$Y16)),
IF(AT$3=$DF16+'Model Setup'!$N$7,SUMIF($AD$3:$BA$3,"="&amp;$DF16+'Model Setup'!$N$7,$B16:$Y16)+'Model Setup'!$N$8*(SUMIF($AD$3:$BA$3,"&lt;"&amp;$DF16,$B16:$Y16)+SUMIF($AD$3:$BA$3,"&gt;="&amp;$DG16,$B16:$Y16)),
IF(AT$3&lt;$DG16,R16,0))))))))))))))),0)</f>
        <v>23</v>
      </c>
      <c r="AU16" s="47">
        <f>ROUND(IF(AU$3&lt;$DF16,0,
IF(AU$3=$DF16+'Model Setup'!$B$7,SUMIF($AD$3:$BA$3,"="&amp;$DF16+'Model Setup'!$B$7,$B16:$Y16)+'Model Setup'!$B$8*(SUMIF($AD$3:$BA$3,"&lt;"&amp;$DF16,$B16:$Y16)+SUMIF($AD$3:$BA$3,"&gt;="&amp;$DG16,$B16:$Y16)),
IF(AU$3=$DF16+'Model Setup'!$C$7,SUMIF($AD$3:$BA$3,"="&amp;$DF16+'Model Setup'!$C$7,$B16:$Y16)+'Model Setup'!$C$8*(SUMIF($AD$3:$BA$3,"&lt;"&amp;$DF16,$B16:$Y16)+SUMIF($AD$3:$BA$3,"&gt;="&amp;$DG16,$B16:$Y16)),
IF(AU$3=$DF16+'Model Setup'!$D$7,SUMIF($AD$3:$BA$3,"="&amp;$DF16+'Model Setup'!$D$7,$B16:$Y16)+'Model Setup'!$D$8*(SUMIF($AD$3:$BA$3,"&lt;"&amp;$DF16,$B16:$Y16)+SUMIF($AD$3:$BA$3,"&gt;="&amp;$DG16,$B16:$Y16)),
IF(AU$3=$DF16+'Model Setup'!$E$7,SUMIF($AD$3:$BA$3,"="&amp;$DF16+'Model Setup'!$E$7,$B16:$Y16)+'Model Setup'!$E$8*(SUMIF($AD$3:$BA$3,"&lt;"&amp;$DF16,$B16:$Y16)+SUMIF($AD$3:$BA$3,"&gt;="&amp;$DG16,$B16:$Y16)),
IF(AU$3=$DF16+'Model Setup'!$F$7,SUMIF($AD$3:$BA$3,"="&amp;$DF16+'Model Setup'!$F$7,$B16:$Y16)+'Model Setup'!$F$8*(SUMIF($AD$3:$BA$3,"&lt;"&amp;$DF16,$B16:$Y16)+SUMIF($AD$3:$BA$3,"&gt;="&amp;$DG16,$B16:$Y16)),
IF(AU$3=$DF16+'Model Setup'!$G$7,SUMIF($AD$3:$BA$3,"="&amp;$DF16+'Model Setup'!$G$7,$B16:$Y16)+'Model Setup'!$G$8*(SUMIF($AD$3:$BA$3,"&lt;"&amp;$DF16,$B16:$Y16)+SUMIF($AD$3:$BA$3,"&gt;="&amp;$DG16,$B16:$Y16)),
IF(AU$3=$DF16+'Model Setup'!$H$7,SUMIF($AD$3:$BA$3,"="&amp;$DF16+'Model Setup'!$H$7,$B16:$Y16)+'Model Setup'!$H$8*(SUMIF($AD$3:$BA$3,"&lt;"&amp;$DF16,$B16:$Y16)+SUMIF($AD$3:$BA$3,"&gt;="&amp;$DG16,$B16:$Y16)),
IF(AU$3=$DF16+'Model Setup'!$I$7,SUMIF($AD$3:$BA$3,"="&amp;$DF16+'Model Setup'!$I$7,$B16:$Y16)+'Model Setup'!$I$8*(SUMIF($AD$3:$BA$3,"&lt;"&amp;$DF16,$B16:$Y16)+SUMIF($AD$3:$BA$3,"&gt;="&amp;$DG16,$B16:$Y16)),
IF(AU$3=$DF16+'Model Setup'!$J$7,SUMIF($AD$3:$BA$3,"="&amp;$DF16+'Model Setup'!$J$7,$B16:$Y16)+'Model Setup'!$J$8*(SUMIF($AD$3:$BA$3,"&lt;"&amp;$DF16,$B16:$Y16)+SUMIF($AD$3:$BA$3,"&gt;="&amp;$DG16,$B16:$Y16)),
IF(AU$3=$DF16+'Model Setup'!$K$7,SUMIF($AD$3:$BA$3,"="&amp;$DF16+'Model Setup'!$K$7,$B16:$Y16)+'Model Setup'!$K$8*(SUMIF($AD$3:$BA$3,"&lt;"&amp;$DF16,$B16:$Y16)+SUMIF($AD$3:$BA$3,"&gt;="&amp;$DG16,$B16:$Y16)),
IF(AU$3=$DF16+'Model Setup'!$L$7,SUMIF($AD$3:$BA$3,"="&amp;$DF16+'Model Setup'!$L$7,$B16:$Y16)+'Model Setup'!$L$8*(SUMIF($AD$3:$BA$3,"&lt;"&amp;$DF16,$B16:$Y16)+SUMIF($AD$3:$BA$3,"&gt;="&amp;$DG16,$B16:$Y16)),
IF(AU$3=$DF16+'Model Setup'!$M$7,SUMIF($AD$3:$BA$3,"="&amp;$DF16+'Model Setup'!$M$7,$B16:$Y16)+'Model Setup'!$M$8*(SUMIF($AD$3:$BA$3,"&lt;"&amp;$DF16,$B16:$Y16)+SUMIF($AD$3:$BA$3,"&gt;="&amp;$DG16,$B16:$Y16)),
IF(AU$3=$DF16+'Model Setup'!$N$7,SUMIF($AD$3:$BA$3,"="&amp;$DF16+'Model Setup'!$N$7,$B16:$Y16)+'Model Setup'!$N$8*(SUMIF($AD$3:$BA$3,"&lt;"&amp;$DF16,$B16:$Y16)+SUMIF($AD$3:$BA$3,"&gt;="&amp;$DG16,$B16:$Y16)),
IF(AU$3&lt;$DG16,S16,0))))))))))))))),0)</f>
        <v>34</v>
      </c>
      <c r="AV16" s="47">
        <f>ROUND(IF(AV$3&lt;$DF16,0,
IF(AV$3=$DF16+'Model Setup'!$B$7,SUMIF($AD$3:$BA$3,"="&amp;$DF16+'Model Setup'!$B$7,$B16:$Y16)+'Model Setup'!$B$8*(SUMIF($AD$3:$BA$3,"&lt;"&amp;$DF16,$B16:$Y16)+SUMIF($AD$3:$BA$3,"&gt;="&amp;$DG16,$B16:$Y16)),
IF(AV$3=$DF16+'Model Setup'!$C$7,SUMIF($AD$3:$BA$3,"="&amp;$DF16+'Model Setup'!$C$7,$B16:$Y16)+'Model Setup'!$C$8*(SUMIF($AD$3:$BA$3,"&lt;"&amp;$DF16,$B16:$Y16)+SUMIF($AD$3:$BA$3,"&gt;="&amp;$DG16,$B16:$Y16)),
IF(AV$3=$DF16+'Model Setup'!$D$7,SUMIF($AD$3:$BA$3,"="&amp;$DF16+'Model Setup'!$D$7,$B16:$Y16)+'Model Setup'!$D$8*(SUMIF($AD$3:$BA$3,"&lt;"&amp;$DF16,$B16:$Y16)+SUMIF($AD$3:$BA$3,"&gt;="&amp;$DG16,$B16:$Y16)),
IF(AV$3=$DF16+'Model Setup'!$E$7,SUMIF($AD$3:$BA$3,"="&amp;$DF16+'Model Setup'!$E$7,$B16:$Y16)+'Model Setup'!$E$8*(SUMIF($AD$3:$BA$3,"&lt;"&amp;$DF16,$B16:$Y16)+SUMIF($AD$3:$BA$3,"&gt;="&amp;$DG16,$B16:$Y16)),
IF(AV$3=$DF16+'Model Setup'!$F$7,SUMIF($AD$3:$BA$3,"="&amp;$DF16+'Model Setup'!$F$7,$B16:$Y16)+'Model Setup'!$F$8*(SUMIF($AD$3:$BA$3,"&lt;"&amp;$DF16,$B16:$Y16)+SUMIF($AD$3:$BA$3,"&gt;="&amp;$DG16,$B16:$Y16)),
IF(AV$3=$DF16+'Model Setup'!$G$7,SUMIF($AD$3:$BA$3,"="&amp;$DF16+'Model Setup'!$G$7,$B16:$Y16)+'Model Setup'!$G$8*(SUMIF($AD$3:$BA$3,"&lt;"&amp;$DF16,$B16:$Y16)+SUMIF($AD$3:$BA$3,"&gt;="&amp;$DG16,$B16:$Y16)),
IF(AV$3=$DF16+'Model Setup'!$H$7,SUMIF($AD$3:$BA$3,"="&amp;$DF16+'Model Setup'!$H$7,$B16:$Y16)+'Model Setup'!$H$8*(SUMIF($AD$3:$BA$3,"&lt;"&amp;$DF16,$B16:$Y16)+SUMIF($AD$3:$BA$3,"&gt;="&amp;$DG16,$B16:$Y16)),
IF(AV$3=$DF16+'Model Setup'!$I$7,SUMIF($AD$3:$BA$3,"="&amp;$DF16+'Model Setup'!$I$7,$B16:$Y16)+'Model Setup'!$I$8*(SUMIF($AD$3:$BA$3,"&lt;"&amp;$DF16,$B16:$Y16)+SUMIF($AD$3:$BA$3,"&gt;="&amp;$DG16,$B16:$Y16)),
IF(AV$3=$DF16+'Model Setup'!$J$7,SUMIF($AD$3:$BA$3,"="&amp;$DF16+'Model Setup'!$J$7,$B16:$Y16)+'Model Setup'!$J$8*(SUMIF($AD$3:$BA$3,"&lt;"&amp;$DF16,$B16:$Y16)+SUMIF($AD$3:$BA$3,"&gt;="&amp;$DG16,$B16:$Y16)),
IF(AV$3=$DF16+'Model Setup'!$K$7,SUMIF($AD$3:$BA$3,"="&amp;$DF16+'Model Setup'!$K$7,$B16:$Y16)+'Model Setup'!$K$8*(SUMIF($AD$3:$BA$3,"&lt;"&amp;$DF16,$B16:$Y16)+SUMIF($AD$3:$BA$3,"&gt;="&amp;$DG16,$B16:$Y16)),
IF(AV$3=$DF16+'Model Setup'!$L$7,SUMIF($AD$3:$BA$3,"="&amp;$DF16+'Model Setup'!$L$7,$B16:$Y16)+'Model Setup'!$L$8*(SUMIF($AD$3:$BA$3,"&lt;"&amp;$DF16,$B16:$Y16)+SUMIF($AD$3:$BA$3,"&gt;="&amp;$DG16,$B16:$Y16)),
IF(AV$3=$DF16+'Model Setup'!$M$7,SUMIF($AD$3:$BA$3,"="&amp;$DF16+'Model Setup'!$M$7,$B16:$Y16)+'Model Setup'!$M$8*(SUMIF($AD$3:$BA$3,"&lt;"&amp;$DF16,$B16:$Y16)+SUMIF($AD$3:$BA$3,"&gt;="&amp;$DG16,$B16:$Y16)),
IF(AV$3=$DF16+'Model Setup'!$N$7,SUMIF($AD$3:$BA$3,"="&amp;$DF16+'Model Setup'!$N$7,$B16:$Y16)+'Model Setup'!$N$8*(SUMIF($AD$3:$BA$3,"&lt;"&amp;$DF16,$B16:$Y16)+SUMIF($AD$3:$BA$3,"&gt;="&amp;$DG16,$B16:$Y16)),
IF(AV$3&lt;$DG16,T16,0))))))))))))))),0)</f>
        <v>23</v>
      </c>
      <c r="AW16" s="47">
        <f>ROUND(IF(AW$3&lt;$DF16,0,
IF(AW$3=$DF16+'Model Setup'!$B$7,SUMIF($AD$3:$BA$3,"="&amp;$DF16+'Model Setup'!$B$7,$B16:$Y16)+'Model Setup'!$B$8*(SUMIF($AD$3:$BA$3,"&lt;"&amp;$DF16,$B16:$Y16)+SUMIF($AD$3:$BA$3,"&gt;="&amp;$DG16,$B16:$Y16)),
IF(AW$3=$DF16+'Model Setup'!$C$7,SUMIF($AD$3:$BA$3,"="&amp;$DF16+'Model Setup'!$C$7,$B16:$Y16)+'Model Setup'!$C$8*(SUMIF($AD$3:$BA$3,"&lt;"&amp;$DF16,$B16:$Y16)+SUMIF($AD$3:$BA$3,"&gt;="&amp;$DG16,$B16:$Y16)),
IF(AW$3=$DF16+'Model Setup'!$D$7,SUMIF($AD$3:$BA$3,"="&amp;$DF16+'Model Setup'!$D$7,$B16:$Y16)+'Model Setup'!$D$8*(SUMIF($AD$3:$BA$3,"&lt;"&amp;$DF16,$B16:$Y16)+SUMIF($AD$3:$BA$3,"&gt;="&amp;$DG16,$B16:$Y16)),
IF(AW$3=$DF16+'Model Setup'!$E$7,SUMIF($AD$3:$BA$3,"="&amp;$DF16+'Model Setup'!$E$7,$B16:$Y16)+'Model Setup'!$E$8*(SUMIF($AD$3:$BA$3,"&lt;"&amp;$DF16,$B16:$Y16)+SUMIF($AD$3:$BA$3,"&gt;="&amp;$DG16,$B16:$Y16)),
IF(AW$3=$DF16+'Model Setup'!$F$7,SUMIF($AD$3:$BA$3,"="&amp;$DF16+'Model Setup'!$F$7,$B16:$Y16)+'Model Setup'!$F$8*(SUMIF($AD$3:$BA$3,"&lt;"&amp;$DF16,$B16:$Y16)+SUMIF($AD$3:$BA$3,"&gt;="&amp;$DG16,$B16:$Y16)),
IF(AW$3=$DF16+'Model Setup'!$G$7,SUMIF($AD$3:$BA$3,"="&amp;$DF16+'Model Setup'!$G$7,$B16:$Y16)+'Model Setup'!$G$8*(SUMIF($AD$3:$BA$3,"&lt;"&amp;$DF16,$B16:$Y16)+SUMIF($AD$3:$BA$3,"&gt;="&amp;$DG16,$B16:$Y16)),
IF(AW$3=$DF16+'Model Setup'!$H$7,SUMIF($AD$3:$BA$3,"="&amp;$DF16+'Model Setup'!$H$7,$B16:$Y16)+'Model Setup'!$H$8*(SUMIF($AD$3:$BA$3,"&lt;"&amp;$DF16,$B16:$Y16)+SUMIF($AD$3:$BA$3,"&gt;="&amp;$DG16,$B16:$Y16)),
IF(AW$3=$DF16+'Model Setup'!$I$7,SUMIF($AD$3:$BA$3,"="&amp;$DF16+'Model Setup'!$I$7,$B16:$Y16)+'Model Setup'!$I$8*(SUMIF($AD$3:$BA$3,"&lt;"&amp;$DF16,$B16:$Y16)+SUMIF($AD$3:$BA$3,"&gt;="&amp;$DG16,$B16:$Y16)),
IF(AW$3=$DF16+'Model Setup'!$J$7,SUMIF($AD$3:$BA$3,"="&amp;$DF16+'Model Setup'!$J$7,$B16:$Y16)+'Model Setup'!$J$8*(SUMIF($AD$3:$BA$3,"&lt;"&amp;$DF16,$B16:$Y16)+SUMIF($AD$3:$BA$3,"&gt;="&amp;$DG16,$B16:$Y16)),
IF(AW$3=$DF16+'Model Setup'!$K$7,SUMIF($AD$3:$BA$3,"="&amp;$DF16+'Model Setup'!$K$7,$B16:$Y16)+'Model Setup'!$K$8*(SUMIF($AD$3:$BA$3,"&lt;"&amp;$DF16,$B16:$Y16)+SUMIF($AD$3:$BA$3,"&gt;="&amp;$DG16,$B16:$Y16)),
IF(AW$3=$DF16+'Model Setup'!$L$7,SUMIF($AD$3:$BA$3,"="&amp;$DF16+'Model Setup'!$L$7,$B16:$Y16)+'Model Setup'!$L$8*(SUMIF($AD$3:$BA$3,"&lt;"&amp;$DF16,$B16:$Y16)+SUMIF($AD$3:$BA$3,"&gt;="&amp;$DG16,$B16:$Y16)),
IF(AW$3=$DF16+'Model Setup'!$M$7,SUMIF($AD$3:$BA$3,"="&amp;$DF16+'Model Setup'!$M$7,$B16:$Y16)+'Model Setup'!$M$8*(SUMIF($AD$3:$BA$3,"&lt;"&amp;$DF16,$B16:$Y16)+SUMIF($AD$3:$BA$3,"&gt;="&amp;$DG16,$B16:$Y16)),
IF(AW$3=$DF16+'Model Setup'!$N$7,SUMIF($AD$3:$BA$3,"="&amp;$DF16+'Model Setup'!$N$7,$B16:$Y16)+'Model Setup'!$N$8*(SUMIF($AD$3:$BA$3,"&lt;"&amp;$DF16,$B16:$Y16)+SUMIF($AD$3:$BA$3,"&gt;="&amp;$DG16,$B16:$Y16)),
IF(AW$3&lt;$DG16,U16,0))))))))))))))),0)</f>
        <v>0</v>
      </c>
      <c r="AX16" s="47">
        <f>ROUND(IF(AX$3&lt;$DF16,0,
IF(AX$3=$DF16+'Model Setup'!$B$7,SUMIF($AD$3:$BA$3,"="&amp;$DF16+'Model Setup'!$B$7,$B16:$Y16)+'Model Setup'!$B$8*(SUMIF($AD$3:$BA$3,"&lt;"&amp;$DF16,$B16:$Y16)+SUMIF($AD$3:$BA$3,"&gt;="&amp;$DG16,$B16:$Y16)),
IF(AX$3=$DF16+'Model Setup'!$C$7,SUMIF($AD$3:$BA$3,"="&amp;$DF16+'Model Setup'!$C$7,$B16:$Y16)+'Model Setup'!$C$8*(SUMIF($AD$3:$BA$3,"&lt;"&amp;$DF16,$B16:$Y16)+SUMIF($AD$3:$BA$3,"&gt;="&amp;$DG16,$B16:$Y16)),
IF(AX$3=$DF16+'Model Setup'!$D$7,SUMIF($AD$3:$BA$3,"="&amp;$DF16+'Model Setup'!$D$7,$B16:$Y16)+'Model Setup'!$D$8*(SUMIF($AD$3:$BA$3,"&lt;"&amp;$DF16,$B16:$Y16)+SUMIF($AD$3:$BA$3,"&gt;="&amp;$DG16,$B16:$Y16)),
IF(AX$3=$DF16+'Model Setup'!$E$7,SUMIF($AD$3:$BA$3,"="&amp;$DF16+'Model Setup'!$E$7,$B16:$Y16)+'Model Setup'!$E$8*(SUMIF($AD$3:$BA$3,"&lt;"&amp;$DF16,$B16:$Y16)+SUMIF($AD$3:$BA$3,"&gt;="&amp;$DG16,$B16:$Y16)),
IF(AX$3=$DF16+'Model Setup'!$F$7,SUMIF($AD$3:$BA$3,"="&amp;$DF16+'Model Setup'!$F$7,$B16:$Y16)+'Model Setup'!$F$8*(SUMIF($AD$3:$BA$3,"&lt;"&amp;$DF16,$B16:$Y16)+SUMIF($AD$3:$BA$3,"&gt;="&amp;$DG16,$B16:$Y16)),
IF(AX$3=$DF16+'Model Setup'!$G$7,SUMIF($AD$3:$BA$3,"="&amp;$DF16+'Model Setup'!$G$7,$B16:$Y16)+'Model Setup'!$G$8*(SUMIF($AD$3:$BA$3,"&lt;"&amp;$DF16,$B16:$Y16)+SUMIF($AD$3:$BA$3,"&gt;="&amp;$DG16,$B16:$Y16)),
IF(AX$3=$DF16+'Model Setup'!$H$7,SUMIF($AD$3:$BA$3,"="&amp;$DF16+'Model Setup'!$H$7,$B16:$Y16)+'Model Setup'!$H$8*(SUMIF($AD$3:$BA$3,"&lt;"&amp;$DF16,$B16:$Y16)+SUMIF($AD$3:$BA$3,"&gt;="&amp;$DG16,$B16:$Y16)),
IF(AX$3=$DF16+'Model Setup'!$I$7,SUMIF($AD$3:$BA$3,"="&amp;$DF16+'Model Setup'!$I$7,$B16:$Y16)+'Model Setup'!$I$8*(SUMIF($AD$3:$BA$3,"&lt;"&amp;$DF16,$B16:$Y16)+SUMIF($AD$3:$BA$3,"&gt;="&amp;$DG16,$B16:$Y16)),
IF(AX$3=$DF16+'Model Setup'!$J$7,SUMIF($AD$3:$BA$3,"="&amp;$DF16+'Model Setup'!$J$7,$B16:$Y16)+'Model Setup'!$J$8*(SUMIF($AD$3:$BA$3,"&lt;"&amp;$DF16,$B16:$Y16)+SUMIF($AD$3:$BA$3,"&gt;="&amp;$DG16,$B16:$Y16)),
IF(AX$3=$DF16+'Model Setup'!$K$7,SUMIF($AD$3:$BA$3,"="&amp;$DF16+'Model Setup'!$K$7,$B16:$Y16)+'Model Setup'!$K$8*(SUMIF($AD$3:$BA$3,"&lt;"&amp;$DF16,$B16:$Y16)+SUMIF($AD$3:$BA$3,"&gt;="&amp;$DG16,$B16:$Y16)),
IF(AX$3=$DF16+'Model Setup'!$L$7,SUMIF($AD$3:$BA$3,"="&amp;$DF16+'Model Setup'!$L$7,$B16:$Y16)+'Model Setup'!$L$8*(SUMIF($AD$3:$BA$3,"&lt;"&amp;$DF16,$B16:$Y16)+SUMIF($AD$3:$BA$3,"&gt;="&amp;$DG16,$B16:$Y16)),
IF(AX$3=$DF16+'Model Setup'!$M$7,SUMIF($AD$3:$BA$3,"="&amp;$DF16+'Model Setup'!$M$7,$B16:$Y16)+'Model Setup'!$M$8*(SUMIF($AD$3:$BA$3,"&lt;"&amp;$DF16,$B16:$Y16)+SUMIF($AD$3:$BA$3,"&gt;="&amp;$DG16,$B16:$Y16)),
IF(AX$3=$DF16+'Model Setup'!$N$7,SUMIF($AD$3:$BA$3,"="&amp;$DF16+'Model Setup'!$N$7,$B16:$Y16)+'Model Setup'!$N$8*(SUMIF($AD$3:$BA$3,"&lt;"&amp;$DF16,$B16:$Y16)+SUMIF($AD$3:$BA$3,"&gt;="&amp;$DG16,$B16:$Y16)),
IF(AX$3&lt;$DG16,V16,0))))))))))))))),0)</f>
        <v>0</v>
      </c>
      <c r="AY16" s="47">
        <f>ROUND(IF(AY$3&lt;$DF16,0,
IF(AY$3=$DF16+'Model Setup'!$B$7,SUMIF($AD$3:$BA$3,"="&amp;$DF16+'Model Setup'!$B$7,$B16:$Y16)+'Model Setup'!$B$8*(SUMIF($AD$3:$BA$3,"&lt;"&amp;$DF16,$B16:$Y16)+SUMIF($AD$3:$BA$3,"&gt;="&amp;$DG16,$B16:$Y16)),
IF(AY$3=$DF16+'Model Setup'!$C$7,SUMIF($AD$3:$BA$3,"="&amp;$DF16+'Model Setup'!$C$7,$B16:$Y16)+'Model Setup'!$C$8*(SUMIF($AD$3:$BA$3,"&lt;"&amp;$DF16,$B16:$Y16)+SUMIF($AD$3:$BA$3,"&gt;="&amp;$DG16,$B16:$Y16)),
IF(AY$3=$DF16+'Model Setup'!$D$7,SUMIF($AD$3:$BA$3,"="&amp;$DF16+'Model Setup'!$D$7,$B16:$Y16)+'Model Setup'!$D$8*(SUMIF($AD$3:$BA$3,"&lt;"&amp;$DF16,$B16:$Y16)+SUMIF($AD$3:$BA$3,"&gt;="&amp;$DG16,$B16:$Y16)),
IF(AY$3=$DF16+'Model Setup'!$E$7,SUMIF($AD$3:$BA$3,"="&amp;$DF16+'Model Setup'!$E$7,$B16:$Y16)+'Model Setup'!$E$8*(SUMIF($AD$3:$BA$3,"&lt;"&amp;$DF16,$B16:$Y16)+SUMIF($AD$3:$BA$3,"&gt;="&amp;$DG16,$B16:$Y16)),
IF(AY$3=$DF16+'Model Setup'!$F$7,SUMIF($AD$3:$BA$3,"="&amp;$DF16+'Model Setup'!$F$7,$B16:$Y16)+'Model Setup'!$F$8*(SUMIF($AD$3:$BA$3,"&lt;"&amp;$DF16,$B16:$Y16)+SUMIF($AD$3:$BA$3,"&gt;="&amp;$DG16,$B16:$Y16)),
IF(AY$3=$DF16+'Model Setup'!$G$7,SUMIF($AD$3:$BA$3,"="&amp;$DF16+'Model Setup'!$G$7,$B16:$Y16)+'Model Setup'!$G$8*(SUMIF($AD$3:$BA$3,"&lt;"&amp;$DF16,$B16:$Y16)+SUMIF($AD$3:$BA$3,"&gt;="&amp;$DG16,$B16:$Y16)),
IF(AY$3=$DF16+'Model Setup'!$H$7,SUMIF($AD$3:$BA$3,"="&amp;$DF16+'Model Setup'!$H$7,$B16:$Y16)+'Model Setup'!$H$8*(SUMIF($AD$3:$BA$3,"&lt;"&amp;$DF16,$B16:$Y16)+SUMIF($AD$3:$BA$3,"&gt;="&amp;$DG16,$B16:$Y16)),
IF(AY$3=$DF16+'Model Setup'!$I$7,SUMIF($AD$3:$BA$3,"="&amp;$DF16+'Model Setup'!$I$7,$B16:$Y16)+'Model Setup'!$I$8*(SUMIF($AD$3:$BA$3,"&lt;"&amp;$DF16,$B16:$Y16)+SUMIF($AD$3:$BA$3,"&gt;="&amp;$DG16,$B16:$Y16)),
IF(AY$3=$DF16+'Model Setup'!$J$7,SUMIF($AD$3:$BA$3,"="&amp;$DF16+'Model Setup'!$J$7,$B16:$Y16)+'Model Setup'!$J$8*(SUMIF($AD$3:$BA$3,"&lt;"&amp;$DF16,$B16:$Y16)+SUMIF($AD$3:$BA$3,"&gt;="&amp;$DG16,$B16:$Y16)),
IF(AY$3=$DF16+'Model Setup'!$K$7,SUMIF($AD$3:$BA$3,"="&amp;$DF16+'Model Setup'!$K$7,$B16:$Y16)+'Model Setup'!$K$8*(SUMIF($AD$3:$BA$3,"&lt;"&amp;$DF16,$B16:$Y16)+SUMIF($AD$3:$BA$3,"&gt;="&amp;$DG16,$B16:$Y16)),
IF(AY$3=$DF16+'Model Setup'!$L$7,SUMIF($AD$3:$BA$3,"="&amp;$DF16+'Model Setup'!$L$7,$B16:$Y16)+'Model Setup'!$L$8*(SUMIF($AD$3:$BA$3,"&lt;"&amp;$DF16,$B16:$Y16)+SUMIF($AD$3:$BA$3,"&gt;="&amp;$DG16,$B16:$Y16)),
IF(AY$3=$DF16+'Model Setup'!$M$7,SUMIF($AD$3:$BA$3,"="&amp;$DF16+'Model Setup'!$M$7,$B16:$Y16)+'Model Setup'!$M$8*(SUMIF($AD$3:$BA$3,"&lt;"&amp;$DF16,$B16:$Y16)+SUMIF($AD$3:$BA$3,"&gt;="&amp;$DG16,$B16:$Y16)),
IF(AY$3=$DF16+'Model Setup'!$N$7,SUMIF($AD$3:$BA$3,"="&amp;$DF16+'Model Setup'!$N$7,$B16:$Y16)+'Model Setup'!$N$8*(SUMIF($AD$3:$BA$3,"&lt;"&amp;$DF16,$B16:$Y16)+SUMIF($AD$3:$BA$3,"&gt;="&amp;$DG16,$B16:$Y16)),
IF(AY$3&lt;$DG16,W16,0))))))))))))))),0)</f>
        <v>0</v>
      </c>
      <c r="AZ16" s="47">
        <f>ROUND(IF(AZ$3&lt;$DF16,0,
IF(AZ$3=$DF16+'Model Setup'!$B$7,SUMIF($AD$3:$BA$3,"="&amp;$DF16+'Model Setup'!$B$7,$B16:$Y16)+'Model Setup'!$B$8*(SUMIF($AD$3:$BA$3,"&lt;"&amp;$DF16,$B16:$Y16)+SUMIF($AD$3:$BA$3,"&gt;="&amp;$DG16,$B16:$Y16)),
IF(AZ$3=$DF16+'Model Setup'!$C$7,SUMIF($AD$3:$BA$3,"="&amp;$DF16+'Model Setup'!$C$7,$B16:$Y16)+'Model Setup'!$C$8*(SUMIF($AD$3:$BA$3,"&lt;"&amp;$DF16,$B16:$Y16)+SUMIF($AD$3:$BA$3,"&gt;="&amp;$DG16,$B16:$Y16)),
IF(AZ$3=$DF16+'Model Setup'!$D$7,SUMIF($AD$3:$BA$3,"="&amp;$DF16+'Model Setup'!$D$7,$B16:$Y16)+'Model Setup'!$D$8*(SUMIF($AD$3:$BA$3,"&lt;"&amp;$DF16,$B16:$Y16)+SUMIF($AD$3:$BA$3,"&gt;="&amp;$DG16,$B16:$Y16)),
IF(AZ$3=$DF16+'Model Setup'!$E$7,SUMIF($AD$3:$BA$3,"="&amp;$DF16+'Model Setup'!$E$7,$B16:$Y16)+'Model Setup'!$E$8*(SUMIF($AD$3:$BA$3,"&lt;"&amp;$DF16,$B16:$Y16)+SUMIF($AD$3:$BA$3,"&gt;="&amp;$DG16,$B16:$Y16)),
IF(AZ$3=$DF16+'Model Setup'!$F$7,SUMIF($AD$3:$BA$3,"="&amp;$DF16+'Model Setup'!$F$7,$B16:$Y16)+'Model Setup'!$F$8*(SUMIF($AD$3:$BA$3,"&lt;"&amp;$DF16,$B16:$Y16)+SUMIF($AD$3:$BA$3,"&gt;="&amp;$DG16,$B16:$Y16)),
IF(AZ$3=$DF16+'Model Setup'!$G$7,SUMIF($AD$3:$BA$3,"="&amp;$DF16+'Model Setup'!$G$7,$B16:$Y16)+'Model Setup'!$G$8*(SUMIF($AD$3:$BA$3,"&lt;"&amp;$DF16,$B16:$Y16)+SUMIF($AD$3:$BA$3,"&gt;="&amp;$DG16,$B16:$Y16)),
IF(AZ$3=$DF16+'Model Setup'!$H$7,SUMIF($AD$3:$BA$3,"="&amp;$DF16+'Model Setup'!$H$7,$B16:$Y16)+'Model Setup'!$H$8*(SUMIF($AD$3:$BA$3,"&lt;"&amp;$DF16,$B16:$Y16)+SUMIF($AD$3:$BA$3,"&gt;="&amp;$DG16,$B16:$Y16)),
IF(AZ$3=$DF16+'Model Setup'!$I$7,SUMIF($AD$3:$BA$3,"="&amp;$DF16+'Model Setup'!$I$7,$B16:$Y16)+'Model Setup'!$I$8*(SUMIF($AD$3:$BA$3,"&lt;"&amp;$DF16,$B16:$Y16)+SUMIF($AD$3:$BA$3,"&gt;="&amp;$DG16,$B16:$Y16)),
IF(AZ$3=$DF16+'Model Setup'!$J$7,SUMIF($AD$3:$BA$3,"="&amp;$DF16+'Model Setup'!$J$7,$B16:$Y16)+'Model Setup'!$J$8*(SUMIF($AD$3:$BA$3,"&lt;"&amp;$DF16,$B16:$Y16)+SUMIF($AD$3:$BA$3,"&gt;="&amp;$DG16,$B16:$Y16)),
IF(AZ$3=$DF16+'Model Setup'!$K$7,SUMIF($AD$3:$BA$3,"="&amp;$DF16+'Model Setup'!$K$7,$B16:$Y16)+'Model Setup'!$K$8*(SUMIF($AD$3:$BA$3,"&lt;"&amp;$DF16,$B16:$Y16)+SUMIF($AD$3:$BA$3,"&gt;="&amp;$DG16,$B16:$Y16)),
IF(AZ$3=$DF16+'Model Setup'!$L$7,SUMIF($AD$3:$BA$3,"="&amp;$DF16+'Model Setup'!$L$7,$B16:$Y16)+'Model Setup'!$L$8*(SUMIF($AD$3:$BA$3,"&lt;"&amp;$DF16,$B16:$Y16)+SUMIF($AD$3:$BA$3,"&gt;="&amp;$DG16,$B16:$Y16)),
IF(AZ$3=$DF16+'Model Setup'!$M$7,SUMIF($AD$3:$BA$3,"="&amp;$DF16+'Model Setup'!$M$7,$B16:$Y16)+'Model Setup'!$M$8*(SUMIF($AD$3:$BA$3,"&lt;"&amp;$DF16,$B16:$Y16)+SUMIF($AD$3:$BA$3,"&gt;="&amp;$DG16,$B16:$Y16)),
IF(AZ$3=$DF16+'Model Setup'!$N$7,SUMIF($AD$3:$BA$3,"="&amp;$DF16+'Model Setup'!$N$7,$B16:$Y16)+'Model Setup'!$N$8*(SUMIF($AD$3:$BA$3,"&lt;"&amp;$DF16,$B16:$Y16)+SUMIF($AD$3:$BA$3,"&gt;="&amp;$DG16,$B16:$Y16)),
IF(AZ$3&lt;$DG16,X16,0))))))))))))))),0)</f>
        <v>0</v>
      </c>
      <c r="BA16" s="47">
        <f>ROUND(IF(BA$3&lt;$DF16,0,
IF(BA$3=$DF16+'Model Setup'!$B$7,SUMIF($AD$3:$BA$3,"="&amp;$DF16+'Model Setup'!$B$7,$B16:$Y16)+'Model Setup'!$B$8*(SUMIF($AD$3:$BA$3,"&lt;"&amp;$DF16,$B16:$Y16)+SUMIF($AD$3:$BA$3,"&gt;="&amp;$DG16,$B16:$Y16)),
IF(BA$3=$DF16+'Model Setup'!$C$7,SUMIF($AD$3:$BA$3,"="&amp;$DF16+'Model Setup'!$C$7,$B16:$Y16)+'Model Setup'!$C$8*(SUMIF($AD$3:$BA$3,"&lt;"&amp;$DF16,$B16:$Y16)+SUMIF($AD$3:$BA$3,"&gt;="&amp;$DG16,$B16:$Y16)),
IF(BA$3=$DF16+'Model Setup'!$D$7,SUMIF($AD$3:$BA$3,"="&amp;$DF16+'Model Setup'!$D$7,$B16:$Y16)+'Model Setup'!$D$8*(SUMIF($AD$3:$BA$3,"&lt;"&amp;$DF16,$B16:$Y16)+SUMIF($AD$3:$BA$3,"&gt;="&amp;$DG16,$B16:$Y16)),
IF(BA$3=$DF16+'Model Setup'!$E$7,SUMIF($AD$3:$BA$3,"="&amp;$DF16+'Model Setup'!$E$7,$B16:$Y16)+'Model Setup'!$E$8*(SUMIF($AD$3:$BA$3,"&lt;"&amp;$DF16,$B16:$Y16)+SUMIF($AD$3:$BA$3,"&gt;="&amp;$DG16,$B16:$Y16)),
IF(BA$3=$DF16+'Model Setup'!$F$7,SUMIF($AD$3:$BA$3,"="&amp;$DF16+'Model Setup'!$F$7,$B16:$Y16)+'Model Setup'!$F$8*(SUMIF($AD$3:$BA$3,"&lt;"&amp;$DF16,$B16:$Y16)+SUMIF($AD$3:$BA$3,"&gt;="&amp;$DG16,$B16:$Y16)),
IF(BA$3=$DF16+'Model Setup'!$G$7,SUMIF($AD$3:$BA$3,"="&amp;$DF16+'Model Setup'!$G$7,$B16:$Y16)+'Model Setup'!$G$8*(SUMIF($AD$3:$BA$3,"&lt;"&amp;$DF16,$B16:$Y16)+SUMIF($AD$3:$BA$3,"&gt;="&amp;$DG16,$B16:$Y16)),
IF(BA$3=$DF16+'Model Setup'!$H$7,SUMIF($AD$3:$BA$3,"="&amp;$DF16+'Model Setup'!$H$7,$B16:$Y16)+'Model Setup'!$H$8*(SUMIF($AD$3:$BA$3,"&lt;"&amp;$DF16,$B16:$Y16)+SUMIF($AD$3:$BA$3,"&gt;="&amp;$DG16,$B16:$Y16)),
IF(BA$3=$DF16+'Model Setup'!$I$7,SUMIF($AD$3:$BA$3,"="&amp;$DF16+'Model Setup'!$I$7,$B16:$Y16)+'Model Setup'!$I$8*(SUMIF($AD$3:$BA$3,"&lt;"&amp;$DF16,$B16:$Y16)+SUMIF($AD$3:$BA$3,"&gt;="&amp;$DG16,$B16:$Y16)),
IF(BA$3=$DF16+'Model Setup'!$J$7,SUMIF($AD$3:$BA$3,"="&amp;$DF16+'Model Setup'!$J$7,$B16:$Y16)+'Model Setup'!$J$8*(SUMIF($AD$3:$BA$3,"&lt;"&amp;$DF16,$B16:$Y16)+SUMIF($AD$3:$BA$3,"&gt;="&amp;$DG16,$B16:$Y16)),
IF(BA$3=$DF16+'Model Setup'!$K$7,SUMIF($AD$3:$BA$3,"="&amp;$DF16+'Model Setup'!$K$7,$B16:$Y16)+'Model Setup'!$K$8*(SUMIF($AD$3:$BA$3,"&lt;"&amp;$DF16,$B16:$Y16)+SUMIF($AD$3:$BA$3,"&gt;="&amp;$DG16,$B16:$Y16)),
IF(BA$3=$DF16+'Model Setup'!$L$7,SUMIF($AD$3:$BA$3,"="&amp;$DF16+'Model Setup'!$L$7,$B16:$Y16)+'Model Setup'!$L$8*(SUMIF($AD$3:$BA$3,"&lt;"&amp;$DF16,$B16:$Y16)+SUMIF($AD$3:$BA$3,"&gt;="&amp;$DG16,$B16:$Y16)),
IF(BA$3=$DF16+'Model Setup'!$M$7,SUMIF($AD$3:$BA$3,"="&amp;$DF16+'Model Setup'!$M$7,$B16:$Y16)+'Model Setup'!$M$8*(SUMIF($AD$3:$BA$3,"&lt;"&amp;$DF16,$B16:$Y16)+SUMIF($AD$3:$BA$3,"&gt;="&amp;$DG16,$B16:$Y16)),
IF(BA$3=$DF16+'Model Setup'!$N$7,SUMIF($AD$3:$BA$3,"="&amp;$DF16+'Model Setup'!$N$7,$B16:$Y16)+'Model Setup'!$N$8*(SUMIF($AD$3:$BA$3,"&lt;"&amp;$DF16,$B16:$Y16)+SUMIF($AD$3:$BA$3,"&gt;="&amp;$DG16,$B16:$Y16)),
IF(BA$3&lt;$DG16,Y16,0))))))))))))))),0)</f>
        <v>0</v>
      </c>
      <c r="BB16" s="47">
        <f t="shared" si="1"/>
        <v>196</v>
      </c>
      <c r="BD16" t="b">
        <f t="shared" si="2"/>
        <v>1</v>
      </c>
      <c r="BE16">
        <f t="shared" si="8"/>
        <v>0</v>
      </c>
      <c r="BF16">
        <f>(FTC!F14-FTC!E14)*24</f>
        <v>13</v>
      </c>
      <c r="BG16" s="43" t="s">
        <v>31</v>
      </c>
      <c r="BH16" s="47">
        <f>ROUND(IF(OR(BH$3&lt;$DF16,BH$3&gt;$CW$4),0,
IF(BH$3=$DF16+'Model Setup'!$B$7,SUMIF($BH$3:$CE$3,"="&amp;$DF16+'Model Setup'!$B$7,$AD16:$BA16)+'Model Setup'!$B$8*(SUMIF($BH$3:$CE$3,"&lt;"&amp;$DF16,$AD16:$BA16)+SUMIF($BH$3:$CE$3,"&gt;"&amp;$CW$4,$AD16:$BA16)),
IF(BH$3=$DF16+'Model Setup'!$C$7,SUMIF($BH$3:$CE$3,"="&amp;$DF16+'Model Setup'!$C$7,$AD16:$BA16)+'Model Setup'!$C$8*(SUMIF($BH$3:$CE$3,"&lt;"&amp;$DF16,$AD16:$BA16)+SUMIF($BH$3:$CE$3,"&gt;"&amp;$CW$4,$AD16:$BA16)),
IF(BH$3=$DF16+'Model Setup'!$D$7,SUMIF($BH$3:$CE$3,"="&amp;$DF16+'Model Setup'!$D$7,$AD16:$BA16)+'Model Setup'!$D$8*(SUMIF($BH$3:$CE$3,"&lt;"&amp;$DF16,$AD16:$BA16)+SUMIF($BH$3:$CE$3,"&gt;"&amp;$CW$4,$AD16:$BA16)),
IF(BH$3=$DF16+'Model Setup'!$E$7,SUMIF($BH$3:$CE$3,"="&amp;$DF16+'Model Setup'!$E$7,$AD16:$BA16)+'Model Setup'!$E$8*(SUMIF($BH$3:$CE$3,"&lt;"&amp;$DF16,$AD16:$BA16)+SUMIF($BH$3:$CE$3,"&gt;"&amp;$CW$4,$AD16:$BA16)),
IF(BH$3=$DF16+'Model Setup'!$F$7,SUMIF($BH$3:$CE$3,"="&amp;$DF16+'Model Setup'!$F$7,$AD16:$BA16)+'Model Setup'!$F$8*(SUMIF($BH$3:$CE$3,"&lt;"&amp;$DF16,$AD16:$BA16)+SUMIF($BH$3:$CE$3,"&gt;"&amp;$CW$4,$AD16:$BA16)),
IF(BH$3=$DF16+'Model Setup'!$G$7,SUMIF($BH$3:$CE$3,"="&amp;$DF16+'Model Setup'!$G$7,$AD16:$BA16)+'Model Setup'!$G$8*(SUMIF($BH$3:$CE$3,"&lt;"&amp;$DF16,$AD16:$BA16)+SUMIF($BH$3:$CE$3,"&gt;"&amp;$CW$4,$AD16:$BA16)),
IF(BH$3=$DF16+'Model Setup'!$H$7,SUMIF($BH$3:$CE$3,"="&amp;$DF16+'Model Setup'!$H$7,$AD16:$BA16)+'Model Setup'!$H$8*(SUMIF($BH$3:$CE$3,"&lt;"&amp;$DF16,$AD16:$BA16)+SUMIF($BH$3:$CE$3,"&gt;"&amp;$CW$4,$AD16:$BA16)),
IF(BH$3=$DF16+'Model Setup'!$I$7,SUMIF($BH$3:$CE$3,"="&amp;$DF16+'Model Setup'!$I$7,$AD16:$BA16)+'Model Setup'!$I$8*(SUMIF($BH$3:$CE$3,"&lt;"&amp;$DF16,$AD16:$BA16)+SUMIF($BH$3:$CE$3,"&gt;"&amp;$CW$4,$AD16:$BA16)),
IF(BH$3=$DF16+'Model Setup'!$J$7,SUMIF($BH$3:$CE$3,"="&amp;$DF16+'Model Setup'!$J$7,$AD16:$BA16)+'Model Setup'!$J$8*(SUMIF($BH$3:$CE$3,"&lt;"&amp;$DF16,$AD16:$BA16)+SUMIF($BH$3:$CE$3,"&gt;"&amp;$CW$4,$AD16:$BA16)),
IF(BH$3=$DF16+'Model Setup'!$K$7,SUMIF($BH$3:$CE$3,"="&amp;$DF16+'Model Setup'!$K$7,$AD16:$BA16)+'Model Setup'!$K$8*(SUMIF($BH$3:$CE$3,"&lt;"&amp;$DF16,$AD16:$BA16)+SUMIF($BH$3:$CE$3,"&gt;"&amp;$CW$4,$AD16:$BA16)),
IF(BH$3=$DF16+'Model Setup'!$L$7,SUMIF($BH$3:$CE$3,"="&amp;$DF16+'Model Setup'!$L$7,$AD16:$BA16)+'Model Setup'!$L$8*(SUMIF($BH$3:$CE$3,"&lt;"&amp;$DF16,$AD16:$BA16)+SUMIF($BH$3:$CE$3,"&gt;"&amp;$CW$4,$AD16:$BA16)),
IF(BH$3=$DF16+'Model Setup'!$M$7,SUMIF($BH$3:$CE$3,"="&amp;$DF16+'Model Setup'!$M$7,$AD16:$BA16)+'Model Setup'!$M$8*(SUMIF($BH$3:$CE$3,"&lt;"&amp;$DF16,$AD16:$BA16)+SUMIF($BH$3:$CE$3,"&gt;"&amp;$CW$4,$AD16:$BA16)),
IF(BH$3=$DF16+'Model Setup'!$N$7,SUMIF($BH$3:$CE$3,"="&amp;$DF16+'Model Setup'!$N$7,$AD16:$BA16)+'Model Setup'!$N$8*(SUMIF($BH$3:$CE$3,"&lt;"&amp;$DF16,$AD16:$BA16)+SUMIF($BH$3:$CE$3,"&gt;"&amp;$CW$4,$AD16:$BA16)),
IF(BH$3&lt;$CW$4,B16,0))))))))))))))),0)</f>
        <v>0</v>
      </c>
      <c r="BI16" s="47">
        <f>ROUND(IF(OR(BI$3&lt;$DF16,BI$3&gt;$CW$4),0,
IF(BI$3=$DF16+'Model Setup'!$B$7,SUMIF($BH$3:$CE$3,"="&amp;$DF16+'Model Setup'!$B$7,$AD16:$BA16)+'Model Setup'!$B$8*(SUMIF($BH$3:$CE$3,"&lt;"&amp;$DF16,$AD16:$BA16)+SUMIF($BH$3:$CE$3,"&gt;"&amp;$CW$4,$AD16:$BA16)),
IF(BI$3=$DF16+'Model Setup'!$C$7,SUMIF($BH$3:$CE$3,"="&amp;$DF16+'Model Setup'!$C$7,$AD16:$BA16)+'Model Setup'!$C$8*(SUMIF($BH$3:$CE$3,"&lt;"&amp;$DF16,$AD16:$BA16)+SUMIF($BH$3:$CE$3,"&gt;"&amp;$CW$4,$AD16:$BA16)),
IF(BI$3=$DF16+'Model Setup'!$D$7,SUMIF($BH$3:$CE$3,"="&amp;$DF16+'Model Setup'!$D$7,$AD16:$BA16)+'Model Setup'!$D$8*(SUMIF($BH$3:$CE$3,"&lt;"&amp;$DF16,$AD16:$BA16)+SUMIF($BH$3:$CE$3,"&gt;"&amp;$CW$4,$AD16:$BA16)),
IF(BI$3=$DF16+'Model Setup'!$E$7,SUMIF($BH$3:$CE$3,"="&amp;$DF16+'Model Setup'!$E$7,$AD16:$BA16)+'Model Setup'!$E$8*(SUMIF($BH$3:$CE$3,"&lt;"&amp;$DF16,$AD16:$BA16)+SUMIF($BH$3:$CE$3,"&gt;"&amp;$CW$4,$AD16:$BA16)),
IF(BI$3=$DF16+'Model Setup'!$F$7,SUMIF($BH$3:$CE$3,"="&amp;$DF16+'Model Setup'!$F$7,$AD16:$BA16)+'Model Setup'!$F$8*(SUMIF($BH$3:$CE$3,"&lt;"&amp;$DF16,$AD16:$BA16)+SUMIF($BH$3:$CE$3,"&gt;"&amp;$CW$4,$AD16:$BA16)),
IF(BI$3=$DF16+'Model Setup'!$G$7,SUMIF($BH$3:$CE$3,"="&amp;$DF16+'Model Setup'!$G$7,$AD16:$BA16)+'Model Setup'!$G$8*(SUMIF($BH$3:$CE$3,"&lt;"&amp;$DF16,$AD16:$BA16)+SUMIF($BH$3:$CE$3,"&gt;"&amp;$CW$4,$AD16:$BA16)),
IF(BI$3=$DF16+'Model Setup'!$H$7,SUMIF($BH$3:$CE$3,"="&amp;$DF16+'Model Setup'!$H$7,$AD16:$BA16)+'Model Setup'!$H$8*(SUMIF($BH$3:$CE$3,"&lt;"&amp;$DF16,$AD16:$BA16)+SUMIF($BH$3:$CE$3,"&gt;"&amp;$CW$4,$AD16:$BA16)),
IF(BI$3=$DF16+'Model Setup'!$I$7,SUMIF($BH$3:$CE$3,"="&amp;$DF16+'Model Setup'!$I$7,$AD16:$BA16)+'Model Setup'!$I$8*(SUMIF($BH$3:$CE$3,"&lt;"&amp;$DF16,$AD16:$BA16)+SUMIF($BH$3:$CE$3,"&gt;"&amp;$CW$4,$AD16:$BA16)),
IF(BI$3=$DF16+'Model Setup'!$J$7,SUMIF($BH$3:$CE$3,"="&amp;$DF16+'Model Setup'!$J$7,$AD16:$BA16)+'Model Setup'!$J$8*(SUMIF($BH$3:$CE$3,"&lt;"&amp;$DF16,$AD16:$BA16)+SUMIF($BH$3:$CE$3,"&gt;"&amp;$CW$4,$AD16:$BA16)),
IF(BI$3=$DF16+'Model Setup'!$K$7,SUMIF($BH$3:$CE$3,"="&amp;$DF16+'Model Setup'!$K$7,$AD16:$BA16)+'Model Setup'!$K$8*(SUMIF($BH$3:$CE$3,"&lt;"&amp;$DF16,$AD16:$BA16)+SUMIF($BH$3:$CE$3,"&gt;"&amp;$CW$4,$AD16:$BA16)),
IF(BI$3=$DF16+'Model Setup'!$L$7,SUMIF($BH$3:$CE$3,"="&amp;$DF16+'Model Setup'!$L$7,$AD16:$BA16)+'Model Setup'!$L$8*(SUMIF($BH$3:$CE$3,"&lt;"&amp;$DF16,$AD16:$BA16)+SUMIF($BH$3:$CE$3,"&gt;"&amp;$CW$4,$AD16:$BA16)),
IF(BI$3=$DF16+'Model Setup'!$M$7,SUMIF($BH$3:$CE$3,"="&amp;$DF16+'Model Setup'!$M$7,$AD16:$BA16)+'Model Setup'!$M$8*(SUMIF($BH$3:$CE$3,"&lt;"&amp;$DF16,$AD16:$BA16)+SUMIF($BH$3:$CE$3,"&gt;"&amp;$CW$4,$AD16:$BA16)),
IF(BI$3=$DF16+'Model Setup'!$N$7,SUMIF($BH$3:$CE$3,"="&amp;$DF16+'Model Setup'!$N$7,$AD16:$BA16)+'Model Setup'!$N$8*(SUMIF($BH$3:$CE$3,"&lt;"&amp;$DF16,$AD16:$BA16)+SUMIF($BH$3:$CE$3,"&gt;"&amp;$CW$4,$AD16:$BA16)),
IF(BI$3&lt;$CW$4,C16,0))))))))))))))),0)</f>
        <v>0</v>
      </c>
      <c r="BJ16" s="47">
        <f>ROUND(IF(OR(BJ$3&lt;$DF16,BJ$3&gt;$CW$4),0,
IF(BJ$3=$DF16+'Model Setup'!$B$7,SUMIF($BH$3:$CE$3,"="&amp;$DF16+'Model Setup'!$B$7,$AD16:$BA16)+'Model Setup'!$B$8*(SUMIF($BH$3:$CE$3,"&lt;"&amp;$DF16,$AD16:$BA16)+SUMIF($BH$3:$CE$3,"&gt;"&amp;$CW$4,$AD16:$BA16)),
IF(BJ$3=$DF16+'Model Setup'!$C$7,SUMIF($BH$3:$CE$3,"="&amp;$DF16+'Model Setup'!$C$7,$AD16:$BA16)+'Model Setup'!$C$8*(SUMIF($BH$3:$CE$3,"&lt;"&amp;$DF16,$AD16:$BA16)+SUMIF($BH$3:$CE$3,"&gt;"&amp;$CW$4,$AD16:$BA16)),
IF(BJ$3=$DF16+'Model Setup'!$D$7,SUMIF($BH$3:$CE$3,"="&amp;$DF16+'Model Setup'!$D$7,$AD16:$BA16)+'Model Setup'!$D$8*(SUMIF($BH$3:$CE$3,"&lt;"&amp;$DF16,$AD16:$BA16)+SUMIF($BH$3:$CE$3,"&gt;"&amp;$CW$4,$AD16:$BA16)),
IF(BJ$3=$DF16+'Model Setup'!$E$7,SUMIF($BH$3:$CE$3,"="&amp;$DF16+'Model Setup'!$E$7,$AD16:$BA16)+'Model Setup'!$E$8*(SUMIF($BH$3:$CE$3,"&lt;"&amp;$DF16,$AD16:$BA16)+SUMIF($BH$3:$CE$3,"&gt;"&amp;$CW$4,$AD16:$BA16)),
IF(BJ$3=$DF16+'Model Setup'!$F$7,SUMIF($BH$3:$CE$3,"="&amp;$DF16+'Model Setup'!$F$7,$AD16:$BA16)+'Model Setup'!$F$8*(SUMIF($BH$3:$CE$3,"&lt;"&amp;$DF16,$AD16:$BA16)+SUMIF($BH$3:$CE$3,"&gt;"&amp;$CW$4,$AD16:$BA16)),
IF(BJ$3=$DF16+'Model Setup'!$G$7,SUMIF($BH$3:$CE$3,"="&amp;$DF16+'Model Setup'!$G$7,$AD16:$BA16)+'Model Setup'!$G$8*(SUMIF($BH$3:$CE$3,"&lt;"&amp;$DF16,$AD16:$BA16)+SUMIF($BH$3:$CE$3,"&gt;"&amp;$CW$4,$AD16:$BA16)),
IF(BJ$3=$DF16+'Model Setup'!$H$7,SUMIF($BH$3:$CE$3,"="&amp;$DF16+'Model Setup'!$H$7,$AD16:$BA16)+'Model Setup'!$H$8*(SUMIF($BH$3:$CE$3,"&lt;"&amp;$DF16,$AD16:$BA16)+SUMIF($BH$3:$CE$3,"&gt;"&amp;$CW$4,$AD16:$BA16)),
IF(BJ$3=$DF16+'Model Setup'!$I$7,SUMIF($BH$3:$CE$3,"="&amp;$DF16+'Model Setup'!$I$7,$AD16:$BA16)+'Model Setup'!$I$8*(SUMIF($BH$3:$CE$3,"&lt;"&amp;$DF16,$AD16:$BA16)+SUMIF($BH$3:$CE$3,"&gt;"&amp;$CW$4,$AD16:$BA16)),
IF(BJ$3=$DF16+'Model Setup'!$J$7,SUMIF($BH$3:$CE$3,"="&amp;$DF16+'Model Setup'!$J$7,$AD16:$BA16)+'Model Setup'!$J$8*(SUMIF($BH$3:$CE$3,"&lt;"&amp;$DF16,$AD16:$BA16)+SUMIF($BH$3:$CE$3,"&gt;"&amp;$CW$4,$AD16:$BA16)),
IF(BJ$3=$DF16+'Model Setup'!$K$7,SUMIF($BH$3:$CE$3,"="&amp;$DF16+'Model Setup'!$K$7,$AD16:$BA16)+'Model Setup'!$K$8*(SUMIF($BH$3:$CE$3,"&lt;"&amp;$DF16,$AD16:$BA16)+SUMIF($BH$3:$CE$3,"&gt;"&amp;$CW$4,$AD16:$BA16)),
IF(BJ$3=$DF16+'Model Setup'!$L$7,SUMIF($BH$3:$CE$3,"="&amp;$DF16+'Model Setup'!$L$7,$AD16:$BA16)+'Model Setup'!$L$8*(SUMIF($BH$3:$CE$3,"&lt;"&amp;$DF16,$AD16:$BA16)+SUMIF($BH$3:$CE$3,"&gt;"&amp;$CW$4,$AD16:$BA16)),
IF(BJ$3=$DF16+'Model Setup'!$M$7,SUMIF($BH$3:$CE$3,"="&amp;$DF16+'Model Setup'!$M$7,$AD16:$BA16)+'Model Setup'!$M$8*(SUMIF($BH$3:$CE$3,"&lt;"&amp;$DF16,$AD16:$BA16)+SUMIF($BH$3:$CE$3,"&gt;"&amp;$CW$4,$AD16:$BA16)),
IF(BJ$3=$DF16+'Model Setup'!$N$7,SUMIF($BH$3:$CE$3,"="&amp;$DF16+'Model Setup'!$N$7,$AD16:$BA16)+'Model Setup'!$N$8*(SUMIF($BH$3:$CE$3,"&lt;"&amp;$DF16,$AD16:$BA16)+SUMIF($BH$3:$CE$3,"&gt;"&amp;$CW$4,$AD16:$BA16)),
IF(BJ$3&lt;$CW$4,D16,0))))))))))))))),0)</f>
        <v>0</v>
      </c>
      <c r="BK16" s="47">
        <f>ROUND(IF(OR(BK$3&lt;$DF16,BK$3&gt;$CW$4),0,
IF(BK$3=$DF16+'Model Setup'!$B$7,SUMIF($BH$3:$CE$3,"="&amp;$DF16+'Model Setup'!$B$7,$AD16:$BA16)+'Model Setup'!$B$8*(SUMIF($BH$3:$CE$3,"&lt;"&amp;$DF16,$AD16:$BA16)+SUMIF($BH$3:$CE$3,"&gt;"&amp;$CW$4,$AD16:$BA16)),
IF(BK$3=$DF16+'Model Setup'!$C$7,SUMIF($BH$3:$CE$3,"="&amp;$DF16+'Model Setup'!$C$7,$AD16:$BA16)+'Model Setup'!$C$8*(SUMIF($BH$3:$CE$3,"&lt;"&amp;$DF16,$AD16:$BA16)+SUMIF($BH$3:$CE$3,"&gt;"&amp;$CW$4,$AD16:$BA16)),
IF(BK$3=$DF16+'Model Setup'!$D$7,SUMIF($BH$3:$CE$3,"="&amp;$DF16+'Model Setup'!$D$7,$AD16:$BA16)+'Model Setup'!$D$8*(SUMIF($BH$3:$CE$3,"&lt;"&amp;$DF16,$AD16:$BA16)+SUMIF($BH$3:$CE$3,"&gt;"&amp;$CW$4,$AD16:$BA16)),
IF(BK$3=$DF16+'Model Setup'!$E$7,SUMIF($BH$3:$CE$3,"="&amp;$DF16+'Model Setup'!$E$7,$AD16:$BA16)+'Model Setup'!$E$8*(SUMIF($BH$3:$CE$3,"&lt;"&amp;$DF16,$AD16:$BA16)+SUMIF($BH$3:$CE$3,"&gt;"&amp;$CW$4,$AD16:$BA16)),
IF(BK$3=$DF16+'Model Setup'!$F$7,SUMIF($BH$3:$CE$3,"="&amp;$DF16+'Model Setup'!$F$7,$AD16:$BA16)+'Model Setup'!$F$8*(SUMIF($BH$3:$CE$3,"&lt;"&amp;$DF16,$AD16:$BA16)+SUMIF($BH$3:$CE$3,"&gt;"&amp;$CW$4,$AD16:$BA16)),
IF(BK$3=$DF16+'Model Setup'!$G$7,SUMIF($BH$3:$CE$3,"="&amp;$DF16+'Model Setup'!$G$7,$AD16:$BA16)+'Model Setup'!$G$8*(SUMIF($BH$3:$CE$3,"&lt;"&amp;$DF16,$AD16:$BA16)+SUMIF($BH$3:$CE$3,"&gt;"&amp;$CW$4,$AD16:$BA16)),
IF(BK$3=$DF16+'Model Setup'!$H$7,SUMIF($BH$3:$CE$3,"="&amp;$DF16+'Model Setup'!$H$7,$AD16:$BA16)+'Model Setup'!$H$8*(SUMIF($BH$3:$CE$3,"&lt;"&amp;$DF16,$AD16:$BA16)+SUMIF($BH$3:$CE$3,"&gt;"&amp;$CW$4,$AD16:$BA16)),
IF(BK$3=$DF16+'Model Setup'!$I$7,SUMIF($BH$3:$CE$3,"="&amp;$DF16+'Model Setup'!$I$7,$AD16:$BA16)+'Model Setup'!$I$8*(SUMIF($BH$3:$CE$3,"&lt;"&amp;$DF16,$AD16:$BA16)+SUMIF($BH$3:$CE$3,"&gt;"&amp;$CW$4,$AD16:$BA16)),
IF(BK$3=$DF16+'Model Setup'!$J$7,SUMIF($BH$3:$CE$3,"="&amp;$DF16+'Model Setup'!$J$7,$AD16:$BA16)+'Model Setup'!$J$8*(SUMIF($BH$3:$CE$3,"&lt;"&amp;$DF16,$AD16:$BA16)+SUMIF($BH$3:$CE$3,"&gt;"&amp;$CW$4,$AD16:$BA16)),
IF(BK$3=$DF16+'Model Setup'!$K$7,SUMIF($BH$3:$CE$3,"="&amp;$DF16+'Model Setup'!$K$7,$AD16:$BA16)+'Model Setup'!$K$8*(SUMIF($BH$3:$CE$3,"&lt;"&amp;$DF16,$AD16:$BA16)+SUMIF($BH$3:$CE$3,"&gt;"&amp;$CW$4,$AD16:$BA16)),
IF(BK$3=$DF16+'Model Setup'!$L$7,SUMIF($BH$3:$CE$3,"="&amp;$DF16+'Model Setup'!$L$7,$AD16:$BA16)+'Model Setup'!$L$8*(SUMIF($BH$3:$CE$3,"&lt;"&amp;$DF16,$AD16:$BA16)+SUMIF($BH$3:$CE$3,"&gt;"&amp;$CW$4,$AD16:$BA16)),
IF(BK$3=$DF16+'Model Setup'!$M$7,SUMIF($BH$3:$CE$3,"="&amp;$DF16+'Model Setup'!$M$7,$AD16:$BA16)+'Model Setup'!$M$8*(SUMIF($BH$3:$CE$3,"&lt;"&amp;$DF16,$AD16:$BA16)+SUMIF($BH$3:$CE$3,"&gt;"&amp;$CW$4,$AD16:$BA16)),
IF(BK$3=$DF16+'Model Setup'!$N$7,SUMIF($BH$3:$CE$3,"="&amp;$DF16+'Model Setup'!$N$7,$AD16:$BA16)+'Model Setup'!$N$8*(SUMIF($BH$3:$CE$3,"&lt;"&amp;$DF16,$AD16:$BA16)+SUMIF($BH$3:$CE$3,"&gt;"&amp;$CW$4,$AD16:$BA16)),
IF(BK$3&lt;$CW$4,E16,0))))))))))))))),0)</f>
        <v>0</v>
      </c>
      <c r="BL16" s="47">
        <f>ROUND(IF(OR(BL$3&lt;$DF16,BL$3&gt;$CW$4),0,
IF(BL$3=$DF16+'Model Setup'!$B$7,SUMIF($BH$3:$CE$3,"="&amp;$DF16+'Model Setup'!$B$7,$AD16:$BA16)+'Model Setup'!$B$8*(SUMIF($BH$3:$CE$3,"&lt;"&amp;$DF16,$AD16:$BA16)+SUMIF($BH$3:$CE$3,"&gt;"&amp;$CW$4,$AD16:$BA16)),
IF(BL$3=$DF16+'Model Setup'!$C$7,SUMIF($BH$3:$CE$3,"="&amp;$DF16+'Model Setup'!$C$7,$AD16:$BA16)+'Model Setup'!$C$8*(SUMIF($BH$3:$CE$3,"&lt;"&amp;$DF16,$AD16:$BA16)+SUMIF($BH$3:$CE$3,"&gt;"&amp;$CW$4,$AD16:$BA16)),
IF(BL$3=$DF16+'Model Setup'!$D$7,SUMIF($BH$3:$CE$3,"="&amp;$DF16+'Model Setup'!$D$7,$AD16:$BA16)+'Model Setup'!$D$8*(SUMIF($BH$3:$CE$3,"&lt;"&amp;$DF16,$AD16:$BA16)+SUMIF($BH$3:$CE$3,"&gt;"&amp;$CW$4,$AD16:$BA16)),
IF(BL$3=$DF16+'Model Setup'!$E$7,SUMIF($BH$3:$CE$3,"="&amp;$DF16+'Model Setup'!$E$7,$AD16:$BA16)+'Model Setup'!$E$8*(SUMIF($BH$3:$CE$3,"&lt;"&amp;$DF16,$AD16:$BA16)+SUMIF($BH$3:$CE$3,"&gt;"&amp;$CW$4,$AD16:$BA16)),
IF(BL$3=$DF16+'Model Setup'!$F$7,SUMIF($BH$3:$CE$3,"="&amp;$DF16+'Model Setup'!$F$7,$AD16:$BA16)+'Model Setup'!$F$8*(SUMIF($BH$3:$CE$3,"&lt;"&amp;$DF16,$AD16:$BA16)+SUMIF($BH$3:$CE$3,"&gt;"&amp;$CW$4,$AD16:$BA16)),
IF(BL$3=$DF16+'Model Setup'!$G$7,SUMIF($BH$3:$CE$3,"="&amp;$DF16+'Model Setup'!$G$7,$AD16:$BA16)+'Model Setup'!$G$8*(SUMIF($BH$3:$CE$3,"&lt;"&amp;$DF16,$AD16:$BA16)+SUMIF($BH$3:$CE$3,"&gt;"&amp;$CW$4,$AD16:$BA16)),
IF(BL$3=$DF16+'Model Setup'!$H$7,SUMIF($BH$3:$CE$3,"="&amp;$DF16+'Model Setup'!$H$7,$AD16:$BA16)+'Model Setup'!$H$8*(SUMIF($BH$3:$CE$3,"&lt;"&amp;$DF16,$AD16:$BA16)+SUMIF($BH$3:$CE$3,"&gt;"&amp;$CW$4,$AD16:$BA16)),
IF(BL$3=$DF16+'Model Setup'!$I$7,SUMIF($BH$3:$CE$3,"="&amp;$DF16+'Model Setup'!$I$7,$AD16:$BA16)+'Model Setup'!$I$8*(SUMIF($BH$3:$CE$3,"&lt;"&amp;$DF16,$AD16:$BA16)+SUMIF($BH$3:$CE$3,"&gt;"&amp;$CW$4,$AD16:$BA16)),
IF(BL$3=$DF16+'Model Setup'!$J$7,SUMIF($BH$3:$CE$3,"="&amp;$DF16+'Model Setup'!$J$7,$AD16:$BA16)+'Model Setup'!$J$8*(SUMIF($BH$3:$CE$3,"&lt;"&amp;$DF16,$AD16:$BA16)+SUMIF($BH$3:$CE$3,"&gt;"&amp;$CW$4,$AD16:$BA16)),
IF(BL$3=$DF16+'Model Setup'!$K$7,SUMIF($BH$3:$CE$3,"="&amp;$DF16+'Model Setup'!$K$7,$AD16:$BA16)+'Model Setup'!$K$8*(SUMIF($BH$3:$CE$3,"&lt;"&amp;$DF16,$AD16:$BA16)+SUMIF($BH$3:$CE$3,"&gt;"&amp;$CW$4,$AD16:$BA16)),
IF(BL$3=$DF16+'Model Setup'!$L$7,SUMIF($BH$3:$CE$3,"="&amp;$DF16+'Model Setup'!$L$7,$AD16:$BA16)+'Model Setup'!$L$8*(SUMIF($BH$3:$CE$3,"&lt;"&amp;$DF16,$AD16:$BA16)+SUMIF($BH$3:$CE$3,"&gt;"&amp;$CW$4,$AD16:$BA16)),
IF(BL$3=$DF16+'Model Setup'!$M$7,SUMIF($BH$3:$CE$3,"="&amp;$DF16+'Model Setup'!$M$7,$AD16:$BA16)+'Model Setup'!$M$8*(SUMIF($BH$3:$CE$3,"&lt;"&amp;$DF16,$AD16:$BA16)+SUMIF($BH$3:$CE$3,"&gt;"&amp;$CW$4,$AD16:$BA16)),
IF(BL$3=$DF16+'Model Setup'!$N$7,SUMIF($BH$3:$CE$3,"="&amp;$DF16+'Model Setup'!$N$7,$AD16:$BA16)+'Model Setup'!$N$8*(SUMIF($BH$3:$CE$3,"&lt;"&amp;$DF16,$AD16:$BA16)+SUMIF($BH$3:$CE$3,"&gt;"&amp;$CW$4,$AD16:$BA16)),
IF(BL$3&lt;$CW$4,F16,0))))))))))))))),0)</f>
        <v>0</v>
      </c>
      <c r="BM16" s="47">
        <f>ROUND(IF(OR(BM$3&lt;$DF16,BM$3&gt;$CW$4),0,
IF(BM$3=$DF16+'Model Setup'!$B$7,SUMIF($BH$3:$CE$3,"="&amp;$DF16+'Model Setup'!$B$7,$AD16:$BA16)+'Model Setup'!$B$8*(SUMIF($BH$3:$CE$3,"&lt;"&amp;$DF16,$AD16:$BA16)+SUMIF($BH$3:$CE$3,"&gt;"&amp;$CW$4,$AD16:$BA16)),
IF(BM$3=$DF16+'Model Setup'!$C$7,SUMIF($BH$3:$CE$3,"="&amp;$DF16+'Model Setup'!$C$7,$AD16:$BA16)+'Model Setup'!$C$8*(SUMIF($BH$3:$CE$3,"&lt;"&amp;$DF16,$AD16:$BA16)+SUMIF($BH$3:$CE$3,"&gt;"&amp;$CW$4,$AD16:$BA16)),
IF(BM$3=$DF16+'Model Setup'!$D$7,SUMIF($BH$3:$CE$3,"="&amp;$DF16+'Model Setup'!$D$7,$AD16:$BA16)+'Model Setup'!$D$8*(SUMIF($BH$3:$CE$3,"&lt;"&amp;$DF16,$AD16:$BA16)+SUMIF($BH$3:$CE$3,"&gt;"&amp;$CW$4,$AD16:$BA16)),
IF(BM$3=$DF16+'Model Setup'!$E$7,SUMIF($BH$3:$CE$3,"="&amp;$DF16+'Model Setup'!$E$7,$AD16:$BA16)+'Model Setup'!$E$8*(SUMIF($BH$3:$CE$3,"&lt;"&amp;$DF16,$AD16:$BA16)+SUMIF($BH$3:$CE$3,"&gt;"&amp;$CW$4,$AD16:$BA16)),
IF(BM$3=$DF16+'Model Setup'!$F$7,SUMIF($BH$3:$CE$3,"="&amp;$DF16+'Model Setup'!$F$7,$AD16:$BA16)+'Model Setup'!$F$8*(SUMIF($BH$3:$CE$3,"&lt;"&amp;$DF16,$AD16:$BA16)+SUMIF($BH$3:$CE$3,"&gt;"&amp;$CW$4,$AD16:$BA16)),
IF(BM$3=$DF16+'Model Setup'!$G$7,SUMIF($BH$3:$CE$3,"="&amp;$DF16+'Model Setup'!$G$7,$AD16:$BA16)+'Model Setup'!$G$8*(SUMIF($BH$3:$CE$3,"&lt;"&amp;$DF16,$AD16:$BA16)+SUMIF($BH$3:$CE$3,"&gt;"&amp;$CW$4,$AD16:$BA16)),
IF(BM$3=$DF16+'Model Setup'!$H$7,SUMIF($BH$3:$CE$3,"="&amp;$DF16+'Model Setup'!$H$7,$AD16:$BA16)+'Model Setup'!$H$8*(SUMIF($BH$3:$CE$3,"&lt;"&amp;$DF16,$AD16:$BA16)+SUMIF($BH$3:$CE$3,"&gt;"&amp;$CW$4,$AD16:$BA16)),
IF(BM$3=$DF16+'Model Setup'!$I$7,SUMIF($BH$3:$CE$3,"="&amp;$DF16+'Model Setup'!$I$7,$AD16:$BA16)+'Model Setup'!$I$8*(SUMIF($BH$3:$CE$3,"&lt;"&amp;$DF16,$AD16:$BA16)+SUMIF($BH$3:$CE$3,"&gt;"&amp;$CW$4,$AD16:$BA16)),
IF(BM$3=$DF16+'Model Setup'!$J$7,SUMIF($BH$3:$CE$3,"="&amp;$DF16+'Model Setup'!$J$7,$AD16:$BA16)+'Model Setup'!$J$8*(SUMIF($BH$3:$CE$3,"&lt;"&amp;$DF16,$AD16:$BA16)+SUMIF($BH$3:$CE$3,"&gt;"&amp;$CW$4,$AD16:$BA16)),
IF(BM$3=$DF16+'Model Setup'!$K$7,SUMIF($BH$3:$CE$3,"="&amp;$DF16+'Model Setup'!$K$7,$AD16:$BA16)+'Model Setup'!$K$8*(SUMIF($BH$3:$CE$3,"&lt;"&amp;$DF16,$AD16:$BA16)+SUMIF($BH$3:$CE$3,"&gt;"&amp;$CW$4,$AD16:$BA16)),
IF(BM$3=$DF16+'Model Setup'!$L$7,SUMIF($BH$3:$CE$3,"="&amp;$DF16+'Model Setup'!$L$7,$AD16:$BA16)+'Model Setup'!$L$8*(SUMIF($BH$3:$CE$3,"&lt;"&amp;$DF16,$AD16:$BA16)+SUMIF($BH$3:$CE$3,"&gt;"&amp;$CW$4,$AD16:$BA16)),
IF(BM$3=$DF16+'Model Setup'!$M$7,SUMIF($BH$3:$CE$3,"="&amp;$DF16+'Model Setup'!$M$7,$AD16:$BA16)+'Model Setup'!$M$8*(SUMIF($BH$3:$CE$3,"&lt;"&amp;$DF16,$AD16:$BA16)+SUMIF($BH$3:$CE$3,"&gt;"&amp;$CW$4,$AD16:$BA16)),
IF(BM$3=$DF16+'Model Setup'!$N$7,SUMIF($BH$3:$CE$3,"="&amp;$DF16+'Model Setup'!$N$7,$AD16:$BA16)+'Model Setup'!$N$8*(SUMIF($BH$3:$CE$3,"&lt;"&amp;$DF16,$AD16:$BA16)+SUMIF($BH$3:$CE$3,"&gt;"&amp;$CW$4,$AD16:$BA16)),
IF(BM$3&lt;$CW$4,G16,0))))))))))))))),0)</f>
        <v>0</v>
      </c>
      <c r="BN16" s="47">
        <f>ROUND(IF(OR(BN$3&lt;$DF16,BN$3&gt;$CW$4),0,
IF(BN$3=$DF16+'Model Setup'!$B$7,SUMIF($BH$3:$CE$3,"="&amp;$DF16+'Model Setup'!$B$7,$AD16:$BA16)+'Model Setup'!$B$8*(SUMIF($BH$3:$CE$3,"&lt;"&amp;$DF16,$AD16:$BA16)+SUMIF($BH$3:$CE$3,"&gt;"&amp;$CW$4,$AD16:$BA16)),
IF(BN$3=$DF16+'Model Setup'!$C$7,SUMIF($BH$3:$CE$3,"="&amp;$DF16+'Model Setup'!$C$7,$AD16:$BA16)+'Model Setup'!$C$8*(SUMIF($BH$3:$CE$3,"&lt;"&amp;$DF16,$AD16:$BA16)+SUMIF($BH$3:$CE$3,"&gt;"&amp;$CW$4,$AD16:$BA16)),
IF(BN$3=$DF16+'Model Setup'!$D$7,SUMIF($BH$3:$CE$3,"="&amp;$DF16+'Model Setup'!$D$7,$AD16:$BA16)+'Model Setup'!$D$8*(SUMIF($BH$3:$CE$3,"&lt;"&amp;$DF16,$AD16:$BA16)+SUMIF($BH$3:$CE$3,"&gt;"&amp;$CW$4,$AD16:$BA16)),
IF(BN$3=$DF16+'Model Setup'!$E$7,SUMIF($BH$3:$CE$3,"="&amp;$DF16+'Model Setup'!$E$7,$AD16:$BA16)+'Model Setup'!$E$8*(SUMIF($BH$3:$CE$3,"&lt;"&amp;$DF16,$AD16:$BA16)+SUMIF($BH$3:$CE$3,"&gt;"&amp;$CW$4,$AD16:$BA16)),
IF(BN$3=$DF16+'Model Setup'!$F$7,SUMIF($BH$3:$CE$3,"="&amp;$DF16+'Model Setup'!$F$7,$AD16:$BA16)+'Model Setup'!$F$8*(SUMIF($BH$3:$CE$3,"&lt;"&amp;$DF16,$AD16:$BA16)+SUMIF($BH$3:$CE$3,"&gt;"&amp;$CW$4,$AD16:$BA16)),
IF(BN$3=$DF16+'Model Setup'!$G$7,SUMIF($BH$3:$CE$3,"="&amp;$DF16+'Model Setup'!$G$7,$AD16:$BA16)+'Model Setup'!$G$8*(SUMIF($BH$3:$CE$3,"&lt;"&amp;$DF16,$AD16:$BA16)+SUMIF($BH$3:$CE$3,"&gt;"&amp;$CW$4,$AD16:$BA16)),
IF(BN$3=$DF16+'Model Setup'!$H$7,SUMIF($BH$3:$CE$3,"="&amp;$DF16+'Model Setup'!$H$7,$AD16:$BA16)+'Model Setup'!$H$8*(SUMIF($BH$3:$CE$3,"&lt;"&amp;$DF16,$AD16:$BA16)+SUMIF($BH$3:$CE$3,"&gt;"&amp;$CW$4,$AD16:$BA16)),
IF(BN$3=$DF16+'Model Setup'!$I$7,SUMIF($BH$3:$CE$3,"="&amp;$DF16+'Model Setup'!$I$7,$AD16:$BA16)+'Model Setup'!$I$8*(SUMIF($BH$3:$CE$3,"&lt;"&amp;$DF16,$AD16:$BA16)+SUMIF($BH$3:$CE$3,"&gt;"&amp;$CW$4,$AD16:$BA16)),
IF(BN$3=$DF16+'Model Setup'!$J$7,SUMIF($BH$3:$CE$3,"="&amp;$DF16+'Model Setup'!$J$7,$AD16:$BA16)+'Model Setup'!$J$8*(SUMIF($BH$3:$CE$3,"&lt;"&amp;$DF16,$AD16:$BA16)+SUMIF($BH$3:$CE$3,"&gt;"&amp;$CW$4,$AD16:$BA16)),
IF(BN$3=$DF16+'Model Setup'!$K$7,SUMIF($BH$3:$CE$3,"="&amp;$DF16+'Model Setup'!$K$7,$AD16:$BA16)+'Model Setup'!$K$8*(SUMIF($BH$3:$CE$3,"&lt;"&amp;$DF16,$AD16:$BA16)+SUMIF($BH$3:$CE$3,"&gt;"&amp;$CW$4,$AD16:$BA16)),
IF(BN$3=$DF16+'Model Setup'!$L$7,SUMIF($BH$3:$CE$3,"="&amp;$DF16+'Model Setup'!$L$7,$AD16:$BA16)+'Model Setup'!$L$8*(SUMIF($BH$3:$CE$3,"&lt;"&amp;$DF16,$AD16:$BA16)+SUMIF($BH$3:$CE$3,"&gt;"&amp;$CW$4,$AD16:$BA16)),
IF(BN$3=$DF16+'Model Setup'!$M$7,SUMIF($BH$3:$CE$3,"="&amp;$DF16+'Model Setup'!$M$7,$AD16:$BA16)+'Model Setup'!$M$8*(SUMIF($BH$3:$CE$3,"&lt;"&amp;$DF16,$AD16:$BA16)+SUMIF($BH$3:$CE$3,"&gt;"&amp;$CW$4,$AD16:$BA16)),
IF(BN$3=$DF16+'Model Setup'!$N$7,SUMIF($BH$3:$CE$3,"="&amp;$DF16+'Model Setup'!$N$7,$AD16:$BA16)+'Model Setup'!$N$8*(SUMIF($BH$3:$CE$3,"&lt;"&amp;$DF16,$AD16:$BA16)+SUMIF($BH$3:$CE$3,"&gt;"&amp;$CW$4,$AD16:$BA16)),
IF(BN$3&lt;$CW$4,H16,0))))))))))))))),0)</f>
        <v>19</v>
      </c>
      <c r="BO16" s="47">
        <f>ROUND(IF(OR(BO$3&lt;$DF16,BO$3&gt;$CW$4),0,
IF(BO$3=$DF16+'Model Setup'!$B$7,SUMIF($BH$3:$CE$3,"="&amp;$DF16+'Model Setup'!$B$7,$AD16:$BA16)+'Model Setup'!$B$8*(SUMIF($BH$3:$CE$3,"&lt;"&amp;$DF16,$AD16:$BA16)+SUMIF($BH$3:$CE$3,"&gt;"&amp;$CW$4,$AD16:$BA16)),
IF(BO$3=$DF16+'Model Setup'!$C$7,SUMIF($BH$3:$CE$3,"="&amp;$DF16+'Model Setup'!$C$7,$AD16:$BA16)+'Model Setup'!$C$8*(SUMIF($BH$3:$CE$3,"&lt;"&amp;$DF16,$AD16:$BA16)+SUMIF($BH$3:$CE$3,"&gt;"&amp;$CW$4,$AD16:$BA16)),
IF(BO$3=$DF16+'Model Setup'!$D$7,SUMIF($BH$3:$CE$3,"="&amp;$DF16+'Model Setup'!$D$7,$AD16:$BA16)+'Model Setup'!$D$8*(SUMIF($BH$3:$CE$3,"&lt;"&amp;$DF16,$AD16:$BA16)+SUMIF($BH$3:$CE$3,"&gt;"&amp;$CW$4,$AD16:$BA16)),
IF(BO$3=$DF16+'Model Setup'!$E$7,SUMIF($BH$3:$CE$3,"="&amp;$DF16+'Model Setup'!$E$7,$AD16:$BA16)+'Model Setup'!$E$8*(SUMIF($BH$3:$CE$3,"&lt;"&amp;$DF16,$AD16:$BA16)+SUMIF($BH$3:$CE$3,"&gt;"&amp;$CW$4,$AD16:$BA16)),
IF(BO$3=$DF16+'Model Setup'!$F$7,SUMIF($BH$3:$CE$3,"="&amp;$DF16+'Model Setup'!$F$7,$AD16:$BA16)+'Model Setup'!$F$8*(SUMIF($BH$3:$CE$3,"&lt;"&amp;$DF16,$AD16:$BA16)+SUMIF($BH$3:$CE$3,"&gt;"&amp;$CW$4,$AD16:$BA16)),
IF(BO$3=$DF16+'Model Setup'!$G$7,SUMIF($BH$3:$CE$3,"="&amp;$DF16+'Model Setup'!$G$7,$AD16:$BA16)+'Model Setup'!$G$8*(SUMIF($BH$3:$CE$3,"&lt;"&amp;$DF16,$AD16:$BA16)+SUMIF($BH$3:$CE$3,"&gt;"&amp;$CW$4,$AD16:$BA16)),
IF(BO$3=$DF16+'Model Setup'!$H$7,SUMIF($BH$3:$CE$3,"="&amp;$DF16+'Model Setup'!$H$7,$AD16:$BA16)+'Model Setup'!$H$8*(SUMIF($BH$3:$CE$3,"&lt;"&amp;$DF16,$AD16:$BA16)+SUMIF($BH$3:$CE$3,"&gt;"&amp;$CW$4,$AD16:$BA16)),
IF(BO$3=$DF16+'Model Setup'!$I$7,SUMIF($BH$3:$CE$3,"="&amp;$DF16+'Model Setup'!$I$7,$AD16:$BA16)+'Model Setup'!$I$8*(SUMIF($BH$3:$CE$3,"&lt;"&amp;$DF16,$AD16:$BA16)+SUMIF($BH$3:$CE$3,"&gt;"&amp;$CW$4,$AD16:$BA16)),
IF(BO$3=$DF16+'Model Setup'!$J$7,SUMIF($BH$3:$CE$3,"="&amp;$DF16+'Model Setup'!$J$7,$AD16:$BA16)+'Model Setup'!$J$8*(SUMIF($BH$3:$CE$3,"&lt;"&amp;$DF16,$AD16:$BA16)+SUMIF($BH$3:$CE$3,"&gt;"&amp;$CW$4,$AD16:$BA16)),
IF(BO$3=$DF16+'Model Setup'!$K$7,SUMIF($BH$3:$CE$3,"="&amp;$DF16+'Model Setup'!$K$7,$AD16:$BA16)+'Model Setup'!$K$8*(SUMIF($BH$3:$CE$3,"&lt;"&amp;$DF16,$AD16:$BA16)+SUMIF($BH$3:$CE$3,"&gt;"&amp;$CW$4,$AD16:$BA16)),
IF(BO$3=$DF16+'Model Setup'!$L$7,SUMIF($BH$3:$CE$3,"="&amp;$DF16+'Model Setup'!$L$7,$AD16:$BA16)+'Model Setup'!$L$8*(SUMIF($BH$3:$CE$3,"&lt;"&amp;$DF16,$AD16:$BA16)+SUMIF($BH$3:$CE$3,"&gt;"&amp;$CW$4,$AD16:$BA16)),
IF(BO$3=$DF16+'Model Setup'!$M$7,SUMIF($BH$3:$CE$3,"="&amp;$DF16+'Model Setup'!$M$7,$AD16:$BA16)+'Model Setup'!$M$8*(SUMIF($BH$3:$CE$3,"&lt;"&amp;$DF16,$AD16:$BA16)+SUMIF($BH$3:$CE$3,"&gt;"&amp;$CW$4,$AD16:$BA16)),
IF(BO$3=$DF16+'Model Setup'!$N$7,SUMIF($BH$3:$CE$3,"="&amp;$DF16+'Model Setup'!$N$7,$AD16:$BA16)+'Model Setup'!$N$8*(SUMIF($BH$3:$CE$3,"&lt;"&amp;$DF16,$AD16:$BA16)+SUMIF($BH$3:$CE$3,"&gt;"&amp;$CW$4,$AD16:$BA16)),
IF(BO$3&lt;$CW$4,I16,0))))))))))))))),0)</f>
        <v>14</v>
      </c>
      <c r="BP16" s="47">
        <f>ROUND(IF(OR(BP$3&lt;$DF16,BP$3&gt;$CW$4),0,
IF(BP$3=$DF16+'Model Setup'!$B$7,SUMIF($BH$3:$CE$3,"="&amp;$DF16+'Model Setup'!$B$7,$AD16:$BA16)+'Model Setup'!$B$8*(SUMIF($BH$3:$CE$3,"&lt;"&amp;$DF16,$AD16:$BA16)+SUMIF($BH$3:$CE$3,"&gt;"&amp;$CW$4,$AD16:$BA16)),
IF(BP$3=$DF16+'Model Setup'!$C$7,SUMIF($BH$3:$CE$3,"="&amp;$DF16+'Model Setup'!$C$7,$AD16:$BA16)+'Model Setup'!$C$8*(SUMIF($BH$3:$CE$3,"&lt;"&amp;$DF16,$AD16:$BA16)+SUMIF($BH$3:$CE$3,"&gt;"&amp;$CW$4,$AD16:$BA16)),
IF(BP$3=$DF16+'Model Setup'!$D$7,SUMIF($BH$3:$CE$3,"="&amp;$DF16+'Model Setup'!$D$7,$AD16:$BA16)+'Model Setup'!$D$8*(SUMIF($BH$3:$CE$3,"&lt;"&amp;$DF16,$AD16:$BA16)+SUMIF($BH$3:$CE$3,"&gt;"&amp;$CW$4,$AD16:$BA16)),
IF(BP$3=$DF16+'Model Setup'!$E$7,SUMIF($BH$3:$CE$3,"="&amp;$DF16+'Model Setup'!$E$7,$AD16:$BA16)+'Model Setup'!$E$8*(SUMIF($BH$3:$CE$3,"&lt;"&amp;$DF16,$AD16:$BA16)+SUMIF($BH$3:$CE$3,"&gt;"&amp;$CW$4,$AD16:$BA16)),
IF(BP$3=$DF16+'Model Setup'!$F$7,SUMIF($BH$3:$CE$3,"="&amp;$DF16+'Model Setup'!$F$7,$AD16:$BA16)+'Model Setup'!$F$8*(SUMIF($BH$3:$CE$3,"&lt;"&amp;$DF16,$AD16:$BA16)+SUMIF($BH$3:$CE$3,"&gt;"&amp;$CW$4,$AD16:$BA16)),
IF(BP$3=$DF16+'Model Setup'!$G$7,SUMIF($BH$3:$CE$3,"="&amp;$DF16+'Model Setup'!$G$7,$AD16:$BA16)+'Model Setup'!$G$8*(SUMIF($BH$3:$CE$3,"&lt;"&amp;$DF16,$AD16:$BA16)+SUMIF($BH$3:$CE$3,"&gt;"&amp;$CW$4,$AD16:$BA16)),
IF(BP$3=$DF16+'Model Setup'!$H$7,SUMIF($BH$3:$CE$3,"="&amp;$DF16+'Model Setup'!$H$7,$AD16:$BA16)+'Model Setup'!$H$8*(SUMIF($BH$3:$CE$3,"&lt;"&amp;$DF16,$AD16:$BA16)+SUMIF($BH$3:$CE$3,"&gt;"&amp;$CW$4,$AD16:$BA16)),
IF(BP$3=$DF16+'Model Setup'!$I$7,SUMIF($BH$3:$CE$3,"="&amp;$DF16+'Model Setup'!$I$7,$AD16:$BA16)+'Model Setup'!$I$8*(SUMIF($BH$3:$CE$3,"&lt;"&amp;$DF16,$AD16:$BA16)+SUMIF($BH$3:$CE$3,"&gt;"&amp;$CW$4,$AD16:$BA16)),
IF(BP$3=$DF16+'Model Setup'!$J$7,SUMIF($BH$3:$CE$3,"="&amp;$DF16+'Model Setup'!$J$7,$AD16:$BA16)+'Model Setup'!$J$8*(SUMIF($BH$3:$CE$3,"&lt;"&amp;$DF16,$AD16:$BA16)+SUMIF($BH$3:$CE$3,"&gt;"&amp;$CW$4,$AD16:$BA16)),
IF(BP$3=$DF16+'Model Setup'!$K$7,SUMIF($BH$3:$CE$3,"="&amp;$DF16+'Model Setup'!$K$7,$AD16:$BA16)+'Model Setup'!$K$8*(SUMIF($BH$3:$CE$3,"&lt;"&amp;$DF16,$AD16:$BA16)+SUMIF($BH$3:$CE$3,"&gt;"&amp;$CW$4,$AD16:$BA16)),
IF(BP$3=$DF16+'Model Setup'!$L$7,SUMIF($BH$3:$CE$3,"="&amp;$DF16+'Model Setup'!$L$7,$AD16:$BA16)+'Model Setup'!$L$8*(SUMIF($BH$3:$CE$3,"&lt;"&amp;$DF16,$AD16:$BA16)+SUMIF($BH$3:$CE$3,"&gt;"&amp;$CW$4,$AD16:$BA16)),
IF(BP$3=$DF16+'Model Setup'!$M$7,SUMIF($BH$3:$CE$3,"="&amp;$DF16+'Model Setup'!$M$7,$AD16:$BA16)+'Model Setup'!$M$8*(SUMIF($BH$3:$CE$3,"&lt;"&amp;$DF16,$AD16:$BA16)+SUMIF($BH$3:$CE$3,"&gt;"&amp;$CW$4,$AD16:$BA16)),
IF(BP$3=$DF16+'Model Setup'!$N$7,SUMIF($BH$3:$CE$3,"="&amp;$DF16+'Model Setup'!$N$7,$AD16:$BA16)+'Model Setup'!$N$8*(SUMIF($BH$3:$CE$3,"&lt;"&amp;$DF16,$AD16:$BA16)+SUMIF($BH$3:$CE$3,"&gt;"&amp;$CW$4,$AD16:$BA16)),
IF(BP$3&lt;$CW$4,J16,0))))))))))))))),0)</f>
        <v>9</v>
      </c>
      <c r="BQ16" s="47">
        <f>ROUND(IF(OR(BQ$3&lt;$DF16,BQ$3&gt;$CW$4),0,
IF(BQ$3=$DF16+'Model Setup'!$B$7,SUMIF($BH$3:$CE$3,"="&amp;$DF16+'Model Setup'!$B$7,$AD16:$BA16)+'Model Setup'!$B$8*(SUMIF($BH$3:$CE$3,"&lt;"&amp;$DF16,$AD16:$BA16)+SUMIF($BH$3:$CE$3,"&gt;"&amp;$CW$4,$AD16:$BA16)),
IF(BQ$3=$DF16+'Model Setup'!$C$7,SUMIF($BH$3:$CE$3,"="&amp;$DF16+'Model Setup'!$C$7,$AD16:$BA16)+'Model Setup'!$C$8*(SUMIF($BH$3:$CE$3,"&lt;"&amp;$DF16,$AD16:$BA16)+SUMIF($BH$3:$CE$3,"&gt;"&amp;$CW$4,$AD16:$BA16)),
IF(BQ$3=$DF16+'Model Setup'!$D$7,SUMIF($BH$3:$CE$3,"="&amp;$DF16+'Model Setup'!$D$7,$AD16:$BA16)+'Model Setup'!$D$8*(SUMIF($BH$3:$CE$3,"&lt;"&amp;$DF16,$AD16:$BA16)+SUMIF($BH$3:$CE$3,"&gt;"&amp;$CW$4,$AD16:$BA16)),
IF(BQ$3=$DF16+'Model Setup'!$E$7,SUMIF($BH$3:$CE$3,"="&amp;$DF16+'Model Setup'!$E$7,$AD16:$BA16)+'Model Setup'!$E$8*(SUMIF($BH$3:$CE$3,"&lt;"&amp;$DF16,$AD16:$BA16)+SUMIF($BH$3:$CE$3,"&gt;"&amp;$CW$4,$AD16:$BA16)),
IF(BQ$3=$DF16+'Model Setup'!$F$7,SUMIF($BH$3:$CE$3,"="&amp;$DF16+'Model Setup'!$F$7,$AD16:$BA16)+'Model Setup'!$F$8*(SUMIF($BH$3:$CE$3,"&lt;"&amp;$DF16,$AD16:$BA16)+SUMIF($BH$3:$CE$3,"&gt;"&amp;$CW$4,$AD16:$BA16)),
IF(BQ$3=$DF16+'Model Setup'!$G$7,SUMIF($BH$3:$CE$3,"="&amp;$DF16+'Model Setup'!$G$7,$AD16:$BA16)+'Model Setup'!$G$8*(SUMIF($BH$3:$CE$3,"&lt;"&amp;$DF16,$AD16:$BA16)+SUMIF($BH$3:$CE$3,"&gt;"&amp;$CW$4,$AD16:$BA16)),
IF(BQ$3=$DF16+'Model Setup'!$H$7,SUMIF($BH$3:$CE$3,"="&amp;$DF16+'Model Setup'!$H$7,$AD16:$BA16)+'Model Setup'!$H$8*(SUMIF($BH$3:$CE$3,"&lt;"&amp;$DF16,$AD16:$BA16)+SUMIF($BH$3:$CE$3,"&gt;"&amp;$CW$4,$AD16:$BA16)),
IF(BQ$3=$DF16+'Model Setup'!$I$7,SUMIF($BH$3:$CE$3,"="&amp;$DF16+'Model Setup'!$I$7,$AD16:$BA16)+'Model Setup'!$I$8*(SUMIF($BH$3:$CE$3,"&lt;"&amp;$DF16,$AD16:$BA16)+SUMIF($BH$3:$CE$3,"&gt;"&amp;$CW$4,$AD16:$BA16)),
IF(BQ$3=$DF16+'Model Setup'!$J$7,SUMIF($BH$3:$CE$3,"="&amp;$DF16+'Model Setup'!$J$7,$AD16:$BA16)+'Model Setup'!$J$8*(SUMIF($BH$3:$CE$3,"&lt;"&amp;$DF16,$AD16:$BA16)+SUMIF($BH$3:$CE$3,"&gt;"&amp;$CW$4,$AD16:$BA16)),
IF(BQ$3=$DF16+'Model Setup'!$K$7,SUMIF($BH$3:$CE$3,"="&amp;$DF16+'Model Setup'!$K$7,$AD16:$BA16)+'Model Setup'!$K$8*(SUMIF($BH$3:$CE$3,"&lt;"&amp;$DF16,$AD16:$BA16)+SUMIF($BH$3:$CE$3,"&gt;"&amp;$CW$4,$AD16:$BA16)),
IF(BQ$3=$DF16+'Model Setup'!$L$7,SUMIF($BH$3:$CE$3,"="&amp;$DF16+'Model Setup'!$L$7,$AD16:$BA16)+'Model Setup'!$L$8*(SUMIF($BH$3:$CE$3,"&lt;"&amp;$DF16,$AD16:$BA16)+SUMIF($BH$3:$CE$3,"&gt;"&amp;$CW$4,$AD16:$BA16)),
IF(BQ$3=$DF16+'Model Setup'!$M$7,SUMIF($BH$3:$CE$3,"="&amp;$DF16+'Model Setup'!$M$7,$AD16:$BA16)+'Model Setup'!$M$8*(SUMIF($BH$3:$CE$3,"&lt;"&amp;$DF16,$AD16:$BA16)+SUMIF($BH$3:$CE$3,"&gt;"&amp;$CW$4,$AD16:$BA16)),
IF(BQ$3=$DF16+'Model Setup'!$N$7,SUMIF($BH$3:$CE$3,"="&amp;$DF16+'Model Setup'!$N$7,$AD16:$BA16)+'Model Setup'!$N$8*(SUMIF($BH$3:$CE$3,"&lt;"&amp;$DF16,$AD16:$BA16)+SUMIF($BH$3:$CE$3,"&gt;"&amp;$CW$4,$AD16:$BA16)),
IF(BQ$3&lt;$CW$4,K16,0))))))))))))))),0)</f>
        <v>12</v>
      </c>
      <c r="BR16" s="47">
        <f>ROUND(IF(OR(BR$3&lt;$DF16,BR$3&gt;$CW$4),0,
IF(BR$3=$DF16+'Model Setup'!$B$7,SUMIF($BH$3:$CE$3,"="&amp;$DF16+'Model Setup'!$B$7,$AD16:$BA16)+'Model Setup'!$B$8*(SUMIF($BH$3:$CE$3,"&lt;"&amp;$DF16,$AD16:$BA16)+SUMIF($BH$3:$CE$3,"&gt;"&amp;$CW$4,$AD16:$BA16)),
IF(BR$3=$DF16+'Model Setup'!$C$7,SUMIF($BH$3:$CE$3,"="&amp;$DF16+'Model Setup'!$C$7,$AD16:$BA16)+'Model Setup'!$C$8*(SUMIF($BH$3:$CE$3,"&lt;"&amp;$DF16,$AD16:$BA16)+SUMIF($BH$3:$CE$3,"&gt;"&amp;$CW$4,$AD16:$BA16)),
IF(BR$3=$DF16+'Model Setup'!$D$7,SUMIF($BH$3:$CE$3,"="&amp;$DF16+'Model Setup'!$D$7,$AD16:$BA16)+'Model Setup'!$D$8*(SUMIF($BH$3:$CE$3,"&lt;"&amp;$DF16,$AD16:$BA16)+SUMIF($BH$3:$CE$3,"&gt;"&amp;$CW$4,$AD16:$BA16)),
IF(BR$3=$DF16+'Model Setup'!$E$7,SUMIF($BH$3:$CE$3,"="&amp;$DF16+'Model Setup'!$E$7,$AD16:$BA16)+'Model Setup'!$E$8*(SUMIF($BH$3:$CE$3,"&lt;"&amp;$DF16,$AD16:$BA16)+SUMIF($BH$3:$CE$3,"&gt;"&amp;$CW$4,$AD16:$BA16)),
IF(BR$3=$DF16+'Model Setup'!$F$7,SUMIF($BH$3:$CE$3,"="&amp;$DF16+'Model Setup'!$F$7,$AD16:$BA16)+'Model Setup'!$F$8*(SUMIF($BH$3:$CE$3,"&lt;"&amp;$DF16,$AD16:$BA16)+SUMIF($BH$3:$CE$3,"&gt;"&amp;$CW$4,$AD16:$BA16)),
IF(BR$3=$DF16+'Model Setup'!$G$7,SUMIF($BH$3:$CE$3,"="&amp;$DF16+'Model Setup'!$G$7,$AD16:$BA16)+'Model Setup'!$G$8*(SUMIF($BH$3:$CE$3,"&lt;"&amp;$DF16,$AD16:$BA16)+SUMIF($BH$3:$CE$3,"&gt;"&amp;$CW$4,$AD16:$BA16)),
IF(BR$3=$DF16+'Model Setup'!$H$7,SUMIF($BH$3:$CE$3,"="&amp;$DF16+'Model Setup'!$H$7,$AD16:$BA16)+'Model Setup'!$H$8*(SUMIF($BH$3:$CE$3,"&lt;"&amp;$DF16,$AD16:$BA16)+SUMIF($BH$3:$CE$3,"&gt;"&amp;$CW$4,$AD16:$BA16)),
IF(BR$3=$DF16+'Model Setup'!$I$7,SUMIF($BH$3:$CE$3,"="&amp;$DF16+'Model Setup'!$I$7,$AD16:$BA16)+'Model Setup'!$I$8*(SUMIF($BH$3:$CE$3,"&lt;"&amp;$DF16,$AD16:$BA16)+SUMIF($BH$3:$CE$3,"&gt;"&amp;$CW$4,$AD16:$BA16)),
IF(BR$3=$DF16+'Model Setup'!$J$7,SUMIF($BH$3:$CE$3,"="&amp;$DF16+'Model Setup'!$J$7,$AD16:$BA16)+'Model Setup'!$J$8*(SUMIF($BH$3:$CE$3,"&lt;"&amp;$DF16,$AD16:$BA16)+SUMIF($BH$3:$CE$3,"&gt;"&amp;$CW$4,$AD16:$BA16)),
IF(BR$3=$DF16+'Model Setup'!$K$7,SUMIF($BH$3:$CE$3,"="&amp;$DF16+'Model Setup'!$K$7,$AD16:$BA16)+'Model Setup'!$K$8*(SUMIF($BH$3:$CE$3,"&lt;"&amp;$DF16,$AD16:$BA16)+SUMIF($BH$3:$CE$3,"&gt;"&amp;$CW$4,$AD16:$BA16)),
IF(BR$3=$DF16+'Model Setup'!$L$7,SUMIF($BH$3:$CE$3,"="&amp;$DF16+'Model Setup'!$L$7,$AD16:$BA16)+'Model Setup'!$L$8*(SUMIF($BH$3:$CE$3,"&lt;"&amp;$DF16,$AD16:$BA16)+SUMIF($BH$3:$CE$3,"&gt;"&amp;$CW$4,$AD16:$BA16)),
IF(BR$3=$DF16+'Model Setup'!$M$7,SUMIF($BH$3:$CE$3,"="&amp;$DF16+'Model Setup'!$M$7,$AD16:$BA16)+'Model Setup'!$M$8*(SUMIF($BH$3:$CE$3,"&lt;"&amp;$DF16,$AD16:$BA16)+SUMIF($BH$3:$CE$3,"&gt;"&amp;$CW$4,$AD16:$BA16)),
IF(BR$3=$DF16+'Model Setup'!$N$7,SUMIF($BH$3:$CE$3,"="&amp;$DF16+'Model Setup'!$N$7,$AD16:$BA16)+'Model Setup'!$N$8*(SUMIF($BH$3:$CE$3,"&lt;"&amp;$DF16,$AD16:$BA16)+SUMIF($BH$3:$CE$3,"&gt;"&amp;$CW$4,$AD16:$BA16)),
IF(BR$3&lt;$CW$4,L16,0))))))))))))))),0)</f>
        <v>14</v>
      </c>
      <c r="BS16" s="47">
        <f>ROUND(IF(OR(BS$3&lt;$DF16,BS$3&gt;$CW$4),0,
IF(BS$3=$DF16+'Model Setup'!$B$7,SUMIF($BH$3:$CE$3,"="&amp;$DF16+'Model Setup'!$B$7,$AD16:$BA16)+'Model Setup'!$B$8*(SUMIF($BH$3:$CE$3,"&lt;"&amp;$DF16,$AD16:$BA16)+SUMIF($BH$3:$CE$3,"&gt;"&amp;$CW$4,$AD16:$BA16)),
IF(BS$3=$DF16+'Model Setup'!$C$7,SUMIF($BH$3:$CE$3,"="&amp;$DF16+'Model Setup'!$C$7,$AD16:$BA16)+'Model Setup'!$C$8*(SUMIF($BH$3:$CE$3,"&lt;"&amp;$DF16,$AD16:$BA16)+SUMIF($BH$3:$CE$3,"&gt;"&amp;$CW$4,$AD16:$BA16)),
IF(BS$3=$DF16+'Model Setup'!$D$7,SUMIF($BH$3:$CE$3,"="&amp;$DF16+'Model Setup'!$D$7,$AD16:$BA16)+'Model Setup'!$D$8*(SUMIF($BH$3:$CE$3,"&lt;"&amp;$DF16,$AD16:$BA16)+SUMIF($BH$3:$CE$3,"&gt;"&amp;$CW$4,$AD16:$BA16)),
IF(BS$3=$DF16+'Model Setup'!$E$7,SUMIF($BH$3:$CE$3,"="&amp;$DF16+'Model Setup'!$E$7,$AD16:$BA16)+'Model Setup'!$E$8*(SUMIF($BH$3:$CE$3,"&lt;"&amp;$DF16,$AD16:$BA16)+SUMIF($BH$3:$CE$3,"&gt;"&amp;$CW$4,$AD16:$BA16)),
IF(BS$3=$DF16+'Model Setup'!$F$7,SUMIF($BH$3:$CE$3,"="&amp;$DF16+'Model Setup'!$F$7,$AD16:$BA16)+'Model Setup'!$F$8*(SUMIF($BH$3:$CE$3,"&lt;"&amp;$DF16,$AD16:$BA16)+SUMIF($BH$3:$CE$3,"&gt;"&amp;$CW$4,$AD16:$BA16)),
IF(BS$3=$DF16+'Model Setup'!$G$7,SUMIF($BH$3:$CE$3,"="&amp;$DF16+'Model Setup'!$G$7,$AD16:$BA16)+'Model Setup'!$G$8*(SUMIF($BH$3:$CE$3,"&lt;"&amp;$DF16,$AD16:$BA16)+SUMIF($BH$3:$CE$3,"&gt;"&amp;$CW$4,$AD16:$BA16)),
IF(BS$3=$DF16+'Model Setup'!$H$7,SUMIF($BH$3:$CE$3,"="&amp;$DF16+'Model Setup'!$H$7,$AD16:$BA16)+'Model Setup'!$H$8*(SUMIF($BH$3:$CE$3,"&lt;"&amp;$DF16,$AD16:$BA16)+SUMIF($BH$3:$CE$3,"&gt;"&amp;$CW$4,$AD16:$BA16)),
IF(BS$3=$DF16+'Model Setup'!$I$7,SUMIF($BH$3:$CE$3,"="&amp;$DF16+'Model Setup'!$I$7,$AD16:$BA16)+'Model Setup'!$I$8*(SUMIF($BH$3:$CE$3,"&lt;"&amp;$DF16,$AD16:$BA16)+SUMIF($BH$3:$CE$3,"&gt;"&amp;$CW$4,$AD16:$BA16)),
IF(BS$3=$DF16+'Model Setup'!$J$7,SUMIF($BH$3:$CE$3,"="&amp;$DF16+'Model Setup'!$J$7,$AD16:$BA16)+'Model Setup'!$J$8*(SUMIF($BH$3:$CE$3,"&lt;"&amp;$DF16,$AD16:$BA16)+SUMIF($BH$3:$CE$3,"&gt;"&amp;$CW$4,$AD16:$BA16)),
IF(BS$3=$DF16+'Model Setup'!$K$7,SUMIF($BH$3:$CE$3,"="&amp;$DF16+'Model Setup'!$K$7,$AD16:$BA16)+'Model Setup'!$K$8*(SUMIF($BH$3:$CE$3,"&lt;"&amp;$DF16,$AD16:$BA16)+SUMIF($BH$3:$CE$3,"&gt;"&amp;$CW$4,$AD16:$BA16)),
IF(BS$3=$DF16+'Model Setup'!$L$7,SUMIF($BH$3:$CE$3,"="&amp;$DF16+'Model Setup'!$L$7,$AD16:$BA16)+'Model Setup'!$L$8*(SUMIF($BH$3:$CE$3,"&lt;"&amp;$DF16,$AD16:$BA16)+SUMIF($BH$3:$CE$3,"&gt;"&amp;$CW$4,$AD16:$BA16)),
IF(BS$3=$DF16+'Model Setup'!$M$7,SUMIF($BH$3:$CE$3,"="&amp;$DF16+'Model Setup'!$M$7,$AD16:$BA16)+'Model Setup'!$M$8*(SUMIF($BH$3:$CE$3,"&lt;"&amp;$DF16,$AD16:$BA16)+SUMIF($BH$3:$CE$3,"&gt;"&amp;$CW$4,$AD16:$BA16)),
IF(BS$3=$DF16+'Model Setup'!$N$7,SUMIF($BH$3:$CE$3,"="&amp;$DF16+'Model Setup'!$N$7,$AD16:$BA16)+'Model Setup'!$N$8*(SUMIF($BH$3:$CE$3,"&lt;"&amp;$DF16,$AD16:$BA16)+SUMIF($BH$3:$CE$3,"&gt;"&amp;$CW$4,$AD16:$BA16)),
IF(BS$3&lt;$CW$4,M16,0))))))))))))))),0)</f>
        <v>12</v>
      </c>
      <c r="BT16" s="47">
        <f>ROUND(IF(OR(BT$3&lt;$DF16,BT$3&gt;$CW$4),0,
IF(BT$3=$DF16+'Model Setup'!$B$7,SUMIF($BH$3:$CE$3,"="&amp;$DF16+'Model Setup'!$B$7,$AD16:$BA16)+'Model Setup'!$B$8*(SUMIF($BH$3:$CE$3,"&lt;"&amp;$DF16,$AD16:$BA16)+SUMIF($BH$3:$CE$3,"&gt;"&amp;$CW$4,$AD16:$BA16)),
IF(BT$3=$DF16+'Model Setup'!$C$7,SUMIF($BH$3:$CE$3,"="&amp;$DF16+'Model Setup'!$C$7,$AD16:$BA16)+'Model Setup'!$C$8*(SUMIF($BH$3:$CE$3,"&lt;"&amp;$DF16,$AD16:$BA16)+SUMIF($BH$3:$CE$3,"&gt;"&amp;$CW$4,$AD16:$BA16)),
IF(BT$3=$DF16+'Model Setup'!$D$7,SUMIF($BH$3:$CE$3,"="&amp;$DF16+'Model Setup'!$D$7,$AD16:$BA16)+'Model Setup'!$D$8*(SUMIF($BH$3:$CE$3,"&lt;"&amp;$DF16,$AD16:$BA16)+SUMIF($BH$3:$CE$3,"&gt;"&amp;$CW$4,$AD16:$BA16)),
IF(BT$3=$DF16+'Model Setup'!$E$7,SUMIF($BH$3:$CE$3,"="&amp;$DF16+'Model Setup'!$E$7,$AD16:$BA16)+'Model Setup'!$E$8*(SUMIF($BH$3:$CE$3,"&lt;"&amp;$DF16,$AD16:$BA16)+SUMIF($BH$3:$CE$3,"&gt;"&amp;$CW$4,$AD16:$BA16)),
IF(BT$3=$DF16+'Model Setup'!$F$7,SUMIF($BH$3:$CE$3,"="&amp;$DF16+'Model Setup'!$F$7,$AD16:$BA16)+'Model Setup'!$F$8*(SUMIF($BH$3:$CE$3,"&lt;"&amp;$DF16,$AD16:$BA16)+SUMIF($BH$3:$CE$3,"&gt;"&amp;$CW$4,$AD16:$BA16)),
IF(BT$3=$DF16+'Model Setup'!$G$7,SUMIF($BH$3:$CE$3,"="&amp;$DF16+'Model Setup'!$G$7,$AD16:$BA16)+'Model Setup'!$G$8*(SUMIF($BH$3:$CE$3,"&lt;"&amp;$DF16,$AD16:$BA16)+SUMIF($BH$3:$CE$3,"&gt;"&amp;$CW$4,$AD16:$BA16)),
IF(BT$3=$DF16+'Model Setup'!$H$7,SUMIF($BH$3:$CE$3,"="&amp;$DF16+'Model Setup'!$H$7,$AD16:$BA16)+'Model Setup'!$H$8*(SUMIF($BH$3:$CE$3,"&lt;"&amp;$DF16,$AD16:$BA16)+SUMIF($BH$3:$CE$3,"&gt;"&amp;$CW$4,$AD16:$BA16)),
IF(BT$3=$DF16+'Model Setup'!$I$7,SUMIF($BH$3:$CE$3,"="&amp;$DF16+'Model Setup'!$I$7,$AD16:$BA16)+'Model Setup'!$I$8*(SUMIF($BH$3:$CE$3,"&lt;"&amp;$DF16,$AD16:$BA16)+SUMIF($BH$3:$CE$3,"&gt;"&amp;$CW$4,$AD16:$BA16)),
IF(BT$3=$DF16+'Model Setup'!$J$7,SUMIF($BH$3:$CE$3,"="&amp;$DF16+'Model Setup'!$J$7,$AD16:$BA16)+'Model Setup'!$J$8*(SUMIF($BH$3:$CE$3,"&lt;"&amp;$DF16,$AD16:$BA16)+SUMIF($BH$3:$CE$3,"&gt;"&amp;$CW$4,$AD16:$BA16)),
IF(BT$3=$DF16+'Model Setup'!$K$7,SUMIF($BH$3:$CE$3,"="&amp;$DF16+'Model Setup'!$K$7,$AD16:$BA16)+'Model Setup'!$K$8*(SUMIF($BH$3:$CE$3,"&lt;"&amp;$DF16,$AD16:$BA16)+SUMIF($BH$3:$CE$3,"&gt;"&amp;$CW$4,$AD16:$BA16)),
IF(BT$3=$DF16+'Model Setup'!$L$7,SUMIF($BH$3:$CE$3,"="&amp;$DF16+'Model Setup'!$L$7,$AD16:$BA16)+'Model Setup'!$L$8*(SUMIF($BH$3:$CE$3,"&lt;"&amp;$DF16,$AD16:$BA16)+SUMIF($BH$3:$CE$3,"&gt;"&amp;$CW$4,$AD16:$BA16)),
IF(BT$3=$DF16+'Model Setup'!$M$7,SUMIF($BH$3:$CE$3,"="&amp;$DF16+'Model Setup'!$M$7,$AD16:$BA16)+'Model Setup'!$M$8*(SUMIF($BH$3:$CE$3,"&lt;"&amp;$DF16,$AD16:$BA16)+SUMIF($BH$3:$CE$3,"&gt;"&amp;$CW$4,$AD16:$BA16)),
IF(BT$3=$DF16+'Model Setup'!$N$7,SUMIF($BH$3:$CE$3,"="&amp;$DF16+'Model Setup'!$N$7,$AD16:$BA16)+'Model Setup'!$N$8*(SUMIF($BH$3:$CE$3,"&lt;"&amp;$DF16,$AD16:$BA16)+SUMIF($BH$3:$CE$3,"&gt;"&amp;$CW$4,$AD16:$BA16)),
IF(BT$3&lt;$CW$4,N16,0))))))))))))))),0)</f>
        <v>12</v>
      </c>
      <c r="BU16" s="47">
        <f>ROUND(IF(OR(BU$3&lt;$DF16,BU$3&gt;$CW$4),0,
IF(BU$3=$DF16+'Model Setup'!$B$7,SUMIF($BH$3:$CE$3,"="&amp;$DF16+'Model Setup'!$B$7,$AD16:$BA16)+'Model Setup'!$B$8*(SUMIF($BH$3:$CE$3,"&lt;"&amp;$DF16,$AD16:$BA16)+SUMIF($BH$3:$CE$3,"&gt;"&amp;$CW$4,$AD16:$BA16)),
IF(BU$3=$DF16+'Model Setup'!$C$7,SUMIF($BH$3:$CE$3,"="&amp;$DF16+'Model Setup'!$C$7,$AD16:$BA16)+'Model Setup'!$C$8*(SUMIF($BH$3:$CE$3,"&lt;"&amp;$DF16,$AD16:$BA16)+SUMIF($BH$3:$CE$3,"&gt;"&amp;$CW$4,$AD16:$BA16)),
IF(BU$3=$DF16+'Model Setup'!$D$7,SUMIF($BH$3:$CE$3,"="&amp;$DF16+'Model Setup'!$D$7,$AD16:$BA16)+'Model Setup'!$D$8*(SUMIF($BH$3:$CE$3,"&lt;"&amp;$DF16,$AD16:$BA16)+SUMIF($BH$3:$CE$3,"&gt;"&amp;$CW$4,$AD16:$BA16)),
IF(BU$3=$DF16+'Model Setup'!$E$7,SUMIF($BH$3:$CE$3,"="&amp;$DF16+'Model Setup'!$E$7,$AD16:$BA16)+'Model Setup'!$E$8*(SUMIF($BH$3:$CE$3,"&lt;"&amp;$DF16,$AD16:$BA16)+SUMIF($BH$3:$CE$3,"&gt;"&amp;$CW$4,$AD16:$BA16)),
IF(BU$3=$DF16+'Model Setup'!$F$7,SUMIF($BH$3:$CE$3,"="&amp;$DF16+'Model Setup'!$F$7,$AD16:$BA16)+'Model Setup'!$F$8*(SUMIF($BH$3:$CE$3,"&lt;"&amp;$DF16,$AD16:$BA16)+SUMIF($BH$3:$CE$3,"&gt;"&amp;$CW$4,$AD16:$BA16)),
IF(BU$3=$DF16+'Model Setup'!$G$7,SUMIF($BH$3:$CE$3,"="&amp;$DF16+'Model Setup'!$G$7,$AD16:$BA16)+'Model Setup'!$G$8*(SUMIF($BH$3:$CE$3,"&lt;"&amp;$DF16,$AD16:$BA16)+SUMIF($BH$3:$CE$3,"&gt;"&amp;$CW$4,$AD16:$BA16)),
IF(BU$3=$DF16+'Model Setup'!$H$7,SUMIF($BH$3:$CE$3,"="&amp;$DF16+'Model Setup'!$H$7,$AD16:$BA16)+'Model Setup'!$H$8*(SUMIF($BH$3:$CE$3,"&lt;"&amp;$DF16,$AD16:$BA16)+SUMIF($BH$3:$CE$3,"&gt;"&amp;$CW$4,$AD16:$BA16)),
IF(BU$3=$DF16+'Model Setup'!$I$7,SUMIF($BH$3:$CE$3,"="&amp;$DF16+'Model Setup'!$I$7,$AD16:$BA16)+'Model Setup'!$I$8*(SUMIF($BH$3:$CE$3,"&lt;"&amp;$DF16,$AD16:$BA16)+SUMIF($BH$3:$CE$3,"&gt;"&amp;$CW$4,$AD16:$BA16)),
IF(BU$3=$DF16+'Model Setup'!$J$7,SUMIF($BH$3:$CE$3,"="&amp;$DF16+'Model Setup'!$J$7,$AD16:$BA16)+'Model Setup'!$J$8*(SUMIF($BH$3:$CE$3,"&lt;"&amp;$DF16,$AD16:$BA16)+SUMIF($BH$3:$CE$3,"&gt;"&amp;$CW$4,$AD16:$BA16)),
IF(BU$3=$DF16+'Model Setup'!$K$7,SUMIF($BH$3:$CE$3,"="&amp;$DF16+'Model Setup'!$K$7,$AD16:$BA16)+'Model Setup'!$K$8*(SUMIF($BH$3:$CE$3,"&lt;"&amp;$DF16,$AD16:$BA16)+SUMIF($BH$3:$CE$3,"&gt;"&amp;$CW$4,$AD16:$BA16)),
IF(BU$3=$DF16+'Model Setup'!$L$7,SUMIF($BH$3:$CE$3,"="&amp;$DF16+'Model Setup'!$L$7,$AD16:$BA16)+'Model Setup'!$L$8*(SUMIF($BH$3:$CE$3,"&lt;"&amp;$DF16,$AD16:$BA16)+SUMIF($BH$3:$CE$3,"&gt;"&amp;$CW$4,$AD16:$BA16)),
IF(BU$3=$DF16+'Model Setup'!$M$7,SUMIF($BH$3:$CE$3,"="&amp;$DF16+'Model Setup'!$M$7,$AD16:$BA16)+'Model Setup'!$M$8*(SUMIF($BH$3:$CE$3,"&lt;"&amp;$DF16,$AD16:$BA16)+SUMIF($BH$3:$CE$3,"&gt;"&amp;$CW$4,$AD16:$BA16)),
IF(BU$3=$DF16+'Model Setup'!$N$7,SUMIF($BH$3:$CE$3,"="&amp;$DF16+'Model Setup'!$N$7,$AD16:$BA16)+'Model Setup'!$N$8*(SUMIF($BH$3:$CE$3,"&lt;"&amp;$DF16,$AD16:$BA16)+SUMIF($BH$3:$CE$3,"&gt;"&amp;$CW$4,$AD16:$BA16)),
IF(BU$3&lt;$CW$4,O16,0))))))))))))))),0)</f>
        <v>8</v>
      </c>
      <c r="BV16" s="47">
        <f>ROUND(IF(OR(BV$3&lt;$DF16,BV$3&gt;$CW$4),0,
IF(BV$3=$DF16+'Model Setup'!$B$7,SUMIF($BH$3:$CE$3,"="&amp;$DF16+'Model Setup'!$B$7,$AD16:$BA16)+'Model Setup'!$B$8*(SUMIF($BH$3:$CE$3,"&lt;"&amp;$DF16,$AD16:$BA16)+SUMIF($BH$3:$CE$3,"&gt;"&amp;$CW$4,$AD16:$BA16)),
IF(BV$3=$DF16+'Model Setup'!$C$7,SUMIF($BH$3:$CE$3,"="&amp;$DF16+'Model Setup'!$C$7,$AD16:$BA16)+'Model Setup'!$C$8*(SUMIF($BH$3:$CE$3,"&lt;"&amp;$DF16,$AD16:$BA16)+SUMIF($BH$3:$CE$3,"&gt;"&amp;$CW$4,$AD16:$BA16)),
IF(BV$3=$DF16+'Model Setup'!$D$7,SUMIF($BH$3:$CE$3,"="&amp;$DF16+'Model Setup'!$D$7,$AD16:$BA16)+'Model Setup'!$D$8*(SUMIF($BH$3:$CE$3,"&lt;"&amp;$DF16,$AD16:$BA16)+SUMIF($BH$3:$CE$3,"&gt;"&amp;$CW$4,$AD16:$BA16)),
IF(BV$3=$DF16+'Model Setup'!$E$7,SUMIF($BH$3:$CE$3,"="&amp;$DF16+'Model Setup'!$E$7,$AD16:$BA16)+'Model Setup'!$E$8*(SUMIF($BH$3:$CE$3,"&lt;"&amp;$DF16,$AD16:$BA16)+SUMIF($BH$3:$CE$3,"&gt;"&amp;$CW$4,$AD16:$BA16)),
IF(BV$3=$DF16+'Model Setup'!$F$7,SUMIF($BH$3:$CE$3,"="&amp;$DF16+'Model Setup'!$F$7,$AD16:$BA16)+'Model Setup'!$F$8*(SUMIF($BH$3:$CE$3,"&lt;"&amp;$DF16,$AD16:$BA16)+SUMIF($BH$3:$CE$3,"&gt;"&amp;$CW$4,$AD16:$BA16)),
IF(BV$3=$DF16+'Model Setup'!$G$7,SUMIF($BH$3:$CE$3,"="&amp;$DF16+'Model Setup'!$G$7,$AD16:$BA16)+'Model Setup'!$G$8*(SUMIF($BH$3:$CE$3,"&lt;"&amp;$DF16,$AD16:$BA16)+SUMIF($BH$3:$CE$3,"&gt;"&amp;$CW$4,$AD16:$BA16)),
IF(BV$3=$DF16+'Model Setup'!$H$7,SUMIF($BH$3:$CE$3,"="&amp;$DF16+'Model Setup'!$H$7,$AD16:$BA16)+'Model Setup'!$H$8*(SUMIF($BH$3:$CE$3,"&lt;"&amp;$DF16,$AD16:$BA16)+SUMIF($BH$3:$CE$3,"&gt;"&amp;$CW$4,$AD16:$BA16)),
IF(BV$3=$DF16+'Model Setup'!$I$7,SUMIF($BH$3:$CE$3,"="&amp;$DF16+'Model Setup'!$I$7,$AD16:$BA16)+'Model Setup'!$I$8*(SUMIF($BH$3:$CE$3,"&lt;"&amp;$DF16,$AD16:$BA16)+SUMIF($BH$3:$CE$3,"&gt;"&amp;$CW$4,$AD16:$BA16)),
IF(BV$3=$DF16+'Model Setup'!$J$7,SUMIF($BH$3:$CE$3,"="&amp;$DF16+'Model Setup'!$J$7,$AD16:$BA16)+'Model Setup'!$J$8*(SUMIF($BH$3:$CE$3,"&lt;"&amp;$DF16,$AD16:$BA16)+SUMIF($BH$3:$CE$3,"&gt;"&amp;$CW$4,$AD16:$BA16)),
IF(BV$3=$DF16+'Model Setup'!$K$7,SUMIF($BH$3:$CE$3,"="&amp;$DF16+'Model Setup'!$K$7,$AD16:$BA16)+'Model Setup'!$K$8*(SUMIF($BH$3:$CE$3,"&lt;"&amp;$DF16,$AD16:$BA16)+SUMIF($BH$3:$CE$3,"&gt;"&amp;$CW$4,$AD16:$BA16)),
IF(BV$3=$DF16+'Model Setup'!$L$7,SUMIF($BH$3:$CE$3,"="&amp;$DF16+'Model Setup'!$L$7,$AD16:$BA16)+'Model Setup'!$L$8*(SUMIF($BH$3:$CE$3,"&lt;"&amp;$DF16,$AD16:$BA16)+SUMIF($BH$3:$CE$3,"&gt;"&amp;$CW$4,$AD16:$BA16)),
IF(BV$3=$DF16+'Model Setup'!$M$7,SUMIF($BH$3:$CE$3,"="&amp;$DF16+'Model Setup'!$M$7,$AD16:$BA16)+'Model Setup'!$M$8*(SUMIF($BH$3:$CE$3,"&lt;"&amp;$DF16,$AD16:$BA16)+SUMIF($BH$3:$CE$3,"&gt;"&amp;$CW$4,$AD16:$BA16)),
IF(BV$3=$DF16+'Model Setup'!$N$7,SUMIF($BH$3:$CE$3,"="&amp;$DF16+'Model Setup'!$N$7,$AD16:$BA16)+'Model Setup'!$N$8*(SUMIF($BH$3:$CE$3,"&lt;"&amp;$DF16,$AD16:$BA16)+SUMIF($BH$3:$CE$3,"&gt;"&amp;$CW$4,$AD16:$BA16)),
IF(BV$3&lt;$CW$4,P16,0))))))))))))))),0)</f>
        <v>8</v>
      </c>
      <c r="BW16" s="47">
        <f>ROUND(IF(OR(BW$3&lt;$DF16,BW$3&gt;$CW$4),0,
IF(BW$3=$DF16+'Model Setup'!$B$7,SUMIF($BH$3:$CE$3,"="&amp;$DF16+'Model Setup'!$B$7,$AD16:$BA16)+'Model Setup'!$B$8*(SUMIF($BH$3:$CE$3,"&lt;"&amp;$DF16,$AD16:$BA16)+SUMIF($BH$3:$CE$3,"&gt;"&amp;$CW$4,$AD16:$BA16)),
IF(BW$3=$DF16+'Model Setup'!$C$7,SUMIF($BH$3:$CE$3,"="&amp;$DF16+'Model Setup'!$C$7,$AD16:$BA16)+'Model Setup'!$C$8*(SUMIF($BH$3:$CE$3,"&lt;"&amp;$DF16,$AD16:$BA16)+SUMIF($BH$3:$CE$3,"&gt;"&amp;$CW$4,$AD16:$BA16)),
IF(BW$3=$DF16+'Model Setup'!$D$7,SUMIF($BH$3:$CE$3,"="&amp;$DF16+'Model Setup'!$D$7,$AD16:$BA16)+'Model Setup'!$D$8*(SUMIF($BH$3:$CE$3,"&lt;"&amp;$DF16,$AD16:$BA16)+SUMIF($BH$3:$CE$3,"&gt;"&amp;$CW$4,$AD16:$BA16)),
IF(BW$3=$DF16+'Model Setup'!$E$7,SUMIF($BH$3:$CE$3,"="&amp;$DF16+'Model Setup'!$E$7,$AD16:$BA16)+'Model Setup'!$E$8*(SUMIF($BH$3:$CE$3,"&lt;"&amp;$DF16,$AD16:$BA16)+SUMIF($BH$3:$CE$3,"&gt;"&amp;$CW$4,$AD16:$BA16)),
IF(BW$3=$DF16+'Model Setup'!$F$7,SUMIF($BH$3:$CE$3,"="&amp;$DF16+'Model Setup'!$F$7,$AD16:$BA16)+'Model Setup'!$F$8*(SUMIF($BH$3:$CE$3,"&lt;"&amp;$DF16,$AD16:$BA16)+SUMIF($BH$3:$CE$3,"&gt;"&amp;$CW$4,$AD16:$BA16)),
IF(BW$3=$DF16+'Model Setup'!$G$7,SUMIF($BH$3:$CE$3,"="&amp;$DF16+'Model Setup'!$G$7,$AD16:$BA16)+'Model Setup'!$G$8*(SUMIF($BH$3:$CE$3,"&lt;"&amp;$DF16,$AD16:$BA16)+SUMIF($BH$3:$CE$3,"&gt;"&amp;$CW$4,$AD16:$BA16)),
IF(BW$3=$DF16+'Model Setup'!$H$7,SUMIF($BH$3:$CE$3,"="&amp;$DF16+'Model Setup'!$H$7,$AD16:$BA16)+'Model Setup'!$H$8*(SUMIF($BH$3:$CE$3,"&lt;"&amp;$DF16,$AD16:$BA16)+SUMIF($BH$3:$CE$3,"&gt;"&amp;$CW$4,$AD16:$BA16)),
IF(BW$3=$DF16+'Model Setup'!$I$7,SUMIF($BH$3:$CE$3,"="&amp;$DF16+'Model Setup'!$I$7,$AD16:$BA16)+'Model Setup'!$I$8*(SUMIF($BH$3:$CE$3,"&lt;"&amp;$DF16,$AD16:$BA16)+SUMIF($BH$3:$CE$3,"&gt;"&amp;$CW$4,$AD16:$BA16)),
IF(BW$3=$DF16+'Model Setup'!$J$7,SUMIF($BH$3:$CE$3,"="&amp;$DF16+'Model Setup'!$J$7,$AD16:$BA16)+'Model Setup'!$J$8*(SUMIF($BH$3:$CE$3,"&lt;"&amp;$DF16,$AD16:$BA16)+SUMIF($BH$3:$CE$3,"&gt;"&amp;$CW$4,$AD16:$BA16)),
IF(BW$3=$DF16+'Model Setup'!$K$7,SUMIF($BH$3:$CE$3,"="&amp;$DF16+'Model Setup'!$K$7,$AD16:$BA16)+'Model Setup'!$K$8*(SUMIF($BH$3:$CE$3,"&lt;"&amp;$DF16,$AD16:$BA16)+SUMIF($BH$3:$CE$3,"&gt;"&amp;$CW$4,$AD16:$BA16)),
IF(BW$3=$DF16+'Model Setup'!$L$7,SUMIF($BH$3:$CE$3,"="&amp;$DF16+'Model Setup'!$L$7,$AD16:$BA16)+'Model Setup'!$L$8*(SUMIF($BH$3:$CE$3,"&lt;"&amp;$DF16,$AD16:$BA16)+SUMIF($BH$3:$CE$3,"&gt;"&amp;$CW$4,$AD16:$BA16)),
IF(BW$3=$DF16+'Model Setup'!$M$7,SUMIF($BH$3:$CE$3,"="&amp;$DF16+'Model Setup'!$M$7,$AD16:$BA16)+'Model Setup'!$M$8*(SUMIF($BH$3:$CE$3,"&lt;"&amp;$DF16,$AD16:$BA16)+SUMIF($BH$3:$CE$3,"&gt;"&amp;$CW$4,$AD16:$BA16)),
IF(BW$3=$DF16+'Model Setup'!$N$7,SUMIF($BH$3:$CE$3,"="&amp;$DF16+'Model Setup'!$N$7,$AD16:$BA16)+'Model Setup'!$N$8*(SUMIF($BH$3:$CE$3,"&lt;"&amp;$DF16,$AD16:$BA16)+SUMIF($BH$3:$CE$3,"&gt;"&amp;$CW$4,$AD16:$BA16)),
IF(BW$3&lt;$CW$4,Q16,0))))))))))))))),0)</f>
        <v>8</v>
      </c>
      <c r="BX16" s="47">
        <f>ROUND(IF(OR(BX$3&lt;$DF16,BX$3&gt;$CW$4),0,
IF(BX$3=$DF16+'Model Setup'!$B$7,SUMIF($BH$3:$CE$3,"="&amp;$DF16+'Model Setup'!$B$7,$AD16:$BA16)+'Model Setup'!$B$8*(SUMIF($BH$3:$CE$3,"&lt;"&amp;$DF16,$AD16:$BA16)+SUMIF($BH$3:$CE$3,"&gt;"&amp;$CW$4,$AD16:$BA16)),
IF(BX$3=$DF16+'Model Setup'!$C$7,SUMIF($BH$3:$CE$3,"="&amp;$DF16+'Model Setup'!$C$7,$AD16:$BA16)+'Model Setup'!$C$8*(SUMIF($BH$3:$CE$3,"&lt;"&amp;$DF16,$AD16:$BA16)+SUMIF($BH$3:$CE$3,"&gt;"&amp;$CW$4,$AD16:$BA16)),
IF(BX$3=$DF16+'Model Setup'!$D$7,SUMIF($BH$3:$CE$3,"="&amp;$DF16+'Model Setup'!$D$7,$AD16:$BA16)+'Model Setup'!$D$8*(SUMIF($BH$3:$CE$3,"&lt;"&amp;$DF16,$AD16:$BA16)+SUMIF($BH$3:$CE$3,"&gt;"&amp;$CW$4,$AD16:$BA16)),
IF(BX$3=$DF16+'Model Setup'!$E$7,SUMIF($BH$3:$CE$3,"="&amp;$DF16+'Model Setup'!$E$7,$AD16:$BA16)+'Model Setup'!$E$8*(SUMIF($BH$3:$CE$3,"&lt;"&amp;$DF16,$AD16:$BA16)+SUMIF($BH$3:$CE$3,"&gt;"&amp;$CW$4,$AD16:$BA16)),
IF(BX$3=$DF16+'Model Setup'!$F$7,SUMIF($BH$3:$CE$3,"="&amp;$DF16+'Model Setup'!$F$7,$AD16:$BA16)+'Model Setup'!$F$8*(SUMIF($BH$3:$CE$3,"&lt;"&amp;$DF16,$AD16:$BA16)+SUMIF($BH$3:$CE$3,"&gt;"&amp;$CW$4,$AD16:$BA16)),
IF(BX$3=$DF16+'Model Setup'!$G$7,SUMIF($BH$3:$CE$3,"="&amp;$DF16+'Model Setup'!$G$7,$AD16:$BA16)+'Model Setup'!$G$8*(SUMIF($BH$3:$CE$3,"&lt;"&amp;$DF16,$AD16:$BA16)+SUMIF($BH$3:$CE$3,"&gt;"&amp;$CW$4,$AD16:$BA16)),
IF(BX$3=$DF16+'Model Setup'!$H$7,SUMIF($BH$3:$CE$3,"="&amp;$DF16+'Model Setup'!$H$7,$AD16:$BA16)+'Model Setup'!$H$8*(SUMIF($BH$3:$CE$3,"&lt;"&amp;$DF16,$AD16:$BA16)+SUMIF($BH$3:$CE$3,"&gt;"&amp;$CW$4,$AD16:$BA16)),
IF(BX$3=$DF16+'Model Setup'!$I$7,SUMIF($BH$3:$CE$3,"="&amp;$DF16+'Model Setup'!$I$7,$AD16:$BA16)+'Model Setup'!$I$8*(SUMIF($BH$3:$CE$3,"&lt;"&amp;$DF16,$AD16:$BA16)+SUMIF($BH$3:$CE$3,"&gt;"&amp;$CW$4,$AD16:$BA16)),
IF(BX$3=$DF16+'Model Setup'!$J$7,SUMIF($BH$3:$CE$3,"="&amp;$DF16+'Model Setup'!$J$7,$AD16:$BA16)+'Model Setup'!$J$8*(SUMIF($BH$3:$CE$3,"&lt;"&amp;$DF16,$AD16:$BA16)+SUMIF($BH$3:$CE$3,"&gt;"&amp;$CW$4,$AD16:$BA16)),
IF(BX$3=$DF16+'Model Setup'!$K$7,SUMIF($BH$3:$CE$3,"="&amp;$DF16+'Model Setup'!$K$7,$AD16:$BA16)+'Model Setup'!$K$8*(SUMIF($BH$3:$CE$3,"&lt;"&amp;$DF16,$AD16:$BA16)+SUMIF($BH$3:$CE$3,"&gt;"&amp;$CW$4,$AD16:$BA16)),
IF(BX$3=$DF16+'Model Setup'!$L$7,SUMIF($BH$3:$CE$3,"="&amp;$DF16+'Model Setup'!$L$7,$AD16:$BA16)+'Model Setup'!$L$8*(SUMIF($BH$3:$CE$3,"&lt;"&amp;$DF16,$AD16:$BA16)+SUMIF($BH$3:$CE$3,"&gt;"&amp;$CW$4,$AD16:$BA16)),
IF(BX$3=$DF16+'Model Setup'!$M$7,SUMIF($BH$3:$CE$3,"="&amp;$DF16+'Model Setup'!$M$7,$AD16:$BA16)+'Model Setup'!$M$8*(SUMIF($BH$3:$CE$3,"&lt;"&amp;$DF16,$AD16:$BA16)+SUMIF($BH$3:$CE$3,"&gt;"&amp;$CW$4,$AD16:$BA16)),
IF(BX$3=$DF16+'Model Setup'!$N$7,SUMIF($BH$3:$CE$3,"="&amp;$DF16+'Model Setup'!$N$7,$AD16:$BA16)+'Model Setup'!$N$8*(SUMIF($BH$3:$CE$3,"&lt;"&amp;$DF16,$AD16:$BA16)+SUMIF($BH$3:$CE$3,"&gt;"&amp;$CW$4,$AD16:$BA16)),
IF(BX$3&lt;$CW$4,R16,0))))))))))))))),0)</f>
        <v>23</v>
      </c>
      <c r="BY16" s="47">
        <f>ROUND(IF(OR(BY$3&lt;$DF16,BY$3&gt;$CW$4),0,
IF(BY$3=$DF16+'Model Setup'!$B$7,SUMIF($BH$3:$CE$3,"="&amp;$DF16+'Model Setup'!$B$7,$AD16:$BA16)+'Model Setup'!$B$8*(SUMIF($BH$3:$CE$3,"&lt;"&amp;$DF16,$AD16:$BA16)+SUMIF($BH$3:$CE$3,"&gt;"&amp;$CW$4,$AD16:$BA16)),
IF(BY$3=$DF16+'Model Setup'!$C$7,SUMIF($BH$3:$CE$3,"="&amp;$DF16+'Model Setup'!$C$7,$AD16:$BA16)+'Model Setup'!$C$8*(SUMIF($BH$3:$CE$3,"&lt;"&amp;$DF16,$AD16:$BA16)+SUMIF($BH$3:$CE$3,"&gt;"&amp;$CW$4,$AD16:$BA16)),
IF(BY$3=$DF16+'Model Setup'!$D$7,SUMIF($BH$3:$CE$3,"="&amp;$DF16+'Model Setup'!$D$7,$AD16:$BA16)+'Model Setup'!$D$8*(SUMIF($BH$3:$CE$3,"&lt;"&amp;$DF16,$AD16:$BA16)+SUMIF($BH$3:$CE$3,"&gt;"&amp;$CW$4,$AD16:$BA16)),
IF(BY$3=$DF16+'Model Setup'!$E$7,SUMIF($BH$3:$CE$3,"="&amp;$DF16+'Model Setup'!$E$7,$AD16:$BA16)+'Model Setup'!$E$8*(SUMIF($BH$3:$CE$3,"&lt;"&amp;$DF16,$AD16:$BA16)+SUMIF($BH$3:$CE$3,"&gt;"&amp;$CW$4,$AD16:$BA16)),
IF(BY$3=$DF16+'Model Setup'!$F$7,SUMIF($BH$3:$CE$3,"="&amp;$DF16+'Model Setup'!$F$7,$AD16:$BA16)+'Model Setup'!$F$8*(SUMIF($BH$3:$CE$3,"&lt;"&amp;$DF16,$AD16:$BA16)+SUMIF($BH$3:$CE$3,"&gt;"&amp;$CW$4,$AD16:$BA16)),
IF(BY$3=$DF16+'Model Setup'!$G$7,SUMIF($BH$3:$CE$3,"="&amp;$DF16+'Model Setup'!$G$7,$AD16:$BA16)+'Model Setup'!$G$8*(SUMIF($BH$3:$CE$3,"&lt;"&amp;$DF16,$AD16:$BA16)+SUMIF($BH$3:$CE$3,"&gt;"&amp;$CW$4,$AD16:$BA16)),
IF(BY$3=$DF16+'Model Setup'!$H$7,SUMIF($BH$3:$CE$3,"="&amp;$DF16+'Model Setup'!$H$7,$AD16:$BA16)+'Model Setup'!$H$8*(SUMIF($BH$3:$CE$3,"&lt;"&amp;$DF16,$AD16:$BA16)+SUMIF($BH$3:$CE$3,"&gt;"&amp;$CW$4,$AD16:$BA16)),
IF(BY$3=$DF16+'Model Setup'!$I$7,SUMIF($BH$3:$CE$3,"="&amp;$DF16+'Model Setup'!$I$7,$AD16:$BA16)+'Model Setup'!$I$8*(SUMIF($BH$3:$CE$3,"&lt;"&amp;$DF16,$AD16:$BA16)+SUMIF($BH$3:$CE$3,"&gt;"&amp;$CW$4,$AD16:$BA16)),
IF(BY$3=$DF16+'Model Setup'!$J$7,SUMIF($BH$3:$CE$3,"="&amp;$DF16+'Model Setup'!$J$7,$AD16:$BA16)+'Model Setup'!$J$8*(SUMIF($BH$3:$CE$3,"&lt;"&amp;$DF16,$AD16:$BA16)+SUMIF($BH$3:$CE$3,"&gt;"&amp;$CW$4,$AD16:$BA16)),
IF(BY$3=$DF16+'Model Setup'!$K$7,SUMIF($BH$3:$CE$3,"="&amp;$DF16+'Model Setup'!$K$7,$AD16:$BA16)+'Model Setup'!$K$8*(SUMIF($BH$3:$CE$3,"&lt;"&amp;$DF16,$AD16:$BA16)+SUMIF($BH$3:$CE$3,"&gt;"&amp;$CW$4,$AD16:$BA16)),
IF(BY$3=$DF16+'Model Setup'!$L$7,SUMIF($BH$3:$CE$3,"="&amp;$DF16+'Model Setup'!$L$7,$AD16:$BA16)+'Model Setup'!$L$8*(SUMIF($BH$3:$CE$3,"&lt;"&amp;$DF16,$AD16:$BA16)+SUMIF($BH$3:$CE$3,"&gt;"&amp;$CW$4,$AD16:$BA16)),
IF(BY$3=$DF16+'Model Setup'!$M$7,SUMIF($BH$3:$CE$3,"="&amp;$DF16+'Model Setup'!$M$7,$AD16:$BA16)+'Model Setup'!$M$8*(SUMIF($BH$3:$CE$3,"&lt;"&amp;$DF16,$AD16:$BA16)+SUMIF($BH$3:$CE$3,"&gt;"&amp;$CW$4,$AD16:$BA16)),
IF(BY$3=$DF16+'Model Setup'!$N$7,SUMIF($BH$3:$CE$3,"="&amp;$DF16+'Model Setup'!$N$7,$AD16:$BA16)+'Model Setup'!$N$8*(SUMIF($BH$3:$CE$3,"&lt;"&amp;$DF16,$AD16:$BA16)+SUMIF($BH$3:$CE$3,"&gt;"&amp;$CW$4,$AD16:$BA16)),
IF(BY$3&lt;$CW$4,S16,0))))))))))))))),0)</f>
        <v>34</v>
      </c>
      <c r="BZ16" s="47">
        <f>ROUND(IF(OR(BZ$3&lt;$DF16,BZ$3&gt;$CW$4),0,
IF(BZ$3=$DF16+'Model Setup'!$B$7,SUMIF($BH$3:$CE$3,"="&amp;$DF16+'Model Setup'!$B$7,$AD16:$BA16)+'Model Setup'!$B$8*(SUMIF($BH$3:$CE$3,"&lt;"&amp;$DF16,$AD16:$BA16)+SUMIF($BH$3:$CE$3,"&gt;"&amp;$CW$4,$AD16:$BA16)),
IF(BZ$3=$DF16+'Model Setup'!$C$7,SUMIF($BH$3:$CE$3,"="&amp;$DF16+'Model Setup'!$C$7,$AD16:$BA16)+'Model Setup'!$C$8*(SUMIF($BH$3:$CE$3,"&lt;"&amp;$DF16,$AD16:$BA16)+SUMIF($BH$3:$CE$3,"&gt;"&amp;$CW$4,$AD16:$BA16)),
IF(BZ$3=$DF16+'Model Setup'!$D$7,SUMIF($BH$3:$CE$3,"="&amp;$DF16+'Model Setup'!$D$7,$AD16:$BA16)+'Model Setup'!$D$8*(SUMIF($BH$3:$CE$3,"&lt;"&amp;$DF16,$AD16:$BA16)+SUMIF($BH$3:$CE$3,"&gt;"&amp;$CW$4,$AD16:$BA16)),
IF(BZ$3=$DF16+'Model Setup'!$E$7,SUMIF($BH$3:$CE$3,"="&amp;$DF16+'Model Setup'!$E$7,$AD16:$BA16)+'Model Setup'!$E$8*(SUMIF($BH$3:$CE$3,"&lt;"&amp;$DF16,$AD16:$BA16)+SUMIF($BH$3:$CE$3,"&gt;"&amp;$CW$4,$AD16:$BA16)),
IF(BZ$3=$DF16+'Model Setup'!$F$7,SUMIF($BH$3:$CE$3,"="&amp;$DF16+'Model Setup'!$F$7,$AD16:$BA16)+'Model Setup'!$F$8*(SUMIF($BH$3:$CE$3,"&lt;"&amp;$DF16,$AD16:$BA16)+SUMIF($BH$3:$CE$3,"&gt;"&amp;$CW$4,$AD16:$BA16)),
IF(BZ$3=$DF16+'Model Setup'!$G$7,SUMIF($BH$3:$CE$3,"="&amp;$DF16+'Model Setup'!$G$7,$AD16:$BA16)+'Model Setup'!$G$8*(SUMIF($BH$3:$CE$3,"&lt;"&amp;$DF16,$AD16:$BA16)+SUMIF($BH$3:$CE$3,"&gt;"&amp;$CW$4,$AD16:$BA16)),
IF(BZ$3=$DF16+'Model Setup'!$H$7,SUMIF($BH$3:$CE$3,"="&amp;$DF16+'Model Setup'!$H$7,$AD16:$BA16)+'Model Setup'!$H$8*(SUMIF($BH$3:$CE$3,"&lt;"&amp;$DF16,$AD16:$BA16)+SUMIF($BH$3:$CE$3,"&gt;"&amp;$CW$4,$AD16:$BA16)),
IF(BZ$3=$DF16+'Model Setup'!$I$7,SUMIF($BH$3:$CE$3,"="&amp;$DF16+'Model Setup'!$I$7,$AD16:$BA16)+'Model Setup'!$I$8*(SUMIF($BH$3:$CE$3,"&lt;"&amp;$DF16,$AD16:$BA16)+SUMIF($BH$3:$CE$3,"&gt;"&amp;$CW$4,$AD16:$BA16)),
IF(BZ$3=$DF16+'Model Setup'!$J$7,SUMIF($BH$3:$CE$3,"="&amp;$DF16+'Model Setup'!$J$7,$AD16:$BA16)+'Model Setup'!$J$8*(SUMIF($BH$3:$CE$3,"&lt;"&amp;$DF16,$AD16:$BA16)+SUMIF($BH$3:$CE$3,"&gt;"&amp;$CW$4,$AD16:$BA16)),
IF(BZ$3=$DF16+'Model Setup'!$K$7,SUMIF($BH$3:$CE$3,"="&amp;$DF16+'Model Setup'!$K$7,$AD16:$BA16)+'Model Setup'!$K$8*(SUMIF($BH$3:$CE$3,"&lt;"&amp;$DF16,$AD16:$BA16)+SUMIF($BH$3:$CE$3,"&gt;"&amp;$CW$4,$AD16:$BA16)),
IF(BZ$3=$DF16+'Model Setup'!$L$7,SUMIF($BH$3:$CE$3,"="&amp;$DF16+'Model Setup'!$L$7,$AD16:$BA16)+'Model Setup'!$L$8*(SUMIF($BH$3:$CE$3,"&lt;"&amp;$DF16,$AD16:$BA16)+SUMIF($BH$3:$CE$3,"&gt;"&amp;$CW$4,$AD16:$BA16)),
IF(BZ$3=$DF16+'Model Setup'!$M$7,SUMIF($BH$3:$CE$3,"="&amp;$DF16+'Model Setup'!$M$7,$AD16:$BA16)+'Model Setup'!$M$8*(SUMIF($BH$3:$CE$3,"&lt;"&amp;$DF16,$AD16:$BA16)+SUMIF($BH$3:$CE$3,"&gt;"&amp;$CW$4,$AD16:$BA16)),
IF(BZ$3=$DF16+'Model Setup'!$N$7,SUMIF($BH$3:$CE$3,"="&amp;$DF16+'Model Setup'!$N$7,$AD16:$BA16)+'Model Setup'!$N$8*(SUMIF($BH$3:$CE$3,"&lt;"&amp;$DF16,$AD16:$BA16)+SUMIF($BH$3:$CE$3,"&gt;"&amp;$CW$4,$AD16:$BA16)),
IF(BZ$3&lt;$CW$4,T16,0))))))))))))))),0)</f>
        <v>23</v>
      </c>
      <c r="CA16" s="47">
        <f>ROUND(IF(OR(CA$3&lt;$DF16,CA$3&gt;$CW$4),0,
IF(CA$3=$DF16+'Model Setup'!$B$7,SUMIF($BH$3:$CE$3,"="&amp;$DF16+'Model Setup'!$B$7,$AD16:$BA16)+'Model Setup'!$B$8*(SUMIF($BH$3:$CE$3,"&lt;"&amp;$DF16,$AD16:$BA16)+SUMIF($BH$3:$CE$3,"&gt;"&amp;$CW$4,$AD16:$BA16)),
IF(CA$3=$DF16+'Model Setup'!$C$7,SUMIF($BH$3:$CE$3,"="&amp;$DF16+'Model Setup'!$C$7,$AD16:$BA16)+'Model Setup'!$C$8*(SUMIF($BH$3:$CE$3,"&lt;"&amp;$DF16,$AD16:$BA16)+SUMIF($BH$3:$CE$3,"&gt;"&amp;$CW$4,$AD16:$BA16)),
IF(CA$3=$DF16+'Model Setup'!$D$7,SUMIF($BH$3:$CE$3,"="&amp;$DF16+'Model Setup'!$D$7,$AD16:$BA16)+'Model Setup'!$D$8*(SUMIF($BH$3:$CE$3,"&lt;"&amp;$DF16,$AD16:$BA16)+SUMIF($BH$3:$CE$3,"&gt;"&amp;$CW$4,$AD16:$BA16)),
IF(CA$3=$DF16+'Model Setup'!$E$7,SUMIF($BH$3:$CE$3,"="&amp;$DF16+'Model Setup'!$E$7,$AD16:$BA16)+'Model Setup'!$E$8*(SUMIF($BH$3:$CE$3,"&lt;"&amp;$DF16,$AD16:$BA16)+SUMIF($BH$3:$CE$3,"&gt;"&amp;$CW$4,$AD16:$BA16)),
IF(CA$3=$DF16+'Model Setup'!$F$7,SUMIF($BH$3:$CE$3,"="&amp;$DF16+'Model Setup'!$F$7,$AD16:$BA16)+'Model Setup'!$F$8*(SUMIF($BH$3:$CE$3,"&lt;"&amp;$DF16,$AD16:$BA16)+SUMIF($BH$3:$CE$3,"&gt;"&amp;$CW$4,$AD16:$BA16)),
IF(CA$3=$DF16+'Model Setup'!$G$7,SUMIF($BH$3:$CE$3,"="&amp;$DF16+'Model Setup'!$G$7,$AD16:$BA16)+'Model Setup'!$G$8*(SUMIF($BH$3:$CE$3,"&lt;"&amp;$DF16,$AD16:$BA16)+SUMIF($BH$3:$CE$3,"&gt;"&amp;$CW$4,$AD16:$BA16)),
IF(CA$3=$DF16+'Model Setup'!$H$7,SUMIF($BH$3:$CE$3,"="&amp;$DF16+'Model Setup'!$H$7,$AD16:$BA16)+'Model Setup'!$H$8*(SUMIF($BH$3:$CE$3,"&lt;"&amp;$DF16,$AD16:$BA16)+SUMIF($BH$3:$CE$3,"&gt;"&amp;$CW$4,$AD16:$BA16)),
IF(CA$3=$DF16+'Model Setup'!$I$7,SUMIF($BH$3:$CE$3,"="&amp;$DF16+'Model Setup'!$I$7,$AD16:$BA16)+'Model Setup'!$I$8*(SUMIF($BH$3:$CE$3,"&lt;"&amp;$DF16,$AD16:$BA16)+SUMIF($BH$3:$CE$3,"&gt;"&amp;$CW$4,$AD16:$BA16)),
IF(CA$3=$DF16+'Model Setup'!$J$7,SUMIF($BH$3:$CE$3,"="&amp;$DF16+'Model Setup'!$J$7,$AD16:$BA16)+'Model Setup'!$J$8*(SUMIF($BH$3:$CE$3,"&lt;"&amp;$DF16,$AD16:$BA16)+SUMIF($BH$3:$CE$3,"&gt;"&amp;$CW$4,$AD16:$BA16)),
IF(CA$3=$DF16+'Model Setup'!$K$7,SUMIF($BH$3:$CE$3,"="&amp;$DF16+'Model Setup'!$K$7,$AD16:$BA16)+'Model Setup'!$K$8*(SUMIF($BH$3:$CE$3,"&lt;"&amp;$DF16,$AD16:$BA16)+SUMIF($BH$3:$CE$3,"&gt;"&amp;$CW$4,$AD16:$BA16)),
IF(CA$3=$DF16+'Model Setup'!$L$7,SUMIF($BH$3:$CE$3,"="&amp;$DF16+'Model Setup'!$L$7,$AD16:$BA16)+'Model Setup'!$L$8*(SUMIF($BH$3:$CE$3,"&lt;"&amp;$DF16,$AD16:$BA16)+SUMIF($BH$3:$CE$3,"&gt;"&amp;$CW$4,$AD16:$BA16)),
IF(CA$3=$DF16+'Model Setup'!$M$7,SUMIF($BH$3:$CE$3,"="&amp;$DF16+'Model Setup'!$M$7,$AD16:$BA16)+'Model Setup'!$M$8*(SUMIF($BH$3:$CE$3,"&lt;"&amp;$DF16,$AD16:$BA16)+SUMIF($BH$3:$CE$3,"&gt;"&amp;$CW$4,$AD16:$BA16)),
IF(CA$3=$DF16+'Model Setup'!$N$7,SUMIF($BH$3:$CE$3,"="&amp;$DF16+'Model Setup'!$N$7,$AD16:$BA16)+'Model Setup'!$N$8*(SUMIF($BH$3:$CE$3,"&lt;"&amp;$DF16,$AD16:$BA16)+SUMIF($BH$3:$CE$3,"&gt;"&amp;$CW$4,$AD16:$BA16)),
IF(CA$3&lt;$CW$4,U16,0))))))))))))))),0)</f>
        <v>0</v>
      </c>
      <c r="CB16" s="47">
        <f>ROUND(IF(OR(CB$3&lt;$DF16,CB$3&gt;$CW$4),0,
IF(CB$3=$DF16+'Model Setup'!$B$7,SUMIF($BH$3:$CE$3,"="&amp;$DF16+'Model Setup'!$B$7,$AD16:$BA16)+'Model Setup'!$B$8*(SUMIF($BH$3:$CE$3,"&lt;"&amp;$DF16,$AD16:$BA16)+SUMIF($BH$3:$CE$3,"&gt;"&amp;$CW$4,$AD16:$BA16)),
IF(CB$3=$DF16+'Model Setup'!$C$7,SUMIF($BH$3:$CE$3,"="&amp;$DF16+'Model Setup'!$C$7,$AD16:$BA16)+'Model Setup'!$C$8*(SUMIF($BH$3:$CE$3,"&lt;"&amp;$DF16,$AD16:$BA16)+SUMIF($BH$3:$CE$3,"&gt;"&amp;$CW$4,$AD16:$BA16)),
IF(CB$3=$DF16+'Model Setup'!$D$7,SUMIF($BH$3:$CE$3,"="&amp;$DF16+'Model Setup'!$D$7,$AD16:$BA16)+'Model Setup'!$D$8*(SUMIF($BH$3:$CE$3,"&lt;"&amp;$DF16,$AD16:$BA16)+SUMIF($BH$3:$CE$3,"&gt;"&amp;$CW$4,$AD16:$BA16)),
IF(CB$3=$DF16+'Model Setup'!$E$7,SUMIF($BH$3:$CE$3,"="&amp;$DF16+'Model Setup'!$E$7,$AD16:$BA16)+'Model Setup'!$E$8*(SUMIF($BH$3:$CE$3,"&lt;"&amp;$DF16,$AD16:$BA16)+SUMIF($BH$3:$CE$3,"&gt;"&amp;$CW$4,$AD16:$BA16)),
IF(CB$3=$DF16+'Model Setup'!$F$7,SUMIF($BH$3:$CE$3,"="&amp;$DF16+'Model Setup'!$F$7,$AD16:$BA16)+'Model Setup'!$F$8*(SUMIF($BH$3:$CE$3,"&lt;"&amp;$DF16,$AD16:$BA16)+SUMIF($BH$3:$CE$3,"&gt;"&amp;$CW$4,$AD16:$BA16)),
IF(CB$3=$DF16+'Model Setup'!$G$7,SUMIF($BH$3:$CE$3,"="&amp;$DF16+'Model Setup'!$G$7,$AD16:$BA16)+'Model Setup'!$G$8*(SUMIF($BH$3:$CE$3,"&lt;"&amp;$DF16,$AD16:$BA16)+SUMIF($BH$3:$CE$3,"&gt;"&amp;$CW$4,$AD16:$BA16)),
IF(CB$3=$DF16+'Model Setup'!$H$7,SUMIF($BH$3:$CE$3,"="&amp;$DF16+'Model Setup'!$H$7,$AD16:$BA16)+'Model Setup'!$H$8*(SUMIF($BH$3:$CE$3,"&lt;"&amp;$DF16,$AD16:$BA16)+SUMIF($BH$3:$CE$3,"&gt;"&amp;$CW$4,$AD16:$BA16)),
IF(CB$3=$DF16+'Model Setup'!$I$7,SUMIF($BH$3:$CE$3,"="&amp;$DF16+'Model Setup'!$I$7,$AD16:$BA16)+'Model Setup'!$I$8*(SUMIF($BH$3:$CE$3,"&lt;"&amp;$DF16,$AD16:$BA16)+SUMIF($BH$3:$CE$3,"&gt;"&amp;$CW$4,$AD16:$BA16)),
IF(CB$3=$DF16+'Model Setup'!$J$7,SUMIF($BH$3:$CE$3,"="&amp;$DF16+'Model Setup'!$J$7,$AD16:$BA16)+'Model Setup'!$J$8*(SUMIF($BH$3:$CE$3,"&lt;"&amp;$DF16,$AD16:$BA16)+SUMIF($BH$3:$CE$3,"&gt;"&amp;$CW$4,$AD16:$BA16)),
IF(CB$3=$DF16+'Model Setup'!$K$7,SUMIF($BH$3:$CE$3,"="&amp;$DF16+'Model Setup'!$K$7,$AD16:$BA16)+'Model Setup'!$K$8*(SUMIF($BH$3:$CE$3,"&lt;"&amp;$DF16,$AD16:$BA16)+SUMIF($BH$3:$CE$3,"&gt;"&amp;$CW$4,$AD16:$BA16)),
IF(CB$3=$DF16+'Model Setup'!$L$7,SUMIF($BH$3:$CE$3,"="&amp;$DF16+'Model Setup'!$L$7,$AD16:$BA16)+'Model Setup'!$L$8*(SUMIF($BH$3:$CE$3,"&lt;"&amp;$DF16,$AD16:$BA16)+SUMIF($BH$3:$CE$3,"&gt;"&amp;$CW$4,$AD16:$BA16)),
IF(CB$3=$DF16+'Model Setup'!$M$7,SUMIF($BH$3:$CE$3,"="&amp;$DF16+'Model Setup'!$M$7,$AD16:$BA16)+'Model Setup'!$M$8*(SUMIF($BH$3:$CE$3,"&lt;"&amp;$DF16,$AD16:$BA16)+SUMIF($BH$3:$CE$3,"&gt;"&amp;$CW$4,$AD16:$BA16)),
IF(CB$3=$DF16+'Model Setup'!$N$7,SUMIF($BH$3:$CE$3,"="&amp;$DF16+'Model Setup'!$N$7,$AD16:$BA16)+'Model Setup'!$N$8*(SUMIF($BH$3:$CE$3,"&lt;"&amp;$DF16,$AD16:$BA16)+SUMIF($BH$3:$CE$3,"&gt;"&amp;$CW$4,$AD16:$BA16)),
IF(CB$3&lt;$CW$4,V16,0))))))))))))))),0)</f>
        <v>0</v>
      </c>
      <c r="CC16" s="47">
        <f>ROUND(IF(OR(CC$3&lt;$DF16,CC$3&gt;$CW$4),0,
IF(CC$3=$DF16+'Model Setup'!$B$7,SUMIF($BH$3:$CE$3,"="&amp;$DF16+'Model Setup'!$B$7,$AD16:$BA16)+'Model Setup'!$B$8*(SUMIF($BH$3:$CE$3,"&lt;"&amp;$DF16,$AD16:$BA16)+SUMIF($BH$3:$CE$3,"&gt;"&amp;$CW$4,$AD16:$BA16)),
IF(CC$3=$DF16+'Model Setup'!$C$7,SUMIF($BH$3:$CE$3,"="&amp;$DF16+'Model Setup'!$C$7,$AD16:$BA16)+'Model Setup'!$C$8*(SUMIF($BH$3:$CE$3,"&lt;"&amp;$DF16,$AD16:$BA16)+SUMIF($BH$3:$CE$3,"&gt;"&amp;$CW$4,$AD16:$BA16)),
IF(CC$3=$DF16+'Model Setup'!$D$7,SUMIF($BH$3:$CE$3,"="&amp;$DF16+'Model Setup'!$D$7,$AD16:$BA16)+'Model Setup'!$D$8*(SUMIF($BH$3:$CE$3,"&lt;"&amp;$DF16,$AD16:$BA16)+SUMIF($BH$3:$CE$3,"&gt;"&amp;$CW$4,$AD16:$BA16)),
IF(CC$3=$DF16+'Model Setup'!$E$7,SUMIF($BH$3:$CE$3,"="&amp;$DF16+'Model Setup'!$E$7,$AD16:$BA16)+'Model Setup'!$E$8*(SUMIF($BH$3:$CE$3,"&lt;"&amp;$DF16,$AD16:$BA16)+SUMIF($BH$3:$CE$3,"&gt;"&amp;$CW$4,$AD16:$BA16)),
IF(CC$3=$DF16+'Model Setup'!$F$7,SUMIF($BH$3:$CE$3,"="&amp;$DF16+'Model Setup'!$F$7,$AD16:$BA16)+'Model Setup'!$F$8*(SUMIF($BH$3:$CE$3,"&lt;"&amp;$DF16,$AD16:$BA16)+SUMIF($BH$3:$CE$3,"&gt;"&amp;$CW$4,$AD16:$BA16)),
IF(CC$3=$DF16+'Model Setup'!$G$7,SUMIF($BH$3:$CE$3,"="&amp;$DF16+'Model Setup'!$G$7,$AD16:$BA16)+'Model Setup'!$G$8*(SUMIF($BH$3:$CE$3,"&lt;"&amp;$DF16,$AD16:$BA16)+SUMIF($BH$3:$CE$3,"&gt;"&amp;$CW$4,$AD16:$BA16)),
IF(CC$3=$DF16+'Model Setup'!$H$7,SUMIF($BH$3:$CE$3,"="&amp;$DF16+'Model Setup'!$H$7,$AD16:$BA16)+'Model Setup'!$H$8*(SUMIF($BH$3:$CE$3,"&lt;"&amp;$DF16,$AD16:$BA16)+SUMIF($BH$3:$CE$3,"&gt;"&amp;$CW$4,$AD16:$BA16)),
IF(CC$3=$DF16+'Model Setup'!$I$7,SUMIF($BH$3:$CE$3,"="&amp;$DF16+'Model Setup'!$I$7,$AD16:$BA16)+'Model Setup'!$I$8*(SUMIF($BH$3:$CE$3,"&lt;"&amp;$DF16,$AD16:$BA16)+SUMIF($BH$3:$CE$3,"&gt;"&amp;$CW$4,$AD16:$BA16)),
IF(CC$3=$DF16+'Model Setup'!$J$7,SUMIF($BH$3:$CE$3,"="&amp;$DF16+'Model Setup'!$J$7,$AD16:$BA16)+'Model Setup'!$J$8*(SUMIF($BH$3:$CE$3,"&lt;"&amp;$DF16,$AD16:$BA16)+SUMIF($BH$3:$CE$3,"&gt;"&amp;$CW$4,$AD16:$BA16)),
IF(CC$3=$DF16+'Model Setup'!$K$7,SUMIF($BH$3:$CE$3,"="&amp;$DF16+'Model Setup'!$K$7,$AD16:$BA16)+'Model Setup'!$K$8*(SUMIF($BH$3:$CE$3,"&lt;"&amp;$DF16,$AD16:$BA16)+SUMIF($BH$3:$CE$3,"&gt;"&amp;$CW$4,$AD16:$BA16)),
IF(CC$3=$DF16+'Model Setup'!$L$7,SUMIF($BH$3:$CE$3,"="&amp;$DF16+'Model Setup'!$L$7,$AD16:$BA16)+'Model Setup'!$L$8*(SUMIF($BH$3:$CE$3,"&lt;"&amp;$DF16,$AD16:$BA16)+SUMIF($BH$3:$CE$3,"&gt;"&amp;$CW$4,$AD16:$BA16)),
IF(CC$3=$DF16+'Model Setup'!$M$7,SUMIF($BH$3:$CE$3,"="&amp;$DF16+'Model Setup'!$M$7,$AD16:$BA16)+'Model Setup'!$M$8*(SUMIF($BH$3:$CE$3,"&lt;"&amp;$DF16,$AD16:$BA16)+SUMIF($BH$3:$CE$3,"&gt;"&amp;$CW$4,$AD16:$BA16)),
IF(CC$3=$DF16+'Model Setup'!$N$7,SUMIF($BH$3:$CE$3,"="&amp;$DF16+'Model Setup'!$N$7,$AD16:$BA16)+'Model Setup'!$N$8*(SUMIF($BH$3:$CE$3,"&lt;"&amp;$DF16,$AD16:$BA16)+SUMIF($BH$3:$CE$3,"&gt;"&amp;$CW$4,$AD16:$BA16)),
IF(CC$3&lt;$CW$4,W16,0))))))))))))))),0)</f>
        <v>0</v>
      </c>
      <c r="CD16" s="47">
        <f>ROUND(IF(OR(CD$3&lt;$DF16,CD$3&gt;$CW$4),0,
IF(CD$3=$DF16+'Model Setup'!$B$7,SUMIF($BH$3:$CE$3,"="&amp;$DF16+'Model Setup'!$B$7,$AD16:$BA16)+'Model Setup'!$B$8*(SUMIF($BH$3:$CE$3,"&lt;"&amp;$DF16,$AD16:$BA16)+SUMIF($BH$3:$CE$3,"&gt;"&amp;$CW$4,$AD16:$BA16)),
IF(CD$3=$DF16+'Model Setup'!$C$7,SUMIF($BH$3:$CE$3,"="&amp;$DF16+'Model Setup'!$C$7,$AD16:$BA16)+'Model Setup'!$C$8*(SUMIF($BH$3:$CE$3,"&lt;"&amp;$DF16,$AD16:$BA16)+SUMIF($BH$3:$CE$3,"&gt;"&amp;$CW$4,$AD16:$BA16)),
IF(CD$3=$DF16+'Model Setup'!$D$7,SUMIF($BH$3:$CE$3,"="&amp;$DF16+'Model Setup'!$D$7,$AD16:$BA16)+'Model Setup'!$D$8*(SUMIF($BH$3:$CE$3,"&lt;"&amp;$DF16,$AD16:$BA16)+SUMIF($BH$3:$CE$3,"&gt;"&amp;$CW$4,$AD16:$BA16)),
IF(CD$3=$DF16+'Model Setup'!$E$7,SUMIF($BH$3:$CE$3,"="&amp;$DF16+'Model Setup'!$E$7,$AD16:$BA16)+'Model Setup'!$E$8*(SUMIF($BH$3:$CE$3,"&lt;"&amp;$DF16,$AD16:$BA16)+SUMIF($BH$3:$CE$3,"&gt;"&amp;$CW$4,$AD16:$BA16)),
IF(CD$3=$DF16+'Model Setup'!$F$7,SUMIF($BH$3:$CE$3,"="&amp;$DF16+'Model Setup'!$F$7,$AD16:$BA16)+'Model Setup'!$F$8*(SUMIF($BH$3:$CE$3,"&lt;"&amp;$DF16,$AD16:$BA16)+SUMIF($BH$3:$CE$3,"&gt;"&amp;$CW$4,$AD16:$BA16)),
IF(CD$3=$DF16+'Model Setup'!$G$7,SUMIF($BH$3:$CE$3,"="&amp;$DF16+'Model Setup'!$G$7,$AD16:$BA16)+'Model Setup'!$G$8*(SUMIF($BH$3:$CE$3,"&lt;"&amp;$DF16,$AD16:$BA16)+SUMIF($BH$3:$CE$3,"&gt;"&amp;$CW$4,$AD16:$BA16)),
IF(CD$3=$DF16+'Model Setup'!$H$7,SUMIF($BH$3:$CE$3,"="&amp;$DF16+'Model Setup'!$H$7,$AD16:$BA16)+'Model Setup'!$H$8*(SUMIF($BH$3:$CE$3,"&lt;"&amp;$DF16,$AD16:$BA16)+SUMIF($BH$3:$CE$3,"&gt;"&amp;$CW$4,$AD16:$BA16)),
IF(CD$3=$DF16+'Model Setup'!$I$7,SUMIF($BH$3:$CE$3,"="&amp;$DF16+'Model Setup'!$I$7,$AD16:$BA16)+'Model Setup'!$I$8*(SUMIF($BH$3:$CE$3,"&lt;"&amp;$DF16,$AD16:$BA16)+SUMIF($BH$3:$CE$3,"&gt;"&amp;$CW$4,$AD16:$BA16)),
IF(CD$3=$DF16+'Model Setup'!$J$7,SUMIF($BH$3:$CE$3,"="&amp;$DF16+'Model Setup'!$J$7,$AD16:$BA16)+'Model Setup'!$J$8*(SUMIF($BH$3:$CE$3,"&lt;"&amp;$DF16,$AD16:$BA16)+SUMIF($BH$3:$CE$3,"&gt;"&amp;$CW$4,$AD16:$BA16)),
IF(CD$3=$DF16+'Model Setup'!$K$7,SUMIF($BH$3:$CE$3,"="&amp;$DF16+'Model Setup'!$K$7,$AD16:$BA16)+'Model Setup'!$K$8*(SUMIF($BH$3:$CE$3,"&lt;"&amp;$DF16,$AD16:$BA16)+SUMIF($BH$3:$CE$3,"&gt;"&amp;$CW$4,$AD16:$BA16)),
IF(CD$3=$DF16+'Model Setup'!$L$7,SUMIF($BH$3:$CE$3,"="&amp;$DF16+'Model Setup'!$L$7,$AD16:$BA16)+'Model Setup'!$L$8*(SUMIF($BH$3:$CE$3,"&lt;"&amp;$DF16,$AD16:$BA16)+SUMIF($BH$3:$CE$3,"&gt;"&amp;$CW$4,$AD16:$BA16)),
IF(CD$3=$DF16+'Model Setup'!$M$7,SUMIF($BH$3:$CE$3,"="&amp;$DF16+'Model Setup'!$M$7,$AD16:$BA16)+'Model Setup'!$M$8*(SUMIF($BH$3:$CE$3,"&lt;"&amp;$DF16,$AD16:$BA16)+SUMIF($BH$3:$CE$3,"&gt;"&amp;$CW$4,$AD16:$BA16)),
IF(CD$3=$DF16+'Model Setup'!$N$7,SUMIF($BH$3:$CE$3,"="&amp;$DF16+'Model Setup'!$N$7,$AD16:$BA16)+'Model Setup'!$N$8*(SUMIF($BH$3:$CE$3,"&lt;"&amp;$DF16,$AD16:$BA16)+SUMIF($BH$3:$CE$3,"&gt;"&amp;$CW$4,$AD16:$BA16)),
IF(CD$3&lt;$CW$4,X16,0))))))))))))))),0)</f>
        <v>0</v>
      </c>
      <c r="CE16" s="47">
        <f>ROUND(IF(OR(CE$3&lt;$DF16,CE$3&gt;$CW$4),0,
IF(CE$3=$DF16+'Model Setup'!$B$7,SUMIF($BH$3:$CE$3,"="&amp;$DF16+'Model Setup'!$B$7,$AD16:$BA16)+'Model Setup'!$B$8*(SUMIF($BH$3:$CE$3,"&lt;"&amp;$DF16,$AD16:$BA16)+SUMIF($BH$3:$CE$3,"&gt;"&amp;$CW$4,$AD16:$BA16)),
IF(CE$3=$DF16+'Model Setup'!$C$7,SUMIF($BH$3:$CE$3,"="&amp;$DF16+'Model Setup'!$C$7,$AD16:$BA16)+'Model Setup'!$C$8*(SUMIF($BH$3:$CE$3,"&lt;"&amp;$DF16,$AD16:$BA16)+SUMIF($BH$3:$CE$3,"&gt;"&amp;$CW$4,$AD16:$BA16)),
IF(CE$3=$DF16+'Model Setup'!$D$7,SUMIF($BH$3:$CE$3,"="&amp;$DF16+'Model Setup'!$D$7,$AD16:$BA16)+'Model Setup'!$D$8*(SUMIF($BH$3:$CE$3,"&lt;"&amp;$DF16,$AD16:$BA16)+SUMIF($BH$3:$CE$3,"&gt;"&amp;$CW$4,$AD16:$BA16)),
IF(CE$3=$DF16+'Model Setup'!$E$7,SUMIF($BH$3:$CE$3,"="&amp;$DF16+'Model Setup'!$E$7,$AD16:$BA16)+'Model Setup'!$E$8*(SUMIF($BH$3:$CE$3,"&lt;"&amp;$DF16,$AD16:$BA16)+SUMIF($BH$3:$CE$3,"&gt;"&amp;$CW$4,$AD16:$BA16)),
IF(CE$3=$DF16+'Model Setup'!$F$7,SUMIF($BH$3:$CE$3,"="&amp;$DF16+'Model Setup'!$F$7,$AD16:$BA16)+'Model Setup'!$F$8*(SUMIF($BH$3:$CE$3,"&lt;"&amp;$DF16,$AD16:$BA16)+SUMIF($BH$3:$CE$3,"&gt;"&amp;$CW$4,$AD16:$BA16)),
IF(CE$3=$DF16+'Model Setup'!$G$7,SUMIF($BH$3:$CE$3,"="&amp;$DF16+'Model Setup'!$G$7,$AD16:$BA16)+'Model Setup'!$G$8*(SUMIF($BH$3:$CE$3,"&lt;"&amp;$DF16,$AD16:$BA16)+SUMIF($BH$3:$CE$3,"&gt;"&amp;$CW$4,$AD16:$BA16)),
IF(CE$3=$DF16+'Model Setup'!$H$7,SUMIF($BH$3:$CE$3,"="&amp;$DF16+'Model Setup'!$H$7,$AD16:$BA16)+'Model Setup'!$H$8*(SUMIF($BH$3:$CE$3,"&lt;"&amp;$DF16,$AD16:$BA16)+SUMIF($BH$3:$CE$3,"&gt;"&amp;$CW$4,$AD16:$BA16)),
IF(CE$3=$DF16+'Model Setup'!$I$7,SUMIF($BH$3:$CE$3,"="&amp;$DF16+'Model Setup'!$I$7,$AD16:$BA16)+'Model Setup'!$I$8*(SUMIF($BH$3:$CE$3,"&lt;"&amp;$DF16,$AD16:$BA16)+SUMIF($BH$3:$CE$3,"&gt;"&amp;$CW$4,$AD16:$BA16)),
IF(CE$3=$DF16+'Model Setup'!$J$7,SUMIF($BH$3:$CE$3,"="&amp;$DF16+'Model Setup'!$J$7,$AD16:$BA16)+'Model Setup'!$J$8*(SUMIF($BH$3:$CE$3,"&lt;"&amp;$DF16,$AD16:$BA16)+SUMIF($BH$3:$CE$3,"&gt;"&amp;$CW$4,$AD16:$BA16)),
IF(CE$3=$DF16+'Model Setup'!$K$7,SUMIF($BH$3:$CE$3,"="&amp;$DF16+'Model Setup'!$K$7,$AD16:$BA16)+'Model Setup'!$K$8*(SUMIF($BH$3:$CE$3,"&lt;"&amp;$DF16,$AD16:$BA16)+SUMIF($BH$3:$CE$3,"&gt;"&amp;$CW$4,$AD16:$BA16)),
IF(CE$3=$DF16+'Model Setup'!$L$7,SUMIF($BH$3:$CE$3,"="&amp;$DF16+'Model Setup'!$L$7,$AD16:$BA16)+'Model Setup'!$L$8*(SUMIF($BH$3:$CE$3,"&lt;"&amp;$DF16,$AD16:$BA16)+SUMIF($BH$3:$CE$3,"&gt;"&amp;$CW$4,$AD16:$BA16)),
IF(CE$3=$DF16+'Model Setup'!$M$7,SUMIF($BH$3:$CE$3,"="&amp;$DF16+'Model Setup'!$M$7,$AD16:$BA16)+'Model Setup'!$M$8*(SUMIF($BH$3:$CE$3,"&lt;"&amp;$DF16,$AD16:$BA16)+SUMIF($BH$3:$CE$3,"&gt;"&amp;$CW$4,$AD16:$BA16)),
IF(CE$3=$DF16+'Model Setup'!$N$7,SUMIF($BH$3:$CE$3,"="&amp;$DF16+'Model Setup'!$N$7,$AD16:$BA16)+'Model Setup'!$N$8*(SUMIF($BH$3:$CE$3,"&lt;"&amp;$DF16,$AD16:$BA16)+SUMIF($BH$3:$CE$3,"&gt;"&amp;$CW$4,$AD16:$BA16)),
IF(CE$3&lt;$CW$4,Y16,0))))))))))))))),0)</f>
        <v>0</v>
      </c>
      <c r="CF16" s="47">
        <f t="shared" si="3"/>
        <v>196</v>
      </c>
      <c r="CG16" s="47">
        <f t="shared" si="4"/>
        <v>0</v>
      </c>
      <c r="CI16" s="10" t="s">
        <v>31</v>
      </c>
      <c r="CJ16" s="126">
        <f t="shared" si="9"/>
        <v>0</v>
      </c>
      <c r="CK16" s="126">
        <f t="shared" si="10"/>
        <v>19</v>
      </c>
      <c r="CL16" s="126">
        <f t="shared" si="11"/>
        <v>14</v>
      </c>
      <c r="CM16" s="126">
        <f t="shared" si="12"/>
        <v>9</v>
      </c>
      <c r="CN16" s="126">
        <f t="shared" si="13"/>
        <v>12</v>
      </c>
      <c r="CO16" s="126">
        <f t="shared" si="14"/>
        <v>14</v>
      </c>
      <c r="CP16" s="126">
        <f t="shared" si="15"/>
        <v>12</v>
      </c>
      <c r="CQ16" s="126">
        <f t="shared" si="16"/>
        <v>12</v>
      </c>
      <c r="CR16" s="126">
        <f t="shared" si="17"/>
        <v>8</v>
      </c>
      <c r="CS16" s="126">
        <f t="shared" si="18"/>
        <v>8</v>
      </c>
      <c r="CT16" s="126">
        <f t="shared" si="19"/>
        <v>8</v>
      </c>
      <c r="CU16" s="126">
        <f t="shared" si="20"/>
        <v>23</v>
      </c>
      <c r="CV16" s="126">
        <f t="shared" si="21"/>
        <v>34</v>
      </c>
      <c r="CW16" s="126">
        <f t="shared" si="22"/>
        <v>23</v>
      </c>
      <c r="CX16" s="126">
        <f t="shared" si="23"/>
        <v>0</v>
      </c>
      <c r="CY16" s="126">
        <f t="shared" si="24"/>
        <v>0</v>
      </c>
      <c r="CZ16" s="47">
        <f t="shared" si="7"/>
        <v>196</v>
      </c>
      <c r="DC16" s="93" t="s">
        <v>31</v>
      </c>
      <c r="DD16" s="89">
        <f>FTC!E14</f>
        <v>0.25</v>
      </c>
      <c r="DE16" s="89">
        <f>FTC!F14</f>
        <v>0.79166666666666663</v>
      </c>
      <c r="DF16" s="90">
        <f t="shared" si="25"/>
        <v>6</v>
      </c>
      <c r="DG16" s="91">
        <f t="shared" si="26"/>
        <v>19</v>
      </c>
      <c r="DH16" s="91">
        <f t="shared" si="27"/>
        <v>13</v>
      </c>
    </row>
    <row r="17" spans="1:112" x14ac:dyDescent="0.35">
      <c r="A17" s="43" t="s">
        <v>32</v>
      </c>
      <c r="B17" s="6"/>
      <c r="C17" s="6"/>
      <c r="D17" s="6"/>
      <c r="E17" s="47">
        <v>1</v>
      </c>
      <c r="F17" s="47">
        <v>2</v>
      </c>
      <c r="G17" s="47">
        <v>3</v>
      </c>
      <c r="H17" s="47">
        <v>18</v>
      </c>
      <c r="I17" s="47">
        <v>23</v>
      </c>
      <c r="J17" s="47">
        <v>12</v>
      </c>
      <c r="K17" s="47">
        <v>20</v>
      </c>
      <c r="L17" s="47">
        <v>16</v>
      </c>
      <c r="M17" s="47">
        <v>12</v>
      </c>
      <c r="N17" s="47">
        <v>15</v>
      </c>
      <c r="O17" s="47">
        <v>4</v>
      </c>
      <c r="P17" s="47">
        <v>11</v>
      </c>
      <c r="Q17" s="47">
        <v>5</v>
      </c>
      <c r="R17" s="47">
        <v>9</v>
      </c>
      <c r="S17" s="47">
        <v>5</v>
      </c>
      <c r="T17" s="47">
        <v>6</v>
      </c>
      <c r="U17" s="47">
        <v>1</v>
      </c>
      <c r="V17" s="6"/>
      <c r="W17" s="47">
        <v>4</v>
      </c>
      <c r="X17" s="47">
        <v>1</v>
      </c>
      <c r="Y17" s="6"/>
      <c r="Z17" s="47">
        <f t="shared" si="0"/>
        <v>168</v>
      </c>
      <c r="AC17" s="43" t="s">
        <v>32</v>
      </c>
      <c r="AD17" s="47">
        <f>ROUND(IF(AD$3&lt;$DF17,0,
IF(AD$3=$DF17+'Model Setup'!$B$7,SUMIF($AD$3:$BA$3,"="&amp;$DF17+'Model Setup'!$B$7,$B17:$Y17)+'Model Setup'!$B$8*(SUMIF($AD$3:$BA$3,"&lt;"&amp;$DF17,$B17:$Y17)+SUMIF($AD$3:$BA$3,"&gt;="&amp;$DG17,$B17:$Y17)),
IF(AD$3=$DF17+'Model Setup'!$C$7,SUMIF($AD$3:$BA$3,"="&amp;$DF17+'Model Setup'!$C$7,$B17:$Y17)+'Model Setup'!$C$8*(SUMIF($AD$3:$BA$3,"&lt;"&amp;$DF17,$B17:$Y17)+SUMIF($AD$3:$BA$3,"&gt;="&amp;$DG17,$B17:$Y17)),
IF(AD$3=$DF17+'Model Setup'!$D$7,SUMIF($AD$3:$BA$3,"="&amp;$DF17+'Model Setup'!$D$7,$B17:$Y17)+'Model Setup'!$D$8*(SUMIF($AD$3:$BA$3,"&lt;"&amp;$DF17,$B17:$Y17)+SUMIF($AD$3:$BA$3,"&gt;="&amp;$DG17,$B17:$Y17)),
IF(AD$3=$DF17+'Model Setup'!$E$7,SUMIF($AD$3:$BA$3,"="&amp;$DF17+'Model Setup'!$E$7,$B17:$Y17)+'Model Setup'!$E$8*(SUMIF($AD$3:$BA$3,"&lt;"&amp;$DF17,$B17:$Y17)+SUMIF($AD$3:$BA$3,"&gt;="&amp;$DG17,$B17:$Y17)),
IF(AD$3=$DF17+'Model Setup'!$F$7,SUMIF($AD$3:$BA$3,"="&amp;$DF17+'Model Setup'!$F$7,$B17:$Y17)+'Model Setup'!$F$8*(SUMIF($AD$3:$BA$3,"&lt;"&amp;$DF17,$B17:$Y17)+SUMIF($AD$3:$BA$3,"&gt;="&amp;$DG17,$B17:$Y17)),
IF(AD$3=$DF17+'Model Setup'!$G$7,SUMIF($AD$3:$BA$3,"="&amp;$DF17+'Model Setup'!$G$7,$B17:$Y17)+'Model Setup'!$G$8*(SUMIF($AD$3:$BA$3,"&lt;"&amp;$DF17,$B17:$Y17)+SUMIF($AD$3:$BA$3,"&gt;="&amp;$DG17,$B17:$Y17)),
IF(AD$3=$DF17+'Model Setup'!$H$7,SUMIF($AD$3:$BA$3,"="&amp;$DF17+'Model Setup'!$H$7,$B17:$Y17)+'Model Setup'!$H$8*(SUMIF($AD$3:$BA$3,"&lt;"&amp;$DF17,$B17:$Y17)+SUMIF($AD$3:$BA$3,"&gt;="&amp;$DG17,$B17:$Y17)),
IF(AD$3=$DF17+'Model Setup'!$I$7,SUMIF($AD$3:$BA$3,"="&amp;$DF17+'Model Setup'!$I$7,$B17:$Y17)+'Model Setup'!$I$8*(SUMIF($AD$3:$BA$3,"&lt;"&amp;$DF17,$B17:$Y17)+SUMIF($AD$3:$BA$3,"&gt;="&amp;$DG17,$B17:$Y17)),
IF(AD$3=$DF17+'Model Setup'!$J$7,SUMIF($AD$3:$BA$3,"="&amp;$DF17+'Model Setup'!$J$7,$B17:$Y17)+'Model Setup'!$J$8*(SUMIF($AD$3:$BA$3,"&lt;"&amp;$DF17,$B17:$Y17)+SUMIF($AD$3:$BA$3,"&gt;="&amp;$DG17,$B17:$Y17)),
IF(AD$3=$DF17+'Model Setup'!$K$7,SUMIF($AD$3:$BA$3,"="&amp;$DF17+'Model Setup'!$K$7,$B17:$Y17)+'Model Setup'!$K$8*(SUMIF($AD$3:$BA$3,"&lt;"&amp;$DF17,$B17:$Y17)+SUMIF($AD$3:$BA$3,"&gt;="&amp;$DG17,$B17:$Y17)),
IF(AD$3=$DF17+'Model Setup'!$L$7,SUMIF($AD$3:$BA$3,"="&amp;$DF17+'Model Setup'!$L$7,$B17:$Y17)+'Model Setup'!$L$8*(SUMIF($AD$3:$BA$3,"&lt;"&amp;$DF17,$B17:$Y17)+SUMIF($AD$3:$BA$3,"&gt;="&amp;$DG17,$B17:$Y17)),
IF(AD$3=$DF17+'Model Setup'!$M$7,SUMIF($AD$3:$BA$3,"="&amp;$DF17+'Model Setup'!$M$7,$B17:$Y17)+'Model Setup'!$M$8*(SUMIF($AD$3:$BA$3,"&lt;"&amp;$DF17,$B17:$Y17)+SUMIF($AD$3:$BA$3,"&gt;="&amp;$DG17,$B17:$Y17)),
IF(AD$3=$DF17+'Model Setup'!$N$7,SUMIF($AD$3:$BA$3,"="&amp;$DF17+'Model Setup'!$N$7,$B17:$Y17)+'Model Setup'!$N$8*(SUMIF($AD$3:$BA$3,"&lt;"&amp;$DF17,$B17:$Y17)+SUMIF($AD$3:$BA$3,"&gt;="&amp;$DG17,$B17:$Y17)),
IF(AD$3&lt;$DG17,B17,0))))))))))))))),0)</f>
        <v>0</v>
      </c>
      <c r="AE17" s="47">
        <f>ROUND(IF(AE$3&lt;$DF17,0,
IF(AE$3=$DF17+'Model Setup'!$B$7,SUMIF($AD$3:$BA$3,"="&amp;$DF17+'Model Setup'!$B$7,$B17:$Y17)+'Model Setup'!$B$8*(SUMIF($AD$3:$BA$3,"&lt;"&amp;$DF17,$B17:$Y17)+SUMIF($AD$3:$BA$3,"&gt;="&amp;$DG17,$B17:$Y17)),
IF(AE$3=$DF17+'Model Setup'!$C$7,SUMIF($AD$3:$BA$3,"="&amp;$DF17+'Model Setup'!$C$7,$B17:$Y17)+'Model Setup'!$C$8*(SUMIF($AD$3:$BA$3,"&lt;"&amp;$DF17,$B17:$Y17)+SUMIF($AD$3:$BA$3,"&gt;="&amp;$DG17,$B17:$Y17)),
IF(AE$3=$DF17+'Model Setup'!$D$7,SUMIF($AD$3:$BA$3,"="&amp;$DF17+'Model Setup'!$D$7,$B17:$Y17)+'Model Setup'!$D$8*(SUMIF($AD$3:$BA$3,"&lt;"&amp;$DF17,$B17:$Y17)+SUMIF($AD$3:$BA$3,"&gt;="&amp;$DG17,$B17:$Y17)),
IF(AE$3=$DF17+'Model Setup'!$E$7,SUMIF($AD$3:$BA$3,"="&amp;$DF17+'Model Setup'!$E$7,$B17:$Y17)+'Model Setup'!$E$8*(SUMIF($AD$3:$BA$3,"&lt;"&amp;$DF17,$B17:$Y17)+SUMIF($AD$3:$BA$3,"&gt;="&amp;$DG17,$B17:$Y17)),
IF(AE$3=$DF17+'Model Setup'!$F$7,SUMIF($AD$3:$BA$3,"="&amp;$DF17+'Model Setup'!$F$7,$B17:$Y17)+'Model Setup'!$F$8*(SUMIF($AD$3:$BA$3,"&lt;"&amp;$DF17,$B17:$Y17)+SUMIF($AD$3:$BA$3,"&gt;="&amp;$DG17,$B17:$Y17)),
IF(AE$3=$DF17+'Model Setup'!$G$7,SUMIF($AD$3:$BA$3,"="&amp;$DF17+'Model Setup'!$G$7,$B17:$Y17)+'Model Setup'!$G$8*(SUMIF($AD$3:$BA$3,"&lt;"&amp;$DF17,$B17:$Y17)+SUMIF($AD$3:$BA$3,"&gt;="&amp;$DG17,$B17:$Y17)),
IF(AE$3=$DF17+'Model Setup'!$H$7,SUMIF($AD$3:$BA$3,"="&amp;$DF17+'Model Setup'!$H$7,$B17:$Y17)+'Model Setup'!$H$8*(SUMIF($AD$3:$BA$3,"&lt;"&amp;$DF17,$B17:$Y17)+SUMIF($AD$3:$BA$3,"&gt;="&amp;$DG17,$B17:$Y17)),
IF(AE$3=$DF17+'Model Setup'!$I$7,SUMIF($AD$3:$BA$3,"="&amp;$DF17+'Model Setup'!$I$7,$B17:$Y17)+'Model Setup'!$I$8*(SUMIF($AD$3:$BA$3,"&lt;"&amp;$DF17,$B17:$Y17)+SUMIF($AD$3:$BA$3,"&gt;="&amp;$DG17,$B17:$Y17)),
IF(AE$3=$DF17+'Model Setup'!$J$7,SUMIF($AD$3:$BA$3,"="&amp;$DF17+'Model Setup'!$J$7,$B17:$Y17)+'Model Setup'!$J$8*(SUMIF($AD$3:$BA$3,"&lt;"&amp;$DF17,$B17:$Y17)+SUMIF($AD$3:$BA$3,"&gt;="&amp;$DG17,$B17:$Y17)),
IF(AE$3=$DF17+'Model Setup'!$K$7,SUMIF($AD$3:$BA$3,"="&amp;$DF17+'Model Setup'!$K$7,$B17:$Y17)+'Model Setup'!$K$8*(SUMIF($AD$3:$BA$3,"&lt;"&amp;$DF17,$B17:$Y17)+SUMIF($AD$3:$BA$3,"&gt;="&amp;$DG17,$B17:$Y17)),
IF(AE$3=$DF17+'Model Setup'!$L$7,SUMIF($AD$3:$BA$3,"="&amp;$DF17+'Model Setup'!$L$7,$B17:$Y17)+'Model Setup'!$L$8*(SUMIF($AD$3:$BA$3,"&lt;"&amp;$DF17,$B17:$Y17)+SUMIF($AD$3:$BA$3,"&gt;="&amp;$DG17,$B17:$Y17)),
IF(AE$3=$DF17+'Model Setup'!$M$7,SUMIF($AD$3:$BA$3,"="&amp;$DF17+'Model Setup'!$M$7,$B17:$Y17)+'Model Setup'!$M$8*(SUMIF($AD$3:$BA$3,"&lt;"&amp;$DF17,$B17:$Y17)+SUMIF($AD$3:$BA$3,"&gt;="&amp;$DG17,$B17:$Y17)),
IF(AE$3=$DF17+'Model Setup'!$N$7,SUMIF($AD$3:$BA$3,"="&amp;$DF17+'Model Setup'!$N$7,$B17:$Y17)+'Model Setup'!$N$8*(SUMIF($AD$3:$BA$3,"&lt;"&amp;$DF17,$B17:$Y17)+SUMIF($AD$3:$BA$3,"&gt;="&amp;$DG17,$B17:$Y17)),
IF(AE$3&lt;$DG17,C17,0))))))))))))))),0)</f>
        <v>0</v>
      </c>
      <c r="AF17" s="47">
        <f>ROUND(IF(AF$3&lt;$DF17,0,
IF(AF$3=$DF17+'Model Setup'!$B$7,SUMIF($AD$3:$BA$3,"="&amp;$DF17+'Model Setup'!$B$7,$B17:$Y17)+'Model Setup'!$B$8*(SUMIF($AD$3:$BA$3,"&lt;"&amp;$DF17,$B17:$Y17)+SUMIF($AD$3:$BA$3,"&gt;="&amp;$DG17,$B17:$Y17)),
IF(AF$3=$DF17+'Model Setup'!$C$7,SUMIF($AD$3:$BA$3,"="&amp;$DF17+'Model Setup'!$C$7,$B17:$Y17)+'Model Setup'!$C$8*(SUMIF($AD$3:$BA$3,"&lt;"&amp;$DF17,$B17:$Y17)+SUMIF($AD$3:$BA$3,"&gt;="&amp;$DG17,$B17:$Y17)),
IF(AF$3=$DF17+'Model Setup'!$D$7,SUMIF($AD$3:$BA$3,"="&amp;$DF17+'Model Setup'!$D$7,$B17:$Y17)+'Model Setup'!$D$8*(SUMIF($AD$3:$BA$3,"&lt;"&amp;$DF17,$B17:$Y17)+SUMIF($AD$3:$BA$3,"&gt;="&amp;$DG17,$B17:$Y17)),
IF(AF$3=$DF17+'Model Setup'!$E$7,SUMIF($AD$3:$BA$3,"="&amp;$DF17+'Model Setup'!$E$7,$B17:$Y17)+'Model Setup'!$E$8*(SUMIF($AD$3:$BA$3,"&lt;"&amp;$DF17,$B17:$Y17)+SUMIF($AD$3:$BA$3,"&gt;="&amp;$DG17,$B17:$Y17)),
IF(AF$3=$DF17+'Model Setup'!$F$7,SUMIF($AD$3:$BA$3,"="&amp;$DF17+'Model Setup'!$F$7,$B17:$Y17)+'Model Setup'!$F$8*(SUMIF($AD$3:$BA$3,"&lt;"&amp;$DF17,$B17:$Y17)+SUMIF($AD$3:$BA$3,"&gt;="&amp;$DG17,$B17:$Y17)),
IF(AF$3=$DF17+'Model Setup'!$G$7,SUMIF($AD$3:$BA$3,"="&amp;$DF17+'Model Setup'!$G$7,$B17:$Y17)+'Model Setup'!$G$8*(SUMIF($AD$3:$BA$3,"&lt;"&amp;$DF17,$B17:$Y17)+SUMIF($AD$3:$BA$3,"&gt;="&amp;$DG17,$B17:$Y17)),
IF(AF$3=$DF17+'Model Setup'!$H$7,SUMIF($AD$3:$BA$3,"="&amp;$DF17+'Model Setup'!$H$7,$B17:$Y17)+'Model Setup'!$H$8*(SUMIF($AD$3:$BA$3,"&lt;"&amp;$DF17,$B17:$Y17)+SUMIF($AD$3:$BA$3,"&gt;="&amp;$DG17,$B17:$Y17)),
IF(AF$3=$DF17+'Model Setup'!$I$7,SUMIF($AD$3:$BA$3,"="&amp;$DF17+'Model Setup'!$I$7,$B17:$Y17)+'Model Setup'!$I$8*(SUMIF($AD$3:$BA$3,"&lt;"&amp;$DF17,$B17:$Y17)+SUMIF($AD$3:$BA$3,"&gt;="&amp;$DG17,$B17:$Y17)),
IF(AF$3=$DF17+'Model Setup'!$J$7,SUMIF($AD$3:$BA$3,"="&amp;$DF17+'Model Setup'!$J$7,$B17:$Y17)+'Model Setup'!$J$8*(SUMIF($AD$3:$BA$3,"&lt;"&amp;$DF17,$B17:$Y17)+SUMIF($AD$3:$BA$3,"&gt;="&amp;$DG17,$B17:$Y17)),
IF(AF$3=$DF17+'Model Setup'!$K$7,SUMIF($AD$3:$BA$3,"="&amp;$DF17+'Model Setup'!$K$7,$B17:$Y17)+'Model Setup'!$K$8*(SUMIF($AD$3:$BA$3,"&lt;"&amp;$DF17,$B17:$Y17)+SUMIF($AD$3:$BA$3,"&gt;="&amp;$DG17,$B17:$Y17)),
IF(AF$3=$DF17+'Model Setup'!$L$7,SUMIF($AD$3:$BA$3,"="&amp;$DF17+'Model Setup'!$L$7,$B17:$Y17)+'Model Setup'!$L$8*(SUMIF($AD$3:$BA$3,"&lt;"&amp;$DF17,$B17:$Y17)+SUMIF($AD$3:$BA$3,"&gt;="&amp;$DG17,$B17:$Y17)),
IF(AF$3=$DF17+'Model Setup'!$M$7,SUMIF($AD$3:$BA$3,"="&amp;$DF17+'Model Setup'!$M$7,$B17:$Y17)+'Model Setup'!$M$8*(SUMIF($AD$3:$BA$3,"&lt;"&amp;$DF17,$B17:$Y17)+SUMIF($AD$3:$BA$3,"&gt;="&amp;$DG17,$B17:$Y17)),
IF(AF$3=$DF17+'Model Setup'!$N$7,SUMIF($AD$3:$BA$3,"="&amp;$DF17+'Model Setup'!$N$7,$B17:$Y17)+'Model Setup'!$N$8*(SUMIF($AD$3:$BA$3,"&lt;"&amp;$DF17,$B17:$Y17)+SUMIF($AD$3:$BA$3,"&gt;="&amp;$DG17,$B17:$Y17)),
IF(AF$3&lt;$DG17,D17,0))))))))))))))),0)</f>
        <v>0</v>
      </c>
      <c r="AG17" s="47">
        <f>ROUND(IF(AG$3&lt;$DF17,0,
IF(AG$3=$DF17+'Model Setup'!$B$7,SUMIF($AD$3:$BA$3,"="&amp;$DF17+'Model Setup'!$B$7,$B17:$Y17)+'Model Setup'!$B$8*(SUMIF($AD$3:$BA$3,"&lt;"&amp;$DF17,$B17:$Y17)+SUMIF($AD$3:$BA$3,"&gt;="&amp;$DG17,$B17:$Y17)),
IF(AG$3=$DF17+'Model Setup'!$C$7,SUMIF($AD$3:$BA$3,"="&amp;$DF17+'Model Setup'!$C$7,$B17:$Y17)+'Model Setup'!$C$8*(SUMIF($AD$3:$BA$3,"&lt;"&amp;$DF17,$B17:$Y17)+SUMIF($AD$3:$BA$3,"&gt;="&amp;$DG17,$B17:$Y17)),
IF(AG$3=$DF17+'Model Setup'!$D$7,SUMIF($AD$3:$BA$3,"="&amp;$DF17+'Model Setup'!$D$7,$B17:$Y17)+'Model Setup'!$D$8*(SUMIF($AD$3:$BA$3,"&lt;"&amp;$DF17,$B17:$Y17)+SUMIF($AD$3:$BA$3,"&gt;="&amp;$DG17,$B17:$Y17)),
IF(AG$3=$DF17+'Model Setup'!$E$7,SUMIF($AD$3:$BA$3,"="&amp;$DF17+'Model Setup'!$E$7,$B17:$Y17)+'Model Setup'!$E$8*(SUMIF($AD$3:$BA$3,"&lt;"&amp;$DF17,$B17:$Y17)+SUMIF($AD$3:$BA$3,"&gt;="&amp;$DG17,$B17:$Y17)),
IF(AG$3=$DF17+'Model Setup'!$F$7,SUMIF($AD$3:$BA$3,"="&amp;$DF17+'Model Setup'!$F$7,$B17:$Y17)+'Model Setup'!$F$8*(SUMIF($AD$3:$BA$3,"&lt;"&amp;$DF17,$B17:$Y17)+SUMIF($AD$3:$BA$3,"&gt;="&amp;$DG17,$B17:$Y17)),
IF(AG$3=$DF17+'Model Setup'!$G$7,SUMIF($AD$3:$BA$3,"="&amp;$DF17+'Model Setup'!$G$7,$B17:$Y17)+'Model Setup'!$G$8*(SUMIF($AD$3:$BA$3,"&lt;"&amp;$DF17,$B17:$Y17)+SUMIF($AD$3:$BA$3,"&gt;="&amp;$DG17,$B17:$Y17)),
IF(AG$3=$DF17+'Model Setup'!$H$7,SUMIF($AD$3:$BA$3,"="&amp;$DF17+'Model Setup'!$H$7,$B17:$Y17)+'Model Setup'!$H$8*(SUMIF($AD$3:$BA$3,"&lt;"&amp;$DF17,$B17:$Y17)+SUMIF($AD$3:$BA$3,"&gt;="&amp;$DG17,$B17:$Y17)),
IF(AG$3=$DF17+'Model Setup'!$I$7,SUMIF($AD$3:$BA$3,"="&amp;$DF17+'Model Setup'!$I$7,$B17:$Y17)+'Model Setup'!$I$8*(SUMIF($AD$3:$BA$3,"&lt;"&amp;$DF17,$B17:$Y17)+SUMIF($AD$3:$BA$3,"&gt;="&amp;$DG17,$B17:$Y17)),
IF(AG$3=$DF17+'Model Setup'!$J$7,SUMIF($AD$3:$BA$3,"="&amp;$DF17+'Model Setup'!$J$7,$B17:$Y17)+'Model Setup'!$J$8*(SUMIF($AD$3:$BA$3,"&lt;"&amp;$DF17,$B17:$Y17)+SUMIF($AD$3:$BA$3,"&gt;="&amp;$DG17,$B17:$Y17)),
IF(AG$3=$DF17+'Model Setup'!$K$7,SUMIF($AD$3:$BA$3,"="&amp;$DF17+'Model Setup'!$K$7,$B17:$Y17)+'Model Setup'!$K$8*(SUMIF($AD$3:$BA$3,"&lt;"&amp;$DF17,$B17:$Y17)+SUMIF($AD$3:$BA$3,"&gt;="&amp;$DG17,$B17:$Y17)),
IF(AG$3=$DF17+'Model Setup'!$L$7,SUMIF($AD$3:$BA$3,"="&amp;$DF17+'Model Setup'!$L$7,$B17:$Y17)+'Model Setup'!$L$8*(SUMIF($AD$3:$BA$3,"&lt;"&amp;$DF17,$B17:$Y17)+SUMIF($AD$3:$BA$3,"&gt;="&amp;$DG17,$B17:$Y17)),
IF(AG$3=$DF17+'Model Setup'!$M$7,SUMIF($AD$3:$BA$3,"="&amp;$DF17+'Model Setup'!$M$7,$B17:$Y17)+'Model Setup'!$M$8*(SUMIF($AD$3:$BA$3,"&lt;"&amp;$DF17,$B17:$Y17)+SUMIF($AD$3:$BA$3,"&gt;="&amp;$DG17,$B17:$Y17)),
IF(AG$3=$DF17+'Model Setup'!$N$7,SUMIF($AD$3:$BA$3,"="&amp;$DF17+'Model Setup'!$N$7,$B17:$Y17)+'Model Setup'!$N$8*(SUMIF($AD$3:$BA$3,"&lt;"&amp;$DF17,$B17:$Y17)+SUMIF($AD$3:$BA$3,"&gt;="&amp;$DG17,$B17:$Y17)),
IF(AG$3&lt;$DG17,E17,0))))))))))))))),0)</f>
        <v>0</v>
      </c>
      <c r="AH17" s="47">
        <f>ROUND(IF(AH$3&lt;$DF17,0,
IF(AH$3=$DF17+'Model Setup'!$B$7,SUMIF($AD$3:$BA$3,"="&amp;$DF17+'Model Setup'!$B$7,$B17:$Y17)+'Model Setup'!$B$8*(SUMIF($AD$3:$BA$3,"&lt;"&amp;$DF17,$B17:$Y17)+SUMIF($AD$3:$BA$3,"&gt;="&amp;$DG17,$B17:$Y17)),
IF(AH$3=$DF17+'Model Setup'!$C$7,SUMIF($AD$3:$BA$3,"="&amp;$DF17+'Model Setup'!$C$7,$B17:$Y17)+'Model Setup'!$C$8*(SUMIF($AD$3:$BA$3,"&lt;"&amp;$DF17,$B17:$Y17)+SUMIF($AD$3:$BA$3,"&gt;="&amp;$DG17,$B17:$Y17)),
IF(AH$3=$DF17+'Model Setup'!$D$7,SUMIF($AD$3:$BA$3,"="&amp;$DF17+'Model Setup'!$D$7,$B17:$Y17)+'Model Setup'!$D$8*(SUMIF($AD$3:$BA$3,"&lt;"&amp;$DF17,$B17:$Y17)+SUMIF($AD$3:$BA$3,"&gt;="&amp;$DG17,$B17:$Y17)),
IF(AH$3=$DF17+'Model Setup'!$E$7,SUMIF($AD$3:$BA$3,"="&amp;$DF17+'Model Setup'!$E$7,$B17:$Y17)+'Model Setup'!$E$8*(SUMIF($AD$3:$BA$3,"&lt;"&amp;$DF17,$B17:$Y17)+SUMIF($AD$3:$BA$3,"&gt;="&amp;$DG17,$B17:$Y17)),
IF(AH$3=$DF17+'Model Setup'!$F$7,SUMIF($AD$3:$BA$3,"="&amp;$DF17+'Model Setup'!$F$7,$B17:$Y17)+'Model Setup'!$F$8*(SUMIF($AD$3:$BA$3,"&lt;"&amp;$DF17,$B17:$Y17)+SUMIF($AD$3:$BA$3,"&gt;="&amp;$DG17,$B17:$Y17)),
IF(AH$3=$DF17+'Model Setup'!$G$7,SUMIF($AD$3:$BA$3,"="&amp;$DF17+'Model Setup'!$G$7,$B17:$Y17)+'Model Setup'!$G$8*(SUMIF($AD$3:$BA$3,"&lt;"&amp;$DF17,$B17:$Y17)+SUMIF($AD$3:$BA$3,"&gt;="&amp;$DG17,$B17:$Y17)),
IF(AH$3=$DF17+'Model Setup'!$H$7,SUMIF($AD$3:$BA$3,"="&amp;$DF17+'Model Setup'!$H$7,$B17:$Y17)+'Model Setup'!$H$8*(SUMIF($AD$3:$BA$3,"&lt;"&amp;$DF17,$B17:$Y17)+SUMIF($AD$3:$BA$3,"&gt;="&amp;$DG17,$B17:$Y17)),
IF(AH$3=$DF17+'Model Setup'!$I$7,SUMIF($AD$3:$BA$3,"="&amp;$DF17+'Model Setup'!$I$7,$B17:$Y17)+'Model Setup'!$I$8*(SUMIF($AD$3:$BA$3,"&lt;"&amp;$DF17,$B17:$Y17)+SUMIF($AD$3:$BA$3,"&gt;="&amp;$DG17,$B17:$Y17)),
IF(AH$3=$DF17+'Model Setup'!$J$7,SUMIF($AD$3:$BA$3,"="&amp;$DF17+'Model Setup'!$J$7,$B17:$Y17)+'Model Setup'!$J$8*(SUMIF($AD$3:$BA$3,"&lt;"&amp;$DF17,$B17:$Y17)+SUMIF($AD$3:$BA$3,"&gt;="&amp;$DG17,$B17:$Y17)),
IF(AH$3=$DF17+'Model Setup'!$K$7,SUMIF($AD$3:$BA$3,"="&amp;$DF17+'Model Setup'!$K$7,$B17:$Y17)+'Model Setup'!$K$8*(SUMIF($AD$3:$BA$3,"&lt;"&amp;$DF17,$B17:$Y17)+SUMIF($AD$3:$BA$3,"&gt;="&amp;$DG17,$B17:$Y17)),
IF(AH$3=$DF17+'Model Setup'!$L$7,SUMIF($AD$3:$BA$3,"="&amp;$DF17+'Model Setup'!$L$7,$B17:$Y17)+'Model Setup'!$L$8*(SUMIF($AD$3:$BA$3,"&lt;"&amp;$DF17,$B17:$Y17)+SUMIF($AD$3:$BA$3,"&gt;="&amp;$DG17,$B17:$Y17)),
IF(AH$3=$DF17+'Model Setup'!$M$7,SUMIF($AD$3:$BA$3,"="&amp;$DF17+'Model Setup'!$M$7,$B17:$Y17)+'Model Setup'!$M$8*(SUMIF($AD$3:$BA$3,"&lt;"&amp;$DF17,$B17:$Y17)+SUMIF($AD$3:$BA$3,"&gt;="&amp;$DG17,$B17:$Y17)),
IF(AH$3=$DF17+'Model Setup'!$N$7,SUMIF($AD$3:$BA$3,"="&amp;$DF17+'Model Setup'!$N$7,$B17:$Y17)+'Model Setup'!$N$8*(SUMIF($AD$3:$BA$3,"&lt;"&amp;$DF17,$B17:$Y17)+SUMIF($AD$3:$BA$3,"&gt;="&amp;$DG17,$B17:$Y17)),
IF(AH$3&lt;$DG17,F17,0))))))))))))))),0)</f>
        <v>0</v>
      </c>
      <c r="AI17" s="47">
        <f>ROUND(IF(AI$3&lt;$DF17,0,
IF(AI$3=$DF17+'Model Setup'!$B$7,SUMIF($AD$3:$BA$3,"="&amp;$DF17+'Model Setup'!$B$7,$B17:$Y17)+'Model Setup'!$B$8*(SUMIF($AD$3:$BA$3,"&lt;"&amp;$DF17,$B17:$Y17)+SUMIF($AD$3:$BA$3,"&gt;="&amp;$DG17,$B17:$Y17)),
IF(AI$3=$DF17+'Model Setup'!$C$7,SUMIF($AD$3:$BA$3,"="&amp;$DF17+'Model Setup'!$C$7,$B17:$Y17)+'Model Setup'!$C$8*(SUMIF($AD$3:$BA$3,"&lt;"&amp;$DF17,$B17:$Y17)+SUMIF($AD$3:$BA$3,"&gt;="&amp;$DG17,$B17:$Y17)),
IF(AI$3=$DF17+'Model Setup'!$D$7,SUMIF($AD$3:$BA$3,"="&amp;$DF17+'Model Setup'!$D$7,$B17:$Y17)+'Model Setup'!$D$8*(SUMIF($AD$3:$BA$3,"&lt;"&amp;$DF17,$B17:$Y17)+SUMIF($AD$3:$BA$3,"&gt;="&amp;$DG17,$B17:$Y17)),
IF(AI$3=$DF17+'Model Setup'!$E$7,SUMIF($AD$3:$BA$3,"="&amp;$DF17+'Model Setup'!$E$7,$B17:$Y17)+'Model Setup'!$E$8*(SUMIF($AD$3:$BA$3,"&lt;"&amp;$DF17,$B17:$Y17)+SUMIF($AD$3:$BA$3,"&gt;="&amp;$DG17,$B17:$Y17)),
IF(AI$3=$DF17+'Model Setup'!$F$7,SUMIF($AD$3:$BA$3,"="&amp;$DF17+'Model Setup'!$F$7,$B17:$Y17)+'Model Setup'!$F$8*(SUMIF($AD$3:$BA$3,"&lt;"&amp;$DF17,$B17:$Y17)+SUMIF($AD$3:$BA$3,"&gt;="&amp;$DG17,$B17:$Y17)),
IF(AI$3=$DF17+'Model Setup'!$G$7,SUMIF($AD$3:$BA$3,"="&amp;$DF17+'Model Setup'!$G$7,$B17:$Y17)+'Model Setup'!$G$8*(SUMIF($AD$3:$BA$3,"&lt;"&amp;$DF17,$B17:$Y17)+SUMIF($AD$3:$BA$3,"&gt;="&amp;$DG17,$B17:$Y17)),
IF(AI$3=$DF17+'Model Setup'!$H$7,SUMIF($AD$3:$BA$3,"="&amp;$DF17+'Model Setup'!$H$7,$B17:$Y17)+'Model Setup'!$H$8*(SUMIF($AD$3:$BA$3,"&lt;"&amp;$DF17,$B17:$Y17)+SUMIF($AD$3:$BA$3,"&gt;="&amp;$DG17,$B17:$Y17)),
IF(AI$3=$DF17+'Model Setup'!$I$7,SUMIF($AD$3:$BA$3,"="&amp;$DF17+'Model Setup'!$I$7,$B17:$Y17)+'Model Setup'!$I$8*(SUMIF($AD$3:$BA$3,"&lt;"&amp;$DF17,$B17:$Y17)+SUMIF($AD$3:$BA$3,"&gt;="&amp;$DG17,$B17:$Y17)),
IF(AI$3=$DF17+'Model Setup'!$J$7,SUMIF($AD$3:$BA$3,"="&amp;$DF17+'Model Setup'!$J$7,$B17:$Y17)+'Model Setup'!$J$8*(SUMIF($AD$3:$BA$3,"&lt;"&amp;$DF17,$B17:$Y17)+SUMIF($AD$3:$BA$3,"&gt;="&amp;$DG17,$B17:$Y17)),
IF(AI$3=$DF17+'Model Setup'!$K$7,SUMIF($AD$3:$BA$3,"="&amp;$DF17+'Model Setup'!$K$7,$B17:$Y17)+'Model Setup'!$K$8*(SUMIF($AD$3:$BA$3,"&lt;"&amp;$DF17,$B17:$Y17)+SUMIF($AD$3:$BA$3,"&gt;="&amp;$DG17,$B17:$Y17)),
IF(AI$3=$DF17+'Model Setup'!$L$7,SUMIF($AD$3:$BA$3,"="&amp;$DF17+'Model Setup'!$L$7,$B17:$Y17)+'Model Setup'!$L$8*(SUMIF($AD$3:$BA$3,"&lt;"&amp;$DF17,$B17:$Y17)+SUMIF($AD$3:$BA$3,"&gt;="&amp;$DG17,$B17:$Y17)),
IF(AI$3=$DF17+'Model Setup'!$M$7,SUMIF($AD$3:$BA$3,"="&amp;$DF17+'Model Setup'!$M$7,$B17:$Y17)+'Model Setup'!$M$8*(SUMIF($AD$3:$BA$3,"&lt;"&amp;$DF17,$B17:$Y17)+SUMIF($AD$3:$BA$3,"&gt;="&amp;$DG17,$B17:$Y17)),
IF(AI$3=$DF17+'Model Setup'!$N$7,SUMIF($AD$3:$BA$3,"="&amp;$DF17+'Model Setup'!$N$7,$B17:$Y17)+'Model Setup'!$N$8*(SUMIF($AD$3:$BA$3,"&lt;"&amp;$DF17,$B17:$Y17)+SUMIF($AD$3:$BA$3,"&gt;="&amp;$DG17,$B17:$Y17)),
IF(AI$3&lt;$DG17,G17,0))))))))))))))),0)</f>
        <v>0</v>
      </c>
      <c r="AJ17" s="47">
        <f>ROUND(IF(AJ$3&lt;$DF17,0,
IF(AJ$3=$DF17+'Model Setup'!$B$7,SUMIF($AD$3:$BA$3,"="&amp;$DF17+'Model Setup'!$B$7,$B17:$Y17)+'Model Setup'!$B$8*(SUMIF($AD$3:$BA$3,"&lt;"&amp;$DF17,$B17:$Y17)+SUMIF($AD$3:$BA$3,"&gt;="&amp;$DG17,$B17:$Y17)),
IF(AJ$3=$DF17+'Model Setup'!$C$7,SUMIF($AD$3:$BA$3,"="&amp;$DF17+'Model Setup'!$C$7,$B17:$Y17)+'Model Setup'!$C$8*(SUMIF($AD$3:$BA$3,"&lt;"&amp;$DF17,$B17:$Y17)+SUMIF($AD$3:$BA$3,"&gt;="&amp;$DG17,$B17:$Y17)),
IF(AJ$3=$DF17+'Model Setup'!$D$7,SUMIF($AD$3:$BA$3,"="&amp;$DF17+'Model Setup'!$D$7,$B17:$Y17)+'Model Setup'!$D$8*(SUMIF($AD$3:$BA$3,"&lt;"&amp;$DF17,$B17:$Y17)+SUMIF($AD$3:$BA$3,"&gt;="&amp;$DG17,$B17:$Y17)),
IF(AJ$3=$DF17+'Model Setup'!$E$7,SUMIF($AD$3:$BA$3,"="&amp;$DF17+'Model Setup'!$E$7,$B17:$Y17)+'Model Setup'!$E$8*(SUMIF($AD$3:$BA$3,"&lt;"&amp;$DF17,$B17:$Y17)+SUMIF($AD$3:$BA$3,"&gt;="&amp;$DG17,$B17:$Y17)),
IF(AJ$3=$DF17+'Model Setup'!$F$7,SUMIF($AD$3:$BA$3,"="&amp;$DF17+'Model Setup'!$F$7,$B17:$Y17)+'Model Setup'!$F$8*(SUMIF($AD$3:$BA$3,"&lt;"&amp;$DF17,$B17:$Y17)+SUMIF($AD$3:$BA$3,"&gt;="&amp;$DG17,$B17:$Y17)),
IF(AJ$3=$DF17+'Model Setup'!$G$7,SUMIF($AD$3:$BA$3,"="&amp;$DF17+'Model Setup'!$G$7,$B17:$Y17)+'Model Setup'!$G$8*(SUMIF($AD$3:$BA$3,"&lt;"&amp;$DF17,$B17:$Y17)+SUMIF($AD$3:$BA$3,"&gt;="&amp;$DG17,$B17:$Y17)),
IF(AJ$3=$DF17+'Model Setup'!$H$7,SUMIF($AD$3:$BA$3,"="&amp;$DF17+'Model Setup'!$H$7,$B17:$Y17)+'Model Setup'!$H$8*(SUMIF($AD$3:$BA$3,"&lt;"&amp;$DF17,$B17:$Y17)+SUMIF($AD$3:$BA$3,"&gt;="&amp;$DG17,$B17:$Y17)),
IF(AJ$3=$DF17+'Model Setup'!$I$7,SUMIF($AD$3:$BA$3,"="&amp;$DF17+'Model Setup'!$I$7,$B17:$Y17)+'Model Setup'!$I$8*(SUMIF($AD$3:$BA$3,"&lt;"&amp;$DF17,$B17:$Y17)+SUMIF($AD$3:$BA$3,"&gt;="&amp;$DG17,$B17:$Y17)),
IF(AJ$3=$DF17+'Model Setup'!$J$7,SUMIF($AD$3:$BA$3,"="&amp;$DF17+'Model Setup'!$J$7,$B17:$Y17)+'Model Setup'!$J$8*(SUMIF($AD$3:$BA$3,"&lt;"&amp;$DF17,$B17:$Y17)+SUMIF($AD$3:$BA$3,"&gt;="&amp;$DG17,$B17:$Y17)),
IF(AJ$3=$DF17+'Model Setup'!$K$7,SUMIF($AD$3:$BA$3,"="&amp;$DF17+'Model Setup'!$K$7,$B17:$Y17)+'Model Setup'!$K$8*(SUMIF($AD$3:$BA$3,"&lt;"&amp;$DF17,$B17:$Y17)+SUMIF($AD$3:$BA$3,"&gt;="&amp;$DG17,$B17:$Y17)),
IF(AJ$3=$DF17+'Model Setup'!$L$7,SUMIF($AD$3:$BA$3,"="&amp;$DF17+'Model Setup'!$L$7,$B17:$Y17)+'Model Setup'!$L$8*(SUMIF($AD$3:$BA$3,"&lt;"&amp;$DF17,$B17:$Y17)+SUMIF($AD$3:$BA$3,"&gt;="&amp;$DG17,$B17:$Y17)),
IF(AJ$3=$DF17+'Model Setup'!$M$7,SUMIF($AD$3:$BA$3,"="&amp;$DF17+'Model Setup'!$M$7,$B17:$Y17)+'Model Setup'!$M$8*(SUMIF($AD$3:$BA$3,"&lt;"&amp;$DF17,$B17:$Y17)+SUMIF($AD$3:$BA$3,"&gt;="&amp;$DG17,$B17:$Y17)),
IF(AJ$3=$DF17+'Model Setup'!$N$7,SUMIF($AD$3:$BA$3,"="&amp;$DF17+'Model Setup'!$N$7,$B17:$Y17)+'Model Setup'!$N$8*(SUMIF($AD$3:$BA$3,"&lt;"&amp;$DF17,$B17:$Y17)+SUMIF($AD$3:$BA$3,"&gt;="&amp;$DG17,$B17:$Y17)),
IF(AJ$3&lt;$DG17,H17,0))))))))))))))),0)</f>
        <v>18</v>
      </c>
      <c r="AK17" s="47">
        <f>ROUND(IF(AK$3&lt;$DF17,0,
IF(AK$3=$DF17+'Model Setup'!$B$7,SUMIF($AD$3:$BA$3,"="&amp;$DF17+'Model Setup'!$B$7,$B17:$Y17)+'Model Setup'!$B$8*(SUMIF($AD$3:$BA$3,"&lt;"&amp;$DF17,$B17:$Y17)+SUMIF($AD$3:$BA$3,"&gt;="&amp;$DG17,$B17:$Y17)),
IF(AK$3=$DF17+'Model Setup'!$C$7,SUMIF($AD$3:$BA$3,"="&amp;$DF17+'Model Setup'!$C$7,$B17:$Y17)+'Model Setup'!$C$8*(SUMIF($AD$3:$BA$3,"&lt;"&amp;$DF17,$B17:$Y17)+SUMIF($AD$3:$BA$3,"&gt;="&amp;$DG17,$B17:$Y17)),
IF(AK$3=$DF17+'Model Setup'!$D$7,SUMIF($AD$3:$BA$3,"="&amp;$DF17+'Model Setup'!$D$7,$B17:$Y17)+'Model Setup'!$D$8*(SUMIF($AD$3:$BA$3,"&lt;"&amp;$DF17,$B17:$Y17)+SUMIF($AD$3:$BA$3,"&gt;="&amp;$DG17,$B17:$Y17)),
IF(AK$3=$DF17+'Model Setup'!$E$7,SUMIF($AD$3:$BA$3,"="&amp;$DF17+'Model Setup'!$E$7,$B17:$Y17)+'Model Setup'!$E$8*(SUMIF($AD$3:$BA$3,"&lt;"&amp;$DF17,$B17:$Y17)+SUMIF($AD$3:$BA$3,"&gt;="&amp;$DG17,$B17:$Y17)),
IF(AK$3=$DF17+'Model Setup'!$F$7,SUMIF($AD$3:$BA$3,"="&amp;$DF17+'Model Setup'!$F$7,$B17:$Y17)+'Model Setup'!$F$8*(SUMIF($AD$3:$BA$3,"&lt;"&amp;$DF17,$B17:$Y17)+SUMIF($AD$3:$BA$3,"&gt;="&amp;$DG17,$B17:$Y17)),
IF(AK$3=$DF17+'Model Setup'!$G$7,SUMIF($AD$3:$BA$3,"="&amp;$DF17+'Model Setup'!$G$7,$B17:$Y17)+'Model Setup'!$G$8*(SUMIF($AD$3:$BA$3,"&lt;"&amp;$DF17,$B17:$Y17)+SUMIF($AD$3:$BA$3,"&gt;="&amp;$DG17,$B17:$Y17)),
IF(AK$3=$DF17+'Model Setup'!$H$7,SUMIF($AD$3:$BA$3,"="&amp;$DF17+'Model Setup'!$H$7,$B17:$Y17)+'Model Setup'!$H$8*(SUMIF($AD$3:$BA$3,"&lt;"&amp;$DF17,$B17:$Y17)+SUMIF($AD$3:$BA$3,"&gt;="&amp;$DG17,$B17:$Y17)),
IF(AK$3=$DF17+'Model Setup'!$I$7,SUMIF($AD$3:$BA$3,"="&amp;$DF17+'Model Setup'!$I$7,$B17:$Y17)+'Model Setup'!$I$8*(SUMIF($AD$3:$BA$3,"&lt;"&amp;$DF17,$B17:$Y17)+SUMIF($AD$3:$BA$3,"&gt;="&amp;$DG17,$B17:$Y17)),
IF(AK$3=$DF17+'Model Setup'!$J$7,SUMIF($AD$3:$BA$3,"="&amp;$DF17+'Model Setup'!$J$7,$B17:$Y17)+'Model Setup'!$J$8*(SUMIF($AD$3:$BA$3,"&lt;"&amp;$DF17,$B17:$Y17)+SUMIF($AD$3:$BA$3,"&gt;="&amp;$DG17,$B17:$Y17)),
IF(AK$3=$DF17+'Model Setup'!$K$7,SUMIF($AD$3:$BA$3,"="&amp;$DF17+'Model Setup'!$K$7,$B17:$Y17)+'Model Setup'!$K$8*(SUMIF($AD$3:$BA$3,"&lt;"&amp;$DF17,$B17:$Y17)+SUMIF($AD$3:$BA$3,"&gt;="&amp;$DG17,$B17:$Y17)),
IF(AK$3=$DF17+'Model Setup'!$L$7,SUMIF($AD$3:$BA$3,"="&amp;$DF17+'Model Setup'!$L$7,$B17:$Y17)+'Model Setup'!$L$8*(SUMIF($AD$3:$BA$3,"&lt;"&amp;$DF17,$B17:$Y17)+SUMIF($AD$3:$BA$3,"&gt;="&amp;$DG17,$B17:$Y17)),
IF(AK$3=$DF17+'Model Setup'!$M$7,SUMIF($AD$3:$BA$3,"="&amp;$DF17+'Model Setup'!$M$7,$B17:$Y17)+'Model Setup'!$M$8*(SUMIF($AD$3:$BA$3,"&lt;"&amp;$DF17,$B17:$Y17)+SUMIF($AD$3:$BA$3,"&gt;="&amp;$DG17,$B17:$Y17)),
IF(AK$3=$DF17+'Model Setup'!$N$7,SUMIF($AD$3:$BA$3,"="&amp;$DF17+'Model Setup'!$N$7,$B17:$Y17)+'Model Setup'!$N$8*(SUMIF($AD$3:$BA$3,"&lt;"&amp;$DF17,$B17:$Y17)+SUMIF($AD$3:$BA$3,"&gt;="&amp;$DG17,$B17:$Y17)),
IF(AK$3&lt;$DG17,I17,0))))))))))))))),0)</f>
        <v>23</v>
      </c>
      <c r="AL17" s="47">
        <f>ROUND(IF(AL$3&lt;$DF17,0,
IF(AL$3=$DF17+'Model Setup'!$B$7,SUMIF($AD$3:$BA$3,"="&amp;$DF17+'Model Setup'!$B$7,$B17:$Y17)+'Model Setup'!$B$8*(SUMIF($AD$3:$BA$3,"&lt;"&amp;$DF17,$B17:$Y17)+SUMIF($AD$3:$BA$3,"&gt;="&amp;$DG17,$B17:$Y17)),
IF(AL$3=$DF17+'Model Setup'!$C$7,SUMIF($AD$3:$BA$3,"="&amp;$DF17+'Model Setup'!$C$7,$B17:$Y17)+'Model Setup'!$C$8*(SUMIF($AD$3:$BA$3,"&lt;"&amp;$DF17,$B17:$Y17)+SUMIF($AD$3:$BA$3,"&gt;="&amp;$DG17,$B17:$Y17)),
IF(AL$3=$DF17+'Model Setup'!$D$7,SUMIF($AD$3:$BA$3,"="&amp;$DF17+'Model Setup'!$D$7,$B17:$Y17)+'Model Setup'!$D$8*(SUMIF($AD$3:$BA$3,"&lt;"&amp;$DF17,$B17:$Y17)+SUMIF($AD$3:$BA$3,"&gt;="&amp;$DG17,$B17:$Y17)),
IF(AL$3=$DF17+'Model Setup'!$E$7,SUMIF($AD$3:$BA$3,"="&amp;$DF17+'Model Setup'!$E$7,$B17:$Y17)+'Model Setup'!$E$8*(SUMIF($AD$3:$BA$3,"&lt;"&amp;$DF17,$B17:$Y17)+SUMIF($AD$3:$BA$3,"&gt;="&amp;$DG17,$B17:$Y17)),
IF(AL$3=$DF17+'Model Setup'!$F$7,SUMIF($AD$3:$BA$3,"="&amp;$DF17+'Model Setup'!$F$7,$B17:$Y17)+'Model Setup'!$F$8*(SUMIF($AD$3:$BA$3,"&lt;"&amp;$DF17,$B17:$Y17)+SUMIF($AD$3:$BA$3,"&gt;="&amp;$DG17,$B17:$Y17)),
IF(AL$3=$DF17+'Model Setup'!$G$7,SUMIF($AD$3:$BA$3,"="&amp;$DF17+'Model Setup'!$G$7,$B17:$Y17)+'Model Setup'!$G$8*(SUMIF($AD$3:$BA$3,"&lt;"&amp;$DF17,$B17:$Y17)+SUMIF($AD$3:$BA$3,"&gt;="&amp;$DG17,$B17:$Y17)),
IF(AL$3=$DF17+'Model Setup'!$H$7,SUMIF($AD$3:$BA$3,"="&amp;$DF17+'Model Setup'!$H$7,$B17:$Y17)+'Model Setup'!$H$8*(SUMIF($AD$3:$BA$3,"&lt;"&amp;$DF17,$B17:$Y17)+SUMIF($AD$3:$BA$3,"&gt;="&amp;$DG17,$B17:$Y17)),
IF(AL$3=$DF17+'Model Setup'!$I$7,SUMIF($AD$3:$BA$3,"="&amp;$DF17+'Model Setup'!$I$7,$B17:$Y17)+'Model Setup'!$I$8*(SUMIF($AD$3:$BA$3,"&lt;"&amp;$DF17,$B17:$Y17)+SUMIF($AD$3:$BA$3,"&gt;="&amp;$DG17,$B17:$Y17)),
IF(AL$3=$DF17+'Model Setup'!$J$7,SUMIF($AD$3:$BA$3,"="&amp;$DF17+'Model Setup'!$J$7,$B17:$Y17)+'Model Setup'!$J$8*(SUMIF($AD$3:$BA$3,"&lt;"&amp;$DF17,$B17:$Y17)+SUMIF($AD$3:$BA$3,"&gt;="&amp;$DG17,$B17:$Y17)),
IF(AL$3=$DF17+'Model Setup'!$K$7,SUMIF($AD$3:$BA$3,"="&amp;$DF17+'Model Setup'!$K$7,$B17:$Y17)+'Model Setup'!$K$8*(SUMIF($AD$3:$BA$3,"&lt;"&amp;$DF17,$B17:$Y17)+SUMIF($AD$3:$BA$3,"&gt;="&amp;$DG17,$B17:$Y17)),
IF(AL$3=$DF17+'Model Setup'!$L$7,SUMIF($AD$3:$BA$3,"="&amp;$DF17+'Model Setup'!$L$7,$B17:$Y17)+'Model Setup'!$L$8*(SUMIF($AD$3:$BA$3,"&lt;"&amp;$DF17,$B17:$Y17)+SUMIF($AD$3:$BA$3,"&gt;="&amp;$DG17,$B17:$Y17)),
IF(AL$3=$DF17+'Model Setup'!$M$7,SUMIF($AD$3:$BA$3,"="&amp;$DF17+'Model Setup'!$M$7,$B17:$Y17)+'Model Setup'!$M$8*(SUMIF($AD$3:$BA$3,"&lt;"&amp;$DF17,$B17:$Y17)+SUMIF($AD$3:$BA$3,"&gt;="&amp;$DG17,$B17:$Y17)),
IF(AL$3=$DF17+'Model Setup'!$N$7,SUMIF($AD$3:$BA$3,"="&amp;$DF17+'Model Setup'!$N$7,$B17:$Y17)+'Model Setup'!$N$8*(SUMIF($AD$3:$BA$3,"&lt;"&amp;$DF17,$B17:$Y17)+SUMIF($AD$3:$BA$3,"&gt;="&amp;$DG17,$B17:$Y17)),
IF(AL$3&lt;$DG17,J17,0))))))))))))))),0)</f>
        <v>12</v>
      </c>
      <c r="AM17" s="47">
        <f>ROUND(IF(AM$3&lt;$DF17,0,
IF(AM$3=$DF17+'Model Setup'!$B$7,SUMIF($AD$3:$BA$3,"="&amp;$DF17+'Model Setup'!$B$7,$B17:$Y17)+'Model Setup'!$B$8*(SUMIF($AD$3:$BA$3,"&lt;"&amp;$DF17,$B17:$Y17)+SUMIF($AD$3:$BA$3,"&gt;="&amp;$DG17,$B17:$Y17)),
IF(AM$3=$DF17+'Model Setup'!$C$7,SUMIF($AD$3:$BA$3,"="&amp;$DF17+'Model Setup'!$C$7,$B17:$Y17)+'Model Setup'!$C$8*(SUMIF($AD$3:$BA$3,"&lt;"&amp;$DF17,$B17:$Y17)+SUMIF($AD$3:$BA$3,"&gt;="&amp;$DG17,$B17:$Y17)),
IF(AM$3=$DF17+'Model Setup'!$D$7,SUMIF($AD$3:$BA$3,"="&amp;$DF17+'Model Setup'!$D$7,$B17:$Y17)+'Model Setup'!$D$8*(SUMIF($AD$3:$BA$3,"&lt;"&amp;$DF17,$B17:$Y17)+SUMIF($AD$3:$BA$3,"&gt;="&amp;$DG17,$B17:$Y17)),
IF(AM$3=$DF17+'Model Setup'!$E$7,SUMIF($AD$3:$BA$3,"="&amp;$DF17+'Model Setup'!$E$7,$B17:$Y17)+'Model Setup'!$E$8*(SUMIF($AD$3:$BA$3,"&lt;"&amp;$DF17,$B17:$Y17)+SUMIF($AD$3:$BA$3,"&gt;="&amp;$DG17,$B17:$Y17)),
IF(AM$3=$DF17+'Model Setup'!$F$7,SUMIF($AD$3:$BA$3,"="&amp;$DF17+'Model Setup'!$F$7,$B17:$Y17)+'Model Setup'!$F$8*(SUMIF($AD$3:$BA$3,"&lt;"&amp;$DF17,$B17:$Y17)+SUMIF($AD$3:$BA$3,"&gt;="&amp;$DG17,$B17:$Y17)),
IF(AM$3=$DF17+'Model Setup'!$G$7,SUMIF($AD$3:$BA$3,"="&amp;$DF17+'Model Setup'!$G$7,$B17:$Y17)+'Model Setup'!$G$8*(SUMIF($AD$3:$BA$3,"&lt;"&amp;$DF17,$B17:$Y17)+SUMIF($AD$3:$BA$3,"&gt;="&amp;$DG17,$B17:$Y17)),
IF(AM$3=$DF17+'Model Setup'!$H$7,SUMIF($AD$3:$BA$3,"="&amp;$DF17+'Model Setup'!$H$7,$B17:$Y17)+'Model Setup'!$H$8*(SUMIF($AD$3:$BA$3,"&lt;"&amp;$DF17,$B17:$Y17)+SUMIF($AD$3:$BA$3,"&gt;="&amp;$DG17,$B17:$Y17)),
IF(AM$3=$DF17+'Model Setup'!$I$7,SUMIF($AD$3:$BA$3,"="&amp;$DF17+'Model Setup'!$I$7,$B17:$Y17)+'Model Setup'!$I$8*(SUMIF($AD$3:$BA$3,"&lt;"&amp;$DF17,$B17:$Y17)+SUMIF($AD$3:$BA$3,"&gt;="&amp;$DG17,$B17:$Y17)),
IF(AM$3=$DF17+'Model Setup'!$J$7,SUMIF($AD$3:$BA$3,"="&amp;$DF17+'Model Setup'!$J$7,$B17:$Y17)+'Model Setup'!$J$8*(SUMIF($AD$3:$BA$3,"&lt;"&amp;$DF17,$B17:$Y17)+SUMIF($AD$3:$BA$3,"&gt;="&amp;$DG17,$B17:$Y17)),
IF(AM$3=$DF17+'Model Setup'!$K$7,SUMIF($AD$3:$BA$3,"="&amp;$DF17+'Model Setup'!$K$7,$B17:$Y17)+'Model Setup'!$K$8*(SUMIF($AD$3:$BA$3,"&lt;"&amp;$DF17,$B17:$Y17)+SUMIF($AD$3:$BA$3,"&gt;="&amp;$DG17,$B17:$Y17)),
IF(AM$3=$DF17+'Model Setup'!$L$7,SUMIF($AD$3:$BA$3,"="&amp;$DF17+'Model Setup'!$L$7,$B17:$Y17)+'Model Setup'!$L$8*(SUMIF($AD$3:$BA$3,"&lt;"&amp;$DF17,$B17:$Y17)+SUMIF($AD$3:$BA$3,"&gt;="&amp;$DG17,$B17:$Y17)),
IF(AM$3=$DF17+'Model Setup'!$M$7,SUMIF($AD$3:$BA$3,"="&amp;$DF17+'Model Setup'!$M$7,$B17:$Y17)+'Model Setup'!$M$8*(SUMIF($AD$3:$BA$3,"&lt;"&amp;$DF17,$B17:$Y17)+SUMIF($AD$3:$BA$3,"&gt;="&amp;$DG17,$B17:$Y17)),
IF(AM$3=$DF17+'Model Setup'!$N$7,SUMIF($AD$3:$BA$3,"="&amp;$DF17+'Model Setup'!$N$7,$B17:$Y17)+'Model Setup'!$N$8*(SUMIF($AD$3:$BA$3,"&lt;"&amp;$DF17,$B17:$Y17)+SUMIF($AD$3:$BA$3,"&gt;="&amp;$DG17,$B17:$Y17)),
IF(AM$3&lt;$DG17,K17,0))))))))))))))),0)</f>
        <v>20</v>
      </c>
      <c r="AN17" s="47">
        <f>ROUND(IF(AN$3&lt;$DF17,0,
IF(AN$3=$DF17+'Model Setup'!$B$7,SUMIF($AD$3:$BA$3,"="&amp;$DF17+'Model Setup'!$B$7,$B17:$Y17)+'Model Setup'!$B$8*(SUMIF($AD$3:$BA$3,"&lt;"&amp;$DF17,$B17:$Y17)+SUMIF($AD$3:$BA$3,"&gt;="&amp;$DG17,$B17:$Y17)),
IF(AN$3=$DF17+'Model Setup'!$C$7,SUMIF($AD$3:$BA$3,"="&amp;$DF17+'Model Setup'!$C$7,$B17:$Y17)+'Model Setup'!$C$8*(SUMIF($AD$3:$BA$3,"&lt;"&amp;$DF17,$B17:$Y17)+SUMIF($AD$3:$BA$3,"&gt;="&amp;$DG17,$B17:$Y17)),
IF(AN$3=$DF17+'Model Setup'!$D$7,SUMIF($AD$3:$BA$3,"="&amp;$DF17+'Model Setup'!$D$7,$B17:$Y17)+'Model Setup'!$D$8*(SUMIF($AD$3:$BA$3,"&lt;"&amp;$DF17,$B17:$Y17)+SUMIF($AD$3:$BA$3,"&gt;="&amp;$DG17,$B17:$Y17)),
IF(AN$3=$DF17+'Model Setup'!$E$7,SUMIF($AD$3:$BA$3,"="&amp;$DF17+'Model Setup'!$E$7,$B17:$Y17)+'Model Setup'!$E$8*(SUMIF($AD$3:$BA$3,"&lt;"&amp;$DF17,$B17:$Y17)+SUMIF($AD$3:$BA$3,"&gt;="&amp;$DG17,$B17:$Y17)),
IF(AN$3=$DF17+'Model Setup'!$F$7,SUMIF($AD$3:$BA$3,"="&amp;$DF17+'Model Setup'!$F$7,$B17:$Y17)+'Model Setup'!$F$8*(SUMIF($AD$3:$BA$3,"&lt;"&amp;$DF17,$B17:$Y17)+SUMIF($AD$3:$BA$3,"&gt;="&amp;$DG17,$B17:$Y17)),
IF(AN$3=$DF17+'Model Setup'!$G$7,SUMIF($AD$3:$BA$3,"="&amp;$DF17+'Model Setup'!$G$7,$B17:$Y17)+'Model Setup'!$G$8*(SUMIF($AD$3:$BA$3,"&lt;"&amp;$DF17,$B17:$Y17)+SUMIF($AD$3:$BA$3,"&gt;="&amp;$DG17,$B17:$Y17)),
IF(AN$3=$DF17+'Model Setup'!$H$7,SUMIF($AD$3:$BA$3,"="&amp;$DF17+'Model Setup'!$H$7,$B17:$Y17)+'Model Setup'!$H$8*(SUMIF($AD$3:$BA$3,"&lt;"&amp;$DF17,$B17:$Y17)+SUMIF($AD$3:$BA$3,"&gt;="&amp;$DG17,$B17:$Y17)),
IF(AN$3=$DF17+'Model Setup'!$I$7,SUMIF($AD$3:$BA$3,"="&amp;$DF17+'Model Setup'!$I$7,$B17:$Y17)+'Model Setup'!$I$8*(SUMIF($AD$3:$BA$3,"&lt;"&amp;$DF17,$B17:$Y17)+SUMIF($AD$3:$BA$3,"&gt;="&amp;$DG17,$B17:$Y17)),
IF(AN$3=$DF17+'Model Setup'!$J$7,SUMIF($AD$3:$BA$3,"="&amp;$DF17+'Model Setup'!$J$7,$B17:$Y17)+'Model Setup'!$J$8*(SUMIF($AD$3:$BA$3,"&lt;"&amp;$DF17,$B17:$Y17)+SUMIF($AD$3:$BA$3,"&gt;="&amp;$DG17,$B17:$Y17)),
IF(AN$3=$DF17+'Model Setup'!$K$7,SUMIF($AD$3:$BA$3,"="&amp;$DF17+'Model Setup'!$K$7,$B17:$Y17)+'Model Setup'!$K$8*(SUMIF($AD$3:$BA$3,"&lt;"&amp;$DF17,$B17:$Y17)+SUMIF($AD$3:$BA$3,"&gt;="&amp;$DG17,$B17:$Y17)),
IF(AN$3=$DF17+'Model Setup'!$L$7,SUMIF($AD$3:$BA$3,"="&amp;$DF17+'Model Setup'!$L$7,$B17:$Y17)+'Model Setup'!$L$8*(SUMIF($AD$3:$BA$3,"&lt;"&amp;$DF17,$B17:$Y17)+SUMIF($AD$3:$BA$3,"&gt;="&amp;$DG17,$B17:$Y17)),
IF(AN$3=$DF17+'Model Setup'!$M$7,SUMIF($AD$3:$BA$3,"="&amp;$DF17+'Model Setup'!$M$7,$B17:$Y17)+'Model Setup'!$M$8*(SUMIF($AD$3:$BA$3,"&lt;"&amp;$DF17,$B17:$Y17)+SUMIF($AD$3:$BA$3,"&gt;="&amp;$DG17,$B17:$Y17)),
IF(AN$3=$DF17+'Model Setup'!$N$7,SUMIF($AD$3:$BA$3,"="&amp;$DF17+'Model Setup'!$N$7,$B17:$Y17)+'Model Setup'!$N$8*(SUMIF($AD$3:$BA$3,"&lt;"&amp;$DF17,$B17:$Y17)+SUMIF($AD$3:$BA$3,"&gt;="&amp;$DG17,$B17:$Y17)),
IF(AN$3&lt;$DG17,L17,0))))))))))))))),0)</f>
        <v>16</v>
      </c>
      <c r="AO17" s="47">
        <f>ROUND(IF(AO$3&lt;$DF17,0,
IF(AO$3=$DF17+'Model Setup'!$B$7,SUMIF($AD$3:$BA$3,"="&amp;$DF17+'Model Setup'!$B$7,$B17:$Y17)+'Model Setup'!$B$8*(SUMIF($AD$3:$BA$3,"&lt;"&amp;$DF17,$B17:$Y17)+SUMIF($AD$3:$BA$3,"&gt;="&amp;$DG17,$B17:$Y17)),
IF(AO$3=$DF17+'Model Setup'!$C$7,SUMIF($AD$3:$BA$3,"="&amp;$DF17+'Model Setup'!$C$7,$B17:$Y17)+'Model Setup'!$C$8*(SUMIF($AD$3:$BA$3,"&lt;"&amp;$DF17,$B17:$Y17)+SUMIF($AD$3:$BA$3,"&gt;="&amp;$DG17,$B17:$Y17)),
IF(AO$3=$DF17+'Model Setup'!$D$7,SUMIF($AD$3:$BA$3,"="&amp;$DF17+'Model Setup'!$D$7,$B17:$Y17)+'Model Setup'!$D$8*(SUMIF($AD$3:$BA$3,"&lt;"&amp;$DF17,$B17:$Y17)+SUMIF($AD$3:$BA$3,"&gt;="&amp;$DG17,$B17:$Y17)),
IF(AO$3=$DF17+'Model Setup'!$E$7,SUMIF($AD$3:$BA$3,"="&amp;$DF17+'Model Setup'!$E$7,$B17:$Y17)+'Model Setup'!$E$8*(SUMIF($AD$3:$BA$3,"&lt;"&amp;$DF17,$B17:$Y17)+SUMIF($AD$3:$BA$3,"&gt;="&amp;$DG17,$B17:$Y17)),
IF(AO$3=$DF17+'Model Setup'!$F$7,SUMIF($AD$3:$BA$3,"="&amp;$DF17+'Model Setup'!$F$7,$B17:$Y17)+'Model Setup'!$F$8*(SUMIF($AD$3:$BA$3,"&lt;"&amp;$DF17,$B17:$Y17)+SUMIF($AD$3:$BA$3,"&gt;="&amp;$DG17,$B17:$Y17)),
IF(AO$3=$DF17+'Model Setup'!$G$7,SUMIF($AD$3:$BA$3,"="&amp;$DF17+'Model Setup'!$G$7,$B17:$Y17)+'Model Setup'!$G$8*(SUMIF($AD$3:$BA$3,"&lt;"&amp;$DF17,$B17:$Y17)+SUMIF($AD$3:$BA$3,"&gt;="&amp;$DG17,$B17:$Y17)),
IF(AO$3=$DF17+'Model Setup'!$H$7,SUMIF($AD$3:$BA$3,"="&amp;$DF17+'Model Setup'!$H$7,$B17:$Y17)+'Model Setup'!$H$8*(SUMIF($AD$3:$BA$3,"&lt;"&amp;$DF17,$B17:$Y17)+SUMIF($AD$3:$BA$3,"&gt;="&amp;$DG17,$B17:$Y17)),
IF(AO$3=$DF17+'Model Setup'!$I$7,SUMIF($AD$3:$BA$3,"="&amp;$DF17+'Model Setup'!$I$7,$B17:$Y17)+'Model Setup'!$I$8*(SUMIF($AD$3:$BA$3,"&lt;"&amp;$DF17,$B17:$Y17)+SUMIF($AD$3:$BA$3,"&gt;="&amp;$DG17,$B17:$Y17)),
IF(AO$3=$DF17+'Model Setup'!$J$7,SUMIF($AD$3:$BA$3,"="&amp;$DF17+'Model Setup'!$J$7,$B17:$Y17)+'Model Setup'!$J$8*(SUMIF($AD$3:$BA$3,"&lt;"&amp;$DF17,$B17:$Y17)+SUMIF($AD$3:$BA$3,"&gt;="&amp;$DG17,$B17:$Y17)),
IF(AO$3=$DF17+'Model Setup'!$K$7,SUMIF($AD$3:$BA$3,"="&amp;$DF17+'Model Setup'!$K$7,$B17:$Y17)+'Model Setup'!$K$8*(SUMIF($AD$3:$BA$3,"&lt;"&amp;$DF17,$B17:$Y17)+SUMIF($AD$3:$BA$3,"&gt;="&amp;$DG17,$B17:$Y17)),
IF(AO$3=$DF17+'Model Setup'!$L$7,SUMIF($AD$3:$BA$3,"="&amp;$DF17+'Model Setup'!$L$7,$B17:$Y17)+'Model Setup'!$L$8*(SUMIF($AD$3:$BA$3,"&lt;"&amp;$DF17,$B17:$Y17)+SUMIF($AD$3:$BA$3,"&gt;="&amp;$DG17,$B17:$Y17)),
IF(AO$3=$DF17+'Model Setup'!$M$7,SUMIF($AD$3:$BA$3,"="&amp;$DF17+'Model Setup'!$M$7,$B17:$Y17)+'Model Setup'!$M$8*(SUMIF($AD$3:$BA$3,"&lt;"&amp;$DF17,$B17:$Y17)+SUMIF($AD$3:$BA$3,"&gt;="&amp;$DG17,$B17:$Y17)),
IF(AO$3=$DF17+'Model Setup'!$N$7,SUMIF($AD$3:$BA$3,"="&amp;$DF17+'Model Setup'!$N$7,$B17:$Y17)+'Model Setup'!$N$8*(SUMIF($AD$3:$BA$3,"&lt;"&amp;$DF17,$B17:$Y17)+SUMIF($AD$3:$BA$3,"&gt;="&amp;$DG17,$B17:$Y17)),
IF(AO$3&lt;$DG17,M17,0))))))))))))))),0)</f>
        <v>12</v>
      </c>
      <c r="AP17" s="47">
        <f>ROUND(IF(AP$3&lt;$DF17,0,
IF(AP$3=$DF17+'Model Setup'!$B$7,SUMIF($AD$3:$BA$3,"="&amp;$DF17+'Model Setup'!$B$7,$B17:$Y17)+'Model Setup'!$B$8*(SUMIF($AD$3:$BA$3,"&lt;"&amp;$DF17,$B17:$Y17)+SUMIF($AD$3:$BA$3,"&gt;="&amp;$DG17,$B17:$Y17)),
IF(AP$3=$DF17+'Model Setup'!$C$7,SUMIF($AD$3:$BA$3,"="&amp;$DF17+'Model Setup'!$C$7,$B17:$Y17)+'Model Setup'!$C$8*(SUMIF($AD$3:$BA$3,"&lt;"&amp;$DF17,$B17:$Y17)+SUMIF($AD$3:$BA$3,"&gt;="&amp;$DG17,$B17:$Y17)),
IF(AP$3=$DF17+'Model Setup'!$D$7,SUMIF($AD$3:$BA$3,"="&amp;$DF17+'Model Setup'!$D$7,$B17:$Y17)+'Model Setup'!$D$8*(SUMIF($AD$3:$BA$3,"&lt;"&amp;$DF17,$B17:$Y17)+SUMIF($AD$3:$BA$3,"&gt;="&amp;$DG17,$B17:$Y17)),
IF(AP$3=$DF17+'Model Setup'!$E$7,SUMIF($AD$3:$BA$3,"="&amp;$DF17+'Model Setup'!$E$7,$B17:$Y17)+'Model Setup'!$E$8*(SUMIF($AD$3:$BA$3,"&lt;"&amp;$DF17,$B17:$Y17)+SUMIF($AD$3:$BA$3,"&gt;="&amp;$DG17,$B17:$Y17)),
IF(AP$3=$DF17+'Model Setup'!$F$7,SUMIF($AD$3:$BA$3,"="&amp;$DF17+'Model Setup'!$F$7,$B17:$Y17)+'Model Setup'!$F$8*(SUMIF($AD$3:$BA$3,"&lt;"&amp;$DF17,$B17:$Y17)+SUMIF($AD$3:$BA$3,"&gt;="&amp;$DG17,$B17:$Y17)),
IF(AP$3=$DF17+'Model Setup'!$G$7,SUMIF($AD$3:$BA$3,"="&amp;$DF17+'Model Setup'!$G$7,$B17:$Y17)+'Model Setup'!$G$8*(SUMIF($AD$3:$BA$3,"&lt;"&amp;$DF17,$B17:$Y17)+SUMIF($AD$3:$BA$3,"&gt;="&amp;$DG17,$B17:$Y17)),
IF(AP$3=$DF17+'Model Setup'!$H$7,SUMIF($AD$3:$BA$3,"="&amp;$DF17+'Model Setup'!$H$7,$B17:$Y17)+'Model Setup'!$H$8*(SUMIF($AD$3:$BA$3,"&lt;"&amp;$DF17,$B17:$Y17)+SUMIF($AD$3:$BA$3,"&gt;="&amp;$DG17,$B17:$Y17)),
IF(AP$3=$DF17+'Model Setup'!$I$7,SUMIF($AD$3:$BA$3,"="&amp;$DF17+'Model Setup'!$I$7,$B17:$Y17)+'Model Setup'!$I$8*(SUMIF($AD$3:$BA$3,"&lt;"&amp;$DF17,$B17:$Y17)+SUMIF($AD$3:$BA$3,"&gt;="&amp;$DG17,$B17:$Y17)),
IF(AP$3=$DF17+'Model Setup'!$J$7,SUMIF($AD$3:$BA$3,"="&amp;$DF17+'Model Setup'!$J$7,$B17:$Y17)+'Model Setup'!$J$8*(SUMIF($AD$3:$BA$3,"&lt;"&amp;$DF17,$B17:$Y17)+SUMIF($AD$3:$BA$3,"&gt;="&amp;$DG17,$B17:$Y17)),
IF(AP$3=$DF17+'Model Setup'!$K$7,SUMIF($AD$3:$BA$3,"="&amp;$DF17+'Model Setup'!$K$7,$B17:$Y17)+'Model Setup'!$K$8*(SUMIF($AD$3:$BA$3,"&lt;"&amp;$DF17,$B17:$Y17)+SUMIF($AD$3:$BA$3,"&gt;="&amp;$DG17,$B17:$Y17)),
IF(AP$3=$DF17+'Model Setup'!$L$7,SUMIF($AD$3:$BA$3,"="&amp;$DF17+'Model Setup'!$L$7,$B17:$Y17)+'Model Setup'!$L$8*(SUMIF($AD$3:$BA$3,"&lt;"&amp;$DF17,$B17:$Y17)+SUMIF($AD$3:$BA$3,"&gt;="&amp;$DG17,$B17:$Y17)),
IF(AP$3=$DF17+'Model Setup'!$M$7,SUMIF($AD$3:$BA$3,"="&amp;$DF17+'Model Setup'!$M$7,$B17:$Y17)+'Model Setup'!$M$8*(SUMIF($AD$3:$BA$3,"&lt;"&amp;$DF17,$B17:$Y17)+SUMIF($AD$3:$BA$3,"&gt;="&amp;$DG17,$B17:$Y17)),
IF(AP$3=$DF17+'Model Setup'!$N$7,SUMIF($AD$3:$BA$3,"="&amp;$DF17+'Model Setup'!$N$7,$B17:$Y17)+'Model Setup'!$N$8*(SUMIF($AD$3:$BA$3,"&lt;"&amp;$DF17,$B17:$Y17)+SUMIF($AD$3:$BA$3,"&gt;="&amp;$DG17,$B17:$Y17)),
IF(AP$3&lt;$DG17,N17,0))))))))))))))),0)</f>
        <v>15</v>
      </c>
      <c r="AQ17" s="47">
        <f>ROUND(IF(AQ$3&lt;$DF17,0,
IF(AQ$3=$DF17+'Model Setup'!$B$7,SUMIF($AD$3:$BA$3,"="&amp;$DF17+'Model Setup'!$B$7,$B17:$Y17)+'Model Setup'!$B$8*(SUMIF($AD$3:$BA$3,"&lt;"&amp;$DF17,$B17:$Y17)+SUMIF($AD$3:$BA$3,"&gt;="&amp;$DG17,$B17:$Y17)),
IF(AQ$3=$DF17+'Model Setup'!$C$7,SUMIF($AD$3:$BA$3,"="&amp;$DF17+'Model Setup'!$C$7,$B17:$Y17)+'Model Setup'!$C$8*(SUMIF($AD$3:$BA$3,"&lt;"&amp;$DF17,$B17:$Y17)+SUMIF($AD$3:$BA$3,"&gt;="&amp;$DG17,$B17:$Y17)),
IF(AQ$3=$DF17+'Model Setup'!$D$7,SUMIF($AD$3:$BA$3,"="&amp;$DF17+'Model Setup'!$D$7,$B17:$Y17)+'Model Setup'!$D$8*(SUMIF($AD$3:$BA$3,"&lt;"&amp;$DF17,$B17:$Y17)+SUMIF($AD$3:$BA$3,"&gt;="&amp;$DG17,$B17:$Y17)),
IF(AQ$3=$DF17+'Model Setup'!$E$7,SUMIF($AD$3:$BA$3,"="&amp;$DF17+'Model Setup'!$E$7,$B17:$Y17)+'Model Setup'!$E$8*(SUMIF($AD$3:$BA$3,"&lt;"&amp;$DF17,$B17:$Y17)+SUMIF($AD$3:$BA$3,"&gt;="&amp;$DG17,$B17:$Y17)),
IF(AQ$3=$DF17+'Model Setup'!$F$7,SUMIF($AD$3:$BA$3,"="&amp;$DF17+'Model Setup'!$F$7,$B17:$Y17)+'Model Setup'!$F$8*(SUMIF($AD$3:$BA$3,"&lt;"&amp;$DF17,$B17:$Y17)+SUMIF($AD$3:$BA$3,"&gt;="&amp;$DG17,$B17:$Y17)),
IF(AQ$3=$DF17+'Model Setup'!$G$7,SUMIF($AD$3:$BA$3,"="&amp;$DF17+'Model Setup'!$G$7,$B17:$Y17)+'Model Setup'!$G$8*(SUMIF($AD$3:$BA$3,"&lt;"&amp;$DF17,$B17:$Y17)+SUMIF($AD$3:$BA$3,"&gt;="&amp;$DG17,$B17:$Y17)),
IF(AQ$3=$DF17+'Model Setup'!$H$7,SUMIF($AD$3:$BA$3,"="&amp;$DF17+'Model Setup'!$H$7,$B17:$Y17)+'Model Setup'!$H$8*(SUMIF($AD$3:$BA$3,"&lt;"&amp;$DF17,$B17:$Y17)+SUMIF($AD$3:$BA$3,"&gt;="&amp;$DG17,$B17:$Y17)),
IF(AQ$3=$DF17+'Model Setup'!$I$7,SUMIF($AD$3:$BA$3,"="&amp;$DF17+'Model Setup'!$I$7,$B17:$Y17)+'Model Setup'!$I$8*(SUMIF($AD$3:$BA$3,"&lt;"&amp;$DF17,$B17:$Y17)+SUMIF($AD$3:$BA$3,"&gt;="&amp;$DG17,$B17:$Y17)),
IF(AQ$3=$DF17+'Model Setup'!$J$7,SUMIF($AD$3:$BA$3,"="&amp;$DF17+'Model Setup'!$J$7,$B17:$Y17)+'Model Setup'!$J$8*(SUMIF($AD$3:$BA$3,"&lt;"&amp;$DF17,$B17:$Y17)+SUMIF($AD$3:$BA$3,"&gt;="&amp;$DG17,$B17:$Y17)),
IF(AQ$3=$DF17+'Model Setup'!$K$7,SUMIF($AD$3:$BA$3,"="&amp;$DF17+'Model Setup'!$K$7,$B17:$Y17)+'Model Setup'!$K$8*(SUMIF($AD$3:$BA$3,"&lt;"&amp;$DF17,$B17:$Y17)+SUMIF($AD$3:$BA$3,"&gt;="&amp;$DG17,$B17:$Y17)),
IF(AQ$3=$DF17+'Model Setup'!$L$7,SUMIF($AD$3:$BA$3,"="&amp;$DF17+'Model Setup'!$L$7,$B17:$Y17)+'Model Setup'!$L$8*(SUMIF($AD$3:$BA$3,"&lt;"&amp;$DF17,$B17:$Y17)+SUMIF($AD$3:$BA$3,"&gt;="&amp;$DG17,$B17:$Y17)),
IF(AQ$3=$DF17+'Model Setup'!$M$7,SUMIF($AD$3:$BA$3,"="&amp;$DF17+'Model Setup'!$M$7,$B17:$Y17)+'Model Setup'!$M$8*(SUMIF($AD$3:$BA$3,"&lt;"&amp;$DF17,$B17:$Y17)+SUMIF($AD$3:$BA$3,"&gt;="&amp;$DG17,$B17:$Y17)),
IF(AQ$3=$DF17+'Model Setup'!$N$7,SUMIF($AD$3:$BA$3,"="&amp;$DF17+'Model Setup'!$N$7,$B17:$Y17)+'Model Setup'!$N$8*(SUMIF($AD$3:$BA$3,"&lt;"&amp;$DF17,$B17:$Y17)+SUMIF($AD$3:$BA$3,"&gt;="&amp;$DG17,$B17:$Y17)),
IF(AQ$3&lt;$DG17,O17,0))))))))))))))),0)</f>
        <v>4</v>
      </c>
      <c r="AR17" s="47">
        <f>ROUND(IF(AR$3&lt;$DF17,0,
IF(AR$3=$DF17+'Model Setup'!$B$7,SUMIF($AD$3:$BA$3,"="&amp;$DF17+'Model Setup'!$B$7,$B17:$Y17)+'Model Setup'!$B$8*(SUMIF($AD$3:$BA$3,"&lt;"&amp;$DF17,$B17:$Y17)+SUMIF($AD$3:$BA$3,"&gt;="&amp;$DG17,$B17:$Y17)),
IF(AR$3=$DF17+'Model Setup'!$C$7,SUMIF($AD$3:$BA$3,"="&amp;$DF17+'Model Setup'!$C$7,$B17:$Y17)+'Model Setup'!$C$8*(SUMIF($AD$3:$BA$3,"&lt;"&amp;$DF17,$B17:$Y17)+SUMIF($AD$3:$BA$3,"&gt;="&amp;$DG17,$B17:$Y17)),
IF(AR$3=$DF17+'Model Setup'!$D$7,SUMIF($AD$3:$BA$3,"="&amp;$DF17+'Model Setup'!$D$7,$B17:$Y17)+'Model Setup'!$D$8*(SUMIF($AD$3:$BA$3,"&lt;"&amp;$DF17,$B17:$Y17)+SUMIF($AD$3:$BA$3,"&gt;="&amp;$DG17,$B17:$Y17)),
IF(AR$3=$DF17+'Model Setup'!$E$7,SUMIF($AD$3:$BA$3,"="&amp;$DF17+'Model Setup'!$E$7,$B17:$Y17)+'Model Setup'!$E$8*(SUMIF($AD$3:$BA$3,"&lt;"&amp;$DF17,$B17:$Y17)+SUMIF($AD$3:$BA$3,"&gt;="&amp;$DG17,$B17:$Y17)),
IF(AR$3=$DF17+'Model Setup'!$F$7,SUMIF($AD$3:$BA$3,"="&amp;$DF17+'Model Setup'!$F$7,$B17:$Y17)+'Model Setup'!$F$8*(SUMIF($AD$3:$BA$3,"&lt;"&amp;$DF17,$B17:$Y17)+SUMIF($AD$3:$BA$3,"&gt;="&amp;$DG17,$B17:$Y17)),
IF(AR$3=$DF17+'Model Setup'!$G$7,SUMIF($AD$3:$BA$3,"="&amp;$DF17+'Model Setup'!$G$7,$B17:$Y17)+'Model Setup'!$G$8*(SUMIF($AD$3:$BA$3,"&lt;"&amp;$DF17,$B17:$Y17)+SUMIF($AD$3:$BA$3,"&gt;="&amp;$DG17,$B17:$Y17)),
IF(AR$3=$DF17+'Model Setup'!$H$7,SUMIF($AD$3:$BA$3,"="&amp;$DF17+'Model Setup'!$H$7,$B17:$Y17)+'Model Setup'!$H$8*(SUMIF($AD$3:$BA$3,"&lt;"&amp;$DF17,$B17:$Y17)+SUMIF($AD$3:$BA$3,"&gt;="&amp;$DG17,$B17:$Y17)),
IF(AR$3=$DF17+'Model Setup'!$I$7,SUMIF($AD$3:$BA$3,"="&amp;$DF17+'Model Setup'!$I$7,$B17:$Y17)+'Model Setup'!$I$8*(SUMIF($AD$3:$BA$3,"&lt;"&amp;$DF17,$B17:$Y17)+SUMIF($AD$3:$BA$3,"&gt;="&amp;$DG17,$B17:$Y17)),
IF(AR$3=$DF17+'Model Setup'!$J$7,SUMIF($AD$3:$BA$3,"="&amp;$DF17+'Model Setup'!$J$7,$B17:$Y17)+'Model Setup'!$J$8*(SUMIF($AD$3:$BA$3,"&lt;"&amp;$DF17,$B17:$Y17)+SUMIF($AD$3:$BA$3,"&gt;="&amp;$DG17,$B17:$Y17)),
IF(AR$3=$DF17+'Model Setup'!$K$7,SUMIF($AD$3:$BA$3,"="&amp;$DF17+'Model Setup'!$K$7,$B17:$Y17)+'Model Setup'!$K$8*(SUMIF($AD$3:$BA$3,"&lt;"&amp;$DF17,$B17:$Y17)+SUMIF($AD$3:$BA$3,"&gt;="&amp;$DG17,$B17:$Y17)),
IF(AR$3=$DF17+'Model Setup'!$L$7,SUMIF($AD$3:$BA$3,"="&amp;$DF17+'Model Setup'!$L$7,$B17:$Y17)+'Model Setup'!$L$8*(SUMIF($AD$3:$BA$3,"&lt;"&amp;$DF17,$B17:$Y17)+SUMIF($AD$3:$BA$3,"&gt;="&amp;$DG17,$B17:$Y17)),
IF(AR$3=$DF17+'Model Setup'!$M$7,SUMIF($AD$3:$BA$3,"="&amp;$DF17+'Model Setup'!$M$7,$B17:$Y17)+'Model Setup'!$M$8*(SUMIF($AD$3:$BA$3,"&lt;"&amp;$DF17,$B17:$Y17)+SUMIF($AD$3:$BA$3,"&gt;="&amp;$DG17,$B17:$Y17)),
IF(AR$3=$DF17+'Model Setup'!$N$7,SUMIF($AD$3:$BA$3,"="&amp;$DF17+'Model Setup'!$N$7,$B17:$Y17)+'Model Setup'!$N$8*(SUMIF($AD$3:$BA$3,"&lt;"&amp;$DF17,$B17:$Y17)+SUMIF($AD$3:$BA$3,"&gt;="&amp;$DG17,$B17:$Y17)),
IF(AR$3&lt;$DG17,P17,0))))))))))))))),0)</f>
        <v>11</v>
      </c>
      <c r="AS17" s="47">
        <f>ROUND(IF(AS$3&lt;$DF17,0,
IF(AS$3=$DF17+'Model Setup'!$B$7,SUMIF($AD$3:$BA$3,"="&amp;$DF17+'Model Setup'!$B$7,$B17:$Y17)+'Model Setup'!$B$8*(SUMIF($AD$3:$BA$3,"&lt;"&amp;$DF17,$B17:$Y17)+SUMIF($AD$3:$BA$3,"&gt;="&amp;$DG17,$B17:$Y17)),
IF(AS$3=$DF17+'Model Setup'!$C$7,SUMIF($AD$3:$BA$3,"="&amp;$DF17+'Model Setup'!$C$7,$B17:$Y17)+'Model Setup'!$C$8*(SUMIF($AD$3:$BA$3,"&lt;"&amp;$DF17,$B17:$Y17)+SUMIF($AD$3:$BA$3,"&gt;="&amp;$DG17,$B17:$Y17)),
IF(AS$3=$DF17+'Model Setup'!$D$7,SUMIF($AD$3:$BA$3,"="&amp;$DF17+'Model Setup'!$D$7,$B17:$Y17)+'Model Setup'!$D$8*(SUMIF($AD$3:$BA$3,"&lt;"&amp;$DF17,$B17:$Y17)+SUMIF($AD$3:$BA$3,"&gt;="&amp;$DG17,$B17:$Y17)),
IF(AS$3=$DF17+'Model Setup'!$E$7,SUMIF($AD$3:$BA$3,"="&amp;$DF17+'Model Setup'!$E$7,$B17:$Y17)+'Model Setup'!$E$8*(SUMIF($AD$3:$BA$3,"&lt;"&amp;$DF17,$B17:$Y17)+SUMIF($AD$3:$BA$3,"&gt;="&amp;$DG17,$B17:$Y17)),
IF(AS$3=$DF17+'Model Setup'!$F$7,SUMIF($AD$3:$BA$3,"="&amp;$DF17+'Model Setup'!$F$7,$B17:$Y17)+'Model Setup'!$F$8*(SUMIF($AD$3:$BA$3,"&lt;"&amp;$DF17,$B17:$Y17)+SUMIF($AD$3:$BA$3,"&gt;="&amp;$DG17,$B17:$Y17)),
IF(AS$3=$DF17+'Model Setup'!$G$7,SUMIF($AD$3:$BA$3,"="&amp;$DF17+'Model Setup'!$G$7,$B17:$Y17)+'Model Setup'!$G$8*(SUMIF($AD$3:$BA$3,"&lt;"&amp;$DF17,$B17:$Y17)+SUMIF($AD$3:$BA$3,"&gt;="&amp;$DG17,$B17:$Y17)),
IF(AS$3=$DF17+'Model Setup'!$H$7,SUMIF($AD$3:$BA$3,"="&amp;$DF17+'Model Setup'!$H$7,$B17:$Y17)+'Model Setup'!$H$8*(SUMIF($AD$3:$BA$3,"&lt;"&amp;$DF17,$B17:$Y17)+SUMIF($AD$3:$BA$3,"&gt;="&amp;$DG17,$B17:$Y17)),
IF(AS$3=$DF17+'Model Setup'!$I$7,SUMIF($AD$3:$BA$3,"="&amp;$DF17+'Model Setup'!$I$7,$B17:$Y17)+'Model Setup'!$I$8*(SUMIF($AD$3:$BA$3,"&lt;"&amp;$DF17,$B17:$Y17)+SUMIF($AD$3:$BA$3,"&gt;="&amp;$DG17,$B17:$Y17)),
IF(AS$3=$DF17+'Model Setup'!$J$7,SUMIF($AD$3:$BA$3,"="&amp;$DF17+'Model Setup'!$J$7,$B17:$Y17)+'Model Setup'!$J$8*(SUMIF($AD$3:$BA$3,"&lt;"&amp;$DF17,$B17:$Y17)+SUMIF($AD$3:$BA$3,"&gt;="&amp;$DG17,$B17:$Y17)),
IF(AS$3=$DF17+'Model Setup'!$K$7,SUMIF($AD$3:$BA$3,"="&amp;$DF17+'Model Setup'!$K$7,$B17:$Y17)+'Model Setup'!$K$8*(SUMIF($AD$3:$BA$3,"&lt;"&amp;$DF17,$B17:$Y17)+SUMIF($AD$3:$BA$3,"&gt;="&amp;$DG17,$B17:$Y17)),
IF(AS$3=$DF17+'Model Setup'!$L$7,SUMIF($AD$3:$BA$3,"="&amp;$DF17+'Model Setup'!$L$7,$B17:$Y17)+'Model Setup'!$L$8*(SUMIF($AD$3:$BA$3,"&lt;"&amp;$DF17,$B17:$Y17)+SUMIF($AD$3:$BA$3,"&gt;="&amp;$DG17,$B17:$Y17)),
IF(AS$3=$DF17+'Model Setup'!$M$7,SUMIF($AD$3:$BA$3,"="&amp;$DF17+'Model Setup'!$M$7,$B17:$Y17)+'Model Setup'!$M$8*(SUMIF($AD$3:$BA$3,"&lt;"&amp;$DF17,$B17:$Y17)+SUMIF($AD$3:$BA$3,"&gt;="&amp;$DG17,$B17:$Y17)),
IF(AS$3=$DF17+'Model Setup'!$N$7,SUMIF($AD$3:$BA$3,"="&amp;$DF17+'Model Setup'!$N$7,$B17:$Y17)+'Model Setup'!$N$8*(SUMIF($AD$3:$BA$3,"&lt;"&amp;$DF17,$B17:$Y17)+SUMIF($AD$3:$BA$3,"&gt;="&amp;$DG17,$B17:$Y17)),
IF(AS$3&lt;$DG17,Q17,0))))))))))))))),0)</f>
        <v>5</v>
      </c>
      <c r="AT17" s="47">
        <f>ROUND(IF(AT$3&lt;$DF17,0,
IF(AT$3=$DF17+'Model Setup'!$B$7,SUMIF($AD$3:$BA$3,"="&amp;$DF17+'Model Setup'!$B$7,$B17:$Y17)+'Model Setup'!$B$8*(SUMIF($AD$3:$BA$3,"&lt;"&amp;$DF17,$B17:$Y17)+SUMIF($AD$3:$BA$3,"&gt;="&amp;$DG17,$B17:$Y17)),
IF(AT$3=$DF17+'Model Setup'!$C$7,SUMIF($AD$3:$BA$3,"="&amp;$DF17+'Model Setup'!$C$7,$B17:$Y17)+'Model Setup'!$C$8*(SUMIF($AD$3:$BA$3,"&lt;"&amp;$DF17,$B17:$Y17)+SUMIF($AD$3:$BA$3,"&gt;="&amp;$DG17,$B17:$Y17)),
IF(AT$3=$DF17+'Model Setup'!$D$7,SUMIF($AD$3:$BA$3,"="&amp;$DF17+'Model Setup'!$D$7,$B17:$Y17)+'Model Setup'!$D$8*(SUMIF($AD$3:$BA$3,"&lt;"&amp;$DF17,$B17:$Y17)+SUMIF($AD$3:$BA$3,"&gt;="&amp;$DG17,$B17:$Y17)),
IF(AT$3=$DF17+'Model Setup'!$E$7,SUMIF($AD$3:$BA$3,"="&amp;$DF17+'Model Setup'!$E$7,$B17:$Y17)+'Model Setup'!$E$8*(SUMIF($AD$3:$BA$3,"&lt;"&amp;$DF17,$B17:$Y17)+SUMIF($AD$3:$BA$3,"&gt;="&amp;$DG17,$B17:$Y17)),
IF(AT$3=$DF17+'Model Setup'!$F$7,SUMIF($AD$3:$BA$3,"="&amp;$DF17+'Model Setup'!$F$7,$B17:$Y17)+'Model Setup'!$F$8*(SUMIF($AD$3:$BA$3,"&lt;"&amp;$DF17,$B17:$Y17)+SUMIF($AD$3:$BA$3,"&gt;="&amp;$DG17,$B17:$Y17)),
IF(AT$3=$DF17+'Model Setup'!$G$7,SUMIF($AD$3:$BA$3,"="&amp;$DF17+'Model Setup'!$G$7,$B17:$Y17)+'Model Setup'!$G$8*(SUMIF($AD$3:$BA$3,"&lt;"&amp;$DF17,$B17:$Y17)+SUMIF($AD$3:$BA$3,"&gt;="&amp;$DG17,$B17:$Y17)),
IF(AT$3=$DF17+'Model Setup'!$H$7,SUMIF($AD$3:$BA$3,"="&amp;$DF17+'Model Setup'!$H$7,$B17:$Y17)+'Model Setup'!$H$8*(SUMIF($AD$3:$BA$3,"&lt;"&amp;$DF17,$B17:$Y17)+SUMIF($AD$3:$BA$3,"&gt;="&amp;$DG17,$B17:$Y17)),
IF(AT$3=$DF17+'Model Setup'!$I$7,SUMIF($AD$3:$BA$3,"="&amp;$DF17+'Model Setup'!$I$7,$B17:$Y17)+'Model Setup'!$I$8*(SUMIF($AD$3:$BA$3,"&lt;"&amp;$DF17,$B17:$Y17)+SUMIF($AD$3:$BA$3,"&gt;="&amp;$DG17,$B17:$Y17)),
IF(AT$3=$DF17+'Model Setup'!$J$7,SUMIF($AD$3:$BA$3,"="&amp;$DF17+'Model Setup'!$J$7,$B17:$Y17)+'Model Setup'!$J$8*(SUMIF($AD$3:$BA$3,"&lt;"&amp;$DF17,$B17:$Y17)+SUMIF($AD$3:$BA$3,"&gt;="&amp;$DG17,$B17:$Y17)),
IF(AT$3=$DF17+'Model Setup'!$K$7,SUMIF($AD$3:$BA$3,"="&amp;$DF17+'Model Setup'!$K$7,$B17:$Y17)+'Model Setup'!$K$8*(SUMIF($AD$3:$BA$3,"&lt;"&amp;$DF17,$B17:$Y17)+SUMIF($AD$3:$BA$3,"&gt;="&amp;$DG17,$B17:$Y17)),
IF(AT$3=$DF17+'Model Setup'!$L$7,SUMIF($AD$3:$BA$3,"="&amp;$DF17+'Model Setup'!$L$7,$B17:$Y17)+'Model Setup'!$L$8*(SUMIF($AD$3:$BA$3,"&lt;"&amp;$DF17,$B17:$Y17)+SUMIF($AD$3:$BA$3,"&gt;="&amp;$DG17,$B17:$Y17)),
IF(AT$3=$DF17+'Model Setup'!$M$7,SUMIF($AD$3:$BA$3,"="&amp;$DF17+'Model Setup'!$M$7,$B17:$Y17)+'Model Setup'!$M$8*(SUMIF($AD$3:$BA$3,"&lt;"&amp;$DF17,$B17:$Y17)+SUMIF($AD$3:$BA$3,"&gt;="&amp;$DG17,$B17:$Y17)),
IF(AT$3=$DF17+'Model Setup'!$N$7,SUMIF($AD$3:$BA$3,"="&amp;$DF17+'Model Setup'!$N$7,$B17:$Y17)+'Model Setup'!$N$8*(SUMIF($AD$3:$BA$3,"&lt;"&amp;$DF17,$B17:$Y17)+SUMIF($AD$3:$BA$3,"&gt;="&amp;$DG17,$B17:$Y17)),
IF(AT$3&lt;$DG17,R17,0))))))))))))))),0)</f>
        <v>13</v>
      </c>
      <c r="AU17" s="47">
        <f>ROUND(IF(AU$3&lt;$DF17,0,
IF(AU$3=$DF17+'Model Setup'!$B$7,SUMIF($AD$3:$BA$3,"="&amp;$DF17+'Model Setup'!$B$7,$B17:$Y17)+'Model Setup'!$B$8*(SUMIF($AD$3:$BA$3,"&lt;"&amp;$DF17,$B17:$Y17)+SUMIF($AD$3:$BA$3,"&gt;="&amp;$DG17,$B17:$Y17)),
IF(AU$3=$DF17+'Model Setup'!$C$7,SUMIF($AD$3:$BA$3,"="&amp;$DF17+'Model Setup'!$C$7,$B17:$Y17)+'Model Setup'!$C$8*(SUMIF($AD$3:$BA$3,"&lt;"&amp;$DF17,$B17:$Y17)+SUMIF($AD$3:$BA$3,"&gt;="&amp;$DG17,$B17:$Y17)),
IF(AU$3=$DF17+'Model Setup'!$D$7,SUMIF($AD$3:$BA$3,"="&amp;$DF17+'Model Setup'!$D$7,$B17:$Y17)+'Model Setup'!$D$8*(SUMIF($AD$3:$BA$3,"&lt;"&amp;$DF17,$B17:$Y17)+SUMIF($AD$3:$BA$3,"&gt;="&amp;$DG17,$B17:$Y17)),
IF(AU$3=$DF17+'Model Setup'!$E$7,SUMIF($AD$3:$BA$3,"="&amp;$DF17+'Model Setup'!$E$7,$B17:$Y17)+'Model Setup'!$E$8*(SUMIF($AD$3:$BA$3,"&lt;"&amp;$DF17,$B17:$Y17)+SUMIF($AD$3:$BA$3,"&gt;="&amp;$DG17,$B17:$Y17)),
IF(AU$3=$DF17+'Model Setup'!$F$7,SUMIF($AD$3:$BA$3,"="&amp;$DF17+'Model Setup'!$F$7,$B17:$Y17)+'Model Setup'!$F$8*(SUMIF($AD$3:$BA$3,"&lt;"&amp;$DF17,$B17:$Y17)+SUMIF($AD$3:$BA$3,"&gt;="&amp;$DG17,$B17:$Y17)),
IF(AU$3=$DF17+'Model Setup'!$G$7,SUMIF($AD$3:$BA$3,"="&amp;$DF17+'Model Setup'!$G$7,$B17:$Y17)+'Model Setup'!$G$8*(SUMIF($AD$3:$BA$3,"&lt;"&amp;$DF17,$B17:$Y17)+SUMIF($AD$3:$BA$3,"&gt;="&amp;$DG17,$B17:$Y17)),
IF(AU$3=$DF17+'Model Setup'!$H$7,SUMIF($AD$3:$BA$3,"="&amp;$DF17+'Model Setup'!$H$7,$B17:$Y17)+'Model Setup'!$H$8*(SUMIF($AD$3:$BA$3,"&lt;"&amp;$DF17,$B17:$Y17)+SUMIF($AD$3:$BA$3,"&gt;="&amp;$DG17,$B17:$Y17)),
IF(AU$3=$DF17+'Model Setup'!$I$7,SUMIF($AD$3:$BA$3,"="&amp;$DF17+'Model Setup'!$I$7,$B17:$Y17)+'Model Setup'!$I$8*(SUMIF($AD$3:$BA$3,"&lt;"&amp;$DF17,$B17:$Y17)+SUMIF($AD$3:$BA$3,"&gt;="&amp;$DG17,$B17:$Y17)),
IF(AU$3=$DF17+'Model Setup'!$J$7,SUMIF($AD$3:$BA$3,"="&amp;$DF17+'Model Setup'!$J$7,$B17:$Y17)+'Model Setup'!$J$8*(SUMIF($AD$3:$BA$3,"&lt;"&amp;$DF17,$B17:$Y17)+SUMIF($AD$3:$BA$3,"&gt;="&amp;$DG17,$B17:$Y17)),
IF(AU$3=$DF17+'Model Setup'!$K$7,SUMIF($AD$3:$BA$3,"="&amp;$DF17+'Model Setup'!$K$7,$B17:$Y17)+'Model Setup'!$K$8*(SUMIF($AD$3:$BA$3,"&lt;"&amp;$DF17,$B17:$Y17)+SUMIF($AD$3:$BA$3,"&gt;="&amp;$DG17,$B17:$Y17)),
IF(AU$3=$DF17+'Model Setup'!$L$7,SUMIF($AD$3:$BA$3,"="&amp;$DF17+'Model Setup'!$L$7,$B17:$Y17)+'Model Setup'!$L$8*(SUMIF($AD$3:$BA$3,"&lt;"&amp;$DF17,$B17:$Y17)+SUMIF($AD$3:$BA$3,"&gt;="&amp;$DG17,$B17:$Y17)),
IF(AU$3=$DF17+'Model Setup'!$M$7,SUMIF($AD$3:$BA$3,"="&amp;$DF17+'Model Setup'!$M$7,$B17:$Y17)+'Model Setup'!$M$8*(SUMIF($AD$3:$BA$3,"&lt;"&amp;$DF17,$B17:$Y17)+SUMIF($AD$3:$BA$3,"&gt;="&amp;$DG17,$B17:$Y17)),
IF(AU$3=$DF17+'Model Setup'!$N$7,SUMIF($AD$3:$BA$3,"="&amp;$DF17+'Model Setup'!$N$7,$B17:$Y17)+'Model Setup'!$N$8*(SUMIF($AD$3:$BA$3,"&lt;"&amp;$DF17,$B17:$Y17)+SUMIF($AD$3:$BA$3,"&gt;="&amp;$DG17,$B17:$Y17)),
IF(AU$3&lt;$DG17,S17,0))))))))))))))),0)</f>
        <v>10</v>
      </c>
      <c r="AV17" s="47">
        <f>ROUND(IF(AV$3&lt;$DF17,0,
IF(AV$3=$DF17+'Model Setup'!$B$7,SUMIF($AD$3:$BA$3,"="&amp;$DF17+'Model Setup'!$B$7,$B17:$Y17)+'Model Setup'!$B$8*(SUMIF($AD$3:$BA$3,"&lt;"&amp;$DF17,$B17:$Y17)+SUMIF($AD$3:$BA$3,"&gt;="&amp;$DG17,$B17:$Y17)),
IF(AV$3=$DF17+'Model Setup'!$C$7,SUMIF($AD$3:$BA$3,"="&amp;$DF17+'Model Setup'!$C$7,$B17:$Y17)+'Model Setup'!$C$8*(SUMIF($AD$3:$BA$3,"&lt;"&amp;$DF17,$B17:$Y17)+SUMIF($AD$3:$BA$3,"&gt;="&amp;$DG17,$B17:$Y17)),
IF(AV$3=$DF17+'Model Setup'!$D$7,SUMIF($AD$3:$BA$3,"="&amp;$DF17+'Model Setup'!$D$7,$B17:$Y17)+'Model Setup'!$D$8*(SUMIF($AD$3:$BA$3,"&lt;"&amp;$DF17,$B17:$Y17)+SUMIF($AD$3:$BA$3,"&gt;="&amp;$DG17,$B17:$Y17)),
IF(AV$3=$DF17+'Model Setup'!$E$7,SUMIF($AD$3:$BA$3,"="&amp;$DF17+'Model Setup'!$E$7,$B17:$Y17)+'Model Setup'!$E$8*(SUMIF($AD$3:$BA$3,"&lt;"&amp;$DF17,$B17:$Y17)+SUMIF($AD$3:$BA$3,"&gt;="&amp;$DG17,$B17:$Y17)),
IF(AV$3=$DF17+'Model Setup'!$F$7,SUMIF($AD$3:$BA$3,"="&amp;$DF17+'Model Setup'!$F$7,$B17:$Y17)+'Model Setup'!$F$8*(SUMIF($AD$3:$BA$3,"&lt;"&amp;$DF17,$B17:$Y17)+SUMIF($AD$3:$BA$3,"&gt;="&amp;$DG17,$B17:$Y17)),
IF(AV$3=$DF17+'Model Setup'!$G$7,SUMIF($AD$3:$BA$3,"="&amp;$DF17+'Model Setup'!$G$7,$B17:$Y17)+'Model Setup'!$G$8*(SUMIF($AD$3:$BA$3,"&lt;"&amp;$DF17,$B17:$Y17)+SUMIF($AD$3:$BA$3,"&gt;="&amp;$DG17,$B17:$Y17)),
IF(AV$3=$DF17+'Model Setup'!$H$7,SUMIF($AD$3:$BA$3,"="&amp;$DF17+'Model Setup'!$H$7,$B17:$Y17)+'Model Setup'!$H$8*(SUMIF($AD$3:$BA$3,"&lt;"&amp;$DF17,$B17:$Y17)+SUMIF($AD$3:$BA$3,"&gt;="&amp;$DG17,$B17:$Y17)),
IF(AV$3=$DF17+'Model Setup'!$I$7,SUMIF($AD$3:$BA$3,"="&amp;$DF17+'Model Setup'!$I$7,$B17:$Y17)+'Model Setup'!$I$8*(SUMIF($AD$3:$BA$3,"&lt;"&amp;$DF17,$B17:$Y17)+SUMIF($AD$3:$BA$3,"&gt;="&amp;$DG17,$B17:$Y17)),
IF(AV$3=$DF17+'Model Setup'!$J$7,SUMIF($AD$3:$BA$3,"="&amp;$DF17+'Model Setup'!$J$7,$B17:$Y17)+'Model Setup'!$J$8*(SUMIF($AD$3:$BA$3,"&lt;"&amp;$DF17,$B17:$Y17)+SUMIF($AD$3:$BA$3,"&gt;="&amp;$DG17,$B17:$Y17)),
IF(AV$3=$DF17+'Model Setup'!$K$7,SUMIF($AD$3:$BA$3,"="&amp;$DF17+'Model Setup'!$K$7,$B17:$Y17)+'Model Setup'!$K$8*(SUMIF($AD$3:$BA$3,"&lt;"&amp;$DF17,$B17:$Y17)+SUMIF($AD$3:$BA$3,"&gt;="&amp;$DG17,$B17:$Y17)),
IF(AV$3=$DF17+'Model Setup'!$L$7,SUMIF($AD$3:$BA$3,"="&amp;$DF17+'Model Setup'!$L$7,$B17:$Y17)+'Model Setup'!$L$8*(SUMIF($AD$3:$BA$3,"&lt;"&amp;$DF17,$B17:$Y17)+SUMIF($AD$3:$BA$3,"&gt;="&amp;$DG17,$B17:$Y17)),
IF(AV$3=$DF17+'Model Setup'!$M$7,SUMIF($AD$3:$BA$3,"="&amp;$DF17+'Model Setup'!$M$7,$B17:$Y17)+'Model Setup'!$M$8*(SUMIF($AD$3:$BA$3,"&lt;"&amp;$DF17,$B17:$Y17)+SUMIF($AD$3:$BA$3,"&gt;="&amp;$DG17,$B17:$Y17)),
IF(AV$3=$DF17+'Model Setup'!$N$7,SUMIF($AD$3:$BA$3,"="&amp;$DF17+'Model Setup'!$N$7,$B17:$Y17)+'Model Setup'!$N$8*(SUMIF($AD$3:$BA$3,"&lt;"&amp;$DF17,$B17:$Y17)+SUMIF($AD$3:$BA$3,"&gt;="&amp;$DG17,$B17:$Y17)),
IF(AV$3&lt;$DG17,T17,0))))))))))))))),0)</f>
        <v>10</v>
      </c>
      <c r="AW17" s="47">
        <f>ROUND(IF(AW$3&lt;$DF17,0,
IF(AW$3=$DF17+'Model Setup'!$B$7,SUMIF($AD$3:$BA$3,"="&amp;$DF17+'Model Setup'!$B$7,$B17:$Y17)+'Model Setup'!$B$8*(SUMIF($AD$3:$BA$3,"&lt;"&amp;$DF17,$B17:$Y17)+SUMIF($AD$3:$BA$3,"&gt;="&amp;$DG17,$B17:$Y17)),
IF(AW$3=$DF17+'Model Setup'!$C$7,SUMIF($AD$3:$BA$3,"="&amp;$DF17+'Model Setup'!$C$7,$B17:$Y17)+'Model Setup'!$C$8*(SUMIF($AD$3:$BA$3,"&lt;"&amp;$DF17,$B17:$Y17)+SUMIF($AD$3:$BA$3,"&gt;="&amp;$DG17,$B17:$Y17)),
IF(AW$3=$DF17+'Model Setup'!$D$7,SUMIF($AD$3:$BA$3,"="&amp;$DF17+'Model Setup'!$D$7,$B17:$Y17)+'Model Setup'!$D$8*(SUMIF($AD$3:$BA$3,"&lt;"&amp;$DF17,$B17:$Y17)+SUMIF($AD$3:$BA$3,"&gt;="&amp;$DG17,$B17:$Y17)),
IF(AW$3=$DF17+'Model Setup'!$E$7,SUMIF($AD$3:$BA$3,"="&amp;$DF17+'Model Setup'!$E$7,$B17:$Y17)+'Model Setup'!$E$8*(SUMIF($AD$3:$BA$3,"&lt;"&amp;$DF17,$B17:$Y17)+SUMIF($AD$3:$BA$3,"&gt;="&amp;$DG17,$B17:$Y17)),
IF(AW$3=$DF17+'Model Setup'!$F$7,SUMIF($AD$3:$BA$3,"="&amp;$DF17+'Model Setup'!$F$7,$B17:$Y17)+'Model Setup'!$F$8*(SUMIF($AD$3:$BA$3,"&lt;"&amp;$DF17,$B17:$Y17)+SUMIF($AD$3:$BA$3,"&gt;="&amp;$DG17,$B17:$Y17)),
IF(AW$3=$DF17+'Model Setup'!$G$7,SUMIF($AD$3:$BA$3,"="&amp;$DF17+'Model Setup'!$G$7,$B17:$Y17)+'Model Setup'!$G$8*(SUMIF($AD$3:$BA$3,"&lt;"&amp;$DF17,$B17:$Y17)+SUMIF($AD$3:$BA$3,"&gt;="&amp;$DG17,$B17:$Y17)),
IF(AW$3=$DF17+'Model Setup'!$H$7,SUMIF($AD$3:$BA$3,"="&amp;$DF17+'Model Setup'!$H$7,$B17:$Y17)+'Model Setup'!$H$8*(SUMIF($AD$3:$BA$3,"&lt;"&amp;$DF17,$B17:$Y17)+SUMIF($AD$3:$BA$3,"&gt;="&amp;$DG17,$B17:$Y17)),
IF(AW$3=$DF17+'Model Setup'!$I$7,SUMIF($AD$3:$BA$3,"="&amp;$DF17+'Model Setup'!$I$7,$B17:$Y17)+'Model Setup'!$I$8*(SUMIF($AD$3:$BA$3,"&lt;"&amp;$DF17,$B17:$Y17)+SUMIF($AD$3:$BA$3,"&gt;="&amp;$DG17,$B17:$Y17)),
IF(AW$3=$DF17+'Model Setup'!$J$7,SUMIF($AD$3:$BA$3,"="&amp;$DF17+'Model Setup'!$J$7,$B17:$Y17)+'Model Setup'!$J$8*(SUMIF($AD$3:$BA$3,"&lt;"&amp;$DF17,$B17:$Y17)+SUMIF($AD$3:$BA$3,"&gt;="&amp;$DG17,$B17:$Y17)),
IF(AW$3=$DF17+'Model Setup'!$K$7,SUMIF($AD$3:$BA$3,"="&amp;$DF17+'Model Setup'!$K$7,$B17:$Y17)+'Model Setup'!$K$8*(SUMIF($AD$3:$BA$3,"&lt;"&amp;$DF17,$B17:$Y17)+SUMIF($AD$3:$BA$3,"&gt;="&amp;$DG17,$B17:$Y17)),
IF(AW$3=$DF17+'Model Setup'!$L$7,SUMIF($AD$3:$BA$3,"="&amp;$DF17+'Model Setup'!$L$7,$B17:$Y17)+'Model Setup'!$L$8*(SUMIF($AD$3:$BA$3,"&lt;"&amp;$DF17,$B17:$Y17)+SUMIF($AD$3:$BA$3,"&gt;="&amp;$DG17,$B17:$Y17)),
IF(AW$3=$DF17+'Model Setup'!$M$7,SUMIF($AD$3:$BA$3,"="&amp;$DF17+'Model Setup'!$M$7,$B17:$Y17)+'Model Setup'!$M$8*(SUMIF($AD$3:$BA$3,"&lt;"&amp;$DF17,$B17:$Y17)+SUMIF($AD$3:$BA$3,"&gt;="&amp;$DG17,$B17:$Y17)),
IF(AW$3=$DF17+'Model Setup'!$N$7,SUMIF($AD$3:$BA$3,"="&amp;$DF17+'Model Setup'!$N$7,$B17:$Y17)+'Model Setup'!$N$8*(SUMIF($AD$3:$BA$3,"&lt;"&amp;$DF17,$B17:$Y17)+SUMIF($AD$3:$BA$3,"&gt;="&amp;$DG17,$B17:$Y17)),
IF(AW$3&lt;$DG17,U17,0))))))))))))))),0)</f>
        <v>0</v>
      </c>
      <c r="AX17" s="47">
        <f>ROUND(IF(AX$3&lt;$DF17,0,
IF(AX$3=$DF17+'Model Setup'!$B$7,SUMIF($AD$3:$BA$3,"="&amp;$DF17+'Model Setup'!$B$7,$B17:$Y17)+'Model Setup'!$B$8*(SUMIF($AD$3:$BA$3,"&lt;"&amp;$DF17,$B17:$Y17)+SUMIF($AD$3:$BA$3,"&gt;="&amp;$DG17,$B17:$Y17)),
IF(AX$3=$DF17+'Model Setup'!$C$7,SUMIF($AD$3:$BA$3,"="&amp;$DF17+'Model Setup'!$C$7,$B17:$Y17)+'Model Setup'!$C$8*(SUMIF($AD$3:$BA$3,"&lt;"&amp;$DF17,$B17:$Y17)+SUMIF($AD$3:$BA$3,"&gt;="&amp;$DG17,$B17:$Y17)),
IF(AX$3=$DF17+'Model Setup'!$D$7,SUMIF($AD$3:$BA$3,"="&amp;$DF17+'Model Setup'!$D$7,$B17:$Y17)+'Model Setup'!$D$8*(SUMIF($AD$3:$BA$3,"&lt;"&amp;$DF17,$B17:$Y17)+SUMIF($AD$3:$BA$3,"&gt;="&amp;$DG17,$B17:$Y17)),
IF(AX$3=$DF17+'Model Setup'!$E$7,SUMIF($AD$3:$BA$3,"="&amp;$DF17+'Model Setup'!$E$7,$B17:$Y17)+'Model Setup'!$E$8*(SUMIF($AD$3:$BA$3,"&lt;"&amp;$DF17,$B17:$Y17)+SUMIF($AD$3:$BA$3,"&gt;="&amp;$DG17,$B17:$Y17)),
IF(AX$3=$DF17+'Model Setup'!$F$7,SUMIF($AD$3:$BA$3,"="&amp;$DF17+'Model Setup'!$F$7,$B17:$Y17)+'Model Setup'!$F$8*(SUMIF($AD$3:$BA$3,"&lt;"&amp;$DF17,$B17:$Y17)+SUMIF($AD$3:$BA$3,"&gt;="&amp;$DG17,$B17:$Y17)),
IF(AX$3=$DF17+'Model Setup'!$G$7,SUMIF($AD$3:$BA$3,"="&amp;$DF17+'Model Setup'!$G$7,$B17:$Y17)+'Model Setup'!$G$8*(SUMIF($AD$3:$BA$3,"&lt;"&amp;$DF17,$B17:$Y17)+SUMIF($AD$3:$BA$3,"&gt;="&amp;$DG17,$B17:$Y17)),
IF(AX$3=$DF17+'Model Setup'!$H$7,SUMIF($AD$3:$BA$3,"="&amp;$DF17+'Model Setup'!$H$7,$B17:$Y17)+'Model Setup'!$H$8*(SUMIF($AD$3:$BA$3,"&lt;"&amp;$DF17,$B17:$Y17)+SUMIF($AD$3:$BA$3,"&gt;="&amp;$DG17,$B17:$Y17)),
IF(AX$3=$DF17+'Model Setup'!$I$7,SUMIF($AD$3:$BA$3,"="&amp;$DF17+'Model Setup'!$I$7,$B17:$Y17)+'Model Setup'!$I$8*(SUMIF($AD$3:$BA$3,"&lt;"&amp;$DF17,$B17:$Y17)+SUMIF($AD$3:$BA$3,"&gt;="&amp;$DG17,$B17:$Y17)),
IF(AX$3=$DF17+'Model Setup'!$J$7,SUMIF($AD$3:$BA$3,"="&amp;$DF17+'Model Setup'!$J$7,$B17:$Y17)+'Model Setup'!$J$8*(SUMIF($AD$3:$BA$3,"&lt;"&amp;$DF17,$B17:$Y17)+SUMIF($AD$3:$BA$3,"&gt;="&amp;$DG17,$B17:$Y17)),
IF(AX$3=$DF17+'Model Setup'!$K$7,SUMIF($AD$3:$BA$3,"="&amp;$DF17+'Model Setup'!$K$7,$B17:$Y17)+'Model Setup'!$K$8*(SUMIF($AD$3:$BA$3,"&lt;"&amp;$DF17,$B17:$Y17)+SUMIF($AD$3:$BA$3,"&gt;="&amp;$DG17,$B17:$Y17)),
IF(AX$3=$DF17+'Model Setup'!$L$7,SUMIF($AD$3:$BA$3,"="&amp;$DF17+'Model Setup'!$L$7,$B17:$Y17)+'Model Setup'!$L$8*(SUMIF($AD$3:$BA$3,"&lt;"&amp;$DF17,$B17:$Y17)+SUMIF($AD$3:$BA$3,"&gt;="&amp;$DG17,$B17:$Y17)),
IF(AX$3=$DF17+'Model Setup'!$M$7,SUMIF($AD$3:$BA$3,"="&amp;$DF17+'Model Setup'!$M$7,$B17:$Y17)+'Model Setup'!$M$8*(SUMIF($AD$3:$BA$3,"&lt;"&amp;$DF17,$B17:$Y17)+SUMIF($AD$3:$BA$3,"&gt;="&amp;$DG17,$B17:$Y17)),
IF(AX$3=$DF17+'Model Setup'!$N$7,SUMIF($AD$3:$BA$3,"="&amp;$DF17+'Model Setup'!$N$7,$B17:$Y17)+'Model Setup'!$N$8*(SUMIF($AD$3:$BA$3,"&lt;"&amp;$DF17,$B17:$Y17)+SUMIF($AD$3:$BA$3,"&gt;="&amp;$DG17,$B17:$Y17)),
IF(AX$3&lt;$DG17,V17,0))))))))))))))),0)</f>
        <v>0</v>
      </c>
      <c r="AY17" s="47">
        <f>ROUND(IF(AY$3&lt;$DF17,0,
IF(AY$3=$DF17+'Model Setup'!$B$7,SUMIF($AD$3:$BA$3,"="&amp;$DF17+'Model Setup'!$B$7,$B17:$Y17)+'Model Setup'!$B$8*(SUMIF($AD$3:$BA$3,"&lt;"&amp;$DF17,$B17:$Y17)+SUMIF($AD$3:$BA$3,"&gt;="&amp;$DG17,$B17:$Y17)),
IF(AY$3=$DF17+'Model Setup'!$C$7,SUMIF($AD$3:$BA$3,"="&amp;$DF17+'Model Setup'!$C$7,$B17:$Y17)+'Model Setup'!$C$8*(SUMIF($AD$3:$BA$3,"&lt;"&amp;$DF17,$B17:$Y17)+SUMIF($AD$3:$BA$3,"&gt;="&amp;$DG17,$B17:$Y17)),
IF(AY$3=$DF17+'Model Setup'!$D$7,SUMIF($AD$3:$BA$3,"="&amp;$DF17+'Model Setup'!$D$7,$B17:$Y17)+'Model Setup'!$D$8*(SUMIF($AD$3:$BA$3,"&lt;"&amp;$DF17,$B17:$Y17)+SUMIF($AD$3:$BA$3,"&gt;="&amp;$DG17,$B17:$Y17)),
IF(AY$3=$DF17+'Model Setup'!$E$7,SUMIF($AD$3:$BA$3,"="&amp;$DF17+'Model Setup'!$E$7,$B17:$Y17)+'Model Setup'!$E$8*(SUMIF($AD$3:$BA$3,"&lt;"&amp;$DF17,$B17:$Y17)+SUMIF($AD$3:$BA$3,"&gt;="&amp;$DG17,$B17:$Y17)),
IF(AY$3=$DF17+'Model Setup'!$F$7,SUMIF($AD$3:$BA$3,"="&amp;$DF17+'Model Setup'!$F$7,$B17:$Y17)+'Model Setup'!$F$8*(SUMIF($AD$3:$BA$3,"&lt;"&amp;$DF17,$B17:$Y17)+SUMIF($AD$3:$BA$3,"&gt;="&amp;$DG17,$B17:$Y17)),
IF(AY$3=$DF17+'Model Setup'!$G$7,SUMIF($AD$3:$BA$3,"="&amp;$DF17+'Model Setup'!$G$7,$B17:$Y17)+'Model Setup'!$G$8*(SUMIF($AD$3:$BA$3,"&lt;"&amp;$DF17,$B17:$Y17)+SUMIF($AD$3:$BA$3,"&gt;="&amp;$DG17,$B17:$Y17)),
IF(AY$3=$DF17+'Model Setup'!$H$7,SUMIF($AD$3:$BA$3,"="&amp;$DF17+'Model Setup'!$H$7,$B17:$Y17)+'Model Setup'!$H$8*(SUMIF($AD$3:$BA$3,"&lt;"&amp;$DF17,$B17:$Y17)+SUMIF($AD$3:$BA$3,"&gt;="&amp;$DG17,$B17:$Y17)),
IF(AY$3=$DF17+'Model Setup'!$I$7,SUMIF($AD$3:$BA$3,"="&amp;$DF17+'Model Setup'!$I$7,$B17:$Y17)+'Model Setup'!$I$8*(SUMIF($AD$3:$BA$3,"&lt;"&amp;$DF17,$B17:$Y17)+SUMIF($AD$3:$BA$3,"&gt;="&amp;$DG17,$B17:$Y17)),
IF(AY$3=$DF17+'Model Setup'!$J$7,SUMIF($AD$3:$BA$3,"="&amp;$DF17+'Model Setup'!$J$7,$B17:$Y17)+'Model Setup'!$J$8*(SUMIF($AD$3:$BA$3,"&lt;"&amp;$DF17,$B17:$Y17)+SUMIF($AD$3:$BA$3,"&gt;="&amp;$DG17,$B17:$Y17)),
IF(AY$3=$DF17+'Model Setup'!$K$7,SUMIF($AD$3:$BA$3,"="&amp;$DF17+'Model Setup'!$K$7,$B17:$Y17)+'Model Setup'!$K$8*(SUMIF($AD$3:$BA$3,"&lt;"&amp;$DF17,$B17:$Y17)+SUMIF($AD$3:$BA$3,"&gt;="&amp;$DG17,$B17:$Y17)),
IF(AY$3=$DF17+'Model Setup'!$L$7,SUMIF($AD$3:$BA$3,"="&amp;$DF17+'Model Setup'!$L$7,$B17:$Y17)+'Model Setup'!$L$8*(SUMIF($AD$3:$BA$3,"&lt;"&amp;$DF17,$B17:$Y17)+SUMIF($AD$3:$BA$3,"&gt;="&amp;$DG17,$B17:$Y17)),
IF(AY$3=$DF17+'Model Setup'!$M$7,SUMIF($AD$3:$BA$3,"="&amp;$DF17+'Model Setup'!$M$7,$B17:$Y17)+'Model Setup'!$M$8*(SUMIF($AD$3:$BA$3,"&lt;"&amp;$DF17,$B17:$Y17)+SUMIF($AD$3:$BA$3,"&gt;="&amp;$DG17,$B17:$Y17)),
IF(AY$3=$DF17+'Model Setup'!$N$7,SUMIF($AD$3:$BA$3,"="&amp;$DF17+'Model Setup'!$N$7,$B17:$Y17)+'Model Setup'!$N$8*(SUMIF($AD$3:$BA$3,"&lt;"&amp;$DF17,$B17:$Y17)+SUMIF($AD$3:$BA$3,"&gt;="&amp;$DG17,$B17:$Y17)),
IF(AY$3&lt;$DG17,W17,0))))))))))))))),0)</f>
        <v>0</v>
      </c>
      <c r="AZ17" s="47">
        <f>ROUND(IF(AZ$3&lt;$DF17,0,
IF(AZ$3=$DF17+'Model Setup'!$B$7,SUMIF($AD$3:$BA$3,"="&amp;$DF17+'Model Setup'!$B$7,$B17:$Y17)+'Model Setup'!$B$8*(SUMIF($AD$3:$BA$3,"&lt;"&amp;$DF17,$B17:$Y17)+SUMIF($AD$3:$BA$3,"&gt;="&amp;$DG17,$B17:$Y17)),
IF(AZ$3=$DF17+'Model Setup'!$C$7,SUMIF($AD$3:$BA$3,"="&amp;$DF17+'Model Setup'!$C$7,$B17:$Y17)+'Model Setup'!$C$8*(SUMIF($AD$3:$BA$3,"&lt;"&amp;$DF17,$B17:$Y17)+SUMIF($AD$3:$BA$3,"&gt;="&amp;$DG17,$B17:$Y17)),
IF(AZ$3=$DF17+'Model Setup'!$D$7,SUMIF($AD$3:$BA$3,"="&amp;$DF17+'Model Setup'!$D$7,$B17:$Y17)+'Model Setup'!$D$8*(SUMIF($AD$3:$BA$3,"&lt;"&amp;$DF17,$B17:$Y17)+SUMIF($AD$3:$BA$3,"&gt;="&amp;$DG17,$B17:$Y17)),
IF(AZ$3=$DF17+'Model Setup'!$E$7,SUMIF($AD$3:$BA$3,"="&amp;$DF17+'Model Setup'!$E$7,$B17:$Y17)+'Model Setup'!$E$8*(SUMIF($AD$3:$BA$3,"&lt;"&amp;$DF17,$B17:$Y17)+SUMIF($AD$3:$BA$3,"&gt;="&amp;$DG17,$B17:$Y17)),
IF(AZ$3=$DF17+'Model Setup'!$F$7,SUMIF($AD$3:$BA$3,"="&amp;$DF17+'Model Setup'!$F$7,$B17:$Y17)+'Model Setup'!$F$8*(SUMIF($AD$3:$BA$3,"&lt;"&amp;$DF17,$B17:$Y17)+SUMIF($AD$3:$BA$3,"&gt;="&amp;$DG17,$B17:$Y17)),
IF(AZ$3=$DF17+'Model Setup'!$G$7,SUMIF($AD$3:$BA$3,"="&amp;$DF17+'Model Setup'!$G$7,$B17:$Y17)+'Model Setup'!$G$8*(SUMIF($AD$3:$BA$3,"&lt;"&amp;$DF17,$B17:$Y17)+SUMIF($AD$3:$BA$3,"&gt;="&amp;$DG17,$B17:$Y17)),
IF(AZ$3=$DF17+'Model Setup'!$H$7,SUMIF($AD$3:$BA$3,"="&amp;$DF17+'Model Setup'!$H$7,$B17:$Y17)+'Model Setup'!$H$8*(SUMIF($AD$3:$BA$3,"&lt;"&amp;$DF17,$B17:$Y17)+SUMIF($AD$3:$BA$3,"&gt;="&amp;$DG17,$B17:$Y17)),
IF(AZ$3=$DF17+'Model Setup'!$I$7,SUMIF($AD$3:$BA$3,"="&amp;$DF17+'Model Setup'!$I$7,$B17:$Y17)+'Model Setup'!$I$8*(SUMIF($AD$3:$BA$3,"&lt;"&amp;$DF17,$B17:$Y17)+SUMIF($AD$3:$BA$3,"&gt;="&amp;$DG17,$B17:$Y17)),
IF(AZ$3=$DF17+'Model Setup'!$J$7,SUMIF($AD$3:$BA$3,"="&amp;$DF17+'Model Setup'!$J$7,$B17:$Y17)+'Model Setup'!$J$8*(SUMIF($AD$3:$BA$3,"&lt;"&amp;$DF17,$B17:$Y17)+SUMIF($AD$3:$BA$3,"&gt;="&amp;$DG17,$B17:$Y17)),
IF(AZ$3=$DF17+'Model Setup'!$K$7,SUMIF($AD$3:$BA$3,"="&amp;$DF17+'Model Setup'!$K$7,$B17:$Y17)+'Model Setup'!$K$8*(SUMIF($AD$3:$BA$3,"&lt;"&amp;$DF17,$B17:$Y17)+SUMIF($AD$3:$BA$3,"&gt;="&amp;$DG17,$B17:$Y17)),
IF(AZ$3=$DF17+'Model Setup'!$L$7,SUMIF($AD$3:$BA$3,"="&amp;$DF17+'Model Setup'!$L$7,$B17:$Y17)+'Model Setup'!$L$8*(SUMIF($AD$3:$BA$3,"&lt;"&amp;$DF17,$B17:$Y17)+SUMIF($AD$3:$BA$3,"&gt;="&amp;$DG17,$B17:$Y17)),
IF(AZ$3=$DF17+'Model Setup'!$M$7,SUMIF($AD$3:$BA$3,"="&amp;$DF17+'Model Setup'!$M$7,$B17:$Y17)+'Model Setup'!$M$8*(SUMIF($AD$3:$BA$3,"&lt;"&amp;$DF17,$B17:$Y17)+SUMIF($AD$3:$BA$3,"&gt;="&amp;$DG17,$B17:$Y17)),
IF(AZ$3=$DF17+'Model Setup'!$N$7,SUMIF($AD$3:$BA$3,"="&amp;$DF17+'Model Setup'!$N$7,$B17:$Y17)+'Model Setup'!$N$8*(SUMIF($AD$3:$BA$3,"&lt;"&amp;$DF17,$B17:$Y17)+SUMIF($AD$3:$BA$3,"&gt;="&amp;$DG17,$B17:$Y17)),
IF(AZ$3&lt;$DG17,X17,0))))))))))))))),0)</f>
        <v>0</v>
      </c>
      <c r="BA17" s="47">
        <f>ROUND(IF(BA$3&lt;$DF17,0,
IF(BA$3=$DF17+'Model Setup'!$B$7,SUMIF($AD$3:$BA$3,"="&amp;$DF17+'Model Setup'!$B$7,$B17:$Y17)+'Model Setup'!$B$8*(SUMIF($AD$3:$BA$3,"&lt;"&amp;$DF17,$B17:$Y17)+SUMIF($AD$3:$BA$3,"&gt;="&amp;$DG17,$B17:$Y17)),
IF(BA$3=$DF17+'Model Setup'!$C$7,SUMIF($AD$3:$BA$3,"="&amp;$DF17+'Model Setup'!$C$7,$B17:$Y17)+'Model Setup'!$C$8*(SUMIF($AD$3:$BA$3,"&lt;"&amp;$DF17,$B17:$Y17)+SUMIF($AD$3:$BA$3,"&gt;="&amp;$DG17,$B17:$Y17)),
IF(BA$3=$DF17+'Model Setup'!$D$7,SUMIF($AD$3:$BA$3,"="&amp;$DF17+'Model Setup'!$D$7,$B17:$Y17)+'Model Setup'!$D$8*(SUMIF($AD$3:$BA$3,"&lt;"&amp;$DF17,$B17:$Y17)+SUMIF($AD$3:$BA$3,"&gt;="&amp;$DG17,$B17:$Y17)),
IF(BA$3=$DF17+'Model Setup'!$E$7,SUMIF($AD$3:$BA$3,"="&amp;$DF17+'Model Setup'!$E$7,$B17:$Y17)+'Model Setup'!$E$8*(SUMIF($AD$3:$BA$3,"&lt;"&amp;$DF17,$B17:$Y17)+SUMIF($AD$3:$BA$3,"&gt;="&amp;$DG17,$B17:$Y17)),
IF(BA$3=$DF17+'Model Setup'!$F$7,SUMIF($AD$3:$BA$3,"="&amp;$DF17+'Model Setup'!$F$7,$B17:$Y17)+'Model Setup'!$F$8*(SUMIF($AD$3:$BA$3,"&lt;"&amp;$DF17,$B17:$Y17)+SUMIF($AD$3:$BA$3,"&gt;="&amp;$DG17,$B17:$Y17)),
IF(BA$3=$DF17+'Model Setup'!$G$7,SUMIF($AD$3:$BA$3,"="&amp;$DF17+'Model Setup'!$G$7,$B17:$Y17)+'Model Setup'!$G$8*(SUMIF($AD$3:$BA$3,"&lt;"&amp;$DF17,$B17:$Y17)+SUMIF($AD$3:$BA$3,"&gt;="&amp;$DG17,$B17:$Y17)),
IF(BA$3=$DF17+'Model Setup'!$H$7,SUMIF($AD$3:$BA$3,"="&amp;$DF17+'Model Setup'!$H$7,$B17:$Y17)+'Model Setup'!$H$8*(SUMIF($AD$3:$BA$3,"&lt;"&amp;$DF17,$B17:$Y17)+SUMIF($AD$3:$BA$3,"&gt;="&amp;$DG17,$B17:$Y17)),
IF(BA$3=$DF17+'Model Setup'!$I$7,SUMIF($AD$3:$BA$3,"="&amp;$DF17+'Model Setup'!$I$7,$B17:$Y17)+'Model Setup'!$I$8*(SUMIF($AD$3:$BA$3,"&lt;"&amp;$DF17,$B17:$Y17)+SUMIF($AD$3:$BA$3,"&gt;="&amp;$DG17,$B17:$Y17)),
IF(BA$3=$DF17+'Model Setup'!$J$7,SUMIF($AD$3:$BA$3,"="&amp;$DF17+'Model Setup'!$J$7,$B17:$Y17)+'Model Setup'!$J$8*(SUMIF($AD$3:$BA$3,"&lt;"&amp;$DF17,$B17:$Y17)+SUMIF($AD$3:$BA$3,"&gt;="&amp;$DG17,$B17:$Y17)),
IF(BA$3=$DF17+'Model Setup'!$K$7,SUMIF($AD$3:$BA$3,"="&amp;$DF17+'Model Setup'!$K$7,$B17:$Y17)+'Model Setup'!$K$8*(SUMIF($AD$3:$BA$3,"&lt;"&amp;$DF17,$B17:$Y17)+SUMIF($AD$3:$BA$3,"&gt;="&amp;$DG17,$B17:$Y17)),
IF(BA$3=$DF17+'Model Setup'!$L$7,SUMIF($AD$3:$BA$3,"="&amp;$DF17+'Model Setup'!$L$7,$B17:$Y17)+'Model Setup'!$L$8*(SUMIF($AD$3:$BA$3,"&lt;"&amp;$DF17,$B17:$Y17)+SUMIF($AD$3:$BA$3,"&gt;="&amp;$DG17,$B17:$Y17)),
IF(BA$3=$DF17+'Model Setup'!$M$7,SUMIF($AD$3:$BA$3,"="&amp;$DF17+'Model Setup'!$M$7,$B17:$Y17)+'Model Setup'!$M$8*(SUMIF($AD$3:$BA$3,"&lt;"&amp;$DF17,$B17:$Y17)+SUMIF($AD$3:$BA$3,"&gt;="&amp;$DG17,$B17:$Y17)),
IF(BA$3=$DF17+'Model Setup'!$N$7,SUMIF($AD$3:$BA$3,"="&amp;$DF17+'Model Setup'!$N$7,$B17:$Y17)+'Model Setup'!$N$8*(SUMIF($AD$3:$BA$3,"&lt;"&amp;$DF17,$B17:$Y17)+SUMIF($AD$3:$BA$3,"&gt;="&amp;$DG17,$B17:$Y17)),
IF(BA$3&lt;$DG17,Y17,0))))))))))))))),0)</f>
        <v>0</v>
      </c>
      <c r="BB17" s="47">
        <f t="shared" si="1"/>
        <v>169</v>
      </c>
      <c r="BD17" t="b">
        <f t="shared" si="2"/>
        <v>0</v>
      </c>
      <c r="BE17">
        <f t="shared" si="8"/>
        <v>1</v>
      </c>
      <c r="BF17">
        <f>(FTC!F15-FTC!E15)*24</f>
        <v>13</v>
      </c>
      <c r="BG17" s="43" t="s">
        <v>32</v>
      </c>
      <c r="BH17" s="47">
        <f>ROUND(IF(OR(BH$3&lt;$DF17,BH$3&gt;$CW$4),0,
IF(BH$3=$DF17+'Model Setup'!$B$7,SUMIF($BH$3:$CE$3,"="&amp;$DF17+'Model Setup'!$B$7,$AD17:$BA17)+'Model Setup'!$B$8*(SUMIF($BH$3:$CE$3,"&lt;"&amp;$DF17,$AD17:$BA17)+SUMIF($BH$3:$CE$3,"&gt;"&amp;$CW$4,$AD17:$BA17)),
IF(BH$3=$DF17+'Model Setup'!$C$7,SUMIF($BH$3:$CE$3,"="&amp;$DF17+'Model Setup'!$C$7,$AD17:$BA17)+'Model Setup'!$C$8*(SUMIF($BH$3:$CE$3,"&lt;"&amp;$DF17,$AD17:$BA17)+SUMIF($BH$3:$CE$3,"&gt;"&amp;$CW$4,$AD17:$BA17)),
IF(BH$3=$DF17+'Model Setup'!$D$7,SUMIF($BH$3:$CE$3,"="&amp;$DF17+'Model Setup'!$D$7,$AD17:$BA17)+'Model Setup'!$D$8*(SUMIF($BH$3:$CE$3,"&lt;"&amp;$DF17,$AD17:$BA17)+SUMIF($BH$3:$CE$3,"&gt;"&amp;$CW$4,$AD17:$BA17)),
IF(BH$3=$DF17+'Model Setup'!$E$7,SUMIF($BH$3:$CE$3,"="&amp;$DF17+'Model Setup'!$E$7,$AD17:$BA17)+'Model Setup'!$E$8*(SUMIF($BH$3:$CE$3,"&lt;"&amp;$DF17,$AD17:$BA17)+SUMIF($BH$3:$CE$3,"&gt;"&amp;$CW$4,$AD17:$BA17)),
IF(BH$3=$DF17+'Model Setup'!$F$7,SUMIF($BH$3:$CE$3,"="&amp;$DF17+'Model Setup'!$F$7,$AD17:$BA17)+'Model Setup'!$F$8*(SUMIF($BH$3:$CE$3,"&lt;"&amp;$DF17,$AD17:$BA17)+SUMIF($BH$3:$CE$3,"&gt;"&amp;$CW$4,$AD17:$BA17)),
IF(BH$3=$DF17+'Model Setup'!$G$7,SUMIF($BH$3:$CE$3,"="&amp;$DF17+'Model Setup'!$G$7,$AD17:$BA17)+'Model Setup'!$G$8*(SUMIF($BH$3:$CE$3,"&lt;"&amp;$DF17,$AD17:$BA17)+SUMIF($BH$3:$CE$3,"&gt;"&amp;$CW$4,$AD17:$BA17)),
IF(BH$3=$DF17+'Model Setup'!$H$7,SUMIF($BH$3:$CE$3,"="&amp;$DF17+'Model Setup'!$H$7,$AD17:$BA17)+'Model Setup'!$H$8*(SUMIF($BH$3:$CE$3,"&lt;"&amp;$DF17,$AD17:$BA17)+SUMIF($BH$3:$CE$3,"&gt;"&amp;$CW$4,$AD17:$BA17)),
IF(BH$3=$DF17+'Model Setup'!$I$7,SUMIF($BH$3:$CE$3,"="&amp;$DF17+'Model Setup'!$I$7,$AD17:$BA17)+'Model Setup'!$I$8*(SUMIF($BH$3:$CE$3,"&lt;"&amp;$DF17,$AD17:$BA17)+SUMIF($BH$3:$CE$3,"&gt;"&amp;$CW$4,$AD17:$BA17)),
IF(BH$3=$DF17+'Model Setup'!$J$7,SUMIF($BH$3:$CE$3,"="&amp;$DF17+'Model Setup'!$J$7,$AD17:$BA17)+'Model Setup'!$J$8*(SUMIF($BH$3:$CE$3,"&lt;"&amp;$DF17,$AD17:$BA17)+SUMIF($BH$3:$CE$3,"&gt;"&amp;$CW$4,$AD17:$BA17)),
IF(BH$3=$DF17+'Model Setup'!$K$7,SUMIF($BH$3:$CE$3,"="&amp;$DF17+'Model Setup'!$K$7,$AD17:$BA17)+'Model Setup'!$K$8*(SUMIF($BH$3:$CE$3,"&lt;"&amp;$DF17,$AD17:$BA17)+SUMIF($BH$3:$CE$3,"&gt;"&amp;$CW$4,$AD17:$BA17)),
IF(BH$3=$DF17+'Model Setup'!$L$7,SUMIF($BH$3:$CE$3,"="&amp;$DF17+'Model Setup'!$L$7,$AD17:$BA17)+'Model Setup'!$L$8*(SUMIF($BH$3:$CE$3,"&lt;"&amp;$DF17,$AD17:$BA17)+SUMIF($BH$3:$CE$3,"&gt;"&amp;$CW$4,$AD17:$BA17)),
IF(BH$3=$DF17+'Model Setup'!$M$7,SUMIF($BH$3:$CE$3,"="&amp;$DF17+'Model Setup'!$M$7,$AD17:$BA17)+'Model Setup'!$M$8*(SUMIF($BH$3:$CE$3,"&lt;"&amp;$DF17,$AD17:$BA17)+SUMIF($BH$3:$CE$3,"&gt;"&amp;$CW$4,$AD17:$BA17)),
IF(BH$3=$DF17+'Model Setup'!$N$7,SUMIF($BH$3:$CE$3,"="&amp;$DF17+'Model Setup'!$N$7,$AD17:$BA17)+'Model Setup'!$N$8*(SUMIF($BH$3:$CE$3,"&lt;"&amp;$DF17,$AD17:$BA17)+SUMIF($BH$3:$CE$3,"&gt;"&amp;$CW$4,$AD17:$BA17)),
IF(BH$3&lt;$CW$4,B17,0))))))))))))))),0)</f>
        <v>0</v>
      </c>
      <c r="BI17" s="47">
        <f>ROUND(IF(OR(BI$3&lt;$DF17,BI$3&gt;$CW$4),0,
IF(BI$3=$DF17+'Model Setup'!$B$7,SUMIF($BH$3:$CE$3,"="&amp;$DF17+'Model Setup'!$B$7,$AD17:$BA17)+'Model Setup'!$B$8*(SUMIF($BH$3:$CE$3,"&lt;"&amp;$DF17,$AD17:$BA17)+SUMIF($BH$3:$CE$3,"&gt;"&amp;$CW$4,$AD17:$BA17)),
IF(BI$3=$DF17+'Model Setup'!$C$7,SUMIF($BH$3:$CE$3,"="&amp;$DF17+'Model Setup'!$C$7,$AD17:$BA17)+'Model Setup'!$C$8*(SUMIF($BH$3:$CE$3,"&lt;"&amp;$DF17,$AD17:$BA17)+SUMIF($BH$3:$CE$3,"&gt;"&amp;$CW$4,$AD17:$BA17)),
IF(BI$3=$DF17+'Model Setup'!$D$7,SUMIF($BH$3:$CE$3,"="&amp;$DF17+'Model Setup'!$D$7,$AD17:$BA17)+'Model Setup'!$D$8*(SUMIF($BH$3:$CE$3,"&lt;"&amp;$DF17,$AD17:$BA17)+SUMIF($BH$3:$CE$3,"&gt;"&amp;$CW$4,$AD17:$BA17)),
IF(BI$3=$DF17+'Model Setup'!$E$7,SUMIF($BH$3:$CE$3,"="&amp;$DF17+'Model Setup'!$E$7,$AD17:$BA17)+'Model Setup'!$E$8*(SUMIF($BH$3:$CE$3,"&lt;"&amp;$DF17,$AD17:$BA17)+SUMIF($BH$3:$CE$3,"&gt;"&amp;$CW$4,$AD17:$BA17)),
IF(BI$3=$DF17+'Model Setup'!$F$7,SUMIF($BH$3:$CE$3,"="&amp;$DF17+'Model Setup'!$F$7,$AD17:$BA17)+'Model Setup'!$F$8*(SUMIF($BH$3:$CE$3,"&lt;"&amp;$DF17,$AD17:$BA17)+SUMIF($BH$3:$CE$3,"&gt;"&amp;$CW$4,$AD17:$BA17)),
IF(BI$3=$DF17+'Model Setup'!$G$7,SUMIF($BH$3:$CE$3,"="&amp;$DF17+'Model Setup'!$G$7,$AD17:$BA17)+'Model Setup'!$G$8*(SUMIF($BH$3:$CE$3,"&lt;"&amp;$DF17,$AD17:$BA17)+SUMIF($BH$3:$CE$3,"&gt;"&amp;$CW$4,$AD17:$BA17)),
IF(BI$3=$DF17+'Model Setup'!$H$7,SUMIF($BH$3:$CE$3,"="&amp;$DF17+'Model Setup'!$H$7,$AD17:$BA17)+'Model Setup'!$H$8*(SUMIF($BH$3:$CE$3,"&lt;"&amp;$DF17,$AD17:$BA17)+SUMIF($BH$3:$CE$3,"&gt;"&amp;$CW$4,$AD17:$BA17)),
IF(BI$3=$DF17+'Model Setup'!$I$7,SUMIF($BH$3:$CE$3,"="&amp;$DF17+'Model Setup'!$I$7,$AD17:$BA17)+'Model Setup'!$I$8*(SUMIF($BH$3:$CE$3,"&lt;"&amp;$DF17,$AD17:$BA17)+SUMIF($BH$3:$CE$3,"&gt;"&amp;$CW$4,$AD17:$BA17)),
IF(BI$3=$DF17+'Model Setup'!$J$7,SUMIF($BH$3:$CE$3,"="&amp;$DF17+'Model Setup'!$J$7,$AD17:$BA17)+'Model Setup'!$J$8*(SUMIF($BH$3:$CE$3,"&lt;"&amp;$DF17,$AD17:$BA17)+SUMIF($BH$3:$CE$3,"&gt;"&amp;$CW$4,$AD17:$BA17)),
IF(BI$3=$DF17+'Model Setup'!$K$7,SUMIF($BH$3:$CE$3,"="&amp;$DF17+'Model Setup'!$K$7,$AD17:$BA17)+'Model Setup'!$K$8*(SUMIF($BH$3:$CE$3,"&lt;"&amp;$DF17,$AD17:$BA17)+SUMIF($BH$3:$CE$3,"&gt;"&amp;$CW$4,$AD17:$BA17)),
IF(BI$3=$DF17+'Model Setup'!$L$7,SUMIF($BH$3:$CE$3,"="&amp;$DF17+'Model Setup'!$L$7,$AD17:$BA17)+'Model Setup'!$L$8*(SUMIF($BH$3:$CE$3,"&lt;"&amp;$DF17,$AD17:$BA17)+SUMIF($BH$3:$CE$3,"&gt;"&amp;$CW$4,$AD17:$BA17)),
IF(BI$3=$DF17+'Model Setup'!$M$7,SUMIF($BH$3:$CE$3,"="&amp;$DF17+'Model Setup'!$M$7,$AD17:$BA17)+'Model Setup'!$M$8*(SUMIF($BH$3:$CE$3,"&lt;"&amp;$DF17,$AD17:$BA17)+SUMIF($BH$3:$CE$3,"&gt;"&amp;$CW$4,$AD17:$BA17)),
IF(BI$3=$DF17+'Model Setup'!$N$7,SUMIF($BH$3:$CE$3,"="&amp;$DF17+'Model Setup'!$N$7,$AD17:$BA17)+'Model Setup'!$N$8*(SUMIF($BH$3:$CE$3,"&lt;"&amp;$DF17,$AD17:$BA17)+SUMIF($BH$3:$CE$3,"&gt;"&amp;$CW$4,$AD17:$BA17)),
IF(BI$3&lt;$CW$4,C17,0))))))))))))))),0)</f>
        <v>0</v>
      </c>
      <c r="BJ17" s="47">
        <f>ROUND(IF(OR(BJ$3&lt;$DF17,BJ$3&gt;$CW$4),0,
IF(BJ$3=$DF17+'Model Setup'!$B$7,SUMIF($BH$3:$CE$3,"="&amp;$DF17+'Model Setup'!$B$7,$AD17:$BA17)+'Model Setup'!$B$8*(SUMIF($BH$3:$CE$3,"&lt;"&amp;$DF17,$AD17:$BA17)+SUMIF($BH$3:$CE$3,"&gt;"&amp;$CW$4,$AD17:$BA17)),
IF(BJ$3=$DF17+'Model Setup'!$C$7,SUMIF($BH$3:$CE$3,"="&amp;$DF17+'Model Setup'!$C$7,$AD17:$BA17)+'Model Setup'!$C$8*(SUMIF($BH$3:$CE$3,"&lt;"&amp;$DF17,$AD17:$BA17)+SUMIF($BH$3:$CE$3,"&gt;"&amp;$CW$4,$AD17:$BA17)),
IF(BJ$3=$DF17+'Model Setup'!$D$7,SUMIF($BH$3:$CE$3,"="&amp;$DF17+'Model Setup'!$D$7,$AD17:$BA17)+'Model Setup'!$D$8*(SUMIF($BH$3:$CE$3,"&lt;"&amp;$DF17,$AD17:$BA17)+SUMIF($BH$3:$CE$3,"&gt;"&amp;$CW$4,$AD17:$BA17)),
IF(BJ$3=$DF17+'Model Setup'!$E$7,SUMIF($BH$3:$CE$3,"="&amp;$DF17+'Model Setup'!$E$7,$AD17:$BA17)+'Model Setup'!$E$8*(SUMIF($BH$3:$CE$3,"&lt;"&amp;$DF17,$AD17:$BA17)+SUMIF($BH$3:$CE$3,"&gt;"&amp;$CW$4,$AD17:$BA17)),
IF(BJ$3=$DF17+'Model Setup'!$F$7,SUMIF($BH$3:$CE$3,"="&amp;$DF17+'Model Setup'!$F$7,$AD17:$BA17)+'Model Setup'!$F$8*(SUMIF($BH$3:$CE$3,"&lt;"&amp;$DF17,$AD17:$BA17)+SUMIF($BH$3:$CE$3,"&gt;"&amp;$CW$4,$AD17:$BA17)),
IF(BJ$3=$DF17+'Model Setup'!$G$7,SUMIF($BH$3:$CE$3,"="&amp;$DF17+'Model Setup'!$G$7,$AD17:$BA17)+'Model Setup'!$G$8*(SUMIF($BH$3:$CE$3,"&lt;"&amp;$DF17,$AD17:$BA17)+SUMIF($BH$3:$CE$3,"&gt;"&amp;$CW$4,$AD17:$BA17)),
IF(BJ$3=$DF17+'Model Setup'!$H$7,SUMIF($BH$3:$CE$3,"="&amp;$DF17+'Model Setup'!$H$7,$AD17:$BA17)+'Model Setup'!$H$8*(SUMIF($BH$3:$CE$3,"&lt;"&amp;$DF17,$AD17:$BA17)+SUMIF($BH$3:$CE$3,"&gt;"&amp;$CW$4,$AD17:$BA17)),
IF(BJ$3=$DF17+'Model Setup'!$I$7,SUMIF($BH$3:$CE$3,"="&amp;$DF17+'Model Setup'!$I$7,$AD17:$BA17)+'Model Setup'!$I$8*(SUMIF($BH$3:$CE$3,"&lt;"&amp;$DF17,$AD17:$BA17)+SUMIF($BH$3:$CE$3,"&gt;"&amp;$CW$4,$AD17:$BA17)),
IF(BJ$3=$DF17+'Model Setup'!$J$7,SUMIF($BH$3:$CE$3,"="&amp;$DF17+'Model Setup'!$J$7,$AD17:$BA17)+'Model Setup'!$J$8*(SUMIF($BH$3:$CE$3,"&lt;"&amp;$DF17,$AD17:$BA17)+SUMIF($BH$3:$CE$3,"&gt;"&amp;$CW$4,$AD17:$BA17)),
IF(BJ$3=$DF17+'Model Setup'!$K$7,SUMIF($BH$3:$CE$3,"="&amp;$DF17+'Model Setup'!$K$7,$AD17:$BA17)+'Model Setup'!$K$8*(SUMIF($BH$3:$CE$3,"&lt;"&amp;$DF17,$AD17:$BA17)+SUMIF($BH$3:$CE$3,"&gt;"&amp;$CW$4,$AD17:$BA17)),
IF(BJ$3=$DF17+'Model Setup'!$L$7,SUMIF($BH$3:$CE$3,"="&amp;$DF17+'Model Setup'!$L$7,$AD17:$BA17)+'Model Setup'!$L$8*(SUMIF($BH$3:$CE$3,"&lt;"&amp;$DF17,$AD17:$BA17)+SUMIF($BH$3:$CE$3,"&gt;"&amp;$CW$4,$AD17:$BA17)),
IF(BJ$3=$DF17+'Model Setup'!$M$7,SUMIF($BH$3:$CE$3,"="&amp;$DF17+'Model Setup'!$M$7,$AD17:$BA17)+'Model Setup'!$M$8*(SUMIF($BH$3:$CE$3,"&lt;"&amp;$DF17,$AD17:$BA17)+SUMIF($BH$3:$CE$3,"&gt;"&amp;$CW$4,$AD17:$BA17)),
IF(BJ$3=$DF17+'Model Setup'!$N$7,SUMIF($BH$3:$CE$3,"="&amp;$DF17+'Model Setup'!$N$7,$AD17:$BA17)+'Model Setup'!$N$8*(SUMIF($BH$3:$CE$3,"&lt;"&amp;$DF17,$AD17:$BA17)+SUMIF($BH$3:$CE$3,"&gt;"&amp;$CW$4,$AD17:$BA17)),
IF(BJ$3&lt;$CW$4,D17,0))))))))))))))),0)</f>
        <v>0</v>
      </c>
      <c r="BK17" s="47">
        <f>ROUND(IF(OR(BK$3&lt;$DF17,BK$3&gt;$CW$4),0,
IF(BK$3=$DF17+'Model Setup'!$B$7,SUMIF($BH$3:$CE$3,"="&amp;$DF17+'Model Setup'!$B$7,$AD17:$BA17)+'Model Setup'!$B$8*(SUMIF($BH$3:$CE$3,"&lt;"&amp;$DF17,$AD17:$BA17)+SUMIF($BH$3:$CE$3,"&gt;"&amp;$CW$4,$AD17:$BA17)),
IF(BK$3=$DF17+'Model Setup'!$C$7,SUMIF($BH$3:$CE$3,"="&amp;$DF17+'Model Setup'!$C$7,$AD17:$BA17)+'Model Setup'!$C$8*(SUMIF($BH$3:$CE$3,"&lt;"&amp;$DF17,$AD17:$BA17)+SUMIF($BH$3:$CE$3,"&gt;"&amp;$CW$4,$AD17:$BA17)),
IF(BK$3=$DF17+'Model Setup'!$D$7,SUMIF($BH$3:$CE$3,"="&amp;$DF17+'Model Setup'!$D$7,$AD17:$BA17)+'Model Setup'!$D$8*(SUMIF($BH$3:$CE$3,"&lt;"&amp;$DF17,$AD17:$BA17)+SUMIF($BH$3:$CE$3,"&gt;"&amp;$CW$4,$AD17:$BA17)),
IF(BK$3=$DF17+'Model Setup'!$E$7,SUMIF($BH$3:$CE$3,"="&amp;$DF17+'Model Setup'!$E$7,$AD17:$BA17)+'Model Setup'!$E$8*(SUMIF($BH$3:$CE$3,"&lt;"&amp;$DF17,$AD17:$BA17)+SUMIF($BH$3:$CE$3,"&gt;"&amp;$CW$4,$AD17:$BA17)),
IF(BK$3=$DF17+'Model Setup'!$F$7,SUMIF($BH$3:$CE$3,"="&amp;$DF17+'Model Setup'!$F$7,$AD17:$BA17)+'Model Setup'!$F$8*(SUMIF($BH$3:$CE$3,"&lt;"&amp;$DF17,$AD17:$BA17)+SUMIF($BH$3:$CE$3,"&gt;"&amp;$CW$4,$AD17:$BA17)),
IF(BK$3=$DF17+'Model Setup'!$G$7,SUMIF($BH$3:$CE$3,"="&amp;$DF17+'Model Setup'!$G$7,$AD17:$BA17)+'Model Setup'!$G$8*(SUMIF($BH$3:$CE$3,"&lt;"&amp;$DF17,$AD17:$BA17)+SUMIF($BH$3:$CE$3,"&gt;"&amp;$CW$4,$AD17:$BA17)),
IF(BK$3=$DF17+'Model Setup'!$H$7,SUMIF($BH$3:$CE$3,"="&amp;$DF17+'Model Setup'!$H$7,$AD17:$BA17)+'Model Setup'!$H$8*(SUMIF($BH$3:$CE$3,"&lt;"&amp;$DF17,$AD17:$BA17)+SUMIF($BH$3:$CE$3,"&gt;"&amp;$CW$4,$AD17:$BA17)),
IF(BK$3=$DF17+'Model Setup'!$I$7,SUMIF($BH$3:$CE$3,"="&amp;$DF17+'Model Setup'!$I$7,$AD17:$BA17)+'Model Setup'!$I$8*(SUMIF($BH$3:$CE$3,"&lt;"&amp;$DF17,$AD17:$BA17)+SUMIF($BH$3:$CE$3,"&gt;"&amp;$CW$4,$AD17:$BA17)),
IF(BK$3=$DF17+'Model Setup'!$J$7,SUMIF($BH$3:$CE$3,"="&amp;$DF17+'Model Setup'!$J$7,$AD17:$BA17)+'Model Setup'!$J$8*(SUMIF($BH$3:$CE$3,"&lt;"&amp;$DF17,$AD17:$BA17)+SUMIF($BH$3:$CE$3,"&gt;"&amp;$CW$4,$AD17:$BA17)),
IF(BK$3=$DF17+'Model Setup'!$K$7,SUMIF($BH$3:$CE$3,"="&amp;$DF17+'Model Setup'!$K$7,$AD17:$BA17)+'Model Setup'!$K$8*(SUMIF($BH$3:$CE$3,"&lt;"&amp;$DF17,$AD17:$BA17)+SUMIF($BH$3:$CE$3,"&gt;"&amp;$CW$4,$AD17:$BA17)),
IF(BK$3=$DF17+'Model Setup'!$L$7,SUMIF($BH$3:$CE$3,"="&amp;$DF17+'Model Setup'!$L$7,$AD17:$BA17)+'Model Setup'!$L$8*(SUMIF($BH$3:$CE$3,"&lt;"&amp;$DF17,$AD17:$BA17)+SUMIF($BH$3:$CE$3,"&gt;"&amp;$CW$4,$AD17:$BA17)),
IF(BK$3=$DF17+'Model Setup'!$M$7,SUMIF($BH$3:$CE$3,"="&amp;$DF17+'Model Setup'!$M$7,$AD17:$BA17)+'Model Setup'!$M$8*(SUMIF($BH$3:$CE$3,"&lt;"&amp;$DF17,$AD17:$BA17)+SUMIF($BH$3:$CE$3,"&gt;"&amp;$CW$4,$AD17:$BA17)),
IF(BK$3=$DF17+'Model Setup'!$N$7,SUMIF($BH$3:$CE$3,"="&amp;$DF17+'Model Setup'!$N$7,$AD17:$BA17)+'Model Setup'!$N$8*(SUMIF($BH$3:$CE$3,"&lt;"&amp;$DF17,$AD17:$BA17)+SUMIF($BH$3:$CE$3,"&gt;"&amp;$CW$4,$AD17:$BA17)),
IF(BK$3&lt;$CW$4,E17,0))))))))))))))),0)</f>
        <v>0</v>
      </c>
      <c r="BL17" s="47">
        <f>ROUND(IF(OR(BL$3&lt;$DF17,BL$3&gt;$CW$4),0,
IF(BL$3=$DF17+'Model Setup'!$B$7,SUMIF($BH$3:$CE$3,"="&amp;$DF17+'Model Setup'!$B$7,$AD17:$BA17)+'Model Setup'!$B$8*(SUMIF($BH$3:$CE$3,"&lt;"&amp;$DF17,$AD17:$BA17)+SUMIF($BH$3:$CE$3,"&gt;"&amp;$CW$4,$AD17:$BA17)),
IF(BL$3=$DF17+'Model Setup'!$C$7,SUMIF($BH$3:$CE$3,"="&amp;$DF17+'Model Setup'!$C$7,$AD17:$BA17)+'Model Setup'!$C$8*(SUMIF($BH$3:$CE$3,"&lt;"&amp;$DF17,$AD17:$BA17)+SUMIF($BH$3:$CE$3,"&gt;"&amp;$CW$4,$AD17:$BA17)),
IF(BL$3=$DF17+'Model Setup'!$D$7,SUMIF($BH$3:$CE$3,"="&amp;$DF17+'Model Setup'!$D$7,$AD17:$BA17)+'Model Setup'!$D$8*(SUMIF($BH$3:$CE$3,"&lt;"&amp;$DF17,$AD17:$BA17)+SUMIF($BH$3:$CE$3,"&gt;"&amp;$CW$4,$AD17:$BA17)),
IF(BL$3=$DF17+'Model Setup'!$E$7,SUMIF($BH$3:$CE$3,"="&amp;$DF17+'Model Setup'!$E$7,$AD17:$BA17)+'Model Setup'!$E$8*(SUMIF($BH$3:$CE$3,"&lt;"&amp;$DF17,$AD17:$BA17)+SUMIF($BH$3:$CE$3,"&gt;"&amp;$CW$4,$AD17:$BA17)),
IF(BL$3=$DF17+'Model Setup'!$F$7,SUMIF($BH$3:$CE$3,"="&amp;$DF17+'Model Setup'!$F$7,$AD17:$BA17)+'Model Setup'!$F$8*(SUMIF($BH$3:$CE$3,"&lt;"&amp;$DF17,$AD17:$BA17)+SUMIF($BH$3:$CE$3,"&gt;"&amp;$CW$4,$AD17:$BA17)),
IF(BL$3=$DF17+'Model Setup'!$G$7,SUMIF($BH$3:$CE$3,"="&amp;$DF17+'Model Setup'!$G$7,$AD17:$BA17)+'Model Setup'!$G$8*(SUMIF($BH$3:$CE$3,"&lt;"&amp;$DF17,$AD17:$BA17)+SUMIF($BH$3:$CE$3,"&gt;"&amp;$CW$4,$AD17:$BA17)),
IF(BL$3=$DF17+'Model Setup'!$H$7,SUMIF($BH$3:$CE$3,"="&amp;$DF17+'Model Setup'!$H$7,$AD17:$BA17)+'Model Setup'!$H$8*(SUMIF($BH$3:$CE$3,"&lt;"&amp;$DF17,$AD17:$BA17)+SUMIF($BH$3:$CE$3,"&gt;"&amp;$CW$4,$AD17:$BA17)),
IF(BL$3=$DF17+'Model Setup'!$I$7,SUMIF($BH$3:$CE$3,"="&amp;$DF17+'Model Setup'!$I$7,$AD17:$BA17)+'Model Setup'!$I$8*(SUMIF($BH$3:$CE$3,"&lt;"&amp;$DF17,$AD17:$BA17)+SUMIF($BH$3:$CE$3,"&gt;"&amp;$CW$4,$AD17:$BA17)),
IF(BL$3=$DF17+'Model Setup'!$J$7,SUMIF($BH$3:$CE$3,"="&amp;$DF17+'Model Setup'!$J$7,$AD17:$BA17)+'Model Setup'!$J$8*(SUMIF($BH$3:$CE$3,"&lt;"&amp;$DF17,$AD17:$BA17)+SUMIF($BH$3:$CE$3,"&gt;"&amp;$CW$4,$AD17:$BA17)),
IF(BL$3=$DF17+'Model Setup'!$K$7,SUMIF($BH$3:$CE$3,"="&amp;$DF17+'Model Setup'!$K$7,$AD17:$BA17)+'Model Setup'!$K$8*(SUMIF($BH$3:$CE$3,"&lt;"&amp;$DF17,$AD17:$BA17)+SUMIF($BH$3:$CE$3,"&gt;"&amp;$CW$4,$AD17:$BA17)),
IF(BL$3=$DF17+'Model Setup'!$L$7,SUMIF($BH$3:$CE$3,"="&amp;$DF17+'Model Setup'!$L$7,$AD17:$BA17)+'Model Setup'!$L$8*(SUMIF($BH$3:$CE$3,"&lt;"&amp;$DF17,$AD17:$BA17)+SUMIF($BH$3:$CE$3,"&gt;"&amp;$CW$4,$AD17:$BA17)),
IF(BL$3=$DF17+'Model Setup'!$M$7,SUMIF($BH$3:$CE$3,"="&amp;$DF17+'Model Setup'!$M$7,$AD17:$BA17)+'Model Setup'!$M$8*(SUMIF($BH$3:$CE$3,"&lt;"&amp;$DF17,$AD17:$BA17)+SUMIF($BH$3:$CE$3,"&gt;"&amp;$CW$4,$AD17:$BA17)),
IF(BL$3=$DF17+'Model Setup'!$N$7,SUMIF($BH$3:$CE$3,"="&amp;$DF17+'Model Setup'!$N$7,$AD17:$BA17)+'Model Setup'!$N$8*(SUMIF($BH$3:$CE$3,"&lt;"&amp;$DF17,$AD17:$BA17)+SUMIF($BH$3:$CE$3,"&gt;"&amp;$CW$4,$AD17:$BA17)),
IF(BL$3&lt;$CW$4,F17,0))))))))))))))),0)</f>
        <v>0</v>
      </c>
      <c r="BM17" s="47">
        <f>ROUND(IF(OR(BM$3&lt;$DF17,BM$3&gt;$CW$4),0,
IF(BM$3=$DF17+'Model Setup'!$B$7,SUMIF($BH$3:$CE$3,"="&amp;$DF17+'Model Setup'!$B$7,$AD17:$BA17)+'Model Setup'!$B$8*(SUMIF($BH$3:$CE$3,"&lt;"&amp;$DF17,$AD17:$BA17)+SUMIF($BH$3:$CE$3,"&gt;"&amp;$CW$4,$AD17:$BA17)),
IF(BM$3=$DF17+'Model Setup'!$C$7,SUMIF($BH$3:$CE$3,"="&amp;$DF17+'Model Setup'!$C$7,$AD17:$BA17)+'Model Setup'!$C$8*(SUMIF($BH$3:$CE$3,"&lt;"&amp;$DF17,$AD17:$BA17)+SUMIF($BH$3:$CE$3,"&gt;"&amp;$CW$4,$AD17:$BA17)),
IF(BM$3=$DF17+'Model Setup'!$D$7,SUMIF($BH$3:$CE$3,"="&amp;$DF17+'Model Setup'!$D$7,$AD17:$BA17)+'Model Setup'!$D$8*(SUMIF($BH$3:$CE$3,"&lt;"&amp;$DF17,$AD17:$BA17)+SUMIF($BH$3:$CE$3,"&gt;"&amp;$CW$4,$AD17:$BA17)),
IF(BM$3=$DF17+'Model Setup'!$E$7,SUMIF($BH$3:$CE$3,"="&amp;$DF17+'Model Setup'!$E$7,$AD17:$BA17)+'Model Setup'!$E$8*(SUMIF($BH$3:$CE$3,"&lt;"&amp;$DF17,$AD17:$BA17)+SUMIF($BH$3:$CE$3,"&gt;"&amp;$CW$4,$AD17:$BA17)),
IF(BM$3=$DF17+'Model Setup'!$F$7,SUMIF($BH$3:$CE$3,"="&amp;$DF17+'Model Setup'!$F$7,$AD17:$BA17)+'Model Setup'!$F$8*(SUMIF($BH$3:$CE$3,"&lt;"&amp;$DF17,$AD17:$BA17)+SUMIF($BH$3:$CE$3,"&gt;"&amp;$CW$4,$AD17:$BA17)),
IF(BM$3=$DF17+'Model Setup'!$G$7,SUMIF($BH$3:$CE$3,"="&amp;$DF17+'Model Setup'!$G$7,$AD17:$BA17)+'Model Setup'!$G$8*(SUMIF($BH$3:$CE$3,"&lt;"&amp;$DF17,$AD17:$BA17)+SUMIF($BH$3:$CE$3,"&gt;"&amp;$CW$4,$AD17:$BA17)),
IF(BM$3=$DF17+'Model Setup'!$H$7,SUMIF($BH$3:$CE$3,"="&amp;$DF17+'Model Setup'!$H$7,$AD17:$BA17)+'Model Setup'!$H$8*(SUMIF($BH$3:$CE$3,"&lt;"&amp;$DF17,$AD17:$BA17)+SUMIF($BH$3:$CE$3,"&gt;"&amp;$CW$4,$AD17:$BA17)),
IF(BM$3=$DF17+'Model Setup'!$I$7,SUMIF($BH$3:$CE$3,"="&amp;$DF17+'Model Setup'!$I$7,$AD17:$BA17)+'Model Setup'!$I$8*(SUMIF($BH$3:$CE$3,"&lt;"&amp;$DF17,$AD17:$BA17)+SUMIF($BH$3:$CE$3,"&gt;"&amp;$CW$4,$AD17:$BA17)),
IF(BM$3=$DF17+'Model Setup'!$J$7,SUMIF($BH$3:$CE$3,"="&amp;$DF17+'Model Setup'!$J$7,$AD17:$BA17)+'Model Setup'!$J$8*(SUMIF($BH$3:$CE$3,"&lt;"&amp;$DF17,$AD17:$BA17)+SUMIF($BH$3:$CE$3,"&gt;"&amp;$CW$4,$AD17:$BA17)),
IF(BM$3=$DF17+'Model Setup'!$K$7,SUMIF($BH$3:$CE$3,"="&amp;$DF17+'Model Setup'!$K$7,$AD17:$BA17)+'Model Setup'!$K$8*(SUMIF($BH$3:$CE$3,"&lt;"&amp;$DF17,$AD17:$BA17)+SUMIF($BH$3:$CE$3,"&gt;"&amp;$CW$4,$AD17:$BA17)),
IF(BM$3=$DF17+'Model Setup'!$L$7,SUMIF($BH$3:$CE$3,"="&amp;$DF17+'Model Setup'!$L$7,$AD17:$BA17)+'Model Setup'!$L$8*(SUMIF($BH$3:$CE$3,"&lt;"&amp;$DF17,$AD17:$BA17)+SUMIF($BH$3:$CE$3,"&gt;"&amp;$CW$4,$AD17:$BA17)),
IF(BM$3=$DF17+'Model Setup'!$M$7,SUMIF($BH$3:$CE$3,"="&amp;$DF17+'Model Setup'!$M$7,$AD17:$BA17)+'Model Setup'!$M$8*(SUMIF($BH$3:$CE$3,"&lt;"&amp;$DF17,$AD17:$BA17)+SUMIF($BH$3:$CE$3,"&gt;"&amp;$CW$4,$AD17:$BA17)),
IF(BM$3=$DF17+'Model Setup'!$N$7,SUMIF($BH$3:$CE$3,"="&amp;$DF17+'Model Setup'!$N$7,$AD17:$BA17)+'Model Setup'!$N$8*(SUMIF($BH$3:$CE$3,"&lt;"&amp;$DF17,$AD17:$BA17)+SUMIF($BH$3:$CE$3,"&gt;"&amp;$CW$4,$AD17:$BA17)),
IF(BM$3&lt;$CW$4,G17,0))))))))))))))),0)</f>
        <v>0</v>
      </c>
      <c r="BN17" s="47">
        <f>ROUND(IF(OR(BN$3&lt;$DF17,BN$3&gt;$CW$4),0,
IF(BN$3=$DF17+'Model Setup'!$B$7,SUMIF($BH$3:$CE$3,"="&amp;$DF17+'Model Setup'!$B$7,$AD17:$BA17)+'Model Setup'!$B$8*(SUMIF($BH$3:$CE$3,"&lt;"&amp;$DF17,$AD17:$BA17)+SUMIF($BH$3:$CE$3,"&gt;"&amp;$CW$4,$AD17:$BA17)),
IF(BN$3=$DF17+'Model Setup'!$C$7,SUMIF($BH$3:$CE$3,"="&amp;$DF17+'Model Setup'!$C$7,$AD17:$BA17)+'Model Setup'!$C$8*(SUMIF($BH$3:$CE$3,"&lt;"&amp;$DF17,$AD17:$BA17)+SUMIF($BH$3:$CE$3,"&gt;"&amp;$CW$4,$AD17:$BA17)),
IF(BN$3=$DF17+'Model Setup'!$D$7,SUMIF($BH$3:$CE$3,"="&amp;$DF17+'Model Setup'!$D$7,$AD17:$BA17)+'Model Setup'!$D$8*(SUMIF($BH$3:$CE$3,"&lt;"&amp;$DF17,$AD17:$BA17)+SUMIF($BH$3:$CE$3,"&gt;"&amp;$CW$4,$AD17:$BA17)),
IF(BN$3=$DF17+'Model Setup'!$E$7,SUMIF($BH$3:$CE$3,"="&amp;$DF17+'Model Setup'!$E$7,$AD17:$BA17)+'Model Setup'!$E$8*(SUMIF($BH$3:$CE$3,"&lt;"&amp;$DF17,$AD17:$BA17)+SUMIF($BH$3:$CE$3,"&gt;"&amp;$CW$4,$AD17:$BA17)),
IF(BN$3=$DF17+'Model Setup'!$F$7,SUMIF($BH$3:$CE$3,"="&amp;$DF17+'Model Setup'!$F$7,$AD17:$BA17)+'Model Setup'!$F$8*(SUMIF($BH$3:$CE$3,"&lt;"&amp;$DF17,$AD17:$BA17)+SUMIF($BH$3:$CE$3,"&gt;"&amp;$CW$4,$AD17:$BA17)),
IF(BN$3=$DF17+'Model Setup'!$G$7,SUMIF($BH$3:$CE$3,"="&amp;$DF17+'Model Setup'!$G$7,$AD17:$BA17)+'Model Setup'!$G$8*(SUMIF($BH$3:$CE$3,"&lt;"&amp;$DF17,$AD17:$BA17)+SUMIF($BH$3:$CE$3,"&gt;"&amp;$CW$4,$AD17:$BA17)),
IF(BN$3=$DF17+'Model Setup'!$H$7,SUMIF($BH$3:$CE$3,"="&amp;$DF17+'Model Setup'!$H$7,$AD17:$BA17)+'Model Setup'!$H$8*(SUMIF($BH$3:$CE$3,"&lt;"&amp;$DF17,$AD17:$BA17)+SUMIF($BH$3:$CE$3,"&gt;"&amp;$CW$4,$AD17:$BA17)),
IF(BN$3=$DF17+'Model Setup'!$I$7,SUMIF($BH$3:$CE$3,"="&amp;$DF17+'Model Setup'!$I$7,$AD17:$BA17)+'Model Setup'!$I$8*(SUMIF($BH$3:$CE$3,"&lt;"&amp;$DF17,$AD17:$BA17)+SUMIF($BH$3:$CE$3,"&gt;"&amp;$CW$4,$AD17:$BA17)),
IF(BN$3=$DF17+'Model Setup'!$J$7,SUMIF($BH$3:$CE$3,"="&amp;$DF17+'Model Setup'!$J$7,$AD17:$BA17)+'Model Setup'!$J$8*(SUMIF($BH$3:$CE$3,"&lt;"&amp;$DF17,$AD17:$BA17)+SUMIF($BH$3:$CE$3,"&gt;"&amp;$CW$4,$AD17:$BA17)),
IF(BN$3=$DF17+'Model Setup'!$K$7,SUMIF($BH$3:$CE$3,"="&amp;$DF17+'Model Setup'!$K$7,$AD17:$BA17)+'Model Setup'!$K$8*(SUMIF($BH$3:$CE$3,"&lt;"&amp;$DF17,$AD17:$BA17)+SUMIF($BH$3:$CE$3,"&gt;"&amp;$CW$4,$AD17:$BA17)),
IF(BN$3=$DF17+'Model Setup'!$L$7,SUMIF($BH$3:$CE$3,"="&amp;$DF17+'Model Setup'!$L$7,$AD17:$BA17)+'Model Setup'!$L$8*(SUMIF($BH$3:$CE$3,"&lt;"&amp;$DF17,$AD17:$BA17)+SUMIF($BH$3:$CE$3,"&gt;"&amp;$CW$4,$AD17:$BA17)),
IF(BN$3=$DF17+'Model Setup'!$M$7,SUMIF($BH$3:$CE$3,"="&amp;$DF17+'Model Setup'!$M$7,$AD17:$BA17)+'Model Setup'!$M$8*(SUMIF($BH$3:$CE$3,"&lt;"&amp;$DF17,$AD17:$BA17)+SUMIF($BH$3:$CE$3,"&gt;"&amp;$CW$4,$AD17:$BA17)),
IF(BN$3=$DF17+'Model Setup'!$N$7,SUMIF($BH$3:$CE$3,"="&amp;$DF17+'Model Setup'!$N$7,$AD17:$BA17)+'Model Setup'!$N$8*(SUMIF($BH$3:$CE$3,"&lt;"&amp;$DF17,$AD17:$BA17)+SUMIF($BH$3:$CE$3,"&gt;"&amp;$CW$4,$AD17:$BA17)),
IF(BN$3&lt;$CW$4,H17,0))))))))))))))),0)</f>
        <v>18</v>
      </c>
      <c r="BO17" s="47">
        <f>ROUND(IF(OR(BO$3&lt;$DF17,BO$3&gt;$CW$4),0,
IF(BO$3=$DF17+'Model Setup'!$B$7,SUMIF($BH$3:$CE$3,"="&amp;$DF17+'Model Setup'!$B$7,$AD17:$BA17)+'Model Setup'!$B$8*(SUMIF($BH$3:$CE$3,"&lt;"&amp;$DF17,$AD17:$BA17)+SUMIF($BH$3:$CE$3,"&gt;"&amp;$CW$4,$AD17:$BA17)),
IF(BO$3=$DF17+'Model Setup'!$C$7,SUMIF($BH$3:$CE$3,"="&amp;$DF17+'Model Setup'!$C$7,$AD17:$BA17)+'Model Setup'!$C$8*(SUMIF($BH$3:$CE$3,"&lt;"&amp;$DF17,$AD17:$BA17)+SUMIF($BH$3:$CE$3,"&gt;"&amp;$CW$4,$AD17:$BA17)),
IF(BO$3=$DF17+'Model Setup'!$D$7,SUMIF($BH$3:$CE$3,"="&amp;$DF17+'Model Setup'!$D$7,$AD17:$BA17)+'Model Setup'!$D$8*(SUMIF($BH$3:$CE$3,"&lt;"&amp;$DF17,$AD17:$BA17)+SUMIF($BH$3:$CE$3,"&gt;"&amp;$CW$4,$AD17:$BA17)),
IF(BO$3=$DF17+'Model Setup'!$E$7,SUMIF($BH$3:$CE$3,"="&amp;$DF17+'Model Setup'!$E$7,$AD17:$BA17)+'Model Setup'!$E$8*(SUMIF($BH$3:$CE$3,"&lt;"&amp;$DF17,$AD17:$BA17)+SUMIF($BH$3:$CE$3,"&gt;"&amp;$CW$4,$AD17:$BA17)),
IF(BO$3=$DF17+'Model Setup'!$F$7,SUMIF($BH$3:$CE$3,"="&amp;$DF17+'Model Setup'!$F$7,$AD17:$BA17)+'Model Setup'!$F$8*(SUMIF($BH$3:$CE$3,"&lt;"&amp;$DF17,$AD17:$BA17)+SUMIF($BH$3:$CE$3,"&gt;"&amp;$CW$4,$AD17:$BA17)),
IF(BO$3=$DF17+'Model Setup'!$G$7,SUMIF($BH$3:$CE$3,"="&amp;$DF17+'Model Setup'!$G$7,$AD17:$BA17)+'Model Setup'!$G$8*(SUMIF($BH$3:$CE$3,"&lt;"&amp;$DF17,$AD17:$BA17)+SUMIF($BH$3:$CE$3,"&gt;"&amp;$CW$4,$AD17:$BA17)),
IF(BO$3=$DF17+'Model Setup'!$H$7,SUMIF($BH$3:$CE$3,"="&amp;$DF17+'Model Setup'!$H$7,$AD17:$BA17)+'Model Setup'!$H$8*(SUMIF($BH$3:$CE$3,"&lt;"&amp;$DF17,$AD17:$BA17)+SUMIF($BH$3:$CE$3,"&gt;"&amp;$CW$4,$AD17:$BA17)),
IF(BO$3=$DF17+'Model Setup'!$I$7,SUMIF($BH$3:$CE$3,"="&amp;$DF17+'Model Setup'!$I$7,$AD17:$BA17)+'Model Setup'!$I$8*(SUMIF($BH$3:$CE$3,"&lt;"&amp;$DF17,$AD17:$BA17)+SUMIF($BH$3:$CE$3,"&gt;"&amp;$CW$4,$AD17:$BA17)),
IF(BO$3=$DF17+'Model Setup'!$J$7,SUMIF($BH$3:$CE$3,"="&amp;$DF17+'Model Setup'!$J$7,$AD17:$BA17)+'Model Setup'!$J$8*(SUMIF($BH$3:$CE$3,"&lt;"&amp;$DF17,$AD17:$BA17)+SUMIF($BH$3:$CE$3,"&gt;"&amp;$CW$4,$AD17:$BA17)),
IF(BO$3=$DF17+'Model Setup'!$K$7,SUMIF($BH$3:$CE$3,"="&amp;$DF17+'Model Setup'!$K$7,$AD17:$BA17)+'Model Setup'!$K$8*(SUMIF($BH$3:$CE$3,"&lt;"&amp;$DF17,$AD17:$BA17)+SUMIF($BH$3:$CE$3,"&gt;"&amp;$CW$4,$AD17:$BA17)),
IF(BO$3=$DF17+'Model Setup'!$L$7,SUMIF($BH$3:$CE$3,"="&amp;$DF17+'Model Setup'!$L$7,$AD17:$BA17)+'Model Setup'!$L$8*(SUMIF($BH$3:$CE$3,"&lt;"&amp;$DF17,$AD17:$BA17)+SUMIF($BH$3:$CE$3,"&gt;"&amp;$CW$4,$AD17:$BA17)),
IF(BO$3=$DF17+'Model Setup'!$M$7,SUMIF($BH$3:$CE$3,"="&amp;$DF17+'Model Setup'!$M$7,$AD17:$BA17)+'Model Setup'!$M$8*(SUMIF($BH$3:$CE$3,"&lt;"&amp;$DF17,$AD17:$BA17)+SUMIF($BH$3:$CE$3,"&gt;"&amp;$CW$4,$AD17:$BA17)),
IF(BO$3=$DF17+'Model Setup'!$N$7,SUMIF($BH$3:$CE$3,"="&amp;$DF17+'Model Setup'!$N$7,$AD17:$BA17)+'Model Setup'!$N$8*(SUMIF($BH$3:$CE$3,"&lt;"&amp;$DF17,$AD17:$BA17)+SUMIF($BH$3:$CE$3,"&gt;"&amp;$CW$4,$AD17:$BA17)),
IF(BO$3&lt;$CW$4,I17,0))))))))))))))),0)</f>
        <v>23</v>
      </c>
      <c r="BP17" s="47">
        <f>ROUND(IF(OR(BP$3&lt;$DF17,BP$3&gt;$CW$4),0,
IF(BP$3=$DF17+'Model Setup'!$B$7,SUMIF($BH$3:$CE$3,"="&amp;$DF17+'Model Setup'!$B$7,$AD17:$BA17)+'Model Setup'!$B$8*(SUMIF($BH$3:$CE$3,"&lt;"&amp;$DF17,$AD17:$BA17)+SUMIF($BH$3:$CE$3,"&gt;"&amp;$CW$4,$AD17:$BA17)),
IF(BP$3=$DF17+'Model Setup'!$C$7,SUMIF($BH$3:$CE$3,"="&amp;$DF17+'Model Setup'!$C$7,$AD17:$BA17)+'Model Setup'!$C$8*(SUMIF($BH$3:$CE$3,"&lt;"&amp;$DF17,$AD17:$BA17)+SUMIF($BH$3:$CE$3,"&gt;"&amp;$CW$4,$AD17:$BA17)),
IF(BP$3=$DF17+'Model Setup'!$D$7,SUMIF($BH$3:$CE$3,"="&amp;$DF17+'Model Setup'!$D$7,$AD17:$BA17)+'Model Setup'!$D$8*(SUMIF($BH$3:$CE$3,"&lt;"&amp;$DF17,$AD17:$BA17)+SUMIF($BH$3:$CE$3,"&gt;"&amp;$CW$4,$AD17:$BA17)),
IF(BP$3=$DF17+'Model Setup'!$E$7,SUMIF($BH$3:$CE$3,"="&amp;$DF17+'Model Setup'!$E$7,$AD17:$BA17)+'Model Setup'!$E$8*(SUMIF($BH$3:$CE$3,"&lt;"&amp;$DF17,$AD17:$BA17)+SUMIF($BH$3:$CE$3,"&gt;"&amp;$CW$4,$AD17:$BA17)),
IF(BP$3=$DF17+'Model Setup'!$F$7,SUMIF($BH$3:$CE$3,"="&amp;$DF17+'Model Setup'!$F$7,$AD17:$BA17)+'Model Setup'!$F$8*(SUMIF($BH$3:$CE$3,"&lt;"&amp;$DF17,$AD17:$BA17)+SUMIF($BH$3:$CE$3,"&gt;"&amp;$CW$4,$AD17:$BA17)),
IF(BP$3=$DF17+'Model Setup'!$G$7,SUMIF($BH$3:$CE$3,"="&amp;$DF17+'Model Setup'!$G$7,$AD17:$BA17)+'Model Setup'!$G$8*(SUMIF($BH$3:$CE$3,"&lt;"&amp;$DF17,$AD17:$BA17)+SUMIF($BH$3:$CE$3,"&gt;"&amp;$CW$4,$AD17:$BA17)),
IF(BP$3=$DF17+'Model Setup'!$H$7,SUMIF($BH$3:$CE$3,"="&amp;$DF17+'Model Setup'!$H$7,$AD17:$BA17)+'Model Setup'!$H$8*(SUMIF($BH$3:$CE$3,"&lt;"&amp;$DF17,$AD17:$BA17)+SUMIF($BH$3:$CE$3,"&gt;"&amp;$CW$4,$AD17:$BA17)),
IF(BP$3=$DF17+'Model Setup'!$I$7,SUMIF($BH$3:$CE$3,"="&amp;$DF17+'Model Setup'!$I$7,$AD17:$BA17)+'Model Setup'!$I$8*(SUMIF($BH$3:$CE$3,"&lt;"&amp;$DF17,$AD17:$BA17)+SUMIF($BH$3:$CE$3,"&gt;"&amp;$CW$4,$AD17:$BA17)),
IF(BP$3=$DF17+'Model Setup'!$J$7,SUMIF($BH$3:$CE$3,"="&amp;$DF17+'Model Setup'!$J$7,$AD17:$BA17)+'Model Setup'!$J$8*(SUMIF($BH$3:$CE$3,"&lt;"&amp;$DF17,$AD17:$BA17)+SUMIF($BH$3:$CE$3,"&gt;"&amp;$CW$4,$AD17:$BA17)),
IF(BP$3=$DF17+'Model Setup'!$K$7,SUMIF($BH$3:$CE$3,"="&amp;$DF17+'Model Setup'!$K$7,$AD17:$BA17)+'Model Setup'!$K$8*(SUMIF($BH$3:$CE$3,"&lt;"&amp;$DF17,$AD17:$BA17)+SUMIF($BH$3:$CE$3,"&gt;"&amp;$CW$4,$AD17:$BA17)),
IF(BP$3=$DF17+'Model Setup'!$L$7,SUMIF($BH$3:$CE$3,"="&amp;$DF17+'Model Setup'!$L$7,$AD17:$BA17)+'Model Setup'!$L$8*(SUMIF($BH$3:$CE$3,"&lt;"&amp;$DF17,$AD17:$BA17)+SUMIF($BH$3:$CE$3,"&gt;"&amp;$CW$4,$AD17:$BA17)),
IF(BP$3=$DF17+'Model Setup'!$M$7,SUMIF($BH$3:$CE$3,"="&amp;$DF17+'Model Setup'!$M$7,$AD17:$BA17)+'Model Setup'!$M$8*(SUMIF($BH$3:$CE$3,"&lt;"&amp;$DF17,$AD17:$BA17)+SUMIF($BH$3:$CE$3,"&gt;"&amp;$CW$4,$AD17:$BA17)),
IF(BP$3=$DF17+'Model Setup'!$N$7,SUMIF($BH$3:$CE$3,"="&amp;$DF17+'Model Setup'!$N$7,$AD17:$BA17)+'Model Setup'!$N$8*(SUMIF($BH$3:$CE$3,"&lt;"&amp;$DF17,$AD17:$BA17)+SUMIF($BH$3:$CE$3,"&gt;"&amp;$CW$4,$AD17:$BA17)),
IF(BP$3&lt;$CW$4,J17,0))))))))))))))),0)</f>
        <v>12</v>
      </c>
      <c r="BQ17" s="47">
        <f>ROUND(IF(OR(BQ$3&lt;$DF17,BQ$3&gt;$CW$4),0,
IF(BQ$3=$DF17+'Model Setup'!$B$7,SUMIF($BH$3:$CE$3,"="&amp;$DF17+'Model Setup'!$B$7,$AD17:$BA17)+'Model Setup'!$B$8*(SUMIF($BH$3:$CE$3,"&lt;"&amp;$DF17,$AD17:$BA17)+SUMIF($BH$3:$CE$3,"&gt;"&amp;$CW$4,$AD17:$BA17)),
IF(BQ$3=$DF17+'Model Setup'!$C$7,SUMIF($BH$3:$CE$3,"="&amp;$DF17+'Model Setup'!$C$7,$AD17:$BA17)+'Model Setup'!$C$8*(SUMIF($BH$3:$CE$3,"&lt;"&amp;$DF17,$AD17:$BA17)+SUMIF($BH$3:$CE$3,"&gt;"&amp;$CW$4,$AD17:$BA17)),
IF(BQ$3=$DF17+'Model Setup'!$D$7,SUMIF($BH$3:$CE$3,"="&amp;$DF17+'Model Setup'!$D$7,$AD17:$BA17)+'Model Setup'!$D$8*(SUMIF($BH$3:$CE$3,"&lt;"&amp;$DF17,$AD17:$BA17)+SUMIF($BH$3:$CE$3,"&gt;"&amp;$CW$4,$AD17:$BA17)),
IF(BQ$3=$DF17+'Model Setup'!$E$7,SUMIF($BH$3:$CE$3,"="&amp;$DF17+'Model Setup'!$E$7,$AD17:$BA17)+'Model Setup'!$E$8*(SUMIF($BH$3:$CE$3,"&lt;"&amp;$DF17,$AD17:$BA17)+SUMIF($BH$3:$CE$3,"&gt;"&amp;$CW$4,$AD17:$BA17)),
IF(BQ$3=$DF17+'Model Setup'!$F$7,SUMIF($BH$3:$CE$3,"="&amp;$DF17+'Model Setup'!$F$7,$AD17:$BA17)+'Model Setup'!$F$8*(SUMIF($BH$3:$CE$3,"&lt;"&amp;$DF17,$AD17:$BA17)+SUMIF($BH$3:$CE$3,"&gt;"&amp;$CW$4,$AD17:$BA17)),
IF(BQ$3=$DF17+'Model Setup'!$G$7,SUMIF($BH$3:$CE$3,"="&amp;$DF17+'Model Setup'!$G$7,$AD17:$BA17)+'Model Setup'!$G$8*(SUMIF($BH$3:$CE$3,"&lt;"&amp;$DF17,$AD17:$BA17)+SUMIF($BH$3:$CE$3,"&gt;"&amp;$CW$4,$AD17:$BA17)),
IF(BQ$3=$DF17+'Model Setup'!$H$7,SUMIF($BH$3:$CE$3,"="&amp;$DF17+'Model Setup'!$H$7,$AD17:$BA17)+'Model Setup'!$H$8*(SUMIF($BH$3:$CE$3,"&lt;"&amp;$DF17,$AD17:$BA17)+SUMIF($BH$3:$CE$3,"&gt;"&amp;$CW$4,$AD17:$BA17)),
IF(BQ$3=$DF17+'Model Setup'!$I$7,SUMIF($BH$3:$CE$3,"="&amp;$DF17+'Model Setup'!$I$7,$AD17:$BA17)+'Model Setup'!$I$8*(SUMIF($BH$3:$CE$3,"&lt;"&amp;$DF17,$AD17:$BA17)+SUMIF($BH$3:$CE$3,"&gt;"&amp;$CW$4,$AD17:$BA17)),
IF(BQ$3=$DF17+'Model Setup'!$J$7,SUMIF($BH$3:$CE$3,"="&amp;$DF17+'Model Setup'!$J$7,$AD17:$BA17)+'Model Setup'!$J$8*(SUMIF($BH$3:$CE$3,"&lt;"&amp;$DF17,$AD17:$BA17)+SUMIF($BH$3:$CE$3,"&gt;"&amp;$CW$4,$AD17:$BA17)),
IF(BQ$3=$DF17+'Model Setup'!$K$7,SUMIF($BH$3:$CE$3,"="&amp;$DF17+'Model Setup'!$K$7,$AD17:$BA17)+'Model Setup'!$K$8*(SUMIF($BH$3:$CE$3,"&lt;"&amp;$DF17,$AD17:$BA17)+SUMIF($BH$3:$CE$3,"&gt;"&amp;$CW$4,$AD17:$BA17)),
IF(BQ$3=$DF17+'Model Setup'!$L$7,SUMIF($BH$3:$CE$3,"="&amp;$DF17+'Model Setup'!$L$7,$AD17:$BA17)+'Model Setup'!$L$8*(SUMIF($BH$3:$CE$3,"&lt;"&amp;$DF17,$AD17:$BA17)+SUMIF($BH$3:$CE$3,"&gt;"&amp;$CW$4,$AD17:$BA17)),
IF(BQ$3=$DF17+'Model Setup'!$M$7,SUMIF($BH$3:$CE$3,"="&amp;$DF17+'Model Setup'!$M$7,$AD17:$BA17)+'Model Setup'!$M$8*(SUMIF($BH$3:$CE$3,"&lt;"&amp;$DF17,$AD17:$BA17)+SUMIF($BH$3:$CE$3,"&gt;"&amp;$CW$4,$AD17:$BA17)),
IF(BQ$3=$DF17+'Model Setup'!$N$7,SUMIF($BH$3:$CE$3,"="&amp;$DF17+'Model Setup'!$N$7,$AD17:$BA17)+'Model Setup'!$N$8*(SUMIF($BH$3:$CE$3,"&lt;"&amp;$DF17,$AD17:$BA17)+SUMIF($BH$3:$CE$3,"&gt;"&amp;$CW$4,$AD17:$BA17)),
IF(BQ$3&lt;$CW$4,K17,0))))))))))))))),0)</f>
        <v>20</v>
      </c>
      <c r="BR17" s="47">
        <f>ROUND(IF(OR(BR$3&lt;$DF17,BR$3&gt;$CW$4),0,
IF(BR$3=$DF17+'Model Setup'!$B$7,SUMIF($BH$3:$CE$3,"="&amp;$DF17+'Model Setup'!$B$7,$AD17:$BA17)+'Model Setup'!$B$8*(SUMIF($BH$3:$CE$3,"&lt;"&amp;$DF17,$AD17:$BA17)+SUMIF($BH$3:$CE$3,"&gt;"&amp;$CW$4,$AD17:$BA17)),
IF(BR$3=$DF17+'Model Setup'!$C$7,SUMIF($BH$3:$CE$3,"="&amp;$DF17+'Model Setup'!$C$7,$AD17:$BA17)+'Model Setup'!$C$8*(SUMIF($BH$3:$CE$3,"&lt;"&amp;$DF17,$AD17:$BA17)+SUMIF($BH$3:$CE$3,"&gt;"&amp;$CW$4,$AD17:$BA17)),
IF(BR$3=$DF17+'Model Setup'!$D$7,SUMIF($BH$3:$CE$3,"="&amp;$DF17+'Model Setup'!$D$7,$AD17:$BA17)+'Model Setup'!$D$8*(SUMIF($BH$3:$CE$3,"&lt;"&amp;$DF17,$AD17:$BA17)+SUMIF($BH$3:$CE$3,"&gt;"&amp;$CW$4,$AD17:$BA17)),
IF(BR$3=$DF17+'Model Setup'!$E$7,SUMIF($BH$3:$CE$3,"="&amp;$DF17+'Model Setup'!$E$7,$AD17:$BA17)+'Model Setup'!$E$8*(SUMIF($BH$3:$CE$3,"&lt;"&amp;$DF17,$AD17:$BA17)+SUMIF($BH$3:$CE$3,"&gt;"&amp;$CW$4,$AD17:$BA17)),
IF(BR$3=$DF17+'Model Setup'!$F$7,SUMIF($BH$3:$CE$3,"="&amp;$DF17+'Model Setup'!$F$7,$AD17:$BA17)+'Model Setup'!$F$8*(SUMIF($BH$3:$CE$3,"&lt;"&amp;$DF17,$AD17:$BA17)+SUMIF($BH$3:$CE$3,"&gt;"&amp;$CW$4,$AD17:$BA17)),
IF(BR$3=$DF17+'Model Setup'!$G$7,SUMIF($BH$3:$CE$3,"="&amp;$DF17+'Model Setup'!$G$7,$AD17:$BA17)+'Model Setup'!$G$8*(SUMIF($BH$3:$CE$3,"&lt;"&amp;$DF17,$AD17:$BA17)+SUMIF($BH$3:$CE$3,"&gt;"&amp;$CW$4,$AD17:$BA17)),
IF(BR$3=$DF17+'Model Setup'!$H$7,SUMIF($BH$3:$CE$3,"="&amp;$DF17+'Model Setup'!$H$7,$AD17:$BA17)+'Model Setup'!$H$8*(SUMIF($BH$3:$CE$3,"&lt;"&amp;$DF17,$AD17:$BA17)+SUMIF($BH$3:$CE$3,"&gt;"&amp;$CW$4,$AD17:$BA17)),
IF(BR$3=$DF17+'Model Setup'!$I$7,SUMIF($BH$3:$CE$3,"="&amp;$DF17+'Model Setup'!$I$7,$AD17:$BA17)+'Model Setup'!$I$8*(SUMIF($BH$3:$CE$3,"&lt;"&amp;$DF17,$AD17:$BA17)+SUMIF($BH$3:$CE$3,"&gt;"&amp;$CW$4,$AD17:$BA17)),
IF(BR$3=$DF17+'Model Setup'!$J$7,SUMIF($BH$3:$CE$3,"="&amp;$DF17+'Model Setup'!$J$7,$AD17:$BA17)+'Model Setup'!$J$8*(SUMIF($BH$3:$CE$3,"&lt;"&amp;$DF17,$AD17:$BA17)+SUMIF($BH$3:$CE$3,"&gt;"&amp;$CW$4,$AD17:$BA17)),
IF(BR$3=$DF17+'Model Setup'!$K$7,SUMIF($BH$3:$CE$3,"="&amp;$DF17+'Model Setup'!$K$7,$AD17:$BA17)+'Model Setup'!$K$8*(SUMIF($BH$3:$CE$3,"&lt;"&amp;$DF17,$AD17:$BA17)+SUMIF($BH$3:$CE$3,"&gt;"&amp;$CW$4,$AD17:$BA17)),
IF(BR$3=$DF17+'Model Setup'!$L$7,SUMIF($BH$3:$CE$3,"="&amp;$DF17+'Model Setup'!$L$7,$AD17:$BA17)+'Model Setup'!$L$8*(SUMIF($BH$3:$CE$3,"&lt;"&amp;$DF17,$AD17:$BA17)+SUMIF($BH$3:$CE$3,"&gt;"&amp;$CW$4,$AD17:$BA17)),
IF(BR$3=$DF17+'Model Setup'!$M$7,SUMIF($BH$3:$CE$3,"="&amp;$DF17+'Model Setup'!$M$7,$AD17:$BA17)+'Model Setup'!$M$8*(SUMIF($BH$3:$CE$3,"&lt;"&amp;$DF17,$AD17:$BA17)+SUMIF($BH$3:$CE$3,"&gt;"&amp;$CW$4,$AD17:$BA17)),
IF(BR$3=$DF17+'Model Setup'!$N$7,SUMIF($BH$3:$CE$3,"="&amp;$DF17+'Model Setup'!$N$7,$AD17:$BA17)+'Model Setup'!$N$8*(SUMIF($BH$3:$CE$3,"&lt;"&amp;$DF17,$AD17:$BA17)+SUMIF($BH$3:$CE$3,"&gt;"&amp;$CW$4,$AD17:$BA17)),
IF(BR$3&lt;$CW$4,L17,0))))))))))))))),0)</f>
        <v>16</v>
      </c>
      <c r="BS17" s="47">
        <f>ROUND(IF(OR(BS$3&lt;$DF17,BS$3&gt;$CW$4),0,
IF(BS$3=$DF17+'Model Setup'!$B$7,SUMIF($BH$3:$CE$3,"="&amp;$DF17+'Model Setup'!$B$7,$AD17:$BA17)+'Model Setup'!$B$8*(SUMIF($BH$3:$CE$3,"&lt;"&amp;$DF17,$AD17:$BA17)+SUMIF($BH$3:$CE$3,"&gt;"&amp;$CW$4,$AD17:$BA17)),
IF(BS$3=$DF17+'Model Setup'!$C$7,SUMIF($BH$3:$CE$3,"="&amp;$DF17+'Model Setup'!$C$7,$AD17:$BA17)+'Model Setup'!$C$8*(SUMIF($BH$3:$CE$3,"&lt;"&amp;$DF17,$AD17:$BA17)+SUMIF($BH$3:$CE$3,"&gt;"&amp;$CW$4,$AD17:$BA17)),
IF(BS$3=$DF17+'Model Setup'!$D$7,SUMIF($BH$3:$CE$3,"="&amp;$DF17+'Model Setup'!$D$7,$AD17:$BA17)+'Model Setup'!$D$8*(SUMIF($BH$3:$CE$3,"&lt;"&amp;$DF17,$AD17:$BA17)+SUMIF($BH$3:$CE$3,"&gt;"&amp;$CW$4,$AD17:$BA17)),
IF(BS$3=$DF17+'Model Setup'!$E$7,SUMIF($BH$3:$CE$3,"="&amp;$DF17+'Model Setup'!$E$7,$AD17:$BA17)+'Model Setup'!$E$8*(SUMIF($BH$3:$CE$3,"&lt;"&amp;$DF17,$AD17:$BA17)+SUMIF($BH$3:$CE$3,"&gt;"&amp;$CW$4,$AD17:$BA17)),
IF(BS$3=$DF17+'Model Setup'!$F$7,SUMIF($BH$3:$CE$3,"="&amp;$DF17+'Model Setup'!$F$7,$AD17:$BA17)+'Model Setup'!$F$8*(SUMIF($BH$3:$CE$3,"&lt;"&amp;$DF17,$AD17:$BA17)+SUMIF($BH$3:$CE$3,"&gt;"&amp;$CW$4,$AD17:$BA17)),
IF(BS$3=$DF17+'Model Setup'!$G$7,SUMIF($BH$3:$CE$3,"="&amp;$DF17+'Model Setup'!$G$7,$AD17:$BA17)+'Model Setup'!$G$8*(SUMIF($BH$3:$CE$3,"&lt;"&amp;$DF17,$AD17:$BA17)+SUMIF($BH$3:$CE$3,"&gt;"&amp;$CW$4,$AD17:$BA17)),
IF(BS$3=$DF17+'Model Setup'!$H$7,SUMIF($BH$3:$CE$3,"="&amp;$DF17+'Model Setup'!$H$7,$AD17:$BA17)+'Model Setup'!$H$8*(SUMIF($BH$3:$CE$3,"&lt;"&amp;$DF17,$AD17:$BA17)+SUMIF($BH$3:$CE$3,"&gt;"&amp;$CW$4,$AD17:$BA17)),
IF(BS$3=$DF17+'Model Setup'!$I$7,SUMIF($BH$3:$CE$3,"="&amp;$DF17+'Model Setup'!$I$7,$AD17:$BA17)+'Model Setup'!$I$8*(SUMIF($BH$3:$CE$3,"&lt;"&amp;$DF17,$AD17:$BA17)+SUMIF($BH$3:$CE$3,"&gt;"&amp;$CW$4,$AD17:$BA17)),
IF(BS$3=$DF17+'Model Setup'!$J$7,SUMIF($BH$3:$CE$3,"="&amp;$DF17+'Model Setup'!$J$7,$AD17:$BA17)+'Model Setup'!$J$8*(SUMIF($BH$3:$CE$3,"&lt;"&amp;$DF17,$AD17:$BA17)+SUMIF($BH$3:$CE$3,"&gt;"&amp;$CW$4,$AD17:$BA17)),
IF(BS$3=$DF17+'Model Setup'!$K$7,SUMIF($BH$3:$CE$3,"="&amp;$DF17+'Model Setup'!$K$7,$AD17:$BA17)+'Model Setup'!$K$8*(SUMIF($BH$3:$CE$3,"&lt;"&amp;$DF17,$AD17:$BA17)+SUMIF($BH$3:$CE$3,"&gt;"&amp;$CW$4,$AD17:$BA17)),
IF(BS$3=$DF17+'Model Setup'!$L$7,SUMIF($BH$3:$CE$3,"="&amp;$DF17+'Model Setup'!$L$7,$AD17:$BA17)+'Model Setup'!$L$8*(SUMIF($BH$3:$CE$3,"&lt;"&amp;$DF17,$AD17:$BA17)+SUMIF($BH$3:$CE$3,"&gt;"&amp;$CW$4,$AD17:$BA17)),
IF(BS$3=$DF17+'Model Setup'!$M$7,SUMIF($BH$3:$CE$3,"="&amp;$DF17+'Model Setup'!$M$7,$AD17:$BA17)+'Model Setup'!$M$8*(SUMIF($BH$3:$CE$3,"&lt;"&amp;$DF17,$AD17:$BA17)+SUMIF($BH$3:$CE$3,"&gt;"&amp;$CW$4,$AD17:$BA17)),
IF(BS$3=$DF17+'Model Setup'!$N$7,SUMIF($BH$3:$CE$3,"="&amp;$DF17+'Model Setup'!$N$7,$AD17:$BA17)+'Model Setup'!$N$8*(SUMIF($BH$3:$CE$3,"&lt;"&amp;$DF17,$AD17:$BA17)+SUMIF($BH$3:$CE$3,"&gt;"&amp;$CW$4,$AD17:$BA17)),
IF(BS$3&lt;$CW$4,M17,0))))))))))))))),0)</f>
        <v>12</v>
      </c>
      <c r="BT17" s="47">
        <f>ROUND(IF(OR(BT$3&lt;$DF17,BT$3&gt;$CW$4),0,
IF(BT$3=$DF17+'Model Setup'!$B$7,SUMIF($BH$3:$CE$3,"="&amp;$DF17+'Model Setup'!$B$7,$AD17:$BA17)+'Model Setup'!$B$8*(SUMIF($BH$3:$CE$3,"&lt;"&amp;$DF17,$AD17:$BA17)+SUMIF($BH$3:$CE$3,"&gt;"&amp;$CW$4,$AD17:$BA17)),
IF(BT$3=$DF17+'Model Setup'!$C$7,SUMIF($BH$3:$CE$3,"="&amp;$DF17+'Model Setup'!$C$7,$AD17:$BA17)+'Model Setup'!$C$8*(SUMIF($BH$3:$CE$3,"&lt;"&amp;$DF17,$AD17:$BA17)+SUMIF($BH$3:$CE$3,"&gt;"&amp;$CW$4,$AD17:$BA17)),
IF(BT$3=$DF17+'Model Setup'!$D$7,SUMIF($BH$3:$CE$3,"="&amp;$DF17+'Model Setup'!$D$7,$AD17:$BA17)+'Model Setup'!$D$8*(SUMIF($BH$3:$CE$3,"&lt;"&amp;$DF17,$AD17:$BA17)+SUMIF($BH$3:$CE$3,"&gt;"&amp;$CW$4,$AD17:$BA17)),
IF(BT$3=$DF17+'Model Setup'!$E$7,SUMIF($BH$3:$CE$3,"="&amp;$DF17+'Model Setup'!$E$7,$AD17:$BA17)+'Model Setup'!$E$8*(SUMIF($BH$3:$CE$3,"&lt;"&amp;$DF17,$AD17:$BA17)+SUMIF($BH$3:$CE$3,"&gt;"&amp;$CW$4,$AD17:$BA17)),
IF(BT$3=$DF17+'Model Setup'!$F$7,SUMIF($BH$3:$CE$3,"="&amp;$DF17+'Model Setup'!$F$7,$AD17:$BA17)+'Model Setup'!$F$8*(SUMIF($BH$3:$CE$3,"&lt;"&amp;$DF17,$AD17:$BA17)+SUMIF($BH$3:$CE$3,"&gt;"&amp;$CW$4,$AD17:$BA17)),
IF(BT$3=$DF17+'Model Setup'!$G$7,SUMIF($BH$3:$CE$3,"="&amp;$DF17+'Model Setup'!$G$7,$AD17:$BA17)+'Model Setup'!$G$8*(SUMIF($BH$3:$CE$3,"&lt;"&amp;$DF17,$AD17:$BA17)+SUMIF($BH$3:$CE$3,"&gt;"&amp;$CW$4,$AD17:$BA17)),
IF(BT$3=$DF17+'Model Setup'!$H$7,SUMIF($BH$3:$CE$3,"="&amp;$DF17+'Model Setup'!$H$7,$AD17:$BA17)+'Model Setup'!$H$8*(SUMIF($BH$3:$CE$3,"&lt;"&amp;$DF17,$AD17:$BA17)+SUMIF($BH$3:$CE$3,"&gt;"&amp;$CW$4,$AD17:$BA17)),
IF(BT$3=$DF17+'Model Setup'!$I$7,SUMIF($BH$3:$CE$3,"="&amp;$DF17+'Model Setup'!$I$7,$AD17:$BA17)+'Model Setup'!$I$8*(SUMIF($BH$3:$CE$3,"&lt;"&amp;$DF17,$AD17:$BA17)+SUMIF($BH$3:$CE$3,"&gt;"&amp;$CW$4,$AD17:$BA17)),
IF(BT$3=$DF17+'Model Setup'!$J$7,SUMIF($BH$3:$CE$3,"="&amp;$DF17+'Model Setup'!$J$7,$AD17:$BA17)+'Model Setup'!$J$8*(SUMIF($BH$3:$CE$3,"&lt;"&amp;$DF17,$AD17:$BA17)+SUMIF($BH$3:$CE$3,"&gt;"&amp;$CW$4,$AD17:$BA17)),
IF(BT$3=$DF17+'Model Setup'!$K$7,SUMIF($BH$3:$CE$3,"="&amp;$DF17+'Model Setup'!$K$7,$AD17:$BA17)+'Model Setup'!$K$8*(SUMIF($BH$3:$CE$3,"&lt;"&amp;$DF17,$AD17:$BA17)+SUMIF($BH$3:$CE$3,"&gt;"&amp;$CW$4,$AD17:$BA17)),
IF(BT$3=$DF17+'Model Setup'!$L$7,SUMIF($BH$3:$CE$3,"="&amp;$DF17+'Model Setup'!$L$7,$AD17:$BA17)+'Model Setup'!$L$8*(SUMIF($BH$3:$CE$3,"&lt;"&amp;$DF17,$AD17:$BA17)+SUMIF($BH$3:$CE$3,"&gt;"&amp;$CW$4,$AD17:$BA17)),
IF(BT$3=$DF17+'Model Setup'!$M$7,SUMIF($BH$3:$CE$3,"="&amp;$DF17+'Model Setup'!$M$7,$AD17:$BA17)+'Model Setup'!$M$8*(SUMIF($BH$3:$CE$3,"&lt;"&amp;$DF17,$AD17:$BA17)+SUMIF($BH$3:$CE$3,"&gt;"&amp;$CW$4,$AD17:$BA17)),
IF(BT$3=$DF17+'Model Setup'!$N$7,SUMIF($BH$3:$CE$3,"="&amp;$DF17+'Model Setup'!$N$7,$AD17:$BA17)+'Model Setup'!$N$8*(SUMIF($BH$3:$CE$3,"&lt;"&amp;$DF17,$AD17:$BA17)+SUMIF($BH$3:$CE$3,"&gt;"&amp;$CW$4,$AD17:$BA17)),
IF(BT$3&lt;$CW$4,N17,0))))))))))))))),0)</f>
        <v>15</v>
      </c>
      <c r="BU17" s="47">
        <f>ROUND(IF(OR(BU$3&lt;$DF17,BU$3&gt;$CW$4),0,
IF(BU$3=$DF17+'Model Setup'!$B$7,SUMIF($BH$3:$CE$3,"="&amp;$DF17+'Model Setup'!$B$7,$AD17:$BA17)+'Model Setup'!$B$8*(SUMIF($BH$3:$CE$3,"&lt;"&amp;$DF17,$AD17:$BA17)+SUMIF($BH$3:$CE$3,"&gt;"&amp;$CW$4,$AD17:$BA17)),
IF(BU$3=$DF17+'Model Setup'!$C$7,SUMIF($BH$3:$CE$3,"="&amp;$DF17+'Model Setup'!$C$7,$AD17:$BA17)+'Model Setup'!$C$8*(SUMIF($BH$3:$CE$3,"&lt;"&amp;$DF17,$AD17:$BA17)+SUMIF($BH$3:$CE$3,"&gt;"&amp;$CW$4,$AD17:$BA17)),
IF(BU$3=$DF17+'Model Setup'!$D$7,SUMIF($BH$3:$CE$3,"="&amp;$DF17+'Model Setup'!$D$7,$AD17:$BA17)+'Model Setup'!$D$8*(SUMIF($BH$3:$CE$3,"&lt;"&amp;$DF17,$AD17:$BA17)+SUMIF($BH$3:$CE$3,"&gt;"&amp;$CW$4,$AD17:$BA17)),
IF(BU$3=$DF17+'Model Setup'!$E$7,SUMIF($BH$3:$CE$3,"="&amp;$DF17+'Model Setup'!$E$7,$AD17:$BA17)+'Model Setup'!$E$8*(SUMIF($BH$3:$CE$3,"&lt;"&amp;$DF17,$AD17:$BA17)+SUMIF($BH$3:$CE$3,"&gt;"&amp;$CW$4,$AD17:$BA17)),
IF(BU$3=$DF17+'Model Setup'!$F$7,SUMIF($BH$3:$CE$3,"="&amp;$DF17+'Model Setup'!$F$7,$AD17:$BA17)+'Model Setup'!$F$8*(SUMIF($BH$3:$CE$3,"&lt;"&amp;$DF17,$AD17:$BA17)+SUMIF($BH$3:$CE$3,"&gt;"&amp;$CW$4,$AD17:$BA17)),
IF(BU$3=$DF17+'Model Setup'!$G$7,SUMIF($BH$3:$CE$3,"="&amp;$DF17+'Model Setup'!$G$7,$AD17:$BA17)+'Model Setup'!$G$8*(SUMIF($BH$3:$CE$3,"&lt;"&amp;$DF17,$AD17:$BA17)+SUMIF($BH$3:$CE$3,"&gt;"&amp;$CW$4,$AD17:$BA17)),
IF(BU$3=$DF17+'Model Setup'!$H$7,SUMIF($BH$3:$CE$3,"="&amp;$DF17+'Model Setup'!$H$7,$AD17:$BA17)+'Model Setup'!$H$8*(SUMIF($BH$3:$CE$3,"&lt;"&amp;$DF17,$AD17:$BA17)+SUMIF($BH$3:$CE$3,"&gt;"&amp;$CW$4,$AD17:$BA17)),
IF(BU$3=$DF17+'Model Setup'!$I$7,SUMIF($BH$3:$CE$3,"="&amp;$DF17+'Model Setup'!$I$7,$AD17:$BA17)+'Model Setup'!$I$8*(SUMIF($BH$3:$CE$3,"&lt;"&amp;$DF17,$AD17:$BA17)+SUMIF($BH$3:$CE$3,"&gt;"&amp;$CW$4,$AD17:$BA17)),
IF(BU$3=$DF17+'Model Setup'!$J$7,SUMIF($BH$3:$CE$3,"="&amp;$DF17+'Model Setup'!$J$7,$AD17:$BA17)+'Model Setup'!$J$8*(SUMIF($BH$3:$CE$3,"&lt;"&amp;$DF17,$AD17:$BA17)+SUMIF($BH$3:$CE$3,"&gt;"&amp;$CW$4,$AD17:$BA17)),
IF(BU$3=$DF17+'Model Setup'!$K$7,SUMIF($BH$3:$CE$3,"="&amp;$DF17+'Model Setup'!$K$7,$AD17:$BA17)+'Model Setup'!$K$8*(SUMIF($BH$3:$CE$3,"&lt;"&amp;$DF17,$AD17:$BA17)+SUMIF($BH$3:$CE$3,"&gt;"&amp;$CW$4,$AD17:$BA17)),
IF(BU$3=$DF17+'Model Setup'!$L$7,SUMIF($BH$3:$CE$3,"="&amp;$DF17+'Model Setup'!$L$7,$AD17:$BA17)+'Model Setup'!$L$8*(SUMIF($BH$3:$CE$3,"&lt;"&amp;$DF17,$AD17:$BA17)+SUMIF($BH$3:$CE$3,"&gt;"&amp;$CW$4,$AD17:$BA17)),
IF(BU$3=$DF17+'Model Setup'!$M$7,SUMIF($BH$3:$CE$3,"="&amp;$DF17+'Model Setup'!$M$7,$AD17:$BA17)+'Model Setup'!$M$8*(SUMIF($BH$3:$CE$3,"&lt;"&amp;$DF17,$AD17:$BA17)+SUMIF($BH$3:$CE$3,"&gt;"&amp;$CW$4,$AD17:$BA17)),
IF(BU$3=$DF17+'Model Setup'!$N$7,SUMIF($BH$3:$CE$3,"="&amp;$DF17+'Model Setup'!$N$7,$AD17:$BA17)+'Model Setup'!$N$8*(SUMIF($BH$3:$CE$3,"&lt;"&amp;$DF17,$AD17:$BA17)+SUMIF($BH$3:$CE$3,"&gt;"&amp;$CW$4,$AD17:$BA17)),
IF(BU$3&lt;$CW$4,O17,0))))))))))))))),0)</f>
        <v>4</v>
      </c>
      <c r="BV17" s="47">
        <f>ROUND(IF(OR(BV$3&lt;$DF17,BV$3&gt;$CW$4),0,
IF(BV$3=$DF17+'Model Setup'!$B$7,SUMIF($BH$3:$CE$3,"="&amp;$DF17+'Model Setup'!$B$7,$AD17:$BA17)+'Model Setup'!$B$8*(SUMIF($BH$3:$CE$3,"&lt;"&amp;$DF17,$AD17:$BA17)+SUMIF($BH$3:$CE$3,"&gt;"&amp;$CW$4,$AD17:$BA17)),
IF(BV$3=$DF17+'Model Setup'!$C$7,SUMIF($BH$3:$CE$3,"="&amp;$DF17+'Model Setup'!$C$7,$AD17:$BA17)+'Model Setup'!$C$8*(SUMIF($BH$3:$CE$3,"&lt;"&amp;$DF17,$AD17:$BA17)+SUMIF($BH$3:$CE$3,"&gt;"&amp;$CW$4,$AD17:$BA17)),
IF(BV$3=$DF17+'Model Setup'!$D$7,SUMIF($BH$3:$CE$3,"="&amp;$DF17+'Model Setup'!$D$7,$AD17:$BA17)+'Model Setup'!$D$8*(SUMIF($BH$3:$CE$3,"&lt;"&amp;$DF17,$AD17:$BA17)+SUMIF($BH$3:$CE$3,"&gt;"&amp;$CW$4,$AD17:$BA17)),
IF(BV$3=$DF17+'Model Setup'!$E$7,SUMIF($BH$3:$CE$3,"="&amp;$DF17+'Model Setup'!$E$7,$AD17:$BA17)+'Model Setup'!$E$8*(SUMIF($BH$3:$CE$3,"&lt;"&amp;$DF17,$AD17:$BA17)+SUMIF($BH$3:$CE$3,"&gt;"&amp;$CW$4,$AD17:$BA17)),
IF(BV$3=$DF17+'Model Setup'!$F$7,SUMIF($BH$3:$CE$3,"="&amp;$DF17+'Model Setup'!$F$7,$AD17:$BA17)+'Model Setup'!$F$8*(SUMIF($BH$3:$CE$3,"&lt;"&amp;$DF17,$AD17:$BA17)+SUMIF($BH$3:$CE$3,"&gt;"&amp;$CW$4,$AD17:$BA17)),
IF(BV$3=$DF17+'Model Setup'!$G$7,SUMIF($BH$3:$CE$3,"="&amp;$DF17+'Model Setup'!$G$7,$AD17:$BA17)+'Model Setup'!$G$8*(SUMIF($BH$3:$CE$3,"&lt;"&amp;$DF17,$AD17:$BA17)+SUMIF($BH$3:$CE$3,"&gt;"&amp;$CW$4,$AD17:$BA17)),
IF(BV$3=$DF17+'Model Setup'!$H$7,SUMIF($BH$3:$CE$3,"="&amp;$DF17+'Model Setup'!$H$7,$AD17:$BA17)+'Model Setup'!$H$8*(SUMIF($BH$3:$CE$3,"&lt;"&amp;$DF17,$AD17:$BA17)+SUMIF($BH$3:$CE$3,"&gt;"&amp;$CW$4,$AD17:$BA17)),
IF(BV$3=$DF17+'Model Setup'!$I$7,SUMIF($BH$3:$CE$3,"="&amp;$DF17+'Model Setup'!$I$7,$AD17:$BA17)+'Model Setup'!$I$8*(SUMIF($BH$3:$CE$3,"&lt;"&amp;$DF17,$AD17:$BA17)+SUMIF($BH$3:$CE$3,"&gt;"&amp;$CW$4,$AD17:$BA17)),
IF(BV$3=$DF17+'Model Setup'!$J$7,SUMIF($BH$3:$CE$3,"="&amp;$DF17+'Model Setup'!$J$7,$AD17:$BA17)+'Model Setup'!$J$8*(SUMIF($BH$3:$CE$3,"&lt;"&amp;$DF17,$AD17:$BA17)+SUMIF($BH$3:$CE$3,"&gt;"&amp;$CW$4,$AD17:$BA17)),
IF(BV$3=$DF17+'Model Setup'!$K$7,SUMIF($BH$3:$CE$3,"="&amp;$DF17+'Model Setup'!$K$7,$AD17:$BA17)+'Model Setup'!$K$8*(SUMIF($BH$3:$CE$3,"&lt;"&amp;$DF17,$AD17:$BA17)+SUMIF($BH$3:$CE$3,"&gt;"&amp;$CW$4,$AD17:$BA17)),
IF(BV$3=$DF17+'Model Setup'!$L$7,SUMIF($BH$3:$CE$3,"="&amp;$DF17+'Model Setup'!$L$7,$AD17:$BA17)+'Model Setup'!$L$8*(SUMIF($BH$3:$CE$3,"&lt;"&amp;$DF17,$AD17:$BA17)+SUMIF($BH$3:$CE$3,"&gt;"&amp;$CW$4,$AD17:$BA17)),
IF(BV$3=$DF17+'Model Setup'!$M$7,SUMIF($BH$3:$CE$3,"="&amp;$DF17+'Model Setup'!$M$7,$AD17:$BA17)+'Model Setup'!$M$8*(SUMIF($BH$3:$CE$3,"&lt;"&amp;$DF17,$AD17:$BA17)+SUMIF($BH$3:$CE$3,"&gt;"&amp;$CW$4,$AD17:$BA17)),
IF(BV$3=$DF17+'Model Setup'!$N$7,SUMIF($BH$3:$CE$3,"="&amp;$DF17+'Model Setup'!$N$7,$AD17:$BA17)+'Model Setup'!$N$8*(SUMIF($BH$3:$CE$3,"&lt;"&amp;$DF17,$AD17:$BA17)+SUMIF($BH$3:$CE$3,"&gt;"&amp;$CW$4,$AD17:$BA17)),
IF(BV$3&lt;$CW$4,P17,0))))))))))))))),0)</f>
        <v>11</v>
      </c>
      <c r="BW17" s="47">
        <f>ROUND(IF(OR(BW$3&lt;$DF17,BW$3&gt;$CW$4),0,
IF(BW$3=$DF17+'Model Setup'!$B$7,SUMIF($BH$3:$CE$3,"="&amp;$DF17+'Model Setup'!$B$7,$AD17:$BA17)+'Model Setup'!$B$8*(SUMIF($BH$3:$CE$3,"&lt;"&amp;$DF17,$AD17:$BA17)+SUMIF($BH$3:$CE$3,"&gt;"&amp;$CW$4,$AD17:$BA17)),
IF(BW$3=$DF17+'Model Setup'!$C$7,SUMIF($BH$3:$CE$3,"="&amp;$DF17+'Model Setup'!$C$7,$AD17:$BA17)+'Model Setup'!$C$8*(SUMIF($BH$3:$CE$3,"&lt;"&amp;$DF17,$AD17:$BA17)+SUMIF($BH$3:$CE$3,"&gt;"&amp;$CW$4,$AD17:$BA17)),
IF(BW$3=$DF17+'Model Setup'!$D$7,SUMIF($BH$3:$CE$3,"="&amp;$DF17+'Model Setup'!$D$7,$AD17:$BA17)+'Model Setup'!$D$8*(SUMIF($BH$3:$CE$3,"&lt;"&amp;$DF17,$AD17:$BA17)+SUMIF($BH$3:$CE$3,"&gt;"&amp;$CW$4,$AD17:$BA17)),
IF(BW$3=$DF17+'Model Setup'!$E$7,SUMIF($BH$3:$CE$3,"="&amp;$DF17+'Model Setup'!$E$7,$AD17:$BA17)+'Model Setup'!$E$8*(SUMIF($BH$3:$CE$3,"&lt;"&amp;$DF17,$AD17:$BA17)+SUMIF($BH$3:$CE$3,"&gt;"&amp;$CW$4,$AD17:$BA17)),
IF(BW$3=$DF17+'Model Setup'!$F$7,SUMIF($BH$3:$CE$3,"="&amp;$DF17+'Model Setup'!$F$7,$AD17:$BA17)+'Model Setup'!$F$8*(SUMIF($BH$3:$CE$3,"&lt;"&amp;$DF17,$AD17:$BA17)+SUMIF($BH$3:$CE$3,"&gt;"&amp;$CW$4,$AD17:$BA17)),
IF(BW$3=$DF17+'Model Setup'!$G$7,SUMIF($BH$3:$CE$3,"="&amp;$DF17+'Model Setup'!$G$7,$AD17:$BA17)+'Model Setup'!$G$8*(SUMIF($BH$3:$CE$3,"&lt;"&amp;$DF17,$AD17:$BA17)+SUMIF($BH$3:$CE$3,"&gt;"&amp;$CW$4,$AD17:$BA17)),
IF(BW$3=$DF17+'Model Setup'!$H$7,SUMIF($BH$3:$CE$3,"="&amp;$DF17+'Model Setup'!$H$7,$AD17:$BA17)+'Model Setup'!$H$8*(SUMIF($BH$3:$CE$3,"&lt;"&amp;$DF17,$AD17:$BA17)+SUMIF($BH$3:$CE$3,"&gt;"&amp;$CW$4,$AD17:$BA17)),
IF(BW$3=$DF17+'Model Setup'!$I$7,SUMIF($BH$3:$CE$3,"="&amp;$DF17+'Model Setup'!$I$7,$AD17:$BA17)+'Model Setup'!$I$8*(SUMIF($BH$3:$CE$3,"&lt;"&amp;$DF17,$AD17:$BA17)+SUMIF($BH$3:$CE$3,"&gt;"&amp;$CW$4,$AD17:$BA17)),
IF(BW$3=$DF17+'Model Setup'!$J$7,SUMIF($BH$3:$CE$3,"="&amp;$DF17+'Model Setup'!$J$7,$AD17:$BA17)+'Model Setup'!$J$8*(SUMIF($BH$3:$CE$3,"&lt;"&amp;$DF17,$AD17:$BA17)+SUMIF($BH$3:$CE$3,"&gt;"&amp;$CW$4,$AD17:$BA17)),
IF(BW$3=$DF17+'Model Setup'!$K$7,SUMIF($BH$3:$CE$3,"="&amp;$DF17+'Model Setup'!$K$7,$AD17:$BA17)+'Model Setup'!$K$8*(SUMIF($BH$3:$CE$3,"&lt;"&amp;$DF17,$AD17:$BA17)+SUMIF($BH$3:$CE$3,"&gt;"&amp;$CW$4,$AD17:$BA17)),
IF(BW$3=$DF17+'Model Setup'!$L$7,SUMIF($BH$3:$CE$3,"="&amp;$DF17+'Model Setup'!$L$7,$AD17:$BA17)+'Model Setup'!$L$8*(SUMIF($BH$3:$CE$3,"&lt;"&amp;$DF17,$AD17:$BA17)+SUMIF($BH$3:$CE$3,"&gt;"&amp;$CW$4,$AD17:$BA17)),
IF(BW$3=$DF17+'Model Setup'!$M$7,SUMIF($BH$3:$CE$3,"="&amp;$DF17+'Model Setup'!$M$7,$AD17:$BA17)+'Model Setup'!$M$8*(SUMIF($BH$3:$CE$3,"&lt;"&amp;$DF17,$AD17:$BA17)+SUMIF($BH$3:$CE$3,"&gt;"&amp;$CW$4,$AD17:$BA17)),
IF(BW$3=$DF17+'Model Setup'!$N$7,SUMIF($BH$3:$CE$3,"="&amp;$DF17+'Model Setup'!$N$7,$AD17:$BA17)+'Model Setup'!$N$8*(SUMIF($BH$3:$CE$3,"&lt;"&amp;$DF17,$AD17:$BA17)+SUMIF($BH$3:$CE$3,"&gt;"&amp;$CW$4,$AD17:$BA17)),
IF(BW$3&lt;$CW$4,Q17,0))))))))))))))),0)</f>
        <v>5</v>
      </c>
      <c r="BX17" s="47">
        <f>ROUND(IF(OR(BX$3&lt;$DF17,BX$3&gt;$CW$4),0,
IF(BX$3=$DF17+'Model Setup'!$B$7,SUMIF($BH$3:$CE$3,"="&amp;$DF17+'Model Setup'!$B$7,$AD17:$BA17)+'Model Setup'!$B$8*(SUMIF($BH$3:$CE$3,"&lt;"&amp;$DF17,$AD17:$BA17)+SUMIF($BH$3:$CE$3,"&gt;"&amp;$CW$4,$AD17:$BA17)),
IF(BX$3=$DF17+'Model Setup'!$C$7,SUMIF($BH$3:$CE$3,"="&amp;$DF17+'Model Setup'!$C$7,$AD17:$BA17)+'Model Setup'!$C$8*(SUMIF($BH$3:$CE$3,"&lt;"&amp;$DF17,$AD17:$BA17)+SUMIF($BH$3:$CE$3,"&gt;"&amp;$CW$4,$AD17:$BA17)),
IF(BX$3=$DF17+'Model Setup'!$D$7,SUMIF($BH$3:$CE$3,"="&amp;$DF17+'Model Setup'!$D$7,$AD17:$BA17)+'Model Setup'!$D$8*(SUMIF($BH$3:$CE$3,"&lt;"&amp;$DF17,$AD17:$BA17)+SUMIF($BH$3:$CE$3,"&gt;"&amp;$CW$4,$AD17:$BA17)),
IF(BX$3=$DF17+'Model Setup'!$E$7,SUMIF($BH$3:$CE$3,"="&amp;$DF17+'Model Setup'!$E$7,$AD17:$BA17)+'Model Setup'!$E$8*(SUMIF($BH$3:$CE$3,"&lt;"&amp;$DF17,$AD17:$BA17)+SUMIF($BH$3:$CE$3,"&gt;"&amp;$CW$4,$AD17:$BA17)),
IF(BX$3=$DF17+'Model Setup'!$F$7,SUMIF($BH$3:$CE$3,"="&amp;$DF17+'Model Setup'!$F$7,$AD17:$BA17)+'Model Setup'!$F$8*(SUMIF($BH$3:$CE$3,"&lt;"&amp;$DF17,$AD17:$BA17)+SUMIF($BH$3:$CE$3,"&gt;"&amp;$CW$4,$AD17:$BA17)),
IF(BX$3=$DF17+'Model Setup'!$G$7,SUMIF($BH$3:$CE$3,"="&amp;$DF17+'Model Setup'!$G$7,$AD17:$BA17)+'Model Setup'!$G$8*(SUMIF($BH$3:$CE$3,"&lt;"&amp;$DF17,$AD17:$BA17)+SUMIF($BH$3:$CE$3,"&gt;"&amp;$CW$4,$AD17:$BA17)),
IF(BX$3=$DF17+'Model Setup'!$H$7,SUMIF($BH$3:$CE$3,"="&amp;$DF17+'Model Setup'!$H$7,$AD17:$BA17)+'Model Setup'!$H$8*(SUMIF($BH$3:$CE$3,"&lt;"&amp;$DF17,$AD17:$BA17)+SUMIF($BH$3:$CE$3,"&gt;"&amp;$CW$4,$AD17:$BA17)),
IF(BX$3=$DF17+'Model Setup'!$I$7,SUMIF($BH$3:$CE$3,"="&amp;$DF17+'Model Setup'!$I$7,$AD17:$BA17)+'Model Setup'!$I$8*(SUMIF($BH$3:$CE$3,"&lt;"&amp;$DF17,$AD17:$BA17)+SUMIF($BH$3:$CE$3,"&gt;"&amp;$CW$4,$AD17:$BA17)),
IF(BX$3=$DF17+'Model Setup'!$J$7,SUMIF($BH$3:$CE$3,"="&amp;$DF17+'Model Setup'!$J$7,$AD17:$BA17)+'Model Setup'!$J$8*(SUMIF($BH$3:$CE$3,"&lt;"&amp;$DF17,$AD17:$BA17)+SUMIF($BH$3:$CE$3,"&gt;"&amp;$CW$4,$AD17:$BA17)),
IF(BX$3=$DF17+'Model Setup'!$K$7,SUMIF($BH$3:$CE$3,"="&amp;$DF17+'Model Setup'!$K$7,$AD17:$BA17)+'Model Setup'!$K$8*(SUMIF($BH$3:$CE$3,"&lt;"&amp;$DF17,$AD17:$BA17)+SUMIF($BH$3:$CE$3,"&gt;"&amp;$CW$4,$AD17:$BA17)),
IF(BX$3=$DF17+'Model Setup'!$L$7,SUMIF($BH$3:$CE$3,"="&amp;$DF17+'Model Setup'!$L$7,$AD17:$BA17)+'Model Setup'!$L$8*(SUMIF($BH$3:$CE$3,"&lt;"&amp;$DF17,$AD17:$BA17)+SUMIF($BH$3:$CE$3,"&gt;"&amp;$CW$4,$AD17:$BA17)),
IF(BX$3=$DF17+'Model Setup'!$M$7,SUMIF($BH$3:$CE$3,"="&amp;$DF17+'Model Setup'!$M$7,$AD17:$BA17)+'Model Setup'!$M$8*(SUMIF($BH$3:$CE$3,"&lt;"&amp;$DF17,$AD17:$BA17)+SUMIF($BH$3:$CE$3,"&gt;"&amp;$CW$4,$AD17:$BA17)),
IF(BX$3=$DF17+'Model Setup'!$N$7,SUMIF($BH$3:$CE$3,"="&amp;$DF17+'Model Setup'!$N$7,$AD17:$BA17)+'Model Setup'!$N$8*(SUMIF($BH$3:$CE$3,"&lt;"&amp;$DF17,$AD17:$BA17)+SUMIF($BH$3:$CE$3,"&gt;"&amp;$CW$4,$AD17:$BA17)),
IF(BX$3&lt;$CW$4,R17,0))))))))))))))),0)</f>
        <v>13</v>
      </c>
      <c r="BY17" s="47">
        <f>ROUND(IF(OR(BY$3&lt;$DF17,BY$3&gt;$CW$4),0,
IF(BY$3=$DF17+'Model Setup'!$B$7,SUMIF($BH$3:$CE$3,"="&amp;$DF17+'Model Setup'!$B$7,$AD17:$BA17)+'Model Setup'!$B$8*(SUMIF($BH$3:$CE$3,"&lt;"&amp;$DF17,$AD17:$BA17)+SUMIF($BH$3:$CE$3,"&gt;"&amp;$CW$4,$AD17:$BA17)),
IF(BY$3=$DF17+'Model Setup'!$C$7,SUMIF($BH$3:$CE$3,"="&amp;$DF17+'Model Setup'!$C$7,$AD17:$BA17)+'Model Setup'!$C$8*(SUMIF($BH$3:$CE$3,"&lt;"&amp;$DF17,$AD17:$BA17)+SUMIF($BH$3:$CE$3,"&gt;"&amp;$CW$4,$AD17:$BA17)),
IF(BY$3=$DF17+'Model Setup'!$D$7,SUMIF($BH$3:$CE$3,"="&amp;$DF17+'Model Setup'!$D$7,$AD17:$BA17)+'Model Setup'!$D$8*(SUMIF($BH$3:$CE$3,"&lt;"&amp;$DF17,$AD17:$BA17)+SUMIF($BH$3:$CE$3,"&gt;"&amp;$CW$4,$AD17:$BA17)),
IF(BY$3=$DF17+'Model Setup'!$E$7,SUMIF($BH$3:$CE$3,"="&amp;$DF17+'Model Setup'!$E$7,$AD17:$BA17)+'Model Setup'!$E$8*(SUMIF($BH$3:$CE$3,"&lt;"&amp;$DF17,$AD17:$BA17)+SUMIF($BH$3:$CE$3,"&gt;"&amp;$CW$4,$AD17:$BA17)),
IF(BY$3=$DF17+'Model Setup'!$F$7,SUMIF($BH$3:$CE$3,"="&amp;$DF17+'Model Setup'!$F$7,$AD17:$BA17)+'Model Setup'!$F$8*(SUMIF($BH$3:$CE$3,"&lt;"&amp;$DF17,$AD17:$BA17)+SUMIF($BH$3:$CE$3,"&gt;"&amp;$CW$4,$AD17:$BA17)),
IF(BY$3=$DF17+'Model Setup'!$G$7,SUMIF($BH$3:$CE$3,"="&amp;$DF17+'Model Setup'!$G$7,$AD17:$BA17)+'Model Setup'!$G$8*(SUMIF($BH$3:$CE$3,"&lt;"&amp;$DF17,$AD17:$BA17)+SUMIF($BH$3:$CE$3,"&gt;"&amp;$CW$4,$AD17:$BA17)),
IF(BY$3=$DF17+'Model Setup'!$H$7,SUMIF($BH$3:$CE$3,"="&amp;$DF17+'Model Setup'!$H$7,$AD17:$BA17)+'Model Setup'!$H$8*(SUMIF($BH$3:$CE$3,"&lt;"&amp;$DF17,$AD17:$BA17)+SUMIF($BH$3:$CE$3,"&gt;"&amp;$CW$4,$AD17:$BA17)),
IF(BY$3=$DF17+'Model Setup'!$I$7,SUMIF($BH$3:$CE$3,"="&amp;$DF17+'Model Setup'!$I$7,$AD17:$BA17)+'Model Setup'!$I$8*(SUMIF($BH$3:$CE$3,"&lt;"&amp;$DF17,$AD17:$BA17)+SUMIF($BH$3:$CE$3,"&gt;"&amp;$CW$4,$AD17:$BA17)),
IF(BY$3=$DF17+'Model Setup'!$J$7,SUMIF($BH$3:$CE$3,"="&amp;$DF17+'Model Setup'!$J$7,$AD17:$BA17)+'Model Setup'!$J$8*(SUMIF($BH$3:$CE$3,"&lt;"&amp;$DF17,$AD17:$BA17)+SUMIF($BH$3:$CE$3,"&gt;"&amp;$CW$4,$AD17:$BA17)),
IF(BY$3=$DF17+'Model Setup'!$K$7,SUMIF($BH$3:$CE$3,"="&amp;$DF17+'Model Setup'!$K$7,$AD17:$BA17)+'Model Setup'!$K$8*(SUMIF($BH$3:$CE$3,"&lt;"&amp;$DF17,$AD17:$BA17)+SUMIF($BH$3:$CE$3,"&gt;"&amp;$CW$4,$AD17:$BA17)),
IF(BY$3=$DF17+'Model Setup'!$L$7,SUMIF($BH$3:$CE$3,"="&amp;$DF17+'Model Setup'!$L$7,$AD17:$BA17)+'Model Setup'!$L$8*(SUMIF($BH$3:$CE$3,"&lt;"&amp;$DF17,$AD17:$BA17)+SUMIF($BH$3:$CE$3,"&gt;"&amp;$CW$4,$AD17:$BA17)),
IF(BY$3=$DF17+'Model Setup'!$M$7,SUMIF($BH$3:$CE$3,"="&amp;$DF17+'Model Setup'!$M$7,$AD17:$BA17)+'Model Setup'!$M$8*(SUMIF($BH$3:$CE$3,"&lt;"&amp;$DF17,$AD17:$BA17)+SUMIF($BH$3:$CE$3,"&gt;"&amp;$CW$4,$AD17:$BA17)),
IF(BY$3=$DF17+'Model Setup'!$N$7,SUMIF($BH$3:$CE$3,"="&amp;$DF17+'Model Setup'!$N$7,$AD17:$BA17)+'Model Setup'!$N$8*(SUMIF($BH$3:$CE$3,"&lt;"&amp;$DF17,$AD17:$BA17)+SUMIF($BH$3:$CE$3,"&gt;"&amp;$CW$4,$AD17:$BA17)),
IF(BY$3&lt;$CW$4,S17,0))))))))))))))),0)</f>
        <v>10</v>
      </c>
      <c r="BZ17" s="47">
        <f>ROUND(IF(OR(BZ$3&lt;$DF17,BZ$3&gt;$CW$4),0,
IF(BZ$3=$DF17+'Model Setup'!$B$7,SUMIF($BH$3:$CE$3,"="&amp;$DF17+'Model Setup'!$B$7,$AD17:$BA17)+'Model Setup'!$B$8*(SUMIF($BH$3:$CE$3,"&lt;"&amp;$DF17,$AD17:$BA17)+SUMIF($BH$3:$CE$3,"&gt;"&amp;$CW$4,$AD17:$BA17)),
IF(BZ$3=$DF17+'Model Setup'!$C$7,SUMIF($BH$3:$CE$3,"="&amp;$DF17+'Model Setup'!$C$7,$AD17:$BA17)+'Model Setup'!$C$8*(SUMIF($BH$3:$CE$3,"&lt;"&amp;$DF17,$AD17:$BA17)+SUMIF($BH$3:$CE$3,"&gt;"&amp;$CW$4,$AD17:$BA17)),
IF(BZ$3=$DF17+'Model Setup'!$D$7,SUMIF($BH$3:$CE$3,"="&amp;$DF17+'Model Setup'!$D$7,$AD17:$BA17)+'Model Setup'!$D$8*(SUMIF($BH$3:$CE$3,"&lt;"&amp;$DF17,$AD17:$BA17)+SUMIF($BH$3:$CE$3,"&gt;"&amp;$CW$4,$AD17:$BA17)),
IF(BZ$3=$DF17+'Model Setup'!$E$7,SUMIF($BH$3:$CE$3,"="&amp;$DF17+'Model Setup'!$E$7,$AD17:$BA17)+'Model Setup'!$E$8*(SUMIF($BH$3:$CE$3,"&lt;"&amp;$DF17,$AD17:$BA17)+SUMIF($BH$3:$CE$3,"&gt;"&amp;$CW$4,$AD17:$BA17)),
IF(BZ$3=$DF17+'Model Setup'!$F$7,SUMIF($BH$3:$CE$3,"="&amp;$DF17+'Model Setup'!$F$7,$AD17:$BA17)+'Model Setup'!$F$8*(SUMIF($BH$3:$CE$3,"&lt;"&amp;$DF17,$AD17:$BA17)+SUMIF($BH$3:$CE$3,"&gt;"&amp;$CW$4,$AD17:$BA17)),
IF(BZ$3=$DF17+'Model Setup'!$G$7,SUMIF($BH$3:$CE$3,"="&amp;$DF17+'Model Setup'!$G$7,$AD17:$BA17)+'Model Setup'!$G$8*(SUMIF($BH$3:$CE$3,"&lt;"&amp;$DF17,$AD17:$BA17)+SUMIF($BH$3:$CE$3,"&gt;"&amp;$CW$4,$AD17:$BA17)),
IF(BZ$3=$DF17+'Model Setup'!$H$7,SUMIF($BH$3:$CE$3,"="&amp;$DF17+'Model Setup'!$H$7,$AD17:$BA17)+'Model Setup'!$H$8*(SUMIF($BH$3:$CE$3,"&lt;"&amp;$DF17,$AD17:$BA17)+SUMIF($BH$3:$CE$3,"&gt;"&amp;$CW$4,$AD17:$BA17)),
IF(BZ$3=$DF17+'Model Setup'!$I$7,SUMIF($BH$3:$CE$3,"="&amp;$DF17+'Model Setup'!$I$7,$AD17:$BA17)+'Model Setup'!$I$8*(SUMIF($BH$3:$CE$3,"&lt;"&amp;$DF17,$AD17:$BA17)+SUMIF($BH$3:$CE$3,"&gt;"&amp;$CW$4,$AD17:$BA17)),
IF(BZ$3=$DF17+'Model Setup'!$J$7,SUMIF($BH$3:$CE$3,"="&amp;$DF17+'Model Setup'!$J$7,$AD17:$BA17)+'Model Setup'!$J$8*(SUMIF($BH$3:$CE$3,"&lt;"&amp;$DF17,$AD17:$BA17)+SUMIF($BH$3:$CE$3,"&gt;"&amp;$CW$4,$AD17:$BA17)),
IF(BZ$3=$DF17+'Model Setup'!$K$7,SUMIF($BH$3:$CE$3,"="&amp;$DF17+'Model Setup'!$K$7,$AD17:$BA17)+'Model Setup'!$K$8*(SUMIF($BH$3:$CE$3,"&lt;"&amp;$DF17,$AD17:$BA17)+SUMIF($BH$3:$CE$3,"&gt;"&amp;$CW$4,$AD17:$BA17)),
IF(BZ$3=$DF17+'Model Setup'!$L$7,SUMIF($BH$3:$CE$3,"="&amp;$DF17+'Model Setup'!$L$7,$AD17:$BA17)+'Model Setup'!$L$8*(SUMIF($BH$3:$CE$3,"&lt;"&amp;$DF17,$AD17:$BA17)+SUMIF($BH$3:$CE$3,"&gt;"&amp;$CW$4,$AD17:$BA17)),
IF(BZ$3=$DF17+'Model Setup'!$M$7,SUMIF($BH$3:$CE$3,"="&amp;$DF17+'Model Setup'!$M$7,$AD17:$BA17)+'Model Setup'!$M$8*(SUMIF($BH$3:$CE$3,"&lt;"&amp;$DF17,$AD17:$BA17)+SUMIF($BH$3:$CE$3,"&gt;"&amp;$CW$4,$AD17:$BA17)),
IF(BZ$3=$DF17+'Model Setup'!$N$7,SUMIF($BH$3:$CE$3,"="&amp;$DF17+'Model Setup'!$N$7,$AD17:$BA17)+'Model Setup'!$N$8*(SUMIF($BH$3:$CE$3,"&lt;"&amp;$DF17,$AD17:$BA17)+SUMIF($BH$3:$CE$3,"&gt;"&amp;$CW$4,$AD17:$BA17)),
IF(BZ$3&lt;$CW$4,T17,0))))))))))))))),0)</f>
        <v>10</v>
      </c>
      <c r="CA17" s="47">
        <f>ROUND(IF(OR(CA$3&lt;$DF17,CA$3&gt;$CW$4),0,
IF(CA$3=$DF17+'Model Setup'!$B$7,SUMIF($BH$3:$CE$3,"="&amp;$DF17+'Model Setup'!$B$7,$AD17:$BA17)+'Model Setup'!$B$8*(SUMIF($BH$3:$CE$3,"&lt;"&amp;$DF17,$AD17:$BA17)+SUMIF($BH$3:$CE$3,"&gt;"&amp;$CW$4,$AD17:$BA17)),
IF(CA$3=$DF17+'Model Setup'!$C$7,SUMIF($BH$3:$CE$3,"="&amp;$DF17+'Model Setup'!$C$7,$AD17:$BA17)+'Model Setup'!$C$8*(SUMIF($BH$3:$CE$3,"&lt;"&amp;$DF17,$AD17:$BA17)+SUMIF($BH$3:$CE$3,"&gt;"&amp;$CW$4,$AD17:$BA17)),
IF(CA$3=$DF17+'Model Setup'!$D$7,SUMIF($BH$3:$CE$3,"="&amp;$DF17+'Model Setup'!$D$7,$AD17:$BA17)+'Model Setup'!$D$8*(SUMIF($BH$3:$CE$3,"&lt;"&amp;$DF17,$AD17:$BA17)+SUMIF($BH$3:$CE$3,"&gt;"&amp;$CW$4,$AD17:$BA17)),
IF(CA$3=$DF17+'Model Setup'!$E$7,SUMIF($BH$3:$CE$3,"="&amp;$DF17+'Model Setup'!$E$7,$AD17:$BA17)+'Model Setup'!$E$8*(SUMIF($BH$3:$CE$3,"&lt;"&amp;$DF17,$AD17:$BA17)+SUMIF($BH$3:$CE$3,"&gt;"&amp;$CW$4,$AD17:$BA17)),
IF(CA$3=$DF17+'Model Setup'!$F$7,SUMIF($BH$3:$CE$3,"="&amp;$DF17+'Model Setup'!$F$7,$AD17:$BA17)+'Model Setup'!$F$8*(SUMIF($BH$3:$CE$3,"&lt;"&amp;$DF17,$AD17:$BA17)+SUMIF($BH$3:$CE$3,"&gt;"&amp;$CW$4,$AD17:$BA17)),
IF(CA$3=$DF17+'Model Setup'!$G$7,SUMIF($BH$3:$CE$3,"="&amp;$DF17+'Model Setup'!$G$7,$AD17:$BA17)+'Model Setup'!$G$8*(SUMIF($BH$3:$CE$3,"&lt;"&amp;$DF17,$AD17:$BA17)+SUMIF($BH$3:$CE$3,"&gt;"&amp;$CW$4,$AD17:$BA17)),
IF(CA$3=$DF17+'Model Setup'!$H$7,SUMIF($BH$3:$CE$3,"="&amp;$DF17+'Model Setup'!$H$7,$AD17:$BA17)+'Model Setup'!$H$8*(SUMIF($BH$3:$CE$3,"&lt;"&amp;$DF17,$AD17:$BA17)+SUMIF($BH$3:$CE$3,"&gt;"&amp;$CW$4,$AD17:$BA17)),
IF(CA$3=$DF17+'Model Setup'!$I$7,SUMIF($BH$3:$CE$3,"="&amp;$DF17+'Model Setup'!$I$7,$AD17:$BA17)+'Model Setup'!$I$8*(SUMIF($BH$3:$CE$3,"&lt;"&amp;$DF17,$AD17:$BA17)+SUMIF($BH$3:$CE$3,"&gt;"&amp;$CW$4,$AD17:$BA17)),
IF(CA$3=$DF17+'Model Setup'!$J$7,SUMIF($BH$3:$CE$3,"="&amp;$DF17+'Model Setup'!$J$7,$AD17:$BA17)+'Model Setup'!$J$8*(SUMIF($BH$3:$CE$3,"&lt;"&amp;$DF17,$AD17:$BA17)+SUMIF($BH$3:$CE$3,"&gt;"&amp;$CW$4,$AD17:$BA17)),
IF(CA$3=$DF17+'Model Setup'!$K$7,SUMIF($BH$3:$CE$3,"="&amp;$DF17+'Model Setup'!$K$7,$AD17:$BA17)+'Model Setup'!$K$8*(SUMIF($BH$3:$CE$3,"&lt;"&amp;$DF17,$AD17:$BA17)+SUMIF($BH$3:$CE$3,"&gt;"&amp;$CW$4,$AD17:$BA17)),
IF(CA$3=$DF17+'Model Setup'!$L$7,SUMIF($BH$3:$CE$3,"="&amp;$DF17+'Model Setup'!$L$7,$AD17:$BA17)+'Model Setup'!$L$8*(SUMIF($BH$3:$CE$3,"&lt;"&amp;$DF17,$AD17:$BA17)+SUMIF($BH$3:$CE$3,"&gt;"&amp;$CW$4,$AD17:$BA17)),
IF(CA$3=$DF17+'Model Setup'!$M$7,SUMIF($BH$3:$CE$3,"="&amp;$DF17+'Model Setup'!$M$7,$AD17:$BA17)+'Model Setup'!$M$8*(SUMIF($BH$3:$CE$3,"&lt;"&amp;$DF17,$AD17:$BA17)+SUMIF($BH$3:$CE$3,"&gt;"&amp;$CW$4,$AD17:$BA17)),
IF(CA$3=$DF17+'Model Setup'!$N$7,SUMIF($BH$3:$CE$3,"="&amp;$DF17+'Model Setup'!$N$7,$AD17:$BA17)+'Model Setup'!$N$8*(SUMIF($BH$3:$CE$3,"&lt;"&amp;$DF17,$AD17:$BA17)+SUMIF($BH$3:$CE$3,"&gt;"&amp;$CW$4,$AD17:$BA17)),
IF(CA$3&lt;$CW$4,U17,0))))))))))))))),0)</f>
        <v>0</v>
      </c>
      <c r="CB17" s="47">
        <f>ROUND(IF(OR(CB$3&lt;$DF17,CB$3&gt;$CW$4),0,
IF(CB$3=$DF17+'Model Setup'!$B$7,SUMIF($BH$3:$CE$3,"="&amp;$DF17+'Model Setup'!$B$7,$AD17:$BA17)+'Model Setup'!$B$8*(SUMIF($BH$3:$CE$3,"&lt;"&amp;$DF17,$AD17:$BA17)+SUMIF($BH$3:$CE$3,"&gt;"&amp;$CW$4,$AD17:$BA17)),
IF(CB$3=$DF17+'Model Setup'!$C$7,SUMIF($BH$3:$CE$3,"="&amp;$DF17+'Model Setup'!$C$7,$AD17:$BA17)+'Model Setup'!$C$8*(SUMIF($BH$3:$CE$3,"&lt;"&amp;$DF17,$AD17:$BA17)+SUMIF($BH$3:$CE$3,"&gt;"&amp;$CW$4,$AD17:$BA17)),
IF(CB$3=$DF17+'Model Setup'!$D$7,SUMIF($BH$3:$CE$3,"="&amp;$DF17+'Model Setup'!$D$7,$AD17:$BA17)+'Model Setup'!$D$8*(SUMIF($BH$3:$CE$3,"&lt;"&amp;$DF17,$AD17:$BA17)+SUMIF($BH$3:$CE$3,"&gt;"&amp;$CW$4,$AD17:$BA17)),
IF(CB$3=$DF17+'Model Setup'!$E$7,SUMIF($BH$3:$CE$3,"="&amp;$DF17+'Model Setup'!$E$7,$AD17:$BA17)+'Model Setup'!$E$8*(SUMIF($BH$3:$CE$3,"&lt;"&amp;$DF17,$AD17:$BA17)+SUMIF($BH$3:$CE$3,"&gt;"&amp;$CW$4,$AD17:$BA17)),
IF(CB$3=$DF17+'Model Setup'!$F$7,SUMIF($BH$3:$CE$3,"="&amp;$DF17+'Model Setup'!$F$7,$AD17:$BA17)+'Model Setup'!$F$8*(SUMIF($BH$3:$CE$3,"&lt;"&amp;$DF17,$AD17:$BA17)+SUMIF($BH$3:$CE$3,"&gt;"&amp;$CW$4,$AD17:$BA17)),
IF(CB$3=$DF17+'Model Setup'!$G$7,SUMIF($BH$3:$CE$3,"="&amp;$DF17+'Model Setup'!$G$7,$AD17:$BA17)+'Model Setup'!$G$8*(SUMIF($BH$3:$CE$3,"&lt;"&amp;$DF17,$AD17:$BA17)+SUMIF($BH$3:$CE$3,"&gt;"&amp;$CW$4,$AD17:$BA17)),
IF(CB$3=$DF17+'Model Setup'!$H$7,SUMIF($BH$3:$CE$3,"="&amp;$DF17+'Model Setup'!$H$7,$AD17:$BA17)+'Model Setup'!$H$8*(SUMIF($BH$3:$CE$3,"&lt;"&amp;$DF17,$AD17:$BA17)+SUMIF($BH$3:$CE$3,"&gt;"&amp;$CW$4,$AD17:$BA17)),
IF(CB$3=$DF17+'Model Setup'!$I$7,SUMIF($BH$3:$CE$3,"="&amp;$DF17+'Model Setup'!$I$7,$AD17:$BA17)+'Model Setup'!$I$8*(SUMIF($BH$3:$CE$3,"&lt;"&amp;$DF17,$AD17:$BA17)+SUMIF($BH$3:$CE$3,"&gt;"&amp;$CW$4,$AD17:$BA17)),
IF(CB$3=$DF17+'Model Setup'!$J$7,SUMIF($BH$3:$CE$3,"="&amp;$DF17+'Model Setup'!$J$7,$AD17:$BA17)+'Model Setup'!$J$8*(SUMIF($BH$3:$CE$3,"&lt;"&amp;$DF17,$AD17:$BA17)+SUMIF($BH$3:$CE$3,"&gt;"&amp;$CW$4,$AD17:$BA17)),
IF(CB$3=$DF17+'Model Setup'!$K$7,SUMIF($BH$3:$CE$3,"="&amp;$DF17+'Model Setup'!$K$7,$AD17:$BA17)+'Model Setup'!$K$8*(SUMIF($BH$3:$CE$3,"&lt;"&amp;$DF17,$AD17:$BA17)+SUMIF($BH$3:$CE$3,"&gt;"&amp;$CW$4,$AD17:$BA17)),
IF(CB$3=$DF17+'Model Setup'!$L$7,SUMIF($BH$3:$CE$3,"="&amp;$DF17+'Model Setup'!$L$7,$AD17:$BA17)+'Model Setup'!$L$8*(SUMIF($BH$3:$CE$3,"&lt;"&amp;$DF17,$AD17:$BA17)+SUMIF($BH$3:$CE$3,"&gt;"&amp;$CW$4,$AD17:$BA17)),
IF(CB$3=$DF17+'Model Setup'!$M$7,SUMIF($BH$3:$CE$3,"="&amp;$DF17+'Model Setup'!$M$7,$AD17:$BA17)+'Model Setup'!$M$8*(SUMIF($BH$3:$CE$3,"&lt;"&amp;$DF17,$AD17:$BA17)+SUMIF($BH$3:$CE$3,"&gt;"&amp;$CW$4,$AD17:$BA17)),
IF(CB$3=$DF17+'Model Setup'!$N$7,SUMIF($BH$3:$CE$3,"="&amp;$DF17+'Model Setup'!$N$7,$AD17:$BA17)+'Model Setup'!$N$8*(SUMIF($BH$3:$CE$3,"&lt;"&amp;$DF17,$AD17:$BA17)+SUMIF($BH$3:$CE$3,"&gt;"&amp;$CW$4,$AD17:$BA17)),
IF(CB$3&lt;$CW$4,V17,0))))))))))))))),0)</f>
        <v>0</v>
      </c>
      <c r="CC17" s="47">
        <f>ROUND(IF(OR(CC$3&lt;$DF17,CC$3&gt;$CW$4),0,
IF(CC$3=$DF17+'Model Setup'!$B$7,SUMIF($BH$3:$CE$3,"="&amp;$DF17+'Model Setup'!$B$7,$AD17:$BA17)+'Model Setup'!$B$8*(SUMIF($BH$3:$CE$3,"&lt;"&amp;$DF17,$AD17:$BA17)+SUMIF($BH$3:$CE$3,"&gt;"&amp;$CW$4,$AD17:$BA17)),
IF(CC$3=$DF17+'Model Setup'!$C$7,SUMIF($BH$3:$CE$3,"="&amp;$DF17+'Model Setup'!$C$7,$AD17:$BA17)+'Model Setup'!$C$8*(SUMIF($BH$3:$CE$3,"&lt;"&amp;$DF17,$AD17:$BA17)+SUMIF($BH$3:$CE$3,"&gt;"&amp;$CW$4,$AD17:$BA17)),
IF(CC$3=$DF17+'Model Setup'!$D$7,SUMIF($BH$3:$CE$3,"="&amp;$DF17+'Model Setup'!$D$7,$AD17:$BA17)+'Model Setup'!$D$8*(SUMIF($BH$3:$CE$3,"&lt;"&amp;$DF17,$AD17:$BA17)+SUMIF($BH$3:$CE$3,"&gt;"&amp;$CW$4,$AD17:$BA17)),
IF(CC$3=$DF17+'Model Setup'!$E$7,SUMIF($BH$3:$CE$3,"="&amp;$DF17+'Model Setup'!$E$7,$AD17:$BA17)+'Model Setup'!$E$8*(SUMIF($BH$3:$CE$3,"&lt;"&amp;$DF17,$AD17:$BA17)+SUMIF($BH$3:$CE$3,"&gt;"&amp;$CW$4,$AD17:$BA17)),
IF(CC$3=$DF17+'Model Setup'!$F$7,SUMIF($BH$3:$CE$3,"="&amp;$DF17+'Model Setup'!$F$7,$AD17:$BA17)+'Model Setup'!$F$8*(SUMIF($BH$3:$CE$3,"&lt;"&amp;$DF17,$AD17:$BA17)+SUMIF($BH$3:$CE$3,"&gt;"&amp;$CW$4,$AD17:$BA17)),
IF(CC$3=$DF17+'Model Setup'!$G$7,SUMIF($BH$3:$CE$3,"="&amp;$DF17+'Model Setup'!$G$7,$AD17:$BA17)+'Model Setup'!$G$8*(SUMIF($BH$3:$CE$3,"&lt;"&amp;$DF17,$AD17:$BA17)+SUMIF($BH$3:$CE$3,"&gt;"&amp;$CW$4,$AD17:$BA17)),
IF(CC$3=$DF17+'Model Setup'!$H$7,SUMIF($BH$3:$CE$3,"="&amp;$DF17+'Model Setup'!$H$7,$AD17:$BA17)+'Model Setup'!$H$8*(SUMIF($BH$3:$CE$3,"&lt;"&amp;$DF17,$AD17:$BA17)+SUMIF($BH$3:$CE$3,"&gt;"&amp;$CW$4,$AD17:$BA17)),
IF(CC$3=$DF17+'Model Setup'!$I$7,SUMIF($BH$3:$CE$3,"="&amp;$DF17+'Model Setup'!$I$7,$AD17:$BA17)+'Model Setup'!$I$8*(SUMIF($BH$3:$CE$3,"&lt;"&amp;$DF17,$AD17:$BA17)+SUMIF($BH$3:$CE$3,"&gt;"&amp;$CW$4,$AD17:$BA17)),
IF(CC$3=$DF17+'Model Setup'!$J$7,SUMIF($BH$3:$CE$3,"="&amp;$DF17+'Model Setup'!$J$7,$AD17:$BA17)+'Model Setup'!$J$8*(SUMIF($BH$3:$CE$3,"&lt;"&amp;$DF17,$AD17:$BA17)+SUMIF($BH$3:$CE$3,"&gt;"&amp;$CW$4,$AD17:$BA17)),
IF(CC$3=$DF17+'Model Setup'!$K$7,SUMIF($BH$3:$CE$3,"="&amp;$DF17+'Model Setup'!$K$7,$AD17:$BA17)+'Model Setup'!$K$8*(SUMIF($BH$3:$CE$3,"&lt;"&amp;$DF17,$AD17:$BA17)+SUMIF($BH$3:$CE$3,"&gt;"&amp;$CW$4,$AD17:$BA17)),
IF(CC$3=$DF17+'Model Setup'!$L$7,SUMIF($BH$3:$CE$3,"="&amp;$DF17+'Model Setup'!$L$7,$AD17:$BA17)+'Model Setup'!$L$8*(SUMIF($BH$3:$CE$3,"&lt;"&amp;$DF17,$AD17:$BA17)+SUMIF($BH$3:$CE$3,"&gt;"&amp;$CW$4,$AD17:$BA17)),
IF(CC$3=$DF17+'Model Setup'!$M$7,SUMIF($BH$3:$CE$3,"="&amp;$DF17+'Model Setup'!$M$7,$AD17:$BA17)+'Model Setup'!$M$8*(SUMIF($BH$3:$CE$3,"&lt;"&amp;$DF17,$AD17:$BA17)+SUMIF($BH$3:$CE$3,"&gt;"&amp;$CW$4,$AD17:$BA17)),
IF(CC$3=$DF17+'Model Setup'!$N$7,SUMIF($BH$3:$CE$3,"="&amp;$DF17+'Model Setup'!$N$7,$AD17:$BA17)+'Model Setup'!$N$8*(SUMIF($BH$3:$CE$3,"&lt;"&amp;$DF17,$AD17:$BA17)+SUMIF($BH$3:$CE$3,"&gt;"&amp;$CW$4,$AD17:$BA17)),
IF(CC$3&lt;$CW$4,W17,0))))))))))))))),0)</f>
        <v>0</v>
      </c>
      <c r="CD17" s="47">
        <f>ROUND(IF(OR(CD$3&lt;$DF17,CD$3&gt;$CW$4),0,
IF(CD$3=$DF17+'Model Setup'!$B$7,SUMIF($BH$3:$CE$3,"="&amp;$DF17+'Model Setup'!$B$7,$AD17:$BA17)+'Model Setup'!$B$8*(SUMIF($BH$3:$CE$3,"&lt;"&amp;$DF17,$AD17:$BA17)+SUMIF($BH$3:$CE$3,"&gt;"&amp;$CW$4,$AD17:$BA17)),
IF(CD$3=$DF17+'Model Setup'!$C$7,SUMIF($BH$3:$CE$3,"="&amp;$DF17+'Model Setup'!$C$7,$AD17:$BA17)+'Model Setup'!$C$8*(SUMIF($BH$3:$CE$3,"&lt;"&amp;$DF17,$AD17:$BA17)+SUMIF($BH$3:$CE$3,"&gt;"&amp;$CW$4,$AD17:$BA17)),
IF(CD$3=$DF17+'Model Setup'!$D$7,SUMIF($BH$3:$CE$3,"="&amp;$DF17+'Model Setup'!$D$7,$AD17:$BA17)+'Model Setup'!$D$8*(SUMIF($BH$3:$CE$3,"&lt;"&amp;$DF17,$AD17:$BA17)+SUMIF($BH$3:$CE$3,"&gt;"&amp;$CW$4,$AD17:$BA17)),
IF(CD$3=$DF17+'Model Setup'!$E$7,SUMIF($BH$3:$CE$3,"="&amp;$DF17+'Model Setup'!$E$7,$AD17:$BA17)+'Model Setup'!$E$8*(SUMIF($BH$3:$CE$3,"&lt;"&amp;$DF17,$AD17:$BA17)+SUMIF($BH$3:$CE$3,"&gt;"&amp;$CW$4,$AD17:$BA17)),
IF(CD$3=$DF17+'Model Setup'!$F$7,SUMIF($BH$3:$CE$3,"="&amp;$DF17+'Model Setup'!$F$7,$AD17:$BA17)+'Model Setup'!$F$8*(SUMIF($BH$3:$CE$3,"&lt;"&amp;$DF17,$AD17:$BA17)+SUMIF($BH$3:$CE$3,"&gt;"&amp;$CW$4,$AD17:$BA17)),
IF(CD$3=$DF17+'Model Setup'!$G$7,SUMIF($BH$3:$CE$3,"="&amp;$DF17+'Model Setup'!$G$7,$AD17:$BA17)+'Model Setup'!$G$8*(SUMIF($BH$3:$CE$3,"&lt;"&amp;$DF17,$AD17:$BA17)+SUMIF($BH$3:$CE$3,"&gt;"&amp;$CW$4,$AD17:$BA17)),
IF(CD$3=$DF17+'Model Setup'!$H$7,SUMIF($BH$3:$CE$3,"="&amp;$DF17+'Model Setup'!$H$7,$AD17:$BA17)+'Model Setup'!$H$8*(SUMIF($BH$3:$CE$3,"&lt;"&amp;$DF17,$AD17:$BA17)+SUMIF($BH$3:$CE$3,"&gt;"&amp;$CW$4,$AD17:$BA17)),
IF(CD$3=$DF17+'Model Setup'!$I$7,SUMIF($BH$3:$CE$3,"="&amp;$DF17+'Model Setup'!$I$7,$AD17:$BA17)+'Model Setup'!$I$8*(SUMIF($BH$3:$CE$3,"&lt;"&amp;$DF17,$AD17:$BA17)+SUMIF($BH$3:$CE$3,"&gt;"&amp;$CW$4,$AD17:$BA17)),
IF(CD$3=$DF17+'Model Setup'!$J$7,SUMIF($BH$3:$CE$3,"="&amp;$DF17+'Model Setup'!$J$7,$AD17:$BA17)+'Model Setup'!$J$8*(SUMIF($BH$3:$CE$3,"&lt;"&amp;$DF17,$AD17:$BA17)+SUMIF($BH$3:$CE$3,"&gt;"&amp;$CW$4,$AD17:$BA17)),
IF(CD$3=$DF17+'Model Setup'!$K$7,SUMIF($BH$3:$CE$3,"="&amp;$DF17+'Model Setup'!$K$7,$AD17:$BA17)+'Model Setup'!$K$8*(SUMIF($BH$3:$CE$3,"&lt;"&amp;$DF17,$AD17:$BA17)+SUMIF($BH$3:$CE$3,"&gt;"&amp;$CW$4,$AD17:$BA17)),
IF(CD$3=$DF17+'Model Setup'!$L$7,SUMIF($BH$3:$CE$3,"="&amp;$DF17+'Model Setup'!$L$7,$AD17:$BA17)+'Model Setup'!$L$8*(SUMIF($BH$3:$CE$3,"&lt;"&amp;$DF17,$AD17:$BA17)+SUMIF($BH$3:$CE$3,"&gt;"&amp;$CW$4,$AD17:$BA17)),
IF(CD$3=$DF17+'Model Setup'!$M$7,SUMIF($BH$3:$CE$3,"="&amp;$DF17+'Model Setup'!$M$7,$AD17:$BA17)+'Model Setup'!$M$8*(SUMIF($BH$3:$CE$3,"&lt;"&amp;$DF17,$AD17:$BA17)+SUMIF($BH$3:$CE$3,"&gt;"&amp;$CW$4,$AD17:$BA17)),
IF(CD$3=$DF17+'Model Setup'!$N$7,SUMIF($BH$3:$CE$3,"="&amp;$DF17+'Model Setup'!$N$7,$AD17:$BA17)+'Model Setup'!$N$8*(SUMIF($BH$3:$CE$3,"&lt;"&amp;$DF17,$AD17:$BA17)+SUMIF($BH$3:$CE$3,"&gt;"&amp;$CW$4,$AD17:$BA17)),
IF(CD$3&lt;$CW$4,X17,0))))))))))))))),0)</f>
        <v>0</v>
      </c>
      <c r="CE17" s="47">
        <f>ROUND(IF(OR(CE$3&lt;$DF17,CE$3&gt;$CW$4),0,
IF(CE$3=$DF17+'Model Setup'!$B$7,SUMIF($BH$3:$CE$3,"="&amp;$DF17+'Model Setup'!$B$7,$AD17:$BA17)+'Model Setup'!$B$8*(SUMIF($BH$3:$CE$3,"&lt;"&amp;$DF17,$AD17:$BA17)+SUMIF($BH$3:$CE$3,"&gt;"&amp;$CW$4,$AD17:$BA17)),
IF(CE$3=$DF17+'Model Setup'!$C$7,SUMIF($BH$3:$CE$3,"="&amp;$DF17+'Model Setup'!$C$7,$AD17:$BA17)+'Model Setup'!$C$8*(SUMIF($BH$3:$CE$3,"&lt;"&amp;$DF17,$AD17:$BA17)+SUMIF($BH$3:$CE$3,"&gt;"&amp;$CW$4,$AD17:$BA17)),
IF(CE$3=$DF17+'Model Setup'!$D$7,SUMIF($BH$3:$CE$3,"="&amp;$DF17+'Model Setup'!$D$7,$AD17:$BA17)+'Model Setup'!$D$8*(SUMIF($BH$3:$CE$3,"&lt;"&amp;$DF17,$AD17:$BA17)+SUMIF($BH$3:$CE$3,"&gt;"&amp;$CW$4,$AD17:$BA17)),
IF(CE$3=$DF17+'Model Setup'!$E$7,SUMIF($BH$3:$CE$3,"="&amp;$DF17+'Model Setup'!$E$7,$AD17:$BA17)+'Model Setup'!$E$8*(SUMIF($BH$3:$CE$3,"&lt;"&amp;$DF17,$AD17:$BA17)+SUMIF($BH$3:$CE$3,"&gt;"&amp;$CW$4,$AD17:$BA17)),
IF(CE$3=$DF17+'Model Setup'!$F$7,SUMIF($BH$3:$CE$3,"="&amp;$DF17+'Model Setup'!$F$7,$AD17:$BA17)+'Model Setup'!$F$8*(SUMIF($BH$3:$CE$3,"&lt;"&amp;$DF17,$AD17:$BA17)+SUMIF($BH$3:$CE$3,"&gt;"&amp;$CW$4,$AD17:$BA17)),
IF(CE$3=$DF17+'Model Setup'!$G$7,SUMIF($BH$3:$CE$3,"="&amp;$DF17+'Model Setup'!$G$7,$AD17:$BA17)+'Model Setup'!$G$8*(SUMIF($BH$3:$CE$3,"&lt;"&amp;$DF17,$AD17:$BA17)+SUMIF($BH$3:$CE$3,"&gt;"&amp;$CW$4,$AD17:$BA17)),
IF(CE$3=$DF17+'Model Setup'!$H$7,SUMIF($BH$3:$CE$3,"="&amp;$DF17+'Model Setup'!$H$7,$AD17:$BA17)+'Model Setup'!$H$8*(SUMIF($BH$3:$CE$3,"&lt;"&amp;$DF17,$AD17:$BA17)+SUMIF($BH$3:$CE$3,"&gt;"&amp;$CW$4,$AD17:$BA17)),
IF(CE$3=$DF17+'Model Setup'!$I$7,SUMIF($BH$3:$CE$3,"="&amp;$DF17+'Model Setup'!$I$7,$AD17:$BA17)+'Model Setup'!$I$8*(SUMIF($BH$3:$CE$3,"&lt;"&amp;$DF17,$AD17:$BA17)+SUMIF($BH$3:$CE$3,"&gt;"&amp;$CW$4,$AD17:$BA17)),
IF(CE$3=$DF17+'Model Setup'!$J$7,SUMIF($BH$3:$CE$3,"="&amp;$DF17+'Model Setup'!$J$7,$AD17:$BA17)+'Model Setup'!$J$8*(SUMIF($BH$3:$CE$3,"&lt;"&amp;$DF17,$AD17:$BA17)+SUMIF($BH$3:$CE$3,"&gt;"&amp;$CW$4,$AD17:$BA17)),
IF(CE$3=$DF17+'Model Setup'!$K$7,SUMIF($BH$3:$CE$3,"="&amp;$DF17+'Model Setup'!$K$7,$AD17:$BA17)+'Model Setup'!$K$8*(SUMIF($BH$3:$CE$3,"&lt;"&amp;$DF17,$AD17:$BA17)+SUMIF($BH$3:$CE$3,"&gt;"&amp;$CW$4,$AD17:$BA17)),
IF(CE$3=$DF17+'Model Setup'!$L$7,SUMIF($BH$3:$CE$3,"="&amp;$DF17+'Model Setup'!$L$7,$AD17:$BA17)+'Model Setup'!$L$8*(SUMIF($BH$3:$CE$3,"&lt;"&amp;$DF17,$AD17:$BA17)+SUMIF($BH$3:$CE$3,"&gt;"&amp;$CW$4,$AD17:$BA17)),
IF(CE$3=$DF17+'Model Setup'!$M$7,SUMIF($BH$3:$CE$3,"="&amp;$DF17+'Model Setup'!$M$7,$AD17:$BA17)+'Model Setup'!$M$8*(SUMIF($BH$3:$CE$3,"&lt;"&amp;$DF17,$AD17:$BA17)+SUMIF($BH$3:$CE$3,"&gt;"&amp;$CW$4,$AD17:$BA17)),
IF(CE$3=$DF17+'Model Setup'!$N$7,SUMIF($BH$3:$CE$3,"="&amp;$DF17+'Model Setup'!$N$7,$AD17:$BA17)+'Model Setup'!$N$8*(SUMIF($BH$3:$CE$3,"&lt;"&amp;$DF17,$AD17:$BA17)+SUMIF($BH$3:$CE$3,"&gt;"&amp;$CW$4,$AD17:$BA17)),
IF(CE$3&lt;$CW$4,Y17,0))))))))))))))),0)</f>
        <v>0</v>
      </c>
      <c r="CF17" s="47">
        <f t="shared" si="3"/>
        <v>169</v>
      </c>
      <c r="CG17" s="47">
        <f t="shared" si="4"/>
        <v>0</v>
      </c>
      <c r="CI17" s="10" t="s">
        <v>32</v>
      </c>
      <c r="CJ17" s="126">
        <f t="shared" si="9"/>
        <v>0</v>
      </c>
      <c r="CK17" s="126">
        <f t="shared" si="10"/>
        <v>18</v>
      </c>
      <c r="CL17" s="126">
        <f t="shared" si="11"/>
        <v>23</v>
      </c>
      <c r="CM17" s="126">
        <f t="shared" si="12"/>
        <v>12</v>
      </c>
      <c r="CN17" s="126">
        <f t="shared" si="13"/>
        <v>20</v>
      </c>
      <c r="CO17" s="126">
        <f t="shared" si="14"/>
        <v>16</v>
      </c>
      <c r="CP17" s="126">
        <f t="shared" si="15"/>
        <v>12</v>
      </c>
      <c r="CQ17" s="126">
        <f t="shared" si="16"/>
        <v>15</v>
      </c>
      <c r="CR17" s="126">
        <f t="shared" si="17"/>
        <v>4</v>
      </c>
      <c r="CS17" s="126">
        <f t="shared" si="18"/>
        <v>11</v>
      </c>
      <c r="CT17" s="126">
        <f t="shared" si="19"/>
        <v>5</v>
      </c>
      <c r="CU17" s="126">
        <f t="shared" si="20"/>
        <v>13</v>
      </c>
      <c r="CV17" s="126">
        <f t="shared" si="21"/>
        <v>10</v>
      </c>
      <c r="CW17" s="126">
        <f t="shared" si="22"/>
        <v>10</v>
      </c>
      <c r="CX17" s="126">
        <f t="shared" si="23"/>
        <v>0</v>
      </c>
      <c r="CY17" s="126">
        <f t="shared" si="24"/>
        <v>0</v>
      </c>
      <c r="CZ17" s="47">
        <f t="shared" si="7"/>
        <v>169</v>
      </c>
      <c r="DC17" s="93" t="s">
        <v>32</v>
      </c>
      <c r="DD17" s="89">
        <f>FTC!E15</f>
        <v>0.25</v>
      </c>
      <c r="DE17" s="89">
        <f>FTC!F15</f>
        <v>0.79166666666666663</v>
      </c>
      <c r="DF17" s="90">
        <f t="shared" si="25"/>
        <v>6</v>
      </c>
      <c r="DG17" s="91">
        <f t="shared" si="26"/>
        <v>19</v>
      </c>
      <c r="DH17" s="91">
        <f t="shared" si="27"/>
        <v>13</v>
      </c>
    </row>
    <row r="18" spans="1:112" x14ac:dyDescent="0.35">
      <c r="A18" s="43" t="s">
        <v>33</v>
      </c>
      <c r="B18" s="6"/>
      <c r="C18" s="6"/>
      <c r="D18" s="6"/>
      <c r="E18" s="47">
        <v>1</v>
      </c>
      <c r="F18" s="47">
        <v>1</v>
      </c>
      <c r="G18" s="47">
        <v>1</v>
      </c>
      <c r="H18" s="47">
        <v>10</v>
      </c>
      <c r="I18" s="47">
        <v>24</v>
      </c>
      <c r="J18" s="47">
        <v>21</v>
      </c>
      <c r="K18" s="47">
        <v>23</v>
      </c>
      <c r="L18" s="47">
        <v>22</v>
      </c>
      <c r="M18" s="47">
        <v>19</v>
      </c>
      <c r="N18" s="47">
        <v>14</v>
      </c>
      <c r="O18" s="47">
        <v>14</v>
      </c>
      <c r="P18" s="47">
        <v>12</v>
      </c>
      <c r="Q18" s="47">
        <v>9</v>
      </c>
      <c r="R18" s="47">
        <v>9</v>
      </c>
      <c r="S18" s="47">
        <v>5</v>
      </c>
      <c r="T18" s="47">
        <v>2</v>
      </c>
      <c r="U18" s="47">
        <v>2</v>
      </c>
      <c r="V18" s="47">
        <v>2</v>
      </c>
      <c r="W18" s="47">
        <v>1</v>
      </c>
      <c r="X18" s="47">
        <v>1</v>
      </c>
      <c r="Y18" s="6"/>
      <c r="Z18" s="47">
        <f t="shared" si="0"/>
        <v>193</v>
      </c>
      <c r="AC18" s="43" t="s">
        <v>33</v>
      </c>
      <c r="AD18" s="47">
        <f>ROUND(IF(AD$3&lt;$DF18,0,
IF(AD$3=$DF18+'Model Setup'!$B$7,SUMIF($AD$3:$BA$3,"="&amp;$DF18+'Model Setup'!$B$7,$B18:$Y18)+'Model Setup'!$B$8*(SUMIF($AD$3:$BA$3,"&lt;"&amp;$DF18,$B18:$Y18)+SUMIF($AD$3:$BA$3,"&gt;="&amp;$DG18,$B18:$Y18)),
IF(AD$3=$DF18+'Model Setup'!$C$7,SUMIF($AD$3:$BA$3,"="&amp;$DF18+'Model Setup'!$C$7,$B18:$Y18)+'Model Setup'!$C$8*(SUMIF($AD$3:$BA$3,"&lt;"&amp;$DF18,$B18:$Y18)+SUMIF($AD$3:$BA$3,"&gt;="&amp;$DG18,$B18:$Y18)),
IF(AD$3=$DF18+'Model Setup'!$D$7,SUMIF($AD$3:$BA$3,"="&amp;$DF18+'Model Setup'!$D$7,$B18:$Y18)+'Model Setup'!$D$8*(SUMIF($AD$3:$BA$3,"&lt;"&amp;$DF18,$B18:$Y18)+SUMIF($AD$3:$BA$3,"&gt;="&amp;$DG18,$B18:$Y18)),
IF(AD$3=$DF18+'Model Setup'!$E$7,SUMIF($AD$3:$BA$3,"="&amp;$DF18+'Model Setup'!$E$7,$B18:$Y18)+'Model Setup'!$E$8*(SUMIF($AD$3:$BA$3,"&lt;"&amp;$DF18,$B18:$Y18)+SUMIF($AD$3:$BA$3,"&gt;="&amp;$DG18,$B18:$Y18)),
IF(AD$3=$DF18+'Model Setup'!$F$7,SUMIF($AD$3:$BA$3,"="&amp;$DF18+'Model Setup'!$F$7,$B18:$Y18)+'Model Setup'!$F$8*(SUMIF($AD$3:$BA$3,"&lt;"&amp;$DF18,$B18:$Y18)+SUMIF($AD$3:$BA$3,"&gt;="&amp;$DG18,$B18:$Y18)),
IF(AD$3=$DF18+'Model Setup'!$G$7,SUMIF($AD$3:$BA$3,"="&amp;$DF18+'Model Setup'!$G$7,$B18:$Y18)+'Model Setup'!$G$8*(SUMIF($AD$3:$BA$3,"&lt;"&amp;$DF18,$B18:$Y18)+SUMIF($AD$3:$BA$3,"&gt;="&amp;$DG18,$B18:$Y18)),
IF(AD$3=$DF18+'Model Setup'!$H$7,SUMIF($AD$3:$BA$3,"="&amp;$DF18+'Model Setup'!$H$7,$B18:$Y18)+'Model Setup'!$H$8*(SUMIF($AD$3:$BA$3,"&lt;"&amp;$DF18,$B18:$Y18)+SUMIF($AD$3:$BA$3,"&gt;="&amp;$DG18,$B18:$Y18)),
IF(AD$3=$DF18+'Model Setup'!$I$7,SUMIF($AD$3:$BA$3,"="&amp;$DF18+'Model Setup'!$I$7,$B18:$Y18)+'Model Setup'!$I$8*(SUMIF($AD$3:$BA$3,"&lt;"&amp;$DF18,$B18:$Y18)+SUMIF($AD$3:$BA$3,"&gt;="&amp;$DG18,$B18:$Y18)),
IF(AD$3=$DF18+'Model Setup'!$J$7,SUMIF($AD$3:$BA$3,"="&amp;$DF18+'Model Setup'!$J$7,$B18:$Y18)+'Model Setup'!$J$8*(SUMIF($AD$3:$BA$3,"&lt;"&amp;$DF18,$B18:$Y18)+SUMIF($AD$3:$BA$3,"&gt;="&amp;$DG18,$B18:$Y18)),
IF(AD$3=$DF18+'Model Setup'!$K$7,SUMIF($AD$3:$BA$3,"="&amp;$DF18+'Model Setup'!$K$7,$B18:$Y18)+'Model Setup'!$K$8*(SUMIF($AD$3:$BA$3,"&lt;"&amp;$DF18,$B18:$Y18)+SUMIF($AD$3:$BA$3,"&gt;="&amp;$DG18,$B18:$Y18)),
IF(AD$3=$DF18+'Model Setup'!$L$7,SUMIF($AD$3:$BA$3,"="&amp;$DF18+'Model Setup'!$L$7,$B18:$Y18)+'Model Setup'!$L$8*(SUMIF($AD$3:$BA$3,"&lt;"&amp;$DF18,$B18:$Y18)+SUMIF($AD$3:$BA$3,"&gt;="&amp;$DG18,$B18:$Y18)),
IF(AD$3=$DF18+'Model Setup'!$M$7,SUMIF($AD$3:$BA$3,"="&amp;$DF18+'Model Setup'!$M$7,$B18:$Y18)+'Model Setup'!$M$8*(SUMIF($AD$3:$BA$3,"&lt;"&amp;$DF18,$B18:$Y18)+SUMIF($AD$3:$BA$3,"&gt;="&amp;$DG18,$B18:$Y18)),
IF(AD$3=$DF18+'Model Setup'!$N$7,SUMIF($AD$3:$BA$3,"="&amp;$DF18+'Model Setup'!$N$7,$B18:$Y18)+'Model Setup'!$N$8*(SUMIF($AD$3:$BA$3,"&lt;"&amp;$DF18,$B18:$Y18)+SUMIF($AD$3:$BA$3,"&gt;="&amp;$DG18,$B18:$Y18)),
IF(AD$3&lt;$DG18,B18,0))))))))))))))),0)</f>
        <v>0</v>
      </c>
      <c r="AE18" s="47">
        <f>ROUND(IF(AE$3&lt;$DF18,0,
IF(AE$3=$DF18+'Model Setup'!$B$7,SUMIF($AD$3:$BA$3,"="&amp;$DF18+'Model Setup'!$B$7,$B18:$Y18)+'Model Setup'!$B$8*(SUMIF($AD$3:$BA$3,"&lt;"&amp;$DF18,$B18:$Y18)+SUMIF($AD$3:$BA$3,"&gt;="&amp;$DG18,$B18:$Y18)),
IF(AE$3=$DF18+'Model Setup'!$C$7,SUMIF($AD$3:$BA$3,"="&amp;$DF18+'Model Setup'!$C$7,$B18:$Y18)+'Model Setup'!$C$8*(SUMIF($AD$3:$BA$3,"&lt;"&amp;$DF18,$B18:$Y18)+SUMIF($AD$3:$BA$3,"&gt;="&amp;$DG18,$B18:$Y18)),
IF(AE$3=$DF18+'Model Setup'!$D$7,SUMIF($AD$3:$BA$3,"="&amp;$DF18+'Model Setup'!$D$7,$B18:$Y18)+'Model Setup'!$D$8*(SUMIF($AD$3:$BA$3,"&lt;"&amp;$DF18,$B18:$Y18)+SUMIF($AD$3:$BA$3,"&gt;="&amp;$DG18,$B18:$Y18)),
IF(AE$3=$DF18+'Model Setup'!$E$7,SUMIF($AD$3:$BA$3,"="&amp;$DF18+'Model Setup'!$E$7,$B18:$Y18)+'Model Setup'!$E$8*(SUMIF($AD$3:$BA$3,"&lt;"&amp;$DF18,$B18:$Y18)+SUMIF($AD$3:$BA$3,"&gt;="&amp;$DG18,$B18:$Y18)),
IF(AE$3=$DF18+'Model Setup'!$F$7,SUMIF($AD$3:$BA$3,"="&amp;$DF18+'Model Setup'!$F$7,$B18:$Y18)+'Model Setup'!$F$8*(SUMIF($AD$3:$BA$3,"&lt;"&amp;$DF18,$B18:$Y18)+SUMIF($AD$3:$BA$3,"&gt;="&amp;$DG18,$B18:$Y18)),
IF(AE$3=$DF18+'Model Setup'!$G$7,SUMIF($AD$3:$BA$3,"="&amp;$DF18+'Model Setup'!$G$7,$B18:$Y18)+'Model Setup'!$G$8*(SUMIF($AD$3:$BA$3,"&lt;"&amp;$DF18,$B18:$Y18)+SUMIF($AD$3:$BA$3,"&gt;="&amp;$DG18,$B18:$Y18)),
IF(AE$3=$DF18+'Model Setup'!$H$7,SUMIF($AD$3:$BA$3,"="&amp;$DF18+'Model Setup'!$H$7,$B18:$Y18)+'Model Setup'!$H$8*(SUMIF($AD$3:$BA$3,"&lt;"&amp;$DF18,$B18:$Y18)+SUMIF($AD$3:$BA$3,"&gt;="&amp;$DG18,$B18:$Y18)),
IF(AE$3=$DF18+'Model Setup'!$I$7,SUMIF($AD$3:$BA$3,"="&amp;$DF18+'Model Setup'!$I$7,$B18:$Y18)+'Model Setup'!$I$8*(SUMIF($AD$3:$BA$3,"&lt;"&amp;$DF18,$B18:$Y18)+SUMIF($AD$3:$BA$3,"&gt;="&amp;$DG18,$B18:$Y18)),
IF(AE$3=$DF18+'Model Setup'!$J$7,SUMIF($AD$3:$BA$3,"="&amp;$DF18+'Model Setup'!$J$7,$B18:$Y18)+'Model Setup'!$J$8*(SUMIF($AD$3:$BA$3,"&lt;"&amp;$DF18,$B18:$Y18)+SUMIF($AD$3:$BA$3,"&gt;="&amp;$DG18,$B18:$Y18)),
IF(AE$3=$DF18+'Model Setup'!$K$7,SUMIF($AD$3:$BA$3,"="&amp;$DF18+'Model Setup'!$K$7,$B18:$Y18)+'Model Setup'!$K$8*(SUMIF($AD$3:$BA$3,"&lt;"&amp;$DF18,$B18:$Y18)+SUMIF($AD$3:$BA$3,"&gt;="&amp;$DG18,$B18:$Y18)),
IF(AE$3=$DF18+'Model Setup'!$L$7,SUMIF($AD$3:$BA$3,"="&amp;$DF18+'Model Setup'!$L$7,$B18:$Y18)+'Model Setup'!$L$8*(SUMIF($AD$3:$BA$3,"&lt;"&amp;$DF18,$B18:$Y18)+SUMIF($AD$3:$BA$3,"&gt;="&amp;$DG18,$B18:$Y18)),
IF(AE$3=$DF18+'Model Setup'!$M$7,SUMIF($AD$3:$BA$3,"="&amp;$DF18+'Model Setup'!$M$7,$B18:$Y18)+'Model Setup'!$M$8*(SUMIF($AD$3:$BA$3,"&lt;"&amp;$DF18,$B18:$Y18)+SUMIF($AD$3:$BA$3,"&gt;="&amp;$DG18,$B18:$Y18)),
IF(AE$3=$DF18+'Model Setup'!$N$7,SUMIF($AD$3:$BA$3,"="&amp;$DF18+'Model Setup'!$N$7,$B18:$Y18)+'Model Setup'!$N$8*(SUMIF($AD$3:$BA$3,"&lt;"&amp;$DF18,$B18:$Y18)+SUMIF($AD$3:$BA$3,"&gt;="&amp;$DG18,$B18:$Y18)),
IF(AE$3&lt;$DG18,C18,0))))))))))))))),0)</f>
        <v>0</v>
      </c>
      <c r="AF18" s="47">
        <f>ROUND(IF(AF$3&lt;$DF18,0,
IF(AF$3=$DF18+'Model Setup'!$B$7,SUMIF($AD$3:$BA$3,"="&amp;$DF18+'Model Setup'!$B$7,$B18:$Y18)+'Model Setup'!$B$8*(SUMIF($AD$3:$BA$3,"&lt;"&amp;$DF18,$B18:$Y18)+SUMIF($AD$3:$BA$3,"&gt;="&amp;$DG18,$B18:$Y18)),
IF(AF$3=$DF18+'Model Setup'!$C$7,SUMIF($AD$3:$BA$3,"="&amp;$DF18+'Model Setup'!$C$7,$B18:$Y18)+'Model Setup'!$C$8*(SUMIF($AD$3:$BA$3,"&lt;"&amp;$DF18,$B18:$Y18)+SUMIF($AD$3:$BA$3,"&gt;="&amp;$DG18,$B18:$Y18)),
IF(AF$3=$DF18+'Model Setup'!$D$7,SUMIF($AD$3:$BA$3,"="&amp;$DF18+'Model Setup'!$D$7,$B18:$Y18)+'Model Setup'!$D$8*(SUMIF($AD$3:$BA$3,"&lt;"&amp;$DF18,$B18:$Y18)+SUMIF($AD$3:$BA$3,"&gt;="&amp;$DG18,$B18:$Y18)),
IF(AF$3=$DF18+'Model Setup'!$E$7,SUMIF($AD$3:$BA$3,"="&amp;$DF18+'Model Setup'!$E$7,$B18:$Y18)+'Model Setup'!$E$8*(SUMIF($AD$3:$BA$3,"&lt;"&amp;$DF18,$B18:$Y18)+SUMIF($AD$3:$BA$3,"&gt;="&amp;$DG18,$B18:$Y18)),
IF(AF$3=$DF18+'Model Setup'!$F$7,SUMIF($AD$3:$BA$3,"="&amp;$DF18+'Model Setup'!$F$7,$B18:$Y18)+'Model Setup'!$F$8*(SUMIF($AD$3:$BA$3,"&lt;"&amp;$DF18,$B18:$Y18)+SUMIF($AD$3:$BA$3,"&gt;="&amp;$DG18,$B18:$Y18)),
IF(AF$3=$DF18+'Model Setup'!$G$7,SUMIF($AD$3:$BA$3,"="&amp;$DF18+'Model Setup'!$G$7,$B18:$Y18)+'Model Setup'!$G$8*(SUMIF($AD$3:$BA$3,"&lt;"&amp;$DF18,$B18:$Y18)+SUMIF($AD$3:$BA$3,"&gt;="&amp;$DG18,$B18:$Y18)),
IF(AF$3=$DF18+'Model Setup'!$H$7,SUMIF($AD$3:$BA$3,"="&amp;$DF18+'Model Setup'!$H$7,$B18:$Y18)+'Model Setup'!$H$8*(SUMIF($AD$3:$BA$3,"&lt;"&amp;$DF18,$B18:$Y18)+SUMIF($AD$3:$BA$3,"&gt;="&amp;$DG18,$B18:$Y18)),
IF(AF$3=$DF18+'Model Setup'!$I$7,SUMIF($AD$3:$BA$3,"="&amp;$DF18+'Model Setup'!$I$7,$B18:$Y18)+'Model Setup'!$I$8*(SUMIF($AD$3:$BA$3,"&lt;"&amp;$DF18,$B18:$Y18)+SUMIF($AD$3:$BA$3,"&gt;="&amp;$DG18,$B18:$Y18)),
IF(AF$3=$DF18+'Model Setup'!$J$7,SUMIF($AD$3:$BA$3,"="&amp;$DF18+'Model Setup'!$J$7,$B18:$Y18)+'Model Setup'!$J$8*(SUMIF($AD$3:$BA$3,"&lt;"&amp;$DF18,$B18:$Y18)+SUMIF($AD$3:$BA$3,"&gt;="&amp;$DG18,$B18:$Y18)),
IF(AF$3=$DF18+'Model Setup'!$K$7,SUMIF($AD$3:$BA$3,"="&amp;$DF18+'Model Setup'!$K$7,$B18:$Y18)+'Model Setup'!$K$8*(SUMIF($AD$3:$BA$3,"&lt;"&amp;$DF18,$B18:$Y18)+SUMIF($AD$3:$BA$3,"&gt;="&amp;$DG18,$B18:$Y18)),
IF(AF$3=$DF18+'Model Setup'!$L$7,SUMIF($AD$3:$BA$3,"="&amp;$DF18+'Model Setup'!$L$7,$B18:$Y18)+'Model Setup'!$L$8*(SUMIF($AD$3:$BA$3,"&lt;"&amp;$DF18,$B18:$Y18)+SUMIF($AD$3:$BA$3,"&gt;="&amp;$DG18,$B18:$Y18)),
IF(AF$3=$DF18+'Model Setup'!$M$7,SUMIF($AD$3:$BA$3,"="&amp;$DF18+'Model Setup'!$M$7,$B18:$Y18)+'Model Setup'!$M$8*(SUMIF($AD$3:$BA$3,"&lt;"&amp;$DF18,$B18:$Y18)+SUMIF($AD$3:$BA$3,"&gt;="&amp;$DG18,$B18:$Y18)),
IF(AF$3=$DF18+'Model Setup'!$N$7,SUMIF($AD$3:$BA$3,"="&amp;$DF18+'Model Setup'!$N$7,$B18:$Y18)+'Model Setup'!$N$8*(SUMIF($AD$3:$BA$3,"&lt;"&amp;$DF18,$B18:$Y18)+SUMIF($AD$3:$BA$3,"&gt;="&amp;$DG18,$B18:$Y18)),
IF(AF$3&lt;$DG18,D18,0))))))))))))))),0)</f>
        <v>0</v>
      </c>
      <c r="AG18" s="47">
        <f>ROUND(IF(AG$3&lt;$DF18,0,
IF(AG$3=$DF18+'Model Setup'!$B$7,SUMIF($AD$3:$BA$3,"="&amp;$DF18+'Model Setup'!$B$7,$B18:$Y18)+'Model Setup'!$B$8*(SUMIF($AD$3:$BA$3,"&lt;"&amp;$DF18,$B18:$Y18)+SUMIF($AD$3:$BA$3,"&gt;="&amp;$DG18,$B18:$Y18)),
IF(AG$3=$DF18+'Model Setup'!$C$7,SUMIF($AD$3:$BA$3,"="&amp;$DF18+'Model Setup'!$C$7,$B18:$Y18)+'Model Setup'!$C$8*(SUMIF($AD$3:$BA$3,"&lt;"&amp;$DF18,$B18:$Y18)+SUMIF($AD$3:$BA$3,"&gt;="&amp;$DG18,$B18:$Y18)),
IF(AG$3=$DF18+'Model Setup'!$D$7,SUMIF($AD$3:$BA$3,"="&amp;$DF18+'Model Setup'!$D$7,$B18:$Y18)+'Model Setup'!$D$8*(SUMIF($AD$3:$BA$3,"&lt;"&amp;$DF18,$B18:$Y18)+SUMIF($AD$3:$BA$3,"&gt;="&amp;$DG18,$B18:$Y18)),
IF(AG$3=$DF18+'Model Setup'!$E$7,SUMIF($AD$3:$BA$3,"="&amp;$DF18+'Model Setup'!$E$7,$B18:$Y18)+'Model Setup'!$E$8*(SUMIF($AD$3:$BA$3,"&lt;"&amp;$DF18,$B18:$Y18)+SUMIF($AD$3:$BA$3,"&gt;="&amp;$DG18,$B18:$Y18)),
IF(AG$3=$DF18+'Model Setup'!$F$7,SUMIF($AD$3:$BA$3,"="&amp;$DF18+'Model Setup'!$F$7,$B18:$Y18)+'Model Setup'!$F$8*(SUMIF($AD$3:$BA$3,"&lt;"&amp;$DF18,$B18:$Y18)+SUMIF($AD$3:$BA$3,"&gt;="&amp;$DG18,$B18:$Y18)),
IF(AG$3=$DF18+'Model Setup'!$G$7,SUMIF($AD$3:$BA$3,"="&amp;$DF18+'Model Setup'!$G$7,$B18:$Y18)+'Model Setup'!$G$8*(SUMIF($AD$3:$BA$3,"&lt;"&amp;$DF18,$B18:$Y18)+SUMIF($AD$3:$BA$3,"&gt;="&amp;$DG18,$B18:$Y18)),
IF(AG$3=$DF18+'Model Setup'!$H$7,SUMIF($AD$3:$BA$3,"="&amp;$DF18+'Model Setup'!$H$7,$B18:$Y18)+'Model Setup'!$H$8*(SUMIF($AD$3:$BA$3,"&lt;"&amp;$DF18,$B18:$Y18)+SUMIF($AD$3:$BA$3,"&gt;="&amp;$DG18,$B18:$Y18)),
IF(AG$3=$DF18+'Model Setup'!$I$7,SUMIF($AD$3:$BA$3,"="&amp;$DF18+'Model Setup'!$I$7,$B18:$Y18)+'Model Setup'!$I$8*(SUMIF($AD$3:$BA$3,"&lt;"&amp;$DF18,$B18:$Y18)+SUMIF($AD$3:$BA$3,"&gt;="&amp;$DG18,$B18:$Y18)),
IF(AG$3=$DF18+'Model Setup'!$J$7,SUMIF($AD$3:$BA$3,"="&amp;$DF18+'Model Setup'!$J$7,$B18:$Y18)+'Model Setup'!$J$8*(SUMIF($AD$3:$BA$3,"&lt;"&amp;$DF18,$B18:$Y18)+SUMIF($AD$3:$BA$3,"&gt;="&amp;$DG18,$B18:$Y18)),
IF(AG$3=$DF18+'Model Setup'!$K$7,SUMIF($AD$3:$BA$3,"="&amp;$DF18+'Model Setup'!$K$7,$B18:$Y18)+'Model Setup'!$K$8*(SUMIF($AD$3:$BA$3,"&lt;"&amp;$DF18,$B18:$Y18)+SUMIF($AD$3:$BA$3,"&gt;="&amp;$DG18,$B18:$Y18)),
IF(AG$3=$DF18+'Model Setup'!$L$7,SUMIF($AD$3:$BA$3,"="&amp;$DF18+'Model Setup'!$L$7,$B18:$Y18)+'Model Setup'!$L$8*(SUMIF($AD$3:$BA$3,"&lt;"&amp;$DF18,$B18:$Y18)+SUMIF($AD$3:$BA$3,"&gt;="&amp;$DG18,$B18:$Y18)),
IF(AG$3=$DF18+'Model Setup'!$M$7,SUMIF($AD$3:$BA$3,"="&amp;$DF18+'Model Setup'!$M$7,$B18:$Y18)+'Model Setup'!$M$8*(SUMIF($AD$3:$BA$3,"&lt;"&amp;$DF18,$B18:$Y18)+SUMIF($AD$3:$BA$3,"&gt;="&amp;$DG18,$B18:$Y18)),
IF(AG$3=$DF18+'Model Setup'!$N$7,SUMIF($AD$3:$BA$3,"="&amp;$DF18+'Model Setup'!$N$7,$B18:$Y18)+'Model Setup'!$N$8*(SUMIF($AD$3:$BA$3,"&lt;"&amp;$DF18,$B18:$Y18)+SUMIF($AD$3:$BA$3,"&gt;="&amp;$DG18,$B18:$Y18)),
IF(AG$3&lt;$DG18,E18,0))))))))))))))),0)</f>
        <v>0</v>
      </c>
      <c r="AH18" s="47">
        <f>ROUND(IF(AH$3&lt;$DF18,0,
IF(AH$3=$DF18+'Model Setup'!$B$7,SUMIF($AD$3:$BA$3,"="&amp;$DF18+'Model Setup'!$B$7,$B18:$Y18)+'Model Setup'!$B$8*(SUMIF($AD$3:$BA$3,"&lt;"&amp;$DF18,$B18:$Y18)+SUMIF($AD$3:$BA$3,"&gt;="&amp;$DG18,$B18:$Y18)),
IF(AH$3=$DF18+'Model Setup'!$C$7,SUMIF($AD$3:$BA$3,"="&amp;$DF18+'Model Setup'!$C$7,$B18:$Y18)+'Model Setup'!$C$8*(SUMIF($AD$3:$BA$3,"&lt;"&amp;$DF18,$B18:$Y18)+SUMIF($AD$3:$BA$3,"&gt;="&amp;$DG18,$B18:$Y18)),
IF(AH$3=$DF18+'Model Setup'!$D$7,SUMIF($AD$3:$BA$3,"="&amp;$DF18+'Model Setup'!$D$7,$B18:$Y18)+'Model Setup'!$D$8*(SUMIF($AD$3:$BA$3,"&lt;"&amp;$DF18,$B18:$Y18)+SUMIF($AD$3:$BA$3,"&gt;="&amp;$DG18,$B18:$Y18)),
IF(AH$3=$DF18+'Model Setup'!$E$7,SUMIF($AD$3:$BA$3,"="&amp;$DF18+'Model Setup'!$E$7,$B18:$Y18)+'Model Setup'!$E$8*(SUMIF($AD$3:$BA$3,"&lt;"&amp;$DF18,$B18:$Y18)+SUMIF($AD$3:$BA$3,"&gt;="&amp;$DG18,$B18:$Y18)),
IF(AH$3=$DF18+'Model Setup'!$F$7,SUMIF($AD$3:$BA$3,"="&amp;$DF18+'Model Setup'!$F$7,$B18:$Y18)+'Model Setup'!$F$8*(SUMIF($AD$3:$BA$3,"&lt;"&amp;$DF18,$B18:$Y18)+SUMIF($AD$3:$BA$3,"&gt;="&amp;$DG18,$B18:$Y18)),
IF(AH$3=$DF18+'Model Setup'!$G$7,SUMIF($AD$3:$BA$3,"="&amp;$DF18+'Model Setup'!$G$7,$B18:$Y18)+'Model Setup'!$G$8*(SUMIF($AD$3:$BA$3,"&lt;"&amp;$DF18,$B18:$Y18)+SUMIF($AD$3:$BA$3,"&gt;="&amp;$DG18,$B18:$Y18)),
IF(AH$3=$DF18+'Model Setup'!$H$7,SUMIF($AD$3:$BA$3,"="&amp;$DF18+'Model Setup'!$H$7,$B18:$Y18)+'Model Setup'!$H$8*(SUMIF($AD$3:$BA$3,"&lt;"&amp;$DF18,$B18:$Y18)+SUMIF($AD$3:$BA$3,"&gt;="&amp;$DG18,$B18:$Y18)),
IF(AH$3=$DF18+'Model Setup'!$I$7,SUMIF($AD$3:$BA$3,"="&amp;$DF18+'Model Setup'!$I$7,$B18:$Y18)+'Model Setup'!$I$8*(SUMIF($AD$3:$BA$3,"&lt;"&amp;$DF18,$B18:$Y18)+SUMIF($AD$3:$BA$3,"&gt;="&amp;$DG18,$B18:$Y18)),
IF(AH$3=$DF18+'Model Setup'!$J$7,SUMIF($AD$3:$BA$3,"="&amp;$DF18+'Model Setup'!$J$7,$B18:$Y18)+'Model Setup'!$J$8*(SUMIF($AD$3:$BA$3,"&lt;"&amp;$DF18,$B18:$Y18)+SUMIF($AD$3:$BA$3,"&gt;="&amp;$DG18,$B18:$Y18)),
IF(AH$3=$DF18+'Model Setup'!$K$7,SUMIF($AD$3:$BA$3,"="&amp;$DF18+'Model Setup'!$K$7,$B18:$Y18)+'Model Setup'!$K$8*(SUMIF($AD$3:$BA$3,"&lt;"&amp;$DF18,$B18:$Y18)+SUMIF($AD$3:$BA$3,"&gt;="&amp;$DG18,$B18:$Y18)),
IF(AH$3=$DF18+'Model Setup'!$L$7,SUMIF($AD$3:$BA$3,"="&amp;$DF18+'Model Setup'!$L$7,$B18:$Y18)+'Model Setup'!$L$8*(SUMIF($AD$3:$BA$3,"&lt;"&amp;$DF18,$B18:$Y18)+SUMIF($AD$3:$BA$3,"&gt;="&amp;$DG18,$B18:$Y18)),
IF(AH$3=$DF18+'Model Setup'!$M$7,SUMIF($AD$3:$BA$3,"="&amp;$DF18+'Model Setup'!$M$7,$B18:$Y18)+'Model Setup'!$M$8*(SUMIF($AD$3:$BA$3,"&lt;"&amp;$DF18,$B18:$Y18)+SUMIF($AD$3:$BA$3,"&gt;="&amp;$DG18,$B18:$Y18)),
IF(AH$3=$DF18+'Model Setup'!$N$7,SUMIF($AD$3:$BA$3,"="&amp;$DF18+'Model Setup'!$N$7,$B18:$Y18)+'Model Setup'!$N$8*(SUMIF($AD$3:$BA$3,"&lt;"&amp;$DF18,$B18:$Y18)+SUMIF($AD$3:$BA$3,"&gt;="&amp;$DG18,$B18:$Y18)),
IF(AH$3&lt;$DG18,F18,0))))))))))))))),0)</f>
        <v>0</v>
      </c>
      <c r="AI18" s="47">
        <f>ROUND(IF(AI$3&lt;$DF18,0,
IF(AI$3=$DF18+'Model Setup'!$B$7,SUMIF($AD$3:$BA$3,"="&amp;$DF18+'Model Setup'!$B$7,$B18:$Y18)+'Model Setup'!$B$8*(SUMIF($AD$3:$BA$3,"&lt;"&amp;$DF18,$B18:$Y18)+SUMIF($AD$3:$BA$3,"&gt;="&amp;$DG18,$B18:$Y18)),
IF(AI$3=$DF18+'Model Setup'!$C$7,SUMIF($AD$3:$BA$3,"="&amp;$DF18+'Model Setup'!$C$7,$B18:$Y18)+'Model Setup'!$C$8*(SUMIF($AD$3:$BA$3,"&lt;"&amp;$DF18,$B18:$Y18)+SUMIF($AD$3:$BA$3,"&gt;="&amp;$DG18,$B18:$Y18)),
IF(AI$3=$DF18+'Model Setup'!$D$7,SUMIF($AD$3:$BA$3,"="&amp;$DF18+'Model Setup'!$D$7,$B18:$Y18)+'Model Setup'!$D$8*(SUMIF($AD$3:$BA$3,"&lt;"&amp;$DF18,$B18:$Y18)+SUMIF($AD$3:$BA$3,"&gt;="&amp;$DG18,$B18:$Y18)),
IF(AI$3=$DF18+'Model Setup'!$E$7,SUMIF($AD$3:$BA$3,"="&amp;$DF18+'Model Setup'!$E$7,$B18:$Y18)+'Model Setup'!$E$8*(SUMIF($AD$3:$BA$3,"&lt;"&amp;$DF18,$B18:$Y18)+SUMIF($AD$3:$BA$3,"&gt;="&amp;$DG18,$B18:$Y18)),
IF(AI$3=$DF18+'Model Setup'!$F$7,SUMIF($AD$3:$BA$3,"="&amp;$DF18+'Model Setup'!$F$7,$B18:$Y18)+'Model Setup'!$F$8*(SUMIF($AD$3:$BA$3,"&lt;"&amp;$DF18,$B18:$Y18)+SUMIF($AD$3:$BA$3,"&gt;="&amp;$DG18,$B18:$Y18)),
IF(AI$3=$DF18+'Model Setup'!$G$7,SUMIF($AD$3:$BA$3,"="&amp;$DF18+'Model Setup'!$G$7,$B18:$Y18)+'Model Setup'!$G$8*(SUMIF($AD$3:$BA$3,"&lt;"&amp;$DF18,$B18:$Y18)+SUMIF($AD$3:$BA$3,"&gt;="&amp;$DG18,$B18:$Y18)),
IF(AI$3=$DF18+'Model Setup'!$H$7,SUMIF($AD$3:$BA$3,"="&amp;$DF18+'Model Setup'!$H$7,$B18:$Y18)+'Model Setup'!$H$8*(SUMIF($AD$3:$BA$3,"&lt;"&amp;$DF18,$B18:$Y18)+SUMIF($AD$3:$BA$3,"&gt;="&amp;$DG18,$B18:$Y18)),
IF(AI$3=$DF18+'Model Setup'!$I$7,SUMIF($AD$3:$BA$3,"="&amp;$DF18+'Model Setup'!$I$7,$B18:$Y18)+'Model Setup'!$I$8*(SUMIF($AD$3:$BA$3,"&lt;"&amp;$DF18,$B18:$Y18)+SUMIF($AD$3:$BA$3,"&gt;="&amp;$DG18,$B18:$Y18)),
IF(AI$3=$DF18+'Model Setup'!$J$7,SUMIF($AD$3:$BA$3,"="&amp;$DF18+'Model Setup'!$J$7,$B18:$Y18)+'Model Setup'!$J$8*(SUMIF($AD$3:$BA$3,"&lt;"&amp;$DF18,$B18:$Y18)+SUMIF($AD$3:$BA$3,"&gt;="&amp;$DG18,$B18:$Y18)),
IF(AI$3=$DF18+'Model Setup'!$K$7,SUMIF($AD$3:$BA$3,"="&amp;$DF18+'Model Setup'!$K$7,$B18:$Y18)+'Model Setup'!$K$8*(SUMIF($AD$3:$BA$3,"&lt;"&amp;$DF18,$B18:$Y18)+SUMIF($AD$3:$BA$3,"&gt;="&amp;$DG18,$B18:$Y18)),
IF(AI$3=$DF18+'Model Setup'!$L$7,SUMIF($AD$3:$BA$3,"="&amp;$DF18+'Model Setup'!$L$7,$B18:$Y18)+'Model Setup'!$L$8*(SUMIF($AD$3:$BA$3,"&lt;"&amp;$DF18,$B18:$Y18)+SUMIF($AD$3:$BA$3,"&gt;="&amp;$DG18,$B18:$Y18)),
IF(AI$3=$DF18+'Model Setup'!$M$7,SUMIF($AD$3:$BA$3,"="&amp;$DF18+'Model Setup'!$M$7,$B18:$Y18)+'Model Setup'!$M$8*(SUMIF($AD$3:$BA$3,"&lt;"&amp;$DF18,$B18:$Y18)+SUMIF($AD$3:$BA$3,"&gt;="&amp;$DG18,$B18:$Y18)),
IF(AI$3=$DF18+'Model Setup'!$N$7,SUMIF($AD$3:$BA$3,"="&amp;$DF18+'Model Setup'!$N$7,$B18:$Y18)+'Model Setup'!$N$8*(SUMIF($AD$3:$BA$3,"&lt;"&amp;$DF18,$B18:$Y18)+SUMIF($AD$3:$BA$3,"&gt;="&amp;$DG18,$B18:$Y18)),
IF(AI$3&lt;$DG18,G18,0))))))))))))))),0)</f>
        <v>0</v>
      </c>
      <c r="AJ18" s="47">
        <f>ROUND(IF(AJ$3&lt;$DF18,0,
IF(AJ$3=$DF18+'Model Setup'!$B$7,SUMIF($AD$3:$BA$3,"="&amp;$DF18+'Model Setup'!$B$7,$B18:$Y18)+'Model Setup'!$B$8*(SUMIF($AD$3:$BA$3,"&lt;"&amp;$DF18,$B18:$Y18)+SUMIF($AD$3:$BA$3,"&gt;="&amp;$DG18,$B18:$Y18)),
IF(AJ$3=$DF18+'Model Setup'!$C$7,SUMIF($AD$3:$BA$3,"="&amp;$DF18+'Model Setup'!$C$7,$B18:$Y18)+'Model Setup'!$C$8*(SUMIF($AD$3:$BA$3,"&lt;"&amp;$DF18,$B18:$Y18)+SUMIF($AD$3:$BA$3,"&gt;="&amp;$DG18,$B18:$Y18)),
IF(AJ$3=$DF18+'Model Setup'!$D$7,SUMIF($AD$3:$BA$3,"="&amp;$DF18+'Model Setup'!$D$7,$B18:$Y18)+'Model Setup'!$D$8*(SUMIF($AD$3:$BA$3,"&lt;"&amp;$DF18,$B18:$Y18)+SUMIF($AD$3:$BA$3,"&gt;="&amp;$DG18,$B18:$Y18)),
IF(AJ$3=$DF18+'Model Setup'!$E$7,SUMIF($AD$3:$BA$3,"="&amp;$DF18+'Model Setup'!$E$7,$B18:$Y18)+'Model Setup'!$E$8*(SUMIF($AD$3:$BA$3,"&lt;"&amp;$DF18,$B18:$Y18)+SUMIF($AD$3:$BA$3,"&gt;="&amp;$DG18,$B18:$Y18)),
IF(AJ$3=$DF18+'Model Setup'!$F$7,SUMIF($AD$3:$BA$3,"="&amp;$DF18+'Model Setup'!$F$7,$B18:$Y18)+'Model Setup'!$F$8*(SUMIF($AD$3:$BA$3,"&lt;"&amp;$DF18,$B18:$Y18)+SUMIF($AD$3:$BA$3,"&gt;="&amp;$DG18,$B18:$Y18)),
IF(AJ$3=$DF18+'Model Setup'!$G$7,SUMIF($AD$3:$BA$3,"="&amp;$DF18+'Model Setup'!$G$7,$B18:$Y18)+'Model Setup'!$G$8*(SUMIF($AD$3:$BA$3,"&lt;"&amp;$DF18,$B18:$Y18)+SUMIF($AD$3:$BA$3,"&gt;="&amp;$DG18,$B18:$Y18)),
IF(AJ$3=$DF18+'Model Setup'!$H$7,SUMIF($AD$3:$BA$3,"="&amp;$DF18+'Model Setup'!$H$7,$B18:$Y18)+'Model Setup'!$H$8*(SUMIF($AD$3:$BA$3,"&lt;"&amp;$DF18,$B18:$Y18)+SUMIF($AD$3:$BA$3,"&gt;="&amp;$DG18,$B18:$Y18)),
IF(AJ$3=$DF18+'Model Setup'!$I$7,SUMIF($AD$3:$BA$3,"="&amp;$DF18+'Model Setup'!$I$7,$B18:$Y18)+'Model Setup'!$I$8*(SUMIF($AD$3:$BA$3,"&lt;"&amp;$DF18,$B18:$Y18)+SUMIF($AD$3:$BA$3,"&gt;="&amp;$DG18,$B18:$Y18)),
IF(AJ$3=$DF18+'Model Setup'!$J$7,SUMIF($AD$3:$BA$3,"="&amp;$DF18+'Model Setup'!$J$7,$B18:$Y18)+'Model Setup'!$J$8*(SUMIF($AD$3:$BA$3,"&lt;"&amp;$DF18,$B18:$Y18)+SUMIF($AD$3:$BA$3,"&gt;="&amp;$DG18,$B18:$Y18)),
IF(AJ$3=$DF18+'Model Setup'!$K$7,SUMIF($AD$3:$BA$3,"="&amp;$DF18+'Model Setup'!$K$7,$B18:$Y18)+'Model Setup'!$K$8*(SUMIF($AD$3:$BA$3,"&lt;"&amp;$DF18,$B18:$Y18)+SUMIF($AD$3:$BA$3,"&gt;="&amp;$DG18,$B18:$Y18)),
IF(AJ$3=$DF18+'Model Setup'!$L$7,SUMIF($AD$3:$BA$3,"="&amp;$DF18+'Model Setup'!$L$7,$B18:$Y18)+'Model Setup'!$L$8*(SUMIF($AD$3:$BA$3,"&lt;"&amp;$DF18,$B18:$Y18)+SUMIF($AD$3:$BA$3,"&gt;="&amp;$DG18,$B18:$Y18)),
IF(AJ$3=$DF18+'Model Setup'!$M$7,SUMIF($AD$3:$BA$3,"="&amp;$DF18+'Model Setup'!$M$7,$B18:$Y18)+'Model Setup'!$M$8*(SUMIF($AD$3:$BA$3,"&lt;"&amp;$DF18,$B18:$Y18)+SUMIF($AD$3:$BA$3,"&gt;="&amp;$DG18,$B18:$Y18)),
IF(AJ$3=$DF18+'Model Setup'!$N$7,SUMIF($AD$3:$BA$3,"="&amp;$DF18+'Model Setup'!$N$7,$B18:$Y18)+'Model Setup'!$N$8*(SUMIF($AD$3:$BA$3,"&lt;"&amp;$DF18,$B18:$Y18)+SUMIF($AD$3:$BA$3,"&gt;="&amp;$DG18,$B18:$Y18)),
IF(AJ$3&lt;$DG18,H18,0))))))))))))))),0)</f>
        <v>0</v>
      </c>
      <c r="AK18" s="47">
        <f>ROUND(IF(AK$3&lt;$DF18,0,
IF(AK$3=$DF18+'Model Setup'!$B$7,SUMIF($AD$3:$BA$3,"="&amp;$DF18+'Model Setup'!$B$7,$B18:$Y18)+'Model Setup'!$B$8*(SUMIF($AD$3:$BA$3,"&lt;"&amp;$DF18,$B18:$Y18)+SUMIF($AD$3:$BA$3,"&gt;="&amp;$DG18,$B18:$Y18)),
IF(AK$3=$DF18+'Model Setup'!$C$7,SUMIF($AD$3:$BA$3,"="&amp;$DF18+'Model Setup'!$C$7,$B18:$Y18)+'Model Setup'!$C$8*(SUMIF($AD$3:$BA$3,"&lt;"&amp;$DF18,$B18:$Y18)+SUMIF($AD$3:$BA$3,"&gt;="&amp;$DG18,$B18:$Y18)),
IF(AK$3=$DF18+'Model Setup'!$D$7,SUMIF($AD$3:$BA$3,"="&amp;$DF18+'Model Setup'!$D$7,$B18:$Y18)+'Model Setup'!$D$8*(SUMIF($AD$3:$BA$3,"&lt;"&amp;$DF18,$B18:$Y18)+SUMIF($AD$3:$BA$3,"&gt;="&amp;$DG18,$B18:$Y18)),
IF(AK$3=$DF18+'Model Setup'!$E$7,SUMIF($AD$3:$BA$3,"="&amp;$DF18+'Model Setup'!$E$7,$B18:$Y18)+'Model Setup'!$E$8*(SUMIF($AD$3:$BA$3,"&lt;"&amp;$DF18,$B18:$Y18)+SUMIF($AD$3:$BA$3,"&gt;="&amp;$DG18,$B18:$Y18)),
IF(AK$3=$DF18+'Model Setup'!$F$7,SUMIF($AD$3:$BA$3,"="&amp;$DF18+'Model Setup'!$F$7,$B18:$Y18)+'Model Setup'!$F$8*(SUMIF($AD$3:$BA$3,"&lt;"&amp;$DF18,$B18:$Y18)+SUMIF($AD$3:$BA$3,"&gt;="&amp;$DG18,$B18:$Y18)),
IF(AK$3=$DF18+'Model Setup'!$G$7,SUMIF($AD$3:$BA$3,"="&amp;$DF18+'Model Setup'!$G$7,$B18:$Y18)+'Model Setup'!$G$8*(SUMIF($AD$3:$BA$3,"&lt;"&amp;$DF18,$B18:$Y18)+SUMIF($AD$3:$BA$3,"&gt;="&amp;$DG18,$B18:$Y18)),
IF(AK$3=$DF18+'Model Setup'!$H$7,SUMIF($AD$3:$BA$3,"="&amp;$DF18+'Model Setup'!$H$7,$B18:$Y18)+'Model Setup'!$H$8*(SUMIF($AD$3:$BA$3,"&lt;"&amp;$DF18,$B18:$Y18)+SUMIF($AD$3:$BA$3,"&gt;="&amp;$DG18,$B18:$Y18)),
IF(AK$3=$DF18+'Model Setup'!$I$7,SUMIF($AD$3:$BA$3,"="&amp;$DF18+'Model Setup'!$I$7,$B18:$Y18)+'Model Setup'!$I$8*(SUMIF($AD$3:$BA$3,"&lt;"&amp;$DF18,$B18:$Y18)+SUMIF($AD$3:$BA$3,"&gt;="&amp;$DG18,$B18:$Y18)),
IF(AK$3=$DF18+'Model Setup'!$J$7,SUMIF($AD$3:$BA$3,"="&amp;$DF18+'Model Setup'!$J$7,$B18:$Y18)+'Model Setup'!$J$8*(SUMIF($AD$3:$BA$3,"&lt;"&amp;$DF18,$B18:$Y18)+SUMIF($AD$3:$BA$3,"&gt;="&amp;$DG18,$B18:$Y18)),
IF(AK$3=$DF18+'Model Setup'!$K$7,SUMIF($AD$3:$BA$3,"="&amp;$DF18+'Model Setup'!$K$7,$B18:$Y18)+'Model Setup'!$K$8*(SUMIF($AD$3:$BA$3,"&lt;"&amp;$DF18,$B18:$Y18)+SUMIF($AD$3:$BA$3,"&gt;="&amp;$DG18,$B18:$Y18)),
IF(AK$3=$DF18+'Model Setup'!$L$7,SUMIF($AD$3:$BA$3,"="&amp;$DF18+'Model Setup'!$L$7,$B18:$Y18)+'Model Setup'!$L$8*(SUMIF($AD$3:$BA$3,"&lt;"&amp;$DF18,$B18:$Y18)+SUMIF($AD$3:$BA$3,"&gt;="&amp;$DG18,$B18:$Y18)),
IF(AK$3=$DF18+'Model Setup'!$M$7,SUMIF($AD$3:$BA$3,"="&amp;$DF18+'Model Setup'!$M$7,$B18:$Y18)+'Model Setup'!$M$8*(SUMIF($AD$3:$BA$3,"&lt;"&amp;$DF18,$B18:$Y18)+SUMIF($AD$3:$BA$3,"&gt;="&amp;$DG18,$B18:$Y18)),
IF(AK$3=$DF18+'Model Setup'!$N$7,SUMIF($AD$3:$BA$3,"="&amp;$DF18+'Model Setup'!$N$7,$B18:$Y18)+'Model Setup'!$N$8*(SUMIF($AD$3:$BA$3,"&lt;"&amp;$DF18,$B18:$Y18)+SUMIF($AD$3:$BA$3,"&gt;="&amp;$DG18,$B18:$Y18)),
IF(AK$3&lt;$DG18,I18,0))))))))))))))),0)</f>
        <v>24</v>
      </c>
      <c r="AL18" s="47">
        <f>ROUND(IF(AL$3&lt;$DF18,0,
IF(AL$3=$DF18+'Model Setup'!$B$7,SUMIF($AD$3:$BA$3,"="&amp;$DF18+'Model Setup'!$B$7,$B18:$Y18)+'Model Setup'!$B$8*(SUMIF($AD$3:$BA$3,"&lt;"&amp;$DF18,$B18:$Y18)+SUMIF($AD$3:$BA$3,"&gt;="&amp;$DG18,$B18:$Y18)),
IF(AL$3=$DF18+'Model Setup'!$C$7,SUMIF($AD$3:$BA$3,"="&amp;$DF18+'Model Setup'!$C$7,$B18:$Y18)+'Model Setup'!$C$8*(SUMIF($AD$3:$BA$3,"&lt;"&amp;$DF18,$B18:$Y18)+SUMIF($AD$3:$BA$3,"&gt;="&amp;$DG18,$B18:$Y18)),
IF(AL$3=$DF18+'Model Setup'!$D$7,SUMIF($AD$3:$BA$3,"="&amp;$DF18+'Model Setup'!$D$7,$B18:$Y18)+'Model Setup'!$D$8*(SUMIF($AD$3:$BA$3,"&lt;"&amp;$DF18,$B18:$Y18)+SUMIF($AD$3:$BA$3,"&gt;="&amp;$DG18,$B18:$Y18)),
IF(AL$3=$DF18+'Model Setup'!$E$7,SUMIF($AD$3:$BA$3,"="&amp;$DF18+'Model Setup'!$E$7,$B18:$Y18)+'Model Setup'!$E$8*(SUMIF($AD$3:$BA$3,"&lt;"&amp;$DF18,$B18:$Y18)+SUMIF($AD$3:$BA$3,"&gt;="&amp;$DG18,$B18:$Y18)),
IF(AL$3=$DF18+'Model Setup'!$F$7,SUMIF($AD$3:$BA$3,"="&amp;$DF18+'Model Setup'!$F$7,$B18:$Y18)+'Model Setup'!$F$8*(SUMIF($AD$3:$BA$3,"&lt;"&amp;$DF18,$B18:$Y18)+SUMIF($AD$3:$BA$3,"&gt;="&amp;$DG18,$B18:$Y18)),
IF(AL$3=$DF18+'Model Setup'!$G$7,SUMIF($AD$3:$BA$3,"="&amp;$DF18+'Model Setup'!$G$7,$B18:$Y18)+'Model Setup'!$G$8*(SUMIF($AD$3:$BA$3,"&lt;"&amp;$DF18,$B18:$Y18)+SUMIF($AD$3:$BA$3,"&gt;="&amp;$DG18,$B18:$Y18)),
IF(AL$3=$DF18+'Model Setup'!$H$7,SUMIF($AD$3:$BA$3,"="&amp;$DF18+'Model Setup'!$H$7,$B18:$Y18)+'Model Setup'!$H$8*(SUMIF($AD$3:$BA$3,"&lt;"&amp;$DF18,$B18:$Y18)+SUMIF($AD$3:$BA$3,"&gt;="&amp;$DG18,$B18:$Y18)),
IF(AL$3=$DF18+'Model Setup'!$I$7,SUMIF($AD$3:$BA$3,"="&amp;$DF18+'Model Setup'!$I$7,$B18:$Y18)+'Model Setup'!$I$8*(SUMIF($AD$3:$BA$3,"&lt;"&amp;$DF18,$B18:$Y18)+SUMIF($AD$3:$BA$3,"&gt;="&amp;$DG18,$B18:$Y18)),
IF(AL$3=$DF18+'Model Setup'!$J$7,SUMIF($AD$3:$BA$3,"="&amp;$DF18+'Model Setup'!$J$7,$B18:$Y18)+'Model Setup'!$J$8*(SUMIF($AD$3:$BA$3,"&lt;"&amp;$DF18,$B18:$Y18)+SUMIF($AD$3:$BA$3,"&gt;="&amp;$DG18,$B18:$Y18)),
IF(AL$3=$DF18+'Model Setup'!$K$7,SUMIF($AD$3:$BA$3,"="&amp;$DF18+'Model Setup'!$K$7,$B18:$Y18)+'Model Setup'!$K$8*(SUMIF($AD$3:$BA$3,"&lt;"&amp;$DF18,$B18:$Y18)+SUMIF($AD$3:$BA$3,"&gt;="&amp;$DG18,$B18:$Y18)),
IF(AL$3=$DF18+'Model Setup'!$L$7,SUMIF($AD$3:$BA$3,"="&amp;$DF18+'Model Setup'!$L$7,$B18:$Y18)+'Model Setup'!$L$8*(SUMIF($AD$3:$BA$3,"&lt;"&amp;$DF18,$B18:$Y18)+SUMIF($AD$3:$BA$3,"&gt;="&amp;$DG18,$B18:$Y18)),
IF(AL$3=$DF18+'Model Setup'!$M$7,SUMIF($AD$3:$BA$3,"="&amp;$DF18+'Model Setup'!$M$7,$B18:$Y18)+'Model Setup'!$M$8*(SUMIF($AD$3:$BA$3,"&lt;"&amp;$DF18,$B18:$Y18)+SUMIF($AD$3:$BA$3,"&gt;="&amp;$DG18,$B18:$Y18)),
IF(AL$3=$DF18+'Model Setup'!$N$7,SUMIF($AD$3:$BA$3,"="&amp;$DF18+'Model Setup'!$N$7,$B18:$Y18)+'Model Setup'!$N$8*(SUMIF($AD$3:$BA$3,"&lt;"&amp;$DF18,$B18:$Y18)+SUMIF($AD$3:$BA$3,"&gt;="&amp;$DG18,$B18:$Y18)),
IF(AL$3&lt;$DG18,J18,0))))))))))))))),0)</f>
        <v>21</v>
      </c>
      <c r="AM18" s="47">
        <f>ROUND(IF(AM$3&lt;$DF18,0,
IF(AM$3=$DF18+'Model Setup'!$B$7,SUMIF($AD$3:$BA$3,"="&amp;$DF18+'Model Setup'!$B$7,$B18:$Y18)+'Model Setup'!$B$8*(SUMIF($AD$3:$BA$3,"&lt;"&amp;$DF18,$B18:$Y18)+SUMIF($AD$3:$BA$3,"&gt;="&amp;$DG18,$B18:$Y18)),
IF(AM$3=$DF18+'Model Setup'!$C$7,SUMIF($AD$3:$BA$3,"="&amp;$DF18+'Model Setup'!$C$7,$B18:$Y18)+'Model Setup'!$C$8*(SUMIF($AD$3:$BA$3,"&lt;"&amp;$DF18,$B18:$Y18)+SUMIF($AD$3:$BA$3,"&gt;="&amp;$DG18,$B18:$Y18)),
IF(AM$3=$DF18+'Model Setup'!$D$7,SUMIF($AD$3:$BA$3,"="&amp;$DF18+'Model Setup'!$D$7,$B18:$Y18)+'Model Setup'!$D$8*(SUMIF($AD$3:$BA$3,"&lt;"&amp;$DF18,$B18:$Y18)+SUMIF($AD$3:$BA$3,"&gt;="&amp;$DG18,$B18:$Y18)),
IF(AM$3=$DF18+'Model Setup'!$E$7,SUMIF($AD$3:$BA$3,"="&amp;$DF18+'Model Setup'!$E$7,$B18:$Y18)+'Model Setup'!$E$8*(SUMIF($AD$3:$BA$3,"&lt;"&amp;$DF18,$B18:$Y18)+SUMIF($AD$3:$BA$3,"&gt;="&amp;$DG18,$B18:$Y18)),
IF(AM$3=$DF18+'Model Setup'!$F$7,SUMIF($AD$3:$BA$3,"="&amp;$DF18+'Model Setup'!$F$7,$B18:$Y18)+'Model Setup'!$F$8*(SUMIF($AD$3:$BA$3,"&lt;"&amp;$DF18,$B18:$Y18)+SUMIF($AD$3:$BA$3,"&gt;="&amp;$DG18,$B18:$Y18)),
IF(AM$3=$DF18+'Model Setup'!$G$7,SUMIF($AD$3:$BA$3,"="&amp;$DF18+'Model Setup'!$G$7,$B18:$Y18)+'Model Setup'!$G$8*(SUMIF($AD$3:$BA$3,"&lt;"&amp;$DF18,$B18:$Y18)+SUMIF($AD$3:$BA$3,"&gt;="&amp;$DG18,$B18:$Y18)),
IF(AM$3=$DF18+'Model Setup'!$H$7,SUMIF($AD$3:$BA$3,"="&amp;$DF18+'Model Setup'!$H$7,$B18:$Y18)+'Model Setup'!$H$8*(SUMIF($AD$3:$BA$3,"&lt;"&amp;$DF18,$B18:$Y18)+SUMIF($AD$3:$BA$3,"&gt;="&amp;$DG18,$B18:$Y18)),
IF(AM$3=$DF18+'Model Setup'!$I$7,SUMIF($AD$3:$BA$3,"="&amp;$DF18+'Model Setup'!$I$7,$B18:$Y18)+'Model Setup'!$I$8*(SUMIF($AD$3:$BA$3,"&lt;"&amp;$DF18,$B18:$Y18)+SUMIF($AD$3:$BA$3,"&gt;="&amp;$DG18,$B18:$Y18)),
IF(AM$3=$DF18+'Model Setup'!$J$7,SUMIF($AD$3:$BA$3,"="&amp;$DF18+'Model Setup'!$J$7,$B18:$Y18)+'Model Setup'!$J$8*(SUMIF($AD$3:$BA$3,"&lt;"&amp;$DF18,$B18:$Y18)+SUMIF($AD$3:$BA$3,"&gt;="&amp;$DG18,$B18:$Y18)),
IF(AM$3=$DF18+'Model Setup'!$K$7,SUMIF($AD$3:$BA$3,"="&amp;$DF18+'Model Setup'!$K$7,$B18:$Y18)+'Model Setup'!$K$8*(SUMIF($AD$3:$BA$3,"&lt;"&amp;$DF18,$B18:$Y18)+SUMIF($AD$3:$BA$3,"&gt;="&amp;$DG18,$B18:$Y18)),
IF(AM$3=$DF18+'Model Setup'!$L$7,SUMIF($AD$3:$BA$3,"="&amp;$DF18+'Model Setup'!$L$7,$B18:$Y18)+'Model Setup'!$L$8*(SUMIF($AD$3:$BA$3,"&lt;"&amp;$DF18,$B18:$Y18)+SUMIF($AD$3:$BA$3,"&gt;="&amp;$DG18,$B18:$Y18)),
IF(AM$3=$DF18+'Model Setup'!$M$7,SUMIF($AD$3:$BA$3,"="&amp;$DF18+'Model Setup'!$M$7,$B18:$Y18)+'Model Setup'!$M$8*(SUMIF($AD$3:$BA$3,"&lt;"&amp;$DF18,$B18:$Y18)+SUMIF($AD$3:$BA$3,"&gt;="&amp;$DG18,$B18:$Y18)),
IF(AM$3=$DF18+'Model Setup'!$N$7,SUMIF($AD$3:$BA$3,"="&amp;$DF18+'Model Setup'!$N$7,$B18:$Y18)+'Model Setup'!$N$8*(SUMIF($AD$3:$BA$3,"&lt;"&amp;$DF18,$B18:$Y18)+SUMIF($AD$3:$BA$3,"&gt;="&amp;$DG18,$B18:$Y18)),
IF(AM$3&lt;$DG18,K18,0))))))))))))))),0)</f>
        <v>23</v>
      </c>
      <c r="AN18" s="47">
        <f>ROUND(IF(AN$3&lt;$DF18,0,
IF(AN$3=$DF18+'Model Setup'!$B$7,SUMIF($AD$3:$BA$3,"="&amp;$DF18+'Model Setup'!$B$7,$B18:$Y18)+'Model Setup'!$B$8*(SUMIF($AD$3:$BA$3,"&lt;"&amp;$DF18,$B18:$Y18)+SUMIF($AD$3:$BA$3,"&gt;="&amp;$DG18,$B18:$Y18)),
IF(AN$3=$DF18+'Model Setup'!$C$7,SUMIF($AD$3:$BA$3,"="&amp;$DF18+'Model Setup'!$C$7,$B18:$Y18)+'Model Setup'!$C$8*(SUMIF($AD$3:$BA$3,"&lt;"&amp;$DF18,$B18:$Y18)+SUMIF($AD$3:$BA$3,"&gt;="&amp;$DG18,$B18:$Y18)),
IF(AN$3=$DF18+'Model Setup'!$D$7,SUMIF($AD$3:$BA$3,"="&amp;$DF18+'Model Setup'!$D$7,$B18:$Y18)+'Model Setup'!$D$8*(SUMIF($AD$3:$BA$3,"&lt;"&amp;$DF18,$B18:$Y18)+SUMIF($AD$3:$BA$3,"&gt;="&amp;$DG18,$B18:$Y18)),
IF(AN$3=$DF18+'Model Setup'!$E$7,SUMIF($AD$3:$BA$3,"="&amp;$DF18+'Model Setup'!$E$7,$B18:$Y18)+'Model Setup'!$E$8*(SUMIF($AD$3:$BA$3,"&lt;"&amp;$DF18,$B18:$Y18)+SUMIF($AD$3:$BA$3,"&gt;="&amp;$DG18,$B18:$Y18)),
IF(AN$3=$DF18+'Model Setup'!$F$7,SUMIF($AD$3:$BA$3,"="&amp;$DF18+'Model Setup'!$F$7,$B18:$Y18)+'Model Setup'!$F$8*(SUMIF($AD$3:$BA$3,"&lt;"&amp;$DF18,$B18:$Y18)+SUMIF($AD$3:$BA$3,"&gt;="&amp;$DG18,$B18:$Y18)),
IF(AN$3=$DF18+'Model Setup'!$G$7,SUMIF($AD$3:$BA$3,"="&amp;$DF18+'Model Setup'!$G$7,$B18:$Y18)+'Model Setup'!$G$8*(SUMIF($AD$3:$BA$3,"&lt;"&amp;$DF18,$B18:$Y18)+SUMIF($AD$3:$BA$3,"&gt;="&amp;$DG18,$B18:$Y18)),
IF(AN$3=$DF18+'Model Setup'!$H$7,SUMIF($AD$3:$BA$3,"="&amp;$DF18+'Model Setup'!$H$7,$B18:$Y18)+'Model Setup'!$H$8*(SUMIF($AD$3:$BA$3,"&lt;"&amp;$DF18,$B18:$Y18)+SUMIF($AD$3:$BA$3,"&gt;="&amp;$DG18,$B18:$Y18)),
IF(AN$3=$DF18+'Model Setup'!$I$7,SUMIF($AD$3:$BA$3,"="&amp;$DF18+'Model Setup'!$I$7,$B18:$Y18)+'Model Setup'!$I$8*(SUMIF($AD$3:$BA$3,"&lt;"&amp;$DF18,$B18:$Y18)+SUMIF($AD$3:$BA$3,"&gt;="&amp;$DG18,$B18:$Y18)),
IF(AN$3=$DF18+'Model Setup'!$J$7,SUMIF($AD$3:$BA$3,"="&amp;$DF18+'Model Setup'!$J$7,$B18:$Y18)+'Model Setup'!$J$8*(SUMIF($AD$3:$BA$3,"&lt;"&amp;$DF18,$B18:$Y18)+SUMIF($AD$3:$BA$3,"&gt;="&amp;$DG18,$B18:$Y18)),
IF(AN$3=$DF18+'Model Setup'!$K$7,SUMIF($AD$3:$BA$3,"="&amp;$DF18+'Model Setup'!$K$7,$B18:$Y18)+'Model Setup'!$K$8*(SUMIF($AD$3:$BA$3,"&lt;"&amp;$DF18,$B18:$Y18)+SUMIF($AD$3:$BA$3,"&gt;="&amp;$DG18,$B18:$Y18)),
IF(AN$3=$DF18+'Model Setup'!$L$7,SUMIF($AD$3:$BA$3,"="&amp;$DF18+'Model Setup'!$L$7,$B18:$Y18)+'Model Setup'!$L$8*(SUMIF($AD$3:$BA$3,"&lt;"&amp;$DF18,$B18:$Y18)+SUMIF($AD$3:$BA$3,"&gt;="&amp;$DG18,$B18:$Y18)),
IF(AN$3=$DF18+'Model Setup'!$M$7,SUMIF($AD$3:$BA$3,"="&amp;$DF18+'Model Setup'!$M$7,$B18:$Y18)+'Model Setup'!$M$8*(SUMIF($AD$3:$BA$3,"&lt;"&amp;$DF18,$B18:$Y18)+SUMIF($AD$3:$BA$3,"&gt;="&amp;$DG18,$B18:$Y18)),
IF(AN$3=$DF18+'Model Setup'!$N$7,SUMIF($AD$3:$BA$3,"="&amp;$DF18+'Model Setup'!$N$7,$B18:$Y18)+'Model Setup'!$N$8*(SUMIF($AD$3:$BA$3,"&lt;"&amp;$DF18,$B18:$Y18)+SUMIF($AD$3:$BA$3,"&gt;="&amp;$DG18,$B18:$Y18)),
IF(AN$3&lt;$DG18,L18,0))))))))))))))),0)</f>
        <v>22</v>
      </c>
      <c r="AO18" s="47">
        <f>ROUND(IF(AO$3&lt;$DF18,0,
IF(AO$3=$DF18+'Model Setup'!$B$7,SUMIF($AD$3:$BA$3,"="&amp;$DF18+'Model Setup'!$B$7,$B18:$Y18)+'Model Setup'!$B$8*(SUMIF($AD$3:$BA$3,"&lt;"&amp;$DF18,$B18:$Y18)+SUMIF($AD$3:$BA$3,"&gt;="&amp;$DG18,$B18:$Y18)),
IF(AO$3=$DF18+'Model Setup'!$C$7,SUMIF($AD$3:$BA$3,"="&amp;$DF18+'Model Setup'!$C$7,$B18:$Y18)+'Model Setup'!$C$8*(SUMIF($AD$3:$BA$3,"&lt;"&amp;$DF18,$B18:$Y18)+SUMIF($AD$3:$BA$3,"&gt;="&amp;$DG18,$B18:$Y18)),
IF(AO$3=$DF18+'Model Setup'!$D$7,SUMIF($AD$3:$BA$3,"="&amp;$DF18+'Model Setup'!$D$7,$B18:$Y18)+'Model Setup'!$D$8*(SUMIF($AD$3:$BA$3,"&lt;"&amp;$DF18,$B18:$Y18)+SUMIF($AD$3:$BA$3,"&gt;="&amp;$DG18,$B18:$Y18)),
IF(AO$3=$DF18+'Model Setup'!$E$7,SUMIF($AD$3:$BA$3,"="&amp;$DF18+'Model Setup'!$E$7,$B18:$Y18)+'Model Setup'!$E$8*(SUMIF($AD$3:$BA$3,"&lt;"&amp;$DF18,$B18:$Y18)+SUMIF($AD$3:$BA$3,"&gt;="&amp;$DG18,$B18:$Y18)),
IF(AO$3=$DF18+'Model Setup'!$F$7,SUMIF($AD$3:$BA$3,"="&amp;$DF18+'Model Setup'!$F$7,$B18:$Y18)+'Model Setup'!$F$8*(SUMIF($AD$3:$BA$3,"&lt;"&amp;$DF18,$B18:$Y18)+SUMIF($AD$3:$BA$3,"&gt;="&amp;$DG18,$B18:$Y18)),
IF(AO$3=$DF18+'Model Setup'!$G$7,SUMIF($AD$3:$BA$3,"="&amp;$DF18+'Model Setup'!$G$7,$B18:$Y18)+'Model Setup'!$G$8*(SUMIF($AD$3:$BA$3,"&lt;"&amp;$DF18,$B18:$Y18)+SUMIF($AD$3:$BA$3,"&gt;="&amp;$DG18,$B18:$Y18)),
IF(AO$3=$DF18+'Model Setup'!$H$7,SUMIF($AD$3:$BA$3,"="&amp;$DF18+'Model Setup'!$H$7,$B18:$Y18)+'Model Setup'!$H$8*(SUMIF($AD$3:$BA$3,"&lt;"&amp;$DF18,$B18:$Y18)+SUMIF($AD$3:$BA$3,"&gt;="&amp;$DG18,$B18:$Y18)),
IF(AO$3=$DF18+'Model Setup'!$I$7,SUMIF($AD$3:$BA$3,"="&amp;$DF18+'Model Setup'!$I$7,$B18:$Y18)+'Model Setup'!$I$8*(SUMIF($AD$3:$BA$3,"&lt;"&amp;$DF18,$B18:$Y18)+SUMIF($AD$3:$BA$3,"&gt;="&amp;$DG18,$B18:$Y18)),
IF(AO$3=$DF18+'Model Setup'!$J$7,SUMIF($AD$3:$BA$3,"="&amp;$DF18+'Model Setup'!$J$7,$B18:$Y18)+'Model Setup'!$J$8*(SUMIF($AD$3:$BA$3,"&lt;"&amp;$DF18,$B18:$Y18)+SUMIF($AD$3:$BA$3,"&gt;="&amp;$DG18,$B18:$Y18)),
IF(AO$3=$DF18+'Model Setup'!$K$7,SUMIF($AD$3:$BA$3,"="&amp;$DF18+'Model Setup'!$K$7,$B18:$Y18)+'Model Setup'!$K$8*(SUMIF($AD$3:$BA$3,"&lt;"&amp;$DF18,$B18:$Y18)+SUMIF($AD$3:$BA$3,"&gt;="&amp;$DG18,$B18:$Y18)),
IF(AO$3=$DF18+'Model Setup'!$L$7,SUMIF($AD$3:$BA$3,"="&amp;$DF18+'Model Setup'!$L$7,$B18:$Y18)+'Model Setup'!$L$8*(SUMIF($AD$3:$BA$3,"&lt;"&amp;$DF18,$B18:$Y18)+SUMIF($AD$3:$BA$3,"&gt;="&amp;$DG18,$B18:$Y18)),
IF(AO$3=$DF18+'Model Setup'!$M$7,SUMIF($AD$3:$BA$3,"="&amp;$DF18+'Model Setup'!$M$7,$B18:$Y18)+'Model Setup'!$M$8*(SUMIF($AD$3:$BA$3,"&lt;"&amp;$DF18,$B18:$Y18)+SUMIF($AD$3:$BA$3,"&gt;="&amp;$DG18,$B18:$Y18)),
IF(AO$3=$DF18+'Model Setup'!$N$7,SUMIF($AD$3:$BA$3,"="&amp;$DF18+'Model Setup'!$N$7,$B18:$Y18)+'Model Setup'!$N$8*(SUMIF($AD$3:$BA$3,"&lt;"&amp;$DF18,$B18:$Y18)+SUMIF($AD$3:$BA$3,"&gt;="&amp;$DG18,$B18:$Y18)),
IF(AO$3&lt;$DG18,M18,0))))))))))))))),0)</f>
        <v>19</v>
      </c>
      <c r="AP18" s="47">
        <f>ROUND(IF(AP$3&lt;$DF18,0,
IF(AP$3=$DF18+'Model Setup'!$B$7,SUMIF($AD$3:$BA$3,"="&amp;$DF18+'Model Setup'!$B$7,$B18:$Y18)+'Model Setup'!$B$8*(SUMIF($AD$3:$BA$3,"&lt;"&amp;$DF18,$B18:$Y18)+SUMIF($AD$3:$BA$3,"&gt;="&amp;$DG18,$B18:$Y18)),
IF(AP$3=$DF18+'Model Setup'!$C$7,SUMIF($AD$3:$BA$3,"="&amp;$DF18+'Model Setup'!$C$7,$B18:$Y18)+'Model Setup'!$C$8*(SUMIF($AD$3:$BA$3,"&lt;"&amp;$DF18,$B18:$Y18)+SUMIF($AD$3:$BA$3,"&gt;="&amp;$DG18,$B18:$Y18)),
IF(AP$3=$DF18+'Model Setup'!$D$7,SUMIF($AD$3:$BA$3,"="&amp;$DF18+'Model Setup'!$D$7,$B18:$Y18)+'Model Setup'!$D$8*(SUMIF($AD$3:$BA$3,"&lt;"&amp;$DF18,$B18:$Y18)+SUMIF($AD$3:$BA$3,"&gt;="&amp;$DG18,$B18:$Y18)),
IF(AP$3=$DF18+'Model Setup'!$E$7,SUMIF($AD$3:$BA$3,"="&amp;$DF18+'Model Setup'!$E$7,$B18:$Y18)+'Model Setup'!$E$8*(SUMIF($AD$3:$BA$3,"&lt;"&amp;$DF18,$B18:$Y18)+SUMIF($AD$3:$BA$3,"&gt;="&amp;$DG18,$B18:$Y18)),
IF(AP$3=$DF18+'Model Setup'!$F$7,SUMIF($AD$3:$BA$3,"="&amp;$DF18+'Model Setup'!$F$7,$B18:$Y18)+'Model Setup'!$F$8*(SUMIF($AD$3:$BA$3,"&lt;"&amp;$DF18,$B18:$Y18)+SUMIF($AD$3:$BA$3,"&gt;="&amp;$DG18,$B18:$Y18)),
IF(AP$3=$DF18+'Model Setup'!$G$7,SUMIF($AD$3:$BA$3,"="&amp;$DF18+'Model Setup'!$G$7,$B18:$Y18)+'Model Setup'!$G$8*(SUMIF($AD$3:$BA$3,"&lt;"&amp;$DF18,$B18:$Y18)+SUMIF($AD$3:$BA$3,"&gt;="&amp;$DG18,$B18:$Y18)),
IF(AP$3=$DF18+'Model Setup'!$H$7,SUMIF($AD$3:$BA$3,"="&amp;$DF18+'Model Setup'!$H$7,$B18:$Y18)+'Model Setup'!$H$8*(SUMIF($AD$3:$BA$3,"&lt;"&amp;$DF18,$B18:$Y18)+SUMIF($AD$3:$BA$3,"&gt;="&amp;$DG18,$B18:$Y18)),
IF(AP$3=$DF18+'Model Setup'!$I$7,SUMIF($AD$3:$BA$3,"="&amp;$DF18+'Model Setup'!$I$7,$B18:$Y18)+'Model Setup'!$I$8*(SUMIF($AD$3:$BA$3,"&lt;"&amp;$DF18,$B18:$Y18)+SUMIF($AD$3:$BA$3,"&gt;="&amp;$DG18,$B18:$Y18)),
IF(AP$3=$DF18+'Model Setup'!$J$7,SUMIF($AD$3:$BA$3,"="&amp;$DF18+'Model Setup'!$J$7,$B18:$Y18)+'Model Setup'!$J$8*(SUMIF($AD$3:$BA$3,"&lt;"&amp;$DF18,$B18:$Y18)+SUMIF($AD$3:$BA$3,"&gt;="&amp;$DG18,$B18:$Y18)),
IF(AP$3=$DF18+'Model Setup'!$K$7,SUMIF($AD$3:$BA$3,"="&amp;$DF18+'Model Setup'!$K$7,$B18:$Y18)+'Model Setup'!$K$8*(SUMIF($AD$3:$BA$3,"&lt;"&amp;$DF18,$B18:$Y18)+SUMIF($AD$3:$BA$3,"&gt;="&amp;$DG18,$B18:$Y18)),
IF(AP$3=$DF18+'Model Setup'!$L$7,SUMIF($AD$3:$BA$3,"="&amp;$DF18+'Model Setup'!$L$7,$B18:$Y18)+'Model Setup'!$L$8*(SUMIF($AD$3:$BA$3,"&lt;"&amp;$DF18,$B18:$Y18)+SUMIF($AD$3:$BA$3,"&gt;="&amp;$DG18,$B18:$Y18)),
IF(AP$3=$DF18+'Model Setup'!$M$7,SUMIF($AD$3:$BA$3,"="&amp;$DF18+'Model Setup'!$M$7,$B18:$Y18)+'Model Setup'!$M$8*(SUMIF($AD$3:$BA$3,"&lt;"&amp;$DF18,$B18:$Y18)+SUMIF($AD$3:$BA$3,"&gt;="&amp;$DG18,$B18:$Y18)),
IF(AP$3=$DF18+'Model Setup'!$N$7,SUMIF($AD$3:$BA$3,"="&amp;$DF18+'Model Setup'!$N$7,$B18:$Y18)+'Model Setup'!$N$8*(SUMIF($AD$3:$BA$3,"&lt;"&amp;$DF18,$B18:$Y18)+SUMIF($AD$3:$BA$3,"&gt;="&amp;$DG18,$B18:$Y18)),
IF(AP$3&lt;$DG18,N18,0))))))))))))))),0)</f>
        <v>14</v>
      </c>
      <c r="AQ18" s="47">
        <f>ROUND(IF(AQ$3&lt;$DF18,0,
IF(AQ$3=$DF18+'Model Setup'!$B$7,SUMIF($AD$3:$BA$3,"="&amp;$DF18+'Model Setup'!$B$7,$B18:$Y18)+'Model Setup'!$B$8*(SUMIF($AD$3:$BA$3,"&lt;"&amp;$DF18,$B18:$Y18)+SUMIF($AD$3:$BA$3,"&gt;="&amp;$DG18,$B18:$Y18)),
IF(AQ$3=$DF18+'Model Setup'!$C$7,SUMIF($AD$3:$BA$3,"="&amp;$DF18+'Model Setup'!$C$7,$B18:$Y18)+'Model Setup'!$C$8*(SUMIF($AD$3:$BA$3,"&lt;"&amp;$DF18,$B18:$Y18)+SUMIF($AD$3:$BA$3,"&gt;="&amp;$DG18,$B18:$Y18)),
IF(AQ$3=$DF18+'Model Setup'!$D$7,SUMIF($AD$3:$BA$3,"="&amp;$DF18+'Model Setup'!$D$7,$B18:$Y18)+'Model Setup'!$D$8*(SUMIF($AD$3:$BA$3,"&lt;"&amp;$DF18,$B18:$Y18)+SUMIF($AD$3:$BA$3,"&gt;="&amp;$DG18,$B18:$Y18)),
IF(AQ$3=$DF18+'Model Setup'!$E$7,SUMIF($AD$3:$BA$3,"="&amp;$DF18+'Model Setup'!$E$7,$B18:$Y18)+'Model Setup'!$E$8*(SUMIF($AD$3:$BA$3,"&lt;"&amp;$DF18,$B18:$Y18)+SUMIF($AD$3:$BA$3,"&gt;="&amp;$DG18,$B18:$Y18)),
IF(AQ$3=$DF18+'Model Setup'!$F$7,SUMIF($AD$3:$BA$3,"="&amp;$DF18+'Model Setup'!$F$7,$B18:$Y18)+'Model Setup'!$F$8*(SUMIF($AD$3:$BA$3,"&lt;"&amp;$DF18,$B18:$Y18)+SUMIF($AD$3:$BA$3,"&gt;="&amp;$DG18,$B18:$Y18)),
IF(AQ$3=$DF18+'Model Setup'!$G$7,SUMIF($AD$3:$BA$3,"="&amp;$DF18+'Model Setup'!$G$7,$B18:$Y18)+'Model Setup'!$G$8*(SUMIF($AD$3:$BA$3,"&lt;"&amp;$DF18,$B18:$Y18)+SUMIF($AD$3:$BA$3,"&gt;="&amp;$DG18,$B18:$Y18)),
IF(AQ$3=$DF18+'Model Setup'!$H$7,SUMIF($AD$3:$BA$3,"="&amp;$DF18+'Model Setup'!$H$7,$B18:$Y18)+'Model Setup'!$H$8*(SUMIF($AD$3:$BA$3,"&lt;"&amp;$DF18,$B18:$Y18)+SUMIF($AD$3:$BA$3,"&gt;="&amp;$DG18,$B18:$Y18)),
IF(AQ$3=$DF18+'Model Setup'!$I$7,SUMIF($AD$3:$BA$3,"="&amp;$DF18+'Model Setup'!$I$7,$B18:$Y18)+'Model Setup'!$I$8*(SUMIF($AD$3:$BA$3,"&lt;"&amp;$DF18,$B18:$Y18)+SUMIF($AD$3:$BA$3,"&gt;="&amp;$DG18,$B18:$Y18)),
IF(AQ$3=$DF18+'Model Setup'!$J$7,SUMIF($AD$3:$BA$3,"="&amp;$DF18+'Model Setup'!$J$7,$B18:$Y18)+'Model Setup'!$J$8*(SUMIF($AD$3:$BA$3,"&lt;"&amp;$DF18,$B18:$Y18)+SUMIF($AD$3:$BA$3,"&gt;="&amp;$DG18,$B18:$Y18)),
IF(AQ$3=$DF18+'Model Setup'!$K$7,SUMIF($AD$3:$BA$3,"="&amp;$DF18+'Model Setup'!$K$7,$B18:$Y18)+'Model Setup'!$K$8*(SUMIF($AD$3:$BA$3,"&lt;"&amp;$DF18,$B18:$Y18)+SUMIF($AD$3:$BA$3,"&gt;="&amp;$DG18,$B18:$Y18)),
IF(AQ$3=$DF18+'Model Setup'!$L$7,SUMIF($AD$3:$BA$3,"="&amp;$DF18+'Model Setup'!$L$7,$B18:$Y18)+'Model Setup'!$L$8*(SUMIF($AD$3:$BA$3,"&lt;"&amp;$DF18,$B18:$Y18)+SUMIF($AD$3:$BA$3,"&gt;="&amp;$DG18,$B18:$Y18)),
IF(AQ$3=$DF18+'Model Setup'!$M$7,SUMIF($AD$3:$BA$3,"="&amp;$DF18+'Model Setup'!$M$7,$B18:$Y18)+'Model Setup'!$M$8*(SUMIF($AD$3:$BA$3,"&lt;"&amp;$DF18,$B18:$Y18)+SUMIF($AD$3:$BA$3,"&gt;="&amp;$DG18,$B18:$Y18)),
IF(AQ$3=$DF18+'Model Setup'!$N$7,SUMIF($AD$3:$BA$3,"="&amp;$DF18+'Model Setup'!$N$7,$B18:$Y18)+'Model Setup'!$N$8*(SUMIF($AD$3:$BA$3,"&lt;"&amp;$DF18,$B18:$Y18)+SUMIF($AD$3:$BA$3,"&gt;="&amp;$DG18,$B18:$Y18)),
IF(AQ$3&lt;$DG18,O18,0))))))))))))))),0)</f>
        <v>14</v>
      </c>
      <c r="AR18" s="47">
        <f>ROUND(IF(AR$3&lt;$DF18,0,
IF(AR$3=$DF18+'Model Setup'!$B$7,SUMIF($AD$3:$BA$3,"="&amp;$DF18+'Model Setup'!$B$7,$B18:$Y18)+'Model Setup'!$B$8*(SUMIF($AD$3:$BA$3,"&lt;"&amp;$DF18,$B18:$Y18)+SUMIF($AD$3:$BA$3,"&gt;="&amp;$DG18,$B18:$Y18)),
IF(AR$3=$DF18+'Model Setup'!$C$7,SUMIF($AD$3:$BA$3,"="&amp;$DF18+'Model Setup'!$C$7,$B18:$Y18)+'Model Setup'!$C$8*(SUMIF($AD$3:$BA$3,"&lt;"&amp;$DF18,$B18:$Y18)+SUMIF($AD$3:$BA$3,"&gt;="&amp;$DG18,$B18:$Y18)),
IF(AR$3=$DF18+'Model Setup'!$D$7,SUMIF($AD$3:$BA$3,"="&amp;$DF18+'Model Setup'!$D$7,$B18:$Y18)+'Model Setup'!$D$8*(SUMIF($AD$3:$BA$3,"&lt;"&amp;$DF18,$B18:$Y18)+SUMIF($AD$3:$BA$3,"&gt;="&amp;$DG18,$B18:$Y18)),
IF(AR$3=$DF18+'Model Setup'!$E$7,SUMIF($AD$3:$BA$3,"="&amp;$DF18+'Model Setup'!$E$7,$B18:$Y18)+'Model Setup'!$E$8*(SUMIF($AD$3:$BA$3,"&lt;"&amp;$DF18,$B18:$Y18)+SUMIF($AD$3:$BA$3,"&gt;="&amp;$DG18,$B18:$Y18)),
IF(AR$3=$DF18+'Model Setup'!$F$7,SUMIF($AD$3:$BA$3,"="&amp;$DF18+'Model Setup'!$F$7,$B18:$Y18)+'Model Setup'!$F$8*(SUMIF($AD$3:$BA$3,"&lt;"&amp;$DF18,$B18:$Y18)+SUMIF($AD$3:$BA$3,"&gt;="&amp;$DG18,$B18:$Y18)),
IF(AR$3=$DF18+'Model Setup'!$G$7,SUMIF($AD$3:$BA$3,"="&amp;$DF18+'Model Setup'!$G$7,$B18:$Y18)+'Model Setup'!$G$8*(SUMIF($AD$3:$BA$3,"&lt;"&amp;$DF18,$B18:$Y18)+SUMIF($AD$3:$BA$3,"&gt;="&amp;$DG18,$B18:$Y18)),
IF(AR$3=$DF18+'Model Setup'!$H$7,SUMIF($AD$3:$BA$3,"="&amp;$DF18+'Model Setup'!$H$7,$B18:$Y18)+'Model Setup'!$H$8*(SUMIF($AD$3:$BA$3,"&lt;"&amp;$DF18,$B18:$Y18)+SUMIF($AD$3:$BA$3,"&gt;="&amp;$DG18,$B18:$Y18)),
IF(AR$3=$DF18+'Model Setup'!$I$7,SUMIF($AD$3:$BA$3,"="&amp;$DF18+'Model Setup'!$I$7,$B18:$Y18)+'Model Setup'!$I$8*(SUMIF($AD$3:$BA$3,"&lt;"&amp;$DF18,$B18:$Y18)+SUMIF($AD$3:$BA$3,"&gt;="&amp;$DG18,$B18:$Y18)),
IF(AR$3=$DF18+'Model Setup'!$J$7,SUMIF($AD$3:$BA$3,"="&amp;$DF18+'Model Setup'!$J$7,$B18:$Y18)+'Model Setup'!$J$8*(SUMIF($AD$3:$BA$3,"&lt;"&amp;$DF18,$B18:$Y18)+SUMIF($AD$3:$BA$3,"&gt;="&amp;$DG18,$B18:$Y18)),
IF(AR$3=$DF18+'Model Setup'!$K$7,SUMIF($AD$3:$BA$3,"="&amp;$DF18+'Model Setup'!$K$7,$B18:$Y18)+'Model Setup'!$K$8*(SUMIF($AD$3:$BA$3,"&lt;"&amp;$DF18,$B18:$Y18)+SUMIF($AD$3:$BA$3,"&gt;="&amp;$DG18,$B18:$Y18)),
IF(AR$3=$DF18+'Model Setup'!$L$7,SUMIF($AD$3:$BA$3,"="&amp;$DF18+'Model Setup'!$L$7,$B18:$Y18)+'Model Setup'!$L$8*(SUMIF($AD$3:$BA$3,"&lt;"&amp;$DF18,$B18:$Y18)+SUMIF($AD$3:$BA$3,"&gt;="&amp;$DG18,$B18:$Y18)),
IF(AR$3=$DF18+'Model Setup'!$M$7,SUMIF($AD$3:$BA$3,"="&amp;$DF18+'Model Setup'!$M$7,$B18:$Y18)+'Model Setup'!$M$8*(SUMIF($AD$3:$BA$3,"&lt;"&amp;$DF18,$B18:$Y18)+SUMIF($AD$3:$BA$3,"&gt;="&amp;$DG18,$B18:$Y18)),
IF(AR$3=$DF18+'Model Setup'!$N$7,SUMIF($AD$3:$BA$3,"="&amp;$DF18+'Model Setup'!$N$7,$B18:$Y18)+'Model Setup'!$N$8*(SUMIF($AD$3:$BA$3,"&lt;"&amp;$DF18,$B18:$Y18)+SUMIF($AD$3:$BA$3,"&gt;="&amp;$DG18,$B18:$Y18)),
IF(AR$3&lt;$DG18,P18,0))))))))))))))),0)</f>
        <v>12</v>
      </c>
      <c r="AS18" s="47">
        <f>ROUND(IF(AS$3&lt;$DF18,0,
IF(AS$3=$DF18+'Model Setup'!$B$7,SUMIF($AD$3:$BA$3,"="&amp;$DF18+'Model Setup'!$B$7,$B18:$Y18)+'Model Setup'!$B$8*(SUMIF($AD$3:$BA$3,"&lt;"&amp;$DF18,$B18:$Y18)+SUMIF($AD$3:$BA$3,"&gt;="&amp;$DG18,$B18:$Y18)),
IF(AS$3=$DF18+'Model Setup'!$C$7,SUMIF($AD$3:$BA$3,"="&amp;$DF18+'Model Setup'!$C$7,$B18:$Y18)+'Model Setup'!$C$8*(SUMIF($AD$3:$BA$3,"&lt;"&amp;$DF18,$B18:$Y18)+SUMIF($AD$3:$BA$3,"&gt;="&amp;$DG18,$B18:$Y18)),
IF(AS$3=$DF18+'Model Setup'!$D$7,SUMIF($AD$3:$BA$3,"="&amp;$DF18+'Model Setup'!$D$7,$B18:$Y18)+'Model Setup'!$D$8*(SUMIF($AD$3:$BA$3,"&lt;"&amp;$DF18,$B18:$Y18)+SUMIF($AD$3:$BA$3,"&gt;="&amp;$DG18,$B18:$Y18)),
IF(AS$3=$DF18+'Model Setup'!$E$7,SUMIF($AD$3:$BA$3,"="&amp;$DF18+'Model Setup'!$E$7,$B18:$Y18)+'Model Setup'!$E$8*(SUMIF($AD$3:$BA$3,"&lt;"&amp;$DF18,$B18:$Y18)+SUMIF($AD$3:$BA$3,"&gt;="&amp;$DG18,$B18:$Y18)),
IF(AS$3=$DF18+'Model Setup'!$F$7,SUMIF($AD$3:$BA$3,"="&amp;$DF18+'Model Setup'!$F$7,$B18:$Y18)+'Model Setup'!$F$8*(SUMIF($AD$3:$BA$3,"&lt;"&amp;$DF18,$B18:$Y18)+SUMIF($AD$3:$BA$3,"&gt;="&amp;$DG18,$B18:$Y18)),
IF(AS$3=$DF18+'Model Setup'!$G$7,SUMIF($AD$3:$BA$3,"="&amp;$DF18+'Model Setup'!$G$7,$B18:$Y18)+'Model Setup'!$G$8*(SUMIF($AD$3:$BA$3,"&lt;"&amp;$DF18,$B18:$Y18)+SUMIF($AD$3:$BA$3,"&gt;="&amp;$DG18,$B18:$Y18)),
IF(AS$3=$DF18+'Model Setup'!$H$7,SUMIF($AD$3:$BA$3,"="&amp;$DF18+'Model Setup'!$H$7,$B18:$Y18)+'Model Setup'!$H$8*(SUMIF($AD$3:$BA$3,"&lt;"&amp;$DF18,$B18:$Y18)+SUMIF($AD$3:$BA$3,"&gt;="&amp;$DG18,$B18:$Y18)),
IF(AS$3=$DF18+'Model Setup'!$I$7,SUMIF($AD$3:$BA$3,"="&amp;$DF18+'Model Setup'!$I$7,$B18:$Y18)+'Model Setup'!$I$8*(SUMIF($AD$3:$BA$3,"&lt;"&amp;$DF18,$B18:$Y18)+SUMIF($AD$3:$BA$3,"&gt;="&amp;$DG18,$B18:$Y18)),
IF(AS$3=$DF18+'Model Setup'!$J$7,SUMIF($AD$3:$BA$3,"="&amp;$DF18+'Model Setup'!$J$7,$B18:$Y18)+'Model Setup'!$J$8*(SUMIF($AD$3:$BA$3,"&lt;"&amp;$DF18,$B18:$Y18)+SUMIF($AD$3:$BA$3,"&gt;="&amp;$DG18,$B18:$Y18)),
IF(AS$3=$DF18+'Model Setup'!$K$7,SUMIF($AD$3:$BA$3,"="&amp;$DF18+'Model Setup'!$K$7,$B18:$Y18)+'Model Setup'!$K$8*(SUMIF($AD$3:$BA$3,"&lt;"&amp;$DF18,$B18:$Y18)+SUMIF($AD$3:$BA$3,"&gt;="&amp;$DG18,$B18:$Y18)),
IF(AS$3=$DF18+'Model Setup'!$L$7,SUMIF($AD$3:$BA$3,"="&amp;$DF18+'Model Setup'!$L$7,$B18:$Y18)+'Model Setup'!$L$8*(SUMIF($AD$3:$BA$3,"&lt;"&amp;$DF18,$B18:$Y18)+SUMIF($AD$3:$BA$3,"&gt;="&amp;$DG18,$B18:$Y18)),
IF(AS$3=$DF18+'Model Setup'!$M$7,SUMIF($AD$3:$BA$3,"="&amp;$DF18+'Model Setup'!$M$7,$B18:$Y18)+'Model Setup'!$M$8*(SUMIF($AD$3:$BA$3,"&lt;"&amp;$DF18,$B18:$Y18)+SUMIF($AD$3:$BA$3,"&gt;="&amp;$DG18,$B18:$Y18)),
IF(AS$3=$DF18+'Model Setup'!$N$7,SUMIF($AD$3:$BA$3,"="&amp;$DF18+'Model Setup'!$N$7,$B18:$Y18)+'Model Setup'!$N$8*(SUMIF($AD$3:$BA$3,"&lt;"&amp;$DF18,$B18:$Y18)+SUMIF($AD$3:$BA$3,"&gt;="&amp;$DG18,$B18:$Y18)),
IF(AS$3&lt;$DG18,Q18,0))))))))))))))),0)</f>
        <v>9</v>
      </c>
      <c r="AT18" s="47">
        <f>ROUND(IF(AT$3&lt;$DF18,0,
IF(AT$3=$DF18+'Model Setup'!$B$7,SUMIF($AD$3:$BA$3,"="&amp;$DF18+'Model Setup'!$B$7,$B18:$Y18)+'Model Setup'!$B$8*(SUMIF($AD$3:$BA$3,"&lt;"&amp;$DF18,$B18:$Y18)+SUMIF($AD$3:$BA$3,"&gt;="&amp;$DG18,$B18:$Y18)),
IF(AT$3=$DF18+'Model Setup'!$C$7,SUMIF($AD$3:$BA$3,"="&amp;$DF18+'Model Setup'!$C$7,$B18:$Y18)+'Model Setup'!$C$8*(SUMIF($AD$3:$BA$3,"&lt;"&amp;$DF18,$B18:$Y18)+SUMIF($AD$3:$BA$3,"&gt;="&amp;$DG18,$B18:$Y18)),
IF(AT$3=$DF18+'Model Setup'!$D$7,SUMIF($AD$3:$BA$3,"="&amp;$DF18+'Model Setup'!$D$7,$B18:$Y18)+'Model Setup'!$D$8*(SUMIF($AD$3:$BA$3,"&lt;"&amp;$DF18,$B18:$Y18)+SUMIF($AD$3:$BA$3,"&gt;="&amp;$DG18,$B18:$Y18)),
IF(AT$3=$DF18+'Model Setup'!$E$7,SUMIF($AD$3:$BA$3,"="&amp;$DF18+'Model Setup'!$E$7,$B18:$Y18)+'Model Setup'!$E$8*(SUMIF($AD$3:$BA$3,"&lt;"&amp;$DF18,$B18:$Y18)+SUMIF($AD$3:$BA$3,"&gt;="&amp;$DG18,$B18:$Y18)),
IF(AT$3=$DF18+'Model Setup'!$F$7,SUMIF($AD$3:$BA$3,"="&amp;$DF18+'Model Setup'!$F$7,$B18:$Y18)+'Model Setup'!$F$8*(SUMIF($AD$3:$BA$3,"&lt;"&amp;$DF18,$B18:$Y18)+SUMIF($AD$3:$BA$3,"&gt;="&amp;$DG18,$B18:$Y18)),
IF(AT$3=$DF18+'Model Setup'!$G$7,SUMIF($AD$3:$BA$3,"="&amp;$DF18+'Model Setup'!$G$7,$B18:$Y18)+'Model Setup'!$G$8*(SUMIF($AD$3:$BA$3,"&lt;"&amp;$DF18,$B18:$Y18)+SUMIF($AD$3:$BA$3,"&gt;="&amp;$DG18,$B18:$Y18)),
IF(AT$3=$DF18+'Model Setup'!$H$7,SUMIF($AD$3:$BA$3,"="&amp;$DF18+'Model Setup'!$H$7,$B18:$Y18)+'Model Setup'!$H$8*(SUMIF($AD$3:$BA$3,"&lt;"&amp;$DF18,$B18:$Y18)+SUMIF($AD$3:$BA$3,"&gt;="&amp;$DG18,$B18:$Y18)),
IF(AT$3=$DF18+'Model Setup'!$I$7,SUMIF($AD$3:$BA$3,"="&amp;$DF18+'Model Setup'!$I$7,$B18:$Y18)+'Model Setup'!$I$8*(SUMIF($AD$3:$BA$3,"&lt;"&amp;$DF18,$B18:$Y18)+SUMIF($AD$3:$BA$3,"&gt;="&amp;$DG18,$B18:$Y18)),
IF(AT$3=$DF18+'Model Setup'!$J$7,SUMIF($AD$3:$BA$3,"="&amp;$DF18+'Model Setup'!$J$7,$B18:$Y18)+'Model Setup'!$J$8*(SUMIF($AD$3:$BA$3,"&lt;"&amp;$DF18,$B18:$Y18)+SUMIF($AD$3:$BA$3,"&gt;="&amp;$DG18,$B18:$Y18)),
IF(AT$3=$DF18+'Model Setup'!$K$7,SUMIF($AD$3:$BA$3,"="&amp;$DF18+'Model Setup'!$K$7,$B18:$Y18)+'Model Setup'!$K$8*(SUMIF($AD$3:$BA$3,"&lt;"&amp;$DF18,$B18:$Y18)+SUMIF($AD$3:$BA$3,"&gt;="&amp;$DG18,$B18:$Y18)),
IF(AT$3=$DF18+'Model Setup'!$L$7,SUMIF($AD$3:$BA$3,"="&amp;$DF18+'Model Setup'!$L$7,$B18:$Y18)+'Model Setup'!$L$8*(SUMIF($AD$3:$BA$3,"&lt;"&amp;$DF18,$B18:$Y18)+SUMIF($AD$3:$BA$3,"&gt;="&amp;$DG18,$B18:$Y18)),
IF(AT$3=$DF18+'Model Setup'!$M$7,SUMIF($AD$3:$BA$3,"="&amp;$DF18+'Model Setup'!$M$7,$B18:$Y18)+'Model Setup'!$M$8*(SUMIF($AD$3:$BA$3,"&lt;"&amp;$DF18,$B18:$Y18)+SUMIF($AD$3:$BA$3,"&gt;="&amp;$DG18,$B18:$Y18)),
IF(AT$3=$DF18+'Model Setup'!$N$7,SUMIF($AD$3:$BA$3,"="&amp;$DF18+'Model Setup'!$N$7,$B18:$Y18)+'Model Setup'!$N$8*(SUMIF($AD$3:$BA$3,"&lt;"&amp;$DF18,$B18:$Y18)+SUMIF($AD$3:$BA$3,"&gt;="&amp;$DG18,$B18:$Y18)),
IF(AT$3&lt;$DG18,R18,0))))))))))))))),0)</f>
        <v>9</v>
      </c>
      <c r="AU18" s="47">
        <f>ROUND(IF(AU$3&lt;$DF18,0,
IF(AU$3=$DF18+'Model Setup'!$B$7,SUMIF($AD$3:$BA$3,"="&amp;$DF18+'Model Setup'!$B$7,$B18:$Y18)+'Model Setup'!$B$8*(SUMIF($AD$3:$BA$3,"&lt;"&amp;$DF18,$B18:$Y18)+SUMIF($AD$3:$BA$3,"&gt;="&amp;$DG18,$B18:$Y18)),
IF(AU$3=$DF18+'Model Setup'!$C$7,SUMIF($AD$3:$BA$3,"="&amp;$DF18+'Model Setup'!$C$7,$B18:$Y18)+'Model Setup'!$C$8*(SUMIF($AD$3:$BA$3,"&lt;"&amp;$DF18,$B18:$Y18)+SUMIF($AD$3:$BA$3,"&gt;="&amp;$DG18,$B18:$Y18)),
IF(AU$3=$DF18+'Model Setup'!$D$7,SUMIF($AD$3:$BA$3,"="&amp;$DF18+'Model Setup'!$D$7,$B18:$Y18)+'Model Setup'!$D$8*(SUMIF($AD$3:$BA$3,"&lt;"&amp;$DF18,$B18:$Y18)+SUMIF($AD$3:$BA$3,"&gt;="&amp;$DG18,$B18:$Y18)),
IF(AU$3=$DF18+'Model Setup'!$E$7,SUMIF($AD$3:$BA$3,"="&amp;$DF18+'Model Setup'!$E$7,$B18:$Y18)+'Model Setup'!$E$8*(SUMIF($AD$3:$BA$3,"&lt;"&amp;$DF18,$B18:$Y18)+SUMIF($AD$3:$BA$3,"&gt;="&amp;$DG18,$B18:$Y18)),
IF(AU$3=$DF18+'Model Setup'!$F$7,SUMIF($AD$3:$BA$3,"="&amp;$DF18+'Model Setup'!$F$7,$B18:$Y18)+'Model Setup'!$F$8*(SUMIF($AD$3:$BA$3,"&lt;"&amp;$DF18,$B18:$Y18)+SUMIF($AD$3:$BA$3,"&gt;="&amp;$DG18,$B18:$Y18)),
IF(AU$3=$DF18+'Model Setup'!$G$7,SUMIF($AD$3:$BA$3,"="&amp;$DF18+'Model Setup'!$G$7,$B18:$Y18)+'Model Setup'!$G$8*(SUMIF($AD$3:$BA$3,"&lt;"&amp;$DF18,$B18:$Y18)+SUMIF($AD$3:$BA$3,"&gt;="&amp;$DG18,$B18:$Y18)),
IF(AU$3=$DF18+'Model Setup'!$H$7,SUMIF($AD$3:$BA$3,"="&amp;$DF18+'Model Setup'!$H$7,$B18:$Y18)+'Model Setup'!$H$8*(SUMIF($AD$3:$BA$3,"&lt;"&amp;$DF18,$B18:$Y18)+SUMIF($AD$3:$BA$3,"&gt;="&amp;$DG18,$B18:$Y18)),
IF(AU$3=$DF18+'Model Setup'!$I$7,SUMIF($AD$3:$BA$3,"="&amp;$DF18+'Model Setup'!$I$7,$B18:$Y18)+'Model Setup'!$I$8*(SUMIF($AD$3:$BA$3,"&lt;"&amp;$DF18,$B18:$Y18)+SUMIF($AD$3:$BA$3,"&gt;="&amp;$DG18,$B18:$Y18)),
IF(AU$3=$DF18+'Model Setup'!$J$7,SUMIF($AD$3:$BA$3,"="&amp;$DF18+'Model Setup'!$J$7,$B18:$Y18)+'Model Setup'!$J$8*(SUMIF($AD$3:$BA$3,"&lt;"&amp;$DF18,$B18:$Y18)+SUMIF($AD$3:$BA$3,"&gt;="&amp;$DG18,$B18:$Y18)),
IF(AU$3=$DF18+'Model Setup'!$K$7,SUMIF($AD$3:$BA$3,"="&amp;$DF18+'Model Setup'!$K$7,$B18:$Y18)+'Model Setup'!$K$8*(SUMIF($AD$3:$BA$3,"&lt;"&amp;$DF18,$B18:$Y18)+SUMIF($AD$3:$BA$3,"&gt;="&amp;$DG18,$B18:$Y18)),
IF(AU$3=$DF18+'Model Setup'!$L$7,SUMIF($AD$3:$BA$3,"="&amp;$DF18+'Model Setup'!$L$7,$B18:$Y18)+'Model Setup'!$L$8*(SUMIF($AD$3:$BA$3,"&lt;"&amp;$DF18,$B18:$Y18)+SUMIF($AD$3:$BA$3,"&gt;="&amp;$DG18,$B18:$Y18)),
IF(AU$3=$DF18+'Model Setup'!$M$7,SUMIF($AD$3:$BA$3,"="&amp;$DF18+'Model Setup'!$M$7,$B18:$Y18)+'Model Setup'!$M$8*(SUMIF($AD$3:$BA$3,"&lt;"&amp;$DF18,$B18:$Y18)+SUMIF($AD$3:$BA$3,"&gt;="&amp;$DG18,$B18:$Y18)),
IF(AU$3=$DF18+'Model Setup'!$N$7,SUMIF($AD$3:$BA$3,"="&amp;$DF18+'Model Setup'!$N$7,$B18:$Y18)+'Model Setup'!$N$8*(SUMIF($AD$3:$BA$3,"&lt;"&amp;$DF18,$B18:$Y18)+SUMIF($AD$3:$BA$3,"&gt;="&amp;$DG18,$B18:$Y18)),
IF(AU$3&lt;$DG18,S18,0))))))))))))))),0)</f>
        <v>10</v>
      </c>
      <c r="AV18" s="47">
        <f>ROUND(IF(AV$3&lt;$DF18,0,
IF(AV$3=$DF18+'Model Setup'!$B$7,SUMIF($AD$3:$BA$3,"="&amp;$DF18+'Model Setup'!$B$7,$B18:$Y18)+'Model Setup'!$B$8*(SUMIF($AD$3:$BA$3,"&lt;"&amp;$DF18,$B18:$Y18)+SUMIF($AD$3:$BA$3,"&gt;="&amp;$DG18,$B18:$Y18)),
IF(AV$3=$DF18+'Model Setup'!$C$7,SUMIF($AD$3:$BA$3,"="&amp;$DF18+'Model Setup'!$C$7,$B18:$Y18)+'Model Setup'!$C$8*(SUMIF($AD$3:$BA$3,"&lt;"&amp;$DF18,$B18:$Y18)+SUMIF($AD$3:$BA$3,"&gt;="&amp;$DG18,$B18:$Y18)),
IF(AV$3=$DF18+'Model Setup'!$D$7,SUMIF($AD$3:$BA$3,"="&amp;$DF18+'Model Setup'!$D$7,$B18:$Y18)+'Model Setup'!$D$8*(SUMIF($AD$3:$BA$3,"&lt;"&amp;$DF18,$B18:$Y18)+SUMIF($AD$3:$BA$3,"&gt;="&amp;$DG18,$B18:$Y18)),
IF(AV$3=$DF18+'Model Setup'!$E$7,SUMIF($AD$3:$BA$3,"="&amp;$DF18+'Model Setup'!$E$7,$B18:$Y18)+'Model Setup'!$E$8*(SUMIF($AD$3:$BA$3,"&lt;"&amp;$DF18,$B18:$Y18)+SUMIF($AD$3:$BA$3,"&gt;="&amp;$DG18,$B18:$Y18)),
IF(AV$3=$DF18+'Model Setup'!$F$7,SUMIF($AD$3:$BA$3,"="&amp;$DF18+'Model Setup'!$F$7,$B18:$Y18)+'Model Setup'!$F$8*(SUMIF($AD$3:$BA$3,"&lt;"&amp;$DF18,$B18:$Y18)+SUMIF($AD$3:$BA$3,"&gt;="&amp;$DG18,$B18:$Y18)),
IF(AV$3=$DF18+'Model Setup'!$G$7,SUMIF($AD$3:$BA$3,"="&amp;$DF18+'Model Setup'!$G$7,$B18:$Y18)+'Model Setup'!$G$8*(SUMIF($AD$3:$BA$3,"&lt;"&amp;$DF18,$B18:$Y18)+SUMIF($AD$3:$BA$3,"&gt;="&amp;$DG18,$B18:$Y18)),
IF(AV$3=$DF18+'Model Setup'!$H$7,SUMIF($AD$3:$BA$3,"="&amp;$DF18+'Model Setup'!$H$7,$B18:$Y18)+'Model Setup'!$H$8*(SUMIF($AD$3:$BA$3,"&lt;"&amp;$DF18,$B18:$Y18)+SUMIF($AD$3:$BA$3,"&gt;="&amp;$DG18,$B18:$Y18)),
IF(AV$3=$DF18+'Model Setup'!$I$7,SUMIF($AD$3:$BA$3,"="&amp;$DF18+'Model Setup'!$I$7,$B18:$Y18)+'Model Setup'!$I$8*(SUMIF($AD$3:$BA$3,"&lt;"&amp;$DF18,$B18:$Y18)+SUMIF($AD$3:$BA$3,"&gt;="&amp;$DG18,$B18:$Y18)),
IF(AV$3=$DF18+'Model Setup'!$J$7,SUMIF($AD$3:$BA$3,"="&amp;$DF18+'Model Setup'!$J$7,$B18:$Y18)+'Model Setup'!$J$8*(SUMIF($AD$3:$BA$3,"&lt;"&amp;$DF18,$B18:$Y18)+SUMIF($AD$3:$BA$3,"&gt;="&amp;$DG18,$B18:$Y18)),
IF(AV$3=$DF18+'Model Setup'!$K$7,SUMIF($AD$3:$BA$3,"="&amp;$DF18+'Model Setup'!$K$7,$B18:$Y18)+'Model Setup'!$K$8*(SUMIF($AD$3:$BA$3,"&lt;"&amp;$DF18,$B18:$Y18)+SUMIF($AD$3:$BA$3,"&gt;="&amp;$DG18,$B18:$Y18)),
IF(AV$3=$DF18+'Model Setup'!$L$7,SUMIF($AD$3:$BA$3,"="&amp;$DF18+'Model Setup'!$L$7,$B18:$Y18)+'Model Setup'!$L$8*(SUMIF($AD$3:$BA$3,"&lt;"&amp;$DF18,$B18:$Y18)+SUMIF($AD$3:$BA$3,"&gt;="&amp;$DG18,$B18:$Y18)),
IF(AV$3=$DF18+'Model Setup'!$M$7,SUMIF($AD$3:$BA$3,"="&amp;$DF18+'Model Setup'!$M$7,$B18:$Y18)+'Model Setup'!$M$8*(SUMIF($AD$3:$BA$3,"&lt;"&amp;$DF18,$B18:$Y18)+SUMIF($AD$3:$BA$3,"&gt;="&amp;$DG18,$B18:$Y18)),
IF(AV$3=$DF18+'Model Setup'!$N$7,SUMIF($AD$3:$BA$3,"="&amp;$DF18+'Model Setup'!$N$7,$B18:$Y18)+'Model Setup'!$N$8*(SUMIF($AD$3:$BA$3,"&lt;"&amp;$DF18,$B18:$Y18)+SUMIF($AD$3:$BA$3,"&gt;="&amp;$DG18,$B18:$Y18)),
IF(AV$3&lt;$DG18,T18,0))))))))))))))),0)</f>
        <v>9</v>
      </c>
      <c r="AW18" s="47">
        <f>ROUND(IF(AW$3&lt;$DF18,0,
IF(AW$3=$DF18+'Model Setup'!$B$7,SUMIF($AD$3:$BA$3,"="&amp;$DF18+'Model Setup'!$B$7,$B18:$Y18)+'Model Setup'!$B$8*(SUMIF($AD$3:$BA$3,"&lt;"&amp;$DF18,$B18:$Y18)+SUMIF($AD$3:$BA$3,"&gt;="&amp;$DG18,$B18:$Y18)),
IF(AW$3=$DF18+'Model Setup'!$C$7,SUMIF($AD$3:$BA$3,"="&amp;$DF18+'Model Setup'!$C$7,$B18:$Y18)+'Model Setup'!$C$8*(SUMIF($AD$3:$BA$3,"&lt;"&amp;$DF18,$B18:$Y18)+SUMIF($AD$3:$BA$3,"&gt;="&amp;$DG18,$B18:$Y18)),
IF(AW$3=$DF18+'Model Setup'!$D$7,SUMIF($AD$3:$BA$3,"="&amp;$DF18+'Model Setup'!$D$7,$B18:$Y18)+'Model Setup'!$D$8*(SUMIF($AD$3:$BA$3,"&lt;"&amp;$DF18,$B18:$Y18)+SUMIF($AD$3:$BA$3,"&gt;="&amp;$DG18,$B18:$Y18)),
IF(AW$3=$DF18+'Model Setup'!$E$7,SUMIF($AD$3:$BA$3,"="&amp;$DF18+'Model Setup'!$E$7,$B18:$Y18)+'Model Setup'!$E$8*(SUMIF($AD$3:$BA$3,"&lt;"&amp;$DF18,$B18:$Y18)+SUMIF($AD$3:$BA$3,"&gt;="&amp;$DG18,$B18:$Y18)),
IF(AW$3=$DF18+'Model Setup'!$F$7,SUMIF($AD$3:$BA$3,"="&amp;$DF18+'Model Setup'!$F$7,$B18:$Y18)+'Model Setup'!$F$8*(SUMIF($AD$3:$BA$3,"&lt;"&amp;$DF18,$B18:$Y18)+SUMIF($AD$3:$BA$3,"&gt;="&amp;$DG18,$B18:$Y18)),
IF(AW$3=$DF18+'Model Setup'!$G$7,SUMIF($AD$3:$BA$3,"="&amp;$DF18+'Model Setup'!$G$7,$B18:$Y18)+'Model Setup'!$G$8*(SUMIF($AD$3:$BA$3,"&lt;"&amp;$DF18,$B18:$Y18)+SUMIF($AD$3:$BA$3,"&gt;="&amp;$DG18,$B18:$Y18)),
IF(AW$3=$DF18+'Model Setup'!$H$7,SUMIF($AD$3:$BA$3,"="&amp;$DF18+'Model Setup'!$H$7,$B18:$Y18)+'Model Setup'!$H$8*(SUMIF($AD$3:$BA$3,"&lt;"&amp;$DF18,$B18:$Y18)+SUMIF($AD$3:$BA$3,"&gt;="&amp;$DG18,$B18:$Y18)),
IF(AW$3=$DF18+'Model Setup'!$I$7,SUMIF($AD$3:$BA$3,"="&amp;$DF18+'Model Setup'!$I$7,$B18:$Y18)+'Model Setup'!$I$8*(SUMIF($AD$3:$BA$3,"&lt;"&amp;$DF18,$B18:$Y18)+SUMIF($AD$3:$BA$3,"&gt;="&amp;$DG18,$B18:$Y18)),
IF(AW$3=$DF18+'Model Setup'!$J$7,SUMIF($AD$3:$BA$3,"="&amp;$DF18+'Model Setup'!$J$7,$B18:$Y18)+'Model Setup'!$J$8*(SUMIF($AD$3:$BA$3,"&lt;"&amp;$DF18,$B18:$Y18)+SUMIF($AD$3:$BA$3,"&gt;="&amp;$DG18,$B18:$Y18)),
IF(AW$3=$DF18+'Model Setup'!$K$7,SUMIF($AD$3:$BA$3,"="&amp;$DF18+'Model Setup'!$K$7,$B18:$Y18)+'Model Setup'!$K$8*(SUMIF($AD$3:$BA$3,"&lt;"&amp;$DF18,$B18:$Y18)+SUMIF($AD$3:$BA$3,"&gt;="&amp;$DG18,$B18:$Y18)),
IF(AW$3=$DF18+'Model Setup'!$L$7,SUMIF($AD$3:$BA$3,"="&amp;$DF18+'Model Setup'!$L$7,$B18:$Y18)+'Model Setup'!$L$8*(SUMIF($AD$3:$BA$3,"&lt;"&amp;$DF18,$B18:$Y18)+SUMIF($AD$3:$BA$3,"&gt;="&amp;$DG18,$B18:$Y18)),
IF(AW$3=$DF18+'Model Setup'!$M$7,SUMIF($AD$3:$BA$3,"="&amp;$DF18+'Model Setup'!$M$7,$B18:$Y18)+'Model Setup'!$M$8*(SUMIF($AD$3:$BA$3,"&lt;"&amp;$DF18,$B18:$Y18)+SUMIF($AD$3:$BA$3,"&gt;="&amp;$DG18,$B18:$Y18)),
IF(AW$3=$DF18+'Model Setup'!$N$7,SUMIF($AD$3:$BA$3,"="&amp;$DF18+'Model Setup'!$N$7,$B18:$Y18)+'Model Setup'!$N$8*(SUMIF($AD$3:$BA$3,"&lt;"&amp;$DF18,$B18:$Y18)+SUMIF($AD$3:$BA$3,"&gt;="&amp;$DG18,$B18:$Y18)),
IF(AW$3&lt;$DG18,U18,0))))))))))))))),0)</f>
        <v>7</v>
      </c>
      <c r="AX18" s="47">
        <f>ROUND(IF(AX$3&lt;$DF18,0,
IF(AX$3=$DF18+'Model Setup'!$B$7,SUMIF($AD$3:$BA$3,"="&amp;$DF18+'Model Setup'!$B$7,$B18:$Y18)+'Model Setup'!$B$8*(SUMIF($AD$3:$BA$3,"&lt;"&amp;$DF18,$B18:$Y18)+SUMIF($AD$3:$BA$3,"&gt;="&amp;$DG18,$B18:$Y18)),
IF(AX$3=$DF18+'Model Setup'!$C$7,SUMIF($AD$3:$BA$3,"="&amp;$DF18+'Model Setup'!$C$7,$B18:$Y18)+'Model Setup'!$C$8*(SUMIF($AD$3:$BA$3,"&lt;"&amp;$DF18,$B18:$Y18)+SUMIF($AD$3:$BA$3,"&gt;="&amp;$DG18,$B18:$Y18)),
IF(AX$3=$DF18+'Model Setup'!$D$7,SUMIF($AD$3:$BA$3,"="&amp;$DF18+'Model Setup'!$D$7,$B18:$Y18)+'Model Setup'!$D$8*(SUMIF($AD$3:$BA$3,"&lt;"&amp;$DF18,$B18:$Y18)+SUMIF($AD$3:$BA$3,"&gt;="&amp;$DG18,$B18:$Y18)),
IF(AX$3=$DF18+'Model Setup'!$E$7,SUMIF($AD$3:$BA$3,"="&amp;$DF18+'Model Setup'!$E$7,$B18:$Y18)+'Model Setup'!$E$8*(SUMIF($AD$3:$BA$3,"&lt;"&amp;$DF18,$B18:$Y18)+SUMIF($AD$3:$BA$3,"&gt;="&amp;$DG18,$B18:$Y18)),
IF(AX$3=$DF18+'Model Setup'!$F$7,SUMIF($AD$3:$BA$3,"="&amp;$DF18+'Model Setup'!$F$7,$B18:$Y18)+'Model Setup'!$F$8*(SUMIF($AD$3:$BA$3,"&lt;"&amp;$DF18,$B18:$Y18)+SUMIF($AD$3:$BA$3,"&gt;="&amp;$DG18,$B18:$Y18)),
IF(AX$3=$DF18+'Model Setup'!$G$7,SUMIF($AD$3:$BA$3,"="&amp;$DF18+'Model Setup'!$G$7,$B18:$Y18)+'Model Setup'!$G$8*(SUMIF($AD$3:$BA$3,"&lt;"&amp;$DF18,$B18:$Y18)+SUMIF($AD$3:$BA$3,"&gt;="&amp;$DG18,$B18:$Y18)),
IF(AX$3=$DF18+'Model Setup'!$H$7,SUMIF($AD$3:$BA$3,"="&amp;$DF18+'Model Setup'!$H$7,$B18:$Y18)+'Model Setup'!$H$8*(SUMIF($AD$3:$BA$3,"&lt;"&amp;$DF18,$B18:$Y18)+SUMIF($AD$3:$BA$3,"&gt;="&amp;$DG18,$B18:$Y18)),
IF(AX$3=$DF18+'Model Setup'!$I$7,SUMIF($AD$3:$BA$3,"="&amp;$DF18+'Model Setup'!$I$7,$B18:$Y18)+'Model Setup'!$I$8*(SUMIF($AD$3:$BA$3,"&lt;"&amp;$DF18,$B18:$Y18)+SUMIF($AD$3:$BA$3,"&gt;="&amp;$DG18,$B18:$Y18)),
IF(AX$3=$DF18+'Model Setup'!$J$7,SUMIF($AD$3:$BA$3,"="&amp;$DF18+'Model Setup'!$J$7,$B18:$Y18)+'Model Setup'!$J$8*(SUMIF($AD$3:$BA$3,"&lt;"&amp;$DF18,$B18:$Y18)+SUMIF($AD$3:$BA$3,"&gt;="&amp;$DG18,$B18:$Y18)),
IF(AX$3=$DF18+'Model Setup'!$K$7,SUMIF($AD$3:$BA$3,"="&amp;$DF18+'Model Setup'!$K$7,$B18:$Y18)+'Model Setup'!$K$8*(SUMIF($AD$3:$BA$3,"&lt;"&amp;$DF18,$B18:$Y18)+SUMIF($AD$3:$BA$3,"&gt;="&amp;$DG18,$B18:$Y18)),
IF(AX$3=$DF18+'Model Setup'!$L$7,SUMIF($AD$3:$BA$3,"="&amp;$DF18+'Model Setup'!$L$7,$B18:$Y18)+'Model Setup'!$L$8*(SUMIF($AD$3:$BA$3,"&lt;"&amp;$DF18,$B18:$Y18)+SUMIF($AD$3:$BA$3,"&gt;="&amp;$DG18,$B18:$Y18)),
IF(AX$3=$DF18+'Model Setup'!$M$7,SUMIF($AD$3:$BA$3,"="&amp;$DF18+'Model Setup'!$M$7,$B18:$Y18)+'Model Setup'!$M$8*(SUMIF($AD$3:$BA$3,"&lt;"&amp;$DF18,$B18:$Y18)+SUMIF($AD$3:$BA$3,"&gt;="&amp;$DG18,$B18:$Y18)),
IF(AX$3=$DF18+'Model Setup'!$N$7,SUMIF($AD$3:$BA$3,"="&amp;$DF18+'Model Setup'!$N$7,$B18:$Y18)+'Model Setup'!$N$8*(SUMIF($AD$3:$BA$3,"&lt;"&amp;$DF18,$B18:$Y18)+SUMIF($AD$3:$BA$3,"&gt;="&amp;$DG18,$B18:$Y18)),
IF(AX$3&lt;$DG18,V18,0))))))))))))))),0)</f>
        <v>0</v>
      </c>
      <c r="AY18" s="47">
        <f>ROUND(IF(AY$3&lt;$DF18,0,
IF(AY$3=$DF18+'Model Setup'!$B$7,SUMIF($AD$3:$BA$3,"="&amp;$DF18+'Model Setup'!$B$7,$B18:$Y18)+'Model Setup'!$B$8*(SUMIF($AD$3:$BA$3,"&lt;"&amp;$DF18,$B18:$Y18)+SUMIF($AD$3:$BA$3,"&gt;="&amp;$DG18,$B18:$Y18)),
IF(AY$3=$DF18+'Model Setup'!$C$7,SUMIF($AD$3:$BA$3,"="&amp;$DF18+'Model Setup'!$C$7,$B18:$Y18)+'Model Setup'!$C$8*(SUMIF($AD$3:$BA$3,"&lt;"&amp;$DF18,$B18:$Y18)+SUMIF($AD$3:$BA$3,"&gt;="&amp;$DG18,$B18:$Y18)),
IF(AY$3=$DF18+'Model Setup'!$D$7,SUMIF($AD$3:$BA$3,"="&amp;$DF18+'Model Setup'!$D$7,$B18:$Y18)+'Model Setup'!$D$8*(SUMIF($AD$3:$BA$3,"&lt;"&amp;$DF18,$B18:$Y18)+SUMIF($AD$3:$BA$3,"&gt;="&amp;$DG18,$B18:$Y18)),
IF(AY$3=$DF18+'Model Setup'!$E$7,SUMIF($AD$3:$BA$3,"="&amp;$DF18+'Model Setup'!$E$7,$B18:$Y18)+'Model Setup'!$E$8*(SUMIF($AD$3:$BA$3,"&lt;"&amp;$DF18,$B18:$Y18)+SUMIF($AD$3:$BA$3,"&gt;="&amp;$DG18,$B18:$Y18)),
IF(AY$3=$DF18+'Model Setup'!$F$7,SUMIF($AD$3:$BA$3,"="&amp;$DF18+'Model Setup'!$F$7,$B18:$Y18)+'Model Setup'!$F$8*(SUMIF($AD$3:$BA$3,"&lt;"&amp;$DF18,$B18:$Y18)+SUMIF($AD$3:$BA$3,"&gt;="&amp;$DG18,$B18:$Y18)),
IF(AY$3=$DF18+'Model Setup'!$G$7,SUMIF($AD$3:$BA$3,"="&amp;$DF18+'Model Setup'!$G$7,$B18:$Y18)+'Model Setup'!$G$8*(SUMIF($AD$3:$BA$3,"&lt;"&amp;$DF18,$B18:$Y18)+SUMIF($AD$3:$BA$3,"&gt;="&amp;$DG18,$B18:$Y18)),
IF(AY$3=$DF18+'Model Setup'!$H$7,SUMIF($AD$3:$BA$3,"="&amp;$DF18+'Model Setup'!$H$7,$B18:$Y18)+'Model Setup'!$H$8*(SUMIF($AD$3:$BA$3,"&lt;"&amp;$DF18,$B18:$Y18)+SUMIF($AD$3:$BA$3,"&gt;="&amp;$DG18,$B18:$Y18)),
IF(AY$3=$DF18+'Model Setup'!$I$7,SUMIF($AD$3:$BA$3,"="&amp;$DF18+'Model Setup'!$I$7,$B18:$Y18)+'Model Setup'!$I$8*(SUMIF($AD$3:$BA$3,"&lt;"&amp;$DF18,$B18:$Y18)+SUMIF($AD$3:$BA$3,"&gt;="&amp;$DG18,$B18:$Y18)),
IF(AY$3=$DF18+'Model Setup'!$J$7,SUMIF($AD$3:$BA$3,"="&amp;$DF18+'Model Setup'!$J$7,$B18:$Y18)+'Model Setup'!$J$8*(SUMIF($AD$3:$BA$3,"&lt;"&amp;$DF18,$B18:$Y18)+SUMIF($AD$3:$BA$3,"&gt;="&amp;$DG18,$B18:$Y18)),
IF(AY$3=$DF18+'Model Setup'!$K$7,SUMIF($AD$3:$BA$3,"="&amp;$DF18+'Model Setup'!$K$7,$B18:$Y18)+'Model Setup'!$K$8*(SUMIF($AD$3:$BA$3,"&lt;"&amp;$DF18,$B18:$Y18)+SUMIF($AD$3:$BA$3,"&gt;="&amp;$DG18,$B18:$Y18)),
IF(AY$3=$DF18+'Model Setup'!$L$7,SUMIF($AD$3:$BA$3,"="&amp;$DF18+'Model Setup'!$L$7,$B18:$Y18)+'Model Setup'!$L$8*(SUMIF($AD$3:$BA$3,"&lt;"&amp;$DF18,$B18:$Y18)+SUMIF($AD$3:$BA$3,"&gt;="&amp;$DG18,$B18:$Y18)),
IF(AY$3=$DF18+'Model Setup'!$M$7,SUMIF($AD$3:$BA$3,"="&amp;$DF18+'Model Setup'!$M$7,$B18:$Y18)+'Model Setup'!$M$8*(SUMIF($AD$3:$BA$3,"&lt;"&amp;$DF18,$B18:$Y18)+SUMIF($AD$3:$BA$3,"&gt;="&amp;$DG18,$B18:$Y18)),
IF(AY$3=$DF18+'Model Setup'!$N$7,SUMIF($AD$3:$BA$3,"="&amp;$DF18+'Model Setup'!$N$7,$B18:$Y18)+'Model Setup'!$N$8*(SUMIF($AD$3:$BA$3,"&lt;"&amp;$DF18,$B18:$Y18)+SUMIF($AD$3:$BA$3,"&gt;="&amp;$DG18,$B18:$Y18)),
IF(AY$3&lt;$DG18,W18,0))))))))))))))),0)</f>
        <v>0</v>
      </c>
      <c r="AZ18" s="47">
        <f>ROUND(IF(AZ$3&lt;$DF18,0,
IF(AZ$3=$DF18+'Model Setup'!$B$7,SUMIF($AD$3:$BA$3,"="&amp;$DF18+'Model Setup'!$B$7,$B18:$Y18)+'Model Setup'!$B$8*(SUMIF($AD$3:$BA$3,"&lt;"&amp;$DF18,$B18:$Y18)+SUMIF($AD$3:$BA$3,"&gt;="&amp;$DG18,$B18:$Y18)),
IF(AZ$3=$DF18+'Model Setup'!$C$7,SUMIF($AD$3:$BA$3,"="&amp;$DF18+'Model Setup'!$C$7,$B18:$Y18)+'Model Setup'!$C$8*(SUMIF($AD$3:$BA$3,"&lt;"&amp;$DF18,$B18:$Y18)+SUMIF($AD$3:$BA$3,"&gt;="&amp;$DG18,$B18:$Y18)),
IF(AZ$3=$DF18+'Model Setup'!$D$7,SUMIF($AD$3:$BA$3,"="&amp;$DF18+'Model Setup'!$D$7,$B18:$Y18)+'Model Setup'!$D$8*(SUMIF($AD$3:$BA$3,"&lt;"&amp;$DF18,$B18:$Y18)+SUMIF($AD$3:$BA$3,"&gt;="&amp;$DG18,$B18:$Y18)),
IF(AZ$3=$DF18+'Model Setup'!$E$7,SUMIF($AD$3:$BA$3,"="&amp;$DF18+'Model Setup'!$E$7,$B18:$Y18)+'Model Setup'!$E$8*(SUMIF($AD$3:$BA$3,"&lt;"&amp;$DF18,$B18:$Y18)+SUMIF($AD$3:$BA$3,"&gt;="&amp;$DG18,$B18:$Y18)),
IF(AZ$3=$DF18+'Model Setup'!$F$7,SUMIF($AD$3:$BA$3,"="&amp;$DF18+'Model Setup'!$F$7,$B18:$Y18)+'Model Setup'!$F$8*(SUMIF($AD$3:$BA$3,"&lt;"&amp;$DF18,$B18:$Y18)+SUMIF($AD$3:$BA$3,"&gt;="&amp;$DG18,$B18:$Y18)),
IF(AZ$3=$DF18+'Model Setup'!$G$7,SUMIF($AD$3:$BA$3,"="&amp;$DF18+'Model Setup'!$G$7,$B18:$Y18)+'Model Setup'!$G$8*(SUMIF($AD$3:$BA$3,"&lt;"&amp;$DF18,$B18:$Y18)+SUMIF($AD$3:$BA$3,"&gt;="&amp;$DG18,$B18:$Y18)),
IF(AZ$3=$DF18+'Model Setup'!$H$7,SUMIF($AD$3:$BA$3,"="&amp;$DF18+'Model Setup'!$H$7,$B18:$Y18)+'Model Setup'!$H$8*(SUMIF($AD$3:$BA$3,"&lt;"&amp;$DF18,$B18:$Y18)+SUMIF($AD$3:$BA$3,"&gt;="&amp;$DG18,$B18:$Y18)),
IF(AZ$3=$DF18+'Model Setup'!$I$7,SUMIF($AD$3:$BA$3,"="&amp;$DF18+'Model Setup'!$I$7,$B18:$Y18)+'Model Setup'!$I$8*(SUMIF($AD$3:$BA$3,"&lt;"&amp;$DF18,$B18:$Y18)+SUMIF($AD$3:$BA$3,"&gt;="&amp;$DG18,$B18:$Y18)),
IF(AZ$3=$DF18+'Model Setup'!$J$7,SUMIF($AD$3:$BA$3,"="&amp;$DF18+'Model Setup'!$J$7,$B18:$Y18)+'Model Setup'!$J$8*(SUMIF($AD$3:$BA$3,"&lt;"&amp;$DF18,$B18:$Y18)+SUMIF($AD$3:$BA$3,"&gt;="&amp;$DG18,$B18:$Y18)),
IF(AZ$3=$DF18+'Model Setup'!$K$7,SUMIF($AD$3:$BA$3,"="&amp;$DF18+'Model Setup'!$K$7,$B18:$Y18)+'Model Setup'!$K$8*(SUMIF($AD$3:$BA$3,"&lt;"&amp;$DF18,$B18:$Y18)+SUMIF($AD$3:$BA$3,"&gt;="&amp;$DG18,$B18:$Y18)),
IF(AZ$3=$DF18+'Model Setup'!$L$7,SUMIF($AD$3:$BA$3,"="&amp;$DF18+'Model Setup'!$L$7,$B18:$Y18)+'Model Setup'!$L$8*(SUMIF($AD$3:$BA$3,"&lt;"&amp;$DF18,$B18:$Y18)+SUMIF($AD$3:$BA$3,"&gt;="&amp;$DG18,$B18:$Y18)),
IF(AZ$3=$DF18+'Model Setup'!$M$7,SUMIF($AD$3:$BA$3,"="&amp;$DF18+'Model Setup'!$M$7,$B18:$Y18)+'Model Setup'!$M$8*(SUMIF($AD$3:$BA$3,"&lt;"&amp;$DF18,$B18:$Y18)+SUMIF($AD$3:$BA$3,"&gt;="&amp;$DG18,$B18:$Y18)),
IF(AZ$3=$DF18+'Model Setup'!$N$7,SUMIF($AD$3:$BA$3,"="&amp;$DF18+'Model Setup'!$N$7,$B18:$Y18)+'Model Setup'!$N$8*(SUMIF($AD$3:$BA$3,"&lt;"&amp;$DF18,$B18:$Y18)+SUMIF($AD$3:$BA$3,"&gt;="&amp;$DG18,$B18:$Y18)),
IF(AZ$3&lt;$DG18,X18,0))))))))))))))),0)</f>
        <v>0</v>
      </c>
      <c r="BA18" s="47">
        <f>ROUND(IF(BA$3&lt;$DF18,0,
IF(BA$3=$DF18+'Model Setup'!$B$7,SUMIF($AD$3:$BA$3,"="&amp;$DF18+'Model Setup'!$B$7,$B18:$Y18)+'Model Setup'!$B$8*(SUMIF($AD$3:$BA$3,"&lt;"&amp;$DF18,$B18:$Y18)+SUMIF($AD$3:$BA$3,"&gt;="&amp;$DG18,$B18:$Y18)),
IF(BA$3=$DF18+'Model Setup'!$C$7,SUMIF($AD$3:$BA$3,"="&amp;$DF18+'Model Setup'!$C$7,$B18:$Y18)+'Model Setup'!$C$8*(SUMIF($AD$3:$BA$3,"&lt;"&amp;$DF18,$B18:$Y18)+SUMIF($AD$3:$BA$3,"&gt;="&amp;$DG18,$B18:$Y18)),
IF(BA$3=$DF18+'Model Setup'!$D$7,SUMIF($AD$3:$BA$3,"="&amp;$DF18+'Model Setup'!$D$7,$B18:$Y18)+'Model Setup'!$D$8*(SUMIF($AD$3:$BA$3,"&lt;"&amp;$DF18,$B18:$Y18)+SUMIF($AD$3:$BA$3,"&gt;="&amp;$DG18,$B18:$Y18)),
IF(BA$3=$DF18+'Model Setup'!$E$7,SUMIF($AD$3:$BA$3,"="&amp;$DF18+'Model Setup'!$E$7,$B18:$Y18)+'Model Setup'!$E$8*(SUMIF($AD$3:$BA$3,"&lt;"&amp;$DF18,$B18:$Y18)+SUMIF($AD$3:$BA$3,"&gt;="&amp;$DG18,$B18:$Y18)),
IF(BA$3=$DF18+'Model Setup'!$F$7,SUMIF($AD$3:$BA$3,"="&amp;$DF18+'Model Setup'!$F$7,$B18:$Y18)+'Model Setup'!$F$8*(SUMIF($AD$3:$BA$3,"&lt;"&amp;$DF18,$B18:$Y18)+SUMIF($AD$3:$BA$3,"&gt;="&amp;$DG18,$B18:$Y18)),
IF(BA$3=$DF18+'Model Setup'!$G$7,SUMIF($AD$3:$BA$3,"="&amp;$DF18+'Model Setup'!$G$7,$B18:$Y18)+'Model Setup'!$G$8*(SUMIF($AD$3:$BA$3,"&lt;"&amp;$DF18,$B18:$Y18)+SUMIF($AD$3:$BA$3,"&gt;="&amp;$DG18,$B18:$Y18)),
IF(BA$3=$DF18+'Model Setup'!$H$7,SUMIF($AD$3:$BA$3,"="&amp;$DF18+'Model Setup'!$H$7,$B18:$Y18)+'Model Setup'!$H$8*(SUMIF($AD$3:$BA$3,"&lt;"&amp;$DF18,$B18:$Y18)+SUMIF($AD$3:$BA$3,"&gt;="&amp;$DG18,$B18:$Y18)),
IF(BA$3=$DF18+'Model Setup'!$I$7,SUMIF($AD$3:$BA$3,"="&amp;$DF18+'Model Setup'!$I$7,$B18:$Y18)+'Model Setup'!$I$8*(SUMIF($AD$3:$BA$3,"&lt;"&amp;$DF18,$B18:$Y18)+SUMIF($AD$3:$BA$3,"&gt;="&amp;$DG18,$B18:$Y18)),
IF(BA$3=$DF18+'Model Setup'!$J$7,SUMIF($AD$3:$BA$3,"="&amp;$DF18+'Model Setup'!$J$7,$B18:$Y18)+'Model Setup'!$J$8*(SUMIF($AD$3:$BA$3,"&lt;"&amp;$DF18,$B18:$Y18)+SUMIF($AD$3:$BA$3,"&gt;="&amp;$DG18,$B18:$Y18)),
IF(BA$3=$DF18+'Model Setup'!$K$7,SUMIF($AD$3:$BA$3,"="&amp;$DF18+'Model Setup'!$K$7,$B18:$Y18)+'Model Setup'!$K$8*(SUMIF($AD$3:$BA$3,"&lt;"&amp;$DF18,$B18:$Y18)+SUMIF($AD$3:$BA$3,"&gt;="&amp;$DG18,$B18:$Y18)),
IF(BA$3=$DF18+'Model Setup'!$L$7,SUMIF($AD$3:$BA$3,"="&amp;$DF18+'Model Setup'!$L$7,$B18:$Y18)+'Model Setup'!$L$8*(SUMIF($AD$3:$BA$3,"&lt;"&amp;$DF18,$B18:$Y18)+SUMIF($AD$3:$BA$3,"&gt;="&amp;$DG18,$B18:$Y18)),
IF(BA$3=$DF18+'Model Setup'!$M$7,SUMIF($AD$3:$BA$3,"="&amp;$DF18+'Model Setup'!$M$7,$B18:$Y18)+'Model Setup'!$M$8*(SUMIF($AD$3:$BA$3,"&lt;"&amp;$DF18,$B18:$Y18)+SUMIF($AD$3:$BA$3,"&gt;="&amp;$DG18,$B18:$Y18)),
IF(BA$3=$DF18+'Model Setup'!$N$7,SUMIF($AD$3:$BA$3,"="&amp;$DF18+'Model Setup'!$N$7,$B18:$Y18)+'Model Setup'!$N$8*(SUMIF($AD$3:$BA$3,"&lt;"&amp;$DF18,$B18:$Y18)+SUMIF($AD$3:$BA$3,"&gt;="&amp;$DG18,$B18:$Y18)),
IF(BA$3&lt;$DG18,Y18,0))))))))))))))),0)</f>
        <v>0</v>
      </c>
      <c r="BB18" s="47">
        <f t="shared" si="1"/>
        <v>193</v>
      </c>
      <c r="BD18" t="b">
        <f t="shared" si="2"/>
        <v>1</v>
      </c>
      <c r="BE18">
        <f t="shared" si="8"/>
        <v>0</v>
      </c>
      <c r="BF18">
        <f>(FTC!F16-FTC!E16)*24</f>
        <v>13.000000000000002</v>
      </c>
      <c r="BG18" s="43" t="s">
        <v>33</v>
      </c>
      <c r="BH18" s="47">
        <f>ROUND(IF(OR(BH$3&lt;$DF18,BH$3&gt;$CW$4),0,
IF(BH$3=$DF18+'Model Setup'!$B$7,SUMIF($BH$3:$CE$3,"="&amp;$DF18+'Model Setup'!$B$7,$AD18:$BA18)+'Model Setup'!$B$8*(SUMIF($BH$3:$CE$3,"&lt;"&amp;$DF18,$AD18:$BA18)+SUMIF($BH$3:$CE$3,"&gt;"&amp;$CW$4,$AD18:$BA18)),
IF(BH$3=$DF18+'Model Setup'!$C$7,SUMIF($BH$3:$CE$3,"="&amp;$DF18+'Model Setup'!$C$7,$AD18:$BA18)+'Model Setup'!$C$8*(SUMIF($BH$3:$CE$3,"&lt;"&amp;$DF18,$AD18:$BA18)+SUMIF($BH$3:$CE$3,"&gt;"&amp;$CW$4,$AD18:$BA18)),
IF(BH$3=$DF18+'Model Setup'!$D$7,SUMIF($BH$3:$CE$3,"="&amp;$DF18+'Model Setup'!$D$7,$AD18:$BA18)+'Model Setup'!$D$8*(SUMIF($BH$3:$CE$3,"&lt;"&amp;$DF18,$AD18:$BA18)+SUMIF($BH$3:$CE$3,"&gt;"&amp;$CW$4,$AD18:$BA18)),
IF(BH$3=$DF18+'Model Setup'!$E$7,SUMIF($BH$3:$CE$3,"="&amp;$DF18+'Model Setup'!$E$7,$AD18:$BA18)+'Model Setup'!$E$8*(SUMIF($BH$3:$CE$3,"&lt;"&amp;$DF18,$AD18:$BA18)+SUMIF($BH$3:$CE$3,"&gt;"&amp;$CW$4,$AD18:$BA18)),
IF(BH$3=$DF18+'Model Setup'!$F$7,SUMIF($BH$3:$CE$3,"="&amp;$DF18+'Model Setup'!$F$7,$AD18:$BA18)+'Model Setup'!$F$8*(SUMIF($BH$3:$CE$3,"&lt;"&amp;$DF18,$AD18:$BA18)+SUMIF($BH$3:$CE$3,"&gt;"&amp;$CW$4,$AD18:$BA18)),
IF(BH$3=$DF18+'Model Setup'!$G$7,SUMIF($BH$3:$CE$3,"="&amp;$DF18+'Model Setup'!$G$7,$AD18:$BA18)+'Model Setup'!$G$8*(SUMIF($BH$3:$CE$3,"&lt;"&amp;$DF18,$AD18:$BA18)+SUMIF($BH$3:$CE$3,"&gt;"&amp;$CW$4,$AD18:$BA18)),
IF(BH$3=$DF18+'Model Setup'!$H$7,SUMIF($BH$3:$CE$3,"="&amp;$DF18+'Model Setup'!$H$7,$AD18:$BA18)+'Model Setup'!$H$8*(SUMIF($BH$3:$CE$3,"&lt;"&amp;$DF18,$AD18:$BA18)+SUMIF($BH$3:$CE$3,"&gt;"&amp;$CW$4,$AD18:$BA18)),
IF(BH$3=$DF18+'Model Setup'!$I$7,SUMIF($BH$3:$CE$3,"="&amp;$DF18+'Model Setup'!$I$7,$AD18:$BA18)+'Model Setup'!$I$8*(SUMIF($BH$3:$CE$3,"&lt;"&amp;$DF18,$AD18:$BA18)+SUMIF($BH$3:$CE$3,"&gt;"&amp;$CW$4,$AD18:$BA18)),
IF(BH$3=$DF18+'Model Setup'!$J$7,SUMIF($BH$3:$CE$3,"="&amp;$DF18+'Model Setup'!$J$7,$AD18:$BA18)+'Model Setup'!$J$8*(SUMIF($BH$3:$CE$3,"&lt;"&amp;$DF18,$AD18:$BA18)+SUMIF($BH$3:$CE$3,"&gt;"&amp;$CW$4,$AD18:$BA18)),
IF(BH$3=$DF18+'Model Setup'!$K$7,SUMIF($BH$3:$CE$3,"="&amp;$DF18+'Model Setup'!$K$7,$AD18:$BA18)+'Model Setup'!$K$8*(SUMIF($BH$3:$CE$3,"&lt;"&amp;$DF18,$AD18:$BA18)+SUMIF($BH$3:$CE$3,"&gt;"&amp;$CW$4,$AD18:$BA18)),
IF(BH$3=$DF18+'Model Setup'!$L$7,SUMIF($BH$3:$CE$3,"="&amp;$DF18+'Model Setup'!$L$7,$AD18:$BA18)+'Model Setup'!$L$8*(SUMIF($BH$3:$CE$3,"&lt;"&amp;$DF18,$AD18:$BA18)+SUMIF($BH$3:$CE$3,"&gt;"&amp;$CW$4,$AD18:$BA18)),
IF(BH$3=$DF18+'Model Setup'!$M$7,SUMIF($BH$3:$CE$3,"="&amp;$DF18+'Model Setup'!$M$7,$AD18:$BA18)+'Model Setup'!$M$8*(SUMIF($BH$3:$CE$3,"&lt;"&amp;$DF18,$AD18:$BA18)+SUMIF($BH$3:$CE$3,"&gt;"&amp;$CW$4,$AD18:$BA18)),
IF(BH$3=$DF18+'Model Setup'!$N$7,SUMIF($BH$3:$CE$3,"="&amp;$DF18+'Model Setup'!$N$7,$AD18:$BA18)+'Model Setup'!$N$8*(SUMIF($BH$3:$CE$3,"&lt;"&amp;$DF18,$AD18:$BA18)+SUMIF($BH$3:$CE$3,"&gt;"&amp;$CW$4,$AD18:$BA18)),
IF(BH$3&lt;$CW$4,B18,0))))))))))))))),0)</f>
        <v>0</v>
      </c>
      <c r="BI18" s="47">
        <f>ROUND(IF(OR(BI$3&lt;$DF18,BI$3&gt;$CW$4),0,
IF(BI$3=$DF18+'Model Setup'!$B$7,SUMIF($BH$3:$CE$3,"="&amp;$DF18+'Model Setup'!$B$7,$AD18:$BA18)+'Model Setup'!$B$8*(SUMIF($BH$3:$CE$3,"&lt;"&amp;$DF18,$AD18:$BA18)+SUMIF($BH$3:$CE$3,"&gt;"&amp;$CW$4,$AD18:$BA18)),
IF(BI$3=$DF18+'Model Setup'!$C$7,SUMIF($BH$3:$CE$3,"="&amp;$DF18+'Model Setup'!$C$7,$AD18:$BA18)+'Model Setup'!$C$8*(SUMIF($BH$3:$CE$3,"&lt;"&amp;$DF18,$AD18:$BA18)+SUMIF($BH$3:$CE$3,"&gt;"&amp;$CW$4,$AD18:$BA18)),
IF(BI$3=$DF18+'Model Setup'!$D$7,SUMIF($BH$3:$CE$3,"="&amp;$DF18+'Model Setup'!$D$7,$AD18:$BA18)+'Model Setup'!$D$8*(SUMIF($BH$3:$CE$3,"&lt;"&amp;$DF18,$AD18:$BA18)+SUMIF($BH$3:$CE$3,"&gt;"&amp;$CW$4,$AD18:$BA18)),
IF(BI$3=$DF18+'Model Setup'!$E$7,SUMIF($BH$3:$CE$3,"="&amp;$DF18+'Model Setup'!$E$7,$AD18:$BA18)+'Model Setup'!$E$8*(SUMIF($BH$3:$CE$3,"&lt;"&amp;$DF18,$AD18:$BA18)+SUMIF($BH$3:$CE$3,"&gt;"&amp;$CW$4,$AD18:$BA18)),
IF(BI$3=$DF18+'Model Setup'!$F$7,SUMIF($BH$3:$CE$3,"="&amp;$DF18+'Model Setup'!$F$7,$AD18:$BA18)+'Model Setup'!$F$8*(SUMIF($BH$3:$CE$3,"&lt;"&amp;$DF18,$AD18:$BA18)+SUMIF($BH$3:$CE$3,"&gt;"&amp;$CW$4,$AD18:$BA18)),
IF(BI$3=$DF18+'Model Setup'!$G$7,SUMIF($BH$3:$CE$3,"="&amp;$DF18+'Model Setup'!$G$7,$AD18:$BA18)+'Model Setup'!$G$8*(SUMIF($BH$3:$CE$3,"&lt;"&amp;$DF18,$AD18:$BA18)+SUMIF($BH$3:$CE$3,"&gt;"&amp;$CW$4,$AD18:$BA18)),
IF(BI$3=$DF18+'Model Setup'!$H$7,SUMIF($BH$3:$CE$3,"="&amp;$DF18+'Model Setup'!$H$7,$AD18:$BA18)+'Model Setup'!$H$8*(SUMIF($BH$3:$CE$3,"&lt;"&amp;$DF18,$AD18:$BA18)+SUMIF($BH$3:$CE$3,"&gt;"&amp;$CW$4,$AD18:$BA18)),
IF(BI$3=$DF18+'Model Setup'!$I$7,SUMIF($BH$3:$CE$3,"="&amp;$DF18+'Model Setup'!$I$7,$AD18:$BA18)+'Model Setup'!$I$8*(SUMIF($BH$3:$CE$3,"&lt;"&amp;$DF18,$AD18:$BA18)+SUMIF($BH$3:$CE$3,"&gt;"&amp;$CW$4,$AD18:$BA18)),
IF(BI$3=$DF18+'Model Setup'!$J$7,SUMIF($BH$3:$CE$3,"="&amp;$DF18+'Model Setup'!$J$7,$AD18:$BA18)+'Model Setup'!$J$8*(SUMIF($BH$3:$CE$3,"&lt;"&amp;$DF18,$AD18:$BA18)+SUMIF($BH$3:$CE$3,"&gt;"&amp;$CW$4,$AD18:$BA18)),
IF(BI$3=$DF18+'Model Setup'!$K$7,SUMIF($BH$3:$CE$3,"="&amp;$DF18+'Model Setup'!$K$7,$AD18:$BA18)+'Model Setup'!$K$8*(SUMIF($BH$3:$CE$3,"&lt;"&amp;$DF18,$AD18:$BA18)+SUMIF($BH$3:$CE$3,"&gt;"&amp;$CW$4,$AD18:$BA18)),
IF(BI$3=$DF18+'Model Setup'!$L$7,SUMIF($BH$3:$CE$3,"="&amp;$DF18+'Model Setup'!$L$7,$AD18:$BA18)+'Model Setup'!$L$8*(SUMIF($BH$3:$CE$3,"&lt;"&amp;$DF18,$AD18:$BA18)+SUMIF($BH$3:$CE$3,"&gt;"&amp;$CW$4,$AD18:$BA18)),
IF(BI$3=$DF18+'Model Setup'!$M$7,SUMIF($BH$3:$CE$3,"="&amp;$DF18+'Model Setup'!$M$7,$AD18:$BA18)+'Model Setup'!$M$8*(SUMIF($BH$3:$CE$3,"&lt;"&amp;$DF18,$AD18:$BA18)+SUMIF($BH$3:$CE$3,"&gt;"&amp;$CW$4,$AD18:$BA18)),
IF(BI$3=$DF18+'Model Setup'!$N$7,SUMIF($BH$3:$CE$3,"="&amp;$DF18+'Model Setup'!$N$7,$AD18:$BA18)+'Model Setup'!$N$8*(SUMIF($BH$3:$CE$3,"&lt;"&amp;$DF18,$AD18:$BA18)+SUMIF($BH$3:$CE$3,"&gt;"&amp;$CW$4,$AD18:$BA18)),
IF(BI$3&lt;$CW$4,C18,0))))))))))))))),0)</f>
        <v>0</v>
      </c>
      <c r="BJ18" s="47">
        <f>ROUND(IF(OR(BJ$3&lt;$DF18,BJ$3&gt;$CW$4),0,
IF(BJ$3=$DF18+'Model Setup'!$B$7,SUMIF($BH$3:$CE$3,"="&amp;$DF18+'Model Setup'!$B$7,$AD18:$BA18)+'Model Setup'!$B$8*(SUMIF($BH$3:$CE$3,"&lt;"&amp;$DF18,$AD18:$BA18)+SUMIF($BH$3:$CE$3,"&gt;"&amp;$CW$4,$AD18:$BA18)),
IF(BJ$3=$DF18+'Model Setup'!$C$7,SUMIF($BH$3:$CE$3,"="&amp;$DF18+'Model Setup'!$C$7,$AD18:$BA18)+'Model Setup'!$C$8*(SUMIF($BH$3:$CE$3,"&lt;"&amp;$DF18,$AD18:$BA18)+SUMIF($BH$3:$CE$3,"&gt;"&amp;$CW$4,$AD18:$BA18)),
IF(BJ$3=$DF18+'Model Setup'!$D$7,SUMIF($BH$3:$CE$3,"="&amp;$DF18+'Model Setup'!$D$7,$AD18:$BA18)+'Model Setup'!$D$8*(SUMIF($BH$3:$CE$3,"&lt;"&amp;$DF18,$AD18:$BA18)+SUMIF($BH$3:$CE$3,"&gt;"&amp;$CW$4,$AD18:$BA18)),
IF(BJ$3=$DF18+'Model Setup'!$E$7,SUMIF($BH$3:$CE$3,"="&amp;$DF18+'Model Setup'!$E$7,$AD18:$BA18)+'Model Setup'!$E$8*(SUMIF($BH$3:$CE$3,"&lt;"&amp;$DF18,$AD18:$BA18)+SUMIF($BH$3:$CE$3,"&gt;"&amp;$CW$4,$AD18:$BA18)),
IF(BJ$3=$DF18+'Model Setup'!$F$7,SUMIF($BH$3:$CE$3,"="&amp;$DF18+'Model Setup'!$F$7,$AD18:$BA18)+'Model Setup'!$F$8*(SUMIF($BH$3:$CE$3,"&lt;"&amp;$DF18,$AD18:$BA18)+SUMIF($BH$3:$CE$3,"&gt;"&amp;$CW$4,$AD18:$BA18)),
IF(BJ$3=$DF18+'Model Setup'!$G$7,SUMIF($BH$3:$CE$3,"="&amp;$DF18+'Model Setup'!$G$7,$AD18:$BA18)+'Model Setup'!$G$8*(SUMIF($BH$3:$CE$3,"&lt;"&amp;$DF18,$AD18:$BA18)+SUMIF($BH$3:$CE$3,"&gt;"&amp;$CW$4,$AD18:$BA18)),
IF(BJ$3=$DF18+'Model Setup'!$H$7,SUMIF($BH$3:$CE$3,"="&amp;$DF18+'Model Setup'!$H$7,$AD18:$BA18)+'Model Setup'!$H$8*(SUMIF($BH$3:$CE$3,"&lt;"&amp;$DF18,$AD18:$BA18)+SUMIF($BH$3:$CE$3,"&gt;"&amp;$CW$4,$AD18:$BA18)),
IF(BJ$3=$DF18+'Model Setup'!$I$7,SUMIF($BH$3:$CE$3,"="&amp;$DF18+'Model Setup'!$I$7,$AD18:$BA18)+'Model Setup'!$I$8*(SUMIF($BH$3:$CE$3,"&lt;"&amp;$DF18,$AD18:$BA18)+SUMIF($BH$3:$CE$3,"&gt;"&amp;$CW$4,$AD18:$BA18)),
IF(BJ$3=$DF18+'Model Setup'!$J$7,SUMIF($BH$3:$CE$3,"="&amp;$DF18+'Model Setup'!$J$7,$AD18:$BA18)+'Model Setup'!$J$8*(SUMIF($BH$3:$CE$3,"&lt;"&amp;$DF18,$AD18:$BA18)+SUMIF($BH$3:$CE$3,"&gt;"&amp;$CW$4,$AD18:$BA18)),
IF(BJ$3=$DF18+'Model Setup'!$K$7,SUMIF($BH$3:$CE$3,"="&amp;$DF18+'Model Setup'!$K$7,$AD18:$BA18)+'Model Setup'!$K$8*(SUMIF($BH$3:$CE$3,"&lt;"&amp;$DF18,$AD18:$BA18)+SUMIF($BH$3:$CE$3,"&gt;"&amp;$CW$4,$AD18:$BA18)),
IF(BJ$3=$DF18+'Model Setup'!$L$7,SUMIF($BH$3:$CE$3,"="&amp;$DF18+'Model Setup'!$L$7,$AD18:$BA18)+'Model Setup'!$L$8*(SUMIF($BH$3:$CE$3,"&lt;"&amp;$DF18,$AD18:$BA18)+SUMIF($BH$3:$CE$3,"&gt;"&amp;$CW$4,$AD18:$BA18)),
IF(BJ$3=$DF18+'Model Setup'!$M$7,SUMIF($BH$3:$CE$3,"="&amp;$DF18+'Model Setup'!$M$7,$AD18:$BA18)+'Model Setup'!$M$8*(SUMIF($BH$3:$CE$3,"&lt;"&amp;$DF18,$AD18:$BA18)+SUMIF($BH$3:$CE$3,"&gt;"&amp;$CW$4,$AD18:$BA18)),
IF(BJ$3=$DF18+'Model Setup'!$N$7,SUMIF($BH$3:$CE$3,"="&amp;$DF18+'Model Setup'!$N$7,$AD18:$BA18)+'Model Setup'!$N$8*(SUMIF($BH$3:$CE$3,"&lt;"&amp;$DF18,$AD18:$BA18)+SUMIF($BH$3:$CE$3,"&gt;"&amp;$CW$4,$AD18:$BA18)),
IF(BJ$3&lt;$CW$4,D18,0))))))))))))))),0)</f>
        <v>0</v>
      </c>
      <c r="BK18" s="47">
        <f>ROUND(IF(OR(BK$3&lt;$DF18,BK$3&gt;$CW$4),0,
IF(BK$3=$DF18+'Model Setup'!$B$7,SUMIF($BH$3:$CE$3,"="&amp;$DF18+'Model Setup'!$B$7,$AD18:$BA18)+'Model Setup'!$B$8*(SUMIF($BH$3:$CE$3,"&lt;"&amp;$DF18,$AD18:$BA18)+SUMIF($BH$3:$CE$3,"&gt;"&amp;$CW$4,$AD18:$BA18)),
IF(BK$3=$DF18+'Model Setup'!$C$7,SUMIF($BH$3:$CE$3,"="&amp;$DF18+'Model Setup'!$C$7,$AD18:$BA18)+'Model Setup'!$C$8*(SUMIF($BH$3:$CE$3,"&lt;"&amp;$DF18,$AD18:$BA18)+SUMIF($BH$3:$CE$3,"&gt;"&amp;$CW$4,$AD18:$BA18)),
IF(BK$3=$DF18+'Model Setup'!$D$7,SUMIF($BH$3:$CE$3,"="&amp;$DF18+'Model Setup'!$D$7,$AD18:$BA18)+'Model Setup'!$D$8*(SUMIF($BH$3:$CE$3,"&lt;"&amp;$DF18,$AD18:$BA18)+SUMIF($BH$3:$CE$3,"&gt;"&amp;$CW$4,$AD18:$BA18)),
IF(BK$3=$DF18+'Model Setup'!$E$7,SUMIF($BH$3:$CE$3,"="&amp;$DF18+'Model Setup'!$E$7,$AD18:$BA18)+'Model Setup'!$E$8*(SUMIF($BH$3:$CE$3,"&lt;"&amp;$DF18,$AD18:$BA18)+SUMIF($BH$3:$CE$3,"&gt;"&amp;$CW$4,$AD18:$BA18)),
IF(BK$3=$DF18+'Model Setup'!$F$7,SUMIF($BH$3:$CE$3,"="&amp;$DF18+'Model Setup'!$F$7,$AD18:$BA18)+'Model Setup'!$F$8*(SUMIF($BH$3:$CE$3,"&lt;"&amp;$DF18,$AD18:$BA18)+SUMIF($BH$3:$CE$3,"&gt;"&amp;$CW$4,$AD18:$BA18)),
IF(BK$3=$DF18+'Model Setup'!$G$7,SUMIF($BH$3:$CE$3,"="&amp;$DF18+'Model Setup'!$G$7,$AD18:$BA18)+'Model Setup'!$G$8*(SUMIF($BH$3:$CE$3,"&lt;"&amp;$DF18,$AD18:$BA18)+SUMIF($BH$3:$CE$3,"&gt;"&amp;$CW$4,$AD18:$BA18)),
IF(BK$3=$DF18+'Model Setup'!$H$7,SUMIF($BH$3:$CE$3,"="&amp;$DF18+'Model Setup'!$H$7,$AD18:$BA18)+'Model Setup'!$H$8*(SUMIF($BH$3:$CE$3,"&lt;"&amp;$DF18,$AD18:$BA18)+SUMIF($BH$3:$CE$3,"&gt;"&amp;$CW$4,$AD18:$BA18)),
IF(BK$3=$DF18+'Model Setup'!$I$7,SUMIF($BH$3:$CE$3,"="&amp;$DF18+'Model Setup'!$I$7,$AD18:$BA18)+'Model Setup'!$I$8*(SUMIF($BH$3:$CE$3,"&lt;"&amp;$DF18,$AD18:$BA18)+SUMIF($BH$3:$CE$3,"&gt;"&amp;$CW$4,$AD18:$BA18)),
IF(BK$3=$DF18+'Model Setup'!$J$7,SUMIF($BH$3:$CE$3,"="&amp;$DF18+'Model Setup'!$J$7,$AD18:$BA18)+'Model Setup'!$J$8*(SUMIF($BH$3:$CE$3,"&lt;"&amp;$DF18,$AD18:$BA18)+SUMIF($BH$3:$CE$3,"&gt;"&amp;$CW$4,$AD18:$BA18)),
IF(BK$3=$DF18+'Model Setup'!$K$7,SUMIF($BH$3:$CE$3,"="&amp;$DF18+'Model Setup'!$K$7,$AD18:$BA18)+'Model Setup'!$K$8*(SUMIF($BH$3:$CE$3,"&lt;"&amp;$DF18,$AD18:$BA18)+SUMIF($BH$3:$CE$3,"&gt;"&amp;$CW$4,$AD18:$BA18)),
IF(BK$3=$DF18+'Model Setup'!$L$7,SUMIF($BH$3:$CE$3,"="&amp;$DF18+'Model Setup'!$L$7,$AD18:$BA18)+'Model Setup'!$L$8*(SUMIF($BH$3:$CE$3,"&lt;"&amp;$DF18,$AD18:$BA18)+SUMIF($BH$3:$CE$3,"&gt;"&amp;$CW$4,$AD18:$BA18)),
IF(BK$3=$DF18+'Model Setup'!$M$7,SUMIF($BH$3:$CE$3,"="&amp;$DF18+'Model Setup'!$M$7,$AD18:$BA18)+'Model Setup'!$M$8*(SUMIF($BH$3:$CE$3,"&lt;"&amp;$DF18,$AD18:$BA18)+SUMIF($BH$3:$CE$3,"&gt;"&amp;$CW$4,$AD18:$BA18)),
IF(BK$3=$DF18+'Model Setup'!$N$7,SUMIF($BH$3:$CE$3,"="&amp;$DF18+'Model Setup'!$N$7,$AD18:$BA18)+'Model Setup'!$N$8*(SUMIF($BH$3:$CE$3,"&lt;"&amp;$DF18,$AD18:$BA18)+SUMIF($BH$3:$CE$3,"&gt;"&amp;$CW$4,$AD18:$BA18)),
IF(BK$3&lt;$CW$4,E18,0))))))))))))))),0)</f>
        <v>0</v>
      </c>
      <c r="BL18" s="47">
        <f>ROUND(IF(OR(BL$3&lt;$DF18,BL$3&gt;$CW$4),0,
IF(BL$3=$DF18+'Model Setup'!$B$7,SUMIF($BH$3:$CE$3,"="&amp;$DF18+'Model Setup'!$B$7,$AD18:$BA18)+'Model Setup'!$B$8*(SUMIF($BH$3:$CE$3,"&lt;"&amp;$DF18,$AD18:$BA18)+SUMIF($BH$3:$CE$3,"&gt;"&amp;$CW$4,$AD18:$BA18)),
IF(BL$3=$DF18+'Model Setup'!$C$7,SUMIF($BH$3:$CE$3,"="&amp;$DF18+'Model Setup'!$C$7,$AD18:$BA18)+'Model Setup'!$C$8*(SUMIF($BH$3:$CE$3,"&lt;"&amp;$DF18,$AD18:$BA18)+SUMIF($BH$3:$CE$3,"&gt;"&amp;$CW$4,$AD18:$BA18)),
IF(BL$3=$DF18+'Model Setup'!$D$7,SUMIF($BH$3:$CE$3,"="&amp;$DF18+'Model Setup'!$D$7,$AD18:$BA18)+'Model Setup'!$D$8*(SUMIF($BH$3:$CE$3,"&lt;"&amp;$DF18,$AD18:$BA18)+SUMIF($BH$3:$CE$3,"&gt;"&amp;$CW$4,$AD18:$BA18)),
IF(BL$3=$DF18+'Model Setup'!$E$7,SUMIF($BH$3:$CE$3,"="&amp;$DF18+'Model Setup'!$E$7,$AD18:$BA18)+'Model Setup'!$E$8*(SUMIF($BH$3:$CE$3,"&lt;"&amp;$DF18,$AD18:$BA18)+SUMIF($BH$3:$CE$3,"&gt;"&amp;$CW$4,$AD18:$BA18)),
IF(BL$3=$DF18+'Model Setup'!$F$7,SUMIF($BH$3:$CE$3,"="&amp;$DF18+'Model Setup'!$F$7,$AD18:$BA18)+'Model Setup'!$F$8*(SUMIF($BH$3:$CE$3,"&lt;"&amp;$DF18,$AD18:$BA18)+SUMIF($BH$3:$CE$3,"&gt;"&amp;$CW$4,$AD18:$BA18)),
IF(BL$3=$DF18+'Model Setup'!$G$7,SUMIF($BH$3:$CE$3,"="&amp;$DF18+'Model Setup'!$G$7,$AD18:$BA18)+'Model Setup'!$G$8*(SUMIF($BH$3:$CE$3,"&lt;"&amp;$DF18,$AD18:$BA18)+SUMIF($BH$3:$CE$3,"&gt;"&amp;$CW$4,$AD18:$BA18)),
IF(BL$3=$DF18+'Model Setup'!$H$7,SUMIF($BH$3:$CE$3,"="&amp;$DF18+'Model Setup'!$H$7,$AD18:$BA18)+'Model Setup'!$H$8*(SUMIF($BH$3:$CE$3,"&lt;"&amp;$DF18,$AD18:$BA18)+SUMIF($BH$3:$CE$3,"&gt;"&amp;$CW$4,$AD18:$BA18)),
IF(BL$3=$DF18+'Model Setup'!$I$7,SUMIF($BH$3:$CE$3,"="&amp;$DF18+'Model Setup'!$I$7,$AD18:$BA18)+'Model Setup'!$I$8*(SUMIF($BH$3:$CE$3,"&lt;"&amp;$DF18,$AD18:$BA18)+SUMIF($BH$3:$CE$3,"&gt;"&amp;$CW$4,$AD18:$BA18)),
IF(BL$3=$DF18+'Model Setup'!$J$7,SUMIF($BH$3:$CE$3,"="&amp;$DF18+'Model Setup'!$J$7,$AD18:$BA18)+'Model Setup'!$J$8*(SUMIF($BH$3:$CE$3,"&lt;"&amp;$DF18,$AD18:$BA18)+SUMIF($BH$3:$CE$3,"&gt;"&amp;$CW$4,$AD18:$BA18)),
IF(BL$3=$DF18+'Model Setup'!$K$7,SUMIF($BH$3:$CE$3,"="&amp;$DF18+'Model Setup'!$K$7,$AD18:$BA18)+'Model Setup'!$K$8*(SUMIF($BH$3:$CE$3,"&lt;"&amp;$DF18,$AD18:$BA18)+SUMIF($BH$3:$CE$3,"&gt;"&amp;$CW$4,$AD18:$BA18)),
IF(BL$3=$DF18+'Model Setup'!$L$7,SUMIF($BH$3:$CE$3,"="&amp;$DF18+'Model Setup'!$L$7,$AD18:$BA18)+'Model Setup'!$L$8*(SUMIF($BH$3:$CE$3,"&lt;"&amp;$DF18,$AD18:$BA18)+SUMIF($BH$3:$CE$3,"&gt;"&amp;$CW$4,$AD18:$BA18)),
IF(BL$3=$DF18+'Model Setup'!$M$7,SUMIF($BH$3:$CE$3,"="&amp;$DF18+'Model Setup'!$M$7,$AD18:$BA18)+'Model Setup'!$M$8*(SUMIF($BH$3:$CE$3,"&lt;"&amp;$DF18,$AD18:$BA18)+SUMIF($BH$3:$CE$3,"&gt;"&amp;$CW$4,$AD18:$BA18)),
IF(BL$3=$DF18+'Model Setup'!$N$7,SUMIF($BH$3:$CE$3,"="&amp;$DF18+'Model Setup'!$N$7,$AD18:$BA18)+'Model Setup'!$N$8*(SUMIF($BH$3:$CE$3,"&lt;"&amp;$DF18,$AD18:$BA18)+SUMIF($BH$3:$CE$3,"&gt;"&amp;$CW$4,$AD18:$BA18)),
IF(BL$3&lt;$CW$4,F18,0))))))))))))))),0)</f>
        <v>0</v>
      </c>
      <c r="BM18" s="47">
        <f>ROUND(IF(OR(BM$3&lt;$DF18,BM$3&gt;$CW$4),0,
IF(BM$3=$DF18+'Model Setup'!$B$7,SUMIF($BH$3:$CE$3,"="&amp;$DF18+'Model Setup'!$B$7,$AD18:$BA18)+'Model Setup'!$B$8*(SUMIF($BH$3:$CE$3,"&lt;"&amp;$DF18,$AD18:$BA18)+SUMIF($BH$3:$CE$3,"&gt;"&amp;$CW$4,$AD18:$BA18)),
IF(BM$3=$DF18+'Model Setup'!$C$7,SUMIF($BH$3:$CE$3,"="&amp;$DF18+'Model Setup'!$C$7,$AD18:$BA18)+'Model Setup'!$C$8*(SUMIF($BH$3:$CE$3,"&lt;"&amp;$DF18,$AD18:$BA18)+SUMIF($BH$3:$CE$3,"&gt;"&amp;$CW$4,$AD18:$BA18)),
IF(BM$3=$DF18+'Model Setup'!$D$7,SUMIF($BH$3:$CE$3,"="&amp;$DF18+'Model Setup'!$D$7,$AD18:$BA18)+'Model Setup'!$D$8*(SUMIF($BH$3:$CE$3,"&lt;"&amp;$DF18,$AD18:$BA18)+SUMIF($BH$3:$CE$3,"&gt;"&amp;$CW$4,$AD18:$BA18)),
IF(BM$3=$DF18+'Model Setup'!$E$7,SUMIF($BH$3:$CE$3,"="&amp;$DF18+'Model Setup'!$E$7,$AD18:$BA18)+'Model Setup'!$E$8*(SUMIF($BH$3:$CE$3,"&lt;"&amp;$DF18,$AD18:$BA18)+SUMIF($BH$3:$CE$3,"&gt;"&amp;$CW$4,$AD18:$BA18)),
IF(BM$3=$DF18+'Model Setup'!$F$7,SUMIF($BH$3:$CE$3,"="&amp;$DF18+'Model Setup'!$F$7,$AD18:$BA18)+'Model Setup'!$F$8*(SUMIF($BH$3:$CE$3,"&lt;"&amp;$DF18,$AD18:$BA18)+SUMIF($BH$3:$CE$3,"&gt;"&amp;$CW$4,$AD18:$BA18)),
IF(BM$3=$DF18+'Model Setup'!$G$7,SUMIF($BH$3:$CE$3,"="&amp;$DF18+'Model Setup'!$G$7,$AD18:$BA18)+'Model Setup'!$G$8*(SUMIF($BH$3:$CE$3,"&lt;"&amp;$DF18,$AD18:$BA18)+SUMIF($BH$3:$CE$3,"&gt;"&amp;$CW$4,$AD18:$BA18)),
IF(BM$3=$DF18+'Model Setup'!$H$7,SUMIF($BH$3:$CE$3,"="&amp;$DF18+'Model Setup'!$H$7,$AD18:$BA18)+'Model Setup'!$H$8*(SUMIF($BH$3:$CE$3,"&lt;"&amp;$DF18,$AD18:$BA18)+SUMIF($BH$3:$CE$3,"&gt;"&amp;$CW$4,$AD18:$BA18)),
IF(BM$3=$DF18+'Model Setup'!$I$7,SUMIF($BH$3:$CE$3,"="&amp;$DF18+'Model Setup'!$I$7,$AD18:$BA18)+'Model Setup'!$I$8*(SUMIF($BH$3:$CE$3,"&lt;"&amp;$DF18,$AD18:$BA18)+SUMIF($BH$3:$CE$3,"&gt;"&amp;$CW$4,$AD18:$BA18)),
IF(BM$3=$DF18+'Model Setup'!$J$7,SUMIF($BH$3:$CE$3,"="&amp;$DF18+'Model Setup'!$J$7,$AD18:$BA18)+'Model Setup'!$J$8*(SUMIF($BH$3:$CE$3,"&lt;"&amp;$DF18,$AD18:$BA18)+SUMIF($BH$3:$CE$3,"&gt;"&amp;$CW$4,$AD18:$BA18)),
IF(BM$3=$DF18+'Model Setup'!$K$7,SUMIF($BH$3:$CE$3,"="&amp;$DF18+'Model Setup'!$K$7,$AD18:$BA18)+'Model Setup'!$K$8*(SUMIF($BH$3:$CE$3,"&lt;"&amp;$DF18,$AD18:$BA18)+SUMIF($BH$3:$CE$3,"&gt;"&amp;$CW$4,$AD18:$BA18)),
IF(BM$3=$DF18+'Model Setup'!$L$7,SUMIF($BH$3:$CE$3,"="&amp;$DF18+'Model Setup'!$L$7,$AD18:$BA18)+'Model Setup'!$L$8*(SUMIF($BH$3:$CE$3,"&lt;"&amp;$DF18,$AD18:$BA18)+SUMIF($BH$3:$CE$3,"&gt;"&amp;$CW$4,$AD18:$BA18)),
IF(BM$3=$DF18+'Model Setup'!$M$7,SUMIF($BH$3:$CE$3,"="&amp;$DF18+'Model Setup'!$M$7,$AD18:$BA18)+'Model Setup'!$M$8*(SUMIF($BH$3:$CE$3,"&lt;"&amp;$DF18,$AD18:$BA18)+SUMIF($BH$3:$CE$3,"&gt;"&amp;$CW$4,$AD18:$BA18)),
IF(BM$3=$DF18+'Model Setup'!$N$7,SUMIF($BH$3:$CE$3,"="&amp;$DF18+'Model Setup'!$N$7,$AD18:$BA18)+'Model Setup'!$N$8*(SUMIF($BH$3:$CE$3,"&lt;"&amp;$DF18,$AD18:$BA18)+SUMIF($BH$3:$CE$3,"&gt;"&amp;$CW$4,$AD18:$BA18)),
IF(BM$3&lt;$CW$4,G18,0))))))))))))))),0)</f>
        <v>0</v>
      </c>
      <c r="BN18" s="47">
        <f>ROUND(IF(OR(BN$3&lt;$DF18,BN$3&gt;$CW$4),0,
IF(BN$3=$DF18+'Model Setup'!$B$7,SUMIF($BH$3:$CE$3,"="&amp;$DF18+'Model Setup'!$B$7,$AD18:$BA18)+'Model Setup'!$B$8*(SUMIF($BH$3:$CE$3,"&lt;"&amp;$DF18,$AD18:$BA18)+SUMIF($BH$3:$CE$3,"&gt;"&amp;$CW$4,$AD18:$BA18)),
IF(BN$3=$DF18+'Model Setup'!$C$7,SUMIF($BH$3:$CE$3,"="&amp;$DF18+'Model Setup'!$C$7,$AD18:$BA18)+'Model Setup'!$C$8*(SUMIF($BH$3:$CE$3,"&lt;"&amp;$DF18,$AD18:$BA18)+SUMIF($BH$3:$CE$3,"&gt;"&amp;$CW$4,$AD18:$BA18)),
IF(BN$3=$DF18+'Model Setup'!$D$7,SUMIF($BH$3:$CE$3,"="&amp;$DF18+'Model Setup'!$D$7,$AD18:$BA18)+'Model Setup'!$D$8*(SUMIF($BH$3:$CE$3,"&lt;"&amp;$DF18,$AD18:$BA18)+SUMIF($BH$3:$CE$3,"&gt;"&amp;$CW$4,$AD18:$BA18)),
IF(BN$3=$DF18+'Model Setup'!$E$7,SUMIF($BH$3:$CE$3,"="&amp;$DF18+'Model Setup'!$E$7,$AD18:$BA18)+'Model Setup'!$E$8*(SUMIF($BH$3:$CE$3,"&lt;"&amp;$DF18,$AD18:$BA18)+SUMIF($BH$3:$CE$3,"&gt;"&amp;$CW$4,$AD18:$BA18)),
IF(BN$3=$DF18+'Model Setup'!$F$7,SUMIF($BH$3:$CE$3,"="&amp;$DF18+'Model Setup'!$F$7,$AD18:$BA18)+'Model Setup'!$F$8*(SUMIF($BH$3:$CE$3,"&lt;"&amp;$DF18,$AD18:$BA18)+SUMIF($BH$3:$CE$3,"&gt;"&amp;$CW$4,$AD18:$BA18)),
IF(BN$3=$DF18+'Model Setup'!$G$7,SUMIF($BH$3:$CE$3,"="&amp;$DF18+'Model Setup'!$G$7,$AD18:$BA18)+'Model Setup'!$G$8*(SUMIF($BH$3:$CE$3,"&lt;"&amp;$DF18,$AD18:$BA18)+SUMIF($BH$3:$CE$3,"&gt;"&amp;$CW$4,$AD18:$BA18)),
IF(BN$3=$DF18+'Model Setup'!$H$7,SUMIF($BH$3:$CE$3,"="&amp;$DF18+'Model Setup'!$H$7,$AD18:$BA18)+'Model Setup'!$H$8*(SUMIF($BH$3:$CE$3,"&lt;"&amp;$DF18,$AD18:$BA18)+SUMIF($BH$3:$CE$3,"&gt;"&amp;$CW$4,$AD18:$BA18)),
IF(BN$3=$DF18+'Model Setup'!$I$7,SUMIF($BH$3:$CE$3,"="&amp;$DF18+'Model Setup'!$I$7,$AD18:$BA18)+'Model Setup'!$I$8*(SUMIF($BH$3:$CE$3,"&lt;"&amp;$DF18,$AD18:$BA18)+SUMIF($BH$3:$CE$3,"&gt;"&amp;$CW$4,$AD18:$BA18)),
IF(BN$3=$DF18+'Model Setup'!$J$7,SUMIF($BH$3:$CE$3,"="&amp;$DF18+'Model Setup'!$J$7,$AD18:$BA18)+'Model Setup'!$J$8*(SUMIF($BH$3:$CE$3,"&lt;"&amp;$DF18,$AD18:$BA18)+SUMIF($BH$3:$CE$3,"&gt;"&amp;$CW$4,$AD18:$BA18)),
IF(BN$3=$DF18+'Model Setup'!$K$7,SUMIF($BH$3:$CE$3,"="&amp;$DF18+'Model Setup'!$K$7,$AD18:$BA18)+'Model Setup'!$K$8*(SUMIF($BH$3:$CE$3,"&lt;"&amp;$DF18,$AD18:$BA18)+SUMIF($BH$3:$CE$3,"&gt;"&amp;$CW$4,$AD18:$BA18)),
IF(BN$3=$DF18+'Model Setup'!$L$7,SUMIF($BH$3:$CE$3,"="&amp;$DF18+'Model Setup'!$L$7,$AD18:$BA18)+'Model Setup'!$L$8*(SUMIF($BH$3:$CE$3,"&lt;"&amp;$DF18,$AD18:$BA18)+SUMIF($BH$3:$CE$3,"&gt;"&amp;$CW$4,$AD18:$BA18)),
IF(BN$3=$DF18+'Model Setup'!$M$7,SUMIF($BH$3:$CE$3,"="&amp;$DF18+'Model Setup'!$M$7,$AD18:$BA18)+'Model Setup'!$M$8*(SUMIF($BH$3:$CE$3,"&lt;"&amp;$DF18,$AD18:$BA18)+SUMIF($BH$3:$CE$3,"&gt;"&amp;$CW$4,$AD18:$BA18)),
IF(BN$3=$DF18+'Model Setup'!$N$7,SUMIF($BH$3:$CE$3,"="&amp;$DF18+'Model Setup'!$N$7,$AD18:$BA18)+'Model Setup'!$N$8*(SUMIF($BH$3:$CE$3,"&lt;"&amp;$DF18,$AD18:$BA18)+SUMIF($BH$3:$CE$3,"&gt;"&amp;$CW$4,$AD18:$BA18)),
IF(BN$3&lt;$CW$4,H18,0))))))))))))))),0)</f>
        <v>0</v>
      </c>
      <c r="BO18" s="47">
        <f>ROUND(IF(OR(BO$3&lt;$DF18,BO$3&gt;$CW$4),0,
IF(BO$3=$DF18+'Model Setup'!$B$7,SUMIF($BH$3:$CE$3,"="&amp;$DF18+'Model Setup'!$B$7,$AD18:$BA18)+'Model Setup'!$B$8*(SUMIF($BH$3:$CE$3,"&lt;"&amp;$DF18,$AD18:$BA18)+SUMIF($BH$3:$CE$3,"&gt;"&amp;$CW$4,$AD18:$BA18)),
IF(BO$3=$DF18+'Model Setup'!$C$7,SUMIF($BH$3:$CE$3,"="&amp;$DF18+'Model Setup'!$C$7,$AD18:$BA18)+'Model Setup'!$C$8*(SUMIF($BH$3:$CE$3,"&lt;"&amp;$DF18,$AD18:$BA18)+SUMIF($BH$3:$CE$3,"&gt;"&amp;$CW$4,$AD18:$BA18)),
IF(BO$3=$DF18+'Model Setup'!$D$7,SUMIF($BH$3:$CE$3,"="&amp;$DF18+'Model Setup'!$D$7,$AD18:$BA18)+'Model Setup'!$D$8*(SUMIF($BH$3:$CE$3,"&lt;"&amp;$DF18,$AD18:$BA18)+SUMIF($BH$3:$CE$3,"&gt;"&amp;$CW$4,$AD18:$BA18)),
IF(BO$3=$DF18+'Model Setup'!$E$7,SUMIF($BH$3:$CE$3,"="&amp;$DF18+'Model Setup'!$E$7,$AD18:$BA18)+'Model Setup'!$E$8*(SUMIF($BH$3:$CE$3,"&lt;"&amp;$DF18,$AD18:$BA18)+SUMIF($BH$3:$CE$3,"&gt;"&amp;$CW$4,$AD18:$BA18)),
IF(BO$3=$DF18+'Model Setup'!$F$7,SUMIF($BH$3:$CE$3,"="&amp;$DF18+'Model Setup'!$F$7,$AD18:$BA18)+'Model Setup'!$F$8*(SUMIF($BH$3:$CE$3,"&lt;"&amp;$DF18,$AD18:$BA18)+SUMIF($BH$3:$CE$3,"&gt;"&amp;$CW$4,$AD18:$BA18)),
IF(BO$3=$DF18+'Model Setup'!$G$7,SUMIF($BH$3:$CE$3,"="&amp;$DF18+'Model Setup'!$G$7,$AD18:$BA18)+'Model Setup'!$G$8*(SUMIF($BH$3:$CE$3,"&lt;"&amp;$DF18,$AD18:$BA18)+SUMIF($BH$3:$CE$3,"&gt;"&amp;$CW$4,$AD18:$BA18)),
IF(BO$3=$DF18+'Model Setup'!$H$7,SUMIF($BH$3:$CE$3,"="&amp;$DF18+'Model Setup'!$H$7,$AD18:$BA18)+'Model Setup'!$H$8*(SUMIF($BH$3:$CE$3,"&lt;"&amp;$DF18,$AD18:$BA18)+SUMIF($BH$3:$CE$3,"&gt;"&amp;$CW$4,$AD18:$BA18)),
IF(BO$3=$DF18+'Model Setup'!$I$7,SUMIF($BH$3:$CE$3,"="&amp;$DF18+'Model Setup'!$I$7,$AD18:$BA18)+'Model Setup'!$I$8*(SUMIF($BH$3:$CE$3,"&lt;"&amp;$DF18,$AD18:$BA18)+SUMIF($BH$3:$CE$3,"&gt;"&amp;$CW$4,$AD18:$BA18)),
IF(BO$3=$DF18+'Model Setup'!$J$7,SUMIF($BH$3:$CE$3,"="&amp;$DF18+'Model Setup'!$J$7,$AD18:$BA18)+'Model Setup'!$J$8*(SUMIF($BH$3:$CE$3,"&lt;"&amp;$DF18,$AD18:$BA18)+SUMIF($BH$3:$CE$3,"&gt;"&amp;$CW$4,$AD18:$BA18)),
IF(BO$3=$DF18+'Model Setup'!$K$7,SUMIF($BH$3:$CE$3,"="&amp;$DF18+'Model Setup'!$K$7,$AD18:$BA18)+'Model Setup'!$K$8*(SUMIF($BH$3:$CE$3,"&lt;"&amp;$DF18,$AD18:$BA18)+SUMIF($BH$3:$CE$3,"&gt;"&amp;$CW$4,$AD18:$BA18)),
IF(BO$3=$DF18+'Model Setup'!$L$7,SUMIF($BH$3:$CE$3,"="&amp;$DF18+'Model Setup'!$L$7,$AD18:$BA18)+'Model Setup'!$L$8*(SUMIF($BH$3:$CE$3,"&lt;"&amp;$DF18,$AD18:$BA18)+SUMIF($BH$3:$CE$3,"&gt;"&amp;$CW$4,$AD18:$BA18)),
IF(BO$3=$DF18+'Model Setup'!$M$7,SUMIF($BH$3:$CE$3,"="&amp;$DF18+'Model Setup'!$M$7,$AD18:$BA18)+'Model Setup'!$M$8*(SUMIF($BH$3:$CE$3,"&lt;"&amp;$DF18,$AD18:$BA18)+SUMIF($BH$3:$CE$3,"&gt;"&amp;$CW$4,$AD18:$BA18)),
IF(BO$3=$DF18+'Model Setup'!$N$7,SUMIF($BH$3:$CE$3,"="&amp;$DF18+'Model Setup'!$N$7,$AD18:$BA18)+'Model Setup'!$N$8*(SUMIF($BH$3:$CE$3,"&lt;"&amp;$DF18,$AD18:$BA18)+SUMIF($BH$3:$CE$3,"&gt;"&amp;$CW$4,$AD18:$BA18)),
IF(BO$3&lt;$CW$4,I18,0))))))))))))))),0)</f>
        <v>24</v>
      </c>
      <c r="BP18" s="47">
        <f>ROUND(IF(OR(BP$3&lt;$DF18,BP$3&gt;$CW$4),0,
IF(BP$3=$DF18+'Model Setup'!$B$7,SUMIF($BH$3:$CE$3,"="&amp;$DF18+'Model Setup'!$B$7,$AD18:$BA18)+'Model Setup'!$B$8*(SUMIF($BH$3:$CE$3,"&lt;"&amp;$DF18,$AD18:$BA18)+SUMIF($BH$3:$CE$3,"&gt;"&amp;$CW$4,$AD18:$BA18)),
IF(BP$3=$DF18+'Model Setup'!$C$7,SUMIF($BH$3:$CE$3,"="&amp;$DF18+'Model Setup'!$C$7,$AD18:$BA18)+'Model Setup'!$C$8*(SUMIF($BH$3:$CE$3,"&lt;"&amp;$DF18,$AD18:$BA18)+SUMIF($BH$3:$CE$3,"&gt;"&amp;$CW$4,$AD18:$BA18)),
IF(BP$3=$DF18+'Model Setup'!$D$7,SUMIF($BH$3:$CE$3,"="&amp;$DF18+'Model Setup'!$D$7,$AD18:$BA18)+'Model Setup'!$D$8*(SUMIF($BH$3:$CE$3,"&lt;"&amp;$DF18,$AD18:$BA18)+SUMIF($BH$3:$CE$3,"&gt;"&amp;$CW$4,$AD18:$BA18)),
IF(BP$3=$DF18+'Model Setup'!$E$7,SUMIF($BH$3:$CE$3,"="&amp;$DF18+'Model Setup'!$E$7,$AD18:$BA18)+'Model Setup'!$E$8*(SUMIF($BH$3:$CE$3,"&lt;"&amp;$DF18,$AD18:$BA18)+SUMIF($BH$3:$CE$3,"&gt;"&amp;$CW$4,$AD18:$BA18)),
IF(BP$3=$DF18+'Model Setup'!$F$7,SUMIF($BH$3:$CE$3,"="&amp;$DF18+'Model Setup'!$F$7,$AD18:$BA18)+'Model Setup'!$F$8*(SUMIF($BH$3:$CE$3,"&lt;"&amp;$DF18,$AD18:$BA18)+SUMIF($BH$3:$CE$3,"&gt;"&amp;$CW$4,$AD18:$BA18)),
IF(BP$3=$DF18+'Model Setup'!$G$7,SUMIF($BH$3:$CE$3,"="&amp;$DF18+'Model Setup'!$G$7,$AD18:$BA18)+'Model Setup'!$G$8*(SUMIF($BH$3:$CE$3,"&lt;"&amp;$DF18,$AD18:$BA18)+SUMIF($BH$3:$CE$3,"&gt;"&amp;$CW$4,$AD18:$BA18)),
IF(BP$3=$DF18+'Model Setup'!$H$7,SUMIF($BH$3:$CE$3,"="&amp;$DF18+'Model Setup'!$H$7,$AD18:$BA18)+'Model Setup'!$H$8*(SUMIF($BH$3:$CE$3,"&lt;"&amp;$DF18,$AD18:$BA18)+SUMIF($BH$3:$CE$3,"&gt;"&amp;$CW$4,$AD18:$BA18)),
IF(BP$3=$DF18+'Model Setup'!$I$7,SUMIF($BH$3:$CE$3,"="&amp;$DF18+'Model Setup'!$I$7,$AD18:$BA18)+'Model Setup'!$I$8*(SUMIF($BH$3:$CE$3,"&lt;"&amp;$DF18,$AD18:$BA18)+SUMIF($BH$3:$CE$3,"&gt;"&amp;$CW$4,$AD18:$BA18)),
IF(BP$3=$DF18+'Model Setup'!$J$7,SUMIF($BH$3:$CE$3,"="&amp;$DF18+'Model Setup'!$J$7,$AD18:$BA18)+'Model Setup'!$J$8*(SUMIF($BH$3:$CE$3,"&lt;"&amp;$DF18,$AD18:$BA18)+SUMIF($BH$3:$CE$3,"&gt;"&amp;$CW$4,$AD18:$BA18)),
IF(BP$3=$DF18+'Model Setup'!$K$7,SUMIF($BH$3:$CE$3,"="&amp;$DF18+'Model Setup'!$K$7,$AD18:$BA18)+'Model Setup'!$K$8*(SUMIF($BH$3:$CE$3,"&lt;"&amp;$DF18,$AD18:$BA18)+SUMIF($BH$3:$CE$3,"&gt;"&amp;$CW$4,$AD18:$BA18)),
IF(BP$3=$DF18+'Model Setup'!$L$7,SUMIF($BH$3:$CE$3,"="&amp;$DF18+'Model Setup'!$L$7,$AD18:$BA18)+'Model Setup'!$L$8*(SUMIF($BH$3:$CE$3,"&lt;"&amp;$DF18,$AD18:$BA18)+SUMIF($BH$3:$CE$3,"&gt;"&amp;$CW$4,$AD18:$BA18)),
IF(BP$3=$DF18+'Model Setup'!$M$7,SUMIF($BH$3:$CE$3,"="&amp;$DF18+'Model Setup'!$M$7,$AD18:$BA18)+'Model Setup'!$M$8*(SUMIF($BH$3:$CE$3,"&lt;"&amp;$DF18,$AD18:$BA18)+SUMIF($BH$3:$CE$3,"&gt;"&amp;$CW$4,$AD18:$BA18)),
IF(BP$3=$DF18+'Model Setup'!$N$7,SUMIF($BH$3:$CE$3,"="&amp;$DF18+'Model Setup'!$N$7,$AD18:$BA18)+'Model Setup'!$N$8*(SUMIF($BH$3:$CE$3,"&lt;"&amp;$DF18,$AD18:$BA18)+SUMIF($BH$3:$CE$3,"&gt;"&amp;$CW$4,$AD18:$BA18)),
IF(BP$3&lt;$CW$4,J18,0))))))))))))))),0)</f>
        <v>21</v>
      </c>
      <c r="BQ18" s="47">
        <f>ROUND(IF(OR(BQ$3&lt;$DF18,BQ$3&gt;$CW$4),0,
IF(BQ$3=$DF18+'Model Setup'!$B$7,SUMIF($BH$3:$CE$3,"="&amp;$DF18+'Model Setup'!$B$7,$AD18:$BA18)+'Model Setup'!$B$8*(SUMIF($BH$3:$CE$3,"&lt;"&amp;$DF18,$AD18:$BA18)+SUMIF($BH$3:$CE$3,"&gt;"&amp;$CW$4,$AD18:$BA18)),
IF(BQ$3=$DF18+'Model Setup'!$C$7,SUMIF($BH$3:$CE$3,"="&amp;$DF18+'Model Setup'!$C$7,$AD18:$BA18)+'Model Setup'!$C$8*(SUMIF($BH$3:$CE$3,"&lt;"&amp;$DF18,$AD18:$BA18)+SUMIF($BH$3:$CE$3,"&gt;"&amp;$CW$4,$AD18:$BA18)),
IF(BQ$3=$DF18+'Model Setup'!$D$7,SUMIF($BH$3:$CE$3,"="&amp;$DF18+'Model Setup'!$D$7,$AD18:$BA18)+'Model Setup'!$D$8*(SUMIF($BH$3:$CE$3,"&lt;"&amp;$DF18,$AD18:$BA18)+SUMIF($BH$3:$CE$3,"&gt;"&amp;$CW$4,$AD18:$BA18)),
IF(BQ$3=$DF18+'Model Setup'!$E$7,SUMIF($BH$3:$CE$3,"="&amp;$DF18+'Model Setup'!$E$7,$AD18:$BA18)+'Model Setup'!$E$8*(SUMIF($BH$3:$CE$3,"&lt;"&amp;$DF18,$AD18:$BA18)+SUMIF($BH$3:$CE$3,"&gt;"&amp;$CW$4,$AD18:$BA18)),
IF(BQ$3=$DF18+'Model Setup'!$F$7,SUMIF($BH$3:$CE$3,"="&amp;$DF18+'Model Setup'!$F$7,$AD18:$BA18)+'Model Setup'!$F$8*(SUMIF($BH$3:$CE$3,"&lt;"&amp;$DF18,$AD18:$BA18)+SUMIF($BH$3:$CE$3,"&gt;"&amp;$CW$4,$AD18:$BA18)),
IF(BQ$3=$DF18+'Model Setup'!$G$7,SUMIF($BH$3:$CE$3,"="&amp;$DF18+'Model Setup'!$G$7,$AD18:$BA18)+'Model Setup'!$G$8*(SUMIF($BH$3:$CE$3,"&lt;"&amp;$DF18,$AD18:$BA18)+SUMIF($BH$3:$CE$3,"&gt;"&amp;$CW$4,$AD18:$BA18)),
IF(BQ$3=$DF18+'Model Setup'!$H$7,SUMIF($BH$3:$CE$3,"="&amp;$DF18+'Model Setup'!$H$7,$AD18:$BA18)+'Model Setup'!$H$8*(SUMIF($BH$3:$CE$3,"&lt;"&amp;$DF18,$AD18:$BA18)+SUMIF($BH$3:$CE$3,"&gt;"&amp;$CW$4,$AD18:$BA18)),
IF(BQ$3=$DF18+'Model Setup'!$I$7,SUMIF($BH$3:$CE$3,"="&amp;$DF18+'Model Setup'!$I$7,$AD18:$BA18)+'Model Setup'!$I$8*(SUMIF($BH$3:$CE$3,"&lt;"&amp;$DF18,$AD18:$BA18)+SUMIF($BH$3:$CE$3,"&gt;"&amp;$CW$4,$AD18:$BA18)),
IF(BQ$3=$DF18+'Model Setup'!$J$7,SUMIF($BH$3:$CE$3,"="&amp;$DF18+'Model Setup'!$J$7,$AD18:$BA18)+'Model Setup'!$J$8*(SUMIF($BH$3:$CE$3,"&lt;"&amp;$DF18,$AD18:$BA18)+SUMIF($BH$3:$CE$3,"&gt;"&amp;$CW$4,$AD18:$BA18)),
IF(BQ$3=$DF18+'Model Setup'!$K$7,SUMIF($BH$3:$CE$3,"="&amp;$DF18+'Model Setup'!$K$7,$AD18:$BA18)+'Model Setup'!$K$8*(SUMIF($BH$3:$CE$3,"&lt;"&amp;$DF18,$AD18:$BA18)+SUMIF($BH$3:$CE$3,"&gt;"&amp;$CW$4,$AD18:$BA18)),
IF(BQ$3=$DF18+'Model Setup'!$L$7,SUMIF($BH$3:$CE$3,"="&amp;$DF18+'Model Setup'!$L$7,$AD18:$BA18)+'Model Setup'!$L$8*(SUMIF($BH$3:$CE$3,"&lt;"&amp;$DF18,$AD18:$BA18)+SUMIF($BH$3:$CE$3,"&gt;"&amp;$CW$4,$AD18:$BA18)),
IF(BQ$3=$DF18+'Model Setup'!$M$7,SUMIF($BH$3:$CE$3,"="&amp;$DF18+'Model Setup'!$M$7,$AD18:$BA18)+'Model Setup'!$M$8*(SUMIF($BH$3:$CE$3,"&lt;"&amp;$DF18,$AD18:$BA18)+SUMIF($BH$3:$CE$3,"&gt;"&amp;$CW$4,$AD18:$BA18)),
IF(BQ$3=$DF18+'Model Setup'!$N$7,SUMIF($BH$3:$CE$3,"="&amp;$DF18+'Model Setup'!$N$7,$AD18:$BA18)+'Model Setup'!$N$8*(SUMIF($BH$3:$CE$3,"&lt;"&amp;$DF18,$AD18:$BA18)+SUMIF($BH$3:$CE$3,"&gt;"&amp;$CW$4,$AD18:$BA18)),
IF(BQ$3&lt;$CW$4,K18,0))))))))))))))),0)</f>
        <v>23</v>
      </c>
      <c r="BR18" s="47">
        <f>ROUND(IF(OR(BR$3&lt;$DF18,BR$3&gt;$CW$4),0,
IF(BR$3=$DF18+'Model Setup'!$B$7,SUMIF($BH$3:$CE$3,"="&amp;$DF18+'Model Setup'!$B$7,$AD18:$BA18)+'Model Setup'!$B$8*(SUMIF($BH$3:$CE$3,"&lt;"&amp;$DF18,$AD18:$BA18)+SUMIF($BH$3:$CE$3,"&gt;"&amp;$CW$4,$AD18:$BA18)),
IF(BR$3=$DF18+'Model Setup'!$C$7,SUMIF($BH$3:$CE$3,"="&amp;$DF18+'Model Setup'!$C$7,$AD18:$BA18)+'Model Setup'!$C$8*(SUMIF($BH$3:$CE$3,"&lt;"&amp;$DF18,$AD18:$BA18)+SUMIF($BH$3:$CE$3,"&gt;"&amp;$CW$4,$AD18:$BA18)),
IF(BR$3=$DF18+'Model Setup'!$D$7,SUMIF($BH$3:$CE$3,"="&amp;$DF18+'Model Setup'!$D$7,$AD18:$BA18)+'Model Setup'!$D$8*(SUMIF($BH$3:$CE$3,"&lt;"&amp;$DF18,$AD18:$BA18)+SUMIF($BH$3:$CE$3,"&gt;"&amp;$CW$4,$AD18:$BA18)),
IF(BR$3=$DF18+'Model Setup'!$E$7,SUMIF($BH$3:$CE$3,"="&amp;$DF18+'Model Setup'!$E$7,$AD18:$BA18)+'Model Setup'!$E$8*(SUMIF($BH$3:$CE$3,"&lt;"&amp;$DF18,$AD18:$BA18)+SUMIF($BH$3:$CE$3,"&gt;"&amp;$CW$4,$AD18:$BA18)),
IF(BR$3=$DF18+'Model Setup'!$F$7,SUMIF($BH$3:$CE$3,"="&amp;$DF18+'Model Setup'!$F$7,$AD18:$BA18)+'Model Setup'!$F$8*(SUMIF($BH$3:$CE$3,"&lt;"&amp;$DF18,$AD18:$BA18)+SUMIF($BH$3:$CE$3,"&gt;"&amp;$CW$4,$AD18:$BA18)),
IF(BR$3=$DF18+'Model Setup'!$G$7,SUMIF($BH$3:$CE$3,"="&amp;$DF18+'Model Setup'!$G$7,$AD18:$BA18)+'Model Setup'!$G$8*(SUMIF($BH$3:$CE$3,"&lt;"&amp;$DF18,$AD18:$BA18)+SUMIF($BH$3:$CE$3,"&gt;"&amp;$CW$4,$AD18:$BA18)),
IF(BR$3=$DF18+'Model Setup'!$H$7,SUMIF($BH$3:$CE$3,"="&amp;$DF18+'Model Setup'!$H$7,$AD18:$BA18)+'Model Setup'!$H$8*(SUMIF($BH$3:$CE$3,"&lt;"&amp;$DF18,$AD18:$BA18)+SUMIF($BH$3:$CE$3,"&gt;"&amp;$CW$4,$AD18:$BA18)),
IF(BR$3=$DF18+'Model Setup'!$I$7,SUMIF($BH$3:$CE$3,"="&amp;$DF18+'Model Setup'!$I$7,$AD18:$BA18)+'Model Setup'!$I$8*(SUMIF($BH$3:$CE$3,"&lt;"&amp;$DF18,$AD18:$BA18)+SUMIF($BH$3:$CE$3,"&gt;"&amp;$CW$4,$AD18:$BA18)),
IF(BR$3=$DF18+'Model Setup'!$J$7,SUMIF($BH$3:$CE$3,"="&amp;$DF18+'Model Setup'!$J$7,$AD18:$BA18)+'Model Setup'!$J$8*(SUMIF($BH$3:$CE$3,"&lt;"&amp;$DF18,$AD18:$BA18)+SUMIF($BH$3:$CE$3,"&gt;"&amp;$CW$4,$AD18:$BA18)),
IF(BR$3=$DF18+'Model Setup'!$K$7,SUMIF($BH$3:$CE$3,"="&amp;$DF18+'Model Setup'!$K$7,$AD18:$BA18)+'Model Setup'!$K$8*(SUMIF($BH$3:$CE$3,"&lt;"&amp;$DF18,$AD18:$BA18)+SUMIF($BH$3:$CE$3,"&gt;"&amp;$CW$4,$AD18:$BA18)),
IF(BR$3=$DF18+'Model Setup'!$L$7,SUMIF($BH$3:$CE$3,"="&amp;$DF18+'Model Setup'!$L$7,$AD18:$BA18)+'Model Setup'!$L$8*(SUMIF($BH$3:$CE$3,"&lt;"&amp;$DF18,$AD18:$BA18)+SUMIF($BH$3:$CE$3,"&gt;"&amp;$CW$4,$AD18:$BA18)),
IF(BR$3=$DF18+'Model Setup'!$M$7,SUMIF($BH$3:$CE$3,"="&amp;$DF18+'Model Setup'!$M$7,$AD18:$BA18)+'Model Setup'!$M$8*(SUMIF($BH$3:$CE$3,"&lt;"&amp;$DF18,$AD18:$BA18)+SUMIF($BH$3:$CE$3,"&gt;"&amp;$CW$4,$AD18:$BA18)),
IF(BR$3=$DF18+'Model Setup'!$N$7,SUMIF($BH$3:$CE$3,"="&amp;$DF18+'Model Setup'!$N$7,$AD18:$BA18)+'Model Setup'!$N$8*(SUMIF($BH$3:$CE$3,"&lt;"&amp;$DF18,$AD18:$BA18)+SUMIF($BH$3:$CE$3,"&gt;"&amp;$CW$4,$AD18:$BA18)),
IF(BR$3&lt;$CW$4,L18,0))))))))))))))),0)</f>
        <v>22</v>
      </c>
      <c r="BS18" s="47">
        <f>ROUND(IF(OR(BS$3&lt;$DF18,BS$3&gt;$CW$4),0,
IF(BS$3=$DF18+'Model Setup'!$B$7,SUMIF($BH$3:$CE$3,"="&amp;$DF18+'Model Setup'!$B$7,$AD18:$BA18)+'Model Setup'!$B$8*(SUMIF($BH$3:$CE$3,"&lt;"&amp;$DF18,$AD18:$BA18)+SUMIF($BH$3:$CE$3,"&gt;"&amp;$CW$4,$AD18:$BA18)),
IF(BS$3=$DF18+'Model Setup'!$C$7,SUMIF($BH$3:$CE$3,"="&amp;$DF18+'Model Setup'!$C$7,$AD18:$BA18)+'Model Setup'!$C$8*(SUMIF($BH$3:$CE$3,"&lt;"&amp;$DF18,$AD18:$BA18)+SUMIF($BH$3:$CE$3,"&gt;"&amp;$CW$4,$AD18:$BA18)),
IF(BS$3=$DF18+'Model Setup'!$D$7,SUMIF($BH$3:$CE$3,"="&amp;$DF18+'Model Setup'!$D$7,$AD18:$BA18)+'Model Setup'!$D$8*(SUMIF($BH$3:$CE$3,"&lt;"&amp;$DF18,$AD18:$BA18)+SUMIF($BH$3:$CE$3,"&gt;"&amp;$CW$4,$AD18:$BA18)),
IF(BS$3=$DF18+'Model Setup'!$E$7,SUMIF($BH$3:$CE$3,"="&amp;$DF18+'Model Setup'!$E$7,$AD18:$BA18)+'Model Setup'!$E$8*(SUMIF($BH$3:$CE$3,"&lt;"&amp;$DF18,$AD18:$BA18)+SUMIF($BH$3:$CE$3,"&gt;"&amp;$CW$4,$AD18:$BA18)),
IF(BS$3=$DF18+'Model Setup'!$F$7,SUMIF($BH$3:$CE$3,"="&amp;$DF18+'Model Setup'!$F$7,$AD18:$BA18)+'Model Setup'!$F$8*(SUMIF($BH$3:$CE$3,"&lt;"&amp;$DF18,$AD18:$BA18)+SUMIF($BH$3:$CE$3,"&gt;"&amp;$CW$4,$AD18:$BA18)),
IF(BS$3=$DF18+'Model Setup'!$G$7,SUMIF($BH$3:$CE$3,"="&amp;$DF18+'Model Setup'!$G$7,$AD18:$BA18)+'Model Setup'!$G$8*(SUMIF($BH$3:$CE$3,"&lt;"&amp;$DF18,$AD18:$BA18)+SUMIF($BH$3:$CE$3,"&gt;"&amp;$CW$4,$AD18:$BA18)),
IF(BS$3=$DF18+'Model Setup'!$H$7,SUMIF($BH$3:$CE$3,"="&amp;$DF18+'Model Setup'!$H$7,$AD18:$BA18)+'Model Setup'!$H$8*(SUMIF($BH$3:$CE$3,"&lt;"&amp;$DF18,$AD18:$BA18)+SUMIF($BH$3:$CE$3,"&gt;"&amp;$CW$4,$AD18:$BA18)),
IF(BS$3=$DF18+'Model Setup'!$I$7,SUMIF($BH$3:$CE$3,"="&amp;$DF18+'Model Setup'!$I$7,$AD18:$BA18)+'Model Setup'!$I$8*(SUMIF($BH$3:$CE$3,"&lt;"&amp;$DF18,$AD18:$BA18)+SUMIF($BH$3:$CE$3,"&gt;"&amp;$CW$4,$AD18:$BA18)),
IF(BS$3=$DF18+'Model Setup'!$J$7,SUMIF($BH$3:$CE$3,"="&amp;$DF18+'Model Setup'!$J$7,$AD18:$BA18)+'Model Setup'!$J$8*(SUMIF($BH$3:$CE$3,"&lt;"&amp;$DF18,$AD18:$BA18)+SUMIF($BH$3:$CE$3,"&gt;"&amp;$CW$4,$AD18:$BA18)),
IF(BS$3=$DF18+'Model Setup'!$K$7,SUMIF($BH$3:$CE$3,"="&amp;$DF18+'Model Setup'!$K$7,$AD18:$BA18)+'Model Setup'!$K$8*(SUMIF($BH$3:$CE$3,"&lt;"&amp;$DF18,$AD18:$BA18)+SUMIF($BH$3:$CE$3,"&gt;"&amp;$CW$4,$AD18:$BA18)),
IF(BS$3=$DF18+'Model Setup'!$L$7,SUMIF($BH$3:$CE$3,"="&amp;$DF18+'Model Setup'!$L$7,$AD18:$BA18)+'Model Setup'!$L$8*(SUMIF($BH$3:$CE$3,"&lt;"&amp;$DF18,$AD18:$BA18)+SUMIF($BH$3:$CE$3,"&gt;"&amp;$CW$4,$AD18:$BA18)),
IF(BS$3=$DF18+'Model Setup'!$M$7,SUMIF($BH$3:$CE$3,"="&amp;$DF18+'Model Setup'!$M$7,$AD18:$BA18)+'Model Setup'!$M$8*(SUMIF($BH$3:$CE$3,"&lt;"&amp;$DF18,$AD18:$BA18)+SUMIF($BH$3:$CE$3,"&gt;"&amp;$CW$4,$AD18:$BA18)),
IF(BS$3=$DF18+'Model Setup'!$N$7,SUMIF($BH$3:$CE$3,"="&amp;$DF18+'Model Setup'!$N$7,$AD18:$BA18)+'Model Setup'!$N$8*(SUMIF($BH$3:$CE$3,"&lt;"&amp;$DF18,$AD18:$BA18)+SUMIF($BH$3:$CE$3,"&gt;"&amp;$CW$4,$AD18:$BA18)),
IF(BS$3&lt;$CW$4,M18,0))))))))))))))),0)</f>
        <v>19</v>
      </c>
      <c r="BT18" s="47">
        <f>ROUND(IF(OR(BT$3&lt;$DF18,BT$3&gt;$CW$4),0,
IF(BT$3=$DF18+'Model Setup'!$B$7,SUMIF($BH$3:$CE$3,"="&amp;$DF18+'Model Setup'!$B$7,$AD18:$BA18)+'Model Setup'!$B$8*(SUMIF($BH$3:$CE$3,"&lt;"&amp;$DF18,$AD18:$BA18)+SUMIF($BH$3:$CE$3,"&gt;"&amp;$CW$4,$AD18:$BA18)),
IF(BT$3=$DF18+'Model Setup'!$C$7,SUMIF($BH$3:$CE$3,"="&amp;$DF18+'Model Setup'!$C$7,$AD18:$BA18)+'Model Setup'!$C$8*(SUMIF($BH$3:$CE$3,"&lt;"&amp;$DF18,$AD18:$BA18)+SUMIF($BH$3:$CE$3,"&gt;"&amp;$CW$4,$AD18:$BA18)),
IF(BT$3=$DF18+'Model Setup'!$D$7,SUMIF($BH$3:$CE$3,"="&amp;$DF18+'Model Setup'!$D$7,$AD18:$BA18)+'Model Setup'!$D$8*(SUMIF($BH$3:$CE$3,"&lt;"&amp;$DF18,$AD18:$BA18)+SUMIF($BH$3:$CE$3,"&gt;"&amp;$CW$4,$AD18:$BA18)),
IF(BT$3=$DF18+'Model Setup'!$E$7,SUMIF($BH$3:$CE$3,"="&amp;$DF18+'Model Setup'!$E$7,$AD18:$BA18)+'Model Setup'!$E$8*(SUMIF($BH$3:$CE$3,"&lt;"&amp;$DF18,$AD18:$BA18)+SUMIF($BH$3:$CE$3,"&gt;"&amp;$CW$4,$AD18:$BA18)),
IF(BT$3=$DF18+'Model Setup'!$F$7,SUMIF($BH$3:$CE$3,"="&amp;$DF18+'Model Setup'!$F$7,$AD18:$BA18)+'Model Setup'!$F$8*(SUMIF($BH$3:$CE$3,"&lt;"&amp;$DF18,$AD18:$BA18)+SUMIF($BH$3:$CE$3,"&gt;"&amp;$CW$4,$AD18:$BA18)),
IF(BT$3=$DF18+'Model Setup'!$G$7,SUMIF($BH$3:$CE$3,"="&amp;$DF18+'Model Setup'!$G$7,$AD18:$BA18)+'Model Setup'!$G$8*(SUMIF($BH$3:$CE$3,"&lt;"&amp;$DF18,$AD18:$BA18)+SUMIF($BH$3:$CE$3,"&gt;"&amp;$CW$4,$AD18:$BA18)),
IF(BT$3=$DF18+'Model Setup'!$H$7,SUMIF($BH$3:$CE$3,"="&amp;$DF18+'Model Setup'!$H$7,$AD18:$BA18)+'Model Setup'!$H$8*(SUMIF($BH$3:$CE$3,"&lt;"&amp;$DF18,$AD18:$BA18)+SUMIF($BH$3:$CE$3,"&gt;"&amp;$CW$4,$AD18:$BA18)),
IF(BT$3=$DF18+'Model Setup'!$I$7,SUMIF($BH$3:$CE$3,"="&amp;$DF18+'Model Setup'!$I$7,$AD18:$BA18)+'Model Setup'!$I$8*(SUMIF($BH$3:$CE$3,"&lt;"&amp;$DF18,$AD18:$BA18)+SUMIF($BH$3:$CE$3,"&gt;"&amp;$CW$4,$AD18:$BA18)),
IF(BT$3=$DF18+'Model Setup'!$J$7,SUMIF($BH$3:$CE$3,"="&amp;$DF18+'Model Setup'!$J$7,$AD18:$BA18)+'Model Setup'!$J$8*(SUMIF($BH$3:$CE$3,"&lt;"&amp;$DF18,$AD18:$BA18)+SUMIF($BH$3:$CE$3,"&gt;"&amp;$CW$4,$AD18:$BA18)),
IF(BT$3=$DF18+'Model Setup'!$K$7,SUMIF($BH$3:$CE$3,"="&amp;$DF18+'Model Setup'!$K$7,$AD18:$BA18)+'Model Setup'!$K$8*(SUMIF($BH$3:$CE$3,"&lt;"&amp;$DF18,$AD18:$BA18)+SUMIF($BH$3:$CE$3,"&gt;"&amp;$CW$4,$AD18:$BA18)),
IF(BT$3=$DF18+'Model Setup'!$L$7,SUMIF($BH$3:$CE$3,"="&amp;$DF18+'Model Setup'!$L$7,$AD18:$BA18)+'Model Setup'!$L$8*(SUMIF($BH$3:$CE$3,"&lt;"&amp;$DF18,$AD18:$BA18)+SUMIF($BH$3:$CE$3,"&gt;"&amp;$CW$4,$AD18:$BA18)),
IF(BT$3=$DF18+'Model Setup'!$M$7,SUMIF($BH$3:$CE$3,"="&amp;$DF18+'Model Setup'!$M$7,$AD18:$BA18)+'Model Setup'!$M$8*(SUMIF($BH$3:$CE$3,"&lt;"&amp;$DF18,$AD18:$BA18)+SUMIF($BH$3:$CE$3,"&gt;"&amp;$CW$4,$AD18:$BA18)),
IF(BT$3=$DF18+'Model Setup'!$N$7,SUMIF($BH$3:$CE$3,"="&amp;$DF18+'Model Setup'!$N$7,$AD18:$BA18)+'Model Setup'!$N$8*(SUMIF($BH$3:$CE$3,"&lt;"&amp;$DF18,$AD18:$BA18)+SUMIF($BH$3:$CE$3,"&gt;"&amp;$CW$4,$AD18:$BA18)),
IF(BT$3&lt;$CW$4,N18,0))))))))))))))),0)</f>
        <v>14</v>
      </c>
      <c r="BU18" s="47">
        <f>ROUND(IF(OR(BU$3&lt;$DF18,BU$3&gt;$CW$4),0,
IF(BU$3=$DF18+'Model Setup'!$B$7,SUMIF($BH$3:$CE$3,"="&amp;$DF18+'Model Setup'!$B$7,$AD18:$BA18)+'Model Setup'!$B$8*(SUMIF($BH$3:$CE$3,"&lt;"&amp;$DF18,$AD18:$BA18)+SUMIF($BH$3:$CE$3,"&gt;"&amp;$CW$4,$AD18:$BA18)),
IF(BU$3=$DF18+'Model Setup'!$C$7,SUMIF($BH$3:$CE$3,"="&amp;$DF18+'Model Setup'!$C$7,$AD18:$BA18)+'Model Setup'!$C$8*(SUMIF($BH$3:$CE$3,"&lt;"&amp;$DF18,$AD18:$BA18)+SUMIF($BH$3:$CE$3,"&gt;"&amp;$CW$4,$AD18:$BA18)),
IF(BU$3=$DF18+'Model Setup'!$D$7,SUMIF($BH$3:$CE$3,"="&amp;$DF18+'Model Setup'!$D$7,$AD18:$BA18)+'Model Setup'!$D$8*(SUMIF($BH$3:$CE$3,"&lt;"&amp;$DF18,$AD18:$BA18)+SUMIF($BH$3:$CE$3,"&gt;"&amp;$CW$4,$AD18:$BA18)),
IF(BU$3=$DF18+'Model Setup'!$E$7,SUMIF($BH$3:$CE$3,"="&amp;$DF18+'Model Setup'!$E$7,$AD18:$BA18)+'Model Setup'!$E$8*(SUMIF($BH$3:$CE$3,"&lt;"&amp;$DF18,$AD18:$BA18)+SUMIF($BH$3:$CE$3,"&gt;"&amp;$CW$4,$AD18:$BA18)),
IF(BU$3=$DF18+'Model Setup'!$F$7,SUMIF($BH$3:$CE$3,"="&amp;$DF18+'Model Setup'!$F$7,$AD18:$BA18)+'Model Setup'!$F$8*(SUMIF($BH$3:$CE$3,"&lt;"&amp;$DF18,$AD18:$BA18)+SUMIF($BH$3:$CE$3,"&gt;"&amp;$CW$4,$AD18:$BA18)),
IF(BU$3=$DF18+'Model Setup'!$G$7,SUMIF($BH$3:$CE$3,"="&amp;$DF18+'Model Setup'!$G$7,$AD18:$BA18)+'Model Setup'!$G$8*(SUMIF($BH$3:$CE$3,"&lt;"&amp;$DF18,$AD18:$BA18)+SUMIF($BH$3:$CE$3,"&gt;"&amp;$CW$4,$AD18:$BA18)),
IF(BU$3=$DF18+'Model Setup'!$H$7,SUMIF($BH$3:$CE$3,"="&amp;$DF18+'Model Setup'!$H$7,$AD18:$BA18)+'Model Setup'!$H$8*(SUMIF($BH$3:$CE$3,"&lt;"&amp;$DF18,$AD18:$BA18)+SUMIF($BH$3:$CE$3,"&gt;"&amp;$CW$4,$AD18:$BA18)),
IF(BU$3=$DF18+'Model Setup'!$I$7,SUMIF($BH$3:$CE$3,"="&amp;$DF18+'Model Setup'!$I$7,$AD18:$BA18)+'Model Setup'!$I$8*(SUMIF($BH$3:$CE$3,"&lt;"&amp;$DF18,$AD18:$BA18)+SUMIF($BH$3:$CE$3,"&gt;"&amp;$CW$4,$AD18:$BA18)),
IF(BU$3=$DF18+'Model Setup'!$J$7,SUMIF($BH$3:$CE$3,"="&amp;$DF18+'Model Setup'!$J$7,$AD18:$BA18)+'Model Setup'!$J$8*(SUMIF($BH$3:$CE$3,"&lt;"&amp;$DF18,$AD18:$BA18)+SUMIF($BH$3:$CE$3,"&gt;"&amp;$CW$4,$AD18:$BA18)),
IF(BU$3=$DF18+'Model Setup'!$K$7,SUMIF($BH$3:$CE$3,"="&amp;$DF18+'Model Setup'!$K$7,$AD18:$BA18)+'Model Setup'!$K$8*(SUMIF($BH$3:$CE$3,"&lt;"&amp;$DF18,$AD18:$BA18)+SUMIF($BH$3:$CE$3,"&gt;"&amp;$CW$4,$AD18:$BA18)),
IF(BU$3=$DF18+'Model Setup'!$L$7,SUMIF($BH$3:$CE$3,"="&amp;$DF18+'Model Setup'!$L$7,$AD18:$BA18)+'Model Setup'!$L$8*(SUMIF($BH$3:$CE$3,"&lt;"&amp;$DF18,$AD18:$BA18)+SUMIF($BH$3:$CE$3,"&gt;"&amp;$CW$4,$AD18:$BA18)),
IF(BU$3=$DF18+'Model Setup'!$M$7,SUMIF($BH$3:$CE$3,"="&amp;$DF18+'Model Setup'!$M$7,$AD18:$BA18)+'Model Setup'!$M$8*(SUMIF($BH$3:$CE$3,"&lt;"&amp;$DF18,$AD18:$BA18)+SUMIF($BH$3:$CE$3,"&gt;"&amp;$CW$4,$AD18:$BA18)),
IF(BU$3=$DF18+'Model Setup'!$N$7,SUMIF($BH$3:$CE$3,"="&amp;$DF18+'Model Setup'!$N$7,$AD18:$BA18)+'Model Setup'!$N$8*(SUMIF($BH$3:$CE$3,"&lt;"&amp;$DF18,$AD18:$BA18)+SUMIF($BH$3:$CE$3,"&gt;"&amp;$CW$4,$AD18:$BA18)),
IF(BU$3&lt;$CW$4,O18,0))))))))))))))),0)</f>
        <v>14</v>
      </c>
      <c r="BV18" s="47">
        <f>ROUND(IF(OR(BV$3&lt;$DF18,BV$3&gt;$CW$4),0,
IF(BV$3=$DF18+'Model Setup'!$B$7,SUMIF($BH$3:$CE$3,"="&amp;$DF18+'Model Setup'!$B$7,$AD18:$BA18)+'Model Setup'!$B$8*(SUMIF($BH$3:$CE$3,"&lt;"&amp;$DF18,$AD18:$BA18)+SUMIF($BH$3:$CE$3,"&gt;"&amp;$CW$4,$AD18:$BA18)),
IF(BV$3=$DF18+'Model Setup'!$C$7,SUMIF($BH$3:$CE$3,"="&amp;$DF18+'Model Setup'!$C$7,$AD18:$BA18)+'Model Setup'!$C$8*(SUMIF($BH$3:$CE$3,"&lt;"&amp;$DF18,$AD18:$BA18)+SUMIF($BH$3:$CE$3,"&gt;"&amp;$CW$4,$AD18:$BA18)),
IF(BV$3=$DF18+'Model Setup'!$D$7,SUMIF($BH$3:$CE$3,"="&amp;$DF18+'Model Setup'!$D$7,$AD18:$BA18)+'Model Setup'!$D$8*(SUMIF($BH$3:$CE$3,"&lt;"&amp;$DF18,$AD18:$BA18)+SUMIF($BH$3:$CE$3,"&gt;"&amp;$CW$4,$AD18:$BA18)),
IF(BV$3=$DF18+'Model Setup'!$E$7,SUMIF($BH$3:$CE$3,"="&amp;$DF18+'Model Setup'!$E$7,$AD18:$BA18)+'Model Setup'!$E$8*(SUMIF($BH$3:$CE$3,"&lt;"&amp;$DF18,$AD18:$BA18)+SUMIF($BH$3:$CE$3,"&gt;"&amp;$CW$4,$AD18:$BA18)),
IF(BV$3=$DF18+'Model Setup'!$F$7,SUMIF($BH$3:$CE$3,"="&amp;$DF18+'Model Setup'!$F$7,$AD18:$BA18)+'Model Setup'!$F$8*(SUMIF($BH$3:$CE$3,"&lt;"&amp;$DF18,$AD18:$BA18)+SUMIF($BH$3:$CE$3,"&gt;"&amp;$CW$4,$AD18:$BA18)),
IF(BV$3=$DF18+'Model Setup'!$G$7,SUMIF($BH$3:$CE$3,"="&amp;$DF18+'Model Setup'!$G$7,$AD18:$BA18)+'Model Setup'!$G$8*(SUMIF($BH$3:$CE$3,"&lt;"&amp;$DF18,$AD18:$BA18)+SUMIF($BH$3:$CE$3,"&gt;"&amp;$CW$4,$AD18:$BA18)),
IF(BV$3=$DF18+'Model Setup'!$H$7,SUMIF($BH$3:$CE$3,"="&amp;$DF18+'Model Setup'!$H$7,$AD18:$BA18)+'Model Setup'!$H$8*(SUMIF($BH$3:$CE$3,"&lt;"&amp;$DF18,$AD18:$BA18)+SUMIF($BH$3:$CE$3,"&gt;"&amp;$CW$4,$AD18:$BA18)),
IF(BV$3=$DF18+'Model Setup'!$I$7,SUMIF($BH$3:$CE$3,"="&amp;$DF18+'Model Setup'!$I$7,$AD18:$BA18)+'Model Setup'!$I$8*(SUMIF($BH$3:$CE$3,"&lt;"&amp;$DF18,$AD18:$BA18)+SUMIF($BH$3:$CE$3,"&gt;"&amp;$CW$4,$AD18:$BA18)),
IF(BV$3=$DF18+'Model Setup'!$J$7,SUMIF($BH$3:$CE$3,"="&amp;$DF18+'Model Setup'!$J$7,$AD18:$BA18)+'Model Setup'!$J$8*(SUMIF($BH$3:$CE$3,"&lt;"&amp;$DF18,$AD18:$BA18)+SUMIF($BH$3:$CE$3,"&gt;"&amp;$CW$4,$AD18:$BA18)),
IF(BV$3=$DF18+'Model Setup'!$K$7,SUMIF($BH$3:$CE$3,"="&amp;$DF18+'Model Setup'!$K$7,$AD18:$BA18)+'Model Setup'!$K$8*(SUMIF($BH$3:$CE$3,"&lt;"&amp;$DF18,$AD18:$BA18)+SUMIF($BH$3:$CE$3,"&gt;"&amp;$CW$4,$AD18:$BA18)),
IF(BV$3=$DF18+'Model Setup'!$L$7,SUMIF($BH$3:$CE$3,"="&amp;$DF18+'Model Setup'!$L$7,$AD18:$BA18)+'Model Setup'!$L$8*(SUMIF($BH$3:$CE$3,"&lt;"&amp;$DF18,$AD18:$BA18)+SUMIF($BH$3:$CE$3,"&gt;"&amp;$CW$4,$AD18:$BA18)),
IF(BV$3=$DF18+'Model Setup'!$M$7,SUMIF($BH$3:$CE$3,"="&amp;$DF18+'Model Setup'!$M$7,$AD18:$BA18)+'Model Setup'!$M$8*(SUMIF($BH$3:$CE$3,"&lt;"&amp;$DF18,$AD18:$BA18)+SUMIF($BH$3:$CE$3,"&gt;"&amp;$CW$4,$AD18:$BA18)),
IF(BV$3=$DF18+'Model Setup'!$N$7,SUMIF($BH$3:$CE$3,"="&amp;$DF18+'Model Setup'!$N$7,$AD18:$BA18)+'Model Setup'!$N$8*(SUMIF($BH$3:$CE$3,"&lt;"&amp;$DF18,$AD18:$BA18)+SUMIF($BH$3:$CE$3,"&gt;"&amp;$CW$4,$AD18:$BA18)),
IF(BV$3&lt;$CW$4,P18,0))))))))))))))),0)</f>
        <v>12</v>
      </c>
      <c r="BW18" s="47">
        <f>ROUND(IF(OR(BW$3&lt;$DF18,BW$3&gt;$CW$4),0,
IF(BW$3=$DF18+'Model Setup'!$B$7,SUMIF($BH$3:$CE$3,"="&amp;$DF18+'Model Setup'!$B$7,$AD18:$BA18)+'Model Setup'!$B$8*(SUMIF($BH$3:$CE$3,"&lt;"&amp;$DF18,$AD18:$BA18)+SUMIF($BH$3:$CE$3,"&gt;"&amp;$CW$4,$AD18:$BA18)),
IF(BW$3=$DF18+'Model Setup'!$C$7,SUMIF($BH$3:$CE$3,"="&amp;$DF18+'Model Setup'!$C$7,$AD18:$BA18)+'Model Setup'!$C$8*(SUMIF($BH$3:$CE$3,"&lt;"&amp;$DF18,$AD18:$BA18)+SUMIF($BH$3:$CE$3,"&gt;"&amp;$CW$4,$AD18:$BA18)),
IF(BW$3=$DF18+'Model Setup'!$D$7,SUMIF($BH$3:$CE$3,"="&amp;$DF18+'Model Setup'!$D$7,$AD18:$BA18)+'Model Setup'!$D$8*(SUMIF($BH$3:$CE$3,"&lt;"&amp;$DF18,$AD18:$BA18)+SUMIF($BH$3:$CE$3,"&gt;"&amp;$CW$4,$AD18:$BA18)),
IF(BW$3=$DF18+'Model Setup'!$E$7,SUMIF($BH$3:$CE$3,"="&amp;$DF18+'Model Setup'!$E$7,$AD18:$BA18)+'Model Setup'!$E$8*(SUMIF($BH$3:$CE$3,"&lt;"&amp;$DF18,$AD18:$BA18)+SUMIF($BH$3:$CE$3,"&gt;"&amp;$CW$4,$AD18:$BA18)),
IF(BW$3=$DF18+'Model Setup'!$F$7,SUMIF($BH$3:$CE$3,"="&amp;$DF18+'Model Setup'!$F$7,$AD18:$BA18)+'Model Setup'!$F$8*(SUMIF($BH$3:$CE$3,"&lt;"&amp;$DF18,$AD18:$BA18)+SUMIF($BH$3:$CE$3,"&gt;"&amp;$CW$4,$AD18:$BA18)),
IF(BW$3=$DF18+'Model Setup'!$G$7,SUMIF($BH$3:$CE$3,"="&amp;$DF18+'Model Setup'!$G$7,$AD18:$BA18)+'Model Setup'!$G$8*(SUMIF($BH$3:$CE$3,"&lt;"&amp;$DF18,$AD18:$BA18)+SUMIF($BH$3:$CE$3,"&gt;"&amp;$CW$4,$AD18:$BA18)),
IF(BW$3=$DF18+'Model Setup'!$H$7,SUMIF($BH$3:$CE$3,"="&amp;$DF18+'Model Setup'!$H$7,$AD18:$BA18)+'Model Setup'!$H$8*(SUMIF($BH$3:$CE$3,"&lt;"&amp;$DF18,$AD18:$BA18)+SUMIF($BH$3:$CE$3,"&gt;"&amp;$CW$4,$AD18:$BA18)),
IF(BW$3=$DF18+'Model Setup'!$I$7,SUMIF($BH$3:$CE$3,"="&amp;$DF18+'Model Setup'!$I$7,$AD18:$BA18)+'Model Setup'!$I$8*(SUMIF($BH$3:$CE$3,"&lt;"&amp;$DF18,$AD18:$BA18)+SUMIF($BH$3:$CE$3,"&gt;"&amp;$CW$4,$AD18:$BA18)),
IF(BW$3=$DF18+'Model Setup'!$J$7,SUMIF($BH$3:$CE$3,"="&amp;$DF18+'Model Setup'!$J$7,$AD18:$BA18)+'Model Setup'!$J$8*(SUMIF($BH$3:$CE$3,"&lt;"&amp;$DF18,$AD18:$BA18)+SUMIF($BH$3:$CE$3,"&gt;"&amp;$CW$4,$AD18:$BA18)),
IF(BW$3=$DF18+'Model Setup'!$K$7,SUMIF($BH$3:$CE$3,"="&amp;$DF18+'Model Setup'!$K$7,$AD18:$BA18)+'Model Setup'!$K$8*(SUMIF($BH$3:$CE$3,"&lt;"&amp;$DF18,$AD18:$BA18)+SUMIF($BH$3:$CE$3,"&gt;"&amp;$CW$4,$AD18:$BA18)),
IF(BW$3=$DF18+'Model Setup'!$L$7,SUMIF($BH$3:$CE$3,"="&amp;$DF18+'Model Setup'!$L$7,$AD18:$BA18)+'Model Setup'!$L$8*(SUMIF($BH$3:$CE$3,"&lt;"&amp;$DF18,$AD18:$BA18)+SUMIF($BH$3:$CE$3,"&gt;"&amp;$CW$4,$AD18:$BA18)),
IF(BW$3=$DF18+'Model Setup'!$M$7,SUMIF($BH$3:$CE$3,"="&amp;$DF18+'Model Setup'!$M$7,$AD18:$BA18)+'Model Setup'!$M$8*(SUMIF($BH$3:$CE$3,"&lt;"&amp;$DF18,$AD18:$BA18)+SUMIF($BH$3:$CE$3,"&gt;"&amp;$CW$4,$AD18:$BA18)),
IF(BW$3=$DF18+'Model Setup'!$N$7,SUMIF($BH$3:$CE$3,"="&amp;$DF18+'Model Setup'!$N$7,$AD18:$BA18)+'Model Setup'!$N$8*(SUMIF($BH$3:$CE$3,"&lt;"&amp;$DF18,$AD18:$BA18)+SUMIF($BH$3:$CE$3,"&gt;"&amp;$CW$4,$AD18:$BA18)),
IF(BW$3&lt;$CW$4,Q18,0))))))))))))))),0)</f>
        <v>9</v>
      </c>
      <c r="BX18" s="47">
        <f>ROUND(IF(OR(BX$3&lt;$DF18,BX$3&gt;$CW$4),0,
IF(BX$3=$DF18+'Model Setup'!$B$7,SUMIF($BH$3:$CE$3,"="&amp;$DF18+'Model Setup'!$B$7,$AD18:$BA18)+'Model Setup'!$B$8*(SUMIF($BH$3:$CE$3,"&lt;"&amp;$DF18,$AD18:$BA18)+SUMIF($BH$3:$CE$3,"&gt;"&amp;$CW$4,$AD18:$BA18)),
IF(BX$3=$DF18+'Model Setup'!$C$7,SUMIF($BH$3:$CE$3,"="&amp;$DF18+'Model Setup'!$C$7,$AD18:$BA18)+'Model Setup'!$C$8*(SUMIF($BH$3:$CE$3,"&lt;"&amp;$DF18,$AD18:$BA18)+SUMIF($BH$3:$CE$3,"&gt;"&amp;$CW$4,$AD18:$BA18)),
IF(BX$3=$DF18+'Model Setup'!$D$7,SUMIF($BH$3:$CE$3,"="&amp;$DF18+'Model Setup'!$D$7,$AD18:$BA18)+'Model Setup'!$D$8*(SUMIF($BH$3:$CE$3,"&lt;"&amp;$DF18,$AD18:$BA18)+SUMIF($BH$3:$CE$3,"&gt;"&amp;$CW$4,$AD18:$BA18)),
IF(BX$3=$DF18+'Model Setup'!$E$7,SUMIF($BH$3:$CE$3,"="&amp;$DF18+'Model Setup'!$E$7,$AD18:$BA18)+'Model Setup'!$E$8*(SUMIF($BH$3:$CE$3,"&lt;"&amp;$DF18,$AD18:$BA18)+SUMIF($BH$3:$CE$3,"&gt;"&amp;$CW$4,$AD18:$BA18)),
IF(BX$3=$DF18+'Model Setup'!$F$7,SUMIF($BH$3:$CE$3,"="&amp;$DF18+'Model Setup'!$F$7,$AD18:$BA18)+'Model Setup'!$F$8*(SUMIF($BH$3:$CE$3,"&lt;"&amp;$DF18,$AD18:$BA18)+SUMIF($BH$3:$CE$3,"&gt;"&amp;$CW$4,$AD18:$BA18)),
IF(BX$3=$DF18+'Model Setup'!$G$7,SUMIF($BH$3:$CE$3,"="&amp;$DF18+'Model Setup'!$G$7,$AD18:$BA18)+'Model Setup'!$G$8*(SUMIF($BH$3:$CE$3,"&lt;"&amp;$DF18,$AD18:$BA18)+SUMIF($BH$3:$CE$3,"&gt;"&amp;$CW$4,$AD18:$BA18)),
IF(BX$3=$DF18+'Model Setup'!$H$7,SUMIF($BH$3:$CE$3,"="&amp;$DF18+'Model Setup'!$H$7,$AD18:$BA18)+'Model Setup'!$H$8*(SUMIF($BH$3:$CE$3,"&lt;"&amp;$DF18,$AD18:$BA18)+SUMIF($BH$3:$CE$3,"&gt;"&amp;$CW$4,$AD18:$BA18)),
IF(BX$3=$DF18+'Model Setup'!$I$7,SUMIF($BH$3:$CE$3,"="&amp;$DF18+'Model Setup'!$I$7,$AD18:$BA18)+'Model Setup'!$I$8*(SUMIF($BH$3:$CE$3,"&lt;"&amp;$DF18,$AD18:$BA18)+SUMIF($BH$3:$CE$3,"&gt;"&amp;$CW$4,$AD18:$BA18)),
IF(BX$3=$DF18+'Model Setup'!$J$7,SUMIF($BH$3:$CE$3,"="&amp;$DF18+'Model Setup'!$J$7,$AD18:$BA18)+'Model Setup'!$J$8*(SUMIF($BH$3:$CE$3,"&lt;"&amp;$DF18,$AD18:$BA18)+SUMIF($BH$3:$CE$3,"&gt;"&amp;$CW$4,$AD18:$BA18)),
IF(BX$3=$DF18+'Model Setup'!$K$7,SUMIF($BH$3:$CE$3,"="&amp;$DF18+'Model Setup'!$K$7,$AD18:$BA18)+'Model Setup'!$K$8*(SUMIF($BH$3:$CE$3,"&lt;"&amp;$DF18,$AD18:$BA18)+SUMIF($BH$3:$CE$3,"&gt;"&amp;$CW$4,$AD18:$BA18)),
IF(BX$3=$DF18+'Model Setup'!$L$7,SUMIF($BH$3:$CE$3,"="&amp;$DF18+'Model Setup'!$L$7,$AD18:$BA18)+'Model Setup'!$L$8*(SUMIF($BH$3:$CE$3,"&lt;"&amp;$DF18,$AD18:$BA18)+SUMIF($BH$3:$CE$3,"&gt;"&amp;$CW$4,$AD18:$BA18)),
IF(BX$3=$DF18+'Model Setup'!$M$7,SUMIF($BH$3:$CE$3,"="&amp;$DF18+'Model Setup'!$M$7,$AD18:$BA18)+'Model Setup'!$M$8*(SUMIF($BH$3:$CE$3,"&lt;"&amp;$DF18,$AD18:$BA18)+SUMIF($BH$3:$CE$3,"&gt;"&amp;$CW$4,$AD18:$BA18)),
IF(BX$3=$DF18+'Model Setup'!$N$7,SUMIF($BH$3:$CE$3,"="&amp;$DF18+'Model Setup'!$N$7,$AD18:$BA18)+'Model Setup'!$N$8*(SUMIF($BH$3:$CE$3,"&lt;"&amp;$DF18,$AD18:$BA18)+SUMIF($BH$3:$CE$3,"&gt;"&amp;$CW$4,$AD18:$BA18)),
IF(BX$3&lt;$CW$4,R18,0))))))))))))))),0)</f>
        <v>9</v>
      </c>
      <c r="BY18" s="47">
        <f>ROUND(IF(OR(BY$3&lt;$DF18,BY$3&gt;$CW$4),0,
IF(BY$3=$DF18+'Model Setup'!$B$7,SUMIF($BH$3:$CE$3,"="&amp;$DF18+'Model Setup'!$B$7,$AD18:$BA18)+'Model Setup'!$B$8*(SUMIF($BH$3:$CE$3,"&lt;"&amp;$DF18,$AD18:$BA18)+SUMIF($BH$3:$CE$3,"&gt;"&amp;$CW$4,$AD18:$BA18)),
IF(BY$3=$DF18+'Model Setup'!$C$7,SUMIF($BH$3:$CE$3,"="&amp;$DF18+'Model Setup'!$C$7,$AD18:$BA18)+'Model Setup'!$C$8*(SUMIF($BH$3:$CE$3,"&lt;"&amp;$DF18,$AD18:$BA18)+SUMIF($BH$3:$CE$3,"&gt;"&amp;$CW$4,$AD18:$BA18)),
IF(BY$3=$DF18+'Model Setup'!$D$7,SUMIF($BH$3:$CE$3,"="&amp;$DF18+'Model Setup'!$D$7,$AD18:$BA18)+'Model Setup'!$D$8*(SUMIF($BH$3:$CE$3,"&lt;"&amp;$DF18,$AD18:$BA18)+SUMIF($BH$3:$CE$3,"&gt;"&amp;$CW$4,$AD18:$BA18)),
IF(BY$3=$DF18+'Model Setup'!$E$7,SUMIF($BH$3:$CE$3,"="&amp;$DF18+'Model Setup'!$E$7,$AD18:$BA18)+'Model Setup'!$E$8*(SUMIF($BH$3:$CE$3,"&lt;"&amp;$DF18,$AD18:$BA18)+SUMIF($BH$3:$CE$3,"&gt;"&amp;$CW$4,$AD18:$BA18)),
IF(BY$3=$DF18+'Model Setup'!$F$7,SUMIF($BH$3:$CE$3,"="&amp;$DF18+'Model Setup'!$F$7,$AD18:$BA18)+'Model Setup'!$F$8*(SUMIF($BH$3:$CE$3,"&lt;"&amp;$DF18,$AD18:$BA18)+SUMIF($BH$3:$CE$3,"&gt;"&amp;$CW$4,$AD18:$BA18)),
IF(BY$3=$DF18+'Model Setup'!$G$7,SUMIF($BH$3:$CE$3,"="&amp;$DF18+'Model Setup'!$G$7,$AD18:$BA18)+'Model Setup'!$G$8*(SUMIF($BH$3:$CE$3,"&lt;"&amp;$DF18,$AD18:$BA18)+SUMIF($BH$3:$CE$3,"&gt;"&amp;$CW$4,$AD18:$BA18)),
IF(BY$3=$DF18+'Model Setup'!$H$7,SUMIF($BH$3:$CE$3,"="&amp;$DF18+'Model Setup'!$H$7,$AD18:$BA18)+'Model Setup'!$H$8*(SUMIF($BH$3:$CE$3,"&lt;"&amp;$DF18,$AD18:$BA18)+SUMIF($BH$3:$CE$3,"&gt;"&amp;$CW$4,$AD18:$BA18)),
IF(BY$3=$DF18+'Model Setup'!$I$7,SUMIF($BH$3:$CE$3,"="&amp;$DF18+'Model Setup'!$I$7,$AD18:$BA18)+'Model Setup'!$I$8*(SUMIF($BH$3:$CE$3,"&lt;"&amp;$DF18,$AD18:$BA18)+SUMIF($BH$3:$CE$3,"&gt;"&amp;$CW$4,$AD18:$BA18)),
IF(BY$3=$DF18+'Model Setup'!$J$7,SUMIF($BH$3:$CE$3,"="&amp;$DF18+'Model Setup'!$J$7,$AD18:$BA18)+'Model Setup'!$J$8*(SUMIF($BH$3:$CE$3,"&lt;"&amp;$DF18,$AD18:$BA18)+SUMIF($BH$3:$CE$3,"&gt;"&amp;$CW$4,$AD18:$BA18)),
IF(BY$3=$DF18+'Model Setup'!$K$7,SUMIF($BH$3:$CE$3,"="&amp;$DF18+'Model Setup'!$K$7,$AD18:$BA18)+'Model Setup'!$K$8*(SUMIF($BH$3:$CE$3,"&lt;"&amp;$DF18,$AD18:$BA18)+SUMIF($BH$3:$CE$3,"&gt;"&amp;$CW$4,$AD18:$BA18)),
IF(BY$3=$DF18+'Model Setup'!$L$7,SUMIF($BH$3:$CE$3,"="&amp;$DF18+'Model Setup'!$L$7,$AD18:$BA18)+'Model Setup'!$L$8*(SUMIF($BH$3:$CE$3,"&lt;"&amp;$DF18,$AD18:$BA18)+SUMIF($BH$3:$CE$3,"&gt;"&amp;$CW$4,$AD18:$BA18)),
IF(BY$3=$DF18+'Model Setup'!$M$7,SUMIF($BH$3:$CE$3,"="&amp;$DF18+'Model Setup'!$M$7,$AD18:$BA18)+'Model Setup'!$M$8*(SUMIF($BH$3:$CE$3,"&lt;"&amp;$DF18,$AD18:$BA18)+SUMIF($BH$3:$CE$3,"&gt;"&amp;$CW$4,$AD18:$BA18)),
IF(BY$3=$DF18+'Model Setup'!$N$7,SUMIF($BH$3:$CE$3,"="&amp;$DF18+'Model Setup'!$N$7,$AD18:$BA18)+'Model Setup'!$N$8*(SUMIF($BH$3:$CE$3,"&lt;"&amp;$DF18,$AD18:$BA18)+SUMIF($BH$3:$CE$3,"&gt;"&amp;$CW$4,$AD18:$BA18)),
IF(BY$3&lt;$CW$4,S18,0))))))))))))))),0)</f>
        <v>12</v>
      </c>
      <c r="BZ18" s="47">
        <f>ROUND(IF(OR(BZ$3&lt;$DF18,BZ$3&gt;$CW$4),0,
IF(BZ$3=$DF18+'Model Setup'!$B$7,SUMIF($BH$3:$CE$3,"="&amp;$DF18+'Model Setup'!$B$7,$AD18:$BA18)+'Model Setup'!$B$8*(SUMIF($BH$3:$CE$3,"&lt;"&amp;$DF18,$AD18:$BA18)+SUMIF($BH$3:$CE$3,"&gt;"&amp;$CW$4,$AD18:$BA18)),
IF(BZ$3=$DF18+'Model Setup'!$C$7,SUMIF($BH$3:$CE$3,"="&amp;$DF18+'Model Setup'!$C$7,$AD18:$BA18)+'Model Setup'!$C$8*(SUMIF($BH$3:$CE$3,"&lt;"&amp;$DF18,$AD18:$BA18)+SUMIF($BH$3:$CE$3,"&gt;"&amp;$CW$4,$AD18:$BA18)),
IF(BZ$3=$DF18+'Model Setup'!$D$7,SUMIF($BH$3:$CE$3,"="&amp;$DF18+'Model Setup'!$D$7,$AD18:$BA18)+'Model Setup'!$D$8*(SUMIF($BH$3:$CE$3,"&lt;"&amp;$DF18,$AD18:$BA18)+SUMIF($BH$3:$CE$3,"&gt;"&amp;$CW$4,$AD18:$BA18)),
IF(BZ$3=$DF18+'Model Setup'!$E$7,SUMIF($BH$3:$CE$3,"="&amp;$DF18+'Model Setup'!$E$7,$AD18:$BA18)+'Model Setup'!$E$8*(SUMIF($BH$3:$CE$3,"&lt;"&amp;$DF18,$AD18:$BA18)+SUMIF($BH$3:$CE$3,"&gt;"&amp;$CW$4,$AD18:$BA18)),
IF(BZ$3=$DF18+'Model Setup'!$F$7,SUMIF($BH$3:$CE$3,"="&amp;$DF18+'Model Setup'!$F$7,$AD18:$BA18)+'Model Setup'!$F$8*(SUMIF($BH$3:$CE$3,"&lt;"&amp;$DF18,$AD18:$BA18)+SUMIF($BH$3:$CE$3,"&gt;"&amp;$CW$4,$AD18:$BA18)),
IF(BZ$3=$DF18+'Model Setup'!$G$7,SUMIF($BH$3:$CE$3,"="&amp;$DF18+'Model Setup'!$G$7,$AD18:$BA18)+'Model Setup'!$G$8*(SUMIF($BH$3:$CE$3,"&lt;"&amp;$DF18,$AD18:$BA18)+SUMIF($BH$3:$CE$3,"&gt;"&amp;$CW$4,$AD18:$BA18)),
IF(BZ$3=$DF18+'Model Setup'!$H$7,SUMIF($BH$3:$CE$3,"="&amp;$DF18+'Model Setup'!$H$7,$AD18:$BA18)+'Model Setup'!$H$8*(SUMIF($BH$3:$CE$3,"&lt;"&amp;$DF18,$AD18:$BA18)+SUMIF($BH$3:$CE$3,"&gt;"&amp;$CW$4,$AD18:$BA18)),
IF(BZ$3=$DF18+'Model Setup'!$I$7,SUMIF($BH$3:$CE$3,"="&amp;$DF18+'Model Setup'!$I$7,$AD18:$BA18)+'Model Setup'!$I$8*(SUMIF($BH$3:$CE$3,"&lt;"&amp;$DF18,$AD18:$BA18)+SUMIF($BH$3:$CE$3,"&gt;"&amp;$CW$4,$AD18:$BA18)),
IF(BZ$3=$DF18+'Model Setup'!$J$7,SUMIF($BH$3:$CE$3,"="&amp;$DF18+'Model Setup'!$J$7,$AD18:$BA18)+'Model Setup'!$J$8*(SUMIF($BH$3:$CE$3,"&lt;"&amp;$DF18,$AD18:$BA18)+SUMIF($BH$3:$CE$3,"&gt;"&amp;$CW$4,$AD18:$BA18)),
IF(BZ$3=$DF18+'Model Setup'!$K$7,SUMIF($BH$3:$CE$3,"="&amp;$DF18+'Model Setup'!$K$7,$AD18:$BA18)+'Model Setup'!$K$8*(SUMIF($BH$3:$CE$3,"&lt;"&amp;$DF18,$AD18:$BA18)+SUMIF($BH$3:$CE$3,"&gt;"&amp;$CW$4,$AD18:$BA18)),
IF(BZ$3=$DF18+'Model Setup'!$L$7,SUMIF($BH$3:$CE$3,"="&amp;$DF18+'Model Setup'!$L$7,$AD18:$BA18)+'Model Setup'!$L$8*(SUMIF($BH$3:$CE$3,"&lt;"&amp;$DF18,$AD18:$BA18)+SUMIF($BH$3:$CE$3,"&gt;"&amp;$CW$4,$AD18:$BA18)),
IF(BZ$3=$DF18+'Model Setup'!$M$7,SUMIF($BH$3:$CE$3,"="&amp;$DF18+'Model Setup'!$M$7,$AD18:$BA18)+'Model Setup'!$M$8*(SUMIF($BH$3:$CE$3,"&lt;"&amp;$DF18,$AD18:$BA18)+SUMIF($BH$3:$CE$3,"&gt;"&amp;$CW$4,$AD18:$BA18)),
IF(BZ$3=$DF18+'Model Setup'!$N$7,SUMIF($BH$3:$CE$3,"="&amp;$DF18+'Model Setup'!$N$7,$AD18:$BA18)+'Model Setup'!$N$8*(SUMIF($BH$3:$CE$3,"&lt;"&amp;$DF18,$AD18:$BA18)+SUMIF($BH$3:$CE$3,"&gt;"&amp;$CW$4,$AD18:$BA18)),
IF(BZ$3&lt;$CW$4,T18,0))))))))))))))),0)</f>
        <v>12</v>
      </c>
      <c r="CA18" s="47">
        <f>ROUND(IF(OR(CA$3&lt;$DF18,CA$3&gt;$CW$4),0,
IF(CA$3=$DF18+'Model Setup'!$B$7,SUMIF($BH$3:$CE$3,"="&amp;$DF18+'Model Setup'!$B$7,$AD18:$BA18)+'Model Setup'!$B$8*(SUMIF($BH$3:$CE$3,"&lt;"&amp;$DF18,$AD18:$BA18)+SUMIF($BH$3:$CE$3,"&gt;"&amp;$CW$4,$AD18:$BA18)),
IF(CA$3=$DF18+'Model Setup'!$C$7,SUMIF($BH$3:$CE$3,"="&amp;$DF18+'Model Setup'!$C$7,$AD18:$BA18)+'Model Setup'!$C$8*(SUMIF($BH$3:$CE$3,"&lt;"&amp;$DF18,$AD18:$BA18)+SUMIF($BH$3:$CE$3,"&gt;"&amp;$CW$4,$AD18:$BA18)),
IF(CA$3=$DF18+'Model Setup'!$D$7,SUMIF($BH$3:$CE$3,"="&amp;$DF18+'Model Setup'!$D$7,$AD18:$BA18)+'Model Setup'!$D$8*(SUMIF($BH$3:$CE$3,"&lt;"&amp;$DF18,$AD18:$BA18)+SUMIF($BH$3:$CE$3,"&gt;"&amp;$CW$4,$AD18:$BA18)),
IF(CA$3=$DF18+'Model Setup'!$E$7,SUMIF($BH$3:$CE$3,"="&amp;$DF18+'Model Setup'!$E$7,$AD18:$BA18)+'Model Setup'!$E$8*(SUMIF($BH$3:$CE$3,"&lt;"&amp;$DF18,$AD18:$BA18)+SUMIF($BH$3:$CE$3,"&gt;"&amp;$CW$4,$AD18:$BA18)),
IF(CA$3=$DF18+'Model Setup'!$F$7,SUMIF($BH$3:$CE$3,"="&amp;$DF18+'Model Setup'!$F$7,$AD18:$BA18)+'Model Setup'!$F$8*(SUMIF($BH$3:$CE$3,"&lt;"&amp;$DF18,$AD18:$BA18)+SUMIF($BH$3:$CE$3,"&gt;"&amp;$CW$4,$AD18:$BA18)),
IF(CA$3=$DF18+'Model Setup'!$G$7,SUMIF($BH$3:$CE$3,"="&amp;$DF18+'Model Setup'!$G$7,$AD18:$BA18)+'Model Setup'!$G$8*(SUMIF($BH$3:$CE$3,"&lt;"&amp;$DF18,$AD18:$BA18)+SUMIF($BH$3:$CE$3,"&gt;"&amp;$CW$4,$AD18:$BA18)),
IF(CA$3=$DF18+'Model Setup'!$H$7,SUMIF($BH$3:$CE$3,"="&amp;$DF18+'Model Setup'!$H$7,$AD18:$BA18)+'Model Setup'!$H$8*(SUMIF($BH$3:$CE$3,"&lt;"&amp;$DF18,$AD18:$BA18)+SUMIF($BH$3:$CE$3,"&gt;"&amp;$CW$4,$AD18:$BA18)),
IF(CA$3=$DF18+'Model Setup'!$I$7,SUMIF($BH$3:$CE$3,"="&amp;$DF18+'Model Setup'!$I$7,$AD18:$BA18)+'Model Setup'!$I$8*(SUMIF($BH$3:$CE$3,"&lt;"&amp;$DF18,$AD18:$BA18)+SUMIF($BH$3:$CE$3,"&gt;"&amp;$CW$4,$AD18:$BA18)),
IF(CA$3=$DF18+'Model Setup'!$J$7,SUMIF($BH$3:$CE$3,"="&amp;$DF18+'Model Setup'!$J$7,$AD18:$BA18)+'Model Setup'!$J$8*(SUMIF($BH$3:$CE$3,"&lt;"&amp;$DF18,$AD18:$BA18)+SUMIF($BH$3:$CE$3,"&gt;"&amp;$CW$4,$AD18:$BA18)),
IF(CA$3=$DF18+'Model Setup'!$K$7,SUMIF($BH$3:$CE$3,"="&amp;$DF18+'Model Setup'!$K$7,$AD18:$BA18)+'Model Setup'!$K$8*(SUMIF($BH$3:$CE$3,"&lt;"&amp;$DF18,$AD18:$BA18)+SUMIF($BH$3:$CE$3,"&gt;"&amp;$CW$4,$AD18:$BA18)),
IF(CA$3=$DF18+'Model Setup'!$L$7,SUMIF($BH$3:$CE$3,"="&amp;$DF18+'Model Setup'!$L$7,$AD18:$BA18)+'Model Setup'!$L$8*(SUMIF($BH$3:$CE$3,"&lt;"&amp;$DF18,$AD18:$BA18)+SUMIF($BH$3:$CE$3,"&gt;"&amp;$CW$4,$AD18:$BA18)),
IF(CA$3=$DF18+'Model Setup'!$M$7,SUMIF($BH$3:$CE$3,"="&amp;$DF18+'Model Setup'!$M$7,$AD18:$BA18)+'Model Setup'!$M$8*(SUMIF($BH$3:$CE$3,"&lt;"&amp;$DF18,$AD18:$BA18)+SUMIF($BH$3:$CE$3,"&gt;"&amp;$CW$4,$AD18:$BA18)),
IF(CA$3=$DF18+'Model Setup'!$N$7,SUMIF($BH$3:$CE$3,"="&amp;$DF18+'Model Setup'!$N$7,$AD18:$BA18)+'Model Setup'!$N$8*(SUMIF($BH$3:$CE$3,"&lt;"&amp;$DF18,$AD18:$BA18)+SUMIF($BH$3:$CE$3,"&gt;"&amp;$CW$4,$AD18:$BA18)),
IF(CA$3&lt;$CW$4,U18,0))))))))))))))),0)</f>
        <v>0</v>
      </c>
      <c r="CB18" s="47">
        <f>ROUND(IF(OR(CB$3&lt;$DF18,CB$3&gt;$CW$4),0,
IF(CB$3=$DF18+'Model Setup'!$B$7,SUMIF($BH$3:$CE$3,"="&amp;$DF18+'Model Setup'!$B$7,$AD18:$BA18)+'Model Setup'!$B$8*(SUMIF($BH$3:$CE$3,"&lt;"&amp;$DF18,$AD18:$BA18)+SUMIF($BH$3:$CE$3,"&gt;"&amp;$CW$4,$AD18:$BA18)),
IF(CB$3=$DF18+'Model Setup'!$C$7,SUMIF($BH$3:$CE$3,"="&amp;$DF18+'Model Setup'!$C$7,$AD18:$BA18)+'Model Setup'!$C$8*(SUMIF($BH$3:$CE$3,"&lt;"&amp;$DF18,$AD18:$BA18)+SUMIF($BH$3:$CE$3,"&gt;"&amp;$CW$4,$AD18:$BA18)),
IF(CB$3=$DF18+'Model Setup'!$D$7,SUMIF($BH$3:$CE$3,"="&amp;$DF18+'Model Setup'!$D$7,$AD18:$BA18)+'Model Setup'!$D$8*(SUMIF($BH$3:$CE$3,"&lt;"&amp;$DF18,$AD18:$BA18)+SUMIF($BH$3:$CE$3,"&gt;"&amp;$CW$4,$AD18:$BA18)),
IF(CB$3=$DF18+'Model Setup'!$E$7,SUMIF($BH$3:$CE$3,"="&amp;$DF18+'Model Setup'!$E$7,$AD18:$BA18)+'Model Setup'!$E$8*(SUMIF($BH$3:$CE$3,"&lt;"&amp;$DF18,$AD18:$BA18)+SUMIF($BH$3:$CE$3,"&gt;"&amp;$CW$4,$AD18:$BA18)),
IF(CB$3=$DF18+'Model Setup'!$F$7,SUMIF($BH$3:$CE$3,"="&amp;$DF18+'Model Setup'!$F$7,$AD18:$BA18)+'Model Setup'!$F$8*(SUMIF($BH$3:$CE$3,"&lt;"&amp;$DF18,$AD18:$BA18)+SUMIF($BH$3:$CE$3,"&gt;"&amp;$CW$4,$AD18:$BA18)),
IF(CB$3=$DF18+'Model Setup'!$G$7,SUMIF($BH$3:$CE$3,"="&amp;$DF18+'Model Setup'!$G$7,$AD18:$BA18)+'Model Setup'!$G$8*(SUMIF($BH$3:$CE$3,"&lt;"&amp;$DF18,$AD18:$BA18)+SUMIF($BH$3:$CE$3,"&gt;"&amp;$CW$4,$AD18:$BA18)),
IF(CB$3=$DF18+'Model Setup'!$H$7,SUMIF($BH$3:$CE$3,"="&amp;$DF18+'Model Setup'!$H$7,$AD18:$BA18)+'Model Setup'!$H$8*(SUMIF($BH$3:$CE$3,"&lt;"&amp;$DF18,$AD18:$BA18)+SUMIF($BH$3:$CE$3,"&gt;"&amp;$CW$4,$AD18:$BA18)),
IF(CB$3=$DF18+'Model Setup'!$I$7,SUMIF($BH$3:$CE$3,"="&amp;$DF18+'Model Setup'!$I$7,$AD18:$BA18)+'Model Setup'!$I$8*(SUMIF($BH$3:$CE$3,"&lt;"&amp;$DF18,$AD18:$BA18)+SUMIF($BH$3:$CE$3,"&gt;"&amp;$CW$4,$AD18:$BA18)),
IF(CB$3=$DF18+'Model Setup'!$J$7,SUMIF($BH$3:$CE$3,"="&amp;$DF18+'Model Setup'!$J$7,$AD18:$BA18)+'Model Setup'!$J$8*(SUMIF($BH$3:$CE$3,"&lt;"&amp;$DF18,$AD18:$BA18)+SUMIF($BH$3:$CE$3,"&gt;"&amp;$CW$4,$AD18:$BA18)),
IF(CB$3=$DF18+'Model Setup'!$K$7,SUMIF($BH$3:$CE$3,"="&amp;$DF18+'Model Setup'!$K$7,$AD18:$BA18)+'Model Setup'!$K$8*(SUMIF($BH$3:$CE$3,"&lt;"&amp;$DF18,$AD18:$BA18)+SUMIF($BH$3:$CE$3,"&gt;"&amp;$CW$4,$AD18:$BA18)),
IF(CB$3=$DF18+'Model Setup'!$L$7,SUMIF($BH$3:$CE$3,"="&amp;$DF18+'Model Setup'!$L$7,$AD18:$BA18)+'Model Setup'!$L$8*(SUMIF($BH$3:$CE$3,"&lt;"&amp;$DF18,$AD18:$BA18)+SUMIF($BH$3:$CE$3,"&gt;"&amp;$CW$4,$AD18:$BA18)),
IF(CB$3=$DF18+'Model Setup'!$M$7,SUMIF($BH$3:$CE$3,"="&amp;$DF18+'Model Setup'!$M$7,$AD18:$BA18)+'Model Setup'!$M$8*(SUMIF($BH$3:$CE$3,"&lt;"&amp;$DF18,$AD18:$BA18)+SUMIF($BH$3:$CE$3,"&gt;"&amp;$CW$4,$AD18:$BA18)),
IF(CB$3=$DF18+'Model Setup'!$N$7,SUMIF($BH$3:$CE$3,"="&amp;$DF18+'Model Setup'!$N$7,$AD18:$BA18)+'Model Setup'!$N$8*(SUMIF($BH$3:$CE$3,"&lt;"&amp;$DF18,$AD18:$BA18)+SUMIF($BH$3:$CE$3,"&gt;"&amp;$CW$4,$AD18:$BA18)),
IF(CB$3&lt;$CW$4,V18,0))))))))))))))),0)</f>
        <v>0</v>
      </c>
      <c r="CC18" s="47">
        <f>ROUND(IF(OR(CC$3&lt;$DF18,CC$3&gt;$CW$4),0,
IF(CC$3=$DF18+'Model Setup'!$B$7,SUMIF($BH$3:$CE$3,"="&amp;$DF18+'Model Setup'!$B$7,$AD18:$BA18)+'Model Setup'!$B$8*(SUMIF($BH$3:$CE$3,"&lt;"&amp;$DF18,$AD18:$BA18)+SUMIF($BH$3:$CE$3,"&gt;"&amp;$CW$4,$AD18:$BA18)),
IF(CC$3=$DF18+'Model Setup'!$C$7,SUMIF($BH$3:$CE$3,"="&amp;$DF18+'Model Setup'!$C$7,$AD18:$BA18)+'Model Setup'!$C$8*(SUMIF($BH$3:$CE$3,"&lt;"&amp;$DF18,$AD18:$BA18)+SUMIF($BH$3:$CE$3,"&gt;"&amp;$CW$4,$AD18:$BA18)),
IF(CC$3=$DF18+'Model Setup'!$D$7,SUMIF($BH$3:$CE$3,"="&amp;$DF18+'Model Setup'!$D$7,$AD18:$BA18)+'Model Setup'!$D$8*(SUMIF($BH$3:$CE$3,"&lt;"&amp;$DF18,$AD18:$BA18)+SUMIF($BH$3:$CE$3,"&gt;"&amp;$CW$4,$AD18:$BA18)),
IF(CC$3=$DF18+'Model Setup'!$E$7,SUMIF($BH$3:$CE$3,"="&amp;$DF18+'Model Setup'!$E$7,$AD18:$BA18)+'Model Setup'!$E$8*(SUMIF($BH$3:$CE$3,"&lt;"&amp;$DF18,$AD18:$BA18)+SUMIF($BH$3:$CE$3,"&gt;"&amp;$CW$4,$AD18:$BA18)),
IF(CC$3=$DF18+'Model Setup'!$F$7,SUMIF($BH$3:$CE$3,"="&amp;$DF18+'Model Setup'!$F$7,$AD18:$BA18)+'Model Setup'!$F$8*(SUMIF($BH$3:$CE$3,"&lt;"&amp;$DF18,$AD18:$BA18)+SUMIF($BH$3:$CE$3,"&gt;"&amp;$CW$4,$AD18:$BA18)),
IF(CC$3=$DF18+'Model Setup'!$G$7,SUMIF($BH$3:$CE$3,"="&amp;$DF18+'Model Setup'!$G$7,$AD18:$BA18)+'Model Setup'!$G$8*(SUMIF($BH$3:$CE$3,"&lt;"&amp;$DF18,$AD18:$BA18)+SUMIF($BH$3:$CE$3,"&gt;"&amp;$CW$4,$AD18:$BA18)),
IF(CC$3=$DF18+'Model Setup'!$H$7,SUMIF($BH$3:$CE$3,"="&amp;$DF18+'Model Setup'!$H$7,$AD18:$BA18)+'Model Setup'!$H$8*(SUMIF($BH$3:$CE$3,"&lt;"&amp;$DF18,$AD18:$BA18)+SUMIF($BH$3:$CE$3,"&gt;"&amp;$CW$4,$AD18:$BA18)),
IF(CC$3=$DF18+'Model Setup'!$I$7,SUMIF($BH$3:$CE$3,"="&amp;$DF18+'Model Setup'!$I$7,$AD18:$BA18)+'Model Setup'!$I$8*(SUMIF($BH$3:$CE$3,"&lt;"&amp;$DF18,$AD18:$BA18)+SUMIF($BH$3:$CE$3,"&gt;"&amp;$CW$4,$AD18:$BA18)),
IF(CC$3=$DF18+'Model Setup'!$J$7,SUMIF($BH$3:$CE$3,"="&amp;$DF18+'Model Setup'!$J$7,$AD18:$BA18)+'Model Setup'!$J$8*(SUMIF($BH$3:$CE$3,"&lt;"&amp;$DF18,$AD18:$BA18)+SUMIF($BH$3:$CE$3,"&gt;"&amp;$CW$4,$AD18:$BA18)),
IF(CC$3=$DF18+'Model Setup'!$K$7,SUMIF($BH$3:$CE$3,"="&amp;$DF18+'Model Setup'!$K$7,$AD18:$BA18)+'Model Setup'!$K$8*(SUMIF($BH$3:$CE$3,"&lt;"&amp;$DF18,$AD18:$BA18)+SUMIF($BH$3:$CE$3,"&gt;"&amp;$CW$4,$AD18:$BA18)),
IF(CC$3=$DF18+'Model Setup'!$L$7,SUMIF($BH$3:$CE$3,"="&amp;$DF18+'Model Setup'!$L$7,$AD18:$BA18)+'Model Setup'!$L$8*(SUMIF($BH$3:$CE$3,"&lt;"&amp;$DF18,$AD18:$BA18)+SUMIF($BH$3:$CE$3,"&gt;"&amp;$CW$4,$AD18:$BA18)),
IF(CC$3=$DF18+'Model Setup'!$M$7,SUMIF($BH$3:$CE$3,"="&amp;$DF18+'Model Setup'!$M$7,$AD18:$BA18)+'Model Setup'!$M$8*(SUMIF($BH$3:$CE$3,"&lt;"&amp;$DF18,$AD18:$BA18)+SUMIF($BH$3:$CE$3,"&gt;"&amp;$CW$4,$AD18:$BA18)),
IF(CC$3=$DF18+'Model Setup'!$N$7,SUMIF($BH$3:$CE$3,"="&amp;$DF18+'Model Setup'!$N$7,$AD18:$BA18)+'Model Setup'!$N$8*(SUMIF($BH$3:$CE$3,"&lt;"&amp;$DF18,$AD18:$BA18)+SUMIF($BH$3:$CE$3,"&gt;"&amp;$CW$4,$AD18:$BA18)),
IF(CC$3&lt;$CW$4,W18,0))))))))))))))),0)</f>
        <v>0</v>
      </c>
      <c r="CD18" s="47">
        <f>ROUND(IF(OR(CD$3&lt;$DF18,CD$3&gt;$CW$4),0,
IF(CD$3=$DF18+'Model Setup'!$B$7,SUMIF($BH$3:$CE$3,"="&amp;$DF18+'Model Setup'!$B$7,$AD18:$BA18)+'Model Setup'!$B$8*(SUMIF($BH$3:$CE$3,"&lt;"&amp;$DF18,$AD18:$BA18)+SUMIF($BH$3:$CE$3,"&gt;"&amp;$CW$4,$AD18:$BA18)),
IF(CD$3=$DF18+'Model Setup'!$C$7,SUMIF($BH$3:$CE$3,"="&amp;$DF18+'Model Setup'!$C$7,$AD18:$BA18)+'Model Setup'!$C$8*(SUMIF($BH$3:$CE$3,"&lt;"&amp;$DF18,$AD18:$BA18)+SUMIF($BH$3:$CE$3,"&gt;"&amp;$CW$4,$AD18:$BA18)),
IF(CD$3=$DF18+'Model Setup'!$D$7,SUMIF($BH$3:$CE$3,"="&amp;$DF18+'Model Setup'!$D$7,$AD18:$BA18)+'Model Setup'!$D$8*(SUMIF($BH$3:$CE$3,"&lt;"&amp;$DF18,$AD18:$BA18)+SUMIF($BH$3:$CE$3,"&gt;"&amp;$CW$4,$AD18:$BA18)),
IF(CD$3=$DF18+'Model Setup'!$E$7,SUMIF($BH$3:$CE$3,"="&amp;$DF18+'Model Setup'!$E$7,$AD18:$BA18)+'Model Setup'!$E$8*(SUMIF($BH$3:$CE$3,"&lt;"&amp;$DF18,$AD18:$BA18)+SUMIF($BH$3:$CE$3,"&gt;"&amp;$CW$4,$AD18:$BA18)),
IF(CD$3=$DF18+'Model Setup'!$F$7,SUMIF($BH$3:$CE$3,"="&amp;$DF18+'Model Setup'!$F$7,$AD18:$BA18)+'Model Setup'!$F$8*(SUMIF($BH$3:$CE$3,"&lt;"&amp;$DF18,$AD18:$BA18)+SUMIF($BH$3:$CE$3,"&gt;"&amp;$CW$4,$AD18:$BA18)),
IF(CD$3=$DF18+'Model Setup'!$G$7,SUMIF($BH$3:$CE$3,"="&amp;$DF18+'Model Setup'!$G$7,$AD18:$BA18)+'Model Setup'!$G$8*(SUMIF($BH$3:$CE$3,"&lt;"&amp;$DF18,$AD18:$BA18)+SUMIF($BH$3:$CE$3,"&gt;"&amp;$CW$4,$AD18:$BA18)),
IF(CD$3=$DF18+'Model Setup'!$H$7,SUMIF($BH$3:$CE$3,"="&amp;$DF18+'Model Setup'!$H$7,$AD18:$BA18)+'Model Setup'!$H$8*(SUMIF($BH$3:$CE$3,"&lt;"&amp;$DF18,$AD18:$BA18)+SUMIF($BH$3:$CE$3,"&gt;"&amp;$CW$4,$AD18:$BA18)),
IF(CD$3=$DF18+'Model Setup'!$I$7,SUMIF($BH$3:$CE$3,"="&amp;$DF18+'Model Setup'!$I$7,$AD18:$BA18)+'Model Setup'!$I$8*(SUMIF($BH$3:$CE$3,"&lt;"&amp;$DF18,$AD18:$BA18)+SUMIF($BH$3:$CE$3,"&gt;"&amp;$CW$4,$AD18:$BA18)),
IF(CD$3=$DF18+'Model Setup'!$J$7,SUMIF($BH$3:$CE$3,"="&amp;$DF18+'Model Setup'!$J$7,$AD18:$BA18)+'Model Setup'!$J$8*(SUMIF($BH$3:$CE$3,"&lt;"&amp;$DF18,$AD18:$BA18)+SUMIF($BH$3:$CE$3,"&gt;"&amp;$CW$4,$AD18:$BA18)),
IF(CD$3=$DF18+'Model Setup'!$K$7,SUMIF($BH$3:$CE$3,"="&amp;$DF18+'Model Setup'!$K$7,$AD18:$BA18)+'Model Setup'!$K$8*(SUMIF($BH$3:$CE$3,"&lt;"&amp;$DF18,$AD18:$BA18)+SUMIF($BH$3:$CE$3,"&gt;"&amp;$CW$4,$AD18:$BA18)),
IF(CD$3=$DF18+'Model Setup'!$L$7,SUMIF($BH$3:$CE$3,"="&amp;$DF18+'Model Setup'!$L$7,$AD18:$BA18)+'Model Setup'!$L$8*(SUMIF($BH$3:$CE$3,"&lt;"&amp;$DF18,$AD18:$BA18)+SUMIF($BH$3:$CE$3,"&gt;"&amp;$CW$4,$AD18:$BA18)),
IF(CD$3=$DF18+'Model Setup'!$M$7,SUMIF($BH$3:$CE$3,"="&amp;$DF18+'Model Setup'!$M$7,$AD18:$BA18)+'Model Setup'!$M$8*(SUMIF($BH$3:$CE$3,"&lt;"&amp;$DF18,$AD18:$BA18)+SUMIF($BH$3:$CE$3,"&gt;"&amp;$CW$4,$AD18:$BA18)),
IF(CD$3=$DF18+'Model Setup'!$N$7,SUMIF($BH$3:$CE$3,"="&amp;$DF18+'Model Setup'!$N$7,$AD18:$BA18)+'Model Setup'!$N$8*(SUMIF($BH$3:$CE$3,"&lt;"&amp;$DF18,$AD18:$BA18)+SUMIF($BH$3:$CE$3,"&gt;"&amp;$CW$4,$AD18:$BA18)),
IF(CD$3&lt;$CW$4,X18,0))))))))))))))),0)</f>
        <v>0</v>
      </c>
      <c r="CE18" s="47">
        <f>ROUND(IF(OR(CE$3&lt;$DF18,CE$3&gt;$CW$4),0,
IF(CE$3=$DF18+'Model Setup'!$B$7,SUMIF($BH$3:$CE$3,"="&amp;$DF18+'Model Setup'!$B$7,$AD18:$BA18)+'Model Setup'!$B$8*(SUMIF($BH$3:$CE$3,"&lt;"&amp;$DF18,$AD18:$BA18)+SUMIF($BH$3:$CE$3,"&gt;"&amp;$CW$4,$AD18:$BA18)),
IF(CE$3=$DF18+'Model Setup'!$C$7,SUMIF($BH$3:$CE$3,"="&amp;$DF18+'Model Setup'!$C$7,$AD18:$BA18)+'Model Setup'!$C$8*(SUMIF($BH$3:$CE$3,"&lt;"&amp;$DF18,$AD18:$BA18)+SUMIF($BH$3:$CE$3,"&gt;"&amp;$CW$4,$AD18:$BA18)),
IF(CE$3=$DF18+'Model Setup'!$D$7,SUMIF($BH$3:$CE$3,"="&amp;$DF18+'Model Setup'!$D$7,$AD18:$BA18)+'Model Setup'!$D$8*(SUMIF($BH$3:$CE$3,"&lt;"&amp;$DF18,$AD18:$BA18)+SUMIF($BH$3:$CE$3,"&gt;"&amp;$CW$4,$AD18:$BA18)),
IF(CE$3=$DF18+'Model Setup'!$E$7,SUMIF($BH$3:$CE$3,"="&amp;$DF18+'Model Setup'!$E$7,$AD18:$BA18)+'Model Setup'!$E$8*(SUMIF($BH$3:$CE$3,"&lt;"&amp;$DF18,$AD18:$BA18)+SUMIF($BH$3:$CE$3,"&gt;"&amp;$CW$4,$AD18:$BA18)),
IF(CE$3=$DF18+'Model Setup'!$F$7,SUMIF($BH$3:$CE$3,"="&amp;$DF18+'Model Setup'!$F$7,$AD18:$BA18)+'Model Setup'!$F$8*(SUMIF($BH$3:$CE$3,"&lt;"&amp;$DF18,$AD18:$BA18)+SUMIF($BH$3:$CE$3,"&gt;"&amp;$CW$4,$AD18:$BA18)),
IF(CE$3=$DF18+'Model Setup'!$G$7,SUMIF($BH$3:$CE$3,"="&amp;$DF18+'Model Setup'!$G$7,$AD18:$BA18)+'Model Setup'!$G$8*(SUMIF($BH$3:$CE$3,"&lt;"&amp;$DF18,$AD18:$BA18)+SUMIF($BH$3:$CE$3,"&gt;"&amp;$CW$4,$AD18:$BA18)),
IF(CE$3=$DF18+'Model Setup'!$H$7,SUMIF($BH$3:$CE$3,"="&amp;$DF18+'Model Setup'!$H$7,$AD18:$BA18)+'Model Setup'!$H$8*(SUMIF($BH$3:$CE$3,"&lt;"&amp;$DF18,$AD18:$BA18)+SUMIF($BH$3:$CE$3,"&gt;"&amp;$CW$4,$AD18:$BA18)),
IF(CE$3=$DF18+'Model Setup'!$I$7,SUMIF($BH$3:$CE$3,"="&amp;$DF18+'Model Setup'!$I$7,$AD18:$BA18)+'Model Setup'!$I$8*(SUMIF($BH$3:$CE$3,"&lt;"&amp;$DF18,$AD18:$BA18)+SUMIF($BH$3:$CE$3,"&gt;"&amp;$CW$4,$AD18:$BA18)),
IF(CE$3=$DF18+'Model Setup'!$J$7,SUMIF($BH$3:$CE$3,"="&amp;$DF18+'Model Setup'!$J$7,$AD18:$BA18)+'Model Setup'!$J$8*(SUMIF($BH$3:$CE$3,"&lt;"&amp;$DF18,$AD18:$BA18)+SUMIF($BH$3:$CE$3,"&gt;"&amp;$CW$4,$AD18:$BA18)),
IF(CE$3=$DF18+'Model Setup'!$K$7,SUMIF($BH$3:$CE$3,"="&amp;$DF18+'Model Setup'!$K$7,$AD18:$BA18)+'Model Setup'!$K$8*(SUMIF($BH$3:$CE$3,"&lt;"&amp;$DF18,$AD18:$BA18)+SUMIF($BH$3:$CE$3,"&gt;"&amp;$CW$4,$AD18:$BA18)),
IF(CE$3=$DF18+'Model Setup'!$L$7,SUMIF($BH$3:$CE$3,"="&amp;$DF18+'Model Setup'!$L$7,$AD18:$BA18)+'Model Setup'!$L$8*(SUMIF($BH$3:$CE$3,"&lt;"&amp;$DF18,$AD18:$BA18)+SUMIF($BH$3:$CE$3,"&gt;"&amp;$CW$4,$AD18:$BA18)),
IF(CE$3=$DF18+'Model Setup'!$M$7,SUMIF($BH$3:$CE$3,"="&amp;$DF18+'Model Setup'!$M$7,$AD18:$BA18)+'Model Setup'!$M$8*(SUMIF($BH$3:$CE$3,"&lt;"&amp;$DF18,$AD18:$BA18)+SUMIF($BH$3:$CE$3,"&gt;"&amp;$CW$4,$AD18:$BA18)),
IF(CE$3=$DF18+'Model Setup'!$N$7,SUMIF($BH$3:$CE$3,"="&amp;$DF18+'Model Setup'!$N$7,$AD18:$BA18)+'Model Setup'!$N$8*(SUMIF($BH$3:$CE$3,"&lt;"&amp;$DF18,$AD18:$BA18)+SUMIF($BH$3:$CE$3,"&gt;"&amp;$CW$4,$AD18:$BA18)),
IF(CE$3&lt;$CW$4,Y18,0))))))))))))))),0)</f>
        <v>0</v>
      </c>
      <c r="CF18" s="47">
        <f t="shared" si="3"/>
        <v>191</v>
      </c>
      <c r="CG18" s="47">
        <f t="shared" si="4"/>
        <v>-2</v>
      </c>
      <c r="CI18" s="10" t="s">
        <v>33</v>
      </c>
      <c r="CJ18" s="126">
        <f t="shared" si="9"/>
        <v>0</v>
      </c>
      <c r="CK18" s="126">
        <f t="shared" si="10"/>
        <v>0</v>
      </c>
      <c r="CL18" s="126">
        <f t="shared" si="11"/>
        <v>24</v>
      </c>
      <c r="CM18" s="126">
        <f t="shared" si="12"/>
        <v>21</v>
      </c>
      <c r="CN18" s="126">
        <f t="shared" si="13"/>
        <v>23</v>
      </c>
      <c r="CO18" s="126">
        <f t="shared" si="14"/>
        <v>22</v>
      </c>
      <c r="CP18" s="126">
        <f t="shared" si="15"/>
        <v>19</v>
      </c>
      <c r="CQ18" s="126">
        <f t="shared" si="16"/>
        <v>14</v>
      </c>
      <c r="CR18" s="126">
        <f t="shared" si="17"/>
        <v>14</v>
      </c>
      <c r="CS18" s="126">
        <f t="shared" si="18"/>
        <v>12</v>
      </c>
      <c r="CT18" s="126">
        <f t="shared" si="19"/>
        <v>9</v>
      </c>
      <c r="CU18" s="126">
        <f t="shared" si="20"/>
        <v>9</v>
      </c>
      <c r="CV18" s="126">
        <f t="shared" si="21"/>
        <v>10</v>
      </c>
      <c r="CW18" s="126">
        <f t="shared" si="22"/>
        <v>9</v>
      </c>
      <c r="CX18" s="126">
        <f t="shared" si="23"/>
        <v>7</v>
      </c>
      <c r="CY18" s="126">
        <f t="shared" si="24"/>
        <v>0</v>
      </c>
      <c r="CZ18" s="47">
        <f t="shared" si="7"/>
        <v>186</v>
      </c>
      <c r="DC18" s="93" t="s">
        <v>33</v>
      </c>
      <c r="DD18" s="89">
        <f>FTC!E16</f>
        <v>0.29166666666666669</v>
      </c>
      <c r="DE18" s="89">
        <f>FTC!F16</f>
        <v>0.83333333333333337</v>
      </c>
      <c r="DF18" s="90">
        <f t="shared" si="25"/>
        <v>7</v>
      </c>
      <c r="DG18" s="91">
        <f t="shared" si="26"/>
        <v>20</v>
      </c>
      <c r="DH18" s="91">
        <f t="shared" si="27"/>
        <v>13</v>
      </c>
    </row>
    <row r="19" spans="1:112" x14ac:dyDescent="0.35">
      <c r="A19" s="43" t="s">
        <v>34</v>
      </c>
      <c r="B19" s="47">
        <v>7</v>
      </c>
      <c r="C19" s="47">
        <v>4</v>
      </c>
      <c r="D19" s="47">
        <v>1</v>
      </c>
      <c r="E19" s="47">
        <v>7</v>
      </c>
      <c r="F19" s="47">
        <v>9</v>
      </c>
      <c r="G19" s="47">
        <v>27</v>
      </c>
      <c r="H19" s="47">
        <v>106</v>
      </c>
      <c r="I19" s="47">
        <v>135</v>
      </c>
      <c r="J19" s="47">
        <v>139</v>
      </c>
      <c r="K19" s="47">
        <v>119</v>
      </c>
      <c r="L19" s="47">
        <v>107</v>
      </c>
      <c r="M19" s="47">
        <v>109</v>
      </c>
      <c r="N19" s="47">
        <v>95</v>
      </c>
      <c r="O19" s="47">
        <v>105</v>
      </c>
      <c r="P19" s="47">
        <v>79</v>
      </c>
      <c r="Q19" s="47">
        <v>58</v>
      </c>
      <c r="R19" s="47">
        <v>34</v>
      </c>
      <c r="S19" s="47">
        <v>32</v>
      </c>
      <c r="T19" s="47">
        <v>29</v>
      </c>
      <c r="U19" s="47">
        <v>22</v>
      </c>
      <c r="V19" s="47">
        <v>5</v>
      </c>
      <c r="W19" s="47">
        <v>12</v>
      </c>
      <c r="X19" s="47">
        <v>10</v>
      </c>
      <c r="Y19" s="47">
        <v>5</v>
      </c>
      <c r="Z19" s="47">
        <f t="shared" si="0"/>
        <v>1256</v>
      </c>
      <c r="AC19" s="43" t="s">
        <v>34</v>
      </c>
      <c r="AD19" s="47">
        <f>ROUND(IF(AD$3&lt;$DF19,0,
IF(AD$3=$DF19+'Model Setup'!$B$7,SUMIF($AD$3:$BA$3,"="&amp;$DF19+'Model Setup'!$B$7,$B19:$Y19)+'Model Setup'!$B$8*(SUMIF($AD$3:$BA$3,"&lt;"&amp;$DF19,$B19:$Y19)+SUMIF($AD$3:$BA$3,"&gt;="&amp;$DG19,$B19:$Y19)),
IF(AD$3=$DF19+'Model Setup'!$C$7,SUMIF($AD$3:$BA$3,"="&amp;$DF19+'Model Setup'!$C$7,$B19:$Y19)+'Model Setup'!$C$8*(SUMIF($AD$3:$BA$3,"&lt;"&amp;$DF19,$B19:$Y19)+SUMIF($AD$3:$BA$3,"&gt;="&amp;$DG19,$B19:$Y19)),
IF(AD$3=$DF19+'Model Setup'!$D$7,SUMIF($AD$3:$BA$3,"="&amp;$DF19+'Model Setup'!$D$7,$B19:$Y19)+'Model Setup'!$D$8*(SUMIF($AD$3:$BA$3,"&lt;"&amp;$DF19,$B19:$Y19)+SUMIF($AD$3:$BA$3,"&gt;="&amp;$DG19,$B19:$Y19)),
IF(AD$3=$DF19+'Model Setup'!$E$7,SUMIF($AD$3:$BA$3,"="&amp;$DF19+'Model Setup'!$E$7,$B19:$Y19)+'Model Setup'!$E$8*(SUMIF($AD$3:$BA$3,"&lt;"&amp;$DF19,$B19:$Y19)+SUMIF($AD$3:$BA$3,"&gt;="&amp;$DG19,$B19:$Y19)),
IF(AD$3=$DF19+'Model Setup'!$F$7,SUMIF($AD$3:$BA$3,"="&amp;$DF19+'Model Setup'!$F$7,$B19:$Y19)+'Model Setup'!$F$8*(SUMIF($AD$3:$BA$3,"&lt;"&amp;$DF19,$B19:$Y19)+SUMIF($AD$3:$BA$3,"&gt;="&amp;$DG19,$B19:$Y19)),
IF(AD$3=$DF19+'Model Setup'!$G$7,SUMIF($AD$3:$BA$3,"="&amp;$DF19+'Model Setup'!$G$7,$B19:$Y19)+'Model Setup'!$G$8*(SUMIF($AD$3:$BA$3,"&lt;"&amp;$DF19,$B19:$Y19)+SUMIF($AD$3:$BA$3,"&gt;="&amp;$DG19,$B19:$Y19)),
IF(AD$3=$DF19+'Model Setup'!$H$7,SUMIF($AD$3:$BA$3,"="&amp;$DF19+'Model Setup'!$H$7,$B19:$Y19)+'Model Setup'!$H$8*(SUMIF($AD$3:$BA$3,"&lt;"&amp;$DF19,$B19:$Y19)+SUMIF($AD$3:$BA$3,"&gt;="&amp;$DG19,$B19:$Y19)),
IF(AD$3=$DF19+'Model Setup'!$I$7,SUMIF($AD$3:$BA$3,"="&amp;$DF19+'Model Setup'!$I$7,$B19:$Y19)+'Model Setup'!$I$8*(SUMIF($AD$3:$BA$3,"&lt;"&amp;$DF19,$B19:$Y19)+SUMIF($AD$3:$BA$3,"&gt;="&amp;$DG19,$B19:$Y19)),
IF(AD$3=$DF19+'Model Setup'!$J$7,SUMIF($AD$3:$BA$3,"="&amp;$DF19+'Model Setup'!$J$7,$B19:$Y19)+'Model Setup'!$J$8*(SUMIF($AD$3:$BA$3,"&lt;"&amp;$DF19,$B19:$Y19)+SUMIF($AD$3:$BA$3,"&gt;="&amp;$DG19,$B19:$Y19)),
IF(AD$3=$DF19+'Model Setup'!$K$7,SUMIF($AD$3:$BA$3,"="&amp;$DF19+'Model Setup'!$K$7,$B19:$Y19)+'Model Setup'!$K$8*(SUMIF($AD$3:$BA$3,"&lt;"&amp;$DF19,$B19:$Y19)+SUMIF($AD$3:$BA$3,"&gt;="&amp;$DG19,$B19:$Y19)),
IF(AD$3=$DF19+'Model Setup'!$L$7,SUMIF($AD$3:$BA$3,"="&amp;$DF19+'Model Setup'!$L$7,$B19:$Y19)+'Model Setup'!$L$8*(SUMIF($AD$3:$BA$3,"&lt;"&amp;$DF19,$B19:$Y19)+SUMIF($AD$3:$BA$3,"&gt;="&amp;$DG19,$B19:$Y19)),
IF(AD$3=$DF19+'Model Setup'!$M$7,SUMIF($AD$3:$BA$3,"="&amp;$DF19+'Model Setup'!$M$7,$B19:$Y19)+'Model Setup'!$M$8*(SUMIF($AD$3:$BA$3,"&lt;"&amp;$DF19,$B19:$Y19)+SUMIF($AD$3:$BA$3,"&gt;="&amp;$DG19,$B19:$Y19)),
IF(AD$3=$DF19+'Model Setup'!$N$7,SUMIF($AD$3:$BA$3,"="&amp;$DF19+'Model Setup'!$N$7,$B19:$Y19)+'Model Setup'!$N$8*(SUMIF($AD$3:$BA$3,"&lt;"&amp;$DF19,$B19:$Y19)+SUMIF($AD$3:$BA$3,"&gt;="&amp;$DG19,$B19:$Y19)),
IF(AD$3&lt;$DG19,B19,0))))))))))))))),0)</f>
        <v>0</v>
      </c>
      <c r="AE19" s="47">
        <f>ROUND(IF(AE$3&lt;$DF19,0,
IF(AE$3=$DF19+'Model Setup'!$B$7,SUMIF($AD$3:$BA$3,"="&amp;$DF19+'Model Setup'!$B$7,$B19:$Y19)+'Model Setup'!$B$8*(SUMIF($AD$3:$BA$3,"&lt;"&amp;$DF19,$B19:$Y19)+SUMIF($AD$3:$BA$3,"&gt;="&amp;$DG19,$B19:$Y19)),
IF(AE$3=$DF19+'Model Setup'!$C$7,SUMIF($AD$3:$BA$3,"="&amp;$DF19+'Model Setup'!$C$7,$B19:$Y19)+'Model Setup'!$C$8*(SUMIF($AD$3:$BA$3,"&lt;"&amp;$DF19,$B19:$Y19)+SUMIF($AD$3:$BA$3,"&gt;="&amp;$DG19,$B19:$Y19)),
IF(AE$3=$DF19+'Model Setup'!$D$7,SUMIF($AD$3:$BA$3,"="&amp;$DF19+'Model Setup'!$D$7,$B19:$Y19)+'Model Setup'!$D$8*(SUMIF($AD$3:$BA$3,"&lt;"&amp;$DF19,$B19:$Y19)+SUMIF($AD$3:$BA$3,"&gt;="&amp;$DG19,$B19:$Y19)),
IF(AE$3=$DF19+'Model Setup'!$E$7,SUMIF($AD$3:$BA$3,"="&amp;$DF19+'Model Setup'!$E$7,$B19:$Y19)+'Model Setup'!$E$8*(SUMIF($AD$3:$BA$3,"&lt;"&amp;$DF19,$B19:$Y19)+SUMIF($AD$3:$BA$3,"&gt;="&amp;$DG19,$B19:$Y19)),
IF(AE$3=$DF19+'Model Setup'!$F$7,SUMIF($AD$3:$BA$3,"="&amp;$DF19+'Model Setup'!$F$7,$B19:$Y19)+'Model Setup'!$F$8*(SUMIF($AD$3:$BA$3,"&lt;"&amp;$DF19,$B19:$Y19)+SUMIF($AD$3:$BA$3,"&gt;="&amp;$DG19,$B19:$Y19)),
IF(AE$3=$DF19+'Model Setup'!$G$7,SUMIF($AD$3:$BA$3,"="&amp;$DF19+'Model Setup'!$G$7,$B19:$Y19)+'Model Setup'!$G$8*(SUMIF($AD$3:$BA$3,"&lt;"&amp;$DF19,$B19:$Y19)+SUMIF($AD$3:$BA$3,"&gt;="&amp;$DG19,$B19:$Y19)),
IF(AE$3=$DF19+'Model Setup'!$H$7,SUMIF($AD$3:$BA$3,"="&amp;$DF19+'Model Setup'!$H$7,$B19:$Y19)+'Model Setup'!$H$8*(SUMIF($AD$3:$BA$3,"&lt;"&amp;$DF19,$B19:$Y19)+SUMIF($AD$3:$BA$3,"&gt;="&amp;$DG19,$B19:$Y19)),
IF(AE$3=$DF19+'Model Setup'!$I$7,SUMIF($AD$3:$BA$3,"="&amp;$DF19+'Model Setup'!$I$7,$B19:$Y19)+'Model Setup'!$I$8*(SUMIF($AD$3:$BA$3,"&lt;"&amp;$DF19,$B19:$Y19)+SUMIF($AD$3:$BA$3,"&gt;="&amp;$DG19,$B19:$Y19)),
IF(AE$3=$DF19+'Model Setup'!$J$7,SUMIF($AD$3:$BA$3,"="&amp;$DF19+'Model Setup'!$J$7,$B19:$Y19)+'Model Setup'!$J$8*(SUMIF($AD$3:$BA$3,"&lt;"&amp;$DF19,$B19:$Y19)+SUMIF($AD$3:$BA$3,"&gt;="&amp;$DG19,$B19:$Y19)),
IF(AE$3=$DF19+'Model Setup'!$K$7,SUMIF($AD$3:$BA$3,"="&amp;$DF19+'Model Setup'!$K$7,$B19:$Y19)+'Model Setup'!$K$8*(SUMIF($AD$3:$BA$3,"&lt;"&amp;$DF19,$B19:$Y19)+SUMIF($AD$3:$BA$3,"&gt;="&amp;$DG19,$B19:$Y19)),
IF(AE$3=$DF19+'Model Setup'!$L$7,SUMIF($AD$3:$BA$3,"="&amp;$DF19+'Model Setup'!$L$7,$B19:$Y19)+'Model Setup'!$L$8*(SUMIF($AD$3:$BA$3,"&lt;"&amp;$DF19,$B19:$Y19)+SUMIF($AD$3:$BA$3,"&gt;="&amp;$DG19,$B19:$Y19)),
IF(AE$3=$DF19+'Model Setup'!$M$7,SUMIF($AD$3:$BA$3,"="&amp;$DF19+'Model Setup'!$M$7,$B19:$Y19)+'Model Setup'!$M$8*(SUMIF($AD$3:$BA$3,"&lt;"&amp;$DF19,$B19:$Y19)+SUMIF($AD$3:$BA$3,"&gt;="&amp;$DG19,$B19:$Y19)),
IF(AE$3=$DF19+'Model Setup'!$N$7,SUMIF($AD$3:$BA$3,"="&amp;$DF19+'Model Setup'!$N$7,$B19:$Y19)+'Model Setup'!$N$8*(SUMIF($AD$3:$BA$3,"&lt;"&amp;$DF19,$B19:$Y19)+SUMIF($AD$3:$BA$3,"&gt;="&amp;$DG19,$B19:$Y19)),
IF(AE$3&lt;$DG19,C19,0))))))))))))))),0)</f>
        <v>0</v>
      </c>
      <c r="AF19" s="47">
        <f>ROUND(IF(AF$3&lt;$DF19,0,
IF(AF$3=$DF19+'Model Setup'!$B$7,SUMIF($AD$3:$BA$3,"="&amp;$DF19+'Model Setup'!$B$7,$B19:$Y19)+'Model Setup'!$B$8*(SUMIF($AD$3:$BA$3,"&lt;"&amp;$DF19,$B19:$Y19)+SUMIF($AD$3:$BA$3,"&gt;="&amp;$DG19,$B19:$Y19)),
IF(AF$3=$DF19+'Model Setup'!$C$7,SUMIF($AD$3:$BA$3,"="&amp;$DF19+'Model Setup'!$C$7,$B19:$Y19)+'Model Setup'!$C$8*(SUMIF($AD$3:$BA$3,"&lt;"&amp;$DF19,$B19:$Y19)+SUMIF($AD$3:$BA$3,"&gt;="&amp;$DG19,$B19:$Y19)),
IF(AF$3=$DF19+'Model Setup'!$D$7,SUMIF($AD$3:$BA$3,"="&amp;$DF19+'Model Setup'!$D$7,$B19:$Y19)+'Model Setup'!$D$8*(SUMIF($AD$3:$BA$3,"&lt;"&amp;$DF19,$B19:$Y19)+SUMIF($AD$3:$BA$3,"&gt;="&amp;$DG19,$B19:$Y19)),
IF(AF$3=$DF19+'Model Setup'!$E$7,SUMIF($AD$3:$BA$3,"="&amp;$DF19+'Model Setup'!$E$7,$B19:$Y19)+'Model Setup'!$E$8*(SUMIF($AD$3:$BA$3,"&lt;"&amp;$DF19,$B19:$Y19)+SUMIF($AD$3:$BA$3,"&gt;="&amp;$DG19,$B19:$Y19)),
IF(AF$3=$DF19+'Model Setup'!$F$7,SUMIF($AD$3:$BA$3,"="&amp;$DF19+'Model Setup'!$F$7,$B19:$Y19)+'Model Setup'!$F$8*(SUMIF($AD$3:$BA$3,"&lt;"&amp;$DF19,$B19:$Y19)+SUMIF($AD$3:$BA$3,"&gt;="&amp;$DG19,$B19:$Y19)),
IF(AF$3=$DF19+'Model Setup'!$G$7,SUMIF($AD$3:$BA$3,"="&amp;$DF19+'Model Setup'!$G$7,$B19:$Y19)+'Model Setup'!$G$8*(SUMIF($AD$3:$BA$3,"&lt;"&amp;$DF19,$B19:$Y19)+SUMIF($AD$3:$BA$3,"&gt;="&amp;$DG19,$B19:$Y19)),
IF(AF$3=$DF19+'Model Setup'!$H$7,SUMIF($AD$3:$BA$3,"="&amp;$DF19+'Model Setup'!$H$7,$B19:$Y19)+'Model Setup'!$H$8*(SUMIF($AD$3:$BA$3,"&lt;"&amp;$DF19,$B19:$Y19)+SUMIF($AD$3:$BA$3,"&gt;="&amp;$DG19,$B19:$Y19)),
IF(AF$3=$DF19+'Model Setup'!$I$7,SUMIF($AD$3:$BA$3,"="&amp;$DF19+'Model Setup'!$I$7,$B19:$Y19)+'Model Setup'!$I$8*(SUMIF($AD$3:$BA$3,"&lt;"&amp;$DF19,$B19:$Y19)+SUMIF($AD$3:$BA$3,"&gt;="&amp;$DG19,$B19:$Y19)),
IF(AF$3=$DF19+'Model Setup'!$J$7,SUMIF($AD$3:$BA$3,"="&amp;$DF19+'Model Setup'!$J$7,$B19:$Y19)+'Model Setup'!$J$8*(SUMIF($AD$3:$BA$3,"&lt;"&amp;$DF19,$B19:$Y19)+SUMIF($AD$3:$BA$3,"&gt;="&amp;$DG19,$B19:$Y19)),
IF(AF$3=$DF19+'Model Setup'!$K$7,SUMIF($AD$3:$BA$3,"="&amp;$DF19+'Model Setup'!$K$7,$B19:$Y19)+'Model Setup'!$K$8*(SUMIF($AD$3:$BA$3,"&lt;"&amp;$DF19,$B19:$Y19)+SUMIF($AD$3:$BA$3,"&gt;="&amp;$DG19,$B19:$Y19)),
IF(AF$3=$DF19+'Model Setup'!$L$7,SUMIF($AD$3:$BA$3,"="&amp;$DF19+'Model Setup'!$L$7,$B19:$Y19)+'Model Setup'!$L$8*(SUMIF($AD$3:$BA$3,"&lt;"&amp;$DF19,$B19:$Y19)+SUMIF($AD$3:$BA$3,"&gt;="&amp;$DG19,$B19:$Y19)),
IF(AF$3=$DF19+'Model Setup'!$M$7,SUMIF($AD$3:$BA$3,"="&amp;$DF19+'Model Setup'!$M$7,$B19:$Y19)+'Model Setup'!$M$8*(SUMIF($AD$3:$BA$3,"&lt;"&amp;$DF19,$B19:$Y19)+SUMIF($AD$3:$BA$3,"&gt;="&amp;$DG19,$B19:$Y19)),
IF(AF$3=$DF19+'Model Setup'!$N$7,SUMIF($AD$3:$BA$3,"="&amp;$DF19+'Model Setup'!$N$7,$B19:$Y19)+'Model Setup'!$N$8*(SUMIF($AD$3:$BA$3,"&lt;"&amp;$DF19,$B19:$Y19)+SUMIF($AD$3:$BA$3,"&gt;="&amp;$DG19,$B19:$Y19)),
IF(AF$3&lt;$DG19,D19,0))))))))))))))),0)</f>
        <v>0</v>
      </c>
      <c r="AG19" s="47">
        <f>ROUND(IF(AG$3&lt;$DF19,0,
IF(AG$3=$DF19+'Model Setup'!$B$7,SUMIF($AD$3:$BA$3,"="&amp;$DF19+'Model Setup'!$B$7,$B19:$Y19)+'Model Setup'!$B$8*(SUMIF($AD$3:$BA$3,"&lt;"&amp;$DF19,$B19:$Y19)+SUMIF($AD$3:$BA$3,"&gt;="&amp;$DG19,$B19:$Y19)),
IF(AG$3=$DF19+'Model Setup'!$C$7,SUMIF($AD$3:$BA$3,"="&amp;$DF19+'Model Setup'!$C$7,$B19:$Y19)+'Model Setup'!$C$8*(SUMIF($AD$3:$BA$3,"&lt;"&amp;$DF19,$B19:$Y19)+SUMIF($AD$3:$BA$3,"&gt;="&amp;$DG19,$B19:$Y19)),
IF(AG$3=$DF19+'Model Setup'!$D$7,SUMIF($AD$3:$BA$3,"="&amp;$DF19+'Model Setup'!$D$7,$B19:$Y19)+'Model Setup'!$D$8*(SUMIF($AD$3:$BA$3,"&lt;"&amp;$DF19,$B19:$Y19)+SUMIF($AD$3:$BA$3,"&gt;="&amp;$DG19,$B19:$Y19)),
IF(AG$3=$DF19+'Model Setup'!$E$7,SUMIF($AD$3:$BA$3,"="&amp;$DF19+'Model Setup'!$E$7,$B19:$Y19)+'Model Setup'!$E$8*(SUMIF($AD$3:$BA$3,"&lt;"&amp;$DF19,$B19:$Y19)+SUMIF($AD$3:$BA$3,"&gt;="&amp;$DG19,$B19:$Y19)),
IF(AG$3=$DF19+'Model Setup'!$F$7,SUMIF($AD$3:$BA$3,"="&amp;$DF19+'Model Setup'!$F$7,$B19:$Y19)+'Model Setup'!$F$8*(SUMIF($AD$3:$BA$3,"&lt;"&amp;$DF19,$B19:$Y19)+SUMIF($AD$3:$BA$3,"&gt;="&amp;$DG19,$B19:$Y19)),
IF(AG$3=$DF19+'Model Setup'!$G$7,SUMIF($AD$3:$BA$3,"="&amp;$DF19+'Model Setup'!$G$7,$B19:$Y19)+'Model Setup'!$G$8*(SUMIF($AD$3:$BA$3,"&lt;"&amp;$DF19,$B19:$Y19)+SUMIF($AD$3:$BA$3,"&gt;="&amp;$DG19,$B19:$Y19)),
IF(AG$3=$DF19+'Model Setup'!$H$7,SUMIF($AD$3:$BA$3,"="&amp;$DF19+'Model Setup'!$H$7,$B19:$Y19)+'Model Setup'!$H$8*(SUMIF($AD$3:$BA$3,"&lt;"&amp;$DF19,$B19:$Y19)+SUMIF($AD$3:$BA$3,"&gt;="&amp;$DG19,$B19:$Y19)),
IF(AG$3=$DF19+'Model Setup'!$I$7,SUMIF($AD$3:$BA$3,"="&amp;$DF19+'Model Setup'!$I$7,$B19:$Y19)+'Model Setup'!$I$8*(SUMIF($AD$3:$BA$3,"&lt;"&amp;$DF19,$B19:$Y19)+SUMIF($AD$3:$BA$3,"&gt;="&amp;$DG19,$B19:$Y19)),
IF(AG$3=$DF19+'Model Setup'!$J$7,SUMIF($AD$3:$BA$3,"="&amp;$DF19+'Model Setup'!$J$7,$B19:$Y19)+'Model Setup'!$J$8*(SUMIF($AD$3:$BA$3,"&lt;"&amp;$DF19,$B19:$Y19)+SUMIF($AD$3:$BA$3,"&gt;="&amp;$DG19,$B19:$Y19)),
IF(AG$3=$DF19+'Model Setup'!$K$7,SUMIF($AD$3:$BA$3,"="&amp;$DF19+'Model Setup'!$K$7,$B19:$Y19)+'Model Setup'!$K$8*(SUMIF($AD$3:$BA$3,"&lt;"&amp;$DF19,$B19:$Y19)+SUMIF($AD$3:$BA$3,"&gt;="&amp;$DG19,$B19:$Y19)),
IF(AG$3=$DF19+'Model Setup'!$L$7,SUMIF($AD$3:$BA$3,"="&amp;$DF19+'Model Setup'!$L$7,$B19:$Y19)+'Model Setup'!$L$8*(SUMIF($AD$3:$BA$3,"&lt;"&amp;$DF19,$B19:$Y19)+SUMIF($AD$3:$BA$3,"&gt;="&amp;$DG19,$B19:$Y19)),
IF(AG$3=$DF19+'Model Setup'!$M$7,SUMIF($AD$3:$BA$3,"="&amp;$DF19+'Model Setup'!$M$7,$B19:$Y19)+'Model Setup'!$M$8*(SUMIF($AD$3:$BA$3,"&lt;"&amp;$DF19,$B19:$Y19)+SUMIF($AD$3:$BA$3,"&gt;="&amp;$DG19,$B19:$Y19)),
IF(AG$3=$DF19+'Model Setup'!$N$7,SUMIF($AD$3:$BA$3,"="&amp;$DF19+'Model Setup'!$N$7,$B19:$Y19)+'Model Setup'!$N$8*(SUMIF($AD$3:$BA$3,"&lt;"&amp;$DF19,$B19:$Y19)+SUMIF($AD$3:$BA$3,"&gt;="&amp;$DG19,$B19:$Y19)),
IF(AG$3&lt;$DG19,E19,0))))))))))))))),0)</f>
        <v>0</v>
      </c>
      <c r="AH19" s="47">
        <f>ROUND(IF(AH$3&lt;$DF19,0,
IF(AH$3=$DF19+'Model Setup'!$B$7,SUMIF($AD$3:$BA$3,"="&amp;$DF19+'Model Setup'!$B$7,$B19:$Y19)+'Model Setup'!$B$8*(SUMIF($AD$3:$BA$3,"&lt;"&amp;$DF19,$B19:$Y19)+SUMIF($AD$3:$BA$3,"&gt;="&amp;$DG19,$B19:$Y19)),
IF(AH$3=$DF19+'Model Setup'!$C$7,SUMIF($AD$3:$BA$3,"="&amp;$DF19+'Model Setup'!$C$7,$B19:$Y19)+'Model Setup'!$C$8*(SUMIF($AD$3:$BA$3,"&lt;"&amp;$DF19,$B19:$Y19)+SUMIF($AD$3:$BA$3,"&gt;="&amp;$DG19,$B19:$Y19)),
IF(AH$3=$DF19+'Model Setup'!$D$7,SUMIF($AD$3:$BA$3,"="&amp;$DF19+'Model Setup'!$D$7,$B19:$Y19)+'Model Setup'!$D$8*(SUMIF($AD$3:$BA$3,"&lt;"&amp;$DF19,$B19:$Y19)+SUMIF($AD$3:$BA$3,"&gt;="&amp;$DG19,$B19:$Y19)),
IF(AH$3=$DF19+'Model Setup'!$E$7,SUMIF($AD$3:$BA$3,"="&amp;$DF19+'Model Setup'!$E$7,$B19:$Y19)+'Model Setup'!$E$8*(SUMIF($AD$3:$BA$3,"&lt;"&amp;$DF19,$B19:$Y19)+SUMIF($AD$3:$BA$3,"&gt;="&amp;$DG19,$B19:$Y19)),
IF(AH$3=$DF19+'Model Setup'!$F$7,SUMIF($AD$3:$BA$3,"="&amp;$DF19+'Model Setup'!$F$7,$B19:$Y19)+'Model Setup'!$F$8*(SUMIF($AD$3:$BA$3,"&lt;"&amp;$DF19,$B19:$Y19)+SUMIF($AD$3:$BA$3,"&gt;="&amp;$DG19,$B19:$Y19)),
IF(AH$3=$DF19+'Model Setup'!$G$7,SUMIF($AD$3:$BA$3,"="&amp;$DF19+'Model Setup'!$G$7,$B19:$Y19)+'Model Setup'!$G$8*(SUMIF($AD$3:$BA$3,"&lt;"&amp;$DF19,$B19:$Y19)+SUMIF($AD$3:$BA$3,"&gt;="&amp;$DG19,$B19:$Y19)),
IF(AH$3=$DF19+'Model Setup'!$H$7,SUMIF($AD$3:$BA$3,"="&amp;$DF19+'Model Setup'!$H$7,$B19:$Y19)+'Model Setup'!$H$8*(SUMIF($AD$3:$BA$3,"&lt;"&amp;$DF19,$B19:$Y19)+SUMIF($AD$3:$BA$3,"&gt;="&amp;$DG19,$B19:$Y19)),
IF(AH$3=$DF19+'Model Setup'!$I$7,SUMIF($AD$3:$BA$3,"="&amp;$DF19+'Model Setup'!$I$7,$B19:$Y19)+'Model Setup'!$I$8*(SUMIF($AD$3:$BA$3,"&lt;"&amp;$DF19,$B19:$Y19)+SUMIF($AD$3:$BA$3,"&gt;="&amp;$DG19,$B19:$Y19)),
IF(AH$3=$DF19+'Model Setup'!$J$7,SUMIF($AD$3:$BA$3,"="&amp;$DF19+'Model Setup'!$J$7,$B19:$Y19)+'Model Setup'!$J$8*(SUMIF($AD$3:$BA$3,"&lt;"&amp;$DF19,$B19:$Y19)+SUMIF($AD$3:$BA$3,"&gt;="&amp;$DG19,$B19:$Y19)),
IF(AH$3=$DF19+'Model Setup'!$K$7,SUMIF($AD$3:$BA$3,"="&amp;$DF19+'Model Setup'!$K$7,$B19:$Y19)+'Model Setup'!$K$8*(SUMIF($AD$3:$BA$3,"&lt;"&amp;$DF19,$B19:$Y19)+SUMIF($AD$3:$BA$3,"&gt;="&amp;$DG19,$B19:$Y19)),
IF(AH$3=$DF19+'Model Setup'!$L$7,SUMIF($AD$3:$BA$3,"="&amp;$DF19+'Model Setup'!$L$7,$B19:$Y19)+'Model Setup'!$L$8*(SUMIF($AD$3:$BA$3,"&lt;"&amp;$DF19,$B19:$Y19)+SUMIF($AD$3:$BA$3,"&gt;="&amp;$DG19,$B19:$Y19)),
IF(AH$3=$DF19+'Model Setup'!$M$7,SUMIF($AD$3:$BA$3,"="&amp;$DF19+'Model Setup'!$M$7,$B19:$Y19)+'Model Setup'!$M$8*(SUMIF($AD$3:$BA$3,"&lt;"&amp;$DF19,$B19:$Y19)+SUMIF($AD$3:$BA$3,"&gt;="&amp;$DG19,$B19:$Y19)),
IF(AH$3=$DF19+'Model Setup'!$N$7,SUMIF($AD$3:$BA$3,"="&amp;$DF19+'Model Setup'!$N$7,$B19:$Y19)+'Model Setup'!$N$8*(SUMIF($AD$3:$BA$3,"&lt;"&amp;$DF19,$B19:$Y19)+SUMIF($AD$3:$BA$3,"&gt;="&amp;$DG19,$B19:$Y19)),
IF(AH$3&lt;$DG19,F19,0))))))))))))))),0)</f>
        <v>0</v>
      </c>
      <c r="AI19" s="47">
        <f>ROUND(IF(AI$3&lt;$DF19,0,
IF(AI$3=$DF19+'Model Setup'!$B$7,SUMIF($AD$3:$BA$3,"="&amp;$DF19+'Model Setup'!$B$7,$B19:$Y19)+'Model Setup'!$B$8*(SUMIF($AD$3:$BA$3,"&lt;"&amp;$DF19,$B19:$Y19)+SUMIF($AD$3:$BA$3,"&gt;="&amp;$DG19,$B19:$Y19)),
IF(AI$3=$DF19+'Model Setup'!$C$7,SUMIF($AD$3:$BA$3,"="&amp;$DF19+'Model Setup'!$C$7,$B19:$Y19)+'Model Setup'!$C$8*(SUMIF($AD$3:$BA$3,"&lt;"&amp;$DF19,$B19:$Y19)+SUMIF($AD$3:$BA$3,"&gt;="&amp;$DG19,$B19:$Y19)),
IF(AI$3=$DF19+'Model Setup'!$D$7,SUMIF($AD$3:$BA$3,"="&amp;$DF19+'Model Setup'!$D$7,$B19:$Y19)+'Model Setup'!$D$8*(SUMIF($AD$3:$BA$3,"&lt;"&amp;$DF19,$B19:$Y19)+SUMIF($AD$3:$BA$3,"&gt;="&amp;$DG19,$B19:$Y19)),
IF(AI$3=$DF19+'Model Setup'!$E$7,SUMIF($AD$3:$BA$3,"="&amp;$DF19+'Model Setup'!$E$7,$B19:$Y19)+'Model Setup'!$E$8*(SUMIF($AD$3:$BA$3,"&lt;"&amp;$DF19,$B19:$Y19)+SUMIF($AD$3:$BA$3,"&gt;="&amp;$DG19,$B19:$Y19)),
IF(AI$3=$DF19+'Model Setup'!$F$7,SUMIF($AD$3:$BA$3,"="&amp;$DF19+'Model Setup'!$F$7,$B19:$Y19)+'Model Setup'!$F$8*(SUMIF($AD$3:$BA$3,"&lt;"&amp;$DF19,$B19:$Y19)+SUMIF($AD$3:$BA$3,"&gt;="&amp;$DG19,$B19:$Y19)),
IF(AI$3=$DF19+'Model Setup'!$G$7,SUMIF($AD$3:$BA$3,"="&amp;$DF19+'Model Setup'!$G$7,$B19:$Y19)+'Model Setup'!$G$8*(SUMIF($AD$3:$BA$3,"&lt;"&amp;$DF19,$B19:$Y19)+SUMIF($AD$3:$BA$3,"&gt;="&amp;$DG19,$B19:$Y19)),
IF(AI$3=$DF19+'Model Setup'!$H$7,SUMIF($AD$3:$BA$3,"="&amp;$DF19+'Model Setup'!$H$7,$B19:$Y19)+'Model Setup'!$H$8*(SUMIF($AD$3:$BA$3,"&lt;"&amp;$DF19,$B19:$Y19)+SUMIF($AD$3:$BA$3,"&gt;="&amp;$DG19,$B19:$Y19)),
IF(AI$3=$DF19+'Model Setup'!$I$7,SUMIF($AD$3:$BA$3,"="&amp;$DF19+'Model Setup'!$I$7,$B19:$Y19)+'Model Setup'!$I$8*(SUMIF($AD$3:$BA$3,"&lt;"&amp;$DF19,$B19:$Y19)+SUMIF($AD$3:$BA$3,"&gt;="&amp;$DG19,$B19:$Y19)),
IF(AI$3=$DF19+'Model Setup'!$J$7,SUMIF($AD$3:$BA$3,"="&amp;$DF19+'Model Setup'!$J$7,$B19:$Y19)+'Model Setup'!$J$8*(SUMIF($AD$3:$BA$3,"&lt;"&amp;$DF19,$B19:$Y19)+SUMIF($AD$3:$BA$3,"&gt;="&amp;$DG19,$B19:$Y19)),
IF(AI$3=$DF19+'Model Setup'!$K$7,SUMIF($AD$3:$BA$3,"="&amp;$DF19+'Model Setup'!$K$7,$B19:$Y19)+'Model Setup'!$K$8*(SUMIF($AD$3:$BA$3,"&lt;"&amp;$DF19,$B19:$Y19)+SUMIF($AD$3:$BA$3,"&gt;="&amp;$DG19,$B19:$Y19)),
IF(AI$3=$DF19+'Model Setup'!$L$7,SUMIF($AD$3:$BA$3,"="&amp;$DF19+'Model Setup'!$L$7,$B19:$Y19)+'Model Setup'!$L$8*(SUMIF($AD$3:$BA$3,"&lt;"&amp;$DF19,$B19:$Y19)+SUMIF($AD$3:$BA$3,"&gt;="&amp;$DG19,$B19:$Y19)),
IF(AI$3=$DF19+'Model Setup'!$M$7,SUMIF($AD$3:$BA$3,"="&amp;$DF19+'Model Setup'!$M$7,$B19:$Y19)+'Model Setup'!$M$8*(SUMIF($AD$3:$BA$3,"&lt;"&amp;$DF19,$B19:$Y19)+SUMIF($AD$3:$BA$3,"&gt;="&amp;$DG19,$B19:$Y19)),
IF(AI$3=$DF19+'Model Setup'!$N$7,SUMIF($AD$3:$BA$3,"="&amp;$DF19+'Model Setup'!$N$7,$B19:$Y19)+'Model Setup'!$N$8*(SUMIF($AD$3:$BA$3,"&lt;"&amp;$DF19,$B19:$Y19)+SUMIF($AD$3:$BA$3,"&gt;="&amp;$DG19,$B19:$Y19)),
IF(AI$3&lt;$DG19,G19,0))))))))))))))),0)</f>
        <v>0</v>
      </c>
      <c r="AJ19" s="47">
        <f>ROUND(IF(AJ$3&lt;$DF19,0,
IF(AJ$3=$DF19+'Model Setup'!$B$7,SUMIF($AD$3:$BA$3,"="&amp;$DF19+'Model Setup'!$B$7,$B19:$Y19)+'Model Setup'!$B$8*(SUMIF($AD$3:$BA$3,"&lt;"&amp;$DF19,$B19:$Y19)+SUMIF($AD$3:$BA$3,"&gt;="&amp;$DG19,$B19:$Y19)),
IF(AJ$3=$DF19+'Model Setup'!$C$7,SUMIF($AD$3:$BA$3,"="&amp;$DF19+'Model Setup'!$C$7,$B19:$Y19)+'Model Setup'!$C$8*(SUMIF($AD$3:$BA$3,"&lt;"&amp;$DF19,$B19:$Y19)+SUMIF($AD$3:$BA$3,"&gt;="&amp;$DG19,$B19:$Y19)),
IF(AJ$3=$DF19+'Model Setup'!$D$7,SUMIF($AD$3:$BA$3,"="&amp;$DF19+'Model Setup'!$D$7,$B19:$Y19)+'Model Setup'!$D$8*(SUMIF($AD$3:$BA$3,"&lt;"&amp;$DF19,$B19:$Y19)+SUMIF($AD$3:$BA$3,"&gt;="&amp;$DG19,$B19:$Y19)),
IF(AJ$3=$DF19+'Model Setup'!$E$7,SUMIF($AD$3:$BA$3,"="&amp;$DF19+'Model Setup'!$E$7,$B19:$Y19)+'Model Setup'!$E$8*(SUMIF($AD$3:$BA$3,"&lt;"&amp;$DF19,$B19:$Y19)+SUMIF($AD$3:$BA$3,"&gt;="&amp;$DG19,$B19:$Y19)),
IF(AJ$3=$DF19+'Model Setup'!$F$7,SUMIF($AD$3:$BA$3,"="&amp;$DF19+'Model Setup'!$F$7,$B19:$Y19)+'Model Setup'!$F$8*(SUMIF($AD$3:$BA$3,"&lt;"&amp;$DF19,$B19:$Y19)+SUMIF($AD$3:$BA$3,"&gt;="&amp;$DG19,$B19:$Y19)),
IF(AJ$3=$DF19+'Model Setup'!$G$7,SUMIF($AD$3:$BA$3,"="&amp;$DF19+'Model Setup'!$G$7,$B19:$Y19)+'Model Setup'!$G$8*(SUMIF($AD$3:$BA$3,"&lt;"&amp;$DF19,$B19:$Y19)+SUMIF($AD$3:$BA$3,"&gt;="&amp;$DG19,$B19:$Y19)),
IF(AJ$3=$DF19+'Model Setup'!$H$7,SUMIF($AD$3:$BA$3,"="&amp;$DF19+'Model Setup'!$H$7,$B19:$Y19)+'Model Setup'!$H$8*(SUMIF($AD$3:$BA$3,"&lt;"&amp;$DF19,$B19:$Y19)+SUMIF($AD$3:$BA$3,"&gt;="&amp;$DG19,$B19:$Y19)),
IF(AJ$3=$DF19+'Model Setup'!$I$7,SUMIF($AD$3:$BA$3,"="&amp;$DF19+'Model Setup'!$I$7,$B19:$Y19)+'Model Setup'!$I$8*(SUMIF($AD$3:$BA$3,"&lt;"&amp;$DF19,$B19:$Y19)+SUMIF($AD$3:$BA$3,"&gt;="&amp;$DG19,$B19:$Y19)),
IF(AJ$3=$DF19+'Model Setup'!$J$7,SUMIF($AD$3:$BA$3,"="&amp;$DF19+'Model Setup'!$J$7,$B19:$Y19)+'Model Setup'!$J$8*(SUMIF($AD$3:$BA$3,"&lt;"&amp;$DF19,$B19:$Y19)+SUMIF($AD$3:$BA$3,"&gt;="&amp;$DG19,$B19:$Y19)),
IF(AJ$3=$DF19+'Model Setup'!$K$7,SUMIF($AD$3:$BA$3,"="&amp;$DF19+'Model Setup'!$K$7,$B19:$Y19)+'Model Setup'!$K$8*(SUMIF($AD$3:$BA$3,"&lt;"&amp;$DF19,$B19:$Y19)+SUMIF($AD$3:$BA$3,"&gt;="&amp;$DG19,$B19:$Y19)),
IF(AJ$3=$DF19+'Model Setup'!$L$7,SUMIF($AD$3:$BA$3,"="&amp;$DF19+'Model Setup'!$L$7,$B19:$Y19)+'Model Setup'!$L$8*(SUMIF($AD$3:$BA$3,"&lt;"&amp;$DF19,$B19:$Y19)+SUMIF($AD$3:$BA$3,"&gt;="&amp;$DG19,$B19:$Y19)),
IF(AJ$3=$DF19+'Model Setup'!$M$7,SUMIF($AD$3:$BA$3,"="&amp;$DF19+'Model Setup'!$M$7,$B19:$Y19)+'Model Setup'!$M$8*(SUMIF($AD$3:$BA$3,"&lt;"&amp;$DF19,$B19:$Y19)+SUMIF($AD$3:$BA$3,"&gt;="&amp;$DG19,$B19:$Y19)),
IF(AJ$3=$DF19+'Model Setup'!$N$7,SUMIF($AD$3:$BA$3,"="&amp;$DF19+'Model Setup'!$N$7,$B19:$Y19)+'Model Setup'!$N$8*(SUMIF($AD$3:$BA$3,"&lt;"&amp;$DF19,$B19:$Y19)+SUMIF($AD$3:$BA$3,"&gt;="&amp;$DG19,$B19:$Y19)),
IF(AJ$3&lt;$DG19,H19,0))))))))))))))),0)</f>
        <v>0</v>
      </c>
      <c r="AK19" s="47">
        <f>ROUND(IF(AK$3&lt;$DF19,0,
IF(AK$3=$DF19+'Model Setup'!$B$7,SUMIF($AD$3:$BA$3,"="&amp;$DF19+'Model Setup'!$B$7,$B19:$Y19)+'Model Setup'!$B$8*(SUMIF($AD$3:$BA$3,"&lt;"&amp;$DF19,$B19:$Y19)+SUMIF($AD$3:$BA$3,"&gt;="&amp;$DG19,$B19:$Y19)),
IF(AK$3=$DF19+'Model Setup'!$C$7,SUMIF($AD$3:$BA$3,"="&amp;$DF19+'Model Setup'!$C$7,$B19:$Y19)+'Model Setup'!$C$8*(SUMIF($AD$3:$BA$3,"&lt;"&amp;$DF19,$B19:$Y19)+SUMIF($AD$3:$BA$3,"&gt;="&amp;$DG19,$B19:$Y19)),
IF(AK$3=$DF19+'Model Setup'!$D$7,SUMIF($AD$3:$BA$3,"="&amp;$DF19+'Model Setup'!$D$7,$B19:$Y19)+'Model Setup'!$D$8*(SUMIF($AD$3:$BA$3,"&lt;"&amp;$DF19,$B19:$Y19)+SUMIF($AD$3:$BA$3,"&gt;="&amp;$DG19,$B19:$Y19)),
IF(AK$3=$DF19+'Model Setup'!$E$7,SUMIF($AD$3:$BA$3,"="&amp;$DF19+'Model Setup'!$E$7,$B19:$Y19)+'Model Setup'!$E$8*(SUMIF($AD$3:$BA$3,"&lt;"&amp;$DF19,$B19:$Y19)+SUMIF($AD$3:$BA$3,"&gt;="&amp;$DG19,$B19:$Y19)),
IF(AK$3=$DF19+'Model Setup'!$F$7,SUMIF($AD$3:$BA$3,"="&amp;$DF19+'Model Setup'!$F$7,$B19:$Y19)+'Model Setup'!$F$8*(SUMIF($AD$3:$BA$3,"&lt;"&amp;$DF19,$B19:$Y19)+SUMIF($AD$3:$BA$3,"&gt;="&amp;$DG19,$B19:$Y19)),
IF(AK$3=$DF19+'Model Setup'!$G$7,SUMIF($AD$3:$BA$3,"="&amp;$DF19+'Model Setup'!$G$7,$B19:$Y19)+'Model Setup'!$G$8*(SUMIF($AD$3:$BA$3,"&lt;"&amp;$DF19,$B19:$Y19)+SUMIF($AD$3:$BA$3,"&gt;="&amp;$DG19,$B19:$Y19)),
IF(AK$3=$DF19+'Model Setup'!$H$7,SUMIF($AD$3:$BA$3,"="&amp;$DF19+'Model Setup'!$H$7,$B19:$Y19)+'Model Setup'!$H$8*(SUMIF($AD$3:$BA$3,"&lt;"&amp;$DF19,$B19:$Y19)+SUMIF($AD$3:$BA$3,"&gt;="&amp;$DG19,$B19:$Y19)),
IF(AK$3=$DF19+'Model Setup'!$I$7,SUMIF($AD$3:$BA$3,"="&amp;$DF19+'Model Setup'!$I$7,$B19:$Y19)+'Model Setup'!$I$8*(SUMIF($AD$3:$BA$3,"&lt;"&amp;$DF19,$B19:$Y19)+SUMIF($AD$3:$BA$3,"&gt;="&amp;$DG19,$B19:$Y19)),
IF(AK$3=$DF19+'Model Setup'!$J$7,SUMIF($AD$3:$BA$3,"="&amp;$DF19+'Model Setup'!$J$7,$B19:$Y19)+'Model Setup'!$J$8*(SUMIF($AD$3:$BA$3,"&lt;"&amp;$DF19,$B19:$Y19)+SUMIF($AD$3:$BA$3,"&gt;="&amp;$DG19,$B19:$Y19)),
IF(AK$3=$DF19+'Model Setup'!$K$7,SUMIF($AD$3:$BA$3,"="&amp;$DF19+'Model Setup'!$K$7,$B19:$Y19)+'Model Setup'!$K$8*(SUMIF($AD$3:$BA$3,"&lt;"&amp;$DF19,$B19:$Y19)+SUMIF($AD$3:$BA$3,"&gt;="&amp;$DG19,$B19:$Y19)),
IF(AK$3=$DF19+'Model Setup'!$L$7,SUMIF($AD$3:$BA$3,"="&amp;$DF19+'Model Setup'!$L$7,$B19:$Y19)+'Model Setup'!$L$8*(SUMIF($AD$3:$BA$3,"&lt;"&amp;$DF19,$B19:$Y19)+SUMIF($AD$3:$BA$3,"&gt;="&amp;$DG19,$B19:$Y19)),
IF(AK$3=$DF19+'Model Setup'!$M$7,SUMIF($AD$3:$BA$3,"="&amp;$DF19+'Model Setup'!$M$7,$B19:$Y19)+'Model Setup'!$M$8*(SUMIF($AD$3:$BA$3,"&lt;"&amp;$DF19,$B19:$Y19)+SUMIF($AD$3:$BA$3,"&gt;="&amp;$DG19,$B19:$Y19)),
IF(AK$3=$DF19+'Model Setup'!$N$7,SUMIF($AD$3:$BA$3,"="&amp;$DF19+'Model Setup'!$N$7,$B19:$Y19)+'Model Setup'!$N$8*(SUMIF($AD$3:$BA$3,"&lt;"&amp;$DF19,$B19:$Y19)+SUMIF($AD$3:$BA$3,"&gt;="&amp;$DG19,$B19:$Y19)),
IF(AK$3&lt;$DG19,I19,0))))))))))))))),0)</f>
        <v>135</v>
      </c>
      <c r="AL19" s="47">
        <f>ROUND(IF(AL$3&lt;$DF19,0,
IF(AL$3=$DF19+'Model Setup'!$B$7,SUMIF($AD$3:$BA$3,"="&amp;$DF19+'Model Setup'!$B$7,$B19:$Y19)+'Model Setup'!$B$8*(SUMIF($AD$3:$BA$3,"&lt;"&amp;$DF19,$B19:$Y19)+SUMIF($AD$3:$BA$3,"&gt;="&amp;$DG19,$B19:$Y19)),
IF(AL$3=$DF19+'Model Setup'!$C$7,SUMIF($AD$3:$BA$3,"="&amp;$DF19+'Model Setup'!$C$7,$B19:$Y19)+'Model Setup'!$C$8*(SUMIF($AD$3:$BA$3,"&lt;"&amp;$DF19,$B19:$Y19)+SUMIF($AD$3:$BA$3,"&gt;="&amp;$DG19,$B19:$Y19)),
IF(AL$3=$DF19+'Model Setup'!$D$7,SUMIF($AD$3:$BA$3,"="&amp;$DF19+'Model Setup'!$D$7,$B19:$Y19)+'Model Setup'!$D$8*(SUMIF($AD$3:$BA$3,"&lt;"&amp;$DF19,$B19:$Y19)+SUMIF($AD$3:$BA$3,"&gt;="&amp;$DG19,$B19:$Y19)),
IF(AL$3=$DF19+'Model Setup'!$E$7,SUMIF($AD$3:$BA$3,"="&amp;$DF19+'Model Setup'!$E$7,$B19:$Y19)+'Model Setup'!$E$8*(SUMIF($AD$3:$BA$3,"&lt;"&amp;$DF19,$B19:$Y19)+SUMIF($AD$3:$BA$3,"&gt;="&amp;$DG19,$B19:$Y19)),
IF(AL$3=$DF19+'Model Setup'!$F$7,SUMIF($AD$3:$BA$3,"="&amp;$DF19+'Model Setup'!$F$7,$B19:$Y19)+'Model Setup'!$F$8*(SUMIF($AD$3:$BA$3,"&lt;"&amp;$DF19,$B19:$Y19)+SUMIF($AD$3:$BA$3,"&gt;="&amp;$DG19,$B19:$Y19)),
IF(AL$3=$DF19+'Model Setup'!$G$7,SUMIF($AD$3:$BA$3,"="&amp;$DF19+'Model Setup'!$G$7,$B19:$Y19)+'Model Setup'!$G$8*(SUMIF($AD$3:$BA$3,"&lt;"&amp;$DF19,$B19:$Y19)+SUMIF($AD$3:$BA$3,"&gt;="&amp;$DG19,$B19:$Y19)),
IF(AL$3=$DF19+'Model Setup'!$H$7,SUMIF($AD$3:$BA$3,"="&amp;$DF19+'Model Setup'!$H$7,$B19:$Y19)+'Model Setup'!$H$8*(SUMIF($AD$3:$BA$3,"&lt;"&amp;$DF19,$B19:$Y19)+SUMIF($AD$3:$BA$3,"&gt;="&amp;$DG19,$B19:$Y19)),
IF(AL$3=$DF19+'Model Setup'!$I$7,SUMIF($AD$3:$BA$3,"="&amp;$DF19+'Model Setup'!$I$7,$B19:$Y19)+'Model Setup'!$I$8*(SUMIF($AD$3:$BA$3,"&lt;"&amp;$DF19,$B19:$Y19)+SUMIF($AD$3:$BA$3,"&gt;="&amp;$DG19,$B19:$Y19)),
IF(AL$3=$DF19+'Model Setup'!$J$7,SUMIF($AD$3:$BA$3,"="&amp;$DF19+'Model Setup'!$J$7,$B19:$Y19)+'Model Setup'!$J$8*(SUMIF($AD$3:$BA$3,"&lt;"&amp;$DF19,$B19:$Y19)+SUMIF($AD$3:$BA$3,"&gt;="&amp;$DG19,$B19:$Y19)),
IF(AL$3=$DF19+'Model Setup'!$K$7,SUMIF($AD$3:$BA$3,"="&amp;$DF19+'Model Setup'!$K$7,$B19:$Y19)+'Model Setup'!$K$8*(SUMIF($AD$3:$BA$3,"&lt;"&amp;$DF19,$B19:$Y19)+SUMIF($AD$3:$BA$3,"&gt;="&amp;$DG19,$B19:$Y19)),
IF(AL$3=$DF19+'Model Setup'!$L$7,SUMIF($AD$3:$BA$3,"="&amp;$DF19+'Model Setup'!$L$7,$B19:$Y19)+'Model Setup'!$L$8*(SUMIF($AD$3:$BA$3,"&lt;"&amp;$DF19,$B19:$Y19)+SUMIF($AD$3:$BA$3,"&gt;="&amp;$DG19,$B19:$Y19)),
IF(AL$3=$DF19+'Model Setup'!$M$7,SUMIF($AD$3:$BA$3,"="&amp;$DF19+'Model Setup'!$M$7,$B19:$Y19)+'Model Setup'!$M$8*(SUMIF($AD$3:$BA$3,"&lt;"&amp;$DF19,$B19:$Y19)+SUMIF($AD$3:$BA$3,"&gt;="&amp;$DG19,$B19:$Y19)),
IF(AL$3=$DF19+'Model Setup'!$N$7,SUMIF($AD$3:$BA$3,"="&amp;$DF19+'Model Setup'!$N$7,$B19:$Y19)+'Model Setup'!$N$8*(SUMIF($AD$3:$BA$3,"&lt;"&amp;$DF19,$B19:$Y19)+SUMIF($AD$3:$BA$3,"&gt;="&amp;$DG19,$B19:$Y19)),
IF(AL$3&lt;$DG19,J19,0))))))))))))))),0)</f>
        <v>139</v>
      </c>
      <c r="AM19" s="47">
        <f>ROUND(IF(AM$3&lt;$DF19,0,
IF(AM$3=$DF19+'Model Setup'!$B$7,SUMIF($AD$3:$BA$3,"="&amp;$DF19+'Model Setup'!$B$7,$B19:$Y19)+'Model Setup'!$B$8*(SUMIF($AD$3:$BA$3,"&lt;"&amp;$DF19,$B19:$Y19)+SUMIF($AD$3:$BA$3,"&gt;="&amp;$DG19,$B19:$Y19)),
IF(AM$3=$DF19+'Model Setup'!$C$7,SUMIF($AD$3:$BA$3,"="&amp;$DF19+'Model Setup'!$C$7,$B19:$Y19)+'Model Setup'!$C$8*(SUMIF($AD$3:$BA$3,"&lt;"&amp;$DF19,$B19:$Y19)+SUMIF($AD$3:$BA$3,"&gt;="&amp;$DG19,$B19:$Y19)),
IF(AM$3=$DF19+'Model Setup'!$D$7,SUMIF($AD$3:$BA$3,"="&amp;$DF19+'Model Setup'!$D$7,$B19:$Y19)+'Model Setup'!$D$8*(SUMIF($AD$3:$BA$3,"&lt;"&amp;$DF19,$B19:$Y19)+SUMIF($AD$3:$BA$3,"&gt;="&amp;$DG19,$B19:$Y19)),
IF(AM$3=$DF19+'Model Setup'!$E$7,SUMIF($AD$3:$BA$3,"="&amp;$DF19+'Model Setup'!$E$7,$B19:$Y19)+'Model Setup'!$E$8*(SUMIF($AD$3:$BA$3,"&lt;"&amp;$DF19,$B19:$Y19)+SUMIF($AD$3:$BA$3,"&gt;="&amp;$DG19,$B19:$Y19)),
IF(AM$3=$DF19+'Model Setup'!$F$7,SUMIF($AD$3:$BA$3,"="&amp;$DF19+'Model Setup'!$F$7,$B19:$Y19)+'Model Setup'!$F$8*(SUMIF($AD$3:$BA$3,"&lt;"&amp;$DF19,$B19:$Y19)+SUMIF($AD$3:$BA$3,"&gt;="&amp;$DG19,$B19:$Y19)),
IF(AM$3=$DF19+'Model Setup'!$G$7,SUMIF($AD$3:$BA$3,"="&amp;$DF19+'Model Setup'!$G$7,$B19:$Y19)+'Model Setup'!$G$8*(SUMIF($AD$3:$BA$3,"&lt;"&amp;$DF19,$B19:$Y19)+SUMIF($AD$3:$BA$3,"&gt;="&amp;$DG19,$B19:$Y19)),
IF(AM$3=$DF19+'Model Setup'!$H$7,SUMIF($AD$3:$BA$3,"="&amp;$DF19+'Model Setup'!$H$7,$B19:$Y19)+'Model Setup'!$H$8*(SUMIF($AD$3:$BA$3,"&lt;"&amp;$DF19,$B19:$Y19)+SUMIF($AD$3:$BA$3,"&gt;="&amp;$DG19,$B19:$Y19)),
IF(AM$3=$DF19+'Model Setup'!$I$7,SUMIF($AD$3:$BA$3,"="&amp;$DF19+'Model Setup'!$I$7,$B19:$Y19)+'Model Setup'!$I$8*(SUMIF($AD$3:$BA$3,"&lt;"&amp;$DF19,$B19:$Y19)+SUMIF($AD$3:$BA$3,"&gt;="&amp;$DG19,$B19:$Y19)),
IF(AM$3=$DF19+'Model Setup'!$J$7,SUMIF($AD$3:$BA$3,"="&amp;$DF19+'Model Setup'!$J$7,$B19:$Y19)+'Model Setup'!$J$8*(SUMIF($AD$3:$BA$3,"&lt;"&amp;$DF19,$B19:$Y19)+SUMIF($AD$3:$BA$3,"&gt;="&amp;$DG19,$B19:$Y19)),
IF(AM$3=$DF19+'Model Setup'!$K$7,SUMIF($AD$3:$BA$3,"="&amp;$DF19+'Model Setup'!$K$7,$B19:$Y19)+'Model Setup'!$K$8*(SUMIF($AD$3:$BA$3,"&lt;"&amp;$DF19,$B19:$Y19)+SUMIF($AD$3:$BA$3,"&gt;="&amp;$DG19,$B19:$Y19)),
IF(AM$3=$DF19+'Model Setup'!$L$7,SUMIF($AD$3:$BA$3,"="&amp;$DF19+'Model Setup'!$L$7,$B19:$Y19)+'Model Setup'!$L$8*(SUMIF($AD$3:$BA$3,"&lt;"&amp;$DF19,$B19:$Y19)+SUMIF($AD$3:$BA$3,"&gt;="&amp;$DG19,$B19:$Y19)),
IF(AM$3=$DF19+'Model Setup'!$M$7,SUMIF($AD$3:$BA$3,"="&amp;$DF19+'Model Setup'!$M$7,$B19:$Y19)+'Model Setup'!$M$8*(SUMIF($AD$3:$BA$3,"&lt;"&amp;$DF19,$B19:$Y19)+SUMIF($AD$3:$BA$3,"&gt;="&amp;$DG19,$B19:$Y19)),
IF(AM$3=$DF19+'Model Setup'!$N$7,SUMIF($AD$3:$BA$3,"="&amp;$DF19+'Model Setup'!$N$7,$B19:$Y19)+'Model Setup'!$N$8*(SUMIF($AD$3:$BA$3,"&lt;"&amp;$DF19,$B19:$Y19)+SUMIF($AD$3:$BA$3,"&gt;="&amp;$DG19,$B19:$Y19)),
IF(AM$3&lt;$DG19,K19,0))))))))))))))),0)</f>
        <v>119</v>
      </c>
      <c r="AN19" s="47">
        <f>ROUND(IF(AN$3&lt;$DF19,0,
IF(AN$3=$DF19+'Model Setup'!$B$7,SUMIF($AD$3:$BA$3,"="&amp;$DF19+'Model Setup'!$B$7,$B19:$Y19)+'Model Setup'!$B$8*(SUMIF($AD$3:$BA$3,"&lt;"&amp;$DF19,$B19:$Y19)+SUMIF($AD$3:$BA$3,"&gt;="&amp;$DG19,$B19:$Y19)),
IF(AN$3=$DF19+'Model Setup'!$C$7,SUMIF($AD$3:$BA$3,"="&amp;$DF19+'Model Setup'!$C$7,$B19:$Y19)+'Model Setup'!$C$8*(SUMIF($AD$3:$BA$3,"&lt;"&amp;$DF19,$B19:$Y19)+SUMIF($AD$3:$BA$3,"&gt;="&amp;$DG19,$B19:$Y19)),
IF(AN$3=$DF19+'Model Setup'!$D$7,SUMIF($AD$3:$BA$3,"="&amp;$DF19+'Model Setup'!$D$7,$B19:$Y19)+'Model Setup'!$D$8*(SUMIF($AD$3:$BA$3,"&lt;"&amp;$DF19,$B19:$Y19)+SUMIF($AD$3:$BA$3,"&gt;="&amp;$DG19,$B19:$Y19)),
IF(AN$3=$DF19+'Model Setup'!$E$7,SUMIF($AD$3:$BA$3,"="&amp;$DF19+'Model Setup'!$E$7,$B19:$Y19)+'Model Setup'!$E$8*(SUMIF($AD$3:$BA$3,"&lt;"&amp;$DF19,$B19:$Y19)+SUMIF($AD$3:$BA$3,"&gt;="&amp;$DG19,$B19:$Y19)),
IF(AN$3=$DF19+'Model Setup'!$F$7,SUMIF($AD$3:$BA$3,"="&amp;$DF19+'Model Setup'!$F$7,$B19:$Y19)+'Model Setup'!$F$8*(SUMIF($AD$3:$BA$3,"&lt;"&amp;$DF19,$B19:$Y19)+SUMIF($AD$3:$BA$3,"&gt;="&amp;$DG19,$B19:$Y19)),
IF(AN$3=$DF19+'Model Setup'!$G$7,SUMIF($AD$3:$BA$3,"="&amp;$DF19+'Model Setup'!$G$7,$B19:$Y19)+'Model Setup'!$G$8*(SUMIF($AD$3:$BA$3,"&lt;"&amp;$DF19,$B19:$Y19)+SUMIF($AD$3:$BA$3,"&gt;="&amp;$DG19,$B19:$Y19)),
IF(AN$3=$DF19+'Model Setup'!$H$7,SUMIF($AD$3:$BA$3,"="&amp;$DF19+'Model Setup'!$H$7,$B19:$Y19)+'Model Setup'!$H$8*(SUMIF($AD$3:$BA$3,"&lt;"&amp;$DF19,$B19:$Y19)+SUMIF($AD$3:$BA$3,"&gt;="&amp;$DG19,$B19:$Y19)),
IF(AN$3=$DF19+'Model Setup'!$I$7,SUMIF($AD$3:$BA$3,"="&amp;$DF19+'Model Setup'!$I$7,$B19:$Y19)+'Model Setup'!$I$8*(SUMIF($AD$3:$BA$3,"&lt;"&amp;$DF19,$B19:$Y19)+SUMIF($AD$3:$BA$3,"&gt;="&amp;$DG19,$B19:$Y19)),
IF(AN$3=$DF19+'Model Setup'!$J$7,SUMIF($AD$3:$BA$3,"="&amp;$DF19+'Model Setup'!$J$7,$B19:$Y19)+'Model Setup'!$J$8*(SUMIF($AD$3:$BA$3,"&lt;"&amp;$DF19,$B19:$Y19)+SUMIF($AD$3:$BA$3,"&gt;="&amp;$DG19,$B19:$Y19)),
IF(AN$3=$DF19+'Model Setup'!$K$7,SUMIF($AD$3:$BA$3,"="&amp;$DF19+'Model Setup'!$K$7,$B19:$Y19)+'Model Setup'!$K$8*(SUMIF($AD$3:$BA$3,"&lt;"&amp;$DF19,$B19:$Y19)+SUMIF($AD$3:$BA$3,"&gt;="&amp;$DG19,$B19:$Y19)),
IF(AN$3=$DF19+'Model Setup'!$L$7,SUMIF($AD$3:$BA$3,"="&amp;$DF19+'Model Setup'!$L$7,$B19:$Y19)+'Model Setup'!$L$8*(SUMIF($AD$3:$BA$3,"&lt;"&amp;$DF19,$B19:$Y19)+SUMIF($AD$3:$BA$3,"&gt;="&amp;$DG19,$B19:$Y19)),
IF(AN$3=$DF19+'Model Setup'!$M$7,SUMIF($AD$3:$BA$3,"="&amp;$DF19+'Model Setup'!$M$7,$B19:$Y19)+'Model Setup'!$M$8*(SUMIF($AD$3:$BA$3,"&lt;"&amp;$DF19,$B19:$Y19)+SUMIF($AD$3:$BA$3,"&gt;="&amp;$DG19,$B19:$Y19)),
IF(AN$3=$DF19+'Model Setup'!$N$7,SUMIF($AD$3:$BA$3,"="&amp;$DF19+'Model Setup'!$N$7,$B19:$Y19)+'Model Setup'!$N$8*(SUMIF($AD$3:$BA$3,"&lt;"&amp;$DF19,$B19:$Y19)+SUMIF($AD$3:$BA$3,"&gt;="&amp;$DG19,$B19:$Y19)),
IF(AN$3&lt;$DG19,L19,0))))))))))))))),0)</f>
        <v>107</v>
      </c>
      <c r="AO19" s="47">
        <f>ROUND(IF(AO$3&lt;$DF19,0,
IF(AO$3=$DF19+'Model Setup'!$B$7,SUMIF($AD$3:$BA$3,"="&amp;$DF19+'Model Setup'!$B$7,$B19:$Y19)+'Model Setup'!$B$8*(SUMIF($AD$3:$BA$3,"&lt;"&amp;$DF19,$B19:$Y19)+SUMIF($AD$3:$BA$3,"&gt;="&amp;$DG19,$B19:$Y19)),
IF(AO$3=$DF19+'Model Setup'!$C$7,SUMIF($AD$3:$BA$3,"="&amp;$DF19+'Model Setup'!$C$7,$B19:$Y19)+'Model Setup'!$C$8*(SUMIF($AD$3:$BA$3,"&lt;"&amp;$DF19,$B19:$Y19)+SUMIF($AD$3:$BA$3,"&gt;="&amp;$DG19,$B19:$Y19)),
IF(AO$3=$DF19+'Model Setup'!$D$7,SUMIF($AD$3:$BA$3,"="&amp;$DF19+'Model Setup'!$D$7,$B19:$Y19)+'Model Setup'!$D$8*(SUMIF($AD$3:$BA$3,"&lt;"&amp;$DF19,$B19:$Y19)+SUMIF($AD$3:$BA$3,"&gt;="&amp;$DG19,$B19:$Y19)),
IF(AO$3=$DF19+'Model Setup'!$E$7,SUMIF($AD$3:$BA$3,"="&amp;$DF19+'Model Setup'!$E$7,$B19:$Y19)+'Model Setup'!$E$8*(SUMIF($AD$3:$BA$3,"&lt;"&amp;$DF19,$B19:$Y19)+SUMIF($AD$3:$BA$3,"&gt;="&amp;$DG19,$B19:$Y19)),
IF(AO$3=$DF19+'Model Setup'!$F$7,SUMIF($AD$3:$BA$3,"="&amp;$DF19+'Model Setup'!$F$7,$B19:$Y19)+'Model Setup'!$F$8*(SUMIF($AD$3:$BA$3,"&lt;"&amp;$DF19,$B19:$Y19)+SUMIF($AD$3:$BA$3,"&gt;="&amp;$DG19,$B19:$Y19)),
IF(AO$3=$DF19+'Model Setup'!$G$7,SUMIF($AD$3:$BA$3,"="&amp;$DF19+'Model Setup'!$G$7,$B19:$Y19)+'Model Setup'!$G$8*(SUMIF($AD$3:$BA$3,"&lt;"&amp;$DF19,$B19:$Y19)+SUMIF($AD$3:$BA$3,"&gt;="&amp;$DG19,$B19:$Y19)),
IF(AO$3=$DF19+'Model Setup'!$H$7,SUMIF($AD$3:$BA$3,"="&amp;$DF19+'Model Setup'!$H$7,$B19:$Y19)+'Model Setup'!$H$8*(SUMIF($AD$3:$BA$3,"&lt;"&amp;$DF19,$B19:$Y19)+SUMIF($AD$3:$BA$3,"&gt;="&amp;$DG19,$B19:$Y19)),
IF(AO$3=$DF19+'Model Setup'!$I$7,SUMIF($AD$3:$BA$3,"="&amp;$DF19+'Model Setup'!$I$7,$B19:$Y19)+'Model Setup'!$I$8*(SUMIF($AD$3:$BA$3,"&lt;"&amp;$DF19,$B19:$Y19)+SUMIF($AD$3:$BA$3,"&gt;="&amp;$DG19,$B19:$Y19)),
IF(AO$3=$DF19+'Model Setup'!$J$7,SUMIF($AD$3:$BA$3,"="&amp;$DF19+'Model Setup'!$J$7,$B19:$Y19)+'Model Setup'!$J$8*(SUMIF($AD$3:$BA$3,"&lt;"&amp;$DF19,$B19:$Y19)+SUMIF($AD$3:$BA$3,"&gt;="&amp;$DG19,$B19:$Y19)),
IF(AO$3=$DF19+'Model Setup'!$K$7,SUMIF($AD$3:$BA$3,"="&amp;$DF19+'Model Setup'!$K$7,$B19:$Y19)+'Model Setup'!$K$8*(SUMIF($AD$3:$BA$3,"&lt;"&amp;$DF19,$B19:$Y19)+SUMIF($AD$3:$BA$3,"&gt;="&amp;$DG19,$B19:$Y19)),
IF(AO$3=$DF19+'Model Setup'!$L$7,SUMIF($AD$3:$BA$3,"="&amp;$DF19+'Model Setup'!$L$7,$B19:$Y19)+'Model Setup'!$L$8*(SUMIF($AD$3:$BA$3,"&lt;"&amp;$DF19,$B19:$Y19)+SUMIF($AD$3:$BA$3,"&gt;="&amp;$DG19,$B19:$Y19)),
IF(AO$3=$DF19+'Model Setup'!$M$7,SUMIF($AD$3:$BA$3,"="&amp;$DF19+'Model Setup'!$M$7,$B19:$Y19)+'Model Setup'!$M$8*(SUMIF($AD$3:$BA$3,"&lt;"&amp;$DF19,$B19:$Y19)+SUMIF($AD$3:$BA$3,"&gt;="&amp;$DG19,$B19:$Y19)),
IF(AO$3=$DF19+'Model Setup'!$N$7,SUMIF($AD$3:$BA$3,"="&amp;$DF19+'Model Setup'!$N$7,$B19:$Y19)+'Model Setup'!$N$8*(SUMIF($AD$3:$BA$3,"&lt;"&amp;$DF19,$B19:$Y19)+SUMIF($AD$3:$BA$3,"&gt;="&amp;$DG19,$B19:$Y19)),
IF(AO$3&lt;$DG19,M19,0))))))))))))))),0)</f>
        <v>109</v>
      </c>
      <c r="AP19" s="47">
        <f>ROUND(IF(AP$3&lt;$DF19,0,
IF(AP$3=$DF19+'Model Setup'!$B$7,SUMIF($AD$3:$BA$3,"="&amp;$DF19+'Model Setup'!$B$7,$B19:$Y19)+'Model Setup'!$B$8*(SUMIF($AD$3:$BA$3,"&lt;"&amp;$DF19,$B19:$Y19)+SUMIF($AD$3:$BA$3,"&gt;="&amp;$DG19,$B19:$Y19)),
IF(AP$3=$DF19+'Model Setup'!$C$7,SUMIF($AD$3:$BA$3,"="&amp;$DF19+'Model Setup'!$C$7,$B19:$Y19)+'Model Setup'!$C$8*(SUMIF($AD$3:$BA$3,"&lt;"&amp;$DF19,$B19:$Y19)+SUMIF($AD$3:$BA$3,"&gt;="&amp;$DG19,$B19:$Y19)),
IF(AP$3=$DF19+'Model Setup'!$D$7,SUMIF($AD$3:$BA$3,"="&amp;$DF19+'Model Setup'!$D$7,$B19:$Y19)+'Model Setup'!$D$8*(SUMIF($AD$3:$BA$3,"&lt;"&amp;$DF19,$B19:$Y19)+SUMIF($AD$3:$BA$3,"&gt;="&amp;$DG19,$B19:$Y19)),
IF(AP$3=$DF19+'Model Setup'!$E$7,SUMIF($AD$3:$BA$3,"="&amp;$DF19+'Model Setup'!$E$7,$B19:$Y19)+'Model Setup'!$E$8*(SUMIF($AD$3:$BA$3,"&lt;"&amp;$DF19,$B19:$Y19)+SUMIF($AD$3:$BA$3,"&gt;="&amp;$DG19,$B19:$Y19)),
IF(AP$3=$DF19+'Model Setup'!$F$7,SUMIF($AD$3:$BA$3,"="&amp;$DF19+'Model Setup'!$F$7,$B19:$Y19)+'Model Setup'!$F$8*(SUMIF($AD$3:$BA$3,"&lt;"&amp;$DF19,$B19:$Y19)+SUMIF($AD$3:$BA$3,"&gt;="&amp;$DG19,$B19:$Y19)),
IF(AP$3=$DF19+'Model Setup'!$G$7,SUMIF($AD$3:$BA$3,"="&amp;$DF19+'Model Setup'!$G$7,$B19:$Y19)+'Model Setup'!$G$8*(SUMIF($AD$3:$BA$3,"&lt;"&amp;$DF19,$B19:$Y19)+SUMIF($AD$3:$BA$3,"&gt;="&amp;$DG19,$B19:$Y19)),
IF(AP$3=$DF19+'Model Setup'!$H$7,SUMIF($AD$3:$BA$3,"="&amp;$DF19+'Model Setup'!$H$7,$B19:$Y19)+'Model Setup'!$H$8*(SUMIF($AD$3:$BA$3,"&lt;"&amp;$DF19,$B19:$Y19)+SUMIF($AD$3:$BA$3,"&gt;="&amp;$DG19,$B19:$Y19)),
IF(AP$3=$DF19+'Model Setup'!$I$7,SUMIF($AD$3:$BA$3,"="&amp;$DF19+'Model Setup'!$I$7,$B19:$Y19)+'Model Setup'!$I$8*(SUMIF($AD$3:$BA$3,"&lt;"&amp;$DF19,$B19:$Y19)+SUMIF($AD$3:$BA$3,"&gt;="&amp;$DG19,$B19:$Y19)),
IF(AP$3=$DF19+'Model Setup'!$J$7,SUMIF($AD$3:$BA$3,"="&amp;$DF19+'Model Setup'!$J$7,$B19:$Y19)+'Model Setup'!$J$8*(SUMIF($AD$3:$BA$3,"&lt;"&amp;$DF19,$B19:$Y19)+SUMIF($AD$3:$BA$3,"&gt;="&amp;$DG19,$B19:$Y19)),
IF(AP$3=$DF19+'Model Setup'!$K$7,SUMIF($AD$3:$BA$3,"="&amp;$DF19+'Model Setup'!$K$7,$B19:$Y19)+'Model Setup'!$K$8*(SUMIF($AD$3:$BA$3,"&lt;"&amp;$DF19,$B19:$Y19)+SUMIF($AD$3:$BA$3,"&gt;="&amp;$DG19,$B19:$Y19)),
IF(AP$3=$DF19+'Model Setup'!$L$7,SUMIF($AD$3:$BA$3,"="&amp;$DF19+'Model Setup'!$L$7,$B19:$Y19)+'Model Setup'!$L$8*(SUMIF($AD$3:$BA$3,"&lt;"&amp;$DF19,$B19:$Y19)+SUMIF($AD$3:$BA$3,"&gt;="&amp;$DG19,$B19:$Y19)),
IF(AP$3=$DF19+'Model Setup'!$M$7,SUMIF($AD$3:$BA$3,"="&amp;$DF19+'Model Setup'!$M$7,$B19:$Y19)+'Model Setup'!$M$8*(SUMIF($AD$3:$BA$3,"&lt;"&amp;$DF19,$B19:$Y19)+SUMIF($AD$3:$BA$3,"&gt;="&amp;$DG19,$B19:$Y19)),
IF(AP$3=$DF19+'Model Setup'!$N$7,SUMIF($AD$3:$BA$3,"="&amp;$DF19+'Model Setup'!$N$7,$B19:$Y19)+'Model Setup'!$N$8*(SUMIF($AD$3:$BA$3,"&lt;"&amp;$DF19,$B19:$Y19)+SUMIF($AD$3:$BA$3,"&gt;="&amp;$DG19,$B19:$Y19)),
IF(AP$3&lt;$DG19,N19,0))))))))))))))),0)</f>
        <v>95</v>
      </c>
      <c r="AQ19" s="47">
        <f>ROUND(IF(AQ$3&lt;$DF19,0,
IF(AQ$3=$DF19+'Model Setup'!$B$7,SUMIF($AD$3:$BA$3,"="&amp;$DF19+'Model Setup'!$B$7,$B19:$Y19)+'Model Setup'!$B$8*(SUMIF($AD$3:$BA$3,"&lt;"&amp;$DF19,$B19:$Y19)+SUMIF($AD$3:$BA$3,"&gt;="&amp;$DG19,$B19:$Y19)),
IF(AQ$3=$DF19+'Model Setup'!$C$7,SUMIF($AD$3:$BA$3,"="&amp;$DF19+'Model Setup'!$C$7,$B19:$Y19)+'Model Setup'!$C$8*(SUMIF($AD$3:$BA$3,"&lt;"&amp;$DF19,$B19:$Y19)+SUMIF($AD$3:$BA$3,"&gt;="&amp;$DG19,$B19:$Y19)),
IF(AQ$3=$DF19+'Model Setup'!$D$7,SUMIF($AD$3:$BA$3,"="&amp;$DF19+'Model Setup'!$D$7,$B19:$Y19)+'Model Setup'!$D$8*(SUMIF($AD$3:$BA$3,"&lt;"&amp;$DF19,$B19:$Y19)+SUMIF($AD$3:$BA$3,"&gt;="&amp;$DG19,$B19:$Y19)),
IF(AQ$3=$DF19+'Model Setup'!$E$7,SUMIF($AD$3:$BA$3,"="&amp;$DF19+'Model Setup'!$E$7,$B19:$Y19)+'Model Setup'!$E$8*(SUMIF($AD$3:$BA$3,"&lt;"&amp;$DF19,$B19:$Y19)+SUMIF($AD$3:$BA$3,"&gt;="&amp;$DG19,$B19:$Y19)),
IF(AQ$3=$DF19+'Model Setup'!$F$7,SUMIF($AD$3:$BA$3,"="&amp;$DF19+'Model Setup'!$F$7,$B19:$Y19)+'Model Setup'!$F$8*(SUMIF($AD$3:$BA$3,"&lt;"&amp;$DF19,$B19:$Y19)+SUMIF($AD$3:$BA$3,"&gt;="&amp;$DG19,$B19:$Y19)),
IF(AQ$3=$DF19+'Model Setup'!$G$7,SUMIF($AD$3:$BA$3,"="&amp;$DF19+'Model Setup'!$G$7,$B19:$Y19)+'Model Setup'!$G$8*(SUMIF($AD$3:$BA$3,"&lt;"&amp;$DF19,$B19:$Y19)+SUMIF($AD$3:$BA$3,"&gt;="&amp;$DG19,$B19:$Y19)),
IF(AQ$3=$DF19+'Model Setup'!$H$7,SUMIF($AD$3:$BA$3,"="&amp;$DF19+'Model Setup'!$H$7,$B19:$Y19)+'Model Setup'!$H$8*(SUMIF($AD$3:$BA$3,"&lt;"&amp;$DF19,$B19:$Y19)+SUMIF($AD$3:$BA$3,"&gt;="&amp;$DG19,$B19:$Y19)),
IF(AQ$3=$DF19+'Model Setup'!$I$7,SUMIF($AD$3:$BA$3,"="&amp;$DF19+'Model Setup'!$I$7,$B19:$Y19)+'Model Setup'!$I$8*(SUMIF($AD$3:$BA$3,"&lt;"&amp;$DF19,$B19:$Y19)+SUMIF($AD$3:$BA$3,"&gt;="&amp;$DG19,$B19:$Y19)),
IF(AQ$3=$DF19+'Model Setup'!$J$7,SUMIF($AD$3:$BA$3,"="&amp;$DF19+'Model Setup'!$J$7,$B19:$Y19)+'Model Setup'!$J$8*(SUMIF($AD$3:$BA$3,"&lt;"&amp;$DF19,$B19:$Y19)+SUMIF($AD$3:$BA$3,"&gt;="&amp;$DG19,$B19:$Y19)),
IF(AQ$3=$DF19+'Model Setup'!$K$7,SUMIF($AD$3:$BA$3,"="&amp;$DF19+'Model Setup'!$K$7,$B19:$Y19)+'Model Setup'!$K$8*(SUMIF($AD$3:$BA$3,"&lt;"&amp;$DF19,$B19:$Y19)+SUMIF($AD$3:$BA$3,"&gt;="&amp;$DG19,$B19:$Y19)),
IF(AQ$3=$DF19+'Model Setup'!$L$7,SUMIF($AD$3:$BA$3,"="&amp;$DF19+'Model Setup'!$L$7,$B19:$Y19)+'Model Setup'!$L$8*(SUMIF($AD$3:$BA$3,"&lt;"&amp;$DF19,$B19:$Y19)+SUMIF($AD$3:$BA$3,"&gt;="&amp;$DG19,$B19:$Y19)),
IF(AQ$3=$DF19+'Model Setup'!$M$7,SUMIF($AD$3:$BA$3,"="&amp;$DF19+'Model Setup'!$M$7,$B19:$Y19)+'Model Setup'!$M$8*(SUMIF($AD$3:$BA$3,"&lt;"&amp;$DF19,$B19:$Y19)+SUMIF($AD$3:$BA$3,"&gt;="&amp;$DG19,$B19:$Y19)),
IF(AQ$3=$DF19+'Model Setup'!$N$7,SUMIF($AD$3:$BA$3,"="&amp;$DF19+'Model Setup'!$N$7,$B19:$Y19)+'Model Setup'!$N$8*(SUMIF($AD$3:$BA$3,"&lt;"&amp;$DF19,$B19:$Y19)+SUMIF($AD$3:$BA$3,"&gt;="&amp;$DG19,$B19:$Y19)),
IF(AQ$3&lt;$DG19,O19,0))))))))))))))),0)</f>
        <v>105</v>
      </c>
      <c r="AR19" s="47">
        <f>ROUND(IF(AR$3&lt;$DF19,0,
IF(AR$3=$DF19+'Model Setup'!$B$7,SUMIF($AD$3:$BA$3,"="&amp;$DF19+'Model Setup'!$B$7,$B19:$Y19)+'Model Setup'!$B$8*(SUMIF($AD$3:$BA$3,"&lt;"&amp;$DF19,$B19:$Y19)+SUMIF($AD$3:$BA$3,"&gt;="&amp;$DG19,$B19:$Y19)),
IF(AR$3=$DF19+'Model Setup'!$C$7,SUMIF($AD$3:$BA$3,"="&amp;$DF19+'Model Setup'!$C$7,$B19:$Y19)+'Model Setup'!$C$8*(SUMIF($AD$3:$BA$3,"&lt;"&amp;$DF19,$B19:$Y19)+SUMIF($AD$3:$BA$3,"&gt;="&amp;$DG19,$B19:$Y19)),
IF(AR$3=$DF19+'Model Setup'!$D$7,SUMIF($AD$3:$BA$3,"="&amp;$DF19+'Model Setup'!$D$7,$B19:$Y19)+'Model Setup'!$D$8*(SUMIF($AD$3:$BA$3,"&lt;"&amp;$DF19,$B19:$Y19)+SUMIF($AD$3:$BA$3,"&gt;="&amp;$DG19,$B19:$Y19)),
IF(AR$3=$DF19+'Model Setup'!$E$7,SUMIF($AD$3:$BA$3,"="&amp;$DF19+'Model Setup'!$E$7,$B19:$Y19)+'Model Setup'!$E$8*(SUMIF($AD$3:$BA$3,"&lt;"&amp;$DF19,$B19:$Y19)+SUMIF($AD$3:$BA$3,"&gt;="&amp;$DG19,$B19:$Y19)),
IF(AR$3=$DF19+'Model Setup'!$F$7,SUMIF($AD$3:$BA$3,"="&amp;$DF19+'Model Setup'!$F$7,$B19:$Y19)+'Model Setup'!$F$8*(SUMIF($AD$3:$BA$3,"&lt;"&amp;$DF19,$B19:$Y19)+SUMIF($AD$3:$BA$3,"&gt;="&amp;$DG19,$B19:$Y19)),
IF(AR$3=$DF19+'Model Setup'!$G$7,SUMIF($AD$3:$BA$3,"="&amp;$DF19+'Model Setup'!$G$7,$B19:$Y19)+'Model Setup'!$G$8*(SUMIF($AD$3:$BA$3,"&lt;"&amp;$DF19,$B19:$Y19)+SUMIF($AD$3:$BA$3,"&gt;="&amp;$DG19,$B19:$Y19)),
IF(AR$3=$DF19+'Model Setup'!$H$7,SUMIF($AD$3:$BA$3,"="&amp;$DF19+'Model Setup'!$H$7,$B19:$Y19)+'Model Setup'!$H$8*(SUMIF($AD$3:$BA$3,"&lt;"&amp;$DF19,$B19:$Y19)+SUMIF($AD$3:$BA$3,"&gt;="&amp;$DG19,$B19:$Y19)),
IF(AR$3=$DF19+'Model Setup'!$I$7,SUMIF($AD$3:$BA$3,"="&amp;$DF19+'Model Setup'!$I$7,$B19:$Y19)+'Model Setup'!$I$8*(SUMIF($AD$3:$BA$3,"&lt;"&amp;$DF19,$B19:$Y19)+SUMIF($AD$3:$BA$3,"&gt;="&amp;$DG19,$B19:$Y19)),
IF(AR$3=$DF19+'Model Setup'!$J$7,SUMIF($AD$3:$BA$3,"="&amp;$DF19+'Model Setup'!$J$7,$B19:$Y19)+'Model Setup'!$J$8*(SUMIF($AD$3:$BA$3,"&lt;"&amp;$DF19,$B19:$Y19)+SUMIF($AD$3:$BA$3,"&gt;="&amp;$DG19,$B19:$Y19)),
IF(AR$3=$DF19+'Model Setup'!$K$7,SUMIF($AD$3:$BA$3,"="&amp;$DF19+'Model Setup'!$K$7,$B19:$Y19)+'Model Setup'!$K$8*(SUMIF($AD$3:$BA$3,"&lt;"&amp;$DF19,$B19:$Y19)+SUMIF($AD$3:$BA$3,"&gt;="&amp;$DG19,$B19:$Y19)),
IF(AR$3=$DF19+'Model Setup'!$L$7,SUMIF($AD$3:$BA$3,"="&amp;$DF19+'Model Setup'!$L$7,$B19:$Y19)+'Model Setup'!$L$8*(SUMIF($AD$3:$BA$3,"&lt;"&amp;$DF19,$B19:$Y19)+SUMIF($AD$3:$BA$3,"&gt;="&amp;$DG19,$B19:$Y19)),
IF(AR$3=$DF19+'Model Setup'!$M$7,SUMIF($AD$3:$BA$3,"="&amp;$DF19+'Model Setup'!$M$7,$B19:$Y19)+'Model Setup'!$M$8*(SUMIF($AD$3:$BA$3,"&lt;"&amp;$DF19,$B19:$Y19)+SUMIF($AD$3:$BA$3,"&gt;="&amp;$DG19,$B19:$Y19)),
IF(AR$3=$DF19+'Model Setup'!$N$7,SUMIF($AD$3:$BA$3,"="&amp;$DF19+'Model Setup'!$N$7,$B19:$Y19)+'Model Setup'!$N$8*(SUMIF($AD$3:$BA$3,"&lt;"&amp;$DF19,$B19:$Y19)+SUMIF($AD$3:$BA$3,"&gt;="&amp;$DG19,$B19:$Y19)),
IF(AR$3&lt;$DG19,P19,0))))))))))))))),0)</f>
        <v>79</v>
      </c>
      <c r="AS19" s="47">
        <f>ROUND(IF(AS$3&lt;$DF19,0,
IF(AS$3=$DF19+'Model Setup'!$B$7,SUMIF($AD$3:$BA$3,"="&amp;$DF19+'Model Setup'!$B$7,$B19:$Y19)+'Model Setup'!$B$8*(SUMIF($AD$3:$BA$3,"&lt;"&amp;$DF19,$B19:$Y19)+SUMIF($AD$3:$BA$3,"&gt;="&amp;$DG19,$B19:$Y19)),
IF(AS$3=$DF19+'Model Setup'!$C$7,SUMIF($AD$3:$BA$3,"="&amp;$DF19+'Model Setup'!$C$7,$B19:$Y19)+'Model Setup'!$C$8*(SUMIF($AD$3:$BA$3,"&lt;"&amp;$DF19,$B19:$Y19)+SUMIF($AD$3:$BA$3,"&gt;="&amp;$DG19,$B19:$Y19)),
IF(AS$3=$DF19+'Model Setup'!$D$7,SUMIF($AD$3:$BA$3,"="&amp;$DF19+'Model Setup'!$D$7,$B19:$Y19)+'Model Setup'!$D$8*(SUMIF($AD$3:$BA$3,"&lt;"&amp;$DF19,$B19:$Y19)+SUMIF($AD$3:$BA$3,"&gt;="&amp;$DG19,$B19:$Y19)),
IF(AS$3=$DF19+'Model Setup'!$E$7,SUMIF($AD$3:$BA$3,"="&amp;$DF19+'Model Setup'!$E$7,$B19:$Y19)+'Model Setup'!$E$8*(SUMIF($AD$3:$BA$3,"&lt;"&amp;$DF19,$B19:$Y19)+SUMIF($AD$3:$BA$3,"&gt;="&amp;$DG19,$B19:$Y19)),
IF(AS$3=$DF19+'Model Setup'!$F$7,SUMIF($AD$3:$BA$3,"="&amp;$DF19+'Model Setup'!$F$7,$B19:$Y19)+'Model Setup'!$F$8*(SUMIF($AD$3:$BA$3,"&lt;"&amp;$DF19,$B19:$Y19)+SUMIF($AD$3:$BA$3,"&gt;="&amp;$DG19,$B19:$Y19)),
IF(AS$3=$DF19+'Model Setup'!$G$7,SUMIF($AD$3:$BA$3,"="&amp;$DF19+'Model Setup'!$G$7,$B19:$Y19)+'Model Setup'!$G$8*(SUMIF($AD$3:$BA$3,"&lt;"&amp;$DF19,$B19:$Y19)+SUMIF($AD$3:$BA$3,"&gt;="&amp;$DG19,$B19:$Y19)),
IF(AS$3=$DF19+'Model Setup'!$H$7,SUMIF($AD$3:$BA$3,"="&amp;$DF19+'Model Setup'!$H$7,$B19:$Y19)+'Model Setup'!$H$8*(SUMIF($AD$3:$BA$3,"&lt;"&amp;$DF19,$B19:$Y19)+SUMIF($AD$3:$BA$3,"&gt;="&amp;$DG19,$B19:$Y19)),
IF(AS$3=$DF19+'Model Setup'!$I$7,SUMIF($AD$3:$BA$3,"="&amp;$DF19+'Model Setup'!$I$7,$B19:$Y19)+'Model Setup'!$I$8*(SUMIF($AD$3:$BA$3,"&lt;"&amp;$DF19,$B19:$Y19)+SUMIF($AD$3:$BA$3,"&gt;="&amp;$DG19,$B19:$Y19)),
IF(AS$3=$DF19+'Model Setup'!$J$7,SUMIF($AD$3:$BA$3,"="&amp;$DF19+'Model Setup'!$J$7,$B19:$Y19)+'Model Setup'!$J$8*(SUMIF($AD$3:$BA$3,"&lt;"&amp;$DF19,$B19:$Y19)+SUMIF($AD$3:$BA$3,"&gt;="&amp;$DG19,$B19:$Y19)),
IF(AS$3=$DF19+'Model Setup'!$K$7,SUMIF($AD$3:$BA$3,"="&amp;$DF19+'Model Setup'!$K$7,$B19:$Y19)+'Model Setup'!$K$8*(SUMIF($AD$3:$BA$3,"&lt;"&amp;$DF19,$B19:$Y19)+SUMIF($AD$3:$BA$3,"&gt;="&amp;$DG19,$B19:$Y19)),
IF(AS$3=$DF19+'Model Setup'!$L$7,SUMIF($AD$3:$BA$3,"="&amp;$DF19+'Model Setup'!$L$7,$B19:$Y19)+'Model Setup'!$L$8*(SUMIF($AD$3:$BA$3,"&lt;"&amp;$DF19,$B19:$Y19)+SUMIF($AD$3:$BA$3,"&gt;="&amp;$DG19,$B19:$Y19)),
IF(AS$3=$DF19+'Model Setup'!$M$7,SUMIF($AD$3:$BA$3,"="&amp;$DF19+'Model Setup'!$M$7,$B19:$Y19)+'Model Setup'!$M$8*(SUMIF($AD$3:$BA$3,"&lt;"&amp;$DF19,$B19:$Y19)+SUMIF($AD$3:$BA$3,"&gt;="&amp;$DG19,$B19:$Y19)),
IF(AS$3=$DF19+'Model Setup'!$N$7,SUMIF($AD$3:$BA$3,"="&amp;$DF19+'Model Setup'!$N$7,$B19:$Y19)+'Model Setup'!$N$8*(SUMIF($AD$3:$BA$3,"&lt;"&amp;$DF19,$B19:$Y19)+SUMIF($AD$3:$BA$3,"&gt;="&amp;$DG19,$B19:$Y19)),
IF(AS$3&lt;$DG19,Q19,0))))))))))))))),0)</f>
        <v>58</v>
      </c>
      <c r="AT19" s="47">
        <f>ROUND(IF(AT$3&lt;$DF19,0,
IF(AT$3=$DF19+'Model Setup'!$B$7,SUMIF($AD$3:$BA$3,"="&amp;$DF19+'Model Setup'!$B$7,$B19:$Y19)+'Model Setup'!$B$8*(SUMIF($AD$3:$BA$3,"&lt;"&amp;$DF19,$B19:$Y19)+SUMIF($AD$3:$BA$3,"&gt;="&amp;$DG19,$B19:$Y19)),
IF(AT$3=$DF19+'Model Setup'!$C$7,SUMIF($AD$3:$BA$3,"="&amp;$DF19+'Model Setup'!$C$7,$B19:$Y19)+'Model Setup'!$C$8*(SUMIF($AD$3:$BA$3,"&lt;"&amp;$DF19,$B19:$Y19)+SUMIF($AD$3:$BA$3,"&gt;="&amp;$DG19,$B19:$Y19)),
IF(AT$3=$DF19+'Model Setup'!$D$7,SUMIF($AD$3:$BA$3,"="&amp;$DF19+'Model Setup'!$D$7,$B19:$Y19)+'Model Setup'!$D$8*(SUMIF($AD$3:$BA$3,"&lt;"&amp;$DF19,$B19:$Y19)+SUMIF($AD$3:$BA$3,"&gt;="&amp;$DG19,$B19:$Y19)),
IF(AT$3=$DF19+'Model Setup'!$E$7,SUMIF($AD$3:$BA$3,"="&amp;$DF19+'Model Setup'!$E$7,$B19:$Y19)+'Model Setup'!$E$8*(SUMIF($AD$3:$BA$3,"&lt;"&amp;$DF19,$B19:$Y19)+SUMIF($AD$3:$BA$3,"&gt;="&amp;$DG19,$B19:$Y19)),
IF(AT$3=$DF19+'Model Setup'!$F$7,SUMIF($AD$3:$BA$3,"="&amp;$DF19+'Model Setup'!$F$7,$B19:$Y19)+'Model Setup'!$F$8*(SUMIF($AD$3:$BA$3,"&lt;"&amp;$DF19,$B19:$Y19)+SUMIF($AD$3:$BA$3,"&gt;="&amp;$DG19,$B19:$Y19)),
IF(AT$3=$DF19+'Model Setup'!$G$7,SUMIF($AD$3:$BA$3,"="&amp;$DF19+'Model Setup'!$G$7,$B19:$Y19)+'Model Setup'!$G$8*(SUMIF($AD$3:$BA$3,"&lt;"&amp;$DF19,$B19:$Y19)+SUMIF($AD$3:$BA$3,"&gt;="&amp;$DG19,$B19:$Y19)),
IF(AT$3=$DF19+'Model Setup'!$H$7,SUMIF($AD$3:$BA$3,"="&amp;$DF19+'Model Setup'!$H$7,$B19:$Y19)+'Model Setup'!$H$8*(SUMIF($AD$3:$BA$3,"&lt;"&amp;$DF19,$B19:$Y19)+SUMIF($AD$3:$BA$3,"&gt;="&amp;$DG19,$B19:$Y19)),
IF(AT$3=$DF19+'Model Setup'!$I$7,SUMIF($AD$3:$BA$3,"="&amp;$DF19+'Model Setup'!$I$7,$B19:$Y19)+'Model Setup'!$I$8*(SUMIF($AD$3:$BA$3,"&lt;"&amp;$DF19,$B19:$Y19)+SUMIF($AD$3:$BA$3,"&gt;="&amp;$DG19,$B19:$Y19)),
IF(AT$3=$DF19+'Model Setup'!$J$7,SUMIF($AD$3:$BA$3,"="&amp;$DF19+'Model Setup'!$J$7,$B19:$Y19)+'Model Setup'!$J$8*(SUMIF($AD$3:$BA$3,"&lt;"&amp;$DF19,$B19:$Y19)+SUMIF($AD$3:$BA$3,"&gt;="&amp;$DG19,$B19:$Y19)),
IF(AT$3=$DF19+'Model Setup'!$K$7,SUMIF($AD$3:$BA$3,"="&amp;$DF19+'Model Setup'!$K$7,$B19:$Y19)+'Model Setup'!$K$8*(SUMIF($AD$3:$BA$3,"&lt;"&amp;$DF19,$B19:$Y19)+SUMIF($AD$3:$BA$3,"&gt;="&amp;$DG19,$B19:$Y19)),
IF(AT$3=$DF19+'Model Setup'!$L$7,SUMIF($AD$3:$BA$3,"="&amp;$DF19+'Model Setup'!$L$7,$B19:$Y19)+'Model Setup'!$L$8*(SUMIF($AD$3:$BA$3,"&lt;"&amp;$DF19,$B19:$Y19)+SUMIF($AD$3:$BA$3,"&gt;="&amp;$DG19,$B19:$Y19)),
IF(AT$3=$DF19+'Model Setup'!$M$7,SUMIF($AD$3:$BA$3,"="&amp;$DF19+'Model Setup'!$M$7,$B19:$Y19)+'Model Setup'!$M$8*(SUMIF($AD$3:$BA$3,"&lt;"&amp;$DF19,$B19:$Y19)+SUMIF($AD$3:$BA$3,"&gt;="&amp;$DG19,$B19:$Y19)),
IF(AT$3=$DF19+'Model Setup'!$N$7,SUMIF($AD$3:$BA$3,"="&amp;$DF19+'Model Setup'!$N$7,$B19:$Y19)+'Model Setup'!$N$8*(SUMIF($AD$3:$BA$3,"&lt;"&amp;$DF19,$B19:$Y19)+SUMIF($AD$3:$BA$3,"&gt;="&amp;$DG19,$B19:$Y19)),
IF(AT$3&lt;$DG19,R19,0))))))))))))))),0)</f>
        <v>34</v>
      </c>
      <c r="AU19" s="47">
        <f>ROUND(IF(AU$3&lt;$DF19,0,
IF(AU$3=$DF19+'Model Setup'!$B$7,SUMIF($AD$3:$BA$3,"="&amp;$DF19+'Model Setup'!$B$7,$B19:$Y19)+'Model Setup'!$B$8*(SUMIF($AD$3:$BA$3,"&lt;"&amp;$DF19,$B19:$Y19)+SUMIF($AD$3:$BA$3,"&gt;="&amp;$DG19,$B19:$Y19)),
IF(AU$3=$DF19+'Model Setup'!$C$7,SUMIF($AD$3:$BA$3,"="&amp;$DF19+'Model Setup'!$C$7,$B19:$Y19)+'Model Setup'!$C$8*(SUMIF($AD$3:$BA$3,"&lt;"&amp;$DF19,$B19:$Y19)+SUMIF($AD$3:$BA$3,"&gt;="&amp;$DG19,$B19:$Y19)),
IF(AU$3=$DF19+'Model Setup'!$D$7,SUMIF($AD$3:$BA$3,"="&amp;$DF19+'Model Setup'!$D$7,$B19:$Y19)+'Model Setup'!$D$8*(SUMIF($AD$3:$BA$3,"&lt;"&amp;$DF19,$B19:$Y19)+SUMIF($AD$3:$BA$3,"&gt;="&amp;$DG19,$B19:$Y19)),
IF(AU$3=$DF19+'Model Setup'!$E$7,SUMIF($AD$3:$BA$3,"="&amp;$DF19+'Model Setup'!$E$7,$B19:$Y19)+'Model Setup'!$E$8*(SUMIF($AD$3:$BA$3,"&lt;"&amp;$DF19,$B19:$Y19)+SUMIF($AD$3:$BA$3,"&gt;="&amp;$DG19,$B19:$Y19)),
IF(AU$3=$DF19+'Model Setup'!$F$7,SUMIF($AD$3:$BA$3,"="&amp;$DF19+'Model Setup'!$F$7,$B19:$Y19)+'Model Setup'!$F$8*(SUMIF($AD$3:$BA$3,"&lt;"&amp;$DF19,$B19:$Y19)+SUMIF($AD$3:$BA$3,"&gt;="&amp;$DG19,$B19:$Y19)),
IF(AU$3=$DF19+'Model Setup'!$G$7,SUMIF($AD$3:$BA$3,"="&amp;$DF19+'Model Setup'!$G$7,$B19:$Y19)+'Model Setup'!$G$8*(SUMIF($AD$3:$BA$3,"&lt;"&amp;$DF19,$B19:$Y19)+SUMIF($AD$3:$BA$3,"&gt;="&amp;$DG19,$B19:$Y19)),
IF(AU$3=$DF19+'Model Setup'!$H$7,SUMIF($AD$3:$BA$3,"="&amp;$DF19+'Model Setup'!$H$7,$B19:$Y19)+'Model Setup'!$H$8*(SUMIF($AD$3:$BA$3,"&lt;"&amp;$DF19,$B19:$Y19)+SUMIF($AD$3:$BA$3,"&gt;="&amp;$DG19,$B19:$Y19)),
IF(AU$3=$DF19+'Model Setup'!$I$7,SUMIF($AD$3:$BA$3,"="&amp;$DF19+'Model Setup'!$I$7,$B19:$Y19)+'Model Setup'!$I$8*(SUMIF($AD$3:$BA$3,"&lt;"&amp;$DF19,$B19:$Y19)+SUMIF($AD$3:$BA$3,"&gt;="&amp;$DG19,$B19:$Y19)),
IF(AU$3=$DF19+'Model Setup'!$J$7,SUMIF($AD$3:$BA$3,"="&amp;$DF19+'Model Setup'!$J$7,$B19:$Y19)+'Model Setup'!$J$8*(SUMIF($AD$3:$BA$3,"&lt;"&amp;$DF19,$B19:$Y19)+SUMIF($AD$3:$BA$3,"&gt;="&amp;$DG19,$B19:$Y19)),
IF(AU$3=$DF19+'Model Setup'!$K$7,SUMIF($AD$3:$BA$3,"="&amp;$DF19+'Model Setup'!$K$7,$B19:$Y19)+'Model Setup'!$K$8*(SUMIF($AD$3:$BA$3,"&lt;"&amp;$DF19,$B19:$Y19)+SUMIF($AD$3:$BA$3,"&gt;="&amp;$DG19,$B19:$Y19)),
IF(AU$3=$DF19+'Model Setup'!$L$7,SUMIF($AD$3:$BA$3,"="&amp;$DF19+'Model Setup'!$L$7,$B19:$Y19)+'Model Setup'!$L$8*(SUMIF($AD$3:$BA$3,"&lt;"&amp;$DF19,$B19:$Y19)+SUMIF($AD$3:$BA$3,"&gt;="&amp;$DG19,$B19:$Y19)),
IF(AU$3=$DF19+'Model Setup'!$M$7,SUMIF($AD$3:$BA$3,"="&amp;$DF19+'Model Setup'!$M$7,$B19:$Y19)+'Model Setup'!$M$8*(SUMIF($AD$3:$BA$3,"&lt;"&amp;$DF19,$B19:$Y19)+SUMIF($AD$3:$BA$3,"&gt;="&amp;$DG19,$B19:$Y19)),
IF(AU$3=$DF19+'Model Setup'!$N$7,SUMIF($AD$3:$BA$3,"="&amp;$DF19+'Model Setup'!$N$7,$B19:$Y19)+'Model Setup'!$N$8*(SUMIF($AD$3:$BA$3,"&lt;"&amp;$DF19,$B19:$Y19)+SUMIF($AD$3:$BA$3,"&gt;="&amp;$DG19,$B19:$Y19)),
IF(AU$3&lt;$DG19,S19,0))))))))))))))),0)</f>
        <v>97</v>
      </c>
      <c r="AV19" s="47">
        <f>ROUND(IF(AV$3&lt;$DF19,0,
IF(AV$3=$DF19+'Model Setup'!$B$7,SUMIF($AD$3:$BA$3,"="&amp;$DF19+'Model Setup'!$B$7,$B19:$Y19)+'Model Setup'!$B$8*(SUMIF($AD$3:$BA$3,"&lt;"&amp;$DF19,$B19:$Y19)+SUMIF($AD$3:$BA$3,"&gt;="&amp;$DG19,$B19:$Y19)),
IF(AV$3=$DF19+'Model Setup'!$C$7,SUMIF($AD$3:$BA$3,"="&amp;$DF19+'Model Setup'!$C$7,$B19:$Y19)+'Model Setup'!$C$8*(SUMIF($AD$3:$BA$3,"&lt;"&amp;$DF19,$B19:$Y19)+SUMIF($AD$3:$BA$3,"&gt;="&amp;$DG19,$B19:$Y19)),
IF(AV$3=$DF19+'Model Setup'!$D$7,SUMIF($AD$3:$BA$3,"="&amp;$DF19+'Model Setup'!$D$7,$B19:$Y19)+'Model Setup'!$D$8*(SUMIF($AD$3:$BA$3,"&lt;"&amp;$DF19,$B19:$Y19)+SUMIF($AD$3:$BA$3,"&gt;="&amp;$DG19,$B19:$Y19)),
IF(AV$3=$DF19+'Model Setup'!$E$7,SUMIF($AD$3:$BA$3,"="&amp;$DF19+'Model Setup'!$E$7,$B19:$Y19)+'Model Setup'!$E$8*(SUMIF($AD$3:$BA$3,"&lt;"&amp;$DF19,$B19:$Y19)+SUMIF($AD$3:$BA$3,"&gt;="&amp;$DG19,$B19:$Y19)),
IF(AV$3=$DF19+'Model Setup'!$F$7,SUMIF($AD$3:$BA$3,"="&amp;$DF19+'Model Setup'!$F$7,$B19:$Y19)+'Model Setup'!$F$8*(SUMIF($AD$3:$BA$3,"&lt;"&amp;$DF19,$B19:$Y19)+SUMIF($AD$3:$BA$3,"&gt;="&amp;$DG19,$B19:$Y19)),
IF(AV$3=$DF19+'Model Setup'!$G$7,SUMIF($AD$3:$BA$3,"="&amp;$DF19+'Model Setup'!$G$7,$B19:$Y19)+'Model Setup'!$G$8*(SUMIF($AD$3:$BA$3,"&lt;"&amp;$DF19,$B19:$Y19)+SUMIF($AD$3:$BA$3,"&gt;="&amp;$DG19,$B19:$Y19)),
IF(AV$3=$DF19+'Model Setup'!$H$7,SUMIF($AD$3:$BA$3,"="&amp;$DF19+'Model Setup'!$H$7,$B19:$Y19)+'Model Setup'!$H$8*(SUMIF($AD$3:$BA$3,"&lt;"&amp;$DF19,$B19:$Y19)+SUMIF($AD$3:$BA$3,"&gt;="&amp;$DG19,$B19:$Y19)),
IF(AV$3=$DF19+'Model Setup'!$I$7,SUMIF($AD$3:$BA$3,"="&amp;$DF19+'Model Setup'!$I$7,$B19:$Y19)+'Model Setup'!$I$8*(SUMIF($AD$3:$BA$3,"&lt;"&amp;$DF19,$B19:$Y19)+SUMIF($AD$3:$BA$3,"&gt;="&amp;$DG19,$B19:$Y19)),
IF(AV$3=$DF19+'Model Setup'!$J$7,SUMIF($AD$3:$BA$3,"="&amp;$DF19+'Model Setup'!$J$7,$B19:$Y19)+'Model Setup'!$J$8*(SUMIF($AD$3:$BA$3,"&lt;"&amp;$DF19,$B19:$Y19)+SUMIF($AD$3:$BA$3,"&gt;="&amp;$DG19,$B19:$Y19)),
IF(AV$3=$DF19+'Model Setup'!$K$7,SUMIF($AD$3:$BA$3,"="&amp;$DF19+'Model Setup'!$K$7,$B19:$Y19)+'Model Setup'!$K$8*(SUMIF($AD$3:$BA$3,"&lt;"&amp;$DF19,$B19:$Y19)+SUMIF($AD$3:$BA$3,"&gt;="&amp;$DG19,$B19:$Y19)),
IF(AV$3=$DF19+'Model Setup'!$L$7,SUMIF($AD$3:$BA$3,"="&amp;$DF19+'Model Setup'!$L$7,$B19:$Y19)+'Model Setup'!$L$8*(SUMIF($AD$3:$BA$3,"&lt;"&amp;$DF19,$B19:$Y19)+SUMIF($AD$3:$BA$3,"&gt;="&amp;$DG19,$B19:$Y19)),
IF(AV$3=$DF19+'Model Setup'!$M$7,SUMIF($AD$3:$BA$3,"="&amp;$DF19+'Model Setup'!$M$7,$B19:$Y19)+'Model Setup'!$M$8*(SUMIF($AD$3:$BA$3,"&lt;"&amp;$DF19,$B19:$Y19)+SUMIF($AD$3:$BA$3,"&gt;="&amp;$DG19,$B19:$Y19)),
IF(AV$3=$DF19+'Model Setup'!$N$7,SUMIF($AD$3:$BA$3,"="&amp;$DF19+'Model Setup'!$N$7,$B19:$Y19)+'Model Setup'!$N$8*(SUMIF($AD$3:$BA$3,"&lt;"&amp;$DF19,$B19:$Y19)+SUMIF($AD$3:$BA$3,"&gt;="&amp;$DG19,$B19:$Y19)),
IF(AV$3&lt;$DG19,T19,0))))))))))))))),0)</f>
        <v>115</v>
      </c>
      <c r="AW19" s="47">
        <f>ROUND(IF(AW$3&lt;$DF19,0,
IF(AW$3=$DF19+'Model Setup'!$B$7,SUMIF($AD$3:$BA$3,"="&amp;$DF19+'Model Setup'!$B$7,$B19:$Y19)+'Model Setup'!$B$8*(SUMIF($AD$3:$BA$3,"&lt;"&amp;$DF19,$B19:$Y19)+SUMIF($AD$3:$BA$3,"&gt;="&amp;$DG19,$B19:$Y19)),
IF(AW$3=$DF19+'Model Setup'!$C$7,SUMIF($AD$3:$BA$3,"="&amp;$DF19+'Model Setup'!$C$7,$B19:$Y19)+'Model Setup'!$C$8*(SUMIF($AD$3:$BA$3,"&lt;"&amp;$DF19,$B19:$Y19)+SUMIF($AD$3:$BA$3,"&gt;="&amp;$DG19,$B19:$Y19)),
IF(AW$3=$DF19+'Model Setup'!$D$7,SUMIF($AD$3:$BA$3,"="&amp;$DF19+'Model Setup'!$D$7,$B19:$Y19)+'Model Setup'!$D$8*(SUMIF($AD$3:$BA$3,"&lt;"&amp;$DF19,$B19:$Y19)+SUMIF($AD$3:$BA$3,"&gt;="&amp;$DG19,$B19:$Y19)),
IF(AW$3=$DF19+'Model Setup'!$E$7,SUMIF($AD$3:$BA$3,"="&amp;$DF19+'Model Setup'!$E$7,$B19:$Y19)+'Model Setup'!$E$8*(SUMIF($AD$3:$BA$3,"&lt;"&amp;$DF19,$B19:$Y19)+SUMIF($AD$3:$BA$3,"&gt;="&amp;$DG19,$B19:$Y19)),
IF(AW$3=$DF19+'Model Setup'!$F$7,SUMIF($AD$3:$BA$3,"="&amp;$DF19+'Model Setup'!$F$7,$B19:$Y19)+'Model Setup'!$F$8*(SUMIF($AD$3:$BA$3,"&lt;"&amp;$DF19,$B19:$Y19)+SUMIF($AD$3:$BA$3,"&gt;="&amp;$DG19,$B19:$Y19)),
IF(AW$3=$DF19+'Model Setup'!$G$7,SUMIF($AD$3:$BA$3,"="&amp;$DF19+'Model Setup'!$G$7,$B19:$Y19)+'Model Setup'!$G$8*(SUMIF($AD$3:$BA$3,"&lt;"&amp;$DF19,$B19:$Y19)+SUMIF($AD$3:$BA$3,"&gt;="&amp;$DG19,$B19:$Y19)),
IF(AW$3=$DF19+'Model Setup'!$H$7,SUMIF($AD$3:$BA$3,"="&amp;$DF19+'Model Setup'!$H$7,$B19:$Y19)+'Model Setup'!$H$8*(SUMIF($AD$3:$BA$3,"&lt;"&amp;$DF19,$B19:$Y19)+SUMIF($AD$3:$BA$3,"&gt;="&amp;$DG19,$B19:$Y19)),
IF(AW$3=$DF19+'Model Setup'!$I$7,SUMIF($AD$3:$BA$3,"="&amp;$DF19+'Model Setup'!$I$7,$B19:$Y19)+'Model Setup'!$I$8*(SUMIF($AD$3:$BA$3,"&lt;"&amp;$DF19,$B19:$Y19)+SUMIF($AD$3:$BA$3,"&gt;="&amp;$DG19,$B19:$Y19)),
IF(AW$3=$DF19+'Model Setup'!$J$7,SUMIF($AD$3:$BA$3,"="&amp;$DF19+'Model Setup'!$J$7,$B19:$Y19)+'Model Setup'!$J$8*(SUMIF($AD$3:$BA$3,"&lt;"&amp;$DF19,$B19:$Y19)+SUMIF($AD$3:$BA$3,"&gt;="&amp;$DG19,$B19:$Y19)),
IF(AW$3=$DF19+'Model Setup'!$K$7,SUMIF($AD$3:$BA$3,"="&amp;$DF19+'Model Setup'!$K$7,$B19:$Y19)+'Model Setup'!$K$8*(SUMIF($AD$3:$BA$3,"&lt;"&amp;$DF19,$B19:$Y19)+SUMIF($AD$3:$BA$3,"&gt;="&amp;$DG19,$B19:$Y19)),
IF(AW$3=$DF19+'Model Setup'!$L$7,SUMIF($AD$3:$BA$3,"="&amp;$DF19+'Model Setup'!$L$7,$B19:$Y19)+'Model Setup'!$L$8*(SUMIF($AD$3:$BA$3,"&lt;"&amp;$DF19,$B19:$Y19)+SUMIF($AD$3:$BA$3,"&gt;="&amp;$DG19,$B19:$Y19)),
IF(AW$3=$DF19+'Model Setup'!$M$7,SUMIF($AD$3:$BA$3,"="&amp;$DF19+'Model Setup'!$M$7,$B19:$Y19)+'Model Setup'!$M$8*(SUMIF($AD$3:$BA$3,"&lt;"&amp;$DF19,$B19:$Y19)+SUMIF($AD$3:$BA$3,"&gt;="&amp;$DG19,$B19:$Y19)),
IF(AW$3=$DF19+'Model Setup'!$N$7,SUMIF($AD$3:$BA$3,"="&amp;$DF19+'Model Setup'!$N$7,$B19:$Y19)+'Model Setup'!$N$8*(SUMIF($AD$3:$BA$3,"&lt;"&amp;$DF19,$B19:$Y19)+SUMIF($AD$3:$BA$3,"&gt;="&amp;$DG19,$B19:$Y19)),
IF(AW$3&lt;$DG19,U19,0))))))))))))))),0)</f>
        <v>87</v>
      </c>
      <c r="AX19" s="47">
        <f>ROUND(IF(AX$3&lt;$DF19,0,
IF(AX$3=$DF19+'Model Setup'!$B$7,SUMIF($AD$3:$BA$3,"="&amp;$DF19+'Model Setup'!$B$7,$B19:$Y19)+'Model Setup'!$B$8*(SUMIF($AD$3:$BA$3,"&lt;"&amp;$DF19,$B19:$Y19)+SUMIF($AD$3:$BA$3,"&gt;="&amp;$DG19,$B19:$Y19)),
IF(AX$3=$DF19+'Model Setup'!$C$7,SUMIF($AD$3:$BA$3,"="&amp;$DF19+'Model Setup'!$C$7,$B19:$Y19)+'Model Setup'!$C$8*(SUMIF($AD$3:$BA$3,"&lt;"&amp;$DF19,$B19:$Y19)+SUMIF($AD$3:$BA$3,"&gt;="&amp;$DG19,$B19:$Y19)),
IF(AX$3=$DF19+'Model Setup'!$D$7,SUMIF($AD$3:$BA$3,"="&amp;$DF19+'Model Setup'!$D$7,$B19:$Y19)+'Model Setup'!$D$8*(SUMIF($AD$3:$BA$3,"&lt;"&amp;$DF19,$B19:$Y19)+SUMIF($AD$3:$BA$3,"&gt;="&amp;$DG19,$B19:$Y19)),
IF(AX$3=$DF19+'Model Setup'!$E$7,SUMIF($AD$3:$BA$3,"="&amp;$DF19+'Model Setup'!$E$7,$B19:$Y19)+'Model Setup'!$E$8*(SUMIF($AD$3:$BA$3,"&lt;"&amp;$DF19,$B19:$Y19)+SUMIF($AD$3:$BA$3,"&gt;="&amp;$DG19,$B19:$Y19)),
IF(AX$3=$DF19+'Model Setup'!$F$7,SUMIF($AD$3:$BA$3,"="&amp;$DF19+'Model Setup'!$F$7,$B19:$Y19)+'Model Setup'!$F$8*(SUMIF($AD$3:$BA$3,"&lt;"&amp;$DF19,$B19:$Y19)+SUMIF($AD$3:$BA$3,"&gt;="&amp;$DG19,$B19:$Y19)),
IF(AX$3=$DF19+'Model Setup'!$G$7,SUMIF($AD$3:$BA$3,"="&amp;$DF19+'Model Setup'!$G$7,$B19:$Y19)+'Model Setup'!$G$8*(SUMIF($AD$3:$BA$3,"&lt;"&amp;$DF19,$B19:$Y19)+SUMIF($AD$3:$BA$3,"&gt;="&amp;$DG19,$B19:$Y19)),
IF(AX$3=$DF19+'Model Setup'!$H$7,SUMIF($AD$3:$BA$3,"="&amp;$DF19+'Model Setup'!$H$7,$B19:$Y19)+'Model Setup'!$H$8*(SUMIF($AD$3:$BA$3,"&lt;"&amp;$DF19,$B19:$Y19)+SUMIF($AD$3:$BA$3,"&gt;="&amp;$DG19,$B19:$Y19)),
IF(AX$3=$DF19+'Model Setup'!$I$7,SUMIF($AD$3:$BA$3,"="&amp;$DF19+'Model Setup'!$I$7,$B19:$Y19)+'Model Setup'!$I$8*(SUMIF($AD$3:$BA$3,"&lt;"&amp;$DF19,$B19:$Y19)+SUMIF($AD$3:$BA$3,"&gt;="&amp;$DG19,$B19:$Y19)),
IF(AX$3=$DF19+'Model Setup'!$J$7,SUMIF($AD$3:$BA$3,"="&amp;$DF19+'Model Setup'!$J$7,$B19:$Y19)+'Model Setup'!$J$8*(SUMIF($AD$3:$BA$3,"&lt;"&amp;$DF19,$B19:$Y19)+SUMIF($AD$3:$BA$3,"&gt;="&amp;$DG19,$B19:$Y19)),
IF(AX$3=$DF19+'Model Setup'!$K$7,SUMIF($AD$3:$BA$3,"="&amp;$DF19+'Model Setup'!$K$7,$B19:$Y19)+'Model Setup'!$K$8*(SUMIF($AD$3:$BA$3,"&lt;"&amp;$DF19,$B19:$Y19)+SUMIF($AD$3:$BA$3,"&gt;="&amp;$DG19,$B19:$Y19)),
IF(AX$3=$DF19+'Model Setup'!$L$7,SUMIF($AD$3:$BA$3,"="&amp;$DF19+'Model Setup'!$L$7,$B19:$Y19)+'Model Setup'!$L$8*(SUMIF($AD$3:$BA$3,"&lt;"&amp;$DF19,$B19:$Y19)+SUMIF($AD$3:$BA$3,"&gt;="&amp;$DG19,$B19:$Y19)),
IF(AX$3=$DF19+'Model Setup'!$M$7,SUMIF($AD$3:$BA$3,"="&amp;$DF19+'Model Setup'!$M$7,$B19:$Y19)+'Model Setup'!$M$8*(SUMIF($AD$3:$BA$3,"&lt;"&amp;$DF19,$B19:$Y19)+SUMIF($AD$3:$BA$3,"&gt;="&amp;$DG19,$B19:$Y19)),
IF(AX$3=$DF19+'Model Setup'!$N$7,SUMIF($AD$3:$BA$3,"="&amp;$DF19+'Model Setup'!$N$7,$B19:$Y19)+'Model Setup'!$N$8*(SUMIF($AD$3:$BA$3,"&lt;"&amp;$DF19,$B19:$Y19)+SUMIF($AD$3:$BA$3,"&gt;="&amp;$DG19,$B19:$Y19)),
IF(AX$3&lt;$DG19,V19,0))))))))))))))),0)</f>
        <v>0</v>
      </c>
      <c r="AY19" s="47">
        <f>ROUND(IF(AY$3&lt;$DF19,0,
IF(AY$3=$DF19+'Model Setup'!$B$7,SUMIF($AD$3:$BA$3,"="&amp;$DF19+'Model Setup'!$B$7,$B19:$Y19)+'Model Setup'!$B$8*(SUMIF($AD$3:$BA$3,"&lt;"&amp;$DF19,$B19:$Y19)+SUMIF($AD$3:$BA$3,"&gt;="&amp;$DG19,$B19:$Y19)),
IF(AY$3=$DF19+'Model Setup'!$C$7,SUMIF($AD$3:$BA$3,"="&amp;$DF19+'Model Setup'!$C$7,$B19:$Y19)+'Model Setup'!$C$8*(SUMIF($AD$3:$BA$3,"&lt;"&amp;$DF19,$B19:$Y19)+SUMIF($AD$3:$BA$3,"&gt;="&amp;$DG19,$B19:$Y19)),
IF(AY$3=$DF19+'Model Setup'!$D$7,SUMIF($AD$3:$BA$3,"="&amp;$DF19+'Model Setup'!$D$7,$B19:$Y19)+'Model Setup'!$D$8*(SUMIF($AD$3:$BA$3,"&lt;"&amp;$DF19,$B19:$Y19)+SUMIF($AD$3:$BA$3,"&gt;="&amp;$DG19,$B19:$Y19)),
IF(AY$3=$DF19+'Model Setup'!$E$7,SUMIF($AD$3:$BA$3,"="&amp;$DF19+'Model Setup'!$E$7,$B19:$Y19)+'Model Setup'!$E$8*(SUMIF($AD$3:$BA$3,"&lt;"&amp;$DF19,$B19:$Y19)+SUMIF($AD$3:$BA$3,"&gt;="&amp;$DG19,$B19:$Y19)),
IF(AY$3=$DF19+'Model Setup'!$F$7,SUMIF($AD$3:$BA$3,"="&amp;$DF19+'Model Setup'!$F$7,$B19:$Y19)+'Model Setup'!$F$8*(SUMIF($AD$3:$BA$3,"&lt;"&amp;$DF19,$B19:$Y19)+SUMIF($AD$3:$BA$3,"&gt;="&amp;$DG19,$B19:$Y19)),
IF(AY$3=$DF19+'Model Setup'!$G$7,SUMIF($AD$3:$BA$3,"="&amp;$DF19+'Model Setup'!$G$7,$B19:$Y19)+'Model Setup'!$G$8*(SUMIF($AD$3:$BA$3,"&lt;"&amp;$DF19,$B19:$Y19)+SUMIF($AD$3:$BA$3,"&gt;="&amp;$DG19,$B19:$Y19)),
IF(AY$3=$DF19+'Model Setup'!$H$7,SUMIF($AD$3:$BA$3,"="&amp;$DF19+'Model Setup'!$H$7,$B19:$Y19)+'Model Setup'!$H$8*(SUMIF($AD$3:$BA$3,"&lt;"&amp;$DF19,$B19:$Y19)+SUMIF($AD$3:$BA$3,"&gt;="&amp;$DG19,$B19:$Y19)),
IF(AY$3=$DF19+'Model Setup'!$I$7,SUMIF($AD$3:$BA$3,"="&amp;$DF19+'Model Setup'!$I$7,$B19:$Y19)+'Model Setup'!$I$8*(SUMIF($AD$3:$BA$3,"&lt;"&amp;$DF19,$B19:$Y19)+SUMIF($AD$3:$BA$3,"&gt;="&amp;$DG19,$B19:$Y19)),
IF(AY$3=$DF19+'Model Setup'!$J$7,SUMIF($AD$3:$BA$3,"="&amp;$DF19+'Model Setup'!$J$7,$B19:$Y19)+'Model Setup'!$J$8*(SUMIF($AD$3:$BA$3,"&lt;"&amp;$DF19,$B19:$Y19)+SUMIF($AD$3:$BA$3,"&gt;="&amp;$DG19,$B19:$Y19)),
IF(AY$3=$DF19+'Model Setup'!$K$7,SUMIF($AD$3:$BA$3,"="&amp;$DF19+'Model Setup'!$K$7,$B19:$Y19)+'Model Setup'!$K$8*(SUMIF($AD$3:$BA$3,"&lt;"&amp;$DF19,$B19:$Y19)+SUMIF($AD$3:$BA$3,"&gt;="&amp;$DG19,$B19:$Y19)),
IF(AY$3=$DF19+'Model Setup'!$L$7,SUMIF($AD$3:$BA$3,"="&amp;$DF19+'Model Setup'!$L$7,$B19:$Y19)+'Model Setup'!$L$8*(SUMIF($AD$3:$BA$3,"&lt;"&amp;$DF19,$B19:$Y19)+SUMIF($AD$3:$BA$3,"&gt;="&amp;$DG19,$B19:$Y19)),
IF(AY$3=$DF19+'Model Setup'!$M$7,SUMIF($AD$3:$BA$3,"="&amp;$DF19+'Model Setup'!$M$7,$B19:$Y19)+'Model Setup'!$M$8*(SUMIF($AD$3:$BA$3,"&lt;"&amp;$DF19,$B19:$Y19)+SUMIF($AD$3:$BA$3,"&gt;="&amp;$DG19,$B19:$Y19)),
IF(AY$3=$DF19+'Model Setup'!$N$7,SUMIF($AD$3:$BA$3,"="&amp;$DF19+'Model Setup'!$N$7,$B19:$Y19)+'Model Setup'!$N$8*(SUMIF($AD$3:$BA$3,"&lt;"&amp;$DF19,$B19:$Y19)+SUMIF($AD$3:$BA$3,"&gt;="&amp;$DG19,$B19:$Y19)),
IF(AY$3&lt;$DG19,W19,0))))))))))))))),0)</f>
        <v>0</v>
      </c>
      <c r="AZ19" s="47">
        <f>ROUND(IF(AZ$3&lt;$DF19,0,
IF(AZ$3=$DF19+'Model Setup'!$B$7,SUMIF($AD$3:$BA$3,"="&amp;$DF19+'Model Setup'!$B$7,$B19:$Y19)+'Model Setup'!$B$8*(SUMIF($AD$3:$BA$3,"&lt;"&amp;$DF19,$B19:$Y19)+SUMIF($AD$3:$BA$3,"&gt;="&amp;$DG19,$B19:$Y19)),
IF(AZ$3=$DF19+'Model Setup'!$C$7,SUMIF($AD$3:$BA$3,"="&amp;$DF19+'Model Setup'!$C$7,$B19:$Y19)+'Model Setup'!$C$8*(SUMIF($AD$3:$BA$3,"&lt;"&amp;$DF19,$B19:$Y19)+SUMIF($AD$3:$BA$3,"&gt;="&amp;$DG19,$B19:$Y19)),
IF(AZ$3=$DF19+'Model Setup'!$D$7,SUMIF($AD$3:$BA$3,"="&amp;$DF19+'Model Setup'!$D$7,$B19:$Y19)+'Model Setup'!$D$8*(SUMIF($AD$3:$BA$3,"&lt;"&amp;$DF19,$B19:$Y19)+SUMIF($AD$3:$BA$3,"&gt;="&amp;$DG19,$B19:$Y19)),
IF(AZ$3=$DF19+'Model Setup'!$E$7,SUMIF($AD$3:$BA$3,"="&amp;$DF19+'Model Setup'!$E$7,$B19:$Y19)+'Model Setup'!$E$8*(SUMIF($AD$3:$BA$3,"&lt;"&amp;$DF19,$B19:$Y19)+SUMIF($AD$3:$BA$3,"&gt;="&amp;$DG19,$B19:$Y19)),
IF(AZ$3=$DF19+'Model Setup'!$F$7,SUMIF($AD$3:$BA$3,"="&amp;$DF19+'Model Setup'!$F$7,$B19:$Y19)+'Model Setup'!$F$8*(SUMIF($AD$3:$BA$3,"&lt;"&amp;$DF19,$B19:$Y19)+SUMIF($AD$3:$BA$3,"&gt;="&amp;$DG19,$B19:$Y19)),
IF(AZ$3=$DF19+'Model Setup'!$G$7,SUMIF($AD$3:$BA$3,"="&amp;$DF19+'Model Setup'!$G$7,$B19:$Y19)+'Model Setup'!$G$8*(SUMIF($AD$3:$BA$3,"&lt;"&amp;$DF19,$B19:$Y19)+SUMIF($AD$3:$BA$3,"&gt;="&amp;$DG19,$B19:$Y19)),
IF(AZ$3=$DF19+'Model Setup'!$H$7,SUMIF($AD$3:$BA$3,"="&amp;$DF19+'Model Setup'!$H$7,$B19:$Y19)+'Model Setup'!$H$8*(SUMIF($AD$3:$BA$3,"&lt;"&amp;$DF19,$B19:$Y19)+SUMIF($AD$3:$BA$3,"&gt;="&amp;$DG19,$B19:$Y19)),
IF(AZ$3=$DF19+'Model Setup'!$I$7,SUMIF($AD$3:$BA$3,"="&amp;$DF19+'Model Setup'!$I$7,$B19:$Y19)+'Model Setup'!$I$8*(SUMIF($AD$3:$BA$3,"&lt;"&amp;$DF19,$B19:$Y19)+SUMIF($AD$3:$BA$3,"&gt;="&amp;$DG19,$B19:$Y19)),
IF(AZ$3=$DF19+'Model Setup'!$J$7,SUMIF($AD$3:$BA$3,"="&amp;$DF19+'Model Setup'!$J$7,$B19:$Y19)+'Model Setup'!$J$8*(SUMIF($AD$3:$BA$3,"&lt;"&amp;$DF19,$B19:$Y19)+SUMIF($AD$3:$BA$3,"&gt;="&amp;$DG19,$B19:$Y19)),
IF(AZ$3=$DF19+'Model Setup'!$K$7,SUMIF($AD$3:$BA$3,"="&amp;$DF19+'Model Setup'!$K$7,$B19:$Y19)+'Model Setup'!$K$8*(SUMIF($AD$3:$BA$3,"&lt;"&amp;$DF19,$B19:$Y19)+SUMIF($AD$3:$BA$3,"&gt;="&amp;$DG19,$B19:$Y19)),
IF(AZ$3=$DF19+'Model Setup'!$L$7,SUMIF($AD$3:$BA$3,"="&amp;$DF19+'Model Setup'!$L$7,$B19:$Y19)+'Model Setup'!$L$8*(SUMIF($AD$3:$BA$3,"&lt;"&amp;$DF19,$B19:$Y19)+SUMIF($AD$3:$BA$3,"&gt;="&amp;$DG19,$B19:$Y19)),
IF(AZ$3=$DF19+'Model Setup'!$M$7,SUMIF($AD$3:$BA$3,"="&amp;$DF19+'Model Setup'!$M$7,$B19:$Y19)+'Model Setup'!$M$8*(SUMIF($AD$3:$BA$3,"&lt;"&amp;$DF19,$B19:$Y19)+SUMIF($AD$3:$BA$3,"&gt;="&amp;$DG19,$B19:$Y19)),
IF(AZ$3=$DF19+'Model Setup'!$N$7,SUMIF($AD$3:$BA$3,"="&amp;$DF19+'Model Setup'!$N$7,$B19:$Y19)+'Model Setup'!$N$8*(SUMIF($AD$3:$BA$3,"&lt;"&amp;$DF19,$B19:$Y19)+SUMIF($AD$3:$BA$3,"&gt;="&amp;$DG19,$B19:$Y19)),
IF(AZ$3&lt;$DG19,X19,0))))))))))))))),0)</f>
        <v>0</v>
      </c>
      <c r="BA19" s="47">
        <f>ROUND(IF(BA$3&lt;$DF19,0,
IF(BA$3=$DF19+'Model Setup'!$B$7,SUMIF($AD$3:$BA$3,"="&amp;$DF19+'Model Setup'!$B$7,$B19:$Y19)+'Model Setup'!$B$8*(SUMIF($AD$3:$BA$3,"&lt;"&amp;$DF19,$B19:$Y19)+SUMIF($AD$3:$BA$3,"&gt;="&amp;$DG19,$B19:$Y19)),
IF(BA$3=$DF19+'Model Setup'!$C$7,SUMIF($AD$3:$BA$3,"="&amp;$DF19+'Model Setup'!$C$7,$B19:$Y19)+'Model Setup'!$C$8*(SUMIF($AD$3:$BA$3,"&lt;"&amp;$DF19,$B19:$Y19)+SUMIF($AD$3:$BA$3,"&gt;="&amp;$DG19,$B19:$Y19)),
IF(BA$3=$DF19+'Model Setup'!$D$7,SUMIF($AD$3:$BA$3,"="&amp;$DF19+'Model Setup'!$D$7,$B19:$Y19)+'Model Setup'!$D$8*(SUMIF($AD$3:$BA$3,"&lt;"&amp;$DF19,$B19:$Y19)+SUMIF($AD$3:$BA$3,"&gt;="&amp;$DG19,$B19:$Y19)),
IF(BA$3=$DF19+'Model Setup'!$E$7,SUMIF($AD$3:$BA$3,"="&amp;$DF19+'Model Setup'!$E$7,$B19:$Y19)+'Model Setup'!$E$8*(SUMIF($AD$3:$BA$3,"&lt;"&amp;$DF19,$B19:$Y19)+SUMIF($AD$3:$BA$3,"&gt;="&amp;$DG19,$B19:$Y19)),
IF(BA$3=$DF19+'Model Setup'!$F$7,SUMIF($AD$3:$BA$3,"="&amp;$DF19+'Model Setup'!$F$7,$B19:$Y19)+'Model Setup'!$F$8*(SUMIF($AD$3:$BA$3,"&lt;"&amp;$DF19,$B19:$Y19)+SUMIF($AD$3:$BA$3,"&gt;="&amp;$DG19,$B19:$Y19)),
IF(BA$3=$DF19+'Model Setup'!$G$7,SUMIF($AD$3:$BA$3,"="&amp;$DF19+'Model Setup'!$G$7,$B19:$Y19)+'Model Setup'!$G$8*(SUMIF($AD$3:$BA$3,"&lt;"&amp;$DF19,$B19:$Y19)+SUMIF($AD$3:$BA$3,"&gt;="&amp;$DG19,$B19:$Y19)),
IF(BA$3=$DF19+'Model Setup'!$H$7,SUMIF($AD$3:$BA$3,"="&amp;$DF19+'Model Setup'!$H$7,$B19:$Y19)+'Model Setup'!$H$8*(SUMIF($AD$3:$BA$3,"&lt;"&amp;$DF19,$B19:$Y19)+SUMIF($AD$3:$BA$3,"&gt;="&amp;$DG19,$B19:$Y19)),
IF(BA$3=$DF19+'Model Setup'!$I$7,SUMIF($AD$3:$BA$3,"="&amp;$DF19+'Model Setup'!$I$7,$B19:$Y19)+'Model Setup'!$I$8*(SUMIF($AD$3:$BA$3,"&lt;"&amp;$DF19,$B19:$Y19)+SUMIF($AD$3:$BA$3,"&gt;="&amp;$DG19,$B19:$Y19)),
IF(BA$3=$DF19+'Model Setup'!$J$7,SUMIF($AD$3:$BA$3,"="&amp;$DF19+'Model Setup'!$J$7,$B19:$Y19)+'Model Setup'!$J$8*(SUMIF($AD$3:$BA$3,"&lt;"&amp;$DF19,$B19:$Y19)+SUMIF($AD$3:$BA$3,"&gt;="&amp;$DG19,$B19:$Y19)),
IF(BA$3=$DF19+'Model Setup'!$K$7,SUMIF($AD$3:$BA$3,"="&amp;$DF19+'Model Setup'!$K$7,$B19:$Y19)+'Model Setup'!$K$8*(SUMIF($AD$3:$BA$3,"&lt;"&amp;$DF19,$B19:$Y19)+SUMIF($AD$3:$BA$3,"&gt;="&amp;$DG19,$B19:$Y19)),
IF(BA$3=$DF19+'Model Setup'!$L$7,SUMIF($AD$3:$BA$3,"="&amp;$DF19+'Model Setup'!$L$7,$B19:$Y19)+'Model Setup'!$L$8*(SUMIF($AD$3:$BA$3,"&lt;"&amp;$DF19,$B19:$Y19)+SUMIF($AD$3:$BA$3,"&gt;="&amp;$DG19,$B19:$Y19)),
IF(BA$3=$DF19+'Model Setup'!$M$7,SUMIF($AD$3:$BA$3,"="&amp;$DF19+'Model Setup'!$M$7,$B19:$Y19)+'Model Setup'!$M$8*(SUMIF($AD$3:$BA$3,"&lt;"&amp;$DF19,$B19:$Y19)+SUMIF($AD$3:$BA$3,"&gt;="&amp;$DG19,$B19:$Y19)),
IF(BA$3=$DF19+'Model Setup'!$N$7,SUMIF($AD$3:$BA$3,"="&amp;$DF19+'Model Setup'!$N$7,$B19:$Y19)+'Model Setup'!$N$8*(SUMIF($AD$3:$BA$3,"&lt;"&amp;$DF19,$B19:$Y19)+SUMIF($AD$3:$BA$3,"&gt;="&amp;$DG19,$B19:$Y19)),
IF(BA$3&lt;$DG19,Y19,0))))))))))))))),0)</f>
        <v>0</v>
      </c>
      <c r="BB19" s="47">
        <f t="shared" si="1"/>
        <v>1279</v>
      </c>
      <c r="BD19" t="b">
        <f t="shared" si="2"/>
        <v>0</v>
      </c>
      <c r="BE19">
        <f t="shared" si="8"/>
        <v>23</v>
      </c>
      <c r="BF19">
        <f>(FTC!F17-FTC!E17)*24</f>
        <v>11.999999999999998</v>
      </c>
      <c r="BG19" s="43" t="s">
        <v>34</v>
      </c>
      <c r="BH19" s="47">
        <f>ROUND(IF(OR(BH$3&lt;$DF19,BH$3&gt;$CW$4),0,
IF(BH$3=$DF19+'Model Setup'!$B$7,SUMIF($BH$3:$CE$3,"="&amp;$DF19+'Model Setup'!$B$7,$AD19:$BA19)+'Model Setup'!$B$8*(SUMIF($BH$3:$CE$3,"&lt;"&amp;$DF19,$AD19:$BA19)+SUMIF($BH$3:$CE$3,"&gt;"&amp;$CW$4,$AD19:$BA19)),
IF(BH$3=$DF19+'Model Setup'!$C$7,SUMIF($BH$3:$CE$3,"="&amp;$DF19+'Model Setup'!$C$7,$AD19:$BA19)+'Model Setup'!$C$8*(SUMIF($BH$3:$CE$3,"&lt;"&amp;$DF19,$AD19:$BA19)+SUMIF($BH$3:$CE$3,"&gt;"&amp;$CW$4,$AD19:$BA19)),
IF(BH$3=$DF19+'Model Setup'!$D$7,SUMIF($BH$3:$CE$3,"="&amp;$DF19+'Model Setup'!$D$7,$AD19:$BA19)+'Model Setup'!$D$8*(SUMIF($BH$3:$CE$3,"&lt;"&amp;$DF19,$AD19:$BA19)+SUMIF($BH$3:$CE$3,"&gt;"&amp;$CW$4,$AD19:$BA19)),
IF(BH$3=$DF19+'Model Setup'!$E$7,SUMIF($BH$3:$CE$3,"="&amp;$DF19+'Model Setup'!$E$7,$AD19:$BA19)+'Model Setup'!$E$8*(SUMIF($BH$3:$CE$3,"&lt;"&amp;$DF19,$AD19:$BA19)+SUMIF($BH$3:$CE$3,"&gt;"&amp;$CW$4,$AD19:$BA19)),
IF(BH$3=$DF19+'Model Setup'!$F$7,SUMIF($BH$3:$CE$3,"="&amp;$DF19+'Model Setup'!$F$7,$AD19:$BA19)+'Model Setup'!$F$8*(SUMIF($BH$3:$CE$3,"&lt;"&amp;$DF19,$AD19:$BA19)+SUMIF($BH$3:$CE$3,"&gt;"&amp;$CW$4,$AD19:$BA19)),
IF(BH$3=$DF19+'Model Setup'!$G$7,SUMIF($BH$3:$CE$3,"="&amp;$DF19+'Model Setup'!$G$7,$AD19:$BA19)+'Model Setup'!$G$8*(SUMIF($BH$3:$CE$3,"&lt;"&amp;$DF19,$AD19:$BA19)+SUMIF($BH$3:$CE$3,"&gt;"&amp;$CW$4,$AD19:$BA19)),
IF(BH$3=$DF19+'Model Setup'!$H$7,SUMIF($BH$3:$CE$3,"="&amp;$DF19+'Model Setup'!$H$7,$AD19:$BA19)+'Model Setup'!$H$8*(SUMIF($BH$3:$CE$3,"&lt;"&amp;$DF19,$AD19:$BA19)+SUMIF($BH$3:$CE$3,"&gt;"&amp;$CW$4,$AD19:$BA19)),
IF(BH$3=$DF19+'Model Setup'!$I$7,SUMIF($BH$3:$CE$3,"="&amp;$DF19+'Model Setup'!$I$7,$AD19:$BA19)+'Model Setup'!$I$8*(SUMIF($BH$3:$CE$3,"&lt;"&amp;$DF19,$AD19:$BA19)+SUMIF($BH$3:$CE$3,"&gt;"&amp;$CW$4,$AD19:$BA19)),
IF(BH$3=$DF19+'Model Setup'!$J$7,SUMIF($BH$3:$CE$3,"="&amp;$DF19+'Model Setup'!$J$7,$AD19:$BA19)+'Model Setup'!$J$8*(SUMIF($BH$3:$CE$3,"&lt;"&amp;$DF19,$AD19:$BA19)+SUMIF($BH$3:$CE$3,"&gt;"&amp;$CW$4,$AD19:$BA19)),
IF(BH$3=$DF19+'Model Setup'!$K$7,SUMIF($BH$3:$CE$3,"="&amp;$DF19+'Model Setup'!$K$7,$AD19:$BA19)+'Model Setup'!$K$8*(SUMIF($BH$3:$CE$3,"&lt;"&amp;$DF19,$AD19:$BA19)+SUMIF($BH$3:$CE$3,"&gt;"&amp;$CW$4,$AD19:$BA19)),
IF(BH$3=$DF19+'Model Setup'!$L$7,SUMIF($BH$3:$CE$3,"="&amp;$DF19+'Model Setup'!$L$7,$AD19:$BA19)+'Model Setup'!$L$8*(SUMIF($BH$3:$CE$3,"&lt;"&amp;$DF19,$AD19:$BA19)+SUMIF($BH$3:$CE$3,"&gt;"&amp;$CW$4,$AD19:$BA19)),
IF(BH$3=$DF19+'Model Setup'!$M$7,SUMIF($BH$3:$CE$3,"="&amp;$DF19+'Model Setup'!$M$7,$AD19:$BA19)+'Model Setup'!$M$8*(SUMIF($BH$3:$CE$3,"&lt;"&amp;$DF19,$AD19:$BA19)+SUMIF($BH$3:$CE$3,"&gt;"&amp;$CW$4,$AD19:$BA19)),
IF(BH$3=$DF19+'Model Setup'!$N$7,SUMIF($BH$3:$CE$3,"="&amp;$DF19+'Model Setup'!$N$7,$AD19:$BA19)+'Model Setup'!$N$8*(SUMIF($BH$3:$CE$3,"&lt;"&amp;$DF19,$AD19:$BA19)+SUMIF($BH$3:$CE$3,"&gt;"&amp;$CW$4,$AD19:$BA19)),
IF(BH$3&lt;$CW$4,B19,0))))))))))))))),0)</f>
        <v>0</v>
      </c>
      <c r="BI19" s="47">
        <f>ROUND(IF(OR(BI$3&lt;$DF19,BI$3&gt;$CW$4),0,
IF(BI$3=$DF19+'Model Setup'!$B$7,SUMIF($BH$3:$CE$3,"="&amp;$DF19+'Model Setup'!$B$7,$AD19:$BA19)+'Model Setup'!$B$8*(SUMIF($BH$3:$CE$3,"&lt;"&amp;$DF19,$AD19:$BA19)+SUMIF($BH$3:$CE$3,"&gt;"&amp;$CW$4,$AD19:$BA19)),
IF(BI$3=$DF19+'Model Setup'!$C$7,SUMIF($BH$3:$CE$3,"="&amp;$DF19+'Model Setup'!$C$7,$AD19:$BA19)+'Model Setup'!$C$8*(SUMIF($BH$3:$CE$3,"&lt;"&amp;$DF19,$AD19:$BA19)+SUMIF($BH$3:$CE$3,"&gt;"&amp;$CW$4,$AD19:$BA19)),
IF(BI$3=$DF19+'Model Setup'!$D$7,SUMIF($BH$3:$CE$3,"="&amp;$DF19+'Model Setup'!$D$7,$AD19:$BA19)+'Model Setup'!$D$8*(SUMIF($BH$3:$CE$3,"&lt;"&amp;$DF19,$AD19:$BA19)+SUMIF($BH$3:$CE$3,"&gt;"&amp;$CW$4,$AD19:$BA19)),
IF(BI$3=$DF19+'Model Setup'!$E$7,SUMIF($BH$3:$CE$3,"="&amp;$DF19+'Model Setup'!$E$7,$AD19:$BA19)+'Model Setup'!$E$8*(SUMIF($BH$3:$CE$3,"&lt;"&amp;$DF19,$AD19:$BA19)+SUMIF($BH$3:$CE$3,"&gt;"&amp;$CW$4,$AD19:$BA19)),
IF(BI$3=$DF19+'Model Setup'!$F$7,SUMIF($BH$3:$CE$3,"="&amp;$DF19+'Model Setup'!$F$7,$AD19:$BA19)+'Model Setup'!$F$8*(SUMIF($BH$3:$CE$3,"&lt;"&amp;$DF19,$AD19:$BA19)+SUMIF($BH$3:$CE$3,"&gt;"&amp;$CW$4,$AD19:$BA19)),
IF(BI$3=$DF19+'Model Setup'!$G$7,SUMIF($BH$3:$CE$3,"="&amp;$DF19+'Model Setup'!$G$7,$AD19:$BA19)+'Model Setup'!$G$8*(SUMIF($BH$3:$CE$3,"&lt;"&amp;$DF19,$AD19:$BA19)+SUMIF($BH$3:$CE$3,"&gt;"&amp;$CW$4,$AD19:$BA19)),
IF(BI$3=$DF19+'Model Setup'!$H$7,SUMIF($BH$3:$CE$3,"="&amp;$DF19+'Model Setup'!$H$7,$AD19:$BA19)+'Model Setup'!$H$8*(SUMIF($BH$3:$CE$3,"&lt;"&amp;$DF19,$AD19:$BA19)+SUMIF($BH$3:$CE$3,"&gt;"&amp;$CW$4,$AD19:$BA19)),
IF(BI$3=$DF19+'Model Setup'!$I$7,SUMIF($BH$3:$CE$3,"="&amp;$DF19+'Model Setup'!$I$7,$AD19:$BA19)+'Model Setup'!$I$8*(SUMIF($BH$3:$CE$3,"&lt;"&amp;$DF19,$AD19:$BA19)+SUMIF($BH$3:$CE$3,"&gt;"&amp;$CW$4,$AD19:$BA19)),
IF(BI$3=$DF19+'Model Setup'!$J$7,SUMIF($BH$3:$CE$3,"="&amp;$DF19+'Model Setup'!$J$7,$AD19:$BA19)+'Model Setup'!$J$8*(SUMIF($BH$3:$CE$3,"&lt;"&amp;$DF19,$AD19:$BA19)+SUMIF($BH$3:$CE$3,"&gt;"&amp;$CW$4,$AD19:$BA19)),
IF(BI$3=$DF19+'Model Setup'!$K$7,SUMIF($BH$3:$CE$3,"="&amp;$DF19+'Model Setup'!$K$7,$AD19:$BA19)+'Model Setup'!$K$8*(SUMIF($BH$3:$CE$3,"&lt;"&amp;$DF19,$AD19:$BA19)+SUMIF($BH$3:$CE$3,"&gt;"&amp;$CW$4,$AD19:$BA19)),
IF(BI$3=$DF19+'Model Setup'!$L$7,SUMIF($BH$3:$CE$3,"="&amp;$DF19+'Model Setup'!$L$7,$AD19:$BA19)+'Model Setup'!$L$8*(SUMIF($BH$3:$CE$3,"&lt;"&amp;$DF19,$AD19:$BA19)+SUMIF($BH$3:$CE$3,"&gt;"&amp;$CW$4,$AD19:$BA19)),
IF(BI$3=$DF19+'Model Setup'!$M$7,SUMIF($BH$3:$CE$3,"="&amp;$DF19+'Model Setup'!$M$7,$AD19:$BA19)+'Model Setup'!$M$8*(SUMIF($BH$3:$CE$3,"&lt;"&amp;$DF19,$AD19:$BA19)+SUMIF($BH$3:$CE$3,"&gt;"&amp;$CW$4,$AD19:$BA19)),
IF(BI$3=$DF19+'Model Setup'!$N$7,SUMIF($BH$3:$CE$3,"="&amp;$DF19+'Model Setup'!$N$7,$AD19:$BA19)+'Model Setup'!$N$8*(SUMIF($BH$3:$CE$3,"&lt;"&amp;$DF19,$AD19:$BA19)+SUMIF($BH$3:$CE$3,"&gt;"&amp;$CW$4,$AD19:$BA19)),
IF(BI$3&lt;$CW$4,C19,0))))))))))))))),0)</f>
        <v>0</v>
      </c>
      <c r="BJ19" s="47">
        <f>ROUND(IF(OR(BJ$3&lt;$DF19,BJ$3&gt;$CW$4),0,
IF(BJ$3=$DF19+'Model Setup'!$B$7,SUMIF($BH$3:$CE$3,"="&amp;$DF19+'Model Setup'!$B$7,$AD19:$BA19)+'Model Setup'!$B$8*(SUMIF($BH$3:$CE$3,"&lt;"&amp;$DF19,$AD19:$BA19)+SUMIF($BH$3:$CE$3,"&gt;"&amp;$CW$4,$AD19:$BA19)),
IF(BJ$3=$DF19+'Model Setup'!$C$7,SUMIF($BH$3:$CE$3,"="&amp;$DF19+'Model Setup'!$C$7,$AD19:$BA19)+'Model Setup'!$C$8*(SUMIF($BH$3:$CE$3,"&lt;"&amp;$DF19,$AD19:$BA19)+SUMIF($BH$3:$CE$3,"&gt;"&amp;$CW$4,$AD19:$BA19)),
IF(BJ$3=$DF19+'Model Setup'!$D$7,SUMIF($BH$3:$CE$3,"="&amp;$DF19+'Model Setup'!$D$7,$AD19:$BA19)+'Model Setup'!$D$8*(SUMIF($BH$3:$CE$3,"&lt;"&amp;$DF19,$AD19:$BA19)+SUMIF($BH$3:$CE$3,"&gt;"&amp;$CW$4,$AD19:$BA19)),
IF(BJ$3=$DF19+'Model Setup'!$E$7,SUMIF($BH$3:$CE$3,"="&amp;$DF19+'Model Setup'!$E$7,$AD19:$BA19)+'Model Setup'!$E$8*(SUMIF($BH$3:$CE$3,"&lt;"&amp;$DF19,$AD19:$BA19)+SUMIF($BH$3:$CE$3,"&gt;"&amp;$CW$4,$AD19:$BA19)),
IF(BJ$3=$DF19+'Model Setup'!$F$7,SUMIF($BH$3:$CE$3,"="&amp;$DF19+'Model Setup'!$F$7,$AD19:$BA19)+'Model Setup'!$F$8*(SUMIF($BH$3:$CE$3,"&lt;"&amp;$DF19,$AD19:$BA19)+SUMIF($BH$3:$CE$3,"&gt;"&amp;$CW$4,$AD19:$BA19)),
IF(BJ$3=$DF19+'Model Setup'!$G$7,SUMIF($BH$3:$CE$3,"="&amp;$DF19+'Model Setup'!$G$7,$AD19:$BA19)+'Model Setup'!$G$8*(SUMIF($BH$3:$CE$3,"&lt;"&amp;$DF19,$AD19:$BA19)+SUMIF($BH$3:$CE$3,"&gt;"&amp;$CW$4,$AD19:$BA19)),
IF(BJ$3=$DF19+'Model Setup'!$H$7,SUMIF($BH$3:$CE$3,"="&amp;$DF19+'Model Setup'!$H$7,$AD19:$BA19)+'Model Setup'!$H$8*(SUMIF($BH$3:$CE$3,"&lt;"&amp;$DF19,$AD19:$BA19)+SUMIF($BH$3:$CE$3,"&gt;"&amp;$CW$4,$AD19:$BA19)),
IF(BJ$3=$DF19+'Model Setup'!$I$7,SUMIF($BH$3:$CE$3,"="&amp;$DF19+'Model Setup'!$I$7,$AD19:$BA19)+'Model Setup'!$I$8*(SUMIF($BH$3:$CE$3,"&lt;"&amp;$DF19,$AD19:$BA19)+SUMIF($BH$3:$CE$3,"&gt;"&amp;$CW$4,$AD19:$BA19)),
IF(BJ$3=$DF19+'Model Setup'!$J$7,SUMIF($BH$3:$CE$3,"="&amp;$DF19+'Model Setup'!$J$7,$AD19:$BA19)+'Model Setup'!$J$8*(SUMIF($BH$3:$CE$3,"&lt;"&amp;$DF19,$AD19:$BA19)+SUMIF($BH$3:$CE$3,"&gt;"&amp;$CW$4,$AD19:$BA19)),
IF(BJ$3=$DF19+'Model Setup'!$K$7,SUMIF($BH$3:$CE$3,"="&amp;$DF19+'Model Setup'!$K$7,$AD19:$BA19)+'Model Setup'!$K$8*(SUMIF($BH$3:$CE$3,"&lt;"&amp;$DF19,$AD19:$BA19)+SUMIF($BH$3:$CE$3,"&gt;"&amp;$CW$4,$AD19:$BA19)),
IF(BJ$3=$DF19+'Model Setup'!$L$7,SUMIF($BH$3:$CE$3,"="&amp;$DF19+'Model Setup'!$L$7,$AD19:$BA19)+'Model Setup'!$L$8*(SUMIF($BH$3:$CE$3,"&lt;"&amp;$DF19,$AD19:$BA19)+SUMIF($BH$3:$CE$3,"&gt;"&amp;$CW$4,$AD19:$BA19)),
IF(BJ$3=$DF19+'Model Setup'!$M$7,SUMIF($BH$3:$CE$3,"="&amp;$DF19+'Model Setup'!$M$7,$AD19:$BA19)+'Model Setup'!$M$8*(SUMIF($BH$3:$CE$3,"&lt;"&amp;$DF19,$AD19:$BA19)+SUMIF($BH$3:$CE$3,"&gt;"&amp;$CW$4,$AD19:$BA19)),
IF(BJ$3=$DF19+'Model Setup'!$N$7,SUMIF($BH$3:$CE$3,"="&amp;$DF19+'Model Setup'!$N$7,$AD19:$BA19)+'Model Setup'!$N$8*(SUMIF($BH$3:$CE$3,"&lt;"&amp;$DF19,$AD19:$BA19)+SUMIF($BH$3:$CE$3,"&gt;"&amp;$CW$4,$AD19:$BA19)),
IF(BJ$3&lt;$CW$4,D19,0))))))))))))))),0)</f>
        <v>0</v>
      </c>
      <c r="BK19" s="47">
        <f>ROUND(IF(OR(BK$3&lt;$DF19,BK$3&gt;$CW$4),0,
IF(BK$3=$DF19+'Model Setup'!$B$7,SUMIF($BH$3:$CE$3,"="&amp;$DF19+'Model Setup'!$B$7,$AD19:$BA19)+'Model Setup'!$B$8*(SUMIF($BH$3:$CE$3,"&lt;"&amp;$DF19,$AD19:$BA19)+SUMIF($BH$3:$CE$3,"&gt;"&amp;$CW$4,$AD19:$BA19)),
IF(BK$3=$DF19+'Model Setup'!$C$7,SUMIF($BH$3:$CE$3,"="&amp;$DF19+'Model Setup'!$C$7,$AD19:$BA19)+'Model Setup'!$C$8*(SUMIF($BH$3:$CE$3,"&lt;"&amp;$DF19,$AD19:$BA19)+SUMIF($BH$3:$CE$3,"&gt;"&amp;$CW$4,$AD19:$BA19)),
IF(BK$3=$DF19+'Model Setup'!$D$7,SUMIF($BH$3:$CE$3,"="&amp;$DF19+'Model Setup'!$D$7,$AD19:$BA19)+'Model Setup'!$D$8*(SUMIF($BH$3:$CE$3,"&lt;"&amp;$DF19,$AD19:$BA19)+SUMIF($BH$3:$CE$3,"&gt;"&amp;$CW$4,$AD19:$BA19)),
IF(BK$3=$DF19+'Model Setup'!$E$7,SUMIF($BH$3:$CE$3,"="&amp;$DF19+'Model Setup'!$E$7,$AD19:$BA19)+'Model Setup'!$E$8*(SUMIF($BH$3:$CE$3,"&lt;"&amp;$DF19,$AD19:$BA19)+SUMIF($BH$3:$CE$3,"&gt;"&amp;$CW$4,$AD19:$BA19)),
IF(BK$3=$DF19+'Model Setup'!$F$7,SUMIF($BH$3:$CE$3,"="&amp;$DF19+'Model Setup'!$F$7,$AD19:$BA19)+'Model Setup'!$F$8*(SUMIF($BH$3:$CE$3,"&lt;"&amp;$DF19,$AD19:$BA19)+SUMIF($BH$3:$CE$3,"&gt;"&amp;$CW$4,$AD19:$BA19)),
IF(BK$3=$DF19+'Model Setup'!$G$7,SUMIF($BH$3:$CE$3,"="&amp;$DF19+'Model Setup'!$G$7,$AD19:$BA19)+'Model Setup'!$G$8*(SUMIF($BH$3:$CE$3,"&lt;"&amp;$DF19,$AD19:$BA19)+SUMIF($BH$3:$CE$3,"&gt;"&amp;$CW$4,$AD19:$BA19)),
IF(BK$3=$DF19+'Model Setup'!$H$7,SUMIF($BH$3:$CE$3,"="&amp;$DF19+'Model Setup'!$H$7,$AD19:$BA19)+'Model Setup'!$H$8*(SUMIF($BH$3:$CE$3,"&lt;"&amp;$DF19,$AD19:$BA19)+SUMIF($BH$3:$CE$3,"&gt;"&amp;$CW$4,$AD19:$BA19)),
IF(BK$3=$DF19+'Model Setup'!$I$7,SUMIF($BH$3:$CE$3,"="&amp;$DF19+'Model Setup'!$I$7,$AD19:$BA19)+'Model Setup'!$I$8*(SUMIF($BH$3:$CE$3,"&lt;"&amp;$DF19,$AD19:$BA19)+SUMIF($BH$3:$CE$3,"&gt;"&amp;$CW$4,$AD19:$BA19)),
IF(BK$3=$DF19+'Model Setup'!$J$7,SUMIF($BH$3:$CE$3,"="&amp;$DF19+'Model Setup'!$J$7,$AD19:$BA19)+'Model Setup'!$J$8*(SUMIF($BH$3:$CE$3,"&lt;"&amp;$DF19,$AD19:$BA19)+SUMIF($BH$3:$CE$3,"&gt;"&amp;$CW$4,$AD19:$BA19)),
IF(BK$3=$DF19+'Model Setup'!$K$7,SUMIF($BH$3:$CE$3,"="&amp;$DF19+'Model Setup'!$K$7,$AD19:$BA19)+'Model Setup'!$K$8*(SUMIF($BH$3:$CE$3,"&lt;"&amp;$DF19,$AD19:$BA19)+SUMIF($BH$3:$CE$3,"&gt;"&amp;$CW$4,$AD19:$BA19)),
IF(BK$3=$DF19+'Model Setup'!$L$7,SUMIF($BH$3:$CE$3,"="&amp;$DF19+'Model Setup'!$L$7,$AD19:$BA19)+'Model Setup'!$L$8*(SUMIF($BH$3:$CE$3,"&lt;"&amp;$DF19,$AD19:$BA19)+SUMIF($BH$3:$CE$3,"&gt;"&amp;$CW$4,$AD19:$BA19)),
IF(BK$3=$DF19+'Model Setup'!$M$7,SUMIF($BH$3:$CE$3,"="&amp;$DF19+'Model Setup'!$M$7,$AD19:$BA19)+'Model Setup'!$M$8*(SUMIF($BH$3:$CE$3,"&lt;"&amp;$DF19,$AD19:$BA19)+SUMIF($BH$3:$CE$3,"&gt;"&amp;$CW$4,$AD19:$BA19)),
IF(BK$3=$DF19+'Model Setup'!$N$7,SUMIF($BH$3:$CE$3,"="&amp;$DF19+'Model Setup'!$N$7,$AD19:$BA19)+'Model Setup'!$N$8*(SUMIF($BH$3:$CE$3,"&lt;"&amp;$DF19,$AD19:$BA19)+SUMIF($BH$3:$CE$3,"&gt;"&amp;$CW$4,$AD19:$BA19)),
IF(BK$3&lt;$CW$4,E19,0))))))))))))))),0)</f>
        <v>0</v>
      </c>
      <c r="BL19" s="47">
        <f>ROUND(IF(OR(BL$3&lt;$DF19,BL$3&gt;$CW$4),0,
IF(BL$3=$DF19+'Model Setup'!$B$7,SUMIF($BH$3:$CE$3,"="&amp;$DF19+'Model Setup'!$B$7,$AD19:$BA19)+'Model Setup'!$B$8*(SUMIF($BH$3:$CE$3,"&lt;"&amp;$DF19,$AD19:$BA19)+SUMIF($BH$3:$CE$3,"&gt;"&amp;$CW$4,$AD19:$BA19)),
IF(BL$3=$DF19+'Model Setup'!$C$7,SUMIF($BH$3:$CE$3,"="&amp;$DF19+'Model Setup'!$C$7,$AD19:$BA19)+'Model Setup'!$C$8*(SUMIF($BH$3:$CE$3,"&lt;"&amp;$DF19,$AD19:$BA19)+SUMIF($BH$3:$CE$3,"&gt;"&amp;$CW$4,$AD19:$BA19)),
IF(BL$3=$DF19+'Model Setup'!$D$7,SUMIF($BH$3:$CE$3,"="&amp;$DF19+'Model Setup'!$D$7,$AD19:$BA19)+'Model Setup'!$D$8*(SUMIF($BH$3:$CE$3,"&lt;"&amp;$DF19,$AD19:$BA19)+SUMIF($BH$3:$CE$3,"&gt;"&amp;$CW$4,$AD19:$BA19)),
IF(BL$3=$DF19+'Model Setup'!$E$7,SUMIF($BH$3:$CE$3,"="&amp;$DF19+'Model Setup'!$E$7,$AD19:$BA19)+'Model Setup'!$E$8*(SUMIF($BH$3:$CE$3,"&lt;"&amp;$DF19,$AD19:$BA19)+SUMIF($BH$3:$CE$3,"&gt;"&amp;$CW$4,$AD19:$BA19)),
IF(BL$3=$DF19+'Model Setup'!$F$7,SUMIF($BH$3:$CE$3,"="&amp;$DF19+'Model Setup'!$F$7,$AD19:$BA19)+'Model Setup'!$F$8*(SUMIF($BH$3:$CE$3,"&lt;"&amp;$DF19,$AD19:$BA19)+SUMIF($BH$3:$CE$3,"&gt;"&amp;$CW$4,$AD19:$BA19)),
IF(BL$3=$DF19+'Model Setup'!$G$7,SUMIF($BH$3:$CE$3,"="&amp;$DF19+'Model Setup'!$G$7,$AD19:$BA19)+'Model Setup'!$G$8*(SUMIF($BH$3:$CE$3,"&lt;"&amp;$DF19,$AD19:$BA19)+SUMIF($BH$3:$CE$3,"&gt;"&amp;$CW$4,$AD19:$BA19)),
IF(BL$3=$DF19+'Model Setup'!$H$7,SUMIF($BH$3:$CE$3,"="&amp;$DF19+'Model Setup'!$H$7,$AD19:$BA19)+'Model Setup'!$H$8*(SUMIF($BH$3:$CE$3,"&lt;"&amp;$DF19,$AD19:$BA19)+SUMIF($BH$3:$CE$3,"&gt;"&amp;$CW$4,$AD19:$BA19)),
IF(BL$3=$DF19+'Model Setup'!$I$7,SUMIF($BH$3:$CE$3,"="&amp;$DF19+'Model Setup'!$I$7,$AD19:$BA19)+'Model Setup'!$I$8*(SUMIF($BH$3:$CE$3,"&lt;"&amp;$DF19,$AD19:$BA19)+SUMIF($BH$3:$CE$3,"&gt;"&amp;$CW$4,$AD19:$BA19)),
IF(BL$3=$DF19+'Model Setup'!$J$7,SUMIF($BH$3:$CE$3,"="&amp;$DF19+'Model Setup'!$J$7,$AD19:$BA19)+'Model Setup'!$J$8*(SUMIF($BH$3:$CE$3,"&lt;"&amp;$DF19,$AD19:$BA19)+SUMIF($BH$3:$CE$3,"&gt;"&amp;$CW$4,$AD19:$BA19)),
IF(BL$3=$DF19+'Model Setup'!$K$7,SUMIF($BH$3:$CE$3,"="&amp;$DF19+'Model Setup'!$K$7,$AD19:$BA19)+'Model Setup'!$K$8*(SUMIF($BH$3:$CE$3,"&lt;"&amp;$DF19,$AD19:$BA19)+SUMIF($BH$3:$CE$3,"&gt;"&amp;$CW$4,$AD19:$BA19)),
IF(BL$3=$DF19+'Model Setup'!$L$7,SUMIF($BH$3:$CE$3,"="&amp;$DF19+'Model Setup'!$L$7,$AD19:$BA19)+'Model Setup'!$L$8*(SUMIF($BH$3:$CE$3,"&lt;"&amp;$DF19,$AD19:$BA19)+SUMIF($BH$3:$CE$3,"&gt;"&amp;$CW$4,$AD19:$BA19)),
IF(BL$3=$DF19+'Model Setup'!$M$7,SUMIF($BH$3:$CE$3,"="&amp;$DF19+'Model Setup'!$M$7,$AD19:$BA19)+'Model Setup'!$M$8*(SUMIF($BH$3:$CE$3,"&lt;"&amp;$DF19,$AD19:$BA19)+SUMIF($BH$3:$CE$3,"&gt;"&amp;$CW$4,$AD19:$BA19)),
IF(BL$3=$DF19+'Model Setup'!$N$7,SUMIF($BH$3:$CE$3,"="&amp;$DF19+'Model Setup'!$N$7,$AD19:$BA19)+'Model Setup'!$N$8*(SUMIF($BH$3:$CE$3,"&lt;"&amp;$DF19,$AD19:$BA19)+SUMIF($BH$3:$CE$3,"&gt;"&amp;$CW$4,$AD19:$BA19)),
IF(BL$3&lt;$CW$4,F19,0))))))))))))))),0)</f>
        <v>0</v>
      </c>
      <c r="BM19" s="47">
        <f>ROUND(IF(OR(BM$3&lt;$DF19,BM$3&gt;$CW$4),0,
IF(BM$3=$DF19+'Model Setup'!$B$7,SUMIF($BH$3:$CE$3,"="&amp;$DF19+'Model Setup'!$B$7,$AD19:$BA19)+'Model Setup'!$B$8*(SUMIF($BH$3:$CE$3,"&lt;"&amp;$DF19,$AD19:$BA19)+SUMIF($BH$3:$CE$3,"&gt;"&amp;$CW$4,$AD19:$BA19)),
IF(BM$3=$DF19+'Model Setup'!$C$7,SUMIF($BH$3:$CE$3,"="&amp;$DF19+'Model Setup'!$C$7,$AD19:$BA19)+'Model Setup'!$C$8*(SUMIF($BH$3:$CE$3,"&lt;"&amp;$DF19,$AD19:$BA19)+SUMIF($BH$3:$CE$3,"&gt;"&amp;$CW$4,$AD19:$BA19)),
IF(BM$3=$DF19+'Model Setup'!$D$7,SUMIF($BH$3:$CE$3,"="&amp;$DF19+'Model Setup'!$D$7,$AD19:$BA19)+'Model Setup'!$D$8*(SUMIF($BH$3:$CE$3,"&lt;"&amp;$DF19,$AD19:$BA19)+SUMIF($BH$3:$CE$3,"&gt;"&amp;$CW$4,$AD19:$BA19)),
IF(BM$3=$DF19+'Model Setup'!$E$7,SUMIF($BH$3:$CE$3,"="&amp;$DF19+'Model Setup'!$E$7,$AD19:$BA19)+'Model Setup'!$E$8*(SUMIF($BH$3:$CE$3,"&lt;"&amp;$DF19,$AD19:$BA19)+SUMIF($BH$3:$CE$3,"&gt;"&amp;$CW$4,$AD19:$BA19)),
IF(BM$3=$DF19+'Model Setup'!$F$7,SUMIF($BH$3:$CE$3,"="&amp;$DF19+'Model Setup'!$F$7,$AD19:$BA19)+'Model Setup'!$F$8*(SUMIF($BH$3:$CE$3,"&lt;"&amp;$DF19,$AD19:$BA19)+SUMIF($BH$3:$CE$3,"&gt;"&amp;$CW$4,$AD19:$BA19)),
IF(BM$3=$DF19+'Model Setup'!$G$7,SUMIF($BH$3:$CE$3,"="&amp;$DF19+'Model Setup'!$G$7,$AD19:$BA19)+'Model Setup'!$G$8*(SUMIF($BH$3:$CE$3,"&lt;"&amp;$DF19,$AD19:$BA19)+SUMIF($BH$3:$CE$3,"&gt;"&amp;$CW$4,$AD19:$BA19)),
IF(BM$3=$DF19+'Model Setup'!$H$7,SUMIF($BH$3:$CE$3,"="&amp;$DF19+'Model Setup'!$H$7,$AD19:$BA19)+'Model Setup'!$H$8*(SUMIF($BH$3:$CE$3,"&lt;"&amp;$DF19,$AD19:$BA19)+SUMIF($BH$3:$CE$3,"&gt;"&amp;$CW$4,$AD19:$BA19)),
IF(BM$3=$DF19+'Model Setup'!$I$7,SUMIF($BH$3:$CE$3,"="&amp;$DF19+'Model Setup'!$I$7,$AD19:$BA19)+'Model Setup'!$I$8*(SUMIF($BH$3:$CE$3,"&lt;"&amp;$DF19,$AD19:$BA19)+SUMIF($BH$3:$CE$3,"&gt;"&amp;$CW$4,$AD19:$BA19)),
IF(BM$3=$DF19+'Model Setup'!$J$7,SUMIF($BH$3:$CE$3,"="&amp;$DF19+'Model Setup'!$J$7,$AD19:$BA19)+'Model Setup'!$J$8*(SUMIF($BH$3:$CE$3,"&lt;"&amp;$DF19,$AD19:$BA19)+SUMIF($BH$3:$CE$3,"&gt;"&amp;$CW$4,$AD19:$BA19)),
IF(BM$3=$DF19+'Model Setup'!$K$7,SUMIF($BH$3:$CE$3,"="&amp;$DF19+'Model Setup'!$K$7,$AD19:$BA19)+'Model Setup'!$K$8*(SUMIF($BH$3:$CE$3,"&lt;"&amp;$DF19,$AD19:$BA19)+SUMIF($BH$3:$CE$3,"&gt;"&amp;$CW$4,$AD19:$BA19)),
IF(BM$3=$DF19+'Model Setup'!$L$7,SUMIF($BH$3:$CE$3,"="&amp;$DF19+'Model Setup'!$L$7,$AD19:$BA19)+'Model Setup'!$L$8*(SUMIF($BH$3:$CE$3,"&lt;"&amp;$DF19,$AD19:$BA19)+SUMIF($BH$3:$CE$3,"&gt;"&amp;$CW$4,$AD19:$BA19)),
IF(BM$3=$DF19+'Model Setup'!$M$7,SUMIF($BH$3:$CE$3,"="&amp;$DF19+'Model Setup'!$M$7,$AD19:$BA19)+'Model Setup'!$M$8*(SUMIF($BH$3:$CE$3,"&lt;"&amp;$DF19,$AD19:$BA19)+SUMIF($BH$3:$CE$3,"&gt;"&amp;$CW$4,$AD19:$BA19)),
IF(BM$3=$DF19+'Model Setup'!$N$7,SUMIF($BH$3:$CE$3,"="&amp;$DF19+'Model Setup'!$N$7,$AD19:$BA19)+'Model Setup'!$N$8*(SUMIF($BH$3:$CE$3,"&lt;"&amp;$DF19,$AD19:$BA19)+SUMIF($BH$3:$CE$3,"&gt;"&amp;$CW$4,$AD19:$BA19)),
IF(BM$3&lt;$CW$4,G19,0))))))))))))))),0)</f>
        <v>0</v>
      </c>
      <c r="BN19" s="47">
        <f>ROUND(IF(OR(BN$3&lt;$DF19,BN$3&gt;$CW$4),0,
IF(BN$3=$DF19+'Model Setup'!$B$7,SUMIF($BH$3:$CE$3,"="&amp;$DF19+'Model Setup'!$B$7,$AD19:$BA19)+'Model Setup'!$B$8*(SUMIF($BH$3:$CE$3,"&lt;"&amp;$DF19,$AD19:$BA19)+SUMIF($BH$3:$CE$3,"&gt;"&amp;$CW$4,$AD19:$BA19)),
IF(BN$3=$DF19+'Model Setup'!$C$7,SUMIF($BH$3:$CE$3,"="&amp;$DF19+'Model Setup'!$C$7,$AD19:$BA19)+'Model Setup'!$C$8*(SUMIF($BH$3:$CE$3,"&lt;"&amp;$DF19,$AD19:$BA19)+SUMIF($BH$3:$CE$3,"&gt;"&amp;$CW$4,$AD19:$BA19)),
IF(BN$3=$DF19+'Model Setup'!$D$7,SUMIF($BH$3:$CE$3,"="&amp;$DF19+'Model Setup'!$D$7,$AD19:$BA19)+'Model Setup'!$D$8*(SUMIF($BH$3:$CE$3,"&lt;"&amp;$DF19,$AD19:$BA19)+SUMIF($BH$3:$CE$3,"&gt;"&amp;$CW$4,$AD19:$BA19)),
IF(BN$3=$DF19+'Model Setup'!$E$7,SUMIF($BH$3:$CE$3,"="&amp;$DF19+'Model Setup'!$E$7,$AD19:$BA19)+'Model Setup'!$E$8*(SUMIF($BH$3:$CE$3,"&lt;"&amp;$DF19,$AD19:$BA19)+SUMIF($BH$3:$CE$3,"&gt;"&amp;$CW$4,$AD19:$BA19)),
IF(BN$3=$DF19+'Model Setup'!$F$7,SUMIF($BH$3:$CE$3,"="&amp;$DF19+'Model Setup'!$F$7,$AD19:$BA19)+'Model Setup'!$F$8*(SUMIF($BH$3:$CE$3,"&lt;"&amp;$DF19,$AD19:$BA19)+SUMIF($BH$3:$CE$3,"&gt;"&amp;$CW$4,$AD19:$BA19)),
IF(BN$3=$DF19+'Model Setup'!$G$7,SUMIF($BH$3:$CE$3,"="&amp;$DF19+'Model Setup'!$G$7,$AD19:$BA19)+'Model Setup'!$G$8*(SUMIF($BH$3:$CE$3,"&lt;"&amp;$DF19,$AD19:$BA19)+SUMIF($BH$3:$CE$3,"&gt;"&amp;$CW$4,$AD19:$BA19)),
IF(BN$3=$DF19+'Model Setup'!$H$7,SUMIF($BH$3:$CE$3,"="&amp;$DF19+'Model Setup'!$H$7,$AD19:$BA19)+'Model Setup'!$H$8*(SUMIF($BH$3:$CE$3,"&lt;"&amp;$DF19,$AD19:$BA19)+SUMIF($BH$3:$CE$3,"&gt;"&amp;$CW$4,$AD19:$BA19)),
IF(BN$3=$DF19+'Model Setup'!$I$7,SUMIF($BH$3:$CE$3,"="&amp;$DF19+'Model Setup'!$I$7,$AD19:$BA19)+'Model Setup'!$I$8*(SUMIF($BH$3:$CE$3,"&lt;"&amp;$DF19,$AD19:$BA19)+SUMIF($BH$3:$CE$3,"&gt;"&amp;$CW$4,$AD19:$BA19)),
IF(BN$3=$DF19+'Model Setup'!$J$7,SUMIF($BH$3:$CE$3,"="&amp;$DF19+'Model Setup'!$J$7,$AD19:$BA19)+'Model Setup'!$J$8*(SUMIF($BH$3:$CE$3,"&lt;"&amp;$DF19,$AD19:$BA19)+SUMIF($BH$3:$CE$3,"&gt;"&amp;$CW$4,$AD19:$BA19)),
IF(BN$3=$DF19+'Model Setup'!$K$7,SUMIF($BH$3:$CE$3,"="&amp;$DF19+'Model Setup'!$K$7,$AD19:$BA19)+'Model Setup'!$K$8*(SUMIF($BH$3:$CE$3,"&lt;"&amp;$DF19,$AD19:$BA19)+SUMIF($BH$3:$CE$3,"&gt;"&amp;$CW$4,$AD19:$BA19)),
IF(BN$3=$DF19+'Model Setup'!$L$7,SUMIF($BH$3:$CE$3,"="&amp;$DF19+'Model Setup'!$L$7,$AD19:$BA19)+'Model Setup'!$L$8*(SUMIF($BH$3:$CE$3,"&lt;"&amp;$DF19,$AD19:$BA19)+SUMIF($BH$3:$CE$3,"&gt;"&amp;$CW$4,$AD19:$BA19)),
IF(BN$3=$DF19+'Model Setup'!$M$7,SUMIF($BH$3:$CE$3,"="&amp;$DF19+'Model Setup'!$M$7,$AD19:$BA19)+'Model Setup'!$M$8*(SUMIF($BH$3:$CE$3,"&lt;"&amp;$DF19,$AD19:$BA19)+SUMIF($BH$3:$CE$3,"&gt;"&amp;$CW$4,$AD19:$BA19)),
IF(BN$3=$DF19+'Model Setup'!$N$7,SUMIF($BH$3:$CE$3,"="&amp;$DF19+'Model Setup'!$N$7,$AD19:$BA19)+'Model Setup'!$N$8*(SUMIF($BH$3:$CE$3,"&lt;"&amp;$DF19,$AD19:$BA19)+SUMIF($BH$3:$CE$3,"&gt;"&amp;$CW$4,$AD19:$BA19)),
IF(BN$3&lt;$CW$4,H19,0))))))))))))))),0)</f>
        <v>0</v>
      </c>
      <c r="BO19" s="47">
        <f>ROUND(IF(OR(BO$3&lt;$DF19,BO$3&gt;$CW$4),0,
IF(BO$3=$DF19+'Model Setup'!$B$7,SUMIF($BH$3:$CE$3,"="&amp;$DF19+'Model Setup'!$B$7,$AD19:$BA19)+'Model Setup'!$B$8*(SUMIF($BH$3:$CE$3,"&lt;"&amp;$DF19,$AD19:$BA19)+SUMIF($BH$3:$CE$3,"&gt;"&amp;$CW$4,$AD19:$BA19)),
IF(BO$3=$DF19+'Model Setup'!$C$7,SUMIF($BH$3:$CE$3,"="&amp;$DF19+'Model Setup'!$C$7,$AD19:$BA19)+'Model Setup'!$C$8*(SUMIF($BH$3:$CE$3,"&lt;"&amp;$DF19,$AD19:$BA19)+SUMIF($BH$3:$CE$3,"&gt;"&amp;$CW$4,$AD19:$BA19)),
IF(BO$3=$DF19+'Model Setup'!$D$7,SUMIF($BH$3:$CE$3,"="&amp;$DF19+'Model Setup'!$D$7,$AD19:$BA19)+'Model Setup'!$D$8*(SUMIF($BH$3:$CE$3,"&lt;"&amp;$DF19,$AD19:$BA19)+SUMIF($BH$3:$CE$3,"&gt;"&amp;$CW$4,$AD19:$BA19)),
IF(BO$3=$DF19+'Model Setup'!$E$7,SUMIF($BH$3:$CE$3,"="&amp;$DF19+'Model Setup'!$E$7,$AD19:$BA19)+'Model Setup'!$E$8*(SUMIF($BH$3:$CE$3,"&lt;"&amp;$DF19,$AD19:$BA19)+SUMIF($BH$3:$CE$3,"&gt;"&amp;$CW$4,$AD19:$BA19)),
IF(BO$3=$DF19+'Model Setup'!$F$7,SUMIF($BH$3:$CE$3,"="&amp;$DF19+'Model Setup'!$F$7,$AD19:$BA19)+'Model Setup'!$F$8*(SUMIF($BH$3:$CE$3,"&lt;"&amp;$DF19,$AD19:$BA19)+SUMIF($BH$3:$CE$3,"&gt;"&amp;$CW$4,$AD19:$BA19)),
IF(BO$3=$DF19+'Model Setup'!$G$7,SUMIF($BH$3:$CE$3,"="&amp;$DF19+'Model Setup'!$G$7,$AD19:$BA19)+'Model Setup'!$G$8*(SUMIF($BH$3:$CE$3,"&lt;"&amp;$DF19,$AD19:$BA19)+SUMIF($BH$3:$CE$3,"&gt;"&amp;$CW$4,$AD19:$BA19)),
IF(BO$3=$DF19+'Model Setup'!$H$7,SUMIF($BH$3:$CE$3,"="&amp;$DF19+'Model Setup'!$H$7,$AD19:$BA19)+'Model Setup'!$H$8*(SUMIF($BH$3:$CE$3,"&lt;"&amp;$DF19,$AD19:$BA19)+SUMIF($BH$3:$CE$3,"&gt;"&amp;$CW$4,$AD19:$BA19)),
IF(BO$3=$DF19+'Model Setup'!$I$7,SUMIF($BH$3:$CE$3,"="&amp;$DF19+'Model Setup'!$I$7,$AD19:$BA19)+'Model Setup'!$I$8*(SUMIF($BH$3:$CE$3,"&lt;"&amp;$DF19,$AD19:$BA19)+SUMIF($BH$3:$CE$3,"&gt;"&amp;$CW$4,$AD19:$BA19)),
IF(BO$3=$DF19+'Model Setup'!$J$7,SUMIF($BH$3:$CE$3,"="&amp;$DF19+'Model Setup'!$J$7,$AD19:$BA19)+'Model Setup'!$J$8*(SUMIF($BH$3:$CE$3,"&lt;"&amp;$DF19,$AD19:$BA19)+SUMIF($BH$3:$CE$3,"&gt;"&amp;$CW$4,$AD19:$BA19)),
IF(BO$3=$DF19+'Model Setup'!$K$7,SUMIF($BH$3:$CE$3,"="&amp;$DF19+'Model Setup'!$K$7,$AD19:$BA19)+'Model Setup'!$K$8*(SUMIF($BH$3:$CE$3,"&lt;"&amp;$DF19,$AD19:$BA19)+SUMIF($BH$3:$CE$3,"&gt;"&amp;$CW$4,$AD19:$BA19)),
IF(BO$3=$DF19+'Model Setup'!$L$7,SUMIF($BH$3:$CE$3,"="&amp;$DF19+'Model Setup'!$L$7,$AD19:$BA19)+'Model Setup'!$L$8*(SUMIF($BH$3:$CE$3,"&lt;"&amp;$DF19,$AD19:$BA19)+SUMIF($BH$3:$CE$3,"&gt;"&amp;$CW$4,$AD19:$BA19)),
IF(BO$3=$DF19+'Model Setup'!$M$7,SUMIF($BH$3:$CE$3,"="&amp;$DF19+'Model Setup'!$M$7,$AD19:$BA19)+'Model Setup'!$M$8*(SUMIF($BH$3:$CE$3,"&lt;"&amp;$DF19,$AD19:$BA19)+SUMIF($BH$3:$CE$3,"&gt;"&amp;$CW$4,$AD19:$BA19)),
IF(BO$3=$DF19+'Model Setup'!$N$7,SUMIF($BH$3:$CE$3,"="&amp;$DF19+'Model Setup'!$N$7,$AD19:$BA19)+'Model Setup'!$N$8*(SUMIF($BH$3:$CE$3,"&lt;"&amp;$DF19,$AD19:$BA19)+SUMIF($BH$3:$CE$3,"&gt;"&amp;$CW$4,$AD19:$BA19)),
IF(BO$3&lt;$CW$4,I19,0))))))))))))))),0)</f>
        <v>135</v>
      </c>
      <c r="BP19" s="47">
        <f>ROUND(IF(OR(BP$3&lt;$DF19,BP$3&gt;$CW$4),0,
IF(BP$3=$DF19+'Model Setup'!$B$7,SUMIF($BH$3:$CE$3,"="&amp;$DF19+'Model Setup'!$B$7,$AD19:$BA19)+'Model Setup'!$B$8*(SUMIF($BH$3:$CE$3,"&lt;"&amp;$DF19,$AD19:$BA19)+SUMIF($BH$3:$CE$3,"&gt;"&amp;$CW$4,$AD19:$BA19)),
IF(BP$3=$DF19+'Model Setup'!$C$7,SUMIF($BH$3:$CE$3,"="&amp;$DF19+'Model Setup'!$C$7,$AD19:$BA19)+'Model Setup'!$C$8*(SUMIF($BH$3:$CE$3,"&lt;"&amp;$DF19,$AD19:$BA19)+SUMIF($BH$3:$CE$3,"&gt;"&amp;$CW$4,$AD19:$BA19)),
IF(BP$3=$DF19+'Model Setup'!$D$7,SUMIF($BH$3:$CE$3,"="&amp;$DF19+'Model Setup'!$D$7,$AD19:$BA19)+'Model Setup'!$D$8*(SUMIF($BH$3:$CE$3,"&lt;"&amp;$DF19,$AD19:$BA19)+SUMIF($BH$3:$CE$3,"&gt;"&amp;$CW$4,$AD19:$BA19)),
IF(BP$3=$DF19+'Model Setup'!$E$7,SUMIF($BH$3:$CE$3,"="&amp;$DF19+'Model Setup'!$E$7,$AD19:$BA19)+'Model Setup'!$E$8*(SUMIF($BH$3:$CE$3,"&lt;"&amp;$DF19,$AD19:$BA19)+SUMIF($BH$3:$CE$3,"&gt;"&amp;$CW$4,$AD19:$BA19)),
IF(BP$3=$DF19+'Model Setup'!$F$7,SUMIF($BH$3:$CE$3,"="&amp;$DF19+'Model Setup'!$F$7,$AD19:$BA19)+'Model Setup'!$F$8*(SUMIF($BH$3:$CE$3,"&lt;"&amp;$DF19,$AD19:$BA19)+SUMIF($BH$3:$CE$3,"&gt;"&amp;$CW$4,$AD19:$BA19)),
IF(BP$3=$DF19+'Model Setup'!$G$7,SUMIF($BH$3:$CE$3,"="&amp;$DF19+'Model Setup'!$G$7,$AD19:$BA19)+'Model Setup'!$G$8*(SUMIF($BH$3:$CE$3,"&lt;"&amp;$DF19,$AD19:$BA19)+SUMIF($BH$3:$CE$3,"&gt;"&amp;$CW$4,$AD19:$BA19)),
IF(BP$3=$DF19+'Model Setup'!$H$7,SUMIF($BH$3:$CE$3,"="&amp;$DF19+'Model Setup'!$H$7,$AD19:$BA19)+'Model Setup'!$H$8*(SUMIF($BH$3:$CE$3,"&lt;"&amp;$DF19,$AD19:$BA19)+SUMIF($BH$3:$CE$3,"&gt;"&amp;$CW$4,$AD19:$BA19)),
IF(BP$3=$DF19+'Model Setup'!$I$7,SUMIF($BH$3:$CE$3,"="&amp;$DF19+'Model Setup'!$I$7,$AD19:$BA19)+'Model Setup'!$I$8*(SUMIF($BH$3:$CE$3,"&lt;"&amp;$DF19,$AD19:$BA19)+SUMIF($BH$3:$CE$3,"&gt;"&amp;$CW$4,$AD19:$BA19)),
IF(BP$3=$DF19+'Model Setup'!$J$7,SUMIF($BH$3:$CE$3,"="&amp;$DF19+'Model Setup'!$J$7,$AD19:$BA19)+'Model Setup'!$J$8*(SUMIF($BH$3:$CE$3,"&lt;"&amp;$DF19,$AD19:$BA19)+SUMIF($BH$3:$CE$3,"&gt;"&amp;$CW$4,$AD19:$BA19)),
IF(BP$3=$DF19+'Model Setup'!$K$7,SUMIF($BH$3:$CE$3,"="&amp;$DF19+'Model Setup'!$K$7,$AD19:$BA19)+'Model Setup'!$K$8*(SUMIF($BH$3:$CE$3,"&lt;"&amp;$DF19,$AD19:$BA19)+SUMIF($BH$3:$CE$3,"&gt;"&amp;$CW$4,$AD19:$BA19)),
IF(BP$3=$DF19+'Model Setup'!$L$7,SUMIF($BH$3:$CE$3,"="&amp;$DF19+'Model Setup'!$L$7,$AD19:$BA19)+'Model Setup'!$L$8*(SUMIF($BH$3:$CE$3,"&lt;"&amp;$DF19,$AD19:$BA19)+SUMIF($BH$3:$CE$3,"&gt;"&amp;$CW$4,$AD19:$BA19)),
IF(BP$3=$DF19+'Model Setup'!$M$7,SUMIF($BH$3:$CE$3,"="&amp;$DF19+'Model Setup'!$M$7,$AD19:$BA19)+'Model Setup'!$M$8*(SUMIF($BH$3:$CE$3,"&lt;"&amp;$DF19,$AD19:$BA19)+SUMIF($BH$3:$CE$3,"&gt;"&amp;$CW$4,$AD19:$BA19)),
IF(BP$3=$DF19+'Model Setup'!$N$7,SUMIF($BH$3:$CE$3,"="&amp;$DF19+'Model Setup'!$N$7,$AD19:$BA19)+'Model Setup'!$N$8*(SUMIF($BH$3:$CE$3,"&lt;"&amp;$DF19,$AD19:$BA19)+SUMIF($BH$3:$CE$3,"&gt;"&amp;$CW$4,$AD19:$BA19)),
IF(BP$3&lt;$CW$4,J19,0))))))))))))))),0)</f>
        <v>139</v>
      </c>
      <c r="BQ19" s="47">
        <f>ROUND(IF(OR(BQ$3&lt;$DF19,BQ$3&gt;$CW$4),0,
IF(BQ$3=$DF19+'Model Setup'!$B$7,SUMIF($BH$3:$CE$3,"="&amp;$DF19+'Model Setup'!$B$7,$AD19:$BA19)+'Model Setup'!$B$8*(SUMIF($BH$3:$CE$3,"&lt;"&amp;$DF19,$AD19:$BA19)+SUMIF($BH$3:$CE$3,"&gt;"&amp;$CW$4,$AD19:$BA19)),
IF(BQ$3=$DF19+'Model Setup'!$C$7,SUMIF($BH$3:$CE$3,"="&amp;$DF19+'Model Setup'!$C$7,$AD19:$BA19)+'Model Setup'!$C$8*(SUMIF($BH$3:$CE$3,"&lt;"&amp;$DF19,$AD19:$BA19)+SUMIF($BH$3:$CE$3,"&gt;"&amp;$CW$4,$AD19:$BA19)),
IF(BQ$3=$DF19+'Model Setup'!$D$7,SUMIF($BH$3:$CE$3,"="&amp;$DF19+'Model Setup'!$D$7,$AD19:$BA19)+'Model Setup'!$D$8*(SUMIF($BH$3:$CE$3,"&lt;"&amp;$DF19,$AD19:$BA19)+SUMIF($BH$3:$CE$3,"&gt;"&amp;$CW$4,$AD19:$BA19)),
IF(BQ$3=$DF19+'Model Setup'!$E$7,SUMIF($BH$3:$CE$3,"="&amp;$DF19+'Model Setup'!$E$7,$AD19:$BA19)+'Model Setup'!$E$8*(SUMIF($BH$3:$CE$3,"&lt;"&amp;$DF19,$AD19:$BA19)+SUMIF($BH$3:$CE$3,"&gt;"&amp;$CW$4,$AD19:$BA19)),
IF(BQ$3=$DF19+'Model Setup'!$F$7,SUMIF($BH$3:$CE$3,"="&amp;$DF19+'Model Setup'!$F$7,$AD19:$BA19)+'Model Setup'!$F$8*(SUMIF($BH$3:$CE$3,"&lt;"&amp;$DF19,$AD19:$BA19)+SUMIF($BH$3:$CE$3,"&gt;"&amp;$CW$4,$AD19:$BA19)),
IF(BQ$3=$DF19+'Model Setup'!$G$7,SUMIF($BH$3:$CE$3,"="&amp;$DF19+'Model Setup'!$G$7,$AD19:$BA19)+'Model Setup'!$G$8*(SUMIF($BH$3:$CE$3,"&lt;"&amp;$DF19,$AD19:$BA19)+SUMIF($BH$3:$CE$3,"&gt;"&amp;$CW$4,$AD19:$BA19)),
IF(BQ$3=$DF19+'Model Setup'!$H$7,SUMIF($BH$3:$CE$3,"="&amp;$DF19+'Model Setup'!$H$7,$AD19:$BA19)+'Model Setup'!$H$8*(SUMIF($BH$3:$CE$3,"&lt;"&amp;$DF19,$AD19:$BA19)+SUMIF($BH$3:$CE$3,"&gt;"&amp;$CW$4,$AD19:$BA19)),
IF(BQ$3=$DF19+'Model Setup'!$I$7,SUMIF($BH$3:$CE$3,"="&amp;$DF19+'Model Setup'!$I$7,$AD19:$BA19)+'Model Setup'!$I$8*(SUMIF($BH$3:$CE$3,"&lt;"&amp;$DF19,$AD19:$BA19)+SUMIF($BH$3:$CE$3,"&gt;"&amp;$CW$4,$AD19:$BA19)),
IF(BQ$3=$DF19+'Model Setup'!$J$7,SUMIF($BH$3:$CE$3,"="&amp;$DF19+'Model Setup'!$J$7,$AD19:$BA19)+'Model Setup'!$J$8*(SUMIF($BH$3:$CE$3,"&lt;"&amp;$DF19,$AD19:$BA19)+SUMIF($BH$3:$CE$3,"&gt;"&amp;$CW$4,$AD19:$BA19)),
IF(BQ$3=$DF19+'Model Setup'!$K$7,SUMIF($BH$3:$CE$3,"="&amp;$DF19+'Model Setup'!$K$7,$AD19:$BA19)+'Model Setup'!$K$8*(SUMIF($BH$3:$CE$3,"&lt;"&amp;$DF19,$AD19:$BA19)+SUMIF($BH$3:$CE$3,"&gt;"&amp;$CW$4,$AD19:$BA19)),
IF(BQ$3=$DF19+'Model Setup'!$L$7,SUMIF($BH$3:$CE$3,"="&amp;$DF19+'Model Setup'!$L$7,$AD19:$BA19)+'Model Setup'!$L$8*(SUMIF($BH$3:$CE$3,"&lt;"&amp;$DF19,$AD19:$BA19)+SUMIF($BH$3:$CE$3,"&gt;"&amp;$CW$4,$AD19:$BA19)),
IF(BQ$3=$DF19+'Model Setup'!$M$7,SUMIF($BH$3:$CE$3,"="&amp;$DF19+'Model Setup'!$M$7,$AD19:$BA19)+'Model Setup'!$M$8*(SUMIF($BH$3:$CE$3,"&lt;"&amp;$DF19,$AD19:$BA19)+SUMIF($BH$3:$CE$3,"&gt;"&amp;$CW$4,$AD19:$BA19)),
IF(BQ$3=$DF19+'Model Setup'!$N$7,SUMIF($BH$3:$CE$3,"="&amp;$DF19+'Model Setup'!$N$7,$AD19:$BA19)+'Model Setup'!$N$8*(SUMIF($BH$3:$CE$3,"&lt;"&amp;$DF19,$AD19:$BA19)+SUMIF($BH$3:$CE$3,"&gt;"&amp;$CW$4,$AD19:$BA19)),
IF(BQ$3&lt;$CW$4,K19,0))))))))))))))),0)</f>
        <v>119</v>
      </c>
      <c r="BR19" s="47">
        <f>ROUND(IF(OR(BR$3&lt;$DF19,BR$3&gt;$CW$4),0,
IF(BR$3=$DF19+'Model Setup'!$B$7,SUMIF($BH$3:$CE$3,"="&amp;$DF19+'Model Setup'!$B$7,$AD19:$BA19)+'Model Setup'!$B$8*(SUMIF($BH$3:$CE$3,"&lt;"&amp;$DF19,$AD19:$BA19)+SUMIF($BH$3:$CE$3,"&gt;"&amp;$CW$4,$AD19:$BA19)),
IF(BR$3=$DF19+'Model Setup'!$C$7,SUMIF($BH$3:$CE$3,"="&amp;$DF19+'Model Setup'!$C$7,$AD19:$BA19)+'Model Setup'!$C$8*(SUMIF($BH$3:$CE$3,"&lt;"&amp;$DF19,$AD19:$BA19)+SUMIF($BH$3:$CE$3,"&gt;"&amp;$CW$4,$AD19:$BA19)),
IF(BR$3=$DF19+'Model Setup'!$D$7,SUMIF($BH$3:$CE$3,"="&amp;$DF19+'Model Setup'!$D$7,$AD19:$BA19)+'Model Setup'!$D$8*(SUMIF($BH$3:$CE$3,"&lt;"&amp;$DF19,$AD19:$BA19)+SUMIF($BH$3:$CE$3,"&gt;"&amp;$CW$4,$AD19:$BA19)),
IF(BR$3=$DF19+'Model Setup'!$E$7,SUMIF($BH$3:$CE$3,"="&amp;$DF19+'Model Setup'!$E$7,$AD19:$BA19)+'Model Setup'!$E$8*(SUMIF($BH$3:$CE$3,"&lt;"&amp;$DF19,$AD19:$BA19)+SUMIF($BH$3:$CE$3,"&gt;"&amp;$CW$4,$AD19:$BA19)),
IF(BR$3=$DF19+'Model Setup'!$F$7,SUMIF($BH$3:$CE$3,"="&amp;$DF19+'Model Setup'!$F$7,$AD19:$BA19)+'Model Setup'!$F$8*(SUMIF($BH$3:$CE$3,"&lt;"&amp;$DF19,$AD19:$BA19)+SUMIF($BH$3:$CE$3,"&gt;"&amp;$CW$4,$AD19:$BA19)),
IF(BR$3=$DF19+'Model Setup'!$G$7,SUMIF($BH$3:$CE$3,"="&amp;$DF19+'Model Setup'!$G$7,$AD19:$BA19)+'Model Setup'!$G$8*(SUMIF($BH$3:$CE$3,"&lt;"&amp;$DF19,$AD19:$BA19)+SUMIF($BH$3:$CE$3,"&gt;"&amp;$CW$4,$AD19:$BA19)),
IF(BR$3=$DF19+'Model Setup'!$H$7,SUMIF($BH$3:$CE$3,"="&amp;$DF19+'Model Setup'!$H$7,$AD19:$BA19)+'Model Setup'!$H$8*(SUMIF($BH$3:$CE$3,"&lt;"&amp;$DF19,$AD19:$BA19)+SUMIF($BH$3:$CE$3,"&gt;"&amp;$CW$4,$AD19:$BA19)),
IF(BR$3=$DF19+'Model Setup'!$I$7,SUMIF($BH$3:$CE$3,"="&amp;$DF19+'Model Setup'!$I$7,$AD19:$BA19)+'Model Setup'!$I$8*(SUMIF($BH$3:$CE$3,"&lt;"&amp;$DF19,$AD19:$BA19)+SUMIF($BH$3:$CE$3,"&gt;"&amp;$CW$4,$AD19:$BA19)),
IF(BR$3=$DF19+'Model Setup'!$J$7,SUMIF($BH$3:$CE$3,"="&amp;$DF19+'Model Setup'!$J$7,$AD19:$BA19)+'Model Setup'!$J$8*(SUMIF($BH$3:$CE$3,"&lt;"&amp;$DF19,$AD19:$BA19)+SUMIF($BH$3:$CE$3,"&gt;"&amp;$CW$4,$AD19:$BA19)),
IF(BR$3=$DF19+'Model Setup'!$K$7,SUMIF($BH$3:$CE$3,"="&amp;$DF19+'Model Setup'!$K$7,$AD19:$BA19)+'Model Setup'!$K$8*(SUMIF($BH$3:$CE$3,"&lt;"&amp;$DF19,$AD19:$BA19)+SUMIF($BH$3:$CE$3,"&gt;"&amp;$CW$4,$AD19:$BA19)),
IF(BR$3=$DF19+'Model Setup'!$L$7,SUMIF($BH$3:$CE$3,"="&amp;$DF19+'Model Setup'!$L$7,$AD19:$BA19)+'Model Setup'!$L$8*(SUMIF($BH$3:$CE$3,"&lt;"&amp;$DF19,$AD19:$BA19)+SUMIF($BH$3:$CE$3,"&gt;"&amp;$CW$4,$AD19:$BA19)),
IF(BR$3=$DF19+'Model Setup'!$M$7,SUMIF($BH$3:$CE$3,"="&amp;$DF19+'Model Setup'!$M$7,$AD19:$BA19)+'Model Setup'!$M$8*(SUMIF($BH$3:$CE$3,"&lt;"&amp;$DF19,$AD19:$BA19)+SUMIF($BH$3:$CE$3,"&gt;"&amp;$CW$4,$AD19:$BA19)),
IF(BR$3=$DF19+'Model Setup'!$N$7,SUMIF($BH$3:$CE$3,"="&amp;$DF19+'Model Setup'!$N$7,$AD19:$BA19)+'Model Setup'!$N$8*(SUMIF($BH$3:$CE$3,"&lt;"&amp;$DF19,$AD19:$BA19)+SUMIF($BH$3:$CE$3,"&gt;"&amp;$CW$4,$AD19:$BA19)),
IF(BR$3&lt;$CW$4,L19,0))))))))))))))),0)</f>
        <v>107</v>
      </c>
      <c r="BS19" s="47">
        <f>ROUND(IF(OR(BS$3&lt;$DF19,BS$3&gt;$CW$4),0,
IF(BS$3=$DF19+'Model Setup'!$B$7,SUMIF($BH$3:$CE$3,"="&amp;$DF19+'Model Setup'!$B$7,$AD19:$BA19)+'Model Setup'!$B$8*(SUMIF($BH$3:$CE$3,"&lt;"&amp;$DF19,$AD19:$BA19)+SUMIF($BH$3:$CE$3,"&gt;"&amp;$CW$4,$AD19:$BA19)),
IF(BS$3=$DF19+'Model Setup'!$C$7,SUMIF($BH$3:$CE$3,"="&amp;$DF19+'Model Setup'!$C$7,$AD19:$BA19)+'Model Setup'!$C$8*(SUMIF($BH$3:$CE$3,"&lt;"&amp;$DF19,$AD19:$BA19)+SUMIF($BH$3:$CE$3,"&gt;"&amp;$CW$4,$AD19:$BA19)),
IF(BS$3=$DF19+'Model Setup'!$D$7,SUMIF($BH$3:$CE$3,"="&amp;$DF19+'Model Setup'!$D$7,$AD19:$BA19)+'Model Setup'!$D$8*(SUMIF($BH$3:$CE$3,"&lt;"&amp;$DF19,$AD19:$BA19)+SUMIF($BH$3:$CE$3,"&gt;"&amp;$CW$4,$AD19:$BA19)),
IF(BS$3=$DF19+'Model Setup'!$E$7,SUMIF($BH$3:$CE$3,"="&amp;$DF19+'Model Setup'!$E$7,$AD19:$BA19)+'Model Setup'!$E$8*(SUMIF($BH$3:$CE$3,"&lt;"&amp;$DF19,$AD19:$BA19)+SUMIF($BH$3:$CE$3,"&gt;"&amp;$CW$4,$AD19:$BA19)),
IF(BS$3=$DF19+'Model Setup'!$F$7,SUMIF($BH$3:$CE$3,"="&amp;$DF19+'Model Setup'!$F$7,$AD19:$BA19)+'Model Setup'!$F$8*(SUMIF($BH$3:$CE$3,"&lt;"&amp;$DF19,$AD19:$BA19)+SUMIF($BH$3:$CE$3,"&gt;"&amp;$CW$4,$AD19:$BA19)),
IF(BS$3=$DF19+'Model Setup'!$G$7,SUMIF($BH$3:$CE$3,"="&amp;$DF19+'Model Setup'!$G$7,$AD19:$BA19)+'Model Setup'!$G$8*(SUMIF($BH$3:$CE$3,"&lt;"&amp;$DF19,$AD19:$BA19)+SUMIF($BH$3:$CE$3,"&gt;"&amp;$CW$4,$AD19:$BA19)),
IF(BS$3=$DF19+'Model Setup'!$H$7,SUMIF($BH$3:$CE$3,"="&amp;$DF19+'Model Setup'!$H$7,$AD19:$BA19)+'Model Setup'!$H$8*(SUMIF($BH$3:$CE$3,"&lt;"&amp;$DF19,$AD19:$BA19)+SUMIF($BH$3:$CE$3,"&gt;"&amp;$CW$4,$AD19:$BA19)),
IF(BS$3=$DF19+'Model Setup'!$I$7,SUMIF($BH$3:$CE$3,"="&amp;$DF19+'Model Setup'!$I$7,$AD19:$BA19)+'Model Setup'!$I$8*(SUMIF($BH$3:$CE$3,"&lt;"&amp;$DF19,$AD19:$BA19)+SUMIF($BH$3:$CE$3,"&gt;"&amp;$CW$4,$AD19:$BA19)),
IF(BS$3=$DF19+'Model Setup'!$J$7,SUMIF($BH$3:$CE$3,"="&amp;$DF19+'Model Setup'!$J$7,$AD19:$BA19)+'Model Setup'!$J$8*(SUMIF($BH$3:$CE$3,"&lt;"&amp;$DF19,$AD19:$BA19)+SUMIF($BH$3:$CE$3,"&gt;"&amp;$CW$4,$AD19:$BA19)),
IF(BS$3=$DF19+'Model Setup'!$K$7,SUMIF($BH$3:$CE$3,"="&amp;$DF19+'Model Setup'!$K$7,$AD19:$BA19)+'Model Setup'!$K$8*(SUMIF($BH$3:$CE$3,"&lt;"&amp;$DF19,$AD19:$BA19)+SUMIF($BH$3:$CE$3,"&gt;"&amp;$CW$4,$AD19:$BA19)),
IF(BS$3=$DF19+'Model Setup'!$L$7,SUMIF($BH$3:$CE$3,"="&amp;$DF19+'Model Setup'!$L$7,$AD19:$BA19)+'Model Setup'!$L$8*(SUMIF($BH$3:$CE$3,"&lt;"&amp;$DF19,$AD19:$BA19)+SUMIF($BH$3:$CE$3,"&gt;"&amp;$CW$4,$AD19:$BA19)),
IF(BS$3=$DF19+'Model Setup'!$M$7,SUMIF($BH$3:$CE$3,"="&amp;$DF19+'Model Setup'!$M$7,$AD19:$BA19)+'Model Setup'!$M$8*(SUMIF($BH$3:$CE$3,"&lt;"&amp;$DF19,$AD19:$BA19)+SUMIF($BH$3:$CE$3,"&gt;"&amp;$CW$4,$AD19:$BA19)),
IF(BS$3=$DF19+'Model Setup'!$N$7,SUMIF($BH$3:$CE$3,"="&amp;$DF19+'Model Setup'!$N$7,$AD19:$BA19)+'Model Setup'!$N$8*(SUMIF($BH$3:$CE$3,"&lt;"&amp;$DF19,$AD19:$BA19)+SUMIF($BH$3:$CE$3,"&gt;"&amp;$CW$4,$AD19:$BA19)),
IF(BS$3&lt;$CW$4,M19,0))))))))))))))),0)</f>
        <v>109</v>
      </c>
      <c r="BT19" s="47">
        <f>ROUND(IF(OR(BT$3&lt;$DF19,BT$3&gt;$CW$4),0,
IF(BT$3=$DF19+'Model Setup'!$B$7,SUMIF($BH$3:$CE$3,"="&amp;$DF19+'Model Setup'!$B$7,$AD19:$BA19)+'Model Setup'!$B$8*(SUMIF($BH$3:$CE$3,"&lt;"&amp;$DF19,$AD19:$BA19)+SUMIF($BH$3:$CE$3,"&gt;"&amp;$CW$4,$AD19:$BA19)),
IF(BT$3=$DF19+'Model Setup'!$C$7,SUMIF($BH$3:$CE$3,"="&amp;$DF19+'Model Setup'!$C$7,$AD19:$BA19)+'Model Setup'!$C$8*(SUMIF($BH$3:$CE$3,"&lt;"&amp;$DF19,$AD19:$BA19)+SUMIF($BH$3:$CE$3,"&gt;"&amp;$CW$4,$AD19:$BA19)),
IF(BT$3=$DF19+'Model Setup'!$D$7,SUMIF($BH$3:$CE$3,"="&amp;$DF19+'Model Setup'!$D$7,$AD19:$BA19)+'Model Setup'!$D$8*(SUMIF($BH$3:$CE$3,"&lt;"&amp;$DF19,$AD19:$BA19)+SUMIF($BH$3:$CE$3,"&gt;"&amp;$CW$4,$AD19:$BA19)),
IF(BT$3=$DF19+'Model Setup'!$E$7,SUMIF($BH$3:$CE$3,"="&amp;$DF19+'Model Setup'!$E$7,$AD19:$BA19)+'Model Setup'!$E$8*(SUMIF($BH$3:$CE$3,"&lt;"&amp;$DF19,$AD19:$BA19)+SUMIF($BH$3:$CE$3,"&gt;"&amp;$CW$4,$AD19:$BA19)),
IF(BT$3=$DF19+'Model Setup'!$F$7,SUMIF($BH$3:$CE$3,"="&amp;$DF19+'Model Setup'!$F$7,$AD19:$BA19)+'Model Setup'!$F$8*(SUMIF($BH$3:$CE$3,"&lt;"&amp;$DF19,$AD19:$BA19)+SUMIF($BH$3:$CE$3,"&gt;"&amp;$CW$4,$AD19:$BA19)),
IF(BT$3=$DF19+'Model Setup'!$G$7,SUMIF($BH$3:$CE$3,"="&amp;$DF19+'Model Setup'!$G$7,$AD19:$BA19)+'Model Setup'!$G$8*(SUMIF($BH$3:$CE$3,"&lt;"&amp;$DF19,$AD19:$BA19)+SUMIF($BH$3:$CE$3,"&gt;"&amp;$CW$4,$AD19:$BA19)),
IF(BT$3=$DF19+'Model Setup'!$H$7,SUMIF($BH$3:$CE$3,"="&amp;$DF19+'Model Setup'!$H$7,$AD19:$BA19)+'Model Setup'!$H$8*(SUMIF($BH$3:$CE$3,"&lt;"&amp;$DF19,$AD19:$BA19)+SUMIF($BH$3:$CE$3,"&gt;"&amp;$CW$4,$AD19:$BA19)),
IF(BT$3=$DF19+'Model Setup'!$I$7,SUMIF($BH$3:$CE$3,"="&amp;$DF19+'Model Setup'!$I$7,$AD19:$BA19)+'Model Setup'!$I$8*(SUMIF($BH$3:$CE$3,"&lt;"&amp;$DF19,$AD19:$BA19)+SUMIF($BH$3:$CE$3,"&gt;"&amp;$CW$4,$AD19:$BA19)),
IF(BT$3=$DF19+'Model Setup'!$J$7,SUMIF($BH$3:$CE$3,"="&amp;$DF19+'Model Setup'!$J$7,$AD19:$BA19)+'Model Setup'!$J$8*(SUMIF($BH$3:$CE$3,"&lt;"&amp;$DF19,$AD19:$BA19)+SUMIF($BH$3:$CE$3,"&gt;"&amp;$CW$4,$AD19:$BA19)),
IF(BT$3=$DF19+'Model Setup'!$K$7,SUMIF($BH$3:$CE$3,"="&amp;$DF19+'Model Setup'!$K$7,$AD19:$BA19)+'Model Setup'!$K$8*(SUMIF($BH$3:$CE$3,"&lt;"&amp;$DF19,$AD19:$BA19)+SUMIF($BH$3:$CE$3,"&gt;"&amp;$CW$4,$AD19:$BA19)),
IF(BT$3=$DF19+'Model Setup'!$L$7,SUMIF($BH$3:$CE$3,"="&amp;$DF19+'Model Setup'!$L$7,$AD19:$BA19)+'Model Setup'!$L$8*(SUMIF($BH$3:$CE$3,"&lt;"&amp;$DF19,$AD19:$BA19)+SUMIF($BH$3:$CE$3,"&gt;"&amp;$CW$4,$AD19:$BA19)),
IF(BT$3=$DF19+'Model Setup'!$M$7,SUMIF($BH$3:$CE$3,"="&amp;$DF19+'Model Setup'!$M$7,$AD19:$BA19)+'Model Setup'!$M$8*(SUMIF($BH$3:$CE$3,"&lt;"&amp;$DF19,$AD19:$BA19)+SUMIF($BH$3:$CE$3,"&gt;"&amp;$CW$4,$AD19:$BA19)),
IF(BT$3=$DF19+'Model Setup'!$N$7,SUMIF($BH$3:$CE$3,"="&amp;$DF19+'Model Setup'!$N$7,$AD19:$BA19)+'Model Setup'!$N$8*(SUMIF($BH$3:$CE$3,"&lt;"&amp;$DF19,$AD19:$BA19)+SUMIF($BH$3:$CE$3,"&gt;"&amp;$CW$4,$AD19:$BA19)),
IF(BT$3&lt;$CW$4,N19,0))))))))))))))),0)</f>
        <v>95</v>
      </c>
      <c r="BU19" s="47">
        <f>ROUND(IF(OR(BU$3&lt;$DF19,BU$3&gt;$CW$4),0,
IF(BU$3=$DF19+'Model Setup'!$B$7,SUMIF($BH$3:$CE$3,"="&amp;$DF19+'Model Setup'!$B$7,$AD19:$BA19)+'Model Setup'!$B$8*(SUMIF($BH$3:$CE$3,"&lt;"&amp;$DF19,$AD19:$BA19)+SUMIF($BH$3:$CE$3,"&gt;"&amp;$CW$4,$AD19:$BA19)),
IF(BU$3=$DF19+'Model Setup'!$C$7,SUMIF($BH$3:$CE$3,"="&amp;$DF19+'Model Setup'!$C$7,$AD19:$BA19)+'Model Setup'!$C$8*(SUMIF($BH$3:$CE$3,"&lt;"&amp;$DF19,$AD19:$BA19)+SUMIF($BH$3:$CE$3,"&gt;"&amp;$CW$4,$AD19:$BA19)),
IF(BU$3=$DF19+'Model Setup'!$D$7,SUMIF($BH$3:$CE$3,"="&amp;$DF19+'Model Setup'!$D$7,$AD19:$BA19)+'Model Setup'!$D$8*(SUMIF($BH$3:$CE$3,"&lt;"&amp;$DF19,$AD19:$BA19)+SUMIF($BH$3:$CE$3,"&gt;"&amp;$CW$4,$AD19:$BA19)),
IF(BU$3=$DF19+'Model Setup'!$E$7,SUMIF($BH$3:$CE$3,"="&amp;$DF19+'Model Setup'!$E$7,$AD19:$BA19)+'Model Setup'!$E$8*(SUMIF($BH$3:$CE$3,"&lt;"&amp;$DF19,$AD19:$BA19)+SUMIF($BH$3:$CE$3,"&gt;"&amp;$CW$4,$AD19:$BA19)),
IF(BU$3=$DF19+'Model Setup'!$F$7,SUMIF($BH$3:$CE$3,"="&amp;$DF19+'Model Setup'!$F$7,$AD19:$BA19)+'Model Setup'!$F$8*(SUMIF($BH$3:$CE$3,"&lt;"&amp;$DF19,$AD19:$BA19)+SUMIF($BH$3:$CE$3,"&gt;"&amp;$CW$4,$AD19:$BA19)),
IF(BU$3=$DF19+'Model Setup'!$G$7,SUMIF($BH$3:$CE$3,"="&amp;$DF19+'Model Setup'!$G$7,$AD19:$BA19)+'Model Setup'!$G$8*(SUMIF($BH$3:$CE$3,"&lt;"&amp;$DF19,$AD19:$BA19)+SUMIF($BH$3:$CE$3,"&gt;"&amp;$CW$4,$AD19:$BA19)),
IF(BU$3=$DF19+'Model Setup'!$H$7,SUMIF($BH$3:$CE$3,"="&amp;$DF19+'Model Setup'!$H$7,$AD19:$BA19)+'Model Setup'!$H$8*(SUMIF($BH$3:$CE$3,"&lt;"&amp;$DF19,$AD19:$BA19)+SUMIF($BH$3:$CE$3,"&gt;"&amp;$CW$4,$AD19:$BA19)),
IF(BU$3=$DF19+'Model Setup'!$I$7,SUMIF($BH$3:$CE$3,"="&amp;$DF19+'Model Setup'!$I$7,$AD19:$BA19)+'Model Setup'!$I$8*(SUMIF($BH$3:$CE$3,"&lt;"&amp;$DF19,$AD19:$BA19)+SUMIF($BH$3:$CE$3,"&gt;"&amp;$CW$4,$AD19:$BA19)),
IF(BU$3=$DF19+'Model Setup'!$J$7,SUMIF($BH$3:$CE$3,"="&amp;$DF19+'Model Setup'!$J$7,$AD19:$BA19)+'Model Setup'!$J$8*(SUMIF($BH$3:$CE$3,"&lt;"&amp;$DF19,$AD19:$BA19)+SUMIF($BH$3:$CE$3,"&gt;"&amp;$CW$4,$AD19:$BA19)),
IF(BU$3=$DF19+'Model Setup'!$K$7,SUMIF($BH$3:$CE$3,"="&amp;$DF19+'Model Setup'!$K$7,$AD19:$BA19)+'Model Setup'!$K$8*(SUMIF($BH$3:$CE$3,"&lt;"&amp;$DF19,$AD19:$BA19)+SUMIF($BH$3:$CE$3,"&gt;"&amp;$CW$4,$AD19:$BA19)),
IF(BU$3=$DF19+'Model Setup'!$L$7,SUMIF($BH$3:$CE$3,"="&amp;$DF19+'Model Setup'!$L$7,$AD19:$BA19)+'Model Setup'!$L$8*(SUMIF($BH$3:$CE$3,"&lt;"&amp;$DF19,$AD19:$BA19)+SUMIF($BH$3:$CE$3,"&gt;"&amp;$CW$4,$AD19:$BA19)),
IF(BU$3=$DF19+'Model Setup'!$M$7,SUMIF($BH$3:$CE$3,"="&amp;$DF19+'Model Setup'!$M$7,$AD19:$BA19)+'Model Setup'!$M$8*(SUMIF($BH$3:$CE$3,"&lt;"&amp;$DF19,$AD19:$BA19)+SUMIF($BH$3:$CE$3,"&gt;"&amp;$CW$4,$AD19:$BA19)),
IF(BU$3=$DF19+'Model Setup'!$N$7,SUMIF($BH$3:$CE$3,"="&amp;$DF19+'Model Setup'!$N$7,$AD19:$BA19)+'Model Setup'!$N$8*(SUMIF($BH$3:$CE$3,"&lt;"&amp;$DF19,$AD19:$BA19)+SUMIF($BH$3:$CE$3,"&gt;"&amp;$CW$4,$AD19:$BA19)),
IF(BU$3&lt;$CW$4,O19,0))))))))))))))),0)</f>
        <v>105</v>
      </c>
      <c r="BV19" s="47">
        <f>ROUND(IF(OR(BV$3&lt;$DF19,BV$3&gt;$CW$4),0,
IF(BV$3=$DF19+'Model Setup'!$B$7,SUMIF($BH$3:$CE$3,"="&amp;$DF19+'Model Setup'!$B$7,$AD19:$BA19)+'Model Setup'!$B$8*(SUMIF($BH$3:$CE$3,"&lt;"&amp;$DF19,$AD19:$BA19)+SUMIF($BH$3:$CE$3,"&gt;"&amp;$CW$4,$AD19:$BA19)),
IF(BV$3=$DF19+'Model Setup'!$C$7,SUMIF($BH$3:$CE$3,"="&amp;$DF19+'Model Setup'!$C$7,$AD19:$BA19)+'Model Setup'!$C$8*(SUMIF($BH$3:$CE$3,"&lt;"&amp;$DF19,$AD19:$BA19)+SUMIF($BH$3:$CE$3,"&gt;"&amp;$CW$4,$AD19:$BA19)),
IF(BV$3=$DF19+'Model Setup'!$D$7,SUMIF($BH$3:$CE$3,"="&amp;$DF19+'Model Setup'!$D$7,$AD19:$BA19)+'Model Setup'!$D$8*(SUMIF($BH$3:$CE$3,"&lt;"&amp;$DF19,$AD19:$BA19)+SUMIF($BH$3:$CE$3,"&gt;"&amp;$CW$4,$AD19:$BA19)),
IF(BV$3=$DF19+'Model Setup'!$E$7,SUMIF($BH$3:$CE$3,"="&amp;$DF19+'Model Setup'!$E$7,$AD19:$BA19)+'Model Setup'!$E$8*(SUMIF($BH$3:$CE$3,"&lt;"&amp;$DF19,$AD19:$BA19)+SUMIF($BH$3:$CE$3,"&gt;"&amp;$CW$4,$AD19:$BA19)),
IF(BV$3=$DF19+'Model Setup'!$F$7,SUMIF($BH$3:$CE$3,"="&amp;$DF19+'Model Setup'!$F$7,$AD19:$BA19)+'Model Setup'!$F$8*(SUMIF($BH$3:$CE$3,"&lt;"&amp;$DF19,$AD19:$BA19)+SUMIF($BH$3:$CE$3,"&gt;"&amp;$CW$4,$AD19:$BA19)),
IF(BV$3=$DF19+'Model Setup'!$G$7,SUMIF($BH$3:$CE$3,"="&amp;$DF19+'Model Setup'!$G$7,$AD19:$BA19)+'Model Setup'!$G$8*(SUMIF($BH$3:$CE$3,"&lt;"&amp;$DF19,$AD19:$BA19)+SUMIF($BH$3:$CE$3,"&gt;"&amp;$CW$4,$AD19:$BA19)),
IF(BV$3=$DF19+'Model Setup'!$H$7,SUMIF($BH$3:$CE$3,"="&amp;$DF19+'Model Setup'!$H$7,$AD19:$BA19)+'Model Setup'!$H$8*(SUMIF($BH$3:$CE$3,"&lt;"&amp;$DF19,$AD19:$BA19)+SUMIF($BH$3:$CE$3,"&gt;"&amp;$CW$4,$AD19:$BA19)),
IF(BV$3=$DF19+'Model Setup'!$I$7,SUMIF($BH$3:$CE$3,"="&amp;$DF19+'Model Setup'!$I$7,$AD19:$BA19)+'Model Setup'!$I$8*(SUMIF($BH$3:$CE$3,"&lt;"&amp;$DF19,$AD19:$BA19)+SUMIF($BH$3:$CE$3,"&gt;"&amp;$CW$4,$AD19:$BA19)),
IF(BV$3=$DF19+'Model Setup'!$J$7,SUMIF($BH$3:$CE$3,"="&amp;$DF19+'Model Setup'!$J$7,$AD19:$BA19)+'Model Setup'!$J$8*(SUMIF($BH$3:$CE$3,"&lt;"&amp;$DF19,$AD19:$BA19)+SUMIF($BH$3:$CE$3,"&gt;"&amp;$CW$4,$AD19:$BA19)),
IF(BV$3=$DF19+'Model Setup'!$K$7,SUMIF($BH$3:$CE$3,"="&amp;$DF19+'Model Setup'!$K$7,$AD19:$BA19)+'Model Setup'!$K$8*(SUMIF($BH$3:$CE$3,"&lt;"&amp;$DF19,$AD19:$BA19)+SUMIF($BH$3:$CE$3,"&gt;"&amp;$CW$4,$AD19:$BA19)),
IF(BV$3=$DF19+'Model Setup'!$L$7,SUMIF($BH$3:$CE$3,"="&amp;$DF19+'Model Setup'!$L$7,$AD19:$BA19)+'Model Setup'!$L$8*(SUMIF($BH$3:$CE$3,"&lt;"&amp;$DF19,$AD19:$BA19)+SUMIF($BH$3:$CE$3,"&gt;"&amp;$CW$4,$AD19:$BA19)),
IF(BV$3=$DF19+'Model Setup'!$M$7,SUMIF($BH$3:$CE$3,"="&amp;$DF19+'Model Setup'!$M$7,$AD19:$BA19)+'Model Setup'!$M$8*(SUMIF($BH$3:$CE$3,"&lt;"&amp;$DF19,$AD19:$BA19)+SUMIF($BH$3:$CE$3,"&gt;"&amp;$CW$4,$AD19:$BA19)),
IF(BV$3=$DF19+'Model Setup'!$N$7,SUMIF($BH$3:$CE$3,"="&amp;$DF19+'Model Setup'!$N$7,$AD19:$BA19)+'Model Setup'!$N$8*(SUMIF($BH$3:$CE$3,"&lt;"&amp;$DF19,$AD19:$BA19)+SUMIF($BH$3:$CE$3,"&gt;"&amp;$CW$4,$AD19:$BA19)),
IF(BV$3&lt;$CW$4,P19,0))))))))))))))),0)</f>
        <v>79</v>
      </c>
      <c r="BW19" s="47">
        <f>ROUND(IF(OR(BW$3&lt;$DF19,BW$3&gt;$CW$4),0,
IF(BW$3=$DF19+'Model Setup'!$B$7,SUMIF($BH$3:$CE$3,"="&amp;$DF19+'Model Setup'!$B$7,$AD19:$BA19)+'Model Setup'!$B$8*(SUMIF($BH$3:$CE$3,"&lt;"&amp;$DF19,$AD19:$BA19)+SUMIF($BH$3:$CE$3,"&gt;"&amp;$CW$4,$AD19:$BA19)),
IF(BW$3=$DF19+'Model Setup'!$C$7,SUMIF($BH$3:$CE$3,"="&amp;$DF19+'Model Setup'!$C$7,$AD19:$BA19)+'Model Setup'!$C$8*(SUMIF($BH$3:$CE$3,"&lt;"&amp;$DF19,$AD19:$BA19)+SUMIF($BH$3:$CE$3,"&gt;"&amp;$CW$4,$AD19:$BA19)),
IF(BW$3=$DF19+'Model Setup'!$D$7,SUMIF($BH$3:$CE$3,"="&amp;$DF19+'Model Setup'!$D$7,$AD19:$BA19)+'Model Setup'!$D$8*(SUMIF($BH$3:$CE$3,"&lt;"&amp;$DF19,$AD19:$BA19)+SUMIF($BH$3:$CE$3,"&gt;"&amp;$CW$4,$AD19:$BA19)),
IF(BW$3=$DF19+'Model Setup'!$E$7,SUMIF($BH$3:$CE$3,"="&amp;$DF19+'Model Setup'!$E$7,$AD19:$BA19)+'Model Setup'!$E$8*(SUMIF($BH$3:$CE$3,"&lt;"&amp;$DF19,$AD19:$BA19)+SUMIF($BH$3:$CE$3,"&gt;"&amp;$CW$4,$AD19:$BA19)),
IF(BW$3=$DF19+'Model Setup'!$F$7,SUMIF($BH$3:$CE$3,"="&amp;$DF19+'Model Setup'!$F$7,$AD19:$BA19)+'Model Setup'!$F$8*(SUMIF($BH$3:$CE$3,"&lt;"&amp;$DF19,$AD19:$BA19)+SUMIF($BH$3:$CE$3,"&gt;"&amp;$CW$4,$AD19:$BA19)),
IF(BW$3=$DF19+'Model Setup'!$G$7,SUMIF($BH$3:$CE$3,"="&amp;$DF19+'Model Setup'!$G$7,$AD19:$BA19)+'Model Setup'!$G$8*(SUMIF($BH$3:$CE$3,"&lt;"&amp;$DF19,$AD19:$BA19)+SUMIF($BH$3:$CE$3,"&gt;"&amp;$CW$4,$AD19:$BA19)),
IF(BW$3=$DF19+'Model Setup'!$H$7,SUMIF($BH$3:$CE$3,"="&amp;$DF19+'Model Setup'!$H$7,$AD19:$BA19)+'Model Setup'!$H$8*(SUMIF($BH$3:$CE$3,"&lt;"&amp;$DF19,$AD19:$BA19)+SUMIF($BH$3:$CE$3,"&gt;"&amp;$CW$4,$AD19:$BA19)),
IF(BW$3=$DF19+'Model Setup'!$I$7,SUMIF($BH$3:$CE$3,"="&amp;$DF19+'Model Setup'!$I$7,$AD19:$BA19)+'Model Setup'!$I$8*(SUMIF($BH$3:$CE$3,"&lt;"&amp;$DF19,$AD19:$BA19)+SUMIF($BH$3:$CE$3,"&gt;"&amp;$CW$4,$AD19:$BA19)),
IF(BW$3=$DF19+'Model Setup'!$J$7,SUMIF($BH$3:$CE$3,"="&amp;$DF19+'Model Setup'!$J$7,$AD19:$BA19)+'Model Setup'!$J$8*(SUMIF($BH$3:$CE$3,"&lt;"&amp;$DF19,$AD19:$BA19)+SUMIF($BH$3:$CE$3,"&gt;"&amp;$CW$4,$AD19:$BA19)),
IF(BW$3=$DF19+'Model Setup'!$K$7,SUMIF($BH$3:$CE$3,"="&amp;$DF19+'Model Setup'!$K$7,$AD19:$BA19)+'Model Setup'!$K$8*(SUMIF($BH$3:$CE$3,"&lt;"&amp;$DF19,$AD19:$BA19)+SUMIF($BH$3:$CE$3,"&gt;"&amp;$CW$4,$AD19:$BA19)),
IF(BW$3=$DF19+'Model Setup'!$L$7,SUMIF($BH$3:$CE$3,"="&amp;$DF19+'Model Setup'!$L$7,$AD19:$BA19)+'Model Setup'!$L$8*(SUMIF($BH$3:$CE$3,"&lt;"&amp;$DF19,$AD19:$BA19)+SUMIF($BH$3:$CE$3,"&gt;"&amp;$CW$4,$AD19:$BA19)),
IF(BW$3=$DF19+'Model Setup'!$M$7,SUMIF($BH$3:$CE$3,"="&amp;$DF19+'Model Setup'!$M$7,$AD19:$BA19)+'Model Setup'!$M$8*(SUMIF($BH$3:$CE$3,"&lt;"&amp;$DF19,$AD19:$BA19)+SUMIF($BH$3:$CE$3,"&gt;"&amp;$CW$4,$AD19:$BA19)),
IF(BW$3=$DF19+'Model Setup'!$N$7,SUMIF($BH$3:$CE$3,"="&amp;$DF19+'Model Setup'!$N$7,$AD19:$BA19)+'Model Setup'!$N$8*(SUMIF($BH$3:$CE$3,"&lt;"&amp;$DF19,$AD19:$BA19)+SUMIF($BH$3:$CE$3,"&gt;"&amp;$CW$4,$AD19:$BA19)),
IF(BW$3&lt;$CW$4,Q19,0))))))))))))))),0)</f>
        <v>58</v>
      </c>
      <c r="BX19" s="47">
        <f>ROUND(IF(OR(BX$3&lt;$DF19,BX$3&gt;$CW$4),0,
IF(BX$3=$DF19+'Model Setup'!$B$7,SUMIF($BH$3:$CE$3,"="&amp;$DF19+'Model Setup'!$B$7,$AD19:$BA19)+'Model Setup'!$B$8*(SUMIF($BH$3:$CE$3,"&lt;"&amp;$DF19,$AD19:$BA19)+SUMIF($BH$3:$CE$3,"&gt;"&amp;$CW$4,$AD19:$BA19)),
IF(BX$3=$DF19+'Model Setup'!$C$7,SUMIF($BH$3:$CE$3,"="&amp;$DF19+'Model Setup'!$C$7,$AD19:$BA19)+'Model Setup'!$C$8*(SUMIF($BH$3:$CE$3,"&lt;"&amp;$DF19,$AD19:$BA19)+SUMIF($BH$3:$CE$3,"&gt;"&amp;$CW$4,$AD19:$BA19)),
IF(BX$3=$DF19+'Model Setup'!$D$7,SUMIF($BH$3:$CE$3,"="&amp;$DF19+'Model Setup'!$D$7,$AD19:$BA19)+'Model Setup'!$D$8*(SUMIF($BH$3:$CE$3,"&lt;"&amp;$DF19,$AD19:$BA19)+SUMIF($BH$3:$CE$3,"&gt;"&amp;$CW$4,$AD19:$BA19)),
IF(BX$3=$DF19+'Model Setup'!$E$7,SUMIF($BH$3:$CE$3,"="&amp;$DF19+'Model Setup'!$E$7,$AD19:$BA19)+'Model Setup'!$E$8*(SUMIF($BH$3:$CE$3,"&lt;"&amp;$DF19,$AD19:$BA19)+SUMIF($BH$3:$CE$3,"&gt;"&amp;$CW$4,$AD19:$BA19)),
IF(BX$3=$DF19+'Model Setup'!$F$7,SUMIF($BH$3:$CE$3,"="&amp;$DF19+'Model Setup'!$F$7,$AD19:$BA19)+'Model Setup'!$F$8*(SUMIF($BH$3:$CE$3,"&lt;"&amp;$DF19,$AD19:$BA19)+SUMIF($BH$3:$CE$3,"&gt;"&amp;$CW$4,$AD19:$BA19)),
IF(BX$3=$DF19+'Model Setup'!$G$7,SUMIF($BH$3:$CE$3,"="&amp;$DF19+'Model Setup'!$G$7,$AD19:$BA19)+'Model Setup'!$G$8*(SUMIF($BH$3:$CE$3,"&lt;"&amp;$DF19,$AD19:$BA19)+SUMIF($BH$3:$CE$3,"&gt;"&amp;$CW$4,$AD19:$BA19)),
IF(BX$3=$DF19+'Model Setup'!$H$7,SUMIF($BH$3:$CE$3,"="&amp;$DF19+'Model Setup'!$H$7,$AD19:$BA19)+'Model Setup'!$H$8*(SUMIF($BH$3:$CE$3,"&lt;"&amp;$DF19,$AD19:$BA19)+SUMIF($BH$3:$CE$3,"&gt;"&amp;$CW$4,$AD19:$BA19)),
IF(BX$3=$DF19+'Model Setup'!$I$7,SUMIF($BH$3:$CE$3,"="&amp;$DF19+'Model Setup'!$I$7,$AD19:$BA19)+'Model Setup'!$I$8*(SUMIF($BH$3:$CE$3,"&lt;"&amp;$DF19,$AD19:$BA19)+SUMIF($BH$3:$CE$3,"&gt;"&amp;$CW$4,$AD19:$BA19)),
IF(BX$3=$DF19+'Model Setup'!$J$7,SUMIF($BH$3:$CE$3,"="&amp;$DF19+'Model Setup'!$J$7,$AD19:$BA19)+'Model Setup'!$J$8*(SUMIF($BH$3:$CE$3,"&lt;"&amp;$DF19,$AD19:$BA19)+SUMIF($BH$3:$CE$3,"&gt;"&amp;$CW$4,$AD19:$BA19)),
IF(BX$3=$DF19+'Model Setup'!$K$7,SUMIF($BH$3:$CE$3,"="&amp;$DF19+'Model Setup'!$K$7,$AD19:$BA19)+'Model Setup'!$K$8*(SUMIF($BH$3:$CE$3,"&lt;"&amp;$DF19,$AD19:$BA19)+SUMIF($BH$3:$CE$3,"&gt;"&amp;$CW$4,$AD19:$BA19)),
IF(BX$3=$DF19+'Model Setup'!$L$7,SUMIF($BH$3:$CE$3,"="&amp;$DF19+'Model Setup'!$L$7,$AD19:$BA19)+'Model Setup'!$L$8*(SUMIF($BH$3:$CE$3,"&lt;"&amp;$DF19,$AD19:$BA19)+SUMIF($BH$3:$CE$3,"&gt;"&amp;$CW$4,$AD19:$BA19)),
IF(BX$3=$DF19+'Model Setup'!$M$7,SUMIF($BH$3:$CE$3,"="&amp;$DF19+'Model Setup'!$M$7,$AD19:$BA19)+'Model Setup'!$M$8*(SUMIF($BH$3:$CE$3,"&lt;"&amp;$DF19,$AD19:$BA19)+SUMIF($BH$3:$CE$3,"&gt;"&amp;$CW$4,$AD19:$BA19)),
IF(BX$3=$DF19+'Model Setup'!$N$7,SUMIF($BH$3:$CE$3,"="&amp;$DF19+'Model Setup'!$N$7,$AD19:$BA19)+'Model Setup'!$N$8*(SUMIF($BH$3:$CE$3,"&lt;"&amp;$DF19,$AD19:$BA19)+SUMIF($BH$3:$CE$3,"&gt;"&amp;$CW$4,$AD19:$BA19)),
IF(BX$3&lt;$CW$4,R19,0))))))))))))))),0)</f>
        <v>34</v>
      </c>
      <c r="BY19" s="47">
        <f>ROUND(IF(OR(BY$3&lt;$DF19,BY$3&gt;$CW$4),0,
IF(BY$3=$DF19+'Model Setup'!$B$7,SUMIF($BH$3:$CE$3,"="&amp;$DF19+'Model Setup'!$B$7,$AD19:$BA19)+'Model Setup'!$B$8*(SUMIF($BH$3:$CE$3,"&lt;"&amp;$DF19,$AD19:$BA19)+SUMIF($BH$3:$CE$3,"&gt;"&amp;$CW$4,$AD19:$BA19)),
IF(BY$3=$DF19+'Model Setup'!$C$7,SUMIF($BH$3:$CE$3,"="&amp;$DF19+'Model Setup'!$C$7,$AD19:$BA19)+'Model Setup'!$C$8*(SUMIF($BH$3:$CE$3,"&lt;"&amp;$DF19,$AD19:$BA19)+SUMIF($BH$3:$CE$3,"&gt;"&amp;$CW$4,$AD19:$BA19)),
IF(BY$3=$DF19+'Model Setup'!$D$7,SUMIF($BH$3:$CE$3,"="&amp;$DF19+'Model Setup'!$D$7,$AD19:$BA19)+'Model Setup'!$D$8*(SUMIF($BH$3:$CE$3,"&lt;"&amp;$DF19,$AD19:$BA19)+SUMIF($BH$3:$CE$3,"&gt;"&amp;$CW$4,$AD19:$BA19)),
IF(BY$3=$DF19+'Model Setup'!$E$7,SUMIF($BH$3:$CE$3,"="&amp;$DF19+'Model Setup'!$E$7,$AD19:$BA19)+'Model Setup'!$E$8*(SUMIF($BH$3:$CE$3,"&lt;"&amp;$DF19,$AD19:$BA19)+SUMIF($BH$3:$CE$3,"&gt;"&amp;$CW$4,$AD19:$BA19)),
IF(BY$3=$DF19+'Model Setup'!$F$7,SUMIF($BH$3:$CE$3,"="&amp;$DF19+'Model Setup'!$F$7,$AD19:$BA19)+'Model Setup'!$F$8*(SUMIF($BH$3:$CE$3,"&lt;"&amp;$DF19,$AD19:$BA19)+SUMIF($BH$3:$CE$3,"&gt;"&amp;$CW$4,$AD19:$BA19)),
IF(BY$3=$DF19+'Model Setup'!$G$7,SUMIF($BH$3:$CE$3,"="&amp;$DF19+'Model Setup'!$G$7,$AD19:$BA19)+'Model Setup'!$G$8*(SUMIF($BH$3:$CE$3,"&lt;"&amp;$DF19,$AD19:$BA19)+SUMIF($BH$3:$CE$3,"&gt;"&amp;$CW$4,$AD19:$BA19)),
IF(BY$3=$DF19+'Model Setup'!$H$7,SUMIF($BH$3:$CE$3,"="&amp;$DF19+'Model Setup'!$H$7,$AD19:$BA19)+'Model Setup'!$H$8*(SUMIF($BH$3:$CE$3,"&lt;"&amp;$DF19,$AD19:$BA19)+SUMIF($BH$3:$CE$3,"&gt;"&amp;$CW$4,$AD19:$BA19)),
IF(BY$3=$DF19+'Model Setup'!$I$7,SUMIF($BH$3:$CE$3,"="&amp;$DF19+'Model Setup'!$I$7,$AD19:$BA19)+'Model Setup'!$I$8*(SUMIF($BH$3:$CE$3,"&lt;"&amp;$DF19,$AD19:$BA19)+SUMIF($BH$3:$CE$3,"&gt;"&amp;$CW$4,$AD19:$BA19)),
IF(BY$3=$DF19+'Model Setup'!$J$7,SUMIF($BH$3:$CE$3,"="&amp;$DF19+'Model Setup'!$J$7,$AD19:$BA19)+'Model Setup'!$J$8*(SUMIF($BH$3:$CE$3,"&lt;"&amp;$DF19,$AD19:$BA19)+SUMIF($BH$3:$CE$3,"&gt;"&amp;$CW$4,$AD19:$BA19)),
IF(BY$3=$DF19+'Model Setup'!$K$7,SUMIF($BH$3:$CE$3,"="&amp;$DF19+'Model Setup'!$K$7,$AD19:$BA19)+'Model Setup'!$K$8*(SUMIF($BH$3:$CE$3,"&lt;"&amp;$DF19,$AD19:$BA19)+SUMIF($BH$3:$CE$3,"&gt;"&amp;$CW$4,$AD19:$BA19)),
IF(BY$3=$DF19+'Model Setup'!$L$7,SUMIF($BH$3:$CE$3,"="&amp;$DF19+'Model Setup'!$L$7,$AD19:$BA19)+'Model Setup'!$L$8*(SUMIF($BH$3:$CE$3,"&lt;"&amp;$DF19,$AD19:$BA19)+SUMIF($BH$3:$CE$3,"&gt;"&amp;$CW$4,$AD19:$BA19)),
IF(BY$3=$DF19+'Model Setup'!$M$7,SUMIF($BH$3:$CE$3,"="&amp;$DF19+'Model Setup'!$M$7,$AD19:$BA19)+'Model Setup'!$M$8*(SUMIF($BH$3:$CE$3,"&lt;"&amp;$DF19,$AD19:$BA19)+SUMIF($BH$3:$CE$3,"&gt;"&amp;$CW$4,$AD19:$BA19)),
IF(BY$3=$DF19+'Model Setup'!$N$7,SUMIF($BH$3:$CE$3,"="&amp;$DF19+'Model Setup'!$N$7,$AD19:$BA19)+'Model Setup'!$N$8*(SUMIF($BH$3:$CE$3,"&lt;"&amp;$DF19,$AD19:$BA19)+SUMIF($BH$3:$CE$3,"&gt;"&amp;$CW$4,$AD19:$BA19)),
IF(BY$3&lt;$CW$4,S19,0))))))))))))))),0)</f>
        <v>123</v>
      </c>
      <c r="BZ19" s="47">
        <f>ROUND(IF(OR(BZ$3&lt;$DF19,BZ$3&gt;$CW$4),0,
IF(BZ$3=$DF19+'Model Setup'!$B$7,SUMIF($BH$3:$CE$3,"="&amp;$DF19+'Model Setup'!$B$7,$AD19:$BA19)+'Model Setup'!$B$8*(SUMIF($BH$3:$CE$3,"&lt;"&amp;$DF19,$AD19:$BA19)+SUMIF($BH$3:$CE$3,"&gt;"&amp;$CW$4,$AD19:$BA19)),
IF(BZ$3=$DF19+'Model Setup'!$C$7,SUMIF($BH$3:$CE$3,"="&amp;$DF19+'Model Setup'!$C$7,$AD19:$BA19)+'Model Setup'!$C$8*(SUMIF($BH$3:$CE$3,"&lt;"&amp;$DF19,$AD19:$BA19)+SUMIF($BH$3:$CE$3,"&gt;"&amp;$CW$4,$AD19:$BA19)),
IF(BZ$3=$DF19+'Model Setup'!$D$7,SUMIF($BH$3:$CE$3,"="&amp;$DF19+'Model Setup'!$D$7,$AD19:$BA19)+'Model Setup'!$D$8*(SUMIF($BH$3:$CE$3,"&lt;"&amp;$DF19,$AD19:$BA19)+SUMIF($BH$3:$CE$3,"&gt;"&amp;$CW$4,$AD19:$BA19)),
IF(BZ$3=$DF19+'Model Setup'!$E$7,SUMIF($BH$3:$CE$3,"="&amp;$DF19+'Model Setup'!$E$7,$AD19:$BA19)+'Model Setup'!$E$8*(SUMIF($BH$3:$CE$3,"&lt;"&amp;$DF19,$AD19:$BA19)+SUMIF($BH$3:$CE$3,"&gt;"&amp;$CW$4,$AD19:$BA19)),
IF(BZ$3=$DF19+'Model Setup'!$F$7,SUMIF($BH$3:$CE$3,"="&amp;$DF19+'Model Setup'!$F$7,$AD19:$BA19)+'Model Setup'!$F$8*(SUMIF($BH$3:$CE$3,"&lt;"&amp;$DF19,$AD19:$BA19)+SUMIF($BH$3:$CE$3,"&gt;"&amp;$CW$4,$AD19:$BA19)),
IF(BZ$3=$DF19+'Model Setup'!$G$7,SUMIF($BH$3:$CE$3,"="&amp;$DF19+'Model Setup'!$G$7,$AD19:$BA19)+'Model Setup'!$G$8*(SUMIF($BH$3:$CE$3,"&lt;"&amp;$DF19,$AD19:$BA19)+SUMIF($BH$3:$CE$3,"&gt;"&amp;$CW$4,$AD19:$BA19)),
IF(BZ$3=$DF19+'Model Setup'!$H$7,SUMIF($BH$3:$CE$3,"="&amp;$DF19+'Model Setup'!$H$7,$AD19:$BA19)+'Model Setup'!$H$8*(SUMIF($BH$3:$CE$3,"&lt;"&amp;$DF19,$AD19:$BA19)+SUMIF($BH$3:$CE$3,"&gt;"&amp;$CW$4,$AD19:$BA19)),
IF(BZ$3=$DF19+'Model Setup'!$I$7,SUMIF($BH$3:$CE$3,"="&amp;$DF19+'Model Setup'!$I$7,$AD19:$BA19)+'Model Setup'!$I$8*(SUMIF($BH$3:$CE$3,"&lt;"&amp;$DF19,$AD19:$BA19)+SUMIF($BH$3:$CE$3,"&gt;"&amp;$CW$4,$AD19:$BA19)),
IF(BZ$3=$DF19+'Model Setup'!$J$7,SUMIF($BH$3:$CE$3,"="&amp;$DF19+'Model Setup'!$J$7,$AD19:$BA19)+'Model Setup'!$J$8*(SUMIF($BH$3:$CE$3,"&lt;"&amp;$DF19,$AD19:$BA19)+SUMIF($BH$3:$CE$3,"&gt;"&amp;$CW$4,$AD19:$BA19)),
IF(BZ$3=$DF19+'Model Setup'!$K$7,SUMIF($BH$3:$CE$3,"="&amp;$DF19+'Model Setup'!$K$7,$AD19:$BA19)+'Model Setup'!$K$8*(SUMIF($BH$3:$CE$3,"&lt;"&amp;$DF19,$AD19:$BA19)+SUMIF($BH$3:$CE$3,"&gt;"&amp;$CW$4,$AD19:$BA19)),
IF(BZ$3=$DF19+'Model Setup'!$L$7,SUMIF($BH$3:$CE$3,"="&amp;$DF19+'Model Setup'!$L$7,$AD19:$BA19)+'Model Setup'!$L$8*(SUMIF($BH$3:$CE$3,"&lt;"&amp;$DF19,$AD19:$BA19)+SUMIF($BH$3:$CE$3,"&gt;"&amp;$CW$4,$AD19:$BA19)),
IF(BZ$3=$DF19+'Model Setup'!$M$7,SUMIF($BH$3:$CE$3,"="&amp;$DF19+'Model Setup'!$M$7,$AD19:$BA19)+'Model Setup'!$M$8*(SUMIF($BH$3:$CE$3,"&lt;"&amp;$DF19,$AD19:$BA19)+SUMIF($BH$3:$CE$3,"&gt;"&amp;$CW$4,$AD19:$BA19)),
IF(BZ$3=$DF19+'Model Setup'!$N$7,SUMIF($BH$3:$CE$3,"="&amp;$DF19+'Model Setup'!$N$7,$AD19:$BA19)+'Model Setup'!$N$8*(SUMIF($BH$3:$CE$3,"&lt;"&amp;$DF19,$AD19:$BA19)+SUMIF($BH$3:$CE$3,"&gt;"&amp;$CW$4,$AD19:$BA19)),
IF(BZ$3&lt;$CW$4,T19,0))))))))))))))),0)</f>
        <v>150</v>
      </c>
      <c r="CA19" s="47">
        <f>ROUND(IF(OR(CA$3&lt;$DF19,CA$3&gt;$CW$4),0,
IF(CA$3=$DF19+'Model Setup'!$B$7,SUMIF($BH$3:$CE$3,"="&amp;$DF19+'Model Setup'!$B$7,$AD19:$BA19)+'Model Setup'!$B$8*(SUMIF($BH$3:$CE$3,"&lt;"&amp;$DF19,$AD19:$BA19)+SUMIF($BH$3:$CE$3,"&gt;"&amp;$CW$4,$AD19:$BA19)),
IF(CA$3=$DF19+'Model Setup'!$C$7,SUMIF($BH$3:$CE$3,"="&amp;$DF19+'Model Setup'!$C$7,$AD19:$BA19)+'Model Setup'!$C$8*(SUMIF($BH$3:$CE$3,"&lt;"&amp;$DF19,$AD19:$BA19)+SUMIF($BH$3:$CE$3,"&gt;"&amp;$CW$4,$AD19:$BA19)),
IF(CA$3=$DF19+'Model Setup'!$D$7,SUMIF($BH$3:$CE$3,"="&amp;$DF19+'Model Setup'!$D$7,$AD19:$BA19)+'Model Setup'!$D$8*(SUMIF($BH$3:$CE$3,"&lt;"&amp;$DF19,$AD19:$BA19)+SUMIF($BH$3:$CE$3,"&gt;"&amp;$CW$4,$AD19:$BA19)),
IF(CA$3=$DF19+'Model Setup'!$E$7,SUMIF($BH$3:$CE$3,"="&amp;$DF19+'Model Setup'!$E$7,$AD19:$BA19)+'Model Setup'!$E$8*(SUMIF($BH$3:$CE$3,"&lt;"&amp;$DF19,$AD19:$BA19)+SUMIF($BH$3:$CE$3,"&gt;"&amp;$CW$4,$AD19:$BA19)),
IF(CA$3=$DF19+'Model Setup'!$F$7,SUMIF($BH$3:$CE$3,"="&amp;$DF19+'Model Setup'!$F$7,$AD19:$BA19)+'Model Setup'!$F$8*(SUMIF($BH$3:$CE$3,"&lt;"&amp;$DF19,$AD19:$BA19)+SUMIF($BH$3:$CE$3,"&gt;"&amp;$CW$4,$AD19:$BA19)),
IF(CA$3=$DF19+'Model Setup'!$G$7,SUMIF($BH$3:$CE$3,"="&amp;$DF19+'Model Setup'!$G$7,$AD19:$BA19)+'Model Setup'!$G$8*(SUMIF($BH$3:$CE$3,"&lt;"&amp;$DF19,$AD19:$BA19)+SUMIF($BH$3:$CE$3,"&gt;"&amp;$CW$4,$AD19:$BA19)),
IF(CA$3=$DF19+'Model Setup'!$H$7,SUMIF($BH$3:$CE$3,"="&amp;$DF19+'Model Setup'!$H$7,$AD19:$BA19)+'Model Setup'!$H$8*(SUMIF($BH$3:$CE$3,"&lt;"&amp;$DF19,$AD19:$BA19)+SUMIF($BH$3:$CE$3,"&gt;"&amp;$CW$4,$AD19:$BA19)),
IF(CA$3=$DF19+'Model Setup'!$I$7,SUMIF($BH$3:$CE$3,"="&amp;$DF19+'Model Setup'!$I$7,$AD19:$BA19)+'Model Setup'!$I$8*(SUMIF($BH$3:$CE$3,"&lt;"&amp;$DF19,$AD19:$BA19)+SUMIF($BH$3:$CE$3,"&gt;"&amp;$CW$4,$AD19:$BA19)),
IF(CA$3=$DF19+'Model Setup'!$J$7,SUMIF($BH$3:$CE$3,"="&amp;$DF19+'Model Setup'!$J$7,$AD19:$BA19)+'Model Setup'!$J$8*(SUMIF($BH$3:$CE$3,"&lt;"&amp;$DF19,$AD19:$BA19)+SUMIF($BH$3:$CE$3,"&gt;"&amp;$CW$4,$AD19:$BA19)),
IF(CA$3=$DF19+'Model Setup'!$K$7,SUMIF($BH$3:$CE$3,"="&amp;$DF19+'Model Setup'!$K$7,$AD19:$BA19)+'Model Setup'!$K$8*(SUMIF($BH$3:$CE$3,"&lt;"&amp;$DF19,$AD19:$BA19)+SUMIF($BH$3:$CE$3,"&gt;"&amp;$CW$4,$AD19:$BA19)),
IF(CA$3=$DF19+'Model Setup'!$L$7,SUMIF($BH$3:$CE$3,"="&amp;$DF19+'Model Setup'!$L$7,$AD19:$BA19)+'Model Setup'!$L$8*(SUMIF($BH$3:$CE$3,"&lt;"&amp;$DF19,$AD19:$BA19)+SUMIF($BH$3:$CE$3,"&gt;"&amp;$CW$4,$AD19:$BA19)),
IF(CA$3=$DF19+'Model Setup'!$M$7,SUMIF($BH$3:$CE$3,"="&amp;$DF19+'Model Setup'!$M$7,$AD19:$BA19)+'Model Setup'!$M$8*(SUMIF($BH$3:$CE$3,"&lt;"&amp;$DF19,$AD19:$BA19)+SUMIF($BH$3:$CE$3,"&gt;"&amp;$CW$4,$AD19:$BA19)),
IF(CA$3=$DF19+'Model Setup'!$N$7,SUMIF($BH$3:$CE$3,"="&amp;$DF19+'Model Setup'!$N$7,$AD19:$BA19)+'Model Setup'!$N$8*(SUMIF($BH$3:$CE$3,"&lt;"&amp;$DF19,$AD19:$BA19)+SUMIF($BH$3:$CE$3,"&gt;"&amp;$CW$4,$AD19:$BA19)),
IF(CA$3&lt;$CW$4,U19,0))))))))))))))),0)</f>
        <v>0</v>
      </c>
      <c r="CB19" s="47">
        <f>ROUND(IF(OR(CB$3&lt;$DF19,CB$3&gt;$CW$4),0,
IF(CB$3=$DF19+'Model Setup'!$B$7,SUMIF($BH$3:$CE$3,"="&amp;$DF19+'Model Setup'!$B$7,$AD19:$BA19)+'Model Setup'!$B$8*(SUMIF($BH$3:$CE$3,"&lt;"&amp;$DF19,$AD19:$BA19)+SUMIF($BH$3:$CE$3,"&gt;"&amp;$CW$4,$AD19:$BA19)),
IF(CB$3=$DF19+'Model Setup'!$C$7,SUMIF($BH$3:$CE$3,"="&amp;$DF19+'Model Setup'!$C$7,$AD19:$BA19)+'Model Setup'!$C$8*(SUMIF($BH$3:$CE$3,"&lt;"&amp;$DF19,$AD19:$BA19)+SUMIF($BH$3:$CE$3,"&gt;"&amp;$CW$4,$AD19:$BA19)),
IF(CB$3=$DF19+'Model Setup'!$D$7,SUMIF($BH$3:$CE$3,"="&amp;$DF19+'Model Setup'!$D$7,$AD19:$BA19)+'Model Setup'!$D$8*(SUMIF($BH$3:$CE$3,"&lt;"&amp;$DF19,$AD19:$BA19)+SUMIF($BH$3:$CE$3,"&gt;"&amp;$CW$4,$AD19:$BA19)),
IF(CB$3=$DF19+'Model Setup'!$E$7,SUMIF($BH$3:$CE$3,"="&amp;$DF19+'Model Setup'!$E$7,$AD19:$BA19)+'Model Setup'!$E$8*(SUMIF($BH$3:$CE$3,"&lt;"&amp;$DF19,$AD19:$BA19)+SUMIF($BH$3:$CE$3,"&gt;"&amp;$CW$4,$AD19:$BA19)),
IF(CB$3=$DF19+'Model Setup'!$F$7,SUMIF($BH$3:$CE$3,"="&amp;$DF19+'Model Setup'!$F$7,$AD19:$BA19)+'Model Setup'!$F$8*(SUMIF($BH$3:$CE$3,"&lt;"&amp;$DF19,$AD19:$BA19)+SUMIF($BH$3:$CE$3,"&gt;"&amp;$CW$4,$AD19:$BA19)),
IF(CB$3=$DF19+'Model Setup'!$G$7,SUMIF($BH$3:$CE$3,"="&amp;$DF19+'Model Setup'!$G$7,$AD19:$BA19)+'Model Setup'!$G$8*(SUMIF($BH$3:$CE$3,"&lt;"&amp;$DF19,$AD19:$BA19)+SUMIF($BH$3:$CE$3,"&gt;"&amp;$CW$4,$AD19:$BA19)),
IF(CB$3=$DF19+'Model Setup'!$H$7,SUMIF($BH$3:$CE$3,"="&amp;$DF19+'Model Setup'!$H$7,$AD19:$BA19)+'Model Setup'!$H$8*(SUMIF($BH$3:$CE$3,"&lt;"&amp;$DF19,$AD19:$BA19)+SUMIF($BH$3:$CE$3,"&gt;"&amp;$CW$4,$AD19:$BA19)),
IF(CB$3=$DF19+'Model Setup'!$I$7,SUMIF($BH$3:$CE$3,"="&amp;$DF19+'Model Setup'!$I$7,$AD19:$BA19)+'Model Setup'!$I$8*(SUMIF($BH$3:$CE$3,"&lt;"&amp;$DF19,$AD19:$BA19)+SUMIF($BH$3:$CE$3,"&gt;"&amp;$CW$4,$AD19:$BA19)),
IF(CB$3=$DF19+'Model Setup'!$J$7,SUMIF($BH$3:$CE$3,"="&amp;$DF19+'Model Setup'!$J$7,$AD19:$BA19)+'Model Setup'!$J$8*(SUMIF($BH$3:$CE$3,"&lt;"&amp;$DF19,$AD19:$BA19)+SUMIF($BH$3:$CE$3,"&gt;"&amp;$CW$4,$AD19:$BA19)),
IF(CB$3=$DF19+'Model Setup'!$K$7,SUMIF($BH$3:$CE$3,"="&amp;$DF19+'Model Setup'!$K$7,$AD19:$BA19)+'Model Setup'!$K$8*(SUMIF($BH$3:$CE$3,"&lt;"&amp;$DF19,$AD19:$BA19)+SUMIF($BH$3:$CE$3,"&gt;"&amp;$CW$4,$AD19:$BA19)),
IF(CB$3=$DF19+'Model Setup'!$L$7,SUMIF($BH$3:$CE$3,"="&amp;$DF19+'Model Setup'!$L$7,$AD19:$BA19)+'Model Setup'!$L$8*(SUMIF($BH$3:$CE$3,"&lt;"&amp;$DF19,$AD19:$BA19)+SUMIF($BH$3:$CE$3,"&gt;"&amp;$CW$4,$AD19:$BA19)),
IF(CB$3=$DF19+'Model Setup'!$M$7,SUMIF($BH$3:$CE$3,"="&amp;$DF19+'Model Setup'!$M$7,$AD19:$BA19)+'Model Setup'!$M$8*(SUMIF($BH$3:$CE$3,"&lt;"&amp;$DF19,$AD19:$BA19)+SUMIF($BH$3:$CE$3,"&gt;"&amp;$CW$4,$AD19:$BA19)),
IF(CB$3=$DF19+'Model Setup'!$N$7,SUMIF($BH$3:$CE$3,"="&amp;$DF19+'Model Setup'!$N$7,$AD19:$BA19)+'Model Setup'!$N$8*(SUMIF($BH$3:$CE$3,"&lt;"&amp;$DF19,$AD19:$BA19)+SUMIF($BH$3:$CE$3,"&gt;"&amp;$CW$4,$AD19:$BA19)),
IF(CB$3&lt;$CW$4,V19,0))))))))))))))),0)</f>
        <v>0</v>
      </c>
      <c r="CC19" s="47">
        <f>ROUND(IF(OR(CC$3&lt;$DF19,CC$3&gt;$CW$4),0,
IF(CC$3=$DF19+'Model Setup'!$B$7,SUMIF($BH$3:$CE$3,"="&amp;$DF19+'Model Setup'!$B$7,$AD19:$BA19)+'Model Setup'!$B$8*(SUMIF($BH$3:$CE$3,"&lt;"&amp;$DF19,$AD19:$BA19)+SUMIF($BH$3:$CE$3,"&gt;"&amp;$CW$4,$AD19:$BA19)),
IF(CC$3=$DF19+'Model Setup'!$C$7,SUMIF($BH$3:$CE$3,"="&amp;$DF19+'Model Setup'!$C$7,$AD19:$BA19)+'Model Setup'!$C$8*(SUMIF($BH$3:$CE$3,"&lt;"&amp;$DF19,$AD19:$BA19)+SUMIF($BH$3:$CE$3,"&gt;"&amp;$CW$4,$AD19:$BA19)),
IF(CC$3=$DF19+'Model Setup'!$D$7,SUMIF($BH$3:$CE$3,"="&amp;$DF19+'Model Setup'!$D$7,$AD19:$BA19)+'Model Setup'!$D$8*(SUMIF($BH$3:$CE$3,"&lt;"&amp;$DF19,$AD19:$BA19)+SUMIF($BH$3:$CE$3,"&gt;"&amp;$CW$4,$AD19:$BA19)),
IF(CC$3=$DF19+'Model Setup'!$E$7,SUMIF($BH$3:$CE$3,"="&amp;$DF19+'Model Setup'!$E$7,$AD19:$BA19)+'Model Setup'!$E$8*(SUMIF($BH$3:$CE$3,"&lt;"&amp;$DF19,$AD19:$BA19)+SUMIF($BH$3:$CE$3,"&gt;"&amp;$CW$4,$AD19:$BA19)),
IF(CC$3=$DF19+'Model Setup'!$F$7,SUMIF($BH$3:$CE$3,"="&amp;$DF19+'Model Setup'!$F$7,$AD19:$BA19)+'Model Setup'!$F$8*(SUMIF($BH$3:$CE$3,"&lt;"&amp;$DF19,$AD19:$BA19)+SUMIF($BH$3:$CE$3,"&gt;"&amp;$CW$4,$AD19:$BA19)),
IF(CC$3=$DF19+'Model Setup'!$G$7,SUMIF($BH$3:$CE$3,"="&amp;$DF19+'Model Setup'!$G$7,$AD19:$BA19)+'Model Setup'!$G$8*(SUMIF($BH$3:$CE$3,"&lt;"&amp;$DF19,$AD19:$BA19)+SUMIF($BH$3:$CE$3,"&gt;"&amp;$CW$4,$AD19:$BA19)),
IF(CC$3=$DF19+'Model Setup'!$H$7,SUMIF($BH$3:$CE$3,"="&amp;$DF19+'Model Setup'!$H$7,$AD19:$BA19)+'Model Setup'!$H$8*(SUMIF($BH$3:$CE$3,"&lt;"&amp;$DF19,$AD19:$BA19)+SUMIF($BH$3:$CE$3,"&gt;"&amp;$CW$4,$AD19:$BA19)),
IF(CC$3=$DF19+'Model Setup'!$I$7,SUMIF($BH$3:$CE$3,"="&amp;$DF19+'Model Setup'!$I$7,$AD19:$BA19)+'Model Setup'!$I$8*(SUMIF($BH$3:$CE$3,"&lt;"&amp;$DF19,$AD19:$BA19)+SUMIF($BH$3:$CE$3,"&gt;"&amp;$CW$4,$AD19:$BA19)),
IF(CC$3=$DF19+'Model Setup'!$J$7,SUMIF($BH$3:$CE$3,"="&amp;$DF19+'Model Setup'!$J$7,$AD19:$BA19)+'Model Setup'!$J$8*(SUMIF($BH$3:$CE$3,"&lt;"&amp;$DF19,$AD19:$BA19)+SUMIF($BH$3:$CE$3,"&gt;"&amp;$CW$4,$AD19:$BA19)),
IF(CC$3=$DF19+'Model Setup'!$K$7,SUMIF($BH$3:$CE$3,"="&amp;$DF19+'Model Setup'!$K$7,$AD19:$BA19)+'Model Setup'!$K$8*(SUMIF($BH$3:$CE$3,"&lt;"&amp;$DF19,$AD19:$BA19)+SUMIF($BH$3:$CE$3,"&gt;"&amp;$CW$4,$AD19:$BA19)),
IF(CC$3=$DF19+'Model Setup'!$L$7,SUMIF($BH$3:$CE$3,"="&amp;$DF19+'Model Setup'!$L$7,$AD19:$BA19)+'Model Setup'!$L$8*(SUMIF($BH$3:$CE$3,"&lt;"&amp;$DF19,$AD19:$BA19)+SUMIF($BH$3:$CE$3,"&gt;"&amp;$CW$4,$AD19:$BA19)),
IF(CC$3=$DF19+'Model Setup'!$M$7,SUMIF($BH$3:$CE$3,"="&amp;$DF19+'Model Setup'!$M$7,$AD19:$BA19)+'Model Setup'!$M$8*(SUMIF($BH$3:$CE$3,"&lt;"&amp;$DF19,$AD19:$BA19)+SUMIF($BH$3:$CE$3,"&gt;"&amp;$CW$4,$AD19:$BA19)),
IF(CC$3=$DF19+'Model Setup'!$N$7,SUMIF($BH$3:$CE$3,"="&amp;$DF19+'Model Setup'!$N$7,$AD19:$BA19)+'Model Setup'!$N$8*(SUMIF($BH$3:$CE$3,"&lt;"&amp;$DF19,$AD19:$BA19)+SUMIF($BH$3:$CE$3,"&gt;"&amp;$CW$4,$AD19:$BA19)),
IF(CC$3&lt;$CW$4,W19,0))))))))))))))),0)</f>
        <v>0</v>
      </c>
      <c r="CD19" s="47">
        <f>ROUND(IF(OR(CD$3&lt;$DF19,CD$3&gt;$CW$4),0,
IF(CD$3=$DF19+'Model Setup'!$B$7,SUMIF($BH$3:$CE$3,"="&amp;$DF19+'Model Setup'!$B$7,$AD19:$BA19)+'Model Setup'!$B$8*(SUMIF($BH$3:$CE$3,"&lt;"&amp;$DF19,$AD19:$BA19)+SUMIF($BH$3:$CE$3,"&gt;"&amp;$CW$4,$AD19:$BA19)),
IF(CD$3=$DF19+'Model Setup'!$C$7,SUMIF($BH$3:$CE$3,"="&amp;$DF19+'Model Setup'!$C$7,$AD19:$BA19)+'Model Setup'!$C$8*(SUMIF($BH$3:$CE$3,"&lt;"&amp;$DF19,$AD19:$BA19)+SUMIF($BH$3:$CE$3,"&gt;"&amp;$CW$4,$AD19:$BA19)),
IF(CD$3=$DF19+'Model Setup'!$D$7,SUMIF($BH$3:$CE$3,"="&amp;$DF19+'Model Setup'!$D$7,$AD19:$BA19)+'Model Setup'!$D$8*(SUMIF($BH$3:$CE$3,"&lt;"&amp;$DF19,$AD19:$BA19)+SUMIF($BH$3:$CE$3,"&gt;"&amp;$CW$4,$AD19:$BA19)),
IF(CD$3=$DF19+'Model Setup'!$E$7,SUMIF($BH$3:$CE$3,"="&amp;$DF19+'Model Setup'!$E$7,$AD19:$BA19)+'Model Setup'!$E$8*(SUMIF($BH$3:$CE$3,"&lt;"&amp;$DF19,$AD19:$BA19)+SUMIF($BH$3:$CE$3,"&gt;"&amp;$CW$4,$AD19:$BA19)),
IF(CD$3=$DF19+'Model Setup'!$F$7,SUMIF($BH$3:$CE$3,"="&amp;$DF19+'Model Setup'!$F$7,$AD19:$BA19)+'Model Setup'!$F$8*(SUMIF($BH$3:$CE$3,"&lt;"&amp;$DF19,$AD19:$BA19)+SUMIF($BH$3:$CE$3,"&gt;"&amp;$CW$4,$AD19:$BA19)),
IF(CD$3=$DF19+'Model Setup'!$G$7,SUMIF($BH$3:$CE$3,"="&amp;$DF19+'Model Setup'!$G$7,$AD19:$BA19)+'Model Setup'!$G$8*(SUMIF($BH$3:$CE$3,"&lt;"&amp;$DF19,$AD19:$BA19)+SUMIF($BH$3:$CE$3,"&gt;"&amp;$CW$4,$AD19:$BA19)),
IF(CD$3=$DF19+'Model Setup'!$H$7,SUMIF($BH$3:$CE$3,"="&amp;$DF19+'Model Setup'!$H$7,$AD19:$BA19)+'Model Setup'!$H$8*(SUMIF($BH$3:$CE$3,"&lt;"&amp;$DF19,$AD19:$BA19)+SUMIF($BH$3:$CE$3,"&gt;"&amp;$CW$4,$AD19:$BA19)),
IF(CD$3=$DF19+'Model Setup'!$I$7,SUMIF($BH$3:$CE$3,"="&amp;$DF19+'Model Setup'!$I$7,$AD19:$BA19)+'Model Setup'!$I$8*(SUMIF($BH$3:$CE$3,"&lt;"&amp;$DF19,$AD19:$BA19)+SUMIF($BH$3:$CE$3,"&gt;"&amp;$CW$4,$AD19:$BA19)),
IF(CD$3=$DF19+'Model Setup'!$J$7,SUMIF($BH$3:$CE$3,"="&amp;$DF19+'Model Setup'!$J$7,$AD19:$BA19)+'Model Setup'!$J$8*(SUMIF($BH$3:$CE$3,"&lt;"&amp;$DF19,$AD19:$BA19)+SUMIF($BH$3:$CE$3,"&gt;"&amp;$CW$4,$AD19:$BA19)),
IF(CD$3=$DF19+'Model Setup'!$K$7,SUMIF($BH$3:$CE$3,"="&amp;$DF19+'Model Setup'!$K$7,$AD19:$BA19)+'Model Setup'!$K$8*(SUMIF($BH$3:$CE$3,"&lt;"&amp;$DF19,$AD19:$BA19)+SUMIF($BH$3:$CE$3,"&gt;"&amp;$CW$4,$AD19:$BA19)),
IF(CD$3=$DF19+'Model Setup'!$L$7,SUMIF($BH$3:$CE$3,"="&amp;$DF19+'Model Setup'!$L$7,$AD19:$BA19)+'Model Setup'!$L$8*(SUMIF($BH$3:$CE$3,"&lt;"&amp;$DF19,$AD19:$BA19)+SUMIF($BH$3:$CE$3,"&gt;"&amp;$CW$4,$AD19:$BA19)),
IF(CD$3=$DF19+'Model Setup'!$M$7,SUMIF($BH$3:$CE$3,"="&amp;$DF19+'Model Setup'!$M$7,$AD19:$BA19)+'Model Setup'!$M$8*(SUMIF($BH$3:$CE$3,"&lt;"&amp;$DF19,$AD19:$BA19)+SUMIF($BH$3:$CE$3,"&gt;"&amp;$CW$4,$AD19:$BA19)),
IF(CD$3=$DF19+'Model Setup'!$N$7,SUMIF($BH$3:$CE$3,"="&amp;$DF19+'Model Setup'!$N$7,$AD19:$BA19)+'Model Setup'!$N$8*(SUMIF($BH$3:$CE$3,"&lt;"&amp;$DF19,$AD19:$BA19)+SUMIF($BH$3:$CE$3,"&gt;"&amp;$CW$4,$AD19:$BA19)),
IF(CD$3&lt;$CW$4,X19,0))))))))))))))),0)</f>
        <v>0</v>
      </c>
      <c r="CE19" s="47">
        <f>ROUND(IF(OR(CE$3&lt;$DF19,CE$3&gt;$CW$4),0,
IF(CE$3=$DF19+'Model Setup'!$B$7,SUMIF($BH$3:$CE$3,"="&amp;$DF19+'Model Setup'!$B$7,$AD19:$BA19)+'Model Setup'!$B$8*(SUMIF($BH$3:$CE$3,"&lt;"&amp;$DF19,$AD19:$BA19)+SUMIF($BH$3:$CE$3,"&gt;"&amp;$CW$4,$AD19:$BA19)),
IF(CE$3=$DF19+'Model Setup'!$C$7,SUMIF($BH$3:$CE$3,"="&amp;$DF19+'Model Setup'!$C$7,$AD19:$BA19)+'Model Setup'!$C$8*(SUMIF($BH$3:$CE$3,"&lt;"&amp;$DF19,$AD19:$BA19)+SUMIF($BH$3:$CE$3,"&gt;"&amp;$CW$4,$AD19:$BA19)),
IF(CE$3=$DF19+'Model Setup'!$D$7,SUMIF($BH$3:$CE$3,"="&amp;$DF19+'Model Setup'!$D$7,$AD19:$BA19)+'Model Setup'!$D$8*(SUMIF($BH$3:$CE$3,"&lt;"&amp;$DF19,$AD19:$BA19)+SUMIF($BH$3:$CE$3,"&gt;"&amp;$CW$4,$AD19:$BA19)),
IF(CE$3=$DF19+'Model Setup'!$E$7,SUMIF($BH$3:$CE$3,"="&amp;$DF19+'Model Setup'!$E$7,$AD19:$BA19)+'Model Setup'!$E$8*(SUMIF($BH$3:$CE$3,"&lt;"&amp;$DF19,$AD19:$BA19)+SUMIF($BH$3:$CE$3,"&gt;"&amp;$CW$4,$AD19:$BA19)),
IF(CE$3=$DF19+'Model Setup'!$F$7,SUMIF($BH$3:$CE$3,"="&amp;$DF19+'Model Setup'!$F$7,$AD19:$BA19)+'Model Setup'!$F$8*(SUMIF($BH$3:$CE$3,"&lt;"&amp;$DF19,$AD19:$BA19)+SUMIF($BH$3:$CE$3,"&gt;"&amp;$CW$4,$AD19:$BA19)),
IF(CE$3=$DF19+'Model Setup'!$G$7,SUMIF($BH$3:$CE$3,"="&amp;$DF19+'Model Setup'!$G$7,$AD19:$BA19)+'Model Setup'!$G$8*(SUMIF($BH$3:$CE$3,"&lt;"&amp;$DF19,$AD19:$BA19)+SUMIF($BH$3:$CE$3,"&gt;"&amp;$CW$4,$AD19:$BA19)),
IF(CE$3=$DF19+'Model Setup'!$H$7,SUMIF($BH$3:$CE$3,"="&amp;$DF19+'Model Setup'!$H$7,$AD19:$BA19)+'Model Setup'!$H$8*(SUMIF($BH$3:$CE$3,"&lt;"&amp;$DF19,$AD19:$BA19)+SUMIF($BH$3:$CE$3,"&gt;"&amp;$CW$4,$AD19:$BA19)),
IF(CE$3=$DF19+'Model Setup'!$I$7,SUMIF($BH$3:$CE$3,"="&amp;$DF19+'Model Setup'!$I$7,$AD19:$BA19)+'Model Setup'!$I$8*(SUMIF($BH$3:$CE$3,"&lt;"&amp;$DF19,$AD19:$BA19)+SUMIF($BH$3:$CE$3,"&gt;"&amp;$CW$4,$AD19:$BA19)),
IF(CE$3=$DF19+'Model Setup'!$J$7,SUMIF($BH$3:$CE$3,"="&amp;$DF19+'Model Setup'!$J$7,$AD19:$BA19)+'Model Setup'!$J$8*(SUMIF($BH$3:$CE$3,"&lt;"&amp;$DF19,$AD19:$BA19)+SUMIF($BH$3:$CE$3,"&gt;"&amp;$CW$4,$AD19:$BA19)),
IF(CE$3=$DF19+'Model Setup'!$K$7,SUMIF($BH$3:$CE$3,"="&amp;$DF19+'Model Setup'!$K$7,$AD19:$BA19)+'Model Setup'!$K$8*(SUMIF($BH$3:$CE$3,"&lt;"&amp;$DF19,$AD19:$BA19)+SUMIF($BH$3:$CE$3,"&gt;"&amp;$CW$4,$AD19:$BA19)),
IF(CE$3=$DF19+'Model Setup'!$L$7,SUMIF($BH$3:$CE$3,"="&amp;$DF19+'Model Setup'!$L$7,$AD19:$BA19)+'Model Setup'!$L$8*(SUMIF($BH$3:$CE$3,"&lt;"&amp;$DF19,$AD19:$BA19)+SUMIF($BH$3:$CE$3,"&gt;"&amp;$CW$4,$AD19:$BA19)),
IF(CE$3=$DF19+'Model Setup'!$M$7,SUMIF($BH$3:$CE$3,"="&amp;$DF19+'Model Setup'!$M$7,$AD19:$BA19)+'Model Setup'!$M$8*(SUMIF($BH$3:$CE$3,"&lt;"&amp;$DF19,$AD19:$BA19)+SUMIF($BH$3:$CE$3,"&gt;"&amp;$CW$4,$AD19:$BA19)),
IF(CE$3=$DF19+'Model Setup'!$N$7,SUMIF($BH$3:$CE$3,"="&amp;$DF19+'Model Setup'!$N$7,$AD19:$BA19)+'Model Setup'!$N$8*(SUMIF($BH$3:$CE$3,"&lt;"&amp;$DF19,$AD19:$BA19)+SUMIF($BH$3:$CE$3,"&gt;"&amp;$CW$4,$AD19:$BA19)),
IF(CE$3&lt;$CW$4,Y19,0))))))))))))))),0)</f>
        <v>0</v>
      </c>
      <c r="CF19" s="47">
        <f t="shared" si="3"/>
        <v>1253</v>
      </c>
      <c r="CG19" s="47">
        <f t="shared" si="4"/>
        <v>-26</v>
      </c>
      <c r="CI19" s="10" t="s">
        <v>34</v>
      </c>
      <c r="CJ19" s="126">
        <f t="shared" si="9"/>
        <v>0</v>
      </c>
      <c r="CK19" s="126">
        <f t="shared" si="10"/>
        <v>0</v>
      </c>
      <c r="CL19" s="126">
        <f t="shared" si="11"/>
        <v>135</v>
      </c>
      <c r="CM19" s="126">
        <f t="shared" si="12"/>
        <v>139</v>
      </c>
      <c r="CN19" s="126">
        <f t="shared" si="13"/>
        <v>119</v>
      </c>
      <c r="CO19" s="126">
        <f t="shared" si="14"/>
        <v>107</v>
      </c>
      <c r="CP19" s="126">
        <f t="shared" si="15"/>
        <v>109</v>
      </c>
      <c r="CQ19" s="126">
        <f t="shared" si="16"/>
        <v>95</v>
      </c>
      <c r="CR19" s="126">
        <f t="shared" si="17"/>
        <v>105</v>
      </c>
      <c r="CS19" s="126">
        <f t="shared" si="18"/>
        <v>79</v>
      </c>
      <c r="CT19" s="126">
        <f t="shared" si="19"/>
        <v>58</v>
      </c>
      <c r="CU19" s="126">
        <f t="shared" si="20"/>
        <v>34</v>
      </c>
      <c r="CV19" s="126">
        <f t="shared" si="21"/>
        <v>97</v>
      </c>
      <c r="CW19" s="126">
        <f t="shared" si="22"/>
        <v>115</v>
      </c>
      <c r="CX19" s="126">
        <f t="shared" si="23"/>
        <v>87</v>
      </c>
      <c r="CY19" s="126">
        <f t="shared" si="24"/>
        <v>0</v>
      </c>
      <c r="CZ19" s="47">
        <f t="shared" si="7"/>
        <v>1192</v>
      </c>
      <c r="DC19" s="93" t="s">
        <v>34</v>
      </c>
      <c r="DD19" s="89">
        <f>FTC!E17</f>
        <v>0.29166666666666669</v>
      </c>
      <c r="DE19" s="89">
        <f>FTC!F17</f>
        <v>0.79166666666666663</v>
      </c>
      <c r="DF19" s="90">
        <f t="shared" si="25"/>
        <v>7</v>
      </c>
      <c r="DG19" s="91">
        <f t="shared" si="26"/>
        <v>19</v>
      </c>
      <c r="DH19" s="91">
        <f t="shared" si="27"/>
        <v>12</v>
      </c>
    </row>
    <row r="20" spans="1:112" x14ac:dyDescent="0.35">
      <c r="A20" s="43" t="s">
        <v>35</v>
      </c>
      <c r="B20" s="47">
        <v>4</v>
      </c>
      <c r="C20" s="47">
        <v>4</v>
      </c>
      <c r="D20" s="47">
        <v>4</v>
      </c>
      <c r="E20" s="47">
        <v>6</v>
      </c>
      <c r="F20" s="47">
        <v>13</v>
      </c>
      <c r="G20" s="47">
        <v>9</v>
      </c>
      <c r="H20" s="47">
        <v>54</v>
      </c>
      <c r="I20" s="47">
        <v>69</v>
      </c>
      <c r="J20" s="47">
        <v>66</v>
      </c>
      <c r="K20" s="47">
        <v>61</v>
      </c>
      <c r="L20" s="47">
        <v>66</v>
      </c>
      <c r="M20" s="47">
        <v>54</v>
      </c>
      <c r="N20" s="47">
        <v>28</v>
      </c>
      <c r="O20" s="47">
        <v>24</v>
      </c>
      <c r="P20" s="47">
        <v>27</v>
      </c>
      <c r="Q20" s="47">
        <v>15</v>
      </c>
      <c r="R20" s="47">
        <v>20</v>
      </c>
      <c r="S20" s="47">
        <v>14</v>
      </c>
      <c r="T20" s="47">
        <v>3</v>
      </c>
      <c r="U20" s="47">
        <v>3</v>
      </c>
      <c r="V20" s="47">
        <v>5</v>
      </c>
      <c r="W20" s="47">
        <v>4</v>
      </c>
      <c r="X20" s="47">
        <v>5</v>
      </c>
      <c r="Y20" s="47">
        <v>3</v>
      </c>
      <c r="Z20" s="47">
        <f t="shared" si="0"/>
        <v>561</v>
      </c>
      <c r="AC20" s="43" t="s">
        <v>35</v>
      </c>
      <c r="AD20" s="47">
        <f>ROUND(IF(AD$3&lt;$DF20,0,
IF(AD$3=$DF20+'Model Setup'!$B$7,SUMIF($AD$3:$BA$3,"="&amp;$DF20+'Model Setup'!$B$7,$B20:$Y20)+'Model Setup'!$B$8*(SUMIF($AD$3:$BA$3,"&lt;"&amp;$DF20,$B20:$Y20)+SUMIF($AD$3:$BA$3,"&gt;="&amp;$DG20,$B20:$Y20)),
IF(AD$3=$DF20+'Model Setup'!$C$7,SUMIF($AD$3:$BA$3,"="&amp;$DF20+'Model Setup'!$C$7,$B20:$Y20)+'Model Setup'!$C$8*(SUMIF($AD$3:$BA$3,"&lt;"&amp;$DF20,$B20:$Y20)+SUMIF($AD$3:$BA$3,"&gt;="&amp;$DG20,$B20:$Y20)),
IF(AD$3=$DF20+'Model Setup'!$D$7,SUMIF($AD$3:$BA$3,"="&amp;$DF20+'Model Setup'!$D$7,$B20:$Y20)+'Model Setup'!$D$8*(SUMIF($AD$3:$BA$3,"&lt;"&amp;$DF20,$B20:$Y20)+SUMIF($AD$3:$BA$3,"&gt;="&amp;$DG20,$B20:$Y20)),
IF(AD$3=$DF20+'Model Setup'!$E$7,SUMIF($AD$3:$BA$3,"="&amp;$DF20+'Model Setup'!$E$7,$B20:$Y20)+'Model Setup'!$E$8*(SUMIF($AD$3:$BA$3,"&lt;"&amp;$DF20,$B20:$Y20)+SUMIF($AD$3:$BA$3,"&gt;="&amp;$DG20,$B20:$Y20)),
IF(AD$3=$DF20+'Model Setup'!$F$7,SUMIF($AD$3:$BA$3,"="&amp;$DF20+'Model Setup'!$F$7,$B20:$Y20)+'Model Setup'!$F$8*(SUMIF($AD$3:$BA$3,"&lt;"&amp;$DF20,$B20:$Y20)+SUMIF($AD$3:$BA$3,"&gt;="&amp;$DG20,$B20:$Y20)),
IF(AD$3=$DF20+'Model Setup'!$G$7,SUMIF($AD$3:$BA$3,"="&amp;$DF20+'Model Setup'!$G$7,$B20:$Y20)+'Model Setup'!$G$8*(SUMIF($AD$3:$BA$3,"&lt;"&amp;$DF20,$B20:$Y20)+SUMIF($AD$3:$BA$3,"&gt;="&amp;$DG20,$B20:$Y20)),
IF(AD$3=$DF20+'Model Setup'!$H$7,SUMIF($AD$3:$BA$3,"="&amp;$DF20+'Model Setup'!$H$7,$B20:$Y20)+'Model Setup'!$H$8*(SUMIF($AD$3:$BA$3,"&lt;"&amp;$DF20,$B20:$Y20)+SUMIF($AD$3:$BA$3,"&gt;="&amp;$DG20,$B20:$Y20)),
IF(AD$3=$DF20+'Model Setup'!$I$7,SUMIF($AD$3:$BA$3,"="&amp;$DF20+'Model Setup'!$I$7,$B20:$Y20)+'Model Setup'!$I$8*(SUMIF($AD$3:$BA$3,"&lt;"&amp;$DF20,$B20:$Y20)+SUMIF($AD$3:$BA$3,"&gt;="&amp;$DG20,$B20:$Y20)),
IF(AD$3=$DF20+'Model Setup'!$J$7,SUMIF($AD$3:$BA$3,"="&amp;$DF20+'Model Setup'!$J$7,$B20:$Y20)+'Model Setup'!$J$8*(SUMIF($AD$3:$BA$3,"&lt;"&amp;$DF20,$B20:$Y20)+SUMIF($AD$3:$BA$3,"&gt;="&amp;$DG20,$B20:$Y20)),
IF(AD$3=$DF20+'Model Setup'!$K$7,SUMIF($AD$3:$BA$3,"="&amp;$DF20+'Model Setup'!$K$7,$B20:$Y20)+'Model Setup'!$K$8*(SUMIF($AD$3:$BA$3,"&lt;"&amp;$DF20,$B20:$Y20)+SUMIF($AD$3:$BA$3,"&gt;="&amp;$DG20,$B20:$Y20)),
IF(AD$3=$DF20+'Model Setup'!$L$7,SUMIF($AD$3:$BA$3,"="&amp;$DF20+'Model Setup'!$L$7,$B20:$Y20)+'Model Setup'!$L$8*(SUMIF($AD$3:$BA$3,"&lt;"&amp;$DF20,$B20:$Y20)+SUMIF($AD$3:$BA$3,"&gt;="&amp;$DG20,$B20:$Y20)),
IF(AD$3=$DF20+'Model Setup'!$M$7,SUMIF($AD$3:$BA$3,"="&amp;$DF20+'Model Setup'!$M$7,$B20:$Y20)+'Model Setup'!$M$8*(SUMIF($AD$3:$BA$3,"&lt;"&amp;$DF20,$B20:$Y20)+SUMIF($AD$3:$BA$3,"&gt;="&amp;$DG20,$B20:$Y20)),
IF(AD$3=$DF20+'Model Setup'!$N$7,SUMIF($AD$3:$BA$3,"="&amp;$DF20+'Model Setup'!$N$7,$B20:$Y20)+'Model Setup'!$N$8*(SUMIF($AD$3:$BA$3,"&lt;"&amp;$DF20,$B20:$Y20)+SUMIF($AD$3:$BA$3,"&gt;="&amp;$DG20,$B20:$Y20)),
IF(AD$3&lt;$DG20,B20,0))))))))))))))),0)</f>
        <v>0</v>
      </c>
      <c r="AE20" s="47">
        <f>ROUND(IF(AE$3&lt;$DF20,0,
IF(AE$3=$DF20+'Model Setup'!$B$7,SUMIF($AD$3:$BA$3,"="&amp;$DF20+'Model Setup'!$B$7,$B20:$Y20)+'Model Setup'!$B$8*(SUMIF($AD$3:$BA$3,"&lt;"&amp;$DF20,$B20:$Y20)+SUMIF($AD$3:$BA$3,"&gt;="&amp;$DG20,$B20:$Y20)),
IF(AE$3=$DF20+'Model Setup'!$C$7,SUMIF($AD$3:$BA$3,"="&amp;$DF20+'Model Setup'!$C$7,$B20:$Y20)+'Model Setup'!$C$8*(SUMIF($AD$3:$BA$3,"&lt;"&amp;$DF20,$B20:$Y20)+SUMIF($AD$3:$BA$3,"&gt;="&amp;$DG20,$B20:$Y20)),
IF(AE$3=$DF20+'Model Setup'!$D$7,SUMIF($AD$3:$BA$3,"="&amp;$DF20+'Model Setup'!$D$7,$B20:$Y20)+'Model Setup'!$D$8*(SUMIF($AD$3:$BA$3,"&lt;"&amp;$DF20,$B20:$Y20)+SUMIF($AD$3:$BA$3,"&gt;="&amp;$DG20,$B20:$Y20)),
IF(AE$3=$DF20+'Model Setup'!$E$7,SUMIF($AD$3:$BA$3,"="&amp;$DF20+'Model Setup'!$E$7,$B20:$Y20)+'Model Setup'!$E$8*(SUMIF($AD$3:$BA$3,"&lt;"&amp;$DF20,$B20:$Y20)+SUMIF($AD$3:$BA$3,"&gt;="&amp;$DG20,$B20:$Y20)),
IF(AE$3=$DF20+'Model Setup'!$F$7,SUMIF($AD$3:$BA$3,"="&amp;$DF20+'Model Setup'!$F$7,$B20:$Y20)+'Model Setup'!$F$8*(SUMIF($AD$3:$BA$3,"&lt;"&amp;$DF20,$B20:$Y20)+SUMIF($AD$3:$BA$3,"&gt;="&amp;$DG20,$B20:$Y20)),
IF(AE$3=$DF20+'Model Setup'!$G$7,SUMIF($AD$3:$BA$3,"="&amp;$DF20+'Model Setup'!$G$7,$B20:$Y20)+'Model Setup'!$G$8*(SUMIF($AD$3:$BA$3,"&lt;"&amp;$DF20,$B20:$Y20)+SUMIF($AD$3:$BA$3,"&gt;="&amp;$DG20,$B20:$Y20)),
IF(AE$3=$DF20+'Model Setup'!$H$7,SUMIF($AD$3:$BA$3,"="&amp;$DF20+'Model Setup'!$H$7,$B20:$Y20)+'Model Setup'!$H$8*(SUMIF($AD$3:$BA$3,"&lt;"&amp;$DF20,$B20:$Y20)+SUMIF($AD$3:$BA$3,"&gt;="&amp;$DG20,$B20:$Y20)),
IF(AE$3=$DF20+'Model Setup'!$I$7,SUMIF($AD$3:$BA$3,"="&amp;$DF20+'Model Setup'!$I$7,$B20:$Y20)+'Model Setup'!$I$8*(SUMIF($AD$3:$BA$3,"&lt;"&amp;$DF20,$B20:$Y20)+SUMIF($AD$3:$BA$3,"&gt;="&amp;$DG20,$B20:$Y20)),
IF(AE$3=$DF20+'Model Setup'!$J$7,SUMIF($AD$3:$BA$3,"="&amp;$DF20+'Model Setup'!$J$7,$B20:$Y20)+'Model Setup'!$J$8*(SUMIF($AD$3:$BA$3,"&lt;"&amp;$DF20,$B20:$Y20)+SUMIF($AD$3:$BA$3,"&gt;="&amp;$DG20,$B20:$Y20)),
IF(AE$3=$DF20+'Model Setup'!$K$7,SUMIF($AD$3:$BA$3,"="&amp;$DF20+'Model Setup'!$K$7,$B20:$Y20)+'Model Setup'!$K$8*(SUMIF($AD$3:$BA$3,"&lt;"&amp;$DF20,$B20:$Y20)+SUMIF($AD$3:$BA$3,"&gt;="&amp;$DG20,$B20:$Y20)),
IF(AE$3=$DF20+'Model Setup'!$L$7,SUMIF($AD$3:$BA$3,"="&amp;$DF20+'Model Setup'!$L$7,$B20:$Y20)+'Model Setup'!$L$8*(SUMIF($AD$3:$BA$3,"&lt;"&amp;$DF20,$B20:$Y20)+SUMIF($AD$3:$BA$3,"&gt;="&amp;$DG20,$B20:$Y20)),
IF(AE$3=$DF20+'Model Setup'!$M$7,SUMIF($AD$3:$BA$3,"="&amp;$DF20+'Model Setup'!$M$7,$B20:$Y20)+'Model Setup'!$M$8*(SUMIF($AD$3:$BA$3,"&lt;"&amp;$DF20,$B20:$Y20)+SUMIF($AD$3:$BA$3,"&gt;="&amp;$DG20,$B20:$Y20)),
IF(AE$3=$DF20+'Model Setup'!$N$7,SUMIF($AD$3:$BA$3,"="&amp;$DF20+'Model Setup'!$N$7,$B20:$Y20)+'Model Setup'!$N$8*(SUMIF($AD$3:$BA$3,"&lt;"&amp;$DF20,$B20:$Y20)+SUMIF($AD$3:$BA$3,"&gt;="&amp;$DG20,$B20:$Y20)),
IF(AE$3&lt;$DG20,C20,0))))))))))))))),0)</f>
        <v>0</v>
      </c>
      <c r="AF20" s="47">
        <f>ROUND(IF(AF$3&lt;$DF20,0,
IF(AF$3=$DF20+'Model Setup'!$B$7,SUMIF($AD$3:$BA$3,"="&amp;$DF20+'Model Setup'!$B$7,$B20:$Y20)+'Model Setup'!$B$8*(SUMIF($AD$3:$BA$3,"&lt;"&amp;$DF20,$B20:$Y20)+SUMIF($AD$3:$BA$3,"&gt;="&amp;$DG20,$B20:$Y20)),
IF(AF$3=$DF20+'Model Setup'!$C$7,SUMIF($AD$3:$BA$3,"="&amp;$DF20+'Model Setup'!$C$7,$B20:$Y20)+'Model Setup'!$C$8*(SUMIF($AD$3:$BA$3,"&lt;"&amp;$DF20,$B20:$Y20)+SUMIF($AD$3:$BA$3,"&gt;="&amp;$DG20,$B20:$Y20)),
IF(AF$3=$DF20+'Model Setup'!$D$7,SUMIF($AD$3:$BA$3,"="&amp;$DF20+'Model Setup'!$D$7,$B20:$Y20)+'Model Setup'!$D$8*(SUMIF($AD$3:$BA$3,"&lt;"&amp;$DF20,$B20:$Y20)+SUMIF($AD$3:$BA$3,"&gt;="&amp;$DG20,$B20:$Y20)),
IF(AF$3=$DF20+'Model Setup'!$E$7,SUMIF($AD$3:$BA$3,"="&amp;$DF20+'Model Setup'!$E$7,$B20:$Y20)+'Model Setup'!$E$8*(SUMIF($AD$3:$BA$3,"&lt;"&amp;$DF20,$B20:$Y20)+SUMIF($AD$3:$BA$3,"&gt;="&amp;$DG20,$B20:$Y20)),
IF(AF$3=$DF20+'Model Setup'!$F$7,SUMIF($AD$3:$BA$3,"="&amp;$DF20+'Model Setup'!$F$7,$B20:$Y20)+'Model Setup'!$F$8*(SUMIF($AD$3:$BA$3,"&lt;"&amp;$DF20,$B20:$Y20)+SUMIF($AD$3:$BA$3,"&gt;="&amp;$DG20,$B20:$Y20)),
IF(AF$3=$DF20+'Model Setup'!$G$7,SUMIF($AD$3:$BA$3,"="&amp;$DF20+'Model Setup'!$G$7,$B20:$Y20)+'Model Setup'!$G$8*(SUMIF($AD$3:$BA$3,"&lt;"&amp;$DF20,$B20:$Y20)+SUMIF($AD$3:$BA$3,"&gt;="&amp;$DG20,$B20:$Y20)),
IF(AF$3=$DF20+'Model Setup'!$H$7,SUMIF($AD$3:$BA$3,"="&amp;$DF20+'Model Setup'!$H$7,$B20:$Y20)+'Model Setup'!$H$8*(SUMIF($AD$3:$BA$3,"&lt;"&amp;$DF20,$B20:$Y20)+SUMIF($AD$3:$BA$3,"&gt;="&amp;$DG20,$B20:$Y20)),
IF(AF$3=$DF20+'Model Setup'!$I$7,SUMIF($AD$3:$BA$3,"="&amp;$DF20+'Model Setup'!$I$7,$B20:$Y20)+'Model Setup'!$I$8*(SUMIF($AD$3:$BA$3,"&lt;"&amp;$DF20,$B20:$Y20)+SUMIF($AD$3:$BA$3,"&gt;="&amp;$DG20,$B20:$Y20)),
IF(AF$3=$DF20+'Model Setup'!$J$7,SUMIF($AD$3:$BA$3,"="&amp;$DF20+'Model Setup'!$J$7,$B20:$Y20)+'Model Setup'!$J$8*(SUMIF($AD$3:$BA$3,"&lt;"&amp;$DF20,$B20:$Y20)+SUMIF($AD$3:$BA$3,"&gt;="&amp;$DG20,$B20:$Y20)),
IF(AF$3=$DF20+'Model Setup'!$K$7,SUMIF($AD$3:$BA$3,"="&amp;$DF20+'Model Setup'!$K$7,$B20:$Y20)+'Model Setup'!$K$8*(SUMIF($AD$3:$BA$3,"&lt;"&amp;$DF20,$B20:$Y20)+SUMIF($AD$3:$BA$3,"&gt;="&amp;$DG20,$B20:$Y20)),
IF(AF$3=$DF20+'Model Setup'!$L$7,SUMIF($AD$3:$BA$3,"="&amp;$DF20+'Model Setup'!$L$7,$B20:$Y20)+'Model Setup'!$L$8*(SUMIF($AD$3:$BA$3,"&lt;"&amp;$DF20,$B20:$Y20)+SUMIF($AD$3:$BA$3,"&gt;="&amp;$DG20,$B20:$Y20)),
IF(AF$3=$DF20+'Model Setup'!$M$7,SUMIF($AD$3:$BA$3,"="&amp;$DF20+'Model Setup'!$M$7,$B20:$Y20)+'Model Setup'!$M$8*(SUMIF($AD$3:$BA$3,"&lt;"&amp;$DF20,$B20:$Y20)+SUMIF($AD$3:$BA$3,"&gt;="&amp;$DG20,$B20:$Y20)),
IF(AF$3=$DF20+'Model Setup'!$N$7,SUMIF($AD$3:$BA$3,"="&amp;$DF20+'Model Setup'!$N$7,$B20:$Y20)+'Model Setup'!$N$8*(SUMIF($AD$3:$BA$3,"&lt;"&amp;$DF20,$B20:$Y20)+SUMIF($AD$3:$BA$3,"&gt;="&amp;$DG20,$B20:$Y20)),
IF(AF$3&lt;$DG20,D20,0))))))))))))))),0)</f>
        <v>0</v>
      </c>
      <c r="AG20" s="47">
        <f>ROUND(IF(AG$3&lt;$DF20,0,
IF(AG$3=$DF20+'Model Setup'!$B$7,SUMIF($AD$3:$BA$3,"="&amp;$DF20+'Model Setup'!$B$7,$B20:$Y20)+'Model Setup'!$B$8*(SUMIF($AD$3:$BA$3,"&lt;"&amp;$DF20,$B20:$Y20)+SUMIF($AD$3:$BA$3,"&gt;="&amp;$DG20,$B20:$Y20)),
IF(AG$3=$DF20+'Model Setup'!$C$7,SUMIF($AD$3:$BA$3,"="&amp;$DF20+'Model Setup'!$C$7,$B20:$Y20)+'Model Setup'!$C$8*(SUMIF($AD$3:$BA$3,"&lt;"&amp;$DF20,$B20:$Y20)+SUMIF($AD$3:$BA$3,"&gt;="&amp;$DG20,$B20:$Y20)),
IF(AG$3=$DF20+'Model Setup'!$D$7,SUMIF($AD$3:$BA$3,"="&amp;$DF20+'Model Setup'!$D$7,$B20:$Y20)+'Model Setup'!$D$8*(SUMIF($AD$3:$BA$3,"&lt;"&amp;$DF20,$B20:$Y20)+SUMIF($AD$3:$BA$3,"&gt;="&amp;$DG20,$B20:$Y20)),
IF(AG$3=$DF20+'Model Setup'!$E$7,SUMIF($AD$3:$BA$3,"="&amp;$DF20+'Model Setup'!$E$7,$B20:$Y20)+'Model Setup'!$E$8*(SUMIF($AD$3:$BA$3,"&lt;"&amp;$DF20,$B20:$Y20)+SUMIF($AD$3:$BA$3,"&gt;="&amp;$DG20,$B20:$Y20)),
IF(AG$3=$DF20+'Model Setup'!$F$7,SUMIF($AD$3:$BA$3,"="&amp;$DF20+'Model Setup'!$F$7,$B20:$Y20)+'Model Setup'!$F$8*(SUMIF($AD$3:$BA$3,"&lt;"&amp;$DF20,$B20:$Y20)+SUMIF($AD$3:$BA$3,"&gt;="&amp;$DG20,$B20:$Y20)),
IF(AG$3=$DF20+'Model Setup'!$G$7,SUMIF($AD$3:$BA$3,"="&amp;$DF20+'Model Setup'!$G$7,$B20:$Y20)+'Model Setup'!$G$8*(SUMIF($AD$3:$BA$3,"&lt;"&amp;$DF20,$B20:$Y20)+SUMIF($AD$3:$BA$3,"&gt;="&amp;$DG20,$B20:$Y20)),
IF(AG$3=$DF20+'Model Setup'!$H$7,SUMIF($AD$3:$BA$3,"="&amp;$DF20+'Model Setup'!$H$7,$B20:$Y20)+'Model Setup'!$H$8*(SUMIF($AD$3:$BA$3,"&lt;"&amp;$DF20,$B20:$Y20)+SUMIF($AD$3:$BA$3,"&gt;="&amp;$DG20,$B20:$Y20)),
IF(AG$3=$DF20+'Model Setup'!$I$7,SUMIF($AD$3:$BA$3,"="&amp;$DF20+'Model Setup'!$I$7,$B20:$Y20)+'Model Setup'!$I$8*(SUMIF($AD$3:$BA$3,"&lt;"&amp;$DF20,$B20:$Y20)+SUMIF($AD$3:$BA$3,"&gt;="&amp;$DG20,$B20:$Y20)),
IF(AG$3=$DF20+'Model Setup'!$J$7,SUMIF($AD$3:$BA$3,"="&amp;$DF20+'Model Setup'!$J$7,$B20:$Y20)+'Model Setup'!$J$8*(SUMIF($AD$3:$BA$3,"&lt;"&amp;$DF20,$B20:$Y20)+SUMIF($AD$3:$BA$3,"&gt;="&amp;$DG20,$B20:$Y20)),
IF(AG$3=$DF20+'Model Setup'!$K$7,SUMIF($AD$3:$BA$3,"="&amp;$DF20+'Model Setup'!$K$7,$B20:$Y20)+'Model Setup'!$K$8*(SUMIF($AD$3:$BA$3,"&lt;"&amp;$DF20,$B20:$Y20)+SUMIF($AD$3:$BA$3,"&gt;="&amp;$DG20,$B20:$Y20)),
IF(AG$3=$DF20+'Model Setup'!$L$7,SUMIF($AD$3:$BA$3,"="&amp;$DF20+'Model Setup'!$L$7,$B20:$Y20)+'Model Setup'!$L$8*(SUMIF($AD$3:$BA$3,"&lt;"&amp;$DF20,$B20:$Y20)+SUMIF($AD$3:$BA$3,"&gt;="&amp;$DG20,$B20:$Y20)),
IF(AG$3=$DF20+'Model Setup'!$M$7,SUMIF($AD$3:$BA$3,"="&amp;$DF20+'Model Setup'!$M$7,$B20:$Y20)+'Model Setup'!$M$8*(SUMIF($AD$3:$BA$3,"&lt;"&amp;$DF20,$B20:$Y20)+SUMIF($AD$3:$BA$3,"&gt;="&amp;$DG20,$B20:$Y20)),
IF(AG$3=$DF20+'Model Setup'!$N$7,SUMIF($AD$3:$BA$3,"="&amp;$DF20+'Model Setup'!$N$7,$B20:$Y20)+'Model Setup'!$N$8*(SUMIF($AD$3:$BA$3,"&lt;"&amp;$DF20,$B20:$Y20)+SUMIF($AD$3:$BA$3,"&gt;="&amp;$DG20,$B20:$Y20)),
IF(AG$3&lt;$DG20,E20,0))))))))))))))),0)</f>
        <v>0</v>
      </c>
      <c r="AH20" s="47">
        <f>ROUND(IF(AH$3&lt;$DF20,0,
IF(AH$3=$DF20+'Model Setup'!$B$7,SUMIF($AD$3:$BA$3,"="&amp;$DF20+'Model Setup'!$B$7,$B20:$Y20)+'Model Setup'!$B$8*(SUMIF($AD$3:$BA$3,"&lt;"&amp;$DF20,$B20:$Y20)+SUMIF($AD$3:$BA$3,"&gt;="&amp;$DG20,$B20:$Y20)),
IF(AH$3=$DF20+'Model Setup'!$C$7,SUMIF($AD$3:$BA$3,"="&amp;$DF20+'Model Setup'!$C$7,$B20:$Y20)+'Model Setup'!$C$8*(SUMIF($AD$3:$BA$3,"&lt;"&amp;$DF20,$B20:$Y20)+SUMIF($AD$3:$BA$3,"&gt;="&amp;$DG20,$B20:$Y20)),
IF(AH$3=$DF20+'Model Setup'!$D$7,SUMIF($AD$3:$BA$3,"="&amp;$DF20+'Model Setup'!$D$7,$B20:$Y20)+'Model Setup'!$D$8*(SUMIF($AD$3:$BA$3,"&lt;"&amp;$DF20,$B20:$Y20)+SUMIF($AD$3:$BA$3,"&gt;="&amp;$DG20,$B20:$Y20)),
IF(AH$3=$DF20+'Model Setup'!$E$7,SUMIF($AD$3:$BA$3,"="&amp;$DF20+'Model Setup'!$E$7,$B20:$Y20)+'Model Setup'!$E$8*(SUMIF($AD$3:$BA$3,"&lt;"&amp;$DF20,$B20:$Y20)+SUMIF($AD$3:$BA$3,"&gt;="&amp;$DG20,$B20:$Y20)),
IF(AH$3=$DF20+'Model Setup'!$F$7,SUMIF($AD$3:$BA$3,"="&amp;$DF20+'Model Setup'!$F$7,$B20:$Y20)+'Model Setup'!$F$8*(SUMIF($AD$3:$BA$3,"&lt;"&amp;$DF20,$B20:$Y20)+SUMIF($AD$3:$BA$3,"&gt;="&amp;$DG20,$B20:$Y20)),
IF(AH$3=$DF20+'Model Setup'!$G$7,SUMIF($AD$3:$BA$3,"="&amp;$DF20+'Model Setup'!$G$7,$B20:$Y20)+'Model Setup'!$G$8*(SUMIF($AD$3:$BA$3,"&lt;"&amp;$DF20,$B20:$Y20)+SUMIF($AD$3:$BA$3,"&gt;="&amp;$DG20,$B20:$Y20)),
IF(AH$3=$DF20+'Model Setup'!$H$7,SUMIF($AD$3:$BA$3,"="&amp;$DF20+'Model Setup'!$H$7,$B20:$Y20)+'Model Setup'!$H$8*(SUMIF($AD$3:$BA$3,"&lt;"&amp;$DF20,$B20:$Y20)+SUMIF($AD$3:$BA$3,"&gt;="&amp;$DG20,$B20:$Y20)),
IF(AH$3=$DF20+'Model Setup'!$I$7,SUMIF($AD$3:$BA$3,"="&amp;$DF20+'Model Setup'!$I$7,$B20:$Y20)+'Model Setup'!$I$8*(SUMIF($AD$3:$BA$3,"&lt;"&amp;$DF20,$B20:$Y20)+SUMIF($AD$3:$BA$3,"&gt;="&amp;$DG20,$B20:$Y20)),
IF(AH$3=$DF20+'Model Setup'!$J$7,SUMIF($AD$3:$BA$3,"="&amp;$DF20+'Model Setup'!$J$7,$B20:$Y20)+'Model Setup'!$J$8*(SUMIF($AD$3:$BA$3,"&lt;"&amp;$DF20,$B20:$Y20)+SUMIF($AD$3:$BA$3,"&gt;="&amp;$DG20,$B20:$Y20)),
IF(AH$3=$DF20+'Model Setup'!$K$7,SUMIF($AD$3:$BA$3,"="&amp;$DF20+'Model Setup'!$K$7,$B20:$Y20)+'Model Setup'!$K$8*(SUMIF($AD$3:$BA$3,"&lt;"&amp;$DF20,$B20:$Y20)+SUMIF($AD$3:$BA$3,"&gt;="&amp;$DG20,$B20:$Y20)),
IF(AH$3=$DF20+'Model Setup'!$L$7,SUMIF($AD$3:$BA$3,"="&amp;$DF20+'Model Setup'!$L$7,$B20:$Y20)+'Model Setup'!$L$8*(SUMIF($AD$3:$BA$3,"&lt;"&amp;$DF20,$B20:$Y20)+SUMIF($AD$3:$BA$3,"&gt;="&amp;$DG20,$B20:$Y20)),
IF(AH$3=$DF20+'Model Setup'!$M$7,SUMIF($AD$3:$BA$3,"="&amp;$DF20+'Model Setup'!$M$7,$B20:$Y20)+'Model Setup'!$M$8*(SUMIF($AD$3:$BA$3,"&lt;"&amp;$DF20,$B20:$Y20)+SUMIF($AD$3:$BA$3,"&gt;="&amp;$DG20,$B20:$Y20)),
IF(AH$3=$DF20+'Model Setup'!$N$7,SUMIF($AD$3:$BA$3,"="&amp;$DF20+'Model Setup'!$N$7,$B20:$Y20)+'Model Setup'!$N$8*(SUMIF($AD$3:$BA$3,"&lt;"&amp;$DF20,$B20:$Y20)+SUMIF($AD$3:$BA$3,"&gt;="&amp;$DG20,$B20:$Y20)),
IF(AH$3&lt;$DG20,F20,0))))))))))))))),0)</f>
        <v>0</v>
      </c>
      <c r="AI20" s="47">
        <f>ROUND(IF(AI$3&lt;$DF20,0,
IF(AI$3=$DF20+'Model Setup'!$B$7,SUMIF($AD$3:$BA$3,"="&amp;$DF20+'Model Setup'!$B$7,$B20:$Y20)+'Model Setup'!$B$8*(SUMIF($AD$3:$BA$3,"&lt;"&amp;$DF20,$B20:$Y20)+SUMIF($AD$3:$BA$3,"&gt;="&amp;$DG20,$B20:$Y20)),
IF(AI$3=$DF20+'Model Setup'!$C$7,SUMIF($AD$3:$BA$3,"="&amp;$DF20+'Model Setup'!$C$7,$B20:$Y20)+'Model Setup'!$C$8*(SUMIF($AD$3:$BA$3,"&lt;"&amp;$DF20,$B20:$Y20)+SUMIF($AD$3:$BA$3,"&gt;="&amp;$DG20,$B20:$Y20)),
IF(AI$3=$DF20+'Model Setup'!$D$7,SUMIF($AD$3:$BA$3,"="&amp;$DF20+'Model Setup'!$D$7,$B20:$Y20)+'Model Setup'!$D$8*(SUMIF($AD$3:$BA$3,"&lt;"&amp;$DF20,$B20:$Y20)+SUMIF($AD$3:$BA$3,"&gt;="&amp;$DG20,$B20:$Y20)),
IF(AI$3=$DF20+'Model Setup'!$E$7,SUMIF($AD$3:$BA$3,"="&amp;$DF20+'Model Setup'!$E$7,$B20:$Y20)+'Model Setup'!$E$8*(SUMIF($AD$3:$BA$3,"&lt;"&amp;$DF20,$B20:$Y20)+SUMIF($AD$3:$BA$3,"&gt;="&amp;$DG20,$B20:$Y20)),
IF(AI$3=$DF20+'Model Setup'!$F$7,SUMIF($AD$3:$BA$3,"="&amp;$DF20+'Model Setup'!$F$7,$B20:$Y20)+'Model Setup'!$F$8*(SUMIF($AD$3:$BA$3,"&lt;"&amp;$DF20,$B20:$Y20)+SUMIF($AD$3:$BA$3,"&gt;="&amp;$DG20,$B20:$Y20)),
IF(AI$3=$DF20+'Model Setup'!$G$7,SUMIF($AD$3:$BA$3,"="&amp;$DF20+'Model Setup'!$G$7,$B20:$Y20)+'Model Setup'!$G$8*(SUMIF($AD$3:$BA$3,"&lt;"&amp;$DF20,$B20:$Y20)+SUMIF($AD$3:$BA$3,"&gt;="&amp;$DG20,$B20:$Y20)),
IF(AI$3=$DF20+'Model Setup'!$H$7,SUMIF($AD$3:$BA$3,"="&amp;$DF20+'Model Setup'!$H$7,$B20:$Y20)+'Model Setup'!$H$8*(SUMIF($AD$3:$BA$3,"&lt;"&amp;$DF20,$B20:$Y20)+SUMIF($AD$3:$BA$3,"&gt;="&amp;$DG20,$B20:$Y20)),
IF(AI$3=$DF20+'Model Setup'!$I$7,SUMIF($AD$3:$BA$3,"="&amp;$DF20+'Model Setup'!$I$7,$B20:$Y20)+'Model Setup'!$I$8*(SUMIF($AD$3:$BA$3,"&lt;"&amp;$DF20,$B20:$Y20)+SUMIF($AD$3:$BA$3,"&gt;="&amp;$DG20,$B20:$Y20)),
IF(AI$3=$DF20+'Model Setup'!$J$7,SUMIF($AD$3:$BA$3,"="&amp;$DF20+'Model Setup'!$J$7,$B20:$Y20)+'Model Setup'!$J$8*(SUMIF($AD$3:$BA$3,"&lt;"&amp;$DF20,$B20:$Y20)+SUMIF($AD$3:$BA$3,"&gt;="&amp;$DG20,$B20:$Y20)),
IF(AI$3=$DF20+'Model Setup'!$K$7,SUMIF($AD$3:$BA$3,"="&amp;$DF20+'Model Setup'!$K$7,$B20:$Y20)+'Model Setup'!$K$8*(SUMIF($AD$3:$BA$3,"&lt;"&amp;$DF20,$B20:$Y20)+SUMIF($AD$3:$BA$3,"&gt;="&amp;$DG20,$B20:$Y20)),
IF(AI$3=$DF20+'Model Setup'!$L$7,SUMIF($AD$3:$BA$3,"="&amp;$DF20+'Model Setup'!$L$7,$B20:$Y20)+'Model Setup'!$L$8*(SUMIF($AD$3:$BA$3,"&lt;"&amp;$DF20,$B20:$Y20)+SUMIF($AD$3:$BA$3,"&gt;="&amp;$DG20,$B20:$Y20)),
IF(AI$3=$DF20+'Model Setup'!$M$7,SUMIF($AD$3:$BA$3,"="&amp;$DF20+'Model Setup'!$M$7,$B20:$Y20)+'Model Setup'!$M$8*(SUMIF($AD$3:$BA$3,"&lt;"&amp;$DF20,$B20:$Y20)+SUMIF($AD$3:$BA$3,"&gt;="&amp;$DG20,$B20:$Y20)),
IF(AI$3=$DF20+'Model Setup'!$N$7,SUMIF($AD$3:$BA$3,"="&amp;$DF20+'Model Setup'!$N$7,$B20:$Y20)+'Model Setup'!$N$8*(SUMIF($AD$3:$BA$3,"&lt;"&amp;$DF20,$B20:$Y20)+SUMIF($AD$3:$BA$3,"&gt;="&amp;$DG20,$B20:$Y20)),
IF(AI$3&lt;$DG20,G20,0))))))))))))))),0)</f>
        <v>9</v>
      </c>
      <c r="AJ20" s="47">
        <f>ROUND(IF(AJ$3&lt;$DF20,0,
IF(AJ$3=$DF20+'Model Setup'!$B$7,SUMIF($AD$3:$BA$3,"="&amp;$DF20+'Model Setup'!$B$7,$B20:$Y20)+'Model Setup'!$B$8*(SUMIF($AD$3:$BA$3,"&lt;"&amp;$DF20,$B20:$Y20)+SUMIF($AD$3:$BA$3,"&gt;="&amp;$DG20,$B20:$Y20)),
IF(AJ$3=$DF20+'Model Setup'!$C$7,SUMIF($AD$3:$BA$3,"="&amp;$DF20+'Model Setup'!$C$7,$B20:$Y20)+'Model Setup'!$C$8*(SUMIF($AD$3:$BA$3,"&lt;"&amp;$DF20,$B20:$Y20)+SUMIF($AD$3:$BA$3,"&gt;="&amp;$DG20,$B20:$Y20)),
IF(AJ$3=$DF20+'Model Setup'!$D$7,SUMIF($AD$3:$BA$3,"="&amp;$DF20+'Model Setup'!$D$7,$B20:$Y20)+'Model Setup'!$D$8*(SUMIF($AD$3:$BA$3,"&lt;"&amp;$DF20,$B20:$Y20)+SUMIF($AD$3:$BA$3,"&gt;="&amp;$DG20,$B20:$Y20)),
IF(AJ$3=$DF20+'Model Setup'!$E$7,SUMIF($AD$3:$BA$3,"="&amp;$DF20+'Model Setup'!$E$7,$B20:$Y20)+'Model Setup'!$E$8*(SUMIF($AD$3:$BA$3,"&lt;"&amp;$DF20,$B20:$Y20)+SUMIF($AD$3:$BA$3,"&gt;="&amp;$DG20,$B20:$Y20)),
IF(AJ$3=$DF20+'Model Setup'!$F$7,SUMIF($AD$3:$BA$3,"="&amp;$DF20+'Model Setup'!$F$7,$B20:$Y20)+'Model Setup'!$F$8*(SUMIF($AD$3:$BA$3,"&lt;"&amp;$DF20,$B20:$Y20)+SUMIF($AD$3:$BA$3,"&gt;="&amp;$DG20,$B20:$Y20)),
IF(AJ$3=$DF20+'Model Setup'!$G$7,SUMIF($AD$3:$BA$3,"="&amp;$DF20+'Model Setup'!$G$7,$B20:$Y20)+'Model Setup'!$G$8*(SUMIF($AD$3:$BA$3,"&lt;"&amp;$DF20,$B20:$Y20)+SUMIF($AD$3:$BA$3,"&gt;="&amp;$DG20,$B20:$Y20)),
IF(AJ$3=$DF20+'Model Setup'!$H$7,SUMIF($AD$3:$BA$3,"="&amp;$DF20+'Model Setup'!$H$7,$B20:$Y20)+'Model Setup'!$H$8*(SUMIF($AD$3:$BA$3,"&lt;"&amp;$DF20,$B20:$Y20)+SUMIF($AD$3:$BA$3,"&gt;="&amp;$DG20,$B20:$Y20)),
IF(AJ$3=$DF20+'Model Setup'!$I$7,SUMIF($AD$3:$BA$3,"="&amp;$DF20+'Model Setup'!$I$7,$B20:$Y20)+'Model Setup'!$I$8*(SUMIF($AD$3:$BA$3,"&lt;"&amp;$DF20,$B20:$Y20)+SUMIF($AD$3:$BA$3,"&gt;="&amp;$DG20,$B20:$Y20)),
IF(AJ$3=$DF20+'Model Setup'!$J$7,SUMIF($AD$3:$BA$3,"="&amp;$DF20+'Model Setup'!$J$7,$B20:$Y20)+'Model Setup'!$J$8*(SUMIF($AD$3:$BA$3,"&lt;"&amp;$DF20,$B20:$Y20)+SUMIF($AD$3:$BA$3,"&gt;="&amp;$DG20,$B20:$Y20)),
IF(AJ$3=$DF20+'Model Setup'!$K$7,SUMIF($AD$3:$BA$3,"="&amp;$DF20+'Model Setup'!$K$7,$B20:$Y20)+'Model Setup'!$K$8*(SUMIF($AD$3:$BA$3,"&lt;"&amp;$DF20,$B20:$Y20)+SUMIF($AD$3:$BA$3,"&gt;="&amp;$DG20,$B20:$Y20)),
IF(AJ$3=$DF20+'Model Setup'!$L$7,SUMIF($AD$3:$BA$3,"="&amp;$DF20+'Model Setup'!$L$7,$B20:$Y20)+'Model Setup'!$L$8*(SUMIF($AD$3:$BA$3,"&lt;"&amp;$DF20,$B20:$Y20)+SUMIF($AD$3:$BA$3,"&gt;="&amp;$DG20,$B20:$Y20)),
IF(AJ$3=$DF20+'Model Setup'!$M$7,SUMIF($AD$3:$BA$3,"="&amp;$DF20+'Model Setup'!$M$7,$B20:$Y20)+'Model Setup'!$M$8*(SUMIF($AD$3:$BA$3,"&lt;"&amp;$DF20,$B20:$Y20)+SUMIF($AD$3:$BA$3,"&gt;="&amp;$DG20,$B20:$Y20)),
IF(AJ$3=$DF20+'Model Setup'!$N$7,SUMIF($AD$3:$BA$3,"="&amp;$DF20+'Model Setup'!$N$7,$B20:$Y20)+'Model Setup'!$N$8*(SUMIF($AD$3:$BA$3,"&lt;"&amp;$DF20,$B20:$Y20)+SUMIF($AD$3:$BA$3,"&gt;="&amp;$DG20,$B20:$Y20)),
IF(AJ$3&lt;$DG20,H20,0))))))))))))))),0)</f>
        <v>54</v>
      </c>
      <c r="AK20" s="47">
        <f>ROUND(IF(AK$3&lt;$DF20,0,
IF(AK$3=$DF20+'Model Setup'!$B$7,SUMIF($AD$3:$BA$3,"="&amp;$DF20+'Model Setup'!$B$7,$B20:$Y20)+'Model Setup'!$B$8*(SUMIF($AD$3:$BA$3,"&lt;"&amp;$DF20,$B20:$Y20)+SUMIF($AD$3:$BA$3,"&gt;="&amp;$DG20,$B20:$Y20)),
IF(AK$3=$DF20+'Model Setup'!$C$7,SUMIF($AD$3:$BA$3,"="&amp;$DF20+'Model Setup'!$C$7,$B20:$Y20)+'Model Setup'!$C$8*(SUMIF($AD$3:$BA$3,"&lt;"&amp;$DF20,$B20:$Y20)+SUMIF($AD$3:$BA$3,"&gt;="&amp;$DG20,$B20:$Y20)),
IF(AK$3=$DF20+'Model Setup'!$D$7,SUMIF($AD$3:$BA$3,"="&amp;$DF20+'Model Setup'!$D$7,$B20:$Y20)+'Model Setup'!$D$8*(SUMIF($AD$3:$BA$3,"&lt;"&amp;$DF20,$B20:$Y20)+SUMIF($AD$3:$BA$3,"&gt;="&amp;$DG20,$B20:$Y20)),
IF(AK$3=$DF20+'Model Setup'!$E$7,SUMIF($AD$3:$BA$3,"="&amp;$DF20+'Model Setup'!$E$7,$B20:$Y20)+'Model Setup'!$E$8*(SUMIF($AD$3:$BA$3,"&lt;"&amp;$DF20,$B20:$Y20)+SUMIF($AD$3:$BA$3,"&gt;="&amp;$DG20,$B20:$Y20)),
IF(AK$3=$DF20+'Model Setup'!$F$7,SUMIF($AD$3:$BA$3,"="&amp;$DF20+'Model Setup'!$F$7,$B20:$Y20)+'Model Setup'!$F$8*(SUMIF($AD$3:$BA$3,"&lt;"&amp;$DF20,$B20:$Y20)+SUMIF($AD$3:$BA$3,"&gt;="&amp;$DG20,$B20:$Y20)),
IF(AK$3=$DF20+'Model Setup'!$G$7,SUMIF($AD$3:$BA$3,"="&amp;$DF20+'Model Setup'!$G$7,$B20:$Y20)+'Model Setup'!$G$8*(SUMIF($AD$3:$BA$3,"&lt;"&amp;$DF20,$B20:$Y20)+SUMIF($AD$3:$BA$3,"&gt;="&amp;$DG20,$B20:$Y20)),
IF(AK$3=$DF20+'Model Setup'!$H$7,SUMIF($AD$3:$BA$3,"="&amp;$DF20+'Model Setup'!$H$7,$B20:$Y20)+'Model Setup'!$H$8*(SUMIF($AD$3:$BA$3,"&lt;"&amp;$DF20,$B20:$Y20)+SUMIF($AD$3:$BA$3,"&gt;="&amp;$DG20,$B20:$Y20)),
IF(AK$3=$DF20+'Model Setup'!$I$7,SUMIF($AD$3:$BA$3,"="&amp;$DF20+'Model Setup'!$I$7,$B20:$Y20)+'Model Setup'!$I$8*(SUMIF($AD$3:$BA$3,"&lt;"&amp;$DF20,$B20:$Y20)+SUMIF($AD$3:$BA$3,"&gt;="&amp;$DG20,$B20:$Y20)),
IF(AK$3=$DF20+'Model Setup'!$J$7,SUMIF($AD$3:$BA$3,"="&amp;$DF20+'Model Setup'!$J$7,$B20:$Y20)+'Model Setup'!$J$8*(SUMIF($AD$3:$BA$3,"&lt;"&amp;$DF20,$B20:$Y20)+SUMIF($AD$3:$BA$3,"&gt;="&amp;$DG20,$B20:$Y20)),
IF(AK$3=$DF20+'Model Setup'!$K$7,SUMIF($AD$3:$BA$3,"="&amp;$DF20+'Model Setup'!$K$7,$B20:$Y20)+'Model Setup'!$K$8*(SUMIF($AD$3:$BA$3,"&lt;"&amp;$DF20,$B20:$Y20)+SUMIF($AD$3:$BA$3,"&gt;="&amp;$DG20,$B20:$Y20)),
IF(AK$3=$DF20+'Model Setup'!$L$7,SUMIF($AD$3:$BA$3,"="&amp;$DF20+'Model Setup'!$L$7,$B20:$Y20)+'Model Setup'!$L$8*(SUMIF($AD$3:$BA$3,"&lt;"&amp;$DF20,$B20:$Y20)+SUMIF($AD$3:$BA$3,"&gt;="&amp;$DG20,$B20:$Y20)),
IF(AK$3=$DF20+'Model Setup'!$M$7,SUMIF($AD$3:$BA$3,"="&amp;$DF20+'Model Setup'!$M$7,$B20:$Y20)+'Model Setup'!$M$8*(SUMIF($AD$3:$BA$3,"&lt;"&amp;$DF20,$B20:$Y20)+SUMIF($AD$3:$BA$3,"&gt;="&amp;$DG20,$B20:$Y20)),
IF(AK$3=$DF20+'Model Setup'!$N$7,SUMIF($AD$3:$BA$3,"="&amp;$DF20+'Model Setup'!$N$7,$B20:$Y20)+'Model Setup'!$N$8*(SUMIF($AD$3:$BA$3,"&lt;"&amp;$DF20,$B20:$Y20)+SUMIF($AD$3:$BA$3,"&gt;="&amp;$DG20,$B20:$Y20)),
IF(AK$3&lt;$DG20,I20,0))))))))))))))),0)</f>
        <v>69</v>
      </c>
      <c r="AL20" s="47">
        <f>ROUND(IF(AL$3&lt;$DF20,0,
IF(AL$3=$DF20+'Model Setup'!$B$7,SUMIF($AD$3:$BA$3,"="&amp;$DF20+'Model Setup'!$B$7,$B20:$Y20)+'Model Setup'!$B$8*(SUMIF($AD$3:$BA$3,"&lt;"&amp;$DF20,$B20:$Y20)+SUMIF($AD$3:$BA$3,"&gt;="&amp;$DG20,$B20:$Y20)),
IF(AL$3=$DF20+'Model Setup'!$C$7,SUMIF($AD$3:$BA$3,"="&amp;$DF20+'Model Setup'!$C$7,$B20:$Y20)+'Model Setup'!$C$8*(SUMIF($AD$3:$BA$3,"&lt;"&amp;$DF20,$B20:$Y20)+SUMIF($AD$3:$BA$3,"&gt;="&amp;$DG20,$B20:$Y20)),
IF(AL$3=$DF20+'Model Setup'!$D$7,SUMIF($AD$3:$BA$3,"="&amp;$DF20+'Model Setup'!$D$7,$B20:$Y20)+'Model Setup'!$D$8*(SUMIF($AD$3:$BA$3,"&lt;"&amp;$DF20,$B20:$Y20)+SUMIF($AD$3:$BA$3,"&gt;="&amp;$DG20,$B20:$Y20)),
IF(AL$3=$DF20+'Model Setup'!$E$7,SUMIF($AD$3:$BA$3,"="&amp;$DF20+'Model Setup'!$E$7,$B20:$Y20)+'Model Setup'!$E$8*(SUMIF($AD$3:$BA$3,"&lt;"&amp;$DF20,$B20:$Y20)+SUMIF($AD$3:$BA$3,"&gt;="&amp;$DG20,$B20:$Y20)),
IF(AL$3=$DF20+'Model Setup'!$F$7,SUMIF($AD$3:$BA$3,"="&amp;$DF20+'Model Setup'!$F$7,$B20:$Y20)+'Model Setup'!$F$8*(SUMIF($AD$3:$BA$3,"&lt;"&amp;$DF20,$B20:$Y20)+SUMIF($AD$3:$BA$3,"&gt;="&amp;$DG20,$B20:$Y20)),
IF(AL$3=$DF20+'Model Setup'!$G$7,SUMIF($AD$3:$BA$3,"="&amp;$DF20+'Model Setup'!$G$7,$B20:$Y20)+'Model Setup'!$G$8*(SUMIF($AD$3:$BA$3,"&lt;"&amp;$DF20,$B20:$Y20)+SUMIF($AD$3:$BA$3,"&gt;="&amp;$DG20,$B20:$Y20)),
IF(AL$3=$DF20+'Model Setup'!$H$7,SUMIF($AD$3:$BA$3,"="&amp;$DF20+'Model Setup'!$H$7,$B20:$Y20)+'Model Setup'!$H$8*(SUMIF($AD$3:$BA$3,"&lt;"&amp;$DF20,$B20:$Y20)+SUMIF($AD$3:$BA$3,"&gt;="&amp;$DG20,$B20:$Y20)),
IF(AL$3=$DF20+'Model Setup'!$I$7,SUMIF($AD$3:$BA$3,"="&amp;$DF20+'Model Setup'!$I$7,$B20:$Y20)+'Model Setup'!$I$8*(SUMIF($AD$3:$BA$3,"&lt;"&amp;$DF20,$B20:$Y20)+SUMIF($AD$3:$BA$3,"&gt;="&amp;$DG20,$B20:$Y20)),
IF(AL$3=$DF20+'Model Setup'!$J$7,SUMIF($AD$3:$BA$3,"="&amp;$DF20+'Model Setup'!$J$7,$B20:$Y20)+'Model Setup'!$J$8*(SUMIF($AD$3:$BA$3,"&lt;"&amp;$DF20,$B20:$Y20)+SUMIF($AD$3:$BA$3,"&gt;="&amp;$DG20,$B20:$Y20)),
IF(AL$3=$DF20+'Model Setup'!$K$7,SUMIF($AD$3:$BA$3,"="&amp;$DF20+'Model Setup'!$K$7,$B20:$Y20)+'Model Setup'!$K$8*(SUMIF($AD$3:$BA$3,"&lt;"&amp;$DF20,$B20:$Y20)+SUMIF($AD$3:$BA$3,"&gt;="&amp;$DG20,$B20:$Y20)),
IF(AL$3=$DF20+'Model Setup'!$L$7,SUMIF($AD$3:$BA$3,"="&amp;$DF20+'Model Setup'!$L$7,$B20:$Y20)+'Model Setup'!$L$8*(SUMIF($AD$3:$BA$3,"&lt;"&amp;$DF20,$B20:$Y20)+SUMIF($AD$3:$BA$3,"&gt;="&amp;$DG20,$B20:$Y20)),
IF(AL$3=$DF20+'Model Setup'!$M$7,SUMIF($AD$3:$BA$3,"="&amp;$DF20+'Model Setup'!$M$7,$B20:$Y20)+'Model Setup'!$M$8*(SUMIF($AD$3:$BA$3,"&lt;"&amp;$DF20,$B20:$Y20)+SUMIF($AD$3:$BA$3,"&gt;="&amp;$DG20,$B20:$Y20)),
IF(AL$3=$DF20+'Model Setup'!$N$7,SUMIF($AD$3:$BA$3,"="&amp;$DF20+'Model Setup'!$N$7,$B20:$Y20)+'Model Setup'!$N$8*(SUMIF($AD$3:$BA$3,"&lt;"&amp;$DF20,$B20:$Y20)+SUMIF($AD$3:$BA$3,"&gt;="&amp;$DG20,$B20:$Y20)),
IF(AL$3&lt;$DG20,J20,0))))))))))))))),0)</f>
        <v>66</v>
      </c>
      <c r="AM20" s="47">
        <f>ROUND(IF(AM$3&lt;$DF20,0,
IF(AM$3=$DF20+'Model Setup'!$B$7,SUMIF($AD$3:$BA$3,"="&amp;$DF20+'Model Setup'!$B$7,$B20:$Y20)+'Model Setup'!$B$8*(SUMIF($AD$3:$BA$3,"&lt;"&amp;$DF20,$B20:$Y20)+SUMIF($AD$3:$BA$3,"&gt;="&amp;$DG20,$B20:$Y20)),
IF(AM$3=$DF20+'Model Setup'!$C$7,SUMIF($AD$3:$BA$3,"="&amp;$DF20+'Model Setup'!$C$7,$B20:$Y20)+'Model Setup'!$C$8*(SUMIF($AD$3:$BA$3,"&lt;"&amp;$DF20,$B20:$Y20)+SUMIF($AD$3:$BA$3,"&gt;="&amp;$DG20,$B20:$Y20)),
IF(AM$3=$DF20+'Model Setup'!$D$7,SUMIF($AD$3:$BA$3,"="&amp;$DF20+'Model Setup'!$D$7,$B20:$Y20)+'Model Setup'!$D$8*(SUMIF($AD$3:$BA$3,"&lt;"&amp;$DF20,$B20:$Y20)+SUMIF($AD$3:$BA$3,"&gt;="&amp;$DG20,$B20:$Y20)),
IF(AM$3=$DF20+'Model Setup'!$E$7,SUMIF($AD$3:$BA$3,"="&amp;$DF20+'Model Setup'!$E$7,$B20:$Y20)+'Model Setup'!$E$8*(SUMIF($AD$3:$BA$3,"&lt;"&amp;$DF20,$B20:$Y20)+SUMIF($AD$3:$BA$3,"&gt;="&amp;$DG20,$B20:$Y20)),
IF(AM$3=$DF20+'Model Setup'!$F$7,SUMIF($AD$3:$BA$3,"="&amp;$DF20+'Model Setup'!$F$7,$B20:$Y20)+'Model Setup'!$F$8*(SUMIF($AD$3:$BA$3,"&lt;"&amp;$DF20,$B20:$Y20)+SUMIF($AD$3:$BA$3,"&gt;="&amp;$DG20,$B20:$Y20)),
IF(AM$3=$DF20+'Model Setup'!$G$7,SUMIF($AD$3:$BA$3,"="&amp;$DF20+'Model Setup'!$G$7,$B20:$Y20)+'Model Setup'!$G$8*(SUMIF($AD$3:$BA$3,"&lt;"&amp;$DF20,$B20:$Y20)+SUMIF($AD$3:$BA$3,"&gt;="&amp;$DG20,$B20:$Y20)),
IF(AM$3=$DF20+'Model Setup'!$H$7,SUMIF($AD$3:$BA$3,"="&amp;$DF20+'Model Setup'!$H$7,$B20:$Y20)+'Model Setup'!$H$8*(SUMIF($AD$3:$BA$3,"&lt;"&amp;$DF20,$B20:$Y20)+SUMIF($AD$3:$BA$3,"&gt;="&amp;$DG20,$B20:$Y20)),
IF(AM$3=$DF20+'Model Setup'!$I$7,SUMIF($AD$3:$BA$3,"="&amp;$DF20+'Model Setup'!$I$7,$B20:$Y20)+'Model Setup'!$I$8*(SUMIF($AD$3:$BA$3,"&lt;"&amp;$DF20,$B20:$Y20)+SUMIF($AD$3:$BA$3,"&gt;="&amp;$DG20,$B20:$Y20)),
IF(AM$3=$DF20+'Model Setup'!$J$7,SUMIF($AD$3:$BA$3,"="&amp;$DF20+'Model Setup'!$J$7,$B20:$Y20)+'Model Setup'!$J$8*(SUMIF($AD$3:$BA$3,"&lt;"&amp;$DF20,$B20:$Y20)+SUMIF($AD$3:$BA$3,"&gt;="&amp;$DG20,$B20:$Y20)),
IF(AM$3=$DF20+'Model Setup'!$K$7,SUMIF($AD$3:$BA$3,"="&amp;$DF20+'Model Setup'!$K$7,$B20:$Y20)+'Model Setup'!$K$8*(SUMIF($AD$3:$BA$3,"&lt;"&amp;$DF20,$B20:$Y20)+SUMIF($AD$3:$BA$3,"&gt;="&amp;$DG20,$B20:$Y20)),
IF(AM$3=$DF20+'Model Setup'!$L$7,SUMIF($AD$3:$BA$3,"="&amp;$DF20+'Model Setup'!$L$7,$B20:$Y20)+'Model Setup'!$L$8*(SUMIF($AD$3:$BA$3,"&lt;"&amp;$DF20,$B20:$Y20)+SUMIF($AD$3:$BA$3,"&gt;="&amp;$DG20,$B20:$Y20)),
IF(AM$3=$DF20+'Model Setup'!$M$7,SUMIF($AD$3:$BA$3,"="&amp;$DF20+'Model Setup'!$M$7,$B20:$Y20)+'Model Setup'!$M$8*(SUMIF($AD$3:$BA$3,"&lt;"&amp;$DF20,$B20:$Y20)+SUMIF($AD$3:$BA$3,"&gt;="&amp;$DG20,$B20:$Y20)),
IF(AM$3=$DF20+'Model Setup'!$N$7,SUMIF($AD$3:$BA$3,"="&amp;$DF20+'Model Setup'!$N$7,$B20:$Y20)+'Model Setup'!$N$8*(SUMIF($AD$3:$BA$3,"&lt;"&amp;$DF20,$B20:$Y20)+SUMIF($AD$3:$BA$3,"&gt;="&amp;$DG20,$B20:$Y20)),
IF(AM$3&lt;$DG20,K20,0))))))))))))))),0)</f>
        <v>61</v>
      </c>
      <c r="AN20" s="47">
        <f>ROUND(IF(AN$3&lt;$DF20,0,
IF(AN$3=$DF20+'Model Setup'!$B$7,SUMIF($AD$3:$BA$3,"="&amp;$DF20+'Model Setup'!$B$7,$B20:$Y20)+'Model Setup'!$B$8*(SUMIF($AD$3:$BA$3,"&lt;"&amp;$DF20,$B20:$Y20)+SUMIF($AD$3:$BA$3,"&gt;="&amp;$DG20,$B20:$Y20)),
IF(AN$3=$DF20+'Model Setup'!$C$7,SUMIF($AD$3:$BA$3,"="&amp;$DF20+'Model Setup'!$C$7,$B20:$Y20)+'Model Setup'!$C$8*(SUMIF($AD$3:$BA$3,"&lt;"&amp;$DF20,$B20:$Y20)+SUMIF($AD$3:$BA$3,"&gt;="&amp;$DG20,$B20:$Y20)),
IF(AN$3=$DF20+'Model Setup'!$D$7,SUMIF($AD$3:$BA$3,"="&amp;$DF20+'Model Setup'!$D$7,$B20:$Y20)+'Model Setup'!$D$8*(SUMIF($AD$3:$BA$3,"&lt;"&amp;$DF20,$B20:$Y20)+SUMIF($AD$3:$BA$3,"&gt;="&amp;$DG20,$B20:$Y20)),
IF(AN$3=$DF20+'Model Setup'!$E$7,SUMIF($AD$3:$BA$3,"="&amp;$DF20+'Model Setup'!$E$7,$B20:$Y20)+'Model Setup'!$E$8*(SUMIF($AD$3:$BA$3,"&lt;"&amp;$DF20,$B20:$Y20)+SUMIF($AD$3:$BA$3,"&gt;="&amp;$DG20,$B20:$Y20)),
IF(AN$3=$DF20+'Model Setup'!$F$7,SUMIF($AD$3:$BA$3,"="&amp;$DF20+'Model Setup'!$F$7,$B20:$Y20)+'Model Setup'!$F$8*(SUMIF($AD$3:$BA$3,"&lt;"&amp;$DF20,$B20:$Y20)+SUMIF($AD$3:$BA$3,"&gt;="&amp;$DG20,$B20:$Y20)),
IF(AN$3=$DF20+'Model Setup'!$G$7,SUMIF($AD$3:$BA$3,"="&amp;$DF20+'Model Setup'!$G$7,$B20:$Y20)+'Model Setup'!$G$8*(SUMIF($AD$3:$BA$3,"&lt;"&amp;$DF20,$B20:$Y20)+SUMIF($AD$3:$BA$3,"&gt;="&amp;$DG20,$B20:$Y20)),
IF(AN$3=$DF20+'Model Setup'!$H$7,SUMIF($AD$3:$BA$3,"="&amp;$DF20+'Model Setup'!$H$7,$B20:$Y20)+'Model Setup'!$H$8*(SUMIF($AD$3:$BA$3,"&lt;"&amp;$DF20,$B20:$Y20)+SUMIF($AD$3:$BA$3,"&gt;="&amp;$DG20,$B20:$Y20)),
IF(AN$3=$DF20+'Model Setup'!$I$7,SUMIF($AD$3:$BA$3,"="&amp;$DF20+'Model Setup'!$I$7,$B20:$Y20)+'Model Setup'!$I$8*(SUMIF($AD$3:$BA$3,"&lt;"&amp;$DF20,$B20:$Y20)+SUMIF($AD$3:$BA$3,"&gt;="&amp;$DG20,$B20:$Y20)),
IF(AN$3=$DF20+'Model Setup'!$J$7,SUMIF($AD$3:$BA$3,"="&amp;$DF20+'Model Setup'!$J$7,$B20:$Y20)+'Model Setup'!$J$8*(SUMIF($AD$3:$BA$3,"&lt;"&amp;$DF20,$B20:$Y20)+SUMIF($AD$3:$BA$3,"&gt;="&amp;$DG20,$B20:$Y20)),
IF(AN$3=$DF20+'Model Setup'!$K$7,SUMIF($AD$3:$BA$3,"="&amp;$DF20+'Model Setup'!$K$7,$B20:$Y20)+'Model Setup'!$K$8*(SUMIF($AD$3:$BA$3,"&lt;"&amp;$DF20,$B20:$Y20)+SUMIF($AD$3:$BA$3,"&gt;="&amp;$DG20,$B20:$Y20)),
IF(AN$3=$DF20+'Model Setup'!$L$7,SUMIF($AD$3:$BA$3,"="&amp;$DF20+'Model Setup'!$L$7,$B20:$Y20)+'Model Setup'!$L$8*(SUMIF($AD$3:$BA$3,"&lt;"&amp;$DF20,$B20:$Y20)+SUMIF($AD$3:$BA$3,"&gt;="&amp;$DG20,$B20:$Y20)),
IF(AN$3=$DF20+'Model Setup'!$M$7,SUMIF($AD$3:$BA$3,"="&amp;$DF20+'Model Setup'!$M$7,$B20:$Y20)+'Model Setup'!$M$8*(SUMIF($AD$3:$BA$3,"&lt;"&amp;$DF20,$B20:$Y20)+SUMIF($AD$3:$BA$3,"&gt;="&amp;$DG20,$B20:$Y20)),
IF(AN$3=$DF20+'Model Setup'!$N$7,SUMIF($AD$3:$BA$3,"="&amp;$DF20+'Model Setup'!$N$7,$B20:$Y20)+'Model Setup'!$N$8*(SUMIF($AD$3:$BA$3,"&lt;"&amp;$DF20,$B20:$Y20)+SUMIF($AD$3:$BA$3,"&gt;="&amp;$DG20,$B20:$Y20)),
IF(AN$3&lt;$DG20,L20,0))))))))))))))),0)</f>
        <v>66</v>
      </c>
      <c r="AO20" s="47">
        <f>ROUND(IF(AO$3&lt;$DF20,0,
IF(AO$3=$DF20+'Model Setup'!$B$7,SUMIF($AD$3:$BA$3,"="&amp;$DF20+'Model Setup'!$B$7,$B20:$Y20)+'Model Setup'!$B$8*(SUMIF($AD$3:$BA$3,"&lt;"&amp;$DF20,$B20:$Y20)+SUMIF($AD$3:$BA$3,"&gt;="&amp;$DG20,$B20:$Y20)),
IF(AO$3=$DF20+'Model Setup'!$C$7,SUMIF($AD$3:$BA$3,"="&amp;$DF20+'Model Setup'!$C$7,$B20:$Y20)+'Model Setup'!$C$8*(SUMIF($AD$3:$BA$3,"&lt;"&amp;$DF20,$B20:$Y20)+SUMIF($AD$3:$BA$3,"&gt;="&amp;$DG20,$B20:$Y20)),
IF(AO$3=$DF20+'Model Setup'!$D$7,SUMIF($AD$3:$BA$3,"="&amp;$DF20+'Model Setup'!$D$7,$B20:$Y20)+'Model Setup'!$D$8*(SUMIF($AD$3:$BA$3,"&lt;"&amp;$DF20,$B20:$Y20)+SUMIF($AD$3:$BA$3,"&gt;="&amp;$DG20,$B20:$Y20)),
IF(AO$3=$DF20+'Model Setup'!$E$7,SUMIF($AD$3:$BA$3,"="&amp;$DF20+'Model Setup'!$E$7,$B20:$Y20)+'Model Setup'!$E$8*(SUMIF($AD$3:$BA$3,"&lt;"&amp;$DF20,$B20:$Y20)+SUMIF($AD$3:$BA$3,"&gt;="&amp;$DG20,$B20:$Y20)),
IF(AO$3=$DF20+'Model Setup'!$F$7,SUMIF($AD$3:$BA$3,"="&amp;$DF20+'Model Setup'!$F$7,$B20:$Y20)+'Model Setup'!$F$8*(SUMIF($AD$3:$BA$3,"&lt;"&amp;$DF20,$B20:$Y20)+SUMIF($AD$3:$BA$3,"&gt;="&amp;$DG20,$B20:$Y20)),
IF(AO$3=$DF20+'Model Setup'!$G$7,SUMIF($AD$3:$BA$3,"="&amp;$DF20+'Model Setup'!$G$7,$B20:$Y20)+'Model Setup'!$G$8*(SUMIF($AD$3:$BA$3,"&lt;"&amp;$DF20,$B20:$Y20)+SUMIF($AD$3:$BA$3,"&gt;="&amp;$DG20,$B20:$Y20)),
IF(AO$3=$DF20+'Model Setup'!$H$7,SUMIF($AD$3:$BA$3,"="&amp;$DF20+'Model Setup'!$H$7,$B20:$Y20)+'Model Setup'!$H$8*(SUMIF($AD$3:$BA$3,"&lt;"&amp;$DF20,$B20:$Y20)+SUMIF($AD$3:$BA$3,"&gt;="&amp;$DG20,$B20:$Y20)),
IF(AO$3=$DF20+'Model Setup'!$I$7,SUMIF($AD$3:$BA$3,"="&amp;$DF20+'Model Setup'!$I$7,$B20:$Y20)+'Model Setup'!$I$8*(SUMIF($AD$3:$BA$3,"&lt;"&amp;$DF20,$B20:$Y20)+SUMIF($AD$3:$BA$3,"&gt;="&amp;$DG20,$B20:$Y20)),
IF(AO$3=$DF20+'Model Setup'!$J$7,SUMIF($AD$3:$BA$3,"="&amp;$DF20+'Model Setup'!$J$7,$B20:$Y20)+'Model Setup'!$J$8*(SUMIF($AD$3:$BA$3,"&lt;"&amp;$DF20,$B20:$Y20)+SUMIF($AD$3:$BA$3,"&gt;="&amp;$DG20,$B20:$Y20)),
IF(AO$3=$DF20+'Model Setup'!$K$7,SUMIF($AD$3:$BA$3,"="&amp;$DF20+'Model Setup'!$K$7,$B20:$Y20)+'Model Setup'!$K$8*(SUMIF($AD$3:$BA$3,"&lt;"&amp;$DF20,$B20:$Y20)+SUMIF($AD$3:$BA$3,"&gt;="&amp;$DG20,$B20:$Y20)),
IF(AO$3=$DF20+'Model Setup'!$L$7,SUMIF($AD$3:$BA$3,"="&amp;$DF20+'Model Setup'!$L$7,$B20:$Y20)+'Model Setup'!$L$8*(SUMIF($AD$3:$BA$3,"&lt;"&amp;$DF20,$B20:$Y20)+SUMIF($AD$3:$BA$3,"&gt;="&amp;$DG20,$B20:$Y20)),
IF(AO$3=$DF20+'Model Setup'!$M$7,SUMIF($AD$3:$BA$3,"="&amp;$DF20+'Model Setup'!$M$7,$B20:$Y20)+'Model Setup'!$M$8*(SUMIF($AD$3:$BA$3,"&lt;"&amp;$DF20,$B20:$Y20)+SUMIF($AD$3:$BA$3,"&gt;="&amp;$DG20,$B20:$Y20)),
IF(AO$3=$DF20+'Model Setup'!$N$7,SUMIF($AD$3:$BA$3,"="&amp;$DF20+'Model Setup'!$N$7,$B20:$Y20)+'Model Setup'!$N$8*(SUMIF($AD$3:$BA$3,"&lt;"&amp;$DF20,$B20:$Y20)+SUMIF($AD$3:$BA$3,"&gt;="&amp;$DG20,$B20:$Y20)),
IF(AO$3&lt;$DG20,M20,0))))))))))))))),0)</f>
        <v>54</v>
      </c>
      <c r="AP20" s="47">
        <f>ROUND(IF(AP$3&lt;$DF20,0,
IF(AP$3=$DF20+'Model Setup'!$B$7,SUMIF($AD$3:$BA$3,"="&amp;$DF20+'Model Setup'!$B$7,$B20:$Y20)+'Model Setup'!$B$8*(SUMIF($AD$3:$BA$3,"&lt;"&amp;$DF20,$B20:$Y20)+SUMIF($AD$3:$BA$3,"&gt;="&amp;$DG20,$B20:$Y20)),
IF(AP$3=$DF20+'Model Setup'!$C$7,SUMIF($AD$3:$BA$3,"="&amp;$DF20+'Model Setup'!$C$7,$B20:$Y20)+'Model Setup'!$C$8*(SUMIF($AD$3:$BA$3,"&lt;"&amp;$DF20,$B20:$Y20)+SUMIF($AD$3:$BA$3,"&gt;="&amp;$DG20,$B20:$Y20)),
IF(AP$3=$DF20+'Model Setup'!$D$7,SUMIF($AD$3:$BA$3,"="&amp;$DF20+'Model Setup'!$D$7,$B20:$Y20)+'Model Setup'!$D$8*(SUMIF($AD$3:$BA$3,"&lt;"&amp;$DF20,$B20:$Y20)+SUMIF($AD$3:$BA$3,"&gt;="&amp;$DG20,$B20:$Y20)),
IF(AP$3=$DF20+'Model Setup'!$E$7,SUMIF($AD$3:$BA$3,"="&amp;$DF20+'Model Setup'!$E$7,$B20:$Y20)+'Model Setup'!$E$8*(SUMIF($AD$3:$BA$3,"&lt;"&amp;$DF20,$B20:$Y20)+SUMIF($AD$3:$BA$3,"&gt;="&amp;$DG20,$B20:$Y20)),
IF(AP$3=$DF20+'Model Setup'!$F$7,SUMIF($AD$3:$BA$3,"="&amp;$DF20+'Model Setup'!$F$7,$B20:$Y20)+'Model Setup'!$F$8*(SUMIF($AD$3:$BA$3,"&lt;"&amp;$DF20,$B20:$Y20)+SUMIF($AD$3:$BA$3,"&gt;="&amp;$DG20,$B20:$Y20)),
IF(AP$3=$DF20+'Model Setup'!$G$7,SUMIF($AD$3:$BA$3,"="&amp;$DF20+'Model Setup'!$G$7,$B20:$Y20)+'Model Setup'!$G$8*(SUMIF($AD$3:$BA$3,"&lt;"&amp;$DF20,$B20:$Y20)+SUMIF($AD$3:$BA$3,"&gt;="&amp;$DG20,$B20:$Y20)),
IF(AP$3=$DF20+'Model Setup'!$H$7,SUMIF($AD$3:$BA$3,"="&amp;$DF20+'Model Setup'!$H$7,$B20:$Y20)+'Model Setup'!$H$8*(SUMIF($AD$3:$BA$3,"&lt;"&amp;$DF20,$B20:$Y20)+SUMIF($AD$3:$BA$3,"&gt;="&amp;$DG20,$B20:$Y20)),
IF(AP$3=$DF20+'Model Setup'!$I$7,SUMIF($AD$3:$BA$3,"="&amp;$DF20+'Model Setup'!$I$7,$B20:$Y20)+'Model Setup'!$I$8*(SUMIF($AD$3:$BA$3,"&lt;"&amp;$DF20,$B20:$Y20)+SUMIF($AD$3:$BA$3,"&gt;="&amp;$DG20,$B20:$Y20)),
IF(AP$3=$DF20+'Model Setup'!$J$7,SUMIF($AD$3:$BA$3,"="&amp;$DF20+'Model Setup'!$J$7,$B20:$Y20)+'Model Setup'!$J$8*(SUMIF($AD$3:$BA$3,"&lt;"&amp;$DF20,$B20:$Y20)+SUMIF($AD$3:$BA$3,"&gt;="&amp;$DG20,$B20:$Y20)),
IF(AP$3=$DF20+'Model Setup'!$K$7,SUMIF($AD$3:$BA$3,"="&amp;$DF20+'Model Setup'!$K$7,$B20:$Y20)+'Model Setup'!$K$8*(SUMIF($AD$3:$BA$3,"&lt;"&amp;$DF20,$B20:$Y20)+SUMIF($AD$3:$BA$3,"&gt;="&amp;$DG20,$B20:$Y20)),
IF(AP$3=$DF20+'Model Setup'!$L$7,SUMIF($AD$3:$BA$3,"="&amp;$DF20+'Model Setup'!$L$7,$B20:$Y20)+'Model Setup'!$L$8*(SUMIF($AD$3:$BA$3,"&lt;"&amp;$DF20,$B20:$Y20)+SUMIF($AD$3:$BA$3,"&gt;="&amp;$DG20,$B20:$Y20)),
IF(AP$3=$DF20+'Model Setup'!$M$7,SUMIF($AD$3:$BA$3,"="&amp;$DF20+'Model Setup'!$M$7,$B20:$Y20)+'Model Setup'!$M$8*(SUMIF($AD$3:$BA$3,"&lt;"&amp;$DF20,$B20:$Y20)+SUMIF($AD$3:$BA$3,"&gt;="&amp;$DG20,$B20:$Y20)),
IF(AP$3=$DF20+'Model Setup'!$N$7,SUMIF($AD$3:$BA$3,"="&amp;$DF20+'Model Setup'!$N$7,$B20:$Y20)+'Model Setup'!$N$8*(SUMIF($AD$3:$BA$3,"&lt;"&amp;$DF20,$B20:$Y20)+SUMIF($AD$3:$BA$3,"&gt;="&amp;$DG20,$B20:$Y20)),
IF(AP$3&lt;$DG20,N20,0))))))))))))))),0)</f>
        <v>28</v>
      </c>
      <c r="AQ20" s="47">
        <f>ROUND(IF(AQ$3&lt;$DF20,0,
IF(AQ$3=$DF20+'Model Setup'!$B$7,SUMIF($AD$3:$BA$3,"="&amp;$DF20+'Model Setup'!$B$7,$B20:$Y20)+'Model Setup'!$B$8*(SUMIF($AD$3:$BA$3,"&lt;"&amp;$DF20,$B20:$Y20)+SUMIF($AD$3:$BA$3,"&gt;="&amp;$DG20,$B20:$Y20)),
IF(AQ$3=$DF20+'Model Setup'!$C$7,SUMIF($AD$3:$BA$3,"="&amp;$DF20+'Model Setup'!$C$7,$B20:$Y20)+'Model Setup'!$C$8*(SUMIF($AD$3:$BA$3,"&lt;"&amp;$DF20,$B20:$Y20)+SUMIF($AD$3:$BA$3,"&gt;="&amp;$DG20,$B20:$Y20)),
IF(AQ$3=$DF20+'Model Setup'!$D$7,SUMIF($AD$3:$BA$3,"="&amp;$DF20+'Model Setup'!$D$7,$B20:$Y20)+'Model Setup'!$D$8*(SUMIF($AD$3:$BA$3,"&lt;"&amp;$DF20,$B20:$Y20)+SUMIF($AD$3:$BA$3,"&gt;="&amp;$DG20,$B20:$Y20)),
IF(AQ$3=$DF20+'Model Setup'!$E$7,SUMIF($AD$3:$BA$3,"="&amp;$DF20+'Model Setup'!$E$7,$B20:$Y20)+'Model Setup'!$E$8*(SUMIF($AD$3:$BA$3,"&lt;"&amp;$DF20,$B20:$Y20)+SUMIF($AD$3:$BA$3,"&gt;="&amp;$DG20,$B20:$Y20)),
IF(AQ$3=$DF20+'Model Setup'!$F$7,SUMIF($AD$3:$BA$3,"="&amp;$DF20+'Model Setup'!$F$7,$B20:$Y20)+'Model Setup'!$F$8*(SUMIF($AD$3:$BA$3,"&lt;"&amp;$DF20,$B20:$Y20)+SUMIF($AD$3:$BA$3,"&gt;="&amp;$DG20,$B20:$Y20)),
IF(AQ$3=$DF20+'Model Setup'!$G$7,SUMIF($AD$3:$BA$3,"="&amp;$DF20+'Model Setup'!$G$7,$B20:$Y20)+'Model Setup'!$G$8*(SUMIF($AD$3:$BA$3,"&lt;"&amp;$DF20,$B20:$Y20)+SUMIF($AD$3:$BA$3,"&gt;="&amp;$DG20,$B20:$Y20)),
IF(AQ$3=$DF20+'Model Setup'!$H$7,SUMIF($AD$3:$BA$3,"="&amp;$DF20+'Model Setup'!$H$7,$B20:$Y20)+'Model Setup'!$H$8*(SUMIF($AD$3:$BA$3,"&lt;"&amp;$DF20,$B20:$Y20)+SUMIF($AD$3:$BA$3,"&gt;="&amp;$DG20,$B20:$Y20)),
IF(AQ$3=$DF20+'Model Setup'!$I$7,SUMIF($AD$3:$BA$3,"="&amp;$DF20+'Model Setup'!$I$7,$B20:$Y20)+'Model Setup'!$I$8*(SUMIF($AD$3:$BA$3,"&lt;"&amp;$DF20,$B20:$Y20)+SUMIF($AD$3:$BA$3,"&gt;="&amp;$DG20,$B20:$Y20)),
IF(AQ$3=$DF20+'Model Setup'!$J$7,SUMIF($AD$3:$BA$3,"="&amp;$DF20+'Model Setup'!$J$7,$B20:$Y20)+'Model Setup'!$J$8*(SUMIF($AD$3:$BA$3,"&lt;"&amp;$DF20,$B20:$Y20)+SUMIF($AD$3:$BA$3,"&gt;="&amp;$DG20,$B20:$Y20)),
IF(AQ$3=$DF20+'Model Setup'!$K$7,SUMIF($AD$3:$BA$3,"="&amp;$DF20+'Model Setup'!$K$7,$B20:$Y20)+'Model Setup'!$K$8*(SUMIF($AD$3:$BA$3,"&lt;"&amp;$DF20,$B20:$Y20)+SUMIF($AD$3:$BA$3,"&gt;="&amp;$DG20,$B20:$Y20)),
IF(AQ$3=$DF20+'Model Setup'!$L$7,SUMIF($AD$3:$BA$3,"="&amp;$DF20+'Model Setup'!$L$7,$B20:$Y20)+'Model Setup'!$L$8*(SUMIF($AD$3:$BA$3,"&lt;"&amp;$DF20,$B20:$Y20)+SUMIF($AD$3:$BA$3,"&gt;="&amp;$DG20,$B20:$Y20)),
IF(AQ$3=$DF20+'Model Setup'!$M$7,SUMIF($AD$3:$BA$3,"="&amp;$DF20+'Model Setup'!$M$7,$B20:$Y20)+'Model Setup'!$M$8*(SUMIF($AD$3:$BA$3,"&lt;"&amp;$DF20,$B20:$Y20)+SUMIF($AD$3:$BA$3,"&gt;="&amp;$DG20,$B20:$Y20)),
IF(AQ$3=$DF20+'Model Setup'!$N$7,SUMIF($AD$3:$BA$3,"="&amp;$DF20+'Model Setup'!$N$7,$B20:$Y20)+'Model Setup'!$N$8*(SUMIF($AD$3:$BA$3,"&lt;"&amp;$DF20,$B20:$Y20)+SUMIF($AD$3:$BA$3,"&gt;="&amp;$DG20,$B20:$Y20)),
IF(AQ$3&lt;$DG20,O20,0))))))))))))))),0)</f>
        <v>24</v>
      </c>
      <c r="AR20" s="47">
        <f>ROUND(IF(AR$3&lt;$DF20,0,
IF(AR$3=$DF20+'Model Setup'!$B$7,SUMIF($AD$3:$BA$3,"="&amp;$DF20+'Model Setup'!$B$7,$B20:$Y20)+'Model Setup'!$B$8*(SUMIF($AD$3:$BA$3,"&lt;"&amp;$DF20,$B20:$Y20)+SUMIF($AD$3:$BA$3,"&gt;="&amp;$DG20,$B20:$Y20)),
IF(AR$3=$DF20+'Model Setup'!$C$7,SUMIF($AD$3:$BA$3,"="&amp;$DF20+'Model Setup'!$C$7,$B20:$Y20)+'Model Setup'!$C$8*(SUMIF($AD$3:$BA$3,"&lt;"&amp;$DF20,$B20:$Y20)+SUMIF($AD$3:$BA$3,"&gt;="&amp;$DG20,$B20:$Y20)),
IF(AR$3=$DF20+'Model Setup'!$D$7,SUMIF($AD$3:$BA$3,"="&amp;$DF20+'Model Setup'!$D$7,$B20:$Y20)+'Model Setup'!$D$8*(SUMIF($AD$3:$BA$3,"&lt;"&amp;$DF20,$B20:$Y20)+SUMIF($AD$3:$BA$3,"&gt;="&amp;$DG20,$B20:$Y20)),
IF(AR$3=$DF20+'Model Setup'!$E$7,SUMIF($AD$3:$BA$3,"="&amp;$DF20+'Model Setup'!$E$7,$B20:$Y20)+'Model Setup'!$E$8*(SUMIF($AD$3:$BA$3,"&lt;"&amp;$DF20,$B20:$Y20)+SUMIF($AD$3:$BA$3,"&gt;="&amp;$DG20,$B20:$Y20)),
IF(AR$3=$DF20+'Model Setup'!$F$7,SUMIF($AD$3:$BA$3,"="&amp;$DF20+'Model Setup'!$F$7,$B20:$Y20)+'Model Setup'!$F$8*(SUMIF($AD$3:$BA$3,"&lt;"&amp;$DF20,$B20:$Y20)+SUMIF($AD$3:$BA$3,"&gt;="&amp;$DG20,$B20:$Y20)),
IF(AR$3=$DF20+'Model Setup'!$G$7,SUMIF($AD$3:$BA$3,"="&amp;$DF20+'Model Setup'!$G$7,$B20:$Y20)+'Model Setup'!$G$8*(SUMIF($AD$3:$BA$3,"&lt;"&amp;$DF20,$B20:$Y20)+SUMIF($AD$3:$BA$3,"&gt;="&amp;$DG20,$B20:$Y20)),
IF(AR$3=$DF20+'Model Setup'!$H$7,SUMIF($AD$3:$BA$3,"="&amp;$DF20+'Model Setup'!$H$7,$B20:$Y20)+'Model Setup'!$H$8*(SUMIF($AD$3:$BA$3,"&lt;"&amp;$DF20,$B20:$Y20)+SUMIF($AD$3:$BA$3,"&gt;="&amp;$DG20,$B20:$Y20)),
IF(AR$3=$DF20+'Model Setup'!$I$7,SUMIF($AD$3:$BA$3,"="&amp;$DF20+'Model Setup'!$I$7,$B20:$Y20)+'Model Setup'!$I$8*(SUMIF($AD$3:$BA$3,"&lt;"&amp;$DF20,$B20:$Y20)+SUMIF($AD$3:$BA$3,"&gt;="&amp;$DG20,$B20:$Y20)),
IF(AR$3=$DF20+'Model Setup'!$J$7,SUMIF($AD$3:$BA$3,"="&amp;$DF20+'Model Setup'!$J$7,$B20:$Y20)+'Model Setup'!$J$8*(SUMIF($AD$3:$BA$3,"&lt;"&amp;$DF20,$B20:$Y20)+SUMIF($AD$3:$BA$3,"&gt;="&amp;$DG20,$B20:$Y20)),
IF(AR$3=$DF20+'Model Setup'!$K$7,SUMIF($AD$3:$BA$3,"="&amp;$DF20+'Model Setup'!$K$7,$B20:$Y20)+'Model Setup'!$K$8*(SUMIF($AD$3:$BA$3,"&lt;"&amp;$DF20,$B20:$Y20)+SUMIF($AD$3:$BA$3,"&gt;="&amp;$DG20,$B20:$Y20)),
IF(AR$3=$DF20+'Model Setup'!$L$7,SUMIF($AD$3:$BA$3,"="&amp;$DF20+'Model Setup'!$L$7,$B20:$Y20)+'Model Setup'!$L$8*(SUMIF($AD$3:$BA$3,"&lt;"&amp;$DF20,$B20:$Y20)+SUMIF($AD$3:$BA$3,"&gt;="&amp;$DG20,$B20:$Y20)),
IF(AR$3=$DF20+'Model Setup'!$M$7,SUMIF($AD$3:$BA$3,"="&amp;$DF20+'Model Setup'!$M$7,$B20:$Y20)+'Model Setup'!$M$8*(SUMIF($AD$3:$BA$3,"&lt;"&amp;$DF20,$B20:$Y20)+SUMIF($AD$3:$BA$3,"&gt;="&amp;$DG20,$B20:$Y20)),
IF(AR$3=$DF20+'Model Setup'!$N$7,SUMIF($AD$3:$BA$3,"="&amp;$DF20+'Model Setup'!$N$7,$B20:$Y20)+'Model Setup'!$N$8*(SUMIF($AD$3:$BA$3,"&lt;"&amp;$DF20,$B20:$Y20)+SUMIF($AD$3:$BA$3,"&gt;="&amp;$DG20,$B20:$Y20)),
IF(AR$3&lt;$DG20,P20,0))))))))))))))),0)</f>
        <v>27</v>
      </c>
      <c r="AS20" s="47">
        <f>ROUND(IF(AS$3&lt;$DF20,0,
IF(AS$3=$DF20+'Model Setup'!$B$7,SUMIF($AD$3:$BA$3,"="&amp;$DF20+'Model Setup'!$B$7,$B20:$Y20)+'Model Setup'!$B$8*(SUMIF($AD$3:$BA$3,"&lt;"&amp;$DF20,$B20:$Y20)+SUMIF($AD$3:$BA$3,"&gt;="&amp;$DG20,$B20:$Y20)),
IF(AS$3=$DF20+'Model Setup'!$C$7,SUMIF($AD$3:$BA$3,"="&amp;$DF20+'Model Setup'!$C$7,$B20:$Y20)+'Model Setup'!$C$8*(SUMIF($AD$3:$BA$3,"&lt;"&amp;$DF20,$B20:$Y20)+SUMIF($AD$3:$BA$3,"&gt;="&amp;$DG20,$B20:$Y20)),
IF(AS$3=$DF20+'Model Setup'!$D$7,SUMIF($AD$3:$BA$3,"="&amp;$DF20+'Model Setup'!$D$7,$B20:$Y20)+'Model Setup'!$D$8*(SUMIF($AD$3:$BA$3,"&lt;"&amp;$DF20,$B20:$Y20)+SUMIF($AD$3:$BA$3,"&gt;="&amp;$DG20,$B20:$Y20)),
IF(AS$3=$DF20+'Model Setup'!$E$7,SUMIF($AD$3:$BA$3,"="&amp;$DF20+'Model Setup'!$E$7,$B20:$Y20)+'Model Setup'!$E$8*(SUMIF($AD$3:$BA$3,"&lt;"&amp;$DF20,$B20:$Y20)+SUMIF($AD$3:$BA$3,"&gt;="&amp;$DG20,$B20:$Y20)),
IF(AS$3=$DF20+'Model Setup'!$F$7,SUMIF($AD$3:$BA$3,"="&amp;$DF20+'Model Setup'!$F$7,$B20:$Y20)+'Model Setup'!$F$8*(SUMIF($AD$3:$BA$3,"&lt;"&amp;$DF20,$B20:$Y20)+SUMIF($AD$3:$BA$3,"&gt;="&amp;$DG20,$B20:$Y20)),
IF(AS$3=$DF20+'Model Setup'!$G$7,SUMIF($AD$3:$BA$3,"="&amp;$DF20+'Model Setup'!$G$7,$B20:$Y20)+'Model Setup'!$G$8*(SUMIF($AD$3:$BA$3,"&lt;"&amp;$DF20,$B20:$Y20)+SUMIF($AD$3:$BA$3,"&gt;="&amp;$DG20,$B20:$Y20)),
IF(AS$3=$DF20+'Model Setup'!$H$7,SUMIF($AD$3:$BA$3,"="&amp;$DF20+'Model Setup'!$H$7,$B20:$Y20)+'Model Setup'!$H$8*(SUMIF($AD$3:$BA$3,"&lt;"&amp;$DF20,$B20:$Y20)+SUMIF($AD$3:$BA$3,"&gt;="&amp;$DG20,$B20:$Y20)),
IF(AS$3=$DF20+'Model Setup'!$I$7,SUMIF($AD$3:$BA$3,"="&amp;$DF20+'Model Setup'!$I$7,$B20:$Y20)+'Model Setup'!$I$8*(SUMIF($AD$3:$BA$3,"&lt;"&amp;$DF20,$B20:$Y20)+SUMIF($AD$3:$BA$3,"&gt;="&amp;$DG20,$B20:$Y20)),
IF(AS$3=$DF20+'Model Setup'!$J$7,SUMIF($AD$3:$BA$3,"="&amp;$DF20+'Model Setup'!$J$7,$B20:$Y20)+'Model Setup'!$J$8*(SUMIF($AD$3:$BA$3,"&lt;"&amp;$DF20,$B20:$Y20)+SUMIF($AD$3:$BA$3,"&gt;="&amp;$DG20,$B20:$Y20)),
IF(AS$3=$DF20+'Model Setup'!$K$7,SUMIF($AD$3:$BA$3,"="&amp;$DF20+'Model Setup'!$K$7,$B20:$Y20)+'Model Setup'!$K$8*(SUMIF($AD$3:$BA$3,"&lt;"&amp;$DF20,$B20:$Y20)+SUMIF($AD$3:$BA$3,"&gt;="&amp;$DG20,$B20:$Y20)),
IF(AS$3=$DF20+'Model Setup'!$L$7,SUMIF($AD$3:$BA$3,"="&amp;$DF20+'Model Setup'!$L$7,$B20:$Y20)+'Model Setup'!$L$8*(SUMIF($AD$3:$BA$3,"&lt;"&amp;$DF20,$B20:$Y20)+SUMIF($AD$3:$BA$3,"&gt;="&amp;$DG20,$B20:$Y20)),
IF(AS$3=$DF20+'Model Setup'!$M$7,SUMIF($AD$3:$BA$3,"="&amp;$DF20+'Model Setup'!$M$7,$B20:$Y20)+'Model Setup'!$M$8*(SUMIF($AD$3:$BA$3,"&lt;"&amp;$DF20,$B20:$Y20)+SUMIF($AD$3:$BA$3,"&gt;="&amp;$DG20,$B20:$Y20)),
IF(AS$3=$DF20+'Model Setup'!$N$7,SUMIF($AD$3:$BA$3,"="&amp;$DF20+'Model Setup'!$N$7,$B20:$Y20)+'Model Setup'!$N$8*(SUMIF($AD$3:$BA$3,"&lt;"&amp;$DF20,$B20:$Y20)+SUMIF($AD$3:$BA$3,"&gt;="&amp;$DG20,$B20:$Y20)),
IF(AS$3&lt;$DG20,Q20,0))))))))))))))),0)</f>
        <v>31</v>
      </c>
      <c r="AT20" s="47">
        <f>ROUND(IF(AT$3&lt;$DF20,0,
IF(AT$3=$DF20+'Model Setup'!$B$7,SUMIF($AD$3:$BA$3,"="&amp;$DF20+'Model Setup'!$B$7,$B20:$Y20)+'Model Setup'!$B$8*(SUMIF($AD$3:$BA$3,"&lt;"&amp;$DF20,$B20:$Y20)+SUMIF($AD$3:$BA$3,"&gt;="&amp;$DG20,$B20:$Y20)),
IF(AT$3=$DF20+'Model Setup'!$C$7,SUMIF($AD$3:$BA$3,"="&amp;$DF20+'Model Setup'!$C$7,$B20:$Y20)+'Model Setup'!$C$8*(SUMIF($AD$3:$BA$3,"&lt;"&amp;$DF20,$B20:$Y20)+SUMIF($AD$3:$BA$3,"&gt;="&amp;$DG20,$B20:$Y20)),
IF(AT$3=$DF20+'Model Setup'!$D$7,SUMIF($AD$3:$BA$3,"="&amp;$DF20+'Model Setup'!$D$7,$B20:$Y20)+'Model Setup'!$D$8*(SUMIF($AD$3:$BA$3,"&lt;"&amp;$DF20,$B20:$Y20)+SUMIF($AD$3:$BA$3,"&gt;="&amp;$DG20,$B20:$Y20)),
IF(AT$3=$DF20+'Model Setup'!$E$7,SUMIF($AD$3:$BA$3,"="&amp;$DF20+'Model Setup'!$E$7,$B20:$Y20)+'Model Setup'!$E$8*(SUMIF($AD$3:$BA$3,"&lt;"&amp;$DF20,$B20:$Y20)+SUMIF($AD$3:$BA$3,"&gt;="&amp;$DG20,$B20:$Y20)),
IF(AT$3=$DF20+'Model Setup'!$F$7,SUMIF($AD$3:$BA$3,"="&amp;$DF20+'Model Setup'!$F$7,$B20:$Y20)+'Model Setup'!$F$8*(SUMIF($AD$3:$BA$3,"&lt;"&amp;$DF20,$B20:$Y20)+SUMIF($AD$3:$BA$3,"&gt;="&amp;$DG20,$B20:$Y20)),
IF(AT$3=$DF20+'Model Setup'!$G$7,SUMIF($AD$3:$BA$3,"="&amp;$DF20+'Model Setup'!$G$7,$B20:$Y20)+'Model Setup'!$G$8*(SUMIF($AD$3:$BA$3,"&lt;"&amp;$DF20,$B20:$Y20)+SUMIF($AD$3:$BA$3,"&gt;="&amp;$DG20,$B20:$Y20)),
IF(AT$3=$DF20+'Model Setup'!$H$7,SUMIF($AD$3:$BA$3,"="&amp;$DF20+'Model Setup'!$H$7,$B20:$Y20)+'Model Setup'!$H$8*(SUMIF($AD$3:$BA$3,"&lt;"&amp;$DF20,$B20:$Y20)+SUMIF($AD$3:$BA$3,"&gt;="&amp;$DG20,$B20:$Y20)),
IF(AT$3=$DF20+'Model Setup'!$I$7,SUMIF($AD$3:$BA$3,"="&amp;$DF20+'Model Setup'!$I$7,$B20:$Y20)+'Model Setup'!$I$8*(SUMIF($AD$3:$BA$3,"&lt;"&amp;$DF20,$B20:$Y20)+SUMIF($AD$3:$BA$3,"&gt;="&amp;$DG20,$B20:$Y20)),
IF(AT$3=$DF20+'Model Setup'!$J$7,SUMIF($AD$3:$BA$3,"="&amp;$DF20+'Model Setup'!$J$7,$B20:$Y20)+'Model Setup'!$J$8*(SUMIF($AD$3:$BA$3,"&lt;"&amp;$DF20,$B20:$Y20)+SUMIF($AD$3:$BA$3,"&gt;="&amp;$DG20,$B20:$Y20)),
IF(AT$3=$DF20+'Model Setup'!$K$7,SUMIF($AD$3:$BA$3,"="&amp;$DF20+'Model Setup'!$K$7,$B20:$Y20)+'Model Setup'!$K$8*(SUMIF($AD$3:$BA$3,"&lt;"&amp;$DF20,$B20:$Y20)+SUMIF($AD$3:$BA$3,"&gt;="&amp;$DG20,$B20:$Y20)),
IF(AT$3=$DF20+'Model Setup'!$L$7,SUMIF($AD$3:$BA$3,"="&amp;$DF20+'Model Setup'!$L$7,$B20:$Y20)+'Model Setup'!$L$8*(SUMIF($AD$3:$BA$3,"&lt;"&amp;$DF20,$B20:$Y20)+SUMIF($AD$3:$BA$3,"&gt;="&amp;$DG20,$B20:$Y20)),
IF(AT$3=$DF20+'Model Setup'!$M$7,SUMIF($AD$3:$BA$3,"="&amp;$DF20+'Model Setup'!$M$7,$B20:$Y20)+'Model Setup'!$M$8*(SUMIF($AD$3:$BA$3,"&lt;"&amp;$DF20,$B20:$Y20)+SUMIF($AD$3:$BA$3,"&gt;="&amp;$DG20,$B20:$Y20)),
IF(AT$3=$DF20+'Model Setup'!$N$7,SUMIF($AD$3:$BA$3,"="&amp;$DF20+'Model Setup'!$N$7,$B20:$Y20)+'Model Setup'!$N$8*(SUMIF($AD$3:$BA$3,"&lt;"&amp;$DF20,$B20:$Y20)+SUMIF($AD$3:$BA$3,"&gt;="&amp;$DG20,$B20:$Y20)),
IF(AT$3&lt;$DG20,R20,0))))))))))))))),0)</f>
        <v>42</v>
      </c>
      <c r="AU20" s="47">
        <f>ROUND(IF(AU$3&lt;$DF20,0,
IF(AU$3=$DF20+'Model Setup'!$B$7,SUMIF($AD$3:$BA$3,"="&amp;$DF20+'Model Setup'!$B$7,$B20:$Y20)+'Model Setup'!$B$8*(SUMIF($AD$3:$BA$3,"&lt;"&amp;$DF20,$B20:$Y20)+SUMIF($AD$3:$BA$3,"&gt;="&amp;$DG20,$B20:$Y20)),
IF(AU$3=$DF20+'Model Setup'!$C$7,SUMIF($AD$3:$BA$3,"="&amp;$DF20+'Model Setup'!$C$7,$B20:$Y20)+'Model Setup'!$C$8*(SUMIF($AD$3:$BA$3,"&lt;"&amp;$DF20,$B20:$Y20)+SUMIF($AD$3:$BA$3,"&gt;="&amp;$DG20,$B20:$Y20)),
IF(AU$3=$DF20+'Model Setup'!$D$7,SUMIF($AD$3:$BA$3,"="&amp;$DF20+'Model Setup'!$D$7,$B20:$Y20)+'Model Setup'!$D$8*(SUMIF($AD$3:$BA$3,"&lt;"&amp;$DF20,$B20:$Y20)+SUMIF($AD$3:$BA$3,"&gt;="&amp;$DG20,$B20:$Y20)),
IF(AU$3=$DF20+'Model Setup'!$E$7,SUMIF($AD$3:$BA$3,"="&amp;$DF20+'Model Setup'!$E$7,$B20:$Y20)+'Model Setup'!$E$8*(SUMIF($AD$3:$BA$3,"&lt;"&amp;$DF20,$B20:$Y20)+SUMIF($AD$3:$BA$3,"&gt;="&amp;$DG20,$B20:$Y20)),
IF(AU$3=$DF20+'Model Setup'!$F$7,SUMIF($AD$3:$BA$3,"="&amp;$DF20+'Model Setup'!$F$7,$B20:$Y20)+'Model Setup'!$F$8*(SUMIF($AD$3:$BA$3,"&lt;"&amp;$DF20,$B20:$Y20)+SUMIF($AD$3:$BA$3,"&gt;="&amp;$DG20,$B20:$Y20)),
IF(AU$3=$DF20+'Model Setup'!$G$7,SUMIF($AD$3:$BA$3,"="&amp;$DF20+'Model Setup'!$G$7,$B20:$Y20)+'Model Setup'!$G$8*(SUMIF($AD$3:$BA$3,"&lt;"&amp;$DF20,$B20:$Y20)+SUMIF($AD$3:$BA$3,"&gt;="&amp;$DG20,$B20:$Y20)),
IF(AU$3=$DF20+'Model Setup'!$H$7,SUMIF($AD$3:$BA$3,"="&amp;$DF20+'Model Setup'!$H$7,$B20:$Y20)+'Model Setup'!$H$8*(SUMIF($AD$3:$BA$3,"&lt;"&amp;$DF20,$B20:$Y20)+SUMIF($AD$3:$BA$3,"&gt;="&amp;$DG20,$B20:$Y20)),
IF(AU$3=$DF20+'Model Setup'!$I$7,SUMIF($AD$3:$BA$3,"="&amp;$DF20+'Model Setup'!$I$7,$B20:$Y20)+'Model Setup'!$I$8*(SUMIF($AD$3:$BA$3,"&lt;"&amp;$DF20,$B20:$Y20)+SUMIF($AD$3:$BA$3,"&gt;="&amp;$DG20,$B20:$Y20)),
IF(AU$3=$DF20+'Model Setup'!$J$7,SUMIF($AD$3:$BA$3,"="&amp;$DF20+'Model Setup'!$J$7,$B20:$Y20)+'Model Setup'!$J$8*(SUMIF($AD$3:$BA$3,"&lt;"&amp;$DF20,$B20:$Y20)+SUMIF($AD$3:$BA$3,"&gt;="&amp;$DG20,$B20:$Y20)),
IF(AU$3=$DF20+'Model Setup'!$K$7,SUMIF($AD$3:$BA$3,"="&amp;$DF20+'Model Setup'!$K$7,$B20:$Y20)+'Model Setup'!$K$8*(SUMIF($AD$3:$BA$3,"&lt;"&amp;$DF20,$B20:$Y20)+SUMIF($AD$3:$BA$3,"&gt;="&amp;$DG20,$B20:$Y20)),
IF(AU$3=$DF20+'Model Setup'!$L$7,SUMIF($AD$3:$BA$3,"="&amp;$DF20+'Model Setup'!$L$7,$B20:$Y20)+'Model Setup'!$L$8*(SUMIF($AD$3:$BA$3,"&lt;"&amp;$DF20,$B20:$Y20)+SUMIF($AD$3:$BA$3,"&gt;="&amp;$DG20,$B20:$Y20)),
IF(AU$3=$DF20+'Model Setup'!$M$7,SUMIF($AD$3:$BA$3,"="&amp;$DF20+'Model Setup'!$M$7,$B20:$Y20)+'Model Setup'!$M$8*(SUMIF($AD$3:$BA$3,"&lt;"&amp;$DF20,$B20:$Y20)+SUMIF($AD$3:$BA$3,"&gt;="&amp;$DG20,$B20:$Y20)),
IF(AU$3=$DF20+'Model Setup'!$N$7,SUMIF($AD$3:$BA$3,"="&amp;$DF20+'Model Setup'!$N$7,$B20:$Y20)+'Model Setup'!$N$8*(SUMIF($AD$3:$BA$3,"&lt;"&amp;$DF20,$B20:$Y20)+SUMIF($AD$3:$BA$3,"&gt;="&amp;$DG20,$B20:$Y20)),
IF(AU$3&lt;$DG20,S20,0))))))))))))))),0)</f>
        <v>30</v>
      </c>
      <c r="AV20" s="47">
        <f>ROUND(IF(AV$3&lt;$DF20,0,
IF(AV$3=$DF20+'Model Setup'!$B$7,SUMIF($AD$3:$BA$3,"="&amp;$DF20+'Model Setup'!$B$7,$B20:$Y20)+'Model Setup'!$B$8*(SUMIF($AD$3:$BA$3,"&lt;"&amp;$DF20,$B20:$Y20)+SUMIF($AD$3:$BA$3,"&gt;="&amp;$DG20,$B20:$Y20)),
IF(AV$3=$DF20+'Model Setup'!$C$7,SUMIF($AD$3:$BA$3,"="&amp;$DF20+'Model Setup'!$C$7,$B20:$Y20)+'Model Setup'!$C$8*(SUMIF($AD$3:$BA$3,"&lt;"&amp;$DF20,$B20:$Y20)+SUMIF($AD$3:$BA$3,"&gt;="&amp;$DG20,$B20:$Y20)),
IF(AV$3=$DF20+'Model Setup'!$D$7,SUMIF($AD$3:$BA$3,"="&amp;$DF20+'Model Setup'!$D$7,$B20:$Y20)+'Model Setup'!$D$8*(SUMIF($AD$3:$BA$3,"&lt;"&amp;$DF20,$B20:$Y20)+SUMIF($AD$3:$BA$3,"&gt;="&amp;$DG20,$B20:$Y20)),
IF(AV$3=$DF20+'Model Setup'!$E$7,SUMIF($AD$3:$BA$3,"="&amp;$DF20+'Model Setup'!$E$7,$B20:$Y20)+'Model Setup'!$E$8*(SUMIF($AD$3:$BA$3,"&lt;"&amp;$DF20,$B20:$Y20)+SUMIF($AD$3:$BA$3,"&gt;="&amp;$DG20,$B20:$Y20)),
IF(AV$3=$DF20+'Model Setup'!$F$7,SUMIF($AD$3:$BA$3,"="&amp;$DF20+'Model Setup'!$F$7,$B20:$Y20)+'Model Setup'!$F$8*(SUMIF($AD$3:$BA$3,"&lt;"&amp;$DF20,$B20:$Y20)+SUMIF($AD$3:$BA$3,"&gt;="&amp;$DG20,$B20:$Y20)),
IF(AV$3=$DF20+'Model Setup'!$G$7,SUMIF($AD$3:$BA$3,"="&amp;$DF20+'Model Setup'!$G$7,$B20:$Y20)+'Model Setup'!$G$8*(SUMIF($AD$3:$BA$3,"&lt;"&amp;$DF20,$B20:$Y20)+SUMIF($AD$3:$BA$3,"&gt;="&amp;$DG20,$B20:$Y20)),
IF(AV$3=$DF20+'Model Setup'!$H$7,SUMIF($AD$3:$BA$3,"="&amp;$DF20+'Model Setup'!$H$7,$B20:$Y20)+'Model Setup'!$H$8*(SUMIF($AD$3:$BA$3,"&lt;"&amp;$DF20,$B20:$Y20)+SUMIF($AD$3:$BA$3,"&gt;="&amp;$DG20,$B20:$Y20)),
IF(AV$3=$DF20+'Model Setup'!$I$7,SUMIF($AD$3:$BA$3,"="&amp;$DF20+'Model Setup'!$I$7,$B20:$Y20)+'Model Setup'!$I$8*(SUMIF($AD$3:$BA$3,"&lt;"&amp;$DF20,$B20:$Y20)+SUMIF($AD$3:$BA$3,"&gt;="&amp;$DG20,$B20:$Y20)),
IF(AV$3=$DF20+'Model Setup'!$J$7,SUMIF($AD$3:$BA$3,"="&amp;$DF20+'Model Setup'!$J$7,$B20:$Y20)+'Model Setup'!$J$8*(SUMIF($AD$3:$BA$3,"&lt;"&amp;$DF20,$B20:$Y20)+SUMIF($AD$3:$BA$3,"&gt;="&amp;$DG20,$B20:$Y20)),
IF(AV$3=$DF20+'Model Setup'!$K$7,SUMIF($AD$3:$BA$3,"="&amp;$DF20+'Model Setup'!$K$7,$B20:$Y20)+'Model Setup'!$K$8*(SUMIF($AD$3:$BA$3,"&lt;"&amp;$DF20,$B20:$Y20)+SUMIF($AD$3:$BA$3,"&gt;="&amp;$DG20,$B20:$Y20)),
IF(AV$3=$DF20+'Model Setup'!$L$7,SUMIF($AD$3:$BA$3,"="&amp;$DF20+'Model Setup'!$L$7,$B20:$Y20)+'Model Setup'!$L$8*(SUMIF($AD$3:$BA$3,"&lt;"&amp;$DF20,$B20:$Y20)+SUMIF($AD$3:$BA$3,"&gt;="&amp;$DG20,$B20:$Y20)),
IF(AV$3=$DF20+'Model Setup'!$M$7,SUMIF($AD$3:$BA$3,"="&amp;$DF20+'Model Setup'!$M$7,$B20:$Y20)+'Model Setup'!$M$8*(SUMIF($AD$3:$BA$3,"&lt;"&amp;$DF20,$B20:$Y20)+SUMIF($AD$3:$BA$3,"&gt;="&amp;$DG20,$B20:$Y20)),
IF(AV$3=$DF20+'Model Setup'!$N$7,SUMIF($AD$3:$BA$3,"="&amp;$DF20+'Model Setup'!$N$7,$B20:$Y20)+'Model Setup'!$N$8*(SUMIF($AD$3:$BA$3,"&lt;"&amp;$DF20,$B20:$Y20)+SUMIF($AD$3:$BA$3,"&gt;="&amp;$DG20,$B20:$Y20)),
IF(AV$3&lt;$DG20,T20,0))))))))))))))),0)</f>
        <v>0</v>
      </c>
      <c r="AW20" s="47">
        <f>ROUND(IF(AW$3&lt;$DF20,0,
IF(AW$3=$DF20+'Model Setup'!$B$7,SUMIF($AD$3:$BA$3,"="&amp;$DF20+'Model Setup'!$B$7,$B20:$Y20)+'Model Setup'!$B$8*(SUMIF($AD$3:$BA$3,"&lt;"&amp;$DF20,$B20:$Y20)+SUMIF($AD$3:$BA$3,"&gt;="&amp;$DG20,$B20:$Y20)),
IF(AW$3=$DF20+'Model Setup'!$C$7,SUMIF($AD$3:$BA$3,"="&amp;$DF20+'Model Setup'!$C$7,$B20:$Y20)+'Model Setup'!$C$8*(SUMIF($AD$3:$BA$3,"&lt;"&amp;$DF20,$B20:$Y20)+SUMIF($AD$3:$BA$3,"&gt;="&amp;$DG20,$B20:$Y20)),
IF(AW$3=$DF20+'Model Setup'!$D$7,SUMIF($AD$3:$BA$3,"="&amp;$DF20+'Model Setup'!$D$7,$B20:$Y20)+'Model Setup'!$D$8*(SUMIF($AD$3:$BA$3,"&lt;"&amp;$DF20,$B20:$Y20)+SUMIF($AD$3:$BA$3,"&gt;="&amp;$DG20,$B20:$Y20)),
IF(AW$3=$DF20+'Model Setup'!$E$7,SUMIF($AD$3:$BA$3,"="&amp;$DF20+'Model Setup'!$E$7,$B20:$Y20)+'Model Setup'!$E$8*(SUMIF($AD$3:$BA$3,"&lt;"&amp;$DF20,$B20:$Y20)+SUMIF($AD$3:$BA$3,"&gt;="&amp;$DG20,$B20:$Y20)),
IF(AW$3=$DF20+'Model Setup'!$F$7,SUMIF($AD$3:$BA$3,"="&amp;$DF20+'Model Setup'!$F$7,$B20:$Y20)+'Model Setup'!$F$8*(SUMIF($AD$3:$BA$3,"&lt;"&amp;$DF20,$B20:$Y20)+SUMIF($AD$3:$BA$3,"&gt;="&amp;$DG20,$B20:$Y20)),
IF(AW$3=$DF20+'Model Setup'!$G$7,SUMIF($AD$3:$BA$3,"="&amp;$DF20+'Model Setup'!$G$7,$B20:$Y20)+'Model Setup'!$G$8*(SUMIF($AD$3:$BA$3,"&lt;"&amp;$DF20,$B20:$Y20)+SUMIF($AD$3:$BA$3,"&gt;="&amp;$DG20,$B20:$Y20)),
IF(AW$3=$DF20+'Model Setup'!$H$7,SUMIF($AD$3:$BA$3,"="&amp;$DF20+'Model Setup'!$H$7,$B20:$Y20)+'Model Setup'!$H$8*(SUMIF($AD$3:$BA$3,"&lt;"&amp;$DF20,$B20:$Y20)+SUMIF($AD$3:$BA$3,"&gt;="&amp;$DG20,$B20:$Y20)),
IF(AW$3=$DF20+'Model Setup'!$I$7,SUMIF($AD$3:$BA$3,"="&amp;$DF20+'Model Setup'!$I$7,$B20:$Y20)+'Model Setup'!$I$8*(SUMIF($AD$3:$BA$3,"&lt;"&amp;$DF20,$B20:$Y20)+SUMIF($AD$3:$BA$3,"&gt;="&amp;$DG20,$B20:$Y20)),
IF(AW$3=$DF20+'Model Setup'!$J$7,SUMIF($AD$3:$BA$3,"="&amp;$DF20+'Model Setup'!$J$7,$B20:$Y20)+'Model Setup'!$J$8*(SUMIF($AD$3:$BA$3,"&lt;"&amp;$DF20,$B20:$Y20)+SUMIF($AD$3:$BA$3,"&gt;="&amp;$DG20,$B20:$Y20)),
IF(AW$3=$DF20+'Model Setup'!$K$7,SUMIF($AD$3:$BA$3,"="&amp;$DF20+'Model Setup'!$K$7,$B20:$Y20)+'Model Setup'!$K$8*(SUMIF($AD$3:$BA$3,"&lt;"&amp;$DF20,$B20:$Y20)+SUMIF($AD$3:$BA$3,"&gt;="&amp;$DG20,$B20:$Y20)),
IF(AW$3=$DF20+'Model Setup'!$L$7,SUMIF($AD$3:$BA$3,"="&amp;$DF20+'Model Setup'!$L$7,$B20:$Y20)+'Model Setup'!$L$8*(SUMIF($AD$3:$BA$3,"&lt;"&amp;$DF20,$B20:$Y20)+SUMIF($AD$3:$BA$3,"&gt;="&amp;$DG20,$B20:$Y20)),
IF(AW$3=$DF20+'Model Setup'!$M$7,SUMIF($AD$3:$BA$3,"="&amp;$DF20+'Model Setup'!$M$7,$B20:$Y20)+'Model Setup'!$M$8*(SUMIF($AD$3:$BA$3,"&lt;"&amp;$DF20,$B20:$Y20)+SUMIF($AD$3:$BA$3,"&gt;="&amp;$DG20,$B20:$Y20)),
IF(AW$3=$DF20+'Model Setup'!$N$7,SUMIF($AD$3:$BA$3,"="&amp;$DF20+'Model Setup'!$N$7,$B20:$Y20)+'Model Setup'!$N$8*(SUMIF($AD$3:$BA$3,"&lt;"&amp;$DF20,$B20:$Y20)+SUMIF($AD$3:$BA$3,"&gt;="&amp;$DG20,$B20:$Y20)),
IF(AW$3&lt;$DG20,U20,0))))))))))))))),0)</f>
        <v>0</v>
      </c>
      <c r="AX20" s="47">
        <f>ROUND(IF(AX$3&lt;$DF20,0,
IF(AX$3=$DF20+'Model Setup'!$B$7,SUMIF($AD$3:$BA$3,"="&amp;$DF20+'Model Setup'!$B$7,$B20:$Y20)+'Model Setup'!$B$8*(SUMIF($AD$3:$BA$3,"&lt;"&amp;$DF20,$B20:$Y20)+SUMIF($AD$3:$BA$3,"&gt;="&amp;$DG20,$B20:$Y20)),
IF(AX$3=$DF20+'Model Setup'!$C$7,SUMIF($AD$3:$BA$3,"="&amp;$DF20+'Model Setup'!$C$7,$B20:$Y20)+'Model Setup'!$C$8*(SUMIF($AD$3:$BA$3,"&lt;"&amp;$DF20,$B20:$Y20)+SUMIF($AD$3:$BA$3,"&gt;="&amp;$DG20,$B20:$Y20)),
IF(AX$3=$DF20+'Model Setup'!$D$7,SUMIF($AD$3:$BA$3,"="&amp;$DF20+'Model Setup'!$D$7,$B20:$Y20)+'Model Setup'!$D$8*(SUMIF($AD$3:$BA$3,"&lt;"&amp;$DF20,$B20:$Y20)+SUMIF($AD$3:$BA$3,"&gt;="&amp;$DG20,$B20:$Y20)),
IF(AX$3=$DF20+'Model Setup'!$E$7,SUMIF($AD$3:$BA$3,"="&amp;$DF20+'Model Setup'!$E$7,$B20:$Y20)+'Model Setup'!$E$8*(SUMIF($AD$3:$BA$3,"&lt;"&amp;$DF20,$B20:$Y20)+SUMIF($AD$3:$BA$3,"&gt;="&amp;$DG20,$B20:$Y20)),
IF(AX$3=$DF20+'Model Setup'!$F$7,SUMIF($AD$3:$BA$3,"="&amp;$DF20+'Model Setup'!$F$7,$B20:$Y20)+'Model Setup'!$F$8*(SUMIF($AD$3:$BA$3,"&lt;"&amp;$DF20,$B20:$Y20)+SUMIF($AD$3:$BA$3,"&gt;="&amp;$DG20,$B20:$Y20)),
IF(AX$3=$DF20+'Model Setup'!$G$7,SUMIF($AD$3:$BA$3,"="&amp;$DF20+'Model Setup'!$G$7,$B20:$Y20)+'Model Setup'!$G$8*(SUMIF($AD$3:$BA$3,"&lt;"&amp;$DF20,$B20:$Y20)+SUMIF($AD$3:$BA$3,"&gt;="&amp;$DG20,$B20:$Y20)),
IF(AX$3=$DF20+'Model Setup'!$H$7,SUMIF($AD$3:$BA$3,"="&amp;$DF20+'Model Setup'!$H$7,$B20:$Y20)+'Model Setup'!$H$8*(SUMIF($AD$3:$BA$3,"&lt;"&amp;$DF20,$B20:$Y20)+SUMIF($AD$3:$BA$3,"&gt;="&amp;$DG20,$B20:$Y20)),
IF(AX$3=$DF20+'Model Setup'!$I$7,SUMIF($AD$3:$BA$3,"="&amp;$DF20+'Model Setup'!$I$7,$B20:$Y20)+'Model Setup'!$I$8*(SUMIF($AD$3:$BA$3,"&lt;"&amp;$DF20,$B20:$Y20)+SUMIF($AD$3:$BA$3,"&gt;="&amp;$DG20,$B20:$Y20)),
IF(AX$3=$DF20+'Model Setup'!$J$7,SUMIF($AD$3:$BA$3,"="&amp;$DF20+'Model Setup'!$J$7,$B20:$Y20)+'Model Setup'!$J$8*(SUMIF($AD$3:$BA$3,"&lt;"&amp;$DF20,$B20:$Y20)+SUMIF($AD$3:$BA$3,"&gt;="&amp;$DG20,$B20:$Y20)),
IF(AX$3=$DF20+'Model Setup'!$K$7,SUMIF($AD$3:$BA$3,"="&amp;$DF20+'Model Setup'!$K$7,$B20:$Y20)+'Model Setup'!$K$8*(SUMIF($AD$3:$BA$3,"&lt;"&amp;$DF20,$B20:$Y20)+SUMIF($AD$3:$BA$3,"&gt;="&amp;$DG20,$B20:$Y20)),
IF(AX$3=$DF20+'Model Setup'!$L$7,SUMIF($AD$3:$BA$3,"="&amp;$DF20+'Model Setup'!$L$7,$B20:$Y20)+'Model Setup'!$L$8*(SUMIF($AD$3:$BA$3,"&lt;"&amp;$DF20,$B20:$Y20)+SUMIF($AD$3:$BA$3,"&gt;="&amp;$DG20,$B20:$Y20)),
IF(AX$3=$DF20+'Model Setup'!$M$7,SUMIF($AD$3:$BA$3,"="&amp;$DF20+'Model Setup'!$M$7,$B20:$Y20)+'Model Setup'!$M$8*(SUMIF($AD$3:$BA$3,"&lt;"&amp;$DF20,$B20:$Y20)+SUMIF($AD$3:$BA$3,"&gt;="&amp;$DG20,$B20:$Y20)),
IF(AX$3=$DF20+'Model Setup'!$N$7,SUMIF($AD$3:$BA$3,"="&amp;$DF20+'Model Setup'!$N$7,$B20:$Y20)+'Model Setup'!$N$8*(SUMIF($AD$3:$BA$3,"&lt;"&amp;$DF20,$B20:$Y20)+SUMIF($AD$3:$BA$3,"&gt;="&amp;$DG20,$B20:$Y20)),
IF(AX$3&lt;$DG20,V20,0))))))))))))))),0)</f>
        <v>0</v>
      </c>
      <c r="AY20" s="47">
        <f>ROUND(IF(AY$3&lt;$DF20,0,
IF(AY$3=$DF20+'Model Setup'!$B$7,SUMIF($AD$3:$BA$3,"="&amp;$DF20+'Model Setup'!$B$7,$B20:$Y20)+'Model Setup'!$B$8*(SUMIF($AD$3:$BA$3,"&lt;"&amp;$DF20,$B20:$Y20)+SUMIF($AD$3:$BA$3,"&gt;="&amp;$DG20,$B20:$Y20)),
IF(AY$3=$DF20+'Model Setup'!$C$7,SUMIF($AD$3:$BA$3,"="&amp;$DF20+'Model Setup'!$C$7,$B20:$Y20)+'Model Setup'!$C$8*(SUMIF($AD$3:$BA$3,"&lt;"&amp;$DF20,$B20:$Y20)+SUMIF($AD$3:$BA$3,"&gt;="&amp;$DG20,$B20:$Y20)),
IF(AY$3=$DF20+'Model Setup'!$D$7,SUMIF($AD$3:$BA$3,"="&amp;$DF20+'Model Setup'!$D$7,$B20:$Y20)+'Model Setup'!$D$8*(SUMIF($AD$3:$BA$3,"&lt;"&amp;$DF20,$B20:$Y20)+SUMIF($AD$3:$BA$3,"&gt;="&amp;$DG20,$B20:$Y20)),
IF(AY$3=$DF20+'Model Setup'!$E$7,SUMIF($AD$3:$BA$3,"="&amp;$DF20+'Model Setup'!$E$7,$B20:$Y20)+'Model Setup'!$E$8*(SUMIF($AD$3:$BA$3,"&lt;"&amp;$DF20,$B20:$Y20)+SUMIF($AD$3:$BA$3,"&gt;="&amp;$DG20,$B20:$Y20)),
IF(AY$3=$DF20+'Model Setup'!$F$7,SUMIF($AD$3:$BA$3,"="&amp;$DF20+'Model Setup'!$F$7,$B20:$Y20)+'Model Setup'!$F$8*(SUMIF($AD$3:$BA$3,"&lt;"&amp;$DF20,$B20:$Y20)+SUMIF($AD$3:$BA$3,"&gt;="&amp;$DG20,$B20:$Y20)),
IF(AY$3=$DF20+'Model Setup'!$G$7,SUMIF($AD$3:$BA$3,"="&amp;$DF20+'Model Setup'!$G$7,$B20:$Y20)+'Model Setup'!$G$8*(SUMIF($AD$3:$BA$3,"&lt;"&amp;$DF20,$B20:$Y20)+SUMIF($AD$3:$BA$3,"&gt;="&amp;$DG20,$B20:$Y20)),
IF(AY$3=$DF20+'Model Setup'!$H$7,SUMIF($AD$3:$BA$3,"="&amp;$DF20+'Model Setup'!$H$7,$B20:$Y20)+'Model Setup'!$H$8*(SUMIF($AD$3:$BA$3,"&lt;"&amp;$DF20,$B20:$Y20)+SUMIF($AD$3:$BA$3,"&gt;="&amp;$DG20,$B20:$Y20)),
IF(AY$3=$DF20+'Model Setup'!$I$7,SUMIF($AD$3:$BA$3,"="&amp;$DF20+'Model Setup'!$I$7,$B20:$Y20)+'Model Setup'!$I$8*(SUMIF($AD$3:$BA$3,"&lt;"&amp;$DF20,$B20:$Y20)+SUMIF($AD$3:$BA$3,"&gt;="&amp;$DG20,$B20:$Y20)),
IF(AY$3=$DF20+'Model Setup'!$J$7,SUMIF($AD$3:$BA$3,"="&amp;$DF20+'Model Setup'!$J$7,$B20:$Y20)+'Model Setup'!$J$8*(SUMIF($AD$3:$BA$3,"&lt;"&amp;$DF20,$B20:$Y20)+SUMIF($AD$3:$BA$3,"&gt;="&amp;$DG20,$B20:$Y20)),
IF(AY$3=$DF20+'Model Setup'!$K$7,SUMIF($AD$3:$BA$3,"="&amp;$DF20+'Model Setup'!$K$7,$B20:$Y20)+'Model Setup'!$K$8*(SUMIF($AD$3:$BA$3,"&lt;"&amp;$DF20,$B20:$Y20)+SUMIF($AD$3:$BA$3,"&gt;="&amp;$DG20,$B20:$Y20)),
IF(AY$3=$DF20+'Model Setup'!$L$7,SUMIF($AD$3:$BA$3,"="&amp;$DF20+'Model Setup'!$L$7,$B20:$Y20)+'Model Setup'!$L$8*(SUMIF($AD$3:$BA$3,"&lt;"&amp;$DF20,$B20:$Y20)+SUMIF($AD$3:$BA$3,"&gt;="&amp;$DG20,$B20:$Y20)),
IF(AY$3=$DF20+'Model Setup'!$M$7,SUMIF($AD$3:$BA$3,"="&amp;$DF20+'Model Setup'!$M$7,$B20:$Y20)+'Model Setup'!$M$8*(SUMIF($AD$3:$BA$3,"&lt;"&amp;$DF20,$B20:$Y20)+SUMIF($AD$3:$BA$3,"&gt;="&amp;$DG20,$B20:$Y20)),
IF(AY$3=$DF20+'Model Setup'!$N$7,SUMIF($AD$3:$BA$3,"="&amp;$DF20+'Model Setup'!$N$7,$B20:$Y20)+'Model Setup'!$N$8*(SUMIF($AD$3:$BA$3,"&lt;"&amp;$DF20,$B20:$Y20)+SUMIF($AD$3:$BA$3,"&gt;="&amp;$DG20,$B20:$Y20)),
IF(AY$3&lt;$DG20,W20,0))))))))))))))),0)</f>
        <v>0</v>
      </c>
      <c r="AZ20" s="47">
        <f>ROUND(IF(AZ$3&lt;$DF20,0,
IF(AZ$3=$DF20+'Model Setup'!$B$7,SUMIF($AD$3:$BA$3,"="&amp;$DF20+'Model Setup'!$B$7,$B20:$Y20)+'Model Setup'!$B$8*(SUMIF($AD$3:$BA$3,"&lt;"&amp;$DF20,$B20:$Y20)+SUMIF($AD$3:$BA$3,"&gt;="&amp;$DG20,$B20:$Y20)),
IF(AZ$3=$DF20+'Model Setup'!$C$7,SUMIF($AD$3:$BA$3,"="&amp;$DF20+'Model Setup'!$C$7,$B20:$Y20)+'Model Setup'!$C$8*(SUMIF($AD$3:$BA$3,"&lt;"&amp;$DF20,$B20:$Y20)+SUMIF($AD$3:$BA$3,"&gt;="&amp;$DG20,$B20:$Y20)),
IF(AZ$3=$DF20+'Model Setup'!$D$7,SUMIF($AD$3:$BA$3,"="&amp;$DF20+'Model Setup'!$D$7,$B20:$Y20)+'Model Setup'!$D$8*(SUMIF($AD$3:$BA$3,"&lt;"&amp;$DF20,$B20:$Y20)+SUMIF($AD$3:$BA$3,"&gt;="&amp;$DG20,$B20:$Y20)),
IF(AZ$3=$DF20+'Model Setup'!$E$7,SUMIF($AD$3:$BA$3,"="&amp;$DF20+'Model Setup'!$E$7,$B20:$Y20)+'Model Setup'!$E$8*(SUMIF($AD$3:$BA$3,"&lt;"&amp;$DF20,$B20:$Y20)+SUMIF($AD$3:$BA$3,"&gt;="&amp;$DG20,$B20:$Y20)),
IF(AZ$3=$DF20+'Model Setup'!$F$7,SUMIF($AD$3:$BA$3,"="&amp;$DF20+'Model Setup'!$F$7,$B20:$Y20)+'Model Setup'!$F$8*(SUMIF($AD$3:$BA$3,"&lt;"&amp;$DF20,$B20:$Y20)+SUMIF($AD$3:$BA$3,"&gt;="&amp;$DG20,$B20:$Y20)),
IF(AZ$3=$DF20+'Model Setup'!$G$7,SUMIF($AD$3:$BA$3,"="&amp;$DF20+'Model Setup'!$G$7,$B20:$Y20)+'Model Setup'!$G$8*(SUMIF($AD$3:$BA$3,"&lt;"&amp;$DF20,$B20:$Y20)+SUMIF($AD$3:$BA$3,"&gt;="&amp;$DG20,$B20:$Y20)),
IF(AZ$3=$DF20+'Model Setup'!$H$7,SUMIF($AD$3:$BA$3,"="&amp;$DF20+'Model Setup'!$H$7,$B20:$Y20)+'Model Setup'!$H$8*(SUMIF($AD$3:$BA$3,"&lt;"&amp;$DF20,$B20:$Y20)+SUMIF($AD$3:$BA$3,"&gt;="&amp;$DG20,$B20:$Y20)),
IF(AZ$3=$DF20+'Model Setup'!$I$7,SUMIF($AD$3:$BA$3,"="&amp;$DF20+'Model Setup'!$I$7,$B20:$Y20)+'Model Setup'!$I$8*(SUMIF($AD$3:$BA$3,"&lt;"&amp;$DF20,$B20:$Y20)+SUMIF($AD$3:$BA$3,"&gt;="&amp;$DG20,$B20:$Y20)),
IF(AZ$3=$DF20+'Model Setup'!$J$7,SUMIF($AD$3:$BA$3,"="&amp;$DF20+'Model Setup'!$J$7,$B20:$Y20)+'Model Setup'!$J$8*(SUMIF($AD$3:$BA$3,"&lt;"&amp;$DF20,$B20:$Y20)+SUMIF($AD$3:$BA$3,"&gt;="&amp;$DG20,$B20:$Y20)),
IF(AZ$3=$DF20+'Model Setup'!$K$7,SUMIF($AD$3:$BA$3,"="&amp;$DF20+'Model Setup'!$K$7,$B20:$Y20)+'Model Setup'!$K$8*(SUMIF($AD$3:$BA$3,"&lt;"&amp;$DF20,$B20:$Y20)+SUMIF($AD$3:$BA$3,"&gt;="&amp;$DG20,$B20:$Y20)),
IF(AZ$3=$DF20+'Model Setup'!$L$7,SUMIF($AD$3:$BA$3,"="&amp;$DF20+'Model Setup'!$L$7,$B20:$Y20)+'Model Setup'!$L$8*(SUMIF($AD$3:$BA$3,"&lt;"&amp;$DF20,$B20:$Y20)+SUMIF($AD$3:$BA$3,"&gt;="&amp;$DG20,$B20:$Y20)),
IF(AZ$3=$DF20+'Model Setup'!$M$7,SUMIF($AD$3:$BA$3,"="&amp;$DF20+'Model Setup'!$M$7,$B20:$Y20)+'Model Setup'!$M$8*(SUMIF($AD$3:$BA$3,"&lt;"&amp;$DF20,$B20:$Y20)+SUMIF($AD$3:$BA$3,"&gt;="&amp;$DG20,$B20:$Y20)),
IF(AZ$3=$DF20+'Model Setup'!$N$7,SUMIF($AD$3:$BA$3,"="&amp;$DF20+'Model Setup'!$N$7,$B20:$Y20)+'Model Setup'!$N$8*(SUMIF($AD$3:$BA$3,"&lt;"&amp;$DF20,$B20:$Y20)+SUMIF($AD$3:$BA$3,"&gt;="&amp;$DG20,$B20:$Y20)),
IF(AZ$3&lt;$DG20,X20,0))))))))))))))),0)</f>
        <v>0</v>
      </c>
      <c r="BA20" s="47">
        <f>ROUND(IF(BA$3&lt;$DF20,0,
IF(BA$3=$DF20+'Model Setup'!$B$7,SUMIF($AD$3:$BA$3,"="&amp;$DF20+'Model Setup'!$B$7,$B20:$Y20)+'Model Setup'!$B$8*(SUMIF($AD$3:$BA$3,"&lt;"&amp;$DF20,$B20:$Y20)+SUMIF($AD$3:$BA$3,"&gt;="&amp;$DG20,$B20:$Y20)),
IF(BA$3=$DF20+'Model Setup'!$C$7,SUMIF($AD$3:$BA$3,"="&amp;$DF20+'Model Setup'!$C$7,$B20:$Y20)+'Model Setup'!$C$8*(SUMIF($AD$3:$BA$3,"&lt;"&amp;$DF20,$B20:$Y20)+SUMIF($AD$3:$BA$3,"&gt;="&amp;$DG20,$B20:$Y20)),
IF(BA$3=$DF20+'Model Setup'!$D$7,SUMIF($AD$3:$BA$3,"="&amp;$DF20+'Model Setup'!$D$7,$B20:$Y20)+'Model Setup'!$D$8*(SUMIF($AD$3:$BA$3,"&lt;"&amp;$DF20,$B20:$Y20)+SUMIF($AD$3:$BA$3,"&gt;="&amp;$DG20,$B20:$Y20)),
IF(BA$3=$DF20+'Model Setup'!$E$7,SUMIF($AD$3:$BA$3,"="&amp;$DF20+'Model Setup'!$E$7,$B20:$Y20)+'Model Setup'!$E$8*(SUMIF($AD$3:$BA$3,"&lt;"&amp;$DF20,$B20:$Y20)+SUMIF($AD$3:$BA$3,"&gt;="&amp;$DG20,$B20:$Y20)),
IF(BA$3=$DF20+'Model Setup'!$F$7,SUMIF($AD$3:$BA$3,"="&amp;$DF20+'Model Setup'!$F$7,$B20:$Y20)+'Model Setup'!$F$8*(SUMIF($AD$3:$BA$3,"&lt;"&amp;$DF20,$B20:$Y20)+SUMIF($AD$3:$BA$3,"&gt;="&amp;$DG20,$B20:$Y20)),
IF(BA$3=$DF20+'Model Setup'!$G$7,SUMIF($AD$3:$BA$3,"="&amp;$DF20+'Model Setup'!$G$7,$B20:$Y20)+'Model Setup'!$G$8*(SUMIF($AD$3:$BA$3,"&lt;"&amp;$DF20,$B20:$Y20)+SUMIF($AD$3:$BA$3,"&gt;="&amp;$DG20,$B20:$Y20)),
IF(BA$3=$DF20+'Model Setup'!$H$7,SUMIF($AD$3:$BA$3,"="&amp;$DF20+'Model Setup'!$H$7,$B20:$Y20)+'Model Setup'!$H$8*(SUMIF($AD$3:$BA$3,"&lt;"&amp;$DF20,$B20:$Y20)+SUMIF($AD$3:$BA$3,"&gt;="&amp;$DG20,$B20:$Y20)),
IF(BA$3=$DF20+'Model Setup'!$I$7,SUMIF($AD$3:$BA$3,"="&amp;$DF20+'Model Setup'!$I$7,$B20:$Y20)+'Model Setup'!$I$8*(SUMIF($AD$3:$BA$3,"&lt;"&amp;$DF20,$B20:$Y20)+SUMIF($AD$3:$BA$3,"&gt;="&amp;$DG20,$B20:$Y20)),
IF(BA$3=$DF20+'Model Setup'!$J$7,SUMIF($AD$3:$BA$3,"="&amp;$DF20+'Model Setup'!$J$7,$B20:$Y20)+'Model Setup'!$J$8*(SUMIF($AD$3:$BA$3,"&lt;"&amp;$DF20,$B20:$Y20)+SUMIF($AD$3:$BA$3,"&gt;="&amp;$DG20,$B20:$Y20)),
IF(BA$3=$DF20+'Model Setup'!$K$7,SUMIF($AD$3:$BA$3,"="&amp;$DF20+'Model Setup'!$K$7,$B20:$Y20)+'Model Setup'!$K$8*(SUMIF($AD$3:$BA$3,"&lt;"&amp;$DF20,$B20:$Y20)+SUMIF($AD$3:$BA$3,"&gt;="&amp;$DG20,$B20:$Y20)),
IF(BA$3=$DF20+'Model Setup'!$L$7,SUMIF($AD$3:$BA$3,"="&amp;$DF20+'Model Setup'!$L$7,$B20:$Y20)+'Model Setup'!$L$8*(SUMIF($AD$3:$BA$3,"&lt;"&amp;$DF20,$B20:$Y20)+SUMIF($AD$3:$BA$3,"&gt;="&amp;$DG20,$B20:$Y20)),
IF(BA$3=$DF20+'Model Setup'!$M$7,SUMIF($AD$3:$BA$3,"="&amp;$DF20+'Model Setup'!$M$7,$B20:$Y20)+'Model Setup'!$M$8*(SUMIF($AD$3:$BA$3,"&lt;"&amp;$DF20,$B20:$Y20)+SUMIF($AD$3:$BA$3,"&gt;="&amp;$DG20,$B20:$Y20)),
IF(BA$3=$DF20+'Model Setup'!$N$7,SUMIF($AD$3:$BA$3,"="&amp;$DF20+'Model Setup'!$N$7,$B20:$Y20)+'Model Setup'!$N$8*(SUMIF($AD$3:$BA$3,"&lt;"&amp;$DF20,$B20:$Y20)+SUMIF($AD$3:$BA$3,"&gt;="&amp;$DG20,$B20:$Y20)),
IF(BA$3&lt;$DG20,Y20,0))))))))))))))),0)</f>
        <v>0</v>
      </c>
      <c r="BB20" s="47">
        <f t="shared" si="1"/>
        <v>561</v>
      </c>
      <c r="BD20" t="b">
        <f t="shared" si="2"/>
        <v>1</v>
      </c>
      <c r="BE20">
        <f t="shared" si="8"/>
        <v>0</v>
      </c>
      <c r="BF20">
        <f>(FTC!F18-FTC!E18)*24</f>
        <v>13</v>
      </c>
      <c r="BG20" s="43" t="s">
        <v>35</v>
      </c>
      <c r="BH20" s="47">
        <f>ROUND(IF(OR(BH$3&lt;$DF20,BH$3&gt;$CW$4),0,
IF(BH$3=$DF20+'Model Setup'!$B$7,SUMIF($BH$3:$CE$3,"="&amp;$DF20+'Model Setup'!$B$7,$AD20:$BA20)+'Model Setup'!$B$8*(SUMIF($BH$3:$CE$3,"&lt;"&amp;$DF20,$AD20:$BA20)+SUMIF($BH$3:$CE$3,"&gt;"&amp;$CW$4,$AD20:$BA20)),
IF(BH$3=$DF20+'Model Setup'!$C$7,SUMIF($BH$3:$CE$3,"="&amp;$DF20+'Model Setup'!$C$7,$AD20:$BA20)+'Model Setup'!$C$8*(SUMIF($BH$3:$CE$3,"&lt;"&amp;$DF20,$AD20:$BA20)+SUMIF($BH$3:$CE$3,"&gt;"&amp;$CW$4,$AD20:$BA20)),
IF(BH$3=$DF20+'Model Setup'!$D$7,SUMIF($BH$3:$CE$3,"="&amp;$DF20+'Model Setup'!$D$7,$AD20:$BA20)+'Model Setup'!$D$8*(SUMIF($BH$3:$CE$3,"&lt;"&amp;$DF20,$AD20:$BA20)+SUMIF($BH$3:$CE$3,"&gt;"&amp;$CW$4,$AD20:$BA20)),
IF(BH$3=$DF20+'Model Setup'!$E$7,SUMIF($BH$3:$CE$3,"="&amp;$DF20+'Model Setup'!$E$7,$AD20:$BA20)+'Model Setup'!$E$8*(SUMIF($BH$3:$CE$3,"&lt;"&amp;$DF20,$AD20:$BA20)+SUMIF($BH$3:$CE$3,"&gt;"&amp;$CW$4,$AD20:$BA20)),
IF(BH$3=$DF20+'Model Setup'!$F$7,SUMIF($BH$3:$CE$3,"="&amp;$DF20+'Model Setup'!$F$7,$AD20:$BA20)+'Model Setup'!$F$8*(SUMIF($BH$3:$CE$3,"&lt;"&amp;$DF20,$AD20:$BA20)+SUMIF($BH$3:$CE$3,"&gt;"&amp;$CW$4,$AD20:$BA20)),
IF(BH$3=$DF20+'Model Setup'!$G$7,SUMIF($BH$3:$CE$3,"="&amp;$DF20+'Model Setup'!$G$7,$AD20:$BA20)+'Model Setup'!$G$8*(SUMIF($BH$3:$CE$3,"&lt;"&amp;$DF20,$AD20:$BA20)+SUMIF($BH$3:$CE$3,"&gt;"&amp;$CW$4,$AD20:$BA20)),
IF(BH$3=$DF20+'Model Setup'!$H$7,SUMIF($BH$3:$CE$3,"="&amp;$DF20+'Model Setup'!$H$7,$AD20:$BA20)+'Model Setup'!$H$8*(SUMIF($BH$3:$CE$3,"&lt;"&amp;$DF20,$AD20:$BA20)+SUMIF($BH$3:$CE$3,"&gt;"&amp;$CW$4,$AD20:$BA20)),
IF(BH$3=$DF20+'Model Setup'!$I$7,SUMIF($BH$3:$CE$3,"="&amp;$DF20+'Model Setup'!$I$7,$AD20:$BA20)+'Model Setup'!$I$8*(SUMIF($BH$3:$CE$3,"&lt;"&amp;$DF20,$AD20:$BA20)+SUMIF($BH$3:$CE$3,"&gt;"&amp;$CW$4,$AD20:$BA20)),
IF(BH$3=$DF20+'Model Setup'!$J$7,SUMIF($BH$3:$CE$3,"="&amp;$DF20+'Model Setup'!$J$7,$AD20:$BA20)+'Model Setup'!$J$8*(SUMIF($BH$3:$CE$3,"&lt;"&amp;$DF20,$AD20:$BA20)+SUMIF($BH$3:$CE$3,"&gt;"&amp;$CW$4,$AD20:$BA20)),
IF(BH$3=$DF20+'Model Setup'!$K$7,SUMIF($BH$3:$CE$3,"="&amp;$DF20+'Model Setup'!$K$7,$AD20:$BA20)+'Model Setup'!$K$8*(SUMIF($BH$3:$CE$3,"&lt;"&amp;$DF20,$AD20:$BA20)+SUMIF($BH$3:$CE$3,"&gt;"&amp;$CW$4,$AD20:$BA20)),
IF(BH$3=$DF20+'Model Setup'!$L$7,SUMIF($BH$3:$CE$3,"="&amp;$DF20+'Model Setup'!$L$7,$AD20:$BA20)+'Model Setup'!$L$8*(SUMIF($BH$3:$CE$3,"&lt;"&amp;$DF20,$AD20:$BA20)+SUMIF($BH$3:$CE$3,"&gt;"&amp;$CW$4,$AD20:$BA20)),
IF(BH$3=$DF20+'Model Setup'!$M$7,SUMIF($BH$3:$CE$3,"="&amp;$DF20+'Model Setup'!$M$7,$AD20:$BA20)+'Model Setup'!$M$8*(SUMIF($BH$3:$CE$3,"&lt;"&amp;$DF20,$AD20:$BA20)+SUMIF($BH$3:$CE$3,"&gt;"&amp;$CW$4,$AD20:$BA20)),
IF(BH$3=$DF20+'Model Setup'!$N$7,SUMIF($BH$3:$CE$3,"="&amp;$DF20+'Model Setup'!$N$7,$AD20:$BA20)+'Model Setup'!$N$8*(SUMIF($BH$3:$CE$3,"&lt;"&amp;$DF20,$AD20:$BA20)+SUMIF($BH$3:$CE$3,"&gt;"&amp;$CW$4,$AD20:$BA20)),
IF(BH$3&lt;$CW$4,B20,0))))))))))))))),0)</f>
        <v>0</v>
      </c>
      <c r="BI20" s="47">
        <f>ROUND(IF(OR(BI$3&lt;$DF20,BI$3&gt;$CW$4),0,
IF(BI$3=$DF20+'Model Setup'!$B$7,SUMIF($BH$3:$CE$3,"="&amp;$DF20+'Model Setup'!$B$7,$AD20:$BA20)+'Model Setup'!$B$8*(SUMIF($BH$3:$CE$3,"&lt;"&amp;$DF20,$AD20:$BA20)+SUMIF($BH$3:$CE$3,"&gt;"&amp;$CW$4,$AD20:$BA20)),
IF(BI$3=$DF20+'Model Setup'!$C$7,SUMIF($BH$3:$CE$3,"="&amp;$DF20+'Model Setup'!$C$7,$AD20:$BA20)+'Model Setup'!$C$8*(SUMIF($BH$3:$CE$3,"&lt;"&amp;$DF20,$AD20:$BA20)+SUMIF($BH$3:$CE$3,"&gt;"&amp;$CW$4,$AD20:$BA20)),
IF(BI$3=$DF20+'Model Setup'!$D$7,SUMIF($BH$3:$CE$3,"="&amp;$DF20+'Model Setup'!$D$7,$AD20:$BA20)+'Model Setup'!$D$8*(SUMIF($BH$3:$CE$3,"&lt;"&amp;$DF20,$AD20:$BA20)+SUMIF($BH$3:$CE$3,"&gt;"&amp;$CW$4,$AD20:$BA20)),
IF(BI$3=$DF20+'Model Setup'!$E$7,SUMIF($BH$3:$CE$3,"="&amp;$DF20+'Model Setup'!$E$7,$AD20:$BA20)+'Model Setup'!$E$8*(SUMIF($BH$3:$CE$3,"&lt;"&amp;$DF20,$AD20:$BA20)+SUMIF($BH$3:$CE$3,"&gt;"&amp;$CW$4,$AD20:$BA20)),
IF(BI$3=$DF20+'Model Setup'!$F$7,SUMIF($BH$3:$CE$3,"="&amp;$DF20+'Model Setup'!$F$7,$AD20:$BA20)+'Model Setup'!$F$8*(SUMIF($BH$3:$CE$3,"&lt;"&amp;$DF20,$AD20:$BA20)+SUMIF($BH$3:$CE$3,"&gt;"&amp;$CW$4,$AD20:$BA20)),
IF(BI$3=$DF20+'Model Setup'!$G$7,SUMIF($BH$3:$CE$3,"="&amp;$DF20+'Model Setup'!$G$7,$AD20:$BA20)+'Model Setup'!$G$8*(SUMIF($BH$3:$CE$3,"&lt;"&amp;$DF20,$AD20:$BA20)+SUMIF($BH$3:$CE$3,"&gt;"&amp;$CW$4,$AD20:$BA20)),
IF(BI$3=$DF20+'Model Setup'!$H$7,SUMIF($BH$3:$CE$3,"="&amp;$DF20+'Model Setup'!$H$7,$AD20:$BA20)+'Model Setup'!$H$8*(SUMIF($BH$3:$CE$3,"&lt;"&amp;$DF20,$AD20:$BA20)+SUMIF($BH$3:$CE$3,"&gt;"&amp;$CW$4,$AD20:$BA20)),
IF(BI$3=$DF20+'Model Setup'!$I$7,SUMIF($BH$3:$CE$3,"="&amp;$DF20+'Model Setup'!$I$7,$AD20:$BA20)+'Model Setup'!$I$8*(SUMIF($BH$3:$CE$3,"&lt;"&amp;$DF20,$AD20:$BA20)+SUMIF($BH$3:$CE$3,"&gt;"&amp;$CW$4,$AD20:$BA20)),
IF(BI$3=$DF20+'Model Setup'!$J$7,SUMIF($BH$3:$CE$3,"="&amp;$DF20+'Model Setup'!$J$7,$AD20:$BA20)+'Model Setup'!$J$8*(SUMIF($BH$3:$CE$3,"&lt;"&amp;$DF20,$AD20:$BA20)+SUMIF($BH$3:$CE$3,"&gt;"&amp;$CW$4,$AD20:$BA20)),
IF(BI$3=$DF20+'Model Setup'!$K$7,SUMIF($BH$3:$CE$3,"="&amp;$DF20+'Model Setup'!$K$7,$AD20:$BA20)+'Model Setup'!$K$8*(SUMIF($BH$3:$CE$3,"&lt;"&amp;$DF20,$AD20:$BA20)+SUMIF($BH$3:$CE$3,"&gt;"&amp;$CW$4,$AD20:$BA20)),
IF(BI$3=$DF20+'Model Setup'!$L$7,SUMIF($BH$3:$CE$3,"="&amp;$DF20+'Model Setup'!$L$7,$AD20:$BA20)+'Model Setup'!$L$8*(SUMIF($BH$3:$CE$3,"&lt;"&amp;$DF20,$AD20:$BA20)+SUMIF($BH$3:$CE$3,"&gt;"&amp;$CW$4,$AD20:$BA20)),
IF(BI$3=$DF20+'Model Setup'!$M$7,SUMIF($BH$3:$CE$3,"="&amp;$DF20+'Model Setup'!$M$7,$AD20:$BA20)+'Model Setup'!$M$8*(SUMIF($BH$3:$CE$3,"&lt;"&amp;$DF20,$AD20:$BA20)+SUMIF($BH$3:$CE$3,"&gt;"&amp;$CW$4,$AD20:$BA20)),
IF(BI$3=$DF20+'Model Setup'!$N$7,SUMIF($BH$3:$CE$3,"="&amp;$DF20+'Model Setup'!$N$7,$AD20:$BA20)+'Model Setup'!$N$8*(SUMIF($BH$3:$CE$3,"&lt;"&amp;$DF20,$AD20:$BA20)+SUMIF($BH$3:$CE$3,"&gt;"&amp;$CW$4,$AD20:$BA20)),
IF(BI$3&lt;$CW$4,C20,0))))))))))))))),0)</f>
        <v>0</v>
      </c>
      <c r="BJ20" s="47">
        <f>ROUND(IF(OR(BJ$3&lt;$DF20,BJ$3&gt;$CW$4),0,
IF(BJ$3=$DF20+'Model Setup'!$B$7,SUMIF($BH$3:$CE$3,"="&amp;$DF20+'Model Setup'!$B$7,$AD20:$BA20)+'Model Setup'!$B$8*(SUMIF($BH$3:$CE$3,"&lt;"&amp;$DF20,$AD20:$BA20)+SUMIF($BH$3:$CE$3,"&gt;"&amp;$CW$4,$AD20:$BA20)),
IF(BJ$3=$DF20+'Model Setup'!$C$7,SUMIF($BH$3:$CE$3,"="&amp;$DF20+'Model Setup'!$C$7,$AD20:$BA20)+'Model Setup'!$C$8*(SUMIF($BH$3:$CE$3,"&lt;"&amp;$DF20,$AD20:$BA20)+SUMIF($BH$3:$CE$3,"&gt;"&amp;$CW$4,$AD20:$BA20)),
IF(BJ$3=$DF20+'Model Setup'!$D$7,SUMIF($BH$3:$CE$3,"="&amp;$DF20+'Model Setup'!$D$7,$AD20:$BA20)+'Model Setup'!$D$8*(SUMIF($BH$3:$CE$3,"&lt;"&amp;$DF20,$AD20:$BA20)+SUMIF($BH$3:$CE$3,"&gt;"&amp;$CW$4,$AD20:$BA20)),
IF(BJ$3=$DF20+'Model Setup'!$E$7,SUMIF($BH$3:$CE$3,"="&amp;$DF20+'Model Setup'!$E$7,$AD20:$BA20)+'Model Setup'!$E$8*(SUMIF($BH$3:$CE$3,"&lt;"&amp;$DF20,$AD20:$BA20)+SUMIF($BH$3:$CE$3,"&gt;"&amp;$CW$4,$AD20:$BA20)),
IF(BJ$3=$DF20+'Model Setup'!$F$7,SUMIF($BH$3:$CE$3,"="&amp;$DF20+'Model Setup'!$F$7,$AD20:$BA20)+'Model Setup'!$F$8*(SUMIF($BH$3:$CE$3,"&lt;"&amp;$DF20,$AD20:$BA20)+SUMIF($BH$3:$CE$3,"&gt;"&amp;$CW$4,$AD20:$BA20)),
IF(BJ$3=$DF20+'Model Setup'!$G$7,SUMIF($BH$3:$CE$3,"="&amp;$DF20+'Model Setup'!$G$7,$AD20:$BA20)+'Model Setup'!$G$8*(SUMIF($BH$3:$CE$3,"&lt;"&amp;$DF20,$AD20:$BA20)+SUMIF($BH$3:$CE$3,"&gt;"&amp;$CW$4,$AD20:$BA20)),
IF(BJ$3=$DF20+'Model Setup'!$H$7,SUMIF($BH$3:$CE$3,"="&amp;$DF20+'Model Setup'!$H$7,$AD20:$BA20)+'Model Setup'!$H$8*(SUMIF($BH$3:$CE$3,"&lt;"&amp;$DF20,$AD20:$BA20)+SUMIF($BH$3:$CE$3,"&gt;"&amp;$CW$4,$AD20:$BA20)),
IF(BJ$3=$DF20+'Model Setup'!$I$7,SUMIF($BH$3:$CE$3,"="&amp;$DF20+'Model Setup'!$I$7,$AD20:$BA20)+'Model Setup'!$I$8*(SUMIF($BH$3:$CE$3,"&lt;"&amp;$DF20,$AD20:$BA20)+SUMIF($BH$3:$CE$3,"&gt;"&amp;$CW$4,$AD20:$BA20)),
IF(BJ$3=$DF20+'Model Setup'!$J$7,SUMIF($BH$3:$CE$3,"="&amp;$DF20+'Model Setup'!$J$7,$AD20:$BA20)+'Model Setup'!$J$8*(SUMIF($BH$3:$CE$3,"&lt;"&amp;$DF20,$AD20:$BA20)+SUMIF($BH$3:$CE$3,"&gt;"&amp;$CW$4,$AD20:$BA20)),
IF(BJ$3=$DF20+'Model Setup'!$K$7,SUMIF($BH$3:$CE$3,"="&amp;$DF20+'Model Setup'!$K$7,$AD20:$BA20)+'Model Setup'!$K$8*(SUMIF($BH$3:$CE$3,"&lt;"&amp;$DF20,$AD20:$BA20)+SUMIF($BH$3:$CE$3,"&gt;"&amp;$CW$4,$AD20:$BA20)),
IF(BJ$3=$DF20+'Model Setup'!$L$7,SUMIF($BH$3:$CE$3,"="&amp;$DF20+'Model Setup'!$L$7,$AD20:$BA20)+'Model Setup'!$L$8*(SUMIF($BH$3:$CE$3,"&lt;"&amp;$DF20,$AD20:$BA20)+SUMIF($BH$3:$CE$3,"&gt;"&amp;$CW$4,$AD20:$BA20)),
IF(BJ$3=$DF20+'Model Setup'!$M$7,SUMIF($BH$3:$CE$3,"="&amp;$DF20+'Model Setup'!$M$7,$AD20:$BA20)+'Model Setup'!$M$8*(SUMIF($BH$3:$CE$3,"&lt;"&amp;$DF20,$AD20:$BA20)+SUMIF($BH$3:$CE$3,"&gt;"&amp;$CW$4,$AD20:$BA20)),
IF(BJ$3=$DF20+'Model Setup'!$N$7,SUMIF($BH$3:$CE$3,"="&amp;$DF20+'Model Setup'!$N$7,$AD20:$BA20)+'Model Setup'!$N$8*(SUMIF($BH$3:$CE$3,"&lt;"&amp;$DF20,$AD20:$BA20)+SUMIF($BH$3:$CE$3,"&gt;"&amp;$CW$4,$AD20:$BA20)),
IF(BJ$3&lt;$CW$4,D20,0))))))))))))))),0)</f>
        <v>0</v>
      </c>
      <c r="BK20" s="47">
        <f>ROUND(IF(OR(BK$3&lt;$DF20,BK$3&gt;$CW$4),0,
IF(BK$3=$DF20+'Model Setup'!$B$7,SUMIF($BH$3:$CE$3,"="&amp;$DF20+'Model Setup'!$B$7,$AD20:$BA20)+'Model Setup'!$B$8*(SUMIF($BH$3:$CE$3,"&lt;"&amp;$DF20,$AD20:$BA20)+SUMIF($BH$3:$CE$3,"&gt;"&amp;$CW$4,$AD20:$BA20)),
IF(BK$3=$DF20+'Model Setup'!$C$7,SUMIF($BH$3:$CE$3,"="&amp;$DF20+'Model Setup'!$C$7,$AD20:$BA20)+'Model Setup'!$C$8*(SUMIF($BH$3:$CE$3,"&lt;"&amp;$DF20,$AD20:$BA20)+SUMIF($BH$3:$CE$3,"&gt;"&amp;$CW$4,$AD20:$BA20)),
IF(BK$3=$DF20+'Model Setup'!$D$7,SUMIF($BH$3:$CE$3,"="&amp;$DF20+'Model Setup'!$D$7,$AD20:$BA20)+'Model Setup'!$D$8*(SUMIF($BH$3:$CE$3,"&lt;"&amp;$DF20,$AD20:$BA20)+SUMIF($BH$3:$CE$3,"&gt;"&amp;$CW$4,$AD20:$BA20)),
IF(BK$3=$DF20+'Model Setup'!$E$7,SUMIF($BH$3:$CE$3,"="&amp;$DF20+'Model Setup'!$E$7,$AD20:$BA20)+'Model Setup'!$E$8*(SUMIF($BH$3:$CE$3,"&lt;"&amp;$DF20,$AD20:$BA20)+SUMIF($BH$3:$CE$3,"&gt;"&amp;$CW$4,$AD20:$BA20)),
IF(BK$3=$DF20+'Model Setup'!$F$7,SUMIF($BH$3:$CE$3,"="&amp;$DF20+'Model Setup'!$F$7,$AD20:$BA20)+'Model Setup'!$F$8*(SUMIF($BH$3:$CE$3,"&lt;"&amp;$DF20,$AD20:$BA20)+SUMIF($BH$3:$CE$3,"&gt;"&amp;$CW$4,$AD20:$BA20)),
IF(BK$3=$DF20+'Model Setup'!$G$7,SUMIF($BH$3:$CE$3,"="&amp;$DF20+'Model Setup'!$G$7,$AD20:$BA20)+'Model Setup'!$G$8*(SUMIF($BH$3:$CE$3,"&lt;"&amp;$DF20,$AD20:$BA20)+SUMIF($BH$3:$CE$3,"&gt;"&amp;$CW$4,$AD20:$BA20)),
IF(BK$3=$DF20+'Model Setup'!$H$7,SUMIF($BH$3:$CE$3,"="&amp;$DF20+'Model Setup'!$H$7,$AD20:$BA20)+'Model Setup'!$H$8*(SUMIF($BH$3:$CE$3,"&lt;"&amp;$DF20,$AD20:$BA20)+SUMIF($BH$3:$CE$3,"&gt;"&amp;$CW$4,$AD20:$BA20)),
IF(BK$3=$DF20+'Model Setup'!$I$7,SUMIF($BH$3:$CE$3,"="&amp;$DF20+'Model Setup'!$I$7,$AD20:$BA20)+'Model Setup'!$I$8*(SUMIF($BH$3:$CE$3,"&lt;"&amp;$DF20,$AD20:$BA20)+SUMIF($BH$3:$CE$3,"&gt;"&amp;$CW$4,$AD20:$BA20)),
IF(BK$3=$DF20+'Model Setup'!$J$7,SUMIF($BH$3:$CE$3,"="&amp;$DF20+'Model Setup'!$J$7,$AD20:$BA20)+'Model Setup'!$J$8*(SUMIF($BH$3:$CE$3,"&lt;"&amp;$DF20,$AD20:$BA20)+SUMIF($BH$3:$CE$3,"&gt;"&amp;$CW$4,$AD20:$BA20)),
IF(BK$3=$DF20+'Model Setup'!$K$7,SUMIF($BH$3:$CE$3,"="&amp;$DF20+'Model Setup'!$K$7,$AD20:$BA20)+'Model Setup'!$K$8*(SUMIF($BH$3:$CE$3,"&lt;"&amp;$DF20,$AD20:$BA20)+SUMIF($BH$3:$CE$3,"&gt;"&amp;$CW$4,$AD20:$BA20)),
IF(BK$3=$DF20+'Model Setup'!$L$7,SUMIF($BH$3:$CE$3,"="&amp;$DF20+'Model Setup'!$L$7,$AD20:$BA20)+'Model Setup'!$L$8*(SUMIF($BH$3:$CE$3,"&lt;"&amp;$DF20,$AD20:$BA20)+SUMIF($BH$3:$CE$3,"&gt;"&amp;$CW$4,$AD20:$BA20)),
IF(BK$3=$DF20+'Model Setup'!$M$7,SUMIF($BH$3:$CE$3,"="&amp;$DF20+'Model Setup'!$M$7,$AD20:$BA20)+'Model Setup'!$M$8*(SUMIF($BH$3:$CE$3,"&lt;"&amp;$DF20,$AD20:$BA20)+SUMIF($BH$3:$CE$3,"&gt;"&amp;$CW$4,$AD20:$BA20)),
IF(BK$3=$DF20+'Model Setup'!$N$7,SUMIF($BH$3:$CE$3,"="&amp;$DF20+'Model Setup'!$N$7,$AD20:$BA20)+'Model Setup'!$N$8*(SUMIF($BH$3:$CE$3,"&lt;"&amp;$DF20,$AD20:$BA20)+SUMIF($BH$3:$CE$3,"&gt;"&amp;$CW$4,$AD20:$BA20)),
IF(BK$3&lt;$CW$4,E20,0))))))))))))))),0)</f>
        <v>0</v>
      </c>
      <c r="BL20" s="47">
        <f>ROUND(IF(OR(BL$3&lt;$DF20,BL$3&gt;$CW$4),0,
IF(BL$3=$DF20+'Model Setup'!$B$7,SUMIF($BH$3:$CE$3,"="&amp;$DF20+'Model Setup'!$B$7,$AD20:$BA20)+'Model Setup'!$B$8*(SUMIF($BH$3:$CE$3,"&lt;"&amp;$DF20,$AD20:$BA20)+SUMIF($BH$3:$CE$3,"&gt;"&amp;$CW$4,$AD20:$BA20)),
IF(BL$3=$DF20+'Model Setup'!$C$7,SUMIF($BH$3:$CE$3,"="&amp;$DF20+'Model Setup'!$C$7,$AD20:$BA20)+'Model Setup'!$C$8*(SUMIF($BH$3:$CE$3,"&lt;"&amp;$DF20,$AD20:$BA20)+SUMIF($BH$3:$CE$3,"&gt;"&amp;$CW$4,$AD20:$BA20)),
IF(BL$3=$DF20+'Model Setup'!$D$7,SUMIF($BH$3:$CE$3,"="&amp;$DF20+'Model Setup'!$D$7,$AD20:$BA20)+'Model Setup'!$D$8*(SUMIF($BH$3:$CE$3,"&lt;"&amp;$DF20,$AD20:$BA20)+SUMIF($BH$3:$CE$3,"&gt;"&amp;$CW$4,$AD20:$BA20)),
IF(BL$3=$DF20+'Model Setup'!$E$7,SUMIF($BH$3:$CE$3,"="&amp;$DF20+'Model Setup'!$E$7,$AD20:$BA20)+'Model Setup'!$E$8*(SUMIF($BH$3:$CE$3,"&lt;"&amp;$DF20,$AD20:$BA20)+SUMIF($BH$3:$CE$3,"&gt;"&amp;$CW$4,$AD20:$BA20)),
IF(BL$3=$DF20+'Model Setup'!$F$7,SUMIF($BH$3:$CE$3,"="&amp;$DF20+'Model Setup'!$F$7,$AD20:$BA20)+'Model Setup'!$F$8*(SUMIF($BH$3:$CE$3,"&lt;"&amp;$DF20,$AD20:$BA20)+SUMIF($BH$3:$CE$3,"&gt;"&amp;$CW$4,$AD20:$BA20)),
IF(BL$3=$DF20+'Model Setup'!$G$7,SUMIF($BH$3:$CE$3,"="&amp;$DF20+'Model Setup'!$G$7,$AD20:$BA20)+'Model Setup'!$G$8*(SUMIF($BH$3:$CE$3,"&lt;"&amp;$DF20,$AD20:$BA20)+SUMIF($BH$3:$CE$3,"&gt;"&amp;$CW$4,$AD20:$BA20)),
IF(BL$3=$DF20+'Model Setup'!$H$7,SUMIF($BH$3:$CE$3,"="&amp;$DF20+'Model Setup'!$H$7,$AD20:$BA20)+'Model Setup'!$H$8*(SUMIF($BH$3:$CE$3,"&lt;"&amp;$DF20,$AD20:$BA20)+SUMIF($BH$3:$CE$3,"&gt;"&amp;$CW$4,$AD20:$BA20)),
IF(BL$3=$DF20+'Model Setup'!$I$7,SUMIF($BH$3:$CE$3,"="&amp;$DF20+'Model Setup'!$I$7,$AD20:$BA20)+'Model Setup'!$I$8*(SUMIF($BH$3:$CE$3,"&lt;"&amp;$DF20,$AD20:$BA20)+SUMIF($BH$3:$CE$3,"&gt;"&amp;$CW$4,$AD20:$BA20)),
IF(BL$3=$DF20+'Model Setup'!$J$7,SUMIF($BH$3:$CE$3,"="&amp;$DF20+'Model Setup'!$J$7,$AD20:$BA20)+'Model Setup'!$J$8*(SUMIF($BH$3:$CE$3,"&lt;"&amp;$DF20,$AD20:$BA20)+SUMIF($BH$3:$CE$3,"&gt;"&amp;$CW$4,$AD20:$BA20)),
IF(BL$3=$DF20+'Model Setup'!$K$7,SUMIF($BH$3:$CE$3,"="&amp;$DF20+'Model Setup'!$K$7,$AD20:$BA20)+'Model Setup'!$K$8*(SUMIF($BH$3:$CE$3,"&lt;"&amp;$DF20,$AD20:$BA20)+SUMIF($BH$3:$CE$3,"&gt;"&amp;$CW$4,$AD20:$BA20)),
IF(BL$3=$DF20+'Model Setup'!$L$7,SUMIF($BH$3:$CE$3,"="&amp;$DF20+'Model Setup'!$L$7,$AD20:$BA20)+'Model Setup'!$L$8*(SUMIF($BH$3:$CE$3,"&lt;"&amp;$DF20,$AD20:$BA20)+SUMIF($BH$3:$CE$3,"&gt;"&amp;$CW$4,$AD20:$BA20)),
IF(BL$3=$DF20+'Model Setup'!$M$7,SUMIF($BH$3:$CE$3,"="&amp;$DF20+'Model Setup'!$M$7,$AD20:$BA20)+'Model Setup'!$M$8*(SUMIF($BH$3:$CE$3,"&lt;"&amp;$DF20,$AD20:$BA20)+SUMIF($BH$3:$CE$3,"&gt;"&amp;$CW$4,$AD20:$BA20)),
IF(BL$3=$DF20+'Model Setup'!$N$7,SUMIF($BH$3:$CE$3,"="&amp;$DF20+'Model Setup'!$N$7,$AD20:$BA20)+'Model Setup'!$N$8*(SUMIF($BH$3:$CE$3,"&lt;"&amp;$DF20,$AD20:$BA20)+SUMIF($BH$3:$CE$3,"&gt;"&amp;$CW$4,$AD20:$BA20)),
IF(BL$3&lt;$CW$4,F20,0))))))))))))))),0)</f>
        <v>0</v>
      </c>
      <c r="BM20" s="47">
        <f>ROUND(IF(OR(BM$3&lt;$DF20,BM$3&gt;$CW$4),0,
IF(BM$3=$DF20+'Model Setup'!$B$7,SUMIF($BH$3:$CE$3,"="&amp;$DF20+'Model Setup'!$B$7,$AD20:$BA20)+'Model Setup'!$B$8*(SUMIF($BH$3:$CE$3,"&lt;"&amp;$DF20,$AD20:$BA20)+SUMIF($BH$3:$CE$3,"&gt;"&amp;$CW$4,$AD20:$BA20)),
IF(BM$3=$DF20+'Model Setup'!$C$7,SUMIF($BH$3:$CE$3,"="&amp;$DF20+'Model Setup'!$C$7,$AD20:$BA20)+'Model Setup'!$C$8*(SUMIF($BH$3:$CE$3,"&lt;"&amp;$DF20,$AD20:$BA20)+SUMIF($BH$3:$CE$3,"&gt;"&amp;$CW$4,$AD20:$BA20)),
IF(BM$3=$DF20+'Model Setup'!$D$7,SUMIF($BH$3:$CE$3,"="&amp;$DF20+'Model Setup'!$D$7,$AD20:$BA20)+'Model Setup'!$D$8*(SUMIF($BH$3:$CE$3,"&lt;"&amp;$DF20,$AD20:$BA20)+SUMIF($BH$3:$CE$3,"&gt;"&amp;$CW$4,$AD20:$BA20)),
IF(BM$3=$DF20+'Model Setup'!$E$7,SUMIF($BH$3:$CE$3,"="&amp;$DF20+'Model Setup'!$E$7,$AD20:$BA20)+'Model Setup'!$E$8*(SUMIF($BH$3:$CE$3,"&lt;"&amp;$DF20,$AD20:$BA20)+SUMIF($BH$3:$CE$3,"&gt;"&amp;$CW$4,$AD20:$BA20)),
IF(BM$3=$DF20+'Model Setup'!$F$7,SUMIF($BH$3:$CE$3,"="&amp;$DF20+'Model Setup'!$F$7,$AD20:$BA20)+'Model Setup'!$F$8*(SUMIF($BH$3:$CE$3,"&lt;"&amp;$DF20,$AD20:$BA20)+SUMIF($BH$3:$CE$3,"&gt;"&amp;$CW$4,$AD20:$BA20)),
IF(BM$3=$DF20+'Model Setup'!$G$7,SUMIF($BH$3:$CE$3,"="&amp;$DF20+'Model Setup'!$G$7,$AD20:$BA20)+'Model Setup'!$G$8*(SUMIF($BH$3:$CE$3,"&lt;"&amp;$DF20,$AD20:$BA20)+SUMIF($BH$3:$CE$3,"&gt;"&amp;$CW$4,$AD20:$BA20)),
IF(BM$3=$DF20+'Model Setup'!$H$7,SUMIF($BH$3:$CE$3,"="&amp;$DF20+'Model Setup'!$H$7,$AD20:$BA20)+'Model Setup'!$H$8*(SUMIF($BH$3:$CE$3,"&lt;"&amp;$DF20,$AD20:$BA20)+SUMIF($BH$3:$CE$3,"&gt;"&amp;$CW$4,$AD20:$BA20)),
IF(BM$3=$DF20+'Model Setup'!$I$7,SUMIF($BH$3:$CE$3,"="&amp;$DF20+'Model Setup'!$I$7,$AD20:$BA20)+'Model Setup'!$I$8*(SUMIF($BH$3:$CE$3,"&lt;"&amp;$DF20,$AD20:$BA20)+SUMIF($BH$3:$CE$3,"&gt;"&amp;$CW$4,$AD20:$BA20)),
IF(BM$3=$DF20+'Model Setup'!$J$7,SUMIF($BH$3:$CE$3,"="&amp;$DF20+'Model Setup'!$J$7,$AD20:$BA20)+'Model Setup'!$J$8*(SUMIF($BH$3:$CE$3,"&lt;"&amp;$DF20,$AD20:$BA20)+SUMIF($BH$3:$CE$3,"&gt;"&amp;$CW$4,$AD20:$BA20)),
IF(BM$3=$DF20+'Model Setup'!$K$7,SUMIF($BH$3:$CE$3,"="&amp;$DF20+'Model Setup'!$K$7,$AD20:$BA20)+'Model Setup'!$K$8*(SUMIF($BH$3:$CE$3,"&lt;"&amp;$DF20,$AD20:$BA20)+SUMIF($BH$3:$CE$3,"&gt;"&amp;$CW$4,$AD20:$BA20)),
IF(BM$3=$DF20+'Model Setup'!$L$7,SUMIF($BH$3:$CE$3,"="&amp;$DF20+'Model Setup'!$L$7,$AD20:$BA20)+'Model Setup'!$L$8*(SUMIF($BH$3:$CE$3,"&lt;"&amp;$DF20,$AD20:$BA20)+SUMIF($BH$3:$CE$3,"&gt;"&amp;$CW$4,$AD20:$BA20)),
IF(BM$3=$DF20+'Model Setup'!$M$7,SUMIF($BH$3:$CE$3,"="&amp;$DF20+'Model Setup'!$M$7,$AD20:$BA20)+'Model Setup'!$M$8*(SUMIF($BH$3:$CE$3,"&lt;"&amp;$DF20,$AD20:$BA20)+SUMIF($BH$3:$CE$3,"&gt;"&amp;$CW$4,$AD20:$BA20)),
IF(BM$3=$DF20+'Model Setup'!$N$7,SUMIF($BH$3:$CE$3,"="&amp;$DF20+'Model Setup'!$N$7,$AD20:$BA20)+'Model Setup'!$N$8*(SUMIF($BH$3:$CE$3,"&lt;"&amp;$DF20,$AD20:$BA20)+SUMIF($BH$3:$CE$3,"&gt;"&amp;$CW$4,$AD20:$BA20)),
IF(BM$3&lt;$CW$4,G20,0))))))))))))))),0)</f>
        <v>9</v>
      </c>
      <c r="BN20" s="47">
        <f>ROUND(IF(OR(BN$3&lt;$DF20,BN$3&gt;$CW$4),0,
IF(BN$3=$DF20+'Model Setup'!$B$7,SUMIF($BH$3:$CE$3,"="&amp;$DF20+'Model Setup'!$B$7,$AD20:$BA20)+'Model Setup'!$B$8*(SUMIF($BH$3:$CE$3,"&lt;"&amp;$DF20,$AD20:$BA20)+SUMIF($BH$3:$CE$3,"&gt;"&amp;$CW$4,$AD20:$BA20)),
IF(BN$3=$DF20+'Model Setup'!$C$7,SUMIF($BH$3:$CE$3,"="&amp;$DF20+'Model Setup'!$C$7,$AD20:$BA20)+'Model Setup'!$C$8*(SUMIF($BH$3:$CE$3,"&lt;"&amp;$DF20,$AD20:$BA20)+SUMIF($BH$3:$CE$3,"&gt;"&amp;$CW$4,$AD20:$BA20)),
IF(BN$3=$DF20+'Model Setup'!$D$7,SUMIF($BH$3:$CE$3,"="&amp;$DF20+'Model Setup'!$D$7,$AD20:$BA20)+'Model Setup'!$D$8*(SUMIF($BH$3:$CE$3,"&lt;"&amp;$DF20,$AD20:$BA20)+SUMIF($BH$3:$CE$3,"&gt;"&amp;$CW$4,$AD20:$BA20)),
IF(BN$3=$DF20+'Model Setup'!$E$7,SUMIF($BH$3:$CE$3,"="&amp;$DF20+'Model Setup'!$E$7,$AD20:$BA20)+'Model Setup'!$E$8*(SUMIF($BH$3:$CE$3,"&lt;"&amp;$DF20,$AD20:$BA20)+SUMIF($BH$3:$CE$3,"&gt;"&amp;$CW$4,$AD20:$BA20)),
IF(BN$3=$DF20+'Model Setup'!$F$7,SUMIF($BH$3:$CE$3,"="&amp;$DF20+'Model Setup'!$F$7,$AD20:$BA20)+'Model Setup'!$F$8*(SUMIF($BH$3:$CE$3,"&lt;"&amp;$DF20,$AD20:$BA20)+SUMIF($BH$3:$CE$3,"&gt;"&amp;$CW$4,$AD20:$BA20)),
IF(BN$3=$DF20+'Model Setup'!$G$7,SUMIF($BH$3:$CE$3,"="&amp;$DF20+'Model Setup'!$G$7,$AD20:$BA20)+'Model Setup'!$G$8*(SUMIF($BH$3:$CE$3,"&lt;"&amp;$DF20,$AD20:$BA20)+SUMIF($BH$3:$CE$3,"&gt;"&amp;$CW$4,$AD20:$BA20)),
IF(BN$3=$DF20+'Model Setup'!$H$7,SUMIF($BH$3:$CE$3,"="&amp;$DF20+'Model Setup'!$H$7,$AD20:$BA20)+'Model Setup'!$H$8*(SUMIF($BH$3:$CE$3,"&lt;"&amp;$DF20,$AD20:$BA20)+SUMIF($BH$3:$CE$3,"&gt;"&amp;$CW$4,$AD20:$BA20)),
IF(BN$3=$DF20+'Model Setup'!$I$7,SUMIF($BH$3:$CE$3,"="&amp;$DF20+'Model Setup'!$I$7,$AD20:$BA20)+'Model Setup'!$I$8*(SUMIF($BH$3:$CE$3,"&lt;"&amp;$DF20,$AD20:$BA20)+SUMIF($BH$3:$CE$3,"&gt;"&amp;$CW$4,$AD20:$BA20)),
IF(BN$3=$DF20+'Model Setup'!$J$7,SUMIF($BH$3:$CE$3,"="&amp;$DF20+'Model Setup'!$J$7,$AD20:$BA20)+'Model Setup'!$J$8*(SUMIF($BH$3:$CE$3,"&lt;"&amp;$DF20,$AD20:$BA20)+SUMIF($BH$3:$CE$3,"&gt;"&amp;$CW$4,$AD20:$BA20)),
IF(BN$3=$DF20+'Model Setup'!$K$7,SUMIF($BH$3:$CE$3,"="&amp;$DF20+'Model Setup'!$K$7,$AD20:$BA20)+'Model Setup'!$K$8*(SUMIF($BH$3:$CE$3,"&lt;"&amp;$DF20,$AD20:$BA20)+SUMIF($BH$3:$CE$3,"&gt;"&amp;$CW$4,$AD20:$BA20)),
IF(BN$3=$DF20+'Model Setup'!$L$7,SUMIF($BH$3:$CE$3,"="&amp;$DF20+'Model Setup'!$L$7,$AD20:$BA20)+'Model Setup'!$L$8*(SUMIF($BH$3:$CE$3,"&lt;"&amp;$DF20,$AD20:$BA20)+SUMIF($BH$3:$CE$3,"&gt;"&amp;$CW$4,$AD20:$BA20)),
IF(BN$3=$DF20+'Model Setup'!$M$7,SUMIF($BH$3:$CE$3,"="&amp;$DF20+'Model Setup'!$M$7,$AD20:$BA20)+'Model Setup'!$M$8*(SUMIF($BH$3:$CE$3,"&lt;"&amp;$DF20,$AD20:$BA20)+SUMIF($BH$3:$CE$3,"&gt;"&amp;$CW$4,$AD20:$BA20)),
IF(BN$3=$DF20+'Model Setup'!$N$7,SUMIF($BH$3:$CE$3,"="&amp;$DF20+'Model Setup'!$N$7,$AD20:$BA20)+'Model Setup'!$N$8*(SUMIF($BH$3:$CE$3,"&lt;"&amp;$DF20,$AD20:$BA20)+SUMIF($BH$3:$CE$3,"&gt;"&amp;$CW$4,$AD20:$BA20)),
IF(BN$3&lt;$CW$4,H20,0))))))))))))))),0)</f>
        <v>54</v>
      </c>
      <c r="BO20" s="47">
        <f>ROUND(IF(OR(BO$3&lt;$DF20,BO$3&gt;$CW$4),0,
IF(BO$3=$DF20+'Model Setup'!$B$7,SUMIF($BH$3:$CE$3,"="&amp;$DF20+'Model Setup'!$B$7,$AD20:$BA20)+'Model Setup'!$B$8*(SUMIF($BH$3:$CE$3,"&lt;"&amp;$DF20,$AD20:$BA20)+SUMIF($BH$3:$CE$3,"&gt;"&amp;$CW$4,$AD20:$BA20)),
IF(BO$3=$DF20+'Model Setup'!$C$7,SUMIF($BH$3:$CE$3,"="&amp;$DF20+'Model Setup'!$C$7,$AD20:$BA20)+'Model Setup'!$C$8*(SUMIF($BH$3:$CE$3,"&lt;"&amp;$DF20,$AD20:$BA20)+SUMIF($BH$3:$CE$3,"&gt;"&amp;$CW$4,$AD20:$BA20)),
IF(BO$3=$DF20+'Model Setup'!$D$7,SUMIF($BH$3:$CE$3,"="&amp;$DF20+'Model Setup'!$D$7,$AD20:$BA20)+'Model Setup'!$D$8*(SUMIF($BH$3:$CE$3,"&lt;"&amp;$DF20,$AD20:$BA20)+SUMIF($BH$3:$CE$3,"&gt;"&amp;$CW$4,$AD20:$BA20)),
IF(BO$3=$DF20+'Model Setup'!$E$7,SUMIF($BH$3:$CE$3,"="&amp;$DF20+'Model Setup'!$E$7,$AD20:$BA20)+'Model Setup'!$E$8*(SUMIF($BH$3:$CE$3,"&lt;"&amp;$DF20,$AD20:$BA20)+SUMIF($BH$3:$CE$3,"&gt;"&amp;$CW$4,$AD20:$BA20)),
IF(BO$3=$DF20+'Model Setup'!$F$7,SUMIF($BH$3:$CE$3,"="&amp;$DF20+'Model Setup'!$F$7,$AD20:$BA20)+'Model Setup'!$F$8*(SUMIF($BH$3:$CE$3,"&lt;"&amp;$DF20,$AD20:$BA20)+SUMIF($BH$3:$CE$3,"&gt;"&amp;$CW$4,$AD20:$BA20)),
IF(BO$3=$DF20+'Model Setup'!$G$7,SUMIF($BH$3:$CE$3,"="&amp;$DF20+'Model Setup'!$G$7,$AD20:$BA20)+'Model Setup'!$G$8*(SUMIF($BH$3:$CE$3,"&lt;"&amp;$DF20,$AD20:$BA20)+SUMIF($BH$3:$CE$3,"&gt;"&amp;$CW$4,$AD20:$BA20)),
IF(BO$3=$DF20+'Model Setup'!$H$7,SUMIF($BH$3:$CE$3,"="&amp;$DF20+'Model Setup'!$H$7,$AD20:$BA20)+'Model Setup'!$H$8*(SUMIF($BH$3:$CE$3,"&lt;"&amp;$DF20,$AD20:$BA20)+SUMIF($BH$3:$CE$3,"&gt;"&amp;$CW$4,$AD20:$BA20)),
IF(BO$3=$DF20+'Model Setup'!$I$7,SUMIF($BH$3:$CE$3,"="&amp;$DF20+'Model Setup'!$I$7,$AD20:$BA20)+'Model Setup'!$I$8*(SUMIF($BH$3:$CE$3,"&lt;"&amp;$DF20,$AD20:$BA20)+SUMIF($BH$3:$CE$3,"&gt;"&amp;$CW$4,$AD20:$BA20)),
IF(BO$3=$DF20+'Model Setup'!$J$7,SUMIF($BH$3:$CE$3,"="&amp;$DF20+'Model Setup'!$J$7,$AD20:$BA20)+'Model Setup'!$J$8*(SUMIF($BH$3:$CE$3,"&lt;"&amp;$DF20,$AD20:$BA20)+SUMIF($BH$3:$CE$3,"&gt;"&amp;$CW$4,$AD20:$BA20)),
IF(BO$3=$DF20+'Model Setup'!$K$7,SUMIF($BH$3:$CE$3,"="&amp;$DF20+'Model Setup'!$K$7,$AD20:$BA20)+'Model Setup'!$K$8*(SUMIF($BH$3:$CE$3,"&lt;"&amp;$DF20,$AD20:$BA20)+SUMIF($BH$3:$CE$3,"&gt;"&amp;$CW$4,$AD20:$BA20)),
IF(BO$3=$DF20+'Model Setup'!$L$7,SUMIF($BH$3:$CE$3,"="&amp;$DF20+'Model Setup'!$L$7,$AD20:$BA20)+'Model Setup'!$L$8*(SUMIF($BH$3:$CE$3,"&lt;"&amp;$DF20,$AD20:$BA20)+SUMIF($BH$3:$CE$3,"&gt;"&amp;$CW$4,$AD20:$BA20)),
IF(BO$3=$DF20+'Model Setup'!$M$7,SUMIF($BH$3:$CE$3,"="&amp;$DF20+'Model Setup'!$M$7,$AD20:$BA20)+'Model Setup'!$M$8*(SUMIF($BH$3:$CE$3,"&lt;"&amp;$DF20,$AD20:$BA20)+SUMIF($BH$3:$CE$3,"&gt;"&amp;$CW$4,$AD20:$BA20)),
IF(BO$3=$DF20+'Model Setup'!$N$7,SUMIF($BH$3:$CE$3,"="&amp;$DF20+'Model Setup'!$N$7,$AD20:$BA20)+'Model Setup'!$N$8*(SUMIF($BH$3:$CE$3,"&lt;"&amp;$DF20,$AD20:$BA20)+SUMIF($BH$3:$CE$3,"&gt;"&amp;$CW$4,$AD20:$BA20)),
IF(BO$3&lt;$CW$4,I20,0))))))))))))))),0)</f>
        <v>69</v>
      </c>
      <c r="BP20" s="47">
        <f>ROUND(IF(OR(BP$3&lt;$DF20,BP$3&gt;$CW$4),0,
IF(BP$3=$DF20+'Model Setup'!$B$7,SUMIF($BH$3:$CE$3,"="&amp;$DF20+'Model Setup'!$B$7,$AD20:$BA20)+'Model Setup'!$B$8*(SUMIF($BH$3:$CE$3,"&lt;"&amp;$DF20,$AD20:$BA20)+SUMIF($BH$3:$CE$3,"&gt;"&amp;$CW$4,$AD20:$BA20)),
IF(BP$3=$DF20+'Model Setup'!$C$7,SUMIF($BH$3:$CE$3,"="&amp;$DF20+'Model Setup'!$C$7,$AD20:$BA20)+'Model Setup'!$C$8*(SUMIF($BH$3:$CE$3,"&lt;"&amp;$DF20,$AD20:$BA20)+SUMIF($BH$3:$CE$3,"&gt;"&amp;$CW$4,$AD20:$BA20)),
IF(BP$3=$DF20+'Model Setup'!$D$7,SUMIF($BH$3:$CE$3,"="&amp;$DF20+'Model Setup'!$D$7,$AD20:$BA20)+'Model Setup'!$D$8*(SUMIF($BH$3:$CE$3,"&lt;"&amp;$DF20,$AD20:$BA20)+SUMIF($BH$3:$CE$3,"&gt;"&amp;$CW$4,$AD20:$BA20)),
IF(BP$3=$DF20+'Model Setup'!$E$7,SUMIF($BH$3:$CE$3,"="&amp;$DF20+'Model Setup'!$E$7,$AD20:$BA20)+'Model Setup'!$E$8*(SUMIF($BH$3:$CE$3,"&lt;"&amp;$DF20,$AD20:$BA20)+SUMIF($BH$3:$CE$3,"&gt;"&amp;$CW$4,$AD20:$BA20)),
IF(BP$3=$DF20+'Model Setup'!$F$7,SUMIF($BH$3:$CE$3,"="&amp;$DF20+'Model Setup'!$F$7,$AD20:$BA20)+'Model Setup'!$F$8*(SUMIF($BH$3:$CE$3,"&lt;"&amp;$DF20,$AD20:$BA20)+SUMIF($BH$3:$CE$3,"&gt;"&amp;$CW$4,$AD20:$BA20)),
IF(BP$3=$DF20+'Model Setup'!$G$7,SUMIF($BH$3:$CE$3,"="&amp;$DF20+'Model Setup'!$G$7,$AD20:$BA20)+'Model Setup'!$G$8*(SUMIF($BH$3:$CE$3,"&lt;"&amp;$DF20,$AD20:$BA20)+SUMIF($BH$3:$CE$3,"&gt;"&amp;$CW$4,$AD20:$BA20)),
IF(BP$3=$DF20+'Model Setup'!$H$7,SUMIF($BH$3:$CE$3,"="&amp;$DF20+'Model Setup'!$H$7,$AD20:$BA20)+'Model Setup'!$H$8*(SUMIF($BH$3:$CE$3,"&lt;"&amp;$DF20,$AD20:$BA20)+SUMIF($BH$3:$CE$3,"&gt;"&amp;$CW$4,$AD20:$BA20)),
IF(BP$3=$DF20+'Model Setup'!$I$7,SUMIF($BH$3:$CE$3,"="&amp;$DF20+'Model Setup'!$I$7,$AD20:$BA20)+'Model Setup'!$I$8*(SUMIF($BH$3:$CE$3,"&lt;"&amp;$DF20,$AD20:$BA20)+SUMIF($BH$3:$CE$3,"&gt;"&amp;$CW$4,$AD20:$BA20)),
IF(BP$3=$DF20+'Model Setup'!$J$7,SUMIF($BH$3:$CE$3,"="&amp;$DF20+'Model Setup'!$J$7,$AD20:$BA20)+'Model Setup'!$J$8*(SUMIF($BH$3:$CE$3,"&lt;"&amp;$DF20,$AD20:$BA20)+SUMIF($BH$3:$CE$3,"&gt;"&amp;$CW$4,$AD20:$BA20)),
IF(BP$3=$DF20+'Model Setup'!$K$7,SUMIF($BH$3:$CE$3,"="&amp;$DF20+'Model Setup'!$K$7,$AD20:$BA20)+'Model Setup'!$K$8*(SUMIF($BH$3:$CE$3,"&lt;"&amp;$DF20,$AD20:$BA20)+SUMIF($BH$3:$CE$3,"&gt;"&amp;$CW$4,$AD20:$BA20)),
IF(BP$3=$DF20+'Model Setup'!$L$7,SUMIF($BH$3:$CE$3,"="&amp;$DF20+'Model Setup'!$L$7,$AD20:$BA20)+'Model Setup'!$L$8*(SUMIF($BH$3:$CE$3,"&lt;"&amp;$DF20,$AD20:$BA20)+SUMIF($BH$3:$CE$3,"&gt;"&amp;$CW$4,$AD20:$BA20)),
IF(BP$3=$DF20+'Model Setup'!$M$7,SUMIF($BH$3:$CE$3,"="&amp;$DF20+'Model Setup'!$M$7,$AD20:$BA20)+'Model Setup'!$M$8*(SUMIF($BH$3:$CE$3,"&lt;"&amp;$DF20,$AD20:$BA20)+SUMIF($BH$3:$CE$3,"&gt;"&amp;$CW$4,$AD20:$BA20)),
IF(BP$3=$DF20+'Model Setup'!$N$7,SUMIF($BH$3:$CE$3,"="&amp;$DF20+'Model Setup'!$N$7,$AD20:$BA20)+'Model Setup'!$N$8*(SUMIF($BH$3:$CE$3,"&lt;"&amp;$DF20,$AD20:$BA20)+SUMIF($BH$3:$CE$3,"&gt;"&amp;$CW$4,$AD20:$BA20)),
IF(BP$3&lt;$CW$4,J20,0))))))))))))))),0)</f>
        <v>66</v>
      </c>
      <c r="BQ20" s="47">
        <f>ROUND(IF(OR(BQ$3&lt;$DF20,BQ$3&gt;$CW$4),0,
IF(BQ$3=$DF20+'Model Setup'!$B$7,SUMIF($BH$3:$CE$3,"="&amp;$DF20+'Model Setup'!$B$7,$AD20:$BA20)+'Model Setup'!$B$8*(SUMIF($BH$3:$CE$3,"&lt;"&amp;$DF20,$AD20:$BA20)+SUMIF($BH$3:$CE$3,"&gt;"&amp;$CW$4,$AD20:$BA20)),
IF(BQ$3=$DF20+'Model Setup'!$C$7,SUMIF($BH$3:$CE$3,"="&amp;$DF20+'Model Setup'!$C$7,$AD20:$BA20)+'Model Setup'!$C$8*(SUMIF($BH$3:$CE$3,"&lt;"&amp;$DF20,$AD20:$BA20)+SUMIF($BH$3:$CE$3,"&gt;"&amp;$CW$4,$AD20:$BA20)),
IF(BQ$3=$DF20+'Model Setup'!$D$7,SUMIF($BH$3:$CE$3,"="&amp;$DF20+'Model Setup'!$D$7,$AD20:$BA20)+'Model Setup'!$D$8*(SUMIF($BH$3:$CE$3,"&lt;"&amp;$DF20,$AD20:$BA20)+SUMIF($BH$3:$CE$3,"&gt;"&amp;$CW$4,$AD20:$BA20)),
IF(BQ$3=$DF20+'Model Setup'!$E$7,SUMIF($BH$3:$CE$3,"="&amp;$DF20+'Model Setup'!$E$7,$AD20:$BA20)+'Model Setup'!$E$8*(SUMIF($BH$3:$CE$3,"&lt;"&amp;$DF20,$AD20:$BA20)+SUMIF($BH$3:$CE$3,"&gt;"&amp;$CW$4,$AD20:$BA20)),
IF(BQ$3=$DF20+'Model Setup'!$F$7,SUMIF($BH$3:$CE$3,"="&amp;$DF20+'Model Setup'!$F$7,$AD20:$BA20)+'Model Setup'!$F$8*(SUMIF($BH$3:$CE$3,"&lt;"&amp;$DF20,$AD20:$BA20)+SUMIF($BH$3:$CE$3,"&gt;"&amp;$CW$4,$AD20:$BA20)),
IF(BQ$3=$DF20+'Model Setup'!$G$7,SUMIF($BH$3:$CE$3,"="&amp;$DF20+'Model Setup'!$G$7,$AD20:$BA20)+'Model Setup'!$G$8*(SUMIF($BH$3:$CE$3,"&lt;"&amp;$DF20,$AD20:$BA20)+SUMIF($BH$3:$CE$3,"&gt;"&amp;$CW$4,$AD20:$BA20)),
IF(BQ$3=$DF20+'Model Setup'!$H$7,SUMIF($BH$3:$CE$3,"="&amp;$DF20+'Model Setup'!$H$7,$AD20:$BA20)+'Model Setup'!$H$8*(SUMIF($BH$3:$CE$3,"&lt;"&amp;$DF20,$AD20:$BA20)+SUMIF($BH$3:$CE$3,"&gt;"&amp;$CW$4,$AD20:$BA20)),
IF(BQ$3=$DF20+'Model Setup'!$I$7,SUMIF($BH$3:$CE$3,"="&amp;$DF20+'Model Setup'!$I$7,$AD20:$BA20)+'Model Setup'!$I$8*(SUMIF($BH$3:$CE$3,"&lt;"&amp;$DF20,$AD20:$BA20)+SUMIF($BH$3:$CE$3,"&gt;"&amp;$CW$4,$AD20:$BA20)),
IF(BQ$3=$DF20+'Model Setup'!$J$7,SUMIF($BH$3:$CE$3,"="&amp;$DF20+'Model Setup'!$J$7,$AD20:$BA20)+'Model Setup'!$J$8*(SUMIF($BH$3:$CE$3,"&lt;"&amp;$DF20,$AD20:$BA20)+SUMIF($BH$3:$CE$3,"&gt;"&amp;$CW$4,$AD20:$BA20)),
IF(BQ$3=$DF20+'Model Setup'!$K$7,SUMIF($BH$3:$CE$3,"="&amp;$DF20+'Model Setup'!$K$7,$AD20:$BA20)+'Model Setup'!$K$8*(SUMIF($BH$3:$CE$3,"&lt;"&amp;$DF20,$AD20:$BA20)+SUMIF($BH$3:$CE$3,"&gt;"&amp;$CW$4,$AD20:$BA20)),
IF(BQ$3=$DF20+'Model Setup'!$L$7,SUMIF($BH$3:$CE$3,"="&amp;$DF20+'Model Setup'!$L$7,$AD20:$BA20)+'Model Setup'!$L$8*(SUMIF($BH$3:$CE$3,"&lt;"&amp;$DF20,$AD20:$BA20)+SUMIF($BH$3:$CE$3,"&gt;"&amp;$CW$4,$AD20:$BA20)),
IF(BQ$3=$DF20+'Model Setup'!$M$7,SUMIF($BH$3:$CE$3,"="&amp;$DF20+'Model Setup'!$M$7,$AD20:$BA20)+'Model Setup'!$M$8*(SUMIF($BH$3:$CE$3,"&lt;"&amp;$DF20,$AD20:$BA20)+SUMIF($BH$3:$CE$3,"&gt;"&amp;$CW$4,$AD20:$BA20)),
IF(BQ$3=$DF20+'Model Setup'!$N$7,SUMIF($BH$3:$CE$3,"="&amp;$DF20+'Model Setup'!$N$7,$AD20:$BA20)+'Model Setup'!$N$8*(SUMIF($BH$3:$CE$3,"&lt;"&amp;$DF20,$AD20:$BA20)+SUMIF($BH$3:$CE$3,"&gt;"&amp;$CW$4,$AD20:$BA20)),
IF(BQ$3&lt;$CW$4,K20,0))))))))))))))),0)</f>
        <v>61</v>
      </c>
      <c r="BR20" s="47">
        <f>ROUND(IF(OR(BR$3&lt;$DF20,BR$3&gt;$CW$4),0,
IF(BR$3=$DF20+'Model Setup'!$B$7,SUMIF($BH$3:$CE$3,"="&amp;$DF20+'Model Setup'!$B$7,$AD20:$BA20)+'Model Setup'!$B$8*(SUMIF($BH$3:$CE$3,"&lt;"&amp;$DF20,$AD20:$BA20)+SUMIF($BH$3:$CE$3,"&gt;"&amp;$CW$4,$AD20:$BA20)),
IF(BR$3=$DF20+'Model Setup'!$C$7,SUMIF($BH$3:$CE$3,"="&amp;$DF20+'Model Setup'!$C$7,$AD20:$BA20)+'Model Setup'!$C$8*(SUMIF($BH$3:$CE$3,"&lt;"&amp;$DF20,$AD20:$BA20)+SUMIF($BH$3:$CE$3,"&gt;"&amp;$CW$4,$AD20:$BA20)),
IF(BR$3=$DF20+'Model Setup'!$D$7,SUMIF($BH$3:$CE$3,"="&amp;$DF20+'Model Setup'!$D$7,$AD20:$BA20)+'Model Setup'!$D$8*(SUMIF($BH$3:$CE$3,"&lt;"&amp;$DF20,$AD20:$BA20)+SUMIF($BH$3:$CE$3,"&gt;"&amp;$CW$4,$AD20:$BA20)),
IF(BR$3=$DF20+'Model Setup'!$E$7,SUMIF($BH$3:$CE$3,"="&amp;$DF20+'Model Setup'!$E$7,$AD20:$BA20)+'Model Setup'!$E$8*(SUMIF($BH$3:$CE$3,"&lt;"&amp;$DF20,$AD20:$BA20)+SUMIF($BH$3:$CE$3,"&gt;"&amp;$CW$4,$AD20:$BA20)),
IF(BR$3=$DF20+'Model Setup'!$F$7,SUMIF($BH$3:$CE$3,"="&amp;$DF20+'Model Setup'!$F$7,$AD20:$BA20)+'Model Setup'!$F$8*(SUMIF($BH$3:$CE$3,"&lt;"&amp;$DF20,$AD20:$BA20)+SUMIF($BH$3:$CE$3,"&gt;"&amp;$CW$4,$AD20:$BA20)),
IF(BR$3=$DF20+'Model Setup'!$G$7,SUMIF($BH$3:$CE$3,"="&amp;$DF20+'Model Setup'!$G$7,$AD20:$BA20)+'Model Setup'!$G$8*(SUMIF($BH$3:$CE$3,"&lt;"&amp;$DF20,$AD20:$BA20)+SUMIF($BH$3:$CE$3,"&gt;"&amp;$CW$4,$AD20:$BA20)),
IF(BR$3=$DF20+'Model Setup'!$H$7,SUMIF($BH$3:$CE$3,"="&amp;$DF20+'Model Setup'!$H$7,$AD20:$BA20)+'Model Setup'!$H$8*(SUMIF($BH$3:$CE$3,"&lt;"&amp;$DF20,$AD20:$BA20)+SUMIF($BH$3:$CE$3,"&gt;"&amp;$CW$4,$AD20:$BA20)),
IF(BR$3=$DF20+'Model Setup'!$I$7,SUMIF($BH$3:$CE$3,"="&amp;$DF20+'Model Setup'!$I$7,$AD20:$BA20)+'Model Setup'!$I$8*(SUMIF($BH$3:$CE$3,"&lt;"&amp;$DF20,$AD20:$BA20)+SUMIF($BH$3:$CE$3,"&gt;"&amp;$CW$4,$AD20:$BA20)),
IF(BR$3=$DF20+'Model Setup'!$J$7,SUMIF($BH$3:$CE$3,"="&amp;$DF20+'Model Setup'!$J$7,$AD20:$BA20)+'Model Setup'!$J$8*(SUMIF($BH$3:$CE$3,"&lt;"&amp;$DF20,$AD20:$BA20)+SUMIF($BH$3:$CE$3,"&gt;"&amp;$CW$4,$AD20:$BA20)),
IF(BR$3=$DF20+'Model Setup'!$K$7,SUMIF($BH$3:$CE$3,"="&amp;$DF20+'Model Setup'!$K$7,$AD20:$BA20)+'Model Setup'!$K$8*(SUMIF($BH$3:$CE$3,"&lt;"&amp;$DF20,$AD20:$BA20)+SUMIF($BH$3:$CE$3,"&gt;"&amp;$CW$4,$AD20:$BA20)),
IF(BR$3=$DF20+'Model Setup'!$L$7,SUMIF($BH$3:$CE$3,"="&amp;$DF20+'Model Setup'!$L$7,$AD20:$BA20)+'Model Setup'!$L$8*(SUMIF($BH$3:$CE$3,"&lt;"&amp;$DF20,$AD20:$BA20)+SUMIF($BH$3:$CE$3,"&gt;"&amp;$CW$4,$AD20:$BA20)),
IF(BR$3=$DF20+'Model Setup'!$M$7,SUMIF($BH$3:$CE$3,"="&amp;$DF20+'Model Setup'!$M$7,$AD20:$BA20)+'Model Setup'!$M$8*(SUMIF($BH$3:$CE$3,"&lt;"&amp;$DF20,$AD20:$BA20)+SUMIF($BH$3:$CE$3,"&gt;"&amp;$CW$4,$AD20:$BA20)),
IF(BR$3=$DF20+'Model Setup'!$N$7,SUMIF($BH$3:$CE$3,"="&amp;$DF20+'Model Setup'!$N$7,$AD20:$BA20)+'Model Setup'!$N$8*(SUMIF($BH$3:$CE$3,"&lt;"&amp;$DF20,$AD20:$BA20)+SUMIF($BH$3:$CE$3,"&gt;"&amp;$CW$4,$AD20:$BA20)),
IF(BR$3&lt;$CW$4,L20,0))))))))))))))),0)</f>
        <v>66</v>
      </c>
      <c r="BS20" s="47">
        <f>ROUND(IF(OR(BS$3&lt;$DF20,BS$3&gt;$CW$4),0,
IF(BS$3=$DF20+'Model Setup'!$B$7,SUMIF($BH$3:$CE$3,"="&amp;$DF20+'Model Setup'!$B$7,$AD20:$BA20)+'Model Setup'!$B$8*(SUMIF($BH$3:$CE$3,"&lt;"&amp;$DF20,$AD20:$BA20)+SUMIF($BH$3:$CE$3,"&gt;"&amp;$CW$4,$AD20:$BA20)),
IF(BS$3=$DF20+'Model Setup'!$C$7,SUMIF($BH$3:$CE$3,"="&amp;$DF20+'Model Setup'!$C$7,$AD20:$BA20)+'Model Setup'!$C$8*(SUMIF($BH$3:$CE$3,"&lt;"&amp;$DF20,$AD20:$BA20)+SUMIF($BH$3:$CE$3,"&gt;"&amp;$CW$4,$AD20:$BA20)),
IF(BS$3=$DF20+'Model Setup'!$D$7,SUMIF($BH$3:$CE$3,"="&amp;$DF20+'Model Setup'!$D$7,$AD20:$BA20)+'Model Setup'!$D$8*(SUMIF($BH$3:$CE$3,"&lt;"&amp;$DF20,$AD20:$BA20)+SUMIF($BH$3:$CE$3,"&gt;"&amp;$CW$4,$AD20:$BA20)),
IF(BS$3=$DF20+'Model Setup'!$E$7,SUMIF($BH$3:$CE$3,"="&amp;$DF20+'Model Setup'!$E$7,$AD20:$BA20)+'Model Setup'!$E$8*(SUMIF($BH$3:$CE$3,"&lt;"&amp;$DF20,$AD20:$BA20)+SUMIF($BH$3:$CE$3,"&gt;"&amp;$CW$4,$AD20:$BA20)),
IF(BS$3=$DF20+'Model Setup'!$F$7,SUMIF($BH$3:$CE$3,"="&amp;$DF20+'Model Setup'!$F$7,$AD20:$BA20)+'Model Setup'!$F$8*(SUMIF($BH$3:$CE$3,"&lt;"&amp;$DF20,$AD20:$BA20)+SUMIF($BH$3:$CE$3,"&gt;"&amp;$CW$4,$AD20:$BA20)),
IF(BS$3=$DF20+'Model Setup'!$G$7,SUMIF($BH$3:$CE$3,"="&amp;$DF20+'Model Setup'!$G$7,$AD20:$BA20)+'Model Setup'!$G$8*(SUMIF($BH$3:$CE$3,"&lt;"&amp;$DF20,$AD20:$BA20)+SUMIF($BH$3:$CE$3,"&gt;"&amp;$CW$4,$AD20:$BA20)),
IF(BS$3=$DF20+'Model Setup'!$H$7,SUMIF($BH$3:$CE$3,"="&amp;$DF20+'Model Setup'!$H$7,$AD20:$BA20)+'Model Setup'!$H$8*(SUMIF($BH$3:$CE$3,"&lt;"&amp;$DF20,$AD20:$BA20)+SUMIF($BH$3:$CE$3,"&gt;"&amp;$CW$4,$AD20:$BA20)),
IF(BS$3=$DF20+'Model Setup'!$I$7,SUMIF($BH$3:$CE$3,"="&amp;$DF20+'Model Setup'!$I$7,$AD20:$BA20)+'Model Setup'!$I$8*(SUMIF($BH$3:$CE$3,"&lt;"&amp;$DF20,$AD20:$BA20)+SUMIF($BH$3:$CE$3,"&gt;"&amp;$CW$4,$AD20:$BA20)),
IF(BS$3=$DF20+'Model Setup'!$J$7,SUMIF($BH$3:$CE$3,"="&amp;$DF20+'Model Setup'!$J$7,$AD20:$BA20)+'Model Setup'!$J$8*(SUMIF($BH$3:$CE$3,"&lt;"&amp;$DF20,$AD20:$BA20)+SUMIF($BH$3:$CE$3,"&gt;"&amp;$CW$4,$AD20:$BA20)),
IF(BS$3=$DF20+'Model Setup'!$K$7,SUMIF($BH$3:$CE$3,"="&amp;$DF20+'Model Setup'!$K$7,$AD20:$BA20)+'Model Setup'!$K$8*(SUMIF($BH$3:$CE$3,"&lt;"&amp;$DF20,$AD20:$BA20)+SUMIF($BH$3:$CE$3,"&gt;"&amp;$CW$4,$AD20:$BA20)),
IF(BS$3=$DF20+'Model Setup'!$L$7,SUMIF($BH$3:$CE$3,"="&amp;$DF20+'Model Setup'!$L$7,$AD20:$BA20)+'Model Setup'!$L$8*(SUMIF($BH$3:$CE$3,"&lt;"&amp;$DF20,$AD20:$BA20)+SUMIF($BH$3:$CE$3,"&gt;"&amp;$CW$4,$AD20:$BA20)),
IF(BS$3=$DF20+'Model Setup'!$M$7,SUMIF($BH$3:$CE$3,"="&amp;$DF20+'Model Setup'!$M$7,$AD20:$BA20)+'Model Setup'!$M$8*(SUMIF($BH$3:$CE$3,"&lt;"&amp;$DF20,$AD20:$BA20)+SUMIF($BH$3:$CE$3,"&gt;"&amp;$CW$4,$AD20:$BA20)),
IF(BS$3=$DF20+'Model Setup'!$N$7,SUMIF($BH$3:$CE$3,"="&amp;$DF20+'Model Setup'!$N$7,$AD20:$BA20)+'Model Setup'!$N$8*(SUMIF($BH$3:$CE$3,"&lt;"&amp;$DF20,$AD20:$BA20)+SUMIF($BH$3:$CE$3,"&gt;"&amp;$CW$4,$AD20:$BA20)),
IF(BS$3&lt;$CW$4,M20,0))))))))))))))),0)</f>
        <v>54</v>
      </c>
      <c r="BT20" s="47">
        <f>ROUND(IF(OR(BT$3&lt;$DF20,BT$3&gt;$CW$4),0,
IF(BT$3=$DF20+'Model Setup'!$B$7,SUMIF($BH$3:$CE$3,"="&amp;$DF20+'Model Setup'!$B$7,$AD20:$BA20)+'Model Setup'!$B$8*(SUMIF($BH$3:$CE$3,"&lt;"&amp;$DF20,$AD20:$BA20)+SUMIF($BH$3:$CE$3,"&gt;"&amp;$CW$4,$AD20:$BA20)),
IF(BT$3=$DF20+'Model Setup'!$C$7,SUMIF($BH$3:$CE$3,"="&amp;$DF20+'Model Setup'!$C$7,$AD20:$BA20)+'Model Setup'!$C$8*(SUMIF($BH$3:$CE$3,"&lt;"&amp;$DF20,$AD20:$BA20)+SUMIF($BH$3:$CE$3,"&gt;"&amp;$CW$4,$AD20:$BA20)),
IF(BT$3=$DF20+'Model Setup'!$D$7,SUMIF($BH$3:$CE$3,"="&amp;$DF20+'Model Setup'!$D$7,$AD20:$BA20)+'Model Setup'!$D$8*(SUMIF($BH$3:$CE$3,"&lt;"&amp;$DF20,$AD20:$BA20)+SUMIF($BH$3:$CE$3,"&gt;"&amp;$CW$4,$AD20:$BA20)),
IF(BT$3=$DF20+'Model Setup'!$E$7,SUMIF($BH$3:$CE$3,"="&amp;$DF20+'Model Setup'!$E$7,$AD20:$BA20)+'Model Setup'!$E$8*(SUMIF($BH$3:$CE$3,"&lt;"&amp;$DF20,$AD20:$BA20)+SUMIF($BH$3:$CE$3,"&gt;"&amp;$CW$4,$AD20:$BA20)),
IF(BT$3=$DF20+'Model Setup'!$F$7,SUMIF($BH$3:$CE$3,"="&amp;$DF20+'Model Setup'!$F$7,$AD20:$BA20)+'Model Setup'!$F$8*(SUMIF($BH$3:$CE$3,"&lt;"&amp;$DF20,$AD20:$BA20)+SUMIF($BH$3:$CE$3,"&gt;"&amp;$CW$4,$AD20:$BA20)),
IF(BT$3=$DF20+'Model Setup'!$G$7,SUMIF($BH$3:$CE$3,"="&amp;$DF20+'Model Setup'!$G$7,$AD20:$BA20)+'Model Setup'!$G$8*(SUMIF($BH$3:$CE$3,"&lt;"&amp;$DF20,$AD20:$BA20)+SUMIF($BH$3:$CE$3,"&gt;"&amp;$CW$4,$AD20:$BA20)),
IF(BT$3=$DF20+'Model Setup'!$H$7,SUMIF($BH$3:$CE$3,"="&amp;$DF20+'Model Setup'!$H$7,$AD20:$BA20)+'Model Setup'!$H$8*(SUMIF($BH$3:$CE$3,"&lt;"&amp;$DF20,$AD20:$BA20)+SUMIF($BH$3:$CE$3,"&gt;"&amp;$CW$4,$AD20:$BA20)),
IF(BT$3=$DF20+'Model Setup'!$I$7,SUMIF($BH$3:$CE$3,"="&amp;$DF20+'Model Setup'!$I$7,$AD20:$BA20)+'Model Setup'!$I$8*(SUMIF($BH$3:$CE$3,"&lt;"&amp;$DF20,$AD20:$BA20)+SUMIF($BH$3:$CE$3,"&gt;"&amp;$CW$4,$AD20:$BA20)),
IF(BT$3=$DF20+'Model Setup'!$J$7,SUMIF($BH$3:$CE$3,"="&amp;$DF20+'Model Setup'!$J$7,$AD20:$BA20)+'Model Setup'!$J$8*(SUMIF($BH$3:$CE$3,"&lt;"&amp;$DF20,$AD20:$BA20)+SUMIF($BH$3:$CE$3,"&gt;"&amp;$CW$4,$AD20:$BA20)),
IF(BT$3=$DF20+'Model Setup'!$K$7,SUMIF($BH$3:$CE$3,"="&amp;$DF20+'Model Setup'!$K$7,$AD20:$BA20)+'Model Setup'!$K$8*(SUMIF($BH$3:$CE$3,"&lt;"&amp;$DF20,$AD20:$BA20)+SUMIF($BH$3:$CE$3,"&gt;"&amp;$CW$4,$AD20:$BA20)),
IF(BT$3=$DF20+'Model Setup'!$L$7,SUMIF($BH$3:$CE$3,"="&amp;$DF20+'Model Setup'!$L$7,$AD20:$BA20)+'Model Setup'!$L$8*(SUMIF($BH$3:$CE$3,"&lt;"&amp;$DF20,$AD20:$BA20)+SUMIF($BH$3:$CE$3,"&gt;"&amp;$CW$4,$AD20:$BA20)),
IF(BT$3=$DF20+'Model Setup'!$M$7,SUMIF($BH$3:$CE$3,"="&amp;$DF20+'Model Setup'!$M$7,$AD20:$BA20)+'Model Setup'!$M$8*(SUMIF($BH$3:$CE$3,"&lt;"&amp;$DF20,$AD20:$BA20)+SUMIF($BH$3:$CE$3,"&gt;"&amp;$CW$4,$AD20:$BA20)),
IF(BT$3=$DF20+'Model Setup'!$N$7,SUMIF($BH$3:$CE$3,"="&amp;$DF20+'Model Setup'!$N$7,$AD20:$BA20)+'Model Setup'!$N$8*(SUMIF($BH$3:$CE$3,"&lt;"&amp;$DF20,$AD20:$BA20)+SUMIF($BH$3:$CE$3,"&gt;"&amp;$CW$4,$AD20:$BA20)),
IF(BT$3&lt;$CW$4,N20,0))))))))))))))),0)</f>
        <v>28</v>
      </c>
      <c r="BU20" s="47">
        <f>ROUND(IF(OR(BU$3&lt;$DF20,BU$3&gt;$CW$4),0,
IF(BU$3=$DF20+'Model Setup'!$B$7,SUMIF($BH$3:$CE$3,"="&amp;$DF20+'Model Setup'!$B$7,$AD20:$BA20)+'Model Setup'!$B$8*(SUMIF($BH$3:$CE$3,"&lt;"&amp;$DF20,$AD20:$BA20)+SUMIF($BH$3:$CE$3,"&gt;"&amp;$CW$4,$AD20:$BA20)),
IF(BU$3=$DF20+'Model Setup'!$C$7,SUMIF($BH$3:$CE$3,"="&amp;$DF20+'Model Setup'!$C$7,$AD20:$BA20)+'Model Setup'!$C$8*(SUMIF($BH$3:$CE$3,"&lt;"&amp;$DF20,$AD20:$BA20)+SUMIF($BH$3:$CE$3,"&gt;"&amp;$CW$4,$AD20:$BA20)),
IF(BU$3=$DF20+'Model Setup'!$D$7,SUMIF($BH$3:$CE$3,"="&amp;$DF20+'Model Setup'!$D$7,$AD20:$BA20)+'Model Setup'!$D$8*(SUMIF($BH$3:$CE$3,"&lt;"&amp;$DF20,$AD20:$BA20)+SUMIF($BH$3:$CE$3,"&gt;"&amp;$CW$4,$AD20:$BA20)),
IF(BU$3=$DF20+'Model Setup'!$E$7,SUMIF($BH$3:$CE$3,"="&amp;$DF20+'Model Setup'!$E$7,$AD20:$BA20)+'Model Setup'!$E$8*(SUMIF($BH$3:$CE$3,"&lt;"&amp;$DF20,$AD20:$BA20)+SUMIF($BH$3:$CE$3,"&gt;"&amp;$CW$4,$AD20:$BA20)),
IF(BU$3=$DF20+'Model Setup'!$F$7,SUMIF($BH$3:$CE$3,"="&amp;$DF20+'Model Setup'!$F$7,$AD20:$BA20)+'Model Setup'!$F$8*(SUMIF($BH$3:$CE$3,"&lt;"&amp;$DF20,$AD20:$BA20)+SUMIF($BH$3:$CE$3,"&gt;"&amp;$CW$4,$AD20:$BA20)),
IF(BU$3=$DF20+'Model Setup'!$G$7,SUMIF($BH$3:$CE$3,"="&amp;$DF20+'Model Setup'!$G$7,$AD20:$BA20)+'Model Setup'!$G$8*(SUMIF($BH$3:$CE$3,"&lt;"&amp;$DF20,$AD20:$BA20)+SUMIF($BH$3:$CE$3,"&gt;"&amp;$CW$4,$AD20:$BA20)),
IF(BU$3=$DF20+'Model Setup'!$H$7,SUMIF($BH$3:$CE$3,"="&amp;$DF20+'Model Setup'!$H$7,$AD20:$BA20)+'Model Setup'!$H$8*(SUMIF($BH$3:$CE$3,"&lt;"&amp;$DF20,$AD20:$BA20)+SUMIF($BH$3:$CE$3,"&gt;"&amp;$CW$4,$AD20:$BA20)),
IF(BU$3=$DF20+'Model Setup'!$I$7,SUMIF($BH$3:$CE$3,"="&amp;$DF20+'Model Setup'!$I$7,$AD20:$BA20)+'Model Setup'!$I$8*(SUMIF($BH$3:$CE$3,"&lt;"&amp;$DF20,$AD20:$BA20)+SUMIF($BH$3:$CE$3,"&gt;"&amp;$CW$4,$AD20:$BA20)),
IF(BU$3=$DF20+'Model Setup'!$J$7,SUMIF($BH$3:$CE$3,"="&amp;$DF20+'Model Setup'!$J$7,$AD20:$BA20)+'Model Setup'!$J$8*(SUMIF($BH$3:$CE$3,"&lt;"&amp;$DF20,$AD20:$BA20)+SUMIF($BH$3:$CE$3,"&gt;"&amp;$CW$4,$AD20:$BA20)),
IF(BU$3=$DF20+'Model Setup'!$K$7,SUMIF($BH$3:$CE$3,"="&amp;$DF20+'Model Setup'!$K$7,$AD20:$BA20)+'Model Setup'!$K$8*(SUMIF($BH$3:$CE$3,"&lt;"&amp;$DF20,$AD20:$BA20)+SUMIF($BH$3:$CE$3,"&gt;"&amp;$CW$4,$AD20:$BA20)),
IF(BU$3=$DF20+'Model Setup'!$L$7,SUMIF($BH$3:$CE$3,"="&amp;$DF20+'Model Setup'!$L$7,$AD20:$BA20)+'Model Setup'!$L$8*(SUMIF($BH$3:$CE$3,"&lt;"&amp;$DF20,$AD20:$BA20)+SUMIF($BH$3:$CE$3,"&gt;"&amp;$CW$4,$AD20:$BA20)),
IF(BU$3=$DF20+'Model Setup'!$M$7,SUMIF($BH$3:$CE$3,"="&amp;$DF20+'Model Setup'!$M$7,$AD20:$BA20)+'Model Setup'!$M$8*(SUMIF($BH$3:$CE$3,"&lt;"&amp;$DF20,$AD20:$BA20)+SUMIF($BH$3:$CE$3,"&gt;"&amp;$CW$4,$AD20:$BA20)),
IF(BU$3=$DF20+'Model Setup'!$N$7,SUMIF($BH$3:$CE$3,"="&amp;$DF20+'Model Setup'!$N$7,$AD20:$BA20)+'Model Setup'!$N$8*(SUMIF($BH$3:$CE$3,"&lt;"&amp;$DF20,$AD20:$BA20)+SUMIF($BH$3:$CE$3,"&gt;"&amp;$CW$4,$AD20:$BA20)),
IF(BU$3&lt;$CW$4,O20,0))))))))))))))),0)</f>
        <v>24</v>
      </c>
      <c r="BV20" s="47">
        <f>ROUND(IF(OR(BV$3&lt;$DF20,BV$3&gt;$CW$4),0,
IF(BV$3=$DF20+'Model Setup'!$B$7,SUMIF($BH$3:$CE$3,"="&amp;$DF20+'Model Setup'!$B$7,$AD20:$BA20)+'Model Setup'!$B$8*(SUMIF($BH$3:$CE$3,"&lt;"&amp;$DF20,$AD20:$BA20)+SUMIF($BH$3:$CE$3,"&gt;"&amp;$CW$4,$AD20:$BA20)),
IF(BV$3=$DF20+'Model Setup'!$C$7,SUMIF($BH$3:$CE$3,"="&amp;$DF20+'Model Setup'!$C$7,$AD20:$BA20)+'Model Setup'!$C$8*(SUMIF($BH$3:$CE$3,"&lt;"&amp;$DF20,$AD20:$BA20)+SUMIF($BH$3:$CE$3,"&gt;"&amp;$CW$4,$AD20:$BA20)),
IF(BV$3=$DF20+'Model Setup'!$D$7,SUMIF($BH$3:$CE$3,"="&amp;$DF20+'Model Setup'!$D$7,$AD20:$BA20)+'Model Setup'!$D$8*(SUMIF($BH$3:$CE$3,"&lt;"&amp;$DF20,$AD20:$BA20)+SUMIF($BH$3:$CE$3,"&gt;"&amp;$CW$4,$AD20:$BA20)),
IF(BV$3=$DF20+'Model Setup'!$E$7,SUMIF($BH$3:$CE$3,"="&amp;$DF20+'Model Setup'!$E$7,$AD20:$BA20)+'Model Setup'!$E$8*(SUMIF($BH$3:$CE$3,"&lt;"&amp;$DF20,$AD20:$BA20)+SUMIF($BH$3:$CE$3,"&gt;"&amp;$CW$4,$AD20:$BA20)),
IF(BV$3=$DF20+'Model Setup'!$F$7,SUMIF($BH$3:$CE$3,"="&amp;$DF20+'Model Setup'!$F$7,$AD20:$BA20)+'Model Setup'!$F$8*(SUMIF($BH$3:$CE$3,"&lt;"&amp;$DF20,$AD20:$BA20)+SUMIF($BH$3:$CE$3,"&gt;"&amp;$CW$4,$AD20:$BA20)),
IF(BV$3=$DF20+'Model Setup'!$G$7,SUMIF($BH$3:$CE$3,"="&amp;$DF20+'Model Setup'!$G$7,$AD20:$BA20)+'Model Setup'!$G$8*(SUMIF($BH$3:$CE$3,"&lt;"&amp;$DF20,$AD20:$BA20)+SUMIF($BH$3:$CE$3,"&gt;"&amp;$CW$4,$AD20:$BA20)),
IF(BV$3=$DF20+'Model Setup'!$H$7,SUMIF($BH$3:$CE$3,"="&amp;$DF20+'Model Setup'!$H$7,$AD20:$BA20)+'Model Setup'!$H$8*(SUMIF($BH$3:$CE$3,"&lt;"&amp;$DF20,$AD20:$BA20)+SUMIF($BH$3:$CE$3,"&gt;"&amp;$CW$4,$AD20:$BA20)),
IF(BV$3=$DF20+'Model Setup'!$I$7,SUMIF($BH$3:$CE$3,"="&amp;$DF20+'Model Setup'!$I$7,$AD20:$BA20)+'Model Setup'!$I$8*(SUMIF($BH$3:$CE$3,"&lt;"&amp;$DF20,$AD20:$BA20)+SUMIF($BH$3:$CE$3,"&gt;"&amp;$CW$4,$AD20:$BA20)),
IF(BV$3=$DF20+'Model Setup'!$J$7,SUMIF($BH$3:$CE$3,"="&amp;$DF20+'Model Setup'!$J$7,$AD20:$BA20)+'Model Setup'!$J$8*(SUMIF($BH$3:$CE$3,"&lt;"&amp;$DF20,$AD20:$BA20)+SUMIF($BH$3:$CE$3,"&gt;"&amp;$CW$4,$AD20:$BA20)),
IF(BV$3=$DF20+'Model Setup'!$K$7,SUMIF($BH$3:$CE$3,"="&amp;$DF20+'Model Setup'!$K$7,$AD20:$BA20)+'Model Setup'!$K$8*(SUMIF($BH$3:$CE$3,"&lt;"&amp;$DF20,$AD20:$BA20)+SUMIF($BH$3:$CE$3,"&gt;"&amp;$CW$4,$AD20:$BA20)),
IF(BV$3=$DF20+'Model Setup'!$L$7,SUMIF($BH$3:$CE$3,"="&amp;$DF20+'Model Setup'!$L$7,$AD20:$BA20)+'Model Setup'!$L$8*(SUMIF($BH$3:$CE$3,"&lt;"&amp;$DF20,$AD20:$BA20)+SUMIF($BH$3:$CE$3,"&gt;"&amp;$CW$4,$AD20:$BA20)),
IF(BV$3=$DF20+'Model Setup'!$M$7,SUMIF($BH$3:$CE$3,"="&amp;$DF20+'Model Setup'!$M$7,$AD20:$BA20)+'Model Setup'!$M$8*(SUMIF($BH$3:$CE$3,"&lt;"&amp;$DF20,$AD20:$BA20)+SUMIF($BH$3:$CE$3,"&gt;"&amp;$CW$4,$AD20:$BA20)),
IF(BV$3=$DF20+'Model Setup'!$N$7,SUMIF($BH$3:$CE$3,"="&amp;$DF20+'Model Setup'!$N$7,$AD20:$BA20)+'Model Setup'!$N$8*(SUMIF($BH$3:$CE$3,"&lt;"&amp;$DF20,$AD20:$BA20)+SUMIF($BH$3:$CE$3,"&gt;"&amp;$CW$4,$AD20:$BA20)),
IF(BV$3&lt;$CW$4,P20,0))))))))))))))),0)</f>
        <v>27</v>
      </c>
      <c r="BW20" s="47">
        <f>ROUND(IF(OR(BW$3&lt;$DF20,BW$3&gt;$CW$4),0,
IF(BW$3=$DF20+'Model Setup'!$B$7,SUMIF($BH$3:$CE$3,"="&amp;$DF20+'Model Setup'!$B$7,$AD20:$BA20)+'Model Setup'!$B$8*(SUMIF($BH$3:$CE$3,"&lt;"&amp;$DF20,$AD20:$BA20)+SUMIF($BH$3:$CE$3,"&gt;"&amp;$CW$4,$AD20:$BA20)),
IF(BW$3=$DF20+'Model Setup'!$C$7,SUMIF($BH$3:$CE$3,"="&amp;$DF20+'Model Setup'!$C$7,$AD20:$BA20)+'Model Setup'!$C$8*(SUMIF($BH$3:$CE$3,"&lt;"&amp;$DF20,$AD20:$BA20)+SUMIF($BH$3:$CE$3,"&gt;"&amp;$CW$4,$AD20:$BA20)),
IF(BW$3=$DF20+'Model Setup'!$D$7,SUMIF($BH$3:$CE$3,"="&amp;$DF20+'Model Setup'!$D$7,$AD20:$BA20)+'Model Setup'!$D$8*(SUMIF($BH$3:$CE$3,"&lt;"&amp;$DF20,$AD20:$BA20)+SUMIF($BH$3:$CE$3,"&gt;"&amp;$CW$4,$AD20:$BA20)),
IF(BW$3=$DF20+'Model Setup'!$E$7,SUMIF($BH$3:$CE$3,"="&amp;$DF20+'Model Setup'!$E$7,$AD20:$BA20)+'Model Setup'!$E$8*(SUMIF($BH$3:$CE$3,"&lt;"&amp;$DF20,$AD20:$BA20)+SUMIF($BH$3:$CE$3,"&gt;"&amp;$CW$4,$AD20:$BA20)),
IF(BW$3=$DF20+'Model Setup'!$F$7,SUMIF($BH$3:$CE$3,"="&amp;$DF20+'Model Setup'!$F$7,$AD20:$BA20)+'Model Setup'!$F$8*(SUMIF($BH$3:$CE$3,"&lt;"&amp;$DF20,$AD20:$BA20)+SUMIF($BH$3:$CE$3,"&gt;"&amp;$CW$4,$AD20:$BA20)),
IF(BW$3=$DF20+'Model Setup'!$G$7,SUMIF($BH$3:$CE$3,"="&amp;$DF20+'Model Setup'!$G$7,$AD20:$BA20)+'Model Setup'!$G$8*(SUMIF($BH$3:$CE$3,"&lt;"&amp;$DF20,$AD20:$BA20)+SUMIF($BH$3:$CE$3,"&gt;"&amp;$CW$4,$AD20:$BA20)),
IF(BW$3=$DF20+'Model Setup'!$H$7,SUMIF($BH$3:$CE$3,"="&amp;$DF20+'Model Setup'!$H$7,$AD20:$BA20)+'Model Setup'!$H$8*(SUMIF($BH$3:$CE$3,"&lt;"&amp;$DF20,$AD20:$BA20)+SUMIF($BH$3:$CE$3,"&gt;"&amp;$CW$4,$AD20:$BA20)),
IF(BW$3=$DF20+'Model Setup'!$I$7,SUMIF($BH$3:$CE$3,"="&amp;$DF20+'Model Setup'!$I$7,$AD20:$BA20)+'Model Setup'!$I$8*(SUMIF($BH$3:$CE$3,"&lt;"&amp;$DF20,$AD20:$BA20)+SUMIF($BH$3:$CE$3,"&gt;"&amp;$CW$4,$AD20:$BA20)),
IF(BW$3=$DF20+'Model Setup'!$J$7,SUMIF($BH$3:$CE$3,"="&amp;$DF20+'Model Setup'!$J$7,$AD20:$BA20)+'Model Setup'!$J$8*(SUMIF($BH$3:$CE$3,"&lt;"&amp;$DF20,$AD20:$BA20)+SUMIF($BH$3:$CE$3,"&gt;"&amp;$CW$4,$AD20:$BA20)),
IF(BW$3=$DF20+'Model Setup'!$K$7,SUMIF($BH$3:$CE$3,"="&amp;$DF20+'Model Setup'!$K$7,$AD20:$BA20)+'Model Setup'!$K$8*(SUMIF($BH$3:$CE$3,"&lt;"&amp;$DF20,$AD20:$BA20)+SUMIF($BH$3:$CE$3,"&gt;"&amp;$CW$4,$AD20:$BA20)),
IF(BW$3=$DF20+'Model Setup'!$L$7,SUMIF($BH$3:$CE$3,"="&amp;$DF20+'Model Setup'!$L$7,$AD20:$BA20)+'Model Setup'!$L$8*(SUMIF($BH$3:$CE$3,"&lt;"&amp;$DF20,$AD20:$BA20)+SUMIF($BH$3:$CE$3,"&gt;"&amp;$CW$4,$AD20:$BA20)),
IF(BW$3=$DF20+'Model Setup'!$M$7,SUMIF($BH$3:$CE$3,"="&amp;$DF20+'Model Setup'!$M$7,$AD20:$BA20)+'Model Setup'!$M$8*(SUMIF($BH$3:$CE$3,"&lt;"&amp;$DF20,$AD20:$BA20)+SUMIF($BH$3:$CE$3,"&gt;"&amp;$CW$4,$AD20:$BA20)),
IF(BW$3=$DF20+'Model Setup'!$N$7,SUMIF($BH$3:$CE$3,"="&amp;$DF20+'Model Setup'!$N$7,$AD20:$BA20)+'Model Setup'!$N$8*(SUMIF($BH$3:$CE$3,"&lt;"&amp;$DF20,$AD20:$BA20)+SUMIF($BH$3:$CE$3,"&gt;"&amp;$CW$4,$AD20:$BA20)),
IF(BW$3&lt;$CW$4,Q20,0))))))))))))))),0)</f>
        <v>31</v>
      </c>
      <c r="BX20" s="47">
        <f>ROUND(IF(OR(BX$3&lt;$DF20,BX$3&gt;$CW$4),0,
IF(BX$3=$DF20+'Model Setup'!$B$7,SUMIF($BH$3:$CE$3,"="&amp;$DF20+'Model Setup'!$B$7,$AD20:$BA20)+'Model Setup'!$B$8*(SUMIF($BH$3:$CE$3,"&lt;"&amp;$DF20,$AD20:$BA20)+SUMIF($BH$3:$CE$3,"&gt;"&amp;$CW$4,$AD20:$BA20)),
IF(BX$3=$DF20+'Model Setup'!$C$7,SUMIF($BH$3:$CE$3,"="&amp;$DF20+'Model Setup'!$C$7,$AD20:$BA20)+'Model Setup'!$C$8*(SUMIF($BH$3:$CE$3,"&lt;"&amp;$DF20,$AD20:$BA20)+SUMIF($BH$3:$CE$3,"&gt;"&amp;$CW$4,$AD20:$BA20)),
IF(BX$3=$DF20+'Model Setup'!$D$7,SUMIF($BH$3:$CE$3,"="&amp;$DF20+'Model Setup'!$D$7,$AD20:$BA20)+'Model Setup'!$D$8*(SUMIF($BH$3:$CE$3,"&lt;"&amp;$DF20,$AD20:$BA20)+SUMIF($BH$3:$CE$3,"&gt;"&amp;$CW$4,$AD20:$BA20)),
IF(BX$3=$DF20+'Model Setup'!$E$7,SUMIF($BH$3:$CE$3,"="&amp;$DF20+'Model Setup'!$E$7,$AD20:$BA20)+'Model Setup'!$E$8*(SUMIF($BH$3:$CE$3,"&lt;"&amp;$DF20,$AD20:$BA20)+SUMIF($BH$3:$CE$3,"&gt;"&amp;$CW$4,$AD20:$BA20)),
IF(BX$3=$DF20+'Model Setup'!$F$7,SUMIF($BH$3:$CE$3,"="&amp;$DF20+'Model Setup'!$F$7,$AD20:$BA20)+'Model Setup'!$F$8*(SUMIF($BH$3:$CE$3,"&lt;"&amp;$DF20,$AD20:$BA20)+SUMIF($BH$3:$CE$3,"&gt;"&amp;$CW$4,$AD20:$BA20)),
IF(BX$3=$DF20+'Model Setup'!$G$7,SUMIF($BH$3:$CE$3,"="&amp;$DF20+'Model Setup'!$G$7,$AD20:$BA20)+'Model Setup'!$G$8*(SUMIF($BH$3:$CE$3,"&lt;"&amp;$DF20,$AD20:$BA20)+SUMIF($BH$3:$CE$3,"&gt;"&amp;$CW$4,$AD20:$BA20)),
IF(BX$3=$DF20+'Model Setup'!$H$7,SUMIF($BH$3:$CE$3,"="&amp;$DF20+'Model Setup'!$H$7,$AD20:$BA20)+'Model Setup'!$H$8*(SUMIF($BH$3:$CE$3,"&lt;"&amp;$DF20,$AD20:$BA20)+SUMIF($BH$3:$CE$3,"&gt;"&amp;$CW$4,$AD20:$BA20)),
IF(BX$3=$DF20+'Model Setup'!$I$7,SUMIF($BH$3:$CE$3,"="&amp;$DF20+'Model Setup'!$I$7,$AD20:$BA20)+'Model Setup'!$I$8*(SUMIF($BH$3:$CE$3,"&lt;"&amp;$DF20,$AD20:$BA20)+SUMIF($BH$3:$CE$3,"&gt;"&amp;$CW$4,$AD20:$BA20)),
IF(BX$3=$DF20+'Model Setup'!$J$7,SUMIF($BH$3:$CE$3,"="&amp;$DF20+'Model Setup'!$J$7,$AD20:$BA20)+'Model Setup'!$J$8*(SUMIF($BH$3:$CE$3,"&lt;"&amp;$DF20,$AD20:$BA20)+SUMIF($BH$3:$CE$3,"&gt;"&amp;$CW$4,$AD20:$BA20)),
IF(BX$3=$DF20+'Model Setup'!$K$7,SUMIF($BH$3:$CE$3,"="&amp;$DF20+'Model Setup'!$K$7,$AD20:$BA20)+'Model Setup'!$K$8*(SUMIF($BH$3:$CE$3,"&lt;"&amp;$DF20,$AD20:$BA20)+SUMIF($BH$3:$CE$3,"&gt;"&amp;$CW$4,$AD20:$BA20)),
IF(BX$3=$DF20+'Model Setup'!$L$7,SUMIF($BH$3:$CE$3,"="&amp;$DF20+'Model Setup'!$L$7,$AD20:$BA20)+'Model Setup'!$L$8*(SUMIF($BH$3:$CE$3,"&lt;"&amp;$DF20,$AD20:$BA20)+SUMIF($BH$3:$CE$3,"&gt;"&amp;$CW$4,$AD20:$BA20)),
IF(BX$3=$DF20+'Model Setup'!$M$7,SUMIF($BH$3:$CE$3,"="&amp;$DF20+'Model Setup'!$M$7,$AD20:$BA20)+'Model Setup'!$M$8*(SUMIF($BH$3:$CE$3,"&lt;"&amp;$DF20,$AD20:$BA20)+SUMIF($BH$3:$CE$3,"&gt;"&amp;$CW$4,$AD20:$BA20)),
IF(BX$3=$DF20+'Model Setup'!$N$7,SUMIF($BH$3:$CE$3,"="&amp;$DF20+'Model Setup'!$N$7,$AD20:$BA20)+'Model Setup'!$N$8*(SUMIF($BH$3:$CE$3,"&lt;"&amp;$DF20,$AD20:$BA20)+SUMIF($BH$3:$CE$3,"&gt;"&amp;$CW$4,$AD20:$BA20)),
IF(BX$3&lt;$CW$4,R20,0))))))))))))))),0)</f>
        <v>42</v>
      </c>
      <c r="BY20" s="47">
        <f>ROUND(IF(OR(BY$3&lt;$DF20,BY$3&gt;$CW$4),0,
IF(BY$3=$DF20+'Model Setup'!$B$7,SUMIF($BH$3:$CE$3,"="&amp;$DF20+'Model Setup'!$B$7,$AD20:$BA20)+'Model Setup'!$B$8*(SUMIF($BH$3:$CE$3,"&lt;"&amp;$DF20,$AD20:$BA20)+SUMIF($BH$3:$CE$3,"&gt;"&amp;$CW$4,$AD20:$BA20)),
IF(BY$3=$DF20+'Model Setup'!$C$7,SUMIF($BH$3:$CE$3,"="&amp;$DF20+'Model Setup'!$C$7,$AD20:$BA20)+'Model Setup'!$C$8*(SUMIF($BH$3:$CE$3,"&lt;"&amp;$DF20,$AD20:$BA20)+SUMIF($BH$3:$CE$3,"&gt;"&amp;$CW$4,$AD20:$BA20)),
IF(BY$3=$DF20+'Model Setup'!$D$7,SUMIF($BH$3:$CE$3,"="&amp;$DF20+'Model Setup'!$D$7,$AD20:$BA20)+'Model Setup'!$D$8*(SUMIF($BH$3:$CE$3,"&lt;"&amp;$DF20,$AD20:$BA20)+SUMIF($BH$3:$CE$3,"&gt;"&amp;$CW$4,$AD20:$BA20)),
IF(BY$3=$DF20+'Model Setup'!$E$7,SUMIF($BH$3:$CE$3,"="&amp;$DF20+'Model Setup'!$E$7,$AD20:$BA20)+'Model Setup'!$E$8*(SUMIF($BH$3:$CE$3,"&lt;"&amp;$DF20,$AD20:$BA20)+SUMIF($BH$3:$CE$3,"&gt;"&amp;$CW$4,$AD20:$BA20)),
IF(BY$3=$DF20+'Model Setup'!$F$7,SUMIF($BH$3:$CE$3,"="&amp;$DF20+'Model Setup'!$F$7,$AD20:$BA20)+'Model Setup'!$F$8*(SUMIF($BH$3:$CE$3,"&lt;"&amp;$DF20,$AD20:$BA20)+SUMIF($BH$3:$CE$3,"&gt;"&amp;$CW$4,$AD20:$BA20)),
IF(BY$3=$DF20+'Model Setup'!$G$7,SUMIF($BH$3:$CE$3,"="&amp;$DF20+'Model Setup'!$G$7,$AD20:$BA20)+'Model Setup'!$G$8*(SUMIF($BH$3:$CE$3,"&lt;"&amp;$DF20,$AD20:$BA20)+SUMIF($BH$3:$CE$3,"&gt;"&amp;$CW$4,$AD20:$BA20)),
IF(BY$3=$DF20+'Model Setup'!$H$7,SUMIF($BH$3:$CE$3,"="&amp;$DF20+'Model Setup'!$H$7,$AD20:$BA20)+'Model Setup'!$H$8*(SUMIF($BH$3:$CE$3,"&lt;"&amp;$DF20,$AD20:$BA20)+SUMIF($BH$3:$CE$3,"&gt;"&amp;$CW$4,$AD20:$BA20)),
IF(BY$3=$DF20+'Model Setup'!$I$7,SUMIF($BH$3:$CE$3,"="&amp;$DF20+'Model Setup'!$I$7,$AD20:$BA20)+'Model Setup'!$I$8*(SUMIF($BH$3:$CE$3,"&lt;"&amp;$DF20,$AD20:$BA20)+SUMIF($BH$3:$CE$3,"&gt;"&amp;$CW$4,$AD20:$BA20)),
IF(BY$3=$DF20+'Model Setup'!$J$7,SUMIF($BH$3:$CE$3,"="&amp;$DF20+'Model Setup'!$J$7,$AD20:$BA20)+'Model Setup'!$J$8*(SUMIF($BH$3:$CE$3,"&lt;"&amp;$DF20,$AD20:$BA20)+SUMIF($BH$3:$CE$3,"&gt;"&amp;$CW$4,$AD20:$BA20)),
IF(BY$3=$DF20+'Model Setup'!$K$7,SUMIF($BH$3:$CE$3,"="&amp;$DF20+'Model Setup'!$K$7,$AD20:$BA20)+'Model Setup'!$K$8*(SUMIF($BH$3:$CE$3,"&lt;"&amp;$DF20,$AD20:$BA20)+SUMIF($BH$3:$CE$3,"&gt;"&amp;$CW$4,$AD20:$BA20)),
IF(BY$3=$DF20+'Model Setup'!$L$7,SUMIF($BH$3:$CE$3,"="&amp;$DF20+'Model Setup'!$L$7,$AD20:$BA20)+'Model Setup'!$L$8*(SUMIF($BH$3:$CE$3,"&lt;"&amp;$DF20,$AD20:$BA20)+SUMIF($BH$3:$CE$3,"&gt;"&amp;$CW$4,$AD20:$BA20)),
IF(BY$3=$DF20+'Model Setup'!$M$7,SUMIF($BH$3:$CE$3,"="&amp;$DF20+'Model Setup'!$M$7,$AD20:$BA20)+'Model Setup'!$M$8*(SUMIF($BH$3:$CE$3,"&lt;"&amp;$DF20,$AD20:$BA20)+SUMIF($BH$3:$CE$3,"&gt;"&amp;$CW$4,$AD20:$BA20)),
IF(BY$3=$DF20+'Model Setup'!$N$7,SUMIF($BH$3:$CE$3,"="&amp;$DF20+'Model Setup'!$N$7,$AD20:$BA20)+'Model Setup'!$N$8*(SUMIF($BH$3:$CE$3,"&lt;"&amp;$DF20,$AD20:$BA20)+SUMIF($BH$3:$CE$3,"&gt;"&amp;$CW$4,$AD20:$BA20)),
IF(BY$3&lt;$CW$4,S20,0))))))))))))))),0)</f>
        <v>30</v>
      </c>
      <c r="BZ20" s="47">
        <f>ROUND(IF(OR(BZ$3&lt;$DF20,BZ$3&gt;$CW$4),0,
IF(BZ$3=$DF20+'Model Setup'!$B$7,SUMIF($BH$3:$CE$3,"="&amp;$DF20+'Model Setup'!$B$7,$AD20:$BA20)+'Model Setup'!$B$8*(SUMIF($BH$3:$CE$3,"&lt;"&amp;$DF20,$AD20:$BA20)+SUMIF($BH$3:$CE$3,"&gt;"&amp;$CW$4,$AD20:$BA20)),
IF(BZ$3=$DF20+'Model Setup'!$C$7,SUMIF($BH$3:$CE$3,"="&amp;$DF20+'Model Setup'!$C$7,$AD20:$BA20)+'Model Setup'!$C$8*(SUMIF($BH$3:$CE$3,"&lt;"&amp;$DF20,$AD20:$BA20)+SUMIF($BH$3:$CE$3,"&gt;"&amp;$CW$4,$AD20:$BA20)),
IF(BZ$3=$DF20+'Model Setup'!$D$7,SUMIF($BH$3:$CE$3,"="&amp;$DF20+'Model Setup'!$D$7,$AD20:$BA20)+'Model Setup'!$D$8*(SUMIF($BH$3:$CE$3,"&lt;"&amp;$DF20,$AD20:$BA20)+SUMIF($BH$3:$CE$3,"&gt;"&amp;$CW$4,$AD20:$BA20)),
IF(BZ$3=$DF20+'Model Setup'!$E$7,SUMIF($BH$3:$CE$3,"="&amp;$DF20+'Model Setup'!$E$7,$AD20:$BA20)+'Model Setup'!$E$8*(SUMIF($BH$3:$CE$3,"&lt;"&amp;$DF20,$AD20:$BA20)+SUMIF($BH$3:$CE$3,"&gt;"&amp;$CW$4,$AD20:$BA20)),
IF(BZ$3=$DF20+'Model Setup'!$F$7,SUMIF($BH$3:$CE$3,"="&amp;$DF20+'Model Setup'!$F$7,$AD20:$BA20)+'Model Setup'!$F$8*(SUMIF($BH$3:$CE$3,"&lt;"&amp;$DF20,$AD20:$BA20)+SUMIF($BH$3:$CE$3,"&gt;"&amp;$CW$4,$AD20:$BA20)),
IF(BZ$3=$DF20+'Model Setup'!$G$7,SUMIF($BH$3:$CE$3,"="&amp;$DF20+'Model Setup'!$G$7,$AD20:$BA20)+'Model Setup'!$G$8*(SUMIF($BH$3:$CE$3,"&lt;"&amp;$DF20,$AD20:$BA20)+SUMIF($BH$3:$CE$3,"&gt;"&amp;$CW$4,$AD20:$BA20)),
IF(BZ$3=$DF20+'Model Setup'!$H$7,SUMIF($BH$3:$CE$3,"="&amp;$DF20+'Model Setup'!$H$7,$AD20:$BA20)+'Model Setup'!$H$8*(SUMIF($BH$3:$CE$3,"&lt;"&amp;$DF20,$AD20:$BA20)+SUMIF($BH$3:$CE$3,"&gt;"&amp;$CW$4,$AD20:$BA20)),
IF(BZ$3=$DF20+'Model Setup'!$I$7,SUMIF($BH$3:$CE$3,"="&amp;$DF20+'Model Setup'!$I$7,$AD20:$BA20)+'Model Setup'!$I$8*(SUMIF($BH$3:$CE$3,"&lt;"&amp;$DF20,$AD20:$BA20)+SUMIF($BH$3:$CE$3,"&gt;"&amp;$CW$4,$AD20:$BA20)),
IF(BZ$3=$DF20+'Model Setup'!$J$7,SUMIF($BH$3:$CE$3,"="&amp;$DF20+'Model Setup'!$J$7,$AD20:$BA20)+'Model Setup'!$J$8*(SUMIF($BH$3:$CE$3,"&lt;"&amp;$DF20,$AD20:$BA20)+SUMIF($BH$3:$CE$3,"&gt;"&amp;$CW$4,$AD20:$BA20)),
IF(BZ$3=$DF20+'Model Setup'!$K$7,SUMIF($BH$3:$CE$3,"="&amp;$DF20+'Model Setup'!$K$7,$AD20:$BA20)+'Model Setup'!$K$8*(SUMIF($BH$3:$CE$3,"&lt;"&amp;$DF20,$AD20:$BA20)+SUMIF($BH$3:$CE$3,"&gt;"&amp;$CW$4,$AD20:$BA20)),
IF(BZ$3=$DF20+'Model Setup'!$L$7,SUMIF($BH$3:$CE$3,"="&amp;$DF20+'Model Setup'!$L$7,$AD20:$BA20)+'Model Setup'!$L$8*(SUMIF($BH$3:$CE$3,"&lt;"&amp;$DF20,$AD20:$BA20)+SUMIF($BH$3:$CE$3,"&gt;"&amp;$CW$4,$AD20:$BA20)),
IF(BZ$3=$DF20+'Model Setup'!$M$7,SUMIF($BH$3:$CE$3,"="&amp;$DF20+'Model Setup'!$M$7,$AD20:$BA20)+'Model Setup'!$M$8*(SUMIF($BH$3:$CE$3,"&lt;"&amp;$DF20,$AD20:$BA20)+SUMIF($BH$3:$CE$3,"&gt;"&amp;$CW$4,$AD20:$BA20)),
IF(BZ$3=$DF20+'Model Setup'!$N$7,SUMIF($BH$3:$CE$3,"="&amp;$DF20+'Model Setup'!$N$7,$AD20:$BA20)+'Model Setup'!$N$8*(SUMIF($BH$3:$CE$3,"&lt;"&amp;$DF20,$AD20:$BA20)+SUMIF($BH$3:$CE$3,"&gt;"&amp;$CW$4,$AD20:$BA20)),
IF(BZ$3&lt;$CW$4,T20,0))))))))))))))),0)</f>
        <v>0</v>
      </c>
      <c r="CA20" s="47">
        <f>ROUND(IF(OR(CA$3&lt;$DF20,CA$3&gt;$CW$4),0,
IF(CA$3=$DF20+'Model Setup'!$B$7,SUMIF($BH$3:$CE$3,"="&amp;$DF20+'Model Setup'!$B$7,$AD20:$BA20)+'Model Setup'!$B$8*(SUMIF($BH$3:$CE$3,"&lt;"&amp;$DF20,$AD20:$BA20)+SUMIF($BH$3:$CE$3,"&gt;"&amp;$CW$4,$AD20:$BA20)),
IF(CA$3=$DF20+'Model Setup'!$C$7,SUMIF($BH$3:$CE$3,"="&amp;$DF20+'Model Setup'!$C$7,$AD20:$BA20)+'Model Setup'!$C$8*(SUMIF($BH$3:$CE$3,"&lt;"&amp;$DF20,$AD20:$BA20)+SUMIF($BH$3:$CE$3,"&gt;"&amp;$CW$4,$AD20:$BA20)),
IF(CA$3=$DF20+'Model Setup'!$D$7,SUMIF($BH$3:$CE$3,"="&amp;$DF20+'Model Setup'!$D$7,$AD20:$BA20)+'Model Setup'!$D$8*(SUMIF($BH$3:$CE$3,"&lt;"&amp;$DF20,$AD20:$BA20)+SUMIF($BH$3:$CE$3,"&gt;"&amp;$CW$4,$AD20:$BA20)),
IF(CA$3=$DF20+'Model Setup'!$E$7,SUMIF($BH$3:$CE$3,"="&amp;$DF20+'Model Setup'!$E$7,$AD20:$BA20)+'Model Setup'!$E$8*(SUMIF($BH$3:$CE$3,"&lt;"&amp;$DF20,$AD20:$BA20)+SUMIF($BH$3:$CE$3,"&gt;"&amp;$CW$4,$AD20:$BA20)),
IF(CA$3=$DF20+'Model Setup'!$F$7,SUMIF($BH$3:$CE$3,"="&amp;$DF20+'Model Setup'!$F$7,$AD20:$BA20)+'Model Setup'!$F$8*(SUMIF($BH$3:$CE$3,"&lt;"&amp;$DF20,$AD20:$BA20)+SUMIF($BH$3:$CE$3,"&gt;"&amp;$CW$4,$AD20:$BA20)),
IF(CA$3=$DF20+'Model Setup'!$G$7,SUMIF($BH$3:$CE$3,"="&amp;$DF20+'Model Setup'!$G$7,$AD20:$BA20)+'Model Setup'!$G$8*(SUMIF($BH$3:$CE$3,"&lt;"&amp;$DF20,$AD20:$BA20)+SUMIF($BH$3:$CE$3,"&gt;"&amp;$CW$4,$AD20:$BA20)),
IF(CA$3=$DF20+'Model Setup'!$H$7,SUMIF($BH$3:$CE$3,"="&amp;$DF20+'Model Setup'!$H$7,$AD20:$BA20)+'Model Setup'!$H$8*(SUMIF($BH$3:$CE$3,"&lt;"&amp;$DF20,$AD20:$BA20)+SUMIF($BH$3:$CE$3,"&gt;"&amp;$CW$4,$AD20:$BA20)),
IF(CA$3=$DF20+'Model Setup'!$I$7,SUMIF($BH$3:$CE$3,"="&amp;$DF20+'Model Setup'!$I$7,$AD20:$BA20)+'Model Setup'!$I$8*(SUMIF($BH$3:$CE$3,"&lt;"&amp;$DF20,$AD20:$BA20)+SUMIF($BH$3:$CE$3,"&gt;"&amp;$CW$4,$AD20:$BA20)),
IF(CA$3=$DF20+'Model Setup'!$J$7,SUMIF($BH$3:$CE$3,"="&amp;$DF20+'Model Setup'!$J$7,$AD20:$BA20)+'Model Setup'!$J$8*(SUMIF($BH$3:$CE$3,"&lt;"&amp;$DF20,$AD20:$BA20)+SUMIF($BH$3:$CE$3,"&gt;"&amp;$CW$4,$AD20:$BA20)),
IF(CA$3=$DF20+'Model Setup'!$K$7,SUMIF($BH$3:$CE$3,"="&amp;$DF20+'Model Setup'!$K$7,$AD20:$BA20)+'Model Setup'!$K$8*(SUMIF($BH$3:$CE$3,"&lt;"&amp;$DF20,$AD20:$BA20)+SUMIF($BH$3:$CE$3,"&gt;"&amp;$CW$4,$AD20:$BA20)),
IF(CA$3=$DF20+'Model Setup'!$L$7,SUMIF($BH$3:$CE$3,"="&amp;$DF20+'Model Setup'!$L$7,$AD20:$BA20)+'Model Setup'!$L$8*(SUMIF($BH$3:$CE$3,"&lt;"&amp;$DF20,$AD20:$BA20)+SUMIF($BH$3:$CE$3,"&gt;"&amp;$CW$4,$AD20:$BA20)),
IF(CA$3=$DF20+'Model Setup'!$M$7,SUMIF($BH$3:$CE$3,"="&amp;$DF20+'Model Setup'!$M$7,$AD20:$BA20)+'Model Setup'!$M$8*(SUMIF($BH$3:$CE$3,"&lt;"&amp;$DF20,$AD20:$BA20)+SUMIF($BH$3:$CE$3,"&gt;"&amp;$CW$4,$AD20:$BA20)),
IF(CA$3=$DF20+'Model Setup'!$N$7,SUMIF($BH$3:$CE$3,"="&amp;$DF20+'Model Setup'!$N$7,$AD20:$BA20)+'Model Setup'!$N$8*(SUMIF($BH$3:$CE$3,"&lt;"&amp;$DF20,$AD20:$BA20)+SUMIF($BH$3:$CE$3,"&gt;"&amp;$CW$4,$AD20:$BA20)),
IF(CA$3&lt;$CW$4,U20,0))))))))))))))),0)</f>
        <v>0</v>
      </c>
      <c r="CB20" s="47">
        <f>ROUND(IF(OR(CB$3&lt;$DF20,CB$3&gt;$CW$4),0,
IF(CB$3=$DF20+'Model Setup'!$B$7,SUMIF($BH$3:$CE$3,"="&amp;$DF20+'Model Setup'!$B$7,$AD20:$BA20)+'Model Setup'!$B$8*(SUMIF($BH$3:$CE$3,"&lt;"&amp;$DF20,$AD20:$BA20)+SUMIF($BH$3:$CE$3,"&gt;"&amp;$CW$4,$AD20:$BA20)),
IF(CB$3=$DF20+'Model Setup'!$C$7,SUMIF($BH$3:$CE$3,"="&amp;$DF20+'Model Setup'!$C$7,$AD20:$BA20)+'Model Setup'!$C$8*(SUMIF($BH$3:$CE$3,"&lt;"&amp;$DF20,$AD20:$BA20)+SUMIF($BH$3:$CE$3,"&gt;"&amp;$CW$4,$AD20:$BA20)),
IF(CB$3=$DF20+'Model Setup'!$D$7,SUMIF($BH$3:$CE$3,"="&amp;$DF20+'Model Setup'!$D$7,$AD20:$BA20)+'Model Setup'!$D$8*(SUMIF($BH$3:$CE$3,"&lt;"&amp;$DF20,$AD20:$BA20)+SUMIF($BH$3:$CE$3,"&gt;"&amp;$CW$4,$AD20:$BA20)),
IF(CB$3=$DF20+'Model Setup'!$E$7,SUMIF($BH$3:$CE$3,"="&amp;$DF20+'Model Setup'!$E$7,$AD20:$BA20)+'Model Setup'!$E$8*(SUMIF($BH$3:$CE$3,"&lt;"&amp;$DF20,$AD20:$BA20)+SUMIF($BH$3:$CE$3,"&gt;"&amp;$CW$4,$AD20:$BA20)),
IF(CB$3=$DF20+'Model Setup'!$F$7,SUMIF($BH$3:$CE$3,"="&amp;$DF20+'Model Setup'!$F$7,$AD20:$BA20)+'Model Setup'!$F$8*(SUMIF($BH$3:$CE$3,"&lt;"&amp;$DF20,$AD20:$BA20)+SUMIF($BH$3:$CE$3,"&gt;"&amp;$CW$4,$AD20:$BA20)),
IF(CB$3=$DF20+'Model Setup'!$G$7,SUMIF($BH$3:$CE$3,"="&amp;$DF20+'Model Setup'!$G$7,$AD20:$BA20)+'Model Setup'!$G$8*(SUMIF($BH$3:$CE$3,"&lt;"&amp;$DF20,$AD20:$BA20)+SUMIF($BH$3:$CE$3,"&gt;"&amp;$CW$4,$AD20:$BA20)),
IF(CB$3=$DF20+'Model Setup'!$H$7,SUMIF($BH$3:$CE$3,"="&amp;$DF20+'Model Setup'!$H$7,$AD20:$BA20)+'Model Setup'!$H$8*(SUMIF($BH$3:$CE$3,"&lt;"&amp;$DF20,$AD20:$BA20)+SUMIF($BH$3:$CE$3,"&gt;"&amp;$CW$4,$AD20:$BA20)),
IF(CB$3=$DF20+'Model Setup'!$I$7,SUMIF($BH$3:$CE$3,"="&amp;$DF20+'Model Setup'!$I$7,$AD20:$BA20)+'Model Setup'!$I$8*(SUMIF($BH$3:$CE$3,"&lt;"&amp;$DF20,$AD20:$BA20)+SUMIF($BH$3:$CE$3,"&gt;"&amp;$CW$4,$AD20:$BA20)),
IF(CB$3=$DF20+'Model Setup'!$J$7,SUMIF($BH$3:$CE$3,"="&amp;$DF20+'Model Setup'!$J$7,$AD20:$BA20)+'Model Setup'!$J$8*(SUMIF($BH$3:$CE$3,"&lt;"&amp;$DF20,$AD20:$BA20)+SUMIF($BH$3:$CE$3,"&gt;"&amp;$CW$4,$AD20:$BA20)),
IF(CB$3=$DF20+'Model Setup'!$K$7,SUMIF($BH$3:$CE$3,"="&amp;$DF20+'Model Setup'!$K$7,$AD20:$BA20)+'Model Setup'!$K$8*(SUMIF($BH$3:$CE$3,"&lt;"&amp;$DF20,$AD20:$BA20)+SUMIF($BH$3:$CE$3,"&gt;"&amp;$CW$4,$AD20:$BA20)),
IF(CB$3=$DF20+'Model Setup'!$L$7,SUMIF($BH$3:$CE$3,"="&amp;$DF20+'Model Setup'!$L$7,$AD20:$BA20)+'Model Setup'!$L$8*(SUMIF($BH$3:$CE$3,"&lt;"&amp;$DF20,$AD20:$BA20)+SUMIF($BH$3:$CE$3,"&gt;"&amp;$CW$4,$AD20:$BA20)),
IF(CB$3=$DF20+'Model Setup'!$M$7,SUMIF($BH$3:$CE$3,"="&amp;$DF20+'Model Setup'!$M$7,$AD20:$BA20)+'Model Setup'!$M$8*(SUMIF($BH$3:$CE$3,"&lt;"&amp;$DF20,$AD20:$BA20)+SUMIF($BH$3:$CE$3,"&gt;"&amp;$CW$4,$AD20:$BA20)),
IF(CB$3=$DF20+'Model Setup'!$N$7,SUMIF($BH$3:$CE$3,"="&amp;$DF20+'Model Setup'!$N$7,$AD20:$BA20)+'Model Setup'!$N$8*(SUMIF($BH$3:$CE$3,"&lt;"&amp;$DF20,$AD20:$BA20)+SUMIF($BH$3:$CE$3,"&gt;"&amp;$CW$4,$AD20:$BA20)),
IF(CB$3&lt;$CW$4,V20,0))))))))))))))),0)</f>
        <v>0</v>
      </c>
      <c r="CC20" s="47">
        <f>ROUND(IF(OR(CC$3&lt;$DF20,CC$3&gt;$CW$4),0,
IF(CC$3=$DF20+'Model Setup'!$B$7,SUMIF($BH$3:$CE$3,"="&amp;$DF20+'Model Setup'!$B$7,$AD20:$BA20)+'Model Setup'!$B$8*(SUMIF($BH$3:$CE$3,"&lt;"&amp;$DF20,$AD20:$BA20)+SUMIF($BH$3:$CE$3,"&gt;"&amp;$CW$4,$AD20:$BA20)),
IF(CC$3=$DF20+'Model Setup'!$C$7,SUMIF($BH$3:$CE$3,"="&amp;$DF20+'Model Setup'!$C$7,$AD20:$BA20)+'Model Setup'!$C$8*(SUMIF($BH$3:$CE$3,"&lt;"&amp;$DF20,$AD20:$BA20)+SUMIF($BH$3:$CE$3,"&gt;"&amp;$CW$4,$AD20:$BA20)),
IF(CC$3=$DF20+'Model Setup'!$D$7,SUMIF($BH$3:$CE$3,"="&amp;$DF20+'Model Setup'!$D$7,$AD20:$BA20)+'Model Setup'!$D$8*(SUMIF($BH$3:$CE$3,"&lt;"&amp;$DF20,$AD20:$BA20)+SUMIF($BH$3:$CE$3,"&gt;"&amp;$CW$4,$AD20:$BA20)),
IF(CC$3=$DF20+'Model Setup'!$E$7,SUMIF($BH$3:$CE$3,"="&amp;$DF20+'Model Setup'!$E$7,$AD20:$BA20)+'Model Setup'!$E$8*(SUMIF($BH$3:$CE$3,"&lt;"&amp;$DF20,$AD20:$BA20)+SUMIF($BH$3:$CE$3,"&gt;"&amp;$CW$4,$AD20:$BA20)),
IF(CC$3=$DF20+'Model Setup'!$F$7,SUMIF($BH$3:$CE$3,"="&amp;$DF20+'Model Setup'!$F$7,$AD20:$BA20)+'Model Setup'!$F$8*(SUMIF($BH$3:$CE$3,"&lt;"&amp;$DF20,$AD20:$BA20)+SUMIF($BH$3:$CE$3,"&gt;"&amp;$CW$4,$AD20:$BA20)),
IF(CC$3=$DF20+'Model Setup'!$G$7,SUMIF($BH$3:$CE$3,"="&amp;$DF20+'Model Setup'!$G$7,$AD20:$BA20)+'Model Setup'!$G$8*(SUMIF($BH$3:$CE$3,"&lt;"&amp;$DF20,$AD20:$BA20)+SUMIF($BH$3:$CE$3,"&gt;"&amp;$CW$4,$AD20:$BA20)),
IF(CC$3=$DF20+'Model Setup'!$H$7,SUMIF($BH$3:$CE$3,"="&amp;$DF20+'Model Setup'!$H$7,$AD20:$BA20)+'Model Setup'!$H$8*(SUMIF($BH$3:$CE$3,"&lt;"&amp;$DF20,$AD20:$BA20)+SUMIF($BH$3:$CE$3,"&gt;"&amp;$CW$4,$AD20:$BA20)),
IF(CC$3=$DF20+'Model Setup'!$I$7,SUMIF($BH$3:$CE$3,"="&amp;$DF20+'Model Setup'!$I$7,$AD20:$BA20)+'Model Setup'!$I$8*(SUMIF($BH$3:$CE$3,"&lt;"&amp;$DF20,$AD20:$BA20)+SUMIF($BH$3:$CE$3,"&gt;"&amp;$CW$4,$AD20:$BA20)),
IF(CC$3=$DF20+'Model Setup'!$J$7,SUMIF($BH$3:$CE$3,"="&amp;$DF20+'Model Setup'!$J$7,$AD20:$BA20)+'Model Setup'!$J$8*(SUMIF($BH$3:$CE$3,"&lt;"&amp;$DF20,$AD20:$BA20)+SUMIF($BH$3:$CE$3,"&gt;"&amp;$CW$4,$AD20:$BA20)),
IF(CC$3=$DF20+'Model Setup'!$K$7,SUMIF($BH$3:$CE$3,"="&amp;$DF20+'Model Setup'!$K$7,$AD20:$BA20)+'Model Setup'!$K$8*(SUMIF($BH$3:$CE$3,"&lt;"&amp;$DF20,$AD20:$BA20)+SUMIF($BH$3:$CE$3,"&gt;"&amp;$CW$4,$AD20:$BA20)),
IF(CC$3=$DF20+'Model Setup'!$L$7,SUMIF($BH$3:$CE$3,"="&amp;$DF20+'Model Setup'!$L$7,$AD20:$BA20)+'Model Setup'!$L$8*(SUMIF($BH$3:$CE$3,"&lt;"&amp;$DF20,$AD20:$BA20)+SUMIF($BH$3:$CE$3,"&gt;"&amp;$CW$4,$AD20:$BA20)),
IF(CC$3=$DF20+'Model Setup'!$M$7,SUMIF($BH$3:$CE$3,"="&amp;$DF20+'Model Setup'!$M$7,$AD20:$BA20)+'Model Setup'!$M$8*(SUMIF($BH$3:$CE$3,"&lt;"&amp;$DF20,$AD20:$BA20)+SUMIF($BH$3:$CE$3,"&gt;"&amp;$CW$4,$AD20:$BA20)),
IF(CC$3=$DF20+'Model Setup'!$N$7,SUMIF($BH$3:$CE$3,"="&amp;$DF20+'Model Setup'!$N$7,$AD20:$BA20)+'Model Setup'!$N$8*(SUMIF($BH$3:$CE$3,"&lt;"&amp;$DF20,$AD20:$BA20)+SUMIF($BH$3:$CE$3,"&gt;"&amp;$CW$4,$AD20:$BA20)),
IF(CC$3&lt;$CW$4,W20,0))))))))))))))),0)</f>
        <v>0</v>
      </c>
      <c r="CD20" s="47">
        <f>ROUND(IF(OR(CD$3&lt;$DF20,CD$3&gt;$CW$4),0,
IF(CD$3=$DF20+'Model Setup'!$B$7,SUMIF($BH$3:$CE$3,"="&amp;$DF20+'Model Setup'!$B$7,$AD20:$BA20)+'Model Setup'!$B$8*(SUMIF($BH$3:$CE$3,"&lt;"&amp;$DF20,$AD20:$BA20)+SUMIF($BH$3:$CE$3,"&gt;"&amp;$CW$4,$AD20:$BA20)),
IF(CD$3=$DF20+'Model Setup'!$C$7,SUMIF($BH$3:$CE$3,"="&amp;$DF20+'Model Setup'!$C$7,$AD20:$BA20)+'Model Setup'!$C$8*(SUMIF($BH$3:$CE$3,"&lt;"&amp;$DF20,$AD20:$BA20)+SUMIF($BH$3:$CE$3,"&gt;"&amp;$CW$4,$AD20:$BA20)),
IF(CD$3=$DF20+'Model Setup'!$D$7,SUMIF($BH$3:$CE$3,"="&amp;$DF20+'Model Setup'!$D$7,$AD20:$BA20)+'Model Setup'!$D$8*(SUMIF($BH$3:$CE$3,"&lt;"&amp;$DF20,$AD20:$BA20)+SUMIF($BH$3:$CE$3,"&gt;"&amp;$CW$4,$AD20:$BA20)),
IF(CD$3=$DF20+'Model Setup'!$E$7,SUMIF($BH$3:$CE$3,"="&amp;$DF20+'Model Setup'!$E$7,$AD20:$BA20)+'Model Setup'!$E$8*(SUMIF($BH$3:$CE$3,"&lt;"&amp;$DF20,$AD20:$BA20)+SUMIF($BH$3:$CE$3,"&gt;"&amp;$CW$4,$AD20:$BA20)),
IF(CD$3=$DF20+'Model Setup'!$F$7,SUMIF($BH$3:$CE$3,"="&amp;$DF20+'Model Setup'!$F$7,$AD20:$BA20)+'Model Setup'!$F$8*(SUMIF($BH$3:$CE$3,"&lt;"&amp;$DF20,$AD20:$BA20)+SUMIF($BH$3:$CE$3,"&gt;"&amp;$CW$4,$AD20:$BA20)),
IF(CD$3=$DF20+'Model Setup'!$G$7,SUMIF($BH$3:$CE$3,"="&amp;$DF20+'Model Setup'!$G$7,$AD20:$BA20)+'Model Setup'!$G$8*(SUMIF($BH$3:$CE$3,"&lt;"&amp;$DF20,$AD20:$BA20)+SUMIF($BH$3:$CE$3,"&gt;"&amp;$CW$4,$AD20:$BA20)),
IF(CD$3=$DF20+'Model Setup'!$H$7,SUMIF($BH$3:$CE$3,"="&amp;$DF20+'Model Setup'!$H$7,$AD20:$BA20)+'Model Setup'!$H$8*(SUMIF($BH$3:$CE$3,"&lt;"&amp;$DF20,$AD20:$BA20)+SUMIF($BH$3:$CE$3,"&gt;"&amp;$CW$4,$AD20:$BA20)),
IF(CD$3=$DF20+'Model Setup'!$I$7,SUMIF($BH$3:$CE$3,"="&amp;$DF20+'Model Setup'!$I$7,$AD20:$BA20)+'Model Setup'!$I$8*(SUMIF($BH$3:$CE$3,"&lt;"&amp;$DF20,$AD20:$BA20)+SUMIF($BH$3:$CE$3,"&gt;"&amp;$CW$4,$AD20:$BA20)),
IF(CD$3=$DF20+'Model Setup'!$J$7,SUMIF($BH$3:$CE$3,"="&amp;$DF20+'Model Setup'!$J$7,$AD20:$BA20)+'Model Setup'!$J$8*(SUMIF($BH$3:$CE$3,"&lt;"&amp;$DF20,$AD20:$BA20)+SUMIF($BH$3:$CE$3,"&gt;"&amp;$CW$4,$AD20:$BA20)),
IF(CD$3=$DF20+'Model Setup'!$K$7,SUMIF($BH$3:$CE$3,"="&amp;$DF20+'Model Setup'!$K$7,$AD20:$BA20)+'Model Setup'!$K$8*(SUMIF($BH$3:$CE$3,"&lt;"&amp;$DF20,$AD20:$BA20)+SUMIF($BH$3:$CE$3,"&gt;"&amp;$CW$4,$AD20:$BA20)),
IF(CD$3=$DF20+'Model Setup'!$L$7,SUMIF($BH$3:$CE$3,"="&amp;$DF20+'Model Setup'!$L$7,$AD20:$BA20)+'Model Setup'!$L$8*(SUMIF($BH$3:$CE$3,"&lt;"&amp;$DF20,$AD20:$BA20)+SUMIF($BH$3:$CE$3,"&gt;"&amp;$CW$4,$AD20:$BA20)),
IF(CD$3=$DF20+'Model Setup'!$M$7,SUMIF($BH$3:$CE$3,"="&amp;$DF20+'Model Setup'!$M$7,$AD20:$BA20)+'Model Setup'!$M$8*(SUMIF($BH$3:$CE$3,"&lt;"&amp;$DF20,$AD20:$BA20)+SUMIF($BH$3:$CE$3,"&gt;"&amp;$CW$4,$AD20:$BA20)),
IF(CD$3=$DF20+'Model Setup'!$N$7,SUMIF($BH$3:$CE$3,"="&amp;$DF20+'Model Setup'!$N$7,$AD20:$BA20)+'Model Setup'!$N$8*(SUMIF($BH$3:$CE$3,"&lt;"&amp;$DF20,$AD20:$BA20)+SUMIF($BH$3:$CE$3,"&gt;"&amp;$CW$4,$AD20:$BA20)),
IF(CD$3&lt;$CW$4,X20,0))))))))))))))),0)</f>
        <v>0</v>
      </c>
      <c r="CE20" s="47">
        <f>ROUND(IF(OR(CE$3&lt;$DF20,CE$3&gt;$CW$4),0,
IF(CE$3=$DF20+'Model Setup'!$B$7,SUMIF($BH$3:$CE$3,"="&amp;$DF20+'Model Setup'!$B$7,$AD20:$BA20)+'Model Setup'!$B$8*(SUMIF($BH$3:$CE$3,"&lt;"&amp;$DF20,$AD20:$BA20)+SUMIF($BH$3:$CE$3,"&gt;"&amp;$CW$4,$AD20:$BA20)),
IF(CE$3=$DF20+'Model Setup'!$C$7,SUMIF($BH$3:$CE$3,"="&amp;$DF20+'Model Setup'!$C$7,$AD20:$BA20)+'Model Setup'!$C$8*(SUMIF($BH$3:$CE$3,"&lt;"&amp;$DF20,$AD20:$BA20)+SUMIF($BH$3:$CE$3,"&gt;"&amp;$CW$4,$AD20:$BA20)),
IF(CE$3=$DF20+'Model Setup'!$D$7,SUMIF($BH$3:$CE$3,"="&amp;$DF20+'Model Setup'!$D$7,$AD20:$BA20)+'Model Setup'!$D$8*(SUMIF($BH$3:$CE$3,"&lt;"&amp;$DF20,$AD20:$BA20)+SUMIF($BH$3:$CE$3,"&gt;"&amp;$CW$4,$AD20:$BA20)),
IF(CE$3=$DF20+'Model Setup'!$E$7,SUMIF($BH$3:$CE$3,"="&amp;$DF20+'Model Setup'!$E$7,$AD20:$BA20)+'Model Setup'!$E$8*(SUMIF($BH$3:$CE$3,"&lt;"&amp;$DF20,$AD20:$BA20)+SUMIF($BH$3:$CE$3,"&gt;"&amp;$CW$4,$AD20:$BA20)),
IF(CE$3=$DF20+'Model Setup'!$F$7,SUMIF($BH$3:$CE$3,"="&amp;$DF20+'Model Setup'!$F$7,$AD20:$BA20)+'Model Setup'!$F$8*(SUMIF($BH$3:$CE$3,"&lt;"&amp;$DF20,$AD20:$BA20)+SUMIF($BH$3:$CE$3,"&gt;"&amp;$CW$4,$AD20:$BA20)),
IF(CE$3=$DF20+'Model Setup'!$G$7,SUMIF($BH$3:$CE$3,"="&amp;$DF20+'Model Setup'!$G$7,$AD20:$BA20)+'Model Setup'!$G$8*(SUMIF($BH$3:$CE$3,"&lt;"&amp;$DF20,$AD20:$BA20)+SUMIF($BH$3:$CE$3,"&gt;"&amp;$CW$4,$AD20:$BA20)),
IF(CE$3=$DF20+'Model Setup'!$H$7,SUMIF($BH$3:$CE$3,"="&amp;$DF20+'Model Setup'!$H$7,$AD20:$BA20)+'Model Setup'!$H$8*(SUMIF($BH$3:$CE$3,"&lt;"&amp;$DF20,$AD20:$BA20)+SUMIF($BH$3:$CE$3,"&gt;"&amp;$CW$4,$AD20:$BA20)),
IF(CE$3=$DF20+'Model Setup'!$I$7,SUMIF($BH$3:$CE$3,"="&amp;$DF20+'Model Setup'!$I$7,$AD20:$BA20)+'Model Setup'!$I$8*(SUMIF($BH$3:$CE$3,"&lt;"&amp;$DF20,$AD20:$BA20)+SUMIF($BH$3:$CE$3,"&gt;"&amp;$CW$4,$AD20:$BA20)),
IF(CE$3=$DF20+'Model Setup'!$J$7,SUMIF($BH$3:$CE$3,"="&amp;$DF20+'Model Setup'!$J$7,$AD20:$BA20)+'Model Setup'!$J$8*(SUMIF($BH$3:$CE$3,"&lt;"&amp;$DF20,$AD20:$BA20)+SUMIF($BH$3:$CE$3,"&gt;"&amp;$CW$4,$AD20:$BA20)),
IF(CE$3=$DF20+'Model Setup'!$K$7,SUMIF($BH$3:$CE$3,"="&amp;$DF20+'Model Setup'!$K$7,$AD20:$BA20)+'Model Setup'!$K$8*(SUMIF($BH$3:$CE$3,"&lt;"&amp;$DF20,$AD20:$BA20)+SUMIF($BH$3:$CE$3,"&gt;"&amp;$CW$4,$AD20:$BA20)),
IF(CE$3=$DF20+'Model Setup'!$L$7,SUMIF($BH$3:$CE$3,"="&amp;$DF20+'Model Setup'!$L$7,$AD20:$BA20)+'Model Setup'!$L$8*(SUMIF($BH$3:$CE$3,"&lt;"&amp;$DF20,$AD20:$BA20)+SUMIF($BH$3:$CE$3,"&gt;"&amp;$CW$4,$AD20:$BA20)),
IF(CE$3=$DF20+'Model Setup'!$M$7,SUMIF($BH$3:$CE$3,"="&amp;$DF20+'Model Setup'!$M$7,$AD20:$BA20)+'Model Setup'!$M$8*(SUMIF($BH$3:$CE$3,"&lt;"&amp;$DF20,$AD20:$BA20)+SUMIF($BH$3:$CE$3,"&gt;"&amp;$CW$4,$AD20:$BA20)),
IF(CE$3=$DF20+'Model Setup'!$N$7,SUMIF($BH$3:$CE$3,"="&amp;$DF20+'Model Setup'!$N$7,$AD20:$BA20)+'Model Setup'!$N$8*(SUMIF($BH$3:$CE$3,"&lt;"&amp;$DF20,$AD20:$BA20)+SUMIF($BH$3:$CE$3,"&gt;"&amp;$CW$4,$AD20:$BA20)),
IF(CE$3&lt;$CW$4,Y20,0))))))))))))))),0)</f>
        <v>0</v>
      </c>
      <c r="CF20" s="47">
        <f t="shared" si="3"/>
        <v>561</v>
      </c>
      <c r="CG20" s="47">
        <f t="shared" si="4"/>
        <v>0</v>
      </c>
      <c r="CI20" s="10" t="s">
        <v>35</v>
      </c>
      <c r="CJ20" s="126">
        <f t="shared" si="9"/>
        <v>9</v>
      </c>
      <c r="CK20" s="126">
        <f t="shared" si="10"/>
        <v>54</v>
      </c>
      <c r="CL20" s="126">
        <f t="shared" si="11"/>
        <v>69</v>
      </c>
      <c r="CM20" s="126">
        <f t="shared" si="12"/>
        <v>66</v>
      </c>
      <c r="CN20" s="126">
        <f t="shared" si="13"/>
        <v>61</v>
      </c>
      <c r="CO20" s="126">
        <f t="shared" si="14"/>
        <v>66</v>
      </c>
      <c r="CP20" s="126">
        <f t="shared" si="15"/>
        <v>54</v>
      </c>
      <c r="CQ20" s="126">
        <f t="shared" si="16"/>
        <v>28</v>
      </c>
      <c r="CR20" s="126">
        <f t="shared" si="17"/>
        <v>24</v>
      </c>
      <c r="CS20" s="126">
        <f t="shared" si="18"/>
        <v>27</v>
      </c>
      <c r="CT20" s="126">
        <f t="shared" si="19"/>
        <v>31</v>
      </c>
      <c r="CU20" s="126">
        <f t="shared" si="20"/>
        <v>42</v>
      </c>
      <c r="CV20" s="126">
        <f t="shared" si="21"/>
        <v>30</v>
      </c>
      <c r="CW20" s="126">
        <f t="shared" si="22"/>
        <v>0</v>
      </c>
      <c r="CX20" s="126">
        <f t="shared" si="23"/>
        <v>0</v>
      </c>
      <c r="CY20" s="126">
        <f t="shared" si="24"/>
        <v>0</v>
      </c>
      <c r="CZ20" s="47">
        <f t="shared" si="7"/>
        <v>561</v>
      </c>
      <c r="DC20" s="93" t="s">
        <v>35</v>
      </c>
      <c r="DD20" s="89">
        <f>FTC!E18</f>
        <v>0.20833333333333334</v>
      </c>
      <c r="DE20" s="89">
        <f>FTC!F18</f>
        <v>0.75</v>
      </c>
      <c r="DF20" s="90">
        <f t="shared" si="25"/>
        <v>5</v>
      </c>
      <c r="DG20" s="91">
        <f t="shared" si="26"/>
        <v>18</v>
      </c>
      <c r="DH20" s="91">
        <f t="shared" si="27"/>
        <v>13</v>
      </c>
    </row>
    <row r="21" spans="1:112" x14ac:dyDescent="0.35">
      <c r="A21" s="43" t="s">
        <v>36</v>
      </c>
      <c r="B21" s="6"/>
      <c r="C21" s="6"/>
      <c r="D21" s="6"/>
      <c r="E21" s="47">
        <v>1</v>
      </c>
      <c r="F21" s="47">
        <v>2</v>
      </c>
      <c r="G21" s="47">
        <v>7</v>
      </c>
      <c r="H21" s="47">
        <v>21</v>
      </c>
      <c r="I21" s="47">
        <v>25</v>
      </c>
      <c r="J21" s="47">
        <v>36</v>
      </c>
      <c r="K21" s="47">
        <v>26</v>
      </c>
      <c r="L21" s="47">
        <v>25</v>
      </c>
      <c r="M21" s="47">
        <v>15</v>
      </c>
      <c r="N21" s="47">
        <v>10</v>
      </c>
      <c r="O21" s="47">
        <v>10</v>
      </c>
      <c r="P21" s="47">
        <v>14</v>
      </c>
      <c r="Q21" s="47">
        <v>11</v>
      </c>
      <c r="R21" s="47">
        <v>3</v>
      </c>
      <c r="S21" s="47">
        <v>7</v>
      </c>
      <c r="T21" s="47">
        <v>3</v>
      </c>
      <c r="U21" s="47">
        <v>1</v>
      </c>
      <c r="V21" s="6"/>
      <c r="W21" s="47">
        <v>1</v>
      </c>
      <c r="X21" s="47">
        <v>3</v>
      </c>
      <c r="Y21" s="47">
        <v>2</v>
      </c>
      <c r="Z21" s="47">
        <f t="shared" si="0"/>
        <v>223</v>
      </c>
      <c r="AC21" s="43" t="s">
        <v>36</v>
      </c>
      <c r="AD21" s="47">
        <f>ROUND(IF(AD$3&lt;$DF21,0,
IF(AD$3=$DF21+'Model Setup'!$B$7,SUMIF($AD$3:$BA$3,"="&amp;$DF21+'Model Setup'!$B$7,$B21:$Y21)+'Model Setup'!$B$8*(SUMIF($AD$3:$BA$3,"&lt;"&amp;$DF21,$B21:$Y21)+SUMIF($AD$3:$BA$3,"&gt;="&amp;$DG21,$B21:$Y21)),
IF(AD$3=$DF21+'Model Setup'!$C$7,SUMIF($AD$3:$BA$3,"="&amp;$DF21+'Model Setup'!$C$7,$B21:$Y21)+'Model Setup'!$C$8*(SUMIF($AD$3:$BA$3,"&lt;"&amp;$DF21,$B21:$Y21)+SUMIF($AD$3:$BA$3,"&gt;="&amp;$DG21,$B21:$Y21)),
IF(AD$3=$DF21+'Model Setup'!$D$7,SUMIF($AD$3:$BA$3,"="&amp;$DF21+'Model Setup'!$D$7,$B21:$Y21)+'Model Setup'!$D$8*(SUMIF($AD$3:$BA$3,"&lt;"&amp;$DF21,$B21:$Y21)+SUMIF($AD$3:$BA$3,"&gt;="&amp;$DG21,$B21:$Y21)),
IF(AD$3=$DF21+'Model Setup'!$E$7,SUMIF($AD$3:$BA$3,"="&amp;$DF21+'Model Setup'!$E$7,$B21:$Y21)+'Model Setup'!$E$8*(SUMIF($AD$3:$BA$3,"&lt;"&amp;$DF21,$B21:$Y21)+SUMIF($AD$3:$BA$3,"&gt;="&amp;$DG21,$B21:$Y21)),
IF(AD$3=$DF21+'Model Setup'!$F$7,SUMIF($AD$3:$BA$3,"="&amp;$DF21+'Model Setup'!$F$7,$B21:$Y21)+'Model Setup'!$F$8*(SUMIF($AD$3:$BA$3,"&lt;"&amp;$DF21,$B21:$Y21)+SUMIF($AD$3:$BA$3,"&gt;="&amp;$DG21,$B21:$Y21)),
IF(AD$3=$DF21+'Model Setup'!$G$7,SUMIF($AD$3:$BA$3,"="&amp;$DF21+'Model Setup'!$G$7,$B21:$Y21)+'Model Setup'!$G$8*(SUMIF($AD$3:$BA$3,"&lt;"&amp;$DF21,$B21:$Y21)+SUMIF($AD$3:$BA$3,"&gt;="&amp;$DG21,$B21:$Y21)),
IF(AD$3=$DF21+'Model Setup'!$H$7,SUMIF($AD$3:$BA$3,"="&amp;$DF21+'Model Setup'!$H$7,$B21:$Y21)+'Model Setup'!$H$8*(SUMIF($AD$3:$BA$3,"&lt;"&amp;$DF21,$B21:$Y21)+SUMIF($AD$3:$BA$3,"&gt;="&amp;$DG21,$B21:$Y21)),
IF(AD$3=$DF21+'Model Setup'!$I$7,SUMIF($AD$3:$BA$3,"="&amp;$DF21+'Model Setup'!$I$7,$B21:$Y21)+'Model Setup'!$I$8*(SUMIF($AD$3:$BA$3,"&lt;"&amp;$DF21,$B21:$Y21)+SUMIF($AD$3:$BA$3,"&gt;="&amp;$DG21,$B21:$Y21)),
IF(AD$3=$DF21+'Model Setup'!$J$7,SUMIF($AD$3:$BA$3,"="&amp;$DF21+'Model Setup'!$J$7,$B21:$Y21)+'Model Setup'!$J$8*(SUMIF($AD$3:$BA$3,"&lt;"&amp;$DF21,$B21:$Y21)+SUMIF($AD$3:$BA$3,"&gt;="&amp;$DG21,$B21:$Y21)),
IF(AD$3=$DF21+'Model Setup'!$K$7,SUMIF($AD$3:$BA$3,"="&amp;$DF21+'Model Setup'!$K$7,$B21:$Y21)+'Model Setup'!$K$8*(SUMIF($AD$3:$BA$3,"&lt;"&amp;$DF21,$B21:$Y21)+SUMIF($AD$3:$BA$3,"&gt;="&amp;$DG21,$B21:$Y21)),
IF(AD$3=$DF21+'Model Setup'!$L$7,SUMIF($AD$3:$BA$3,"="&amp;$DF21+'Model Setup'!$L$7,$B21:$Y21)+'Model Setup'!$L$8*(SUMIF($AD$3:$BA$3,"&lt;"&amp;$DF21,$B21:$Y21)+SUMIF($AD$3:$BA$3,"&gt;="&amp;$DG21,$B21:$Y21)),
IF(AD$3=$DF21+'Model Setup'!$M$7,SUMIF($AD$3:$BA$3,"="&amp;$DF21+'Model Setup'!$M$7,$B21:$Y21)+'Model Setup'!$M$8*(SUMIF($AD$3:$BA$3,"&lt;"&amp;$DF21,$B21:$Y21)+SUMIF($AD$3:$BA$3,"&gt;="&amp;$DG21,$B21:$Y21)),
IF(AD$3=$DF21+'Model Setup'!$N$7,SUMIF($AD$3:$BA$3,"="&amp;$DF21+'Model Setup'!$N$7,$B21:$Y21)+'Model Setup'!$N$8*(SUMIF($AD$3:$BA$3,"&lt;"&amp;$DF21,$B21:$Y21)+SUMIF($AD$3:$BA$3,"&gt;="&amp;$DG21,$B21:$Y21)),
IF(AD$3&lt;$DG21,B21,0))))))))))))))),0)</f>
        <v>0</v>
      </c>
      <c r="AE21" s="47">
        <f>ROUND(IF(AE$3&lt;$DF21,0,
IF(AE$3=$DF21+'Model Setup'!$B$7,SUMIF($AD$3:$BA$3,"="&amp;$DF21+'Model Setup'!$B$7,$B21:$Y21)+'Model Setup'!$B$8*(SUMIF($AD$3:$BA$3,"&lt;"&amp;$DF21,$B21:$Y21)+SUMIF($AD$3:$BA$3,"&gt;="&amp;$DG21,$B21:$Y21)),
IF(AE$3=$DF21+'Model Setup'!$C$7,SUMIF($AD$3:$BA$3,"="&amp;$DF21+'Model Setup'!$C$7,$B21:$Y21)+'Model Setup'!$C$8*(SUMIF($AD$3:$BA$3,"&lt;"&amp;$DF21,$B21:$Y21)+SUMIF($AD$3:$BA$3,"&gt;="&amp;$DG21,$B21:$Y21)),
IF(AE$3=$DF21+'Model Setup'!$D$7,SUMIF($AD$3:$BA$3,"="&amp;$DF21+'Model Setup'!$D$7,$B21:$Y21)+'Model Setup'!$D$8*(SUMIF($AD$3:$BA$3,"&lt;"&amp;$DF21,$B21:$Y21)+SUMIF($AD$3:$BA$3,"&gt;="&amp;$DG21,$B21:$Y21)),
IF(AE$3=$DF21+'Model Setup'!$E$7,SUMIF($AD$3:$BA$3,"="&amp;$DF21+'Model Setup'!$E$7,$B21:$Y21)+'Model Setup'!$E$8*(SUMIF($AD$3:$BA$3,"&lt;"&amp;$DF21,$B21:$Y21)+SUMIF($AD$3:$BA$3,"&gt;="&amp;$DG21,$B21:$Y21)),
IF(AE$3=$DF21+'Model Setup'!$F$7,SUMIF($AD$3:$BA$3,"="&amp;$DF21+'Model Setup'!$F$7,$B21:$Y21)+'Model Setup'!$F$8*(SUMIF($AD$3:$BA$3,"&lt;"&amp;$DF21,$B21:$Y21)+SUMIF($AD$3:$BA$3,"&gt;="&amp;$DG21,$B21:$Y21)),
IF(AE$3=$DF21+'Model Setup'!$G$7,SUMIF($AD$3:$BA$3,"="&amp;$DF21+'Model Setup'!$G$7,$B21:$Y21)+'Model Setup'!$G$8*(SUMIF($AD$3:$BA$3,"&lt;"&amp;$DF21,$B21:$Y21)+SUMIF($AD$3:$BA$3,"&gt;="&amp;$DG21,$B21:$Y21)),
IF(AE$3=$DF21+'Model Setup'!$H$7,SUMIF($AD$3:$BA$3,"="&amp;$DF21+'Model Setup'!$H$7,$B21:$Y21)+'Model Setup'!$H$8*(SUMIF($AD$3:$BA$3,"&lt;"&amp;$DF21,$B21:$Y21)+SUMIF($AD$3:$BA$3,"&gt;="&amp;$DG21,$B21:$Y21)),
IF(AE$3=$DF21+'Model Setup'!$I$7,SUMIF($AD$3:$BA$3,"="&amp;$DF21+'Model Setup'!$I$7,$B21:$Y21)+'Model Setup'!$I$8*(SUMIF($AD$3:$BA$3,"&lt;"&amp;$DF21,$B21:$Y21)+SUMIF($AD$3:$BA$3,"&gt;="&amp;$DG21,$B21:$Y21)),
IF(AE$3=$DF21+'Model Setup'!$J$7,SUMIF($AD$3:$BA$3,"="&amp;$DF21+'Model Setup'!$J$7,$B21:$Y21)+'Model Setup'!$J$8*(SUMIF($AD$3:$BA$3,"&lt;"&amp;$DF21,$B21:$Y21)+SUMIF($AD$3:$BA$3,"&gt;="&amp;$DG21,$B21:$Y21)),
IF(AE$3=$DF21+'Model Setup'!$K$7,SUMIF($AD$3:$BA$3,"="&amp;$DF21+'Model Setup'!$K$7,$B21:$Y21)+'Model Setup'!$K$8*(SUMIF($AD$3:$BA$3,"&lt;"&amp;$DF21,$B21:$Y21)+SUMIF($AD$3:$BA$3,"&gt;="&amp;$DG21,$B21:$Y21)),
IF(AE$3=$DF21+'Model Setup'!$L$7,SUMIF($AD$3:$BA$3,"="&amp;$DF21+'Model Setup'!$L$7,$B21:$Y21)+'Model Setup'!$L$8*(SUMIF($AD$3:$BA$3,"&lt;"&amp;$DF21,$B21:$Y21)+SUMIF($AD$3:$BA$3,"&gt;="&amp;$DG21,$B21:$Y21)),
IF(AE$3=$DF21+'Model Setup'!$M$7,SUMIF($AD$3:$BA$3,"="&amp;$DF21+'Model Setup'!$M$7,$B21:$Y21)+'Model Setup'!$M$8*(SUMIF($AD$3:$BA$3,"&lt;"&amp;$DF21,$B21:$Y21)+SUMIF($AD$3:$BA$3,"&gt;="&amp;$DG21,$B21:$Y21)),
IF(AE$3=$DF21+'Model Setup'!$N$7,SUMIF($AD$3:$BA$3,"="&amp;$DF21+'Model Setup'!$N$7,$B21:$Y21)+'Model Setup'!$N$8*(SUMIF($AD$3:$BA$3,"&lt;"&amp;$DF21,$B21:$Y21)+SUMIF($AD$3:$BA$3,"&gt;="&amp;$DG21,$B21:$Y21)),
IF(AE$3&lt;$DG21,C21,0))))))))))))))),0)</f>
        <v>0</v>
      </c>
      <c r="AF21" s="47">
        <f>ROUND(IF(AF$3&lt;$DF21,0,
IF(AF$3=$DF21+'Model Setup'!$B$7,SUMIF($AD$3:$BA$3,"="&amp;$DF21+'Model Setup'!$B$7,$B21:$Y21)+'Model Setup'!$B$8*(SUMIF($AD$3:$BA$3,"&lt;"&amp;$DF21,$B21:$Y21)+SUMIF($AD$3:$BA$3,"&gt;="&amp;$DG21,$B21:$Y21)),
IF(AF$3=$DF21+'Model Setup'!$C$7,SUMIF($AD$3:$BA$3,"="&amp;$DF21+'Model Setup'!$C$7,$B21:$Y21)+'Model Setup'!$C$8*(SUMIF($AD$3:$BA$3,"&lt;"&amp;$DF21,$B21:$Y21)+SUMIF($AD$3:$BA$3,"&gt;="&amp;$DG21,$B21:$Y21)),
IF(AF$3=$DF21+'Model Setup'!$D$7,SUMIF($AD$3:$BA$3,"="&amp;$DF21+'Model Setup'!$D$7,$B21:$Y21)+'Model Setup'!$D$8*(SUMIF($AD$3:$BA$3,"&lt;"&amp;$DF21,$B21:$Y21)+SUMIF($AD$3:$BA$3,"&gt;="&amp;$DG21,$B21:$Y21)),
IF(AF$3=$DF21+'Model Setup'!$E$7,SUMIF($AD$3:$BA$3,"="&amp;$DF21+'Model Setup'!$E$7,$B21:$Y21)+'Model Setup'!$E$8*(SUMIF($AD$3:$BA$3,"&lt;"&amp;$DF21,$B21:$Y21)+SUMIF($AD$3:$BA$3,"&gt;="&amp;$DG21,$B21:$Y21)),
IF(AF$3=$DF21+'Model Setup'!$F$7,SUMIF($AD$3:$BA$3,"="&amp;$DF21+'Model Setup'!$F$7,$B21:$Y21)+'Model Setup'!$F$8*(SUMIF($AD$3:$BA$3,"&lt;"&amp;$DF21,$B21:$Y21)+SUMIF($AD$3:$BA$3,"&gt;="&amp;$DG21,$B21:$Y21)),
IF(AF$3=$DF21+'Model Setup'!$G$7,SUMIF($AD$3:$BA$3,"="&amp;$DF21+'Model Setup'!$G$7,$B21:$Y21)+'Model Setup'!$G$8*(SUMIF($AD$3:$BA$3,"&lt;"&amp;$DF21,$B21:$Y21)+SUMIF($AD$3:$BA$3,"&gt;="&amp;$DG21,$B21:$Y21)),
IF(AF$3=$DF21+'Model Setup'!$H$7,SUMIF($AD$3:$BA$3,"="&amp;$DF21+'Model Setup'!$H$7,$B21:$Y21)+'Model Setup'!$H$8*(SUMIF($AD$3:$BA$3,"&lt;"&amp;$DF21,$B21:$Y21)+SUMIF($AD$3:$BA$3,"&gt;="&amp;$DG21,$B21:$Y21)),
IF(AF$3=$DF21+'Model Setup'!$I$7,SUMIF($AD$3:$BA$3,"="&amp;$DF21+'Model Setup'!$I$7,$B21:$Y21)+'Model Setup'!$I$8*(SUMIF($AD$3:$BA$3,"&lt;"&amp;$DF21,$B21:$Y21)+SUMIF($AD$3:$BA$3,"&gt;="&amp;$DG21,$B21:$Y21)),
IF(AF$3=$DF21+'Model Setup'!$J$7,SUMIF($AD$3:$BA$3,"="&amp;$DF21+'Model Setup'!$J$7,$B21:$Y21)+'Model Setup'!$J$8*(SUMIF($AD$3:$BA$3,"&lt;"&amp;$DF21,$B21:$Y21)+SUMIF($AD$3:$BA$3,"&gt;="&amp;$DG21,$B21:$Y21)),
IF(AF$3=$DF21+'Model Setup'!$K$7,SUMIF($AD$3:$BA$3,"="&amp;$DF21+'Model Setup'!$K$7,$B21:$Y21)+'Model Setup'!$K$8*(SUMIF($AD$3:$BA$3,"&lt;"&amp;$DF21,$B21:$Y21)+SUMIF($AD$3:$BA$3,"&gt;="&amp;$DG21,$B21:$Y21)),
IF(AF$3=$DF21+'Model Setup'!$L$7,SUMIF($AD$3:$BA$3,"="&amp;$DF21+'Model Setup'!$L$7,$B21:$Y21)+'Model Setup'!$L$8*(SUMIF($AD$3:$BA$3,"&lt;"&amp;$DF21,$B21:$Y21)+SUMIF($AD$3:$BA$3,"&gt;="&amp;$DG21,$B21:$Y21)),
IF(AF$3=$DF21+'Model Setup'!$M$7,SUMIF($AD$3:$BA$3,"="&amp;$DF21+'Model Setup'!$M$7,$B21:$Y21)+'Model Setup'!$M$8*(SUMIF($AD$3:$BA$3,"&lt;"&amp;$DF21,$B21:$Y21)+SUMIF($AD$3:$BA$3,"&gt;="&amp;$DG21,$B21:$Y21)),
IF(AF$3=$DF21+'Model Setup'!$N$7,SUMIF($AD$3:$BA$3,"="&amp;$DF21+'Model Setup'!$N$7,$B21:$Y21)+'Model Setup'!$N$8*(SUMIF($AD$3:$BA$3,"&lt;"&amp;$DF21,$B21:$Y21)+SUMIF($AD$3:$BA$3,"&gt;="&amp;$DG21,$B21:$Y21)),
IF(AF$3&lt;$DG21,D21,0))))))))))))))),0)</f>
        <v>0</v>
      </c>
      <c r="AG21" s="47">
        <f>ROUND(IF(AG$3&lt;$DF21,0,
IF(AG$3=$DF21+'Model Setup'!$B$7,SUMIF($AD$3:$BA$3,"="&amp;$DF21+'Model Setup'!$B$7,$B21:$Y21)+'Model Setup'!$B$8*(SUMIF($AD$3:$BA$3,"&lt;"&amp;$DF21,$B21:$Y21)+SUMIF($AD$3:$BA$3,"&gt;="&amp;$DG21,$B21:$Y21)),
IF(AG$3=$DF21+'Model Setup'!$C$7,SUMIF($AD$3:$BA$3,"="&amp;$DF21+'Model Setup'!$C$7,$B21:$Y21)+'Model Setup'!$C$8*(SUMIF($AD$3:$BA$3,"&lt;"&amp;$DF21,$B21:$Y21)+SUMIF($AD$3:$BA$3,"&gt;="&amp;$DG21,$B21:$Y21)),
IF(AG$3=$DF21+'Model Setup'!$D$7,SUMIF($AD$3:$BA$3,"="&amp;$DF21+'Model Setup'!$D$7,$B21:$Y21)+'Model Setup'!$D$8*(SUMIF($AD$3:$BA$3,"&lt;"&amp;$DF21,$B21:$Y21)+SUMIF($AD$3:$BA$3,"&gt;="&amp;$DG21,$B21:$Y21)),
IF(AG$3=$DF21+'Model Setup'!$E$7,SUMIF($AD$3:$BA$3,"="&amp;$DF21+'Model Setup'!$E$7,$B21:$Y21)+'Model Setup'!$E$8*(SUMIF($AD$3:$BA$3,"&lt;"&amp;$DF21,$B21:$Y21)+SUMIF($AD$3:$BA$3,"&gt;="&amp;$DG21,$B21:$Y21)),
IF(AG$3=$DF21+'Model Setup'!$F$7,SUMIF($AD$3:$BA$3,"="&amp;$DF21+'Model Setup'!$F$7,$B21:$Y21)+'Model Setup'!$F$8*(SUMIF($AD$3:$BA$3,"&lt;"&amp;$DF21,$B21:$Y21)+SUMIF($AD$3:$BA$3,"&gt;="&amp;$DG21,$B21:$Y21)),
IF(AG$3=$DF21+'Model Setup'!$G$7,SUMIF($AD$3:$BA$3,"="&amp;$DF21+'Model Setup'!$G$7,$B21:$Y21)+'Model Setup'!$G$8*(SUMIF($AD$3:$BA$3,"&lt;"&amp;$DF21,$B21:$Y21)+SUMIF($AD$3:$BA$3,"&gt;="&amp;$DG21,$B21:$Y21)),
IF(AG$3=$DF21+'Model Setup'!$H$7,SUMIF($AD$3:$BA$3,"="&amp;$DF21+'Model Setup'!$H$7,$B21:$Y21)+'Model Setup'!$H$8*(SUMIF($AD$3:$BA$3,"&lt;"&amp;$DF21,$B21:$Y21)+SUMIF($AD$3:$BA$3,"&gt;="&amp;$DG21,$B21:$Y21)),
IF(AG$3=$DF21+'Model Setup'!$I$7,SUMIF($AD$3:$BA$3,"="&amp;$DF21+'Model Setup'!$I$7,$B21:$Y21)+'Model Setup'!$I$8*(SUMIF($AD$3:$BA$3,"&lt;"&amp;$DF21,$B21:$Y21)+SUMIF($AD$3:$BA$3,"&gt;="&amp;$DG21,$B21:$Y21)),
IF(AG$3=$DF21+'Model Setup'!$J$7,SUMIF($AD$3:$BA$3,"="&amp;$DF21+'Model Setup'!$J$7,$B21:$Y21)+'Model Setup'!$J$8*(SUMIF($AD$3:$BA$3,"&lt;"&amp;$DF21,$B21:$Y21)+SUMIF($AD$3:$BA$3,"&gt;="&amp;$DG21,$B21:$Y21)),
IF(AG$3=$DF21+'Model Setup'!$K$7,SUMIF($AD$3:$BA$3,"="&amp;$DF21+'Model Setup'!$K$7,$B21:$Y21)+'Model Setup'!$K$8*(SUMIF($AD$3:$BA$3,"&lt;"&amp;$DF21,$B21:$Y21)+SUMIF($AD$3:$BA$3,"&gt;="&amp;$DG21,$B21:$Y21)),
IF(AG$3=$DF21+'Model Setup'!$L$7,SUMIF($AD$3:$BA$3,"="&amp;$DF21+'Model Setup'!$L$7,$B21:$Y21)+'Model Setup'!$L$8*(SUMIF($AD$3:$BA$3,"&lt;"&amp;$DF21,$B21:$Y21)+SUMIF($AD$3:$BA$3,"&gt;="&amp;$DG21,$B21:$Y21)),
IF(AG$3=$DF21+'Model Setup'!$M$7,SUMIF($AD$3:$BA$3,"="&amp;$DF21+'Model Setup'!$M$7,$B21:$Y21)+'Model Setup'!$M$8*(SUMIF($AD$3:$BA$3,"&lt;"&amp;$DF21,$B21:$Y21)+SUMIF($AD$3:$BA$3,"&gt;="&amp;$DG21,$B21:$Y21)),
IF(AG$3=$DF21+'Model Setup'!$N$7,SUMIF($AD$3:$BA$3,"="&amp;$DF21+'Model Setup'!$N$7,$B21:$Y21)+'Model Setup'!$N$8*(SUMIF($AD$3:$BA$3,"&lt;"&amp;$DF21,$B21:$Y21)+SUMIF($AD$3:$BA$3,"&gt;="&amp;$DG21,$B21:$Y21)),
IF(AG$3&lt;$DG21,E21,0))))))))))))))),0)</f>
        <v>0</v>
      </c>
      <c r="AH21" s="47">
        <f>ROUND(IF(AH$3&lt;$DF21,0,
IF(AH$3=$DF21+'Model Setup'!$B$7,SUMIF($AD$3:$BA$3,"="&amp;$DF21+'Model Setup'!$B$7,$B21:$Y21)+'Model Setup'!$B$8*(SUMIF($AD$3:$BA$3,"&lt;"&amp;$DF21,$B21:$Y21)+SUMIF($AD$3:$BA$3,"&gt;="&amp;$DG21,$B21:$Y21)),
IF(AH$3=$DF21+'Model Setup'!$C$7,SUMIF($AD$3:$BA$3,"="&amp;$DF21+'Model Setup'!$C$7,$B21:$Y21)+'Model Setup'!$C$8*(SUMIF($AD$3:$BA$3,"&lt;"&amp;$DF21,$B21:$Y21)+SUMIF($AD$3:$BA$3,"&gt;="&amp;$DG21,$B21:$Y21)),
IF(AH$3=$DF21+'Model Setup'!$D$7,SUMIF($AD$3:$BA$3,"="&amp;$DF21+'Model Setup'!$D$7,$B21:$Y21)+'Model Setup'!$D$8*(SUMIF($AD$3:$BA$3,"&lt;"&amp;$DF21,$B21:$Y21)+SUMIF($AD$3:$BA$3,"&gt;="&amp;$DG21,$B21:$Y21)),
IF(AH$3=$DF21+'Model Setup'!$E$7,SUMIF($AD$3:$BA$3,"="&amp;$DF21+'Model Setup'!$E$7,$B21:$Y21)+'Model Setup'!$E$8*(SUMIF($AD$3:$BA$3,"&lt;"&amp;$DF21,$B21:$Y21)+SUMIF($AD$3:$BA$3,"&gt;="&amp;$DG21,$B21:$Y21)),
IF(AH$3=$DF21+'Model Setup'!$F$7,SUMIF($AD$3:$BA$3,"="&amp;$DF21+'Model Setup'!$F$7,$B21:$Y21)+'Model Setup'!$F$8*(SUMIF($AD$3:$BA$3,"&lt;"&amp;$DF21,$B21:$Y21)+SUMIF($AD$3:$BA$3,"&gt;="&amp;$DG21,$B21:$Y21)),
IF(AH$3=$DF21+'Model Setup'!$G$7,SUMIF($AD$3:$BA$3,"="&amp;$DF21+'Model Setup'!$G$7,$B21:$Y21)+'Model Setup'!$G$8*(SUMIF($AD$3:$BA$3,"&lt;"&amp;$DF21,$B21:$Y21)+SUMIF($AD$3:$BA$3,"&gt;="&amp;$DG21,$B21:$Y21)),
IF(AH$3=$DF21+'Model Setup'!$H$7,SUMIF($AD$3:$BA$3,"="&amp;$DF21+'Model Setup'!$H$7,$B21:$Y21)+'Model Setup'!$H$8*(SUMIF($AD$3:$BA$3,"&lt;"&amp;$DF21,$B21:$Y21)+SUMIF($AD$3:$BA$3,"&gt;="&amp;$DG21,$B21:$Y21)),
IF(AH$3=$DF21+'Model Setup'!$I$7,SUMIF($AD$3:$BA$3,"="&amp;$DF21+'Model Setup'!$I$7,$B21:$Y21)+'Model Setup'!$I$8*(SUMIF($AD$3:$BA$3,"&lt;"&amp;$DF21,$B21:$Y21)+SUMIF($AD$3:$BA$3,"&gt;="&amp;$DG21,$B21:$Y21)),
IF(AH$3=$DF21+'Model Setup'!$J$7,SUMIF($AD$3:$BA$3,"="&amp;$DF21+'Model Setup'!$J$7,$B21:$Y21)+'Model Setup'!$J$8*(SUMIF($AD$3:$BA$3,"&lt;"&amp;$DF21,$B21:$Y21)+SUMIF($AD$3:$BA$3,"&gt;="&amp;$DG21,$B21:$Y21)),
IF(AH$3=$DF21+'Model Setup'!$K$7,SUMIF($AD$3:$BA$3,"="&amp;$DF21+'Model Setup'!$K$7,$B21:$Y21)+'Model Setup'!$K$8*(SUMIF($AD$3:$BA$3,"&lt;"&amp;$DF21,$B21:$Y21)+SUMIF($AD$3:$BA$3,"&gt;="&amp;$DG21,$B21:$Y21)),
IF(AH$3=$DF21+'Model Setup'!$L$7,SUMIF($AD$3:$BA$3,"="&amp;$DF21+'Model Setup'!$L$7,$B21:$Y21)+'Model Setup'!$L$8*(SUMIF($AD$3:$BA$3,"&lt;"&amp;$DF21,$B21:$Y21)+SUMIF($AD$3:$BA$3,"&gt;="&amp;$DG21,$B21:$Y21)),
IF(AH$3=$DF21+'Model Setup'!$M$7,SUMIF($AD$3:$BA$3,"="&amp;$DF21+'Model Setup'!$M$7,$B21:$Y21)+'Model Setup'!$M$8*(SUMIF($AD$3:$BA$3,"&lt;"&amp;$DF21,$B21:$Y21)+SUMIF($AD$3:$BA$3,"&gt;="&amp;$DG21,$B21:$Y21)),
IF(AH$3=$DF21+'Model Setup'!$N$7,SUMIF($AD$3:$BA$3,"="&amp;$DF21+'Model Setup'!$N$7,$B21:$Y21)+'Model Setup'!$N$8*(SUMIF($AD$3:$BA$3,"&lt;"&amp;$DF21,$B21:$Y21)+SUMIF($AD$3:$BA$3,"&gt;="&amp;$DG21,$B21:$Y21)),
IF(AH$3&lt;$DG21,F21,0))))))))))))))),0)</f>
        <v>0</v>
      </c>
      <c r="AI21" s="47">
        <f>ROUND(IF(AI$3&lt;$DF21,0,
IF(AI$3=$DF21+'Model Setup'!$B$7,SUMIF($AD$3:$BA$3,"="&amp;$DF21+'Model Setup'!$B$7,$B21:$Y21)+'Model Setup'!$B$8*(SUMIF($AD$3:$BA$3,"&lt;"&amp;$DF21,$B21:$Y21)+SUMIF($AD$3:$BA$3,"&gt;="&amp;$DG21,$B21:$Y21)),
IF(AI$3=$DF21+'Model Setup'!$C$7,SUMIF($AD$3:$BA$3,"="&amp;$DF21+'Model Setup'!$C$7,$B21:$Y21)+'Model Setup'!$C$8*(SUMIF($AD$3:$BA$3,"&lt;"&amp;$DF21,$B21:$Y21)+SUMIF($AD$3:$BA$3,"&gt;="&amp;$DG21,$B21:$Y21)),
IF(AI$3=$DF21+'Model Setup'!$D$7,SUMIF($AD$3:$BA$3,"="&amp;$DF21+'Model Setup'!$D$7,$B21:$Y21)+'Model Setup'!$D$8*(SUMIF($AD$3:$BA$3,"&lt;"&amp;$DF21,$B21:$Y21)+SUMIF($AD$3:$BA$3,"&gt;="&amp;$DG21,$B21:$Y21)),
IF(AI$3=$DF21+'Model Setup'!$E$7,SUMIF($AD$3:$BA$3,"="&amp;$DF21+'Model Setup'!$E$7,$B21:$Y21)+'Model Setup'!$E$8*(SUMIF($AD$3:$BA$3,"&lt;"&amp;$DF21,$B21:$Y21)+SUMIF($AD$3:$BA$3,"&gt;="&amp;$DG21,$B21:$Y21)),
IF(AI$3=$DF21+'Model Setup'!$F$7,SUMIF($AD$3:$BA$3,"="&amp;$DF21+'Model Setup'!$F$7,$B21:$Y21)+'Model Setup'!$F$8*(SUMIF($AD$3:$BA$3,"&lt;"&amp;$DF21,$B21:$Y21)+SUMIF($AD$3:$BA$3,"&gt;="&amp;$DG21,$B21:$Y21)),
IF(AI$3=$DF21+'Model Setup'!$G$7,SUMIF($AD$3:$BA$3,"="&amp;$DF21+'Model Setup'!$G$7,$B21:$Y21)+'Model Setup'!$G$8*(SUMIF($AD$3:$BA$3,"&lt;"&amp;$DF21,$B21:$Y21)+SUMIF($AD$3:$BA$3,"&gt;="&amp;$DG21,$B21:$Y21)),
IF(AI$3=$DF21+'Model Setup'!$H$7,SUMIF($AD$3:$BA$3,"="&amp;$DF21+'Model Setup'!$H$7,$B21:$Y21)+'Model Setup'!$H$8*(SUMIF($AD$3:$BA$3,"&lt;"&amp;$DF21,$B21:$Y21)+SUMIF($AD$3:$BA$3,"&gt;="&amp;$DG21,$B21:$Y21)),
IF(AI$3=$DF21+'Model Setup'!$I$7,SUMIF($AD$3:$BA$3,"="&amp;$DF21+'Model Setup'!$I$7,$B21:$Y21)+'Model Setup'!$I$8*(SUMIF($AD$3:$BA$3,"&lt;"&amp;$DF21,$B21:$Y21)+SUMIF($AD$3:$BA$3,"&gt;="&amp;$DG21,$B21:$Y21)),
IF(AI$3=$DF21+'Model Setup'!$J$7,SUMIF($AD$3:$BA$3,"="&amp;$DF21+'Model Setup'!$J$7,$B21:$Y21)+'Model Setup'!$J$8*(SUMIF($AD$3:$BA$3,"&lt;"&amp;$DF21,$B21:$Y21)+SUMIF($AD$3:$BA$3,"&gt;="&amp;$DG21,$B21:$Y21)),
IF(AI$3=$DF21+'Model Setup'!$K$7,SUMIF($AD$3:$BA$3,"="&amp;$DF21+'Model Setup'!$K$7,$B21:$Y21)+'Model Setup'!$K$8*(SUMIF($AD$3:$BA$3,"&lt;"&amp;$DF21,$B21:$Y21)+SUMIF($AD$3:$BA$3,"&gt;="&amp;$DG21,$B21:$Y21)),
IF(AI$3=$DF21+'Model Setup'!$L$7,SUMIF($AD$3:$BA$3,"="&amp;$DF21+'Model Setup'!$L$7,$B21:$Y21)+'Model Setup'!$L$8*(SUMIF($AD$3:$BA$3,"&lt;"&amp;$DF21,$B21:$Y21)+SUMIF($AD$3:$BA$3,"&gt;="&amp;$DG21,$B21:$Y21)),
IF(AI$3=$DF21+'Model Setup'!$M$7,SUMIF($AD$3:$BA$3,"="&amp;$DF21+'Model Setup'!$M$7,$B21:$Y21)+'Model Setup'!$M$8*(SUMIF($AD$3:$BA$3,"&lt;"&amp;$DF21,$B21:$Y21)+SUMIF($AD$3:$BA$3,"&gt;="&amp;$DG21,$B21:$Y21)),
IF(AI$3=$DF21+'Model Setup'!$N$7,SUMIF($AD$3:$BA$3,"="&amp;$DF21+'Model Setup'!$N$7,$B21:$Y21)+'Model Setup'!$N$8*(SUMIF($AD$3:$BA$3,"&lt;"&amp;$DF21,$B21:$Y21)+SUMIF($AD$3:$BA$3,"&gt;="&amp;$DG21,$B21:$Y21)),
IF(AI$3&lt;$DG21,G21,0))))))))))))))),0)</f>
        <v>0</v>
      </c>
      <c r="AJ21" s="47">
        <f>ROUND(IF(AJ$3&lt;$DF21,0,
IF(AJ$3=$DF21+'Model Setup'!$B$7,SUMIF($AD$3:$BA$3,"="&amp;$DF21+'Model Setup'!$B$7,$B21:$Y21)+'Model Setup'!$B$8*(SUMIF($AD$3:$BA$3,"&lt;"&amp;$DF21,$B21:$Y21)+SUMIF($AD$3:$BA$3,"&gt;="&amp;$DG21,$B21:$Y21)),
IF(AJ$3=$DF21+'Model Setup'!$C$7,SUMIF($AD$3:$BA$3,"="&amp;$DF21+'Model Setup'!$C$7,$B21:$Y21)+'Model Setup'!$C$8*(SUMIF($AD$3:$BA$3,"&lt;"&amp;$DF21,$B21:$Y21)+SUMIF($AD$3:$BA$3,"&gt;="&amp;$DG21,$B21:$Y21)),
IF(AJ$3=$DF21+'Model Setup'!$D$7,SUMIF($AD$3:$BA$3,"="&amp;$DF21+'Model Setup'!$D$7,$B21:$Y21)+'Model Setup'!$D$8*(SUMIF($AD$3:$BA$3,"&lt;"&amp;$DF21,$B21:$Y21)+SUMIF($AD$3:$BA$3,"&gt;="&amp;$DG21,$B21:$Y21)),
IF(AJ$3=$DF21+'Model Setup'!$E$7,SUMIF($AD$3:$BA$3,"="&amp;$DF21+'Model Setup'!$E$7,$B21:$Y21)+'Model Setup'!$E$8*(SUMIF($AD$3:$BA$3,"&lt;"&amp;$DF21,$B21:$Y21)+SUMIF($AD$3:$BA$3,"&gt;="&amp;$DG21,$B21:$Y21)),
IF(AJ$3=$DF21+'Model Setup'!$F$7,SUMIF($AD$3:$BA$3,"="&amp;$DF21+'Model Setup'!$F$7,$B21:$Y21)+'Model Setup'!$F$8*(SUMIF($AD$3:$BA$3,"&lt;"&amp;$DF21,$B21:$Y21)+SUMIF($AD$3:$BA$3,"&gt;="&amp;$DG21,$B21:$Y21)),
IF(AJ$3=$DF21+'Model Setup'!$G$7,SUMIF($AD$3:$BA$3,"="&amp;$DF21+'Model Setup'!$G$7,$B21:$Y21)+'Model Setup'!$G$8*(SUMIF($AD$3:$BA$3,"&lt;"&amp;$DF21,$B21:$Y21)+SUMIF($AD$3:$BA$3,"&gt;="&amp;$DG21,$B21:$Y21)),
IF(AJ$3=$DF21+'Model Setup'!$H$7,SUMIF($AD$3:$BA$3,"="&amp;$DF21+'Model Setup'!$H$7,$B21:$Y21)+'Model Setup'!$H$8*(SUMIF($AD$3:$BA$3,"&lt;"&amp;$DF21,$B21:$Y21)+SUMIF($AD$3:$BA$3,"&gt;="&amp;$DG21,$B21:$Y21)),
IF(AJ$3=$DF21+'Model Setup'!$I$7,SUMIF($AD$3:$BA$3,"="&amp;$DF21+'Model Setup'!$I$7,$B21:$Y21)+'Model Setup'!$I$8*(SUMIF($AD$3:$BA$3,"&lt;"&amp;$DF21,$B21:$Y21)+SUMIF($AD$3:$BA$3,"&gt;="&amp;$DG21,$B21:$Y21)),
IF(AJ$3=$DF21+'Model Setup'!$J$7,SUMIF($AD$3:$BA$3,"="&amp;$DF21+'Model Setup'!$J$7,$B21:$Y21)+'Model Setup'!$J$8*(SUMIF($AD$3:$BA$3,"&lt;"&amp;$DF21,$B21:$Y21)+SUMIF($AD$3:$BA$3,"&gt;="&amp;$DG21,$B21:$Y21)),
IF(AJ$3=$DF21+'Model Setup'!$K$7,SUMIF($AD$3:$BA$3,"="&amp;$DF21+'Model Setup'!$K$7,$B21:$Y21)+'Model Setup'!$K$8*(SUMIF($AD$3:$BA$3,"&lt;"&amp;$DF21,$B21:$Y21)+SUMIF($AD$3:$BA$3,"&gt;="&amp;$DG21,$B21:$Y21)),
IF(AJ$3=$DF21+'Model Setup'!$L$7,SUMIF($AD$3:$BA$3,"="&amp;$DF21+'Model Setup'!$L$7,$B21:$Y21)+'Model Setup'!$L$8*(SUMIF($AD$3:$BA$3,"&lt;"&amp;$DF21,$B21:$Y21)+SUMIF($AD$3:$BA$3,"&gt;="&amp;$DG21,$B21:$Y21)),
IF(AJ$3=$DF21+'Model Setup'!$M$7,SUMIF($AD$3:$BA$3,"="&amp;$DF21+'Model Setup'!$M$7,$B21:$Y21)+'Model Setup'!$M$8*(SUMIF($AD$3:$BA$3,"&lt;"&amp;$DF21,$B21:$Y21)+SUMIF($AD$3:$BA$3,"&gt;="&amp;$DG21,$B21:$Y21)),
IF(AJ$3=$DF21+'Model Setup'!$N$7,SUMIF($AD$3:$BA$3,"="&amp;$DF21+'Model Setup'!$N$7,$B21:$Y21)+'Model Setup'!$N$8*(SUMIF($AD$3:$BA$3,"&lt;"&amp;$DF21,$B21:$Y21)+SUMIF($AD$3:$BA$3,"&gt;="&amp;$DG21,$B21:$Y21)),
IF(AJ$3&lt;$DG21,H21,0))))))))))))))),0)</f>
        <v>21</v>
      </c>
      <c r="AK21" s="47">
        <f>ROUND(IF(AK$3&lt;$DF21,0,
IF(AK$3=$DF21+'Model Setup'!$B$7,SUMIF($AD$3:$BA$3,"="&amp;$DF21+'Model Setup'!$B$7,$B21:$Y21)+'Model Setup'!$B$8*(SUMIF($AD$3:$BA$3,"&lt;"&amp;$DF21,$B21:$Y21)+SUMIF($AD$3:$BA$3,"&gt;="&amp;$DG21,$B21:$Y21)),
IF(AK$3=$DF21+'Model Setup'!$C$7,SUMIF($AD$3:$BA$3,"="&amp;$DF21+'Model Setup'!$C$7,$B21:$Y21)+'Model Setup'!$C$8*(SUMIF($AD$3:$BA$3,"&lt;"&amp;$DF21,$B21:$Y21)+SUMIF($AD$3:$BA$3,"&gt;="&amp;$DG21,$B21:$Y21)),
IF(AK$3=$DF21+'Model Setup'!$D$7,SUMIF($AD$3:$BA$3,"="&amp;$DF21+'Model Setup'!$D$7,$B21:$Y21)+'Model Setup'!$D$8*(SUMIF($AD$3:$BA$3,"&lt;"&amp;$DF21,$B21:$Y21)+SUMIF($AD$3:$BA$3,"&gt;="&amp;$DG21,$B21:$Y21)),
IF(AK$3=$DF21+'Model Setup'!$E$7,SUMIF($AD$3:$BA$3,"="&amp;$DF21+'Model Setup'!$E$7,$B21:$Y21)+'Model Setup'!$E$8*(SUMIF($AD$3:$BA$3,"&lt;"&amp;$DF21,$B21:$Y21)+SUMIF($AD$3:$BA$3,"&gt;="&amp;$DG21,$B21:$Y21)),
IF(AK$3=$DF21+'Model Setup'!$F$7,SUMIF($AD$3:$BA$3,"="&amp;$DF21+'Model Setup'!$F$7,$B21:$Y21)+'Model Setup'!$F$8*(SUMIF($AD$3:$BA$3,"&lt;"&amp;$DF21,$B21:$Y21)+SUMIF($AD$3:$BA$3,"&gt;="&amp;$DG21,$B21:$Y21)),
IF(AK$3=$DF21+'Model Setup'!$G$7,SUMIF($AD$3:$BA$3,"="&amp;$DF21+'Model Setup'!$G$7,$B21:$Y21)+'Model Setup'!$G$8*(SUMIF($AD$3:$BA$3,"&lt;"&amp;$DF21,$B21:$Y21)+SUMIF($AD$3:$BA$3,"&gt;="&amp;$DG21,$B21:$Y21)),
IF(AK$3=$DF21+'Model Setup'!$H$7,SUMIF($AD$3:$BA$3,"="&amp;$DF21+'Model Setup'!$H$7,$B21:$Y21)+'Model Setup'!$H$8*(SUMIF($AD$3:$BA$3,"&lt;"&amp;$DF21,$B21:$Y21)+SUMIF($AD$3:$BA$3,"&gt;="&amp;$DG21,$B21:$Y21)),
IF(AK$3=$DF21+'Model Setup'!$I$7,SUMIF($AD$3:$BA$3,"="&amp;$DF21+'Model Setup'!$I$7,$B21:$Y21)+'Model Setup'!$I$8*(SUMIF($AD$3:$BA$3,"&lt;"&amp;$DF21,$B21:$Y21)+SUMIF($AD$3:$BA$3,"&gt;="&amp;$DG21,$B21:$Y21)),
IF(AK$3=$DF21+'Model Setup'!$J$7,SUMIF($AD$3:$BA$3,"="&amp;$DF21+'Model Setup'!$J$7,$B21:$Y21)+'Model Setup'!$J$8*(SUMIF($AD$3:$BA$3,"&lt;"&amp;$DF21,$B21:$Y21)+SUMIF($AD$3:$BA$3,"&gt;="&amp;$DG21,$B21:$Y21)),
IF(AK$3=$DF21+'Model Setup'!$K$7,SUMIF($AD$3:$BA$3,"="&amp;$DF21+'Model Setup'!$K$7,$B21:$Y21)+'Model Setup'!$K$8*(SUMIF($AD$3:$BA$3,"&lt;"&amp;$DF21,$B21:$Y21)+SUMIF($AD$3:$BA$3,"&gt;="&amp;$DG21,$B21:$Y21)),
IF(AK$3=$DF21+'Model Setup'!$L$7,SUMIF($AD$3:$BA$3,"="&amp;$DF21+'Model Setup'!$L$7,$B21:$Y21)+'Model Setup'!$L$8*(SUMIF($AD$3:$BA$3,"&lt;"&amp;$DF21,$B21:$Y21)+SUMIF($AD$3:$BA$3,"&gt;="&amp;$DG21,$B21:$Y21)),
IF(AK$3=$DF21+'Model Setup'!$M$7,SUMIF($AD$3:$BA$3,"="&amp;$DF21+'Model Setup'!$M$7,$B21:$Y21)+'Model Setup'!$M$8*(SUMIF($AD$3:$BA$3,"&lt;"&amp;$DF21,$B21:$Y21)+SUMIF($AD$3:$BA$3,"&gt;="&amp;$DG21,$B21:$Y21)),
IF(AK$3=$DF21+'Model Setup'!$N$7,SUMIF($AD$3:$BA$3,"="&amp;$DF21+'Model Setup'!$N$7,$B21:$Y21)+'Model Setup'!$N$8*(SUMIF($AD$3:$BA$3,"&lt;"&amp;$DF21,$B21:$Y21)+SUMIF($AD$3:$BA$3,"&gt;="&amp;$DG21,$B21:$Y21)),
IF(AK$3&lt;$DG21,I21,0))))))))))))))),0)</f>
        <v>25</v>
      </c>
      <c r="AL21" s="47">
        <f>ROUND(IF(AL$3&lt;$DF21,0,
IF(AL$3=$DF21+'Model Setup'!$B$7,SUMIF($AD$3:$BA$3,"="&amp;$DF21+'Model Setup'!$B$7,$B21:$Y21)+'Model Setup'!$B$8*(SUMIF($AD$3:$BA$3,"&lt;"&amp;$DF21,$B21:$Y21)+SUMIF($AD$3:$BA$3,"&gt;="&amp;$DG21,$B21:$Y21)),
IF(AL$3=$DF21+'Model Setup'!$C$7,SUMIF($AD$3:$BA$3,"="&amp;$DF21+'Model Setup'!$C$7,$B21:$Y21)+'Model Setup'!$C$8*(SUMIF($AD$3:$BA$3,"&lt;"&amp;$DF21,$B21:$Y21)+SUMIF($AD$3:$BA$3,"&gt;="&amp;$DG21,$B21:$Y21)),
IF(AL$3=$DF21+'Model Setup'!$D$7,SUMIF($AD$3:$BA$3,"="&amp;$DF21+'Model Setup'!$D$7,$B21:$Y21)+'Model Setup'!$D$8*(SUMIF($AD$3:$BA$3,"&lt;"&amp;$DF21,$B21:$Y21)+SUMIF($AD$3:$BA$3,"&gt;="&amp;$DG21,$B21:$Y21)),
IF(AL$3=$DF21+'Model Setup'!$E$7,SUMIF($AD$3:$BA$3,"="&amp;$DF21+'Model Setup'!$E$7,$B21:$Y21)+'Model Setup'!$E$8*(SUMIF($AD$3:$BA$3,"&lt;"&amp;$DF21,$B21:$Y21)+SUMIF($AD$3:$BA$3,"&gt;="&amp;$DG21,$B21:$Y21)),
IF(AL$3=$DF21+'Model Setup'!$F$7,SUMIF($AD$3:$BA$3,"="&amp;$DF21+'Model Setup'!$F$7,$B21:$Y21)+'Model Setup'!$F$8*(SUMIF($AD$3:$BA$3,"&lt;"&amp;$DF21,$B21:$Y21)+SUMIF($AD$3:$BA$3,"&gt;="&amp;$DG21,$B21:$Y21)),
IF(AL$3=$DF21+'Model Setup'!$G$7,SUMIF($AD$3:$BA$3,"="&amp;$DF21+'Model Setup'!$G$7,$B21:$Y21)+'Model Setup'!$G$8*(SUMIF($AD$3:$BA$3,"&lt;"&amp;$DF21,$B21:$Y21)+SUMIF($AD$3:$BA$3,"&gt;="&amp;$DG21,$B21:$Y21)),
IF(AL$3=$DF21+'Model Setup'!$H$7,SUMIF($AD$3:$BA$3,"="&amp;$DF21+'Model Setup'!$H$7,$B21:$Y21)+'Model Setup'!$H$8*(SUMIF($AD$3:$BA$3,"&lt;"&amp;$DF21,$B21:$Y21)+SUMIF($AD$3:$BA$3,"&gt;="&amp;$DG21,$B21:$Y21)),
IF(AL$3=$DF21+'Model Setup'!$I$7,SUMIF($AD$3:$BA$3,"="&amp;$DF21+'Model Setup'!$I$7,$B21:$Y21)+'Model Setup'!$I$8*(SUMIF($AD$3:$BA$3,"&lt;"&amp;$DF21,$B21:$Y21)+SUMIF($AD$3:$BA$3,"&gt;="&amp;$DG21,$B21:$Y21)),
IF(AL$3=$DF21+'Model Setup'!$J$7,SUMIF($AD$3:$BA$3,"="&amp;$DF21+'Model Setup'!$J$7,$B21:$Y21)+'Model Setup'!$J$8*(SUMIF($AD$3:$BA$3,"&lt;"&amp;$DF21,$B21:$Y21)+SUMIF($AD$3:$BA$3,"&gt;="&amp;$DG21,$B21:$Y21)),
IF(AL$3=$DF21+'Model Setup'!$K$7,SUMIF($AD$3:$BA$3,"="&amp;$DF21+'Model Setup'!$K$7,$B21:$Y21)+'Model Setup'!$K$8*(SUMIF($AD$3:$BA$3,"&lt;"&amp;$DF21,$B21:$Y21)+SUMIF($AD$3:$BA$3,"&gt;="&amp;$DG21,$B21:$Y21)),
IF(AL$3=$DF21+'Model Setup'!$L$7,SUMIF($AD$3:$BA$3,"="&amp;$DF21+'Model Setup'!$L$7,$B21:$Y21)+'Model Setup'!$L$8*(SUMIF($AD$3:$BA$3,"&lt;"&amp;$DF21,$B21:$Y21)+SUMIF($AD$3:$BA$3,"&gt;="&amp;$DG21,$B21:$Y21)),
IF(AL$3=$DF21+'Model Setup'!$M$7,SUMIF($AD$3:$BA$3,"="&amp;$DF21+'Model Setup'!$M$7,$B21:$Y21)+'Model Setup'!$M$8*(SUMIF($AD$3:$BA$3,"&lt;"&amp;$DF21,$B21:$Y21)+SUMIF($AD$3:$BA$3,"&gt;="&amp;$DG21,$B21:$Y21)),
IF(AL$3=$DF21+'Model Setup'!$N$7,SUMIF($AD$3:$BA$3,"="&amp;$DF21+'Model Setup'!$N$7,$B21:$Y21)+'Model Setup'!$N$8*(SUMIF($AD$3:$BA$3,"&lt;"&amp;$DF21,$B21:$Y21)+SUMIF($AD$3:$BA$3,"&gt;="&amp;$DG21,$B21:$Y21)),
IF(AL$3&lt;$DG21,J21,0))))))))))))))),0)</f>
        <v>36</v>
      </c>
      <c r="AM21" s="47">
        <f>ROUND(IF(AM$3&lt;$DF21,0,
IF(AM$3=$DF21+'Model Setup'!$B$7,SUMIF($AD$3:$BA$3,"="&amp;$DF21+'Model Setup'!$B$7,$B21:$Y21)+'Model Setup'!$B$8*(SUMIF($AD$3:$BA$3,"&lt;"&amp;$DF21,$B21:$Y21)+SUMIF($AD$3:$BA$3,"&gt;="&amp;$DG21,$B21:$Y21)),
IF(AM$3=$DF21+'Model Setup'!$C$7,SUMIF($AD$3:$BA$3,"="&amp;$DF21+'Model Setup'!$C$7,$B21:$Y21)+'Model Setup'!$C$8*(SUMIF($AD$3:$BA$3,"&lt;"&amp;$DF21,$B21:$Y21)+SUMIF($AD$3:$BA$3,"&gt;="&amp;$DG21,$B21:$Y21)),
IF(AM$3=$DF21+'Model Setup'!$D$7,SUMIF($AD$3:$BA$3,"="&amp;$DF21+'Model Setup'!$D$7,$B21:$Y21)+'Model Setup'!$D$8*(SUMIF($AD$3:$BA$3,"&lt;"&amp;$DF21,$B21:$Y21)+SUMIF($AD$3:$BA$3,"&gt;="&amp;$DG21,$B21:$Y21)),
IF(AM$3=$DF21+'Model Setup'!$E$7,SUMIF($AD$3:$BA$3,"="&amp;$DF21+'Model Setup'!$E$7,$B21:$Y21)+'Model Setup'!$E$8*(SUMIF($AD$3:$BA$3,"&lt;"&amp;$DF21,$B21:$Y21)+SUMIF($AD$3:$BA$3,"&gt;="&amp;$DG21,$B21:$Y21)),
IF(AM$3=$DF21+'Model Setup'!$F$7,SUMIF($AD$3:$BA$3,"="&amp;$DF21+'Model Setup'!$F$7,$B21:$Y21)+'Model Setup'!$F$8*(SUMIF($AD$3:$BA$3,"&lt;"&amp;$DF21,$B21:$Y21)+SUMIF($AD$3:$BA$3,"&gt;="&amp;$DG21,$B21:$Y21)),
IF(AM$3=$DF21+'Model Setup'!$G$7,SUMIF($AD$3:$BA$3,"="&amp;$DF21+'Model Setup'!$G$7,$B21:$Y21)+'Model Setup'!$G$8*(SUMIF($AD$3:$BA$3,"&lt;"&amp;$DF21,$B21:$Y21)+SUMIF($AD$3:$BA$3,"&gt;="&amp;$DG21,$B21:$Y21)),
IF(AM$3=$DF21+'Model Setup'!$H$7,SUMIF($AD$3:$BA$3,"="&amp;$DF21+'Model Setup'!$H$7,$B21:$Y21)+'Model Setup'!$H$8*(SUMIF($AD$3:$BA$3,"&lt;"&amp;$DF21,$B21:$Y21)+SUMIF($AD$3:$BA$3,"&gt;="&amp;$DG21,$B21:$Y21)),
IF(AM$3=$DF21+'Model Setup'!$I$7,SUMIF($AD$3:$BA$3,"="&amp;$DF21+'Model Setup'!$I$7,$B21:$Y21)+'Model Setup'!$I$8*(SUMIF($AD$3:$BA$3,"&lt;"&amp;$DF21,$B21:$Y21)+SUMIF($AD$3:$BA$3,"&gt;="&amp;$DG21,$B21:$Y21)),
IF(AM$3=$DF21+'Model Setup'!$J$7,SUMIF($AD$3:$BA$3,"="&amp;$DF21+'Model Setup'!$J$7,$B21:$Y21)+'Model Setup'!$J$8*(SUMIF($AD$3:$BA$3,"&lt;"&amp;$DF21,$B21:$Y21)+SUMIF($AD$3:$BA$3,"&gt;="&amp;$DG21,$B21:$Y21)),
IF(AM$3=$DF21+'Model Setup'!$K$7,SUMIF($AD$3:$BA$3,"="&amp;$DF21+'Model Setup'!$K$7,$B21:$Y21)+'Model Setup'!$K$8*(SUMIF($AD$3:$BA$3,"&lt;"&amp;$DF21,$B21:$Y21)+SUMIF($AD$3:$BA$3,"&gt;="&amp;$DG21,$B21:$Y21)),
IF(AM$3=$DF21+'Model Setup'!$L$7,SUMIF($AD$3:$BA$3,"="&amp;$DF21+'Model Setup'!$L$7,$B21:$Y21)+'Model Setup'!$L$8*(SUMIF($AD$3:$BA$3,"&lt;"&amp;$DF21,$B21:$Y21)+SUMIF($AD$3:$BA$3,"&gt;="&amp;$DG21,$B21:$Y21)),
IF(AM$3=$DF21+'Model Setup'!$M$7,SUMIF($AD$3:$BA$3,"="&amp;$DF21+'Model Setup'!$M$7,$B21:$Y21)+'Model Setup'!$M$8*(SUMIF($AD$3:$BA$3,"&lt;"&amp;$DF21,$B21:$Y21)+SUMIF($AD$3:$BA$3,"&gt;="&amp;$DG21,$B21:$Y21)),
IF(AM$3=$DF21+'Model Setup'!$N$7,SUMIF($AD$3:$BA$3,"="&amp;$DF21+'Model Setup'!$N$7,$B21:$Y21)+'Model Setup'!$N$8*(SUMIF($AD$3:$BA$3,"&lt;"&amp;$DF21,$B21:$Y21)+SUMIF($AD$3:$BA$3,"&gt;="&amp;$DG21,$B21:$Y21)),
IF(AM$3&lt;$DG21,K21,0))))))))))))))),0)</f>
        <v>26</v>
      </c>
      <c r="AN21" s="47">
        <f>ROUND(IF(AN$3&lt;$DF21,0,
IF(AN$3=$DF21+'Model Setup'!$B$7,SUMIF($AD$3:$BA$3,"="&amp;$DF21+'Model Setup'!$B$7,$B21:$Y21)+'Model Setup'!$B$8*(SUMIF($AD$3:$BA$3,"&lt;"&amp;$DF21,$B21:$Y21)+SUMIF($AD$3:$BA$3,"&gt;="&amp;$DG21,$B21:$Y21)),
IF(AN$3=$DF21+'Model Setup'!$C$7,SUMIF($AD$3:$BA$3,"="&amp;$DF21+'Model Setup'!$C$7,$B21:$Y21)+'Model Setup'!$C$8*(SUMIF($AD$3:$BA$3,"&lt;"&amp;$DF21,$B21:$Y21)+SUMIF($AD$3:$BA$3,"&gt;="&amp;$DG21,$B21:$Y21)),
IF(AN$3=$DF21+'Model Setup'!$D$7,SUMIF($AD$3:$BA$3,"="&amp;$DF21+'Model Setup'!$D$7,$B21:$Y21)+'Model Setup'!$D$8*(SUMIF($AD$3:$BA$3,"&lt;"&amp;$DF21,$B21:$Y21)+SUMIF($AD$3:$BA$3,"&gt;="&amp;$DG21,$B21:$Y21)),
IF(AN$3=$DF21+'Model Setup'!$E$7,SUMIF($AD$3:$BA$3,"="&amp;$DF21+'Model Setup'!$E$7,$B21:$Y21)+'Model Setup'!$E$8*(SUMIF($AD$3:$BA$3,"&lt;"&amp;$DF21,$B21:$Y21)+SUMIF($AD$3:$BA$3,"&gt;="&amp;$DG21,$B21:$Y21)),
IF(AN$3=$DF21+'Model Setup'!$F$7,SUMIF($AD$3:$BA$3,"="&amp;$DF21+'Model Setup'!$F$7,$B21:$Y21)+'Model Setup'!$F$8*(SUMIF($AD$3:$BA$3,"&lt;"&amp;$DF21,$B21:$Y21)+SUMIF($AD$3:$BA$3,"&gt;="&amp;$DG21,$B21:$Y21)),
IF(AN$3=$DF21+'Model Setup'!$G$7,SUMIF($AD$3:$BA$3,"="&amp;$DF21+'Model Setup'!$G$7,$B21:$Y21)+'Model Setup'!$G$8*(SUMIF($AD$3:$BA$3,"&lt;"&amp;$DF21,$B21:$Y21)+SUMIF($AD$3:$BA$3,"&gt;="&amp;$DG21,$B21:$Y21)),
IF(AN$3=$DF21+'Model Setup'!$H$7,SUMIF($AD$3:$BA$3,"="&amp;$DF21+'Model Setup'!$H$7,$B21:$Y21)+'Model Setup'!$H$8*(SUMIF($AD$3:$BA$3,"&lt;"&amp;$DF21,$B21:$Y21)+SUMIF($AD$3:$BA$3,"&gt;="&amp;$DG21,$B21:$Y21)),
IF(AN$3=$DF21+'Model Setup'!$I$7,SUMIF($AD$3:$BA$3,"="&amp;$DF21+'Model Setup'!$I$7,$B21:$Y21)+'Model Setup'!$I$8*(SUMIF($AD$3:$BA$3,"&lt;"&amp;$DF21,$B21:$Y21)+SUMIF($AD$3:$BA$3,"&gt;="&amp;$DG21,$B21:$Y21)),
IF(AN$3=$DF21+'Model Setup'!$J$7,SUMIF($AD$3:$BA$3,"="&amp;$DF21+'Model Setup'!$J$7,$B21:$Y21)+'Model Setup'!$J$8*(SUMIF($AD$3:$BA$3,"&lt;"&amp;$DF21,$B21:$Y21)+SUMIF($AD$3:$BA$3,"&gt;="&amp;$DG21,$B21:$Y21)),
IF(AN$3=$DF21+'Model Setup'!$K$7,SUMIF($AD$3:$BA$3,"="&amp;$DF21+'Model Setup'!$K$7,$B21:$Y21)+'Model Setup'!$K$8*(SUMIF($AD$3:$BA$3,"&lt;"&amp;$DF21,$B21:$Y21)+SUMIF($AD$3:$BA$3,"&gt;="&amp;$DG21,$B21:$Y21)),
IF(AN$3=$DF21+'Model Setup'!$L$7,SUMIF($AD$3:$BA$3,"="&amp;$DF21+'Model Setup'!$L$7,$B21:$Y21)+'Model Setup'!$L$8*(SUMIF($AD$3:$BA$3,"&lt;"&amp;$DF21,$B21:$Y21)+SUMIF($AD$3:$BA$3,"&gt;="&amp;$DG21,$B21:$Y21)),
IF(AN$3=$DF21+'Model Setup'!$M$7,SUMIF($AD$3:$BA$3,"="&amp;$DF21+'Model Setup'!$M$7,$B21:$Y21)+'Model Setup'!$M$8*(SUMIF($AD$3:$BA$3,"&lt;"&amp;$DF21,$B21:$Y21)+SUMIF($AD$3:$BA$3,"&gt;="&amp;$DG21,$B21:$Y21)),
IF(AN$3=$DF21+'Model Setup'!$N$7,SUMIF($AD$3:$BA$3,"="&amp;$DF21+'Model Setup'!$N$7,$B21:$Y21)+'Model Setup'!$N$8*(SUMIF($AD$3:$BA$3,"&lt;"&amp;$DF21,$B21:$Y21)+SUMIF($AD$3:$BA$3,"&gt;="&amp;$DG21,$B21:$Y21)),
IF(AN$3&lt;$DG21,L21,0))))))))))))))),0)</f>
        <v>25</v>
      </c>
      <c r="AO21" s="47">
        <f>ROUND(IF(AO$3&lt;$DF21,0,
IF(AO$3=$DF21+'Model Setup'!$B$7,SUMIF($AD$3:$BA$3,"="&amp;$DF21+'Model Setup'!$B$7,$B21:$Y21)+'Model Setup'!$B$8*(SUMIF($AD$3:$BA$3,"&lt;"&amp;$DF21,$B21:$Y21)+SUMIF($AD$3:$BA$3,"&gt;="&amp;$DG21,$B21:$Y21)),
IF(AO$3=$DF21+'Model Setup'!$C$7,SUMIF($AD$3:$BA$3,"="&amp;$DF21+'Model Setup'!$C$7,$B21:$Y21)+'Model Setup'!$C$8*(SUMIF($AD$3:$BA$3,"&lt;"&amp;$DF21,$B21:$Y21)+SUMIF($AD$3:$BA$3,"&gt;="&amp;$DG21,$B21:$Y21)),
IF(AO$3=$DF21+'Model Setup'!$D$7,SUMIF($AD$3:$BA$3,"="&amp;$DF21+'Model Setup'!$D$7,$B21:$Y21)+'Model Setup'!$D$8*(SUMIF($AD$3:$BA$3,"&lt;"&amp;$DF21,$B21:$Y21)+SUMIF($AD$3:$BA$3,"&gt;="&amp;$DG21,$B21:$Y21)),
IF(AO$3=$DF21+'Model Setup'!$E$7,SUMIF($AD$3:$BA$3,"="&amp;$DF21+'Model Setup'!$E$7,$B21:$Y21)+'Model Setup'!$E$8*(SUMIF($AD$3:$BA$3,"&lt;"&amp;$DF21,$B21:$Y21)+SUMIF($AD$3:$BA$3,"&gt;="&amp;$DG21,$B21:$Y21)),
IF(AO$3=$DF21+'Model Setup'!$F$7,SUMIF($AD$3:$BA$3,"="&amp;$DF21+'Model Setup'!$F$7,$B21:$Y21)+'Model Setup'!$F$8*(SUMIF($AD$3:$BA$3,"&lt;"&amp;$DF21,$B21:$Y21)+SUMIF($AD$3:$BA$3,"&gt;="&amp;$DG21,$B21:$Y21)),
IF(AO$3=$DF21+'Model Setup'!$G$7,SUMIF($AD$3:$BA$3,"="&amp;$DF21+'Model Setup'!$G$7,$B21:$Y21)+'Model Setup'!$G$8*(SUMIF($AD$3:$BA$3,"&lt;"&amp;$DF21,$B21:$Y21)+SUMIF($AD$3:$BA$3,"&gt;="&amp;$DG21,$B21:$Y21)),
IF(AO$3=$DF21+'Model Setup'!$H$7,SUMIF($AD$3:$BA$3,"="&amp;$DF21+'Model Setup'!$H$7,$B21:$Y21)+'Model Setup'!$H$8*(SUMIF($AD$3:$BA$3,"&lt;"&amp;$DF21,$B21:$Y21)+SUMIF($AD$3:$BA$3,"&gt;="&amp;$DG21,$B21:$Y21)),
IF(AO$3=$DF21+'Model Setup'!$I$7,SUMIF($AD$3:$BA$3,"="&amp;$DF21+'Model Setup'!$I$7,$B21:$Y21)+'Model Setup'!$I$8*(SUMIF($AD$3:$BA$3,"&lt;"&amp;$DF21,$B21:$Y21)+SUMIF($AD$3:$BA$3,"&gt;="&amp;$DG21,$B21:$Y21)),
IF(AO$3=$DF21+'Model Setup'!$J$7,SUMIF($AD$3:$BA$3,"="&amp;$DF21+'Model Setup'!$J$7,$B21:$Y21)+'Model Setup'!$J$8*(SUMIF($AD$3:$BA$3,"&lt;"&amp;$DF21,$B21:$Y21)+SUMIF($AD$3:$BA$3,"&gt;="&amp;$DG21,$B21:$Y21)),
IF(AO$3=$DF21+'Model Setup'!$K$7,SUMIF($AD$3:$BA$3,"="&amp;$DF21+'Model Setup'!$K$7,$B21:$Y21)+'Model Setup'!$K$8*(SUMIF($AD$3:$BA$3,"&lt;"&amp;$DF21,$B21:$Y21)+SUMIF($AD$3:$BA$3,"&gt;="&amp;$DG21,$B21:$Y21)),
IF(AO$3=$DF21+'Model Setup'!$L$7,SUMIF($AD$3:$BA$3,"="&amp;$DF21+'Model Setup'!$L$7,$B21:$Y21)+'Model Setup'!$L$8*(SUMIF($AD$3:$BA$3,"&lt;"&amp;$DF21,$B21:$Y21)+SUMIF($AD$3:$BA$3,"&gt;="&amp;$DG21,$B21:$Y21)),
IF(AO$3=$DF21+'Model Setup'!$M$7,SUMIF($AD$3:$BA$3,"="&amp;$DF21+'Model Setup'!$M$7,$B21:$Y21)+'Model Setup'!$M$8*(SUMIF($AD$3:$BA$3,"&lt;"&amp;$DF21,$B21:$Y21)+SUMIF($AD$3:$BA$3,"&gt;="&amp;$DG21,$B21:$Y21)),
IF(AO$3=$DF21+'Model Setup'!$N$7,SUMIF($AD$3:$BA$3,"="&amp;$DF21+'Model Setup'!$N$7,$B21:$Y21)+'Model Setup'!$N$8*(SUMIF($AD$3:$BA$3,"&lt;"&amp;$DF21,$B21:$Y21)+SUMIF($AD$3:$BA$3,"&gt;="&amp;$DG21,$B21:$Y21)),
IF(AO$3&lt;$DG21,M21,0))))))))))))))),0)</f>
        <v>15</v>
      </c>
      <c r="AP21" s="47">
        <f>ROUND(IF(AP$3&lt;$DF21,0,
IF(AP$3=$DF21+'Model Setup'!$B$7,SUMIF($AD$3:$BA$3,"="&amp;$DF21+'Model Setup'!$B$7,$B21:$Y21)+'Model Setup'!$B$8*(SUMIF($AD$3:$BA$3,"&lt;"&amp;$DF21,$B21:$Y21)+SUMIF($AD$3:$BA$3,"&gt;="&amp;$DG21,$B21:$Y21)),
IF(AP$3=$DF21+'Model Setup'!$C$7,SUMIF($AD$3:$BA$3,"="&amp;$DF21+'Model Setup'!$C$7,$B21:$Y21)+'Model Setup'!$C$8*(SUMIF($AD$3:$BA$3,"&lt;"&amp;$DF21,$B21:$Y21)+SUMIF($AD$3:$BA$3,"&gt;="&amp;$DG21,$B21:$Y21)),
IF(AP$3=$DF21+'Model Setup'!$D$7,SUMIF($AD$3:$BA$3,"="&amp;$DF21+'Model Setup'!$D$7,$B21:$Y21)+'Model Setup'!$D$8*(SUMIF($AD$3:$BA$3,"&lt;"&amp;$DF21,$B21:$Y21)+SUMIF($AD$3:$BA$3,"&gt;="&amp;$DG21,$B21:$Y21)),
IF(AP$3=$DF21+'Model Setup'!$E$7,SUMIF($AD$3:$BA$3,"="&amp;$DF21+'Model Setup'!$E$7,$B21:$Y21)+'Model Setup'!$E$8*(SUMIF($AD$3:$BA$3,"&lt;"&amp;$DF21,$B21:$Y21)+SUMIF($AD$3:$BA$3,"&gt;="&amp;$DG21,$B21:$Y21)),
IF(AP$3=$DF21+'Model Setup'!$F$7,SUMIF($AD$3:$BA$3,"="&amp;$DF21+'Model Setup'!$F$7,$B21:$Y21)+'Model Setup'!$F$8*(SUMIF($AD$3:$BA$3,"&lt;"&amp;$DF21,$B21:$Y21)+SUMIF($AD$3:$BA$3,"&gt;="&amp;$DG21,$B21:$Y21)),
IF(AP$3=$DF21+'Model Setup'!$G$7,SUMIF($AD$3:$BA$3,"="&amp;$DF21+'Model Setup'!$G$7,$B21:$Y21)+'Model Setup'!$G$8*(SUMIF($AD$3:$BA$3,"&lt;"&amp;$DF21,$B21:$Y21)+SUMIF($AD$3:$BA$3,"&gt;="&amp;$DG21,$B21:$Y21)),
IF(AP$3=$DF21+'Model Setup'!$H$7,SUMIF($AD$3:$BA$3,"="&amp;$DF21+'Model Setup'!$H$7,$B21:$Y21)+'Model Setup'!$H$8*(SUMIF($AD$3:$BA$3,"&lt;"&amp;$DF21,$B21:$Y21)+SUMIF($AD$3:$BA$3,"&gt;="&amp;$DG21,$B21:$Y21)),
IF(AP$3=$DF21+'Model Setup'!$I$7,SUMIF($AD$3:$BA$3,"="&amp;$DF21+'Model Setup'!$I$7,$B21:$Y21)+'Model Setup'!$I$8*(SUMIF($AD$3:$BA$3,"&lt;"&amp;$DF21,$B21:$Y21)+SUMIF($AD$3:$BA$3,"&gt;="&amp;$DG21,$B21:$Y21)),
IF(AP$3=$DF21+'Model Setup'!$J$7,SUMIF($AD$3:$BA$3,"="&amp;$DF21+'Model Setup'!$J$7,$B21:$Y21)+'Model Setup'!$J$8*(SUMIF($AD$3:$BA$3,"&lt;"&amp;$DF21,$B21:$Y21)+SUMIF($AD$3:$BA$3,"&gt;="&amp;$DG21,$B21:$Y21)),
IF(AP$3=$DF21+'Model Setup'!$K$7,SUMIF($AD$3:$BA$3,"="&amp;$DF21+'Model Setup'!$K$7,$B21:$Y21)+'Model Setup'!$K$8*(SUMIF($AD$3:$BA$3,"&lt;"&amp;$DF21,$B21:$Y21)+SUMIF($AD$3:$BA$3,"&gt;="&amp;$DG21,$B21:$Y21)),
IF(AP$3=$DF21+'Model Setup'!$L$7,SUMIF($AD$3:$BA$3,"="&amp;$DF21+'Model Setup'!$L$7,$B21:$Y21)+'Model Setup'!$L$8*(SUMIF($AD$3:$BA$3,"&lt;"&amp;$DF21,$B21:$Y21)+SUMIF($AD$3:$BA$3,"&gt;="&amp;$DG21,$B21:$Y21)),
IF(AP$3=$DF21+'Model Setup'!$M$7,SUMIF($AD$3:$BA$3,"="&amp;$DF21+'Model Setup'!$M$7,$B21:$Y21)+'Model Setup'!$M$8*(SUMIF($AD$3:$BA$3,"&lt;"&amp;$DF21,$B21:$Y21)+SUMIF($AD$3:$BA$3,"&gt;="&amp;$DG21,$B21:$Y21)),
IF(AP$3=$DF21+'Model Setup'!$N$7,SUMIF($AD$3:$BA$3,"="&amp;$DF21+'Model Setup'!$N$7,$B21:$Y21)+'Model Setup'!$N$8*(SUMIF($AD$3:$BA$3,"&lt;"&amp;$DF21,$B21:$Y21)+SUMIF($AD$3:$BA$3,"&gt;="&amp;$DG21,$B21:$Y21)),
IF(AP$3&lt;$DG21,N21,0))))))))))))))),0)</f>
        <v>10</v>
      </c>
      <c r="AQ21" s="47">
        <f>ROUND(IF(AQ$3&lt;$DF21,0,
IF(AQ$3=$DF21+'Model Setup'!$B$7,SUMIF($AD$3:$BA$3,"="&amp;$DF21+'Model Setup'!$B$7,$B21:$Y21)+'Model Setup'!$B$8*(SUMIF($AD$3:$BA$3,"&lt;"&amp;$DF21,$B21:$Y21)+SUMIF($AD$3:$BA$3,"&gt;="&amp;$DG21,$B21:$Y21)),
IF(AQ$3=$DF21+'Model Setup'!$C$7,SUMIF($AD$3:$BA$3,"="&amp;$DF21+'Model Setup'!$C$7,$B21:$Y21)+'Model Setup'!$C$8*(SUMIF($AD$3:$BA$3,"&lt;"&amp;$DF21,$B21:$Y21)+SUMIF($AD$3:$BA$3,"&gt;="&amp;$DG21,$B21:$Y21)),
IF(AQ$3=$DF21+'Model Setup'!$D$7,SUMIF($AD$3:$BA$3,"="&amp;$DF21+'Model Setup'!$D$7,$B21:$Y21)+'Model Setup'!$D$8*(SUMIF($AD$3:$BA$3,"&lt;"&amp;$DF21,$B21:$Y21)+SUMIF($AD$3:$BA$3,"&gt;="&amp;$DG21,$B21:$Y21)),
IF(AQ$3=$DF21+'Model Setup'!$E$7,SUMIF($AD$3:$BA$3,"="&amp;$DF21+'Model Setup'!$E$7,$B21:$Y21)+'Model Setup'!$E$8*(SUMIF($AD$3:$BA$3,"&lt;"&amp;$DF21,$B21:$Y21)+SUMIF($AD$3:$BA$3,"&gt;="&amp;$DG21,$B21:$Y21)),
IF(AQ$3=$DF21+'Model Setup'!$F$7,SUMIF($AD$3:$BA$3,"="&amp;$DF21+'Model Setup'!$F$7,$B21:$Y21)+'Model Setup'!$F$8*(SUMIF($AD$3:$BA$3,"&lt;"&amp;$DF21,$B21:$Y21)+SUMIF($AD$3:$BA$3,"&gt;="&amp;$DG21,$B21:$Y21)),
IF(AQ$3=$DF21+'Model Setup'!$G$7,SUMIF($AD$3:$BA$3,"="&amp;$DF21+'Model Setup'!$G$7,$B21:$Y21)+'Model Setup'!$G$8*(SUMIF($AD$3:$BA$3,"&lt;"&amp;$DF21,$B21:$Y21)+SUMIF($AD$3:$BA$3,"&gt;="&amp;$DG21,$B21:$Y21)),
IF(AQ$3=$DF21+'Model Setup'!$H$7,SUMIF($AD$3:$BA$3,"="&amp;$DF21+'Model Setup'!$H$7,$B21:$Y21)+'Model Setup'!$H$8*(SUMIF($AD$3:$BA$3,"&lt;"&amp;$DF21,$B21:$Y21)+SUMIF($AD$3:$BA$3,"&gt;="&amp;$DG21,$B21:$Y21)),
IF(AQ$3=$DF21+'Model Setup'!$I$7,SUMIF($AD$3:$BA$3,"="&amp;$DF21+'Model Setup'!$I$7,$B21:$Y21)+'Model Setup'!$I$8*(SUMIF($AD$3:$BA$3,"&lt;"&amp;$DF21,$B21:$Y21)+SUMIF($AD$3:$BA$3,"&gt;="&amp;$DG21,$B21:$Y21)),
IF(AQ$3=$DF21+'Model Setup'!$J$7,SUMIF($AD$3:$BA$3,"="&amp;$DF21+'Model Setup'!$J$7,$B21:$Y21)+'Model Setup'!$J$8*(SUMIF($AD$3:$BA$3,"&lt;"&amp;$DF21,$B21:$Y21)+SUMIF($AD$3:$BA$3,"&gt;="&amp;$DG21,$B21:$Y21)),
IF(AQ$3=$DF21+'Model Setup'!$K$7,SUMIF($AD$3:$BA$3,"="&amp;$DF21+'Model Setup'!$K$7,$B21:$Y21)+'Model Setup'!$K$8*(SUMIF($AD$3:$BA$3,"&lt;"&amp;$DF21,$B21:$Y21)+SUMIF($AD$3:$BA$3,"&gt;="&amp;$DG21,$B21:$Y21)),
IF(AQ$3=$DF21+'Model Setup'!$L$7,SUMIF($AD$3:$BA$3,"="&amp;$DF21+'Model Setup'!$L$7,$B21:$Y21)+'Model Setup'!$L$8*(SUMIF($AD$3:$BA$3,"&lt;"&amp;$DF21,$B21:$Y21)+SUMIF($AD$3:$BA$3,"&gt;="&amp;$DG21,$B21:$Y21)),
IF(AQ$3=$DF21+'Model Setup'!$M$7,SUMIF($AD$3:$BA$3,"="&amp;$DF21+'Model Setup'!$M$7,$B21:$Y21)+'Model Setup'!$M$8*(SUMIF($AD$3:$BA$3,"&lt;"&amp;$DF21,$B21:$Y21)+SUMIF($AD$3:$BA$3,"&gt;="&amp;$DG21,$B21:$Y21)),
IF(AQ$3=$DF21+'Model Setup'!$N$7,SUMIF($AD$3:$BA$3,"="&amp;$DF21+'Model Setup'!$N$7,$B21:$Y21)+'Model Setup'!$N$8*(SUMIF($AD$3:$BA$3,"&lt;"&amp;$DF21,$B21:$Y21)+SUMIF($AD$3:$BA$3,"&gt;="&amp;$DG21,$B21:$Y21)),
IF(AQ$3&lt;$DG21,O21,0))))))))))))))),0)</f>
        <v>10</v>
      </c>
      <c r="AR21" s="47">
        <f>ROUND(IF(AR$3&lt;$DF21,0,
IF(AR$3=$DF21+'Model Setup'!$B$7,SUMIF($AD$3:$BA$3,"="&amp;$DF21+'Model Setup'!$B$7,$B21:$Y21)+'Model Setup'!$B$8*(SUMIF($AD$3:$BA$3,"&lt;"&amp;$DF21,$B21:$Y21)+SUMIF($AD$3:$BA$3,"&gt;="&amp;$DG21,$B21:$Y21)),
IF(AR$3=$DF21+'Model Setup'!$C$7,SUMIF($AD$3:$BA$3,"="&amp;$DF21+'Model Setup'!$C$7,$B21:$Y21)+'Model Setup'!$C$8*(SUMIF($AD$3:$BA$3,"&lt;"&amp;$DF21,$B21:$Y21)+SUMIF($AD$3:$BA$3,"&gt;="&amp;$DG21,$B21:$Y21)),
IF(AR$3=$DF21+'Model Setup'!$D$7,SUMIF($AD$3:$BA$3,"="&amp;$DF21+'Model Setup'!$D$7,$B21:$Y21)+'Model Setup'!$D$8*(SUMIF($AD$3:$BA$3,"&lt;"&amp;$DF21,$B21:$Y21)+SUMIF($AD$3:$BA$3,"&gt;="&amp;$DG21,$B21:$Y21)),
IF(AR$3=$DF21+'Model Setup'!$E$7,SUMIF($AD$3:$BA$3,"="&amp;$DF21+'Model Setup'!$E$7,$B21:$Y21)+'Model Setup'!$E$8*(SUMIF($AD$3:$BA$3,"&lt;"&amp;$DF21,$B21:$Y21)+SUMIF($AD$3:$BA$3,"&gt;="&amp;$DG21,$B21:$Y21)),
IF(AR$3=$DF21+'Model Setup'!$F$7,SUMIF($AD$3:$BA$3,"="&amp;$DF21+'Model Setup'!$F$7,$B21:$Y21)+'Model Setup'!$F$8*(SUMIF($AD$3:$BA$3,"&lt;"&amp;$DF21,$B21:$Y21)+SUMIF($AD$3:$BA$3,"&gt;="&amp;$DG21,$B21:$Y21)),
IF(AR$3=$DF21+'Model Setup'!$G$7,SUMIF($AD$3:$BA$3,"="&amp;$DF21+'Model Setup'!$G$7,$B21:$Y21)+'Model Setup'!$G$8*(SUMIF($AD$3:$BA$3,"&lt;"&amp;$DF21,$B21:$Y21)+SUMIF($AD$3:$BA$3,"&gt;="&amp;$DG21,$B21:$Y21)),
IF(AR$3=$DF21+'Model Setup'!$H$7,SUMIF($AD$3:$BA$3,"="&amp;$DF21+'Model Setup'!$H$7,$B21:$Y21)+'Model Setup'!$H$8*(SUMIF($AD$3:$BA$3,"&lt;"&amp;$DF21,$B21:$Y21)+SUMIF($AD$3:$BA$3,"&gt;="&amp;$DG21,$B21:$Y21)),
IF(AR$3=$DF21+'Model Setup'!$I$7,SUMIF($AD$3:$BA$3,"="&amp;$DF21+'Model Setup'!$I$7,$B21:$Y21)+'Model Setup'!$I$8*(SUMIF($AD$3:$BA$3,"&lt;"&amp;$DF21,$B21:$Y21)+SUMIF($AD$3:$BA$3,"&gt;="&amp;$DG21,$B21:$Y21)),
IF(AR$3=$DF21+'Model Setup'!$J$7,SUMIF($AD$3:$BA$3,"="&amp;$DF21+'Model Setup'!$J$7,$B21:$Y21)+'Model Setup'!$J$8*(SUMIF($AD$3:$BA$3,"&lt;"&amp;$DF21,$B21:$Y21)+SUMIF($AD$3:$BA$3,"&gt;="&amp;$DG21,$B21:$Y21)),
IF(AR$3=$DF21+'Model Setup'!$K$7,SUMIF($AD$3:$BA$3,"="&amp;$DF21+'Model Setup'!$K$7,$B21:$Y21)+'Model Setup'!$K$8*(SUMIF($AD$3:$BA$3,"&lt;"&amp;$DF21,$B21:$Y21)+SUMIF($AD$3:$BA$3,"&gt;="&amp;$DG21,$B21:$Y21)),
IF(AR$3=$DF21+'Model Setup'!$L$7,SUMIF($AD$3:$BA$3,"="&amp;$DF21+'Model Setup'!$L$7,$B21:$Y21)+'Model Setup'!$L$8*(SUMIF($AD$3:$BA$3,"&lt;"&amp;$DF21,$B21:$Y21)+SUMIF($AD$3:$BA$3,"&gt;="&amp;$DG21,$B21:$Y21)),
IF(AR$3=$DF21+'Model Setup'!$M$7,SUMIF($AD$3:$BA$3,"="&amp;$DF21+'Model Setup'!$M$7,$B21:$Y21)+'Model Setup'!$M$8*(SUMIF($AD$3:$BA$3,"&lt;"&amp;$DF21,$B21:$Y21)+SUMIF($AD$3:$BA$3,"&gt;="&amp;$DG21,$B21:$Y21)),
IF(AR$3=$DF21+'Model Setup'!$N$7,SUMIF($AD$3:$BA$3,"="&amp;$DF21+'Model Setup'!$N$7,$B21:$Y21)+'Model Setup'!$N$8*(SUMIF($AD$3:$BA$3,"&lt;"&amp;$DF21,$B21:$Y21)+SUMIF($AD$3:$BA$3,"&gt;="&amp;$DG21,$B21:$Y21)),
IF(AR$3&lt;$DG21,P21,0))))))))))))))),0)</f>
        <v>14</v>
      </c>
      <c r="AS21" s="47">
        <f>ROUND(IF(AS$3&lt;$DF21,0,
IF(AS$3=$DF21+'Model Setup'!$B$7,SUMIF($AD$3:$BA$3,"="&amp;$DF21+'Model Setup'!$B$7,$B21:$Y21)+'Model Setup'!$B$8*(SUMIF($AD$3:$BA$3,"&lt;"&amp;$DF21,$B21:$Y21)+SUMIF($AD$3:$BA$3,"&gt;="&amp;$DG21,$B21:$Y21)),
IF(AS$3=$DF21+'Model Setup'!$C$7,SUMIF($AD$3:$BA$3,"="&amp;$DF21+'Model Setup'!$C$7,$B21:$Y21)+'Model Setup'!$C$8*(SUMIF($AD$3:$BA$3,"&lt;"&amp;$DF21,$B21:$Y21)+SUMIF($AD$3:$BA$3,"&gt;="&amp;$DG21,$B21:$Y21)),
IF(AS$3=$DF21+'Model Setup'!$D$7,SUMIF($AD$3:$BA$3,"="&amp;$DF21+'Model Setup'!$D$7,$B21:$Y21)+'Model Setup'!$D$8*(SUMIF($AD$3:$BA$3,"&lt;"&amp;$DF21,$B21:$Y21)+SUMIF($AD$3:$BA$3,"&gt;="&amp;$DG21,$B21:$Y21)),
IF(AS$3=$DF21+'Model Setup'!$E$7,SUMIF($AD$3:$BA$3,"="&amp;$DF21+'Model Setup'!$E$7,$B21:$Y21)+'Model Setup'!$E$8*(SUMIF($AD$3:$BA$3,"&lt;"&amp;$DF21,$B21:$Y21)+SUMIF($AD$3:$BA$3,"&gt;="&amp;$DG21,$B21:$Y21)),
IF(AS$3=$DF21+'Model Setup'!$F$7,SUMIF($AD$3:$BA$3,"="&amp;$DF21+'Model Setup'!$F$7,$B21:$Y21)+'Model Setup'!$F$8*(SUMIF($AD$3:$BA$3,"&lt;"&amp;$DF21,$B21:$Y21)+SUMIF($AD$3:$BA$3,"&gt;="&amp;$DG21,$B21:$Y21)),
IF(AS$3=$DF21+'Model Setup'!$G$7,SUMIF($AD$3:$BA$3,"="&amp;$DF21+'Model Setup'!$G$7,$B21:$Y21)+'Model Setup'!$G$8*(SUMIF($AD$3:$BA$3,"&lt;"&amp;$DF21,$B21:$Y21)+SUMIF($AD$3:$BA$3,"&gt;="&amp;$DG21,$B21:$Y21)),
IF(AS$3=$DF21+'Model Setup'!$H$7,SUMIF($AD$3:$BA$3,"="&amp;$DF21+'Model Setup'!$H$7,$B21:$Y21)+'Model Setup'!$H$8*(SUMIF($AD$3:$BA$3,"&lt;"&amp;$DF21,$B21:$Y21)+SUMIF($AD$3:$BA$3,"&gt;="&amp;$DG21,$B21:$Y21)),
IF(AS$3=$DF21+'Model Setup'!$I$7,SUMIF($AD$3:$BA$3,"="&amp;$DF21+'Model Setup'!$I$7,$B21:$Y21)+'Model Setup'!$I$8*(SUMIF($AD$3:$BA$3,"&lt;"&amp;$DF21,$B21:$Y21)+SUMIF($AD$3:$BA$3,"&gt;="&amp;$DG21,$B21:$Y21)),
IF(AS$3=$DF21+'Model Setup'!$J$7,SUMIF($AD$3:$BA$3,"="&amp;$DF21+'Model Setup'!$J$7,$B21:$Y21)+'Model Setup'!$J$8*(SUMIF($AD$3:$BA$3,"&lt;"&amp;$DF21,$B21:$Y21)+SUMIF($AD$3:$BA$3,"&gt;="&amp;$DG21,$B21:$Y21)),
IF(AS$3=$DF21+'Model Setup'!$K$7,SUMIF($AD$3:$BA$3,"="&amp;$DF21+'Model Setup'!$K$7,$B21:$Y21)+'Model Setup'!$K$8*(SUMIF($AD$3:$BA$3,"&lt;"&amp;$DF21,$B21:$Y21)+SUMIF($AD$3:$BA$3,"&gt;="&amp;$DG21,$B21:$Y21)),
IF(AS$3=$DF21+'Model Setup'!$L$7,SUMIF($AD$3:$BA$3,"="&amp;$DF21+'Model Setup'!$L$7,$B21:$Y21)+'Model Setup'!$L$8*(SUMIF($AD$3:$BA$3,"&lt;"&amp;$DF21,$B21:$Y21)+SUMIF($AD$3:$BA$3,"&gt;="&amp;$DG21,$B21:$Y21)),
IF(AS$3=$DF21+'Model Setup'!$M$7,SUMIF($AD$3:$BA$3,"="&amp;$DF21+'Model Setup'!$M$7,$B21:$Y21)+'Model Setup'!$M$8*(SUMIF($AD$3:$BA$3,"&lt;"&amp;$DF21,$B21:$Y21)+SUMIF($AD$3:$BA$3,"&gt;="&amp;$DG21,$B21:$Y21)),
IF(AS$3=$DF21+'Model Setup'!$N$7,SUMIF($AD$3:$BA$3,"="&amp;$DF21+'Model Setup'!$N$7,$B21:$Y21)+'Model Setup'!$N$8*(SUMIF($AD$3:$BA$3,"&lt;"&amp;$DF21,$B21:$Y21)+SUMIF($AD$3:$BA$3,"&gt;="&amp;$DG21,$B21:$Y21)),
IF(AS$3&lt;$DG21,Q21,0))))))))))))))),0)</f>
        <v>11</v>
      </c>
      <c r="AT21" s="47">
        <f>ROUND(IF(AT$3&lt;$DF21,0,
IF(AT$3=$DF21+'Model Setup'!$B$7,SUMIF($AD$3:$BA$3,"="&amp;$DF21+'Model Setup'!$B$7,$B21:$Y21)+'Model Setup'!$B$8*(SUMIF($AD$3:$BA$3,"&lt;"&amp;$DF21,$B21:$Y21)+SUMIF($AD$3:$BA$3,"&gt;="&amp;$DG21,$B21:$Y21)),
IF(AT$3=$DF21+'Model Setup'!$C$7,SUMIF($AD$3:$BA$3,"="&amp;$DF21+'Model Setup'!$C$7,$B21:$Y21)+'Model Setup'!$C$8*(SUMIF($AD$3:$BA$3,"&lt;"&amp;$DF21,$B21:$Y21)+SUMIF($AD$3:$BA$3,"&gt;="&amp;$DG21,$B21:$Y21)),
IF(AT$3=$DF21+'Model Setup'!$D$7,SUMIF($AD$3:$BA$3,"="&amp;$DF21+'Model Setup'!$D$7,$B21:$Y21)+'Model Setup'!$D$8*(SUMIF($AD$3:$BA$3,"&lt;"&amp;$DF21,$B21:$Y21)+SUMIF($AD$3:$BA$3,"&gt;="&amp;$DG21,$B21:$Y21)),
IF(AT$3=$DF21+'Model Setup'!$E$7,SUMIF($AD$3:$BA$3,"="&amp;$DF21+'Model Setup'!$E$7,$B21:$Y21)+'Model Setup'!$E$8*(SUMIF($AD$3:$BA$3,"&lt;"&amp;$DF21,$B21:$Y21)+SUMIF($AD$3:$BA$3,"&gt;="&amp;$DG21,$B21:$Y21)),
IF(AT$3=$DF21+'Model Setup'!$F$7,SUMIF($AD$3:$BA$3,"="&amp;$DF21+'Model Setup'!$F$7,$B21:$Y21)+'Model Setup'!$F$8*(SUMIF($AD$3:$BA$3,"&lt;"&amp;$DF21,$B21:$Y21)+SUMIF($AD$3:$BA$3,"&gt;="&amp;$DG21,$B21:$Y21)),
IF(AT$3=$DF21+'Model Setup'!$G$7,SUMIF($AD$3:$BA$3,"="&amp;$DF21+'Model Setup'!$G$7,$B21:$Y21)+'Model Setup'!$G$8*(SUMIF($AD$3:$BA$3,"&lt;"&amp;$DF21,$B21:$Y21)+SUMIF($AD$3:$BA$3,"&gt;="&amp;$DG21,$B21:$Y21)),
IF(AT$3=$DF21+'Model Setup'!$H$7,SUMIF($AD$3:$BA$3,"="&amp;$DF21+'Model Setup'!$H$7,$B21:$Y21)+'Model Setup'!$H$8*(SUMIF($AD$3:$BA$3,"&lt;"&amp;$DF21,$B21:$Y21)+SUMIF($AD$3:$BA$3,"&gt;="&amp;$DG21,$B21:$Y21)),
IF(AT$3=$DF21+'Model Setup'!$I$7,SUMIF($AD$3:$BA$3,"="&amp;$DF21+'Model Setup'!$I$7,$B21:$Y21)+'Model Setup'!$I$8*(SUMIF($AD$3:$BA$3,"&lt;"&amp;$DF21,$B21:$Y21)+SUMIF($AD$3:$BA$3,"&gt;="&amp;$DG21,$B21:$Y21)),
IF(AT$3=$DF21+'Model Setup'!$J$7,SUMIF($AD$3:$BA$3,"="&amp;$DF21+'Model Setup'!$J$7,$B21:$Y21)+'Model Setup'!$J$8*(SUMIF($AD$3:$BA$3,"&lt;"&amp;$DF21,$B21:$Y21)+SUMIF($AD$3:$BA$3,"&gt;="&amp;$DG21,$B21:$Y21)),
IF(AT$3=$DF21+'Model Setup'!$K$7,SUMIF($AD$3:$BA$3,"="&amp;$DF21+'Model Setup'!$K$7,$B21:$Y21)+'Model Setup'!$K$8*(SUMIF($AD$3:$BA$3,"&lt;"&amp;$DF21,$B21:$Y21)+SUMIF($AD$3:$BA$3,"&gt;="&amp;$DG21,$B21:$Y21)),
IF(AT$3=$DF21+'Model Setup'!$L$7,SUMIF($AD$3:$BA$3,"="&amp;$DF21+'Model Setup'!$L$7,$B21:$Y21)+'Model Setup'!$L$8*(SUMIF($AD$3:$BA$3,"&lt;"&amp;$DF21,$B21:$Y21)+SUMIF($AD$3:$BA$3,"&gt;="&amp;$DG21,$B21:$Y21)),
IF(AT$3=$DF21+'Model Setup'!$M$7,SUMIF($AD$3:$BA$3,"="&amp;$DF21+'Model Setup'!$M$7,$B21:$Y21)+'Model Setup'!$M$8*(SUMIF($AD$3:$BA$3,"&lt;"&amp;$DF21,$B21:$Y21)+SUMIF($AD$3:$BA$3,"&gt;="&amp;$DG21,$B21:$Y21)),
IF(AT$3=$DF21+'Model Setup'!$N$7,SUMIF($AD$3:$BA$3,"="&amp;$DF21+'Model Setup'!$N$7,$B21:$Y21)+'Model Setup'!$N$8*(SUMIF($AD$3:$BA$3,"&lt;"&amp;$DF21,$B21:$Y21)+SUMIF($AD$3:$BA$3,"&gt;="&amp;$DG21,$B21:$Y21)),
IF(AT$3&lt;$DG21,R21,0))))))))))))))),0)</f>
        <v>8</v>
      </c>
      <c r="AU21" s="47">
        <f>ROUND(IF(AU$3&lt;$DF21,0,
IF(AU$3=$DF21+'Model Setup'!$B$7,SUMIF($AD$3:$BA$3,"="&amp;$DF21+'Model Setup'!$B$7,$B21:$Y21)+'Model Setup'!$B$8*(SUMIF($AD$3:$BA$3,"&lt;"&amp;$DF21,$B21:$Y21)+SUMIF($AD$3:$BA$3,"&gt;="&amp;$DG21,$B21:$Y21)),
IF(AU$3=$DF21+'Model Setup'!$C$7,SUMIF($AD$3:$BA$3,"="&amp;$DF21+'Model Setup'!$C$7,$B21:$Y21)+'Model Setup'!$C$8*(SUMIF($AD$3:$BA$3,"&lt;"&amp;$DF21,$B21:$Y21)+SUMIF($AD$3:$BA$3,"&gt;="&amp;$DG21,$B21:$Y21)),
IF(AU$3=$DF21+'Model Setup'!$D$7,SUMIF($AD$3:$BA$3,"="&amp;$DF21+'Model Setup'!$D$7,$B21:$Y21)+'Model Setup'!$D$8*(SUMIF($AD$3:$BA$3,"&lt;"&amp;$DF21,$B21:$Y21)+SUMIF($AD$3:$BA$3,"&gt;="&amp;$DG21,$B21:$Y21)),
IF(AU$3=$DF21+'Model Setup'!$E$7,SUMIF($AD$3:$BA$3,"="&amp;$DF21+'Model Setup'!$E$7,$B21:$Y21)+'Model Setup'!$E$8*(SUMIF($AD$3:$BA$3,"&lt;"&amp;$DF21,$B21:$Y21)+SUMIF($AD$3:$BA$3,"&gt;="&amp;$DG21,$B21:$Y21)),
IF(AU$3=$DF21+'Model Setup'!$F$7,SUMIF($AD$3:$BA$3,"="&amp;$DF21+'Model Setup'!$F$7,$B21:$Y21)+'Model Setup'!$F$8*(SUMIF($AD$3:$BA$3,"&lt;"&amp;$DF21,$B21:$Y21)+SUMIF($AD$3:$BA$3,"&gt;="&amp;$DG21,$B21:$Y21)),
IF(AU$3=$DF21+'Model Setup'!$G$7,SUMIF($AD$3:$BA$3,"="&amp;$DF21+'Model Setup'!$G$7,$B21:$Y21)+'Model Setup'!$G$8*(SUMIF($AD$3:$BA$3,"&lt;"&amp;$DF21,$B21:$Y21)+SUMIF($AD$3:$BA$3,"&gt;="&amp;$DG21,$B21:$Y21)),
IF(AU$3=$DF21+'Model Setup'!$H$7,SUMIF($AD$3:$BA$3,"="&amp;$DF21+'Model Setup'!$H$7,$B21:$Y21)+'Model Setup'!$H$8*(SUMIF($AD$3:$BA$3,"&lt;"&amp;$DF21,$B21:$Y21)+SUMIF($AD$3:$BA$3,"&gt;="&amp;$DG21,$B21:$Y21)),
IF(AU$3=$DF21+'Model Setup'!$I$7,SUMIF($AD$3:$BA$3,"="&amp;$DF21+'Model Setup'!$I$7,$B21:$Y21)+'Model Setup'!$I$8*(SUMIF($AD$3:$BA$3,"&lt;"&amp;$DF21,$B21:$Y21)+SUMIF($AD$3:$BA$3,"&gt;="&amp;$DG21,$B21:$Y21)),
IF(AU$3=$DF21+'Model Setup'!$J$7,SUMIF($AD$3:$BA$3,"="&amp;$DF21+'Model Setup'!$J$7,$B21:$Y21)+'Model Setup'!$J$8*(SUMIF($AD$3:$BA$3,"&lt;"&amp;$DF21,$B21:$Y21)+SUMIF($AD$3:$BA$3,"&gt;="&amp;$DG21,$B21:$Y21)),
IF(AU$3=$DF21+'Model Setup'!$K$7,SUMIF($AD$3:$BA$3,"="&amp;$DF21+'Model Setup'!$K$7,$B21:$Y21)+'Model Setup'!$K$8*(SUMIF($AD$3:$BA$3,"&lt;"&amp;$DF21,$B21:$Y21)+SUMIF($AD$3:$BA$3,"&gt;="&amp;$DG21,$B21:$Y21)),
IF(AU$3=$DF21+'Model Setup'!$L$7,SUMIF($AD$3:$BA$3,"="&amp;$DF21+'Model Setup'!$L$7,$B21:$Y21)+'Model Setup'!$L$8*(SUMIF($AD$3:$BA$3,"&lt;"&amp;$DF21,$B21:$Y21)+SUMIF($AD$3:$BA$3,"&gt;="&amp;$DG21,$B21:$Y21)),
IF(AU$3=$DF21+'Model Setup'!$M$7,SUMIF($AD$3:$BA$3,"="&amp;$DF21+'Model Setup'!$M$7,$B21:$Y21)+'Model Setup'!$M$8*(SUMIF($AD$3:$BA$3,"&lt;"&amp;$DF21,$B21:$Y21)+SUMIF($AD$3:$BA$3,"&gt;="&amp;$DG21,$B21:$Y21)),
IF(AU$3=$DF21+'Model Setup'!$N$7,SUMIF($AD$3:$BA$3,"="&amp;$DF21+'Model Setup'!$N$7,$B21:$Y21)+'Model Setup'!$N$8*(SUMIF($AD$3:$BA$3,"&lt;"&amp;$DF21,$B21:$Y21)+SUMIF($AD$3:$BA$3,"&gt;="&amp;$DG21,$B21:$Y21)),
IF(AU$3&lt;$DG21,S21,0))))))))))))))),0)</f>
        <v>14</v>
      </c>
      <c r="AV21" s="47">
        <f>ROUND(IF(AV$3&lt;$DF21,0,
IF(AV$3=$DF21+'Model Setup'!$B$7,SUMIF($AD$3:$BA$3,"="&amp;$DF21+'Model Setup'!$B$7,$B21:$Y21)+'Model Setup'!$B$8*(SUMIF($AD$3:$BA$3,"&lt;"&amp;$DF21,$B21:$Y21)+SUMIF($AD$3:$BA$3,"&gt;="&amp;$DG21,$B21:$Y21)),
IF(AV$3=$DF21+'Model Setup'!$C$7,SUMIF($AD$3:$BA$3,"="&amp;$DF21+'Model Setup'!$C$7,$B21:$Y21)+'Model Setup'!$C$8*(SUMIF($AD$3:$BA$3,"&lt;"&amp;$DF21,$B21:$Y21)+SUMIF($AD$3:$BA$3,"&gt;="&amp;$DG21,$B21:$Y21)),
IF(AV$3=$DF21+'Model Setup'!$D$7,SUMIF($AD$3:$BA$3,"="&amp;$DF21+'Model Setup'!$D$7,$B21:$Y21)+'Model Setup'!$D$8*(SUMIF($AD$3:$BA$3,"&lt;"&amp;$DF21,$B21:$Y21)+SUMIF($AD$3:$BA$3,"&gt;="&amp;$DG21,$B21:$Y21)),
IF(AV$3=$DF21+'Model Setup'!$E$7,SUMIF($AD$3:$BA$3,"="&amp;$DF21+'Model Setup'!$E$7,$B21:$Y21)+'Model Setup'!$E$8*(SUMIF($AD$3:$BA$3,"&lt;"&amp;$DF21,$B21:$Y21)+SUMIF($AD$3:$BA$3,"&gt;="&amp;$DG21,$B21:$Y21)),
IF(AV$3=$DF21+'Model Setup'!$F$7,SUMIF($AD$3:$BA$3,"="&amp;$DF21+'Model Setup'!$F$7,$B21:$Y21)+'Model Setup'!$F$8*(SUMIF($AD$3:$BA$3,"&lt;"&amp;$DF21,$B21:$Y21)+SUMIF($AD$3:$BA$3,"&gt;="&amp;$DG21,$B21:$Y21)),
IF(AV$3=$DF21+'Model Setup'!$G$7,SUMIF($AD$3:$BA$3,"="&amp;$DF21+'Model Setup'!$G$7,$B21:$Y21)+'Model Setup'!$G$8*(SUMIF($AD$3:$BA$3,"&lt;"&amp;$DF21,$B21:$Y21)+SUMIF($AD$3:$BA$3,"&gt;="&amp;$DG21,$B21:$Y21)),
IF(AV$3=$DF21+'Model Setup'!$H$7,SUMIF($AD$3:$BA$3,"="&amp;$DF21+'Model Setup'!$H$7,$B21:$Y21)+'Model Setup'!$H$8*(SUMIF($AD$3:$BA$3,"&lt;"&amp;$DF21,$B21:$Y21)+SUMIF($AD$3:$BA$3,"&gt;="&amp;$DG21,$B21:$Y21)),
IF(AV$3=$DF21+'Model Setup'!$I$7,SUMIF($AD$3:$BA$3,"="&amp;$DF21+'Model Setup'!$I$7,$B21:$Y21)+'Model Setup'!$I$8*(SUMIF($AD$3:$BA$3,"&lt;"&amp;$DF21,$B21:$Y21)+SUMIF($AD$3:$BA$3,"&gt;="&amp;$DG21,$B21:$Y21)),
IF(AV$3=$DF21+'Model Setup'!$J$7,SUMIF($AD$3:$BA$3,"="&amp;$DF21+'Model Setup'!$J$7,$B21:$Y21)+'Model Setup'!$J$8*(SUMIF($AD$3:$BA$3,"&lt;"&amp;$DF21,$B21:$Y21)+SUMIF($AD$3:$BA$3,"&gt;="&amp;$DG21,$B21:$Y21)),
IF(AV$3=$DF21+'Model Setup'!$K$7,SUMIF($AD$3:$BA$3,"="&amp;$DF21+'Model Setup'!$K$7,$B21:$Y21)+'Model Setup'!$K$8*(SUMIF($AD$3:$BA$3,"&lt;"&amp;$DF21,$B21:$Y21)+SUMIF($AD$3:$BA$3,"&gt;="&amp;$DG21,$B21:$Y21)),
IF(AV$3=$DF21+'Model Setup'!$L$7,SUMIF($AD$3:$BA$3,"="&amp;$DF21+'Model Setup'!$L$7,$B21:$Y21)+'Model Setup'!$L$8*(SUMIF($AD$3:$BA$3,"&lt;"&amp;$DF21,$B21:$Y21)+SUMIF($AD$3:$BA$3,"&gt;="&amp;$DG21,$B21:$Y21)),
IF(AV$3=$DF21+'Model Setup'!$M$7,SUMIF($AD$3:$BA$3,"="&amp;$DF21+'Model Setup'!$M$7,$B21:$Y21)+'Model Setup'!$M$8*(SUMIF($AD$3:$BA$3,"&lt;"&amp;$DF21,$B21:$Y21)+SUMIF($AD$3:$BA$3,"&gt;="&amp;$DG21,$B21:$Y21)),
IF(AV$3=$DF21+'Model Setup'!$N$7,SUMIF($AD$3:$BA$3,"="&amp;$DF21+'Model Setup'!$N$7,$B21:$Y21)+'Model Setup'!$N$8*(SUMIF($AD$3:$BA$3,"&lt;"&amp;$DF21,$B21:$Y21)+SUMIF($AD$3:$BA$3,"&gt;="&amp;$DG21,$B21:$Y21)),
IF(AV$3&lt;$DG21,T21,0))))))))))))))),0)</f>
        <v>8</v>
      </c>
      <c r="AW21" s="47">
        <f>ROUND(IF(AW$3&lt;$DF21,0,
IF(AW$3=$DF21+'Model Setup'!$B$7,SUMIF($AD$3:$BA$3,"="&amp;$DF21+'Model Setup'!$B$7,$B21:$Y21)+'Model Setup'!$B$8*(SUMIF($AD$3:$BA$3,"&lt;"&amp;$DF21,$B21:$Y21)+SUMIF($AD$3:$BA$3,"&gt;="&amp;$DG21,$B21:$Y21)),
IF(AW$3=$DF21+'Model Setup'!$C$7,SUMIF($AD$3:$BA$3,"="&amp;$DF21+'Model Setup'!$C$7,$B21:$Y21)+'Model Setup'!$C$8*(SUMIF($AD$3:$BA$3,"&lt;"&amp;$DF21,$B21:$Y21)+SUMIF($AD$3:$BA$3,"&gt;="&amp;$DG21,$B21:$Y21)),
IF(AW$3=$DF21+'Model Setup'!$D$7,SUMIF($AD$3:$BA$3,"="&amp;$DF21+'Model Setup'!$D$7,$B21:$Y21)+'Model Setup'!$D$8*(SUMIF($AD$3:$BA$3,"&lt;"&amp;$DF21,$B21:$Y21)+SUMIF($AD$3:$BA$3,"&gt;="&amp;$DG21,$B21:$Y21)),
IF(AW$3=$DF21+'Model Setup'!$E$7,SUMIF($AD$3:$BA$3,"="&amp;$DF21+'Model Setup'!$E$7,$B21:$Y21)+'Model Setup'!$E$8*(SUMIF($AD$3:$BA$3,"&lt;"&amp;$DF21,$B21:$Y21)+SUMIF($AD$3:$BA$3,"&gt;="&amp;$DG21,$B21:$Y21)),
IF(AW$3=$DF21+'Model Setup'!$F$7,SUMIF($AD$3:$BA$3,"="&amp;$DF21+'Model Setup'!$F$7,$B21:$Y21)+'Model Setup'!$F$8*(SUMIF($AD$3:$BA$3,"&lt;"&amp;$DF21,$B21:$Y21)+SUMIF($AD$3:$BA$3,"&gt;="&amp;$DG21,$B21:$Y21)),
IF(AW$3=$DF21+'Model Setup'!$G$7,SUMIF($AD$3:$BA$3,"="&amp;$DF21+'Model Setup'!$G$7,$B21:$Y21)+'Model Setup'!$G$8*(SUMIF($AD$3:$BA$3,"&lt;"&amp;$DF21,$B21:$Y21)+SUMIF($AD$3:$BA$3,"&gt;="&amp;$DG21,$B21:$Y21)),
IF(AW$3=$DF21+'Model Setup'!$H$7,SUMIF($AD$3:$BA$3,"="&amp;$DF21+'Model Setup'!$H$7,$B21:$Y21)+'Model Setup'!$H$8*(SUMIF($AD$3:$BA$3,"&lt;"&amp;$DF21,$B21:$Y21)+SUMIF($AD$3:$BA$3,"&gt;="&amp;$DG21,$B21:$Y21)),
IF(AW$3=$DF21+'Model Setup'!$I$7,SUMIF($AD$3:$BA$3,"="&amp;$DF21+'Model Setup'!$I$7,$B21:$Y21)+'Model Setup'!$I$8*(SUMIF($AD$3:$BA$3,"&lt;"&amp;$DF21,$B21:$Y21)+SUMIF($AD$3:$BA$3,"&gt;="&amp;$DG21,$B21:$Y21)),
IF(AW$3=$DF21+'Model Setup'!$J$7,SUMIF($AD$3:$BA$3,"="&amp;$DF21+'Model Setup'!$J$7,$B21:$Y21)+'Model Setup'!$J$8*(SUMIF($AD$3:$BA$3,"&lt;"&amp;$DF21,$B21:$Y21)+SUMIF($AD$3:$BA$3,"&gt;="&amp;$DG21,$B21:$Y21)),
IF(AW$3=$DF21+'Model Setup'!$K$7,SUMIF($AD$3:$BA$3,"="&amp;$DF21+'Model Setup'!$K$7,$B21:$Y21)+'Model Setup'!$K$8*(SUMIF($AD$3:$BA$3,"&lt;"&amp;$DF21,$B21:$Y21)+SUMIF($AD$3:$BA$3,"&gt;="&amp;$DG21,$B21:$Y21)),
IF(AW$3=$DF21+'Model Setup'!$L$7,SUMIF($AD$3:$BA$3,"="&amp;$DF21+'Model Setup'!$L$7,$B21:$Y21)+'Model Setup'!$L$8*(SUMIF($AD$3:$BA$3,"&lt;"&amp;$DF21,$B21:$Y21)+SUMIF($AD$3:$BA$3,"&gt;="&amp;$DG21,$B21:$Y21)),
IF(AW$3=$DF21+'Model Setup'!$M$7,SUMIF($AD$3:$BA$3,"="&amp;$DF21+'Model Setup'!$M$7,$B21:$Y21)+'Model Setup'!$M$8*(SUMIF($AD$3:$BA$3,"&lt;"&amp;$DF21,$B21:$Y21)+SUMIF($AD$3:$BA$3,"&gt;="&amp;$DG21,$B21:$Y21)),
IF(AW$3=$DF21+'Model Setup'!$N$7,SUMIF($AD$3:$BA$3,"="&amp;$DF21+'Model Setup'!$N$7,$B21:$Y21)+'Model Setup'!$N$8*(SUMIF($AD$3:$BA$3,"&lt;"&amp;$DF21,$B21:$Y21)+SUMIF($AD$3:$BA$3,"&gt;="&amp;$DG21,$B21:$Y21)),
IF(AW$3&lt;$DG21,U21,0))))))))))))))),0)</f>
        <v>0</v>
      </c>
      <c r="AX21" s="47">
        <f>ROUND(IF(AX$3&lt;$DF21,0,
IF(AX$3=$DF21+'Model Setup'!$B$7,SUMIF($AD$3:$BA$3,"="&amp;$DF21+'Model Setup'!$B$7,$B21:$Y21)+'Model Setup'!$B$8*(SUMIF($AD$3:$BA$3,"&lt;"&amp;$DF21,$B21:$Y21)+SUMIF($AD$3:$BA$3,"&gt;="&amp;$DG21,$B21:$Y21)),
IF(AX$3=$DF21+'Model Setup'!$C$7,SUMIF($AD$3:$BA$3,"="&amp;$DF21+'Model Setup'!$C$7,$B21:$Y21)+'Model Setup'!$C$8*(SUMIF($AD$3:$BA$3,"&lt;"&amp;$DF21,$B21:$Y21)+SUMIF($AD$3:$BA$3,"&gt;="&amp;$DG21,$B21:$Y21)),
IF(AX$3=$DF21+'Model Setup'!$D$7,SUMIF($AD$3:$BA$3,"="&amp;$DF21+'Model Setup'!$D$7,$B21:$Y21)+'Model Setup'!$D$8*(SUMIF($AD$3:$BA$3,"&lt;"&amp;$DF21,$B21:$Y21)+SUMIF($AD$3:$BA$3,"&gt;="&amp;$DG21,$B21:$Y21)),
IF(AX$3=$DF21+'Model Setup'!$E$7,SUMIF($AD$3:$BA$3,"="&amp;$DF21+'Model Setup'!$E$7,$B21:$Y21)+'Model Setup'!$E$8*(SUMIF($AD$3:$BA$3,"&lt;"&amp;$DF21,$B21:$Y21)+SUMIF($AD$3:$BA$3,"&gt;="&amp;$DG21,$B21:$Y21)),
IF(AX$3=$DF21+'Model Setup'!$F$7,SUMIF($AD$3:$BA$3,"="&amp;$DF21+'Model Setup'!$F$7,$B21:$Y21)+'Model Setup'!$F$8*(SUMIF($AD$3:$BA$3,"&lt;"&amp;$DF21,$B21:$Y21)+SUMIF($AD$3:$BA$3,"&gt;="&amp;$DG21,$B21:$Y21)),
IF(AX$3=$DF21+'Model Setup'!$G$7,SUMIF($AD$3:$BA$3,"="&amp;$DF21+'Model Setup'!$G$7,$B21:$Y21)+'Model Setup'!$G$8*(SUMIF($AD$3:$BA$3,"&lt;"&amp;$DF21,$B21:$Y21)+SUMIF($AD$3:$BA$3,"&gt;="&amp;$DG21,$B21:$Y21)),
IF(AX$3=$DF21+'Model Setup'!$H$7,SUMIF($AD$3:$BA$3,"="&amp;$DF21+'Model Setup'!$H$7,$B21:$Y21)+'Model Setup'!$H$8*(SUMIF($AD$3:$BA$3,"&lt;"&amp;$DF21,$B21:$Y21)+SUMIF($AD$3:$BA$3,"&gt;="&amp;$DG21,$B21:$Y21)),
IF(AX$3=$DF21+'Model Setup'!$I$7,SUMIF($AD$3:$BA$3,"="&amp;$DF21+'Model Setup'!$I$7,$B21:$Y21)+'Model Setup'!$I$8*(SUMIF($AD$3:$BA$3,"&lt;"&amp;$DF21,$B21:$Y21)+SUMIF($AD$3:$BA$3,"&gt;="&amp;$DG21,$B21:$Y21)),
IF(AX$3=$DF21+'Model Setup'!$J$7,SUMIF($AD$3:$BA$3,"="&amp;$DF21+'Model Setup'!$J$7,$B21:$Y21)+'Model Setup'!$J$8*(SUMIF($AD$3:$BA$3,"&lt;"&amp;$DF21,$B21:$Y21)+SUMIF($AD$3:$BA$3,"&gt;="&amp;$DG21,$B21:$Y21)),
IF(AX$3=$DF21+'Model Setup'!$K$7,SUMIF($AD$3:$BA$3,"="&amp;$DF21+'Model Setup'!$K$7,$B21:$Y21)+'Model Setup'!$K$8*(SUMIF($AD$3:$BA$3,"&lt;"&amp;$DF21,$B21:$Y21)+SUMIF($AD$3:$BA$3,"&gt;="&amp;$DG21,$B21:$Y21)),
IF(AX$3=$DF21+'Model Setup'!$L$7,SUMIF($AD$3:$BA$3,"="&amp;$DF21+'Model Setup'!$L$7,$B21:$Y21)+'Model Setup'!$L$8*(SUMIF($AD$3:$BA$3,"&lt;"&amp;$DF21,$B21:$Y21)+SUMIF($AD$3:$BA$3,"&gt;="&amp;$DG21,$B21:$Y21)),
IF(AX$3=$DF21+'Model Setup'!$M$7,SUMIF($AD$3:$BA$3,"="&amp;$DF21+'Model Setup'!$M$7,$B21:$Y21)+'Model Setup'!$M$8*(SUMIF($AD$3:$BA$3,"&lt;"&amp;$DF21,$B21:$Y21)+SUMIF($AD$3:$BA$3,"&gt;="&amp;$DG21,$B21:$Y21)),
IF(AX$3=$DF21+'Model Setup'!$N$7,SUMIF($AD$3:$BA$3,"="&amp;$DF21+'Model Setup'!$N$7,$B21:$Y21)+'Model Setup'!$N$8*(SUMIF($AD$3:$BA$3,"&lt;"&amp;$DF21,$B21:$Y21)+SUMIF($AD$3:$BA$3,"&gt;="&amp;$DG21,$B21:$Y21)),
IF(AX$3&lt;$DG21,V21,0))))))))))))))),0)</f>
        <v>0</v>
      </c>
      <c r="AY21" s="47">
        <f>ROUND(IF(AY$3&lt;$DF21,0,
IF(AY$3=$DF21+'Model Setup'!$B$7,SUMIF($AD$3:$BA$3,"="&amp;$DF21+'Model Setup'!$B$7,$B21:$Y21)+'Model Setup'!$B$8*(SUMIF($AD$3:$BA$3,"&lt;"&amp;$DF21,$B21:$Y21)+SUMIF($AD$3:$BA$3,"&gt;="&amp;$DG21,$B21:$Y21)),
IF(AY$3=$DF21+'Model Setup'!$C$7,SUMIF($AD$3:$BA$3,"="&amp;$DF21+'Model Setup'!$C$7,$B21:$Y21)+'Model Setup'!$C$8*(SUMIF($AD$3:$BA$3,"&lt;"&amp;$DF21,$B21:$Y21)+SUMIF($AD$3:$BA$3,"&gt;="&amp;$DG21,$B21:$Y21)),
IF(AY$3=$DF21+'Model Setup'!$D$7,SUMIF($AD$3:$BA$3,"="&amp;$DF21+'Model Setup'!$D$7,$B21:$Y21)+'Model Setup'!$D$8*(SUMIF($AD$3:$BA$3,"&lt;"&amp;$DF21,$B21:$Y21)+SUMIF($AD$3:$BA$3,"&gt;="&amp;$DG21,$B21:$Y21)),
IF(AY$3=$DF21+'Model Setup'!$E$7,SUMIF($AD$3:$BA$3,"="&amp;$DF21+'Model Setup'!$E$7,$B21:$Y21)+'Model Setup'!$E$8*(SUMIF($AD$3:$BA$3,"&lt;"&amp;$DF21,$B21:$Y21)+SUMIF($AD$3:$BA$3,"&gt;="&amp;$DG21,$B21:$Y21)),
IF(AY$3=$DF21+'Model Setup'!$F$7,SUMIF($AD$3:$BA$3,"="&amp;$DF21+'Model Setup'!$F$7,$B21:$Y21)+'Model Setup'!$F$8*(SUMIF($AD$3:$BA$3,"&lt;"&amp;$DF21,$B21:$Y21)+SUMIF($AD$3:$BA$3,"&gt;="&amp;$DG21,$B21:$Y21)),
IF(AY$3=$DF21+'Model Setup'!$G$7,SUMIF($AD$3:$BA$3,"="&amp;$DF21+'Model Setup'!$G$7,$B21:$Y21)+'Model Setup'!$G$8*(SUMIF($AD$3:$BA$3,"&lt;"&amp;$DF21,$B21:$Y21)+SUMIF($AD$3:$BA$3,"&gt;="&amp;$DG21,$B21:$Y21)),
IF(AY$3=$DF21+'Model Setup'!$H$7,SUMIF($AD$3:$BA$3,"="&amp;$DF21+'Model Setup'!$H$7,$B21:$Y21)+'Model Setup'!$H$8*(SUMIF($AD$3:$BA$3,"&lt;"&amp;$DF21,$B21:$Y21)+SUMIF($AD$3:$BA$3,"&gt;="&amp;$DG21,$B21:$Y21)),
IF(AY$3=$DF21+'Model Setup'!$I$7,SUMIF($AD$3:$BA$3,"="&amp;$DF21+'Model Setup'!$I$7,$B21:$Y21)+'Model Setup'!$I$8*(SUMIF($AD$3:$BA$3,"&lt;"&amp;$DF21,$B21:$Y21)+SUMIF($AD$3:$BA$3,"&gt;="&amp;$DG21,$B21:$Y21)),
IF(AY$3=$DF21+'Model Setup'!$J$7,SUMIF($AD$3:$BA$3,"="&amp;$DF21+'Model Setup'!$J$7,$B21:$Y21)+'Model Setup'!$J$8*(SUMIF($AD$3:$BA$3,"&lt;"&amp;$DF21,$B21:$Y21)+SUMIF($AD$3:$BA$3,"&gt;="&amp;$DG21,$B21:$Y21)),
IF(AY$3=$DF21+'Model Setup'!$K$7,SUMIF($AD$3:$BA$3,"="&amp;$DF21+'Model Setup'!$K$7,$B21:$Y21)+'Model Setup'!$K$8*(SUMIF($AD$3:$BA$3,"&lt;"&amp;$DF21,$B21:$Y21)+SUMIF($AD$3:$BA$3,"&gt;="&amp;$DG21,$B21:$Y21)),
IF(AY$3=$DF21+'Model Setup'!$L$7,SUMIF($AD$3:$BA$3,"="&amp;$DF21+'Model Setup'!$L$7,$B21:$Y21)+'Model Setup'!$L$8*(SUMIF($AD$3:$BA$3,"&lt;"&amp;$DF21,$B21:$Y21)+SUMIF($AD$3:$BA$3,"&gt;="&amp;$DG21,$B21:$Y21)),
IF(AY$3=$DF21+'Model Setup'!$M$7,SUMIF($AD$3:$BA$3,"="&amp;$DF21+'Model Setup'!$M$7,$B21:$Y21)+'Model Setup'!$M$8*(SUMIF($AD$3:$BA$3,"&lt;"&amp;$DF21,$B21:$Y21)+SUMIF($AD$3:$BA$3,"&gt;="&amp;$DG21,$B21:$Y21)),
IF(AY$3=$DF21+'Model Setup'!$N$7,SUMIF($AD$3:$BA$3,"="&amp;$DF21+'Model Setup'!$N$7,$B21:$Y21)+'Model Setup'!$N$8*(SUMIF($AD$3:$BA$3,"&lt;"&amp;$DF21,$B21:$Y21)+SUMIF($AD$3:$BA$3,"&gt;="&amp;$DG21,$B21:$Y21)),
IF(AY$3&lt;$DG21,W21,0))))))))))))))),0)</f>
        <v>0</v>
      </c>
      <c r="AZ21" s="47">
        <f>ROUND(IF(AZ$3&lt;$DF21,0,
IF(AZ$3=$DF21+'Model Setup'!$B$7,SUMIF($AD$3:$BA$3,"="&amp;$DF21+'Model Setup'!$B$7,$B21:$Y21)+'Model Setup'!$B$8*(SUMIF($AD$3:$BA$3,"&lt;"&amp;$DF21,$B21:$Y21)+SUMIF($AD$3:$BA$3,"&gt;="&amp;$DG21,$B21:$Y21)),
IF(AZ$3=$DF21+'Model Setup'!$C$7,SUMIF($AD$3:$BA$3,"="&amp;$DF21+'Model Setup'!$C$7,$B21:$Y21)+'Model Setup'!$C$8*(SUMIF($AD$3:$BA$3,"&lt;"&amp;$DF21,$B21:$Y21)+SUMIF($AD$3:$BA$3,"&gt;="&amp;$DG21,$B21:$Y21)),
IF(AZ$3=$DF21+'Model Setup'!$D$7,SUMIF($AD$3:$BA$3,"="&amp;$DF21+'Model Setup'!$D$7,$B21:$Y21)+'Model Setup'!$D$8*(SUMIF($AD$3:$BA$3,"&lt;"&amp;$DF21,$B21:$Y21)+SUMIF($AD$3:$BA$3,"&gt;="&amp;$DG21,$B21:$Y21)),
IF(AZ$3=$DF21+'Model Setup'!$E$7,SUMIF($AD$3:$BA$3,"="&amp;$DF21+'Model Setup'!$E$7,$B21:$Y21)+'Model Setup'!$E$8*(SUMIF($AD$3:$BA$3,"&lt;"&amp;$DF21,$B21:$Y21)+SUMIF($AD$3:$BA$3,"&gt;="&amp;$DG21,$B21:$Y21)),
IF(AZ$3=$DF21+'Model Setup'!$F$7,SUMIF($AD$3:$BA$3,"="&amp;$DF21+'Model Setup'!$F$7,$B21:$Y21)+'Model Setup'!$F$8*(SUMIF($AD$3:$BA$3,"&lt;"&amp;$DF21,$B21:$Y21)+SUMIF($AD$3:$BA$3,"&gt;="&amp;$DG21,$B21:$Y21)),
IF(AZ$3=$DF21+'Model Setup'!$G$7,SUMIF($AD$3:$BA$3,"="&amp;$DF21+'Model Setup'!$G$7,$B21:$Y21)+'Model Setup'!$G$8*(SUMIF($AD$3:$BA$3,"&lt;"&amp;$DF21,$B21:$Y21)+SUMIF($AD$3:$BA$3,"&gt;="&amp;$DG21,$B21:$Y21)),
IF(AZ$3=$DF21+'Model Setup'!$H$7,SUMIF($AD$3:$BA$3,"="&amp;$DF21+'Model Setup'!$H$7,$B21:$Y21)+'Model Setup'!$H$8*(SUMIF($AD$3:$BA$3,"&lt;"&amp;$DF21,$B21:$Y21)+SUMIF($AD$3:$BA$3,"&gt;="&amp;$DG21,$B21:$Y21)),
IF(AZ$3=$DF21+'Model Setup'!$I$7,SUMIF($AD$3:$BA$3,"="&amp;$DF21+'Model Setup'!$I$7,$B21:$Y21)+'Model Setup'!$I$8*(SUMIF($AD$3:$BA$3,"&lt;"&amp;$DF21,$B21:$Y21)+SUMIF($AD$3:$BA$3,"&gt;="&amp;$DG21,$B21:$Y21)),
IF(AZ$3=$DF21+'Model Setup'!$J$7,SUMIF($AD$3:$BA$3,"="&amp;$DF21+'Model Setup'!$J$7,$B21:$Y21)+'Model Setup'!$J$8*(SUMIF($AD$3:$BA$3,"&lt;"&amp;$DF21,$B21:$Y21)+SUMIF($AD$3:$BA$3,"&gt;="&amp;$DG21,$B21:$Y21)),
IF(AZ$3=$DF21+'Model Setup'!$K$7,SUMIF($AD$3:$BA$3,"="&amp;$DF21+'Model Setup'!$K$7,$B21:$Y21)+'Model Setup'!$K$8*(SUMIF($AD$3:$BA$3,"&lt;"&amp;$DF21,$B21:$Y21)+SUMIF($AD$3:$BA$3,"&gt;="&amp;$DG21,$B21:$Y21)),
IF(AZ$3=$DF21+'Model Setup'!$L$7,SUMIF($AD$3:$BA$3,"="&amp;$DF21+'Model Setup'!$L$7,$B21:$Y21)+'Model Setup'!$L$8*(SUMIF($AD$3:$BA$3,"&lt;"&amp;$DF21,$B21:$Y21)+SUMIF($AD$3:$BA$3,"&gt;="&amp;$DG21,$B21:$Y21)),
IF(AZ$3=$DF21+'Model Setup'!$M$7,SUMIF($AD$3:$BA$3,"="&amp;$DF21+'Model Setup'!$M$7,$B21:$Y21)+'Model Setup'!$M$8*(SUMIF($AD$3:$BA$3,"&lt;"&amp;$DF21,$B21:$Y21)+SUMIF($AD$3:$BA$3,"&gt;="&amp;$DG21,$B21:$Y21)),
IF(AZ$3=$DF21+'Model Setup'!$N$7,SUMIF($AD$3:$BA$3,"="&amp;$DF21+'Model Setup'!$N$7,$B21:$Y21)+'Model Setup'!$N$8*(SUMIF($AD$3:$BA$3,"&lt;"&amp;$DF21,$B21:$Y21)+SUMIF($AD$3:$BA$3,"&gt;="&amp;$DG21,$B21:$Y21)),
IF(AZ$3&lt;$DG21,X21,0))))))))))))))),0)</f>
        <v>0</v>
      </c>
      <c r="BA21" s="47">
        <f>ROUND(IF(BA$3&lt;$DF21,0,
IF(BA$3=$DF21+'Model Setup'!$B$7,SUMIF($AD$3:$BA$3,"="&amp;$DF21+'Model Setup'!$B$7,$B21:$Y21)+'Model Setup'!$B$8*(SUMIF($AD$3:$BA$3,"&lt;"&amp;$DF21,$B21:$Y21)+SUMIF($AD$3:$BA$3,"&gt;="&amp;$DG21,$B21:$Y21)),
IF(BA$3=$DF21+'Model Setup'!$C$7,SUMIF($AD$3:$BA$3,"="&amp;$DF21+'Model Setup'!$C$7,$B21:$Y21)+'Model Setup'!$C$8*(SUMIF($AD$3:$BA$3,"&lt;"&amp;$DF21,$B21:$Y21)+SUMIF($AD$3:$BA$3,"&gt;="&amp;$DG21,$B21:$Y21)),
IF(BA$3=$DF21+'Model Setup'!$D$7,SUMIF($AD$3:$BA$3,"="&amp;$DF21+'Model Setup'!$D$7,$B21:$Y21)+'Model Setup'!$D$8*(SUMIF($AD$3:$BA$3,"&lt;"&amp;$DF21,$B21:$Y21)+SUMIF($AD$3:$BA$3,"&gt;="&amp;$DG21,$B21:$Y21)),
IF(BA$3=$DF21+'Model Setup'!$E$7,SUMIF($AD$3:$BA$3,"="&amp;$DF21+'Model Setup'!$E$7,$B21:$Y21)+'Model Setup'!$E$8*(SUMIF($AD$3:$BA$3,"&lt;"&amp;$DF21,$B21:$Y21)+SUMIF($AD$3:$BA$3,"&gt;="&amp;$DG21,$B21:$Y21)),
IF(BA$3=$DF21+'Model Setup'!$F$7,SUMIF($AD$3:$BA$3,"="&amp;$DF21+'Model Setup'!$F$7,$B21:$Y21)+'Model Setup'!$F$8*(SUMIF($AD$3:$BA$3,"&lt;"&amp;$DF21,$B21:$Y21)+SUMIF($AD$3:$BA$3,"&gt;="&amp;$DG21,$B21:$Y21)),
IF(BA$3=$DF21+'Model Setup'!$G$7,SUMIF($AD$3:$BA$3,"="&amp;$DF21+'Model Setup'!$G$7,$B21:$Y21)+'Model Setup'!$G$8*(SUMIF($AD$3:$BA$3,"&lt;"&amp;$DF21,$B21:$Y21)+SUMIF($AD$3:$BA$3,"&gt;="&amp;$DG21,$B21:$Y21)),
IF(BA$3=$DF21+'Model Setup'!$H$7,SUMIF($AD$3:$BA$3,"="&amp;$DF21+'Model Setup'!$H$7,$B21:$Y21)+'Model Setup'!$H$8*(SUMIF($AD$3:$BA$3,"&lt;"&amp;$DF21,$B21:$Y21)+SUMIF($AD$3:$BA$3,"&gt;="&amp;$DG21,$B21:$Y21)),
IF(BA$3=$DF21+'Model Setup'!$I$7,SUMIF($AD$3:$BA$3,"="&amp;$DF21+'Model Setup'!$I$7,$B21:$Y21)+'Model Setup'!$I$8*(SUMIF($AD$3:$BA$3,"&lt;"&amp;$DF21,$B21:$Y21)+SUMIF($AD$3:$BA$3,"&gt;="&amp;$DG21,$B21:$Y21)),
IF(BA$3=$DF21+'Model Setup'!$J$7,SUMIF($AD$3:$BA$3,"="&amp;$DF21+'Model Setup'!$J$7,$B21:$Y21)+'Model Setup'!$J$8*(SUMIF($AD$3:$BA$3,"&lt;"&amp;$DF21,$B21:$Y21)+SUMIF($AD$3:$BA$3,"&gt;="&amp;$DG21,$B21:$Y21)),
IF(BA$3=$DF21+'Model Setup'!$K$7,SUMIF($AD$3:$BA$3,"="&amp;$DF21+'Model Setup'!$K$7,$B21:$Y21)+'Model Setup'!$K$8*(SUMIF($AD$3:$BA$3,"&lt;"&amp;$DF21,$B21:$Y21)+SUMIF($AD$3:$BA$3,"&gt;="&amp;$DG21,$B21:$Y21)),
IF(BA$3=$DF21+'Model Setup'!$L$7,SUMIF($AD$3:$BA$3,"="&amp;$DF21+'Model Setup'!$L$7,$B21:$Y21)+'Model Setup'!$L$8*(SUMIF($AD$3:$BA$3,"&lt;"&amp;$DF21,$B21:$Y21)+SUMIF($AD$3:$BA$3,"&gt;="&amp;$DG21,$B21:$Y21)),
IF(BA$3=$DF21+'Model Setup'!$M$7,SUMIF($AD$3:$BA$3,"="&amp;$DF21+'Model Setup'!$M$7,$B21:$Y21)+'Model Setup'!$M$8*(SUMIF($AD$3:$BA$3,"&lt;"&amp;$DF21,$B21:$Y21)+SUMIF($AD$3:$BA$3,"&gt;="&amp;$DG21,$B21:$Y21)),
IF(BA$3=$DF21+'Model Setup'!$N$7,SUMIF($AD$3:$BA$3,"="&amp;$DF21+'Model Setup'!$N$7,$B21:$Y21)+'Model Setup'!$N$8*(SUMIF($AD$3:$BA$3,"&lt;"&amp;$DF21,$B21:$Y21)+SUMIF($AD$3:$BA$3,"&gt;="&amp;$DG21,$B21:$Y21)),
IF(BA$3&lt;$DG21,Y21,0))))))))))))))),0)</f>
        <v>0</v>
      </c>
      <c r="BB21" s="47">
        <f t="shared" si="1"/>
        <v>223</v>
      </c>
      <c r="BD21" t="b">
        <f t="shared" si="2"/>
        <v>1</v>
      </c>
      <c r="BE21">
        <f t="shared" si="8"/>
        <v>0</v>
      </c>
      <c r="BF21">
        <f>(FTC!F19-FTC!E19)*24</f>
        <v>13</v>
      </c>
      <c r="BG21" s="43" t="s">
        <v>36</v>
      </c>
      <c r="BH21" s="47">
        <f>ROUND(IF(OR(BH$3&lt;$DF21,BH$3&gt;$CW$4),0,
IF(BH$3=$DF21+'Model Setup'!$B$7,SUMIF($BH$3:$CE$3,"="&amp;$DF21+'Model Setup'!$B$7,$AD21:$BA21)+'Model Setup'!$B$8*(SUMIF($BH$3:$CE$3,"&lt;"&amp;$DF21,$AD21:$BA21)+SUMIF($BH$3:$CE$3,"&gt;"&amp;$CW$4,$AD21:$BA21)),
IF(BH$3=$DF21+'Model Setup'!$C$7,SUMIF($BH$3:$CE$3,"="&amp;$DF21+'Model Setup'!$C$7,$AD21:$BA21)+'Model Setup'!$C$8*(SUMIF($BH$3:$CE$3,"&lt;"&amp;$DF21,$AD21:$BA21)+SUMIF($BH$3:$CE$3,"&gt;"&amp;$CW$4,$AD21:$BA21)),
IF(BH$3=$DF21+'Model Setup'!$D$7,SUMIF($BH$3:$CE$3,"="&amp;$DF21+'Model Setup'!$D$7,$AD21:$BA21)+'Model Setup'!$D$8*(SUMIF($BH$3:$CE$3,"&lt;"&amp;$DF21,$AD21:$BA21)+SUMIF($BH$3:$CE$3,"&gt;"&amp;$CW$4,$AD21:$BA21)),
IF(BH$3=$DF21+'Model Setup'!$E$7,SUMIF($BH$3:$CE$3,"="&amp;$DF21+'Model Setup'!$E$7,$AD21:$BA21)+'Model Setup'!$E$8*(SUMIF($BH$3:$CE$3,"&lt;"&amp;$DF21,$AD21:$BA21)+SUMIF($BH$3:$CE$3,"&gt;"&amp;$CW$4,$AD21:$BA21)),
IF(BH$3=$DF21+'Model Setup'!$F$7,SUMIF($BH$3:$CE$3,"="&amp;$DF21+'Model Setup'!$F$7,$AD21:$BA21)+'Model Setup'!$F$8*(SUMIF($BH$3:$CE$3,"&lt;"&amp;$DF21,$AD21:$BA21)+SUMIF($BH$3:$CE$3,"&gt;"&amp;$CW$4,$AD21:$BA21)),
IF(BH$3=$DF21+'Model Setup'!$G$7,SUMIF($BH$3:$CE$3,"="&amp;$DF21+'Model Setup'!$G$7,$AD21:$BA21)+'Model Setup'!$G$8*(SUMIF($BH$3:$CE$3,"&lt;"&amp;$DF21,$AD21:$BA21)+SUMIF($BH$3:$CE$3,"&gt;"&amp;$CW$4,$AD21:$BA21)),
IF(BH$3=$DF21+'Model Setup'!$H$7,SUMIF($BH$3:$CE$3,"="&amp;$DF21+'Model Setup'!$H$7,$AD21:$BA21)+'Model Setup'!$H$8*(SUMIF($BH$3:$CE$3,"&lt;"&amp;$DF21,$AD21:$BA21)+SUMIF($BH$3:$CE$3,"&gt;"&amp;$CW$4,$AD21:$BA21)),
IF(BH$3=$DF21+'Model Setup'!$I$7,SUMIF($BH$3:$CE$3,"="&amp;$DF21+'Model Setup'!$I$7,$AD21:$BA21)+'Model Setup'!$I$8*(SUMIF($BH$3:$CE$3,"&lt;"&amp;$DF21,$AD21:$BA21)+SUMIF($BH$3:$CE$3,"&gt;"&amp;$CW$4,$AD21:$BA21)),
IF(BH$3=$DF21+'Model Setup'!$J$7,SUMIF($BH$3:$CE$3,"="&amp;$DF21+'Model Setup'!$J$7,$AD21:$BA21)+'Model Setup'!$J$8*(SUMIF($BH$3:$CE$3,"&lt;"&amp;$DF21,$AD21:$BA21)+SUMIF($BH$3:$CE$3,"&gt;"&amp;$CW$4,$AD21:$BA21)),
IF(BH$3=$DF21+'Model Setup'!$K$7,SUMIF($BH$3:$CE$3,"="&amp;$DF21+'Model Setup'!$K$7,$AD21:$BA21)+'Model Setup'!$K$8*(SUMIF($BH$3:$CE$3,"&lt;"&amp;$DF21,$AD21:$BA21)+SUMIF($BH$3:$CE$3,"&gt;"&amp;$CW$4,$AD21:$BA21)),
IF(BH$3=$DF21+'Model Setup'!$L$7,SUMIF($BH$3:$CE$3,"="&amp;$DF21+'Model Setup'!$L$7,$AD21:$BA21)+'Model Setup'!$L$8*(SUMIF($BH$3:$CE$3,"&lt;"&amp;$DF21,$AD21:$BA21)+SUMIF($BH$3:$CE$3,"&gt;"&amp;$CW$4,$AD21:$BA21)),
IF(BH$3=$DF21+'Model Setup'!$M$7,SUMIF($BH$3:$CE$3,"="&amp;$DF21+'Model Setup'!$M$7,$AD21:$BA21)+'Model Setup'!$M$8*(SUMIF($BH$3:$CE$3,"&lt;"&amp;$DF21,$AD21:$BA21)+SUMIF($BH$3:$CE$3,"&gt;"&amp;$CW$4,$AD21:$BA21)),
IF(BH$3=$DF21+'Model Setup'!$N$7,SUMIF($BH$3:$CE$3,"="&amp;$DF21+'Model Setup'!$N$7,$AD21:$BA21)+'Model Setup'!$N$8*(SUMIF($BH$3:$CE$3,"&lt;"&amp;$DF21,$AD21:$BA21)+SUMIF($BH$3:$CE$3,"&gt;"&amp;$CW$4,$AD21:$BA21)),
IF(BH$3&lt;$CW$4,B21,0))))))))))))))),0)</f>
        <v>0</v>
      </c>
      <c r="BI21" s="47">
        <f>ROUND(IF(OR(BI$3&lt;$DF21,BI$3&gt;$CW$4),0,
IF(BI$3=$DF21+'Model Setup'!$B$7,SUMIF($BH$3:$CE$3,"="&amp;$DF21+'Model Setup'!$B$7,$AD21:$BA21)+'Model Setup'!$B$8*(SUMIF($BH$3:$CE$3,"&lt;"&amp;$DF21,$AD21:$BA21)+SUMIF($BH$3:$CE$3,"&gt;"&amp;$CW$4,$AD21:$BA21)),
IF(BI$3=$DF21+'Model Setup'!$C$7,SUMIF($BH$3:$CE$3,"="&amp;$DF21+'Model Setup'!$C$7,$AD21:$BA21)+'Model Setup'!$C$8*(SUMIF($BH$3:$CE$3,"&lt;"&amp;$DF21,$AD21:$BA21)+SUMIF($BH$3:$CE$3,"&gt;"&amp;$CW$4,$AD21:$BA21)),
IF(BI$3=$DF21+'Model Setup'!$D$7,SUMIF($BH$3:$CE$3,"="&amp;$DF21+'Model Setup'!$D$7,$AD21:$BA21)+'Model Setup'!$D$8*(SUMIF($BH$3:$CE$3,"&lt;"&amp;$DF21,$AD21:$BA21)+SUMIF($BH$3:$CE$3,"&gt;"&amp;$CW$4,$AD21:$BA21)),
IF(BI$3=$DF21+'Model Setup'!$E$7,SUMIF($BH$3:$CE$3,"="&amp;$DF21+'Model Setup'!$E$7,$AD21:$BA21)+'Model Setup'!$E$8*(SUMIF($BH$3:$CE$3,"&lt;"&amp;$DF21,$AD21:$BA21)+SUMIF($BH$3:$CE$3,"&gt;"&amp;$CW$4,$AD21:$BA21)),
IF(BI$3=$DF21+'Model Setup'!$F$7,SUMIF($BH$3:$CE$3,"="&amp;$DF21+'Model Setup'!$F$7,$AD21:$BA21)+'Model Setup'!$F$8*(SUMIF($BH$3:$CE$3,"&lt;"&amp;$DF21,$AD21:$BA21)+SUMIF($BH$3:$CE$3,"&gt;"&amp;$CW$4,$AD21:$BA21)),
IF(BI$3=$DF21+'Model Setup'!$G$7,SUMIF($BH$3:$CE$3,"="&amp;$DF21+'Model Setup'!$G$7,$AD21:$BA21)+'Model Setup'!$G$8*(SUMIF($BH$3:$CE$3,"&lt;"&amp;$DF21,$AD21:$BA21)+SUMIF($BH$3:$CE$3,"&gt;"&amp;$CW$4,$AD21:$BA21)),
IF(BI$3=$DF21+'Model Setup'!$H$7,SUMIF($BH$3:$CE$3,"="&amp;$DF21+'Model Setup'!$H$7,$AD21:$BA21)+'Model Setup'!$H$8*(SUMIF($BH$3:$CE$3,"&lt;"&amp;$DF21,$AD21:$BA21)+SUMIF($BH$3:$CE$3,"&gt;"&amp;$CW$4,$AD21:$BA21)),
IF(BI$3=$DF21+'Model Setup'!$I$7,SUMIF($BH$3:$CE$3,"="&amp;$DF21+'Model Setup'!$I$7,$AD21:$BA21)+'Model Setup'!$I$8*(SUMIF($BH$3:$CE$3,"&lt;"&amp;$DF21,$AD21:$BA21)+SUMIF($BH$3:$CE$3,"&gt;"&amp;$CW$4,$AD21:$BA21)),
IF(BI$3=$DF21+'Model Setup'!$J$7,SUMIF($BH$3:$CE$3,"="&amp;$DF21+'Model Setup'!$J$7,$AD21:$BA21)+'Model Setup'!$J$8*(SUMIF($BH$3:$CE$3,"&lt;"&amp;$DF21,$AD21:$BA21)+SUMIF($BH$3:$CE$3,"&gt;"&amp;$CW$4,$AD21:$BA21)),
IF(BI$3=$DF21+'Model Setup'!$K$7,SUMIF($BH$3:$CE$3,"="&amp;$DF21+'Model Setup'!$K$7,$AD21:$BA21)+'Model Setup'!$K$8*(SUMIF($BH$3:$CE$3,"&lt;"&amp;$DF21,$AD21:$BA21)+SUMIF($BH$3:$CE$3,"&gt;"&amp;$CW$4,$AD21:$BA21)),
IF(BI$3=$DF21+'Model Setup'!$L$7,SUMIF($BH$3:$CE$3,"="&amp;$DF21+'Model Setup'!$L$7,$AD21:$BA21)+'Model Setup'!$L$8*(SUMIF($BH$3:$CE$3,"&lt;"&amp;$DF21,$AD21:$BA21)+SUMIF($BH$3:$CE$3,"&gt;"&amp;$CW$4,$AD21:$BA21)),
IF(BI$3=$DF21+'Model Setup'!$M$7,SUMIF($BH$3:$CE$3,"="&amp;$DF21+'Model Setup'!$M$7,$AD21:$BA21)+'Model Setup'!$M$8*(SUMIF($BH$3:$CE$3,"&lt;"&amp;$DF21,$AD21:$BA21)+SUMIF($BH$3:$CE$3,"&gt;"&amp;$CW$4,$AD21:$BA21)),
IF(BI$3=$DF21+'Model Setup'!$N$7,SUMIF($BH$3:$CE$3,"="&amp;$DF21+'Model Setup'!$N$7,$AD21:$BA21)+'Model Setup'!$N$8*(SUMIF($BH$3:$CE$3,"&lt;"&amp;$DF21,$AD21:$BA21)+SUMIF($BH$3:$CE$3,"&gt;"&amp;$CW$4,$AD21:$BA21)),
IF(BI$3&lt;$CW$4,C21,0))))))))))))))),0)</f>
        <v>0</v>
      </c>
      <c r="BJ21" s="47">
        <f>ROUND(IF(OR(BJ$3&lt;$DF21,BJ$3&gt;$CW$4),0,
IF(BJ$3=$DF21+'Model Setup'!$B$7,SUMIF($BH$3:$CE$3,"="&amp;$DF21+'Model Setup'!$B$7,$AD21:$BA21)+'Model Setup'!$B$8*(SUMIF($BH$3:$CE$3,"&lt;"&amp;$DF21,$AD21:$BA21)+SUMIF($BH$3:$CE$3,"&gt;"&amp;$CW$4,$AD21:$BA21)),
IF(BJ$3=$DF21+'Model Setup'!$C$7,SUMIF($BH$3:$CE$3,"="&amp;$DF21+'Model Setup'!$C$7,$AD21:$BA21)+'Model Setup'!$C$8*(SUMIF($BH$3:$CE$3,"&lt;"&amp;$DF21,$AD21:$BA21)+SUMIF($BH$3:$CE$3,"&gt;"&amp;$CW$4,$AD21:$BA21)),
IF(BJ$3=$DF21+'Model Setup'!$D$7,SUMIF($BH$3:$CE$3,"="&amp;$DF21+'Model Setup'!$D$7,$AD21:$BA21)+'Model Setup'!$D$8*(SUMIF($BH$3:$CE$3,"&lt;"&amp;$DF21,$AD21:$BA21)+SUMIF($BH$3:$CE$3,"&gt;"&amp;$CW$4,$AD21:$BA21)),
IF(BJ$3=$DF21+'Model Setup'!$E$7,SUMIF($BH$3:$CE$3,"="&amp;$DF21+'Model Setup'!$E$7,$AD21:$BA21)+'Model Setup'!$E$8*(SUMIF($BH$3:$CE$3,"&lt;"&amp;$DF21,$AD21:$BA21)+SUMIF($BH$3:$CE$3,"&gt;"&amp;$CW$4,$AD21:$BA21)),
IF(BJ$3=$DF21+'Model Setup'!$F$7,SUMIF($BH$3:$CE$3,"="&amp;$DF21+'Model Setup'!$F$7,$AD21:$BA21)+'Model Setup'!$F$8*(SUMIF($BH$3:$CE$3,"&lt;"&amp;$DF21,$AD21:$BA21)+SUMIF($BH$3:$CE$3,"&gt;"&amp;$CW$4,$AD21:$BA21)),
IF(BJ$3=$DF21+'Model Setup'!$G$7,SUMIF($BH$3:$CE$3,"="&amp;$DF21+'Model Setup'!$G$7,$AD21:$BA21)+'Model Setup'!$G$8*(SUMIF($BH$3:$CE$3,"&lt;"&amp;$DF21,$AD21:$BA21)+SUMIF($BH$3:$CE$3,"&gt;"&amp;$CW$4,$AD21:$BA21)),
IF(BJ$3=$DF21+'Model Setup'!$H$7,SUMIF($BH$3:$CE$3,"="&amp;$DF21+'Model Setup'!$H$7,$AD21:$BA21)+'Model Setup'!$H$8*(SUMIF($BH$3:$CE$3,"&lt;"&amp;$DF21,$AD21:$BA21)+SUMIF($BH$3:$CE$3,"&gt;"&amp;$CW$4,$AD21:$BA21)),
IF(BJ$3=$DF21+'Model Setup'!$I$7,SUMIF($BH$3:$CE$3,"="&amp;$DF21+'Model Setup'!$I$7,$AD21:$BA21)+'Model Setup'!$I$8*(SUMIF($BH$3:$CE$3,"&lt;"&amp;$DF21,$AD21:$BA21)+SUMIF($BH$3:$CE$3,"&gt;"&amp;$CW$4,$AD21:$BA21)),
IF(BJ$3=$DF21+'Model Setup'!$J$7,SUMIF($BH$3:$CE$3,"="&amp;$DF21+'Model Setup'!$J$7,$AD21:$BA21)+'Model Setup'!$J$8*(SUMIF($BH$3:$CE$3,"&lt;"&amp;$DF21,$AD21:$BA21)+SUMIF($BH$3:$CE$3,"&gt;"&amp;$CW$4,$AD21:$BA21)),
IF(BJ$3=$DF21+'Model Setup'!$K$7,SUMIF($BH$3:$CE$3,"="&amp;$DF21+'Model Setup'!$K$7,$AD21:$BA21)+'Model Setup'!$K$8*(SUMIF($BH$3:$CE$3,"&lt;"&amp;$DF21,$AD21:$BA21)+SUMIF($BH$3:$CE$3,"&gt;"&amp;$CW$4,$AD21:$BA21)),
IF(BJ$3=$DF21+'Model Setup'!$L$7,SUMIF($BH$3:$CE$3,"="&amp;$DF21+'Model Setup'!$L$7,$AD21:$BA21)+'Model Setup'!$L$8*(SUMIF($BH$3:$CE$3,"&lt;"&amp;$DF21,$AD21:$BA21)+SUMIF($BH$3:$CE$3,"&gt;"&amp;$CW$4,$AD21:$BA21)),
IF(BJ$3=$DF21+'Model Setup'!$M$7,SUMIF($BH$3:$CE$3,"="&amp;$DF21+'Model Setup'!$M$7,$AD21:$BA21)+'Model Setup'!$M$8*(SUMIF($BH$3:$CE$3,"&lt;"&amp;$DF21,$AD21:$BA21)+SUMIF($BH$3:$CE$3,"&gt;"&amp;$CW$4,$AD21:$BA21)),
IF(BJ$3=$DF21+'Model Setup'!$N$7,SUMIF($BH$3:$CE$3,"="&amp;$DF21+'Model Setup'!$N$7,$AD21:$BA21)+'Model Setup'!$N$8*(SUMIF($BH$3:$CE$3,"&lt;"&amp;$DF21,$AD21:$BA21)+SUMIF($BH$3:$CE$3,"&gt;"&amp;$CW$4,$AD21:$BA21)),
IF(BJ$3&lt;$CW$4,D21,0))))))))))))))),0)</f>
        <v>0</v>
      </c>
      <c r="BK21" s="47">
        <f>ROUND(IF(OR(BK$3&lt;$DF21,BK$3&gt;$CW$4),0,
IF(BK$3=$DF21+'Model Setup'!$B$7,SUMIF($BH$3:$CE$3,"="&amp;$DF21+'Model Setup'!$B$7,$AD21:$BA21)+'Model Setup'!$B$8*(SUMIF($BH$3:$CE$3,"&lt;"&amp;$DF21,$AD21:$BA21)+SUMIF($BH$3:$CE$3,"&gt;"&amp;$CW$4,$AD21:$BA21)),
IF(BK$3=$DF21+'Model Setup'!$C$7,SUMIF($BH$3:$CE$3,"="&amp;$DF21+'Model Setup'!$C$7,$AD21:$BA21)+'Model Setup'!$C$8*(SUMIF($BH$3:$CE$3,"&lt;"&amp;$DF21,$AD21:$BA21)+SUMIF($BH$3:$CE$3,"&gt;"&amp;$CW$4,$AD21:$BA21)),
IF(BK$3=$DF21+'Model Setup'!$D$7,SUMIF($BH$3:$CE$3,"="&amp;$DF21+'Model Setup'!$D$7,$AD21:$BA21)+'Model Setup'!$D$8*(SUMIF($BH$3:$CE$3,"&lt;"&amp;$DF21,$AD21:$BA21)+SUMIF($BH$3:$CE$3,"&gt;"&amp;$CW$4,$AD21:$BA21)),
IF(BK$3=$DF21+'Model Setup'!$E$7,SUMIF($BH$3:$CE$3,"="&amp;$DF21+'Model Setup'!$E$7,$AD21:$BA21)+'Model Setup'!$E$8*(SUMIF($BH$3:$CE$3,"&lt;"&amp;$DF21,$AD21:$BA21)+SUMIF($BH$3:$CE$3,"&gt;"&amp;$CW$4,$AD21:$BA21)),
IF(BK$3=$DF21+'Model Setup'!$F$7,SUMIF($BH$3:$CE$3,"="&amp;$DF21+'Model Setup'!$F$7,$AD21:$BA21)+'Model Setup'!$F$8*(SUMIF($BH$3:$CE$3,"&lt;"&amp;$DF21,$AD21:$BA21)+SUMIF($BH$3:$CE$3,"&gt;"&amp;$CW$4,$AD21:$BA21)),
IF(BK$3=$DF21+'Model Setup'!$G$7,SUMIF($BH$3:$CE$3,"="&amp;$DF21+'Model Setup'!$G$7,$AD21:$BA21)+'Model Setup'!$G$8*(SUMIF($BH$3:$CE$3,"&lt;"&amp;$DF21,$AD21:$BA21)+SUMIF($BH$3:$CE$3,"&gt;"&amp;$CW$4,$AD21:$BA21)),
IF(BK$3=$DF21+'Model Setup'!$H$7,SUMIF($BH$3:$CE$3,"="&amp;$DF21+'Model Setup'!$H$7,$AD21:$BA21)+'Model Setup'!$H$8*(SUMIF($BH$3:$CE$3,"&lt;"&amp;$DF21,$AD21:$BA21)+SUMIF($BH$3:$CE$3,"&gt;"&amp;$CW$4,$AD21:$BA21)),
IF(BK$3=$DF21+'Model Setup'!$I$7,SUMIF($BH$3:$CE$3,"="&amp;$DF21+'Model Setup'!$I$7,$AD21:$BA21)+'Model Setup'!$I$8*(SUMIF($BH$3:$CE$3,"&lt;"&amp;$DF21,$AD21:$BA21)+SUMIF($BH$3:$CE$3,"&gt;"&amp;$CW$4,$AD21:$BA21)),
IF(BK$3=$DF21+'Model Setup'!$J$7,SUMIF($BH$3:$CE$3,"="&amp;$DF21+'Model Setup'!$J$7,$AD21:$BA21)+'Model Setup'!$J$8*(SUMIF($BH$3:$CE$3,"&lt;"&amp;$DF21,$AD21:$BA21)+SUMIF($BH$3:$CE$3,"&gt;"&amp;$CW$4,$AD21:$BA21)),
IF(BK$3=$DF21+'Model Setup'!$K$7,SUMIF($BH$3:$CE$3,"="&amp;$DF21+'Model Setup'!$K$7,$AD21:$BA21)+'Model Setup'!$K$8*(SUMIF($BH$3:$CE$3,"&lt;"&amp;$DF21,$AD21:$BA21)+SUMIF($BH$3:$CE$3,"&gt;"&amp;$CW$4,$AD21:$BA21)),
IF(BK$3=$DF21+'Model Setup'!$L$7,SUMIF($BH$3:$CE$3,"="&amp;$DF21+'Model Setup'!$L$7,$AD21:$BA21)+'Model Setup'!$L$8*(SUMIF($BH$3:$CE$3,"&lt;"&amp;$DF21,$AD21:$BA21)+SUMIF($BH$3:$CE$3,"&gt;"&amp;$CW$4,$AD21:$BA21)),
IF(BK$3=$DF21+'Model Setup'!$M$7,SUMIF($BH$3:$CE$3,"="&amp;$DF21+'Model Setup'!$M$7,$AD21:$BA21)+'Model Setup'!$M$8*(SUMIF($BH$3:$CE$3,"&lt;"&amp;$DF21,$AD21:$BA21)+SUMIF($BH$3:$CE$3,"&gt;"&amp;$CW$4,$AD21:$BA21)),
IF(BK$3=$DF21+'Model Setup'!$N$7,SUMIF($BH$3:$CE$3,"="&amp;$DF21+'Model Setup'!$N$7,$AD21:$BA21)+'Model Setup'!$N$8*(SUMIF($BH$3:$CE$3,"&lt;"&amp;$DF21,$AD21:$BA21)+SUMIF($BH$3:$CE$3,"&gt;"&amp;$CW$4,$AD21:$BA21)),
IF(BK$3&lt;$CW$4,E21,0))))))))))))))),0)</f>
        <v>0</v>
      </c>
      <c r="BL21" s="47">
        <f>ROUND(IF(OR(BL$3&lt;$DF21,BL$3&gt;$CW$4),0,
IF(BL$3=$DF21+'Model Setup'!$B$7,SUMIF($BH$3:$CE$3,"="&amp;$DF21+'Model Setup'!$B$7,$AD21:$BA21)+'Model Setup'!$B$8*(SUMIF($BH$3:$CE$3,"&lt;"&amp;$DF21,$AD21:$BA21)+SUMIF($BH$3:$CE$3,"&gt;"&amp;$CW$4,$AD21:$BA21)),
IF(BL$3=$DF21+'Model Setup'!$C$7,SUMIF($BH$3:$CE$3,"="&amp;$DF21+'Model Setup'!$C$7,$AD21:$BA21)+'Model Setup'!$C$8*(SUMIF($BH$3:$CE$3,"&lt;"&amp;$DF21,$AD21:$BA21)+SUMIF($BH$3:$CE$3,"&gt;"&amp;$CW$4,$AD21:$BA21)),
IF(BL$3=$DF21+'Model Setup'!$D$7,SUMIF($BH$3:$CE$3,"="&amp;$DF21+'Model Setup'!$D$7,$AD21:$BA21)+'Model Setup'!$D$8*(SUMIF($BH$3:$CE$3,"&lt;"&amp;$DF21,$AD21:$BA21)+SUMIF($BH$3:$CE$3,"&gt;"&amp;$CW$4,$AD21:$BA21)),
IF(BL$3=$DF21+'Model Setup'!$E$7,SUMIF($BH$3:$CE$3,"="&amp;$DF21+'Model Setup'!$E$7,$AD21:$BA21)+'Model Setup'!$E$8*(SUMIF($BH$3:$CE$3,"&lt;"&amp;$DF21,$AD21:$BA21)+SUMIF($BH$3:$CE$3,"&gt;"&amp;$CW$4,$AD21:$BA21)),
IF(BL$3=$DF21+'Model Setup'!$F$7,SUMIF($BH$3:$CE$3,"="&amp;$DF21+'Model Setup'!$F$7,$AD21:$BA21)+'Model Setup'!$F$8*(SUMIF($BH$3:$CE$3,"&lt;"&amp;$DF21,$AD21:$BA21)+SUMIF($BH$3:$CE$3,"&gt;"&amp;$CW$4,$AD21:$BA21)),
IF(BL$3=$DF21+'Model Setup'!$G$7,SUMIF($BH$3:$CE$3,"="&amp;$DF21+'Model Setup'!$G$7,$AD21:$BA21)+'Model Setup'!$G$8*(SUMIF($BH$3:$CE$3,"&lt;"&amp;$DF21,$AD21:$BA21)+SUMIF($BH$3:$CE$3,"&gt;"&amp;$CW$4,$AD21:$BA21)),
IF(BL$3=$DF21+'Model Setup'!$H$7,SUMIF($BH$3:$CE$3,"="&amp;$DF21+'Model Setup'!$H$7,$AD21:$BA21)+'Model Setup'!$H$8*(SUMIF($BH$3:$CE$3,"&lt;"&amp;$DF21,$AD21:$BA21)+SUMIF($BH$3:$CE$3,"&gt;"&amp;$CW$4,$AD21:$BA21)),
IF(BL$3=$DF21+'Model Setup'!$I$7,SUMIF($BH$3:$CE$3,"="&amp;$DF21+'Model Setup'!$I$7,$AD21:$BA21)+'Model Setup'!$I$8*(SUMIF($BH$3:$CE$3,"&lt;"&amp;$DF21,$AD21:$BA21)+SUMIF($BH$3:$CE$3,"&gt;"&amp;$CW$4,$AD21:$BA21)),
IF(BL$3=$DF21+'Model Setup'!$J$7,SUMIF($BH$3:$CE$3,"="&amp;$DF21+'Model Setup'!$J$7,$AD21:$BA21)+'Model Setup'!$J$8*(SUMIF($BH$3:$CE$3,"&lt;"&amp;$DF21,$AD21:$BA21)+SUMIF($BH$3:$CE$3,"&gt;"&amp;$CW$4,$AD21:$BA21)),
IF(BL$3=$DF21+'Model Setup'!$K$7,SUMIF($BH$3:$CE$3,"="&amp;$DF21+'Model Setup'!$K$7,$AD21:$BA21)+'Model Setup'!$K$8*(SUMIF($BH$3:$CE$3,"&lt;"&amp;$DF21,$AD21:$BA21)+SUMIF($BH$3:$CE$3,"&gt;"&amp;$CW$4,$AD21:$BA21)),
IF(BL$3=$DF21+'Model Setup'!$L$7,SUMIF($BH$3:$CE$3,"="&amp;$DF21+'Model Setup'!$L$7,$AD21:$BA21)+'Model Setup'!$L$8*(SUMIF($BH$3:$CE$3,"&lt;"&amp;$DF21,$AD21:$BA21)+SUMIF($BH$3:$CE$3,"&gt;"&amp;$CW$4,$AD21:$BA21)),
IF(BL$3=$DF21+'Model Setup'!$M$7,SUMIF($BH$3:$CE$3,"="&amp;$DF21+'Model Setup'!$M$7,$AD21:$BA21)+'Model Setup'!$M$8*(SUMIF($BH$3:$CE$3,"&lt;"&amp;$DF21,$AD21:$BA21)+SUMIF($BH$3:$CE$3,"&gt;"&amp;$CW$4,$AD21:$BA21)),
IF(BL$3=$DF21+'Model Setup'!$N$7,SUMIF($BH$3:$CE$3,"="&amp;$DF21+'Model Setup'!$N$7,$AD21:$BA21)+'Model Setup'!$N$8*(SUMIF($BH$3:$CE$3,"&lt;"&amp;$DF21,$AD21:$BA21)+SUMIF($BH$3:$CE$3,"&gt;"&amp;$CW$4,$AD21:$BA21)),
IF(BL$3&lt;$CW$4,F21,0))))))))))))))),0)</f>
        <v>0</v>
      </c>
      <c r="BM21" s="47">
        <f>ROUND(IF(OR(BM$3&lt;$DF21,BM$3&gt;$CW$4),0,
IF(BM$3=$DF21+'Model Setup'!$B$7,SUMIF($BH$3:$CE$3,"="&amp;$DF21+'Model Setup'!$B$7,$AD21:$BA21)+'Model Setup'!$B$8*(SUMIF($BH$3:$CE$3,"&lt;"&amp;$DF21,$AD21:$BA21)+SUMIF($BH$3:$CE$3,"&gt;"&amp;$CW$4,$AD21:$BA21)),
IF(BM$3=$DF21+'Model Setup'!$C$7,SUMIF($BH$3:$CE$3,"="&amp;$DF21+'Model Setup'!$C$7,$AD21:$BA21)+'Model Setup'!$C$8*(SUMIF($BH$3:$CE$3,"&lt;"&amp;$DF21,$AD21:$BA21)+SUMIF($BH$3:$CE$3,"&gt;"&amp;$CW$4,$AD21:$BA21)),
IF(BM$3=$DF21+'Model Setup'!$D$7,SUMIF($BH$3:$CE$3,"="&amp;$DF21+'Model Setup'!$D$7,$AD21:$BA21)+'Model Setup'!$D$8*(SUMIF($BH$3:$CE$3,"&lt;"&amp;$DF21,$AD21:$BA21)+SUMIF($BH$3:$CE$3,"&gt;"&amp;$CW$4,$AD21:$BA21)),
IF(BM$3=$DF21+'Model Setup'!$E$7,SUMIF($BH$3:$CE$3,"="&amp;$DF21+'Model Setup'!$E$7,$AD21:$BA21)+'Model Setup'!$E$8*(SUMIF($BH$3:$CE$3,"&lt;"&amp;$DF21,$AD21:$BA21)+SUMIF($BH$3:$CE$3,"&gt;"&amp;$CW$4,$AD21:$BA21)),
IF(BM$3=$DF21+'Model Setup'!$F$7,SUMIF($BH$3:$CE$3,"="&amp;$DF21+'Model Setup'!$F$7,$AD21:$BA21)+'Model Setup'!$F$8*(SUMIF($BH$3:$CE$3,"&lt;"&amp;$DF21,$AD21:$BA21)+SUMIF($BH$3:$CE$3,"&gt;"&amp;$CW$4,$AD21:$BA21)),
IF(BM$3=$DF21+'Model Setup'!$G$7,SUMIF($BH$3:$CE$3,"="&amp;$DF21+'Model Setup'!$G$7,$AD21:$BA21)+'Model Setup'!$G$8*(SUMIF($BH$3:$CE$3,"&lt;"&amp;$DF21,$AD21:$BA21)+SUMIF($BH$3:$CE$3,"&gt;"&amp;$CW$4,$AD21:$BA21)),
IF(BM$3=$DF21+'Model Setup'!$H$7,SUMIF($BH$3:$CE$3,"="&amp;$DF21+'Model Setup'!$H$7,$AD21:$BA21)+'Model Setup'!$H$8*(SUMIF($BH$3:$CE$3,"&lt;"&amp;$DF21,$AD21:$BA21)+SUMIF($BH$3:$CE$3,"&gt;"&amp;$CW$4,$AD21:$BA21)),
IF(BM$3=$DF21+'Model Setup'!$I$7,SUMIF($BH$3:$CE$3,"="&amp;$DF21+'Model Setup'!$I$7,$AD21:$BA21)+'Model Setup'!$I$8*(SUMIF($BH$3:$CE$3,"&lt;"&amp;$DF21,$AD21:$BA21)+SUMIF($BH$3:$CE$3,"&gt;"&amp;$CW$4,$AD21:$BA21)),
IF(BM$3=$DF21+'Model Setup'!$J$7,SUMIF($BH$3:$CE$3,"="&amp;$DF21+'Model Setup'!$J$7,$AD21:$BA21)+'Model Setup'!$J$8*(SUMIF($BH$3:$CE$3,"&lt;"&amp;$DF21,$AD21:$BA21)+SUMIF($BH$3:$CE$3,"&gt;"&amp;$CW$4,$AD21:$BA21)),
IF(BM$3=$DF21+'Model Setup'!$K$7,SUMIF($BH$3:$CE$3,"="&amp;$DF21+'Model Setup'!$K$7,$AD21:$BA21)+'Model Setup'!$K$8*(SUMIF($BH$3:$CE$3,"&lt;"&amp;$DF21,$AD21:$BA21)+SUMIF($BH$3:$CE$3,"&gt;"&amp;$CW$4,$AD21:$BA21)),
IF(BM$3=$DF21+'Model Setup'!$L$7,SUMIF($BH$3:$CE$3,"="&amp;$DF21+'Model Setup'!$L$7,$AD21:$BA21)+'Model Setup'!$L$8*(SUMIF($BH$3:$CE$3,"&lt;"&amp;$DF21,$AD21:$BA21)+SUMIF($BH$3:$CE$3,"&gt;"&amp;$CW$4,$AD21:$BA21)),
IF(BM$3=$DF21+'Model Setup'!$M$7,SUMIF($BH$3:$CE$3,"="&amp;$DF21+'Model Setup'!$M$7,$AD21:$BA21)+'Model Setup'!$M$8*(SUMIF($BH$3:$CE$3,"&lt;"&amp;$DF21,$AD21:$BA21)+SUMIF($BH$3:$CE$3,"&gt;"&amp;$CW$4,$AD21:$BA21)),
IF(BM$3=$DF21+'Model Setup'!$N$7,SUMIF($BH$3:$CE$3,"="&amp;$DF21+'Model Setup'!$N$7,$AD21:$BA21)+'Model Setup'!$N$8*(SUMIF($BH$3:$CE$3,"&lt;"&amp;$DF21,$AD21:$BA21)+SUMIF($BH$3:$CE$3,"&gt;"&amp;$CW$4,$AD21:$BA21)),
IF(BM$3&lt;$CW$4,G21,0))))))))))))))),0)</f>
        <v>0</v>
      </c>
      <c r="BN21" s="47">
        <f>ROUND(IF(OR(BN$3&lt;$DF21,BN$3&gt;$CW$4),0,
IF(BN$3=$DF21+'Model Setup'!$B$7,SUMIF($BH$3:$CE$3,"="&amp;$DF21+'Model Setup'!$B$7,$AD21:$BA21)+'Model Setup'!$B$8*(SUMIF($BH$3:$CE$3,"&lt;"&amp;$DF21,$AD21:$BA21)+SUMIF($BH$3:$CE$3,"&gt;"&amp;$CW$4,$AD21:$BA21)),
IF(BN$3=$DF21+'Model Setup'!$C$7,SUMIF($BH$3:$CE$3,"="&amp;$DF21+'Model Setup'!$C$7,$AD21:$BA21)+'Model Setup'!$C$8*(SUMIF($BH$3:$CE$3,"&lt;"&amp;$DF21,$AD21:$BA21)+SUMIF($BH$3:$CE$3,"&gt;"&amp;$CW$4,$AD21:$BA21)),
IF(BN$3=$DF21+'Model Setup'!$D$7,SUMIF($BH$3:$CE$3,"="&amp;$DF21+'Model Setup'!$D$7,$AD21:$BA21)+'Model Setup'!$D$8*(SUMIF($BH$3:$CE$3,"&lt;"&amp;$DF21,$AD21:$BA21)+SUMIF($BH$3:$CE$3,"&gt;"&amp;$CW$4,$AD21:$BA21)),
IF(BN$3=$DF21+'Model Setup'!$E$7,SUMIF($BH$3:$CE$3,"="&amp;$DF21+'Model Setup'!$E$7,$AD21:$BA21)+'Model Setup'!$E$8*(SUMIF($BH$3:$CE$3,"&lt;"&amp;$DF21,$AD21:$BA21)+SUMIF($BH$3:$CE$3,"&gt;"&amp;$CW$4,$AD21:$BA21)),
IF(BN$3=$DF21+'Model Setup'!$F$7,SUMIF($BH$3:$CE$3,"="&amp;$DF21+'Model Setup'!$F$7,$AD21:$BA21)+'Model Setup'!$F$8*(SUMIF($BH$3:$CE$3,"&lt;"&amp;$DF21,$AD21:$BA21)+SUMIF($BH$3:$CE$3,"&gt;"&amp;$CW$4,$AD21:$BA21)),
IF(BN$3=$DF21+'Model Setup'!$G$7,SUMIF($BH$3:$CE$3,"="&amp;$DF21+'Model Setup'!$G$7,$AD21:$BA21)+'Model Setup'!$G$8*(SUMIF($BH$3:$CE$3,"&lt;"&amp;$DF21,$AD21:$BA21)+SUMIF($BH$3:$CE$3,"&gt;"&amp;$CW$4,$AD21:$BA21)),
IF(BN$3=$DF21+'Model Setup'!$H$7,SUMIF($BH$3:$CE$3,"="&amp;$DF21+'Model Setup'!$H$7,$AD21:$BA21)+'Model Setup'!$H$8*(SUMIF($BH$3:$CE$3,"&lt;"&amp;$DF21,$AD21:$BA21)+SUMIF($BH$3:$CE$3,"&gt;"&amp;$CW$4,$AD21:$BA21)),
IF(BN$3=$DF21+'Model Setup'!$I$7,SUMIF($BH$3:$CE$3,"="&amp;$DF21+'Model Setup'!$I$7,$AD21:$BA21)+'Model Setup'!$I$8*(SUMIF($BH$3:$CE$3,"&lt;"&amp;$DF21,$AD21:$BA21)+SUMIF($BH$3:$CE$3,"&gt;"&amp;$CW$4,$AD21:$BA21)),
IF(BN$3=$DF21+'Model Setup'!$J$7,SUMIF($BH$3:$CE$3,"="&amp;$DF21+'Model Setup'!$J$7,$AD21:$BA21)+'Model Setup'!$J$8*(SUMIF($BH$3:$CE$3,"&lt;"&amp;$DF21,$AD21:$BA21)+SUMIF($BH$3:$CE$3,"&gt;"&amp;$CW$4,$AD21:$BA21)),
IF(BN$3=$DF21+'Model Setup'!$K$7,SUMIF($BH$3:$CE$3,"="&amp;$DF21+'Model Setup'!$K$7,$AD21:$BA21)+'Model Setup'!$K$8*(SUMIF($BH$3:$CE$3,"&lt;"&amp;$DF21,$AD21:$BA21)+SUMIF($BH$3:$CE$3,"&gt;"&amp;$CW$4,$AD21:$BA21)),
IF(BN$3=$DF21+'Model Setup'!$L$7,SUMIF($BH$3:$CE$3,"="&amp;$DF21+'Model Setup'!$L$7,$AD21:$BA21)+'Model Setup'!$L$8*(SUMIF($BH$3:$CE$3,"&lt;"&amp;$DF21,$AD21:$BA21)+SUMIF($BH$3:$CE$3,"&gt;"&amp;$CW$4,$AD21:$BA21)),
IF(BN$3=$DF21+'Model Setup'!$M$7,SUMIF($BH$3:$CE$3,"="&amp;$DF21+'Model Setup'!$M$7,$AD21:$BA21)+'Model Setup'!$M$8*(SUMIF($BH$3:$CE$3,"&lt;"&amp;$DF21,$AD21:$BA21)+SUMIF($BH$3:$CE$3,"&gt;"&amp;$CW$4,$AD21:$BA21)),
IF(BN$3=$DF21+'Model Setup'!$N$7,SUMIF($BH$3:$CE$3,"="&amp;$DF21+'Model Setup'!$N$7,$AD21:$BA21)+'Model Setup'!$N$8*(SUMIF($BH$3:$CE$3,"&lt;"&amp;$DF21,$AD21:$BA21)+SUMIF($BH$3:$CE$3,"&gt;"&amp;$CW$4,$AD21:$BA21)),
IF(BN$3&lt;$CW$4,H21,0))))))))))))))),0)</f>
        <v>21</v>
      </c>
      <c r="BO21" s="47">
        <f>ROUND(IF(OR(BO$3&lt;$DF21,BO$3&gt;$CW$4),0,
IF(BO$3=$DF21+'Model Setup'!$B$7,SUMIF($BH$3:$CE$3,"="&amp;$DF21+'Model Setup'!$B$7,$AD21:$BA21)+'Model Setup'!$B$8*(SUMIF($BH$3:$CE$3,"&lt;"&amp;$DF21,$AD21:$BA21)+SUMIF($BH$3:$CE$3,"&gt;"&amp;$CW$4,$AD21:$BA21)),
IF(BO$3=$DF21+'Model Setup'!$C$7,SUMIF($BH$3:$CE$3,"="&amp;$DF21+'Model Setup'!$C$7,$AD21:$BA21)+'Model Setup'!$C$8*(SUMIF($BH$3:$CE$3,"&lt;"&amp;$DF21,$AD21:$BA21)+SUMIF($BH$3:$CE$3,"&gt;"&amp;$CW$4,$AD21:$BA21)),
IF(BO$3=$DF21+'Model Setup'!$D$7,SUMIF($BH$3:$CE$3,"="&amp;$DF21+'Model Setup'!$D$7,$AD21:$BA21)+'Model Setup'!$D$8*(SUMIF($BH$3:$CE$3,"&lt;"&amp;$DF21,$AD21:$BA21)+SUMIF($BH$3:$CE$3,"&gt;"&amp;$CW$4,$AD21:$BA21)),
IF(BO$3=$DF21+'Model Setup'!$E$7,SUMIF($BH$3:$CE$3,"="&amp;$DF21+'Model Setup'!$E$7,$AD21:$BA21)+'Model Setup'!$E$8*(SUMIF($BH$3:$CE$3,"&lt;"&amp;$DF21,$AD21:$BA21)+SUMIF($BH$3:$CE$3,"&gt;"&amp;$CW$4,$AD21:$BA21)),
IF(BO$3=$DF21+'Model Setup'!$F$7,SUMIF($BH$3:$CE$3,"="&amp;$DF21+'Model Setup'!$F$7,$AD21:$BA21)+'Model Setup'!$F$8*(SUMIF($BH$3:$CE$3,"&lt;"&amp;$DF21,$AD21:$BA21)+SUMIF($BH$3:$CE$3,"&gt;"&amp;$CW$4,$AD21:$BA21)),
IF(BO$3=$DF21+'Model Setup'!$G$7,SUMIF($BH$3:$CE$3,"="&amp;$DF21+'Model Setup'!$G$7,$AD21:$BA21)+'Model Setup'!$G$8*(SUMIF($BH$3:$CE$3,"&lt;"&amp;$DF21,$AD21:$BA21)+SUMIF($BH$3:$CE$3,"&gt;"&amp;$CW$4,$AD21:$BA21)),
IF(BO$3=$DF21+'Model Setup'!$H$7,SUMIF($BH$3:$CE$3,"="&amp;$DF21+'Model Setup'!$H$7,$AD21:$BA21)+'Model Setup'!$H$8*(SUMIF($BH$3:$CE$3,"&lt;"&amp;$DF21,$AD21:$BA21)+SUMIF($BH$3:$CE$3,"&gt;"&amp;$CW$4,$AD21:$BA21)),
IF(BO$3=$DF21+'Model Setup'!$I$7,SUMIF($BH$3:$CE$3,"="&amp;$DF21+'Model Setup'!$I$7,$AD21:$BA21)+'Model Setup'!$I$8*(SUMIF($BH$3:$CE$3,"&lt;"&amp;$DF21,$AD21:$BA21)+SUMIF($BH$3:$CE$3,"&gt;"&amp;$CW$4,$AD21:$BA21)),
IF(BO$3=$DF21+'Model Setup'!$J$7,SUMIF($BH$3:$CE$3,"="&amp;$DF21+'Model Setup'!$J$7,$AD21:$BA21)+'Model Setup'!$J$8*(SUMIF($BH$3:$CE$3,"&lt;"&amp;$DF21,$AD21:$BA21)+SUMIF($BH$3:$CE$3,"&gt;"&amp;$CW$4,$AD21:$BA21)),
IF(BO$3=$DF21+'Model Setup'!$K$7,SUMIF($BH$3:$CE$3,"="&amp;$DF21+'Model Setup'!$K$7,$AD21:$BA21)+'Model Setup'!$K$8*(SUMIF($BH$3:$CE$3,"&lt;"&amp;$DF21,$AD21:$BA21)+SUMIF($BH$3:$CE$3,"&gt;"&amp;$CW$4,$AD21:$BA21)),
IF(BO$3=$DF21+'Model Setup'!$L$7,SUMIF($BH$3:$CE$3,"="&amp;$DF21+'Model Setup'!$L$7,$AD21:$BA21)+'Model Setup'!$L$8*(SUMIF($BH$3:$CE$3,"&lt;"&amp;$DF21,$AD21:$BA21)+SUMIF($BH$3:$CE$3,"&gt;"&amp;$CW$4,$AD21:$BA21)),
IF(BO$3=$DF21+'Model Setup'!$M$7,SUMIF($BH$3:$CE$3,"="&amp;$DF21+'Model Setup'!$M$7,$AD21:$BA21)+'Model Setup'!$M$8*(SUMIF($BH$3:$CE$3,"&lt;"&amp;$DF21,$AD21:$BA21)+SUMIF($BH$3:$CE$3,"&gt;"&amp;$CW$4,$AD21:$BA21)),
IF(BO$3=$DF21+'Model Setup'!$N$7,SUMIF($BH$3:$CE$3,"="&amp;$DF21+'Model Setup'!$N$7,$AD21:$BA21)+'Model Setup'!$N$8*(SUMIF($BH$3:$CE$3,"&lt;"&amp;$DF21,$AD21:$BA21)+SUMIF($BH$3:$CE$3,"&gt;"&amp;$CW$4,$AD21:$BA21)),
IF(BO$3&lt;$CW$4,I21,0))))))))))))))),0)</f>
        <v>25</v>
      </c>
      <c r="BP21" s="47">
        <f>ROUND(IF(OR(BP$3&lt;$DF21,BP$3&gt;$CW$4),0,
IF(BP$3=$DF21+'Model Setup'!$B$7,SUMIF($BH$3:$CE$3,"="&amp;$DF21+'Model Setup'!$B$7,$AD21:$BA21)+'Model Setup'!$B$8*(SUMIF($BH$3:$CE$3,"&lt;"&amp;$DF21,$AD21:$BA21)+SUMIF($BH$3:$CE$3,"&gt;"&amp;$CW$4,$AD21:$BA21)),
IF(BP$3=$DF21+'Model Setup'!$C$7,SUMIF($BH$3:$CE$3,"="&amp;$DF21+'Model Setup'!$C$7,$AD21:$BA21)+'Model Setup'!$C$8*(SUMIF($BH$3:$CE$3,"&lt;"&amp;$DF21,$AD21:$BA21)+SUMIF($BH$3:$CE$3,"&gt;"&amp;$CW$4,$AD21:$BA21)),
IF(BP$3=$DF21+'Model Setup'!$D$7,SUMIF($BH$3:$CE$3,"="&amp;$DF21+'Model Setup'!$D$7,$AD21:$BA21)+'Model Setup'!$D$8*(SUMIF($BH$3:$CE$3,"&lt;"&amp;$DF21,$AD21:$BA21)+SUMIF($BH$3:$CE$3,"&gt;"&amp;$CW$4,$AD21:$BA21)),
IF(BP$3=$DF21+'Model Setup'!$E$7,SUMIF($BH$3:$CE$3,"="&amp;$DF21+'Model Setup'!$E$7,$AD21:$BA21)+'Model Setup'!$E$8*(SUMIF($BH$3:$CE$3,"&lt;"&amp;$DF21,$AD21:$BA21)+SUMIF($BH$3:$CE$3,"&gt;"&amp;$CW$4,$AD21:$BA21)),
IF(BP$3=$DF21+'Model Setup'!$F$7,SUMIF($BH$3:$CE$3,"="&amp;$DF21+'Model Setup'!$F$7,$AD21:$BA21)+'Model Setup'!$F$8*(SUMIF($BH$3:$CE$3,"&lt;"&amp;$DF21,$AD21:$BA21)+SUMIF($BH$3:$CE$3,"&gt;"&amp;$CW$4,$AD21:$BA21)),
IF(BP$3=$DF21+'Model Setup'!$G$7,SUMIF($BH$3:$CE$3,"="&amp;$DF21+'Model Setup'!$G$7,$AD21:$BA21)+'Model Setup'!$G$8*(SUMIF($BH$3:$CE$3,"&lt;"&amp;$DF21,$AD21:$BA21)+SUMIF($BH$3:$CE$3,"&gt;"&amp;$CW$4,$AD21:$BA21)),
IF(BP$3=$DF21+'Model Setup'!$H$7,SUMIF($BH$3:$CE$3,"="&amp;$DF21+'Model Setup'!$H$7,$AD21:$BA21)+'Model Setup'!$H$8*(SUMIF($BH$3:$CE$3,"&lt;"&amp;$DF21,$AD21:$BA21)+SUMIF($BH$3:$CE$3,"&gt;"&amp;$CW$4,$AD21:$BA21)),
IF(BP$3=$DF21+'Model Setup'!$I$7,SUMIF($BH$3:$CE$3,"="&amp;$DF21+'Model Setup'!$I$7,$AD21:$BA21)+'Model Setup'!$I$8*(SUMIF($BH$3:$CE$3,"&lt;"&amp;$DF21,$AD21:$BA21)+SUMIF($BH$3:$CE$3,"&gt;"&amp;$CW$4,$AD21:$BA21)),
IF(BP$3=$DF21+'Model Setup'!$J$7,SUMIF($BH$3:$CE$3,"="&amp;$DF21+'Model Setup'!$J$7,$AD21:$BA21)+'Model Setup'!$J$8*(SUMIF($BH$3:$CE$3,"&lt;"&amp;$DF21,$AD21:$BA21)+SUMIF($BH$3:$CE$3,"&gt;"&amp;$CW$4,$AD21:$BA21)),
IF(BP$3=$DF21+'Model Setup'!$K$7,SUMIF($BH$3:$CE$3,"="&amp;$DF21+'Model Setup'!$K$7,$AD21:$BA21)+'Model Setup'!$K$8*(SUMIF($BH$3:$CE$3,"&lt;"&amp;$DF21,$AD21:$BA21)+SUMIF($BH$3:$CE$3,"&gt;"&amp;$CW$4,$AD21:$BA21)),
IF(BP$3=$DF21+'Model Setup'!$L$7,SUMIF($BH$3:$CE$3,"="&amp;$DF21+'Model Setup'!$L$7,$AD21:$BA21)+'Model Setup'!$L$8*(SUMIF($BH$3:$CE$3,"&lt;"&amp;$DF21,$AD21:$BA21)+SUMIF($BH$3:$CE$3,"&gt;"&amp;$CW$4,$AD21:$BA21)),
IF(BP$3=$DF21+'Model Setup'!$M$7,SUMIF($BH$3:$CE$3,"="&amp;$DF21+'Model Setup'!$M$7,$AD21:$BA21)+'Model Setup'!$M$8*(SUMIF($BH$3:$CE$3,"&lt;"&amp;$DF21,$AD21:$BA21)+SUMIF($BH$3:$CE$3,"&gt;"&amp;$CW$4,$AD21:$BA21)),
IF(BP$3=$DF21+'Model Setup'!$N$7,SUMIF($BH$3:$CE$3,"="&amp;$DF21+'Model Setup'!$N$7,$AD21:$BA21)+'Model Setup'!$N$8*(SUMIF($BH$3:$CE$3,"&lt;"&amp;$DF21,$AD21:$BA21)+SUMIF($BH$3:$CE$3,"&gt;"&amp;$CW$4,$AD21:$BA21)),
IF(BP$3&lt;$CW$4,J21,0))))))))))))))),0)</f>
        <v>36</v>
      </c>
      <c r="BQ21" s="47">
        <f>ROUND(IF(OR(BQ$3&lt;$DF21,BQ$3&gt;$CW$4),0,
IF(BQ$3=$DF21+'Model Setup'!$B$7,SUMIF($BH$3:$CE$3,"="&amp;$DF21+'Model Setup'!$B$7,$AD21:$BA21)+'Model Setup'!$B$8*(SUMIF($BH$3:$CE$3,"&lt;"&amp;$DF21,$AD21:$BA21)+SUMIF($BH$3:$CE$3,"&gt;"&amp;$CW$4,$AD21:$BA21)),
IF(BQ$3=$DF21+'Model Setup'!$C$7,SUMIF($BH$3:$CE$3,"="&amp;$DF21+'Model Setup'!$C$7,$AD21:$BA21)+'Model Setup'!$C$8*(SUMIF($BH$3:$CE$3,"&lt;"&amp;$DF21,$AD21:$BA21)+SUMIF($BH$3:$CE$3,"&gt;"&amp;$CW$4,$AD21:$BA21)),
IF(BQ$3=$DF21+'Model Setup'!$D$7,SUMIF($BH$3:$CE$3,"="&amp;$DF21+'Model Setup'!$D$7,$AD21:$BA21)+'Model Setup'!$D$8*(SUMIF($BH$3:$CE$3,"&lt;"&amp;$DF21,$AD21:$BA21)+SUMIF($BH$3:$CE$3,"&gt;"&amp;$CW$4,$AD21:$BA21)),
IF(BQ$3=$DF21+'Model Setup'!$E$7,SUMIF($BH$3:$CE$3,"="&amp;$DF21+'Model Setup'!$E$7,$AD21:$BA21)+'Model Setup'!$E$8*(SUMIF($BH$3:$CE$3,"&lt;"&amp;$DF21,$AD21:$BA21)+SUMIF($BH$3:$CE$3,"&gt;"&amp;$CW$4,$AD21:$BA21)),
IF(BQ$3=$DF21+'Model Setup'!$F$7,SUMIF($BH$3:$CE$3,"="&amp;$DF21+'Model Setup'!$F$7,$AD21:$BA21)+'Model Setup'!$F$8*(SUMIF($BH$3:$CE$3,"&lt;"&amp;$DF21,$AD21:$BA21)+SUMIF($BH$3:$CE$3,"&gt;"&amp;$CW$4,$AD21:$BA21)),
IF(BQ$3=$DF21+'Model Setup'!$G$7,SUMIF($BH$3:$CE$3,"="&amp;$DF21+'Model Setup'!$G$7,$AD21:$BA21)+'Model Setup'!$G$8*(SUMIF($BH$3:$CE$3,"&lt;"&amp;$DF21,$AD21:$BA21)+SUMIF($BH$3:$CE$3,"&gt;"&amp;$CW$4,$AD21:$BA21)),
IF(BQ$3=$DF21+'Model Setup'!$H$7,SUMIF($BH$3:$CE$3,"="&amp;$DF21+'Model Setup'!$H$7,$AD21:$BA21)+'Model Setup'!$H$8*(SUMIF($BH$3:$CE$3,"&lt;"&amp;$DF21,$AD21:$BA21)+SUMIF($BH$3:$CE$3,"&gt;"&amp;$CW$4,$AD21:$BA21)),
IF(BQ$3=$DF21+'Model Setup'!$I$7,SUMIF($BH$3:$CE$3,"="&amp;$DF21+'Model Setup'!$I$7,$AD21:$BA21)+'Model Setup'!$I$8*(SUMIF($BH$3:$CE$3,"&lt;"&amp;$DF21,$AD21:$BA21)+SUMIF($BH$3:$CE$3,"&gt;"&amp;$CW$4,$AD21:$BA21)),
IF(BQ$3=$DF21+'Model Setup'!$J$7,SUMIF($BH$3:$CE$3,"="&amp;$DF21+'Model Setup'!$J$7,$AD21:$BA21)+'Model Setup'!$J$8*(SUMIF($BH$3:$CE$3,"&lt;"&amp;$DF21,$AD21:$BA21)+SUMIF($BH$3:$CE$3,"&gt;"&amp;$CW$4,$AD21:$BA21)),
IF(BQ$3=$DF21+'Model Setup'!$K$7,SUMIF($BH$3:$CE$3,"="&amp;$DF21+'Model Setup'!$K$7,$AD21:$BA21)+'Model Setup'!$K$8*(SUMIF($BH$3:$CE$3,"&lt;"&amp;$DF21,$AD21:$BA21)+SUMIF($BH$3:$CE$3,"&gt;"&amp;$CW$4,$AD21:$BA21)),
IF(BQ$3=$DF21+'Model Setup'!$L$7,SUMIF($BH$3:$CE$3,"="&amp;$DF21+'Model Setup'!$L$7,$AD21:$BA21)+'Model Setup'!$L$8*(SUMIF($BH$3:$CE$3,"&lt;"&amp;$DF21,$AD21:$BA21)+SUMIF($BH$3:$CE$3,"&gt;"&amp;$CW$4,$AD21:$BA21)),
IF(BQ$3=$DF21+'Model Setup'!$M$7,SUMIF($BH$3:$CE$3,"="&amp;$DF21+'Model Setup'!$M$7,$AD21:$BA21)+'Model Setup'!$M$8*(SUMIF($BH$3:$CE$3,"&lt;"&amp;$DF21,$AD21:$BA21)+SUMIF($BH$3:$CE$3,"&gt;"&amp;$CW$4,$AD21:$BA21)),
IF(BQ$3=$DF21+'Model Setup'!$N$7,SUMIF($BH$3:$CE$3,"="&amp;$DF21+'Model Setup'!$N$7,$AD21:$BA21)+'Model Setup'!$N$8*(SUMIF($BH$3:$CE$3,"&lt;"&amp;$DF21,$AD21:$BA21)+SUMIF($BH$3:$CE$3,"&gt;"&amp;$CW$4,$AD21:$BA21)),
IF(BQ$3&lt;$CW$4,K21,0))))))))))))))),0)</f>
        <v>26</v>
      </c>
      <c r="BR21" s="47">
        <f>ROUND(IF(OR(BR$3&lt;$DF21,BR$3&gt;$CW$4),0,
IF(BR$3=$DF21+'Model Setup'!$B$7,SUMIF($BH$3:$CE$3,"="&amp;$DF21+'Model Setup'!$B$7,$AD21:$BA21)+'Model Setup'!$B$8*(SUMIF($BH$3:$CE$3,"&lt;"&amp;$DF21,$AD21:$BA21)+SUMIF($BH$3:$CE$3,"&gt;"&amp;$CW$4,$AD21:$BA21)),
IF(BR$3=$DF21+'Model Setup'!$C$7,SUMIF($BH$3:$CE$3,"="&amp;$DF21+'Model Setup'!$C$7,$AD21:$BA21)+'Model Setup'!$C$8*(SUMIF($BH$3:$CE$3,"&lt;"&amp;$DF21,$AD21:$BA21)+SUMIF($BH$3:$CE$3,"&gt;"&amp;$CW$4,$AD21:$BA21)),
IF(BR$3=$DF21+'Model Setup'!$D$7,SUMIF($BH$3:$CE$3,"="&amp;$DF21+'Model Setup'!$D$7,$AD21:$BA21)+'Model Setup'!$D$8*(SUMIF($BH$3:$CE$3,"&lt;"&amp;$DF21,$AD21:$BA21)+SUMIF($BH$3:$CE$3,"&gt;"&amp;$CW$4,$AD21:$BA21)),
IF(BR$3=$DF21+'Model Setup'!$E$7,SUMIF($BH$3:$CE$3,"="&amp;$DF21+'Model Setup'!$E$7,$AD21:$BA21)+'Model Setup'!$E$8*(SUMIF($BH$3:$CE$3,"&lt;"&amp;$DF21,$AD21:$BA21)+SUMIF($BH$3:$CE$3,"&gt;"&amp;$CW$4,$AD21:$BA21)),
IF(BR$3=$DF21+'Model Setup'!$F$7,SUMIF($BH$3:$CE$3,"="&amp;$DF21+'Model Setup'!$F$7,$AD21:$BA21)+'Model Setup'!$F$8*(SUMIF($BH$3:$CE$3,"&lt;"&amp;$DF21,$AD21:$BA21)+SUMIF($BH$3:$CE$3,"&gt;"&amp;$CW$4,$AD21:$BA21)),
IF(BR$3=$DF21+'Model Setup'!$G$7,SUMIF($BH$3:$CE$3,"="&amp;$DF21+'Model Setup'!$G$7,$AD21:$BA21)+'Model Setup'!$G$8*(SUMIF($BH$3:$CE$3,"&lt;"&amp;$DF21,$AD21:$BA21)+SUMIF($BH$3:$CE$3,"&gt;"&amp;$CW$4,$AD21:$BA21)),
IF(BR$3=$DF21+'Model Setup'!$H$7,SUMIF($BH$3:$CE$3,"="&amp;$DF21+'Model Setup'!$H$7,$AD21:$BA21)+'Model Setup'!$H$8*(SUMIF($BH$3:$CE$3,"&lt;"&amp;$DF21,$AD21:$BA21)+SUMIF($BH$3:$CE$3,"&gt;"&amp;$CW$4,$AD21:$BA21)),
IF(BR$3=$DF21+'Model Setup'!$I$7,SUMIF($BH$3:$CE$3,"="&amp;$DF21+'Model Setup'!$I$7,$AD21:$BA21)+'Model Setup'!$I$8*(SUMIF($BH$3:$CE$3,"&lt;"&amp;$DF21,$AD21:$BA21)+SUMIF($BH$3:$CE$3,"&gt;"&amp;$CW$4,$AD21:$BA21)),
IF(BR$3=$DF21+'Model Setup'!$J$7,SUMIF($BH$3:$CE$3,"="&amp;$DF21+'Model Setup'!$J$7,$AD21:$BA21)+'Model Setup'!$J$8*(SUMIF($BH$3:$CE$3,"&lt;"&amp;$DF21,$AD21:$BA21)+SUMIF($BH$3:$CE$3,"&gt;"&amp;$CW$4,$AD21:$BA21)),
IF(BR$3=$DF21+'Model Setup'!$K$7,SUMIF($BH$3:$CE$3,"="&amp;$DF21+'Model Setup'!$K$7,$AD21:$BA21)+'Model Setup'!$K$8*(SUMIF($BH$3:$CE$3,"&lt;"&amp;$DF21,$AD21:$BA21)+SUMIF($BH$3:$CE$3,"&gt;"&amp;$CW$4,$AD21:$BA21)),
IF(BR$3=$DF21+'Model Setup'!$L$7,SUMIF($BH$3:$CE$3,"="&amp;$DF21+'Model Setup'!$L$7,$AD21:$BA21)+'Model Setup'!$L$8*(SUMIF($BH$3:$CE$3,"&lt;"&amp;$DF21,$AD21:$BA21)+SUMIF($BH$3:$CE$3,"&gt;"&amp;$CW$4,$AD21:$BA21)),
IF(BR$3=$DF21+'Model Setup'!$M$7,SUMIF($BH$3:$CE$3,"="&amp;$DF21+'Model Setup'!$M$7,$AD21:$BA21)+'Model Setup'!$M$8*(SUMIF($BH$3:$CE$3,"&lt;"&amp;$DF21,$AD21:$BA21)+SUMIF($BH$3:$CE$3,"&gt;"&amp;$CW$4,$AD21:$BA21)),
IF(BR$3=$DF21+'Model Setup'!$N$7,SUMIF($BH$3:$CE$3,"="&amp;$DF21+'Model Setup'!$N$7,$AD21:$BA21)+'Model Setup'!$N$8*(SUMIF($BH$3:$CE$3,"&lt;"&amp;$DF21,$AD21:$BA21)+SUMIF($BH$3:$CE$3,"&gt;"&amp;$CW$4,$AD21:$BA21)),
IF(BR$3&lt;$CW$4,L21,0))))))))))))))),0)</f>
        <v>25</v>
      </c>
      <c r="BS21" s="47">
        <f>ROUND(IF(OR(BS$3&lt;$DF21,BS$3&gt;$CW$4),0,
IF(BS$3=$DF21+'Model Setup'!$B$7,SUMIF($BH$3:$CE$3,"="&amp;$DF21+'Model Setup'!$B$7,$AD21:$BA21)+'Model Setup'!$B$8*(SUMIF($BH$3:$CE$3,"&lt;"&amp;$DF21,$AD21:$BA21)+SUMIF($BH$3:$CE$3,"&gt;"&amp;$CW$4,$AD21:$BA21)),
IF(BS$3=$DF21+'Model Setup'!$C$7,SUMIF($BH$3:$CE$3,"="&amp;$DF21+'Model Setup'!$C$7,$AD21:$BA21)+'Model Setup'!$C$8*(SUMIF($BH$3:$CE$3,"&lt;"&amp;$DF21,$AD21:$BA21)+SUMIF($BH$3:$CE$3,"&gt;"&amp;$CW$4,$AD21:$BA21)),
IF(BS$3=$DF21+'Model Setup'!$D$7,SUMIF($BH$3:$CE$3,"="&amp;$DF21+'Model Setup'!$D$7,$AD21:$BA21)+'Model Setup'!$D$8*(SUMIF($BH$3:$CE$3,"&lt;"&amp;$DF21,$AD21:$BA21)+SUMIF($BH$3:$CE$3,"&gt;"&amp;$CW$4,$AD21:$BA21)),
IF(BS$3=$DF21+'Model Setup'!$E$7,SUMIF($BH$3:$CE$3,"="&amp;$DF21+'Model Setup'!$E$7,$AD21:$BA21)+'Model Setup'!$E$8*(SUMIF($BH$3:$CE$3,"&lt;"&amp;$DF21,$AD21:$BA21)+SUMIF($BH$3:$CE$3,"&gt;"&amp;$CW$4,$AD21:$BA21)),
IF(BS$3=$DF21+'Model Setup'!$F$7,SUMIF($BH$3:$CE$3,"="&amp;$DF21+'Model Setup'!$F$7,$AD21:$BA21)+'Model Setup'!$F$8*(SUMIF($BH$3:$CE$3,"&lt;"&amp;$DF21,$AD21:$BA21)+SUMIF($BH$3:$CE$3,"&gt;"&amp;$CW$4,$AD21:$BA21)),
IF(BS$3=$DF21+'Model Setup'!$G$7,SUMIF($BH$3:$CE$3,"="&amp;$DF21+'Model Setup'!$G$7,$AD21:$BA21)+'Model Setup'!$G$8*(SUMIF($BH$3:$CE$3,"&lt;"&amp;$DF21,$AD21:$BA21)+SUMIF($BH$3:$CE$3,"&gt;"&amp;$CW$4,$AD21:$BA21)),
IF(BS$3=$DF21+'Model Setup'!$H$7,SUMIF($BH$3:$CE$3,"="&amp;$DF21+'Model Setup'!$H$7,$AD21:$BA21)+'Model Setup'!$H$8*(SUMIF($BH$3:$CE$3,"&lt;"&amp;$DF21,$AD21:$BA21)+SUMIF($BH$3:$CE$3,"&gt;"&amp;$CW$4,$AD21:$BA21)),
IF(BS$3=$DF21+'Model Setup'!$I$7,SUMIF($BH$3:$CE$3,"="&amp;$DF21+'Model Setup'!$I$7,$AD21:$BA21)+'Model Setup'!$I$8*(SUMIF($BH$3:$CE$3,"&lt;"&amp;$DF21,$AD21:$BA21)+SUMIF($BH$3:$CE$3,"&gt;"&amp;$CW$4,$AD21:$BA21)),
IF(BS$3=$DF21+'Model Setup'!$J$7,SUMIF($BH$3:$CE$3,"="&amp;$DF21+'Model Setup'!$J$7,$AD21:$BA21)+'Model Setup'!$J$8*(SUMIF($BH$3:$CE$3,"&lt;"&amp;$DF21,$AD21:$BA21)+SUMIF($BH$3:$CE$3,"&gt;"&amp;$CW$4,$AD21:$BA21)),
IF(BS$3=$DF21+'Model Setup'!$K$7,SUMIF($BH$3:$CE$3,"="&amp;$DF21+'Model Setup'!$K$7,$AD21:$BA21)+'Model Setup'!$K$8*(SUMIF($BH$3:$CE$3,"&lt;"&amp;$DF21,$AD21:$BA21)+SUMIF($BH$3:$CE$3,"&gt;"&amp;$CW$4,$AD21:$BA21)),
IF(BS$3=$DF21+'Model Setup'!$L$7,SUMIF($BH$3:$CE$3,"="&amp;$DF21+'Model Setup'!$L$7,$AD21:$BA21)+'Model Setup'!$L$8*(SUMIF($BH$3:$CE$3,"&lt;"&amp;$DF21,$AD21:$BA21)+SUMIF($BH$3:$CE$3,"&gt;"&amp;$CW$4,$AD21:$BA21)),
IF(BS$3=$DF21+'Model Setup'!$M$7,SUMIF($BH$3:$CE$3,"="&amp;$DF21+'Model Setup'!$M$7,$AD21:$BA21)+'Model Setup'!$M$8*(SUMIF($BH$3:$CE$3,"&lt;"&amp;$DF21,$AD21:$BA21)+SUMIF($BH$3:$CE$3,"&gt;"&amp;$CW$4,$AD21:$BA21)),
IF(BS$3=$DF21+'Model Setup'!$N$7,SUMIF($BH$3:$CE$3,"="&amp;$DF21+'Model Setup'!$N$7,$AD21:$BA21)+'Model Setup'!$N$8*(SUMIF($BH$3:$CE$3,"&lt;"&amp;$DF21,$AD21:$BA21)+SUMIF($BH$3:$CE$3,"&gt;"&amp;$CW$4,$AD21:$BA21)),
IF(BS$3&lt;$CW$4,M21,0))))))))))))))),0)</f>
        <v>15</v>
      </c>
      <c r="BT21" s="47">
        <f>ROUND(IF(OR(BT$3&lt;$DF21,BT$3&gt;$CW$4),0,
IF(BT$3=$DF21+'Model Setup'!$B$7,SUMIF($BH$3:$CE$3,"="&amp;$DF21+'Model Setup'!$B$7,$AD21:$BA21)+'Model Setup'!$B$8*(SUMIF($BH$3:$CE$3,"&lt;"&amp;$DF21,$AD21:$BA21)+SUMIF($BH$3:$CE$3,"&gt;"&amp;$CW$4,$AD21:$BA21)),
IF(BT$3=$DF21+'Model Setup'!$C$7,SUMIF($BH$3:$CE$3,"="&amp;$DF21+'Model Setup'!$C$7,$AD21:$BA21)+'Model Setup'!$C$8*(SUMIF($BH$3:$CE$3,"&lt;"&amp;$DF21,$AD21:$BA21)+SUMIF($BH$3:$CE$3,"&gt;"&amp;$CW$4,$AD21:$BA21)),
IF(BT$3=$DF21+'Model Setup'!$D$7,SUMIF($BH$3:$CE$3,"="&amp;$DF21+'Model Setup'!$D$7,$AD21:$BA21)+'Model Setup'!$D$8*(SUMIF($BH$3:$CE$3,"&lt;"&amp;$DF21,$AD21:$BA21)+SUMIF($BH$3:$CE$3,"&gt;"&amp;$CW$4,$AD21:$BA21)),
IF(BT$3=$DF21+'Model Setup'!$E$7,SUMIF($BH$3:$CE$3,"="&amp;$DF21+'Model Setup'!$E$7,$AD21:$BA21)+'Model Setup'!$E$8*(SUMIF($BH$3:$CE$3,"&lt;"&amp;$DF21,$AD21:$BA21)+SUMIF($BH$3:$CE$3,"&gt;"&amp;$CW$4,$AD21:$BA21)),
IF(BT$3=$DF21+'Model Setup'!$F$7,SUMIF($BH$3:$CE$3,"="&amp;$DF21+'Model Setup'!$F$7,$AD21:$BA21)+'Model Setup'!$F$8*(SUMIF($BH$3:$CE$3,"&lt;"&amp;$DF21,$AD21:$BA21)+SUMIF($BH$3:$CE$3,"&gt;"&amp;$CW$4,$AD21:$BA21)),
IF(BT$3=$DF21+'Model Setup'!$G$7,SUMIF($BH$3:$CE$3,"="&amp;$DF21+'Model Setup'!$G$7,$AD21:$BA21)+'Model Setup'!$G$8*(SUMIF($BH$3:$CE$3,"&lt;"&amp;$DF21,$AD21:$BA21)+SUMIF($BH$3:$CE$3,"&gt;"&amp;$CW$4,$AD21:$BA21)),
IF(BT$3=$DF21+'Model Setup'!$H$7,SUMIF($BH$3:$CE$3,"="&amp;$DF21+'Model Setup'!$H$7,$AD21:$BA21)+'Model Setup'!$H$8*(SUMIF($BH$3:$CE$3,"&lt;"&amp;$DF21,$AD21:$BA21)+SUMIF($BH$3:$CE$3,"&gt;"&amp;$CW$4,$AD21:$BA21)),
IF(BT$3=$DF21+'Model Setup'!$I$7,SUMIF($BH$3:$CE$3,"="&amp;$DF21+'Model Setup'!$I$7,$AD21:$BA21)+'Model Setup'!$I$8*(SUMIF($BH$3:$CE$3,"&lt;"&amp;$DF21,$AD21:$BA21)+SUMIF($BH$3:$CE$3,"&gt;"&amp;$CW$4,$AD21:$BA21)),
IF(BT$3=$DF21+'Model Setup'!$J$7,SUMIF($BH$3:$CE$3,"="&amp;$DF21+'Model Setup'!$J$7,$AD21:$BA21)+'Model Setup'!$J$8*(SUMIF($BH$3:$CE$3,"&lt;"&amp;$DF21,$AD21:$BA21)+SUMIF($BH$3:$CE$3,"&gt;"&amp;$CW$4,$AD21:$BA21)),
IF(BT$3=$DF21+'Model Setup'!$K$7,SUMIF($BH$3:$CE$3,"="&amp;$DF21+'Model Setup'!$K$7,$AD21:$BA21)+'Model Setup'!$K$8*(SUMIF($BH$3:$CE$3,"&lt;"&amp;$DF21,$AD21:$BA21)+SUMIF($BH$3:$CE$3,"&gt;"&amp;$CW$4,$AD21:$BA21)),
IF(BT$3=$DF21+'Model Setup'!$L$7,SUMIF($BH$3:$CE$3,"="&amp;$DF21+'Model Setup'!$L$7,$AD21:$BA21)+'Model Setup'!$L$8*(SUMIF($BH$3:$CE$3,"&lt;"&amp;$DF21,$AD21:$BA21)+SUMIF($BH$3:$CE$3,"&gt;"&amp;$CW$4,$AD21:$BA21)),
IF(BT$3=$DF21+'Model Setup'!$M$7,SUMIF($BH$3:$CE$3,"="&amp;$DF21+'Model Setup'!$M$7,$AD21:$BA21)+'Model Setup'!$M$8*(SUMIF($BH$3:$CE$3,"&lt;"&amp;$DF21,$AD21:$BA21)+SUMIF($BH$3:$CE$3,"&gt;"&amp;$CW$4,$AD21:$BA21)),
IF(BT$3=$DF21+'Model Setup'!$N$7,SUMIF($BH$3:$CE$3,"="&amp;$DF21+'Model Setup'!$N$7,$AD21:$BA21)+'Model Setup'!$N$8*(SUMIF($BH$3:$CE$3,"&lt;"&amp;$DF21,$AD21:$BA21)+SUMIF($BH$3:$CE$3,"&gt;"&amp;$CW$4,$AD21:$BA21)),
IF(BT$3&lt;$CW$4,N21,0))))))))))))))),0)</f>
        <v>10</v>
      </c>
      <c r="BU21" s="47">
        <f>ROUND(IF(OR(BU$3&lt;$DF21,BU$3&gt;$CW$4),0,
IF(BU$3=$DF21+'Model Setup'!$B$7,SUMIF($BH$3:$CE$3,"="&amp;$DF21+'Model Setup'!$B$7,$AD21:$BA21)+'Model Setup'!$B$8*(SUMIF($BH$3:$CE$3,"&lt;"&amp;$DF21,$AD21:$BA21)+SUMIF($BH$3:$CE$3,"&gt;"&amp;$CW$4,$AD21:$BA21)),
IF(BU$3=$DF21+'Model Setup'!$C$7,SUMIF($BH$3:$CE$3,"="&amp;$DF21+'Model Setup'!$C$7,$AD21:$BA21)+'Model Setup'!$C$8*(SUMIF($BH$3:$CE$3,"&lt;"&amp;$DF21,$AD21:$BA21)+SUMIF($BH$3:$CE$3,"&gt;"&amp;$CW$4,$AD21:$BA21)),
IF(BU$3=$DF21+'Model Setup'!$D$7,SUMIF($BH$3:$CE$3,"="&amp;$DF21+'Model Setup'!$D$7,$AD21:$BA21)+'Model Setup'!$D$8*(SUMIF($BH$3:$CE$3,"&lt;"&amp;$DF21,$AD21:$BA21)+SUMIF($BH$3:$CE$3,"&gt;"&amp;$CW$4,$AD21:$BA21)),
IF(BU$3=$DF21+'Model Setup'!$E$7,SUMIF($BH$3:$CE$3,"="&amp;$DF21+'Model Setup'!$E$7,$AD21:$BA21)+'Model Setup'!$E$8*(SUMIF($BH$3:$CE$3,"&lt;"&amp;$DF21,$AD21:$BA21)+SUMIF($BH$3:$CE$3,"&gt;"&amp;$CW$4,$AD21:$BA21)),
IF(BU$3=$DF21+'Model Setup'!$F$7,SUMIF($BH$3:$CE$3,"="&amp;$DF21+'Model Setup'!$F$7,$AD21:$BA21)+'Model Setup'!$F$8*(SUMIF($BH$3:$CE$3,"&lt;"&amp;$DF21,$AD21:$BA21)+SUMIF($BH$3:$CE$3,"&gt;"&amp;$CW$4,$AD21:$BA21)),
IF(BU$3=$DF21+'Model Setup'!$G$7,SUMIF($BH$3:$CE$3,"="&amp;$DF21+'Model Setup'!$G$7,$AD21:$BA21)+'Model Setup'!$G$8*(SUMIF($BH$3:$CE$3,"&lt;"&amp;$DF21,$AD21:$BA21)+SUMIF($BH$3:$CE$3,"&gt;"&amp;$CW$4,$AD21:$BA21)),
IF(BU$3=$DF21+'Model Setup'!$H$7,SUMIF($BH$3:$CE$3,"="&amp;$DF21+'Model Setup'!$H$7,$AD21:$BA21)+'Model Setup'!$H$8*(SUMIF($BH$3:$CE$3,"&lt;"&amp;$DF21,$AD21:$BA21)+SUMIF($BH$3:$CE$3,"&gt;"&amp;$CW$4,$AD21:$BA21)),
IF(BU$3=$DF21+'Model Setup'!$I$7,SUMIF($BH$3:$CE$3,"="&amp;$DF21+'Model Setup'!$I$7,$AD21:$BA21)+'Model Setup'!$I$8*(SUMIF($BH$3:$CE$3,"&lt;"&amp;$DF21,$AD21:$BA21)+SUMIF($BH$3:$CE$3,"&gt;"&amp;$CW$4,$AD21:$BA21)),
IF(BU$3=$DF21+'Model Setup'!$J$7,SUMIF($BH$3:$CE$3,"="&amp;$DF21+'Model Setup'!$J$7,$AD21:$BA21)+'Model Setup'!$J$8*(SUMIF($BH$3:$CE$3,"&lt;"&amp;$DF21,$AD21:$BA21)+SUMIF($BH$3:$CE$3,"&gt;"&amp;$CW$4,$AD21:$BA21)),
IF(BU$3=$DF21+'Model Setup'!$K$7,SUMIF($BH$3:$CE$3,"="&amp;$DF21+'Model Setup'!$K$7,$AD21:$BA21)+'Model Setup'!$K$8*(SUMIF($BH$3:$CE$3,"&lt;"&amp;$DF21,$AD21:$BA21)+SUMIF($BH$3:$CE$3,"&gt;"&amp;$CW$4,$AD21:$BA21)),
IF(BU$3=$DF21+'Model Setup'!$L$7,SUMIF($BH$3:$CE$3,"="&amp;$DF21+'Model Setup'!$L$7,$AD21:$BA21)+'Model Setup'!$L$8*(SUMIF($BH$3:$CE$3,"&lt;"&amp;$DF21,$AD21:$BA21)+SUMIF($BH$3:$CE$3,"&gt;"&amp;$CW$4,$AD21:$BA21)),
IF(BU$3=$DF21+'Model Setup'!$M$7,SUMIF($BH$3:$CE$3,"="&amp;$DF21+'Model Setup'!$M$7,$AD21:$BA21)+'Model Setup'!$M$8*(SUMIF($BH$3:$CE$3,"&lt;"&amp;$DF21,$AD21:$BA21)+SUMIF($BH$3:$CE$3,"&gt;"&amp;$CW$4,$AD21:$BA21)),
IF(BU$3=$DF21+'Model Setup'!$N$7,SUMIF($BH$3:$CE$3,"="&amp;$DF21+'Model Setup'!$N$7,$AD21:$BA21)+'Model Setup'!$N$8*(SUMIF($BH$3:$CE$3,"&lt;"&amp;$DF21,$AD21:$BA21)+SUMIF($BH$3:$CE$3,"&gt;"&amp;$CW$4,$AD21:$BA21)),
IF(BU$3&lt;$CW$4,O21,0))))))))))))))),0)</f>
        <v>10</v>
      </c>
      <c r="BV21" s="47">
        <f>ROUND(IF(OR(BV$3&lt;$DF21,BV$3&gt;$CW$4),0,
IF(BV$3=$DF21+'Model Setup'!$B$7,SUMIF($BH$3:$CE$3,"="&amp;$DF21+'Model Setup'!$B$7,$AD21:$BA21)+'Model Setup'!$B$8*(SUMIF($BH$3:$CE$3,"&lt;"&amp;$DF21,$AD21:$BA21)+SUMIF($BH$3:$CE$3,"&gt;"&amp;$CW$4,$AD21:$BA21)),
IF(BV$3=$DF21+'Model Setup'!$C$7,SUMIF($BH$3:$CE$3,"="&amp;$DF21+'Model Setup'!$C$7,$AD21:$BA21)+'Model Setup'!$C$8*(SUMIF($BH$3:$CE$3,"&lt;"&amp;$DF21,$AD21:$BA21)+SUMIF($BH$3:$CE$3,"&gt;"&amp;$CW$4,$AD21:$BA21)),
IF(BV$3=$DF21+'Model Setup'!$D$7,SUMIF($BH$3:$CE$3,"="&amp;$DF21+'Model Setup'!$D$7,$AD21:$BA21)+'Model Setup'!$D$8*(SUMIF($BH$3:$CE$3,"&lt;"&amp;$DF21,$AD21:$BA21)+SUMIF($BH$3:$CE$3,"&gt;"&amp;$CW$4,$AD21:$BA21)),
IF(BV$3=$DF21+'Model Setup'!$E$7,SUMIF($BH$3:$CE$3,"="&amp;$DF21+'Model Setup'!$E$7,$AD21:$BA21)+'Model Setup'!$E$8*(SUMIF($BH$3:$CE$3,"&lt;"&amp;$DF21,$AD21:$BA21)+SUMIF($BH$3:$CE$3,"&gt;"&amp;$CW$4,$AD21:$BA21)),
IF(BV$3=$DF21+'Model Setup'!$F$7,SUMIF($BH$3:$CE$3,"="&amp;$DF21+'Model Setup'!$F$7,$AD21:$BA21)+'Model Setup'!$F$8*(SUMIF($BH$3:$CE$3,"&lt;"&amp;$DF21,$AD21:$BA21)+SUMIF($BH$3:$CE$3,"&gt;"&amp;$CW$4,$AD21:$BA21)),
IF(BV$3=$DF21+'Model Setup'!$G$7,SUMIF($BH$3:$CE$3,"="&amp;$DF21+'Model Setup'!$G$7,$AD21:$BA21)+'Model Setup'!$G$8*(SUMIF($BH$3:$CE$3,"&lt;"&amp;$DF21,$AD21:$BA21)+SUMIF($BH$3:$CE$3,"&gt;"&amp;$CW$4,$AD21:$BA21)),
IF(BV$3=$DF21+'Model Setup'!$H$7,SUMIF($BH$3:$CE$3,"="&amp;$DF21+'Model Setup'!$H$7,$AD21:$BA21)+'Model Setup'!$H$8*(SUMIF($BH$3:$CE$3,"&lt;"&amp;$DF21,$AD21:$BA21)+SUMIF($BH$3:$CE$3,"&gt;"&amp;$CW$4,$AD21:$BA21)),
IF(BV$3=$DF21+'Model Setup'!$I$7,SUMIF($BH$3:$CE$3,"="&amp;$DF21+'Model Setup'!$I$7,$AD21:$BA21)+'Model Setup'!$I$8*(SUMIF($BH$3:$CE$3,"&lt;"&amp;$DF21,$AD21:$BA21)+SUMIF($BH$3:$CE$3,"&gt;"&amp;$CW$4,$AD21:$BA21)),
IF(BV$3=$DF21+'Model Setup'!$J$7,SUMIF($BH$3:$CE$3,"="&amp;$DF21+'Model Setup'!$J$7,$AD21:$BA21)+'Model Setup'!$J$8*(SUMIF($BH$3:$CE$3,"&lt;"&amp;$DF21,$AD21:$BA21)+SUMIF($BH$3:$CE$3,"&gt;"&amp;$CW$4,$AD21:$BA21)),
IF(BV$3=$DF21+'Model Setup'!$K$7,SUMIF($BH$3:$CE$3,"="&amp;$DF21+'Model Setup'!$K$7,$AD21:$BA21)+'Model Setup'!$K$8*(SUMIF($BH$3:$CE$3,"&lt;"&amp;$DF21,$AD21:$BA21)+SUMIF($BH$3:$CE$3,"&gt;"&amp;$CW$4,$AD21:$BA21)),
IF(BV$3=$DF21+'Model Setup'!$L$7,SUMIF($BH$3:$CE$3,"="&amp;$DF21+'Model Setup'!$L$7,$AD21:$BA21)+'Model Setup'!$L$8*(SUMIF($BH$3:$CE$3,"&lt;"&amp;$DF21,$AD21:$BA21)+SUMIF($BH$3:$CE$3,"&gt;"&amp;$CW$4,$AD21:$BA21)),
IF(BV$3=$DF21+'Model Setup'!$M$7,SUMIF($BH$3:$CE$3,"="&amp;$DF21+'Model Setup'!$M$7,$AD21:$BA21)+'Model Setup'!$M$8*(SUMIF($BH$3:$CE$3,"&lt;"&amp;$DF21,$AD21:$BA21)+SUMIF($BH$3:$CE$3,"&gt;"&amp;$CW$4,$AD21:$BA21)),
IF(BV$3=$DF21+'Model Setup'!$N$7,SUMIF($BH$3:$CE$3,"="&amp;$DF21+'Model Setup'!$N$7,$AD21:$BA21)+'Model Setup'!$N$8*(SUMIF($BH$3:$CE$3,"&lt;"&amp;$DF21,$AD21:$BA21)+SUMIF($BH$3:$CE$3,"&gt;"&amp;$CW$4,$AD21:$BA21)),
IF(BV$3&lt;$CW$4,P21,0))))))))))))))),0)</f>
        <v>14</v>
      </c>
      <c r="BW21" s="47">
        <f>ROUND(IF(OR(BW$3&lt;$DF21,BW$3&gt;$CW$4),0,
IF(BW$3=$DF21+'Model Setup'!$B$7,SUMIF($BH$3:$CE$3,"="&amp;$DF21+'Model Setup'!$B$7,$AD21:$BA21)+'Model Setup'!$B$8*(SUMIF($BH$3:$CE$3,"&lt;"&amp;$DF21,$AD21:$BA21)+SUMIF($BH$3:$CE$3,"&gt;"&amp;$CW$4,$AD21:$BA21)),
IF(BW$3=$DF21+'Model Setup'!$C$7,SUMIF($BH$3:$CE$3,"="&amp;$DF21+'Model Setup'!$C$7,$AD21:$BA21)+'Model Setup'!$C$8*(SUMIF($BH$3:$CE$3,"&lt;"&amp;$DF21,$AD21:$BA21)+SUMIF($BH$3:$CE$3,"&gt;"&amp;$CW$4,$AD21:$BA21)),
IF(BW$3=$DF21+'Model Setup'!$D$7,SUMIF($BH$3:$CE$3,"="&amp;$DF21+'Model Setup'!$D$7,$AD21:$BA21)+'Model Setup'!$D$8*(SUMIF($BH$3:$CE$3,"&lt;"&amp;$DF21,$AD21:$BA21)+SUMIF($BH$3:$CE$3,"&gt;"&amp;$CW$4,$AD21:$BA21)),
IF(BW$3=$DF21+'Model Setup'!$E$7,SUMIF($BH$3:$CE$3,"="&amp;$DF21+'Model Setup'!$E$7,$AD21:$BA21)+'Model Setup'!$E$8*(SUMIF($BH$3:$CE$3,"&lt;"&amp;$DF21,$AD21:$BA21)+SUMIF($BH$3:$CE$3,"&gt;"&amp;$CW$4,$AD21:$BA21)),
IF(BW$3=$DF21+'Model Setup'!$F$7,SUMIF($BH$3:$CE$3,"="&amp;$DF21+'Model Setup'!$F$7,$AD21:$BA21)+'Model Setup'!$F$8*(SUMIF($BH$3:$CE$3,"&lt;"&amp;$DF21,$AD21:$BA21)+SUMIF($BH$3:$CE$3,"&gt;"&amp;$CW$4,$AD21:$BA21)),
IF(BW$3=$DF21+'Model Setup'!$G$7,SUMIF($BH$3:$CE$3,"="&amp;$DF21+'Model Setup'!$G$7,$AD21:$BA21)+'Model Setup'!$G$8*(SUMIF($BH$3:$CE$3,"&lt;"&amp;$DF21,$AD21:$BA21)+SUMIF($BH$3:$CE$3,"&gt;"&amp;$CW$4,$AD21:$BA21)),
IF(BW$3=$DF21+'Model Setup'!$H$7,SUMIF($BH$3:$CE$3,"="&amp;$DF21+'Model Setup'!$H$7,$AD21:$BA21)+'Model Setup'!$H$8*(SUMIF($BH$3:$CE$3,"&lt;"&amp;$DF21,$AD21:$BA21)+SUMIF($BH$3:$CE$3,"&gt;"&amp;$CW$4,$AD21:$BA21)),
IF(BW$3=$DF21+'Model Setup'!$I$7,SUMIF($BH$3:$CE$3,"="&amp;$DF21+'Model Setup'!$I$7,$AD21:$BA21)+'Model Setup'!$I$8*(SUMIF($BH$3:$CE$3,"&lt;"&amp;$DF21,$AD21:$BA21)+SUMIF($BH$3:$CE$3,"&gt;"&amp;$CW$4,$AD21:$BA21)),
IF(BW$3=$DF21+'Model Setup'!$J$7,SUMIF($BH$3:$CE$3,"="&amp;$DF21+'Model Setup'!$J$7,$AD21:$BA21)+'Model Setup'!$J$8*(SUMIF($BH$3:$CE$3,"&lt;"&amp;$DF21,$AD21:$BA21)+SUMIF($BH$3:$CE$3,"&gt;"&amp;$CW$4,$AD21:$BA21)),
IF(BW$3=$DF21+'Model Setup'!$K$7,SUMIF($BH$3:$CE$3,"="&amp;$DF21+'Model Setup'!$K$7,$AD21:$BA21)+'Model Setup'!$K$8*(SUMIF($BH$3:$CE$3,"&lt;"&amp;$DF21,$AD21:$BA21)+SUMIF($BH$3:$CE$3,"&gt;"&amp;$CW$4,$AD21:$BA21)),
IF(BW$3=$DF21+'Model Setup'!$L$7,SUMIF($BH$3:$CE$3,"="&amp;$DF21+'Model Setup'!$L$7,$AD21:$BA21)+'Model Setup'!$L$8*(SUMIF($BH$3:$CE$3,"&lt;"&amp;$DF21,$AD21:$BA21)+SUMIF($BH$3:$CE$3,"&gt;"&amp;$CW$4,$AD21:$BA21)),
IF(BW$3=$DF21+'Model Setup'!$M$7,SUMIF($BH$3:$CE$3,"="&amp;$DF21+'Model Setup'!$M$7,$AD21:$BA21)+'Model Setup'!$M$8*(SUMIF($BH$3:$CE$3,"&lt;"&amp;$DF21,$AD21:$BA21)+SUMIF($BH$3:$CE$3,"&gt;"&amp;$CW$4,$AD21:$BA21)),
IF(BW$3=$DF21+'Model Setup'!$N$7,SUMIF($BH$3:$CE$3,"="&amp;$DF21+'Model Setup'!$N$7,$AD21:$BA21)+'Model Setup'!$N$8*(SUMIF($BH$3:$CE$3,"&lt;"&amp;$DF21,$AD21:$BA21)+SUMIF($BH$3:$CE$3,"&gt;"&amp;$CW$4,$AD21:$BA21)),
IF(BW$3&lt;$CW$4,Q21,0))))))))))))))),0)</f>
        <v>11</v>
      </c>
      <c r="BX21" s="47">
        <f>ROUND(IF(OR(BX$3&lt;$DF21,BX$3&gt;$CW$4),0,
IF(BX$3=$DF21+'Model Setup'!$B$7,SUMIF($BH$3:$CE$3,"="&amp;$DF21+'Model Setup'!$B$7,$AD21:$BA21)+'Model Setup'!$B$8*(SUMIF($BH$3:$CE$3,"&lt;"&amp;$DF21,$AD21:$BA21)+SUMIF($BH$3:$CE$3,"&gt;"&amp;$CW$4,$AD21:$BA21)),
IF(BX$3=$DF21+'Model Setup'!$C$7,SUMIF($BH$3:$CE$3,"="&amp;$DF21+'Model Setup'!$C$7,$AD21:$BA21)+'Model Setup'!$C$8*(SUMIF($BH$3:$CE$3,"&lt;"&amp;$DF21,$AD21:$BA21)+SUMIF($BH$3:$CE$3,"&gt;"&amp;$CW$4,$AD21:$BA21)),
IF(BX$3=$DF21+'Model Setup'!$D$7,SUMIF($BH$3:$CE$3,"="&amp;$DF21+'Model Setup'!$D$7,$AD21:$BA21)+'Model Setup'!$D$8*(SUMIF($BH$3:$CE$3,"&lt;"&amp;$DF21,$AD21:$BA21)+SUMIF($BH$3:$CE$3,"&gt;"&amp;$CW$4,$AD21:$BA21)),
IF(BX$3=$DF21+'Model Setup'!$E$7,SUMIF($BH$3:$CE$3,"="&amp;$DF21+'Model Setup'!$E$7,$AD21:$BA21)+'Model Setup'!$E$8*(SUMIF($BH$3:$CE$3,"&lt;"&amp;$DF21,$AD21:$BA21)+SUMIF($BH$3:$CE$3,"&gt;"&amp;$CW$4,$AD21:$BA21)),
IF(BX$3=$DF21+'Model Setup'!$F$7,SUMIF($BH$3:$CE$3,"="&amp;$DF21+'Model Setup'!$F$7,$AD21:$BA21)+'Model Setup'!$F$8*(SUMIF($BH$3:$CE$3,"&lt;"&amp;$DF21,$AD21:$BA21)+SUMIF($BH$3:$CE$3,"&gt;"&amp;$CW$4,$AD21:$BA21)),
IF(BX$3=$DF21+'Model Setup'!$G$7,SUMIF($BH$3:$CE$3,"="&amp;$DF21+'Model Setup'!$G$7,$AD21:$BA21)+'Model Setup'!$G$8*(SUMIF($BH$3:$CE$3,"&lt;"&amp;$DF21,$AD21:$BA21)+SUMIF($BH$3:$CE$3,"&gt;"&amp;$CW$4,$AD21:$BA21)),
IF(BX$3=$DF21+'Model Setup'!$H$7,SUMIF($BH$3:$CE$3,"="&amp;$DF21+'Model Setup'!$H$7,$AD21:$BA21)+'Model Setup'!$H$8*(SUMIF($BH$3:$CE$3,"&lt;"&amp;$DF21,$AD21:$BA21)+SUMIF($BH$3:$CE$3,"&gt;"&amp;$CW$4,$AD21:$BA21)),
IF(BX$3=$DF21+'Model Setup'!$I$7,SUMIF($BH$3:$CE$3,"="&amp;$DF21+'Model Setup'!$I$7,$AD21:$BA21)+'Model Setup'!$I$8*(SUMIF($BH$3:$CE$3,"&lt;"&amp;$DF21,$AD21:$BA21)+SUMIF($BH$3:$CE$3,"&gt;"&amp;$CW$4,$AD21:$BA21)),
IF(BX$3=$DF21+'Model Setup'!$J$7,SUMIF($BH$3:$CE$3,"="&amp;$DF21+'Model Setup'!$J$7,$AD21:$BA21)+'Model Setup'!$J$8*(SUMIF($BH$3:$CE$3,"&lt;"&amp;$DF21,$AD21:$BA21)+SUMIF($BH$3:$CE$3,"&gt;"&amp;$CW$4,$AD21:$BA21)),
IF(BX$3=$DF21+'Model Setup'!$K$7,SUMIF($BH$3:$CE$3,"="&amp;$DF21+'Model Setup'!$K$7,$AD21:$BA21)+'Model Setup'!$K$8*(SUMIF($BH$3:$CE$3,"&lt;"&amp;$DF21,$AD21:$BA21)+SUMIF($BH$3:$CE$3,"&gt;"&amp;$CW$4,$AD21:$BA21)),
IF(BX$3=$DF21+'Model Setup'!$L$7,SUMIF($BH$3:$CE$3,"="&amp;$DF21+'Model Setup'!$L$7,$AD21:$BA21)+'Model Setup'!$L$8*(SUMIF($BH$3:$CE$3,"&lt;"&amp;$DF21,$AD21:$BA21)+SUMIF($BH$3:$CE$3,"&gt;"&amp;$CW$4,$AD21:$BA21)),
IF(BX$3=$DF21+'Model Setup'!$M$7,SUMIF($BH$3:$CE$3,"="&amp;$DF21+'Model Setup'!$M$7,$AD21:$BA21)+'Model Setup'!$M$8*(SUMIF($BH$3:$CE$3,"&lt;"&amp;$DF21,$AD21:$BA21)+SUMIF($BH$3:$CE$3,"&gt;"&amp;$CW$4,$AD21:$BA21)),
IF(BX$3=$DF21+'Model Setup'!$N$7,SUMIF($BH$3:$CE$3,"="&amp;$DF21+'Model Setup'!$N$7,$AD21:$BA21)+'Model Setup'!$N$8*(SUMIF($BH$3:$CE$3,"&lt;"&amp;$DF21,$AD21:$BA21)+SUMIF($BH$3:$CE$3,"&gt;"&amp;$CW$4,$AD21:$BA21)),
IF(BX$3&lt;$CW$4,R21,0))))))))))))))),0)</f>
        <v>8</v>
      </c>
      <c r="BY21" s="47">
        <f>ROUND(IF(OR(BY$3&lt;$DF21,BY$3&gt;$CW$4),0,
IF(BY$3=$DF21+'Model Setup'!$B$7,SUMIF($BH$3:$CE$3,"="&amp;$DF21+'Model Setup'!$B$7,$AD21:$BA21)+'Model Setup'!$B$8*(SUMIF($BH$3:$CE$3,"&lt;"&amp;$DF21,$AD21:$BA21)+SUMIF($BH$3:$CE$3,"&gt;"&amp;$CW$4,$AD21:$BA21)),
IF(BY$3=$DF21+'Model Setup'!$C$7,SUMIF($BH$3:$CE$3,"="&amp;$DF21+'Model Setup'!$C$7,$AD21:$BA21)+'Model Setup'!$C$8*(SUMIF($BH$3:$CE$3,"&lt;"&amp;$DF21,$AD21:$BA21)+SUMIF($BH$3:$CE$3,"&gt;"&amp;$CW$4,$AD21:$BA21)),
IF(BY$3=$DF21+'Model Setup'!$D$7,SUMIF($BH$3:$CE$3,"="&amp;$DF21+'Model Setup'!$D$7,$AD21:$BA21)+'Model Setup'!$D$8*(SUMIF($BH$3:$CE$3,"&lt;"&amp;$DF21,$AD21:$BA21)+SUMIF($BH$3:$CE$3,"&gt;"&amp;$CW$4,$AD21:$BA21)),
IF(BY$3=$DF21+'Model Setup'!$E$7,SUMIF($BH$3:$CE$3,"="&amp;$DF21+'Model Setup'!$E$7,$AD21:$BA21)+'Model Setup'!$E$8*(SUMIF($BH$3:$CE$3,"&lt;"&amp;$DF21,$AD21:$BA21)+SUMIF($BH$3:$CE$3,"&gt;"&amp;$CW$4,$AD21:$BA21)),
IF(BY$3=$DF21+'Model Setup'!$F$7,SUMIF($BH$3:$CE$3,"="&amp;$DF21+'Model Setup'!$F$7,$AD21:$BA21)+'Model Setup'!$F$8*(SUMIF($BH$3:$CE$3,"&lt;"&amp;$DF21,$AD21:$BA21)+SUMIF($BH$3:$CE$3,"&gt;"&amp;$CW$4,$AD21:$BA21)),
IF(BY$3=$DF21+'Model Setup'!$G$7,SUMIF($BH$3:$CE$3,"="&amp;$DF21+'Model Setup'!$G$7,$AD21:$BA21)+'Model Setup'!$G$8*(SUMIF($BH$3:$CE$3,"&lt;"&amp;$DF21,$AD21:$BA21)+SUMIF($BH$3:$CE$3,"&gt;"&amp;$CW$4,$AD21:$BA21)),
IF(BY$3=$DF21+'Model Setup'!$H$7,SUMIF($BH$3:$CE$3,"="&amp;$DF21+'Model Setup'!$H$7,$AD21:$BA21)+'Model Setup'!$H$8*(SUMIF($BH$3:$CE$3,"&lt;"&amp;$DF21,$AD21:$BA21)+SUMIF($BH$3:$CE$3,"&gt;"&amp;$CW$4,$AD21:$BA21)),
IF(BY$3=$DF21+'Model Setup'!$I$7,SUMIF($BH$3:$CE$3,"="&amp;$DF21+'Model Setup'!$I$7,$AD21:$BA21)+'Model Setup'!$I$8*(SUMIF($BH$3:$CE$3,"&lt;"&amp;$DF21,$AD21:$BA21)+SUMIF($BH$3:$CE$3,"&gt;"&amp;$CW$4,$AD21:$BA21)),
IF(BY$3=$DF21+'Model Setup'!$J$7,SUMIF($BH$3:$CE$3,"="&amp;$DF21+'Model Setup'!$J$7,$AD21:$BA21)+'Model Setup'!$J$8*(SUMIF($BH$3:$CE$3,"&lt;"&amp;$DF21,$AD21:$BA21)+SUMIF($BH$3:$CE$3,"&gt;"&amp;$CW$4,$AD21:$BA21)),
IF(BY$3=$DF21+'Model Setup'!$K$7,SUMIF($BH$3:$CE$3,"="&amp;$DF21+'Model Setup'!$K$7,$AD21:$BA21)+'Model Setup'!$K$8*(SUMIF($BH$3:$CE$3,"&lt;"&amp;$DF21,$AD21:$BA21)+SUMIF($BH$3:$CE$3,"&gt;"&amp;$CW$4,$AD21:$BA21)),
IF(BY$3=$DF21+'Model Setup'!$L$7,SUMIF($BH$3:$CE$3,"="&amp;$DF21+'Model Setup'!$L$7,$AD21:$BA21)+'Model Setup'!$L$8*(SUMIF($BH$3:$CE$3,"&lt;"&amp;$DF21,$AD21:$BA21)+SUMIF($BH$3:$CE$3,"&gt;"&amp;$CW$4,$AD21:$BA21)),
IF(BY$3=$DF21+'Model Setup'!$M$7,SUMIF($BH$3:$CE$3,"="&amp;$DF21+'Model Setup'!$M$7,$AD21:$BA21)+'Model Setup'!$M$8*(SUMIF($BH$3:$CE$3,"&lt;"&amp;$DF21,$AD21:$BA21)+SUMIF($BH$3:$CE$3,"&gt;"&amp;$CW$4,$AD21:$BA21)),
IF(BY$3=$DF21+'Model Setup'!$N$7,SUMIF($BH$3:$CE$3,"="&amp;$DF21+'Model Setup'!$N$7,$AD21:$BA21)+'Model Setup'!$N$8*(SUMIF($BH$3:$CE$3,"&lt;"&amp;$DF21,$AD21:$BA21)+SUMIF($BH$3:$CE$3,"&gt;"&amp;$CW$4,$AD21:$BA21)),
IF(BY$3&lt;$CW$4,S21,0))))))))))))))),0)</f>
        <v>14</v>
      </c>
      <c r="BZ21" s="47">
        <f>ROUND(IF(OR(BZ$3&lt;$DF21,BZ$3&gt;$CW$4),0,
IF(BZ$3=$DF21+'Model Setup'!$B$7,SUMIF($BH$3:$CE$3,"="&amp;$DF21+'Model Setup'!$B$7,$AD21:$BA21)+'Model Setup'!$B$8*(SUMIF($BH$3:$CE$3,"&lt;"&amp;$DF21,$AD21:$BA21)+SUMIF($BH$3:$CE$3,"&gt;"&amp;$CW$4,$AD21:$BA21)),
IF(BZ$3=$DF21+'Model Setup'!$C$7,SUMIF($BH$3:$CE$3,"="&amp;$DF21+'Model Setup'!$C$7,$AD21:$BA21)+'Model Setup'!$C$8*(SUMIF($BH$3:$CE$3,"&lt;"&amp;$DF21,$AD21:$BA21)+SUMIF($BH$3:$CE$3,"&gt;"&amp;$CW$4,$AD21:$BA21)),
IF(BZ$3=$DF21+'Model Setup'!$D$7,SUMIF($BH$3:$CE$3,"="&amp;$DF21+'Model Setup'!$D$7,$AD21:$BA21)+'Model Setup'!$D$8*(SUMIF($BH$3:$CE$3,"&lt;"&amp;$DF21,$AD21:$BA21)+SUMIF($BH$3:$CE$3,"&gt;"&amp;$CW$4,$AD21:$BA21)),
IF(BZ$3=$DF21+'Model Setup'!$E$7,SUMIF($BH$3:$CE$3,"="&amp;$DF21+'Model Setup'!$E$7,$AD21:$BA21)+'Model Setup'!$E$8*(SUMIF($BH$3:$CE$3,"&lt;"&amp;$DF21,$AD21:$BA21)+SUMIF($BH$3:$CE$3,"&gt;"&amp;$CW$4,$AD21:$BA21)),
IF(BZ$3=$DF21+'Model Setup'!$F$7,SUMIF($BH$3:$CE$3,"="&amp;$DF21+'Model Setup'!$F$7,$AD21:$BA21)+'Model Setup'!$F$8*(SUMIF($BH$3:$CE$3,"&lt;"&amp;$DF21,$AD21:$BA21)+SUMIF($BH$3:$CE$3,"&gt;"&amp;$CW$4,$AD21:$BA21)),
IF(BZ$3=$DF21+'Model Setup'!$G$7,SUMIF($BH$3:$CE$3,"="&amp;$DF21+'Model Setup'!$G$7,$AD21:$BA21)+'Model Setup'!$G$8*(SUMIF($BH$3:$CE$3,"&lt;"&amp;$DF21,$AD21:$BA21)+SUMIF($BH$3:$CE$3,"&gt;"&amp;$CW$4,$AD21:$BA21)),
IF(BZ$3=$DF21+'Model Setup'!$H$7,SUMIF($BH$3:$CE$3,"="&amp;$DF21+'Model Setup'!$H$7,$AD21:$BA21)+'Model Setup'!$H$8*(SUMIF($BH$3:$CE$3,"&lt;"&amp;$DF21,$AD21:$BA21)+SUMIF($BH$3:$CE$3,"&gt;"&amp;$CW$4,$AD21:$BA21)),
IF(BZ$3=$DF21+'Model Setup'!$I$7,SUMIF($BH$3:$CE$3,"="&amp;$DF21+'Model Setup'!$I$7,$AD21:$BA21)+'Model Setup'!$I$8*(SUMIF($BH$3:$CE$3,"&lt;"&amp;$DF21,$AD21:$BA21)+SUMIF($BH$3:$CE$3,"&gt;"&amp;$CW$4,$AD21:$BA21)),
IF(BZ$3=$DF21+'Model Setup'!$J$7,SUMIF($BH$3:$CE$3,"="&amp;$DF21+'Model Setup'!$J$7,$AD21:$BA21)+'Model Setup'!$J$8*(SUMIF($BH$3:$CE$3,"&lt;"&amp;$DF21,$AD21:$BA21)+SUMIF($BH$3:$CE$3,"&gt;"&amp;$CW$4,$AD21:$BA21)),
IF(BZ$3=$DF21+'Model Setup'!$K$7,SUMIF($BH$3:$CE$3,"="&amp;$DF21+'Model Setup'!$K$7,$AD21:$BA21)+'Model Setup'!$K$8*(SUMIF($BH$3:$CE$3,"&lt;"&amp;$DF21,$AD21:$BA21)+SUMIF($BH$3:$CE$3,"&gt;"&amp;$CW$4,$AD21:$BA21)),
IF(BZ$3=$DF21+'Model Setup'!$L$7,SUMIF($BH$3:$CE$3,"="&amp;$DF21+'Model Setup'!$L$7,$AD21:$BA21)+'Model Setup'!$L$8*(SUMIF($BH$3:$CE$3,"&lt;"&amp;$DF21,$AD21:$BA21)+SUMIF($BH$3:$CE$3,"&gt;"&amp;$CW$4,$AD21:$BA21)),
IF(BZ$3=$DF21+'Model Setup'!$M$7,SUMIF($BH$3:$CE$3,"="&amp;$DF21+'Model Setup'!$M$7,$AD21:$BA21)+'Model Setup'!$M$8*(SUMIF($BH$3:$CE$3,"&lt;"&amp;$DF21,$AD21:$BA21)+SUMIF($BH$3:$CE$3,"&gt;"&amp;$CW$4,$AD21:$BA21)),
IF(BZ$3=$DF21+'Model Setup'!$N$7,SUMIF($BH$3:$CE$3,"="&amp;$DF21+'Model Setup'!$N$7,$AD21:$BA21)+'Model Setup'!$N$8*(SUMIF($BH$3:$CE$3,"&lt;"&amp;$DF21,$AD21:$BA21)+SUMIF($BH$3:$CE$3,"&gt;"&amp;$CW$4,$AD21:$BA21)),
IF(BZ$3&lt;$CW$4,T21,0))))))))))))))),0)</f>
        <v>8</v>
      </c>
      <c r="CA21" s="47">
        <f>ROUND(IF(OR(CA$3&lt;$DF21,CA$3&gt;$CW$4),0,
IF(CA$3=$DF21+'Model Setup'!$B$7,SUMIF($BH$3:$CE$3,"="&amp;$DF21+'Model Setup'!$B$7,$AD21:$BA21)+'Model Setup'!$B$8*(SUMIF($BH$3:$CE$3,"&lt;"&amp;$DF21,$AD21:$BA21)+SUMIF($BH$3:$CE$3,"&gt;"&amp;$CW$4,$AD21:$BA21)),
IF(CA$3=$DF21+'Model Setup'!$C$7,SUMIF($BH$3:$CE$3,"="&amp;$DF21+'Model Setup'!$C$7,$AD21:$BA21)+'Model Setup'!$C$8*(SUMIF($BH$3:$CE$3,"&lt;"&amp;$DF21,$AD21:$BA21)+SUMIF($BH$3:$CE$3,"&gt;"&amp;$CW$4,$AD21:$BA21)),
IF(CA$3=$DF21+'Model Setup'!$D$7,SUMIF($BH$3:$CE$3,"="&amp;$DF21+'Model Setup'!$D$7,$AD21:$BA21)+'Model Setup'!$D$8*(SUMIF($BH$3:$CE$3,"&lt;"&amp;$DF21,$AD21:$BA21)+SUMIF($BH$3:$CE$3,"&gt;"&amp;$CW$4,$AD21:$BA21)),
IF(CA$3=$DF21+'Model Setup'!$E$7,SUMIF($BH$3:$CE$3,"="&amp;$DF21+'Model Setup'!$E$7,$AD21:$BA21)+'Model Setup'!$E$8*(SUMIF($BH$3:$CE$3,"&lt;"&amp;$DF21,$AD21:$BA21)+SUMIF($BH$3:$CE$3,"&gt;"&amp;$CW$4,$AD21:$BA21)),
IF(CA$3=$DF21+'Model Setup'!$F$7,SUMIF($BH$3:$CE$3,"="&amp;$DF21+'Model Setup'!$F$7,$AD21:$BA21)+'Model Setup'!$F$8*(SUMIF($BH$3:$CE$3,"&lt;"&amp;$DF21,$AD21:$BA21)+SUMIF($BH$3:$CE$3,"&gt;"&amp;$CW$4,$AD21:$BA21)),
IF(CA$3=$DF21+'Model Setup'!$G$7,SUMIF($BH$3:$CE$3,"="&amp;$DF21+'Model Setup'!$G$7,$AD21:$BA21)+'Model Setup'!$G$8*(SUMIF($BH$3:$CE$3,"&lt;"&amp;$DF21,$AD21:$BA21)+SUMIF($BH$3:$CE$3,"&gt;"&amp;$CW$4,$AD21:$BA21)),
IF(CA$3=$DF21+'Model Setup'!$H$7,SUMIF($BH$3:$CE$3,"="&amp;$DF21+'Model Setup'!$H$7,$AD21:$BA21)+'Model Setup'!$H$8*(SUMIF($BH$3:$CE$3,"&lt;"&amp;$DF21,$AD21:$BA21)+SUMIF($BH$3:$CE$3,"&gt;"&amp;$CW$4,$AD21:$BA21)),
IF(CA$3=$DF21+'Model Setup'!$I$7,SUMIF($BH$3:$CE$3,"="&amp;$DF21+'Model Setup'!$I$7,$AD21:$BA21)+'Model Setup'!$I$8*(SUMIF($BH$3:$CE$3,"&lt;"&amp;$DF21,$AD21:$BA21)+SUMIF($BH$3:$CE$3,"&gt;"&amp;$CW$4,$AD21:$BA21)),
IF(CA$3=$DF21+'Model Setup'!$J$7,SUMIF($BH$3:$CE$3,"="&amp;$DF21+'Model Setup'!$J$7,$AD21:$BA21)+'Model Setup'!$J$8*(SUMIF($BH$3:$CE$3,"&lt;"&amp;$DF21,$AD21:$BA21)+SUMIF($BH$3:$CE$3,"&gt;"&amp;$CW$4,$AD21:$BA21)),
IF(CA$3=$DF21+'Model Setup'!$K$7,SUMIF($BH$3:$CE$3,"="&amp;$DF21+'Model Setup'!$K$7,$AD21:$BA21)+'Model Setup'!$K$8*(SUMIF($BH$3:$CE$3,"&lt;"&amp;$DF21,$AD21:$BA21)+SUMIF($BH$3:$CE$3,"&gt;"&amp;$CW$4,$AD21:$BA21)),
IF(CA$3=$DF21+'Model Setup'!$L$7,SUMIF($BH$3:$CE$3,"="&amp;$DF21+'Model Setup'!$L$7,$AD21:$BA21)+'Model Setup'!$L$8*(SUMIF($BH$3:$CE$3,"&lt;"&amp;$DF21,$AD21:$BA21)+SUMIF($BH$3:$CE$3,"&gt;"&amp;$CW$4,$AD21:$BA21)),
IF(CA$3=$DF21+'Model Setup'!$M$7,SUMIF($BH$3:$CE$3,"="&amp;$DF21+'Model Setup'!$M$7,$AD21:$BA21)+'Model Setup'!$M$8*(SUMIF($BH$3:$CE$3,"&lt;"&amp;$DF21,$AD21:$BA21)+SUMIF($BH$3:$CE$3,"&gt;"&amp;$CW$4,$AD21:$BA21)),
IF(CA$3=$DF21+'Model Setup'!$N$7,SUMIF($BH$3:$CE$3,"="&amp;$DF21+'Model Setup'!$N$7,$AD21:$BA21)+'Model Setup'!$N$8*(SUMIF($BH$3:$CE$3,"&lt;"&amp;$DF21,$AD21:$BA21)+SUMIF($BH$3:$CE$3,"&gt;"&amp;$CW$4,$AD21:$BA21)),
IF(CA$3&lt;$CW$4,U21,0))))))))))))))),0)</f>
        <v>0</v>
      </c>
      <c r="CB21" s="47">
        <f>ROUND(IF(OR(CB$3&lt;$DF21,CB$3&gt;$CW$4),0,
IF(CB$3=$DF21+'Model Setup'!$B$7,SUMIF($BH$3:$CE$3,"="&amp;$DF21+'Model Setup'!$B$7,$AD21:$BA21)+'Model Setup'!$B$8*(SUMIF($BH$3:$CE$3,"&lt;"&amp;$DF21,$AD21:$BA21)+SUMIF($BH$3:$CE$3,"&gt;"&amp;$CW$4,$AD21:$BA21)),
IF(CB$3=$DF21+'Model Setup'!$C$7,SUMIF($BH$3:$CE$3,"="&amp;$DF21+'Model Setup'!$C$7,$AD21:$BA21)+'Model Setup'!$C$8*(SUMIF($BH$3:$CE$3,"&lt;"&amp;$DF21,$AD21:$BA21)+SUMIF($BH$3:$CE$3,"&gt;"&amp;$CW$4,$AD21:$BA21)),
IF(CB$3=$DF21+'Model Setup'!$D$7,SUMIF($BH$3:$CE$3,"="&amp;$DF21+'Model Setup'!$D$7,$AD21:$BA21)+'Model Setup'!$D$8*(SUMIF($BH$3:$CE$3,"&lt;"&amp;$DF21,$AD21:$BA21)+SUMIF($BH$3:$CE$3,"&gt;"&amp;$CW$4,$AD21:$BA21)),
IF(CB$3=$DF21+'Model Setup'!$E$7,SUMIF($BH$3:$CE$3,"="&amp;$DF21+'Model Setup'!$E$7,$AD21:$BA21)+'Model Setup'!$E$8*(SUMIF($BH$3:$CE$3,"&lt;"&amp;$DF21,$AD21:$BA21)+SUMIF($BH$3:$CE$3,"&gt;"&amp;$CW$4,$AD21:$BA21)),
IF(CB$3=$DF21+'Model Setup'!$F$7,SUMIF($BH$3:$CE$3,"="&amp;$DF21+'Model Setup'!$F$7,$AD21:$BA21)+'Model Setup'!$F$8*(SUMIF($BH$3:$CE$3,"&lt;"&amp;$DF21,$AD21:$BA21)+SUMIF($BH$3:$CE$3,"&gt;"&amp;$CW$4,$AD21:$BA21)),
IF(CB$3=$DF21+'Model Setup'!$G$7,SUMIF($BH$3:$CE$3,"="&amp;$DF21+'Model Setup'!$G$7,$AD21:$BA21)+'Model Setup'!$G$8*(SUMIF($BH$3:$CE$3,"&lt;"&amp;$DF21,$AD21:$BA21)+SUMIF($BH$3:$CE$3,"&gt;"&amp;$CW$4,$AD21:$BA21)),
IF(CB$3=$DF21+'Model Setup'!$H$7,SUMIF($BH$3:$CE$3,"="&amp;$DF21+'Model Setup'!$H$7,$AD21:$BA21)+'Model Setup'!$H$8*(SUMIF($BH$3:$CE$3,"&lt;"&amp;$DF21,$AD21:$BA21)+SUMIF($BH$3:$CE$3,"&gt;"&amp;$CW$4,$AD21:$BA21)),
IF(CB$3=$DF21+'Model Setup'!$I$7,SUMIF($BH$3:$CE$3,"="&amp;$DF21+'Model Setup'!$I$7,$AD21:$BA21)+'Model Setup'!$I$8*(SUMIF($BH$3:$CE$3,"&lt;"&amp;$DF21,$AD21:$BA21)+SUMIF($BH$3:$CE$3,"&gt;"&amp;$CW$4,$AD21:$BA21)),
IF(CB$3=$DF21+'Model Setup'!$J$7,SUMIF($BH$3:$CE$3,"="&amp;$DF21+'Model Setup'!$J$7,$AD21:$BA21)+'Model Setup'!$J$8*(SUMIF($BH$3:$CE$3,"&lt;"&amp;$DF21,$AD21:$BA21)+SUMIF($BH$3:$CE$3,"&gt;"&amp;$CW$4,$AD21:$BA21)),
IF(CB$3=$DF21+'Model Setup'!$K$7,SUMIF($BH$3:$CE$3,"="&amp;$DF21+'Model Setup'!$K$7,$AD21:$BA21)+'Model Setup'!$K$8*(SUMIF($BH$3:$CE$3,"&lt;"&amp;$DF21,$AD21:$BA21)+SUMIF($BH$3:$CE$3,"&gt;"&amp;$CW$4,$AD21:$BA21)),
IF(CB$3=$DF21+'Model Setup'!$L$7,SUMIF($BH$3:$CE$3,"="&amp;$DF21+'Model Setup'!$L$7,$AD21:$BA21)+'Model Setup'!$L$8*(SUMIF($BH$3:$CE$3,"&lt;"&amp;$DF21,$AD21:$BA21)+SUMIF($BH$3:$CE$3,"&gt;"&amp;$CW$4,$AD21:$BA21)),
IF(CB$3=$DF21+'Model Setup'!$M$7,SUMIF($BH$3:$CE$3,"="&amp;$DF21+'Model Setup'!$M$7,$AD21:$BA21)+'Model Setup'!$M$8*(SUMIF($BH$3:$CE$3,"&lt;"&amp;$DF21,$AD21:$BA21)+SUMIF($BH$3:$CE$3,"&gt;"&amp;$CW$4,$AD21:$BA21)),
IF(CB$3=$DF21+'Model Setup'!$N$7,SUMIF($BH$3:$CE$3,"="&amp;$DF21+'Model Setup'!$N$7,$AD21:$BA21)+'Model Setup'!$N$8*(SUMIF($BH$3:$CE$3,"&lt;"&amp;$DF21,$AD21:$BA21)+SUMIF($BH$3:$CE$3,"&gt;"&amp;$CW$4,$AD21:$BA21)),
IF(CB$3&lt;$CW$4,V21,0))))))))))))))),0)</f>
        <v>0</v>
      </c>
      <c r="CC21" s="47">
        <f>ROUND(IF(OR(CC$3&lt;$DF21,CC$3&gt;$CW$4),0,
IF(CC$3=$DF21+'Model Setup'!$B$7,SUMIF($BH$3:$CE$3,"="&amp;$DF21+'Model Setup'!$B$7,$AD21:$BA21)+'Model Setup'!$B$8*(SUMIF($BH$3:$CE$3,"&lt;"&amp;$DF21,$AD21:$BA21)+SUMIF($BH$3:$CE$3,"&gt;"&amp;$CW$4,$AD21:$BA21)),
IF(CC$3=$DF21+'Model Setup'!$C$7,SUMIF($BH$3:$CE$3,"="&amp;$DF21+'Model Setup'!$C$7,$AD21:$BA21)+'Model Setup'!$C$8*(SUMIF($BH$3:$CE$3,"&lt;"&amp;$DF21,$AD21:$BA21)+SUMIF($BH$3:$CE$3,"&gt;"&amp;$CW$4,$AD21:$BA21)),
IF(CC$3=$DF21+'Model Setup'!$D$7,SUMIF($BH$3:$CE$3,"="&amp;$DF21+'Model Setup'!$D$7,$AD21:$BA21)+'Model Setup'!$D$8*(SUMIF($BH$3:$CE$3,"&lt;"&amp;$DF21,$AD21:$BA21)+SUMIF($BH$3:$CE$3,"&gt;"&amp;$CW$4,$AD21:$BA21)),
IF(CC$3=$DF21+'Model Setup'!$E$7,SUMIF($BH$3:$CE$3,"="&amp;$DF21+'Model Setup'!$E$7,$AD21:$BA21)+'Model Setup'!$E$8*(SUMIF($BH$3:$CE$3,"&lt;"&amp;$DF21,$AD21:$BA21)+SUMIF($BH$3:$CE$3,"&gt;"&amp;$CW$4,$AD21:$BA21)),
IF(CC$3=$DF21+'Model Setup'!$F$7,SUMIF($BH$3:$CE$3,"="&amp;$DF21+'Model Setup'!$F$7,$AD21:$BA21)+'Model Setup'!$F$8*(SUMIF($BH$3:$CE$3,"&lt;"&amp;$DF21,$AD21:$BA21)+SUMIF($BH$3:$CE$3,"&gt;"&amp;$CW$4,$AD21:$BA21)),
IF(CC$3=$DF21+'Model Setup'!$G$7,SUMIF($BH$3:$CE$3,"="&amp;$DF21+'Model Setup'!$G$7,$AD21:$BA21)+'Model Setup'!$G$8*(SUMIF($BH$3:$CE$3,"&lt;"&amp;$DF21,$AD21:$BA21)+SUMIF($BH$3:$CE$3,"&gt;"&amp;$CW$4,$AD21:$BA21)),
IF(CC$3=$DF21+'Model Setup'!$H$7,SUMIF($BH$3:$CE$3,"="&amp;$DF21+'Model Setup'!$H$7,$AD21:$BA21)+'Model Setup'!$H$8*(SUMIF($BH$3:$CE$3,"&lt;"&amp;$DF21,$AD21:$BA21)+SUMIF($BH$3:$CE$3,"&gt;"&amp;$CW$4,$AD21:$BA21)),
IF(CC$3=$DF21+'Model Setup'!$I$7,SUMIF($BH$3:$CE$3,"="&amp;$DF21+'Model Setup'!$I$7,$AD21:$BA21)+'Model Setup'!$I$8*(SUMIF($BH$3:$CE$3,"&lt;"&amp;$DF21,$AD21:$BA21)+SUMIF($BH$3:$CE$3,"&gt;"&amp;$CW$4,$AD21:$BA21)),
IF(CC$3=$DF21+'Model Setup'!$J$7,SUMIF($BH$3:$CE$3,"="&amp;$DF21+'Model Setup'!$J$7,$AD21:$BA21)+'Model Setup'!$J$8*(SUMIF($BH$3:$CE$3,"&lt;"&amp;$DF21,$AD21:$BA21)+SUMIF($BH$3:$CE$3,"&gt;"&amp;$CW$4,$AD21:$BA21)),
IF(CC$3=$DF21+'Model Setup'!$K$7,SUMIF($BH$3:$CE$3,"="&amp;$DF21+'Model Setup'!$K$7,$AD21:$BA21)+'Model Setup'!$K$8*(SUMIF($BH$3:$CE$3,"&lt;"&amp;$DF21,$AD21:$BA21)+SUMIF($BH$3:$CE$3,"&gt;"&amp;$CW$4,$AD21:$BA21)),
IF(CC$3=$DF21+'Model Setup'!$L$7,SUMIF($BH$3:$CE$3,"="&amp;$DF21+'Model Setup'!$L$7,$AD21:$BA21)+'Model Setup'!$L$8*(SUMIF($BH$3:$CE$3,"&lt;"&amp;$DF21,$AD21:$BA21)+SUMIF($BH$3:$CE$3,"&gt;"&amp;$CW$4,$AD21:$BA21)),
IF(CC$3=$DF21+'Model Setup'!$M$7,SUMIF($BH$3:$CE$3,"="&amp;$DF21+'Model Setup'!$M$7,$AD21:$BA21)+'Model Setup'!$M$8*(SUMIF($BH$3:$CE$3,"&lt;"&amp;$DF21,$AD21:$BA21)+SUMIF($BH$3:$CE$3,"&gt;"&amp;$CW$4,$AD21:$BA21)),
IF(CC$3=$DF21+'Model Setup'!$N$7,SUMIF($BH$3:$CE$3,"="&amp;$DF21+'Model Setup'!$N$7,$AD21:$BA21)+'Model Setup'!$N$8*(SUMIF($BH$3:$CE$3,"&lt;"&amp;$DF21,$AD21:$BA21)+SUMIF($BH$3:$CE$3,"&gt;"&amp;$CW$4,$AD21:$BA21)),
IF(CC$3&lt;$CW$4,W21,0))))))))))))))),0)</f>
        <v>0</v>
      </c>
      <c r="CD21" s="47">
        <f>ROUND(IF(OR(CD$3&lt;$DF21,CD$3&gt;$CW$4),0,
IF(CD$3=$DF21+'Model Setup'!$B$7,SUMIF($BH$3:$CE$3,"="&amp;$DF21+'Model Setup'!$B$7,$AD21:$BA21)+'Model Setup'!$B$8*(SUMIF($BH$3:$CE$3,"&lt;"&amp;$DF21,$AD21:$BA21)+SUMIF($BH$3:$CE$3,"&gt;"&amp;$CW$4,$AD21:$BA21)),
IF(CD$3=$DF21+'Model Setup'!$C$7,SUMIF($BH$3:$CE$3,"="&amp;$DF21+'Model Setup'!$C$7,$AD21:$BA21)+'Model Setup'!$C$8*(SUMIF($BH$3:$CE$3,"&lt;"&amp;$DF21,$AD21:$BA21)+SUMIF($BH$3:$CE$3,"&gt;"&amp;$CW$4,$AD21:$BA21)),
IF(CD$3=$DF21+'Model Setup'!$D$7,SUMIF($BH$3:$CE$3,"="&amp;$DF21+'Model Setup'!$D$7,$AD21:$BA21)+'Model Setup'!$D$8*(SUMIF($BH$3:$CE$3,"&lt;"&amp;$DF21,$AD21:$BA21)+SUMIF($BH$3:$CE$3,"&gt;"&amp;$CW$4,$AD21:$BA21)),
IF(CD$3=$DF21+'Model Setup'!$E$7,SUMIF($BH$3:$CE$3,"="&amp;$DF21+'Model Setup'!$E$7,$AD21:$BA21)+'Model Setup'!$E$8*(SUMIF($BH$3:$CE$3,"&lt;"&amp;$DF21,$AD21:$BA21)+SUMIF($BH$3:$CE$3,"&gt;"&amp;$CW$4,$AD21:$BA21)),
IF(CD$3=$DF21+'Model Setup'!$F$7,SUMIF($BH$3:$CE$3,"="&amp;$DF21+'Model Setup'!$F$7,$AD21:$BA21)+'Model Setup'!$F$8*(SUMIF($BH$3:$CE$3,"&lt;"&amp;$DF21,$AD21:$BA21)+SUMIF($BH$3:$CE$3,"&gt;"&amp;$CW$4,$AD21:$BA21)),
IF(CD$3=$DF21+'Model Setup'!$G$7,SUMIF($BH$3:$CE$3,"="&amp;$DF21+'Model Setup'!$G$7,$AD21:$BA21)+'Model Setup'!$G$8*(SUMIF($BH$3:$CE$3,"&lt;"&amp;$DF21,$AD21:$BA21)+SUMIF($BH$3:$CE$3,"&gt;"&amp;$CW$4,$AD21:$BA21)),
IF(CD$3=$DF21+'Model Setup'!$H$7,SUMIF($BH$3:$CE$3,"="&amp;$DF21+'Model Setup'!$H$7,$AD21:$BA21)+'Model Setup'!$H$8*(SUMIF($BH$3:$CE$3,"&lt;"&amp;$DF21,$AD21:$BA21)+SUMIF($BH$3:$CE$3,"&gt;"&amp;$CW$4,$AD21:$BA21)),
IF(CD$3=$DF21+'Model Setup'!$I$7,SUMIF($BH$3:$CE$3,"="&amp;$DF21+'Model Setup'!$I$7,$AD21:$BA21)+'Model Setup'!$I$8*(SUMIF($BH$3:$CE$3,"&lt;"&amp;$DF21,$AD21:$BA21)+SUMIF($BH$3:$CE$3,"&gt;"&amp;$CW$4,$AD21:$BA21)),
IF(CD$3=$DF21+'Model Setup'!$J$7,SUMIF($BH$3:$CE$3,"="&amp;$DF21+'Model Setup'!$J$7,$AD21:$BA21)+'Model Setup'!$J$8*(SUMIF($BH$3:$CE$3,"&lt;"&amp;$DF21,$AD21:$BA21)+SUMIF($BH$3:$CE$3,"&gt;"&amp;$CW$4,$AD21:$BA21)),
IF(CD$3=$DF21+'Model Setup'!$K$7,SUMIF($BH$3:$CE$3,"="&amp;$DF21+'Model Setup'!$K$7,$AD21:$BA21)+'Model Setup'!$K$8*(SUMIF($BH$3:$CE$3,"&lt;"&amp;$DF21,$AD21:$BA21)+SUMIF($BH$3:$CE$3,"&gt;"&amp;$CW$4,$AD21:$BA21)),
IF(CD$3=$DF21+'Model Setup'!$L$7,SUMIF($BH$3:$CE$3,"="&amp;$DF21+'Model Setup'!$L$7,$AD21:$BA21)+'Model Setup'!$L$8*(SUMIF($BH$3:$CE$3,"&lt;"&amp;$DF21,$AD21:$BA21)+SUMIF($BH$3:$CE$3,"&gt;"&amp;$CW$4,$AD21:$BA21)),
IF(CD$3=$DF21+'Model Setup'!$M$7,SUMIF($BH$3:$CE$3,"="&amp;$DF21+'Model Setup'!$M$7,$AD21:$BA21)+'Model Setup'!$M$8*(SUMIF($BH$3:$CE$3,"&lt;"&amp;$DF21,$AD21:$BA21)+SUMIF($BH$3:$CE$3,"&gt;"&amp;$CW$4,$AD21:$BA21)),
IF(CD$3=$DF21+'Model Setup'!$N$7,SUMIF($BH$3:$CE$3,"="&amp;$DF21+'Model Setup'!$N$7,$AD21:$BA21)+'Model Setup'!$N$8*(SUMIF($BH$3:$CE$3,"&lt;"&amp;$DF21,$AD21:$BA21)+SUMIF($BH$3:$CE$3,"&gt;"&amp;$CW$4,$AD21:$BA21)),
IF(CD$3&lt;$CW$4,X21,0))))))))))))))),0)</f>
        <v>0</v>
      </c>
      <c r="CE21" s="47">
        <f>ROUND(IF(OR(CE$3&lt;$DF21,CE$3&gt;$CW$4),0,
IF(CE$3=$DF21+'Model Setup'!$B$7,SUMIF($BH$3:$CE$3,"="&amp;$DF21+'Model Setup'!$B$7,$AD21:$BA21)+'Model Setup'!$B$8*(SUMIF($BH$3:$CE$3,"&lt;"&amp;$DF21,$AD21:$BA21)+SUMIF($BH$3:$CE$3,"&gt;"&amp;$CW$4,$AD21:$BA21)),
IF(CE$3=$DF21+'Model Setup'!$C$7,SUMIF($BH$3:$CE$3,"="&amp;$DF21+'Model Setup'!$C$7,$AD21:$BA21)+'Model Setup'!$C$8*(SUMIF($BH$3:$CE$3,"&lt;"&amp;$DF21,$AD21:$BA21)+SUMIF($BH$3:$CE$3,"&gt;"&amp;$CW$4,$AD21:$BA21)),
IF(CE$3=$DF21+'Model Setup'!$D$7,SUMIF($BH$3:$CE$3,"="&amp;$DF21+'Model Setup'!$D$7,$AD21:$BA21)+'Model Setup'!$D$8*(SUMIF($BH$3:$CE$3,"&lt;"&amp;$DF21,$AD21:$BA21)+SUMIF($BH$3:$CE$3,"&gt;"&amp;$CW$4,$AD21:$BA21)),
IF(CE$3=$DF21+'Model Setup'!$E$7,SUMIF($BH$3:$CE$3,"="&amp;$DF21+'Model Setup'!$E$7,$AD21:$BA21)+'Model Setup'!$E$8*(SUMIF($BH$3:$CE$3,"&lt;"&amp;$DF21,$AD21:$BA21)+SUMIF($BH$3:$CE$3,"&gt;"&amp;$CW$4,$AD21:$BA21)),
IF(CE$3=$DF21+'Model Setup'!$F$7,SUMIF($BH$3:$CE$3,"="&amp;$DF21+'Model Setup'!$F$7,$AD21:$BA21)+'Model Setup'!$F$8*(SUMIF($BH$3:$CE$3,"&lt;"&amp;$DF21,$AD21:$BA21)+SUMIF($BH$3:$CE$3,"&gt;"&amp;$CW$4,$AD21:$BA21)),
IF(CE$3=$DF21+'Model Setup'!$G$7,SUMIF($BH$3:$CE$3,"="&amp;$DF21+'Model Setup'!$G$7,$AD21:$BA21)+'Model Setup'!$G$8*(SUMIF($BH$3:$CE$3,"&lt;"&amp;$DF21,$AD21:$BA21)+SUMIF($BH$3:$CE$3,"&gt;"&amp;$CW$4,$AD21:$BA21)),
IF(CE$3=$DF21+'Model Setup'!$H$7,SUMIF($BH$3:$CE$3,"="&amp;$DF21+'Model Setup'!$H$7,$AD21:$BA21)+'Model Setup'!$H$8*(SUMIF($BH$3:$CE$3,"&lt;"&amp;$DF21,$AD21:$BA21)+SUMIF($BH$3:$CE$3,"&gt;"&amp;$CW$4,$AD21:$BA21)),
IF(CE$3=$DF21+'Model Setup'!$I$7,SUMIF($BH$3:$CE$3,"="&amp;$DF21+'Model Setup'!$I$7,$AD21:$BA21)+'Model Setup'!$I$8*(SUMIF($BH$3:$CE$3,"&lt;"&amp;$DF21,$AD21:$BA21)+SUMIF($BH$3:$CE$3,"&gt;"&amp;$CW$4,$AD21:$BA21)),
IF(CE$3=$DF21+'Model Setup'!$J$7,SUMIF($BH$3:$CE$3,"="&amp;$DF21+'Model Setup'!$J$7,$AD21:$BA21)+'Model Setup'!$J$8*(SUMIF($BH$3:$CE$3,"&lt;"&amp;$DF21,$AD21:$BA21)+SUMIF($BH$3:$CE$3,"&gt;"&amp;$CW$4,$AD21:$BA21)),
IF(CE$3=$DF21+'Model Setup'!$K$7,SUMIF($BH$3:$CE$3,"="&amp;$DF21+'Model Setup'!$K$7,$AD21:$BA21)+'Model Setup'!$K$8*(SUMIF($BH$3:$CE$3,"&lt;"&amp;$DF21,$AD21:$BA21)+SUMIF($BH$3:$CE$3,"&gt;"&amp;$CW$4,$AD21:$BA21)),
IF(CE$3=$DF21+'Model Setup'!$L$7,SUMIF($BH$3:$CE$3,"="&amp;$DF21+'Model Setup'!$L$7,$AD21:$BA21)+'Model Setup'!$L$8*(SUMIF($BH$3:$CE$3,"&lt;"&amp;$DF21,$AD21:$BA21)+SUMIF($BH$3:$CE$3,"&gt;"&amp;$CW$4,$AD21:$BA21)),
IF(CE$3=$DF21+'Model Setup'!$M$7,SUMIF($BH$3:$CE$3,"="&amp;$DF21+'Model Setup'!$M$7,$AD21:$BA21)+'Model Setup'!$M$8*(SUMIF($BH$3:$CE$3,"&lt;"&amp;$DF21,$AD21:$BA21)+SUMIF($BH$3:$CE$3,"&gt;"&amp;$CW$4,$AD21:$BA21)),
IF(CE$3=$DF21+'Model Setup'!$N$7,SUMIF($BH$3:$CE$3,"="&amp;$DF21+'Model Setup'!$N$7,$AD21:$BA21)+'Model Setup'!$N$8*(SUMIF($BH$3:$CE$3,"&lt;"&amp;$DF21,$AD21:$BA21)+SUMIF($BH$3:$CE$3,"&gt;"&amp;$CW$4,$AD21:$BA21)),
IF(CE$3&lt;$CW$4,Y21,0))))))))))))))),0)</f>
        <v>0</v>
      </c>
      <c r="CF21" s="47">
        <f t="shared" si="3"/>
        <v>223</v>
      </c>
      <c r="CG21" s="47">
        <f t="shared" si="4"/>
        <v>0</v>
      </c>
      <c r="CI21" s="10" t="s">
        <v>36</v>
      </c>
      <c r="CJ21" s="126">
        <f t="shared" si="9"/>
        <v>0</v>
      </c>
      <c r="CK21" s="126">
        <f t="shared" si="10"/>
        <v>21</v>
      </c>
      <c r="CL21" s="126">
        <f t="shared" si="11"/>
        <v>25</v>
      </c>
      <c r="CM21" s="126">
        <f t="shared" si="12"/>
        <v>36</v>
      </c>
      <c r="CN21" s="126">
        <f t="shared" si="13"/>
        <v>26</v>
      </c>
      <c r="CO21" s="126">
        <f t="shared" si="14"/>
        <v>25</v>
      </c>
      <c r="CP21" s="126">
        <f t="shared" si="15"/>
        <v>15</v>
      </c>
      <c r="CQ21" s="126">
        <f t="shared" si="16"/>
        <v>10</v>
      </c>
      <c r="CR21" s="126">
        <f t="shared" si="17"/>
        <v>10</v>
      </c>
      <c r="CS21" s="126">
        <f t="shared" si="18"/>
        <v>14</v>
      </c>
      <c r="CT21" s="126">
        <f t="shared" si="19"/>
        <v>11</v>
      </c>
      <c r="CU21" s="126">
        <f t="shared" si="20"/>
        <v>8</v>
      </c>
      <c r="CV21" s="126">
        <f t="shared" si="21"/>
        <v>14</v>
      </c>
      <c r="CW21" s="126">
        <f t="shared" si="22"/>
        <v>8</v>
      </c>
      <c r="CX21" s="126">
        <f t="shared" si="23"/>
        <v>0</v>
      </c>
      <c r="CY21" s="126">
        <f t="shared" si="24"/>
        <v>0</v>
      </c>
      <c r="CZ21" s="47">
        <f t="shared" si="7"/>
        <v>223</v>
      </c>
      <c r="DC21" s="93" t="s">
        <v>36</v>
      </c>
      <c r="DD21" s="89">
        <f>FTC!E19</f>
        <v>0.25</v>
      </c>
      <c r="DE21" s="89">
        <f>FTC!F19</f>
        <v>0.79166666666666663</v>
      </c>
      <c r="DF21" s="90">
        <f t="shared" si="25"/>
        <v>6</v>
      </c>
      <c r="DG21" s="91">
        <f t="shared" si="26"/>
        <v>19</v>
      </c>
      <c r="DH21" s="91">
        <f t="shared" si="27"/>
        <v>13</v>
      </c>
    </row>
    <row r="22" spans="1:112" x14ac:dyDescent="0.35">
      <c r="A22" s="43" t="s">
        <v>37</v>
      </c>
      <c r="B22" s="47">
        <v>2</v>
      </c>
      <c r="C22" s="47">
        <v>4</v>
      </c>
      <c r="D22" s="6"/>
      <c r="E22" s="47">
        <v>4</v>
      </c>
      <c r="F22" s="47">
        <v>4</v>
      </c>
      <c r="G22" s="47">
        <v>7</v>
      </c>
      <c r="H22" s="47">
        <v>61</v>
      </c>
      <c r="I22" s="47">
        <v>51</v>
      </c>
      <c r="J22" s="47">
        <v>52</v>
      </c>
      <c r="K22" s="47">
        <v>41</v>
      </c>
      <c r="L22" s="47">
        <v>36</v>
      </c>
      <c r="M22" s="47">
        <v>30</v>
      </c>
      <c r="N22" s="47">
        <v>13</v>
      </c>
      <c r="O22" s="47">
        <v>10</v>
      </c>
      <c r="P22" s="47">
        <v>10</v>
      </c>
      <c r="Q22" s="47">
        <v>8</v>
      </c>
      <c r="R22" s="47">
        <v>6</v>
      </c>
      <c r="S22" s="47">
        <v>4</v>
      </c>
      <c r="T22" s="47">
        <v>2</v>
      </c>
      <c r="U22" s="47">
        <v>3</v>
      </c>
      <c r="V22" s="47">
        <v>1</v>
      </c>
      <c r="W22" s="47">
        <v>5</v>
      </c>
      <c r="X22" s="6"/>
      <c r="Y22" s="47">
        <v>1</v>
      </c>
      <c r="Z22" s="47">
        <f t="shared" si="0"/>
        <v>355</v>
      </c>
      <c r="AC22" s="43" t="s">
        <v>37</v>
      </c>
      <c r="AD22" s="47">
        <f>ROUND(IF(AD$3&lt;$DF22,0,
IF(AD$3=$DF22+'Model Setup'!$B$7,SUMIF($AD$3:$BA$3,"="&amp;$DF22+'Model Setup'!$B$7,$B22:$Y22)+'Model Setup'!$B$8*(SUMIF($AD$3:$BA$3,"&lt;"&amp;$DF22,$B22:$Y22)+SUMIF($AD$3:$BA$3,"&gt;="&amp;$DG22,$B22:$Y22)),
IF(AD$3=$DF22+'Model Setup'!$C$7,SUMIF($AD$3:$BA$3,"="&amp;$DF22+'Model Setup'!$C$7,$B22:$Y22)+'Model Setup'!$C$8*(SUMIF($AD$3:$BA$3,"&lt;"&amp;$DF22,$B22:$Y22)+SUMIF($AD$3:$BA$3,"&gt;="&amp;$DG22,$B22:$Y22)),
IF(AD$3=$DF22+'Model Setup'!$D$7,SUMIF($AD$3:$BA$3,"="&amp;$DF22+'Model Setup'!$D$7,$B22:$Y22)+'Model Setup'!$D$8*(SUMIF($AD$3:$BA$3,"&lt;"&amp;$DF22,$B22:$Y22)+SUMIF($AD$3:$BA$3,"&gt;="&amp;$DG22,$B22:$Y22)),
IF(AD$3=$DF22+'Model Setup'!$E$7,SUMIF($AD$3:$BA$3,"="&amp;$DF22+'Model Setup'!$E$7,$B22:$Y22)+'Model Setup'!$E$8*(SUMIF($AD$3:$BA$3,"&lt;"&amp;$DF22,$B22:$Y22)+SUMIF($AD$3:$BA$3,"&gt;="&amp;$DG22,$B22:$Y22)),
IF(AD$3=$DF22+'Model Setup'!$F$7,SUMIF($AD$3:$BA$3,"="&amp;$DF22+'Model Setup'!$F$7,$B22:$Y22)+'Model Setup'!$F$8*(SUMIF($AD$3:$BA$3,"&lt;"&amp;$DF22,$B22:$Y22)+SUMIF($AD$3:$BA$3,"&gt;="&amp;$DG22,$B22:$Y22)),
IF(AD$3=$DF22+'Model Setup'!$G$7,SUMIF($AD$3:$BA$3,"="&amp;$DF22+'Model Setup'!$G$7,$B22:$Y22)+'Model Setup'!$G$8*(SUMIF($AD$3:$BA$3,"&lt;"&amp;$DF22,$B22:$Y22)+SUMIF($AD$3:$BA$3,"&gt;="&amp;$DG22,$B22:$Y22)),
IF(AD$3=$DF22+'Model Setup'!$H$7,SUMIF($AD$3:$BA$3,"="&amp;$DF22+'Model Setup'!$H$7,$B22:$Y22)+'Model Setup'!$H$8*(SUMIF($AD$3:$BA$3,"&lt;"&amp;$DF22,$B22:$Y22)+SUMIF($AD$3:$BA$3,"&gt;="&amp;$DG22,$B22:$Y22)),
IF(AD$3=$DF22+'Model Setup'!$I$7,SUMIF($AD$3:$BA$3,"="&amp;$DF22+'Model Setup'!$I$7,$B22:$Y22)+'Model Setup'!$I$8*(SUMIF($AD$3:$BA$3,"&lt;"&amp;$DF22,$B22:$Y22)+SUMIF($AD$3:$BA$3,"&gt;="&amp;$DG22,$B22:$Y22)),
IF(AD$3=$DF22+'Model Setup'!$J$7,SUMIF($AD$3:$BA$3,"="&amp;$DF22+'Model Setup'!$J$7,$B22:$Y22)+'Model Setup'!$J$8*(SUMIF($AD$3:$BA$3,"&lt;"&amp;$DF22,$B22:$Y22)+SUMIF($AD$3:$BA$3,"&gt;="&amp;$DG22,$B22:$Y22)),
IF(AD$3=$DF22+'Model Setup'!$K$7,SUMIF($AD$3:$BA$3,"="&amp;$DF22+'Model Setup'!$K$7,$B22:$Y22)+'Model Setup'!$K$8*(SUMIF($AD$3:$BA$3,"&lt;"&amp;$DF22,$B22:$Y22)+SUMIF($AD$3:$BA$3,"&gt;="&amp;$DG22,$B22:$Y22)),
IF(AD$3=$DF22+'Model Setup'!$L$7,SUMIF($AD$3:$BA$3,"="&amp;$DF22+'Model Setup'!$L$7,$B22:$Y22)+'Model Setup'!$L$8*(SUMIF($AD$3:$BA$3,"&lt;"&amp;$DF22,$B22:$Y22)+SUMIF($AD$3:$BA$3,"&gt;="&amp;$DG22,$B22:$Y22)),
IF(AD$3=$DF22+'Model Setup'!$M$7,SUMIF($AD$3:$BA$3,"="&amp;$DF22+'Model Setup'!$M$7,$B22:$Y22)+'Model Setup'!$M$8*(SUMIF($AD$3:$BA$3,"&lt;"&amp;$DF22,$B22:$Y22)+SUMIF($AD$3:$BA$3,"&gt;="&amp;$DG22,$B22:$Y22)),
IF(AD$3=$DF22+'Model Setup'!$N$7,SUMIF($AD$3:$BA$3,"="&amp;$DF22+'Model Setup'!$N$7,$B22:$Y22)+'Model Setup'!$N$8*(SUMIF($AD$3:$BA$3,"&lt;"&amp;$DF22,$B22:$Y22)+SUMIF($AD$3:$BA$3,"&gt;="&amp;$DG22,$B22:$Y22)),
IF(AD$3&lt;$DG22,B22,0))))))))))))))),0)</f>
        <v>0</v>
      </c>
      <c r="AE22" s="47">
        <f>ROUND(IF(AE$3&lt;$DF22,0,
IF(AE$3=$DF22+'Model Setup'!$B$7,SUMIF($AD$3:$BA$3,"="&amp;$DF22+'Model Setup'!$B$7,$B22:$Y22)+'Model Setup'!$B$8*(SUMIF($AD$3:$BA$3,"&lt;"&amp;$DF22,$B22:$Y22)+SUMIF($AD$3:$BA$3,"&gt;="&amp;$DG22,$B22:$Y22)),
IF(AE$3=$DF22+'Model Setup'!$C$7,SUMIF($AD$3:$BA$3,"="&amp;$DF22+'Model Setup'!$C$7,$B22:$Y22)+'Model Setup'!$C$8*(SUMIF($AD$3:$BA$3,"&lt;"&amp;$DF22,$B22:$Y22)+SUMIF($AD$3:$BA$3,"&gt;="&amp;$DG22,$B22:$Y22)),
IF(AE$3=$DF22+'Model Setup'!$D$7,SUMIF($AD$3:$BA$3,"="&amp;$DF22+'Model Setup'!$D$7,$B22:$Y22)+'Model Setup'!$D$8*(SUMIF($AD$3:$BA$3,"&lt;"&amp;$DF22,$B22:$Y22)+SUMIF($AD$3:$BA$3,"&gt;="&amp;$DG22,$B22:$Y22)),
IF(AE$3=$DF22+'Model Setup'!$E$7,SUMIF($AD$3:$BA$3,"="&amp;$DF22+'Model Setup'!$E$7,$B22:$Y22)+'Model Setup'!$E$8*(SUMIF($AD$3:$BA$3,"&lt;"&amp;$DF22,$B22:$Y22)+SUMIF($AD$3:$BA$3,"&gt;="&amp;$DG22,$B22:$Y22)),
IF(AE$3=$DF22+'Model Setup'!$F$7,SUMIF($AD$3:$BA$3,"="&amp;$DF22+'Model Setup'!$F$7,$B22:$Y22)+'Model Setup'!$F$8*(SUMIF($AD$3:$BA$3,"&lt;"&amp;$DF22,$B22:$Y22)+SUMIF($AD$3:$BA$3,"&gt;="&amp;$DG22,$B22:$Y22)),
IF(AE$3=$DF22+'Model Setup'!$G$7,SUMIF($AD$3:$BA$3,"="&amp;$DF22+'Model Setup'!$G$7,$B22:$Y22)+'Model Setup'!$G$8*(SUMIF($AD$3:$BA$3,"&lt;"&amp;$DF22,$B22:$Y22)+SUMIF($AD$3:$BA$3,"&gt;="&amp;$DG22,$B22:$Y22)),
IF(AE$3=$DF22+'Model Setup'!$H$7,SUMIF($AD$3:$BA$3,"="&amp;$DF22+'Model Setup'!$H$7,$B22:$Y22)+'Model Setup'!$H$8*(SUMIF($AD$3:$BA$3,"&lt;"&amp;$DF22,$B22:$Y22)+SUMIF($AD$3:$BA$3,"&gt;="&amp;$DG22,$B22:$Y22)),
IF(AE$3=$DF22+'Model Setup'!$I$7,SUMIF($AD$3:$BA$3,"="&amp;$DF22+'Model Setup'!$I$7,$B22:$Y22)+'Model Setup'!$I$8*(SUMIF($AD$3:$BA$3,"&lt;"&amp;$DF22,$B22:$Y22)+SUMIF($AD$3:$BA$3,"&gt;="&amp;$DG22,$B22:$Y22)),
IF(AE$3=$DF22+'Model Setup'!$J$7,SUMIF($AD$3:$BA$3,"="&amp;$DF22+'Model Setup'!$J$7,$B22:$Y22)+'Model Setup'!$J$8*(SUMIF($AD$3:$BA$3,"&lt;"&amp;$DF22,$B22:$Y22)+SUMIF($AD$3:$BA$3,"&gt;="&amp;$DG22,$B22:$Y22)),
IF(AE$3=$DF22+'Model Setup'!$K$7,SUMIF($AD$3:$BA$3,"="&amp;$DF22+'Model Setup'!$K$7,$B22:$Y22)+'Model Setup'!$K$8*(SUMIF($AD$3:$BA$3,"&lt;"&amp;$DF22,$B22:$Y22)+SUMIF($AD$3:$BA$3,"&gt;="&amp;$DG22,$B22:$Y22)),
IF(AE$3=$DF22+'Model Setup'!$L$7,SUMIF($AD$3:$BA$3,"="&amp;$DF22+'Model Setup'!$L$7,$B22:$Y22)+'Model Setup'!$L$8*(SUMIF($AD$3:$BA$3,"&lt;"&amp;$DF22,$B22:$Y22)+SUMIF($AD$3:$BA$3,"&gt;="&amp;$DG22,$B22:$Y22)),
IF(AE$3=$DF22+'Model Setup'!$M$7,SUMIF($AD$3:$BA$3,"="&amp;$DF22+'Model Setup'!$M$7,$B22:$Y22)+'Model Setup'!$M$8*(SUMIF($AD$3:$BA$3,"&lt;"&amp;$DF22,$B22:$Y22)+SUMIF($AD$3:$BA$3,"&gt;="&amp;$DG22,$B22:$Y22)),
IF(AE$3=$DF22+'Model Setup'!$N$7,SUMIF($AD$3:$BA$3,"="&amp;$DF22+'Model Setup'!$N$7,$B22:$Y22)+'Model Setup'!$N$8*(SUMIF($AD$3:$BA$3,"&lt;"&amp;$DF22,$B22:$Y22)+SUMIF($AD$3:$BA$3,"&gt;="&amp;$DG22,$B22:$Y22)),
IF(AE$3&lt;$DG22,C22,0))))))))))))))),0)</f>
        <v>0</v>
      </c>
      <c r="AF22" s="47">
        <f>ROUND(IF(AF$3&lt;$DF22,0,
IF(AF$3=$DF22+'Model Setup'!$B$7,SUMIF($AD$3:$BA$3,"="&amp;$DF22+'Model Setup'!$B$7,$B22:$Y22)+'Model Setup'!$B$8*(SUMIF($AD$3:$BA$3,"&lt;"&amp;$DF22,$B22:$Y22)+SUMIF($AD$3:$BA$3,"&gt;="&amp;$DG22,$B22:$Y22)),
IF(AF$3=$DF22+'Model Setup'!$C$7,SUMIF($AD$3:$BA$3,"="&amp;$DF22+'Model Setup'!$C$7,$B22:$Y22)+'Model Setup'!$C$8*(SUMIF($AD$3:$BA$3,"&lt;"&amp;$DF22,$B22:$Y22)+SUMIF($AD$3:$BA$3,"&gt;="&amp;$DG22,$B22:$Y22)),
IF(AF$3=$DF22+'Model Setup'!$D$7,SUMIF($AD$3:$BA$3,"="&amp;$DF22+'Model Setup'!$D$7,$B22:$Y22)+'Model Setup'!$D$8*(SUMIF($AD$3:$BA$3,"&lt;"&amp;$DF22,$B22:$Y22)+SUMIF($AD$3:$BA$3,"&gt;="&amp;$DG22,$B22:$Y22)),
IF(AF$3=$DF22+'Model Setup'!$E$7,SUMIF($AD$3:$BA$3,"="&amp;$DF22+'Model Setup'!$E$7,$B22:$Y22)+'Model Setup'!$E$8*(SUMIF($AD$3:$BA$3,"&lt;"&amp;$DF22,$B22:$Y22)+SUMIF($AD$3:$BA$3,"&gt;="&amp;$DG22,$B22:$Y22)),
IF(AF$3=$DF22+'Model Setup'!$F$7,SUMIF($AD$3:$BA$3,"="&amp;$DF22+'Model Setup'!$F$7,$B22:$Y22)+'Model Setup'!$F$8*(SUMIF($AD$3:$BA$3,"&lt;"&amp;$DF22,$B22:$Y22)+SUMIF($AD$3:$BA$3,"&gt;="&amp;$DG22,$B22:$Y22)),
IF(AF$3=$DF22+'Model Setup'!$G$7,SUMIF($AD$3:$BA$3,"="&amp;$DF22+'Model Setup'!$G$7,$B22:$Y22)+'Model Setup'!$G$8*(SUMIF($AD$3:$BA$3,"&lt;"&amp;$DF22,$B22:$Y22)+SUMIF($AD$3:$BA$3,"&gt;="&amp;$DG22,$B22:$Y22)),
IF(AF$3=$DF22+'Model Setup'!$H$7,SUMIF($AD$3:$BA$3,"="&amp;$DF22+'Model Setup'!$H$7,$B22:$Y22)+'Model Setup'!$H$8*(SUMIF($AD$3:$BA$3,"&lt;"&amp;$DF22,$B22:$Y22)+SUMIF($AD$3:$BA$3,"&gt;="&amp;$DG22,$B22:$Y22)),
IF(AF$3=$DF22+'Model Setup'!$I$7,SUMIF($AD$3:$BA$3,"="&amp;$DF22+'Model Setup'!$I$7,$B22:$Y22)+'Model Setup'!$I$8*(SUMIF($AD$3:$BA$3,"&lt;"&amp;$DF22,$B22:$Y22)+SUMIF($AD$3:$BA$3,"&gt;="&amp;$DG22,$B22:$Y22)),
IF(AF$3=$DF22+'Model Setup'!$J$7,SUMIF($AD$3:$BA$3,"="&amp;$DF22+'Model Setup'!$J$7,$B22:$Y22)+'Model Setup'!$J$8*(SUMIF($AD$3:$BA$3,"&lt;"&amp;$DF22,$B22:$Y22)+SUMIF($AD$3:$BA$3,"&gt;="&amp;$DG22,$B22:$Y22)),
IF(AF$3=$DF22+'Model Setup'!$K$7,SUMIF($AD$3:$BA$3,"="&amp;$DF22+'Model Setup'!$K$7,$B22:$Y22)+'Model Setup'!$K$8*(SUMIF($AD$3:$BA$3,"&lt;"&amp;$DF22,$B22:$Y22)+SUMIF($AD$3:$BA$3,"&gt;="&amp;$DG22,$B22:$Y22)),
IF(AF$3=$DF22+'Model Setup'!$L$7,SUMIF($AD$3:$BA$3,"="&amp;$DF22+'Model Setup'!$L$7,$B22:$Y22)+'Model Setup'!$L$8*(SUMIF($AD$3:$BA$3,"&lt;"&amp;$DF22,$B22:$Y22)+SUMIF($AD$3:$BA$3,"&gt;="&amp;$DG22,$B22:$Y22)),
IF(AF$3=$DF22+'Model Setup'!$M$7,SUMIF($AD$3:$BA$3,"="&amp;$DF22+'Model Setup'!$M$7,$B22:$Y22)+'Model Setup'!$M$8*(SUMIF($AD$3:$BA$3,"&lt;"&amp;$DF22,$B22:$Y22)+SUMIF($AD$3:$BA$3,"&gt;="&amp;$DG22,$B22:$Y22)),
IF(AF$3=$DF22+'Model Setup'!$N$7,SUMIF($AD$3:$BA$3,"="&amp;$DF22+'Model Setup'!$N$7,$B22:$Y22)+'Model Setup'!$N$8*(SUMIF($AD$3:$BA$3,"&lt;"&amp;$DF22,$B22:$Y22)+SUMIF($AD$3:$BA$3,"&gt;="&amp;$DG22,$B22:$Y22)),
IF(AF$3&lt;$DG22,D22,0))))))))))))))),0)</f>
        <v>0</v>
      </c>
      <c r="AG22" s="47">
        <f>ROUND(IF(AG$3&lt;$DF22,0,
IF(AG$3=$DF22+'Model Setup'!$B$7,SUMIF($AD$3:$BA$3,"="&amp;$DF22+'Model Setup'!$B$7,$B22:$Y22)+'Model Setup'!$B$8*(SUMIF($AD$3:$BA$3,"&lt;"&amp;$DF22,$B22:$Y22)+SUMIF($AD$3:$BA$3,"&gt;="&amp;$DG22,$B22:$Y22)),
IF(AG$3=$DF22+'Model Setup'!$C$7,SUMIF($AD$3:$BA$3,"="&amp;$DF22+'Model Setup'!$C$7,$B22:$Y22)+'Model Setup'!$C$8*(SUMIF($AD$3:$BA$3,"&lt;"&amp;$DF22,$B22:$Y22)+SUMIF($AD$3:$BA$3,"&gt;="&amp;$DG22,$B22:$Y22)),
IF(AG$3=$DF22+'Model Setup'!$D$7,SUMIF($AD$3:$BA$3,"="&amp;$DF22+'Model Setup'!$D$7,$B22:$Y22)+'Model Setup'!$D$8*(SUMIF($AD$3:$BA$3,"&lt;"&amp;$DF22,$B22:$Y22)+SUMIF($AD$3:$BA$3,"&gt;="&amp;$DG22,$B22:$Y22)),
IF(AG$3=$DF22+'Model Setup'!$E$7,SUMIF($AD$3:$BA$3,"="&amp;$DF22+'Model Setup'!$E$7,$B22:$Y22)+'Model Setup'!$E$8*(SUMIF($AD$3:$BA$3,"&lt;"&amp;$DF22,$B22:$Y22)+SUMIF($AD$3:$BA$3,"&gt;="&amp;$DG22,$B22:$Y22)),
IF(AG$3=$DF22+'Model Setup'!$F$7,SUMIF($AD$3:$BA$3,"="&amp;$DF22+'Model Setup'!$F$7,$B22:$Y22)+'Model Setup'!$F$8*(SUMIF($AD$3:$BA$3,"&lt;"&amp;$DF22,$B22:$Y22)+SUMIF($AD$3:$BA$3,"&gt;="&amp;$DG22,$B22:$Y22)),
IF(AG$3=$DF22+'Model Setup'!$G$7,SUMIF($AD$3:$BA$3,"="&amp;$DF22+'Model Setup'!$G$7,$B22:$Y22)+'Model Setup'!$G$8*(SUMIF($AD$3:$BA$3,"&lt;"&amp;$DF22,$B22:$Y22)+SUMIF($AD$3:$BA$3,"&gt;="&amp;$DG22,$B22:$Y22)),
IF(AG$3=$DF22+'Model Setup'!$H$7,SUMIF($AD$3:$BA$3,"="&amp;$DF22+'Model Setup'!$H$7,$B22:$Y22)+'Model Setup'!$H$8*(SUMIF($AD$3:$BA$3,"&lt;"&amp;$DF22,$B22:$Y22)+SUMIF($AD$3:$BA$3,"&gt;="&amp;$DG22,$B22:$Y22)),
IF(AG$3=$DF22+'Model Setup'!$I$7,SUMIF($AD$3:$BA$3,"="&amp;$DF22+'Model Setup'!$I$7,$B22:$Y22)+'Model Setup'!$I$8*(SUMIF($AD$3:$BA$3,"&lt;"&amp;$DF22,$B22:$Y22)+SUMIF($AD$3:$BA$3,"&gt;="&amp;$DG22,$B22:$Y22)),
IF(AG$3=$DF22+'Model Setup'!$J$7,SUMIF($AD$3:$BA$3,"="&amp;$DF22+'Model Setup'!$J$7,$B22:$Y22)+'Model Setup'!$J$8*(SUMIF($AD$3:$BA$3,"&lt;"&amp;$DF22,$B22:$Y22)+SUMIF($AD$3:$BA$3,"&gt;="&amp;$DG22,$B22:$Y22)),
IF(AG$3=$DF22+'Model Setup'!$K$7,SUMIF($AD$3:$BA$3,"="&amp;$DF22+'Model Setup'!$K$7,$B22:$Y22)+'Model Setup'!$K$8*(SUMIF($AD$3:$BA$3,"&lt;"&amp;$DF22,$B22:$Y22)+SUMIF($AD$3:$BA$3,"&gt;="&amp;$DG22,$B22:$Y22)),
IF(AG$3=$DF22+'Model Setup'!$L$7,SUMIF($AD$3:$BA$3,"="&amp;$DF22+'Model Setup'!$L$7,$B22:$Y22)+'Model Setup'!$L$8*(SUMIF($AD$3:$BA$3,"&lt;"&amp;$DF22,$B22:$Y22)+SUMIF($AD$3:$BA$3,"&gt;="&amp;$DG22,$B22:$Y22)),
IF(AG$3=$DF22+'Model Setup'!$M$7,SUMIF($AD$3:$BA$3,"="&amp;$DF22+'Model Setup'!$M$7,$B22:$Y22)+'Model Setup'!$M$8*(SUMIF($AD$3:$BA$3,"&lt;"&amp;$DF22,$B22:$Y22)+SUMIF($AD$3:$BA$3,"&gt;="&amp;$DG22,$B22:$Y22)),
IF(AG$3=$DF22+'Model Setup'!$N$7,SUMIF($AD$3:$BA$3,"="&amp;$DF22+'Model Setup'!$N$7,$B22:$Y22)+'Model Setup'!$N$8*(SUMIF($AD$3:$BA$3,"&lt;"&amp;$DF22,$B22:$Y22)+SUMIF($AD$3:$BA$3,"&gt;="&amp;$DG22,$B22:$Y22)),
IF(AG$3&lt;$DG22,E22,0))))))))))))))),0)</f>
        <v>0</v>
      </c>
      <c r="AH22" s="47">
        <f>ROUND(IF(AH$3&lt;$DF22,0,
IF(AH$3=$DF22+'Model Setup'!$B$7,SUMIF($AD$3:$BA$3,"="&amp;$DF22+'Model Setup'!$B$7,$B22:$Y22)+'Model Setup'!$B$8*(SUMIF($AD$3:$BA$3,"&lt;"&amp;$DF22,$B22:$Y22)+SUMIF($AD$3:$BA$3,"&gt;="&amp;$DG22,$B22:$Y22)),
IF(AH$3=$DF22+'Model Setup'!$C$7,SUMIF($AD$3:$BA$3,"="&amp;$DF22+'Model Setup'!$C$7,$B22:$Y22)+'Model Setup'!$C$8*(SUMIF($AD$3:$BA$3,"&lt;"&amp;$DF22,$B22:$Y22)+SUMIF($AD$3:$BA$3,"&gt;="&amp;$DG22,$B22:$Y22)),
IF(AH$3=$DF22+'Model Setup'!$D$7,SUMIF($AD$3:$BA$3,"="&amp;$DF22+'Model Setup'!$D$7,$B22:$Y22)+'Model Setup'!$D$8*(SUMIF($AD$3:$BA$3,"&lt;"&amp;$DF22,$B22:$Y22)+SUMIF($AD$3:$BA$3,"&gt;="&amp;$DG22,$B22:$Y22)),
IF(AH$3=$DF22+'Model Setup'!$E$7,SUMIF($AD$3:$BA$3,"="&amp;$DF22+'Model Setup'!$E$7,$B22:$Y22)+'Model Setup'!$E$8*(SUMIF($AD$3:$BA$3,"&lt;"&amp;$DF22,$B22:$Y22)+SUMIF($AD$3:$BA$3,"&gt;="&amp;$DG22,$B22:$Y22)),
IF(AH$3=$DF22+'Model Setup'!$F$7,SUMIF($AD$3:$BA$3,"="&amp;$DF22+'Model Setup'!$F$7,$B22:$Y22)+'Model Setup'!$F$8*(SUMIF($AD$3:$BA$3,"&lt;"&amp;$DF22,$B22:$Y22)+SUMIF($AD$3:$BA$3,"&gt;="&amp;$DG22,$B22:$Y22)),
IF(AH$3=$DF22+'Model Setup'!$G$7,SUMIF($AD$3:$BA$3,"="&amp;$DF22+'Model Setup'!$G$7,$B22:$Y22)+'Model Setup'!$G$8*(SUMIF($AD$3:$BA$3,"&lt;"&amp;$DF22,$B22:$Y22)+SUMIF($AD$3:$BA$3,"&gt;="&amp;$DG22,$B22:$Y22)),
IF(AH$3=$DF22+'Model Setup'!$H$7,SUMIF($AD$3:$BA$3,"="&amp;$DF22+'Model Setup'!$H$7,$B22:$Y22)+'Model Setup'!$H$8*(SUMIF($AD$3:$BA$3,"&lt;"&amp;$DF22,$B22:$Y22)+SUMIF($AD$3:$BA$3,"&gt;="&amp;$DG22,$B22:$Y22)),
IF(AH$3=$DF22+'Model Setup'!$I$7,SUMIF($AD$3:$BA$3,"="&amp;$DF22+'Model Setup'!$I$7,$B22:$Y22)+'Model Setup'!$I$8*(SUMIF($AD$3:$BA$3,"&lt;"&amp;$DF22,$B22:$Y22)+SUMIF($AD$3:$BA$3,"&gt;="&amp;$DG22,$B22:$Y22)),
IF(AH$3=$DF22+'Model Setup'!$J$7,SUMIF($AD$3:$BA$3,"="&amp;$DF22+'Model Setup'!$J$7,$B22:$Y22)+'Model Setup'!$J$8*(SUMIF($AD$3:$BA$3,"&lt;"&amp;$DF22,$B22:$Y22)+SUMIF($AD$3:$BA$3,"&gt;="&amp;$DG22,$B22:$Y22)),
IF(AH$3=$DF22+'Model Setup'!$K$7,SUMIF($AD$3:$BA$3,"="&amp;$DF22+'Model Setup'!$K$7,$B22:$Y22)+'Model Setup'!$K$8*(SUMIF($AD$3:$BA$3,"&lt;"&amp;$DF22,$B22:$Y22)+SUMIF($AD$3:$BA$3,"&gt;="&amp;$DG22,$B22:$Y22)),
IF(AH$3=$DF22+'Model Setup'!$L$7,SUMIF($AD$3:$BA$3,"="&amp;$DF22+'Model Setup'!$L$7,$B22:$Y22)+'Model Setup'!$L$8*(SUMIF($AD$3:$BA$3,"&lt;"&amp;$DF22,$B22:$Y22)+SUMIF($AD$3:$BA$3,"&gt;="&amp;$DG22,$B22:$Y22)),
IF(AH$3=$DF22+'Model Setup'!$M$7,SUMIF($AD$3:$BA$3,"="&amp;$DF22+'Model Setup'!$M$7,$B22:$Y22)+'Model Setup'!$M$8*(SUMIF($AD$3:$BA$3,"&lt;"&amp;$DF22,$B22:$Y22)+SUMIF($AD$3:$BA$3,"&gt;="&amp;$DG22,$B22:$Y22)),
IF(AH$3=$DF22+'Model Setup'!$N$7,SUMIF($AD$3:$BA$3,"="&amp;$DF22+'Model Setup'!$N$7,$B22:$Y22)+'Model Setup'!$N$8*(SUMIF($AD$3:$BA$3,"&lt;"&amp;$DF22,$B22:$Y22)+SUMIF($AD$3:$BA$3,"&gt;="&amp;$DG22,$B22:$Y22)),
IF(AH$3&lt;$DG22,F22,0))))))))))))))),0)</f>
        <v>0</v>
      </c>
      <c r="AI22" s="47">
        <f>ROUND(IF(AI$3&lt;$DF22,0,
IF(AI$3=$DF22+'Model Setup'!$B$7,SUMIF($AD$3:$BA$3,"="&amp;$DF22+'Model Setup'!$B$7,$B22:$Y22)+'Model Setup'!$B$8*(SUMIF($AD$3:$BA$3,"&lt;"&amp;$DF22,$B22:$Y22)+SUMIF($AD$3:$BA$3,"&gt;="&amp;$DG22,$B22:$Y22)),
IF(AI$3=$DF22+'Model Setup'!$C$7,SUMIF($AD$3:$BA$3,"="&amp;$DF22+'Model Setup'!$C$7,$B22:$Y22)+'Model Setup'!$C$8*(SUMIF($AD$3:$BA$3,"&lt;"&amp;$DF22,$B22:$Y22)+SUMIF($AD$3:$BA$3,"&gt;="&amp;$DG22,$B22:$Y22)),
IF(AI$3=$DF22+'Model Setup'!$D$7,SUMIF($AD$3:$BA$3,"="&amp;$DF22+'Model Setup'!$D$7,$B22:$Y22)+'Model Setup'!$D$8*(SUMIF($AD$3:$BA$3,"&lt;"&amp;$DF22,$B22:$Y22)+SUMIF($AD$3:$BA$3,"&gt;="&amp;$DG22,$B22:$Y22)),
IF(AI$3=$DF22+'Model Setup'!$E$7,SUMIF($AD$3:$BA$3,"="&amp;$DF22+'Model Setup'!$E$7,$B22:$Y22)+'Model Setup'!$E$8*(SUMIF($AD$3:$BA$3,"&lt;"&amp;$DF22,$B22:$Y22)+SUMIF($AD$3:$BA$3,"&gt;="&amp;$DG22,$B22:$Y22)),
IF(AI$3=$DF22+'Model Setup'!$F$7,SUMIF($AD$3:$BA$3,"="&amp;$DF22+'Model Setup'!$F$7,$B22:$Y22)+'Model Setup'!$F$8*(SUMIF($AD$3:$BA$3,"&lt;"&amp;$DF22,$B22:$Y22)+SUMIF($AD$3:$BA$3,"&gt;="&amp;$DG22,$B22:$Y22)),
IF(AI$3=$DF22+'Model Setup'!$G$7,SUMIF($AD$3:$BA$3,"="&amp;$DF22+'Model Setup'!$G$7,$B22:$Y22)+'Model Setup'!$G$8*(SUMIF($AD$3:$BA$3,"&lt;"&amp;$DF22,$B22:$Y22)+SUMIF($AD$3:$BA$3,"&gt;="&amp;$DG22,$B22:$Y22)),
IF(AI$3=$DF22+'Model Setup'!$H$7,SUMIF($AD$3:$BA$3,"="&amp;$DF22+'Model Setup'!$H$7,$B22:$Y22)+'Model Setup'!$H$8*(SUMIF($AD$3:$BA$3,"&lt;"&amp;$DF22,$B22:$Y22)+SUMIF($AD$3:$BA$3,"&gt;="&amp;$DG22,$B22:$Y22)),
IF(AI$3=$DF22+'Model Setup'!$I$7,SUMIF($AD$3:$BA$3,"="&amp;$DF22+'Model Setup'!$I$7,$B22:$Y22)+'Model Setup'!$I$8*(SUMIF($AD$3:$BA$3,"&lt;"&amp;$DF22,$B22:$Y22)+SUMIF($AD$3:$BA$3,"&gt;="&amp;$DG22,$B22:$Y22)),
IF(AI$3=$DF22+'Model Setup'!$J$7,SUMIF($AD$3:$BA$3,"="&amp;$DF22+'Model Setup'!$J$7,$B22:$Y22)+'Model Setup'!$J$8*(SUMIF($AD$3:$BA$3,"&lt;"&amp;$DF22,$B22:$Y22)+SUMIF($AD$3:$BA$3,"&gt;="&amp;$DG22,$B22:$Y22)),
IF(AI$3=$DF22+'Model Setup'!$K$7,SUMIF($AD$3:$BA$3,"="&amp;$DF22+'Model Setup'!$K$7,$B22:$Y22)+'Model Setup'!$K$8*(SUMIF($AD$3:$BA$3,"&lt;"&amp;$DF22,$B22:$Y22)+SUMIF($AD$3:$BA$3,"&gt;="&amp;$DG22,$B22:$Y22)),
IF(AI$3=$DF22+'Model Setup'!$L$7,SUMIF($AD$3:$BA$3,"="&amp;$DF22+'Model Setup'!$L$7,$B22:$Y22)+'Model Setup'!$L$8*(SUMIF($AD$3:$BA$3,"&lt;"&amp;$DF22,$B22:$Y22)+SUMIF($AD$3:$BA$3,"&gt;="&amp;$DG22,$B22:$Y22)),
IF(AI$3=$DF22+'Model Setup'!$M$7,SUMIF($AD$3:$BA$3,"="&amp;$DF22+'Model Setup'!$M$7,$B22:$Y22)+'Model Setup'!$M$8*(SUMIF($AD$3:$BA$3,"&lt;"&amp;$DF22,$B22:$Y22)+SUMIF($AD$3:$BA$3,"&gt;="&amp;$DG22,$B22:$Y22)),
IF(AI$3=$DF22+'Model Setup'!$N$7,SUMIF($AD$3:$BA$3,"="&amp;$DF22+'Model Setup'!$N$7,$B22:$Y22)+'Model Setup'!$N$8*(SUMIF($AD$3:$BA$3,"&lt;"&amp;$DF22,$B22:$Y22)+SUMIF($AD$3:$BA$3,"&gt;="&amp;$DG22,$B22:$Y22)),
IF(AI$3&lt;$DG22,G22,0))))))))))))))),0)</f>
        <v>0</v>
      </c>
      <c r="AJ22" s="47">
        <f>ROUND(IF(AJ$3&lt;$DF22,0,
IF(AJ$3=$DF22+'Model Setup'!$B$7,SUMIF($AD$3:$BA$3,"="&amp;$DF22+'Model Setup'!$B$7,$B22:$Y22)+'Model Setup'!$B$8*(SUMIF($AD$3:$BA$3,"&lt;"&amp;$DF22,$B22:$Y22)+SUMIF($AD$3:$BA$3,"&gt;="&amp;$DG22,$B22:$Y22)),
IF(AJ$3=$DF22+'Model Setup'!$C$7,SUMIF($AD$3:$BA$3,"="&amp;$DF22+'Model Setup'!$C$7,$B22:$Y22)+'Model Setup'!$C$8*(SUMIF($AD$3:$BA$3,"&lt;"&amp;$DF22,$B22:$Y22)+SUMIF($AD$3:$BA$3,"&gt;="&amp;$DG22,$B22:$Y22)),
IF(AJ$3=$DF22+'Model Setup'!$D$7,SUMIF($AD$3:$BA$3,"="&amp;$DF22+'Model Setup'!$D$7,$B22:$Y22)+'Model Setup'!$D$8*(SUMIF($AD$3:$BA$3,"&lt;"&amp;$DF22,$B22:$Y22)+SUMIF($AD$3:$BA$3,"&gt;="&amp;$DG22,$B22:$Y22)),
IF(AJ$3=$DF22+'Model Setup'!$E$7,SUMIF($AD$3:$BA$3,"="&amp;$DF22+'Model Setup'!$E$7,$B22:$Y22)+'Model Setup'!$E$8*(SUMIF($AD$3:$BA$3,"&lt;"&amp;$DF22,$B22:$Y22)+SUMIF($AD$3:$BA$3,"&gt;="&amp;$DG22,$B22:$Y22)),
IF(AJ$3=$DF22+'Model Setup'!$F$7,SUMIF($AD$3:$BA$3,"="&amp;$DF22+'Model Setup'!$F$7,$B22:$Y22)+'Model Setup'!$F$8*(SUMIF($AD$3:$BA$3,"&lt;"&amp;$DF22,$B22:$Y22)+SUMIF($AD$3:$BA$3,"&gt;="&amp;$DG22,$B22:$Y22)),
IF(AJ$3=$DF22+'Model Setup'!$G$7,SUMIF($AD$3:$BA$3,"="&amp;$DF22+'Model Setup'!$G$7,$B22:$Y22)+'Model Setup'!$G$8*(SUMIF($AD$3:$BA$3,"&lt;"&amp;$DF22,$B22:$Y22)+SUMIF($AD$3:$BA$3,"&gt;="&amp;$DG22,$B22:$Y22)),
IF(AJ$3=$DF22+'Model Setup'!$H$7,SUMIF($AD$3:$BA$3,"="&amp;$DF22+'Model Setup'!$H$7,$B22:$Y22)+'Model Setup'!$H$8*(SUMIF($AD$3:$BA$3,"&lt;"&amp;$DF22,$B22:$Y22)+SUMIF($AD$3:$BA$3,"&gt;="&amp;$DG22,$B22:$Y22)),
IF(AJ$3=$DF22+'Model Setup'!$I$7,SUMIF($AD$3:$BA$3,"="&amp;$DF22+'Model Setup'!$I$7,$B22:$Y22)+'Model Setup'!$I$8*(SUMIF($AD$3:$BA$3,"&lt;"&amp;$DF22,$B22:$Y22)+SUMIF($AD$3:$BA$3,"&gt;="&amp;$DG22,$B22:$Y22)),
IF(AJ$3=$DF22+'Model Setup'!$J$7,SUMIF($AD$3:$BA$3,"="&amp;$DF22+'Model Setup'!$J$7,$B22:$Y22)+'Model Setup'!$J$8*(SUMIF($AD$3:$BA$3,"&lt;"&amp;$DF22,$B22:$Y22)+SUMIF($AD$3:$BA$3,"&gt;="&amp;$DG22,$B22:$Y22)),
IF(AJ$3=$DF22+'Model Setup'!$K$7,SUMIF($AD$3:$BA$3,"="&amp;$DF22+'Model Setup'!$K$7,$B22:$Y22)+'Model Setup'!$K$8*(SUMIF($AD$3:$BA$3,"&lt;"&amp;$DF22,$B22:$Y22)+SUMIF($AD$3:$BA$3,"&gt;="&amp;$DG22,$B22:$Y22)),
IF(AJ$3=$DF22+'Model Setup'!$L$7,SUMIF($AD$3:$BA$3,"="&amp;$DF22+'Model Setup'!$L$7,$B22:$Y22)+'Model Setup'!$L$8*(SUMIF($AD$3:$BA$3,"&lt;"&amp;$DF22,$B22:$Y22)+SUMIF($AD$3:$BA$3,"&gt;="&amp;$DG22,$B22:$Y22)),
IF(AJ$3=$DF22+'Model Setup'!$M$7,SUMIF($AD$3:$BA$3,"="&amp;$DF22+'Model Setup'!$M$7,$B22:$Y22)+'Model Setup'!$M$8*(SUMIF($AD$3:$BA$3,"&lt;"&amp;$DF22,$B22:$Y22)+SUMIF($AD$3:$BA$3,"&gt;="&amp;$DG22,$B22:$Y22)),
IF(AJ$3=$DF22+'Model Setup'!$N$7,SUMIF($AD$3:$BA$3,"="&amp;$DF22+'Model Setup'!$N$7,$B22:$Y22)+'Model Setup'!$N$8*(SUMIF($AD$3:$BA$3,"&lt;"&amp;$DF22,$B22:$Y22)+SUMIF($AD$3:$BA$3,"&gt;="&amp;$DG22,$B22:$Y22)),
IF(AJ$3&lt;$DG22,H22,0))))))))))))))),0)</f>
        <v>0</v>
      </c>
      <c r="AK22" s="47">
        <f>ROUND(IF(AK$3&lt;$DF22,0,
IF(AK$3=$DF22+'Model Setup'!$B$7,SUMIF($AD$3:$BA$3,"="&amp;$DF22+'Model Setup'!$B$7,$B22:$Y22)+'Model Setup'!$B$8*(SUMIF($AD$3:$BA$3,"&lt;"&amp;$DF22,$B22:$Y22)+SUMIF($AD$3:$BA$3,"&gt;="&amp;$DG22,$B22:$Y22)),
IF(AK$3=$DF22+'Model Setup'!$C$7,SUMIF($AD$3:$BA$3,"="&amp;$DF22+'Model Setup'!$C$7,$B22:$Y22)+'Model Setup'!$C$8*(SUMIF($AD$3:$BA$3,"&lt;"&amp;$DF22,$B22:$Y22)+SUMIF($AD$3:$BA$3,"&gt;="&amp;$DG22,$B22:$Y22)),
IF(AK$3=$DF22+'Model Setup'!$D$7,SUMIF($AD$3:$BA$3,"="&amp;$DF22+'Model Setup'!$D$7,$B22:$Y22)+'Model Setup'!$D$8*(SUMIF($AD$3:$BA$3,"&lt;"&amp;$DF22,$B22:$Y22)+SUMIF($AD$3:$BA$3,"&gt;="&amp;$DG22,$B22:$Y22)),
IF(AK$3=$DF22+'Model Setup'!$E$7,SUMIF($AD$3:$BA$3,"="&amp;$DF22+'Model Setup'!$E$7,$B22:$Y22)+'Model Setup'!$E$8*(SUMIF($AD$3:$BA$3,"&lt;"&amp;$DF22,$B22:$Y22)+SUMIF($AD$3:$BA$3,"&gt;="&amp;$DG22,$B22:$Y22)),
IF(AK$3=$DF22+'Model Setup'!$F$7,SUMIF($AD$3:$BA$3,"="&amp;$DF22+'Model Setup'!$F$7,$B22:$Y22)+'Model Setup'!$F$8*(SUMIF($AD$3:$BA$3,"&lt;"&amp;$DF22,$B22:$Y22)+SUMIF($AD$3:$BA$3,"&gt;="&amp;$DG22,$B22:$Y22)),
IF(AK$3=$DF22+'Model Setup'!$G$7,SUMIF($AD$3:$BA$3,"="&amp;$DF22+'Model Setup'!$G$7,$B22:$Y22)+'Model Setup'!$G$8*(SUMIF($AD$3:$BA$3,"&lt;"&amp;$DF22,$B22:$Y22)+SUMIF($AD$3:$BA$3,"&gt;="&amp;$DG22,$B22:$Y22)),
IF(AK$3=$DF22+'Model Setup'!$H$7,SUMIF($AD$3:$BA$3,"="&amp;$DF22+'Model Setup'!$H$7,$B22:$Y22)+'Model Setup'!$H$8*(SUMIF($AD$3:$BA$3,"&lt;"&amp;$DF22,$B22:$Y22)+SUMIF($AD$3:$BA$3,"&gt;="&amp;$DG22,$B22:$Y22)),
IF(AK$3=$DF22+'Model Setup'!$I$7,SUMIF($AD$3:$BA$3,"="&amp;$DF22+'Model Setup'!$I$7,$B22:$Y22)+'Model Setup'!$I$8*(SUMIF($AD$3:$BA$3,"&lt;"&amp;$DF22,$B22:$Y22)+SUMIF($AD$3:$BA$3,"&gt;="&amp;$DG22,$B22:$Y22)),
IF(AK$3=$DF22+'Model Setup'!$J$7,SUMIF($AD$3:$BA$3,"="&amp;$DF22+'Model Setup'!$J$7,$B22:$Y22)+'Model Setup'!$J$8*(SUMIF($AD$3:$BA$3,"&lt;"&amp;$DF22,$B22:$Y22)+SUMIF($AD$3:$BA$3,"&gt;="&amp;$DG22,$B22:$Y22)),
IF(AK$3=$DF22+'Model Setup'!$K$7,SUMIF($AD$3:$BA$3,"="&amp;$DF22+'Model Setup'!$K$7,$B22:$Y22)+'Model Setup'!$K$8*(SUMIF($AD$3:$BA$3,"&lt;"&amp;$DF22,$B22:$Y22)+SUMIF($AD$3:$BA$3,"&gt;="&amp;$DG22,$B22:$Y22)),
IF(AK$3=$DF22+'Model Setup'!$L$7,SUMIF($AD$3:$BA$3,"="&amp;$DF22+'Model Setup'!$L$7,$B22:$Y22)+'Model Setup'!$L$8*(SUMIF($AD$3:$BA$3,"&lt;"&amp;$DF22,$B22:$Y22)+SUMIF($AD$3:$BA$3,"&gt;="&amp;$DG22,$B22:$Y22)),
IF(AK$3=$DF22+'Model Setup'!$M$7,SUMIF($AD$3:$BA$3,"="&amp;$DF22+'Model Setup'!$M$7,$B22:$Y22)+'Model Setup'!$M$8*(SUMIF($AD$3:$BA$3,"&lt;"&amp;$DF22,$B22:$Y22)+SUMIF($AD$3:$BA$3,"&gt;="&amp;$DG22,$B22:$Y22)),
IF(AK$3=$DF22+'Model Setup'!$N$7,SUMIF($AD$3:$BA$3,"="&amp;$DF22+'Model Setup'!$N$7,$B22:$Y22)+'Model Setup'!$N$8*(SUMIF($AD$3:$BA$3,"&lt;"&amp;$DF22,$B22:$Y22)+SUMIF($AD$3:$BA$3,"&gt;="&amp;$DG22,$B22:$Y22)),
IF(AK$3&lt;$DG22,I22,0))))))))))))))),0)</f>
        <v>51</v>
      </c>
      <c r="AL22" s="47">
        <f>ROUND(IF(AL$3&lt;$DF22,0,
IF(AL$3=$DF22+'Model Setup'!$B$7,SUMIF($AD$3:$BA$3,"="&amp;$DF22+'Model Setup'!$B$7,$B22:$Y22)+'Model Setup'!$B$8*(SUMIF($AD$3:$BA$3,"&lt;"&amp;$DF22,$B22:$Y22)+SUMIF($AD$3:$BA$3,"&gt;="&amp;$DG22,$B22:$Y22)),
IF(AL$3=$DF22+'Model Setup'!$C$7,SUMIF($AD$3:$BA$3,"="&amp;$DF22+'Model Setup'!$C$7,$B22:$Y22)+'Model Setup'!$C$8*(SUMIF($AD$3:$BA$3,"&lt;"&amp;$DF22,$B22:$Y22)+SUMIF($AD$3:$BA$3,"&gt;="&amp;$DG22,$B22:$Y22)),
IF(AL$3=$DF22+'Model Setup'!$D$7,SUMIF($AD$3:$BA$3,"="&amp;$DF22+'Model Setup'!$D$7,$B22:$Y22)+'Model Setup'!$D$8*(SUMIF($AD$3:$BA$3,"&lt;"&amp;$DF22,$B22:$Y22)+SUMIF($AD$3:$BA$3,"&gt;="&amp;$DG22,$B22:$Y22)),
IF(AL$3=$DF22+'Model Setup'!$E$7,SUMIF($AD$3:$BA$3,"="&amp;$DF22+'Model Setup'!$E$7,$B22:$Y22)+'Model Setup'!$E$8*(SUMIF($AD$3:$BA$3,"&lt;"&amp;$DF22,$B22:$Y22)+SUMIF($AD$3:$BA$3,"&gt;="&amp;$DG22,$B22:$Y22)),
IF(AL$3=$DF22+'Model Setup'!$F$7,SUMIF($AD$3:$BA$3,"="&amp;$DF22+'Model Setup'!$F$7,$B22:$Y22)+'Model Setup'!$F$8*(SUMIF($AD$3:$BA$3,"&lt;"&amp;$DF22,$B22:$Y22)+SUMIF($AD$3:$BA$3,"&gt;="&amp;$DG22,$B22:$Y22)),
IF(AL$3=$DF22+'Model Setup'!$G$7,SUMIF($AD$3:$BA$3,"="&amp;$DF22+'Model Setup'!$G$7,$B22:$Y22)+'Model Setup'!$G$8*(SUMIF($AD$3:$BA$3,"&lt;"&amp;$DF22,$B22:$Y22)+SUMIF($AD$3:$BA$3,"&gt;="&amp;$DG22,$B22:$Y22)),
IF(AL$3=$DF22+'Model Setup'!$H$7,SUMIF($AD$3:$BA$3,"="&amp;$DF22+'Model Setup'!$H$7,$B22:$Y22)+'Model Setup'!$H$8*(SUMIF($AD$3:$BA$3,"&lt;"&amp;$DF22,$B22:$Y22)+SUMIF($AD$3:$BA$3,"&gt;="&amp;$DG22,$B22:$Y22)),
IF(AL$3=$DF22+'Model Setup'!$I$7,SUMIF($AD$3:$BA$3,"="&amp;$DF22+'Model Setup'!$I$7,$B22:$Y22)+'Model Setup'!$I$8*(SUMIF($AD$3:$BA$3,"&lt;"&amp;$DF22,$B22:$Y22)+SUMIF($AD$3:$BA$3,"&gt;="&amp;$DG22,$B22:$Y22)),
IF(AL$3=$DF22+'Model Setup'!$J$7,SUMIF($AD$3:$BA$3,"="&amp;$DF22+'Model Setup'!$J$7,$B22:$Y22)+'Model Setup'!$J$8*(SUMIF($AD$3:$BA$3,"&lt;"&amp;$DF22,$B22:$Y22)+SUMIF($AD$3:$BA$3,"&gt;="&amp;$DG22,$B22:$Y22)),
IF(AL$3=$DF22+'Model Setup'!$K$7,SUMIF($AD$3:$BA$3,"="&amp;$DF22+'Model Setup'!$K$7,$B22:$Y22)+'Model Setup'!$K$8*(SUMIF($AD$3:$BA$3,"&lt;"&amp;$DF22,$B22:$Y22)+SUMIF($AD$3:$BA$3,"&gt;="&amp;$DG22,$B22:$Y22)),
IF(AL$3=$DF22+'Model Setup'!$L$7,SUMIF($AD$3:$BA$3,"="&amp;$DF22+'Model Setup'!$L$7,$B22:$Y22)+'Model Setup'!$L$8*(SUMIF($AD$3:$BA$3,"&lt;"&amp;$DF22,$B22:$Y22)+SUMIF($AD$3:$BA$3,"&gt;="&amp;$DG22,$B22:$Y22)),
IF(AL$3=$DF22+'Model Setup'!$M$7,SUMIF($AD$3:$BA$3,"="&amp;$DF22+'Model Setup'!$M$7,$B22:$Y22)+'Model Setup'!$M$8*(SUMIF($AD$3:$BA$3,"&lt;"&amp;$DF22,$B22:$Y22)+SUMIF($AD$3:$BA$3,"&gt;="&amp;$DG22,$B22:$Y22)),
IF(AL$3=$DF22+'Model Setup'!$N$7,SUMIF($AD$3:$BA$3,"="&amp;$DF22+'Model Setup'!$N$7,$B22:$Y22)+'Model Setup'!$N$8*(SUMIF($AD$3:$BA$3,"&lt;"&amp;$DF22,$B22:$Y22)+SUMIF($AD$3:$BA$3,"&gt;="&amp;$DG22,$B22:$Y22)),
IF(AL$3&lt;$DG22,J22,0))))))))))))))),0)</f>
        <v>52</v>
      </c>
      <c r="AM22" s="47">
        <f>ROUND(IF(AM$3&lt;$DF22,0,
IF(AM$3=$DF22+'Model Setup'!$B$7,SUMIF($AD$3:$BA$3,"="&amp;$DF22+'Model Setup'!$B$7,$B22:$Y22)+'Model Setup'!$B$8*(SUMIF($AD$3:$BA$3,"&lt;"&amp;$DF22,$B22:$Y22)+SUMIF($AD$3:$BA$3,"&gt;="&amp;$DG22,$B22:$Y22)),
IF(AM$3=$DF22+'Model Setup'!$C$7,SUMIF($AD$3:$BA$3,"="&amp;$DF22+'Model Setup'!$C$7,$B22:$Y22)+'Model Setup'!$C$8*(SUMIF($AD$3:$BA$3,"&lt;"&amp;$DF22,$B22:$Y22)+SUMIF($AD$3:$BA$3,"&gt;="&amp;$DG22,$B22:$Y22)),
IF(AM$3=$DF22+'Model Setup'!$D$7,SUMIF($AD$3:$BA$3,"="&amp;$DF22+'Model Setup'!$D$7,$B22:$Y22)+'Model Setup'!$D$8*(SUMIF($AD$3:$BA$3,"&lt;"&amp;$DF22,$B22:$Y22)+SUMIF($AD$3:$BA$3,"&gt;="&amp;$DG22,$B22:$Y22)),
IF(AM$3=$DF22+'Model Setup'!$E$7,SUMIF($AD$3:$BA$3,"="&amp;$DF22+'Model Setup'!$E$7,$B22:$Y22)+'Model Setup'!$E$8*(SUMIF($AD$3:$BA$3,"&lt;"&amp;$DF22,$B22:$Y22)+SUMIF($AD$3:$BA$3,"&gt;="&amp;$DG22,$B22:$Y22)),
IF(AM$3=$DF22+'Model Setup'!$F$7,SUMIF($AD$3:$BA$3,"="&amp;$DF22+'Model Setup'!$F$7,$B22:$Y22)+'Model Setup'!$F$8*(SUMIF($AD$3:$BA$3,"&lt;"&amp;$DF22,$B22:$Y22)+SUMIF($AD$3:$BA$3,"&gt;="&amp;$DG22,$B22:$Y22)),
IF(AM$3=$DF22+'Model Setup'!$G$7,SUMIF($AD$3:$BA$3,"="&amp;$DF22+'Model Setup'!$G$7,$B22:$Y22)+'Model Setup'!$G$8*(SUMIF($AD$3:$BA$3,"&lt;"&amp;$DF22,$B22:$Y22)+SUMIF($AD$3:$BA$3,"&gt;="&amp;$DG22,$B22:$Y22)),
IF(AM$3=$DF22+'Model Setup'!$H$7,SUMIF($AD$3:$BA$3,"="&amp;$DF22+'Model Setup'!$H$7,$B22:$Y22)+'Model Setup'!$H$8*(SUMIF($AD$3:$BA$3,"&lt;"&amp;$DF22,$B22:$Y22)+SUMIF($AD$3:$BA$3,"&gt;="&amp;$DG22,$B22:$Y22)),
IF(AM$3=$DF22+'Model Setup'!$I$7,SUMIF($AD$3:$BA$3,"="&amp;$DF22+'Model Setup'!$I$7,$B22:$Y22)+'Model Setup'!$I$8*(SUMIF($AD$3:$BA$3,"&lt;"&amp;$DF22,$B22:$Y22)+SUMIF($AD$3:$BA$3,"&gt;="&amp;$DG22,$B22:$Y22)),
IF(AM$3=$DF22+'Model Setup'!$J$7,SUMIF($AD$3:$BA$3,"="&amp;$DF22+'Model Setup'!$J$7,$B22:$Y22)+'Model Setup'!$J$8*(SUMIF($AD$3:$BA$3,"&lt;"&amp;$DF22,$B22:$Y22)+SUMIF($AD$3:$BA$3,"&gt;="&amp;$DG22,$B22:$Y22)),
IF(AM$3=$DF22+'Model Setup'!$K$7,SUMIF($AD$3:$BA$3,"="&amp;$DF22+'Model Setup'!$K$7,$B22:$Y22)+'Model Setup'!$K$8*(SUMIF($AD$3:$BA$3,"&lt;"&amp;$DF22,$B22:$Y22)+SUMIF($AD$3:$BA$3,"&gt;="&amp;$DG22,$B22:$Y22)),
IF(AM$3=$DF22+'Model Setup'!$L$7,SUMIF($AD$3:$BA$3,"="&amp;$DF22+'Model Setup'!$L$7,$B22:$Y22)+'Model Setup'!$L$8*(SUMIF($AD$3:$BA$3,"&lt;"&amp;$DF22,$B22:$Y22)+SUMIF($AD$3:$BA$3,"&gt;="&amp;$DG22,$B22:$Y22)),
IF(AM$3=$DF22+'Model Setup'!$M$7,SUMIF($AD$3:$BA$3,"="&amp;$DF22+'Model Setup'!$M$7,$B22:$Y22)+'Model Setup'!$M$8*(SUMIF($AD$3:$BA$3,"&lt;"&amp;$DF22,$B22:$Y22)+SUMIF($AD$3:$BA$3,"&gt;="&amp;$DG22,$B22:$Y22)),
IF(AM$3=$DF22+'Model Setup'!$N$7,SUMIF($AD$3:$BA$3,"="&amp;$DF22+'Model Setup'!$N$7,$B22:$Y22)+'Model Setup'!$N$8*(SUMIF($AD$3:$BA$3,"&lt;"&amp;$DF22,$B22:$Y22)+SUMIF($AD$3:$BA$3,"&gt;="&amp;$DG22,$B22:$Y22)),
IF(AM$3&lt;$DG22,K22,0))))))))))))))),0)</f>
        <v>41</v>
      </c>
      <c r="AN22" s="47">
        <f>ROUND(IF(AN$3&lt;$DF22,0,
IF(AN$3=$DF22+'Model Setup'!$B$7,SUMIF($AD$3:$BA$3,"="&amp;$DF22+'Model Setup'!$B$7,$B22:$Y22)+'Model Setup'!$B$8*(SUMIF($AD$3:$BA$3,"&lt;"&amp;$DF22,$B22:$Y22)+SUMIF($AD$3:$BA$3,"&gt;="&amp;$DG22,$B22:$Y22)),
IF(AN$3=$DF22+'Model Setup'!$C$7,SUMIF($AD$3:$BA$3,"="&amp;$DF22+'Model Setup'!$C$7,$B22:$Y22)+'Model Setup'!$C$8*(SUMIF($AD$3:$BA$3,"&lt;"&amp;$DF22,$B22:$Y22)+SUMIF($AD$3:$BA$3,"&gt;="&amp;$DG22,$B22:$Y22)),
IF(AN$3=$DF22+'Model Setup'!$D$7,SUMIF($AD$3:$BA$3,"="&amp;$DF22+'Model Setup'!$D$7,$B22:$Y22)+'Model Setup'!$D$8*(SUMIF($AD$3:$BA$3,"&lt;"&amp;$DF22,$B22:$Y22)+SUMIF($AD$3:$BA$3,"&gt;="&amp;$DG22,$B22:$Y22)),
IF(AN$3=$DF22+'Model Setup'!$E$7,SUMIF($AD$3:$BA$3,"="&amp;$DF22+'Model Setup'!$E$7,$B22:$Y22)+'Model Setup'!$E$8*(SUMIF($AD$3:$BA$3,"&lt;"&amp;$DF22,$B22:$Y22)+SUMIF($AD$3:$BA$3,"&gt;="&amp;$DG22,$B22:$Y22)),
IF(AN$3=$DF22+'Model Setup'!$F$7,SUMIF($AD$3:$BA$3,"="&amp;$DF22+'Model Setup'!$F$7,$B22:$Y22)+'Model Setup'!$F$8*(SUMIF($AD$3:$BA$3,"&lt;"&amp;$DF22,$B22:$Y22)+SUMIF($AD$3:$BA$3,"&gt;="&amp;$DG22,$B22:$Y22)),
IF(AN$3=$DF22+'Model Setup'!$G$7,SUMIF($AD$3:$BA$3,"="&amp;$DF22+'Model Setup'!$G$7,$B22:$Y22)+'Model Setup'!$G$8*(SUMIF($AD$3:$BA$3,"&lt;"&amp;$DF22,$B22:$Y22)+SUMIF($AD$3:$BA$3,"&gt;="&amp;$DG22,$B22:$Y22)),
IF(AN$3=$DF22+'Model Setup'!$H$7,SUMIF($AD$3:$BA$3,"="&amp;$DF22+'Model Setup'!$H$7,$B22:$Y22)+'Model Setup'!$H$8*(SUMIF($AD$3:$BA$3,"&lt;"&amp;$DF22,$B22:$Y22)+SUMIF($AD$3:$BA$3,"&gt;="&amp;$DG22,$B22:$Y22)),
IF(AN$3=$DF22+'Model Setup'!$I$7,SUMIF($AD$3:$BA$3,"="&amp;$DF22+'Model Setup'!$I$7,$B22:$Y22)+'Model Setup'!$I$8*(SUMIF($AD$3:$BA$3,"&lt;"&amp;$DF22,$B22:$Y22)+SUMIF($AD$3:$BA$3,"&gt;="&amp;$DG22,$B22:$Y22)),
IF(AN$3=$DF22+'Model Setup'!$J$7,SUMIF($AD$3:$BA$3,"="&amp;$DF22+'Model Setup'!$J$7,$B22:$Y22)+'Model Setup'!$J$8*(SUMIF($AD$3:$BA$3,"&lt;"&amp;$DF22,$B22:$Y22)+SUMIF($AD$3:$BA$3,"&gt;="&amp;$DG22,$B22:$Y22)),
IF(AN$3=$DF22+'Model Setup'!$K$7,SUMIF($AD$3:$BA$3,"="&amp;$DF22+'Model Setup'!$K$7,$B22:$Y22)+'Model Setup'!$K$8*(SUMIF($AD$3:$BA$3,"&lt;"&amp;$DF22,$B22:$Y22)+SUMIF($AD$3:$BA$3,"&gt;="&amp;$DG22,$B22:$Y22)),
IF(AN$3=$DF22+'Model Setup'!$L$7,SUMIF($AD$3:$BA$3,"="&amp;$DF22+'Model Setup'!$L$7,$B22:$Y22)+'Model Setup'!$L$8*(SUMIF($AD$3:$BA$3,"&lt;"&amp;$DF22,$B22:$Y22)+SUMIF($AD$3:$BA$3,"&gt;="&amp;$DG22,$B22:$Y22)),
IF(AN$3=$DF22+'Model Setup'!$M$7,SUMIF($AD$3:$BA$3,"="&amp;$DF22+'Model Setup'!$M$7,$B22:$Y22)+'Model Setup'!$M$8*(SUMIF($AD$3:$BA$3,"&lt;"&amp;$DF22,$B22:$Y22)+SUMIF($AD$3:$BA$3,"&gt;="&amp;$DG22,$B22:$Y22)),
IF(AN$3=$DF22+'Model Setup'!$N$7,SUMIF($AD$3:$BA$3,"="&amp;$DF22+'Model Setup'!$N$7,$B22:$Y22)+'Model Setup'!$N$8*(SUMIF($AD$3:$BA$3,"&lt;"&amp;$DF22,$B22:$Y22)+SUMIF($AD$3:$BA$3,"&gt;="&amp;$DG22,$B22:$Y22)),
IF(AN$3&lt;$DG22,L22,0))))))))))))))),0)</f>
        <v>36</v>
      </c>
      <c r="AO22" s="47">
        <f>ROUND(IF(AO$3&lt;$DF22,0,
IF(AO$3=$DF22+'Model Setup'!$B$7,SUMIF($AD$3:$BA$3,"="&amp;$DF22+'Model Setup'!$B$7,$B22:$Y22)+'Model Setup'!$B$8*(SUMIF($AD$3:$BA$3,"&lt;"&amp;$DF22,$B22:$Y22)+SUMIF($AD$3:$BA$3,"&gt;="&amp;$DG22,$B22:$Y22)),
IF(AO$3=$DF22+'Model Setup'!$C$7,SUMIF($AD$3:$BA$3,"="&amp;$DF22+'Model Setup'!$C$7,$B22:$Y22)+'Model Setup'!$C$8*(SUMIF($AD$3:$BA$3,"&lt;"&amp;$DF22,$B22:$Y22)+SUMIF($AD$3:$BA$3,"&gt;="&amp;$DG22,$B22:$Y22)),
IF(AO$3=$DF22+'Model Setup'!$D$7,SUMIF($AD$3:$BA$3,"="&amp;$DF22+'Model Setup'!$D$7,$B22:$Y22)+'Model Setup'!$D$8*(SUMIF($AD$3:$BA$3,"&lt;"&amp;$DF22,$B22:$Y22)+SUMIF($AD$3:$BA$3,"&gt;="&amp;$DG22,$B22:$Y22)),
IF(AO$3=$DF22+'Model Setup'!$E$7,SUMIF($AD$3:$BA$3,"="&amp;$DF22+'Model Setup'!$E$7,$B22:$Y22)+'Model Setup'!$E$8*(SUMIF($AD$3:$BA$3,"&lt;"&amp;$DF22,$B22:$Y22)+SUMIF($AD$3:$BA$3,"&gt;="&amp;$DG22,$B22:$Y22)),
IF(AO$3=$DF22+'Model Setup'!$F$7,SUMIF($AD$3:$BA$3,"="&amp;$DF22+'Model Setup'!$F$7,$B22:$Y22)+'Model Setup'!$F$8*(SUMIF($AD$3:$BA$3,"&lt;"&amp;$DF22,$B22:$Y22)+SUMIF($AD$3:$BA$3,"&gt;="&amp;$DG22,$B22:$Y22)),
IF(AO$3=$DF22+'Model Setup'!$G$7,SUMIF($AD$3:$BA$3,"="&amp;$DF22+'Model Setup'!$G$7,$B22:$Y22)+'Model Setup'!$G$8*(SUMIF($AD$3:$BA$3,"&lt;"&amp;$DF22,$B22:$Y22)+SUMIF($AD$3:$BA$3,"&gt;="&amp;$DG22,$B22:$Y22)),
IF(AO$3=$DF22+'Model Setup'!$H$7,SUMIF($AD$3:$BA$3,"="&amp;$DF22+'Model Setup'!$H$7,$B22:$Y22)+'Model Setup'!$H$8*(SUMIF($AD$3:$BA$3,"&lt;"&amp;$DF22,$B22:$Y22)+SUMIF($AD$3:$BA$3,"&gt;="&amp;$DG22,$B22:$Y22)),
IF(AO$3=$DF22+'Model Setup'!$I$7,SUMIF($AD$3:$BA$3,"="&amp;$DF22+'Model Setup'!$I$7,$B22:$Y22)+'Model Setup'!$I$8*(SUMIF($AD$3:$BA$3,"&lt;"&amp;$DF22,$B22:$Y22)+SUMIF($AD$3:$BA$3,"&gt;="&amp;$DG22,$B22:$Y22)),
IF(AO$3=$DF22+'Model Setup'!$J$7,SUMIF($AD$3:$BA$3,"="&amp;$DF22+'Model Setup'!$J$7,$B22:$Y22)+'Model Setup'!$J$8*(SUMIF($AD$3:$BA$3,"&lt;"&amp;$DF22,$B22:$Y22)+SUMIF($AD$3:$BA$3,"&gt;="&amp;$DG22,$B22:$Y22)),
IF(AO$3=$DF22+'Model Setup'!$K$7,SUMIF($AD$3:$BA$3,"="&amp;$DF22+'Model Setup'!$K$7,$B22:$Y22)+'Model Setup'!$K$8*(SUMIF($AD$3:$BA$3,"&lt;"&amp;$DF22,$B22:$Y22)+SUMIF($AD$3:$BA$3,"&gt;="&amp;$DG22,$B22:$Y22)),
IF(AO$3=$DF22+'Model Setup'!$L$7,SUMIF($AD$3:$BA$3,"="&amp;$DF22+'Model Setup'!$L$7,$B22:$Y22)+'Model Setup'!$L$8*(SUMIF($AD$3:$BA$3,"&lt;"&amp;$DF22,$B22:$Y22)+SUMIF($AD$3:$BA$3,"&gt;="&amp;$DG22,$B22:$Y22)),
IF(AO$3=$DF22+'Model Setup'!$M$7,SUMIF($AD$3:$BA$3,"="&amp;$DF22+'Model Setup'!$M$7,$B22:$Y22)+'Model Setup'!$M$8*(SUMIF($AD$3:$BA$3,"&lt;"&amp;$DF22,$B22:$Y22)+SUMIF($AD$3:$BA$3,"&gt;="&amp;$DG22,$B22:$Y22)),
IF(AO$3=$DF22+'Model Setup'!$N$7,SUMIF($AD$3:$BA$3,"="&amp;$DF22+'Model Setup'!$N$7,$B22:$Y22)+'Model Setup'!$N$8*(SUMIF($AD$3:$BA$3,"&lt;"&amp;$DF22,$B22:$Y22)+SUMIF($AD$3:$BA$3,"&gt;="&amp;$DG22,$B22:$Y22)),
IF(AO$3&lt;$DG22,M22,0))))))))))))))),0)</f>
        <v>30</v>
      </c>
      <c r="AP22" s="47">
        <f>ROUND(IF(AP$3&lt;$DF22,0,
IF(AP$3=$DF22+'Model Setup'!$B$7,SUMIF($AD$3:$BA$3,"="&amp;$DF22+'Model Setup'!$B$7,$B22:$Y22)+'Model Setup'!$B$8*(SUMIF($AD$3:$BA$3,"&lt;"&amp;$DF22,$B22:$Y22)+SUMIF($AD$3:$BA$3,"&gt;="&amp;$DG22,$B22:$Y22)),
IF(AP$3=$DF22+'Model Setup'!$C$7,SUMIF($AD$3:$BA$3,"="&amp;$DF22+'Model Setup'!$C$7,$B22:$Y22)+'Model Setup'!$C$8*(SUMIF($AD$3:$BA$3,"&lt;"&amp;$DF22,$B22:$Y22)+SUMIF($AD$3:$BA$3,"&gt;="&amp;$DG22,$B22:$Y22)),
IF(AP$3=$DF22+'Model Setup'!$D$7,SUMIF($AD$3:$BA$3,"="&amp;$DF22+'Model Setup'!$D$7,$B22:$Y22)+'Model Setup'!$D$8*(SUMIF($AD$3:$BA$3,"&lt;"&amp;$DF22,$B22:$Y22)+SUMIF($AD$3:$BA$3,"&gt;="&amp;$DG22,$B22:$Y22)),
IF(AP$3=$DF22+'Model Setup'!$E$7,SUMIF($AD$3:$BA$3,"="&amp;$DF22+'Model Setup'!$E$7,$B22:$Y22)+'Model Setup'!$E$8*(SUMIF($AD$3:$BA$3,"&lt;"&amp;$DF22,$B22:$Y22)+SUMIF($AD$3:$BA$3,"&gt;="&amp;$DG22,$B22:$Y22)),
IF(AP$3=$DF22+'Model Setup'!$F$7,SUMIF($AD$3:$BA$3,"="&amp;$DF22+'Model Setup'!$F$7,$B22:$Y22)+'Model Setup'!$F$8*(SUMIF($AD$3:$BA$3,"&lt;"&amp;$DF22,$B22:$Y22)+SUMIF($AD$3:$BA$3,"&gt;="&amp;$DG22,$B22:$Y22)),
IF(AP$3=$DF22+'Model Setup'!$G$7,SUMIF($AD$3:$BA$3,"="&amp;$DF22+'Model Setup'!$G$7,$B22:$Y22)+'Model Setup'!$G$8*(SUMIF($AD$3:$BA$3,"&lt;"&amp;$DF22,$B22:$Y22)+SUMIF($AD$3:$BA$3,"&gt;="&amp;$DG22,$B22:$Y22)),
IF(AP$3=$DF22+'Model Setup'!$H$7,SUMIF($AD$3:$BA$3,"="&amp;$DF22+'Model Setup'!$H$7,$B22:$Y22)+'Model Setup'!$H$8*(SUMIF($AD$3:$BA$3,"&lt;"&amp;$DF22,$B22:$Y22)+SUMIF($AD$3:$BA$3,"&gt;="&amp;$DG22,$B22:$Y22)),
IF(AP$3=$DF22+'Model Setup'!$I$7,SUMIF($AD$3:$BA$3,"="&amp;$DF22+'Model Setup'!$I$7,$B22:$Y22)+'Model Setup'!$I$8*(SUMIF($AD$3:$BA$3,"&lt;"&amp;$DF22,$B22:$Y22)+SUMIF($AD$3:$BA$3,"&gt;="&amp;$DG22,$B22:$Y22)),
IF(AP$3=$DF22+'Model Setup'!$J$7,SUMIF($AD$3:$BA$3,"="&amp;$DF22+'Model Setup'!$J$7,$B22:$Y22)+'Model Setup'!$J$8*(SUMIF($AD$3:$BA$3,"&lt;"&amp;$DF22,$B22:$Y22)+SUMIF($AD$3:$BA$3,"&gt;="&amp;$DG22,$B22:$Y22)),
IF(AP$3=$DF22+'Model Setup'!$K$7,SUMIF($AD$3:$BA$3,"="&amp;$DF22+'Model Setup'!$K$7,$B22:$Y22)+'Model Setup'!$K$8*(SUMIF($AD$3:$BA$3,"&lt;"&amp;$DF22,$B22:$Y22)+SUMIF($AD$3:$BA$3,"&gt;="&amp;$DG22,$B22:$Y22)),
IF(AP$3=$DF22+'Model Setup'!$L$7,SUMIF($AD$3:$BA$3,"="&amp;$DF22+'Model Setup'!$L$7,$B22:$Y22)+'Model Setup'!$L$8*(SUMIF($AD$3:$BA$3,"&lt;"&amp;$DF22,$B22:$Y22)+SUMIF($AD$3:$BA$3,"&gt;="&amp;$DG22,$B22:$Y22)),
IF(AP$3=$DF22+'Model Setup'!$M$7,SUMIF($AD$3:$BA$3,"="&amp;$DF22+'Model Setup'!$M$7,$B22:$Y22)+'Model Setup'!$M$8*(SUMIF($AD$3:$BA$3,"&lt;"&amp;$DF22,$B22:$Y22)+SUMIF($AD$3:$BA$3,"&gt;="&amp;$DG22,$B22:$Y22)),
IF(AP$3=$DF22+'Model Setup'!$N$7,SUMIF($AD$3:$BA$3,"="&amp;$DF22+'Model Setup'!$N$7,$B22:$Y22)+'Model Setup'!$N$8*(SUMIF($AD$3:$BA$3,"&lt;"&amp;$DF22,$B22:$Y22)+SUMIF($AD$3:$BA$3,"&gt;="&amp;$DG22,$B22:$Y22)),
IF(AP$3&lt;$DG22,N22,0))))))))))))))),0)</f>
        <v>13</v>
      </c>
      <c r="AQ22" s="47">
        <f>ROUND(IF(AQ$3&lt;$DF22,0,
IF(AQ$3=$DF22+'Model Setup'!$B$7,SUMIF($AD$3:$BA$3,"="&amp;$DF22+'Model Setup'!$B$7,$B22:$Y22)+'Model Setup'!$B$8*(SUMIF($AD$3:$BA$3,"&lt;"&amp;$DF22,$B22:$Y22)+SUMIF($AD$3:$BA$3,"&gt;="&amp;$DG22,$B22:$Y22)),
IF(AQ$3=$DF22+'Model Setup'!$C$7,SUMIF($AD$3:$BA$3,"="&amp;$DF22+'Model Setup'!$C$7,$B22:$Y22)+'Model Setup'!$C$8*(SUMIF($AD$3:$BA$3,"&lt;"&amp;$DF22,$B22:$Y22)+SUMIF($AD$3:$BA$3,"&gt;="&amp;$DG22,$B22:$Y22)),
IF(AQ$3=$DF22+'Model Setup'!$D$7,SUMIF($AD$3:$BA$3,"="&amp;$DF22+'Model Setup'!$D$7,$B22:$Y22)+'Model Setup'!$D$8*(SUMIF($AD$3:$BA$3,"&lt;"&amp;$DF22,$B22:$Y22)+SUMIF($AD$3:$BA$3,"&gt;="&amp;$DG22,$B22:$Y22)),
IF(AQ$3=$DF22+'Model Setup'!$E$7,SUMIF($AD$3:$BA$3,"="&amp;$DF22+'Model Setup'!$E$7,$B22:$Y22)+'Model Setup'!$E$8*(SUMIF($AD$3:$BA$3,"&lt;"&amp;$DF22,$B22:$Y22)+SUMIF($AD$3:$BA$3,"&gt;="&amp;$DG22,$B22:$Y22)),
IF(AQ$3=$DF22+'Model Setup'!$F$7,SUMIF($AD$3:$BA$3,"="&amp;$DF22+'Model Setup'!$F$7,$B22:$Y22)+'Model Setup'!$F$8*(SUMIF($AD$3:$BA$3,"&lt;"&amp;$DF22,$B22:$Y22)+SUMIF($AD$3:$BA$3,"&gt;="&amp;$DG22,$B22:$Y22)),
IF(AQ$3=$DF22+'Model Setup'!$G$7,SUMIF($AD$3:$BA$3,"="&amp;$DF22+'Model Setup'!$G$7,$B22:$Y22)+'Model Setup'!$G$8*(SUMIF($AD$3:$BA$3,"&lt;"&amp;$DF22,$B22:$Y22)+SUMIF($AD$3:$BA$3,"&gt;="&amp;$DG22,$B22:$Y22)),
IF(AQ$3=$DF22+'Model Setup'!$H$7,SUMIF($AD$3:$BA$3,"="&amp;$DF22+'Model Setup'!$H$7,$B22:$Y22)+'Model Setup'!$H$8*(SUMIF($AD$3:$BA$3,"&lt;"&amp;$DF22,$B22:$Y22)+SUMIF($AD$3:$BA$3,"&gt;="&amp;$DG22,$B22:$Y22)),
IF(AQ$3=$DF22+'Model Setup'!$I$7,SUMIF($AD$3:$BA$3,"="&amp;$DF22+'Model Setup'!$I$7,$B22:$Y22)+'Model Setup'!$I$8*(SUMIF($AD$3:$BA$3,"&lt;"&amp;$DF22,$B22:$Y22)+SUMIF($AD$3:$BA$3,"&gt;="&amp;$DG22,$B22:$Y22)),
IF(AQ$3=$DF22+'Model Setup'!$J$7,SUMIF($AD$3:$BA$3,"="&amp;$DF22+'Model Setup'!$J$7,$B22:$Y22)+'Model Setup'!$J$8*(SUMIF($AD$3:$BA$3,"&lt;"&amp;$DF22,$B22:$Y22)+SUMIF($AD$3:$BA$3,"&gt;="&amp;$DG22,$B22:$Y22)),
IF(AQ$3=$DF22+'Model Setup'!$K$7,SUMIF($AD$3:$BA$3,"="&amp;$DF22+'Model Setup'!$K$7,$B22:$Y22)+'Model Setup'!$K$8*(SUMIF($AD$3:$BA$3,"&lt;"&amp;$DF22,$B22:$Y22)+SUMIF($AD$3:$BA$3,"&gt;="&amp;$DG22,$B22:$Y22)),
IF(AQ$3=$DF22+'Model Setup'!$L$7,SUMIF($AD$3:$BA$3,"="&amp;$DF22+'Model Setup'!$L$7,$B22:$Y22)+'Model Setup'!$L$8*(SUMIF($AD$3:$BA$3,"&lt;"&amp;$DF22,$B22:$Y22)+SUMIF($AD$3:$BA$3,"&gt;="&amp;$DG22,$B22:$Y22)),
IF(AQ$3=$DF22+'Model Setup'!$M$7,SUMIF($AD$3:$BA$3,"="&amp;$DF22+'Model Setup'!$M$7,$B22:$Y22)+'Model Setup'!$M$8*(SUMIF($AD$3:$BA$3,"&lt;"&amp;$DF22,$B22:$Y22)+SUMIF($AD$3:$BA$3,"&gt;="&amp;$DG22,$B22:$Y22)),
IF(AQ$3=$DF22+'Model Setup'!$N$7,SUMIF($AD$3:$BA$3,"="&amp;$DF22+'Model Setup'!$N$7,$B22:$Y22)+'Model Setup'!$N$8*(SUMIF($AD$3:$BA$3,"&lt;"&amp;$DF22,$B22:$Y22)+SUMIF($AD$3:$BA$3,"&gt;="&amp;$DG22,$B22:$Y22)),
IF(AQ$3&lt;$DG22,O22,0))))))))))))))),0)</f>
        <v>10</v>
      </c>
      <c r="AR22" s="47">
        <f>ROUND(IF(AR$3&lt;$DF22,0,
IF(AR$3=$DF22+'Model Setup'!$B$7,SUMIF($AD$3:$BA$3,"="&amp;$DF22+'Model Setup'!$B$7,$B22:$Y22)+'Model Setup'!$B$8*(SUMIF($AD$3:$BA$3,"&lt;"&amp;$DF22,$B22:$Y22)+SUMIF($AD$3:$BA$3,"&gt;="&amp;$DG22,$B22:$Y22)),
IF(AR$3=$DF22+'Model Setup'!$C$7,SUMIF($AD$3:$BA$3,"="&amp;$DF22+'Model Setup'!$C$7,$B22:$Y22)+'Model Setup'!$C$8*(SUMIF($AD$3:$BA$3,"&lt;"&amp;$DF22,$B22:$Y22)+SUMIF($AD$3:$BA$3,"&gt;="&amp;$DG22,$B22:$Y22)),
IF(AR$3=$DF22+'Model Setup'!$D$7,SUMIF($AD$3:$BA$3,"="&amp;$DF22+'Model Setup'!$D$7,$B22:$Y22)+'Model Setup'!$D$8*(SUMIF($AD$3:$BA$3,"&lt;"&amp;$DF22,$B22:$Y22)+SUMIF($AD$3:$BA$3,"&gt;="&amp;$DG22,$B22:$Y22)),
IF(AR$3=$DF22+'Model Setup'!$E$7,SUMIF($AD$3:$BA$3,"="&amp;$DF22+'Model Setup'!$E$7,$B22:$Y22)+'Model Setup'!$E$8*(SUMIF($AD$3:$BA$3,"&lt;"&amp;$DF22,$B22:$Y22)+SUMIF($AD$3:$BA$3,"&gt;="&amp;$DG22,$B22:$Y22)),
IF(AR$3=$DF22+'Model Setup'!$F$7,SUMIF($AD$3:$BA$3,"="&amp;$DF22+'Model Setup'!$F$7,$B22:$Y22)+'Model Setup'!$F$8*(SUMIF($AD$3:$BA$3,"&lt;"&amp;$DF22,$B22:$Y22)+SUMIF($AD$3:$BA$3,"&gt;="&amp;$DG22,$B22:$Y22)),
IF(AR$3=$DF22+'Model Setup'!$G$7,SUMIF($AD$3:$BA$3,"="&amp;$DF22+'Model Setup'!$G$7,$B22:$Y22)+'Model Setup'!$G$8*(SUMIF($AD$3:$BA$3,"&lt;"&amp;$DF22,$B22:$Y22)+SUMIF($AD$3:$BA$3,"&gt;="&amp;$DG22,$B22:$Y22)),
IF(AR$3=$DF22+'Model Setup'!$H$7,SUMIF($AD$3:$BA$3,"="&amp;$DF22+'Model Setup'!$H$7,$B22:$Y22)+'Model Setup'!$H$8*(SUMIF($AD$3:$BA$3,"&lt;"&amp;$DF22,$B22:$Y22)+SUMIF($AD$3:$BA$3,"&gt;="&amp;$DG22,$B22:$Y22)),
IF(AR$3=$DF22+'Model Setup'!$I$7,SUMIF($AD$3:$BA$3,"="&amp;$DF22+'Model Setup'!$I$7,$B22:$Y22)+'Model Setup'!$I$8*(SUMIF($AD$3:$BA$3,"&lt;"&amp;$DF22,$B22:$Y22)+SUMIF($AD$3:$BA$3,"&gt;="&amp;$DG22,$B22:$Y22)),
IF(AR$3=$DF22+'Model Setup'!$J$7,SUMIF($AD$3:$BA$3,"="&amp;$DF22+'Model Setup'!$J$7,$B22:$Y22)+'Model Setup'!$J$8*(SUMIF($AD$3:$BA$3,"&lt;"&amp;$DF22,$B22:$Y22)+SUMIF($AD$3:$BA$3,"&gt;="&amp;$DG22,$B22:$Y22)),
IF(AR$3=$DF22+'Model Setup'!$K$7,SUMIF($AD$3:$BA$3,"="&amp;$DF22+'Model Setup'!$K$7,$B22:$Y22)+'Model Setup'!$K$8*(SUMIF($AD$3:$BA$3,"&lt;"&amp;$DF22,$B22:$Y22)+SUMIF($AD$3:$BA$3,"&gt;="&amp;$DG22,$B22:$Y22)),
IF(AR$3=$DF22+'Model Setup'!$L$7,SUMIF($AD$3:$BA$3,"="&amp;$DF22+'Model Setup'!$L$7,$B22:$Y22)+'Model Setup'!$L$8*(SUMIF($AD$3:$BA$3,"&lt;"&amp;$DF22,$B22:$Y22)+SUMIF($AD$3:$BA$3,"&gt;="&amp;$DG22,$B22:$Y22)),
IF(AR$3=$DF22+'Model Setup'!$M$7,SUMIF($AD$3:$BA$3,"="&amp;$DF22+'Model Setup'!$M$7,$B22:$Y22)+'Model Setup'!$M$8*(SUMIF($AD$3:$BA$3,"&lt;"&amp;$DF22,$B22:$Y22)+SUMIF($AD$3:$BA$3,"&gt;="&amp;$DG22,$B22:$Y22)),
IF(AR$3=$DF22+'Model Setup'!$N$7,SUMIF($AD$3:$BA$3,"="&amp;$DF22+'Model Setup'!$N$7,$B22:$Y22)+'Model Setup'!$N$8*(SUMIF($AD$3:$BA$3,"&lt;"&amp;$DF22,$B22:$Y22)+SUMIF($AD$3:$BA$3,"&gt;="&amp;$DG22,$B22:$Y22)),
IF(AR$3&lt;$DG22,P22,0))))))))))))))),0)</f>
        <v>10</v>
      </c>
      <c r="AS22" s="47">
        <f>ROUND(IF(AS$3&lt;$DF22,0,
IF(AS$3=$DF22+'Model Setup'!$B$7,SUMIF($AD$3:$BA$3,"="&amp;$DF22+'Model Setup'!$B$7,$B22:$Y22)+'Model Setup'!$B$8*(SUMIF($AD$3:$BA$3,"&lt;"&amp;$DF22,$B22:$Y22)+SUMIF($AD$3:$BA$3,"&gt;="&amp;$DG22,$B22:$Y22)),
IF(AS$3=$DF22+'Model Setup'!$C$7,SUMIF($AD$3:$BA$3,"="&amp;$DF22+'Model Setup'!$C$7,$B22:$Y22)+'Model Setup'!$C$8*(SUMIF($AD$3:$BA$3,"&lt;"&amp;$DF22,$B22:$Y22)+SUMIF($AD$3:$BA$3,"&gt;="&amp;$DG22,$B22:$Y22)),
IF(AS$3=$DF22+'Model Setup'!$D$7,SUMIF($AD$3:$BA$3,"="&amp;$DF22+'Model Setup'!$D$7,$B22:$Y22)+'Model Setup'!$D$8*(SUMIF($AD$3:$BA$3,"&lt;"&amp;$DF22,$B22:$Y22)+SUMIF($AD$3:$BA$3,"&gt;="&amp;$DG22,$B22:$Y22)),
IF(AS$3=$DF22+'Model Setup'!$E$7,SUMIF($AD$3:$BA$3,"="&amp;$DF22+'Model Setup'!$E$7,$B22:$Y22)+'Model Setup'!$E$8*(SUMIF($AD$3:$BA$3,"&lt;"&amp;$DF22,$B22:$Y22)+SUMIF($AD$3:$BA$3,"&gt;="&amp;$DG22,$B22:$Y22)),
IF(AS$3=$DF22+'Model Setup'!$F$7,SUMIF($AD$3:$BA$3,"="&amp;$DF22+'Model Setup'!$F$7,$B22:$Y22)+'Model Setup'!$F$8*(SUMIF($AD$3:$BA$3,"&lt;"&amp;$DF22,$B22:$Y22)+SUMIF($AD$3:$BA$3,"&gt;="&amp;$DG22,$B22:$Y22)),
IF(AS$3=$DF22+'Model Setup'!$G$7,SUMIF($AD$3:$BA$3,"="&amp;$DF22+'Model Setup'!$G$7,$B22:$Y22)+'Model Setup'!$G$8*(SUMIF($AD$3:$BA$3,"&lt;"&amp;$DF22,$B22:$Y22)+SUMIF($AD$3:$BA$3,"&gt;="&amp;$DG22,$B22:$Y22)),
IF(AS$3=$DF22+'Model Setup'!$H$7,SUMIF($AD$3:$BA$3,"="&amp;$DF22+'Model Setup'!$H$7,$B22:$Y22)+'Model Setup'!$H$8*(SUMIF($AD$3:$BA$3,"&lt;"&amp;$DF22,$B22:$Y22)+SUMIF($AD$3:$BA$3,"&gt;="&amp;$DG22,$B22:$Y22)),
IF(AS$3=$DF22+'Model Setup'!$I$7,SUMIF($AD$3:$BA$3,"="&amp;$DF22+'Model Setup'!$I$7,$B22:$Y22)+'Model Setup'!$I$8*(SUMIF($AD$3:$BA$3,"&lt;"&amp;$DF22,$B22:$Y22)+SUMIF($AD$3:$BA$3,"&gt;="&amp;$DG22,$B22:$Y22)),
IF(AS$3=$DF22+'Model Setup'!$J$7,SUMIF($AD$3:$BA$3,"="&amp;$DF22+'Model Setup'!$J$7,$B22:$Y22)+'Model Setup'!$J$8*(SUMIF($AD$3:$BA$3,"&lt;"&amp;$DF22,$B22:$Y22)+SUMIF($AD$3:$BA$3,"&gt;="&amp;$DG22,$B22:$Y22)),
IF(AS$3=$DF22+'Model Setup'!$K$7,SUMIF($AD$3:$BA$3,"="&amp;$DF22+'Model Setup'!$K$7,$B22:$Y22)+'Model Setup'!$K$8*(SUMIF($AD$3:$BA$3,"&lt;"&amp;$DF22,$B22:$Y22)+SUMIF($AD$3:$BA$3,"&gt;="&amp;$DG22,$B22:$Y22)),
IF(AS$3=$DF22+'Model Setup'!$L$7,SUMIF($AD$3:$BA$3,"="&amp;$DF22+'Model Setup'!$L$7,$B22:$Y22)+'Model Setup'!$L$8*(SUMIF($AD$3:$BA$3,"&lt;"&amp;$DF22,$B22:$Y22)+SUMIF($AD$3:$BA$3,"&gt;="&amp;$DG22,$B22:$Y22)),
IF(AS$3=$DF22+'Model Setup'!$M$7,SUMIF($AD$3:$BA$3,"="&amp;$DF22+'Model Setup'!$M$7,$B22:$Y22)+'Model Setup'!$M$8*(SUMIF($AD$3:$BA$3,"&lt;"&amp;$DF22,$B22:$Y22)+SUMIF($AD$3:$BA$3,"&gt;="&amp;$DG22,$B22:$Y22)),
IF(AS$3=$DF22+'Model Setup'!$N$7,SUMIF($AD$3:$BA$3,"="&amp;$DF22+'Model Setup'!$N$7,$B22:$Y22)+'Model Setup'!$N$8*(SUMIF($AD$3:$BA$3,"&lt;"&amp;$DF22,$B22:$Y22)+SUMIF($AD$3:$BA$3,"&gt;="&amp;$DG22,$B22:$Y22)),
IF(AS$3&lt;$DG22,Q22,0))))))))))))))),0)</f>
        <v>8</v>
      </c>
      <c r="AT22" s="47">
        <f>ROUND(IF(AT$3&lt;$DF22,0,
IF(AT$3=$DF22+'Model Setup'!$B$7,SUMIF($AD$3:$BA$3,"="&amp;$DF22+'Model Setup'!$B$7,$B22:$Y22)+'Model Setup'!$B$8*(SUMIF($AD$3:$BA$3,"&lt;"&amp;$DF22,$B22:$Y22)+SUMIF($AD$3:$BA$3,"&gt;="&amp;$DG22,$B22:$Y22)),
IF(AT$3=$DF22+'Model Setup'!$C$7,SUMIF($AD$3:$BA$3,"="&amp;$DF22+'Model Setup'!$C$7,$B22:$Y22)+'Model Setup'!$C$8*(SUMIF($AD$3:$BA$3,"&lt;"&amp;$DF22,$B22:$Y22)+SUMIF($AD$3:$BA$3,"&gt;="&amp;$DG22,$B22:$Y22)),
IF(AT$3=$DF22+'Model Setup'!$D$7,SUMIF($AD$3:$BA$3,"="&amp;$DF22+'Model Setup'!$D$7,$B22:$Y22)+'Model Setup'!$D$8*(SUMIF($AD$3:$BA$3,"&lt;"&amp;$DF22,$B22:$Y22)+SUMIF($AD$3:$BA$3,"&gt;="&amp;$DG22,$B22:$Y22)),
IF(AT$3=$DF22+'Model Setup'!$E$7,SUMIF($AD$3:$BA$3,"="&amp;$DF22+'Model Setup'!$E$7,$B22:$Y22)+'Model Setup'!$E$8*(SUMIF($AD$3:$BA$3,"&lt;"&amp;$DF22,$B22:$Y22)+SUMIF($AD$3:$BA$3,"&gt;="&amp;$DG22,$B22:$Y22)),
IF(AT$3=$DF22+'Model Setup'!$F$7,SUMIF($AD$3:$BA$3,"="&amp;$DF22+'Model Setup'!$F$7,$B22:$Y22)+'Model Setup'!$F$8*(SUMIF($AD$3:$BA$3,"&lt;"&amp;$DF22,$B22:$Y22)+SUMIF($AD$3:$BA$3,"&gt;="&amp;$DG22,$B22:$Y22)),
IF(AT$3=$DF22+'Model Setup'!$G$7,SUMIF($AD$3:$BA$3,"="&amp;$DF22+'Model Setup'!$G$7,$B22:$Y22)+'Model Setup'!$G$8*(SUMIF($AD$3:$BA$3,"&lt;"&amp;$DF22,$B22:$Y22)+SUMIF($AD$3:$BA$3,"&gt;="&amp;$DG22,$B22:$Y22)),
IF(AT$3=$DF22+'Model Setup'!$H$7,SUMIF($AD$3:$BA$3,"="&amp;$DF22+'Model Setup'!$H$7,$B22:$Y22)+'Model Setup'!$H$8*(SUMIF($AD$3:$BA$3,"&lt;"&amp;$DF22,$B22:$Y22)+SUMIF($AD$3:$BA$3,"&gt;="&amp;$DG22,$B22:$Y22)),
IF(AT$3=$DF22+'Model Setup'!$I$7,SUMIF($AD$3:$BA$3,"="&amp;$DF22+'Model Setup'!$I$7,$B22:$Y22)+'Model Setup'!$I$8*(SUMIF($AD$3:$BA$3,"&lt;"&amp;$DF22,$B22:$Y22)+SUMIF($AD$3:$BA$3,"&gt;="&amp;$DG22,$B22:$Y22)),
IF(AT$3=$DF22+'Model Setup'!$J$7,SUMIF($AD$3:$BA$3,"="&amp;$DF22+'Model Setup'!$J$7,$B22:$Y22)+'Model Setup'!$J$8*(SUMIF($AD$3:$BA$3,"&lt;"&amp;$DF22,$B22:$Y22)+SUMIF($AD$3:$BA$3,"&gt;="&amp;$DG22,$B22:$Y22)),
IF(AT$3=$DF22+'Model Setup'!$K$7,SUMIF($AD$3:$BA$3,"="&amp;$DF22+'Model Setup'!$K$7,$B22:$Y22)+'Model Setup'!$K$8*(SUMIF($AD$3:$BA$3,"&lt;"&amp;$DF22,$B22:$Y22)+SUMIF($AD$3:$BA$3,"&gt;="&amp;$DG22,$B22:$Y22)),
IF(AT$3=$DF22+'Model Setup'!$L$7,SUMIF($AD$3:$BA$3,"="&amp;$DF22+'Model Setup'!$L$7,$B22:$Y22)+'Model Setup'!$L$8*(SUMIF($AD$3:$BA$3,"&lt;"&amp;$DF22,$B22:$Y22)+SUMIF($AD$3:$BA$3,"&gt;="&amp;$DG22,$B22:$Y22)),
IF(AT$3=$DF22+'Model Setup'!$M$7,SUMIF($AD$3:$BA$3,"="&amp;$DF22+'Model Setup'!$M$7,$B22:$Y22)+'Model Setup'!$M$8*(SUMIF($AD$3:$BA$3,"&lt;"&amp;$DF22,$B22:$Y22)+SUMIF($AD$3:$BA$3,"&gt;="&amp;$DG22,$B22:$Y22)),
IF(AT$3=$DF22+'Model Setup'!$N$7,SUMIF($AD$3:$BA$3,"="&amp;$DF22+'Model Setup'!$N$7,$B22:$Y22)+'Model Setup'!$N$8*(SUMIF($AD$3:$BA$3,"&lt;"&amp;$DF22,$B22:$Y22)+SUMIF($AD$3:$BA$3,"&gt;="&amp;$DG22,$B22:$Y22)),
IF(AT$3&lt;$DG22,R22,0))))))))))))))),0)</f>
        <v>6</v>
      </c>
      <c r="AU22" s="47">
        <f>ROUND(IF(AU$3&lt;$DF22,0,
IF(AU$3=$DF22+'Model Setup'!$B$7,SUMIF($AD$3:$BA$3,"="&amp;$DF22+'Model Setup'!$B$7,$B22:$Y22)+'Model Setup'!$B$8*(SUMIF($AD$3:$BA$3,"&lt;"&amp;$DF22,$B22:$Y22)+SUMIF($AD$3:$BA$3,"&gt;="&amp;$DG22,$B22:$Y22)),
IF(AU$3=$DF22+'Model Setup'!$C$7,SUMIF($AD$3:$BA$3,"="&amp;$DF22+'Model Setup'!$C$7,$B22:$Y22)+'Model Setup'!$C$8*(SUMIF($AD$3:$BA$3,"&lt;"&amp;$DF22,$B22:$Y22)+SUMIF($AD$3:$BA$3,"&gt;="&amp;$DG22,$B22:$Y22)),
IF(AU$3=$DF22+'Model Setup'!$D$7,SUMIF($AD$3:$BA$3,"="&amp;$DF22+'Model Setup'!$D$7,$B22:$Y22)+'Model Setup'!$D$8*(SUMIF($AD$3:$BA$3,"&lt;"&amp;$DF22,$B22:$Y22)+SUMIF($AD$3:$BA$3,"&gt;="&amp;$DG22,$B22:$Y22)),
IF(AU$3=$DF22+'Model Setup'!$E$7,SUMIF($AD$3:$BA$3,"="&amp;$DF22+'Model Setup'!$E$7,$B22:$Y22)+'Model Setup'!$E$8*(SUMIF($AD$3:$BA$3,"&lt;"&amp;$DF22,$B22:$Y22)+SUMIF($AD$3:$BA$3,"&gt;="&amp;$DG22,$B22:$Y22)),
IF(AU$3=$DF22+'Model Setup'!$F$7,SUMIF($AD$3:$BA$3,"="&amp;$DF22+'Model Setup'!$F$7,$B22:$Y22)+'Model Setup'!$F$8*(SUMIF($AD$3:$BA$3,"&lt;"&amp;$DF22,$B22:$Y22)+SUMIF($AD$3:$BA$3,"&gt;="&amp;$DG22,$B22:$Y22)),
IF(AU$3=$DF22+'Model Setup'!$G$7,SUMIF($AD$3:$BA$3,"="&amp;$DF22+'Model Setup'!$G$7,$B22:$Y22)+'Model Setup'!$G$8*(SUMIF($AD$3:$BA$3,"&lt;"&amp;$DF22,$B22:$Y22)+SUMIF($AD$3:$BA$3,"&gt;="&amp;$DG22,$B22:$Y22)),
IF(AU$3=$DF22+'Model Setup'!$H$7,SUMIF($AD$3:$BA$3,"="&amp;$DF22+'Model Setup'!$H$7,$B22:$Y22)+'Model Setup'!$H$8*(SUMIF($AD$3:$BA$3,"&lt;"&amp;$DF22,$B22:$Y22)+SUMIF($AD$3:$BA$3,"&gt;="&amp;$DG22,$B22:$Y22)),
IF(AU$3=$DF22+'Model Setup'!$I$7,SUMIF($AD$3:$BA$3,"="&amp;$DF22+'Model Setup'!$I$7,$B22:$Y22)+'Model Setup'!$I$8*(SUMIF($AD$3:$BA$3,"&lt;"&amp;$DF22,$B22:$Y22)+SUMIF($AD$3:$BA$3,"&gt;="&amp;$DG22,$B22:$Y22)),
IF(AU$3=$DF22+'Model Setup'!$J$7,SUMIF($AD$3:$BA$3,"="&amp;$DF22+'Model Setup'!$J$7,$B22:$Y22)+'Model Setup'!$J$8*(SUMIF($AD$3:$BA$3,"&lt;"&amp;$DF22,$B22:$Y22)+SUMIF($AD$3:$BA$3,"&gt;="&amp;$DG22,$B22:$Y22)),
IF(AU$3=$DF22+'Model Setup'!$K$7,SUMIF($AD$3:$BA$3,"="&amp;$DF22+'Model Setup'!$K$7,$B22:$Y22)+'Model Setup'!$K$8*(SUMIF($AD$3:$BA$3,"&lt;"&amp;$DF22,$B22:$Y22)+SUMIF($AD$3:$BA$3,"&gt;="&amp;$DG22,$B22:$Y22)),
IF(AU$3=$DF22+'Model Setup'!$L$7,SUMIF($AD$3:$BA$3,"="&amp;$DF22+'Model Setup'!$L$7,$B22:$Y22)+'Model Setup'!$L$8*(SUMIF($AD$3:$BA$3,"&lt;"&amp;$DF22,$B22:$Y22)+SUMIF($AD$3:$BA$3,"&gt;="&amp;$DG22,$B22:$Y22)),
IF(AU$3=$DF22+'Model Setup'!$M$7,SUMIF($AD$3:$BA$3,"="&amp;$DF22+'Model Setup'!$M$7,$B22:$Y22)+'Model Setup'!$M$8*(SUMIF($AD$3:$BA$3,"&lt;"&amp;$DF22,$B22:$Y22)+SUMIF($AD$3:$BA$3,"&gt;="&amp;$DG22,$B22:$Y22)),
IF(AU$3=$DF22+'Model Setup'!$N$7,SUMIF($AD$3:$BA$3,"="&amp;$DF22+'Model Setup'!$N$7,$B22:$Y22)+'Model Setup'!$N$8*(SUMIF($AD$3:$BA$3,"&lt;"&amp;$DF22,$B22:$Y22)+SUMIF($AD$3:$BA$3,"&gt;="&amp;$DG22,$B22:$Y22)),
IF(AU$3&lt;$DG22,S22,0))))))))))))))),0)</f>
        <v>32</v>
      </c>
      <c r="AV22" s="47">
        <f>ROUND(IF(AV$3&lt;$DF22,0,
IF(AV$3=$DF22+'Model Setup'!$B$7,SUMIF($AD$3:$BA$3,"="&amp;$DF22+'Model Setup'!$B$7,$B22:$Y22)+'Model Setup'!$B$8*(SUMIF($AD$3:$BA$3,"&lt;"&amp;$DF22,$B22:$Y22)+SUMIF($AD$3:$BA$3,"&gt;="&amp;$DG22,$B22:$Y22)),
IF(AV$3=$DF22+'Model Setup'!$C$7,SUMIF($AD$3:$BA$3,"="&amp;$DF22+'Model Setup'!$C$7,$B22:$Y22)+'Model Setup'!$C$8*(SUMIF($AD$3:$BA$3,"&lt;"&amp;$DF22,$B22:$Y22)+SUMIF($AD$3:$BA$3,"&gt;="&amp;$DG22,$B22:$Y22)),
IF(AV$3=$DF22+'Model Setup'!$D$7,SUMIF($AD$3:$BA$3,"="&amp;$DF22+'Model Setup'!$D$7,$B22:$Y22)+'Model Setup'!$D$8*(SUMIF($AD$3:$BA$3,"&lt;"&amp;$DF22,$B22:$Y22)+SUMIF($AD$3:$BA$3,"&gt;="&amp;$DG22,$B22:$Y22)),
IF(AV$3=$DF22+'Model Setup'!$E$7,SUMIF($AD$3:$BA$3,"="&amp;$DF22+'Model Setup'!$E$7,$B22:$Y22)+'Model Setup'!$E$8*(SUMIF($AD$3:$BA$3,"&lt;"&amp;$DF22,$B22:$Y22)+SUMIF($AD$3:$BA$3,"&gt;="&amp;$DG22,$B22:$Y22)),
IF(AV$3=$DF22+'Model Setup'!$F$7,SUMIF($AD$3:$BA$3,"="&amp;$DF22+'Model Setup'!$F$7,$B22:$Y22)+'Model Setup'!$F$8*(SUMIF($AD$3:$BA$3,"&lt;"&amp;$DF22,$B22:$Y22)+SUMIF($AD$3:$BA$3,"&gt;="&amp;$DG22,$B22:$Y22)),
IF(AV$3=$DF22+'Model Setup'!$G$7,SUMIF($AD$3:$BA$3,"="&amp;$DF22+'Model Setup'!$G$7,$B22:$Y22)+'Model Setup'!$G$8*(SUMIF($AD$3:$BA$3,"&lt;"&amp;$DF22,$B22:$Y22)+SUMIF($AD$3:$BA$3,"&gt;="&amp;$DG22,$B22:$Y22)),
IF(AV$3=$DF22+'Model Setup'!$H$7,SUMIF($AD$3:$BA$3,"="&amp;$DF22+'Model Setup'!$H$7,$B22:$Y22)+'Model Setup'!$H$8*(SUMIF($AD$3:$BA$3,"&lt;"&amp;$DF22,$B22:$Y22)+SUMIF($AD$3:$BA$3,"&gt;="&amp;$DG22,$B22:$Y22)),
IF(AV$3=$DF22+'Model Setup'!$I$7,SUMIF($AD$3:$BA$3,"="&amp;$DF22+'Model Setup'!$I$7,$B22:$Y22)+'Model Setup'!$I$8*(SUMIF($AD$3:$BA$3,"&lt;"&amp;$DF22,$B22:$Y22)+SUMIF($AD$3:$BA$3,"&gt;="&amp;$DG22,$B22:$Y22)),
IF(AV$3=$DF22+'Model Setup'!$J$7,SUMIF($AD$3:$BA$3,"="&amp;$DF22+'Model Setup'!$J$7,$B22:$Y22)+'Model Setup'!$J$8*(SUMIF($AD$3:$BA$3,"&lt;"&amp;$DF22,$B22:$Y22)+SUMIF($AD$3:$BA$3,"&gt;="&amp;$DG22,$B22:$Y22)),
IF(AV$3=$DF22+'Model Setup'!$K$7,SUMIF($AD$3:$BA$3,"="&amp;$DF22+'Model Setup'!$K$7,$B22:$Y22)+'Model Setup'!$K$8*(SUMIF($AD$3:$BA$3,"&lt;"&amp;$DF22,$B22:$Y22)+SUMIF($AD$3:$BA$3,"&gt;="&amp;$DG22,$B22:$Y22)),
IF(AV$3=$DF22+'Model Setup'!$L$7,SUMIF($AD$3:$BA$3,"="&amp;$DF22+'Model Setup'!$L$7,$B22:$Y22)+'Model Setup'!$L$8*(SUMIF($AD$3:$BA$3,"&lt;"&amp;$DF22,$B22:$Y22)+SUMIF($AD$3:$BA$3,"&gt;="&amp;$DG22,$B22:$Y22)),
IF(AV$3=$DF22+'Model Setup'!$M$7,SUMIF($AD$3:$BA$3,"="&amp;$DF22+'Model Setup'!$M$7,$B22:$Y22)+'Model Setup'!$M$8*(SUMIF($AD$3:$BA$3,"&lt;"&amp;$DF22,$B22:$Y22)+SUMIF($AD$3:$BA$3,"&gt;="&amp;$DG22,$B22:$Y22)),
IF(AV$3=$DF22+'Model Setup'!$N$7,SUMIF($AD$3:$BA$3,"="&amp;$DF22+'Model Setup'!$N$7,$B22:$Y22)+'Model Setup'!$N$8*(SUMIF($AD$3:$BA$3,"&lt;"&amp;$DF22,$B22:$Y22)+SUMIF($AD$3:$BA$3,"&gt;="&amp;$DG22,$B22:$Y22)),
IF(AV$3&lt;$DG22,T22,0))))))))))))))),0)</f>
        <v>40</v>
      </c>
      <c r="AW22" s="47">
        <f>ROUND(IF(AW$3&lt;$DF22,0,
IF(AW$3=$DF22+'Model Setup'!$B$7,SUMIF($AD$3:$BA$3,"="&amp;$DF22+'Model Setup'!$B$7,$B22:$Y22)+'Model Setup'!$B$8*(SUMIF($AD$3:$BA$3,"&lt;"&amp;$DF22,$B22:$Y22)+SUMIF($AD$3:$BA$3,"&gt;="&amp;$DG22,$B22:$Y22)),
IF(AW$3=$DF22+'Model Setup'!$C$7,SUMIF($AD$3:$BA$3,"="&amp;$DF22+'Model Setup'!$C$7,$B22:$Y22)+'Model Setup'!$C$8*(SUMIF($AD$3:$BA$3,"&lt;"&amp;$DF22,$B22:$Y22)+SUMIF($AD$3:$BA$3,"&gt;="&amp;$DG22,$B22:$Y22)),
IF(AW$3=$DF22+'Model Setup'!$D$7,SUMIF($AD$3:$BA$3,"="&amp;$DF22+'Model Setup'!$D$7,$B22:$Y22)+'Model Setup'!$D$8*(SUMIF($AD$3:$BA$3,"&lt;"&amp;$DF22,$B22:$Y22)+SUMIF($AD$3:$BA$3,"&gt;="&amp;$DG22,$B22:$Y22)),
IF(AW$3=$DF22+'Model Setup'!$E$7,SUMIF($AD$3:$BA$3,"="&amp;$DF22+'Model Setup'!$E$7,$B22:$Y22)+'Model Setup'!$E$8*(SUMIF($AD$3:$BA$3,"&lt;"&amp;$DF22,$B22:$Y22)+SUMIF($AD$3:$BA$3,"&gt;="&amp;$DG22,$B22:$Y22)),
IF(AW$3=$DF22+'Model Setup'!$F$7,SUMIF($AD$3:$BA$3,"="&amp;$DF22+'Model Setup'!$F$7,$B22:$Y22)+'Model Setup'!$F$8*(SUMIF($AD$3:$BA$3,"&lt;"&amp;$DF22,$B22:$Y22)+SUMIF($AD$3:$BA$3,"&gt;="&amp;$DG22,$B22:$Y22)),
IF(AW$3=$DF22+'Model Setup'!$G$7,SUMIF($AD$3:$BA$3,"="&amp;$DF22+'Model Setup'!$G$7,$B22:$Y22)+'Model Setup'!$G$8*(SUMIF($AD$3:$BA$3,"&lt;"&amp;$DF22,$B22:$Y22)+SUMIF($AD$3:$BA$3,"&gt;="&amp;$DG22,$B22:$Y22)),
IF(AW$3=$DF22+'Model Setup'!$H$7,SUMIF($AD$3:$BA$3,"="&amp;$DF22+'Model Setup'!$H$7,$B22:$Y22)+'Model Setup'!$H$8*(SUMIF($AD$3:$BA$3,"&lt;"&amp;$DF22,$B22:$Y22)+SUMIF($AD$3:$BA$3,"&gt;="&amp;$DG22,$B22:$Y22)),
IF(AW$3=$DF22+'Model Setup'!$I$7,SUMIF($AD$3:$BA$3,"="&amp;$DF22+'Model Setup'!$I$7,$B22:$Y22)+'Model Setup'!$I$8*(SUMIF($AD$3:$BA$3,"&lt;"&amp;$DF22,$B22:$Y22)+SUMIF($AD$3:$BA$3,"&gt;="&amp;$DG22,$B22:$Y22)),
IF(AW$3=$DF22+'Model Setup'!$J$7,SUMIF($AD$3:$BA$3,"="&amp;$DF22+'Model Setup'!$J$7,$B22:$Y22)+'Model Setup'!$J$8*(SUMIF($AD$3:$BA$3,"&lt;"&amp;$DF22,$B22:$Y22)+SUMIF($AD$3:$BA$3,"&gt;="&amp;$DG22,$B22:$Y22)),
IF(AW$3=$DF22+'Model Setup'!$K$7,SUMIF($AD$3:$BA$3,"="&amp;$DF22+'Model Setup'!$K$7,$B22:$Y22)+'Model Setup'!$K$8*(SUMIF($AD$3:$BA$3,"&lt;"&amp;$DF22,$B22:$Y22)+SUMIF($AD$3:$BA$3,"&gt;="&amp;$DG22,$B22:$Y22)),
IF(AW$3=$DF22+'Model Setup'!$L$7,SUMIF($AD$3:$BA$3,"="&amp;$DF22+'Model Setup'!$L$7,$B22:$Y22)+'Model Setup'!$L$8*(SUMIF($AD$3:$BA$3,"&lt;"&amp;$DF22,$B22:$Y22)+SUMIF($AD$3:$BA$3,"&gt;="&amp;$DG22,$B22:$Y22)),
IF(AW$3=$DF22+'Model Setup'!$M$7,SUMIF($AD$3:$BA$3,"="&amp;$DF22+'Model Setup'!$M$7,$B22:$Y22)+'Model Setup'!$M$8*(SUMIF($AD$3:$BA$3,"&lt;"&amp;$DF22,$B22:$Y22)+SUMIF($AD$3:$BA$3,"&gt;="&amp;$DG22,$B22:$Y22)),
IF(AW$3=$DF22+'Model Setup'!$N$7,SUMIF($AD$3:$BA$3,"="&amp;$DF22+'Model Setup'!$N$7,$B22:$Y22)+'Model Setup'!$N$8*(SUMIF($AD$3:$BA$3,"&lt;"&amp;$DF22,$B22:$Y22)+SUMIF($AD$3:$BA$3,"&gt;="&amp;$DG22,$B22:$Y22)),
IF(AW$3&lt;$DG22,U22,0))))))))))))))),0)</f>
        <v>31</v>
      </c>
      <c r="AX22" s="47">
        <f>ROUND(IF(AX$3&lt;$DF22,0,
IF(AX$3=$DF22+'Model Setup'!$B$7,SUMIF($AD$3:$BA$3,"="&amp;$DF22+'Model Setup'!$B$7,$B22:$Y22)+'Model Setup'!$B$8*(SUMIF($AD$3:$BA$3,"&lt;"&amp;$DF22,$B22:$Y22)+SUMIF($AD$3:$BA$3,"&gt;="&amp;$DG22,$B22:$Y22)),
IF(AX$3=$DF22+'Model Setup'!$C$7,SUMIF($AD$3:$BA$3,"="&amp;$DF22+'Model Setup'!$C$7,$B22:$Y22)+'Model Setup'!$C$8*(SUMIF($AD$3:$BA$3,"&lt;"&amp;$DF22,$B22:$Y22)+SUMIF($AD$3:$BA$3,"&gt;="&amp;$DG22,$B22:$Y22)),
IF(AX$3=$DF22+'Model Setup'!$D$7,SUMIF($AD$3:$BA$3,"="&amp;$DF22+'Model Setup'!$D$7,$B22:$Y22)+'Model Setup'!$D$8*(SUMIF($AD$3:$BA$3,"&lt;"&amp;$DF22,$B22:$Y22)+SUMIF($AD$3:$BA$3,"&gt;="&amp;$DG22,$B22:$Y22)),
IF(AX$3=$DF22+'Model Setup'!$E$7,SUMIF($AD$3:$BA$3,"="&amp;$DF22+'Model Setup'!$E$7,$B22:$Y22)+'Model Setup'!$E$8*(SUMIF($AD$3:$BA$3,"&lt;"&amp;$DF22,$B22:$Y22)+SUMIF($AD$3:$BA$3,"&gt;="&amp;$DG22,$B22:$Y22)),
IF(AX$3=$DF22+'Model Setup'!$F$7,SUMIF($AD$3:$BA$3,"="&amp;$DF22+'Model Setup'!$F$7,$B22:$Y22)+'Model Setup'!$F$8*(SUMIF($AD$3:$BA$3,"&lt;"&amp;$DF22,$B22:$Y22)+SUMIF($AD$3:$BA$3,"&gt;="&amp;$DG22,$B22:$Y22)),
IF(AX$3=$DF22+'Model Setup'!$G$7,SUMIF($AD$3:$BA$3,"="&amp;$DF22+'Model Setup'!$G$7,$B22:$Y22)+'Model Setup'!$G$8*(SUMIF($AD$3:$BA$3,"&lt;"&amp;$DF22,$B22:$Y22)+SUMIF($AD$3:$BA$3,"&gt;="&amp;$DG22,$B22:$Y22)),
IF(AX$3=$DF22+'Model Setup'!$H$7,SUMIF($AD$3:$BA$3,"="&amp;$DF22+'Model Setup'!$H$7,$B22:$Y22)+'Model Setup'!$H$8*(SUMIF($AD$3:$BA$3,"&lt;"&amp;$DF22,$B22:$Y22)+SUMIF($AD$3:$BA$3,"&gt;="&amp;$DG22,$B22:$Y22)),
IF(AX$3=$DF22+'Model Setup'!$I$7,SUMIF($AD$3:$BA$3,"="&amp;$DF22+'Model Setup'!$I$7,$B22:$Y22)+'Model Setup'!$I$8*(SUMIF($AD$3:$BA$3,"&lt;"&amp;$DF22,$B22:$Y22)+SUMIF($AD$3:$BA$3,"&gt;="&amp;$DG22,$B22:$Y22)),
IF(AX$3=$DF22+'Model Setup'!$J$7,SUMIF($AD$3:$BA$3,"="&amp;$DF22+'Model Setup'!$J$7,$B22:$Y22)+'Model Setup'!$J$8*(SUMIF($AD$3:$BA$3,"&lt;"&amp;$DF22,$B22:$Y22)+SUMIF($AD$3:$BA$3,"&gt;="&amp;$DG22,$B22:$Y22)),
IF(AX$3=$DF22+'Model Setup'!$K$7,SUMIF($AD$3:$BA$3,"="&amp;$DF22+'Model Setup'!$K$7,$B22:$Y22)+'Model Setup'!$K$8*(SUMIF($AD$3:$BA$3,"&lt;"&amp;$DF22,$B22:$Y22)+SUMIF($AD$3:$BA$3,"&gt;="&amp;$DG22,$B22:$Y22)),
IF(AX$3=$DF22+'Model Setup'!$L$7,SUMIF($AD$3:$BA$3,"="&amp;$DF22+'Model Setup'!$L$7,$B22:$Y22)+'Model Setup'!$L$8*(SUMIF($AD$3:$BA$3,"&lt;"&amp;$DF22,$B22:$Y22)+SUMIF($AD$3:$BA$3,"&gt;="&amp;$DG22,$B22:$Y22)),
IF(AX$3=$DF22+'Model Setup'!$M$7,SUMIF($AD$3:$BA$3,"="&amp;$DF22+'Model Setup'!$M$7,$B22:$Y22)+'Model Setup'!$M$8*(SUMIF($AD$3:$BA$3,"&lt;"&amp;$DF22,$B22:$Y22)+SUMIF($AD$3:$BA$3,"&gt;="&amp;$DG22,$B22:$Y22)),
IF(AX$3=$DF22+'Model Setup'!$N$7,SUMIF($AD$3:$BA$3,"="&amp;$DF22+'Model Setup'!$N$7,$B22:$Y22)+'Model Setup'!$N$8*(SUMIF($AD$3:$BA$3,"&lt;"&amp;$DF22,$B22:$Y22)+SUMIF($AD$3:$BA$3,"&gt;="&amp;$DG22,$B22:$Y22)),
IF(AX$3&lt;$DG22,V22,0))))))))))))))),0)</f>
        <v>0</v>
      </c>
      <c r="AY22" s="47">
        <f>ROUND(IF(AY$3&lt;$DF22,0,
IF(AY$3=$DF22+'Model Setup'!$B$7,SUMIF($AD$3:$BA$3,"="&amp;$DF22+'Model Setup'!$B$7,$B22:$Y22)+'Model Setup'!$B$8*(SUMIF($AD$3:$BA$3,"&lt;"&amp;$DF22,$B22:$Y22)+SUMIF($AD$3:$BA$3,"&gt;="&amp;$DG22,$B22:$Y22)),
IF(AY$3=$DF22+'Model Setup'!$C$7,SUMIF($AD$3:$BA$3,"="&amp;$DF22+'Model Setup'!$C$7,$B22:$Y22)+'Model Setup'!$C$8*(SUMIF($AD$3:$BA$3,"&lt;"&amp;$DF22,$B22:$Y22)+SUMIF($AD$3:$BA$3,"&gt;="&amp;$DG22,$B22:$Y22)),
IF(AY$3=$DF22+'Model Setup'!$D$7,SUMIF($AD$3:$BA$3,"="&amp;$DF22+'Model Setup'!$D$7,$B22:$Y22)+'Model Setup'!$D$8*(SUMIF($AD$3:$BA$3,"&lt;"&amp;$DF22,$B22:$Y22)+SUMIF($AD$3:$BA$3,"&gt;="&amp;$DG22,$B22:$Y22)),
IF(AY$3=$DF22+'Model Setup'!$E$7,SUMIF($AD$3:$BA$3,"="&amp;$DF22+'Model Setup'!$E$7,$B22:$Y22)+'Model Setup'!$E$8*(SUMIF($AD$3:$BA$3,"&lt;"&amp;$DF22,$B22:$Y22)+SUMIF($AD$3:$BA$3,"&gt;="&amp;$DG22,$B22:$Y22)),
IF(AY$3=$DF22+'Model Setup'!$F$7,SUMIF($AD$3:$BA$3,"="&amp;$DF22+'Model Setup'!$F$7,$B22:$Y22)+'Model Setup'!$F$8*(SUMIF($AD$3:$BA$3,"&lt;"&amp;$DF22,$B22:$Y22)+SUMIF($AD$3:$BA$3,"&gt;="&amp;$DG22,$B22:$Y22)),
IF(AY$3=$DF22+'Model Setup'!$G$7,SUMIF($AD$3:$BA$3,"="&amp;$DF22+'Model Setup'!$G$7,$B22:$Y22)+'Model Setup'!$G$8*(SUMIF($AD$3:$BA$3,"&lt;"&amp;$DF22,$B22:$Y22)+SUMIF($AD$3:$BA$3,"&gt;="&amp;$DG22,$B22:$Y22)),
IF(AY$3=$DF22+'Model Setup'!$H$7,SUMIF($AD$3:$BA$3,"="&amp;$DF22+'Model Setup'!$H$7,$B22:$Y22)+'Model Setup'!$H$8*(SUMIF($AD$3:$BA$3,"&lt;"&amp;$DF22,$B22:$Y22)+SUMIF($AD$3:$BA$3,"&gt;="&amp;$DG22,$B22:$Y22)),
IF(AY$3=$DF22+'Model Setup'!$I$7,SUMIF($AD$3:$BA$3,"="&amp;$DF22+'Model Setup'!$I$7,$B22:$Y22)+'Model Setup'!$I$8*(SUMIF($AD$3:$BA$3,"&lt;"&amp;$DF22,$B22:$Y22)+SUMIF($AD$3:$BA$3,"&gt;="&amp;$DG22,$B22:$Y22)),
IF(AY$3=$DF22+'Model Setup'!$J$7,SUMIF($AD$3:$BA$3,"="&amp;$DF22+'Model Setup'!$J$7,$B22:$Y22)+'Model Setup'!$J$8*(SUMIF($AD$3:$BA$3,"&lt;"&amp;$DF22,$B22:$Y22)+SUMIF($AD$3:$BA$3,"&gt;="&amp;$DG22,$B22:$Y22)),
IF(AY$3=$DF22+'Model Setup'!$K$7,SUMIF($AD$3:$BA$3,"="&amp;$DF22+'Model Setup'!$K$7,$B22:$Y22)+'Model Setup'!$K$8*(SUMIF($AD$3:$BA$3,"&lt;"&amp;$DF22,$B22:$Y22)+SUMIF($AD$3:$BA$3,"&gt;="&amp;$DG22,$B22:$Y22)),
IF(AY$3=$DF22+'Model Setup'!$L$7,SUMIF($AD$3:$BA$3,"="&amp;$DF22+'Model Setup'!$L$7,$B22:$Y22)+'Model Setup'!$L$8*(SUMIF($AD$3:$BA$3,"&lt;"&amp;$DF22,$B22:$Y22)+SUMIF($AD$3:$BA$3,"&gt;="&amp;$DG22,$B22:$Y22)),
IF(AY$3=$DF22+'Model Setup'!$M$7,SUMIF($AD$3:$BA$3,"="&amp;$DF22+'Model Setup'!$M$7,$B22:$Y22)+'Model Setup'!$M$8*(SUMIF($AD$3:$BA$3,"&lt;"&amp;$DF22,$B22:$Y22)+SUMIF($AD$3:$BA$3,"&gt;="&amp;$DG22,$B22:$Y22)),
IF(AY$3=$DF22+'Model Setup'!$N$7,SUMIF($AD$3:$BA$3,"="&amp;$DF22+'Model Setup'!$N$7,$B22:$Y22)+'Model Setup'!$N$8*(SUMIF($AD$3:$BA$3,"&lt;"&amp;$DF22,$B22:$Y22)+SUMIF($AD$3:$BA$3,"&gt;="&amp;$DG22,$B22:$Y22)),
IF(AY$3&lt;$DG22,W22,0))))))))))))))),0)</f>
        <v>0</v>
      </c>
      <c r="AZ22" s="47">
        <f>ROUND(IF(AZ$3&lt;$DF22,0,
IF(AZ$3=$DF22+'Model Setup'!$B$7,SUMIF($AD$3:$BA$3,"="&amp;$DF22+'Model Setup'!$B$7,$B22:$Y22)+'Model Setup'!$B$8*(SUMIF($AD$3:$BA$3,"&lt;"&amp;$DF22,$B22:$Y22)+SUMIF($AD$3:$BA$3,"&gt;="&amp;$DG22,$B22:$Y22)),
IF(AZ$3=$DF22+'Model Setup'!$C$7,SUMIF($AD$3:$BA$3,"="&amp;$DF22+'Model Setup'!$C$7,$B22:$Y22)+'Model Setup'!$C$8*(SUMIF($AD$3:$BA$3,"&lt;"&amp;$DF22,$B22:$Y22)+SUMIF($AD$3:$BA$3,"&gt;="&amp;$DG22,$B22:$Y22)),
IF(AZ$3=$DF22+'Model Setup'!$D$7,SUMIF($AD$3:$BA$3,"="&amp;$DF22+'Model Setup'!$D$7,$B22:$Y22)+'Model Setup'!$D$8*(SUMIF($AD$3:$BA$3,"&lt;"&amp;$DF22,$B22:$Y22)+SUMIF($AD$3:$BA$3,"&gt;="&amp;$DG22,$B22:$Y22)),
IF(AZ$3=$DF22+'Model Setup'!$E$7,SUMIF($AD$3:$BA$3,"="&amp;$DF22+'Model Setup'!$E$7,$B22:$Y22)+'Model Setup'!$E$8*(SUMIF($AD$3:$BA$3,"&lt;"&amp;$DF22,$B22:$Y22)+SUMIF($AD$3:$BA$3,"&gt;="&amp;$DG22,$B22:$Y22)),
IF(AZ$3=$DF22+'Model Setup'!$F$7,SUMIF($AD$3:$BA$3,"="&amp;$DF22+'Model Setup'!$F$7,$B22:$Y22)+'Model Setup'!$F$8*(SUMIF($AD$3:$BA$3,"&lt;"&amp;$DF22,$B22:$Y22)+SUMIF($AD$3:$BA$3,"&gt;="&amp;$DG22,$B22:$Y22)),
IF(AZ$3=$DF22+'Model Setup'!$G$7,SUMIF($AD$3:$BA$3,"="&amp;$DF22+'Model Setup'!$G$7,$B22:$Y22)+'Model Setup'!$G$8*(SUMIF($AD$3:$BA$3,"&lt;"&amp;$DF22,$B22:$Y22)+SUMIF($AD$3:$BA$3,"&gt;="&amp;$DG22,$B22:$Y22)),
IF(AZ$3=$DF22+'Model Setup'!$H$7,SUMIF($AD$3:$BA$3,"="&amp;$DF22+'Model Setup'!$H$7,$B22:$Y22)+'Model Setup'!$H$8*(SUMIF($AD$3:$BA$3,"&lt;"&amp;$DF22,$B22:$Y22)+SUMIF($AD$3:$BA$3,"&gt;="&amp;$DG22,$B22:$Y22)),
IF(AZ$3=$DF22+'Model Setup'!$I$7,SUMIF($AD$3:$BA$3,"="&amp;$DF22+'Model Setup'!$I$7,$B22:$Y22)+'Model Setup'!$I$8*(SUMIF($AD$3:$BA$3,"&lt;"&amp;$DF22,$B22:$Y22)+SUMIF($AD$3:$BA$3,"&gt;="&amp;$DG22,$B22:$Y22)),
IF(AZ$3=$DF22+'Model Setup'!$J$7,SUMIF($AD$3:$BA$3,"="&amp;$DF22+'Model Setup'!$J$7,$B22:$Y22)+'Model Setup'!$J$8*(SUMIF($AD$3:$BA$3,"&lt;"&amp;$DF22,$B22:$Y22)+SUMIF($AD$3:$BA$3,"&gt;="&amp;$DG22,$B22:$Y22)),
IF(AZ$3=$DF22+'Model Setup'!$K$7,SUMIF($AD$3:$BA$3,"="&amp;$DF22+'Model Setup'!$K$7,$B22:$Y22)+'Model Setup'!$K$8*(SUMIF($AD$3:$BA$3,"&lt;"&amp;$DF22,$B22:$Y22)+SUMIF($AD$3:$BA$3,"&gt;="&amp;$DG22,$B22:$Y22)),
IF(AZ$3=$DF22+'Model Setup'!$L$7,SUMIF($AD$3:$BA$3,"="&amp;$DF22+'Model Setup'!$L$7,$B22:$Y22)+'Model Setup'!$L$8*(SUMIF($AD$3:$BA$3,"&lt;"&amp;$DF22,$B22:$Y22)+SUMIF($AD$3:$BA$3,"&gt;="&amp;$DG22,$B22:$Y22)),
IF(AZ$3=$DF22+'Model Setup'!$M$7,SUMIF($AD$3:$BA$3,"="&amp;$DF22+'Model Setup'!$M$7,$B22:$Y22)+'Model Setup'!$M$8*(SUMIF($AD$3:$BA$3,"&lt;"&amp;$DF22,$B22:$Y22)+SUMIF($AD$3:$BA$3,"&gt;="&amp;$DG22,$B22:$Y22)),
IF(AZ$3=$DF22+'Model Setup'!$N$7,SUMIF($AD$3:$BA$3,"="&amp;$DF22+'Model Setup'!$N$7,$B22:$Y22)+'Model Setup'!$N$8*(SUMIF($AD$3:$BA$3,"&lt;"&amp;$DF22,$B22:$Y22)+SUMIF($AD$3:$BA$3,"&gt;="&amp;$DG22,$B22:$Y22)),
IF(AZ$3&lt;$DG22,X22,0))))))))))))))),0)</f>
        <v>0</v>
      </c>
      <c r="BA22" s="47">
        <f>ROUND(IF(BA$3&lt;$DF22,0,
IF(BA$3=$DF22+'Model Setup'!$B$7,SUMIF($AD$3:$BA$3,"="&amp;$DF22+'Model Setup'!$B$7,$B22:$Y22)+'Model Setup'!$B$8*(SUMIF($AD$3:$BA$3,"&lt;"&amp;$DF22,$B22:$Y22)+SUMIF($AD$3:$BA$3,"&gt;="&amp;$DG22,$B22:$Y22)),
IF(BA$3=$DF22+'Model Setup'!$C$7,SUMIF($AD$3:$BA$3,"="&amp;$DF22+'Model Setup'!$C$7,$B22:$Y22)+'Model Setup'!$C$8*(SUMIF($AD$3:$BA$3,"&lt;"&amp;$DF22,$B22:$Y22)+SUMIF($AD$3:$BA$3,"&gt;="&amp;$DG22,$B22:$Y22)),
IF(BA$3=$DF22+'Model Setup'!$D$7,SUMIF($AD$3:$BA$3,"="&amp;$DF22+'Model Setup'!$D$7,$B22:$Y22)+'Model Setup'!$D$8*(SUMIF($AD$3:$BA$3,"&lt;"&amp;$DF22,$B22:$Y22)+SUMIF($AD$3:$BA$3,"&gt;="&amp;$DG22,$B22:$Y22)),
IF(BA$3=$DF22+'Model Setup'!$E$7,SUMIF($AD$3:$BA$3,"="&amp;$DF22+'Model Setup'!$E$7,$B22:$Y22)+'Model Setup'!$E$8*(SUMIF($AD$3:$BA$3,"&lt;"&amp;$DF22,$B22:$Y22)+SUMIF($AD$3:$BA$3,"&gt;="&amp;$DG22,$B22:$Y22)),
IF(BA$3=$DF22+'Model Setup'!$F$7,SUMIF($AD$3:$BA$3,"="&amp;$DF22+'Model Setup'!$F$7,$B22:$Y22)+'Model Setup'!$F$8*(SUMIF($AD$3:$BA$3,"&lt;"&amp;$DF22,$B22:$Y22)+SUMIF($AD$3:$BA$3,"&gt;="&amp;$DG22,$B22:$Y22)),
IF(BA$3=$DF22+'Model Setup'!$G$7,SUMIF($AD$3:$BA$3,"="&amp;$DF22+'Model Setup'!$G$7,$B22:$Y22)+'Model Setup'!$G$8*(SUMIF($AD$3:$BA$3,"&lt;"&amp;$DF22,$B22:$Y22)+SUMIF($AD$3:$BA$3,"&gt;="&amp;$DG22,$B22:$Y22)),
IF(BA$3=$DF22+'Model Setup'!$H$7,SUMIF($AD$3:$BA$3,"="&amp;$DF22+'Model Setup'!$H$7,$B22:$Y22)+'Model Setup'!$H$8*(SUMIF($AD$3:$BA$3,"&lt;"&amp;$DF22,$B22:$Y22)+SUMIF($AD$3:$BA$3,"&gt;="&amp;$DG22,$B22:$Y22)),
IF(BA$3=$DF22+'Model Setup'!$I$7,SUMIF($AD$3:$BA$3,"="&amp;$DF22+'Model Setup'!$I$7,$B22:$Y22)+'Model Setup'!$I$8*(SUMIF($AD$3:$BA$3,"&lt;"&amp;$DF22,$B22:$Y22)+SUMIF($AD$3:$BA$3,"&gt;="&amp;$DG22,$B22:$Y22)),
IF(BA$3=$DF22+'Model Setup'!$J$7,SUMIF($AD$3:$BA$3,"="&amp;$DF22+'Model Setup'!$J$7,$B22:$Y22)+'Model Setup'!$J$8*(SUMIF($AD$3:$BA$3,"&lt;"&amp;$DF22,$B22:$Y22)+SUMIF($AD$3:$BA$3,"&gt;="&amp;$DG22,$B22:$Y22)),
IF(BA$3=$DF22+'Model Setup'!$K$7,SUMIF($AD$3:$BA$3,"="&amp;$DF22+'Model Setup'!$K$7,$B22:$Y22)+'Model Setup'!$K$8*(SUMIF($AD$3:$BA$3,"&lt;"&amp;$DF22,$B22:$Y22)+SUMIF($AD$3:$BA$3,"&gt;="&amp;$DG22,$B22:$Y22)),
IF(BA$3=$DF22+'Model Setup'!$L$7,SUMIF($AD$3:$BA$3,"="&amp;$DF22+'Model Setup'!$L$7,$B22:$Y22)+'Model Setup'!$L$8*(SUMIF($AD$3:$BA$3,"&lt;"&amp;$DF22,$B22:$Y22)+SUMIF($AD$3:$BA$3,"&gt;="&amp;$DG22,$B22:$Y22)),
IF(BA$3=$DF22+'Model Setup'!$M$7,SUMIF($AD$3:$BA$3,"="&amp;$DF22+'Model Setup'!$M$7,$B22:$Y22)+'Model Setup'!$M$8*(SUMIF($AD$3:$BA$3,"&lt;"&amp;$DF22,$B22:$Y22)+SUMIF($AD$3:$BA$3,"&gt;="&amp;$DG22,$B22:$Y22)),
IF(BA$3=$DF22+'Model Setup'!$N$7,SUMIF($AD$3:$BA$3,"="&amp;$DF22+'Model Setup'!$N$7,$B22:$Y22)+'Model Setup'!$N$8*(SUMIF($AD$3:$BA$3,"&lt;"&amp;$DF22,$B22:$Y22)+SUMIF($AD$3:$BA$3,"&gt;="&amp;$DG22,$B22:$Y22)),
IF(BA$3&lt;$DG22,Y22,0))))))))))))))),0)</f>
        <v>0</v>
      </c>
      <c r="BB22" s="47">
        <f t="shared" si="1"/>
        <v>360</v>
      </c>
      <c r="BD22" t="b">
        <f t="shared" si="2"/>
        <v>0</v>
      </c>
      <c r="BE22">
        <f t="shared" si="8"/>
        <v>5</v>
      </c>
      <c r="BF22">
        <f>(FTC!F20-FTC!E20)*24</f>
        <v>11</v>
      </c>
      <c r="BG22" s="43" t="s">
        <v>37</v>
      </c>
      <c r="BH22" s="47">
        <f>ROUND(IF(OR(BH$3&lt;$DF22,BH$3&gt;$CW$4),0,
IF(BH$3=$DF22+'Model Setup'!$B$7,SUMIF($BH$3:$CE$3,"="&amp;$DF22+'Model Setup'!$B$7,$AD22:$BA22)+'Model Setup'!$B$8*(SUMIF($BH$3:$CE$3,"&lt;"&amp;$DF22,$AD22:$BA22)+SUMIF($BH$3:$CE$3,"&gt;"&amp;$CW$4,$AD22:$BA22)),
IF(BH$3=$DF22+'Model Setup'!$C$7,SUMIF($BH$3:$CE$3,"="&amp;$DF22+'Model Setup'!$C$7,$AD22:$BA22)+'Model Setup'!$C$8*(SUMIF($BH$3:$CE$3,"&lt;"&amp;$DF22,$AD22:$BA22)+SUMIF($BH$3:$CE$3,"&gt;"&amp;$CW$4,$AD22:$BA22)),
IF(BH$3=$DF22+'Model Setup'!$D$7,SUMIF($BH$3:$CE$3,"="&amp;$DF22+'Model Setup'!$D$7,$AD22:$BA22)+'Model Setup'!$D$8*(SUMIF($BH$3:$CE$3,"&lt;"&amp;$DF22,$AD22:$BA22)+SUMIF($BH$3:$CE$3,"&gt;"&amp;$CW$4,$AD22:$BA22)),
IF(BH$3=$DF22+'Model Setup'!$E$7,SUMIF($BH$3:$CE$3,"="&amp;$DF22+'Model Setup'!$E$7,$AD22:$BA22)+'Model Setup'!$E$8*(SUMIF($BH$3:$CE$3,"&lt;"&amp;$DF22,$AD22:$BA22)+SUMIF($BH$3:$CE$3,"&gt;"&amp;$CW$4,$AD22:$BA22)),
IF(BH$3=$DF22+'Model Setup'!$F$7,SUMIF($BH$3:$CE$3,"="&amp;$DF22+'Model Setup'!$F$7,$AD22:$BA22)+'Model Setup'!$F$8*(SUMIF($BH$3:$CE$3,"&lt;"&amp;$DF22,$AD22:$BA22)+SUMIF($BH$3:$CE$3,"&gt;"&amp;$CW$4,$AD22:$BA22)),
IF(BH$3=$DF22+'Model Setup'!$G$7,SUMIF($BH$3:$CE$3,"="&amp;$DF22+'Model Setup'!$G$7,$AD22:$BA22)+'Model Setup'!$G$8*(SUMIF($BH$3:$CE$3,"&lt;"&amp;$DF22,$AD22:$BA22)+SUMIF($BH$3:$CE$3,"&gt;"&amp;$CW$4,$AD22:$BA22)),
IF(BH$3=$DF22+'Model Setup'!$H$7,SUMIF($BH$3:$CE$3,"="&amp;$DF22+'Model Setup'!$H$7,$AD22:$BA22)+'Model Setup'!$H$8*(SUMIF($BH$3:$CE$3,"&lt;"&amp;$DF22,$AD22:$BA22)+SUMIF($BH$3:$CE$3,"&gt;"&amp;$CW$4,$AD22:$BA22)),
IF(BH$3=$DF22+'Model Setup'!$I$7,SUMIF($BH$3:$CE$3,"="&amp;$DF22+'Model Setup'!$I$7,$AD22:$BA22)+'Model Setup'!$I$8*(SUMIF($BH$3:$CE$3,"&lt;"&amp;$DF22,$AD22:$BA22)+SUMIF($BH$3:$CE$3,"&gt;"&amp;$CW$4,$AD22:$BA22)),
IF(BH$3=$DF22+'Model Setup'!$J$7,SUMIF($BH$3:$CE$3,"="&amp;$DF22+'Model Setup'!$J$7,$AD22:$BA22)+'Model Setup'!$J$8*(SUMIF($BH$3:$CE$3,"&lt;"&amp;$DF22,$AD22:$BA22)+SUMIF($BH$3:$CE$3,"&gt;"&amp;$CW$4,$AD22:$BA22)),
IF(BH$3=$DF22+'Model Setup'!$K$7,SUMIF($BH$3:$CE$3,"="&amp;$DF22+'Model Setup'!$K$7,$AD22:$BA22)+'Model Setup'!$K$8*(SUMIF($BH$3:$CE$3,"&lt;"&amp;$DF22,$AD22:$BA22)+SUMIF($BH$3:$CE$3,"&gt;"&amp;$CW$4,$AD22:$BA22)),
IF(BH$3=$DF22+'Model Setup'!$L$7,SUMIF($BH$3:$CE$3,"="&amp;$DF22+'Model Setup'!$L$7,$AD22:$BA22)+'Model Setup'!$L$8*(SUMIF($BH$3:$CE$3,"&lt;"&amp;$DF22,$AD22:$BA22)+SUMIF($BH$3:$CE$3,"&gt;"&amp;$CW$4,$AD22:$BA22)),
IF(BH$3=$DF22+'Model Setup'!$M$7,SUMIF($BH$3:$CE$3,"="&amp;$DF22+'Model Setup'!$M$7,$AD22:$BA22)+'Model Setup'!$M$8*(SUMIF($BH$3:$CE$3,"&lt;"&amp;$DF22,$AD22:$BA22)+SUMIF($BH$3:$CE$3,"&gt;"&amp;$CW$4,$AD22:$BA22)),
IF(BH$3=$DF22+'Model Setup'!$N$7,SUMIF($BH$3:$CE$3,"="&amp;$DF22+'Model Setup'!$N$7,$AD22:$BA22)+'Model Setup'!$N$8*(SUMIF($BH$3:$CE$3,"&lt;"&amp;$DF22,$AD22:$BA22)+SUMIF($BH$3:$CE$3,"&gt;"&amp;$CW$4,$AD22:$BA22)),
IF(BH$3&lt;$CW$4,B22,0))))))))))))))),0)</f>
        <v>0</v>
      </c>
      <c r="BI22" s="47">
        <f>ROUND(IF(OR(BI$3&lt;$DF22,BI$3&gt;$CW$4),0,
IF(BI$3=$DF22+'Model Setup'!$B$7,SUMIF($BH$3:$CE$3,"="&amp;$DF22+'Model Setup'!$B$7,$AD22:$BA22)+'Model Setup'!$B$8*(SUMIF($BH$3:$CE$3,"&lt;"&amp;$DF22,$AD22:$BA22)+SUMIF($BH$3:$CE$3,"&gt;"&amp;$CW$4,$AD22:$BA22)),
IF(BI$3=$DF22+'Model Setup'!$C$7,SUMIF($BH$3:$CE$3,"="&amp;$DF22+'Model Setup'!$C$7,$AD22:$BA22)+'Model Setup'!$C$8*(SUMIF($BH$3:$CE$3,"&lt;"&amp;$DF22,$AD22:$BA22)+SUMIF($BH$3:$CE$3,"&gt;"&amp;$CW$4,$AD22:$BA22)),
IF(BI$3=$DF22+'Model Setup'!$D$7,SUMIF($BH$3:$CE$3,"="&amp;$DF22+'Model Setup'!$D$7,$AD22:$BA22)+'Model Setup'!$D$8*(SUMIF($BH$3:$CE$3,"&lt;"&amp;$DF22,$AD22:$BA22)+SUMIF($BH$3:$CE$3,"&gt;"&amp;$CW$4,$AD22:$BA22)),
IF(BI$3=$DF22+'Model Setup'!$E$7,SUMIF($BH$3:$CE$3,"="&amp;$DF22+'Model Setup'!$E$7,$AD22:$BA22)+'Model Setup'!$E$8*(SUMIF($BH$3:$CE$3,"&lt;"&amp;$DF22,$AD22:$BA22)+SUMIF($BH$3:$CE$3,"&gt;"&amp;$CW$4,$AD22:$BA22)),
IF(BI$3=$DF22+'Model Setup'!$F$7,SUMIF($BH$3:$CE$3,"="&amp;$DF22+'Model Setup'!$F$7,$AD22:$BA22)+'Model Setup'!$F$8*(SUMIF($BH$3:$CE$3,"&lt;"&amp;$DF22,$AD22:$BA22)+SUMIF($BH$3:$CE$3,"&gt;"&amp;$CW$4,$AD22:$BA22)),
IF(BI$3=$DF22+'Model Setup'!$G$7,SUMIF($BH$3:$CE$3,"="&amp;$DF22+'Model Setup'!$G$7,$AD22:$BA22)+'Model Setup'!$G$8*(SUMIF($BH$3:$CE$3,"&lt;"&amp;$DF22,$AD22:$BA22)+SUMIF($BH$3:$CE$3,"&gt;"&amp;$CW$4,$AD22:$BA22)),
IF(BI$3=$DF22+'Model Setup'!$H$7,SUMIF($BH$3:$CE$3,"="&amp;$DF22+'Model Setup'!$H$7,$AD22:$BA22)+'Model Setup'!$H$8*(SUMIF($BH$3:$CE$3,"&lt;"&amp;$DF22,$AD22:$BA22)+SUMIF($BH$3:$CE$3,"&gt;"&amp;$CW$4,$AD22:$BA22)),
IF(BI$3=$DF22+'Model Setup'!$I$7,SUMIF($BH$3:$CE$3,"="&amp;$DF22+'Model Setup'!$I$7,$AD22:$BA22)+'Model Setup'!$I$8*(SUMIF($BH$3:$CE$3,"&lt;"&amp;$DF22,$AD22:$BA22)+SUMIF($BH$3:$CE$3,"&gt;"&amp;$CW$4,$AD22:$BA22)),
IF(BI$3=$DF22+'Model Setup'!$J$7,SUMIF($BH$3:$CE$3,"="&amp;$DF22+'Model Setup'!$J$7,$AD22:$BA22)+'Model Setup'!$J$8*(SUMIF($BH$3:$CE$3,"&lt;"&amp;$DF22,$AD22:$BA22)+SUMIF($BH$3:$CE$3,"&gt;"&amp;$CW$4,$AD22:$BA22)),
IF(BI$3=$DF22+'Model Setup'!$K$7,SUMIF($BH$3:$CE$3,"="&amp;$DF22+'Model Setup'!$K$7,$AD22:$BA22)+'Model Setup'!$K$8*(SUMIF($BH$3:$CE$3,"&lt;"&amp;$DF22,$AD22:$BA22)+SUMIF($BH$3:$CE$3,"&gt;"&amp;$CW$4,$AD22:$BA22)),
IF(BI$3=$DF22+'Model Setup'!$L$7,SUMIF($BH$3:$CE$3,"="&amp;$DF22+'Model Setup'!$L$7,$AD22:$BA22)+'Model Setup'!$L$8*(SUMIF($BH$3:$CE$3,"&lt;"&amp;$DF22,$AD22:$BA22)+SUMIF($BH$3:$CE$3,"&gt;"&amp;$CW$4,$AD22:$BA22)),
IF(BI$3=$DF22+'Model Setup'!$M$7,SUMIF($BH$3:$CE$3,"="&amp;$DF22+'Model Setup'!$M$7,$AD22:$BA22)+'Model Setup'!$M$8*(SUMIF($BH$3:$CE$3,"&lt;"&amp;$DF22,$AD22:$BA22)+SUMIF($BH$3:$CE$3,"&gt;"&amp;$CW$4,$AD22:$BA22)),
IF(BI$3=$DF22+'Model Setup'!$N$7,SUMIF($BH$3:$CE$3,"="&amp;$DF22+'Model Setup'!$N$7,$AD22:$BA22)+'Model Setup'!$N$8*(SUMIF($BH$3:$CE$3,"&lt;"&amp;$DF22,$AD22:$BA22)+SUMIF($BH$3:$CE$3,"&gt;"&amp;$CW$4,$AD22:$BA22)),
IF(BI$3&lt;$CW$4,C22,0))))))))))))))),0)</f>
        <v>0</v>
      </c>
      <c r="BJ22" s="47">
        <f>ROUND(IF(OR(BJ$3&lt;$DF22,BJ$3&gt;$CW$4),0,
IF(BJ$3=$DF22+'Model Setup'!$B$7,SUMIF($BH$3:$CE$3,"="&amp;$DF22+'Model Setup'!$B$7,$AD22:$BA22)+'Model Setup'!$B$8*(SUMIF($BH$3:$CE$3,"&lt;"&amp;$DF22,$AD22:$BA22)+SUMIF($BH$3:$CE$3,"&gt;"&amp;$CW$4,$AD22:$BA22)),
IF(BJ$3=$DF22+'Model Setup'!$C$7,SUMIF($BH$3:$CE$3,"="&amp;$DF22+'Model Setup'!$C$7,$AD22:$BA22)+'Model Setup'!$C$8*(SUMIF($BH$3:$CE$3,"&lt;"&amp;$DF22,$AD22:$BA22)+SUMIF($BH$3:$CE$3,"&gt;"&amp;$CW$4,$AD22:$BA22)),
IF(BJ$3=$DF22+'Model Setup'!$D$7,SUMIF($BH$3:$CE$3,"="&amp;$DF22+'Model Setup'!$D$7,$AD22:$BA22)+'Model Setup'!$D$8*(SUMIF($BH$3:$CE$3,"&lt;"&amp;$DF22,$AD22:$BA22)+SUMIF($BH$3:$CE$3,"&gt;"&amp;$CW$4,$AD22:$BA22)),
IF(BJ$3=$DF22+'Model Setup'!$E$7,SUMIF($BH$3:$CE$3,"="&amp;$DF22+'Model Setup'!$E$7,$AD22:$BA22)+'Model Setup'!$E$8*(SUMIF($BH$3:$CE$3,"&lt;"&amp;$DF22,$AD22:$BA22)+SUMIF($BH$3:$CE$3,"&gt;"&amp;$CW$4,$AD22:$BA22)),
IF(BJ$3=$DF22+'Model Setup'!$F$7,SUMIF($BH$3:$CE$3,"="&amp;$DF22+'Model Setup'!$F$7,$AD22:$BA22)+'Model Setup'!$F$8*(SUMIF($BH$3:$CE$3,"&lt;"&amp;$DF22,$AD22:$BA22)+SUMIF($BH$3:$CE$3,"&gt;"&amp;$CW$4,$AD22:$BA22)),
IF(BJ$3=$DF22+'Model Setup'!$G$7,SUMIF($BH$3:$CE$3,"="&amp;$DF22+'Model Setup'!$G$7,$AD22:$BA22)+'Model Setup'!$G$8*(SUMIF($BH$3:$CE$3,"&lt;"&amp;$DF22,$AD22:$BA22)+SUMIF($BH$3:$CE$3,"&gt;"&amp;$CW$4,$AD22:$BA22)),
IF(BJ$3=$DF22+'Model Setup'!$H$7,SUMIF($BH$3:$CE$3,"="&amp;$DF22+'Model Setup'!$H$7,$AD22:$BA22)+'Model Setup'!$H$8*(SUMIF($BH$3:$CE$3,"&lt;"&amp;$DF22,$AD22:$BA22)+SUMIF($BH$3:$CE$3,"&gt;"&amp;$CW$4,$AD22:$BA22)),
IF(BJ$3=$DF22+'Model Setup'!$I$7,SUMIF($BH$3:$CE$3,"="&amp;$DF22+'Model Setup'!$I$7,$AD22:$BA22)+'Model Setup'!$I$8*(SUMIF($BH$3:$CE$3,"&lt;"&amp;$DF22,$AD22:$BA22)+SUMIF($BH$3:$CE$3,"&gt;"&amp;$CW$4,$AD22:$BA22)),
IF(BJ$3=$DF22+'Model Setup'!$J$7,SUMIF($BH$3:$CE$3,"="&amp;$DF22+'Model Setup'!$J$7,$AD22:$BA22)+'Model Setup'!$J$8*(SUMIF($BH$3:$CE$3,"&lt;"&amp;$DF22,$AD22:$BA22)+SUMIF($BH$3:$CE$3,"&gt;"&amp;$CW$4,$AD22:$BA22)),
IF(BJ$3=$DF22+'Model Setup'!$K$7,SUMIF($BH$3:$CE$3,"="&amp;$DF22+'Model Setup'!$K$7,$AD22:$BA22)+'Model Setup'!$K$8*(SUMIF($BH$3:$CE$3,"&lt;"&amp;$DF22,$AD22:$BA22)+SUMIF($BH$3:$CE$3,"&gt;"&amp;$CW$4,$AD22:$BA22)),
IF(BJ$3=$DF22+'Model Setup'!$L$7,SUMIF($BH$3:$CE$3,"="&amp;$DF22+'Model Setup'!$L$7,$AD22:$BA22)+'Model Setup'!$L$8*(SUMIF($BH$3:$CE$3,"&lt;"&amp;$DF22,$AD22:$BA22)+SUMIF($BH$3:$CE$3,"&gt;"&amp;$CW$4,$AD22:$BA22)),
IF(BJ$3=$DF22+'Model Setup'!$M$7,SUMIF($BH$3:$CE$3,"="&amp;$DF22+'Model Setup'!$M$7,$AD22:$BA22)+'Model Setup'!$M$8*(SUMIF($BH$3:$CE$3,"&lt;"&amp;$DF22,$AD22:$BA22)+SUMIF($BH$3:$CE$3,"&gt;"&amp;$CW$4,$AD22:$BA22)),
IF(BJ$3=$DF22+'Model Setup'!$N$7,SUMIF($BH$3:$CE$3,"="&amp;$DF22+'Model Setup'!$N$7,$AD22:$BA22)+'Model Setup'!$N$8*(SUMIF($BH$3:$CE$3,"&lt;"&amp;$DF22,$AD22:$BA22)+SUMIF($BH$3:$CE$3,"&gt;"&amp;$CW$4,$AD22:$BA22)),
IF(BJ$3&lt;$CW$4,D22,0))))))))))))))),0)</f>
        <v>0</v>
      </c>
      <c r="BK22" s="47">
        <f>ROUND(IF(OR(BK$3&lt;$DF22,BK$3&gt;$CW$4),0,
IF(BK$3=$DF22+'Model Setup'!$B$7,SUMIF($BH$3:$CE$3,"="&amp;$DF22+'Model Setup'!$B$7,$AD22:$BA22)+'Model Setup'!$B$8*(SUMIF($BH$3:$CE$3,"&lt;"&amp;$DF22,$AD22:$BA22)+SUMIF($BH$3:$CE$3,"&gt;"&amp;$CW$4,$AD22:$BA22)),
IF(BK$3=$DF22+'Model Setup'!$C$7,SUMIF($BH$3:$CE$3,"="&amp;$DF22+'Model Setup'!$C$7,$AD22:$BA22)+'Model Setup'!$C$8*(SUMIF($BH$3:$CE$3,"&lt;"&amp;$DF22,$AD22:$BA22)+SUMIF($BH$3:$CE$3,"&gt;"&amp;$CW$4,$AD22:$BA22)),
IF(BK$3=$DF22+'Model Setup'!$D$7,SUMIF($BH$3:$CE$3,"="&amp;$DF22+'Model Setup'!$D$7,$AD22:$BA22)+'Model Setup'!$D$8*(SUMIF($BH$3:$CE$3,"&lt;"&amp;$DF22,$AD22:$BA22)+SUMIF($BH$3:$CE$3,"&gt;"&amp;$CW$4,$AD22:$BA22)),
IF(BK$3=$DF22+'Model Setup'!$E$7,SUMIF($BH$3:$CE$3,"="&amp;$DF22+'Model Setup'!$E$7,$AD22:$BA22)+'Model Setup'!$E$8*(SUMIF($BH$3:$CE$3,"&lt;"&amp;$DF22,$AD22:$BA22)+SUMIF($BH$3:$CE$3,"&gt;"&amp;$CW$4,$AD22:$BA22)),
IF(BK$3=$DF22+'Model Setup'!$F$7,SUMIF($BH$3:$CE$3,"="&amp;$DF22+'Model Setup'!$F$7,$AD22:$BA22)+'Model Setup'!$F$8*(SUMIF($BH$3:$CE$3,"&lt;"&amp;$DF22,$AD22:$BA22)+SUMIF($BH$3:$CE$3,"&gt;"&amp;$CW$4,$AD22:$BA22)),
IF(BK$3=$DF22+'Model Setup'!$G$7,SUMIF($BH$3:$CE$3,"="&amp;$DF22+'Model Setup'!$G$7,$AD22:$BA22)+'Model Setup'!$G$8*(SUMIF($BH$3:$CE$3,"&lt;"&amp;$DF22,$AD22:$BA22)+SUMIF($BH$3:$CE$3,"&gt;"&amp;$CW$4,$AD22:$BA22)),
IF(BK$3=$DF22+'Model Setup'!$H$7,SUMIF($BH$3:$CE$3,"="&amp;$DF22+'Model Setup'!$H$7,$AD22:$BA22)+'Model Setup'!$H$8*(SUMIF($BH$3:$CE$3,"&lt;"&amp;$DF22,$AD22:$BA22)+SUMIF($BH$3:$CE$3,"&gt;"&amp;$CW$4,$AD22:$BA22)),
IF(BK$3=$DF22+'Model Setup'!$I$7,SUMIF($BH$3:$CE$3,"="&amp;$DF22+'Model Setup'!$I$7,$AD22:$BA22)+'Model Setup'!$I$8*(SUMIF($BH$3:$CE$3,"&lt;"&amp;$DF22,$AD22:$BA22)+SUMIF($BH$3:$CE$3,"&gt;"&amp;$CW$4,$AD22:$BA22)),
IF(BK$3=$DF22+'Model Setup'!$J$7,SUMIF($BH$3:$CE$3,"="&amp;$DF22+'Model Setup'!$J$7,$AD22:$BA22)+'Model Setup'!$J$8*(SUMIF($BH$3:$CE$3,"&lt;"&amp;$DF22,$AD22:$BA22)+SUMIF($BH$3:$CE$3,"&gt;"&amp;$CW$4,$AD22:$BA22)),
IF(BK$3=$DF22+'Model Setup'!$K$7,SUMIF($BH$3:$CE$3,"="&amp;$DF22+'Model Setup'!$K$7,$AD22:$BA22)+'Model Setup'!$K$8*(SUMIF($BH$3:$CE$3,"&lt;"&amp;$DF22,$AD22:$BA22)+SUMIF($BH$3:$CE$3,"&gt;"&amp;$CW$4,$AD22:$BA22)),
IF(BK$3=$DF22+'Model Setup'!$L$7,SUMIF($BH$3:$CE$3,"="&amp;$DF22+'Model Setup'!$L$7,$AD22:$BA22)+'Model Setup'!$L$8*(SUMIF($BH$3:$CE$3,"&lt;"&amp;$DF22,$AD22:$BA22)+SUMIF($BH$3:$CE$3,"&gt;"&amp;$CW$4,$AD22:$BA22)),
IF(BK$3=$DF22+'Model Setup'!$M$7,SUMIF($BH$3:$CE$3,"="&amp;$DF22+'Model Setup'!$M$7,$AD22:$BA22)+'Model Setup'!$M$8*(SUMIF($BH$3:$CE$3,"&lt;"&amp;$DF22,$AD22:$BA22)+SUMIF($BH$3:$CE$3,"&gt;"&amp;$CW$4,$AD22:$BA22)),
IF(BK$3=$DF22+'Model Setup'!$N$7,SUMIF($BH$3:$CE$3,"="&amp;$DF22+'Model Setup'!$N$7,$AD22:$BA22)+'Model Setup'!$N$8*(SUMIF($BH$3:$CE$3,"&lt;"&amp;$DF22,$AD22:$BA22)+SUMIF($BH$3:$CE$3,"&gt;"&amp;$CW$4,$AD22:$BA22)),
IF(BK$3&lt;$CW$4,E22,0))))))))))))))),0)</f>
        <v>0</v>
      </c>
      <c r="BL22" s="47">
        <f>ROUND(IF(OR(BL$3&lt;$DF22,BL$3&gt;$CW$4),0,
IF(BL$3=$DF22+'Model Setup'!$B$7,SUMIF($BH$3:$CE$3,"="&amp;$DF22+'Model Setup'!$B$7,$AD22:$BA22)+'Model Setup'!$B$8*(SUMIF($BH$3:$CE$3,"&lt;"&amp;$DF22,$AD22:$BA22)+SUMIF($BH$3:$CE$3,"&gt;"&amp;$CW$4,$AD22:$BA22)),
IF(BL$3=$DF22+'Model Setup'!$C$7,SUMIF($BH$3:$CE$3,"="&amp;$DF22+'Model Setup'!$C$7,$AD22:$BA22)+'Model Setup'!$C$8*(SUMIF($BH$3:$CE$3,"&lt;"&amp;$DF22,$AD22:$BA22)+SUMIF($BH$3:$CE$3,"&gt;"&amp;$CW$4,$AD22:$BA22)),
IF(BL$3=$DF22+'Model Setup'!$D$7,SUMIF($BH$3:$CE$3,"="&amp;$DF22+'Model Setup'!$D$7,$AD22:$BA22)+'Model Setup'!$D$8*(SUMIF($BH$3:$CE$3,"&lt;"&amp;$DF22,$AD22:$BA22)+SUMIF($BH$3:$CE$3,"&gt;"&amp;$CW$4,$AD22:$BA22)),
IF(BL$3=$DF22+'Model Setup'!$E$7,SUMIF($BH$3:$CE$3,"="&amp;$DF22+'Model Setup'!$E$7,$AD22:$BA22)+'Model Setup'!$E$8*(SUMIF($BH$3:$CE$3,"&lt;"&amp;$DF22,$AD22:$BA22)+SUMIF($BH$3:$CE$3,"&gt;"&amp;$CW$4,$AD22:$BA22)),
IF(BL$3=$DF22+'Model Setup'!$F$7,SUMIF($BH$3:$CE$3,"="&amp;$DF22+'Model Setup'!$F$7,$AD22:$BA22)+'Model Setup'!$F$8*(SUMIF($BH$3:$CE$3,"&lt;"&amp;$DF22,$AD22:$BA22)+SUMIF($BH$3:$CE$3,"&gt;"&amp;$CW$4,$AD22:$BA22)),
IF(BL$3=$DF22+'Model Setup'!$G$7,SUMIF($BH$3:$CE$3,"="&amp;$DF22+'Model Setup'!$G$7,$AD22:$BA22)+'Model Setup'!$G$8*(SUMIF($BH$3:$CE$3,"&lt;"&amp;$DF22,$AD22:$BA22)+SUMIF($BH$3:$CE$3,"&gt;"&amp;$CW$4,$AD22:$BA22)),
IF(BL$3=$DF22+'Model Setup'!$H$7,SUMIF($BH$3:$CE$3,"="&amp;$DF22+'Model Setup'!$H$7,$AD22:$BA22)+'Model Setup'!$H$8*(SUMIF($BH$3:$CE$3,"&lt;"&amp;$DF22,$AD22:$BA22)+SUMIF($BH$3:$CE$3,"&gt;"&amp;$CW$4,$AD22:$BA22)),
IF(BL$3=$DF22+'Model Setup'!$I$7,SUMIF($BH$3:$CE$3,"="&amp;$DF22+'Model Setup'!$I$7,$AD22:$BA22)+'Model Setup'!$I$8*(SUMIF($BH$3:$CE$3,"&lt;"&amp;$DF22,$AD22:$BA22)+SUMIF($BH$3:$CE$3,"&gt;"&amp;$CW$4,$AD22:$BA22)),
IF(BL$3=$DF22+'Model Setup'!$J$7,SUMIF($BH$3:$CE$3,"="&amp;$DF22+'Model Setup'!$J$7,$AD22:$BA22)+'Model Setup'!$J$8*(SUMIF($BH$3:$CE$3,"&lt;"&amp;$DF22,$AD22:$BA22)+SUMIF($BH$3:$CE$3,"&gt;"&amp;$CW$4,$AD22:$BA22)),
IF(BL$3=$DF22+'Model Setup'!$K$7,SUMIF($BH$3:$CE$3,"="&amp;$DF22+'Model Setup'!$K$7,$AD22:$BA22)+'Model Setup'!$K$8*(SUMIF($BH$3:$CE$3,"&lt;"&amp;$DF22,$AD22:$BA22)+SUMIF($BH$3:$CE$3,"&gt;"&amp;$CW$4,$AD22:$BA22)),
IF(BL$3=$DF22+'Model Setup'!$L$7,SUMIF($BH$3:$CE$3,"="&amp;$DF22+'Model Setup'!$L$7,$AD22:$BA22)+'Model Setup'!$L$8*(SUMIF($BH$3:$CE$3,"&lt;"&amp;$DF22,$AD22:$BA22)+SUMIF($BH$3:$CE$3,"&gt;"&amp;$CW$4,$AD22:$BA22)),
IF(BL$3=$DF22+'Model Setup'!$M$7,SUMIF($BH$3:$CE$3,"="&amp;$DF22+'Model Setup'!$M$7,$AD22:$BA22)+'Model Setup'!$M$8*(SUMIF($BH$3:$CE$3,"&lt;"&amp;$DF22,$AD22:$BA22)+SUMIF($BH$3:$CE$3,"&gt;"&amp;$CW$4,$AD22:$BA22)),
IF(BL$3=$DF22+'Model Setup'!$N$7,SUMIF($BH$3:$CE$3,"="&amp;$DF22+'Model Setup'!$N$7,$AD22:$BA22)+'Model Setup'!$N$8*(SUMIF($BH$3:$CE$3,"&lt;"&amp;$DF22,$AD22:$BA22)+SUMIF($BH$3:$CE$3,"&gt;"&amp;$CW$4,$AD22:$BA22)),
IF(BL$3&lt;$CW$4,F22,0))))))))))))))),0)</f>
        <v>0</v>
      </c>
      <c r="BM22" s="47">
        <f>ROUND(IF(OR(BM$3&lt;$DF22,BM$3&gt;$CW$4),0,
IF(BM$3=$DF22+'Model Setup'!$B$7,SUMIF($BH$3:$CE$3,"="&amp;$DF22+'Model Setup'!$B$7,$AD22:$BA22)+'Model Setup'!$B$8*(SUMIF($BH$3:$CE$3,"&lt;"&amp;$DF22,$AD22:$BA22)+SUMIF($BH$3:$CE$3,"&gt;"&amp;$CW$4,$AD22:$BA22)),
IF(BM$3=$DF22+'Model Setup'!$C$7,SUMIF($BH$3:$CE$3,"="&amp;$DF22+'Model Setup'!$C$7,$AD22:$BA22)+'Model Setup'!$C$8*(SUMIF($BH$3:$CE$3,"&lt;"&amp;$DF22,$AD22:$BA22)+SUMIF($BH$3:$CE$3,"&gt;"&amp;$CW$4,$AD22:$BA22)),
IF(BM$3=$DF22+'Model Setup'!$D$7,SUMIF($BH$3:$CE$3,"="&amp;$DF22+'Model Setup'!$D$7,$AD22:$BA22)+'Model Setup'!$D$8*(SUMIF($BH$3:$CE$3,"&lt;"&amp;$DF22,$AD22:$BA22)+SUMIF($BH$3:$CE$3,"&gt;"&amp;$CW$4,$AD22:$BA22)),
IF(BM$3=$DF22+'Model Setup'!$E$7,SUMIF($BH$3:$CE$3,"="&amp;$DF22+'Model Setup'!$E$7,$AD22:$BA22)+'Model Setup'!$E$8*(SUMIF($BH$3:$CE$3,"&lt;"&amp;$DF22,$AD22:$BA22)+SUMIF($BH$3:$CE$3,"&gt;"&amp;$CW$4,$AD22:$BA22)),
IF(BM$3=$DF22+'Model Setup'!$F$7,SUMIF($BH$3:$CE$3,"="&amp;$DF22+'Model Setup'!$F$7,$AD22:$BA22)+'Model Setup'!$F$8*(SUMIF($BH$3:$CE$3,"&lt;"&amp;$DF22,$AD22:$BA22)+SUMIF($BH$3:$CE$3,"&gt;"&amp;$CW$4,$AD22:$BA22)),
IF(BM$3=$DF22+'Model Setup'!$G$7,SUMIF($BH$3:$CE$3,"="&amp;$DF22+'Model Setup'!$G$7,$AD22:$BA22)+'Model Setup'!$G$8*(SUMIF($BH$3:$CE$3,"&lt;"&amp;$DF22,$AD22:$BA22)+SUMIF($BH$3:$CE$3,"&gt;"&amp;$CW$4,$AD22:$BA22)),
IF(BM$3=$DF22+'Model Setup'!$H$7,SUMIF($BH$3:$CE$3,"="&amp;$DF22+'Model Setup'!$H$7,$AD22:$BA22)+'Model Setup'!$H$8*(SUMIF($BH$3:$CE$3,"&lt;"&amp;$DF22,$AD22:$BA22)+SUMIF($BH$3:$CE$3,"&gt;"&amp;$CW$4,$AD22:$BA22)),
IF(BM$3=$DF22+'Model Setup'!$I$7,SUMIF($BH$3:$CE$3,"="&amp;$DF22+'Model Setup'!$I$7,$AD22:$BA22)+'Model Setup'!$I$8*(SUMIF($BH$3:$CE$3,"&lt;"&amp;$DF22,$AD22:$BA22)+SUMIF($BH$3:$CE$3,"&gt;"&amp;$CW$4,$AD22:$BA22)),
IF(BM$3=$DF22+'Model Setup'!$J$7,SUMIF($BH$3:$CE$3,"="&amp;$DF22+'Model Setup'!$J$7,$AD22:$BA22)+'Model Setup'!$J$8*(SUMIF($BH$3:$CE$3,"&lt;"&amp;$DF22,$AD22:$BA22)+SUMIF($BH$3:$CE$3,"&gt;"&amp;$CW$4,$AD22:$BA22)),
IF(BM$3=$DF22+'Model Setup'!$K$7,SUMIF($BH$3:$CE$3,"="&amp;$DF22+'Model Setup'!$K$7,$AD22:$BA22)+'Model Setup'!$K$8*(SUMIF($BH$3:$CE$3,"&lt;"&amp;$DF22,$AD22:$BA22)+SUMIF($BH$3:$CE$3,"&gt;"&amp;$CW$4,$AD22:$BA22)),
IF(BM$3=$DF22+'Model Setup'!$L$7,SUMIF($BH$3:$CE$3,"="&amp;$DF22+'Model Setup'!$L$7,$AD22:$BA22)+'Model Setup'!$L$8*(SUMIF($BH$3:$CE$3,"&lt;"&amp;$DF22,$AD22:$BA22)+SUMIF($BH$3:$CE$3,"&gt;"&amp;$CW$4,$AD22:$BA22)),
IF(BM$3=$DF22+'Model Setup'!$M$7,SUMIF($BH$3:$CE$3,"="&amp;$DF22+'Model Setup'!$M$7,$AD22:$BA22)+'Model Setup'!$M$8*(SUMIF($BH$3:$CE$3,"&lt;"&amp;$DF22,$AD22:$BA22)+SUMIF($BH$3:$CE$3,"&gt;"&amp;$CW$4,$AD22:$BA22)),
IF(BM$3=$DF22+'Model Setup'!$N$7,SUMIF($BH$3:$CE$3,"="&amp;$DF22+'Model Setup'!$N$7,$AD22:$BA22)+'Model Setup'!$N$8*(SUMIF($BH$3:$CE$3,"&lt;"&amp;$DF22,$AD22:$BA22)+SUMIF($BH$3:$CE$3,"&gt;"&amp;$CW$4,$AD22:$BA22)),
IF(BM$3&lt;$CW$4,G22,0))))))))))))))),0)</f>
        <v>0</v>
      </c>
      <c r="BN22" s="47">
        <f>ROUND(IF(OR(BN$3&lt;$DF22,BN$3&gt;$CW$4),0,
IF(BN$3=$DF22+'Model Setup'!$B$7,SUMIF($BH$3:$CE$3,"="&amp;$DF22+'Model Setup'!$B$7,$AD22:$BA22)+'Model Setup'!$B$8*(SUMIF($BH$3:$CE$3,"&lt;"&amp;$DF22,$AD22:$BA22)+SUMIF($BH$3:$CE$3,"&gt;"&amp;$CW$4,$AD22:$BA22)),
IF(BN$3=$DF22+'Model Setup'!$C$7,SUMIF($BH$3:$CE$3,"="&amp;$DF22+'Model Setup'!$C$7,$AD22:$BA22)+'Model Setup'!$C$8*(SUMIF($BH$3:$CE$3,"&lt;"&amp;$DF22,$AD22:$BA22)+SUMIF($BH$3:$CE$3,"&gt;"&amp;$CW$4,$AD22:$BA22)),
IF(BN$3=$DF22+'Model Setup'!$D$7,SUMIF($BH$3:$CE$3,"="&amp;$DF22+'Model Setup'!$D$7,$AD22:$BA22)+'Model Setup'!$D$8*(SUMIF($BH$3:$CE$3,"&lt;"&amp;$DF22,$AD22:$BA22)+SUMIF($BH$3:$CE$3,"&gt;"&amp;$CW$4,$AD22:$BA22)),
IF(BN$3=$DF22+'Model Setup'!$E$7,SUMIF($BH$3:$CE$3,"="&amp;$DF22+'Model Setup'!$E$7,$AD22:$BA22)+'Model Setup'!$E$8*(SUMIF($BH$3:$CE$3,"&lt;"&amp;$DF22,$AD22:$BA22)+SUMIF($BH$3:$CE$3,"&gt;"&amp;$CW$4,$AD22:$BA22)),
IF(BN$3=$DF22+'Model Setup'!$F$7,SUMIF($BH$3:$CE$3,"="&amp;$DF22+'Model Setup'!$F$7,$AD22:$BA22)+'Model Setup'!$F$8*(SUMIF($BH$3:$CE$3,"&lt;"&amp;$DF22,$AD22:$BA22)+SUMIF($BH$3:$CE$3,"&gt;"&amp;$CW$4,$AD22:$BA22)),
IF(BN$3=$DF22+'Model Setup'!$G$7,SUMIF($BH$3:$CE$3,"="&amp;$DF22+'Model Setup'!$G$7,$AD22:$BA22)+'Model Setup'!$G$8*(SUMIF($BH$3:$CE$3,"&lt;"&amp;$DF22,$AD22:$BA22)+SUMIF($BH$3:$CE$3,"&gt;"&amp;$CW$4,$AD22:$BA22)),
IF(BN$3=$DF22+'Model Setup'!$H$7,SUMIF($BH$3:$CE$3,"="&amp;$DF22+'Model Setup'!$H$7,$AD22:$BA22)+'Model Setup'!$H$8*(SUMIF($BH$3:$CE$3,"&lt;"&amp;$DF22,$AD22:$BA22)+SUMIF($BH$3:$CE$3,"&gt;"&amp;$CW$4,$AD22:$BA22)),
IF(BN$3=$DF22+'Model Setup'!$I$7,SUMIF($BH$3:$CE$3,"="&amp;$DF22+'Model Setup'!$I$7,$AD22:$BA22)+'Model Setup'!$I$8*(SUMIF($BH$3:$CE$3,"&lt;"&amp;$DF22,$AD22:$BA22)+SUMIF($BH$3:$CE$3,"&gt;"&amp;$CW$4,$AD22:$BA22)),
IF(BN$3=$DF22+'Model Setup'!$J$7,SUMIF($BH$3:$CE$3,"="&amp;$DF22+'Model Setup'!$J$7,$AD22:$BA22)+'Model Setup'!$J$8*(SUMIF($BH$3:$CE$3,"&lt;"&amp;$DF22,$AD22:$BA22)+SUMIF($BH$3:$CE$3,"&gt;"&amp;$CW$4,$AD22:$BA22)),
IF(BN$3=$DF22+'Model Setup'!$K$7,SUMIF($BH$3:$CE$3,"="&amp;$DF22+'Model Setup'!$K$7,$AD22:$BA22)+'Model Setup'!$K$8*(SUMIF($BH$3:$CE$3,"&lt;"&amp;$DF22,$AD22:$BA22)+SUMIF($BH$3:$CE$3,"&gt;"&amp;$CW$4,$AD22:$BA22)),
IF(BN$3=$DF22+'Model Setup'!$L$7,SUMIF($BH$3:$CE$3,"="&amp;$DF22+'Model Setup'!$L$7,$AD22:$BA22)+'Model Setup'!$L$8*(SUMIF($BH$3:$CE$3,"&lt;"&amp;$DF22,$AD22:$BA22)+SUMIF($BH$3:$CE$3,"&gt;"&amp;$CW$4,$AD22:$BA22)),
IF(BN$3=$DF22+'Model Setup'!$M$7,SUMIF($BH$3:$CE$3,"="&amp;$DF22+'Model Setup'!$M$7,$AD22:$BA22)+'Model Setup'!$M$8*(SUMIF($BH$3:$CE$3,"&lt;"&amp;$DF22,$AD22:$BA22)+SUMIF($BH$3:$CE$3,"&gt;"&amp;$CW$4,$AD22:$BA22)),
IF(BN$3=$DF22+'Model Setup'!$N$7,SUMIF($BH$3:$CE$3,"="&amp;$DF22+'Model Setup'!$N$7,$AD22:$BA22)+'Model Setup'!$N$8*(SUMIF($BH$3:$CE$3,"&lt;"&amp;$DF22,$AD22:$BA22)+SUMIF($BH$3:$CE$3,"&gt;"&amp;$CW$4,$AD22:$BA22)),
IF(BN$3&lt;$CW$4,H22,0))))))))))))))),0)</f>
        <v>0</v>
      </c>
      <c r="BO22" s="47">
        <f>ROUND(IF(OR(BO$3&lt;$DF22,BO$3&gt;$CW$4),0,
IF(BO$3=$DF22+'Model Setup'!$B$7,SUMIF($BH$3:$CE$3,"="&amp;$DF22+'Model Setup'!$B$7,$AD22:$BA22)+'Model Setup'!$B$8*(SUMIF($BH$3:$CE$3,"&lt;"&amp;$DF22,$AD22:$BA22)+SUMIF($BH$3:$CE$3,"&gt;"&amp;$CW$4,$AD22:$BA22)),
IF(BO$3=$DF22+'Model Setup'!$C$7,SUMIF($BH$3:$CE$3,"="&amp;$DF22+'Model Setup'!$C$7,$AD22:$BA22)+'Model Setup'!$C$8*(SUMIF($BH$3:$CE$3,"&lt;"&amp;$DF22,$AD22:$BA22)+SUMIF($BH$3:$CE$3,"&gt;"&amp;$CW$4,$AD22:$BA22)),
IF(BO$3=$DF22+'Model Setup'!$D$7,SUMIF($BH$3:$CE$3,"="&amp;$DF22+'Model Setup'!$D$7,$AD22:$BA22)+'Model Setup'!$D$8*(SUMIF($BH$3:$CE$3,"&lt;"&amp;$DF22,$AD22:$BA22)+SUMIF($BH$3:$CE$3,"&gt;"&amp;$CW$4,$AD22:$BA22)),
IF(BO$3=$DF22+'Model Setup'!$E$7,SUMIF($BH$3:$CE$3,"="&amp;$DF22+'Model Setup'!$E$7,$AD22:$BA22)+'Model Setup'!$E$8*(SUMIF($BH$3:$CE$3,"&lt;"&amp;$DF22,$AD22:$BA22)+SUMIF($BH$3:$CE$3,"&gt;"&amp;$CW$4,$AD22:$BA22)),
IF(BO$3=$DF22+'Model Setup'!$F$7,SUMIF($BH$3:$CE$3,"="&amp;$DF22+'Model Setup'!$F$7,$AD22:$BA22)+'Model Setup'!$F$8*(SUMIF($BH$3:$CE$3,"&lt;"&amp;$DF22,$AD22:$BA22)+SUMIF($BH$3:$CE$3,"&gt;"&amp;$CW$4,$AD22:$BA22)),
IF(BO$3=$DF22+'Model Setup'!$G$7,SUMIF($BH$3:$CE$3,"="&amp;$DF22+'Model Setup'!$G$7,$AD22:$BA22)+'Model Setup'!$G$8*(SUMIF($BH$3:$CE$3,"&lt;"&amp;$DF22,$AD22:$BA22)+SUMIF($BH$3:$CE$3,"&gt;"&amp;$CW$4,$AD22:$BA22)),
IF(BO$3=$DF22+'Model Setup'!$H$7,SUMIF($BH$3:$CE$3,"="&amp;$DF22+'Model Setup'!$H$7,$AD22:$BA22)+'Model Setup'!$H$8*(SUMIF($BH$3:$CE$3,"&lt;"&amp;$DF22,$AD22:$BA22)+SUMIF($BH$3:$CE$3,"&gt;"&amp;$CW$4,$AD22:$BA22)),
IF(BO$3=$DF22+'Model Setup'!$I$7,SUMIF($BH$3:$CE$3,"="&amp;$DF22+'Model Setup'!$I$7,$AD22:$BA22)+'Model Setup'!$I$8*(SUMIF($BH$3:$CE$3,"&lt;"&amp;$DF22,$AD22:$BA22)+SUMIF($BH$3:$CE$3,"&gt;"&amp;$CW$4,$AD22:$BA22)),
IF(BO$3=$DF22+'Model Setup'!$J$7,SUMIF($BH$3:$CE$3,"="&amp;$DF22+'Model Setup'!$J$7,$AD22:$BA22)+'Model Setup'!$J$8*(SUMIF($BH$3:$CE$3,"&lt;"&amp;$DF22,$AD22:$BA22)+SUMIF($BH$3:$CE$3,"&gt;"&amp;$CW$4,$AD22:$BA22)),
IF(BO$3=$DF22+'Model Setup'!$K$7,SUMIF($BH$3:$CE$3,"="&amp;$DF22+'Model Setup'!$K$7,$AD22:$BA22)+'Model Setup'!$K$8*(SUMIF($BH$3:$CE$3,"&lt;"&amp;$DF22,$AD22:$BA22)+SUMIF($BH$3:$CE$3,"&gt;"&amp;$CW$4,$AD22:$BA22)),
IF(BO$3=$DF22+'Model Setup'!$L$7,SUMIF($BH$3:$CE$3,"="&amp;$DF22+'Model Setup'!$L$7,$AD22:$BA22)+'Model Setup'!$L$8*(SUMIF($BH$3:$CE$3,"&lt;"&amp;$DF22,$AD22:$BA22)+SUMIF($BH$3:$CE$3,"&gt;"&amp;$CW$4,$AD22:$BA22)),
IF(BO$3=$DF22+'Model Setup'!$M$7,SUMIF($BH$3:$CE$3,"="&amp;$DF22+'Model Setup'!$M$7,$AD22:$BA22)+'Model Setup'!$M$8*(SUMIF($BH$3:$CE$3,"&lt;"&amp;$DF22,$AD22:$BA22)+SUMIF($BH$3:$CE$3,"&gt;"&amp;$CW$4,$AD22:$BA22)),
IF(BO$3=$DF22+'Model Setup'!$N$7,SUMIF($BH$3:$CE$3,"="&amp;$DF22+'Model Setup'!$N$7,$AD22:$BA22)+'Model Setup'!$N$8*(SUMIF($BH$3:$CE$3,"&lt;"&amp;$DF22,$AD22:$BA22)+SUMIF($BH$3:$CE$3,"&gt;"&amp;$CW$4,$AD22:$BA22)),
IF(BO$3&lt;$CW$4,I22,0))))))))))))))),0)</f>
        <v>51</v>
      </c>
      <c r="BP22" s="47">
        <f>ROUND(IF(OR(BP$3&lt;$DF22,BP$3&gt;$CW$4),0,
IF(BP$3=$DF22+'Model Setup'!$B$7,SUMIF($BH$3:$CE$3,"="&amp;$DF22+'Model Setup'!$B$7,$AD22:$BA22)+'Model Setup'!$B$8*(SUMIF($BH$3:$CE$3,"&lt;"&amp;$DF22,$AD22:$BA22)+SUMIF($BH$3:$CE$3,"&gt;"&amp;$CW$4,$AD22:$BA22)),
IF(BP$3=$DF22+'Model Setup'!$C$7,SUMIF($BH$3:$CE$3,"="&amp;$DF22+'Model Setup'!$C$7,$AD22:$BA22)+'Model Setup'!$C$8*(SUMIF($BH$3:$CE$3,"&lt;"&amp;$DF22,$AD22:$BA22)+SUMIF($BH$3:$CE$3,"&gt;"&amp;$CW$4,$AD22:$BA22)),
IF(BP$3=$DF22+'Model Setup'!$D$7,SUMIF($BH$3:$CE$3,"="&amp;$DF22+'Model Setup'!$D$7,$AD22:$BA22)+'Model Setup'!$D$8*(SUMIF($BH$3:$CE$3,"&lt;"&amp;$DF22,$AD22:$BA22)+SUMIF($BH$3:$CE$3,"&gt;"&amp;$CW$4,$AD22:$BA22)),
IF(BP$3=$DF22+'Model Setup'!$E$7,SUMIF($BH$3:$CE$3,"="&amp;$DF22+'Model Setup'!$E$7,$AD22:$BA22)+'Model Setup'!$E$8*(SUMIF($BH$3:$CE$3,"&lt;"&amp;$DF22,$AD22:$BA22)+SUMIF($BH$3:$CE$3,"&gt;"&amp;$CW$4,$AD22:$BA22)),
IF(BP$3=$DF22+'Model Setup'!$F$7,SUMIF($BH$3:$CE$3,"="&amp;$DF22+'Model Setup'!$F$7,$AD22:$BA22)+'Model Setup'!$F$8*(SUMIF($BH$3:$CE$3,"&lt;"&amp;$DF22,$AD22:$BA22)+SUMIF($BH$3:$CE$3,"&gt;"&amp;$CW$4,$AD22:$BA22)),
IF(BP$3=$DF22+'Model Setup'!$G$7,SUMIF($BH$3:$CE$3,"="&amp;$DF22+'Model Setup'!$G$7,$AD22:$BA22)+'Model Setup'!$G$8*(SUMIF($BH$3:$CE$3,"&lt;"&amp;$DF22,$AD22:$BA22)+SUMIF($BH$3:$CE$3,"&gt;"&amp;$CW$4,$AD22:$BA22)),
IF(BP$3=$DF22+'Model Setup'!$H$7,SUMIF($BH$3:$CE$3,"="&amp;$DF22+'Model Setup'!$H$7,$AD22:$BA22)+'Model Setup'!$H$8*(SUMIF($BH$3:$CE$3,"&lt;"&amp;$DF22,$AD22:$BA22)+SUMIF($BH$3:$CE$3,"&gt;"&amp;$CW$4,$AD22:$BA22)),
IF(BP$3=$DF22+'Model Setup'!$I$7,SUMIF($BH$3:$CE$3,"="&amp;$DF22+'Model Setup'!$I$7,$AD22:$BA22)+'Model Setup'!$I$8*(SUMIF($BH$3:$CE$3,"&lt;"&amp;$DF22,$AD22:$BA22)+SUMIF($BH$3:$CE$3,"&gt;"&amp;$CW$4,$AD22:$BA22)),
IF(BP$3=$DF22+'Model Setup'!$J$7,SUMIF($BH$3:$CE$3,"="&amp;$DF22+'Model Setup'!$J$7,$AD22:$BA22)+'Model Setup'!$J$8*(SUMIF($BH$3:$CE$3,"&lt;"&amp;$DF22,$AD22:$BA22)+SUMIF($BH$3:$CE$3,"&gt;"&amp;$CW$4,$AD22:$BA22)),
IF(BP$3=$DF22+'Model Setup'!$K$7,SUMIF($BH$3:$CE$3,"="&amp;$DF22+'Model Setup'!$K$7,$AD22:$BA22)+'Model Setup'!$K$8*(SUMIF($BH$3:$CE$3,"&lt;"&amp;$DF22,$AD22:$BA22)+SUMIF($BH$3:$CE$3,"&gt;"&amp;$CW$4,$AD22:$BA22)),
IF(BP$3=$DF22+'Model Setup'!$L$7,SUMIF($BH$3:$CE$3,"="&amp;$DF22+'Model Setup'!$L$7,$AD22:$BA22)+'Model Setup'!$L$8*(SUMIF($BH$3:$CE$3,"&lt;"&amp;$DF22,$AD22:$BA22)+SUMIF($BH$3:$CE$3,"&gt;"&amp;$CW$4,$AD22:$BA22)),
IF(BP$3=$DF22+'Model Setup'!$M$7,SUMIF($BH$3:$CE$3,"="&amp;$DF22+'Model Setup'!$M$7,$AD22:$BA22)+'Model Setup'!$M$8*(SUMIF($BH$3:$CE$3,"&lt;"&amp;$DF22,$AD22:$BA22)+SUMIF($BH$3:$CE$3,"&gt;"&amp;$CW$4,$AD22:$BA22)),
IF(BP$3=$DF22+'Model Setup'!$N$7,SUMIF($BH$3:$CE$3,"="&amp;$DF22+'Model Setup'!$N$7,$AD22:$BA22)+'Model Setup'!$N$8*(SUMIF($BH$3:$CE$3,"&lt;"&amp;$DF22,$AD22:$BA22)+SUMIF($BH$3:$CE$3,"&gt;"&amp;$CW$4,$AD22:$BA22)),
IF(BP$3&lt;$CW$4,J22,0))))))))))))))),0)</f>
        <v>52</v>
      </c>
      <c r="BQ22" s="47">
        <f>ROUND(IF(OR(BQ$3&lt;$DF22,BQ$3&gt;$CW$4),0,
IF(BQ$3=$DF22+'Model Setup'!$B$7,SUMIF($BH$3:$CE$3,"="&amp;$DF22+'Model Setup'!$B$7,$AD22:$BA22)+'Model Setup'!$B$8*(SUMIF($BH$3:$CE$3,"&lt;"&amp;$DF22,$AD22:$BA22)+SUMIF($BH$3:$CE$3,"&gt;"&amp;$CW$4,$AD22:$BA22)),
IF(BQ$3=$DF22+'Model Setup'!$C$7,SUMIF($BH$3:$CE$3,"="&amp;$DF22+'Model Setup'!$C$7,$AD22:$BA22)+'Model Setup'!$C$8*(SUMIF($BH$3:$CE$3,"&lt;"&amp;$DF22,$AD22:$BA22)+SUMIF($BH$3:$CE$3,"&gt;"&amp;$CW$4,$AD22:$BA22)),
IF(BQ$3=$DF22+'Model Setup'!$D$7,SUMIF($BH$3:$CE$3,"="&amp;$DF22+'Model Setup'!$D$7,$AD22:$BA22)+'Model Setup'!$D$8*(SUMIF($BH$3:$CE$3,"&lt;"&amp;$DF22,$AD22:$BA22)+SUMIF($BH$3:$CE$3,"&gt;"&amp;$CW$4,$AD22:$BA22)),
IF(BQ$3=$DF22+'Model Setup'!$E$7,SUMIF($BH$3:$CE$3,"="&amp;$DF22+'Model Setup'!$E$7,$AD22:$BA22)+'Model Setup'!$E$8*(SUMIF($BH$3:$CE$3,"&lt;"&amp;$DF22,$AD22:$BA22)+SUMIF($BH$3:$CE$3,"&gt;"&amp;$CW$4,$AD22:$BA22)),
IF(BQ$3=$DF22+'Model Setup'!$F$7,SUMIF($BH$3:$CE$3,"="&amp;$DF22+'Model Setup'!$F$7,$AD22:$BA22)+'Model Setup'!$F$8*(SUMIF($BH$3:$CE$3,"&lt;"&amp;$DF22,$AD22:$BA22)+SUMIF($BH$3:$CE$3,"&gt;"&amp;$CW$4,$AD22:$BA22)),
IF(BQ$3=$DF22+'Model Setup'!$G$7,SUMIF($BH$3:$CE$3,"="&amp;$DF22+'Model Setup'!$G$7,$AD22:$BA22)+'Model Setup'!$G$8*(SUMIF($BH$3:$CE$3,"&lt;"&amp;$DF22,$AD22:$BA22)+SUMIF($BH$3:$CE$3,"&gt;"&amp;$CW$4,$AD22:$BA22)),
IF(BQ$3=$DF22+'Model Setup'!$H$7,SUMIF($BH$3:$CE$3,"="&amp;$DF22+'Model Setup'!$H$7,$AD22:$BA22)+'Model Setup'!$H$8*(SUMIF($BH$3:$CE$3,"&lt;"&amp;$DF22,$AD22:$BA22)+SUMIF($BH$3:$CE$3,"&gt;"&amp;$CW$4,$AD22:$BA22)),
IF(BQ$3=$DF22+'Model Setup'!$I$7,SUMIF($BH$3:$CE$3,"="&amp;$DF22+'Model Setup'!$I$7,$AD22:$BA22)+'Model Setup'!$I$8*(SUMIF($BH$3:$CE$3,"&lt;"&amp;$DF22,$AD22:$BA22)+SUMIF($BH$3:$CE$3,"&gt;"&amp;$CW$4,$AD22:$BA22)),
IF(BQ$3=$DF22+'Model Setup'!$J$7,SUMIF($BH$3:$CE$3,"="&amp;$DF22+'Model Setup'!$J$7,$AD22:$BA22)+'Model Setup'!$J$8*(SUMIF($BH$3:$CE$3,"&lt;"&amp;$DF22,$AD22:$BA22)+SUMIF($BH$3:$CE$3,"&gt;"&amp;$CW$4,$AD22:$BA22)),
IF(BQ$3=$DF22+'Model Setup'!$K$7,SUMIF($BH$3:$CE$3,"="&amp;$DF22+'Model Setup'!$K$7,$AD22:$BA22)+'Model Setup'!$K$8*(SUMIF($BH$3:$CE$3,"&lt;"&amp;$DF22,$AD22:$BA22)+SUMIF($BH$3:$CE$3,"&gt;"&amp;$CW$4,$AD22:$BA22)),
IF(BQ$3=$DF22+'Model Setup'!$L$7,SUMIF($BH$3:$CE$3,"="&amp;$DF22+'Model Setup'!$L$7,$AD22:$BA22)+'Model Setup'!$L$8*(SUMIF($BH$3:$CE$3,"&lt;"&amp;$DF22,$AD22:$BA22)+SUMIF($BH$3:$CE$3,"&gt;"&amp;$CW$4,$AD22:$BA22)),
IF(BQ$3=$DF22+'Model Setup'!$M$7,SUMIF($BH$3:$CE$3,"="&amp;$DF22+'Model Setup'!$M$7,$AD22:$BA22)+'Model Setup'!$M$8*(SUMIF($BH$3:$CE$3,"&lt;"&amp;$DF22,$AD22:$BA22)+SUMIF($BH$3:$CE$3,"&gt;"&amp;$CW$4,$AD22:$BA22)),
IF(BQ$3=$DF22+'Model Setup'!$N$7,SUMIF($BH$3:$CE$3,"="&amp;$DF22+'Model Setup'!$N$7,$AD22:$BA22)+'Model Setup'!$N$8*(SUMIF($BH$3:$CE$3,"&lt;"&amp;$DF22,$AD22:$BA22)+SUMIF($BH$3:$CE$3,"&gt;"&amp;$CW$4,$AD22:$BA22)),
IF(BQ$3&lt;$CW$4,K22,0))))))))))))))),0)</f>
        <v>41</v>
      </c>
      <c r="BR22" s="47">
        <f>ROUND(IF(OR(BR$3&lt;$DF22,BR$3&gt;$CW$4),0,
IF(BR$3=$DF22+'Model Setup'!$B$7,SUMIF($BH$3:$CE$3,"="&amp;$DF22+'Model Setup'!$B$7,$AD22:$BA22)+'Model Setup'!$B$8*(SUMIF($BH$3:$CE$3,"&lt;"&amp;$DF22,$AD22:$BA22)+SUMIF($BH$3:$CE$3,"&gt;"&amp;$CW$4,$AD22:$BA22)),
IF(BR$3=$DF22+'Model Setup'!$C$7,SUMIF($BH$3:$CE$3,"="&amp;$DF22+'Model Setup'!$C$7,$AD22:$BA22)+'Model Setup'!$C$8*(SUMIF($BH$3:$CE$3,"&lt;"&amp;$DF22,$AD22:$BA22)+SUMIF($BH$3:$CE$3,"&gt;"&amp;$CW$4,$AD22:$BA22)),
IF(BR$3=$DF22+'Model Setup'!$D$7,SUMIF($BH$3:$CE$3,"="&amp;$DF22+'Model Setup'!$D$7,$AD22:$BA22)+'Model Setup'!$D$8*(SUMIF($BH$3:$CE$3,"&lt;"&amp;$DF22,$AD22:$BA22)+SUMIF($BH$3:$CE$3,"&gt;"&amp;$CW$4,$AD22:$BA22)),
IF(BR$3=$DF22+'Model Setup'!$E$7,SUMIF($BH$3:$CE$3,"="&amp;$DF22+'Model Setup'!$E$7,$AD22:$BA22)+'Model Setup'!$E$8*(SUMIF($BH$3:$CE$3,"&lt;"&amp;$DF22,$AD22:$BA22)+SUMIF($BH$3:$CE$3,"&gt;"&amp;$CW$4,$AD22:$BA22)),
IF(BR$3=$DF22+'Model Setup'!$F$7,SUMIF($BH$3:$CE$3,"="&amp;$DF22+'Model Setup'!$F$7,$AD22:$BA22)+'Model Setup'!$F$8*(SUMIF($BH$3:$CE$3,"&lt;"&amp;$DF22,$AD22:$BA22)+SUMIF($BH$3:$CE$3,"&gt;"&amp;$CW$4,$AD22:$BA22)),
IF(BR$3=$DF22+'Model Setup'!$G$7,SUMIF($BH$3:$CE$3,"="&amp;$DF22+'Model Setup'!$G$7,$AD22:$BA22)+'Model Setup'!$G$8*(SUMIF($BH$3:$CE$3,"&lt;"&amp;$DF22,$AD22:$BA22)+SUMIF($BH$3:$CE$3,"&gt;"&amp;$CW$4,$AD22:$BA22)),
IF(BR$3=$DF22+'Model Setup'!$H$7,SUMIF($BH$3:$CE$3,"="&amp;$DF22+'Model Setup'!$H$7,$AD22:$BA22)+'Model Setup'!$H$8*(SUMIF($BH$3:$CE$3,"&lt;"&amp;$DF22,$AD22:$BA22)+SUMIF($BH$3:$CE$3,"&gt;"&amp;$CW$4,$AD22:$BA22)),
IF(BR$3=$DF22+'Model Setup'!$I$7,SUMIF($BH$3:$CE$3,"="&amp;$DF22+'Model Setup'!$I$7,$AD22:$BA22)+'Model Setup'!$I$8*(SUMIF($BH$3:$CE$3,"&lt;"&amp;$DF22,$AD22:$BA22)+SUMIF($BH$3:$CE$3,"&gt;"&amp;$CW$4,$AD22:$BA22)),
IF(BR$3=$DF22+'Model Setup'!$J$7,SUMIF($BH$3:$CE$3,"="&amp;$DF22+'Model Setup'!$J$7,$AD22:$BA22)+'Model Setup'!$J$8*(SUMIF($BH$3:$CE$3,"&lt;"&amp;$DF22,$AD22:$BA22)+SUMIF($BH$3:$CE$3,"&gt;"&amp;$CW$4,$AD22:$BA22)),
IF(BR$3=$DF22+'Model Setup'!$K$7,SUMIF($BH$3:$CE$3,"="&amp;$DF22+'Model Setup'!$K$7,$AD22:$BA22)+'Model Setup'!$K$8*(SUMIF($BH$3:$CE$3,"&lt;"&amp;$DF22,$AD22:$BA22)+SUMIF($BH$3:$CE$3,"&gt;"&amp;$CW$4,$AD22:$BA22)),
IF(BR$3=$DF22+'Model Setup'!$L$7,SUMIF($BH$3:$CE$3,"="&amp;$DF22+'Model Setup'!$L$7,$AD22:$BA22)+'Model Setup'!$L$8*(SUMIF($BH$3:$CE$3,"&lt;"&amp;$DF22,$AD22:$BA22)+SUMIF($BH$3:$CE$3,"&gt;"&amp;$CW$4,$AD22:$BA22)),
IF(BR$3=$DF22+'Model Setup'!$M$7,SUMIF($BH$3:$CE$3,"="&amp;$DF22+'Model Setup'!$M$7,$AD22:$BA22)+'Model Setup'!$M$8*(SUMIF($BH$3:$CE$3,"&lt;"&amp;$DF22,$AD22:$BA22)+SUMIF($BH$3:$CE$3,"&gt;"&amp;$CW$4,$AD22:$BA22)),
IF(BR$3=$DF22+'Model Setup'!$N$7,SUMIF($BH$3:$CE$3,"="&amp;$DF22+'Model Setup'!$N$7,$AD22:$BA22)+'Model Setup'!$N$8*(SUMIF($BH$3:$CE$3,"&lt;"&amp;$DF22,$AD22:$BA22)+SUMIF($BH$3:$CE$3,"&gt;"&amp;$CW$4,$AD22:$BA22)),
IF(BR$3&lt;$CW$4,L22,0))))))))))))))),0)</f>
        <v>36</v>
      </c>
      <c r="BS22" s="47">
        <f>ROUND(IF(OR(BS$3&lt;$DF22,BS$3&gt;$CW$4),0,
IF(BS$3=$DF22+'Model Setup'!$B$7,SUMIF($BH$3:$CE$3,"="&amp;$DF22+'Model Setup'!$B$7,$AD22:$BA22)+'Model Setup'!$B$8*(SUMIF($BH$3:$CE$3,"&lt;"&amp;$DF22,$AD22:$BA22)+SUMIF($BH$3:$CE$3,"&gt;"&amp;$CW$4,$AD22:$BA22)),
IF(BS$3=$DF22+'Model Setup'!$C$7,SUMIF($BH$3:$CE$3,"="&amp;$DF22+'Model Setup'!$C$7,$AD22:$BA22)+'Model Setup'!$C$8*(SUMIF($BH$3:$CE$3,"&lt;"&amp;$DF22,$AD22:$BA22)+SUMIF($BH$3:$CE$3,"&gt;"&amp;$CW$4,$AD22:$BA22)),
IF(BS$3=$DF22+'Model Setup'!$D$7,SUMIF($BH$3:$CE$3,"="&amp;$DF22+'Model Setup'!$D$7,$AD22:$BA22)+'Model Setup'!$D$8*(SUMIF($BH$3:$CE$3,"&lt;"&amp;$DF22,$AD22:$BA22)+SUMIF($BH$3:$CE$3,"&gt;"&amp;$CW$4,$AD22:$BA22)),
IF(BS$3=$DF22+'Model Setup'!$E$7,SUMIF($BH$3:$CE$3,"="&amp;$DF22+'Model Setup'!$E$7,$AD22:$BA22)+'Model Setup'!$E$8*(SUMIF($BH$3:$CE$3,"&lt;"&amp;$DF22,$AD22:$BA22)+SUMIF($BH$3:$CE$3,"&gt;"&amp;$CW$4,$AD22:$BA22)),
IF(BS$3=$DF22+'Model Setup'!$F$7,SUMIF($BH$3:$CE$3,"="&amp;$DF22+'Model Setup'!$F$7,$AD22:$BA22)+'Model Setup'!$F$8*(SUMIF($BH$3:$CE$3,"&lt;"&amp;$DF22,$AD22:$BA22)+SUMIF($BH$3:$CE$3,"&gt;"&amp;$CW$4,$AD22:$BA22)),
IF(BS$3=$DF22+'Model Setup'!$G$7,SUMIF($BH$3:$CE$3,"="&amp;$DF22+'Model Setup'!$G$7,$AD22:$BA22)+'Model Setup'!$G$8*(SUMIF($BH$3:$CE$3,"&lt;"&amp;$DF22,$AD22:$BA22)+SUMIF($BH$3:$CE$3,"&gt;"&amp;$CW$4,$AD22:$BA22)),
IF(BS$3=$DF22+'Model Setup'!$H$7,SUMIF($BH$3:$CE$3,"="&amp;$DF22+'Model Setup'!$H$7,$AD22:$BA22)+'Model Setup'!$H$8*(SUMIF($BH$3:$CE$3,"&lt;"&amp;$DF22,$AD22:$BA22)+SUMIF($BH$3:$CE$3,"&gt;"&amp;$CW$4,$AD22:$BA22)),
IF(BS$3=$DF22+'Model Setup'!$I$7,SUMIF($BH$3:$CE$3,"="&amp;$DF22+'Model Setup'!$I$7,$AD22:$BA22)+'Model Setup'!$I$8*(SUMIF($BH$3:$CE$3,"&lt;"&amp;$DF22,$AD22:$BA22)+SUMIF($BH$3:$CE$3,"&gt;"&amp;$CW$4,$AD22:$BA22)),
IF(BS$3=$DF22+'Model Setup'!$J$7,SUMIF($BH$3:$CE$3,"="&amp;$DF22+'Model Setup'!$J$7,$AD22:$BA22)+'Model Setup'!$J$8*(SUMIF($BH$3:$CE$3,"&lt;"&amp;$DF22,$AD22:$BA22)+SUMIF($BH$3:$CE$3,"&gt;"&amp;$CW$4,$AD22:$BA22)),
IF(BS$3=$DF22+'Model Setup'!$K$7,SUMIF($BH$3:$CE$3,"="&amp;$DF22+'Model Setup'!$K$7,$AD22:$BA22)+'Model Setup'!$K$8*(SUMIF($BH$3:$CE$3,"&lt;"&amp;$DF22,$AD22:$BA22)+SUMIF($BH$3:$CE$3,"&gt;"&amp;$CW$4,$AD22:$BA22)),
IF(BS$3=$DF22+'Model Setup'!$L$7,SUMIF($BH$3:$CE$3,"="&amp;$DF22+'Model Setup'!$L$7,$AD22:$BA22)+'Model Setup'!$L$8*(SUMIF($BH$3:$CE$3,"&lt;"&amp;$DF22,$AD22:$BA22)+SUMIF($BH$3:$CE$3,"&gt;"&amp;$CW$4,$AD22:$BA22)),
IF(BS$3=$DF22+'Model Setup'!$M$7,SUMIF($BH$3:$CE$3,"="&amp;$DF22+'Model Setup'!$M$7,$AD22:$BA22)+'Model Setup'!$M$8*(SUMIF($BH$3:$CE$3,"&lt;"&amp;$DF22,$AD22:$BA22)+SUMIF($BH$3:$CE$3,"&gt;"&amp;$CW$4,$AD22:$BA22)),
IF(BS$3=$DF22+'Model Setup'!$N$7,SUMIF($BH$3:$CE$3,"="&amp;$DF22+'Model Setup'!$N$7,$AD22:$BA22)+'Model Setup'!$N$8*(SUMIF($BH$3:$CE$3,"&lt;"&amp;$DF22,$AD22:$BA22)+SUMIF($BH$3:$CE$3,"&gt;"&amp;$CW$4,$AD22:$BA22)),
IF(BS$3&lt;$CW$4,M22,0))))))))))))))),0)</f>
        <v>30</v>
      </c>
      <c r="BT22" s="47">
        <f>ROUND(IF(OR(BT$3&lt;$DF22,BT$3&gt;$CW$4),0,
IF(BT$3=$DF22+'Model Setup'!$B$7,SUMIF($BH$3:$CE$3,"="&amp;$DF22+'Model Setup'!$B$7,$AD22:$BA22)+'Model Setup'!$B$8*(SUMIF($BH$3:$CE$3,"&lt;"&amp;$DF22,$AD22:$BA22)+SUMIF($BH$3:$CE$3,"&gt;"&amp;$CW$4,$AD22:$BA22)),
IF(BT$3=$DF22+'Model Setup'!$C$7,SUMIF($BH$3:$CE$3,"="&amp;$DF22+'Model Setup'!$C$7,$AD22:$BA22)+'Model Setup'!$C$8*(SUMIF($BH$3:$CE$3,"&lt;"&amp;$DF22,$AD22:$BA22)+SUMIF($BH$3:$CE$3,"&gt;"&amp;$CW$4,$AD22:$BA22)),
IF(BT$3=$DF22+'Model Setup'!$D$7,SUMIF($BH$3:$CE$3,"="&amp;$DF22+'Model Setup'!$D$7,$AD22:$BA22)+'Model Setup'!$D$8*(SUMIF($BH$3:$CE$3,"&lt;"&amp;$DF22,$AD22:$BA22)+SUMIF($BH$3:$CE$3,"&gt;"&amp;$CW$4,$AD22:$BA22)),
IF(BT$3=$DF22+'Model Setup'!$E$7,SUMIF($BH$3:$CE$3,"="&amp;$DF22+'Model Setup'!$E$7,$AD22:$BA22)+'Model Setup'!$E$8*(SUMIF($BH$3:$CE$3,"&lt;"&amp;$DF22,$AD22:$BA22)+SUMIF($BH$3:$CE$3,"&gt;"&amp;$CW$4,$AD22:$BA22)),
IF(BT$3=$DF22+'Model Setup'!$F$7,SUMIF($BH$3:$CE$3,"="&amp;$DF22+'Model Setup'!$F$7,$AD22:$BA22)+'Model Setup'!$F$8*(SUMIF($BH$3:$CE$3,"&lt;"&amp;$DF22,$AD22:$BA22)+SUMIF($BH$3:$CE$3,"&gt;"&amp;$CW$4,$AD22:$BA22)),
IF(BT$3=$DF22+'Model Setup'!$G$7,SUMIF($BH$3:$CE$3,"="&amp;$DF22+'Model Setup'!$G$7,$AD22:$BA22)+'Model Setup'!$G$8*(SUMIF($BH$3:$CE$3,"&lt;"&amp;$DF22,$AD22:$BA22)+SUMIF($BH$3:$CE$3,"&gt;"&amp;$CW$4,$AD22:$BA22)),
IF(BT$3=$DF22+'Model Setup'!$H$7,SUMIF($BH$3:$CE$3,"="&amp;$DF22+'Model Setup'!$H$7,$AD22:$BA22)+'Model Setup'!$H$8*(SUMIF($BH$3:$CE$3,"&lt;"&amp;$DF22,$AD22:$BA22)+SUMIF($BH$3:$CE$3,"&gt;"&amp;$CW$4,$AD22:$BA22)),
IF(BT$3=$DF22+'Model Setup'!$I$7,SUMIF($BH$3:$CE$3,"="&amp;$DF22+'Model Setup'!$I$7,$AD22:$BA22)+'Model Setup'!$I$8*(SUMIF($BH$3:$CE$3,"&lt;"&amp;$DF22,$AD22:$BA22)+SUMIF($BH$3:$CE$3,"&gt;"&amp;$CW$4,$AD22:$BA22)),
IF(BT$3=$DF22+'Model Setup'!$J$7,SUMIF($BH$3:$CE$3,"="&amp;$DF22+'Model Setup'!$J$7,$AD22:$BA22)+'Model Setup'!$J$8*(SUMIF($BH$3:$CE$3,"&lt;"&amp;$DF22,$AD22:$BA22)+SUMIF($BH$3:$CE$3,"&gt;"&amp;$CW$4,$AD22:$BA22)),
IF(BT$3=$DF22+'Model Setup'!$K$7,SUMIF($BH$3:$CE$3,"="&amp;$DF22+'Model Setup'!$K$7,$AD22:$BA22)+'Model Setup'!$K$8*(SUMIF($BH$3:$CE$3,"&lt;"&amp;$DF22,$AD22:$BA22)+SUMIF($BH$3:$CE$3,"&gt;"&amp;$CW$4,$AD22:$BA22)),
IF(BT$3=$DF22+'Model Setup'!$L$7,SUMIF($BH$3:$CE$3,"="&amp;$DF22+'Model Setup'!$L$7,$AD22:$BA22)+'Model Setup'!$L$8*(SUMIF($BH$3:$CE$3,"&lt;"&amp;$DF22,$AD22:$BA22)+SUMIF($BH$3:$CE$3,"&gt;"&amp;$CW$4,$AD22:$BA22)),
IF(BT$3=$DF22+'Model Setup'!$M$7,SUMIF($BH$3:$CE$3,"="&amp;$DF22+'Model Setup'!$M$7,$AD22:$BA22)+'Model Setup'!$M$8*(SUMIF($BH$3:$CE$3,"&lt;"&amp;$DF22,$AD22:$BA22)+SUMIF($BH$3:$CE$3,"&gt;"&amp;$CW$4,$AD22:$BA22)),
IF(BT$3=$DF22+'Model Setup'!$N$7,SUMIF($BH$3:$CE$3,"="&amp;$DF22+'Model Setup'!$N$7,$AD22:$BA22)+'Model Setup'!$N$8*(SUMIF($BH$3:$CE$3,"&lt;"&amp;$DF22,$AD22:$BA22)+SUMIF($BH$3:$CE$3,"&gt;"&amp;$CW$4,$AD22:$BA22)),
IF(BT$3&lt;$CW$4,N22,0))))))))))))))),0)</f>
        <v>13</v>
      </c>
      <c r="BU22" s="47">
        <f>ROUND(IF(OR(BU$3&lt;$DF22,BU$3&gt;$CW$4),0,
IF(BU$3=$DF22+'Model Setup'!$B$7,SUMIF($BH$3:$CE$3,"="&amp;$DF22+'Model Setup'!$B$7,$AD22:$BA22)+'Model Setup'!$B$8*(SUMIF($BH$3:$CE$3,"&lt;"&amp;$DF22,$AD22:$BA22)+SUMIF($BH$3:$CE$3,"&gt;"&amp;$CW$4,$AD22:$BA22)),
IF(BU$3=$DF22+'Model Setup'!$C$7,SUMIF($BH$3:$CE$3,"="&amp;$DF22+'Model Setup'!$C$7,$AD22:$BA22)+'Model Setup'!$C$8*(SUMIF($BH$3:$CE$3,"&lt;"&amp;$DF22,$AD22:$BA22)+SUMIF($BH$3:$CE$3,"&gt;"&amp;$CW$4,$AD22:$BA22)),
IF(BU$3=$DF22+'Model Setup'!$D$7,SUMIF($BH$3:$CE$3,"="&amp;$DF22+'Model Setup'!$D$7,$AD22:$BA22)+'Model Setup'!$D$8*(SUMIF($BH$3:$CE$3,"&lt;"&amp;$DF22,$AD22:$BA22)+SUMIF($BH$3:$CE$3,"&gt;"&amp;$CW$4,$AD22:$BA22)),
IF(BU$3=$DF22+'Model Setup'!$E$7,SUMIF($BH$3:$CE$3,"="&amp;$DF22+'Model Setup'!$E$7,$AD22:$BA22)+'Model Setup'!$E$8*(SUMIF($BH$3:$CE$3,"&lt;"&amp;$DF22,$AD22:$BA22)+SUMIF($BH$3:$CE$3,"&gt;"&amp;$CW$4,$AD22:$BA22)),
IF(BU$3=$DF22+'Model Setup'!$F$7,SUMIF($BH$3:$CE$3,"="&amp;$DF22+'Model Setup'!$F$7,$AD22:$BA22)+'Model Setup'!$F$8*(SUMIF($BH$3:$CE$3,"&lt;"&amp;$DF22,$AD22:$BA22)+SUMIF($BH$3:$CE$3,"&gt;"&amp;$CW$4,$AD22:$BA22)),
IF(BU$3=$DF22+'Model Setup'!$G$7,SUMIF($BH$3:$CE$3,"="&amp;$DF22+'Model Setup'!$G$7,$AD22:$BA22)+'Model Setup'!$G$8*(SUMIF($BH$3:$CE$3,"&lt;"&amp;$DF22,$AD22:$BA22)+SUMIF($BH$3:$CE$3,"&gt;"&amp;$CW$4,$AD22:$BA22)),
IF(BU$3=$DF22+'Model Setup'!$H$7,SUMIF($BH$3:$CE$3,"="&amp;$DF22+'Model Setup'!$H$7,$AD22:$BA22)+'Model Setup'!$H$8*(SUMIF($BH$3:$CE$3,"&lt;"&amp;$DF22,$AD22:$BA22)+SUMIF($BH$3:$CE$3,"&gt;"&amp;$CW$4,$AD22:$BA22)),
IF(BU$3=$DF22+'Model Setup'!$I$7,SUMIF($BH$3:$CE$3,"="&amp;$DF22+'Model Setup'!$I$7,$AD22:$BA22)+'Model Setup'!$I$8*(SUMIF($BH$3:$CE$3,"&lt;"&amp;$DF22,$AD22:$BA22)+SUMIF($BH$3:$CE$3,"&gt;"&amp;$CW$4,$AD22:$BA22)),
IF(BU$3=$DF22+'Model Setup'!$J$7,SUMIF($BH$3:$CE$3,"="&amp;$DF22+'Model Setup'!$J$7,$AD22:$BA22)+'Model Setup'!$J$8*(SUMIF($BH$3:$CE$3,"&lt;"&amp;$DF22,$AD22:$BA22)+SUMIF($BH$3:$CE$3,"&gt;"&amp;$CW$4,$AD22:$BA22)),
IF(BU$3=$DF22+'Model Setup'!$K$7,SUMIF($BH$3:$CE$3,"="&amp;$DF22+'Model Setup'!$K$7,$AD22:$BA22)+'Model Setup'!$K$8*(SUMIF($BH$3:$CE$3,"&lt;"&amp;$DF22,$AD22:$BA22)+SUMIF($BH$3:$CE$3,"&gt;"&amp;$CW$4,$AD22:$BA22)),
IF(BU$3=$DF22+'Model Setup'!$L$7,SUMIF($BH$3:$CE$3,"="&amp;$DF22+'Model Setup'!$L$7,$AD22:$BA22)+'Model Setup'!$L$8*(SUMIF($BH$3:$CE$3,"&lt;"&amp;$DF22,$AD22:$BA22)+SUMIF($BH$3:$CE$3,"&gt;"&amp;$CW$4,$AD22:$BA22)),
IF(BU$3=$DF22+'Model Setup'!$M$7,SUMIF($BH$3:$CE$3,"="&amp;$DF22+'Model Setup'!$M$7,$AD22:$BA22)+'Model Setup'!$M$8*(SUMIF($BH$3:$CE$3,"&lt;"&amp;$DF22,$AD22:$BA22)+SUMIF($BH$3:$CE$3,"&gt;"&amp;$CW$4,$AD22:$BA22)),
IF(BU$3=$DF22+'Model Setup'!$N$7,SUMIF($BH$3:$CE$3,"="&amp;$DF22+'Model Setup'!$N$7,$AD22:$BA22)+'Model Setup'!$N$8*(SUMIF($BH$3:$CE$3,"&lt;"&amp;$DF22,$AD22:$BA22)+SUMIF($BH$3:$CE$3,"&gt;"&amp;$CW$4,$AD22:$BA22)),
IF(BU$3&lt;$CW$4,O22,0))))))))))))))),0)</f>
        <v>10</v>
      </c>
      <c r="BV22" s="47">
        <f>ROUND(IF(OR(BV$3&lt;$DF22,BV$3&gt;$CW$4),0,
IF(BV$3=$DF22+'Model Setup'!$B$7,SUMIF($BH$3:$CE$3,"="&amp;$DF22+'Model Setup'!$B$7,$AD22:$BA22)+'Model Setup'!$B$8*(SUMIF($BH$3:$CE$3,"&lt;"&amp;$DF22,$AD22:$BA22)+SUMIF($BH$3:$CE$3,"&gt;"&amp;$CW$4,$AD22:$BA22)),
IF(BV$3=$DF22+'Model Setup'!$C$7,SUMIF($BH$3:$CE$3,"="&amp;$DF22+'Model Setup'!$C$7,$AD22:$BA22)+'Model Setup'!$C$8*(SUMIF($BH$3:$CE$3,"&lt;"&amp;$DF22,$AD22:$BA22)+SUMIF($BH$3:$CE$3,"&gt;"&amp;$CW$4,$AD22:$BA22)),
IF(BV$3=$DF22+'Model Setup'!$D$7,SUMIF($BH$3:$CE$3,"="&amp;$DF22+'Model Setup'!$D$7,$AD22:$BA22)+'Model Setup'!$D$8*(SUMIF($BH$3:$CE$3,"&lt;"&amp;$DF22,$AD22:$BA22)+SUMIF($BH$3:$CE$3,"&gt;"&amp;$CW$4,$AD22:$BA22)),
IF(BV$3=$DF22+'Model Setup'!$E$7,SUMIF($BH$3:$CE$3,"="&amp;$DF22+'Model Setup'!$E$7,$AD22:$BA22)+'Model Setup'!$E$8*(SUMIF($BH$3:$CE$3,"&lt;"&amp;$DF22,$AD22:$BA22)+SUMIF($BH$3:$CE$3,"&gt;"&amp;$CW$4,$AD22:$BA22)),
IF(BV$3=$DF22+'Model Setup'!$F$7,SUMIF($BH$3:$CE$3,"="&amp;$DF22+'Model Setup'!$F$7,$AD22:$BA22)+'Model Setup'!$F$8*(SUMIF($BH$3:$CE$3,"&lt;"&amp;$DF22,$AD22:$BA22)+SUMIF($BH$3:$CE$3,"&gt;"&amp;$CW$4,$AD22:$BA22)),
IF(BV$3=$DF22+'Model Setup'!$G$7,SUMIF($BH$3:$CE$3,"="&amp;$DF22+'Model Setup'!$G$7,$AD22:$BA22)+'Model Setup'!$G$8*(SUMIF($BH$3:$CE$3,"&lt;"&amp;$DF22,$AD22:$BA22)+SUMIF($BH$3:$CE$3,"&gt;"&amp;$CW$4,$AD22:$BA22)),
IF(BV$3=$DF22+'Model Setup'!$H$7,SUMIF($BH$3:$CE$3,"="&amp;$DF22+'Model Setup'!$H$7,$AD22:$BA22)+'Model Setup'!$H$8*(SUMIF($BH$3:$CE$3,"&lt;"&amp;$DF22,$AD22:$BA22)+SUMIF($BH$3:$CE$3,"&gt;"&amp;$CW$4,$AD22:$BA22)),
IF(BV$3=$DF22+'Model Setup'!$I$7,SUMIF($BH$3:$CE$3,"="&amp;$DF22+'Model Setup'!$I$7,$AD22:$BA22)+'Model Setup'!$I$8*(SUMIF($BH$3:$CE$3,"&lt;"&amp;$DF22,$AD22:$BA22)+SUMIF($BH$3:$CE$3,"&gt;"&amp;$CW$4,$AD22:$BA22)),
IF(BV$3=$DF22+'Model Setup'!$J$7,SUMIF($BH$3:$CE$3,"="&amp;$DF22+'Model Setup'!$J$7,$AD22:$BA22)+'Model Setup'!$J$8*(SUMIF($BH$3:$CE$3,"&lt;"&amp;$DF22,$AD22:$BA22)+SUMIF($BH$3:$CE$3,"&gt;"&amp;$CW$4,$AD22:$BA22)),
IF(BV$3=$DF22+'Model Setup'!$K$7,SUMIF($BH$3:$CE$3,"="&amp;$DF22+'Model Setup'!$K$7,$AD22:$BA22)+'Model Setup'!$K$8*(SUMIF($BH$3:$CE$3,"&lt;"&amp;$DF22,$AD22:$BA22)+SUMIF($BH$3:$CE$3,"&gt;"&amp;$CW$4,$AD22:$BA22)),
IF(BV$3=$DF22+'Model Setup'!$L$7,SUMIF($BH$3:$CE$3,"="&amp;$DF22+'Model Setup'!$L$7,$AD22:$BA22)+'Model Setup'!$L$8*(SUMIF($BH$3:$CE$3,"&lt;"&amp;$DF22,$AD22:$BA22)+SUMIF($BH$3:$CE$3,"&gt;"&amp;$CW$4,$AD22:$BA22)),
IF(BV$3=$DF22+'Model Setup'!$M$7,SUMIF($BH$3:$CE$3,"="&amp;$DF22+'Model Setup'!$M$7,$AD22:$BA22)+'Model Setup'!$M$8*(SUMIF($BH$3:$CE$3,"&lt;"&amp;$DF22,$AD22:$BA22)+SUMIF($BH$3:$CE$3,"&gt;"&amp;$CW$4,$AD22:$BA22)),
IF(BV$3=$DF22+'Model Setup'!$N$7,SUMIF($BH$3:$CE$3,"="&amp;$DF22+'Model Setup'!$N$7,$AD22:$BA22)+'Model Setup'!$N$8*(SUMIF($BH$3:$CE$3,"&lt;"&amp;$DF22,$AD22:$BA22)+SUMIF($BH$3:$CE$3,"&gt;"&amp;$CW$4,$AD22:$BA22)),
IF(BV$3&lt;$CW$4,P22,0))))))))))))))),0)</f>
        <v>10</v>
      </c>
      <c r="BW22" s="47">
        <f>ROUND(IF(OR(BW$3&lt;$DF22,BW$3&gt;$CW$4),0,
IF(BW$3=$DF22+'Model Setup'!$B$7,SUMIF($BH$3:$CE$3,"="&amp;$DF22+'Model Setup'!$B$7,$AD22:$BA22)+'Model Setup'!$B$8*(SUMIF($BH$3:$CE$3,"&lt;"&amp;$DF22,$AD22:$BA22)+SUMIF($BH$3:$CE$3,"&gt;"&amp;$CW$4,$AD22:$BA22)),
IF(BW$3=$DF22+'Model Setup'!$C$7,SUMIF($BH$3:$CE$3,"="&amp;$DF22+'Model Setup'!$C$7,$AD22:$BA22)+'Model Setup'!$C$8*(SUMIF($BH$3:$CE$3,"&lt;"&amp;$DF22,$AD22:$BA22)+SUMIF($BH$3:$CE$3,"&gt;"&amp;$CW$4,$AD22:$BA22)),
IF(BW$3=$DF22+'Model Setup'!$D$7,SUMIF($BH$3:$CE$3,"="&amp;$DF22+'Model Setup'!$D$7,$AD22:$BA22)+'Model Setup'!$D$8*(SUMIF($BH$3:$CE$3,"&lt;"&amp;$DF22,$AD22:$BA22)+SUMIF($BH$3:$CE$3,"&gt;"&amp;$CW$4,$AD22:$BA22)),
IF(BW$3=$DF22+'Model Setup'!$E$7,SUMIF($BH$3:$CE$3,"="&amp;$DF22+'Model Setup'!$E$7,$AD22:$BA22)+'Model Setup'!$E$8*(SUMIF($BH$3:$CE$3,"&lt;"&amp;$DF22,$AD22:$BA22)+SUMIF($BH$3:$CE$3,"&gt;"&amp;$CW$4,$AD22:$BA22)),
IF(BW$3=$DF22+'Model Setup'!$F$7,SUMIF($BH$3:$CE$3,"="&amp;$DF22+'Model Setup'!$F$7,$AD22:$BA22)+'Model Setup'!$F$8*(SUMIF($BH$3:$CE$3,"&lt;"&amp;$DF22,$AD22:$BA22)+SUMIF($BH$3:$CE$3,"&gt;"&amp;$CW$4,$AD22:$BA22)),
IF(BW$3=$DF22+'Model Setup'!$G$7,SUMIF($BH$3:$CE$3,"="&amp;$DF22+'Model Setup'!$G$7,$AD22:$BA22)+'Model Setup'!$G$8*(SUMIF($BH$3:$CE$3,"&lt;"&amp;$DF22,$AD22:$BA22)+SUMIF($BH$3:$CE$3,"&gt;"&amp;$CW$4,$AD22:$BA22)),
IF(BW$3=$DF22+'Model Setup'!$H$7,SUMIF($BH$3:$CE$3,"="&amp;$DF22+'Model Setup'!$H$7,$AD22:$BA22)+'Model Setup'!$H$8*(SUMIF($BH$3:$CE$3,"&lt;"&amp;$DF22,$AD22:$BA22)+SUMIF($BH$3:$CE$3,"&gt;"&amp;$CW$4,$AD22:$BA22)),
IF(BW$3=$DF22+'Model Setup'!$I$7,SUMIF($BH$3:$CE$3,"="&amp;$DF22+'Model Setup'!$I$7,$AD22:$BA22)+'Model Setup'!$I$8*(SUMIF($BH$3:$CE$3,"&lt;"&amp;$DF22,$AD22:$BA22)+SUMIF($BH$3:$CE$3,"&gt;"&amp;$CW$4,$AD22:$BA22)),
IF(BW$3=$DF22+'Model Setup'!$J$7,SUMIF($BH$3:$CE$3,"="&amp;$DF22+'Model Setup'!$J$7,$AD22:$BA22)+'Model Setup'!$J$8*(SUMIF($BH$3:$CE$3,"&lt;"&amp;$DF22,$AD22:$BA22)+SUMIF($BH$3:$CE$3,"&gt;"&amp;$CW$4,$AD22:$BA22)),
IF(BW$3=$DF22+'Model Setup'!$K$7,SUMIF($BH$3:$CE$3,"="&amp;$DF22+'Model Setup'!$K$7,$AD22:$BA22)+'Model Setup'!$K$8*(SUMIF($BH$3:$CE$3,"&lt;"&amp;$DF22,$AD22:$BA22)+SUMIF($BH$3:$CE$3,"&gt;"&amp;$CW$4,$AD22:$BA22)),
IF(BW$3=$DF22+'Model Setup'!$L$7,SUMIF($BH$3:$CE$3,"="&amp;$DF22+'Model Setup'!$L$7,$AD22:$BA22)+'Model Setup'!$L$8*(SUMIF($BH$3:$CE$3,"&lt;"&amp;$DF22,$AD22:$BA22)+SUMIF($BH$3:$CE$3,"&gt;"&amp;$CW$4,$AD22:$BA22)),
IF(BW$3=$DF22+'Model Setup'!$M$7,SUMIF($BH$3:$CE$3,"="&amp;$DF22+'Model Setup'!$M$7,$AD22:$BA22)+'Model Setup'!$M$8*(SUMIF($BH$3:$CE$3,"&lt;"&amp;$DF22,$AD22:$BA22)+SUMIF($BH$3:$CE$3,"&gt;"&amp;$CW$4,$AD22:$BA22)),
IF(BW$3=$DF22+'Model Setup'!$N$7,SUMIF($BH$3:$CE$3,"="&amp;$DF22+'Model Setup'!$N$7,$AD22:$BA22)+'Model Setup'!$N$8*(SUMIF($BH$3:$CE$3,"&lt;"&amp;$DF22,$AD22:$BA22)+SUMIF($BH$3:$CE$3,"&gt;"&amp;$CW$4,$AD22:$BA22)),
IF(BW$3&lt;$CW$4,Q22,0))))))))))))))),0)</f>
        <v>8</v>
      </c>
      <c r="BX22" s="47">
        <f>ROUND(IF(OR(BX$3&lt;$DF22,BX$3&gt;$CW$4),0,
IF(BX$3=$DF22+'Model Setup'!$B$7,SUMIF($BH$3:$CE$3,"="&amp;$DF22+'Model Setup'!$B$7,$AD22:$BA22)+'Model Setup'!$B$8*(SUMIF($BH$3:$CE$3,"&lt;"&amp;$DF22,$AD22:$BA22)+SUMIF($BH$3:$CE$3,"&gt;"&amp;$CW$4,$AD22:$BA22)),
IF(BX$3=$DF22+'Model Setup'!$C$7,SUMIF($BH$3:$CE$3,"="&amp;$DF22+'Model Setup'!$C$7,$AD22:$BA22)+'Model Setup'!$C$8*(SUMIF($BH$3:$CE$3,"&lt;"&amp;$DF22,$AD22:$BA22)+SUMIF($BH$3:$CE$3,"&gt;"&amp;$CW$4,$AD22:$BA22)),
IF(BX$3=$DF22+'Model Setup'!$D$7,SUMIF($BH$3:$CE$3,"="&amp;$DF22+'Model Setup'!$D$7,$AD22:$BA22)+'Model Setup'!$D$8*(SUMIF($BH$3:$CE$3,"&lt;"&amp;$DF22,$AD22:$BA22)+SUMIF($BH$3:$CE$3,"&gt;"&amp;$CW$4,$AD22:$BA22)),
IF(BX$3=$DF22+'Model Setup'!$E$7,SUMIF($BH$3:$CE$3,"="&amp;$DF22+'Model Setup'!$E$7,$AD22:$BA22)+'Model Setup'!$E$8*(SUMIF($BH$3:$CE$3,"&lt;"&amp;$DF22,$AD22:$BA22)+SUMIF($BH$3:$CE$3,"&gt;"&amp;$CW$4,$AD22:$BA22)),
IF(BX$3=$DF22+'Model Setup'!$F$7,SUMIF($BH$3:$CE$3,"="&amp;$DF22+'Model Setup'!$F$7,$AD22:$BA22)+'Model Setup'!$F$8*(SUMIF($BH$3:$CE$3,"&lt;"&amp;$DF22,$AD22:$BA22)+SUMIF($BH$3:$CE$3,"&gt;"&amp;$CW$4,$AD22:$BA22)),
IF(BX$3=$DF22+'Model Setup'!$G$7,SUMIF($BH$3:$CE$3,"="&amp;$DF22+'Model Setup'!$G$7,$AD22:$BA22)+'Model Setup'!$G$8*(SUMIF($BH$3:$CE$3,"&lt;"&amp;$DF22,$AD22:$BA22)+SUMIF($BH$3:$CE$3,"&gt;"&amp;$CW$4,$AD22:$BA22)),
IF(BX$3=$DF22+'Model Setup'!$H$7,SUMIF($BH$3:$CE$3,"="&amp;$DF22+'Model Setup'!$H$7,$AD22:$BA22)+'Model Setup'!$H$8*(SUMIF($BH$3:$CE$3,"&lt;"&amp;$DF22,$AD22:$BA22)+SUMIF($BH$3:$CE$3,"&gt;"&amp;$CW$4,$AD22:$BA22)),
IF(BX$3=$DF22+'Model Setup'!$I$7,SUMIF($BH$3:$CE$3,"="&amp;$DF22+'Model Setup'!$I$7,$AD22:$BA22)+'Model Setup'!$I$8*(SUMIF($BH$3:$CE$3,"&lt;"&amp;$DF22,$AD22:$BA22)+SUMIF($BH$3:$CE$3,"&gt;"&amp;$CW$4,$AD22:$BA22)),
IF(BX$3=$DF22+'Model Setup'!$J$7,SUMIF($BH$3:$CE$3,"="&amp;$DF22+'Model Setup'!$J$7,$AD22:$BA22)+'Model Setup'!$J$8*(SUMIF($BH$3:$CE$3,"&lt;"&amp;$DF22,$AD22:$BA22)+SUMIF($BH$3:$CE$3,"&gt;"&amp;$CW$4,$AD22:$BA22)),
IF(BX$3=$DF22+'Model Setup'!$K$7,SUMIF($BH$3:$CE$3,"="&amp;$DF22+'Model Setup'!$K$7,$AD22:$BA22)+'Model Setup'!$K$8*(SUMIF($BH$3:$CE$3,"&lt;"&amp;$DF22,$AD22:$BA22)+SUMIF($BH$3:$CE$3,"&gt;"&amp;$CW$4,$AD22:$BA22)),
IF(BX$3=$DF22+'Model Setup'!$L$7,SUMIF($BH$3:$CE$3,"="&amp;$DF22+'Model Setup'!$L$7,$AD22:$BA22)+'Model Setup'!$L$8*(SUMIF($BH$3:$CE$3,"&lt;"&amp;$DF22,$AD22:$BA22)+SUMIF($BH$3:$CE$3,"&gt;"&amp;$CW$4,$AD22:$BA22)),
IF(BX$3=$DF22+'Model Setup'!$M$7,SUMIF($BH$3:$CE$3,"="&amp;$DF22+'Model Setup'!$M$7,$AD22:$BA22)+'Model Setup'!$M$8*(SUMIF($BH$3:$CE$3,"&lt;"&amp;$DF22,$AD22:$BA22)+SUMIF($BH$3:$CE$3,"&gt;"&amp;$CW$4,$AD22:$BA22)),
IF(BX$3=$DF22+'Model Setup'!$N$7,SUMIF($BH$3:$CE$3,"="&amp;$DF22+'Model Setup'!$N$7,$AD22:$BA22)+'Model Setup'!$N$8*(SUMIF($BH$3:$CE$3,"&lt;"&amp;$DF22,$AD22:$BA22)+SUMIF($BH$3:$CE$3,"&gt;"&amp;$CW$4,$AD22:$BA22)),
IF(BX$3&lt;$CW$4,R22,0))))))))))))))),0)</f>
        <v>6</v>
      </c>
      <c r="BY22" s="47">
        <f>ROUND(IF(OR(BY$3&lt;$DF22,BY$3&gt;$CW$4),0,
IF(BY$3=$DF22+'Model Setup'!$B$7,SUMIF($BH$3:$CE$3,"="&amp;$DF22+'Model Setup'!$B$7,$AD22:$BA22)+'Model Setup'!$B$8*(SUMIF($BH$3:$CE$3,"&lt;"&amp;$DF22,$AD22:$BA22)+SUMIF($BH$3:$CE$3,"&gt;"&amp;$CW$4,$AD22:$BA22)),
IF(BY$3=$DF22+'Model Setup'!$C$7,SUMIF($BH$3:$CE$3,"="&amp;$DF22+'Model Setup'!$C$7,$AD22:$BA22)+'Model Setup'!$C$8*(SUMIF($BH$3:$CE$3,"&lt;"&amp;$DF22,$AD22:$BA22)+SUMIF($BH$3:$CE$3,"&gt;"&amp;$CW$4,$AD22:$BA22)),
IF(BY$3=$DF22+'Model Setup'!$D$7,SUMIF($BH$3:$CE$3,"="&amp;$DF22+'Model Setup'!$D$7,$AD22:$BA22)+'Model Setup'!$D$8*(SUMIF($BH$3:$CE$3,"&lt;"&amp;$DF22,$AD22:$BA22)+SUMIF($BH$3:$CE$3,"&gt;"&amp;$CW$4,$AD22:$BA22)),
IF(BY$3=$DF22+'Model Setup'!$E$7,SUMIF($BH$3:$CE$3,"="&amp;$DF22+'Model Setup'!$E$7,$AD22:$BA22)+'Model Setup'!$E$8*(SUMIF($BH$3:$CE$3,"&lt;"&amp;$DF22,$AD22:$BA22)+SUMIF($BH$3:$CE$3,"&gt;"&amp;$CW$4,$AD22:$BA22)),
IF(BY$3=$DF22+'Model Setup'!$F$7,SUMIF($BH$3:$CE$3,"="&amp;$DF22+'Model Setup'!$F$7,$AD22:$BA22)+'Model Setup'!$F$8*(SUMIF($BH$3:$CE$3,"&lt;"&amp;$DF22,$AD22:$BA22)+SUMIF($BH$3:$CE$3,"&gt;"&amp;$CW$4,$AD22:$BA22)),
IF(BY$3=$DF22+'Model Setup'!$G$7,SUMIF($BH$3:$CE$3,"="&amp;$DF22+'Model Setup'!$G$7,$AD22:$BA22)+'Model Setup'!$G$8*(SUMIF($BH$3:$CE$3,"&lt;"&amp;$DF22,$AD22:$BA22)+SUMIF($BH$3:$CE$3,"&gt;"&amp;$CW$4,$AD22:$BA22)),
IF(BY$3=$DF22+'Model Setup'!$H$7,SUMIF($BH$3:$CE$3,"="&amp;$DF22+'Model Setup'!$H$7,$AD22:$BA22)+'Model Setup'!$H$8*(SUMIF($BH$3:$CE$3,"&lt;"&amp;$DF22,$AD22:$BA22)+SUMIF($BH$3:$CE$3,"&gt;"&amp;$CW$4,$AD22:$BA22)),
IF(BY$3=$DF22+'Model Setup'!$I$7,SUMIF($BH$3:$CE$3,"="&amp;$DF22+'Model Setup'!$I$7,$AD22:$BA22)+'Model Setup'!$I$8*(SUMIF($BH$3:$CE$3,"&lt;"&amp;$DF22,$AD22:$BA22)+SUMIF($BH$3:$CE$3,"&gt;"&amp;$CW$4,$AD22:$BA22)),
IF(BY$3=$DF22+'Model Setup'!$J$7,SUMIF($BH$3:$CE$3,"="&amp;$DF22+'Model Setup'!$J$7,$AD22:$BA22)+'Model Setup'!$J$8*(SUMIF($BH$3:$CE$3,"&lt;"&amp;$DF22,$AD22:$BA22)+SUMIF($BH$3:$CE$3,"&gt;"&amp;$CW$4,$AD22:$BA22)),
IF(BY$3=$DF22+'Model Setup'!$K$7,SUMIF($BH$3:$CE$3,"="&amp;$DF22+'Model Setup'!$K$7,$AD22:$BA22)+'Model Setup'!$K$8*(SUMIF($BH$3:$CE$3,"&lt;"&amp;$DF22,$AD22:$BA22)+SUMIF($BH$3:$CE$3,"&gt;"&amp;$CW$4,$AD22:$BA22)),
IF(BY$3=$DF22+'Model Setup'!$L$7,SUMIF($BH$3:$CE$3,"="&amp;$DF22+'Model Setup'!$L$7,$AD22:$BA22)+'Model Setup'!$L$8*(SUMIF($BH$3:$CE$3,"&lt;"&amp;$DF22,$AD22:$BA22)+SUMIF($BH$3:$CE$3,"&gt;"&amp;$CW$4,$AD22:$BA22)),
IF(BY$3=$DF22+'Model Setup'!$M$7,SUMIF($BH$3:$CE$3,"="&amp;$DF22+'Model Setup'!$M$7,$AD22:$BA22)+'Model Setup'!$M$8*(SUMIF($BH$3:$CE$3,"&lt;"&amp;$DF22,$AD22:$BA22)+SUMIF($BH$3:$CE$3,"&gt;"&amp;$CW$4,$AD22:$BA22)),
IF(BY$3=$DF22+'Model Setup'!$N$7,SUMIF($BH$3:$CE$3,"="&amp;$DF22+'Model Setup'!$N$7,$AD22:$BA22)+'Model Setup'!$N$8*(SUMIF($BH$3:$CE$3,"&lt;"&amp;$DF22,$AD22:$BA22)+SUMIF($BH$3:$CE$3,"&gt;"&amp;$CW$4,$AD22:$BA22)),
IF(BY$3&lt;$CW$4,S22,0))))))))))))))),0)</f>
        <v>41</v>
      </c>
      <c r="BZ22" s="47">
        <f>ROUND(IF(OR(BZ$3&lt;$DF22,BZ$3&gt;$CW$4),0,
IF(BZ$3=$DF22+'Model Setup'!$B$7,SUMIF($BH$3:$CE$3,"="&amp;$DF22+'Model Setup'!$B$7,$AD22:$BA22)+'Model Setup'!$B$8*(SUMIF($BH$3:$CE$3,"&lt;"&amp;$DF22,$AD22:$BA22)+SUMIF($BH$3:$CE$3,"&gt;"&amp;$CW$4,$AD22:$BA22)),
IF(BZ$3=$DF22+'Model Setup'!$C$7,SUMIF($BH$3:$CE$3,"="&amp;$DF22+'Model Setup'!$C$7,$AD22:$BA22)+'Model Setup'!$C$8*(SUMIF($BH$3:$CE$3,"&lt;"&amp;$DF22,$AD22:$BA22)+SUMIF($BH$3:$CE$3,"&gt;"&amp;$CW$4,$AD22:$BA22)),
IF(BZ$3=$DF22+'Model Setup'!$D$7,SUMIF($BH$3:$CE$3,"="&amp;$DF22+'Model Setup'!$D$7,$AD22:$BA22)+'Model Setup'!$D$8*(SUMIF($BH$3:$CE$3,"&lt;"&amp;$DF22,$AD22:$BA22)+SUMIF($BH$3:$CE$3,"&gt;"&amp;$CW$4,$AD22:$BA22)),
IF(BZ$3=$DF22+'Model Setup'!$E$7,SUMIF($BH$3:$CE$3,"="&amp;$DF22+'Model Setup'!$E$7,$AD22:$BA22)+'Model Setup'!$E$8*(SUMIF($BH$3:$CE$3,"&lt;"&amp;$DF22,$AD22:$BA22)+SUMIF($BH$3:$CE$3,"&gt;"&amp;$CW$4,$AD22:$BA22)),
IF(BZ$3=$DF22+'Model Setup'!$F$7,SUMIF($BH$3:$CE$3,"="&amp;$DF22+'Model Setup'!$F$7,$AD22:$BA22)+'Model Setup'!$F$8*(SUMIF($BH$3:$CE$3,"&lt;"&amp;$DF22,$AD22:$BA22)+SUMIF($BH$3:$CE$3,"&gt;"&amp;$CW$4,$AD22:$BA22)),
IF(BZ$3=$DF22+'Model Setup'!$G$7,SUMIF($BH$3:$CE$3,"="&amp;$DF22+'Model Setup'!$G$7,$AD22:$BA22)+'Model Setup'!$G$8*(SUMIF($BH$3:$CE$3,"&lt;"&amp;$DF22,$AD22:$BA22)+SUMIF($BH$3:$CE$3,"&gt;"&amp;$CW$4,$AD22:$BA22)),
IF(BZ$3=$DF22+'Model Setup'!$H$7,SUMIF($BH$3:$CE$3,"="&amp;$DF22+'Model Setup'!$H$7,$AD22:$BA22)+'Model Setup'!$H$8*(SUMIF($BH$3:$CE$3,"&lt;"&amp;$DF22,$AD22:$BA22)+SUMIF($BH$3:$CE$3,"&gt;"&amp;$CW$4,$AD22:$BA22)),
IF(BZ$3=$DF22+'Model Setup'!$I$7,SUMIF($BH$3:$CE$3,"="&amp;$DF22+'Model Setup'!$I$7,$AD22:$BA22)+'Model Setup'!$I$8*(SUMIF($BH$3:$CE$3,"&lt;"&amp;$DF22,$AD22:$BA22)+SUMIF($BH$3:$CE$3,"&gt;"&amp;$CW$4,$AD22:$BA22)),
IF(BZ$3=$DF22+'Model Setup'!$J$7,SUMIF($BH$3:$CE$3,"="&amp;$DF22+'Model Setup'!$J$7,$AD22:$BA22)+'Model Setup'!$J$8*(SUMIF($BH$3:$CE$3,"&lt;"&amp;$DF22,$AD22:$BA22)+SUMIF($BH$3:$CE$3,"&gt;"&amp;$CW$4,$AD22:$BA22)),
IF(BZ$3=$DF22+'Model Setup'!$K$7,SUMIF($BH$3:$CE$3,"="&amp;$DF22+'Model Setup'!$K$7,$AD22:$BA22)+'Model Setup'!$K$8*(SUMIF($BH$3:$CE$3,"&lt;"&amp;$DF22,$AD22:$BA22)+SUMIF($BH$3:$CE$3,"&gt;"&amp;$CW$4,$AD22:$BA22)),
IF(BZ$3=$DF22+'Model Setup'!$L$7,SUMIF($BH$3:$CE$3,"="&amp;$DF22+'Model Setup'!$L$7,$AD22:$BA22)+'Model Setup'!$L$8*(SUMIF($BH$3:$CE$3,"&lt;"&amp;$DF22,$AD22:$BA22)+SUMIF($BH$3:$CE$3,"&gt;"&amp;$CW$4,$AD22:$BA22)),
IF(BZ$3=$DF22+'Model Setup'!$M$7,SUMIF($BH$3:$CE$3,"="&amp;$DF22+'Model Setup'!$M$7,$AD22:$BA22)+'Model Setup'!$M$8*(SUMIF($BH$3:$CE$3,"&lt;"&amp;$DF22,$AD22:$BA22)+SUMIF($BH$3:$CE$3,"&gt;"&amp;$CW$4,$AD22:$BA22)),
IF(BZ$3=$DF22+'Model Setup'!$N$7,SUMIF($BH$3:$CE$3,"="&amp;$DF22+'Model Setup'!$N$7,$AD22:$BA22)+'Model Setup'!$N$8*(SUMIF($BH$3:$CE$3,"&lt;"&amp;$DF22,$AD22:$BA22)+SUMIF($BH$3:$CE$3,"&gt;"&amp;$CW$4,$AD22:$BA22)),
IF(BZ$3&lt;$CW$4,T22,0))))))))))))))),0)</f>
        <v>52</v>
      </c>
      <c r="CA22" s="47">
        <f>ROUND(IF(OR(CA$3&lt;$DF22,CA$3&gt;$CW$4),0,
IF(CA$3=$DF22+'Model Setup'!$B$7,SUMIF($BH$3:$CE$3,"="&amp;$DF22+'Model Setup'!$B$7,$AD22:$BA22)+'Model Setup'!$B$8*(SUMIF($BH$3:$CE$3,"&lt;"&amp;$DF22,$AD22:$BA22)+SUMIF($BH$3:$CE$3,"&gt;"&amp;$CW$4,$AD22:$BA22)),
IF(CA$3=$DF22+'Model Setup'!$C$7,SUMIF($BH$3:$CE$3,"="&amp;$DF22+'Model Setup'!$C$7,$AD22:$BA22)+'Model Setup'!$C$8*(SUMIF($BH$3:$CE$3,"&lt;"&amp;$DF22,$AD22:$BA22)+SUMIF($BH$3:$CE$3,"&gt;"&amp;$CW$4,$AD22:$BA22)),
IF(CA$3=$DF22+'Model Setup'!$D$7,SUMIF($BH$3:$CE$3,"="&amp;$DF22+'Model Setup'!$D$7,$AD22:$BA22)+'Model Setup'!$D$8*(SUMIF($BH$3:$CE$3,"&lt;"&amp;$DF22,$AD22:$BA22)+SUMIF($BH$3:$CE$3,"&gt;"&amp;$CW$4,$AD22:$BA22)),
IF(CA$3=$DF22+'Model Setup'!$E$7,SUMIF($BH$3:$CE$3,"="&amp;$DF22+'Model Setup'!$E$7,$AD22:$BA22)+'Model Setup'!$E$8*(SUMIF($BH$3:$CE$3,"&lt;"&amp;$DF22,$AD22:$BA22)+SUMIF($BH$3:$CE$3,"&gt;"&amp;$CW$4,$AD22:$BA22)),
IF(CA$3=$DF22+'Model Setup'!$F$7,SUMIF($BH$3:$CE$3,"="&amp;$DF22+'Model Setup'!$F$7,$AD22:$BA22)+'Model Setup'!$F$8*(SUMIF($BH$3:$CE$3,"&lt;"&amp;$DF22,$AD22:$BA22)+SUMIF($BH$3:$CE$3,"&gt;"&amp;$CW$4,$AD22:$BA22)),
IF(CA$3=$DF22+'Model Setup'!$G$7,SUMIF($BH$3:$CE$3,"="&amp;$DF22+'Model Setup'!$G$7,$AD22:$BA22)+'Model Setup'!$G$8*(SUMIF($BH$3:$CE$3,"&lt;"&amp;$DF22,$AD22:$BA22)+SUMIF($BH$3:$CE$3,"&gt;"&amp;$CW$4,$AD22:$BA22)),
IF(CA$3=$DF22+'Model Setup'!$H$7,SUMIF($BH$3:$CE$3,"="&amp;$DF22+'Model Setup'!$H$7,$AD22:$BA22)+'Model Setup'!$H$8*(SUMIF($BH$3:$CE$3,"&lt;"&amp;$DF22,$AD22:$BA22)+SUMIF($BH$3:$CE$3,"&gt;"&amp;$CW$4,$AD22:$BA22)),
IF(CA$3=$DF22+'Model Setup'!$I$7,SUMIF($BH$3:$CE$3,"="&amp;$DF22+'Model Setup'!$I$7,$AD22:$BA22)+'Model Setup'!$I$8*(SUMIF($BH$3:$CE$3,"&lt;"&amp;$DF22,$AD22:$BA22)+SUMIF($BH$3:$CE$3,"&gt;"&amp;$CW$4,$AD22:$BA22)),
IF(CA$3=$DF22+'Model Setup'!$J$7,SUMIF($BH$3:$CE$3,"="&amp;$DF22+'Model Setup'!$J$7,$AD22:$BA22)+'Model Setup'!$J$8*(SUMIF($BH$3:$CE$3,"&lt;"&amp;$DF22,$AD22:$BA22)+SUMIF($BH$3:$CE$3,"&gt;"&amp;$CW$4,$AD22:$BA22)),
IF(CA$3=$DF22+'Model Setup'!$K$7,SUMIF($BH$3:$CE$3,"="&amp;$DF22+'Model Setup'!$K$7,$AD22:$BA22)+'Model Setup'!$K$8*(SUMIF($BH$3:$CE$3,"&lt;"&amp;$DF22,$AD22:$BA22)+SUMIF($BH$3:$CE$3,"&gt;"&amp;$CW$4,$AD22:$BA22)),
IF(CA$3=$DF22+'Model Setup'!$L$7,SUMIF($BH$3:$CE$3,"="&amp;$DF22+'Model Setup'!$L$7,$AD22:$BA22)+'Model Setup'!$L$8*(SUMIF($BH$3:$CE$3,"&lt;"&amp;$DF22,$AD22:$BA22)+SUMIF($BH$3:$CE$3,"&gt;"&amp;$CW$4,$AD22:$BA22)),
IF(CA$3=$DF22+'Model Setup'!$M$7,SUMIF($BH$3:$CE$3,"="&amp;$DF22+'Model Setup'!$M$7,$AD22:$BA22)+'Model Setup'!$M$8*(SUMIF($BH$3:$CE$3,"&lt;"&amp;$DF22,$AD22:$BA22)+SUMIF($BH$3:$CE$3,"&gt;"&amp;$CW$4,$AD22:$BA22)),
IF(CA$3=$DF22+'Model Setup'!$N$7,SUMIF($BH$3:$CE$3,"="&amp;$DF22+'Model Setup'!$N$7,$AD22:$BA22)+'Model Setup'!$N$8*(SUMIF($BH$3:$CE$3,"&lt;"&amp;$DF22,$AD22:$BA22)+SUMIF($BH$3:$CE$3,"&gt;"&amp;$CW$4,$AD22:$BA22)),
IF(CA$3&lt;$CW$4,U22,0))))))))))))))),0)</f>
        <v>0</v>
      </c>
      <c r="CB22" s="47">
        <f>ROUND(IF(OR(CB$3&lt;$DF22,CB$3&gt;$CW$4),0,
IF(CB$3=$DF22+'Model Setup'!$B$7,SUMIF($BH$3:$CE$3,"="&amp;$DF22+'Model Setup'!$B$7,$AD22:$BA22)+'Model Setup'!$B$8*(SUMIF($BH$3:$CE$3,"&lt;"&amp;$DF22,$AD22:$BA22)+SUMIF($BH$3:$CE$3,"&gt;"&amp;$CW$4,$AD22:$BA22)),
IF(CB$3=$DF22+'Model Setup'!$C$7,SUMIF($BH$3:$CE$3,"="&amp;$DF22+'Model Setup'!$C$7,$AD22:$BA22)+'Model Setup'!$C$8*(SUMIF($BH$3:$CE$3,"&lt;"&amp;$DF22,$AD22:$BA22)+SUMIF($BH$3:$CE$3,"&gt;"&amp;$CW$4,$AD22:$BA22)),
IF(CB$3=$DF22+'Model Setup'!$D$7,SUMIF($BH$3:$CE$3,"="&amp;$DF22+'Model Setup'!$D$7,$AD22:$BA22)+'Model Setup'!$D$8*(SUMIF($BH$3:$CE$3,"&lt;"&amp;$DF22,$AD22:$BA22)+SUMIF($BH$3:$CE$3,"&gt;"&amp;$CW$4,$AD22:$BA22)),
IF(CB$3=$DF22+'Model Setup'!$E$7,SUMIF($BH$3:$CE$3,"="&amp;$DF22+'Model Setup'!$E$7,$AD22:$BA22)+'Model Setup'!$E$8*(SUMIF($BH$3:$CE$3,"&lt;"&amp;$DF22,$AD22:$BA22)+SUMIF($BH$3:$CE$3,"&gt;"&amp;$CW$4,$AD22:$BA22)),
IF(CB$3=$DF22+'Model Setup'!$F$7,SUMIF($BH$3:$CE$3,"="&amp;$DF22+'Model Setup'!$F$7,$AD22:$BA22)+'Model Setup'!$F$8*(SUMIF($BH$3:$CE$3,"&lt;"&amp;$DF22,$AD22:$BA22)+SUMIF($BH$3:$CE$3,"&gt;"&amp;$CW$4,$AD22:$BA22)),
IF(CB$3=$DF22+'Model Setup'!$G$7,SUMIF($BH$3:$CE$3,"="&amp;$DF22+'Model Setup'!$G$7,$AD22:$BA22)+'Model Setup'!$G$8*(SUMIF($BH$3:$CE$3,"&lt;"&amp;$DF22,$AD22:$BA22)+SUMIF($BH$3:$CE$3,"&gt;"&amp;$CW$4,$AD22:$BA22)),
IF(CB$3=$DF22+'Model Setup'!$H$7,SUMIF($BH$3:$CE$3,"="&amp;$DF22+'Model Setup'!$H$7,$AD22:$BA22)+'Model Setup'!$H$8*(SUMIF($BH$3:$CE$3,"&lt;"&amp;$DF22,$AD22:$BA22)+SUMIF($BH$3:$CE$3,"&gt;"&amp;$CW$4,$AD22:$BA22)),
IF(CB$3=$DF22+'Model Setup'!$I$7,SUMIF($BH$3:$CE$3,"="&amp;$DF22+'Model Setup'!$I$7,$AD22:$BA22)+'Model Setup'!$I$8*(SUMIF($BH$3:$CE$3,"&lt;"&amp;$DF22,$AD22:$BA22)+SUMIF($BH$3:$CE$3,"&gt;"&amp;$CW$4,$AD22:$BA22)),
IF(CB$3=$DF22+'Model Setup'!$J$7,SUMIF($BH$3:$CE$3,"="&amp;$DF22+'Model Setup'!$J$7,$AD22:$BA22)+'Model Setup'!$J$8*(SUMIF($BH$3:$CE$3,"&lt;"&amp;$DF22,$AD22:$BA22)+SUMIF($BH$3:$CE$3,"&gt;"&amp;$CW$4,$AD22:$BA22)),
IF(CB$3=$DF22+'Model Setup'!$K$7,SUMIF($BH$3:$CE$3,"="&amp;$DF22+'Model Setup'!$K$7,$AD22:$BA22)+'Model Setup'!$K$8*(SUMIF($BH$3:$CE$3,"&lt;"&amp;$DF22,$AD22:$BA22)+SUMIF($BH$3:$CE$3,"&gt;"&amp;$CW$4,$AD22:$BA22)),
IF(CB$3=$DF22+'Model Setup'!$L$7,SUMIF($BH$3:$CE$3,"="&amp;$DF22+'Model Setup'!$L$7,$AD22:$BA22)+'Model Setup'!$L$8*(SUMIF($BH$3:$CE$3,"&lt;"&amp;$DF22,$AD22:$BA22)+SUMIF($BH$3:$CE$3,"&gt;"&amp;$CW$4,$AD22:$BA22)),
IF(CB$3=$DF22+'Model Setup'!$M$7,SUMIF($BH$3:$CE$3,"="&amp;$DF22+'Model Setup'!$M$7,$AD22:$BA22)+'Model Setup'!$M$8*(SUMIF($BH$3:$CE$3,"&lt;"&amp;$DF22,$AD22:$BA22)+SUMIF($BH$3:$CE$3,"&gt;"&amp;$CW$4,$AD22:$BA22)),
IF(CB$3=$DF22+'Model Setup'!$N$7,SUMIF($BH$3:$CE$3,"="&amp;$DF22+'Model Setup'!$N$7,$AD22:$BA22)+'Model Setup'!$N$8*(SUMIF($BH$3:$CE$3,"&lt;"&amp;$DF22,$AD22:$BA22)+SUMIF($BH$3:$CE$3,"&gt;"&amp;$CW$4,$AD22:$BA22)),
IF(CB$3&lt;$CW$4,V22,0))))))))))))))),0)</f>
        <v>0</v>
      </c>
      <c r="CC22" s="47">
        <f>ROUND(IF(OR(CC$3&lt;$DF22,CC$3&gt;$CW$4),0,
IF(CC$3=$DF22+'Model Setup'!$B$7,SUMIF($BH$3:$CE$3,"="&amp;$DF22+'Model Setup'!$B$7,$AD22:$BA22)+'Model Setup'!$B$8*(SUMIF($BH$3:$CE$3,"&lt;"&amp;$DF22,$AD22:$BA22)+SUMIF($BH$3:$CE$3,"&gt;"&amp;$CW$4,$AD22:$BA22)),
IF(CC$3=$DF22+'Model Setup'!$C$7,SUMIF($BH$3:$CE$3,"="&amp;$DF22+'Model Setup'!$C$7,$AD22:$BA22)+'Model Setup'!$C$8*(SUMIF($BH$3:$CE$3,"&lt;"&amp;$DF22,$AD22:$BA22)+SUMIF($BH$3:$CE$3,"&gt;"&amp;$CW$4,$AD22:$BA22)),
IF(CC$3=$DF22+'Model Setup'!$D$7,SUMIF($BH$3:$CE$3,"="&amp;$DF22+'Model Setup'!$D$7,$AD22:$BA22)+'Model Setup'!$D$8*(SUMIF($BH$3:$CE$3,"&lt;"&amp;$DF22,$AD22:$BA22)+SUMIF($BH$3:$CE$3,"&gt;"&amp;$CW$4,$AD22:$BA22)),
IF(CC$3=$DF22+'Model Setup'!$E$7,SUMIF($BH$3:$CE$3,"="&amp;$DF22+'Model Setup'!$E$7,$AD22:$BA22)+'Model Setup'!$E$8*(SUMIF($BH$3:$CE$3,"&lt;"&amp;$DF22,$AD22:$BA22)+SUMIF($BH$3:$CE$3,"&gt;"&amp;$CW$4,$AD22:$BA22)),
IF(CC$3=$DF22+'Model Setup'!$F$7,SUMIF($BH$3:$CE$3,"="&amp;$DF22+'Model Setup'!$F$7,$AD22:$BA22)+'Model Setup'!$F$8*(SUMIF($BH$3:$CE$3,"&lt;"&amp;$DF22,$AD22:$BA22)+SUMIF($BH$3:$CE$3,"&gt;"&amp;$CW$4,$AD22:$BA22)),
IF(CC$3=$DF22+'Model Setup'!$G$7,SUMIF($BH$3:$CE$3,"="&amp;$DF22+'Model Setup'!$G$7,$AD22:$BA22)+'Model Setup'!$G$8*(SUMIF($BH$3:$CE$3,"&lt;"&amp;$DF22,$AD22:$BA22)+SUMIF($BH$3:$CE$3,"&gt;"&amp;$CW$4,$AD22:$BA22)),
IF(CC$3=$DF22+'Model Setup'!$H$7,SUMIF($BH$3:$CE$3,"="&amp;$DF22+'Model Setup'!$H$7,$AD22:$BA22)+'Model Setup'!$H$8*(SUMIF($BH$3:$CE$3,"&lt;"&amp;$DF22,$AD22:$BA22)+SUMIF($BH$3:$CE$3,"&gt;"&amp;$CW$4,$AD22:$BA22)),
IF(CC$3=$DF22+'Model Setup'!$I$7,SUMIF($BH$3:$CE$3,"="&amp;$DF22+'Model Setup'!$I$7,$AD22:$BA22)+'Model Setup'!$I$8*(SUMIF($BH$3:$CE$3,"&lt;"&amp;$DF22,$AD22:$BA22)+SUMIF($BH$3:$CE$3,"&gt;"&amp;$CW$4,$AD22:$BA22)),
IF(CC$3=$DF22+'Model Setup'!$J$7,SUMIF($BH$3:$CE$3,"="&amp;$DF22+'Model Setup'!$J$7,$AD22:$BA22)+'Model Setup'!$J$8*(SUMIF($BH$3:$CE$3,"&lt;"&amp;$DF22,$AD22:$BA22)+SUMIF($BH$3:$CE$3,"&gt;"&amp;$CW$4,$AD22:$BA22)),
IF(CC$3=$DF22+'Model Setup'!$K$7,SUMIF($BH$3:$CE$3,"="&amp;$DF22+'Model Setup'!$K$7,$AD22:$BA22)+'Model Setup'!$K$8*(SUMIF($BH$3:$CE$3,"&lt;"&amp;$DF22,$AD22:$BA22)+SUMIF($BH$3:$CE$3,"&gt;"&amp;$CW$4,$AD22:$BA22)),
IF(CC$3=$DF22+'Model Setup'!$L$7,SUMIF($BH$3:$CE$3,"="&amp;$DF22+'Model Setup'!$L$7,$AD22:$BA22)+'Model Setup'!$L$8*(SUMIF($BH$3:$CE$3,"&lt;"&amp;$DF22,$AD22:$BA22)+SUMIF($BH$3:$CE$3,"&gt;"&amp;$CW$4,$AD22:$BA22)),
IF(CC$3=$DF22+'Model Setup'!$M$7,SUMIF($BH$3:$CE$3,"="&amp;$DF22+'Model Setup'!$M$7,$AD22:$BA22)+'Model Setup'!$M$8*(SUMIF($BH$3:$CE$3,"&lt;"&amp;$DF22,$AD22:$BA22)+SUMIF($BH$3:$CE$3,"&gt;"&amp;$CW$4,$AD22:$BA22)),
IF(CC$3=$DF22+'Model Setup'!$N$7,SUMIF($BH$3:$CE$3,"="&amp;$DF22+'Model Setup'!$N$7,$AD22:$BA22)+'Model Setup'!$N$8*(SUMIF($BH$3:$CE$3,"&lt;"&amp;$DF22,$AD22:$BA22)+SUMIF($BH$3:$CE$3,"&gt;"&amp;$CW$4,$AD22:$BA22)),
IF(CC$3&lt;$CW$4,W22,0))))))))))))))),0)</f>
        <v>0</v>
      </c>
      <c r="CD22" s="47">
        <f>ROUND(IF(OR(CD$3&lt;$DF22,CD$3&gt;$CW$4),0,
IF(CD$3=$DF22+'Model Setup'!$B$7,SUMIF($BH$3:$CE$3,"="&amp;$DF22+'Model Setup'!$B$7,$AD22:$BA22)+'Model Setup'!$B$8*(SUMIF($BH$3:$CE$3,"&lt;"&amp;$DF22,$AD22:$BA22)+SUMIF($BH$3:$CE$3,"&gt;"&amp;$CW$4,$AD22:$BA22)),
IF(CD$3=$DF22+'Model Setup'!$C$7,SUMIF($BH$3:$CE$3,"="&amp;$DF22+'Model Setup'!$C$7,$AD22:$BA22)+'Model Setup'!$C$8*(SUMIF($BH$3:$CE$3,"&lt;"&amp;$DF22,$AD22:$BA22)+SUMIF($BH$3:$CE$3,"&gt;"&amp;$CW$4,$AD22:$BA22)),
IF(CD$3=$DF22+'Model Setup'!$D$7,SUMIF($BH$3:$CE$3,"="&amp;$DF22+'Model Setup'!$D$7,$AD22:$BA22)+'Model Setup'!$D$8*(SUMIF($BH$3:$CE$3,"&lt;"&amp;$DF22,$AD22:$BA22)+SUMIF($BH$3:$CE$3,"&gt;"&amp;$CW$4,$AD22:$BA22)),
IF(CD$3=$DF22+'Model Setup'!$E$7,SUMIF($BH$3:$CE$3,"="&amp;$DF22+'Model Setup'!$E$7,$AD22:$BA22)+'Model Setup'!$E$8*(SUMIF($BH$3:$CE$3,"&lt;"&amp;$DF22,$AD22:$BA22)+SUMIF($BH$3:$CE$3,"&gt;"&amp;$CW$4,$AD22:$BA22)),
IF(CD$3=$DF22+'Model Setup'!$F$7,SUMIF($BH$3:$CE$3,"="&amp;$DF22+'Model Setup'!$F$7,$AD22:$BA22)+'Model Setup'!$F$8*(SUMIF($BH$3:$CE$3,"&lt;"&amp;$DF22,$AD22:$BA22)+SUMIF($BH$3:$CE$3,"&gt;"&amp;$CW$4,$AD22:$BA22)),
IF(CD$3=$DF22+'Model Setup'!$G$7,SUMIF($BH$3:$CE$3,"="&amp;$DF22+'Model Setup'!$G$7,$AD22:$BA22)+'Model Setup'!$G$8*(SUMIF($BH$3:$CE$3,"&lt;"&amp;$DF22,$AD22:$BA22)+SUMIF($BH$3:$CE$3,"&gt;"&amp;$CW$4,$AD22:$BA22)),
IF(CD$3=$DF22+'Model Setup'!$H$7,SUMIF($BH$3:$CE$3,"="&amp;$DF22+'Model Setup'!$H$7,$AD22:$BA22)+'Model Setup'!$H$8*(SUMIF($BH$3:$CE$3,"&lt;"&amp;$DF22,$AD22:$BA22)+SUMIF($BH$3:$CE$3,"&gt;"&amp;$CW$4,$AD22:$BA22)),
IF(CD$3=$DF22+'Model Setup'!$I$7,SUMIF($BH$3:$CE$3,"="&amp;$DF22+'Model Setup'!$I$7,$AD22:$BA22)+'Model Setup'!$I$8*(SUMIF($BH$3:$CE$3,"&lt;"&amp;$DF22,$AD22:$BA22)+SUMIF($BH$3:$CE$3,"&gt;"&amp;$CW$4,$AD22:$BA22)),
IF(CD$3=$DF22+'Model Setup'!$J$7,SUMIF($BH$3:$CE$3,"="&amp;$DF22+'Model Setup'!$J$7,$AD22:$BA22)+'Model Setup'!$J$8*(SUMIF($BH$3:$CE$3,"&lt;"&amp;$DF22,$AD22:$BA22)+SUMIF($BH$3:$CE$3,"&gt;"&amp;$CW$4,$AD22:$BA22)),
IF(CD$3=$DF22+'Model Setup'!$K$7,SUMIF($BH$3:$CE$3,"="&amp;$DF22+'Model Setup'!$K$7,$AD22:$BA22)+'Model Setup'!$K$8*(SUMIF($BH$3:$CE$3,"&lt;"&amp;$DF22,$AD22:$BA22)+SUMIF($BH$3:$CE$3,"&gt;"&amp;$CW$4,$AD22:$BA22)),
IF(CD$3=$DF22+'Model Setup'!$L$7,SUMIF($BH$3:$CE$3,"="&amp;$DF22+'Model Setup'!$L$7,$AD22:$BA22)+'Model Setup'!$L$8*(SUMIF($BH$3:$CE$3,"&lt;"&amp;$DF22,$AD22:$BA22)+SUMIF($BH$3:$CE$3,"&gt;"&amp;$CW$4,$AD22:$BA22)),
IF(CD$3=$DF22+'Model Setup'!$M$7,SUMIF($BH$3:$CE$3,"="&amp;$DF22+'Model Setup'!$M$7,$AD22:$BA22)+'Model Setup'!$M$8*(SUMIF($BH$3:$CE$3,"&lt;"&amp;$DF22,$AD22:$BA22)+SUMIF($BH$3:$CE$3,"&gt;"&amp;$CW$4,$AD22:$BA22)),
IF(CD$3=$DF22+'Model Setup'!$N$7,SUMIF($BH$3:$CE$3,"="&amp;$DF22+'Model Setup'!$N$7,$AD22:$BA22)+'Model Setup'!$N$8*(SUMIF($BH$3:$CE$3,"&lt;"&amp;$DF22,$AD22:$BA22)+SUMIF($BH$3:$CE$3,"&gt;"&amp;$CW$4,$AD22:$BA22)),
IF(CD$3&lt;$CW$4,X22,0))))))))))))))),0)</f>
        <v>0</v>
      </c>
      <c r="CE22" s="47">
        <f>ROUND(IF(OR(CE$3&lt;$DF22,CE$3&gt;$CW$4),0,
IF(CE$3=$DF22+'Model Setup'!$B$7,SUMIF($BH$3:$CE$3,"="&amp;$DF22+'Model Setup'!$B$7,$AD22:$BA22)+'Model Setup'!$B$8*(SUMIF($BH$3:$CE$3,"&lt;"&amp;$DF22,$AD22:$BA22)+SUMIF($BH$3:$CE$3,"&gt;"&amp;$CW$4,$AD22:$BA22)),
IF(CE$3=$DF22+'Model Setup'!$C$7,SUMIF($BH$3:$CE$3,"="&amp;$DF22+'Model Setup'!$C$7,$AD22:$BA22)+'Model Setup'!$C$8*(SUMIF($BH$3:$CE$3,"&lt;"&amp;$DF22,$AD22:$BA22)+SUMIF($BH$3:$CE$3,"&gt;"&amp;$CW$4,$AD22:$BA22)),
IF(CE$3=$DF22+'Model Setup'!$D$7,SUMIF($BH$3:$CE$3,"="&amp;$DF22+'Model Setup'!$D$7,$AD22:$BA22)+'Model Setup'!$D$8*(SUMIF($BH$3:$CE$3,"&lt;"&amp;$DF22,$AD22:$BA22)+SUMIF($BH$3:$CE$3,"&gt;"&amp;$CW$4,$AD22:$BA22)),
IF(CE$3=$DF22+'Model Setup'!$E$7,SUMIF($BH$3:$CE$3,"="&amp;$DF22+'Model Setup'!$E$7,$AD22:$BA22)+'Model Setup'!$E$8*(SUMIF($BH$3:$CE$3,"&lt;"&amp;$DF22,$AD22:$BA22)+SUMIF($BH$3:$CE$3,"&gt;"&amp;$CW$4,$AD22:$BA22)),
IF(CE$3=$DF22+'Model Setup'!$F$7,SUMIF($BH$3:$CE$3,"="&amp;$DF22+'Model Setup'!$F$7,$AD22:$BA22)+'Model Setup'!$F$8*(SUMIF($BH$3:$CE$3,"&lt;"&amp;$DF22,$AD22:$BA22)+SUMIF($BH$3:$CE$3,"&gt;"&amp;$CW$4,$AD22:$BA22)),
IF(CE$3=$DF22+'Model Setup'!$G$7,SUMIF($BH$3:$CE$3,"="&amp;$DF22+'Model Setup'!$G$7,$AD22:$BA22)+'Model Setup'!$G$8*(SUMIF($BH$3:$CE$3,"&lt;"&amp;$DF22,$AD22:$BA22)+SUMIF($BH$3:$CE$3,"&gt;"&amp;$CW$4,$AD22:$BA22)),
IF(CE$3=$DF22+'Model Setup'!$H$7,SUMIF($BH$3:$CE$3,"="&amp;$DF22+'Model Setup'!$H$7,$AD22:$BA22)+'Model Setup'!$H$8*(SUMIF($BH$3:$CE$3,"&lt;"&amp;$DF22,$AD22:$BA22)+SUMIF($BH$3:$CE$3,"&gt;"&amp;$CW$4,$AD22:$BA22)),
IF(CE$3=$DF22+'Model Setup'!$I$7,SUMIF($BH$3:$CE$3,"="&amp;$DF22+'Model Setup'!$I$7,$AD22:$BA22)+'Model Setup'!$I$8*(SUMIF($BH$3:$CE$3,"&lt;"&amp;$DF22,$AD22:$BA22)+SUMIF($BH$3:$CE$3,"&gt;"&amp;$CW$4,$AD22:$BA22)),
IF(CE$3=$DF22+'Model Setup'!$J$7,SUMIF($BH$3:$CE$3,"="&amp;$DF22+'Model Setup'!$J$7,$AD22:$BA22)+'Model Setup'!$J$8*(SUMIF($BH$3:$CE$3,"&lt;"&amp;$DF22,$AD22:$BA22)+SUMIF($BH$3:$CE$3,"&gt;"&amp;$CW$4,$AD22:$BA22)),
IF(CE$3=$DF22+'Model Setup'!$K$7,SUMIF($BH$3:$CE$3,"="&amp;$DF22+'Model Setup'!$K$7,$AD22:$BA22)+'Model Setup'!$K$8*(SUMIF($BH$3:$CE$3,"&lt;"&amp;$DF22,$AD22:$BA22)+SUMIF($BH$3:$CE$3,"&gt;"&amp;$CW$4,$AD22:$BA22)),
IF(CE$3=$DF22+'Model Setup'!$L$7,SUMIF($BH$3:$CE$3,"="&amp;$DF22+'Model Setup'!$L$7,$AD22:$BA22)+'Model Setup'!$L$8*(SUMIF($BH$3:$CE$3,"&lt;"&amp;$DF22,$AD22:$BA22)+SUMIF($BH$3:$CE$3,"&gt;"&amp;$CW$4,$AD22:$BA22)),
IF(CE$3=$DF22+'Model Setup'!$M$7,SUMIF($BH$3:$CE$3,"="&amp;$DF22+'Model Setup'!$M$7,$AD22:$BA22)+'Model Setup'!$M$8*(SUMIF($BH$3:$CE$3,"&lt;"&amp;$DF22,$AD22:$BA22)+SUMIF($BH$3:$CE$3,"&gt;"&amp;$CW$4,$AD22:$BA22)),
IF(CE$3=$DF22+'Model Setup'!$N$7,SUMIF($BH$3:$CE$3,"="&amp;$DF22+'Model Setup'!$N$7,$AD22:$BA22)+'Model Setup'!$N$8*(SUMIF($BH$3:$CE$3,"&lt;"&amp;$DF22,$AD22:$BA22)+SUMIF($BH$3:$CE$3,"&gt;"&amp;$CW$4,$AD22:$BA22)),
IF(CE$3&lt;$CW$4,Y22,0))))))))))))))),0)</f>
        <v>0</v>
      </c>
      <c r="CF22" s="47">
        <f t="shared" si="3"/>
        <v>350</v>
      </c>
      <c r="CG22" s="47">
        <f t="shared" si="4"/>
        <v>-10</v>
      </c>
      <c r="CI22" s="10" t="s">
        <v>37</v>
      </c>
      <c r="CJ22" s="126">
        <f t="shared" si="9"/>
        <v>0</v>
      </c>
      <c r="CK22" s="126">
        <f t="shared" si="10"/>
        <v>0</v>
      </c>
      <c r="CL22" s="126">
        <f t="shared" si="11"/>
        <v>51</v>
      </c>
      <c r="CM22" s="126">
        <f t="shared" si="12"/>
        <v>52</v>
      </c>
      <c r="CN22" s="126">
        <f t="shared" si="13"/>
        <v>41</v>
      </c>
      <c r="CO22" s="126">
        <f t="shared" si="14"/>
        <v>36</v>
      </c>
      <c r="CP22" s="126">
        <f t="shared" si="15"/>
        <v>30</v>
      </c>
      <c r="CQ22" s="126">
        <f t="shared" si="16"/>
        <v>13</v>
      </c>
      <c r="CR22" s="126">
        <f t="shared" si="17"/>
        <v>10</v>
      </c>
      <c r="CS22" s="126">
        <f t="shared" si="18"/>
        <v>10</v>
      </c>
      <c r="CT22" s="126">
        <f t="shared" si="19"/>
        <v>8</v>
      </c>
      <c r="CU22" s="126">
        <f t="shared" si="20"/>
        <v>6</v>
      </c>
      <c r="CV22" s="126">
        <f t="shared" si="21"/>
        <v>32</v>
      </c>
      <c r="CW22" s="126">
        <f t="shared" si="22"/>
        <v>40</v>
      </c>
      <c r="CX22" s="126">
        <f t="shared" si="23"/>
        <v>31</v>
      </c>
      <c r="CY22" s="126">
        <f t="shared" si="24"/>
        <v>0</v>
      </c>
      <c r="CZ22" s="47">
        <f t="shared" si="7"/>
        <v>329</v>
      </c>
      <c r="DC22" s="93" t="s">
        <v>37</v>
      </c>
      <c r="DD22" s="89">
        <f>FTC!E20</f>
        <v>0.29166666666666669</v>
      </c>
      <c r="DE22" s="89">
        <f>FTC!F20</f>
        <v>0.75</v>
      </c>
      <c r="DF22" s="90">
        <f t="shared" si="25"/>
        <v>7</v>
      </c>
      <c r="DG22" s="91">
        <f t="shared" si="26"/>
        <v>18</v>
      </c>
      <c r="DH22" s="91">
        <f t="shared" si="27"/>
        <v>11</v>
      </c>
    </row>
    <row r="23" spans="1:112" x14ac:dyDescent="0.35">
      <c r="A23" s="43" t="s">
        <v>38</v>
      </c>
      <c r="B23" s="47">
        <v>2</v>
      </c>
      <c r="C23" s="47">
        <v>1</v>
      </c>
      <c r="D23" s="47">
        <v>2</v>
      </c>
      <c r="E23" s="47">
        <v>3</v>
      </c>
      <c r="F23" s="47">
        <v>2</v>
      </c>
      <c r="G23" s="47">
        <v>10</v>
      </c>
      <c r="H23" s="47">
        <v>48</v>
      </c>
      <c r="I23" s="47">
        <v>63</v>
      </c>
      <c r="J23" s="47">
        <v>68</v>
      </c>
      <c r="K23" s="47">
        <v>48</v>
      </c>
      <c r="L23" s="47">
        <v>58</v>
      </c>
      <c r="M23" s="47">
        <v>33</v>
      </c>
      <c r="N23" s="47">
        <v>42</v>
      </c>
      <c r="O23" s="47">
        <v>29</v>
      </c>
      <c r="P23" s="47">
        <v>23</v>
      </c>
      <c r="Q23" s="47">
        <v>20</v>
      </c>
      <c r="R23" s="47">
        <v>14</v>
      </c>
      <c r="S23" s="47">
        <v>16</v>
      </c>
      <c r="T23" s="47">
        <v>6</v>
      </c>
      <c r="U23" s="47">
        <v>10</v>
      </c>
      <c r="V23" s="47">
        <v>2</v>
      </c>
      <c r="W23" s="47">
        <v>4</v>
      </c>
      <c r="X23" s="47">
        <v>8</v>
      </c>
      <c r="Y23" s="47">
        <v>3</v>
      </c>
      <c r="Z23" s="47">
        <f t="shared" si="0"/>
        <v>515</v>
      </c>
      <c r="AC23" s="43" t="s">
        <v>38</v>
      </c>
      <c r="AD23" s="47">
        <f>ROUND(IF(AD$3&lt;$DF23,0,
IF(AD$3=$DF23+'Model Setup'!$B$7,SUMIF($AD$3:$BA$3,"="&amp;$DF23+'Model Setup'!$B$7,$B23:$Y23)+'Model Setup'!$B$8*(SUMIF($AD$3:$BA$3,"&lt;"&amp;$DF23,$B23:$Y23)+SUMIF($AD$3:$BA$3,"&gt;="&amp;$DG23,$B23:$Y23)),
IF(AD$3=$DF23+'Model Setup'!$C$7,SUMIF($AD$3:$BA$3,"="&amp;$DF23+'Model Setup'!$C$7,$B23:$Y23)+'Model Setup'!$C$8*(SUMIF($AD$3:$BA$3,"&lt;"&amp;$DF23,$B23:$Y23)+SUMIF($AD$3:$BA$3,"&gt;="&amp;$DG23,$B23:$Y23)),
IF(AD$3=$DF23+'Model Setup'!$D$7,SUMIF($AD$3:$BA$3,"="&amp;$DF23+'Model Setup'!$D$7,$B23:$Y23)+'Model Setup'!$D$8*(SUMIF($AD$3:$BA$3,"&lt;"&amp;$DF23,$B23:$Y23)+SUMIF($AD$3:$BA$3,"&gt;="&amp;$DG23,$B23:$Y23)),
IF(AD$3=$DF23+'Model Setup'!$E$7,SUMIF($AD$3:$BA$3,"="&amp;$DF23+'Model Setup'!$E$7,$B23:$Y23)+'Model Setup'!$E$8*(SUMIF($AD$3:$BA$3,"&lt;"&amp;$DF23,$B23:$Y23)+SUMIF($AD$3:$BA$3,"&gt;="&amp;$DG23,$B23:$Y23)),
IF(AD$3=$DF23+'Model Setup'!$F$7,SUMIF($AD$3:$BA$3,"="&amp;$DF23+'Model Setup'!$F$7,$B23:$Y23)+'Model Setup'!$F$8*(SUMIF($AD$3:$BA$3,"&lt;"&amp;$DF23,$B23:$Y23)+SUMIF($AD$3:$BA$3,"&gt;="&amp;$DG23,$B23:$Y23)),
IF(AD$3=$DF23+'Model Setup'!$G$7,SUMIF($AD$3:$BA$3,"="&amp;$DF23+'Model Setup'!$G$7,$B23:$Y23)+'Model Setup'!$G$8*(SUMIF($AD$3:$BA$3,"&lt;"&amp;$DF23,$B23:$Y23)+SUMIF($AD$3:$BA$3,"&gt;="&amp;$DG23,$B23:$Y23)),
IF(AD$3=$DF23+'Model Setup'!$H$7,SUMIF($AD$3:$BA$3,"="&amp;$DF23+'Model Setup'!$H$7,$B23:$Y23)+'Model Setup'!$H$8*(SUMIF($AD$3:$BA$3,"&lt;"&amp;$DF23,$B23:$Y23)+SUMIF($AD$3:$BA$3,"&gt;="&amp;$DG23,$B23:$Y23)),
IF(AD$3=$DF23+'Model Setup'!$I$7,SUMIF($AD$3:$BA$3,"="&amp;$DF23+'Model Setup'!$I$7,$B23:$Y23)+'Model Setup'!$I$8*(SUMIF($AD$3:$BA$3,"&lt;"&amp;$DF23,$B23:$Y23)+SUMIF($AD$3:$BA$3,"&gt;="&amp;$DG23,$B23:$Y23)),
IF(AD$3=$DF23+'Model Setup'!$J$7,SUMIF($AD$3:$BA$3,"="&amp;$DF23+'Model Setup'!$J$7,$B23:$Y23)+'Model Setup'!$J$8*(SUMIF($AD$3:$BA$3,"&lt;"&amp;$DF23,$B23:$Y23)+SUMIF($AD$3:$BA$3,"&gt;="&amp;$DG23,$B23:$Y23)),
IF(AD$3=$DF23+'Model Setup'!$K$7,SUMIF($AD$3:$BA$3,"="&amp;$DF23+'Model Setup'!$K$7,$B23:$Y23)+'Model Setup'!$K$8*(SUMIF($AD$3:$BA$3,"&lt;"&amp;$DF23,$B23:$Y23)+SUMIF($AD$3:$BA$3,"&gt;="&amp;$DG23,$B23:$Y23)),
IF(AD$3=$DF23+'Model Setup'!$L$7,SUMIF($AD$3:$BA$3,"="&amp;$DF23+'Model Setup'!$L$7,$B23:$Y23)+'Model Setup'!$L$8*(SUMIF($AD$3:$BA$3,"&lt;"&amp;$DF23,$B23:$Y23)+SUMIF($AD$3:$BA$3,"&gt;="&amp;$DG23,$B23:$Y23)),
IF(AD$3=$DF23+'Model Setup'!$M$7,SUMIF($AD$3:$BA$3,"="&amp;$DF23+'Model Setup'!$M$7,$B23:$Y23)+'Model Setup'!$M$8*(SUMIF($AD$3:$BA$3,"&lt;"&amp;$DF23,$B23:$Y23)+SUMIF($AD$3:$BA$3,"&gt;="&amp;$DG23,$B23:$Y23)),
IF(AD$3=$DF23+'Model Setup'!$N$7,SUMIF($AD$3:$BA$3,"="&amp;$DF23+'Model Setup'!$N$7,$B23:$Y23)+'Model Setup'!$N$8*(SUMIF($AD$3:$BA$3,"&lt;"&amp;$DF23,$B23:$Y23)+SUMIF($AD$3:$BA$3,"&gt;="&amp;$DG23,$B23:$Y23)),
IF(AD$3&lt;$DG23,B23,0))))))))))))))),0)</f>
        <v>0</v>
      </c>
      <c r="AE23" s="47">
        <f>ROUND(IF(AE$3&lt;$DF23,0,
IF(AE$3=$DF23+'Model Setup'!$B$7,SUMIF($AD$3:$BA$3,"="&amp;$DF23+'Model Setup'!$B$7,$B23:$Y23)+'Model Setup'!$B$8*(SUMIF($AD$3:$BA$3,"&lt;"&amp;$DF23,$B23:$Y23)+SUMIF($AD$3:$BA$3,"&gt;="&amp;$DG23,$B23:$Y23)),
IF(AE$3=$DF23+'Model Setup'!$C$7,SUMIF($AD$3:$BA$3,"="&amp;$DF23+'Model Setup'!$C$7,$B23:$Y23)+'Model Setup'!$C$8*(SUMIF($AD$3:$BA$3,"&lt;"&amp;$DF23,$B23:$Y23)+SUMIF($AD$3:$BA$3,"&gt;="&amp;$DG23,$B23:$Y23)),
IF(AE$3=$DF23+'Model Setup'!$D$7,SUMIF($AD$3:$BA$3,"="&amp;$DF23+'Model Setup'!$D$7,$B23:$Y23)+'Model Setup'!$D$8*(SUMIF($AD$3:$BA$3,"&lt;"&amp;$DF23,$B23:$Y23)+SUMIF($AD$3:$BA$3,"&gt;="&amp;$DG23,$B23:$Y23)),
IF(AE$3=$DF23+'Model Setup'!$E$7,SUMIF($AD$3:$BA$3,"="&amp;$DF23+'Model Setup'!$E$7,$B23:$Y23)+'Model Setup'!$E$8*(SUMIF($AD$3:$BA$3,"&lt;"&amp;$DF23,$B23:$Y23)+SUMIF($AD$3:$BA$3,"&gt;="&amp;$DG23,$B23:$Y23)),
IF(AE$3=$DF23+'Model Setup'!$F$7,SUMIF($AD$3:$BA$3,"="&amp;$DF23+'Model Setup'!$F$7,$B23:$Y23)+'Model Setup'!$F$8*(SUMIF($AD$3:$BA$3,"&lt;"&amp;$DF23,$B23:$Y23)+SUMIF($AD$3:$BA$3,"&gt;="&amp;$DG23,$B23:$Y23)),
IF(AE$3=$DF23+'Model Setup'!$G$7,SUMIF($AD$3:$BA$3,"="&amp;$DF23+'Model Setup'!$G$7,$B23:$Y23)+'Model Setup'!$G$8*(SUMIF($AD$3:$BA$3,"&lt;"&amp;$DF23,$B23:$Y23)+SUMIF($AD$3:$BA$3,"&gt;="&amp;$DG23,$B23:$Y23)),
IF(AE$3=$DF23+'Model Setup'!$H$7,SUMIF($AD$3:$BA$3,"="&amp;$DF23+'Model Setup'!$H$7,$B23:$Y23)+'Model Setup'!$H$8*(SUMIF($AD$3:$BA$3,"&lt;"&amp;$DF23,$B23:$Y23)+SUMIF($AD$3:$BA$3,"&gt;="&amp;$DG23,$B23:$Y23)),
IF(AE$3=$DF23+'Model Setup'!$I$7,SUMIF($AD$3:$BA$3,"="&amp;$DF23+'Model Setup'!$I$7,$B23:$Y23)+'Model Setup'!$I$8*(SUMIF($AD$3:$BA$3,"&lt;"&amp;$DF23,$B23:$Y23)+SUMIF($AD$3:$BA$3,"&gt;="&amp;$DG23,$B23:$Y23)),
IF(AE$3=$DF23+'Model Setup'!$J$7,SUMIF($AD$3:$BA$3,"="&amp;$DF23+'Model Setup'!$J$7,$B23:$Y23)+'Model Setup'!$J$8*(SUMIF($AD$3:$BA$3,"&lt;"&amp;$DF23,$B23:$Y23)+SUMIF($AD$3:$BA$3,"&gt;="&amp;$DG23,$B23:$Y23)),
IF(AE$3=$DF23+'Model Setup'!$K$7,SUMIF($AD$3:$BA$3,"="&amp;$DF23+'Model Setup'!$K$7,$B23:$Y23)+'Model Setup'!$K$8*(SUMIF($AD$3:$BA$3,"&lt;"&amp;$DF23,$B23:$Y23)+SUMIF($AD$3:$BA$3,"&gt;="&amp;$DG23,$B23:$Y23)),
IF(AE$3=$DF23+'Model Setup'!$L$7,SUMIF($AD$3:$BA$3,"="&amp;$DF23+'Model Setup'!$L$7,$B23:$Y23)+'Model Setup'!$L$8*(SUMIF($AD$3:$BA$3,"&lt;"&amp;$DF23,$B23:$Y23)+SUMIF($AD$3:$BA$3,"&gt;="&amp;$DG23,$B23:$Y23)),
IF(AE$3=$DF23+'Model Setup'!$M$7,SUMIF($AD$3:$BA$3,"="&amp;$DF23+'Model Setup'!$M$7,$B23:$Y23)+'Model Setup'!$M$8*(SUMIF($AD$3:$BA$3,"&lt;"&amp;$DF23,$B23:$Y23)+SUMIF($AD$3:$BA$3,"&gt;="&amp;$DG23,$B23:$Y23)),
IF(AE$3=$DF23+'Model Setup'!$N$7,SUMIF($AD$3:$BA$3,"="&amp;$DF23+'Model Setup'!$N$7,$B23:$Y23)+'Model Setup'!$N$8*(SUMIF($AD$3:$BA$3,"&lt;"&amp;$DF23,$B23:$Y23)+SUMIF($AD$3:$BA$3,"&gt;="&amp;$DG23,$B23:$Y23)),
IF(AE$3&lt;$DG23,C23,0))))))))))))))),0)</f>
        <v>0</v>
      </c>
      <c r="AF23" s="47">
        <f>ROUND(IF(AF$3&lt;$DF23,0,
IF(AF$3=$DF23+'Model Setup'!$B$7,SUMIF($AD$3:$BA$3,"="&amp;$DF23+'Model Setup'!$B$7,$B23:$Y23)+'Model Setup'!$B$8*(SUMIF($AD$3:$BA$3,"&lt;"&amp;$DF23,$B23:$Y23)+SUMIF($AD$3:$BA$3,"&gt;="&amp;$DG23,$B23:$Y23)),
IF(AF$3=$DF23+'Model Setup'!$C$7,SUMIF($AD$3:$BA$3,"="&amp;$DF23+'Model Setup'!$C$7,$B23:$Y23)+'Model Setup'!$C$8*(SUMIF($AD$3:$BA$3,"&lt;"&amp;$DF23,$B23:$Y23)+SUMIF($AD$3:$BA$3,"&gt;="&amp;$DG23,$B23:$Y23)),
IF(AF$3=$DF23+'Model Setup'!$D$7,SUMIF($AD$3:$BA$3,"="&amp;$DF23+'Model Setup'!$D$7,$B23:$Y23)+'Model Setup'!$D$8*(SUMIF($AD$3:$BA$3,"&lt;"&amp;$DF23,$B23:$Y23)+SUMIF($AD$3:$BA$3,"&gt;="&amp;$DG23,$B23:$Y23)),
IF(AF$3=$DF23+'Model Setup'!$E$7,SUMIF($AD$3:$BA$3,"="&amp;$DF23+'Model Setup'!$E$7,$B23:$Y23)+'Model Setup'!$E$8*(SUMIF($AD$3:$BA$3,"&lt;"&amp;$DF23,$B23:$Y23)+SUMIF($AD$3:$BA$3,"&gt;="&amp;$DG23,$B23:$Y23)),
IF(AF$3=$DF23+'Model Setup'!$F$7,SUMIF($AD$3:$BA$3,"="&amp;$DF23+'Model Setup'!$F$7,$B23:$Y23)+'Model Setup'!$F$8*(SUMIF($AD$3:$BA$3,"&lt;"&amp;$DF23,$B23:$Y23)+SUMIF($AD$3:$BA$3,"&gt;="&amp;$DG23,$B23:$Y23)),
IF(AF$3=$DF23+'Model Setup'!$G$7,SUMIF($AD$3:$BA$3,"="&amp;$DF23+'Model Setup'!$G$7,$B23:$Y23)+'Model Setup'!$G$8*(SUMIF($AD$3:$BA$3,"&lt;"&amp;$DF23,$B23:$Y23)+SUMIF($AD$3:$BA$3,"&gt;="&amp;$DG23,$B23:$Y23)),
IF(AF$3=$DF23+'Model Setup'!$H$7,SUMIF($AD$3:$BA$3,"="&amp;$DF23+'Model Setup'!$H$7,$B23:$Y23)+'Model Setup'!$H$8*(SUMIF($AD$3:$BA$3,"&lt;"&amp;$DF23,$B23:$Y23)+SUMIF($AD$3:$BA$3,"&gt;="&amp;$DG23,$B23:$Y23)),
IF(AF$3=$DF23+'Model Setup'!$I$7,SUMIF($AD$3:$BA$3,"="&amp;$DF23+'Model Setup'!$I$7,$B23:$Y23)+'Model Setup'!$I$8*(SUMIF($AD$3:$BA$3,"&lt;"&amp;$DF23,$B23:$Y23)+SUMIF($AD$3:$BA$3,"&gt;="&amp;$DG23,$B23:$Y23)),
IF(AF$3=$DF23+'Model Setup'!$J$7,SUMIF($AD$3:$BA$3,"="&amp;$DF23+'Model Setup'!$J$7,$B23:$Y23)+'Model Setup'!$J$8*(SUMIF($AD$3:$BA$3,"&lt;"&amp;$DF23,$B23:$Y23)+SUMIF($AD$3:$BA$3,"&gt;="&amp;$DG23,$B23:$Y23)),
IF(AF$3=$DF23+'Model Setup'!$K$7,SUMIF($AD$3:$BA$3,"="&amp;$DF23+'Model Setup'!$K$7,$B23:$Y23)+'Model Setup'!$K$8*(SUMIF($AD$3:$BA$3,"&lt;"&amp;$DF23,$B23:$Y23)+SUMIF($AD$3:$BA$3,"&gt;="&amp;$DG23,$B23:$Y23)),
IF(AF$3=$DF23+'Model Setup'!$L$7,SUMIF($AD$3:$BA$3,"="&amp;$DF23+'Model Setup'!$L$7,$B23:$Y23)+'Model Setup'!$L$8*(SUMIF($AD$3:$BA$3,"&lt;"&amp;$DF23,$B23:$Y23)+SUMIF($AD$3:$BA$3,"&gt;="&amp;$DG23,$B23:$Y23)),
IF(AF$3=$DF23+'Model Setup'!$M$7,SUMIF($AD$3:$BA$3,"="&amp;$DF23+'Model Setup'!$M$7,$B23:$Y23)+'Model Setup'!$M$8*(SUMIF($AD$3:$BA$3,"&lt;"&amp;$DF23,$B23:$Y23)+SUMIF($AD$3:$BA$3,"&gt;="&amp;$DG23,$B23:$Y23)),
IF(AF$3=$DF23+'Model Setup'!$N$7,SUMIF($AD$3:$BA$3,"="&amp;$DF23+'Model Setup'!$N$7,$B23:$Y23)+'Model Setup'!$N$8*(SUMIF($AD$3:$BA$3,"&lt;"&amp;$DF23,$B23:$Y23)+SUMIF($AD$3:$BA$3,"&gt;="&amp;$DG23,$B23:$Y23)),
IF(AF$3&lt;$DG23,D23,0))))))))))))))),0)</f>
        <v>0</v>
      </c>
      <c r="AG23" s="47">
        <f>ROUND(IF(AG$3&lt;$DF23,0,
IF(AG$3=$DF23+'Model Setup'!$B$7,SUMIF($AD$3:$BA$3,"="&amp;$DF23+'Model Setup'!$B$7,$B23:$Y23)+'Model Setup'!$B$8*(SUMIF($AD$3:$BA$3,"&lt;"&amp;$DF23,$B23:$Y23)+SUMIF($AD$3:$BA$3,"&gt;="&amp;$DG23,$B23:$Y23)),
IF(AG$3=$DF23+'Model Setup'!$C$7,SUMIF($AD$3:$BA$3,"="&amp;$DF23+'Model Setup'!$C$7,$B23:$Y23)+'Model Setup'!$C$8*(SUMIF($AD$3:$BA$3,"&lt;"&amp;$DF23,$B23:$Y23)+SUMIF($AD$3:$BA$3,"&gt;="&amp;$DG23,$B23:$Y23)),
IF(AG$3=$DF23+'Model Setup'!$D$7,SUMIF($AD$3:$BA$3,"="&amp;$DF23+'Model Setup'!$D$7,$B23:$Y23)+'Model Setup'!$D$8*(SUMIF($AD$3:$BA$3,"&lt;"&amp;$DF23,$B23:$Y23)+SUMIF($AD$3:$BA$3,"&gt;="&amp;$DG23,$B23:$Y23)),
IF(AG$3=$DF23+'Model Setup'!$E$7,SUMIF($AD$3:$BA$3,"="&amp;$DF23+'Model Setup'!$E$7,$B23:$Y23)+'Model Setup'!$E$8*(SUMIF($AD$3:$BA$3,"&lt;"&amp;$DF23,$B23:$Y23)+SUMIF($AD$3:$BA$3,"&gt;="&amp;$DG23,$B23:$Y23)),
IF(AG$3=$DF23+'Model Setup'!$F$7,SUMIF($AD$3:$BA$3,"="&amp;$DF23+'Model Setup'!$F$7,$B23:$Y23)+'Model Setup'!$F$8*(SUMIF($AD$3:$BA$3,"&lt;"&amp;$DF23,$B23:$Y23)+SUMIF($AD$3:$BA$3,"&gt;="&amp;$DG23,$B23:$Y23)),
IF(AG$3=$DF23+'Model Setup'!$G$7,SUMIF($AD$3:$BA$3,"="&amp;$DF23+'Model Setup'!$G$7,$B23:$Y23)+'Model Setup'!$G$8*(SUMIF($AD$3:$BA$3,"&lt;"&amp;$DF23,$B23:$Y23)+SUMIF($AD$3:$BA$3,"&gt;="&amp;$DG23,$B23:$Y23)),
IF(AG$3=$DF23+'Model Setup'!$H$7,SUMIF($AD$3:$BA$3,"="&amp;$DF23+'Model Setup'!$H$7,$B23:$Y23)+'Model Setup'!$H$8*(SUMIF($AD$3:$BA$3,"&lt;"&amp;$DF23,$B23:$Y23)+SUMIF($AD$3:$BA$3,"&gt;="&amp;$DG23,$B23:$Y23)),
IF(AG$3=$DF23+'Model Setup'!$I$7,SUMIF($AD$3:$BA$3,"="&amp;$DF23+'Model Setup'!$I$7,$B23:$Y23)+'Model Setup'!$I$8*(SUMIF($AD$3:$BA$3,"&lt;"&amp;$DF23,$B23:$Y23)+SUMIF($AD$3:$BA$3,"&gt;="&amp;$DG23,$B23:$Y23)),
IF(AG$3=$DF23+'Model Setup'!$J$7,SUMIF($AD$3:$BA$3,"="&amp;$DF23+'Model Setup'!$J$7,$B23:$Y23)+'Model Setup'!$J$8*(SUMIF($AD$3:$BA$3,"&lt;"&amp;$DF23,$B23:$Y23)+SUMIF($AD$3:$BA$3,"&gt;="&amp;$DG23,$B23:$Y23)),
IF(AG$3=$DF23+'Model Setup'!$K$7,SUMIF($AD$3:$BA$3,"="&amp;$DF23+'Model Setup'!$K$7,$B23:$Y23)+'Model Setup'!$K$8*(SUMIF($AD$3:$BA$3,"&lt;"&amp;$DF23,$B23:$Y23)+SUMIF($AD$3:$BA$3,"&gt;="&amp;$DG23,$B23:$Y23)),
IF(AG$3=$DF23+'Model Setup'!$L$7,SUMIF($AD$3:$BA$3,"="&amp;$DF23+'Model Setup'!$L$7,$B23:$Y23)+'Model Setup'!$L$8*(SUMIF($AD$3:$BA$3,"&lt;"&amp;$DF23,$B23:$Y23)+SUMIF($AD$3:$BA$3,"&gt;="&amp;$DG23,$B23:$Y23)),
IF(AG$3=$DF23+'Model Setup'!$M$7,SUMIF($AD$3:$BA$3,"="&amp;$DF23+'Model Setup'!$M$7,$B23:$Y23)+'Model Setup'!$M$8*(SUMIF($AD$3:$BA$3,"&lt;"&amp;$DF23,$B23:$Y23)+SUMIF($AD$3:$BA$3,"&gt;="&amp;$DG23,$B23:$Y23)),
IF(AG$3=$DF23+'Model Setup'!$N$7,SUMIF($AD$3:$BA$3,"="&amp;$DF23+'Model Setup'!$N$7,$B23:$Y23)+'Model Setup'!$N$8*(SUMIF($AD$3:$BA$3,"&lt;"&amp;$DF23,$B23:$Y23)+SUMIF($AD$3:$BA$3,"&gt;="&amp;$DG23,$B23:$Y23)),
IF(AG$3&lt;$DG23,E23,0))))))))))))))),0)</f>
        <v>0</v>
      </c>
      <c r="AH23" s="47">
        <f>ROUND(IF(AH$3&lt;$DF23,0,
IF(AH$3=$DF23+'Model Setup'!$B$7,SUMIF($AD$3:$BA$3,"="&amp;$DF23+'Model Setup'!$B$7,$B23:$Y23)+'Model Setup'!$B$8*(SUMIF($AD$3:$BA$3,"&lt;"&amp;$DF23,$B23:$Y23)+SUMIF($AD$3:$BA$3,"&gt;="&amp;$DG23,$B23:$Y23)),
IF(AH$3=$DF23+'Model Setup'!$C$7,SUMIF($AD$3:$BA$3,"="&amp;$DF23+'Model Setup'!$C$7,$B23:$Y23)+'Model Setup'!$C$8*(SUMIF($AD$3:$BA$3,"&lt;"&amp;$DF23,$B23:$Y23)+SUMIF($AD$3:$BA$3,"&gt;="&amp;$DG23,$B23:$Y23)),
IF(AH$3=$DF23+'Model Setup'!$D$7,SUMIF($AD$3:$BA$3,"="&amp;$DF23+'Model Setup'!$D$7,$B23:$Y23)+'Model Setup'!$D$8*(SUMIF($AD$3:$BA$3,"&lt;"&amp;$DF23,$B23:$Y23)+SUMIF($AD$3:$BA$3,"&gt;="&amp;$DG23,$B23:$Y23)),
IF(AH$3=$DF23+'Model Setup'!$E$7,SUMIF($AD$3:$BA$3,"="&amp;$DF23+'Model Setup'!$E$7,$B23:$Y23)+'Model Setup'!$E$8*(SUMIF($AD$3:$BA$3,"&lt;"&amp;$DF23,$B23:$Y23)+SUMIF($AD$3:$BA$3,"&gt;="&amp;$DG23,$B23:$Y23)),
IF(AH$3=$DF23+'Model Setup'!$F$7,SUMIF($AD$3:$BA$3,"="&amp;$DF23+'Model Setup'!$F$7,$B23:$Y23)+'Model Setup'!$F$8*(SUMIF($AD$3:$BA$3,"&lt;"&amp;$DF23,$B23:$Y23)+SUMIF($AD$3:$BA$3,"&gt;="&amp;$DG23,$B23:$Y23)),
IF(AH$3=$DF23+'Model Setup'!$G$7,SUMIF($AD$3:$BA$3,"="&amp;$DF23+'Model Setup'!$G$7,$B23:$Y23)+'Model Setup'!$G$8*(SUMIF($AD$3:$BA$3,"&lt;"&amp;$DF23,$B23:$Y23)+SUMIF($AD$3:$BA$3,"&gt;="&amp;$DG23,$B23:$Y23)),
IF(AH$3=$DF23+'Model Setup'!$H$7,SUMIF($AD$3:$BA$3,"="&amp;$DF23+'Model Setup'!$H$7,$B23:$Y23)+'Model Setup'!$H$8*(SUMIF($AD$3:$BA$3,"&lt;"&amp;$DF23,$B23:$Y23)+SUMIF($AD$3:$BA$3,"&gt;="&amp;$DG23,$B23:$Y23)),
IF(AH$3=$DF23+'Model Setup'!$I$7,SUMIF($AD$3:$BA$3,"="&amp;$DF23+'Model Setup'!$I$7,$B23:$Y23)+'Model Setup'!$I$8*(SUMIF($AD$3:$BA$3,"&lt;"&amp;$DF23,$B23:$Y23)+SUMIF($AD$3:$BA$3,"&gt;="&amp;$DG23,$B23:$Y23)),
IF(AH$3=$DF23+'Model Setup'!$J$7,SUMIF($AD$3:$BA$3,"="&amp;$DF23+'Model Setup'!$J$7,$B23:$Y23)+'Model Setup'!$J$8*(SUMIF($AD$3:$BA$3,"&lt;"&amp;$DF23,$B23:$Y23)+SUMIF($AD$3:$BA$3,"&gt;="&amp;$DG23,$B23:$Y23)),
IF(AH$3=$DF23+'Model Setup'!$K$7,SUMIF($AD$3:$BA$3,"="&amp;$DF23+'Model Setup'!$K$7,$B23:$Y23)+'Model Setup'!$K$8*(SUMIF($AD$3:$BA$3,"&lt;"&amp;$DF23,$B23:$Y23)+SUMIF($AD$3:$BA$3,"&gt;="&amp;$DG23,$B23:$Y23)),
IF(AH$3=$DF23+'Model Setup'!$L$7,SUMIF($AD$3:$BA$3,"="&amp;$DF23+'Model Setup'!$L$7,$B23:$Y23)+'Model Setup'!$L$8*(SUMIF($AD$3:$BA$3,"&lt;"&amp;$DF23,$B23:$Y23)+SUMIF($AD$3:$BA$3,"&gt;="&amp;$DG23,$B23:$Y23)),
IF(AH$3=$DF23+'Model Setup'!$M$7,SUMIF($AD$3:$BA$3,"="&amp;$DF23+'Model Setup'!$M$7,$B23:$Y23)+'Model Setup'!$M$8*(SUMIF($AD$3:$BA$3,"&lt;"&amp;$DF23,$B23:$Y23)+SUMIF($AD$3:$BA$3,"&gt;="&amp;$DG23,$B23:$Y23)),
IF(AH$3=$DF23+'Model Setup'!$N$7,SUMIF($AD$3:$BA$3,"="&amp;$DF23+'Model Setup'!$N$7,$B23:$Y23)+'Model Setup'!$N$8*(SUMIF($AD$3:$BA$3,"&lt;"&amp;$DF23,$B23:$Y23)+SUMIF($AD$3:$BA$3,"&gt;="&amp;$DG23,$B23:$Y23)),
IF(AH$3&lt;$DG23,F23,0))))))))))))))),0)</f>
        <v>0</v>
      </c>
      <c r="AI23" s="47">
        <f>ROUND(IF(AI$3&lt;$DF23,0,
IF(AI$3=$DF23+'Model Setup'!$B$7,SUMIF($AD$3:$BA$3,"="&amp;$DF23+'Model Setup'!$B$7,$B23:$Y23)+'Model Setup'!$B$8*(SUMIF($AD$3:$BA$3,"&lt;"&amp;$DF23,$B23:$Y23)+SUMIF($AD$3:$BA$3,"&gt;="&amp;$DG23,$B23:$Y23)),
IF(AI$3=$DF23+'Model Setup'!$C$7,SUMIF($AD$3:$BA$3,"="&amp;$DF23+'Model Setup'!$C$7,$B23:$Y23)+'Model Setup'!$C$8*(SUMIF($AD$3:$BA$3,"&lt;"&amp;$DF23,$B23:$Y23)+SUMIF($AD$3:$BA$3,"&gt;="&amp;$DG23,$B23:$Y23)),
IF(AI$3=$DF23+'Model Setup'!$D$7,SUMIF($AD$3:$BA$3,"="&amp;$DF23+'Model Setup'!$D$7,$B23:$Y23)+'Model Setup'!$D$8*(SUMIF($AD$3:$BA$3,"&lt;"&amp;$DF23,$B23:$Y23)+SUMIF($AD$3:$BA$3,"&gt;="&amp;$DG23,$B23:$Y23)),
IF(AI$3=$DF23+'Model Setup'!$E$7,SUMIF($AD$3:$BA$3,"="&amp;$DF23+'Model Setup'!$E$7,$B23:$Y23)+'Model Setup'!$E$8*(SUMIF($AD$3:$BA$3,"&lt;"&amp;$DF23,$B23:$Y23)+SUMIF($AD$3:$BA$3,"&gt;="&amp;$DG23,$B23:$Y23)),
IF(AI$3=$DF23+'Model Setup'!$F$7,SUMIF($AD$3:$BA$3,"="&amp;$DF23+'Model Setup'!$F$7,$B23:$Y23)+'Model Setup'!$F$8*(SUMIF($AD$3:$BA$3,"&lt;"&amp;$DF23,$B23:$Y23)+SUMIF($AD$3:$BA$3,"&gt;="&amp;$DG23,$B23:$Y23)),
IF(AI$3=$DF23+'Model Setup'!$G$7,SUMIF($AD$3:$BA$3,"="&amp;$DF23+'Model Setup'!$G$7,$B23:$Y23)+'Model Setup'!$G$8*(SUMIF($AD$3:$BA$3,"&lt;"&amp;$DF23,$B23:$Y23)+SUMIF($AD$3:$BA$3,"&gt;="&amp;$DG23,$B23:$Y23)),
IF(AI$3=$DF23+'Model Setup'!$H$7,SUMIF($AD$3:$BA$3,"="&amp;$DF23+'Model Setup'!$H$7,$B23:$Y23)+'Model Setup'!$H$8*(SUMIF($AD$3:$BA$3,"&lt;"&amp;$DF23,$B23:$Y23)+SUMIF($AD$3:$BA$3,"&gt;="&amp;$DG23,$B23:$Y23)),
IF(AI$3=$DF23+'Model Setup'!$I$7,SUMIF($AD$3:$BA$3,"="&amp;$DF23+'Model Setup'!$I$7,$B23:$Y23)+'Model Setup'!$I$8*(SUMIF($AD$3:$BA$3,"&lt;"&amp;$DF23,$B23:$Y23)+SUMIF($AD$3:$BA$3,"&gt;="&amp;$DG23,$B23:$Y23)),
IF(AI$3=$DF23+'Model Setup'!$J$7,SUMIF($AD$3:$BA$3,"="&amp;$DF23+'Model Setup'!$J$7,$B23:$Y23)+'Model Setup'!$J$8*(SUMIF($AD$3:$BA$3,"&lt;"&amp;$DF23,$B23:$Y23)+SUMIF($AD$3:$BA$3,"&gt;="&amp;$DG23,$B23:$Y23)),
IF(AI$3=$DF23+'Model Setup'!$K$7,SUMIF($AD$3:$BA$3,"="&amp;$DF23+'Model Setup'!$K$7,$B23:$Y23)+'Model Setup'!$K$8*(SUMIF($AD$3:$BA$3,"&lt;"&amp;$DF23,$B23:$Y23)+SUMIF($AD$3:$BA$3,"&gt;="&amp;$DG23,$B23:$Y23)),
IF(AI$3=$DF23+'Model Setup'!$L$7,SUMIF($AD$3:$BA$3,"="&amp;$DF23+'Model Setup'!$L$7,$B23:$Y23)+'Model Setup'!$L$8*(SUMIF($AD$3:$BA$3,"&lt;"&amp;$DF23,$B23:$Y23)+SUMIF($AD$3:$BA$3,"&gt;="&amp;$DG23,$B23:$Y23)),
IF(AI$3=$DF23+'Model Setup'!$M$7,SUMIF($AD$3:$BA$3,"="&amp;$DF23+'Model Setup'!$M$7,$B23:$Y23)+'Model Setup'!$M$8*(SUMIF($AD$3:$BA$3,"&lt;"&amp;$DF23,$B23:$Y23)+SUMIF($AD$3:$BA$3,"&gt;="&amp;$DG23,$B23:$Y23)),
IF(AI$3=$DF23+'Model Setup'!$N$7,SUMIF($AD$3:$BA$3,"="&amp;$DF23+'Model Setup'!$N$7,$B23:$Y23)+'Model Setup'!$N$8*(SUMIF($AD$3:$BA$3,"&lt;"&amp;$DF23,$B23:$Y23)+SUMIF($AD$3:$BA$3,"&gt;="&amp;$DG23,$B23:$Y23)),
IF(AI$3&lt;$DG23,G23,0))))))))))))))),0)</f>
        <v>0</v>
      </c>
      <c r="AJ23" s="47">
        <f>ROUND(IF(AJ$3&lt;$DF23,0,
IF(AJ$3=$DF23+'Model Setup'!$B$7,SUMIF($AD$3:$BA$3,"="&amp;$DF23+'Model Setup'!$B$7,$B23:$Y23)+'Model Setup'!$B$8*(SUMIF($AD$3:$BA$3,"&lt;"&amp;$DF23,$B23:$Y23)+SUMIF($AD$3:$BA$3,"&gt;="&amp;$DG23,$B23:$Y23)),
IF(AJ$3=$DF23+'Model Setup'!$C$7,SUMIF($AD$3:$BA$3,"="&amp;$DF23+'Model Setup'!$C$7,$B23:$Y23)+'Model Setup'!$C$8*(SUMIF($AD$3:$BA$3,"&lt;"&amp;$DF23,$B23:$Y23)+SUMIF($AD$3:$BA$3,"&gt;="&amp;$DG23,$B23:$Y23)),
IF(AJ$3=$DF23+'Model Setup'!$D$7,SUMIF($AD$3:$BA$3,"="&amp;$DF23+'Model Setup'!$D$7,$B23:$Y23)+'Model Setup'!$D$8*(SUMIF($AD$3:$BA$3,"&lt;"&amp;$DF23,$B23:$Y23)+SUMIF($AD$3:$BA$3,"&gt;="&amp;$DG23,$B23:$Y23)),
IF(AJ$3=$DF23+'Model Setup'!$E$7,SUMIF($AD$3:$BA$3,"="&amp;$DF23+'Model Setup'!$E$7,$B23:$Y23)+'Model Setup'!$E$8*(SUMIF($AD$3:$BA$3,"&lt;"&amp;$DF23,$B23:$Y23)+SUMIF($AD$3:$BA$3,"&gt;="&amp;$DG23,$B23:$Y23)),
IF(AJ$3=$DF23+'Model Setup'!$F$7,SUMIF($AD$3:$BA$3,"="&amp;$DF23+'Model Setup'!$F$7,$B23:$Y23)+'Model Setup'!$F$8*(SUMIF($AD$3:$BA$3,"&lt;"&amp;$DF23,$B23:$Y23)+SUMIF($AD$3:$BA$3,"&gt;="&amp;$DG23,$B23:$Y23)),
IF(AJ$3=$DF23+'Model Setup'!$G$7,SUMIF($AD$3:$BA$3,"="&amp;$DF23+'Model Setup'!$G$7,$B23:$Y23)+'Model Setup'!$G$8*(SUMIF($AD$3:$BA$3,"&lt;"&amp;$DF23,$B23:$Y23)+SUMIF($AD$3:$BA$3,"&gt;="&amp;$DG23,$B23:$Y23)),
IF(AJ$3=$DF23+'Model Setup'!$H$7,SUMIF($AD$3:$BA$3,"="&amp;$DF23+'Model Setup'!$H$7,$B23:$Y23)+'Model Setup'!$H$8*(SUMIF($AD$3:$BA$3,"&lt;"&amp;$DF23,$B23:$Y23)+SUMIF($AD$3:$BA$3,"&gt;="&amp;$DG23,$B23:$Y23)),
IF(AJ$3=$DF23+'Model Setup'!$I$7,SUMIF($AD$3:$BA$3,"="&amp;$DF23+'Model Setup'!$I$7,$B23:$Y23)+'Model Setup'!$I$8*(SUMIF($AD$3:$BA$3,"&lt;"&amp;$DF23,$B23:$Y23)+SUMIF($AD$3:$BA$3,"&gt;="&amp;$DG23,$B23:$Y23)),
IF(AJ$3=$DF23+'Model Setup'!$J$7,SUMIF($AD$3:$BA$3,"="&amp;$DF23+'Model Setup'!$J$7,$B23:$Y23)+'Model Setup'!$J$8*(SUMIF($AD$3:$BA$3,"&lt;"&amp;$DF23,$B23:$Y23)+SUMIF($AD$3:$BA$3,"&gt;="&amp;$DG23,$B23:$Y23)),
IF(AJ$3=$DF23+'Model Setup'!$K$7,SUMIF($AD$3:$BA$3,"="&amp;$DF23+'Model Setup'!$K$7,$B23:$Y23)+'Model Setup'!$K$8*(SUMIF($AD$3:$BA$3,"&lt;"&amp;$DF23,$B23:$Y23)+SUMIF($AD$3:$BA$3,"&gt;="&amp;$DG23,$B23:$Y23)),
IF(AJ$3=$DF23+'Model Setup'!$L$7,SUMIF($AD$3:$BA$3,"="&amp;$DF23+'Model Setup'!$L$7,$B23:$Y23)+'Model Setup'!$L$8*(SUMIF($AD$3:$BA$3,"&lt;"&amp;$DF23,$B23:$Y23)+SUMIF($AD$3:$BA$3,"&gt;="&amp;$DG23,$B23:$Y23)),
IF(AJ$3=$DF23+'Model Setup'!$M$7,SUMIF($AD$3:$BA$3,"="&amp;$DF23+'Model Setup'!$M$7,$B23:$Y23)+'Model Setup'!$M$8*(SUMIF($AD$3:$BA$3,"&lt;"&amp;$DF23,$B23:$Y23)+SUMIF($AD$3:$BA$3,"&gt;="&amp;$DG23,$B23:$Y23)),
IF(AJ$3=$DF23+'Model Setup'!$N$7,SUMIF($AD$3:$BA$3,"="&amp;$DF23+'Model Setup'!$N$7,$B23:$Y23)+'Model Setup'!$N$8*(SUMIF($AD$3:$BA$3,"&lt;"&amp;$DF23,$B23:$Y23)+SUMIF($AD$3:$BA$3,"&gt;="&amp;$DG23,$B23:$Y23)),
IF(AJ$3&lt;$DG23,H23,0))))))))))))))),0)</f>
        <v>48</v>
      </c>
      <c r="AK23" s="47">
        <f>ROUND(IF(AK$3&lt;$DF23,0,
IF(AK$3=$DF23+'Model Setup'!$B$7,SUMIF($AD$3:$BA$3,"="&amp;$DF23+'Model Setup'!$B$7,$B23:$Y23)+'Model Setup'!$B$8*(SUMIF($AD$3:$BA$3,"&lt;"&amp;$DF23,$B23:$Y23)+SUMIF($AD$3:$BA$3,"&gt;="&amp;$DG23,$B23:$Y23)),
IF(AK$3=$DF23+'Model Setup'!$C$7,SUMIF($AD$3:$BA$3,"="&amp;$DF23+'Model Setup'!$C$7,$B23:$Y23)+'Model Setup'!$C$8*(SUMIF($AD$3:$BA$3,"&lt;"&amp;$DF23,$B23:$Y23)+SUMIF($AD$3:$BA$3,"&gt;="&amp;$DG23,$B23:$Y23)),
IF(AK$3=$DF23+'Model Setup'!$D$7,SUMIF($AD$3:$BA$3,"="&amp;$DF23+'Model Setup'!$D$7,$B23:$Y23)+'Model Setup'!$D$8*(SUMIF($AD$3:$BA$3,"&lt;"&amp;$DF23,$B23:$Y23)+SUMIF($AD$3:$BA$3,"&gt;="&amp;$DG23,$B23:$Y23)),
IF(AK$3=$DF23+'Model Setup'!$E$7,SUMIF($AD$3:$BA$3,"="&amp;$DF23+'Model Setup'!$E$7,$B23:$Y23)+'Model Setup'!$E$8*(SUMIF($AD$3:$BA$3,"&lt;"&amp;$DF23,$B23:$Y23)+SUMIF($AD$3:$BA$3,"&gt;="&amp;$DG23,$B23:$Y23)),
IF(AK$3=$DF23+'Model Setup'!$F$7,SUMIF($AD$3:$BA$3,"="&amp;$DF23+'Model Setup'!$F$7,$B23:$Y23)+'Model Setup'!$F$8*(SUMIF($AD$3:$BA$3,"&lt;"&amp;$DF23,$B23:$Y23)+SUMIF($AD$3:$BA$3,"&gt;="&amp;$DG23,$B23:$Y23)),
IF(AK$3=$DF23+'Model Setup'!$G$7,SUMIF($AD$3:$BA$3,"="&amp;$DF23+'Model Setup'!$G$7,$B23:$Y23)+'Model Setup'!$G$8*(SUMIF($AD$3:$BA$3,"&lt;"&amp;$DF23,$B23:$Y23)+SUMIF($AD$3:$BA$3,"&gt;="&amp;$DG23,$B23:$Y23)),
IF(AK$3=$DF23+'Model Setup'!$H$7,SUMIF($AD$3:$BA$3,"="&amp;$DF23+'Model Setup'!$H$7,$B23:$Y23)+'Model Setup'!$H$8*(SUMIF($AD$3:$BA$3,"&lt;"&amp;$DF23,$B23:$Y23)+SUMIF($AD$3:$BA$3,"&gt;="&amp;$DG23,$B23:$Y23)),
IF(AK$3=$DF23+'Model Setup'!$I$7,SUMIF($AD$3:$BA$3,"="&amp;$DF23+'Model Setup'!$I$7,$B23:$Y23)+'Model Setup'!$I$8*(SUMIF($AD$3:$BA$3,"&lt;"&amp;$DF23,$B23:$Y23)+SUMIF($AD$3:$BA$3,"&gt;="&amp;$DG23,$B23:$Y23)),
IF(AK$3=$DF23+'Model Setup'!$J$7,SUMIF($AD$3:$BA$3,"="&amp;$DF23+'Model Setup'!$J$7,$B23:$Y23)+'Model Setup'!$J$8*(SUMIF($AD$3:$BA$3,"&lt;"&amp;$DF23,$B23:$Y23)+SUMIF($AD$3:$BA$3,"&gt;="&amp;$DG23,$B23:$Y23)),
IF(AK$3=$DF23+'Model Setup'!$K$7,SUMIF($AD$3:$BA$3,"="&amp;$DF23+'Model Setup'!$K$7,$B23:$Y23)+'Model Setup'!$K$8*(SUMIF($AD$3:$BA$3,"&lt;"&amp;$DF23,$B23:$Y23)+SUMIF($AD$3:$BA$3,"&gt;="&amp;$DG23,$B23:$Y23)),
IF(AK$3=$DF23+'Model Setup'!$L$7,SUMIF($AD$3:$BA$3,"="&amp;$DF23+'Model Setup'!$L$7,$B23:$Y23)+'Model Setup'!$L$8*(SUMIF($AD$3:$BA$3,"&lt;"&amp;$DF23,$B23:$Y23)+SUMIF($AD$3:$BA$3,"&gt;="&amp;$DG23,$B23:$Y23)),
IF(AK$3=$DF23+'Model Setup'!$M$7,SUMIF($AD$3:$BA$3,"="&amp;$DF23+'Model Setup'!$M$7,$B23:$Y23)+'Model Setup'!$M$8*(SUMIF($AD$3:$BA$3,"&lt;"&amp;$DF23,$B23:$Y23)+SUMIF($AD$3:$BA$3,"&gt;="&amp;$DG23,$B23:$Y23)),
IF(AK$3=$DF23+'Model Setup'!$N$7,SUMIF($AD$3:$BA$3,"="&amp;$DF23+'Model Setup'!$N$7,$B23:$Y23)+'Model Setup'!$N$8*(SUMIF($AD$3:$BA$3,"&lt;"&amp;$DF23,$B23:$Y23)+SUMIF($AD$3:$BA$3,"&gt;="&amp;$DG23,$B23:$Y23)),
IF(AK$3&lt;$DG23,I23,0))))))))))))))),0)</f>
        <v>63</v>
      </c>
      <c r="AL23" s="47">
        <f>ROUND(IF(AL$3&lt;$DF23,0,
IF(AL$3=$DF23+'Model Setup'!$B$7,SUMIF($AD$3:$BA$3,"="&amp;$DF23+'Model Setup'!$B$7,$B23:$Y23)+'Model Setup'!$B$8*(SUMIF($AD$3:$BA$3,"&lt;"&amp;$DF23,$B23:$Y23)+SUMIF($AD$3:$BA$3,"&gt;="&amp;$DG23,$B23:$Y23)),
IF(AL$3=$DF23+'Model Setup'!$C$7,SUMIF($AD$3:$BA$3,"="&amp;$DF23+'Model Setup'!$C$7,$B23:$Y23)+'Model Setup'!$C$8*(SUMIF($AD$3:$BA$3,"&lt;"&amp;$DF23,$B23:$Y23)+SUMIF($AD$3:$BA$3,"&gt;="&amp;$DG23,$B23:$Y23)),
IF(AL$3=$DF23+'Model Setup'!$D$7,SUMIF($AD$3:$BA$3,"="&amp;$DF23+'Model Setup'!$D$7,$B23:$Y23)+'Model Setup'!$D$8*(SUMIF($AD$3:$BA$3,"&lt;"&amp;$DF23,$B23:$Y23)+SUMIF($AD$3:$BA$3,"&gt;="&amp;$DG23,$B23:$Y23)),
IF(AL$3=$DF23+'Model Setup'!$E$7,SUMIF($AD$3:$BA$3,"="&amp;$DF23+'Model Setup'!$E$7,$B23:$Y23)+'Model Setup'!$E$8*(SUMIF($AD$3:$BA$3,"&lt;"&amp;$DF23,$B23:$Y23)+SUMIF($AD$3:$BA$3,"&gt;="&amp;$DG23,$B23:$Y23)),
IF(AL$3=$DF23+'Model Setup'!$F$7,SUMIF($AD$3:$BA$3,"="&amp;$DF23+'Model Setup'!$F$7,$B23:$Y23)+'Model Setup'!$F$8*(SUMIF($AD$3:$BA$3,"&lt;"&amp;$DF23,$B23:$Y23)+SUMIF($AD$3:$BA$3,"&gt;="&amp;$DG23,$B23:$Y23)),
IF(AL$3=$DF23+'Model Setup'!$G$7,SUMIF($AD$3:$BA$3,"="&amp;$DF23+'Model Setup'!$G$7,$B23:$Y23)+'Model Setup'!$G$8*(SUMIF($AD$3:$BA$3,"&lt;"&amp;$DF23,$B23:$Y23)+SUMIF($AD$3:$BA$3,"&gt;="&amp;$DG23,$B23:$Y23)),
IF(AL$3=$DF23+'Model Setup'!$H$7,SUMIF($AD$3:$BA$3,"="&amp;$DF23+'Model Setup'!$H$7,$B23:$Y23)+'Model Setup'!$H$8*(SUMIF($AD$3:$BA$3,"&lt;"&amp;$DF23,$B23:$Y23)+SUMIF($AD$3:$BA$3,"&gt;="&amp;$DG23,$B23:$Y23)),
IF(AL$3=$DF23+'Model Setup'!$I$7,SUMIF($AD$3:$BA$3,"="&amp;$DF23+'Model Setup'!$I$7,$B23:$Y23)+'Model Setup'!$I$8*(SUMIF($AD$3:$BA$3,"&lt;"&amp;$DF23,$B23:$Y23)+SUMIF($AD$3:$BA$3,"&gt;="&amp;$DG23,$B23:$Y23)),
IF(AL$3=$DF23+'Model Setup'!$J$7,SUMIF($AD$3:$BA$3,"="&amp;$DF23+'Model Setup'!$J$7,$B23:$Y23)+'Model Setup'!$J$8*(SUMIF($AD$3:$BA$3,"&lt;"&amp;$DF23,$B23:$Y23)+SUMIF($AD$3:$BA$3,"&gt;="&amp;$DG23,$B23:$Y23)),
IF(AL$3=$DF23+'Model Setup'!$K$7,SUMIF($AD$3:$BA$3,"="&amp;$DF23+'Model Setup'!$K$7,$B23:$Y23)+'Model Setup'!$K$8*(SUMIF($AD$3:$BA$3,"&lt;"&amp;$DF23,$B23:$Y23)+SUMIF($AD$3:$BA$3,"&gt;="&amp;$DG23,$B23:$Y23)),
IF(AL$3=$DF23+'Model Setup'!$L$7,SUMIF($AD$3:$BA$3,"="&amp;$DF23+'Model Setup'!$L$7,$B23:$Y23)+'Model Setup'!$L$8*(SUMIF($AD$3:$BA$3,"&lt;"&amp;$DF23,$B23:$Y23)+SUMIF($AD$3:$BA$3,"&gt;="&amp;$DG23,$B23:$Y23)),
IF(AL$3=$DF23+'Model Setup'!$M$7,SUMIF($AD$3:$BA$3,"="&amp;$DF23+'Model Setup'!$M$7,$B23:$Y23)+'Model Setup'!$M$8*(SUMIF($AD$3:$BA$3,"&lt;"&amp;$DF23,$B23:$Y23)+SUMIF($AD$3:$BA$3,"&gt;="&amp;$DG23,$B23:$Y23)),
IF(AL$3=$DF23+'Model Setup'!$N$7,SUMIF($AD$3:$BA$3,"="&amp;$DF23+'Model Setup'!$N$7,$B23:$Y23)+'Model Setup'!$N$8*(SUMIF($AD$3:$BA$3,"&lt;"&amp;$DF23,$B23:$Y23)+SUMIF($AD$3:$BA$3,"&gt;="&amp;$DG23,$B23:$Y23)),
IF(AL$3&lt;$DG23,J23,0))))))))))))))),0)</f>
        <v>68</v>
      </c>
      <c r="AM23" s="47">
        <f>ROUND(IF(AM$3&lt;$DF23,0,
IF(AM$3=$DF23+'Model Setup'!$B$7,SUMIF($AD$3:$BA$3,"="&amp;$DF23+'Model Setup'!$B$7,$B23:$Y23)+'Model Setup'!$B$8*(SUMIF($AD$3:$BA$3,"&lt;"&amp;$DF23,$B23:$Y23)+SUMIF($AD$3:$BA$3,"&gt;="&amp;$DG23,$B23:$Y23)),
IF(AM$3=$DF23+'Model Setup'!$C$7,SUMIF($AD$3:$BA$3,"="&amp;$DF23+'Model Setup'!$C$7,$B23:$Y23)+'Model Setup'!$C$8*(SUMIF($AD$3:$BA$3,"&lt;"&amp;$DF23,$B23:$Y23)+SUMIF($AD$3:$BA$3,"&gt;="&amp;$DG23,$B23:$Y23)),
IF(AM$3=$DF23+'Model Setup'!$D$7,SUMIF($AD$3:$BA$3,"="&amp;$DF23+'Model Setup'!$D$7,$B23:$Y23)+'Model Setup'!$D$8*(SUMIF($AD$3:$BA$3,"&lt;"&amp;$DF23,$B23:$Y23)+SUMIF($AD$3:$BA$3,"&gt;="&amp;$DG23,$B23:$Y23)),
IF(AM$3=$DF23+'Model Setup'!$E$7,SUMIF($AD$3:$BA$3,"="&amp;$DF23+'Model Setup'!$E$7,$B23:$Y23)+'Model Setup'!$E$8*(SUMIF($AD$3:$BA$3,"&lt;"&amp;$DF23,$B23:$Y23)+SUMIF($AD$3:$BA$3,"&gt;="&amp;$DG23,$B23:$Y23)),
IF(AM$3=$DF23+'Model Setup'!$F$7,SUMIF($AD$3:$BA$3,"="&amp;$DF23+'Model Setup'!$F$7,$B23:$Y23)+'Model Setup'!$F$8*(SUMIF($AD$3:$BA$3,"&lt;"&amp;$DF23,$B23:$Y23)+SUMIF($AD$3:$BA$3,"&gt;="&amp;$DG23,$B23:$Y23)),
IF(AM$3=$DF23+'Model Setup'!$G$7,SUMIF($AD$3:$BA$3,"="&amp;$DF23+'Model Setup'!$G$7,$B23:$Y23)+'Model Setup'!$G$8*(SUMIF($AD$3:$BA$3,"&lt;"&amp;$DF23,$B23:$Y23)+SUMIF($AD$3:$BA$3,"&gt;="&amp;$DG23,$B23:$Y23)),
IF(AM$3=$DF23+'Model Setup'!$H$7,SUMIF($AD$3:$BA$3,"="&amp;$DF23+'Model Setup'!$H$7,$B23:$Y23)+'Model Setup'!$H$8*(SUMIF($AD$3:$BA$3,"&lt;"&amp;$DF23,$B23:$Y23)+SUMIF($AD$3:$BA$3,"&gt;="&amp;$DG23,$B23:$Y23)),
IF(AM$3=$DF23+'Model Setup'!$I$7,SUMIF($AD$3:$BA$3,"="&amp;$DF23+'Model Setup'!$I$7,$B23:$Y23)+'Model Setup'!$I$8*(SUMIF($AD$3:$BA$3,"&lt;"&amp;$DF23,$B23:$Y23)+SUMIF($AD$3:$BA$3,"&gt;="&amp;$DG23,$B23:$Y23)),
IF(AM$3=$DF23+'Model Setup'!$J$7,SUMIF($AD$3:$BA$3,"="&amp;$DF23+'Model Setup'!$J$7,$B23:$Y23)+'Model Setup'!$J$8*(SUMIF($AD$3:$BA$3,"&lt;"&amp;$DF23,$B23:$Y23)+SUMIF($AD$3:$BA$3,"&gt;="&amp;$DG23,$B23:$Y23)),
IF(AM$3=$DF23+'Model Setup'!$K$7,SUMIF($AD$3:$BA$3,"="&amp;$DF23+'Model Setup'!$K$7,$B23:$Y23)+'Model Setup'!$K$8*(SUMIF($AD$3:$BA$3,"&lt;"&amp;$DF23,$B23:$Y23)+SUMIF($AD$3:$BA$3,"&gt;="&amp;$DG23,$B23:$Y23)),
IF(AM$3=$DF23+'Model Setup'!$L$7,SUMIF($AD$3:$BA$3,"="&amp;$DF23+'Model Setup'!$L$7,$B23:$Y23)+'Model Setup'!$L$8*(SUMIF($AD$3:$BA$3,"&lt;"&amp;$DF23,$B23:$Y23)+SUMIF($AD$3:$BA$3,"&gt;="&amp;$DG23,$B23:$Y23)),
IF(AM$3=$DF23+'Model Setup'!$M$7,SUMIF($AD$3:$BA$3,"="&amp;$DF23+'Model Setup'!$M$7,$B23:$Y23)+'Model Setup'!$M$8*(SUMIF($AD$3:$BA$3,"&lt;"&amp;$DF23,$B23:$Y23)+SUMIF($AD$3:$BA$3,"&gt;="&amp;$DG23,$B23:$Y23)),
IF(AM$3=$DF23+'Model Setup'!$N$7,SUMIF($AD$3:$BA$3,"="&amp;$DF23+'Model Setup'!$N$7,$B23:$Y23)+'Model Setup'!$N$8*(SUMIF($AD$3:$BA$3,"&lt;"&amp;$DF23,$B23:$Y23)+SUMIF($AD$3:$BA$3,"&gt;="&amp;$DG23,$B23:$Y23)),
IF(AM$3&lt;$DG23,K23,0))))))))))))))),0)</f>
        <v>48</v>
      </c>
      <c r="AN23" s="47">
        <f>ROUND(IF(AN$3&lt;$DF23,0,
IF(AN$3=$DF23+'Model Setup'!$B$7,SUMIF($AD$3:$BA$3,"="&amp;$DF23+'Model Setup'!$B$7,$B23:$Y23)+'Model Setup'!$B$8*(SUMIF($AD$3:$BA$3,"&lt;"&amp;$DF23,$B23:$Y23)+SUMIF($AD$3:$BA$3,"&gt;="&amp;$DG23,$B23:$Y23)),
IF(AN$3=$DF23+'Model Setup'!$C$7,SUMIF($AD$3:$BA$3,"="&amp;$DF23+'Model Setup'!$C$7,$B23:$Y23)+'Model Setup'!$C$8*(SUMIF($AD$3:$BA$3,"&lt;"&amp;$DF23,$B23:$Y23)+SUMIF($AD$3:$BA$3,"&gt;="&amp;$DG23,$B23:$Y23)),
IF(AN$3=$DF23+'Model Setup'!$D$7,SUMIF($AD$3:$BA$3,"="&amp;$DF23+'Model Setup'!$D$7,$B23:$Y23)+'Model Setup'!$D$8*(SUMIF($AD$3:$BA$3,"&lt;"&amp;$DF23,$B23:$Y23)+SUMIF($AD$3:$BA$3,"&gt;="&amp;$DG23,$B23:$Y23)),
IF(AN$3=$DF23+'Model Setup'!$E$7,SUMIF($AD$3:$BA$3,"="&amp;$DF23+'Model Setup'!$E$7,$B23:$Y23)+'Model Setup'!$E$8*(SUMIF($AD$3:$BA$3,"&lt;"&amp;$DF23,$B23:$Y23)+SUMIF($AD$3:$BA$3,"&gt;="&amp;$DG23,$B23:$Y23)),
IF(AN$3=$DF23+'Model Setup'!$F$7,SUMIF($AD$3:$BA$3,"="&amp;$DF23+'Model Setup'!$F$7,$B23:$Y23)+'Model Setup'!$F$8*(SUMIF($AD$3:$BA$3,"&lt;"&amp;$DF23,$B23:$Y23)+SUMIF($AD$3:$BA$3,"&gt;="&amp;$DG23,$B23:$Y23)),
IF(AN$3=$DF23+'Model Setup'!$G$7,SUMIF($AD$3:$BA$3,"="&amp;$DF23+'Model Setup'!$G$7,$B23:$Y23)+'Model Setup'!$G$8*(SUMIF($AD$3:$BA$3,"&lt;"&amp;$DF23,$B23:$Y23)+SUMIF($AD$3:$BA$3,"&gt;="&amp;$DG23,$B23:$Y23)),
IF(AN$3=$DF23+'Model Setup'!$H$7,SUMIF($AD$3:$BA$3,"="&amp;$DF23+'Model Setup'!$H$7,$B23:$Y23)+'Model Setup'!$H$8*(SUMIF($AD$3:$BA$3,"&lt;"&amp;$DF23,$B23:$Y23)+SUMIF($AD$3:$BA$3,"&gt;="&amp;$DG23,$B23:$Y23)),
IF(AN$3=$DF23+'Model Setup'!$I$7,SUMIF($AD$3:$BA$3,"="&amp;$DF23+'Model Setup'!$I$7,$B23:$Y23)+'Model Setup'!$I$8*(SUMIF($AD$3:$BA$3,"&lt;"&amp;$DF23,$B23:$Y23)+SUMIF($AD$3:$BA$3,"&gt;="&amp;$DG23,$B23:$Y23)),
IF(AN$3=$DF23+'Model Setup'!$J$7,SUMIF($AD$3:$BA$3,"="&amp;$DF23+'Model Setup'!$J$7,$B23:$Y23)+'Model Setup'!$J$8*(SUMIF($AD$3:$BA$3,"&lt;"&amp;$DF23,$B23:$Y23)+SUMIF($AD$3:$BA$3,"&gt;="&amp;$DG23,$B23:$Y23)),
IF(AN$3=$DF23+'Model Setup'!$K$7,SUMIF($AD$3:$BA$3,"="&amp;$DF23+'Model Setup'!$K$7,$B23:$Y23)+'Model Setup'!$K$8*(SUMIF($AD$3:$BA$3,"&lt;"&amp;$DF23,$B23:$Y23)+SUMIF($AD$3:$BA$3,"&gt;="&amp;$DG23,$B23:$Y23)),
IF(AN$3=$DF23+'Model Setup'!$L$7,SUMIF($AD$3:$BA$3,"="&amp;$DF23+'Model Setup'!$L$7,$B23:$Y23)+'Model Setup'!$L$8*(SUMIF($AD$3:$BA$3,"&lt;"&amp;$DF23,$B23:$Y23)+SUMIF($AD$3:$BA$3,"&gt;="&amp;$DG23,$B23:$Y23)),
IF(AN$3=$DF23+'Model Setup'!$M$7,SUMIF($AD$3:$BA$3,"="&amp;$DF23+'Model Setup'!$M$7,$B23:$Y23)+'Model Setup'!$M$8*(SUMIF($AD$3:$BA$3,"&lt;"&amp;$DF23,$B23:$Y23)+SUMIF($AD$3:$BA$3,"&gt;="&amp;$DG23,$B23:$Y23)),
IF(AN$3=$DF23+'Model Setup'!$N$7,SUMIF($AD$3:$BA$3,"="&amp;$DF23+'Model Setup'!$N$7,$B23:$Y23)+'Model Setup'!$N$8*(SUMIF($AD$3:$BA$3,"&lt;"&amp;$DF23,$B23:$Y23)+SUMIF($AD$3:$BA$3,"&gt;="&amp;$DG23,$B23:$Y23)),
IF(AN$3&lt;$DG23,L23,0))))))))))))))),0)</f>
        <v>58</v>
      </c>
      <c r="AO23" s="47">
        <f>ROUND(IF(AO$3&lt;$DF23,0,
IF(AO$3=$DF23+'Model Setup'!$B$7,SUMIF($AD$3:$BA$3,"="&amp;$DF23+'Model Setup'!$B$7,$B23:$Y23)+'Model Setup'!$B$8*(SUMIF($AD$3:$BA$3,"&lt;"&amp;$DF23,$B23:$Y23)+SUMIF($AD$3:$BA$3,"&gt;="&amp;$DG23,$B23:$Y23)),
IF(AO$3=$DF23+'Model Setup'!$C$7,SUMIF($AD$3:$BA$3,"="&amp;$DF23+'Model Setup'!$C$7,$B23:$Y23)+'Model Setup'!$C$8*(SUMIF($AD$3:$BA$3,"&lt;"&amp;$DF23,$B23:$Y23)+SUMIF($AD$3:$BA$3,"&gt;="&amp;$DG23,$B23:$Y23)),
IF(AO$3=$DF23+'Model Setup'!$D$7,SUMIF($AD$3:$BA$3,"="&amp;$DF23+'Model Setup'!$D$7,$B23:$Y23)+'Model Setup'!$D$8*(SUMIF($AD$3:$BA$3,"&lt;"&amp;$DF23,$B23:$Y23)+SUMIF($AD$3:$BA$3,"&gt;="&amp;$DG23,$B23:$Y23)),
IF(AO$3=$DF23+'Model Setup'!$E$7,SUMIF($AD$3:$BA$3,"="&amp;$DF23+'Model Setup'!$E$7,$B23:$Y23)+'Model Setup'!$E$8*(SUMIF($AD$3:$BA$3,"&lt;"&amp;$DF23,$B23:$Y23)+SUMIF($AD$3:$BA$3,"&gt;="&amp;$DG23,$B23:$Y23)),
IF(AO$3=$DF23+'Model Setup'!$F$7,SUMIF($AD$3:$BA$3,"="&amp;$DF23+'Model Setup'!$F$7,$B23:$Y23)+'Model Setup'!$F$8*(SUMIF($AD$3:$BA$3,"&lt;"&amp;$DF23,$B23:$Y23)+SUMIF($AD$3:$BA$3,"&gt;="&amp;$DG23,$B23:$Y23)),
IF(AO$3=$DF23+'Model Setup'!$G$7,SUMIF($AD$3:$BA$3,"="&amp;$DF23+'Model Setup'!$G$7,$B23:$Y23)+'Model Setup'!$G$8*(SUMIF($AD$3:$BA$3,"&lt;"&amp;$DF23,$B23:$Y23)+SUMIF($AD$3:$BA$3,"&gt;="&amp;$DG23,$B23:$Y23)),
IF(AO$3=$DF23+'Model Setup'!$H$7,SUMIF($AD$3:$BA$3,"="&amp;$DF23+'Model Setup'!$H$7,$B23:$Y23)+'Model Setup'!$H$8*(SUMIF($AD$3:$BA$3,"&lt;"&amp;$DF23,$B23:$Y23)+SUMIF($AD$3:$BA$3,"&gt;="&amp;$DG23,$B23:$Y23)),
IF(AO$3=$DF23+'Model Setup'!$I$7,SUMIF($AD$3:$BA$3,"="&amp;$DF23+'Model Setup'!$I$7,$B23:$Y23)+'Model Setup'!$I$8*(SUMIF($AD$3:$BA$3,"&lt;"&amp;$DF23,$B23:$Y23)+SUMIF($AD$3:$BA$3,"&gt;="&amp;$DG23,$B23:$Y23)),
IF(AO$3=$DF23+'Model Setup'!$J$7,SUMIF($AD$3:$BA$3,"="&amp;$DF23+'Model Setup'!$J$7,$B23:$Y23)+'Model Setup'!$J$8*(SUMIF($AD$3:$BA$3,"&lt;"&amp;$DF23,$B23:$Y23)+SUMIF($AD$3:$BA$3,"&gt;="&amp;$DG23,$B23:$Y23)),
IF(AO$3=$DF23+'Model Setup'!$K$7,SUMIF($AD$3:$BA$3,"="&amp;$DF23+'Model Setup'!$K$7,$B23:$Y23)+'Model Setup'!$K$8*(SUMIF($AD$3:$BA$3,"&lt;"&amp;$DF23,$B23:$Y23)+SUMIF($AD$3:$BA$3,"&gt;="&amp;$DG23,$B23:$Y23)),
IF(AO$3=$DF23+'Model Setup'!$L$7,SUMIF($AD$3:$BA$3,"="&amp;$DF23+'Model Setup'!$L$7,$B23:$Y23)+'Model Setup'!$L$8*(SUMIF($AD$3:$BA$3,"&lt;"&amp;$DF23,$B23:$Y23)+SUMIF($AD$3:$BA$3,"&gt;="&amp;$DG23,$B23:$Y23)),
IF(AO$3=$DF23+'Model Setup'!$M$7,SUMIF($AD$3:$BA$3,"="&amp;$DF23+'Model Setup'!$M$7,$B23:$Y23)+'Model Setup'!$M$8*(SUMIF($AD$3:$BA$3,"&lt;"&amp;$DF23,$B23:$Y23)+SUMIF($AD$3:$BA$3,"&gt;="&amp;$DG23,$B23:$Y23)),
IF(AO$3=$DF23+'Model Setup'!$N$7,SUMIF($AD$3:$BA$3,"="&amp;$DF23+'Model Setup'!$N$7,$B23:$Y23)+'Model Setup'!$N$8*(SUMIF($AD$3:$BA$3,"&lt;"&amp;$DF23,$B23:$Y23)+SUMIF($AD$3:$BA$3,"&gt;="&amp;$DG23,$B23:$Y23)),
IF(AO$3&lt;$DG23,M23,0))))))))))))))),0)</f>
        <v>33</v>
      </c>
      <c r="AP23" s="47">
        <f>ROUND(IF(AP$3&lt;$DF23,0,
IF(AP$3=$DF23+'Model Setup'!$B$7,SUMIF($AD$3:$BA$3,"="&amp;$DF23+'Model Setup'!$B$7,$B23:$Y23)+'Model Setup'!$B$8*(SUMIF($AD$3:$BA$3,"&lt;"&amp;$DF23,$B23:$Y23)+SUMIF($AD$3:$BA$3,"&gt;="&amp;$DG23,$B23:$Y23)),
IF(AP$3=$DF23+'Model Setup'!$C$7,SUMIF($AD$3:$BA$3,"="&amp;$DF23+'Model Setup'!$C$7,$B23:$Y23)+'Model Setup'!$C$8*(SUMIF($AD$3:$BA$3,"&lt;"&amp;$DF23,$B23:$Y23)+SUMIF($AD$3:$BA$3,"&gt;="&amp;$DG23,$B23:$Y23)),
IF(AP$3=$DF23+'Model Setup'!$D$7,SUMIF($AD$3:$BA$3,"="&amp;$DF23+'Model Setup'!$D$7,$B23:$Y23)+'Model Setup'!$D$8*(SUMIF($AD$3:$BA$3,"&lt;"&amp;$DF23,$B23:$Y23)+SUMIF($AD$3:$BA$3,"&gt;="&amp;$DG23,$B23:$Y23)),
IF(AP$3=$DF23+'Model Setup'!$E$7,SUMIF($AD$3:$BA$3,"="&amp;$DF23+'Model Setup'!$E$7,$B23:$Y23)+'Model Setup'!$E$8*(SUMIF($AD$3:$BA$3,"&lt;"&amp;$DF23,$B23:$Y23)+SUMIF($AD$3:$BA$3,"&gt;="&amp;$DG23,$B23:$Y23)),
IF(AP$3=$DF23+'Model Setup'!$F$7,SUMIF($AD$3:$BA$3,"="&amp;$DF23+'Model Setup'!$F$7,$B23:$Y23)+'Model Setup'!$F$8*(SUMIF($AD$3:$BA$3,"&lt;"&amp;$DF23,$B23:$Y23)+SUMIF($AD$3:$BA$3,"&gt;="&amp;$DG23,$B23:$Y23)),
IF(AP$3=$DF23+'Model Setup'!$G$7,SUMIF($AD$3:$BA$3,"="&amp;$DF23+'Model Setup'!$G$7,$B23:$Y23)+'Model Setup'!$G$8*(SUMIF($AD$3:$BA$3,"&lt;"&amp;$DF23,$B23:$Y23)+SUMIF($AD$3:$BA$3,"&gt;="&amp;$DG23,$B23:$Y23)),
IF(AP$3=$DF23+'Model Setup'!$H$7,SUMIF($AD$3:$BA$3,"="&amp;$DF23+'Model Setup'!$H$7,$B23:$Y23)+'Model Setup'!$H$8*(SUMIF($AD$3:$BA$3,"&lt;"&amp;$DF23,$B23:$Y23)+SUMIF($AD$3:$BA$3,"&gt;="&amp;$DG23,$B23:$Y23)),
IF(AP$3=$DF23+'Model Setup'!$I$7,SUMIF($AD$3:$BA$3,"="&amp;$DF23+'Model Setup'!$I$7,$B23:$Y23)+'Model Setup'!$I$8*(SUMIF($AD$3:$BA$3,"&lt;"&amp;$DF23,$B23:$Y23)+SUMIF($AD$3:$BA$3,"&gt;="&amp;$DG23,$B23:$Y23)),
IF(AP$3=$DF23+'Model Setup'!$J$7,SUMIF($AD$3:$BA$3,"="&amp;$DF23+'Model Setup'!$J$7,$B23:$Y23)+'Model Setup'!$J$8*(SUMIF($AD$3:$BA$3,"&lt;"&amp;$DF23,$B23:$Y23)+SUMIF($AD$3:$BA$3,"&gt;="&amp;$DG23,$B23:$Y23)),
IF(AP$3=$DF23+'Model Setup'!$K$7,SUMIF($AD$3:$BA$3,"="&amp;$DF23+'Model Setup'!$K$7,$B23:$Y23)+'Model Setup'!$K$8*(SUMIF($AD$3:$BA$3,"&lt;"&amp;$DF23,$B23:$Y23)+SUMIF($AD$3:$BA$3,"&gt;="&amp;$DG23,$B23:$Y23)),
IF(AP$3=$DF23+'Model Setup'!$L$7,SUMIF($AD$3:$BA$3,"="&amp;$DF23+'Model Setup'!$L$7,$B23:$Y23)+'Model Setup'!$L$8*(SUMIF($AD$3:$BA$3,"&lt;"&amp;$DF23,$B23:$Y23)+SUMIF($AD$3:$BA$3,"&gt;="&amp;$DG23,$B23:$Y23)),
IF(AP$3=$DF23+'Model Setup'!$M$7,SUMIF($AD$3:$BA$3,"="&amp;$DF23+'Model Setup'!$M$7,$B23:$Y23)+'Model Setup'!$M$8*(SUMIF($AD$3:$BA$3,"&lt;"&amp;$DF23,$B23:$Y23)+SUMIF($AD$3:$BA$3,"&gt;="&amp;$DG23,$B23:$Y23)),
IF(AP$3=$DF23+'Model Setup'!$N$7,SUMIF($AD$3:$BA$3,"="&amp;$DF23+'Model Setup'!$N$7,$B23:$Y23)+'Model Setup'!$N$8*(SUMIF($AD$3:$BA$3,"&lt;"&amp;$DF23,$B23:$Y23)+SUMIF($AD$3:$BA$3,"&gt;="&amp;$DG23,$B23:$Y23)),
IF(AP$3&lt;$DG23,N23,0))))))))))))))),0)</f>
        <v>42</v>
      </c>
      <c r="AQ23" s="47">
        <f>ROUND(IF(AQ$3&lt;$DF23,0,
IF(AQ$3=$DF23+'Model Setup'!$B$7,SUMIF($AD$3:$BA$3,"="&amp;$DF23+'Model Setup'!$B$7,$B23:$Y23)+'Model Setup'!$B$8*(SUMIF($AD$3:$BA$3,"&lt;"&amp;$DF23,$B23:$Y23)+SUMIF($AD$3:$BA$3,"&gt;="&amp;$DG23,$B23:$Y23)),
IF(AQ$3=$DF23+'Model Setup'!$C$7,SUMIF($AD$3:$BA$3,"="&amp;$DF23+'Model Setup'!$C$7,$B23:$Y23)+'Model Setup'!$C$8*(SUMIF($AD$3:$BA$3,"&lt;"&amp;$DF23,$B23:$Y23)+SUMIF($AD$3:$BA$3,"&gt;="&amp;$DG23,$B23:$Y23)),
IF(AQ$3=$DF23+'Model Setup'!$D$7,SUMIF($AD$3:$BA$3,"="&amp;$DF23+'Model Setup'!$D$7,$B23:$Y23)+'Model Setup'!$D$8*(SUMIF($AD$3:$BA$3,"&lt;"&amp;$DF23,$B23:$Y23)+SUMIF($AD$3:$BA$3,"&gt;="&amp;$DG23,$B23:$Y23)),
IF(AQ$3=$DF23+'Model Setup'!$E$7,SUMIF($AD$3:$BA$3,"="&amp;$DF23+'Model Setup'!$E$7,$B23:$Y23)+'Model Setup'!$E$8*(SUMIF($AD$3:$BA$3,"&lt;"&amp;$DF23,$B23:$Y23)+SUMIF($AD$3:$BA$3,"&gt;="&amp;$DG23,$B23:$Y23)),
IF(AQ$3=$DF23+'Model Setup'!$F$7,SUMIF($AD$3:$BA$3,"="&amp;$DF23+'Model Setup'!$F$7,$B23:$Y23)+'Model Setup'!$F$8*(SUMIF($AD$3:$BA$3,"&lt;"&amp;$DF23,$B23:$Y23)+SUMIF($AD$3:$BA$3,"&gt;="&amp;$DG23,$B23:$Y23)),
IF(AQ$3=$DF23+'Model Setup'!$G$7,SUMIF($AD$3:$BA$3,"="&amp;$DF23+'Model Setup'!$G$7,$B23:$Y23)+'Model Setup'!$G$8*(SUMIF($AD$3:$BA$3,"&lt;"&amp;$DF23,$B23:$Y23)+SUMIF($AD$3:$BA$3,"&gt;="&amp;$DG23,$B23:$Y23)),
IF(AQ$3=$DF23+'Model Setup'!$H$7,SUMIF($AD$3:$BA$3,"="&amp;$DF23+'Model Setup'!$H$7,$B23:$Y23)+'Model Setup'!$H$8*(SUMIF($AD$3:$BA$3,"&lt;"&amp;$DF23,$B23:$Y23)+SUMIF($AD$3:$BA$3,"&gt;="&amp;$DG23,$B23:$Y23)),
IF(AQ$3=$DF23+'Model Setup'!$I$7,SUMIF($AD$3:$BA$3,"="&amp;$DF23+'Model Setup'!$I$7,$B23:$Y23)+'Model Setup'!$I$8*(SUMIF($AD$3:$BA$3,"&lt;"&amp;$DF23,$B23:$Y23)+SUMIF($AD$3:$BA$3,"&gt;="&amp;$DG23,$B23:$Y23)),
IF(AQ$3=$DF23+'Model Setup'!$J$7,SUMIF($AD$3:$BA$3,"="&amp;$DF23+'Model Setup'!$J$7,$B23:$Y23)+'Model Setup'!$J$8*(SUMIF($AD$3:$BA$3,"&lt;"&amp;$DF23,$B23:$Y23)+SUMIF($AD$3:$BA$3,"&gt;="&amp;$DG23,$B23:$Y23)),
IF(AQ$3=$DF23+'Model Setup'!$K$7,SUMIF($AD$3:$BA$3,"="&amp;$DF23+'Model Setup'!$K$7,$B23:$Y23)+'Model Setup'!$K$8*(SUMIF($AD$3:$BA$3,"&lt;"&amp;$DF23,$B23:$Y23)+SUMIF($AD$3:$BA$3,"&gt;="&amp;$DG23,$B23:$Y23)),
IF(AQ$3=$DF23+'Model Setup'!$L$7,SUMIF($AD$3:$BA$3,"="&amp;$DF23+'Model Setup'!$L$7,$B23:$Y23)+'Model Setup'!$L$8*(SUMIF($AD$3:$BA$3,"&lt;"&amp;$DF23,$B23:$Y23)+SUMIF($AD$3:$BA$3,"&gt;="&amp;$DG23,$B23:$Y23)),
IF(AQ$3=$DF23+'Model Setup'!$M$7,SUMIF($AD$3:$BA$3,"="&amp;$DF23+'Model Setup'!$M$7,$B23:$Y23)+'Model Setup'!$M$8*(SUMIF($AD$3:$BA$3,"&lt;"&amp;$DF23,$B23:$Y23)+SUMIF($AD$3:$BA$3,"&gt;="&amp;$DG23,$B23:$Y23)),
IF(AQ$3=$DF23+'Model Setup'!$N$7,SUMIF($AD$3:$BA$3,"="&amp;$DF23+'Model Setup'!$N$7,$B23:$Y23)+'Model Setup'!$N$8*(SUMIF($AD$3:$BA$3,"&lt;"&amp;$DF23,$B23:$Y23)+SUMIF($AD$3:$BA$3,"&gt;="&amp;$DG23,$B23:$Y23)),
IF(AQ$3&lt;$DG23,O23,0))))))))))))))),0)</f>
        <v>29</v>
      </c>
      <c r="AR23" s="47">
        <f>ROUND(IF(AR$3&lt;$DF23,0,
IF(AR$3=$DF23+'Model Setup'!$B$7,SUMIF($AD$3:$BA$3,"="&amp;$DF23+'Model Setup'!$B$7,$B23:$Y23)+'Model Setup'!$B$8*(SUMIF($AD$3:$BA$3,"&lt;"&amp;$DF23,$B23:$Y23)+SUMIF($AD$3:$BA$3,"&gt;="&amp;$DG23,$B23:$Y23)),
IF(AR$3=$DF23+'Model Setup'!$C$7,SUMIF($AD$3:$BA$3,"="&amp;$DF23+'Model Setup'!$C$7,$B23:$Y23)+'Model Setup'!$C$8*(SUMIF($AD$3:$BA$3,"&lt;"&amp;$DF23,$B23:$Y23)+SUMIF($AD$3:$BA$3,"&gt;="&amp;$DG23,$B23:$Y23)),
IF(AR$3=$DF23+'Model Setup'!$D$7,SUMIF($AD$3:$BA$3,"="&amp;$DF23+'Model Setup'!$D$7,$B23:$Y23)+'Model Setup'!$D$8*(SUMIF($AD$3:$BA$3,"&lt;"&amp;$DF23,$B23:$Y23)+SUMIF($AD$3:$BA$3,"&gt;="&amp;$DG23,$B23:$Y23)),
IF(AR$3=$DF23+'Model Setup'!$E$7,SUMIF($AD$3:$BA$3,"="&amp;$DF23+'Model Setup'!$E$7,$B23:$Y23)+'Model Setup'!$E$8*(SUMIF($AD$3:$BA$3,"&lt;"&amp;$DF23,$B23:$Y23)+SUMIF($AD$3:$BA$3,"&gt;="&amp;$DG23,$B23:$Y23)),
IF(AR$3=$DF23+'Model Setup'!$F$7,SUMIF($AD$3:$BA$3,"="&amp;$DF23+'Model Setup'!$F$7,$B23:$Y23)+'Model Setup'!$F$8*(SUMIF($AD$3:$BA$3,"&lt;"&amp;$DF23,$B23:$Y23)+SUMIF($AD$3:$BA$3,"&gt;="&amp;$DG23,$B23:$Y23)),
IF(AR$3=$DF23+'Model Setup'!$G$7,SUMIF($AD$3:$BA$3,"="&amp;$DF23+'Model Setup'!$G$7,$B23:$Y23)+'Model Setup'!$G$8*(SUMIF($AD$3:$BA$3,"&lt;"&amp;$DF23,$B23:$Y23)+SUMIF($AD$3:$BA$3,"&gt;="&amp;$DG23,$B23:$Y23)),
IF(AR$3=$DF23+'Model Setup'!$H$7,SUMIF($AD$3:$BA$3,"="&amp;$DF23+'Model Setup'!$H$7,$B23:$Y23)+'Model Setup'!$H$8*(SUMIF($AD$3:$BA$3,"&lt;"&amp;$DF23,$B23:$Y23)+SUMIF($AD$3:$BA$3,"&gt;="&amp;$DG23,$B23:$Y23)),
IF(AR$3=$DF23+'Model Setup'!$I$7,SUMIF($AD$3:$BA$3,"="&amp;$DF23+'Model Setup'!$I$7,$B23:$Y23)+'Model Setup'!$I$8*(SUMIF($AD$3:$BA$3,"&lt;"&amp;$DF23,$B23:$Y23)+SUMIF($AD$3:$BA$3,"&gt;="&amp;$DG23,$B23:$Y23)),
IF(AR$3=$DF23+'Model Setup'!$J$7,SUMIF($AD$3:$BA$3,"="&amp;$DF23+'Model Setup'!$J$7,$B23:$Y23)+'Model Setup'!$J$8*(SUMIF($AD$3:$BA$3,"&lt;"&amp;$DF23,$B23:$Y23)+SUMIF($AD$3:$BA$3,"&gt;="&amp;$DG23,$B23:$Y23)),
IF(AR$3=$DF23+'Model Setup'!$K$7,SUMIF($AD$3:$BA$3,"="&amp;$DF23+'Model Setup'!$K$7,$B23:$Y23)+'Model Setup'!$K$8*(SUMIF($AD$3:$BA$3,"&lt;"&amp;$DF23,$B23:$Y23)+SUMIF($AD$3:$BA$3,"&gt;="&amp;$DG23,$B23:$Y23)),
IF(AR$3=$DF23+'Model Setup'!$L$7,SUMIF($AD$3:$BA$3,"="&amp;$DF23+'Model Setup'!$L$7,$B23:$Y23)+'Model Setup'!$L$8*(SUMIF($AD$3:$BA$3,"&lt;"&amp;$DF23,$B23:$Y23)+SUMIF($AD$3:$BA$3,"&gt;="&amp;$DG23,$B23:$Y23)),
IF(AR$3=$DF23+'Model Setup'!$M$7,SUMIF($AD$3:$BA$3,"="&amp;$DF23+'Model Setup'!$M$7,$B23:$Y23)+'Model Setup'!$M$8*(SUMIF($AD$3:$BA$3,"&lt;"&amp;$DF23,$B23:$Y23)+SUMIF($AD$3:$BA$3,"&gt;="&amp;$DG23,$B23:$Y23)),
IF(AR$3=$DF23+'Model Setup'!$N$7,SUMIF($AD$3:$BA$3,"="&amp;$DF23+'Model Setup'!$N$7,$B23:$Y23)+'Model Setup'!$N$8*(SUMIF($AD$3:$BA$3,"&lt;"&amp;$DF23,$B23:$Y23)+SUMIF($AD$3:$BA$3,"&gt;="&amp;$DG23,$B23:$Y23)),
IF(AR$3&lt;$DG23,P23,0))))))))))))))),0)</f>
        <v>23</v>
      </c>
      <c r="AS23" s="47">
        <f>ROUND(IF(AS$3&lt;$DF23,0,
IF(AS$3=$DF23+'Model Setup'!$B$7,SUMIF($AD$3:$BA$3,"="&amp;$DF23+'Model Setup'!$B$7,$B23:$Y23)+'Model Setup'!$B$8*(SUMIF($AD$3:$BA$3,"&lt;"&amp;$DF23,$B23:$Y23)+SUMIF($AD$3:$BA$3,"&gt;="&amp;$DG23,$B23:$Y23)),
IF(AS$3=$DF23+'Model Setup'!$C$7,SUMIF($AD$3:$BA$3,"="&amp;$DF23+'Model Setup'!$C$7,$B23:$Y23)+'Model Setup'!$C$8*(SUMIF($AD$3:$BA$3,"&lt;"&amp;$DF23,$B23:$Y23)+SUMIF($AD$3:$BA$3,"&gt;="&amp;$DG23,$B23:$Y23)),
IF(AS$3=$DF23+'Model Setup'!$D$7,SUMIF($AD$3:$BA$3,"="&amp;$DF23+'Model Setup'!$D$7,$B23:$Y23)+'Model Setup'!$D$8*(SUMIF($AD$3:$BA$3,"&lt;"&amp;$DF23,$B23:$Y23)+SUMIF($AD$3:$BA$3,"&gt;="&amp;$DG23,$B23:$Y23)),
IF(AS$3=$DF23+'Model Setup'!$E$7,SUMIF($AD$3:$BA$3,"="&amp;$DF23+'Model Setup'!$E$7,$B23:$Y23)+'Model Setup'!$E$8*(SUMIF($AD$3:$BA$3,"&lt;"&amp;$DF23,$B23:$Y23)+SUMIF($AD$3:$BA$3,"&gt;="&amp;$DG23,$B23:$Y23)),
IF(AS$3=$DF23+'Model Setup'!$F$7,SUMIF($AD$3:$BA$3,"="&amp;$DF23+'Model Setup'!$F$7,$B23:$Y23)+'Model Setup'!$F$8*(SUMIF($AD$3:$BA$3,"&lt;"&amp;$DF23,$B23:$Y23)+SUMIF($AD$3:$BA$3,"&gt;="&amp;$DG23,$B23:$Y23)),
IF(AS$3=$DF23+'Model Setup'!$G$7,SUMIF($AD$3:$BA$3,"="&amp;$DF23+'Model Setup'!$G$7,$B23:$Y23)+'Model Setup'!$G$8*(SUMIF($AD$3:$BA$3,"&lt;"&amp;$DF23,$B23:$Y23)+SUMIF($AD$3:$BA$3,"&gt;="&amp;$DG23,$B23:$Y23)),
IF(AS$3=$DF23+'Model Setup'!$H$7,SUMIF($AD$3:$BA$3,"="&amp;$DF23+'Model Setup'!$H$7,$B23:$Y23)+'Model Setup'!$H$8*(SUMIF($AD$3:$BA$3,"&lt;"&amp;$DF23,$B23:$Y23)+SUMIF($AD$3:$BA$3,"&gt;="&amp;$DG23,$B23:$Y23)),
IF(AS$3=$DF23+'Model Setup'!$I$7,SUMIF($AD$3:$BA$3,"="&amp;$DF23+'Model Setup'!$I$7,$B23:$Y23)+'Model Setup'!$I$8*(SUMIF($AD$3:$BA$3,"&lt;"&amp;$DF23,$B23:$Y23)+SUMIF($AD$3:$BA$3,"&gt;="&amp;$DG23,$B23:$Y23)),
IF(AS$3=$DF23+'Model Setup'!$J$7,SUMIF($AD$3:$BA$3,"="&amp;$DF23+'Model Setup'!$J$7,$B23:$Y23)+'Model Setup'!$J$8*(SUMIF($AD$3:$BA$3,"&lt;"&amp;$DF23,$B23:$Y23)+SUMIF($AD$3:$BA$3,"&gt;="&amp;$DG23,$B23:$Y23)),
IF(AS$3=$DF23+'Model Setup'!$K$7,SUMIF($AD$3:$BA$3,"="&amp;$DF23+'Model Setup'!$K$7,$B23:$Y23)+'Model Setup'!$K$8*(SUMIF($AD$3:$BA$3,"&lt;"&amp;$DF23,$B23:$Y23)+SUMIF($AD$3:$BA$3,"&gt;="&amp;$DG23,$B23:$Y23)),
IF(AS$3=$DF23+'Model Setup'!$L$7,SUMIF($AD$3:$BA$3,"="&amp;$DF23+'Model Setup'!$L$7,$B23:$Y23)+'Model Setup'!$L$8*(SUMIF($AD$3:$BA$3,"&lt;"&amp;$DF23,$B23:$Y23)+SUMIF($AD$3:$BA$3,"&gt;="&amp;$DG23,$B23:$Y23)),
IF(AS$3=$DF23+'Model Setup'!$M$7,SUMIF($AD$3:$BA$3,"="&amp;$DF23+'Model Setup'!$M$7,$B23:$Y23)+'Model Setup'!$M$8*(SUMIF($AD$3:$BA$3,"&lt;"&amp;$DF23,$B23:$Y23)+SUMIF($AD$3:$BA$3,"&gt;="&amp;$DG23,$B23:$Y23)),
IF(AS$3=$DF23+'Model Setup'!$N$7,SUMIF($AD$3:$BA$3,"="&amp;$DF23+'Model Setup'!$N$7,$B23:$Y23)+'Model Setup'!$N$8*(SUMIF($AD$3:$BA$3,"&lt;"&amp;$DF23,$B23:$Y23)+SUMIF($AD$3:$BA$3,"&gt;="&amp;$DG23,$B23:$Y23)),
IF(AS$3&lt;$DG23,Q23,0))))))))))))))),0)</f>
        <v>20</v>
      </c>
      <c r="AT23" s="47">
        <f>ROUND(IF(AT$3&lt;$DF23,0,
IF(AT$3=$DF23+'Model Setup'!$B$7,SUMIF($AD$3:$BA$3,"="&amp;$DF23+'Model Setup'!$B$7,$B23:$Y23)+'Model Setup'!$B$8*(SUMIF($AD$3:$BA$3,"&lt;"&amp;$DF23,$B23:$Y23)+SUMIF($AD$3:$BA$3,"&gt;="&amp;$DG23,$B23:$Y23)),
IF(AT$3=$DF23+'Model Setup'!$C$7,SUMIF($AD$3:$BA$3,"="&amp;$DF23+'Model Setup'!$C$7,$B23:$Y23)+'Model Setup'!$C$8*(SUMIF($AD$3:$BA$3,"&lt;"&amp;$DF23,$B23:$Y23)+SUMIF($AD$3:$BA$3,"&gt;="&amp;$DG23,$B23:$Y23)),
IF(AT$3=$DF23+'Model Setup'!$D$7,SUMIF($AD$3:$BA$3,"="&amp;$DF23+'Model Setup'!$D$7,$B23:$Y23)+'Model Setup'!$D$8*(SUMIF($AD$3:$BA$3,"&lt;"&amp;$DF23,$B23:$Y23)+SUMIF($AD$3:$BA$3,"&gt;="&amp;$DG23,$B23:$Y23)),
IF(AT$3=$DF23+'Model Setup'!$E$7,SUMIF($AD$3:$BA$3,"="&amp;$DF23+'Model Setup'!$E$7,$B23:$Y23)+'Model Setup'!$E$8*(SUMIF($AD$3:$BA$3,"&lt;"&amp;$DF23,$B23:$Y23)+SUMIF($AD$3:$BA$3,"&gt;="&amp;$DG23,$B23:$Y23)),
IF(AT$3=$DF23+'Model Setup'!$F$7,SUMIF($AD$3:$BA$3,"="&amp;$DF23+'Model Setup'!$F$7,$B23:$Y23)+'Model Setup'!$F$8*(SUMIF($AD$3:$BA$3,"&lt;"&amp;$DF23,$B23:$Y23)+SUMIF($AD$3:$BA$3,"&gt;="&amp;$DG23,$B23:$Y23)),
IF(AT$3=$DF23+'Model Setup'!$G$7,SUMIF($AD$3:$BA$3,"="&amp;$DF23+'Model Setup'!$G$7,$B23:$Y23)+'Model Setup'!$G$8*(SUMIF($AD$3:$BA$3,"&lt;"&amp;$DF23,$B23:$Y23)+SUMIF($AD$3:$BA$3,"&gt;="&amp;$DG23,$B23:$Y23)),
IF(AT$3=$DF23+'Model Setup'!$H$7,SUMIF($AD$3:$BA$3,"="&amp;$DF23+'Model Setup'!$H$7,$B23:$Y23)+'Model Setup'!$H$8*(SUMIF($AD$3:$BA$3,"&lt;"&amp;$DF23,$B23:$Y23)+SUMIF($AD$3:$BA$3,"&gt;="&amp;$DG23,$B23:$Y23)),
IF(AT$3=$DF23+'Model Setup'!$I$7,SUMIF($AD$3:$BA$3,"="&amp;$DF23+'Model Setup'!$I$7,$B23:$Y23)+'Model Setup'!$I$8*(SUMIF($AD$3:$BA$3,"&lt;"&amp;$DF23,$B23:$Y23)+SUMIF($AD$3:$BA$3,"&gt;="&amp;$DG23,$B23:$Y23)),
IF(AT$3=$DF23+'Model Setup'!$J$7,SUMIF($AD$3:$BA$3,"="&amp;$DF23+'Model Setup'!$J$7,$B23:$Y23)+'Model Setup'!$J$8*(SUMIF($AD$3:$BA$3,"&lt;"&amp;$DF23,$B23:$Y23)+SUMIF($AD$3:$BA$3,"&gt;="&amp;$DG23,$B23:$Y23)),
IF(AT$3=$DF23+'Model Setup'!$K$7,SUMIF($AD$3:$BA$3,"="&amp;$DF23+'Model Setup'!$K$7,$B23:$Y23)+'Model Setup'!$K$8*(SUMIF($AD$3:$BA$3,"&lt;"&amp;$DF23,$B23:$Y23)+SUMIF($AD$3:$BA$3,"&gt;="&amp;$DG23,$B23:$Y23)),
IF(AT$3=$DF23+'Model Setup'!$L$7,SUMIF($AD$3:$BA$3,"="&amp;$DF23+'Model Setup'!$L$7,$B23:$Y23)+'Model Setup'!$L$8*(SUMIF($AD$3:$BA$3,"&lt;"&amp;$DF23,$B23:$Y23)+SUMIF($AD$3:$BA$3,"&gt;="&amp;$DG23,$B23:$Y23)),
IF(AT$3=$DF23+'Model Setup'!$M$7,SUMIF($AD$3:$BA$3,"="&amp;$DF23+'Model Setup'!$M$7,$B23:$Y23)+'Model Setup'!$M$8*(SUMIF($AD$3:$BA$3,"&lt;"&amp;$DF23,$B23:$Y23)+SUMIF($AD$3:$BA$3,"&gt;="&amp;$DG23,$B23:$Y23)),
IF(AT$3=$DF23+'Model Setup'!$N$7,SUMIF($AD$3:$BA$3,"="&amp;$DF23+'Model Setup'!$N$7,$B23:$Y23)+'Model Setup'!$N$8*(SUMIF($AD$3:$BA$3,"&lt;"&amp;$DF23,$B23:$Y23)+SUMIF($AD$3:$BA$3,"&gt;="&amp;$DG23,$B23:$Y23)),
IF(AT$3&lt;$DG23,R23,0))))))))))))))),0)</f>
        <v>30</v>
      </c>
      <c r="AU23" s="47">
        <f>ROUND(IF(AU$3&lt;$DF23,0,
IF(AU$3=$DF23+'Model Setup'!$B$7,SUMIF($AD$3:$BA$3,"="&amp;$DF23+'Model Setup'!$B$7,$B23:$Y23)+'Model Setup'!$B$8*(SUMIF($AD$3:$BA$3,"&lt;"&amp;$DF23,$B23:$Y23)+SUMIF($AD$3:$BA$3,"&gt;="&amp;$DG23,$B23:$Y23)),
IF(AU$3=$DF23+'Model Setup'!$C$7,SUMIF($AD$3:$BA$3,"="&amp;$DF23+'Model Setup'!$C$7,$B23:$Y23)+'Model Setup'!$C$8*(SUMIF($AD$3:$BA$3,"&lt;"&amp;$DF23,$B23:$Y23)+SUMIF($AD$3:$BA$3,"&gt;="&amp;$DG23,$B23:$Y23)),
IF(AU$3=$DF23+'Model Setup'!$D$7,SUMIF($AD$3:$BA$3,"="&amp;$DF23+'Model Setup'!$D$7,$B23:$Y23)+'Model Setup'!$D$8*(SUMIF($AD$3:$BA$3,"&lt;"&amp;$DF23,$B23:$Y23)+SUMIF($AD$3:$BA$3,"&gt;="&amp;$DG23,$B23:$Y23)),
IF(AU$3=$DF23+'Model Setup'!$E$7,SUMIF($AD$3:$BA$3,"="&amp;$DF23+'Model Setup'!$E$7,$B23:$Y23)+'Model Setup'!$E$8*(SUMIF($AD$3:$BA$3,"&lt;"&amp;$DF23,$B23:$Y23)+SUMIF($AD$3:$BA$3,"&gt;="&amp;$DG23,$B23:$Y23)),
IF(AU$3=$DF23+'Model Setup'!$F$7,SUMIF($AD$3:$BA$3,"="&amp;$DF23+'Model Setup'!$F$7,$B23:$Y23)+'Model Setup'!$F$8*(SUMIF($AD$3:$BA$3,"&lt;"&amp;$DF23,$B23:$Y23)+SUMIF($AD$3:$BA$3,"&gt;="&amp;$DG23,$B23:$Y23)),
IF(AU$3=$DF23+'Model Setup'!$G$7,SUMIF($AD$3:$BA$3,"="&amp;$DF23+'Model Setup'!$G$7,$B23:$Y23)+'Model Setup'!$G$8*(SUMIF($AD$3:$BA$3,"&lt;"&amp;$DF23,$B23:$Y23)+SUMIF($AD$3:$BA$3,"&gt;="&amp;$DG23,$B23:$Y23)),
IF(AU$3=$DF23+'Model Setup'!$H$7,SUMIF($AD$3:$BA$3,"="&amp;$DF23+'Model Setup'!$H$7,$B23:$Y23)+'Model Setup'!$H$8*(SUMIF($AD$3:$BA$3,"&lt;"&amp;$DF23,$B23:$Y23)+SUMIF($AD$3:$BA$3,"&gt;="&amp;$DG23,$B23:$Y23)),
IF(AU$3=$DF23+'Model Setup'!$I$7,SUMIF($AD$3:$BA$3,"="&amp;$DF23+'Model Setup'!$I$7,$B23:$Y23)+'Model Setup'!$I$8*(SUMIF($AD$3:$BA$3,"&lt;"&amp;$DF23,$B23:$Y23)+SUMIF($AD$3:$BA$3,"&gt;="&amp;$DG23,$B23:$Y23)),
IF(AU$3=$DF23+'Model Setup'!$J$7,SUMIF($AD$3:$BA$3,"="&amp;$DF23+'Model Setup'!$J$7,$B23:$Y23)+'Model Setup'!$J$8*(SUMIF($AD$3:$BA$3,"&lt;"&amp;$DF23,$B23:$Y23)+SUMIF($AD$3:$BA$3,"&gt;="&amp;$DG23,$B23:$Y23)),
IF(AU$3=$DF23+'Model Setup'!$K$7,SUMIF($AD$3:$BA$3,"="&amp;$DF23+'Model Setup'!$K$7,$B23:$Y23)+'Model Setup'!$K$8*(SUMIF($AD$3:$BA$3,"&lt;"&amp;$DF23,$B23:$Y23)+SUMIF($AD$3:$BA$3,"&gt;="&amp;$DG23,$B23:$Y23)),
IF(AU$3=$DF23+'Model Setup'!$L$7,SUMIF($AD$3:$BA$3,"="&amp;$DF23+'Model Setup'!$L$7,$B23:$Y23)+'Model Setup'!$L$8*(SUMIF($AD$3:$BA$3,"&lt;"&amp;$DF23,$B23:$Y23)+SUMIF($AD$3:$BA$3,"&gt;="&amp;$DG23,$B23:$Y23)),
IF(AU$3=$DF23+'Model Setup'!$M$7,SUMIF($AD$3:$BA$3,"="&amp;$DF23+'Model Setup'!$M$7,$B23:$Y23)+'Model Setup'!$M$8*(SUMIF($AD$3:$BA$3,"&lt;"&amp;$DF23,$B23:$Y23)+SUMIF($AD$3:$BA$3,"&gt;="&amp;$DG23,$B23:$Y23)),
IF(AU$3=$DF23+'Model Setup'!$N$7,SUMIF($AD$3:$BA$3,"="&amp;$DF23+'Model Setup'!$N$7,$B23:$Y23)+'Model Setup'!$N$8*(SUMIF($AD$3:$BA$3,"&lt;"&amp;$DF23,$B23:$Y23)+SUMIF($AD$3:$BA$3,"&gt;="&amp;$DG23,$B23:$Y23)),
IF(AU$3&lt;$DG23,S23,0))))))))))))))),0)</f>
        <v>37</v>
      </c>
      <c r="AV23" s="47">
        <f>ROUND(IF(AV$3&lt;$DF23,0,
IF(AV$3=$DF23+'Model Setup'!$B$7,SUMIF($AD$3:$BA$3,"="&amp;$DF23+'Model Setup'!$B$7,$B23:$Y23)+'Model Setup'!$B$8*(SUMIF($AD$3:$BA$3,"&lt;"&amp;$DF23,$B23:$Y23)+SUMIF($AD$3:$BA$3,"&gt;="&amp;$DG23,$B23:$Y23)),
IF(AV$3=$DF23+'Model Setup'!$C$7,SUMIF($AD$3:$BA$3,"="&amp;$DF23+'Model Setup'!$C$7,$B23:$Y23)+'Model Setup'!$C$8*(SUMIF($AD$3:$BA$3,"&lt;"&amp;$DF23,$B23:$Y23)+SUMIF($AD$3:$BA$3,"&gt;="&amp;$DG23,$B23:$Y23)),
IF(AV$3=$DF23+'Model Setup'!$D$7,SUMIF($AD$3:$BA$3,"="&amp;$DF23+'Model Setup'!$D$7,$B23:$Y23)+'Model Setup'!$D$8*(SUMIF($AD$3:$BA$3,"&lt;"&amp;$DF23,$B23:$Y23)+SUMIF($AD$3:$BA$3,"&gt;="&amp;$DG23,$B23:$Y23)),
IF(AV$3=$DF23+'Model Setup'!$E$7,SUMIF($AD$3:$BA$3,"="&amp;$DF23+'Model Setup'!$E$7,$B23:$Y23)+'Model Setup'!$E$8*(SUMIF($AD$3:$BA$3,"&lt;"&amp;$DF23,$B23:$Y23)+SUMIF($AD$3:$BA$3,"&gt;="&amp;$DG23,$B23:$Y23)),
IF(AV$3=$DF23+'Model Setup'!$F$7,SUMIF($AD$3:$BA$3,"="&amp;$DF23+'Model Setup'!$F$7,$B23:$Y23)+'Model Setup'!$F$8*(SUMIF($AD$3:$BA$3,"&lt;"&amp;$DF23,$B23:$Y23)+SUMIF($AD$3:$BA$3,"&gt;="&amp;$DG23,$B23:$Y23)),
IF(AV$3=$DF23+'Model Setup'!$G$7,SUMIF($AD$3:$BA$3,"="&amp;$DF23+'Model Setup'!$G$7,$B23:$Y23)+'Model Setup'!$G$8*(SUMIF($AD$3:$BA$3,"&lt;"&amp;$DF23,$B23:$Y23)+SUMIF($AD$3:$BA$3,"&gt;="&amp;$DG23,$B23:$Y23)),
IF(AV$3=$DF23+'Model Setup'!$H$7,SUMIF($AD$3:$BA$3,"="&amp;$DF23+'Model Setup'!$H$7,$B23:$Y23)+'Model Setup'!$H$8*(SUMIF($AD$3:$BA$3,"&lt;"&amp;$DF23,$B23:$Y23)+SUMIF($AD$3:$BA$3,"&gt;="&amp;$DG23,$B23:$Y23)),
IF(AV$3=$DF23+'Model Setup'!$I$7,SUMIF($AD$3:$BA$3,"="&amp;$DF23+'Model Setup'!$I$7,$B23:$Y23)+'Model Setup'!$I$8*(SUMIF($AD$3:$BA$3,"&lt;"&amp;$DF23,$B23:$Y23)+SUMIF($AD$3:$BA$3,"&gt;="&amp;$DG23,$B23:$Y23)),
IF(AV$3=$DF23+'Model Setup'!$J$7,SUMIF($AD$3:$BA$3,"="&amp;$DF23+'Model Setup'!$J$7,$B23:$Y23)+'Model Setup'!$J$8*(SUMIF($AD$3:$BA$3,"&lt;"&amp;$DF23,$B23:$Y23)+SUMIF($AD$3:$BA$3,"&gt;="&amp;$DG23,$B23:$Y23)),
IF(AV$3=$DF23+'Model Setup'!$K$7,SUMIF($AD$3:$BA$3,"="&amp;$DF23+'Model Setup'!$K$7,$B23:$Y23)+'Model Setup'!$K$8*(SUMIF($AD$3:$BA$3,"&lt;"&amp;$DF23,$B23:$Y23)+SUMIF($AD$3:$BA$3,"&gt;="&amp;$DG23,$B23:$Y23)),
IF(AV$3=$DF23+'Model Setup'!$L$7,SUMIF($AD$3:$BA$3,"="&amp;$DF23+'Model Setup'!$L$7,$B23:$Y23)+'Model Setup'!$L$8*(SUMIF($AD$3:$BA$3,"&lt;"&amp;$DF23,$B23:$Y23)+SUMIF($AD$3:$BA$3,"&gt;="&amp;$DG23,$B23:$Y23)),
IF(AV$3=$DF23+'Model Setup'!$M$7,SUMIF($AD$3:$BA$3,"="&amp;$DF23+'Model Setup'!$M$7,$B23:$Y23)+'Model Setup'!$M$8*(SUMIF($AD$3:$BA$3,"&lt;"&amp;$DF23,$B23:$Y23)+SUMIF($AD$3:$BA$3,"&gt;="&amp;$DG23,$B23:$Y23)),
IF(AV$3=$DF23+'Model Setup'!$N$7,SUMIF($AD$3:$BA$3,"="&amp;$DF23+'Model Setup'!$N$7,$B23:$Y23)+'Model Setup'!$N$8*(SUMIF($AD$3:$BA$3,"&lt;"&amp;$DF23,$B23:$Y23)+SUMIF($AD$3:$BA$3,"&gt;="&amp;$DG23,$B23:$Y23)),
IF(AV$3&lt;$DG23,T23,0))))))))))))))),0)</f>
        <v>22</v>
      </c>
      <c r="AW23" s="47">
        <f>ROUND(IF(AW$3&lt;$DF23,0,
IF(AW$3=$DF23+'Model Setup'!$B$7,SUMIF($AD$3:$BA$3,"="&amp;$DF23+'Model Setup'!$B$7,$B23:$Y23)+'Model Setup'!$B$8*(SUMIF($AD$3:$BA$3,"&lt;"&amp;$DF23,$B23:$Y23)+SUMIF($AD$3:$BA$3,"&gt;="&amp;$DG23,$B23:$Y23)),
IF(AW$3=$DF23+'Model Setup'!$C$7,SUMIF($AD$3:$BA$3,"="&amp;$DF23+'Model Setup'!$C$7,$B23:$Y23)+'Model Setup'!$C$8*(SUMIF($AD$3:$BA$3,"&lt;"&amp;$DF23,$B23:$Y23)+SUMIF($AD$3:$BA$3,"&gt;="&amp;$DG23,$B23:$Y23)),
IF(AW$3=$DF23+'Model Setup'!$D$7,SUMIF($AD$3:$BA$3,"="&amp;$DF23+'Model Setup'!$D$7,$B23:$Y23)+'Model Setup'!$D$8*(SUMIF($AD$3:$BA$3,"&lt;"&amp;$DF23,$B23:$Y23)+SUMIF($AD$3:$BA$3,"&gt;="&amp;$DG23,$B23:$Y23)),
IF(AW$3=$DF23+'Model Setup'!$E$7,SUMIF($AD$3:$BA$3,"="&amp;$DF23+'Model Setup'!$E$7,$B23:$Y23)+'Model Setup'!$E$8*(SUMIF($AD$3:$BA$3,"&lt;"&amp;$DF23,$B23:$Y23)+SUMIF($AD$3:$BA$3,"&gt;="&amp;$DG23,$B23:$Y23)),
IF(AW$3=$DF23+'Model Setup'!$F$7,SUMIF($AD$3:$BA$3,"="&amp;$DF23+'Model Setup'!$F$7,$B23:$Y23)+'Model Setup'!$F$8*(SUMIF($AD$3:$BA$3,"&lt;"&amp;$DF23,$B23:$Y23)+SUMIF($AD$3:$BA$3,"&gt;="&amp;$DG23,$B23:$Y23)),
IF(AW$3=$DF23+'Model Setup'!$G$7,SUMIF($AD$3:$BA$3,"="&amp;$DF23+'Model Setup'!$G$7,$B23:$Y23)+'Model Setup'!$G$8*(SUMIF($AD$3:$BA$3,"&lt;"&amp;$DF23,$B23:$Y23)+SUMIF($AD$3:$BA$3,"&gt;="&amp;$DG23,$B23:$Y23)),
IF(AW$3=$DF23+'Model Setup'!$H$7,SUMIF($AD$3:$BA$3,"="&amp;$DF23+'Model Setup'!$H$7,$B23:$Y23)+'Model Setup'!$H$8*(SUMIF($AD$3:$BA$3,"&lt;"&amp;$DF23,$B23:$Y23)+SUMIF($AD$3:$BA$3,"&gt;="&amp;$DG23,$B23:$Y23)),
IF(AW$3=$DF23+'Model Setup'!$I$7,SUMIF($AD$3:$BA$3,"="&amp;$DF23+'Model Setup'!$I$7,$B23:$Y23)+'Model Setup'!$I$8*(SUMIF($AD$3:$BA$3,"&lt;"&amp;$DF23,$B23:$Y23)+SUMIF($AD$3:$BA$3,"&gt;="&amp;$DG23,$B23:$Y23)),
IF(AW$3=$DF23+'Model Setup'!$J$7,SUMIF($AD$3:$BA$3,"="&amp;$DF23+'Model Setup'!$J$7,$B23:$Y23)+'Model Setup'!$J$8*(SUMIF($AD$3:$BA$3,"&lt;"&amp;$DF23,$B23:$Y23)+SUMIF($AD$3:$BA$3,"&gt;="&amp;$DG23,$B23:$Y23)),
IF(AW$3=$DF23+'Model Setup'!$K$7,SUMIF($AD$3:$BA$3,"="&amp;$DF23+'Model Setup'!$K$7,$B23:$Y23)+'Model Setup'!$K$8*(SUMIF($AD$3:$BA$3,"&lt;"&amp;$DF23,$B23:$Y23)+SUMIF($AD$3:$BA$3,"&gt;="&amp;$DG23,$B23:$Y23)),
IF(AW$3=$DF23+'Model Setup'!$L$7,SUMIF($AD$3:$BA$3,"="&amp;$DF23+'Model Setup'!$L$7,$B23:$Y23)+'Model Setup'!$L$8*(SUMIF($AD$3:$BA$3,"&lt;"&amp;$DF23,$B23:$Y23)+SUMIF($AD$3:$BA$3,"&gt;="&amp;$DG23,$B23:$Y23)),
IF(AW$3=$DF23+'Model Setup'!$M$7,SUMIF($AD$3:$BA$3,"="&amp;$DF23+'Model Setup'!$M$7,$B23:$Y23)+'Model Setup'!$M$8*(SUMIF($AD$3:$BA$3,"&lt;"&amp;$DF23,$B23:$Y23)+SUMIF($AD$3:$BA$3,"&gt;="&amp;$DG23,$B23:$Y23)),
IF(AW$3=$DF23+'Model Setup'!$N$7,SUMIF($AD$3:$BA$3,"="&amp;$DF23+'Model Setup'!$N$7,$B23:$Y23)+'Model Setup'!$N$8*(SUMIF($AD$3:$BA$3,"&lt;"&amp;$DF23,$B23:$Y23)+SUMIF($AD$3:$BA$3,"&gt;="&amp;$DG23,$B23:$Y23)),
IF(AW$3&lt;$DG23,U23,0))))))))))))))),0)</f>
        <v>0</v>
      </c>
      <c r="AX23" s="47">
        <f>ROUND(IF(AX$3&lt;$DF23,0,
IF(AX$3=$DF23+'Model Setup'!$B$7,SUMIF($AD$3:$BA$3,"="&amp;$DF23+'Model Setup'!$B$7,$B23:$Y23)+'Model Setup'!$B$8*(SUMIF($AD$3:$BA$3,"&lt;"&amp;$DF23,$B23:$Y23)+SUMIF($AD$3:$BA$3,"&gt;="&amp;$DG23,$B23:$Y23)),
IF(AX$3=$DF23+'Model Setup'!$C$7,SUMIF($AD$3:$BA$3,"="&amp;$DF23+'Model Setup'!$C$7,$B23:$Y23)+'Model Setup'!$C$8*(SUMIF($AD$3:$BA$3,"&lt;"&amp;$DF23,$B23:$Y23)+SUMIF($AD$3:$BA$3,"&gt;="&amp;$DG23,$B23:$Y23)),
IF(AX$3=$DF23+'Model Setup'!$D$7,SUMIF($AD$3:$BA$3,"="&amp;$DF23+'Model Setup'!$D$7,$B23:$Y23)+'Model Setup'!$D$8*(SUMIF($AD$3:$BA$3,"&lt;"&amp;$DF23,$B23:$Y23)+SUMIF($AD$3:$BA$3,"&gt;="&amp;$DG23,$B23:$Y23)),
IF(AX$3=$DF23+'Model Setup'!$E$7,SUMIF($AD$3:$BA$3,"="&amp;$DF23+'Model Setup'!$E$7,$B23:$Y23)+'Model Setup'!$E$8*(SUMIF($AD$3:$BA$3,"&lt;"&amp;$DF23,$B23:$Y23)+SUMIF($AD$3:$BA$3,"&gt;="&amp;$DG23,$B23:$Y23)),
IF(AX$3=$DF23+'Model Setup'!$F$7,SUMIF($AD$3:$BA$3,"="&amp;$DF23+'Model Setup'!$F$7,$B23:$Y23)+'Model Setup'!$F$8*(SUMIF($AD$3:$BA$3,"&lt;"&amp;$DF23,$B23:$Y23)+SUMIF($AD$3:$BA$3,"&gt;="&amp;$DG23,$B23:$Y23)),
IF(AX$3=$DF23+'Model Setup'!$G$7,SUMIF($AD$3:$BA$3,"="&amp;$DF23+'Model Setup'!$G$7,$B23:$Y23)+'Model Setup'!$G$8*(SUMIF($AD$3:$BA$3,"&lt;"&amp;$DF23,$B23:$Y23)+SUMIF($AD$3:$BA$3,"&gt;="&amp;$DG23,$B23:$Y23)),
IF(AX$3=$DF23+'Model Setup'!$H$7,SUMIF($AD$3:$BA$3,"="&amp;$DF23+'Model Setup'!$H$7,$B23:$Y23)+'Model Setup'!$H$8*(SUMIF($AD$3:$BA$3,"&lt;"&amp;$DF23,$B23:$Y23)+SUMIF($AD$3:$BA$3,"&gt;="&amp;$DG23,$B23:$Y23)),
IF(AX$3=$DF23+'Model Setup'!$I$7,SUMIF($AD$3:$BA$3,"="&amp;$DF23+'Model Setup'!$I$7,$B23:$Y23)+'Model Setup'!$I$8*(SUMIF($AD$3:$BA$3,"&lt;"&amp;$DF23,$B23:$Y23)+SUMIF($AD$3:$BA$3,"&gt;="&amp;$DG23,$B23:$Y23)),
IF(AX$3=$DF23+'Model Setup'!$J$7,SUMIF($AD$3:$BA$3,"="&amp;$DF23+'Model Setup'!$J$7,$B23:$Y23)+'Model Setup'!$J$8*(SUMIF($AD$3:$BA$3,"&lt;"&amp;$DF23,$B23:$Y23)+SUMIF($AD$3:$BA$3,"&gt;="&amp;$DG23,$B23:$Y23)),
IF(AX$3=$DF23+'Model Setup'!$K$7,SUMIF($AD$3:$BA$3,"="&amp;$DF23+'Model Setup'!$K$7,$B23:$Y23)+'Model Setup'!$K$8*(SUMIF($AD$3:$BA$3,"&lt;"&amp;$DF23,$B23:$Y23)+SUMIF($AD$3:$BA$3,"&gt;="&amp;$DG23,$B23:$Y23)),
IF(AX$3=$DF23+'Model Setup'!$L$7,SUMIF($AD$3:$BA$3,"="&amp;$DF23+'Model Setup'!$L$7,$B23:$Y23)+'Model Setup'!$L$8*(SUMIF($AD$3:$BA$3,"&lt;"&amp;$DF23,$B23:$Y23)+SUMIF($AD$3:$BA$3,"&gt;="&amp;$DG23,$B23:$Y23)),
IF(AX$3=$DF23+'Model Setup'!$M$7,SUMIF($AD$3:$BA$3,"="&amp;$DF23+'Model Setup'!$M$7,$B23:$Y23)+'Model Setup'!$M$8*(SUMIF($AD$3:$BA$3,"&lt;"&amp;$DF23,$B23:$Y23)+SUMIF($AD$3:$BA$3,"&gt;="&amp;$DG23,$B23:$Y23)),
IF(AX$3=$DF23+'Model Setup'!$N$7,SUMIF($AD$3:$BA$3,"="&amp;$DF23+'Model Setup'!$N$7,$B23:$Y23)+'Model Setup'!$N$8*(SUMIF($AD$3:$BA$3,"&lt;"&amp;$DF23,$B23:$Y23)+SUMIF($AD$3:$BA$3,"&gt;="&amp;$DG23,$B23:$Y23)),
IF(AX$3&lt;$DG23,V23,0))))))))))))))),0)</f>
        <v>0</v>
      </c>
      <c r="AY23" s="47">
        <f>ROUND(IF(AY$3&lt;$DF23,0,
IF(AY$3=$DF23+'Model Setup'!$B$7,SUMIF($AD$3:$BA$3,"="&amp;$DF23+'Model Setup'!$B$7,$B23:$Y23)+'Model Setup'!$B$8*(SUMIF($AD$3:$BA$3,"&lt;"&amp;$DF23,$B23:$Y23)+SUMIF($AD$3:$BA$3,"&gt;="&amp;$DG23,$B23:$Y23)),
IF(AY$3=$DF23+'Model Setup'!$C$7,SUMIF($AD$3:$BA$3,"="&amp;$DF23+'Model Setup'!$C$7,$B23:$Y23)+'Model Setup'!$C$8*(SUMIF($AD$3:$BA$3,"&lt;"&amp;$DF23,$B23:$Y23)+SUMIF($AD$3:$BA$3,"&gt;="&amp;$DG23,$B23:$Y23)),
IF(AY$3=$DF23+'Model Setup'!$D$7,SUMIF($AD$3:$BA$3,"="&amp;$DF23+'Model Setup'!$D$7,$B23:$Y23)+'Model Setup'!$D$8*(SUMIF($AD$3:$BA$3,"&lt;"&amp;$DF23,$B23:$Y23)+SUMIF($AD$3:$BA$3,"&gt;="&amp;$DG23,$B23:$Y23)),
IF(AY$3=$DF23+'Model Setup'!$E$7,SUMIF($AD$3:$BA$3,"="&amp;$DF23+'Model Setup'!$E$7,$B23:$Y23)+'Model Setup'!$E$8*(SUMIF($AD$3:$BA$3,"&lt;"&amp;$DF23,$B23:$Y23)+SUMIF($AD$3:$BA$3,"&gt;="&amp;$DG23,$B23:$Y23)),
IF(AY$3=$DF23+'Model Setup'!$F$7,SUMIF($AD$3:$BA$3,"="&amp;$DF23+'Model Setup'!$F$7,$B23:$Y23)+'Model Setup'!$F$8*(SUMIF($AD$3:$BA$3,"&lt;"&amp;$DF23,$B23:$Y23)+SUMIF($AD$3:$BA$3,"&gt;="&amp;$DG23,$B23:$Y23)),
IF(AY$3=$DF23+'Model Setup'!$G$7,SUMIF($AD$3:$BA$3,"="&amp;$DF23+'Model Setup'!$G$7,$B23:$Y23)+'Model Setup'!$G$8*(SUMIF($AD$3:$BA$3,"&lt;"&amp;$DF23,$B23:$Y23)+SUMIF($AD$3:$BA$3,"&gt;="&amp;$DG23,$B23:$Y23)),
IF(AY$3=$DF23+'Model Setup'!$H$7,SUMIF($AD$3:$BA$3,"="&amp;$DF23+'Model Setup'!$H$7,$B23:$Y23)+'Model Setup'!$H$8*(SUMIF($AD$3:$BA$3,"&lt;"&amp;$DF23,$B23:$Y23)+SUMIF($AD$3:$BA$3,"&gt;="&amp;$DG23,$B23:$Y23)),
IF(AY$3=$DF23+'Model Setup'!$I$7,SUMIF($AD$3:$BA$3,"="&amp;$DF23+'Model Setup'!$I$7,$B23:$Y23)+'Model Setup'!$I$8*(SUMIF($AD$3:$BA$3,"&lt;"&amp;$DF23,$B23:$Y23)+SUMIF($AD$3:$BA$3,"&gt;="&amp;$DG23,$B23:$Y23)),
IF(AY$3=$DF23+'Model Setup'!$J$7,SUMIF($AD$3:$BA$3,"="&amp;$DF23+'Model Setup'!$J$7,$B23:$Y23)+'Model Setup'!$J$8*(SUMIF($AD$3:$BA$3,"&lt;"&amp;$DF23,$B23:$Y23)+SUMIF($AD$3:$BA$3,"&gt;="&amp;$DG23,$B23:$Y23)),
IF(AY$3=$DF23+'Model Setup'!$K$7,SUMIF($AD$3:$BA$3,"="&amp;$DF23+'Model Setup'!$K$7,$B23:$Y23)+'Model Setup'!$K$8*(SUMIF($AD$3:$BA$3,"&lt;"&amp;$DF23,$B23:$Y23)+SUMIF($AD$3:$BA$3,"&gt;="&amp;$DG23,$B23:$Y23)),
IF(AY$3=$DF23+'Model Setup'!$L$7,SUMIF($AD$3:$BA$3,"="&amp;$DF23+'Model Setup'!$L$7,$B23:$Y23)+'Model Setup'!$L$8*(SUMIF($AD$3:$BA$3,"&lt;"&amp;$DF23,$B23:$Y23)+SUMIF($AD$3:$BA$3,"&gt;="&amp;$DG23,$B23:$Y23)),
IF(AY$3=$DF23+'Model Setup'!$M$7,SUMIF($AD$3:$BA$3,"="&amp;$DF23+'Model Setup'!$M$7,$B23:$Y23)+'Model Setup'!$M$8*(SUMIF($AD$3:$BA$3,"&lt;"&amp;$DF23,$B23:$Y23)+SUMIF($AD$3:$BA$3,"&gt;="&amp;$DG23,$B23:$Y23)),
IF(AY$3=$DF23+'Model Setup'!$N$7,SUMIF($AD$3:$BA$3,"="&amp;$DF23+'Model Setup'!$N$7,$B23:$Y23)+'Model Setup'!$N$8*(SUMIF($AD$3:$BA$3,"&lt;"&amp;$DF23,$B23:$Y23)+SUMIF($AD$3:$BA$3,"&gt;="&amp;$DG23,$B23:$Y23)),
IF(AY$3&lt;$DG23,W23,0))))))))))))))),0)</f>
        <v>0</v>
      </c>
      <c r="AZ23" s="47">
        <f>ROUND(IF(AZ$3&lt;$DF23,0,
IF(AZ$3=$DF23+'Model Setup'!$B$7,SUMIF($AD$3:$BA$3,"="&amp;$DF23+'Model Setup'!$B$7,$B23:$Y23)+'Model Setup'!$B$8*(SUMIF($AD$3:$BA$3,"&lt;"&amp;$DF23,$B23:$Y23)+SUMIF($AD$3:$BA$3,"&gt;="&amp;$DG23,$B23:$Y23)),
IF(AZ$3=$DF23+'Model Setup'!$C$7,SUMIF($AD$3:$BA$3,"="&amp;$DF23+'Model Setup'!$C$7,$B23:$Y23)+'Model Setup'!$C$8*(SUMIF($AD$3:$BA$3,"&lt;"&amp;$DF23,$B23:$Y23)+SUMIF($AD$3:$BA$3,"&gt;="&amp;$DG23,$B23:$Y23)),
IF(AZ$3=$DF23+'Model Setup'!$D$7,SUMIF($AD$3:$BA$3,"="&amp;$DF23+'Model Setup'!$D$7,$B23:$Y23)+'Model Setup'!$D$8*(SUMIF($AD$3:$BA$3,"&lt;"&amp;$DF23,$B23:$Y23)+SUMIF($AD$3:$BA$3,"&gt;="&amp;$DG23,$B23:$Y23)),
IF(AZ$3=$DF23+'Model Setup'!$E$7,SUMIF($AD$3:$BA$3,"="&amp;$DF23+'Model Setup'!$E$7,$B23:$Y23)+'Model Setup'!$E$8*(SUMIF($AD$3:$BA$3,"&lt;"&amp;$DF23,$B23:$Y23)+SUMIF($AD$3:$BA$3,"&gt;="&amp;$DG23,$B23:$Y23)),
IF(AZ$3=$DF23+'Model Setup'!$F$7,SUMIF($AD$3:$BA$3,"="&amp;$DF23+'Model Setup'!$F$7,$B23:$Y23)+'Model Setup'!$F$8*(SUMIF($AD$3:$BA$3,"&lt;"&amp;$DF23,$B23:$Y23)+SUMIF($AD$3:$BA$3,"&gt;="&amp;$DG23,$B23:$Y23)),
IF(AZ$3=$DF23+'Model Setup'!$G$7,SUMIF($AD$3:$BA$3,"="&amp;$DF23+'Model Setup'!$G$7,$B23:$Y23)+'Model Setup'!$G$8*(SUMIF($AD$3:$BA$3,"&lt;"&amp;$DF23,$B23:$Y23)+SUMIF($AD$3:$BA$3,"&gt;="&amp;$DG23,$B23:$Y23)),
IF(AZ$3=$DF23+'Model Setup'!$H$7,SUMIF($AD$3:$BA$3,"="&amp;$DF23+'Model Setup'!$H$7,$B23:$Y23)+'Model Setup'!$H$8*(SUMIF($AD$3:$BA$3,"&lt;"&amp;$DF23,$B23:$Y23)+SUMIF($AD$3:$BA$3,"&gt;="&amp;$DG23,$B23:$Y23)),
IF(AZ$3=$DF23+'Model Setup'!$I$7,SUMIF($AD$3:$BA$3,"="&amp;$DF23+'Model Setup'!$I$7,$B23:$Y23)+'Model Setup'!$I$8*(SUMIF($AD$3:$BA$3,"&lt;"&amp;$DF23,$B23:$Y23)+SUMIF($AD$3:$BA$3,"&gt;="&amp;$DG23,$B23:$Y23)),
IF(AZ$3=$DF23+'Model Setup'!$J$7,SUMIF($AD$3:$BA$3,"="&amp;$DF23+'Model Setup'!$J$7,$B23:$Y23)+'Model Setup'!$J$8*(SUMIF($AD$3:$BA$3,"&lt;"&amp;$DF23,$B23:$Y23)+SUMIF($AD$3:$BA$3,"&gt;="&amp;$DG23,$B23:$Y23)),
IF(AZ$3=$DF23+'Model Setup'!$K$7,SUMIF($AD$3:$BA$3,"="&amp;$DF23+'Model Setup'!$K$7,$B23:$Y23)+'Model Setup'!$K$8*(SUMIF($AD$3:$BA$3,"&lt;"&amp;$DF23,$B23:$Y23)+SUMIF($AD$3:$BA$3,"&gt;="&amp;$DG23,$B23:$Y23)),
IF(AZ$3=$DF23+'Model Setup'!$L$7,SUMIF($AD$3:$BA$3,"="&amp;$DF23+'Model Setup'!$L$7,$B23:$Y23)+'Model Setup'!$L$8*(SUMIF($AD$3:$BA$3,"&lt;"&amp;$DF23,$B23:$Y23)+SUMIF($AD$3:$BA$3,"&gt;="&amp;$DG23,$B23:$Y23)),
IF(AZ$3=$DF23+'Model Setup'!$M$7,SUMIF($AD$3:$BA$3,"="&amp;$DF23+'Model Setup'!$M$7,$B23:$Y23)+'Model Setup'!$M$8*(SUMIF($AD$3:$BA$3,"&lt;"&amp;$DF23,$B23:$Y23)+SUMIF($AD$3:$BA$3,"&gt;="&amp;$DG23,$B23:$Y23)),
IF(AZ$3=$DF23+'Model Setup'!$N$7,SUMIF($AD$3:$BA$3,"="&amp;$DF23+'Model Setup'!$N$7,$B23:$Y23)+'Model Setup'!$N$8*(SUMIF($AD$3:$BA$3,"&lt;"&amp;$DF23,$B23:$Y23)+SUMIF($AD$3:$BA$3,"&gt;="&amp;$DG23,$B23:$Y23)),
IF(AZ$3&lt;$DG23,X23,0))))))))))))))),0)</f>
        <v>0</v>
      </c>
      <c r="BA23" s="47">
        <f>ROUND(IF(BA$3&lt;$DF23,0,
IF(BA$3=$DF23+'Model Setup'!$B$7,SUMIF($AD$3:$BA$3,"="&amp;$DF23+'Model Setup'!$B$7,$B23:$Y23)+'Model Setup'!$B$8*(SUMIF($AD$3:$BA$3,"&lt;"&amp;$DF23,$B23:$Y23)+SUMIF($AD$3:$BA$3,"&gt;="&amp;$DG23,$B23:$Y23)),
IF(BA$3=$DF23+'Model Setup'!$C$7,SUMIF($AD$3:$BA$3,"="&amp;$DF23+'Model Setup'!$C$7,$B23:$Y23)+'Model Setup'!$C$8*(SUMIF($AD$3:$BA$3,"&lt;"&amp;$DF23,$B23:$Y23)+SUMIF($AD$3:$BA$3,"&gt;="&amp;$DG23,$B23:$Y23)),
IF(BA$3=$DF23+'Model Setup'!$D$7,SUMIF($AD$3:$BA$3,"="&amp;$DF23+'Model Setup'!$D$7,$B23:$Y23)+'Model Setup'!$D$8*(SUMIF($AD$3:$BA$3,"&lt;"&amp;$DF23,$B23:$Y23)+SUMIF($AD$3:$BA$3,"&gt;="&amp;$DG23,$B23:$Y23)),
IF(BA$3=$DF23+'Model Setup'!$E$7,SUMIF($AD$3:$BA$3,"="&amp;$DF23+'Model Setup'!$E$7,$B23:$Y23)+'Model Setup'!$E$8*(SUMIF($AD$3:$BA$3,"&lt;"&amp;$DF23,$B23:$Y23)+SUMIF($AD$3:$BA$3,"&gt;="&amp;$DG23,$B23:$Y23)),
IF(BA$3=$DF23+'Model Setup'!$F$7,SUMIF($AD$3:$BA$3,"="&amp;$DF23+'Model Setup'!$F$7,$B23:$Y23)+'Model Setup'!$F$8*(SUMIF($AD$3:$BA$3,"&lt;"&amp;$DF23,$B23:$Y23)+SUMIF($AD$3:$BA$3,"&gt;="&amp;$DG23,$B23:$Y23)),
IF(BA$3=$DF23+'Model Setup'!$G$7,SUMIF($AD$3:$BA$3,"="&amp;$DF23+'Model Setup'!$G$7,$B23:$Y23)+'Model Setup'!$G$8*(SUMIF($AD$3:$BA$3,"&lt;"&amp;$DF23,$B23:$Y23)+SUMIF($AD$3:$BA$3,"&gt;="&amp;$DG23,$B23:$Y23)),
IF(BA$3=$DF23+'Model Setup'!$H$7,SUMIF($AD$3:$BA$3,"="&amp;$DF23+'Model Setup'!$H$7,$B23:$Y23)+'Model Setup'!$H$8*(SUMIF($AD$3:$BA$3,"&lt;"&amp;$DF23,$B23:$Y23)+SUMIF($AD$3:$BA$3,"&gt;="&amp;$DG23,$B23:$Y23)),
IF(BA$3=$DF23+'Model Setup'!$I$7,SUMIF($AD$3:$BA$3,"="&amp;$DF23+'Model Setup'!$I$7,$B23:$Y23)+'Model Setup'!$I$8*(SUMIF($AD$3:$BA$3,"&lt;"&amp;$DF23,$B23:$Y23)+SUMIF($AD$3:$BA$3,"&gt;="&amp;$DG23,$B23:$Y23)),
IF(BA$3=$DF23+'Model Setup'!$J$7,SUMIF($AD$3:$BA$3,"="&amp;$DF23+'Model Setup'!$J$7,$B23:$Y23)+'Model Setup'!$J$8*(SUMIF($AD$3:$BA$3,"&lt;"&amp;$DF23,$B23:$Y23)+SUMIF($AD$3:$BA$3,"&gt;="&amp;$DG23,$B23:$Y23)),
IF(BA$3=$DF23+'Model Setup'!$K$7,SUMIF($AD$3:$BA$3,"="&amp;$DF23+'Model Setup'!$K$7,$B23:$Y23)+'Model Setup'!$K$8*(SUMIF($AD$3:$BA$3,"&lt;"&amp;$DF23,$B23:$Y23)+SUMIF($AD$3:$BA$3,"&gt;="&amp;$DG23,$B23:$Y23)),
IF(BA$3=$DF23+'Model Setup'!$L$7,SUMIF($AD$3:$BA$3,"="&amp;$DF23+'Model Setup'!$L$7,$B23:$Y23)+'Model Setup'!$L$8*(SUMIF($AD$3:$BA$3,"&lt;"&amp;$DF23,$B23:$Y23)+SUMIF($AD$3:$BA$3,"&gt;="&amp;$DG23,$B23:$Y23)),
IF(BA$3=$DF23+'Model Setup'!$M$7,SUMIF($AD$3:$BA$3,"="&amp;$DF23+'Model Setup'!$M$7,$B23:$Y23)+'Model Setup'!$M$8*(SUMIF($AD$3:$BA$3,"&lt;"&amp;$DF23,$B23:$Y23)+SUMIF($AD$3:$BA$3,"&gt;="&amp;$DG23,$B23:$Y23)),
IF(BA$3=$DF23+'Model Setup'!$N$7,SUMIF($AD$3:$BA$3,"="&amp;$DF23+'Model Setup'!$N$7,$B23:$Y23)+'Model Setup'!$N$8*(SUMIF($AD$3:$BA$3,"&lt;"&amp;$DF23,$B23:$Y23)+SUMIF($AD$3:$BA$3,"&gt;="&amp;$DG23,$B23:$Y23)),
IF(BA$3&lt;$DG23,Y23,0))))))))))))))),0)</f>
        <v>0</v>
      </c>
      <c r="BB23" s="47">
        <f t="shared" si="1"/>
        <v>521</v>
      </c>
      <c r="BD23" t="b">
        <f t="shared" si="2"/>
        <v>0</v>
      </c>
      <c r="BE23">
        <f t="shared" si="8"/>
        <v>6</v>
      </c>
      <c r="BF23">
        <f>(FTC!F21-FTC!E21)*24</f>
        <v>12</v>
      </c>
      <c r="BG23" s="43" t="s">
        <v>38</v>
      </c>
      <c r="BH23" s="47">
        <f>ROUND(IF(OR(BH$3&lt;$DF23,BH$3&gt;$CW$4),0,
IF(BH$3=$DF23+'Model Setup'!$B$7,SUMIF($BH$3:$CE$3,"="&amp;$DF23+'Model Setup'!$B$7,$AD23:$BA23)+'Model Setup'!$B$8*(SUMIF($BH$3:$CE$3,"&lt;"&amp;$DF23,$AD23:$BA23)+SUMIF($BH$3:$CE$3,"&gt;"&amp;$CW$4,$AD23:$BA23)),
IF(BH$3=$DF23+'Model Setup'!$C$7,SUMIF($BH$3:$CE$3,"="&amp;$DF23+'Model Setup'!$C$7,$AD23:$BA23)+'Model Setup'!$C$8*(SUMIF($BH$3:$CE$3,"&lt;"&amp;$DF23,$AD23:$BA23)+SUMIF($BH$3:$CE$3,"&gt;"&amp;$CW$4,$AD23:$BA23)),
IF(BH$3=$DF23+'Model Setup'!$D$7,SUMIF($BH$3:$CE$3,"="&amp;$DF23+'Model Setup'!$D$7,$AD23:$BA23)+'Model Setup'!$D$8*(SUMIF($BH$3:$CE$3,"&lt;"&amp;$DF23,$AD23:$BA23)+SUMIF($BH$3:$CE$3,"&gt;"&amp;$CW$4,$AD23:$BA23)),
IF(BH$3=$DF23+'Model Setup'!$E$7,SUMIF($BH$3:$CE$3,"="&amp;$DF23+'Model Setup'!$E$7,$AD23:$BA23)+'Model Setup'!$E$8*(SUMIF($BH$3:$CE$3,"&lt;"&amp;$DF23,$AD23:$BA23)+SUMIF($BH$3:$CE$3,"&gt;"&amp;$CW$4,$AD23:$BA23)),
IF(BH$3=$DF23+'Model Setup'!$F$7,SUMIF($BH$3:$CE$3,"="&amp;$DF23+'Model Setup'!$F$7,$AD23:$BA23)+'Model Setup'!$F$8*(SUMIF($BH$3:$CE$3,"&lt;"&amp;$DF23,$AD23:$BA23)+SUMIF($BH$3:$CE$3,"&gt;"&amp;$CW$4,$AD23:$BA23)),
IF(BH$3=$DF23+'Model Setup'!$G$7,SUMIF($BH$3:$CE$3,"="&amp;$DF23+'Model Setup'!$G$7,$AD23:$BA23)+'Model Setup'!$G$8*(SUMIF($BH$3:$CE$3,"&lt;"&amp;$DF23,$AD23:$BA23)+SUMIF($BH$3:$CE$3,"&gt;"&amp;$CW$4,$AD23:$BA23)),
IF(BH$3=$DF23+'Model Setup'!$H$7,SUMIF($BH$3:$CE$3,"="&amp;$DF23+'Model Setup'!$H$7,$AD23:$BA23)+'Model Setup'!$H$8*(SUMIF($BH$3:$CE$3,"&lt;"&amp;$DF23,$AD23:$BA23)+SUMIF($BH$3:$CE$3,"&gt;"&amp;$CW$4,$AD23:$BA23)),
IF(BH$3=$DF23+'Model Setup'!$I$7,SUMIF($BH$3:$CE$3,"="&amp;$DF23+'Model Setup'!$I$7,$AD23:$BA23)+'Model Setup'!$I$8*(SUMIF($BH$3:$CE$3,"&lt;"&amp;$DF23,$AD23:$BA23)+SUMIF($BH$3:$CE$3,"&gt;"&amp;$CW$4,$AD23:$BA23)),
IF(BH$3=$DF23+'Model Setup'!$J$7,SUMIF($BH$3:$CE$3,"="&amp;$DF23+'Model Setup'!$J$7,$AD23:$BA23)+'Model Setup'!$J$8*(SUMIF($BH$3:$CE$3,"&lt;"&amp;$DF23,$AD23:$BA23)+SUMIF($BH$3:$CE$3,"&gt;"&amp;$CW$4,$AD23:$BA23)),
IF(BH$3=$DF23+'Model Setup'!$K$7,SUMIF($BH$3:$CE$3,"="&amp;$DF23+'Model Setup'!$K$7,$AD23:$BA23)+'Model Setup'!$K$8*(SUMIF($BH$3:$CE$3,"&lt;"&amp;$DF23,$AD23:$BA23)+SUMIF($BH$3:$CE$3,"&gt;"&amp;$CW$4,$AD23:$BA23)),
IF(BH$3=$DF23+'Model Setup'!$L$7,SUMIF($BH$3:$CE$3,"="&amp;$DF23+'Model Setup'!$L$7,$AD23:$BA23)+'Model Setup'!$L$8*(SUMIF($BH$3:$CE$3,"&lt;"&amp;$DF23,$AD23:$BA23)+SUMIF($BH$3:$CE$3,"&gt;"&amp;$CW$4,$AD23:$BA23)),
IF(BH$3=$DF23+'Model Setup'!$M$7,SUMIF($BH$3:$CE$3,"="&amp;$DF23+'Model Setup'!$M$7,$AD23:$BA23)+'Model Setup'!$M$8*(SUMIF($BH$3:$CE$3,"&lt;"&amp;$DF23,$AD23:$BA23)+SUMIF($BH$3:$CE$3,"&gt;"&amp;$CW$4,$AD23:$BA23)),
IF(BH$3=$DF23+'Model Setup'!$N$7,SUMIF($BH$3:$CE$3,"="&amp;$DF23+'Model Setup'!$N$7,$AD23:$BA23)+'Model Setup'!$N$8*(SUMIF($BH$3:$CE$3,"&lt;"&amp;$DF23,$AD23:$BA23)+SUMIF($BH$3:$CE$3,"&gt;"&amp;$CW$4,$AD23:$BA23)),
IF(BH$3&lt;$CW$4,B23,0))))))))))))))),0)</f>
        <v>0</v>
      </c>
      <c r="BI23" s="47">
        <f>ROUND(IF(OR(BI$3&lt;$DF23,BI$3&gt;$CW$4),0,
IF(BI$3=$DF23+'Model Setup'!$B$7,SUMIF($BH$3:$CE$3,"="&amp;$DF23+'Model Setup'!$B$7,$AD23:$BA23)+'Model Setup'!$B$8*(SUMIF($BH$3:$CE$3,"&lt;"&amp;$DF23,$AD23:$BA23)+SUMIF($BH$3:$CE$3,"&gt;"&amp;$CW$4,$AD23:$BA23)),
IF(BI$3=$DF23+'Model Setup'!$C$7,SUMIF($BH$3:$CE$3,"="&amp;$DF23+'Model Setup'!$C$7,$AD23:$BA23)+'Model Setup'!$C$8*(SUMIF($BH$3:$CE$3,"&lt;"&amp;$DF23,$AD23:$BA23)+SUMIF($BH$3:$CE$3,"&gt;"&amp;$CW$4,$AD23:$BA23)),
IF(BI$3=$DF23+'Model Setup'!$D$7,SUMIF($BH$3:$CE$3,"="&amp;$DF23+'Model Setup'!$D$7,$AD23:$BA23)+'Model Setup'!$D$8*(SUMIF($BH$3:$CE$3,"&lt;"&amp;$DF23,$AD23:$BA23)+SUMIF($BH$3:$CE$3,"&gt;"&amp;$CW$4,$AD23:$BA23)),
IF(BI$3=$DF23+'Model Setup'!$E$7,SUMIF($BH$3:$CE$3,"="&amp;$DF23+'Model Setup'!$E$7,$AD23:$BA23)+'Model Setup'!$E$8*(SUMIF($BH$3:$CE$3,"&lt;"&amp;$DF23,$AD23:$BA23)+SUMIF($BH$3:$CE$3,"&gt;"&amp;$CW$4,$AD23:$BA23)),
IF(BI$3=$DF23+'Model Setup'!$F$7,SUMIF($BH$3:$CE$3,"="&amp;$DF23+'Model Setup'!$F$7,$AD23:$BA23)+'Model Setup'!$F$8*(SUMIF($BH$3:$CE$3,"&lt;"&amp;$DF23,$AD23:$BA23)+SUMIF($BH$3:$CE$3,"&gt;"&amp;$CW$4,$AD23:$BA23)),
IF(BI$3=$DF23+'Model Setup'!$G$7,SUMIF($BH$3:$CE$3,"="&amp;$DF23+'Model Setup'!$G$7,$AD23:$BA23)+'Model Setup'!$G$8*(SUMIF($BH$3:$CE$3,"&lt;"&amp;$DF23,$AD23:$BA23)+SUMIF($BH$3:$CE$3,"&gt;"&amp;$CW$4,$AD23:$BA23)),
IF(BI$3=$DF23+'Model Setup'!$H$7,SUMIF($BH$3:$CE$3,"="&amp;$DF23+'Model Setup'!$H$7,$AD23:$BA23)+'Model Setup'!$H$8*(SUMIF($BH$3:$CE$3,"&lt;"&amp;$DF23,$AD23:$BA23)+SUMIF($BH$3:$CE$3,"&gt;"&amp;$CW$4,$AD23:$BA23)),
IF(BI$3=$DF23+'Model Setup'!$I$7,SUMIF($BH$3:$CE$3,"="&amp;$DF23+'Model Setup'!$I$7,$AD23:$BA23)+'Model Setup'!$I$8*(SUMIF($BH$3:$CE$3,"&lt;"&amp;$DF23,$AD23:$BA23)+SUMIF($BH$3:$CE$3,"&gt;"&amp;$CW$4,$AD23:$BA23)),
IF(BI$3=$DF23+'Model Setup'!$J$7,SUMIF($BH$3:$CE$3,"="&amp;$DF23+'Model Setup'!$J$7,$AD23:$BA23)+'Model Setup'!$J$8*(SUMIF($BH$3:$CE$3,"&lt;"&amp;$DF23,$AD23:$BA23)+SUMIF($BH$3:$CE$3,"&gt;"&amp;$CW$4,$AD23:$BA23)),
IF(BI$3=$DF23+'Model Setup'!$K$7,SUMIF($BH$3:$CE$3,"="&amp;$DF23+'Model Setup'!$K$7,$AD23:$BA23)+'Model Setup'!$K$8*(SUMIF($BH$3:$CE$3,"&lt;"&amp;$DF23,$AD23:$BA23)+SUMIF($BH$3:$CE$3,"&gt;"&amp;$CW$4,$AD23:$BA23)),
IF(BI$3=$DF23+'Model Setup'!$L$7,SUMIF($BH$3:$CE$3,"="&amp;$DF23+'Model Setup'!$L$7,$AD23:$BA23)+'Model Setup'!$L$8*(SUMIF($BH$3:$CE$3,"&lt;"&amp;$DF23,$AD23:$BA23)+SUMIF($BH$3:$CE$3,"&gt;"&amp;$CW$4,$AD23:$BA23)),
IF(BI$3=$DF23+'Model Setup'!$M$7,SUMIF($BH$3:$CE$3,"="&amp;$DF23+'Model Setup'!$M$7,$AD23:$BA23)+'Model Setup'!$M$8*(SUMIF($BH$3:$CE$3,"&lt;"&amp;$DF23,$AD23:$BA23)+SUMIF($BH$3:$CE$3,"&gt;"&amp;$CW$4,$AD23:$BA23)),
IF(BI$3=$DF23+'Model Setup'!$N$7,SUMIF($BH$3:$CE$3,"="&amp;$DF23+'Model Setup'!$N$7,$AD23:$BA23)+'Model Setup'!$N$8*(SUMIF($BH$3:$CE$3,"&lt;"&amp;$DF23,$AD23:$BA23)+SUMIF($BH$3:$CE$3,"&gt;"&amp;$CW$4,$AD23:$BA23)),
IF(BI$3&lt;$CW$4,C23,0))))))))))))))),0)</f>
        <v>0</v>
      </c>
      <c r="BJ23" s="47">
        <f>ROUND(IF(OR(BJ$3&lt;$DF23,BJ$3&gt;$CW$4),0,
IF(BJ$3=$DF23+'Model Setup'!$B$7,SUMIF($BH$3:$CE$3,"="&amp;$DF23+'Model Setup'!$B$7,$AD23:$BA23)+'Model Setup'!$B$8*(SUMIF($BH$3:$CE$3,"&lt;"&amp;$DF23,$AD23:$BA23)+SUMIF($BH$3:$CE$3,"&gt;"&amp;$CW$4,$AD23:$BA23)),
IF(BJ$3=$DF23+'Model Setup'!$C$7,SUMIF($BH$3:$CE$3,"="&amp;$DF23+'Model Setup'!$C$7,$AD23:$BA23)+'Model Setup'!$C$8*(SUMIF($BH$3:$CE$3,"&lt;"&amp;$DF23,$AD23:$BA23)+SUMIF($BH$3:$CE$3,"&gt;"&amp;$CW$4,$AD23:$BA23)),
IF(BJ$3=$DF23+'Model Setup'!$D$7,SUMIF($BH$3:$CE$3,"="&amp;$DF23+'Model Setup'!$D$7,$AD23:$BA23)+'Model Setup'!$D$8*(SUMIF($BH$3:$CE$3,"&lt;"&amp;$DF23,$AD23:$BA23)+SUMIF($BH$3:$CE$3,"&gt;"&amp;$CW$4,$AD23:$BA23)),
IF(BJ$3=$DF23+'Model Setup'!$E$7,SUMIF($BH$3:$CE$3,"="&amp;$DF23+'Model Setup'!$E$7,$AD23:$BA23)+'Model Setup'!$E$8*(SUMIF($BH$3:$CE$3,"&lt;"&amp;$DF23,$AD23:$BA23)+SUMIF($BH$3:$CE$3,"&gt;"&amp;$CW$4,$AD23:$BA23)),
IF(BJ$3=$DF23+'Model Setup'!$F$7,SUMIF($BH$3:$CE$3,"="&amp;$DF23+'Model Setup'!$F$7,$AD23:$BA23)+'Model Setup'!$F$8*(SUMIF($BH$3:$CE$3,"&lt;"&amp;$DF23,$AD23:$BA23)+SUMIF($BH$3:$CE$3,"&gt;"&amp;$CW$4,$AD23:$BA23)),
IF(BJ$3=$DF23+'Model Setup'!$G$7,SUMIF($BH$3:$CE$3,"="&amp;$DF23+'Model Setup'!$G$7,$AD23:$BA23)+'Model Setup'!$G$8*(SUMIF($BH$3:$CE$3,"&lt;"&amp;$DF23,$AD23:$BA23)+SUMIF($BH$3:$CE$3,"&gt;"&amp;$CW$4,$AD23:$BA23)),
IF(BJ$3=$DF23+'Model Setup'!$H$7,SUMIF($BH$3:$CE$3,"="&amp;$DF23+'Model Setup'!$H$7,$AD23:$BA23)+'Model Setup'!$H$8*(SUMIF($BH$3:$CE$3,"&lt;"&amp;$DF23,$AD23:$BA23)+SUMIF($BH$3:$CE$3,"&gt;"&amp;$CW$4,$AD23:$BA23)),
IF(BJ$3=$DF23+'Model Setup'!$I$7,SUMIF($BH$3:$CE$3,"="&amp;$DF23+'Model Setup'!$I$7,$AD23:$BA23)+'Model Setup'!$I$8*(SUMIF($BH$3:$CE$3,"&lt;"&amp;$DF23,$AD23:$BA23)+SUMIF($BH$3:$CE$3,"&gt;"&amp;$CW$4,$AD23:$BA23)),
IF(BJ$3=$DF23+'Model Setup'!$J$7,SUMIF($BH$3:$CE$3,"="&amp;$DF23+'Model Setup'!$J$7,$AD23:$BA23)+'Model Setup'!$J$8*(SUMIF($BH$3:$CE$3,"&lt;"&amp;$DF23,$AD23:$BA23)+SUMIF($BH$3:$CE$3,"&gt;"&amp;$CW$4,$AD23:$BA23)),
IF(BJ$3=$DF23+'Model Setup'!$K$7,SUMIF($BH$3:$CE$3,"="&amp;$DF23+'Model Setup'!$K$7,$AD23:$BA23)+'Model Setup'!$K$8*(SUMIF($BH$3:$CE$3,"&lt;"&amp;$DF23,$AD23:$BA23)+SUMIF($BH$3:$CE$3,"&gt;"&amp;$CW$4,$AD23:$BA23)),
IF(BJ$3=$DF23+'Model Setup'!$L$7,SUMIF($BH$3:$CE$3,"="&amp;$DF23+'Model Setup'!$L$7,$AD23:$BA23)+'Model Setup'!$L$8*(SUMIF($BH$3:$CE$3,"&lt;"&amp;$DF23,$AD23:$BA23)+SUMIF($BH$3:$CE$3,"&gt;"&amp;$CW$4,$AD23:$BA23)),
IF(BJ$3=$DF23+'Model Setup'!$M$7,SUMIF($BH$3:$CE$3,"="&amp;$DF23+'Model Setup'!$M$7,$AD23:$BA23)+'Model Setup'!$M$8*(SUMIF($BH$3:$CE$3,"&lt;"&amp;$DF23,$AD23:$BA23)+SUMIF($BH$3:$CE$3,"&gt;"&amp;$CW$4,$AD23:$BA23)),
IF(BJ$3=$DF23+'Model Setup'!$N$7,SUMIF($BH$3:$CE$3,"="&amp;$DF23+'Model Setup'!$N$7,$AD23:$BA23)+'Model Setup'!$N$8*(SUMIF($BH$3:$CE$3,"&lt;"&amp;$DF23,$AD23:$BA23)+SUMIF($BH$3:$CE$3,"&gt;"&amp;$CW$4,$AD23:$BA23)),
IF(BJ$3&lt;$CW$4,D23,0))))))))))))))),0)</f>
        <v>0</v>
      </c>
      <c r="BK23" s="47">
        <f>ROUND(IF(OR(BK$3&lt;$DF23,BK$3&gt;$CW$4),0,
IF(BK$3=$DF23+'Model Setup'!$B$7,SUMIF($BH$3:$CE$3,"="&amp;$DF23+'Model Setup'!$B$7,$AD23:$BA23)+'Model Setup'!$B$8*(SUMIF($BH$3:$CE$3,"&lt;"&amp;$DF23,$AD23:$BA23)+SUMIF($BH$3:$CE$3,"&gt;"&amp;$CW$4,$AD23:$BA23)),
IF(BK$3=$DF23+'Model Setup'!$C$7,SUMIF($BH$3:$CE$3,"="&amp;$DF23+'Model Setup'!$C$7,$AD23:$BA23)+'Model Setup'!$C$8*(SUMIF($BH$3:$CE$3,"&lt;"&amp;$DF23,$AD23:$BA23)+SUMIF($BH$3:$CE$3,"&gt;"&amp;$CW$4,$AD23:$BA23)),
IF(BK$3=$DF23+'Model Setup'!$D$7,SUMIF($BH$3:$CE$3,"="&amp;$DF23+'Model Setup'!$D$7,$AD23:$BA23)+'Model Setup'!$D$8*(SUMIF($BH$3:$CE$3,"&lt;"&amp;$DF23,$AD23:$BA23)+SUMIF($BH$3:$CE$3,"&gt;"&amp;$CW$4,$AD23:$BA23)),
IF(BK$3=$DF23+'Model Setup'!$E$7,SUMIF($BH$3:$CE$3,"="&amp;$DF23+'Model Setup'!$E$7,$AD23:$BA23)+'Model Setup'!$E$8*(SUMIF($BH$3:$CE$3,"&lt;"&amp;$DF23,$AD23:$BA23)+SUMIF($BH$3:$CE$3,"&gt;"&amp;$CW$4,$AD23:$BA23)),
IF(BK$3=$DF23+'Model Setup'!$F$7,SUMIF($BH$3:$CE$3,"="&amp;$DF23+'Model Setup'!$F$7,$AD23:$BA23)+'Model Setup'!$F$8*(SUMIF($BH$3:$CE$3,"&lt;"&amp;$DF23,$AD23:$BA23)+SUMIF($BH$3:$CE$3,"&gt;"&amp;$CW$4,$AD23:$BA23)),
IF(BK$3=$DF23+'Model Setup'!$G$7,SUMIF($BH$3:$CE$3,"="&amp;$DF23+'Model Setup'!$G$7,$AD23:$BA23)+'Model Setup'!$G$8*(SUMIF($BH$3:$CE$3,"&lt;"&amp;$DF23,$AD23:$BA23)+SUMIF($BH$3:$CE$3,"&gt;"&amp;$CW$4,$AD23:$BA23)),
IF(BK$3=$DF23+'Model Setup'!$H$7,SUMIF($BH$3:$CE$3,"="&amp;$DF23+'Model Setup'!$H$7,$AD23:$BA23)+'Model Setup'!$H$8*(SUMIF($BH$3:$CE$3,"&lt;"&amp;$DF23,$AD23:$BA23)+SUMIF($BH$3:$CE$3,"&gt;"&amp;$CW$4,$AD23:$BA23)),
IF(BK$3=$DF23+'Model Setup'!$I$7,SUMIF($BH$3:$CE$3,"="&amp;$DF23+'Model Setup'!$I$7,$AD23:$BA23)+'Model Setup'!$I$8*(SUMIF($BH$3:$CE$3,"&lt;"&amp;$DF23,$AD23:$BA23)+SUMIF($BH$3:$CE$3,"&gt;"&amp;$CW$4,$AD23:$BA23)),
IF(BK$3=$DF23+'Model Setup'!$J$7,SUMIF($BH$3:$CE$3,"="&amp;$DF23+'Model Setup'!$J$7,$AD23:$BA23)+'Model Setup'!$J$8*(SUMIF($BH$3:$CE$3,"&lt;"&amp;$DF23,$AD23:$BA23)+SUMIF($BH$3:$CE$3,"&gt;"&amp;$CW$4,$AD23:$BA23)),
IF(BK$3=$DF23+'Model Setup'!$K$7,SUMIF($BH$3:$CE$3,"="&amp;$DF23+'Model Setup'!$K$7,$AD23:$BA23)+'Model Setup'!$K$8*(SUMIF($BH$3:$CE$3,"&lt;"&amp;$DF23,$AD23:$BA23)+SUMIF($BH$3:$CE$3,"&gt;"&amp;$CW$4,$AD23:$BA23)),
IF(BK$3=$DF23+'Model Setup'!$L$7,SUMIF($BH$3:$CE$3,"="&amp;$DF23+'Model Setup'!$L$7,$AD23:$BA23)+'Model Setup'!$L$8*(SUMIF($BH$3:$CE$3,"&lt;"&amp;$DF23,$AD23:$BA23)+SUMIF($BH$3:$CE$3,"&gt;"&amp;$CW$4,$AD23:$BA23)),
IF(BK$3=$DF23+'Model Setup'!$M$7,SUMIF($BH$3:$CE$3,"="&amp;$DF23+'Model Setup'!$M$7,$AD23:$BA23)+'Model Setup'!$M$8*(SUMIF($BH$3:$CE$3,"&lt;"&amp;$DF23,$AD23:$BA23)+SUMIF($BH$3:$CE$3,"&gt;"&amp;$CW$4,$AD23:$BA23)),
IF(BK$3=$DF23+'Model Setup'!$N$7,SUMIF($BH$3:$CE$3,"="&amp;$DF23+'Model Setup'!$N$7,$AD23:$BA23)+'Model Setup'!$N$8*(SUMIF($BH$3:$CE$3,"&lt;"&amp;$DF23,$AD23:$BA23)+SUMIF($BH$3:$CE$3,"&gt;"&amp;$CW$4,$AD23:$BA23)),
IF(BK$3&lt;$CW$4,E23,0))))))))))))))),0)</f>
        <v>0</v>
      </c>
      <c r="BL23" s="47">
        <f>ROUND(IF(OR(BL$3&lt;$DF23,BL$3&gt;$CW$4),0,
IF(BL$3=$DF23+'Model Setup'!$B$7,SUMIF($BH$3:$CE$3,"="&amp;$DF23+'Model Setup'!$B$7,$AD23:$BA23)+'Model Setup'!$B$8*(SUMIF($BH$3:$CE$3,"&lt;"&amp;$DF23,$AD23:$BA23)+SUMIF($BH$3:$CE$3,"&gt;"&amp;$CW$4,$AD23:$BA23)),
IF(BL$3=$DF23+'Model Setup'!$C$7,SUMIF($BH$3:$CE$3,"="&amp;$DF23+'Model Setup'!$C$7,$AD23:$BA23)+'Model Setup'!$C$8*(SUMIF($BH$3:$CE$3,"&lt;"&amp;$DF23,$AD23:$BA23)+SUMIF($BH$3:$CE$3,"&gt;"&amp;$CW$4,$AD23:$BA23)),
IF(BL$3=$DF23+'Model Setup'!$D$7,SUMIF($BH$3:$CE$3,"="&amp;$DF23+'Model Setup'!$D$7,$AD23:$BA23)+'Model Setup'!$D$8*(SUMIF($BH$3:$CE$3,"&lt;"&amp;$DF23,$AD23:$BA23)+SUMIF($BH$3:$CE$3,"&gt;"&amp;$CW$4,$AD23:$BA23)),
IF(BL$3=$DF23+'Model Setup'!$E$7,SUMIF($BH$3:$CE$3,"="&amp;$DF23+'Model Setup'!$E$7,$AD23:$BA23)+'Model Setup'!$E$8*(SUMIF($BH$3:$CE$3,"&lt;"&amp;$DF23,$AD23:$BA23)+SUMIF($BH$3:$CE$3,"&gt;"&amp;$CW$4,$AD23:$BA23)),
IF(BL$3=$DF23+'Model Setup'!$F$7,SUMIF($BH$3:$CE$3,"="&amp;$DF23+'Model Setup'!$F$7,$AD23:$BA23)+'Model Setup'!$F$8*(SUMIF($BH$3:$CE$3,"&lt;"&amp;$DF23,$AD23:$BA23)+SUMIF($BH$3:$CE$3,"&gt;"&amp;$CW$4,$AD23:$BA23)),
IF(BL$3=$DF23+'Model Setup'!$G$7,SUMIF($BH$3:$CE$3,"="&amp;$DF23+'Model Setup'!$G$7,$AD23:$BA23)+'Model Setup'!$G$8*(SUMIF($BH$3:$CE$3,"&lt;"&amp;$DF23,$AD23:$BA23)+SUMIF($BH$3:$CE$3,"&gt;"&amp;$CW$4,$AD23:$BA23)),
IF(BL$3=$DF23+'Model Setup'!$H$7,SUMIF($BH$3:$CE$3,"="&amp;$DF23+'Model Setup'!$H$7,$AD23:$BA23)+'Model Setup'!$H$8*(SUMIF($BH$3:$CE$3,"&lt;"&amp;$DF23,$AD23:$BA23)+SUMIF($BH$3:$CE$3,"&gt;"&amp;$CW$4,$AD23:$BA23)),
IF(BL$3=$DF23+'Model Setup'!$I$7,SUMIF($BH$3:$CE$3,"="&amp;$DF23+'Model Setup'!$I$7,$AD23:$BA23)+'Model Setup'!$I$8*(SUMIF($BH$3:$CE$3,"&lt;"&amp;$DF23,$AD23:$BA23)+SUMIF($BH$3:$CE$3,"&gt;"&amp;$CW$4,$AD23:$BA23)),
IF(BL$3=$DF23+'Model Setup'!$J$7,SUMIF($BH$3:$CE$3,"="&amp;$DF23+'Model Setup'!$J$7,$AD23:$BA23)+'Model Setup'!$J$8*(SUMIF($BH$3:$CE$3,"&lt;"&amp;$DF23,$AD23:$BA23)+SUMIF($BH$3:$CE$3,"&gt;"&amp;$CW$4,$AD23:$BA23)),
IF(BL$3=$DF23+'Model Setup'!$K$7,SUMIF($BH$3:$CE$3,"="&amp;$DF23+'Model Setup'!$K$7,$AD23:$BA23)+'Model Setup'!$K$8*(SUMIF($BH$3:$CE$3,"&lt;"&amp;$DF23,$AD23:$BA23)+SUMIF($BH$3:$CE$3,"&gt;"&amp;$CW$4,$AD23:$BA23)),
IF(BL$3=$DF23+'Model Setup'!$L$7,SUMIF($BH$3:$CE$3,"="&amp;$DF23+'Model Setup'!$L$7,$AD23:$BA23)+'Model Setup'!$L$8*(SUMIF($BH$3:$CE$3,"&lt;"&amp;$DF23,$AD23:$BA23)+SUMIF($BH$3:$CE$3,"&gt;"&amp;$CW$4,$AD23:$BA23)),
IF(BL$3=$DF23+'Model Setup'!$M$7,SUMIF($BH$3:$CE$3,"="&amp;$DF23+'Model Setup'!$M$7,$AD23:$BA23)+'Model Setup'!$M$8*(SUMIF($BH$3:$CE$3,"&lt;"&amp;$DF23,$AD23:$BA23)+SUMIF($BH$3:$CE$3,"&gt;"&amp;$CW$4,$AD23:$BA23)),
IF(BL$3=$DF23+'Model Setup'!$N$7,SUMIF($BH$3:$CE$3,"="&amp;$DF23+'Model Setup'!$N$7,$AD23:$BA23)+'Model Setup'!$N$8*(SUMIF($BH$3:$CE$3,"&lt;"&amp;$DF23,$AD23:$BA23)+SUMIF($BH$3:$CE$3,"&gt;"&amp;$CW$4,$AD23:$BA23)),
IF(BL$3&lt;$CW$4,F23,0))))))))))))))),0)</f>
        <v>0</v>
      </c>
      <c r="BM23" s="47">
        <f>ROUND(IF(OR(BM$3&lt;$DF23,BM$3&gt;$CW$4),0,
IF(BM$3=$DF23+'Model Setup'!$B$7,SUMIF($BH$3:$CE$3,"="&amp;$DF23+'Model Setup'!$B$7,$AD23:$BA23)+'Model Setup'!$B$8*(SUMIF($BH$3:$CE$3,"&lt;"&amp;$DF23,$AD23:$BA23)+SUMIF($BH$3:$CE$3,"&gt;"&amp;$CW$4,$AD23:$BA23)),
IF(BM$3=$DF23+'Model Setup'!$C$7,SUMIF($BH$3:$CE$3,"="&amp;$DF23+'Model Setup'!$C$7,$AD23:$BA23)+'Model Setup'!$C$8*(SUMIF($BH$3:$CE$3,"&lt;"&amp;$DF23,$AD23:$BA23)+SUMIF($BH$3:$CE$3,"&gt;"&amp;$CW$4,$AD23:$BA23)),
IF(BM$3=$DF23+'Model Setup'!$D$7,SUMIF($BH$3:$CE$3,"="&amp;$DF23+'Model Setup'!$D$7,$AD23:$BA23)+'Model Setup'!$D$8*(SUMIF($BH$3:$CE$3,"&lt;"&amp;$DF23,$AD23:$BA23)+SUMIF($BH$3:$CE$3,"&gt;"&amp;$CW$4,$AD23:$BA23)),
IF(BM$3=$DF23+'Model Setup'!$E$7,SUMIF($BH$3:$CE$3,"="&amp;$DF23+'Model Setup'!$E$7,$AD23:$BA23)+'Model Setup'!$E$8*(SUMIF($BH$3:$CE$3,"&lt;"&amp;$DF23,$AD23:$BA23)+SUMIF($BH$3:$CE$3,"&gt;"&amp;$CW$4,$AD23:$BA23)),
IF(BM$3=$DF23+'Model Setup'!$F$7,SUMIF($BH$3:$CE$3,"="&amp;$DF23+'Model Setup'!$F$7,$AD23:$BA23)+'Model Setup'!$F$8*(SUMIF($BH$3:$CE$3,"&lt;"&amp;$DF23,$AD23:$BA23)+SUMIF($BH$3:$CE$3,"&gt;"&amp;$CW$4,$AD23:$BA23)),
IF(BM$3=$DF23+'Model Setup'!$G$7,SUMIF($BH$3:$CE$3,"="&amp;$DF23+'Model Setup'!$G$7,$AD23:$BA23)+'Model Setup'!$G$8*(SUMIF($BH$3:$CE$3,"&lt;"&amp;$DF23,$AD23:$BA23)+SUMIF($BH$3:$CE$3,"&gt;"&amp;$CW$4,$AD23:$BA23)),
IF(BM$3=$DF23+'Model Setup'!$H$7,SUMIF($BH$3:$CE$3,"="&amp;$DF23+'Model Setup'!$H$7,$AD23:$BA23)+'Model Setup'!$H$8*(SUMIF($BH$3:$CE$3,"&lt;"&amp;$DF23,$AD23:$BA23)+SUMIF($BH$3:$CE$3,"&gt;"&amp;$CW$4,$AD23:$BA23)),
IF(BM$3=$DF23+'Model Setup'!$I$7,SUMIF($BH$3:$CE$3,"="&amp;$DF23+'Model Setup'!$I$7,$AD23:$BA23)+'Model Setup'!$I$8*(SUMIF($BH$3:$CE$3,"&lt;"&amp;$DF23,$AD23:$BA23)+SUMIF($BH$3:$CE$3,"&gt;"&amp;$CW$4,$AD23:$BA23)),
IF(BM$3=$DF23+'Model Setup'!$J$7,SUMIF($BH$3:$CE$3,"="&amp;$DF23+'Model Setup'!$J$7,$AD23:$BA23)+'Model Setup'!$J$8*(SUMIF($BH$3:$CE$3,"&lt;"&amp;$DF23,$AD23:$BA23)+SUMIF($BH$3:$CE$3,"&gt;"&amp;$CW$4,$AD23:$BA23)),
IF(BM$3=$DF23+'Model Setup'!$K$7,SUMIF($BH$3:$CE$3,"="&amp;$DF23+'Model Setup'!$K$7,$AD23:$BA23)+'Model Setup'!$K$8*(SUMIF($BH$3:$CE$3,"&lt;"&amp;$DF23,$AD23:$BA23)+SUMIF($BH$3:$CE$3,"&gt;"&amp;$CW$4,$AD23:$BA23)),
IF(BM$3=$DF23+'Model Setup'!$L$7,SUMIF($BH$3:$CE$3,"="&amp;$DF23+'Model Setup'!$L$7,$AD23:$BA23)+'Model Setup'!$L$8*(SUMIF($BH$3:$CE$3,"&lt;"&amp;$DF23,$AD23:$BA23)+SUMIF($BH$3:$CE$3,"&gt;"&amp;$CW$4,$AD23:$BA23)),
IF(BM$3=$DF23+'Model Setup'!$M$7,SUMIF($BH$3:$CE$3,"="&amp;$DF23+'Model Setup'!$M$7,$AD23:$BA23)+'Model Setup'!$M$8*(SUMIF($BH$3:$CE$3,"&lt;"&amp;$DF23,$AD23:$BA23)+SUMIF($BH$3:$CE$3,"&gt;"&amp;$CW$4,$AD23:$BA23)),
IF(BM$3=$DF23+'Model Setup'!$N$7,SUMIF($BH$3:$CE$3,"="&amp;$DF23+'Model Setup'!$N$7,$AD23:$BA23)+'Model Setup'!$N$8*(SUMIF($BH$3:$CE$3,"&lt;"&amp;$DF23,$AD23:$BA23)+SUMIF($BH$3:$CE$3,"&gt;"&amp;$CW$4,$AD23:$BA23)),
IF(BM$3&lt;$CW$4,G23,0))))))))))))))),0)</f>
        <v>0</v>
      </c>
      <c r="BN23" s="47">
        <f>ROUND(IF(OR(BN$3&lt;$DF23,BN$3&gt;$CW$4),0,
IF(BN$3=$DF23+'Model Setup'!$B$7,SUMIF($BH$3:$CE$3,"="&amp;$DF23+'Model Setup'!$B$7,$AD23:$BA23)+'Model Setup'!$B$8*(SUMIF($BH$3:$CE$3,"&lt;"&amp;$DF23,$AD23:$BA23)+SUMIF($BH$3:$CE$3,"&gt;"&amp;$CW$4,$AD23:$BA23)),
IF(BN$3=$DF23+'Model Setup'!$C$7,SUMIF($BH$3:$CE$3,"="&amp;$DF23+'Model Setup'!$C$7,$AD23:$BA23)+'Model Setup'!$C$8*(SUMIF($BH$3:$CE$3,"&lt;"&amp;$DF23,$AD23:$BA23)+SUMIF($BH$3:$CE$3,"&gt;"&amp;$CW$4,$AD23:$BA23)),
IF(BN$3=$DF23+'Model Setup'!$D$7,SUMIF($BH$3:$CE$3,"="&amp;$DF23+'Model Setup'!$D$7,$AD23:$BA23)+'Model Setup'!$D$8*(SUMIF($BH$3:$CE$3,"&lt;"&amp;$DF23,$AD23:$BA23)+SUMIF($BH$3:$CE$3,"&gt;"&amp;$CW$4,$AD23:$BA23)),
IF(BN$3=$DF23+'Model Setup'!$E$7,SUMIF($BH$3:$CE$3,"="&amp;$DF23+'Model Setup'!$E$7,$AD23:$BA23)+'Model Setup'!$E$8*(SUMIF($BH$3:$CE$3,"&lt;"&amp;$DF23,$AD23:$BA23)+SUMIF($BH$3:$CE$3,"&gt;"&amp;$CW$4,$AD23:$BA23)),
IF(BN$3=$DF23+'Model Setup'!$F$7,SUMIF($BH$3:$CE$3,"="&amp;$DF23+'Model Setup'!$F$7,$AD23:$BA23)+'Model Setup'!$F$8*(SUMIF($BH$3:$CE$3,"&lt;"&amp;$DF23,$AD23:$BA23)+SUMIF($BH$3:$CE$3,"&gt;"&amp;$CW$4,$AD23:$BA23)),
IF(BN$3=$DF23+'Model Setup'!$G$7,SUMIF($BH$3:$CE$3,"="&amp;$DF23+'Model Setup'!$G$7,$AD23:$BA23)+'Model Setup'!$G$8*(SUMIF($BH$3:$CE$3,"&lt;"&amp;$DF23,$AD23:$BA23)+SUMIF($BH$3:$CE$3,"&gt;"&amp;$CW$4,$AD23:$BA23)),
IF(BN$3=$DF23+'Model Setup'!$H$7,SUMIF($BH$3:$CE$3,"="&amp;$DF23+'Model Setup'!$H$7,$AD23:$BA23)+'Model Setup'!$H$8*(SUMIF($BH$3:$CE$3,"&lt;"&amp;$DF23,$AD23:$BA23)+SUMIF($BH$3:$CE$3,"&gt;"&amp;$CW$4,$AD23:$BA23)),
IF(BN$3=$DF23+'Model Setup'!$I$7,SUMIF($BH$3:$CE$3,"="&amp;$DF23+'Model Setup'!$I$7,$AD23:$BA23)+'Model Setup'!$I$8*(SUMIF($BH$3:$CE$3,"&lt;"&amp;$DF23,$AD23:$BA23)+SUMIF($BH$3:$CE$3,"&gt;"&amp;$CW$4,$AD23:$BA23)),
IF(BN$3=$DF23+'Model Setup'!$J$7,SUMIF($BH$3:$CE$3,"="&amp;$DF23+'Model Setup'!$J$7,$AD23:$BA23)+'Model Setup'!$J$8*(SUMIF($BH$3:$CE$3,"&lt;"&amp;$DF23,$AD23:$BA23)+SUMIF($BH$3:$CE$3,"&gt;"&amp;$CW$4,$AD23:$BA23)),
IF(BN$3=$DF23+'Model Setup'!$K$7,SUMIF($BH$3:$CE$3,"="&amp;$DF23+'Model Setup'!$K$7,$AD23:$BA23)+'Model Setup'!$K$8*(SUMIF($BH$3:$CE$3,"&lt;"&amp;$DF23,$AD23:$BA23)+SUMIF($BH$3:$CE$3,"&gt;"&amp;$CW$4,$AD23:$BA23)),
IF(BN$3=$DF23+'Model Setup'!$L$7,SUMIF($BH$3:$CE$3,"="&amp;$DF23+'Model Setup'!$L$7,$AD23:$BA23)+'Model Setup'!$L$8*(SUMIF($BH$3:$CE$3,"&lt;"&amp;$DF23,$AD23:$BA23)+SUMIF($BH$3:$CE$3,"&gt;"&amp;$CW$4,$AD23:$BA23)),
IF(BN$3=$DF23+'Model Setup'!$M$7,SUMIF($BH$3:$CE$3,"="&amp;$DF23+'Model Setup'!$M$7,$AD23:$BA23)+'Model Setup'!$M$8*(SUMIF($BH$3:$CE$3,"&lt;"&amp;$DF23,$AD23:$BA23)+SUMIF($BH$3:$CE$3,"&gt;"&amp;$CW$4,$AD23:$BA23)),
IF(BN$3=$DF23+'Model Setup'!$N$7,SUMIF($BH$3:$CE$3,"="&amp;$DF23+'Model Setup'!$N$7,$AD23:$BA23)+'Model Setup'!$N$8*(SUMIF($BH$3:$CE$3,"&lt;"&amp;$DF23,$AD23:$BA23)+SUMIF($BH$3:$CE$3,"&gt;"&amp;$CW$4,$AD23:$BA23)),
IF(BN$3&lt;$CW$4,H23,0))))))))))))))),0)</f>
        <v>48</v>
      </c>
      <c r="BO23" s="47">
        <f>ROUND(IF(OR(BO$3&lt;$DF23,BO$3&gt;$CW$4),0,
IF(BO$3=$DF23+'Model Setup'!$B$7,SUMIF($BH$3:$CE$3,"="&amp;$DF23+'Model Setup'!$B$7,$AD23:$BA23)+'Model Setup'!$B$8*(SUMIF($BH$3:$CE$3,"&lt;"&amp;$DF23,$AD23:$BA23)+SUMIF($BH$3:$CE$3,"&gt;"&amp;$CW$4,$AD23:$BA23)),
IF(BO$3=$DF23+'Model Setup'!$C$7,SUMIF($BH$3:$CE$3,"="&amp;$DF23+'Model Setup'!$C$7,$AD23:$BA23)+'Model Setup'!$C$8*(SUMIF($BH$3:$CE$3,"&lt;"&amp;$DF23,$AD23:$BA23)+SUMIF($BH$3:$CE$3,"&gt;"&amp;$CW$4,$AD23:$BA23)),
IF(BO$3=$DF23+'Model Setup'!$D$7,SUMIF($BH$3:$CE$3,"="&amp;$DF23+'Model Setup'!$D$7,$AD23:$BA23)+'Model Setup'!$D$8*(SUMIF($BH$3:$CE$3,"&lt;"&amp;$DF23,$AD23:$BA23)+SUMIF($BH$3:$CE$3,"&gt;"&amp;$CW$4,$AD23:$BA23)),
IF(BO$3=$DF23+'Model Setup'!$E$7,SUMIF($BH$3:$CE$3,"="&amp;$DF23+'Model Setup'!$E$7,$AD23:$BA23)+'Model Setup'!$E$8*(SUMIF($BH$3:$CE$3,"&lt;"&amp;$DF23,$AD23:$BA23)+SUMIF($BH$3:$CE$3,"&gt;"&amp;$CW$4,$AD23:$BA23)),
IF(BO$3=$DF23+'Model Setup'!$F$7,SUMIF($BH$3:$CE$3,"="&amp;$DF23+'Model Setup'!$F$7,$AD23:$BA23)+'Model Setup'!$F$8*(SUMIF($BH$3:$CE$3,"&lt;"&amp;$DF23,$AD23:$BA23)+SUMIF($BH$3:$CE$3,"&gt;"&amp;$CW$4,$AD23:$BA23)),
IF(BO$3=$DF23+'Model Setup'!$G$7,SUMIF($BH$3:$CE$3,"="&amp;$DF23+'Model Setup'!$G$7,$AD23:$BA23)+'Model Setup'!$G$8*(SUMIF($BH$3:$CE$3,"&lt;"&amp;$DF23,$AD23:$BA23)+SUMIF($BH$3:$CE$3,"&gt;"&amp;$CW$4,$AD23:$BA23)),
IF(BO$3=$DF23+'Model Setup'!$H$7,SUMIF($BH$3:$CE$3,"="&amp;$DF23+'Model Setup'!$H$7,$AD23:$BA23)+'Model Setup'!$H$8*(SUMIF($BH$3:$CE$3,"&lt;"&amp;$DF23,$AD23:$BA23)+SUMIF($BH$3:$CE$3,"&gt;"&amp;$CW$4,$AD23:$BA23)),
IF(BO$3=$DF23+'Model Setup'!$I$7,SUMIF($BH$3:$CE$3,"="&amp;$DF23+'Model Setup'!$I$7,$AD23:$BA23)+'Model Setup'!$I$8*(SUMIF($BH$3:$CE$3,"&lt;"&amp;$DF23,$AD23:$BA23)+SUMIF($BH$3:$CE$3,"&gt;"&amp;$CW$4,$AD23:$BA23)),
IF(BO$3=$DF23+'Model Setup'!$J$7,SUMIF($BH$3:$CE$3,"="&amp;$DF23+'Model Setup'!$J$7,$AD23:$BA23)+'Model Setup'!$J$8*(SUMIF($BH$3:$CE$3,"&lt;"&amp;$DF23,$AD23:$BA23)+SUMIF($BH$3:$CE$3,"&gt;"&amp;$CW$4,$AD23:$BA23)),
IF(BO$3=$DF23+'Model Setup'!$K$7,SUMIF($BH$3:$CE$3,"="&amp;$DF23+'Model Setup'!$K$7,$AD23:$BA23)+'Model Setup'!$K$8*(SUMIF($BH$3:$CE$3,"&lt;"&amp;$DF23,$AD23:$BA23)+SUMIF($BH$3:$CE$3,"&gt;"&amp;$CW$4,$AD23:$BA23)),
IF(BO$3=$DF23+'Model Setup'!$L$7,SUMIF($BH$3:$CE$3,"="&amp;$DF23+'Model Setup'!$L$7,$AD23:$BA23)+'Model Setup'!$L$8*(SUMIF($BH$3:$CE$3,"&lt;"&amp;$DF23,$AD23:$BA23)+SUMIF($BH$3:$CE$3,"&gt;"&amp;$CW$4,$AD23:$BA23)),
IF(BO$3=$DF23+'Model Setup'!$M$7,SUMIF($BH$3:$CE$3,"="&amp;$DF23+'Model Setup'!$M$7,$AD23:$BA23)+'Model Setup'!$M$8*(SUMIF($BH$3:$CE$3,"&lt;"&amp;$DF23,$AD23:$BA23)+SUMIF($BH$3:$CE$3,"&gt;"&amp;$CW$4,$AD23:$BA23)),
IF(BO$3=$DF23+'Model Setup'!$N$7,SUMIF($BH$3:$CE$3,"="&amp;$DF23+'Model Setup'!$N$7,$AD23:$BA23)+'Model Setup'!$N$8*(SUMIF($BH$3:$CE$3,"&lt;"&amp;$DF23,$AD23:$BA23)+SUMIF($BH$3:$CE$3,"&gt;"&amp;$CW$4,$AD23:$BA23)),
IF(BO$3&lt;$CW$4,I23,0))))))))))))))),0)</f>
        <v>63</v>
      </c>
      <c r="BP23" s="47">
        <f>ROUND(IF(OR(BP$3&lt;$DF23,BP$3&gt;$CW$4),0,
IF(BP$3=$DF23+'Model Setup'!$B$7,SUMIF($BH$3:$CE$3,"="&amp;$DF23+'Model Setup'!$B$7,$AD23:$BA23)+'Model Setup'!$B$8*(SUMIF($BH$3:$CE$3,"&lt;"&amp;$DF23,$AD23:$BA23)+SUMIF($BH$3:$CE$3,"&gt;"&amp;$CW$4,$AD23:$BA23)),
IF(BP$3=$DF23+'Model Setup'!$C$7,SUMIF($BH$3:$CE$3,"="&amp;$DF23+'Model Setup'!$C$7,$AD23:$BA23)+'Model Setup'!$C$8*(SUMIF($BH$3:$CE$3,"&lt;"&amp;$DF23,$AD23:$BA23)+SUMIF($BH$3:$CE$3,"&gt;"&amp;$CW$4,$AD23:$BA23)),
IF(BP$3=$DF23+'Model Setup'!$D$7,SUMIF($BH$3:$CE$3,"="&amp;$DF23+'Model Setup'!$D$7,$AD23:$BA23)+'Model Setup'!$D$8*(SUMIF($BH$3:$CE$3,"&lt;"&amp;$DF23,$AD23:$BA23)+SUMIF($BH$3:$CE$3,"&gt;"&amp;$CW$4,$AD23:$BA23)),
IF(BP$3=$DF23+'Model Setup'!$E$7,SUMIF($BH$3:$CE$3,"="&amp;$DF23+'Model Setup'!$E$7,$AD23:$BA23)+'Model Setup'!$E$8*(SUMIF($BH$3:$CE$3,"&lt;"&amp;$DF23,$AD23:$BA23)+SUMIF($BH$3:$CE$3,"&gt;"&amp;$CW$4,$AD23:$BA23)),
IF(BP$3=$DF23+'Model Setup'!$F$7,SUMIF($BH$3:$CE$3,"="&amp;$DF23+'Model Setup'!$F$7,$AD23:$BA23)+'Model Setup'!$F$8*(SUMIF($BH$3:$CE$3,"&lt;"&amp;$DF23,$AD23:$BA23)+SUMIF($BH$3:$CE$3,"&gt;"&amp;$CW$4,$AD23:$BA23)),
IF(BP$3=$DF23+'Model Setup'!$G$7,SUMIF($BH$3:$CE$3,"="&amp;$DF23+'Model Setup'!$G$7,$AD23:$BA23)+'Model Setup'!$G$8*(SUMIF($BH$3:$CE$3,"&lt;"&amp;$DF23,$AD23:$BA23)+SUMIF($BH$3:$CE$3,"&gt;"&amp;$CW$4,$AD23:$BA23)),
IF(BP$3=$DF23+'Model Setup'!$H$7,SUMIF($BH$3:$CE$3,"="&amp;$DF23+'Model Setup'!$H$7,$AD23:$BA23)+'Model Setup'!$H$8*(SUMIF($BH$3:$CE$3,"&lt;"&amp;$DF23,$AD23:$BA23)+SUMIF($BH$3:$CE$3,"&gt;"&amp;$CW$4,$AD23:$BA23)),
IF(BP$3=$DF23+'Model Setup'!$I$7,SUMIF($BH$3:$CE$3,"="&amp;$DF23+'Model Setup'!$I$7,$AD23:$BA23)+'Model Setup'!$I$8*(SUMIF($BH$3:$CE$3,"&lt;"&amp;$DF23,$AD23:$BA23)+SUMIF($BH$3:$CE$3,"&gt;"&amp;$CW$4,$AD23:$BA23)),
IF(BP$3=$DF23+'Model Setup'!$J$7,SUMIF($BH$3:$CE$3,"="&amp;$DF23+'Model Setup'!$J$7,$AD23:$BA23)+'Model Setup'!$J$8*(SUMIF($BH$3:$CE$3,"&lt;"&amp;$DF23,$AD23:$BA23)+SUMIF($BH$3:$CE$3,"&gt;"&amp;$CW$4,$AD23:$BA23)),
IF(BP$3=$DF23+'Model Setup'!$K$7,SUMIF($BH$3:$CE$3,"="&amp;$DF23+'Model Setup'!$K$7,$AD23:$BA23)+'Model Setup'!$K$8*(SUMIF($BH$3:$CE$3,"&lt;"&amp;$DF23,$AD23:$BA23)+SUMIF($BH$3:$CE$3,"&gt;"&amp;$CW$4,$AD23:$BA23)),
IF(BP$3=$DF23+'Model Setup'!$L$7,SUMIF($BH$3:$CE$3,"="&amp;$DF23+'Model Setup'!$L$7,$AD23:$BA23)+'Model Setup'!$L$8*(SUMIF($BH$3:$CE$3,"&lt;"&amp;$DF23,$AD23:$BA23)+SUMIF($BH$3:$CE$3,"&gt;"&amp;$CW$4,$AD23:$BA23)),
IF(BP$3=$DF23+'Model Setup'!$M$7,SUMIF($BH$3:$CE$3,"="&amp;$DF23+'Model Setup'!$M$7,$AD23:$BA23)+'Model Setup'!$M$8*(SUMIF($BH$3:$CE$3,"&lt;"&amp;$DF23,$AD23:$BA23)+SUMIF($BH$3:$CE$3,"&gt;"&amp;$CW$4,$AD23:$BA23)),
IF(BP$3=$DF23+'Model Setup'!$N$7,SUMIF($BH$3:$CE$3,"="&amp;$DF23+'Model Setup'!$N$7,$AD23:$BA23)+'Model Setup'!$N$8*(SUMIF($BH$3:$CE$3,"&lt;"&amp;$DF23,$AD23:$BA23)+SUMIF($BH$3:$CE$3,"&gt;"&amp;$CW$4,$AD23:$BA23)),
IF(BP$3&lt;$CW$4,J23,0))))))))))))))),0)</f>
        <v>68</v>
      </c>
      <c r="BQ23" s="47">
        <f>ROUND(IF(OR(BQ$3&lt;$DF23,BQ$3&gt;$CW$4),0,
IF(BQ$3=$DF23+'Model Setup'!$B$7,SUMIF($BH$3:$CE$3,"="&amp;$DF23+'Model Setup'!$B$7,$AD23:$BA23)+'Model Setup'!$B$8*(SUMIF($BH$3:$CE$3,"&lt;"&amp;$DF23,$AD23:$BA23)+SUMIF($BH$3:$CE$3,"&gt;"&amp;$CW$4,$AD23:$BA23)),
IF(BQ$3=$DF23+'Model Setup'!$C$7,SUMIF($BH$3:$CE$3,"="&amp;$DF23+'Model Setup'!$C$7,$AD23:$BA23)+'Model Setup'!$C$8*(SUMIF($BH$3:$CE$3,"&lt;"&amp;$DF23,$AD23:$BA23)+SUMIF($BH$3:$CE$3,"&gt;"&amp;$CW$4,$AD23:$BA23)),
IF(BQ$3=$DF23+'Model Setup'!$D$7,SUMIF($BH$3:$CE$3,"="&amp;$DF23+'Model Setup'!$D$7,$AD23:$BA23)+'Model Setup'!$D$8*(SUMIF($BH$3:$CE$3,"&lt;"&amp;$DF23,$AD23:$BA23)+SUMIF($BH$3:$CE$3,"&gt;"&amp;$CW$4,$AD23:$BA23)),
IF(BQ$3=$DF23+'Model Setup'!$E$7,SUMIF($BH$3:$CE$3,"="&amp;$DF23+'Model Setup'!$E$7,$AD23:$BA23)+'Model Setup'!$E$8*(SUMIF($BH$3:$CE$3,"&lt;"&amp;$DF23,$AD23:$BA23)+SUMIF($BH$3:$CE$3,"&gt;"&amp;$CW$4,$AD23:$BA23)),
IF(BQ$3=$DF23+'Model Setup'!$F$7,SUMIF($BH$3:$CE$3,"="&amp;$DF23+'Model Setup'!$F$7,$AD23:$BA23)+'Model Setup'!$F$8*(SUMIF($BH$3:$CE$3,"&lt;"&amp;$DF23,$AD23:$BA23)+SUMIF($BH$3:$CE$3,"&gt;"&amp;$CW$4,$AD23:$BA23)),
IF(BQ$3=$DF23+'Model Setup'!$G$7,SUMIF($BH$3:$CE$3,"="&amp;$DF23+'Model Setup'!$G$7,$AD23:$BA23)+'Model Setup'!$G$8*(SUMIF($BH$3:$CE$3,"&lt;"&amp;$DF23,$AD23:$BA23)+SUMIF($BH$3:$CE$3,"&gt;"&amp;$CW$4,$AD23:$BA23)),
IF(BQ$3=$DF23+'Model Setup'!$H$7,SUMIF($BH$3:$CE$3,"="&amp;$DF23+'Model Setup'!$H$7,$AD23:$BA23)+'Model Setup'!$H$8*(SUMIF($BH$3:$CE$3,"&lt;"&amp;$DF23,$AD23:$BA23)+SUMIF($BH$3:$CE$3,"&gt;"&amp;$CW$4,$AD23:$BA23)),
IF(BQ$3=$DF23+'Model Setup'!$I$7,SUMIF($BH$3:$CE$3,"="&amp;$DF23+'Model Setup'!$I$7,$AD23:$BA23)+'Model Setup'!$I$8*(SUMIF($BH$3:$CE$3,"&lt;"&amp;$DF23,$AD23:$BA23)+SUMIF($BH$3:$CE$3,"&gt;"&amp;$CW$4,$AD23:$BA23)),
IF(BQ$3=$DF23+'Model Setup'!$J$7,SUMIF($BH$3:$CE$3,"="&amp;$DF23+'Model Setup'!$J$7,$AD23:$BA23)+'Model Setup'!$J$8*(SUMIF($BH$3:$CE$3,"&lt;"&amp;$DF23,$AD23:$BA23)+SUMIF($BH$3:$CE$3,"&gt;"&amp;$CW$4,$AD23:$BA23)),
IF(BQ$3=$DF23+'Model Setup'!$K$7,SUMIF($BH$3:$CE$3,"="&amp;$DF23+'Model Setup'!$K$7,$AD23:$BA23)+'Model Setup'!$K$8*(SUMIF($BH$3:$CE$3,"&lt;"&amp;$DF23,$AD23:$BA23)+SUMIF($BH$3:$CE$3,"&gt;"&amp;$CW$4,$AD23:$BA23)),
IF(BQ$3=$DF23+'Model Setup'!$L$7,SUMIF($BH$3:$CE$3,"="&amp;$DF23+'Model Setup'!$L$7,$AD23:$BA23)+'Model Setup'!$L$8*(SUMIF($BH$3:$CE$3,"&lt;"&amp;$DF23,$AD23:$BA23)+SUMIF($BH$3:$CE$3,"&gt;"&amp;$CW$4,$AD23:$BA23)),
IF(BQ$3=$DF23+'Model Setup'!$M$7,SUMIF($BH$3:$CE$3,"="&amp;$DF23+'Model Setup'!$M$7,$AD23:$BA23)+'Model Setup'!$M$8*(SUMIF($BH$3:$CE$3,"&lt;"&amp;$DF23,$AD23:$BA23)+SUMIF($BH$3:$CE$3,"&gt;"&amp;$CW$4,$AD23:$BA23)),
IF(BQ$3=$DF23+'Model Setup'!$N$7,SUMIF($BH$3:$CE$3,"="&amp;$DF23+'Model Setup'!$N$7,$AD23:$BA23)+'Model Setup'!$N$8*(SUMIF($BH$3:$CE$3,"&lt;"&amp;$DF23,$AD23:$BA23)+SUMIF($BH$3:$CE$3,"&gt;"&amp;$CW$4,$AD23:$BA23)),
IF(BQ$3&lt;$CW$4,K23,0))))))))))))))),0)</f>
        <v>48</v>
      </c>
      <c r="BR23" s="47">
        <f>ROUND(IF(OR(BR$3&lt;$DF23,BR$3&gt;$CW$4),0,
IF(BR$3=$DF23+'Model Setup'!$B$7,SUMIF($BH$3:$CE$3,"="&amp;$DF23+'Model Setup'!$B$7,$AD23:$BA23)+'Model Setup'!$B$8*(SUMIF($BH$3:$CE$3,"&lt;"&amp;$DF23,$AD23:$BA23)+SUMIF($BH$3:$CE$3,"&gt;"&amp;$CW$4,$AD23:$BA23)),
IF(BR$3=$DF23+'Model Setup'!$C$7,SUMIF($BH$3:$CE$3,"="&amp;$DF23+'Model Setup'!$C$7,$AD23:$BA23)+'Model Setup'!$C$8*(SUMIF($BH$3:$CE$3,"&lt;"&amp;$DF23,$AD23:$BA23)+SUMIF($BH$3:$CE$3,"&gt;"&amp;$CW$4,$AD23:$BA23)),
IF(BR$3=$DF23+'Model Setup'!$D$7,SUMIF($BH$3:$CE$3,"="&amp;$DF23+'Model Setup'!$D$7,$AD23:$BA23)+'Model Setup'!$D$8*(SUMIF($BH$3:$CE$3,"&lt;"&amp;$DF23,$AD23:$BA23)+SUMIF($BH$3:$CE$3,"&gt;"&amp;$CW$4,$AD23:$BA23)),
IF(BR$3=$DF23+'Model Setup'!$E$7,SUMIF($BH$3:$CE$3,"="&amp;$DF23+'Model Setup'!$E$7,$AD23:$BA23)+'Model Setup'!$E$8*(SUMIF($BH$3:$CE$3,"&lt;"&amp;$DF23,$AD23:$BA23)+SUMIF($BH$3:$CE$3,"&gt;"&amp;$CW$4,$AD23:$BA23)),
IF(BR$3=$DF23+'Model Setup'!$F$7,SUMIF($BH$3:$CE$3,"="&amp;$DF23+'Model Setup'!$F$7,$AD23:$BA23)+'Model Setup'!$F$8*(SUMIF($BH$3:$CE$3,"&lt;"&amp;$DF23,$AD23:$BA23)+SUMIF($BH$3:$CE$3,"&gt;"&amp;$CW$4,$AD23:$BA23)),
IF(BR$3=$DF23+'Model Setup'!$G$7,SUMIF($BH$3:$CE$3,"="&amp;$DF23+'Model Setup'!$G$7,$AD23:$BA23)+'Model Setup'!$G$8*(SUMIF($BH$3:$CE$3,"&lt;"&amp;$DF23,$AD23:$BA23)+SUMIF($BH$3:$CE$3,"&gt;"&amp;$CW$4,$AD23:$BA23)),
IF(BR$3=$DF23+'Model Setup'!$H$7,SUMIF($BH$3:$CE$3,"="&amp;$DF23+'Model Setup'!$H$7,$AD23:$BA23)+'Model Setup'!$H$8*(SUMIF($BH$3:$CE$3,"&lt;"&amp;$DF23,$AD23:$BA23)+SUMIF($BH$3:$CE$3,"&gt;"&amp;$CW$4,$AD23:$BA23)),
IF(BR$3=$DF23+'Model Setup'!$I$7,SUMIF($BH$3:$CE$3,"="&amp;$DF23+'Model Setup'!$I$7,$AD23:$BA23)+'Model Setup'!$I$8*(SUMIF($BH$3:$CE$3,"&lt;"&amp;$DF23,$AD23:$BA23)+SUMIF($BH$3:$CE$3,"&gt;"&amp;$CW$4,$AD23:$BA23)),
IF(BR$3=$DF23+'Model Setup'!$J$7,SUMIF($BH$3:$CE$3,"="&amp;$DF23+'Model Setup'!$J$7,$AD23:$BA23)+'Model Setup'!$J$8*(SUMIF($BH$3:$CE$3,"&lt;"&amp;$DF23,$AD23:$BA23)+SUMIF($BH$3:$CE$3,"&gt;"&amp;$CW$4,$AD23:$BA23)),
IF(BR$3=$DF23+'Model Setup'!$K$7,SUMIF($BH$3:$CE$3,"="&amp;$DF23+'Model Setup'!$K$7,$AD23:$BA23)+'Model Setup'!$K$8*(SUMIF($BH$3:$CE$3,"&lt;"&amp;$DF23,$AD23:$BA23)+SUMIF($BH$3:$CE$3,"&gt;"&amp;$CW$4,$AD23:$BA23)),
IF(BR$3=$DF23+'Model Setup'!$L$7,SUMIF($BH$3:$CE$3,"="&amp;$DF23+'Model Setup'!$L$7,$AD23:$BA23)+'Model Setup'!$L$8*(SUMIF($BH$3:$CE$3,"&lt;"&amp;$DF23,$AD23:$BA23)+SUMIF($BH$3:$CE$3,"&gt;"&amp;$CW$4,$AD23:$BA23)),
IF(BR$3=$DF23+'Model Setup'!$M$7,SUMIF($BH$3:$CE$3,"="&amp;$DF23+'Model Setup'!$M$7,$AD23:$BA23)+'Model Setup'!$M$8*(SUMIF($BH$3:$CE$3,"&lt;"&amp;$DF23,$AD23:$BA23)+SUMIF($BH$3:$CE$3,"&gt;"&amp;$CW$4,$AD23:$BA23)),
IF(BR$3=$DF23+'Model Setup'!$N$7,SUMIF($BH$3:$CE$3,"="&amp;$DF23+'Model Setup'!$N$7,$AD23:$BA23)+'Model Setup'!$N$8*(SUMIF($BH$3:$CE$3,"&lt;"&amp;$DF23,$AD23:$BA23)+SUMIF($BH$3:$CE$3,"&gt;"&amp;$CW$4,$AD23:$BA23)),
IF(BR$3&lt;$CW$4,L23,0))))))))))))))),0)</f>
        <v>58</v>
      </c>
      <c r="BS23" s="47">
        <f>ROUND(IF(OR(BS$3&lt;$DF23,BS$3&gt;$CW$4),0,
IF(BS$3=$DF23+'Model Setup'!$B$7,SUMIF($BH$3:$CE$3,"="&amp;$DF23+'Model Setup'!$B$7,$AD23:$BA23)+'Model Setup'!$B$8*(SUMIF($BH$3:$CE$3,"&lt;"&amp;$DF23,$AD23:$BA23)+SUMIF($BH$3:$CE$3,"&gt;"&amp;$CW$4,$AD23:$BA23)),
IF(BS$3=$DF23+'Model Setup'!$C$7,SUMIF($BH$3:$CE$3,"="&amp;$DF23+'Model Setup'!$C$7,$AD23:$BA23)+'Model Setup'!$C$8*(SUMIF($BH$3:$CE$3,"&lt;"&amp;$DF23,$AD23:$BA23)+SUMIF($BH$3:$CE$3,"&gt;"&amp;$CW$4,$AD23:$BA23)),
IF(BS$3=$DF23+'Model Setup'!$D$7,SUMIF($BH$3:$CE$3,"="&amp;$DF23+'Model Setup'!$D$7,$AD23:$BA23)+'Model Setup'!$D$8*(SUMIF($BH$3:$CE$3,"&lt;"&amp;$DF23,$AD23:$BA23)+SUMIF($BH$3:$CE$3,"&gt;"&amp;$CW$4,$AD23:$BA23)),
IF(BS$3=$DF23+'Model Setup'!$E$7,SUMIF($BH$3:$CE$3,"="&amp;$DF23+'Model Setup'!$E$7,$AD23:$BA23)+'Model Setup'!$E$8*(SUMIF($BH$3:$CE$3,"&lt;"&amp;$DF23,$AD23:$BA23)+SUMIF($BH$3:$CE$3,"&gt;"&amp;$CW$4,$AD23:$BA23)),
IF(BS$3=$DF23+'Model Setup'!$F$7,SUMIF($BH$3:$CE$3,"="&amp;$DF23+'Model Setup'!$F$7,$AD23:$BA23)+'Model Setup'!$F$8*(SUMIF($BH$3:$CE$3,"&lt;"&amp;$DF23,$AD23:$BA23)+SUMIF($BH$3:$CE$3,"&gt;"&amp;$CW$4,$AD23:$BA23)),
IF(BS$3=$DF23+'Model Setup'!$G$7,SUMIF($BH$3:$CE$3,"="&amp;$DF23+'Model Setup'!$G$7,$AD23:$BA23)+'Model Setup'!$G$8*(SUMIF($BH$3:$CE$3,"&lt;"&amp;$DF23,$AD23:$BA23)+SUMIF($BH$3:$CE$3,"&gt;"&amp;$CW$4,$AD23:$BA23)),
IF(BS$3=$DF23+'Model Setup'!$H$7,SUMIF($BH$3:$CE$3,"="&amp;$DF23+'Model Setup'!$H$7,$AD23:$BA23)+'Model Setup'!$H$8*(SUMIF($BH$3:$CE$3,"&lt;"&amp;$DF23,$AD23:$BA23)+SUMIF($BH$3:$CE$3,"&gt;"&amp;$CW$4,$AD23:$BA23)),
IF(BS$3=$DF23+'Model Setup'!$I$7,SUMIF($BH$3:$CE$3,"="&amp;$DF23+'Model Setup'!$I$7,$AD23:$BA23)+'Model Setup'!$I$8*(SUMIF($BH$3:$CE$3,"&lt;"&amp;$DF23,$AD23:$BA23)+SUMIF($BH$3:$CE$3,"&gt;"&amp;$CW$4,$AD23:$BA23)),
IF(BS$3=$DF23+'Model Setup'!$J$7,SUMIF($BH$3:$CE$3,"="&amp;$DF23+'Model Setup'!$J$7,$AD23:$BA23)+'Model Setup'!$J$8*(SUMIF($BH$3:$CE$3,"&lt;"&amp;$DF23,$AD23:$BA23)+SUMIF($BH$3:$CE$3,"&gt;"&amp;$CW$4,$AD23:$BA23)),
IF(BS$3=$DF23+'Model Setup'!$K$7,SUMIF($BH$3:$CE$3,"="&amp;$DF23+'Model Setup'!$K$7,$AD23:$BA23)+'Model Setup'!$K$8*(SUMIF($BH$3:$CE$3,"&lt;"&amp;$DF23,$AD23:$BA23)+SUMIF($BH$3:$CE$3,"&gt;"&amp;$CW$4,$AD23:$BA23)),
IF(BS$3=$DF23+'Model Setup'!$L$7,SUMIF($BH$3:$CE$3,"="&amp;$DF23+'Model Setup'!$L$7,$AD23:$BA23)+'Model Setup'!$L$8*(SUMIF($BH$3:$CE$3,"&lt;"&amp;$DF23,$AD23:$BA23)+SUMIF($BH$3:$CE$3,"&gt;"&amp;$CW$4,$AD23:$BA23)),
IF(BS$3=$DF23+'Model Setup'!$M$7,SUMIF($BH$3:$CE$3,"="&amp;$DF23+'Model Setup'!$M$7,$AD23:$BA23)+'Model Setup'!$M$8*(SUMIF($BH$3:$CE$3,"&lt;"&amp;$DF23,$AD23:$BA23)+SUMIF($BH$3:$CE$3,"&gt;"&amp;$CW$4,$AD23:$BA23)),
IF(BS$3=$DF23+'Model Setup'!$N$7,SUMIF($BH$3:$CE$3,"="&amp;$DF23+'Model Setup'!$N$7,$AD23:$BA23)+'Model Setup'!$N$8*(SUMIF($BH$3:$CE$3,"&lt;"&amp;$DF23,$AD23:$BA23)+SUMIF($BH$3:$CE$3,"&gt;"&amp;$CW$4,$AD23:$BA23)),
IF(BS$3&lt;$CW$4,M23,0))))))))))))))),0)</f>
        <v>33</v>
      </c>
      <c r="BT23" s="47">
        <f>ROUND(IF(OR(BT$3&lt;$DF23,BT$3&gt;$CW$4),0,
IF(BT$3=$DF23+'Model Setup'!$B$7,SUMIF($BH$3:$CE$3,"="&amp;$DF23+'Model Setup'!$B$7,$AD23:$BA23)+'Model Setup'!$B$8*(SUMIF($BH$3:$CE$3,"&lt;"&amp;$DF23,$AD23:$BA23)+SUMIF($BH$3:$CE$3,"&gt;"&amp;$CW$4,$AD23:$BA23)),
IF(BT$3=$DF23+'Model Setup'!$C$7,SUMIF($BH$3:$CE$3,"="&amp;$DF23+'Model Setup'!$C$7,$AD23:$BA23)+'Model Setup'!$C$8*(SUMIF($BH$3:$CE$3,"&lt;"&amp;$DF23,$AD23:$BA23)+SUMIF($BH$3:$CE$3,"&gt;"&amp;$CW$4,$AD23:$BA23)),
IF(BT$3=$DF23+'Model Setup'!$D$7,SUMIF($BH$3:$CE$3,"="&amp;$DF23+'Model Setup'!$D$7,$AD23:$BA23)+'Model Setup'!$D$8*(SUMIF($BH$3:$CE$3,"&lt;"&amp;$DF23,$AD23:$BA23)+SUMIF($BH$3:$CE$3,"&gt;"&amp;$CW$4,$AD23:$BA23)),
IF(BT$3=$DF23+'Model Setup'!$E$7,SUMIF($BH$3:$CE$3,"="&amp;$DF23+'Model Setup'!$E$7,$AD23:$BA23)+'Model Setup'!$E$8*(SUMIF($BH$3:$CE$3,"&lt;"&amp;$DF23,$AD23:$BA23)+SUMIF($BH$3:$CE$3,"&gt;"&amp;$CW$4,$AD23:$BA23)),
IF(BT$3=$DF23+'Model Setup'!$F$7,SUMIF($BH$3:$CE$3,"="&amp;$DF23+'Model Setup'!$F$7,$AD23:$BA23)+'Model Setup'!$F$8*(SUMIF($BH$3:$CE$3,"&lt;"&amp;$DF23,$AD23:$BA23)+SUMIF($BH$3:$CE$3,"&gt;"&amp;$CW$4,$AD23:$BA23)),
IF(BT$3=$DF23+'Model Setup'!$G$7,SUMIF($BH$3:$CE$3,"="&amp;$DF23+'Model Setup'!$G$7,$AD23:$BA23)+'Model Setup'!$G$8*(SUMIF($BH$3:$CE$3,"&lt;"&amp;$DF23,$AD23:$BA23)+SUMIF($BH$3:$CE$3,"&gt;"&amp;$CW$4,$AD23:$BA23)),
IF(BT$3=$DF23+'Model Setup'!$H$7,SUMIF($BH$3:$CE$3,"="&amp;$DF23+'Model Setup'!$H$7,$AD23:$BA23)+'Model Setup'!$H$8*(SUMIF($BH$3:$CE$3,"&lt;"&amp;$DF23,$AD23:$BA23)+SUMIF($BH$3:$CE$3,"&gt;"&amp;$CW$4,$AD23:$BA23)),
IF(BT$3=$DF23+'Model Setup'!$I$7,SUMIF($BH$3:$CE$3,"="&amp;$DF23+'Model Setup'!$I$7,$AD23:$BA23)+'Model Setup'!$I$8*(SUMIF($BH$3:$CE$3,"&lt;"&amp;$DF23,$AD23:$BA23)+SUMIF($BH$3:$CE$3,"&gt;"&amp;$CW$4,$AD23:$BA23)),
IF(BT$3=$DF23+'Model Setup'!$J$7,SUMIF($BH$3:$CE$3,"="&amp;$DF23+'Model Setup'!$J$7,$AD23:$BA23)+'Model Setup'!$J$8*(SUMIF($BH$3:$CE$3,"&lt;"&amp;$DF23,$AD23:$BA23)+SUMIF($BH$3:$CE$3,"&gt;"&amp;$CW$4,$AD23:$BA23)),
IF(BT$3=$DF23+'Model Setup'!$K$7,SUMIF($BH$3:$CE$3,"="&amp;$DF23+'Model Setup'!$K$7,$AD23:$BA23)+'Model Setup'!$K$8*(SUMIF($BH$3:$CE$3,"&lt;"&amp;$DF23,$AD23:$BA23)+SUMIF($BH$3:$CE$3,"&gt;"&amp;$CW$4,$AD23:$BA23)),
IF(BT$3=$DF23+'Model Setup'!$L$7,SUMIF($BH$3:$CE$3,"="&amp;$DF23+'Model Setup'!$L$7,$AD23:$BA23)+'Model Setup'!$L$8*(SUMIF($BH$3:$CE$3,"&lt;"&amp;$DF23,$AD23:$BA23)+SUMIF($BH$3:$CE$3,"&gt;"&amp;$CW$4,$AD23:$BA23)),
IF(BT$3=$DF23+'Model Setup'!$M$7,SUMIF($BH$3:$CE$3,"="&amp;$DF23+'Model Setup'!$M$7,$AD23:$BA23)+'Model Setup'!$M$8*(SUMIF($BH$3:$CE$3,"&lt;"&amp;$DF23,$AD23:$BA23)+SUMIF($BH$3:$CE$3,"&gt;"&amp;$CW$4,$AD23:$BA23)),
IF(BT$3=$DF23+'Model Setup'!$N$7,SUMIF($BH$3:$CE$3,"="&amp;$DF23+'Model Setup'!$N$7,$AD23:$BA23)+'Model Setup'!$N$8*(SUMIF($BH$3:$CE$3,"&lt;"&amp;$DF23,$AD23:$BA23)+SUMIF($BH$3:$CE$3,"&gt;"&amp;$CW$4,$AD23:$BA23)),
IF(BT$3&lt;$CW$4,N23,0))))))))))))))),0)</f>
        <v>42</v>
      </c>
      <c r="BU23" s="47">
        <f>ROUND(IF(OR(BU$3&lt;$DF23,BU$3&gt;$CW$4),0,
IF(BU$3=$DF23+'Model Setup'!$B$7,SUMIF($BH$3:$CE$3,"="&amp;$DF23+'Model Setup'!$B$7,$AD23:$BA23)+'Model Setup'!$B$8*(SUMIF($BH$3:$CE$3,"&lt;"&amp;$DF23,$AD23:$BA23)+SUMIF($BH$3:$CE$3,"&gt;"&amp;$CW$4,$AD23:$BA23)),
IF(BU$3=$DF23+'Model Setup'!$C$7,SUMIF($BH$3:$CE$3,"="&amp;$DF23+'Model Setup'!$C$7,$AD23:$BA23)+'Model Setup'!$C$8*(SUMIF($BH$3:$CE$3,"&lt;"&amp;$DF23,$AD23:$BA23)+SUMIF($BH$3:$CE$3,"&gt;"&amp;$CW$4,$AD23:$BA23)),
IF(BU$3=$DF23+'Model Setup'!$D$7,SUMIF($BH$3:$CE$3,"="&amp;$DF23+'Model Setup'!$D$7,$AD23:$BA23)+'Model Setup'!$D$8*(SUMIF($BH$3:$CE$3,"&lt;"&amp;$DF23,$AD23:$BA23)+SUMIF($BH$3:$CE$3,"&gt;"&amp;$CW$4,$AD23:$BA23)),
IF(BU$3=$DF23+'Model Setup'!$E$7,SUMIF($BH$3:$CE$3,"="&amp;$DF23+'Model Setup'!$E$7,$AD23:$BA23)+'Model Setup'!$E$8*(SUMIF($BH$3:$CE$3,"&lt;"&amp;$DF23,$AD23:$BA23)+SUMIF($BH$3:$CE$3,"&gt;"&amp;$CW$4,$AD23:$BA23)),
IF(BU$3=$DF23+'Model Setup'!$F$7,SUMIF($BH$3:$CE$3,"="&amp;$DF23+'Model Setup'!$F$7,$AD23:$BA23)+'Model Setup'!$F$8*(SUMIF($BH$3:$CE$3,"&lt;"&amp;$DF23,$AD23:$BA23)+SUMIF($BH$3:$CE$3,"&gt;"&amp;$CW$4,$AD23:$BA23)),
IF(BU$3=$DF23+'Model Setup'!$G$7,SUMIF($BH$3:$CE$3,"="&amp;$DF23+'Model Setup'!$G$7,$AD23:$BA23)+'Model Setup'!$G$8*(SUMIF($BH$3:$CE$3,"&lt;"&amp;$DF23,$AD23:$BA23)+SUMIF($BH$3:$CE$3,"&gt;"&amp;$CW$4,$AD23:$BA23)),
IF(BU$3=$DF23+'Model Setup'!$H$7,SUMIF($BH$3:$CE$3,"="&amp;$DF23+'Model Setup'!$H$7,$AD23:$BA23)+'Model Setup'!$H$8*(SUMIF($BH$3:$CE$3,"&lt;"&amp;$DF23,$AD23:$BA23)+SUMIF($BH$3:$CE$3,"&gt;"&amp;$CW$4,$AD23:$BA23)),
IF(BU$3=$DF23+'Model Setup'!$I$7,SUMIF($BH$3:$CE$3,"="&amp;$DF23+'Model Setup'!$I$7,$AD23:$BA23)+'Model Setup'!$I$8*(SUMIF($BH$3:$CE$3,"&lt;"&amp;$DF23,$AD23:$BA23)+SUMIF($BH$3:$CE$3,"&gt;"&amp;$CW$4,$AD23:$BA23)),
IF(BU$3=$DF23+'Model Setup'!$J$7,SUMIF($BH$3:$CE$3,"="&amp;$DF23+'Model Setup'!$J$7,$AD23:$BA23)+'Model Setup'!$J$8*(SUMIF($BH$3:$CE$3,"&lt;"&amp;$DF23,$AD23:$BA23)+SUMIF($BH$3:$CE$3,"&gt;"&amp;$CW$4,$AD23:$BA23)),
IF(BU$3=$DF23+'Model Setup'!$K$7,SUMIF($BH$3:$CE$3,"="&amp;$DF23+'Model Setup'!$K$7,$AD23:$BA23)+'Model Setup'!$K$8*(SUMIF($BH$3:$CE$3,"&lt;"&amp;$DF23,$AD23:$BA23)+SUMIF($BH$3:$CE$3,"&gt;"&amp;$CW$4,$AD23:$BA23)),
IF(BU$3=$DF23+'Model Setup'!$L$7,SUMIF($BH$3:$CE$3,"="&amp;$DF23+'Model Setup'!$L$7,$AD23:$BA23)+'Model Setup'!$L$8*(SUMIF($BH$3:$CE$3,"&lt;"&amp;$DF23,$AD23:$BA23)+SUMIF($BH$3:$CE$3,"&gt;"&amp;$CW$4,$AD23:$BA23)),
IF(BU$3=$DF23+'Model Setup'!$M$7,SUMIF($BH$3:$CE$3,"="&amp;$DF23+'Model Setup'!$M$7,$AD23:$BA23)+'Model Setup'!$M$8*(SUMIF($BH$3:$CE$3,"&lt;"&amp;$DF23,$AD23:$BA23)+SUMIF($BH$3:$CE$3,"&gt;"&amp;$CW$4,$AD23:$BA23)),
IF(BU$3=$DF23+'Model Setup'!$N$7,SUMIF($BH$3:$CE$3,"="&amp;$DF23+'Model Setup'!$N$7,$AD23:$BA23)+'Model Setup'!$N$8*(SUMIF($BH$3:$CE$3,"&lt;"&amp;$DF23,$AD23:$BA23)+SUMIF($BH$3:$CE$3,"&gt;"&amp;$CW$4,$AD23:$BA23)),
IF(BU$3&lt;$CW$4,O23,0))))))))))))))),0)</f>
        <v>29</v>
      </c>
      <c r="BV23" s="47">
        <f>ROUND(IF(OR(BV$3&lt;$DF23,BV$3&gt;$CW$4),0,
IF(BV$3=$DF23+'Model Setup'!$B$7,SUMIF($BH$3:$CE$3,"="&amp;$DF23+'Model Setup'!$B$7,$AD23:$BA23)+'Model Setup'!$B$8*(SUMIF($BH$3:$CE$3,"&lt;"&amp;$DF23,$AD23:$BA23)+SUMIF($BH$3:$CE$3,"&gt;"&amp;$CW$4,$AD23:$BA23)),
IF(BV$3=$DF23+'Model Setup'!$C$7,SUMIF($BH$3:$CE$3,"="&amp;$DF23+'Model Setup'!$C$7,$AD23:$BA23)+'Model Setup'!$C$8*(SUMIF($BH$3:$CE$3,"&lt;"&amp;$DF23,$AD23:$BA23)+SUMIF($BH$3:$CE$3,"&gt;"&amp;$CW$4,$AD23:$BA23)),
IF(BV$3=$DF23+'Model Setup'!$D$7,SUMIF($BH$3:$CE$3,"="&amp;$DF23+'Model Setup'!$D$7,$AD23:$BA23)+'Model Setup'!$D$8*(SUMIF($BH$3:$CE$3,"&lt;"&amp;$DF23,$AD23:$BA23)+SUMIF($BH$3:$CE$3,"&gt;"&amp;$CW$4,$AD23:$BA23)),
IF(BV$3=$DF23+'Model Setup'!$E$7,SUMIF($BH$3:$CE$3,"="&amp;$DF23+'Model Setup'!$E$7,$AD23:$BA23)+'Model Setup'!$E$8*(SUMIF($BH$3:$CE$3,"&lt;"&amp;$DF23,$AD23:$BA23)+SUMIF($BH$3:$CE$3,"&gt;"&amp;$CW$4,$AD23:$BA23)),
IF(BV$3=$DF23+'Model Setup'!$F$7,SUMIF($BH$3:$CE$3,"="&amp;$DF23+'Model Setup'!$F$7,$AD23:$BA23)+'Model Setup'!$F$8*(SUMIF($BH$3:$CE$3,"&lt;"&amp;$DF23,$AD23:$BA23)+SUMIF($BH$3:$CE$3,"&gt;"&amp;$CW$4,$AD23:$BA23)),
IF(BV$3=$DF23+'Model Setup'!$G$7,SUMIF($BH$3:$CE$3,"="&amp;$DF23+'Model Setup'!$G$7,$AD23:$BA23)+'Model Setup'!$G$8*(SUMIF($BH$3:$CE$3,"&lt;"&amp;$DF23,$AD23:$BA23)+SUMIF($BH$3:$CE$3,"&gt;"&amp;$CW$4,$AD23:$BA23)),
IF(BV$3=$DF23+'Model Setup'!$H$7,SUMIF($BH$3:$CE$3,"="&amp;$DF23+'Model Setup'!$H$7,$AD23:$BA23)+'Model Setup'!$H$8*(SUMIF($BH$3:$CE$3,"&lt;"&amp;$DF23,$AD23:$BA23)+SUMIF($BH$3:$CE$3,"&gt;"&amp;$CW$4,$AD23:$BA23)),
IF(BV$3=$DF23+'Model Setup'!$I$7,SUMIF($BH$3:$CE$3,"="&amp;$DF23+'Model Setup'!$I$7,$AD23:$BA23)+'Model Setup'!$I$8*(SUMIF($BH$3:$CE$3,"&lt;"&amp;$DF23,$AD23:$BA23)+SUMIF($BH$3:$CE$3,"&gt;"&amp;$CW$4,$AD23:$BA23)),
IF(BV$3=$DF23+'Model Setup'!$J$7,SUMIF($BH$3:$CE$3,"="&amp;$DF23+'Model Setup'!$J$7,$AD23:$BA23)+'Model Setup'!$J$8*(SUMIF($BH$3:$CE$3,"&lt;"&amp;$DF23,$AD23:$BA23)+SUMIF($BH$3:$CE$3,"&gt;"&amp;$CW$4,$AD23:$BA23)),
IF(BV$3=$DF23+'Model Setup'!$K$7,SUMIF($BH$3:$CE$3,"="&amp;$DF23+'Model Setup'!$K$7,$AD23:$BA23)+'Model Setup'!$K$8*(SUMIF($BH$3:$CE$3,"&lt;"&amp;$DF23,$AD23:$BA23)+SUMIF($BH$3:$CE$3,"&gt;"&amp;$CW$4,$AD23:$BA23)),
IF(BV$3=$DF23+'Model Setup'!$L$7,SUMIF($BH$3:$CE$3,"="&amp;$DF23+'Model Setup'!$L$7,$AD23:$BA23)+'Model Setup'!$L$8*(SUMIF($BH$3:$CE$3,"&lt;"&amp;$DF23,$AD23:$BA23)+SUMIF($BH$3:$CE$3,"&gt;"&amp;$CW$4,$AD23:$BA23)),
IF(BV$3=$DF23+'Model Setup'!$M$7,SUMIF($BH$3:$CE$3,"="&amp;$DF23+'Model Setup'!$M$7,$AD23:$BA23)+'Model Setup'!$M$8*(SUMIF($BH$3:$CE$3,"&lt;"&amp;$DF23,$AD23:$BA23)+SUMIF($BH$3:$CE$3,"&gt;"&amp;$CW$4,$AD23:$BA23)),
IF(BV$3=$DF23+'Model Setup'!$N$7,SUMIF($BH$3:$CE$3,"="&amp;$DF23+'Model Setup'!$N$7,$AD23:$BA23)+'Model Setup'!$N$8*(SUMIF($BH$3:$CE$3,"&lt;"&amp;$DF23,$AD23:$BA23)+SUMIF($BH$3:$CE$3,"&gt;"&amp;$CW$4,$AD23:$BA23)),
IF(BV$3&lt;$CW$4,P23,0))))))))))))))),0)</f>
        <v>23</v>
      </c>
      <c r="BW23" s="47">
        <f>ROUND(IF(OR(BW$3&lt;$DF23,BW$3&gt;$CW$4),0,
IF(BW$3=$DF23+'Model Setup'!$B$7,SUMIF($BH$3:$CE$3,"="&amp;$DF23+'Model Setup'!$B$7,$AD23:$BA23)+'Model Setup'!$B$8*(SUMIF($BH$3:$CE$3,"&lt;"&amp;$DF23,$AD23:$BA23)+SUMIF($BH$3:$CE$3,"&gt;"&amp;$CW$4,$AD23:$BA23)),
IF(BW$3=$DF23+'Model Setup'!$C$7,SUMIF($BH$3:$CE$3,"="&amp;$DF23+'Model Setup'!$C$7,$AD23:$BA23)+'Model Setup'!$C$8*(SUMIF($BH$3:$CE$3,"&lt;"&amp;$DF23,$AD23:$BA23)+SUMIF($BH$3:$CE$3,"&gt;"&amp;$CW$4,$AD23:$BA23)),
IF(BW$3=$DF23+'Model Setup'!$D$7,SUMIF($BH$3:$CE$3,"="&amp;$DF23+'Model Setup'!$D$7,$AD23:$BA23)+'Model Setup'!$D$8*(SUMIF($BH$3:$CE$3,"&lt;"&amp;$DF23,$AD23:$BA23)+SUMIF($BH$3:$CE$3,"&gt;"&amp;$CW$4,$AD23:$BA23)),
IF(BW$3=$DF23+'Model Setup'!$E$7,SUMIF($BH$3:$CE$3,"="&amp;$DF23+'Model Setup'!$E$7,$AD23:$BA23)+'Model Setup'!$E$8*(SUMIF($BH$3:$CE$3,"&lt;"&amp;$DF23,$AD23:$BA23)+SUMIF($BH$3:$CE$3,"&gt;"&amp;$CW$4,$AD23:$BA23)),
IF(BW$3=$DF23+'Model Setup'!$F$7,SUMIF($BH$3:$CE$3,"="&amp;$DF23+'Model Setup'!$F$7,$AD23:$BA23)+'Model Setup'!$F$8*(SUMIF($BH$3:$CE$3,"&lt;"&amp;$DF23,$AD23:$BA23)+SUMIF($BH$3:$CE$3,"&gt;"&amp;$CW$4,$AD23:$BA23)),
IF(BW$3=$DF23+'Model Setup'!$G$7,SUMIF($BH$3:$CE$3,"="&amp;$DF23+'Model Setup'!$G$7,$AD23:$BA23)+'Model Setup'!$G$8*(SUMIF($BH$3:$CE$3,"&lt;"&amp;$DF23,$AD23:$BA23)+SUMIF($BH$3:$CE$3,"&gt;"&amp;$CW$4,$AD23:$BA23)),
IF(BW$3=$DF23+'Model Setup'!$H$7,SUMIF($BH$3:$CE$3,"="&amp;$DF23+'Model Setup'!$H$7,$AD23:$BA23)+'Model Setup'!$H$8*(SUMIF($BH$3:$CE$3,"&lt;"&amp;$DF23,$AD23:$BA23)+SUMIF($BH$3:$CE$3,"&gt;"&amp;$CW$4,$AD23:$BA23)),
IF(BW$3=$DF23+'Model Setup'!$I$7,SUMIF($BH$3:$CE$3,"="&amp;$DF23+'Model Setup'!$I$7,$AD23:$BA23)+'Model Setup'!$I$8*(SUMIF($BH$3:$CE$3,"&lt;"&amp;$DF23,$AD23:$BA23)+SUMIF($BH$3:$CE$3,"&gt;"&amp;$CW$4,$AD23:$BA23)),
IF(BW$3=$DF23+'Model Setup'!$J$7,SUMIF($BH$3:$CE$3,"="&amp;$DF23+'Model Setup'!$J$7,$AD23:$BA23)+'Model Setup'!$J$8*(SUMIF($BH$3:$CE$3,"&lt;"&amp;$DF23,$AD23:$BA23)+SUMIF($BH$3:$CE$3,"&gt;"&amp;$CW$4,$AD23:$BA23)),
IF(BW$3=$DF23+'Model Setup'!$K$7,SUMIF($BH$3:$CE$3,"="&amp;$DF23+'Model Setup'!$K$7,$AD23:$BA23)+'Model Setup'!$K$8*(SUMIF($BH$3:$CE$3,"&lt;"&amp;$DF23,$AD23:$BA23)+SUMIF($BH$3:$CE$3,"&gt;"&amp;$CW$4,$AD23:$BA23)),
IF(BW$3=$DF23+'Model Setup'!$L$7,SUMIF($BH$3:$CE$3,"="&amp;$DF23+'Model Setup'!$L$7,$AD23:$BA23)+'Model Setup'!$L$8*(SUMIF($BH$3:$CE$3,"&lt;"&amp;$DF23,$AD23:$BA23)+SUMIF($BH$3:$CE$3,"&gt;"&amp;$CW$4,$AD23:$BA23)),
IF(BW$3=$DF23+'Model Setup'!$M$7,SUMIF($BH$3:$CE$3,"="&amp;$DF23+'Model Setup'!$M$7,$AD23:$BA23)+'Model Setup'!$M$8*(SUMIF($BH$3:$CE$3,"&lt;"&amp;$DF23,$AD23:$BA23)+SUMIF($BH$3:$CE$3,"&gt;"&amp;$CW$4,$AD23:$BA23)),
IF(BW$3=$DF23+'Model Setup'!$N$7,SUMIF($BH$3:$CE$3,"="&amp;$DF23+'Model Setup'!$N$7,$AD23:$BA23)+'Model Setup'!$N$8*(SUMIF($BH$3:$CE$3,"&lt;"&amp;$DF23,$AD23:$BA23)+SUMIF($BH$3:$CE$3,"&gt;"&amp;$CW$4,$AD23:$BA23)),
IF(BW$3&lt;$CW$4,Q23,0))))))))))))))),0)</f>
        <v>20</v>
      </c>
      <c r="BX23" s="47">
        <f>ROUND(IF(OR(BX$3&lt;$DF23,BX$3&gt;$CW$4),0,
IF(BX$3=$DF23+'Model Setup'!$B$7,SUMIF($BH$3:$CE$3,"="&amp;$DF23+'Model Setup'!$B$7,$AD23:$BA23)+'Model Setup'!$B$8*(SUMIF($BH$3:$CE$3,"&lt;"&amp;$DF23,$AD23:$BA23)+SUMIF($BH$3:$CE$3,"&gt;"&amp;$CW$4,$AD23:$BA23)),
IF(BX$3=$DF23+'Model Setup'!$C$7,SUMIF($BH$3:$CE$3,"="&amp;$DF23+'Model Setup'!$C$7,$AD23:$BA23)+'Model Setup'!$C$8*(SUMIF($BH$3:$CE$3,"&lt;"&amp;$DF23,$AD23:$BA23)+SUMIF($BH$3:$CE$3,"&gt;"&amp;$CW$4,$AD23:$BA23)),
IF(BX$3=$DF23+'Model Setup'!$D$7,SUMIF($BH$3:$CE$3,"="&amp;$DF23+'Model Setup'!$D$7,$AD23:$BA23)+'Model Setup'!$D$8*(SUMIF($BH$3:$CE$3,"&lt;"&amp;$DF23,$AD23:$BA23)+SUMIF($BH$3:$CE$3,"&gt;"&amp;$CW$4,$AD23:$BA23)),
IF(BX$3=$DF23+'Model Setup'!$E$7,SUMIF($BH$3:$CE$3,"="&amp;$DF23+'Model Setup'!$E$7,$AD23:$BA23)+'Model Setup'!$E$8*(SUMIF($BH$3:$CE$3,"&lt;"&amp;$DF23,$AD23:$BA23)+SUMIF($BH$3:$CE$3,"&gt;"&amp;$CW$4,$AD23:$BA23)),
IF(BX$3=$DF23+'Model Setup'!$F$7,SUMIF($BH$3:$CE$3,"="&amp;$DF23+'Model Setup'!$F$7,$AD23:$BA23)+'Model Setup'!$F$8*(SUMIF($BH$3:$CE$3,"&lt;"&amp;$DF23,$AD23:$BA23)+SUMIF($BH$3:$CE$3,"&gt;"&amp;$CW$4,$AD23:$BA23)),
IF(BX$3=$DF23+'Model Setup'!$G$7,SUMIF($BH$3:$CE$3,"="&amp;$DF23+'Model Setup'!$G$7,$AD23:$BA23)+'Model Setup'!$G$8*(SUMIF($BH$3:$CE$3,"&lt;"&amp;$DF23,$AD23:$BA23)+SUMIF($BH$3:$CE$3,"&gt;"&amp;$CW$4,$AD23:$BA23)),
IF(BX$3=$DF23+'Model Setup'!$H$7,SUMIF($BH$3:$CE$3,"="&amp;$DF23+'Model Setup'!$H$7,$AD23:$BA23)+'Model Setup'!$H$8*(SUMIF($BH$3:$CE$3,"&lt;"&amp;$DF23,$AD23:$BA23)+SUMIF($BH$3:$CE$3,"&gt;"&amp;$CW$4,$AD23:$BA23)),
IF(BX$3=$DF23+'Model Setup'!$I$7,SUMIF($BH$3:$CE$3,"="&amp;$DF23+'Model Setup'!$I$7,$AD23:$BA23)+'Model Setup'!$I$8*(SUMIF($BH$3:$CE$3,"&lt;"&amp;$DF23,$AD23:$BA23)+SUMIF($BH$3:$CE$3,"&gt;"&amp;$CW$4,$AD23:$BA23)),
IF(BX$3=$DF23+'Model Setup'!$J$7,SUMIF($BH$3:$CE$3,"="&amp;$DF23+'Model Setup'!$J$7,$AD23:$BA23)+'Model Setup'!$J$8*(SUMIF($BH$3:$CE$3,"&lt;"&amp;$DF23,$AD23:$BA23)+SUMIF($BH$3:$CE$3,"&gt;"&amp;$CW$4,$AD23:$BA23)),
IF(BX$3=$DF23+'Model Setup'!$K$7,SUMIF($BH$3:$CE$3,"="&amp;$DF23+'Model Setup'!$K$7,$AD23:$BA23)+'Model Setup'!$K$8*(SUMIF($BH$3:$CE$3,"&lt;"&amp;$DF23,$AD23:$BA23)+SUMIF($BH$3:$CE$3,"&gt;"&amp;$CW$4,$AD23:$BA23)),
IF(BX$3=$DF23+'Model Setup'!$L$7,SUMIF($BH$3:$CE$3,"="&amp;$DF23+'Model Setup'!$L$7,$AD23:$BA23)+'Model Setup'!$L$8*(SUMIF($BH$3:$CE$3,"&lt;"&amp;$DF23,$AD23:$BA23)+SUMIF($BH$3:$CE$3,"&gt;"&amp;$CW$4,$AD23:$BA23)),
IF(BX$3=$DF23+'Model Setup'!$M$7,SUMIF($BH$3:$CE$3,"="&amp;$DF23+'Model Setup'!$M$7,$AD23:$BA23)+'Model Setup'!$M$8*(SUMIF($BH$3:$CE$3,"&lt;"&amp;$DF23,$AD23:$BA23)+SUMIF($BH$3:$CE$3,"&gt;"&amp;$CW$4,$AD23:$BA23)),
IF(BX$3=$DF23+'Model Setup'!$N$7,SUMIF($BH$3:$CE$3,"="&amp;$DF23+'Model Setup'!$N$7,$AD23:$BA23)+'Model Setup'!$N$8*(SUMIF($BH$3:$CE$3,"&lt;"&amp;$DF23,$AD23:$BA23)+SUMIF($BH$3:$CE$3,"&gt;"&amp;$CW$4,$AD23:$BA23)),
IF(BX$3&lt;$CW$4,R23,0))))))))))))))),0)</f>
        <v>30</v>
      </c>
      <c r="BY23" s="47">
        <f>ROUND(IF(OR(BY$3&lt;$DF23,BY$3&gt;$CW$4),0,
IF(BY$3=$DF23+'Model Setup'!$B$7,SUMIF($BH$3:$CE$3,"="&amp;$DF23+'Model Setup'!$B$7,$AD23:$BA23)+'Model Setup'!$B$8*(SUMIF($BH$3:$CE$3,"&lt;"&amp;$DF23,$AD23:$BA23)+SUMIF($BH$3:$CE$3,"&gt;"&amp;$CW$4,$AD23:$BA23)),
IF(BY$3=$DF23+'Model Setup'!$C$7,SUMIF($BH$3:$CE$3,"="&amp;$DF23+'Model Setup'!$C$7,$AD23:$BA23)+'Model Setup'!$C$8*(SUMIF($BH$3:$CE$3,"&lt;"&amp;$DF23,$AD23:$BA23)+SUMIF($BH$3:$CE$3,"&gt;"&amp;$CW$4,$AD23:$BA23)),
IF(BY$3=$DF23+'Model Setup'!$D$7,SUMIF($BH$3:$CE$3,"="&amp;$DF23+'Model Setup'!$D$7,$AD23:$BA23)+'Model Setup'!$D$8*(SUMIF($BH$3:$CE$3,"&lt;"&amp;$DF23,$AD23:$BA23)+SUMIF($BH$3:$CE$3,"&gt;"&amp;$CW$4,$AD23:$BA23)),
IF(BY$3=$DF23+'Model Setup'!$E$7,SUMIF($BH$3:$CE$3,"="&amp;$DF23+'Model Setup'!$E$7,$AD23:$BA23)+'Model Setup'!$E$8*(SUMIF($BH$3:$CE$3,"&lt;"&amp;$DF23,$AD23:$BA23)+SUMIF($BH$3:$CE$3,"&gt;"&amp;$CW$4,$AD23:$BA23)),
IF(BY$3=$DF23+'Model Setup'!$F$7,SUMIF($BH$3:$CE$3,"="&amp;$DF23+'Model Setup'!$F$7,$AD23:$BA23)+'Model Setup'!$F$8*(SUMIF($BH$3:$CE$3,"&lt;"&amp;$DF23,$AD23:$BA23)+SUMIF($BH$3:$CE$3,"&gt;"&amp;$CW$4,$AD23:$BA23)),
IF(BY$3=$DF23+'Model Setup'!$G$7,SUMIF($BH$3:$CE$3,"="&amp;$DF23+'Model Setup'!$G$7,$AD23:$BA23)+'Model Setup'!$G$8*(SUMIF($BH$3:$CE$3,"&lt;"&amp;$DF23,$AD23:$BA23)+SUMIF($BH$3:$CE$3,"&gt;"&amp;$CW$4,$AD23:$BA23)),
IF(BY$3=$DF23+'Model Setup'!$H$7,SUMIF($BH$3:$CE$3,"="&amp;$DF23+'Model Setup'!$H$7,$AD23:$BA23)+'Model Setup'!$H$8*(SUMIF($BH$3:$CE$3,"&lt;"&amp;$DF23,$AD23:$BA23)+SUMIF($BH$3:$CE$3,"&gt;"&amp;$CW$4,$AD23:$BA23)),
IF(BY$3=$DF23+'Model Setup'!$I$7,SUMIF($BH$3:$CE$3,"="&amp;$DF23+'Model Setup'!$I$7,$AD23:$BA23)+'Model Setup'!$I$8*(SUMIF($BH$3:$CE$3,"&lt;"&amp;$DF23,$AD23:$BA23)+SUMIF($BH$3:$CE$3,"&gt;"&amp;$CW$4,$AD23:$BA23)),
IF(BY$3=$DF23+'Model Setup'!$J$7,SUMIF($BH$3:$CE$3,"="&amp;$DF23+'Model Setup'!$J$7,$AD23:$BA23)+'Model Setup'!$J$8*(SUMIF($BH$3:$CE$3,"&lt;"&amp;$DF23,$AD23:$BA23)+SUMIF($BH$3:$CE$3,"&gt;"&amp;$CW$4,$AD23:$BA23)),
IF(BY$3=$DF23+'Model Setup'!$K$7,SUMIF($BH$3:$CE$3,"="&amp;$DF23+'Model Setup'!$K$7,$AD23:$BA23)+'Model Setup'!$K$8*(SUMIF($BH$3:$CE$3,"&lt;"&amp;$DF23,$AD23:$BA23)+SUMIF($BH$3:$CE$3,"&gt;"&amp;$CW$4,$AD23:$BA23)),
IF(BY$3=$DF23+'Model Setup'!$L$7,SUMIF($BH$3:$CE$3,"="&amp;$DF23+'Model Setup'!$L$7,$AD23:$BA23)+'Model Setup'!$L$8*(SUMIF($BH$3:$CE$3,"&lt;"&amp;$DF23,$AD23:$BA23)+SUMIF($BH$3:$CE$3,"&gt;"&amp;$CW$4,$AD23:$BA23)),
IF(BY$3=$DF23+'Model Setup'!$M$7,SUMIF($BH$3:$CE$3,"="&amp;$DF23+'Model Setup'!$M$7,$AD23:$BA23)+'Model Setup'!$M$8*(SUMIF($BH$3:$CE$3,"&lt;"&amp;$DF23,$AD23:$BA23)+SUMIF($BH$3:$CE$3,"&gt;"&amp;$CW$4,$AD23:$BA23)),
IF(BY$3=$DF23+'Model Setup'!$N$7,SUMIF($BH$3:$CE$3,"="&amp;$DF23+'Model Setup'!$N$7,$AD23:$BA23)+'Model Setup'!$N$8*(SUMIF($BH$3:$CE$3,"&lt;"&amp;$DF23,$AD23:$BA23)+SUMIF($BH$3:$CE$3,"&gt;"&amp;$CW$4,$AD23:$BA23)),
IF(BY$3&lt;$CW$4,S23,0))))))))))))))),0)</f>
        <v>37</v>
      </c>
      <c r="BZ23" s="47">
        <f>ROUND(IF(OR(BZ$3&lt;$DF23,BZ$3&gt;$CW$4),0,
IF(BZ$3=$DF23+'Model Setup'!$B$7,SUMIF($BH$3:$CE$3,"="&amp;$DF23+'Model Setup'!$B$7,$AD23:$BA23)+'Model Setup'!$B$8*(SUMIF($BH$3:$CE$3,"&lt;"&amp;$DF23,$AD23:$BA23)+SUMIF($BH$3:$CE$3,"&gt;"&amp;$CW$4,$AD23:$BA23)),
IF(BZ$3=$DF23+'Model Setup'!$C$7,SUMIF($BH$3:$CE$3,"="&amp;$DF23+'Model Setup'!$C$7,$AD23:$BA23)+'Model Setup'!$C$8*(SUMIF($BH$3:$CE$3,"&lt;"&amp;$DF23,$AD23:$BA23)+SUMIF($BH$3:$CE$3,"&gt;"&amp;$CW$4,$AD23:$BA23)),
IF(BZ$3=$DF23+'Model Setup'!$D$7,SUMIF($BH$3:$CE$3,"="&amp;$DF23+'Model Setup'!$D$7,$AD23:$BA23)+'Model Setup'!$D$8*(SUMIF($BH$3:$CE$3,"&lt;"&amp;$DF23,$AD23:$BA23)+SUMIF($BH$3:$CE$3,"&gt;"&amp;$CW$4,$AD23:$BA23)),
IF(BZ$3=$DF23+'Model Setup'!$E$7,SUMIF($BH$3:$CE$3,"="&amp;$DF23+'Model Setup'!$E$7,$AD23:$BA23)+'Model Setup'!$E$8*(SUMIF($BH$3:$CE$3,"&lt;"&amp;$DF23,$AD23:$BA23)+SUMIF($BH$3:$CE$3,"&gt;"&amp;$CW$4,$AD23:$BA23)),
IF(BZ$3=$DF23+'Model Setup'!$F$7,SUMIF($BH$3:$CE$3,"="&amp;$DF23+'Model Setup'!$F$7,$AD23:$BA23)+'Model Setup'!$F$8*(SUMIF($BH$3:$CE$3,"&lt;"&amp;$DF23,$AD23:$BA23)+SUMIF($BH$3:$CE$3,"&gt;"&amp;$CW$4,$AD23:$BA23)),
IF(BZ$3=$DF23+'Model Setup'!$G$7,SUMIF($BH$3:$CE$3,"="&amp;$DF23+'Model Setup'!$G$7,$AD23:$BA23)+'Model Setup'!$G$8*(SUMIF($BH$3:$CE$3,"&lt;"&amp;$DF23,$AD23:$BA23)+SUMIF($BH$3:$CE$3,"&gt;"&amp;$CW$4,$AD23:$BA23)),
IF(BZ$3=$DF23+'Model Setup'!$H$7,SUMIF($BH$3:$CE$3,"="&amp;$DF23+'Model Setup'!$H$7,$AD23:$BA23)+'Model Setup'!$H$8*(SUMIF($BH$3:$CE$3,"&lt;"&amp;$DF23,$AD23:$BA23)+SUMIF($BH$3:$CE$3,"&gt;"&amp;$CW$4,$AD23:$BA23)),
IF(BZ$3=$DF23+'Model Setup'!$I$7,SUMIF($BH$3:$CE$3,"="&amp;$DF23+'Model Setup'!$I$7,$AD23:$BA23)+'Model Setup'!$I$8*(SUMIF($BH$3:$CE$3,"&lt;"&amp;$DF23,$AD23:$BA23)+SUMIF($BH$3:$CE$3,"&gt;"&amp;$CW$4,$AD23:$BA23)),
IF(BZ$3=$DF23+'Model Setup'!$J$7,SUMIF($BH$3:$CE$3,"="&amp;$DF23+'Model Setup'!$J$7,$AD23:$BA23)+'Model Setup'!$J$8*(SUMIF($BH$3:$CE$3,"&lt;"&amp;$DF23,$AD23:$BA23)+SUMIF($BH$3:$CE$3,"&gt;"&amp;$CW$4,$AD23:$BA23)),
IF(BZ$3=$DF23+'Model Setup'!$K$7,SUMIF($BH$3:$CE$3,"="&amp;$DF23+'Model Setup'!$K$7,$AD23:$BA23)+'Model Setup'!$K$8*(SUMIF($BH$3:$CE$3,"&lt;"&amp;$DF23,$AD23:$BA23)+SUMIF($BH$3:$CE$3,"&gt;"&amp;$CW$4,$AD23:$BA23)),
IF(BZ$3=$DF23+'Model Setup'!$L$7,SUMIF($BH$3:$CE$3,"="&amp;$DF23+'Model Setup'!$L$7,$AD23:$BA23)+'Model Setup'!$L$8*(SUMIF($BH$3:$CE$3,"&lt;"&amp;$DF23,$AD23:$BA23)+SUMIF($BH$3:$CE$3,"&gt;"&amp;$CW$4,$AD23:$BA23)),
IF(BZ$3=$DF23+'Model Setup'!$M$7,SUMIF($BH$3:$CE$3,"="&amp;$DF23+'Model Setup'!$M$7,$AD23:$BA23)+'Model Setup'!$M$8*(SUMIF($BH$3:$CE$3,"&lt;"&amp;$DF23,$AD23:$BA23)+SUMIF($BH$3:$CE$3,"&gt;"&amp;$CW$4,$AD23:$BA23)),
IF(BZ$3=$DF23+'Model Setup'!$N$7,SUMIF($BH$3:$CE$3,"="&amp;$DF23+'Model Setup'!$N$7,$AD23:$BA23)+'Model Setup'!$N$8*(SUMIF($BH$3:$CE$3,"&lt;"&amp;$DF23,$AD23:$BA23)+SUMIF($BH$3:$CE$3,"&gt;"&amp;$CW$4,$AD23:$BA23)),
IF(BZ$3&lt;$CW$4,T23,0))))))))))))))),0)</f>
        <v>22</v>
      </c>
      <c r="CA23" s="47">
        <f>ROUND(IF(OR(CA$3&lt;$DF23,CA$3&gt;$CW$4),0,
IF(CA$3=$DF23+'Model Setup'!$B$7,SUMIF($BH$3:$CE$3,"="&amp;$DF23+'Model Setup'!$B$7,$AD23:$BA23)+'Model Setup'!$B$8*(SUMIF($BH$3:$CE$3,"&lt;"&amp;$DF23,$AD23:$BA23)+SUMIF($BH$3:$CE$3,"&gt;"&amp;$CW$4,$AD23:$BA23)),
IF(CA$3=$DF23+'Model Setup'!$C$7,SUMIF($BH$3:$CE$3,"="&amp;$DF23+'Model Setup'!$C$7,$AD23:$BA23)+'Model Setup'!$C$8*(SUMIF($BH$3:$CE$3,"&lt;"&amp;$DF23,$AD23:$BA23)+SUMIF($BH$3:$CE$3,"&gt;"&amp;$CW$4,$AD23:$BA23)),
IF(CA$3=$DF23+'Model Setup'!$D$7,SUMIF($BH$3:$CE$3,"="&amp;$DF23+'Model Setup'!$D$7,$AD23:$BA23)+'Model Setup'!$D$8*(SUMIF($BH$3:$CE$3,"&lt;"&amp;$DF23,$AD23:$BA23)+SUMIF($BH$3:$CE$3,"&gt;"&amp;$CW$4,$AD23:$BA23)),
IF(CA$3=$DF23+'Model Setup'!$E$7,SUMIF($BH$3:$CE$3,"="&amp;$DF23+'Model Setup'!$E$7,$AD23:$BA23)+'Model Setup'!$E$8*(SUMIF($BH$3:$CE$3,"&lt;"&amp;$DF23,$AD23:$BA23)+SUMIF($BH$3:$CE$3,"&gt;"&amp;$CW$4,$AD23:$BA23)),
IF(CA$3=$DF23+'Model Setup'!$F$7,SUMIF($BH$3:$CE$3,"="&amp;$DF23+'Model Setup'!$F$7,$AD23:$BA23)+'Model Setup'!$F$8*(SUMIF($BH$3:$CE$3,"&lt;"&amp;$DF23,$AD23:$BA23)+SUMIF($BH$3:$CE$3,"&gt;"&amp;$CW$4,$AD23:$BA23)),
IF(CA$3=$DF23+'Model Setup'!$G$7,SUMIF($BH$3:$CE$3,"="&amp;$DF23+'Model Setup'!$G$7,$AD23:$BA23)+'Model Setup'!$G$8*(SUMIF($BH$3:$CE$3,"&lt;"&amp;$DF23,$AD23:$BA23)+SUMIF($BH$3:$CE$3,"&gt;"&amp;$CW$4,$AD23:$BA23)),
IF(CA$3=$DF23+'Model Setup'!$H$7,SUMIF($BH$3:$CE$3,"="&amp;$DF23+'Model Setup'!$H$7,$AD23:$BA23)+'Model Setup'!$H$8*(SUMIF($BH$3:$CE$3,"&lt;"&amp;$DF23,$AD23:$BA23)+SUMIF($BH$3:$CE$3,"&gt;"&amp;$CW$4,$AD23:$BA23)),
IF(CA$3=$DF23+'Model Setup'!$I$7,SUMIF($BH$3:$CE$3,"="&amp;$DF23+'Model Setup'!$I$7,$AD23:$BA23)+'Model Setup'!$I$8*(SUMIF($BH$3:$CE$3,"&lt;"&amp;$DF23,$AD23:$BA23)+SUMIF($BH$3:$CE$3,"&gt;"&amp;$CW$4,$AD23:$BA23)),
IF(CA$3=$DF23+'Model Setup'!$J$7,SUMIF($BH$3:$CE$3,"="&amp;$DF23+'Model Setup'!$J$7,$AD23:$BA23)+'Model Setup'!$J$8*(SUMIF($BH$3:$CE$3,"&lt;"&amp;$DF23,$AD23:$BA23)+SUMIF($BH$3:$CE$3,"&gt;"&amp;$CW$4,$AD23:$BA23)),
IF(CA$3=$DF23+'Model Setup'!$K$7,SUMIF($BH$3:$CE$3,"="&amp;$DF23+'Model Setup'!$K$7,$AD23:$BA23)+'Model Setup'!$K$8*(SUMIF($BH$3:$CE$3,"&lt;"&amp;$DF23,$AD23:$BA23)+SUMIF($BH$3:$CE$3,"&gt;"&amp;$CW$4,$AD23:$BA23)),
IF(CA$3=$DF23+'Model Setup'!$L$7,SUMIF($BH$3:$CE$3,"="&amp;$DF23+'Model Setup'!$L$7,$AD23:$BA23)+'Model Setup'!$L$8*(SUMIF($BH$3:$CE$3,"&lt;"&amp;$DF23,$AD23:$BA23)+SUMIF($BH$3:$CE$3,"&gt;"&amp;$CW$4,$AD23:$BA23)),
IF(CA$3=$DF23+'Model Setup'!$M$7,SUMIF($BH$3:$CE$3,"="&amp;$DF23+'Model Setup'!$M$7,$AD23:$BA23)+'Model Setup'!$M$8*(SUMIF($BH$3:$CE$3,"&lt;"&amp;$DF23,$AD23:$BA23)+SUMIF($BH$3:$CE$3,"&gt;"&amp;$CW$4,$AD23:$BA23)),
IF(CA$3=$DF23+'Model Setup'!$N$7,SUMIF($BH$3:$CE$3,"="&amp;$DF23+'Model Setup'!$N$7,$AD23:$BA23)+'Model Setup'!$N$8*(SUMIF($BH$3:$CE$3,"&lt;"&amp;$DF23,$AD23:$BA23)+SUMIF($BH$3:$CE$3,"&gt;"&amp;$CW$4,$AD23:$BA23)),
IF(CA$3&lt;$CW$4,U23,0))))))))))))))),0)</f>
        <v>0</v>
      </c>
      <c r="CB23" s="47">
        <f>ROUND(IF(OR(CB$3&lt;$DF23,CB$3&gt;$CW$4),0,
IF(CB$3=$DF23+'Model Setup'!$B$7,SUMIF($BH$3:$CE$3,"="&amp;$DF23+'Model Setup'!$B$7,$AD23:$BA23)+'Model Setup'!$B$8*(SUMIF($BH$3:$CE$3,"&lt;"&amp;$DF23,$AD23:$BA23)+SUMIF($BH$3:$CE$3,"&gt;"&amp;$CW$4,$AD23:$BA23)),
IF(CB$3=$DF23+'Model Setup'!$C$7,SUMIF($BH$3:$CE$3,"="&amp;$DF23+'Model Setup'!$C$7,$AD23:$BA23)+'Model Setup'!$C$8*(SUMIF($BH$3:$CE$3,"&lt;"&amp;$DF23,$AD23:$BA23)+SUMIF($BH$3:$CE$3,"&gt;"&amp;$CW$4,$AD23:$BA23)),
IF(CB$3=$DF23+'Model Setup'!$D$7,SUMIF($BH$3:$CE$3,"="&amp;$DF23+'Model Setup'!$D$7,$AD23:$BA23)+'Model Setup'!$D$8*(SUMIF($BH$3:$CE$3,"&lt;"&amp;$DF23,$AD23:$BA23)+SUMIF($BH$3:$CE$3,"&gt;"&amp;$CW$4,$AD23:$BA23)),
IF(CB$3=$DF23+'Model Setup'!$E$7,SUMIF($BH$3:$CE$3,"="&amp;$DF23+'Model Setup'!$E$7,$AD23:$BA23)+'Model Setup'!$E$8*(SUMIF($BH$3:$CE$3,"&lt;"&amp;$DF23,$AD23:$BA23)+SUMIF($BH$3:$CE$3,"&gt;"&amp;$CW$4,$AD23:$BA23)),
IF(CB$3=$DF23+'Model Setup'!$F$7,SUMIF($BH$3:$CE$3,"="&amp;$DF23+'Model Setup'!$F$7,$AD23:$BA23)+'Model Setup'!$F$8*(SUMIF($BH$3:$CE$3,"&lt;"&amp;$DF23,$AD23:$BA23)+SUMIF($BH$3:$CE$3,"&gt;"&amp;$CW$4,$AD23:$BA23)),
IF(CB$3=$DF23+'Model Setup'!$G$7,SUMIF($BH$3:$CE$3,"="&amp;$DF23+'Model Setup'!$G$7,$AD23:$BA23)+'Model Setup'!$G$8*(SUMIF($BH$3:$CE$3,"&lt;"&amp;$DF23,$AD23:$BA23)+SUMIF($BH$3:$CE$3,"&gt;"&amp;$CW$4,$AD23:$BA23)),
IF(CB$3=$DF23+'Model Setup'!$H$7,SUMIF($BH$3:$CE$3,"="&amp;$DF23+'Model Setup'!$H$7,$AD23:$BA23)+'Model Setup'!$H$8*(SUMIF($BH$3:$CE$3,"&lt;"&amp;$DF23,$AD23:$BA23)+SUMIF($BH$3:$CE$3,"&gt;"&amp;$CW$4,$AD23:$BA23)),
IF(CB$3=$DF23+'Model Setup'!$I$7,SUMIF($BH$3:$CE$3,"="&amp;$DF23+'Model Setup'!$I$7,$AD23:$BA23)+'Model Setup'!$I$8*(SUMIF($BH$3:$CE$3,"&lt;"&amp;$DF23,$AD23:$BA23)+SUMIF($BH$3:$CE$3,"&gt;"&amp;$CW$4,$AD23:$BA23)),
IF(CB$3=$DF23+'Model Setup'!$J$7,SUMIF($BH$3:$CE$3,"="&amp;$DF23+'Model Setup'!$J$7,$AD23:$BA23)+'Model Setup'!$J$8*(SUMIF($BH$3:$CE$3,"&lt;"&amp;$DF23,$AD23:$BA23)+SUMIF($BH$3:$CE$3,"&gt;"&amp;$CW$4,$AD23:$BA23)),
IF(CB$3=$DF23+'Model Setup'!$K$7,SUMIF($BH$3:$CE$3,"="&amp;$DF23+'Model Setup'!$K$7,$AD23:$BA23)+'Model Setup'!$K$8*(SUMIF($BH$3:$CE$3,"&lt;"&amp;$DF23,$AD23:$BA23)+SUMIF($BH$3:$CE$3,"&gt;"&amp;$CW$4,$AD23:$BA23)),
IF(CB$3=$DF23+'Model Setup'!$L$7,SUMIF($BH$3:$CE$3,"="&amp;$DF23+'Model Setup'!$L$7,$AD23:$BA23)+'Model Setup'!$L$8*(SUMIF($BH$3:$CE$3,"&lt;"&amp;$DF23,$AD23:$BA23)+SUMIF($BH$3:$CE$3,"&gt;"&amp;$CW$4,$AD23:$BA23)),
IF(CB$3=$DF23+'Model Setup'!$M$7,SUMIF($BH$3:$CE$3,"="&amp;$DF23+'Model Setup'!$M$7,$AD23:$BA23)+'Model Setup'!$M$8*(SUMIF($BH$3:$CE$3,"&lt;"&amp;$DF23,$AD23:$BA23)+SUMIF($BH$3:$CE$3,"&gt;"&amp;$CW$4,$AD23:$BA23)),
IF(CB$3=$DF23+'Model Setup'!$N$7,SUMIF($BH$3:$CE$3,"="&amp;$DF23+'Model Setup'!$N$7,$AD23:$BA23)+'Model Setup'!$N$8*(SUMIF($BH$3:$CE$3,"&lt;"&amp;$DF23,$AD23:$BA23)+SUMIF($BH$3:$CE$3,"&gt;"&amp;$CW$4,$AD23:$BA23)),
IF(CB$3&lt;$CW$4,V23,0))))))))))))))),0)</f>
        <v>0</v>
      </c>
      <c r="CC23" s="47">
        <f>ROUND(IF(OR(CC$3&lt;$DF23,CC$3&gt;$CW$4),0,
IF(CC$3=$DF23+'Model Setup'!$B$7,SUMIF($BH$3:$CE$3,"="&amp;$DF23+'Model Setup'!$B$7,$AD23:$BA23)+'Model Setup'!$B$8*(SUMIF($BH$3:$CE$3,"&lt;"&amp;$DF23,$AD23:$BA23)+SUMIF($BH$3:$CE$3,"&gt;"&amp;$CW$4,$AD23:$BA23)),
IF(CC$3=$DF23+'Model Setup'!$C$7,SUMIF($BH$3:$CE$3,"="&amp;$DF23+'Model Setup'!$C$7,$AD23:$BA23)+'Model Setup'!$C$8*(SUMIF($BH$3:$CE$3,"&lt;"&amp;$DF23,$AD23:$BA23)+SUMIF($BH$3:$CE$3,"&gt;"&amp;$CW$4,$AD23:$BA23)),
IF(CC$3=$DF23+'Model Setup'!$D$7,SUMIF($BH$3:$CE$3,"="&amp;$DF23+'Model Setup'!$D$7,$AD23:$BA23)+'Model Setup'!$D$8*(SUMIF($BH$3:$CE$3,"&lt;"&amp;$DF23,$AD23:$BA23)+SUMIF($BH$3:$CE$3,"&gt;"&amp;$CW$4,$AD23:$BA23)),
IF(CC$3=$DF23+'Model Setup'!$E$7,SUMIF($BH$3:$CE$3,"="&amp;$DF23+'Model Setup'!$E$7,$AD23:$BA23)+'Model Setup'!$E$8*(SUMIF($BH$3:$CE$3,"&lt;"&amp;$DF23,$AD23:$BA23)+SUMIF($BH$3:$CE$3,"&gt;"&amp;$CW$4,$AD23:$BA23)),
IF(CC$3=$DF23+'Model Setup'!$F$7,SUMIF($BH$3:$CE$3,"="&amp;$DF23+'Model Setup'!$F$7,$AD23:$BA23)+'Model Setup'!$F$8*(SUMIF($BH$3:$CE$3,"&lt;"&amp;$DF23,$AD23:$BA23)+SUMIF($BH$3:$CE$3,"&gt;"&amp;$CW$4,$AD23:$BA23)),
IF(CC$3=$DF23+'Model Setup'!$G$7,SUMIF($BH$3:$CE$3,"="&amp;$DF23+'Model Setup'!$G$7,$AD23:$BA23)+'Model Setup'!$G$8*(SUMIF($BH$3:$CE$3,"&lt;"&amp;$DF23,$AD23:$BA23)+SUMIF($BH$3:$CE$3,"&gt;"&amp;$CW$4,$AD23:$BA23)),
IF(CC$3=$DF23+'Model Setup'!$H$7,SUMIF($BH$3:$CE$3,"="&amp;$DF23+'Model Setup'!$H$7,$AD23:$BA23)+'Model Setup'!$H$8*(SUMIF($BH$3:$CE$3,"&lt;"&amp;$DF23,$AD23:$BA23)+SUMIF($BH$3:$CE$3,"&gt;"&amp;$CW$4,$AD23:$BA23)),
IF(CC$3=$DF23+'Model Setup'!$I$7,SUMIF($BH$3:$CE$3,"="&amp;$DF23+'Model Setup'!$I$7,$AD23:$BA23)+'Model Setup'!$I$8*(SUMIF($BH$3:$CE$3,"&lt;"&amp;$DF23,$AD23:$BA23)+SUMIF($BH$3:$CE$3,"&gt;"&amp;$CW$4,$AD23:$BA23)),
IF(CC$3=$DF23+'Model Setup'!$J$7,SUMIF($BH$3:$CE$3,"="&amp;$DF23+'Model Setup'!$J$7,$AD23:$BA23)+'Model Setup'!$J$8*(SUMIF($BH$3:$CE$3,"&lt;"&amp;$DF23,$AD23:$BA23)+SUMIF($BH$3:$CE$3,"&gt;"&amp;$CW$4,$AD23:$BA23)),
IF(CC$3=$DF23+'Model Setup'!$K$7,SUMIF($BH$3:$CE$3,"="&amp;$DF23+'Model Setup'!$K$7,$AD23:$BA23)+'Model Setup'!$K$8*(SUMIF($BH$3:$CE$3,"&lt;"&amp;$DF23,$AD23:$BA23)+SUMIF($BH$3:$CE$3,"&gt;"&amp;$CW$4,$AD23:$BA23)),
IF(CC$3=$DF23+'Model Setup'!$L$7,SUMIF($BH$3:$CE$3,"="&amp;$DF23+'Model Setup'!$L$7,$AD23:$BA23)+'Model Setup'!$L$8*(SUMIF($BH$3:$CE$3,"&lt;"&amp;$DF23,$AD23:$BA23)+SUMIF($BH$3:$CE$3,"&gt;"&amp;$CW$4,$AD23:$BA23)),
IF(CC$3=$DF23+'Model Setup'!$M$7,SUMIF($BH$3:$CE$3,"="&amp;$DF23+'Model Setup'!$M$7,$AD23:$BA23)+'Model Setup'!$M$8*(SUMIF($BH$3:$CE$3,"&lt;"&amp;$DF23,$AD23:$BA23)+SUMIF($BH$3:$CE$3,"&gt;"&amp;$CW$4,$AD23:$BA23)),
IF(CC$3=$DF23+'Model Setup'!$N$7,SUMIF($BH$3:$CE$3,"="&amp;$DF23+'Model Setup'!$N$7,$AD23:$BA23)+'Model Setup'!$N$8*(SUMIF($BH$3:$CE$3,"&lt;"&amp;$DF23,$AD23:$BA23)+SUMIF($BH$3:$CE$3,"&gt;"&amp;$CW$4,$AD23:$BA23)),
IF(CC$3&lt;$CW$4,W23,0))))))))))))))),0)</f>
        <v>0</v>
      </c>
      <c r="CD23" s="47">
        <f>ROUND(IF(OR(CD$3&lt;$DF23,CD$3&gt;$CW$4),0,
IF(CD$3=$DF23+'Model Setup'!$B$7,SUMIF($BH$3:$CE$3,"="&amp;$DF23+'Model Setup'!$B$7,$AD23:$BA23)+'Model Setup'!$B$8*(SUMIF($BH$3:$CE$3,"&lt;"&amp;$DF23,$AD23:$BA23)+SUMIF($BH$3:$CE$3,"&gt;"&amp;$CW$4,$AD23:$BA23)),
IF(CD$3=$DF23+'Model Setup'!$C$7,SUMIF($BH$3:$CE$3,"="&amp;$DF23+'Model Setup'!$C$7,$AD23:$BA23)+'Model Setup'!$C$8*(SUMIF($BH$3:$CE$3,"&lt;"&amp;$DF23,$AD23:$BA23)+SUMIF($BH$3:$CE$3,"&gt;"&amp;$CW$4,$AD23:$BA23)),
IF(CD$3=$DF23+'Model Setup'!$D$7,SUMIF($BH$3:$CE$3,"="&amp;$DF23+'Model Setup'!$D$7,$AD23:$BA23)+'Model Setup'!$D$8*(SUMIF($BH$3:$CE$3,"&lt;"&amp;$DF23,$AD23:$BA23)+SUMIF($BH$3:$CE$3,"&gt;"&amp;$CW$4,$AD23:$BA23)),
IF(CD$3=$DF23+'Model Setup'!$E$7,SUMIF($BH$3:$CE$3,"="&amp;$DF23+'Model Setup'!$E$7,$AD23:$BA23)+'Model Setup'!$E$8*(SUMIF($BH$3:$CE$3,"&lt;"&amp;$DF23,$AD23:$BA23)+SUMIF($BH$3:$CE$3,"&gt;"&amp;$CW$4,$AD23:$BA23)),
IF(CD$3=$DF23+'Model Setup'!$F$7,SUMIF($BH$3:$CE$3,"="&amp;$DF23+'Model Setup'!$F$7,$AD23:$BA23)+'Model Setup'!$F$8*(SUMIF($BH$3:$CE$3,"&lt;"&amp;$DF23,$AD23:$BA23)+SUMIF($BH$3:$CE$3,"&gt;"&amp;$CW$4,$AD23:$BA23)),
IF(CD$3=$DF23+'Model Setup'!$G$7,SUMIF($BH$3:$CE$3,"="&amp;$DF23+'Model Setup'!$G$7,$AD23:$BA23)+'Model Setup'!$G$8*(SUMIF($BH$3:$CE$3,"&lt;"&amp;$DF23,$AD23:$BA23)+SUMIF($BH$3:$CE$3,"&gt;"&amp;$CW$4,$AD23:$BA23)),
IF(CD$3=$DF23+'Model Setup'!$H$7,SUMIF($BH$3:$CE$3,"="&amp;$DF23+'Model Setup'!$H$7,$AD23:$BA23)+'Model Setup'!$H$8*(SUMIF($BH$3:$CE$3,"&lt;"&amp;$DF23,$AD23:$BA23)+SUMIF($BH$3:$CE$3,"&gt;"&amp;$CW$4,$AD23:$BA23)),
IF(CD$3=$DF23+'Model Setup'!$I$7,SUMIF($BH$3:$CE$3,"="&amp;$DF23+'Model Setup'!$I$7,$AD23:$BA23)+'Model Setup'!$I$8*(SUMIF($BH$3:$CE$3,"&lt;"&amp;$DF23,$AD23:$BA23)+SUMIF($BH$3:$CE$3,"&gt;"&amp;$CW$4,$AD23:$BA23)),
IF(CD$3=$DF23+'Model Setup'!$J$7,SUMIF($BH$3:$CE$3,"="&amp;$DF23+'Model Setup'!$J$7,$AD23:$BA23)+'Model Setup'!$J$8*(SUMIF($BH$3:$CE$3,"&lt;"&amp;$DF23,$AD23:$BA23)+SUMIF($BH$3:$CE$3,"&gt;"&amp;$CW$4,$AD23:$BA23)),
IF(CD$3=$DF23+'Model Setup'!$K$7,SUMIF($BH$3:$CE$3,"="&amp;$DF23+'Model Setup'!$K$7,$AD23:$BA23)+'Model Setup'!$K$8*(SUMIF($BH$3:$CE$3,"&lt;"&amp;$DF23,$AD23:$BA23)+SUMIF($BH$3:$CE$3,"&gt;"&amp;$CW$4,$AD23:$BA23)),
IF(CD$3=$DF23+'Model Setup'!$L$7,SUMIF($BH$3:$CE$3,"="&amp;$DF23+'Model Setup'!$L$7,$AD23:$BA23)+'Model Setup'!$L$8*(SUMIF($BH$3:$CE$3,"&lt;"&amp;$DF23,$AD23:$BA23)+SUMIF($BH$3:$CE$3,"&gt;"&amp;$CW$4,$AD23:$BA23)),
IF(CD$3=$DF23+'Model Setup'!$M$7,SUMIF($BH$3:$CE$3,"="&amp;$DF23+'Model Setup'!$M$7,$AD23:$BA23)+'Model Setup'!$M$8*(SUMIF($BH$3:$CE$3,"&lt;"&amp;$DF23,$AD23:$BA23)+SUMIF($BH$3:$CE$3,"&gt;"&amp;$CW$4,$AD23:$BA23)),
IF(CD$3=$DF23+'Model Setup'!$N$7,SUMIF($BH$3:$CE$3,"="&amp;$DF23+'Model Setup'!$N$7,$AD23:$BA23)+'Model Setup'!$N$8*(SUMIF($BH$3:$CE$3,"&lt;"&amp;$DF23,$AD23:$BA23)+SUMIF($BH$3:$CE$3,"&gt;"&amp;$CW$4,$AD23:$BA23)),
IF(CD$3&lt;$CW$4,X23,0))))))))))))))),0)</f>
        <v>0</v>
      </c>
      <c r="CE23" s="47">
        <f>ROUND(IF(OR(CE$3&lt;$DF23,CE$3&gt;$CW$4),0,
IF(CE$3=$DF23+'Model Setup'!$B$7,SUMIF($BH$3:$CE$3,"="&amp;$DF23+'Model Setup'!$B$7,$AD23:$BA23)+'Model Setup'!$B$8*(SUMIF($BH$3:$CE$3,"&lt;"&amp;$DF23,$AD23:$BA23)+SUMIF($BH$3:$CE$3,"&gt;"&amp;$CW$4,$AD23:$BA23)),
IF(CE$3=$DF23+'Model Setup'!$C$7,SUMIF($BH$3:$CE$3,"="&amp;$DF23+'Model Setup'!$C$7,$AD23:$BA23)+'Model Setup'!$C$8*(SUMIF($BH$3:$CE$3,"&lt;"&amp;$DF23,$AD23:$BA23)+SUMIF($BH$3:$CE$3,"&gt;"&amp;$CW$4,$AD23:$BA23)),
IF(CE$3=$DF23+'Model Setup'!$D$7,SUMIF($BH$3:$CE$3,"="&amp;$DF23+'Model Setup'!$D$7,$AD23:$BA23)+'Model Setup'!$D$8*(SUMIF($BH$3:$CE$3,"&lt;"&amp;$DF23,$AD23:$BA23)+SUMIF($BH$3:$CE$3,"&gt;"&amp;$CW$4,$AD23:$BA23)),
IF(CE$3=$DF23+'Model Setup'!$E$7,SUMIF($BH$3:$CE$3,"="&amp;$DF23+'Model Setup'!$E$7,$AD23:$BA23)+'Model Setup'!$E$8*(SUMIF($BH$3:$CE$3,"&lt;"&amp;$DF23,$AD23:$BA23)+SUMIF($BH$3:$CE$3,"&gt;"&amp;$CW$4,$AD23:$BA23)),
IF(CE$3=$DF23+'Model Setup'!$F$7,SUMIF($BH$3:$CE$3,"="&amp;$DF23+'Model Setup'!$F$7,$AD23:$BA23)+'Model Setup'!$F$8*(SUMIF($BH$3:$CE$3,"&lt;"&amp;$DF23,$AD23:$BA23)+SUMIF($BH$3:$CE$3,"&gt;"&amp;$CW$4,$AD23:$BA23)),
IF(CE$3=$DF23+'Model Setup'!$G$7,SUMIF($BH$3:$CE$3,"="&amp;$DF23+'Model Setup'!$G$7,$AD23:$BA23)+'Model Setup'!$G$8*(SUMIF($BH$3:$CE$3,"&lt;"&amp;$DF23,$AD23:$BA23)+SUMIF($BH$3:$CE$3,"&gt;"&amp;$CW$4,$AD23:$BA23)),
IF(CE$3=$DF23+'Model Setup'!$H$7,SUMIF($BH$3:$CE$3,"="&amp;$DF23+'Model Setup'!$H$7,$AD23:$BA23)+'Model Setup'!$H$8*(SUMIF($BH$3:$CE$3,"&lt;"&amp;$DF23,$AD23:$BA23)+SUMIF($BH$3:$CE$3,"&gt;"&amp;$CW$4,$AD23:$BA23)),
IF(CE$3=$DF23+'Model Setup'!$I$7,SUMIF($BH$3:$CE$3,"="&amp;$DF23+'Model Setup'!$I$7,$AD23:$BA23)+'Model Setup'!$I$8*(SUMIF($BH$3:$CE$3,"&lt;"&amp;$DF23,$AD23:$BA23)+SUMIF($BH$3:$CE$3,"&gt;"&amp;$CW$4,$AD23:$BA23)),
IF(CE$3=$DF23+'Model Setup'!$J$7,SUMIF($BH$3:$CE$3,"="&amp;$DF23+'Model Setup'!$J$7,$AD23:$BA23)+'Model Setup'!$J$8*(SUMIF($BH$3:$CE$3,"&lt;"&amp;$DF23,$AD23:$BA23)+SUMIF($BH$3:$CE$3,"&gt;"&amp;$CW$4,$AD23:$BA23)),
IF(CE$3=$DF23+'Model Setup'!$K$7,SUMIF($BH$3:$CE$3,"="&amp;$DF23+'Model Setup'!$K$7,$AD23:$BA23)+'Model Setup'!$K$8*(SUMIF($BH$3:$CE$3,"&lt;"&amp;$DF23,$AD23:$BA23)+SUMIF($BH$3:$CE$3,"&gt;"&amp;$CW$4,$AD23:$BA23)),
IF(CE$3=$DF23+'Model Setup'!$L$7,SUMIF($BH$3:$CE$3,"="&amp;$DF23+'Model Setup'!$L$7,$AD23:$BA23)+'Model Setup'!$L$8*(SUMIF($BH$3:$CE$3,"&lt;"&amp;$DF23,$AD23:$BA23)+SUMIF($BH$3:$CE$3,"&gt;"&amp;$CW$4,$AD23:$BA23)),
IF(CE$3=$DF23+'Model Setup'!$M$7,SUMIF($BH$3:$CE$3,"="&amp;$DF23+'Model Setup'!$M$7,$AD23:$BA23)+'Model Setup'!$M$8*(SUMIF($BH$3:$CE$3,"&lt;"&amp;$DF23,$AD23:$BA23)+SUMIF($BH$3:$CE$3,"&gt;"&amp;$CW$4,$AD23:$BA23)),
IF(CE$3=$DF23+'Model Setup'!$N$7,SUMIF($BH$3:$CE$3,"="&amp;$DF23+'Model Setup'!$N$7,$AD23:$BA23)+'Model Setup'!$N$8*(SUMIF($BH$3:$CE$3,"&lt;"&amp;$DF23,$AD23:$BA23)+SUMIF($BH$3:$CE$3,"&gt;"&amp;$CW$4,$AD23:$BA23)),
IF(CE$3&lt;$CW$4,Y23,0))))))))))))))),0)</f>
        <v>0</v>
      </c>
      <c r="CF23" s="47">
        <f t="shared" si="3"/>
        <v>521</v>
      </c>
      <c r="CG23" s="47">
        <f t="shared" si="4"/>
        <v>0</v>
      </c>
      <c r="CI23" s="10" t="s">
        <v>38</v>
      </c>
      <c r="CJ23" s="126">
        <f t="shared" si="9"/>
        <v>0</v>
      </c>
      <c r="CK23" s="126">
        <f t="shared" si="10"/>
        <v>48</v>
      </c>
      <c r="CL23" s="126">
        <f t="shared" si="11"/>
        <v>63</v>
      </c>
      <c r="CM23" s="126">
        <f t="shared" si="12"/>
        <v>68</v>
      </c>
      <c r="CN23" s="126">
        <f t="shared" si="13"/>
        <v>48</v>
      </c>
      <c r="CO23" s="126">
        <f t="shared" si="14"/>
        <v>58</v>
      </c>
      <c r="CP23" s="126">
        <f t="shared" si="15"/>
        <v>33</v>
      </c>
      <c r="CQ23" s="126">
        <f t="shared" si="16"/>
        <v>42</v>
      </c>
      <c r="CR23" s="126">
        <f t="shared" si="17"/>
        <v>29</v>
      </c>
      <c r="CS23" s="126">
        <f t="shared" si="18"/>
        <v>23</v>
      </c>
      <c r="CT23" s="126">
        <f t="shared" si="19"/>
        <v>20</v>
      </c>
      <c r="CU23" s="126">
        <f t="shared" si="20"/>
        <v>30</v>
      </c>
      <c r="CV23" s="126">
        <f t="shared" si="21"/>
        <v>37</v>
      </c>
      <c r="CW23" s="126">
        <f t="shared" si="22"/>
        <v>22</v>
      </c>
      <c r="CX23" s="126">
        <f t="shared" si="23"/>
        <v>0</v>
      </c>
      <c r="CY23" s="126">
        <f t="shared" si="24"/>
        <v>0</v>
      </c>
      <c r="CZ23" s="47">
        <f t="shared" si="7"/>
        <v>521</v>
      </c>
      <c r="DC23" s="93" t="s">
        <v>38</v>
      </c>
      <c r="DD23" s="89">
        <f>FTC!E21</f>
        <v>0.25</v>
      </c>
      <c r="DE23" s="89">
        <f>FTC!F21</f>
        <v>0.75</v>
      </c>
      <c r="DF23" s="90">
        <f t="shared" si="25"/>
        <v>6</v>
      </c>
      <c r="DG23" s="91">
        <f t="shared" si="26"/>
        <v>18</v>
      </c>
      <c r="DH23" s="91">
        <f t="shared" si="27"/>
        <v>12</v>
      </c>
    </row>
    <row r="24" spans="1:112" x14ac:dyDescent="0.35">
      <c r="A24" s="43" t="s">
        <v>39</v>
      </c>
      <c r="B24" s="47">
        <v>5</v>
      </c>
      <c r="C24" s="47">
        <v>6</v>
      </c>
      <c r="D24" s="47">
        <v>3</v>
      </c>
      <c r="E24" s="47">
        <v>18</v>
      </c>
      <c r="F24" s="47">
        <v>25</v>
      </c>
      <c r="G24" s="47">
        <v>41</v>
      </c>
      <c r="H24" s="47">
        <v>84</v>
      </c>
      <c r="I24" s="47">
        <v>90</v>
      </c>
      <c r="J24" s="47">
        <v>110</v>
      </c>
      <c r="K24" s="47">
        <v>95</v>
      </c>
      <c r="L24" s="47">
        <v>81</v>
      </c>
      <c r="M24" s="47">
        <v>65</v>
      </c>
      <c r="N24" s="47">
        <v>66</v>
      </c>
      <c r="O24" s="47">
        <v>60</v>
      </c>
      <c r="P24" s="47">
        <v>36</v>
      </c>
      <c r="Q24" s="47">
        <v>30</v>
      </c>
      <c r="R24" s="47">
        <v>26</v>
      </c>
      <c r="S24" s="47">
        <v>22</v>
      </c>
      <c r="T24" s="47">
        <v>19</v>
      </c>
      <c r="U24" s="47">
        <v>4</v>
      </c>
      <c r="V24" s="47">
        <v>8</v>
      </c>
      <c r="W24" s="47">
        <v>13</v>
      </c>
      <c r="X24" s="47">
        <v>5</v>
      </c>
      <c r="Y24" s="47">
        <v>7</v>
      </c>
      <c r="Z24" s="47">
        <f t="shared" si="0"/>
        <v>919</v>
      </c>
      <c r="AC24" s="43" t="s">
        <v>39</v>
      </c>
      <c r="AD24" s="47">
        <f>ROUND(IF(AD$3&lt;$DF24,0,
IF(AD$3=$DF24+'Model Setup'!$B$7,SUMIF($AD$3:$BA$3,"="&amp;$DF24+'Model Setup'!$B$7,$B24:$Y24)+'Model Setup'!$B$8*(SUMIF($AD$3:$BA$3,"&lt;"&amp;$DF24,$B24:$Y24)+SUMIF($AD$3:$BA$3,"&gt;="&amp;$DG24,$B24:$Y24)),
IF(AD$3=$DF24+'Model Setup'!$C$7,SUMIF($AD$3:$BA$3,"="&amp;$DF24+'Model Setup'!$C$7,$B24:$Y24)+'Model Setup'!$C$8*(SUMIF($AD$3:$BA$3,"&lt;"&amp;$DF24,$B24:$Y24)+SUMIF($AD$3:$BA$3,"&gt;="&amp;$DG24,$B24:$Y24)),
IF(AD$3=$DF24+'Model Setup'!$D$7,SUMIF($AD$3:$BA$3,"="&amp;$DF24+'Model Setup'!$D$7,$B24:$Y24)+'Model Setup'!$D$8*(SUMIF($AD$3:$BA$3,"&lt;"&amp;$DF24,$B24:$Y24)+SUMIF($AD$3:$BA$3,"&gt;="&amp;$DG24,$B24:$Y24)),
IF(AD$3=$DF24+'Model Setup'!$E$7,SUMIF($AD$3:$BA$3,"="&amp;$DF24+'Model Setup'!$E$7,$B24:$Y24)+'Model Setup'!$E$8*(SUMIF($AD$3:$BA$3,"&lt;"&amp;$DF24,$B24:$Y24)+SUMIF($AD$3:$BA$3,"&gt;="&amp;$DG24,$B24:$Y24)),
IF(AD$3=$DF24+'Model Setup'!$F$7,SUMIF($AD$3:$BA$3,"="&amp;$DF24+'Model Setup'!$F$7,$B24:$Y24)+'Model Setup'!$F$8*(SUMIF($AD$3:$BA$3,"&lt;"&amp;$DF24,$B24:$Y24)+SUMIF($AD$3:$BA$3,"&gt;="&amp;$DG24,$B24:$Y24)),
IF(AD$3=$DF24+'Model Setup'!$G$7,SUMIF($AD$3:$BA$3,"="&amp;$DF24+'Model Setup'!$G$7,$B24:$Y24)+'Model Setup'!$G$8*(SUMIF($AD$3:$BA$3,"&lt;"&amp;$DF24,$B24:$Y24)+SUMIF($AD$3:$BA$3,"&gt;="&amp;$DG24,$B24:$Y24)),
IF(AD$3=$DF24+'Model Setup'!$H$7,SUMIF($AD$3:$BA$3,"="&amp;$DF24+'Model Setup'!$H$7,$B24:$Y24)+'Model Setup'!$H$8*(SUMIF($AD$3:$BA$3,"&lt;"&amp;$DF24,$B24:$Y24)+SUMIF($AD$3:$BA$3,"&gt;="&amp;$DG24,$B24:$Y24)),
IF(AD$3=$DF24+'Model Setup'!$I$7,SUMIF($AD$3:$BA$3,"="&amp;$DF24+'Model Setup'!$I$7,$B24:$Y24)+'Model Setup'!$I$8*(SUMIF($AD$3:$BA$3,"&lt;"&amp;$DF24,$B24:$Y24)+SUMIF($AD$3:$BA$3,"&gt;="&amp;$DG24,$B24:$Y24)),
IF(AD$3=$DF24+'Model Setup'!$J$7,SUMIF($AD$3:$BA$3,"="&amp;$DF24+'Model Setup'!$J$7,$B24:$Y24)+'Model Setup'!$J$8*(SUMIF($AD$3:$BA$3,"&lt;"&amp;$DF24,$B24:$Y24)+SUMIF($AD$3:$BA$3,"&gt;="&amp;$DG24,$B24:$Y24)),
IF(AD$3=$DF24+'Model Setup'!$K$7,SUMIF($AD$3:$BA$3,"="&amp;$DF24+'Model Setup'!$K$7,$B24:$Y24)+'Model Setup'!$K$8*(SUMIF($AD$3:$BA$3,"&lt;"&amp;$DF24,$B24:$Y24)+SUMIF($AD$3:$BA$3,"&gt;="&amp;$DG24,$B24:$Y24)),
IF(AD$3=$DF24+'Model Setup'!$L$7,SUMIF($AD$3:$BA$3,"="&amp;$DF24+'Model Setup'!$L$7,$B24:$Y24)+'Model Setup'!$L$8*(SUMIF($AD$3:$BA$3,"&lt;"&amp;$DF24,$B24:$Y24)+SUMIF($AD$3:$BA$3,"&gt;="&amp;$DG24,$B24:$Y24)),
IF(AD$3=$DF24+'Model Setup'!$M$7,SUMIF($AD$3:$BA$3,"="&amp;$DF24+'Model Setup'!$M$7,$B24:$Y24)+'Model Setup'!$M$8*(SUMIF($AD$3:$BA$3,"&lt;"&amp;$DF24,$B24:$Y24)+SUMIF($AD$3:$BA$3,"&gt;="&amp;$DG24,$B24:$Y24)),
IF(AD$3=$DF24+'Model Setup'!$N$7,SUMIF($AD$3:$BA$3,"="&amp;$DF24+'Model Setup'!$N$7,$B24:$Y24)+'Model Setup'!$N$8*(SUMIF($AD$3:$BA$3,"&lt;"&amp;$DF24,$B24:$Y24)+SUMIF($AD$3:$BA$3,"&gt;="&amp;$DG24,$B24:$Y24)),
IF(AD$3&lt;$DG24,B24,0))))))))))))))),0)</f>
        <v>0</v>
      </c>
      <c r="AE24" s="47">
        <f>ROUND(IF(AE$3&lt;$DF24,0,
IF(AE$3=$DF24+'Model Setup'!$B$7,SUMIF($AD$3:$BA$3,"="&amp;$DF24+'Model Setup'!$B$7,$B24:$Y24)+'Model Setup'!$B$8*(SUMIF($AD$3:$BA$3,"&lt;"&amp;$DF24,$B24:$Y24)+SUMIF($AD$3:$BA$3,"&gt;="&amp;$DG24,$B24:$Y24)),
IF(AE$3=$DF24+'Model Setup'!$C$7,SUMIF($AD$3:$BA$3,"="&amp;$DF24+'Model Setup'!$C$7,$B24:$Y24)+'Model Setup'!$C$8*(SUMIF($AD$3:$BA$3,"&lt;"&amp;$DF24,$B24:$Y24)+SUMIF($AD$3:$BA$3,"&gt;="&amp;$DG24,$B24:$Y24)),
IF(AE$3=$DF24+'Model Setup'!$D$7,SUMIF($AD$3:$BA$3,"="&amp;$DF24+'Model Setup'!$D$7,$B24:$Y24)+'Model Setup'!$D$8*(SUMIF($AD$3:$BA$3,"&lt;"&amp;$DF24,$B24:$Y24)+SUMIF($AD$3:$BA$3,"&gt;="&amp;$DG24,$B24:$Y24)),
IF(AE$3=$DF24+'Model Setup'!$E$7,SUMIF($AD$3:$BA$3,"="&amp;$DF24+'Model Setup'!$E$7,$B24:$Y24)+'Model Setup'!$E$8*(SUMIF($AD$3:$BA$3,"&lt;"&amp;$DF24,$B24:$Y24)+SUMIF($AD$3:$BA$3,"&gt;="&amp;$DG24,$B24:$Y24)),
IF(AE$3=$DF24+'Model Setup'!$F$7,SUMIF($AD$3:$BA$3,"="&amp;$DF24+'Model Setup'!$F$7,$B24:$Y24)+'Model Setup'!$F$8*(SUMIF($AD$3:$BA$3,"&lt;"&amp;$DF24,$B24:$Y24)+SUMIF($AD$3:$BA$3,"&gt;="&amp;$DG24,$B24:$Y24)),
IF(AE$3=$DF24+'Model Setup'!$G$7,SUMIF($AD$3:$BA$3,"="&amp;$DF24+'Model Setup'!$G$7,$B24:$Y24)+'Model Setup'!$G$8*(SUMIF($AD$3:$BA$3,"&lt;"&amp;$DF24,$B24:$Y24)+SUMIF($AD$3:$BA$3,"&gt;="&amp;$DG24,$B24:$Y24)),
IF(AE$3=$DF24+'Model Setup'!$H$7,SUMIF($AD$3:$BA$3,"="&amp;$DF24+'Model Setup'!$H$7,$B24:$Y24)+'Model Setup'!$H$8*(SUMIF($AD$3:$BA$3,"&lt;"&amp;$DF24,$B24:$Y24)+SUMIF($AD$3:$BA$3,"&gt;="&amp;$DG24,$B24:$Y24)),
IF(AE$3=$DF24+'Model Setup'!$I$7,SUMIF($AD$3:$BA$3,"="&amp;$DF24+'Model Setup'!$I$7,$B24:$Y24)+'Model Setup'!$I$8*(SUMIF($AD$3:$BA$3,"&lt;"&amp;$DF24,$B24:$Y24)+SUMIF($AD$3:$BA$3,"&gt;="&amp;$DG24,$B24:$Y24)),
IF(AE$3=$DF24+'Model Setup'!$J$7,SUMIF($AD$3:$BA$3,"="&amp;$DF24+'Model Setup'!$J$7,$B24:$Y24)+'Model Setup'!$J$8*(SUMIF($AD$3:$BA$3,"&lt;"&amp;$DF24,$B24:$Y24)+SUMIF($AD$3:$BA$3,"&gt;="&amp;$DG24,$B24:$Y24)),
IF(AE$3=$DF24+'Model Setup'!$K$7,SUMIF($AD$3:$BA$3,"="&amp;$DF24+'Model Setup'!$K$7,$B24:$Y24)+'Model Setup'!$K$8*(SUMIF($AD$3:$BA$3,"&lt;"&amp;$DF24,$B24:$Y24)+SUMIF($AD$3:$BA$3,"&gt;="&amp;$DG24,$B24:$Y24)),
IF(AE$3=$DF24+'Model Setup'!$L$7,SUMIF($AD$3:$BA$3,"="&amp;$DF24+'Model Setup'!$L$7,$B24:$Y24)+'Model Setup'!$L$8*(SUMIF($AD$3:$BA$3,"&lt;"&amp;$DF24,$B24:$Y24)+SUMIF($AD$3:$BA$3,"&gt;="&amp;$DG24,$B24:$Y24)),
IF(AE$3=$DF24+'Model Setup'!$M$7,SUMIF($AD$3:$BA$3,"="&amp;$DF24+'Model Setup'!$M$7,$B24:$Y24)+'Model Setup'!$M$8*(SUMIF($AD$3:$BA$3,"&lt;"&amp;$DF24,$B24:$Y24)+SUMIF($AD$3:$BA$3,"&gt;="&amp;$DG24,$B24:$Y24)),
IF(AE$3=$DF24+'Model Setup'!$N$7,SUMIF($AD$3:$BA$3,"="&amp;$DF24+'Model Setup'!$N$7,$B24:$Y24)+'Model Setup'!$N$8*(SUMIF($AD$3:$BA$3,"&lt;"&amp;$DF24,$B24:$Y24)+SUMIF($AD$3:$BA$3,"&gt;="&amp;$DG24,$B24:$Y24)),
IF(AE$3&lt;$DG24,C24,0))))))))))))))),0)</f>
        <v>0</v>
      </c>
      <c r="AF24" s="47">
        <f>ROUND(IF(AF$3&lt;$DF24,0,
IF(AF$3=$DF24+'Model Setup'!$B$7,SUMIF($AD$3:$BA$3,"="&amp;$DF24+'Model Setup'!$B$7,$B24:$Y24)+'Model Setup'!$B$8*(SUMIF($AD$3:$BA$3,"&lt;"&amp;$DF24,$B24:$Y24)+SUMIF($AD$3:$BA$3,"&gt;="&amp;$DG24,$B24:$Y24)),
IF(AF$3=$DF24+'Model Setup'!$C$7,SUMIF($AD$3:$BA$3,"="&amp;$DF24+'Model Setup'!$C$7,$B24:$Y24)+'Model Setup'!$C$8*(SUMIF($AD$3:$BA$3,"&lt;"&amp;$DF24,$B24:$Y24)+SUMIF($AD$3:$BA$3,"&gt;="&amp;$DG24,$B24:$Y24)),
IF(AF$3=$DF24+'Model Setup'!$D$7,SUMIF($AD$3:$BA$3,"="&amp;$DF24+'Model Setup'!$D$7,$B24:$Y24)+'Model Setup'!$D$8*(SUMIF($AD$3:$BA$3,"&lt;"&amp;$DF24,$B24:$Y24)+SUMIF($AD$3:$BA$3,"&gt;="&amp;$DG24,$B24:$Y24)),
IF(AF$3=$DF24+'Model Setup'!$E$7,SUMIF($AD$3:$BA$3,"="&amp;$DF24+'Model Setup'!$E$7,$B24:$Y24)+'Model Setup'!$E$8*(SUMIF($AD$3:$BA$3,"&lt;"&amp;$DF24,$B24:$Y24)+SUMIF($AD$3:$BA$3,"&gt;="&amp;$DG24,$B24:$Y24)),
IF(AF$3=$DF24+'Model Setup'!$F$7,SUMIF($AD$3:$BA$3,"="&amp;$DF24+'Model Setup'!$F$7,$B24:$Y24)+'Model Setup'!$F$8*(SUMIF($AD$3:$BA$3,"&lt;"&amp;$DF24,$B24:$Y24)+SUMIF($AD$3:$BA$3,"&gt;="&amp;$DG24,$B24:$Y24)),
IF(AF$3=$DF24+'Model Setup'!$G$7,SUMIF($AD$3:$BA$3,"="&amp;$DF24+'Model Setup'!$G$7,$B24:$Y24)+'Model Setup'!$G$8*(SUMIF($AD$3:$BA$3,"&lt;"&amp;$DF24,$B24:$Y24)+SUMIF($AD$3:$BA$3,"&gt;="&amp;$DG24,$B24:$Y24)),
IF(AF$3=$DF24+'Model Setup'!$H$7,SUMIF($AD$3:$BA$3,"="&amp;$DF24+'Model Setup'!$H$7,$B24:$Y24)+'Model Setup'!$H$8*(SUMIF($AD$3:$BA$3,"&lt;"&amp;$DF24,$B24:$Y24)+SUMIF($AD$3:$BA$3,"&gt;="&amp;$DG24,$B24:$Y24)),
IF(AF$3=$DF24+'Model Setup'!$I$7,SUMIF($AD$3:$BA$3,"="&amp;$DF24+'Model Setup'!$I$7,$B24:$Y24)+'Model Setup'!$I$8*(SUMIF($AD$3:$BA$3,"&lt;"&amp;$DF24,$B24:$Y24)+SUMIF($AD$3:$BA$3,"&gt;="&amp;$DG24,$B24:$Y24)),
IF(AF$3=$DF24+'Model Setup'!$J$7,SUMIF($AD$3:$BA$3,"="&amp;$DF24+'Model Setup'!$J$7,$B24:$Y24)+'Model Setup'!$J$8*(SUMIF($AD$3:$BA$3,"&lt;"&amp;$DF24,$B24:$Y24)+SUMIF($AD$3:$BA$3,"&gt;="&amp;$DG24,$B24:$Y24)),
IF(AF$3=$DF24+'Model Setup'!$K$7,SUMIF($AD$3:$BA$3,"="&amp;$DF24+'Model Setup'!$K$7,$B24:$Y24)+'Model Setup'!$K$8*(SUMIF($AD$3:$BA$3,"&lt;"&amp;$DF24,$B24:$Y24)+SUMIF($AD$3:$BA$3,"&gt;="&amp;$DG24,$B24:$Y24)),
IF(AF$3=$DF24+'Model Setup'!$L$7,SUMIF($AD$3:$BA$3,"="&amp;$DF24+'Model Setup'!$L$7,$B24:$Y24)+'Model Setup'!$L$8*(SUMIF($AD$3:$BA$3,"&lt;"&amp;$DF24,$B24:$Y24)+SUMIF($AD$3:$BA$3,"&gt;="&amp;$DG24,$B24:$Y24)),
IF(AF$3=$DF24+'Model Setup'!$M$7,SUMIF($AD$3:$BA$3,"="&amp;$DF24+'Model Setup'!$M$7,$B24:$Y24)+'Model Setup'!$M$8*(SUMIF($AD$3:$BA$3,"&lt;"&amp;$DF24,$B24:$Y24)+SUMIF($AD$3:$BA$3,"&gt;="&amp;$DG24,$B24:$Y24)),
IF(AF$3=$DF24+'Model Setup'!$N$7,SUMIF($AD$3:$BA$3,"="&amp;$DF24+'Model Setup'!$N$7,$B24:$Y24)+'Model Setup'!$N$8*(SUMIF($AD$3:$BA$3,"&lt;"&amp;$DF24,$B24:$Y24)+SUMIF($AD$3:$BA$3,"&gt;="&amp;$DG24,$B24:$Y24)),
IF(AF$3&lt;$DG24,D24,0))))))))))))))),0)</f>
        <v>0</v>
      </c>
      <c r="AG24" s="47">
        <f>ROUND(IF(AG$3&lt;$DF24,0,
IF(AG$3=$DF24+'Model Setup'!$B$7,SUMIF($AD$3:$BA$3,"="&amp;$DF24+'Model Setup'!$B$7,$B24:$Y24)+'Model Setup'!$B$8*(SUMIF($AD$3:$BA$3,"&lt;"&amp;$DF24,$B24:$Y24)+SUMIF($AD$3:$BA$3,"&gt;="&amp;$DG24,$B24:$Y24)),
IF(AG$3=$DF24+'Model Setup'!$C$7,SUMIF($AD$3:$BA$3,"="&amp;$DF24+'Model Setup'!$C$7,$B24:$Y24)+'Model Setup'!$C$8*(SUMIF($AD$3:$BA$3,"&lt;"&amp;$DF24,$B24:$Y24)+SUMIF($AD$3:$BA$3,"&gt;="&amp;$DG24,$B24:$Y24)),
IF(AG$3=$DF24+'Model Setup'!$D$7,SUMIF($AD$3:$BA$3,"="&amp;$DF24+'Model Setup'!$D$7,$B24:$Y24)+'Model Setup'!$D$8*(SUMIF($AD$3:$BA$3,"&lt;"&amp;$DF24,$B24:$Y24)+SUMIF($AD$3:$BA$3,"&gt;="&amp;$DG24,$B24:$Y24)),
IF(AG$3=$DF24+'Model Setup'!$E$7,SUMIF($AD$3:$BA$3,"="&amp;$DF24+'Model Setup'!$E$7,$B24:$Y24)+'Model Setup'!$E$8*(SUMIF($AD$3:$BA$3,"&lt;"&amp;$DF24,$B24:$Y24)+SUMIF($AD$3:$BA$3,"&gt;="&amp;$DG24,$B24:$Y24)),
IF(AG$3=$DF24+'Model Setup'!$F$7,SUMIF($AD$3:$BA$3,"="&amp;$DF24+'Model Setup'!$F$7,$B24:$Y24)+'Model Setup'!$F$8*(SUMIF($AD$3:$BA$3,"&lt;"&amp;$DF24,$B24:$Y24)+SUMIF($AD$3:$BA$3,"&gt;="&amp;$DG24,$B24:$Y24)),
IF(AG$3=$DF24+'Model Setup'!$G$7,SUMIF($AD$3:$BA$3,"="&amp;$DF24+'Model Setup'!$G$7,$B24:$Y24)+'Model Setup'!$G$8*(SUMIF($AD$3:$BA$3,"&lt;"&amp;$DF24,$B24:$Y24)+SUMIF($AD$3:$BA$3,"&gt;="&amp;$DG24,$B24:$Y24)),
IF(AG$3=$DF24+'Model Setup'!$H$7,SUMIF($AD$3:$BA$3,"="&amp;$DF24+'Model Setup'!$H$7,$B24:$Y24)+'Model Setup'!$H$8*(SUMIF($AD$3:$BA$3,"&lt;"&amp;$DF24,$B24:$Y24)+SUMIF($AD$3:$BA$3,"&gt;="&amp;$DG24,$B24:$Y24)),
IF(AG$3=$DF24+'Model Setup'!$I$7,SUMIF($AD$3:$BA$3,"="&amp;$DF24+'Model Setup'!$I$7,$B24:$Y24)+'Model Setup'!$I$8*(SUMIF($AD$3:$BA$3,"&lt;"&amp;$DF24,$B24:$Y24)+SUMIF($AD$3:$BA$3,"&gt;="&amp;$DG24,$B24:$Y24)),
IF(AG$3=$DF24+'Model Setup'!$J$7,SUMIF($AD$3:$BA$3,"="&amp;$DF24+'Model Setup'!$J$7,$B24:$Y24)+'Model Setup'!$J$8*(SUMIF($AD$3:$BA$3,"&lt;"&amp;$DF24,$B24:$Y24)+SUMIF($AD$3:$BA$3,"&gt;="&amp;$DG24,$B24:$Y24)),
IF(AG$3=$DF24+'Model Setup'!$K$7,SUMIF($AD$3:$BA$3,"="&amp;$DF24+'Model Setup'!$K$7,$B24:$Y24)+'Model Setup'!$K$8*(SUMIF($AD$3:$BA$3,"&lt;"&amp;$DF24,$B24:$Y24)+SUMIF($AD$3:$BA$3,"&gt;="&amp;$DG24,$B24:$Y24)),
IF(AG$3=$DF24+'Model Setup'!$L$7,SUMIF($AD$3:$BA$3,"="&amp;$DF24+'Model Setup'!$L$7,$B24:$Y24)+'Model Setup'!$L$8*(SUMIF($AD$3:$BA$3,"&lt;"&amp;$DF24,$B24:$Y24)+SUMIF($AD$3:$BA$3,"&gt;="&amp;$DG24,$B24:$Y24)),
IF(AG$3=$DF24+'Model Setup'!$M$7,SUMIF($AD$3:$BA$3,"="&amp;$DF24+'Model Setup'!$M$7,$B24:$Y24)+'Model Setup'!$M$8*(SUMIF($AD$3:$BA$3,"&lt;"&amp;$DF24,$B24:$Y24)+SUMIF($AD$3:$BA$3,"&gt;="&amp;$DG24,$B24:$Y24)),
IF(AG$3=$DF24+'Model Setup'!$N$7,SUMIF($AD$3:$BA$3,"="&amp;$DF24+'Model Setup'!$N$7,$B24:$Y24)+'Model Setup'!$N$8*(SUMIF($AD$3:$BA$3,"&lt;"&amp;$DF24,$B24:$Y24)+SUMIF($AD$3:$BA$3,"&gt;="&amp;$DG24,$B24:$Y24)),
IF(AG$3&lt;$DG24,E24,0))))))))))))))),0)</f>
        <v>0</v>
      </c>
      <c r="AH24" s="47">
        <f>ROUND(IF(AH$3&lt;$DF24,0,
IF(AH$3=$DF24+'Model Setup'!$B$7,SUMIF($AD$3:$BA$3,"="&amp;$DF24+'Model Setup'!$B$7,$B24:$Y24)+'Model Setup'!$B$8*(SUMIF($AD$3:$BA$3,"&lt;"&amp;$DF24,$B24:$Y24)+SUMIF($AD$3:$BA$3,"&gt;="&amp;$DG24,$B24:$Y24)),
IF(AH$3=$DF24+'Model Setup'!$C$7,SUMIF($AD$3:$BA$3,"="&amp;$DF24+'Model Setup'!$C$7,$B24:$Y24)+'Model Setup'!$C$8*(SUMIF($AD$3:$BA$3,"&lt;"&amp;$DF24,$B24:$Y24)+SUMIF($AD$3:$BA$3,"&gt;="&amp;$DG24,$B24:$Y24)),
IF(AH$3=$DF24+'Model Setup'!$D$7,SUMIF($AD$3:$BA$3,"="&amp;$DF24+'Model Setup'!$D$7,$B24:$Y24)+'Model Setup'!$D$8*(SUMIF($AD$3:$BA$3,"&lt;"&amp;$DF24,$B24:$Y24)+SUMIF($AD$3:$BA$3,"&gt;="&amp;$DG24,$B24:$Y24)),
IF(AH$3=$DF24+'Model Setup'!$E$7,SUMIF($AD$3:$BA$3,"="&amp;$DF24+'Model Setup'!$E$7,$B24:$Y24)+'Model Setup'!$E$8*(SUMIF($AD$3:$BA$3,"&lt;"&amp;$DF24,$B24:$Y24)+SUMIF($AD$3:$BA$3,"&gt;="&amp;$DG24,$B24:$Y24)),
IF(AH$3=$DF24+'Model Setup'!$F$7,SUMIF($AD$3:$BA$3,"="&amp;$DF24+'Model Setup'!$F$7,$B24:$Y24)+'Model Setup'!$F$8*(SUMIF($AD$3:$BA$3,"&lt;"&amp;$DF24,$B24:$Y24)+SUMIF($AD$3:$BA$3,"&gt;="&amp;$DG24,$B24:$Y24)),
IF(AH$3=$DF24+'Model Setup'!$G$7,SUMIF($AD$3:$BA$3,"="&amp;$DF24+'Model Setup'!$G$7,$B24:$Y24)+'Model Setup'!$G$8*(SUMIF($AD$3:$BA$3,"&lt;"&amp;$DF24,$B24:$Y24)+SUMIF($AD$3:$BA$3,"&gt;="&amp;$DG24,$B24:$Y24)),
IF(AH$3=$DF24+'Model Setup'!$H$7,SUMIF($AD$3:$BA$3,"="&amp;$DF24+'Model Setup'!$H$7,$B24:$Y24)+'Model Setup'!$H$8*(SUMIF($AD$3:$BA$3,"&lt;"&amp;$DF24,$B24:$Y24)+SUMIF($AD$3:$BA$3,"&gt;="&amp;$DG24,$B24:$Y24)),
IF(AH$3=$DF24+'Model Setup'!$I$7,SUMIF($AD$3:$BA$3,"="&amp;$DF24+'Model Setup'!$I$7,$B24:$Y24)+'Model Setup'!$I$8*(SUMIF($AD$3:$BA$3,"&lt;"&amp;$DF24,$B24:$Y24)+SUMIF($AD$3:$BA$3,"&gt;="&amp;$DG24,$B24:$Y24)),
IF(AH$3=$DF24+'Model Setup'!$J$7,SUMIF($AD$3:$BA$3,"="&amp;$DF24+'Model Setup'!$J$7,$B24:$Y24)+'Model Setup'!$J$8*(SUMIF($AD$3:$BA$3,"&lt;"&amp;$DF24,$B24:$Y24)+SUMIF($AD$3:$BA$3,"&gt;="&amp;$DG24,$B24:$Y24)),
IF(AH$3=$DF24+'Model Setup'!$K$7,SUMIF($AD$3:$BA$3,"="&amp;$DF24+'Model Setup'!$K$7,$B24:$Y24)+'Model Setup'!$K$8*(SUMIF($AD$3:$BA$3,"&lt;"&amp;$DF24,$B24:$Y24)+SUMIF($AD$3:$BA$3,"&gt;="&amp;$DG24,$B24:$Y24)),
IF(AH$3=$DF24+'Model Setup'!$L$7,SUMIF($AD$3:$BA$3,"="&amp;$DF24+'Model Setup'!$L$7,$B24:$Y24)+'Model Setup'!$L$8*(SUMIF($AD$3:$BA$3,"&lt;"&amp;$DF24,$B24:$Y24)+SUMIF($AD$3:$BA$3,"&gt;="&amp;$DG24,$B24:$Y24)),
IF(AH$3=$DF24+'Model Setup'!$M$7,SUMIF($AD$3:$BA$3,"="&amp;$DF24+'Model Setup'!$M$7,$B24:$Y24)+'Model Setup'!$M$8*(SUMIF($AD$3:$BA$3,"&lt;"&amp;$DF24,$B24:$Y24)+SUMIF($AD$3:$BA$3,"&gt;="&amp;$DG24,$B24:$Y24)),
IF(AH$3=$DF24+'Model Setup'!$N$7,SUMIF($AD$3:$BA$3,"="&amp;$DF24+'Model Setup'!$N$7,$B24:$Y24)+'Model Setup'!$N$8*(SUMIF($AD$3:$BA$3,"&lt;"&amp;$DF24,$B24:$Y24)+SUMIF($AD$3:$BA$3,"&gt;="&amp;$DG24,$B24:$Y24)),
IF(AH$3&lt;$DG24,F24,0))))))))))))))),0)</f>
        <v>0</v>
      </c>
      <c r="AI24" s="47">
        <f>ROUND(IF(AI$3&lt;$DF24,0,
IF(AI$3=$DF24+'Model Setup'!$B$7,SUMIF($AD$3:$BA$3,"="&amp;$DF24+'Model Setup'!$B$7,$B24:$Y24)+'Model Setup'!$B$8*(SUMIF($AD$3:$BA$3,"&lt;"&amp;$DF24,$B24:$Y24)+SUMIF($AD$3:$BA$3,"&gt;="&amp;$DG24,$B24:$Y24)),
IF(AI$3=$DF24+'Model Setup'!$C$7,SUMIF($AD$3:$BA$3,"="&amp;$DF24+'Model Setup'!$C$7,$B24:$Y24)+'Model Setup'!$C$8*(SUMIF($AD$3:$BA$3,"&lt;"&amp;$DF24,$B24:$Y24)+SUMIF($AD$3:$BA$3,"&gt;="&amp;$DG24,$B24:$Y24)),
IF(AI$3=$DF24+'Model Setup'!$D$7,SUMIF($AD$3:$BA$3,"="&amp;$DF24+'Model Setup'!$D$7,$B24:$Y24)+'Model Setup'!$D$8*(SUMIF($AD$3:$BA$3,"&lt;"&amp;$DF24,$B24:$Y24)+SUMIF($AD$3:$BA$3,"&gt;="&amp;$DG24,$B24:$Y24)),
IF(AI$3=$DF24+'Model Setup'!$E$7,SUMIF($AD$3:$BA$3,"="&amp;$DF24+'Model Setup'!$E$7,$B24:$Y24)+'Model Setup'!$E$8*(SUMIF($AD$3:$BA$3,"&lt;"&amp;$DF24,$B24:$Y24)+SUMIF($AD$3:$BA$3,"&gt;="&amp;$DG24,$B24:$Y24)),
IF(AI$3=$DF24+'Model Setup'!$F$7,SUMIF($AD$3:$BA$3,"="&amp;$DF24+'Model Setup'!$F$7,$B24:$Y24)+'Model Setup'!$F$8*(SUMIF($AD$3:$BA$3,"&lt;"&amp;$DF24,$B24:$Y24)+SUMIF($AD$3:$BA$3,"&gt;="&amp;$DG24,$B24:$Y24)),
IF(AI$3=$DF24+'Model Setup'!$G$7,SUMIF($AD$3:$BA$3,"="&amp;$DF24+'Model Setup'!$G$7,$B24:$Y24)+'Model Setup'!$G$8*(SUMIF($AD$3:$BA$3,"&lt;"&amp;$DF24,$B24:$Y24)+SUMIF($AD$3:$BA$3,"&gt;="&amp;$DG24,$B24:$Y24)),
IF(AI$3=$DF24+'Model Setup'!$H$7,SUMIF($AD$3:$BA$3,"="&amp;$DF24+'Model Setup'!$H$7,$B24:$Y24)+'Model Setup'!$H$8*(SUMIF($AD$3:$BA$3,"&lt;"&amp;$DF24,$B24:$Y24)+SUMIF($AD$3:$BA$3,"&gt;="&amp;$DG24,$B24:$Y24)),
IF(AI$3=$DF24+'Model Setup'!$I$7,SUMIF($AD$3:$BA$3,"="&amp;$DF24+'Model Setup'!$I$7,$B24:$Y24)+'Model Setup'!$I$8*(SUMIF($AD$3:$BA$3,"&lt;"&amp;$DF24,$B24:$Y24)+SUMIF($AD$3:$BA$3,"&gt;="&amp;$DG24,$B24:$Y24)),
IF(AI$3=$DF24+'Model Setup'!$J$7,SUMIF($AD$3:$BA$3,"="&amp;$DF24+'Model Setup'!$J$7,$B24:$Y24)+'Model Setup'!$J$8*(SUMIF($AD$3:$BA$3,"&lt;"&amp;$DF24,$B24:$Y24)+SUMIF($AD$3:$BA$3,"&gt;="&amp;$DG24,$B24:$Y24)),
IF(AI$3=$DF24+'Model Setup'!$K$7,SUMIF($AD$3:$BA$3,"="&amp;$DF24+'Model Setup'!$K$7,$B24:$Y24)+'Model Setup'!$K$8*(SUMIF($AD$3:$BA$3,"&lt;"&amp;$DF24,$B24:$Y24)+SUMIF($AD$3:$BA$3,"&gt;="&amp;$DG24,$B24:$Y24)),
IF(AI$3=$DF24+'Model Setup'!$L$7,SUMIF($AD$3:$BA$3,"="&amp;$DF24+'Model Setup'!$L$7,$B24:$Y24)+'Model Setup'!$L$8*(SUMIF($AD$3:$BA$3,"&lt;"&amp;$DF24,$B24:$Y24)+SUMIF($AD$3:$BA$3,"&gt;="&amp;$DG24,$B24:$Y24)),
IF(AI$3=$DF24+'Model Setup'!$M$7,SUMIF($AD$3:$BA$3,"="&amp;$DF24+'Model Setup'!$M$7,$B24:$Y24)+'Model Setup'!$M$8*(SUMIF($AD$3:$BA$3,"&lt;"&amp;$DF24,$B24:$Y24)+SUMIF($AD$3:$BA$3,"&gt;="&amp;$DG24,$B24:$Y24)),
IF(AI$3=$DF24+'Model Setup'!$N$7,SUMIF($AD$3:$BA$3,"="&amp;$DF24+'Model Setup'!$N$7,$B24:$Y24)+'Model Setup'!$N$8*(SUMIF($AD$3:$BA$3,"&lt;"&amp;$DF24,$B24:$Y24)+SUMIF($AD$3:$BA$3,"&gt;="&amp;$DG24,$B24:$Y24)),
IF(AI$3&lt;$DG24,G24,0))))))))))))))),0)</f>
        <v>41</v>
      </c>
      <c r="AJ24" s="47">
        <f>ROUND(IF(AJ$3&lt;$DF24,0,
IF(AJ$3=$DF24+'Model Setup'!$B$7,SUMIF($AD$3:$BA$3,"="&amp;$DF24+'Model Setup'!$B$7,$B24:$Y24)+'Model Setup'!$B$8*(SUMIF($AD$3:$BA$3,"&lt;"&amp;$DF24,$B24:$Y24)+SUMIF($AD$3:$BA$3,"&gt;="&amp;$DG24,$B24:$Y24)),
IF(AJ$3=$DF24+'Model Setup'!$C$7,SUMIF($AD$3:$BA$3,"="&amp;$DF24+'Model Setup'!$C$7,$B24:$Y24)+'Model Setup'!$C$8*(SUMIF($AD$3:$BA$3,"&lt;"&amp;$DF24,$B24:$Y24)+SUMIF($AD$3:$BA$3,"&gt;="&amp;$DG24,$B24:$Y24)),
IF(AJ$3=$DF24+'Model Setup'!$D$7,SUMIF($AD$3:$BA$3,"="&amp;$DF24+'Model Setup'!$D$7,$B24:$Y24)+'Model Setup'!$D$8*(SUMIF($AD$3:$BA$3,"&lt;"&amp;$DF24,$B24:$Y24)+SUMIF($AD$3:$BA$3,"&gt;="&amp;$DG24,$B24:$Y24)),
IF(AJ$3=$DF24+'Model Setup'!$E$7,SUMIF($AD$3:$BA$3,"="&amp;$DF24+'Model Setup'!$E$7,$B24:$Y24)+'Model Setup'!$E$8*(SUMIF($AD$3:$BA$3,"&lt;"&amp;$DF24,$B24:$Y24)+SUMIF($AD$3:$BA$3,"&gt;="&amp;$DG24,$B24:$Y24)),
IF(AJ$3=$DF24+'Model Setup'!$F$7,SUMIF($AD$3:$BA$3,"="&amp;$DF24+'Model Setup'!$F$7,$B24:$Y24)+'Model Setup'!$F$8*(SUMIF($AD$3:$BA$3,"&lt;"&amp;$DF24,$B24:$Y24)+SUMIF($AD$3:$BA$3,"&gt;="&amp;$DG24,$B24:$Y24)),
IF(AJ$3=$DF24+'Model Setup'!$G$7,SUMIF($AD$3:$BA$3,"="&amp;$DF24+'Model Setup'!$G$7,$B24:$Y24)+'Model Setup'!$G$8*(SUMIF($AD$3:$BA$3,"&lt;"&amp;$DF24,$B24:$Y24)+SUMIF($AD$3:$BA$3,"&gt;="&amp;$DG24,$B24:$Y24)),
IF(AJ$3=$DF24+'Model Setup'!$H$7,SUMIF($AD$3:$BA$3,"="&amp;$DF24+'Model Setup'!$H$7,$B24:$Y24)+'Model Setup'!$H$8*(SUMIF($AD$3:$BA$3,"&lt;"&amp;$DF24,$B24:$Y24)+SUMIF($AD$3:$BA$3,"&gt;="&amp;$DG24,$B24:$Y24)),
IF(AJ$3=$DF24+'Model Setup'!$I$7,SUMIF($AD$3:$BA$3,"="&amp;$DF24+'Model Setup'!$I$7,$B24:$Y24)+'Model Setup'!$I$8*(SUMIF($AD$3:$BA$3,"&lt;"&amp;$DF24,$B24:$Y24)+SUMIF($AD$3:$BA$3,"&gt;="&amp;$DG24,$B24:$Y24)),
IF(AJ$3=$DF24+'Model Setup'!$J$7,SUMIF($AD$3:$BA$3,"="&amp;$DF24+'Model Setup'!$J$7,$B24:$Y24)+'Model Setup'!$J$8*(SUMIF($AD$3:$BA$3,"&lt;"&amp;$DF24,$B24:$Y24)+SUMIF($AD$3:$BA$3,"&gt;="&amp;$DG24,$B24:$Y24)),
IF(AJ$3=$DF24+'Model Setup'!$K$7,SUMIF($AD$3:$BA$3,"="&amp;$DF24+'Model Setup'!$K$7,$B24:$Y24)+'Model Setup'!$K$8*(SUMIF($AD$3:$BA$3,"&lt;"&amp;$DF24,$B24:$Y24)+SUMIF($AD$3:$BA$3,"&gt;="&amp;$DG24,$B24:$Y24)),
IF(AJ$3=$DF24+'Model Setup'!$L$7,SUMIF($AD$3:$BA$3,"="&amp;$DF24+'Model Setup'!$L$7,$B24:$Y24)+'Model Setup'!$L$8*(SUMIF($AD$3:$BA$3,"&lt;"&amp;$DF24,$B24:$Y24)+SUMIF($AD$3:$BA$3,"&gt;="&amp;$DG24,$B24:$Y24)),
IF(AJ$3=$DF24+'Model Setup'!$M$7,SUMIF($AD$3:$BA$3,"="&amp;$DF24+'Model Setup'!$M$7,$B24:$Y24)+'Model Setup'!$M$8*(SUMIF($AD$3:$BA$3,"&lt;"&amp;$DF24,$B24:$Y24)+SUMIF($AD$3:$BA$3,"&gt;="&amp;$DG24,$B24:$Y24)),
IF(AJ$3=$DF24+'Model Setup'!$N$7,SUMIF($AD$3:$BA$3,"="&amp;$DF24+'Model Setup'!$N$7,$B24:$Y24)+'Model Setup'!$N$8*(SUMIF($AD$3:$BA$3,"&lt;"&amp;$DF24,$B24:$Y24)+SUMIF($AD$3:$BA$3,"&gt;="&amp;$DG24,$B24:$Y24)),
IF(AJ$3&lt;$DG24,H24,0))))))))))))))),0)</f>
        <v>84</v>
      </c>
      <c r="AK24" s="47">
        <f>ROUND(IF(AK$3&lt;$DF24,0,
IF(AK$3=$DF24+'Model Setup'!$B$7,SUMIF($AD$3:$BA$3,"="&amp;$DF24+'Model Setup'!$B$7,$B24:$Y24)+'Model Setup'!$B$8*(SUMIF($AD$3:$BA$3,"&lt;"&amp;$DF24,$B24:$Y24)+SUMIF($AD$3:$BA$3,"&gt;="&amp;$DG24,$B24:$Y24)),
IF(AK$3=$DF24+'Model Setup'!$C$7,SUMIF($AD$3:$BA$3,"="&amp;$DF24+'Model Setup'!$C$7,$B24:$Y24)+'Model Setup'!$C$8*(SUMIF($AD$3:$BA$3,"&lt;"&amp;$DF24,$B24:$Y24)+SUMIF($AD$3:$BA$3,"&gt;="&amp;$DG24,$B24:$Y24)),
IF(AK$3=$DF24+'Model Setup'!$D$7,SUMIF($AD$3:$BA$3,"="&amp;$DF24+'Model Setup'!$D$7,$B24:$Y24)+'Model Setup'!$D$8*(SUMIF($AD$3:$BA$3,"&lt;"&amp;$DF24,$B24:$Y24)+SUMIF($AD$3:$BA$3,"&gt;="&amp;$DG24,$B24:$Y24)),
IF(AK$3=$DF24+'Model Setup'!$E$7,SUMIF($AD$3:$BA$3,"="&amp;$DF24+'Model Setup'!$E$7,$B24:$Y24)+'Model Setup'!$E$8*(SUMIF($AD$3:$BA$3,"&lt;"&amp;$DF24,$B24:$Y24)+SUMIF($AD$3:$BA$3,"&gt;="&amp;$DG24,$B24:$Y24)),
IF(AK$3=$DF24+'Model Setup'!$F$7,SUMIF($AD$3:$BA$3,"="&amp;$DF24+'Model Setup'!$F$7,$B24:$Y24)+'Model Setup'!$F$8*(SUMIF($AD$3:$BA$3,"&lt;"&amp;$DF24,$B24:$Y24)+SUMIF($AD$3:$BA$3,"&gt;="&amp;$DG24,$B24:$Y24)),
IF(AK$3=$DF24+'Model Setup'!$G$7,SUMIF($AD$3:$BA$3,"="&amp;$DF24+'Model Setup'!$G$7,$B24:$Y24)+'Model Setup'!$G$8*(SUMIF($AD$3:$BA$3,"&lt;"&amp;$DF24,$B24:$Y24)+SUMIF($AD$3:$BA$3,"&gt;="&amp;$DG24,$B24:$Y24)),
IF(AK$3=$DF24+'Model Setup'!$H$7,SUMIF($AD$3:$BA$3,"="&amp;$DF24+'Model Setup'!$H$7,$B24:$Y24)+'Model Setup'!$H$8*(SUMIF($AD$3:$BA$3,"&lt;"&amp;$DF24,$B24:$Y24)+SUMIF($AD$3:$BA$3,"&gt;="&amp;$DG24,$B24:$Y24)),
IF(AK$3=$DF24+'Model Setup'!$I$7,SUMIF($AD$3:$BA$3,"="&amp;$DF24+'Model Setup'!$I$7,$B24:$Y24)+'Model Setup'!$I$8*(SUMIF($AD$3:$BA$3,"&lt;"&amp;$DF24,$B24:$Y24)+SUMIF($AD$3:$BA$3,"&gt;="&amp;$DG24,$B24:$Y24)),
IF(AK$3=$DF24+'Model Setup'!$J$7,SUMIF($AD$3:$BA$3,"="&amp;$DF24+'Model Setup'!$J$7,$B24:$Y24)+'Model Setup'!$J$8*(SUMIF($AD$3:$BA$3,"&lt;"&amp;$DF24,$B24:$Y24)+SUMIF($AD$3:$BA$3,"&gt;="&amp;$DG24,$B24:$Y24)),
IF(AK$3=$DF24+'Model Setup'!$K$7,SUMIF($AD$3:$BA$3,"="&amp;$DF24+'Model Setup'!$K$7,$B24:$Y24)+'Model Setup'!$K$8*(SUMIF($AD$3:$BA$3,"&lt;"&amp;$DF24,$B24:$Y24)+SUMIF($AD$3:$BA$3,"&gt;="&amp;$DG24,$B24:$Y24)),
IF(AK$3=$DF24+'Model Setup'!$L$7,SUMIF($AD$3:$BA$3,"="&amp;$DF24+'Model Setup'!$L$7,$B24:$Y24)+'Model Setup'!$L$8*(SUMIF($AD$3:$BA$3,"&lt;"&amp;$DF24,$B24:$Y24)+SUMIF($AD$3:$BA$3,"&gt;="&amp;$DG24,$B24:$Y24)),
IF(AK$3=$DF24+'Model Setup'!$M$7,SUMIF($AD$3:$BA$3,"="&amp;$DF24+'Model Setup'!$M$7,$B24:$Y24)+'Model Setup'!$M$8*(SUMIF($AD$3:$BA$3,"&lt;"&amp;$DF24,$B24:$Y24)+SUMIF($AD$3:$BA$3,"&gt;="&amp;$DG24,$B24:$Y24)),
IF(AK$3=$DF24+'Model Setup'!$N$7,SUMIF($AD$3:$BA$3,"="&amp;$DF24+'Model Setup'!$N$7,$B24:$Y24)+'Model Setup'!$N$8*(SUMIF($AD$3:$BA$3,"&lt;"&amp;$DF24,$B24:$Y24)+SUMIF($AD$3:$BA$3,"&gt;="&amp;$DG24,$B24:$Y24)),
IF(AK$3&lt;$DG24,I24,0))))))))))))))),0)</f>
        <v>90</v>
      </c>
      <c r="AL24" s="47">
        <f>ROUND(IF(AL$3&lt;$DF24,0,
IF(AL$3=$DF24+'Model Setup'!$B$7,SUMIF($AD$3:$BA$3,"="&amp;$DF24+'Model Setup'!$B$7,$B24:$Y24)+'Model Setup'!$B$8*(SUMIF($AD$3:$BA$3,"&lt;"&amp;$DF24,$B24:$Y24)+SUMIF($AD$3:$BA$3,"&gt;="&amp;$DG24,$B24:$Y24)),
IF(AL$3=$DF24+'Model Setup'!$C$7,SUMIF($AD$3:$BA$3,"="&amp;$DF24+'Model Setup'!$C$7,$B24:$Y24)+'Model Setup'!$C$8*(SUMIF($AD$3:$BA$3,"&lt;"&amp;$DF24,$B24:$Y24)+SUMIF($AD$3:$BA$3,"&gt;="&amp;$DG24,$B24:$Y24)),
IF(AL$3=$DF24+'Model Setup'!$D$7,SUMIF($AD$3:$BA$3,"="&amp;$DF24+'Model Setup'!$D$7,$B24:$Y24)+'Model Setup'!$D$8*(SUMIF($AD$3:$BA$3,"&lt;"&amp;$DF24,$B24:$Y24)+SUMIF($AD$3:$BA$3,"&gt;="&amp;$DG24,$B24:$Y24)),
IF(AL$3=$DF24+'Model Setup'!$E$7,SUMIF($AD$3:$BA$3,"="&amp;$DF24+'Model Setup'!$E$7,$B24:$Y24)+'Model Setup'!$E$8*(SUMIF($AD$3:$BA$3,"&lt;"&amp;$DF24,$B24:$Y24)+SUMIF($AD$3:$BA$3,"&gt;="&amp;$DG24,$B24:$Y24)),
IF(AL$3=$DF24+'Model Setup'!$F$7,SUMIF($AD$3:$BA$3,"="&amp;$DF24+'Model Setup'!$F$7,$B24:$Y24)+'Model Setup'!$F$8*(SUMIF($AD$3:$BA$3,"&lt;"&amp;$DF24,$B24:$Y24)+SUMIF($AD$3:$BA$3,"&gt;="&amp;$DG24,$B24:$Y24)),
IF(AL$3=$DF24+'Model Setup'!$G$7,SUMIF($AD$3:$BA$3,"="&amp;$DF24+'Model Setup'!$G$7,$B24:$Y24)+'Model Setup'!$G$8*(SUMIF($AD$3:$BA$3,"&lt;"&amp;$DF24,$B24:$Y24)+SUMIF($AD$3:$BA$3,"&gt;="&amp;$DG24,$B24:$Y24)),
IF(AL$3=$DF24+'Model Setup'!$H$7,SUMIF($AD$3:$BA$3,"="&amp;$DF24+'Model Setup'!$H$7,$B24:$Y24)+'Model Setup'!$H$8*(SUMIF($AD$3:$BA$3,"&lt;"&amp;$DF24,$B24:$Y24)+SUMIF($AD$3:$BA$3,"&gt;="&amp;$DG24,$B24:$Y24)),
IF(AL$3=$DF24+'Model Setup'!$I$7,SUMIF($AD$3:$BA$3,"="&amp;$DF24+'Model Setup'!$I$7,$B24:$Y24)+'Model Setup'!$I$8*(SUMIF($AD$3:$BA$3,"&lt;"&amp;$DF24,$B24:$Y24)+SUMIF($AD$3:$BA$3,"&gt;="&amp;$DG24,$B24:$Y24)),
IF(AL$3=$DF24+'Model Setup'!$J$7,SUMIF($AD$3:$BA$3,"="&amp;$DF24+'Model Setup'!$J$7,$B24:$Y24)+'Model Setup'!$J$8*(SUMIF($AD$3:$BA$3,"&lt;"&amp;$DF24,$B24:$Y24)+SUMIF($AD$3:$BA$3,"&gt;="&amp;$DG24,$B24:$Y24)),
IF(AL$3=$DF24+'Model Setup'!$K$7,SUMIF($AD$3:$BA$3,"="&amp;$DF24+'Model Setup'!$K$7,$B24:$Y24)+'Model Setup'!$K$8*(SUMIF($AD$3:$BA$3,"&lt;"&amp;$DF24,$B24:$Y24)+SUMIF($AD$3:$BA$3,"&gt;="&amp;$DG24,$B24:$Y24)),
IF(AL$3=$DF24+'Model Setup'!$L$7,SUMIF($AD$3:$BA$3,"="&amp;$DF24+'Model Setup'!$L$7,$B24:$Y24)+'Model Setup'!$L$8*(SUMIF($AD$3:$BA$3,"&lt;"&amp;$DF24,$B24:$Y24)+SUMIF($AD$3:$BA$3,"&gt;="&amp;$DG24,$B24:$Y24)),
IF(AL$3=$DF24+'Model Setup'!$M$7,SUMIF($AD$3:$BA$3,"="&amp;$DF24+'Model Setup'!$M$7,$B24:$Y24)+'Model Setup'!$M$8*(SUMIF($AD$3:$BA$3,"&lt;"&amp;$DF24,$B24:$Y24)+SUMIF($AD$3:$BA$3,"&gt;="&amp;$DG24,$B24:$Y24)),
IF(AL$3=$DF24+'Model Setup'!$N$7,SUMIF($AD$3:$BA$3,"="&amp;$DF24+'Model Setup'!$N$7,$B24:$Y24)+'Model Setup'!$N$8*(SUMIF($AD$3:$BA$3,"&lt;"&amp;$DF24,$B24:$Y24)+SUMIF($AD$3:$BA$3,"&gt;="&amp;$DG24,$B24:$Y24)),
IF(AL$3&lt;$DG24,J24,0))))))))))))))),0)</f>
        <v>110</v>
      </c>
      <c r="AM24" s="47">
        <f>ROUND(IF(AM$3&lt;$DF24,0,
IF(AM$3=$DF24+'Model Setup'!$B$7,SUMIF($AD$3:$BA$3,"="&amp;$DF24+'Model Setup'!$B$7,$B24:$Y24)+'Model Setup'!$B$8*(SUMIF($AD$3:$BA$3,"&lt;"&amp;$DF24,$B24:$Y24)+SUMIF($AD$3:$BA$3,"&gt;="&amp;$DG24,$B24:$Y24)),
IF(AM$3=$DF24+'Model Setup'!$C$7,SUMIF($AD$3:$BA$3,"="&amp;$DF24+'Model Setup'!$C$7,$B24:$Y24)+'Model Setup'!$C$8*(SUMIF($AD$3:$BA$3,"&lt;"&amp;$DF24,$B24:$Y24)+SUMIF($AD$3:$BA$3,"&gt;="&amp;$DG24,$B24:$Y24)),
IF(AM$3=$DF24+'Model Setup'!$D$7,SUMIF($AD$3:$BA$3,"="&amp;$DF24+'Model Setup'!$D$7,$B24:$Y24)+'Model Setup'!$D$8*(SUMIF($AD$3:$BA$3,"&lt;"&amp;$DF24,$B24:$Y24)+SUMIF($AD$3:$BA$3,"&gt;="&amp;$DG24,$B24:$Y24)),
IF(AM$3=$DF24+'Model Setup'!$E$7,SUMIF($AD$3:$BA$3,"="&amp;$DF24+'Model Setup'!$E$7,$B24:$Y24)+'Model Setup'!$E$8*(SUMIF($AD$3:$BA$3,"&lt;"&amp;$DF24,$B24:$Y24)+SUMIF($AD$3:$BA$3,"&gt;="&amp;$DG24,$B24:$Y24)),
IF(AM$3=$DF24+'Model Setup'!$F$7,SUMIF($AD$3:$BA$3,"="&amp;$DF24+'Model Setup'!$F$7,$B24:$Y24)+'Model Setup'!$F$8*(SUMIF($AD$3:$BA$3,"&lt;"&amp;$DF24,$B24:$Y24)+SUMIF($AD$3:$BA$3,"&gt;="&amp;$DG24,$B24:$Y24)),
IF(AM$3=$DF24+'Model Setup'!$G$7,SUMIF($AD$3:$BA$3,"="&amp;$DF24+'Model Setup'!$G$7,$B24:$Y24)+'Model Setup'!$G$8*(SUMIF($AD$3:$BA$3,"&lt;"&amp;$DF24,$B24:$Y24)+SUMIF($AD$3:$BA$3,"&gt;="&amp;$DG24,$B24:$Y24)),
IF(AM$3=$DF24+'Model Setup'!$H$7,SUMIF($AD$3:$BA$3,"="&amp;$DF24+'Model Setup'!$H$7,$B24:$Y24)+'Model Setup'!$H$8*(SUMIF($AD$3:$BA$3,"&lt;"&amp;$DF24,$B24:$Y24)+SUMIF($AD$3:$BA$3,"&gt;="&amp;$DG24,$B24:$Y24)),
IF(AM$3=$DF24+'Model Setup'!$I$7,SUMIF($AD$3:$BA$3,"="&amp;$DF24+'Model Setup'!$I$7,$B24:$Y24)+'Model Setup'!$I$8*(SUMIF($AD$3:$BA$3,"&lt;"&amp;$DF24,$B24:$Y24)+SUMIF($AD$3:$BA$3,"&gt;="&amp;$DG24,$B24:$Y24)),
IF(AM$3=$DF24+'Model Setup'!$J$7,SUMIF($AD$3:$BA$3,"="&amp;$DF24+'Model Setup'!$J$7,$B24:$Y24)+'Model Setup'!$J$8*(SUMIF($AD$3:$BA$3,"&lt;"&amp;$DF24,$B24:$Y24)+SUMIF($AD$3:$BA$3,"&gt;="&amp;$DG24,$B24:$Y24)),
IF(AM$3=$DF24+'Model Setup'!$K$7,SUMIF($AD$3:$BA$3,"="&amp;$DF24+'Model Setup'!$K$7,$B24:$Y24)+'Model Setup'!$K$8*(SUMIF($AD$3:$BA$3,"&lt;"&amp;$DF24,$B24:$Y24)+SUMIF($AD$3:$BA$3,"&gt;="&amp;$DG24,$B24:$Y24)),
IF(AM$3=$DF24+'Model Setup'!$L$7,SUMIF($AD$3:$BA$3,"="&amp;$DF24+'Model Setup'!$L$7,$B24:$Y24)+'Model Setup'!$L$8*(SUMIF($AD$3:$BA$3,"&lt;"&amp;$DF24,$B24:$Y24)+SUMIF($AD$3:$BA$3,"&gt;="&amp;$DG24,$B24:$Y24)),
IF(AM$3=$DF24+'Model Setup'!$M$7,SUMIF($AD$3:$BA$3,"="&amp;$DF24+'Model Setup'!$M$7,$B24:$Y24)+'Model Setup'!$M$8*(SUMIF($AD$3:$BA$3,"&lt;"&amp;$DF24,$B24:$Y24)+SUMIF($AD$3:$BA$3,"&gt;="&amp;$DG24,$B24:$Y24)),
IF(AM$3=$DF24+'Model Setup'!$N$7,SUMIF($AD$3:$BA$3,"="&amp;$DF24+'Model Setup'!$N$7,$B24:$Y24)+'Model Setup'!$N$8*(SUMIF($AD$3:$BA$3,"&lt;"&amp;$DF24,$B24:$Y24)+SUMIF($AD$3:$BA$3,"&gt;="&amp;$DG24,$B24:$Y24)),
IF(AM$3&lt;$DG24,K24,0))))))))))))))),0)</f>
        <v>95</v>
      </c>
      <c r="AN24" s="47">
        <f>ROUND(IF(AN$3&lt;$DF24,0,
IF(AN$3=$DF24+'Model Setup'!$B$7,SUMIF($AD$3:$BA$3,"="&amp;$DF24+'Model Setup'!$B$7,$B24:$Y24)+'Model Setup'!$B$8*(SUMIF($AD$3:$BA$3,"&lt;"&amp;$DF24,$B24:$Y24)+SUMIF($AD$3:$BA$3,"&gt;="&amp;$DG24,$B24:$Y24)),
IF(AN$3=$DF24+'Model Setup'!$C$7,SUMIF($AD$3:$BA$3,"="&amp;$DF24+'Model Setup'!$C$7,$B24:$Y24)+'Model Setup'!$C$8*(SUMIF($AD$3:$BA$3,"&lt;"&amp;$DF24,$B24:$Y24)+SUMIF($AD$3:$BA$3,"&gt;="&amp;$DG24,$B24:$Y24)),
IF(AN$3=$DF24+'Model Setup'!$D$7,SUMIF($AD$3:$BA$3,"="&amp;$DF24+'Model Setup'!$D$7,$B24:$Y24)+'Model Setup'!$D$8*(SUMIF($AD$3:$BA$3,"&lt;"&amp;$DF24,$B24:$Y24)+SUMIF($AD$3:$BA$3,"&gt;="&amp;$DG24,$B24:$Y24)),
IF(AN$3=$DF24+'Model Setup'!$E$7,SUMIF($AD$3:$BA$3,"="&amp;$DF24+'Model Setup'!$E$7,$B24:$Y24)+'Model Setup'!$E$8*(SUMIF($AD$3:$BA$3,"&lt;"&amp;$DF24,$B24:$Y24)+SUMIF($AD$3:$BA$3,"&gt;="&amp;$DG24,$B24:$Y24)),
IF(AN$3=$DF24+'Model Setup'!$F$7,SUMIF($AD$3:$BA$3,"="&amp;$DF24+'Model Setup'!$F$7,$B24:$Y24)+'Model Setup'!$F$8*(SUMIF($AD$3:$BA$3,"&lt;"&amp;$DF24,$B24:$Y24)+SUMIF($AD$3:$BA$3,"&gt;="&amp;$DG24,$B24:$Y24)),
IF(AN$3=$DF24+'Model Setup'!$G$7,SUMIF($AD$3:$BA$3,"="&amp;$DF24+'Model Setup'!$G$7,$B24:$Y24)+'Model Setup'!$G$8*(SUMIF($AD$3:$BA$3,"&lt;"&amp;$DF24,$B24:$Y24)+SUMIF($AD$3:$BA$3,"&gt;="&amp;$DG24,$B24:$Y24)),
IF(AN$3=$DF24+'Model Setup'!$H$7,SUMIF($AD$3:$BA$3,"="&amp;$DF24+'Model Setup'!$H$7,$B24:$Y24)+'Model Setup'!$H$8*(SUMIF($AD$3:$BA$3,"&lt;"&amp;$DF24,$B24:$Y24)+SUMIF($AD$3:$BA$3,"&gt;="&amp;$DG24,$B24:$Y24)),
IF(AN$3=$DF24+'Model Setup'!$I$7,SUMIF($AD$3:$BA$3,"="&amp;$DF24+'Model Setup'!$I$7,$B24:$Y24)+'Model Setup'!$I$8*(SUMIF($AD$3:$BA$3,"&lt;"&amp;$DF24,$B24:$Y24)+SUMIF($AD$3:$BA$3,"&gt;="&amp;$DG24,$B24:$Y24)),
IF(AN$3=$DF24+'Model Setup'!$J$7,SUMIF($AD$3:$BA$3,"="&amp;$DF24+'Model Setup'!$J$7,$B24:$Y24)+'Model Setup'!$J$8*(SUMIF($AD$3:$BA$3,"&lt;"&amp;$DF24,$B24:$Y24)+SUMIF($AD$3:$BA$3,"&gt;="&amp;$DG24,$B24:$Y24)),
IF(AN$3=$DF24+'Model Setup'!$K$7,SUMIF($AD$3:$BA$3,"="&amp;$DF24+'Model Setup'!$K$7,$B24:$Y24)+'Model Setup'!$K$8*(SUMIF($AD$3:$BA$3,"&lt;"&amp;$DF24,$B24:$Y24)+SUMIF($AD$3:$BA$3,"&gt;="&amp;$DG24,$B24:$Y24)),
IF(AN$3=$DF24+'Model Setup'!$L$7,SUMIF($AD$3:$BA$3,"="&amp;$DF24+'Model Setup'!$L$7,$B24:$Y24)+'Model Setup'!$L$8*(SUMIF($AD$3:$BA$3,"&lt;"&amp;$DF24,$B24:$Y24)+SUMIF($AD$3:$BA$3,"&gt;="&amp;$DG24,$B24:$Y24)),
IF(AN$3=$DF24+'Model Setup'!$M$7,SUMIF($AD$3:$BA$3,"="&amp;$DF24+'Model Setup'!$M$7,$B24:$Y24)+'Model Setup'!$M$8*(SUMIF($AD$3:$BA$3,"&lt;"&amp;$DF24,$B24:$Y24)+SUMIF($AD$3:$BA$3,"&gt;="&amp;$DG24,$B24:$Y24)),
IF(AN$3=$DF24+'Model Setup'!$N$7,SUMIF($AD$3:$BA$3,"="&amp;$DF24+'Model Setup'!$N$7,$B24:$Y24)+'Model Setup'!$N$8*(SUMIF($AD$3:$BA$3,"&lt;"&amp;$DF24,$B24:$Y24)+SUMIF($AD$3:$BA$3,"&gt;="&amp;$DG24,$B24:$Y24)),
IF(AN$3&lt;$DG24,L24,0))))))))))))))),0)</f>
        <v>81</v>
      </c>
      <c r="AO24" s="47">
        <f>ROUND(IF(AO$3&lt;$DF24,0,
IF(AO$3=$DF24+'Model Setup'!$B$7,SUMIF($AD$3:$BA$3,"="&amp;$DF24+'Model Setup'!$B$7,$B24:$Y24)+'Model Setup'!$B$8*(SUMIF($AD$3:$BA$3,"&lt;"&amp;$DF24,$B24:$Y24)+SUMIF($AD$3:$BA$3,"&gt;="&amp;$DG24,$B24:$Y24)),
IF(AO$3=$DF24+'Model Setup'!$C$7,SUMIF($AD$3:$BA$3,"="&amp;$DF24+'Model Setup'!$C$7,$B24:$Y24)+'Model Setup'!$C$8*(SUMIF($AD$3:$BA$3,"&lt;"&amp;$DF24,$B24:$Y24)+SUMIF($AD$3:$BA$3,"&gt;="&amp;$DG24,$B24:$Y24)),
IF(AO$3=$DF24+'Model Setup'!$D$7,SUMIF($AD$3:$BA$3,"="&amp;$DF24+'Model Setup'!$D$7,$B24:$Y24)+'Model Setup'!$D$8*(SUMIF($AD$3:$BA$3,"&lt;"&amp;$DF24,$B24:$Y24)+SUMIF($AD$3:$BA$3,"&gt;="&amp;$DG24,$B24:$Y24)),
IF(AO$3=$DF24+'Model Setup'!$E$7,SUMIF($AD$3:$BA$3,"="&amp;$DF24+'Model Setup'!$E$7,$B24:$Y24)+'Model Setup'!$E$8*(SUMIF($AD$3:$BA$3,"&lt;"&amp;$DF24,$B24:$Y24)+SUMIF($AD$3:$BA$3,"&gt;="&amp;$DG24,$B24:$Y24)),
IF(AO$3=$DF24+'Model Setup'!$F$7,SUMIF($AD$3:$BA$3,"="&amp;$DF24+'Model Setup'!$F$7,$B24:$Y24)+'Model Setup'!$F$8*(SUMIF($AD$3:$BA$3,"&lt;"&amp;$DF24,$B24:$Y24)+SUMIF($AD$3:$BA$3,"&gt;="&amp;$DG24,$B24:$Y24)),
IF(AO$3=$DF24+'Model Setup'!$G$7,SUMIF($AD$3:$BA$3,"="&amp;$DF24+'Model Setup'!$G$7,$B24:$Y24)+'Model Setup'!$G$8*(SUMIF($AD$3:$BA$3,"&lt;"&amp;$DF24,$B24:$Y24)+SUMIF($AD$3:$BA$3,"&gt;="&amp;$DG24,$B24:$Y24)),
IF(AO$3=$DF24+'Model Setup'!$H$7,SUMIF($AD$3:$BA$3,"="&amp;$DF24+'Model Setup'!$H$7,$B24:$Y24)+'Model Setup'!$H$8*(SUMIF($AD$3:$BA$3,"&lt;"&amp;$DF24,$B24:$Y24)+SUMIF($AD$3:$BA$3,"&gt;="&amp;$DG24,$B24:$Y24)),
IF(AO$3=$DF24+'Model Setup'!$I$7,SUMIF($AD$3:$BA$3,"="&amp;$DF24+'Model Setup'!$I$7,$B24:$Y24)+'Model Setup'!$I$8*(SUMIF($AD$3:$BA$3,"&lt;"&amp;$DF24,$B24:$Y24)+SUMIF($AD$3:$BA$3,"&gt;="&amp;$DG24,$B24:$Y24)),
IF(AO$3=$DF24+'Model Setup'!$J$7,SUMIF($AD$3:$BA$3,"="&amp;$DF24+'Model Setup'!$J$7,$B24:$Y24)+'Model Setup'!$J$8*(SUMIF($AD$3:$BA$3,"&lt;"&amp;$DF24,$B24:$Y24)+SUMIF($AD$3:$BA$3,"&gt;="&amp;$DG24,$B24:$Y24)),
IF(AO$3=$DF24+'Model Setup'!$K$7,SUMIF($AD$3:$BA$3,"="&amp;$DF24+'Model Setup'!$K$7,$B24:$Y24)+'Model Setup'!$K$8*(SUMIF($AD$3:$BA$3,"&lt;"&amp;$DF24,$B24:$Y24)+SUMIF($AD$3:$BA$3,"&gt;="&amp;$DG24,$B24:$Y24)),
IF(AO$3=$DF24+'Model Setup'!$L$7,SUMIF($AD$3:$BA$3,"="&amp;$DF24+'Model Setup'!$L$7,$B24:$Y24)+'Model Setup'!$L$8*(SUMIF($AD$3:$BA$3,"&lt;"&amp;$DF24,$B24:$Y24)+SUMIF($AD$3:$BA$3,"&gt;="&amp;$DG24,$B24:$Y24)),
IF(AO$3=$DF24+'Model Setup'!$M$7,SUMIF($AD$3:$BA$3,"="&amp;$DF24+'Model Setup'!$M$7,$B24:$Y24)+'Model Setup'!$M$8*(SUMIF($AD$3:$BA$3,"&lt;"&amp;$DF24,$B24:$Y24)+SUMIF($AD$3:$BA$3,"&gt;="&amp;$DG24,$B24:$Y24)),
IF(AO$3=$DF24+'Model Setup'!$N$7,SUMIF($AD$3:$BA$3,"="&amp;$DF24+'Model Setup'!$N$7,$B24:$Y24)+'Model Setup'!$N$8*(SUMIF($AD$3:$BA$3,"&lt;"&amp;$DF24,$B24:$Y24)+SUMIF($AD$3:$BA$3,"&gt;="&amp;$DG24,$B24:$Y24)),
IF(AO$3&lt;$DG24,M24,0))))))))))))))),0)</f>
        <v>65</v>
      </c>
      <c r="AP24" s="47">
        <f>ROUND(IF(AP$3&lt;$DF24,0,
IF(AP$3=$DF24+'Model Setup'!$B$7,SUMIF($AD$3:$BA$3,"="&amp;$DF24+'Model Setup'!$B$7,$B24:$Y24)+'Model Setup'!$B$8*(SUMIF($AD$3:$BA$3,"&lt;"&amp;$DF24,$B24:$Y24)+SUMIF($AD$3:$BA$3,"&gt;="&amp;$DG24,$B24:$Y24)),
IF(AP$3=$DF24+'Model Setup'!$C$7,SUMIF($AD$3:$BA$3,"="&amp;$DF24+'Model Setup'!$C$7,$B24:$Y24)+'Model Setup'!$C$8*(SUMIF($AD$3:$BA$3,"&lt;"&amp;$DF24,$B24:$Y24)+SUMIF($AD$3:$BA$3,"&gt;="&amp;$DG24,$B24:$Y24)),
IF(AP$3=$DF24+'Model Setup'!$D$7,SUMIF($AD$3:$BA$3,"="&amp;$DF24+'Model Setup'!$D$7,$B24:$Y24)+'Model Setup'!$D$8*(SUMIF($AD$3:$BA$3,"&lt;"&amp;$DF24,$B24:$Y24)+SUMIF($AD$3:$BA$3,"&gt;="&amp;$DG24,$B24:$Y24)),
IF(AP$3=$DF24+'Model Setup'!$E$7,SUMIF($AD$3:$BA$3,"="&amp;$DF24+'Model Setup'!$E$7,$B24:$Y24)+'Model Setup'!$E$8*(SUMIF($AD$3:$BA$3,"&lt;"&amp;$DF24,$B24:$Y24)+SUMIF($AD$3:$BA$3,"&gt;="&amp;$DG24,$B24:$Y24)),
IF(AP$3=$DF24+'Model Setup'!$F$7,SUMIF($AD$3:$BA$3,"="&amp;$DF24+'Model Setup'!$F$7,$B24:$Y24)+'Model Setup'!$F$8*(SUMIF($AD$3:$BA$3,"&lt;"&amp;$DF24,$B24:$Y24)+SUMIF($AD$3:$BA$3,"&gt;="&amp;$DG24,$B24:$Y24)),
IF(AP$3=$DF24+'Model Setup'!$G$7,SUMIF($AD$3:$BA$3,"="&amp;$DF24+'Model Setup'!$G$7,$B24:$Y24)+'Model Setup'!$G$8*(SUMIF($AD$3:$BA$3,"&lt;"&amp;$DF24,$B24:$Y24)+SUMIF($AD$3:$BA$3,"&gt;="&amp;$DG24,$B24:$Y24)),
IF(AP$3=$DF24+'Model Setup'!$H$7,SUMIF($AD$3:$BA$3,"="&amp;$DF24+'Model Setup'!$H$7,$B24:$Y24)+'Model Setup'!$H$8*(SUMIF($AD$3:$BA$3,"&lt;"&amp;$DF24,$B24:$Y24)+SUMIF($AD$3:$BA$3,"&gt;="&amp;$DG24,$B24:$Y24)),
IF(AP$3=$DF24+'Model Setup'!$I$7,SUMIF($AD$3:$BA$3,"="&amp;$DF24+'Model Setup'!$I$7,$B24:$Y24)+'Model Setup'!$I$8*(SUMIF($AD$3:$BA$3,"&lt;"&amp;$DF24,$B24:$Y24)+SUMIF($AD$3:$BA$3,"&gt;="&amp;$DG24,$B24:$Y24)),
IF(AP$3=$DF24+'Model Setup'!$J$7,SUMIF($AD$3:$BA$3,"="&amp;$DF24+'Model Setup'!$J$7,$B24:$Y24)+'Model Setup'!$J$8*(SUMIF($AD$3:$BA$3,"&lt;"&amp;$DF24,$B24:$Y24)+SUMIF($AD$3:$BA$3,"&gt;="&amp;$DG24,$B24:$Y24)),
IF(AP$3=$DF24+'Model Setup'!$K$7,SUMIF($AD$3:$BA$3,"="&amp;$DF24+'Model Setup'!$K$7,$B24:$Y24)+'Model Setup'!$K$8*(SUMIF($AD$3:$BA$3,"&lt;"&amp;$DF24,$B24:$Y24)+SUMIF($AD$3:$BA$3,"&gt;="&amp;$DG24,$B24:$Y24)),
IF(AP$3=$DF24+'Model Setup'!$L$7,SUMIF($AD$3:$BA$3,"="&amp;$DF24+'Model Setup'!$L$7,$B24:$Y24)+'Model Setup'!$L$8*(SUMIF($AD$3:$BA$3,"&lt;"&amp;$DF24,$B24:$Y24)+SUMIF($AD$3:$BA$3,"&gt;="&amp;$DG24,$B24:$Y24)),
IF(AP$3=$DF24+'Model Setup'!$M$7,SUMIF($AD$3:$BA$3,"="&amp;$DF24+'Model Setup'!$M$7,$B24:$Y24)+'Model Setup'!$M$8*(SUMIF($AD$3:$BA$3,"&lt;"&amp;$DF24,$B24:$Y24)+SUMIF($AD$3:$BA$3,"&gt;="&amp;$DG24,$B24:$Y24)),
IF(AP$3=$DF24+'Model Setup'!$N$7,SUMIF($AD$3:$BA$3,"="&amp;$DF24+'Model Setup'!$N$7,$B24:$Y24)+'Model Setup'!$N$8*(SUMIF($AD$3:$BA$3,"&lt;"&amp;$DF24,$B24:$Y24)+SUMIF($AD$3:$BA$3,"&gt;="&amp;$DG24,$B24:$Y24)),
IF(AP$3&lt;$DG24,N24,0))))))))))))))),0)</f>
        <v>66</v>
      </c>
      <c r="AQ24" s="47">
        <f>ROUND(IF(AQ$3&lt;$DF24,0,
IF(AQ$3=$DF24+'Model Setup'!$B$7,SUMIF($AD$3:$BA$3,"="&amp;$DF24+'Model Setup'!$B$7,$B24:$Y24)+'Model Setup'!$B$8*(SUMIF($AD$3:$BA$3,"&lt;"&amp;$DF24,$B24:$Y24)+SUMIF($AD$3:$BA$3,"&gt;="&amp;$DG24,$B24:$Y24)),
IF(AQ$3=$DF24+'Model Setup'!$C$7,SUMIF($AD$3:$BA$3,"="&amp;$DF24+'Model Setup'!$C$7,$B24:$Y24)+'Model Setup'!$C$8*(SUMIF($AD$3:$BA$3,"&lt;"&amp;$DF24,$B24:$Y24)+SUMIF($AD$3:$BA$3,"&gt;="&amp;$DG24,$B24:$Y24)),
IF(AQ$3=$DF24+'Model Setup'!$D$7,SUMIF($AD$3:$BA$3,"="&amp;$DF24+'Model Setup'!$D$7,$B24:$Y24)+'Model Setup'!$D$8*(SUMIF($AD$3:$BA$3,"&lt;"&amp;$DF24,$B24:$Y24)+SUMIF($AD$3:$BA$3,"&gt;="&amp;$DG24,$B24:$Y24)),
IF(AQ$3=$DF24+'Model Setup'!$E$7,SUMIF($AD$3:$BA$3,"="&amp;$DF24+'Model Setup'!$E$7,$B24:$Y24)+'Model Setup'!$E$8*(SUMIF($AD$3:$BA$3,"&lt;"&amp;$DF24,$B24:$Y24)+SUMIF($AD$3:$BA$3,"&gt;="&amp;$DG24,$B24:$Y24)),
IF(AQ$3=$DF24+'Model Setup'!$F$7,SUMIF($AD$3:$BA$3,"="&amp;$DF24+'Model Setup'!$F$7,$B24:$Y24)+'Model Setup'!$F$8*(SUMIF($AD$3:$BA$3,"&lt;"&amp;$DF24,$B24:$Y24)+SUMIF($AD$3:$BA$3,"&gt;="&amp;$DG24,$B24:$Y24)),
IF(AQ$3=$DF24+'Model Setup'!$G$7,SUMIF($AD$3:$BA$3,"="&amp;$DF24+'Model Setup'!$G$7,$B24:$Y24)+'Model Setup'!$G$8*(SUMIF($AD$3:$BA$3,"&lt;"&amp;$DF24,$B24:$Y24)+SUMIF($AD$3:$BA$3,"&gt;="&amp;$DG24,$B24:$Y24)),
IF(AQ$3=$DF24+'Model Setup'!$H$7,SUMIF($AD$3:$BA$3,"="&amp;$DF24+'Model Setup'!$H$7,$B24:$Y24)+'Model Setup'!$H$8*(SUMIF($AD$3:$BA$3,"&lt;"&amp;$DF24,$B24:$Y24)+SUMIF($AD$3:$BA$3,"&gt;="&amp;$DG24,$B24:$Y24)),
IF(AQ$3=$DF24+'Model Setup'!$I$7,SUMIF($AD$3:$BA$3,"="&amp;$DF24+'Model Setup'!$I$7,$B24:$Y24)+'Model Setup'!$I$8*(SUMIF($AD$3:$BA$3,"&lt;"&amp;$DF24,$B24:$Y24)+SUMIF($AD$3:$BA$3,"&gt;="&amp;$DG24,$B24:$Y24)),
IF(AQ$3=$DF24+'Model Setup'!$J$7,SUMIF($AD$3:$BA$3,"="&amp;$DF24+'Model Setup'!$J$7,$B24:$Y24)+'Model Setup'!$J$8*(SUMIF($AD$3:$BA$3,"&lt;"&amp;$DF24,$B24:$Y24)+SUMIF($AD$3:$BA$3,"&gt;="&amp;$DG24,$B24:$Y24)),
IF(AQ$3=$DF24+'Model Setup'!$K$7,SUMIF($AD$3:$BA$3,"="&amp;$DF24+'Model Setup'!$K$7,$B24:$Y24)+'Model Setup'!$K$8*(SUMIF($AD$3:$BA$3,"&lt;"&amp;$DF24,$B24:$Y24)+SUMIF($AD$3:$BA$3,"&gt;="&amp;$DG24,$B24:$Y24)),
IF(AQ$3=$DF24+'Model Setup'!$L$7,SUMIF($AD$3:$BA$3,"="&amp;$DF24+'Model Setup'!$L$7,$B24:$Y24)+'Model Setup'!$L$8*(SUMIF($AD$3:$BA$3,"&lt;"&amp;$DF24,$B24:$Y24)+SUMIF($AD$3:$BA$3,"&gt;="&amp;$DG24,$B24:$Y24)),
IF(AQ$3=$DF24+'Model Setup'!$M$7,SUMIF($AD$3:$BA$3,"="&amp;$DF24+'Model Setup'!$M$7,$B24:$Y24)+'Model Setup'!$M$8*(SUMIF($AD$3:$BA$3,"&lt;"&amp;$DF24,$B24:$Y24)+SUMIF($AD$3:$BA$3,"&gt;="&amp;$DG24,$B24:$Y24)),
IF(AQ$3=$DF24+'Model Setup'!$N$7,SUMIF($AD$3:$BA$3,"="&amp;$DF24+'Model Setup'!$N$7,$B24:$Y24)+'Model Setup'!$N$8*(SUMIF($AD$3:$BA$3,"&lt;"&amp;$DF24,$B24:$Y24)+SUMIF($AD$3:$BA$3,"&gt;="&amp;$DG24,$B24:$Y24)),
IF(AQ$3&lt;$DG24,O24,0))))))))))))))),0)</f>
        <v>60</v>
      </c>
      <c r="AR24" s="47">
        <f>ROUND(IF(AR$3&lt;$DF24,0,
IF(AR$3=$DF24+'Model Setup'!$B$7,SUMIF($AD$3:$BA$3,"="&amp;$DF24+'Model Setup'!$B$7,$B24:$Y24)+'Model Setup'!$B$8*(SUMIF($AD$3:$BA$3,"&lt;"&amp;$DF24,$B24:$Y24)+SUMIF($AD$3:$BA$3,"&gt;="&amp;$DG24,$B24:$Y24)),
IF(AR$3=$DF24+'Model Setup'!$C$7,SUMIF($AD$3:$BA$3,"="&amp;$DF24+'Model Setup'!$C$7,$B24:$Y24)+'Model Setup'!$C$8*(SUMIF($AD$3:$BA$3,"&lt;"&amp;$DF24,$B24:$Y24)+SUMIF($AD$3:$BA$3,"&gt;="&amp;$DG24,$B24:$Y24)),
IF(AR$3=$DF24+'Model Setup'!$D$7,SUMIF($AD$3:$BA$3,"="&amp;$DF24+'Model Setup'!$D$7,$B24:$Y24)+'Model Setup'!$D$8*(SUMIF($AD$3:$BA$3,"&lt;"&amp;$DF24,$B24:$Y24)+SUMIF($AD$3:$BA$3,"&gt;="&amp;$DG24,$B24:$Y24)),
IF(AR$3=$DF24+'Model Setup'!$E$7,SUMIF($AD$3:$BA$3,"="&amp;$DF24+'Model Setup'!$E$7,$B24:$Y24)+'Model Setup'!$E$8*(SUMIF($AD$3:$BA$3,"&lt;"&amp;$DF24,$B24:$Y24)+SUMIF($AD$3:$BA$3,"&gt;="&amp;$DG24,$B24:$Y24)),
IF(AR$3=$DF24+'Model Setup'!$F$7,SUMIF($AD$3:$BA$3,"="&amp;$DF24+'Model Setup'!$F$7,$B24:$Y24)+'Model Setup'!$F$8*(SUMIF($AD$3:$BA$3,"&lt;"&amp;$DF24,$B24:$Y24)+SUMIF($AD$3:$BA$3,"&gt;="&amp;$DG24,$B24:$Y24)),
IF(AR$3=$DF24+'Model Setup'!$G$7,SUMIF($AD$3:$BA$3,"="&amp;$DF24+'Model Setup'!$G$7,$B24:$Y24)+'Model Setup'!$G$8*(SUMIF($AD$3:$BA$3,"&lt;"&amp;$DF24,$B24:$Y24)+SUMIF($AD$3:$BA$3,"&gt;="&amp;$DG24,$B24:$Y24)),
IF(AR$3=$DF24+'Model Setup'!$H$7,SUMIF($AD$3:$BA$3,"="&amp;$DF24+'Model Setup'!$H$7,$B24:$Y24)+'Model Setup'!$H$8*(SUMIF($AD$3:$BA$3,"&lt;"&amp;$DF24,$B24:$Y24)+SUMIF($AD$3:$BA$3,"&gt;="&amp;$DG24,$B24:$Y24)),
IF(AR$3=$DF24+'Model Setup'!$I$7,SUMIF($AD$3:$BA$3,"="&amp;$DF24+'Model Setup'!$I$7,$B24:$Y24)+'Model Setup'!$I$8*(SUMIF($AD$3:$BA$3,"&lt;"&amp;$DF24,$B24:$Y24)+SUMIF($AD$3:$BA$3,"&gt;="&amp;$DG24,$B24:$Y24)),
IF(AR$3=$DF24+'Model Setup'!$J$7,SUMIF($AD$3:$BA$3,"="&amp;$DF24+'Model Setup'!$J$7,$B24:$Y24)+'Model Setup'!$J$8*(SUMIF($AD$3:$BA$3,"&lt;"&amp;$DF24,$B24:$Y24)+SUMIF($AD$3:$BA$3,"&gt;="&amp;$DG24,$B24:$Y24)),
IF(AR$3=$DF24+'Model Setup'!$K$7,SUMIF($AD$3:$BA$3,"="&amp;$DF24+'Model Setup'!$K$7,$B24:$Y24)+'Model Setup'!$K$8*(SUMIF($AD$3:$BA$3,"&lt;"&amp;$DF24,$B24:$Y24)+SUMIF($AD$3:$BA$3,"&gt;="&amp;$DG24,$B24:$Y24)),
IF(AR$3=$DF24+'Model Setup'!$L$7,SUMIF($AD$3:$BA$3,"="&amp;$DF24+'Model Setup'!$L$7,$B24:$Y24)+'Model Setup'!$L$8*(SUMIF($AD$3:$BA$3,"&lt;"&amp;$DF24,$B24:$Y24)+SUMIF($AD$3:$BA$3,"&gt;="&amp;$DG24,$B24:$Y24)),
IF(AR$3=$DF24+'Model Setup'!$M$7,SUMIF($AD$3:$BA$3,"="&amp;$DF24+'Model Setup'!$M$7,$B24:$Y24)+'Model Setup'!$M$8*(SUMIF($AD$3:$BA$3,"&lt;"&amp;$DF24,$B24:$Y24)+SUMIF($AD$3:$BA$3,"&gt;="&amp;$DG24,$B24:$Y24)),
IF(AR$3=$DF24+'Model Setup'!$N$7,SUMIF($AD$3:$BA$3,"="&amp;$DF24+'Model Setup'!$N$7,$B24:$Y24)+'Model Setup'!$N$8*(SUMIF($AD$3:$BA$3,"&lt;"&amp;$DF24,$B24:$Y24)+SUMIF($AD$3:$BA$3,"&gt;="&amp;$DG24,$B24:$Y24)),
IF(AR$3&lt;$DG24,P24,0))))))))))))))),0)</f>
        <v>36</v>
      </c>
      <c r="AS24" s="47">
        <f>ROUND(IF(AS$3&lt;$DF24,0,
IF(AS$3=$DF24+'Model Setup'!$B$7,SUMIF($AD$3:$BA$3,"="&amp;$DF24+'Model Setup'!$B$7,$B24:$Y24)+'Model Setup'!$B$8*(SUMIF($AD$3:$BA$3,"&lt;"&amp;$DF24,$B24:$Y24)+SUMIF($AD$3:$BA$3,"&gt;="&amp;$DG24,$B24:$Y24)),
IF(AS$3=$DF24+'Model Setup'!$C$7,SUMIF($AD$3:$BA$3,"="&amp;$DF24+'Model Setup'!$C$7,$B24:$Y24)+'Model Setup'!$C$8*(SUMIF($AD$3:$BA$3,"&lt;"&amp;$DF24,$B24:$Y24)+SUMIF($AD$3:$BA$3,"&gt;="&amp;$DG24,$B24:$Y24)),
IF(AS$3=$DF24+'Model Setup'!$D$7,SUMIF($AD$3:$BA$3,"="&amp;$DF24+'Model Setup'!$D$7,$B24:$Y24)+'Model Setup'!$D$8*(SUMIF($AD$3:$BA$3,"&lt;"&amp;$DF24,$B24:$Y24)+SUMIF($AD$3:$BA$3,"&gt;="&amp;$DG24,$B24:$Y24)),
IF(AS$3=$DF24+'Model Setup'!$E$7,SUMIF($AD$3:$BA$3,"="&amp;$DF24+'Model Setup'!$E$7,$B24:$Y24)+'Model Setup'!$E$8*(SUMIF($AD$3:$BA$3,"&lt;"&amp;$DF24,$B24:$Y24)+SUMIF($AD$3:$BA$3,"&gt;="&amp;$DG24,$B24:$Y24)),
IF(AS$3=$DF24+'Model Setup'!$F$7,SUMIF($AD$3:$BA$3,"="&amp;$DF24+'Model Setup'!$F$7,$B24:$Y24)+'Model Setup'!$F$8*(SUMIF($AD$3:$BA$3,"&lt;"&amp;$DF24,$B24:$Y24)+SUMIF($AD$3:$BA$3,"&gt;="&amp;$DG24,$B24:$Y24)),
IF(AS$3=$DF24+'Model Setup'!$G$7,SUMIF($AD$3:$BA$3,"="&amp;$DF24+'Model Setup'!$G$7,$B24:$Y24)+'Model Setup'!$G$8*(SUMIF($AD$3:$BA$3,"&lt;"&amp;$DF24,$B24:$Y24)+SUMIF($AD$3:$BA$3,"&gt;="&amp;$DG24,$B24:$Y24)),
IF(AS$3=$DF24+'Model Setup'!$H$7,SUMIF($AD$3:$BA$3,"="&amp;$DF24+'Model Setup'!$H$7,$B24:$Y24)+'Model Setup'!$H$8*(SUMIF($AD$3:$BA$3,"&lt;"&amp;$DF24,$B24:$Y24)+SUMIF($AD$3:$BA$3,"&gt;="&amp;$DG24,$B24:$Y24)),
IF(AS$3=$DF24+'Model Setup'!$I$7,SUMIF($AD$3:$BA$3,"="&amp;$DF24+'Model Setup'!$I$7,$B24:$Y24)+'Model Setup'!$I$8*(SUMIF($AD$3:$BA$3,"&lt;"&amp;$DF24,$B24:$Y24)+SUMIF($AD$3:$BA$3,"&gt;="&amp;$DG24,$B24:$Y24)),
IF(AS$3=$DF24+'Model Setup'!$J$7,SUMIF($AD$3:$BA$3,"="&amp;$DF24+'Model Setup'!$J$7,$B24:$Y24)+'Model Setup'!$J$8*(SUMIF($AD$3:$BA$3,"&lt;"&amp;$DF24,$B24:$Y24)+SUMIF($AD$3:$BA$3,"&gt;="&amp;$DG24,$B24:$Y24)),
IF(AS$3=$DF24+'Model Setup'!$K$7,SUMIF($AD$3:$BA$3,"="&amp;$DF24+'Model Setup'!$K$7,$B24:$Y24)+'Model Setup'!$K$8*(SUMIF($AD$3:$BA$3,"&lt;"&amp;$DF24,$B24:$Y24)+SUMIF($AD$3:$BA$3,"&gt;="&amp;$DG24,$B24:$Y24)),
IF(AS$3=$DF24+'Model Setup'!$L$7,SUMIF($AD$3:$BA$3,"="&amp;$DF24+'Model Setup'!$L$7,$B24:$Y24)+'Model Setup'!$L$8*(SUMIF($AD$3:$BA$3,"&lt;"&amp;$DF24,$B24:$Y24)+SUMIF($AD$3:$BA$3,"&gt;="&amp;$DG24,$B24:$Y24)),
IF(AS$3=$DF24+'Model Setup'!$M$7,SUMIF($AD$3:$BA$3,"="&amp;$DF24+'Model Setup'!$M$7,$B24:$Y24)+'Model Setup'!$M$8*(SUMIF($AD$3:$BA$3,"&lt;"&amp;$DF24,$B24:$Y24)+SUMIF($AD$3:$BA$3,"&gt;="&amp;$DG24,$B24:$Y24)),
IF(AS$3=$DF24+'Model Setup'!$N$7,SUMIF($AD$3:$BA$3,"="&amp;$DF24+'Model Setup'!$N$7,$B24:$Y24)+'Model Setup'!$N$8*(SUMIF($AD$3:$BA$3,"&lt;"&amp;$DF24,$B24:$Y24)+SUMIF($AD$3:$BA$3,"&gt;="&amp;$DG24,$B24:$Y24)),
IF(AS$3&lt;$DG24,Q24,0))))))))))))))),0)</f>
        <v>71</v>
      </c>
      <c r="AT24" s="47">
        <f>ROUND(IF(AT$3&lt;$DF24,0,
IF(AT$3=$DF24+'Model Setup'!$B$7,SUMIF($AD$3:$BA$3,"="&amp;$DF24+'Model Setup'!$B$7,$B24:$Y24)+'Model Setup'!$B$8*(SUMIF($AD$3:$BA$3,"&lt;"&amp;$DF24,$B24:$Y24)+SUMIF($AD$3:$BA$3,"&gt;="&amp;$DG24,$B24:$Y24)),
IF(AT$3=$DF24+'Model Setup'!$C$7,SUMIF($AD$3:$BA$3,"="&amp;$DF24+'Model Setup'!$C$7,$B24:$Y24)+'Model Setup'!$C$8*(SUMIF($AD$3:$BA$3,"&lt;"&amp;$DF24,$B24:$Y24)+SUMIF($AD$3:$BA$3,"&gt;="&amp;$DG24,$B24:$Y24)),
IF(AT$3=$DF24+'Model Setup'!$D$7,SUMIF($AD$3:$BA$3,"="&amp;$DF24+'Model Setup'!$D$7,$B24:$Y24)+'Model Setup'!$D$8*(SUMIF($AD$3:$BA$3,"&lt;"&amp;$DF24,$B24:$Y24)+SUMIF($AD$3:$BA$3,"&gt;="&amp;$DG24,$B24:$Y24)),
IF(AT$3=$DF24+'Model Setup'!$E$7,SUMIF($AD$3:$BA$3,"="&amp;$DF24+'Model Setup'!$E$7,$B24:$Y24)+'Model Setup'!$E$8*(SUMIF($AD$3:$BA$3,"&lt;"&amp;$DF24,$B24:$Y24)+SUMIF($AD$3:$BA$3,"&gt;="&amp;$DG24,$B24:$Y24)),
IF(AT$3=$DF24+'Model Setup'!$F$7,SUMIF($AD$3:$BA$3,"="&amp;$DF24+'Model Setup'!$F$7,$B24:$Y24)+'Model Setup'!$F$8*(SUMIF($AD$3:$BA$3,"&lt;"&amp;$DF24,$B24:$Y24)+SUMIF($AD$3:$BA$3,"&gt;="&amp;$DG24,$B24:$Y24)),
IF(AT$3=$DF24+'Model Setup'!$G$7,SUMIF($AD$3:$BA$3,"="&amp;$DF24+'Model Setup'!$G$7,$B24:$Y24)+'Model Setup'!$G$8*(SUMIF($AD$3:$BA$3,"&lt;"&amp;$DF24,$B24:$Y24)+SUMIF($AD$3:$BA$3,"&gt;="&amp;$DG24,$B24:$Y24)),
IF(AT$3=$DF24+'Model Setup'!$H$7,SUMIF($AD$3:$BA$3,"="&amp;$DF24+'Model Setup'!$H$7,$B24:$Y24)+'Model Setup'!$H$8*(SUMIF($AD$3:$BA$3,"&lt;"&amp;$DF24,$B24:$Y24)+SUMIF($AD$3:$BA$3,"&gt;="&amp;$DG24,$B24:$Y24)),
IF(AT$3=$DF24+'Model Setup'!$I$7,SUMIF($AD$3:$BA$3,"="&amp;$DF24+'Model Setup'!$I$7,$B24:$Y24)+'Model Setup'!$I$8*(SUMIF($AD$3:$BA$3,"&lt;"&amp;$DF24,$B24:$Y24)+SUMIF($AD$3:$BA$3,"&gt;="&amp;$DG24,$B24:$Y24)),
IF(AT$3=$DF24+'Model Setup'!$J$7,SUMIF($AD$3:$BA$3,"="&amp;$DF24+'Model Setup'!$J$7,$B24:$Y24)+'Model Setup'!$J$8*(SUMIF($AD$3:$BA$3,"&lt;"&amp;$DF24,$B24:$Y24)+SUMIF($AD$3:$BA$3,"&gt;="&amp;$DG24,$B24:$Y24)),
IF(AT$3=$DF24+'Model Setup'!$K$7,SUMIF($AD$3:$BA$3,"="&amp;$DF24+'Model Setup'!$K$7,$B24:$Y24)+'Model Setup'!$K$8*(SUMIF($AD$3:$BA$3,"&lt;"&amp;$DF24,$B24:$Y24)+SUMIF($AD$3:$BA$3,"&gt;="&amp;$DG24,$B24:$Y24)),
IF(AT$3=$DF24+'Model Setup'!$L$7,SUMIF($AD$3:$BA$3,"="&amp;$DF24+'Model Setup'!$L$7,$B24:$Y24)+'Model Setup'!$L$8*(SUMIF($AD$3:$BA$3,"&lt;"&amp;$DF24,$B24:$Y24)+SUMIF($AD$3:$BA$3,"&gt;="&amp;$DG24,$B24:$Y24)),
IF(AT$3=$DF24+'Model Setup'!$M$7,SUMIF($AD$3:$BA$3,"="&amp;$DF24+'Model Setup'!$M$7,$B24:$Y24)+'Model Setup'!$M$8*(SUMIF($AD$3:$BA$3,"&lt;"&amp;$DF24,$B24:$Y24)+SUMIF($AD$3:$BA$3,"&gt;="&amp;$DG24,$B24:$Y24)),
IF(AT$3=$DF24+'Model Setup'!$N$7,SUMIF($AD$3:$BA$3,"="&amp;$DF24+'Model Setup'!$N$7,$B24:$Y24)+'Model Setup'!$N$8*(SUMIF($AD$3:$BA$3,"&lt;"&amp;$DF24,$B24:$Y24)+SUMIF($AD$3:$BA$3,"&gt;="&amp;$DG24,$B24:$Y24)),
IF(AT$3&lt;$DG24,R24,0))))))))))))))),0)</f>
        <v>80</v>
      </c>
      <c r="AU24" s="47">
        <f>ROUND(IF(AU$3&lt;$DF24,0,
IF(AU$3=$DF24+'Model Setup'!$B$7,SUMIF($AD$3:$BA$3,"="&amp;$DF24+'Model Setup'!$B$7,$B24:$Y24)+'Model Setup'!$B$8*(SUMIF($AD$3:$BA$3,"&lt;"&amp;$DF24,$B24:$Y24)+SUMIF($AD$3:$BA$3,"&gt;="&amp;$DG24,$B24:$Y24)),
IF(AU$3=$DF24+'Model Setup'!$C$7,SUMIF($AD$3:$BA$3,"="&amp;$DF24+'Model Setup'!$C$7,$B24:$Y24)+'Model Setup'!$C$8*(SUMIF($AD$3:$BA$3,"&lt;"&amp;$DF24,$B24:$Y24)+SUMIF($AD$3:$BA$3,"&gt;="&amp;$DG24,$B24:$Y24)),
IF(AU$3=$DF24+'Model Setup'!$D$7,SUMIF($AD$3:$BA$3,"="&amp;$DF24+'Model Setup'!$D$7,$B24:$Y24)+'Model Setup'!$D$8*(SUMIF($AD$3:$BA$3,"&lt;"&amp;$DF24,$B24:$Y24)+SUMIF($AD$3:$BA$3,"&gt;="&amp;$DG24,$B24:$Y24)),
IF(AU$3=$DF24+'Model Setup'!$E$7,SUMIF($AD$3:$BA$3,"="&amp;$DF24+'Model Setup'!$E$7,$B24:$Y24)+'Model Setup'!$E$8*(SUMIF($AD$3:$BA$3,"&lt;"&amp;$DF24,$B24:$Y24)+SUMIF($AD$3:$BA$3,"&gt;="&amp;$DG24,$B24:$Y24)),
IF(AU$3=$DF24+'Model Setup'!$F$7,SUMIF($AD$3:$BA$3,"="&amp;$DF24+'Model Setup'!$F$7,$B24:$Y24)+'Model Setup'!$F$8*(SUMIF($AD$3:$BA$3,"&lt;"&amp;$DF24,$B24:$Y24)+SUMIF($AD$3:$BA$3,"&gt;="&amp;$DG24,$B24:$Y24)),
IF(AU$3=$DF24+'Model Setup'!$G$7,SUMIF($AD$3:$BA$3,"="&amp;$DF24+'Model Setup'!$G$7,$B24:$Y24)+'Model Setup'!$G$8*(SUMIF($AD$3:$BA$3,"&lt;"&amp;$DF24,$B24:$Y24)+SUMIF($AD$3:$BA$3,"&gt;="&amp;$DG24,$B24:$Y24)),
IF(AU$3=$DF24+'Model Setup'!$H$7,SUMIF($AD$3:$BA$3,"="&amp;$DF24+'Model Setup'!$H$7,$B24:$Y24)+'Model Setup'!$H$8*(SUMIF($AD$3:$BA$3,"&lt;"&amp;$DF24,$B24:$Y24)+SUMIF($AD$3:$BA$3,"&gt;="&amp;$DG24,$B24:$Y24)),
IF(AU$3=$DF24+'Model Setup'!$I$7,SUMIF($AD$3:$BA$3,"="&amp;$DF24+'Model Setup'!$I$7,$B24:$Y24)+'Model Setup'!$I$8*(SUMIF($AD$3:$BA$3,"&lt;"&amp;$DF24,$B24:$Y24)+SUMIF($AD$3:$BA$3,"&gt;="&amp;$DG24,$B24:$Y24)),
IF(AU$3=$DF24+'Model Setup'!$J$7,SUMIF($AD$3:$BA$3,"="&amp;$DF24+'Model Setup'!$J$7,$B24:$Y24)+'Model Setup'!$J$8*(SUMIF($AD$3:$BA$3,"&lt;"&amp;$DF24,$B24:$Y24)+SUMIF($AD$3:$BA$3,"&gt;="&amp;$DG24,$B24:$Y24)),
IF(AU$3=$DF24+'Model Setup'!$K$7,SUMIF($AD$3:$BA$3,"="&amp;$DF24+'Model Setup'!$K$7,$B24:$Y24)+'Model Setup'!$K$8*(SUMIF($AD$3:$BA$3,"&lt;"&amp;$DF24,$B24:$Y24)+SUMIF($AD$3:$BA$3,"&gt;="&amp;$DG24,$B24:$Y24)),
IF(AU$3=$DF24+'Model Setup'!$L$7,SUMIF($AD$3:$BA$3,"="&amp;$DF24+'Model Setup'!$L$7,$B24:$Y24)+'Model Setup'!$L$8*(SUMIF($AD$3:$BA$3,"&lt;"&amp;$DF24,$B24:$Y24)+SUMIF($AD$3:$BA$3,"&gt;="&amp;$DG24,$B24:$Y24)),
IF(AU$3=$DF24+'Model Setup'!$M$7,SUMIF($AD$3:$BA$3,"="&amp;$DF24+'Model Setup'!$M$7,$B24:$Y24)+'Model Setup'!$M$8*(SUMIF($AD$3:$BA$3,"&lt;"&amp;$DF24,$B24:$Y24)+SUMIF($AD$3:$BA$3,"&gt;="&amp;$DG24,$B24:$Y24)),
IF(AU$3=$DF24+'Model Setup'!$N$7,SUMIF($AD$3:$BA$3,"="&amp;$DF24+'Model Setup'!$N$7,$B24:$Y24)+'Model Setup'!$N$8*(SUMIF($AD$3:$BA$3,"&lt;"&amp;$DF24,$B24:$Y24)+SUMIF($AD$3:$BA$3,"&gt;="&amp;$DG24,$B24:$Y24)),
IF(AU$3&lt;$DG24,S24,0))))))))))))))),0)</f>
        <v>63</v>
      </c>
      <c r="AV24" s="47">
        <f>ROUND(IF(AV$3&lt;$DF24,0,
IF(AV$3=$DF24+'Model Setup'!$B$7,SUMIF($AD$3:$BA$3,"="&amp;$DF24+'Model Setup'!$B$7,$B24:$Y24)+'Model Setup'!$B$8*(SUMIF($AD$3:$BA$3,"&lt;"&amp;$DF24,$B24:$Y24)+SUMIF($AD$3:$BA$3,"&gt;="&amp;$DG24,$B24:$Y24)),
IF(AV$3=$DF24+'Model Setup'!$C$7,SUMIF($AD$3:$BA$3,"="&amp;$DF24+'Model Setup'!$C$7,$B24:$Y24)+'Model Setup'!$C$8*(SUMIF($AD$3:$BA$3,"&lt;"&amp;$DF24,$B24:$Y24)+SUMIF($AD$3:$BA$3,"&gt;="&amp;$DG24,$B24:$Y24)),
IF(AV$3=$DF24+'Model Setup'!$D$7,SUMIF($AD$3:$BA$3,"="&amp;$DF24+'Model Setup'!$D$7,$B24:$Y24)+'Model Setup'!$D$8*(SUMIF($AD$3:$BA$3,"&lt;"&amp;$DF24,$B24:$Y24)+SUMIF($AD$3:$BA$3,"&gt;="&amp;$DG24,$B24:$Y24)),
IF(AV$3=$DF24+'Model Setup'!$E$7,SUMIF($AD$3:$BA$3,"="&amp;$DF24+'Model Setup'!$E$7,$B24:$Y24)+'Model Setup'!$E$8*(SUMIF($AD$3:$BA$3,"&lt;"&amp;$DF24,$B24:$Y24)+SUMIF($AD$3:$BA$3,"&gt;="&amp;$DG24,$B24:$Y24)),
IF(AV$3=$DF24+'Model Setup'!$F$7,SUMIF($AD$3:$BA$3,"="&amp;$DF24+'Model Setup'!$F$7,$B24:$Y24)+'Model Setup'!$F$8*(SUMIF($AD$3:$BA$3,"&lt;"&amp;$DF24,$B24:$Y24)+SUMIF($AD$3:$BA$3,"&gt;="&amp;$DG24,$B24:$Y24)),
IF(AV$3=$DF24+'Model Setup'!$G$7,SUMIF($AD$3:$BA$3,"="&amp;$DF24+'Model Setup'!$G$7,$B24:$Y24)+'Model Setup'!$G$8*(SUMIF($AD$3:$BA$3,"&lt;"&amp;$DF24,$B24:$Y24)+SUMIF($AD$3:$BA$3,"&gt;="&amp;$DG24,$B24:$Y24)),
IF(AV$3=$DF24+'Model Setup'!$H$7,SUMIF($AD$3:$BA$3,"="&amp;$DF24+'Model Setup'!$H$7,$B24:$Y24)+'Model Setup'!$H$8*(SUMIF($AD$3:$BA$3,"&lt;"&amp;$DF24,$B24:$Y24)+SUMIF($AD$3:$BA$3,"&gt;="&amp;$DG24,$B24:$Y24)),
IF(AV$3=$DF24+'Model Setup'!$I$7,SUMIF($AD$3:$BA$3,"="&amp;$DF24+'Model Setup'!$I$7,$B24:$Y24)+'Model Setup'!$I$8*(SUMIF($AD$3:$BA$3,"&lt;"&amp;$DF24,$B24:$Y24)+SUMIF($AD$3:$BA$3,"&gt;="&amp;$DG24,$B24:$Y24)),
IF(AV$3=$DF24+'Model Setup'!$J$7,SUMIF($AD$3:$BA$3,"="&amp;$DF24+'Model Setup'!$J$7,$B24:$Y24)+'Model Setup'!$J$8*(SUMIF($AD$3:$BA$3,"&lt;"&amp;$DF24,$B24:$Y24)+SUMIF($AD$3:$BA$3,"&gt;="&amp;$DG24,$B24:$Y24)),
IF(AV$3=$DF24+'Model Setup'!$K$7,SUMIF($AD$3:$BA$3,"="&amp;$DF24+'Model Setup'!$K$7,$B24:$Y24)+'Model Setup'!$K$8*(SUMIF($AD$3:$BA$3,"&lt;"&amp;$DF24,$B24:$Y24)+SUMIF($AD$3:$BA$3,"&gt;="&amp;$DG24,$B24:$Y24)),
IF(AV$3=$DF24+'Model Setup'!$L$7,SUMIF($AD$3:$BA$3,"="&amp;$DF24+'Model Setup'!$L$7,$B24:$Y24)+'Model Setup'!$L$8*(SUMIF($AD$3:$BA$3,"&lt;"&amp;$DF24,$B24:$Y24)+SUMIF($AD$3:$BA$3,"&gt;="&amp;$DG24,$B24:$Y24)),
IF(AV$3=$DF24+'Model Setup'!$M$7,SUMIF($AD$3:$BA$3,"="&amp;$DF24+'Model Setup'!$M$7,$B24:$Y24)+'Model Setup'!$M$8*(SUMIF($AD$3:$BA$3,"&lt;"&amp;$DF24,$B24:$Y24)+SUMIF($AD$3:$BA$3,"&gt;="&amp;$DG24,$B24:$Y24)),
IF(AV$3=$DF24+'Model Setup'!$N$7,SUMIF($AD$3:$BA$3,"="&amp;$DF24+'Model Setup'!$N$7,$B24:$Y24)+'Model Setup'!$N$8*(SUMIF($AD$3:$BA$3,"&lt;"&amp;$DF24,$B24:$Y24)+SUMIF($AD$3:$BA$3,"&gt;="&amp;$DG24,$B24:$Y24)),
IF(AV$3&lt;$DG24,T24,0))))))))))))))),0)</f>
        <v>0</v>
      </c>
      <c r="AW24" s="47">
        <f>ROUND(IF(AW$3&lt;$DF24,0,
IF(AW$3=$DF24+'Model Setup'!$B$7,SUMIF($AD$3:$BA$3,"="&amp;$DF24+'Model Setup'!$B$7,$B24:$Y24)+'Model Setup'!$B$8*(SUMIF($AD$3:$BA$3,"&lt;"&amp;$DF24,$B24:$Y24)+SUMIF($AD$3:$BA$3,"&gt;="&amp;$DG24,$B24:$Y24)),
IF(AW$3=$DF24+'Model Setup'!$C$7,SUMIF($AD$3:$BA$3,"="&amp;$DF24+'Model Setup'!$C$7,$B24:$Y24)+'Model Setup'!$C$8*(SUMIF($AD$3:$BA$3,"&lt;"&amp;$DF24,$B24:$Y24)+SUMIF($AD$3:$BA$3,"&gt;="&amp;$DG24,$B24:$Y24)),
IF(AW$3=$DF24+'Model Setup'!$D$7,SUMIF($AD$3:$BA$3,"="&amp;$DF24+'Model Setup'!$D$7,$B24:$Y24)+'Model Setup'!$D$8*(SUMIF($AD$3:$BA$3,"&lt;"&amp;$DF24,$B24:$Y24)+SUMIF($AD$3:$BA$3,"&gt;="&amp;$DG24,$B24:$Y24)),
IF(AW$3=$DF24+'Model Setup'!$E$7,SUMIF($AD$3:$BA$3,"="&amp;$DF24+'Model Setup'!$E$7,$B24:$Y24)+'Model Setup'!$E$8*(SUMIF($AD$3:$BA$3,"&lt;"&amp;$DF24,$B24:$Y24)+SUMIF($AD$3:$BA$3,"&gt;="&amp;$DG24,$B24:$Y24)),
IF(AW$3=$DF24+'Model Setup'!$F$7,SUMIF($AD$3:$BA$3,"="&amp;$DF24+'Model Setup'!$F$7,$B24:$Y24)+'Model Setup'!$F$8*(SUMIF($AD$3:$BA$3,"&lt;"&amp;$DF24,$B24:$Y24)+SUMIF($AD$3:$BA$3,"&gt;="&amp;$DG24,$B24:$Y24)),
IF(AW$3=$DF24+'Model Setup'!$G$7,SUMIF($AD$3:$BA$3,"="&amp;$DF24+'Model Setup'!$G$7,$B24:$Y24)+'Model Setup'!$G$8*(SUMIF($AD$3:$BA$3,"&lt;"&amp;$DF24,$B24:$Y24)+SUMIF($AD$3:$BA$3,"&gt;="&amp;$DG24,$B24:$Y24)),
IF(AW$3=$DF24+'Model Setup'!$H$7,SUMIF($AD$3:$BA$3,"="&amp;$DF24+'Model Setup'!$H$7,$B24:$Y24)+'Model Setup'!$H$8*(SUMIF($AD$3:$BA$3,"&lt;"&amp;$DF24,$B24:$Y24)+SUMIF($AD$3:$BA$3,"&gt;="&amp;$DG24,$B24:$Y24)),
IF(AW$3=$DF24+'Model Setup'!$I$7,SUMIF($AD$3:$BA$3,"="&amp;$DF24+'Model Setup'!$I$7,$B24:$Y24)+'Model Setup'!$I$8*(SUMIF($AD$3:$BA$3,"&lt;"&amp;$DF24,$B24:$Y24)+SUMIF($AD$3:$BA$3,"&gt;="&amp;$DG24,$B24:$Y24)),
IF(AW$3=$DF24+'Model Setup'!$J$7,SUMIF($AD$3:$BA$3,"="&amp;$DF24+'Model Setup'!$J$7,$B24:$Y24)+'Model Setup'!$J$8*(SUMIF($AD$3:$BA$3,"&lt;"&amp;$DF24,$B24:$Y24)+SUMIF($AD$3:$BA$3,"&gt;="&amp;$DG24,$B24:$Y24)),
IF(AW$3=$DF24+'Model Setup'!$K$7,SUMIF($AD$3:$BA$3,"="&amp;$DF24+'Model Setup'!$K$7,$B24:$Y24)+'Model Setup'!$K$8*(SUMIF($AD$3:$BA$3,"&lt;"&amp;$DF24,$B24:$Y24)+SUMIF($AD$3:$BA$3,"&gt;="&amp;$DG24,$B24:$Y24)),
IF(AW$3=$DF24+'Model Setup'!$L$7,SUMIF($AD$3:$BA$3,"="&amp;$DF24+'Model Setup'!$L$7,$B24:$Y24)+'Model Setup'!$L$8*(SUMIF($AD$3:$BA$3,"&lt;"&amp;$DF24,$B24:$Y24)+SUMIF($AD$3:$BA$3,"&gt;="&amp;$DG24,$B24:$Y24)),
IF(AW$3=$DF24+'Model Setup'!$M$7,SUMIF($AD$3:$BA$3,"="&amp;$DF24+'Model Setup'!$M$7,$B24:$Y24)+'Model Setup'!$M$8*(SUMIF($AD$3:$BA$3,"&lt;"&amp;$DF24,$B24:$Y24)+SUMIF($AD$3:$BA$3,"&gt;="&amp;$DG24,$B24:$Y24)),
IF(AW$3=$DF24+'Model Setup'!$N$7,SUMIF($AD$3:$BA$3,"="&amp;$DF24+'Model Setup'!$N$7,$B24:$Y24)+'Model Setup'!$N$8*(SUMIF($AD$3:$BA$3,"&lt;"&amp;$DF24,$B24:$Y24)+SUMIF($AD$3:$BA$3,"&gt;="&amp;$DG24,$B24:$Y24)),
IF(AW$3&lt;$DG24,U24,0))))))))))))))),0)</f>
        <v>0</v>
      </c>
      <c r="AX24" s="47">
        <f>ROUND(IF(AX$3&lt;$DF24,0,
IF(AX$3=$DF24+'Model Setup'!$B$7,SUMIF($AD$3:$BA$3,"="&amp;$DF24+'Model Setup'!$B$7,$B24:$Y24)+'Model Setup'!$B$8*(SUMIF($AD$3:$BA$3,"&lt;"&amp;$DF24,$B24:$Y24)+SUMIF($AD$3:$BA$3,"&gt;="&amp;$DG24,$B24:$Y24)),
IF(AX$3=$DF24+'Model Setup'!$C$7,SUMIF($AD$3:$BA$3,"="&amp;$DF24+'Model Setup'!$C$7,$B24:$Y24)+'Model Setup'!$C$8*(SUMIF($AD$3:$BA$3,"&lt;"&amp;$DF24,$B24:$Y24)+SUMIF($AD$3:$BA$3,"&gt;="&amp;$DG24,$B24:$Y24)),
IF(AX$3=$DF24+'Model Setup'!$D$7,SUMIF($AD$3:$BA$3,"="&amp;$DF24+'Model Setup'!$D$7,$B24:$Y24)+'Model Setup'!$D$8*(SUMIF($AD$3:$BA$3,"&lt;"&amp;$DF24,$B24:$Y24)+SUMIF($AD$3:$BA$3,"&gt;="&amp;$DG24,$B24:$Y24)),
IF(AX$3=$DF24+'Model Setup'!$E$7,SUMIF($AD$3:$BA$3,"="&amp;$DF24+'Model Setup'!$E$7,$B24:$Y24)+'Model Setup'!$E$8*(SUMIF($AD$3:$BA$3,"&lt;"&amp;$DF24,$B24:$Y24)+SUMIF($AD$3:$BA$3,"&gt;="&amp;$DG24,$B24:$Y24)),
IF(AX$3=$DF24+'Model Setup'!$F$7,SUMIF($AD$3:$BA$3,"="&amp;$DF24+'Model Setup'!$F$7,$B24:$Y24)+'Model Setup'!$F$8*(SUMIF($AD$3:$BA$3,"&lt;"&amp;$DF24,$B24:$Y24)+SUMIF($AD$3:$BA$3,"&gt;="&amp;$DG24,$B24:$Y24)),
IF(AX$3=$DF24+'Model Setup'!$G$7,SUMIF($AD$3:$BA$3,"="&amp;$DF24+'Model Setup'!$G$7,$B24:$Y24)+'Model Setup'!$G$8*(SUMIF($AD$3:$BA$3,"&lt;"&amp;$DF24,$B24:$Y24)+SUMIF($AD$3:$BA$3,"&gt;="&amp;$DG24,$B24:$Y24)),
IF(AX$3=$DF24+'Model Setup'!$H$7,SUMIF($AD$3:$BA$3,"="&amp;$DF24+'Model Setup'!$H$7,$B24:$Y24)+'Model Setup'!$H$8*(SUMIF($AD$3:$BA$3,"&lt;"&amp;$DF24,$B24:$Y24)+SUMIF($AD$3:$BA$3,"&gt;="&amp;$DG24,$B24:$Y24)),
IF(AX$3=$DF24+'Model Setup'!$I$7,SUMIF($AD$3:$BA$3,"="&amp;$DF24+'Model Setup'!$I$7,$B24:$Y24)+'Model Setup'!$I$8*(SUMIF($AD$3:$BA$3,"&lt;"&amp;$DF24,$B24:$Y24)+SUMIF($AD$3:$BA$3,"&gt;="&amp;$DG24,$B24:$Y24)),
IF(AX$3=$DF24+'Model Setup'!$J$7,SUMIF($AD$3:$BA$3,"="&amp;$DF24+'Model Setup'!$J$7,$B24:$Y24)+'Model Setup'!$J$8*(SUMIF($AD$3:$BA$3,"&lt;"&amp;$DF24,$B24:$Y24)+SUMIF($AD$3:$BA$3,"&gt;="&amp;$DG24,$B24:$Y24)),
IF(AX$3=$DF24+'Model Setup'!$K$7,SUMIF($AD$3:$BA$3,"="&amp;$DF24+'Model Setup'!$K$7,$B24:$Y24)+'Model Setup'!$K$8*(SUMIF($AD$3:$BA$3,"&lt;"&amp;$DF24,$B24:$Y24)+SUMIF($AD$3:$BA$3,"&gt;="&amp;$DG24,$B24:$Y24)),
IF(AX$3=$DF24+'Model Setup'!$L$7,SUMIF($AD$3:$BA$3,"="&amp;$DF24+'Model Setup'!$L$7,$B24:$Y24)+'Model Setup'!$L$8*(SUMIF($AD$3:$BA$3,"&lt;"&amp;$DF24,$B24:$Y24)+SUMIF($AD$3:$BA$3,"&gt;="&amp;$DG24,$B24:$Y24)),
IF(AX$3=$DF24+'Model Setup'!$M$7,SUMIF($AD$3:$BA$3,"="&amp;$DF24+'Model Setup'!$M$7,$B24:$Y24)+'Model Setup'!$M$8*(SUMIF($AD$3:$BA$3,"&lt;"&amp;$DF24,$B24:$Y24)+SUMIF($AD$3:$BA$3,"&gt;="&amp;$DG24,$B24:$Y24)),
IF(AX$3=$DF24+'Model Setup'!$N$7,SUMIF($AD$3:$BA$3,"="&amp;$DF24+'Model Setup'!$N$7,$B24:$Y24)+'Model Setup'!$N$8*(SUMIF($AD$3:$BA$3,"&lt;"&amp;$DF24,$B24:$Y24)+SUMIF($AD$3:$BA$3,"&gt;="&amp;$DG24,$B24:$Y24)),
IF(AX$3&lt;$DG24,V24,0))))))))))))))),0)</f>
        <v>0</v>
      </c>
      <c r="AY24" s="47">
        <f>ROUND(IF(AY$3&lt;$DF24,0,
IF(AY$3=$DF24+'Model Setup'!$B$7,SUMIF($AD$3:$BA$3,"="&amp;$DF24+'Model Setup'!$B$7,$B24:$Y24)+'Model Setup'!$B$8*(SUMIF($AD$3:$BA$3,"&lt;"&amp;$DF24,$B24:$Y24)+SUMIF($AD$3:$BA$3,"&gt;="&amp;$DG24,$B24:$Y24)),
IF(AY$3=$DF24+'Model Setup'!$C$7,SUMIF($AD$3:$BA$3,"="&amp;$DF24+'Model Setup'!$C$7,$B24:$Y24)+'Model Setup'!$C$8*(SUMIF($AD$3:$BA$3,"&lt;"&amp;$DF24,$B24:$Y24)+SUMIF($AD$3:$BA$3,"&gt;="&amp;$DG24,$B24:$Y24)),
IF(AY$3=$DF24+'Model Setup'!$D$7,SUMIF($AD$3:$BA$3,"="&amp;$DF24+'Model Setup'!$D$7,$B24:$Y24)+'Model Setup'!$D$8*(SUMIF($AD$3:$BA$3,"&lt;"&amp;$DF24,$B24:$Y24)+SUMIF($AD$3:$BA$3,"&gt;="&amp;$DG24,$B24:$Y24)),
IF(AY$3=$DF24+'Model Setup'!$E$7,SUMIF($AD$3:$BA$3,"="&amp;$DF24+'Model Setup'!$E$7,$B24:$Y24)+'Model Setup'!$E$8*(SUMIF($AD$3:$BA$3,"&lt;"&amp;$DF24,$B24:$Y24)+SUMIF($AD$3:$BA$3,"&gt;="&amp;$DG24,$B24:$Y24)),
IF(AY$3=$DF24+'Model Setup'!$F$7,SUMIF($AD$3:$BA$3,"="&amp;$DF24+'Model Setup'!$F$7,$B24:$Y24)+'Model Setup'!$F$8*(SUMIF($AD$3:$BA$3,"&lt;"&amp;$DF24,$B24:$Y24)+SUMIF($AD$3:$BA$3,"&gt;="&amp;$DG24,$B24:$Y24)),
IF(AY$3=$DF24+'Model Setup'!$G$7,SUMIF($AD$3:$BA$3,"="&amp;$DF24+'Model Setup'!$G$7,$B24:$Y24)+'Model Setup'!$G$8*(SUMIF($AD$3:$BA$3,"&lt;"&amp;$DF24,$B24:$Y24)+SUMIF($AD$3:$BA$3,"&gt;="&amp;$DG24,$B24:$Y24)),
IF(AY$3=$DF24+'Model Setup'!$H$7,SUMIF($AD$3:$BA$3,"="&amp;$DF24+'Model Setup'!$H$7,$B24:$Y24)+'Model Setup'!$H$8*(SUMIF($AD$3:$BA$3,"&lt;"&amp;$DF24,$B24:$Y24)+SUMIF($AD$3:$BA$3,"&gt;="&amp;$DG24,$B24:$Y24)),
IF(AY$3=$DF24+'Model Setup'!$I$7,SUMIF($AD$3:$BA$3,"="&amp;$DF24+'Model Setup'!$I$7,$B24:$Y24)+'Model Setup'!$I$8*(SUMIF($AD$3:$BA$3,"&lt;"&amp;$DF24,$B24:$Y24)+SUMIF($AD$3:$BA$3,"&gt;="&amp;$DG24,$B24:$Y24)),
IF(AY$3=$DF24+'Model Setup'!$J$7,SUMIF($AD$3:$BA$3,"="&amp;$DF24+'Model Setup'!$J$7,$B24:$Y24)+'Model Setup'!$J$8*(SUMIF($AD$3:$BA$3,"&lt;"&amp;$DF24,$B24:$Y24)+SUMIF($AD$3:$BA$3,"&gt;="&amp;$DG24,$B24:$Y24)),
IF(AY$3=$DF24+'Model Setup'!$K$7,SUMIF($AD$3:$BA$3,"="&amp;$DF24+'Model Setup'!$K$7,$B24:$Y24)+'Model Setup'!$K$8*(SUMIF($AD$3:$BA$3,"&lt;"&amp;$DF24,$B24:$Y24)+SUMIF($AD$3:$BA$3,"&gt;="&amp;$DG24,$B24:$Y24)),
IF(AY$3=$DF24+'Model Setup'!$L$7,SUMIF($AD$3:$BA$3,"="&amp;$DF24+'Model Setup'!$L$7,$B24:$Y24)+'Model Setup'!$L$8*(SUMIF($AD$3:$BA$3,"&lt;"&amp;$DF24,$B24:$Y24)+SUMIF($AD$3:$BA$3,"&gt;="&amp;$DG24,$B24:$Y24)),
IF(AY$3=$DF24+'Model Setup'!$M$7,SUMIF($AD$3:$BA$3,"="&amp;$DF24+'Model Setup'!$M$7,$B24:$Y24)+'Model Setup'!$M$8*(SUMIF($AD$3:$BA$3,"&lt;"&amp;$DF24,$B24:$Y24)+SUMIF($AD$3:$BA$3,"&gt;="&amp;$DG24,$B24:$Y24)),
IF(AY$3=$DF24+'Model Setup'!$N$7,SUMIF($AD$3:$BA$3,"="&amp;$DF24+'Model Setup'!$N$7,$B24:$Y24)+'Model Setup'!$N$8*(SUMIF($AD$3:$BA$3,"&lt;"&amp;$DF24,$B24:$Y24)+SUMIF($AD$3:$BA$3,"&gt;="&amp;$DG24,$B24:$Y24)),
IF(AY$3&lt;$DG24,W24,0))))))))))))))),0)</f>
        <v>0</v>
      </c>
      <c r="AZ24" s="47">
        <f>ROUND(IF(AZ$3&lt;$DF24,0,
IF(AZ$3=$DF24+'Model Setup'!$B$7,SUMIF($AD$3:$BA$3,"="&amp;$DF24+'Model Setup'!$B$7,$B24:$Y24)+'Model Setup'!$B$8*(SUMIF($AD$3:$BA$3,"&lt;"&amp;$DF24,$B24:$Y24)+SUMIF($AD$3:$BA$3,"&gt;="&amp;$DG24,$B24:$Y24)),
IF(AZ$3=$DF24+'Model Setup'!$C$7,SUMIF($AD$3:$BA$3,"="&amp;$DF24+'Model Setup'!$C$7,$B24:$Y24)+'Model Setup'!$C$8*(SUMIF($AD$3:$BA$3,"&lt;"&amp;$DF24,$B24:$Y24)+SUMIF($AD$3:$BA$3,"&gt;="&amp;$DG24,$B24:$Y24)),
IF(AZ$3=$DF24+'Model Setup'!$D$7,SUMIF($AD$3:$BA$3,"="&amp;$DF24+'Model Setup'!$D$7,$B24:$Y24)+'Model Setup'!$D$8*(SUMIF($AD$3:$BA$3,"&lt;"&amp;$DF24,$B24:$Y24)+SUMIF($AD$3:$BA$3,"&gt;="&amp;$DG24,$B24:$Y24)),
IF(AZ$3=$DF24+'Model Setup'!$E$7,SUMIF($AD$3:$BA$3,"="&amp;$DF24+'Model Setup'!$E$7,$B24:$Y24)+'Model Setup'!$E$8*(SUMIF($AD$3:$BA$3,"&lt;"&amp;$DF24,$B24:$Y24)+SUMIF($AD$3:$BA$3,"&gt;="&amp;$DG24,$B24:$Y24)),
IF(AZ$3=$DF24+'Model Setup'!$F$7,SUMIF($AD$3:$BA$3,"="&amp;$DF24+'Model Setup'!$F$7,$B24:$Y24)+'Model Setup'!$F$8*(SUMIF($AD$3:$BA$3,"&lt;"&amp;$DF24,$B24:$Y24)+SUMIF($AD$3:$BA$3,"&gt;="&amp;$DG24,$B24:$Y24)),
IF(AZ$3=$DF24+'Model Setup'!$G$7,SUMIF($AD$3:$BA$3,"="&amp;$DF24+'Model Setup'!$G$7,$B24:$Y24)+'Model Setup'!$G$8*(SUMIF($AD$3:$BA$3,"&lt;"&amp;$DF24,$B24:$Y24)+SUMIF($AD$3:$BA$3,"&gt;="&amp;$DG24,$B24:$Y24)),
IF(AZ$3=$DF24+'Model Setup'!$H$7,SUMIF($AD$3:$BA$3,"="&amp;$DF24+'Model Setup'!$H$7,$B24:$Y24)+'Model Setup'!$H$8*(SUMIF($AD$3:$BA$3,"&lt;"&amp;$DF24,$B24:$Y24)+SUMIF($AD$3:$BA$3,"&gt;="&amp;$DG24,$B24:$Y24)),
IF(AZ$3=$DF24+'Model Setup'!$I$7,SUMIF($AD$3:$BA$3,"="&amp;$DF24+'Model Setup'!$I$7,$B24:$Y24)+'Model Setup'!$I$8*(SUMIF($AD$3:$BA$3,"&lt;"&amp;$DF24,$B24:$Y24)+SUMIF($AD$3:$BA$3,"&gt;="&amp;$DG24,$B24:$Y24)),
IF(AZ$3=$DF24+'Model Setup'!$J$7,SUMIF($AD$3:$BA$3,"="&amp;$DF24+'Model Setup'!$J$7,$B24:$Y24)+'Model Setup'!$J$8*(SUMIF($AD$3:$BA$3,"&lt;"&amp;$DF24,$B24:$Y24)+SUMIF($AD$3:$BA$3,"&gt;="&amp;$DG24,$B24:$Y24)),
IF(AZ$3=$DF24+'Model Setup'!$K$7,SUMIF($AD$3:$BA$3,"="&amp;$DF24+'Model Setup'!$K$7,$B24:$Y24)+'Model Setup'!$K$8*(SUMIF($AD$3:$BA$3,"&lt;"&amp;$DF24,$B24:$Y24)+SUMIF($AD$3:$BA$3,"&gt;="&amp;$DG24,$B24:$Y24)),
IF(AZ$3=$DF24+'Model Setup'!$L$7,SUMIF($AD$3:$BA$3,"="&amp;$DF24+'Model Setup'!$L$7,$B24:$Y24)+'Model Setup'!$L$8*(SUMIF($AD$3:$BA$3,"&lt;"&amp;$DF24,$B24:$Y24)+SUMIF($AD$3:$BA$3,"&gt;="&amp;$DG24,$B24:$Y24)),
IF(AZ$3=$DF24+'Model Setup'!$M$7,SUMIF($AD$3:$BA$3,"="&amp;$DF24+'Model Setup'!$M$7,$B24:$Y24)+'Model Setup'!$M$8*(SUMIF($AD$3:$BA$3,"&lt;"&amp;$DF24,$B24:$Y24)+SUMIF($AD$3:$BA$3,"&gt;="&amp;$DG24,$B24:$Y24)),
IF(AZ$3=$DF24+'Model Setup'!$N$7,SUMIF($AD$3:$BA$3,"="&amp;$DF24+'Model Setup'!$N$7,$B24:$Y24)+'Model Setup'!$N$8*(SUMIF($AD$3:$BA$3,"&lt;"&amp;$DF24,$B24:$Y24)+SUMIF($AD$3:$BA$3,"&gt;="&amp;$DG24,$B24:$Y24)),
IF(AZ$3&lt;$DG24,X24,0))))))))))))))),0)</f>
        <v>0</v>
      </c>
      <c r="BA24" s="47">
        <f>ROUND(IF(BA$3&lt;$DF24,0,
IF(BA$3=$DF24+'Model Setup'!$B$7,SUMIF($AD$3:$BA$3,"="&amp;$DF24+'Model Setup'!$B$7,$B24:$Y24)+'Model Setup'!$B$8*(SUMIF($AD$3:$BA$3,"&lt;"&amp;$DF24,$B24:$Y24)+SUMIF($AD$3:$BA$3,"&gt;="&amp;$DG24,$B24:$Y24)),
IF(BA$3=$DF24+'Model Setup'!$C$7,SUMIF($AD$3:$BA$3,"="&amp;$DF24+'Model Setup'!$C$7,$B24:$Y24)+'Model Setup'!$C$8*(SUMIF($AD$3:$BA$3,"&lt;"&amp;$DF24,$B24:$Y24)+SUMIF($AD$3:$BA$3,"&gt;="&amp;$DG24,$B24:$Y24)),
IF(BA$3=$DF24+'Model Setup'!$D$7,SUMIF($AD$3:$BA$3,"="&amp;$DF24+'Model Setup'!$D$7,$B24:$Y24)+'Model Setup'!$D$8*(SUMIF($AD$3:$BA$3,"&lt;"&amp;$DF24,$B24:$Y24)+SUMIF($AD$3:$BA$3,"&gt;="&amp;$DG24,$B24:$Y24)),
IF(BA$3=$DF24+'Model Setup'!$E$7,SUMIF($AD$3:$BA$3,"="&amp;$DF24+'Model Setup'!$E$7,$B24:$Y24)+'Model Setup'!$E$8*(SUMIF($AD$3:$BA$3,"&lt;"&amp;$DF24,$B24:$Y24)+SUMIF($AD$3:$BA$3,"&gt;="&amp;$DG24,$B24:$Y24)),
IF(BA$3=$DF24+'Model Setup'!$F$7,SUMIF($AD$3:$BA$3,"="&amp;$DF24+'Model Setup'!$F$7,$B24:$Y24)+'Model Setup'!$F$8*(SUMIF($AD$3:$BA$3,"&lt;"&amp;$DF24,$B24:$Y24)+SUMIF($AD$3:$BA$3,"&gt;="&amp;$DG24,$B24:$Y24)),
IF(BA$3=$DF24+'Model Setup'!$G$7,SUMIF($AD$3:$BA$3,"="&amp;$DF24+'Model Setup'!$G$7,$B24:$Y24)+'Model Setup'!$G$8*(SUMIF($AD$3:$BA$3,"&lt;"&amp;$DF24,$B24:$Y24)+SUMIF($AD$3:$BA$3,"&gt;="&amp;$DG24,$B24:$Y24)),
IF(BA$3=$DF24+'Model Setup'!$H$7,SUMIF($AD$3:$BA$3,"="&amp;$DF24+'Model Setup'!$H$7,$B24:$Y24)+'Model Setup'!$H$8*(SUMIF($AD$3:$BA$3,"&lt;"&amp;$DF24,$B24:$Y24)+SUMIF($AD$3:$BA$3,"&gt;="&amp;$DG24,$B24:$Y24)),
IF(BA$3=$DF24+'Model Setup'!$I$7,SUMIF($AD$3:$BA$3,"="&amp;$DF24+'Model Setup'!$I$7,$B24:$Y24)+'Model Setup'!$I$8*(SUMIF($AD$3:$BA$3,"&lt;"&amp;$DF24,$B24:$Y24)+SUMIF($AD$3:$BA$3,"&gt;="&amp;$DG24,$B24:$Y24)),
IF(BA$3=$DF24+'Model Setup'!$J$7,SUMIF($AD$3:$BA$3,"="&amp;$DF24+'Model Setup'!$J$7,$B24:$Y24)+'Model Setup'!$J$8*(SUMIF($AD$3:$BA$3,"&lt;"&amp;$DF24,$B24:$Y24)+SUMIF($AD$3:$BA$3,"&gt;="&amp;$DG24,$B24:$Y24)),
IF(BA$3=$DF24+'Model Setup'!$K$7,SUMIF($AD$3:$BA$3,"="&amp;$DF24+'Model Setup'!$K$7,$B24:$Y24)+'Model Setup'!$K$8*(SUMIF($AD$3:$BA$3,"&lt;"&amp;$DF24,$B24:$Y24)+SUMIF($AD$3:$BA$3,"&gt;="&amp;$DG24,$B24:$Y24)),
IF(BA$3=$DF24+'Model Setup'!$L$7,SUMIF($AD$3:$BA$3,"="&amp;$DF24+'Model Setup'!$L$7,$B24:$Y24)+'Model Setup'!$L$8*(SUMIF($AD$3:$BA$3,"&lt;"&amp;$DF24,$B24:$Y24)+SUMIF($AD$3:$BA$3,"&gt;="&amp;$DG24,$B24:$Y24)),
IF(BA$3=$DF24+'Model Setup'!$M$7,SUMIF($AD$3:$BA$3,"="&amp;$DF24+'Model Setup'!$M$7,$B24:$Y24)+'Model Setup'!$M$8*(SUMIF($AD$3:$BA$3,"&lt;"&amp;$DF24,$B24:$Y24)+SUMIF($AD$3:$BA$3,"&gt;="&amp;$DG24,$B24:$Y24)),
IF(BA$3=$DF24+'Model Setup'!$N$7,SUMIF($AD$3:$BA$3,"="&amp;$DF24+'Model Setup'!$N$7,$B24:$Y24)+'Model Setup'!$N$8*(SUMIF($AD$3:$BA$3,"&lt;"&amp;$DF24,$B24:$Y24)+SUMIF($AD$3:$BA$3,"&gt;="&amp;$DG24,$B24:$Y24)),
IF(BA$3&lt;$DG24,Y24,0))))))))))))))),0)</f>
        <v>0</v>
      </c>
      <c r="BB24" s="47">
        <f t="shared" si="1"/>
        <v>942</v>
      </c>
      <c r="BD24" t="b">
        <f t="shared" si="2"/>
        <v>0</v>
      </c>
      <c r="BE24">
        <f t="shared" si="8"/>
        <v>23</v>
      </c>
      <c r="BF24">
        <f>(FTC!F22-FTC!E22)*24</f>
        <v>12</v>
      </c>
      <c r="BG24" s="43" t="s">
        <v>39</v>
      </c>
      <c r="BH24" s="47">
        <f>ROUND(IF(OR(BH$3&lt;$DF24,BH$3&gt;$CW$4),0,
IF(BH$3=$DF24+'Model Setup'!$B$7,SUMIF($BH$3:$CE$3,"="&amp;$DF24+'Model Setup'!$B$7,$AD24:$BA24)+'Model Setup'!$B$8*(SUMIF($BH$3:$CE$3,"&lt;"&amp;$DF24,$AD24:$BA24)+SUMIF($BH$3:$CE$3,"&gt;"&amp;$CW$4,$AD24:$BA24)),
IF(BH$3=$DF24+'Model Setup'!$C$7,SUMIF($BH$3:$CE$3,"="&amp;$DF24+'Model Setup'!$C$7,$AD24:$BA24)+'Model Setup'!$C$8*(SUMIF($BH$3:$CE$3,"&lt;"&amp;$DF24,$AD24:$BA24)+SUMIF($BH$3:$CE$3,"&gt;"&amp;$CW$4,$AD24:$BA24)),
IF(BH$3=$DF24+'Model Setup'!$D$7,SUMIF($BH$3:$CE$3,"="&amp;$DF24+'Model Setup'!$D$7,$AD24:$BA24)+'Model Setup'!$D$8*(SUMIF($BH$3:$CE$3,"&lt;"&amp;$DF24,$AD24:$BA24)+SUMIF($BH$3:$CE$3,"&gt;"&amp;$CW$4,$AD24:$BA24)),
IF(BH$3=$DF24+'Model Setup'!$E$7,SUMIF($BH$3:$CE$3,"="&amp;$DF24+'Model Setup'!$E$7,$AD24:$BA24)+'Model Setup'!$E$8*(SUMIF($BH$3:$CE$3,"&lt;"&amp;$DF24,$AD24:$BA24)+SUMIF($BH$3:$CE$3,"&gt;"&amp;$CW$4,$AD24:$BA24)),
IF(BH$3=$DF24+'Model Setup'!$F$7,SUMIF($BH$3:$CE$3,"="&amp;$DF24+'Model Setup'!$F$7,$AD24:$BA24)+'Model Setup'!$F$8*(SUMIF($BH$3:$CE$3,"&lt;"&amp;$DF24,$AD24:$BA24)+SUMIF($BH$3:$CE$3,"&gt;"&amp;$CW$4,$AD24:$BA24)),
IF(BH$3=$DF24+'Model Setup'!$G$7,SUMIF($BH$3:$CE$3,"="&amp;$DF24+'Model Setup'!$G$7,$AD24:$BA24)+'Model Setup'!$G$8*(SUMIF($BH$3:$CE$3,"&lt;"&amp;$DF24,$AD24:$BA24)+SUMIF($BH$3:$CE$3,"&gt;"&amp;$CW$4,$AD24:$BA24)),
IF(BH$3=$DF24+'Model Setup'!$H$7,SUMIF($BH$3:$CE$3,"="&amp;$DF24+'Model Setup'!$H$7,$AD24:$BA24)+'Model Setup'!$H$8*(SUMIF($BH$3:$CE$3,"&lt;"&amp;$DF24,$AD24:$BA24)+SUMIF($BH$3:$CE$3,"&gt;"&amp;$CW$4,$AD24:$BA24)),
IF(BH$3=$DF24+'Model Setup'!$I$7,SUMIF($BH$3:$CE$3,"="&amp;$DF24+'Model Setup'!$I$7,$AD24:$BA24)+'Model Setup'!$I$8*(SUMIF($BH$3:$CE$3,"&lt;"&amp;$DF24,$AD24:$BA24)+SUMIF($BH$3:$CE$3,"&gt;"&amp;$CW$4,$AD24:$BA24)),
IF(BH$3=$DF24+'Model Setup'!$J$7,SUMIF($BH$3:$CE$3,"="&amp;$DF24+'Model Setup'!$J$7,$AD24:$BA24)+'Model Setup'!$J$8*(SUMIF($BH$3:$CE$3,"&lt;"&amp;$DF24,$AD24:$BA24)+SUMIF($BH$3:$CE$3,"&gt;"&amp;$CW$4,$AD24:$BA24)),
IF(BH$3=$DF24+'Model Setup'!$K$7,SUMIF($BH$3:$CE$3,"="&amp;$DF24+'Model Setup'!$K$7,$AD24:$BA24)+'Model Setup'!$K$8*(SUMIF($BH$3:$CE$3,"&lt;"&amp;$DF24,$AD24:$BA24)+SUMIF($BH$3:$CE$3,"&gt;"&amp;$CW$4,$AD24:$BA24)),
IF(BH$3=$DF24+'Model Setup'!$L$7,SUMIF($BH$3:$CE$3,"="&amp;$DF24+'Model Setup'!$L$7,$AD24:$BA24)+'Model Setup'!$L$8*(SUMIF($BH$3:$CE$3,"&lt;"&amp;$DF24,$AD24:$BA24)+SUMIF($BH$3:$CE$3,"&gt;"&amp;$CW$4,$AD24:$BA24)),
IF(BH$3=$DF24+'Model Setup'!$M$7,SUMIF($BH$3:$CE$3,"="&amp;$DF24+'Model Setup'!$M$7,$AD24:$BA24)+'Model Setup'!$M$8*(SUMIF($BH$3:$CE$3,"&lt;"&amp;$DF24,$AD24:$BA24)+SUMIF($BH$3:$CE$3,"&gt;"&amp;$CW$4,$AD24:$BA24)),
IF(BH$3=$DF24+'Model Setup'!$N$7,SUMIF($BH$3:$CE$3,"="&amp;$DF24+'Model Setup'!$N$7,$AD24:$BA24)+'Model Setup'!$N$8*(SUMIF($BH$3:$CE$3,"&lt;"&amp;$DF24,$AD24:$BA24)+SUMIF($BH$3:$CE$3,"&gt;"&amp;$CW$4,$AD24:$BA24)),
IF(BH$3&lt;$CW$4,B24,0))))))))))))))),0)</f>
        <v>0</v>
      </c>
      <c r="BI24" s="47">
        <f>ROUND(IF(OR(BI$3&lt;$DF24,BI$3&gt;$CW$4),0,
IF(BI$3=$DF24+'Model Setup'!$B$7,SUMIF($BH$3:$CE$3,"="&amp;$DF24+'Model Setup'!$B$7,$AD24:$BA24)+'Model Setup'!$B$8*(SUMIF($BH$3:$CE$3,"&lt;"&amp;$DF24,$AD24:$BA24)+SUMIF($BH$3:$CE$3,"&gt;"&amp;$CW$4,$AD24:$BA24)),
IF(BI$3=$DF24+'Model Setup'!$C$7,SUMIF($BH$3:$CE$3,"="&amp;$DF24+'Model Setup'!$C$7,$AD24:$BA24)+'Model Setup'!$C$8*(SUMIF($BH$3:$CE$3,"&lt;"&amp;$DF24,$AD24:$BA24)+SUMIF($BH$3:$CE$3,"&gt;"&amp;$CW$4,$AD24:$BA24)),
IF(BI$3=$DF24+'Model Setup'!$D$7,SUMIF($BH$3:$CE$3,"="&amp;$DF24+'Model Setup'!$D$7,$AD24:$BA24)+'Model Setup'!$D$8*(SUMIF($BH$3:$CE$3,"&lt;"&amp;$DF24,$AD24:$BA24)+SUMIF($BH$3:$CE$3,"&gt;"&amp;$CW$4,$AD24:$BA24)),
IF(BI$3=$DF24+'Model Setup'!$E$7,SUMIF($BH$3:$CE$3,"="&amp;$DF24+'Model Setup'!$E$7,$AD24:$BA24)+'Model Setup'!$E$8*(SUMIF($BH$3:$CE$3,"&lt;"&amp;$DF24,$AD24:$BA24)+SUMIF($BH$3:$CE$3,"&gt;"&amp;$CW$4,$AD24:$BA24)),
IF(BI$3=$DF24+'Model Setup'!$F$7,SUMIF($BH$3:$CE$3,"="&amp;$DF24+'Model Setup'!$F$7,$AD24:$BA24)+'Model Setup'!$F$8*(SUMIF($BH$3:$CE$3,"&lt;"&amp;$DF24,$AD24:$BA24)+SUMIF($BH$3:$CE$3,"&gt;"&amp;$CW$4,$AD24:$BA24)),
IF(BI$3=$DF24+'Model Setup'!$G$7,SUMIF($BH$3:$CE$3,"="&amp;$DF24+'Model Setup'!$G$7,$AD24:$BA24)+'Model Setup'!$G$8*(SUMIF($BH$3:$CE$3,"&lt;"&amp;$DF24,$AD24:$BA24)+SUMIF($BH$3:$CE$3,"&gt;"&amp;$CW$4,$AD24:$BA24)),
IF(BI$3=$DF24+'Model Setup'!$H$7,SUMIF($BH$3:$CE$3,"="&amp;$DF24+'Model Setup'!$H$7,$AD24:$BA24)+'Model Setup'!$H$8*(SUMIF($BH$3:$CE$3,"&lt;"&amp;$DF24,$AD24:$BA24)+SUMIF($BH$3:$CE$3,"&gt;"&amp;$CW$4,$AD24:$BA24)),
IF(BI$3=$DF24+'Model Setup'!$I$7,SUMIF($BH$3:$CE$3,"="&amp;$DF24+'Model Setup'!$I$7,$AD24:$BA24)+'Model Setup'!$I$8*(SUMIF($BH$3:$CE$3,"&lt;"&amp;$DF24,$AD24:$BA24)+SUMIF($BH$3:$CE$3,"&gt;"&amp;$CW$4,$AD24:$BA24)),
IF(BI$3=$DF24+'Model Setup'!$J$7,SUMIF($BH$3:$CE$3,"="&amp;$DF24+'Model Setup'!$J$7,$AD24:$BA24)+'Model Setup'!$J$8*(SUMIF($BH$3:$CE$3,"&lt;"&amp;$DF24,$AD24:$BA24)+SUMIF($BH$3:$CE$3,"&gt;"&amp;$CW$4,$AD24:$BA24)),
IF(BI$3=$DF24+'Model Setup'!$K$7,SUMIF($BH$3:$CE$3,"="&amp;$DF24+'Model Setup'!$K$7,$AD24:$BA24)+'Model Setup'!$K$8*(SUMIF($BH$3:$CE$3,"&lt;"&amp;$DF24,$AD24:$BA24)+SUMIF($BH$3:$CE$3,"&gt;"&amp;$CW$4,$AD24:$BA24)),
IF(BI$3=$DF24+'Model Setup'!$L$7,SUMIF($BH$3:$CE$3,"="&amp;$DF24+'Model Setup'!$L$7,$AD24:$BA24)+'Model Setup'!$L$8*(SUMIF($BH$3:$CE$3,"&lt;"&amp;$DF24,$AD24:$BA24)+SUMIF($BH$3:$CE$3,"&gt;"&amp;$CW$4,$AD24:$BA24)),
IF(BI$3=$DF24+'Model Setup'!$M$7,SUMIF($BH$3:$CE$3,"="&amp;$DF24+'Model Setup'!$M$7,$AD24:$BA24)+'Model Setup'!$M$8*(SUMIF($BH$3:$CE$3,"&lt;"&amp;$DF24,$AD24:$BA24)+SUMIF($BH$3:$CE$3,"&gt;"&amp;$CW$4,$AD24:$BA24)),
IF(BI$3=$DF24+'Model Setup'!$N$7,SUMIF($BH$3:$CE$3,"="&amp;$DF24+'Model Setup'!$N$7,$AD24:$BA24)+'Model Setup'!$N$8*(SUMIF($BH$3:$CE$3,"&lt;"&amp;$DF24,$AD24:$BA24)+SUMIF($BH$3:$CE$3,"&gt;"&amp;$CW$4,$AD24:$BA24)),
IF(BI$3&lt;$CW$4,C24,0))))))))))))))),0)</f>
        <v>0</v>
      </c>
      <c r="BJ24" s="47">
        <f>ROUND(IF(OR(BJ$3&lt;$DF24,BJ$3&gt;$CW$4),0,
IF(BJ$3=$DF24+'Model Setup'!$B$7,SUMIF($BH$3:$CE$3,"="&amp;$DF24+'Model Setup'!$B$7,$AD24:$BA24)+'Model Setup'!$B$8*(SUMIF($BH$3:$CE$3,"&lt;"&amp;$DF24,$AD24:$BA24)+SUMIF($BH$3:$CE$3,"&gt;"&amp;$CW$4,$AD24:$BA24)),
IF(BJ$3=$DF24+'Model Setup'!$C$7,SUMIF($BH$3:$CE$3,"="&amp;$DF24+'Model Setup'!$C$7,$AD24:$BA24)+'Model Setup'!$C$8*(SUMIF($BH$3:$CE$3,"&lt;"&amp;$DF24,$AD24:$BA24)+SUMIF($BH$3:$CE$3,"&gt;"&amp;$CW$4,$AD24:$BA24)),
IF(BJ$3=$DF24+'Model Setup'!$D$7,SUMIF($BH$3:$CE$3,"="&amp;$DF24+'Model Setup'!$D$7,$AD24:$BA24)+'Model Setup'!$D$8*(SUMIF($BH$3:$CE$3,"&lt;"&amp;$DF24,$AD24:$BA24)+SUMIF($BH$3:$CE$3,"&gt;"&amp;$CW$4,$AD24:$BA24)),
IF(BJ$3=$DF24+'Model Setup'!$E$7,SUMIF($BH$3:$CE$3,"="&amp;$DF24+'Model Setup'!$E$7,$AD24:$BA24)+'Model Setup'!$E$8*(SUMIF($BH$3:$CE$3,"&lt;"&amp;$DF24,$AD24:$BA24)+SUMIF($BH$3:$CE$3,"&gt;"&amp;$CW$4,$AD24:$BA24)),
IF(BJ$3=$DF24+'Model Setup'!$F$7,SUMIF($BH$3:$CE$3,"="&amp;$DF24+'Model Setup'!$F$7,$AD24:$BA24)+'Model Setup'!$F$8*(SUMIF($BH$3:$CE$3,"&lt;"&amp;$DF24,$AD24:$BA24)+SUMIF($BH$3:$CE$3,"&gt;"&amp;$CW$4,$AD24:$BA24)),
IF(BJ$3=$DF24+'Model Setup'!$G$7,SUMIF($BH$3:$CE$3,"="&amp;$DF24+'Model Setup'!$G$7,$AD24:$BA24)+'Model Setup'!$G$8*(SUMIF($BH$3:$CE$3,"&lt;"&amp;$DF24,$AD24:$BA24)+SUMIF($BH$3:$CE$3,"&gt;"&amp;$CW$4,$AD24:$BA24)),
IF(BJ$3=$DF24+'Model Setup'!$H$7,SUMIF($BH$3:$CE$3,"="&amp;$DF24+'Model Setup'!$H$7,$AD24:$BA24)+'Model Setup'!$H$8*(SUMIF($BH$3:$CE$3,"&lt;"&amp;$DF24,$AD24:$BA24)+SUMIF($BH$3:$CE$3,"&gt;"&amp;$CW$4,$AD24:$BA24)),
IF(BJ$3=$DF24+'Model Setup'!$I$7,SUMIF($BH$3:$CE$3,"="&amp;$DF24+'Model Setup'!$I$7,$AD24:$BA24)+'Model Setup'!$I$8*(SUMIF($BH$3:$CE$3,"&lt;"&amp;$DF24,$AD24:$BA24)+SUMIF($BH$3:$CE$3,"&gt;"&amp;$CW$4,$AD24:$BA24)),
IF(BJ$3=$DF24+'Model Setup'!$J$7,SUMIF($BH$3:$CE$3,"="&amp;$DF24+'Model Setup'!$J$7,$AD24:$BA24)+'Model Setup'!$J$8*(SUMIF($BH$3:$CE$3,"&lt;"&amp;$DF24,$AD24:$BA24)+SUMIF($BH$3:$CE$3,"&gt;"&amp;$CW$4,$AD24:$BA24)),
IF(BJ$3=$DF24+'Model Setup'!$K$7,SUMIF($BH$3:$CE$3,"="&amp;$DF24+'Model Setup'!$K$7,$AD24:$BA24)+'Model Setup'!$K$8*(SUMIF($BH$3:$CE$3,"&lt;"&amp;$DF24,$AD24:$BA24)+SUMIF($BH$3:$CE$3,"&gt;"&amp;$CW$4,$AD24:$BA24)),
IF(BJ$3=$DF24+'Model Setup'!$L$7,SUMIF($BH$3:$CE$3,"="&amp;$DF24+'Model Setup'!$L$7,$AD24:$BA24)+'Model Setup'!$L$8*(SUMIF($BH$3:$CE$3,"&lt;"&amp;$DF24,$AD24:$BA24)+SUMIF($BH$3:$CE$3,"&gt;"&amp;$CW$4,$AD24:$BA24)),
IF(BJ$3=$DF24+'Model Setup'!$M$7,SUMIF($BH$3:$CE$3,"="&amp;$DF24+'Model Setup'!$M$7,$AD24:$BA24)+'Model Setup'!$M$8*(SUMIF($BH$3:$CE$3,"&lt;"&amp;$DF24,$AD24:$BA24)+SUMIF($BH$3:$CE$3,"&gt;"&amp;$CW$4,$AD24:$BA24)),
IF(BJ$3=$DF24+'Model Setup'!$N$7,SUMIF($BH$3:$CE$3,"="&amp;$DF24+'Model Setup'!$N$7,$AD24:$BA24)+'Model Setup'!$N$8*(SUMIF($BH$3:$CE$3,"&lt;"&amp;$DF24,$AD24:$BA24)+SUMIF($BH$3:$CE$3,"&gt;"&amp;$CW$4,$AD24:$BA24)),
IF(BJ$3&lt;$CW$4,D24,0))))))))))))))),0)</f>
        <v>0</v>
      </c>
      <c r="BK24" s="47">
        <f>ROUND(IF(OR(BK$3&lt;$DF24,BK$3&gt;$CW$4),0,
IF(BK$3=$DF24+'Model Setup'!$B$7,SUMIF($BH$3:$CE$3,"="&amp;$DF24+'Model Setup'!$B$7,$AD24:$BA24)+'Model Setup'!$B$8*(SUMIF($BH$3:$CE$3,"&lt;"&amp;$DF24,$AD24:$BA24)+SUMIF($BH$3:$CE$3,"&gt;"&amp;$CW$4,$AD24:$BA24)),
IF(BK$3=$DF24+'Model Setup'!$C$7,SUMIF($BH$3:$CE$3,"="&amp;$DF24+'Model Setup'!$C$7,$AD24:$BA24)+'Model Setup'!$C$8*(SUMIF($BH$3:$CE$3,"&lt;"&amp;$DF24,$AD24:$BA24)+SUMIF($BH$3:$CE$3,"&gt;"&amp;$CW$4,$AD24:$BA24)),
IF(BK$3=$DF24+'Model Setup'!$D$7,SUMIF($BH$3:$CE$3,"="&amp;$DF24+'Model Setup'!$D$7,$AD24:$BA24)+'Model Setup'!$D$8*(SUMIF($BH$3:$CE$3,"&lt;"&amp;$DF24,$AD24:$BA24)+SUMIF($BH$3:$CE$3,"&gt;"&amp;$CW$4,$AD24:$BA24)),
IF(BK$3=$DF24+'Model Setup'!$E$7,SUMIF($BH$3:$CE$3,"="&amp;$DF24+'Model Setup'!$E$7,$AD24:$BA24)+'Model Setup'!$E$8*(SUMIF($BH$3:$CE$3,"&lt;"&amp;$DF24,$AD24:$BA24)+SUMIF($BH$3:$CE$3,"&gt;"&amp;$CW$4,$AD24:$BA24)),
IF(BK$3=$DF24+'Model Setup'!$F$7,SUMIF($BH$3:$CE$3,"="&amp;$DF24+'Model Setup'!$F$7,$AD24:$BA24)+'Model Setup'!$F$8*(SUMIF($BH$3:$CE$3,"&lt;"&amp;$DF24,$AD24:$BA24)+SUMIF($BH$3:$CE$3,"&gt;"&amp;$CW$4,$AD24:$BA24)),
IF(BK$3=$DF24+'Model Setup'!$G$7,SUMIF($BH$3:$CE$3,"="&amp;$DF24+'Model Setup'!$G$7,$AD24:$BA24)+'Model Setup'!$G$8*(SUMIF($BH$3:$CE$3,"&lt;"&amp;$DF24,$AD24:$BA24)+SUMIF($BH$3:$CE$3,"&gt;"&amp;$CW$4,$AD24:$BA24)),
IF(BK$3=$DF24+'Model Setup'!$H$7,SUMIF($BH$3:$CE$3,"="&amp;$DF24+'Model Setup'!$H$7,$AD24:$BA24)+'Model Setup'!$H$8*(SUMIF($BH$3:$CE$3,"&lt;"&amp;$DF24,$AD24:$BA24)+SUMIF($BH$3:$CE$3,"&gt;"&amp;$CW$4,$AD24:$BA24)),
IF(BK$3=$DF24+'Model Setup'!$I$7,SUMIF($BH$3:$CE$3,"="&amp;$DF24+'Model Setup'!$I$7,$AD24:$BA24)+'Model Setup'!$I$8*(SUMIF($BH$3:$CE$3,"&lt;"&amp;$DF24,$AD24:$BA24)+SUMIF($BH$3:$CE$3,"&gt;"&amp;$CW$4,$AD24:$BA24)),
IF(BK$3=$DF24+'Model Setup'!$J$7,SUMIF($BH$3:$CE$3,"="&amp;$DF24+'Model Setup'!$J$7,$AD24:$BA24)+'Model Setup'!$J$8*(SUMIF($BH$3:$CE$3,"&lt;"&amp;$DF24,$AD24:$BA24)+SUMIF($BH$3:$CE$3,"&gt;"&amp;$CW$4,$AD24:$BA24)),
IF(BK$3=$DF24+'Model Setup'!$K$7,SUMIF($BH$3:$CE$3,"="&amp;$DF24+'Model Setup'!$K$7,$AD24:$BA24)+'Model Setup'!$K$8*(SUMIF($BH$3:$CE$3,"&lt;"&amp;$DF24,$AD24:$BA24)+SUMIF($BH$3:$CE$3,"&gt;"&amp;$CW$4,$AD24:$BA24)),
IF(BK$3=$DF24+'Model Setup'!$L$7,SUMIF($BH$3:$CE$3,"="&amp;$DF24+'Model Setup'!$L$7,$AD24:$BA24)+'Model Setup'!$L$8*(SUMIF($BH$3:$CE$3,"&lt;"&amp;$DF24,$AD24:$BA24)+SUMIF($BH$3:$CE$3,"&gt;"&amp;$CW$4,$AD24:$BA24)),
IF(BK$3=$DF24+'Model Setup'!$M$7,SUMIF($BH$3:$CE$3,"="&amp;$DF24+'Model Setup'!$M$7,$AD24:$BA24)+'Model Setup'!$M$8*(SUMIF($BH$3:$CE$3,"&lt;"&amp;$DF24,$AD24:$BA24)+SUMIF($BH$3:$CE$3,"&gt;"&amp;$CW$4,$AD24:$BA24)),
IF(BK$3=$DF24+'Model Setup'!$N$7,SUMIF($BH$3:$CE$3,"="&amp;$DF24+'Model Setup'!$N$7,$AD24:$BA24)+'Model Setup'!$N$8*(SUMIF($BH$3:$CE$3,"&lt;"&amp;$DF24,$AD24:$BA24)+SUMIF($BH$3:$CE$3,"&gt;"&amp;$CW$4,$AD24:$BA24)),
IF(BK$3&lt;$CW$4,E24,0))))))))))))))),0)</f>
        <v>0</v>
      </c>
      <c r="BL24" s="47">
        <f>ROUND(IF(OR(BL$3&lt;$DF24,BL$3&gt;$CW$4),0,
IF(BL$3=$DF24+'Model Setup'!$B$7,SUMIF($BH$3:$CE$3,"="&amp;$DF24+'Model Setup'!$B$7,$AD24:$BA24)+'Model Setup'!$B$8*(SUMIF($BH$3:$CE$3,"&lt;"&amp;$DF24,$AD24:$BA24)+SUMIF($BH$3:$CE$3,"&gt;"&amp;$CW$4,$AD24:$BA24)),
IF(BL$3=$DF24+'Model Setup'!$C$7,SUMIF($BH$3:$CE$3,"="&amp;$DF24+'Model Setup'!$C$7,$AD24:$BA24)+'Model Setup'!$C$8*(SUMIF($BH$3:$CE$3,"&lt;"&amp;$DF24,$AD24:$BA24)+SUMIF($BH$3:$CE$3,"&gt;"&amp;$CW$4,$AD24:$BA24)),
IF(BL$3=$DF24+'Model Setup'!$D$7,SUMIF($BH$3:$CE$3,"="&amp;$DF24+'Model Setup'!$D$7,$AD24:$BA24)+'Model Setup'!$D$8*(SUMIF($BH$3:$CE$3,"&lt;"&amp;$DF24,$AD24:$BA24)+SUMIF($BH$3:$CE$3,"&gt;"&amp;$CW$4,$AD24:$BA24)),
IF(BL$3=$DF24+'Model Setup'!$E$7,SUMIF($BH$3:$CE$3,"="&amp;$DF24+'Model Setup'!$E$7,$AD24:$BA24)+'Model Setup'!$E$8*(SUMIF($BH$3:$CE$3,"&lt;"&amp;$DF24,$AD24:$BA24)+SUMIF($BH$3:$CE$3,"&gt;"&amp;$CW$4,$AD24:$BA24)),
IF(BL$3=$DF24+'Model Setup'!$F$7,SUMIF($BH$3:$CE$3,"="&amp;$DF24+'Model Setup'!$F$7,$AD24:$BA24)+'Model Setup'!$F$8*(SUMIF($BH$3:$CE$3,"&lt;"&amp;$DF24,$AD24:$BA24)+SUMIF($BH$3:$CE$3,"&gt;"&amp;$CW$4,$AD24:$BA24)),
IF(BL$3=$DF24+'Model Setup'!$G$7,SUMIF($BH$3:$CE$3,"="&amp;$DF24+'Model Setup'!$G$7,$AD24:$BA24)+'Model Setup'!$G$8*(SUMIF($BH$3:$CE$3,"&lt;"&amp;$DF24,$AD24:$BA24)+SUMIF($BH$3:$CE$3,"&gt;"&amp;$CW$4,$AD24:$BA24)),
IF(BL$3=$DF24+'Model Setup'!$H$7,SUMIF($BH$3:$CE$3,"="&amp;$DF24+'Model Setup'!$H$7,$AD24:$BA24)+'Model Setup'!$H$8*(SUMIF($BH$3:$CE$3,"&lt;"&amp;$DF24,$AD24:$BA24)+SUMIF($BH$3:$CE$3,"&gt;"&amp;$CW$4,$AD24:$BA24)),
IF(BL$3=$DF24+'Model Setup'!$I$7,SUMIF($BH$3:$CE$3,"="&amp;$DF24+'Model Setup'!$I$7,$AD24:$BA24)+'Model Setup'!$I$8*(SUMIF($BH$3:$CE$3,"&lt;"&amp;$DF24,$AD24:$BA24)+SUMIF($BH$3:$CE$3,"&gt;"&amp;$CW$4,$AD24:$BA24)),
IF(BL$3=$DF24+'Model Setup'!$J$7,SUMIF($BH$3:$CE$3,"="&amp;$DF24+'Model Setup'!$J$7,$AD24:$BA24)+'Model Setup'!$J$8*(SUMIF($BH$3:$CE$3,"&lt;"&amp;$DF24,$AD24:$BA24)+SUMIF($BH$3:$CE$3,"&gt;"&amp;$CW$4,$AD24:$BA24)),
IF(BL$3=$DF24+'Model Setup'!$K$7,SUMIF($BH$3:$CE$3,"="&amp;$DF24+'Model Setup'!$K$7,$AD24:$BA24)+'Model Setup'!$K$8*(SUMIF($BH$3:$CE$3,"&lt;"&amp;$DF24,$AD24:$BA24)+SUMIF($BH$3:$CE$3,"&gt;"&amp;$CW$4,$AD24:$BA24)),
IF(BL$3=$DF24+'Model Setup'!$L$7,SUMIF($BH$3:$CE$3,"="&amp;$DF24+'Model Setup'!$L$7,$AD24:$BA24)+'Model Setup'!$L$8*(SUMIF($BH$3:$CE$3,"&lt;"&amp;$DF24,$AD24:$BA24)+SUMIF($BH$3:$CE$3,"&gt;"&amp;$CW$4,$AD24:$BA24)),
IF(BL$3=$DF24+'Model Setup'!$M$7,SUMIF($BH$3:$CE$3,"="&amp;$DF24+'Model Setup'!$M$7,$AD24:$BA24)+'Model Setup'!$M$8*(SUMIF($BH$3:$CE$3,"&lt;"&amp;$DF24,$AD24:$BA24)+SUMIF($BH$3:$CE$3,"&gt;"&amp;$CW$4,$AD24:$BA24)),
IF(BL$3=$DF24+'Model Setup'!$N$7,SUMIF($BH$3:$CE$3,"="&amp;$DF24+'Model Setup'!$N$7,$AD24:$BA24)+'Model Setup'!$N$8*(SUMIF($BH$3:$CE$3,"&lt;"&amp;$DF24,$AD24:$BA24)+SUMIF($BH$3:$CE$3,"&gt;"&amp;$CW$4,$AD24:$BA24)),
IF(BL$3&lt;$CW$4,F24,0))))))))))))))),0)</f>
        <v>0</v>
      </c>
      <c r="BM24" s="47">
        <f>ROUND(IF(OR(BM$3&lt;$DF24,BM$3&gt;$CW$4),0,
IF(BM$3=$DF24+'Model Setup'!$B$7,SUMIF($BH$3:$CE$3,"="&amp;$DF24+'Model Setup'!$B$7,$AD24:$BA24)+'Model Setup'!$B$8*(SUMIF($BH$3:$CE$3,"&lt;"&amp;$DF24,$AD24:$BA24)+SUMIF($BH$3:$CE$3,"&gt;"&amp;$CW$4,$AD24:$BA24)),
IF(BM$3=$DF24+'Model Setup'!$C$7,SUMIF($BH$3:$CE$3,"="&amp;$DF24+'Model Setup'!$C$7,$AD24:$BA24)+'Model Setup'!$C$8*(SUMIF($BH$3:$CE$3,"&lt;"&amp;$DF24,$AD24:$BA24)+SUMIF($BH$3:$CE$3,"&gt;"&amp;$CW$4,$AD24:$BA24)),
IF(BM$3=$DF24+'Model Setup'!$D$7,SUMIF($BH$3:$CE$3,"="&amp;$DF24+'Model Setup'!$D$7,$AD24:$BA24)+'Model Setup'!$D$8*(SUMIF($BH$3:$CE$3,"&lt;"&amp;$DF24,$AD24:$BA24)+SUMIF($BH$3:$CE$3,"&gt;"&amp;$CW$4,$AD24:$BA24)),
IF(BM$3=$DF24+'Model Setup'!$E$7,SUMIF($BH$3:$CE$3,"="&amp;$DF24+'Model Setup'!$E$7,$AD24:$BA24)+'Model Setup'!$E$8*(SUMIF($BH$3:$CE$3,"&lt;"&amp;$DF24,$AD24:$BA24)+SUMIF($BH$3:$CE$3,"&gt;"&amp;$CW$4,$AD24:$BA24)),
IF(BM$3=$DF24+'Model Setup'!$F$7,SUMIF($BH$3:$CE$3,"="&amp;$DF24+'Model Setup'!$F$7,$AD24:$BA24)+'Model Setup'!$F$8*(SUMIF($BH$3:$CE$3,"&lt;"&amp;$DF24,$AD24:$BA24)+SUMIF($BH$3:$CE$3,"&gt;"&amp;$CW$4,$AD24:$BA24)),
IF(BM$3=$DF24+'Model Setup'!$G$7,SUMIF($BH$3:$CE$3,"="&amp;$DF24+'Model Setup'!$G$7,$AD24:$BA24)+'Model Setup'!$G$8*(SUMIF($BH$3:$CE$3,"&lt;"&amp;$DF24,$AD24:$BA24)+SUMIF($BH$3:$CE$3,"&gt;"&amp;$CW$4,$AD24:$BA24)),
IF(BM$3=$DF24+'Model Setup'!$H$7,SUMIF($BH$3:$CE$3,"="&amp;$DF24+'Model Setup'!$H$7,$AD24:$BA24)+'Model Setup'!$H$8*(SUMIF($BH$3:$CE$3,"&lt;"&amp;$DF24,$AD24:$BA24)+SUMIF($BH$3:$CE$3,"&gt;"&amp;$CW$4,$AD24:$BA24)),
IF(BM$3=$DF24+'Model Setup'!$I$7,SUMIF($BH$3:$CE$3,"="&amp;$DF24+'Model Setup'!$I$7,$AD24:$BA24)+'Model Setup'!$I$8*(SUMIF($BH$3:$CE$3,"&lt;"&amp;$DF24,$AD24:$BA24)+SUMIF($BH$3:$CE$3,"&gt;"&amp;$CW$4,$AD24:$BA24)),
IF(BM$3=$DF24+'Model Setup'!$J$7,SUMIF($BH$3:$CE$3,"="&amp;$DF24+'Model Setup'!$J$7,$AD24:$BA24)+'Model Setup'!$J$8*(SUMIF($BH$3:$CE$3,"&lt;"&amp;$DF24,$AD24:$BA24)+SUMIF($BH$3:$CE$3,"&gt;"&amp;$CW$4,$AD24:$BA24)),
IF(BM$3=$DF24+'Model Setup'!$K$7,SUMIF($BH$3:$CE$3,"="&amp;$DF24+'Model Setup'!$K$7,$AD24:$BA24)+'Model Setup'!$K$8*(SUMIF($BH$3:$CE$3,"&lt;"&amp;$DF24,$AD24:$BA24)+SUMIF($BH$3:$CE$3,"&gt;"&amp;$CW$4,$AD24:$BA24)),
IF(BM$3=$DF24+'Model Setup'!$L$7,SUMIF($BH$3:$CE$3,"="&amp;$DF24+'Model Setup'!$L$7,$AD24:$BA24)+'Model Setup'!$L$8*(SUMIF($BH$3:$CE$3,"&lt;"&amp;$DF24,$AD24:$BA24)+SUMIF($BH$3:$CE$3,"&gt;"&amp;$CW$4,$AD24:$BA24)),
IF(BM$3=$DF24+'Model Setup'!$M$7,SUMIF($BH$3:$CE$3,"="&amp;$DF24+'Model Setup'!$M$7,$AD24:$BA24)+'Model Setup'!$M$8*(SUMIF($BH$3:$CE$3,"&lt;"&amp;$DF24,$AD24:$BA24)+SUMIF($BH$3:$CE$3,"&gt;"&amp;$CW$4,$AD24:$BA24)),
IF(BM$3=$DF24+'Model Setup'!$N$7,SUMIF($BH$3:$CE$3,"="&amp;$DF24+'Model Setup'!$N$7,$AD24:$BA24)+'Model Setup'!$N$8*(SUMIF($BH$3:$CE$3,"&lt;"&amp;$DF24,$AD24:$BA24)+SUMIF($BH$3:$CE$3,"&gt;"&amp;$CW$4,$AD24:$BA24)),
IF(BM$3&lt;$CW$4,G24,0))))))))))))))),0)</f>
        <v>41</v>
      </c>
      <c r="BN24" s="47">
        <f>ROUND(IF(OR(BN$3&lt;$DF24,BN$3&gt;$CW$4),0,
IF(BN$3=$DF24+'Model Setup'!$B$7,SUMIF($BH$3:$CE$3,"="&amp;$DF24+'Model Setup'!$B$7,$AD24:$BA24)+'Model Setup'!$B$8*(SUMIF($BH$3:$CE$3,"&lt;"&amp;$DF24,$AD24:$BA24)+SUMIF($BH$3:$CE$3,"&gt;"&amp;$CW$4,$AD24:$BA24)),
IF(BN$3=$DF24+'Model Setup'!$C$7,SUMIF($BH$3:$CE$3,"="&amp;$DF24+'Model Setup'!$C$7,$AD24:$BA24)+'Model Setup'!$C$8*(SUMIF($BH$3:$CE$3,"&lt;"&amp;$DF24,$AD24:$BA24)+SUMIF($BH$3:$CE$3,"&gt;"&amp;$CW$4,$AD24:$BA24)),
IF(BN$3=$DF24+'Model Setup'!$D$7,SUMIF($BH$3:$CE$3,"="&amp;$DF24+'Model Setup'!$D$7,$AD24:$BA24)+'Model Setup'!$D$8*(SUMIF($BH$3:$CE$3,"&lt;"&amp;$DF24,$AD24:$BA24)+SUMIF($BH$3:$CE$3,"&gt;"&amp;$CW$4,$AD24:$BA24)),
IF(BN$3=$DF24+'Model Setup'!$E$7,SUMIF($BH$3:$CE$3,"="&amp;$DF24+'Model Setup'!$E$7,$AD24:$BA24)+'Model Setup'!$E$8*(SUMIF($BH$3:$CE$3,"&lt;"&amp;$DF24,$AD24:$BA24)+SUMIF($BH$3:$CE$3,"&gt;"&amp;$CW$4,$AD24:$BA24)),
IF(BN$3=$DF24+'Model Setup'!$F$7,SUMIF($BH$3:$CE$3,"="&amp;$DF24+'Model Setup'!$F$7,$AD24:$BA24)+'Model Setup'!$F$8*(SUMIF($BH$3:$CE$3,"&lt;"&amp;$DF24,$AD24:$BA24)+SUMIF($BH$3:$CE$3,"&gt;"&amp;$CW$4,$AD24:$BA24)),
IF(BN$3=$DF24+'Model Setup'!$G$7,SUMIF($BH$3:$CE$3,"="&amp;$DF24+'Model Setup'!$G$7,$AD24:$BA24)+'Model Setup'!$G$8*(SUMIF($BH$3:$CE$3,"&lt;"&amp;$DF24,$AD24:$BA24)+SUMIF($BH$3:$CE$3,"&gt;"&amp;$CW$4,$AD24:$BA24)),
IF(BN$3=$DF24+'Model Setup'!$H$7,SUMIF($BH$3:$CE$3,"="&amp;$DF24+'Model Setup'!$H$7,$AD24:$BA24)+'Model Setup'!$H$8*(SUMIF($BH$3:$CE$3,"&lt;"&amp;$DF24,$AD24:$BA24)+SUMIF($BH$3:$CE$3,"&gt;"&amp;$CW$4,$AD24:$BA24)),
IF(BN$3=$DF24+'Model Setup'!$I$7,SUMIF($BH$3:$CE$3,"="&amp;$DF24+'Model Setup'!$I$7,$AD24:$BA24)+'Model Setup'!$I$8*(SUMIF($BH$3:$CE$3,"&lt;"&amp;$DF24,$AD24:$BA24)+SUMIF($BH$3:$CE$3,"&gt;"&amp;$CW$4,$AD24:$BA24)),
IF(BN$3=$DF24+'Model Setup'!$J$7,SUMIF($BH$3:$CE$3,"="&amp;$DF24+'Model Setup'!$J$7,$AD24:$BA24)+'Model Setup'!$J$8*(SUMIF($BH$3:$CE$3,"&lt;"&amp;$DF24,$AD24:$BA24)+SUMIF($BH$3:$CE$3,"&gt;"&amp;$CW$4,$AD24:$BA24)),
IF(BN$3=$DF24+'Model Setup'!$K$7,SUMIF($BH$3:$CE$3,"="&amp;$DF24+'Model Setup'!$K$7,$AD24:$BA24)+'Model Setup'!$K$8*(SUMIF($BH$3:$CE$3,"&lt;"&amp;$DF24,$AD24:$BA24)+SUMIF($BH$3:$CE$3,"&gt;"&amp;$CW$4,$AD24:$BA24)),
IF(BN$3=$DF24+'Model Setup'!$L$7,SUMIF($BH$3:$CE$3,"="&amp;$DF24+'Model Setup'!$L$7,$AD24:$BA24)+'Model Setup'!$L$8*(SUMIF($BH$3:$CE$3,"&lt;"&amp;$DF24,$AD24:$BA24)+SUMIF($BH$3:$CE$3,"&gt;"&amp;$CW$4,$AD24:$BA24)),
IF(BN$3=$DF24+'Model Setup'!$M$7,SUMIF($BH$3:$CE$3,"="&amp;$DF24+'Model Setup'!$M$7,$AD24:$BA24)+'Model Setup'!$M$8*(SUMIF($BH$3:$CE$3,"&lt;"&amp;$DF24,$AD24:$BA24)+SUMIF($BH$3:$CE$3,"&gt;"&amp;$CW$4,$AD24:$BA24)),
IF(BN$3=$DF24+'Model Setup'!$N$7,SUMIF($BH$3:$CE$3,"="&amp;$DF24+'Model Setup'!$N$7,$AD24:$BA24)+'Model Setup'!$N$8*(SUMIF($BH$3:$CE$3,"&lt;"&amp;$DF24,$AD24:$BA24)+SUMIF($BH$3:$CE$3,"&gt;"&amp;$CW$4,$AD24:$BA24)),
IF(BN$3&lt;$CW$4,H24,0))))))))))))))),0)</f>
        <v>84</v>
      </c>
      <c r="BO24" s="47">
        <f>ROUND(IF(OR(BO$3&lt;$DF24,BO$3&gt;$CW$4),0,
IF(BO$3=$DF24+'Model Setup'!$B$7,SUMIF($BH$3:$CE$3,"="&amp;$DF24+'Model Setup'!$B$7,$AD24:$BA24)+'Model Setup'!$B$8*(SUMIF($BH$3:$CE$3,"&lt;"&amp;$DF24,$AD24:$BA24)+SUMIF($BH$3:$CE$3,"&gt;"&amp;$CW$4,$AD24:$BA24)),
IF(BO$3=$DF24+'Model Setup'!$C$7,SUMIF($BH$3:$CE$3,"="&amp;$DF24+'Model Setup'!$C$7,$AD24:$BA24)+'Model Setup'!$C$8*(SUMIF($BH$3:$CE$3,"&lt;"&amp;$DF24,$AD24:$BA24)+SUMIF($BH$3:$CE$3,"&gt;"&amp;$CW$4,$AD24:$BA24)),
IF(BO$3=$DF24+'Model Setup'!$D$7,SUMIF($BH$3:$CE$3,"="&amp;$DF24+'Model Setup'!$D$7,$AD24:$BA24)+'Model Setup'!$D$8*(SUMIF($BH$3:$CE$3,"&lt;"&amp;$DF24,$AD24:$BA24)+SUMIF($BH$3:$CE$3,"&gt;"&amp;$CW$4,$AD24:$BA24)),
IF(BO$3=$DF24+'Model Setup'!$E$7,SUMIF($BH$3:$CE$3,"="&amp;$DF24+'Model Setup'!$E$7,$AD24:$BA24)+'Model Setup'!$E$8*(SUMIF($BH$3:$CE$3,"&lt;"&amp;$DF24,$AD24:$BA24)+SUMIF($BH$3:$CE$3,"&gt;"&amp;$CW$4,$AD24:$BA24)),
IF(BO$3=$DF24+'Model Setup'!$F$7,SUMIF($BH$3:$CE$3,"="&amp;$DF24+'Model Setup'!$F$7,$AD24:$BA24)+'Model Setup'!$F$8*(SUMIF($BH$3:$CE$3,"&lt;"&amp;$DF24,$AD24:$BA24)+SUMIF($BH$3:$CE$3,"&gt;"&amp;$CW$4,$AD24:$BA24)),
IF(BO$3=$DF24+'Model Setup'!$G$7,SUMIF($BH$3:$CE$3,"="&amp;$DF24+'Model Setup'!$G$7,$AD24:$BA24)+'Model Setup'!$G$8*(SUMIF($BH$3:$CE$3,"&lt;"&amp;$DF24,$AD24:$BA24)+SUMIF($BH$3:$CE$3,"&gt;"&amp;$CW$4,$AD24:$BA24)),
IF(BO$3=$DF24+'Model Setup'!$H$7,SUMIF($BH$3:$CE$3,"="&amp;$DF24+'Model Setup'!$H$7,$AD24:$BA24)+'Model Setup'!$H$8*(SUMIF($BH$3:$CE$3,"&lt;"&amp;$DF24,$AD24:$BA24)+SUMIF($BH$3:$CE$3,"&gt;"&amp;$CW$4,$AD24:$BA24)),
IF(BO$3=$DF24+'Model Setup'!$I$7,SUMIF($BH$3:$CE$3,"="&amp;$DF24+'Model Setup'!$I$7,$AD24:$BA24)+'Model Setup'!$I$8*(SUMIF($BH$3:$CE$3,"&lt;"&amp;$DF24,$AD24:$BA24)+SUMIF($BH$3:$CE$3,"&gt;"&amp;$CW$4,$AD24:$BA24)),
IF(BO$3=$DF24+'Model Setup'!$J$7,SUMIF($BH$3:$CE$3,"="&amp;$DF24+'Model Setup'!$J$7,$AD24:$BA24)+'Model Setup'!$J$8*(SUMIF($BH$3:$CE$3,"&lt;"&amp;$DF24,$AD24:$BA24)+SUMIF($BH$3:$CE$3,"&gt;"&amp;$CW$4,$AD24:$BA24)),
IF(BO$3=$DF24+'Model Setup'!$K$7,SUMIF($BH$3:$CE$3,"="&amp;$DF24+'Model Setup'!$K$7,$AD24:$BA24)+'Model Setup'!$K$8*(SUMIF($BH$3:$CE$3,"&lt;"&amp;$DF24,$AD24:$BA24)+SUMIF($BH$3:$CE$3,"&gt;"&amp;$CW$4,$AD24:$BA24)),
IF(BO$3=$DF24+'Model Setup'!$L$7,SUMIF($BH$3:$CE$3,"="&amp;$DF24+'Model Setup'!$L$7,$AD24:$BA24)+'Model Setup'!$L$8*(SUMIF($BH$3:$CE$3,"&lt;"&amp;$DF24,$AD24:$BA24)+SUMIF($BH$3:$CE$3,"&gt;"&amp;$CW$4,$AD24:$BA24)),
IF(BO$3=$DF24+'Model Setup'!$M$7,SUMIF($BH$3:$CE$3,"="&amp;$DF24+'Model Setup'!$M$7,$AD24:$BA24)+'Model Setup'!$M$8*(SUMIF($BH$3:$CE$3,"&lt;"&amp;$DF24,$AD24:$BA24)+SUMIF($BH$3:$CE$3,"&gt;"&amp;$CW$4,$AD24:$BA24)),
IF(BO$3=$DF24+'Model Setup'!$N$7,SUMIF($BH$3:$CE$3,"="&amp;$DF24+'Model Setup'!$N$7,$AD24:$BA24)+'Model Setup'!$N$8*(SUMIF($BH$3:$CE$3,"&lt;"&amp;$DF24,$AD24:$BA24)+SUMIF($BH$3:$CE$3,"&gt;"&amp;$CW$4,$AD24:$BA24)),
IF(BO$3&lt;$CW$4,I24,0))))))))))))))),0)</f>
        <v>90</v>
      </c>
      <c r="BP24" s="47">
        <f>ROUND(IF(OR(BP$3&lt;$DF24,BP$3&gt;$CW$4),0,
IF(BP$3=$DF24+'Model Setup'!$B$7,SUMIF($BH$3:$CE$3,"="&amp;$DF24+'Model Setup'!$B$7,$AD24:$BA24)+'Model Setup'!$B$8*(SUMIF($BH$3:$CE$3,"&lt;"&amp;$DF24,$AD24:$BA24)+SUMIF($BH$3:$CE$3,"&gt;"&amp;$CW$4,$AD24:$BA24)),
IF(BP$3=$DF24+'Model Setup'!$C$7,SUMIF($BH$3:$CE$3,"="&amp;$DF24+'Model Setup'!$C$7,$AD24:$BA24)+'Model Setup'!$C$8*(SUMIF($BH$3:$CE$3,"&lt;"&amp;$DF24,$AD24:$BA24)+SUMIF($BH$3:$CE$3,"&gt;"&amp;$CW$4,$AD24:$BA24)),
IF(BP$3=$DF24+'Model Setup'!$D$7,SUMIF($BH$3:$CE$3,"="&amp;$DF24+'Model Setup'!$D$7,$AD24:$BA24)+'Model Setup'!$D$8*(SUMIF($BH$3:$CE$3,"&lt;"&amp;$DF24,$AD24:$BA24)+SUMIF($BH$3:$CE$3,"&gt;"&amp;$CW$4,$AD24:$BA24)),
IF(BP$3=$DF24+'Model Setup'!$E$7,SUMIF($BH$3:$CE$3,"="&amp;$DF24+'Model Setup'!$E$7,$AD24:$BA24)+'Model Setup'!$E$8*(SUMIF($BH$3:$CE$3,"&lt;"&amp;$DF24,$AD24:$BA24)+SUMIF($BH$3:$CE$3,"&gt;"&amp;$CW$4,$AD24:$BA24)),
IF(BP$3=$DF24+'Model Setup'!$F$7,SUMIF($BH$3:$CE$3,"="&amp;$DF24+'Model Setup'!$F$7,$AD24:$BA24)+'Model Setup'!$F$8*(SUMIF($BH$3:$CE$3,"&lt;"&amp;$DF24,$AD24:$BA24)+SUMIF($BH$3:$CE$3,"&gt;"&amp;$CW$4,$AD24:$BA24)),
IF(BP$3=$DF24+'Model Setup'!$G$7,SUMIF($BH$3:$CE$3,"="&amp;$DF24+'Model Setup'!$G$7,$AD24:$BA24)+'Model Setup'!$G$8*(SUMIF($BH$3:$CE$3,"&lt;"&amp;$DF24,$AD24:$BA24)+SUMIF($BH$3:$CE$3,"&gt;"&amp;$CW$4,$AD24:$BA24)),
IF(BP$3=$DF24+'Model Setup'!$H$7,SUMIF($BH$3:$CE$3,"="&amp;$DF24+'Model Setup'!$H$7,$AD24:$BA24)+'Model Setup'!$H$8*(SUMIF($BH$3:$CE$3,"&lt;"&amp;$DF24,$AD24:$BA24)+SUMIF($BH$3:$CE$3,"&gt;"&amp;$CW$4,$AD24:$BA24)),
IF(BP$3=$DF24+'Model Setup'!$I$7,SUMIF($BH$3:$CE$3,"="&amp;$DF24+'Model Setup'!$I$7,$AD24:$BA24)+'Model Setup'!$I$8*(SUMIF($BH$3:$CE$3,"&lt;"&amp;$DF24,$AD24:$BA24)+SUMIF($BH$3:$CE$3,"&gt;"&amp;$CW$4,$AD24:$BA24)),
IF(BP$3=$DF24+'Model Setup'!$J$7,SUMIF($BH$3:$CE$3,"="&amp;$DF24+'Model Setup'!$J$7,$AD24:$BA24)+'Model Setup'!$J$8*(SUMIF($BH$3:$CE$3,"&lt;"&amp;$DF24,$AD24:$BA24)+SUMIF($BH$3:$CE$3,"&gt;"&amp;$CW$4,$AD24:$BA24)),
IF(BP$3=$DF24+'Model Setup'!$K$7,SUMIF($BH$3:$CE$3,"="&amp;$DF24+'Model Setup'!$K$7,$AD24:$BA24)+'Model Setup'!$K$8*(SUMIF($BH$3:$CE$3,"&lt;"&amp;$DF24,$AD24:$BA24)+SUMIF($BH$3:$CE$3,"&gt;"&amp;$CW$4,$AD24:$BA24)),
IF(BP$3=$DF24+'Model Setup'!$L$7,SUMIF($BH$3:$CE$3,"="&amp;$DF24+'Model Setup'!$L$7,$AD24:$BA24)+'Model Setup'!$L$8*(SUMIF($BH$3:$CE$3,"&lt;"&amp;$DF24,$AD24:$BA24)+SUMIF($BH$3:$CE$3,"&gt;"&amp;$CW$4,$AD24:$BA24)),
IF(BP$3=$DF24+'Model Setup'!$M$7,SUMIF($BH$3:$CE$3,"="&amp;$DF24+'Model Setup'!$M$7,$AD24:$BA24)+'Model Setup'!$M$8*(SUMIF($BH$3:$CE$3,"&lt;"&amp;$DF24,$AD24:$BA24)+SUMIF($BH$3:$CE$3,"&gt;"&amp;$CW$4,$AD24:$BA24)),
IF(BP$3=$DF24+'Model Setup'!$N$7,SUMIF($BH$3:$CE$3,"="&amp;$DF24+'Model Setup'!$N$7,$AD24:$BA24)+'Model Setup'!$N$8*(SUMIF($BH$3:$CE$3,"&lt;"&amp;$DF24,$AD24:$BA24)+SUMIF($BH$3:$CE$3,"&gt;"&amp;$CW$4,$AD24:$BA24)),
IF(BP$3&lt;$CW$4,J24,0))))))))))))))),0)</f>
        <v>110</v>
      </c>
      <c r="BQ24" s="47">
        <f>ROUND(IF(OR(BQ$3&lt;$DF24,BQ$3&gt;$CW$4),0,
IF(BQ$3=$DF24+'Model Setup'!$B$7,SUMIF($BH$3:$CE$3,"="&amp;$DF24+'Model Setup'!$B$7,$AD24:$BA24)+'Model Setup'!$B$8*(SUMIF($BH$3:$CE$3,"&lt;"&amp;$DF24,$AD24:$BA24)+SUMIF($BH$3:$CE$3,"&gt;"&amp;$CW$4,$AD24:$BA24)),
IF(BQ$3=$DF24+'Model Setup'!$C$7,SUMIF($BH$3:$CE$3,"="&amp;$DF24+'Model Setup'!$C$7,$AD24:$BA24)+'Model Setup'!$C$8*(SUMIF($BH$3:$CE$3,"&lt;"&amp;$DF24,$AD24:$BA24)+SUMIF($BH$3:$CE$3,"&gt;"&amp;$CW$4,$AD24:$BA24)),
IF(BQ$3=$DF24+'Model Setup'!$D$7,SUMIF($BH$3:$CE$3,"="&amp;$DF24+'Model Setup'!$D$7,$AD24:$BA24)+'Model Setup'!$D$8*(SUMIF($BH$3:$CE$3,"&lt;"&amp;$DF24,$AD24:$BA24)+SUMIF($BH$3:$CE$3,"&gt;"&amp;$CW$4,$AD24:$BA24)),
IF(BQ$3=$DF24+'Model Setup'!$E$7,SUMIF($BH$3:$CE$3,"="&amp;$DF24+'Model Setup'!$E$7,$AD24:$BA24)+'Model Setup'!$E$8*(SUMIF($BH$3:$CE$3,"&lt;"&amp;$DF24,$AD24:$BA24)+SUMIF($BH$3:$CE$3,"&gt;"&amp;$CW$4,$AD24:$BA24)),
IF(BQ$3=$DF24+'Model Setup'!$F$7,SUMIF($BH$3:$CE$3,"="&amp;$DF24+'Model Setup'!$F$7,$AD24:$BA24)+'Model Setup'!$F$8*(SUMIF($BH$3:$CE$3,"&lt;"&amp;$DF24,$AD24:$BA24)+SUMIF($BH$3:$CE$3,"&gt;"&amp;$CW$4,$AD24:$BA24)),
IF(BQ$3=$DF24+'Model Setup'!$G$7,SUMIF($BH$3:$CE$3,"="&amp;$DF24+'Model Setup'!$G$7,$AD24:$BA24)+'Model Setup'!$G$8*(SUMIF($BH$3:$CE$3,"&lt;"&amp;$DF24,$AD24:$BA24)+SUMIF($BH$3:$CE$3,"&gt;"&amp;$CW$4,$AD24:$BA24)),
IF(BQ$3=$DF24+'Model Setup'!$H$7,SUMIF($BH$3:$CE$3,"="&amp;$DF24+'Model Setup'!$H$7,$AD24:$BA24)+'Model Setup'!$H$8*(SUMIF($BH$3:$CE$3,"&lt;"&amp;$DF24,$AD24:$BA24)+SUMIF($BH$3:$CE$3,"&gt;"&amp;$CW$4,$AD24:$BA24)),
IF(BQ$3=$DF24+'Model Setup'!$I$7,SUMIF($BH$3:$CE$3,"="&amp;$DF24+'Model Setup'!$I$7,$AD24:$BA24)+'Model Setup'!$I$8*(SUMIF($BH$3:$CE$3,"&lt;"&amp;$DF24,$AD24:$BA24)+SUMIF($BH$3:$CE$3,"&gt;"&amp;$CW$4,$AD24:$BA24)),
IF(BQ$3=$DF24+'Model Setup'!$J$7,SUMIF($BH$3:$CE$3,"="&amp;$DF24+'Model Setup'!$J$7,$AD24:$BA24)+'Model Setup'!$J$8*(SUMIF($BH$3:$CE$3,"&lt;"&amp;$DF24,$AD24:$BA24)+SUMIF($BH$3:$CE$3,"&gt;"&amp;$CW$4,$AD24:$BA24)),
IF(BQ$3=$DF24+'Model Setup'!$K$7,SUMIF($BH$3:$CE$3,"="&amp;$DF24+'Model Setup'!$K$7,$AD24:$BA24)+'Model Setup'!$K$8*(SUMIF($BH$3:$CE$3,"&lt;"&amp;$DF24,$AD24:$BA24)+SUMIF($BH$3:$CE$3,"&gt;"&amp;$CW$4,$AD24:$BA24)),
IF(BQ$3=$DF24+'Model Setup'!$L$7,SUMIF($BH$3:$CE$3,"="&amp;$DF24+'Model Setup'!$L$7,$AD24:$BA24)+'Model Setup'!$L$8*(SUMIF($BH$3:$CE$3,"&lt;"&amp;$DF24,$AD24:$BA24)+SUMIF($BH$3:$CE$3,"&gt;"&amp;$CW$4,$AD24:$BA24)),
IF(BQ$3=$DF24+'Model Setup'!$M$7,SUMIF($BH$3:$CE$3,"="&amp;$DF24+'Model Setup'!$M$7,$AD24:$BA24)+'Model Setup'!$M$8*(SUMIF($BH$3:$CE$3,"&lt;"&amp;$DF24,$AD24:$BA24)+SUMIF($BH$3:$CE$3,"&gt;"&amp;$CW$4,$AD24:$BA24)),
IF(BQ$3=$DF24+'Model Setup'!$N$7,SUMIF($BH$3:$CE$3,"="&amp;$DF24+'Model Setup'!$N$7,$AD24:$BA24)+'Model Setup'!$N$8*(SUMIF($BH$3:$CE$3,"&lt;"&amp;$DF24,$AD24:$BA24)+SUMIF($BH$3:$CE$3,"&gt;"&amp;$CW$4,$AD24:$BA24)),
IF(BQ$3&lt;$CW$4,K24,0))))))))))))))),0)</f>
        <v>95</v>
      </c>
      <c r="BR24" s="47">
        <f>ROUND(IF(OR(BR$3&lt;$DF24,BR$3&gt;$CW$4),0,
IF(BR$3=$DF24+'Model Setup'!$B$7,SUMIF($BH$3:$CE$3,"="&amp;$DF24+'Model Setup'!$B$7,$AD24:$BA24)+'Model Setup'!$B$8*(SUMIF($BH$3:$CE$3,"&lt;"&amp;$DF24,$AD24:$BA24)+SUMIF($BH$3:$CE$3,"&gt;"&amp;$CW$4,$AD24:$BA24)),
IF(BR$3=$DF24+'Model Setup'!$C$7,SUMIF($BH$3:$CE$3,"="&amp;$DF24+'Model Setup'!$C$7,$AD24:$BA24)+'Model Setup'!$C$8*(SUMIF($BH$3:$CE$3,"&lt;"&amp;$DF24,$AD24:$BA24)+SUMIF($BH$3:$CE$3,"&gt;"&amp;$CW$4,$AD24:$BA24)),
IF(BR$3=$DF24+'Model Setup'!$D$7,SUMIF($BH$3:$CE$3,"="&amp;$DF24+'Model Setup'!$D$7,$AD24:$BA24)+'Model Setup'!$D$8*(SUMIF($BH$3:$CE$3,"&lt;"&amp;$DF24,$AD24:$BA24)+SUMIF($BH$3:$CE$3,"&gt;"&amp;$CW$4,$AD24:$BA24)),
IF(BR$3=$DF24+'Model Setup'!$E$7,SUMIF($BH$3:$CE$3,"="&amp;$DF24+'Model Setup'!$E$7,$AD24:$BA24)+'Model Setup'!$E$8*(SUMIF($BH$3:$CE$3,"&lt;"&amp;$DF24,$AD24:$BA24)+SUMIF($BH$3:$CE$3,"&gt;"&amp;$CW$4,$AD24:$BA24)),
IF(BR$3=$DF24+'Model Setup'!$F$7,SUMIF($BH$3:$CE$3,"="&amp;$DF24+'Model Setup'!$F$7,$AD24:$BA24)+'Model Setup'!$F$8*(SUMIF($BH$3:$CE$3,"&lt;"&amp;$DF24,$AD24:$BA24)+SUMIF($BH$3:$CE$3,"&gt;"&amp;$CW$4,$AD24:$BA24)),
IF(BR$3=$DF24+'Model Setup'!$G$7,SUMIF($BH$3:$CE$3,"="&amp;$DF24+'Model Setup'!$G$7,$AD24:$BA24)+'Model Setup'!$G$8*(SUMIF($BH$3:$CE$3,"&lt;"&amp;$DF24,$AD24:$BA24)+SUMIF($BH$3:$CE$3,"&gt;"&amp;$CW$4,$AD24:$BA24)),
IF(BR$3=$DF24+'Model Setup'!$H$7,SUMIF($BH$3:$CE$3,"="&amp;$DF24+'Model Setup'!$H$7,$AD24:$BA24)+'Model Setup'!$H$8*(SUMIF($BH$3:$CE$3,"&lt;"&amp;$DF24,$AD24:$BA24)+SUMIF($BH$3:$CE$3,"&gt;"&amp;$CW$4,$AD24:$BA24)),
IF(BR$3=$DF24+'Model Setup'!$I$7,SUMIF($BH$3:$CE$3,"="&amp;$DF24+'Model Setup'!$I$7,$AD24:$BA24)+'Model Setup'!$I$8*(SUMIF($BH$3:$CE$3,"&lt;"&amp;$DF24,$AD24:$BA24)+SUMIF($BH$3:$CE$3,"&gt;"&amp;$CW$4,$AD24:$BA24)),
IF(BR$3=$DF24+'Model Setup'!$J$7,SUMIF($BH$3:$CE$3,"="&amp;$DF24+'Model Setup'!$J$7,$AD24:$BA24)+'Model Setup'!$J$8*(SUMIF($BH$3:$CE$3,"&lt;"&amp;$DF24,$AD24:$BA24)+SUMIF($BH$3:$CE$3,"&gt;"&amp;$CW$4,$AD24:$BA24)),
IF(BR$3=$DF24+'Model Setup'!$K$7,SUMIF($BH$3:$CE$3,"="&amp;$DF24+'Model Setup'!$K$7,$AD24:$BA24)+'Model Setup'!$K$8*(SUMIF($BH$3:$CE$3,"&lt;"&amp;$DF24,$AD24:$BA24)+SUMIF($BH$3:$CE$3,"&gt;"&amp;$CW$4,$AD24:$BA24)),
IF(BR$3=$DF24+'Model Setup'!$L$7,SUMIF($BH$3:$CE$3,"="&amp;$DF24+'Model Setup'!$L$7,$AD24:$BA24)+'Model Setup'!$L$8*(SUMIF($BH$3:$CE$3,"&lt;"&amp;$DF24,$AD24:$BA24)+SUMIF($BH$3:$CE$3,"&gt;"&amp;$CW$4,$AD24:$BA24)),
IF(BR$3=$DF24+'Model Setup'!$M$7,SUMIF($BH$3:$CE$3,"="&amp;$DF24+'Model Setup'!$M$7,$AD24:$BA24)+'Model Setup'!$M$8*(SUMIF($BH$3:$CE$3,"&lt;"&amp;$DF24,$AD24:$BA24)+SUMIF($BH$3:$CE$3,"&gt;"&amp;$CW$4,$AD24:$BA24)),
IF(BR$3=$DF24+'Model Setup'!$N$7,SUMIF($BH$3:$CE$3,"="&amp;$DF24+'Model Setup'!$N$7,$AD24:$BA24)+'Model Setup'!$N$8*(SUMIF($BH$3:$CE$3,"&lt;"&amp;$DF24,$AD24:$BA24)+SUMIF($BH$3:$CE$3,"&gt;"&amp;$CW$4,$AD24:$BA24)),
IF(BR$3&lt;$CW$4,L24,0))))))))))))))),0)</f>
        <v>81</v>
      </c>
      <c r="BS24" s="47">
        <f>ROUND(IF(OR(BS$3&lt;$DF24,BS$3&gt;$CW$4),0,
IF(BS$3=$DF24+'Model Setup'!$B$7,SUMIF($BH$3:$CE$3,"="&amp;$DF24+'Model Setup'!$B$7,$AD24:$BA24)+'Model Setup'!$B$8*(SUMIF($BH$3:$CE$3,"&lt;"&amp;$DF24,$AD24:$BA24)+SUMIF($BH$3:$CE$3,"&gt;"&amp;$CW$4,$AD24:$BA24)),
IF(BS$3=$DF24+'Model Setup'!$C$7,SUMIF($BH$3:$CE$3,"="&amp;$DF24+'Model Setup'!$C$7,$AD24:$BA24)+'Model Setup'!$C$8*(SUMIF($BH$3:$CE$3,"&lt;"&amp;$DF24,$AD24:$BA24)+SUMIF($BH$3:$CE$3,"&gt;"&amp;$CW$4,$AD24:$BA24)),
IF(BS$3=$DF24+'Model Setup'!$D$7,SUMIF($BH$3:$CE$3,"="&amp;$DF24+'Model Setup'!$D$7,$AD24:$BA24)+'Model Setup'!$D$8*(SUMIF($BH$3:$CE$3,"&lt;"&amp;$DF24,$AD24:$BA24)+SUMIF($BH$3:$CE$3,"&gt;"&amp;$CW$4,$AD24:$BA24)),
IF(BS$3=$DF24+'Model Setup'!$E$7,SUMIF($BH$3:$CE$3,"="&amp;$DF24+'Model Setup'!$E$7,$AD24:$BA24)+'Model Setup'!$E$8*(SUMIF($BH$3:$CE$3,"&lt;"&amp;$DF24,$AD24:$BA24)+SUMIF($BH$3:$CE$3,"&gt;"&amp;$CW$4,$AD24:$BA24)),
IF(BS$3=$DF24+'Model Setup'!$F$7,SUMIF($BH$3:$CE$3,"="&amp;$DF24+'Model Setup'!$F$7,$AD24:$BA24)+'Model Setup'!$F$8*(SUMIF($BH$3:$CE$3,"&lt;"&amp;$DF24,$AD24:$BA24)+SUMIF($BH$3:$CE$3,"&gt;"&amp;$CW$4,$AD24:$BA24)),
IF(BS$3=$DF24+'Model Setup'!$G$7,SUMIF($BH$3:$CE$3,"="&amp;$DF24+'Model Setup'!$G$7,$AD24:$BA24)+'Model Setup'!$G$8*(SUMIF($BH$3:$CE$3,"&lt;"&amp;$DF24,$AD24:$BA24)+SUMIF($BH$3:$CE$3,"&gt;"&amp;$CW$4,$AD24:$BA24)),
IF(BS$3=$DF24+'Model Setup'!$H$7,SUMIF($BH$3:$CE$3,"="&amp;$DF24+'Model Setup'!$H$7,$AD24:$BA24)+'Model Setup'!$H$8*(SUMIF($BH$3:$CE$3,"&lt;"&amp;$DF24,$AD24:$BA24)+SUMIF($BH$3:$CE$3,"&gt;"&amp;$CW$4,$AD24:$BA24)),
IF(BS$3=$DF24+'Model Setup'!$I$7,SUMIF($BH$3:$CE$3,"="&amp;$DF24+'Model Setup'!$I$7,$AD24:$BA24)+'Model Setup'!$I$8*(SUMIF($BH$3:$CE$3,"&lt;"&amp;$DF24,$AD24:$BA24)+SUMIF($BH$3:$CE$3,"&gt;"&amp;$CW$4,$AD24:$BA24)),
IF(BS$3=$DF24+'Model Setup'!$J$7,SUMIF($BH$3:$CE$3,"="&amp;$DF24+'Model Setup'!$J$7,$AD24:$BA24)+'Model Setup'!$J$8*(SUMIF($BH$3:$CE$3,"&lt;"&amp;$DF24,$AD24:$BA24)+SUMIF($BH$3:$CE$3,"&gt;"&amp;$CW$4,$AD24:$BA24)),
IF(BS$3=$DF24+'Model Setup'!$K$7,SUMIF($BH$3:$CE$3,"="&amp;$DF24+'Model Setup'!$K$7,$AD24:$BA24)+'Model Setup'!$K$8*(SUMIF($BH$3:$CE$3,"&lt;"&amp;$DF24,$AD24:$BA24)+SUMIF($BH$3:$CE$3,"&gt;"&amp;$CW$4,$AD24:$BA24)),
IF(BS$3=$DF24+'Model Setup'!$L$7,SUMIF($BH$3:$CE$3,"="&amp;$DF24+'Model Setup'!$L$7,$AD24:$BA24)+'Model Setup'!$L$8*(SUMIF($BH$3:$CE$3,"&lt;"&amp;$DF24,$AD24:$BA24)+SUMIF($BH$3:$CE$3,"&gt;"&amp;$CW$4,$AD24:$BA24)),
IF(BS$3=$DF24+'Model Setup'!$M$7,SUMIF($BH$3:$CE$3,"="&amp;$DF24+'Model Setup'!$M$7,$AD24:$BA24)+'Model Setup'!$M$8*(SUMIF($BH$3:$CE$3,"&lt;"&amp;$DF24,$AD24:$BA24)+SUMIF($BH$3:$CE$3,"&gt;"&amp;$CW$4,$AD24:$BA24)),
IF(BS$3=$DF24+'Model Setup'!$N$7,SUMIF($BH$3:$CE$3,"="&amp;$DF24+'Model Setup'!$N$7,$AD24:$BA24)+'Model Setup'!$N$8*(SUMIF($BH$3:$CE$3,"&lt;"&amp;$DF24,$AD24:$BA24)+SUMIF($BH$3:$CE$3,"&gt;"&amp;$CW$4,$AD24:$BA24)),
IF(BS$3&lt;$CW$4,M24,0))))))))))))))),0)</f>
        <v>65</v>
      </c>
      <c r="BT24" s="47">
        <f>ROUND(IF(OR(BT$3&lt;$DF24,BT$3&gt;$CW$4),0,
IF(BT$3=$DF24+'Model Setup'!$B$7,SUMIF($BH$3:$CE$3,"="&amp;$DF24+'Model Setup'!$B$7,$AD24:$BA24)+'Model Setup'!$B$8*(SUMIF($BH$3:$CE$3,"&lt;"&amp;$DF24,$AD24:$BA24)+SUMIF($BH$3:$CE$3,"&gt;"&amp;$CW$4,$AD24:$BA24)),
IF(BT$3=$DF24+'Model Setup'!$C$7,SUMIF($BH$3:$CE$3,"="&amp;$DF24+'Model Setup'!$C$7,$AD24:$BA24)+'Model Setup'!$C$8*(SUMIF($BH$3:$CE$3,"&lt;"&amp;$DF24,$AD24:$BA24)+SUMIF($BH$3:$CE$3,"&gt;"&amp;$CW$4,$AD24:$BA24)),
IF(BT$3=$DF24+'Model Setup'!$D$7,SUMIF($BH$3:$CE$3,"="&amp;$DF24+'Model Setup'!$D$7,$AD24:$BA24)+'Model Setup'!$D$8*(SUMIF($BH$3:$CE$3,"&lt;"&amp;$DF24,$AD24:$BA24)+SUMIF($BH$3:$CE$3,"&gt;"&amp;$CW$4,$AD24:$BA24)),
IF(BT$3=$DF24+'Model Setup'!$E$7,SUMIF($BH$3:$CE$3,"="&amp;$DF24+'Model Setup'!$E$7,$AD24:$BA24)+'Model Setup'!$E$8*(SUMIF($BH$3:$CE$3,"&lt;"&amp;$DF24,$AD24:$BA24)+SUMIF($BH$3:$CE$3,"&gt;"&amp;$CW$4,$AD24:$BA24)),
IF(BT$3=$DF24+'Model Setup'!$F$7,SUMIF($BH$3:$CE$3,"="&amp;$DF24+'Model Setup'!$F$7,$AD24:$BA24)+'Model Setup'!$F$8*(SUMIF($BH$3:$CE$3,"&lt;"&amp;$DF24,$AD24:$BA24)+SUMIF($BH$3:$CE$3,"&gt;"&amp;$CW$4,$AD24:$BA24)),
IF(BT$3=$DF24+'Model Setup'!$G$7,SUMIF($BH$3:$CE$3,"="&amp;$DF24+'Model Setup'!$G$7,$AD24:$BA24)+'Model Setup'!$G$8*(SUMIF($BH$3:$CE$3,"&lt;"&amp;$DF24,$AD24:$BA24)+SUMIF($BH$3:$CE$3,"&gt;"&amp;$CW$4,$AD24:$BA24)),
IF(BT$3=$DF24+'Model Setup'!$H$7,SUMIF($BH$3:$CE$3,"="&amp;$DF24+'Model Setup'!$H$7,$AD24:$BA24)+'Model Setup'!$H$8*(SUMIF($BH$3:$CE$3,"&lt;"&amp;$DF24,$AD24:$BA24)+SUMIF($BH$3:$CE$3,"&gt;"&amp;$CW$4,$AD24:$BA24)),
IF(BT$3=$DF24+'Model Setup'!$I$7,SUMIF($BH$3:$CE$3,"="&amp;$DF24+'Model Setup'!$I$7,$AD24:$BA24)+'Model Setup'!$I$8*(SUMIF($BH$3:$CE$3,"&lt;"&amp;$DF24,$AD24:$BA24)+SUMIF($BH$3:$CE$3,"&gt;"&amp;$CW$4,$AD24:$BA24)),
IF(BT$3=$DF24+'Model Setup'!$J$7,SUMIF($BH$3:$CE$3,"="&amp;$DF24+'Model Setup'!$J$7,$AD24:$BA24)+'Model Setup'!$J$8*(SUMIF($BH$3:$CE$3,"&lt;"&amp;$DF24,$AD24:$BA24)+SUMIF($BH$3:$CE$3,"&gt;"&amp;$CW$4,$AD24:$BA24)),
IF(BT$3=$DF24+'Model Setup'!$K$7,SUMIF($BH$3:$CE$3,"="&amp;$DF24+'Model Setup'!$K$7,$AD24:$BA24)+'Model Setup'!$K$8*(SUMIF($BH$3:$CE$3,"&lt;"&amp;$DF24,$AD24:$BA24)+SUMIF($BH$3:$CE$3,"&gt;"&amp;$CW$4,$AD24:$BA24)),
IF(BT$3=$DF24+'Model Setup'!$L$7,SUMIF($BH$3:$CE$3,"="&amp;$DF24+'Model Setup'!$L$7,$AD24:$BA24)+'Model Setup'!$L$8*(SUMIF($BH$3:$CE$3,"&lt;"&amp;$DF24,$AD24:$BA24)+SUMIF($BH$3:$CE$3,"&gt;"&amp;$CW$4,$AD24:$BA24)),
IF(BT$3=$DF24+'Model Setup'!$M$7,SUMIF($BH$3:$CE$3,"="&amp;$DF24+'Model Setup'!$M$7,$AD24:$BA24)+'Model Setup'!$M$8*(SUMIF($BH$3:$CE$3,"&lt;"&amp;$DF24,$AD24:$BA24)+SUMIF($BH$3:$CE$3,"&gt;"&amp;$CW$4,$AD24:$BA24)),
IF(BT$3=$DF24+'Model Setup'!$N$7,SUMIF($BH$3:$CE$3,"="&amp;$DF24+'Model Setup'!$N$7,$AD24:$BA24)+'Model Setup'!$N$8*(SUMIF($BH$3:$CE$3,"&lt;"&amp;$DF24,$AD24:$BA24)+SUMIF($BH$3:$CE$3,"&gt;"&amp;$CW$4,$AD24:$BA24)),
IF(BT$3&lt;$CW$4,N24,0))))))))))))))),0)</f>
        <v>66</v>
      </c>
      <c r="BU24" s="47">
        <f>ROUND(IF(OR(BU$3&lt;$DF24,BU$3&gt;$CW$4),0,
IF(BU$3=$DF24+'Model Setup'!$B$7,SUMIF($BH$3:$CE$3,"="&amp;$DF24+'Model Setup'!$B$7,$AD24:$BA24)+'Model Setup'!$B$8*(SUMIF($BH$3:$CE$3,"&lt;"&amp;$DF24,$AD24:$BA24)+SUMIF($BH$3:$CE$3,"&gt;"&amp;$CW$4,$AD24:$BA24)),
IF(BU$3=$DF24+'Model Setup'!$C$7,SUMIF($BH$3:$CE$3,"="&amp;$DF24+'Model Setup'!$C$7,$AD24:$BA24)+'Model Setup'!$C$8*(SUMIF($BH$3:$CE$3,"&lt;"&amp;$DF24,$AD24:$BA24)+SUMIF($BH$3:$CE$3,"&gt;"&amp;$CW$4,$AD24:$BA24)),
IF(BU$3=$DF24+'Model Setup'!$D$7,SUMIF($BH$3:$CE$3,"="&amp;$DF24+'Model Setup'!$D$7,$AD24:$BA24)+'Model Setup'!$D$8*(SUMIF($BH$3:$CE$3,"&lt;"&amp;$DF24,$AD24:$BA24)+SUMIF($BH$3:$CE$3,"&gt;"&amp;$CW$4,$AD24:$BA24)),
IF(BU$3=$DF24+'Model Setup'!$E$7,SUMIF($BH$3:$CE$3,"="&amp;$DF24+'Model Setup'!$E$7,$AD24:$BA24)+'Model Setup'!$E$8*(SUMIF($BH$3:$CE$3,"&lt;"&amp;$DF24,$AD24:$BA24)+SUMIF($BH$3:$CE$3,"&gt;"&amp;$CW$4,$AD24:$BA24)),
IF(BU$3=$DF24+'Model Setup'!$F$7,SUMIF($BH$3:$CE$3,"="&amp;$DF24+'Model Setup'!$F$7,$AD24:$BA24)+'Model Setup'!$F$8*(SUMIF($BH$3:$CE$3,"&lt;"&amp;$DF24,$AD24:$BA24)+SUMIF($BH$3:$CE$3,"&gt;"&amp;$CW$4,$AD24:$BA24)),
IF(BU$3=$DF24+'Model Setup'!$G$7,SUMIF($BH$3:$CE$3,"="&amp;$DF24+'Model Setup'!$G$7,$AD24:$BA24)+'Model Setup'!$G$8*(SUMIF($BH$3:$CE$3,"&lt;"&amp;$DF24,$AD24:$BA24)+SUMIF($BH$3:$CE$3,"&gt;"&amp;$CW$4,$AD24:$BA24)),
IF(BU$3=$DF24+'Model Setup'!$H$7,SUMIF($BH$3:$CE$3,"="&amp;$DF24+'Model Setup'!$H$7,$AD24:$BA24)+'Model Setup'!$H$8*(SUMIF($BH$3:$CE$3,"&lt;"&amp;$DF24,$AD24:$BA24)+SUMIF($BH$3:$CE$3,"&gt;"&amp;$CW$4,$AD24:$BA24)),
IF(BU$3=$DF24+'Model Setup'!$I$7,SUMIF($BH$3:$CE$3,"="&amp;$DF24+'Model Setup'!$I$7,$AD24:$BA24)+'Model Setup'!$I$8*(SUMIF($BH$3:$CE$3,"&lt;"&amp;$DF24,$AD24:$BA24)+SUMIF($BH$3:$CE$3,"&gt;"&amp;$CW$4,$AD24:$BA24)),
IF(BU$3=$DF24+'Model Setup'!$J$7,SUMIF($BH$3:$CE$3,"="&amp;$DF24+'Model Setup'!$J$7,$AD24:$BA24)+'Model Setup'!$J$8*(SUMIF($BH$3:$CE$3,"&lt;"&amp;$DF24,$AD24:$BA24)+SUMIF($BH$3:$CE$3,"&gt;"&amp;$CW$4,$AD24:$BA24)),
IF(BU$3=$DF24+'Model Setup'!$K$7,SUMIF($BH$3:$CE$3,"="&amp;$DF24+'Model Setup'!$K$7,$AD24:$BA24)+'Model Setup'!$K$8*(SUMIF($BH$3:$CE$3,"&lt;"&amp;$DF24,$AD24:$BA24)+SUMIF($BH$3:$CE$3,"&gt;"&amp;$CW$4,$AD24:$BA24)),
IF(BU$3=$DF24+'Model Setup'!$L$7,SUMIF($BH$3:$CE$3,"="&amp;$DF24+'Model Setup'!$L$7,$AD24:$BA24)+'Model Setup'!$L$8*(SUMIF($BH$3:$CE$3,"&lt;"&amp;$DF24,$AD24:$BA24)+SUMIF($BH$3:$CE$3,"&gt;"&amp;$CW$4,$AD24:$BA24)),
IF(BU$3=$DF24+'Model Setup'!$M$7,SUMIF($BH$3:$CE$3,"="&amp;$DF24+'Model Setup'!$M$7,$AD24:$BA24)+'Model Setup'!$M$8*(SUMIF($BH$3:$CE$3,"&lt;"&amp;$DF24,$AD24:$BA24)+SUMIF($BH$3:$CE$3,"&gt;"&amp;$CW$4,$AD24:$BA24)),
IF(BU$3=$DF24+'Model Setup'!$N$7,SUMIF($BH$3:$CE$3,"="&amp;$DF24+'Model Setup'!$N$7,$AD24:$BA24)+'Model Setup'!$N$8*(SUMIF($BH$3:$CE$3,"&lt;"&amp;$DF24,$AD24:$BA24)+SUMIF($BH$3:$CE$3,"&gt;"&amp;$CW$4,$AD24:$BA24)),
IF(BU$3&lt;$CW$4,O24,0))))))))))))))),0)</f>
        <v>60</v>
      </c>
      <c r="BV24" s="47">
        <f>ROUND(IF(OR(BV$3&lt;$DF24,BV$3&gt;$CW$4),0,
IF(BV$3=$DF24+'Model Setup'!$B$7,SUMIF($BH$3:$CE$3,"="&amp;$DF24+'Model Setup'!$B$7,$AD24:$BA24)+'Model Setup'!$B$8*(SUMIF($BH$3:$CE$3,"&lt;"&amp;$DF24,$AD24:$BA24)+SUMIF($BH$3:$CE$3,"&gt;"&amp;$CW$4,$AD24:$BA24)),
IF(BV$3=$DF24+'Model Setup'!$C$7,SUMIF($BH$3:$CE$3,"="&amp;$DF24+'Model Setup'!$C$7,$AD24:$BA24)+'Model Setup'!$C$8*(SUMIF($BH$3:$CE$3,"&lt;"&amp;$DF24,$AD24:$BA24)+SUMIF($BH$3:$CE$3,"&gt;"&amp;$CW$4,$AD24:$BA24)),
IF(BV$3=$DF24+'Model Setup'!$D$7,SUMIF($BH$3:$CE$3,"="&amp;$DF24+'Model Setup'!$D$7,$AD24:$BA24)+'Model Setup'!$D$8*(SUMIF($BH$3:$CE$3,"&lt;"&amp;$DF24,$AD24:$BA24)+SUMIF($BH$3:$CE$3,"&gt;"&amp;$CW$4,$AD24:$BA24)),
IF(BV$3=$DF24+'Model Setup'!$E$7,SUMIF($BH$3:$CE$3,"="&amp;$DF24+'Model Setup'!$E$7,$AD24:$BA24)+'Model Setup'!$E$8*(SUMIF($BH$3:$CE$3,"&lt;"&amp;$DF24,$AD24:$BA24)+SUMIF($BH$3:$CE$3,"&gt;"&amp;$CW$4,$AD24:$BA24)),
IF(BV$3=$DF24+'Model Setup'!$F$7,SUMIF($BH$3:$CE$3,"="&amp;$DF24+'Model Setup'!$F$7,$AD24:$BA24)+'Model Setup'!$F$8*(SUMIF($BH$3:$CE$3,"&lt;"&amp;$DF24,$AD24:$BA24)+SUMIF($BH$3:$CE$3,"&gt;"&amp;$CW$4,$AD24:$BA24)),
IF(BV$3=$DF24+'Model Setup'!$G$7,SUMIF($BH$3:$CE$3,"="&amp;$DF24+'Model Setup'!$G$7,$AD24:$BA24)+'Model Setup'!$G$8*(SUMIF($BH$3:$CE$3,"&lt;"&amp;$DF24,$AD24:$BA24)+SUMIF($BH$3:$CE$3,"&gt;"&amp;$CW$4,$AD24:$BA24)),
IF(BV$3=$DF24+'Model Setup'!$H$7,SUMIF($BH$3:$CE$3,"="&amp;$DF24+'Model Setup'!$H$7,$AD24:$BA24)+'Model Setup'!$H$8*(SUMIF($BH$3:$CE$3,"&lt;"&amp;$DF24,$AD24:$BA24)+SUMIF($BH$3:$CE$3,"&gt;"&amp;$CW$4,$AD24:$BA24)),
IF(BV$3=$DF24+'Model Setup'!$I$7,SUMIF($BH$3:$CE$3,"="&amp;$DF24+'Model Setup'!$I$7,$AD24:$BA24)+'Model Setup'!$I$8*(SUMIF($BH$3:$CE$3,"&lt;"&amp;$DF24,$AD24:$BA24)+SUMIF($BH$3:$CE$3,"&gt;"&amp;$CW$4,$AD24:$BA24)),
IF(BV$3=$DF24+'Model Setup'!$J$7,SUMIF($BH$3:$CE$3,"="&amp;$DF24+'Model Setup'!$J$7,$AD24:$BA24)+'Model Setup'!$J$8*(SUMIF($BH$3:$CE$3,"&lt;"&amp;$DF24,$AD24:$BA24)+SUMIF($BH$3:$CE$3,"&gt;"&amp;$CW$4,$AD24:$BA24)),
IF(BV$3=$DF24+'Model Setup'!$K$7,SUMIF($BH$3:$CE$3,"="&amp;$DF24+'Model Setup'!$K$7,$AD24:$BA24)+'Model Setup'!$K$8*(SUMIF($BH$3:$CE$3,"&lt;"&amp;$DF24,$AD24:$BA24)+SUMIF($BH$3:$CE$3,"&gt;"&amp;$CW$4,$AD24:$BA24)),
IF(BV$3=$DF24+'Model Setup'!$L$7,SUMIF($BH$3:$CE$3,"="&amp;$DF24+'Model Setup'!$L$7,$AD24:$BA24)+'Model Setup'!$L$8*(SUMIF($BH$3:$CE$3,"&lt;"&amp;$DF24,$AD24:$BA24)+SUMIF($BH$3:$CE$3,"&gt;"&amp;$CW$4,$AD24:$BA24)),
IF(BV$3=$DF24+'Model Setup'!$M$7,SUMIF($BH$3:$CE$3,"="&amp;$DF24+'Model Setup'!$M$7,$AD24:$BA24)+'Model Setup'!$M$8*(SUMIF($BH$3:$CE$3,"&lt;"&amp;$DF24,$AD24:$BA24)+SUMIF($BH$3:$CE$3,"&gt;"&amp;$CW$4,$AD24:$BA24)),
IF(BV$3=$DF24+'Model Setup'!$N$7,SUMIF($BH$3:$CE$3,"="&amp;$DF24+'Model Setup'!$N$7,$AD24:$BA24)+'Model Setup'!$N$8*(SUMIF($BH$3:$CE$3,"&lt;"&amp;$DF24,$AD24:$BA24)+SUMIF($BH$3:$CE$3,"&gt;"&amp;$CW$4,$AD24:$BA24)),
IF(BV$3&lt;$CW$4,P24,0))))))))))))))),0)</f>
        <v>36</v>
      </c>
      <c r="BW24" s="47">
        <f>ROUND(IF(OR(BW$3&lt;$DF24,BW$3&gt;$CW$4),0,
IF(BW$3=$DF24+'Model Setup'!$B$7,SUMIF($BH$3:$CE$3,"="&amp;$DF24+'Model Setup'!$B$7,$AD24:$BA24)+'Model Setup'!$B$8*(SUMIF($BH$3:$CE$3,"&lt;"&amp;$DF24,$AD24:$BA24)+SUMIF($BH$3:$CE$3,"&gt;"&amp;$CW$4,$AD24:$BA24)),
IF(BW$3=$DF24+'Model Setup'!$C$7,SUMIF($BH$3:$CE$3,"="&amp;$DF24+'Model Setup'!$C$7,$AD24:$BA24)+'Model Setup'!$C$8*(SUMIF($BH$3:$CE$3,"&lt;"&amp;$DF24,$AD24:$BA24)+SUMIF($BH$3:$CE$3,"&gt;"&amp;$CW$4,$AD24:$BA24)),
IF(BW$3=$DF24+'Model Setup'!$D$7,SUMIF($BH$3:$CE$3,"="&amp;$DF24+'Model Setup'!$D$7,$AD24:$BA24)+'Model Setup'!$D$8*(SUMIF($BH$3:$CE$3,"&lt;"&amp;$DF24,$AD24:$BA24)+SUMIF($BH$3:$CE$3,"&gt;"&amp;$CW$4,$AD24:$BA24)),
IF(BW$3=$DF24+'Model Setup'!$E$7,SUMIF($BH$3:$CE$3,"="&amp;$DF24+'Model Setup'!$E$7,$AD24:$BA24)+'Model Setup'!$E$8*(SUMIF($BH$3:$CE$3,"&lt;"&amp;$DF24,$AD24:$BA24)+SUMIF($BH$3:$CE$3,"&gt;"&amp;$CW$4,$AD24:$BA24)),
IF(BW$3=$DF24+'Model Setup'!$F$7,SUMIF($BH$3:$CE$3,"="&amp;$DF24+'Model Setup'!$F$7,$AD24:$BA24)+'Model Setup'!$F$8*(SUMIF($BH$3:$CE$3,"&lt;"&amp;$DF24,$AD24:$BA24)+SUMIF($BH$3:$CE$3,"&gt;"&amp;$CW$4,$AD24:$BA24)),
IF(BW$3=$DF24+'Model Setup'!$G$7,SUMIF($BH$3:$CE$3,"="&amp;$DF24+'Model Setup'!$G$7,$AD24:$BA24)+'Model Setup'!$G$8*(SUMIF($BH$3:$CE$3,"&lt;"&amp;$DF24,$AD24:$BA24)+SUMIF($BH$3:$CE$3,"&gt;"&amp;$CW$4,$AD24:$BA24)),
IF(BW$3=$DF24+'Model Setup'!$H$7,SUMIF($BH$3:$CE$3,"="&amp;$DF24+'Model Setup'!$H$7,$AD24:$BA24)+'Model Setup'!$H$8*(SUMIF($BH$3:$CE$3,"&lt;"&amp;$DF24,$AD24:$BA24)+SUMIF($BH$3:$CE$3,"&gt;"&amp;$CW$4,$AD24:$BA24)),
IF(BW$3=$DF24+'Model Setup'!$I$7,SUMIF($BH$3:$CE$3,"="&amp;$DF24+'Model Setup'!$I$7,$AD24:$BA24)+'Model Setup'!$I$8*(SUMIF($BH$3:$CE$3,"&lt;"&amp;$DF24,$AD24:$BA24)+SUMIF($BH$3:$CE$3,"&gt;"&amp;$CW$4,$AD24:$BA24)),
IF(BW$3=$DF24+'Model Setup'!$J$7,SUMIF($BH$3:$CE$3,"="&amp;$DF24+'Model Setup'!$J$7,$AD24:$BA24)+'Model Setup'!$J$8*(SUMIF($BH$3:$CE$3,"&lt;"&amp;$DF24,$AD24:$BA24)+SUMIF($BH$3:$CE$3,"&gt;"&amp;$CW$4,$AD24:$BA24)),
IF(BW$3=$DF24+'Model Setup'!$K$7,SUMIF($BH$3:$CE$3,"="&amp;$DF24+'Model Setup'!$K$7,$AD24:$BA24)+'Model Setup'!$K$8*(SUMIF($BH$3:$CE$3,"&lt;"&amp;$DF24,$AD24:$BA24)+SUMIF($BH$3:$CE$3,"&gt;"&amp;$CW$4,$AD24:$BA24)),
IF(BW$3=$DF24+'Model Setup'!$L$7,SUMIF($BH$3:$CE$3,"="&amp;$DF24+'Model Setup'!$L$7,$AD24:$BA24)+'Model Setup'!$L$8*(SUMIF($BH$3:$CE$3,"&lt;"&amp;$DF24,$AD24:$BA24)+SUMIF($BH$3:$CE$3,"&gt;"&amp;$CW$4,$AD24:$BA24)),
IF(BW$3=$DF24+'Model Setup'!$M$7,SUMIF($BH$3:$CE$3,"="&amp;$DF24+'Model Setup'!$M$7,$AD24:$BA24)+'Model Setup'!$M$8*(SUMIF($BH$3:$CE$3,"&lt;"&amp;$DF24,$AD24:$BA24)+SUMIF($BH$3:$CE$3,"&gt;"&amp;$CW$4,$AD24:$BA24)),
IF(BW$3=$DF24+'Model Setup'!$N$7,SUMIF($BH$3:$CE$3,"="&amp;$DF24+'Model Setup'!$N$7,$AD24:$BA24)+'Model Setup'!$N$8*(SUMIF($BH$3:$CE$3,"&lt;"&amp;$DF24,$AD24:$BA24)+SUMIF($BH$3:$CE$3,"&gt;"&amp;$CW$4,$AD24:$BA24)),
IF(BW$3&lt;$CW$4,Q24,0))))))))))))))),0)</f>
        <v>71</v>
      </c>
      <c r="BX24" s="47">
        <f>ROUND(IF(OR(BX$3&lt;$DF24,BX$3&gt;$CW$4),0,
IF(BX$3=$DF24+'Model Setup'!$B$7,SUMIF($BH$3:$CE$3,"="&amp;$DF24+'Model Setup'!$B$7,$AD24:$BA24)+'Model Setup'!$B$8*(SUMIF($BH$3:$CE$3,"&lt;"&amp;$DF24,$AD24:$BA24)+SUMIF($BH$3:$CE$3,"&gt;"&amp;$CW$4,$AD24:$BA24)),
IF(BX$3=$DF24+'Model Setup'!$C$7,SUMIF($BH$3:$CE$3,"="&amp;$DF24+'Model Setup'!$C$7,$AD24:$BA24)+'Model Setup'!$C$8*(SUMIF($BH$3:$CE$3,"&lt;"&amp;$DF24,$AD24:$BA24)+SUMIF($BH$3:$CE$3,"&gt;"&amp;$CW$4,$AD24:$BA24)),
IF(BX$3=$DF24+'Model Setup'!$D$7,SUMIF($BH$3:$CE$3,"="&amp;$DF24+'Model Setup'!$D$7,$AD24:$BA24)+'Model Setup'!$D$8*(SUMIF($BH$3:$CE$3,"&lt;"&amp;$DF24,$AD24:$BA24)+SUMIF($BH$3:$CE$3,"&gt;"&amp;$CW$4,$AD24:$BA24)),
IF(BX$3=$DF24+'Model Setup'!$E$7,SUMIF($BH$3:$CE$3,"="&amp;$DF24+'Model Setup'!$E$7,$AD24:$BA24)+'Model Setup'!$E$8*(SUMIF($BH$3:$CE$3,"&lt;"&amp;$DF24,$AD24:$BA24)+SUMIF($BH$3:$CE$3,"&gt;"&amp;$CW$4,$AD24:$BA24)),
IF(BX$3=$DF24+'Model Setup'!$F$7,SUMIF($BH$3:$CE$3,"="&amp;$DF24+'Model Setup'!$F$7,$AD24:$BA24)+'Model Setup'!$F$8*(SUMIF($BH$3:$CE$3,"&lt;"&amp;$DF24,$AD24:$BA24)+SUMIF($BH$3:$CE$3,"&gt;"&amp;$CW$4,$AD24:$BA24)),
IF(BX$3=$DF24+'Model Setup'!$G$7,SUMIF($BH$3:$CE$3,"="&amp;$DF24+'Model Setup'!$G$7,$AD24:$BA24)+'Model Setup'!$G$8*(SUMIF($BH$3:$CE$3,"&lt;"&amp;$DF24,$AD24:$BA24)+SUMIF($BH$3:$CE$3,"&gt;"&amp;$CW$4,$AD24:$BA24)),
IF(BX$3=$DF24+'Model Setup'!$H$7,SUMIF($BH$3:$CE$3,"="&amp;$DF24+'Model Setup'!$H$7,$AD24:$BA24)+'Model Setup'!$H$8*(SUMIF($BH$3:$CE$3,"&lt;"&amp;$DF24,$AD24:$BA24)+SUMIF($BH$3:$CE$3,"&gt;"&amp;$CW$4,$AD24:$BA24)),
IF(BX$3=$DF24+'Model Setup'!$I$7,SUMIF($BH$3:$CE$3,"="&amp;$DF24+'Model Setup'!$I$7,$AD24:$BA24)+'Model Setup'!$I$8*(SUMIF($BH$3:$CE$3,"&lt;"&amp;$DF24,$AD24:$BA24)+SUMIF($BH$3:$CE$3,"&gt;"&amp;$CW$4,$AD24:$BA24)),
IF(BX$3=$DF24+'Model Setup'!$J$7,SUMIF($BH$3:$CE$3,"="&amp;$DF24+'Model Setup'!$J$7,$AD24:$BA24)+'Model Setup'!$J$8*(SUMIF($BH$3:$CE$3,"&lt;"&amp;$DF24,$AD24:$BA24)+SUMIF($BH$3:$CE$3,"&gt;"&amp;$CW$4,$AD24:$BA24)),
IF(BX$3=$DF24+'Model Setup'!$K$7,SUMIF($BH$3:$CE$3,"="&amp;$DF24+'Model Setup'!$K$7,$AD24:$BA24)+'Model Setup'!$K$8*(SUMIF($BH$3:$CE$3,"&lt;"&amp;$DF24,$AD24:$BA24)+SUMIF($BH$3:$CE$3,"&gt;"&amp;$CW$4,$AD24:$BA24)),
IF(BX$3=$DF24+'Model Setup'!$L$7,SUMIF($BH$3:$CE$3,"="&amp;$DF24+'Model Setup'!$L$7,$AD24:$BA24)+'Model Setup'!$L$8*(SUMIF($BH$3:$CE$3,"&lt;"&amp;$DF24,$AD24:$BA24)+SUMIF($BH$3:$CE$3,"&gt;"&amp;$CW$4,$AD24:$BA24)),
IF(BX$3=$DF24+'Model Setup'!$M$7,SUMIF($BH$3:$CE$3,"="&amp;$DF24+'Model Setup'!$M$7,$AD24:$BA24)+'Model Setup'!$M$8*(SUMIF($BH$3:$CE$3,"&lt;"&amp;$DF24,$AD24:$BA24)+SUMIF($BH$3:$CE$3,"&gt;"&amp;$CW$4,$AD24:$BA24)),
IF(BX$3=$DF24+'Model Setup'!$N$7,SUMIF($BH$3:$CE$3,"="&amp;$DF24+'Model Setup'!$N$7,$AD24:$BA24)+'Model Setup'!$N$8*(SUMIF($BH$3:$CE$3,"&lt;"&amp;$DF24,$AD24:$BA24)+SUMIF($BH$3:$CE$3,"&gt;"&amp;$CW$4,$AD24:$BA24)),
IF(BX$3&lt;$CW$4,R24,0))))))))))))))),0)</f>
        <v>80</v>
      </c>
      <c r="BY24" s="47">
        <f>ROUND(IF(OR(BY$3&lt;$DF24,BY$3&gt;$CW$4),0,
IF(BY$3=$DF24+'Model Setup'!$B$7,SUMIF($BH$3:$CE$3,"="&amp;$DF24+'Model Setup'!$B$7,$AD24:$BA24)+'Model Setup'!$B$8*(SUMIF($BH$3:$CE$3,"&lt;"&amp;$DF24,$AD24:$BA24)+SUMIF($BH$3:$CE$3,"&gt;"&amp;$CW$4,$AD24:$BA24)),
IF(BY$3=$DF24+'Model Setup'!$C$7,SUMIF($BH$3:$CE$3,"="&amp;$DF24+'Model Setup'!$C$7,$AD24:$BA24)+'Model Setup'!$C$8*(SUMIF($BH$3:$CE$3,"&lt;"&amp;$DF24,$AD24:$BA24)+SUMIF($BH$3:$CE$3,"&gt;"&amp;$CW$4,$AD24:$BA24)),
IF(BY$3=$DF24+'Model Setup'!$D$7,SUMIF($BH$3:$CE$3,"="&amp;$DF24+'Model Setup'!$D$7,$AD24:$BA24)+'Model Setup'!$D$8*(SUMIF($BH$3:$CE$3,"&lt;"&amp;$DF24,$AD24:$BA24)+SUMIF($BH$3:$CE$3,"&gt;"&amp;$CW$4,$AD24:$BA24)),
IF(BY$3=$DF24+'Model Setup'!$E$7,SUMIF($BH$3:$CE$3,"="&amp;$DF24+'Model Setup'!$E$7,$AD24:$BA24)+'Model Setup'!$E$8*(SUMIF($BH$3:$CE$3,"&lt;"&amp;$DF24,$AD24:$BA24)+SUMIF($BH$3:$CE$3,"&gt;"&amp;$CW$4,$AD24:$BA24)),
IF(BY$3=$DF24+'Model Setup'!$F$7,SUMIF($BH$3:$CE$3,"="&amp;$DF24+'Model Setup'!$F$7,$AD24:$BA24)+'Model Setup'!$F$8*(SUMIF($BH$3:$CE$3,"&lt;"&amp;$DF24,$AD24:$BA24)+SUMIF($BH$3:$CE$3,"&gt;"&amp;$CW$4,$AD24:$BA24)),
IF(BY$3=$DF24+'Model Setup'!$G$7,SUMIF($BH$3:$CE$3,"="&amp;$DF24+'Model Setup'!$G$7,$AD24:$BA24)+'Model Setup'!$G$8*(SUMIF($BH$3:$CE$3,"&lt;"&amp;$DF24,$AD24:$BA24)+SUMIF($BH$3:$CE$3,"&gt;"&amp;$CW$4,$AD24:$BA24)),
IF(BY$3=$DF24+'Model Setup'!$H$7,SUMIF($BH$3:$CE$3,"="&amp;$DF24+'Model Setup'!$H$7,$AD24:$BA24)+'Model Setup'!$H$8*(SUMIF($BH$3:$CE$3,"&lt;"&amp;$DF24,$AD24:$BA24)+SUMIF($BH$3:$CE$3,"&gt;"&amp;$CW$4,$AD24:$BA24)),
IF(BY$3=$DF24+'Model Setup'!$I$7,SUMIF($BH$3:$CE$3,"="&amp;$DF24+'Model Setup'!$I$7,$AD24:$BA24)+'Model Setup'!$I$8*(SUMIF($BH$3:$CE$3,"&lt;"&amp;$DF24,$AD24:$BA24)+SUMIF($BH$3:$CE$3,"&gt;"&amp;$CW$4,$AD24:$BA24)),
IF(BY$3=$DF24+'Model Setup'!$J$7,SUMIF($BH$3:$CE$3,"="&amp;$DF24+'Model Setup'!$J$7,$AD24:$BA24)+'Model Setup'!$J$8*(SUMIF($BH$3:$CE$3,"&lt;"&amp;$DF24,$AD24:$BA24)+SUMIF($BH$3:$CE$3,"&gt;"&amp;$CW$4,$AD24:$BA24)),
IF(BY$3=$DF24+'Model Setup'!$K$7,SUMIF($BH$3:$CE$3,"="&amp;$DF24+'Model Setup'!$K$7,$AD24:$BA24)+'Model Setup'!$K$8*(SUMIF($BH$3:$CE$3,"&lt;"&amp;$DF24,$AD24:$BA24)+SUMIF($BH$3:$CE$3,"&gt;"&amp;$CW$4,$AD24:$BA24)),
IF(BY$3=$DF24+'Model Setup'!$L$7,SUMIF($BH$3:$CE$3,"="&amp;$DF24+'Model Setup'!$L$7,$AD24:$BA24)+'Model Setup'!$L$8*(SUMIF($BH$3:$CE$3,"&lt;"&amp;$DF24,$AD24:$BA24)+SUMIF($BH$3:$CE$3,"&gt;"&amp;$CW$4,$AD24:$BA24)),
IF(BY$3=$DF24+'Model Setup'!$M$7,SUMIF($BH$3:$CE$3,"="&amp;$DF24+'Model Setup'!$M$7,$AD24:$BA24)+'Model Setup'!$M$8*(SUMIF($BH$3:$CE$3,"&lt;"&amp;$DF24,$AD24:$BA24)+SUMIF($BH$3:$CE$3,"&gt;"&amp;$CW$4,$AD24:$BA24)),
IF(BY$3=$DF24+'Model Setup'!$N$7,SUMIF($BH$3:$CE$3,"="&amp;$DF24+'Model Setup'!$N$7,$AD24:$BA24)+'Model Setup'!$N$8*(SUMIF($BH$3:$CE$3,"&lt;"&amp;$DF24,$AD24:$BA24)+SUMIF($BH$3:$CE$3,"&gt;"&amp;$CW$4,$AD24:$BA24)),
IF(BY$3&lt;$CW$4,S24,0))))))))))))))),0)</f>
        <v>63</v>
      </c>
      <c r="BZ24" s="47">
        <f>ROUND(IF(OR(BZ$3&lt;$DF24,BZ$3&gt;$CW$4),0,
IF(BZ$3=$DF24+'Model Setup'!$B$7,SUMIF($BH$3:$CE$3,"="&amp;$DF24+'Model Setup'!$B$7,$AD24:$BA24)+'Model Setup'!$B$8*(SUMIF($BH$3:$CE$3,"&lt;"&amp;$DF24,$AD24:$BA24)+SUMIF($BH$3:$CE$3,"&gt;"&amp;$CW$4,$AD24:$BA24)),
IF(BZ$3=$DF24+'Model Setup'!$C$7,SUMIF($BH$3:$CE$3,"="&amp;$DF24+'Model Setup'!$C$7,$AD24:$BA24)+'Model Setup'!$C$8*(SUMIF($BH$3:$CE$3,"&lt;"&amp;$DF24,$AD24:$BA24)+SUMIF($BH$3:$CE$3,"&gt;"&amp;$CW$4,$AD24:$BA24)),
IF(BZ$3=$DF24+'Model Setup'!$D$7,SUMIF($BH$3:$CE$3,"="&amp;$DF24+'Model Setup'!$D$7,$AD24:$BA24)+'Model Setup'!$D$8*(SUMIF($BH$3:$CE$3,"&lt;"&amp;$DF24,$AD24:$BA24)+SUMIF($BH$3:$CE$3,"&gt;"&amp;$CW$4,$AD24:$BA24)),
IF(BZ$3=$DF24+'Model Setup'!$E$7,SUMIF($BH$3:$CE$3,"="&amp;$DF24+'Model Setup'!$E$7,$AD24:$BA24)+'Model Setup'!$E$8*(SUMIF($BH$3:$CE$3,"&lt;"&amp;$DF24,$AD24:$BA24)+SUMIF($BH$3:$CE$3,"&gt;"&amp;$CW$4,$AD24:$BA24)),
IF(BZ$3=$DF24+'Model Setup'!$F$7,SUMIF($BH$3:$CE$3,"="&amp;$DF24+'Model Setup'!$F$7,$AD24:$BA24)+'Model Setup'!$F$8*(SUMIF($BH$3:$CE$3,"&lt;"&amp;$DF24,$AD24:$BA24)+SUMIF($BH$3:$CE$3,"&gt;"&amp;$CW$4,$AD24:$BA24)),
IF(BZ$3=$DF24+'Model Setup'!$G$7,SUMIF($BH$3:$CE$3,"="&amp;$DF24+'Model Setup'!$G$7,$AD24:$BA24)+'Model Setup'!$G$8*(SUMIF($BH$3:$CE$3,"&lt;"&amp;$DF24,$AD24:$BA24)+SUMIF($BH$3:$CE$3,"&gt;"&amp;$CW$4,$AD24:$BA24)),
IF(BZ$3=$DF24+'Model Setup'!$H$7,SUMIF($BH$3:$CE$3,"="&amp;$DF24+'Model Setup'!$H$7,$AD24:$BA24)+'Model Setup'!$H$8*(SUMIF($BH$3:$CE$3,"&lt;"&amp;$DF24,$AD24:$BA24)+SUMIF($BH$3:$CE$3,"&gt;"&amp;$CW$4,$AD24:$BA24)),
IF(BZ$3=$DF24+'Model Setup'!$I$7,SUMIF($BH$3:$CE$3,"="&amp;$DF24+'Model Setup'!$I$7,$AD24:$BA24)+'Model Setup'!$I$8*(SUMIF($BH$3:$CE$3,"&lt;"&amp;$DF24,$AD24:$BA24)+SUMIF($BH$3:$CE$3,"&gt;"&amp;$CW$4,$AD24:$BA24)),
IF(BZ$3=$DF24+'Model Setup'!$J$7,SUMIF($BH$3:$CE$3,"="&amp;$DF24+'Model Setup'!$J$7,$AD24:$BA24)+'Model Setup'!$J$8*(SUMIF($BH$3:$CE$3,"&lt;"&amp;$DF24,$AD24:$BA24)+SUMIF($BH$3:$CE$3,"&gt;"&amp;$CW$4,$AD24:$BA24)),
IF(BZ$3=$DF24+'Model Setup'!$K$7,SUMIF($BH$3:$CE$3,"="&amp;$DF24+'Model Setup'!$K$7,$AD24:$BA24)+'Model Setup'!$K$8*(SUMIF($BH$3:$CE$3,"&lt;"&amp;$DF24,$AD24:$BA24)+SUMIF($BH$3:$CE$3,"&gt;"&amp;$CW$4,$AD24:$BA24)),
IF(BZ$3=$DF24+'Model Setup'!$L$7,SUMIF($BH$3:$CE$3,"="&amp;$DF24+'Model Setup'!$L$7,$AD24:$BA24)+'Model Setup'!$L$8*(SUMIF($BH$3:$CE$3,"&lt;"&amp;$DF24,$AD24:$BA24)+SUMIF($BH$3:$CE$3,"&gt;"&amp;$CW$4,$AD24:$BA24)),
IF(BZ$3=$DF24+'Model Setup'!$M$7,SUMIF($BH$3:$CE$3,"="&amp;$DF24+'Model Setup'!$M$7,$AD24:$BA24)+'Model Setup'!$M$8*(SUMIF($BH$3:$CE$3,"&lt;"&amp;$DF24,$AD24:$BA24)+SUMIF($BH$3:$CE$3,"&gt;"&amp;$CW$4,$AD24:$BA24)),
IF(BZ$3=$DF24+'Model Setup'!$N$7,SUMIF($BH$3:$CE$3,"="&amp;$DF24+'Model Setup'!$N$7,$AD24:$BA24)+'Model Setup'!$N$8*(SUMIF($BH$3:$CE$3,"&lt;"&amp;$DF24,$AD24:$BA24)+SUMIF($BH$3:$CE$3,"&gt;"&amp;$CW$4,$AD24:$BA24)),
IF(BZ$3&lt;$CW$4,T24,0))))))))))))))),0)</f>
        <v>0</v>
      </c>
      <c r="CA24" s="47">
        <f>ROUND(IF(OR(CA$3&lt;$DF24,CA$3&gt;$CW$4),0,
IF(CA$3=$DF24+'Model Setup'!$B$7,SUMIF($BH$3:$CE$3,"="&amp;$DF24+'Model Setup'!$B$7,$AD24:$BA24)+'Model Setup'!$B$8*(SUMIF($BH$3:$CE$3,"&lt;"&amp;$DF24,$AD24:$BA24)+SUMIF($BH$3:$CE$3,"&gt;"&amp;$CW$4,$AD24:$BA24)),
IF(CA$3=$DF24+'Model Setup'!$C$7,SUMIF($BH$3:$CE$3,"="&amp;$DF24+'Model Setup'!$C$7,$AD24:$BA24)+'Model Setup'!$C$8*(SUMIF($BH$3:$CE$3,"&lt;"&amp;$DF24,$AD24:$BA24)+SUMIF($BH$3:$CE$3,"&gt;"&amp;$CW$4,$AD24:$BA24)),
IF(CA$3=$DF24+'Model Setup'!$D$7,SUMIF($BH$3:$CE$3,"="&amp;$DF24+'Model Setup'!$D$7,$AD24:$BA24)+'Model Setup'!$D$8*(SUMIF($BH$3:$CE$3,"&lt;"&amp;$DF24,$AD24:$BA24)+SUMIF($BH$3:$CE$3,"&gt;"&amp;$CW$4,$AD24:$BA24)),
IF(CA$3=$DF24+'Model Setup'!$E$7,SUMIF($BH$3:$CE$3,"="&amp;$DF24+'Model Setup'!$E$7,$AD24:$BA24)+'Model Setup'!$E$8*(SUMIF($BH$3:$CE$3,"&lt;"&amp;$DF24,$AD24:$BA24)+SUMIF($BH$3:$CE$3,"&gt;"&amp;$CW$4,$AD24:$BA24)),
IF(CA$3=$DF24+'Model Setup'!$F$7,SUMIF($BH$3:$CE$3,"="&amp;$DF24+'Model Setup'!$F$7,$AD24:$BA24)+'Model Setup'!$F$8*(SUMIF($BH$3:$CE$3,"&lt;"&amp;$DF24,$AD24:$BA24)+SUMIF($BH$3:$CE$3,"&gt;"&amp;$CW$4,$AD24:$BA24)),
IF(CA$3=$DF24+'Model Setup'!$G$7,SUMIF($BH$3:$CE$3,"="&amp;$DF24+'Model Setup'!$G$7,$AD24:$BA24)+'Model Setup'!$G$8*(SUMIF($BH$3:$CE$3,"&lt;"&amp;$DF24,$AD24:$BA24)+SUMIF($BH$3:$CE$3,"&gt;"&amp;$CW$4,$AD24:$BA24)),
IF(CA$3=$DF24+'Model Setup'!$H$7,SUMIF($BH$3:$CE$3,"="&amp;$DF24+'Model Setup'!$H$7,$AD24:$BA24)+'Model Setup'!$H$8*(SUMIF($BH$3:$CE$3,"&lt;"&amp;$DF24,$AD24:$BA24)+SUMIF($BH$3:$CE$3,"&gt;"&amp;$CW$4,$AD24:$BA24)),
IF(CA$3=$DF24+'Model Setup'!$I$7,SUMIF($BH$3:$CE$3,"="&amp;$DF24+'Model Setup'!$I$7,$AD24:$BA24)+'Model Setup'!$I$8*(SUMIF($BH$3:$CE$3,"&lt;"&amp;$DF24,$AD24:$BA24)+SUMIF($BH$3:$CE$3,"&gt;"&amp;$CW$4,$AD24:$BA24)),
IF(CA$3=$DF24+'Model Setup'!$J$7,SUMIF($BH$3:$CE$3,"="&amp;$DF24+'Model Setup'!$J$7,$AD24:$BA24)+'Model Setup'!$J$8*(SUMIF($BH$3:$CE$3,"&lt;"&amp;$DF24,$AD24:$BA24)+SUMIF($BH$3:$CE$3,"&gt;"&amp;$CW$4,$AD24:$BA24)),
IF(CA$3=$DF24+'Model Setup'!$K$7,SUMIF($BH$3:$CE$3,"="&amp;$DF24+'Model Setup'!$K$7,$AD24:$BA24)+'Model Setup'!$K$8*(SUMIF($BH$3:$CE$3,"&lt;"&amp;$DF24,$AD24:$BA24)+SUMIF($BH$3:$CE$3,"&gt;"&amp;$CW$4,$AD24:$BA24)),
IF(CA$3=$DF24+'Model Setup'!$L$7,SUMIF($BH$3:$CE$3,"="&amp;$DF24+'Model Setup'!$L$7,$AD24:$BA24)+'Model Setup'!$L$8*(SUMIF($BH$3:$CE$3,"&lt;"&amp;$DF24,$AD24:$BA24)+SUMIF($BH$3:$CE$3,"&gt;"&amp;$CW$4,$AD24:$BA24)),
IF(CA$3=$DF24+'Model Setup'!$M$7,SUMIF($BH$3:$CE$3,"="&amp;$DF24+'Model Setup'!$M$7,$AD24:$BA24)+'Model Setup'!$M$8*(SUMIF($BH$3:$CE$3,"&lt;"&amp;$DF24,$AD24:$BA24)+SUMIF($BH$3:$CE$3,"&gt;"&amp;$CW$4,$AD24:$BA24)),
IF(CA$3=$DF24+'Model Setup'!$N$7,SUMIF($BH$3:$CE$3,"="&amp;$DF24+'Model Setup'!$N$7,$AD24:$BA24)+'Model Setup'!$N$8*(SUMIF($BH$3:$CE$3,"&lt;"&amp;$DF24,$AD24:$BA24)+SUMIF($BH$3:$CE$3,"&gt;"&amp;$CW$4,$AD24:$BA24)),
IF(CA$3&lt;$CW$4,U24,0))))))))))))))),0)</f>
        <v>0</v>
      </c>
      <c r="CB24" s="47">
        <f>ROUND(IF(OR(CB$3&lt;$DF24,CB$3&gt;$CW$4),0,
IF(CB$3=$DF24+'Model Setup'!$B$7,SUMIF($BH$3:$CE$3,"="&amp;$DF24+'Model Setup'!$B$7,$AD24:$BA24)+'Model Setup'!$B$8*(SUMIF($BH$3:$CE$3,"&lt;"&amp;$DF24,$AD24:$BA24)+SUMIF($BH$3:$CE$3,"&gt;"&amp;$CW$4,$AD24:$BA24)),
IF(CB$3=$DF24+'Model Setup'!$C$7,SUMIF($BH$3:$CE$3,"="&amp;$DF24+'Model Setup'!$C$7,$AD24:$BA24)+'Model Setup'!$C$8*(SUMIF($BH$3:$CE$3,"&lt;"&amp;$DF24,$AD24:$BA24)+SUMIF($BH$3:$CE$3,"&gt;"&amp;$CW$4,$AD24:$BA24)),
IF(CB$3=$DF24+'Model Setup'!$D$7,SUMIF($BH$3:$CE$3,"="&amp;$DF24+'Model Setup'!$D$7,$AD24:$BA24)+'Model Setup'!$D$8*(SUMIF($BH$3:$CE$3,"&lt;"&amp;$DF24,$AD24:$BA24)+SUMIF($BH$3:$CE$3,"&gt;"&amp;$CW$4,$AD24:$BA24)),
IF(CB$3=$DF24+'Model Setup'!$E$7,SUMIF($BH$3:$CE$3,"="&amp;$DF24+'Model Setup'!$E$7,$AD24:$BA24)+'Model Setup'!$E$8*(SUMIF($BH$3:$CE$3,"&lt;"&amp;$DF24,$AD24:$BA24)+SUMIF($BH$3:$CE$3,"&gt;"&amp;$CW$4,$AD24:$BA24)),
IF(CB$3=$DF24+'Model Setup'!$F$7,SUMIF($BH$3:$CE$3,"="&amp;$DF24+'Model Setup'!$F$7,$AD24:$BA24)+'Model Setup'!$F$8*(SUMIF($BH$3:$CE$3,"&lt;"&amp;$DF24,$AD24:$BA24)+SUMIF($BH$3:$CE$3,"&gt;"&amp;$CW$4,$AD24:$BA24)),
IF(CB$3=$DF24+'Model Setup'!$G$7,SUMIF($BH$3:$CE$3,"="&amp;$DF24+'Model Setup'!$G$7,$AD24:$BA24)+'Model Setup'!$G$8*(SUMIF($BH$3:$CE$3,"&lt;"&amp;$DF24,$AD24:$BA24)+SUMIF($BH$3:$CE$3,"&gt;"&amp;$CW$4,$AD24:$BA24)),
IF(CB$3=$DF24+'Model Setup'!$H$7,SUMIF($BH$3:$CE$3,"="&amp;$DF24+'Model Setup'!$H$7,$AD24:$BA24)+'Model Setup'!$H$8*(SUMIF($BH$3:$CE$3,"&lt;"&amp;$DF24,$AD24:$BA24)+SUMIF($BH$3:$CE$3,"&gt;"&amp;$CW$4,$AD24:$BA24)),
IF(CB$3=$DF24+'Model Setup'!$I$7,SUMIF($BH$3:$CE$3,"="&amp;$DF24+'Model Setup'!$I$7,$AD24:$BA24)+'Model Setup'!$I$8*(SUMIF($BH$3:$CE$3,"&lt;"&amp;$DF24,$AD24:$BA24)+SUMIF($BH$3:$CE$3,"&gt;"&amp;$CW$4,$AD24:$BA24)),
IF(CB$3=$DF24+'Model Setup'!$J$7,SUMIF($BH$3:$CE$3,"="&amp;$DF24+'Model Setup'!$J$7,$AD24:$BA24)+'Model Setup'!$J$8*(SUMIF($BH$3:$CE$3,"&lt;"&amp;$DF24,$AD24:$BA24)+SUMIF($BH$3:$CE$3,"&gt;"&amp;$CW$4,$AD24:$BA24)),
IF(CB$3=$DF24+'Model Setup'!$K$7,SUMIF($BH$3:$CE$3,"="&amp;$DF24+'Model Setup'!$K$7,$AD24:$BA24)+'Model Setup'!$K$8*(SUMIF($BH$3:$CE$3,"&lt;"&amp;$DF24,$AD24:$BA24)+SUMIF($BH$3:$CE$3,"&gt;"&amp;$CW$4,$AD24:$BA24)),
IF(CB$3=$DF24+'Model Setup'!$L$7,SUMIF($BH$3:$CE$3,"="&amp;$DF24+'Model Setup'!$L$7,$AD24:$BA24)+'Model Setup'!$L$8*(SUMIF($BH$3:$CE$3,"&lt;"&amp;$DF24,$AD24:$BA24)+SUMIF($BH$3:$CE$3,"&gt;"&amp;$CW$4,$AD24:$BA24)),
IF(CB$3=$DF24+'Model Setup'!$M$7,SUMIF($BH$3:$CE$3,"="&amp;$DF24+'Model Setup'!$M$7,$AD24:$BA24)+'Model Setup'!$M$8*(SUMIF($BH$3:$CE$3,"&lt;"&amp;$DF24,$AD24:$BA24)+SUMIF($BH$3:$CE$3,"&gt;"&amp;$CW$4,$AD24:$BA24)),
IF(CB$3=$DF24+'Model Setup'!$N$7,SUMIF($BH$3:$CE$3,"="&amp;$DF24+'Model Setup'!$N$7,$AD24:$BA24)+'Model Setup'!$N$8*(SUMIF($BH$3:$CE$3,"&lt;"&amp;$DF24,$AD24:$BA24)+SUMIF($BH$3:$CE$3,"&gt;"&amp;$CW$4,$AD24:$BA24)),
IF(CB$3&lt;$CW$4,V24,0))))))))))))))),0)</f>
        <v>0</v>
      </c>
      <c r="CC24" s="47">
        <f>ROUND(IF(OR(CC$3&lt;$DF24,CC$3&gt;$CW$4),0,
IF(CC$3=$DF24+'Model Setup'!$B$7,SUMIF($BH$3:$CE$3,"="&amp;$DF24+'Model Setup'!$B$7,$AD24:$BA24)+'Model Setup'!$B$8*(SUMIF($BH$3:$CE$3,"&lt;"&amp;$DF24,$AD24:$BA24)+SUMIF($BH$3:$CE$3,"&gt;"&amp;$CW$4,$AD24:$BA24)),
IF(CC$3=$DF24+'Model Setup'!$C$7,SUMIF($BH$3:$CE$3,"="&amp;$DF24+'Model Setup'!$C$7,$AD24:$BA24)+'Model Setup'!$C$8*(SUMIF($BH$3:$CE$3,"&lt;"&amp;$DF24,$AD24:$BA24)+SUMIF($BH$3:$CE$3,"&gt;"&amp;$CW$4,$AD24:$BA24)),
IF(CC$3=$DF24+'Model Setup'!$D$7,SUMIF($BH$3:$CE$3,"="&amp;$DF24+'Model Setup'!$D$7,$AD24:$BA24)+'Model Setup'!$D$8*(SUMIF($BH$3:$CE$3,"&lt;"&amp;$DF24,$AD24:$BA24)+SUMIF($BH$3:$CE$3,"&gt;"&amp;$CW$4,$AD24:$BA24)),
IF(CC$3=$DF24+'Model Setup'!$E$7,SUMIF($BH$3:$CE$3,"="&amp;$DF24+'Model Setup'!$E$7,$AD24:$BA24)+'Model Setup'!$E$8*(SUMIF($BH$3:$CE$3,"&lt;"&amp;$DF24,$AD24:$BA24)+SUMIF($BH$3:$CE$3,"&gt;"&amp;$CW$4,$AD24:$BA24)),
IF(CC$3=$DF24+'Model Setup'!$F$7,SUMIF($BH$3:$CE$3,"="&amp;$DF24+'Model Setup'!$F$7,$AD24:$BA24)+'Model Setup'!$F$8*(SUMIF($BH$3:$CE$3,"&lt;"&amp;$DF24,$AD24:$BA24)+SUMIF($BH$3:$CE$3,"&gt;"&amp;$CW$4,$AD24:$BA24)),
IF(CC$3=$DF24+'Model Setup'!$G$7,SUMIF($BH$3:$CE$3,"="&amp;$DF24+'Model Setup'!$G$7,$AD24:$BA24)+'Model Setup'!$G$8*(SUMIF($BH$3:$CE$3,"&lt;"&amp;$DF24,$AD24:$BA24)+SUMIF($BH$3:$CE$3,"&gt;"&amp;$CW$4,$AD24:$BA24)),
IF(CC$3=$DF24+'Model Setup'!$H$7,SUMIF($BH$3:$CE$3,"="&amp;$DF24+'Model Setup'!$H$7,$AD24:$BA24)+'Model Setup'!$H$8*(SUMIF($BH$3:$CE$3,"&lt;"&amp;$DF24,$AD24:$BA24)+SUMIF($BH$3:$CE$3,"&gt;"&amp;$CW$4,$AD24:$BA24)),
IF(CC$3=$DF24+'Model Setup'!$I$7,SUMIF($BH$3:$CE$3,"="&amp;$DF24+'Model Setup'!$I$7,$AD24:$BA24)+'Model Setup'!$I$8*(SUMIF($BH$3:$CE$3,"&lt;"&amp;$DF24,$AD24:$BA24)+SUMIF($BH$3:$CE$3,"&gt;"&amp;$CW$4,$AD24:$BA24)),
IF(CC$3=$DF24+'Model Setup'!$J$7,SUMIF($BH$3:$CE$3,"="&amp;$DF24+'Model Setup'!$J$7,$AD24:$BA24)+'Model Setup'!$J$8*(SUMIF($BH$3:$CE$3,"&lt;"&amp;$DF24,$AD24:$BA24)+SUMIF($BH$3:$CE$3,"&gt;"&amp;$CW$4,$AD24:$BA24)),
IF(CC$3=$DF24+'Model Setup'!$K$7,SUMIF($BH$3:$CE$3,"="&amp;$DF24+'Model Setup'!$K$7,$AD24:$BA24)+'Model Setup'!$K$8*(SUMIF($BH$3:$CE$3,"&lt;"&amp;$DF24,$AD24:$BA24)+SUMIF($BH$3:$CE$3,"&gt;"&amp;$CW$4,$AD24:$BA24)),
IF(CC$3=$DF24+'Model Setup'!$L$7,SUMIF($BH$3:$CE$3,"="&amp;$DF24+'Model Setup'!$L$7,$AD24:$BA24)+'Model Setup'!$L$8*(SUMIF($BH$3:$CE$3,"&lt;"&amp;$DF24,$AD24:$BA24)+SUMIF($BH$3:$CE$3,"&gt;"&amp;$CW$4,$AD24:$BA24)),
IF(CC$3=$DF24+'Model Setup'!$M$7,SUMIF($BH$3:$CE$3,"="&amp;$DF24+'Model Setup'!$M$7,$AD24:$BA24)+'Model Setup'!$M$8*(SUMIF($BH$3:$CE$3,"&lt;"&amp;$DF24,$AD24:$BA24)+SUMIF($BH$3:$CE$3,"&gt;"&amp;$CW$4,$AD24:$BA24)),
IF(CC$3=$DF24+'Model Setup'!$N$7,SUMIF($BH$3:$CE$3,"="&amp;$DF24+'Model Setup'!$N$7,$AD24:$BA24)+'Model Setup'!$N$8*(SUMIF($BH$3:$CE$3,"&lt;"&amp;$DF24,$AD24:$BA24)+SUMIF($BH$3:$CE$3,"&gt;"&amp;$CW$4,$AD24:$BA24)),
IF(CC$3&lt;$CW$4,W24,0))))))))))))))),0)</f>
        <v>0</v>
      </c>
      <c r="CD24" s="47">
        <f>ROUND(IF(OR(CD$3&lt;$DF24,CD$3&gt;$CW$4),0,
IF(CD$3=$DF24+'Model Setup'!$B$7,SUMIF($BH$3:$CE$3,"="&amp;$DF24+'Model Setup'!$B$7,$AD24:$BA24)+'Model Setup'!$B$8*(SUMIF($BH$3:$CE$3,"&lt;"&amp;$DF24,$AD24:$BA24)+SUMIF($BH$3:$CE$3,"&gt;"&amp;$CW$4,$AD24:$BA24)),
IF(CD$3=$DF24+'Model Setup'!$C$7,SUMIF($BH$3:$CE$3,"="&amp;$DF24+'Model Setup'!$C$7,$AD24:$BA24)+'Model Setup'!$C$8*(SUMIF($BH$3:$CE$3,"&lt;"&amp;$DF24,$AD24:$BA24)+SUMIF($BH$3:$CE$3,"&gt;"&amp;$CW$4,$AD24:$BA24)),
IF(CD$3=$DF24+'Model Setup'!$D$7,SUMIF($BH$3:$CE$3,"="&amp;$DF24+'Model Setup'!$D$7,$AD24:$BA24)+'Model Setup'!$D$8*(SUMIF($BH$3:$CE$3,"&lt;"&amp;$DF24,$AD24:$BA24)+SUMIF($BH$3:$CE$3,"&gt;"&amp;$CW$4,$AD24:$BA24)),
IF(CD$3=$DF24+'Model Setup'!$E$7,SUMIF($BH$3:$CE$3,"="&amp;$DF24+'Model Setup'!$E$7,$AD24:$BA24)+'Model Setup'!$E$8*(SUMIF($BH$3:$CE$3,"&lt;"&amp;$DF24,$AD24:$BA24)+SUMIF($BH$3:$CE$3,"&gt;"&amp;$CW$4,$AD24:$BA24)),
IF(CD$3=$DF24+'Model Setup'!$F$7,SUMIF($BH$3:$CE$3,"="&amp;$DF24+'Model Setup'!$F$7,$AD24:$BA24)+'Model Setup'!$F$8*(SUMIF($BH$3:$CE$3,"&lt;"&amp;$DF24,$AD24:$BA24)+SUMIF($BH$3:$CE$3,"&gt;"&amp;$CW$4,$AD24:$BA24)),
IF(CD$3=$DF24+'Model Setup'!$G$7,SUMIF($BH$3:$CE$3,"="&amp;$DF24+'Model Setup'!$G$7,$AD24:$BA24)+'Model Setup'!$G$8*(SUMIF($BH$3:$CE$3,"&lt;"&amp;$DF24,$AD24:$BA24)+SUMIF($BH$3:$CE$3,"&gt;"&amp;$CW$4,$AD24:$BA24)),
IF(CD$3=$DF24+'Model Setup'!$H$7,SUMIF($BH$3:$CE$3,"="&amp;$DF24+'Model Setup'!$H$7,$AD24:$BA24)+'Model Setup'!$H$8*(SUMIF($BH$3:$CE$3,"&lt;"&amp;$DF24,$AD24:$BA24)+SUMIF($BH$3:$CE$3,"&gt;"&amp;$CW$4,$AD24:$BA24)),
IF(CD$3=$DF24+'Model Setup'!$I$7,SUMIF($BH$3:$CE$3,"="&amp;$DF24+'Model Setup'!$I$7,$AD24:$BA24)+'Model Setup'!$I$8*(SUMIF($BH$3:$CE$3,"&lt;"&amp;$DF24,$AD24:$BA24)+SUMIF($BH$3:$CE$3,"&gt;"&amp;$CW$4,$AD24:$BA24)),
IF(CD$3=$DF24+'Model Setup'!$J$7,SUMIF($BH$3:$CE$3,"="&amp;$DF24+'Model Setup'!$J$7,$AD24:$BA24)+'Model Setup'!$J$8*(SUMIF($BH$3:$CE$3,"&lt;"&amp;$DF24,$AD24:$BA24)+SUMIF($BH$3:$CE$3,"&gt;"&amp;$CW$4,$AD24:$BA24)),
IF(CD$3=$DF24+'Model Setup'!$K$7,SUMIF($BH$3:$CE$3,"="&amp;$DF24+'Model Setup'!$K$7,$AD24:$BA24)+'Model Setup'!$K$8*(SUMIF($BH$3:$CE$3,"&lt;"&amp;$DF24,$AD24:$BA24)+SUMIF($BH$3:$CE$3,"&gt;"&amp;$CW$4,$AD24:$BA24)),
IF(CD$3=$DF24+'Model Setup'!$L$7,SUMIF($BH$3:$CE$3,"="&amp;$DF24+'Model Setup'!$L$7,$AD24:$BA24)+'Model Setup'!$L$8*(SUMIF($BH$3:$CE$3,"&lt;"&amp;$DF24,$AD24:$BA24)+SUMIF($BH$3:$CE$3,"&gt;"&amp;$CW$4,$AD24:$BA24)),
IF(CD$3=$DF24+'Model Setup'!$M$7,SUMIF($BH$3:$CE$3,"="&amp;$DF24+'Model Setup'!$M$7,$AD24:$BA24)+'Model Setup'!$M$8*(SUMIF($BH$3:$CE$3,"&lt;"&amp;$DF24,$AD24:$BA24)+SUMIF($BH$3:$CE$3,"&gt;"&amp;$CW$4,$AD24:$BA24)),
IF(CD$3=$DF24+'Model Setup'!$N$7,SUMIF($BH$3:$CE$3,"="&amp;$DF24+'Model Setup'!$N$7,$AD24:$BA24)+'Model Setup'!$N$8*(SUMIF($BH$3:$CE$3,"&lt;"&amp;$DF24,$AD24:$BA24)+SUMIF($BH$3:$CE$3,"&gt;"&amp;$CW$4,$AD24:$BA24)),
IF(CD$3&lt;$CW$4,X24,0))))))))))))))),0)</f>
        <v>0</v>
      </c>
      <c r="CE24" s="47">
        <f>ROUND(IF(OR(CE$3&lt;$DF24,CE$3&gt;$CW$4),0,
IF(CE$3=$DF24+'Model Setup'!$B$7,SUMIF($BH$3:$CE$3,"="&amp;$DF24+'Model Setup'!$B$7,$AD24:$BA24)+'Model Setup'!$B$8*(SUMIF($BH$3:$CE$3,"&lt;"&amp;$DF24,$AD24:$BA24)+SUMIF($BH$3:$CE$3,"&gt;"&amp;$CW$4,$AD24:$BA24)),
IF(CE$3=$DF24+'Model Setup'!$C$7,SUMIF($BH$3:$CE$3,"="&amp;$DF24+'Model Setup'!$C$7,$AD24:$BA24)+'Model Setup'!$C$8*(SUMIF($BH$3:$CE$3,"&lt;"&amp;$DF24,$AD24:$BA24)+SUMIF($BH$3:$CE$3,"&gt;"&amp;$CW$4,$AD24:$BA24)),
IF(CE$3=$DF24+'Model Setup'!$D$7,SUMIF($BH$3:$CE$3,"="&amp;$DF24+'Model Setup'!$D$7,$AD24:$BA24)+'Model Setup'!$D$8*(SUMIF($BH$3:$CE$3,"&lt;"&amp;$DF24,$AD24:$BA24)+SUMIF($BH$3:$CE$3,"&gt;"&amp;$CW$4,$AD24:$BA24)),
IF(CE$3=$DF24+'Model Setup'!$E$7,SUMIF($BH$3:$CE$3,"="&amp;$DF24+'Model Setup'!$E$7,$AD24:$BA24)+'Model Setup'!$E$8*(SUMIF($BH$3:$CE$3,"&lt;"&amp;$DF24,$AD24:$BA24)+SUMIF($BH$3:$CE$3,"&gt;"&amp;$CW$4,$AD24:$BA24)),
IF(CE$3=$DF24+'Model Setup'!$F$7,SUMIF($BH$3:$CE$3,"="&amp;$DF24+'Model Setup'!$F$7,$AD24:$BA24)+'Model Setup'!$F$8*(SUMIF($BH$3:$CE$3,"&lt;"&amp;$DF24,$AD24:$BA24)+SUMIF($BH$3:$CE$3,"&gt;"&amp;$CW$4,$AD24:$BA24)),
IF(CE$3=$DF24+'Model Setup'!$G$7,SUMIF($BH$3:$CE$3,"="&amp;$DF24+'Model Setup'!$G$7,$AD24:$BA24)+'Model Setup'!$G$8*(SUMIF($BH$3:$CE$3,"&lt;"&amp;$DF24,$AD24:$BA24)+SUMIF($BH$3:$CE$3,"&gt;"&amp;$CW$4,$AD24:$BA24)),
IF(CE$3=$DF24+'Model Setup'!$H$7,SUMIF($BH$3:$CE$3,"="&amp;$DF24+'Model Setup'!$H$7,$AD24:$BA24)+'Model Setup'!$H$8*(SUMIF($BH$3:$CE$3,"&lt;"&amp;$DF24,$AD24:$BA24)+SUMIF($BH$3:$CE$3,"&gt;"&amp;$CW$4,$AD24:$BA24)),
IF(CE$3=$DF24+'Model Setup'!$I$7,SUMIF($BH$3:$CE$3,"="&amp;$DF24+'Model Setup'!$I$7,$AD24:$BA24)+'Model Setup'!$I$8*(SUMIF($BH$3:$CE$3,"&lt;"&amp;$DF24,$AD24:$BA24)+SUMIF($BH$3:$CE$3,"&gt;"&amp;$CW$4,$AD24:$BA24)),
IF(CE$3=$DF24+'Model Setup'!$J$7,SUMIF($BH$3:$CE$3,"="&amp;$DF24+'Model Setup'!$J$7,$AD24:$BA24)+'Model Setup'!$J$8*(SUMIF($BH$3:$CE$3,"&lt;"&amp;$DF24,$AD24:$BA24)+SUMIF($BH$3:$CE$3,"&gt;"&amp;$CW$4,$AD24:$BA24)),
IF(CE$3=$DF24+'Model Setup'!$K$7,SUMIF($BH$3:$CE$3,"="&amp;$DF24+'Model Setup'!$K$7,$AD24:$BA24)+'Model Setup'!$K$8*(SUMIF($BH$3:$CE$3,"&lt;"&amp;$DF24,$AD24:$BA24)+SUMIF($BH$3:$CE$3,"&gt;"&amp;$CW$4,$AD24:$BA24)),
IF(CE$3=$DF24+'Model Setup'!$L$7,SUMIF($BH$3:$CE$3,"="&amp;$DF24+'Model Setup'!$L$7,$AD24:$BA24)+'Model Setup'!$L$8*(SUMIF($BH$3:$CE$3,"&lt;"&amp;$DF24,$AD24:$BA24)+SUMIF($BH$3:$CE$3,"&gt;"&amp;$CW$4,$AD24:$BA24)),
IF(CE$3=$DF24+'Model Setup'!$M$7,SUMIF($BH$3:$CE$3,"="&amp;$DF24+'Model Setup'!$M$7,$AD24:$BA24)+'Model Setup'!$M$8*(SUMIF($BH$3:$CE$3,"&lt;"&amp;$DF24,$AD24:$BA24)+SUMIF($BH$3:$CE$3,"&gt;"&amp;$CW$4,$AD24:$BA24)),
IF(CE$3=$DF24+'Model Setup'!$N$7,SUMIF($BH$3:$CE$3,"="&amp;$DF24+'Model Setup'!$N$7,$AD24:$BA24)+'Model Setup'!$N$8*(SUMIF($BH$3:$CE$3,"&lt;"&amp;$DF24,$AD24:$BA24)+SUMIF($BH$3:$CE$3,"&gt;"&amp;$CW$4,$AD24:$BA24)),
IF(CE$3&lt;$CW$4,Y24,0))))))))))))))),0)</f>
        <v>0</v>
      </c>
      <c r="CF24" s="47">
        <f t="shared" si="3"/>
        <v>942</v>
      </c>
      <c r="CG24" s="47">
        <f t="shared" si="4"/>
        <v>0</v>
      </c>
      <c r="CI24" s="10" t="s">
        <v>39</v>
      </c>
      <c r="CJ24" s="126">
        <f t="shared" si="9"/>
        <v>41</v>
      </c>
      <c r="CK24" s="126">
        <f t="shared" si="10"/>
        <v>84</v>
      </c>
      <c r="CL24" s="126">
        <f t="shared" si="11"/>
        <v>90</v>
      </c>
      <c r="CM24" s="126">
        <f t="shared" si="12"/>
        <v>110</v>
      </c>
      <c r="CN24" s="126">
        <f t="shared" si="13"/>
        <v>95</v>
      </c>
      <c r="CO24" s="126">
        <f t="shared" si="14"/>
        <v>81</v>
      </c>
      <c r="CP24" s="126">
        <f t="shared" si="15"/>
        <v>65</v>
      </c>
      <c r="CQ24" s="126">
        <f t="shared" si="16"/>
        <v>66</v>
      </c>
      <c r="CR24" s="126">
        <f t="shared" si="17"/>
        <v>60</v>
      </c>
      <c r="CS24" s="126">
        <f t="shared" si="18"/>
        <v>36</v>
      </c>
      <c r="CT24" s="126">
        <f t="shared" si="19"/>
        <v>71</v>
      </c>
      <c r="CU24" s="126">
        <f t="shared" si="20"/>
        <v>80</v>
      </c>
      <c r="CV24" s="126">
        <f t="shared" si="21"/>
        <v>63</v>
      </c>
      <c r="CW24" s="126">
        <f t="shared" si="22"/>
        <v>0</v>
      </c>
      <c r="CX24" s="126">
        <f t="shared" si="23"/>
        <v>0</v>
      </c>
      <c r="CY24" s="126">
        <f t="shared" si="24"/>
        <v>0</v>
      </c>
      <c r="CZ24" s="47">
        <f t="shared" si="7"/>
        <v>942</v>
      </c>
      <c r="DC24" s="93" t="s">
        <v>39</v>
      </c>
      <c r="DD24" s="89">
        <f>FTC!E22</f>
        <v>0.20833333333333334</v>
      </c>
      <c r="DE24" s="89">
        <f>FTC!F22</f>
        <v>0.70833333333333337</v>
      </c>
      <c r="DF24" s="90">
        <f t="shared" si="25"/>
        <v>5</v>
      </c>
      <c r="DG24" s="91">
        <f t="shared" si="26"/>
        <v>17</v>
      </c>
      <c r="DH24" s="91">
        <f t="shared" si="27"/>
        <v>12</v>
      </c>
    </row>
    <row r="25" spans="1:112" x14ac:dyDescent="0.35">
      <c r="A25" s="43" t="s">
        <v>40</v>
      </c>
      <c r="B25" s="47">
        <v>3</v>
      </c>
      <c r="C25" s="47">
        <v>5</v>
      </c>
      <c r="D25" s="47">
        <v>3</v>
      </c>
      <c r="E25" s="47">
        <v>11</v>
      </c>
      <c r="F25" s="47">
        <v>12</v>
      </c>
      <c r="G25" s="47">
        <v>27</v>
      </c>
      <c r="H25" s="47">
        <v>101</v>
      </c>
      <c r="I25" s="47">
        <v>124</v>
      </c>
      <c r="J25" s="47">
        <v>123</v>
      </c>
      <c r="K25" s="47">
        <v>151</v>
      </c>
      <c r="L25" s="47">
        <v>111</v>
      </c>
      <c r="M25" s="47">
        <v>81</v>
      </c>
      <c r="N25" s="47">
        <v>71</v>
      </c>
      <c r="O25" s="47">
        <v>73</v>
      </c>
      <c r="P25" s="47">
        <v>33</v>
      </c>
      <c r="Q25" s="47">
        <v>30</v>
      </c>
      <c r="R25" s="47">
        <v>25</v>
      </c>
      <c r="S25" s="47">
        <v>18</v>
      </c>
      <c r="T25" s="47">
        <v>13</v>
      </c>
      <c r="U25" s="47">
        <v>3</v>
      </c>
      <c r="V25" s="47">
        <v>9</v>
      </c>
      <c r="W25" s="47">
        <v>7</v>
      </c>
      <c r="X25" s="47">
        <v>5</v>
      </c>
      <c r="Y25" s="47">
        <v>1</v>
      </c>
      <c r="Z25" s="47">
        <f t="shared" si="0"/>
        <v>1040</v>
      </c>
      <c r="AC25" s="43" t="s">
        <v>40</v>
      </c>
      <c r="AD25" s="47">
        <f>ROUND(IF(AD$3&lt;$DF25,0,
IF(AD$3=$DF25+'Model Setup'!$B$7,SUMIF($AD$3:$BA$3,"="&amp;$DF25+'Model Setup'!$B$7,$B25:$Y25)+'Model Setup'!$B$8*(SUMIF($AD$3:$BA$3,"&lt;"&amp;$DF25,$B25:$Y25)+SUMIF($AD$3:$BA$3,"&gt;="&amp;$DG25,$B25:$Y25)),
IF(AD$3=$DF25+'Model Setup'!$C$7,SUMIF($AD$3:$BA$3,"="&amp;$DF25+'Model Setup'!$C$7,$B25:$Y25)+'Model Setup'!$C$8*(SUMIF($AD$3:$BA$3,"&lt;"&amp;$DF25,$B25:$Y25)+SUMIF($AD$3:$BA$3,"&gt;="&amp;$DG25,$B25:$Y25)),
IF(AD$3=$DF25+'Model Setup'!$D$7,SUMIF($AD$3:$BA$3,"="&amp;$DF25+'Model Setup'!$D$7,$B25:$Y25)+'Model Setup'!$D$8*(SUMIF($AD$3:$BA$3,"&lt;"&amp;$DF25,$B25:$Y25)+SUMIF($AD$3:$BA$3,"&gt;="&amp;$DG25,$B25:$Y25)),
IF(AD$3=$DF25+'Model Setup'!$E$7,SUMIF($AD$3:$BA$3,"="&amp;$DF25+'Model Setup'!$E$7,$B25:$Y25)+'Model Setup'!$E$8*(SUMIF($AD$3:$BA$3,"&lt;"&amp;$DF25,$B25:$Y25)+SUMIF($AD$3:$BA$3,"&gt;="&amp;$DG25,$B25:$Y25)),
IF(AD$3=$DF25+'Model Setup'!$F$7,SUMIF($AD$3:$BA$3,"="&amp;$DF25+'Model Setup'!$F$7,$B25:$Y25)+'Model Setup'!$F$8*(SUMIF($AD$3:$BA$3,"&lt;"&amp;$DF25,$B25:$Y25)+SUMIF($AD$3:$BA$3,"&gt;="&amp;$DG25,$B25:$Y25)),
IF(AD$3=$DF25+'Model Setup'!$G$7,SUMIF($AD$3:$BA$3,"="&amp;$DF25+'Model Setup'!$G$7,$B25:$Y25)+'Model Setup'!$G$8*(SUMIF($AD$3:$BA$3,"&lt;"&amp;$DF25,$B25:$Y25)+SUMIF($AD$3:$BA$3,"&gt;="&amp;$DG25,$B25:$Y25)),
IF(AD$3=$DF25+'Model Setup'!$H$7,SUMIF($AD$3:$BA$3,"="&amp;$DF25+'Model Setup'!$H$7,$B25:$Y25)+'Model Setup'!$H$8*(SUMIF($AD$3:$BA$3,"&lt;"&amp;$DF25,$B25:$Y25)+SUMIF($AD$3:$BA$3,"&gt;="&amp;$DG25,$B25:$Y25)),
IF(AD$3=$DF25+'Model Setup'!$I$7,SUMIF($AD$3:$BA$3,"="&amp;$DF25+'Model Setup'!$I$7,$B25:$Y25)+'Model Setup'!$I$8*(SUMIF($AD$3:$BA$3,"&lt;"&amp;$DF25,$B25:$Y25)+SUMIF($AD$3:$BA$3,"&gt;="&amp;$DG25,$B25:$Y25)),
IF(AD$3=$DF25+'Model Setup'!$J$7,SUMIF($AD$3:$BA$3,"="&amp;$DF25+'Model Setup'!$J$7,$B25:$Y25)+'Model Setup'!$J$8*(SUMIF($AD$3:$BA$3,"&lt;"&amp;$DF25,$B25:$Y25)+SUMIF($AD$3:$BA$3,"&gt;="&amp;$DG25,$B25:$Y25)),
IF(AD$3=$DF25+'Model Setup'!$K$7,SUMIF($AD$3:$BA$3,"="&amp;$DF25+'Model Setup'!$K$7,$B25:$Y25)+'Model Setup'!$K$8*(SUMIF($AD$3:$BA$3,"&lt;"&amp;$DF25,$B25:$Y25)+SUMIF($AD$3:$BA$3,"&gt;="&amp;$DG25,$B25:$Y25)),
IF(AD$3=$DF25+'Model Setup'!$L$7,SUMIF($AD$3:$BA$3,"="&amp;$DF25+'Model Setup'!$L$7,$B25:$Y25)+'Model Setup'!$L$8*(SUMIF($AD$3:$BA$3,"&lt;"&amp;$DF25,$B25:$Y25)+SUMIF($AD$3:$BA$3,"&gt;="&amp;$DG25,$B25:$Y25)),
IF(AD$3=$DF25+'Model Setup'!$M$7,SUMIF($AD$3:$BA$3,"="&amp;$DF25+'Model Setup'!$M$7,$B25:$Y25)+'Model Setup'!$M$8*(SUMIF($AD$3:$BA$3,"&lt;"&amp;$DF25,$B25:$Y25)+SUMIF($AD$3:$BA$3,"&gt;="&amp;$DG25,$B25:$Y25)),
IF(AD$3=$DF25+'Model Setup'!$N$7,SUMIF($AD$3:$BA$3,"="&amp;$DF25+'Model Setup'!$N$7,$B25:$Y25)+'Model Setup'!$N$8*(SUMIF($AD$3:$BA$3,"&lt;"&amp;$DF25,$B25:$Y25)+SUMIF($AD$3:$BA$3,"&gt;="&amp;$DG25,$B25:$Y25)),
IF(AD$3&lt;$DG25,B25,0))))))))))))))),0)</f>
        <v>0</v>
      </c>
      <c r="AE25" s="47">
        <f>ROUND(IF(AE$3&lt;$DF25,0,
IF(AE$3=$DF25+'Model Setup'!$B$7,SUMIF($AD$3:$BA$3,"="&amp;$DF25+'Model Setup'!$B$7,$B25:$Y25)+'Model Setup'!$B$8*(SUMIF($AD$3:$BA$3,"&lt;"&amp;$DF25,$B25:$Y25)+SUMIF($AD$3:$BA$3,"&gt;="&amp;$DG25,$B25:$Y25)),
IF(AE$3=$DF25+'Model Setup'!$C$7,SUMIF($AD$3:$BA$3,"="&amp;$DF25+'Model Setup'!$C$7,$B25:$Y25)+'Model Setup'!$C$8*(SUMIF($AD$3:$BA$3,"&lt;"&amp;$DF25,$B25:$Y25)+SUMIF($AD$3:$BA$3,"&gt;="&amp;$DG25,$B25:$Y25)),
IF(AE$3=$DF25+'Model Setup'!$D$7,SUMIF($AD$3:$BA$3,"="&amp;$DF25+'Model Setup'!$D$7,$B25:$Y25)+'Model Setup'!$D$8*(SUMIF($AD$3:$BA$3,"&lt;"&amp;$DF25,$B25:$Y25)+SUMIF($AD$3:$BA$3,"&gt;="&amp;$DG25,$B25:$Y25)),
IF(AE$3=$DF25+'Model Setup'!$E$7,SUMIF($AD$3:$BA$3,"="&amp;$DF25+'Model Setup'!$E$7,$B25:$Y25)+'Model Setup'!$E$8*(SUMIF($AD$3:$BA$3,"&lt;"&amp;$DF25,$B25:$Y25)+SUMIF($AD$3:$BA$3,"&gt;="&amp;$DG25,$B25:$Y25)),
IF(AE$3=$DF25+'Model Setup'!$F$7,SUMIF($AD$3:$BA$3,"="&amp;$DF25+'Model Setup'!$F$7,$B25:$Y25)+'Model Setup'!$F$8*(SUMIF($AD$3:$BA$3,"&lt;"&amp;$DF25,$B25:$Y25)+SUMIF($AD$3:$BA$3,"&gt;="&amp;$DG25,$B25:$Y25)),
IF(AE$3=$DF25+'Model Setup'!$G$7,SUMIF($AD$3:$BA$3,"="&amp;$DF25+'Model Setup'!$G$7,$B25:$Y25)+'Model Setup'!$G$8*(SUMIF($AD$3:$BA$3,"&lt;"&amp;$DF25,$B25:$Y25)+SUMIF($AD$3:$BA$3,"&gt;="&amp;$DG25,$B25:$Y25)),
IF(AE$3=$DF25+'Model Setup'!$H$7,SUMIF($AD$3:$BA$3,"="&amp;$DF25+'Model Setup'!$H$7,$B25:$Y25)+'Model Setup'!$H$8*(SUMIF($AD$3:$BA$3,"&lt;"&amp;$DF25,$B25:$Y25)+SUMIF($AD$3:$BA$3,"&gt;="&amp;$DG25,$B25:$Y25)),
IF(AE$3=$DF25+'Model Setup'!$I$7,SUMIF($AD$3:$BA$3,"="&amp;$DF25+'Model Setup'!$I$7,$B25:$Y25)+'Model Setup'!$I$8*(SUMIF($AD$3:$BA$3,"&lt;"&amp;$DF25,$B25:$Y25)+SUMIF($AD$3:$BA$3,"&gt;="&amp;$DG25,$B25:$Y25)),
IF(AE$3=$DF25+'Model Setup'!$J$7,SUMIF($AD$3:$BA$3,"="&amp;$DF25+'Model Setup'!$J$7,$B25:$Y25)+'Model Setup'!$J$8*(SUMIF($AD$3:$BA$3,"&lt;"&amp;$DF25,$B25:$Y25)+SUMIF($AD$3:$BA$3,"&gt;="&amp;$DG25,$B25:$Y25)),
IF(AE$3=$DF25+'Model Setup'!$K$7,SUMIF($AD$3:$BA$3,"="&amp;$DF25+'Model Setup'!$K$7,$B25:$Y25)+'Model Setup'!$K$8*(SUMIF($AD$3:$BA$3,"&lt;"&amp;$DF25,$B25:$Y25)+SUMIF($AD$3:$BA$3,"&gt;="&amp;$DG25,$B25:$Y25)),
IF(AE$3=$DF25+'Model Setup'!$L$7,SUMIF($AD$3:$BA$3,"="&amp;$DF25+'Model Setup'!$L$7,$B25:$Y25)+'Model Setup'!$L$8*(SUMIF($AD$3:$BA$3,"&lt;"&amp;$DF25,$B25:$Y25)+SUMIF($AD$3:$BA$3,"&gt;="&amp;$DG25,$B25:$Y25)),
IF(AE$3=$DF25+'Model Setup'!$M$7,SUMIF($AD$3:$BA$3,"="&amp;$DF25+'Model Setup'!$M$7,$B25:$Y25)+'Model Setup'!$M$8*(SUMIF($AD$3:$BA$3,"&lt;"&amp;$DF25,$B25:$Y25)+SUMIF($AD$3:$BA$3,"&gt;="&amp;$DG25,$B25:$Y25)),
IF(AE$3=$DF25+'Model Setup'!$N$7,SUMIF($AD$3:$BA$3,"="&amp;$DF25+'Model Setup'!$N$7,$B25:$Y25)+'Model Setup'!$N$8*(SUMIF($AD$3:$BA$3,"&lt;"&amp;$DF25,$B25:$Y25)+SUMIF($AD$3:$BA$3,"&gt;="&amp;$DG25,$B25:$Y25)),
IF(AE$3&lt;$DG25,C25,0))))))))))))))),0)</f>
        <v>0</v>
      </c>
      <c r="AF25" s="47">
        <f>ROUND(IF(AF$3&lt;$DF25,0,
IF(AF$3=$DF25+'Model Setup'!$B$7,SUMIF($AD$3:$BA$3,"="&amp;$DF25+'Model Setup'!$B$7,$B25:$Y25)+'Model Setup'!$B$8*(SUMIF($AD$3:$BA$3,"&lt;"&amp;$DF25,$B25:$Y25)+SUMIF($AD$3:$BA$3,"&gt;="&amp;$DG25,$B25:$Y25)),
IF(AF$3=$DF25+'Model Setup'!$C$7,SUMIF($AD$3:$BA$3,"="&amp;$DF25+'Model Setup'!$C$7,$B25:$Y25)+'Model Setup'!$C$8*(SUMIF($AD$3:$BA$3,"&lt;"&amp;$DF25,$B25:$Y25)+SUMIF($AD$3:$BA$3,"&gt;="&amp;$DG25,$B25:$Y25)),
IF(AF$3=$DF25+'Model Setup'!$D$7,SUMIF($AD$3:$BA$3,"="&amp;$DF25+'Model Setup'!$D$7,$B25:$Y25)+'Model Setup'!$D$8*(SUMIF($AD$3:$BA$3,"&lt;"&amp;$DF25,$B25:$Y25)+SUMIF($AD$3:$BA$3,"&gt;="&amp;$DG25,$B25:$Y25)),
IF(AF$3=$DF25+'Model Setup'!$E$7,SUMIF($AD$3:$BA$3,"="&amp;$DF25+'Model Setup'!$E$7,$B25:$Y25)+'Model Setup'!$E$8*(SUMIF($AD$3:$BA$3,"&lt;"&amp;$DF25,$B25:$Y25)+SUMIF($AD$3:$BA$3,"&gt;="&amp;$DG25,$B25:$Y25)),
IF(AF$3=$DF25+'Model Setup'!$F$7,SUMIF($AD$3:$BA$3,"="&amp;$DF25+'Model Setup'!$F$7,$B25:$Y25)+'Model Setup'!$F$8*(SUMIF($AD$3:$BA$3,"&lt;"&amp;$DF25,$B25:$Y25)+SUMIF($AD$3:$BA$3,"&gt;="&amp;$DG25,$B25:$Y25)),
IF(AF$3=$DF25+'Model Setup'!$G$7,SUMIF($AD$3:$BA$3,"="&amp;$DF25+'Model Setup'!$G$7,$B25:$Y25)+'Model Setup'!$G$8*(SUMIF($AD$3:$BA$3,"&lt;"&amp;$DF25,$B25:$Y25)+SUMIF($AD$3:$BA$3,"&gt;="&amp;$DG25,$B25:$Y25)),
IF(AF$3=$DF25+'Model Setup'!$H$7,SUMIF($AD$3:$BA$3,"="&amp;$DF25+'Model Setup'!$H$7,$B25:$Y25)+'Model Setup'!$H$8*(SUMIF($AD$3:$BA$3,"&lt;"&amp;$DF25,$B25:$Y25)+SUMIF($AD$3:$BA$3,"&gt;="&amp;$DG25,$B25:$Y25)),
IF(AF$3=$DF25+'Model Setup'!$I$7,SUMIF($AD$3:$BA$3,"="&amp;$DF25+'Model Setup'!$I$7,$B25:$Y25)+'Model Setup'!$I$8*(SUMIF($AD$3:$BA$3,"&lt;"&amp;$DF25,$B25:$Y25)+SUMIF($AD$3:$BA$3,"&gt;="&amp;$DG25,$B25:$Y25)),
IF(AF$3=$DF25+'Model Setup'!$J$7,SUMIF($AD$3:$BA$3,"="&amp;$DF25+'Model Setup'!$J$7,$B25:$Y25)+'Model Setup'!$J$8*(SUMIF($AD$3:$BA$3,"&lt;"&amp;$DF25,$B25:$Y25)+SUMIF($AD$3:$BA$3,"&gt;="&amp;$DG25,$B25:$Y25)),
IF(AF$3=$DF25+'Model Setup'!$K$7,SUMIF($AD$3:$BA$3,"="&amp;$DF25+'Model Setup'!$K$7,$B25:$Y25)+'Model Setup'!$K$8*(SUMIF($AD$3:$BA$3,"&lt;"&amp;$DF25,$B25:$Y25)+SUMIF($AD$3:$BA$3,"&gt;="&amp;$DG25,$B25:$Y25)),
IF(AF$3=$DF25+'Model Setup'!$L$7,SUMIF($AD$3:$BA$3,"="&amp;$DF25+'Model Setup'!$L$7,$B25:$Y25)+'Model Setup'!$L$8*(SUMIF($AD$3:$BA$3,"&lt;"&amp;$DF25,$B25:$Y25)+SUMIF($AD$3:$BA$3,"&gt;="&amp;$DG25,$B25:$Y25)),
IF(AF$3=$DF25+'Model Setup'!$M$7,SUMIF($AD$3:$BA$3,"="&amp;$DF25+'Model Setup'!$M$7,$B25:$Y25)+'Model Setup'!$M$8*(SUMIF($AD$3:$BA$3,"&lt;"&amp;$DF25,$B25:$Y25)+SUMIF($AD$3:$BA$3,"&gt;="&amp;$DG25,$B25:$Y25)),
IF(AF$3=$DF25+'Model Setup'!$N$7,SUMIF($AD$3:$BA$3,"="&amp;$DF25+'Model Setup'!$N$7,$B25:$Y25)+'Model Setup'!$N$8*(SUMIF($AD$3:$BA$3,"&lt;"&amp;$DF25,$B25:$Y25)+SUMIF($AD$3:$BA$3,"&gt;="&amp;$DG25,$B25:$Y25)),
IF(AF$3&lt;$DG25,D25,0))))))))))))))),0)</f>
        <v>0</v>
      </c>
      <c r="AG25" s="47">
        <f>ROUND(IF(AG$3&lt;$DF25,0,
IF(AG$3=$DF25+'Model Setup'!$B$7,SUMIF($AD$3:$BA$3,"="&amp;$DF25+'Model Setup'!$B$7,$B25:$Y25)+'Model Setup'!$B$8*(SUMIF($AD$3:$BA$3,"&lt;"&amp;$DF25,$B25:$Y25)+SUMIF($AD$3:$BA$3,"&gt;="&amp;$DG25,$B25:$Y25)),
IF(AG$3=$DF25+'Model Setup'!$C$7,SUMIF($AD$3:$BA$3,"="&amp;$DF25+'Model Setup'!$C$7,$B25:$Y25)+'Model Setup'!$C$8*(SUMIF($AD$3:$BA$3,"&lt;"&amp;$DF25,$B25:$Y25)+SUMIF($AD$3:$BA$3,"&gt;="&amp;$DG25,$B25:$Y25)),
IF(AG$3=$DF25+'Model Setup'!$D$7,SUMIF($AD$3:$BA$3,"="&amp;$DF25+'Model Setup'!$D$7,$B25:$Y25)+'Model Setup'!$D$8*(SUMIF($AD$3:$BA$3,"&lt;"&amp;$DF25,$B25:$Y25)+SUMIF($AD$3:$BA$3,"&gt;="&amp;$DG25,$B25:$Y25)),
IF(AG$3=$DF25+'Model Setup'!$E$7,SUMIF($AD$3:$BA$3,"="&amp;$DF25+'Model Setup'!$E$7,$B25:$Y25)+'Model Setup'!$E$8*(SUMIF($AD$3:$BA$3,"&lt;"&amp;$DF25,$B25:$Y25)+SUMIF($AD$3:$BA$3,"&gt;="&amp;$DG25,$B25:$Y25)),
IF(AG$3=$DF25+'Model Setup'!$F$7,SUMIF($AD$3:$BA$3,"="&amp;$DF25+'Model Setup'!$F$7,$B25:$Y25)+'Model Setup'!$F$8*(SUMIF($AD$3:$BA$3,"&lt;"&amp;$DF25,$B25:$Y25)+SUMIF($AD$3:$BA$3,"&gt;="&amp;$DG25,$B25:$Y25)),
IF(AG$3=$DF25+'Model Setup'!$G$7,SUMIF($AD$3:$BA$3,"="&amp;$DF25+'Model Setup'!$G$7,$B25:$Y25)+'Model Setup'!$G$8*(SUMIF($AD$3:$BA$3,"&lt;"&amp;$DF25,$B25:$Y25)+SUMIF($AD$3:$BA$3,"&gt;="&amp;$DG25,$B25:$Y25)),
IF(AG$3=$DF25+'Model Setup'!$H$7,SUMIF($AD$3:$BA$3,"="&amp;$DF25+'Model Setup'!$H$7,$B25:$Y25)+'Model Setup'!$H$8*(SUMIF($AD$3:$BA$3,"&lt;"&amp;$DF25,$B25:$Y25)+SUMIF($AD$3:$BA$3,"&gt;="&amp;$DG25,$B25:$Y25)),
IF(AG$3=$DF25+'Model Setup'!$I$7,SUMIF($AD$3:$BA$3,"="&amp;$DF25+'Model Setup'!$I$7,$B25:$Y25)+'Model Setup'!$I$8*(SUMIF($AD$3:$BA$3,"&lt;"&amp;$DF25,$B25:$Y25)+SUMIF($AD$3:$BA$3,"&gt;="&amp;$DG25,$B25:$Y25)),
IF(AG$3=$DF25+'Model Setup'!$J$7,SUMIF($AD$3:$BA$3,"="&amp;$DF25+'Model Setup'!$J$7,$B25:$Y25)+'Model Setup'!$J$8*(SUMIF($AD$3:$BA$3,"&lt;"&amp;$DF25,$B25:$Y25)+SUMIF($AD$3:$BA$3,"&gt;="&amp;$DG25,$B25:$Y25)),
IF(AG$3=$DF25+'Model Setup'!$K$7,SUMIF($AD$3:$BA$3,"="&amp;$DF25+'Model Setup'!$K$7,$B25:$Y25)+'Model Setup'!$K$8*(SUMIF($AD$3:$BA$3,"&lt;"&amp;$DF25,$B25:$Y25)+SUMIF($AD$3:$BA$3,"&gt;="&amp;$DG25,$B25:$Y25)),
IF(AG$3=$DF25+'Model Setup'!$L$7,SUMIF($AD$3:$BA$3,"="&amp;$DF25+'Model Setup'!$L$7,$B25:$Y25)+'Model Setup'!$L$8*(SUMIF($AD$3:$BA$3,"&lt;"&amp;$DF25,$B25:$Y25)+SUMIF($AD$3:$BA$3,"&gt;="&amp;$DG25,$B25:$Y25)),
IF(AG$3=$DF25+'Model Setup'!$M$7,SUMIF($AD$3:$BA$3,"="&amp;$DF25+'Model Setup'!$M$7,$B25:$Y25)+'Model Setup'!$M$8*(SUMIF($AD$3:$BA$3,"&lt;"&amp;$DF25,$B25:$Y25)+SUMIF($AD$3:$BA$3,"&gt;="&amp;$DG25,$B25:$Y25)),
IF(AG$3=$DF25+'Model Setup'!$N$7,SUMIF($AD$3:$BA$3,"="&amp;$DF25+'Model Setup'!$N$7,$B25:$Y25)+'Model Setup'!$N$8*(SUMIF($AD$3:$BA$3,"&lt;"&amp;$DF25,$B25:$Y25)+SUMIF($AD$3:$BA$3,"&gt;="&amp;$DG25,$B25:$Y25)),
IF(AG$3&lt;$DG25,E25,0))))))))))))))),0)</f>
        <v>0</v>
      </c>
      <c r="AH25" s="47">
        <f>ROUND(IF(AH$3&lt;$DF25,0,
IF(AH$3=$DF25+'Model Setup'!$B$7,SUMIF($AD$3:$BA$3,"="&amp;$DF25+'Model Setup'!$B$7,$B25:$Y25)+'Model Setup'!$B$8*(SUMIF($AD$3:$BA$3,"&lt;"&amp;$DF25,$B25:$Y25)+SUMIF($AD$3:$BA$3,"&gt;="&amp;$DG25,$B25:$Y25)),
IF(AH$3=$DF25+'Model Setup'!$C$7,SUMIF($AD$3:$BA$3,"="&amp;$DF25+'Model Setup'!$C$7,$B25:$Y25)+'Model Setup'!$C$8*(SUMIF($AD$3:$BA$3,"&lt;"&amp;$DF25,$B25:$Y25)+SUMIF($AD$3:$BA$3,"&gt;="&amp;$DG25,$B25:$Y25)),
IF(AH$3=$DF25+'Model Setup'!$D$7,SUMIF($AD$3:$BA$3,"="&amp;$DF25+'Model Setup'!$D$7,$B25:$Y25)+'Model Setup'!$D$8*(SUMIF($AD$3:$BA$3,"&lt;"&amp;$DF25,$B25:$Y25)+SUMIF($AD$3:$BA$3,"&gt;="&amp;$DG25,$B25:$Y25)),
IF(AH$3=$DF25+'Model Setup'!$E$7,SUMIF($AD$3:$BA$3,"="&amp;$DF25+'Model Setup'!$E$7,$B25:$Y25)+'Model Setup'!$E$8*(SUMIF($AD$3:$BA$3,"&lt;"&amp;$DF25,$B25:$Y25)+SUMIF($AD$3:$BA$3,"&gt;="&amp;$DG25,$B25:$Y25)),
IF(AH$3=$DF25+'Model Setup'!$F$7,SUMIF($AD$3:$BA$3,"="&amp;$DF25+'Model Setup'!$F$7,$B25:$Y25)+'Model Setup'!$F$8*(SUMIF($AD$3:$BA$3,"&lt;"&amp;$DF25,$B25:$Y25)+SUMIF($AD$3:$BA$3,"&gt;="&amp;$DG25,$B25:$Y25)),
IF(AH$3=$DF25+'Model Setup'!$G$7,SUMIF($AD$3:$BA$3,"="&amp;$DF25+'Model Setup'!$G$7,$B25:$Y25)+'Model Setup'!$G$8*(SUMIF($AD$3:$BA$3,"&lt;"&amp;$DF25,$B25:$Y25)+SUMIF($AD$3:$BA$3,"&gt;="&amp;$DG25,$B25:$Y25)),
IF(AH$3=$DF25+'Model Setup'!$H$7,SUMIF($AD$3:$BA$3,"="&amp;$DF25+'Model Setup'!$H$7,$B25:$Y25)+'Model Setup'!$H$8*(SUMIF($AD$3:$BA$3,"&lt;"&amp;$DF25,$B25:$Y25)+SUMIF($AD$3:$BA$3,"&gt;="&amp;$DG25,$B25:$Y25)),
IF(AH$3=$DF25+'Model Setup'!$I$7,SUMIF($AD$3:$BA$3,"="&amp;$DF25+'Model Setup'!$I$7,$B25:$Y25)+'Model Setup'!$I$8*(SUMIF($AD$3:$BA$3,"&lt;"&amp;$DF25,$B25:$Y25)+SUMIF($AD$3:$BA$3,"&gt;="&amp;$DG25,$B25:$Y25)),
IF(AH$3=$DF25+'Model Setup'!$J$7,SUMIF($AD$3:$BA$3,"="&amp;$DF25+'Model Setup'!$J$7,$B25:$Y25)+'Model Setup'!$J$8*(SUMIF($AD$3:$BA$3,"&lt;"&amp;$DF25,$B25:$Y25)+SUMIF($AD$3:$BA$3,"&gt;="&amp;$DG25,$B25:$Y25)),
IF(AH$3=$DF25+'Model Setup'!$K$7,SUMIF($AD$3:$BA$3,"="&amp;$DF25+'Model Setup'!$K$7,$B25:$Y25)+'Model Setup'!$K$8*(SUMIF($AD$3:$BA$3,"&lt;"&amp;$DF25,$B25:$Y25)+SUMIF($AD$3:$BA$3,"&gt;="&amp;$DG25,$B25:$Y25)),
IF(AH$3=$DF25+'Model Setup'!$L$7,SUMIF($AD$3:$BA$3,"="&amp;$DF25+'Model Setup'!$L$7,$B25:$Y25)+'Model Setup'!$L$8*(SUMIF($AD$3:$BA$3,"&lt;"&amp;$DF25,$B25:$Y25)+SUMIF($AD$3:$BA$3,"&gt;="&amp;$DG25,$B25:$Y25)),
IF(AH$3=$DF25+'Model Setup'!$M$7,SUMIF($AD$3:$BA$3,"="&amp;$DF25+'Model Setup'!$M$7,$B25:$Y25)+'Model Setup'!$M$8*(SUMIF($AD$3:$BA$3,"&lt;"&amp;$DF25,$B25:$Y25)+SUMIF($AD$3:$BA$3,"&gt;="&amp;$DG25,$B25:$Y25)),
IF(AH$3=$DF25+'Model Setup'!$N$7,SUMIF($AD$3:$BA$3,"="&amp;$DF25+'Model Setup'!$N$7,$B25:$Y25)+'Model Setup'!$N$8*(SUMIF($AD$3:$BA$3,"&lt;"&amp;$DF25,$B25:$Y25)+SUMIF($AD$3:$BA$3,"&gt;="&amp;$DG25,$B25:$Y25)),
IF(AH$3&lt;$DG25,F25,0))))))))))))))),0)</f>
        <v>0</v>
      </c>
      <c r="AI25" s="47">
        <f>ROUND(IF(AI$3&lt;$DF25,0,
IF(AI$3=$DF25+'Model Setup'!$B$7,SUMIF($AD$3:$BA$3,"="&amp;$DF25+'Model Setup'!$B$7,$B25:$Y25)+'Model Setup'!$B$8*(SUMIF($AD$3:$BA$3,"&lt;"&amp;$DF25,$B25:$Y25)+SUMIF($AD$3:$BA$3,"&gt;="&amp;$DG25,$B25:$Y25)),
IF(AI$3=$DF25+'Model Setup'!$C$7,SUMIF($AD$3:$BA$3,"="&amp;$DF25+'Model Setup'!$C$7,$B25:$Y25)+'Model Setup'!$C$8*(SUMIF($AD$3:$BA$3,"&lt;"&amp;$DF25,$B25:$Y25)+SUMIF($AD$3:$BA$3,"&gt;="&amp;$DG25,$B25:$Y25)),
IF(AI$3=$DF25+'Model Setup'!$D$7,SUMIF($AD$3:$BA$3,"="&amp;$DF25+'Model Setup'!$D$7,$B25:$Y25)+'Model Setup'!$D$8*(SUMIF($AD$3:$BA$3,"&lt;"&amp;$DF25,$B25:$Y25)+SUMIF($AD$3:$BA$3,"&gt;="&amp;$DG25,$B25:$Y25)),
IF(AI$3=$DF25+'Model Setup'!$E$7,SUMIF($AD$3:$BA$3,"="&amp;$DF25+'Model Setup'!$E$7,$B25:$Y25)+'Model Setup'!$E$8*(SUMIF($AD$3:$BA$3,"&lt;"&amp;$DF25,$B25:$Y25)+SUMIF($AD$3:$BA$3,"&gt;="&amp;$DG25,$B25:$Y25)),
IF(AI$3=$DF25+'Model Setup'!$F$7,SUMIF($AD$3:$BA$3,"="&amp;$DF25+'Model Setup'!$F$7,$B25:$Y25)+'Model Setup'!$F$8*(SUMIF($AD$3:$BA$3,"&lt;"&amp;$DF25,$B25:$Y25)+SUMIF($AD$3:$BA$3,"&gt;="&amp;$DG25,$B25:$Y25)),
IF(AI$3=$DF25+'Model Setup'!$G$7,SUMIF($AD$3:$BA$3,"="&amp;$DF25+'Model Setup'!$G$7,$B25:$Y25)+'Model Setup'!$G$8*(SUMIF($AD$3:$BA$3,"&lt;"&amp;$DF25,$B25:$Y25)+SUMIF($AD$3:$BA$3,"&gt;="&amp;$DG25,$B25:$Y25)),
IF(AI$3=$DF25+'Model Setup'!$H$7,SUMIF($AD$3:$BA$3,"="&amp;$DF25+'Model Setup'!$H$7,$B25:$Y25)+'Model Setup'!$H$8*(SUMIF($AD$3:$BA$3,"&lt;"&amp;$DF25,$B25:$Y25)+SUMIF($AD$3:$BA$3,"&gt;="&amp;$DG25,$B25:$Y25)),
IF(AI$3=$DF25+'Model Setup'!$I$7,SUMIF($AD$3:$BA$3,"="&amp;$DF25+'Model Setup'!$I$7,$B25:$Y25)+'Model Setup'!$I$8*(SUMIF($AD$3:$BA$3,"&lt;"&amp;$DF25,$B25:$Y25)+SUMIF($AD$3:$BA$3,"&gt;="&amp;$DG25,$B25:$Y25)),
IF(AI$3=$DF25+'Model Setup'!$J$7,SUMIF($AD$3:$BA$3,"="&amp;$DF25+'Model Setup'!$J$7,$B25:$Y25)+'Model Setup'!$J$8*(SUMIF($AD$3:$BA$3,"&lt;"&amp;$DF25,$B25:$Y25)+SUMIF($AD$3:$BA$3,"&gt;="&amp;$DG25,$B25:$Y25)),
IF(AI$3=$DF25+'Model Setup'!$K$7,SUMIF($AD$3:$BA$3,"="&amp;$DF25+'Model Setup'!$K$7,$B25:$Y25)+'Model Setup'!$K$8*(SUMIF($AD$3:$BA$3,"&lt;"&amp;$DF25,$B25:$Y25)+SUMIF($AD$3:$BA$3,"&gt;="&amp;$DG25,$B25:$Y25)),
IF(AI$3=$DF25+'Model Setup'!$L$7,SUMIF($AD$3:$BA$3,"="&amp;$DF25+'Model Setup'!$L$7,$B25:$Y25)+'Model Setup'!$L$8*(SUMIF($AD$3:$BA$3,"&lt;"&amp;$DF25,$B25:$Y25)+SUMIF($AD$3:$BA$3,"&gt;="&amp;$DG25,$B25:$Y25)),
IF(AI$3=$DF25+'Model Setup'!$M$7,SUMIF($AD$3:$BA$3,"="&amp;$DF25+'Model Setup'!$M$7,$B25:$Y25)+'Model Setup'!$M$8*(SUMIF($AD$3:$BA$3,"&lt;"&amp;$DF25,$B25:$Y25)+SUMIF($AD$3:$BA$3,"&gt;="&amp;$DG25,$B25:$Y25)),
IF(AI$3=$DF25+'Model Setup'!$N$7,SUMIF($AD$3:$BA$3,"="&amp;$DF25+'Model Setup'!$N$7,$B25:$Y25)+'Model Setup'!$N$8*(SUMIF($AD$3:$BA$3,"&lt;"&amp;$DF25,$B25:$Y25)+SUMIF($AD$3:$BA$3,"&gt;="&amp;$DG25,$B25:$Y25)),
IF(AI$3&lt;$DG25,G25,0))))))))))))))),0)</f>
        <v>27</v>
      </c>
      <c r="AJ25" s="47">
        <f>ROUND(IF(AJ$3&lt;$DF25,0,
IF(AJ$3=$DF25+'Model Setup'!$B$7,SUMIF($AD$3:$BA$3,"="&amp;$DF25+'Model Setup'!$B$7,$B25:$Y25)+'Model Setup'!$B$8*(SUMIF($AD$3:$BA$3,"&lt;"&amp;$DF25,$B25:$Y25)+SUMIF($AD$3:$BA$3,"&gt;="&amp;$DG25,$B25:$Y25)),
IF(AJ$3=$DF25+'Model Setup'!$C$7,SUMIF($AD$3:$BA$3,"="&amp;$DF25+'Model Setup'!$C$7,$B25:$Y25)+'Model Setup'!$C$8*(SUMIF($AD$3:$BA$3,"&lt;"&amp;$DF25,$B25:$Y25)+SUMIF($AD$3:$BA$3,"&gt;="&amp;$DG25,$B25:$Y25)),
IF(AJ$3=$DF25+'Model Setup'!$D$7,SUMIF($AD$3:$BA$3,"="&amp;$DF25+'Model Setup'!$D$7,$B25:$Y25)+'Model Setup'!$D$8*(SUMIF($AD$3:$BA$3,"&lt;"&amp;$DF25,$B25:$Y25)+SUMIF($AD$3:$BA$3,"&gt;="&amp;$DG25,$B25:$Y25)),
IF(AJ$3=$DF25+'Model Setup'!$E$7,SUMIF($AD$3:$BA$3,"="&amp;$DF25+'Model Setup'!$E$7,$B25:$Y25)+'Model Setup'!$E$8*(SUMIF($AD$3:$BA$3,"&lt;"&amp;$DF25,$B25:$Y25)+SUMIF($AD$3:$BA$3,"&gt;="&amp;$DG25,$B25:$Y25)),
IF(AJ$3=$DF25+'Model Setup'!$F$7,SUMIF($AD$3:$BA$3,"="&amp;$DF25+'Model Setup'!$F$7,$B25:$Y25)+'Model Setup'!$F$8*(SUMIF($AD$3:$BA$3,"&lt;"&amp;$DF25,$B25:$Y25)+SUMIF($AD$3:$BA$3,"&gt;="&amp;$DG25,$B25:$Y25)),
IF(AJ$3=$DF25+'Model Setup'!$G$7,SUMIF($AD$3:$BA$3,"="&amp;$DF25+'Model Setup'!$G$7,$B25:$Y25)+'Model Setup'!$G$8*(SUMIF($AD$3:$BA$3,"&lt;"&amp;$DF25,$B25:$Y25)+SUMIF($AD$3:$BA$3,"&gt;="&amp;$DG25,$B25:$Y25)),
IF(AJ$3=$DF25+'Model Setup'!$H$7,SUMIF($AD$3:$BA$3,"="&amp;$DF25+'Model Setup'!$H$7,$B25:$Y25)+'Model Setup'!$H$8*(SUMIF($AD$3:$BA$3,"&lt;"&amp;$DF25,$B25:$Y25)+SUMIF($AD$3:$BA$3,"&gt;="&amp;$DG25,$B25:$Y25)),
IF(AJ$3=$DF25+'Model Setup'!$I$7,SUMIF($AD$3:$BA$3,"="&amp;$DF25+'Model Setup'!$I$7,$B25:$Y25)+'Model Setup'!$I$8*(SUMIF($AD$3:$BA$3,"&lt;"&amp;$DF25,$B25:$Y25)+SUMIF($AD$3:$BA$3,"&gt;="&amp;$DG25,$B25:$Y25)),
IF(AJ$3=$DF25+'Model Setup'!$J$7,SUMIF($AD$3:$BA$3,"="&amp;$DF25+'Model Setup'!$J$7,$B25:$Y25)+'Model Setup'!$J$8*(SUMIF($AD$3:$BA$3,"&lt;"&amp;$DF25,$B25:$Y25)+SUMIF($AD$3:$BA$3,"&gt;="&amp;$DG25,$B25:$Y25)),
IF(AJ$3=$DF25+'Model Setup'!$K$7,SUMIF($AD$3:$BA$3,"="&amp;$DF25+'Model Setup'!$K$7,$B25:$Y25)+'Model Setup'!$K$8*(SUMIF($AD$3:$BA$3,"&lt;"&amp;$DF25,$B25:$Y25)+SUMIF($AD$3:$BA$3,"&gt;="&amp;$DG25,$B25:$Y25)),
IF(AJ$3=$DF25+'Model Setup'!$L$7,SUMIF($AD$3:$BA$3,"="&amp;$DF25+'Model Setup'!$L$7,$B25:$Y25)+'Model Setup'!$L$8*(SUMIF($AD$3:$BA$3,"&lt;"&amp;$DF25,$B25:$Y25)+SUMIF($AD$3:$BA$3,"&gt;="&amp;$DG25,$B25:$Y25)),
IF(AJ$3=$DF25+'Model Setup'!$M$7,SUMIF($AD$3:$BA$3,"="&amp;$DF25+'Model Setup'!$M$7,$B25:$Y25)+'Model Setup'!$M$8*(SUMIF($AD$3:$BA$3,"&lt;"&amp;$DF25,$B25:$Y25)+SUMIF($AD$3:$BA$3,"&gt;="&amp;$DG25,$B25:$Y25)),
IF(AJ$3=$DF25+'Model Setup'!$N$7,SUMIF($AD$3:$BA$3,"="&amp;$DF25+'Model Setup'!$N$7,$B25:$Y25)+'Model Setup'!$N$8*(SUMIF($AD$3:$BA$3,"&lt;"&amp;$DF25,$B25:$Y25)+SUMIF($AD$3:$BA$3,"&gt;="&amp;$DG25,$B25:$Y25)),
IF(AJ$3&lt;$DG25,H25,0))))))))))))))),0)</f>
        <v>101</v>
      </c>
      <c r="AK25" s="47">
        <f>ROUND(IF(AK$3&lt;$DF25,0,
IF(AK$3=$DF25+'Model Setup'!$B$7,SUMIF($AD$3:$BA$3,"="&amp;$DF25+'Model Setup'!$B$7,$B25:$Y25)+'Model Setup'!$B$8*(SUMIF($AD$3:$BA$3,"&lt;"&amp;$DF25,$B25:$Y25)+SUMIF($AD$3:$BA$3,"&gt;="&amp;$DG25,$B25:$Y25)),
IF(AK$3=$DF25+'Model Setup'!$C$7,SUMIF($AD$3:$BA$3,"="&amp;$DF25+'Model Setup'!$C$7,$B25:$Y25)+'Model Setup'!$C$8*(SUMIF($AD$3:$BA$3,"&lt;"&amp;$DF25,$B25:$Y25)+SUMIF($AD$3:$BA$3,"&gt;="&amp;$DG25,$B25:$Y25)),
IF(AK$3=$DF25+'Model Setup'!$D$7,SUMIF($AD$3:$BA$3,"="&amp;$DF25+'Model Setup'!$D$7,$B25:$Y25)+'Model Setup'!$D$8*(SUMIF($AD$3:$BA$3,"&lt;"&amp;$DF25,$B25:$Y25)+SUMIF($AD$3:$BA$3,"&gt;="&amp;$DG25,$B25:$Y25)),
IF(AK$3=$DF25+'Model Setup'!$E$7,SUMIF($AD$3:$BA$3,"="&amp;$DF25+'Model Setup'!$E$7,$B25:$Y25)+'Model Setup'!$E$8*(SUMIF($AD$3:$BA$3,"&lt;"&amp;$DF25,$B25:$Y25)+SUMIF($AD$3:$BA$3,"&gt;="&amp;$DG25,$B25:$Y25)),
IF(AK$3=$DF25+'Model Setup'!$F$7,SUMIF($AD$3:$BA$3,"="&amp;$DF25+'Model Setup'!$F$7,$B25:$Y25)+'Model Setup'!$F$8*(SUMIF($AD$3:$BA$3,"&lt;"&amp;$DF25,$B25:$Y25)+SUMIF($AD$3:$BA$3,"&gt;="&amp;$DG25,$B25:$Y25)),
IF(AK$3=$DF25+'Model Setup'!$G$7,SUMIF($AD$3:$BA$3,"="&amp;$DF25+'Model Setup'!$G$7,$B25:$Y25)+'Model Setup'!$G$8*(SUMIF($AD$3:$BA$3,"&lt;"&amp;$DF25,$B25:$Y25)+SUMIF($AD$3:$BA$3,"&gt;="&amp;$DG25,$B25:$Y25)),
IF(AK$3=$DF25+'Model Setup'!$H$7,SUMIF($AD$3:$BA$3,"="&amp;$DF25+'Model Setup'!$H$7,$B25:$Y25)+'Model Setup'!$H$8*(SUMIF($AD$3:$BA$3,"&lt;"&amp;$DF25,$B25:$Y25)+SUMIF($AD$3:$BA$3,"&gt;="&amp;$DG25,$B25:$Y25)),
IF(AK$3=$DF25+'Model Setup'!$I$7,SUMIF($AD$3:$BA$3,"="&amp;$DF25+'Model Setup'!$I$7,$B25:$Y25)+'Model Setup'!$I$8*(SUMIF($AD$3:$BA$3,"&lt;"&amp;$DF25,$B25:$Y25)+SUMIF($AD$3:$BA$3,"&gt;="&amp;$DG25,$B25:$Y25)),
IF(AK$3=$DF25+'Model Setup'!$J$7,SUMIF($AD$3:$BA$3,"="&amp;$DF25+'Model Setup'!$J$7,$B25:$Y25)+'Model Setup'!$J$8*(SUMIF($AD$3:$BA$3,"&lt;"&amp;$DF25,$B25:$Y25)+SUMIF($AD$3:$BA$3,"&gt;="&amp;$DG25,$B25:$Y25)),
IF(AK$3=$DF25+'Model Setup'!$K$7,SUMIF($AD$3:$BA$3,"="&amp;$DF25+'Model Setup'!$K$7,$B25:$Y25)+'Model Setup'!$K$8*(SUMIF($AD$3:$BA$3,"&lt;"&amp;$DF25,$B25:$Y25)+SUMIF($AD$3:$BA$3,"&gt;="&amp;$DG25,$B25:$Y25)),
IF(AK$3=$DF25+'Model Setup'!$L$7,SUMIF($AD$3:$BA$3,"="&amp;$DF25+'Model Setup'!$L$7,$B25:$Y25)+'Model Setup'!$L$8*(SUMIF($AD$3:$BA$3,"&lt;"&amp;$DF25,$B25:$Y25)+SUMIF($AD$3:$BA$3,"&gt;="&amp;$DG25,$B25:$Y25)),
IF(AK$3=$DF25+'Model Setup'!$M$7,SUMIF($AD$3:$BA$3,"="&amp;$DF25+'Model Setup'!$M$7,$B25:$Y25)+'Model Setup'!$M$8*(SUMIF($AD$3:$BA$3,"&lt;"&amp;$DF25,$B25:$Y25)+SUMIF($AD$3:$BA$3,"&gt;="&amp;$DG25,$B25:$Y25)),
IF(AK$3=$DF25+'Model Setup'!$N$7,SUMIF($AD$3:$BA$3,"="&amp;$DF25+'Model Setup'!$N$7,$B25:$Y25)+'Model Setup'!$N$8*(SUMIF($AD$3:$BA$3,"&lt;"&amp;$DF25,$B25:$Y25)+SUMIF($AD$3:$BA$3,"&gt;="&amp;$DG25,$B25:$Y25)),
IF(AK$3&lt;$DG25,I25,0))))))))))))))),0)</f>
        <v>124</v>
      </c>
      <c r="AL25" s="47">
        <f>ROUND(IF(AL$3&lt;$DF25,0,
IF(AL$3=$DF25+'Model Setup'!$B$7,SUMIF($AD$3:$BA$3,"="&amp;$DF25+'Model Setup'!$B$7,$B25:$Y25)+'Model Setup'!$B$8*(SUMIF($AD$3:$BA$3,"&lt;"&amp;$DF25,$B25:$Y25)+SUMIF($AD$3:$BA$3,"&gt;="&amp;$DG25,$B25:$Y25)),
IF(AL$3=$DF25+'Model Setup'!$C$7,SUMIF($AD$3:$BA$3,"="&amp;$DF25+'Model Setup'!$C$7,$B25:$Y25)+'Model Setup'!$C$8*(SUMIF($AD$3:$BA$3,"&lt;"&amp;$DF25,$B25:$Y25)+SUMIF($AD$3:$BA$3,"&gt;="&amp;$DG25,$B25:$Y25)),
IF(AL$3=$DF25+'Model Setup'!$D$7,SUMIF($AD$3:$BA$3,"="&amp;$DF25+'Model Setup'!$D$7,$B25:$Y25)+'Model Setup'!$D$8*(SUMIF($AD$3:$BA$3,"&lt;"&amp;$DF25,$B25:$Y25)+SUMIF($AD$3:$BA$3,"&gt;="&amp;$DG25,$B25:$Y25)),
IF(AL$3=$DF25+'Model Setup'!$E$7,SUMIF($AD$3:$BA$3,"="&amp;$DF25+'Model Setup'!$E$7,$B25:$Y25)+'Model Setup'!$E$8*(SUMIF($AD$3:$BA$3,"&lt;"&amp;$DF25,$B25:$Y25)+SUMIF($AD$3:$BA$3,"&gt;="&amp;$DG25,$B25:$Y25)),
IF(AL$3=$DF25+'Model Setup'!$F$7,SUMIF($AD$3:$BA$3,"="&amp;$DF25+'Model Setup'!$F$7,$B25:$Y25)+'Model Setup'!$F$8*(SUMIF($AD$3:$BA$3,"&lt;"&amp;$DF25,$B25:$Y25)+SUMIF($AD$3:$BA$3,"&gt;="&amp;$DG25,$B25:$Y25)),
IF(AL$3=$DF25+'Model Setup'!$G$7,SUMIF($AD$3:$BA$3,"="&amp;$DF25+'Model Setup'!$G$7,$B25:$Y25)+'Model Setup'!$G$8*(SUMIF($AD$3:$BA$3,"&lt;"&amp;$DF25,$B25:$Y25)+SUMIF($AD$3:$BA$3,"&gt;="&amp;$DG25,$B25:$Y25)),
IF(AL$3=$DF25+'Model Setup'!$H$7,SUMIF($AD$3:$BA$3,"="&amp;$DF25+'Model Setup'!$H$7,$B25:$Y25)+'Model Setup'!$H$8*(SUMIF($AD$3:$BA$3,"&lt;"&amp;$DF25,$B25:$Y25)+SUMIF($AD$3:$BA$3,"&gt;="&amp;$DG25,$B25:$Y25)),
IF(AL$3=$DF25+'Model Setup'!$I$7,SUMIF($AD$3:$BA$3,"="&amp;$DF25+'Model Setup'!$I$7,$B25:$Y25)+'Model Setup'!$I$8*(SUMIF($AD$3:$BA$3,"&lt;"&amp;$DF25,$B25:$Y25)+SUMIF($AD$3:$BA$3,"&gt;="&amp;$DG25,$B25:$Y25)),
IF(AL$3=$DF25+'Model Setup'!$J$7,SUMIF($AD$3:$BA$3,"="&amp;$DF25+'Model Setup'!$J$7,$B25:$Y25)+'Model Setup'!$J$8*(SUMIF($AD$3:$BA$3,"&lt;"&amp;$DF25,$B25:$Y25)+SUMIF($AD$3:$BA$3,"&gt;="&amp;$DG25,$B25:$Y25)),
IF(AL$3=$DF25+'Model Setup'!$K$7,SUMIF($AD$3:$BA$3,"="&amp;$DF25+'Model Setup'!$K$7,$B25:$Y25)+'Model Setup'!$K$8*(SUMIF($AD$3:$BA$3,"&lt;"&amp;$DF25,$B25:$Y25)+SUMIF($AD$3:$BA$3,"&gt;="&amp;$DG25,$B25:$Y25)),
IF(AL$3=$DF25+'Model Setup'!$L$7,SUMIF($AD$3:$BA$3,"="&amp;$DF25+'Model Setup'!$L$7,$B25:$Y25)+'Model Setup'!$L$8*(SUMIF($AD$3:$BA$3,"&lt;"&amp;$DF25,$B25:$Y25)+SUMIF($AD$3:$BA$3,"&gt;="&amp;$DG25,$B25:$Y25)),
IF(AL$3=$DF25+'Model Setup'!$M$7,SUMIF($AD$3:$BA$3,"="&amp;$DF25+'Model Setup'!$M$7,$B25:$Y25)+'Model Setup'!$M$8*(SUMIF($AD$3:$BA$3,"&lt;"&amp;$DF25,$B25:$Y25)+SUMIF($AD$3:$BA$3,"&gt;="&amp;$DG25,$B25:$Y25)),
IF(AL$3=$DF25+'Model Setup'!$N$7,SUMIF($AD$3:$BA$3,"="&amp;$DF25+'Model Setup'!$N$7,$B25:$Y25)+'Model Setup'!$N$8*(SUMIF($AD$3:$BA$3,"&lt;"&amp;$DF25,$B25:$Y25)+SUMIF($AD$3:$BA$3,"&gt;="&amp;$DG25,$B25:$Y25)),
IF(AL$3&lt;$DG25,J25,0))))))))))))))),0)</f>
        <v>123</v>
      </c>
      <c r="AM25" s="47">
        <f>ROUND(IF(AM$3&lt;$DF25,0,
IF(AM$3=$DF25+'Model Setup'!$B$7,SUMIF($AD$3:$BA$3,"="&amp;$DF25+'Model Setup'!$B$7,$B25:$Y25)+'Model Setup'!$B$8*(SUMIF($AD$3:$BA$3,"&lt;"&amp;$DF25,$B25:$Y25)+SUMIF($AD$3:$BA$3,"&gt;="&amp;$DG25,$B25:$Y25)),
IF(AM$3=$DF25+'Model Setup'!$C$7,SUMIF($AD$3:$BA$3,"="&amp;$DF25+'Model Setup'!$C$7,$B25:$Y25)+'Model Setup'!$C$8*(SUMIF($AD$3:$BA$3,"&lt;"&amp;$DF25,$B25:$Y25)+SUMIF($AD$3:$BA$3,"&gt;="&amp;$DG25,$B25:$Y25)),
IF(AM$3=$DF25+'Model Setup'!$D$7,SUMIF($AD$3:$BA$3,"="&amp;$DF25+'Model Setup'!$D$7,$B25:$Y25)+'Model Setup'!$D$8*(SUMIF($AD$3:$BA$3,"&lt;"&amp;$DF25,$B25:$Y25)+SUMIF($AD$3:$BA$3,"&gt;="&amp;$DG25,$B25:$Y25)),
IF(AM$3=$DF25+'Model Setup'!$E$7,SUMIF($AD$3:$BA$3,"="&amp;$DF25+'Model Setup'!$E$7,$B25:$Y25)+'Model Setup'!$E$8*(SUMIF($AD$3:$BA$3,"&lt;"&amp;$DF25,$B25:$Y25)+SUMIF($AD$3:$BA$3,"&gt;="&amp;$DG25,$B25:$Y25)),
IF(AM$3=$DF25+'Model Setup'!$F$7,SUMIF($AD$3:$BA$3,"="&amp;$DF25+'Model Setup'!$F$7,$B25:$Y25)+'Model Setup'!$F$8*(SUMIF($AD$3:$BA$3,"&lt;"&amp;$DF25,$B25:$Y25)+SUMIF($AD$3:$BA$3,"&gt;="&amp;$DG25,$B25:$Y25)),
IF(AM$3=$DF25+'Model Setup'!$G$7,SUMIF($AD$3:$BA$3,"="&amp;$DF25+'Model Setup'!$G$7,$B25:$Y25)+'Model Setup'!$G$8*(SUMIF($AD$3:$BA$3,"&lt;"&amp;$DF25,$B25:$Y25)+SUMIF($AD$3:$BA$3,"&gt;="&amp;$DG25,$B25:$Y25)),
IF(AM$3=$DF25+'Model Setup'!$H$7,SUMIF($AD$3:$BA$3,"="&amp;$DF25+'Model Setup'!$H$7,$B25:$Y25)+'Model Setup'!$H$8*(SUMIF($AD$3:$BA$3,"&lt;"&amp;$DF25,$B25:$Y25)+SUMIF($AD$3:$BA$3,"&gt;="&amp;$DG25,$B25:$Y25)),
IF(AM$3=$DF25+'Model Setup'!$I$7,SUMIF($AD$3:$BA$3,"="&amp;$DF25+'Model Setup'!$I$7,$B25:$Y25)+'Model Setup'!$I$8*(SUMIF($AD$3:$BA$3,"&lt;"&amp;$DF25,$B25:$Y25)+SUMIF($AD$3:$BA$3,"&gt;="&amp;$DG25,$B25:$Y25)),
IF(AM$3=$DF25+'Model Setup'!$J$7,SUMIF($AD$3:$BA$3,"="&amp;$DF25+'Model Setup'!$J$7,$B25:$Y25)+'Model Setup'!$J$8*(SUMIF($AD$3:$BA$3,"&lt;"&amp;$DF25,$B25:$Y25)+SUMIF($AD$3:$BA$3,"&gt;="&amp;$DG25,$B25:$Y25)),
IF(AM$3=$DF25+'Model Setup'!$K$7,SUMIF($AD$3:$BA$3,"="&amp;$DF25+'Model Setup'!$K$7,$B25:$Y25)+'Model Setup'!$K$8*(SUMIF($AD$3:$BA$3,"&lt;"&amp;$DF25,$B25:$Y25)+SUMIF($AD$3:$BA$3,"&gt;="&amp;$DG25,$B25:$Y25)),
IF(AM$3=$DF25+'Model Setup'!$L$7,SUMIF($AD$3:$BA$3,"="&amp;$DF25+'Model Setup'!$L$7,$B25:$Y25)+'Model Setup'!$L$8*(SUMIF($AD$3:$BA$3,"&lt;"&amp;$DF25,$B25:$Y25)+SUMIF($AD$3:$BA$3,"&gt;="&amp;$DG25,$B25:$Y25)),
IF(AM$3=$DF25+'Model Setup'!$M$7,SUMIF($AD$3:$BA$3,"="&amp;$DF25+'Model Setup'!$M$7,$B25:$Y25)+'Model Setup'!$M$8*(SUMIF($AD$3:$BA$3,"&lt;"&amp;$DF25,$B25:$Y25)+SUMIF($AD$3:$BA$3,"&gt;="&amp;$DG25,$B25:$Y25)),
IF(AM$3=$DF25+'Model Setup'!$N$7,SUMIF($AD$3:$BA$3,"="&amp;$DF25+'Model Setup'!$N$7,$B25:$Y25)+'Model Setup'!$N$8*(SUMIF($AD$3:$BA$3,"&lt;"&amp;$DF25,$B25:$Y25)+SUMIF($AD$3:$BA$3,"&gt;="&amp;$DG25,$B25:$Y25)),
IF(AM$3&lt;$DG25,K25,0))))))))))))))),0)</f>
        <v>151</v>
      </c>
      <c r="AN25" s="47">
        <f>ROUND(IF(AN$3&lt;$DF25,0,
IF(AN$3=$DF25+'Model Setup'!$B$7,SUMIF($AD$3:$BA$3,"="&amp;$DF25+'Model Setup'!$B$7,$B25:$Y25)+'Model Setup'!$B$8*(SUMIF($AD$3:$BA$3,"&lt;"&amp;$DF25,$B25:$Y25)+SUMIF($AD$3:$BA$3,"&gt;="&amp;$DG25,$B25:$Y25)),
IF(AN$3=$DF25+'Model Setup'!$C$7,SUMIF($AD$3:$BA$3,"="&amp;$DF25+'Model Setup'!$C$7,$B25:$Y25)+'Model Setup'!$C$8*(SUMIF($AD$3:$BA$3,"&lt;"&amp;$DF25,$B25:$Y25)+SUMIF($AD$3:$BA$3,"&gt;="&amp;$DG25,$B25:$Y25)),
IF(AN$3=$DF25+'Model Setup'!$D$7,SUMIF($AD$3:$BA$3,"="&amp;$DF25+'Model Setup'!$D$7,$B25:$Y25)+'Model Setup'!$D$8*(SUMIF($AD$3:$BA$3,"&lt;"&amp;$DF25,$B25:$Y25)+SUMIF($AD$3:$BA$3,"&gt;="&amp;$DG25,$B25:$Y25)),
IF(AN$3=$DF25+'Model Setup'!$E$7,SUMIF($AD$3:$BA$3,"="&amp;$DF25+'Model Setup'!$E$7,$B25:$Y25)+'Model Setup'!$E$8*(SUMIF($AD$3:$BA$3,"&lt;"&amp;$DF25,$B25:$Y25)+SUMIF($AD$3:$BA$3,"&gt;="&amp;$DG25,$B25:$Y25)),
IF(AN$3=$DF25+'Model Setup'!$F$7,SUMIF($AD$3:$BA$3,"="&amp;$DF25+'Model Setup'!$F$7,$B25:$Y25)+'Model Setup'!$F$8*(SUMIF($AD$3:$BA$3,"&lt;"&amp;$DF25,$B25:$Y25)+SUMIF($AD$3:$BA$3,"&gt;="&amp;$DG25,$B25:$Y25)),
IF(AN$3=$DF25+'Model Setup'!$G$7,SUMIF($AD$3:$BA$3,"="&amp;$DF25+'Model Setup'!$G$7,$B25:$Y25)+'Model Setup'!$G$8*(SUMIF($AD$3:$BA$3,"&lt;"&amp;$DF25,$B25:$Y25)+SUMIF($AD$3:$BA$3,"&gt;="&amp;$DG25,$B25:$Y25)),
IF(AN$3=$DF25+'Model Setup'!$H$7,SUMIF($AD$3:$BA$3,"="&amp;$DF25+'Model Setup'!$H$7,$B25:$Y25)+'Model Setup'!$H$8*(SUMIF($AD$3:$BA$3,"&lt;"&amp;$DF25,$B25:$Y25)+SUMIF($AD$3:$BA$3,"&gt;="&amp;$DG25,$B25:$Y25)),
IF(AN$3=$DF25+'Model Setup'!$I$7,SUMIF($AD$3:$BA$3,"="&amp;$DF25+'Model Setup'!$I$7,$B25:$Y25)+'Model Setup'!$I$8*(SUMIF($AD$3:$BA$3,"&lt;"&amp;$DF25,$B25:$Y25)+SUMIF($AD$3:$BA$3,"&gt;="&amp;$DG25,$B25:$Y25)),
IF(AN$3=$DF25+'Model Setup'!$J$7,SUMIF($AD$3:$BA$3,"="&amp;$DF25+'Model Setup'!$J$7,$B25:$Y25)+'Model Setup'!$J$8*(SUMIF($AD$3:$BA$3,"&lt;"&amp;$DF25,$B25:$Y25)+SUMIF($AD$3:$BA$3,"&gt;="&amp;$DG25,$B25:$Y25)),
IF(AN$3=$DF25+'Model Setup'!$K$7,SUMIF($AD$3:$BA$3,"="&amp;$DF25+'Model Setup'!$K$7,$B25:$Y25)+'Model Setup'!$K$8*(SUMIF($AD$3:$BA$3,"&lt;"&amp;$DF25,$B25:$Y25)+SUMIF($AD$3:$BA$3,"&gt;="&amp;$DG25,$B25:$Y25)),
IF(AN$3=$DF25+'Model Setup'!$L$7,SUMIF($AD$3:$BA$3,"="&amp;$DF25+'Model Setup'!$L$7,$B25:$Y25)+'Model Setup'!$L$8*(SUMIF($AD$3:$BA$3,"&lt;"&amp;$DF25,$B25:$Y25)+SUMIF($AD$3:$BA$3,"&gt;="&amp;$DG25,$B25:$Y25)),
IF(AN$3=$DF25+'Model Setup'!$M$7,SUMIF($AD$3:$BA$3,"="&amp;$DF25+'Model Setup'!$M$7,$B25:$Y25)+'Model Setup'!$M$8*(SUMIF($AD$3:$BA$3,"&lt;"&amp;$DF25,$B25:$Y25)+SUMIF($AD$3:$BA$3,"&gt;="&amp;$DG25,$B25:$Y25)),
IF(AN$3=$DF25+'Model Setup'!$N$7,SUMIF($AD$3:$BA$3,"="&amp;$DF25+'Model Setup'!$N$7,$B25:$Y25)+'Model Setup'!$N$8*(SUMIF($AD$3:$BA$3,"&lt;"&amp;$DF25,$B25:$Y25)+SUMIF($AD$3:$BA$3,"&gt;="&amp;$DG25,$B25:$Y25)),
IF(AN$3&lt;$DG25,L25,0))))))))))))))),0)</f>
        <v>111</v>
      </c>
      <c r="AO25" s="47">
        <f>ROUND(IF(AO$3&lt;$DF25,0,
IF(AO$3=$DF25+'Model Setup'!$B$7,SUMIF($AD$3:$BA$3,"="&amp;$DF25+'Model Setup'!$B$7,$B25:$Y25)+'Model Setup'!$B$8*(SUMIF($AD$3:$BA$3,"&lt;"&amp;$DF25,$B25:$Y25)+SUMIF($AD$3:$BA$3,"&gt;="&amp;$DG25,$B25:$Y25)),
IF(AO$3=$DF25+'Model Setup'!$C$7,SUMIF($AD$3:$BA$3,"="&amp;$DF25+'Model Setup'!$C$7,$B25:$Y25)+'Model Setup'!$C$8*(SUMIF($AD$3:$BA$3,"&lt;"&amp;$DF25,$B25:$Y25)+SUMIF($AD$3:$BA$3,"&gt;="&amp;$DG25,$B25:$Y25)),
IF(AO$3=$DF25+'Model Setup'!$D$7,SUMIF($AD$3:$BA$3,"="&amp;$DF25+'Model Setup'!$D$7,$B25:$Y25)+'Model Setup'!$D$8*(SUMIF($AD$3:$BA$3,"&lt;"&amp;$DF25,$B25:$Y25)+SUMIF($AD$3:$BA$3,"&gt;="&amp;$DG25,$B25:$Y25)),
IF(AO$3=$DF25+'Model Setup'!$E$7,SUMIF($AD$3:$BA$3,"="&amp;$DF25+'Model Setup'!$E$7,$B25:$Y25)+'Model Setup'!$E$8*(SUMIF($AD$3:$BA$3,"&lt;"&amp;$DF25,$B25:$Y25)+SUMIF($AD$3:$BA$3,"&gt;="&amp;$DG25,$B25:$Y25)),
IF(AO$3=$DF25+'Model Setup'!$F$7,SUMIF($AD$3:$BA$3,"="&amp;$DF25+'Model Setup'!$F$7,$B25:$Y25)+'Model Setup'!$F$8*(SUMIF($AD$3:$BA$3,"&lt;"&amp;$DF25,$B25:$Y25)+SUMIF($AD$3:$BA$3,"&gt;="&amp;$DG25,$B25:$Y25)),
IF(AO$3=$DF25+'Model Setup'!$G$7,SUMIF($AD$3:$BA$3,"="&amp;$DF25+'Model Setup'!$G$7,$B25:$Y25)+'Model Setup'!$G$8*(SUMIF($AD$3:$BA$3,"&lt;"&amp;$DF25,$B25:$Y25)+SUMIF($AD$3:$BA$3,"&gt;="&amp;$DG25,$B25:$Y25)),
IF(AO$3=$DF25+'Model Setup'!$H$7,SUMIF($AD$3:$BA$3,"="&amp;$DF25+'Model Setup'!$H$7,$B25:$Y25)+'Model Setup'!$H$8*(SUMIF($AD$3:$BA$3,"&lt;"&amp;$DF25,$B25:$Y25)+SUMIF($AD$3:$BA$3,"&gt;="&amp;$DG25,$B25:$Y25)),
IF(AO$3=$DF25+'Model Setup'!$I$7,SUMIF($AD$3:$BA$3,"="&amp;$DF25+'Model Setup'!$I$7,$B25:$Y25)+'Model Setup'!$I$8*(SUMIF($AD$3:$BA$3,"&lt;"&amp;$DF25,$B25:$Y25)+SUMIF($AD$3:$BA$3,"&gt;="&amp;$DG25,$B25:$Y25)),
IF(AO$3=$DF25+'Model Setup'!$J$7,SUMIF($AD$3:$BA$3,"="&amp;$DF25+'Model Setup'!$J$7,$B25:$Y25)+'Model Setup'!$J$8*(SUMIF($AD$3:$BA$3,"&lt;"&amp;$DF25,$B25:$Y25)+SUMIF($AD$3:$BA$3,"&gt;="&amp;$DG25,$B25:$Y25)),
IF(AO$3=$DF25+'Model Setup'!$K$7,SUMIF($AD$3:$BA$3,"="&amp;$DF25+'Model Setup'!$K$7,$B25:$Y25)+'Model Setup'!$K$8*(SUMIF($AD$3:$BA$3,"&lt;"&amp;$DF25,$B25:$Y25)+SUMIF($AD$3:$BA$3,"&gt;="&amp;$DG25,$B25:$Y25)),
IF(AO$3=$DF25+'Model Setup'!$L$7,SUMIF($AD$3:$BA$3,"="&amp;$DF25+'Model Setup'!$L$7,$B25:$Y25)+'Model Setup'!$L$8*(SUMIF($AD$3:$BA$3,"&lt;"&amp;$DF25,$B25:$Y25)+SUMIF($AD$3:$BA$3,"&gt;="&amp;$DG25,$B25:$Y25)),
IF(AO$3=$DF25+'Model Setup'!$M$7,SUMIF($AD$3:$BA$3,"="&amp;$DF25+'Model Setup'!$M$7,$B25:$Y25)+'Model Setup'!$M$8*(SUMIF($AD$3:$BA$3,"&lt;"&amp;$DF25,$B25:$Y25)+SUMIF($AD$3:$BA$3,"&gt;="&amp;$DG25,$B25:$Y25)),
IF(AO$3=$DF25+'Model Setup'!$N$7,SUMIF($AD$3:$BA$3,"="&amp;$DF25+'Model Setup'!$N$7,$B25:$Y25)+'Model Setup'!$N$8*(SUMIF($AD$3:$BA$3,"&lt;"&amp;$DF25,$B25:$Y25)+SUMIF($AD$3:$BA$3,"&gt;="&amp;$DG25,$B25:$Y25)),
IF(AO$3&lt;$DG25,M25,0))))))))))))))),0)</f>
        <v>81</v>
      </c>
      <c r="AP25" s="47">
        <f>ROUND(IF(AP$3&lt;$DF25,0,
IF(AP$3=$DF25+'Model Setup'!$B$7,SUMIF($AD$3:$BA$3,"="&amp;$DF25+'Model Setup'!$B$7,$B25:$Y25)+'Model Setup'!$B$8*(SUMIF($AD$3:$BA$3,"&lt;"&amp;$DF25,$B25:$Y25)+SUMIF($AD$3:$BA$3,"&gt;="&amp;$DG25,$B25:$Y25)),
IF(AP$3=$DF25+'Model Setup'!$C$7,SUMIF($AD$3:$BA$3,"="&amp;$DF25+'Model Setup'!$C$7,$B25:$Y25)+'Model Setup'!$C$8*(SUMIF($AD$3:$BA$3,"&lt;"&amp;$DF25,$B25:$Y25)+SUMIF($AD$3:$BA$3,"&gt;="&amp;$DG25,$B25:$Y25)),
IF(AP$3=$DF25+'Model Setup'!$D$7,SUMIF($AD$3:$BA$3,"="&amp;$DF25+'Model Setup'!$D$7,$B25:$Y25)+'Model Setup'!$D$8*(SUMIF($AD$3:$BA$3,"&lt;"&amp;$DF25,$B25:$Y25)+SUMIF($AD$3:$BA$3,"&gt;="&amp;$DG25,$B25:$Y25)),
IF(AP$3=$DF25+'Model Setup'!$E$7,SUMIF($AD$3:$BA$3,"="&amp;$DF25+'Model Setup'!$E$7,$B25:$Y25)+'Model Setup'!$E$8*(SUMIF($AD$3:$BA$3,"&lt;"&amp;$DF25,$B25:$Y25)+SUMIF($AD$3:$BA$3,"&gt;="&amp;$DG25,$B25:$Y25)),
IF(AP$3=$DF25+'Model Setup'!$F$7,SUMIF($AD$3:$BA$3,"="&amp;$DF25+'Model Setup'!$F$7,$B25:$Y25)+'Model Setup'!$F$8*(SUMIF($AD$3:$BA$3,"&lt;"&amp;$DF25,$B25:$Y25)+SUMIF($AD$3:$BA$3,"&gt;="&amp;$DG25,$B25:$Y25)),
IF(AP$3=$DF25+'Model Setup'!$G$7,SUMIF($AD$3:$BA$3,"="&amp;$DF25+'Model Setup'!$G$7,$B25:$Y25)+'Model Setup'!$G$8*(SUMIF($AD$3:$BA$3,"&lt;"&amp;$DF25,$B25:$Y25)+SUMIF($AD$3:$BA$3,"&gt;="&amp;$DG25,$B25:$Y25)),
IF(AP$3=$DF25+'Model Setup'!$H$7,SUMIF($AD$3:$BA$3,"="&amp;$DF25+'Model Setup'!$H$7,$B25:$Y25)+'Model Setup'!$H$8*(SUMIF($AD$3:$BA$3,"&lt;"&amp;$DF25,$B25:$Y25)+SUMIF($AD$3:$BA$3,"&gt;="&amp;$DG25,$B25:$Y25)),
IF(AP$3=$DF25+'Model Setup'!$I$7,SUMIF($AD$3:$BA$3,"="&amp;$DF25+'Model Setup'!$I$7,$B25:$Y25)+'Model Setup'!$I$8*(SUMIF($AD$3:$BA$3,"&lt;"&amp;$DF25,$B25:$Y25)+SUMIF($AD$3:$BA$3,"&gt;="&amp;$DG25,$B25:$Y25)),
IF(AP$3=$DF25+'Model Setup'!$J$7,SUMIF($AD$3:$BA$3,"="&amp;$DF25+'Model Setup'!$J$7,$B25:$Y25)+'Model Setup'!$J$8*(SUMIF($AD$3:$BA$3,"&lt;"&amp;$DF25,$B25:$Y25)+SUMIF($AD$3:$BA$3,"&gt;="&amp;$DG25,$B25:$Y25)),
IF(AP$3=$DF25+'Model Setup'!$K$7,SUMIF($AD$3:$BA$3,"="&amp;$DF25+'Model Setup'!$K$7,$B25:$Y25)+'Model Setup'!$K$8*(SUMIF($AD$3:$BA$3,"&lt;"&amp;$DF25,$B25:$Y25)+SUMIF($AD$3:$BA$3,"&gt;="&amp;$DG25,$B25:$Y25)),
IF(AP$3=$DF25+'Model Setup'!$L$7,SUMIF($AD$3:$BA$3,"="&amp;$DF25+'Model Setup'!$L$7,$B25:$Y25)+'Model Setup'!$L$8*(SUMIF($AD$3:$BA$3,"&lt;"&amp;$DF25,$B25:$Y25)+SUMIF($AD$3:$BA$3,"&gt;="&amp;$DG25,$B25:$Y25)),
IF(AP$3=$DF25+'Model Setup'!$M$7,SUMIF($AD$3:$BA$3,"="&amp;$DF25+'Model Setup'!$M$7,$B25:$Y25)+'Model Setup'!$M$8*(SUMIF($AD$3:$BA$3,"&lt;"&amp;$DF25,$B25:$Y25)+SUMIF($AD$3:$BA$3,"&gt;="&amp;$DG25,$B25:$Y25)),
IF(AP$3=$DF25+'Model Setup'!$N$7,SUMIF($AD$3:$BA$3,"="&amp;$DF25+'Model Setup'!$N$7,$B25:$Y25)+'Model Setup'!$N$8*(SUMIF($AD$3:$BA$3,"&lt;"&amp;$DF25,$B25:$Y25)+SUMIF($AD$3:$BA$3,"&gt;="&amp;$DG25,$B25:$Y25)),
IF(AP$3&lt;$DG25,N25,0))))))))))))))),0)</f>
        <v>71</v>
      </c>
      <c r="AQ25" s="47">
        <f>ROUND(IF(AQ$3&lt;$DF25,0,
IF(AQ$3=$DF25+'Model Setup'!$B$7,SUMIF($AD$3:$BA$3,"="&amp;$DF25+'Model Setup'!$B$7,$B25:$Y25)+'Model Setup'!$B$8*(SUMIF($AD$3:$BA$3,"&lt;"&amp;$DF25,$B25:$Y25)+SUMIF($AD$3:$BA$3,"&gt;="&amp;$DG25,$B25:$Y25)),
IF(AQ$3=$DF25+'Model Setup'!$C$7,SUMIF($AD$3:$BA$3,"="&amp;$DF25+'Model Setup'!$C$7,$B25:$Y25)+'Model Setup'!$C$8*(SUMIF($AD$3:$BA$3,"&lt;"&amp;$DF25,$B25:$Y25)+SUMIF($AD$3:$BA$3,"&gt;="&amp;$DG25,$B25:$Y25)),
IF(AQ$3=$DF25+'Model Setup'!$D$7,SUMIF($AD$3:$BA$3,"="&amp;$DF25+'Model Setup'!$D$7,$B25:$Y25)+'Model Setup'!$D$8*(SUMIF($AD$3:$BA$3,"&lt;"&amp;$DF25,$B25:$Y25)+SUMIF($AD$3:$BA$3,"&gt;="&amp;$DG25,$B25:$Y25)),
IF(AQ$3=$DF25+'Model Setup'!$E$7,SUMIF($AD$3:$BA$3,"="&amp;$DF25+'Model Setup'!$E$7,$B25:$Y25)+'Model Setup'!$E$8*(SUMIF($AD$3:$BA$3,"&lt;"&amp;$DF25,$B25:$Y25)+SUMIF($AD$3:$BA$3,"&gt;="&amp;$DG25,$B25:$Y25)),
IF(AQ$3=$DF25+'Model Setup'!$F$7,SUMIF($AD$3:$BA$3,"="&amp;$DF25+'Model Setup'!$F$7,$B25:$Y25)+'Model Setup'!$F$8*(SUMIF($AD$3:$BA$3,"&lt;"&amp;$DF25,$B25:$Y25)+SUMIF($AD$3:$BA$3,"&gt;="&amp;$DG25,$B25:$Y25)),
IF(AQ$3=$DF25+'Model Setup'!$G$7,SUMIF($AD$3:$BA$3,"="&amp;$DF25+'Model Setup'!$G$7,$B25:$Y25)+'Model Setup'!$G$8*(SUMIF($AD$3:$BA$3,"&lt;"&amp;$DF25,$B25:$Y25)+SUMIF($AD$3:$BA$3,"&gt;="&amp;$DG25,$B25:$Y25)),
IF(AQ$3=$DF25+'Model Setup'!$H$7,SUMIF($AD$3:$BA$3,"="&amp;$DF25+'Model Setup'!$H$7,$B25:$Y25)+'Model Setup'!$H$8*(SUMIF($AD$3:$BA$3,"&lt;"&amp;$DF25,$B25:$Y25)+SUMIF($AD$3:$BA$3,"&gt;="&amp;$DG25,$B25:$Y25)),
IF(AQ$3=$DF25+'Model Setup'!$I$7,SUMIF($AD$3:$BA$3,"="&amp;$DF25+'Model Setup'!$I$7,$B25:$Y25)+'Model Setup'!$I$8*(SUMIF($AD$3:$BA$3,"&lt;"&amp;$DF25,$B25:$Y25)+SUMIF($AD$3:$BA$3,"&gt;="&amp;$DG25,$B25:$Y25)),
IF(AQ$3=$DF25+'Model Setup'!$J$7,SUMIF($AD$3:$BA$3,"="&amp;$DF25+'Model Setup'!$J$7,$B25:$Y25)+'Model Setup'!$J$8*(SUMIF($AD$3:$BA$3,"&lt;"&amp;$DF25,$B25:$Y25)+SUMIF($AD$3:$BA$3,"&gt;="&amp;$DG25,$B25:$Y25)),
IF(AQ$3=$DF25+'Model Setup'!$K$7,SUMIF($AD$3:$BA$3,"="&amp;$DF25+'Model Setup'!$K$7,$B25:$Y25)+'Model Setup'!$K$8*(SUMIF($AD$3:$BA$3,"&lt;"&amp;$DF25,$B25:$Y25)+SUMIF($AD$3:$BA$3,"&gt;="&amp;$DG25,$B25:$Y25)),
IF(AQ$3=$DF25+'Model Setup'!$L$7,SUMIF($AD$3:$BA$3,"="&amp;$DF25+'Model Setup'!$L$7,$B25:$Y25)+'Model Setup'!$L$8*(SUMIF($AD$3:$BA$3,"&lt;"&amp;$DF25,$B25:$Y25)+SUMIF($AD$3:$BA$3,"&gt;="&amp;$DG25,$B25:$Y25)),
IF(AQ$3=$DF25+'Model Setup'!$M$7,SUMIF($AD$3:$BA$3,"="&amp;$DF25+'Model Setup'!$M$7,$B25:$Y25)+'Model Setup'!$M$8*(SUMIF($AD$3:$BA$3,"&lt;"&amp;$DF25,$B25:$Y25)+SUMIF($AD$3:$BA$3,"&gt;="&amp;$DG25,$B25:$Y25)),
IF(AQ$3=$DF25+'Model Setup'!$N$7,SUMIF($AD$3:$BA$3,"="&amp;$DF25+'Model Setup'!$N$7,$B25:$Y25)+'Model Setup'!$N$8*(SUMIF($AD$3:$BA$3,"&lt;"&amp;$DF25,$B25:$Y25)+SUMIF($AD$3:$BA$3,"&gt;="&amp;$DG25,$B25:$Y25)),
IF(AQ$3&lt;$DG25,O25,0))))))))))))))),0)</f>
        <v>73</v>
      </c>
      <c r="AR25" s="47">
        <f>ROUND(IF(AR$3&lt;$DF25,0,
IF(AR$3=$DF25+'Model Setup'!$B$7,SUMIF($AD$3:$BA$3,"="&amp;$DF25+'Model Setup'!$B$7,$B25:$Y25)+'Model Setup'!$B$8*(SUMIF($AD$3:$BA$3,"&lt;"&amp;$DF25,$B25:$Y25)+SUMIF($AD$3:$BA$3,"&gt;="&amp;$DG25,$B25:$Y25)),
IF(AR$3=$DF25+'Model Setup'!$C$7,SUMIF($AD$3:$BA$3,"="&amp;$DF25+'Model Setup'!$C$7,$B25:$Y25)+'Model Setup'!$C$8*(SUMIF($AD$3:$BA$3,"&lt;"&amp;$DF25,$B25:$Y25)+SUMIF($AD$3:$BA$3,"&gt;="&amp;$DG25,$B25:$Y25)),
IF(AR$3=$DF25+'Model Setup'!$D$7,SUMIF($AD$3:$BA$3,"="&amp;$DF25+'Model Setup'!$D$7,$B25:$Y25)+'Model Setup'!$D$8*(SUMIF($AD$3:$BA$3,"&lt;"&amp;$DF25,$B25:$Y25)+SUMIF($AD$3:$BA$3,"&gt;="&amp;$DG25,$B25:$Y25)),
IF(AR$3=$DF25+'Model Setup'!$E$7,SUMIF($AD$3:$BA$3,"="&amp;$DF25+'Model Setup'!$E$7,$B25:$Y25)+'Model Setup'!$E$8*(SUMIF($AD$3:$BA$3,"&lt;"&amp;$DF25,$B25:$Y25)+SUMIF($AD$3:$BA$3,"&gt;="&amp;$DG25,$B25:$Y25)),
IF(AR$3=$DF25+'Model Setup'!$F$7,SUMIF($AD$3:$BA$3,"="&amp;$DF25+'Model Setup'!$F$7,$B25:$Y25)+'Model Setup'!$F$8*(SUMIF($AD$3:$BA$3,"&lt;"&amp;$DF25,$B25:$Y25)+SUMIF($AD$3:$BA$3,"&gt;="&amp;$DG25,$B25:$Y25)),
IF(AR$3=$DF25+'Model Setup'!$G$7,SUMIF($AD$3:$BA$3,"="&amp;$DF25+'Model Setup'!$G$7,$B25:$Y25)+'Model Setup'!$G$8*(SUMIF($AD$3:$BA$3,"&lt;"&amp;$DF25,$B25:$Y25)+SUMIF($AD$3:$BA$3,"&gt;="&amp;$DG25,$B25:$Y25)),
IF(AR$3=$DF25+'Model Setup'!$H$7,SUMIF($AD$3:$BA$3,"="&amp;$DF25+'Model Setup'!$H$7,$B25:$Y25)+'Model Setup'!$H$8*(SUMIF($AD$3:$BA$3,"&lt;"&amp;$DF25,$B25:$Y25)+SUMIF($AD$3:$BA$3,"&gt;="&amp;$DG25,$B25:$Y25)),
IF(AR$3=$DF25+'Model Setup'!$I$7,SUMIF($AD$3:$BA$3,"="&amp;$DF25+'Model Setup'!$I$7,$B25:$Y25)+'Model Setup'!$I$8*(SUMIF($AD$3:$BA$3,"&lt;"&amp;$DF25,$B25:$Y25)+SUMIF($AD$3:$BA$3,"&gt;="&amp;$DG25,$B25:$Y25)),
IF(AR$3=$DF25+'Model Setup'!$J$7,SUMIF($AD$3:$BA$3,"="&amp;$DF25+'Model Setup'!$J$7,$B25:$Y25)+'Model Setup'!$J$8*(SUMIF($AD$3:$BA$3,"&lt;"&amp;$DF25,$B25:$Y25)+SUMIF($AD$3:$BA$3,"&gt;="&amp;$DG25,$B25:$Y25)),
IF(AR$3=$DF25+'Model Setup'!$K$7,SUMIF($AD$3:$BA$3,"="&amp;$DF25+'Model Setup'!$K$7,$B25:$Y25)+'Model Setup'!$K$8*(SUMIF($AD$3:$BA$3,"&lt;"&amp;$DF25,$B25:$Y25)+SUMIF($AD$3:$BA$3,"&gt;="&amp;$DG25,$B25:$Y25)),
IF(AR$3=$DF25+'Model Setup'!$L$7,SUMIF($AD$3:$BA$3,"="&amp;$DF25+'Model Setup'!$L$7,$B25:$Y25)+'Model Setup'!$L$8*(SUMIF($AD$3:$BA$3,"&lt;"&amp;$DF25,$B25:$Y25)+SUMIF($AD$3:$BA$3,"&gt;="&amp;$DG25,$B25:$Y25)),
IF(AR$3=$DF25+'Model Setup'!$M$7,SUMIF($AD$3:$BA$3,"="&amp;$DF25+'Model Setup'!$M$7,$B25:$Y25)+'Model Setup'!$M$8*(SUMIF($AD$3:$BA$3,"&lt;"&amp;$DF25,$B25:$Y25)+SUMIF($AD$3:$BA$3,"&gt;="&amp;$DG25,$B25:$Y25)),
IF(AR$3=$DF25+'Model Setup'!$N$7,SUMIF($AD$3:$BA$3,"="&amp;$DF25+'Model Setup'!$N$7,$B25:$Y25)+'Model Setup'!$N$8*(SUMIF($AD$3:$BA$3,"&lt;"&amp;$DF25,$B25:$Y25)+SUMIF($AD$3:$BA$3,"&gt;="&amp;$DG25,$B25:$Y25)),
IF(AR$3&lt;$DG25,P25,0))))))))))))))),0)</f>
        <v>33</v>
      </c>
      <c r="AS25" s="47">
        <f>ROUND(IF(AS$3&lt;$DF25,0,
IF(AS$3=$DF25+'Model Setup'!$B$7,SUMIF($AD$3:$BA$3,"="&amp;$DF25+'Model Setup'!$B$7,$B25:$Y25)+'Model Setup'!$B$8*(SUMIF($AD$3:$BA$3,"&lt;"&amp;$DF25,$B25:$Y25)+SUMIF($AD$3:$BA$3,"&gt;="&amp;$DG25,$B25:$Y25)),
IF(AS$3=$DF25+'Model Setup'!$C$7,SUMIF($AD$3:$BA$3,"="&amp;$DF25+'Model Setup'!$C$7,$B25:$Y25)+'Model Setup'!$C$8*(SUMIF($AD$3:$BA$3,"&lt;"&amp;$DF25,$B25:$Y25)+SUMIF($AD$3:$BA$3,"&gt;="&amp;$DG25,$B25:$Y25)),
IF(AS$3=$DF25+'Model Setup'!$D$7,SUMIF($AD$3:$BA$3,"="&amp;$DF25+'Model Setup'!$D$7,$B25:$Y25)+'Model Setup'!$D$8*(SUMIF($AD$3:$BA$3,"&lt;"&amp;$DF25,$B25:$Y25)+SUMIF($AD$3:$BA$3,"&gt;="&amp;$DG25,$B25:$Y25)),
IF(AS$3=$DF25+'Model Setup'!$E$7,SUMIF($AD$3:$BA$3,"="&amp;$DF25+'Model Setup'!$E$7,$B25:$Y25)+'Model Setup'!$E$8*(SUMIF($AD$3:$BA$3,"&lt;"&amp;$DF25,$B25:$Y25)+SUMIF($AD$3:$BA$3,"&gt;="&amp;$DG25,$B25:$Y25)),
IF(AS$3=$DF25+'Model Setup'!$F$7,SUMIF($AD$3:$BA$3,"="&amp;$DF25+'Model Setup'!$F$7,$B25:$Y25)+'Model Setup'!$F$8*(SUMIF($AD$3:$BA$3,"&lt;"&amp;$DF25,$B25:$Y25)+SUMIF($AD$3:$BA$3,"&gt;="&amp;$DG25,$B25:$Y25)),
IF(AS$3=$DF25+'Model Setup'!$G$7,SUMIF($AD$3:$BA$3,"="&amp;$DF25+'Model Setup'!$G$7,$B25:$Y25)+'Model Setup'!$G$8*(SUMIF($AD$3:$BA$3,"&lt;"&amp;$DF25,$B25:$Y25)+SUMIF($AD$3:$BA$3,"&gt;="&amp;$DG25,$B25:$Y25)),
IF(AS$3=$DF25+'Model Setup'!$H$7,SUMIF($AD$3:$BA$3,"="&amp;$DF25+'Model Setup'!$H$7,$B25:$Y25)+'Model Setup'!$H$8*(SUMIF($AD$3:$BA$3,"&lt;"&amp;$DF25,$B25:$Y25)+SUMIF($AD$3:$BA$3,"&gt;="&amp;$DG25,$B25:$Y25)),
IF(AS$3=$DF25+'Model Setup'!$I$7,SUMIF($AD$3:$BA$3,"="&amp;$DF25+'Model Setup'!$I$7,$B25:$Y25)+'Model Setup'!$I$8*(SUMIF($AD$3:$BA$3,"&lt;"&amp;$DF25,$B25:$Y25)+SUMIF($AD$3:$BA$3,"&gt;="&amp;$DG25,$B25:$Y25)),
IF(AS$3=$DF25+'Model Setup'!$J$7,SUMIF($AD$3:$BA$3,"="&amp;$DF25+'Model Setup'!$J$7,$B25:$Y25)+'Model Setup'!$J$8*(SUMIF($AD$3:$BA$3,"&lt;"&amp;$DF25,$B25:$Y25)+SUMIF($AD$3:$BA$3,"&gt;="&amp;$DG25,$B25:$Y25)),
IF(AS$3=$DF25+'Model Setup'!$K$7,SUMIF($AD$3:$BA$3,"="&amp;$DF25+'Model Setup'!$K$7,$B25:$Y25)+'Model Setup'!$K$8*(SUMIF($AD$3:$BA$3,"&lt;"&amp;$DF25,$B25:$Y25)+SUMIF($AD$3:$BA$3,"&gt;="&amp;$DG25,$B25:$Y25)),
IF(AS$3=$DF25+'Model Setup'!$L$7,SUMIF($AD$3:$BA$3,"="&amp;$DF25+'Model Setup'!$L$7,$B25:$Y25)+'Model Setup'!$L$8*(SUMIF($AD$3:$BA$3,"&lt;"&amp;$DF25,$B25:$Y25)+SUMIF($AD$3:$BA$3,"&gt;="&amp;$DG25,$B25:$Y25)),
IF(AS$3=$DF25+'Model Setup'!$M$7,SUMIF($AD$3:$BA$3,"="&amp;$DF25+'Model Setup'!$M$7,$B25:$Y25)+'Model Setup'!$M$8*(SUMIF($AD$3:$BA$3,"&lt;"&amp;$DF25,$B25:$Y25)+SUMIF($AD$3:$BA$3,"&gt;="&amp;$DG25,$B25:$Y25)),
IF(AS$3=$DF25+'Model Setup'!$N$7,SUMIF($AD$3:$BA$3,"="&amp;$DF25+'Model Setup'!$N$7,$B25:$Y25)+'Model Setup'!$N$8*(SUMIF($AD$3:$BA$3,"&lt;"&amp;$DF25,$B25:$Y25)+SUMIF($AD$3:$BA$3,"&gt;="&amp;$DG25,$B25:$Y25)),
IF(AS$3&lt;$DG25,Q25,0))))))))))))))),0)</f>
        <v>52</v>
      </c>
      <c r="AT25" s="47">
        <f>ROUND(IF(AT$3&lt;$DF25,0,
IF(AT$3=$DF25+'Model Setup'!$B$7,SUMIF($AD$3:$BA$3,"="&amp;$DF25+'Model Setup'!$B$7,$B25:$Y25)+'Model Setup'!$B$8*(SUMIF($AD$3:$BA$3,"&lt;"&amp;$DF25,$B25:$Y25)+SUMIF($AD$3:$BA$3,"&gt;="&amp;$DG25,$B25:$Y25)),
IF(AT$3=$DF25+'Model Setup'!$C$7,SUMIF($AD$3:$BA$3,"="&amp;$DF25+'Model Setup'!$C$7,$B25:$Y25)+'Model Setup'!$C$8*(SUMIF($AD$3:$BA$3,"&lt;"&amp;$DF25,$B25:$Y25)+SUMIF($AD$3:$BA$3,"&gt;="&amp;$DG25,$B25:$Y25)),
IF(AT$3=$DF25+'Model Setup'!$D$7,SUMIF($AD$3:$BA$3,"="&amp;$DF25+'Model Setup'!$D$7,$B25:$Y25)+'Model Setup'!$D$8*(SUMIF($AD$3:$BA$3,"&lt;"&amp;$DF25,$B25:$Y25)+SUMIF($AD$3:$BA$3,"&gt;="&amp;$DG25,$B25:$Y25)),
IF(AT$3=$DF25+'Model Setup'!$E$7,SUMIF($AD$3:$BA$3,"="&amp;$DF25+'Model Setup'!$E$7,$B25:$Y25)+'Model Setup'!$E$8*(SUMIF($AD$3:$BA$3,"&lt;"&amp;$DF25,$B25:$Y25)+SUMIF($AD$3:$BA$3,"&gt;="&amp;$DG25,$B25:$Y25)),
IF(AT$3=$DF25+'Model Setup'!$F$7,SUMIF($AD$3:$BA$3,"="&amp;$DF25+'Model Setup'!$F$7,$B25:$Y25)+'Model Setup'!$F$8*(SUMIF($AD$3:$BA$3,"&lt;"&amp;$DF25,$B25:$Y25)+SUMIF($AD$3:$BA$3,"&gt;="&amp;$DG25,$B25:$Y25)),
IF(AT$3=$DF25+'Model Setup'!$G$7,SUMIF($AD$3:$BA$3,"="&amp;$DF25+'Model Setup'!$G$7,$B25:$Y25)+'Model Setup'!$G$8*(SUMIF($AD$3:$BA$3,"&lt;"&amp;$DF25,$B25:$Y25)+SUMIF($AD$3:$BA$3,"&gt;="&amp;$DG25,$B25:$Y25)),
IF(AT$3=$DF25+'Model Setup'!$H$7,SUMIF($AD$3:$BA$3,"="&amp;$DF25+'Model Setup'!$H$7,$B25:$Y25)+'Model Setup'!$H$8*(SUMIF($AD$3:$BA$3,"&lt;"&amp;$DF25,$B25:$Y25)+SUMIF($AD$3:$BA$3,"&gt;="&amp;$DG25,$B25:$Y25)),
IF(AT$3=$DF25+'Model Setup'!$I$7,SUMIF($AD$3:$BA$3,"="&amp;$DF25+'Model Setup'!$I$7,$B25:$Y25)+'Model Setup'!$I$8*(SUMIF($AD$3:$BA$3,"&lt;"&amp;$DF25,$B25:$Y25)+SUMIF($AD$3:$BA$3,"&gt;="&amp;$DG25,$B25:$Y25)),
IF(AT$3=$DF25+'Model Setup'!$J$7,SUMIF($AD$3:$BA$3,"="&amp;$DF25+'Model Setup'!$J$7,$B25:$Y25)+'Model Setup'!$J$8*(SUMIF($AD$3:$BA$3,"&lt;"&amp;$DF25,$B25:$Y25)+SUMIF($AD$3:$BA$3,"&gt;="&amp;$DG25,$B25:$Y25)),
IF(AT$3=$DF25+'Model Setup'!$K$7,SUMIF($AD$3:$BA$3,"="&amp;$DF25+'Model Setup'!$K$7,$B25:$Y25)+'Model Setup'!$K$8*(SUMIF($AD$3:$BA$3,"&lt;"&amp;$DF25,$B25:$Y25)+SUMIF($AD$3:$BA$3,"&gt;="&amp;$DG25,$B25:$Y25)),
IF(AT$3=$DF25+'Model Setup'!$L$7,SUMIF($AD$3:$BA$3,"="&amp;$DF25+'Model Setup'!$L$7,$B25:$Y25)+'Model Setup'!$L$8*(SUMIF($AD$3:$BA$3,"&lt;"&amp;$DF25,$B25:$Y25)+SUMIF($AD$3:$BA$3,"&gt;="&amp;$DG25,$B25:$Y25)),
IF(AT$3=$DF25+'Model Setup'!$M$7,SUMIF($AD$3:$BA$3,"="&amp;$DF25+'Model Setup'!$M$7,$B25:$Y25)+'Model Setup'!$M$8*(SUMIF($AD$3:$BA$3,"&lt;"&amp;$DF25,$B25:$Y25)+SUMIF($AD$3:$BA$3,"&gt;="&amp;$DG25,$B25:$Y25)),
IF(AT$3=$DF25+'Model Setup'!$N$7,SUMIF($AD$3:$BA$3,"="&amp;$DF25+'Model Setup'!$N$7,$B25:$Y25)+'Model Setup'!$N$8*(SUMIF($AD$3:$BA$3,"&lt;"&amp;$DF25,$B25:$Y25)+SUMIF($AD$3:$BA$3,"&gt;="&amp;$DG25,$B25:$Y25)),
IF(AT$3&lt;$DG25,R25,0))))))))))))))),0)</f>
        <v>54</v>
      </c>
      <c r="AU25" s="47">
        <f>ROUND(IF(AU$3&lt;$DF25,0,
IF(AU$3=$DF25+'Model Setup'!$B$7,SUMIF($AD$3:$BA$3,"="&amp;$DF25+'Model Setup'!$B$7,$B25:$Y25)+'Model Setup'!$B$8*(SUMIF($AD$3:$BA$3,"&lt;"&amp;$DF25,$B25:$Y25)+SUMIF($AD$3:$BA$3,"&gt;="&amp;$DG25,$B25:$Y25)),
IF(AU$3=$DF25+'Model Setup'!$C$7,SUMIF($AD$3:$BA$3,"="&amp;$DF25+'Model Setup'!$C$7,$B25:$Y25)+'Model Setup'!$C$8*(SUMIF($AD$3:$BA$3,"&lt;"&amp;$DF25,$B25:$Y25)+SUMIF($AD$3:$BA$3,"&gt;="&amp;$DG25,$B25:$Y25)),
IF(AU$3=$DF25+'Model Setup'!$D$7,SUMIF($AD$3:$BA$3,"="&amp;$DF25+'Model Setup'!$D$7,$B25:$Y25)+'Model Setup'!$D$8*(SUMIF($AD$3:$BA$3,"&lt;"&amp;$DF25,$B25:$Y25)+SUMIF($AD$3:$BA$3,"&gt;="&amp;$DG25,$B25:$Y25)),
IF(AU$3=$DF25+'Model Setup'!$E$7,SUMIF($AD$3:$BA$3,"="&amp;$DF25+'Model Setup'!$E$7,$B25:$Y25)+'Model Setup'!$E$8*(SUMIF($AD$3:$BA$3,"&lt;"&amp;$DF25,$B25:$Y25)+SUMIF($AD$3:$BA$3,"&gt;="&amp;$DG25,$B25:$Y25)),
IF(AU$3=$DF25+'Model Setup'!$F$7,SUMIF($AD$3:$BA$3,"="&amp;$DF25+'Model Setup'!$F$7,$B25:$Y25)+'Model Setup'!$F$8*(SUMIF($AD$3:$BA$3,"&lt;"&amp;$DF25,$B25:$Y25)+SUMIF($AD$3:$BA$3,"&gt;="&amp;$DG25,$B25:$Y25)),
IF(AU$3=$DF25+'Model Setup'!$G$7,SUMIF($AD$3:$BA$3,"="&amp;$DF25+'Model Setup'!$G$7,$B25:$Y25)+'Model Setup'!$G$8*(SUMIF($AD$3:$BA$3,"&lt;"&amp;$DF25,$B25:$Y25)+SUMIF($AD$3:$BA$3,"&gt;="&amp;$DG25,$B25:$Y25)),
IF(AU$3=$DF25+'Model Setup'!$H$7,SUMIF($AD$3:$BA$3,"="&amp;$DF25+'Model Setup'!$H$7,$B25:$Y25)+'Model Setup'!$H$8*(SUMIF($AD$3:$BA$3,"&lt;"&amp;$DF25,$B25:$Y25)+SUMIF($AD$3:$BA$3,"&gt;="&amp;$DG25,$B25:$Y25)),
IF(AU$3=$DF25+'Model Setup'!$I$7,SUMIF($AD$3:$BA$3,"="&amp;$DF25+'Model Setup'!$I$7,$B25:$Y25)+'Model Setup'!$I$8*(SUMIF($AD$3:$BA$3,"&lt;"&amp;$DF25,$B25:$Y25)+SUMIF($AD$3:$BA$3,"&gt;="&amp;$DG25,$B25:$Y25)),
IF(AU$3=$DF25+'Model Setup'!$J$7,SUMIF($AD$3:$BA$3,"="&amp;$DF25+'Model Setup'!$J$7,$B25:$Y25)+'Model Setup'!$J$8*(SUMIF($AD$3:$BA$3,"&lt;"&amp;$DF25,$B25:$Y25)+SUMIF($AD$3:$BA$3,"&gt;="&amp;$DG25,$B25:$Y25)),
IF(AU$3=$DF25+'Model Setup'!$K$7,SUMIF($AD$3:$BA$3,"="&amp;$DF25+'Model Setup'!$K$7,$B25:$Y25)+'Model Setup'!$K$8*(SUMIF($AD$3:$BA$3,"&lt;"&amp;$DF25,$B25:$Y25)+SUMIF($AD$3:$BA$3,"&gt;="&amp;$DG25,$B25:$Y25)),
IF(AU$3=$DF25+'Model Setup'!$L$7,SUMIF($AD$3:$BA$3,"="&amp;$DF25+'Model Setup'!$L$7,$B25:$Y25)+'Model Setup'!$L$8*(SUMIF($AD$3:$BA$3,"&lt;"&amp;$DF25,$B25:$Y25)+SUMIF($AD$3:$BA$3,"&gt;="&amp;$DG25,$B25:$Y25)),
IF(AU$3=$DF25+'Model Setup'!$M$7,SUMIF($AD$3:$BA$3,"="&amp;$DF25+'Model Setup'!$M$7,$B25:$Y25)+'Model Setup'!$M$8*(SUMIF($AD$3:$BA$3,"&lt;"&amp;$DF25,$B25:$Y25)+SUMIF($AD$3:$BA$3,"&gt;="&amp;$DG25,$B25:$Y25)),
IF(AU$3=$DF25+'Model Setup'!$N$7,SUMIF($AD$3:$BA$3,"="&amp;$DF25+'Model Setup'!$N$7,$B25:$Y25)+'Model Setup'!$N$8*(SUMIF($AD$3:$BA$3,"&lt;"&amp;$DF25,$B25:$Y25)+SUMIF($AD$3:$BA$3,"&gt;="&amp;$DG25,$B25:$Y25)),
IF(AU$3&lt;$DG25,S25,0))))))))))))))),0)</f>
        <v>40</v>
      </c>
      <c r="AV25" s="47">
        <f>ROUND(IF(AV$3&lt;$DF25,0,
IF(AV$3=$DF25+'Model Setup'!$B$7,SUMIF($AD$3:$BA$3,"="&amp;$DF25+'Model Setup'!$B$7,$B25:$Y25)+'Model Setup'!$B$8*(SUMIF($AD$3:$BA$3,"&lt;"&amp;$DF25,$B25:$Y25)+SUMIF($AD$3:$BA$3,"&gt;="&amp;$DG25,$B25:$Y25)),
IF(AV$3=$DF25+'Model Setup'!$C$7,SUMIF($AD$3:$BA$3,"="&amp;$DF25+'Model Setup'!$C$7,$B25:$Y25)+'Model Setup'!$C$8*(SUMIF($AD$3:$BA$3,"&lt;"&amp;$DF25,$B25:$Y25)+SUMIF($AD$3:$BA$3,"&gt;="&amp;$DG25,$B25:$Y25)),
IF(AV$3=$DF25+'Model Setup'!$D$7,SUMIF($AD$3:$BA$3,"="&amp;$DF25+'Model Setup'!$D$7,$B25:$Y25)+'Model Setup'!$D$8*(SUMIF($AD$3:$BA$3,"&lt;"&amp;$DF25,$B25:$Y25)+SUMIF($AD$3:$BA$3,"&gt;="&amp;$DG25,$B25:$Y25)),
IF(AV$3=$DF25+'Model Setup'!$E$7,SUMIF($AD$3:$BA$3,"="&amp;$DF25+'Model Setup'!$E$7,$B25:$Y25)+'Model Setup'!$E$8*(SUMIF($AD$3:$BA$3,"&lt;"&amp;$DF25,$B25:$Y25)+SUMIF($AD$3:$BA$3,"&gt;="&amp;$DG25,$B25:$Y25)),
IF(AV$3=$DF25+'Model Setup'!$F$7,SUMIF($AD$3:$BA$3,"="&amp;$DF25+'Model Setup'!$F$7,$B25:$Y25)+'Model Setup'!$F$8*(SUMIF($AD$3:$BA$3,"&lt;"&amp;$DF25,$B25:$Y25)+SUMIF($AD$3:$BA$3,"&gt;="&amp;$DG25,$B25:$Y25)),
IF(AV$3=$DF25+'Model Setup'!$G$7,SUMIF($AD$3:$BA$3,"="&amp;$DF25+'Model Setup'!$G$7,$B25:$Y25)+'Model Setup'!$G$8*(SUMIF($AD$3:$BA$3,"&lt;"&amp;$DF25,$B25:$Y25)+SUMIF($AD$3:$BA$3,"&gt;="&amp;$DG25,$B25:$Y25)),
IF(AV$3=$DF25+'Model Setup'!$H$7,SUMIF($AD$3:$BA$3,"="&amp;$DF25+'Model Setup'!$H$7,$B25:$Y25)+'Model Setup'!$H$8*(SUMIF($AD$3:$BA$3,"&lt;"&amp;$DF25,$B25:$Y25)+SUMIF($AD$3:$BA$3,"&gt;="&amp;$DG25,$B25:$Y25)),
IF(AV$3=$DF25+'Model Setup'!$I$7,SUMIF($AD$3:$BA$3,"="&amp;$DF25+'Model Setup'!$I$7,$B25:$Y25)+'Model Setup'!$I$8*(SUMIF($AD$3:$BA$3,"&lt;"&amp;$DF25,$B25:$Y25)+SUMIF($AD$3:$BA$3,"&gt;="&amp;$DG25,$B25:$Y25)),
IF(AV$3=$DF25+'Model Setup'!$J$7,SUMIF($AD$3:$BA$3,"="&amp;$DF25+'Model Setup'!$J$7,$B25:$Y25)+'Model Setup'!$J$8*(SUMIF($AD$3:$BA$3,"&lt;"&amp;$DF25,$B25:$Y25)+SUMIF($AD$3:$BA$3,"&gt;="&amp;$DG25,$B25:$Y25)),
IF(AV$3=$DF25+'Model Setup'!$K$7,SUMIF($AD$3:$BA$3,"="&amp;$DF25+'Model Setup'!$K$7,$B25:$Y25)+'Model Setup'!$K$8*(SUMIF($AD$3:$BA$3,"&lt;"&amp;$DF25,$B25:$Y25)+SUMIF($AD$3:$BA$3,"&gt;="&amp;$DG25,$B25:$Y25)),
IF(AV$3=$DF25+'Model Setup'!$L$7,SUMIF($AD$3:$BA$3,"="&amp;$DF25+'Model Setup'!$L$7,$B25:$Y25)+'Model Setup'!$L$8*(SUMIF($AD$3:$BA$3,"&lt;"&amp;$DF25,$B25:$Y25)+SUMIF($AD$3:$BA$3,"&gt;="&amp;$DG25,$B25:$Y25)),
IF(AV$3=$DF25+'Model Setup'!$M$7,SUMIF($AD$3:$BA$3,"="&amp;$DF25+'Model Setup'!$M$7,$B25:$Y25)+'Model Setup'!$M$8*(SUMIF($AD$3:$BA$3,"&lt;"&amp;$DF25,$B25:$Y25)+SUMIF($AD$3:$BA$3,"&gt;="&amp;$DG25,$B25:$Y25)),
IF(AV$3=$DF25+'Model Setup'!$N$7,SUMIF($AD$3:$BA$3,"="&amp;$DF25+'Model Setup'!$N$7,$B25:$Y25)+'Model Setup'!$N$8*(SUMIF($AD$3:$BA$3,"&lt;"&amp;$DF25,$B25:$Y25)+SUMIF($AD$3:$BA$3,"&gt;="&amp;$DG25,$B25:$Y25)),
IF(AV$3&lt;$DG25,T25,0))))))))))))))),0)</f>
        <v>0</v>
      </c>
      <c r="AW25" s="47">
        <f>ROUND(IF(AW$3&lt;$DF25,0,
IF(AW$3=$DF25+'Model Setup'!$B$7,SUMIF($AD$3:$BA$3,"="&amp;$DF25+'Model Setup'!$B$7,$B25:$Y25)+'Model Setup'!$B$8*(SUMIF($AD$3:$BA$3,"&lt;"&amp;$DF25,$B25:$Y25)+SUMIF($AD$3:$BA$3,"&gt;="&amp;$DG25,$B25:$Y25)),
IF(AW$3=$DF25+'Model Setup'!$C$7,SUMIF($AD$3:$BA$3,"="&amp;$DF25+'Model Setup'!$C$7,$B25:$Y25)+'Model Setup'!$C$8*(SUMIF($AD$3:$BA$3,"&lt;"&amp;$DF25,$B25:$Y25)+SUMIF($AD$3:$BA$3,"&gt;="&amp;$DG25,$B25:$Y25)),
IF(AW$3=$DF25+'Model Setup'!$D$7,SUMIF($AD$3:$BA$3,"="&amp;$DF25+'Model Setup'!$D$7,$B25:$Y25)+'Model Setup'!$D$8*(SUMIF($AD$3:$BA$3,"&lt;"&amp;$DF25,$B25:$Y25)+SUMIF($AD$3:$BA$3,"&gt;="&amp;$DG25,$B25:$Y25)),
IF(AW$3=$DF25+'Model Setup'!$E$7,SUMIF($AD$3:$BA$3,"="&amp;$DF25+'Model Setup'!$E$7,$B25:$Y25)+'Model Setup'!$E$8*(SUMIF($AD$3:$BA$3,"&lt;"&amp;$DF25,$B25:$Y25)+SUMIF($AD$3:$BA$3,"&gt;="&amp;$DG25,$B25:$Y25)),
IF(AW$3=$DF25+'Model Setup'!$F$7,SUMIF($AD$3:$BA$3,"="&amp;$DF25+'Model Setup'!$F$7,$B25:$Y25)+'Model Setup'!$F$8*(SUMIF($AD$3:$BA$3,"&lt;"&amp;$DF25,$B25:$Y25)+SUMIF($AD$3:$BA$3,"&gt;="&amp;$DG25,$B25:$Y25)),
IF(AW$3=$DF25+'Model Setup'!$G$7,SUMIF($AD$3:$BA$3,"="&amp;$DF25+'Model Setup'!$G$7,$B25:$Y25)+'Model Setup'!$G$8*(SUMIF($AD$3:$BA$3,"&lt;"&amp;$DF25,$B25:$Y25)+SUMIF($AD$3:$BA$3,"&gt;="&amp;$DG25,$B25:$Y25)),
IF(AW$3=$DF25+'Model Setup'!$H$7,SUMIF($AD$3:$BA$3,"="&amp;$DF25+'Model Setup'!$H$7,$B25:$Y25)+'Model Setup'!$H$8*(SUMIF($AD$3:$BA$3,"&lt;"&amp;$DF25,$B25:$Y25)+SUMIF($AD$3:$BA$3,"&gt;="&amp;$DG25,$B25:$Y25)),
IF(AW$3=$DF25+'Model Setup'!$I$7,SUMIF($AD$3:$BA$3,"="&amp;$DF25+'Model Setup'!$I$7,$B25:$Y25)+'Model Setup'!$I$8*(SUMIF($AD$3:$BA$3,"&lt;"&amp;$DF25,$B25:$Y25)+SUMIF($AD$3:$BA$3,"&gt;="&amp;$DG25,$B25:$Y25)),
IF(AW$3=$DF25+'Model Setup'!$J$7,SUMIF($AD$3:$BA$3,"="&amp;$DF25+'Model Setup'!$J$7,$B25:$Y25)+'Model Setup'!$J$8*(SUMIF($AD$3:$BA$3,"&lt;"&amp;$DF25,$B25:$Y25)+SUMIF($AD$3:$BA$3,"&gt;="&amp;$DG25,$B25:$Y25)),
IF(AW$3=$DF25+'Model Setup'!$K$7,SUMIF($AD$3:$BA$3,"="&amp;$DF25+'Model Setup'!$K$7,$B25:$Y25)+'Model Setup'!$K$8*(SUMIF($AD$3:$BA$3,"&lt;"&amp;$DF25,$B25:$Y25)+SUMIF($AD$3:$BA$3,"&gt;="&amp;$DG25,$B25:$Y25)),
IF(AW$3=$DF25+'Model Setup'!$L$7,SUMIF($AD$3:$BA$3,"="&amp;$DF25+'Model Setup'!$L$7,$B25:$Y25)+'Model Setup'!$L$8*(SUMIF($AD$3:$BA$3,"&lt;"&amp;$DF25,$B25:$Y25)+SUMIF($AD$3:$BA$3,"&gt;="&amp;$DG25,$B25:$Y25)),
IF(AW$3=$DF25+'Model Setup'!$M$7,SUMIF($AD$3:$BA$3,"="&amp;$DF25+'Model Setup'!$M$7,$B25:$Y25)+'Model Setup'!$M$8*(SUMIF($AD$3:$BA$3,"&lt;"&amp;$DF25,$B25:$Y25)+SUMIF($AD$3:$BA$3,"&gt;="&amp;$DG25,$B25:$Y25)),
IF(AW$3=$DF25+'Model Setup'!$N$7,SUMIF($AD$3:$BA$3,"="&amp;$DF25+'Model Setup'!$N$7,$B25:$Y25)+'Model Setup'!$N$8*(SUMIF($AD$3:$BA$3,"&lt;"&amp;$DF25,$B25:$Y25)+SUMIF($AD$3:$BA$3,"&gt;="&amp;$DG25,$B25:$Y25)),
IF(AW$3&lt;$DG25,U25,0))))))))))))))),0)</f>
        <v>0</v>
      </c>
      <c r="AX25" s="47">
        <f>ROUND(IF(AX$3&lt;$DF25,0,
IF(AX$3=$DF25+'Model Setup'!$B$7,SUMIF($AD$3:$BA$3,"="&amp;$DF25+'Model Setup'!$B$7,$B25:$Y25)+'Model Setup'!$B$8*(SUMIF($AD$3:$BA$3,"&lt;"&amp;$DF25,$B25:$Y25)+SUMIF($AD$3:$BA$3,"&gt;="&amp;$DG25,$B25:$Y25)),
IF(AX$3=$DF25+'Model Setup'!$C$7,SUMIF($AD$3:$BA$3,"="&amp;$DF25+'Model Setup'!$C$7,$B25:$Y25)+'Model Setup'!$C$8*(SUMIF($AD$3:$BA$3,"&lt;"&amp;$DF25,$B25:$Y25)+SUMIF($AD$3:$BA$3,"&gt;="&amp;$DG25,$B25:$Y25)),
IF(AX$3=$DF25+'Model Setup'!$D$7,SUMIF($AD$3:$BA$3,"="&amp;$DF25+'Model Setup'!$D$7,$B25:$Y25)+'Model Setup'!$D$8*(SUMIF($AD$3:$BA$3,"&lt;"&amp;$DF25,$B25:$Y25)+SUMIF($AD$3:$BA$3,"&gt;="&amp;$DG25,$B25:$Y25)),
IF(AX$3=$DF25+'Model Setup'!$E$7,SUMIF($AD$3:$BA$3,"="&amp;$DF25+'Model Setup'!$E$7,$B25:$Y25)+'Model Setup'!$E$8*(SUMIF($AD$3:$BA$3,"&lt;"&amp;$DF25,$B25:$Y25)+SUMIF($AD$3:$BA$3,"&gt;="&amp;$DG25,$B25:$Y25)),
IF(AX$3=$DF25+'Model Setup'!$F$7,SUMIF($AD$3:$BA$3,"="&amp;$DF25+'Model Setup'!$F$7,$B25:$Y25)+'Model Setup'!$F$8*(SUMIF($AD$3:$BA$3,"&lt;"&amp;$DF25,$B25:$Y25)+SUMIF($AD$3:$BA$3,"&gt;="&amp;$DG25,$B25:$Y25)),
IF(AX$3=$DF25+'Model Setup'!$G$7,SUMIF($AD$3:$BA$3,"="&amp;$DF25+'Model Setup'!$G$7,$B25:$Y25)+'Model Setup'!$G$8*(SUMIF($AD$3:$BA$3,"&lt;"&amp;$DF25,$B25:$Y25)+SUMIF($AD$3:$BA$3,"&gt;="&amp;$DG25,$B25:$Y25)),
IF(AX$3=$DF25+'Model Setup'!$H$7,SUMIF($AD$3:$BA$3,"="&amp;$DF25+'Model Setup'!$H$7,$B25:$Y25)+'Model Setup'!$H$8*(SUMIF($AD$3:$BA$3,"&lt;"&amp;$DF25,$B25:$Y25)+SUMIF($AD$3:$BA$3,"&gt;="&amp;$DG25,$B25:$Y25)),
IF(AX$3=$DF25+'Model Setup'!$I$7,SUMIF($AD$3:$BA$3,"="&amp;$DF25+'Model Setup'!$I$7,$B25:$Y25)+'Model Setup'!$I$8*(SUMIF($AD$3:$BA$3,"&lt;"&amp;$DF25,$B25:$Y25)+SUMIF($AD$3:$BA$3,"&gt;="&amp;$DG25,$B25:$Y25)),
IF(AX$3=$DF25+'Model Setup'!$J$7,SUMIF($AD$3:$BA$3,"="&amp;$DF25+'Model Setup'!$J$7,$B25:$Y25)+'Model Setup'!$J$8*(SUMIF($AD$3:$BA$3,"&lt;"&amp;$DF25,$B25:$Y25)+SUMIF($AD$3:$BA$3,"&gt;="&amp;$DG25,$B25:$Y25)),
IF(AX$3=$DF25+'Model Setup'!$K$7,SUMIF($AD$3:$BA$3,"="&amp;$DF25+'Model Setup'!$K$7,$B25:$Y25)+'Model Setup'!$K$8*(SUMIF($AD$3:$BA$3,"&lt;"&amp;$DF25,$B25:$Y25)+SUMIF($AD$3:$BA$3,"&gt;="&amp;$DG25,$B25:$Y25)),
IF(AX$3=$DF25+'Model Setup'!$L$7,SUMIF($AD$3:$BA$3,"="&amp;$DF25+'Model Setup'!$L$7,$B25:$Y25)+'Model Setup'!$L$8*(SUMIF($AD$3:$BA$3,"&lt;"&amp;$DF25,$B25:$Y25)+SUMIF($AD$3:$BA$3,"&gt;="&amp;$DG25,$B25:$Y25)),
IF(AX$3=$DF25+'Model Setup'!$M$7,SUMIF($AD$3:$BA$3,"="&amp;$DF25+'Model Setup'!$M$7,$B25:$Y25)+'Model Setup'!$M$8*(SUMIF($AD$3:$BA$3,"&lt;"&amp;$DF25,$B25:$Y25)+SUMIF($AD$3:$BA$3,"&gt;="&amp;$DG25,$B25:$Y25)),
IF(AX$3=$DF25+'Model Setup'!$N$7,SUMIF($AD$3:$BA$3,"="&amp;$DF25+'Model Setup'!$N$7,$B25:$Y25)+'Model Setup'!$N$8*(SUMIF($AD$3:$BA$3,"&lt;"&amp;$DF25,$B25:$Y25)+SUMIF($AD$3:$BA$3,"&gt;="&amp;$DG25,$B25:$Y25)),
IF(AX$3&lt;$DG25,V25,0))))))))))))))),0)</f>
        <v>0</v>
      </c>
      <c r="AY25" s="47">
        <f>ROUND(IF(AY$3&lt;$DF25,0,
IF(AY$3=$DF25+'Model Setup'!$B$7,SUMIF($AD$3:$BA$3,"="&amp;$DF25+'Model Setup'!$B$7,$B25:$Y25)+'Model Setup'!$B$8*(SUMIF($AD$3:$BA$3,"&lt;"&amp;$DF25,$B25:$Y25)+SUMIF($AD$3:$BA$3,"&gt;="&amp;$DG25,$B25:$Y25)),
IF(AY$3=$DF25+'Model Setup'!$C$7,SUMIF($AD$3:$BA$3,"="&amp;$DF25+'Model Setup'!$C$7,$B25:$Y25)+'Model Setup'!$C$8*(SUMIF($AD$3:$BA$3,"&lt;"&amp;$DF25,$B25:$Y25)+SUMIF($AD$3:$BA$3,"&gt;="&amp;$DG25,$B25:$Y25)),
IF(AY$3=$DF25+'Model Setup'!$D$7,SUMIF($AD$3:$BA$3,"="&amp;$DF25+'Model Setup'!$D$7,$B25:$Y25)+'Model Setup'!$D$8*(SUMIF($AD$3:$BA$3,"&lt;"&amp;$DF25,$B25:$Y25)+SUMIF($AD$3:$BA$3,"&gt;="&amp;$DG25,$B25:$Y25)),
IF(AY$3=$DF25+'Model Setup'!$E$7,SUMIF($AD$3:$BA$3,"="&amp;$DF25+'Model Setup'!$E$7,$B25:$Y25)+'Model Setup'!$E$8*(SUMIF($AD$3:$BA$3,"&lt;"&amp;$DF25,$B25:$Y25)+SUMIF($AD$3:$BA$3,"&gt;="&amp;$DG25,$B25:$Y25)),
IF(AY$3=$DF25+'Model Setup'!$F$7,SUMIF($AD$3:$BA$3,"="&amp;$DF25+'Model Setup'!$F$7,$B25:$Y25)+'Model Setup'!$F$8*(SUMIF($AD$3:$BA$3,"&lt;"&amp;$DF25,$B25:$Y25)+SUMIF($AD$3:$BA$3,"&gt;="&amp;$DG25,$B25:$Y25)),
IF(AY$3=$DF25+'Model Setup'!$G$7,SUMIF($AD$3:$BA$3,"="&amp;$DF25+'Model Setup'!$G$7,$B25:$Y25)+'Model Setup'!$G$8*(SUMIF($AD$3:$BA$3,"&lt;"&amp;$DF25,$B25:$Y25)+SUMIF($AD$3:$BA$3,"&gt;="&amp;$DG25,$B25:$Y25)),
IF(AY$3=$DF25+'Model Setup'!$H$7,SUMIF($AD$3:$BA$3,"="&amp;$DF25+'Model Setup'!$H$7,$B25:$Y25)+'Model Setup'!$H$8*(SUMIF($AD$3:$BA$3,"&lt;"&amp;$DF25,$B25:$Y25)+SUMIF($AD$3:$BA$3,"&gt;="&amp;$DG25,$B25:$Y25)),
IF(AY$3=$DF25+'Model Setup'!$I$7,SUMIF($AD$3:$BA$3,"="&amp;$DF25+'Model Setup'!$I$7,$B25:$Y25)+'Model Setup'!$I$8*(SUMIF($AD$3:$BA$3,"&lt;"&amp;$DF25,$B25:$Y25)+SUMIF($AD$3:$BA$3,"&gt;="&amp;$DG25,$B25:$Y25)),
IF(AY$3=$DF25+'Model Setup'!$J$7,SUMIF($AD$3:$BA$3,"="&amp;$DF25+'Model Setup'!$J$7,$B25:$Y25)+'Model Setup'!$J$8*(SUMIF($AD$3:$BA$3,"&lt;"&amp;$DF25,$B25:$Y25)+SUMIF($AD$3:$BA$3,"&gt;="&amp;$DG25,$B25:$Y25)),
IF(AY$3=$DF25+'Model Setup'!$K$7,SUMIF($AD$3:$BA$3,"="&amp;$DF25+'Model Setup'!$K$7,$B25:$Y25)+'Model Setup'!$K$8*(SUMIF($AD$3:$BA$3,"&lt;"&amp;$DF25,$B25:$Y25)+SUMIF($AD$3:$BA$3,"&gt;="&amp;$DG25,$B25:$Y25)),
IF(AY$3=$DF25+'Model Setup'!$L$7,SUMIF($AD$3:$BA$3,"="&amp;$DF25+'Model Setup'!$L$7,$B25:$Y25)+'Model Setup'!$L$8*(SUMIF($AD$3:$BA$3,"&lt;"&amp;$DF25,$B25:$Y25)+SUMIF($AD$3:$BA$3,"&gt;="&amp;$DG25,$B25:$Y25)),
IF(AY$3=$DF25+'Model Setup'!$M$7,SUMIF($AD$3:$BA$3,"="&amp;$DF25+'Model Setup'!$M$7,$B25:$Y25)+'Model Setup'!$M$8*(SUMIF($AD$3:$BA$3,"&lt;"&amp;$DF25,$B25:$Y25)+SUMIF($AD$3:$BA$3,"&gt;="&amp;$DG25,$B25:$Y25)),
IF(AY$3=$DF25+'Model Setup'!$N$7,SUMIF($AD$3:$BA$3,"="&amp;$DF25+'Model Setup'!$N$7,$B25:$Y25)+'Model Setup'!$N$8*(SUMIF($AD$3:$BA$3,"&lt;"&amp;$DF25,$B25:$Y25)+SUMIF($AD$3:$BA$3,"&gt;="&amp;$DG25,$B25:$Y25)),
IF(AY$3&lt;$DG25,W25,0))))))))))))))),0)</f>
        <v>0</v>
      </c>
      <c r="AZ25" s="47">
        <f>ROUND(IF(AZ$3&lt;$DF25,0,
IF(AZ$3=$DF25+'Model Setup'!$B$7,SUMIF($AD$3:$BA$3,"="&amp;$DF25+'Model Setup'!$B$7,$B25:$Y25)+'Model Setup'!$B$8*(SUMIF($AD$3:$BA$3,"&lt;"&amp;$DF25,$B25:$Y25)+SUMIF($AD$3:$BA$3,"&gt;="&amp;$DG25,$B25:$Y25)),
IF(AZ$3=$DF25+'Model Setup'!$C$7,SUMIF($AD$3:$BA$3,"="&amp;$DF25+'Model Setup'!$C$7,$B25:$Y25)+'Model Setup'!$C$8*(SUMIF($AD$3:$BA$3,"&lt;"&amp;$DF25,$B25:$Y25)+SUMIF($AD$3:$BA$3,"&gt;="&amp;$DG25,$B25:$Y25)),
IF(AZ$3=$DF25+'Model Setup'!$D$7,SUMIF($AD$3:$BA$3,"="&amp;$DF25+'Model Setup'!$D$7,$B25:$Y25)+'Model Setup'!$D$8*(SUMIF($AD$3:$BA$3,"&lt;"&amp;$DF25,$B25:$Y25)+SUMIF($AD$3:$BA$3,"&gt;="&amp;$DG25,$B25:$Y25)),
IF(AZ$3=$DF25+'Model Setup'!$E$7,SUMIF($AD$3:$BA$3,"="&amp;$DF25+'Model Setup'!$E$7,$B25:$Y25)+'Model Setup'!$E$8*(SUMIF($AD$3:$BA$3,"&lt;"&amp;$DF25,$B25:$Y25)+SUMIF($AD$3:$BA$3,"&gt;="&amp;$DG25,$B25:$Y25)),
IF(AZ$3=$DF25+'Model Setup'!$F$7,SUMIF($AD$3:$BA$3,"="&amp;$DF25+'Model Setup'!$F$7,$B25:$Y25)+'Model Setup'!$F$8*(SUMIF($AD$3:$BA$3,"&lt;"&amp;$DF25,$B25:$Y25)+SUMIF($AD$3:$BA$3,"&gt;="&amp;$DG25,$B25:$Y25)),
IF(AZ$3=$DF25+'Model Setup'!$G$7,SUMIF($AD$3:$BA$3,"="&amp;$DF25+'Model Setup'!$G$7,$B25:$Y25)+'Model Setup'!$G$8*(SUMIF($AD$3:$BA$3,"&lt;"&amp;$DF25,$B25:$Y25)+SUMIF($AD$3:$BA$3,"&gt;="&amp;$DG25,$B25:$Y25)),
IF(AZ$3=$DF25+'Model Setup'!$H$7,SUMIF($AD$3:$BA$3,"="&amp;$DF25+'Model Setup'!$H$7,$B25:$Y25)+'Model Setup'!$H$8*(SUMIF($AD$3:$BA$3,"&lt;"&amp;$DF25,$B25:$Y25)+SUMIF($AD$3:$BA$3,"&gt;="&amp;$DG25,$B25:$Y25)),
IF(AZ$3=$DF25+'Model Setup'!$I$7,SUMIF($AD$3:$BA$3,"="&amp;$DF25+'Model Setup'!$I$7,$B25:$Y25)+'Model Setup'!$I$8*(SUMIF($AD$3:$BA$3,"&lt;"&amp;$DF25,$B25:$Y25)+SUMIF($AD$3:$BA$3,"&gt;="&amp;$DG25,$B25:$Y25)),
IF(AZ$3=$DF25+'Model Setup'!$J$7,SUMIF($AD$3:$BA$3,"="&amp;$DF25+'Model Setup'!$J$7,$B25:$Y25)+'Model Setup'!$J$8*(SUMIF($AD$3:$BA$3,"&lt;"&amp;$DF25,$B25:$Y25)+SUMIF($AD$3:$BA$3,"&gt;="&amp;$DG25,$B25:$Y25)),
IF(AZ$3=$DF25+'Model Setup'!$K$7,SUMIF($AD$3:$BA$3,"="&amp;$DF25+'Model Setup'!$K$7,$B25:$Y25)+'Model Setup'!$K$8*(SUMIF($AD$3:$BA$3,"&lt;"&amp;$DF25,$B25:$Y25)+SUMIF($AD$3:$BA$3,"&gt;="&amp;$DG25,$B25:$Y25)),
IF(AZ$3=$DF25+'Model Setup'!$L$7,SUMIF($AD$3:$BA$3,"="&amp;$DF25+'Model Setup'!$L$7,$B25:$Y25)+'Model Setup'!$L$8*(SUMIF($AD$3:$BA$3,"&lt;"&amp;$DF25,$B25:$Y25)+SUMIF($AD$3:$BA$3,"&gt;="&amp;$DG25,$B25:$Y25)),
IF(AZ$3=$DF25+'Model Setup'!$M$7,SUMIF($AD$3:$BA$3,"="&amp;$DF25+'Model Setup'!$M$7,$B25:$Y25)+'Model Setup'!$M$8*(SUMIF($AD$3:$BA$3,"&lt;"&amp;$DF25,$B25:$Y25)+SUMIF($AD$3:$BA$3,"&gt;="&amp;$DG25,$B25:$Y25)),
IF(AZ$3=$DF25+'Model Setup'!$N$7,SUMIF($AD$3:$BA$3,"="&amp;$DF25+'Model Setup'!$N$7,$B25:$Y25)+'Model Setup'!$N$8*(SUMIF($AD$3:$BA$3,"&lt;"&amp;$DF25,$B25:$Y25)+SUMIF($AD$3:$BA$3,"&gt;="&amp;$DG25,$B25:$Y25)),
IF(AZ$3&lt;$DG25,X25,0))))))))))))))),0)</f>
        <v>0</v>
      </c>
      <c r="BA25" s="47">
        <f>ROUND(IF(BA$3&lt;$DF25,0,
IF(BA$3=$DF25+'Model Setup'!$B$7,SUMIF($AD$3:$BA$3,"="&amp;$DF25+'Model Setup'!$B$7,$B25:$Y25)+'Model Setup'!$B$8*(SUMIF($AD$3:$BA$3,"&lt;"&amp;$DF25,$B25:$Y25)+SUMIF($AD$3:$BA$3,"&gt;="&amp;$DG25,$B25:$Y25)),
IF(BA$3=$DF25+'Model Setup'!$C$7,SUMIF($AD$3:$BA$3,"="&amp;$DF25+'Model Setup'!$C$7,$B25:$Y25)+'Model Setup'!$C$8*(SUMIF($AD$3:$BA$3,"&lt;"&amp;$DF25,$B25:$Y25)+SUMIF($AD$3:$BA$3,"&gt;="&amp;$DG25,$B25:$Y25)),
IF(BA$3=$DF25+'Model Setup'!$D$7,SUMIF($AD$3:$BA$3,"="&amp;$DF25+'Model Setup'!$D$7,$B25:$Y25)+'Model Setup'!$D$8*(SUMIF($AD$3:$BA$3,"&lt;"&amp;$DF25,$B25:$Y25)+SUMIF($AD$3:$BA$3,"&gt;="&amp;$DG25,$B25:$Y25)),
IF(BA$3=$DF25+'Model Setup'!$E$7,SUMIF($AD$3:$BA$3,"="&amp;$DF25+'Model Setup'!$E$7,$B25:$Y25)+'Model Setup'!$E$8*(SUMIF($AD$3:$BA$3,"&lt;"&amp;$DF25,$B25:$Y25)+SUMIF($AD$3:$BA$3,"&gt;="&amp;$DG25,$B25:$Y25)),
IF(BA$3=$DF25+'Model Setup'!$F$7,SUMIF($AD$3:$BA$3,"="&amp;$DF25+'Model Setup'!$F$7,$B25:$Y25)+'Model Setup'!$F$8*(SUMIF($AD$3:$BA$3,"&lt;"&amp;$DF25,$B25:$Y25)+SUMIF($AD$3:$BA$3,"&gt;="&amp;$DG25,$B25:$Y25)),
IF(BA$3=$DF25+'Model Setup'!$G$7,SUMIF($AD$3:$BA$3,"="&amp;$DF25+'Model Setup'!$G$7,$B25:$Y25)+'Model Setup'!$G$8*(SUMIF($AD$3:$BA$3,"&lt;"&amp;$DF25,$B25:$Y25)+SUMIF($AD$3:$BA$3,"&gt;="&amp;$DG25,$B25:$Y25)),
IF(BA$3=$DF25+'Model Setup'!$H$7,SUMIF($AD$3:$BA$3,"="&amp;$DF25+'Model Setup'!$H$7,$B25:$Y25)+'Model Setup'!$H$8*(SUMIF($AD$3:$BA$3,"&lt;"&amp;$DF25,$B25:$Y25)+SUMIF($AD$3:$BA$3,"&gt;="&amp;$DG25,$B25:$Y25)),
IF(BA$3=$DF25+'Model Setup'!$I$7,SUMIF($AD$3:$BA$3,"="&amp;$DF25+'Model Setup'!$I$7,$B25:$Y25)+'Model Setup'!$I$8*(SUMIF($AD$3:$BA$3,"&lt;"&amp;$DF25,$B25:$Y25)+SUMIF($AD$3:$BA$3,"&gt;="&amp;$DG25,$B25:$Y25)),
IF(BA$3=$DF25+'Model Setup'!$J$7,SUMIF($AD$3:$BA$3,"="&amp;$DF25+'Model Setup'!$J$7,$B25:$Y25)+'Model Setup'!$J$8*(SUMIF($AD$3:$BA$3,"&lt;"&amp;$DF25,$B25:$Y25)+SUMIF($AD$3:$BA$3,"&gt;="&amp;$DG25,$B25:$Y25)),
IF(BA$3=$DF25+'Model Setup'!$K$7,SUMIF($AD$3:$BA$3,"="&amp;$DF25+'Model Setup'!$K$7,$B25:$Y25)+'Model Setup'!$K$8*(SUMIF($AD$3:$BA$3,"&lt;"&amp;$DF25,$B25:$Y25)+SUMIF($AD$3:$BA$3,"&gt;="&amp;$DG25,$B25:$Y25)),
IF(BA$3=$DF25+'Model Setup'!$L$7,SUMIF($AD$3:$BA$3,"="&amp;$DF25+'Model Setup'!$L$7,$B25:$Y25)+'Model Setup'!$L$8*(SUMIF($AD$3:$BA$3,"&lt;"&amp;$DF25,$B25:$Y25)+SUMIF($AD$3:$BA$3,"&gt;="&amp;$DG25,$B25:$Y25)),
IF(BA$3=$DF25+'Model Setup'!$M$7,SUMIF($AD$3:$BA$3,"="&amp;$DF25+'Model Setup'!$M$7,$B25:$Y25)+'Model Setup'!$M$8*(SUMIF($AD$3:$BA$3,"&lt;"&amp;$DF25,$B25:$Y25)+SUMIF($AD$3:$BA$3,"&gt;="&amp;$DG25,$B25:$Y25)),
IF(BA$3=$DF25+'Model Setup'!$N$7,SUMIF($AD$3:$BA$3,"="&amp;$DF25+'Model Setup'!$N$7,$B25:$Y25)+'Model Setup'!$N$8*(SUMIF($AD$3:$BA$3,"&lt;"&amp;$DF25,$B25:$Y25)+SUMIF($AD$3:$BA$3,"&gt;="&amp;$DG25,$B25:$Y25)),
IF(BA$3&lt;$DG25,Y25,0))))))))))))))),0)</f>
        <v>0</v>
      </c>
      <c r="BB25" s="47">
        <f t="shared" si="1"/>
        <v>1041</v>
      </c>
      <c r="BD25" t="b">
        <f t="shared" si="2"/>
        <v>0</v>
      </c>
      <c r="BE25">
        <f t="shared" si="8"/>
        <v>1</v>
      </c>
      <c r="BF25">
        <f>(FTC!F23-FTC!E23)*24</f>
        <v>13</v>
      </c>
      <c r="BG25" s="43" t="s">
        <v>40</v>
      </c>
      <c r="BH25" s="47">
        <f>ROUND(IF(OR(BH$3&lt;$DF25,BH$3&gt;$CW$4),0,
IF(BH$3=$DF25+'Model Setup'!$B$7,SUMIF($BH$3:$CE$3,"="&amp;$DF25+'Model Setup'!$B$7,$AD25:$BA25)+'Model Setup'!$B$8*(SUMIF($BH$3:$CE$3,"&lt;"&amp;$DF25,$AD25:$BA25)+SUMIF($BH$3:$CE$3,"&gt;"&amp;$CW$4,$AD25:$BA25)),
IF(BH$3=$DF25+'Model Setup'!$C$7,SUMIF($BH$3:$CE$3,"="&amp;$DF25+'Model Setup'!$C$7,$AD25:$BA25)+'Model Setup'!$C$8*(SUMIF($BH$3:$CE$3,"&lt;"&amp;$DF25,$AD25:$BA25)+SUMIF($BH$3:$CE$3,"&gt;"&amp;$CW$4,$AD25:$BA25)),
IF(BH$3=$DF25+'Model Setup'!$D$7,SUMIF($BH$3:$CE$3,"="&amp;$DF25+'Model Setup'!$D$7,$AD25:$BA25)+'Model Setup'!$D$8*(SUMIF($BH$3:$CE$3,"&lt;"&amp;$DF25,$AD25:$BA25)+SUMIF($BH$3:$CE$3,"&gt;"&amp;$CW$4,$AD25:$BA25)),
IF(BH$3=$DF25+'Model Setup'!$E$7,SUMIF($BH$3:$CE$3,"="&amp;$DF25+'Model Setup'!$E$7,$AD25:$BA25)+'Model Setup'!$E$8*(SUMIF($BH$3:$CE$3,"&lt;"&amp;$DF25,$AD25:$BA25)+SUMIF($BH$3:$CE$3,"&gt;"&amp;$CW$4,$AD25:$BA25)),
IF(BH$3=$DF25+'Model Setup'!$F$7,SUMIF($BH$3:$CE$3,"="&amp;$DF25+'Model Setup'!$F$7,$AD25:$BA25)+'Model Setup'!$F$8*(SUMIF($BH$3:$CE$3,"&lt;"&amp;$DF25,$AD25:$BA25)+SUMIF($BH$3:$CE$3,"&gt;"&amp;$CW$4,$AD25:$BA25)),
IF(BH$3=$DF25+'Model Setup'!$G$7,SUMIF($BH$3:$CE$3,"="&amp;$DF25+'Model Setup'!$G$7,$AD25:$BA25)+'Model Setup'!$G$8*(SUMIF($BH$3:$CE$3,"&lt;"&amp;$DF25,$AD25:$BA25)+SUMIF($BH$3:$CE$3,"&gt;"&amp;$CW$4,$AD25:$BA25)),
IF(BH$3=$DF25+'Model Setup'!$H$7,SUMIF($BH$3:$CE$3,"="&amp;$DF25+'Model Setup'!$H$7,$AD25:$BA25)+'Model Setup'!$H$8*(SUMIF($BH$3:$CE$3,"&lt;"&amp;$DF25,$AD25:$BA25)+SUMIF($BH$3:$CE$3,"&gt;"&amp;$CW$4,$AD25:$BA25)),
IF(BH$3=$DF25+'Model Setup'!$I$7,SUMIF($BH$3:$CE$3,"="&amp;$DF25+'Model Setup'!$I$7,$AD25:$BA25)+'Model Setup'!$I$8*(SUMIF($BH$3:$CE$3,"&lt;"&amp;$DF25,$AD25:$BA25)+SUMIF($BH$3:$CE$3,"&gt;"&amp;$CW$4,$AD25:$BA25)),
IF(BH$3=$DF25+'Model Setup'!$J$7,SUMIF($BH$3:$CE$3,"="&amp;$DF25+'Model Setup'!$J$7,$AD25:$BA25)+'Model Setup'!$J$8*(SUMIF($BH$3:$CE$3,"&lt;"&amp;$DF25,$AD25:$BA25)+SUMIF($BH$3:$CE$3,"&gt;"&amp;$CW$4,$AD25:$BA25)),
IF(BH$3=$DF25+'Model Setup'!$K$7,SUMIF($BH$3:$CE$3,"="&amp;$DF25+'Model Setup'!$K$7,$AD25:$BA25)+'Model Setup'!$K$8*(SUMIF($BH$3:$CE$3,"&lt;"&amp;$DF25,$AD25:$BA25)+SUMIF($BH$3:$CE$3,"&gt;"&amp;$CW$4,$AD25:$BA25)),
IF(BH$3=$DF25+'Model Setup'!$L$7,SUMIF($BH$3:$CE$3,"="&amp;$DF25+'Model Setup'!$L$7,$AD25:$BA25)+'Model Setup'!$L$8*(SUMIF($BH$3:$CE$3,"&lt;"&amp;$DF25,$AD25:$BA25)+SUMIF($BH$3:$CE$3,"&gt;"&amp;$CW$4,$AD25:$BA25)),
IF(BH$3=$DF25+'Model Setup'!$M$7,SUMIF($BH$3:$CE$3,"="&amp;$DF25+'Model Setup'!$M$7,$AD25:$BA25)+'Model Setup'!$M$8*(SUMIF($BH$3:$CE$3,"&lt;"&amp;$DF25,$AD25:$BA25)+SUMIF($BH$3:$CE$3,"&gt;"&amp;$CW$4,$AD25:$BA25)),
IF(BH$3=$DF25+'Model Setup'!$N$7,SUMIF($BH$3:$CE$3,"="&amp;$DF25+'Model Setup'!$N$7,$AD25:$BA25)+'Model Setup'!$N$8*(SUMIF($BH$3:$CE$3,"&lt;"&amp;$DF25,$AD25:$BA25)+SUMIF($BH$3:$CE$3,"&gt;"&amp;$CW$4,$AD25:$BA25)),
IF(BH$3&lt;$CW$4,B25,0))))))))))))))),0)</f>
        <v>0</v>
      </c>
      <c r="BI25" s="47">
        <f>ROUND(IF(OR(BI$3&lt;$DF25,BI$3&gt;$CW$4),0,
IF(BI$3=$DF25+'Model Setup'!$B$7,SUMIF($BH$3:$CE$3,"="&amp;$DF25+'Model Setup'!$B$7,$AD25:$BA25)+'Model Setup'!$B$8*(SUMIF($BH$3:$CE$3,"&lt;"&amp;$DF25,$AD25:$BA25)+SUMIF($BH$3:$CE$3,"&gt;"&amp;$CW$4,$AD25:$BA25)),
IF(BI$3=$DF25+'Model Setup'!$C$7,SUMIF($BH$3:$CE$3,"="&amp;$DF25+'Model Setup'!$C$7,$AD25:$BA25)+'Model Setup'!$C$8*(SUMIF($BH$3:$CE$3,"&lt;"&amp;$DF25,$AD25:$BA25)+SUMIF($BH$3:$CE$3,"&gt;"&amp;$CW$4,$AD25:$BA25)),
IF(BI$3=$DF25+'Model Setup'!$D$7,SUMIF($BH$3:$CE$3,"="&amp;$DF25+'Model Setup'!$D$7,$AD25:$BA25)+'Model Setup'!$D$8*(SUMIF($BH$3:$CE$3,"&lt;"&amp;$DF25,$AD25:$BA25)+SUMIF($BH$3:$CE$3,"&gt;"&amp;$CW$4,$AD25:$BA25)),
IF(BI$3=$DF25+'Model Setup'!$E$7,SUMIF($BH$3:$CE$3,"="&amp;$DF25+'Model Setup'!$E$7,$AD25:$BA25)+'Model Setup'!$E$8*(SUMIF($BH$3:$CE$3,"&lt;"&amp;$DF25,$AD25:$BA25)+SUMIF($BH$3:$CE$3,"&gt;"&amp;$CW$4,$AD25:$BA25)),
IF(BI$3=$DF25+'Model Setup'!$F$7,SUMIF($BH$3:$CE$3,"="&amp;$DF25+'Model Setup'!$F$7,$AD25:$BA25)+'Model Setup'!$F$8*(SUMIF($BH$3:$CE$3,"&lt;"&amp;$DF25,$AD25:$BA25)+SUMIF($BH$3:$CE$3,"&gt;"&amp;$CW$4,$AD25:$BA25)),
IF(BI$3=$DF25+'Model Setup'!$G$7,SUMIF($BH$3:$CE$3,"="&amp;$DF25+'Model Setup'!$G$7,$AD25:$BA25)+'Model Setup'!$G$8*(SUMIF($BH$3:$CE$3,"&lt;"&amp;$DF25,$AD25:$BA25)+SUMIF($BH$3:$CE$3,"&gt;"&amp;$CW$4,$AD25:$BA25)),
IF(BI$3=$DF25+'Model Setup'!$H$7,SUMIF($BH$3:$CE$3,"="&amp;$DF25+'Model Setup'!$H$7,$AD25:$BA25)+'Model Setup'!$H$8*(SUMIF($BH$3:$CE$3,"&lt;"&amp;$DF25,$AD25:$BA25)+SUMIF($BH$3:$CE$3,"&gt;"&amp;$CW$4,$AD25:$BA25)),
IF(BI$3=$DF25+'Model Setup'!$I$7,SUMIF($BH$3:$CE$3,"="&amp;$DF25+'Model Setup'!$I$7,$AD25:$BA25)+'Model Setup'!$I$8*(SUMIF($BH$3:$CE$3,"&lt;"&amp;$DF25,$AD25:$BA25)+SUMIF($BH$3:$CE$3,"&gt;"&amp;$CW$4,$AD25:$BA25)),
IF(BI$3=$DF25+'Model Setup'!$J$7,SUMIF($BH$3:$CE$3,"="&amp;$DF25+'Model Setup'!$J$7,$AD25:$BA25)+'Model Setup'!$J$8*(SUMIF($BH$3:$CE$3,"&lt;"&amp;$DF25,$AD25:$BA25)+SUMIF($BH$3:$CE$3,"&gt;"&amp;$CW$4,$AD25:$BA25)),
IF(BI$3=$DF25+'Model Setup'!$K$7,SUMIF($BH$3:$CE$3,"="&amp;$DF25+'Model Setup'!$K$7,$AD25:$BA25)+'Model Setup'!$K$8*(SUMIF($BH$3:$CE$3,"&lt;"&amp;$DF25,$AD25:$BA25)+SUMIF($BH$3:$CE$3,"&gt;"&amp;$CW$4,$AD25:$BA25)),
IF(BI$3=$DF25+'Model Setup'!$L$7,SUMIF($BH$3:$CE$3,"="&amp;$DF25+'Model Setup'!$L$7,$AD25:$BA25)+'Model Setup'!$L$8*(SUMIF($BH$3:$CE$3,"&lt;"&amp;$DF25,$AD25:$BA25)+SUMIF($BH$3:$CE$3,"&gt;"&amp;$CW$4,$AD25:$BA25)),
IF(BI$3=$DF25+'Model Setup'!$M$7,SUMIF($BH$3:$CE$3,"="&amp;$DF25+'Model Setup'!$M$7,$AD25:$BA25)+'Model Setup'!$M$8*(SUMIF($BH$3:$CE$3,"&lt;"&amp;$DF25,$AD25:$BA25)+SUMIF($BH$3:$CE$3,"&gt;"&amp;$CW$4,$AD25:$BA25)),
IF(BI$3=$DF25+'Model Setup'!$N$7,SUMIF($BH$3:$CE$3,"="&amp;$DF25+'Model Setup'!$N$7,$AD25:$BA25)+'Model Setup'!$N$8*(SUMIF($BH$3:$CE$3,"&lt;"&amp;$DF25,$AD25:$BA25)+SUMIF($BH$3:$CE$3,"&gt;"&amp;$CW$4,$AD25:$BA25)),
IF(BI$3&lt;$CW$4,C25,0))))))))))))))),0)</f>
        <v>0</v>
      </c>
      <c r="BJ25" s="47">
        <f>ROUND(IF(OR(BJ$3&lt;$DF25,BJ$3&gt;$CW$4),0,
IF(BJ$3=$DF25+'Model Setup'!$B$7,SUMIF($BH$3:$CE$3,"="&amp;$DF25+'Model Setup'!$B$7,$AD25:$BA25)+'Model Setup'!$B$8*(SUMIF($BH$3:$CE$3,"&lt;"&amp;$DF25,$AD25:$BA25)+SUMIF($BH$3:$CE$3,"&gt;"&amp;$CW$4,$AD25:$BA25)),
IF(BJ$3=$DF25+'Model Setup'!$C$7,SUMIF($BH$3:$CE$3,"="&amp;$DF25+'Model Setup'!$C$7,$AD25:$BA25)+'Model Setup'!$C$8*(SUMIF($BH$3:$CE$3,"&lt;"&amp;$DF25,$AD25:$BA25)+SUMIF($BH$3:$CE$3,"&gt;"&amp;$CW$4,$AD25:$BA25)),
IF(BJ$3=$DF25+'Model Setup'!$D$7,SUMIF($BH$3:$CE$3,"="&amp;$DF25+'Model Setup'!$D$7,$AD25:$BA25)+'Model Setup'!$D$8*(SUMIF($BH$3:$CE$3,"&lt;"&amp;$DF25,$AD25:$BA25)+SUMIF($BH$3:$CE$3,"&gt;"&amp;$CW$4,$AD25:$BA25)),
IF(BJ$3=$DF25+'Model Setup'!$E$7,SUMIF($BH$3:$CE$3,"="&amp;$DF25+'Model Setup'!$E$7,$AD25:$BA25)+'Model Setup'!$E$8*(SUMIF($BH$3:$CE$3,"&lt;"&amp;$DF25,$AD25:$BA25)+SUMIF($BH$3:$CE$3,"&gt;"&amp;$CW$4,$AD25:$BA25)),
IF(BJ$3=$DF25+'Model Setup'!$F$7,SUMIF($BH$3:$CE$3,"="&amp;$DF25+'Model Setup'!$F$7,$AD25:$BA25)+'Model Setup'!$F$8*(SUMIF($BH$3:$CE$3,"&lt;"&amp;$DF25,$AD25:$BA25)+SUMIF($BH$3:$CE$3,"&gt;"&amp;$CW$4,$AD25:$BA25)),
IF(BJ$3=$DF25+'Model Setup'!$G$7,SUMIF($BH$3:$CE$3,"="&amp;$DF25+'Model Setup'!$G$7,$AD25:$BA25)+'Model Setup'!$G$8*(SUMIF($BH$3:$CE$3,"&lt;"&amp;$DF25,$AD25:$BA25)+SUMIF($BH$3:$CE$3,"&gt;"&amp;$CW$4,$AD25:$BA25)),
IF(BJ$3=$DF25+'Model Setup'!$H$7,SUMIF($BH$3:$CE$3,"="&amp;$DF25+'Model Setup'!$H$7,$AD25:$BA25)+'Model Setup'!$H$8*(SUMIF($BH$3:$CE$3,"&lt;"&amp;$DF25,$AD25:$BA25)+SUMIF($BH$3:$CE$3,"&gt;"&amp;$CW$4,$AD25:$BA25)),
IF(BJ$3=$DF25+'Model Setup'!$I$7,SUMIF($BH$3:$CE$3,"="&amp;$DF25+'Model Setup'!$I$7,$AD25:$BA25)+'Model Setup'!$I$8*(SUMIF($BH$3:$CE$3,"&lt;"&amp;$DF25,$AD25:$BA25)+SUMIF($BH$3:$CE$3,"&gt;"&amp;$CW$4,$AD25:$BA25)),
IF(BJ$3=$DF25+'Model Setup'!$J$7,SUMIF($BH$3:$CE$3,"="&amp;$DF25+'Model Setup'!$J$7,$AD25:$BA25)+'Model Setup'!$J$8*(SUMIF($BH$3:$CE$3,"&lt;"&amp;$DF25,$AD25:$BA25)+SUMIF($BH$3:$CE$3,"&gt;"&amp;$CW$4,$AD25:$BA25)),
IF(BJ$3=$DF25+'Model Setup'!$K$7,SUMIF($BH$3:$CE$3,"="&amp;$DF25+'Model Setup'!$K$7,$AD25:$BA25)+'Model Setup'!$K$8*(SUMIF($BH$3:$CE$3,"&lt;"&amp;$DF25,$AD25:$BA25)+SUMIF($BH$3:$CE$3,"&gt;"&amp;$CW$4,$AD25:$BA25)),
IF(BJ$3=$DF25+'Model Setup'!$L$7,SUMIF($BH$3:$CE$3,"="&amp;$DF25+'Model Setup'!$L$7,$AD25:$BA25)+'Model Setup'!$L$8*(SUMIF($BH$3:$CE$3,"&lt;"&amp;$DF25,$AD25:$BA25)+SUMIF($BH$3:$CE$3,"&gt;"&amp;$CW$4,$AD25:$BA25)),
IF(BJ$3=$DF25+'Model Setup'!$M$7,SUMIF($BH$3:$CE$3,"="&amp;$DF25+'Model Setup'!$M$7,$AD25:$BA25)+'Model Setup'!$M$8*(SUMIF($BH$3:$CE$3,"&lt;"&amp;$DF25,$AD25:$BA25)+SUMIF($BH$3:$CE$3,"&gt;"&amp;$CW$4,$AD25:$BA25)),
IF(BJ$3=$DF25+'Model Setup'!$N$7,SUMIF($BH$3:$CE$3,"="&amp;$DF25+'Model Setup'!$N$7,$AD25:$BA25)+'Model Setup'!$N$8*(SUMIF($BH$3:$CE$3,"&lt;"&amp;$DF25,$AD25:$BA25)+SUMIF($BH$3:$CE$3,"&gt;"&amp;$CW$4,$AD25:$BA25)),
IF(BJ$3&lt;$CW$4,D25,0))))))))))))))),0)</f>
        <v>0</v>
      </c>
      <c r="BK25" s="47">
        <f>ROUND(IF(OR(BK$3&lt;$DF25,BK$3&gt;$CW$4),0,
IF(BK$3=$DF25+'Model Setup'!$B$7,SUMIF($BH$3:$CE$3,"="&amp;$DF25+'Model Setup'!$B$7,$AD25:$BA25)+'Model Setup'!$B$8*(SUMIF($BH$3:$CE$3,"&lt;"&amp;$DF25,$AD25:$BA25)+SUMIF($BH$3:$CE$3,"&gt;"&amp;$CW$4,$AD25:$BA25)),
IF(BK$3=$DF25+'Model Setup'!$C$7,SUMIF($BH$3:$CE$3,"="&amp;$DF25+'Model Setup'!$C$7,$AD25:$BA25)+'Model Setup'!$C$8*(SUMIF($BH$3:$CE$3,"&lt;"&amp;$DF25,$AD25:$BA25)+SUMIF($BH$3:$CE$3,"&gt;"&amp;$CW$4,$AD25:$BA25)),
IF(BK$3=$DF25+'Model Setup'!$D$7,SUMIF($BH$3:$CE$3,"="&amp;$DF25+'Model Setup'!$D$7,$AD25:$BA25)+'Model Setup'!$D$8*(SUMIF($BH$3:$CE$3,"&lt;"&amp;$DF25,$AD25:$BA25)+SUMIF($BH$3:$CE$3,"&gt;"&amp;$CW$4,$AD25:$BA25)),
IF(BK$3=$DF25+'Model Setup'!$E$7,SUMIF($BH$3:$CE$3,"="&amp;$DF25+'Model Setup'!$E$7,$AD25:$BA25)+'Model Setup'!$E$8*(SUMIF($BH$3:$CE$3,"&lt;"&amp;$DF25,$AD25:$BA25)+SUMIF($BH$3:$CE$3,"&gt;"&amp;$CW$4,$AD25:$BA25)),
IF(BK$3=$DF25+'Model Setup'!$F$7,SUMIF($BH$3:$CE$3,"="&amp;$DF25+'Model Setup'!$F$7,$AD25:$BA25)+'Model Setup'!$F$8*(SUMIF($BH$3:$CE$3,"&lt;"&amp;$DF25,$AD25:$BA25)+SUMIF($BH$3:$CE$3,"&gt;"&amp;$CW$4,$AD25:$BA25)),
IF(BK$3=$DF25+'Model Setup'!$G$7,SUMIF($BH$3:$CE$3,"="&amp;$DF25+'Model Setup'!$G$7,$AD25:$BA25)+'Model Setup'!$G$8*(SUMIF($BH$3:$CE$3,"&lt;"&amp;$DF25,$AD25:$BA25)+SUMIF($BH$3:$CE$3,"&gt;"&amp;$CW$4,$AD25:$BA25)),
IF(BK$3=$DF25+'Model Setup'!$H$7,SUMIF($BH$3:$CE$3,"="&amp;$DF25+'Model Setup'!$H$7,$AD25:$BA25)+'Model Setup'!$H$8*(SUMIF($BH$3:$CE$3,"&lt;"&amp;$DF25,$AD25:$BA25)+SUMIF($BH$3:$CE$3,"&gt;"&amp;$CW$4,$AD25:$BA25)),
IF(BK$3=$DF25+'Model Setup'!$I$7,SUMIF($BH$3:$CE$3,"="&amp;$DF25+'Model Setup'!$I$7,$AD25:$BA25)+'Model Setup'!$I$8*(SUMIF($BH$3:$CE$3,"&lt;"&amp;$DF25,$AD25:$BA25)+SUMIF($BH$3:$CE$3,"&gt;"&amp;$CW$4,$AD25:$BA25)),
IF(BK$3=$DF25+'Model Setup'!$J$7,SUMIF($BH$3:$CE$3,"="&amp;$DF25+'Model Setup'!$J$7,$AD25:$BA25)+'Model Setup'!$J$8*(SUMIF($BH$3:$CE$3,"&lt;"&amp;$DF25,$AD25:$BA25)+SUMIF($BH$3:$CE$3,"&gt;"&amp;$CW$4,$AD25:$BA25)),
IF(BK$3=$DF25+'Model Setup'!$K$7,SUMIF($BH$3:$CE$3,"="&amp;$DF25+'Model Setup'!$K$7,$AD25:$BA25)+'Model Setup'!$K$8*(SUMIF($BH$3:$CE$3,"&lt;"&amp;$DF25,$AD25:$BA25)+SUMIF($BH$3:$CE$3,"&gt;"&amp;$CW$4,$AD25:$BA25)),
IF(BK$3=$DF25+'Model Setup'!$L$7,SUMIF($BH$3:$CE$3,"="&amp;$DF25+'Model Setup'!$L$7,$AD25:$BA25)+'Model Setup'!$L$8*(SUMIF($BH$3:$CE$3,"&lt;"&amp;$DF25,$AD25:$BA25)+SUMIF($BH$3:$CE$3,"&gt;"&amp;$CW$4,$AD25:$BA25)),
IF(BK$3=$DF25+'Model Setup'!$M$7,SUMIF($BH$3:$CE$3,"="&amp;$DF25+'Model Setup'!$M$7,$AD25:$BA25)+'Model Setup'!$M$8*(SUMIF($BH$3:$CE$3,"&lt;"&amp;$DF25,$AD25:$BA25)+SUMIF($BH$3:$CE$3,"&gt;"&amp;$CW$4,$AD25:$BA25)),
IF(BK$3=$DF25+'Model Setup'!$N$7,SUMIF($BH$3:$CE$3,"="&amp;$DF25+'Model Setup'!$N$7,$AD25:$BA25)+'Model Setup'!$N$8*(SUMIF($BH$3:$CE$3,"&lt;"&amp;$DF25,$AD25:$BA25)+SUMIF($BH$3:$CE$3,"&gt;"&amp;$CW$4,$AD25:$BA25)),
IF(BK$3&lt;$CW$4,E25,0))))))))))))))),0)</f>
        <v>0</v>
      </c>
      <c r="BL25" s="47">
        <f>ROUND(IF(OR(BL$3&lt;$DF25,BL$3&gt;$CW$4),0,
IF(BL$3=$DF25+'Model Setup'!$B$7,SUMIF($BH$3:$CE$3,"="&amp;$DF25+'Model Setup'!$B$7,$AD25:$BA25)+'Model Setup'!$B$8*(SUMIF($BH$3:$CE$3,"&lt;"&amp;$DF25,$AD25:$BA25)+SUMIF($BH$3:$CE$3,"&gt;"&amp;$CW$4,$AD25:$BA25)),
IF(BL$3=$DF25+'Model Setup'!$C$7,SUMIF($BH$3:$CE$3,"="&amp;$DF25+'Model Setup'!$C$7,$AD25:$BA25)+'Model Setup'!$C$8*(SUMIF($BH$3:$CE$3,"&lt;"&amp;$DF25,$AD25:$BA25)+SUMIF($BH$3:$CE$3,"&gt;"&amp;$CW$4,$AD25:$BA25)),
IF(BL$3=$DF25+'Model Setup'!$D$7,SUMIF($BH$3:$CE$3,"="&amp;$DF25+'Model Setup'!$D$7,$AD25:$BA25)+'Model Setup'!$D$8*(SUMIF($BH$3:$CE$3,"&lt;"&amp;$DF25,$AD25:$BA25)+SUMIF($BH$3:$CE$3,"&gt;"&amp;$CW$4,$AD25:$BA25)),
IF(BL$3=$DF25+'Model Setup'!$E$7,SUMIF($BH$3:$CE$3,"="&amp;$DF25+'Model Setup'!$E$7,$AD25:$BA25)+'Model Setup'!$E$8*(SUMIF($BH$3:$CE$3,"&lt;"&amp;$DF25,$AD25:$BA25)+SUMIF($BH$3:$CE$3,"&gt;"&amp;$CW$4,$AD25:$BA25)),
IF(BL$3=$DF25+'Model Setup'!$F$7,SUMIF($BH$3:$CE$3,"="&amp;$DF25+'Model Setup'!$F$7,$AD25:$BA25)+'Model Setup'!$F$8*(SUMIF($BH$3:$CE$3,"&lt;"&amp;$DF25,$AD25:$BA25)+SUMIF($BH$3:$CE$3,"&gt;"&amp;$CW$4,$AD25:$BA25)),
IF(BL$3=$DF25+'Model Setup'!$G$7,SUMIF($BH$3:$CE$3,"="&amp;$DF25+'Model Setup'!$G$7,$AD25:$BA25)+'Model Setup'!$G$8*(SUMIF($BH$3:$CE$3,"&lt;"&amp;$DF25,$AD25:$BA25)+SUMIF($BH$3:$CE$3,"&gt;"&amp;$CW$4,$AD25:$BA25)),
IF(BL$3=$DF25+'Model Setup'!$H$7,SUMIF($BH$3:$CE$3,"="&amp;$DF25+'Model Setup'!$H$7,$AD25:$BA25)+'Model Setup'!$H$8*(SUMIF($BH$3:$CE$3,"&lt;"&amp;$DF25,$AD25:$BA25)+SUMIF($BH$3:$CE$3,"&gt;"&amp;$CW$4,$AD25:$BA25)),
IF(BL$3=$DF25+'Model Setup'!$I$7,SUMIF($BH$3:$CE$3,"="&amp;$DF25+'Model Setup'!$I$7,$AD25:$BA25)+'Model Setup'!$I$8*(SUMIF($BH$3:$CE$3,"&lt;"&amp;$DF25,$AD25:$BA25)+SUMIF($BH$3:$CE$3,"&gt;"&amp;$CW$4,$AD25:$BA25)),
IF(BL$3=$DF25+'Model Setup'!$J$7,SUMIF($BH$3:$CE$3,"="&amp;$DF25+'Model Setup'!$J$7,$AD25:$BA25)+'Model Setup'!$J$8*(SUMIF($BH$3:$CE$3,"&lt;"&amp;$DF25,$AD25:$BA25)+SUMIF($BH$3:$CE$3,"&gt;"&amp;$CW$4,$AD25:$BA25)),
IF(BL$3=$DF25+'Model Setup'!$K$7,SUMIF($BH$3:$CE$3,"="&amp;$DF25+'Model Setup'!$K$7,$AD25:$BA25)+'Model Setup'!$K$8*(SUMIF($BH$3:$CE$3,"&lt;"&amp;$DF25,$AD25:$BA25)+SUMIF($BH$3:$CE$3,"&gt;"&amp;$CW$4,$AD25:$BA25)),
IF(BL$3=$DF25+'Model Setup'!$L$7,SUMIF($BH$3:$CE$3,"="&amp;$DF25+'Model Setup'!$L$7,$AD25:$BA25)+'Model Setup'!$L$8*(SUMIF($BH$3:$CE$3,"&lt;"&amp;$DF25,$AD25:$BA25)+SUMIF($BH$3:$CE$3,"&gt;"&amp;$CW$4,$AD25:$BA25)),
IF(BL$3=$DF25+'Model Setup'!$M$7,SUMIF($BH$3:$CE$3,"="&amp;$DF25+'Model Setup'!$M$7,$AD25:$BA25)+'Model Setup'!$M$8*(SUMIF($BH$3:$CE$3,"&lt;"&amp;$DF25,$AD25:$BA25)+SUMIF($BH$3:$CE$3,"&gt;"&amp;$CW$4,$AD25:$BA25)),
IF(BL$3=$DF25+'Model Setup'!$N$7,SUMIF($BH$3:$CE$3,"="&amp;$DF25+'Model Setup'!$N$7,$AD25:$BA25)+'Model Setup'!$N$8*(SUMIF($BH$3:$CE$3,"&lt;"&amp;$DF25,$AD25:$BA25)+SUMIF($BH$3:$CE$3,"&gt;"&amp;$CW$4,$AD25:$BA25)),
IF(BL$3&lt;$CW$4,F25,0))))))))))))))),0)</f>
        <v>0</v>
      </c>
      <c r="BM25" s="47">
        <f>ROUND(IF(OR(BM$3&lt;$DF25,BM$3&gt;$CW$4),0,
IF(BM$3=$DF25+'Model Setup'!$B$7,SUMIF($BH$3:$CE$3,"="&amp;$DF25+'Model Setup'!$B$7,$AD25:$BA25)+'Model Setup'!$B$8*(SUMIF($BH$3:$CE$3,"&lt;"&amp;$DF25,$AD25:$BA25)+SUMIF($BH$3:$CE$3,"&gt;"&amp;$CW$4,$AD25:$BA25)),
IF(BM$3=$DF25+'Model Setup'!$C$7,SUMIF($BH$3:$CE$3,"="&amp;$DF25+'Model Setup'!$C$7,$AD25:$BA25)+'Model Setup'!$C$8*(SUMIF($BH$3:$CE$3,"&lt;"&amp;$DF25,$AD25:$BA25)+SUMIF($BH$3:$CE$3,"&gt;"&amp;$CW$4,$AD25:$BA25)),
IF(BM$3=$DF25+'Model Setup'!$D$7,SUMIF($BH$3:$CE$3,"="&amp;$DF25+'Model Setup'!$D$7,$AD25:$BA25)+'Model Setup'!$D$8*(SUMIF($BH$3:$CE$3,"&lt;"&amp;$DF25,$AD25:$BA25)+SUMIF($BH$3:$CE$3,"&gt;"&amp;$CW$4,$AD25:$BA25)),
IF(BM$3=$DF25+'Model Setup'!$E$7,SUMIF($BH$3:$CE$3,"="&amp;$DF25+'Model Setup'!$E$7,$AD25:$BA25)+'Model Setup'!$E$8*(SUMIF($BH$3:$CE$3,"&lt;"&amp;$DF25,$AD25:$BA25)+SUMIF($BH$3:$CE$3,"&gt;"&amp;$CW$4,$AD25:$BA25)),
IF(BM$3=$DF25+'Model Setup'!$F$7,SUMIF($BH$3:$CE$3,"="&amp;$DF25+'Model Setup'!$F$7,$AD25:$BA25)+'Model Setup'!$F$8*(SUMIF($BH$3:$CE$3,"&lt;"&amp;$DF25,$AD25:$BA25)+SUMIF($BH$3:$CE$3,"&gt;"&amp;$CW$4,$AD25:$BA25)),
IF(BM$3=$DF25+'Model Setup'!$G$7,SUMIF($BH$3:$CE$3,"="&amp;$DF25+'Model Setup'!$G$7,$AD25:$BA25)+'Model Setup'!$G$8*(SUMIF($BH$3:$CE$3,"&lt;"&amp;$DF25,$AD25:$BA25)+SUMIF($BH$3:$CE$3,"&gt;"&amp;$CW$4,$AD25:$BA25)),
IF(BM$3=$DF25+'Model Setup'!$H$7,SUMIF($BH$3:$CE$3,"="&amp;$DF25+'Model Setup'!$H$7,$AD25:$BA25)+'Model Setup'!$H$8*(SUMIF($BH$3:$CE$3,"&lt;"&amp;$DF25,$AD25:$BA25)+SUMIF($BH$3:$CE$3,"&gt;"&amp;$CW$4,$AD25:$BA25)),
IF(BM$3=$DF25+'Model Setup'!$I$7,SUMIF($BH$3:$CE$3,"="&amp;$DF25+'Model Setup'!$I$7,$AD25:$BA25)+'Model Setup'!$I$8*(SUMIF($BH$3:$CE$3,"&lt;"&amp;$DF25,$AD25:$BA25)+SUMIF($BH$3:$CE$3,"&gt;"&amp;$CW$4,$AD25:$BA25)),
IF(BM$3=$DF25+'Model Setup'!$J$7,SUMIF($BH$3:$CE$3,"="&amp;$DF25+'Model Setup'!$J$7,$AD25:$BA25)+'Model Setup'!$J$8*(SUMIF($BH$3:$CE$3,"&lt;"&amp;$DF25,$AD25:$BA25)+SUMIF($BH$3:$CE$3,"&gt;"&amp;$CW$4,$AD25:$BA25)),
IF(BM$3=$DF25+'Model Setup'!$K$7,SUMIF($BH$3:$CE$3,"="&amp;$DF25+'Model Setup'!$K$7,$AD25:$BA25)+'Model Setup'!$K$8*(SUMIF($BH$3:$CE$3,"&lt;"&amp;$DF25,$AD25:$BA25)+SUMIF($BH$3:$CE$3,"&gt;"&amp;$CW$4,$AD25:$BA25)),
IF(BM$3=$DF25+'Model Setup'!$L$7,SUMIF($BH$3:$CE$3,"="&amp;$DF25+'Model Setup'!$L$7,$AD25:$BA25)+'Model Setup'!$L$8*(SUMIF($BH$3:$CE$3,"&lt;"&amp;$DF25,$AD25:$BA25)+SUMIF($BH$3:$CE$3,"&gt;"&amp;$CW$4,$AD25:$BA25)),
IF(BM$3=$DF25+'Model Setup'!$M$7,SUMIF($BH$3:$CE$3,"="&amp;$DF25+'Model Setup'!$M$7,$AD25:$BA25)+'Model Setup'!$M$8*(SUMIF($BH$3:$CE$3,"&lt;"&amp;$DF25,$AD25:$BA25)+SUMIF($BH$3:$CE$3,"&gt;"&amp;$CW$4,$AD25:$BA25)),
IF(BM$3=$DF25+'Model Setup'!$N$7,SUMIF($BH$3:$CE$3,"="&amp;$DF25+'Model Setup'!$N$7,$AD25:$BA25)+'Model Setup'!$N$8*(SUMIF($BH$3:$CE$3,"&lt;"&amp;$DF25,$AD25:$BA25)+SUMIF($BH$3:$CE$3,"&gt;"&amp;$CW$4,$AD25:$BA25)),
IF(BM$3&lt;$CW$4,G25,0))))))))))))))),0)</f>
        <v>27</v>
      </c>
      <c r="BN25" s="47">
        <f>ROUND(IF(OR(BN$3&lt;$DF25,BN$3&gt;$CW$4),0,
IF(BN$3=$DF25+'Model Setup'!$B$7,SUMIF($BH$3:$CE$3,"="&amp;$DF25+'Model Setup'!$B$7,$AD25:$BA25)+'Model Setup'!$B$8*(SUMIF($BH$3:$CE$3,"&lt;"&amp;$DF25,$AD25:$BA25)+SUMIF($BH$3:$CE$3,"&gt;"&amp;$CW$4,$AD25:$BA25)),
IF(BN$3=$DF25+'Model Setup'!$C$7,SUMIF($BH$3:$CE$3,"="&amp;$DF25+'Model Setup'!$C$7,$AD25:$BA25)+'Model Setup'!$C$8*(SUMIF($BH$3:$CE$3,"&lt;"&amp;$DF25,$AD25:$BA25)+SUMIF($BH$3:$CE$3,"&gt;"&amp;$CW$4,$AD25:$BA25)),
IF(BN$3=$DF25+'Model Setup'!$D$7,SUMIF($BH$3:$CE$3,"="&amp;$DF25+'Model Setup'!$D$7,$AD25:$BA25)+'Model Setup'!$D$8*(SUMIF($BH$3:$CE$3,"&lt;"&amp;$DF25,$AD25:$BA25)+SUMIF($BH$3:$CE$3,"&gt;"&amp;$CW$4,$AD25:$BA25)),
IF(BN$3=$DF25+'Model Setup'!$E$7,SUMIF($BH$3:$CE$3,"="&amp;$DF25+'Model Setup'!$E$7,$AD25:$BA25)+'Model Setup'!$E$8*(SUMIF($BH$3:$CE$3,"&lt;"&amp;$DF25,$AD25:$BA25)+SUMIF($BH$3:$CE$3,"&gt;"&amp;$CW$4,$AD25:$BA25)),
IF(BN$3=$DF25+'Model Setup'!$F$7,SUMIF($BH$3:$CE$3,"="&amp;$DF25+'Model Setup'!$F$7,$AD25:$BA25)+'Model Setup'!$F$8*(SUMIF($BH$3:$CE$3,"&lt;"&amp;$DF25,$AD25:$BA25)+SUMIF($BH$3:$CE$3,"&gt;"&amp;$CW$4,$AD25:$BA25)),
IF(BN$3=$DF25+'Model Setup'!$G$7,SUMIF($BH$3:$CE$3,"="&amp;$DF25+'Model Setup'!$G$7,$AD25:$BA25)+'Model Setup'!$G$8*(SUMIF($BH$3:$CE$3,"&lt;"&amp;$DF25,$AD25:$BA25)+SUMIF($BH$3:$CE$3,"&gt;"&amp;$CW$4,$AD25:$BA25)),
IF(BN$3=$DF25+'Model Setup'!$H$7,SUMIF($BH$3:$CE$3,"="&amp;$DF25+'Model Setup'!$H$7,$AD25:$BA25)+'Model Setup'!$H$8*(SUMIF($BH$3:$CE$3,"&lt;"&amp;$DF25,$AD25:$BA25)+SUMIF($BH$3:$CE$3,"&gt;"&amp;$CW$4,$AD25:$BA25)),
IF(BN$3=$DF25+'Model Setup'!$I$7,SUMIF($BH$3:$CE$3,"="&amp;$DF25+'Model Setup'!$I$7,$AD25:$BA25)+'Model Setup'!$I$8*(SUMIF($BH$3:$CE$3,"&lt;"&amp;$DF25,$AD25:$BA25)+SUMIF($BH$3:$CE$3,"&gt;"&amp;$CW$4,$AD25:$BA25)),
IF(BN$3=$DF25+'Model Setup'!$J$7,SUMIF($BH$3:$CE$3,"="&amp;$DF25+'Model Setup'!$J$7,$AD25:$BA25)+'Model Setup'!$J$8*(SUMIF($BH$3:$CE$3,"&lt;"&amp;$DF25,$AD25:$BA25)+SUMIF($BH$3:$CE$3,"&gt;"&amp;$CW$4,$AD25:$BA25)),
IF(BN$3=$DF25+'Model Setup'!$K$7,SUMIF($BH$3:$CE$3,"="&amp;$DF25+'Model Setup'!$K$7,$AD25:$BA25)+'Model Setup'!$K$8*(SUMIF($BH$3:$CE$3,"&lt;"&amp;$DF25,$AD25:$BA25)+SUMIF($BH$3:$CE$3,"&gt;"&amp;$CW$4,$AD25:$BA25)),
IF(BN$3=$DF25+'Model Setup'!$L$7,SUMIF($BH$3:$CE$3,"="&amp;$DF25+'Model Setup'!$L$7,$AD25:$BA25)+'Model Setup'!$L$8*(SUMIF($BH$3:$CE$3,"&lt;"&amp;$DF25,$AD25:$BA25)+SUMIF($BH$3:$CE$3,"&gt;"&amp;$CW$4,$AD25:$BA25)),
IF(BN$3=$DF25+'Model Setup'!$M$7,SUMIF($BH$3:$CE$3,"="&amp;$DF25+'Model Setup'!$M$7,$AD25:$BA25)+'Model Setup'!$M$8*(SUMIF($BH$3:$CE$3,"&lt;"&amp;$DF25,$AD25:$BA25)+SUMIF($BH$3:$CE$3,"&gt;"&amp;$CW$4,$AD25:$BA25)),
IF(BN$3=$DF25+'Model Setup'!$N$7,SUMIF($BH$3:$CE$3,"="&amp;$DF25+'Model Setup'!$N$7,$AD25:$BA25)+'Model Setup'!$N$8*(SUMIF($BH$3:$CE$3,"&lt;"&amp;$DF25,$AD25:$BA25)+SUMIF($BH$3:$CE$3,"&gt;"&amp;$CW$4,$AD25:$BA25)),
IF(BN$3&lt;$CW$4,H25,0))))))))))))))),0)</f>
        <v>101</v>
      </c>
      <c r="BO25" s="47">
        <f>ROUND(IF(OR(BO$3&lt;$DF25,BO$3&gt;$CW$4),0,
IF(BO$3=$DF25+'Model Setup'!$B$7,SUMIF($BH$3:$CE$3,"="&amp;$DF25+'Model Setup'!$B$7,$AD25:$BA25)+'Model Setup'!$B$8*(SUMIF($BH$3:$CE$3,"&lt;"&amp;$DF25,$AD25:$BA25)+SUMIF($BH$3:$CE$3,"&gt;"&amp;$CW$4,$AD25:$BA25)),
IF(BO$3=$DF25+'Model Setup'!$C$7,SUMIF($BH$3:$CE$3,"="&amp;$DF25+'Model Setup'!$C$7,$AD25:$BA25)+'Model Setup'!$C$8*(SUMIF($BH$3:$CE$3,"&lt;"&amp;$DF25,$AD25:$BA25)+SUMIF($BH$3:$CE$3,"&gt;"&amp;$CW$4,$AD25:$BA25)),
IF(BO$3=$DF25+'Model Setup'!$D$7,SUMIF($BH$3:$CE$3,"="&amp;$DF25+'Model Setup'!$D$7,$AD25:$BA25)+'Model Setup'!$D$8*(SUMIF($BH$3:$CE$3,"&lt;"&amp;$DF25,$AD25:$BA25)+SUMIF($BH$3:$CE$3,"&gt;"&amp;$CW$4,$AD25:$BA25)),
IF(BO$3=$DF25+'Model Setup'!$E$7,SUMIF($BH$3:$CE$3,"="&amp;$DF25+'Model Setup'!$E$7,$AD25:$BA25)+'Model Setup'!$E$8*(SUMIF($BH$3:$CE$3,"&lt;"&amp;$DF25,$AD25:$BA25)+SUMIF($BH$3:$CE$3,"&gt;"&amp;$CW$4,$AD25:$BA25)),
IF(BO$3=$DF25+'Model Setup'!$F$7,SUMIF($BH$3:$CE$3,"="&amp;$DF25+'Model Setup'!$F$7,$AD25:$BA25)+'Model Setup'!$F$8*(SUMIF($BH$3:$CE$3,"&lt;"&amp;$DF25,$AD25:$BA25)+SUMIF($BH$3:$CE$3,"&gt;"&amp;$CW$4,$AD25:$BA25)),
IF(BO$3=$DF25+'Model Setup'!$G$7,SUMIF($BH$3:$CE$3,"="&amp;$DF25+'Model Setup'!$G$7,$AD25:$BA25)+'Model Setup'!$G$8*(SUMIF($BH$3:$CE$3,"&lt;"&amp;$DF25,$AD25:$BA25)+SUMIF($BH$3:$CE$3,"&gt;"&amp;$CW$4,$AD25:$BA25)),
IF(BO$3=$DF25+'Model Setup'!$H$7,SUMIF($BH$3:$CE$3,"="&amp;$DF25+'Model Setup'!$H$7,$AD25:$BA25)+'Model Setup'!$H$8*(SUMIF($BH$3:$CE$3,"&lt;"&amp;$DF25,$AD25:$BA25)+SUMIF($BH$3:$CE$3,"&gt;"&amp;$CW$4,$AD25:$BA25)),
IF(BO$3=$DF25+'Model Setup'!$I$7,SUMIF($BH$3:$CE$3,"="&amp;$DF25+'Model Setup'!$I$7,$AD25:$BA25)+'Model Setup'!$I$8*(SUMIF($BH$3:$CE$3,"&lt;"&amp;$DF25,$AD25:$BA25)+SUMIF($BH$3:$CE$3,"&gt;"&amp;$CW$4,$AD25:$BA25)),
IF(BO$3=$DF25+'Model Setup'!$J$7,SUMIF($BH$3:$CE$3,"="&amp;$DF25+'Model Setup'!$J$7,$AD25:$BA25)+'Model Setup'!$J$8*(SUMIF($BH$3:$CE$3,"&lt;"&amp;$DF25,$AD25:$BA25)+SUMIF($BH$3:$CE$3,"&gt;"&amp;$CW$4,$AD25:$BA25)),
IF(BO$3=$DF25+'Model Setup'!$K$7,SUMIF($BH$3:$CE$3,"="&amp;$DF25+'Model Setup'!$K$7,$AD25:$BA25)+'Model Setup'!$K$8*(SUMIF($BH$3:$CE$3,"&lt;"&amp;$DF25,$AD25:$BA25)+SUMIF($BH$3:$CE$3,"&gt;"&amp;$CW$4,$AD25:$BA25)),
IF(BO$3=$DF25+'Model Setup'!$L$7,SUMIF($BH$3:$CE$3,"="&amp;$DF25+'Model Setup'!$L$7,$AD25:$BA25)+'Model Setup'!$L$8*(SUMIF($BH$3:$CE$3,"&lt;"&amp;$DF25,$AD25:$BA25)+SUMIF($BH$3:$CE$3,"&gt;"&amp;$CW$4,$AD25:$BA25)),
IF(BO$3=$DF25+'Model Setup'!$M$7,SUMIF($BH$3:$CE$3,"="&amp;$DF25+'Model Setup'!$M$7,$AD25:$BA25)+'Model Setup'!$M$8*(SUMIF($BH$3:$CE$3,"&lt;"&amp;$DF25,$AD25:$BA25)+SUMIF($BH$3:$CE$3,"&gt;"&amp;$CW$4,$AD25:$BA25)),
IF(BO$3=$DF25+'Model Setup'!$N$7,SUMIF($BH$3:$CE$3,"="&amp;$DF25+'Model Setup'!$N$7,$AD25:$BA25)+'Model Setup'!$N$8*(SUMIF($BH$3:$CE$3,"&lt;"&amp;$DF25,$AD25:$BA25)+SUMIF($BH$3:$CE$3,"&gt;"&amp;$CW$4,$AD25:$BA25)),
IF(BO$3&lt;$CW$4,I25,0))))))))))))))),0)</f>
        <v>124</v>
      </c>
      <c r="BP25" s="47">
        <f>ROUND(IF(OR(BP$3&lt;$DF25,BP$3&gt;$CW$4),0,
IF(BP$3=$DF25+'Model Setup'!$B$7,SUMIF($BH$3:$CE$3,"="&amp;$DF25+'Model Setup'!$B$7,$AD25:$BA25)+'Model Setup'!$B$8*(SUMIF($BH$3:$CE$3,"&lt;"&amp;$DF25,$AD25:$BA25)+SUMIF($BH$3:$CE$3,"&gt;"&amp;$CW$4,$AD25:$BA25)),
IF(BP$3=$DF25+'Model Setup'!$C$7,SUMIF($BH$3:$CE$3,"="&amp;$DF25+'Model Setup'!$C$7,$AD25:$BA25)+'Model Setup'!$C$8*(SUMIF($BH$3:$CE$3,"&lt;"&amp;$DF25,$AD25:$BA25)+SUMIF($BH$3:$CE$3,"&gt;"&amp;$CW$4,$AD25:$BA25)),
IF(BP$3=$DF25+'Model Setup'!$D$7,SUMIF($BH$3:$CE$3,"="&amp;$DF25+'Model Setup'!$D$7,$AD25:$BA25)+'Model Setup'!$D$8*(SUMIF($BH$3:$CE$3,"&lt;"&amp;$DF25,$AD25:$BA25)+SUMIF($BH$3:$CE$3,"&gt;"&amp;$CW$4,$AD25:$BA25)),
IF(BP$3=$DF25+'Model Setup'!$E$7,SUMIF($BH$3:$CE$3,"="&amp;$DF25+'Model Setup'!$E$7,$AD25:$BA25)+'Model Setup'!$E$8*(SUMIF($BH$3:$CE$3,"&lt;"&amp;$DF25,$AD25:$BA25)+SUMIF($BH$3:$CE$3,"&gt;"&amp;$CW$4,$AD25:$BA25)),
IF(BP$3=$DF25+'Model Setup'!$F$7,SUMIF($BH$3:$CE$3,"="&amp;$DF25+'Model Setup'!$F$7,$AD25:$BA25)+'Model Setup'!$F$8*(SUMIF($BH$3:$CE$3,"&lt;"&amp;$DF25,$AD25:$BA25)+SUMIF($BH$3:$CE$3,"&gt;"&amp;$CW$4,$AD25:$BA25)),
IF(BP$3=$DF25+'Model Setup'!$G$7,SUMIF($BH$3:$CE$3,"="&amp;$DF25+'Model Setup'!$G$7,$AD25:$BA25)+'Model Setup'!$G$8*(SUMIF($BH$3:$CE$3,"&lt;"&amp;$DF25,$AD25:$BA25)+SUMIF($BH$3:$CE$3,"&gt;"&amp;$CW$4,$AD25:$BA25)),
IF(BP$3=$DF25+'Model Setup'!$H$7,SUMIF($BH$3:$CE$3,"="&amp;$DF25+'Model Setup'!$H$7,$AD25:$BA25)+'Model Setup'!$H$8*(SUMIF($BH$3:$CE$3,"&lt;"&amp;$DF25,$AD25:$BA25)+SUMIF($BH$3:$CE$3,"&gt;"&amp;$CW$4,$AD25:$BA25)),
IF(BP$3=$DF25+'Model Setup'!$I$7,SUMIF($BH$3:$CE$3,"="&amp;$DF25+'Model Setup'!$I$7,$AD25:$BA25)+'Model Setup'!$I$8*(SUMIF($BH$3:$CE$3,"&lt;"&amp;$DF25,$AD25:$BA25)+SUMIF($BH$3:$CE$3,"&gt;"&amp;$CW$4,$AD25:$BA25)),
IF(BP$3=$DF25+'Model Setup'!$J$7,SUMIF($BH$3:$CE$3,"="&amp;$DF25+'Model Setup'!$J$7,$AD25:$BA25)+'Model Setup'!$J$8*(SUMIF($BH$3:$CE$3,"&lt;"&amp;$DF25,$AD25:$BA25)+SUMIF($BH$3:$CE$3,"&gt;"&amp;$CW$4,$AD25:$BA25)),
IF(BP$3=$DF25+'Model Setup'!$K$7,SUMIF($BH$3:$CE$3,"="&amp;$DF25+'Model Setup'!$K$7,$AD25:$BA25)+'Model Setup'!$K$8*(SUMIF($BH$3:$CE$3,"&lt;"&amp;$DF25,$AD25:$BA25)+SUMIF($BH$3:$CE$3,"&gt;"&amp;$CW$4,$AD25:$BA25)),
IF(BP$3=$DF25+'Model Setup'!$L$7,SUMIF($BH$3:$CE$3,"="&amp;$DF25+'Model Setup'!$L$7,$AD25:$BA25)+'Model Setup'!$L$8*(SUMIF($BH$3:$CE$3,"&lt;"&amp;$DF25,$AD25:$BA25)+SUMIF($BH$3:$CE$3,"&gt;"&amp;$CW$4,$AD25:$BA25)),
IF(BP$3=$DF25+'Model Setup'!$M$7,SUMIF($BH$3:$CE$3,"="&amp;$DF25+'Model Setup'!$M$7,$AD25:$BA25)+'Model Setup'!$M$8*(SUMIF($BH$3:$CE$3,"&lt;"&amp;$DF25,$AD25:$BA25)+SUMIF($BH$3:$CE$3,"&gt;"&amp;$CW$4,$AD25:$BA25)),
IF(BP$3=$DF25+'Model Setup'!$N$7,SUMIF($BH$3:$CE$3,"="&amp;$DF25+'Model Setup'!$N$7,$AD25:$BA25)+'Model Setup'!$N$8*(SUMIF($BH$3:$CE$3,"&lt;"&amp;$DF25,$AD25:$BA25)+SUMIF($BH$3:$CE$3,"&gt;"&amp;$CW$4,$AD25:$BA25)),
IF(BP$3&lt;$CW$4,J25,0))))))))))))))),0)</f>
        <v>123</v>
      </c>
      <c r="BQ25" s="47">
        <f>ROUND(IF(OR(BQ$3&lt;$DF25,BQ$3&gt;$CW$4),0,
IF(BQ$3=$DF25+'Model Setup'!$B$7,SUMIF($BH$3:$CE$3,"="&amp;$DF25+'Model Setup'!$B$7,$AD25:$BA25)+'Model Setup'!$B$8*(SUMIF($BH$3:$CE$3,"&lt;"&amp;$DF25,$AD25:$BA25)+SUMIF($BH$3:$CE$3,"&gt;"&amp;$CW$4,$AD25:$BA25)),
IF(BQ$3=$DF25+'Model Setup'!$C$7,SUMIF($BH$3:$CE$3,"="&amp;$DF25+'Model Setup'!$C$7,$AD25:$BA25)+'Model Setup'!$C$8*(SUMIF($BH$3:$CE$3,"&lt;"&amp;$DF25,$AD25:$BA25)+SUMIF($BH$3:$CE$3,"&gt;"&amp;$CW$4,$AD25:$BA25)),
IF(BQ$3=$DF25+'Model Setup'!$D$7,SUMIF($BH$3:$CE$3,"="&amp;$DF25+'Model Setup'!$D$7,$AD25:$BA25)+'Model Setup'!$D$8*(SUMIF($BH$3:$CE$3,"&lt;"&amp;$DF25,$AD25:$BA25)+SUMIF($BH$3:$CE$3,"&gt;"&amp;$CW$4,$AD25:$BA25)),
IF(BQ$3=$DF25+'Model Setup'!$E$7,SUMIF($BH$3:$CE$3,"="&amp;$DF25+'Model Setup'!$E$7,$AD25:$BA25)+'Model Setup'!$E$8*(SUMIF($BH$3:$CE$3,"&lt;"&amp;$DF25,$AD25:$BA25)+SUMIF($BH$3:$CE$3,"&gt;"&amp;$CW$4,$AD25:$BA25)),
IF(BQ$3=$DF25+'Model Setup'!$F$7,SUMIF($BH$3:$CE$3,"="&amp;$DF25+'Model Setup'!$F$7,$AD25:$BA25)+'Model Setup'!$F$8*(SUMIF($BH$3:$CE$3,"&lt;"&amp;$DF25,$AD25:$BA25)+SUMIF($BH$3:$CE$3,"&gt;"&amp;$CW$4,$AD25:$BA25)),
IF(BQ$3=$DF25+'Model Setup'!$G$7,SUMIF($BH$3:$CE$3,"="&amp;$DF25+'Model Setup'!$G$7,$AD25:$BA25)+'Model Setup'!$G$8*(SUMIF($BH$3:$CE$3,"&lt;"&amp;$DF25,$AD25:$BA25)+SUMIF($BH$3:$CE$3,"&gt;"&amp;$CW$4,$AD25:$BA25)),
IF(BQ$3=$DF25+'Model Setup'!$H$7,SUMIF($BH$3:$CE$3,"="&amp;$DF25+'Model Setup'!$H$7,$AD25:$BA25)+'Model Setup'!$H$8*(SUMIF($BH$3:$CE$3,"&lt;"&amp;$DF25,$AD25:$BA25)+SUMIF($BH$3:$CE$3,"&gt;"&amp;$CW$4,$AD25:$BA25)),
IF(BQ$3=$DF25+'Model Setup'!$I$7,SUMIF($BH$3:$CE$3,"="&amp;$DF25+'Model Setup'!$I$7,$AD25:$BA25)+'Model Setup'!$I$8*(SUMIF($BH$3:$CE$3,"&lt;"&amp;$DF25,$AD25:$BA25)+SUMIF($BH$3:$CE$3,"&gt;"&amp;$CW$4,$AD25:$BA25)),
IF(BQ$3=$DF25+'Model Setup'!$J$7,SUMIF($BH$3:$CE$3,"="&amp;$DF25+'Model Setup'!$J$7,$AD25:$BA25)+'Model Setup'!$J$8*(SUMIF($BH$3:$CE$3,"&lt;"&amp;$DF25,$AD25:$BA25)+SUMIF($BH$3:$CE$3,"&gt;"&amp;$CW$4,$AD25:$BA25)),
IF(BQ$3=$DF25+'Model Setup'!$K$7,SUMIF($BH$3:$CE$3,"="&amp;$DF25+'Model Setup'!$K$7,$AD25:$BA25)+'Model Setup'!$K$8*(SUMIF($BH$3:$CE$3,"&lt;"&amp;$DF25,$AD25:$BA25)+SUMIF($BH$3:$CE$3,"&gt;"&amp;$CW$4,$AD25:$BA25)),
IF(BQ$3=$DF25+'Model Setup'!$L$7,SUMIF($BH$3:$CE$3,"="&amp;$DF25+'Model Setup'!$L$7,$AD25:$BA25)+'Model Setup'!$L$8*(SUMIF($BH$3:$CE$3,"&lt;"&amp;$DF25,$AD25:$BA25)+SUMIF($BH$3:$CE$3,"&gt;"&amp;$CW$4,$AD25:$BA25)),
IF(BQ$3=$DF25+'Model Setup'!$M$7,SUMIF($BH$3:$CE$3,"="&amp;$DF25+'Model Setup'!$M$7,$AD25:$BA25)+'Model Setup'!$M$8*(SUMIF($BH$3:$CE$3,"&lt;"&amp;$DF25,$AD25:$BA25)+SUMIF($BH$3:$CE$3,"&gt;"&amp;$CW$4,$AD25:$BA25)),
IF(BQ$3=$DF25+'Model Setup'!$N$7,SUMIF($BH$3:$CE$3,"="&amp;$DF25+'Model Setup'!$N$7,$AD25:$BA25)+'Model Setup'!$N$8*(SUMIF($BH$3:$CE$3,"&lt;"&amp;$DF25,$AD25:$BA25)+SUMIF($BH$3:$CE$3,"&gt;"&amp;$CW$4,$AD25:$BA25)),
IF(BQ$3&lt;$CW$4,K25,0))))))))))))))),0)</f>
        <v>151</v>
      </c>
      <c r="BR25" s="47">
        <f>ROUND(IF(OR(BR$3&lt;$DF25,BR$3&gt;$CW$4),0,
IF(BR$3=$DF25+'Model Setup'!$B$7,SUMIF($BH$3:$CE$3,"="&amp;$DF25+'Model Setup'!$B$7,$AD25:$BA25)+'Model Setup'!$B$8*(SUMIF($BH$3:$CE$3,"&lt;"&amp;$DF25,$AD25:$BA25)+SUMIF($BH$3:$CE$3,"&gt;"&amp;$CW$4,$AD25:$BA25)),
IF(BR$3=$DF25+'Model Setup'!$C$7,SUMIF($BH$3:$CE$3,"="&amp;$DF25+'Model Setup'!$C$7,$AD25:$BA25)+'Model Setup'!$C$8*(SUMIF($BH$3:$CE$3,"&lt;"&amp;$DF25,$AD25:$BA25)+SUMIF($BH$3:$CE$3,"&gt;"&amp;$CW$4,$AD25:$BA25)),
IF(BR$3=$DF25+'Model Setup'!$D$7,SUMIF($BH$3:$CE$3,"="&amp;$DF25+'Model Setup'!$D$7,$AD25:$BA25)+'Model Setup'!$D$8*(SUMIF($BH$3:$CE$3,"&lt;"&amp;$DF25,$AD25:$BA25)+SUMIF($BH$3:$CE$3,"&gt;"&amp;$CW$4,$AD25:$BA25)),
IF(BR$3=$DF25+'Model Setup'!$E$7,SUMIF($BH$3:$CE$3,"="&amp;$DF25+'Model Setup'!$E$7,$AD25:$BA25)+'Model Setup'!$E$8*(SUMIF($BH$3:$CE$3,"&lt;"&amp;$DF25,$AD25:$BA25)+SUMIF($BH$3:$CE$3,"&gt;"&amp;$CW$4,$AD25:$BA25)),
IF(BR$3=$DF25+'Model Setup'!$F$7,SUMIF($BH$3:$CE$3,"="&amp;$DF25+'Model Setup'!$F$7,$AD25:$BA25)+'Model Setup'!$F$8*(SUMIF($BH$3:$CE$3,"&lt;"&amp;$DF25,$AD25:$BA25)+SUMIF($BH$3:$CE$3,"&gt;"&amp;$CW$4,$AD25:$BA25)),
IF(BR$3=$DF25+'Model Setup'!$G$7,SUMIF($BH$3:$CE$3,"="&amp;$DF25+'Model Setup'!$G$7,$AD25:$BA25)+'Model Setup'!$G$8*(SUMIF($BH$3:$CE$3,"&lt;"&amp;$DF25,$AD25:$BA25)+SUMIF($BH$3:$CE$3,"&gt;"&amp;$CW$4,$AD25:$BA25)),
IF(BR$3=$DF25+'Model Setup'!$H$7,SUMIF($BH$3:$CE$3,"="&amp;$DF25+'Model Setup'!$H$7,$AD25:$BA25)+'Model Setup'!$H$8*(SUMIF($BH$3:$CE$3,"&lt;"&amp;$DF25,$AD25:$BA25)+SUMIF($BH$3:$CE$3,"&gt;"&amp;$CW$4,$AD25:$BA25)),
IF(BR$3=$DF25+'Model Setup'!$I$7,SUMIF($BH$3:$CE$3,"="&amp;$DF25+'Model Setup'!$I$7,$AD25:$BA25)+'Model Setup'!$I$8*(SUMIF($BH$3:$CE$3,"&lt;"&amp;$DF25,$AD25:$BA25)+SUMIF($BH$3:$CE$3,"&gt;"&amp;$CW$4,$AD25:$BA25)),
IF(BR$3=$DF25+'Model Setup'!$J$7,SUMIF($BH$3:$CE$3,"="&amp;$DF25+'Model Setup'!$J$7,$AD25:$BA25)+'Model Setup'!$J$8*(SUMIF($BH$3:$CE$3,"&lt;"&amp;$DF25,$AD25:$BA25)+SUMIF($BH$3:$CE$3,"&gt;"&amp;$CW$4,$AD25:$BA25)),
IF(BR$3=$DF25+'Model Setup'!$K$7,SUMIF($BH$3:$CE$3,"="&amp;$DF25+'Model Setup'!$K$7,$AD25:$BA25)+'Model Setup'!$K$8*(SUMIF($BH$3:$CE$3,"&lt;"&amp;$DF25,$AD25:$BA25)+SUMIF($BH$3:$CE$3,"&gt;"&amp;$CW$4,$AD25:$BA25)),
IF(BR$3=$DF25+'Model Setup'!$L$7,SUMIF($BH$3:$CE$3,"="&amp;$DF25+'Model Setup'!$L$7,$AD25:$BA25)+'Model Setup'!$L$8*(SUMIF($BH$3:$CE$3,"&lt;"&amp;$DF25,$AD25:$BA25)+SUMIF($BH$3:$CE$3,"&gt;"&amp;$CW$4,$AD25:$BA25)),
IF(BR$3=$DF25+'Model Setup'!$M$7,SUMIF($BH$3:$CE$3,"="&amp;$DF25+'Model Setup'!$M$7,$AD25:$BA25)+'Model Setup'!$M$8*(SUMIF($BH$3:$CE$3,"&lt;"&amp;$DF25,$AD25:$BA25)+SUMIF($BH$3:$CE$3,"&gt;"&amp;$CW$4,$AD25:$BA25)),
IF(BR$3=$DF25+'Model Setup'!$N$7,SUMIF($BH$3:$CE$3,"="&amp;$DF25+'Model Setup'!$N$7,$AD25:$BA25)+'Model Setup'!$N$8*(SUMIF($BH$3:$CE$3,"&lt;"&amp;$DF25,$AD25:$BA25)+SUMIF($BH$3:$CE$3,"&gt;"&amp;$CW$4,$AD25:$BA25)),
IF(BR$3&lt;$CW$4,L25,0))))))))))))))),0)</f>
        <v>111</v>
      </c>
      <c r="BS25" s="47">
        <f>ROUND(IF(OR(BS$3&lt;$DF25,BS$3&gt;$CW$4),0,
IF(BS$3=$DF25+'Model Setup'!$B$7,SUMIF($BH$3:$CE$3,"="&amp;$DF25+'Model Setup'!$B$7,$AD25:$BA25)+'Model Setup'!$B$8*(SUMIF($BH$3:$CE$3,"&lt;"&amp;$DF25,$AD25:$BA25)+SUMIF($BH$3:$CE$3,"&gt;"&amp;$CW$4,$AD25:$BA25)),
IF(BS$3=$DF25+'Model Setup'!$C$7,SUMIF($BH$3:$CE$3,"="&amp;$DF25+'Model Setup'!$C$7,$AD25:$BA25)+'Model Setup'!$C$8*(SUMIF($BH$3:$CE$3,"&lt;"&amp;$DF25,$AD25:$BA25)+SUMIF($BH$3:$CE$3,"&gt;"&amp;$CW$4,$AD25:$BA25)),
IF(BS$3=$DF25+'Model Setup'!$D$7,SUMIF($BH$3:$CE$3,"="&amp;$DF25+'Model Setup'!$D$7,$AD25:$BA25)+'Model Setup'!$D$8*(SUMIF($BH$3:$CE$3,"&lt;"&amp;$DF25,$AD25:$BA25)+SUMIF($BH$3:$CE$3,"&gt;"&amp;$CW$4,$AD25:$BA25)),
IF(BS$3=$DF25+'Model Setup'!$E$7,SUMIF($BH$3:$CE$3,"="&amp;$DF25+'Model Setup'!$E$7,$AD25:$BA25)+'Model Setup'!$E$8*(SUMIF($BH$3:$CE$3,"&lt;"&amp;$DF25,$AD25:$BA25)+SUMIF($BH$3:$CE$3,"&gt;"&amp;$CW$4,$AD25:$BA25)),
IF(BS$3=$DF25+'Model Setup'!$F$7,SUMIF($BH$3:$CE$3,"="&amp;$DF25+'Model Setup'!$F$7,$AD25:$BA25)+'Model Setup'!$F$8*(SUMIF($BH$3:$CE$3,"&lt;"&amp;$DF25,$AD25:$BA25)+SUMIF($BH$3:$CE$3,"&gt;"&amp;$CW$4,$AD25:$BA25)),
IF(BS$3=$DF25+'Model Setup'!$G$7,SUMIF($BH$3:$CE$3,"="&amp;$DF25+'Model Setup'!$G$7,$AD25:$BA25)+'Model Setup'!$G$8*(SUMIF($BH$3:$CE$3,"&lt;"&amp;$DF25,$AD25:$BA25)+SUMIF($BH$3:$CE$3,"&gt;"&amp;$CW$4,$AD25:$BA25)),
IF(BS$3=$DF25+'Model Setup'!$H$7,SUMIF($BH$3:$CE$3,"="&amp;$DF25+'Model Setup'!$H$7,$AD25:$BA25)+'Model Setup'!$H$8*(SUMIF($BH$3:$CE$3,"&lt;"&amp;$DF25,$AD25:$BA25)+SUMIF($BH$3:$CE$3,"&gt;"&amp;$CW$4,$AD25:$BA25)),
IF(BS$3=$DF25+'Model Setup'!$I$7,SUMIF($BH$3:$CE$3,"="&amp;$DF25+'Model Setup'!$I$7,$AD25:$BA25)+'Model Setup'!$I$8*(SUMIF($BH$3:$CE$3,"&lt;"&amp;$DF25,$AD25:$BA25)+SUMIF($BH$3:$CE$3,"&gt;"&amp;$CW$4,$AD25:$BA25)),
IF(BS$3=$DF25+'Model Setup'!$J$7,SUMIF($BH$3:$CE$3,"="&amp;$DF25+'Model Setup'!$J$7,$AD25:$BA25)+'Model Setup'!$J$8*(SUMIF($BH$3:$CE$3,"&lt;"&amp;$DF25,$AD25:$BA25)+SUMIF($BH$3:$CE$3,"&gt;"&amp;$CW$4,$AD25:$BA25)),
IF(BS$3=$DF25+'Model Setup'!$K$7,SUMIF($BH$3:$CE$3,"="&amp;$DF25+'Model Setup'!$K$7,$AD25:$BA25)+'Model Setup'!$K$8*(SUMIF($BH$3:$CE$3,"&lt;"&amp;$DF25,$AD25:$BA25)+SUMIF($BH$3:$CE$3,"&gt;"&amp;$CW$4,$AD25:$BA25)),
IF(BS$3=$DF25+'Model Setup'!$L$7,SUMIF($BH$3:$CE$3,"="&amp;$DF25+'Model Setup'!$L$7,$AD25:$BA25)+'Model Setup'!$L$8*(SUMIF($BH$3:$CE$3,"&lt;"&amp;$DF25,$AD25:$BA25)+SUMIF($BH$3:$CE$3,"&gt;"&amp;$CW$4,$AD25:$BA25)),
IF(BS$3=$DF25+'Model Setup'!$M$7,SUMIF($BH$3:$CE$3,"="&amp;$DF25+'Model Setup'!$M$7,$AD25:$BA25)+'Model Setup'!$M$8*(SUMIF($BH$3:$CE$3,"&lt;"&amp;$DF25,$AD25:$BA25)+SUMIF($BH$3:$CE$3,"&gt;"&amp;$CW$4,$AD25:$BA25)),
IF(BS$3=$DF25+'Model Setup'!$N$7,SUMIF($BH$3:$CE$3,"="&amp;$DF25+'Model Setup'!$N$7,$AD25:$BA25)+'Model Setup'!$N$8*(SUMIF($BH$3:$CE$3,"&lt;"&amp;$DF25,$AD25:$BA25)+SUMIF($BH$3:$CE$3,"&gt;"&amp;$CW$4,$AD25:$BA25)),
IF(BS$3&lt;$CW$4,M25,0))))))))))))))),0)</f>
        <v>81</v>
      </c>
      <c r="BT25" s="47">
        <f>ROUND(IF(OR(BT$3&lt;$DF25,BT$3&gt;$CW$4),0,
IF(BT$3=$DF25+'Model Setup'!$B$7,SUMIF($BH$3:$CE$3,"="&amp;$DF25+'Model Setup'!$B$7,$AD25:$BA25)+'Model Setup'!$B$8*(SUMIF($BH$3:$CE$3,"&lt;"&amp;$DF25,$AD25:$BA25)+SUMIF($BH$3:$CE$3,"&gt;"&amp;$CW$4,$AD25:$BA25)),
IF(BT$3=$DF25+'Model Setup'!$C$7,SUMIF($BH$3:$CE$3,"="&amp;$DF25+'Model Setup'!$C$7,$AD25:$BA25)+'Model Setup'!$C$8*(SUMIF($BH$3:$CE$3,"&lt;"&amp;$DF25,$AD25:$BA25)+SUMIF($BH$3:$CE$3,"&gt;"&amp;$CW$4,$AD25:$BA25)),
IF(BT$3=$DF25+'Model Setup'!$D$7,SUMIF($BH$3:$CE$3,"="&amp;$DF25+'Model Setup'!$D$7,$AD25:$BA25)+'Model Setup'!$D$8*(SUMIF($BH$3:$CE$3,"&lt;"&amp;$DF25,$AD25:$BA25)+SUMIF($BH$3:$CE$3,"&gt;"&amp;$CW$4,$AD25:$BA25)),
IF(BT$3=$DF25+'Model Setup'!$E$7,SUMIF($BH$3:$CE$3,"="&amp;$DF25+'Model Setup'!$E$7,$AD25:$BA25)+'Model Setup'!$E$8*(SUMIF($BH$3:$CE$3,"&lt;"&amp;$DF25,$AD25:$BA25)+SUMIF($BH$3:$CE$3,"&gt;"&amp;$CW$4,$AD25:$BA25)),
IF(BT$3=$DF25+'Model Setup'!$F$7,SUMIF($BH$3:$CE$3,"="&amp;$DF25+'Model Setup'!$F$7,$AD25:$BA25)+'Model Setup'!$F$8*(SUMIF($BH$3:$CE$3,"&lt;"&amp;$DF25,$AD25:$BA25)+SUMIF($BH$3:$CE$3,"&gt;"&amp;$CW$4,$AD25:$BA25)),
IF(BT$3=$DF25+'Model Setup'!$G$7,SUMIF($BH$3:$CE$3,"="&amp;$DF25+'Model Setup'!$G$7,$AD25:$BA25)+'Model Setup'!$G$8*(SUMIF($BH$3:$CE$3,"&lt;"&amp;$DF25,$AD25:$BA25)+SUMIF($BH$3:$CE$3,"&gt;"&amp;$CW$4,$AD25:$BA25)),
IF(BT$3=$DF25+'Model Setup'!$H$7,SUMIF($BH$3:$CE$3,"="&amp;$DF25+'Model Setup'!$H$7,$AD25:$BA25)+'Model Setup'!$H$8*(SUMIF($BH$3:$CE$3,"&lt;"&amp;$DF25,$AD25:$BA25)+SUMIF($BH$3:$CE$3,"&gt;"&amp;$CW$4,$AD25:$BA25)),
IF(BT$3=$DF25+'Model Setup'!$I$7,SUMIF($BH$3:$CE$3,"="&amp;$DF25+'Model Setup'!$I$7,$AD25:$BA25)+'Model Setup'!$I$8*(SUMIF($BH$3:$CE$3,"&lt;"&amp;$DF25,$AD25:$BA25)+SUMIF($BH$3:$CE$3,"&gt;"&amp;$CW$4,$AD25:$BA25)),
IF(BT$3=$DF25+'Model Setup'!$J$7,SUMIF($BH$3:$CE$3,"="&amp;$DF25+'Model Setup'!$J$7,$AD25:$BA25)+'Model Setup'!$J$8*(SUMIF($BH$3:$CE$3,"&lt;"&amp;$DF25,$AD25:$BA25)+SUMIF($BH$3:$CE$3,"&gt;"&amp;$CW$4,$AD25:$BA25)),
IF(BT$3=$DF25+'Model Setup'!$K$7,SUMIF($BH$3:$CE$3,"="&amp;$DF25+'Model Setup'!$K$7,$AD25:$BA25)+'Model Setup'!$K$8*(SUMIF($BH$3:$CE$3,"&lt;"&amp;$DF25,$AD25:$BA25)+SUMIF($BH$3:$CE$3,"&gt;"&amp;$CW$4,$AD25:$BA25)),
IF(BT$3=$DF25+'Model Setup'!$L$7,SUMIF($BH$3:$CE$3,"="&amp;$DF25+'Model Setup'!$L$7,$AD25:$BA25)+'Model Setup'!$L$8*(SUMIF($BH$3:$CE$3,"&lt;"&amp;$DF25,$AD25:$BA25)+SUMIF($BH$3:$CE$3,"&gt;"&amp;$CW$4,$AD25:$BA25)),
IF(BT$3=$DF25+'Model Setup'!$M$7,SUMIF($BH$3:$CE$3,"="&amp;$DF25+'Model Setup'!$M$7,$AD25:$BA25)+'Model Setup'!$M$8*(SUMIF($BH$3:$CE$3,"&lt;"&amp;$DF25,$AD25:$BA25)+SUMIF($BH$3:$CE$3,"&gt;"&amp;$CW$4,$AD25:$BA25)),
IF(BT$3=$DF25+'Model Setup'!$N$7,SUMIF($BH$3:$CE$3,"="&amp;$DF25+'Model Setup'!$N$7,$AD25:$BA25)+'Model Setup'!$N$8*(SUMIF($BH$3:$CE$3,"&lt;"&amp;$DF25,$AD25:$BA25)+SUMIF($BH$3:$CE$3,"&gt;"&amp;$CW$4,$AD25:$BA25)),
IF(BT$3&lt;$CW$4,N25,0))))))))))))))),0)</f>
        <v>71</v>
      </c>
      <c r="BU25" s="47">
        <f>ROUND(IF(OR(BU$3&lt;$DF25,BU$3&gt;$CW$4),0,
IF(BU$3=$DF25+'Model Setup'!$B$7,SUMIF($BH$3:$CE$3,"="&amp;$DF25+'Model Setup'!$B$7,$AD25:$BA25)+'Model Setup'!$B$8*(SUMIF($BH$3:$CE$3,"&lt;"&amp;$DF25,$AD25:$BA25)+SUMIF($BH$3:$CE$3,"&gt;"&amp;$CW$4,$AD25:$BA25)),
IF(BU$3=$DF25+'Model Setup'!$C$7,SUMIF($BH$3:$CE$3,"="&amp;$DF25+'Model Setup'!$C$7,$AD25:$BA25)+'Model Setup'!$C$8*(SUMIF($BH$3:$CE$3,"&lt;"&amp;$DF25,$AD25:$BA25)+SUMIF($BH$3:$CE$3,"&gt;"&amp;$CW$4,$AD25:$BA25)),
IF(BU$3=$DF25+'Model Setup'!$D$7,SUMIF($BH$3:$CE$3,"="&amp;$DF25+'Model Setup'!$D$7,$AD25:$BA25)+'Model Setup'!$D$8*(SUMIF($BH$3:$CE$3,"&lt;"&amp;$DF25,$AD25:$BA25)+SUMIF($BH$3:$CE$3,"&gt;"&amp;$CW$4,$AD25:$BA25)),
IF(BU$3=$DF25+'Model Setup'!$E$7,SUMIF($BH$3:$CE$3,"="&amp;$DF25+'Model Setup'!$E$7,$AD25:$BA25)+'Model Setup'!$E$8*(SUMIF($BH$3:$CE$3,"&lt;"&amp;$DF25,$AD25:$BA25)+SUMIF($BH$3:$CE$3,"&gt;"&amp;$CW$4,$AD25:$BA25)),
IF(BU$3=$DF25+'Model Setup'!$F$7,SUMIF($BH$3:$CE$3,"="&amp;$DF25+'Model Setup'!$F$7,$AD25:$BA25)+'Model Setup'!$F$8*(SUMIF($BH$3:$CE$3,"&lt;"&amp;$DF25,$AD25:$BA25)+SUMIF($BH$3:$CE$3,"&gt;"&amp;$CW$4,$AD25:$BA25)),
IF(BU$3=$DF25+'Model Setup'!$G$7,SUMIF($BH$3:$CE$3,"="&amp;$DF25+'Model Setup'!$G$7,$AD25:$BA25)+'Model Setup'!$G$8*(SUMIF($BH$3:$CE$3,"&lt;"&amp;$DF25,$AD25:$BA25)+SUMIF($BH$3:$CE$3,"&gt;"&amp;$CW$4,$AD25:$BA25)),
IF(BU$3=$DF25+'Model Setup'!$H$7,SUMIF($BH$3:$CE$3,"="&amp;$DF25+'Model Setup'!$H$7,$AD25:$BA25)+'Model Setup'!$H$8*(SUMIF($BH$3:$CE$3,"&lt;"&amp;$DF25,$AD25:$BA25)+SUMIF($BH$3:$CE$3,"&gt;"&amp;$CW$4,$AD25:$BA25)),
IF(BU$3=$DF25+'Model Setup'!$I$7,SUMIF($BH$3:$CE$3,"="&amp;$DF25+'Model Setup'!$I$7,$AD25:$BA25)+'Model Setup'!$I$8*(SUMIF($BH$3:$CE$3,"&lt;"&amp;$DF25,$AD25:$BA25)+SUMIF($BH$3:$CE$3,"&gt;"&amp;$CW$4,$AD25:$BA25)),
IF(BU$3=$DF25+'Model Setup'!$J$7,SUMIF($BH$3:$CE$3,"="&amp;$DF25+'Model Setup'!$J$7,$AD25:$BA25)+'Model Setup'!$J$8*(SUMIF($BH$3:$CE$3,"&lt;"&amp;$DF25,$AD25:$BA25)+SUMIF($BH$3:$CE$3,"&gt;"&amp;$CW$4,$AD25:$BA25)),
IF(BU$3=$DF25+'Model Setup'!$K$7,SUMIF($BH$3:$CE$3,"="&amp;$DF25+'Model Setup'!$K$7,$AD25:$BA25)+'Model Setup'!$K$8*(SUMIF($BH$3:$CE$3,"&lt;"&amp;$DF25,$AD25:$BA25)+SUMIF($BH$3:$CE$3,"&gt;"&amp;$CW$4,$AD25:$BA25)),
IF(BU$3=$DF25+'Model Setup'!$L$7,SUMIF($BH$3:$CE$3,"="&amp;$DF25+'Model Setup'!$L$7,$AD25:$BA25)+'Model Setup'!$L$8*(SUMIF($BH$3:$CE$3,"&lt;"&amp;$DF25,$AD25:$BA25)+SUMIF($BH$3:$CE$3,"&gt;"&amp;$CW$4,$AD25:$BA25)),
IF(BU$3=$DF25+'Model Setup'!$M$7,SUMIF($BH$3:$CE$3,"="&amp;$DF25+'Model Setup'!$M$7,$AD25:$BA25)+'Model Setup'!$M$8*(SUMIF($BH$3:$CE$3,"&lt;"&amp;$DF25,$AD25:$BA25)+SUMIF($BH$3:$CE$3,"&gt;"&amp;$CW$4,$AD25:$BA25)),
IF(BU$3=$DF25+'Model Setup'!$N$7,SUMIF($BH$3:$CE$3,"="&amp;$DF25+'Model Setup'!$N$7,$AD25:$BA25)+'Model Setup'!$N$8*(SUMIF($BH$3:$CE$3,"&lt;"&amp;$DF25,$AD25:$BA25)+SUMIF($BH$3:$CE$3,"&gt;"&amp;$CW$4,$AD25:$BA25)),
IF(BU$3&lt;$CW$4,O25,0))))))))))))))),0)</f>
        <v>73</v>
      </c>
      <c r="BV25" s="47">
        <f>ROUND(IF(OR(BV$3&lt;$DF25,BV$3&gt;$CW$4),0,
IF(BV$3=$DF25+'Model Setup'!$B$7,SUMIF($BH$3:$CE$3,"="&amp;$DF25+'Model Setup'!$B$7,$AD25:$BA25)+'Model Setup'!$B$8*(SUMIF($BH$3:$CE$3,"&lt;"&amp;$DF25,$AD25:$BA25)+SUMIF($BH$3:$CE$3,"&gt;"&amp;$CW$4,$AD25:$BA25)),
IF(BV$3=$DF25+'Model Setup'!$C$7,SUMIF($BH$3:$CE$3,"="&amp;$DF25+'Model Setup'!$C$7,$AD25:$BA25)+'Model Setup'!$C$8*(SUMIF($BH$3:$CE$3,"&lt;"&amp;$DF25,$AD25:$BA25)+SUMIF($BH$3:$CE$3,"&gt;"&amp;$CW$4,$AD25:$BA25)),
IF(BV$3=$DF25+'Model Setup'!$D$7,SUMIF($BH$3:$CE$3,"="&amp;$DF25+'Model Setup'!$D$7,$AD25:$BA25)+'Model Setup'!$D$8*(SUMIF($BH$3:$CE$3,"&lt;"&amp;$DF25,$AD25:$BA25)+SUMIF($BH$3:$CE$3,"&gt;"&amp;$CW$4,$AD25:$BA25)),
IF(BV$3=$DF25+'Model Setup'!$E$7,SUMIF($BH$3:$CE$3,"="&amp;$DF25+'Model Setup'!$E$7,$AD25:$BA25)+'Model Setup'!$E$8*(SUMIF($BH$3:$CE$3,"&lt;"&amp;$DF25,$AD25:$BA25)+SUMIF($BH$3:$CE$3,"&gt;"&amp;$CW$4,$AD25:$BA25)),
IF(BV$3=$DF25+'Model Setup'!$F$7,SUMIF($BH$3:$CE$3,"="&amp;$DF25+'Model Setup'!$F$7,$AD25:$BA25)+'Model Setup'!$F$8*(SUMIF($BH$3:$CE$3,"&lt;"&amp;$DF25,$AD25:$BA25)+SUMIF($BH$3:$CE$3,"&gt;"&amp;$CW$4,$AD25:$BA25)),
IF(BV$3=$DF25+'Model Setup'!$G$7,SUMIF($BH$3:$CE$3,"="&amp;$DF25+'Model Setup'!$G$7,$AD25:$BA25)+'Model Setup'!$G$8*(SUMIF($BH$3:$CE$3,"&lt;"&amp;$DF25,$AD25:$BA25)+SUMIF($BH$3:$CE$3,"&gt;"&amp;$CW$4,$AD25:$BA25)),
IF(BV$3=$DF25+'Model Setup'!$H$7,SUMIF($BH$3:$CE$3,"="&amp;$DF25+'Model Setup'!$H$7,$AD25:$BA25)+'Model Setup'!$H$8*(SUMIF($BH$3:$CE$3,"&lt;"&amp;$DF25,$AD25:$BA25)+SUMIF($BH$3:$CE$3,"&gt;"&amp;$CW$4,$AD25:$BA25)),
IF(BV$3=$DF25+'Model Setup'!$I$7,SUMIF($BH$3:$CE$3,"="&amp;$DF25+'Model Setup'!$I$7,$AD25:$BA25)+'Model Setup'!$I$8*(SUMIF($BH$3:$CE$3,"&lt;"&amp;$DF25,$AD25:$BA25)+SUMIF($BH$3:$CE$3,"&gt;"&amp;$CW$4,$AD25:$BA25)),
IF(BV$3=$DF25+'Model Setup'!$J$7,SUMIF($BH$3:$CE$3,"="&amp;$DF25+'Model Setup'!$J$7,$AD25:$BA25)+'Model Setup'!$J$8*(SUMIF($BH$3:$CE$3,"&lt;"&amp;$DF25,$AD25:$BA25)+SUMIF($BH$3:$CE$3,"&gt;"&amp;$CW$4,$AD25:$BA25)),
IF(BV$3=$DF25+'Model Setup'!$K$7,SUMIF($BH$3:$CE$3,"="&amp;$DF25+'Model Setup'!$K$7,$AD25:$BA25)+'Model Setup'!$K$8*(SUMIF($BH$3:$CE$3,"&lt;"&amp;$DF25,$AD25:$BA25)+SUMIF($BH$3:$CE$3,"&gt;"&amp;$CW$4,$AD25:$BA25)),
IF(BV$3=$DF25+'Model Setup'!$L$7,SUMIF($BH$3:$CE$3,"="&amp;$DF25+'Model Setup'!$L$7,$AD25:$BA25)+'Model Setup'!$L$8*(SUMIF($BH$3:$CE$3,"&lt;"&amp;$DF25,$AD25:$BA25)+SUMIF($BH$3:$CE$3,"&gt;"&amp;$CW$4,$AD25:$BA25)),
IF(BV$3=$DF25+'Model Setup'!$M$7,SUMIF($BH$3:$CE$3,"="&amp;$DF25+'Model Setup'!$M$7,$AD25:$BA25)+'Model Setup'!$M$8*(SUMIF($BH$3:$CE$3,"&lt;"&amp;$DF25,$AD25:$BA25)+SUMIF($BH$3:$CE$3,"&gt;"&amp;$CW$4,$AD25:$BA25)),
IF(BV$3=$DF25+'Model Setup'!$N$7,SUMIF($BH$3:$CE$3,"="&amp;$DF25+'Model Setup'!$N$7,$AD25:$BA25)+'Model Setup'!$N$8*(SUMIF($BH$3:$CE$3,"&lt;"&amp;$DF25,$AD25:$BA25)+SUMIF($BH$3:$CE$3,"&gt;"&amp;$CW$4,$AD25:$BA25)),
IF(BV$3&lt;$CW$4,P25,0))))))))))))))),0)</f>
        <v>33</v>
      </c>
      <c r="BW25" s="47">
        <f>ROUND(IF(OR(BW$3&lt;$DF25,BW$3&gt;$CW$4),0,
IF(BW$3=$DF25+'Model Setup'!$B$7,SUMIF($BH$3:$CE$3,"="&amp;$DF25+'Model Setup'!$B$7,$AD25:$BA25)+'Model Setup'!$B$8*(SUMIF($BH$3:$CE$3,"&lt;"&amp;$DF25,$AD25:$BA25)+SUMIF($BH$3:$CE$3,"&gt;"&amp;$CW$4,$AD25:$BA25)),
IF(BW$3=$DF25+'Model Setup'!$C$7,SUMIF($BH$3:$CE$3,"="&amp;$DF25+'Model Setup'!$C$7,$AD25:$BA25)+'Model Setup'!$C$8*(SUMIF($BH$3:$CE$3,"&lt;"&amp;$DF25,$AD25:$BA25)+SUMIF($BH$3:$CE$3,"&gt;"&amp;$CW$4,$AD25:$BA25)),
IF(BW$3=$DF25+'Model Setup'!$D$7,SUMIF($BH$3:$CE$3,"="&amp;$DF25+'Model Setup'!$D$7,$AD25:$BA25)+'Model Setup'!$D$8*(SUMIF($BH$3:$CE$3,"&lt;"&amp;$DF25,$AD25:$BA25)+SUMIF($BH$3:$CE$3,"&gt;"&amp;$CW$4,$AD25:$BA25)),
IF(BW$3=$DF25+'Model Setup'!$E$7,SUMIF($BH$3:$CE$3,"="&amp;$DF25+'Model Setup'!$E$7,$AD25:$BA25)+'Model Setup'!$E$8*(SUMIF($BH$3:$CE$3,"&lt;"&amp;$DF25,$AD25:$BA25)+SUMIF($BH$3:$CE$3,"&gt;"&amp;$CW$4,$AD25:$BA25)),
IF(BW$3=$DF25+'Model Setup'!$F$7,SUMIF($BH$3:$CE$3,"="&amp;$DF25+'Model Setup'!$F$7,$AD25:$BA25)+'Model Setup'!$F$8*(SUMIF($BH$3:$CE$3,"&lt;"&amp;$DF25,$AD25:$BA25)+SUMIF($BH$3:$CE$3,"&gt;"&amp;$CW$4,$AD25:$BA25)),
IF(BW$3=$DF25+'Model Setup'!$G$7,SUMIF($BH$3:$CE$3,"="&amp;$DF25+'Model Setup'!$G$7,$AD25:$BA25)+'Model Setup'!$G$8*(SUMIF($BH$3:$CE$3,"&lt;"&amp;$DF25,$AD25:$BA25)+SUMIF($BH$3:$CE$3,"&gt;"&amp;$CW$4,$AD25:$BA25)),
IF(BW$3=$DF25+'Model Setup'!$H$7,SUMIF($BH$3:$CE$3,"="&amp;$DF25+'Model Setup'!$H$7,$AD25:$BA25)+'Model Setup'!$H$8*(SUMIF($BH$3:$CE$3,"&lt;"&amp;$DF25,$AD25:$BA25)+SUMIF($BH$3:$CE$3,"&gt;"&amp;$CW$4,$AD25:$BA25)),
IF(BW$3=$DF25+'Model Setup'!$I$7,SUMIF($BH$3:$CE$3,"="&amp;$DF25+'Model Setup'!$I$7,$AD25:$BA25)+'Model Setup'!$I$8*(SUMIF($BH$3:$CE$3,"&lt;"&amp;$DF25,$AD25:$BA25)+SUMIF($BH$3:$CE$3,"&gt;"&amp;$CW$4,$AD25:$BA25)),
IF(BW$3=$DF25+'Model Setup'!$J$7,SUMIF($BH$3:$CE$3,"="&amp;$DF25+'Model Setup'!$J$7,$AD25:$BA25)+'Model Setup'!$J$8*(SUMIF($BH$3:$CE$3,"&lt;"&amp;$DF25,$AD25:$BA25)+SUMIF($BH$3:$CE$3,"&gt;"&amp;$CW$4,$AD25:$BA25)),
IF(BW$3=$DF25+'Model Setup'!$K$7,SUMIF($BH$3:$CE$3,"="&amp;$DF25+'Model Setup'!$K$7,$AD25:$BA25)+'Model Setup'!$K$8*(SUMIF($BH$3:$CE$3,"&lt;"&amp;$DF25,$AD25:$BA25)+SUMIF($BH$3:$CE$3,"&gt;"&amp;$CW$4,$AD25:$BA25)),
IF(BW$3=$DF25+'Model Setup'!$L$7,SUMIF($BH$3:$CE$3,"="&amp;$DF25+'Model Setup'!$L$7,$AD25:$BA25)+'Model Setup'!$L$8*(SUMIF($BH$3:$CE$3,"&lt;"&amp;$DF25,$AD25:$BA25)+SUMIF($BH$3:$CE$3,"&gt;"&amp;$CW$4,$AD25:$BA25)),
IF(BW$3=$DF25+'Model Setup'!$M$7,SUMIF($BH$3:$CE$3,"="&amp;$DF25+'Model Setup'!$M$7,$AD25:$BA25)+'Model Setup'!$M$8*(SUMIF($BH$3:$CE$3,"&lt;"&amp;$DF25,$AD25:$BA25)+SUMIF($BH$3:$CE$3,"&gt;"&amp;$CW$4,$AD25:$BA25)),
IF(BW$3=$DF25+'Model Setup'!$N$7,SUMIF($BH$3:$CE$3,"="&amp;$DF25+'Model Setup'!$N$7,$AD25:$BA25)+'Model Setup'!$N$8*(SUMIF($BH$3:$CE$3,"&lt;"&amp;$DF25,$AD25:$BA25)+SUMIF($BH$3:$CE$3,"&gt;"&amp;$CW$4,$AD25:$BA25)),
IF(BW$3&lt;$CW$4,Q25,0))))))))))))))),0)</f>
        <v>52</v>
      </c>
      <c r="BX25" s="47">
        <f>ROUND(IF(OR(BX$3&lt;$DF25,BX$3&gt;$CW$4),0,
IF(BX$3=$DF25+'Model Setup'!$B$7,SUMIF($BH$3:$CE$3,"="&amp;$DF25+'Model Setup'!$B$7,$AD25:$BA25)+'Model Setup'!$B$8*(SUMIF($BH$3:$CE$3,"&lt;"&amp;$DF25,$AD25:$BA25)+SUMIF($BH$3:$CE$3,"&gt;"&amp;$CW$4,$AD25:$BA25)),
IF(BX$3=$DF25+'Model Setup'!$C$7,SUMIF($BH$3:$CE$3,"="&amp;$DF25+'Model Setup'!$C$7,$AD25:$BA25)+'Model Setup'!$C$8*(SUMIF($BH$3:$CE$3,"&lt;"&amp;$DF25,$AD25:$BA25)+SUMIF($BH$3:$CE$3,"&gt;"&amp;$CW$4,$AD25:$BA25)),
IF(BX$3=$DF25+'Model Setup'!$D$7,SUMIF($BH$3:$CE$3,"="&amp;$DF25+'Model Setup'!$D$7,$AD25:$BA25)+'Model Setup'!$D$8*(SUMIF($BH$3:$CE$3,"&lt;"&amp;$DF25,$AD25:$BA25)+SUMIF($BH$3:$CE$3,"&gt;"&amp;$CW$4,$AD25:$BA25)),
IF(BX$3=$DF25+'Model Setup'!$E$7,SUMIF($BH$3:$CE$3,"="&amp;$DF25+'Model Setup'!$E$7,$AD25:$BA25)+'Model Setup'!$E$8*(SUMIF($BH$3:$CE$3,"&lt;"&amp;$DF25,$AD25:$BA25)+SUMIF($BH$3:$CE$3,"&gt;"&amp;$CW$4,$AD25:$BA25)),
IF(BX$3=$DF25+'Model Setup'!$F$7,SUMIF($BH$3:$CE$3,"="&amp;$DF25+'Model Setup'!$F$7,$AD25:$BA25)+'Model Setup'!$F$8*(SUMIF($BH$3:$CE$3,"&lt;"&amp;$DF25,$AD25:$BA25)+SUMIF($BH$3:$CE$3,"&gt;"&amp;$CW$4,$AD25:$BA25)),
IF(BX$3=$DF25+'Model Setup'!$G$7,SUMIF($BH$3:$CE$3,"="&amp;$DF25+'Model Setup'!$G$7,$AD25:$BA25)+'Model Setup'!$G$8*(SUMIF($BH$3:$CE$3,"&lt;"&amp;$DF25,$AD25:$BA25)+SUMIF($BH$3:$CE$3,"&gt;"&amp;$CW$4,$AD25:$BA25)),
IF(BX$3=$DF25+'Model Setup'!$H$7,SUMIF($BH$3:$CE$3,"="&amp;$DF25+'Model Setup'!$H$7,$AD25:$BA25)+'Model Setup'!$H$8*(SUMIF($BH$3:$CE$3,"&lt;"&amp;$DF25,$AD25:$BA25)+SUMIF($BH$3:$CE$3,"&gt;"&amp;$CW$4,$AD25:$BA25)),
IF(BX$3=$DF25+'Model Setup'!$I$7,SUMIF($BH$3:$CE$3,"="&amp;$DF25+'Model Setup'!$I$7,$AD25:$BA25)+'Model Setup'!$I$8*(SUMIF($BH$3:$CE$3,"&lt;"&amp;$DF25,$AD25:$BA25)+SUMIF($BH$3:$CE$3,"&gt;"&amp;$CW$4,$AD25:$BA25)),
IF(BX$3=$DF25+'Model Setup'!$J$7,SUMIF($BH$3:$CE$3,"="&amp;$DF25+'Model Setup'!$J$7,$AD25:$BA25)+'Model Setup'!$J$8*(SUMIF($BH$3:$CE$3,"&lt;"&amp;$DF25,$AD25:$BA25)+SUMIF($BH$3:$CE$3,"&gt;"&amp;$CW$4,$AD25:$BA25)),
IF(BX$3=$DF25+'Model Setup'!$K$7,SUMIF($BH$3:$CE$3,"="&amp;$DF25+'Model Setup'!$K$7,$AD25:$BA25)+'Model Setup'!$K$8*(SUMIF($BH$3:$CE$3,"&lt;"&amp;$DF25,$AD25:$BA25)+SUMIF($BH$3:$CE$3,"&gt;"&amp;$CW$4,$AD25:$BA25)),
IF(BX$3=$DF25+'Model Setup'!$L$7,SUMIF($BH$3:$CE$3,"="&amp;$DF25+'Model Setup'!$L$7,$AD25:$BA25)+'Model Setup'!$L$8*(SUMIF($BH$3:$CE$3,"&lt;"&amp;$DF25,$AD25:$BA25)+SUMIF($BH$3:$CE$3,"&gt;"&amp;$CW$4,$AD25:$BA25)),
IF(BX$3=$DF25+'Model Setup'!$M$7,SUMIF($BH$3:$CE$3,"="&amp;$DF25+'Model Setup'!$M$7,$AD25:$BA25)+'Model Setup'!$M$8*(SUMIF($BH$3:$CE$3,"&lt;"&amp;$DF25,$AD25:$BA25)+SUMIF($BH$3:$CE$3,"&gt;"&amp;$CW$4,$AD25:$BA25)),
IF(BX$3=$DF25+'Model Setup'!$N$7,SUMIF($BH$3:$CE$3,"="&amp;$DF25+'Model Setup'!$N$7,$AD25:$BA25)+'Model Setup'!$N$8*(SUMIF($BH$3:$CE$3,"&lt;"&amp;$DF25,$AD25:$BA25)+SUMIF($BH$3:$CE$3,"&gt;"&amp;$CW$4,$AD25:$BA25)),
IF(BX$3&lt;$CW$4,R25,0))))))))))))))),0)</f>
        <v>54</v>
      </c>
      <c r="BY25" s="47">
        <f>ROUND(IF(OR(BY$3&lt;$DF25,BY$3&gt;$CW$4),0,
IF(BY$3=$DF25+'Model Setup'!$B$7,SUMIF($BH$3:$CE$3,"="&amp;$DF25+'Model Setup'!$B$7,$AD25:$BA25)+'Model Setup'!$B$8*(SUMIF($BH$3:$CE$3,"&lt;"&amp;$DF25,$AD25:$BA25)+SUMIF($BH$3:$CE$3,"&gt;"&amp;$CW$4,$AD25:$BA25)),
IF(BY$3=$DF25+'Model Setup'!$C$7,SUMIF($BH$3:$CE$3,"="&amp;$DF25+'Model Setup'!$C$7,$AD25:$BA25)+'Model Setup'!$C$8*(SUMIF($BH$3:$CE$3,"&lt;"&amp;$DF25,$AD25:$BA25)+SUMIF($BH$3:$CE$3,"&gt;"&amp;$CW$4,$AD25:$BA25)),
IF(BY$3=$DF25+'Model Setup'!$D$7,SUMIF($BH$3:$CE$3,"="&amp;$DF25+'Model Setup'!$D$7,$AD25:$BA25)+'Model Setup'!$D$8*(SUMIF($BH$3:$CE$3,"&lt;"&amp;$DF25,$AD25:$BA25)+SUMIF($BH$3:$CE$3,"&gt;"&amp;$CW$4,$AD25:$BA25)),
IF(BY$3=$DF25+'Model Setup'!$E$7,SUMIF($BH$3:$CE$3,"="&amp;$DF25+'Model Setup'!$E$7,$AD25:$BA25)+'Model Setup'!$E$8*(SUMIF($BH$3:$CE$3,"&lt;"&amp;$DF25,$AD25:$BA25)+SUMIF($BH$3:$CE$3,"&gt;"&amp;$CW$4,$AD25:$BA25)),
IF(BY$3=$DF25+'Model Setup'!$F$7,SUMIF($BH$3:$CE$3,"="&amp;$DF25+'Model Setup'!$F$7,$AD25:$BA25)+'Model Setup'!$F$8*(SUMIF($BH$3:$CE$3,"&lt;"&amp;$DF25,$AD25:$BA25)+SUMIF($BH$3:$CE$3,"&gt;"&amp;$CW$4,$AD25:$BA25)),
IF(BY$3=$DF25+'Model Setup'!$G$7,SUMIF($BH$3:$CE$3,"="&amp;$DF25+'Model Setup'!$G$7,$AD25:$BA25)+'Model Setup'!$G$8*(SUMIF($BH$3:$CE$3,"&lt;"&amp;$DF25,$AD25:$BA25)+SUMIF($BH$3:$CE$3,"&gt;"&amp;$CW$4,$AD25:$BA25)),
IF(BY$3=$DF25+'Model Setup'!$H$7,SUMIF($BH$3:$CE$3,"="&amp;$DF25+'Model Setup'!$H$7,$AD25:$BA25)+'Model Setup'!$H$8*(SUMIF($BH$3:$CE$3,"&lt;"&amp;$DF25,$AD25:$BA25)+SUMIF($BH$3:$CE$3,"&gt;"&amp;$CW$4,$AD25:$BA25)),
IF(BY$3=$DF25+'Model Setup'!$I$7,SUMIF($BH$3:$CE$3,"="&amp;$DF25+'Model Setup'!$I$7,$AD25:$BA25)+'Model Setup'!$I$8*(SUMIF($BH$3:$CE$3,"&lt;"&amp;$DF25,$AD25:$BA25)+SUMIF($BH$3:$CE$3,"&gt;"&amp;$CW$4,$AD25:$BA25)),
IF(BY$3=$DF25+'Model Setup'!$J$7,SUMIF($BH$3:$CE$3,"="&amp;$DF25+'Model Setup'!$J$7,$AD25:$BA25)+'Model Setup'!$J$8*(SUMIF($BH$3:$CE$3,"&lt;"&amp;$DF25,$AD25:$BA25)+SUMIF($BH$3:$CE$3,"&gt;"&amp;$CW$4,$AD25:$BA25)),
IF(BY$3=$DF25+'Model Setup'!$K$7,SUMIF($BH$3:$CE$3,"="&amp;$DF25+'Model Setup'!$K$7,$AD25:$BA25)+'Model Setup'!$K$8*(SUMIF($BH$3:$CE$3,"&lt;"&amp;$DF25,$AD25:$BA25)+SUMIF($BH$3:$CE$3,"&gt;"&amp;$CW$4,$AD25:$BA25)),
IF(BY$3=$DF25+'Model Setup'!$L$7,SUMIF($BH$3:$CE$3,"="&amp;$DF25+'Model Setup'!$L$7,$AD25:$BA25)+'Model Setup'!$L$8*(SUMIF($BH$3:$CE$3,"&lt;"&amp;$DF25,$AD25:$BA25)+SUMIF($BH$3:$CE$3,"&gt;"&amp;$CW$4,$AD25:$BA25)),
IF(BY$3=$DF25+'Model Setup'!$M$7,SUMIF($BH$3:$CE$3,"="&amp;$DF25+'Model Setup'!$M$7,$AD25:$BA25)+'Model Setup'!$M$8*(SUMIF($BH$3:$CE$3,"&lt;"&amp;$DF25,$AD25:$BA25)+SUMIF($BH$3:$CE$3,"&gt;"&amp;$CW$4,$AD25:$BA25)),
IF(BY$3=$DF25+'Model Setup'!$N$7,SUMIF($BH$3:$CE$3,"="&amp;$DF25+'Model Setup'!$N$7,$AD25:$BA25)+'Model Setup'!$N$8*(SUMIF($BH$3:$CE$3,"&lt;"&amp;$DF25,$AD25:$BA25)+SUMIF($BH$3:$CE$3,"&gt;"&amp;$CW$4,$AD25:$BA25)),
IF(BY$3&lt;$CW$4,S25,0))))))))))))))),0)</f>
        <v>40</v>
      </c>
      <c r="BZ25" s="47">
        <f>ROUND(IF(OR(BZ$3&lt;$DF25,BZ$3&gt;$CW$4),0,
IF(BZ$3=$DF25+'Model Setup'!$B$7,SUMIF($BH$3:$CE$3,"="&amp;$DF25+'Model Setup'!$B$7,$AD25:$BA25)+'Model Setup'!$B$8*(SUMIF($BH$3:$CE$3,"&lt;"&amp;$DF25,$AD25:$BA25)+SUMIF($BH$3:$CE$3,"&gt;"&amp;$CW$4,$AD25:$BA25)),
IF(BZ$3=$DF25+'Model Setup'!$C$7,SUMIF($BH$3:$CE$3,"="&amp;$DF25+'Model Setup'!$C$7,$AD25:$BA25)+'Model Setup'!$C$8*(SUMIF($BH$3:$CE$3,"&lt;"&amp;$DF25,$AD25:$BA25)+SUMIF($BH$3:$CE$3,"&gt;"&amp;$CW$4,$AD25:$BA25)),
IF(BZ$3=$DF25+'Model Setup'!$D$7,SUMIF($BH$3:$CE$3,"="&amp;$DF25+'Model Setup'!$D$7,$AD25:$BA25)+'Model Setup'!$D$8*(SUMIF($BH$3:$CE$3,"&lt;"&amp;$DF25,$AD25:$BA25)+SUMIF($BH$3:$CE$3,"&gt;"&amp;$CW$4,$AD25:$BA25)),
IF(BZ$3=$DF25+'Model Setup'!$E$7,SUMIF($BH$3:$CE$3,"="&amp;$DF25+'Model Setup'!$E$7,$AD25:$BA25)+'Model Setup'!$E$8*(SUMIF($BH$3:$CE$3,"&lt;"&amp;$DF25,$AD25:$BA25)+SUMIF($BH$3:$CE$3,"&gt;"&amp;$CW$4,$AD25:$BA25)),
IF(BZ$3=$DF25+'Model Setup'!$F$7,SUMIF($BH$3:$CE$3,"="&amp;$DF25+'Model Setup'!$F$7,$AD25:$BA25)+'Model Setup'!$F$8*(SUMIF($BH$3:$CE$3,"&lt;"&amp;$DF25,$AD25:$BA25)+SUMIF($BH$3:$CE$3,"&gt;"&amp;$CW$4,$AD25:$BA25)),
IF(BZ$3=$DF25+'Model Setup'!$G$7,SUMIF($BH$3:$CE$3,"="&amp;$DF25+'Model Setup'!$G$7,$AD25:$BA25)+'Model Setup'!$G$8*(SUMIF($BH$3:$CE$3,"&lt;"&amp;$DF25,$AD25:$BA25)+SUMIF($BH$3:$CE$3,"&gt;"&amp;$CW$4,$AD25:$BA25)),
IF(BZ$3=$DF25+'Model Setup'!$H$7,SUMIF($BH$3:$CE$3,"="&amp;$DF25+'Model Setup'!$H$7,$AD25:$BA25)+'Model Setup'!$H$8*(SUMIF($BH$3:$CE$3,"&lt;"&amp;$DF25,$AD25:$BA25)+SUMIF($BH$3:$CE$3,"&gt;"&amp;$CW$4,$AD25:$BA25)),
IF(BZ$3=$DF25+'Model Setup'!$I$7,SUMIF($BH$3:$CE$3,"="&amp;$DF25+'Model Setup'!$I$7,$AD25:$BA25)+'Model Setup'!$I$8*(SUMIF($BH$3:$CE$3,"&lt;"&amp;$DF25,$AD25:$BA25)+SUMIF($BH$3:$CE$3,"&gt;"&amp;$CW$4,$AD25:$BA25)),
IF(BZ$3=$DF25+'Model Setup'!$J$7,SUMIF($BH$3:$CE$3,"="&amp;$DF25+'Model Setup'!$J$7,$AD25:$BA25)+'Model Setup'!$J$8*(SUMIF($BH$3:$CE$3,"&lt;"&amp;$DF25,$AD25:$BA25)+SUMIF($BH$3:$CE$3,"&gt;"&amp;$CW$4,$AD25:$BA25)),
IF(BZ$3=$DF25+'Model Setup'!$K$7,SUMIF($BH$3:$CE$3,"="&amp;$DF25+'Model Setup'!$K$7,$AD25:$BA25)+'Model Setup'!$K$8*(SUMIF($BH$3:$CE$3,"&lt;"&amp;$DF25,$AD25:$BA25)+SUMIF($BH$3:$CE$3,"&gt;"&amp;$CW$4,$AD25:$BA25)),
IF(BZ$3=$DF25+'Model Setup'!$L$7,SUMIF($BH$3:$CE$3,"="&amp;$DF25+'Model Setup'!$L$7,$AD25:$BA25)+'Model Setup'!$L$8*(SUMIF($BH$3:$CE$3,"&lt;"&amp;$DF25,$AD25:$BA25)+SUMIF($BH$3:$CE$3,"&gt;"&amp;$CW$4,$AD25:$BA25)),
IF(BZ$3=$DF25+'Model Setup'!$M$7,SUMIF($BH$3:$CE$3,"="&amp;$DF25+'Model Setup'!$M$7,$AD25:$BA25)+'Model Setup'!$M$8*(SUMIF($BH$3:$CE$3,"&lt;"&amp;$DF25,$AD25:$BA25)+SUMIF($BH$3:$CE$3,"&gt;"&amp;$CW$4,$AD25:$BA25)),
IF(BZ$3=$DF25+'Model Setup'!$N$7,SUMIF($BH$3:$CE$3,"="&amp;$DF25+'Model Setup'!$N$7,$AD25:$BA25)+'Model Setup'!$N$8*(SUMIF($BH$3:$CE$3,"&lt;"&amp;$DF25,$AD25:$BA25)+SUMIF($BH$3:$CE$3,"&gt;"&amp;$CW$4,$AD25:$BA25)),
IF(BZ$3&lt;$CW$4,T25,0))))))))))))))),0)</f>
        <v>0</v>
      </c>
      <c r="CA25" s="47">
        <f>ROUND(IF(OR(CA$3&lt;$DF25,CA$3&gt;$CW$4),0,
IF(CA$3=$DF25+'Model Setup'!$B$7,SUMIF($BH$3:$CE$3,"="&amp;$DF25+'Model Setup'!$B$7,$AD25:$BA25)+'Model Setup'!$B$8*(SUMIF($BH$3:$CE$3,"&lt;"&amp;$DF25,$AD25:$BA25)+SUMIF($BH$3:$CE$3,"&gt;"&amp;$CW$4,$AD25:$BA25)),
IF(CA$3=$DF25+'Model Setup'!$C$7,SUMIF($BH$3:$CE$3,"="&amp;$DF25+'Model Setup'!$C$7,$AD25:$BA25)+'Model Setup'!$C$8*(SUMIF($BH$3:$CE$3,"&lt;"&amp;$DF25,$AD25:$BA25)+SUMIF($BH$3:$CE$3,"&gt;"&amp;$CW$4,$AD25:$BA25)),
IF(CA$3=$DF25+'Model Setup'!$D$7,SUMIF($BH$3:$CE$3,"="&amp;$DF25+'Model Setup'!$D$7,$AD25:$BA25)+'Model Setup'!$D$8*(SUMIF($BH$3:$CE$3,"&lt;"&amp;$DF25,$AD25:$BA25)+SUMIF($BH$3:$CE$3,"&gt;"&amp;$CW$4,$AD25:$BA25)),
IF(CA$3=$DF25+'Model Setup'!$E$7,SUMIF($BH$3:$CE$3,"="&amp;$DF25+'Model Setup'!$E$7,$AD25:$BA25)+'Model Setup'!$E$8*(SUMIF($BH$3:$CE$3,"&lt;"&amp;$DF25,$AD25:$BA25)+SUMIF($BH$3:$CE$3,"&gt;"&amp;$CW$4,$AD25:$BA25)),
IF(CA$3=$DF25+'Model Setup'!$F$7,SUMIF($BH$3:$CE$3,"="&amp;$DF25+'Model Setup'!$F$7,$AD25:$BA25)+'Model Setup'!$F$8*(SUMIF($BH$3:$CE$3,"&lt;"&amp;$DF25,$AD25:$BA25)+SUMIF($BH$3:$CE$3,"&gt;"&amp;$CW$4,$AD25:$BA25)),
IF(CA$3=$DF25+'Model Setup'!$G$7,SUMIF($BH$3:$CE$3,"="&amp;$DF25+'Model Setup'!$G$7,$AD25:$BA25)+'Model Setup'!$G$8*(SUMIF($BH$3:$CE$3,"&lt;"&amp;$DF25,$AD25:$BA25)+SUMIF($BH$3:$CE$3,"&gt;"&amp;$CW$4,$AD25:$BA25)),
IF(CA$3=$DF25+'Model Setup'!$H$7,SUMIF($BH$3:$CE$3,"="&amp;$DF25+'Model Setup'!$H$7,$AD25:$BA25)+'Model Setup'!$H$8*(SUMIF($BH$3:$CE$3,"&lt;"&amp;$DF25,$AD25:$BA25)+SUMIF($BH$3:$CE$3,"&gt;"&amp;$CW$4,$AD25:$BA25)),
IF(CA$3=$DF25+'Model Setup'!$I$7,SUMIF($BH$3:$CE$3,"="&amp;$DF25+'Model Setup'!$I$7,$AD25:$BA25)+'Model Setup'!$I$8*(SUMIF($BH$3:$CE$3,"&lt;"&amp;$DF25,$AD25:$BA25)+SUMIF($BH$3:$CE$3,"&gt;"&amp;$CW$4,$AD25:$BA25)),
IF(CA$3=$DF25+'Model Setup'!$J$7,SUMIF($BH$3:$CE$3,"="&amp;$DF25+'Model Setup'!$J$7,$AD25:$BA25)+'Model Setup'!$J$8*(SUMIF($BH$3:$CE$3,"&lt;"&amp;$DF25,$AD25:$BA25)+SUMIF($BH$3:$CE$3,"&gt;"&amp;$CW$4,$AD25:$BA25)),
IF(CA$3=$DF25+'Model Setup'!$K$7,SUMIF($BH$3:$CE$3,"="&amp;$DF25+'Model Setup'!$K$7,$AD25:$BA25)+'Model Setup'!$K$8*(SUMIF($BH$3:$CE$3,"&lt;"&amp;$DF25,$AD25:$BA25)+SUMIF($BH$3:$CE$3,"&gt;"&amp;$CW$4,$AD25:$BA25)),
IF(CA$3=$DF25+'Model Setup'!$L$7,SUMIF($BH$3:$CE$3,"="&amp;$DF25+'Model Setup'!$L$7,$AD25:$BA25)+'Model Setup'!$L$8*(SUMIF($BH$3:$CE$3,"&lt;"&amp;$DF25,$AD25:$BA25)+SUMIF($BH$3:$CE$3,"&gt;"&amp;$CW$4,$AD25:$BA25)),
IF(CA$3=$DF25+'Model Setup'!$M$7,SUMIF($BH$3:$CE$3,"="&amp;$DF25+'Model Setup'!$M$7,$AD25:$BA25)+'Model Setup'!$M$8*(SUMIF($BH$3:$CE$3,"&lt;"&amp;$DF25,$AD25:$BA25)+SUMIF($BH$3:$CE$3,"&gt;"&amp;$CW$4,$AD25:$BA25)),
IF(CA$3=$DF25+'Model Setup'!$N$7,SUMIF($BH$3:$CE$3,"="&amp;$DF25+'Model Setup'!$N$7,$AD25:$BA25)+'Model Setup'!$N$8*(SUMIF($BH$3:$CE$3,"&lt;"&amp;$DF25,$AD25:$BA25)+SUMIF($BH$3:$CE$3,"&gt;"&amp;$CW$4,$AD25:$BA25)),
IF(CA$3&lt;$CW$4,U25,0))))))))))))))),0)</f>
        <v>0</v>
      </c>
      <c r="CB25" s="47">
        <f>ROUND(IF(OR(CB$3&lt;$DF25,CB$3&gt;$CW$4),0,
IF(CB$3=$DF25+'Model Setup'!$B$7,SUMIF($BH$3:$CE$3,"="&amp;$DF25+'Model Setup'!$B$7,$AD25:$BA25)+'Model Setup'!$B$8*(SUMIF($BH$3:$CE$3,"&lt;"&amp;$DF25,$AD25:$BA25)+SUMIF($BH$3:$CE$3,"&gt;"&amp;$CW$4,$AD25:$BA25)),
IF(CB$3=$DF25+'Model Setup'!$C$7,SUMIF($BH$3:$CE$3,"="&amp;$DF25+'Model Setup'!$C$7,$AD25:$BA25)+'Model Setup'!$C$8*(SUMIF($BH$3:$CE$3,"&lt;"&amp;$DF25,$AD25:$BA25)+SUMIF($BH$3:$CE$3,"&gt;"&amp;$CW$4,$AD25:$BA25)),
IF(CB$3=$DF25+'Model Setup'!$D$7,SUMIF($BH$3:$CE$3,"="&amp;$DF25+'Model Setup'!$D$7,$AD25:$BA25)+'Model Setup'!$D$8*(SUMIF($BH$3:$CE$3,"&lt;"&amp;$DF25,$AD25:$BA25)+SUMIF($BH$3:$CE$3,"&gt;"&amp;$CW$4,$AD25:$BA25)),
IF(CB$3=$DF25+'Model Setup'!$E$7,SUMIF($BH$3:$CE$3,"="&amp;$DF25+'Model Setup'!$E$7,$AD25:$BA25)+'Model Setup'!$E$8*(SUMIF($BH$3:$CE$3,"&lt;"&amp;$DF25,$AD25:$BA25)+SUMIF($BH$3:$CE$3,"&gt;"&amp;$CW$4,$AD25:$BA25)),
IF(CB$3=$DF25+'Model Setup'!$F$7,SUMIF($BH$3:$CE$3,"="&amp;$DF25+'Model Setup'!$F$7,$AD25:$BA25)+'Model Setup'!$F$8*(SUMIF($BH$3:$CE$3,"&lt;"&amp;$DF25,$AD25:$BA25)+SUMIF($BH$3:$CE$3,"&gt;"&amp;$CW$4,$AD25:$BA25)),
IF(CB$3=$DF25+'Model Setup'!$G$7,SUMIF($BH$3:$CE$3,"="&amp;$DF25+'Model Setup'!$G$7,$AD25:$BA25)+'Model Setup'!$G$8*(SUMIF($BH$3:$CE$3,"&lt;"&amp;$DF25,$AD25:$BA25)+SUMIF($BH$3:$CE$3,"&gt;"&amp;$CW$4,$AD25:$BA25)),
IF(CB$3=$DF25+'Model Setup'!$H$7,SUMIF($BH$3:$CE$3,"="&amp;$DF25+'Model Setup'!$H$7,$AD25:$BA25)+'Model Setup'!$H$8*(SUMIF($BH$3:$CE$3,"&lt;"&amp;$DF25,$AD25:$BA25)+SUMIF($BH$3:$CE$3,"&gt;"&amp;$CW$4,$AD25:$BA25)),
IF(CB$3=$DF25+'Model Setup'!$I$7,SUMIF($BH$3:$CE$3,"="&amp;$DF25+'Model Setup'!$I$7,$AD25:$BA25)+'Model Setup'!$I$8*(SUMIF($BH$3:$CE$3,"&lt;"&amp;$DF25,$AD25:$BA25)+SUMIF($BH$3:$CE$3,"&gt;"&amp;$CW$4,$AD25:$BA25)),
IF(CB$3=$DF25+'Model Setup'!$J$7,SUMIF($BH$3:$CE$3,"="&amp;$DF25+'Model Setup'!$J$7,$AD25:$BA25)+'Model Setup'!$J$8*(SUMIF($BH$3:$CE$3,"&lt;"&amp;$DF25,$AD25:$BA25)+SUMIF($BH$3:$CE$3,"&gt;"&amp;$CW$4,$AD25:$BA25)),
IF(CB$3=$DF25+'Model Setup'!$K$7,SUMIF($BH$3:$CE$3,"="&amp;$DF25+'Model Setup'!$K$7,$AD25:$BA25)+'Model Setup'!$K$8*(SUMIF($BH$3:$CE$3,"&lt;"&amp;$DF25,$AD25:$BA25)+SUMIF($BH$3:$CE$3,"&gt;"&amp;$CW$4,$AD25:$BA25)),
IF(CB$3=$DF25+'Model Setup'!$L$7,SUMIF($BH$3:$CE$3,"="&amp;$DF25+'Model Setup'!$L$7,$AD25:$BA25)+'Model Setup'!$L$8*(SUMIF($BH$3:$CE$3,"&lt;"&amp;$DF25,$AD25:$BA25)+SUMIF($BH$3:$CE$3,"&gt;"&amp;$CW$4,$AD25:$BA25)),
IF(CB$3=$DF25+'Model Setup'!$M$7,SUMIF($BH$3:$CE$3,"="&amp;$DF25+'Model Setup'!$M$7,$AD25:$BA25)+'Model Setup'!$M$8*(SUMIF($BH$3:$CE$3,"&lt;"&amp;$DF25,$AD25:$BA25)+SUMIF($BH$3:$CE$3,"&gt;"&amp;$CW$4,$AD25:$BA25)),
IF(CB$3=$DF25+'Model Setup'!$N$7,SUMIF($BH$3:$CE$3,"="&amp;$DF25+'Model Setup'!$N$7,$AD25:$BA25)+'Model Setup'!$N$8*(SUMIF($BH$3:$CE$3,"&lt;"&amp;$DF25,$AD25:$BA25)+SUMIF($BH$3:$CE$3,"&gt;"&amp;$CW$4,$AD25:$BA25)),
IF(CB$3&lt;$CW$4,V25,0))))))))))))))),0)</f>
        <v>0</v>
      </c>
      <c r="CC25" s="47">
        <f>ROUND(IF(OR(CC$3&lt;$DF25,CC$3&gt;$CW$4),0,
IF(CC$3=$DF25+'Model Setup'!$B$7,SUMIF($BH$3:$CE$3,"="&amp;$DF25+'Model Setup'!$B$7,$AD25:$BA25)+'Model Setup'!$B$8*(SUMIF($BH$3:$CE$3,"&lt;"&amp;$DF25,$AD25:$BA25)+SUMIF($BH$3:$CE$3,"&gt;"&amp;$CW$4,$AD25:$BA25)),
IF(CC$3=$DF25+'Model Setup'!$C$7,SUMIF($BH$3:$CE$3,"="&amp;$DF25+'Model Setup'!$C$7,$AD25:$BA25)+'Model Setup'!$C$8*(SUMIF($BH$3:$CE$3,"&lt;"&amp;$DF25,$AD25:$BA25)+SUMIF($BH$3:$CE$3,"&gt;"&amp;$CW$4,$AD25:$BA25)),
IF(CC$3=$DF25+'Model Setup'!$D$7,SUMIF($BH$3:$CE$3,"="&amp;$DF25+'Model Setup'!$D$7,$AD25:$BA25)+'Model Setup'!$D$8*(SUMIF($BH$3:$CE$3,"&lt;"&amp;$DF25,$AD25:$BA25)+SUMIF($BH$3:$CE$3,"&gt;"&amp;$CW$4,$AD25:$BA25)),
IF(CC$3=$DF25+'Model Setup'!$E$7,SUMIF($BH$3:$CE$3,"="&amp;$DF25+'Model Setup'!$E$7,$AD25:$BA25)+'Model Setup'!$E$8*(SUMIF($BH$3:$CE$3,"&lt;"&amp;$DF25,$AD25:$BA25)+SUMIF($BH$3:$CE$3,"&gt;"&amp;$CW$4,$AD25:$BA25)),
IF(CC$3=$DF25+'Model Setup'!$F$7,SUMIF($BH$3:$CE$3,"="&amp;$DF25+'Model Setup'!$F$7,$AD25:$BA25)+'Model Setup'!$F$8*(SUMIF($BH$3:$CE$3,"&lt;"&amp;$DF25,$AD25:$BA25)+SUMIF($BH$3:$CE$3,"&gt;"&amp;$CW$4,$AD25:$BA25)),
IF(CC$3=$DF25+'Model Setup'!$G$7,SUMIF($BH$3:$CE$3,"="&amp;$DF25+'Model Setup'!$G$7,$AD25:$BA25)+'Model Setup'!$G$8*(SUMIF($BH$3:$CE$3,"&lt;"&amp;$DF25,$AD25:$BA25)+SUMIF($BH$3:$CE$3,"&gt;"&amp;$CW$4,$AD25:$BA25)),
IF(CC$3=$DF25+'Model Setup'!$H$7,SUMIF($BH$3:$CE$3,"="&amp;$DF25+'Model Setup'!$H$7,$AD25:$BA25)+'Model Setup'!$H$8*(SUMIF($BH$3:$CE$3,"&lt;"&amp;$DF25,$AD25:$BA25)+SUMIF($BH$3:$CE$3,"&gt;"&amp;$CW$4,$AD25:$BA25)),
IF(CC$3=$DF25+'Model Setup'!$I$7,SUMIF($BH$3:$CE$3,"="&amp;$DF25+'Model Setup'!$I$7,$AD25:$BA25)+'Model Setup'!$I$8*(SUMIF($BH$3:$CE$3,"&lt;"&amp;$DF25,$AD25:$BA25)+SUMIF($BH$3:$CE$3,"&gt;"&amp;$CW$4,$AD25:$BA25)),
IF(CC$3=$DF25+'Model Setup'!$J$7,SUMIF($BH$3:$CE$3,"="&amp;$DF25+'Model Setup'!$J$7,$AD25:$BA25)+'Model Setup'!$J$8*(SUMIF($BH$3:$CE$3,"&lt;"&amp;$DF25,$AD25:$BA25)+SUMIF($BH$3:$CE$3,"&gt;"&amp;$CW$4,$AD25:$BA25)),
IF(CC$3=$DF25+'Model Setup'!$K$7,SUMIF($BH$3:$CE$3,"="&amp;$DF25+'Model Setup'!$K$7,$AD25:$BA25)+'Model Setup'!$K$8*(SUMIF($BH$3:$CE$3,"&lt;"&amp;$DF25,$AD25:$BA25)+SUMIF($BH$3:$CE$3,"&gt;"&amp;$CW$4,$AD25:$BA25)),
IF(CC$3=$DF25+'Model Setup'!$L$7,SUMIF($BH$3:$CE$3,"="&amp;$DF25+'Model Setup'!$L$7,$AD25:$BA25)+'Model Setup'!$L$8*(SUMIF($BH$3:$CE$3,"&lt;"&amp;$DF25,$AD25:$BA25)+SUMIF($BH$3:$CE$3,"&gt;"&amp;$CW$4,$AD25:$BA25)),
IF(CC$3=$DF25+'Model Setup'!$M$7,SUMIF($BH$3:$CE$3,"="&amp;$DF25+'Model Setup'!$M$7,$AD25:$BA25)+'Model Setup'!$M$8*(SUMIF($BH$3:$CE$3,"&lt;"&amp;$DF25,$AD25:$BA25)+SUMIF($BH$3:$CE$3,"&gt;"&amp;$CW$4,$AD25:$BA25)),
IF(CC$3=$DF25+'Model Setup'!$N$7,SUMIF($BH$3:$CE$3,"="&amp;$DF25+'Model Setup'!$N$7,$AD25:$BA25)+'Model Setup'!$N$8*(SUMIF($BH$3:$CE$3,"&lt;"&amp;$DF25,$AD25:$BA25)+SUMIF($BH$3:$CE$3,"&gt;"&amp;$CW$4,$AD25:$BA25)),
IF(CC$3&lt;$CW$4,W25,0))))))))))))))),0)</f>
        <v>0</v>
      </c>
      <c r="CD25" s="47">
        <f>ROUND(IF(OR(CD$3&lt;$DF25,CD$3&gt;$CW$4),0,
IF(CD$3=$DF25+'Model Setup'!$B$7,SUMIF($BH$3:$CE$3,"="&amp;$DF25+'Model Setup'!$B$7,$AD25:$BA25)+'Model Setup'!$B$8*(SUMIF($BH$3:$CE$3,"&lt;"&amp;$DF25,$AD25:$BA25)+SUMIF($BH$3:$CE$3,"&gt;"&amp;$CW$4,$AD25:$BA25)),
IF(CD$3=$DF25+'Model Setup'!$C$7,SUMIF($BH$3:$CE$3,"="&amp;$DF25+'Model Setup'!$C$7,$AD25:$BA25)+'Model Setup'!$C$8*(SUMIF($BH$3:$CE$3,"&lt;"&amp;$DF25,$AD25:$BA25)+SUMIF($BH$3:$CE$3,"&gt;"&amp;$CW$4,$AD25:$BA25)),
IF(CD$3=$DF25+'Model Setup'!$D$7,SUMIF($BH$3:$CE$3,"="&amp;$DF25+'Model Setup'!$D$7,$AD25:$BA25)+'Model Setup'!$D$8*(SUMIF($BH$3:$CE$3,"&lt;"&amp;$DF25,$AD25:$BA25)+SUMIF($BH$3:$CE$3,"&gt;"&amp;$CW$4,$AD25:$BA25)),
IF(CD$3=$DF25+'Model Setup'!$E$7,SUMIF($BH$3:$CE$3,"="&amp;$DF25+'Model Setup'!$E$7,$AD25:$BA25)+'Model Setup'!$E$8*(SUMIF($BH$3:$CE$3,"&lt;"&amp;$DF25,$AD25:$BA25)+SUMIF($BH$3:$CE$3,"&gt;"&amp;$CW$4,$AD25:$BA25)),
IF(CD$3=$DF25+'Model Setup'!$F$7,SUMIF($BH$3:$CE$3,"="&amp;$DF25+'Model Setup'!$F$7,$AD25:$BA25)+'Model Setup'!$F$8*(SUMIF($BH$3:$CE$3,"&lt;"&amp;$DF25,$AD25:$BA25)+SUMIF($BH$3:$CE$3,"&gt;"&amp;$CW$4,$AD25:$BA25)),
IF(CD$3=$DF25+'Model Setup'!$G$7,SUMIF($BH$3:$CE$3,"="&amp;$DF25+'Model Setup'!$G$7,$AD25:$BA25)+'Model Setup'!$G$8*(SUMIF($BH$3:$CE$3,"&lt;"&amp;$DF25,$AD25:$BA25)+SUMIF($BH$3:$CE$3,"&gt;"&amp;$CW$4,$AD25:$BA25)),
IF(CD$3=$DF25+'Model Setup'!$H$7,SUMIF($BH$3:$CE$3,"="&amp;$DF25+'Model Setup'!$H$7,$AD25:$BA25)+'Model Setup'!$H$8*(SUMIF($BH$3:$CE$3,"&lt;"&amp;$DF25,$AD25:$BA25)+SUMIF($BH$3:$CE$3,"&gt;"&amp;$CW$4,$AD25:$BA25)),
IF(CD$3=$DF25+'Model Setup'!$I$7,SUMIF($BH$3:$CE$3,"="&amp;$DF25+'Model Setup'!$I$7,$AD25:$BA25)+'Model Setup'!$I$8*(SUMIF($BH$3:$CE$3,"&lt;"&amp;$DF25,$AD25:$BA25)+SUMIF($BH$3:$CE$3,"&gt;"&amp;$CW$4,$AD25:$BA25)),
IF(CD$3=$DF25+'Model Setup'!$J$7,SUMIF($BH$3:$CE$3,"="&amp;$DF25+'Model Setup'!$J$7,$AD25:$BA25)+'Model Setup'!$J$8*(SUMIF($BH$3:$CE$3,"&lt;"&amp;$DF25,$AD25:$BA25)+SUMIF($BH$3:$CE$3,"&gt;"&amp;$CW$4,$AD25:$BA25)),
IF(CD$3=$DF25+'Model Setup'!$K$7,SUMIF($BH$3:$CE$3,"="&amp;$DF25+'Model Setup'!$K$7,$AD25:$BA25)+'Model Setup'!$K$8*(SUMIF($BH$3:$CE$3,"&lt;"&amp;$DF25,$AD25:$BA25)+SUMIF($BH$3:$CE$3,"&gt;"&amp;$CW$4,$AD25:$BA25)),
IF(CD$3=$DF25+'Model Setup'!$L$7,SUMIF($BH$3:$CE$3,"="&amp;$DF25+'Model Setup'!$L$7,$AD25:$BA25)+'Model Setup'!$L$8*(SUMIF($BH$3:$CE$3,"&lt;"&amp;$DF25,$AD25:$BA25)+SUMIF($BH$3:$CE$3,"&gt;"&amp;$CW$4,$AD25:$BA25)),
IF(CD$3=$DF25+'Model Setup'!$M$7,SUMIF($BH$3:$CE$3,"="&amp;$DF25+'Model Setup'!$M$7,$AD25:$BA25)+'Model Setup'!$M$8*(SUMIF($BH$3:$CE$3,"&lt;"&amp;$DF25,$AD25:$BA25)+SUMIF($BH$3:$CE$3,"&gt;"&amp;$CW$4,$AD25:$BA25)),
IF(CD$3=$DF25+'Model Setup'!$N$7,SUMIF($BH$3:$CE$3,"="&amp;$DF25+'Model Setup'!$N$7,$AD25:$BA25)+'Model Setup'!$N$8*(SUMIF($BH$3:$CE$3,"&lt;"&amp;$DF25,$AD25:$BA25)+SUMIF($BH$3:$CE$3,"&gt;"&amp;$CW$4,$AD25:$BA25)),
IF(CD$3&lt;$CW$4,X25,0))))))))))))))),0)</f>
        <v>0</v>
      </c>
      <c r="CE25" s="47">
        <f>ROUND(IF(OR(CE$3&lt;$DF25,CE$3&gt;$CW$4),0,
IF(CE$3=$DF25+'Model Setup'!$B$7,SUMIF($BH$3:$CE$3,"="&amp;$DF25+'Model Setup'!$B$7,$AD25:$BA25)+'Model Setup'!$B$8*(SUMIF($BH$3:$CE$3,"&lt;"&amp;$DF25,$AD25:$BA25)+SUMIF($BH$3:$CE$3,"&gt;"&amp;$CW$4,$AD25:$BA25)),
IF(CE$3=$DF25+'Model Setup'!$C$7,SUMIF($BH$3:$CE$3,"="&amp;$DF25+'Model Setup'!$C$7,$AD25:$BA25)+'Model Setup'!$C$8*(SUMIF($BH$3:$CE$3,"&lt;"&amp;$DF25,$AD25:$BA25)+SUMIF($BH$3:$CE$3,"&gt;"&amp;$CW$4,$AD25:$BA25)),
IF(CE$3=$DF25+'Model Setup'!$D$7,SUMIF($BH$3:$CE$3,"="&amp;$DF25+'Model Setup'!$D$7,$AD25:$BA25)+'Model Setup'!$D$8*(SUMIF($BH$3:$CE$3,"&lt;"&amp;$DF25,$AD25:$BA25)+SUMIF($BH$3:$CE$3,"&gt;"&amp;$CW$4,$AD25:$BA25)),
IF(CE$3=$DF25+'Model Setup'!$E$7,SUMIF($BH$3:$CE$3,"="&amp;$DF25+'Model Setup'!$E$7,$AD25:$BA25)+'Model Setup'!$E$8*(SUMIF($BH$3:$CE$3,"&lt;"&amp;$DF25,$AD25:$BA25)+SUMIF($BH$3:$CE$3,"&gt;"&amp;$CW$4,$AD25:$BA25)),
IF(CE$3=$DF25+'Model Setup'!$F$7,SUMIF($BH$3:$CE$3,"="&amp;$DF25+'Model Setup'!$F$7,$AD25:$BA25)+'Model Setup'!$F$8*(SUMIF($BH$3:$CE$3,"&lt;"&amp;$DF25,$AD25:$BA25)+SUMIF($BH$3:$CE$3,"&gt;"&amp;$CW$4,$AD25:$BA25)),
IF(CE$3=$DF25+'Model Setup'!$G$7,SUMIF($BH$3:$CE$3,"="&amp;$DF25+'Model Setup'!$G$7,$AD25:$BA25)+'Model Setup'!$G$8*(SUMIF($BH$3:$CE$3,"&lt;"&amp;$DF25,$AD25:$BA25)+SUMIF($BH$3:$CE$3,"&gt;"&amp;$CW$4,$AD25:$BA25)),
IF(CE$3=$DF25+'Model Setup'!$H$7,SUMIF($BH$3:$CE$3,"="&amp;$DF25+'Model Setup'!$H$7,$AD25:$BA25)+'Model Setup'!$H$8*(SUMIF($BH$3:$CE$3,"&lt;"&amp;$DF25,$AD25:$BA25)+SUMIF($BH$3:$CE$3,"&gt;"&amp;$CW$4,$AD25:$BA25)),
IF(CE$3=$DF25+'Model Setup'!$I$7,SUMIF($BH$3:$CE$3,"="&amp;$DF25+'Model Setup'!$I$7,$AD25:$BA25)+'Model Setup'!$I$8*(SUMIF($BH$3:$CE$3,"&lt;"&amp;$DF25,$AD25:$BA25)+SUMIF($BH$3:$CE$3,"&gt;"&amp;$CW$4,$AD25:$BA25)),
IF(CE$3=$DF25+'Model Setup'!$J$7,SUMIF($BH$3:$CE$3,"="&amp;$DF25+'Model Setup'!$J$7,$AD25:$BA25)+'Model Setup'!$J$8*(SUMIF($BH$3:$CE$3,"&lt;"&amp;$DF25,$AD25:$BA25)+SUMIF($BH$3:$CE$3,"&gt;"&amp;$CW$4,$AD25:$BA25)),
IF(CE$3=$DF25+'Model Setup'!$K$7,SUMIF($BH$3:$CE$3,"="&amp;$DF25+'Model Setup'!$K$7,$AD25:$BA25)+'Model Setup'!$K$8*(SUMIF($BH$3:$CE$3,"&lt;"&amp;$DF25,$AD25:$BA25)+SUMIF($BH$3:$CE$3,"&gt;"&amp;$CW$4,$AD25:$BA25)),
IF(CE$3=$DF25+'Model Setup'!$L$7,SUMIF($BH$3:$CE$3,"="&amp;$DF25+'Model Setup'!$L$7,$AD25:$BA25)+'Model Setup'!$L$8*(SUMIF($BH$3:$CE$3,"&lt;"&amp;$DF25,$AD25:$BA25)+SUMIF($BH$3:$CE$3,"&gt;"&amp;$CW$4,$AD25:$BA25)),
IF(CE$3=$DF25+'Model Setup'!$M$7,SUMIF($BH$3:$CE$3,"="&amp;$DF25+'Model Setup'!$M$7,$AD25:$BA25)+'Model Setup'!$M$8*(SUMIF($BH$3:$CE$3,"&lt;"&amp;$DF25,$AD25:$BA25)+SUMIF($BH$3:$CE$3,"&gt;"&amp;$CW$4,$AD25:$BA25)),
IF(CE$3=$DF25+'Model Setup'!$N$7,SUMIF($BH$3:$CE$3,"="&amp;$DF25+'Model Setup'!$N$7,$AD25:$BA25)+'Model Setup'!$N$8*(SUMIF($BH$3:$CE$3,"&lt;"&amp;$DF25,$AD25:$BA25)+SUMIF($BH$3:$CE$3,"&gt;"&amp;$CW$4,$AD25:$BA25)),
IF(CE$3&lt;$CW$4,Y25,0))))))))))))))),0)</f>
        <v>0</v>
      </c>
      <c r="CF25" s="47">
        <f t="shared" si="3"/>
        <v>1041</v>
      </c>
      <c r="CG25" s="47">
        <f t="shared" si="4"/>
        <v>0</v>
      </c>
      <c r="CI25" s="10" t="s">
        <v>40</v>
      </c>
      <c r="CJ25" s="126">
        <f t="shared" si="9"/>
        <v>27</v>
      </c>
      <c r="CK25" s="126">
        <f t="shared" si="10"/>
        <v>101</v>
      </c>
      <c r="CL25" s="126">
        <f t="shared" si="11"/>
        <v>124</v>
      </c>
      <c r="CM25" s="126">
        <f t="shared" si="12"/>
        <v>123</v>
      </c>
      <c r="CN25" s="126">
        <f t="shared" si="13"/>
        <v>151</v>
      </c>
      <c r="CO25" s="126">
        <f t="shared" si="14"/>
        <v>111</v>
      </c>
      <c r="CP25" s="126">
        <f t="shared" si="15"/>
        <v>81</v>
      </c>
      <c r="CQ25" s="126">
        <f t="shared" si="16"/>
        <v>71</v>
      </c>
      <c r="CR25" s="126">
        <f t="shared" si="17"/>
        <v>73</v>
      </c>
      <c r="CS25" s="126">
        <f t="shared" si="18"/>
        <v>33</v>
      </c>
      <c r="CT25" s="126">
        <f t="shared" si="19"/>
        <v>52</v>
      </c>
      <c r="CU25" s="126">
        <f t="shared" si="20"/>
        <v>54</v>
      </c>
      <c r="CV25" s="126">
        <f t="shared" si="21"/>
        <v>40</v>
      </c>
      <c r="CW25" s="126">
        <f t="shared" si="22"/>
        <v>0</v>
      </c>
      <c r="CX25" s="126">
        <f t="shared" si="23"/>
        <v>0</v>
      </c>
      <c r="CY25" s="126">
        <f t="shared" si="24"/>
        <v>0</v>
      </c>
      <c r="CZ25" s="47">
        <f t="shared" si="7"/>
        <v>1041</v>
      </c>
      <c r="DC25" s="93" t="s">
        <v>40</v>
      </c>
      <c r="DD25" s="89">
        <f>FTC!E23</f>
        <v>0.20833333333333334</v>
      </c>
      <c r="DE25" s="89">
        <f>FTC!F23</f>
        <v>0.75</v>
      </c>
      <c r="DF25" s="90">
        <f t="shared" si="25"/>
        <v>5</v>
      </c>
      <c r="DG25" s="91">
        <f t="shared" si="26"/>
        <v>18</v>
      </c>
      <c r="DH25" s="91">
        <f t="shared" si="27"/>
        <v>13</v>
      </c>
    </row>
    <row r="26" spans="1:112" x14ac:dyDescent="0.35">
      <c r="A26" s="43" t="s">
        <v>41</v>
      </c>
      <c r="B26" s="6"/>
      <c r="C26" s="47">
        <v>1</v>
      </c>
      <c r="D26" s="6"/>
      <c r="E26" s="47">
        <v>2</v>
      </c>
      <c r="F26" s="47">
        <v>4</v>
      </c>
      <c r="G26" s="47">
        <v>7</v>
      </c>
      <c r="H26" s="47">
        <v>32</v>
      </c>
      <c r="I26" s="47">
        <v>31</v>
      </c>
      <c r="J26" s="47">
        <v>33</v>
      </c>
      <c r="K26" s="47">
        <v>32</v>
      </c>
      <c r="L26" s="47">
        <v>22</v>
      </c>
      <c r="M26" s="47">
        <v>10</v>
      </c>
      <c r="N26" s="47">
        <v>13</v>
      </c>
      <c r="O26" s="47">
        <v>9</v>
      </c>
      <c r="P26" s="47">
        <v>10</v>
      </c>
      <c r="Q26" s="47">
        <v>2</v>
      </c>
      <c r="R26" s="47">
        <v>3</v>
      </c>
      <c r="S26" s="47">
        <v>2</v>
      </c>
      <c r="T26" s="47">
        <v>6</v>
      </c>
      <c r="U26" s="6"/>
      <c r="V26" s="47">
        <v>1</v>
      </c>
      <c r="W26" s="47">
        <v>1</v>
      </c>
      <c r="X26" s="47">
        <v>2</v>
      </c>
      <c r="Y26" s="6"/>
      <c r="Z26" s="47">
        <f t="shared" si="0"/>
        <v>223</v>
      </c>
      <c r="AC26" s="43" t="s">
        <v>41</v>
      </c>
      <c r="AD26" s="47">
        <f>ROUND(IF(AD$3&lt;$DF26,0,
IF(AD$3=$DF26+'Model Setup'!$B$7,SUMIF($AD$3:$BA$3,"="&amp;$DF26+'Model Setup'!$B$7,$B26:$Y26)+'Model Setup'!$B$8*(SUMIF($AD$3:$BA$3,"&lt;"&amp;$DF26,$B26:$Y26)+SUMIF($AD$3:$BA$3,"&gt;="&amp;$DG26,$B26:$Y26)),
IF(AD$3=$DF26+'Model Setup'!$C$7,SUMIF($AD$3:$BA$3,"="&amp;$DF26+'Model Setup'!$C$7,$B26:$Y26)+'Model Setup'!$C$8*(SUMIF($AD$3:$BA$3,"&lt;"&amp;$DF26,$B26:$Y26)+SUMIF($AD$3:$BA$3,"&gt;="&amp;$DG26,$B26:$Y26)),
IF(AD$3=$DF26+'Model Setup'!$D$7,SUMIF($AD$3:$BA$3,"="&amp;$DF26+'Model Setup'!$D$7,$B26:$Y26)+'Model Setup'!$D$8*(SUMIF($AD$3:$BA$3,"&lt;"&amp;$DF26,$B26:$Y26)+SUMIF($AD$3:$BA$3,"&gt;="&amp;$DG26,$B26:$Y26)),
IF(AD$3=$DF26+'Model Setup'!$E$7,SUMIF($AD$3:$BA$3,"="&amp;$DF26+'Model Setup'!$E$7,$B26:$Y26)+'Model Setup'!$E$8*(SUMIF($AD$3:$BA$3,"&lt;"&amp;$DF26,$B26:$Y26)+SUMIF($AD$3:$BA$3,"&gt;="&amp;$DG26,$B26:$Y26)),
IF(AD$3=$DF26+'Model Setup'!$F$7,SUMIF($AD$3:$BA$3,"="&amp;$DF26+'Model Setup'!$F$7,$B26:$Y26)+'Model Setup'!$F$8*(SUMIF($AD$3:$BA$3,"&lt;"&amp;$DF26,$B26:$Y26)+SUMIF($AD$3:$BA$3,"&gt;="&amp;$DG26,$B26:$Y26)),
IF(AD$3=$DF26+'Model Setup'!$G$7,SUMIF($AD$3:$BA$3,"="&amp;$DF26+'Model Setup'!$G$7,$B26:$Y26)+'Model Setup'!$G$8*(SUMIF($AD$3:$BA$3,"&lt;"&amp;$DF26,$B26:$Y26)+SUMIF($AD$3:$BA$3,"&gt;="&amp;$DG26,$B26:$Y26)),
IF(AD$3=$DF26+'Model Setup'!$H$7,SUMIF($AD$3:$BA$3,"="&amp;$DF26+'Model Setup'!$H$7,$B26:$Y26)+'Model Setup'!$H$8*(SUMIF($AD$3:$BA$3,"&lt;"&amp;$DF26,$B26:$Y26)+SUMIF($AD$3:$BA$3,"&gt;="&amp;$DG26,$B26:$Y26)),
IF(AD$3=$DF26+'Model Setup'!$I$7,SUMIF($AD$3:$BA$3,"="&amp;$DF26+'Model Setup'!$I$7,$B26:$Y26)+'Model Setup'!$I$8*(SUMIF($AD$3:$BA$3,"&lt;"&amp;$DF26,$B26:$Y26)+SUMIF($AD$3:$BA$3,"&gt;="&amp;$DG26,$B26:$Y26)),
IF(AD$3=$DF26+'Model Setup'!$J$7,SUMIF($AD$3:$BA$3,"="&amp;$DF26+'Model Setup'!$J$7,$B26:$Y26)+'Model Setup'!$J$8*(SUMIF($AD$3:$BA$3,"&lt;"&amp;$DF26,$B26:$Y26)+SUMIF($AD$3:$BA$3,"&gt;="&amp;$DG26,$B26:$Y26)),
IF(AD$3=$DF26+'Model Setup'!$K$7,SUMIF($AD$3:$BA$3,"="&amp;$DF26+'Model Setup'!$K$7,$B26:$Y26)+'Model Setup'!$K$8*(SUMIF($AD$3:$BA$3,"&lt;"&amp;$DF26,$B26:$Y26)+SUMIF($AD$3:$BA$3,"&gt;="&amp;$DG26,$B26:$Y26)),
IF(AD$3=$DF26+'Model Setup'!$L$7,SUMIF($AD$3:$BA$3,"="&amp;$DF26+'Model Setup'!$L$7,$B26:$Y26)+'Model Setup'!$L$8*(SUMIF($AD$3:$BA$3,"&lt;"&amp;$DF26,$B26:$Y26)+SUMIF($AD$3:$BA$3,"&gt;="&amp;$DG26,$B26:$Y26)),
IF(AD$3=$DF26+'Model Setup'!$M$7,SUMIF($AD$3:$BA$3,"="&amp;$DF26+'Model Setup'!$M$7,$B26:$Y26)+'Model Setup'!$M$8*(SUMIF($AD$3:$BA$3,"&lt;"&amp;$DF26,$B26:$Y26)+SUMIF($AD$3:$BA$3,"&gt;="&amp;$DG26,$B26:$Y26)),
IF(AD$3=$DF26+'Model Setup'!$N$7,SUMIF($AD$3:$BA$3,"="&amp;$DF26+'Model Setup'!$N$7,$B26:$Y26)+'Model Setup'!$N$8*(SUMIF($AD$3:$BA$3,"&lt;"&amp;$DF26,$B26:$Y26)+SUMIF($AD$3:$BA$3,"&gt;="&amp;$DG26,$B26:$Y26)),
IF(AD$3&lt;$DG26,B26,0))))))))))))))),0)</f>
        <v>0</v>
      </c>
      <c r="AE26" s="47">
        <f>ROUND(IF(AE$3&lt;$DF26,0,
IF(AE$3=$DF26+'Model Setup'!$B$7,SUMIF($AD$3:$BA$3,"="&amp;$DF26+'Model Setup'!$B$7,$B26:$Y26)+'Model Setup'!$B$8*(SUMIF($AD$3:$BA$3,"&lt;"&amp;$DF26,$B26:$Y26)+SUMIF($AD$3:$BA$3,"&gt;="&amp;$DG26,$B26:$Y26)),
IF(AE$3=$DF26+'Model Setup'!$C$7,SUMIF($AD$3:$BA$3,"="&amp;$DF26+'Model Setup'!$C$7,$B26:$Y26)+'Model Setup'!$C$8*(SUMIF($AD$3:$BA$3,"&lt;"&amp;$DF26,$B26:$Y26)+SUMIF($AD$3:$BA$3,"&gt;="&amp;$DG26,$B26:$Y26)),
IF(AE$3=$DF26+'Model Setup'!$D$7,SUMIF($AD$3:$BA$3,"="&amp;$DF26+'Model Setup'!$D$7,$B26:$Y26)+'Model Setup'!$D$8*(SUMIF($AD$3:$BA$3,"&lt;"&amp;$DF26,$B26:$Y26)+SUMIF($AD$3:$BA$3,"&gt;="&amp;$DG26,$B26:$Y26)),
IF(AE$3=$DF26+'Model Setup'!$E$7,SUMIF($AD$3:$BA$3,"="&amp;$DF26+'Model Setup'!$E$7,$B26:$Y26)+'Model Setup'!$E$8*(SUMIF($AD$3:$BA$3,"&lt;"&amp;$DF26,$B26:$Y26)+SUMIF($AD$3:$BA$3,"&gt;="&amp;$DG26,$B26:$Y26)),
IF(AE$3=$DF26+'Model Setup'!$F$7,SUMIF($AD$3:$BA$3,"="&amp;$DF26+'Model Setup'!$F$7,$B26:$Y26)+'Model Setup'!$F$8*(SUMIF($AD$3:$BA$3,"&lt;"&amp;$DF26,$B26:$Y26)+SUMIF($AD$3:$BA$3,"&gt;="&amp;$DG26,$B26:$Y26)),
IF(AE$3=$DF26+'Model Setup'!$G$7,SUMIF($AD$3:$BA$3,"="&amp;$DF26+'Model Setup'!$G$7,$B26:$Y26)+'Model Setup'!$G$8*(SUMIF($AD$3:$BA$3,"&lt;"&amp;$DF26,$B26:$Y26)+SUMIF($AD$3:$BA$3,"&gt;="&amp;$DG26,$B26:$Y26)),
IF(AE$3=$DF26+'Model Setup'!$H$7,SUMIF($AD$3:$BA$3,"="&amp;$DF26+'Model Setup'!$H$7,$B26:$Y26)+'Model Setup'!$H$8*(SUMIF($AD$3:$BA$3,"&lt;"&amp;$DF26,$B26:$Y26)+SUMIF($AD$3:$BA$3,"&gt;="&amp;$DG26,$B26:$Y26)),
IF(AE$3=$DF26+'Model Setup'!$I$7,SUMIF($AD$3:$BA$3,"="&amp;$DF26+'Model Setup'!$I$7,$B26:$Y26)+'Model Setup'!$I$8*(SUMIF($AD$3:$BA$3,"&lt;"&amp;$DF26,$B26:$Y26)+SUMIF($AD$3:$BA$3,"&gt;="&amp;$DG26,$B26:$Y26)),
IF(AE$3=$DF26+'Model Setup'!$J$7,SUMIF($AD$3:$BA$3,"="&amp;$DF26+'Model Setup'!$J$7,$B26:$Y26)+'Model Setup'!$J$8*(SUMIF($AD$3:$BA$3,"&lt;"&amp;$DF26,$B26:$Y26)+SUMIF($AD$3:$BA$3,"&gt;="&amp;$DG26,$B26:$Y26)),
IF(AE$3=$DF26+'Model Setup'!$K$7,SUMIF($AD$3:$BA$3,"="&amp;$DF26+'Model Setup'!$K$7,$B26:$Y26)+'Model Setup'!$K$8*(SUMIF($AD$3:$BA$3,"&lt;"&amp;$DF26,$B26:$Y26)+SUMIF($AD$3:$BA$3,"&gt;="&amp;$DG26,$B26:$Y26)),
IF(AE$3=$DF26+'Model Setup'!$L$7,SUMIF($AD$3:$BA$3,"="&amp;$DF26+'Model Setup'!$L$7,$B26:$Y26)+'Model Setup'!$L$8*(SUMIF($AD$3:$BA$3,"&lt;"&amp;$DF26,$B26:$Y26)+SUMIF($AD$3:$BA$3,"&gt;="&amp;$DG26,$B26:$Y26)),
IF(AE$3=$DF26+'Model Setup'!$M$7,SUMIF($AD$3:$BA$3,"="&amp;$DF26+'Model Setup'!$M$7,$B26:$Y26)+'Model Setup'!$M$8*(SUMIF($AD$3:$BA$3,"&lt;"&amp;$DF26,$B26:$Y26)+SUMIF($AD$3:$BA$3,"&gt;="&amp;$DG26,$B26:$Y26)),
IF(AE$3=$DF26+'Model Setup'!$N$7,SUMIF($AD$3:$BA$3,"="&amp;$DF26+'Model Setup'!$N$7,$B26:$Y26)+'Model Setup'!$N$8*(SUMIF($AD$3:$BA$3,"&lt;"&amp;$DF26,$B26:$Y26)+SUMIF($AD$3:$BA$3,"&gt;="&amp;$DG26,$B26:$Y26)),
IF(AE$3&lt;$DG26,C26,0))))))))))))))),0)</f>
        <v>0</v>
      </c>
      <c r="AF26" s="47">
        <f>ROUND(IF(AF$3&lt;$DF26,0,
IF(AF$3=$DF26+'Model Setup'!$B$7,SUMIF($AD$3:$BA$3,"="&amp;$DF26+'Model Setup'!$B$7,$B26:$Y26)+'Model Setup'!$B$8*(SUMIF($AD$3:$BA$3,"&lt;"&amp;$DF26,$B26:$Y26)+SUMIF($AD$3:$BA$3,"&gt;="&amp;$DG26,$B26:$Y26)),
IF(AF$3=$DF26+'Model Setup'!$C$7,SUMIF($AD$3:$BA$3,"="&amp;$DF26+'Model Setup'!$C$7,$B26:$Y26)+'Model Setup'!$C$8*(SUMIF($AD$3:$BA$3,"&lt;"&amp;$DF26,$B26:$Y26)+SUMIF($AD$3:$BA$3,"&gt;="&amp;$DG26,$B26:$Y26)),
IF(AF$3=$DF26+'Model Setup'!$D$7,SUMIF($AD$3:$BA$3,"="&amp;$DF26+'Model Setup'!$D$7,$B26:$Y26)+'Model Setup'!$D$8*(SUMIF($AD$3:$BA$3,"&lt;"&amp;$DF26,$B26:$Y26)+SUMIF($AD$3:$BA$3,"&gt;="&amp;$DG26,$B26:$Y26)),
IF(AF$3=$DF26+'Model Setup'!$E$7,SUMIF($AD$3:$BA$3,"="&amp;$DF26+'Model Setup'!$E$7,$B26:$Y26)+'Model Setup'!$E$8*(SUMIF($AD$3:$BA$3,"&lt;"&amp;$DF26,$B26:$Y26)+SUMIF($AD$3:$BA$3,"&gt;="&amp;$DG26,$B26:$Y26)),
IF(AF$3=$DF26+'Model Setup'!$F$7,SUMIF($AD$3:$BA$3,"="&amp;$DF26+'Model Setup'!$F$7,$B26:$Y26)+'Model Setup'!$F$8*(SUMIF($AD$3:$BA$3,"&lt;"&amp;$DF26,$B26:$Y26)+SUMIF($AD$3:$BA$3,"&gt;="&amp;$DG26,$B26:$Y26)),
IF(AF$3=$DF26+'Model Setup'!$G$7,SUMIF($AD$3:$BA$3,"="&amp;$DF26+'Model Setup'!$G$7,$B26:$Y26)+'Model Setup'!$G$8*(SUMIF($AD$3:$BA$3,"&lt;"&amp;$DF26,$B26:$Y26)+SUMIF($AD$3:$BA$3,"&gt;="&amp;$DG26,$B26:$Y26)),
IF(AF$3=$DF26+'Model Setup'!$H$7,SUMIF($AD$3:$BA$3,"="&amp;$DF26+'Model Setup'!$H$7,$B26:$Y26)+'Model Setup'!$H$8*(SUMIF($AD$3:$BA$3,"&lt;"&amp;$DF26,$B26:$Y26)+SUMIF($AD$3:$BA$3,"&gt;="&amp;$DG26,$B26:$Y26)),
IF(AF$3=$DF26+'Model Setup'!$I$7,SUMIF($AD$3:$BA$3,"="&amp;$DF26+'Model Setup'!$I$7,$B26:$Y26)+'Model Setup'!$I$8*(SUMIF($AD$3:$BA$3,"&lt;"&amp;$DF26,$B26:$Y26)+SUMIF($AD$3:$BA$3,"&gt;="&amp;$DG26,$B26:$Y26)),
IF(AF$3=$DF26+'Model Setup'!$J$7,SUMIF($AD$3:$BA$3,"="&amp;$DF26+'Model Setup'!$J$7,$B26:$Y26)+'Model Setup'!$J$8*(SUMIF($AD$3:$BA$3,"&lt;"&amp;$DF26,$B26:$Y26)+SUMIF($AD$3:$BA$3,"&gt;="&amp;$DG26,$B26:$Y26)),
IF(AF$3=$DF26+'Model Setup'!$K$7,SUMIF($AD$3:$BA$3,"="&amp;$DF26+'Model Setup'!$K$7,$B26:$Y26)+'Model Setup'!$K$8*(SUMIF($AD$3:$BA$3,"&lt;"&amp;$DF26,$B26:$Y26)+SUMIF($AD$3:$BA$3,"&gt;="&amp;$DG26,$B26:$Y26)),
IF(AF$3=$DF26+'Model Setup'!$L$7,SUMIF($AD$3:$BA$3,"="&amp;$DF26+'Model Setup'!$L$7,$B26:$Y26)+'Model Setup'!$L$8*(SUMIF($AD$3:$BA$3,"&lt;"&amp;$DF26,$B26:$Y26)+SUMIF($AD$3:$BA$3,"&gt;="&amp;$DG26,$B26:$Y26)),
IF(AF$3=$DF26+'Model Setup'!$M$7,SUMIF($AD$3:$BA$3,"="&amp;$DF26+'Model Setup'!$M$7,$B26:$Y26)+'Model Setup'!$M$8*(SUMIF($AD$3:$BA$3,"&lt;"&amp;$DF26,$B26:$Y26)+SUMIF($AD$3:$BA$3,"&gt;="&amp;$DG26,$B26:$Y26)),
IF(AF$3=$DF26+'Model Setup'!$N$7,SUMIF($AD$3:$BA$3,"="&amp;$DF26+'Model Setup'!$N$7,$B26:$Y26)+'Model Setup'!$N$8*(SUMIF($AD$3:$BA$3,"&lt;"&amp;$DF26,$B26:$Y26)+SUMIF($AD$3:$BA$3,"&gt;="&amp;$DG26,$B26:$Y26)),
IF(AF$3&lt;$DG26,D26,0))))))))))))))),0)</f>
        <v>0</v>
      </c>
      <c r="AG26" s="47">
        <f>ROUND(IF(AG$3&lt;$DF26,0,
IF(AG$3=$DF26+'Model Setup'!$B$7,SUMIF($AD$3:$BA$3,"="&amp;$DF26+'Model Setup'!$B$7,$B26:$Y26)+'Model Setup'!$B$8*(SUMIF($AD$3:$BA$3,"&lt;"&amp;$DF26,$B26:$Y26)+SUMIF($AD$3:$BA$3,"&gt;="&amp;$DG26,$B26:$Y26)),
IF(AG$3=$DF26+'Model Setup'!$C$7,SUMIF($AD$3:$BA$3,"="&amp;$DF26+'Model Setup'!$C$7,$B26:$Y26)+'Model Setup'!$C$8*(SUMIF($AD$3:$BA$3,"&lt;"&amp;$DF26,$B26:$Y26)+SUMIF($AD$3:$BA$3,"&gt;="&amp;$DG26,$B26:$Y26)),
IF(AG$3=$DF26+'Model Setup'!$D$7,SUMIF($AD$3:$BA$3,"="&amp;$DF26+'Model Setup'!$D$7,$B26:$Y26)+'Model Setup'!$D$8*(SUMIF($AD$3:$BA$3,"&lt;"&amp;$DF26,$B26:$Y26)+SUMIF($AD$3:$BA$3,"&gt;="&amp;$DG26,$B26:$Y26)),
IF(AG$3=$DF26+'Model Setup'!$E$7,SUMIF($AD$3:$BA$3,"="&amp;$DF26+'Model Setup'!$E$7,$B26:$Y26)+'Model Setup'!$E$8*(SUMIF($AD$3:$BA$3,"&lt;"&amp;$DF26,$B26:$Y26)+SUMIF($AD$3:$BA$3,"&gt;="&amp;$DG26,$B26:$Y26)),
IF(AG$3=$DF26+'Model Setup'!$F$7,SUMIF($AD$3:$BA$3,"="&amp;$DF26+'Model Setup'!$F$7,$B26:$Y26)+'Model Setup'!$F$8*(SUMIF($AD$3:$BA$3,"&lt;"&amp;$DF26,$B26:$Y26)+SUMIF($AD$3:$BA$3,"&gt;="&amp;$DG26,$B26:$Y26)),
IF(AG$3=$DF26+'Model Setup'!$G$7,SUMIF($AD$3:$BA$3,"="&amp;$DF26+'Model Setup'!$G$7,$B26:$Y26)+'Model Setup'!$G$8*(SUMIF($AD$3:$BA$3,"&lt;"&amp;$DF26,$B26:$Y26)+SUMIF($AD$3:$BA$3,"&gt;="&amp;$DG26,$B26:$Y26)),
IF(AG$3=$DF26+'Model Setup'!$H$7,SUMIF($AD$3:$BA$3,"="&amp;$DF26+'Model Setup'!$H$7,$B26:$Y26)+'Model Setup'!$H$8*(SUMIF($AD$3:$BA$3,"&lt;"&amp;$DF26,$B26:$Y26)+SUMIF($AD$3:$BA$3,"&gt;="&amp;$DG26,$B26:$Y26)),
IF(AG$3=$DF26+'Model Setup'!$I$7,SUMIF($AD$3:$BA$3,"="&amp;$DF26+'Model Setup'!$I$7,$B26:$Y26)+'Model Setup'!$I$8*(SUMIF($AD$3:$BA$3,"&lt;"&amp;$DF26,$B26:$Y26)+SUMIF($AD$3:$BA$3,"&gt;="&amp;$DG26,$B26:$Y26)),
IF(AG$3=$DF26+'Model Setup'!$J$7,SUMIF($AD$3:$BA$3,"="&amp;$DF26+'Model Setup'!$J$7,$B26:$Y26)+'Model Setup'!$J$8*(SUMIF($AD$3:$BA$3,"&lt;"&amp;$DF26,$B26:$Y26)+SUMIF($AD$3:$BA$3,"&gt;="&amp;$DG26,$B26:$Y26)),
IF(AG$3=$DF26+'Model Setup'!$K$7,SUMIF($AD$3:$BA$3,"="&amp;$DF26+'Model Setup'!$K$7,$B26:$Y26)+'Model Setup'!$K$8*(SUMIF($AD$3:$BA$3,"&lt;"&amp;$DF26,$B26:$Y26)+SUMIF($AD$3:$BA$3,"&gt;="&amp;$DG26,$B26:$Y26)),
IF(AG$3=$DF26+'Model Setup'!$L$7,SUMIF($AD$3:$BA$3,"="&amp;$DF26+'Model Setup'!$L$7,$B26:$Y26)+'Model Setup'!$L$8*(SUMIF($AD$3:$BA$3,"&lt;"&amp;$DF26,$B26:$Y26)+SUMIF($AD$3:$BA$3,"&gt;="&amp;$DG26,$B26:$Y26)),
IF(AG$3=$DF26+'Model Setup'!$M$7,SUMIF($AD$3:$BA$3,"="&amp;$DF26+'Model Setup'!$M$7,$B26:$Y26)+'Model Setup'!$M$8*(SUMIF($AD$3:$BA$3,"&lt;"&amp;$DF26,$B26:$Y26)+SUMIF($AD$3:$BA$3,"&gt;="&amp;$DG26,$B26:$Y26)),
IF(AG$3=$DF26+'Model Setup'!$N$7,SUMIF($AD$3:$BA$3,"="&amp;$DF26+'Model Setup'!$N$7,$B26:$Y26)+'Model Setup'!$N$8*(SUMIF($AD$3:$BA$3,"&lt;"&amp;$DF26,$B26:$Y26)+SUMIF($AD$3:$BA$3,"&gt;="&amp;$DG26,$B26:$Y26)),
IF(AG$3&lt;$DG26,E26,0))))))))))))))),0)</f>
        <v>0</v>
      </c>
      <c r="AH26" s="47">
        <f>ROUND(IF(AH$3&lt;$DF26,0,
IF(AH$3=$DF26+'Model Setup'!$B$7,SUMIF($AD$3:$BA$3,"="&amp;$DF26+'Model Setup'!$B$7,$B26:$Y26)+'Model Setup'!$B$8*(SUMIF($AD$3:$BA$3,"&lt;"&amp;$DF26,$B26:$Y26)+SUMIF($AD$3:$BA$3,"&gt;="&amp;$DG26,$B26:$Y26)),
IF(AH$3=$DF26+'Model Setup'!$C$7,SUMIF($AD$3:$BA$3,"="&amp;$DF26+'Model Setup'!$C$7,$B26:$Y26)+'Model Setup'!$C$8*(SUMIF($AD$3:$BA$3,"&lt;"&amp;$DF26,$B26:$Y26)+SUMIF($AD$3:$BA$3,"&gt;="&amp;$DG26,$B26:$Y26)),
IF(AH$3=$DF26+'Model Setup'!$D$7,SUMIF($AD$3:$BA$3,"="&amp;$DF26+'Model Setup'!$D$7,$B26:$Y26)+'Model Setup'!$D$8*(SUMIF($AD$3:$BA$3,"&lt;"&amp;$DF26,$B26:$Y26)+SUMIF($AD$3:$BA$3,"&gt;="&amp;$DG26,$B26:$Y26)),
IF(AH$3=$DF26+'Model Setup'!$E$7,SUMIF($AD$3:$BA$3,"="&amp;$DF26+'Model Setup'!$E$7,$B26:$Y26)+'Model Setup'!$E$8*(SUMIF($AD$3:$BA$3,"&lt;"&amp;$DF26,$B26:$Y26)+SUMIF($AD$3:$BA$3,"&gt;="&amp;$DG26,$B26:$Y26)),
IF(AH$3=$DF26+'Model Setup'!$F$7,SUMIF($AD$3:$BA$3,"="&amp;$DF26+'Model Setup'!$F$7,$B26:$Y26)+'Model Setup'!$F$8*(SUMIF($AD$3:$BA$3,"&lt;"&amp;$DF26,$B26:$Y26)+SUMIF($AD$3:$BA$3,"&gt;="&amp;$DG26,$B26:$Y26)),
IF(AH$3=$DF26+'Model Setup'!$G$7,SUMIF($AD$3:$BA$3,"="&amp;$DF26+'Model Setup'!$G$7,$B26:$Y26)+'Model Setup'!$G$8*(SUMIF($AD$3:$BA$3,"&lt;"&amp;$DF26,$B26:$Y26)+SUMIF($AD$3:$BA$3,"&gt;="&amp;$DG26,$B26:$Y26)),
IF(AH$3=$DF26+'Model Setup'!$H$7,SUMIF($AD$3:$BA$3,"="&amp;$DF26+'Model Setup'!$H$7,$B26:$Y26)+'Model Setup'!$H$8*(SUMIF($AD$3:$BA$3,"&lt;"&amp;$DF26,$B26:$Y26)+SUMIF($AD$3:$BA$3,"&gt;="&amp;$DG26,$B26:$Y26)),
IF(AH$3=$DF26+'Model Setup'!$I$7,SUMIF($AD$3:$BA$3,"="&amp;$DF26+'Model Setup'!$I$7,$B26:$Y26)+'Model Setup'!$I$8*(SUMIF($AD$3:$BA$3,"&lt;"&amp;$DF26,$B26:$Y26)+SUMIF($AD$3:$BA$3,"&gt;="&amp;$DG26,$B26:$Y26)),
IF(AH$3=$DF26+'Model Setup'!$J$7,SUMIF($AD$3:$BA$3,"="&amp;$DF26+'Model Setup'!$J$7,$B26:$Y26)+'Model Setup'!$J$8*(SUMIF($AD$3:$BA$3,"&lt;"&amp;$DF26,$B26:$Y26)+SUMIF($AD$3:$BA$3,"&gt;="&amp;$DG26,$B26:$Y26)),
IF(AH$3=$DF26+'Model Setup'!$K$7,SUMIF($AD$3:$BA$3,"="&amp;$DF26+'Model Setup'!$K$7,$B26:$Y26)+'Model Setup'!$K$8*(SUMIF($AD$3:$BA$3,"&lt;"&amp;$DF26,$B26:$Y26)+SUMIF($AD$3:$BA$3,"&gt;="&amp;$DG26,$B26:$Y26)),
IF(AH$3=$DF26+'Model Setup'!$L$7,SUMIF($AD$3:$BA$3,"="&amp;$DF26+'Model Setup'!$L$7,$B26:$Y26)+'Model Setup'!$L$8*(SUMIF($AD$3:$BA$3,"&lt;"&amp;$DF26,$B26:$Y26)+SUMIF($AD$3:$BA$3,"&gt;="&amp;$DG26,$B26:$Y26)),
IF(AH$3=$DF26+'Model Setup'!$M$7,SUMIF($AD$3:$BA$3,"="&amp;$DF26+'Model Setup'!$M$7,$B26:$Y26)+'Model Setup'!$M$8*(SUMIF($AD$3:$BA$3,"&lt;"&amp;$DF26,$B26:$Y26)+SUMIF($AD$3:$BA$3,"&gt;="&amp;$DG26,$B26:$Y26)),
IF(AH$3=$DF26+'Model Setup'!$N$7,SUMIF($AD$3:$BA$3,"="&amp;$DF26+'Model Setup'!$N$7,$B26:$Y26)+'Model Setup'!$N$8*(SUMIF($AD$3:$BA$3,"&lt;"&amp;$DF26,$B26:$Y26)+SUMIF($AD$3:$BA$3,"&gt;="&amp;$DG26,$B26:$Y26)),
IF(AH$3&lt;$DG26,F26,0))))))))))))))),0)</f>
        <v>0</v>
      </c>
      <c r="AI26" s="47">
        <f>ROUND(IF(AI$3&lt;$DF26,0,
IF(AI$3=$DF26+'Model Setup'!$B$7,SUMIF($AD$3:$BA$3,"="&amp;$DF26+'Model Setup'!$B$7,$B26:$Y26)+'Model Setup'!$B$8*(SUMIF($AD$3:$BA$3,"&lt;"&amp;$DF26,$B26:$Y26)+SUMIF($AD$3:$BA$3,"&gt;="&amp;$DG26,$B26:$Y26)),
IF(AI$3=$DF26+'Model Setup'!$C$7,SUMIF($AD$3:$BA$3,"="&amp;$DF26+'Model Setup'!$C$7,$B26:$Y26)+'Model Setup'!$C$8*(SUMIF($AD$3:$BA$3,"&lt;"&amp;$DF26,$B26:$Y26)+SUMIF($AD$3:$BA$3,"&gt;="&amp;$DG26,$B26:$Y26)),
IF(AI$3=$DF26+'Model Setup'!$D$7,SUMIF($AD$3:$BA$3,"="&amp;$DF26+'Model Setup'!$D$7,$B26:$Y26)+'Model Setup'!$D$8*(SUMIF($AD$3:$BA$3,"&lt;"&amp;$DF26,$B26:$Y26)+SUMIF($AD$3:$BA$3,"&gt;="&amp;$DG26,$B26:$Y26)),
IF(AI$3=$DF26+'Model Setup'!$E$7,SUMIF($AD$3:$BA$3,"="&amp;$DF26+'Model Setup'!$E$7,$B26:$Y26)+'Model Setup'!$E$8*(SUMIF($AD$3:$BA$3,"&lt;"&amp;$DF26,$B26:$Y26)+SUMIF($AD$3:$BA$3,"&gt;="&amp;$DG26,$B26:$Y26)),
IF(AI$3=$DF26+'Model Setup'!$F$7,SUMIF($AD$3:$BA$3,"="&amp;$DF26+'Model Setup'!$F$7,$B26:$Y26)+'Model Setup'!$F$8*(SUMIF($AD$3:$BA$3,"&lt;"&amp;$DF26,$B26:$Y26)+SUMIF($AD$3:$BA$3,"&gt;="&amp;$DG26,$B26:$Y26)),
IF(AI$3=$DF26+'Model Setup'!$G$7,SUMIF($AD$3:$BA$3,"="&amp;$DF26+'Model Setup'!$G$7,$B26:$Y26)+'Model Setup'!$G$8*(SUMIF($AD$3:$BA$3,"&lt;"&amp;$DF26,$B26:$Y26)+SUMIF($AD$3:$BA$3,"&gt;="&amp;$DG26,$B26:$Y26)),
IF(AI$3=$DF26+'Model Setup'!$H$7,SUMIF($AD$3:$BA$3,"="&amp;$DF26+'Model Setup'!$H$7,$B26:$Y26)+'Model Setup'!$H$8*(SUMIF($AD$3:$BA$3,"&lt;"&amp;$DF26,$B26:$Y26)+SUMIF($AD$3:$BA$3,"&gt;="&amp;$DG26,$B26:$Y26)),
IF(AI$3=$DF26+'Model Setup'!$I$7,SUMIF($AD$3:$BA$3,"="&amp;$DF26+'Model Setup'!$I$7,$B26:$Y26)+'Model Setup'!$I$8*(SUMIF($AD$3:$BA$3,"&lt;"&amp;$DF26,$B26:$Y26)+SUMIF($AD$3:$BA$3,"&gt;="&amp;$DG26,$B26:$Y26)),
IF(AI$3=$DF26+'Model Setup'!$J$7,SUMIF($AD$3:$BA$3,"="&amp;$DF26+'Model Setup'!$J$7,$B26:$Y26)+'Model Setup'!$J$8*(SUMIF($AD$3:$BA$3,"&lt;"&amp;$DF26,$B26:$Y26)+SUMIF($AD$3:$BA$3,"&gt;="&amp;$DG26,$B26:$Y26)),
IF(AI$3=$DF26+'Model Setup'!$K$7,SUMIF($AD$3:$BA$3,"="&amp;$DF26+'Model Setup'!$K$7,$B26:$Y26)+'Model Setup'!$K$8*(SUMIF($AD$3:$BA$3,"&lt;"&amp;$DF26,$B26:$Y26)+SUMIF($AD$3:$BA$3,"&gt;="&amp;$DG26,$B26:$Y26)),
IF(AI$3=$DF26+'Model Setup'!$L$7,SUMIF($AD$3:$BA$3,"="&amp;$DF26+'Model Setup'!$L$7,$B26:$Y26)+'Model Setup'!$L$8*(SUMIF($AD$3:$BA$3,"&lt;"&amp;$DF26,$B26:$Y26)+SUMIF($AD$3:$BA$3,"&gt;="&amp;$DG26,$B26:$Y26)),
IF(AI$3=$DF26+'Model Setup'!$M$7,SUMIF($AD$3:$BA$3,"="&amp;$DF26+'Model Setup'!$M$7,$B26:$Y26)+'Model Setup'!$M$8*(SUMIF($AD$3:$BA$3,"&lt;"&amp;$DF26,$B26:$Y26)+SUMIF($AD$3:$BA$3,"&gt;="&amp;$DG26,$B26:$Y26)),
IF(AI$3=$DF26+'Model Setup'!$N$7,SUMIF($AD$3:$BA$3,"="&amp;$DF26+'Model Setup'!$N$7,$B26:$Y26)+'Model Setup'!$N$8*(SUMIF($AD$3:$BA$3,"&lt;"&amp;$DF26,$B26:$Y26)+SUMIF($AD$3:$BA$3,"&gt;="&amp;$DG26,$B26:$Y26)),
IF(AI$3&lt;$DG26,G26,0))))))))))))))),0)</f>
        <v>7</v>
      </c>
      <c r="AJ26" s="47">
        <f>ROUND(IF(AJ$3&lt;$DF26,0,
IF(AJ$3=$DF26+'Model Setup'!$B$7,SUMIF($AD$3:$BA$3,"="&amp;$DF26+'Model Setup'!$B$7,$B26:$Y26)+'Model Setup'!$B$8*(SUMIF($AD$3:$BA$3,"&lt;"&amp;$DF26,$B26:$Y26)+SUMIF($AD$3:$BA$3,"&gt;="&amp;$DG26,$B26:$Y26)),
IF(AJ$3=$DF26+'Model Setup'!$C$7,SUMIF($AD$3:$BA$3,"="&amp;$DF26+'Model Setup'!$C$7,$B26:$Y26)+'Model Setup'!$C$8*(SUMIF($AD$3:$BA$3,"&lt;"&amp;$DF26,$B26:$Y26)+SUMIF($AD$3:$BA$3,"&gt;="&amp;$DG26,$B26:$Y26)),
IF(AJ$3=$DF26+'Model Setup'!$D$7,SUMIF($AD$3:$BA$3,"="&amp;$DF26+'Model Setup'!$D$7,$B26:$Y26)+'Model Setup'!$D$8*(SUMIF($AD$3:$BA$3,"&lt;"&amp;$DF26,$B26:$Y26)+SUMIF($AD$3:$BA$3,"&gt;="&amp;$DG26,$B26:$Y26)),
IF(AJ$3=$DF26+'Model Setup'!$E$7,SUMIF($AD$3:$BA$3,"="&amp;$DF26+'Model Setup'!$E$7,$B26:$Y26)+'Model Setup'!$E$8*(SUMIF($AD$3:$BA$3,"&lt;"&amp;$DF26,$B26:$Y26)+SUMIF($AD$3:$BA$3,"&gt;="&amp;$DG26,$B26:$Y26)),
IF(AJ$3=$DF26+'Model Setup'!$F$7,SUMIF($AD$3:$BA$3,"="&amp;$DF26+'Model Setup'!$F$7,$B26:$Y26)+'Model Setup'!$F$8*(SUMIF($AD$3:$BA$3,"&lt;"&amp;$DF26,$B26:$Y26)+SUMIF($AD$3:$BA$3,"&gt;="&amp;$DG26,$B26:$Y26)),
IF(AJ$3=$DF26+'Model Setup'!$G$7,SUMIF($AD$3:$BA$3,"="&amp;$DF26+'Model Setup'!$G$7,$B26:$Y26)+'Model Setup'!$G$8*(SUMIF($AD$3:$BA$3,"&lt;"&amp;$DF26,$B26:$Y26)+SUMIF($AD$3:$BA$3,"&gt;="&amp;$DG26,$B26:$Y26)),
IF(AJ$3=$DF26+'Model Setup'!$H$7,SUMIF($AD$3:$BA$3,"="&amp;$DF26+'Model Setup'!$H$7,$B26:$Y26)+'Model Setup'!$H$8*(SUMIF($AD$3:$BA$3,"&lt;"&amp;$DF26,$B26:$Y26)+SUMIF($AD$3:$BA$3,"&gt;="&amp;$DG26,$B26:$Y26)),
IF(AJ$3=$DF26+'Model Setup'!$I$7,SUMIF($AD$3:$BA$3,"="&amp;$DF26+'Model Setup'!$I$7,$B26:$Y26)+'Model Setup'!$I$8*(SUMIF($AD$3:$BA$3,"&lt;"&amp;$DF26,$B26:$Y26)+SUMIF($AD$3:$BA$3,"&gt;="&amp;$DG26,$B26:$Y26)),
IF(AJ$3=$DF26+'Model Setup'!$J$7,SUMIF($AD$3:$BA$3,"="&amp;$DF26+'Model Setup'!$J$7,$B26:$Y26)+'Model Setup'!$J$8*(SUMIF($AD$3:$BA$3,"&lt;"&amp;$DF26,$B26:$Y26)+SUMIF($AD$3:$BA$3,"&gt;="&amp;$DG26,$B26:$Y26)),
IF(AJ$3=$DF26+'Model Setup'!$K$7,SUMIF($AD$3:$BA$3,"="&amp;$DF26+'Model Setup'!$K$7,$B26:$Y26)+'Model Setup'!$K$8*(SUMIF($AD$3:$BA$3,"&lt;"&amp;$DF26,$B26:$Y26)+SUMIF($AD$3:$BA$3,"&gt;="&amp;$DG26,$B26:$Y26)),
IF(AJ$3=$DF26+'Model Setup'!$L$7,SUMIF($AD$3:$BA$3,"="&amp;$DF26+'Model Setup'!$L$7,$B26:$Y26)+'Model Setup'!$L$8*(SUMIF($AD$3:$BA$3,"&lt;"&amp;$DF26,$B26:$Y26)+SUMIF($AD$3:$BA$3,"&gt;="&amp;$DG26,$B26:$Y26)),
IF(AJ$3=$DF26+'Model Setup'!$M$7,SUMIF($AD$3:$BA$3,"="&amp;$DF26+'Model Setup'!$M$7,$B26:$Y26)+'Model Setup'!$M$8*(SUMIF($AD$3:$BA$3,"&lt;"&amp;$DF26,$B26:$Y26)+SUMIF($AD$3:$BA$3,"&gt;="&amp;$DG26,$B26:$Y26)),
IF(AJ$3=$DF26+'Model Setup'!$N$7,SUMIF($AD$3:$BA$3,"="&amp;$DF26+'Model Setup'!$N$7,$B26:$Y26)+'Model Setup'!$N$8*(SUMIF($AD$3:$BA$3,"&lt;"&amp;$DF26,$B26:$Y26)+SUMIF($AD$3:$BA$3,"&gt;="&amp;$DG26,$B26:$Y26)),
IF(AJ$3&lt;$DG26,H26,0))))))))))))))),0)</f>
        <v>32</v>
      </c>
      <c r="AK26" s="47">
        <f>ROUND(IF(AK$3&lt;$DF26,0,
IF(AK$3=$DF26+'Model Setup'!$B$7,SUMIF($AD$3:$BA$3,"="&amp;$DF26+'Model Setup'!$B$7,$B26:$Y26)+'Model Setup'!$B$8*(SUMIF($AD$3:$BA$3,"&lt;"&amp;$DF26,$B26:$Y26)+SUMIF($AD$3:$BA$3,"&gt;="&amp;$DG26,$B26:$Y26)),
IF(AK$3=$DF26+'Model Setup'!$C$7,SUMIF($AD$3:$BA$3,"="&amp;$DF26+'Model Setup'!$C$7,$B26:$Y26)+'Model Setup'!$C$8*(SUMIF($AD$3:$BA$3,"&lt;"&amp;$DF26,$B26:$Y26)+SUMIF($AD$3:$BA$3,"&gt;="&amp;$DG26,$B26:$Y26)),
IF(AK$3=$DF26+'Model Setup'!$D$7,SUMIF($AD$3:$BA$3,"="&amp;$DF26+'Model Setup'!$D$7,$B26:$Y26)+'Model Setup'!$D$8*(SUMIF($AD$3:$BA$3,"&lt;"&amp;$DF26,$B26:$Y26)+SUMIF($AD$3:$BA$3,"&gt;="&amp;$DG26,$B26:$Y26)),
IF(AK$3=$DF26+'Model Setup'!$E$7,SUMIF($AD$3:$BA$3,"="&amp;$DF26+'Model Setup'!$E$7,$B26:$Y26)+'Model Setup'!$E$8*(SUMIF($AD$3:$BA$3,"&lt;"&amp;$DF26,$B26:$Y26)+SUMIF($AD$3:$BA$3,"&gt;="&amp;$DG26,$B26:$Y26)),
IF(AK$3=$DF26+'Model Setup'!$F$7,SUMIF($AD$3:$BA$3,"="&amp;$DF26+'Model Setup'!$F$7,$B26:$Y26)+'Model Setup'!$F$8*(SUMIF($AD$3:$BA$3,"&lt;"&amp;$DF26,$B26:$Y26)+SUMIF($AD$3:$BA$3,"&gt;="&amp;$DG26,$B26:$Y26)),
IF(AK$3=$DF26+'Model Setup'!$G$7,SUMIF($AD$3:$BA$3,"="&amp;$DF26+'Model Setup'!$G$7,$B26:$Y26)+'Model Setup'!$G$8*(SUMIF($AD$3:$BA$3,"&lt;"&amp;$DF26,$B26:$Y26)+SUMIF($AD$3:$BA$3,"&gt;="&amp;$DG26,$B26:$Y26)),
IF(AK$3=$DF26+'Model Setup'!$H$7,SUMIF($AD$3:$BA$3,"="&amp;$DF26+'Model Setup'!$H$7,$B26:$Y26)+'Model Setup'!$H$8*(SUMIF($AD$3:$BA$3,"&lt;"&amp;$DF26,$B26:$Y26)+SUMIF($AD$3:$BA$3,"&gt;="&amp;$DG26,$B26:$Y26)),
IF(AK$3=$DF26+'Model Setup'!$I$7,SUMIF($AD$3:$BA$3,"="&amp;$DF26+'Model Setup'!$I$7,$B26:$Y26)+'Model Setup'!$I$8*(SUMIF($AD$3:$BA$3,"&lt;"&amp;$DF26,$B26:$Y26)+SUMIF($AD$3:$BA$3,"&gt;="&amp;$DG26,$B26:$Y26)),
IF(AK$3=$DF26+'Model Setup'!$J$7,SUMIF($AD$3:$BA$3,"="&amp;$DF26+'Model Setup'!$J$7,$B26:$Y26)+'Model Setup'!$J$8*(SUMIF($AD$3:$BA$3,"&lt;"&amp;$DF26,$B26:$Y26)+SUMIF($AD$3:$BA$3,"&gt;="&amp;$DG26,$B26:$Y26)),
IF(AK$3=$DF26+'Model Setup'!$K$7,SUMIF($AD$3:$BA$3,"="&amp;$DF26+'Model Setup'!$K$7,$B26:$Y26)+'Model Setup'!$K$8*(SUMIF($AD$3:$BA$3,"&lt;"&amp;$DF26,$B26:$Y26)+SUMIF($AD$3:$BA$3,"&gt;="&amp;$DG26,$B26:$Y26)),
IF(AK$3=$DF26+'Model Setup'!$L$7,SUMIF($AD$3:$BA$3,"="&amp;$DF26+'Model Setup'!$L$7,$B26:$Y26)+'Model Setup'!$L$8*(SUMIF($AD$3:$BA$3,"&lt;"&amp;$DF26,$B26:$Y26)+SUMIF($AD$3:$BA$3,"&gt;="&amp;$DG26,$B26:$Y26)),
IF(AK$3=$DF26+'Model Setup'!$M$7,SUMIF($AD$3:$BA$3,"="&amp;$DF26+'Model Setup'!$M$7,$B26:$Y26)+'Model Setup'!$M$8*(SUMIF($AD$3:$BA$3,"&lt;"&amp;$DF26,$B26:$Y26)+SUMIF($AD$3:$BA$3,"&gt;="&amp;$DG26,$B26:$Y26)),
IF(AK$3=$DF26+'Model Setup'!$N$7,SUMIF($AD$3:$BA$3,"="&amp;$DF26+'Model Setup'!$N$7,$B26:$Y26)+'Model Setup'!$N$8*(SUMIF($AD$3:$BA$3,"&lt;"&amp;$DF26,$B26:$Y26)+SUMIF($AD$3:$BA$3,"&gt;="&amp;$DG26,$B26:$Y26)),
IF(AK$3&lt;$DG26,I26,0))))))))))))))),0)</f>
        <v>31</v>
      </c>
      <c r="AL26" s="47">
        <f>ROUND(IF(AL$3&lt;$DF26,0,
IF(AL$3=$DF26+'Model Setup'!$B$7,SUMIF($AD$3:$BA$3,"="&amp;$DF26+'Model Setup'!$B$7,$B26:$Y26)+'Model Setup'!$B$8*(SUMIF($AD$3:$BA$3,"&lt;"&amp;$DF26,$B26:$Y26)+SUMIF($AD$3:$BA$3,"&gt;="&amp;$DG26,$B26:$Y26)),
IF(AL$3=$DF26+'Model Setup'!$C$7,SUMIF($AD$3:$BA$3,"="&amp;$DF26+'Model Setup'!$C$7,$B26:$Y26)+'Model Setup'!$C$8*(SUMIF($AD$3:$BA$3,"&lt;"&amp;$DF26,$B26:$Y26)+SUMIF($AD$3:$BA$3,"&gt;="&amp;$DG26,$B26:$Y26)),
IF(AL$3=$DF26+'Model Setup'!$D$7,SUMIF($AD$3:$BA$3,"="&amp;$DF26+'Model Setup'!$D$7,$B26:$Y26)+'Model Setup'!$D$8*(SUMIF($AD$3:$BA$3,"&lt;"&amp;$DF26,$B26:$Y26)+SUMIF($AD$3:$BA$3,"&gt;="&amp;$DG26,$B26:$Y26)),
IF(AL$3=$DF26+'Model Setup'!$E$7,SUMIF($AD$3:$BA$3,"="&amp;$DF26+'Model Setup'!$E$7,$B26:$Y26)+'Model Setup'!$E$8*(SUMIF($AD$3:$BA$3,"&lt;"&amp;$DF26,$B26:$Y26)+SUMIF($AD$3:$BA$3,"&gt;="&amp;$DG26,$B26:$Y26)),
IF(AL$3=$DF26+'Model Setup'!$F$7,SUMIF($AD$3:$BA$3,"="&amp;$DF26+'Model Setup'!$F$7,$B26:$Y26)+'Model Setup'!$F$8*(SUMIF($AD$3:$BA$3,"&lt;"&amp;$DF26,$B26:$Y26)+SUMIF($AD$3:$BA$3,"&gt;="&amp;$DG26,$B26:$Y26)),
IF(AL$3=$DF26+'Model Setup'!$G$7,SUMIF($AD$3:$BA$3,"="&amp;$DF26+'Model Setup'!$G$7,$B26:$Y26)+'Model Setup'!$G$8*(SUMIF($AD$3:$BA$3,"&lt;"&amp;$DF26,$B26:$Y26)+SUMIF($AD$3:$BA$3,"&gt;="&amp;$DG26,$B26:$Y26)),
IF(AL$3=$DF26+'Model Setup'!$H$7,SUMIF($AD$3:$BA$3,"="&amp;$DF26+'Model Setup'!$H$7,$B26:$Y26)+'Model Setup'!$H$8*(SUMIF($AD$3:$BA$3,"&lt;"&amp;$DF26,$B26:$Y26)+SUMIF($AD$3:$BA$3,"&gt;="&amp;$DG26,$B26:$Y26)),
IF(AL$3=$DF26+'Model Setup'!$I$7,SUMIF($AD$3:$BA$3,"="&amp;$DF26+'Model Setup'!$I$7,$B26:$Y26)+'Model Setup'!$I$8*(SUMIF($AD$3:$BA$3,"&lt;"&amp;$DF26,$B26:$Y26)+SUMIF($AD$3:$BA$3,"&gt;="&amp;$DG26,$B26:$Y26)),
IF(AL$3=$DF26+'Model Setup'!$J$7,SUMIF($AD$3:$BA$3,"="&amp;$DF26+'Model Setup'!$J$7,$B26:$Y26)+'Model Setup'!$J$8*(SUMIF($AD$3:$BA$3,"&lt;"&amp;$DF26,$B26:$Y26)+SUMIF($AD$3:$BA$3,"&gt;="&amp;$DG26,$B26:$Y26)),
IF(AL$3=$DF26+'Model Setup'!$K$7,SUMIF($AD$3:$BA$3,"="&amp;$DF26+'Model Setup'!$K$7,$B26:$Y26)+'Model Setup'!$K$8*(SUMIF($AD$3:$BA$3,"&lt;"&amp;$DF26,$B26:$Y26)+SUMIF($AD$3:$BA$3,"&gt;="&amp;$DG26,$B26:$Y26)),
IF(AL$3=$DF26+'Model Setup'!$L$7,SUMIF($AD$3:$BA$3,"="&amp;$DF26+'Model Setup'!$L$7,$B26:$Y26)+'Model Setup'!$L$8*(SUMIF($AD$3:$BA$3,"&lt;"&amp;$DF26,$B26:$Y26)+SUMIF($AD$3:$BA$3,"&gt;="&amp;$DG26,$B26:$Y26)),
IF(AL$3=$DF26+'Model Setup'!$M$7,SUMIF($AD$3:$BA$3,"="&amp;$DF26+'Model Setup'!$M$7,$B26:$Y26)+'Model Setup'!$M$8*(SUMIF($AD$3:$BA$3,"&lt;"&amp;$DF26,$B26:$Y26)+SUMIF($AD$3:$BA$3,"&gt;="&amp;$DG26,$B26:$Y26)),
IF(AL$3=$DF26+'Model Setup'!$N$7,SUMIF($AD$3:$BA$3,"="&amp;$DF26+'Model Setup'!$N$7,$B26:$Y26)+'Model Setup'!$N$8*(SUMIF($AD$3:$BA$3,"&lt;"&amp;$DF26,$B26:$Y26)+SUMIF($AD$3:$BA$3,"&gt;="&amp;$DG26,$B26:$Y26)),
IF(AL$3&lt;$DG26,J26,0))))))))))))))),0)</f>
        <v>33</v>
      </c>
      <c r="AM26" s="47">
        <f>ROUND(IF(AM$3&lt;$DF26,0,
IF(AM$3=$DF26+'Model Setup'!$B$7,SUMIF($AD$3:$BA$3,"="&amp;$DF26+'Model Setup'!$B$7,$B26:$Y26)+'Model Setup'!$B$8*(SUMIF($AD$3:$BA$3,"&lt;"&amp;$DF26,$B26:$Y26)+SUMIF($AD$3:$BA$3,"&gt;="&amp;$DG26,$B26:$Y26)),
IF(AM$3=$DF26+'Model Setup'!$C$7,SUMIF($AD$3:$BA$3,"="&amp;$DF26+'Model Setup'!$C$7,$B26:$Y26)+'Model Setup'!$C$8*(SUMIF($AD$3:$BA$3,"&lt;"&amp;$DF26,$B26:$Y26)+SUMIF($AD$3:$BA$3,"&gt;="&amp;$DG26,$B26:$Y26)),
IF(AM$3=$DF26+'Model Setup'!$D$7,SUMIF($AD$3:$BA$3,"="&amp;$DF26+'Model Setup'!$D$7,$B26:$Y26)+'Model Setup'!$D$8*(SUMIF($AD$3:$BA$3,"&lt;"&amp;$DF26,$B26:$Y26)+SUMIF($AD$3:$BA$3,"&gt;="&amp;$DG26,$B26:$Y26)),
IF(AM$3=$DF26+'Model Setup'!$E$7,SUMIF($AD$3:$BA$3,"="&amp;$DF26+'Model Setup'!$E$7,$B26:$Y26)+'Model Setup'!$E$8*(SUMIF($AD$3:$BA$3,"&lt;"&amp;$DF26,$B26:$Y26)+SUMIF($AD$3:$BA$3,"&gt;="&amp;$DG26,$B26:$Y26)),
IF(AM$3=$DF26+'Model Setup'!$F$7,SUMIF($AD$3:$BA$3,"="&amp;$DF26+'Model Setup'!$F$7,$B26:$Y26)+'Model Setup'!$F$8*(SUMIF($AD$3:$BA$3,"&lt;"&amp;$DF26,$B26:$Y26)+SUMIF($AD$3:$BA$3,"&gt;="&amp;$DG26,$B26:$Y26)),
IF(AM$3=$DF26+'Model Setup'!$G$7,SUMIF($AD$3:$BA$3,"="&amp;$DF26+'Model Setup'!$G$7,$B26:$Y26)+'Model Setup'!$G$8*(SUMIF($AD$3:$BA$3,"&lt;"&amp;$DF26,$B26:$Y26)+SUMIF($AD$3:$BA$3,"&gt;="&amp;$DG26,$B26:$Y26)),
IF(AM$3=$DF26+'Model Setup'!$H$7,SUMIF($AD$3:$BA$3,"="&amp;$DF26+'Model Setup'!$H$7,$B26:$Y26)+'Model Setup'!$H$8*(SUMIF($AD$3:$BA$3,"&lt;"&amp;$DF26,$B26:$Y26)+SUMIF($AD$3:$BA$3,"&gt;="&amp;$DG26,$B26:$Y26)),
IF(AM$3=$DF26+'Model Setup'!$I$7,SUMIF($AD$3:$BA$3,"="&amp;$DF26+'Model Setup'!$I$7,$B26:$Y26)+'Model Setup'!$I$8*(SUMIF($AD$3:$BA$3,"&lt;"&amp;$DF26,$B26:$Y26)+SUMIF($AD$3:$BA$3,"&gt;="&amp;$DG26,$B26:$Y26)),
IF(AM$3=$DF26+'Model Setup'!$J$7,SUMIF($AD$3:$BA$3,"="&amp;$DF26+'Model Setup'!$J$7,$B26:$Y26)+'Model Setup'!$J$8*(SUMIF($AD$3:$BA$3,"&lt;"&amp;$DF26,$B26:$Y26)+SUMIF($AD$3:$BA$3,"&gt;="&amp;$DG26,$B26:$Y26)),
IF(AM$3=$DF26+'Model Setup'!$K$7,SUMIF($AD$3:$BA$3,"="&amp;$DF26+'Model Setup'!$K$7,$B26:$Y26)+'Model Setup'!$K$8*(SUMIF($AD$3:$BA$3,"&lt;"&amp;$DF26,$B26:$Y26)+SUMIF($AD$3:$BA$3,"&gt;="&amp;$DG26,$B26:$Y26)),
IF(AM$3=$DF26+'Model Setup'!$L$7,SUMIF($AD$3:$BA$3,"="&amp;$DF26+'Model Setup'!$L$7,$B26:$Y26)+'Model Setup'!$L$8*(SUMIF($AD$3:$BA$3,"&lt;"&amp;$DF26,$B26:$Y26)+SUMIF($AD$3:$BA$3,"&gt;="&amp;$DG26,$B26:$Y26)),
IF(AM$3=$DF26+'Model Setup'!$M$7,SUMIF($AD$3:$BA$3,"="&amp;$DF26+'Model Setup'!$M$7,$B26:$Y26)+'Model Setup'!$M$8*(SUMIF($AD$3:$BA$3,"&lt;"&amp;$DF26,$B26:$Y26)+SUMIF($AD$3:$BA$3,"&gt;="&amp;$DG26,$B26:$Y26)),
IF(AM$3=$DF26+'Model Setup'!$N$7,SUMIF($AD$3:$BA$3,"="&amp;$DF26+'Model Setup'!$N$7,$B26:$Y26)+'Model Setup'!$N$8*(SUMIF($AD$3:$BA$3,"&lt;"&amp;$DF26,$B26:$Y26)+SUMIF($AD$3:$BA$3,"&gt;="&amp;$DG26,$B26:$Y26)),
IF(AM$3&lt;$DG26,K26,0))))))))))))))),0)</f>
        <v>32</v>
      </c>
      <c r="AN26" s="47">
        <f>ROUND(IF(AN$3&lt;$DF26,0,
IF(AN$3=$DF26+'Model Setup'!$B$7,SUMIF($AD$3:$BA$3,"="&amp;$DF26+'Model Setup'!$B$7,$B26:$Y26)+'Model Setup'!$B$8*(SUMIF($AD$3:$BA$3,"&lt;"&amp;$DF26,$B26:$Y26)+SUMIF($AD$3:$BA$3,"&gt;="&amp;$DG26,$B26:$Y26)),
IF(AN$3=$DF26+'Model Setup'!$C$7,SUMIF($AD$3:$BA$3,"="&amp;$DF26+'Model Setup'!$C$7,$B26:$Y26)+'Model Setup'!$C$8*(SUMIF($AD$3:$BA$3,"&lt;"&amp;$DF26,$B26:$Y26)+SUMIF($AD$3:$BA$3,"&gt;="&amp;$DG26,$B26:$Y26)),
IF(AN$3=$DF26+'Model Setup'!$D$7,SUMIF($AD$3:$BA$3,"="&amp;$DF26+'Model Setup'!$D$7,$B26:$Y26)+'Model Setup'!$D$8*(SUMIF($AD$3:$BA$3,"&lt;"&amp;$DF26,$B26:$Y26)+SUMIF($AD$3:$BA$3,"&gt;="&amp;$DG26,$B26:$Y26)),
IF(AN$3=$DF26+'Model Setup'!$E$7,SUMIF($AD$3:$BA$3,"="&amp;$DF26+'Model Setup'!$E$7,$B26:$Y26)+'Model Setup'!$E$8*(SUMIF($AD$3:$BA$3,"&lt;"&amp;$DF26,$B26:$Y26)+SUMIF($AD$3:$BA$3,"&gt;="&amp;$DG26,$B26:$Y26)),
IF(AN$3=$DF26+'Model Setup'!$F$7,SUMIF($AD$3:$BA$3,"="&amp;$DF26+'Model Setup'!$F$7,$B26:$Y26)+'Model Setup'!$F$8*(SUMIF($AD$3:$BA$3,"&lt;"&amp;$DF26,$B26:$Y26)+SUMIF($AD$3:$BA$3,"&gt;="&amp;$DG26,$B26:$Y26)),
IF(AN$3=$DF26+'Model Setup'!$G$7,SUMIF($AD$3:$BA$3,"="&amp;$DF26+'Model Setup'!$G$7,$B26:$Y26)+'Model Setup'!$G$8*(SUMIF($AD$3:$BA$3,"&lt;"&amp;$DF26,$B26:$Y26)+SUMIF($AD$3:$BA$3,"&gt;="&amp;$DG26,$B26:$Y26)),
IF(AN$3=$DF26+'Model Setup'!$H$7,SUMIF($AD$3:$BA$3,"="&amp;$DF26+'Model Setup'!$H$7,$B26:$Y26)+'Model Setup'!$H$8*(SUMIF($AD$3:$BA$3,"&lt;"&amp;$DF26,$B26:$Y26)+SUMIF($AD$3:$BA$3,"&gt;="&amp;$DG26,$B26:$Y26)),
IF(AN$3=$DF26+'Model Setup'!$I$7,SUMIF($AD$3:$BA$3,"="&amp;$DF26+'Model Setup'!$I$7,$B26:$Y26)+'Model Setup'!$I$8*(SUMIF($AD$3:$BA$3,"&lt;"&amp;$DF26,$B26:$Y26)+SUMIF($AD$3:$BA$3,"&gt;="&amp;$DG26,$B26:$Y26)),
IF(AN$3=$DF26+'Model Setup'!$J$7,SUMIF($AD$3:$BA$3,"="&amp;$DF26+'Model Setup'!$J$7,$B26:$Y26)+'Model Setup'!$J$8*(SUMIF($AD$3:$BA$3,"&lt;"&amp;$DF26,$B26:$Y26)+SUMIF($AD$3:$BA$3,"&gt;="&amp;$DG26,$B26:$Y26)),
IF(AN$3=$DF26+'Model Setup'!$K$7,SUMIF($AD$3:$BA$3,"="&amp;$DF26+'Model Setup'!$K$7,$B26:$Y26)+'Model Setup'!$K$8*(SUMIF($AD$3:$BA$3,"&lt;"&amp;$DF26,$B26:$Y26)+SUMIF($AD$3:$BA$3,"&gt;="&amp;$DG26,$B26:$Y26)),
IF(AN$3=$DF26+'Model Setup'!$L$7,SUMIF($AD$3:$BA$3,"="&amp;$DF26+'Model Setup'!$L$7,$B26:$Y26)+'Model Setup'!$L$8*(SUMIF($AD$3:$BA$3,"&lt;"&amp;$DF26,$B26:$Y26)+SUMIF($AD$3:$BA$3,"&gt;="&amp;$DG26,$B26:$Y26)),
IF(AN$3=$DF26+'Model Setup'!$M$7,SUMIF($AD$3:$BA$3,"="&amp;$DF26+'Model Setup'!$M$7,$B26:$Y26)+'Model Setup'!$M$8*(SUMIF($AD$3:$BA$3,"&lt;"&amp;$DF26,$B26:$Y26)+SUMIF($AD$3:$BA$3,"&gt;="&amp;$DG26,$B26:$Y26)),
IF(AN$3=$DF26+'Model Setup'!$N$7,SUMIF($AD$3:$BA$3,"="&amp;$DF26+'Model Setup'!$N$7,$B26:$Y26)+'Model Setup'!$N$8*(SUMIF($AD$3:$BA$3,"&lt;"&amp;$DF26,$B26:$Y26)+SUMIF($AD$3:$BA$3,"&gt;="&amp;$DG26,$B26:$Y26)),
IF(AN$3&lt;$DG26,L26,0))))))))))))))),0)</f>
        <v>22</v>
      </c>
      <c r="AO26" s="47">
        <f>ROUND(IF(AO$3&lt;$DF26,0,
IF(AO$3=$DF26+'Model Setup'!$B$7,SUMIF($AD$3:$BA$3,"="&amp;$DF26+'Model Setup'!$B$7,$B26:$Y26)+'Model Setup'!$B$8*(SUMIF($AD$3:$BA$3,"&lt;"&amp;$DF26,$B26:$Y26)+SUMIF($AD$3:$BA$3,"&gt;="&amp;$DG26,$B26:$Y26)),
IF(AO$3=$DF26+'Model Setup'!$C$7,SUMIF($AD$3:$BA$3,"="&amp;$DF26+'Model Setup'!$C$7,$B26:$Y26)+'Model Setup'!$C$8*(SUMIF($AD$3:$BA$3,"&lt;"&amp;$DF26,$B26:$Y26)+SUMIF($AD$3:$BA$3,"&gt;="&amp;$DG26,$B26:$Y26)),
IF(AO$3=$DF26+'Model Setup'!$D$7,SUMIF($AD$3:$BA$3,"="&amp;$DF26+'Model Setup'!$D$7,$B26:$Y26)+'Model Setup'!$D$8*(SUMIF($AD$3:$BA$3,"&lt;"&amp;$DF26,$B26:$Y26)+SUMIF($AD$3:$BA$3,"&gt;="&amp;$DG26,$B26:$Y26)),
IF(AO$3=$DF26+'Model Setup'!$E$7,SUMIF($AD$3:$BA$3,"="&amp;$DF26+'Model Setup'!$E$7,$B26:$Y26)+'Model Setup'!$E$8*(SUMIF($AD$3:$BA$3,"&lt;"&amp;$DF26,$B26:$Y26)+SUMIF($AD$3:$BA$3,"&gt;="&amp;$DG26,$B26:$Y26)),
IF(AO$3=$DF26+'Model Setup'!$F$7,SUMIF($AD$3:$BA$3,"="&amp;$DF26+'Model Setup'!$F$7,$B26:$Y26)+'Model Setup'!$F$8*(SUMIF($AD$3:$BA$3,"&lt;"&amp;$DF26,$B26:$Y26)+SUMIF($AD$3:$BA$3,"&gt;="&amp;$DG26,$B26:$Y26)),
IF(AO$3=$DF26+'Model Setup'!$G$7,SUMIF($AD$3:$BA$3,"="&amp;$DF26+'Model Setup'!$G$7,$B26:$Y26)+'Model Setup'!$G$8*(SUMIF($AD$3:$BA$3,"&lt;"&amp;$DF26,$B26:$Y26)+SUMIF($AD$3:$BA$3,"&gt;="&amp;$DG26,$B26:$Y26)),
IF(AO$3=$DF26+'Model Setup'!$H$7,SUMIF($AD$3:$BA$3,"="&amp;$DF26+'Model Setup'!$H$7,$B26:$Y26)+'Model Setup'!$H$8*(SUMIF($AD$3:$BA$3,"&lt;"&amp;$DF26,$B26:$Y26)+SUMIF($AD$3:$BA$3,"&gt;="&amp;$DG26,$B26:$Y26)),
IF(AO$3=$DF26+'Model Setup'!$I$7,SUMIF($AD$3:$BA$3,"="&amp;$DF26+'Model Setup'!$I$7,$B26:$Y26)+'Model Setup'!$I$8*(SUMIF($AD$3:$BA$3,"&lt;"&amp;$DF26,$B26:$Y26)+SUMIF($AD$3:$BA$3,"&gt;="&amp;$DG26,$B26:$Y26)),
IF(AO$3=$DF26+'Model Setup'!$J$7,SUMIF($AD$3:$BA$3,"="&amp;$DF26+'Model Setup'!$J$7,$B26:$Y26)+'Model Setup'!$J$8*(SUMIF($AD$3:$BA$3,"&lt;"&amp;$DF26,$B26:$Y26)+SUMIF($AD$3:$BA$3,"&gt;="&amp;$DG26,$B26:$Y26)),
IF(AO$3=$DF26+'Model Setup'!$K$7,SUMIF($AD$3:$BA$3,"="&amp;$DF26+'Model Setup'!$K$7,$B26:$Y26)+'Model Setup'!$K$8*(SUMIF($AD$3:$BA$3,"&lt;"&amp;$DF26,$B26:$Y26)+SUMIF($AD$3:$BA$3,"&gt;="&amp;$DG26,$B26:$Y26)),
IF(AO$3=$DF26+'Model Setup'!$L$7,SUMIF($AD$3:$BA$3,"="&amp;$DF26+'Model Setup'!$L$7,$B26:$Y26)+'Model Setup'!$L$8*(SUMIF($AD$3:$BA$3,"&lt;"&amp;$DF26,$B26:$Y26)+SUMIF($AD$3:$BA$3,"&gt;="&amp;$DG26,$B26:$Y26)),
IF(AO$3=$DF26+'Model Setup'!$M$7,SUMIF($AD$3:$BA$3,"="&amp;$DF26+'Model Setup'!$M$7,$B26:$Y26)+'Model Setup'!$M$8*(SUMIF($AD$3:$BA$3,"&lt;"&amp;$DF26,$B26:$Y26)+SUMIF($AD$3:$BA$3,"&gt;="&amp;$DG26,$B26:$Y26)),
IF(AO$3=$DF26+'Model Setup'!$N$7,SUMIF($AD$3:$BA$3,"="&amp;$DF26+'Model Setup'!$N$7,$B26:$Y26)+'Model Setup'!$N$8*(SUMIF($AD$3:$BA$3,"&lt;"&amp;$DF26,$B26:$Y26)+SUMIF($AD$3:$BA$3,"&gt;="&amp;$DG26,$B26:$Y26)),
IF(AO$3&lt;$DG26,M26,0))))))))))))))),0)</f>
        <v>10</v>
      </c>
      <c r="AP26" s="47">
        <f>ROUND(IF(AP$3&lt;$DF26,0,
IF(AP$3=$DF26+'Model Setup'!$B$7,SUMIF($AD$3:$BA$3,"="&amp;$DF26+'Model Setup'!$B$7,$B26:$Y26)+'Model Setup'!$B$8*(SUMIF($AD$3:$BA$3,"&lt;"&amp;$DF26,$B26:$Y26)+SUMIF($AD$3:$BA$3,"&gt;="&amp;$DG26,$B26:$Y26)),
IF(AP$3=$DF26+'Model Setup'!$C$7,SUMIF($AD$3:$BA$3,"="&amp;$DF26+'Model Setup'!$C$7,$B26:$Y26)+'Model Setup'!$C$8*(SUMIF($AD$3:$BA$3,"&lt;"&amp;$DF26,$B26:$Y26)+SUMIF($AD$3:$BA$3,"&gt;="&amp;$DG26,$B26:$Y26)),
IF(AP$3=$DF26+'Model Setup'!$D$7,SUMIF($AD$3:$BA$3,"="&amp;$DF26+'Model Setup'!$D$7,$B26:$Y26)+'Model Setup'!$D$8*(SUMIF($AD$3:$BA$3,"&lt;"&amp;$DF26,$B26:$Y26)+SUMIF($AD$3:$BA$3,"&gt;="&amp;$DG26,$B26:$Y26)),
IF(AP$3=$DF26+'Model Setup'!$E$7,SUMIF($AD$3:$BA$3,"="&amp;$DF26+'Model Setup'!$E$7,$B26:$Y26)+'Model Setup'!$E$8*(SUMIF($AD$3:$BA$3,"&lt;"&amp;$DF26,$B26:$Y26)+SUMIF($AD$3:$BA$3,"&gt;="&amp;$DG26,$B26:$Y26)),
IF(AP$3=$DF26+'Model Setup'!$F$7,SUMIF($AD$3:$BA$3,"="&amp;$DF26+'Model Setup'!$F$7,$B26:$Y26)+'Model Setup'!$F$8*(SUMIF($AD$3:$BA$3,"&lt;"&amp;$DF26,$B26:$Y26)+SUMIF($AD$3:$BA$3,"&gt;="&amp;$DG26,$B26:$Y26)),
IF(AP$3=$DF26+'Model Setup'!$G$7,SUMIF($AD$3:$BA$3,"="&amp;$DF26+'Model Setup'!$G$7,$B26:$Y26)+'Model Setup'!$G$8*(SUMIF($AD$3:$BA$3,"&lt;"&amp;$DF26,$B26:$Y26)+SUMIF($AD$3:$BA$3,"&gt;="&amp;$DG26,$B26:$Y26)),
IF(AP$3=$DF26+'Model Setup'!$H$7,SUMIF($AD$3:$BA$3,"="&amp;$DF26+'Model Setup'!$H$7,$B26:$Y26)+'Model Setup'!$H$8*(SUMIF($AD$3:$BA$3,"&lt;"&amp;$DF26,$B26:$Y26)+SUMIF($AD$3:$BA$3,"&gt;="&amp;$DG26,$B26:$Y26)),
IF(AP$3=$DF26+'Model Setup'!$I$7,SUMIF($AD$3:$BA$3,"="&amp;$DF26+'Model Setup'!$I$7,$B26:$Y26)+'Model Setup'!$I$8*(SUMIF($AD$3:$BA$3,"&lt;"&amp;$DF26,$B26:$Y26)+SUMIF($AD$3:$BA$3,"&gt;="&amp;$DG26,$B26:$Y26)),
IF(AP$3=$DF26+'Model Setup'!$J$7,SUMIF($AD$3:$BA$3,"="&amp;$DF26+'Model Setup'!$J$7,$B26:$Y26)+'Model Setup'!$J$8*(SUMIF($AD$3:$BA$3,"&lt;"&amp;$DF26,$B26:$Y26)+SUMIF($AD$3:$BA$3,"&gt;="&amp;$DG26,$B26:$Y26)),
IF(AP$3=$DF26+'Model Setup'!$K$7,SUMIF($AD$3:$BA$3,"="&amp;$DF26+'Model Setup'!$K$7,$B26:$Y26)+'Model Setup'!$K$8*(SUMIF($AD$3:$BA$3,"&lt;"&amp;$DF26,$B26:$Y26)+SUMIF($AD$3:$BA$3,"&gt;="&amp;$DG26,$B26:$Y26)),
IF(AP$3=$DF26+'Model Setup'!$L$7,SUMIF($AD$3:$BA$3,"="&amp;$DF26+'Model Setup'!$L$7,$B26:$Y26)+'Model Setup'!$L$8*(SUMIF($AD$3:$BA$3,"&lt;"&amp;$DF26,$B26:$Y26)+SUMIF($AD$3:$BA$3,"&gt;="&amp;$DG26,$B26:$Y26)),
IF(AP$3=$DF26+'Model Setup'!$M$7,SUMIF($AD$3:$BA$3,"="&amp;$DF26+'Model Setup'!$M$7,$B26:$Y26)+'Model Setup'!$M$8*(SUMIF($AD$3:$BA$3,"&lt;"&amp;$DF26,$B26:$Y26)+SUMIF($AD$3:$BA$3,"&gt;="&amp;$DG26,$B26:$Y26)),
IF(AP$3=$DF26+'Model Setup'!$N$7,SUMIF($AD$3:$BA$3,"="&amp;$DF26+'Model Setup'!$N$7,$B26:$Y26)+'Model Setup'!$N$8*(SUMIF($AD$3:$BA$3,"&lt;"&amp;$DF26,$B26:$Y26)+SUMIF($AD$3:$BA$3,"&gt;="&amp;$DG26,$B26:$Y26)),
IF(AP$3&lt;$DG26,N26,0))))))))))))))),0)</f>
        <v>13</v>
      </c>
      <c r="AQ26" s="47">
        <f>ROUND(IF(AQ$3&lt;$DF26,0,
IF(AQ$3=$DF26+'Model Setup'!$B$7,SUMIF($AD$3:$BA$3,"="&amp;$DF26+'Model Setup'!$B$7,$B26:$Y26)+'Model Setup'!$B$8*(SUMIF($AD$3:$BA$3,"&lt;"&amp;$DF26,$B26:$Y26)+SUMIF($AD$3:$BA$3,"&gt;="&amp;$DG26,$B26:$Y26)),
IF(AQ$3=$DF26+'Model Setup'!$C$7,SUMIF($AD$3:$BA$3,"="&amp;$DF26+'Model Setup'!$C$7,$B26:$Y26)+'Model Setup'!$C$8*(SUMIF($AD$3:$BA$3,"&lt;"&amp;$DF26,$B26:$Y26)+SUMIF($AD$3:$BA$3,"&gt;="&amp;$DG26,$B26:$Y26)),
IF(AQ$3=$DF26+'Model Setup'!$D$7,SUMIF($AD$3:$BA$3,"="&amp;$DF26+'Model Setup'!$D$7,$B26:$Y26)+'Model Setup'!$D$8*(SUMIF($AD$3:$BA$3,"&lt;"&amp;$DF26,$B26:$Y26)+SUMIF($AD$3:$BA$3,"&gt;="&amp;$DG26,$B26:$Y26)),
IF(AQ$3=$DF26+'Model Setup'!$E$7,SUMIF($AD$3:$BA$3,"="&amp;$DF26+'Model Setup'!$E$7,$B26:$Y26)+'Model Setup'!$E$8*(SUMIF($AD$3:$BA$3,"&lt;"&amp;$DF26,$B26:$Y26)+SUMIF($AD$3:$BA$3,"&gt;="&amp;$DG26,$B26:$Y26)),
IF(AQ$3=$DF26+'Model Setup'!$F$7,SUMIF($AD$3:$BA$3,"="&amp;$DF26+'Model Setup'!$F$7,$B26:$Y26)+'Model Setup'!$F$8*(SUMIF($AD$3:$BA$3,"&lt;"&amp;$DF26,$B26:$Y26)+SUMIF($AD$3:$BA$3,"&gt;="&amp;$DG26,$B26:$Y26)),
IF(AQ$3=$DF26+'Model Setup'!$G$7,SUMIF($AD$3:$BA$3,"="&amp;$DF26+'Model Setup'!$G$7,$B26:$Y26)+'Model Setup'!$G$8*(SUMIF($AD$3:$BA$3,"&lt;"&amp;$DF26,$B26:$Y26)+SUMIF($AD$3:$BA$3,"&gt;="&amp;$DG26,$B26:$Y26)),
IF(AQ$3=$DF26+'Model Setup'!$H$7,SUMIF($AD$3:$BA$3,"="&amp;$DF26+'Model Setup'!$H$7,$B26:$Y26)+'Model Setup'!$H$8*(SUMIF($AD$3:$BA$3,"&lt;"&amp;$DF26,$B26:$Y26)+SUMIF($AD$3:$BA$3,"&gt;="&amp;$DG26,$B26:$Y26)),
IF(AQ$3=$DF26+'Model Setup'!$I$7,SUMIF($AD$3:$BA$3,"="&amp;$DF26+'Model Setup'!$I$7,$B26:$Y26)+'Model Setup'!$I$8*(SUMIF($AD$3:$BA$3,"&lt;"&amp;$DF26,$B26:$Y26)+SUMIF($AD$3:$BA$3,"&gt;="&amp;$DG26,$B26:$Y26)),
IF(AQ$3=$DF26+'Model Setup'!$J$7,SUMIF($AD$3:$BA$3,"="&amp;$DF26+'Model Setup'!$J$7,$B26:$Y26)+'Model Setup'!$J$8*(SUMIF($AD$3:$BA$3,"&lt;"&amp;$DF26,$B26:$Y26)+SUMIF($AD$3:$BA$3,"&gt;="&amp;$DG26,$B26:$Y26)),
IF(AQ$3=$DF26+'Model Setup'!$K$7,SUMIF($AD$3:$BA$3,"="&amp;$DF26+'Model Setup'!$K$7,$B26:$Y26)+'Model Setup'!$K$8*(SUMIF($AD$3:$BA$3,"&lt;"&amp;$DF26,$B26:$Y26)+SUMIF($AD$3:$BA$3,"&gt;="&amp;$DG26,$B26:$Y26)),
IF(AQ$3=$DF26+'Model Setup'!$L$7,SUMIF($AD$3:$BA$3,"="&amp;$DF26+'Model Setup'!$L$7,$B26:$Y26)+'Model Setup'!$L$8*(SUMIF($AD$3:$BA$3,"&lt;"&amp;$DF26,$B26:$Y26)+SUMIF($AD$3:$BA$3,"&gt;="&amp;$DG26,$B26:$Y26)),
IF(AQ$3=$DF26+'Model Setup'!$M$7,SUMIF($AD$3:$BA$3,"="&amp;$DF26+'Model Setup'!$M$7,$B26:$Y26)+'Model Setup'!$M$8*(SUMIF($AD$3:$BA$3,"&lt;"&amp;$DF26,$B26:$Y26)+SUMIF($AD$3:$BA$3,"&gt;="&amp;$DG26,$B26:$Y26)),
IF(AQ$3=$DF26+'Model Setup'!$N$7,SUMIF($AD$3:$BA$3,"="&amp;$DF26+'Model Setup'!$N$7,$B26:$Y26)+'Model Setup'!$N$8*(SUMIF($AD$3:$BA$3,"&lt;"&amp;$DF26,$B26:$Y26)+SUMIF($AD$3:$BA$3,"&gt;="&amp;$DG26,$B26:$Y26)),
IF(AQ$3&lt;$DG26,O26,0))))))))))))))),0)</f>
        <v>9</v>
      </c>
      <c r="AR26" s="47">
        <f>ROUND(IF(AR$3&lt;$DF26,0,
IF(AR$3=$DF26+'Model Setup'!$B$7,SUMIF($AD$3:$BA$3,"="&amp;$DF26+'Model Setup'!$B$7,$B26:$Y26)+'Model Setup'!$B$8*(SUMIF($AD$3:$BA$3,"&lt;"&amp;$DF26,$B26:$Y26)+SUMIF($AD$3:$BA$3,"&gt;="&amp;$DG26,$B26:$Y26)),
IF(AR$3=$DF26+'Model Setup'!$C$7,SUMIF($AD$3:$BA$3,"="&amp;$DF26+'Model Setup'!$C$7,$B26:$Y26)+'Model Setup'!$C$8*(SUMIF($AD$3:$BA$3,"&lt;"&amp;$DF26,$B26:$Y26)+SUMIF($AD$3:$BA$3,"&gt;="&amp;$DG26,$B26:$Y26)),
IF(AR$3=$DF26+'Model Setup'!$D$7,SUMIF($AD$3:$BA$3,"="&amp;$DF26+'Model Setup'!$D$7,$B26:$Y26)+'Model Setup'!$D$8*(SUMIF($AD$3:$BA$3,"&lt;"&amp;$DF26,$B26:$Y26)+SUMIF($AD$3:$BA$3,"&gt;="&amp;$DG26,$B26:$Y26)),
IF(AR$3=$DF26+'Model Setup'!$E$7,SUMIF($AD$3:$BA$3,"="&amp;$DF26+'Model Setup'!$E$7,$B26:$Y26)+'Model Setup'!$E$8*(SUMIF($AD$3:$BA$3,"&lt;"&amp;$DF26,$B26:$Y26)+SUMIF($AD$3:$BA$3,"&gt;="&amp;$DG26,$B26:$Y26)),
IF(AR$3=$DF26+'Model Setup'!$F$7,SUMIF($AD$3:$BA$3,"="&amp;$DF26+'Model Setup'!$F$7,$B26:$Y26)+'Model Setup'!$F$8*(SUMIF($AD$3:$BA$3,"&lt;"&amp;$DF26,$B26:$Y26)+SUMIF($AD$3:$BA$3,"&gt;="&amp;$DG26,$B26:$Y26)),
IF(AR$3=$DF26+'Model Setup'!$G$7,SUMIF($AD$3:$BA$3,"="&amp;$DF26+'Model Setup'!$G$7,$B26:$Y26)+'Model Setup'!$G$8*(SUMIF($AD$3:$BA$3,"&lt;"&amp;$DF26,$B26:$Y26)+SUMIF($AD$3:$BA$3,"&gt;="&amp;$DG26,$B26:$Y26)),
IF(AR$3=$DF26+'Model Setup'!$H$7,SUMIF($AD$3:$BA$3,"="&amp;$DF26+'Model Setup'!$H$7,$B26:$Y26)+'Model Setup'!$H$8*(SUMIF($AD$3:$BA$3,"&lt;"&amp;$DF26,$B26:$Y26)+SUMIF($AD$3:$BA$3,"&gt;="&amp;$DG26,$B26:$Y26)),
IF(AR$3=$DF26+'Model Setup'!$I$7,SUMIF($AD$3:$BA$3,"="&amp;$DF26+'Model Setup'!$I$7,$B26:$Y26)+'Model Setup'!$I$8*(SUMIF($AD$3:$BA$3,"&lt;"&amp;$DF26,$B26:$Y26)+SUMIF($AD$3:$BA$3,"&gt;="&amp;$DG26,$B26:$Y26)),
IF(AR$3=$DF26+'Model Setup'!$J$7,SUMIF($AD$3:$BA$3,"="&amp;$DF26+'Model Setup'!$J$7,$B26:$Y26)+'Model Setup'!$J$8*(SUMIF($AD$3:$BA$3,"&lt;"&amp;$DF26,$B26:$Y26)+SUMIF($AD$3:$BA$3,"&gt;="&amp;$DG26,$B26:$Y26)),
IF(AR$3=$DF26+'Model Setup'!$K$7,SUMIF($AD$3:$BA$3,"="&amp;$DF26+'Model Setup'!$K$7,$B26:$Y26)+'Model Setup'!$K$8*(SUMIF($AD$3:$BA$3,"&lt;"&amp;$DF26,$B26:$Y26)+SUMIF($AD$3:$BA$3,"&gt;="&amp;$DG26,$B26:$Y26)),
IF(AR$3=$DF26+'Model Setup'!$L$7,SUMIF($AD$3:$BA$3,"="&amp;$DF26+'Model Setup'!$L$7,$B26:$Y26)+'Model Setup'!$L$8*(SUMIF($AD$3:$BA$3,"&lt;"&amp;$DF26,$B26:$Y26)+SUMIF($AD$3:$BA$3,"&gt;="&amp;$DG26,$B26:$Y26)),
IF(AR$3=$DF26+'Model Setup'!$M$7,SUMIF($AD$3:$BA$3,"="&amp;$DF26+'Model Setup'!$M$7,$B26:$Y26)+'Model Setup'!$M$8*(SUMIF($AD$3:$BA$3,"&lt;"&amp;$DF26,$B26:$Y26)+SUMIF($AD$3:$BA$3,"&gt;="&amp;$DG26,$B26:$Y26)),
IF(AR$3=$DF26+'Model Setup'!$N$7,SUMIF($AD$3:$BA$3,"="&amp;$DF26+'Model Setup'!$N$7,$B26:$Y26)+'Model Setup'!$N$8*(SUMIF($AD$3:$BA$3,"&lt;"&amp;$DF26,$B26:$Y26)+SUMIF($AD$3:$BA$3,"&gt;="&amp;$DG26,$B26:$Y26)),
IF(AR$3&lt;$DG26,P26,0))))))))))))))),0)</f>
        <v>10</v>
      </c>
      <c r="AS26" s="47">
        <f>ROUND(IF(AS$3&lt;$DF26,0,
IF(AS$3=$DF26+'Model Setup'!$B$7,SUMIF($AD$3:$BA$3,"="&amp;$DF26+'Model Setup'!$B$7,$B26:$Y26)+'Model Setup'!$B$8*(SUMIF($AD$3:$BA$3,"&lt;"&amp;$DF26,$B26:$Y26)+SUMIF($AD$3:$BA$3,"&gt;="&amp;$DG26,$B26:$Y26)),
IF(AS$3=$DF26+'Model Setup'!$C$7,SUMIF($AD$3:$BA$3,"="&amp;$DF26+'Model Setup'!$C$7,$B26:$Y26)+'Model Setup'!$C$8*(SUMIF($AD$3:$BA$3,"&lt;"&amp;$DF26,$B26:$Y26)+SUMIF($AD$3:$BA$3,"&gt;="&amp;$DG26,$B26:$Y26)),
IF(AS$3=$DF26+'Model Setup'!$D$7,SUMIF($AD$3:$BA$3,"="&amp;$DF26+'Model Setup'!$D$7,$B26:$Y26)+'Model Setup'!$D$8*(SUMIF($AD$3:$BA$3,"&lt;"&amp;$DF26,$B26:$Y26)+SUMIF($AD$3:$BA$3,"&gt;="&amp;$DG26,$B26:$Y26)),
IF(AS$3=$DF26+'Model Setup'!$E$7,SUMIF($AD$3:$BA$3,"="&amp;$DF26+'Model Setup'!$E$7,$B26:$Y26)+'Model Setup'!$E$8*(SUMIF($AD$3:$BA$3,"&lt;"&amp;$DF26,$B26:$Y26)+SUMIF($AD$3:$BA$3,"&gt;="&amp;$DG26,$B26:$Y26)),
IF(AS$3=$DF26+'Model Setup'!$F$7,SUMIF($AD$3:$BA$3,"="&amp;$DF26+'Model Setup'!$F$7,$B26:$Y26)+'Model Setup'!$F$8*(SUMIF($AD$3:$BA$3,"&lt;"&amp;$DF26,$B26:$Y26)+SUMIF($AD$3:$BA$3,"&gt;="&amp;$DG26,$B26:$Y26)),
IF(AS$3=$DF26+'Model Setup'!$G$7,SUMIF($AD$3:$BA$3,"="&amp;$DF26+'Model Setup'!$G$7,$B26:$Y26)+'Model Setup'!$G$8*(SUMIF($AD$3:$BA$3,"&lt;"&amp;$DF26,$B26:$Y26)+SUMIF($AD$3:$BA$3,"&gt;="&amp;$DG26,$B26:$Y26)),
IF(AS$3=$DF26+'Model Setup'!$H$7,SUMIF($AD$3:$BA$3,"="&amp;$DF26+'Model Setup'!$H$7,$B26:$Y26)+'Model Setup'!$H$8*(SUMIF($AD$3:$BA$3,"&lt;"&amp;$DF26,$B26:$Y26)+SUMIF($AD$3:$BA$3,"&gt;="&amp;$DG26,$B26:$Y26)),
IF(AS$3=$DF26+'Model Setup'!$I$7,SUMIF($AD$3:$BA$3,"="&amp;$DF26+'Model Setup'!$I$7,$B26:$Y26)+'Model Setup'!$I$8*(SUMIF($AD$3:$BA$3,"&lt;"&amp;$DF26,$B26:$Y26)+SUMIF($AD$3:$BA$3,"&gt;="&amp;$DG26,$B26:$Y26)),
IF(AS$3=$DF26+'Model Setup'!$J$7,SUMIF($AD$3:$BA$3,"="&amp;$DF26+'Model Setup'!$J$7,$B26:$Y26)+'Model Setup'!$J$8*(SUMIF($AD$3:$BA$3,"&lt;"&amp;$DF26,$B26:$Y26)+SUMIF($AD$3:$BA$3,"&gt;="&amp;$DG26,$B26:$Y26)),
IF(AS$3=$DF26+'Model Setup'!$K$7,SUMIF($AD$3:$BA$3,"="&amp;$DF26+'Model Setup'!$K$7,$B26:$Y26)+'Model Setup'!$K$8*(SUMIF($AD$3:$BA$3,"&lt;"&amp;$DF26,$B26:$Y26)+SUMIF($AD$3:$BA$3,"&gt;="&amp;$DG26,$B26:$Y26)),
IF(AS$3=$DF26+'Model Setup'!$L$7,SUMIF($AD$3:$BA$3,"="&amp;$DF26+'Model Setup'!$L$7,$B26:$Y26)+'Model Setup'!$L$8*(SUMIF($AD$3:$BA$3,"&lt;"&amp;$DF26,$B26:$Y26)+SUMIF($AD$3:$BA$3,"&gt;="&amp;$DG26,$B26:$Y26)),
IF(AS$3=$DF26+'Model Setup'!$M$7,SUMIF($AD$3:$BA$3,"="&amp;$DF26+'Model Setup'!$M$7,$B26:$Y26)+'Model Setup'!$M$8*(SUMIF($AD$3:$BA$3,"&lt;"&amp;$DF26,$B26:$Y26)+SUMIF($AD$3:$BA$3,"&gt;="&amp;$DG26,$B26:$Y26)),
IF(AS$3=$DF26+'Model Setup'!$N$7,SUMIF($AD$3:$BA$3,"="&amp;$DF26+'Model Setup'!$N$7,$B26:$Y26)+'Model Setup'!$N$8*(SUMIF($AD$3:$BA$3,"&lt;"&amp;$DF26,$B26:$Y26)+SUMIF($AD$3:$BA$3,"&gt;="&amp;$DG26,$B26:$Y26)),
IF(AS$3&lt;$DG26,Q26,0))))))))))))))),0)</f>
        <v>7</v>
      </c>
      <c r="AT26" s="47">
        <f>ROUND(IF(AT$3&lt;$DF26,0,
IF(AT$3=$DF26+'Model Setup'!$B$7,SUMIF($AD$3:$BA$3,"="&amp;$DF26+'Model Setup'!$B$7,$B26:$Y26)+'Model Setup'!$B$8*(SUMIF($AD$3:$BA$3,"&lt;"&amp;$DF26,$B26:$Y26)+SUMIF($AD$3:$BA$3,"&gt;="&amp;$DG26,$B26:$Y26)),
IF(AT$3=$DF26+'Model Setup'!$C$7,SUMIF($AD$3:$BA$3,"="&amp;$DF26+'Model Setup'!$C$7,$B26:$Y26)+'Model Setup'!$C$8*(SUMIF($AD$3:$BA$3,"&lt;"&amp;$DF26,$B26:$Y26)+SUMIF($AD$3:$BA$3,"&gt;="&amp;$DG26,$B26:$Y26)),
IF(AT$3=$DF26+'Model Setup'!$D$7,SUMIF($AD$3:$BA$3,"="&amp;$DF26+'Model Setup'!$D$7,$B26:$Y26)+'Model Setup'!$D$8*(SUMIF($AD$3:$BA$3,"&lt;"&amp;$DF26,$B26:$Y26)+SUMIF($AD$3:$BA$3,"&gt;="&amp;$DG26,$B26:$Y26)),
IF(AT$3=$DF26+'Model Setup'!$E$7,SUMIF($AD$3:$BA$3,"="&amp;$DF26+'Model Setup'!$E$7,$B26:$Y26)+'Model Setup'!$E$8*(SUMIF($AD$3:$BA$3,"&lt;"&amp;$DF26,$B26:$Y26)+SUMIF($AD$3:$BA$3,"&gt;="&amp;$DG26,$B26:$Y26)),
IF(AT$3=$DF26+'Model Setup'!$F$7,SUMIF($AD$3:$BA$3,"="&amp;$DF26+'Model Setup'!$F$7,$B26:$Y26)+'Model Setup'!$F$8*(SUMIF($AD$3:$BA$3,"&lt;"&amp;$DF26,$B26:$Y26)+SUMIF($AD$3:$BA$3,"&gt;="&amp;$DG26,$B26:$Y26)),
IF(AT$3=$DF26+'Model Setup'!$G$7,SUMIF($AD$3:$BA$3,"="&amp;$DF26+'Model Setup'!$G$7,$B26:$Y26)+'Model Setup'!$G$8*(SUMIF($AD$3:$BA$3,"&lt;"&amp;$DF26,$B26:$Y26)+SUMIF($AD$3:$BA$3,"&gt;="&amp;$DG26,$B26:$Y26)),
IF(AT$3=$DF26+'Model Setup'!$H$7,SUMIF($AD$3:$BA$3,"="&amp;$DF26+'Model Setup'!$H$7,$B26:$Y26)+'Model Setup'!$H$8*(SUMIF($AD$3:$BA$3,"&lt;"&amp;$DF26,$B26:$Y26)+SUMIF($AD$3:$BA$3,"&gt;="&amp;$DG26,$B26:$Y26)),
IF(AT$3=$DF26+'Model Setup'!$I$7,SUMIF($AD$3:$BA$3,"="&amp;$DF26+'Model Setup'!$I$7,$B26:$Y26)+'Model Setup'!$I$8*(SUMIF($AD$3:$BA$3,"&lt;"&amp;$DF26,$B26:$Y26)+SUMIF($AD$3:$BA$3,"&gt;="&amp;$DG26,$B26:$Y26)),
IF(AT$3=$DF26+'Model Setup'!$J$7,SUMIF($AD$3:$BA$3,"="&amp;$DF26+'Model Setup'!$J$7,$B26:$Y26)+'Model Setup'!$J$8*(SUMIF($AD$3:$BA$3,"&lt;"&amp;$DF26,$B26:$Y26)+SUMIF($AD$3:$BA$3,"&gt;="&amp;$DG26,$B26:$Y26)),
IF(AT$3=$DF26+'Model Setup'!$K$7,SUMIF($AD$3:$BA$3,"="&amp;$DF26+'Model Setup'!$K$7,$B26:$Y26)+'Model Setup'!$K$8*(SUMIF($AD$3:$BA$3,"&lt;"&amp;$DF26,$B26:$Y26)+SUMIF($AD$3:$BA$3,"&gt;="&amp;$DG26,$B26:$Y26)),
IF(AT$3=$DF26+'Model Setup'!$L$7,SUMIF($AD$3:$BA$3,"="&amp;$DF26+'Model Setup'!$L$7,$B26:$Y26)+'Model Setup'!$L$8*(SUMIF($AD$3:$BA$3,"&lt;"&amp;$DF26,$B26:$Y26)+SUMIF($AD$3:$BA$3,"&gt;="&amp;$DG26,$B26:$Y26)),
IF(AT$3=$DF26+'Model Setup'!$M$7,SUMIF($AD$3:$BA$3,"="&amp;$DF26+'Model Setup'!$M$7,$B26:$Y26)+'Model Setup'!$M$8*(SUMIF($AD$3:$BA$3,"&lt;"&amp;$DF26,$B26:$Y26)+SUMIF($AD$3:$BA$3,"&gt;="&amp;$DG26,$B26:$Y26)),
IF(AT$3=$DF26+'Model Setup'!$N$7,SUMIF($AD$3:$BA$3,"="&amp;$DF26+'Model Setup'!$N$7,$B26:$Y26)+'Model Setup'!$N$8*(SUMIF($AD$3:$BA$3,"&lt;"&amp;$DF26,$B26:$Y26)+SUMIF($AD$3:$BA$3,"&gt;="&amp;$DG26,$B26:$Y26)),
IF(AT$3&lt;$DG26,R26,0))))))))))))))),0)</f>
        <v>10</v>
      </c>
      <c r="AU26" s="47">
        <f>ROUND(IF(AU$3&lt;$DF26,0,
IF(AU$3=$DF26+'Model Setup'!$B$7,SUMIF($AD$3:$BA$3,"="&amp;$DF26+'Model Setup'!$B$7,$B26:$Y26)+'Model Setup'!$B$8*(SUMIF($AD$3:$BA$3,"&lt;"&amp;$DF26,$B26:$Y26)+SUMIF($AD$3:$BA$3,"&gt;="&amp;$DG26,$B26:$Y26)),
IF(AU$3=$DF26+'Model Setup'!$C$7,SUMIF($AD$3:$BA$3,"="&amp;$DF26+'Model Setup'!$C$7,$B26:$Y26)+'Model Setup'!$C$8*(SUMIF($AD$3:$BA$3,"&lt;"&amp;$DF26,$B26:$Y26)+SUMIF($AD$3:$BA$3,"&gt;="&amp;$DG26,$B26:$Y26)),
IF(AU$3=$DF26+'Model Setup'!$D$7,SUMIF($AD$3:$BA$3,"="&amp;$DF26+'Model Setup'!$D$7,$B26:$Y26)+'Model Setup'!$D$8*(SUMIF($AD$3:$BA$3,"&lt;"&amp;$DF26,$B26:$Y26)+SUMIF($AD$3:$BA$3,"&gt;="&amp;$DG26,$B26:$Y26)),
IF(AU$3=$DF26+'Model Setup'!$E$7,SUMIF($AD$3:$BA$3,"="&amp;$DF26+'Model Setup'!$E$7,$B26:$Y26)+'Model Setup'!$E$8*(SUMIF($AD$3:$BA$3,"&lt;"&amp;$DF26,$B26:$Y26)+SUMIF($AD$3:$BA$3,"&gt;="&amp;$DG26,$B26:$Y26)),
IF(AU$3=$DF26+'Model Setup'!$F$7,SUMIF($AD$3:$BA$3,"="&amp;$DF26+'Model Setup'!$F$7,$B26:$Y26)+'Model Setup'!$F$8*(SUMIF($AD$3:$BA$3,"&lt;"&amp;$DF26,$B26:$Y26)+SUMIF($AD$3:$BA$3,"&gt;="&amp;$DG26,$B26:$Y26)),
IF(AU$3=$DF26+'Model Setup'!$G$7,SUMIF($AD$3:$BA$3,"="&amp;$DF26+'Model Setup'!$G$7,$B26:$Y26)+'Model Setup'!$G$8*(SUMIF($AD$3:$BA$3,"&lt;"&amp;$DF26,$B26:$Y26)+SUMIF($AD$3:$BA$3,"&gt;="&amp;$DG26,$B26:$Y26)),
IF(AU$3=$DF26+'Model Setup'!$H$7,SUMIF($AD$3:$BA$3,"="&amp;$DF26+'Model Setup'!$H$7,$B26:$Y26)+'Model Setup'!$H$8*(SUMIF($AD$3:$BA$3,"&lt;"&amp;$DF26,$B26:$Y26)+SUMIF($AD$3:$BA$3,"&gt;="&amp;$DG26,$B26:$Y26)),
IF(AU$3=$DF26+'Model Setup'!$I$7,SUMIF($AD$3:$BA$3,"="&amp;$DF26+'Model Setup'!$I$7,$B26:$Y26)+'Model Setup'!$I$8*(SUMIF($AD$3:$BA$3,"&lt;"&amp;$DF26,$B26:$Y26)+SUMIF($AD$3:$BA$3,"&gt;="&amp;$DG26,$B26:$Y26)),
IF(AU$3=$DF26+'Model Setup'!$J$7,SUMIF($AD$3:$BA$3,"="&amp;$DF26+'Model Setup'!$J$7,$B26:$Y26)+'Model Setup'!$J$8*(SUMIF($AD$3:$BA$3,"&lt;"&amp;$DF26,$B26:$Y26)+SUMIF($AD$3:$BA$3,"&gt;="&amp;$DG26,$B26:$Y26)),
IF(AU$3=$DF26+'Model Setup'!$K$7,SUMIF($AD$3:$BA$3,"="&amp;$DF26+'Model Setup'!$K$7,$B26:$Y26)+'Model Setup'!$K$8*(SUMIF($AD$3:$BA$3,"&lt;"&amp;$DF26,$B26:$Y26)+SUMIF($AD$3:$BA$3,"&gt;="&amp;$DG26,$B26:$Y26)),
IF(AU$3=$DF26+'Model Setup'!$L$7,SUMIF($AD$3:$BA$3,"="&amp;$DF26+'Model Setup'!$L$7,$B26:$Y26)+'Model Setup'!$L$8*(SUMIF($AD$3:$BA$3,"&lt;"&amp;$DF26,$B26:$Y26)+SUMIF($AD$3:$BA$3,"&gt;="&amp;$DG26,$B26:$Y26)),
IF(AU$3=$DF26+'Model Setup'!$M$7,SUMIF($AD$3:$BA$3,"="&amp;$DF26+'Model Setup'!$M$7,$B26:$Y26)+'Model Setup'!$M$8*(SUMIF($AD$3:$BA$3,"&lt;"&amp;$DF26,$B26:$Y26)+SUMIF($AD$3:$BA$3,"&gt;="&amp;$DG26,$B26:$Y26)),
IF(AU$3=$DF26+'Model Setup'!$N$7,SUMIF($AD$3:$BA$3,"="&amp;$DF26+'Model Setup'!$N$7,$B26:$Y26)+'Model Setup'!$N$8*(SUMIF($AD$3:$BA$3,"&lt;"&amp;$DF26,$B26:$Y26)+SUMIF($AD$3:$BA$3,"&gt;="&amp;$DG26,$B26:$Y26)),
IF(AU$3&lt;$DG26,S26,0))))))))))))))),0)</f>
        <v>7</v>
      </c>
      <c r="AV26" s="47">
        <f>ROUND(IF(AV$3&lt;$DF26,0,
IF(AV$3=$DF26+'Model Setup'!$B$7,SUMIF($AD$3:$BA$3,"="&amp;$DF26+'Model Setup'!$B$7,$B26:$Y26)+'Model Setup'!$B$8*(SUMIF($AD$3:$BA$3,"&lt;"&amp;$DF26,$B26:$Y26)+SUMIF($AD$3:$BA$3,"&gt;="&amp;$DG26,$B26:$Y26)),
IF(AV$3=$DF26+'Model Setup'!$C$7,SUMIF($AD$3:$BA$3,"="&amp;$DF26+'Model Setup'!$C$7,$B26:$Y26)+'Model Setup'!$C$8*(SUMIF($AD$3:$BA$3,"&lt;"&amp;$DF26,$B26:$Y26)+SUMIF($AD$3:$BA$3,"&gt;="&amp;$DG26,$B26:$Y26)),
IF(AV$3=$DF26+'Model Setup'!$D$7,SUMIF($AD$3:$BA$3,"="&amp;$DF26+'Model Setup'!$D$7,$B26:$Y26)+'Model Setup'!$D$8*(SUMIF($AD$3:$BA$3,"&lt;"&amp;$DF26,$B26:$Y26)+SUMIF($AD$3:$BA$3,"&gt;="&amp;$DG26,$B26:$Y26)),
IF(AV$3=$DF26+'Model Setup'!$E$7,SUMIF($AD$3:$BA$3,"="&amp;$DF26+'Model Setup'!$E$7,$B26:$Y26)+'Model Setup'!$E$8*(SUMIF($AD$3:$BA$3,"&lt;"&amp;$DF26,$B26:$Y26)+SUMIF($AD$3:$BA$3,"&gt;="&amp;$DG26,$B26:$Y26)),
IF(AV$3=$DF26+'Model Setup'!$F$7,SUMIF($AD$3:$BA$3,"="&amp;$DF26+'Model Setup'!$F$7,$B26:$Y26)+'Model Setup'!$F$8*(SUMIF($AD$3:$BA$3,"&lt;"&amp;$DF26,$B26:$Y26)+SUMIF($AD$3:$BA$3,"&gt;="&amp;$DG26,$B26:$Y26)),
IF(AV$3=$DF26+'Model Setup'!$G$7,SUMIF($AD$3:$BA$3,"="&amp;$DF26+'Model Setup'!$G$7,$B26:$Y26)+'Model Setup'!$G$8*(SUMIF($AD$3:$BA$3,"&lt;"&amp;$DF26,$B26:$Y26)+SUMIF($AD$3:$BA$3,"&gt;="&amp;$DG26,$B26:$Y26)),
IF(AV$3=$DF26+'Model Setup'!$H$7,SUMIF($AD$3:$BA$3,"="&amp;$DF26+'Model Setup'!$H$7,$B26:$Y26)+'Model Setup'!$H$8*(SUMIF($AD$3:$BA$3,"&lt;"&amp;$DF26,$B26:$Y26)+SUMIF($AD$3:$BA$3,"&gt;="&amp;$DG26,$B26:$Y26)),
IF(AV$3=$DF26+'Model Setup'!$I$7,SUMIF($AD$3:$BA$3,"="&amp;$DF26+'Model Setup'!$I$7,$B26:$Y26)+'Model Setup'!$I$8*(SUMIF($AD$3:$BA$3,"&lt;"&amp;$DF26,$B26:$Y26)+SUMIF($AD$3:$BA$3,"&gt;="&amp;$DG26,$B26:$Y26)),
IF(AV$3=$DF26+'Model Setup'!$J$7,SUMIF($AD$3:$BA$3,"="&amp;$DF26+'Model Setup'!$J$7,$B26:$Y26)+'Model Setup'!$J$8*(SUMIF($AD$3:$BA$3,"&lt;"&amp;$DF26,$B26:$Y26)+SUMIF($AD$3:$BA$3,"&gt;="&amp;$DG26,$B26:$Y26)),
IF(AV$3=$DF26+'Model Setup'!$K$7,SUMIF($AD$3:$BA$3,"="&amp;$DF26+'Model Setup'!$K$7,$B26:$Y26)+'Model Setup'!$K$8*(SUMIF($AD$3:$BA$3,"&lt;"&amp;$DF26,$B26:$Y26)+SUMIF($AD$3:$BA$3,"&gt;="&amp;$DG26,$B26:$Y26)),
IF(AV$3=$DF26+'Model Setup'!$L$7,SUMIF($AD$3:$BA$3,"="&amp;$DF26+'Model Setup'!$L$7,$B26:$Y26)+'Model Setup'!$L$8*(SUMIF($AD$3:$BA$3,"&lt;"&amp;$DF26,$B26:$Y26)+SUMIF($AD$3:$BA$3,"&gt;="&amp;$DG26,$B26:$Y26)),
IF(AV$3=$DF26+'Model Setup'!$M$7,SUMIF($AD$3:$BA$3,"="&amp;$DF26+'Model Setup'!$M$7,$B26:$Y26)+'Model Setup'!$M$8*(SUMIF($AD$3:$BA$3,"&lt;"&amp;$DF26,$B26:$Y26)+SUMIF($AD$3:$BA$3,"&gt;="&amp;$DG26,$B26:$Y26)),
IF(AV$3=$DF26+'Model Setup'!$N$7,SUMIF($AD$3:$BA$3,"="&amp;$DF26+'Model Setup'!$N$7,$B26:$Y26)+'Model Setup'!$N$8*(SUMIF($AD$3:$BA$3,"&lt;"&amp;$DF26,$B26:$Y26)+SUMIF($AD$3:$BA$3,"&gt;="&amp;$DG26,$B26:$Y26)),
IF(AV$3&lt;$DG26,T26,0))))))))))))))),0)</f>
        <v>0</v>
      </c>
      <c r="AW26" s="47">
        <f>ROUND(IF(AW$3&lt;$DF26,0,
IF(AW$3=$DF26+'Model Setup'!$B$7,SUMIF($AD$3:$BA$3,"="&amp;$DF26+'Model Setup'!$B$7,$B26:$Y26)+'Model Setup'!$B$8*(SUMIF($AD$3:$BA$3,"&lt;"&amp;$DF26,$B26:$Y26)+SUMIF($AD$3:$BA$3,"&gt;="&amp;$DG26,$B26:$Y26)),
IF(AW$3=$DF26+'Model Setup'!$C$7,SUMIF($AD$3:$BA$3,"="&amp;$DF26+'Model Setup'!$C$7,$B26:$Y26)+'Model Setup'!$C$8*(SUMIF($AD$3:$BA$3,"&lt;"&amp;$DF26,$B26:$Y26)+SUMIF($AD$3:$BA$3,"&gt;="&amp;$DG26,$B26:$Y26)),
IF(AW$3=$DF26+'Model Setup'!$D$7,SUMIF($AD$3:$BA$3,"="&amp;$DF26+'Model Setup'!$D$7,$B26:$Y26)+'Model Setup'!$D$8*(SUMIF($AD$3:$BA$3,"&lt;"&amp;$DF26,$B26:$Y26)+SUMIF($AD$3:$BA$3,"&gt;="&amp;$DG26,$B26:$Y26)),
IF(AW$3=$DF26+'Model Setup'!$E$7,SUMIF($AD$3:$BA$3,"="&amp;$DF26+'Model Setup'!$E$7,$B26:$Y26)+'Model Setup'!$E$8*(SUMIF($AD$3:$BA$3,"&lt;"&amp;$DF26,$B26:$Y26)+SUMIF($AD$3:$BA$3,"&gt;="&amp;$DG26,$B26:$Y26)),
IF(AW$3=$DF26+'Model Setup'!$F$7,SUMIF($AD$3:$BA$3,"="&amp;$DF26+'Model Setup'!$F$7,$B26:$Y26)+'Model Setup'!$F$8*(SUMIF($AD$3:$BA$3,"&lt;"&amp;$DF26,$B26:$Y26)+SUMIF($AD$3:$BA$3,"&gt;="&amp;$DG26,$B26:$Y26)),
IF(AW$3=$DF26+'Model Setup'!$G$7,SUMIF($AD$3:$BA$3,"="&amp;$DF26+'Model Setup'!$G$7,$B26:$Y26)+'Model Setup'!$G$8*(SUMIF($AD$3:$BA$3,"&lt;"&amp;$DF26,$B26:$Y26)+SUMIF($AD$3:$BA$3,"&gt;="&amp;$DG26,$B26:$Y26)),
IF(AW$3=$DF26+'Model Setup'!$H$7,SUMIF($AD$3:$BA$3,"="&amp;$DF26+'Model Setup'!$H$7,$B26:$Y26)+'Model Setup'!$H$8*(SUMIF($AD$3:$BA$3,"&lt;"&amp;$DF26,$B26:$Y26)+SUMIF($AD$3:$BA$3,"&gt;="&amp;$DG26,$B26:$Y26)),
IF(AW$3=$DF26+'Model Setup'!$I$7,SUMIF($AD$3:$BA$3,"="&amp;$DF26+'Model Setup'!$I$7,$B26:$Y26)+'Model Setup'!$I$8*(SUMIF($AD$3:$BA$3,"&lt;"&amp;$DF26,$B26:$Y26)+SUMIF($AD$3:$BA$3,"&gt;="&amp;$DG26,$B26:$Y26)),
IF(AW$3=$DF26+'Model Setup'!$J$7,SUMIF($AD$3:$BA$3,"="&amp;$DF26+'Model Setup'!$J$7,$B26:$Y26)+'Model Setup'!$J$8*(SUMIF($AD$3:$BA$3,"&lt;"&amp;$DF26,$B26:$Y26)+SUMIF($AD$3:$BA$3,"&gt;="&amp;$DG26,$B26:$Y26)),
IF(AW$3=$DF26+'Model Setup'!$K$7,SUMIF($AD$3:$BA$3,"="&amp;$DF26+'Model Setup'!$K$7,$B26:$Y26)+'Model Setup'!$K$8*(SUMIF($AD$3:$BA$3,"&lt;"&amp;$DF26,$B26:$Y26)+SUMIF($AD$3:$BA$3,"&gt;="&amp;$DG26,$B26:$Y26)),
IF(AW$3=$DF26+'Model Setup'!$L$7,SUMIF($AD$3:$BA$3,"="&amp;$DF26+'Model Setup'!$L$7,$B26:$Y26)+'Model Setup'!$L$8*(SUMIF($AD$3:$BA$3,"&lt;"&amp;$DF26,$B26:$Y26)+SUMIF($AD$3:$BA$3,"&gt;="&amp;$DG26,$B26:$Y26)),
IF(AW$3=$DF26+'Model Setup'!$M$7,SUMIF($AD$3:$BA$3,"="&amp;$DF26+'Model Setup'!$M$7,$B26:$Y26)+'Model Setup'!$M$8*(SUMIF($AD$3:$BA$3,"&lt;"&amp;$DF26,$B26:$Y26)+SUMIF($AD$3:$BA$3,"&gt;="&amp;$DG26,$B26:$Y26)),
IF(AW$3=$DF26+'Model Setup'!$N$7,SUMIF($AD$3:$BA$3,"="&amp;$DF26+'Model Setup'!$N$7,$B26:$Y26)+'Model Setup'!$N$8*(SUMIF($AD$3:$BA$3,"&lt;"&amp;$DF26,$B26:$Y26)+SUMIF($AD$3:$BA$3,"&gt;="&amp;$DG26,$B26:$Y26)),
IF(AW$3&lt;$DG26,U26,0))))))))))))))),0)</f>
        <v>0</v>
      </c>
      <c r="AX26" s="47">
        <f>ROUND(IF(AX$3&lt;$DF26,0,
IF(AX$3=$DF26+'Model Setup'!$B$7,SUMIF($AD$3:$BA$3,"="&amp;$DF26+'Model Setup'!$B$7,$B26:$Y26)+'Model Setup'!$B$8*(SUMIF($AD$3:$BA$3,"&lt;"&amp;$DF26,$B26:$Y26)+SUMIF($AD$3:$BA$3,"&gt;="&amp;$DG26,$B26:$Y26)),
IF(AX$3=$DF26+'Model Setup'!$C$7,SUMIF($AD$3:$BA$3,"="&amp;$DF26+'Model Setup'!$C$7,$B26:$Y26)+'Model Setup'!$C$8*(SUMIF($AD$3:$BA$3,"&lt;"&amp;$DF26,$B26:$Y26)+SUMIF($AD$3:$BA$3,"&gt;="&amp;$DG26,$B26:$Y26)),
IF(AX$3=$DF26+'Model Setup'!$D$7,SUMIF($AD$3:$BA$3,"="&amp;$DF26+'Model Setup'!$D$7,$B26:$Y26)+'Model Setup'!$D$8*(SUMIF($AD$3:$BA$3,"&lt;"&amp;$DF26,$B26:$Y26)+SUMIF($AD$3:$BA$3,"&gt;="&amp;$DG26,$B26:$Y26)),
IF(AX$3=$DF26+'Model Setup'!$E$7,SUMIF($AD$3:$BA$3,"="&amp;$DF26+'Model Setup'!$E$7,$B26:$Y26)+'Model Setup'!$E$8*(SUMIF($AD$3:$BA$3,"&lt;"&amp;$DF26,$B26:$Y26)+SUMIF($AD$3:$BA$3,"&gt;="&amp;$DG26,$B26:$Y26)),
IF(AX$3=$DF26+'Model Setup'!$F$7,SUMIF($AD$3:$BA$3,"="&amp;$DF26+'Model Setup'!$F$7,$B26:$Y26)+'Model Setup'!$F$8*(SUMIF($AD$3:$BA$3,"&lt;"&amp;$DF26,$B26:$Y26)+SUMIF($AD$3:$BA$3,"&gt;="&amp;$DG26,$B26:$Y26)),
IF(AX$3=$DF26+'Model Setup'!$G$7,SUMIF($AD$3:$BA$3,"="&amp;$DF26+'Model Setup'!$G$7,$B26:$Y26)+'Model Setup'!$G$8*(SUMIF($AD$3:$BA$3,"&lt;"&amp;$DF26,$B26:$Y26)+SUMIF($AD$3:$BA$3,"&gt;="&amp;$DG26,$B26:$Y26)),
IF(AX$3=$DF26+'Model Setup'!$H$7,SUMIF($AD$3:$BA$3,"="&amp;$DF26+'Model Setup'!$H$7,$B26:$Y26)+'Model Setup'!$H$8*(SUMIF($AD$3:$BA$3,"&lt;"&amp;$DF26,$B26:$Y26)+SUMIF($AD$3:$BA$3,"&gt;="&amp;$DG26,$B26:$Y26)),
IF(AX$3=$DF26+'Model Setup'!$I$7,SUMIF($AD$3:$BA$3,"="&amp;$DF26+'Model Setup'!$I$7,$B26:$Y26)+'Model Setup'!$I$8*(SUMIF($AD$3:$BA$3,"&lt;"&amp;$DF26,$B26:$Y26)+SUMIF($AD$3:$BA$3,"&gt;="&amp;$DG26,$B26:$Y26)),
IF(AX$3=$DF26+'Model Setup'!$J$7,SUMIF($AD$3:$BA$3,"="&amp;$DF26+'Model Setup'!$J$7,$B26:$Y26)+'Model Setup'!$J$8*(SUMIF($AD$3:$BA$3,"&lt;"&amp;$DF26,$B26:$Y26)+SUMIF($AD$3:$BA$3,"&gt;="&amp;$DG26,$B26:$Y26)),
IF(AX$3=$DF26+'Model Setup'!$K$7,SUMIF($AD$3:$BA$3,"="&amp;$DF26+'Model Setup'!$K$7,$B26:$Y26)+'Model Setup'!$K$8*(SUMIF($AD$3:$BA$3,"&lt;"&amp;$DF26,$B26:$Y26)+SUMIF($AD$3:$BA$3,"&gt;="&amp;$DG26,$B26:$Y26)),
IF(AX$3=$DF26+'Model Setup'!$L$7,SUMIF($AD$3:$BA$3,"="&amp;$DF26+'Model Setup'!$L$7,$B26:$Y26)+'Model Setup'!$L$8*(SUMIF($AD$3:$BA$3,"&lt;"&amp;$DF26,$B26:$Y26)+SUMIF($AD$3:$BA$3,"&gt;="&amp;$DG26,$B26:$Y26)),
IF(AX$3=$DF26+'Model Setup'!$M$7,SUMIF($AD$3:$BA$3,"="&amp;$DF26+'Model Setup'!$M$7,$B26:$Y26)+'Model Setup'!$M$8*(SUMIF($AD$3:$BA$3,"&lt;"&amp;$DF26,$B26:$Y26)+SUMIF($AD$3:$BA$3,"&gt;="&amp;$DG26,$B26:$Y26)),
IF(AX$3=$DF26+'Model Setup'!$N$7,SUMIF($AD$3:$BA$3,"="&amp;$DF26+'Model Setup'!$N$7,$B26:$Y26)+'Model Setup'!$N$8*(SUMIF($AD$3:$BA$3,"&lt;"&amp;$DF26,$B26:$Y26)+SUMIF($AD$3:$BA$3,"&gt;="&amp;$DG26,$B26:$Y26)),
IF(AX$3&lt;$DG26,V26,0))))))))))))))),0)</f>
        <v>0</v>
      </c>
      <c r="AY26" s="47">
        <f>ROUND(IF(AY$3&lt;$DF26,0,
IF(AY$3=$DF26+'Model Setup'!$B$7,SUMIF($AD$3:$BA$3,"="&amp;$DF26+'Model Setup'!$B$7,$B26:$Y26)+'Model Setup'!$B$8*(SUMIF($AD$3:$BA$3,"&lt;"&amp;$DF26,$B26:$Y26)+SUMIF($AD$3:$BA$3,"&gt;="&amp;$DG26,$B26:$Y26)),
IF(AY$3=$DF26+'Model Setup'!$C$7,SUMIF($AD$3:$BA$3,"="&amp;$DF26+'Model Setup'!$C$7,$B26:$Y26)+'Model Setup'!$C$8*(SUMIF($AD$3:$BA$3,"&lt;"&amp;$DF26,$B26:$Y26)+SUMIF($AD$3:$BA$3,"&gt;="&amp;$DG26,$B26:$Y26)),
IF(AY$3=$DF26+'Model Setup'!$D$7,SUMIF($AD$3:$BA$3,"="&amp;$DF26+'Model Setup'!$D$7,$B26:$Y26)+'Model Setup'!$D$8*(SUMIF($AD$3:$BA$3,"&lt;"&amp;$DF26,$B26:$Y26)+SUMIF($AD$3:$BA$3,"&gt;="&amp;$DG26,$B26:$Y26)),
IF(AY$3=$DF26+'Model Setup'!$E$7,SUMIF($AD$3:$BA$3,"="&amp;$DF26+'Model Setup'!$E$7,$B26:$Y26)+'Model Setup'!$E$8*(SUMIF($AD$3:$BA$3,"&lt;"&amp;$DF26,$B26:$Y26)+SUMIF($AD$3:$BA$3,"&gt;="&amp;$DG26,$B26:$Y26)),
IF(AY$3=$DF26+'Model Setup'!$F$7,SUMIF($AD$3:$BA$3,"="&amp;$DF26+'Model Setup'!$F$7,$B26:$Y26)+'Model Setup'!$F$8*(SUMIF($AD$3:$BA$3,"&lt;"&amp;$DF26,$B26:$Y26)+SUMIF($AD$3:$BA$3,"&gt;="&amp;$DG26,$B26:$Y26)),
IF(AY$3=$DF26+'Model Setup'!$G$7,SUMIF($AD$3:$BA$3,"="&amp;$DF26+'Model Setup'!$G$7,$B26:$Y26)+'Model Setup'!$G$8*(SUMIF($AD$3:$BA$3,"&lt;"&amp;$DF26,$B26:$Y26)+SUMIF($AD$3:$BA$3,"&gt;="&amp;$DG26,$B26:$Y26)),
IF(AY$3=$DF26+'Model Setup'!$H$7,SUMIF($AD$3:$BA$3,"="&amp;$DF26+'Model Setup'!$H$7,$B26:$Y26)+'Model Setup'!$H$8*(SUMIF($AD$3:$BA$3,"&lt;"&amp;$DF26,$B26:$Y26)+SUMIF($AD$3:$BA$3,"&gt;="&amp;$DG26,$B26:$Y26)),
IF(AY$3=$DF26+'Model Setup'!$I$7,SUMIF($AD$3:$BA$3,"="&amp;$DF26+'Model Setup'!$I$7,$B26:$Y26)+'Model Setup'!$I$8*(SUMIF($AD$3:$BA$3,"&lt;"&amp;$DF26,$B26:$Y26)+SUMIF($AD$3:$BA$3,"&gt;="&amp;$DG26,$B26:$Y26)),
IF(AY$3=$DF26+'Model Setup'!$J$7,SUMIF($AD$3:$BA$3,"="&amp;$DF26+'Model Setup'!$J$7,$B26:$Y26)+'Model Setup'!$J$8*(SUMIF($AD$3:$BA$3,"&lt;"&amp;$DF26,$B26:$Y26)+SUMIF($AD$3:$BA$3,"&gt;="&amp;$DG26,$B26:$Y26)),
IF(AY$3=$DF26+'Model Setup'!$K$7,SUMIF($AD$3:$BA$3,"="&amp;$DF26+'Model Setup'!$K$7,$B26:$Y26)+'Model Setup'!$K$8*(SUMIF($AD$3:$BA$3,"&lt;"&amp;$DF26,$B26:$Y26)+SUMIF($AD$3:$BA$3,"&gt;="&amp;$DG26,$B26:$Y26)),
IF(AY$3=$DF26+'Model Setup'!$L$7,SUMIF($AD$3:$BA$3,"="&amp;$DF26+'Model Setup'!$L$7,$B26:$Y26)+'Model Setup'!$L$8*(SUMIF($AD$3:$BA$3,"&lt;"&amp;$DF26,$B26:$Y26)+SUMIF($AD$3:$BA$3,"&gt;="&amp;$DG26,$B26:$Y26)),
IF(AY$3=$DF26+'Model Setup'!$M$7,SUMIF($AD$3:$BA$3,"="&amp;$DF26+'Model Setup'!$M$7,$B26:$Y26)+'Model Setup'!$M$8*(SUMIF($AD$3:$BA$3,"&lt;"&amp;$DF26,$B26:$Y26)+SUMIF($AD$3:$BA$3,"&gt;="&amp;$DG26,$B26:$Y26)),
IF(AY$3=$DF26+'Model Setup'!$N$7,SUMIF($AD$3:$BA$3,"="&amp;$DF26+'Model Setup'!$N$7,$B26:$Y26)+'Model Setup'!$N$8*(SUMIF($AD$3:$BA$3,"&lt;"&amp;$DF26,$B26:$Y26)+SUMIF($AD$3:$BA$3,"&gt;="&amp;$DG26,$B26:$Y26)),
IF(AY$3&lt;$DG26,W26,0))))))))))))))),0)</f>
        <v>0</v>
      </c>
      <c r="AZ26" s="47">
        <f>ROUND(IF(AZ$3&lt;$DF26,0,
IF(AZ$3=$DF26+'Model Setup'!$B$7,SUMIF($AD$3:$BA$3,"="&amp;$DF26+'Model Setup'!$B$7,$B26:$Y26)+'Model Setup'!$B$8*(SUMIF($AD$3:$BA$3,"&lt;"&amp;$DF26,$B26:$Y26)+SUMIF($AD$3:$BA$3,"&gt;="&amp;$DG26,$B26:$Y26)),
IF(AZ$3=$DF26+'Model Setup'!$C$7,SUMIF($AD$3:$BA$3,"="&amp;$DF26+'Model Setup'!$C$7,$B26:$Y26)+'Model Setup'!$C$8*(SUMIF($AD$3:$BA$3,"&lt;"&amp;$DF26,$B26:$Y26)+SUMIF($AD$3:$BA$3,"&gt;="&amp;$DG26,$B26:$Y26)),
IF(AZ$3=$DF26+'Model Setup'!$D$7,SUMIF($AD$3:$BA$3,"="&amp;$DF26+'Model Setup'!$D$7,$B26:$Y26)+'Model Setup'!$D$8*(SUMIF($AD$3:$BA$3,"&lt;"&amp;$DF26,$B26:$Y26)+SUMIF($AD$3:$BA$3,"&gt;="&amp;$DG26,$B26:$Y26)),
IF(AZ$3=$DF26+'Model Setup'!$E$7,SUMIF($AD$3:$BA$3,"="&amp;$DF26+'Model Setup'!$E$7,$B26:$Y26)+'Model Setup'!$E$8*(SUMIF($AD$3:$BA$3,"&lt;"&amp;$DF26,$B26:$Y26)+SUMIF($AD$3:$BA$3,"&gt;="&amp;$DG26,$B26:$Y26)),
IF(AZ$3=$DF26+'Model Setup'!$F$7,SUMIF($AD$3:$BA$3,"="&amp;$DF26+'Model Setup'!$F$7,$B26:$Y26)+'Model Setup'!$F$8*(SUMIF($AD$3:$BA$3,"&lt;"&amp;$DF26,$B26:$Y26)+SUMIF($AD$3:$BA$3,"&gt;="&amp;$DG26,$B26:$Y26)),
IF(AZ$3=$DF26+'Model Setup'!$G$7,SUMIF($AD$3:$BA$3,"="&amp;$DF26+'Model Setup'!$G$7,$B26:$Y26)+'Model Setup'!$G$8*(SUMIF($AD$3:$BA$3,"&lt;"&amp;$DF26,$B26:$Y26)+SUMIF($AD$3:$BA$3,"&gt;="&amp;$DG26,$B26:$Y26)),
IF(AZ$3=$DF26+'Model Setup'!$H$7,SUMIF($AD$3:$BA$3,"="&amp;$DF26+'Model Setup'!$H$7,$B26:$Y26)+'Model Setup'!$H$8*(SUMIF($AD$3:$BA$3,"&lt;"&amp;$DF26,$B26:$Y26)+SUMIF($AD$3:$BA$3,"&gt;="&amp;$DG26,$B26:$Y26)),
IF(AZ$3=$DF26+'Model Setup'!$I$7,SUMIF($AD$3:$BA$3,"="&amp;$DF26+'Model Setup'!$I$7,$B26:$Y26)+'Model Setup'!$I$8*(SUMIF($AD$3:$BA$3,"&lt;"&amp;$DF26,$B26:$Y26)+SUMIF($AD$3:$BA$3,"&gt;="&amp;$DG26,$B26:$Y26)),
IF(AZ$3=$DF26+'Model Setup'!$J$7,SUMIF($AD$3:$BA$3,"="&amp;$DF26+'Model Setup'!$J$7,$B26:$Y26)+'Model Setup'!$J$8*(SUMIF($AD$3:$BA$3,"&lt;"&amp;$DF26,$B26:$Y26)+SUMIF($AD$3:$BA$3,"&gt;="&amp;$DG26,$B26:$Y26)),
IF(AZ$3=$DF26+'Model Setup'!$K$7,SUMIF($AD$3:$BA$3,"="&amp;$DF26+'Model Setup'!$K$7,$B26:$Y26)+'Model Setup'!$K$8*(SUMIF($AD$3:$BA$3,"&lt;"&amp;$DF26,$B26:$Y26)+SUMIF($AD$3:$BA$3,"&gt;="&amp;$DG26,$B26:$Y26)),
IF(AZ$3=$DF26+'Model Setup'!$L$7,SUMIF($AD$3:$BA$3,"="&amp;$DF26+'Model Setup'!$L$7,$B26:$Y26)+'Model Setup'!$L$8*(SUMIF($AD$3:$BA$3,"&lt;"&amp;$DF26,$B26:$Y26)+SUMIF($AD$3:$BA$3,"&gt;="&amp;$DG26,$B26:$Y26)),
IF(AZ$3=$DF26+'Model Setup'!$M$7,SUMIF($AD$3:$BA$3,"="&amp;$DF26+'Model Setup'!$M$7,$B26:$Y26)+'Model Setup'!$M$8*(SUMIF($AD$3:$BA$3,"&lt;"&amp;$DF26,$B26:$Y26)+SUMIF($AD$3:$BA$3,"&gt;="&amp;$DG26,$B26:$Y26)),
IF(AZ$3=$DF26+'Model Setup'!$N$7,SUMIF($AD$3:$BA$3,"="&amp;$DF26+'Model Setup'!$N$7,$B26:$Y26)+'Model Setup'!$N$8*(SUMIF($AD$3:$BA$3,"&lt;"&amp;$DF26,$B26:$Y26)+SUMIF($AD$3:$BA$3,"&gt;="&amp;$DG26,$B26:$Y26)),
IF(AZ$3&lt;$DG26,X26,0))))))))))))))),0)</f>
        <v>0</v>
      </c>
      <c r="BA26" s="47">
        <f>ROUND(IF(BA$3&lt;$DF26,0,
IF(BA$3=$DF26+'Model Setup'!$B$7,SUMIF($AD$3:$BA$3,"="&amp;$DF26+'Model Setup'!$B$7,$B26:$Y26)+'Model Setup'!$B$8*(SUMIF($AD$3:$BA$3,"&lt;"&amp;$DF26,$B26:$Y26)+SUMIF($AD$3:$BA$3,"&gt;="&amp;$DG26,$B26:$Y26)),
IF(BA$3=$DF26+'Model Setup'!$C$7,SUMIF($AD$3:$BA$3,"="&amp;$DF26+'Model Setup'!$C$7,$B26:$Y26)+'Model Setup'!$C$8*(SUMIF($AD$3:$BA$3,"&lt;"&amp;$DF26,$B26:$Y26)+SUMIF($AD$3:$BA$3,"&gt;="&amp;$DG26,$B26:$Y26)),
IF(BA$3=$DF26+'Model Setup'!$D$7,SUMIF($AD$3:$BA$3,"="&amp;$DF26+'Model Setup'!$D$7,$B26:$Y26)+'Model Setup'!$D$8*(SUMIF($AD$3:$BA$3,"&lt;"&amp;$DF26,$B26:$Y26)+SUMIF($AD$3:$BA$3,"&gt;="&amp;$DG26,$B26:$Y26)),
IF(BA$3=$DF26+'Model Setup'!$E$7,SUMIF($AD$3:$BA$3,"="&amp;$DF26+'Model Setup'!$E$7,$B26:$Y26)+'Model Setup'!$E$8*(SUMIF($AD$3:$BA$3,"&lt;"&amp;$DF26,$B26:$Y26)+SUMIF($AD$3:$BA$3,"&gt;="&amp;$DG26,$B26:$Y26)),
IF(BA$3=$DF26+'Model Setup'!$F$7,SUMIF($AD$3:$BA$3,"="&amp;$DF26+'Model Setup'!$F$7,$B26:$Y26)+'Model Setup'!$F$8*(SUMIF($AD$3:$BA$3,"&lt;"&amp;$DF26,$B26:$Y26)+SUMIF($AD$3:$BA$3,"&gt;="&amp;$DG26,$B26:$Y26)),
IF(BA$3=$DF26+'Model Setup'!$G$7,SUMIF($AD$3:$BA$3,"="&amp;$DF26+'Model Setup'!$G$7,$B26:$Y26)+'Model Setup'!$G$8*(SUMIF($AD$3:$BA$3,"&lt;"&amp;$DF26,$B26:$Y26)+SUMIF($AD$3:$BA$3,"&gt;="&amp;$DG26,$B26:$Y26)),
IF(BA$3=$DF26+'Model Setup'!$H$7,SUMIF($AD$3:$BA$3,"="&amp;$DF26+'Model Setup'!$H$7,$B26:$Y26)+'Model Setup'!$H$8*(SUMIF($AD$3:$BA$3,"&lt;"&amp;$DF26,$B26:$Y26)+SUMIF($AD$3:$BA$3,"&gt;="&amp;$DG26,$B26:$Y26)),
IF(BA$3=$DF26+'Model Setup'!$I$7,SUMIF($AD$3:$BA$3,"="&amp;$DF26+'Model Setup'!$I$7,$B26:$Y26)+'Model Setup'!$I$8*(SUMIF($AD$3:$BA$3,"&lt;"&amp;$DF26,$B26:$Y26)+SUMIF($AD$3:$BA$3,"&gt;="&amp;$DG26,$B26:$Y26)),
IF(BA$3=$DF26+'Model Setup'!$J$7,SUMIF($AD$3:$BA$3,"="&amp;$DF26+'Model Setup'!$J$7,$B26:$Y26)+'Model Setup'!$J$8*(SUMIF($AD$3:$BA$3,"&lt;"&amp;$DF26,$B26:$Y26)+SUMIF($AD$3:$BA$3,"&gt;="&amp;$DG26,$B26:$Y26)),
IF(BA$3=$DF26+'Model Setup'!$K$7,SUMIF($AD$3:$BA$3,"="&amp;$DF26+'Model Setup'!$K$7,$B26:$Y26)+'Model Setup'!$K$8*(SUMIF($AD$3:$BA$3,"&lt;"&amp;$DF26,$B26:$Y26)+SUMIF($AD$3:$BA$3,"&gt;="&amp;$DG26,$B26:$Y26)),
IF(BA$3=$DF26+'Model Setup'!$L$7,SUMIF($AD$3:$BA$3,"="&amp;$DF26+'Model Setup'!$L$7,$B26:$Y26)+'Model Setup'!$L$8*(SUMIF($AD$3:$BA$3,"&lt;"&amp;$DF26,$B26:$Y26)+SUMIF($AD$3:$BA$3,"&gt;="&amp;$DG26,$B26:$Y26)),
IF(BA$3=$DF26+'Model Setup'!$M$7,SUMIF($AD$3:$BA$3,"="&amp;$DF26+'Model Setup'!$M$7,$B26:$Y26)+'Model Setup'!$M$8*(SUMIF($AD$3:$BA$3,"&lt;"&amp;$DF26,$B26:$Y26)+SUMIF($AD$3:$BA$3,"&gt;="&amp;$DG26,$B26:$Y26)),
IF(BA$3=$DF26+'Model Setup'!$N$7,SUMIF($AD$3:$BA$3,"="&amp;$DF26+'Model Setup'!$N$7,$B26:$Y26)+'Model Setup'!$N$8*(SUMIF($AD$3:$BA$3,"&lt;"&amp;$DF26,$B26:$Y26)+SUMIF($AD$3:$BA$3,"&gt;="&amp;$DG26,$B26:$Y26)),
IF(BA$3&lt;$DG26,Y26,0))))))))))))))),0)</f>
        <v>0</v>
      </c>
      <c r="BB26" s="47">
        <f t="shared" si="1"/>
        <v>223</v>
      </c>
      <c r="BD26" t="b">
        <f t="shared" si="2"/>
        <v>1</v>
      </c>
      <c r="BE26">
        <f t="shared" si="8"/>
        <v>0</v>
      </c>
      <c r="BF26">
        <f>(FTC!F24-FTC!E24)*24</f>
        <v>13</v>
      </c>
      <c r="BG26" s="43" t="s">
        <v>41</v>
      </c>
      <c r="BH26" s="47">
        <f>ROUND(IF(OR(BH$3&lt;$DF26,BH$3&gt;$CW$4),0,
IF(BH$3=$DF26+'Model Setup'!$B$7,SUMIF($BH$3:$CE$3,"="&amp;$DF26+'Model Setup'!$B$7,$AD26:$BA26)+'Model Setup'!$B$8*(SUMIF($BH$3:$CE$3,"&lt;"&amp;$DF26,$AD26:$BA26)+SUMIF($BH$3:$CE$3,"&gt;"&amp;$CW$4,$AD26:$BA26)),
IF(BH$3=$DF26+'Model Setup'!$C$7,SUMIF($BH$3:$CE$3,"="&amp;$DF26+'Model Setup'!$C$7,$AD26:$BA26)+'Model Setup'!$C$8*(SUMIF($BH$3:$CE$3,"&lt;"&amp;$DF26,$AD26:$BA26)+SUMIF($BH$3:$CE$3,"&gt;"&amp;$CW$4,$AD26:$BA26)),
IF(BH$3=$DF26+'Model Setup'!$D$7,SUMIF($BH$3:$CE$3,"="&amp;$DF26+'Model Setup'!$D$7,$AD26:$BA26)+'Model Setup'!$D$8*(SUMIF($BH$3:$CE$3,"&lt;"&amp;$DF26,$AD26:$BA26)+SUMIF($BH$3:$CE$3,"&gt;"&amp;$CW$4,$AD26:$BA26)),
IF(BH$3=$DF26+'Model Setup'!$E$7,SUMIF($BH$3:$CE$3,"="&amp;$DF26+'Model Setup'!$E$7,$AD26:$BA26)+'Model Setup'!$E$8*(SUMIF($BH$3:$CE$3,"&lt;"&amp;$DF26,$AD26:$BA26)+SUMIF($BH$3:$CE$3,"&gt;"&amp;$CW$4,$AD26:$BA26)),
IF(BH$3=$DF26+'Model Setup'!$F$7,SUMIF($BH$3:$CE$3,"="&amp;$DF26+'Model Setup'!$F$7,$AD26:$BA26)+'Model Setup'!$F$8*(SUMIF($BH$3:$CE$3,"&lt;"&amp;$DF26,$AD26:$BA26)+SUMIF($BH$3:$CE$3,"&gt;"&amp;$CW$4,$AD26:$BA26)),
IF(BH$3=$DF26+'Model Setup'!$G$7,SUMIF($BH$3:$CE$3,"="&amp;$DF26+'Model Setup'!$G$7,$AD26:$BA26)+'Model Setup'!$G$8*(SUMIF($BH$3:$CE$3,"&lt;"&amp;$DF26,$AD26:$BA26)+SUMIF($BH$3:$CE$3,"&gt;"&amp;$CW$4,$AD26:$BA26)),
IF(BH$3=$DF26+'Model Setup'!$H$7,SUMIF($BH$3:$CE$3,"="&amp;$DF26+'Model Setup'!$H$7,$AD26:$BA26)+'Model Setup'!$H$8*(SUMIF($BH$3:$CE$3,"&lt;"&amp;$DF26,$AD26:$BA26)+SUMIF($BH$3:$CE$3,"&gt;"&amp;$CW$4,$AD26:$BA26)),
IF(BH$3=$DF26+'Model Setup'!$I$7,SUMIF($BH$3:$CE$3,"="&amp;$DF26+'Model Setup'!$I$7,$AD26:$BA26)+'Model Setup'!$I$8*(SUMIF($BH$3:$CE$3,"&lt;"&amp;$DF26,$AD26:$BA26)+SUMIF($BH$3:$CE$3,"&gt;"&amp;$CW$4,$AD26:$BA26)),
IF(BH$3=$DF26+'Model Setup'!$J$7,SUMIF($BH$3:$CE$3,"="&amp;$DF26+'Model Setup'!$J$7,$AD26:$BA26)+'Model Setup'!$J$8*(SUMIF($BH$3:$CE$3,"&lt;"&amp;$DF26,$AD26:$BA26)+SUMIF($BH$3:$CE$3,"&gt;"&amp;$CW$4,$AD26:$BA26)),
IF(BH$3=$DF26+'Model Setup'!$K$7,SUMIF($BH$3:$CE$3,"="&amp;$DF26+'Model Setup'!$K$7,$AD26:$BA26)+'Model Setup'!$K$8*(SUMIF($BH$3:$CE$3,"&lt;"&amp;$DF26,$AD26:$BA26)+SUMIF($BH$3:$CE$3,"&gt;"&amp;$CW$4,$AD26:$BA26)),
IF(BH$3=$DF26+'Model Setup'!$L$7,SUMIF($BH$3:$CE$3,"="&amp;$DF26+'Model Setup'!$L$7,$AD26:$BA26)+'Model Setup'!$L$8*(SUMIF($BH$3:$CE$3,"&lt;"&amp;$DF26,$AD26:$BA26)+SUMIF($BH$3:$CE$3,"&gt;"&amp;$CW$4,$AD26:$BA26)),
IF(BH$3=$DF26+'Model Setup'!$M$7,SUMIF($BH$3:$CE$3,"="&amp;$DF26+'Model Setup'!$M$7,$AD26:$BA26)+'Model Setup'!$M$8*(SUMIF($BH$3:$CE$3,"&lt;"&amp;$DF26,$AD26:$BA26)+SUMIF($BH$3:$CE$3,"&gt;"&amp;$CW$4,$AD26:$BA26)),
IF(BH$3=$DF26+'Model Setup'!$N$7,SUMIF($BH$3:$CE$3,"="&amp;$DF26+'Model Setup'!$N$7,$AD26:$BA26)+'Model Setup'!$N$8*(SUMIF($BH$3:$CE$3,"&lt;"&amp;$DF26,$AD26:$BA26)+SUMIF($BH$3:$CE$3,"&gt;"&amp;$CW$4,$AD26:$BA26)),
IF(BH$3&lt;$CW$4,B26,0))))))))))))))),0)</f>
        <v>0</v>
      </c>
      <c r="BI26" s="47">
        <f>ROUND(IF(OR(BI$3&lt;$DF26,BI$3&gt;$CW$4),0,
IF(BI$3=$DF26+'Model Setup'!$B$7,SUMIF($BH$3:$CE$3,"="&amp;$DF26+'Model Setup'!$B$7,$AD26:$BA26)+'Model Setup'!$B$8*(SUMIF($BH$3:$CE$3,"&lt;"&amp;$DF26,$AD26:$BA26)+SUMIF($BH$3:$CE$3,"&gt;"&amp;$CW$4,$AD26:$BA26)),
IF(BI$3=$DF26+'Model Setup'!$C$7,SUMIF($BH$3:$CE$3,"="&amp;$DF26+'Model Setup'!$C$7,$AD26:$BA26)+'Model Setup'!$C$8*(SUMIF($BH$3:$CE$3,"&lt;"&amp;$DF26,$AD26:$BA26)+SUMIF($BH$3:$CE$3,"&gt;"&amp;$CW$4,$AD26:$BA26)),
IF(BI$3=$DF26+'Model Setup'!$D$7,SUMIF($BH$3:$CE$3,"="&amp;$DF26+'Model Setup'!$D$7,$AD26:$BA26)+'Model Setup'!$D$8*(SUMIF($BH$3:$CE$3,"&lt;"&amp;$DF26,$AD26:$BA26)+SUMIF($BH$3:$CE$3,"&gt;"&amp;$CW$4,$AD26:$BA26)),
IF(BI$3=$DF26+'Model Setup'!$E$7,SUMIF($BH$3:$CE$3,"="&amp;$DF26+'Model Setup'!$E$7,$AD26:$BA26)+'Model Setup'!$E$8*(SUMIF($BH$3:$CE$3,"&lt;"&amp;$DF26,$AD26:$BA26)+SUMIF($BH$3:$CE$3,"&gt;"&amp;$CW$4,$AD26:$BA26)),
IF(BI$3=$DF26+'Model Setup'!$F$7,SUMIF($BH$3:$CE$3,"="&amp;$DF26+'Model Setup'!$F$7,$AD26:$BA26)+'Model Setup'!$F$8*(SUMIF($BH$3:$CE$3,"&lt;"&amp;$DF26,$AD26:$BA26)+SUMIF($BH$3:$CE$3,"&gt;"&amp;$CW$4,$AD26:$BA26)),
IF(BI$3=$DF26+'Model Setup'!$G$7,SUMIF($BH$3:$CE$3,"="&amp;$DF26+'Model Setup'!$G$7,$AD26:$BA26)+'Model Setup'!$G$8*(SUMIF($BH$3:$CE$3,"&lt;"&amp;$DF26,$AD26:$BA26)+SUMIF($BH$3:$CE$3,"&gt;"&amp;$CW$4,$AD26:$BA26)),
IF(BI$3=$DF26+'Model Setup'!$H$7,SUMIF($BH$3:$CE$3,"="&amp;$DF26+'Model Setup'!$H$7,$AD26:$BA26)+'Model Setup'!$H$8*(SUMIF($BH$3:$CE$3,"&lt;"&amp;$DF26,$AD26:$BA26)+SUMIF($BH$3:$CE$3,"&gt;"&amp;$CW$4,$AD26:$BA26)),
IF(BI$3=$DF26+'Model Setup'!$I$7,SUMIF($BH$3:$CE$3,"="&amp;$DF26+'Model Setup'!$I$7,$AD26:$BA26)+'Model Setup'!$I$8*(SUMIF($BH$3:$CE$3,"&lt;"&amp;$DF26,$AD26:$BA26)+SUMIF($BH$3:$CE$3,"&gt;"&amp;$CW$4,$AD26:$BA26)),
IF(BI$3=$DF26+'Model Setup'!$J$7,SUMIF($BH$3:$CE$3,"="&amp;$DF26+'Model Setup'!$J$7,$AD26:$BA26)+'Model Setup'!$J$8*(SUMIF($BH$3:$CE$3,"&lt;"&amp;$DF26,$AD26:$BA26)+SUMIF($BH$3:$CE$3,"&gt;"&amp;$CW$4,$AD26:$BA26)),
IF(BI$3=$DF26+'Model Setup'!$K$7,SUMIF($BH$3:$CE$3,"="&amp;$DF26+'Model Setup'!$K$7,$AD26:$BA26)+'Model Setup'!$K$8*(SUMIF($BH$3:$CE$3,"&lt;"&amp;$DF26,$AD26:$BA26)+SUMIF($BH$3:$CE$3,"&gt;"&amp;$CW$4,$AD26:$BA26)),
IF(BI$3=$DF26+'Model Setup'!$L$7,SUMIF($BH$3:$CE$3,"="&amp;$DF26+'Model Setup'!$L$7,$AD26:$BA26)+'Model Setup'!$L$8*(SUMIF($BH$3:$CE$3,"&lt;"&amp;$DF26,$AD26:$BA26)+SUMIF($BH$3:$CE$3,"&gt;"&amp;$CW$4,$AD26:$BA26)),
IF(BI$3=$DF26+'Model Setup'!$M$7,SUMIF($BH$3:$CE$3,"="&amp;$DF26+'Model Setup'!$M$7,$AD26:$BA26)+'Model Setup'!$M$8*(SUMIF($BH$3:$CE$3,"&lt;"&amp;$DF26,$AD26:$BA26)+SUMIF($BH$3:$CE$3,"&gt;"&amp;$CW$4,$AD26:$BA26)),
IF(BI$3=$DF26+'Model Setup'!$N$7,SUMIF($BH$3:$CE$3,"="&amp;$DF26+'Model Setup'!$N$7,$AD26:$BA26)+'Model Setup'!$N$8*(SUMIF($BH$3:$CE$3,"&lt;"&amp;$DF26,$AD26:$BA26)+SUMIF($BH$3:$CE$3,"&gt;"&amp;$CW$4,$AD26:$BA26)),
IF(BI$3&lt;$CW$4,C26,0))))))))))))))),0)</f>
        <v>0</v>
      </c>
      <c r="BJ26" s="47">
        <f>ROUND(IF(OR(BJ$3&lt;$DF26,BJ$3&gt;$CW$4),0,
IF(BJ$3=$DF26+'Model Setup'!$B$7,SUMIF($BH$3:$CE$3,"="&amp;$DF26+'Model Setup'!$B$7,$AD26:$BA26)+'Model Setup'!$B$8*(SUMIF($BH$3:$CE$3,"&lt;"&amp;$DF26,$AD26:$BA26)+SUMIF($BH$3:$CE$3,"&gt;"&amp;$CW$4,$AD26:$BA26)),
IF(BJ$3=$DF26+'Model Setup'!$C$7,SUMIF($BH$3:$CE$3,"="&amp;$DF26+'Model Setup'!$C$7,$AD26:$BA26)+'Model Setup'!$C$8*(SUMIF($BH$3:$CE$3,"&lt;"&amp;$DF26,$AD26:$BA26)+SUMIF($BH$3:$CE$3,"&gt;"&amp;$CW$4,$AD26:$BA26)),
IF(BJ$3=$DF26+'Model Setup'!$D$7,SUMIF($BH$3:$CE$3,"="&amp;$DF26+'Model Setup'!$D$7,$AD26:$BA26)+'Model Setup'!$D$8*(SUMIF($BH$3:$CE$3,"&lt;"&amp;$DF26,$AD26:$BA26)+SUMIF($BH$3:$CE$3,"&gt;"&amp;$CW$4,$AD26:$BA26)),
IF(BJ$3=$DF26+'Model Setup'!$E$7,SUMIF($BH$3:$CE$3,"="&amp;$DF26+'Model Setup'!$E$7,$AD26:$BA26)+'Model Setup'!$E$8*(SUMIF($BH$3:$CE$3,"&lt;"&amp;$DF26,$AD26:$BA26)+SUMIF($BH$3:$CE$3,"&gt;"&amp;$CW$4,$AD26:$BA26)),
IF(BJ$3=$DF26+'Model Setup'!$F$7,SUMIF($BH$3:$CE$3,"="&amp;$DF26+'Model Setup'!$F$7,$AD26:$BA26)+'Model Setup'!$F$8*(SUMIF($BH$3:$CE$3,"&lt;"&amp;$DF26,$AD26:$BA26)+SUMIF($BH$3:$CE$3,"&gt;"&amp;$CW$4,$AD26:$BA26)),
IF(BJ$3=$DF26+'Model Setup'!$G$7,SUMIF($BH$3:$CE$3,"="&amp;$DF26+'Model Setup'!$G$7,$AD26:$BA26)+'Model Setup'!$G$8*(SUMIF($BH$3:$CE$3,"&lt;"&amp;$DF26,$AD26:$BA26)+SUMIF($BH$3:$CE$3,"&gt;"&amp;$CW$4,$AD26:$BA26)),
IF(BJ$3=$DF26+'Model Setup'!$H$7,SUMIF($BH$3:$CE$3,"="&amp;$DF26+'Model Setup'!$H$7,$AD26:$BA26)+'Model Setup'!$H$8*(SUMIF($BH$3:$CE$3,"&lt;"&amp;$DF26,$AD26:$BA26)+SUMIF($BH$3:$CE$3,"&gt;"&amp;$CW$4,$AD26:$BA26)),
IF(BJ$3=$DF26+'Model Setup'!$I$7,SUMIF($BH$3:$CE$3,"="&amp;$DF26+'Model Setup'!$I$7,$AD26:$BA26)+'Model Setup'!$I$8*(SUMIF($BH$3:$CE$3,"&lt;"&amp;$DF26,$AD26:$BA26)+SUMIF($BH$3:$CE$3,"&gt;"&amp;$CW$4,$AD26:$BA26)),
IF(BJ$3=$DF26+'Model Setup'!$J$7,SUMIF($BH$3:$CE$3,"="&amp;$DF26+'Model Setup'!$J$7,$AD26:$BA26)+'Model Setup'!$J$8*(SUMIF($BH$3:$CE$3,"&lt;"&amp;$DF26,$AD26:$BA26)+SUMIF($BH$3:$CE$3,"&gt;"&amp;$CW$4,$AD26:$BA26)),
IF(BJ$3=$DF26+'Model Setup'!$K$7,SUMIF($BH$3:$CE$3,"="&amp;$DF26+'Model Setup'!$K$7,$AD26:$BA26)+'Model Setup'!$K$8*(SUMIF($BH$3:$CE$3,"&lt;"&amp;$DF26,$AD26:$BA26)+SUMIF($BH$3:$CE$3,"&gt;"&amp;$CW$4,$AD26:$BA26)),
IF(BJ$3=$DF26+'Model Setup'!$L$7,SUMIF($BH$3:$CE$3,"="&amp;$DF26+'Model Setup'!$L$7,$AD26:$BA26)+'Model Setup'!$L$8*(SUMIF($BH$3:$CE$3,"&lt;"&amp;$DF26,$AD26:$BA26)+SUMIF($BH$3:$CE$3,"&gt;"&amp;$CW$4,$AD26:$BA26)),
IF(BJ$3=$DF26+'Model Setup'!$M$7,SUMIF($BH$3:$CE$3,"="&amp;$DF26+'Model Setup'!$M$7,$AD26:$BA26)+'Model Setup'!$M$8*(SUMIF($BH$3:$CE$3,"&lt;"&amp;$DF26,$AD26:$BA26)+SUMIF($BH$3:$CE$3,"&gt;"&amp;$CW$4,$AD26:$BA26)),
IF(BJ$3=$DF26+'Model Setup'!$N$7,SUMIF($BH$3:$CE$3,"="&amp;$DF26+'Model Setup'!$N$7,$AD26:$BA26)+'Model Setup'!$N$8*(SUMIF($BH$3:$CE$3,"&lt;"&amp;$DF26,$AD26:$BA26)+SUMIF($BH$3:$CE$3,"&gt;"&amp;$CW$4,$AD26:$BA26)),
IF(BJ$3&lt;$CW$4,D26,0))))))))))))))),0)</f>
        <v>0</v>
      </c>
      <c r="BK26" s="47">
        <f>ROUND(IF(OR(BK$3&lt;$DF26,BK$3&gt;$CW$4),0,
IF(BK$3=$DF26+'Model Setup'!$B$7,SUMIF($BH$3:$CE$3,"="&amp;$DF26+'Model Setup'!$B$7,$AD26:$BA26)+'Model Setup'!$B$8*(SUMIF($BH$3:$CE$3,"&lt;"&amp;$DF26,$AD26:$BA26)+SUMIF($BH$3:$CE$3,"&gt;"&amp;$CW$4,$AD26:$BA26)),
IF(BK$3=$DF26+'Model Setup'!$C$7,SUMIF($BH$3:$CE$3,"="&amp;$DF26+'Model Setup'!$C$7,$AD26:$BA26)+'Model Setup'!$C$8*(SUMIF($BH$3:$CE$3,"&lt;"&amp;$DF26,$AD26:$BA26)+SUMIF($BH$3:$CE$3,"&gt;"&amp;$CW$4,$AD26:$BA26)),
IF(BK$3=$DF26+'Model Setup'!$D$7,SUMIF($BH$3:$CE$3,"="&amp;$DF26+'Model Setup'!$D$7,$AD26:$BA26)+'Model Setup'!$D$8*(SUMIF($BH$3:$CE$3,"&lt;"&amp;$DF26,$AD26:$BA26)+SUMIF($BH$3:$CE$3,"&gt;"&amp;$CW$4,$AD26:$BA26)),
IF(BK$3=$DF26+'Model Setup'!$E$7,SUMIF($BH$3:$CE$3,"="&amp;$DF26+'Model Setup'!$E$7,$AD26:$BA26)+'Model Setup'!$E$8*(SUMIF($BH$3:$CE$3,"&lt;"&amp;$DF26,$AD26:$BA26)+SUMIF($BH$3:$CE$3,"&gt;"&amp;$CW$4,$AD26:$BA26)),
IF(BK$3=$DF26+'Model Setup'!$F$7,SUMIF($BH$3:$CE$3,"="&amp;$DF26+'Model Setup'!$F$7,$AD26:$BA26)+'Model Setup'!$F$8*(SUMIF($BH$3:$CE$3,"&lt;"&amp;$DF26,$AD26:$BA26)+SUMIF($BH$3:$CE$3,"&gt;"&amp;$CW$4,$AD26:$BA26)),
IF(BK$3=$DF26+'Model Setup'!$G$7,SUMIF($BH$3:$CE$3,"="&amp;$DF26+'Model Setup'!$G$7,$AD26:$BA26)+'Model Setup'!$G$8*(SUMIF($BH$3:$CE$3,"&lt;"&amp;$DF26,$AD26:$BA26)+SUMIF($BH$3:$CE$3,"&gt;"&amp;$CW$4,$AD26:$BA26)),
IF(BK$3=$DF26+'Model Setup'!$H$7,SUMIF($BH$3:$CE$3,"="&amp;$DF26+'Model Setup'!$H$7,$AD26:$BA26)+'Model Setup'!$H$8*(SUMIF($BH$3:$CE$3,"&lt;"&amp;$DF26,$AD26:$BA26)+SUMIF($BH$3:$CE$3,"&gt;"&amp;$CW$4,$AD26:$BA26)),
IF(BK$3=$DF26+'Model Setup'!$I$7,SUMIF($BH$3:$CE$3,"="&amp;$DF26+'Model Setup'!$I$7,$AD26:$BA26)+'Model Setup'!$I$8*(SUMIF($BH$3:$CE$3,"&lt;"&amp;$DF26,$AD26:$BA26)+SUMIF($BH$3:$CE$3,"&gt;"&amp;$CW$4,$AD26:$BA26)),
IF(BK$3=$DF26+'Model Setup'!$J$7,SUMIF($BH$3:$CE$3,"="&amp;$DF26+'Model Setup'!$J$7,$AD26:$BA26)+'Model Setup'!$J$8*(SUMIF($BH$3:$CE$3,"&lt;"&amp;$DF26,$AD26:$BA26)+SUMIF($BH$3:$CE$3,"&gt;"&amp;$CW$4,$AD26:$BA26)),
IF(BK$3=$DF26+'Model Setup'!$K$7,SUMIF($BH$3:$CE$3,"="&amp;$DF26+'Model Setup'!$K$7,$AD26:$BA26)+'Model Setup'!$K$8*(SUMIF($BH$3:$CE$3,"&lt;"&amp;$DF26,$AD26:$BA26)+SUMIF($BH$3:$CE$3,"&gt;"&amp;$CW$4,$AD26:$BA26)),
IF(BK$3=$DF26+'Model Setup'!$L$7,SUMIF($BH$3:$CE$3,"="&amp;$DF26+'Model Setup'!$L$7,$AD26:$BA26)+'Model Setup'!$L$8*(SUMIF($BH$3:$CE$3,"&lt;"&amp;$DF26,$AD26:$BA26)+SUMIF($BH$3:$CE$3,"&gt;"&amp;$CW$4,$AD26:$BA26)),
IF(BK$3=$DF26+'Model Setup'!$M$7,SUMIF($BH$3:$CE$3,"="&amp;$DF26+'Model Setup'!$M$7,$AD26:$BA26)+'Model Setup'!$M$8*(SUMIF($BH$3:$CE$3,"&lt;"&amp;$DF26,$AD26:$BA26)+SUMIF($BH$3:$CE$3,"&gt;"&amp;$CW$4,$AD26:$BA26)),
IF(BK$3=$DF26+'Model Setup'!$N$7,SUMIF($BH$3:$CE$3,"="&amp;$DF26+'Model Setup'!$N$7,$AD26:$BA26)+'Model Setup'!$N$8*(SUMIF($BH$3:$CE$3,"&lt;"&amp;$DF26,$AD26:$BA26)+SUMIF($BH$3:$CE$3,"&gt;"&amp;$CW$4,$AD26:$BA26)),
IF(BK$3&lt;$CW$4,E26,0))))))))))))))),0)</f>
        <v>0</v>
      </c>
      <c r="BL26" s="47">
        <f>ROUND(IF(OR(BL$3&lt;$DF26,BL$3&gt;$CW$4),0,
IF(BL$3=$DF26+'Model Setup'!$B$7,SUMIF($BH$3:$CE$3,"="&amp;$DF26+'Model Setup'!$B$7,$AD26:$BA26)+'Model Setup'!$B$8*(SUMIF($BH$3:$CE$3,"&lt;"&amp;$DF26,$AD26:$BA26)+SUMIF($BH$3:$CE$3,"&gt;"&amp;$CW$4,$AD26:$BA26)),
IF(BL$3=$DF26+'Model Setup'!$C$7,SUMIF($BH$3:$CE$3,"="&amp;$DF26+'Model Setup'!$C$7,$AD26:$BA26)+'Model Setup'!$C$8*(SUMIF($BH$3:$CE$3,"&lt;"&amp;$DF26,$AD26:$BA26)+SUMIF($BH$3:$CE$3,"&gt;"&amp;$CW$4,$AD26:$BA26)),
IF(BL$3=$DF26+'Model Setup'!$D$7,SUMIF($BH$3:$CE$3,"="&amp;$DF26+'Model Setup'!$D$7,$AD26:$BA26)+'Model Setup'!$D$8*(SUMIF($BH$3:$CE$3,"&lt;"&amp;$DF26,$AD26:$BA26)+SUMIF($BH$3:$CE$3,"&gt;"&amp;$CW$4,$AD26:$BA26)),
IF(BL$3=$DF26+'Model Setup'!$E$7,SUMIF($BH$3:$CE$3,"="&amp;$DF26+'Model Setup'!$E$7,$AD26:$BA26)+'Model Setup'!$E$8*(SUMIF($BH$3:$CE$3,"&lt;"&amp;$DF26,$AD26:$BA26)+SUMIF($BH$3:$CE$3,"&gt;"&amp;$CW$4,$AD26:$BA26)),
IF(BL$3=$DF26+'Model Setup'!$F$7,SUMIF($BH$3:$CE$3,"="&amp;$DF26+'Model Setup'!$F$7,$AD26:$BA26)+'Model Setup'!$F$8*(SUMIF($BH$3:$CE$3,"&lt;"&amp;$DF26,$AD26:$BA26)+SUMIF($BH$3:$CE$3,"&gt;"&amp;$CW$4,$AD26:$BA26)),
IF(BL$3=$DF26+'Model Setup'!$G$7,SUMIF($BH$3:$CE$3,"="&amp;$DF26+'Model Setup'!$G$7,$AD26:$BA26)+'Model Setup'!$G$8*(SUMIF($BH$3:$CE$3,"&lt;"&amp;$DF26,$AD26:$BA26)+SUMIF($BH$3:$CE$3,"&gt;"&amp;$CW$4,$AD26:$BA26)),
IF(BL$3=$DF26+'Model Setup'!$H$7,SUMIF($BH$3:$CE$3,"="&amp;$DF26+'Model Setup'!$H$7,$AD26:$BA26)+'Model Setup'!$H$8*(SUMIF($BH$3:$CE$3,"&lt;"&amp;$DF26,$AD26:$BA26)+SUMIF($BH$3:$CE$3,"&gt;"&amp;$CW$4,$AD26:$BA26)),
IF(BL$3=$DF26+'Model Setup'!$I$7,SUMIF($BH$3:$CE$3,"="&amp;$DF26+'Model Setup'!$I$7,$AD26:$BA26)+'Model Setup'!$I$8*(SUMIF($BH$3:$CE$3,"&lt;"&amp;$DF26,$AD26:$BA26)+SUMIF($BH$3:$CE$3,"&gt;"&amp;$CW$4,$AD26:$BA26)),
IF(BL$3=$DF26+'Model Setup'!$J$7,SUMIF($BH$3:$CE$3,"="&amp;$DF26+'Model Setup'!$J$7,$AD26:$BA26)+'Model Setup'!$J$8*(SUMIF($BH$3:$CE$3,"&lt;"&amp;$DF26,$AD26:$BA26)+SUMIF($BH$3:$CE$3,"&gt;"&amp;$CW$4,$AD26:$BA26)),
IF(BL$3=$DF26+'Model Setup'!$K$7,SUMIF($BH$3:$CE$3,"="&amp;$DF26+'Model Setup'!$K$7,$AD26:$BA26)+'Model Setup'!$K$8*(SUMIF($BH$3:$CE$3,"&lt;"&amp;$DF26,$AD26:$BA26)+SUMIF($BH$3:$CE$3,"&gt;"&amp;$CW$4,$AD26:$BA26)),
IF(BL$3=$DF26+'Model Setup'!$L$7,SUMIF($BH$3:$CE$3,"="&amp;$DF26+'Model Setup'!$L$7,$AD26:$BA26)+'Model Setup'!$L$8*(SUMIF($BH$3:$CE$3,"&lt;"&amp;$DF26,$AD26:$BA26)+SUMIF($BH$3:$CE$3,"&gt;"&amp;$CW$4,$AD26:$BA26)),
IF(BL$3=$DF26+'Model Setup'!$M$7,SUMIF($BH$3:$CE$3,"="&amp;$DF26+'Model Setup'!$M$7,$AD26:$BA26)+'Model Setup'!$M$8*(SUMIF($BH$3:$CE$3,"&lt;"&amp;$DF26,$AD26:$BA26)+SUMIF($BH$3:$CE$3,"&gt;"&amp;$CW$4,$AD26:$BA26)),
IF(BL$3=$DF26+'Model Setup'!$N$7,SUMIF($BH$3:$CE$3,"="&amp;$DF26+'Model Setup'!$N$7,$AD26:$BA26)+'Model Setup'!$N$8*(SUMIF($BH$3:$CE$3,"&lt;"&amp;$DF26,$AD26:$BA26)+SUMIF($BH$3:$CE$3,"&gt;"&amp;$CW$4,$AD26:$BA26)),
IF(BL$3&lt;$CW$4,F26,0))))))))))))))),0)</f>
        <v>0</v>
      </c>
      <c r="BM26" s="47">
        <f>ROUND(IF(OR(BM$3&lt;$DF26,BM$3&gt;$CW$4),0,
IF(BM$3=$DF26+'Model Setup'!$B$7,SUMIF($BH$3:$CE$3,"="&amp;$DF26+'Model Setup'!$B$7,$AD26:$BA26)+'Model Setup'!$B$8*(SUMIF($BH$3:$CE$3,"&lt;"&amp;$DF26,$AD26:$BA26)+SUMIF($BH$3:$CE$3,"&gt;"&amp;$CW$4,$AD26:$BA26)),
IF(BM$3=$DF26+'Model Setup'!$C$7,SUMIF($BH$3:$CE$3,"="&amp;$DF26+'Model Setup'!$C$7,$AD26:$BA26)+'Model Setup'!$C$8*(SUMIF($BH$3:$CE$3,"&lt;"&amp;$DF26,$AD26:$BA26)+SUMIF($BH$3:$CE$3,"&gt;"&amp;$CW$4,$AD26:$BA26)),
IF(BM$3=$DF26+'Model Setup'!$D$7,SUMIF($BH$3:$CE$3,"="&amp;$DF26+'Model Setup'!$D$7,$AD26:$BA26)+'Model Setup'!$D$8*(SUMIF($BH$3:$CE$3,"&lt;"&amp;$DF26,$AD26:$BA26)+SUMIF($BH$3:$CE$3,"&gt;"&amp;$CW$4,$AD26:$BA26)),
IF(BM$3=$DF26+'Model Setup'!$E$7,SUMIF($BH$3:$CE$3,"="&amp;$DF26+'Model Setup'!$E$7,$AD26:$BA26)+'Model Setup'!$E$8*(SUMIF($BH$3:$CE$3,"&lt;"&amp;$DF26,$AD26:$BA26)+SUMIF($BH$3:$CE$3,"&gt;"&amp;$CW$4,$AD26:$BA26)),
IF(BM$3=$DF26+'Model Setup'!$F$7,SUMIF($BH$3:$CE$3,"="&amp;$DF26+'Model Setup'!$F$7,$AD26:$BA26)+'Model Setup'!$F$8*(SUMIF($BH$3:$CE$3,"&lt;"&amp;$DF26,$AD26:$BA26)+SUMIF($BH$3:$CE$3,"&gt;"&amp;$CW$4,$AD26:$BA26)),
IF(BM$3=$DF26+'Model Setup'!$G$7,SUMIF($BH$3:$CE$3,"="&amp;$DF26+'Model Setup'!$G$7,$AD26:$BA26)+'Model Setup'!$G$8*(SUMIF($BH$3:$CE$3,"&lt;"&amp;$DF26,$AD26:$BA26)+SUMIF($BH$3:$CE$3,"&gt;"&amp;$CW$4,$AD26:$BA26)),
IF(BM$3=$DF26+'Model Setup'!$H$7,SUMIF($BH$3:$CE$3,"="&amp;$DF26+'Model Setup'!$H$7,$AD26:$BA26)+'Model Setup'!$H$8*(SUMIF($BH$3:$CE$3,"&lt;"&amp;$DF26,$AD26:$BA26)+SUMIF($BH$3:$CE$3,"&gt;"&amp;$CW$4,$AD26:$BA26)),
IF(BM$3=$DF26+'Model Setup'!$I$7,SUMIF($BH$3:$CE$3,"="&amp;$DF26+'Model Setup'!$I$7,$AD26:$BA26)+'Model Setup'!$I$8*(SUMIF($BH$3:$CE$3,"&lt;"&amp;$DF26,$AD26:$BA26)+SUMIF($BH$3:$CE$3,"&gt;"&amp;$CW$4,$AD26:$BA26)),
IF(BM$3=$DF26+'Model Setup'!$J$7,SUMIF($BH$3:$CE$3,"="&amp;$DF26+'Model Setup'!$J$7,$AD26:$BA26)+'Model Setup'!$J$8*(SUMIF($BH$3:$CE$3,"&lt;"&amp;$DF26,$AD26:$BA26)+SUMIF($BH$3:$CE$3,"&gt;"&amp;$CW$4,$AD26:$BA26)),
IF(BM$3=$DF26+'Model Setup'!$K$7,SUMIF($BH$3:$CE$3,"="&amp;$DF26+'Model Setup'!$K$7,$AD26:$BA26)+'Model Setup'!$K$8*(SUMIF($BH$3:$CE$3,"&lt;"&amp;$DF26,$AD26:$BA26)+SUMIF($BH$3:$CE$3,"&gt;"&amp;$CW$4,$AD26:$BA26)),
IF(BM$3=$DF26+'Model Setup'!$L$7,SUMIF($BH$3:$CE$3,"="&amp;$DF26+'Model Setup'!$L$7,$AD26:$BA26)+'Model Setup'!$L$8*(SUMIF($BH$3:$CE$3,"&lt;"&amp;$DF26,$AD26:$BA26)+SUMIF($BH$3:$CE$3,"&gt;"&amp;$CW$4,$AD26:$BA26)),
IF(BM$3=$DF26+'Model Setup'!$M$7,SUMIF($BH$3:$CE$3,"="&amp;$DF26+'Model Setup'!$M$7,$AD26:$BA26)+'Model Setup'!$M$8*(SUMIF($BH$3:$CE$3,"&lt;"&amp;$DF26,$AD26:$BA26)+SUMIF($BH$3:$CE$3,"&gt;"&amp;$CW$4,$AD26:$BA26)),
IF(BM$3=$DF26+'Model Setup'!$N$7,SUMIF($BH$3:$CE$3,"="&amp;$DF26+'Model Setup'!$N$7,$AD26:$BA26)+'Model Setup'!$N$8*(SUMIF($BH$3:$CE$3,"&lt;"&amp;$DF26,$AD26:$BA26)+SUMIF($BH$3:$CE$3,"&gt;"&amp;$CW$4,$AD26:$BA26)),
IF(BM$3&lt;$CW$4,G26,0))))))))))))))),0)</f>
        <v>7</v>
      </c>
      <c r="BN26" s="47">
        <f>ROUND(IF(OR(BN$3&lt;$DF26,BN$3&gt;$CW$4),0,
IF(BN$3=$DF26+'Model Setup'!$B$7,SUMIF($BH$3:$CE$3,"="&amp;$DF26+'Model Setup'!$B$7,$AD26:$BA26)+'Model Setup'!$B$8*(SUMIF($BH$3:$CE$3,"&lt;"&amp;$DF26,$AD26:$BA26)+SUMIF($BH$3:$CE$3,"&gt;"&amp;$CW$4,$AD26:$BA26)),
IF(BN$3=$DF26+'Model Setup'!$C$7,SUMIF($BH$3:$CE$3,"="&amp;$DF26+'Model Setup'!$C$7,$AD26:$BA26)+'Model Setup'!$C$8*(SUMIF($BH$3:$CE$3,"&lt;"&amp;$DF26,$AD26:$BA26)+SUMIF($BH$3:$CE$3,"&gt;"&amp;$CW$4,$AD26:$BA26)),
IF(BN$3=$DF26+'Model Setup'!$D$7,SUMIF($BH$3:$CE$3,"="&amp;$DF26+'Model Setup'!$D$7,$AD26:$BA26)+'Model Setup'!$D$8*(SUMIF($BH$3:$CE$3,"&lt;"&amp;$DF26,$AD26:$BA26)+SUMIF($BH$3:$CE$3,"&gt;"&amp;$CW$4,$AD26:$BA26)),
IF(BN$3=$DF26+'Model Setup'!$E$7,SUMIF($BH$3:$CE$3,"="&amp;$DF26+'Model Setup'!$E$7,$AD26:$BA26)+'Model Setup'!$E$8*(SUMIF($BH$3:$CE$3,"&lt;"&amp;$DF26,$AD26:$BA26)+SUMIF($BH$3:$CE$3,"&gt;"&amp;$CW$4,$AD26:$BA26)),
IF(BN$3=$DF26+'Model Setup'!$F$7,SUMIF($BH$3:$CE$3,"="&amp;$DF26+'Model Setup'!$F$7,$AD26:$BA26)+'Model Setup'!$F$8*(SUMIF($BH$3:$CE$3,"&lt;"&amp;$DF26,$AD26:$BA26)+SUMIF($BH$3:$CE$3,"&gt;"&amp;$CW$4,$AD26:$BA26)),
IF(BN$3=$DF26+'Model Setup'!$G$7,SUMIF($BH$3:$CE$3,"="&amp;$DF26+'Model Setup'!$G$7,$AD26:$BA26)+'Model Setup'!$G$8*(SUMIF($BH$3:$CE$3,"&lt;"&amp;$DF26,$AD26:$BA26)+SUMIF($BH$3:$CE$3,"&gt;"&amp;$CW$4,$AD26:$BA26)),
IF(BN$3=$DF26+'Model Setup'!$H$7,SUMIF($BH$3:$CE$3,"="&amp;$DF26+'Model Setup'!$H$7,$AD26:$BA26)+'Model Setup'!$H$8*(SUMIF($BH$3:$CE$3,"&lt;"&amp;$DF26,$AD26:$BA26)+SUMIF($BH$3:$CE$3,"&gt;"&amp;$CW$4,$AD26:$BA26)),
IF(BN$3=$DF26+'Model Setup'!$I$7,SUMIF($BH$3:$CE$3,"="&amp;$DF26+'Model Setup'!$I$7,$AD26:$BA26)+'Model Setup'!$I$8*(SUMIF($BH$3:$CE$3,"&lt;"&amp;$DF26,$AD26:$BA26)+SUMIF($BH$3:$CE$3,"&gt;"&amp;$CW$4,$AD26:$BA26)),
IF(BN$3=$DF26+'Model Setup'!$J$7,SUMIF($BH$3:$CE$3,"="&amp;$DF26+'Model Setup'!$J$7,$AD26:$BA26)+'Model Setup'!$J$8*(SUMIF($BH$3:$CE$3,"&lt;"&amp;$DF26,$AD26:$BA26)+SUMIF($BH$3:$CE$3,"&gt;"&amp;$CW$4,$AD26:$BA26)),
IF(BN$3=$DF26+'Model Setup'!$K$7,SUMIF($BH$3:$CE$3,"="&amp;$DF26+'Model Setup'!$K$7,$AD26:$BA26)+'Model Setup'!$K$8*(SUMIF($BH$3:$CE$3,"&lt;"&amp;$DF26,$AD26:$BA26)+SUMIF($BH$3:$CE$3,"&gt;"&amp;$CW$4,$AD26:$BA26)),
IF(BN$3=$DF26+'Model Setup'!$L$7,SUMIF($BH$3:$CE$3,"="&amp;$DF26+'Model Setup'!$L$7,$AD26:$BA26)+'Model Setup'!$L$8*(SUMIF($BH$3:$CE$3,"&lt;"&amp;$DF26,$AD26:$BA26)+SUMIF($BH$3:$CE$3,"&gt;"&amp;$CW$4,$AD26:$BA26)),
IF(BN$3=$DF26+'Model Setup'!$M$7,SUMIF($BH$3:$CE$3,"="&amp;$DF26+'Model Setup'!$M$7,$AD26:$BA26)+'Model Setup'!$M$8*(SUMIF($BH$3:$CE$3,"&lt;"&amp;$DF26,$AD26:$BA26)+SUMIF($BH$3:$CE$3,"&gt;"&amp;$CW$4,$AD26:$BA26)),
IF(BN$3=$DF26+'Model Setup'!$N$7,SUMIF($BH$3:$CE$3,"="&amp;$DF26+'Model Setup'!$N$7,$AD26:$BA26)+'Model Setup'!$N$8*(SUMIF($BH$3:$CE$3,"&lt;"&amp;$DF26,$AD26:$BA26)+SUMIF($BH$3:$CE$3,"&gt;"&amp;$CW$4,$AD26:$BA26)),
IF(BN$3&lt;$CW$4,H26,0))))))))))))))),0)</f>
        <v>32</v>
      </c>
      <c r="BO26" s="47">
        <f>ROUND(IF(OR(BO$3&lt;$DF26,BO$3&gt;$CW$4),0,
IF(BO$3=$DF26+'Model Setup'!$B$7,SUMIF($BH$3:$CE$3,"="&amp;$DF26+'Model Setup'!$B$7,$AD26:$BA26)+'Model Setup'!$B$8*(SUMIF($BH$3:$CE$3,"&lt;"&amp;$DF26,$AD26:$BA26)+SUMIF($BH$3:$CE$3,"&gt;"&amp;$CW$4,$AD26:$BA26)),
IF(BO$3=$DF26+'Model Setup'!$C$7,SUMIF($BH$3:$CE$3,"="&amp;$DF26+'Model Setup'!$C$7,$AD26:$BA26)+'Model Setup'!$C$8*(SUMIF($BH$3:$CE$3,"&lt;"&amp;$DF26,$AD26:$BA26)+SUMIF($BH$3:$CE$3,"&gt;"&amp;$CW$4,$AD26:$BA26)),
IF(BO$3=$DF26+'Model Setup'!$D$7,SUMIF($BH$3:$CE$3,"="&amp;$DF26+'Model Setup'!$D$7,$AD26:$BA26)+'Model Setup'!$D$8*(SUMIF($BH$3:$CE$3,"&lt;"&amp;$DF26,$AD26:$BA26)+SUMIF($BH$3:$CE$3,"&gt;"&amp;$CW$4,$AD26:$BA26)),
IF(BO$3=$DF26+'Model Setup'!$E$7,SUMIF($BH$3:$CE$3,"="&amp;$DF26+'Model Setup'!$E$7,$AD26:$BA26)+'Model Setup'!$E$8*(SUMIF($BH$3:$CE$3,"&lt;"&amp;$DF26,$AD26:$BA26)+SUMIF($BH$3:$CE$3,"&gt;"&amp;$CW$4,$AD26:$BA26)),
IF(BO$3=$DF26+'Model Setup'!$F$7,SUMIF($BH$3:$CE$3,"="&amp;$DF26+'Model Setup'!$F$7,$AD26:$BA26)+'Model Setup'!$F$8*(SUMIF($BH$3:$CE$3,"&lt;"&amp;$DF26,$AD26:$BA26)+SUMIF($BH$3:$CE$3,"&gt;"&amp;$CW$4,$AD26:$BA26)),
IF(BO$3=$DF26+'Model Setup'!$G$7,SUMIF($BH$3:$CE$3,"="&amp;$DF26+'Model Setup'!$G$7,$AD26:$BA26)+'Model Setup'!$G$8*(SUMIF($BH$3:$CE$3,"&lt;"&amp;$DF26,$AD26:$BA26)+SUMIF($BH$3:$CE$3,"&gt;"&amp;$CW$4,$AD26:$BA26)),
IF(BO$3=$DF26+'Model Setup'!$H$7,SUMIF($BH$3:$CE$3,"="&amp;$DF26+'Model Setup'!$H$7,$AD26:$BA26)+'Model Setup'!$H$8*(SUMIF($BH$3:$CE$3,"&lt;"&amp;$DF26,$AD26:$BA26)+SUMIF($BH$3:$CE$3,"&gt;"&amp;$CW$4,$AD26:$BA26)),
IF(BO$3=$DF26+'Model Setup'!$I$7,SUMIF($BH$3:$CE$3,"="&amp;$DF26+'Model Setup'!$I$7,$AD26:$BA26)+'Model Setup'!$I$8*(SUMIF($BH$3:$CE$3,"&lt;"&amp;$DF26,$AD26:$BA26)+SUMIF($BH$3:$CE$3,"&gt;"&amp;$CW$4,$AD26:$BA26)),
IF(BO$3=$DF26+'Model Setup'!$J$7,SUMIF($BH$3:$CE$3,"="&amp;$DF26+'Model Setup'!$J$7,$AD26:$BA26)+'Model Setup'!$J$8*(SUMIF($BH$3:$CE$3,"&lt;"&amp;$DF26,$AD26:$BA26)+SUMIF($BH$3:$CE$3,"&gt;"&amp;$CW$4,$AD26:$BA26)),
IF(BO$3=$DF26+'Model Setup'!$K$7,SUMIF($BH$3:$CE$3,"="&amp;$DF26+'Model Setup'!$K$7,$AD26:$BA26)+'Model Setup'!$K$8*(SUMIF($BH$3:$CE$3,"&lt;"&amp;$DF26,$AD26:$BA26)+SUMIF($BH$3:$CE$3,"&gt;"&amp;$CW$4,$AD26:$BA26)),
IF(BO$3=$DF26+'Model Setup'!$L$7,SUMIF($BH$3:$CE$3,"="&amp;$DF26+'Model Setup'!$L$7,$AD26:$BA26)+'Model Setup'!$L$8*(SUMIF($BH$3:$CE$3,"&lt;"&amp;$DF26,$AD26:$BA26)+SUMIF($BH$3:$CE$3,"&gt;"&amp;$CW$4,$AD26:$BA26)),
IF(BO$3=$DF26+'Model Setup'!$M$7,SUMIF($BH$3:$CE$3,"="&amp;$DF26+'Model Setup'!$M$7,$AD26:$BA26)+'Model Setup'!$M$8*(SUMIF($BH$3:$CE$3,"&lt;"&amp;$DF26,$AD26:$BA26)+SUMIF($BH$3:$CE$3,"&gt;"&amp;$CW$4,$AD26:$BA26)),
IF(BO$3=$DF26+'Model Setup'!$N$7,SUMIF($BH$3:$CE$3,"="&amp;$DF26+'Model Setup'!$N$7,$AD26:$BA26)+'Model Setup'!$N$8*(SUMIF($BH$3:$CE$3,"&lt;"&amp;$DF26,$AD26:$BA26)+SUMIF($BH$3:$CE$3,"&gt;"&amp;$CW$4,$AD26:$BA26)),
IF(BO$3&lt;$CW$4,I26,0))))))))))))))),0)</f>
        <v>31</v>
      </c>
      <c r="BP26" s="47">
        <f>ROUND(IF(OR(BP$3&lt;$DF26,BP$3&gt;$CW$4),0,
IF(BP$3=$DF26+'Model Setup'!$B$7,SUMIF($BH$3:$CE$3,"="&amp;$DF26+'Model Setup'!$B$7,$AD26:$BA26)+'Model Setup'!$B$8*(SUMIF($BH$3:$CE$3,"&lt;"&amp;$DF26,$AD26:$BA26)+SUMIF($BH$3:$CE$3,"&gt;"&amp;$CW$4,$AD26:$BA26)),
IF(BP$3=$DF26+'Model Setup'!$C$7,SUMIF($BH$3:$CE$3,"="&amp;$DF26+'Model Setup'!$C$7,$AD26:$BA26)+'Model Setup'!$C$8*(SUMIF($BH$3:$CE$3,"&lt;"&amp;$DF26,$AD26:$BA26)+SUMIF($BH$3:$CE$3,"&gt;"&amp;$CW$4,$AD26:$BA26)),
IF(BP$3=$DF26+'Model Setup'!$D$7,SUMIF($BH$3:$CE$3,"="&amp;$DF26+'Model Setup'!$D$7,$AD26:$BA26)+'Model Setup'!$D$8*(SUMIF($BH$3:$CE$3,"&lt;"&amp;$DF26,$AD26:$BA26)+SUMIF($BH$3:$CE$3,"&gt;"&amp;$CW$4,$AD26:$BA26)),
IF(BP$3=$DF26+'Model Setup'!$E$7,SUMIF($BH$3:$CE$3,"="&amp;$DF26+'Model Setup'!$E$7,$AD26:$BA26)+'Model Setup'!$E$8*(SUMIF($BH$3:$CE$3,"&lt;"&amp;$DF26,$AD26:$BA26)+SUMIF($BH$3:$CE$3,"&gt;"&amp;$CW$4,$AD26:$BA26)),
IF(BP$3=$DF26+'Model Setup'!$F$7,SUMIF($BH$3:$CE$3,"="&amp;$DF26+'Model Setup'!$F$7,$AD26:$BA26)+'Model Setup'!$F$8*(SUMIF($BH$3:$CE$3,"&lt;"&amp;$DF26,$AD26:$BA26)+SUMIF($BH$3:$CE$3,"&gt;"&amp;$CW$4,$AD26:$BA26)),
IF(BP$3=$DF26+'Model Setup'!$G$7,SUMIF($BH$3:$CE$3,"="&amp;$DF26+'Model Setup'!$G$7,$AD26:$BA26)+'Model Setup'!$G$8*(SUMIF($BH$3:$CE$3,"&lt;"&amp;$DF26,$AD26:$BA26)+SUMIF($BH$3:$CE$3,"&gt;"&amp;$CW$4,$AD26:$BA26)),
IF(BP$3=$DF26+'Model Setup'!$H$7,SUMIF($BH$3:$CE$3,"="&amp;$DF26+'Model Setup'!$H$7,$AD26:$BA26)+'Model Setup'!$H$8*(SUMIF($BH$3:$CE$3,"&lt;"&amp;$DF26,$AD26:$BA26)+SUMIF($BH$3:$CE$3,"&gt;"&amp;$CW$4,$AD26:$BA26)),
IF(BP$3=$DF26+'Model Setup'!$I$7,SUMIF($BH$3:$CE$3,"="&amp;$DF26+'Model Setup'!$I$7,$AD26:$BA26)+'Model Setup'!$I$8*(SUMIF($BH$3:$CE$3,"&lt;"&amp;$DF26,$AD26:$BA26)+SUMIF($BH$3:$CE$3,"&gt;"&amp;$CW$4,$AD26:$BA26)),
IF(BP$3=$DF26+'Model Setup'!$J$7,SUMIF($BH$3:$CE$3,"="&amp;$DF26+'Model Setup'!$J$7,$AD26:$BA26)+'Model Setup'!$J$8*(SUMIF($BH$3:$CE$3,"&lt;"&amp;$DF26,$AD26:$BA26)+SUMIF($BH$3:$CE$3,"&gt;"&amp;$CW$4,$AD26:$BA26)),
IF(BP$3=$DF26+'Model Setup'!$K$7,SUMIF($BH$3:$CE$3,"="&amp;$DF26+'Model Setup'!$K$7,$AD26:$BA26)+'Model Setup'!$K$8*(SUMIF($BH$3:$CE$3,"&lt;"&amp;$DF26,$AD26:$BA26)+SUMIF($BH$3:$CE$3,"&gt;"&amp;$CW$4,$AD26:$BA26)),
IF(BP$3=$DF26+'Model Setup'!$L$7,SUMIF($BH$3:$CE$3,"="&amp;$DF26+'Model Setup'!$L$7,$AD26:$BA26)+'Model Setup'!$L$8*(SUMIF($BH$3:$CE$3,"&lt;"&amp;$DF26,$AD26:$BA26)+SUMIF($BH$3:$CE$3,"&gt;"&amp;$CW$4,$AD26:$BA26)),
IF(BP$3=$DF26+'Model Setup'!$M$7,SUMIF($BH$3:$CE$3,"="&amp;$DF26+'Model Setup'!$M$7,$AD26:$BA26)+'Model Setup'!$M$8*(SUMIF($BH$3:$CE$3,"&lt;"&amp;$DF26,$AD26:$BA26)+SUMIF($BH$3:$CE$3,"&gt;"&amp;$CW$4,$AD26:$BA26)),
IF(BP$3=$DF26+'Model Setup'!$N$7,SUMIF($BH$3:$CE$3,"="&amp;$DF26+'Model Setup'!$N$7,$AD26:$BA26)+'Model Setup'!$N$8*(SUMIF($BH$3:$CE$3,"&lt;"&amp;$DF26,$AD26:$BA26)+SUMIF($BH$3:$CE$3,"&gt;"&amp;$CW$4,$AD26:$BA26)),
IF(BP$3&lt;$CW$4,J26,0))))))))))))))),0)</f>
        <v>33</v>
      </c>
      <c r="BQ26" s="47">
        <f>ROUND(IF(OR(BQ$3&lt;$DF26,BQ$3&gt;$CW$4),0,
IF(BQ$3=$DF26+'Model Setup'!$B$7,SUMIF($BH$3:$CE$3,"="&amp;$DF26+'Model Setup'!$B$7,$AD26:$BA26)+'Model Setup'!$B$8*(SUMIF($BH$3:$CE$3,"&lt;"&amp;$DF26,$AD26:$BA26)+SUMIF($BH$3:$CE$3,"&gt;"&amp;$CW$4,$AD26:$BA26)),
IF(BQ$3=$DF26+'Model Setup'!$C$7,SUMIF($BH$3:$CE$3,"="&amp;$DF26+'Model Setup'!$C$7,$AD26:$BA26)+'Model Setup'!$C$8*(SUMIF($BH$3:$CE$3,"&lt;"&amp;$DF26,$AD26:$BA26)+SUMIF($BH$3:$CE$3,"&gt;"&amp;$CW$4,$AD26:$BA26)),
IF(BQ$3=$DF26+'Model Setup'!$D$7,SUMIF($BH$3:$CE$3,"="&amp;$DF26+'Model Setup'!$D$7,$AD26:$BA26)+'Model Setup'!$D$8*(SUMIF($BH$3:$CE$3,"&lt;"&amp;$DF26,$AD26:$BA26)+SUMIF($BH$3:$CE$3,"&gt;"&amp;$CW$4,$AD26:$BA26)),
IF(BQ$3=$DF26+'Model Setup'!$E$7,SUMIF($BH$3:$CE$3,"="&amp;$DF26+'Model Setup'!$E$7,$AD26:$BA26)+'Model Setup'!$E$8*(SUMIF($BH$3:$CE$3,"&lt;"&amp;$DF26,$AD26:$BA26)+SUMIF($BH$3:$CE$3,"&gt;"&amp;$CW$4,$AD26:$BA26)),
IF(BQ$3=$DF26+'Model Setup'!$F$7,SUMIF($BH$3:$CE$3,"="&amp;$DF26+'Model Setup'!$F$7,$AD26:$BA26)+'Model Setup'!$F$8*(SUMIF($BH$3:$CE$3,"&lt;"&amp;$DF26,$AD26:$BA26)+SUMIF($BH$3:$CE$3,"&gt;"&amp;$CW$4,$AD26:$BA26)),
IF(BQ$3=$DF26+'Model Setup'!$G$7,SUMIF($BH$3:$CE$3,"="&amp;$DF26+'Model Setup'!$G$7,$AD26:$BA26)+'Model Setup'!$G$8*(SUMIF($BH$3:$CE$3,"&lt;"&amp;$DF26,$AD26:$BA26)+SUMIF($BH$3:$CE$3,"&gt;"&amp;$CW$4,$AD26:$BA26)),
IF(BQ$3=$DF26+'Model Setup'!$H$7,SUMIF($BH$3:$CE$3,"="&amp;$DF26+'Model Setup'!$H$7,$AD26:$BA26)+'Model Setup'!$H$8*(SUMIF($BH$3:$CE$3,"&lt;"&amp;$DF26,$AD26:$BA26)+SUMIF($BH$3:$CE$3,"&gt;"&amp;$CW$4,$AD26:$BA26)),
IF(BQ$3=$DF26+'Model Setup'!$I$7,SUMIF($BH$3:$CE$3,"="&amp;$DF26+'Model Setup'!$I$7,$AD26:$BA26)+'Model Setup'!$I$8*(SUMIF($BH$3:$CE$3,"&lt;"&amp;$DF26,$AD26:$BA26)+SUMIF($BH$3:$CE$3,"&gt;"&amp;$CW$4,$AD26:$BA26)),
IF(BQ$3=$DF26+'Model Setup'!$J$7,SUMIF($BH$3:$CE$3,"="&amp;$DF26+'Model Setup'!$J$7,$AD26:$BA26)+'Model Setup'!$J$8*(SUMIF($BH$3:$CE$3,"&lt;"&amp;$DF26,$AD26:$BA26)+SUMIF($BH$3:$CE$3,"&gt;"&amp;$CW$4,$AD26:$BA26)),
IF(BQ$3=$DF26+'Model Setup'!$K$7,SUMIF($BH$3:$CE$3,"="&amp;$DF26+'Model Setup'!$K$7,$AD26:$BA26)+'Model Setup'!$K$8*(SUMIF($BH$3:$CE$3,"&lt;"&amp;$DF26,$AD26:$BA26)+SUMIF($BH$3:$CE$3,"&gt;"&amp;$CW$4,$AD26:$BA26)),
IF(BQ$3=$DF26+'Model Setup'!$L$7,SUMIF($BH$3:$CE$3,"="&amp;$DF26+'Model Setup'!$L$7,$AD26:$BA26)+'Model Setup'!$L$8*(SUMIF($BH$3:$CE$3,"&lt;"&amp;$DF26,$AD26:$BA26)+SUMIF($BH$3:$CE$3,"&gt;"&amp;$CW$4,$AD26:$BA26)),
IF(BQ$3=$DF26+'Model Setup'!$M$7,SUMIF($BH$3:$CE$3,"="&amp;$DF26+'Model Setup'!$M$7,$AD26:$BA26)+'Model Setup'!$M$8*(SUMIF($BH$3:$CE$3,"&lt;"&amp;$DF26,$AD26:$BA26)+SUMIF($BH$3:$CE$3,"&gt;"&amp;$CW$4,$AD26:$BA26)),
IF(BQ$3=$DF26+'Model Setup'!$N$7,SUMIF($BH$3:$CE$3,"="&amp;$DF26+'Model Setup'!$N$7,$AD26:$BA26)+'Model Setup'!$N$8*(SUMIF($BH$3:$CE$3,"&lt;"&amp;$DF26,$AD26:$BA26)+SUMIF($BH$3:$CE$3,"&gt;"&amp;$CW$4,$AD26:$BA26)),
IF(BQ$3&lt;$CW$4,K26,0))))))))))))))),0)</f>
        <v>32</v>
      </c>
      <c r="BR26" s="47">
        <f>ROUND(IF(OR(BR$3&lt;$DF26,BR$3&gt;$CW$4),0,
IF(BR$3=$DF26+'Model Setup'!$B$7,SUMIF($BH$3:$CE$3,"="&amp;$DF26+'Model Setup'!$B$7,$AD26:$BA26)+'Model Setup'!$B$8*(SUMIF($BH$3:$CE$3,"&lt;"&amp;$DF26,$AD26:$BA26)+SUMIF($BH$3:$CE$3,"&gt;"&amp;$CW$4,$AD26:$BA26)),
IF(BR$3=$DF26+'Model Setup'!$C$7,SUMIF($BH$3:$CE$3,"="&amp;$DF26+'Model Setup'!$C$7,$AD26:$BA26)+'Model Setup'!$C$8*(SUMIF($BH$3:$CE$3,"&lt;"&amp;$DF26,$AD26:$BA26)+SUMIF($BH$3:$CE$3,"&gt;"&amp;$CW$4,$AD26:$BA26)),
IF(BR$3=$DF26+'Model Setup'!$D$7,SUMIF($BH$3:$CE$3,"="&amp;$DF26+'Model Setup'!$D$7,$AD26:$BA26)+'Model Setup'!$D$8*(SUMIF($BH$3:$CE$3,"&lt;"&amp;$DF26,$AD26:$BA26)+SUMIF($BH$3:$CE$3,"&gt;"&amp;$CW$4,$AD26:$BA26)),
IF(BR$3=$DF26+'Model Setup'!$E$7,SUMIF($BH$3:$CE$3,"="&amp;$DF26+'Model Setup'!$E$7,$AD26:$BA26)+'Model Setup'!$E$8*(SUMIF($BH$3:$CE$3,"&lt;"&amp;$DF26,$AD26:$BA26)+SUMIF($BH$3:$CE$3,"&gt;"&amp;$CW$4,$AD26:$BA26)),
IF(BR$3=$DF26+'Model Setup'!$F$7,SUMIF($BH$3:$CE$3,"="&amp;$DF26+'Model Setup'!$F$7,$AD26:$BA26)+'Model Setup'!$F$8*(SUMIF($BH$3:$CE$3,"&lt;"&amp;$DF26,$AD26:$BA26)+SUMIF($BH$3:$CE$3,"&gt;"&amp;$CW$4,$AD26:$BA26)),
IF(BR$3=$DF26+'Model Setup'!$G$7,SUMIF($BH$3:$CE$3,"="&amp;$DF26+'Model Setup'!$G$7,$AD26:$BA26)+'Model Setup'!$G$8*(SUMIF($BH$3:$CE$3,"&lt;"&amp;$DF26,$AD26:$BA26)+SUMIF($BH$3:$CE$3,"&gt;"&amp;$CW$4,$AD26:$BA26)),
IF(BR$3=$DF26+'Model Setup'!$H$7,SUMIF($BH$3:$CE$3,"="&amp;$DF26+'Model Setup'!$H$7,$AD26:$BA26)+'Model Setup'!$H$8*(SUMIF($BH$3:$CE$3,"&lt;"&amp;$DF26,$AD26:$BA26)+SUMIF($BH$3:$CE$3,"&gt;"&amp;$CW$4,$AD26:$BA26)),
IF(BR$3=$DF26+'Model Setup'!$I$7,SUMIF($BH$3:$CE$3,"="&amp;$DF26+'Model Setup'!$I$7,$AD26:$BA26)+'Model Setup'!$I$8*(SUMIF($BH$3:$CE$3,"&lt;"&amp;$DF26,$AD26:$BA26)+SUMIF($BH$3:$CE$3,"&gt;"&amp;$CW$4,$AD26:$BA26)),
IF(BR$3=$DF26+'Model Setup'!$J$7,SUMIF($BH$3:$CE$3,"="&amp;$DF26+'Model Setup'!$J$7,$AD26:$BA26)+'Model Setup'!$J$8*(SUMIF($BH$3:$CE$3,"&lt;"&amp;$DF26,$AD26:$BA26)+SUMIF($BH$3:$CE$3,"&gt;"&amp;$CW$4,$AD26:$BA26)),
IF(BR$3=$DF26+'Model Setup'!$K$7,SUMIF($BH$3:$CE$3,"="&amp;$DF26+'Model Setup'!$K$7,$AD26:$BA26)+'Model Setup'!$K$8*(SUMIF($BH$3:$CE$3,"&lt;"&amp;$DF26,$AD26:$BA26)+SUMIF($BH$3:$CE$3,"&gt;"&amp;$CW$4,$AD26:$BA26)),
IF(BR$3=$DF26+'Model Setup'!$L$7,SUMIF($BH$3:$CE$3,"="&amp;$DF26+'Model Setup'!$L$7,$AD26:$BA26)+'Model Setup'!$L$8*(SUMIF($BH$3:$CE$3,"&lt;"&amp;$DF26,$AD26:$BA26)+SUMIF($BH$3:$CE$3,"&gt;"&amp;$CW$4,$AD26:$BA26)),
IF(BR$3=$DF26+'Model Setup'!$M$7,SUMIF($BH$3:$CE$3,"="&amp;$DF26+'Model Setup'!$M$7,$AD26:$BA26)+'Model Setup'!$M$8*(SUMIF($BH$3:$CE$3,"&lt;"&amp;$DF26,$AD26:$BA26)+SUMIF($BH$3:$CE$3,"&gt;"&amp;$CW$4,$AD26:$BA26)),
IF(BR$3=$DF26+'Model Setup'!$N$7,SUMIF($BH$3:$CE$3,"="&amp;$DF26+'Model Setup'!$N$7,$AD26:$BA26)+'Model Setup'!$N$8*(SUMIF($BH$3:$CE$3,"&lt;"&amp;$DF26,$AD26:$BA26)+SUMIF($BH$3:$CE$3,"&gt;"&amp;$CW$4,$AD26:$BA26)),
IF(BR$3&lt;$CW$4,L26,0))))))))))))))),0)</f>
        <v>22</v>
      </c>
      <c r="BS26" s="47">
        <f>ROUND(IF(OR(BS$3&lt;$DF26,BS$3&gt;$CW$4),0,
IF(BS$3=$DF26+'Model Setup'!$B$7,SUMIF($BH$3:$CE$3,"="&amp;$DF26+'Model Setup'!$B$7,$AD26:$BA26)+'Model Setup'!$B$8*(SUMIF($BH$3:$CE$3,"&lt;"&amp;$DF26,$AD26:$BA26)+SUMIF($BH$3:$CE$3,"&gt;"&amp;$CW$4,$AD26:$BA26)),
IF(BS$3=$DF26+'Model Setup'!$C$7,SUMIF($BH$3:$CE$3,"="&amp;$DF26+'Model Setup'!$C$7,$AD26:$BA26)+'Model Setup'!$C$8*(SUMIF($BH$3:$CE$3,"&lt;"&amp;$DF26,$AD26:$BA26)+SUMIF($BH$3:$CE$3,"&gt;"&amp;$CW$4,$AD26:$BA26)),
IF(BS$3=$DF26+'Model Setup'!$D$7,SUMIF($BH$3:$CE$3,"="&amp;$DF26+'Model Setup'!$D$7,$AD26:$BA26)+'Model Setup'!$D$8*(SUMIF($BH$3:$CE$3,"&lt;"&amp;$DF26,$AD26:$BA26)+SUMIF($BH$3:$CE$3,"&gt;"&amp;$CW$4,$AD26:$BA26)),
IF(BS$3=$DF26+'Model Setup'!$E$7,SUMIF($BH$3:$CE$3,"="&amp;$DF26+'Model Setup'!$E$7,$AD26:$BA26)+'Model Setup'!$E$8*(SUMIF($BH$3:$CE$3,"&lt;"&amp;$DF26,$AD26:$BA26)+SUMIF($BH$3:$CE$3,"&gt;"&amp;$CW$4,$AD26:$BA26)),
IF(BS$3=$DF26+'Model Setup'!$F$7,SUMIF($BH$3:$CE$3,"="&amp;$DF26+'Model Setup'!$F$7,$AD26:$BA26)+'Model Setup'!$F$8*(SUMIF($BH$3:$CE$3,"&lt;"&amp;$DF26,$AD26:$BA26)+SUMIF($BH$3:$CE$3,"&gt;"&amp;$CW$4,$AD26:$BA26)),
IF(BS$3=$DF26+'Model Setup'!$G$7,SUMIF($BH$3:$CE$3,"="&amp;$DF26+'Model Setup'!$G$7,$AD26:$BA26)+'Model Setup'!$G$8*(SUMIF($BH$3:$CE$3,"&lt;"&amp;$DF26,$AD26:$BA26)+SUMIF($BH$3:$CE$3,"&gt;"&amp;$CW$4,$AD26:$BA26)),
IF(BS$3=$DF26+'Model Setup'!$H$7,SUMIF($BH$3:$CE$3,"="&amp;$DF26+'Model Setup'!$H$7,$AD26:$BA26)+'Model Setup'!$H$8*(SUMIF($BH$3:$CE$3,"&lt;"&amp;$DF26,$AD26:$BA26)+SUMIF($BH$3:$CE$3,"&gt;"&amp;$CW$4,$AD26:$BA26)),
IF(BS$3=$DF26+'Model Setup'!$I$7,SUMIF($BH$3:$CE$3,"="&amp;$DF26+'Model Setup'!$I$7,$AD26:$BA26)+'Model Setup'!$I$8*(SUMIF($BH$3:$CE$3,"&lt;"&amp;$DF26,$AD26:$BA26)+SUMIF($BH$3:$CE$3,"&gt;"&amp;$CW$4,$AD26:$BA26)),
IF(BS$3=$DF26+'Model Setup'!$J$7,SUMIF($BH$3:$CE$3,"="&amp;$DF26+'Model Setup'!$J$7,$AD26:$BA26)+'Model Setup'!$J$8*(SUMIF($BH$3:$CE$3,"&lt;"&amp;$DF26,$AD26:$BA26)+SUMIF($BH$3:$CE$3,"&gt;"&amp;$CW$4,$AD26:$BA26)),
IF(BS$3=$DF26+'Model Setup'!$K$7,SUMIF($BH$3:$CE$3,"="&amp;$DF26+'Model Setup'!$K$7,$AD26:$BA26)+'Model Setup'!$K$8*(SUMIF($BH$3:$CE$3,"&lt;"&amp;$DF26,$AD26:$BA26)+SUMIF($BH$3:$CE$3,"&gt;"&amp;$CW$4,$AD26:$BA26)),
IF(BS$3=$DF26+'Model Setup'!$L$7,SUMIF($BH$3:$CE$3,"="&amp;$DF26+'Model Setup'!$L$7,$AD26:$BA26)+'Model Setup'!$L$8*(SUMIF($BH$3:$CE$3,"&lt;"&amp;$DF26,$AD26:$BA26)+SUMIF($BH$3:$CE$3,"&gt;"&amp;$CW$4,$AD26:$BA26)),
IF(BS$3=$DF26+'Model Setup'!$M$7,SUMIF($BH$3:$CE$3,"="&amp;$DF26+'Model Setup'!$M$7,$AD26:$BA26)+'Model Setup'!$M$8*(SUMIF($BH$3:$CE$3,"&lt;"&amp;$DF26,$AD26:$BA26)+SUMIF($BH$3:$CE$3,"&gt;"&amp;$CW$4,$AD26:$BA26)),
IF(BS$3=$DF26+'Model Setup'!$N$7,SUMIF($BH$3:$CE$3,"="&amp;$DF26+'Model Setup'!$N$7,$AD26:$BA26)+'Model Setup'!$N$8*(SUMIF($BH$3:$CE$3,"&lt;"&amp;$DF26,$AD26:$BA26)+SUMIF($BH$3:$CE$3,"&gt;"&amp;$CW$4,$AD26:$BA26)),
IF(BS$3&lt;$CW$4,M26,0))))))))))))))),0)</f>
        <v>10</v>
      </c>
      <c r="BT26" s="47">
        <f>ROUND(IF(OR(BT$3&lt;$DF26,BT$3&gt;$CW$4),0,
IF(BT$3=$DF26+'Model Setup'!$B$7,SUMIF($BH$3:$CE$3,"="&amp;$DF26+'Model Setup'!$B$7,$AD26:$BA26)+'Model Setup'!$B$8*(SUMIF($BH$3:$CE$3,"&lt;"&amp;$DF26,$AD26:$BA26)+SUMIF($BH$3:$CE$3,"&gt;"&amp;$CW$4,$AD26:$BA26)),
IF(BT$3=$DF26+'Model Setup'!$C$7,SUMIF($BH$3:$CE$3,"="&amp;$DF26+'Model Setup'!$C$7,$AD26:$BA26)+'Model Setup'!$C$8*(SUMIF($BH$3:$CE$3,"&lt;"&amp;$DF26,$AD26:$BA26)+SUMIF($BH$3:$CE$3,"&gt;"&amp;$CW$4,$AD26:$BA26)),
IF(BT$3=$DF26+'Model Setup'!$D$7,SUMIF($BH$3:$CE$3,"="&amp;$DF26+'Model Setup'!$D$7,$AD26:$BA26)+'Model Setup'!$D$8*(SUMIF($BH$3:$CE$3,"&lt;"&amp;$DF26,$AD26:$BA26)+SUMIF($BH$3:$CE$3,"&gt;"&amp;$CW$4,$AD26:$BA26)),
IF(BT$3=$DF26+'Model Setup'!$E$7,SUMIF($BH$3:$CE$3,"="&amp;$DF26+'Model Setup'!$E$7,$AD26:$BA26)+'Model Setup'!$E$8*(SUMIF($BH$3:$CE$3,"&lt;"&amp;$DF26,$AD26:$BA26)+SUMIF($BH$3:$CE$3,"&gt;"&amp;$CW$4,$AD26:$BA26)),
IF(BT$3=$DF26+'Model Setup'!$F$7,SUMIF($BH$3:$CE$3,"="&amp;$DF26+'Model Setup'!$F$7,$AD26:$BA26)+'Model Setup'!$F$8*(SUMIF($BH$3:$CE$3,"&lt;"&amp;$DF26,$AD26:$BA26)+SUMIF($BH$3:$CE$3,"&gt;"&amp;$CW$4,$AD26:$BA26)),
IF(BT$3=$DF26+'Model Setup'!$G$7,SUMIF($BH$3:$CE$3,"="&amp;$DF26+'Model Setup'!$G$7,$AD26:$BA26)+'Model Setup'!$G$8*(SUMIF($BH$3:$CE$3,"&lt;"&amp;$DF26,$AD26:$BA26)+SUMIF($BH$3:$CE$3,"&gt;"&amp;$CW$4,$AD26:$BA26)),
IF(BT$3=$DF26+'Model Setup'!$H$7,SUMIF($BH$3:$CE$3,"="&amp;$DF26+'Model Setup'!$H$7,$AD26:$BA26)+'Model Setup'!$H$8*(SUMIF($BH$3:$CE$3,"&lt;"&amp;$DF26,$AD26:$BA26)+SUMIF($BH$3:$CE$3,"&gt;"&amp;$CW$4,$AD26:$BA26)),
IF(BT$3=$DF26+'Model Setup'!$I$7,SUMIF($BH$3:$CE$3,"="&amp;$DF26+'Model Setup'!$I$7,$AD26:$BA26)+'Model Setup'!$I$8*(SUMIF($BH$3:$CE$3,"&lt;"&amp;$DF26,$AD26:$BA26)+SUMIF($BH$3:$CE$3,"&gt;"&amp;$CW$4,$AD26:$BA26)),
IF(BT$3=$DF26+'Model Setup'!$J$7,SUMIF($BH$3:$CE$3,"="&amp;$DF26+'Model Setup'!$J$7,$AD26:$BA26)+'Model Setup'!$J$8*(SUMIF($BH$3:$CE$3,"&lt;"&amp;$DF26,$AD26:$BA26)+SUMIF($BH$3:$CE$3,"&gt;"&amp;$CW$4,$AD26:$BA26)),
IF(BT$3=$DF26+'Model Setup'!$K$7,SUMIF($BH$3:$CE$3,"="&amp;$DF26+'Model Setup'!$K$7,$AD26:$BA26)+'Model Setup'!$K$8*(SUMIF($BH$3:$CE$3,"&lt;"&amp;$DF26,$AD26:$BA26)+SUMIF($BH$3:$CE$3,"&gt;"&amp;$CW$4,$AD26:$BA26)),
IF(BT$3=$DF26+'Model Setup'!$L$7,SUMIF($BH$3:$CE$3,"="&amp;$DF26+'Model Setup'!$L$7,$AD26:$BA26)+'Model Setup'!$L$8*(SUMIF($BH$3:$CE$3,"&lt;"&amp;$DF26,$AD26:$BA26)+SUMIF($BH$3:$CE$3,"&gt;"&amp;$CW$4,$AD26:$BA26)),
IF(BT$3=$DF26+'Model Setup'!$M$7,SUMIF($BH$3:$CE$3,"="&amp;$DF26+'Model Setup'!$M$7,$AD26:$BA26)+'Model Setup'!$M$8*(SUMIF($BH$3:$CE$3,"&lt;"&amp;$DF26,$AD26:$BA26)+SUMIF($BH$3:$CE$3,"&gt;"&amp;$CW$4,$AD26:$BA26)),
IF(BT$3=$DF26+'Model Setup'!$N$7,SUMIF($BH$3:$CE$3,"="&amp;$DF26+'Model Setup'!$N$7,$AD26:$BA26)+'Model Setup'!$N$8*(SUMIF($BH$3:$CE$3,"&lt;"&amp;$DF26,$AD26:$BA26)+SUMIF($BH$3:$CE$3,"&gt;"&amp;$CW$4,$AD26:$BA26)),
IF(BT$3&lt;$CW$4,N26,0))))))))))))))),0)</f>
        <v>13</v>
      </c>
      <c r="BU26" s="47">
        <f>ROUND(IF(OR(BU$3&lt;$DF26,BU$3&gt;$CW$4),0,
IF(BU$3=$DF26+'Model Setup'!$B$7,SUMIF($BH$3:$CE$3,"="&amp;$DF26+'Model Setup'!$B$7,$AD26:$BA26)+'Model Setup'!$B$8*(SUMIF($BH$3:$CE$3,"&lt;"&amp;$DF26,$AD26:$BA26)+SUMIF($BH$3:$CE$3,"&gt;"&amp;$CW$4,$AD26:$BA26)),
IF(BU$3=$DF26+'Model Setup'!$C$7,SUMIF($BH$3:$CE$3,"="&amp;$DF26+'Model Setup'!$C$7,$AD26:$BA26)+'Model Setup'!$C$8*(SUMIF($BH$3:$CE$3,"&lt;"&amp;$DF26,$AD26:$BA26)+SUMIF($BH$3:$CE$3,"&gt;"&amp;$CW$4,$AD26:$BA26)),
IF(BU$3=$DF26+'Model Setup'!$D$7,SUMIF($BH$3:$CE$3,"="&amp;$DF26+'Model Setup'!$D$7,$AD26:$BA26)+'Model Setup'!$D$8*(SUMIF($BH$3:$CE$3,"&lt;"&amp;$DF26,$AD26:$BA26)+SUMIF($BH$3:$CE$3,"&gt;"&amp;$CW$4,$AD26:$BA26)),
IF(BU$3=$DF26+'Model Setup'!$E$7,SUMIF($BH$3:$CE$3,"="&amp;$DF26+'Model Setup'!$E$7,$AD26:$BA26)+'Model Setup'!$E$8*(SUMIF($BH$3:$CE$3,"&lt;"&amp;$DF26,$AD26:$BA26)+SUMIF($BH$3:$CE$3,"&gt;"&amp;$CW$4,$AD26:$BA26)),
IF(BU$3=$DF26+'Model Setup'!$F$7,SUMIF($BH$3:$CE$3,"="&amp;$DF26+'Model Setup'!$F$7,$AD26:$BA26)+'Model Setup'!$F$8*(SUMIF($BH$3:$CE$3,"&lt;"&amp;$DF26,$AD26:$BA26)+SUMIF($BH$3:$CE$3,"&gt;"&amp;$CW$4,$AD26:$BA26)),
IF(BU$3=$DF26+'Model Setup'!$G$7,SUMIF($BH$3:$CE$3,"="&amp;$DF26+'Model Setup'!$G$7,$AD26:$BA26)+'Model Setup'!$G$8*(SUMIF($BH$3:$CE$3,"&lt;"&amp;$DF26,$AD26:$BA26)+SUMIF($BH$3:$CE$3,"&gt;"&amp;$CW$4,$AD26:$BA26)),
IF(BU$3=$DF26+'Model Setup'!$H$7,SUMIF($BH$3:$CE$3,"="&amp;$DF26+'Model Setup'!$H$7,$AD26:$BA26)+'Model Setup'!$H$8*(SUMIF($BH$3:$CE$3,"&lt;"&amp;$DF26,$AD26:$BA26)+SUMIF($BH$3:$CE$3,"&gt;"&amp;$CW$4,$AD26:$BA26)),
IF(BU$3=$DF26+'Model Setup'!$I$7,SUMIF($BH$3:$CE$3,"="&amp;$DF26+'Model Setup'!$I$7,$AD26:$BA26)+'Model Setup'!$I$8*(SUMIF($BH$3:$CE$3,"&lt;"&amp;$DF26,$AD26:$BA26)+SUMIF($BH$3:$CE$3,"&gt;"&amp;$CW$4,$AD26:$BA26)),
IF(BU$3=$DF26+'Model Setup'!$J$7,SUMIF($BH$3:$CE$3,"="&amp;$DF26+'Model Setup'!$J$7,$AD26:$BA26)+'Model Setup'!$J$8*(SUMIF($BH$3:$CE$3,"&lt;"&amp;$DF26,$AD26:$BA26)+SUMIF($BH$3:$CE$3,"&gt;"&amp;$CW$4,$AD26:$BA26)),
IF(BU$3=$DF26+'Model Setup'!$K$7,SUMIF($BH$3:$CE$3,"="&amp;$DF26+'Model Setup'!$K$7,$AD26:$BA26)+'Model Setup'!$K$8*(SUMIF($BH$3:$CE$3,"&lt;"&amp;$DF26,$AD26:$BA26)+SUMIF($BH$3:$CE$3,"&gt;"&amp;$CW$4,$AD26:$BA26)),
IF(BU$3=$DF26+'Model Setup'!$L$7,SUMIF($BH$3:$CE$3,"="&amp;$DF26+'Model Setup'!$L$7,$AD26:$BA26)+'Model Setup'!$L$8*(SUMIF($BH$3:$CE$3,"&lt;"&amp;$DF26,$AD26:$BA26)+SUMIF($BH$3:$CE$3,"&gt;"&amp;$CW$4,$AD26:$BA26)),
IF(BU$3=$DF26+'Model Setup'!$M$7,SUMIF($BH$3:$CE$3,"="&amp;$DF26+'Model Setup'!$M$7,$AD26:$BA26)+'Model Setup'!$M$8*(SUMIF($BH$3:$CE$3,"&lt;"&amp;$DF26,$AD26:$BA26)+SUMIF($BH$3:$CE$3,"&gt;"&amp;$CW$4,$AD26:$BA26)),
IF(BU$3=$DF26+'Model Setup'!$N$7,SUMIF($BH$3:$CE$3,"="&amp;$DF26+'Model Setup'!$N$7,$AD26:$BA26)+'Model Setup'!$N$8*(SUMIF($BH$3:$CE$3,"&lt;"&amp;$DF26,$AD26:$BA26)+SUMIF($BH$3:$CE$3,"&gt;"&amp;$CW$4,$AD26:$BA26)),
IF(BU$3&lt;$CW$4,O26,0))))))))))))))),0)</f>
        <v>9</v>
      </c>
      <c r="BV26" s="47">
        <f>ROUND(IF(OR(BV$3&lt;$DF26,BV$3&gt;$CW$4),0,
IF(BV$3=$DF26+'Model Setup'!$B$7,SUMIF($BH$3:$CE$3,"="&amp;$DF26+'Model Setup'!$B$7,$AD26:$BA26)+'Model Setup'!$B$8*(SUMIF($BH$3:$CE$3,"&lt;"&amp;$DF26,$AD26:$BA26)+SUMIF($BH$3:$CE$3,"&gt;"&amp;$CW$4,$AD26:$BA26)),
IF(BV$3=$DF26+'Model Setup'!$C$7,SUMIF($BH$3:$CE$3,"="&amp;$DF26+'Model Setup'!$C$7,$AD26:$BA26)+'Model Setup'!$C$8*(SUMIF($BH$3:$CE$3,"&lt;"&amp;$DF26,$AD26:$BA26)+SUMIF($BH$3:$CE$3,"&gt;"&amp;$CW$4,$AD26:$BA26)),
IF(BV$3=$DF26+'Model Setup'!$D$7,SUMIF($BH$3:$CE$3,"="&amp;$DF26+'Model Setup'!$D$7,$AD26:$BA26)+'Model Setup'!$D$8*(SUMIF($BH$3:$CE$3,"&lt;"&amp;$DF26,$AD26:$BA26)+SUMIF($BH$3:$CE$3,"&gt;"&amp;$CW$4,$AD26:$BA26)),
IF(BV$3=$DF26+'Model Setup'!$E$7,SUMIF($BH$3:$CE$3,"="&amp;$DF26+'Model Setup'!$E$7,$AD26:$BA26)+'Model Setup'!$E$8*(SUMIF($BH$3:$CE$3,"&lt;"&amp;$DF26,$AD26:$BA26)+SUMIF($BH$3:$CE$3,"&gt;"&amp;$CW$4,$AD26:$BA26)),
IF(BV$3=$DF26+'Model Setup'!$F$7,SUMIF($BH$3:$CE$3,"="&amp;$DF26+'Model Setup'!$F$7,$AD26:$BA26)+'Model Setup'!$F$8*(SUMIF($BH$3:$CE$3,"&lt;"&amp;$DF26,$AD26:$BA26)+SUMIF($BH$3:$CE$3,"&gt;"&amp;$CW$4,$AD26:$BA26)),
IF(BV$3=$DF26+'Model Setup'!$G$7,SUMIF($BH$3:$CE$3,"="&amp;$DF26+'Model Setup'!$G$7,$AD26:$BA26)+'Model Setup'!$G$8*(SUMIF($BH$3:$CE$3,"&lt;"&amp;$DF26,$AD26:$BA26)+SUMIF($BH$3:$CE$3,"&gt;"&amp;$CW$4,$AD26:$BA26)),
IF(BV$3=$DF26+'Model Setup'!$H$7,SUMIF($BH$3:$CE$3,"="&amp;$DF26+'Model Setup'!$H$7,$AD26:$BA26)+'Model Setup'!$H$8*(SUMIF($BH$3:$CE$3,"&lt;"&amp;$DF26,$AD26:$BA26)+SUMIF($BH$3:$CE$3,"&gt;"&amp;$CW$4,$AD26:$BA26)),
IF(BV$3=$DF26+'Model Setup'!$I$7,SUMIF($BH$3:$CE$3,"="&amp;$DF26+'Model Setup'!$I$7,$AD26:$BA26)+'Model Setup'!$I$8*(SUMIF($BH$3:$CE$3,"&lt;"&amp;$DF26,$AD26:$BA26)+SUMIF($BH$3:$CE$3,"&gt;"&amp;$CW$4,$AD26:$BA26)),
IF(BV$3=$DF26+'Model Setup'!$J$7,SUMIF($BH$3:$CE$3,"="&amp;$DF26+'Model Setup'!$J$7,$AD26:$BA26)+'Model Setup'!$J$8*(SUMIF($BH$3:$CE$3,"&lt;"&amp;$DF26,$AD26:$BA26)+SUMIF($BH$3:$CE$3,"&gt;"&amp;$CW$4,$AD26:$BA26)),
IF(BV$3=$DF26+'Model Setup'!$K$7,SUMIF($BH$3:$CE$3,"="&amp;$DF26+'Model Setup'!$K$7,$AD26:$BA26)+'Model Setup'!$K$8*(SUMIF($BH$3:$CE$3,"&lt;"&amp;$DF26,$AD26:$BA26)+SUMIF($BH$3:$CE$3,"&gt;"&amp;$CW$4,$AD26:$BA26)),
IF(BV$3=$DF26+'Model Setup'!$L$7,SUMIF($BH$3:$CE$3,"="&amp;$DF26+'Model Setup'!$L$7,$AD26:$BA26)+'Model Setup'!$L$8*(SUMIF($BH$3:$CE$3,"&lt;"&amp;$DF26,$AD26:$BA26)+SUMIF($BH$3:$CE$3,"&gt;"&amp;$CW$4,$AD26:$BA26)),
IF(BV$3=$DF26+'Model Setup'!$M$7,SUMIF($BH$3:$CE$3,"="&amp;$DF26+'Model Setup'!$M$7,$AD26:$BA26)+'Model Setup'!$M$8*(SUMIF($BH$3:$CE$3,"&lt;"&amp;$DF26,$AD26:$BA26)+SUMIF($BH$3:$CE$3,"&gt;"&amp;$CW$4,$AD26:$BA26)),
IF(BV$3=$DF26+'Model Setup'!$N$7,SUMIF($BH$3:$CE$3,"="&amp;$DF26+'Model Setup'!$N$7,$AD26:$BA26)+'Model Setup'!$N$8*(SUMIF($BH$3:$CE$3,"&lt;"&amp;$DF26,$AD26:$BA26)+SUMIF($BH$3:$CE$3,"&gt;"&amp;$CW$4,$AD26:$BA26)),
IF(BV$3&lt;$CW$4,P26,0))))))))))))))),0)</f>
        <v>10</v>
      </c>
      <c r="BW26" s="47">
        <f>ROUND(IF(OR(BW$3&lt;$DF26,BW$3&gt;$CW$4),0,
IF(BW$3=$DF26+'Model Setup'!$B$7,SUMIF($BH$3:$CE$3,"="&amp;$DF26+'Model Setup'!$B$7,$AD26:$BA26)+'Model Setup'!$B$8*(SUMIF($BH$3:$CE$3,"&lt;"&amp;$DF26,$AD26:$BA26)+SUMIF($BH$3:$CE$3,"&gt;"&amp;$CW$4,$AD26:$BA26)),
IF(BW$3=$DF26+'Model Setup'!$C$7,SUMIF($BH$3:$CE$3,"="&amp;$DF26+'Model Setup'!$C$7,$AD26:$BA26)+'Model Setup'!$C$8*(SUMIF($BH$3:$CE$3,"&lt;"&amp;$DF26,$AD26:$BA26)+SUMIF($BH$3:$CE$3,"&gt;"&amp;$CW$4,$AD26:$BA26)),
IF(BW$3=$DF26+'Model Setup'!$D$7,SUMIF($BH$3:$CE$3,"="&amp;$DF26+'Model Setup'!$D$7,$AD26:$BA26)+'Model Setup'!$D$8*(SUMIF($BH$3:$CE$3,"&lt;"&amp;$DF26,$AD26:$BA26)+SUMIF($BH$3:$CE$3,"&gt;"&amp;$CW$4,$AD26:$BA26)),
IF(BW$3=$DF26+'Model Setup'!$E$7,SUMIF($BH$3:$CE$3,"="&amp;$DF26+'Model Setup'!$E$7,$AD26:$BA26)+'Model Setup'!$E$8*(SUMIF($BH$3:$CE$3,"&lt;"&amp;$DF26,$AD26:$BA26)+SUMIF($BH$3:$CE$3,"&gt;"&amp;$CW$4,$AD26:$BA26)),
IF(BW$3=$DF26+'Model Setup'!$F$7,SUMIF($BH$3:$CE$3,"="&amp;$DF26+'Model Setup'!$F$7,$AD26:$BA26)+'Model Setup'!$F$8*(SUMIF($BH$3:$CE$3,"&lt;"&amp;$DF26,$AD26:$BA26)+SUMIF($BH$3:$CE$3,"&gt;"&amp;$CW$4,$AD26:$BA26)),
IF(BW$3=$DF26+'Model Setup'!$G$7,SUMIF($BH$3:$CE$3,"="&amp;$DF26+'Model Setup'!$G$7,$AD26:$BA26)+'Model Setup'!$G$8*(SUMIF($BH$3:$CE$3,"&lt;"&amp;$DF26,$AD26:$BA26)+SUMIF($BH$3:$CE$3,"&gt;"&amp;$CW$4,$AD26:$BA26)),
IF(BW$3=$DF26+'Model Setup'!$H$7,SUMIF($BH$3:$CE$3,"="&amp;$DF26+'Model Setup'!$H$7,$AD26:$BA26)+'Model Setup'!$H$8*(SUMIF($BH$3:$CE$3,"&lt;"&amp;$DF26,$AD26:$BA26)+SUMIF($BH$3:$CE$3,"&gt;"&amp;$CW$4,$AD26:$BA26)),
IF(BW$3=$DF26+'Model Setup'!$I$7,SUMIF($BH$3:$CE$3,"="&amp;$DF26+'Model Setup'!$I$7,$AD26:$BA26)+'Model Setup'!$I$8*(SUMIF($BH$3:$CE$3,"&lt;"&amp;$DF26,$AD26:$BA26)+SUMIF($BH$3:$CE$3,"&gt;"&amp;$CW$4,$AD26:$BA26)),
IF(BW$3=$DF26+'Model Setup'!$J$7,SUMIF($BH$3:$CE$3,"="&amp;$DF26+'Model Setup'!$J$7,$AD26:$BA26)+'Model Setup'!$J$8*(SUMIF($BH$3:$CE$3,"&lt;"&amp;$DF26,$AD26:$BA26)+SUMIF($BH$3:$CE$3,"&gt;"&amp;$CW$4,$AD26:$BA26)),
IF(BW$3=$DF26+'Model Setup'!$K$7,SUMIF($BH$3:$CE$3,"="&amp;$DF26+'Model Setup'!$K$7,$AD26:$BA26)+'Model Setup'!$K$8*(SUMIF($BH$3:$CE$3,"&lt;"&amp;$DF26,$AD26:$BA26)+SUMIF($BH$3:$CE$3,"&gt;"&amp;$CW$4,$AD26:$BA26)),
IF(BW$3=$DF26+'Model Setup'!$L$7,SUMIF($BH$3:$CE$3,"="&amp;$DF26+'Model Setup'!$L$7,$AD26:$BA26)+'Model Setup'!$L$8*(SUMIF($BH$3:$CE$3,"&lt;"&amp;$DF26,$AD26:$BA26)+SUMIF($BH$3:$CE$3,"&gt;"&amp;$CW$4,$AD26:$BA26)),
IF(BW$3=$DF26+'Model Setup'!$M$7,SUMIF($BH$3:$CE$3,"="&amp;$DF26+'Model Setup'!$M$7,$AD26:$BA26)+'Model Setup'!$M$8*(SUMIF($BH$3:$CE$3,"&lt;"&amp;$DF26,$AD26:$BA26)+SUMIF($BH$3:$CE$3,"&gt;"&amp;$CW$4,$AD26:$BA26)),
IF(BW$3=$DF26+'Model Setup'!$N$7,SUMIF($BH$3:$CE$3,"="&amp;$DF26+'Model Setup'!$N$7,$AD26:$BA26)+'Model Setup'!$N$8*(SUMIF($BH$3:$CE$3,"&lt;"&amp;$DF26,$AD26:$BA26)+SUMIF($BH$3:$CE$3,"&gt;"&amp;$CW$4,$AD26:$BA26)),
IF(BW$3&lt;$CW$4,Q26,0))))))))))))))),0)</f>
        <v>7</v>
      </c>
      <c r="BX26" s="47">
        <f>ROUND(IF(OR(BX$3&lt;$DF26,BX$3&gt;$CW$4),0,
IF(BX$3=$DF26+'Model Setup'!$B$7,SUMIF($BH$3:$CE$3,"="&amp;$DF26+'Model Setup'!$B$7,$AD26:$BA26)+'Model Setup'!$B$8*(SUMIF($BH$3:$CE$3,"&lt;"&amp;$DF26,$AD26:$BA26)+SUMIF($BH$3:$CE$3,"&gt;"&amp;$CW$4,$AD26:$BA26)),
IF(BX$3=$DF26+'Model Setup'!$C$7,SUMIF($BH$3:$CE$3,"="&amp;$DF26+'Model Setup'!$C$7,$AD26:$BA26)+'Model Setup'!$C$8*(SUMIF($BH$3:$CE$3,"&lt;"&amp;$DF26,$AD26:$BA26)+SUMIF($BH$3:$CE$3,"&gt;"&amp;$CW$4,$AD26:$BA26)),
IF(BX$3=$DF26+'Model Setup'!$D$7,SUMIF($BH$3:$CE$3,"="&amp;$DF26+'Model Setup'!$D$7,$AD26:$BA26)+'Model Setup'!$D$8*(SUMIF($BH$3:$CE$3,"&lt;"&amp;$DF26,$AD26:$BA26)+SUMIF($BH$3:$CE$3,"&gt;"&amp;$CW$4,$AD26:$BA26)),
IF(BX$3=$DF26+'Model Setup'!$E$7,SUMIF($BH$3:$CE$3,"="&amp;$DF26+'Model Setup'!$E$7,$AD26:$BA26)+'Model Setup'!$E$8*(SUMIF($BH$3:$CE$3,"&lt;"&amp;$DF26,$AD26:$BA26)+SUMIF($BH$3:$CE$3,"&gt;"&amp;$CW$4,$AD26:$BA26)),
IF(BX$3=$DF26+'Model Setup'!$F$7,SUMIF($BH$3:$CE$3,"="&amp;$DF26+'Model Setup'!$F$7,$AD26:$BA26)+'Model Setup'!$F$8*(SUMIF($BH$3:$CE$3,"&lt;"&amp;$DF26,$AD26:$BA26)+SUMIF($BH$3:$CE$3,"&gt;"&amp;$CW$4,$AD26:$BA26)),
IF(BX$3=$DF26+'Model Setup'!$G$7,SUMIF($BH$3:$CE$3,"="&amp;$DF26+'Model Setup'!$G$7,$AD26:$BA26)+'Model Setup'!$G$8*(SUMIF($BH$3:$CE$3,"&lt;"&amp;$DF26,$AD26:$BA26)+SUMIF($BH$3:$CE$3,"&gt;"&amp;$CW$4,$AD26:$BA26)),
IF(BX$3=$DF26+'Model Setup'!$H$7,SUMIF($BH$3:$CE$3,"="&amp;$DF26+'Model Setup'!$H$7,$AD26:$BA26)+'Model Setup'!$H$8*(SUMIF($BH$3:$CE$3,"&lt;"&amp;$DF26,$AD26:$BA26)+SUMIF($BH$3:$CE$3,"&gt;"&amp;$CW$4,$AD26:$BA26)),
IF(BX$3=$DF26+'Model Setup'!$I$7,SUMIF($BH$3:$CE$3,"="&amp;$DF26+'Model Setup'!$I$7,$AD26:$BA26)+'Model Setup'!$I$8*(SUMIF($BH$3:$CE$3,"&lt;"&amp;$DF26,$AD26:$BA26)+SUMIF($BH$3:$CE$3,"&gt;"&amp;$CW$4,$AD26:$BA26)),
IF(BX$3=$DF26+'Model Setup'!$J$7,SUMIF($BH$3:$CE$3,"="&amp;$DF26+'Model Setup'!$J$7,$AD26:$BA26)+'Model Setup'!$J$8*(SUMIF($BH$3:$CE$3,"&lt;"&amp;$DF26,$AD26:$BA26)+SUMIF($BH$3:$CE$3,"&gt;"&amp;$CW$4,$AD26:$BA26)),
IF(BX$3=$DF26+'Model Setup'!$K$7,SUMIF($BH$3:$CE$3,"="&amp;$DF26+'Model Setup'!$K$7,$AD26:$BA26)+'Model Setup'!$K$8*(SUMIF($BH$3:$CE$3,"&lt;"&amp;$DF26,$AD26:$BA26)+SUMIF($BH$3:$CE$3,"&gt;"&amp;$CW$4,$AD26:$BA26)),
IF(BX$3=$DF26+'Model Setup'!$L$7,SUMIF($BH$3:$CE$3,"="&amp;$DF26+'Model Setup'!$L$7,$AD26:$BA26)+'Model Setup'!$L$8*(SUMIF($BH$3:$CE$3,"&lt;"&amp;$DF26,$AD26:$BA26)+SUMIF($BH$3:$CE$3,"&gt;"&amp;$CW$4,$AD26:$BA26)),
IF(BX$3=$DF26+'Model Setup'!$M$7,SUMIF($BH$3:$CE$3,"="&amp;$DF26+'Model Setup'!$M$7,$AD26:$BA26)+'Model Setup'!$M$8*(SUMIF($BH$3:$CE$3,"&lt;"&amp;$DF26,$AD26:$BA26)+SUMIF($BH$3:$CE$3,"&gt;"&amp;$CW$4,$AD26:$BA26)),
IF(BX$3=$DF26+'Model Setup'!$N$7,SUMIF($BH$3:$CE$3,"="&amp;$DF26+'Model Setup'!$N$7,$AD26:$BA26)+'Model Setup'!$N$8*(SUMIF($BH$3:$CE$3,"&lt;"&amp;$DF26,$AD26:$BA26)+SUMIF($BH$3:$CE$3,"&gt;"&amp;$CW$4,$AD26:$BA26)),
IF(BX$3&lt;$CW$4,R26,0))))))))))))))),0)</f>
        <v>10</v>
      </c>
      <c r="BY26" s="47">
        <f>ROUND(IF(OR(BY$3&lt;$DF26,BY$3&gt;$CW$4),0,
IF(BY$3=$DF26+'Model Setup'!$B$7,SUMIF($BH$3:$CE$3,"="&amp;$DF26+'Model Setup'!$B$7,$AD26:$BA26)+'Model Setup'!$B$8*(SUMIF($BH$3:$CE$3,"&lt;"&amp;$DF26,$AD26:$BA26)+SUMIF($BH$3:$CE$3,"&gt;"&amp;$CW$4,$AD26:$BA26)),
IF(BY$3=$DF26+'Model Setup'!$C$7,SUMIF($BH$3:$CE$3,"="&amp;$DF26+'Model Setup'!$C$7,$AD26:$BA26)+'Model Setup'!$C$8*(SUMIF($BH$3:$CE$3,"&lt;"&amp;$DF26,$AD26:$BA26)+SUMIF($BH$3:$CE$3,"&gt;"&amp;$CW$4,$AD26:$BA26)),
IF(BY$3=$DF26+'Model Setup'!$D$7,SUMIF($BH$3:$CE$3,"="&amp;$DF26+'Model Setup'!$D$7,$AD26:$BA26)+'Model Setup'!$D$8*(SUMIF($BH$3:$CE$3,"&lt;"&amp;$DF26,$AD26:$BA26)+SUMIF($BH$3:$CE$3,"&gt;"&amp;$CW$4,$AD26:$BA26)),
IF(BY$3=$DF26+'Model Setup'!$E$7,SUMIF($BH$3:$CE$3,"="&amp;$DF26+'Model Setup'!$E$7,$AD26:$BA26)+'Model Setup'!$E$8*(SUMIF($BH$3:$CE$3,"&lt;"&amp;$DF26,$AD26:$BA26)+SUMIF($BH$3:$CE$3,"&gt;"&amp;$CW$4,$AD26:$BA26)),
IF(BY$3=$DF26+'Model Setup'!$F$7,SUMIF($BH$3:$CE$3,"="&amp;$DF26+'Model Setup'!$F$7,$AD26:$BA26)+'Model Setup'!$F$8*(SUMIF($BH$3:$CE$3,"&lt;"&amp;$DF26,$AD26:$BA26)+SUMIF($BH$3:$CE$3,"&gt;"&amp;$CW$4,$AD26:$BA26)),
IF(BY$3=$DF26+'Model Setup'!$G$7,SUMIF($BH$3:$CE$3,"="&amp;$DF26+'Model Setup'!$G$7,$AD26:$BA26)+'Model Setup'!$G$8*(SUMIF($BH$3:$CE$3,"&lt;"&amp;$DF26,$AD26:$BA26)+SUMIF($BH$3:$CE$3,"&gt;"&amp;$CW$4,$AD26:$BA26)),
IF(BY$3=$DF26+'Model Setup'!$H$7,SUMIF($BH$3:$CE$3,"="&amp;$DF26+'Model Setup'!$H$7,$AD26:$BA26)+'Model Setup'!$H$8*(SUMIF($BH$3:$CE$3,"&lt;"&amp;$DF26,$AD26:$BA26)+SUMIF($BH$3:$CE$3,"&gt;"&amp;$CW$4,$AD26:$BA26)),
IF(BY$3=$DF26+'Model Setup'!$I$7,SUMIF($BH$3:$CE$3,"="&amp;$DF26+'Model Setup'!$I$7,$AD26:$BA26)+'Model Setup'!$I$8*(SUMIF($BH$3:$CE$3,"&lt;"&amp;$DF26,$AD26:$BA26)+SUMIF($BH$3:$CE$3,"&gt;"&amp;$CW$4,$AD26:$BA26)),
IF(BY$3=$DF26+'Model Setup'!$J$7,SUMIF($BH$3:$CE$3,"="&amp;$DF26+'Model Setup'!$J$7,$AD26:$BA26)+'Model Setup'!$J$8*(SUMIF($BH$3:$CE$3,"&lt;"&amp;$DF26,$AD26:$BA26)+SUMIF($BH$3:$CE$3,"&gt;"&amp;$CW$4,$AD26:$BA26)),
IF(BY$3=$DF26+'Model Setup'!$K$7,SUMIF($BH$3:$CE$3,"="&amp;$DF26+'Model Setup'!$K$7,$AD26:$BA26)+'Model Setup'!$K$8*(SUMIF($BH$3:$CE$3,"&lt;"&amp;$DF26,$AD26:$BA26)+SUMIF($BH$3:$CE$3,"&gt;"&amp;$CW$4,$AD26:$BA26)),
IF(BY$3=$DF26+'Model Setup'!$L$7,SUMIF($BH$3:$CE$3,"="&amp;$DF26+'Model Setup'!$L$7,$AD26:$BA26)+'Model Setup'!$L$8*(SUMIF($BH$3:$CE$3,"&lt;"&amp;$DF26,$AD26:$BA26)+SUMIF($BH$3:$CE$3,"&gt;"&amp;$CW$4,$AD26:$BA26)),
IF(BY$3=$DF26+'Model Setup'!$M$7,SUMIF($BH$3:$CE$3,"="&amp;$DF26+'Model Setup'!$M$7,$AD26:$BA26)+'Model Setup'!$M$8*(SUMIF($BH$3:$CE$3,"&lt;"&amp;$DF26,$AD26:$BA26)+SUMIF($BH$3:$CE$3,"&gt;"&amp;$CW$4,$AD26:$BA26)),
IF(BY$3=$DF26+'Model Setup'!$N$7,SUMIF($BH$3:$CE$3,"="&amp;$DF26+'Model Setup'!$N$7,$AD26:$BA26)+'Model Setup'!$N$8*(SUMIF($BH$3:$CE$3,"&lt;"&amp;$DF26,$AD26:$BA26)+SUMIF($BH$3:$CE$3,"&gt;"&amp;$CW$4,$AD26:$BA26)),
IF(BY$3&lt;$CW$4,S26,0))))))))))))))),0)</f>
        <v>7</v>
      </c>
      <c r="BZ26" s="47">
        <f>ROUND(IF(OR(BZ$3&lt;$DF26,BZ$3&gt;$CW$4),0,
IF(BZ$3=$DF26+'Model Setup'!$B$7,SUMIF($BH$3:$CE$3,"="&amp;$DF26+'Model Setup'!$B$7,$AD26:$BA26)+'Model Setup'!$B$8*(SUMIF($BH$3:$CE$3,"&lt;"&amp;$DF26,$AD26:$BA26)+SUMIF($BH$3:$CE$3,"&gt;"&amp;$CW$4,$AD26:$BA26)),
IF(BZ$3=$DF26+'Model Setup'!$C$7,SUMIF($BH$3:$CE$3,"="&amp;$DF26+'Model Setup'!$C$7,$AD26:$BA26)+'Model Setup'!$C$8*(SUMIF($BH$3:$CE$3,"&lt;"&amp;$DF26,$AD26:$BA26)+SUMIF($BH$3:$CE$3,"&gt;"&amp;$CW$4,$AD26:$BA26)),
IF(BZ$3=$DF26+'Model Setup'!$D$7,SUMIF($BH$3:$CE$3,"="&amp;$DF26+'Model Setup'!$D$7,$AD26:$BA26)+'Model Setup'!$D$8*(SUMIF($BH$3:$CE$3,"&lt;"&amp;$DF26,$AD26:$BA26)+SUMIF($BH$3:$CE$3,"&gt;"&amp;$CW$4,$AD26:$BA26)),
IF(BZ$3=$DF26+'Model Setup'!$E$7,SUMIF($BH$3:$CE$3,"="&amp;$DF26+'Model Setup'!$E$7,$AD26:$BA26)+'Model Setup'!$E$8*(SUMIF($BH$3:$CE$3,"&lt;"&amp;$DF26,$AD26:$BA26)+SUMIF($BH$3:$CE$3,"&gt;"&amp;$CW$4,$AD26:$BA26)),
IF(BZ$3=$DF26+'Model Setup'!$F$7,SUMIF($BH$3:$CE$3,"="&amp;$DF26+'Model Setup'!$F$7,$AD26:$BA26)+'Model Setup'!$F$8*(SUMIF($BH$3:$CE$3,"&lt;"&amp;$DF26,$AD26:$BA26)+SUMIF($BH$3:$CE$3,"&gt;"&amp;$CW$4,$AD26:$BA26)),
IF(BZ$3=$DF26+'Model Setup'!$G$7,SUMIF($BH$3:$CE$3,"="&amp;$DF26+'Model Setup'!$G$7,$AD26:$BA26)+'Model Setup'!$G$8*(SUMIF($BH$3:$CE$3,"&lt;"&amp;$DF26,$AD26:$BA26)+SUMIF($BH$3:$CE$3,"&gt;"&amp;$CW$4,$AD26:$BA26)),
IF(BZ$3=$DF26+'Model Setup'!$H$7,SUMIF($BH$3:$CE$3,"="&amp;$DF26+'Model Setup'!$H$7,$AD26:$BA26)+'Model Setup'!$H$8*(SUMIF($BH$3:$CE$3,"&lt;"&amp;$DF26,$AD26:$BA26)+SUMIF($BH$3:$CE$3,"&gt;"&amp;$CW$4,$AD26:$BA26)),
IF(BZ$3=$DF26+'Model Setup'!$I$7,SUMIF($BH$3:$CE$3,"="&amp;$DF26+'Model Setup'!$I$7,$AD26:$BA26)+'Model Setup'!$I$8*(SUMIF($BH$3:$CE$3,"&lt;"&amp;$DF26,$AD26:$BA26)+SUMIF($BH$3:$CE$3,"&gt;"&amp;$CW$4,$AD26:$BA26)),
IF(BZ$3=$DF26+'Model Setup'!$J$7,SUMIF($BH$3:$CE$3,"="&amp;$DF26+'Model Setup'!$J$7,$AD26:$BA26)+'Model Setup'!$J$8*(SUMIF($BH$3:$CE$3,"&lt;"&amp;$DF26,$AD26:$BA26)+SUMIF($BH$3:$CE$3,"&gt;"&amp;$CW$4,$AD26:$BA26)),
IF(BZ$3=$DF26+'Model Setup'!$K$7,SUMIF($BH$3:$CE$3,"="&amp;$DF26+'Model Setup'!$K$7,$AD26:$BA26)+'Model Setup'!$K$8*(SUMIF($BH$3:$CE$3,"&lt;"&amp;$DF26,$AD26:$BA26)+SUMIF($BH$3:$CE$3,"&gt;"&amp;$CW$4,$AD26:$BA26)),
IF(BZ$3=$DF26+'Model Setup'!$L$7,SUMIF($BH$3:$CE$3,"="&amp;$DF26+'Model Setup'!$L$7,$AD26:$BA26)+'Model Setup'!$L$8*(SUMIF($BH$3:$CE$3,"&lt;"&amp;$DF26,$AD26:$BA26)+SUMIF($BH$3:$CE$3,"&gt;"&amp;$CW$4,$AD26:$BA26)),
IF(BZ$3=$DF26+'Model Setup'!$M$7,SUMIF($BH$3:$CE$3,"="&amp;$DF26+'Model Setup'!$M$7,$AD26:$BA26)+'Model Setup'!$M$8*(SUMIF($BH$3:$CE$3,"&lt;"&amp;$DF26,$AD26:$BA26)+SUMIF($BH$3:$CE$3,"&gt;"&amp;$CW$4,$AD26:$BA26)),
IF(BZ$3=$DF26+'Model Setup'!$N$7,SUMIF($BH$3:$CE$3,"="&amp;$DF26+'Model Setup'!$N$7,$AD26:$BA26)+'Model Setup'!$N$8*(SUMIF($BH$3:$CE$3,"&lt;"&amp;$DF26,$AD26:$BA26)+SUMIF($BH$3:$CE$3,"&gt;"&amp;$CW$4,$AD26:$BA26)),
IF(BZ$3&lt;$CW$4,T26,0))))))))))))))),0)</f>
        <v>0</v>
      </c>
      <c r="CA26" s="47">
        <f>ROUND(IF(OR(CA$3&lt;$DF26,CA$3&gt;$CW$4),0,
IF(CA$3=$DF26+'Model Setup'!$B$7,SUMIF($BH$3:$CE$3,"="&amp;$DF26+'Model Setup'!$B$7,$AD26:$BA26)+'Model Setup'!$B$8*(SUMIF($BH$3:$CE$3,"&lt;"&amp;$DF26,$AD26:$BA26)+SUMIF($BH$3:$CE$3,"&gt;"&amp;$CW$4,$AD26:$BA26)),
IF(CA$3=$DF26+'Model Setup'!$C$7,SUMIF($BH$3:$CE$3,"="&amp;$DF26+'Model Setup'!$C$7,$AD26:$BA26)+'Model Setup'!$C$8*(SUMIF($BH$3:$CE$3,"&lt;"&amp;$DF26,$AD26:$BA26)+SUMIF($BH$3:$CE$3,"&gt;"&amp;$CW$4,$AD26:$BA26)),
IF(CA$3=$DF26+'Model Setup'!$D$7,SUMIF($BH$3:$CE$3,"="&amp;$DF26+'Model Setup'!$D$7,$AD26:$BA26)+'Model Setup'!$D$8*(SUMIF($BH$3:$CE$3,"&lt;"&amp;$DF26,$AD26:$BA26)+SUMIF($BH$3:$CE$3,"&gt;"&amp;$CW$4,$AD26:$BA26)),
IF(CA$3=$DF26+'Model Setup'!$E$7,SUMIF($BH$3:$CE$3,"="&amp;$DF26+'Model Setup'!$E$7,$AD26:$BA26)+'Model Setup'!$E$8*(SUMIF($BH$3:$CE$3,"&lt;"&amp;$DF26,$AD26:$BA26)+SUMIF($BH$3:$CE$3,"&gt;"&amp;$CW$4,$AD26:$BA26)),
IF(CA$3=$DF26+'Model Setup'!$F$7,SUMIF($BH$3:$CE$3,"="&amp;$DF26+'Model Setup'!$F$7,$AD26:$BA26)+'Model Setup'!$F$8*(SUMIF($BH$3:$CE$3,"&lt;"&amp;$DF26,$AD26:$BA26)+SUMIF($BH$3:$CE$3,"&gt;"&amp;$CW$4,$AD26:$BA26)),
IF(CA$3=$DF26+'Model Setup'!$G$7,SUMIF($BH$3:$CE$3,"="&amp;$DF26+'Model Setup'!$G$7,$AD26:$BA26)+'Model Setup'!$G$8*(SUMIF($BH$3:$CE$3,"&lt;"&amp;$DF26,$AD26:$BA26)+SUMIF($BH$3:$CE$3,"&gt;"&amp;$CW$4,$AD26:$BA26)),
IF(CA$3=$DF26+'Model Setup'!$H$7,SUMIF($BH$3:$CE$3,"="&amp;$DF26+'Model Setup'!$H$7,$AD26:$BA26)+'Model Setup'!$H$8*(SUMIF($BH$3:$CE$3,"&lt;"&amp;$DF26,$AD26:$BA26)+SUMIF($BH$3:$CE$3,"&gt;"&amp;$CW$4,$AD26:$BA26)),
IF(CA$3=$DF26+'Model Setup'!$I$7,SUMIF($BH$3:$CE$3,"="&amp;$DF26+'Model Setup'!$I$7,$AD26:$BA26)+'Model Setup'!$I$8*(SUMIF($BH$3:$CE$3,"&lt;"&amp;$DF26,$AD26:$BA26)+SUMIF($BH$3:$CE$3,"&gt;"&amp;$CW$4,$AD26:$BA26)),
IF(CA$3=$DF26+'Model Setup'!$J$7,SUMIF($BH$3:$CE$3,"="&amp;$DF26+'Model Setup'!$J$7,$AD26:$BA26)+'Model Setup'!$J$8*(SUMIF($BH$3:$CE$3,"&lt;"&amp;$DF26,$AD26:$BA26)+SUMIF($BH$3:$CE$3,"&gt;"&amp;$CW$4,$AD26:$BA26)),
IF(CA$3=$DF26+'Model Setup'!$K$7,SUMIF($BH$3:$CE$3,"="&amp;$DF26+'Model Setup'!$K$7,$AD26:$BA26)+'Model Setup'!$K$8*(SUMIF($BH$3:$CE$3,"&lt;"&amp;$DF26,$AD26:$BA26)+SUMIF($BH$3:$CE$3,"&gt;"&amp;$CW$4,$AD26:$BA26)),
IF(CA$3=$DF26+'Model Setup'!$L$7,SUMIF($BH$3:$CE$3,"="&amp;$DF26+'Model Setup'!$L$7,$AD26:$BA26)+'Model Setup'!$L$8*(SUMIF($BH$3:$CE$3,"&lt;"&amp;$DF26,$AD26:$BA26)+SUMIF($BH$3:$CE$3,"&gt;"&amp;$CW$4,$AD26:$BA26)),
IF(CA$3=$DF26+'Model Setup'!$M$7,SUMIF($BH$3:$CE$3,"="&amp;$DF26+'Model Setup'!$M$7,$AD26:$BA26)+'Model Setup'!$M$8*(SUMIF($BH$3:$CE$3,"&lt;"&amp;$DF26,$AD26:$BA26)+SUMIF($BH$3:$CE$3,"&gt;"&amp;$CW$4,$AD26:$BA26)),
IF(CA$3=$DF26+'Model Setup'!$N$7,SUMIF($BH$3:$CE$3,"="&amp;$DF26+'Model Setup'!$N$7,$AD26:$BA26)+'Model Setup'!$N$8*(SUMIF($BH$3:$CE$3,"&lt;"&amp;$DF26,$AD26:$BA26)+SUMIF($BH$3:$CE$3,"&gt;"&amp;$CW$4,$AD26:$BA26)),
IF(CA$3&lt;$CW$4,U26,0))))))))))))))),0)</f>
        <v>0</v>
      </c>
      <c r="CB26" s="47">
        <f>ROUND(IF(OR(CB$3&lt;$DF26,CB$3&gt;$CW$4),0,
IF(CB$3=$DF26+'Model Setup'!$B$7,SUMIF($BH$3:$CE$3,"="&amp;$DF26+'Model Setup'!$B$7,$AD26:$BA26)+'Model Setup'!$B$8*(SUMIF($BH$3:$CE$3,"&lt;"&amp;$DF26,$AD26:$BA26)+SUMIF($BH$3:$CE$3,"&gt;"&amp;$CW$4,$AD26:$BA26)),
IF(CB$3=$DF26+'Model Setup'!$C$7,SUMIF($BH$3:$CE$3,"="&amp;$DF26+'Model Setup'!$C$7,$AD26:$BA26)+'Model Setup'!$C$8*(SUMIF($BH$3:$CE$3,"&lt;"&amp;$DF26,$AD26:$BA26)+SUMIF($BH$3:$CE$3,"&gt;"&amp;$CW$4,$AD26:$BA26)),
IF(CB$3=$DF26+'Model Setup'!$D$7,SUMIF($BH$3:$CE$3,"="&amp;$DF26+'Model Setup'!$D$7,$AD26:$BA26)+'Model Setup'!$D$8*(SUMIF($BH$3:$CE$3,"&lt;"&amp;$DF26,$AD26:$BA26)+SUMIF($BH$3:$CE$3,"&gt;"&amp;$CW$4,$AD26:$BA26)),
IF(CB$3=$DF26+'Model Setup'!$E$7,SUMIF($BH$3:$CE$3,"="&amp;$DF26+'Model Setup'!$E$7,$AD26:$BA26)+'Model Setup'!$E$8*(SUMIF($BH$3:$CE$3,"&lt;"&amp;$DF26,$AD26:$BA26)+SUMIF($BH$3:$CE$3,"&gt;"&amp;$CW$4,$AD26:$BA26)),
IF(CB$3=$DF26+'Model Setup'!$F$7,SUMIF($BH$3:$CE$3,"="&amp;$DF26+'Model Setup'!$F$7,$AD26:$BA26)+'Model Setup'!$F$8*(SUMIF($BH$3:$CE$3,"&lt;"&amp;$DF26,$AD26:$BA26)+SUMIF($BH$3:$CE$3,"&gt;"&amp;$CW$4,$AD26:$BA26)),
IF(CB$3=$DF26+'Model Setup'!$G$7,SUMIF($BH$3:$CE$3,"="&amp;$DF26+'Model Setup'!$G$7,$AD26:$BA26)+'Model Setup'!$G$8*(SUMIF($BH$3:$CE$3,"&lt;"&amp;$DF26,$AD26:$BA26)+SUMIF($BH$3:$CE$3,"&gt;"&amp;$CW$4,$AD26:$BA26)),
IF(CB$3=$DF26+'Model Setup'!$H$7,SUMIF($BH$3:$CE$3,"="&amp;$DF26+'Model Setup'!$H$7,$AD26:$BA26)+'Model Setup'!$H$8*(SUMIF($BH$3:$CE$3,"&lt;"&amp;$DF26,$AD26:$BA26)+SUMIF($BH$3:$CE$3,"&gt;"&amp;$CW$4,$AD26:$BA26)),
IF(CB$3=$DF26+'Model Setup'!$I$7,SUMIF($BH$3:$CE$3,"="&amp;$DF26+'Model Setup'!$I$7,$AD26:$BA26)+'Model Setup'!$I$8*(SUMIF($BH$3:$CE$3,"&lt;"&amp;$DF26,$AD26:$BA26)+SUMIF($BH$3:$CE$3,"&gt;"&amp;$CW$4,$AD26:$BA26)),
IF(CB$3=$DF26+'Model Setup'!$J$7,SUMIF($BH$3:$CE$3,"="&amp;$DF26+'Model Setup'!$J$7,$AD26:$BA26)+'Model Setup'!$J$8*(SUMIF($BH$3:$CE$3,"&lt;"&amp;$DF26,$AD26:$BA26)+SUMIF($BH$3:$CE$3,"&gt;"&amp;$CW$4,$AD26:$BA26)),
IF(CB$3=$DF26+'Model Setup'!$K$7,SUMIF($BH$3:$CE$3,"="&amp;$DF26+'Model Setup'!$K$7,$AD26:$BA26)+'Model Setup'!$K$8*(SUMIF($BH$3:$CE$3,"&lt;"&amp;$DF26,$AD26:$BA26)+SUMIF($BH$3:$CE$3,"&gt;"&amp;$CW$4,$AD26:$BA26)),
IF(CB$3=$DF26+'Model Setup'!$L$7,SUMIF($BH$3:$CE$3,"="&amp;$DF26+'Model Setup'!$L$7,$AD26:$BA26)+'Model Setup'!$L$8*(SUMIF($BH$3:$CE$3,"&lt;"&amp;$DF26,$AD26:$BA26)+SUMIF($BH$3:$CE$3,"&gt;"&amp;$CW$4,$AD26:$BA26)),
IF(CB$3=$DF26+'Model Setup'!$M$7,SUMIF($BH$3:$CE$3,"="&amp;$DF26+'Model Setup'!$M$7,$AD26:$BA26)+'Model Setup'!$M$8*(SUMIF($BH$3:$CE$3,"&lt;"&amp;$DF26,$AD26:$BA26)+SUMIF($BH$3:$CE$3,"&gt;"&amp;$CW$4,$AD26:$BA26)),
IF(CB$3=$DF26+'Model Setup'!$N$7,SUMIF($BH$3:$CE$3,"="&amp;$DF26+'Model Setup'!$N$7,$AD26:$BA26)+'Model Setup'!$N$8*(SUMIF($BH$3:$CE$3,"&lt;"&amp;$DF26,$AD26:$BA26)+SUMIF($BH$3:$CE$3,"&gt;"&amp;$CW$4,$AD26:$BA26)),
IF(CB$3&lt;$CW$4,V26,0))))))))))))))),0)</f>
        <v>0</v>
      </c>
      <c r="CC26" s="47">
        <f>ROUND(IF(OR(CC$3&lt;$DF26,CC$3&gt;$CW$4),0,
IF(CC$3=$DF26+'Model Setup'!$B$7,SUMIF($BH$3:$CE$3,"="&amp;$DF26+'Model Setup'!$B$7,$AD26:$BA26)+'Model Setup'!$B$8*(SUMIF($BH$3:$CE$3,"&lt;"&amp;$DF26,$AD26:$BA26)+SUMIF($BH$3:$CE$3,"&gt;"&amp;$CW$4,$AD26:$BA26)),
IF(CC$3=$DF26+'Model Setup'!$C$7,SUMIF($BH$3:$CE$3,"="&amp;$DF26+'Model Setup'!$C$7,$AD26:$BA26)+'Model Setup'!$C$8*(SUMIF($BH$3:$CE$3,"&lt;"&amp;$DF26,$AD26:$BA26)+SUMIF($BH$3:$CE$3,"&gt;"&amp;$CW$4,$AD26:$BA26)),
IF(CC$3=$DF26+'Model Setup'!$D$7,SUMIF($BH$3:$CE$3,"="&amp;$DF26+'Model Setup'!$D$7,$AD26:$BA26)+'Model Setup'!$D$8*(SUMIF($BH$3:$CE$3,"&lt;"&amp;$DF26,$AD26:$BA26)+SUMIF($BH$3:$CE$3,"&gt;"&amp;$CW$4,$AD26:$BA26)),
IF(CC$3=$DF26+'Model Setup'!$E$7,SUMIF($BH$3:$CE$3,"="&amp;$DF26+'Model Setup'!$E$7,$AD26:$BA26)+'Model Setup'!$E$8*(SUMIF($BH$3:$CE$3,"&lt;"&amp;$DF26,$AD26:$BA26)+SUMIF($BH$3:$CE$3,"&gt;"&amp;$CW$4,$AD26:$BA26)),
IF(CC$3=$DF26+'Model Setup'!$F$7,SUMIF($BH$3:$CE$3,"="&amp;$DF26+'Model Setup'!$F$7,$AD26:$BA26)+'Model Setup'!$F$8*(SUMIF($BH$3:$CE$3,"&lt;"&amp;$DF26,$AD26:$BA26)+SUMIF($BH$3:$CE$3,"&gt;"&amp;$CW$4,$AD26:$BA26)),
IF(CC$3=$DF26+'Model Setup'!$G$7,SUMIF($BH$3:$CE$3,"="&amp;$DF26+'Model Setup'!$G$7,$AD26:$BA26)+'Model Setup'!$G$8*(SUMIF($BH$3:$CE$3,"&lt;"&amp;$DF26,$AD26:$BA26)+SUMIF($BH$3:$CE$3,"&gt;"&amp;$CW$4,$AD26:$BA26)),
IF(CC$3=$DF26+'Model Setup'!$H$7,SUMIF($BH$3:$CE$3,"="&amp;$DF26+'Model Setup'!$H$7,$AD26:$BA26)+'Model Setup'!$H$8*(SUMIF($BH$3:$CE$3,"&lt;"&amp;$DF26,$AD26:$BA26)+SUMIF($BH$3:$CE$3,"&gt;"&amp;$CW$4,$AD26:$BA26)),
IF(CC$3=$DF26+'Model Setup'!$I$7,SUMIF($BH$3:$CE$3,"="&amp;$DF26+'Model Setup'!$I$7,$AD26:$BA26)+'Model Setup'!$I$8*(SUMIF($BH$3:$CE$3,"&lt;"&amp;$DF26,$AD26:$BA26)+SUMIF($BH$3:$CE$3,"&gt;"&amp;$CW$4,$AD26:$BA26)),
IF(CC$3=$DF26+'Model Setup'!$J$7,SUMIF($BH$3:$CE$3,"="&amp;$DF26+'Model Setup'!$J$7,$AD26:$BA26)+'Model Setup'!$J$8*(SUMIF($BH$3:$CE$3,"&lt;"&amp;$DF26,$AD26:$BA26)+SUMIF($BH$3:$CE$3,"&gt;"&amp;$CW$4,$AD26:$BA26)),
IF(CC$3=$DF26+'Model Setup'!$K$7,SUMIF($BH$3:$CE$3,"="&amp;$DF26+'Model Setup'!$K$7,$AD26:$BA26)+'Model Setup'!$K$8*(SUMIF($BH$3:$CE$3,"&lt;"&amp;$DF26,$AD26:$BA26)+SUMIF($BH$3:$CE$3,"&gt;"&amp;$CW$4,$AD26:$BA26)),
IF(CC$3=$DF26+'Model Setup'!$L$7,SUMIF($BH$3:$CE$3,"="&amp;$DF26+'Model Setup'!$L$7,$AD26:$BA26)+'Model Setup'!$L$8*(SUMIF($BH$3:$CE$3,"&lt;"&amp;$DF26,$AD26:$BA26)+SUMIF($BH$3:$CE$3,"&gt;"&amp;$CW$4,$AD26:$BA26)),
IF(CC$3=$DF26+'Model Setup'!$M$7,SUMIF($BH$3:$CE$3,"="&amp;$DF26+'Model Setup'!$M$7,$AD26:$BA26)+'Model Setup'!$M$8*(SUMIF($BH$3:$CE$3,"&lt;"&amp;$DF26,$AD26:$BA26)+SUMIF($BH$3:$CE$3,"&gt;"&amp;$CW$4,$AD26:$BA26)),
IF(CC$3=$DF26+'Model Setup'!$N$7,SUMIF($BH$3:$CE$3,"="&amp;$DF26+'Model Setup'!$N$7,$AD26:$BA26)+'Model Setup'!$N$8*(SUMIF($BH$3:$CE$3,"&lt;"&amp;$DF26,$AD26:$BA26)+SUMIF($BH$3:$CE$3,"&gt;"&amp;$CW$4,$AD26:$BA26)),
IF(CC$3&lt;$CW$4,W26,0))))))))))))))),0)</f>
        <v>0</v>
      </c>
      <c r="CD26" s="47">
        <f>ROUND(IF(OR(CD$3&lt;$DF26,CD$3&gt;$CW$4),0,
IF(CD$3=$DF26+'Model Setup'!$B$7,SUMIF($BH$3:$CE$3,"="&amp;$DF26+'Model Setup'!$B$7,$AD26:$BA26)+'Model Setup'!$B$8*(SUMIF($BH$3:$CE$3,"&lt;"&amp;$DF26,$AD26:$BA26)+SUMIF($BH$3:$CE$3,"&gt;"&amp;$CW$4,$AD26:$BA26)),
IF(CD$3=$DF26+'Model Setup'!$C$7,SUMIF($BH$3:$CE$3,"="&amp;$DF26+'Model Setup'!$C$7,$AD26:$BA26)+'Model Setup'!$C$8*(SUMIF($BH$3:$CE$3,"&lt;"&amp;$DF26,$AD26:$BA26)+SUMIF($BH$3:$CE$3,"&gt;"&amp;$CW$4,$AD26:$BA26)),
IF(CD$3=$DF26+'Model Setup'!$D$7,SUMIF($BH$3:$CE$3,"="&amp;$DF26+'Model Setup'!$D$7,$AD26:$BA26)+'Model Setup'!$D$8*(SUMIF($BH$3:$CE$3,"&lt;"&amp;$DF26,$AD26:$BA26)+SUMIF($BH$3:$CE$3,"&gt;"&amp;$CW$4,$AD26:$BA26)),
IF(CD$3=$DF26+'Model Setup'!$E$7,SUMIF($BH$3:$CE$3,"="&amp;$DF26+'Model Setup'!$E$7,$AD26:$BA26)+'Model Setup'!$E$8*(SUMIF($BH$3:$CE$3,"&lt;"&amp;$DF26,$AD26:$BA26)+SUMIF($BH$3:$CE$3,"&gt;"&amp;$CW$4,$AD26:$BA26)),
IF(CD$3=$DF26+'Model Setup'!$F$7,SUMIF($BH$3:$CE$3,"="&amp;$DF26+'Model Setup'!$F$7,$AD26:$BA26)+'Model Setup'!$F$8*(SUMIF($BH$3:$CE$3,"&lt;"&amp;$DF26,$AD26:$BA26)+SUMIF($BH$3:$CE$3,"&gt;"&amp;$CW$4,$AD26:$BA26)),
IF(CD$3=$DF26+'Model Setup'!$G$7,SUMIF($BH$3:$CE$3,"="&amp;$DF26+'Model Setup'!$G$7,$AD26:$BA26)+'Model Setup'!$G$8*(SUMIF($BH$3:$CE$3,"&lt;"&amp;$DF26,$AD26:$BA26)+SUMIF($BH$3:$CE$3,"&gt;"&amp;$CW$4,$AD26:$BA26)),
IF(CD$3=$DF26+'Model Setup'!$H$7,SUMIF($BH$3:$CE$3,"="&amp;$DF26+'Model Setup'!$H$7,$AD26:$BA26)+'Model Setup'!$H$8*(SUMIF($BH$3:$CE$3,"&lt;"&amp;$DF26,$AD26:$BA26)+SUMIF($BH$3:$CE$3,"&gt;"&amp;$CW$4,$AD26:$BA26)),
IF(CD$3=$DF26+'Model Setup'!$I$7,SUMIF($BH$3:$CE$3,"="&amp;$DF26+'Model Setup'!$I$7,$AD26:$BA26)+'Model Setup'!$I$8*(SUMIF($BH$3:$CE$3,"&lt;"&amp;$DF26,$AD26:$BA26)+SUMIF($BH$3:$CE$3,"&gt;"&amp;$CW$4,$AD26:$BA26)),
IF(CD$3=$DF26+'Model Setup'!$J$7,SUMIF($BH$3:$CE$3,"="&amp;$DF26+'Model Setup'!$J$7,$AD26:$BA26)+'Model Setup'!$J$8*(SUMIF($BH$3:$CE$3,"&lt;"&amp;$DF26,$AD26:$BA26)+SUMIF($BH$3:$CE$3,"&gt;"&amp;$CW$4,$AD26:$BA26)),
IF(CD$3=$DF26+'Model Setup'!$K$7,SUMIF($BH$3:$CE$3,"="&amp;$DF26+'Model Setup'!$K$7,$AD26:$BA26)+'Model Setup'!$K$8*(SUMIF($BH$3:$CE$3,"&lt;"&amp;$DF26,$AD26:$BA26)+SUMIF($BH$3:$CE$3,"&gt;"&amp;$CW$4,$AD26:$BA26)),
IF(CD$3=$DF26+'Model Setup'!$L$7,SUMIF($BH$3:$CE$3,"="&amp;$DF26+'Model Setup'!$L$7,$AD26:$BA26)+'Model Setup'!$L$8*(SUMIF($BH$3:$CE$3,"&lt;"&amp;$DF26,$AD26:$BA26)+SUMIF($BH$3:$CE$3,"&gt;"&amp;$CW$4,$AD26:$BA26)),
IF(CD$3=$DF26+'Model Setup'!$M$7,SUMIF($BH$3:$CE$3,"="&amp;$DF26+'Model Setup'!$M$7,$AD26:$BA26)+'Model Setup'!$M$8*(SUMIF($BH$3:$CE$3,"&lt;"&amp;$DF26,$AD26:$BA26)+SUMIF($BH$3:$CE$3,"&gt;"&amp;$CW$4,$AD26:$BA26)),
IF(CD$3=$DF26+'Model Setup'!$N$7,SUMIF($BH$3:$CE$3,"="&amp;$DF26+'Model Setup'!$N$7,$AD26:$BA26)+'Model Setup'!$N$8*(SUMIF($BH$3:$CE$3,"&lt;"&amp;$DF26,$AD26:$BA26)+SUMIF($BH$3:$CE$3,"&gt;"&amp;$CW$4,$AD26:$BA26)),
IF(CD$3&lt;$CW$4,X26,0))))))))))))))),0)</f>
        <v>0</v>
      </c>
      <c r="CE26" s="47">
        <f>ROUND(IF(OR(CE$3&lt;$DF26,CE$3&gt;$CW$4),0,
IF(CE$3=$DF26+'Model Setup'!$B$7,SUMIF($BH$3:$CE$3,"="&amp;$DF26+'Model Setup'!$B$7,$AD26:$BA26)+'Model Setup'!$B$8*(SUMIF($BH$3:$CE$3,"&lt;"&amp;$DF26,$AD26:$BA26)+SUMIF($BH$3:$CE$3,"&gt;"&amp;$CW$4,$AD26:$BA26)),
IF(CE$3=$DF26+'Model Setup'!$C$7,SUMIF($BH$3:$CE$3,"="&amp;$DF26+'Model Setup'!$C$7,$AD26:$BA26)+'Model Setup'!$C$8*(SUMIF($BH$3:$CE$3,"&lt;"&amp;$DF26,$AD26:$BA26)+SUMIF($BH$3:$CE$3,"&gt;"&amp;$CW$4,$AD26:$BA26)),
IF(CE$3=$DF26+'Model Setup'!$D$7,SUMIF($BH$3:$CE$3,"="&amp;$DF26+'Model Setup'!$D$7,$AD26:$BA26)+'Model Setup'!$D$8*(SUMIF($BH$3:$CE$3,"&lt;"&amp;$DF26,$AD26:$BA26)+SUMIF($BH$3:$CE$3,"&gt;"&amp;$CW$4,$AD26:$BA26)),
IF(CE$3=$DF26+'Model Setup'!$E$7,SUMIF($BH$3:$CE$3,"="&amp;$DF26+'Model Setup'!$E$7,$AD26:$BA26)+'Model Setup'!$E$8*(SUMIF($BH$3:$CE$3,"&lt;"&amp;$DF26,$AD26:$BA26)+SUMIF($BH$3:$CE$3,"&gt;"&amp;$CW$4,$AD26:$BA26)),
IF(CE$3=$DF26+'Model Setup'!$F$7,SUMIF($BH$3:$CE$3,"="&amp;$DF26+'Model Setup'!$F$7,$AD26:$BA26)+'Model Setup'!$F$8*(SUMIF($BH$3:$CE$3,"&lt;"&amp;$DF26,$AD26:$BA26)+SUMIF($BH$3:$CE$3,"&gt;"&amp;$CW$4,$AD26:$BA26)),
IF(CE$3=$DF26+'Model Setup'!$G$7,SUMIF($BH$3:$CE$3,"="&amp;$DF26+'Model Setup'!$G$7,$AD26:$BA26)+'Model Setup'!$G$8*(SUMIF($BH$3:$CE$3,"&lt;"&amp;$DF26,$AD26:$BA26)+SUMIF($BH$3:$CE$3,"&gt;"&amp;$CW$4,$AD26:$BA26)),
IF(CE$3=$DF26+'Model Setup'!$H$7,SUMIF($BH$3:$CE$3,"="&amp;$DF26+'Model Setup'!$H$7,$AD26:$BA26)+'Model Setup'!$H$8*(SUMIF($BH$3:$CE$3,"&lt;"&amp;$DF26,$AD26:$BA26)+SUMIF($BH$3:$CE$3,"&gt;"&amp;$CW$4,$AD26:$BA26)),
IF(CE$3=$DF26+'Model Setup'!$I$7,SUMIF($BH$3:$CE$3,"="&amp;$DF26+'Model Setup'!$I$7,$AD26:$BA26)+'Model Setup'!$I$8*(SUMIF($BH$3:$CE$3,"&lt;"&amp;$DF26,$AD26:$BA26)+SUMIF($BH$3:$CE$3,"&gt;"&amp;$CW$4,$AD26:$BA26)),
IF(CE$3=$DF26+'Model Setup'!$J$7,SUMIF($BH$3:$CE$3,"="&amp;$DF26+'Model Setup'!$J$7,$AD26:$BA26)+'Model Setup'!$J$8*(SUMIF($BH$3:$CE$3,"&lt;"&amp;$DF26,$AD26:$BA26)+SUMIF($BH$3:$CE$3,"&gt;"&amp;$CW$4,$AD26:$BA26)),
IF(CE$3=$DF26+'Model Setup'!$K$7,SUMIF($BH$3:$CE$3,"="&amp;$DF26+'Model Setup'!$K$7,$AD26:$BA26)+'Model Setup'!$K$8*(SUMIF($BH$3:$CE$3,"&lt;"&amp;$DF26,$AD26:$BA26)+SUMIF($BH$3:$CE$3,"&gt;"&amp;$CW$4,$AD26:$BA26)),
IF(CE$3=$DF26+'Model Setup'!$L$7,SUMIF($BH$3:$CE$3,"="&amp;$DF26+'Model Setup'!$L$7,$AD26:$BA26)+'Model Setup'!$L$8*(SUMIF($BH$3:$CE$3,"&lt;"&amp;$DF26,$AD26:$BA26)+SUMIF($BH$3:$CE$3,"&gt;"&amp;$CW$4,$AD26:$BA26)),
IF(CE$3=$DF26+'Model Setup'!$M$7,SUMIF($BH$3:$CE$3,"="&amp;$DF26+'Model Setup'!$M$7,$AD26:$BA26)+'Model Setup'!$M$8*(SUMIF($BH$3:$CE$3,"&lt;"&amp;$DF26,$AD26:$BA26)+SUMIF($BH$3:$CE$3,"&gt;"&amp;$CW$4,$AD26:$BA26)),
IF(CE$3=$DF26+'Model Setup'!$N$7,SUMIF($BH$3:$CE$3,"="&amp;$DF26+'Model Setup'!$N$7,$AD26:$BA26)+'Model Setup'!$N$8*(SUMIF($BH$3:$CE$3,"&lt;"&amp;$DF26,$AD26:$BA26)+SUMIF($BH$3:$CE$3,"&gt;"&amp;$CW$4,$AD26:$BA26)),
IF(CE$3&lt;$CW$4,Y26,0))))))))))))))),0)</f>
        <v>0</v>
      </c>
      <c r="CF26" s="47">
        <f t="shared" si="3"/>
        <v>223</v>
      </c>
      <c r="CG26" s="47">
        <f t="shared" si="4"/>
        <v>0</v>
      </c>
      <c r="CI26" s="10" t="s">
        <v>41</v>
      </c>
      <c r="CJ26" s="126">
        <f t="shared" si="9"/>
        <v>7</v>
      </c>
      <c r="CK26" s="126">
        <f t="shared" si="10"/>
        <v>32</v>
      </c>
      <c r="CL26" s="126">
        <f t="shared" si="11"/>
        <v>31</v>
      </c>
      <c r="CM26" s="126">
        <f t="shared" si="12"/>
        <v>33</v>
      </c>
      <c r="CN26" s="126">
        <f t="shared" si="13"/>
        <v>32</v>
      </c>
      <c r="CO26" s="126">
        <f t="shared" si="14"/>
        <v>22</v>
      </c>
      <c r="CP26" s="126">
        <f t="shared" si="15"/>
        <v>10</v>
      </c>
      <c r="CQ26" s="126">
        <f t="shared" si="16"/>
        <v>13</v>
      </c>
      <c r="CR26" s="126">
        <f t="shared" si="17"/>
        <v>9</v>
      </c>
      <c r="CS26" s="126">
        <f t="shared" si="18"/>
        <v>10</v>
      </c>
      <c r="CT26" s="126">
        <f t="shared" si="19"/>
        <v>7</v>
      </c>
      <c r="CU26" s="126">
        <f t="shared" si="20"/>
        <v>10</v>
      </c>
      <c r="CV26" s="126">
        <f t="shared" si="21"/>
        <v>7</v>
      </c>
      <c r="CW26" s="126">
        <f t="shared" si="22"/>
        <v>0</v>
      </c>
      <c r="CX26" s="126">
        <f t="shared" si="23"/>
        <v>0</v>
      </c>
      <c r="CY26" s="126">
        <f t="shared" si="24"/>
        <v>0</v>
      </c>
      <c r="CZ26" s="47">
        <f t="shared" si="7"/>
        <v>223</v>
      </c>
      <c r="DC26" s="93" t="s">
        <v>41</v>
      </c>
      <c r="DD26" s="89">
        <f>FTC!E24</f>
        <v>0.20833333333333334</v>
      </c>
      <c r="DE26" s="89">
        <f>FTC!F24</f>
        <v>0.75</v>
      </c>
      <c r="DF26" s="90">
        <f t="shared" si="25"/>
        <v>5</v>
      </c>
      <c r="DG26" s="91">
        <f t="shared" si="26"/>
        <v>18</v>
      </c>
      <c r="DH26" s="91">
        <f t="shared" si="27"/>
        <v>13</v>
      </c>
    </row>
    <row r="27" spans="1:112" x14ac:dyDescent="0.35">
      <c r="A27" s="43" t="s">
        <v>42</v>
      </c>
      <c r="B27" s="47">
        <v>1</v>
      </c>
      <c r="C27" s="47">
        <v>4</v>
      </c>
      <c r="D27" s="47">
        <v>2</v>
      </c>
      <c r="E27" s="47">
        <v>3</v>
      </c>
      <c r="F27" s="47">
        <v>6</v>
      </c>
      <c r="G27" s="47">
        <v>12</v>
      </c>
      <c r="H27" s="47">
        <v>67</v>
      </c>
      <c r="I27" s="47">
        <v>101</v>
      </c>
      <c r="J27" s="47">
        <v>95</v>
      </c>
      <c r="K27" s="47">
        <v>75</v>
      </c>
      <c r="L27" s="47">
        <v>74</v>
      </c>
      <c r="M27" s="47">
        <v>56</v>
      </c>
      <c r="N27" s="47">
        <v>49</v>
      </c>
      <c r="O27" s="47">
        <v>47</v>
      </c>
      <c r="P27" s="47">
        <v>34</v>
      </c>
      <c r="Q27" s="47">
        <v>30</v>
      </c>
      <c r="R27" s="47">
        <v>20</v>
      </c>
      <c r="S27" s="47">
        <v>14</v>
      </c>
      <c r="T27" s="47">
        <v>7</v>
      </c>
      <c r="U27" s="47">
        <v>5</v>
      </c>
      <c r="V27" s="47">
        <v>3</v>
      </c>
      <c r="W27" s="47">
        <v>4</v>
      </c>
      <c r="X27" s="47">
        <v>3</v>
      </c>
      <c r="Y27" s="47">
        <v>3</v>
      </c>
      <c r="Z27" s="47">
        <f t="shared" si="0"/>
        <v>715</v>
      </c>
      <c r="AC27" s="43" t="s">
        <v>42</v>
      </c>
      <c r="AD27" s="47">
        <f>ROUND(IF(AD$3&lt;$DF27,0,
IF(AD$3=$DF27+'Model Setup'!$B$7,SUMIF($AD$3:$BA$3,"="&amp;$DF27+'Model Setup'!$B$7,$B27:$Y27)+'Model Setup'!$B$8*(SUMIF($AD$3:$BA$3,"&lt;"&amp;$DF27,$B27:$Y27)+SUMIF($AD$3:$BA$3,"&gt;="&amp;$DG27,$B27:$Y27)),
IF(AD$3=$DF27+'Model Setup'!$C$7,SUMIF($AD$3:$BA$3,"="&amp;$DF27+'Model Setup'!$C$7,$B27:$Y27)+'Model Setup'!$C$8*(SUMIF($AD$3:$BA$3,"&lt;"&amp;$DF27,$B27:$Y27)+SUMIF($AD$3:$BA$3,"&gt;="&amp;$DG27,$B27:$Y27)),
IF(AD$3=$DF27+'Model Setup'!$D$7,SUMIF($AD$3:$BA$3,"="&amp;$DF27+'Model Setup'!$D$7,$B27:$Y27)+'Model Setup'!$D$8*(SUMIF($AD$3:$BA$3,"&lt;"&amp;$DF27,$B27:$Y27)+SUMIF($AD$3:$BA$3,"&gt;="&amp;$DG27,$B27:$Y27)),
IF(AD$3=$DF27+'Model Setup'!$E$7,SUMIF($AD$3:$BA$3,"="&amp;$DF27+'Model Setup'!$E$7,$B27:$Y27)+'Model Setup'!$E$8*(SUMIF($AD$3:$BA$3,"&lt;"&amp;$DF27,$B27:$Y27)+SUMIF($AD$3:$BA$3,"&gt;="&amp;$DG27,$B27:$Y27)),
IF(AD$3=$DF27+'Model Setup'!$F$7,SUMIF($AD$3:$BA$3,"="&amp;$DF27+'Model Setup'!$F$7,$B27:$Y27)+'Model Setup'!$F$8*(SUMIF($AD$3:$BA$3,"&lt;"&amp;$DF27,$B27:$Y27)+SUMIF($AD$3:$BA$3,"&gt;="&amp;$DG27,$B27:$Y27)),
IF(AD$3=$DF27+'Model Setup'!$G$7,SUMIF($AD$3:$BA$3,"="&amp;$DF27+'Model Setup'!$G$7,$B27:$Y27)+'Model Setup'!$G$8*(SUMIF($AD$3:$BA$3,"&lt;"&amp;$DF27,$B27:$Y27)+SUMIF($AD$3:$BA$3,"&gt;="&amp;$DG27,$B27:$Y27)),
IF(AD$3=$DF27+'Model Setup'!$H$7,SUMIF($AD$3:$BA$3,"="&amp;$DF27+'Model Setup'!$H$7,$B27:$Y27)+'Model Setup'!$H$8*(SUMIF($AD$3:$BA$3,"&lt;"&amp;$DF27,$B27:$Y27)+SUMIF($AD$3:$BA$3,"&gt;="&amp;$DG27,$B27:$Y27)),
IF(AD$3=$DF27+'Model Setup'!$I$7,SUMIF($AD$3:$BA$3,"="&amp;$DF27+'Model Setup'!$I$7,$B27:$Y27)+'Model Setup'!$I$8*(SUMIF($AD$3:$BA$3,"&lt;"&amp;$DF27,$B27:$Y27)+SUMIF($AD$3:$BA$3,"&gt;="&amp;$DG27,$B27:$Y27)),
IF(AD$3=$DF27+'Model Setup'!$J$7,SUMIF($AD$3:$BA$3,"="&amp;$DF27+'Model Setup'!$J$7,$B27:$Y27)+'Model Setup'!$J$8*(SUMIF($AD$3:$BA$3,"&lt;"&amp;$DF27,$B27:$Y27)+SUMIF($AD$3:$BA$3,"&gt;="&amp;$DG27,$B27:$Y27)),
IF(AD$3=$DF27+'Model Setup'!$K$7,SUMIF($AD$3:$BA$3,"="&amp;$DF27+'Model Setup'!$K$7,$B27:$Y27)+'Model Setup'!$K$8*(SUMIF($AD$3:$BA$3,"&lt;"&amp;$DF27,$B27:$Y27)+SUMIF($AD$3:$BA$3,"&gt;="&amp;$DG27,$B27:$Y27)),
IF(AD$3=$DF27+'Model Setup'!$L$7,SUMIF($AD$3:$BA$3,"="&amp;$DF27+'Model Setup'!$L$7,$B27:$Y27)+'Model Setup'!$L$8*(SUMIF($AD$3:$BA$3,"&lt;"&amp;$DF27,$B27:$Y27)+SUMIF($AD$3:$BA$3,"&gt;="&amp;$DG27,$B27:$Y27)),
IF(AD$3=$DF27+'Model Setup'!$M$7,SUMIF($AD$3:$BA$3,"="&amp;$DF27+'Model Setup'!$M$7,$B27:$Y27)+'Model Setup'!$M$8*(SUMIF($AD$3:$BA$3,"&lt;"&amp;$DF27,$B27:$Y27)+SUMIF($AD$3:$BA$3,"&gt;="&amp;$DG27,$B27:$Y27)),
IF(AD$3=$DF27+'Model Setup'!$N$7,SUMIF($AD$3:$BA$3,"="&amp;$DF27+'Model Setup'!$N$7,$B27:$Y27)+'Model Setup'!$N$8*(SUMIF($AD$3:$BA$3,"&lt;"&amp;$DF27,$B27:$Y27)+SUMIF($AD$3:$BA$3,"&gt;="&amp;$DG27,$B27:$Y27)),
IF(AD$3&lt;$DG27,B27,0))))))))))))))),0)</f>
        <v>0</v>
      </c>
      <c r="AE27" s="47">
        <f>ROUND(IF(AE$3&lt;$DF27,0,
IF(AE$3=$DF27+'Model Setup'!$B$7,SUMIF($AD$3:$BA$3,"="&amp;$DF27+'Model Setup'!$B$7,$B27:$Y27)+'Model Setup'!$B$8*(SUMIF($AD$3:$BA$3,"&lt;"&amp;$DF27,$B27:$Y27)+SUMIF($AD$3:$BA$3,"&gt;="&amp;$DG27,$B27:$Y27)),
IF(AE$3=$DF27+'Model Setup'!$C$7,SUMIF($AD$3:$BA$3,"="&amp;$DF27+'Model Setup'!$C$7,$B27:$Y27)+'Model Setup'!$C$8*(SUMIF($AD$3:$BA$3,"&lt;"&amp;$DF27,$B27:$Y27)+SUMIF($AD$3:$BA$3,"&gt;="&amp;$DG27,$B27:$Y27)),
IF(AE$3=$DF27+'Model Setup'!$D$7,SUMIF($AD$3:$BA$3,"="&amp;$DF27+'Model Setup'!$D$7,$B27:$Y27)+'Model Setup'!$D$8*(SUMIF($AD$3:$BA$3,"&lt;"&amp;$DF27,$B27:$Y27)+SUMIF($AD$3:$BA$3,"&gt;="&amp;$DG27,$B27:$Y27)),
IF(AE$3=$DF27+'Model Setup'!$E$7,SUMIF($AD$3:$BA$3,"="&amp;$DF27+'Model Setup'!$E$7,$B27:$Y27)+'Model Setup'!$E$8*(SUMIF($AD$3:$BA$3,"&lt;"&amp;$DF27,$B27:$Y27)+SUMIF($AD$3:$BA$3,"&gt;="&amp;$DG27,$B27:$Y27)),
IF(AE$3=$DF27+'Model Setup'!$F$7,SUMIF($AD$3:$BA$3,"="&amp;$DF27+'Model Setup'!$F$7,$B27:$Y27)+'Model Setup'!$F$8*(SUMIF($AD$3:$BA$3,"&lt;"&amp;$DF27,$B27:$Y27)+SUMIF($AD$3:$BA$3,"&gt;="&amp;$DG27,$B27:$Y27)),
IF(AE$3=$DF27+'Model Setup'!$G$7,SUMIF($AD$3:$BA$3,"="&amp;$DF27+'Model Setup'!$G$7,$B27:$Y27)+'Model Setup'!$G$8*(SUMIF($AD$3:$BA$3,"&lt;"&amp;$DF27,$B27:$Y27)+SUMIF($AD$3:$BA$3,"&gt;="&amp;$DG27,$B27:$Y27)),
IF(AE$3=$DF27+'Model Setup'!$H$7,SUMIF($AD$3:$BA$3,"="&amp;$DF27+'Model Setup'!$H$7,$B27:$Y27)+'Model Setup'!$H$8*(SUMIF($AD$3:$BA$3,"&lt;"&amp;$DF27,$B27:$Y27)+SUMIF($AD$3:$BA$3,"&gt;="&amp;$DG27,$B27:$Y27)),
IF(AE$3=$DF27+'Model Setup'!$I$7,SUMIF($AD$3:$BA$3,"="&amp;$DF27+'Model Setup'!$I$7,$B27:$Y27)+'Model Setup'!$I$8*(SUMIF($AD$3:$BA$3,"&lt;"&amp;$DF27,$B27:$Y27)+SUMIF($AD$3:$BA$3,"&gt;="&amp;$DG27,$B27:$Y27)),
IF(AE$3=$DF27+'Model Setup'!$J$7,SUMIF($AD$3:$BA$3,"="&amp;$DF27+'Model Setup'!$J$7,$B27:$Y27)+'Model Setup'!$J$8*(SUMIF($AD$3:$BA$3,"&lt;"&amp;$DF27,$B27:$Y27)+SUMIF($AD$3:$BA$3,"&gt;="&amp;$DG27,$B27:$Y27)),
IF(AE$3=$DF27+'Model Setup'!$K$7,SUMIF($AD$3:$BA$3,"="&amp;$DF27+'Model Setup'!$K$7,$B27:$Y27)+'Model Setup'!$K$8*(SUMIF($AD$3:$BA$3,"&lt;"&amp;$DF27,$B27:$Y27)+SUMIF($AD$3:$BA$3,"&gt;="&amp;$DG27,$B27:$Y27)),
IF(AE$3=$DF27+'Model Setup'!$L$7,SUMIF($AD$3:$BA$3,"="&amp;$DF27+'Model Setup'!$L$7,$B27:$Y27)+'Model Setup'!$L$8*(SUMIF($AD$3:$BA$3,"&lt;"&amp;$DF27,$B27:$Y27)+SUMIF($AD$3:$BA$3,"&gt;="&amp;$DG27,$B27:$Y27)),
IF(AE$3=$DF27+'Model Setup'!$M$7,SUMIF($AD$3:$BA$3,"="&amp;$DF27+'Model Setup'!$M$7,$B27:$Y27)+'Model Setup'!$M$8*(SUMIF($AD$3:$BA$3,"&lt;"&amp;$DF27,$B27:$Y27)+SUMIF($AD$3:$BA$3,"&gt;="&amp;$DG27,$B27:$Y27)),
IF(AE$3=$DF27+'Model Setup'!$N$7,SUMIF($AD$3:$BA$3,"="&amp;$DF27+'Model Setup'!$N$7,$B27:$Y27)+'Model Setup'!$N$8*(SUMIF($AD$3:$BA$3,"&lt;"&amp;$DF27,$B27:$Y27)+SUMIF($AD$3:$BA$3,"&gt;="&amp;$DG27,$B27:$Y27)),
IF(AE$3&lt;$DG27,C27,0))))))))))))))),0)</f>
        <v>0</v>
      </c>
      <c r="AF27" s="47">
        <f>ROUND(IF(AF$3&lt;$DF27,0,
IF(AF$3=$DF27+'Model Setup'!$B$7,SUMIF($AD$3:$BA$3,"="&amp;$DF27+'Model Setup'!$B$7,$B27:$Y27)+'Model Setup'!$B$8*(SUMIF($AD$3:$BA$3,"&lt;"&amp;$DF27,$B27:$Y27)+SUMIF($AD$3:$BA$3,"&gt;="&amp;$DG27,$B27:$Y27)),
IF(AF$3=$DF27+'Model Setup'!$C$7,SUMIF($AD$3:$BA$3,"="&amp;$DF27+'Model Setup'!$C$7,$B27:$Y27)+'Model Setup'!$C$8*(SUMIF($AD$3:$BA$3,"&lt;"&amp;$DF27,$B27:$Y27)+SUMIF($AD$3:$BA$3,"&gt;="&amp;$DG27,$B27:$Y27)),
IF(AF$3=$DF27+'Model Setup'!$D$7,SUMIF($AD$3:$BA$3,"="&amp;$DF27+'Model Setup'!$D$7,$B27:$Y27)+'Model Setup'!$D$8*(SUMIF($AD$3:$BA$3,"&lt;"&amp;$DF27,$B27:$Y27)+SUMIF($AD$3:$BA$3,"&gt;="&amp;$DG27,$B27:$Y27)),
IF(AF$3=$DF27+'Model Setup'!$E$7,SUMIF($AD$3:$BA$3,"="&amp;$DF27+'Model Setup'!$E$7,$B27:$Y27)+'Model Setup'!$E$8*(SUMIF($AD$3:$BA$3,"&lt;"&amp;$DF27,$B27:$Y27)+SUMIF($AD$3:$BA$3,"&gt;="&amp;$DG27,$B27:$Y27)),
IF(AF$3=$DF27+'Model Setup'!$F$7,SUMIF($AD$3:$BA$3,"="&amp;$DF27+'Model Setup'!$F$7,$B27:$Y27)+'Model Setup'!$F$8*(SUMIF($AD$3:$BA$3,"&lt;"&amp;$DF27,$B27:$Y27)+SUMIF($AD$3:$BA$3,"&gt;="&amp;$DG27,$B27:$Y27)),
IF(AF$3=$DF27+'Model Setup'!$G$7,SUMIF($AD$3:$BA$3,"="&amp;$DF27+'Model Setup'!$G$7,$B27:$Y27)+'Model Setup'!$G$8*(SUMIF($AD$3:$BA$3,"&lt;"&amp;$DF27,$B27:$Y27)+SUMIF($AD$3:$BA$3,"&gt;="&amp;$DG27,$B27:$Y27)),
IF(AF$3=$DF27+'Model Setup'!$H$7,SUMIF($AD$3:$BA$3,"="&amp;$DF27+'Model Setup'!$H$7,$B27:$Y27)+'Model Setup'!$H$8*(SUMIF($AD$3:$BA$3,"&lt;"&amp;$DF27,$B27:$Y27)+SUMIF($AD$3:$BA$3,"&gt;="&amp;$DG27,$B27:$Y27)),
IF(AF$3=$DF27+'Model Setup'!$I$7,SUMIF($AD$3:$BA$3,"="&amp;$DF27+'Model Setup'!$I$7,$B27:$Y27)+'Model Setup'!$I$8*(SUMIF($AD$3:$BA$3,"&lt;"&amp;$DF27,$B27:$Y27)+SUMIF($AD$3:$BA$3,"&gt;="&amp;$DG27,$B27:$Y27)),
IF(AF$3=$DF27+'Model Setup'!$J$7,SUMIF($AD$3:$BA$3,"="&amp;$DF27+'Model Setup'!$J$7,$B27:$Y27)+'Model Setup'!$J$8*(SUMIF($AD$3:$BA$3,"&lt;"&amp;$DF27,$B27:$Y27)+SUMIF($AD$3:$BA$3,"&gt;="&amp;$DG27,$B27:$Y27)),
IF(AF$3=$DF27+'Model Setup'!$K$7,SUMIF($AD$3:$BA$3,"="&amp;$DF27+'Model Setup'!$K$7,$B27:$Y27)+'Model Setup'!$K$8*(SUMIF($AD$3:$BA$3,"&lt;"&amp;$DF27,$B27:$Y27)+SUMIF($AD$3:$BA$3,"&gt;="&amp;$DG27,$B27:$Y27)),
IF(AF$3=$DF27+'Model Setup'!$L$7,SUMIF($AD$3:$BA$3,"="&amp;$DF27+'Model Setup'!$L$7,$B27:$Y27)+'Model Setup'!$L$8*(SUMIF($AD$3:$BA$3,"&lt;"&amp;$DF27,$B27:$Y27)+SUMIF($AD$3:$BA$3,"&gt;="&amp;$DG27,$B27:$Y27)),
IF(AF$3=$DF27+'Model Setup'!$M$7,SUMIF($AD$3:$BA$3,"="&amp;$DF27+'Model Setup'!$M$7,$B27:$Y27)+'Model Setup'!$M$8*(SUMIF($AD$3:$BA$3,"&lt;"&amp;$DF27,$B27:$Y27)+SUMIF($AD$3:$BA$3,"&gt;="&amp;$DG27,$B27:$Y27)),
IF(AF$3=$DF27+'Model Setup'!$N$7,SUMIF($AD$3:$BA$3,"="&amp;$DF27+'Model Setup'!$N$7,$B27:$Y27)+'Model Setup'!$N$8*(SUMIF($AD$3:$BA$3,"&lt;"&amp;$DF27,$B27:$Y27)+SUMIF($AD$3:$BA$3,"&gt;="&amp;$DG27,$B27:$Y27)),
IF(AF$3&lt;$DG27,D27,0))))))))))))))),0)</f>
        <v>0</v>
      </c>
      <c r="AG27" s="47">
        <f>ROUND(IF(AG$3&lt;$DF27,0,
IF(AG$3=$DF27+'Model Setup'!$B$7,SUMIF($AD$3:$BA$3,"="&amp;$DF27+'Model Setup'!$B$7,$B27:$Y27)+'Model Setup'!$B$8*(SUMIF($AD$3:$BA$3,"&lt;"&amp;$DF27,$B27:$Y27)+SUMIF($AD$3:$BA$3,"&gt;="&amp;$DG27,$B27:$Y27)),
IF(AG$3=$DF27+'Model Setup'!$C$7,SUMIF($AD$3:$BA$3,"="&amp;$DF27+'Model Setup'!$C$7,$B27:$Y27)+'Model Setup'!$C$8*(SUMIF($AD$3:$BA$3,"&lt;"&amp;$DF27,$B27:$Y27)+SUMIF($AD$3:$BA$3,"&gt;="&amp;$DG27,$B27:$Y27)),
IF(AG$3=$DF27+'Model Setup'!$D$7,SUMIF($AD$3:$BA$3,"="&amp;$DF27+'Model Setup'!$D$7,$B27:$Y27)+'Model Setup'!$D$8*(SUMIF($AD$3:$BA$3,"&lt;"&amp;$DF27,$B27:$Y27)+SUMIF($AD$3:$BA$3,"&gt;="&amp;$DG27,$B27:$Y27)),
IF(AG$3=$DF27+'Model Setup'!$E$7,SUMIF($AD$3:$BA$3,"="&amp;$DF27+'Model Setup'!$E$7,$B27:$Y27)+'Model Setup'!$E$8*(SUMIF($AD$3:$BA$3,"&lt;"&amp;$DF27,$B27:$Y27)+SUMIF($AD$3:$BA$3,"&gt;="&amp;$DG27,$B27:$Y27)),
IF(AG$3=$DF27+'Model Setup'!$F$7,SUMIF($AD$3:$BA$3,"="&amp;$DF27+'Model Setup'!$F$7,$B27:$Y27)+'Model Setup'!$F$8*(SUMIF($AD$3:$BA$3,"&lt;"&amp;$DF27,$B27:$Y27)+SUMIF($AD$3:$BA$3,"&gt;="&amp;$DG27,$B27:$Y27)),
IF(AG$3=$DF27+'Model Setup'!$G$7,SUMIF($AD$3:$BA$3,"="&amp;$DF27+'Model Setup'!$G$7,$B27:$Y27)+'Model Setup'!$G$8*(SUMIF($AD$3:$BA$3,"&lt;"&amp;$DF27,$B27:$Y27)+SUMIF($AD$3:$BA$3,"&gt;="&amp;$DG27,$B27:$Y27)),
IF(AG$3=$DF27+'Model Setup'!$H$7,SUMIF($AD$3:$BA$3,"="&amp;$DF27+'Model Setup'!$H$7,$B27:$Y27)+'Model Setup'!$H$8*(SUMIF($AD$3:$BA$3,"&lt;"&amp;$DF27,$B27:$Y27)+SUMIF($AD$3:$BA$3,"&gt;="&amp;$DG27,$B27:$Y27)),
IF(AG$3=$DF27+'Model Setup'!$I$7,SUMIF($AD$3:$BA$3,"="&amp;$DF27+'Model Setup'!$I$7,$B27:$Y27)+'Model Setup'!$I$8*(SUMIF($AD$3:$BA$3,"&lt;"&amp;$DF27,$B27:$Y27)+SUMIF($AD$3:$BA$3,"&gt;="&amp;$DG27,$B27:$Y27)),
IF(AG$3=$DF27+'Model Setup'!$J$7,SUMIF($AD$3:$BA$3,"="&amp;$DF27+'Model Setup'!$J$7,$B27:$Y27)+'Model Setup'!$J$8*(SUMIF($AD$3:$BA$3,"&lt;"&amp;$DF27,$B27:$Y27)+SUMIF($AD$3:$BA$3,"&gt;="&amp;$DG27,$B27:$Y27)),
IF(AG$3=$DF27+'Model Setup'!$K$7,SUMIF($AD$3:$BA$3,"="&amp;$DF27+'Model Setup'!$K$7,$B27:$Y27)+'Model Setup'!$K$8*(SUMIF($AD$3:$BA$3,"&lt;"&amp;$DF27,$B27:$Y27)+SUMIF($AD$3:$BA$3,"&gt;="&amp;$DG27,$B27:$Y27)),
IF(AG$3=$DF27+'Model Setup'!$L$7,SUMIF($AD$3:$BA$3,"="&amp;$DF27+'Model Setup'!$L$7,$B27:$Y27)+'Model Setup'!$L$8*(SUMIF($AD$3:$BA$3,"&lt;"&amp;$DF27,$B27:$Y27)+SUMIF($AD$3:$BA$3,"&gt;="&amp;$DG27,$B27:$Y27)),
IF(AG$3=$DF27+'Model Setup'!$M$7,SUMIF($AD$3:$BA$3,"="&amp;$DF27+'Model Setup'!$M$7,$B27:$Y27)+'Model Setup'!$M$8*(SUMIF($AD$3:$BA$3,"&lt;"&amp;$DF27,$B27:$Y27)+SUMIF($AD$3:$BA$3,"&gt;="&amp;$DG27,$B27:$Y27)),
IF(AG$3=$DF27+'Model Setup'!$N$7,SUMIF($AD$3:$BA$3,"="&amp;$DF27+'Model Setup'!$N$7,$B27:$Y27)+'Model Setup'!$N$8*(SUMIF($AD$3:$BA$3,"&lt;"&amp;$DF27,$B27:$Y27)+SUMIF($AD$3:$BA$3,"&gt;="&amp;$DG27,$B27:$Y27)),
IF(AG$3&lt;$DG27,E27,0))))))))))))))),0)</f>
        <v>0</v>
      </c>
      <c r="AH27" s="47">
        <f>ROUND(IF(AH$3&lt;$DF27,0,
IF(AH$3=$DF27+'Model Setup'!$B$7,SUMIF($AD$3:$BA$3,"="&amp;$DF27+'Model Setup'!$B$7,$B27:$Y27)+'Model Setup'!$B$8*(SUMIF($AD$3:$BA$3,"&lt;"&amp;$DF27,$B27:$Y27)+SUMIF($AD$3:$BA$3,"&gt;="&amp;$DG27,$B27:$Y27)),
IF(AH$3=$DF27+'Model Setup'!$C$7,SUMIF($AD$3:$BA$3,"="&amp;$DF27+'Model Setup'!$C$7,$B27:$Y27)+'Model Setup'!$C$8*(SUMIF($AD$3:$BA$3,"&lt;"&amp;$DF27,$B27:$Y27)+SUMIF($AD$3:$BA$3,"&gt;="&amp;$DG27,$B27:$Y27)),
IF(AH$3=$DF27+'Model Setup'!$D$7,SUMIF($AD$3:$BA$3,"="&amp;$DF27+'Model Setup'!$D$7,$B27:$Y27)+'Model Setup'!$D$8*(SUMIF($AD$3:$BA$3,"&lt;"&amp;$DF27,$B27:$Y27)+SUMIF($AD$3:$BA$3,"&gt;="&amp;$DG27,$B27:$Y27)),
IF(AH$3=$DF27+'Model Setup'!$E$7,SUMIF($AD$3:$BA$3,"="&amp;$DF27+'Model Setup'!$E$7,$B27:$Y27)+'Model Setup'!$E$8*(SUMIF($AD$3:$BA$3,"&lt;"&amp;$DF27,$B27:$Y27)+SUMIF($AD$3:$BA$3,"&gt;="&amp;$DG27,$B27:$Y27)),
IF(AH$3=$DF27+'Model Setup'!$F$7,SUMIF($AD$3:$BA$3,"="&amp;$DF27+'Model Setup'!$F$7,$B27:$Y27)+'Model Setup'!$F$8*(SUMIF($AD$3:$BA$3,"&lt;"&amp;$DF27,$B27:$Y27)+SUMIF($AD$3:$BA$3,"&gt;="&amp;$DG27,$B27:$Y27)),
IF(AH$3=$DF27+'Model Setup'!$G$7,SUMIF($AD$3:$BA$3,"="&amp;$DF27+'Model Setup'!$G$7,$B27:$Y27)+'Model Setup'!$G$8*(SUMIF($AD$3:$BA$3,"&lt;"&amp;$DF27,$B27:$Y27)+SUMIF($AD$3:$BA$3,"&gt;="&amp;$DG27,$B27:$Y27)),
IF(AH$3=$DF27+'Model Setup'!$H$7,SUMIF($AD$3:$BA$3,"="&amp;$DF27+'Model Setup'!$H$7,$B27:$Y27)+'Model Setup'!$H$8*(SUMIF($AD$3:$BA$3,"&lt;"&amp;$DF27,$B27:$Y27)+SUMIF($AD$3:$BA$3,"&gt;="&amp;$DG27,$B27:$Y27)),
IF(AH$3=$DF27+'Model Setup'!$I$7,SUMIF($AD$3:$BA$3,"="&amp;$DF27+'Model Setup'!$I$7,$B27:$Y27)+'Model Setup'!$I$8*(SUMIF($AD$3:$BA$3,"&lt;"&amp;$DF27,$B27:$Y27)+SUMIF($AD$3:$BA$3,"&gt;="&amp;$DG27,$B27:$Y27)),
IF(AH$3=$DF27+'Model Setup'!$J$7,SUMIF($AD$3:$BA$3,"="&amp;$DF27+'Model Setup'!$J$7,$B27:$Y27)+'Model Setup'!$J$8*(SUMIF($AD$3:$BA$3,"&lt;"&amp;$DF27,$B27:$Y27)+SUMIF($AD$3:$BA$3,"&gt;="&amp;$DG27,$B27:$Y27)),
IF(AH$3=$DF27+'Model Setup'!$K$7,SUMIF($AD$3:$BA$3,"="&amp;$DF27+'Model Setup'!$K$7,$B27:$Y27)+'Model Setup'!$K$8*(SUMIF($AD$3:$BA$3,"&lt;"&amp;$DF27,$B27:$Y27)+SUMIF($AD$3:$BA$3,"&gt;="&amp;$DG27,$B27:$Y27)),
IF(AH$3=$DF27+'Model Setup'!$L$7,SUMIF($AD$3:$BA$3,"="&amp;$DF27+'Model Setup'!$L$7,$B27:$Y27)+'Model Setup'!$L$8*(SUMIF($AD$3:$BA$3,"&lt;"&amp;$DF27,$B27:$Y27)+SUMIF($AD$3:$BA$3,"&gt;="&amp;$DG27,$B27:$Y27)),
IF(AH$3=$DF27+'Model Setup'!$M$7,SUMIF($AD$3:$BA$3,"="&amp;$DF27+'Model Setup'!$M$7,$B27:$Y27)+'Model Setup'!$M$8*(SUMIF($AD$3:$BA$3,"&lt;"&amp;$DF27,$B27:$Y27)+SUMIF($AD$3:$BA$3,"&gt;="&amp;$DG27,$B27:$Y27)),
IF(AH$3=$DF27+'Model Setup'!$N$7,SUMIF($AD$3:$BA$3,"="&amp;$DF27+'Model Setup'!$N$7,$B27:$Y27)+'Model Setup'!$N$8*(SUMIF($AD$3:$BA$3,"&lt;"&amp;$DF27,$B27:$Y27)+SUMIF($AD$3:$BA$3,"&gt;="&amp;$DG27,$B27:$Y27)),
IF(AH$3&lt;$DG27,F27,0))))))))))))))),0)</f>
        <v>0</v>
      </c>
      <c r="AI27" s="47">
        <f>ROUND(IF(AI$3&lt;$DF27,0,
IF(AI$3=$DF27+'Model Setup'!$B$7,SUMIF($AD$3:$BA$3,"="&amp;$DF27+'Model Setup'!$B$7,$B27:$Y27)+'Model Setup'!$B$8*(SUMIF($AD$3:$BA$3,"&lt;"&amp;$DF27,$B27:$Y27)+SUMIF($AD$3:$BA$3,"&gt;="&amp;$DG27,$B27:$Y27)),
IF(AI$3=$DF27+'Model Setup'!$C$7,SUMIF($AD$3:$BA$3,"="&amp;$DF27+'Model Setup'!$C$7,$B27:$Y27)+'Model Setup'!$C$8*(SUMIF($AD$3:$BA$3,"&lt;"&amp;$DF27,$B27:$Y27)+SUMIF($AD$3:$BA$3,"&gt;="&amp;$DG27,$B27:$Y27)),
IF(AI$3=$DF27+'Model Setup'!$D$7,SUMIF($AD$3:$BA$3,"="&amp;$DF27+'Model Setup'!$D$7,$B27:$Y27)+'Model Setup'!$D$8*(SUMIF($AD$3:$BA$3,"&lt;"&amp;$DF27,$B27:$Y27)+SUMIF($AD$3:$BA$3,"&gt;="&amp;$DG27,$B27:$Y27)),
IF(AI$3=$DF27+'Model Setup'!$E$7,SUMIF($AD$3:$BA$3,"="&amp;$DF27+'Model Setup'!$E$7,$B27:$Y27)+'Model Setup'!$E$8*(SUMIF($AD$3:$BA$3,"&lt;"&amp;$DF27,$B27:$Y27)+SUMIF($AD$3:$BA$3,"&gt;="&amp;$DG27,$B27:$Y27)),
IF(AI$3=$DF27+'Model Setup'!$F$7,SUMIF($AD$3:$BA$3,"="&amp;$DF27+'Model Setup'!$F$7,$B27:$Y27)+'Model Setup'!$F$8*(SUMIF($AD$3:$BA$3,"&lt;"&amp;$DF27,$B27:$Y27)+SUMIF($AD$3:$BA$3,"&gt;="&amp;$DG27,$B27:$Y27)),
IF(AI$3=$DF27+'Model Setup'!$G$7,SUMIF($AD$3:$BA$3,"="&amp;$DF27+'Model Setup'!$G$7,$B27:$Y27)+'Model Setup'!$G$8*(SUMIF($AD$3:$BA$3,"&lt;"&amp;$DF27,$B27:$Y27)+SUMIF($AD$3:$BA$3,"&gt;="&amp;$DG27,$B27:$Y27)),
IF(AI$3=$DF27+'Model Setup'!$H$7,SUMIF($AD$3:$BA$3,"="&amp;$DF27+'Model Setup'!$H$7,$B27:$Y27)+'Model Setup'!$H$8*(SUMIF($AD$3:$BA$3,"&lt;"&amp;$DF27,$B27:$Y27)+SUMIF($AD$3:$BA$3,"&gt;="&amp;$DG27,$B27:$Y27)),
IF(AI$3=$DF27+'Model Setup'!$I$7,SUMIF($AD$3:$BA$3,"="&amp;$DF27+'Model Setup'!$I$7,$B27:$Y27)+'Model Setup'!$I$8*(SUMIF($AD$3:$BA$3,"&lt;"&amp;$DF27,$B27:$Y27)+SUMIF($AD$3:$BA$3,"&gt;="&amp;$DG27,$B27:$Y27)),
IF(AI$3=$DF27+'Model Setup'!$J$7,SUMIF($AD$3:$BA$3,"="&amp;$DF27+'Model Setup'!$J$7,$B27:$Y27)+'Model Setup'!$J$8*(SUMIF($AD$3:$BA$3,"&lt;"&amp;$DF27,$B27:$Y27)+SUMIF($AD$3:$BA$3,"&gt;="&amp;$DG27,$B27:$Y27)),
IF(AI$3=$DF27+'Model Setup'!$K$7,SUMIF($AD$3:$BA$3,"="&amp;$DF27+'Model Setup'!$K$7,$B27:$Y27)+'Model Setup'!$K$8*(SUMIF($AD$3:$BA$3,"&lt;"&amp;$DF27,$B27:$Y27)+SUMIF($AD$3:$BA$3,"&gt;="&amp;$DG27,$B27:$Y27)),
IF(AI$3=$DF27+'Model Setup'!$L$7,SUMIF($AD$3:$BA$3,"="&amp;$DF27+'Model Setup'!$L$7,$B27:$Y27)+'Model Setup'!$L$8*(SUMIF($AD$3:$BA$3,"&lt;"&amp;$DF27,$B27:$Y27)+SUMIF($AD$3:$BA$3,"&gt;="&amp;$DG27,$B27:$Y27)),
IF(AI$3=$DF27+'Model Setup'!$M$7,SUMIF($AD$3:$BA$3,"="&amp;$DF27+'Model Setup'!$M$7,$B27:$Y27)+'Model Setup'!$M$8*(SUMIF($AD$3:$BA$3,"&lt;"&amp;$DF27,$B27:$Y27)+SUMIF($AD$3:$BA$3,"&gt;="&amp;$DG27,$B27:$Y27)),
IF(AI$3=$DF27+'Model Setup'!$N$7,SUMIF($AD$3:$BA$3,"="&amp;$DF27+'Model Setup'!$N$7,$B27:$Y27)+'Model Setup'!$N$8*(SUMIF($AD$3:$BA$3,"&lt;"&amp;$DF27,$B27:$Y27)+SUMIF($AD$3:$BA$3,"&gt;="&amp;$DG27,$B27:$Y27)),
IF(AI$3&lt;$DG27,G27,0))))))))))))))),0)</f>
        <v>0</v>
      </c>
      <c r="AJ27" s="47">
        <f>ROUND(IF(AJ$3&lt;$DF27,0,
IF(AJ$3=$DF27+'Model Setup'!$B$7,SUMIF($AD$3:$BA$3,"="&amp;$DF27+'Model Setup'!$B$7,$B27:$Y27)+'Model Setup'!$B$8*(SUMIF($AD$3:$BA$3,"&lt;"&amp;$DF27,$B27:$Y27)+SUMIF($AD$3:$BA$3,"&gt;="&amp;$DG27,$B27:$Y27)),
IF(AJ$3=$DF27+'Model Setup'!$C$7,SUMIF($AD$3:$BA$3,"="&amp;$DF27+'Model Setup'!$C$7,$B27:$Y27)+'Model Setup'!$C$8*(SUMIF($AD$3:$BA$3,"&lt;"&amp;$DF27,$B27:$Y27)+SUMIF($AD$3:$BA$3,"&gt;="&amp;$DG27,$B27:$Y27)),
IF(AJ$3=$DF27+'Model Setup'!$D$7,SUMIF($AD$3:$BA$3,"="&amp;$DF27+'Model Setup'!$D$7,$B27:$Y27)+'Model Setup'!$D$8*(SUMIF($AD$3:$BA$3,"&lt;"&amp;$DF27,$B27:$Y27)+SUMIF($AD$3:$BA$3,"&gt;="&amp;$DG27,$B27:$Y27)),
IF(AJ$3=$DF27+'Model Setup'!$E$7,SUMIF($AD$3:$BA$3,"="&amp;$DF27+'Model Setup'!$E$7,$B27:$Y27)+'Model Setup'!$E$8*(SUMIF($AD$3:$BA$3,"&lt;"&amp;$DF27,$B27:$Y27)+SUMIF($AD$3:$BA$3,"&gt;="&amp;$DG27,$B27:$Y27)),
IF(AJ$3=$DF27+'Model Setup'!$F$7,SUMIF($AD$3:$BA$3,"="&amp;$DF27+'Model Setup'!$F$7,$B27:$Y27)+'Model Setup'!$F$8*(SUMIF($AD$3:$BA$3,"&lt;"&amp;$DF27,$B27:$Y27)+SUMIF($AD$3:$BA$3,"&gt;="&amp;$DG27,$B27:$Y27)),
IF(AJ$3=$DF27+'Model Setup'!$G$7,SUMIF($AD$3:$BA$3,"="&amp;$DF27+'Model Setup'!$G$7,$B27:$Y27)+'Model Setup'!$G$8*(SUMIF($AD$3:$BA$3,"&lt;"&amp;$DF27,$B27:$Y27)+SUMIF($AD$3:$BA$3,"&gt;="&amp;$DG27,$B27:$Y27)),
IF(AJ$3=$DF27+'Model Setup'!$H$7,SUMIF($AD$3:$BA$3,"="&amp;$DF27+'Model Setup'!$H$7,$B27:$Y27)+'Model Setup'!$H$8*(SUMIF($AD$3:$BA$3,"&lt;"&amp;$DF27,$B27:$Y27)+SUMIF($AD$3:$BA$3,"&gt;="&amp;$DG27,$B27:$Y27)),
IF(AJ$3=$DF27+'Model Setup'!$I$7,SUMIF($AD$3:$BA$3,"="&amp;$DF27+'Model Setup'!$I$7,$B27:$Y27)+'Model Setup'!$I$8*(SUMIF($AD$3:$BA$3,"&lt;"&amp;$DF27,$B27:$Y27)+SUMIF($AD$3:$BA$3,"&gt;="&amp;$DG27,$B27:$Y27)),
IF(AJ$3=$DF27+'Model Setup'!$J$7,SUMIF($AD$3:$BA$3,"="&amp;$DF27+'Model Setup'!$J$7,$B27:$Y27)+'Model Setup'!$J$8*(SUMIF($AD$3:$BA$3,"&lt;"&amp;$DF27,$B27:$Y27)+SUMIF($AD$3:$BA$3,"&gt;="&amp;$DG27,$B27:$Y27)),
IF(AJ$3=$DF27+'Model Setup'!$K$7,SUMIF($AD$3:$BA$3,"="&amp;$DF27+'Model Setup'!$K$7,$B27:$Y27)+'Model Setup'!$K$8*(SUMIF($AD$3:$BA$3,"&lt;"&amp;$DF27,$B27:$Y27)+SUMIF($AD$3:$BA$3,"&gt;="&amp;$DG27,$B27:$Y27)),
IF(AJ$3=$DF27+'Model Setup'!$L$7,SUMIF($AD$3:$BA$3,"="&amp;$DF27+'Model Setup'!$L$7,$B27:$Y27)+'Model Setup'!$L$8*(SUMIF($AD$3:$BA$3,"&lt;"&amp;$DF27,$B27:$Y27)+SUMIF($AD$3:$BA$3,"&gt;="&amp;$DG27,$B27:$Y27)),
IF(AJ$3=$DF27+'Model Setup'!$M$7,SUMIF($AD$3:$BA$3,"="&amp;$DF27+'Model Setup'!$M$7,$B27:$Y27)+'Model Setup'!$M$8*(SUMIF($AD$3:$BA$3,"&lt;"&amp;$DF27,$B27:$Y27)+SUMIF($AD$3:$BA$3,"&gt;="&amp;$DG27,$B27:$Y27)),
IF(AJ$3=$DF27+'Model Setup'!$N$7,SUMIF($AD$3:$BA$3,"="&amp;$DF27+'Model Setup'!$N$7,$B27:$Y27)+'Model Setup'!$N$8*(SUMIF($AD$3:$BA$3,"&lt;"&amp;$DF27,$B27:$Y27)+SUMIF($AD$3:$BA$3,"&gt;="&amp;$DG27,$B27:$Y27)),
IF(AJ$3&lt;$DG27,H27,0))))))))))))))),0)</f>
        <v>67</v>
      </c>
      <c r="AK27" s="47">
        <f>ROUND(IF(AK$3&lt;$DF27,0,
IF(AK$3=$DF27+'Model Setup'!$B$7,SUMIF($AD$3:$BA$3,"="&amp;$DF27+'Model Setup'!$B$7,$B27:$Y27)+'Model Setup'!$B$8*(SUMIF($AD$3:$BA$3,"&lt;"&amp;$DF27,$B27:$Y27)+SUMIF($AD$3:$BA$3,"&gt;="&amp;$DG27,$B27:$Y27)),
IF(AK$3=$DF27+'Model Setup'!$C$7,SUMIF($AD$3:$BA$3,"="&amp;$DF27+'Model Setup'!$C$7,$B27:$Y27)+'Model Setup'!$C$8*(SUMIF($AD$3:$BA$3,"&lt;"&amp;$DF27,$B27:$Y27)+SUMIF($AD$3:$BA$3,"&gt;="&amp;$DG27,$B27:$Y27)),
IF(AK$3=$DF27+'Model Setup'!$D$7,SUMIF($AD$3:$BA$3,"="&amp;$DF27+'Model Setup'!$D$7,$B27:$Y27)+'Model Setup'!$D$8*(SUMIF($AD$3:$BA$3,"&lt;"&amp;$DF27,$B27:$Y27)+SUMIF($AD$3:$BA$3,"&gt;="&amp;$DG27,$B27:$Y27)),
IF(AK$3=$DF27+'Model Setup'!$E$7,SUMIF($AD$3:$BA$3,"="&amp;$DF27+'Model Setup'!$E$7,$B27:$Y27)+'Model Setup'!$E$8*(SUMIF($AD$3:$BA$3,"&lt;"&amp;$DF27,$B27:$Y27)+SUMIF($AD$3:$BA$3,"&gt;="&amp;$DG27,$B27:$Y27)),
IF(AK$3=$DF27+'Model Setup'!$F$7,SUMIF($AD$3:$BA$3,"="&amp;$DF27+'Model Setup'!$F$7,$B27:$Y27)+'Model Setup'!$F$8*(SUMIF($AD$3:$BA$3,"&lt;"&amp;$DF27,$B27:$Y27)+SUMIF($AD$3:$BA$3,"&gt;="&amp;$DG27,$B27:$Y27)),
IF(AK$3=$DF27+'Model Setup'!$G$7,SUMIF($AD$3:$BA$3,"="&amp;$DF27+'Model Setup'!$G$7,$B27:$Y27)+'Model Setup'!$G$8*(SUMIF($AD$3:$BA$3,"&lt;"&amp;$DF27,$B27:$Y27)+SUMIF($AD$3:$BA$3,"&gt;="&amp;$DG27,$B27:$Y27)),
IF(AK$3=$DF27+'Model Setup'!$H$7,SUMIF($AD$3:$BA$3,"="&amp;$DF27+'Model Setup'!$H$7,$B27:$Y27)+'Model Setup'!$H$8*(SUMIF($AD$3:$BA$3,"&lt;"&amp;$DF27,$B27:$Y27)+SUMIF($AD$3:$BA$3,"&gt;="&amp;$DG27,$B27:$Y27)),
IF(AK$3=$DF27+'Model Setup'!$I$7,SUMIF($AD$3:$BA$3,"="&amp;$DF27+'Model Setup'!$I$7,$B27:$Y27)+'Model Setup'!$I$8*(SUMIF($AD$3:$BA$3,"&lt;"&amp;$DF27,$B27:$Y27)+SUMIF($AD$3:$BA$3,"&gt;="&amp;$DG27,$B27:$Y27)),
IF(AK$3=$DF27+'Model Setup'!$J$7,SUMIF($AD$3:$BA$3,"="&amp;$DF27+'Model Setup'!$J$7,$B27:$Y27)+'Model Setup'!$J$8*(SUMIF($AD$3:$BA$3,"&lt;"&amp;$DF27,$B27:$Y27)+SUMIF($AD$3:$BA$3,"&gt;="&amp;$DG27,$B27:$Y27)),
IF(AK$3=$DF27+'Model Setup'!$K$7,SUMIF($AD$3:$BA$3,"="&amp;$DF27+'Model Setup'!$K$7,$B27:$Y27)+'Model Setup'!$K$8*(SUMIF($AD$3:$BA$3,"&lt;"&amp;$DF27,$B27:$Y27)+SUMIF($AD$3:$BA$3,"&gt;="&amp;$DG27,$B27:$Y27)),
IF(AK$3=$DF27+'Model Setup'!$L$7,SUMIF($AD$3:$BA$3,"="&amp;$DF27+'Model Setup'!$L$7,$B27:$Y27)+'Model Setup'!$L$8*(SUMIF($AD$3:$BA$3,"&lt;"&amp;$DF27,$B27:$Y27)+SUMIF($AD$3:$BA$3,"&gt;="&amp;$DG27,$B27:$Y27)),
IF(AK$3=$DF27+'Model Setup'!$M$7,SUMIF($AD$3:$BA$3,"="&amp;$DF27+'Model Setup'!$M$7,$B27:$Y27)+'Model Setup'!$M$8*(SUMIF($AD$3:$BA$3,"&lt;"&amp;$DF27,$B27:$Y27)+SUMIF($AD$3:$BA$3,"&gt;="&amp;$DG27,$B27:$Y27)),
IF(AK$3=$DF27+'Model Setup'!$N$7,SUMIF($AD$3:$BA$3,"="&amp;$DF27+'Model Setup'!$N$7,$B27:$Y27)+'Model Setup'!$N$8*(SUMIF($AD$3:$BA$3,"&lt;"&amp;$DF27,$B27:$Y27)+SUMIF($AD$3:$BA$3,"&gt;="&amp;$DG27,$B27:$Y27)),
IF(AK$3&lt;$DG27,I27,0))))))))))))))),0)</f>
        <v>101</v>
      </c>
      <c r="AL27" s="47">
        <f>ROUND(IF(AL$3&lt;$DF27,0,
IF(AL$3=$DF27+'Model Setup'!$B$7,SUMIF($AD$3:$BA$3,"="&amp;$DF27+'Model Setup'!$B$7,$B27:$Y27)+'Model Setup'!$B$8*(SUMIF($AD$3:$BA$3,"&lt;"&amp;$DF27,$B27:$Y27)+SUMIF($AD$3:$BA$3,"&gt;="&amp;$DG27,$B27:$Y27)),
IF(AL$3=$DF27+'Model Setup'!$C$7,SUMIF($AD$3:$BA$3,"="&amp;$DF27+'Model Setup'!$C$7,$B27:$Y27)+'Model Setup'!$C$8*(SUMIF($AD$3:$BA$3,"&lt;"&amp;$DF27,$B27:$Y27)+SUMIF($AD$3:$BA$3,"&gt;="&amp;$DG27,$B27:$Y27)),
IF(AL$3=$DF27+'Model Setup'!$D$7,SUMIF($AD$3:$BA$3,"="&amp;$DF27+'Model Setup'!$D$7,$B27:$Y27)+'Model Setup'!$D$8*(SUMIF($AD$3:$BA$3,"&lt;"&amp;$DF27,$B27:$Y27)+SUMIF($AD$3:$BA$3,"&gt;="&amp;$DG27,$B27:$Y27)),
IF(AL$3=$DF27+'Model Setup'!$E$7,SUMIF($AD$3:$BA$3,"="&amp;$DF27+'Model Setup'!$E$7,$B27:$Y27)+'Model Setup'!$E$8*(SUMIF($AD$3:$BA$3,"&lt;"&amp;$DF27,$B27:$Y27)+SUMIF($AD$3:$BA$3,"&gt;="&amp;$DG27,$B27:$Y27)),
IF(AL$3=$DF27+'Model Setup'!$F$7,SUMIF($AD$3:$BA$3,"="&amp;$DF27+'Model Setup'!$F$7,$B27:$Y27)+'Model Setup'!$F$8*(SUMIF($AD$3:$BA$3,"&lt;"&amp;$DF27,$B27:$Y27)+SUMIF($AD$3:$BA$3,"&gt;="&amp;$DG27,$B27:$Y27)),
IF(AL$3=$DF27+'Model Setup'!$G$7,SUMIF($AD$3:$BA$3,"="&amp;$DF27+'Model Setup'!$G$7,$B27:$Y27)+'Model Setup'!$G$8*(SUMIF($AD$3:$BA$3,"&lt;"&amp;$DF27,$B27:$Y27)+SUMIF($AD$3:$BA$3,"&gt;="&amp;$DG27,$B27:$Y27)),
IF(AL$3=$DF27+'Model Setup'!$H$7,SUMIF($AD$3:$BA$3,"="&amp;$DF27+'Model Setup'!$H$7,$B27:$Y27)+'Model Setup'!$H$8*(SUMIF($AD$3:$BA$3,"&lt;"&amp;$DF27,$B27:$Y27)+SUMIF($AD$3:$BA$3,"&gt;="&amp;$DG27,$B27:$Y27)),
IF(AL$3=$DF27+'Model Setup'!$I$7,SUMIF($AD$3:$BA$3,"="&amp;$DF27+'Model Setup'!$I$7,$B27:$Y27)+'Model Setup'!$I$8*(SUMIF($AD$3:$BA$3,"&lt;"&amp;$DF27,$B27:$Y27)+SUMIF($AD$3:$BA$3,"&gt;="&amp;$DG27,$B27:$Y27)),
IF(AL$3=$DF27+'Model Setup'!$J$7,SUMIF($AD$3:$BA$3,"="&amp;$DF27+'Model Setup'!$J$7,$B27:$Y27)+'Model Setup'!$J$8*(SUMIF($AD$3:$BA$3,"&lt;"&amp;$DF27,$B27:$Y27)+SUMIF($AD$3:$BA$3,"&gt;="&amp;$DG27,$B27:$Y27)),
IF(AL$3=$DF27+'Model Setup'!$K$7,SUMIF($AD$3:$BA$3,"="&amp;$DF27+'Model Setup'!$K$7,$B27:$Y27)+'Model Setup'!$K$8*(SUMIF($AD$3:$BA$3,"&lt;"&amp;$DF27,$B27:$Y27)+SUMIF($AD$3:$BA$3,"&gt;="&amp;$DG27,$B27:$Y27)),
IF(AL$3=$DF27+'Model Setup'!$L$7,SUMIF($AD$3:$BA$3,"="&amp;$DF27+'Model Setup'!$L$7,$B27:$Y27)+'Model Setup'!$L$8*(SUMIF($AD$3:$BA$3,"&lt;"&amp;$DF27,$B27:$Y27)+SUMIF($AD$3:$BA$3,"&gt;="&amp;$DG27,$B27:$Y27)),
IF(AL$3=$DF27+'Model Setup'!$M$7,SUMIF($AD$3:$BA$3,"="&amp;$DF27+'Model Setup'!$M$7,$B27:$Y27)+'Model Setup'!$M$8*(SUMIF($AD$3:$BA$3,"&lt;"&amp;$DF27,$B27:$Y27)+SUMIF($AD$3:$BA$3,"&gt;="&amp;$DG27,$B27:$Y27)),
IF(AL$3=$DF27+'Model Setup'!$N$7,SUMIF($AD$3:$BA$3,"="&amp;$DF27+'Model Setup'!$N$7,$B27:$Y27)+'Model Setup'!$N$8*(SUMIF($AD$3:$BA$3,"&lt;"&amp;$DF27,$B27:$Y27)+SUMIF($AD$3:$BA$3,"&gt;="&amp;$DG27,$B27:$Y27)),
IF(AL$3&lt;$DG27,J27,0))))))))))))))),0)</f>
        <v>95</v>
      </c>
      <c r="AM27" s="47">
        <f>ROUND(IF(AM$3&lt;$DF27,0,
IF(AM$3=$DF27+'Model Setup'!$B$7,SUMIF($AD$3:$BA$3,"="&amp;$DF27+'Model Setup'!$B$7,$B27:$Y27)+'Model Setup'!$B$8*(SUMIF($AD$3:$BA$3,"&lt;"&amp;$DF27,$B27:$Y27)+SUMIF($AD$3:$BA$3,"&gt;="&amp;$DG27,$B27:$Y27)),
IF(AM$3=$DF27+'Model Setup'!$C$7,SUMIF($AD$3:$BA$3,"="&amp;$DF27+'Model Setup'!$C$7,$B27:$Y27)+'Model Setup'!$C$8*(SUMIF($AD$3:$BA$3,"&lt;"&amp;$DF27,$B27:$Y27)+SUMIF($AD$3:$BA$3,"&gt;="&amp;$DG27,$B27:$Y27)),
IF(AM$3=$DF27+'Model Setup'!$D$7,SUMIF($AD$3:$BA$3,"="&amp;$DF27+'Model Setup'!$D$7,$B27:$Y27)+'Model Setup'!$D$8*(SUMIF($AD$3:$BA$3,"&lt;"&amp;$DF27,$B27:$Y27)+SUMIF($AD$3:$BA$3,"&gt;="&amp;$DG27,$B27:$Y27)),
IF(AM$3=$DF27+'Model Setup'!$E$7,SUMIF($AD$3:$BA$3,"="&amp;$DF27+'Model Setup'!$E$7,$B27:$Y27)+'Model Setup'!$E$8*(SUMIF($AD$3:$BA$3,"&lt;"&amp;$DF27,$B27:$Y27)+SUMIF($AD$3:$BA$3,"&gt;="&amp;$DG27,$B27:$Y27)),
IF(AM$3=$DF27+'Model Setup'!$F$7,SUMIF($AD$3:$BA$3,"="&amp;$DF27+'Model Setup'!$F$7,$B27:$Y27)+'Model Setup'!$F$8*(SUMIF($AD$3:$BA$3,"&lt;"&amp;$DF27,$B27:$Y27)+SUMIF($AD$3:$BA$3,"&gt;="&amp;$DG27,$B27:$Y27)),
IF(AM$3=$DF27+'Model Setup'!$G$7,SUMIF($AD$3:$BA$3,"="&amp;$DF27+'Model Setup'!$G$7,$B27:$Y27)+'Model Setup'!$G$8*(SUMIF($AD$3:$BA$3,"&lt;"&amp;$DF27,$B27:$Y27)+SUMIF($AD$3:$BA$3,"&gt;="&amp;$DG27,$B27:$Y27)),
IF(AM$3=$DF27+'Model Setup'!$H$7,SUMIF($AD$3:$BA$3,"="&amp;$DF27+'Model Setup'!$H$7,$B27:$Y27)+'Model Setup'!$H$8*(SUMIF($AD$3:$BA$3,"&lt;"&amp;$DF27,$B27:$Y27)+SUMIF($AD$3:$BA$3,"&gt;="&amp;$DG27,$B27:$Y27)),
IF(AM$3=$DF27+'Model Setup'!$I$7,SUMIF($AD$3:$BA$3,"="&amp;$DF27+'Model Setup'!$I$7,$B27:$Y27)+'Model Setup'!$I$8*(SUMIF($AD$3:$BA$3,"&lt;"&amp;$DF27,$B27:$Y27)+SUMIF($AD$3:$BA$3,"&gt;="&amp;$DG27,$B27:$Y27)),
IF(AM$3=$DF27+'Model Setup'!$J$7,SUMIF($AD$3:$BA$3,"="&amp;$DF27+'Model Setup'!$J$7,$B27:$Y27)+'Model Setup'!$J$8*(SUMIF($AD$3:$BA$3,"&lt;"&amp;$DF27,$B27:$Y27)+SUMIF($AD$3:$BA$3,"&gt;="&amp;$DG27,$B27:$Y27)),
IF(AM$3=$DF27+'Model Setup'!$K$7,SUMIF($AD$3:$BA$3,"="&amp;$DF27+'Model Setup'!$K$7,$B27:$Y27)+'Model Setup'!$K$8*(SUMIF($AD$3:$BA$3,"&lt;"&amp;$DF27,$B27:$Y27)+SUMIF($AD$3:$BA$3,"&gt;="&amp;$DG27,$B27:$Y27)),
IF(AM$3=$DF27+'Model Setup'!$L$7,SUMIF($AD$3:$BA$3,"="&amp;$DF27+'Model Setup'!$L$7,$B27:$Y27)+'Model Setup'!$L$8*(SUMIF($AD$3:$BA$3,"&lt;"&amp;$DF27,$B27:$Y27)+SUMIF($AD$3:$BA$3,"&gt;="&amp;$DG27,$B27:$Y27)),
IF(AM$3=$DF27+'Model Setup'!$M$7,SUMIF($AD$3:$BA$3,"="&amp;$DF27+'Model Setup'!$M$7,$B27:$Y27)+'Model Setup'!$M$8*(SUMIF($AD$3:$BA$3,"&lt;"&amp;$DF27,$B27:$Y27)+SUMIF($AD$3:$BA$3,"&gt;="&amp;$DG27,$B27:$Y27)),
IF(AM$3=$DF27+'Model Setup'!$N$7,SUMIF($AD$3:$BA$3,"="&amp;$DF27+'Model Setup'!$N$7,$B27:$Y27)+'Model Setup'!$N$8*(SUMIF($AD$3:$BA$3,"&lt;"&amp;$DF27,$B27:$Y27)+SUMIF($AD$3:$BA$3,"&gt;="&amp;$DG27,$B27:$Y27)),
IF(AM$3&lt;$DG27,K27,0))))))))))))))),0)</f>
        <v>75</v>
      </c>
      <c r="AN27" s="47">
        <f>ROUND(IF(AN$3&lt;$DF27,0,
IF(AN$3=$DF27+'Model Setup'!$B$7,SUMIF($AD$3:$BA$3,"="&amp;$DF27+'Model Setup'!$B$7,$B27:$Y27)+'Model Setup'!$B$8*(SUMIF($AD$3:$BA$3,"&lt;"&amp;$DF27,$B27:$Y27)+SUMIF($AD$3:$BA$3,"&gt;="&amp;$DG27,$B27:$Y27)),
IF(AN$3=$DF27+'Model Setup'!$C$7,SUMIF($AD$3:$BA$3,"="&amp;$DF27+'Model Setup'!$C$7,$B27:$Y27)+'Model Setup'!$C$8*(SUMIF($AD$3:$BA$3,"&lt;"&amp;$DF27,$B27:$Y27)+SUMIF($AD$3:$BA$3,"&gt;="&amp;$DG27,$B27:$Y27)),
IF(AN$3=$DF27+'Model Setup'!$D$7,SUMIF($AD$3:$BA$3,"="&amp;$DF27+'Model Setup'!$D$7,$B27:$Y27)+'Model Setup'!$D$8*(SUMIF($AD$3:$BA$3,"&lt;"&amp;$DF27,$B27:$Y27)+SUMIF($AD$3:$BA$3,"&gt;="&amp;$DG27,$B27:$Y27)),
IF(AN$3=$DF27+'Model Setup'!$E$7,SUMIF($AD$3:$BA$3,"="&amp;$DF27+'Model Setup'!$E$7,$B27:$Y27)+'Model Setup'!$E$8*(SUMIF($AD$3:$BA$3,"&lt;"&amp;$DF27,$B27:$Y27)+SUMIF($AD$3:$BA$3,"&gt;="&amp;$DG27,$B27:$Y27)),
IF(AN$3=$DF27+'Model Setup'!$F$7,SUMIF($AD$3:$BA$3,"="&amp;$DF27+'Model Setup'!$F$7,$B27:$Y27)+'Model Setup'!$F$8*(SUMIF($AD$3:$BA$3,"&lt;"&amp;$DF27,$B27:$Y27)+SUMIF($AD$3:$BA$3,"&gt;="&amp;$DG27,$B27:$Y27)),
IF(AN$3=$DF27+'Model Setup'!$G$7,SUMIF($AD$3:$BA$3,"="&amp;$DF27+'Model Setup'!$G$7,$B27:$Y27)+'Model Setup'!$G$8*(SUMIF($AD$3:$BA$3,"&lt;"&amp;$DF27,$B27:$Y27)+SUMIF($AD$3:$BA$3,"&gt;="&amp;$DG27,$B27:$Y27)),
IF(AN$3=$DF27+'Model Setup'!$H$7,SUMIF($AD$3:$BA$3,"="&amp;$DF27+'Model Setup'!$H$7,$B27:$Y27)+'Model Setup'!$H$8*(SUMIF($AD$3:$BA$3,"&lt;"&amp;$DF27,$B27:$Y27)+SUMIF($AD$3:$BA$3,"&gt;="&amp;$DG27,$B27:$Y27)),
IF(AN$3=$DF27+'Model Setup'!$I$7,SUMIF($AD$3:$BA$3,"="&amp;$DF27+'Model Setup'!$I$7,$B27:$Y27)+'Model Setup'!$I$8*(SUMIF($AD$3:$BA$3,"&lt;"&amp;$DF27,$B27:$Y27)+SUMIF($AD$3:$BA$3,"&gt;="&amp;$DG27,$B27:$Y27)),
IF(AN$3=$DF27+'Model Setup'!$J$7,SUMIF($AD$3:$BA$3,"="&amp;$DF27+'Model Setup'!$J$7,$B27:$Y27)+'Model Setup'!$J$8*(SUMIF($AD$3:$BA$3,"&lt;"&amp;$DF27,$B27:$Y27)+SUMIF($AD$3:$BA$3,"&gt;="&amp;$DG27,$B27:$Y27)),
IF(AN$3=$DF27+'Model Setup'!$K$7,SUMIF($AD$3:$BA$3,"="&amp;$DF27+'Model Setup'!$K$7,$B27:$Y27)+'Model Setup'!$K$8*(SUMIF($AD$3:$BA$3,"&lt;"&amp;$DF27,$B27:$Y27)+SUMIF($AD$3:$BA$3,"&gt;="&amp;$DG27,$B27:$Y27)),
IF(AN$3=$DF27+'Model Setup'!$L$7,SUMIF($AD$3:$BA$3,"="&amp;$DF27+'Model Setup'!$L$7,$B27:$Y27)+'Model Setup'!$L$8*(SUMIF($AD$3:$BA$3,"&lt;"&amp;$DF27,$B27:$Y27)+SUMIF($AD$3:$BA$3,"&gt;="&amp;$DG27,$B27:$Y27)),
IF(AN$3=$DF27+'Model Setup'!$M$7,SUMIF($AD$3:$BA$3,"="&amp;$DF27+'Model Setup'!$M$7,$B27:$Y27)+'Model Setup'!$M$8*(SUMIF($AD$3:$BA$3,"&lt;"&amp;$DF27,$B27:$Y27)+SUMIF($AD$3:$BA$3,"&gt;="&amp;$DG27,$B27:$Y27)),
IF(AN$3=$DF27+'Model Setup'!$N$7,SUMIF($AD$3:$BA$3,"="&amp;$DF27+'Model Setup'!$N$7,$B27:$Y27)+'Model Setup'!$N$8*(SUMIF($AD$3:$BA$3,"&lt;"&amp;$DF27,$B27:$Y27)+SUMIF($AD$3:$BA$3,"&gt;="&amp;$DG27,$B27:$Y27)),
IF(AN$3&lt;$DG27,L27,0))))))))))))))),0)</f>
        <v>74</v>
      </c>
      <c r="AO27" s="47">
        <f>ROUND(IF(AO$3&lt;$DF27,0,
IF(AO$3=$DF27+'Model Setup'!$B$7,SUMIF($AD$3:$BA$3,"="&amp;$DF27+'Model Setup'!$B$7,$B27:$Y27)+'Model Setup'!$B$8*(SUMIF($AD$3:$BA$3,"&lt;"&amp;$DF27,$B27:$Y27)+SUMIF($AD$3:$BA$3,"&gt;="&amp;$DG27,$B27:$Y27)),
IF(AO$3=$DF27+'Model Setup'!$C$7,SUMIF($AD$3:$BA$3,"="&amp;$DF27+'Model Setup'!$C$7,$B27:$Y27)+'Model Setup'!$C$8*(SUMIF($AD$3:$BA$3,"&lt;"&amp;$DF27,$B27:$Y27)+SUMIF($AD$3:$BA$3,"&gt;="&amp;$DG27,$B27:$Y27)),
IF(AO$3=$DF27+'Model Setup'!$D$7,SUMIF($AD$3:$BA$3,"="&amp;$DF27+'Model Setup'!$D$7,$B27:$Y27)+'Model Setup'!$D$8*(SUMIF($AD$3:$BA$3,"&lt;"&amp;$DF27,$B27:$Y27)+SUMIF($AD$3:$BA$3,"&gt;="&amp;$DG27,$B27:$Y27)),
IF(AO$3=$DF27+'Model Setup'!$E$7,SUMIF($AD$3:$BA$3,"="&amp;$DF27+'Model Setup'!$E$7,$B27:$Y27)+'Model Setup'!$E$8*(SUMIF($AD$3:$BA$3,"&lt;"&amp;$DF27,$B27:$Y27)+SUMIF($AD$3:$BA$3,"&gt;="&amp;$DG27,$B27:$Y27)),
IF(AO$3=$DF27+'Model Setup'!$F$7,SUMIF($AD$3:$BA$3,"="&amp;$DF27+'Model Setup'!$F$7,$B27:$Y27)+'Model Setup'!$F$8*(SUMIF($AD$3:$BA$3,"&lt;"&amp;$DF27,$B27:$Y27)+SUMIF($AD$3:$BA$3,"&gt;="&amp;$DG27,$B27:$Y27)),
IF(AO$3=$DF27+'Model Setup'!$G$7,SUMIF($AD$3:$BA$3,"="&amp;$DF27+'Model Setup'!$G$7,$B27:$Y27)+'Model Setup'!$G$8*(SUMIF($AD$3:$BA$3,"&lt;"&amp;$DF27,$B27:$Y27)+SUMIF($AD$3:$BA$3,"&gt;="&amp;$DG27,$B27:$Y27)),
IF(AO$3=$DF27+'Model Setup'!$H$7,SUMIF($AD$3:$BA$3,"="&amp;$DF27+'Model Setup'!$H$7,$B27:$Y27)+'Model Setup'!$H$8*(SUMIF($AD$3:$BA$3,"&lt;"&amp;$DF27,$B27:$Y27)+SUMIF($AD$3:$BA$3,"&gt;="&amp;$DG27,$B27:$Y27)),
IF(AO$3=$DF27+'Model Setup'!$I$7,SUMIF($AD$3:$BA$3,"="&amp;$DF27+'Model Setup'!$I$7,$B27:$Y27)+'Model Setup'!$I$8*(SUMIF($AD$3:$BA$3,"&lt;"&amp;$DF27,$B27:$Y27)+SUMIF($AD$3:$BA$3,"&gt;="&amp;$DG27,$B27:$Y27)),
IF(AO$3=$DF27+'Model Setup'!$J$7,SUMIF($AD$3:$BA$3,"="&amp;$DF27+'Model Setup'!$J$7,$B27:$Y27)+'Model Setup'!$J$8*(SUMIF($AD$3:$BA$3,"&lt;"&amp;$DF27,$B27:$Y27)+SUMIF($AD$3:$BA$3,"&gt;="&amp;$DG27,$B27:$Y27)),
IF(AO$3=$DF27+'Model Setup'!$K$7,SUMIF($AD$3:$BA$3,"="&amp;$DF27+'Model Setup'!$K$7,$B27:$Y27)+'Model Setup'!$K$8*(SUMIF($AD$3:$BA$3,"&lt;"&amp;$DF27,$B27:$Y27)+SUMIF($AD$3:$BA$3,"&gt;="&amp;$DG27,$B27:$Y27)),
IF(AO$3=$DF27+'Model Setup'!$L$7,SUMIF($AD$3:$BA$3,"="&amp;$DF27+'Model Setup'!$L$7,$B27:$Y27)+'Model Setup'!$L$8*(SUMIF($AD$3:$BA$3,"&lt;"&amp;$DF27,$B27:$Y27)+SUMIF($AD$3:$BA$3,"&gt;="&amp;$DG27,$B27:$Y27)),
IF(AO$3=$DF27+'Model Setup'!$M$7,SUMIF($AD$3:$BA$3,"="&amp;$DF27+'Model Setup'!$M$7,$B27:$Y27)+'Model Setup'!$M$8*(SUMIF($AD$3:$BA$3,"&lt;"&amp;$DF27,$B27:$Y27)+SUMIF($AD$3:$BA$3,"&gt;="&amp;$DG27,$B27:$Y27)),
IF(AO$3=$DF27+'Model Setup'!$N$7,SUMIF($AD$3:$BA$3,"="&amp;$DF27+'Model Setup'!$N$7,$B27:$Y27)+'Model Setup'!$N$8*(SUMIF($AD$3:$BA$3,"&lt;"&amp;$DF27,$B27:$Y27)+SUMIF($AD$3:$BA$3,"&gt;="&amp;$DG27,$B27:$Y27)),
IF(AO$3&lt;$DG27,M27,0))))))))))))))),0)</f>
        <v>56</v>
      </c>
      <c r="AP27" s="47">
        <f>ROUND(IF(AP$3&lt;$DF27,0,
IF(AP$3=$DF27+'Model Setup'!$B$7,SUMIF($AD$3:$BA$3,"="&amp;$DF27+'Model Setup'!$B$7,$B27:$Y27)+'Model Setup'!$B$8*(SUMIF($AD$3:$BA$3,"&lt;"&amp;$DF27,$B27:$Y27)+SUMIF($AD$3:$BA$3,"&gt;="&amp;$DG27,$B27:$Y27)),
IF(AP$3=$DF27+'Model Setup'!$C$7,SUMIF($AD$3:$BA$3,"="&amp;$DF27+'Model Setup'!$C$7,$B27:$Y27)+'Model Setup'!$C$8*(SUMIF($AD$3:$BA$3,"&lt;"&amp;$DF27,$B27:$Y27)+SUMIF($AD$3:$BA$3,"&gt;="&amp;$DG27,$B27:$Y27)),
IF(AP$3=$DF27+'Model Setup'!$D$7,SUMIF($AD$3:$BA$3,"="&amp;$DF27+'Model Setup'!$D$7,$B27:$Y27)+'Model Setup'!$D$8*(SUMIF($AD$3:$BA$3,"&lt;"&amp;$DF27,$B27:$Y27)+SUMIF($AD$3:$BA$3,"&gt;="&amp;$DG27,$B27:$Y27)),
IF(AP$3=$DF27+'Model Setup'!$E$7,SUMIF($AD$3:$BA$3,"="&amp;$DF27+'Model Setup'!$E$7,$B27:$Y27)+'Model Setup'!$E$8*(SUMIF($AD$3:$BA$3,"&lt;"&amp;$DF27,$B27:$Y27)+SUMIF($AD$3:$BA$3,"&gt;="&amp;$DG27,$B27:$Y27)),
IF(AP$3=$DF27+'Model Setup'!$F$7,SUMIF($AD$3:$BA$3,"="&amp;$DF27+'Model Setup'!$F$7,$B27:$Y27)+'Model Setup'!$F$8*(SUMIF($AD$3:$BA$3,"&lt;"&amp;$DF27,$B27:$Y27)+SUMIF($AD$3:$BA$3,"&gt;="&amp;$DG27,$B27:$Y27)),
IF(AP$3=$DF27+'Model Setup'!$G$7,SUMIF($AD$3:$BA$3,"="&amp;$DF27+'Model Setup'!$G$7,$B27:$Y27)+'Model Setup'!$G$8*(SUMIF($AD$3:$BA$3,"&lt;"&amp;$DF27,$B27:$Y27)+SUMIF($AD$3:$BA$3,"&gt;="&amp;$DG27,$B27:$Y27)),
IF(AP$3=$DF27+'Model Setup'!$H$7,SUMIF($AD$3:$BA$3,"="&amp;$DF27+'Model Setup'!$H$7,$B27:$Y27)+'Model Setup'!$H$8*(SUMIF($AD$3:$BA$3,"&lt;"&amp;$DF27,$B27:$Y27)+SUMIF($AD$3:$BA$3,"&gt;="&amp;$DG27,$B27:$Y27)),
IF(AP$3=$DF27+'Model Setup'!$I$7,SUMIF($AD$3:$BA$3,"="&amp;$DF27+'Model Setup'!$I$7,$B27:$Y27)+'Model Setup'!$I$8*(SUMIF($AD$3:$BA$3,"&lt;"&amp;$DF27,$B27:$Y27)+SUMIF($AD$3:$BA$3,"&gt;="&amp;$DG27,$B27:$Y27)),
IF(AP$3=$DF27+'Model Setup'!$J$7,SUMIF($AD$3:$BA$3,"="&amp;$DF27+'Model Setup'!$J$7,$B27:$Y27)+'Model Setup'!$J$8*(SUMIF($AD$3:$BA$3,"&lt;"&amp;$DF27,$B27:$Y27)+SUMIF($AD$3:$BA$3,"&gt;="&amp;$DG27,$B27:$Y27)),
IF(AP$3=$DF27+'Model Setup'!$K$7,SUMIF($AD$3:$BA$3,"="&amp;$DF27+'Model Setup'!$K$7,$B27:$Y27)+'Model Setup'!$K$8*(SUMIF($AD$3:$BA$3,"&lt;"&amp;$DF27,$B27:$Y27)+SUMIF($AD$3:$BA$3,"&gt;="&amp;$DG27,$B27:$Y27)),
IF(AP$3=$DF27+'Model Setup'!$L$7,SUMIF($AD$3:$BA$3,"="&amp;$DF27+'Model Setup'!$L$7,$B27:$Y27)+'Model Setup'!$L$8*(SUMIF($AD$3:$BA$3,"&lt;"&amp;$DF27,$B27:$Y27)+SUMIF($AD$3:$BA$3,"&gt;="&amp;$DG27,$B27:$Y27)),
IF(AP$3=$DF27+'Model Setup'!$M$7,SUMIF($AD$3:$BA$3,"="&amp;$DF27+'Model Setup'!$M$7,$B27:$Y27)+'Model Setup'!$M$8*(SUMIF($AD$3:$BA$3,"&lt;"&amp;$DF27,$B27:$Y27)+SUMIF($AD$3:$BA$3,"&gt;="&amp;$DG27,$B27:$Y27)),
IF(AP$3=$DF27+'Model Setup'!$N$7,SUMIF($AD$3:$BA$3,"="&amp;$DF27+'Model Setup'!$N$7,$B27:$Y27)+'Model Setup'!$N$8*(SUMIF($AD$3:$BA$3,"&lt;"&amp;$DF27,$B27:$Y27)+SUMIF($AD$3:$BA$3,"&gt;="&amp;$DG27,$B27:$Y27)),
IF(AP$3&lt;$DG27,N27,0))))))))))))))),0)</f>
        <v>49</v>
      </c>
      <c r="AQ27" s="47">
        <f>ROUND(IF(AQ$3&lt;$DF27,0,
IF(AQ$3=$DF27+'Model Setup'!$B$7,SUMIF($AD$3:$BA$3,"="&amp;$DF27+'Model Setup'!$B$7,$B27:$Y27)+'Model Setup'!$B$8*(SUMIF($AD$3:$BA$3,"&lt;"&amp;$DF27,$B27:$Y27)+SUMIF($AD$3:$BA$3,"&gt;="&amp;$DG27,$B27:$Y27)),
IF(AQ$3=$DF27+'Model Setup'!$C$7,SUMIF($AD$3:$BA$3,"="&amp;$DF27+'Model Setup'!$C$7,$B27:$Y27)+'Model Setup'!$C$8*(SUMIF($AD$3:$BA$3,"&lt;"&amp;$DF27,$B27:$Y27)+SUMIF($AD$3:$BA$3,"&gt;="&amp;$DG27,$B27:$Y27)),
IF(AQ$3=$DF27+'Model Setup'!$D$7,SUMIF($AD$3:$BA$3,"="&amp;$DF27+'Model Setup'!$D$7,$B27:$Y27)+'Model Setup'!$D$8*(SUMIF($AD$3:$BA$3,"&lt;"&amp;$DF27,$B27:$Y27)+SUMIF($AD$3:$BA$3,"&gt;="&amp;$DG27,$B27:$Y27)),
IF(AQ$3=$DF27+'Model Setup'!$E$7,SUMIF($AD$3:$BA$3,"="&amp;$DF27+'Model Setup'!$E$7,$B27:$Y27)+'Model Setup'!$E$8*(SUMIF($AD$3:$BA$3,"&lt;"&amp;$DF27,$B27:$Y27)+SUMIF($AD$3:$BA$3,"&gt;="&amp;$DG27,$B27:$Y27)),
IF(AQ$3=$DF27+'Model Setup'!$F$7,SUMIF($AD$3:$BA$3,"="&amp;$DF27+'Model Setup'!$F$7,$B27:$Y27)+'Model Setup'!$F$8*(SUMIF($AD$3:$BA$3,"&lt;"&amp;$DF27,$B27:$Y27)+SUMIF($AD$3:$BA$3,"&gt;="&amp;$DG27,$B27:$Y27)),
IF(AQ$3=$DF27+'Model Setup'!$G$7,SUMIF($AD$3:$BA$3,"="&amp;$DF27+'Model Setup'!$G$7,$B27:$Y27)+'Model Setup'!$G$8*(SUMIF($AD$3:$BA$3,"&lt;"&amp;$DF27,$B27:$Y27)+SUMIF($AD$3:$BA$3,"&gt;="&amp;$DG27,$B27:$Y27)),
IF(AQ$3=$DF27+'Model Setup'!$H$7,SUMIF($AD$3:$BA$3,"="&amp;$DF27+'Model Setup'!$H$7,$B27:$Y27)+'Model Setup'!$H$8*(SUMIF($AD$3:$BA$3,"&lt;"&amp;$DF27,$B27:$Y27)+SUMIF($AD$3:$BA$3,"&gt;="&amp;$DG27,$B27:$Y27)),
IF(AQ$3=$DF27+'Model Setup'!$I$7,SUMIF($AD$3:$BA$3,"="&amp;$DF27+'Model Setup'!$I$7,$B27:$Y27)+'Model Setup'!$I$8*(SUMIF($AD$3:$BA$3,"&lt;"&amp;$DF27,$B27:$Y27)+SUMIF($AD$3:$BA$3,"&gt;="&amp;$DG27,$B27:$Y27)),
IF(AQ$3=$DF27+'Model Setup'!$J$7,SUMIF($AD$3:$BA$3,"="&amp;$DF27+'Model Setup'!$J$7,$B27:$Y27)+'Model Setup'!$J$8*(SUMIF($AD$3:$BA$3,"&lt;"&amp;$DF27,$B27:$Y27)+SUMIF($AD$3:$BA$3,"&gt;="&amp;$DG27,$B27:$Y27)),
IF(AQ$3=$DF27+'Model Setup'!$K$7,SUMIF($AD$3:$BA$3,"="&amp;$DF27+'Model Setup'!$K$7,$B27:$Y27)+'Model Setup'!$K$8*(SUMIF($AD$3:$BA$3,"&lt;"&amp;$DF27,$B27:$Y27)+SUMIF($AD$3:$BA$3,"&gt;="&amp;$DG27,$B27:$Y27)),
IF(AQ$3=$DF27+'Model Setup'!$L$7,SUMIF($AD$3:$BA$3,"="&amp;$DF27+'Model Setup'!$L$7,$B27:$Y27)+'Model Setup'!$L$8*(SUMIF($AD$3:$BA$3,"&lt;"&amp;$DF27,$B27:$Y27)+SUMIF($AD$3:$BA$3,"&gt;="&amp;$DG27,$B27:$Y27)),
IF(AQ$3=$DF27+'Model Setup'!$M$7,SUMIF($AD$3:$BA$3,"="&amp;$DF27+'Model Setup'!$M$7,$B27:$Y27)+'Model Setup'!$M$8*(SUMIF($AD$3:$BA$3,"&lt;"&amp;$DF27,$B27:$Y27)+SUMIF($AD$3:$BA$3,"&gt;="&amp;$DG27,$B27:$Y27)),
IF(AQ$3=$DF27+'Model Setup'!$N$7,SUMIF($AD$3:$BA$3,"="&amp;$DF27+'Model Setup'!$N$7,$B27:$Y27)+'Model Setup'!$N$8*(SUMIF($AD$3:$BA$3,"&lt;"&amp;$DF27,$B27:$Y27)+SUMIF($AD$3:$BA$3,"&gt;="&amp;$DG27,$B27:$Y27)),
IF(AQ$3&lt;$DG27,O27,0))))))))))))))),0)</f>
        <v>47</v>
      </c>
      <c r="AR27" s="47">
        <f>ROUND(IF(AR$3&lt;$DF27,0,
IF(AR$3=$DF27+'Model Setup'!$B$7,SUMIF($AD$3:$BA$3,"="&amp;$DF27+'Model Setup'!$B$7,$B27:$Y27)+'Model Setup'!$B$8*(SUMIF($AD$3:$BA$3,"&lt;"&amp;$DF27,$B27:$Y27)+SUMIF($AD$3:$BA$3,"&gt;="&amp;$DG27,$B27:$Y27)),
IF(AR$3=$DF27+'Model Setup'!$C$7,SUMIF($AD$3:$BA$3,"="&amp;$DF27+'Model Setup'!$C$7,$B27:$Y27)+'Model Setup'!$C$8*(SUMIF($AD$3:$BA$3,"&lt;"&amp;$DF27,$B27:$Y27)+SUMIF($AD$3:$BA$3,"&gt;="&amp;$DG27,$B27:$Y27)),
IF(AR$3=$DF27+'Model Setup'!$D$7,SUMIF($AD$3:$BA$3,"="&amp;$DF27+'Model Setup'!$D$7,$B27:$Y27)+'Model Setup'!$D$8*(SUMIF($AD$3:$BA$3,"&lt;"&amp;$DF27,$B27:$Y27)+SUMIF($AD$3:$BA$3,"&gt;="&amp;$DG27,$B27:$Y27)),
IF(AR$3=$DF27+'Model Setup'!$E$7,SUMIF($AD$3:$BA$3,"="&amp;$DF27+'Model Setup'!$E$7,$B27:$Y27)+'Model Setup'!$E$8*(SUMIF($AD$3:$BA$3,"&lt;"&amp;$DF27,$B27:$Y27)+SUMIF($AD$3:$BA$3,"&gt;="&amp;$DG27,$B27:$Y27)),
IF(AR$3=$DF27+'Model Setup'!$F$7,SUMIF($AD$3:$BA$3,"="&amp;$DF27+'Model Setup'!$F$7,$B27:$Y27)+'Model Setup'!$F$8*(SUMIF($AD$3:$BA$3,"&lt;"&amp;$DF27,$B27:$Y27)+SUMIF($AD$3:$BA$3,"&gt;="&amp;$DG27,$B27:$Y27)),
IF(AR$3=$DF27+'Model Setup'!$G$7,SUMIF($AD$3:$BA$3,"="&amp;$DF27+'Model Setup'!$G$7,$B27:$Y27)+'Model Setup'!$G$8*(SUMIF($AD$3:$BA$3,"&lt;"&amp;$DF27,$B27:$Y27)+SUMIF($AD$3:$BA$3,"&gt;="&amp;$DG27,$B27:$Y27)),
IF(AR$3=$DF27+'Model Setup'!$H$7,SUMIF($AD$3:$BA$3,"="&amp;$DF27+'Model Setup'!$H$7,$B27:$Y27)+'Model Setup'!$H$8*(SUMIF($AD$3:$BA$3,"&lt;"&amp;$DF27,$B27:$Y27)+SUMIF($AD$3:$BA$3,"&gt;="&amp;$DG27,$B27:$Y27)),
IF(AR$3=$DF27+'Model Setup'!$I$7,SUMIF($AD$3:$BA$3,"="&amp;$DF27+'Model Setup'!$I$7,$B27:$Y27)+'Model Setup'!$I$8*(SUMIF($AD$3:$BA$3,"&lt;"&amp;$DF27,$B27:$Y27)+SUMIF($AD$3:$BA$3,"&gt;="&amp;$DG27,$B27:$Y27)),
IF(AR$3=$DF27+'Model Setup'!$J$7,SUMIF($AD$3:$BA$3,"="&amp;$DF27+'Model Setup'!$J$7,$B27:$Y27)+'Model Setup'!$J$8*(SUMIF($AD$3:$BA$3,"&lt;"&amp;$DF27,$B27:$Y27)+SUMIF($AD$3:$BA$3,"&gt;="&amp;$DG27,$B27:$Y27)),
IF(AR$3=$DF27+'Model Setup'!$K$7,SUMIF($AD$3:$BA$3,"="&amp;$DF27+'Model Setup'!$K$7,$B27:$Y27)+'Model Setup'!$K$8*(SUMIF($AD$3:$BA$3,"&lt;"&amp;$DF27,$B27:$Y27)+SUMIF($AD$3:$BA$3,"&gt;="&amp;$DG27,$B27:$Y27)),
IF(AR$3=$DF27+'Model Setup'!$L$7,SUMIF($AD$3:$BA$3,"="&amp;$DF27+'Model Setup'!$L$7,$B27:$Y27)+'Model Setup'!$L$8*(SUMIF($AD$3:$BA$3,"&lt;"&amp;$DF27,$B27:$Y27)+SUMIF($AD$3:$BA$3,"&gt;="&amp;$DG27,$B27:$Y27)),
IF(AR$3=$DF27+'Model Setup'!$M$7,SUMIF($AD$3:$BA$3,"="&amp;$DF27+'Model Setup'!$M$7,$B27:$Y27)+'Model Setup'!$M$8*(SUMIF($AD$3:$BA$3,"&lt;"&amp;$DF27,$B27:$Y27)+SUMIF($AD$3:$BA$3,"&gt;="&amp;$DG27,$B27:$Y27)),
IF(AR$3=$DF27+'Model Setup'!$N$7,SUMIF($AD$3:$BA$3,"="&amp;$DF27+'Model Setup'!$N$7,$B27:$Y27)+'Model Setup'!$N$8*(SUMIF($AD$3:$BA$3,"&lt;"&amp;$DF27,$B27:$Y27)+SUMIF($AD$3:$BA$3,"&gt;="&amp;$DG27,$B27:$Y27)),
IF(AR$3&lt;$DG27,P27,0))))))))))))))),0)</f>
        <v>34</v>
      </c>
      <c r="AS27" s="47">
        <f>ROUND(IF(AS$3&lt;$DF27,0,
IF(AS$3=$DF27+'Model Setup'!$B$7,SUMIF($AD$3:$BA$3,"="&amp;$DF27+'Model Setup'!$B$7,$B27:$Y27)+'Model Setup'!$B$8*(SUMIF($AD$3:$BA$3,"&lt;"&amp;$DF27,$B27:$Y27)+SUMIF($AD$3:$BA$3,"&gt;="&amp;$DG27,$B27:$Y27)),
IF(AS$3=$DF27+'Model Setup'!$C$7,SUMIF($AD$3:$BA$3,"="&amp;$DF27+'Model Setup'!$C$7,$B27:$Y27)+'Model Setup'!$C$8*(SUMIF($AD$3:$BA$3,"&lt;"&amp;$DF27,$B27:$Y27)+SUMIF($AD$3:$BA$3,"&gt;="&amp;$DG27,$B27:$Y27)),
IF(AS$3=$DF27+'Model Setup'!$D$7,SUMIF($AD$3:$BA$3,"="&amp;$DF27+'Model Setup'!$D$7,$B27:$Y27)+'Model Setup'!$D$8*(SUMIF($AD$3:$BA$3,"&lt;"&amp;$DF27,$B27:$Y27)+SUMIF($AD$3:$BA$3,"&gt;="&amp;$DG27,$B27:$Y27)),
IF(AS$3=$DF27+'Model Setup'!$E$7,SUMIF($AD$3:$BA$3,"="&amp;$DF27+'Model Setup'!$E$7,$B27:$Y27)+'Model Setup'!$E$8*(SUMIF($AD$3:$BA$3,"&lt;"&amp;$DF27,$B27:$Y27)+SUMIF($AD$3:$BA$3,"&gt;="&amp;$DG27,$B27:$Y27)),
IF(AS$3=$DF27+'Model Setup'!$F$7,SUMIF($AD$3:$BA$3,"="&amp;$DF27+'Model Setup'!$F$7,$B27:$Y27)+'Model Setup'!$F$8*(SUMIF($AD$3:$BA$3,"&lt;"&amp;$DF27,$B27:$Y27)+SUMIF($AD$3:$BA$3,"&gt;="&amp;$DG27,$B27:$Y27)),
IF(AS$3=$DF27+'Model Setup'!$G$7,SUMIF($AD$3:$BA$3,"="&amp;$DF27+'Model Setup'!$G$7,$B27:$Y27)+'Model Setup'!$G$8*(SUMIF($AD$3:$BA$3,"&lt;"&amp;$DF27,$B27:$Y27)+SUMIF($AD$3:$BA$3,"&gt;="&amp;$DG27,$B27:$Y27)),
IF(AS$3=$DF27+'Model Setup'!$H$7,SUMIF($AD$3:$BA$3,"="&amp;$DF27+'Model Setup'!$H$7,$B27:$Y27)+'Model Setup'!$H$8*(SUMIF($AD$3:$BA$3,"&lt;"&amp;$DF27,$B27:$Y27)+SUMIF($AD$3:$BA$3,"&gt;="&amp;$DG27,$B27:$Y27)),
IF(AS$3=$DF27+'Model Setup'!$I$7,SUMIF($AD$3:$BA$3,"="&amp;$DF27+'Model Setup'!$I$7,$B27:$Y27)+'Model Setup'!$I$8*(SUMIF($AD$3:$BA$3,"&lt;"&amp;$DF27,$B27:$Y27)+SUMIF($AD$3:$BA$3,"&gt;="&amp;$DG27,$B27:$Y27)),
IF(AS$3=$DF27+'Model Setup'!$J$7,SUMIF($AD$3:$BA$3,"="&amp;$DF27+'Model Setup'!$J$7,$B27:$Y27)+'Model Setup'!$J$8*(SUMIF($AD$3:$BA$3,"&lt;"&amp;$DF27,$B27:$Y27)+SUMIF($AD$3:$BA$3,"&gt;="&amp;$DG27,$B27:$Y27)),
IF(AS$3=$DF27+'Model Setup'!$K$7,SUMIF($AD$3:$BA$3,"="&amp;$DF27+'Model Setup'!$K$7,$B27:$Y27)+'Model Setup'!$K$8*(SUMIF($AD$3:$BA$3,"&lt;"&amp;$DF27,$B27:$Y27)+SUMIF($AD$3:$BA$3,"&gt;="&amp;$DG27,$B27:$Y27)),
IF(AS$3=$DF27+'Model Setup'!$L$7,SUMIF($AD$3:$BA$3,"="&amp;$DF27+'Model Setup'!$L$7,$B27:$Y27)+'Model Setup'!$L$8*(SUMIF($AD$3:$BA$3,"&lt;"&amp;$DF27,$B27:$Y27)+SUMIF($AD$3:$BA$3,"&gt;="&amp;$DG27,$B27:$Y27)),
IF(AS$3=$DF27+'Model Setup'!$M$7,SUMIF($AD$3:$BA$3,"="&amp;$DF27+'Model Setup'!$M$7,$B27:$Y27)+'Model Setup'!$M$8*(SUMIF($AD$3:$BA$3,"&lt;"&amp;$DF27,$B27:$Y27)+SUMIF($AD$3:$BA$3,"&gt;="&amp;$DG27,$B27:$Y27)),
IF(AS$3=$DF27+'Model Setup'!$N$7,SUMIF($AD$3:$BA$3,"="&amp;$DF27+'Model Setup'!$N$7,$B27:$Y27)+'Model Setup'!$N$8*(SUMIF($AD$3:$BA$3,"&lt;"&amp;$DF27,$B27:$Y27)+SUMIF($AD$3:$BA$3,"&gt;="&amp;$DG27,$B27:$Y27)),
IF(AS$3&lt;$DG27,Q27,0))))))))))))))),0)</f>
        <v>30</v>
      </c>
      <c r="AT27" s="47">
        <f>ROUND(IF(AT$3&lt;$DF27,0,
IF(AT$3=$DF27+'Model Setup'!$B$7,SUMIF($AD$3:$BA$3,"="&amp;$DF27+'Model Setup'!$B$7,$B27:$Y27)+'Model Setup'!$B$8*(SUMIF($AD$3:$BA$3,"&lt;"&amp;$DF27,$B27:$Y27)+SUMIF($AD$3:$BA$3,"&gt;="&amp;$DG27,$B27:$Y27)),
IF(AT$3=$DF27+'Model Setup'!$C$7,SUMIF($AD$3:$BA$3,"="&amp;$DF27+'Model Setup'!$C$7,$B27:$Y27)+'Model Setup'!$C$8*(SUMIF($AD$3:$BA$3,"&lt;"&amp;$DF27,$B27:$Y27)+SUMIF($AD$3:$BA$3,"&gt;="&amp;$DG27,$B27:$Y27)),
IF(AT$3=$DF27+'Model Setup'!$D$7,SUMIF($AD$3:$BA$3,"="&amp;$DF27+'Model Setup'!$D$7,$B27:$Y27)+'Model Setup'!$D$8*(SUMIF($AD$3:$BA$3,"&lt;"&amp;$DF27,$B27:$Y27)+SUMIF($AD$3:$BA$3,"&gt;="&amp;$DG27,$B27:$Y27)),
IF(AT$3=$DF27+'Model Setup'!$E$7,SUMIF($AD$3:$BA$3,"="&amp;$DF27+'Model Setup'!$E$7,$B27:$Y27)+'Model Setup'!$E$8*(SUMIF($AD$3:$BA$3,"&lt;"&amp;$DF27,$B27:$Y27)+SUMIF($AD$3:$BA$3,"&gt;="&amp;$DG27,$B27:$Y27)),
IF(AT$3=$DF27+'Model Setup'!$F$7,SUMIF($AD$3:$BA$3,"="&amp;$DF27+'Model Setup'!$F$7,$B27:$Y27)+'Model Setup'!$F$8*(SUMIF($AD$3:$BA$3,"&lt;"&amp;$DF27,$B27:$Y27)+SUMIF($AD$3:$BA$3,"&gt;="&amp;$DG27,$B27:$Y27)),
IF(AT$3=$DF27+'Model Setup'!$G$7,SUMIF($AD$3:$BA$3,"="&amp;$DF27+'Model Setup'!$G$7,$B27:$Y27)+'Model Setup'!$G$8*(SUMIF($AD$3:$BA$3,"&lt;"&amp;$DF27,$B27:$Y27)+SUMIF($AD$3:$BA$3,"&gt;="&amp;$DG27,$B27:$Y27)),
IF(AT$3=$DF27+'Model Setup'!$H$7,SUMIF($AD$3:$BA$3,"="&amp;$DF27+'Model Setup'!$H$7,$B27:$Y27)+'Model Setup'!$H$8*(SUMIF($AD$3:$BA$3,"&lt;"&amp;$DF27,$B27:$Y27)+SUMIF($AD$3:$BA$3,"&gt;="&amp;$DG27,$B27:$Y27)),
IF(AT$3=$DF27+'Model Setup'!$I$7,SUMIF($AD$3:$BA$3,"="&amp;$DF27+'Model Setup'!$I$7,$B27:$Y27)+'Model Setup'!$I$8*(SUMIF($AD$3:$BA$3,"&lt;"&amp;$DF27,$B27:$Y27)+SUMIF($AD$3:$BA$3,"&gt;="&amp;$DG27,$B27:$Y27)),
IF(AT$3=$DF27+'Model Setup'!$J$7,SUMIF($AD$3:$BA$3,"="&amp;$DF27+'Model Setup'!$J$7,$B27:$Y27)+'Model Setup'!$J$8*(SUMIF($AD$3:$BA$3,"&lt;"&amp;$DF27,$B27:$Y27)+SUMIF($AD$3:$BA$3,"&gt;="&amp;$DG27,$B27:$Y27)),
IF(AT$3=$DF27+'Model Setup'!$K$7,SUMIF($AD$3:$BA$3,"="&amp;$DF27+'Model Setup'!$K$7,$B27:$Y27)+'Model Setup'!$K$8*(SUMIF($AD$3:$BA$3,"&lt;"&amp;$DF27,$B27:$Y27)+SUMIF($AD$3:$BA$3,"&gt;="&amp;$DG27,$B27:$Y27)),
IF(AT$3=$DF27+'Model Setup'!$L$7,SUMIF($AD$3:$BA$3,"="&amp;$DF27+'Model Setup'!$L$7,$B27:$Y27)+'Model Setup'!$L$8*(SUMIF($AD$3:$BA$3,"&lt;"&amp;$DF27,$B27:$Y27)+SUMIF($AD$3:$BA$3,"&gt;="&amp;$DG27,$B27:$Y27)),
IF(AT$3=$DF27+'Model Setup'!$M$7,SUMIF($AD$3:$BA$3,"="&amp;$DF27+'Model Setup'!$M$7,$B27:$Y27)+'Model Setup'!$M$8*(SUMIF($AD$3:$BA$3,"&lt;"&amp;$DF27,$B27:$Y27)+SUMIF($AD$3:$BA$3,"&gt;="&amp;$DG27,$B27:$Y27)),
IF(AT$3=$DF27+'Model Setup'!$N$7,SUMIF($AD$3:$BA$3,"="&amp;$DF27+'Model Setup'!$N$7,$B27:$Y27)+'Model Setup'!$N$8*(SUMIF($AD$3:$BA$3,"&lt;"&amp;$DF27,$B27:$Y27)+SUMIF($AD$3:$BA$3,"&gt;="&amp;$DG27,$B27:$Y27)),
IF(AT$3&lt;$DG27,R27,0))))))))))))))),0)</f>
        <v>36</v>
      </c>
      <c r="AU27" s="47">
        <f>ROUND(IF(AU$3&lt;$DF27,0,
IF(AU$3=$DF27+'Model Setup'!$B$7,SUMIF($AD$3:$BA$3,"="&amp;$DF27+'Model Setup'!$B$7,$B27:$Y27)+'Model Setup'!$B$8*(SUMIF($AD$3:$BA$3,"&lt;"&amp;$DF27,$B27:$Y27)+SUMIF($AD$3:$BA$3,"&gt;="&amp;$DG27,$B27:$Y27)),
IF(AU$3=$DF27+'Model Setup'!$C$7,SUMIF($AD$3:$BA$3,"="&amp;$DF27+'Model Setup'!$C$7,$B27:$Y27)+'Model Setup'!$C$8*(SUMIF($AD$3:$BA$3,"&lt;"&amp;$DF27,$B27:$Y27)+SUMIF($AD$3:$BA$3,"&gt;="&amp;$DG27,$B27:$Y27)),
IF(AU$3=$DF27+'Model Setup'!$D$7,SUMIF($AD$3:$BA$3,"="&amp;$DF27+'Model Setup'!$D$7,$B27:$Y27)+'Model Setup'!$D$8*(SUMIF($AD$3:$BA$3,"&lt;"&amp;$DF27,$B27:$Y27)+SUMIF($AD$3:$BA$3,"&gt;="&amp;$DG27,$B27:$Y27)),
IF(AU$3=$DF27+'Model Setup'!$E$7,SUMIF($AD$3:$BA$3,"="&amp;$DF27+'Model Setup'!$E$7,$B27:$Y27)+'Model Setup'!$E$8*(SUMIF($AD$3:$BA$3,"&lt;"&amp;$DF27,$B27:$Y27)+SUMIF($AD$3:$BA$3,"&gt;="&amp;$DG27,$B27:$Y27)),
IF(AU$3=$DF27+'Model Setup'!$F$7,SUMIF($AD$3:$BA$3,"="&amp;$DF27+'Model Setup'!$F$7,$B27:$Y27)+'Model Setup'!$F$8*(SUMIF($AD$3:$BA$3,"&lt;"&amp;$DF27,$B27:$Y27)+SUMIF($AD$3:$BA$3,"&gt;="&amp;$DG27,$B27:$Y27)),
IF(AU$3=$DF27+'Model Setup'!$G$7,SUMIF($AD$3:$BA$3,"="&amp;$DF27+'Model Setup'!$G$7,$B27:$Y27)+'Model Setup'!$G$8*(SUMIF($AD$3:$BA$3,"&lt;"&amp;$DF27,$B27:$Y27)+SUMIF($AD$3:$BA$3,"&gt;="&amp;$DG27,$B27:$Y27)),
IF(AU$3=$DF27+'Model Setup'!$H$7,SUMIF($AD$3:$BA$3,"="&amp;$DF27+'Model Setup'!$H$7,$B27:$Y27)+'Model Setup'!$H$8*(SUMIF($AD$3:$BA$3,"&lt;"&amp;$DF27,$B27:$Y27)+SUMIF($AD$3:$BA$3,"&gt;="&amp;$DG27,$B27:$Y27)),
IF(AU$3=$DF27+'Model Setup'!$I$7,SUMIF($AD$3:$BA$3,"="&amp;$DF27+'Model Setup'!$I$7,$B27:$Y27)+'Model Setup'!$I$8*(SUMIF($AD$3:$BA$3,"&lt;"&amp;$DF27,$B27:$Y27)+SUMIF($AD$3:$BA$3,"&gt;="&amp;$DG27,$B27:$Y27)),
IF(AU$3=$DF27+'Model Setup'!$J$7,SUMIF($AD$3:$BA$3,"="&amp;$DF27+'Model Setup'!$J$7,$B27:$Y27)+'Model Setup'!$J$8*(SUMIF($AD$3:$BA$3,"&lt;"&amp;$DF27,$B27:$Y27)+SUMIF($AD$3:$BA$3,"&gt;="&amp;$DG27,$B27:$Y27)),
IF(AU$3=$DF27+'Model Setup'!$K$7,SUMIF($AD$3:$BA$3,"="&amp;$DF27+'Model Setup'!$K$7,$B27:$Y27)+'Model Setup'!$K$8*(SUMIF($AD$3:$BA$3,"&lt;"&amp;$DF27,$B27:$Y27)+SUMIF($AD$3:$BA$3,"&gt;="&amp;$DG27,$B27:$Y27)),
IF(AU$3=$DF27+'Model Setup'!$L$7,SUMIF($AD$3:$BA$3,"="&amp;$DF27+'Model Setup'!$L$7,$B27:$Y27)+'Model Setup'!$L$8*(SUMIF($AD$3:$BA$3,"&lt;"&amp;$DF27,$B27:$Y27)+SUMIF($AD$3:$BA$3,"&gt;="&amp;$DG27,$B27:$Y27)),
IF(AU$3=$DF27+'Model Setup'!$M$7,SUMIF($AD$3:$BA$3,"="&amp;$DF27+'Model Setup'!$M$7,$B27:$Y27)+'Model Setup'!$M$8*(SUMIF($AD$3:$BA$3,"&lt;"&amp;$DF27,$B27:$Y27)+SUMIF($AD$3:$BA$3,"&gt;="&amp;$DG27,$B27:$Y27)),
IF(AU$3=$DF27+'Model Setup'!$N$7,SUMIF($AD$3:$BA$3,"="&amp;$DF27+'Model Setup'!$N$7,$B27:$Y27)+'Model Setup'!$N$8*(SUMIF($AD$3:$BA$3,"&lt;"&amp;$DF27,$B27:$Y27)+SUMIF($AD$3:$BA$3,"&gt;="&amp;$DG27,$B27:$Y27)),
IF(AU$3&lt;$DG27,S27,0))))))))))))))),0)</f>
        <v>35</v>
      </c>
      <c r="AV27" s="47">
        <f>ROUND(IF(AV$3&lt;$DF27,0,
IF(AV$3=$DF27+'Model Setup'!$B$7,SUMIF($AD$3:$BA$3,"="&amp;$DF27+'Model Setup'!$B$7,$B27:$Y27)+'Model Setup'!$B$8*(SUMIF($AD$3:$BA$3,"&lt;"&amp;$DF27,$B27:$Y27)+SUMIF($AD$3:$BA$3,"&gt;="&amp;$DG27,$B27:$Y27)),
IF(AV$3=$DF27+'Model Setup'!$C$7,SUMIF($AD$3:$BA$3,"="&amp;$DF27+'Model Setup'!$C$7,$B27:$Y27)+'Model Setup'!$C$8*(SUMIF($AD$3:$BA$3,"&lt;"&amp;$DF27,$B27:$Y27)+SUMIF($AD$3:$BA$3,"&gt;="&amp;$DG27,$B27:$Y27)),
IF(AV$3=$DF27+'Model Setup'!$D$7,SUMIF($AD$3:$BA$3,"="&amp;$DF27+'Model Setup'!$D$7,$B27:$Y27)+'Model Setup'!$D$8*(SUMIF($AD$3:$BA$3,"&lt;"&amp;$DF27,$B27:$Y27)+SUMIF($AD$3:$BA$3,"&gt;="&amp;$DG27,$B27:$Y27)),
IF(AV$3=$DF27+'Model Setup'!$E$7,SUMIF($AD$3:$BA$3,"="&amp;$DF27+'Model Setup'!$E$7,$B27:$Y27)+'Model Setup'!$E$8*(SUMIF($AD$3:$BA$3,"&lt;"&amp;$DF27,$B27:$Y27)+SUMIF($AD$3:$BA$3,"&gt;="&amp;$DG27,$B27:$Y27)),
IF(AV$3=$DF27+'Model Setup'!$F$7,SUMIF($AD$3:$BA$3,"="&amp;$DF27+'Model Setup'!$F$7,$B27:$Y27)+'Model Setup'!$F$8*(SUMIF($AD$3:$BA$3,"&lt;"&amp;$DF27,$B27:$Y27)+SUMIF($AD$3:$BA$3,"&gt;="&amp;$DG27,$B27:$Y27)),
IF(AV$3=$DF27+'Model Setup'!$G$7,SUMIF($AD$3:$BA$3,"="&amp;$DF27+'Model Setup'!$G$7,$B27:$Y27)+'Model Setup'!$G$8*(SUMIF($AD$3:$BA$3,"&lt;"&amp;$DF27,$B27:$Y27)+SUMIF($AD$3:$BA$3,"&gt;="&amp;$DG27,$B27:$Y27)),
IF(AV$3=$DF27+'Model Setup'!$H$7,SUMIF($AD$3:$BA$3,"="&amp;$DF27+'Model Setup'!$H$7,$B27:$Y27)+'Model Setup'!$H$8*(SUMIF($AD$3:$BA$3,"&lt;"&amp;$DF27,$B27:$Y27)+SUMIF($AD$3:$BA$3,"&gt;="&amp;$DG27,$B27:$Y27)),
IF(AV$3=$DF27+'Model Setup'!$I$7,SUMIF($AD$3:$BA$3,"="&amp;$DF27+'Model Setup'!$I$7,$B27:$Y27)+'Model Setup'!$I$8*(SUMIF($AD$3:$BA$3,"&lt;"&amp;$DF27,$B27:$Y27)+SUMIF($AD$3:$BA$3,"&gt;="&amp;$DG27,$B27:$Y27)),
IF(AV$3=$DF27+'Model Setup'!$J$7,SUMIF($AD$3:$BA$3,"="&amp;$DF27+'Model Setup'!$J$7,$B27:$Y27)+'Model Setup'!$J$8*(SUMIF($AD$3:$BA$3,"&lt;"&amp;$DF27,$B27:$Y27)+SUMIF($AD$3:$BA$3,"&gt;="&amp;$DG27,$B27:$Y27)),
IF(AV$3=$DF27+'Model Setup'!$K$7,SUMIF($AD$3:$BA$3,"="&amp;$DF27+'Model Setup'!$K$7,$B27:$Y27)+'Model Setup'!$K$8*(SUMIF($AD$3:$BA$3,"&lt;"&amp;$DF27,$B27:$Y27)+SUMIF($AD$3:$BA$3,"&gt;="&amp;$DG27,$B27:$Y27)),
IF(AV$3=$DF27+'Model Setup'!$L$7,SUMIF($AD$3:$BA$3,"="&amp;$DF27+'Model Setup'!$L$7,$B27:$Y27)+'Model Setup'!$L$8*(SUMIF($AD$3:$BA$3,"&lt;"&amp;$DF27,$B27:$Y27)+SUMIF($AD$3:$BA$3,"&gt;="&amp;$DG27,$B27:$Y27)),
IF(AV$3=$DF27+'Model Setup'!$M$7,SUMIF($AD$3:$BA$3,"="&amp;$DF27+'Model Setup'!$M$7,$B27:$Y27)+'Model Setup'!$M$8*(SUMIF($AD$3:$BA$3,"&lt;"&amp;$DF27,$B27:$Y27)+SUMIF($AD$3:$BA$3,"&gt;="&amp;$DG27,$B27:$Y27)),
IF(AV$3=$DF27+'Model Setup'!$N$7,SUMIF($AD$3:$BA$3,"="&amp;$DF27+'Model Setup'!$N$7,$B27:$Y27)+'Model Setup'!$N$8*(SUMIF($AD$3:$BA$3,"&lt;"&amp;$DF27,$B27:$Y27)+SUMIF($AD$3:$BA$3,"&gt;="&amp;$DG27,$B27:$Y27)),
IF(AV$3&lt;$DG27,T27,0))))))))))))))),0)</f>
        <v>23</v>
      </c>
      <c r="AW27" s="47">
        <f>ROUND(IF(AW$3&lt;$DF27,0,
IF(AW$3=$DF27+'Model Setup'!$B$7,SUMIF($AD$3:$BA$3,"="&amp;$DF27+'Model Setup'!$B$7,$B27:$Y27)+'Model Setup'!$B$8*(SUMIF($AD$3:$BA$3,"&lt;"&amp;$DF27,$B27:$Y27)+SUMIF($AD$3:$BA$3,"&gt;="&amp;$DG27,$B27:$Y27)),
IF(AW$3=$DF27+'Model Setup'!$C$7,SUMIF($AD$3:$BA$3,"="&amp;$DF27+'Model Setup'!$C$7,$B27:$Y27)+'Model Setup'!$C$8*(SUMIF($AD$3:$BA$3,"&lt;"&amp;$DF27,$B27:$Y27)+SUMIF($AD$3:$BA$3,"&gt;="&amp;$DG27,$B27:$Y27)),
IF(AW$3=$DF27+'Model Setup'!$D$7,SUMIF($AD$3:$BA$3,"="&amp;$DF27+'Model Setup'!$D$7,$B27:$Y27)+'Model Setup'!$D$8*(SUMIF($AD$3:$BA$3,"&lt;"&amp;$DF27,$B27:$Y27)+SUMIF($AD$3:$BA$3,"&gt;="&amp;$DG27,$B27:$Y27)),
IF(AW$3=$DF27+'Model Setup'!$E$7,SUMIF($AD$3:$BA$3,"="&amp;$DF27+'Model Setup'!$E$7,$B27:$Y27)+'Model Setup'!$E$8*(SUMIF($AD$3:$BA$3,"&lt;"&amp;$DF27,$B27:$Y27)+SUMIF($AD$3:$BA$3,"&gt;="&amp;$DG27,$B27:$Y27)),
IF(AW$3=$DF27+'Model Setup'!$F$7,SUMIF($AD$3:$BA$3,"="&amp;$DF27+'Model Setup'!$F$7,$B27:$Y27)+'Model Setup'!$F$8*(SUMIF($AD$3:$BA$3,"&lt;"&amp;$DF27,$B27:$Y27)+SUMIF($AD$3:$BA$3,"&gt;="&amp;$DG27,$B27:$Y27)),
IF(AW$3=$DF27+'Model Setup'!$G$7,SUMIF($AD$3:$BA$3,"="&amp;$DF27+'Model Setup'!$G$7,$B27:$Y27)+'Model Setup'!$G$8*(SUMIF($AD$3:$BA$3,"&lt;"&amp;$DF27,$B27:$Y27)+SUMIF($AD$3:$BA$3,"&gt;="&amp;$DG27,$B27:$Y27)),
IF(AW$3=$DF27+'Model Setup'!$H$7,SUMIF($AD$3:$BA$3,"="&amp;$DF27+'Model Setup'!$H$7,$B27:$Y27)+'Model Setup'!$H$8*(SUMIF($AD$3:$BA$3,"&lt;"&amp;$DF27,$B27:$Y27)+SUMIF($AD$3:$BA$3,"&gt;="&amp;$DG27,$B27:$Y27)),
IF(AW$3=$DF27+'Model Setup'!$I$7,SUMIF($AD$3:$BA$3,"="&amp;$DF27+'Model Setup'!$I$7,$B27:$Y27)+'Model Setup'!$I$8*(SUMIF($AD$3:$BA$3,"&lt;"&amp;$DF27,$B27:$Y27)+SUMIF($AD$3:$BA$3,"&gt;="&amp;$DG27,$B27:$Y27)),
IF(AW$3=$DF27+'Model Setup'!$J$7,SUMIF($AD$3:$BA$3,"="&amp;$DF27+'Model Setup'!$J$7,$B27:$Y27)+'Model Setup'!$J$8*(SUMIF($AD$3:$BA$3,"&lt;"&amp;$DF27,$B27:$Y27)+SUMIF($AD$3:$BA$3,"&gt;="&amp;$DG27,$B27:$Y27)),
IF(AW$3=$DF27+'Model Setup'!$K$7,SUMIF($AD$3:$BA$3,"="&amp;$DF27+'Model Setup'!$K$7,$B27:$Y27)+'Model Setup'!$K$8*(SUMIF($AD$3:$BA$3,"&lt;"&amp;$DF27,$B27:$Y27)+SUMIF($AD$3:$BA$3,"&gt;="&amp;$DG27,$B27:$Y27)),
IF(AW$3=$DF27+'Model Setup'!$L$7,SUMIF($AD$3:$BA$3,"="&amp;$DF27+'Model Setup'!$L$7,$B27:$Y27)+'Model Setup'!$L$8*(SUMIF($AD$3:$BA$3,"&lt;"&amp;$DF27,$B27:$Y27)+SUMIF($AD$3:$BA$3,"&gt;="&amp;$DG27,$B27:$Y27)),
IF(AW$3=$DF27+'Model Setup'!$M$7,SUMIF($AD$3:$BA$3,"="&amp;$DF27+'Model Setup'!$M$7,$B27:$Y27)+'Model Setup'!$M$8*(SUMIF($AD$3:$BA$3,"&lt;"&amp;$DF27,$B27:$Y27)+SUMIF($AD$3:$BA$3,"&gt;="&amp;$DG27,$B27:$Y27)),
IF(AW$3=$DF27+'Model Setup'!$N$7,SUMIF($AD$3:$BA$3,"="&amp;$DF27+'Model Setup'!$N$7,$B27:$Y27)+'Model Setup'!$N$8*(SUMIF($AD$3:$BA$3,"&lt;"&amp;$DF27,$B27:$Y27)+SUMIF($AD$3:$BA$3,"&gt;="&amp;$DG27,$B27:$Y27)),
IF(AW$3&lt;$DG27,U27,0))))))))))))))),0)</f>
        <v>0</v>
      </c>
      <c r="AX27" s="47">
        <f>ROUND(IF(AX$3&lt;$DF27,0,
IF(AX$3=$DF27+'Model Setup'!$B$7,SUMIF($AD$3:$BA$3,"="&amp;$DF27+'Model Setup'!$B$7,$B27:$Y27)+'Model Setup'!$B$8*(SUMIF($AD$3:$BA$3,"&lt;"&amp;$DF27,$B27:$Y27)+SUMIF($AD$3:$BA$3,"&gt;="&amp;$DG27,$B27:$Y27)),
IF(AX$3=$DF27+'Model Setup'!$C$7,SUMIF($AD$3:$BA$3,"="&amp;$DF27+'Model Setup'!$C$7,$B27:$Y27)+'Model Setup'!$C$8*(SUMIF($AD$3:$BA$3,"&lt;"&amp;$DF27,$B27:$Y27)+SUMIF($AD$3:$BA$3,"&gt;="&amp;$DG27,$B27:$Y27)),
IF(AX$3=$DF27+'Model Setup'!$D$7,SUMIF($AD$3:$BA$3,"="&amp;$DF27+'Model Setup'!$D$7,$B27:$Y27)+'Model Setup'!$D$8*(SUMIF($AD$3:$BA$3,"&lt;"&amp;$DF27,$B27:$Y27)+SUMIF($AD$3:$BA$3,"&gt;="&amp;$DG27,$B27:$Y27)),
IF(AX$3=$DF27+'Model Setup'!$E$7,SUMIF($AD$3:$BA$3,"="&amp;$DF27+'Model Setup'!$E$7,$B27:$Y27)+'Model Setup'!$E$8*(SUMIF($AD$3:$BA$3,"&lt;"&amp;$DF27,$B27:$Y27)+SUMIF($AD$3:$BA$3,"&gt;="&amp;$DG27,$B27:$Y27)),
IF(AX$3=$DF27+'Model Setup'!$F$7,SUMIF($AD$3:$BA$3,"="&amp;$DF27+'Model Setup'!$F$7,$B27:$Y27)+'Model Setup'!$F$8*(SUMIF($AD$3:$BA$3,"&lt;"&amp;$DF27,$B27:$Y27)+SUMIF($AD$3:$BA$3,"&gt;="&amp;$DG27,$B27:$Y27)),
IF(AX$3=$DF27+'Model Setup'!$G$7,SUMIF($AD$3:$BA$3,"="&amp;$DF27+'Model Setup'!$G$7,$B27:$Y27)+'Model Setup'!$G$8*(SUMIF($AD$3:$BA$3,"&lt;"&amp;$DF27,$B27:$Y27)+SUMIF($AD$3:$BA$3,"&gt;="&amp;$DG27,$B27:$Y27)),
IF(AX$3=$DF27+'Model Setup'!$H$7,SUMIF($AD$3:$BA$3,"="&amp;$DF27+'Model Setup'!$H$7,$B27:$Y27)+'Model Setup'!$H$8*(SUMIF($AD$3:$BA$3,"&lt;"&amp;$DF27,$B27:$Y27)+SUMIF($AD$3:$BA$3,"&gt;="&amp;$DG27,$B27:$Y27)),
IF(AX$3=$DF27+'Model Setup'!$I$7,SUMIF($AD$3:$BA$3,"="&amp;$DF27+'Model Setup'!$I$7,$B27:$Y27)+'Model Setup'!$I$8*(SUMIF($AD$3:$BA$3,"&lt;"&amp;$DF27,$B27:$Y27)+SUMIF($AD$3:$BA$3,"&gt;="&amp;$DG27,$B27:$Y27)),
IF(AX$3=$DF27+'Model Setup'!$J$7,SUMIF($AD$3:$BA$3,"="&amp;$DF27+'Model Setup'!$J$7,$B27:$Y27)+'Model Setup'!$J$8*(SUMIF($AD$3:$BA$3,"&lt;"&amp;$DF27,$B27:$Y27)+SUMIF($AD$3:$BA$3,"&gt;="&amp;$DG27,$B27:$Y27)),
IF(AX$3=$DF27+'Model Setup'!$K$7,SUMIF($AD$3:$BA$3,"="&amp;$DF27+'Model Setup'!$K$7,$B27:$Y27)+'Model Setup'!$K$8*(SUMIF($AD$3:$BA$3,"&lt;"&amp;$DF27,$B27:$Y27)+SUMIF($AD$3:$BA$3,"&gt;="&amp;$DG27,$B27:$Y27)),
IF(AX$3=$DF27+'Model Setup'!$L$7,SUMIF($AD$3:$BA$3,"="&amp;$DF27+'Model Setup'!$L$7,$B27:$Y27)+'Model Setup'!$L$8*(SUMIF($AD$3:$BA$3,"&lt;"&amp;$DF27,$B27:$Y27)+SUMIF($AD$3:$BA$3,"&gt;="&amp;$DG27,$B27:$Y27)),
IF(AX$3=$DF27+'Model Setup'!$M$7,SUMIF($AD$3:$BA$3,"="&amp;$DF27+'Model Setup'!$M$7,$B27:$Y27)+'Model Setup'!$M$8*(SUMIF($AD$3:$BA$3,"&lt;"&amp;$DF27,$B27:$Y27)+SUMIF($AD$3:$BA$3,"&gt;="&amp;$DG27,$B27:$Y27)),
IF(AX$3=$DF27+'Model Setup'!$N$7,SUMIF($AD$3:$BA$3,"="&amp;$DF27+'Model Setup'!$N$7,$B27:$Y27)+'Model Setup'!$N$8*(SUMIF($AD$3:$BA$3,"&lt;"&amp;$DF27,$B27:$Y27)+SUMIF($AD$3:$BA$3,"&gt;="&amp;$DG27,$B27:$Y27)),
IF(AX$3&lt;$DG27,V27,0))))))))))))))),0)</f>
        <v>0</v>
      </c>
      <c r="AY27" s="47">
        <f>ROUND(IF(AY$3&lt;$DF27,0,
IF(AY$3=$DF27+'Model Setup'!$B$7,SUMIF($AD$3:$BA$3,"="&amp;$DF27+'Model Setup'!$B$7,$B27:$Y27)+'Model Setup'!$B$8*(SUMIF($AD$3:$BA$3,"&lt;"&amp;$DF27,$B27:$Y27)+SUMIF($AD$3:$BA$3,"&gt;="&amp;$DG27,$B27:$Y27)),
IF(AY$3=$DF27+'Model Setup'!$C$7,SUMIF($AD$3:$BA$3,"="&amp;$DF27+'Model Setup'!$C$7,$B27:$Y27)+'Model Setup'!$C$8*(SUMIF($AD$3:$BA$3,"&lt;"&amp;$DF27,$B27:$Y27)+SUMIF($AD$3:$BA$3,"&gt;="&amp;$DG27,$B27:$Y27)),
IF(AY$3=$DF27+'Model Setup'!$D$7,SUMIF($AD$3:$BA$3,"="&amp;$DF27+'Model Setup'!$D$7,$B27:$Y27)+'Model Setup'!$D$8*(SUMIF($AD$3:$BA$3,"&lt;"&amp;$DF27,$B27:$Y27)+SUMIF($AD$3:$BA$3,"&gt;="&amp;$DG27,$B27:$Y27)),
IF(AY$3=$DF27+'Model Setup'!$E$7,SUMIF($AD$3:$BA$3,"="&amp;$DF27+'Model Setup'!$E$7,$B27:$Y27)+'Model Setup'!$E$8*(SUMIF($AD$3:$BA$3,"&lt;"&amp;$DF27,$B27:$Y27)+SUMIF($AD$3:$BA$3,"&gt;="&amp;$DG27,$B27:$Y27)),
IF(AY$3=$DF27+'Model Setup'!$F$7,SUMIF($AD$3:$BA$3,"="&amp;$DF27+'Model Setup'!$F$7,$B27:$Y27)+'Model Setup'!$F$8*(SUMIF($AD$3:$BA$3,"&lt;"&amp;$DF27,$B27:$Y27)+SUMIF($AD$3:$BA$3,"&gt;="&amp;$DG27,$B27:$Y27)),
IF(AY$3=$DF27+'Model Setup'!$G$7,SUMIF($AD$3:$BA$3,"="&amp;$DF27+'Model Setup'!$G$7,$B27:$Y27)+'Model Setup'!$G$8*(SUMIF($AD$3:$BA$3,"&lt;"&amp;$DF27,$B27:$Y27)+SUMIF($AD$3:$BA$3,"&gt;="&amp;$DG27,$B27:$Y27)),
IF(AY$3=$DF27+'Model Setup'!$H$7,SUMIF($AD$3:$BA$3,"="&amp;$DF27+'Model Setup'!$H$7,$B27:$Y27)+'Model Setup'!$H$8*(SUMIF($AD$3:$BA$3,"&lt;"&amp;$DF27,$B27:$Y27)+SUMIF($AD$3:$BA$3,"&gt;="&amp;$DG27,$B27:$Y27)),
IF(AY$3=$DF27+'Model Setup'!$I$7,SUMIF($AD$3:$BA$3,"="&amp;$DF27+'Model Setup'!$I$7,$B27:$Y27)+'Model Setup'!$I$8*(SUMIF($AD$3:$BA$3,"&lt;"&amp;$DF27,$B27:$Y27)+SUMIF($AD$3:$BA$3,"&gt;="&amp;$DG27,$B27:$Y27)),
IF(AY$3=$DF27+'Model Setup'!$J$7,SUMIF($AD$3:$BA$3,"="&amp;$DF27+'Model Setup'!$J$7,$B27:$Y27)+'Model Setup'!$J$8*(SUMIF($AD$3:$BA$3,"&lt;"&amp;$DF27,$B27:$Y27)+SUMIF($AD$3:$BA$3,"&gt;="&amp;$DG27,$B27:$Y27)),
IF(AY$3=$DF27+'Model Setup'!$K$7,SUMIF($AD$3:$BA$3,"="&amp;$DF27+'Model Setup'!$K$7,$B27:$Y27)+'Model Setup'!$K$8*(SUMIF($AD$3:$BA$3,"&lt;"&amp;$DF27,$B27:$Y27)+SUMIF($AD$3:$BA$3,"&gt;="&amp;$DG27,$B27:$Y27)),
IF(AY$3=$DF27+'Model Setup'!$L$7,SUMIF($AD$3:$BA$3,"="&amp;$DF27+'Model Setup'!$L$7,$B27:$Y27)+'Model Setup'!$L$8*(SUMIF($AD$3:$BA$3,"&lt;"&amp;$DF27,$B27:$Y27)+SUMIF($AD$3:$BA$3,"&gt;="&amp;$DG27,$B27:$Y27)),
IF(AY$3=$DF27+'Model Setup'!$M$7,SUMIF($AD$3:$BA$3,"="&amp;$DF27+'Model Setup'!$M$7,$B27:$Y27)+'Model Setup'!$M$8*(SUMIF($AD$3:$BA$3,"&lt;"&amp;$DF27,$B27:$Y27)+SUMIF($AD$3:$BA$3,"&gt;="&amp;$DG27,$B27:$Y27)),
IF(AY$3=$DF27+'Model Setup'!$N$7,SUMIF($AD$3:$BA$3,"="&amp;$DF27+'Model Setup'!$N$7,$B27:$Y27)+'Model Setup'!$N$8*(SUMIF($AD$3:$BA$3,"&lt;"&amp;$DF27,$B27:$Y27)+SUMIF($AD$3:$BA$3,"&gt;="&amp;$DG27,$B27:$Y27)),
IF(AY$3&lt;$DG27,W27,0))))))))))))))),0)</f>
        <v>0</v>
      </c>
      <c r="AZ27" s="47">
        <f>ROUND(IF(AZ$3&lt;$DF27,0,
IF(AZ$3=$DF27+'Model Setup'!$B$7,SUMIF($AD$3:$BA$3,"="&amp;$DF27+'Model Setup'!$B$7,$B27:$Y27)+'Model Setup'!$B$8*(SUMIF($AD$3:$BA$3,"&lt;"&amp;$DF27,$B27:$Y27)+SUMIF($AD$3:$BA$3,"&gt;="&amp;$DG27,$B27:$Y27)),
IF(AZ$3=$DF27+'Model Setup'!$C$7,SUMIF($AD$3:$BA$3,"="&amp;$DF27+'Model Setup'!$C$7,$B27:$Y27)+'Model Setup'!$C$8*(SUMIF($AD$3:$BA$3,"&lt;"&amp;$DF27,$B27:$Y27)+SUMIF($AD$3:$BA$3,"&gt;="&amp;$DG27,$B27:$Y27)),
IF(AZ$3=$DF27+'Model Setup'!$D$7,SUMIF($AD$3:$BA$3,"="&amp;$DF27+'Model Setup'!$D$7,$B27:$Y27)+'Model Setup'!$D$8*(SUMIF($AD$3:$BA$3,"&lt;"&amp;$DF27,$B27:$Y27)+SUMIF($AD$3:$BA$3,"&gt;="&amp;$DG27,$B27:$Y27)),
IF(AZ$3=$DF27+'Model Setup'!$E$7,SUMIF($AD$3:$BA$3,"="&amp;$DF27+'Model Setup'!$E$7,$B27:$Y27)+'Model Setup'!$E$8*(SUMIF($AD$3:$BA$3,"&lt;"&amp;$DF27,$B27:$Y27)+SUMIF($AD$3:$BA$3,"&gt;="&amp;$DG27,$B27:$Y27)),
IF(AZ$3=$DF27+'Model Setup'!$F$7,SUMIF($AD$3:$BA$3,"="&amp;$DF27+'Model Setup'!$F$7,$B27:$Y27)+'Model Setup'!$F$8*(SUMIF($AD$3:$BA$3,"&lt;"&amp;$DF27,$B27:$Y27)+SUMIF($AD$3:$BA$3,"&gt;="&amp;$DG27,$B27:$Y27)),
IF(AZ$3=$DF27+'Model Setup'!$G$7,SUMIF($AD$3:$BA$3,"="&amp;$DF27+'Model Setup'!$G$7,$B27:$Y27)+'Model Setup'!$G$8*(SUMIF($AD$3:$BA$3,"&lt;"&amp;$DF27,$B27:$Y27)+SUMIF($AD$3:$BA$3,"&gt;="&amp;$DG27,$B27:$Y27)),
IF(AZ$3=$DF27+'Model Setup'!$H$7,SUMIF($AD$3:$BA$3,"="&amp;$DF27+'Model Setup'!$H$7,$B27:$Y27)+'Model Setup'!$H$8*(SUMIF($AD$3:$BA$3,"&lt;"&amp;$DF27,$B27:$Y27)+SUMIF($AD$3:$BA$3,"&gt;="&amp;$DG27,$B27:$Y27)),
IF(AZ$3=$DF27+'Model Setup'!$I$7,SUMIF($AD$3:$BA$3,"="&amp;$DF27+'Model Setup'!$I$7,$B27:$Y27)+'Model Setup'!$I$8*(SUMIF($AD$3:$BA$3,"&lt;"&amp;$DF27,$B27:$Y27)+SUMIF($AD$3:$BA$3,"&gt;="&amp;$DG27,$B27:$Y27)),
IF(AZ$3=$DF27+'Model Setup'!$J$7,SUMIF($AD$3:$BA$3,"="&amp;$DF27+'Model Setup'!$J$7,$B27:$Y27)+'Model Setup'!$J$8*(SUMIF($AD$3:$BA$3,"&lt;"&amp;$DF27,$B27:$Y27)+SUMIF($AD$3:$BA$3,"&gt;="&amp;$DG27,$B27:$Y27)),
IF(AZ$3=$DF27+'Model Setup'!$K$7,SUMIF($AD$3:$BA$3,"="&amp;$DF27+'Model Setup'!$K$7,$B27:$Y27)+'Model Setup'!$K$8*(SUMIF($AD$3:$BA$3,"&lt;"&amp;$DF27,$B27:$Y27)+SUMIF($AD$3:$BA$3,"&gt;="&amp;$DG27,$B27:$Y27)),
IF(AZ$3=$DF27+'Model Setup'!$L$7,SUMIF($AD$3:$BA$3,"="&amp;$DF27+'Model Setup'!$L$7,$B27:$Y27)+'Model Setup'!$L$8*(SUMIF($AD$3:$BA$3,"&lt;"&amp;$DF27,$B27:$Y27)+SUMIF($AD$3:$BA$3,"&gt;="&amp;$DG27,$B27:$Y27)),
IF(AZ$3=$DF27+'Model Setup'!$M$7,SUMIF($AD$3:$BA$3,"="&amp;$DF27+'Model Setup'!$M$7,$B27:$Y27)+'Model Setup'!$M$8*(SUMIF($AD$3:$BA$3,"&lt;"&amp;$DF27,$B27:$Y27)+SUMIF($AD$3:$BA$3,"&gt;="&amp;$DG27,$B27:$Y27)),
IF(AZ$3=$DF27+'Model Setup'!$N$7,SUMIF($AD$3:$BA$3,"="&amp;$DF27+'Model Setup'!$N$7,$B27:$Y27)+'Model Setup'!$N$8*(SUMIF($AD$3:$BA$3,"&lt;"&amp;$DF27,$B27:$Y27)+SUMIF($AD$3:$BA$3,"&gt;="&amp;$DG27,$B27:$Y27)),
IF(AZ$3&lt;$DG27,X27,0))))))))))))))),0)</f>
        <v>0</v>
      </c>
      <c r="BA27" s="47">
        <f>ROUND(IF(BA$3&lt;$DF27,0,
IF(BA$3=$DF27+'Model Setup'!$B$7,SUMIF($AD$3:$BA$3,"="&amp;$DF27+'Model Setup'!$B$7,$B27:$Y27)+'Model Setup'!$B$8*(SUMIF($AD$3:$BA$3,"&lt;"&amp;$DF27,$B27:$Y27)+SUMIF($AD$3:$BA$3,"&gt;="&amp;$DG27,$B27:$Y27)),
IF(BA$3=$DF27+'Model Setup'!$C$7,SUMIF($AD$3:$BA$3,"="&amp;$DF27+'Model Setup'!$C$7,$B27:$Y27)+'Model Setup'!$C$8*(SUMIF($AD$3:$BA$3,"&lt;"&amp;$DF27,$B27:$Y27)+SUMIF($AD$3:$BA$3,"&gt;="&amp;$DG27,$B27:$Y27)),
IF(BA$3=$DF27+'Model Setup'!$D$7,SUMIF($AD$3:$BA$3,"="&amp;$DF27+'Model Setup'!$D$7,$B27:$Y27)+'Model Setup'!$D$8*(SUMIF($AD$3:$BA$3,"&lt;"&amp;$DF27,$B27:$Y27)+SUMIF($AD$3:$BA$3,"&gt;="&amp;$DG27,$B27:$Y27)),
IF(BA$3=$DF27+'Model Setup'!$E$7,SUMIF($AD$3:$BA$3,"="&amp;$DF27+'Model Setup'!$E$7,$B27:$Y27)+'Model Setup'!$E$8*(SUMIF($AD$3:$BA$3,"&lt;"&amp;$DF27,$B27:$Y27)+SUMIF($AD$3:$BA$3,"&gt;="&amp;$DG27,$B27:$Y27)),
IF(BA$3=$DF27+'Model Setup'!$F$7,SUMIF($AD$3:$BA$3,"="&amp;$DF27+'Model Setup'!$F$7,$B27:$Y27)+'Model Setup'!$F$8*(SUMIF($AD$3:$BA$3,"&lt;"&amp;$DF27,$B27:$Y27)+SUMIF($AD$3:$BA$3,"&gt;="&amp;$DG27,$B27:$Y27)),
IF(BA$3=$DF27+'Model Setup'!$G$7,SUMIF($AD$3:$BA$3,"="&amp;$DF27+'Model Setup'!$G$7,$B27:$Y27)+'Model Setup'!$G$8*(SUMIF($AD$3:$BA$3,"&lt;"&amp;$DF27,$B27:$Y27)+SUMIF($AD$3:$BA$3,"&gt;="&amp;$DG27,$B27:$Y27)),
IF(BA$3=$DF27+'Model Setup'!$H$7,SUMIF($AD$3:$BA$3,"="&amp;$DF27+'Model Setup'!$H$7,$B27:$Y27)+'Model Setup'!$H$8*(SUMIF($AD$3:$BA$3,"&lt;"&amp;$DF27,$B27:$Y27)+SUMIF($AD$3:$BA$3,"&gt;="&amp;$DG27,$B27:$Y27)),
IF(BA$3=$DF27+'Model Setup'!$I$7,SUMIF($AD$3:$BA$3,"="&amp;$DF27+'Model Setup'!$I$7,$B27:$Y27)+'Model Setup'!$I$8*(SUMIF($AD$3:$BA$3,"&lt;"&amp;$DF27,$B27:$Y27)+SUMIF($AD$3:$BA$3,"&gt;="&amp;$DG27,$B27:$Y27)),
IF(BA$3=$DF27+'Model Setup'!$J$7,SUMIF($AD$3:$BA$3,"="&amp;$DF27+'Model Setup'!$J$7,$B27:$Y27)+'Model Setup'!$J$8*(SUMIF($AD$3:$BA$3,"&lt;"&amp;$DF27,$B27:$Y27)+SUMIF($AD$3:$BA$3,"&gt;="&amp;$DG27,$B27:$Y27)),
IF(BA$3=$DF27+'Model Setup'!$K$7,SUMIF($AD$3:$BA$3,"="&amp;$DF27+'Model Setup'!$K$7,$B27:$Y27)+'Model Setup'!$K$8*(SUMIF($AD$3:$BA$3,"&lt;"&amp;$DF27,$B27:$Y27)+SUMIF($AD$3:$BA$3,"&gt;="&amp;$DG27,$B27:$Y27)),
IF(BA$3=$DF27+'Model Setup'!$L$7,SUMIF($AD$3:$BA$3,"="&amp;$DF27+'Model Setup'!$L$7,$B27:$Y27)+'Model Setup'!$L$8*(SUMIF($AD$3:$BA$3,"&lt;"&amp;$DF27,$B27:$Y27)+SUMIF($AD$3:$BA$3,"&gt;="&amp;$DG27,$B27:$Y27)),
IF(BA$3=$DF27+'Model Setup'!$M$7,SUMIF($AD$3:$BA$3,"="&amp;$DF27+'Model Setup'!$M$7,$B27:$Y27)+'Model Setup'!$M$8*(SUMIF($AD$3:$BA$3,"&lt;"&amp;$DF27,$B27:$Y27)+SUMIF($AD$3:$BA$3,"&gt;="&amp;$DG27,$B27:$Y27)),
IF(BA$3=$DF27+'Model Setup'!$N$7,SUMIF($AD$3:$BA$3,"="&amp;$DF27+'Model Setup'!$N$7,$B27:$Y27)+'Model Setup'!$N$8*(SUMIF($AD$3:$BA$3,"&lt;"&amp;$DF27,$B27:$Y27)+SUMIF($AD$3:$BA$3,"&gt;="&amp;$DG27,$B27:$Y27)),
IF(BA$3&lt;$DG27,Y27,0))))))))))))))),0)</f>
        <v>0</v>
      </c>
      <c r="BB27" s="47">
        <f t="shared" si="1"/>
        <v>722</v>
      </c>
      <c r="BD27" t="b">
        <f t="shared" si="2"/>
        <v>0</v>
      </c>
      <c r="BE27">
        <f t="shared" si="8"/>
        <v>7</v>
      </c>
      <c r="BF27">
        <f>(FTC!F25-FTC!E25)*24</f>
        <v>12</v>
      </c>
      <c r="BG27" s="43" t="s">
        <v>42</v>
      </c>
      <c r="BH27" s="47">
        <f>ROUND(IF(OR(BH$3&lt;$DF27,BH$3&gt;$CW$4),0,
IF(BH$3=$DF27+'Model Setup'!$B$7,SUMIF($BH$3:$CE$3,"="&amp;$DF27+'Model Setup'!$B$7,$AD27:$BA27)+'Model Setup'!$B$8*(SUMIF($BH$3:$CE$3,"&lt;"&amp;$DF27,$AD27:$BA27)+SUMIF($BH$3:$CE$3,"&gt;"&amp;$CW$4,$AD27:$BA27)),
IF(BH$3=$DF27+'Model Setup'!$C$7,SUMIF($BH$3:$CE$3,"="&amp;$DF27+'Model Setup'!$C$7,$AD27:$BA27)+'Model Setup'!$C$8*(SUMIF($BH$3:$CE$3,"&lt;"&amp;$DF27,$AD27:$BA27)+SUMIF($BH$3:$CE$3,"&gt;"&amp;$CW$4,$AD27:$BA27)),
IF(BH$3=$DF27+'Model Setup'!$D$7,SUMIF($BH$3:$CE$3,"="&amp;$DF27+'Model Setup'!$D$7,$AD27:$BA27)+'Model Setup'!$D$8*(SUMIF($BH$3:$CE$3,"&lt;"&amp;$DF27,$AD27:$BA27)+SUMIF($BH$3:$CE$3,"&gt;"&amp;$CW$4,$AD27:$BA27)),
IF(BH$3=$DF27+'Model Setup'!$E$7,SUMIF($BH$3:$CE$3,"="&amp;$DF27+'Model Setup'!$E$7,$AD27:$BA27)+'Model Setup'!$E$8*(SUMIF($BH$3:$CE$3,"&lt;"&amp;$DF27,$AD27:$BA27)+SUMIF($BH$3:$CE$3,"&gt;"&amp;$CW$4,$AD27:$BA27)),
IF(BH$3=$DF27+'Model Setup'!$F$7,SUMIF($BH$3:$CE$3,"="&amp;$DF27+'Model Setup'!$F$7,$AD27:$BA27)+'Model Setup'!$F$8*(SUMIF($BH$3:$CE$3,"&lt;"&amp;$DF27,$AD27:$BA27)+SUMIF($BH$3:$CE$3,"&gt;"&amp;$CW$4,$AD27:$BA27)),
IF(BH$3=$DF27+'Model Setup'!$G$7,SUMIF($BH$3:$CE$3,"="&amp;$DF27+'Model Setup'!$G$7,$AD27:$BA27)+'Model Setup'!$G$8*(SUMIF($BH$3:$CE$3,"&lt;"&amp;$DF27,$AD27:$BA27)+SUMIF($BH$3:$CE$3,"&gt;"&amp;$CW$4,$AD27:$BA27)),
IF(BH$3=$DF27+'Model Setup'!$H$7,SUMIF($BH$3:$CE$3,"="&amp;$DF27+'Model Setup'!$H$7,$AD27:$BA27)+'Model Setup'!$H$8*(SUMIF($BH$3:$CE$3,"&lt;"&amp;$DF27,$AD27:$BA27)+SUMIF($BH$3:$CE$3,"&gt;"&amp;$CW$4,$AD27:$BA27)),
IF(BH$3=$DF27+'Model Setup'!$I$7,SUMIF($BH$3:$CE$3,"="&amp;$DF27+'Model Setup'!$I$7,$AD27:$BA27)+'Model Setup'!$I$8*(SUMIF($BH$3:$CE$3,"&lt;"&amp;$DF27,$AD27:$BA27)+SUMIF($BH$3:$CE$3,"&gt;"&amp;$CW$4,$AD27:$BA27)),
IF(BH$3=$DF27+'Model Setup'!$J$7,SUMIF($BH$3:$CE$3,"="&amp;$DF27+'Model Setup'!$J$7,$AD27:$BA27)+'Model Setup'!$J$8*(SUMIF($BH$3:$CE$3,"&lt;"&amp;$DF27,$AD27:$BA27)+SUMIF($BH$3:$CE$3,"&gt;"&amp;$CW$4,$AD27:$BA27)),
IF(BH$3=$DF27+'Model Setup'!$K$7,SUMIF($BH$3:$CE$3,"="&amp;$DF27+'Model Setup'!$K$7,$AD27:$BA27)+'Model Setup'!$K$8*(SUMIF($BH$3:$CE$3,"&lt;"&amp;$DF27,$AD27:$BA27)+SUMIF($BH$3:$CE$3,"&gt;"&amp;$CW$4,$AD27:$BA27)),
IF(BH$3=$DF27+'Model Setup'!$L$7,SUMIF($BH$3:$CE$3,"="&amp;$DF27+'Model Setup'!$L$7,$AD27:$BA27)+'Model Setup'!$L$8*(SUMIF($BH$3:$CE$3,"&lt;"&amp;$DF27,$AD27:$BA27)+SUMIF($BH$3:$CE$3,"&gt;"&amp;$CW$4,$AD27:$BA27)),
IF(BH$3=$DF27+'Model Setup'!$M$7,SUMIF($BH$3:$CE$3,"="&amp;$DF27+'Model Setup'!$M$7,$AD27:$BA27)+'Model Setup'!$M$8*(SUMIF($BH$3:$CE$3,"&lt;"&amp;$DF27,$AD27:$BA27)+SUMIF($BH$3:$CE$3,"&gt;"&amp;$CW$4,$AD27:$BA27)),
IF(BH$3=$DF27+'Model Setup'!$N$7,SUMIF($BH$3:$CE$3,"="&amp;$DF27+'Model Setup'!$N$7,$AD27:$BA27)+'Model Setup'!$N$8*(SUMIF($BH$3:$CE$3,"&lt;"&amp;$DF27,$AD27:$BA27)+SUMIF($BH$3:$CE$3,"&gt;"&amp;$CW$4,$AD27:$BA27)),
IF(BH$3&lt;$CW$4,B27,0))))))))))))))),0)</f>
        <v>0</v>
      </c>
      <c r="BI27" s="47">
        <f>ROUND(IF(OR(BI$3&lt;$DF27,BI$3&gt;$CW$4),0,
IF(BI$3=$DF27+'Model Setup'!$B$7,SUMIF($BH$3:$CE$3,"="&amp;$DF27+'Model Setup'!$B$7,$AD27:$BA27)+'Model Setup'!$B$8*(SUMIF($BH$3:$CE$3,"&lt;"&amp;$DF27,$AD27:$BA27)+SUMIF($BH$3:$CE$3,"&gt;"&amp;$CW$4,$AD27:$BA27)),
IF(BI$3=$DF27+'Model Setup'!$C$7,SUMIF($BH$3:$CE$3,"="&amp;$DF27+'Model Setup'!$C$7,$AD27:$BA27)+'Model Setup'!$C$8*(SUMIF($BH$3:$CE$3,"&lt;"&amp;$DF27,$AD27:$BA27)+SUMIF($BH$3:$CE$3,"&gt;"&amp;$CW$4,$AD27:$BA27)),
IF(BI$3=$DF27+'Model Setup'!$D$7,SUMIF($BH$3:$CE$3,"="&amp;$DF27+'Model Setup'!$D$7,$AD27:$BA27)+'Model Setup'!$D$8*(SUMIF($BH$3:$CE$3,"&lt;"&amp;$DF27,$AD27:$BA27)+SUMIF($BH$3:$CE$3,"&gt;"&amp;$CW$4,$AD27:$BA27)),
IF(BI$3=$DF27+'Model Setup'!$E$7,SUMIF($BH$3:$CE$3,"="&amp;$DF27+'Model Setup'!$E$7,$AD27:$BA27)+'Model Setup'!$E$8*(SUMIF($BH$3:$CE$3,"&lt;"&amp;$DF27,$AD27:$BA27)+SUMIF($BH$3:$CE$3,"&gt;"&amp;$CW$4,$AD27:$BA27)),
IF(BI$3=$DF27+'Model Setup'!$F$7,SUMIF($BH$3:$CE$3,"="&amp;$DF27+'Model Setup'!$F$7,$AD27:$BA27)+'Model Setup'!$F$8*(SUMIF($BH$3:$CE$3,"&lt;"&amp;$DF27,$AD27:$BA27)+SUMIF($BH$3:$CE$3,"&gt;"&amp;$CW$4,$AD27:$BA27)),
IF(BI$3=$DF27+'Model Setup'!$G$7,SUMIF($BH$3:$CE$3,"="&amp;$DF27+'Model Setup'!$G$7,$AD27:$BA27)+'Model Setup'!$G$8*(SUMIF($BH$3:$CE$3,"&lt;"&amp;$DF27,$AD27:$BA27)+SUMIF($BH$3:$CE$3,"&gt;"&amp;$CW$4,$AD27:$BA27)),
IF(BI$3=$DF27+'Model Setup'!$H$7,SUMIF($BH$3:$CE$3,"="&amp;$DF27+'Model Setup'!$H$7,$AD27:$BA27)+'Model Setup'!$H$8*(SUMIF($BH$3:$CE$3,"&lt;"&amp;$DF27,$AD27:$BA27)+SUMIF($BH$3:$CE$3,"&gt;"&amp;$CW$4,$AD27:$BA27)),
IF(BI$3=$DF27+'Model Setup'!$I$7,SUMIF($BH$3:$CE$3,"="&amp;$DF27+'Model Setup'!$I$7,$AD27:$BA27)+'Model Setup'!$I$8*(SUMIF($BH$3:$CE$3,"&lt;"&amp;$DF27,$AD27:$BA27)+SUMIF($BH$3:$CE$3,"&gt;"&amp;$CW$4,$AD27:$BA27)),
IF(BI$3=$DF27+'Model Setup'!$J$7,SUMIF($BH$3:$CE$3,"="&amp;$DF27+'Model Setup'!$J$7,$AD27:$BA27)+'Model Setup'!$J$8*(SUMIF($BH$3:$CE$3,"&lt;"&amp;$DF27,$AD27:$BA27)+SUMIF($BH$3:$CE$3,"&gt;"&amp;$CW$4,$AD27:$BA27)),
IF(BI$3=$DF27+'Model Setup'!$K$7,SUMIF($BH$3:$CE$3,"="&amp;$DF27+'Model Setup'!$K$7,$AD27:$BA27)+'Model Setup'!$K$8*(SUMIF($BH$3:$CE$3,"&lt;"&amp;$DF27,$AD27:$BA27)+SUMIF($BH$3:$CE$3,"&gt;"&amp;$CW$4,$AD27:$BA27)),
IF(BI$3=$DF27+'Model Setup'!$L$7,SUMIF($BH$3:$CE$3,"="&amp;$DF27+'Model Setup'!$L$7,$AD27:$BA27)+'Model Setup'!$L$8*(SUMIF($BH$3:$CE$3,"&lt;"&amp;$DF27,$AD27:$BA27)+SUMIF($BH$3:$CE$3,"&gt;"&amp;$CW$4,$AD27:$BA27)),
IF(BI$3=$DF27+'Model Setup'!$M$7,SUMIF($BH$3:$CE$3,"="&amp;$DF27+'Model Setup'!$M$7,$AD27:$BA27)+'Model Setup'!$M$8*(SUMIF($BH$3:$CE$3,"&lt;"&amp;$DF27,$AD27:$BA27)+SUMIF($BH$3:$CE$3,"&gt;"&amp;$CW$4,$AD27:$BA27)),
IF(BI$3=$DF27+'Model Setup'!$N$7,SUMIF($BH$3:$CE$3,"="&amp;$DF27+'Model Setup'!$N$7,$AD27:$BA27)+'Model Setup'!$N$8*(SUMIF($BH$3:$CE$3,"&lt;"&amp;$DF27,$AD27:$BA27)+SUMIF($BH$3:$CE$3,"&gt;"&amp;$CW$4,$AD27:$BA27)),
IF(BI$3&lt;$CW$4,C27,0))))))))))))))),0)</f>
        <v>0</v>
      </c>
      <c r="BJ27" s="47">
        <f>ROUND(IF(OR(BJ$3&lt;$DF27,BJ$3&gt;$CW$4),0,
IF(BJ$3=$DF27+'Model Setup'!$B$7,SUMIF($BH$3:$CE$3,"="&amp;$DF27+'Model Setup'!$B$7,$AD27:$BA27)+'Model Setup'!$B$8*(SUMIF($BH$3:$CE$3,"&lt;"&amp;$DF27,$AD27:$BA27)+SUMIF($BH$3:$CE$3,"&gt;"&amp;$CW$4,$AD27:$BA27)),
IF(BJ$3=$DF27+'Model Setup'!$C$7,SUMIF($BH$3:$CE$3,"="&amp;$DF27+'Model Setup'!$C$7,$AD27:$BA27)+'Model Setup'!$C$8*(SUMIF($BH$3:$CE$3,"&lt;"&amp;$DF27,$AD27:$BA27)+SUMIF($BH$3:$CE$3,"&gt;"&amp;$CW$4,$AD27:$BA27)),
IF(BJ$3=$DF27+'Model Setup'!$D$7,SUMIF($BH$3:$CE$3,"="&amp;$DF27+'Model Setup'!$D$7,$AD27:$BA27)+'Model Setup'!$D$8*(SUMIF($BH$3:$CE$3,"&lt;"&amp;$DF27,$AD27:$BA27)+SUMIF($BH$3:$CE$3,"&gt;"&amp;$CW$4,$AD27:$BA27)),
IF(BJ$3=$DF27+'Model Setup'!$E$7,SUMIF($BH$3:$CE$3,"="&amp;$DF27+'Model Setup'!$E$7,$AD27:$BA27)+'Model Setup'!$E$8*(SUMIF($BH$3:$CE$3,"&lt;"&amp;$DF27,$AD27:$BA27)+SUMIF($BH$3:$CE$3,"&gt;"&amp;$CW$4,$AD27:$BA27)),
IF(BJ$3=$DF27+'Model Setup'!$F$7,SUMIF($BH$3:$CE$3,"="&amp;$DF27+'Model Setup'!$F$7,$AD27:$BA27)+'Model Setup'!$F$8*(SUMIF($BH$3:$CE$3,"&lt;"&amp;$DF27,$AD27:$BA27)+SUMIF($BH$3:$CE$3,"&gt;"&amp;$CW$4,$AD27:$BA27)),
IF(BJ$3=$DF27+'Model Setup'!$G$7,SUMIF($BH$3:$CE$3,"="&amp;$DF27+'Model Setup'!$G$7,$AD27:$BA27)+'Model Setup'!$G$8*(SUMIF($BH$3:$CE$3,"&lt;"&amp;$DF27,$AD27:$BA27)+SUMIF($BH$3:$CE$3,"&gt;"&amp;$CW$4,$AD27:$BA27)),
IF(BJ$3=$DF27+'Model Setup'!$H$7,SUMIF($BH$3:$CE$3,"="&amp;$DF27+'Model Setup'!$H$7,$AD27:$BA27)+'Model Setup'!$H$8*(SUMIF($BH$3:$CE$3,"&lt;"&amp;$DF27,$AD27:$BA27)+SUMIF($BH$3:$CE$3,"&gt;"&amp;$CW$4,$AD27:$BA27)),
IF(BJ$3=$DF27+'Model Setup'!$I$7,SUMIF($BH$3:$CE$3,"="&amp;$DF27+'Model Setup'!$I$7,$AD27:$BA27)+'Model Setup'!$I$8*(SUMIF($BH$3:$CE$3,"&lt;"&amp;$DF27,$AD27:$BA27)+SUMIF($BH$3:$CE$3,"&gt;"&amp;$CW$4,$AD27:$BA27)),
IF(BJ$3=$DF27+'Model Setup'!$J$7,SUMIF($BH$3:$CE$3,"="&amp;$DF27+'Model Setup'!$J$7,$AD27:$BA27)+'Model Setup'!$J$8*(SUMIF($BH$3:$CE$3,"&lt;"&amp;$DF27,$AD27:$BA27)+SUMIF($BH$3:$CE$3,"&gt;"&amp;$CW$4,$AD27:$BA27)),
IF(BJ$3=$DF27+'Model Setup'!$K$7,SUMIF($BH$3:$CE$3,"="&amp;$DF27+'Model Setup'!$K$7,$AD27:$BA27)+'Model Setup'!$K$8*(SUMIF($BH$3:$CE$3,"&lt;"&amp;$DF27,$AD27:$BA27)+SUMIF($BH$3:$CE$3,"&gt;"&amp;$CW$4,$AD27:$BA27)),
IF(BJ$3=$DF27+'Model Setup'!$L$7,SUMIF($BH$3:$CE$3,"="&amp;$DF27+'Model Setup'!$L$7,$AD27:$BA27)+'Model Setup'!$L$8*(SUMIF($BH$3:$CE$3,"&lt;"&amp;$DF27,$AD27:$BA27)+SUMIF($BH$3:$CE$3,"&gt;"&amp;$CW$4,$AD27:$BA27)),
IF(BJ$3=$DF27+'Model Setup'!$M$7,SUMIF($BH$3:$CE$3,"="&amp;$DF27+'Model Setup'!$M$7,$AD27:$BA27)+'Model Setup'!$M$8*(SUMIF($BH$3:$CE$3,"&lt;"&amp;$DF27,$AD27:$BA27)+SUMIF($BH$3:$CE$3,"&gt;"&amp;$CW$4,$AD27:$BA27)),
IF(BJ$3=$DF27+'Model Setup'!$N$7,SUMIF($BH$3:$CE$3,"="&amp;$DF27+'Model Setup'!$N$7,$AD27:$BA27)+'Model Setup'!$N$8*(SUMIF($BH$3:$CE$3,"&lt;"&amp;$DF27,$AD27:$BA27)+SUMIF($BH$3:$CE$3,"&gt;"&amp;$CW$4,$AD27:$BA27)),
IF(BJ$3&lt;$CW$4,D27,0))))))))))))))),0)</f>
        <v>0</v>
      </c>
      <c r="BK27" s="47">
        <f>ROUND(IF(OR(BK$3&lt;$DF27,BK$3&gt;$CW$4),0,
IF(BK$3=$DF27+'Model Setup'!$B$7,SUMIF($BH$3:$CE$3,"="&amp;$DF27+'Model Setup'!$B$7,$AD27:$BA27)+'Model Setup'!$B$8*(SUMIF($BH$3:$CE$3,"&lt;"&amp;$DF27,$AD27:$BA27)+SUMIF($BH$3:$CE$3,"&gt;"&amp;$CW$4,$AD27:$BA27)),
IF(BK$3=$DF27+'Model Setup'!$C$7,SUMIF($BH$3:$CE$3,"="&amp;$DF27+'Model Setup'!$C$7,$AD27:$BA27)+'Model Setup'!$C$8*(SUMIF($BH$3:$CE$3,"&lt;"&amp;$DF27,$AD27:$BA27)+SUMIF($BH$3:$CE$3,"&gt;"&amp;$CW$4,$AD27:$BA27)),
IF(BK$3=$DF27+'Model Setup'!$D$7,SUMIF($BH$3:$CE$3,"="&amp;$DF27+'Model Setup'!$D$7,$AD27:$BA27)+'Model Setup'!$D$8*(SUMIF($BH$3:$CE$3,"&lt;"&amp;$DF27,$AD27:$BA27)+SUMIF($BH$3:$CE$3,"&gt;"&amp;$CW$4,$AD27:$BA27)),
IF(BK$3=$DF27+'Model Setup'!$E$7,SUMIF($BH$3:$CE$3,"="&amp;$DF27+'Model Setup'!$E$7,$AD27:$BA27)+'Model Setup'!$E$8*(SUMIF($BH$3:$CE$3,"&lt;"&amp;$DF27,$AD27:$BA27)+SUMIF($BH$3:$CE$3,"&gt;"&amp;$CW$4,$AD27:$BA27)),
IF(BK$3=$DF27+'Model Setup'!$F$7,SUMIF($BH$3:$CE$3,"="&amp;$DF27+'Model Setup'!$F$7,$AD27:$BA27)+'Model Setup'!$F$8*(SUMIF($BH$3:$CE$3,"&lt;"&amp;$DF27,$AD27:$BA27)+SUMIF($BH$3:$CE$3,"&gt;"&amp;$CW$4,$AD27:$BA27)),
IF(BK$3=$DF27+'Model Setup'!$G$7,SUMIF($BH$3:$CE$3,"="&amp;$DF27+'Model Setup'!$G$7,$AD27:$BA27)+'Model Setup'!$G$8*(SUMIF($BH$3:$CE$3,"&lt;"&amp;$DF27,$AD27:$BA27)+SUMIF($BH$3:$CE$3,"&gt;"&amp;$CW$4,$AD27:$BA27)),
IF(BK$3=$DF27+'Model Setup'!$H$7,SUMIF($BH$3:$CE$3,"="&amp;$DF27+'Model Setup'!$H$7,$AD27:$BA27)+'Model Setup'!$H$8*(SUMIF($BH$3:$CE$3,"&lt;"&amp;$DF27,$AD27:$BA27)+SUMIF($BH$3:$CE$3,"&gt;"&amp;$CW$4,$AD27:$BA27)),
IF(BK$3=$DF27+'Model Setup'!$I$7,SUMIF($BH$3:$CE$3,"="&amp;$DF27+'Model Setup'!$I$7,$AD27:$BA27)+'Model Setup'!$I$8*(SUMIF($BH$3:$CE$3,"&lt;"&amp;$DF27,$AD27:$BA27)+SUMIF($BH$3:$CE$3,"&gt;"&amp;$CW$4,$AD27:$BA27)),
IF(BK$3=$DF27+'Model Setup'!$J$7,SUMIF($BH$3:$CE$3,"="&amp;$DF27+'Model Setup'!$J$7,$AD27:$BA27)+'Model Setup'!$J$8*(SUMIF($BH$3:$CE$3,"&lt;"&amp;$DF27,$AD27:$BA27)+SUMIF($BH$3:$CE$3,"&gt;"&amp;$CW$4,$AD27:$BA27)),
IF(BK$3=$DF27+'Model Setup'!$K$7,SUMIF($BH$3:$CE$3,"="&amp;$DF27+'Model Setup'!$K$7,$AD27:$BA27)+'Model Setup'!$K$8*(SUMIF($BH$3:$CE$3,"&lt;"&amp;$DF27,$AD27:$BA27)+SUMIF($BH$3:$CE$3,"&gt;"&amp;$CW$4,$AD27:$BA27)),
IF(BK$3=$DF27+'Model Setup'!$L$7,SUMIF($BH$3:$CE$3,"="&amp;$DF27+'Model Setup'!$L$7,$AD27:$BA27)+'Model Setup'!$L$8*(SUMIF($BH$3:$CE$3,"&lt;"&amp;$DF27,$AD27:$BA27)+SUMIF($BH$3:$CE$3,"&gt;"&amp;$CW$4,$AD27:$BA27)),
IF(BK$3=$DF27+'Model Setup'!$M$7,SUMIF($BH$3:$CE$3,"="&amp;$DF27+'Model Setup'!$M$7,$AD27:$BA27)+'Model Setup'!$M$8*(SUMIF($BH$3:$CE$3,"&lt;"&amp;$DF27,$AD27:$BA27)+SUMIF($BH$3:$CE$3,"&gt;"&amp;$CW$4,$AD27:$BA27)),
IF(BK$3=$DF27+'Model Setup'!$N$7,SUMIF($BH$3:$CE$3,"="&amp;$DF27+'Model Setup'!$N$7,$AD27:$BA27)+'Model Setup'!$N$8*(SUMIF($BH$3:$CE$3,"&lt;"&amp;$DF27,$AD27:$BA27)+SUMIF($BH$3:$CE$3,"&gt;"&amp;$CW$4,$AD27:$BA27)),
IF(BK$3&lt;$CW$4,E27,0))))))))))))))),0)</f>
        <v>0</v>
      </c>
      <c r="BL27" s="47">
        <f>ROUND(IF(OR(BL$3&lt;$DF27,BL$3&gt;$CW$4),0,
IF(BL$3=$DF27+'Model Setup'!$B$7,SUMIF($BH$3:$CE$3,"="&amp;$DF27+'Model Setup'!$B$7,$AD27:$BA27)+'Model Setup'!$B$8*(SUMIF($BH$3:$CE$3,"&lt;"&amp;$DF27,$AD27:$BA27)+SUMIF($BH$3:$CE$3,"&gt;"&amp;$CW$4,$AD27:$BA27)),
IF(BL$3=$DF27+'Model Setup'!$C$7,SUMIF($BH$3:$CE$3,"="&amp;$DF27+'Model Setup'!$C$7,$AD27:$BA27)+'Model Setup'!$C$8*(SUMIF($BH$3:$CE$3,"&lt;"&amp;$DF27,$AD27:$BA27)+SUMIF($BH$3:$CE$3,"&gt;"&amp;$CW$4,$AD27:$BA27)),
IF(BL$3=$DF27+'Model Setup'!$D$7,SUMIF($BH$3:$CE$3,"="&amp;$DF27+'Model Setup'!$D$7,$AD27:$BA27)+'Model Setup'!$D$8*(SUMIF($BH$3:$CE$3,"&lt;"&amp;$DF27,$AD27:$BA27)+SUMIF($BH$3:$CE$3,"&gt;"&amp;$CW$4,$AD27:$BA27)),
IF(BL$3=$DF27+'Model Setup'!$E$7,SUMIF($BH$3:$CE$3,"="&amp;$DF27+'Model Setup'!$E$7,$AD27:$BA27)+'Model Setup'!$E$8*(SUMIF($BH$3:$CE$3,"&lt;"&amp;$DF27,$AD27:$BA27)+SUMIF($BH$3:$CE$3,"&gt;"&amp;$CW$4,$AD27:$BA27)),
IF(BL$3=$DF27+'Model Setup'!$F$7,SUMIF($BH$3:$CE$3,"="&amp;$DF27+'Model Setup'!$F$7,$AD27:$BA27)+'Model Setup'!$F$8*(SUMIF($BH$3:$CE$3,"&lt;"&amp;$DF27,$AD27:$BA27)+SUMIF($BH$3:$CE$3,"&gt;"&amp;$CW$4,$AD27:$BA27)),
IF(BL$3=$DF27+'Model Setup'!$G$7,SUMIF($BH$3:$CE$3,"="&amp;$DF27+'Model Setup'!$G$7,$AD27:$BA27)+'Model Setup'!$G$8*(SUMIF($BH$3:$CE$3,"&lt;"&amp;$DF27,$AD27:$BA27)+SUMIF($BH$3:$CE$3,"&gt;"&amp;$CW$4,$AD27:$BA27)),
IF(BL$3=$DF27+'Model Setup'!$H$7,SUMIF($BH$3:$CE$3,"="&amp;$DF27+'Model Setup'!$H$7,$AD27:$BA27)+'Model Setup'!$H$8*(SUMIF($BH$3:$CE$3,"&lt;"&amp;$DF27,$AD27:$BA27)+SUMIF($BH$3:$CE$3,"&gt;"&amp;$CW$4,$AD27:$BA27)),
IF(BL$3=$DF27+'Model Setup'!$I$7,SUMIF($BH$3:$CE$3,"="&amp;$DF27+'Model Setup'!$I$7,$AD27:$BA27)+'Model Setup'!$I$8*(SUMIF($BH$3:$CE$3,"&lt;"&amp;$DF27,$AD27:$BA27)+SUMIF($BH$3:$CE$3,"&gt;"&amp;$CW$4,$AD27:$BA27)),
IF(BL$3=$DF27+'Model Setup'!$J$7,SUMIF($BH$3:$CE$3,"="&amp;$DF27+'Model Setup'!$J$7,$AD27:$BA27)+'Model Setup'!$J$8*(SUMIF($BH$3:$CE$3,"&lt;"&amp;$DF27,$AD27:$BA27)+SUMIF($BH$3:$CE$3,"&gt;"&amp;$CW$4,$AD27:$BA27)),
IF(BL$3=$DF27+'Model Setup'!$K$7,SUMIF($BH$3:$CE$3,"="&amp;$DF27+'Model Setup'!$K$7,$AD27:$BA27)+'Model Setup'!$K$8*(SUMIF($BH$3:$CE$3,"&lt;"&amp;$DF27,$AD27:$BA27)+SUMIF($BH$3:$CE$3,"&gt;"&amp;$CW$4,$AD27:$BA27)),
IF(BL$3=$DF27+'Model Setup'!$L$7,SUMIF($BH$3:$CE$3,"="&amp;$DF27+'Model Setup'!$L$7,$AD27:$BA27)+'Model Setup'!$L$8*(SUMIF($BH$3:$CE$3,"&lt;"&amp;$DF27,$AD27:$BA27)+SUMIF($BH$3:$CE$3,"&gt;"&amp;$CW$4,$AD27:$BA27)),
IF(BL$3=$DF27+'Model Setup'!$M$7,SUMIF($BH$3:$CE$3,"="&amp;$DF27+'Model Setup'!$M$7,$AD27:$BA27)+'Model Setup'!$M$8*(SUMIF($BH$3:$CE$3,"&lt;"&amp;$DF27,$AD27:$BA27)+SUMIF($BH$3:$CE$3,"&gt;"&amp;$CW$4,$AD27:$BA27)),
IF(BL$3=$DF27+'Model Setup'!$N$7,SUMIF($BH$3:$CE$3,"="&amp;$DF27+'Model Setup'!$N$7,$AD27:$BA27)+'Model Setup'!$N$8*(SUMIF($BH$3:$CE$3,"&lt;"&amp;$DF27,$AD27:$BA27)+SUMIF($BH$3:$CE$3,"&gt;"&amp;$CW$4,$AD27:$BA27)),
IF(BL$3&lt;$CW$4,F27,0))))))))))))))),0)</f>
        <v>0</v>
      </c>
      <c r="BM27" s="47">
        <f>ROUND(IF(OR(BM$3&lt;$DF27,BM$3&gt;$CW$4),0,
IF(BM$3=$DF27+'Model Setup'!$B$7,SUMIF($BH$3:$CE$3,"="&amp;$DF27+'Model Setup'!$B$7,$AD27:$BA27)+'Model Setup'!$B$8*(SUMIF($BH$3:$CE$3,"&lt;"&amp;$DF27,$AD27:$BA27)+SUMIF($BH$3:$CE$3,"&gt;"&amp;$CW$4,$AD27:$BA27)),
IF(BM$3=$DF27+'Model Setup'!$C$7,SUMIF($BH$3:$CE$3,"="&amp;$DF27+'Model Setup'!$C$7,$AD27:$BA27)+'Model Setup'!$C$8*(SUMIF($BH$3:$CE$3,"&lt;"&amp;$DF27,$AD27:$BA27)+SUMIF($BH$3:$CE$3,"&gt;"&amp;$CW$4,$AD27:$BA27)),
IF(BM$3=$DF27+'Model Setup'!$D$7,SUMIF($BH$3:$CE$3,"="&amp;$DF27+'Model Setup'!$D$7,$AD27:$BA27)+'Model Setup'!$D$8*(SUMIF($BH$3:$CE$3,"&lt;"&amp;$DF27,$AD27:$BA27)+SUMIF($BH$3:$CE$3,"&gt;"&amp;$CW$4,$AD27:$BA27)),
IF(BM$3=$DF27+'Model Setup'!$E$7,SUMIF($BH$3:$CE$3,"="&amp;$DF27+'Model Setup'!$E$7,$AD27:$BA27)+'Model Setup'!$E$8*(SUMIF($BH$3:$CE$3,"&lt;"&amp;$DF27,$AD27:$BA27)+SUMIF($BH$3:$CE$3,"&gt;"&amp;$CW$4,$AD27:$BA27)),
IF(BM$3=$DF27+'Model Setup'!$F$7,SUMIF($BH$3:$CE$3,"="&amp;$DF27+'Model Setup'!$F$7,$AD27:$BA27)+'Model Setup'!$F$8*(SUMIF($BH$3:$CE$3,"&lt;"&amp;$DF27,$AD27:$BA27)+SUMIF($BH$3:$CE$3,"&gt;"&amp;$CW$4,$AD27:$BA27)),
IF(BM$3=$DF27+'Model Setup'!$G$7,SUMIF($BH$3:$CE$3,"="&amp;$DF27+'Model Setup'!$G$7,$AD27:$BA27)+'Model Setup'!$G$8*(SUMIF($BH$3:$CE$3,"&lt;"&amp;$DF27,$AD27:$BA27)+SUMIF($BH$3:$CE$3,"&gt;"&amp;$CW$4,$AD27:$BA27)),
IF(BM$3=$DF27+'Model Setup'!$H$7,SUMIF($BH$3:$CE$3,"="&amp;$DF27+'Model Setup'!$H$7,$AD27:$BA27)+'Model Setup'!$H$8*(SUMIF($BH$3:$CE$3,"&lt;"&amp;$DF27,$AD27:$BA27)+SUMIF($BH$3:$CE$3,"&gt;"&amp;$CW$4,$AD27:$BA27)),
IF(BM$3=$DF27+'Model Setup'!$I$7,SUMIF($BH$3:$CE$3,"="&amp;$DF27+'Model Setup'!$I$7,$AD27:$BA27)+'Model Setup'!$I$8*(SUMIF($BH$3:$CE$3,"&lt;"&amp;$DF27,$AD27:$BA27)+SUMIF($BH$3:$CE$3,"&gt;"&amp;$CW$4,$AD27:$BA27)),
IF(BM$3=$DF27+'Model Setup'!$J$7,SUMIF($BH$3:$CE$3,"="&amp;$DF27+'Model Setup'!$J$7,$AD27:$BA27)+'Model Setup'!$J$8*(SUMIF($BH$3:$CE$3,"&lt;"&amp;$DF27,$AD27:$BA27)+SUMIF($BH$3:$CE$3,"&gt;"&amp;$CW$4,$AD27:$BA27)),
IF(BM$3=$DF27+'Model Setup'!$K$7,SUMIF($BH$3:$CE$3,"="&amp;$DF27+'Model Setup'!$K$7,$AD27:$BA27)+'Model Setup'!$K$8*(SUMIF($BH$3:$CE$3,"&lt;"&amp;$DF27,$AD27:$BA27)+SUMIF($BH$3:$CE$3,"&gt;"&amp;$CW$4,$AD27:$BA27)),
IF(BM$3=$DF27+'Model Setup'!$L$7,SUMIF($BH$3:$CE$3,"="&amp;$DF27+'Model Setup'!$L$7,$AD27:$BA27)+'Model Setup'!$L$8*(SUMIF($BH$3:$CE$3,"&lt;"&amp;$DF27,$AD27:$BA27)+SUMIF($BH$3:$CE$3,"&gt;"&amp;$CW$4,$AD27:$BA27)),
IF(BM$3=$DF27+'Model Setup'!$M$7,SUMIF($BH$3:$CE$3,"="&amp;$DF27+'Model Setup'!$M$7,$AD27:$BA27)+'Model Setup'!$M$8*(SUMIF($BH$3:$CE$3,"&lt;"&amp;$DF27,$AD27:$BA27)+SUMIF($BH$3:$CE$3,"&gt;"&amp;$CW$4,$AD27:$BA27)),
IF(BM$3=$DF27+'Model Setup'!$N$7,SUMIF($BH$3:$CE$3,"="&amp;$DF27+'Model Setup'!$N$7,$AD27:$BA27)+'Model Setup'!$N$8*(SUMIF($BH$3:$CE$3,"&lt;"&amp;$DF27,$AD27:$BA27)+SUMIF($BH$3:$CE$3,"&gt;"&amp;$CW$4,$AD27:$BA27)),
IF(BM$3&lt;$CW$4,G27,0))))))))))))))),0)</f>
        <v>0</v>
      </c>
      <c r="BN27" s="47">
        <f>ROUND(IF(OR(BN$3&lt;$DF27,BN$3&gt;$CW$4),0,
IF(BN$3=$DF27+'Model Setup'!$B$7,SUMIF($BH$3:$CE$3,"="&amp;$DF27+'Model Setup'!$B$7,$AD27:$BA27)+'Model Setup'!$B$8*(SUMIF($BH$3:$CE$3,"&lt;"&amp;$DF27,$AD27:$BA27)+SUMIF($BH$3:$CE$3,"&gt;"&amp;$CW$4,$AD27:$BA27)),
IF(BN$3=$DF27+'Model Setup'!$C$7,SUMIF($BH$3:$CE$3,"="&amp;$DF27+'Model Setup'!$C$7,$AD27:$BA27)+'Model Setup'!$C$8*(SUMIF($BH$3:$CE$3,"&lt;"&amp;$DF27,$AD27:$BA27)+SUMIF($BH$3:$CE$3,"&gt;"&amp;$CW$4,$AD27:$BA27)),
IF(BN$3=$DF27+'Model Setup'!$D$7,SUMIF($BH$3:$CE$3,"="&amp;$DF27+'Model Setup'!$D$7,$AD27:$BA27)+'Model Setup'!$D$8*(SUMIF($BH$3:$CE$3,"&lt;"&amp;$DF27,$AD27:$BA27)+SUMIF($BH$3:$CE$3,"&gt;"&amp;$CW$4,$AD27:$BA27)),
IF(BN$3=$DF27+'Model Setup'!$E$7,SUMIF($BH$3:$CE$3,"="&amp;$DF27+'Model Setup'!$E$7,$AD27:$BA27)+'Model Setup'!$E$8*(SUMIF($BH$3:$CE$3,"&lt;"&amp;$DF27,$AD27:$BA27)+SUMIF($BH$3:$CE$3,"&gt;"&amp;$CW$4,$AD27:$BA27)),
IF(BN$3=$DF27+'Model Setup'!$F$7,SUMIF($BH$3:$CE$3,"="&amp;$DF27+'Model Setup'!$F$7,$AD27:$BA27)+'Model Setup'!$F$8*(SUMIF($BH$3:$CE$3,"&lt;"&amp;$DF27,$AD27:$BA27)+SUMIF($BH$3:$CE$3,"&gt;"&amp;$CW$4,$AD27:$BA27)),
IF(BN$3=$DF27+'Model Setup'!$G$7,SUMIF($BH$3:$CE$3,"="&amp;$DF27+'Model Setup'!$G$7,$AD27:$BA27)+'Model Setup'!$G$8*(SUMIF($BH$3:$CE$3,"&lt;"&amp;$DF27,$AD27:$BA27)+SUMIF($BH$3:$CE$3,"&gt;"&amp;$CW$4,$AD27:$BA27)),
IF(BN$3=$DF27+'Model Setup'!$H$7,SUMIF($BH$3:$CE$3,"="&amp;$DF27+'Model Setup'!$H$7,$AD27:$BA27)+'Model Setup'!$H$8*(SUMIF($BH$3:$CE$3,"&lt;"&amp;$DF27,$AD27:$BA27)+SUMIF($BH$3:$CE$3,"&gt;"&amp;$CW$4,$AD27:$BA27)),
IF(BN$3=$DF27+'Model Setup'!$I$7,SUMIF($BH$3:$CE$3,"="&amp;$DF27+'Model Setup'!$I$7,$AD27:$BA27)+'Model Setup'!$I$8*(SUMIF($BH$3:$CE$3,"&lt;"&amp;$DF27,$AD27:$BA27)+SUMIF($BH$3:$CE$3,"&gt;"&amp;$CW$4,$AD27:$BA27)),
IF(BN$3=$DF27+'Model Setup'!$J$7,SUMIF($BH$3:$CE$3,"="&amp;$DF27+'Model Setup'!$J$7,$AD27:$BA27)+'Model Setup'!$J$8*(SUMIF($BH$3:$CE$3,"&lt;"&amp;$DF27,$AD27:$BA27)+SUMIF($BH$3:$CE$3,"&gt;"&amp;$CW$4,$AD27:$BA27)),
IF(BN$3=$DF27+'Model Setup'!$K$7,SUMIF($BH$3:$CE$3,"="&amp;$DF27+'Model Setup'!$K$7,$AD27:$BA27)+'Model Setup'!$K$8*(SUMIF($BH$3:$CE$3,"&lt;"&amp;$DF27,$AD27:$BA27)+SUMIF($BH$3:$CE$3,"&gt;"&amp;$CW$4,$AD27:$BA27)),
IF(BN$3=$DF27+'Model Setup'!$L$7,SUMIF($BH$3:$CE$3,"="&amp;$DF27+'Model Setup'!$L$7,$AD27:$BA27)+'Model Setup'!$L$8*(SUMIF($BH$3:$CE$3,"&lt;"&amp;$DF27,$AD27:$BA27)+SUMIF($BH$3:$CE$3,"&gt;"&amp;$CW$4,$AD27:$BA27)),
IF(BN$3=$DF27+'Model Setup'!$M$7,SUMIF($BH$3:$CE$3,"="&amp;$DF27+'Model Setup'!$M$7,$AD27:$BA27)+'Model Setup'!$M$8*(SUMIF($BH$3:$CE$3,"&lt;"&amp;$DF27,$AD27:$BA27)+SUMIF($BH$3:$CE$3,"&gt;"&amp;$CW$4,$AD27:$BA27)),
IF(BN$3=$DF27+'Model Setup'!$N$7,SUMIF($BH$3:$CE$3,"="&amp;$DF27+'Model Setup'!$N$7,$AD27:$BA27)+'Model Setup'!$N$8*(SUMIF($BH$3:$CE$3,"&lt;"&amp;$DF27,$AD27:$BA27)+SUMIF($BH$3:$CE$3,"&gt;"&amp;$CW$4,$AD27:$BA27)),
IF(BN$3&lt;$CW$4,H27,0))))))))))))))),0)</f>
        <v>67</v>
      </c>
      <c r="BO27" s="47">
        <f>ROUND(IF(OR(BO$3&lt;$DF27,BO$3&gt;$CW$4),0,
IF(BO$3=$DF27+'Model Setup'!$B$7,SUMIF($BH$3:$CE$3,"="&amp;$DF27+'Model Setup'!$B$7,$AD27:$BA27)+'Model Setup'!$B$8*(SUMIF($BH$3:$CE$3,"&lt;"&amp;$DF27,$AD27:$BA27)+SUMIF($BH$3:$CE$3,"&gt;"&amp;$CW$4,$AD27:$BA27)),
IF(BO$3=$DF27+'Model Setup'!$C$7,SUMIF($BH$3:$CE$3,"="&amp;$DF27+'Model Setup'!$C$7,$AD27:$BA27)+'Model Setup'!$C$8*(SUMIF($BH$3:$CE$3,"&lt;"&amp;$DF27,$AD27:$BA27)+SUMIF($BH$3:$CE$3,"&gt;"&amp;$CW$4,$AD27:$BA27)),
IF(BO$3=$DF27+'Model Setup'!$D$7,SUMIF($BH$3:$CE$3,"="&amp;$DF27+'Model Setup'!$D$7,$AD27:$BA27)+'Model Setup'!$D$8*(SUMIF($BH$3:$CE$3,"&lt;"&amp;$DF27,$AD27:$BA27)+SUMIF($BH$3:$CE$3,"&gt;"&amp;$CW$4,$AD27:$BA27)),
IF(BO$3=$DF27+'Model Setup'!$E$7,SUMIF($BH$3:$CE$3,"="&amp;$DF27+'Model Setup'!$E$7,$AD27:$BA27)+'Model Setup'!$E$8*(SUMIF($BH$3:$CE$3,"&lt;"&amp;$DF27,$AD27:$BA27)+SUMIF($BH$3:$CE$3,"&gt;"&amp;$CW$4,$AD27:$BA27)),
IF(BO$3=$DF27+'Model Setup'!$F$7,SUMIF($BH$3:$CE$3,"="&amp;$DF27+'Model Setup'!$F$7,$AD27:$BA27)+'Model Setup'!$F$8*(SUMIF($BH$3:$CE$3,"&lt;"&amp;$DF27,$AD27:$BA27)+SUMIF($BH$3:$CE$3,"&gt;"&amp;$CW$4,$AD27:$BA27)),
IF(BO$3=$DF27+'Model Setup'!$G$7,SUMIF($BH$3:$CE$3,"="&amp;$DF27+'Model Setup'!$G$7,$AD27:$BA27)+'Model Setup'!$G$8*(SUMIF($BH$3:$CE$3,"&lt;"&amp;$DF27,$AD27:$BA27)+SUMIF($BH$3:$CE$3,"&gt;"&amp;$CW$4,$AD27:$BA27)),
IF(BO$3=$DF27+'Model Setup'!$H$7,SUMIF($BH$3:$CE$3,"="&amp;$DF27+'Model Setup'!$H$7,$AD27:$BA27)+'Model Setup'!$H$8*(SUMIF($BH$3:$CE$3,"&lt;"&amp;$DF27,$AD27:$BA27)+SUMIF($BH$3:$CE$3,"&gt;"&amp;$CW$4,$AD27:$BA27)),
IF(BO$3=$DF27+'Model Setup'!$I$7,SUMIF($BH$3:$CE$3,"="&amp;$DF27+'Model Setup'!$I$7,$AD27:$BA27)+'Model Setup'!$I$8*(SUMIF($BH$3:$CE$3,"&lt;"&amp;$DF27,$AD27:$BA27)+SUMIF($BH$3:$CE$3,"&gt;"&amp;$CW$4,$AD27:$BA27)),
IF(BO$3=$DF27+'Model Setup'!$J$7,SUMIF($BH$3:$CE$3,"="&amp;$DF27+'Model Setup'!$J$7,$AD27:$BA27)+'Model Setup'!$J$8*(SUMIF($BH$3:$CE$3,"&lt;"&amp;$DF27,$AD27:$BA27)+SUMIF($BH$3:$CE$3,"&gt;"&amp;$CW$4,$AD27:$BA27)),
IF(BO$3=$DF27+'Model Setup'!$K$7,SUMIF($BH$3:$CE$3,"="&amp;$DF27+'Model Setup'!$K$7,$AD27:$BA27)+'Model Setup'!$K$8*(SUMIF($BH$3:$CE$3,"&lt;"&amp;$DF27,$AD27:$BA27)+SUMIF($BH$3:$CE$3,"&gt;"&amp;$CW$4,$AD27:$BA27)),
IF(BO$3=$DF27+'Model Setup'!$L$7,SUMIF($BH$3:$CE$3,"="&amp;$DF27+'Model Setup'!$L$7,$AD27:$BA27)+'Model Setup'!$L$8*(SUMIF($BH$3:$CE$3,"&lt;"&amp;$DF27,$AD27:$BA27)+SUMIF($BH$3:$CE$3,"&gt;"&amp;$CW$4,$AD27:$BA27)),
IF(BO$3=$DF27+'Model Setup'!$M$7,SUMIF($BH$3:$CE$3,"="&amp;$DF27+'Model Setup'!$M$7,$AD27:$BA27)+'Model Setup'!$M$8*(SUMIF($BH$3:$CE$3,"&lt;"&amp;$DF27,$AD27:$BA27)+SUMIF($BH$3:$CE$3,"&gt;"&amp;$CW$4,$AD27:$BA27)),
IF(BO$3=$DF27+'Model Setup'!$N$7,SUMIF($BH$3:$CE$3,"="&amp;$DF27+'Model Setup'!$N$7,$AD27:$BA27)+'Model Setup'!$N$8*(SUMIF($BH$3:$CE$3,"&lt;"&amp;$DF27,$AD27:$BA27)+SUMIF($BH$3:$CE$3,"&gt;"&amp;$CW$4,$AD27:$BA27)),
IF(BO$3&lt;$CW$4,I27,0))))))))))))))),0)</f>
        <v>101</v>
      </c>
      <c r="BP27" s="47">
        <f>ROUND(IF(OR(BP$3&lt;$DF27,BP$3&gt;$CW$4),0,
IF(BP$3=$DF27+'Model Setup'!$B$7,SUMIF($BH$3:$CE$3,"="&amp;$DF27+'Model Setup'!$B$7,$AD27:$BA27)+'Model Setup'!$B$8*(SUMIF($BH$3:$CE$3,"&lt;"&amp;$DF27,$AD27:$BA27)+SUMIF($BH$3:$CE$3,"&gt;"&amp;$CW$4,$AD27:$BA27)),
IF(BP$3=$DF27+'Model Setup'!$C$7,SUMIF($BH$3:$CE$3,"="&amp;$DF27+'Model Setup'!$C$7,$AD27:$BA27)+'Model Setup'!$C$8*(SUMIF($BH$3:$CE$3,"&lt;"&amp;$DF27,$AD27:$BA27)+SUMIF($BH$3:$CE$3,"&gt;"&amp;$CW$4,$AD27:$BA27)),
IF(BP$3=$DF27+'Model Setup'!$D$7,SUMIF($BH$3:$CE$3,"="&amp;$DF27+'Model Setup'!$D$7,$AD27:$BA27)+'Model Setup'!$D$8*(SUMIF($BH$3:$CE$3,"&lt;"&amp;$DF27,$AD27:$BA27)+SUMIF($BH$3:$CE$3,"&gt;"&amp;$CW$4,$AD27:$BA27)),
IF(BP$3=$DF27+'Model Setup'!$E$7,SUMIF($BH$3:$CE$3,"="&amp;$DF27+'Model Setup'!$E$7,$AD27:$BA27)+'Model Setup'!$E$8*(SUMIF($BH$3:$CE$3,"&lt;"&amp;$DF27,$AD27:$BA27)+SUMIF($BH$3:$CE$3,"&gt;"&amp;$CW$4,$AD27:$BA27)),
IF(BP$3=$DF27+'Model Setup'!$F$7,SUMIF($BH$3:$CE$3,"="&amp;$DF27+'Model Setup'!$F$7,$AD27:$BA27)+'Model Setup'!$F$8*(SUMIF($BH$3:$CE$3,"&lt;"&amp;$DF27,$AD27:$BA27)+SUMIF($BH$3:$CE$3,"&gt;"&amp;$CW$4,$AD27:$BA27)),
IF(BP$3=$DF27+'Model Setup'!$G$7,SUMIF($BH$3:$CE$3,"="&amp;$DF27+'Model Setup'!$G$7,$AD27:$BA27)+'Model Setup'!$G$8*(SUMIF($BH$3:$CE$3,"&lt;"&amp;$DF27,$AD27:$BA27)+SUMIF($BH$3:$CE$3,"&gt;"&amp;$CW$4,$AD27:$BA27)),
IF(BP$3=$DF27+'Model Setup'!$H$7,SUMIF($BH$3:$CE$3,"="&amp;$DF27+'Model Setup'!$H$7,$AD27:$BA27)+'Model Setup'!$H$8*(SUMIF($BH$3:$CE$3,"&lt;"&amp;$DF27,$AD27:$BA27)+SUMIF($BH$3:$CE$3,"&gt;"&amp;$CW$4,$AD27:$BA27)),
IF(BP$3=$DF27+'Model Setup'!$I$7,SUMIF($BH$3:$CE$3,"="&amp;$DF27+'Model Setup'!$I$7,$AD27:$BA27)+'Model Setup'!$I$8*(SUMIF($BH$3:$CE$3,"&lt;"&amp;$DF27,$AD27:$BA27)+SUMIF($BH$3:$CE$3,"&gt;"&amp;$CW$4,$AD27:$BA27)),
IF(BP$3=$DF27+'Model Setup'!$J$7,SUMIF($BH$3:$CE$3,"="&amp;$DF27+'Model Setup'!$J$7,$AD27:$BA27)+'Model Setup'!$J$8*(SUMIF($BH$3:$CE$3,"&lt;"&amp;$DF27,$AD27:$BA27)+SUMIF($BH$3:$CE$3,"&gt;"&amp;$CW$4,$AD27:$BA27)),
IF(BP$3=$DF27+'Model Setup'!$K$7,SUMIF($BH$3:$CE$3,"="&amp;$DF27+'Model Setup'!$K$7,$AD27:$BA27)+'Model Setup'!$K$8*(SUMIF($BH$3:$CE$3,"&lt;"&amp;$DF27,$AD27:$BA27)+SUMIF($BH$3:$CE$3,"&gt;"&amp;$CW$4,$AD27:$BA27)),
IF(BP$3=$DF27+'Model Setup'!$L$7,SUMIF($BH$3:$CE$3,"="&amp;$DF27+'Model Setup'!$L$7,$AD27:$BA27)+'Model Setup'!$L$8*(SUMIF($BH$3:$CE$3,"&lt;"&amp;$DF27,$AD27:$BA27)+SUMIF($BH$3:$CE$3,"&gt;"&amp;$CW$4,$AD27:$BA27)),
IF(BP$3=$DF27+'Model Setup'!$M$7,SUMIF($BH$3:$CE$3,"="&amp;$DF27+'Model Setup'!$M$7,$AD27:$BA27)+'Model Setup'!$M$8*(SUMIF($BH$3:$CE$3,"&lt;"&amp;$DF27,$AD27:$BA27)+SUMIF($BH$3:$CE$3,"&gt;"&amp;$CW$4,$AD27:$BA27)),
IF(BP$3=$DF27+'Model Setup'!$N$7,SUMIF($BH$3:$CE$3,"="&amp;$DF27+'Model Setup'!$N$7,$AD27:$BA27)+'Model Setup'!$N$8*(SUMIF($BH$3:$CE$3,"&lt;"&amp;$DF27,$AD27:$BA27)+SUMIF($BH$3:$CE$3,"&gt;"&amp;$CW$4,$AD27:$BA27)),
IF(BP$3&lt;$CW$4,J27,0))))))))))))))),0)</f>
        <v>95</v>
      </c>
      <c r="BQ27" s="47">
        <f>ROUND(IF(OR(BQ$3&lt;$DF27,BQ$3&gt;$CW$4),0,
IF(BQ$3=$DF27+'Model Setup'!$B$7,SUMIF($BH$3:$CE$3,"="&amp;$DF27+'Model Setup'!$B$7,$AD27:$BA27)+'Model Setup'!$B$8*(SUMIF($BH$3:$CE$3,"&lt;"&amp;$DF27,$AD27:$BA27)+SUMIF($BH$3:$CE$3,"&gt;"&amp;$CW$4,$AD27:$BA27)),
IF(BQ$3=$DF27+'Model Setup'!$C$7,SUMIF($BH$3:$CE$3,"="&amp;$DF27+'Model Setup'!$C$7,$AD27:$BA27)+'Model Setup'!$C$8*(SUMIF($BH$3:$CE$3,"&lt;"&amp;$DF27,$AD27:$BA27)+SUMIF($BH$3:$CE$3,"&gt;"&amp;$CW$4,$AD27:$BA27)),
IF(BQ$3=$DF27+'Model Setup'!$D$7,SUMIF($BH$3:$CE$3,"="&amp;$DF27+'Model Setup'!$D$7,$AD27:$BA27)+'Model Setup'!$D$8*(SUMIF($BH$3:$CE$3,"&lt;"&amp;$DF27,$AD27:$BA27)+SUMIF($BH$3:$CE$3,"&gt;"&amp;$CW$4,$AD27:$BA27)),
IF(BQ$3=$DF27+'Model Setup'!$E$7,SUMIF($BH$3:$CE$3,"="&amp;$DF27+'Model Setup'!$E$7,$AD27:$BA27)+'Model Setup'!$E$8*(SUMIF($BH$3:$CE$3,"&lt;"&amp;$DF27,$AD27:$BA27)+SUMIF($BH$3:$CE$3,"&gt;"&amp;$CW$4,$AD27:$BA27)),
IF(BQ$3=$DF27+'Model Setup'!$F$7,SUMIF($BH$3:$CE$3,"="&amp;$DF27+'Model Setup'!$F$7,$AD27:$BA27)+'Model Setup'!$F$8*(SUMIF($BH$3:$CE$3,"&lt;"&amp;$DF27,$AD27:$BA27)+SUMIF($BH$3:$CE$3,"&gt;"&amp;$CW$4,$AD27:$BA27)),
IF(BQ$3=$DF27+'Model Setup'!$G$7,SUMIF($BH$3:$CE$3,"="&amp;$DF27+'Model Setup'!$G$7,$AD27:$BA27)+'Model Setup'!$G$8*(SUMIF($BH$3:$CE$3,"&lt;"&amp;$DF27,$AD27:$BA27)+SUMIF($BH$3:$CE$3,"&gt;"&amp;$CW$4,$AD27:$BA27)),
IF(BQ$3=$DF27+'Model Setup'!$H$7,SUMIF($BH$3:$CE$3,"="&amp;$DF27+'Model Setup'!$H$7,$AD27:$BA27)+'Model Setup'!$H$8*(SUMIF($BH$3:$CE$3,"&lt;"&amp;$DF27,$AD27:$BA27)+SUMIF($BH$3:$CE$3,"&gt;"&amp;$CW$4,$AD27:$BA27)),
IF(BQ$3=$DF27+'Model Setup'!$I$7,SUMIF($BH$3:$CE$3,"="&amp;$DF27+'Model Setup'!$I$7,$AD27:$BA27)+'Model Setup'!$I$8*(SUMIF($BH$3:$CE$3,"&lt;"&amp;$DF27,$AD27:$BA27)+SUMIF($BH$3:$CE$3,"&gt;"&amp;$CW$4,$AD27:$BA27)),
IF(BQ$3=$DF27+'Model Setup'!$J$7,SUMIF($BH$3:$CE$3,"="&amp;$DF27+'Model Setup'!$J$7,$AD27:$BA27)+'Model Setup'!$J$8*(SUMIF($BH$3:$CE$3,"&lt;"&amp;$DF27,$AD27:$BA27)+SUMIF($BH$3:$CE$3,"&gt;"&amp;$CW$4,$AD27:$BA27)),
IF(BQ$3=$DF27+'Model Setup'!$K$7,SUMIF($BH$3:$CE$3,"="&amp;$DF27+'Model Setup'!$K$7,$AD27:$BA27)+'Model Setup'!$K$8*(SUMIF($BH$3:$CE$3,"&lt;"&amp;$DF27,$AD27:$BA27)+SUMIF($BH$3:$CE$3,"&gt;"&amp;$CW$4,$AD27:$BA27)),
IF(BQ$3=$DF27+'Model Setup'!$L$7,SUMIF($BH$3:$CE$3,"="&amp;$DF27+'Model Setup'!$L$7,$AD27:$BA27)+'Model Setup'!$L$8*(SUMIF($BH$3:$CE$3,"&lt;"&amp;$DF27,$AD27:$BA27)+SUMIF($BH$3:$CE$3,"&gt;"&amp;$CW$4,$AD27:$BA27)),
IF(BQ$3=$DF27+'Model Setup'!$M$7,SUMIF($BH$3:$CE$3,"="&amp;$DF27+'Model Setup'!$M$7,$AD27:$BA27)+'Model Setup'!$M$8*(SUMIF($BH$3:$CE$3,"&lt;"&amp;$DF27,$AD27:$BA27)+SUMIF($BH$3:$CE$3,"&gt;"&amp;$CW$4,$AD27:$BA27)),
IF(BQ$3=$DF27+'Model Setup'!$N$7,SUMIF($BH$3:$CE$3,"="&amp;$DF27+'Model Setup'!$N$7,$AD27:$BA27)+'Model Setup'!$N$8*(SUMIF($BH$3:$CE$3,"&lt;"&amp;$DF27,$AD27:$BA27)+SUMIF($BH$3:$CE$3,"&gt;"&amp;$CW$4,$AD27:$BA27)),
IF(BQ$3&lt;$CW$4,K27,0))))))))))))))),0)</f>
        <v>75</v>
      </c>
      <c r="BR27" s="47">
        <f>ROUND(IF(OR(BR$3&lt;$DF27,BR$3&gt;$CW$4),0,
IF(BR$3=$DF27+'Model Setup'!$B$7,SUMIF($BH$3:$CE$3,"="&amp;$DF27+'Model Setup'!$B$7,$AD27:$BA27)+'Model Setup'!$B$8*(SUMIF($BH$3:$CE$3,"&lt;"&amp;$DF27,$AD27:$BA27)+SUMIF($BH$3:$CE$3,"&gt;"&amp;$CW$4,$AD27:$BA27)),
IF(BR$3=$DF27+'Model Setup'!$C$7,SUMIF($BH$3:$CE$3,"="&amp;$DF27+'Model Setup'!$C$7,$AD27:$BA27)+'Model Setup'!$C$8*(SUMIF($BH$3:$CE$3,"&lt;"&amp;$DF27,$AD27:$BA27)+SUMIF($BH$3:$CE$3,"&gt;"&amp;$CW$4,$AD27:$BA27)),
IF(BR$3=$DF27+'Model Setup'!$D$7,SUMIF($BH$3:$CE$3,"="&amp;$DF27+'Model Setup'!$D$7,$AD27:$BA27)+'Model Setup'!$D$8*(SUMIF($BH$3:$CE$3,"&lt;"&amp;$DF27,$AD27:$BA27)+SUMIF($BH$3:$CE$3,"&gt;"&amp;$CW$4,$AD27:$BA27)),
IF(BR$3=$DF27+'Model Setup'!$E$7,SUMIF($BH$3:$CE$3,"="&amp;$DF27+'Model Setup'!$E$7,$AD27:$BA27)+'Model Setup'!$E$8*(SUMIF($BH$3:$CE$3,"&lt;"&amp;$DF27,$AD27:$BA27)+SUMIF($BH$3:$CE$3,"&gt;"&amp;$CW$4,$AD27:$BA27)),
IF(BR$3=$DF27+'Model Setup'!$F$7,SUMIF($BH$3:$CE$3,"="&amp;$DF27+'Model Setup'!$F$7,$AD27:$BA27)+'Model Setup'!$F$8*(SUMIF($BH$3:$CE$3,"&lt;"&amp;$DF27,$AD27:$BA27)+SUMIF($BH$3:$CE$3,"&gt;"&amp;$CW$4,$AD27:$BA27)),
IF(BR$3=$DF27+'Model Setup'!$G$7,SUMIF($BH$3:$CE$3,"="&amp;$DF27+'Model Setup'!$G$7,$AD27:$BA27)+'Model Setup'!$G$8*(SUMIF($BH$3:$CE$3,"&lt;"&amp;$DF27,$AD27:$BA27)+SUMIF($BH$3:$CE$3,"&gt;"&amp;$CW$4,$AD27:$BA27)),
IF(BR$3=$DF27+'Model Setup'!$H$7,SUMIF($BH$3:$CE$3,"="&amp;$DF27+'Model Setup'!$H$7,$AD27:$BA27)+'Model Setup'!$H$8*(SUMIF($BH$3:$CE$3,"&lt;"&amp;$DF27,$AD27:$BA27)+SUMIF($BH$3:$CE$3,"&gt;"&amp;$CW$4,$AD27:$BA27)),
IF(BR$3=$DF27+'Model Setup'!$I$7,SUMIF($BH$3:$CE$3,"="&amp;$DF27+'Model Setup'!$I$7,$AD27:$BA27)+'Model Setup'!$I$8*(SUMIF($BH$3:$CE$3,"&lt;"&amp;$DF27,$AD27:$BA27)+SUMIF($BH$3:$CE$3,"&gt;"&amp;$CW$4,$AD27:$BA27)),
IF(BR$3=$DF27+'Model Setup'!$J$7,SUMIF($BH$3:$CE$3,"="&amp;$DF27+'Model Setup'!$J$7,$AD27:$BA27)+'Model Setup'!$J$8*(SUMIF($BH$3:$CE$3,"&lt;"&amp;$DF27,$AD27:$BA27)+SUMIF($BH$3:$CE$3,"&gt;"&amp;$CW$4,$AD27:$BA27)),
IF(BR$3=$DF27+'Model Setup'!$K$7,SUMIF($BH$3:$CE$3,"="&amp;$DF27+'Model Setup'!$K$7,$AD27:$BA27)+'Model Setup'!$K$8*(SUMIF($BH$3:$CE$3,"&lt;"&amp;$DF27,$AD27:$BA27)+SUMIF($BH$3:$CE$3,"&gt;"&amp;$CW$4,$AD27:$BA27)),
IF(BR$3=$DF27+'Model Setup'!$L$7,SUMIF($BH$3:$CE$3,"="&amp;$DF27+'Model Setup'!$L$7,$AD27:$BA27)+'Model Setup'!$L$8*(SUMIF($BH$3:$CE$3,"&lt;"&amp;$DF27,$AD27:$BA27)+SUMIF($BH$3:$CE$3,"&gt;"&amp;$CW$4,$AD27:$BA27)),
IF(BR$3=$DF27+'Model Setup'!$M$7,SUMIF($BH$3:$CE$3,"="&amp;$DF27+'Model Setup'!$M$7,$AD27:$BA27)+'Model Setup'!$M$8*(SUMIF($BH$3:$CE$3,"&lt;"&amp;$DF27,$AD27:$BA27)+SUMIF($BH$3:$CE$3,"&gt;"&amp;$CW$4,$AD27:$BA27)),
IF(BR$3=$DF27+'Model Setup'!$N$7,SUMIF($BH$3:$CE$3,"="&amp;$DF27+'Model Setup'!$N$7,$AD27:$BA27)+'Model Setup'!$N$8*(SUMIF($BH$3:$CE$3,"&lt;"&amp;$DF27,$AD27:$BA27)+SUMIF($BH$3:$CE$3,"&gt;"&amp;$CW$4,$AD27:$BA27)),
IF(BR$3&lt;$CW$4,L27,0))))))))))))))),0)</f>
        <v>74</v>
      </c>
      <c r="BS27" s="47">
        <f>ROUND(IF(OR(BS$3&lt;$DF27,BS$3&gt;$CW$4),0,
IF(BS$3=$DF27+'Model Setup'!$B$7,SUMIF($BH$3:$CE$3,"="&amp;$DF27+'Model Setup'!$B$7,$AD27:$BA27)+'Model Setup'!$B$8*(SUMIF($BH$3:$CE$3,"&lt;"&amp;$DF27,$AD27:$BA27)+SUMIF($BH$3:$CE$3,"&gt;"&amp;$CW$4,$AD27:$BA27)),
IF(BS$3=$DF27+'Model Setup'!$C$7,SUMIF($BH$3:$CE$3,"="&amp;$DF27+'Model Setup'!$C$7,$AD27:$BA27)+'Model Setup'!$C$8*(SUMIF($BH$3:$CE$3,"&lt;"&amp;$DF27,$AD27:$BA27)+SUMIF($BH$3:$CE$3,"&gt;"&amp;$CW$4,$AD27:$BA27)),
IF(BS$3=$DF27+'Model Setup'!$D$7,SUMIF($BH$3:$CE$3,"="&amp;$DF27+'Model Setup'!$D$7,$AD27:$BA27)+'Model Setup'!$D$8*(SUMIF($BH$3:$CE$3,"&lt;"&amp;$DF27,$AD27:$BA27)+SUMIF($BH$3:$CE$3,"&gt;"&amp;$CW$4,$AD27:$BA27)),
IF(BS$3=$DF27+'Model Setup'!$E$7,SUMIF($BH$3:$CE$3,"="&amp;$DF27+'Model Setup'!$E$7,$AD27:$BA27)+'Model Setup'!$E$8*(SUMIF($BH$3:$CE$3,"&lt;"&amp;$DF27,$AD27:$BA27)+SUMIF($BH$3:$CE$3,"&gt;"&amp;$CW$4,$AD27:$BA27)),
IF(BS$3=$DF27+'Model Setup'!$F$7,SUMIF($BH$3:$CE$3,"="&amp;$DF27+'Model Setup'!$F$7,$AD27:$BA27)+'Model Setup'!$F$8*(SUMIF($BH$3:$CE$3,"&lt;"&amp;$DF27,$AD27:$BA27)+SUMIF($BH$3:$CE$3,"&gt;"&amp;$CW$4,$AD27:$BA27)),
IF(BS$3=$DF27+'Model Setup'!$G$7,SUMIF($BH$3:$CE$3,"="&amp;$DF27+'Model Setup'!$G$7,$AD27:$BA27)+'Model Setup'!$G$8*(SUMIF($BH$3:$CE$3,"&lt;"&amp;$DF27,$AD27:$BA27)+SUMIF($BH$3:$CE$3,"&gt;"&amp;$CW$4,$AD27:$BA27)),
IF(BS$3=$DF27+'Model Setup'!$H$7,SUMIF($BH$3:$CE$3,"="&amp;$DF27+'Model Setup'!$H$7,$AD27:$BA27)+'Model Setup'!$H$8*(SUMIF($BH$3:$CE$3,"&lt;"&amp;$DF27,$AD27:$BA27)+SUMIF($BH$3:$CE$3,"&gt;"&amp;$CW$4,$AD27:$BA27)),
IF(BS$3=$DF27+'Model Setup'!$I$7,SUMIF($BH$3:$CE$3,"="&amp;$DF27+'Model Setup'!$I$7,$AD27:$BA27)+'Model Setup'!$I$8*(SUMIF($BH$3:$CE$3,"&lt;"&amp;$DF27,$AD27:$BA27)+SUMIF($BH$3:$CE$3,"&gt;"&amp;$CW$4,$AD27:$BA27)),
IF(BS$3=$DF27+'Model Setup'!$J$7,SUMIF($BH$3:$CE$3,"="&amp;$DF27+'Model Setup'!$J$7,$AD27:$BA27)+'Model Setup'!$J$8*(SUMIF($BH$3:$CE$3,"&lt;"&amp;$DF27,$AD27:$BA27)+SUMIF($BH$3:$CE$3,"&gt;"&amp;$CW$4,$AD27:$BA27)),
IF(BS$3=$DF27+'Model Setup'!$K$7,SUMIF($BH$3:$CE$3,"="&amp;$DF27+'Model Setup'!$K$7,$AD27:$BA27)+'Model Setup'!$K$8*(SUMIF($BH$3:$CE$3,"&lt;"&amp;$DF27,$AD27:$BA27)+SUMIF($BH$3:$CE$3,"&gt;"&amp;$CW$4,$AD27:$BA27)),
IF(BS$3=$DF27+'Model Setup'!$L$7,SUMIF($BH$3:$CE$3,"="&amp;$DF27+'Model Setup'!$L$7,$AD27:$BA27)+'Model Setup'!$L$8*(SUMIF($BH$3:$CE$3,"&lt;"&amp;$DF27,$AD27:$BA27)+SUMIF($BH$3:$CE$3,"&gt;"&amp;$CW$4,$AD27:$BA27)),
IF(BS$3=$DF27+'Model Setup'!$M$7,SUMIF($BH$3:$CE$3,"="&amp;$DF27+'Model Setup'!$M$7,$AD27:$BA27)+'Model Setup'!$M$8*(SUMIF($BH$3:$CE$3,"&lt;"&amp;$DF27,$AD27:$BA27)+SUMIF($BH$3:$CE$3,"&gt;"&amp;$CW$4,$AD27:$BA27)),
IF(BS$3=$DF27+'Model Setup'!$N$7,SUMIF($BH$3:$CE$3,"="&amp;$DF27+'Model Setup'!$N$7,$AD27:$BA27)+'Model Setup'!$N$8*(SUMIF($BH$3:$CE$3,"&lt;"&amp;$DF27,$AD27:$BA27)+SUMIF($BH$3:$CE$3,"&gt;"&amp;$CW$4,$AD27:$BA27)),
IF(BS$3&lt;$CW$4,M27,0))))))))))))))),0)</f>
        <v>56</v>
      </c>
      <c r="BT27" s="47">
        <f>ROUND(IF(OR(BT$3&lt;$DF27,BT$3&gt;$CW$4),0,
IF(BT$3=$DF27+'Model Setup'!$B$7,SUMIF($BH$3:$CE$3,"="&amp;$DF27+'Model Setup'!$B$7,$AD27:$BA27)+'Model Setup'!$B$8*(SUMIF($BH$3:$CE$3,"&lt;"&amp;$DF27,$AD27:$BA27)+SUMIF($BH$3:$CE$3,"&gt;"&amp;$CW$4,$AD27:$BA27)),
IF(BT$3=$DF27+'Model Setup'!$C$7,SUMIF($BH$3:$CE$3,"="&amp;$DF27+'Model Setup'!$C$7,$AD27:$BA27)+'Model Setup'!$C$8*(SUMIF($BH$3:$CE$3,"&lt;"&amp;$DF27,$AD27:$BA27)+SUMIF($BH$3:$CE$3,"&gt;"&amp;$CW$4,$AD27:$BA27)),
IF(BT$3=$DF27+'Model Setup'!$D$7,SUMIF($BH$3:$CE$3,"="&amp;$DF27+'Model Setup'!$D$7,$AD27:$BA27)+'Model Setup'!$D$8*(SUMIF($BH$3:$CE$3,"&lt;"&amp;$DF27,$AD27:$BA27)+SUMIF($BH$3:$CE$3,"&gt;"&amp;$CW$4,$AD27:$BA27)),
IF(BT$3=$DF27+'Model Setup'!$E$7,SUMIF($BH$3:$CE$3,"="&amp;$DF27+'Model Setup'!$E$7,$AD27:$BA27)+'Model Setup'!$E$8*(SUMIF($BH$3:$CE$3,"&lt;"&amp;$DF27,$AD27:$BA27)+SUMIF($BH$3:$CE$3,"&gt;"&amp;$CW$4,$AD27:$BA27)),
IF(BT$3=$DF27+'Model Setup'!$F$7,SUMIF($BH$3:$CE$3,"="&amp;$DF27+'Model Setup'!$F$7,$AD27:$BA27)+'Model Setup'!$F$8*(SUMIF($BH$3:$CE$3,"&lt;"&amp;$DF27,$AD27:$BA27)+SUMIF($BH$3:$CE$3,"&gt;"&amp;$CW$4,$AD27:$BA27)),
IF(BT$3=$DF27+'Model Setup'!$G$7,SUMIF($BH$3:$CE$3,"="&amp;$DF27+'Model Setup'!$G$7,$AD27:$BA27)+'Model Setup'!$G$8*(SUMIF($BH$3:$CE$3,"&lt;"&amp;$DF27,$AD27:$BA27)+SUMIF($BH$3:$CE$3,"&gt;"&amp;$CW$4,$AD27:$BA27)),
IF(BT$3=$DF27+'Model Setup'!$H$7,SUMIF($BH$3:$CE$3,"="&amp;$DF27+'Model Setup'!$H$7,$AD27:$BA27)+'Model Setup'!$H$8*(SUMIF($BH$3:$CE$3,"&lt;"&amp;$DF27,$AD27:$BA27)+SUMIF($BH$3:$CE$3,"&gt;"&amp;$CW$4,$AD27:$BA27)),
IF(BT$3=$DF27+'Model Setup'!$I$7,SUMIF($BH$3:$CE$3,"="&amp;$DF27+'Model Setup'!$I$7,$AD27:$BA27)+'Model Setup'!$I$8*(SUMIF($BH$3:$CE$3,"&lt;"&amp;$DF27,$AD27:$BA27)+SUMIF($BH$3:$CE$3,"&gt;"&amp;$CW$4,$AD27:$BA27)),
IF(BT$3=$DF27+'Model Setup'!$J$7,SUMIF($BH$3:$CE$3,"="&amp;$DF27+'Model Setup'!$J$7,$AD27:$BA27)+'Model Setup'!$J$8*(SUMIF($BH$3:$CE$3,"&lt;"&amp;$DF27,$AD27:$BA27)+SUMIF($BH$3:$CE$3,"&gt;"&amp;$CW$4,$AD27:$BA27)),
IF(BT$3=$DF27+'Model Setup'!$K$7,SUMIF($BH$3:$CE$3,"="&amp;$DF27+'Model Setup'!$K$7,$AD27:$BA27)+'Model Setup'!$K$8*(SUMIF($BH$3:$CE$3,"&lt;"&amp;$DF27,$AD27:$BA27)+SUMIF($BH$3:$CE$3,"&gt;"&amp;$CW$4,$AD27:$BA27)),
IF(BT$3=$DF27+'Model Setup'!$L$7,SUMIF($BH$3:$CE$3,"="&amp;$DF27+'Model Setup'!$L$7,$AD27:$BA27)+'Model Setup'!$L$8*(SUMIF($BH$3:$CE$3,"&lt;"&amp;$DF27,$AD27:$BA27)+SUMIF($BH$3:$CE$3,"&gt;"&amp;$CW$4,$AD27:$BA27)),
IF(BT$3=$DF27+'Model Setup'!$M$7,SUMIF($BH$3:$CE$3,"="&amp;$DF27+'Model Setup'!$M$7,$AD27:$BA27)+'Model Setup'!$M$8*(SUMIF($BH$3:$CE$3,"&lt;"&amp;$DF27,$AD27:$BA27)+SUMIF($BH$3:$CE$3,"&gt;"&amp;$CW$4,$AD27:$BA27)),
IF(BT$3=$DF27+'Model Setup'!$N$7,SUMIF($BH$3:$CE$3,"="&amp;$DF27+'Model Setup'!$N$7,$AD27:$BA27)+'Model Setup'!$N$8*(SUMIF($BH$3:$CE$3,"&lt;"&amp;$DF27,$AD27:$BA27)+SUMIF($BH$3:$CE$3,"&gt;"&amp;$CW$4,$AD27:$BA27)),
IF(BT$3&lt;$CW$4,N27,0))))))))))))))),0)</f>
        <v>49</v>
      </c>
      <c r="BU27" s="47">
        <f>ROUND(IF(OR(BU$3&lt;$DF27,BU$3&gt;$CW$4),0,
IF(BU$3=$DF27+'Model Setup'!$B$7,SUMIF($BH$3:$CE$3,"="&amp;$DF27+'Model Setup'!$B$7,$AD27:$BA27)+'Model Setup'!$B$8*(SUMIF($BH$3:$CE$3,"&lt;"&amp;$DF27,$AD27:$BA27)+SUMIF($BH$3:$CE$3,"&gt;"&amp;$CW$4,$AD27:$BA27)),
IF(BU$3=$DF27+'Model Setup'!$C$7,SUMIF($BH$3:$CE$3,"="&amp;$DF27+'Model Setup'!$C$7,$AD27:$BA27)+'Model Setup'!$C$8*(SUMIF($BH$3:$CE$3,"&lt;"&amp;$DF27,$AD27:$BA27)+SUMIF($BH$3:$CE$3,"&gt;"&amp;$CW$4,$AD27:$BA27)),
IF(BU$3=$DF27+'Model Setup'!$D$7,SUMIF($BH$3:$CE$3,"="&amp;$DF27+'Model Setup'!$D$7,$AD27:$BA27)+'Model Setup'!$D$8*(SUMIF($BH$3:$CE$3,"&lt;"&amp;$DF27,$AD27:$BA27)+SUMIF($BH$3:$CE$3,"&gt;"&amp;$CW$4,$AD27:$BA27)),
IF(BU$3=$DF27+'Model Setup'!$E$7,SUMIF($BH$3:$CE$3,"="&amp;$DF27+'Model Setup'!$E$7,$AD27:$BA27)+'Model Setup'!$E$8*(SUMIF($BH$3:$CE$3,"&lt;"&amp;$DF27,$AD27:$BA27)+SUMIF($BH$3:$CE$3,"&gt;"&amp;$CW$4,$AD27:$BA27)),
IF(BU$3=$DF27+'Model Setup'!$F$7,SUMIF($BH$3:$CE$3,"="&amp;$DF27+'Model Setup'!$F$7,$AD27:$BA27)+'Model Setup'!$F$8*(SUMIF($BH$3:$CE$3,"&lt;"&amp;$DF27,$AD27:$BA27)+SUMIF($BH$3:$CE$3,"&gt;"&amp;$CW$4,$AD27:$BA27)),
IF(BU$3=$DF27+'Model Setup'!$G$7,SUMIF($BH$3:$CE$3,"="&amp;$DF27+'Model Setup'!$G$7,$AD27:$BA27)+'Model Setup'!$G$8*(SUMIF($BH$3:$CE$3,"&lt;"&amp;$DF27,$AD27:$BA27)+SUMIF($BH$3:$CE$3,"&gt;"&amp;$CW$4,$AD27:$BA27)),
IF(BU$3=$DF27+'Model Setup'!$H$7,SUMIF($BH$3:$CE$3,"="&amp;$DF27+'Model Setup'!$H$7,$AD27:$BA27)+'Model Setup'!$H$8*(SUMIF($BH$3:$CE$3,"&lt;"&amp;$DF27,$AD27:$BA27)+SUMIF($BH$3:$CE$3,"&gt;"&amp;$CW$4,$AD27:$BA27)),
IF(BU$3=$DF27+'Model Setup'!$I$7,SUMIF($BH$3:$CE$3,"="&amp;$DF27+'Model Setup'!$I$7,$AD27:$BA27)+'Model Setup'!$I$8*(SUMIF($BH$3:$CE$3,"&lt;"&amp;$DF27,$AD27:$BA27)+SUMIF($BH$3:$CE$3,"&gt;"&amp;$CW$4,$AD27:$BA27)),
IF(BU$3=$DF27+'Model Setup'!$J$7,SUMIF($BH$3:$CE$3,"="&amp;$DF27+'Model Setup'!$J$7,$AD27:$BA27)+'Model Setup'!$J$8*(SUMIF($BH$3:$CE$3,"&lt;"&amp;$DF27,$AD27:$BA27)+SUMIF($BH$3:$CE$3,"&gt;"&amp;$CW$4,$AD27:$BA27)),
IF(BU$3=$DF27+'Model Setup'!$K$7,SUMIF($BH$3:$CE$3,"="&amp;$DF27+'Model Setup'!$K$7,$AD27:$BA27)+'Model Setup'!$K$8*(SUMIF($BH$3:$CE$3,"&lt;"&amp;$DF27,$AD27:$BA27)+SUMIF($BH$3:$CE$3,"&gt;"&amp;$CW$4,$AD27:$BA27)),
IF(BU$3=$DF27+'Model Setup'!$L$7,SUMIF($BH$3:$CE$3,"="&amp;$DF27+'Model Setup'!$L$7,$AD27:$BA27)+'Model Setup'!$L$8*(SUMIF($BH$3:$CE$3,"&lt;"&amp;$DF27,$AD27:$BA27)+SUMIF($BH$3:$CE$3,"&gt;"&amp;$CW$4,$AD27:$BA27)),
IF(BU$3=$DF27+'Model Setup'!$M$7,SUMIF($BH$3:$CE$3,"="&amp;$DF27+'Model Setup'!$M$7,$AD27:$BA27)+'Model Setup'!$M$8*(SUMIF($BH$3:$CE$3,"&lt;"&amp;$DF27,$AD27:$BA27)+SUMIF($BH$3:$CE$3,"&gt;"&amp;$CW$4,$AD27:$BA27)),
IF(BU$3=$DF27+'Model Setup'!$N$7,SUMIF($BH$3:$CE$3,"="&amp;$DF27+'Model Setup'!$N$7,$AD27:$BA27)+'Model Setup'!$N$8*(SUMIF($BH$3:$CE$3,"&lt;"&amp;$DF27,$AD27:$BA27)+SUMIF($BH$3:$CE$3,"&gt;"&amp;$CW$4,$AD27:$BA27)),
IF(BU$3&lt;$CW$4,O27,0))))))))))))))),0)</f>
        <v>47</v>
      </c>
      <c r="BV27" s="47">
        <f>ROUND(IF(OR(BV$3&lt;$DF27,BV$3&gt;$CW$4),0,
IF(BV$3=$DF27+'Model Setup'!$B$7,SUMIF($BH$3:$CE$3,"="&amp;$DF27+'Model Setup'!$B$7,$AD27:$BA27)+'Model Setup'!$B$8*(SUMIF($BH$3:$CE$3,"&lt;"&amp;$DF27,$AD27:$BA27)+SUMIF($BH$3:$CE$3,"&gt;"&amp;$CW$4,$AD27:$BA27)),
IF(BV$3=$DF27+'Model Setup'!$C$7,SUMIF($BH$3:$CE$3,"="&amp;$DF27+'Model Setup'!$C$7,$AD27:$BA27)+'Model Setup'!$C$8*(SUMIF($BH$3:$CE$3,"&lt;"&amp;$DF27,$AD27:$BA27)+SUMIF($BH$3:$CE$3,"&gt;"&amp;$CW$4,$AD27:$BA27)),
IF(BV$3=$DF27+'Model Setup'!$D$7,SUMIF($BH$3:$CE$3,"="&amp;$DF27+'Model Setup'!$D$7,$AD27:$BA27)+'Model Setup'!$D$8*(SUMIF($BH$3:$CE$3,"&lt;"&amp;$DF27,$AD27:$BA27)+SUMIF($BH$3:$CE$3,"&gt;"&amp;$CW$4,$AD27:$BA27)),
IF(BV$3=$DF27+'Model Setup'!$E$7,SUMIF($BH$3:$CE$3,"="&amp;$DF27+'Model Setup'!$E$7,$AD27:$BA27)+'Model Setup'!$E$8*(SUMIF($BH$3:$CE$3,"&lt;"&amp;$DF27,$AD27:$BA27)+SUMIF($BH$3:$CE$3,"&gt;"&amp;$CW$4,$AD27:$BA27)),
IF(BV$3=$DF27+'Model Setup'!$F$7,SUMIF($BH$3:$CE$3,"="&amp;$DF27+'Model Setup'!$F$7,$AD27:$BA27)+'Model Setup'!$F$8*(SUMIF($BH$3:$CE$3,"&lt;"&amp;$DF27,$AD27:$BA27)+SUMIF($BH$3:$CE$3,"&gt;"&amp;$CW$4,$AD27:$BA27)),
IF(BV$3=$DF27+'Model Setup'!$G$7,SUMIF($BH$3:$CE$3,"="&amp;$DF27+'Model Setup'!$G$7,$AD27:$BA27)+'Model Setup'!$G$8*(SUMIF($BH$3:$CE$3,"&lt;"&amp;$DF27,$AD27:$BA27)+SUMIF($BH$3:$CE$3,"&gt;"&amp;$CW$4,$AD27:$BA27)),
IF(BV$3=$DF27+'Model Setup'!$H$7,SUMIF($BH$3:$CE$3,"="&amp;$DF27+'Model Setup'!$H$7,$AD27:$BA27)+'Model Setup'!$H$8*(SUMIF($BH$3:$CE$3,"&lt;"&amp;$DF27,$AD27:$BA27)+SUMIF($BH$3:$CE$3,"&gt;"&amp;$CW$4,$AD27:$BA27)),
IF(BV$3=$DF27+'Model Setup'!$I$7,SUMIF($BH$3:$CE$3,"="&amp;$DF27+'Model Setup'!$I$7,$AD27:$BA27)+'Model Setup'!$I$8*(SUMIF($BH$3:$CE$3,"&lt;"&amp;$DF27,$AD27:$BA27)+SUMIF($BH$3:$CE$3,"&gt;"&amp;$CW$4,$AD27:$BA27)),
IF(BV$3=$DF27+'Model Setup'!$J$7,SUMIF($BH$3:$CE$3,"="&amp;$DF27+'Model Setup'!$J$7,$AD27:$BA27)+'Model Setup'!$J$8*(SUMIF($BH$3:$CE$3,"&lt;"&amp;$DF27,$AD27:$BA27)+SUMIF($BH$3:$CE$3,"&gt;"&amp;$CW$4,$AD27:$BA27)),
IF(BV$3=$DF27+'Model Setup'!$K$7,SUMIF($BH$3:$CE$3,"="&amp;$DF27+'Model Setup'!$K$7,$AD27:$BA27)+'Model Setup'!$K$8*(SUMIF($BH$3:$CE$3,"&lt;"&amp;$DF27,$AD27:$BA27)+SUMIF($BH$3:$CE$3,"&gt;"&amp;$CW$4,$AD27:$BA27)),
IF(BV$3=$DF27+'Model Setup'!$L$7,SUMIF($BH$3:$CE$3,"="&amp;$DF27+'Model Setup'!$L$7,$AD27:$BA27)+'Model Setup'!$L$8*(SUMIF($BH$3:$CE$3,"&lt;"&amp;$DF27,$AD27:$BA27)+SUMIF($BH$3:$CE$3,"&gt;"&amp;$CW$4,$AD27:$BA27)),
IF(BV$3=$DF27+'Model Setup'!$M$7,SUMIF($BH$3:$CE$3,"="&amp;$DF27+'Model Setup'!$M$7,$AD27:$BA27)+'Model Setup'!$M$8*(SUMIF($BH$3:$CE$3,"&lt;"&amp;$DF27,$AD27:$BA27)+SUMIF($BH$3:$CE$3,"&gt;"&amp;$CW$4,$AD27:$BA27)),
IF(BV$3=$DF27+'Model Setup'!$N$7,SUMIF($BH$3:$CE$3,"="&amp;$DF27+'Model Setup'!$N$7,$AD27:$BA27)+'Model Setup'!$N$8*(SUMIF($BH$3:$CE$3,"&lt;"&amp;$DF27,$AD27:$BA27)+SUMIF($BH$3:$CE$3,"&gt;"&amp;$CW$4,$AD27:$BA27)),
IF(BV$3&lt;$CW$4,P27,0))))))))))))))),0)</f>
        <v>34</v>
      </c>
      <c r="BW27" s="47">
        <f>ROUND(IF(OR(BW$3&lt;$DF27,BW$3&gt;$CW$4),0,
IF(BW$3=$DF27+'Model Setup'!$B$7,SUMIF($BH$3:$CE$3,"="&amp;$DF27+'Model Setup'!$B$7,$AD27:$BA27)+'Model Setup'!$B$8*(SUMIF($BH$3:$CE$3,"&lt;"&amp;$DF27,$AD27:$BA27)+SUMIF($BH$3:$CE$3,"&gt;"&amp;$CW$4,$AD27:$BA27)),
IF(BW$3=$DF27+'Model Setup'!$C$7,SUMIF($BH$3:$CE$3,"="&amp;$DF27+'Model Setup'!$C$7,$AD27:$BA27)+'Model Setup'!$C$8*(SUMIF($BH$3:$CE$3,"&lt;"&amp;$DF27,$AD27:$BA27)+SUMIF($BH$3:$CE$3,"&gt;"&amp;$CW$4,$AD27:$BA27)),
IF(BW$3=$DF27+'Model Setup'!$D$7,SUMIF($BH$3:$CE$3,"="&amp;$DF27+'Model Setup'!$D$7,$AD27:$BA27)+'Model Setup'!$D$8*(SUMIF($BH$3:$CE$3,"&lt;"&amp;$DF27,$AD27:$BA27)+SUMIF($BH$3:$CE$3,"&gt;"&amp;$CW$4,$AD27:$BA27)),
IF(BW$3=$DF27+'Model Setup'!$E$7,SUMIF($BH$3:$CE$3,"="&amp;$DF27+'Model Setup'!$E$7,$AD27:$BA27)+'Model Setup'!$E$8*(SUMIF($BH$3:$CE$3,"&lt;"&amp;$DF27,$AD27:$BA27)+SUMIF($BH$3:$CE$3,"&gt;"&amp;$CW$4,$AD27:$BA27)),
IF(BW$3=$DF27+'Model Setup'!$F$7,SUMIF($BH$3:$CE$3,"="&amp;$DF27+'Model Setup'!$F$7,$AD27:$BA27)+'Model Setup'!$F$8*(SUMIF($BH$3:$CE$3,"&lt;"&amp;$DF27,$AD27:$BA27)+SUMIF($BH$3:$CE$3,"&gt;"&amp;$CW$4,$AD27:$BA27)),
IF(BW$3=$DF27+'Model Setup'!$G$7,SUMIF($BH$3:$CE$3,"="&amp;$DF27+'Model Setup'!$G$7,$AD27:$BA27)+'Model Setup'!$G$8*(SUMIF($BH$3:$CE$3,"&lt;"&amp;$DF27,$AD27:$BA27)+SUMIF($BH$3:$CE$3,"&gt;"&amp;$CW$4,$AD27:$BA27)),
IF(BW$3=$DF27+'Model Setup'!$H$7,SUMIF($BH$3:$CE$3,"="&amp;$DF27+'Model Setup'!$H$7,$AD27:$BA27)+'Model Setup'!$H$8*(SUMIF($BH$3:$CE$3,"&lt;"&amp;$DF27,$AD27:$BA27)+SUMIF($BH$3:$CE$3,"&gt;"&amp;$CW$4,$AD27:$BA27)),
IF(BW$3=$DF27+'Model Setup'!$I$7,SUMIF($BH$3:$CE$3,"="&amp;$DF27+'Model Setup'!$I$7,$AD27:$BA27)+'Model Setup'!$I$8*(SUMIF($BH$3:$CE$3,"&lt;"&amp;$DF27,$AD27:$BA27)+SUMIF($BH$3:$CE$3,"&gt;"&amp;$CW$4,$AD27:$BA27)),
IF(BW$3=$DF27+'Model Setup'!$J$7,SUMIF($BH$3:$CE$3,"="&amp;$DF27+'Model Setup'!$J$7,$AD27:$BA27)+'Model Setup'!$J$8*(SUMIF($BH$3:$CE$3,"&lt;"&amp;$DF27,$AD27:$BA27)+SUMIF($BH$3:$CE$3,"&gt;"&amp;$CW$4,$AD27:$BA27)),
IF(BW$3=$DF27+'Model Setup'!$K$7,SUMIF($BH$3:$CE$3,"="&amp;$DF27+'Model Setup'!$K$7,$AD27:$BA27)+'Model Setup'!$K$8*(SUMIF($BH$3:$CE$3,"&lt;"&amp;$DF27,$AD27:$BA27)+SUMIF($BH$3:$CE$3,"&gt;"&amp;$CW$4,$AD27:$BA27)),
IF(BW$3=$DF27+'Model Setup'!$L$7,SUMIF($BH$3:$CE$3,"="&amp;$DF27+'Model Setup'!$L$7,$AD27:$BA27)+'Model Setup'!$L$8*(SUMIF($BH$3:$CE$3,"&lt;"&amp;$DF27,$AD27:$BA27)+SUMIF($BH$3:$CE$3,"&gt;"&amp;$CW$4,$AD27:$BA27)),
IF(BW$3=$DF27+'Model Setup'!$M$7,SUMIF($BH$3:$CE$3,"="&amp;$DF27+'Model Setup'!$M$7,$AD27:$BA27)+'Model Setup'!$M$8*(SUMIF($BH$3:$CE$3,"&lt;"&amp;$DF27,$AD27:$BA27)+SUMIF($BH$3:$CE$3,"&gt;"&amp;$CW$4,$AD27:$BA27)),
IF(BW$3=$DF27+'Model Setup'!$N$7,SUMIF($BH$3:$CE$3,"="&amp;$DF27+'Model Setup'!$N$7,$AD27:$BA27)+'Model Setup'!$N$8*(SUMIF($BH$3:$CE$3,"&lt;"&amp;$DF27,$AD27:$BA27)+SUMIF($BH$3:$CE$3,"&gt;"&amp;$CW$4,$AD27:$BA27)),
IF(BW$3&lt;$CW$4,Q27,0))))))))))))))),0)</f>
        <v>30</v>
      </c>
      <c r="BX27" s="47">
        <f>ROUND(IF(OR(BX$3&lt;$DF27,BX$3&gt;$CW$4),0,
IF(BX$3=$DF27+'Model Setup'!$B$7,SUMIF($BH$3:$CE$3,"="&amp;$DF27+'Model Setup'!$B$7,$AD27:$BA27)+'Model Setup'!$B$8*(SUMIF($BH$3:$CE$3,"&lt;"&amp;$DF27,$AD27:$BA27)+SUMIF($BH$3:$CE$3,"&gt;"&amp;$CW$4,$AD27:$BA27)),
IF(BX$3=$DF27+'Model Setup'!$C$7,SUMIF($BH$3:$CE$3,"="&amp;$DF27+'Model Setup'!$C$7,$AD27:$BA27)+'Model Setup'!$C$8*(SUMIF($BH$3:$CE$3,"&lt;"&amp;$DF27,$AD27:$BA27)+SUMIF($BH$3:$CE$3,"&gt;"&amp;$CW$4,$AD27:$BA27)),
IF(BX$3=$DF27+'Model Setup'!$D$7,SUMIF($BH$3:$CE$3,"="&amp;$DF27+'Model Setup'!$D$7,$AD27:$BA27)+'Model Setup'!$D$8*(SUMIF($BH$3:$CE$3,"&lt;"&amp;$DF27,$AD27:$BA27)+SUMIF($BH$3:$CE$3,"&gt;"&amp;$CW$4,$AD27:$BA27)),
IF(BX$3=$DF27+'Model Setup'!$E$7,SUMIF($BH$3:$CE$3,"="&amp;$DF27+'Model Setup'!$E$7,$AD27:$BA27)+'Model Setup'!$E$8*(SUMIF($BH$3:$CE$3,"&lt;"&amp;$DF27,$AD27:$BA27)+SUMIF($BH$3:$CE$3,"&gt;"&amp;$CW$4,$AD27:$BA27)),
IF(BX$3=$DF27+'Model Setup'!$F$7,SUMIF($BH$3:$CE$3,"="&amp;$DF27+'Model Setup'!$F$7,$AD27:$BA27)+'Model Setup'!$F$8*(SUMIF($BH$3:$CE$3,"&lt;"&amp;$DF27,$AD27:$BA27)+SUMIF($BH$3:$CE$3,"&gt;"&amp;$CW$4,$AD27:$BA27)),
IF(BX$3=$DF27+'Model Setup'!$G$7,SUMIF($BH$3:$CE$3,"="&amp;$DF27+'Model Setup'!$G$7,$AD27:$BA27)+'Model Setup'!$G$8*(SUMIF($BH$3:$CE$3,"&lt;"&amp;$DF27,$AD27:$BA27)+SUMIF($BH$3:$CE$3,"&gt;"&amp;$CW$4,$AD27:$BA27)),
IF(BX$3=$DF27+'Model Setup'!$H$7,SUMIF($BH$3:$CE$3,"="&amp;$DF27+'Model Setup'!$H$7,$AD27:$BA27)+'Model Setup'!$H$8*(SUMIF($BH$3:$CE$3,"&lt;"&amp;$DF27,$AD27:$BA27)+SUMIF($BH$3:$CE$3,"&gt;"&amp;$CW$4,$AD27:$BA27)),
IF(BX$3=$DF27+'Model Setup'!$I$7,SUMIF($BH$3:$CE$3,"="&amp;$DF27+'Model Setup'!$I$7,$AD27:$BA27)+'Model Setup'!$I$8*(SUMIF($BH$3:$CE$3,"&lt;"&amp;$DF27,$AD27:$BA27)+SUMIF($BH$3:$CE$3,"&gt;"&amp;$CW$4,$AD27:$BA27)),
IF(BX$3=$DF27+'Model Setup'!$J$7,SUMIF($BH$3:$CE$3,"="&amp;$DF27+'Model Setup'!$J$7,$AD27:$BA27)+'Model Setup'!$J$8*(SUMIF($BH$3:$CE$3,"&lt;"&amp;$DF27,$AD27:$BA27)+SUMIF($BH$3:$CE$3,"&gt;"&amp;$CW$4,$AD27:$BA27)),
IF(BX$3=$DF27+'Model Setup'!$K$7,SUMIF($BH$3:$CE$3,"="&amp;$DF27+'Model Setup'!$K$7,$AD27:$BA27)+'Model Setup'!$K$8*(SUMIF($BH$3:$CE$3,"&lt;"&amp;$DF27,$AD27:$BA27)+SUMIF($BH$3:$CE$3,"&gt;"&amp;$CW$4,$AD27:$BA27)),
IF(BX$3=$DF27+'Model Setup'!$L$7,SUMIF($BH$3:$CE$3,"="&amp;$DF27+'Model Setup'!$L$7,$AD27:$BA27)+'Model Setup'!$L$8*(SUMIF($BH$3:$CE$3,"&lt;"&amp;$DF27,$AD27:$BA27)+SUMIF($BH$3:$CE$3,"&gt;"&amp;$CW$4,$AD27:$BA27)),
IF(BX$3=$DF27+'Model Setup'!$M$7,SUMIF($BH$3:$CE$3,"="&amp;$DF27+'Model Setup'!$M$7,$AD27:$BA27)+'Model Setup'!$M$8*(SUMIF($BH$3:$CE$3,"&lt;"&amp;$DF27,$AD27:$BA27)+SUMIF($BH$3:$CE$3,"&gt;"&amp;$CW$4,$AD27:$BA27)),
IF(BX$3=$DF27+'Model Setup'!$N$7,SUMIF($BH$3:$CE$3,"="&amp;$DF27+'Model Setup'!$N$7,$AD27:$BA27)+'Model Setup'!$N$8*(SUMIF($BH$3:$CE$3,"&lt;"&amp;$DF27,$AD27:$BA27)+SUMIF($BH$3:$CE$3,"&gt;"&amp;$CW$4,$AD27:$BA27)),
IF(BX$3&lt;$CW$4,R27,0))))))))))))))),0)</f>
        <v>36</v>
      </c>
      <c r="BY27" s="47">
        <f>ROUND(IF(OR(BY$3&lt;$DF27,BY$3&gt;$CW$4),0,
IF(BY$3=$DF27+'Model Setup'!$B$7,SUMIF($BH$3:$CE$3,"="&amp;$DF27+'Model Setup'!$B$7,$AD27:$BA27)+'Model Setup'!$B$8*(SUMIF($BH$3:$CE$3,"&lt;"&amp;$DF27,$AD27:$BA27)+SUMIF($BH$3:$CE$3,"&gt;"&amp;$CW$4,$AD27:$BA27)),
IF(BY$3=$DF27+'Model Setup'!$C$7,SUMIF($BH$3:$CE$3,"="&amp;$DF27+'Model Setup'!$C$7,$AD27:$BA27)+'Model Setup'!$C$8*(SUMIF($BH$3:$CE$3,"&lt;"&amp;$DF27,$AD27:$BA27)+SUMIF($BH$3:$CE$3,"&gt;"&amp;$CW$4,$AD27:$BA27)),
IF(BY$3=$DF27+'Model Setup'!$D$7,SUMIF($BH$3:$CE$3,"="&amp;$DF27+'Model Setup'!$D$7,$AD27:$BA27)+'Model Setup'!$D$8*(SUMIF($BH$3:$CE$3,"&lt;"&amp;$DF27,$AD27:$BA27)+SUMIF($BH$3:$CE$3,"&gt;"&amp;$CW$4,$AD27:$BA27)),
IF(BY$3=$DF27+'Model Setup'!$E$7,SUMIF($BH$3:$CE$3,"="&amp;$DF27+'Model Setup'!$E$7,$AD27:$BA27)+'Model Setup'!$E$8*(SUMIF($BH$3:$CE$3,"&lt;"&amp;$DF27,$AD27:$BA27)+SUMIF($BH$3:$CE$3,"&gt;"&amp;$CW$4,$AD27:$BA27)),
IF(BY$3=$DF27+'Model Setup'!$F$7,SUMIF($BH$3:$CE$3,"="&amp;$DF27+'Model Setup'!$F$7,$AD27:$BA27)+'Model Setup'!$F$8*(SUMIF($BH$3:$CE$3,"&lt;"&amp;$DF27,$AD27:$BA27)+SUMIF($BH$3:$CE$3,"&gt;"&amp;$CW$4,$AD27:$BA27)),
IF(BY$3=$DF27+'Model Setup'!$G$7,SUMIF($BH$3:$CE$3,"="&amp;$DF27+'Model Setup'!$G$7,$AD27:$BA27)+'Model Setup'!$G$8*(SUMIF($BH$3:$CE$3,"&lt;"&amp;$DF27,$AD27:$BA27)+SUMIF($BH$3:$CE$3,"&gt;"&amp;$CW$4,$AD27:$BA27)),
IF(BY$3=$DF27+'Model Setup'!$H$7,SUMIF($BH$3:$CE$3,"="&amp;$DF27+'Model Setup'!$H$7,$AD27:$BA27)+'Model Setup'!$H$8*(SUMIF($BH$3:$CE$3,"&lt;"&amp;$DF27,$AD27:$BA27)+SUMIF($BH$3:$CE$3,"&gt;"&amp;$CW$4,$AD27:$BA27)),
IF(BY$3=$DF27+'Model Setup'!$I$7,SUMIF($BH$3:$CE$3,"="&amp;$DF27+'Model Setup'!$I$7,$AD27:$BA27)+'Model Setup'!$I$8*(SUMIF($BH$3:$CE$3,"&lt;"&amp;$DF27,$AD27:$BA27)+SUMIF($BH$3:$CE$3,"&gt;"&amp;$CW$4,$AD27:$BA27)),
IF(BY$3=$DF27+'Model Setup'!$J$7,SUMIF($BH$3:$CE$3,"="&amp;$DF27+'Model Setup'!$J$7,$AD27:$BA27)+'Model Setup'!$J$8*(SUMIF($BH$3:$CE$3,"&lt;"&amp;$DF27,$AD27:$BA27)+SUMIF($BH$3:$CE$3,"&gt;"&amp;$CW$4,$AD27:$BA27)),
IF(BY$3=$DF27+'Model Setup'!$K$7,SUMIF($BH$3:$CE$3,"="&amp;$DF27+'Model Setup'!$K$7,$AD27:$BA27)+'Model Setup'!$K$8*(SUMIF($BH$3:$CE$3,"&lt;"&amp;$DF27,$AD27:$BA27)+SUMIF($BH$3:$CE$3,"&gt;"&amp;$CW$4,$AD27:$BA27)),
IF(BY$3=$DF27+'Model Setup'!$L$7,SUMIF($BH$3:$CE$3,"="&amp;$DF27+'Model Setup'!$L$7,$AD27:$BA27)+'Model Setup'!$L$8*(SUMIF($BH$3:$CE$3,"&lt;"&amp;$DF27,$AD27:$BA27)+SUMIF($BH$3:$CE$3,"&gt;"&amp;$CW$4,$AD27:$BA27)),
IF(BY$3=$DF27+'Model Setup'!$M$7,SUMIF($BH$3:$CE$3,"="&amp;$DF27+'Model Setup'!$M$7,$AD27:$BA27)+'Model Setup'!$M$8*(SUMIF($BH$3:$CE$3,"&lt;"&amp;$DF27,$AD27:$BA27)+SUMIF($BH$3:$CE$3,"&gt;"&amp;$CW$4,$AD27:$BA27)),
IF(BY$3=$DF27+'Model Setup'!$N$7,SUMIF($BH$3:$CE$3,"="&amp;$DF27+'Model Setup'!$N$7,$AD27:$BA27)+'Model Setup'!$N$8*(SUMIF($BH$3:$CE$3,"&lt;"&amp;$DF27,$AD27:$BA27)+SUMIF($BH$3:$CE$3,"&gt;"&amp;$CW$4,$AD27:$BA27)),
IF(BY$3&lt;$CW$4,S27,0))))))))))))))),0)</f>
        <v>35</v>
      </c>
      <c r="BZ27" s="47">
        <f>ROUND(IF(OR(BZ$3&lt;$DF27,BZ$3&gt;$CW$4),0,
IF(BZ$3=$DF27+'Model Setup'!$B$7,SUMIF($BH$3:$CE$3,"="&amp;$DF27+'Model Setup'!$B$7,$AD27:$BA27)+'Model Setup'!$B$8*(SUMIF($BH$3:$CE$3,"&lt;"&amp;$DF27,$AD27:$BA27)+SUMIF($BH$3:$CE$3,"&gt;"&amp;$CW$4,$AD27:$BA27)),
IF(BZ$3=$DF27+'Model Setup'!$C$7,SUMIF($BH$3:$CE$3,"="&amp;$DF27+'Model Setup'!$C$7,$AD27:$BA27)+'Model Setup'!$C$8*(SUMIF($BH$3:$CE$3,"&lt;"&amp;$DF27,$AD27:$BA27)+SUMIF($BH$3:$CE$3,"&gt;"&amp;$CW$4,$AD27:$BA27)),
IF(BZ$3=$DF27+'Model Setup'!$D$7,SUMIF($BH$3:$CE$3,"="&amp;$DF27+'Model Setup'!$D$7,$AD27:$BA27)+'Model Setup'!$D$8*(SUMIF($BH$3:$CE$3,"&lt;"&amp;$DF27,$AD27:$BA27)+SUMIF($BH$3:$CE$3,"&gt;"&amp;$CW$4,$AD27:$BA27)),
IF(BZ$3=$DF27+'Model Setup'!$E$7,SUMIF($BH$3:$CE$3,"="&amp;$DF27+'Model Setup'!$E$7,$AD27:$BA27)+'Model Setup'!$E$8*(SUMIF($BH$3:$CE$3,"&lt;"&amp;$DF27,$AD27:$BA27)+SUMIF($BH$3:$CE$3,"&gt;"&amp;$CW$4,$AD27:$BA27)),
IF(BZ$3=$DF27+'Model Setup'!$F$7,SUMIF($BH$3:$CE$3,"="&amp;$DF27+'Model Setup'!$F$7,$AD27:$BA27)+'Model Setup'!$F$8*(SUMIF($BH$3:$CE$3,"&lt;"&amp;$DF27,$AD27:$BA27)+SUMIF($BH$3:$CE$3,"&gt;"&amp;$CW$4,$AD27:$BA27)),
IF(BZ$3=$DF27+'Model Setup'!$G$7,SUMIF($BH$3:$CE$3,"="&amp;$DF27+'Model Setup'!$G$7,$AD27:$BA27)+'Model Setup'!$G$8*(SUMIF($BH$3:$CE$3,"&lt;"&amp;$DF27,$AD27:$BA27)+SUMIF($BH$3:$CE$3,"&gt;"&amp;$CW$4,$AD27:$BA27)),
IF(BZ$3=$DF27+'Model Setup'!$H$7,SUMIF($BH$3:$CE$3,"="&amp;$DF27+'Model Setup'!$H$7,$AD27:$BA27)+'Model Setup'!$H$8*(SUMIF($BH$3:$CE$3,"&lt;"&amp;$DF27,$AD27:$BA27)+SUMIF($BH$3:$CE$3,"&gt;"&amp;$CW$4,$AD27:$BA27)),
IF(BZ$3=$DF27+'Model Setup'!$I$7,SUMIF($BH$3:$CE$3,"="&amp;$DF27+'Model Setup'!$I$7,$AD27:$BA27)+'Model Setup'!$I$8*(SUMIF($BH$3:$CE$3,"&lt;"&amp;$DF27,$AD27:$BA27)+SUMIF($BH$3:$CE$3,"&gt;"&amp;$CW$4,$AD27:$BA27)),
IF(BZ$3=$DF27+'Model Setup'!$J$7,SUMIF($BH$3:$CE$3,"="&amp;$DF27+'Model Setup'!$J$7,$AD27:$BA27)+'Model Setup'!$J$8*(SUMIF($BH$3:$CE$3,"&lt;"&amp;$DF27,$AD27:$BA27)+SUMIF($BH$3:$CE$3,"&gt;"&amp;$CW$4,$AD27:$BA27)),
IF(BZ$3=$DF27+'Model Setup'!$K$7,SUMIF($BH$3:$CE$3,"="&amp;$DF27+'Model Setup'!$K$7,$AD27:$BA27)+'Model Setup'!$K$8*(SUMIF($BH$3:$CE$3,"&lt;"&amp;$DF27,$AD27:$BA27)+SUMIF($BH$3:$CE$3,"&gt;"&amp;$CW$4,$AD27:$BA27)),
IF(BZ$3=$DF27+'Model Setup'!$L$7,SUMIF($BH$3:$CE$3,"="&amp;$DF27+'Model Setup'!$L$7,$AD27:$BA27)+'Model Setup'!$L$8*(SUMIF($BH$3:$CE$3,"&lt;"&amp;$DF27,$AD27:$BA27)+SUMIF($BH$3:$CE$3,"&gt;"&amp;$CW$4,$AD27:$BA27)),
IF(BZ$3=$DF27+'Model Setup'!$M$7,SUMIF($BH$3:$CE$3,"="&amp;$DF27+'Model Setup'!$M$7,$AD27:$BA27)+'Model Setup'!$M$8*(SUMIF($BH$3:$CE$3,"&lt;"&amp;$DF27,$AD27:$BA27)+SUMIF($BH$3:$CE$3,"&gt;"&amp;$CW$4,$AD27:$BA27)),
IF(BZ$3=$DF27+'Model Setup'!$N$7,SUMIF($BH$3:$CE$3,"="&amp;$DF27+'Model Setup'!$N$7,$AD27:$BA27)+'Model Setup'!$N$8*(SUMIF($BH$3:$CE$3,"&lt;"&amp;$DF27,$AD27:$BA27)+SUMIF($BH$3:$CE$3,"&gt;"&amp;$CW$4,$AD27:$BA27)),
IF(BZ$3&lt;$CW$4,T27,0))))))))))))))),0)</f>
        <v>23</v>
      </c>
      <c r="CA27" s="47">
        <f>ROUND(IF(OR(CA$3&lt;$DF27,CA$3&gt;$CW$4),0,
IF(CA$3=$DF27+'Model Setup'!$B$7,SUMIF($BH$3:$CE$3,"="&amp;$DF27+'Model Setup'!$B$7,$AD27:$BA27)+'Model Setup'!$B$8*(SUMIF($BH$3:$CE$3,"&lt;"&amp;$DF27,$AD27:$BA27)+SUMIF($BH$3:$CE$3,"&gt;"&amp;$CW$4,$AD27:$BA27)),
IF(CA$3=$DF27+'Model Setup'!$C$7,SUMIF($BH$3:$CE$3,"="&amp;$DF27+'Model Setup'!$C$7,$AD27:$BA27)+'Model Setup'!$C$8*(SUMIF($BH$3:$CE$3,"&lt;"&amp;$DF27,$AD27:$BA27)+SUMIF($BH$3:$CE$3,"&gt;"&amp;$CW$4,$AD27:$BA27)),
IF(CA$3=$DF27+'Model Setup'!$D$7,SUMIF($BH$3:$CE$3,"="&amp;$DF27+'Model Setup'!$D$7,$AD27:$BA27)+'Model Setup'!$D$8*(SUMIF($BH$3:$CE$3,"&lt;"&amp;$DF27,$AD27:$BA27)+SUMIF($BH$3:$CE$3,"&gt;"&amp;$CW$4,$AD27:$BA27)),
IF(CA$3=$DF27+'Model Setup'!$E$7,SUMIF($BH$3:$CE$3,"="&amp;$DF27+'Model Setup'!$E$7,$AD27:$BA27)+'Model Setup'!$E$8*(SUMIF($BH$3:$CE$3,"&lt;"&amp;$DF27,$AD27:$BA27)+SUMIF($BH$3:$CE$3,"&gt;"&amp;$CW$4,$AD27:$BA27)),
IF(CA$3=$DF27+'Model Setup'!$F$7,SUMIF($BH$3:$CE$3,"="&amp;$DF27+'Model Setup'!$F$7,$AD27:$BA27)+'Model Setup'!$F$8*(SUMIF($BH$3:$CE$3,"&lt;"&amp;$DF27,$AD27:$BA27)+SUMIF($BH$3:$CE$3,"&gt;"&amp;$CW$4,$AD27:$BA27)),
IF(CA$3=$DF27+'Model Setup'!$G$7,SUMIF($BH$3:$CE$3,"="&amp;$DF27+'Model Setup'!$G$7,$AD27:$BA27)+'Model Setup'!$G$8*(SUMIF($BH$3:$CE$3,"&lt;"&amp;$DF27,$AD27:$BA27)+SUMIF($BH$3:$CE$3,"&gt;"&amp;$CW$4,$AD27:$BA27)),
IF(CA$3=$DF27+'Model Setup'!$H$7,SUMIF($BH$3:$CE$3,"="&amp;$DF27+'Model Setup'!$H$7,$AD27:$BA27)+'Model Setup'!$H$8*(SUMIF($BH$3:$CE$3,"&lt;"&amp;$DF27,$AD27:$BA27)+SUMIF($BH$3:$CE$3,"&gt;"&amp;$CW$4,$AD27:$BA27)),
IF(CA$3=$DF27+'Model Setup'!$I$7,SUMIF($BH$3:$CE$3,"="&amp;$DF27+'Model Setup'!$I$7,$AD27:$BA27)+'Model Setup'!$I$8*(SUMIF($BH$3:$CE$3,"&lt;"&amp;$DF27,$AD27:$BA27)+SUMIF($BH$3:$CE$3,"&gt;"&amp;$CW$4,$AD27:$BA27)),
IF(CA$3=$DF27+'Model Setup'!$J$7,SUMIF($BH$3:$CE$3,"="&amp;$DF27+'Model Setup'!$J$7,$AD27:$BA27)+'Model Setup'!$J$8*(SUMIF($BH$3:$CE$3,"&lt;"&amp;$DF27,$AD27:$BA27)+SUMIF($BH$3:$CE$3,"&gt;"&amp;$CW$4,$AD27:$BA27)),
IF(CA$3=$DF27+'Model Setup'!$K$7,SUMIF($BH$3:$CE$3,"="&amp;$DF27+'Model Setup'!$K$7,$AD27:$BA27)+'Model Setup'!$K$8*(SUMIF($BH$3:$CE$3,"&lt;"&amp;$DF27,$AD27:$BA27)+SUMIF($BH$3:$CE$3,"&gt;"&amp;$CW$4,$AD27:$BA27)),
IF(CA$3=$DF27+'Model Setup'!$L$7,SUMIF($BH$3:$CE$3,"="&amp;$DF27+'Model Setup'!$L$7,$AD27:$BA27)+'Model Setup'!$L$8*(SUMIF($BH$3:$CE$3,"&lt;"&amp;$DF27,$AD27:$BA27)+SUMIF($BH$3:$CE$3,"&gt;"&amp;$CW$4,$AD27:$BA27)),
IF(CA$3=$DF27+'Model Setup'!$M$7,SUMIF($BH$3:$CE$3,"="&amp;$DF27+'Model Setup'!$M$7,$AD27:$BA27)+'Model Setup'!$M$8*(SUMIF($BH$3:$CE$3,"&lt;"&amp;$DF27,$AD27:$BA27)+SUMIF($BH$3:$CE$3,"&gt;"&amp;$CW$4,$AD27:$BA27)),
IF(CA$3=$DF27+'Model Setup'!$N$7,SUMIF($BH$3:$CE$3,"="&amp;$DF27+'Model Setup'!$N$7,$AD27:$BA27)+'Model Setup'!$N$8*(SUMIF($BH$3:$CE$3,"&lt;"&amp;$DF27,$AD27:$BA27)+SUMIF($BH$3:$CE$3,"&gt;"&amp;$CW$4,$AD27:$BA27)),
IF(CA$3&lt;$CW$4,U27,0))))))))))))))),0)</f>
        <v>0</v>
      </c>
      <c r="CB27" s="47">
        <f>ROUND(IF(OR(CB$3&lt;$DF27,CB$3&gt;$CW$4),0,
IF(CB$3=$DF27+'Model Setup'!$B$7,SUMIF($BH$3:$CE$3,"="&amp;$DF27+'Model Setup'!$B$7,$AD27:$BA27)+'Model Setup'!$B$8*(SUMIF($BH$3:$CE$3,"&lt;"&amp;$DF27,$AD27:$BA27)+SUMIF($BH$3:$CE$3,"&gt;"&amp;$CW$4,$AD27:$BA27)),
IF(CB$3=$DF27+'Model Setup'!$C$7,SUMIF($BH$3:$CE$3,"="&amp;$DF27+'Model Setup'!$C$7,$AD27:$BA27)+'Model Setup'!$C$8*(SUMIF($BH$3:$CE$3,"&lt;"&amp;$DF27,$AD27:$BA27)+SUMIF($BH$3:$CE$3,"&gt;"&amp;$CW$4,$AD27:$BA27)),
IF(CB$3=$DF27+'Model Setup'!$D$7,SUMIF($BH$3:$CE$3,"="&amp;$DF27+'Model Setup'!$D$7,$AD27:$BA27)+'Model Setup'!$D$8*(SUMIF($BH$3:$CE$3,"&lt;"&amp;$DF27,$AD27:$BA27)+SUMIF($BH$3:$CE$3,"&gt;"&amp;$CW$4,$AD27:$BA27)),
IF(CB$3=$DF27+'Model Setup'!$E$7,SUMIF($BH$3:$CE$3,"="&amp;$DF27+'Model Setup'!$E$7,$AD27:$BA27)+'Model Setup'!$E$8*(SUMIF($BH$3:$CE$3,"&lt;"&amp;$DF27,$AD27:$BA27)+SUMIF($BH$3:$CE$3,"&gt;"&amp;$CW$4,$AD27:$BA27)),
IF(CB$3=$DF27+'Model Setup'!$F$7,SUMIF($BH$3:$CE$3,"="&amp;$DF27+'Model Setup'!$F$7,$AD27:$BA27)+'Model Setup'!$F$8*(SUMIF($BH$3:$CE$3,"&lt;"&amp;$DF27,$AD27:$BA27)+SUMIF($BH$3:$CE$3,"&gt;"&amp;$CW$4,$AD27:$BA27)),
IF(CB$3=$DF27+'Model Setup'!$G$7,SUMIF($BH$3:$CE$3,"="&amp;$DF27+'Model Setup'!$G$7,$AD27:$BA27)+'Model Setup'!$G$8*(SUMIF($BH$3:$CE$3,"&lt;"&amp;$DF27,$AD27:$BA27)+SUMIF($BH$3:$CE$3,"&gt;"&amp;$CW$4,$AD27:$BA27)),
IF(CB$3=$DF27+'Model Setup'!$H$7,SUMIF($BH$3:$CE$3,"="&amp;$DF27+'Model Setup'!$H$7,$AD27:$BA27)+'Model Setup'!$H$8*(SUMIF($BH$3:$CE$3,"&lt;"&amp;$DF27,$AD27:$BA27)+SUMIF($BH$3:$CE$3,"&gt;"&amp;$CW$4,$AD27:$BA27)),
IF(CB$3=$DF27+'Model Setup'!$I$7,SUMIF($BH$3:$CE$3,"="&amp;$DF27+'Model Setup'!$I$7,$AD27:$BA27)+'Model Setup'!$I$8*(SUMIF($BH$3:$CE$3,"&lt;"&amp;$DF27,$AD27:$BA27)+SUMIF($BH$3:$CE$3,"&gt;"&amp;$CW$4,$AD27:$BA27)),
IF(CB$3=$DF27+'Model Setup'!$J$7,SUMIF($BH$3:$CE$3,"="&amp;$DF27+'Model Setup'!$J$7,$AD27:$BA27)+'Model Setup'!$J$8*(SUMIF($BH$3:$CE$3,"&lt;"&amp;$DF27,$AD27:$BA27)+SUMIF($BH$3:$CE$3,"&gt;"&amp;$CW$4,$AD27:$BA27)),
IF(CB$3=$DF27+'Model Setup'!$K$7,SUMIF($BH$3:$CE$3,"="&amp;$DF27+'Model Setup'!$K$7,$AD27:$BA27)+'Model Setup'!$K$8*(SUMIF($BH$3:$CE$3,"&lt;"&amp;$DF27,$AD27:$BA27)+SUMIF($BH$3:$CE$3,"&gt;"&amp;$CW$4,$AD27:$BA27)),
IF(CB$3=$DF27+'Model Setup'!$L$7,SUMIF($BH$3:$CE$3,"="&amp;$DF27+'Model Setup'!$L$7,$AD27:$BA27)+'Model Setup'!$L$8*(SUMIF($BH$3:$CE$3,"&lt;"&amp;$DF27,$AD27:$BA27)+SUMIF($BH$3:$CE$3,"&gt;"&amp;$CW$4,$AD27:$BA27)),
IF(CB$3=$DF27+'Model Setup'!$M$7,SUMIF($BH$3:$CE$3,"="&amp;$DF27+'Model Setup'!$M$7,$AD27:$BA27)+'Model Setup'!$M$8*(SUMIF($BH$3:$CE$3,"&lt;"&amp;$DF27,$AD27:$BA27)+SUMIF($BH$3:$CE$3,"&gt;"&amp;$CW$4,$AD27:$BA27)),
IF(CB$3=$DF27+'Model Setup'!$N$7,SUMIF($BH$3:$CE$3,"="&amp;$DF27+'Model Setup'!$N$7,$AD27:$BA27)+'Model Setup'!$N$8*(SUMIF($BH$3:$CE$3,"&lt;"&amp;$DF27,$AD27:$BA27)+SUMIF($BH$3:$CE$3,"&gt;"&amp;$CW$4,$AD27:$BA27)),
IF(CB$3&lt;$CW$4,V27,0))))))))))))))),0)</f>
        <v>0</v>
      </c>
      <c r="CC27" s="47">
        <f>ROUND(IF(OR(CC$3&lt;$DF27,CC$3&gt;$CW$4),0,
IF(CC$3=$DF27+'Model Setup'!$B$7,SUMIF($BH$3:$CE$3,"="&amp;$DF27+'Model Setup'!$B$7,$AD27:$BA27)+'Model Setup'!$B$8*(SUMIF($BH$3:$CE$3,"&lt;"&amp;$DF27,$AD27:$BA27)+SUMIF($BH$3:$CE$3,"&gt;"&amp;$CW$4,$AD27:$BA27)),
IF(CC$3=$DF27+'Model Setup'!$C$7,SUMIF($BH$3:$CE$3,"="&amp;$DF27+'Model Setup'!$C$7,$AD27:$BA27)+'Model Setup'!$C$8*(SUMIF($BH$3:$CE$3,"&lt;"&amp;$DF27,$AD27:$BA27)+SUMIF($BH$3:$CE$3,"&gt;"&amp;$CW$4,$AD27:$BA27)),
IF(CC$3=$DF27+'Model Setup'!$D$7,SUMIF($BH$3:$CE$3,"="&amp;$DF27+'Model Setup'!$D$7,$AD27:$BA27)+'Model Setup'!$D$8*(SUMIF($BH$3:$CE$3,"&lt;"&amp;$DF27,$AD27:$BA27)+SUMIF($BH$3:$CE$3,"&gt;"&amp;$CW$4,$AD27:$BA27)),
IF(CC$3=$DF27+'Model Setup'!$E$7,SUMIF($BH$3:$CE$3,"="&amp;$DF27+'Model Setup'!$E$7,$AD27:$BA27)+'Model Setup'!$E$8*(SUMIF($BH$3:$CE$3,"&lt;"&amp;$DF27,$AD27:$BA27)+SUMIF($BH$3:$CE$3,"&gt;"&amp;$CW$4,$AD27:$BA27)),
IF(CC$3=$DF27+'Model Setup'!$F$7,SUMIF($BH$3:$CE$3,"="&amp;$DF27+'Model Setup'!$F$7,$AD27:$BA27)+'Model Setup'!$F$8*(SUMIF($BH$3:$CE$3,"&lt;"&amp;$DF27,$AD27:$BA27)+SUMIF($BH$3:$CE$3,"&gt;"&amp;$CW$4,$AD27:$BA27)),
IF(CC$3=$DF27+'Model Setup'!$G$7,SUMIF($BH$3:$CE$3,"="&amp;$DF27+'Model Setup'!$G$7,$AD27:$BA27)+'Model Setup'!$G$8*(SUMIF($BH$3:$CE$3,"&lt;"&amp;$DF27,$AD27:$BA27)+SUMIF($BH$3:$CE$3,"&gt;"&amp;$CW$4,$AD27:$BA27)),
IF(CC$3=$DF27+'Model Setup'!$H$7,SUMIF($BH$3:$CE$3,"="&amp;$DF27+'Model Setup'!$H$7,$AD27:$BA27)+'Model Setup'!$H$8*(SUMIF($BH$3:$CE$3,"&lt;"&amp;$DF27,$AD27:$BA27)+SUMIF($BH$3:$CE$3,"&gt;"&amp;$CW$4,$AD27:$BA27)),
IF(CC$3=$DF27+'Model Setup'!$I$7,SUMIF($BH$3:$CE$3,"="&amp;$DF27+'Model Setup'!$I$7,$AD27:$BA27)+'Model Setup'!$I$8*(SUMIF($BH$3:$CE$3,"&lt;"&amp;$DF27,$AD27:$BA27)+SUMIF($BH$3:$CE$3,"&gt;"&amp;$CW$4,$AD27:$BA27)),
IF(CC$3=$DF27+'Model Setup'!$J$7,SUMIF($BH$3:$CE$3,"="&amp;$DF27+'Model Setup'!$J$7,$AD27:$BA27)+'Model Setup'!$J$8*(SUMIF($BH$3:$CE$3,"&lt;"&amp;$DF27,$AD27:$BA27)+SUMIF($BH$3:$CE$3,"&gt;"&amp;$CW$4,$AD27:$BA27)),
IF(CC$3=$DF27+'Model Setup'!$K$7,SUMIF($BH$3:$CE$3,"="&amp;$DF27+'Model Setup'!$K$7,$AD27:$BA27)+'Model Setup'!$K$8*(SUMIF($BH$3:$CE$3,"&lt;"&amp;$DF27,$AD27:$BA27)+SUMIF($BH$3:$CE$3,"&gt;"&amp;$CW$4,$AD27:$BA27)),
IF(CC$3=$DF27+'Model Setup'!$L$7,SUMIF($BH$3:$CE$3,"="&amp;$DF27+'Model Setup'!$L$7,$AD27:$BA27)+'Model Setup'!$L$8*(SUMIF($BH$3:$CE$3,"&lt;"&amp;$DF27,$AD27:$BA27)+SUMIF($BH$3:$CE$3,"&gt;"&amp;$CW$4,$AD27:$BA27)),
IF(CC$3=$DF27+'Model Setup'!$M$7,SUMIF($BH$3:$CE$3,"="&amp;$DF27+'Model Setup'!$M$7,$AD27:$BA27)+'Model Setup'!$M$8*(SUMIF($BH$3:$CE$3,"&lt;"&amp;$DF27,$AD27:$BA27)+SUMIF($BH$3:$CE$3,"&gt;"&amp;$CW$4,$AD27:$BA27)),
IF(CC$3=$DF27+'Model Setup'!$N$7,SUMIF($BH$3:$CE$3,"="&amp;$DF27+'Model Setup'!$N$7,$AD27:$BA27)+'Model Setup'!$N$8*(SUMIF($BH$3:$CE$3,"&lt;"&amp;$DF27,$AD27:$BA27)+SUMIF($BH$3:$CE$3,"&gt;"&amp;$CW$4,$AD27:$BA27)),
IF(CC$3&lt;$CW$4,W27,0))))))))))))))),0)</f>
        <v>0</v>
      </c>
      <c r="CD27" s="47">
        <f>ROUND(IF(OR(CD$3&lt;$DF27,CD$3&gt;$CW$4),0,
IF(CD$3=$DF27+'Model Setup'!$B$7,SUMIF($BH$3:$CE$3,"="&amp;$DF27+'Model Setup'!$B$7,$AD27:$BA27)+'Model Setup'!$B$8*(SUMIF($BH$3:$CE$3,"&lt;"&amp;$DF27,$AD27:$BA27)+SUMIF($BH$3:$CE$3,"&gt;"&amp;$CW$4,$AD27:$BA27)),
IF(CD$3=$DF27+'Model Setup'!$C$7,SUMIF($BH$3:$CE$3,"="&amp;$DF27+'Model Setup'!$C$7,$AD27:$BA27)+'Model Setup'!$C$8*(SUMIF($BH$3:$CE$3,"&lt;"&amp;$DF27,$AD27:$BA27)+SUMIF($BH$3:$CE$3,"&gt;"&amp;$CW$4,$AD27:$BA27)),
IF(CD$3=$DF27+'Model Setup'!$D$7,SUMIF($BH$3:$CE$3,"="&amp;$DF27+'Model Setup'!$D$7,$AD27:$BA27)+'Model Setup'!$D$8*(SUMIF($BH$3:$CE$3,"&lt;"&amp;$DF27,$AD27:$BA27)+SUMIF($BH$3:$CE$3,"&gt;"&amp;$CW$4,$AD27:$BA27)),
IF(CD$3=$DF27+'Model Setup'!$E$7,SUMIF($BH$3:$CE$3,"="&amp;$DF27+'Model Setup'!$E$7,$AD27:$BA27)+'Model Setup'!$E$8*(SUMIF($BH$3:$CE$3,"&lt;"&amp;$DF27,$AD27:$BA27)+SUMIF($BH$3:$CE$3,"&gt;"&amp;$CW$4,$AD27:$BA27)),
IF(CD$3=$DF27+'Model Setup'!$F$7,SUMIF($BH$3:$CE$3,"="&amp;$DF27+'Model Setup'!$F$7,$AD27:$BA27)+'Model Setup'!$F$8*(SUMIF($BH$3:$CE$3,"&lt;"&amp;$DF27,$AD27:$BA27)+SUMIF($BH$3:$CE$3,"&gt;"&amp;$CW$4,$AD27:$BA27)),
IF(CD$3=$DF27+'Model Setup'!$G$7,SUMIF($BH$3:$CE$3,"="&amp;$DF27+'Model Setup'!$G$7,$AD27:$BA27)+'Model Setup'!$G$8*(SUMIF($BH$3:$CE$3,"&lt;"&amp;$DF27,$AD27:$BA27)+SUMIF($BH$3:$CE$3,"&gt;"&amp;$CW$4,$AD27:$BA27)),
IF(CD$3=$DF27+'Model Setup'!$H$7,SUMIF($BH$3:$CE$3,"="&amp;$DF27+'Model Setup'!$H$7,$AD27:$BA27)+'Model Setup'!$H$8*(SUMIF($BH$3:$CE$3,"&lt;"&amp;$DF27,$AD27:$BA27)+SUMIF($BH$3:$CE$3,"&gt;"&amp;$CW$4,$AD27:$BA27)),
IF(CD$3=$DF27+'Model Setup'!$I$7,SUMIF($BH$3:$CE$3,"="&amp;$DF27+'Model Setup'!$I$7,$AD27:$BA27)+'Model Setup'!$I$8*(SUMIF($BH$3:$CE$3,"&lt;"&amp;$DF27,$AD27:$BA27)+SUMIF($BH$3:$CE$3,"&gt;"&amp;$CW$4,$AD27:$BA27)),
IF(CD$3=$DF27+'Model Setup'!$J$7,SUMIF($BH$3:$CE$3,"="&amp;$DF27+'Model Setup'!$J$7,$AD27:$BA27)+'Model Setup'!$J$8*(SUMIF($BH$3:$CE$3,"&lt;"&amp;$DF27,$AD27:$BA27)+SUMIF($BH$3:$CE$3,"&gt;"&amp;$CW$4,$AD27:$BA27)),
IF(CD$3=$DF27+'Model Setup'!$K$7,SUMIF($BH$3:$CE$3,"="&amp;$DF27+'Model Setup'!$K$7,$AD27:$BA27)+'Model Setup'!$K$8*(SUMIF($BH$3:$CE$3,"&lt;"&amp;$DF27,$AD27:$BA27)+SUMIF($BH$3:$CE$3,"&gt;"&amp;$CW$4,$AD27:$BA27)),
IF(CD$3=$DF27+'Model Setup'!$L$7,SUMIF($BH$3:$CE$3,"="&amp;$DF27+'Model Setup'!$L$7,$AD27:$BA27)+'Model Setup'!$L$8*(SUMIF($BH$3:$CE$3,"&lt;"&amp;$DF27,$AD27:$BA27)+SUMIF($BH$3:$CE$3,"&gt;"&amp;$CW$4,$AD27:$BA27)),
IF(CD$3=$DF27+'Model Setup'!$M$7,SUMIF($BH$3:$CE$3,"="&amp;$DF27+'Model Setup'!$M$7,$AD27:$BA27)+'Model Setup'!$M$8*(SUMIF($BH$3:$CE$3,"&lt;"&amp;$DF27,$AD27:$BA27)+SUMIF($BH$3:$CE$3,"&gt;"&amp;$CW$4,$AD27:$BA27)),
IF(CD$3=$DF27+'Model Setup'!$N$7,SUMIF($BH$3:$CE$3,"="&amp;$DF27+'Model Setup'!$N$7,$AD27:$BA27)+'Model Setup'!$N$8*(SUMIF($BH$3:$CE$3,"&lt;"&amp;$DF27,$AD27:$BA27)+SUMIF($BH$3:$CE$3,"&gt;"&amp;$CW$4,$AD27:$BA27)),
IF(CD$3&lt;$CW$4,X27,0))))))))))))))),0)</f>
        <v>0</v>
      </c>
      <c r="CE27" s="47">
        <f>ROUND(IF(OR(CE$3&lt;$DF27,CE$3&gt;$CW$4),0,
IF(CE$3=$DF27+'Model Setup'!$B$7,SUMIF($BH$3:$CE$3,"="&amp;$DF27+'Model Setup'!$B$7,$AD27:$BA27)+'Model Setup'!$B$8*(SUMIF($BH$3:$CE$3,"&lt;"&amp;$DF27,$AD27:$BA27)+SUMIF($BH$3:$CE$3,"&gt;"&amp;$CW$4,$AD27:$BA27)),
IF(CE$3=$DF27+'Model Setup'!$C$7,SUMIF($BH$3:$CE$3,"="&amp;$DF27+'Model Setup'!$C$7,$AD27:$BA27)+'Model Setup'!$C$8*(SUMIF($BH$3:$CE$3,"&lt;"&amp;$DF27,$AD27:$BA27)+SUMIF($BH$3:$CE$3,"&gt;"&amp;$CW$4,$AD27:$BA27)),
IF(CE$3=$DF27+'Model Setup'!$D$7,SUMIF($BH$3:$CE$3,"="&amp;$DF27+'Model Setup'!$D$7,$AD27:$BA27)+'Model Setup'!$D$8*(SUMIF($BH$3:$CE$3,"&lt;"&amp;$DF27,$AD27:$BA27)+SUMIF($BH$3:$CE$3,"&gt;"&amp;$CW$4,$AD27:$BA27)),
IF(CE$3=$DF27+'Model Setup'!$E$7,SUMIF($BH$3:$CE$3,"="&amp;$DF27+'Model Setup'!$E$7,$AD27:$BA27)+'Model Setup'!$E$8*(SUMIF($BH$3:$CE$3,"&lt;"&amp;$DF27,$AD27:$BA27)+SUMIF($BH$3:$CE$3,"&gt;"&amp;$CW$4,$AD27:$BA27)),
IF(CE$3=$DF27+'Model Setup'!$F$7,SUMIF($BH$3:$CE$3,"="&amp;$DF27+'Model Setup'!$F$7,$AD27:$BA27)+'Model Setup'!$F$8*(SUMIF($BH$3:$CE$3,"&lt;"&amp;$DF27,$AD27:$BA27)+SUMIF($BH$3:$CE$3,"&gt;"&amp;$CW$4,$AD27:$BA27)),
IF(CE$3=$DF27+'Model Setup'!$G$7,SUMIF($BH$3:$CE$3,"="&amp;$DF27+'Model Setup'!$G$7,$AD27:$BA27)+'Model Setup'!$G$8*(SUMIF($BH$3:$CE$3,"&lt;"&amp;$DF27,$AD27:$BA27)+SUMIF($BH$3:$CE$3,"&gt;"&amp;$CW$4,$AD27:$BA27)),
IF(CE$3=$DF27+'Model Setup'!$H$7,SUMIF($BH$3:$CE$3,"="&amp;$DF27+'Model Setup'!$H$7,$AD27:$BA27)+'Model Setup'!$H$8*(SUMIF($BH$3:$CE$3,"&lt;"&amp;$DF27,$AD27:$BA27)+SUMIF($BH$3:$CE$3,"&gt;"&amp;$CW$4,$AD27:$BA27)),
IF(CE$3=$DF27+'Model Setup'!$I$7,SUMIF($BH$3:$CE$3,"="&amp;$DF27+'Model Setup'!$I$7,$AD27:$BA27)+'Model Setup'!$I$8*(SUMIF($BH$3:$CE$3,"&lt;"&amp;$DF27,$AD27:$BA27)+SUMIF($BH$3:$CE$3,"&gt;"&amp;$CW$4,$AD27:$BA27)),
IF(CE$3=$DF27+'Model Setup'!$J$7,SUMIF($BH$3:$CE$3,"="&amp;$DF27+'Model Setup'!$J$7,$AD27:$BA27)+'Model Setup'!$J$8*(SUMIF($BH$3:$CE$3,"&lt;"&amp;$DF27,$AD27:$BA27)+SUMIF($BH$3:$CE$3,"&gt;"&amp;$CW$4,$AD27:$BA27)),
IF(CE$3=$DF27+'Model Setup'!$K$7,SUMIF($BH$3:$CE$3,"="&amp;$DF27+'Model Setup'!$K$7,$AD27:$BA27)+'Model Setup'!$K$8*(SUMIF($BH$3:$CE$3,"&lt;"&amp;$DF27,$AD27:$BA27)+SUMIF($BH$3:$CE$3,"&gt;"&amp;$CW$4,$AD27:$BA27)),
IF(CE$3=$DF27+'Model Setup'!$L$7,SUMIF($BH$3:$CE$3,"="&amp;$DF27+'Model Setup'!$L$7,$AD27:$BA27)+'Model Setup'!$L$8*(SUMIF($BH$3:$CE$3,"&lt;"&amp;$DF27,$AD27:$BA27)+SUMIF($BH$3:$CE$3,"&gt;"&amp;$CW$4,$AD27:$BA27)),
IF(CE$3=$DF27+'Model Setup'!$M$7,SUMIF($BH$3:$CE$3,"="&amp;$DF27+'Model Setup'!$M$7,$AD27:$BA27)+'Model Setup'!$M$8*(SUMIF($BH$3:$CE$3,"&lt;"&amp;$DF27,$AD27:$BA27)+SUMIF($BH$3:$CE$3,"&gt;"&amp;$CW$4,$AD27:$BA27)),
IF(CE$3=$DF27+'Model Setup'!$N$7,SUMIF($BH$3:$CE$3,"="&amp;$DF27+'Model Setup'!$N$7,$AD27:$BA27)+'Model Setup'!$N$8*(SUMIF($BH$3:$CE$3,"&lt;"&amp;$DF27,$AD27:$BA27)+SUMIF($BH$3:$CE$3,"&gt;"&amp;$CW$4,$AD27:$BA27)),
IF(CE$3&lt;$CW$4,Y27,0))))))))))))))),0)</f>
        <v>0</v>
      </c>
      <c r="CF27" s="47">
        <f t="shared" si="3"/>
        <v>722</v>
      </c>
      <c r="CG27" s="47">
        <f t="shared" si="4"/>
        <v>0</v>
      </c>
      <c r="CI27" s="10" t="s">
        <v>42</v>
      </c>
      <c r="CJ27" s="126">
        <f t="shared" si="9"/>
        <v>0</v>
      </c>
      <c r="CK27" s="126">
        <f t="shared" si="10"/>
        <v>67</v>
      </c>
      <c r="CL27" s="126">
        <f t="shared" si="11"/>
        <v>101</v>
      </c>
      <c r="CM27" s="126">
        <f t="shared" si="12"/>
        <v>95</v>
      </c>
      <c r="CN27" s="126">
        <f t="shared" si="13"/>
        <v>75</v>
      </c>
      <c r="CO27" s="126">
        <f t="shared" si="14"/>
        <v>74</v>
      </c>
      <c r="CP27" s="126">
        <f t="shared" si="15"/>
        <v>56</v>
      </c>
      <c r="CQ27" s="126">
        <f t="shared" si="16"/>
        <v>49</v>
      </c>
      <c r="CR27" s="126">
        <f t="shared" si="17"/>
        <v>47</v>
      </c>
      <c r="CS27" s="126">
        <f t="shared" si="18"/>
        <v>34</v>
      </c>
      <c r="CT27" s="126">
        <f t="shared" si="19"/>
        <v>30</v>
      </c>
      <c r="CU27" s="126">
        <f t="shared" si="20"/>
        <v>36</v>
      </c>
      <c r="CV27" s="126">
        <f t="shared" si="21"/>
        <v>35</v>
      </c>
      <c r="CW27" s="126">
        <f t="shared" si="22"/>
        <v>23</v>
      </c>
      <c r="CX27" s="126">
        <f t="shared" si="23"/>
        <v>0</v>
      </c>
      <c r="CY27" s="126">
        <f t="shared" si="24"/>
        <v>0</v>
      </c>
      <c r="CZ27" s="47">
        <f t="shared" si="7"/>
        <v>722</v>
      </c>
      <c r="DC27" s="93" t="s">
        <v>42</v>
      </c>
      <c r="DD27" s="89">
        <f>FTC!E25</f>
        <v>0.25</v>
      </c>
      <c r="DE27" s="89">
        <f>FTC!F25</f>
        <v>0.75</v>
      </c>
      <c r="DF27" s="90">
        <f t="shared" si="25"/>
        <v>6</v>
      </c>
      <c r="DG27" s="91">
        <f t="shared" si="26"/>
        <v>18</v>
      </c>
      <c r="DH27" s="91">
        <f t="shared" si="27"/>
        <v>12</v>
      </c>
    </row>
    <row r="28" spans="1:112" x14ac:dyDescent="0.35">
      <c r="A28" s="43" t="s">
        <v>43</v>
      </c>
      <c r="B28" s="47">
        <v>2</v>
      </c>
      <c r="C28" s="47">
        <v>1</v>
      </c>
      <c r="D28" s="47">
        <v>1</v>
      </c>
      <c r="E28" s="6"/>
      <c r="F28" s="47">
        <v>2</v>
      </c>
      <c r="G28" s="47">
        <v>5</v>
      </c>
      <c r="H28" s="47">
        <v>48</v>
      </c>
      <c r="I28" s="47">
        <v>69</v>
      </c>
      <c r="J28" s="47">
        <v>85</v>
      </c>
      <c r="K28" s="47">
        <v>61</v>
      </c>
      <c r="L28" s="47">
        <v>80</v>
      </c>
      <c r="M28" s="47">
        <v>51</v>
      </c>
      <c r="N28" s="47">
        <v>34</v>
      </c>
      <c r="O28" s="47">
        <v>33</v>
      </c>
      <c r="P28" s="47">
        <v>26</v>
      </c>
      <c r="Q28" s="47">
        <v>22</v>
      </c>
      <c r="R28" s="47">
        <v>13</v>
      </c>
      <c r="S28" s="47">
        <v>14</v>
      </c>
      <c r="T28" s="47">
        <v>15</v>
      </c>
      <c r="U28" s="47">
        <v>11</v>
      </c>
      <c r="V28" s="47">
        <v>5</v>
      </c>
      <c r="W28" s="47">
        <v>3</v>
      </c>
      <c r="X28" s="47">
        <v>7</v>
      </c>
      <c r="Y28" s="47">
        <v>2</v>
      </c>
      <c r="Z28" s="47">
        <f t="shared" si="0"/>
        <v>590</v>
      </c>
      <c r="AC28" s="43" t="s">
        <v>43</v>
      </c>
      <c r="AD28" s="47">
        <f>ROUND(IF(AD$3&lt;$DF28,0,
IF(AD$3=$DF28+'Model Setup'!$B$7,SUMIF($AD$3:$BA$3,"="&amp;$DF28+'Model Setup'!$B$7,$B28:$Y28)+'Model Setup'!$B$8*(SUMIF($AD$3:$BA$3,"&lt;"&amp;$DF28,$B28:$Y28)+SUMIF($AD$3:$BA$3,"&gt;="&amp;$DG28,$B28:$Y28)),
IF(AD$3=$DF28+'Model Setup'!$C$7,SUMIF($AD$3:$BA$3,"="&amp;$DF28+'Model Setup'!$C$7,$B28:$Y28)+'Model Setup'!$C$8*(SUMIF($AD$3:$BA$3,"&lt;"&amp;$DF28,$B28:$Y28)+SUMIF($AD$3:$BA$3,"&gt;="&amp;$DG28,$B28:$Y28)),
IF(AD$3=$DF28+'Model Setup'!$D$7,SUMIF($AD$3:$BA$3,"="&amp;$DF28+'Model Setup'!$D$7,$B28:$Y28)+'Model Setup'!$D$8*(SUMIF($AD$3:$BA$3,"&lt;"&amp;$DF28,$B28:$Y28)+SUMIF($AD$3:$BA$3,"&gt;="&amp;$DG28,$B28:$Y28)),
IF(AD$3=$DF28+'Model Setup'!$E$7,SUMIF($AD$3:$BA$3,"="&amp;$DF28+'Model Setup'!$E$7,$B28:$Y28)+'Model Setup'!$E$8*(SUMIF($AD$3:$BA$3,"&lt;"&amp;$DF28,$B28:$Y28)+SUMIF($AD$3:$BA$3,"&gt;="&amp;$DG28,$B28:$Y28)),
IF(AD$3=$DF28+'Model Setup'!$F$7,SUMIF($AD$3:$BA$3,"="&amp;$DF28+'Model Setup'!$F$7,$B28:$Y28)+'Model Setup'!$F$8*(SUMIF($AD$3:$BA$3,"&lt;"&amp;$DF28,$B28:$Y28)+SUMIF($AD$3:$BA$3,"&gt;="&amp;$DG28,$B28:$Y28)),
IF(AD$3=$DF28+'Model Setup'!$G$7,SUMIF($AD$3:$BA$3,"="&amp;$DF28+'Model Setup'!$G$7,$B28:$Y28)+'Model Setup'!$G$8*(SUMIF($AD$3:$BA$3,"&lt;"&amp;$DF28,$B28:$Y28)+SUMIF($AD$3:$BA$3,"&gt;="&amp;$DG28,$B28:$Y28)),
IF(AD$3=$DF28+'Model Setup'!$H$7,SUMIF($AD$3:$BA$3,"="&amp;$DF28+'Model Setup'!$H$7,$B28:$Y28)+'Model Setup'!$H$8*(SUMIF($AD$3:$BA$3,"&lt;"&amp;$DF28,$B28:$Y28)+SUMIF($AD$3:$BA$3,"&gt;="&amp;$DG28,$B28:$Y28)),
IF(AD$3=$DF28+'Model Setup'!$I$7,SUMIF($AD$3:$BA$3,"="&amp;$DF28+'Model Setup'!$I$7,$B28:$Y28)+'Model Setup'!$I$8*(SUMIF($AD$3:$BA$3,"&lt;"&amp;$DF28,$B28:$Y28)+SUMIF($AD$3:$BA$3,"&gt;="&amp;$DG28,$B28:$Y28)),
IF(AD$3=$DF28+'Model Setup'!$J$7,SUMIF($AD$3:$BA$3,"="&amp;$DF28+'Model Setup'!$J$7,$B28:$Y28)+'Model Setup'!$J$8*(SUMIF($AD$3:$BA$3,"&lt;"&amp;$DF28,$B28:$Y28)+SUMIF($AD$3:$BA$3,"&gt;="&amp;$DG28,$B28:$Y28)),
IF(AD$3=$DF28+'Model Setup'!$K$7,SUMIF($AD$3:$BA$3,"="&amp;$DF28+'Model Setup'!$K$7,$B28:$Y28)+'Model Setup'!$K$8*(SUMIF($AD$3:$BA$3,"&lt;"&amp;$DF28,$B28:$Y28)+SUMIF($AD$3:$BA$3,"&gt;="&amp;$DG28,$B28:$Y28)),
IF(AD$3=$DF28+'Model Setup'!$L$7,SUMIF($AD$3:$BA$3,"="&amp;$DF28+'Model Setup'!$L$7,$B28:$Y28)+'Model Setup'!$L$8*(SUMIF($AD$3:$BA$3,"&lt;"&amp;$DF28,$B28:$Y28)+SUMIF($AD$3:$BA$3,"&gt;="&amp;$DG28,$B28:$Y28)),
IF(AD$3=$DF28+'Model Setup'!$M$7,SUMIF($AD$3:$BA$3,"="&amp;$DF28+'Model Setup'!$M$7,$B28:$Y28)+'Model Setup'!$M$8*(SUMIF($AD$3:$BA$3,"&lt;"&amp;$DF28,$B28:$Y28)+SUMIF($AD$3:$BA$3,"&gt;="&amp;$DG28,$B28:$Y28)),
IF(AD$3=$DF28+'Model Setup'!$N$7,SUMIF($AD$3:$BA$3,"="&amp;$DF28+'Model Setup'!$N$7,$B28:$Y28)+'Model Setup'!$N$8*(SUMIF($AD$3:$BA$3,"&lt;"&amp;$DF28,$B28:$Y28)+SUMIF($AD$3:$BA$3,"&gt;="&amp;$DG28,$B28:$Y28)),
IF(AD$3&lt;$DG28,B28,0))))))))))))))),0)</f>
        <v>0</v>
      </c>
      <c r="AE28" s="47">
        <f>ROUND(IF(AE$3&lt;$DF28,0,
IF(AE$3=$DF28+'Model Setup'!$B$7,SUMIF($AD$3:$BA$3,"="&amp;$DF28+'Model Setup'!$B$7,$B28:$Y28)+'Model Setup'!$B$8*(SUMIF($AD$3:$BA$3,"&lt;"&amp;$DF28,$B28:$Y28)+SUMIF($AD$3:$BA$3,"&gt;="&amp;$DG28,$B28:$Y28)),
IF(AE$3=$DF28+'Model Setup'!$C$7,SUMIF($AD$3:$BA$3,"="&amp;$DF28+'Model Setup'!$C$7,$B28:$Y28)+'Model Setup'!$C$8*(SUMIF($AD$3:$BA$3,"&lt;"&amp;$DF28,$B28:$Y28)+SUMIF($AD$3:$BA$3,"&gt;="&amp;$DG28,$B28:$Y28)),
IF(AE$3=$DF28+'Model Setup'!$D$7,SUMIF($AD$3:$BA$3,"="&amp;$DF28+'Model Setup'!$D$7,$B28:$Y28)+'Model Setup'!$D$8*(SUMIF($AD$3:$BA$3,"&lt;"&amp;$DF28,$B28:$Y28)+SUMIF($AD$3:$BA$3,"&gt;="&amp;$DG28,$B28:$Y28)),
IF(AE$3=$DF28+'Model Setup'!$E$7,SUMIF($AD$3:$BA$3,"="&amp;$DF28+'Model Setup'!$E$7,$B28:$Y28)+'Model Setup'!$E$8*(SUMIF($AD$3:$BA$3,"&lt;"&amp;$DF28,$B28:$Y28)+SUMIF($AD$3:$BA$3,"&gt;="&amp;$DG28,$B28:$Y28)),
IF(AE$3=$DF28+'Model Setup'!$F$7,SUMIF($AD$3:$BA$3,"="&amp;$DF28+'Model Setup'!$F$7,$B28:$Y28)+'Model Setup'!$F$8*(SUMIF($AD$3:$BA$3,"&lt;"&amp;$DF28,$B28:$Y28)+SUMIF($AD$3:$BA$3,"&gt;="&amp;$DG28,$B28:$Y28)),
IF(AE$3=$DF28+'Model Setup'!$G$7,SUMIF($AD$3:$BA$3,"="&amp;$DF28+'Model Setup'!$G$7,$B28:$Y28)+'Model Setup'!$G$8*(SUMIF($AD$3:$BA$3,"&lt;"&amp;$DF28,$B28:$Y28)+SUMIF($AD$3:$BA$3,"&gt;="&amp;$DG28,$B28:$Y28)),
IF(AE$3=$DF28+'Model Setup'!$H$7,SUMIF($AD$3:$BA$3,"="&amp;$DF28+'Model Setup'!$H$7,$B28:$Y28)+'Model Setup'!$H$8*(SUMIF($AD$3:$BA$3,"&lt;"&amp;$DF28,$B28:$Y28)+SUMIF($AD$3:$BA$3,"&gt;="&amp;$DG28,$B28:$Y28)),
IF(AE$3=$DF28+'Model Setup'!$I$7,SUMIF($AD$3:$BA$3,"="&amp;$DF28+'Model Setup'!$I$7,$B28:$Y28)+'Model Setup'!$I$8*(SUMIF($AD$3:$BA$3,"&lt;"&amp;$DF28,$B28:$Y28)+SUMIF($AD$3:$BA$3,"&gt;="&amp;$DG28,$B28:$Y28)),
IF(AE$3=$DF28+'Model Setup'!$J$7,SUMIF($AD$3:$BA$3,"="&amp;$DF28+'Model Setup'!$J$7,$B28:$Y28)+'Model Setup'!$J$8*(SUMIF($AD$3:$BA$3,"&lt;"&amp;$DF28,$B28:$Y28)+SUMIF($AD$3:$BA$3,"&gt;="&amp;$DG28,$B28:$Y28)),
IF(AE$3=$DF28+'Model Setup'!$K$7,SUMIF($AD$3:$BA$3,"="&amp;$DF28+'Model Setup'!$K$7,$B28:$Y28)+'Model Setup'!$K$8*(SUMIF($AD$3:$BA$3,"&lt;"&amp;$DF28,$B28:$Y28)+SUMIF($AD$3:$BA$3,"&gt;="&amp;$DG28,$B28:$Y28)),
IF(AE$3=$DF28+'Model Setup'!$L$7,SUMIF($AD$3:$BA$3,"="&amp;$DF28+'Model Setup'!$L$7,$B28:$Y28)+'Model Setup'!$L$8*(SUMIF($AD$3:$BA$3,"&lt;"&amp;$DF28,$B28:$Y28)+SUMIF($AD$3:$BA$3,"&gt;="&amp;$DG28,$B28:$Y28)),
IF(AE$3=$DF28+'Model Setup'!$M$7,SUMIF($AD$3:$BA$3,"="&amp;$DF28+'Model Setup'!$M$7,$B28:$Y28)+'Model Setup'!$M$8*(SUMIF($AD$3:$BA$3,"&lt;"&amp;$DF28,$B28:$Y28)+SUMIF($AD$3:$BA$3,"&gt;="&amp;$DG28,$B28:$Y28)),
IF(AE$3=$DF28+'Model Setup'!$N$7,SUMIF($AD$3:$BA$3,"="&amp;$DF28+'Model Setup'!$N$7,$B28:$Y28)+'Model Setup'!$N$8*(SUMIF($AD$3:$BA$3,"&lt;"&amp;$DF28,$B28:$Y28)+SUMIF($AD$3:$BA$3,"&gt;="&amp;$DG28,$B28:$Y28)),
IF(AE$3&lt;$DG28,C28,0))))))))))))))),0)</f>
        <v>0</v>
      </c>
      <c r="AF28" s="47">
        <f>ROUND(IF(AF$3&lt;$DF28,0,
IF(AF$3=$DF28+'Model Setup'!$B$7,SUMIF($AD$3:$BA$3,"="&amp;$DF28+'Model Setup'!$B$7,$B28:$Y28)+'Model Setup'!$B$8*(SUMIF($AD$3:$BA$3,"&lt;"&amp;$DF28,$B28:$Y28)+SUMIF($AD$3:$BA$3,"&gt;="&amp;$DG28,$B28:$Y28)),
IF(AF$3=$DF28+'Model Setup'!$C$7,SUMIF($AD$3:$BA$3,"="&amp;$DF28+'Model Setup'!$C$7,$B28:$Y28)+'Model Setup'!$C$8*(SUMIF($AD$3:$BA$3,"&lt;"&amp;$DF28,$B28:$Y28)+SUMIF($AD$3:$BA$3,"&gt;="&amp;$DG28,$B28:$Y28)),
IF(AF$3=$DF28+'Model Setup'!$D$7,SUMIF($AD$3:$BA$3,"="&amp;$DF28+'Model Setup'!$D$7,$B28:$Y28)+'Model Setup'!$D$8*(SUMIF($AD$3:$BA$3,"&lt;"&amp;$DF28,$B28:$Y28)+SUMIF($AD$3:$BA$3,"&gt;="&amp;$DG28,$B28:$Y28)),
IF(AF$3=$DF28+'Model Setup'!$E$7,SUMIF($AD$3:$BA$3,"="&amp;$DF28+'Model Setup'!$E$7,$B28:$Y28)+'Model Setup'!$E$8*(SUMIF($AD$3:$BA$3,"&lt;"&amp;$DF28,$B28:$Y28)+SUMIF($AD$3:$BA$3,"&gt;="&amp;$DG28,$B28:$Y28)),
IF(AF$3=$DF28+'Model Setup'!$F$7,SUMIF($AD$3:$BA$3,"="&amp;$DF28+'Model Setup'!$F$7,$B28:$Y28)+'Model Setup'!$F$8*(SUMIF($AD$3:$BA$3,"&lt;"&amp;$DF28,$B28:$Y28)+SUMIF($AD$3:$BA$3,"&gt;="&amp;$DG28,$B28:$Y28)),
IF(AF$3=$DF28+'Model Setup'!$G$7,SUMIF($AD$3:$BA$3,"="&amp;$DF28+'Model Setup'!$G$7,$B28:$Y28)+'Model Setup'!$G$8*(SUMIF($AD$3:$BA$3,"&lt;"&amp;$DF28,$B28:$Y28)+SUMIF($AD$3:$BA$3,"&gt;="&amp;$DG28,$B28:$Y28)),
IF(AF$3=$DF28+'Model Setup'!$H$7,SUMIF($AD$3:$BA$3,"="&amp;$DF28+'Model Setup'!$H$7,$B28:$Y28)+'Model Setup'!$H$8*(SUMIF($AD$3:$BA$3,"&lt;"&amp;$DF28,$B28:$Y28)+SUMIF($AD$3:$BA$3,"&gt;="&amp;$DG28,$B28:$Y28)),
IF(AF$3=$DF28+'Model Setup'!$I$7,SUMIF($AD$3:$BA$3,"="&amp;$DF28+'Model Setup'!$I$7,$B28:$Y28)+'Model Setup'!$I$8*(SUMIF($AD$3:$BA$3,"&lt;"&amp;$DF28,$B28:$Y28)+SUMIF($AD$3:$BA$3,"&gt;="&amp;$DG28,$B28:$Y28)),
IF(AF$3=$DF28+'Model Setup'!$J$7,SUMIF($AD$3:$BA$3,"="&amp;$DF28+'Model Setup'!$J$7,$B28:$Y28)+'Model Setup'!$J$8*(SUMIF($AD$3:$BA$3,"&lt;"&amp;$DF28,$B28:$Y28)+SUMIF($AD$3:$BA$3,"&gt;="&amp;$DG28,$B28:$Y28)),
IF(AF$3=$DF28+'Model Setup'!$K$7,SUMIF($AD$3:$BA$3,"="&amp;$DF28+'Model Setup'!$K$7,$B28:$Y28)+'Model Setup'!$K$8*(SUMIF($AD$3:$BA$3,"&lt;"&amp;$DF28,$B28:$Y28)+SUMIF($AD$3:$BA$3,"&gt;="&amp;$DG28,$B28:$Y28)),
IF(AF$3=$DF28+'Model Setup'!$L$7,SUMIF($AD$3:$BA$3,"="&amp;$DF28+'Model Setup'!$L$7,$B28:$Y28)+'Model Setup'!$L$8*(SUMIF($AD$3:$BA$3,"&lt;"&amp;$DF28,$B28:$Y28)+SUMIF($AD$3:$BA$3,"&gt;="&amp;$DG28,$B28:$Y28)),
IF(AF$3=$DF28+'Model Setup'!$M$7,SUMIF($AD$3:$BA$3,"="&amp;$DF28+'Model Setup'!$M$7,$B28:$Y28)+'Model Setup'!$M$8*(SUMIF($AD$3:$BA$3,"&lt;"&amp;$DF28,$B28:$Y28)+SUMIF($AD$3:$BA$3,"&gt;="&amp;$DG28,$B28:$Y28)),
IF(AF$3=$DF28+'Model Setup'!$N$7,SUMIF($AD$3:$BA$3,"="&amp;$DF28+'Model Setup'!$N$7,$B28:$Y28)+'Model Setup'!$N$8*(SUMIF($AD$3:$BA$3,"&lt;"&amp;$DF28,$B28:$Y28)+SUMIF($AD$3:$BA$3,"&gt;="&amp;$DG28,$B28:$Y28)),
IF(AF$3&lt;$DG28,D28,0))))))))))))))),0)</f>
        <v>0</v>
      </c>
      <c r="AG28" s="47">
        <f>ROUND(IF(AG$3&lt;$DF28,0,
IF(AG$3=$DF28+'Model Setup'!$B$7,SUMIF($AD$3:$BA$3,"="&amp;$DF28+'Model Setup'!$B$7,$B28:$Y28)+'Model Setup'!$B$8*(SUMIF($AD$3:$BA$3,"&lt;"&amp;$DF28,$B28:$Y28)+SUMIF($AD$3:$BA$3,"&gt;="&amp;$DG28,$B28:$Y28)),
IF(AG$3=$DF28+'Model Setup'!$C$7,SUMIF($AD$3:$BA$3,"="&amp;$DF28+'Model Setup'!$C$7,$B28:$Y28)+'Model Setup'!$C$8*(SUMIF($AD$3:$BA$3,"&lt;"&amp;$DF28,$B28:$Y28)+SUMIF($AD$3:$BA$3,"&gt;="&amp;$DG28,$B28:$Y28)),
IF(AG$3=$DF28+'Model Setup'!$D$7,SUMIF($AD$3:$BA$3,"="&amp;$DF28+'Model Setup'!$D$7,$B28:$Y28)+'Model Setup'!$D$8*(SUMIF($AD$3:$BA$3,"&lt;"&amp;$DF28,$B28:$Y28)+SUMIF($AD$3:$BA$3,"&gt;="&amp;$DG28,$B28:$Y28)),
IF(AG$3=$DF28+'Model Setup'!$E$7,SUMIF($AD$3:$BA$3,"="&amp;$DF28+'Model Setup'!$E$7,$B28:$Y28)+'Model Setup'!$E$8*(SUMIF($AD$3:$BA$3,"&lt;"&amp;$DF28,$B28:$Y28)+SUMIF($AD$3:$BA$3,"&gt;="&amp;$DG28,$B28:$Y28)),
IF(AG$3=$DF28+'Model Setup'!$F$7,SUMIF($AD$3:$BA$3,"="&amp;$DF28+'Model Setup'!$F$7,$B28:$Y28)+'Model Setup'!$F$8*(SUMIF($AD$3:$BA$3,"&lt;"&amp;$DF28,$B28:$Y28)+SUMIF($AD$3:$BA$3,"&gt;="&amp;$DG28,$B28:$Y28)),
IF(AG$3=$DF28+'Model Setup'!$G$7,SUMIF($AD$3:$BA$3,"="&amp;$DF28+'Model Setup'!$G$7,$B28:$Y28)+'Model Setup'!$G$8*(SUMIF($AD$3:$BA$3,"&lt;"&amp;$DF28,$B28:$Y28)+SUMIF($AD$3:$BA$3,"&gt;="&amp;$DG28,$B28:$Y28)),
IF(AG$3=$DF28+'Model Setup'!$H$7,SUMIF($AD$3:$BA$3,"="&amp;$DF28+'Model Setup'!$H$7,$B28:$Y28)+'Model Setup'!$H$8*(SUMIF($AD$3:$BA$3,"&lt;"&amp;$DF28,$B28:$Y28)+SUMIF($AD$3:$BA$3,"&gt;="&amp;$DG28,$B28:$Y28)),
IF(AG$3=$DF28+'Model Setup'!$I$7,SUMIF($AD$3:$BA$3,"="&amp;$DF28+'Model Setup'!$I$7,$B28:$Y28)+'Model Setup'!$I$8*(SUMIF($AD$3:$BA$3,"&lt;"&amp;$DF28,$B28:$Y28)+SUMIF($AD$3:$BA$3,"&gt;="&amp;$DG28,$B28:$Y28)),
IF(AG$3=$DF28+'Model Setup'!$J$7,SUMIF($AD$3:$BA$3,"="&amp;$DF28+'Model Setup'!$J$7,$B28:$Y28)+'Model Setup'!$J$8*(SUMIF($AD$3:$BA$3,"&lt;"&amp;$DF28,$B28:$Y28)+SUMIF($AD$3:$BA$3,"&gt;="&amp;$DG28,$B28:$Y28)),
IF(AG$3=$DF28+'Model Setup'!$K$7,SUMIF($AD$3:$BA$3,"="&amp;$DF28+'Model Setup'!$K$7,$B28:$Y28)+'Model Setup'!$K$8*(SUMIF($AD$3:$BA$3,"&lt;"&amp;$DF28,$B28:$Y28)+SUMIF($AD$3:$BA$3,"&gt;="&amp;$DG28,$B28:$Y28)),
IF(AG$3=$DF28+'Model Setup'!$L$7,SUMIF($AD$3:$BA$3,"="&amp;$DF28+'Model Setup'!$L$7,$B28:$Y28)+'Model Setup'!$L$8*(SUMIF($AD$3:$BA$3,"&lt;"&amp;$DF28,$B28:$Y28)+SUMIF($AD$3:$BA$3,"&gt;="&amp;$DG28,$B28:$Y28)),
IF(AG$3=$DF28+'Model Setup'!$M$7,SUMIF($AD$3:$BA$3,"="&amp;$DF28+'Model Setup'!$M$7,$B28:$Y28)+'Model Setup'!$M$8*(SUMIF($AD$3:$BA$3,"&lt;"&amp;$DF28,$B28:$Y28)+SUMIF($AD$3:$BA$3,"&gt;="&amp;$DG28,$B28:$Y28)),
IF(AG$3=$DF28+'Model Setup'!$N$7,SUMIF($AD$3:$BA$3,"="&amp;$DF28+'Model Setup'!$N$7,$B28:$Y28)+'Model Setup'!$N$8*(SUMIF($AD$3:$BA$3,"&lt;"&amp;$DF28,$B28:$Y28)+SUMIF($AD$3:$BA$3,"&gt;="&amp;$DG28,$B28:$Y28)),
IF(AG$3&lt;$DG28,E28,0))))))))))))))),0)</f>
        <v>0</v>
      </c>
      <c r="AH28" s="47">
        <f>ROUND(IF(AH$3&lt;$DF28,0,
IF(AH$3=$DF28+'Model Setup'!$B$7,SUMIF($AD$3:$BA$3,"="&amp;$DF28+'Model Setup'!$B$7,$B28:$Y28)+'Model Setup'!$B$8*(SUMIF($AD$3:$BA$3,"&lt;"&amp;$DF28,$B28:$Y28)+SUMIF($AD$3:$BA$3,"&gt;="&amp;$DG28,$B28:$Y28)),
IF(AH$3=$DF28+'Model Setup'!$C$7,SUMIF($AD$3:$BA$3,"="&amp;$DF28+'Model Setup'!$C$7,$B28:$Y28)+'Model Setup'!$C$8*(SUMIF($AD$3:$BA$3,"&lt;"&amp;$DF28,$B28:$Y28)+SUMIF($AD$3:$BA$3,"&gt;="&amp;$DG28,$B28:$Y28)),
IF(AH$3=$DF28+'Model Setup'!$D$7,SUMIF($AD$3:$BA$3,"="&amp;$DF28+'Model Setup'!$D$7,$B28:$Y28)+'Model Setup'!$D$8*(SUMIF($AD$3:$BA$3,"&lt;"&amp;$DF28,$B28:$Y28)+SUMIF($AD$3:$BA$3,"&gt;="&amp;$DG28,$B28:$Y28)),
IF(AH$3=$DF28+'Model Setup'!$E$7,SUMIF($AD$3:$BA$3,"="&amp;$DF28+'Model Setup'!$E$7,$B28:$Y28)+'Model Setup'!$E$8*(SUMIF($AD$3:$BA$3,"&lt;"&amp;$DF28,$B28:$Y28)+SUMIF($AD$3:$BA$3,"&gt;="&amp;$DG28,$B28:$Y28)),
IF(AH$3=$DF28+'Model Setup'!$F$7,SUMIF($AD$3:$BA$3,"="&amp;$DF28+'Model Setup'!$F$7,$B28:$Y28)+'Model Setup'!$F$8*(SUMIF($AD$3:$BA$3,"&lt;"&amp;$DF28,$B28:$Y28)+SUMIF($AD$3:$BA$3,"&gt;="&amp;$DG28,$B28:$Y28)),
IF(AH$3=$DF28+'Model Setup'!$G$7,SUMIF($AD$3:$BA$3,"="&amp;$DF28+'Model Setup'!$G$7,$B28:$Y28)+'Model Setup'!$G$8*(SUMIF($AD$3:$BA$3,"&lt;"&amp;$DF28,$B28:$Y28)+SUMIF($AD$3:$BA$3,"&gt;="&amp;$DG28,$B28:$Y28)),
IF(AH$3=$DF28+'Model Setup'!$H$7,SUMIF($AD$3:$BA$3,"="&amp;$DF28+'Model Setup'!$H$7,$B28:$Y28)+'Model Setup'!$H$8*(SUMIF($AD$3:$BA$3,"&lt;"&amp;$DF28,$B28:$Y28)+SUMIF($AD$3:$BA$3,"&gt;="&amp;$DG28,$B28:$Y28)),
IF(AH$3=$DF28+'Model Setup'!$I$7,SUMIF($AD$3:$BA$3,"="&amp;$DF28+'Model Setup'!$I$7,$B28:$Y28)+'Model Setup'!$I$8*(SUMIF($AD$3:$BA$3,"&lt;"&amp;$DF28,$B28:$Y28)+SUMIF($AD$3:$BA$3,"&gt;="&amp;$DG28,$B28:$Y28)),
IF(AH$3=$DF28+'Model Setup'!$J$7,SUMIF($AD$3:$BA$3,"="&amp;$DF28+'Model Setup'!$J$7,$B28:$Y28)+'Model Setup'!$J$8*(SUMIF($AD$3:$BA$3,"&lt;"&amp;$DF28,$B28:$Y28)+SUMIF($AD$3:$BA$3,"&gt;="&amp;$DG28,$B28:$Y28)),
IF(AH$3=$DF28+'Model Setup'!$K$7,SUMIF($AD$3:$BA$3,"="&amp;$DF28+'Model Setup'!$K$7,$B28:$Y28)+'Model Setup'!$K$8*(SUMIF($AD$3:$BA$3,"&lt;"&amp;$DF28,$B28:$Y28)+SUMIF($AD$3:$BA$3,"&gt;="&amp;$DG28,$B28:$Y28)),
IF(AH$3=$DF28+'Model Setup'!$L$7,SUMIF($AD$3:$BA$3,"="&amp;$DF28+'Model Setup'!$L$7,$B28:$Y28)+'Model Setup'!$L$8*(SUMIF($AD$3:$BA$3,"&lt;"&amp;$DF28,$B28:$Y28)+SUMIF($AD$3:$BA$3,"&gt;="&amp;$DG28,$B28:$Y28)),
IF(AH$3=$DF28+'Model Setup'!$M$7,SUMIF($AD$3:$BA$3,"="&amp;$DF28+'Model Setup'!$M$7,$B28:$Y28)+'Model Setup'!$M$8*(SUMIF($AD$3:$BA$3,"&lt;"&amp;$DF28,$B28:$Y28)+SUMIF($AD$3:$BA$3,"&gt;="&amp;$DG28,$B28:$Y28)),
IF(AH$3=$DF28+'Model Setup'!$N$7,SUMIF($AD$3:$BA$3,"="&amp;$DF28+'Model Setup'!$N$7,$B28:$Y28)+'Model Setup'!$N$8*(SUMIF($AD$3:$BA$3,"&lt;"&amp;$DF28,$B28:$Y28)+SUMIF($AD$3:$BA$3,"&gt;="&amp;$DG28,$B28:$Y28)),
IF(AH$3&lt;$DG28,F28,0))))))))))))))),0)</f>
        <v>0</v>
      </c>
      <c r="AI28" s="47">
        <f>ROUND(IF(AI$3&lt;$DF28,0,
IF(AI$3=$DF28+'Model Setup'!$B$7,SUMIF($AD$3:$BA$3,"="&amp;$DF28+'Model Setup'!$B$7,$B28:$Y28)+'Model Setup'!$B$8*(SUMIF($AD$3:$BA$3,"&lt;"&amp;$DF28,$B28:$Y28)+SUMIF($AD$3:$BA$3,"&gt;="&amp;$DG28,$B28:$Y28)),
IF(AI$3=$DF28+'Model Setup'!$C$7,SUMIF($AD$3:$BA$3,"="&amp;$DF28+'Model Setup'!$C$7,$B28:$Y28)+'Model Setup'!$C$8*(SUMIF($AD$3:$BA$3,"&lt;"&amp;$DF28,$B28:$Y28)+SUMIF($AD$3:$BA$3,"&gt;="&amp;$DG28,$B28:$Y28)),
IF(AI$3=$DF28+'Model Setup'!$D$7,SUMIF($AD$3:$BA$3,"="&amp;$DF28+'Model Setup'!$D$7,$B28:$Y28)+'Model Setup'!$D$8*(SUMIF($AD$3:$BA$3,"&lt;"&amp;$DF28,$B28:$Y28)+SUMIF($AD$3:$BA$3,"&gt;="&amp;$DG28,$B28:$Y28)),
IF(AI$3=$DF28+'Model Setup'!$E$7,SUMIF($AD$3:$BA$3,"="&amp;$DF28+'Model Setup'!$E$7,$B28:$Y28)+'Model Setup'!$E$8*(SUMIF($AD$3:$BA$3,"&lt;"&amp;$DF28,$B28:$Y28)+SUMIF($AD$3:$BA$3,"&gt;="&amp;$DG28,$B28:$Y28)),
IF(AI$3=$DF28+'Model Setup'!$F$7,SUMIF($AD$3:$BA$3,"="&amp;$DF28+'Model Setup'!$F$7,$B28:$Y28)+'Model Setup'!$F$8*(SUMIF($AD$3:$BA$3,"&lt;"&amp;$DF28,$B28:$Y28)+SUMIF($AD$3:$BA$3,"&gt;="&amp;$DG28,$B28:$Y28)),
IF(AI$3=$DF28+'Model Setup'!$G$7,SUMIF($AD$3:$BA$3,"="&amp;$DF28+'Model Setup'!$G$7,$B28:$Y28)+'Model Setup'!$G$8*(SUMIF($AD$3:$BA$3,"&lt;"&amp;$DF28,$B28:$Y28)+SUMIF($AD$3:$BA$3,"&gt;="&amp;$DG28,$B28:$Y28)),
IF(AI$3=$DF28+'Model Setup'!$H$7,SUMIF($AD$3:$BA$3,"="&amp;$DF28+'Model Setup'!$H$7,$B28:$Y28)+'Model Setup'!$H$8*(SUMIF($AD$3:$BA$3,"&lt;"&amp;$DF28,$B28:$Y28)+SUMIF($AD$3:$BA$3,"&gt;="&amp;$DG28,$B28:$Y28)),
IF(AI$3=$DF28+'Model Setup'!$I$7,SUMIF($AD$3:$BA$3,"="&amp;$DF28+'Model Setup'!$I$7,$B28:$Y28)+'Model Setup'!$I$8*(SUMIF($AD$3:$BA$3,"&lt;"&amp;$DF28,$B28:$Y28)+SUMIF($AD$3:$BA$3,"&gt;="&amp;$DG28,$B28:$Y28)),
IF(AI$3=$DF28+'Model Setup'!$J$7,SUMIF($AD$3:$BA$3,"="&amp;$DF28+'Model Setup'!$J$7,$B28:$Y28)+'Model Setup'!$J$8*(SUMIF($AD$3:$BA$3,"&lt;"&amp;$DF28,$B28:$Y28)+SUMIF($AD$3:$BA$3,"&gt;="&amp;$DG28,$B28:$Y28)),
IF(AI$3=$DF28+'Model Setup'!$K$7,SUMIF($AD$3:$BA$3,"="&amp;$DF28+'Model Setup'!$K$7,$B28:$Y28)+'Model Setup'!$K$8*(SUMIF($AD$3:$BA$3,"&lt;"&amp;$DF28,$B28:$Y28)+SUMIF($AD$3:$BA$3,"&gt;="&amp;$DG28,$B28:$Y28)),
IF(AI$3=$DF28+'Model Setup'!$L$7,SUMIF($AD$3:$BA$3,"="&amp;$DF28+'Model Setup'!$L$7,$B28:$Y28)+'Model Setup'!$L$8*(SUMIF($AD$3:$BA$3,"&lt;"&amp;$DF28,$B28:$Y28)+SUMIF($AD$3:$BA$3,"&gt;="&amp;$DG28,$B28:$Y28)),
IF(AI$3=$DF28+'Model Setup'!$M$7,SUMIF($AD$3:$BA$3,"="&amp;$DF28+'Model Setup'!$M$7,$B28:$Y28)+'Model Setup'!$M$8*(SUMIF($AD$3:$BA$3,"&lt;"&amp;$DF28,$B28:$Y28)+SUMIF($AD$3:$BA$3,"&gt;="&amp;$DG28,$B28:$Y28)),
IF(AI$3=$DF28+'Model Setup'!$N$7,SUMIF($AD$3:$BA$3,"="&amp;$DF28+'Model Setup'!$N$7,$B28:$Y28)+'Model Setup'!$N$8*(SUMIF($AD$3:$BA$3,"&lt;"&amp;$DF28,$B28:$Y28)+SUMIF($AD$3:$BA$3,"&gt;="&amp;$DG28,$B28:$Y28)),
IF(AI$3&lt;$DG28,G28,0))))))))))))))),0)</f>
        <v>0</v>
      </c>
      <c r="AJ28" s="47">
        <f>ROUND(IF(AJ$3&lt;$DF28,0,
IF(AJ$3=$DF28+'Model Setup'!$B$7,SUMIF($AD$3:$BA$3,"="&amp;$DF28+'Model Setup'!$B$7,$B28:$Y28)+'Model Setup'!$B$8*(SUMIF($AD$3:$BA$3,"&lt;"&amp;$DF28,$B28:$Y28)+SUMIF($AD$3:$BA$3,"&gt;="&amp;$DG28,$B28:$Y28)),
IF(AJ$3=$DF28+'Model Setup'!$C$7,SUMIF($AD$3:$BA$3,"="&amp;$DF28+'Model Setup'!$C$7,$B28:$Y28)+'Model Setup'!$C$8*(SUMIF($AD$3:$BA$3,"&lt;"&amp;$DF28,$B28:$Y28)+SUMIF($AD$3:$BA$3,"&gt;="&amp;$DG28,$B28:$Y28)),
IF(AJ$3=$DF28+'Model Setup'!$D$7,SUMIF($AD$3:$BA$3,"="&amp;$DF28+'Model Setup'!$D$7,$B28:$Y28)+'Model Setup'!$D$8*(SUMIF($AD$3:$BA$3,"&lt;"&amp;$DF28,$B28:$Y28)+SUMIF($AD$3:$BA$3,"&gt;="&amp;$DG28,$B28:$Y28)),
IF(AJ$3=$DF28+'Model Setup'!$E$7,SUMIF($AD$3:$BA$3,"="&amp;$DF28+'Model Setup'!$E$7,$B28:$Y28)+'Model Setup'!$E$8*(SUMIF($AD$3:$BA$3,"&lt;"&amp;$DF28,$B28:$Y28)+SUMIF($AD$3:$BA$3,"&gt;="&amp;$DG28,$B28:$Y28)),
IF(AJ$3=$DF28+'Model Setup'!$F$7,SUMIF($AD$3:$BA$3,"="&amp;$DF28+'Model Setup'!$F$7,$B28:$Y28)+'Model Setup'!$F$8*(SUMIF($AD$3:$BA$3,"&lt;"&amp;$DF28,$B28:$Y28)+SUMIF($AD$3:$BA$3,"&gt;="&amp;$DG28,$B28:$Y28)),
IF(AJ$3=$DF28+'Model Setup'!$G$7,SUMIF($AD$3:$BA$3,"="&amp;$DF28+'Model Setup'!$G$7,$B28:$Y28)+'Model Setup'!$G$8*(SUMIF($AD$3:$BA$3,"&lt;"&amp;$DF28,$B28:$Y28)+SUMIF($AD$3:$BA$3,"&gt;="&amp;$DG28,$B28:$Y28)),
IF(AJ$3=$DF28+'Model Setup'!$H$7,SUMIF($AD$3:$BA$3,"="&amp;$DF28+'Model Setup'!$H$7,$B28:$Y28)+'Model Setup'!$H$8*(SUMIF($AD$3:$BA$3,"&lt;"&amp;$DF28,$B28:$Y28)+SUMIF($AD$3:$BA$3,"&gt;="&amp;$DG28,$B28:$Y28)),
IF(AJ$3=$DF28+'Model Setup'!$I$7,SUMIF($AD$3:$BA$3,"="&amp;$DF28+'Model Setup'!$I$7,$B28:$Y28)+'Model Setup'!$I$8*(SUMIF($AD$3:$BA$3,"&lt;"&amp;$DF28,$B28:$Y28)+SUMIF($AD$3:$BA$3,"&gt;="&amp;$DG28,$B28:$Y28)),
IF(AJ$3=$DF28+'Model Setup'!$J$7,SUMIF($AD$3:$BA$3,"="&amp;$DF28+'Model Setup'!$J$7,$B28:$Y28)+'Model Setup'!$J$8*(SUMIF($AD$3:$BA$3,"&lt;"&amp;$DF28,$B28:$Y28)+SUMIF($AD$3:$BA$3,"&gt;="&amp;$DG28,$B28:$Y28)),
IF(AJ$3=$DF28+'Model Setup'!$K$7,SUMIF($AD$3:$BA$3,"="&amp;$DF28+'Model Setup'!$K$7,$B28:$Y28)+'Model Setup'!$K$8*(SUMIF($AD$3:$BA$3,"&lt;"&amp;$DF28,$B28:$Y28)+SUMIF($AD$3:$BA$3,"&gt;="&amp;$DG28,$B28:$Y28)),
IF(AJ$3=$DF28+'Model Setup'!$L$7,SUMIF($AD$3:$BA$3,"="&amp;$DF28+'Model Setup'!$L$7,$B28:$Y28)+'Model Setup'!$L$8*(SUMIF($AD$3:$BA$3,"&lt;"&amp;$DF28,$B28:$Y28)+SUMIF($AD$3:$BA$3,"&gt;="&amp;$DG28,$B28:$Y28)),
IF(AJ$3=$DF28+'Model Setup'!$M$7,SUMIF($AD$3:$BA$3,"="&amp;$DF28+'Model Setup'!$M$7,$B28:$Y28)+'Model Setup'!$M$8*(SUMIF($AD$3:$BA$3,"&lt;"&amp;$DF28,$B28:$Y28)+SUMIF($AD$3:$BA$3,"&gt;="&amp;$DG28,$B28:$Y28)),
IF(AJ$3=$DF28+'Model Setup'!$N$7,SUMIF($AD$3:$BA$3,"="&amp;$DF28+'Model Setup'!$N$7,$B28:$Y28)+'Model Setup'!$N$8*(SUMIF($AD$3:$BA$3,"&lt;"&amp;$DF28,$B28:$Y28)+SUMIF($AD$3:$BA$3,"&gt;="&amp;$DG28,$B28:$Y28)),
IF(AJ$3&lt;$DG28,H28,0))))))))))))))),0)</f>
        <v>0</v>
      </c>
      <c r="AK28" s="47">
        <f>ROUND(IF(AK$3&lt;$DF28,0,
IF(AK$3=$DF28+'Model Setup'!$B$7,SUMIF($AD$3:$BA$3,"="&amp;$DF28+'Model Setup'!$B$7,$B28:$Y28)+'Model Setup'!$B$8*(SUMIF($AD$3:$BA$3,"&lt;"&amp;$DF28,$B28:$Y28)+SUMIF($AD$3:$BA$3,"&gt;="&amp;$DG28,$B28:$Y28)),
IF(AK$3=$DF28+'Model Setup'!$C$7,SUMIF($AD$3:$BA$3,"="&amp;$DF28+'Model Setup'!$C$7,$B28:$Y28)+'Model Setup'!$C$8*(SUMIF($AD$3:$BA$3,"&lt;"&amp;$DF28,$B28:$Y28)+SUMIF($AD$3:$BA$3,"&gt;="&amp;$DG28,$B28:$Y28)),
IF(AK$3=$DF28+'Model Setup'!$D$7,SUMIF($AD$3:$BA$3,"="&amp;$DF28+'Model Setup'!$D$7,$B28:$Y28)+'Model Setup'!$D$8*(SUMIF($AD$3:$BA$3,"&lt;"&amp;$DF28,$B28:$Y28)+SUMIF($AD$3:$BA$3,"&gt;="&amp;$DG28,$B28:$Y28)),
IF(AK$3=$DF28+'Model Setup'!$E$7,SUMIF($AD$3:$BA$3,"="&amp;$DF28+'Model Setup'!$E$7,$B28:$Y28)+'Model Setup'!$E$8*(SUMIF($AD$3:$BA$3,"&lt;"&amp;$DF28,$B28:$Y28)+SUMIF($AD$3:$BA$3,"&gt;="&amp;$DG28,$B28:$Y28)),
IF(AK$3=$DF28+'Model Setup'!$F$7,SUMIF($AD$3:$BA$3,"="&amp;$DF28+'Model Setup'!$F$7,$B28:$Y28)+'Model Setup'!$F$8*(SUMIF($AD$3:$BA$3,"&lt;"&amp;$DF28,$B28:$Y28)+SUMIF($AD$3:$BA$3,"&gt;="&amp;$DG28,$B28:$Y28)),
IF(AK$3=$DF28+'Model Setup'!$G$7,SUMIF($AD$3:$BA$3,"="&amp;$DF28+'Model Setup'!$G$7,$B28:$Y28)+'Model Setup'!$G$8*(SUMIF($AD$3:$BA$3,"&lt;"&amp;$DF28,$B28:$Y28)+SUMIF($AD$3:$BA$3,"&gt;="&amp;$DG28,$B28:$Y28)),
IF(AK$3=$DF28+'Model Setup'!$H$7,SUMIF($AD$3:$BA$3,"="&amp;$DF28+'Model Setup'!$H$7,$B28:$Y28)+'Model Setup'!$H$8*(SUMIF($AD$3:$BA$3,"&lt;"&amp;$DF28,$B28:$Y28)+SUMIF($AD$3:$BA$3,"&gt;="&amp;$DG28,$B28:$Y28)),
IF(AK$3=$DF28+'Model Setup'!$I$7,SUMIF($AD$3:$BA$3,"="&amp;$DF28+'Model Setup'!$I$7,$B28:$Y28)+'Model Setup'!$I$8*(SUMIF($AD$3:$BA$3,"&lt;"&amp;$DF28,$B28:$Y28)+SUMIF($AD$3:$BA$3,"&gt;="&amp;$DG28,$B28:$Y28)),
IF(AK$3=$DF28+'Model Setup'!$J$7,SUMIF($AD$3:$BA$3,"="&amp;$DF28+'Model Setup'!$J$7,$B28:$Y28)+'Model Setup'!$J$8*(SUMIF($AD$3:$BA$3,"&lt;"&amp;$DF28,$B28:$Y28)+SUMIF($AD$3:$BA$3,"&gt;="&amp;$DG28,$B28:$Y28)),
IF(AK$3=$DF28+'Model Setup'!$K$7,SUMIF($AD$3:$BA$3,"="&amp;$DF28+'Model Setup'!$K$7,$B28:$Y28)+'Model Setup'!$K$8*(SUMIF($AD$3:$BA$3,"&lt;"&amp;$DF28,$B28:$Y28)+SUMIF($AD$3:$BA$3,"&gt;="&amp;$DG28,$B28:$Y28)),
IF(AK$3=$DF28+'Model Setup'!$L$7,SUMIF($AD$3:$BA$3,"="&amp;$DF28+'Model Setup'!$L$7,$B28:$Y28)+'Model Setup'!$L$8*(SUMIF($AD$3:$BA$3,"&lt;"&amp;$DF28,$B28:$Y28)+SUMIF($AD$3:$BA$3,"&gt;="&amp;$DG28,$B28:$Y28)),
IF(AK$3=$DF28+'Model Setup'!$M$7,SUMIF($AD$3:$BA$3,"="&amp;$DF28+'Model Setup'!$M$7,$B28:$Y28)+'Model Setup'!$M$8*(SUMIF($AD$3:$BA$3,"&lt;"&amp;$DF28,$B28:$Y28)+SUMIF($AD$3:$BA$3,"&gt;="&amp;$DG28,$B28:$Y28)),
IF(AK$3=$DF28+'Model Setup'!$N$7,SUMIF($AD$3:$BA$3,"="&amp;$DF28+'Model Setup'!$N$7,$B28:$Y28)+'Model Setup'!$N$8*(SUMIF($AD$3:$BA$3,"&lt;"&amp;$DF28,$B28:$Y28)+SUMIF($AD$3:$BA$3,"&gt;="&amp;$DG28,$B28:$Y28)),
IF(AK$3&lt;$DG28,I28,0))))))))))))))),0)</f>
        <v>69</v>
      </c>
      <c r="AL28" s="47">
        <f>ROUND(IF(AL$3&lt;$DF28,0,
IF(AL$3=$DF28+'Model Setup'!$B$7,SUMIF($AD$3:$BA$3,"="&amp;$DF28+'Model Setup'!$B$7,$B28:$Y28)+'Model Setup'!$B$8*(SUMIF($AD$3:$BA$3,"&lt;"&amp;$DF28,$B28:$Y28)+SUMIF($AD$3:$BA$3,"&gt;="&amp;$DG28,$B28:$Y28)),
IF(AL$3=$DF28+'Model Setup'!$C$7,SUMIF($AD$3:$BA$3,"="&amp;$DF28+'Model Setup'!$C$7,$B28:$Y28)+'Model Setup'!$C$8*(SUMIF($AD$3:$BA$3,"&lt;"&amp;$DF28,$B28:$Y28)+SUMIF($AD$3:$BA$3,"&gt;="&amp;$DG28,$B28:$Y28)),
IF(AL$3=$DF28+'Model Setup'!$D$7,SUMIF($AD$3:$BA$3,"="&amp;$DF28+'Model Setup'!$D$7,$B28:$Y28)+'Model Setup'!$D$8*(SUMIF($AD$3:$BA$3,"&lt;"&amp;$DF28,$B28:$Y28)+SUMIF($AD$3:$BA$3,"&gt;="&amp;$DG28,$B28:$Y28)),
IF(AL$3=$DF28+'Model Setup'!$E$7,SUMIF($AD$3:$BA$3,"="&amp;$DF28+'Model Setup'!$E$7,$B28:$Y28)+'Model Setup'!$E$8*(SUMIF($AD$3:$BA$3,"&lt;"&amp;$DF28,$B28:$Y28)+SUMIF($AD$3:$BA$3,"&gt;="&amp;$DG28,$B28:$Y28)),
IF(AL$3=$DF28+'Model Setup'!$F$7,SUMIF($AD$3:$BA$3,"="&amp;$DF28+'Model Setup'!$F$7,$B28:$Y28)+'Model Setup'!$F$8*(SUMIF($AD$3:$BA$3,"&lt;"&amp;$DF28,$B28:$Y28)+SUMIF($AD$3:$BA$3,"&gt;="&amp;$DG28,$B28:$Y28)),
IF(AL$3=$DF28+'Model Setup'!$G$7,SUMIF($AD$3:$BA$3,"="&amp;$DF28+'Model Setup'!$G$7,$B28:$Y28)+'Model Setup'!$G$8*(SUMIF($AD$3:$BA$3,"&lt;"&amp;$DF28,$B28:$Y28)+SUMIF($AD$3:$BA$3,"&gt;="&amp;$DG28,$B28:$Y28)),
IF(AL$3=$DF28+'Model Setup'!$H$7,SUMIF($AD$3:$BA$3,"="&amp;$DF28+'Model Setup'!$H$7,$B28:$Y28)+'Model Setup'!$H$8*(SUMIF($AD$3:$BA$3,"&lt;"&amp;$DF28,$B28:$Y28)+SUMIF($AD$3:$BA$3,"&gt;="&amp;$DG28,$B28:$Y28)),
IF(AL$3=$DF28+'Model Setup'!$I$7,SUMIF($AD$3:$BA$3,"="&amp;$DF28+'Model Setup'!$I$7,$B28:$Y28)+'Model Setup'!$I$8*(SUMIF($AD$3:$BA$3,"&lt;"&amp;$DF28,$B28:$Y28)+SUMIF($AD$3:$BA$3,"&gt;="&amp;$DG28,$B28:$Y28)),
IF(AL$3=$DF28+'Model Setup'!$J$7,SUMIF($AD$3:$BA$3,"="&amp;$DF28+'Model Setup'!$J$7,$B28:$Y28)+'Model Setup'!$J$8*(SUMIF($AD$3:$BA$3,"&lt;"&amp;$DF28,$B28:$Y28)+SUMIF($AD$3:$BA$3,"&gt;="&amp;$DG28,$B28:$Y28)),
IF(AL$3=$DF28+'Model Setup'!$K$7,SUMIF($AD$3:$BA$3,"="&amp;$DF28+'Model Setup'!$K$7,$B28:$Y28)+'Model Setup'!$K$8*(SUMIF($AD$3:$BA$3,"&lt;"&amp;$DF28,$B28:$Y28)+SUMIF($AD$3:$BA$3,"&gt;="&amp;$DG28,$B28:$Y28)),
IF(AL$3=$DF28+'Model Setup'!$L$7,SUMIF($AD$3:$BA$3,"="&amp;$DF28+'Model Setup'!$L$7,$B28:$Y28)+'Model Setup'!$L$8*(SUMIF($AD$3:$BA$3,"&lt;"&amp;$DF28,$B28:$Y28)+SUMIF($AD$3:$BA$3,"&gt;="&amp;$DG28,$B28:$Y28)),
IF(AL$3=$DF28+'Model Setup'!$M$7,SUMIF($AD$3:$BA$3,"="&amp;$DF28+'Model Setup'!$M$7,$B28:$Y28)+'Model Setup'!$M$8*(SUMIF($AD$3:$BA$3,"&lt;"&amp;$DF28,$B28:$Y28)+SUMIF($AD$3:$BA$3,"&gt;="&amp;$DG28,$B28:$Y28)),
IF(AL$3=$DF28+'Model Setup'!$N$7,SUMIF($AD$3:$BA$3,"="&amp;$DF28+'Model Setup'!$N$7,$B28:$Y28)+'Model Setup'!$N$8*(SUMIF($AD$3:$BA$3,"&lt;"&amp;$DF28,$B28:$Y28)+SUMIF($AD$3:$BA$3,"&gt;="&amp;$DG28,$B28:$Y28)),
IF(AL$3&lt;$DG28,J28,0))))))))))))))),0)</f>
        <v>85</v>
      </c>
      <c r="AM28" s="47">
        <f>ROUND(IF(AM$3&lt;$DF28,0,
IF(AM$3=$DF28+'Model Setup'!$B$7,SUMIF($AD$3:$BA$3,"="&amp;$DF28+'Model Setup'!$B$7,$B28:$Y28)+'Model Setup'!$B$8*(SUMIF($AD$3:$BA$3,"&lt;"&amp;$DF28,$B28:$Y28)+SUMIF($AD$3:$BA$3,"&gt;="&amp;$DG28,$B28:$Y28)),
IF(AM$3=$DF28+'Model Setup'!$C$7,SUMIF($AD$3:$BA$3,"="&amp;$DF28+'Model Setup'!$C$7,$B28:$Y28)+'Model Setup'!$C$8*(SUMIF($AD$3:$BA$3,"&lt;"&amp;$DF28,$B28:$Y28)+SUMIF($AD$3:$BA$3,"&gt;="&amp;$DG28,$B28:$Y28)),
IF(AM$3=$DF28+'Model Setup'!$D$7,SUMIF($AD$3:$BA$3,"="&amp;$DF28+'Model Setup'!$D$7,$B28:$Y28)+'Model Setup'!$D$8*(SUMIF($AD$3:$BA$3,"&lt;"&amp;$DF28,$B28:$Y28)+SUMIF($AD$3:$BA$3,"&gt;="&amp;$DG28,$B28:$Y28)),
IF(AM$3=$DF28+'Model Setup'!$E$7,SUMIF($AD$3:$BA$3,"="&amp;$DF28+'Model Setup'!$E$7,$B28:$Y28)+'Model Setup'!$E$8*(SUMIF($AD$3:$BA$3,"&lt;"&amp;$DF28,$B28:$Y28)+SUMIF($AD$3:$BA$3,"&gt;="&amp;$DG28,$B28:$Y28)),
IF(AM$3=$DF28+'Model Setup'!$F$7,SUMIF($AD$3:$BA$3,"="&amp;$DF28+'Model Setup'!$F$7,$B28:$Y28)+'Model Setup'!$F$8*(SUMIF($AD$3:$BA$3,"&lt;"&amp;$DF28,$B28:$Y28)+SUMIF($AD$3:$BA$3,"&gt;="&amp;$DG28,$B28:$Y28)),
IF(AM$3=$DF28+'Model Setup'!$G$7,SUMIF($AD$3:$BA$3,"="&amp;$DF28+'Model Setup'!$G$7,$B28:$Y28)+'Model Setup'!$G$8*(SUMIF($AD$3:$BA$3,"&lt;"&amp;$DF28,$B28:$Y28)+SUMIF($AD$3:$BA$3,"&gt;="&amp;$DG28,$B28:$Y28)),
IF(AM$3=$DF28+'Model Setup'!$H$7,SUMIF($AD$3:$BA$3,"="&amp;$DF28+'Model Setup'!$H$7,$B28:$Y28)+'Model Setup'!$H$8*(SUMIF($AD$3:$BA$3,"&lt;"&amp;$DF28,$B28:$Y28)+SUMIF($AD$3:$BA$3,"&gt;="&amp;$DG28,$B28:$Y28)),
IF(AM$3=$DF28+'Model Setup'!$I$7,SUMIF($AD$3:$BA$3,"="&amp;$DF28+'Model Setup'!$I$7,$B28:$Y28)+'Model Setup'!$I$8*(SUMIF($AD$3:$BA$3,"&lt;"&amp;$DF28,$B28:$Y28)+SUMIF($AD$3:$BA$3,"&gt;="&amp;$DG28,$B28:$Y28)),
IF(AM$3=$DF28+'Model Setup'!$J$7,SUMIF($AD$3:$BA$3,"="&amp;$DF28+'Model Setup'!$J$7,$B28:$Y28)+'Model Setup'!$J$8*(SUMIF($AD$3:$BA$3,"&lt;"&amp;$DF28,$B28:$Y28)+SUMIF($AD$3:$BA$3,"&gt;="&amp;$DG28,$B28:$Y28)),
IF(AM$3=$DF28+'Model Setup'!$K$7,SUMIF($AD$3:$BA$3,"="&amp;$DF28+'Model Setup'!$K$7,$B28:$Y28)+'Model Setup'!$K$8*(SUMIF($AD$3:$BA$3,"&lt;"&amp;$DF28,$B28:$Y28)+SUMIF($AD$3:$BA$3,"&gt;="&amp;$DG28,$B28:$Y28)),
IF(AM$3=$DF28+'Model Setup'!$L$7,SUMIF($AD$3:$BA$3,"="&amp;$DF28+'Model Setup'!$L$7,$B28:$Y28)+'Model Setup'!$L$8*(SUMIF($AD$3:$BA$3,"&lt;"&amp;$DF28,$B28:$Y28)+SUMIF($AD$3:$BA$3,"&gt;="&amp;$DG28,$B28:$Y28)),
IF(AM$3=$DF28+'Model Setup'!$M$7,SUMIF($AD$3:$BA$3,"="&amp;$DF28+'Model Setup'!$M$7,$B28:$Y28)+'Model Setup'!$M$8*(SUMIF($AD$3:$BA$3,"&lt;"&amp;$DF28,$B28:$Y28)+SUMIF($AD$3:$BA$3,"&gt;="&amp;$DG28,$B28:$Y28)),
IF(AM$3=$DF28+'Model Setup'!$N$7,SUMIF($AD$3:$BA$3,"="&amp;$DF28+'Model Setup'!$N$7,$B28:$Y28)+'Model Setup'!$N$8*(SUMIF($AD$3:$BA$3,"&lt;"&amp;$DF28,$B28:$Y28)+SUMIF($AD$3:$BA$3,"&gt;="&amp;$DG28,$B28:$Y28)),
IF(AM$3&lt;$DG28,K28,0))))))))))))))),0)</f>
        <v>61</v>
      </c>
      <c r="AN28" s="47">
        <f>ROUND(IF(AN$3&lt;$DF28,0,
IF(AN$3=$DF28+'Model Setup'!$B$7,SUMIF($AD$3:$BA$3,"="&amp;$DF28+'Model Setup'!$B$7,$B28:$Y28)+'Model Setup'!$B$8*(SUMIF($AD$3:$BA$3,"&lt;"&amp;$DF28,$B28:$Y28)+SUMIF($AD$3:$BA$3,"&gt;="&amp;$DG28,$B28:$Y28)),
IF(AN$3=$DF28+'Model Setup'!$C$7,SUMIF($AD$3:$BA$3,"="&amp;$DF28+'Model Setup'!$C$7,$B28:$Y28)+'Model Setup'!$C$8*(SUMIF($AD$3:$BA$3,"&lt;"&amp;$DF28,$B28:$Y28)+SUMIF($AD$3:$BA$3,"&gt;="&amp;$DG28,$B28:$Y28)),
IF(AN$3=$DF28+'Model Setup'!$D$7,SUMIF($AD$3:$BA$3,"="&amp;$DF28+'Model Setup'!$D$7,$B28:$Y28)+'Model Setup'!$D$8*(SUMIF($AD$3:$BA$3,"&lt;"&amp;$DF28,$B28:$Y28)+SUMIF($AD$3:$BA$3,"&gt;="&amp;$DG28,$B28:$Y28)),
IF(AN$3=$DF28+'Model Setup'!$E$7,SUMIF($AD$3:$BA$3,"="&amp;$DF28+'Model Setup'!$E$7,$B28:$Y28)+'Model Setup'!$E$8*(SUMIF($AD$3:$BA$3,"&lt;"&amp;$DF28,$B28:$Y28)+SUMIF($AD$3:$BA$3,"&gt;="&amp;$DG28,$B28:$Y28)),
IF(AN$3=$DF28+'Model Setup'!$F$7,SUMIF($AD$3:$BA$3,"="&amp;$DF28+'Model Setup'!$F$7,$B28:$Y28)+'Model Setup'!$F$8*(SUMIF($AD$3:$BA$3,"&lt;"&amp;$DF28,$B28:$Y28)+SUMIF($AD$3:$BA$3,"&gt;="&amp;$DG28,$B28:$Y28)),
IF(AN$3=$DF28+'Model Setup'!$G$7,SUMIF($AD$3:$BA$3,"="&amp;$DF28+'Model Setup'!$G$7,$B28:$Y28)+'Model Setup'!$G$8*(SUMIF($AD$3:$BA$3,"&lt;"&amp;$DF28,$B28:$Y28)+SUMIF($AD$3:$BA$3,"&gt;="&amp;$DG28,$B28:$Y28)),
IF(AN$3=$DF28+'Model Setup'!$H$7,SUMIF($AD$3:$BA$3,"="&amp;$DF28+'Model Setup'!$H$7,$B28:$Y28)+'Model Setup'!$H$8*(SUMIF($AD$3:$BA$3,"&lt;"&amp;$DF28,$B28:$Y28)+SUMIF($AD$3:$BA$3,"&gt;="&amp;$DG28,$B28:$Y28)),
IF(AN$3=$DF28+'Model Setup'!$I$7,SUMIF($AD$3:$BA$3,"="&amp;$DF28+'Model Setup'!$I$7,$B28:$Y28)+'Model Setup'!$I$8*(SUMIF($AD$3:$BA$3,"&lt;"&amp;$DF28,$B28:$Y28)+SUMIF($AD$3:$BA$3,"&gt;="&amp;$DG28,$B28:$Y28)),
IF(AN$3=$DF28+'Model Setup'!$J$7,SUMIF($AD$3:$BA$3,"="&amp;$DF28+'Model Setup'!$J$7,$B28:$Y28)+'Model Setup'!$J$8*(SUMIF($AD$3:$BA$3,"&lt;"&amp;$DF28,$B28:$Y28)+SUMIF($AD$3:$BA$3,"&gt;="&amp;$DG28,$B28:$Y28)),
IF(AN$3=$DF28+'Model Setup'!$K$7,SUMIF($AD$3:$BA$3,"="&amp;$DF28+'Model Setup'!$K$7,$B28:$Y28)+'Model Setup'!$K$8*(SUMIF($AD$3:$BA$3,"&lt;"&amp;$DF28,$B28:$Y28)+SUMIF($AD$3:$BA$3,"&gt;="&amp;$DG28,$B28:$Y28)),
IF(AN$3=$DF28+'Model Setup'!$L$7,SUMIF($AD$3:$BA$3,"="&amp;$DF28+'Model Setup'!$L$7,$B28:$Y28)+'Model Setup'!$L$8*(SUMIF($AD$3:$BA$3,"&lt;"&amp;$DF28,$B28:$Y28)+SUMIF($AD$3:$BA$3,"&gt;="&amp;$DG28,$B28:$Y28)),
IF(AN$3=$DF28+'Model Setup'!$M$7,SUMIF($AD$3:$BA$3,"="&amp;$DF28+'Model Setup'!$M$7,$B28:$Y28)+'Model Setup'!$M$8*(SUMIF($AD$3:$BA$3,"&lt;"&amp;$DF28,$B28:$Y28)+SUMIF($AD$3:$BA$3,"&gt;="&amp;$DG28,$B28:$Y28)),
IF(AN$3=$DF28+'Model Setup'!$N$7,SUMIF($AD$3:$BA$3,"="&amp;$DF28+'Model Setup'!$N$7,$B28:$Y28)+'Model Setup'!$N$8*(SUMIF($AD$3:$BA$3,"&lt;"&amp;$DF28,$B28:$Y28)+SUMIF($AD$3:$BA$3,"&gt;="&amp;$DG28,$B28:$Y28)),
IF(AN$3&lt;$DG28,L28,0))))))))))))))),0)</f>
        <v>80</v>
      </c>
      <c r="AO28" s="47">
        <f>ROUND(IF(AO$3&lt;$DF28,0,
IF(AO$3=$DF28+'Model Setup'!$B$7,SUMIF($AD$3:$BA$3,"="&amp;$DF28+'Model Setup'!$B$7,$B28:$Y28)+'Model Setup'!$B$8*(SUMIF($AD$3:$BA$3,"&lt;"&amp;$DF28,$B28:$Y28)+SUMIF($AD$3:$BA$3,"&gt;="&amp;$DG28,$B28:$Y28)),
IF(AO$3=$DF28+'Model Setup'!$C$7,SUMIF($AD$3:$BA$3,"="&amp;$DF28+'Model Setup'!$C$7,$B28:$Y28)+'Model Setup'!$C$8*(SUMIF($AD$3:$BA$3,"&lt;"&amp;$DF28,$B28:$Y28)+SUMIF($AD$3:$BA$3,"&gt;="&amp;$DG28,$B28:$Y28)),
IF(AO$3=$DF28+'Model Setup'!$D$7,SUMIF($AD$3:$BA$3,"="&amp;$DF28+'Model Setup'!$D$7,$B28:$Y28)+'Model Setup'!$D$8*(SUMIF($AD$3:$BA$3,"&lt;"&amp;$DF28,$B28:$Y28)+SUMIF($AD$3:$BA$3,"&gt;="&amp;$DG28,$B28:$Y28)),
IF(AO$3=$DF28+'Model Setup'!$E$7,SUMIF($AD$3:$BA$3,"="&amp;$DF28+'Model Setup'!$E$7,$B28:$Y28)+'Model Setup'!$E$8*(SUMIF($AD$3:$BA$3,"&lt;"&amp;$DF28,$B28:$Y28)+SUMIF($AD$3:$BA$3,"&gt;="&amp;$DG28,$B28:$Y28)),
IF(AO$3=$DF28+'Model Setup'!$F$7,SUMIF($AD$3:$BA$3,"="&amp;$DF28+'Model Setup'!$F$7,$B28:$Y28)+'Model Setup'!$F$8*(SUMIF($AD$3:$BA$3,"&lt;"&amp;$DF28,$B28:$Y28)+SUMIF($AD$3:$BA$3,"&gt;="&amp;$DG28,$B28:$Y28)),
IF(AO$3=$DF28+'Model Setup'!$G$7,SUMIF($AD$3:$BA$3,"="&amp;$DF28+'Model Setup'!$G$7,$B28:$Y28)+'Model Setup'!$G$8*(SUMIF($AD$3:$BA$3,"&lt;"&amp;$DF28,$B28:$Y28)+SUMIF($AD$3:$BA$3,"&gt;="&amp;$DG28,$B28:$Y28)),
IF(AO$3=$DF28+'Model Setup'!$H$7,SUMIF($AD$3:$BA$3,"="&amp;$DF28+'Model Setup'!$H$7,$B28:$Y28)+'Model Setup'!$H$8*(SUMIF($AD$3:$BA$3,"&lt;"&amp;$DF28,$B28:$Y28)+SUMIF($AD$3:$BA$3,"&gt;="&amp;$DG28,$B28:$Y28)),
IF(AO$3=$DF28+'Model Setup'!$I$7,SUMIF($AD$3:$BA$3,"="&amp;$DF28+'Model Setup'!$I$7,$B28:$Y28)+'Model Setup'!$I$8*(SUMIF($AD$3:$BA$3,"&lt;"&amp;$DF28,$B28:$Y28)+SUMIF($AD$3:$BA$3,"&gt;="&amp;$DG28,$B28:$Y28)),
IF(AO$3=$DF28+'Model Setup'!$J$7,SUMIF($AD$3:$BA$3,"="&amp;$DF28+'Model Setup'!$J$7,$B28:$Y28)+'Model Setup'!$J$8*(SUMIF($AD$3:$BA$3,"&lt;"&amp;$DF28,$B28:$Y28)+SUMIF($AD$3:$BA$3,"&gt;="&amp;$DG28,$B28:$Y28)),
IF(AO$3=$DF28+'Model Setup'!$K$7,SUMIF($AD$3:$BA$3,"="&amp;$DF28+'Model Setup'!$K$7,$B28:$Y28)+'Model Setup'!$K$8*(SUMIF($AD$3:$BA$3,"&lt;"&amp;$DF28,$B28:$Y28)+SUMIF($AD$3:$BA$3,"&gt;="&amp;$DG28,$B28:$Y28)),
IF(AO$3=$DF28+'Model Setup'!$L$7,SUMIF($AD$3:$BA$3,"="&amp;$DF28+'Model Setup'!$L$7,$B28:$Y28)+'Model Setup'!$L$8*(SUMIF($AD$3:$BA$3,"&lt;"&amp;$DF28,$B28:$Y28)+SUMIF($AD$3:$BA$3,"&gt;="&amp;$DG28,$B28:$Y28)),
IF(AO$3=$DF28+'Model Setup'!$M$7,SUMIF($AD$3:$BA$3,"="&amp;$DF28+'Model Setup'!$M$7,$B28:$Y28)+'Model Setup'!$M$8*(SUMIF($AD$3:$BA$3,"&lt;"&amp;$DF28,$B28:$Y28)+SUMIF($AD$3:$BA$3,"&gt;="&amp;$DG28,$B28:$Y28)),
IF(AO$3=$DF28+'Model Setup'!$N$7,SUMIF($AD$3:$BA$3,"="&amp;$DF28+'Model Setup'!$N$7,$B28:$Y28)+'Model Setup'!$N$8*(SUMIF($AD$3:$BA$3,"&lt;"&amp;$DF28,$B28:$Y28)+SUMIF($AD$3:$BA$3,"&gt;="&amp;$DG28,$B28:$Y28)),
IF(AO$3&lt;$DG28,M28,0))))))))))))))),0)</f>
        <v>51</v>
      </c>
      <c r="AP28" s="47">
        <f>ROUND(IF(AP$3&lt;$DF28,0,
IF(AP$3=$DF28+'Model Setup'!$B$7,SUMIF($AD$3:$BA$3,"="&amp;$DF28+'Model Setup'!$B$7,$B28:$Y28)+'Model Setup'!$B$8*(SUMIF($AD$3:$BA$3,"&lt;"&amp;$DF28,$B28:$Y28)+SUMIF($AD$3:$BA$3,"&gt;="&amp;$DG28,$B28:$Y28)),
IF(AP$3=$DF28+'Model Setup'!$C$7,SUMIF($AD$3:$BA$3,"="&amp;$DF28+'Model Setup'!$C$7,$B28:$Y28)+'Model Setup'!$C$8*(SUMIF($AD$3:$BA$3,"&lt;"&amp;$DF28,$B28:$Y28)+SUMIF($AD$3:$BA$3,"&gt;="&amp;$DG28,$B28:$Y28)),
IF(AP$3=$DF28+'Model Setup'!$D$7,SUMIF($AD$3:$BA$3,"="&amp;$DF28+'Model Setup'!$D$7,$B28:$Y28)+'Model Setup'!$D$8*(SUMIF($AD$3:$BA$3,"&lt;"&amp;$DF28,$B28:$Y28)+SUMIF($AD$3:$BA$3,"&gt;="&amp;$DG28,$B28:$Y28)),
IF(AP$3=$DF28+'Model Setup'!$E$7,SUMIF($AD$3:$BA$3,"="&amp;$DF28+'Model Setup'!$E$7,$B28:$Y28)+'Model Setup'!$E$8*(SUMIF($AD$3:$BA$3,"&lt;"&amp;$DF28,$B28:$Y28)+SUMIF($AD$3:$BA$3,"&gt;="&amp;$DG28,$B28:$Y28)),
IF(AP$3=$DF28+'Model Setup'!$F$7,SUMIF($AD$3:$BA$3,"="&amp;$DF28+'Model Setup'!$F$7,$B28:$Y28)+'Model Setup'!$F$8*(SUMIF($AD$3:$BA$3,"&lt;"&amp;$DF28,$B28:$Y28)+SUMIF($AD$3:$BA$3,"&gt;="&amp;$DG28,$B28:$Y28)),
IF(AP$3=$DF28+'Model Setup'!$G$7,SUMIF($AD$3:$BA$3,"="&amp;$DF28+'Model Setup'!$G$7,$B28:$Y28)+'Model Setup'!$G$8*(SUMIF($AD$3:$BA$3,"&lt;"&amp;$DF28,$B28:$Y28)+SUMIF($AD$3:$BA$3,"&gt;="&amp;$DG28,$B28:$Y28)),
IF(AP$3=$DF28+'Model Setup'!$H$7,SUMIF($AD$3:$BA$3,"="&amp;$DF28+'Model Setup'!$H$7,$B28:$Y28)+'Model Setup'!$H$8*(SUMIF($AD$3:$BA$3,"&lt;"&amp;$DF28,$B28:$Y28)+SUMIF($AD$3:$BA$3,"&gt;="&amp;$DG28,$B28:$Y28)),
IF(AP$3=$DF28+'Model Setup'!$I$7,SUMIF($AD$3:$BA$3,"="&amp;$DF28+'Model Setup'!$I$7,$B28:$Y28)+'Model Setup'!$I$8*(SUMIF($AD$3:$BA$3,"&lt;"&amp;$DF28,$B28:$Y28)+SUMIF($AD$3:$BA$3,"&gt;="&amp;$DG28,$B28:$Y28)),
IF(AP$3=$DF28+'Model Setup'!$J$7,SUMIF($AD$3:$BA$3,"="&amp;$DF28+'Model Setup'!$J$7,$B28:$Y28)+'Model Setup'!$J$8*(SUMIF($AD$3:$BA$3,"&lt;"&amp;$DF28,$B28:$Y28)+SUMIF($AD$3:$BA$3,"&gt;="&amp;$DG28,$B28:$Y28)),
IF(AP$3=$DF28+'Model Setup'!$K$7,SUMIF($AD$3:$BA$3,"="&amp;$DF28+'Model Setup'!$K$7,$B28:$Y28)+'Model Setup'!$K$8*(SUMIF($AD$3:$BA$3,"&lt;"&amp;$DF28,$B28:$Y28)+SUMIF($AD$3:$BA$3,"&gt;="&amp;$DG28,$B28:$Y28)),
IF(AP$3=$DF28+'Model Setup'!$L$7,SUMIF($AD$3:$BA$3,"="&amp;$DF28+'Model Setup'!$L$7,$B28:$Y28)+'Model Setup'!$L$8*(SUMIF($AD$3:$BA$3,"&lt;"&amp;$DF28,$B28:$Y28)+SUMIF($AD$3:$BA$3,"&gt;="&amp;$DG28,$B28:$Y28)),
IF(AP$3=$DF28+'Model Setup'!$M$7,SUMIF($AD$3:$BA$3,"="&amp;$DF28+'Model Setup'!$M$7,$B28:$Y28)+'Model Setup'!$M$8*(SUMIF($AD$3:$BA$3,"&lt;"&amp;$DF28,$B28:$Y28)+SUMIF($AD$3:$BA$3,"&gt;="&amp;$DG28,$B28:$Y28)),
IF(AP$3=$DF28+'Model Setup'!$N$7,SUMIF($AD$3:$BA$3,"="&amp;$DF28+'Model Setup'!$N$7,$B28:$Y28)+'Model Setup'!$N$8*(SUMIF($AD$3:$BA$3,"&lt;"&amp;$DF28,$B28:$Y28)+SUMIF($AD$3:$BA$3,"&gt;="&amp;$DG28,$B28:$Y28)),
IF(AP$3&lt;$DG28,N28,0))))))))))))))),0)</f>
        <v>34</v>
      </c>
      <c r="AQ28" s="47">
        <f>ROUND(IF(AQ$3&lt;$DF28,0,
IF(AQ$3=$DF28+'Model Setup'!$B$7,SUMIF($AD$3:$BA$3,"="&amp;$DF28+'Model Setup'!$B$7,$B28:$Y28)+'Model Setup'!$B$8*(SUMIF($AD$3:$BA$3,"&lt;"&amp;$DF28,$B28:$Y28)+SUMIF($AD$3:$BA$3,"&gt;="&amp;$DG28,$B28:$Y28)),
IF(AQ$3=$DF28+'Model Setup'!$C$7,SUMIF($AD$3:$BA$3,"="&amp;$DF28+'Model Setup'!$C$7,$B28:$Y28)+'Model Setup'!$C$8*(SUMIF($AD$3:$BA$3,"&lt;"&amp;$DF28,$B28:$Y28)+SUMIF($AD$3:$BA$3,"&gt;="&amp;$DG28,$B28:$Y28)),
IF(AQ$3=$DF28+'Model Setup'!$D$7,SUMIF($AD$3:$BA$3,"="&amp;$DF28+'Model Setup'!$D$7,$B28:$Y28)+'Model Setup'!$D$8*(SUMIF($AD$3:$BA$3,"&lt;"&amp;$DF28,$B28:$Y28)+SUMIF($AD$3:$BA$3,"&gt;="&amp;$DG28,$B28:$Y28)),
IF(AQ$3=$DF28+'Model Setup'!$E$7,SUMIF($AD$3:$BA$3,"="&amp;$DF28+'Model Setup'!$E$7,$B28:$Y28)+'Model Setup'!$E$8*(SUMIF($AD$3:$BA$3,"&lt;"&amp;$DF28,$B28:$Y28)+SUMIF($AD$3:$BA$3,"&gt;="&amp;$DG28,$B28:$Y28)),
IF(AQ$3=$DF28+'Model Setup'!$F$7,SUMIF($AD$3:$BA$3,"="&amp;$DF28+'Model Setup'!$F$7,$B28:$Y28)+'Model Setup'!$F$8*(SUMIF($AD$3:$BA$3,"&lt;"&amp;$DF28,$B28:$Y28)+SUMIF($AD$3:$BA$3,"&gt;="&amp;$DG28,$B28:$Y28)),
IF(AQ$3=$DF28+'Model Setup'!$G$7,SUMIF($AD$3:$BA$3,"="&amp;$DF28+'Model Setup'!$G$7,$B28:$Y28)+'Model Setup'!$G$8*(SUMIF($AD$3:$BA$3,"&lt;"&amp;$DF28,$B28:$Y28)+SUMIF($AD$3:$BA$3,"&gt;="&amp;$DG28,$B28:$Y28)),
IF(AQ$3=$DF28+'Model Setup'!$H$7,SUMIF($AD$3:$BA$3,"="&amp;$DF28+'Model Setup'!$H$7,$B28:$Y28)+'Model Setup'!$H$8*(SUMIF($AD$3:$BA$3,"&lt;"&amp;$DF28,$B28:$Y28)+SUMIF($AD$3:$BA$3,"&gt;="&amp;$DG28,$B28:$Y28)),
IF(AQ$3=$DF28+'Model Setup'!$I$7,SUMIF($AD$3:$BA$3,"="&amp;$DF28+'Model Setup'!$I$7,$B28:$Y28)+'Model Setup'!$I$8*(SUMIF($AD$3:$BA$3,"&lt;"&amp;$DF28,$B28:$Y28)+SUMIF($AD$3:$BA$3,"&gt;="&amp;$DG28,$B28:$Y28)),
IF(AQ$3=$DF28+'Model Setup'!$J$7,SUMIF($AD$3:$BA$3,"="&amp;$DF28+'Model Setup'!$J$7,$B28:$Y28)+'Model Setup'!$J$8*(SUMIF($AD$3:$BA$3,"&lt;"&amp;$DF28,$B28:$Y28)+SUMIF($AD$3:$BA$3,"&gt;="&amp;$DG28,$B28:$Y28)),
IF(AQ$3=$DF28+'Model Setup'!$K$7,SUMIF($AD$3:$BA$3,"="&amp;$DF28+'Model Setup'!$K$7,$B28:$Y28)+'Model Setup'!$K$8*(SUMIF($AD$3:$BA$3,"&lt;"&amp;$DF28,$B28:$Y28)+SUMIF($AD$3:$BA$3,"&gt;="&amp;$DG28,$B28:$Y28)),
IF(AQ$3=$DF28+'Model Setup'!$L$7,SUMIF($AD$3:$BA$3,"="&amp;$DF28+'Model Setup'!$L$7,$B28:$Y28)+'Model Setup'!$L$8*(SUMIF($AD$3:$BA$3,"&lt;"&amp;$DF28,$B28:$Y28)+SUMIF($AD$3:$BA$3,"&gt;="&amp;$DG28,$B28:$Y28)),
IF(AQ$3=$DF28+'Model Setup'!$M$7,SUMIF($AD$3:$BA$3,"="&amp;$DF28+'Model Setup'!$M$7,$B28:$Y28)+'Model Setup'!$M$8*(SUMIF($AD$3:$BA$3,"&lt;"&amp;$DF28,$B28:$Y28)+SUMIF($AD$3:$BA$3,"&gt;="&amp;$DG28,$B28:$Y28)),
IF(AQ$3=$DF28+'Model Setup'!$N$7,SUMIF($AD$3:$BA$3,"="&amp;$DF28+'Model Setup'!$N$7,$B28:$Y28)+'Model Setup'!$N$8*(SUMIF($AD$3:$BA$3,"&lt;"&amp;$DF28,$B28:$Y28)+SUMIF($AD$3:$BA$3,"&gt;="&amp;$DG28,$B28:$Y28)),
IF(AQ$3&lt;$DG28,O28,0))))))))))))))),0)</f>
        <v>33</v>
      </c>
      <c r="AR28" s="47">
        <f>ROUND(IF(AR$3&lt;$DF28,0,
IF(AR$3=$DF28+'Model Setup'!$B$7,SUMIF($AD$3:$BA$3,"="&amp;$DF28+'Model Setup'!$B$7,$B28:$Y28)+'Model Setup'!$B$8*(SUMIF($AD$3:$BA$3,"&lt;"&amp;$DF28,$B28:$Y28)+SUMIF($AD$3:$BA$3,"&gt;="&amp;$DG28,$B28:$Y28)),
IF(AR$3=$DF28+'Model Setup'!$C$7,SUMIF($AD$3:$BA$3,"="&amp;$DF28+'Model Setup'!$C$7,$B28:$Y28)+'Model Setup'!$C$8*(SUMIF($AD$3:$BA$3,"&lt;"&amp;$DF28,$B28:$Y28)+SUMIF($AD$3:$BA$3,"&gt;="&amp;$DG28,$B28:$Y28)),
IF(AR$3=$DF28+'Model Setup'!$D$7,SUMIF($AD$3:$BA$3,"="&amp;$DF28+'Model Setup'!$D$7,$B28:$Y28)+'Model Setup'!$D$8*(SUMIF($AD$3:$BA$3,"&lt;"&amp;$DF28,$B28:$Y28)+SUMIF($AD$3:$BA$3,"&gt;="&amp;$DG28,$B28:$Y28)),
IF(AR$3=$DF28+'Model Setup'!$E$7,SUMIF($AD$3:$BA$3,"="&amp;$DF28+'Model Setup'!$E$7,$B28:$Y28)+'Model Setup'!$E$8*(SUMIF($AD$3:$BA$3,"&lt;"&amp;$DF28,$B28:$Y28)+SUMIF($AD$3:$BA$3,"&gt;="&amp;$DG28,$B28:$Y28)),
IF(AR$3=$DF28+'Model Setup'!$F$7,SUMIF($AD$3:$BA$3,"="&amp;$DF28+'Model Setup'!$F$7,$B28:$Y28)+'Model Setup'!$F$8*(SUMIF($AD$3:$BA$3,"&lt;"&amp;$DF28,$B28:$Y28)+SUMIF($AD$3:$BA$3,"&gt;="&amp;$DG28,$B28:$Y28)),
IF(AR$3=$DF28+'Model Setup'!$G$7,SUMIF($AD$3:$BA$3,"="&amp;$DF28+'Model Setup'!$G$7,$B28:$Y28)+'Model Setup'!$G$8*(SUMIF($AD$3:$BA$3,"&lt;"&amp;$DF28,$B28:$Y28)+SUMIF($AD$3:$BA$3,"&gt;="&amp;$DG28,$B28:$Y28)),
IF(AR$3=$DF28+'Model Setup'!$H$7,SUMIF($AD$3:$BA$3,"="&amp;$DF28+'Model Setup'!$H$7,$B28:$Y28)+'Model Setup'!$H$8*(SUMIF($AD$3:$BA$3,"&lt;"&amp;$DF28,$B28:$Y28)+SUMIF($AD$3:$BA$3,"&gt;="&amp;$DG28,$B28:$Y28)),
IF(AR$3=$DF28+'Model Setup'!$I$7,SUMIF($AD$3:$BA$3,"="&amp;$DF28+'Model Setup'!$I$7,$B28:$Y28)+'Model Setup'!$I$8*(SUMIF($AD$3:$BA$3,"&lt;"&amp;$DF28,$B28:$Y28)+SUMIF($AD$3:$BA$3,"&gt;="&amp;$DG28,$B28:$Y28)),
IF(AR$3=$DF28+'Model Setup'!$J$7,SUMIF($AD$3:$BA$3,"="&amp;$DF28+'Model Setup'!$J$7,$B28:$Y28)+'Model Setup'!$J$8*(SUMIF($AD$3:$BA$3,"&lt;"&amp;$DF28,$B28:$Y28)+SUMIF($AD$3:$BA$3,"&gt;="&amp;$DG28,$B28:$Y28)),
IF(AR$3=$DF28+'Model Setup'!$K$7,SUMIF($AD$3:$BA$3,"="&amp;$DF28+'Model Setup'!$K$7,$B28:$Y28)+'Model Setup'!$K$8*(SUMIF($AD$3:$BA$3,"&lt;"&amp;$DF28,$B28:$Y28)+SUMIF($AD$3:$BA$3,"&gt;="&amp;$DG28,$B28:$Y28)),
IF(AR$3=$DF28+'Model Setup'!$L$7,SUMIF($AD$3:$BA$3,"="&amp;$DF28+'Model Setup'!$L$7,$B28:$Y28)+'Model Setup'!$L$8*(SUMIF($AD$3:$BA$3,"&lt;"&amp;$DF28,$B28:$Y28)+SUMIF($AD$3:$BA$3,"&gt;="&amp;$DG28,$B28:$Y28)),
IF(AR$3=$DF28+'Model Setup'!$M$7,SUMIF($AD$3:$BA$3,"="&amp;$DF28+'Model Setup'!$M$7,$B28:$Y28)+'Model Setup'!$M$8*(SUMIF($AD$3:$BA$3,"&lt;"&amp;$DF28,$B28:$Y28)+SUMIF($AD$3:$BA$3,"&gt;="&amp;$DG28,$B28:$Y28)),
IF(AR$3=$DF28+'Model Setup'!$N$7,SUMIF($AD$3:$BA$3,"="&amp;$DF28+'Model Setup'!$N$7,$B28:$Y28)+'Model Setup'!$N$8*(SUMIF($AD$3:$BA$3,"&lt;"&amp;$DF28,$B28:$Y28)+SUMIF($AD$3:$BA$3,"&gt;="&amp;$DG28,$B28:$Y28)),
IF(AR$3&lt;$DG28,P28,0))))))))))))))),0)</f>
        <v>26</v>
      </c>
      <c r="AS28" s="47">
        <f>ROUND(IF(AS$3&lt;$DF28,0,
IF(AS$3=$DF28+'Model Setup'!$B$7,SUMIF($AD$3:$BA$3,"="&amp;$DF28+'Model Setup'!$B$7,$B28:$Y28)+'Model Setup'!$B$8*(SUMIF($AD$3:$BA$3,"&lt;"&amp;$DF28,$B28:$Y28)+SUMIF($AD$3:$BA$3,"&gt;="&amp;$DG28,$B28:$Y28)),
IF(AS$3=$DF28+'Model Setup'!$C$7,SUMIF($AD$3:$BA$3,"="&amp;$DF28+'Model Setup'!$C$7,$B28:$Y28)+'Model Setup'!$C$8*(SUMIF($AD$3:$BA$3,"&lt;"&amp;$DF28,$B28:$Y28)+SUMIF($AD$3:$BA$3,"&gt;="&amp;$DG28,$B28:$Y28)),
IF(AS$3=$DF28+'Model Setup'!$D$7,SUMIF($AD$3:$BA$3,"="&amp;$DF28+'Model Setup'!$D$7,$B28:$Y28)+'Model Setup'!$D$8*(SUMIF($AD$3:$BA$3,"&lt;"&amp;$DF28,$B28:$Y28)+SUMIF($AD$3:$BA$3,"&gt;="&amp;$DG28,$B28:$Y28)),
IF(AS$3=$DF28+'Model Setup'!$E$7,SUMIF($AD$3:$BA$3,"="&amp;$DF28+'Model Setup'!$E$7,$B28:$Y28)+'Model Setup'!$E$8*(SUMIF($AD$3:$BA$3,"&lt;"&amp;$DF28,$B28:$Y28)+SUMIF($AD$3:$BA$3,"&gt;="&amp;$DG28,$B28:$Y28)),
IF(AS$3=$DF28+'Model Setup'!$F$7,SUMIF($AD$3:$BA$3,"="&amp;$DF28+'Model Setup'!$F$7,$B28:$Y28)+'Model Setup'!$F$8*(SUMIF($AD$3:$BA$3,"&lt;"&amp;$DF28,$B28:$Y28)+SUMIF($AD$3:$BA$3,"&gt;="&amp;$DG28,$B28:$Y28)),
IF(AS$3=$DF28+'Model Setup'!$G$7,SUMIF($AD$3:$BA$3,"="&amp;$DF28+'Model Setup'!$G$7,$B28:$Y28)+'Model Setup'!$G$8*(SUMIF($AD$3:$BA$3,"&lt;"&amp;$DF28,$B28:$Y28)+SUMIF($AD$3:$BA$3,"&gt;="&amp;$DG28,$B28:$Y28)),
IF(AS$3=$DF28+'Model Setup'!$H$7,SUMIF($AD$3:$BA$3,"="&amp;$DF28+'Model Setup'!$H$7,$B28:$Y28)+'Model Setup'!$H$8*(SUMIF($AD$3:$BA$3,"&lt;"&amp;$DF28,$B28:$Y28)+SUMIF($AD$3:$BA$3,"&gt;="&amp;$DG28,$B28:$Y28)),
IF(AS$3=$DF28+'Model Setup'!$I$7,SUMIF($AD$3:$BA$3,"="&amp;$DF28+'Model Setup'!$I$7,$B28:$Y28)+'Model Setup'!$I$8*(SUMIF($AD$3:$BA$3,"&lt;"&amp;$DF28,$B28:$Y28)+SUMIF($AD$3:$BA$3,"&gt;="&amp;$DG28,$B28:$Y28)),
IF(AS$3=$DF28+'Model Setup'!$J$7,SUMIF($AD$3:$BA$3,"="&amp;$DF28+'Model Setup'!$J$7,$B28:$Y28)+'Model Setup'!$J$8*(SUMIF($AD$3:$BA$3,"&lt;"&amp;$DF28,$B28:$Y28)+SUMIF($AD$3:$BA$3,"&gt;="&amp;$DG28,$B28:$Y28)),
IF(AS$3=$DF28+'Model Setup'!$K$7,SUMIF($AD$3:$BA$3,"="&amp;$DF28+'Model Setup'!$K$7,$B28:$Y28)+'Model Setup'!$K$8*(SUMIF($AD$3:$BA$3,"&lt;"&amp;$DF28,$B28:$Y28)+SUMIF($AD$3:$BA$3,"&gt;="&amp;$DG28,$B28:$Y28)),
IF(AS$3=$DF28+'Model Setup'!$L$7,SUMIF($AD$3:$BA$3,"="&amp;$DF28+'Model Setup'!$L$7,$B28:$Y28)+'Model Setup'!$L$8*(SUMIF($AD$3:$BA$3,"&lt;"&amp;$DF28,$B28:$Y28)+SUMIF($AD$3:$BA$3,"&gt;="&amp;$DG28,$B28:$Y28)),
IF(AS$3=$DF28+'Model Setup'!$M$7,SUMIF($AD$3:$BA$3,"="&amp;$DF28+'Model Setup'!$M$7,$B28:$Y28)+'Model Setup'!$M$8*(SUMIF($AD$3:$BA$3,"&lt;"&amp;$DF28,$B28:$Y28)+SUMIF($AD$3:$BA$3,"&gt;="&amp;$DG28,$B28:$Y28)),
IF(AS$3=$DF28+'Model Setup'!$N$7,SUMIF($AD$3:$BA$3,"="&amp;$DF28+'Model Setup'!$N$7,$B28:$Y28)+'Model Setup'!$N$8*(SUMIF($AD$3:$BA$3,"&lt;"&amp;$DF28,$B28:$Y28)+SUMIF($AD$3:$BA$3,"&gt;="&amp;$DG28,$B28:$Y28)),
IF(AS$3&lt;$DG28,Q28,0))))))))))))))),0)</f>
        <v>22</v>
      </c>
      <c r="AT28" s="47">
        <f>ROUND(IF(AT$3&lt;$DF28,0,
IF(AT$3=$DF28+'Model Setup'!$B$7,SUMIF($AD$3:$BA$3,"="&amp;$DF28+'Model Setup'!$B$7,$B28:$Y28)+'Model Setup'!$B$8*(SUMIF($AD$3:$BA$3,"&lt;"&amp;$DF28,$B28:$Y28)+SUMIF($AD$3:$BA$3,"&gt;="&amp;$DG28,$B28:$Y28)),
IF(AT$3=$DF28+'Model Setup'!$C$7,SUMIF($AD$3:$BA$3,"="&amp;$DF28+'Model Setup'!$C$7,$B28:$Y28)+'Model Setup'!$C$8*(SUMIF($AD$3:$BA$3,"&lt;"&amp;$DF28,$B28:$Y28)+SUMIF($AD$3:$BA$3,"&gt;="&amp;$DG28,$B28:$Y28)),
IF(AT$3=$DF28+'Model Setup'!$D$7,SUMIF($AD$3:$BA$3,"="&amp;$DF28+'Model Setup'!$D$7,$B28:$Y28)+'Model Setup'!$D$8*(SUMIF($AD$3:$BA$3,"&lt;"&amp;$DF28,$B28:$Y28)+SUMIF($AD$3:$BA$3,"&gt;="&amp;$DG28,$B28:$Y28)),
IF(AT$3=$DF28+'Model Setup'!$E$7,SUMIF($AD$3:$BA$3,"="&amp;$DF28+'Model Setup'!$E$7,$B28:$Y28)+'Model Setup'!$E$8*(SUMIF($AD$3:$BA$3,"&lt;"&amp;$DF28,$B28:$Y28)+SUMIF($AD$3:$BA$3,"&gt;="&amp;$DG28,$B28:$Y28)),
IF(AT$3=$DF28+'Model Setup'!$F$7,SUMIF($AD$3:$BA$3,"="&amp;$DF28+'Model Setup'!$F$7,$B28:$Y28)+'Model Setup'!$F$8*(SUMIF($AD$3:$BA$3,"&lt;"&amp;$DF28,$B28:$Y28)+SUMIF($AD$3:$BA$3,"&gt;="&amp;$DG28,$B28:$Y28)),
IF(AT$3=$DF28+'Model Setup'!$G$7,SUMIF($AD$3:$BA$3,"="&amp;$DF28+'Model Setup'!$G$7,$B28:$Y28)+'Model Setup'!$G$8*(SUMIF($AD$3:$BA$3,"&lt;"&amp;$DF28,$B28:$Y28)+SUMIF($AD$3:$BA$3,"&gt;="&amp;$DG28,$B28:$Y28)),
IF(AT$3=$DF28+'Model Setup'!$H$7,SUMIF($AD$3:$BA$3,"="&amp;$DF28+'Model Setup'!$H$7,$B28:$Y28)+'Model Setup'!$H$8*(SUMIF($AD$3:$BA$3,"&lt;"&amp;$DF28,$B28:$Y28)+SUMIF($AD$3:$BA$3,"&gt;="&amp;$DG28,$B28:$Y28)),
IF(AT$3=$DF28+'Model Setup'!$I$7,SUMIF($AD$3:$BA$3,"="&amp;$DF28+'Model Setup'!$I$7,$B28:$Y28)+'Model Setup'!$I$8*(SUMIF($AD$3:$BA$3,"&lt;"&amp;$DF28,$B28:$Y28)+SUMIF($AD$3:$BA$3,"&gt;="&amp;$DG28,$B28:$Y28)),
IF(AT$3=$DF28+'Model Setup'!$J$7,SUMIF($AD$3:$BA$3,"="&amp;$DF28+'Model Setup'!$J$7,$B28:$Y28)+'Model Setup'!$J$8*(SUMIF($AD$3:$BA$3,"&lt;"&amp;$DF28,$B28:$Y28)+SUMIF($AD$3:$BA$3,"&gt;="&amp;$DG28,$B28:$Y28)),
IF(AT$3=$DF28+'Model Setup'!$K$7,SUMIF($AD$3:$BA$3,"="&amp;$DF28+'Model Setup'!$K$7,$B28:$Y28)+'Model Setup'!$K$8*(SUMIF($AD$3:$BA$3,"&lt;"&amp;$DF28,$B28:$Y28)+SUMIF($AD$3:$BA$3,"&gt;="&amp;$DG28,$B28:$Y28)),
IF(AT$3=$DF28+'Model Setup'!$L$7,SUMIF($AD$3:$BA$3,"="&amp;$DF28+'Model Setup'!$L$7,$B28:$Y28)+'Model Setup'!$L$8*(SUMIF($AD$3:$BA$3,"&lt;"&amp;$DF28,$B28:$Y28)+SUMIF($AD$3:$BA$3,"&gt;="&amp;$DG28,$B28:$Y28)),
IF(AT$3=$DF28+'Model Setup'!$M$7,SUMIF($AD$3:$BA$3,"="&amp;$DF28+'Model Setup'!$M$7,$B28:$Y28)+'Model Setup'!$M$8*(SUMIF($AD$3:$BA$3,"&lt;"&amp;$DF28,$B28:$Y28)+SUMIF($AD$3:$BA$3,"&gt;="&amp;$DG28,$B28:$Y28)),
IF(AT$3=$DF28+'Model Setup'!$N$7,SUMIF($AD$3:$BA$3,"="&amp;$DF28+'Model Setup'!$N$7,$B28:$Y28)+'Model Setup'!$N$8*(SUMIF($AD$3:$BA$3,"&lt;"&amp;$DF28,$B28:$Y28)+SUMIF($AD$3:$BA$3,"&gt;="&amp;$DG28,$B28:$Y28)),
IF(AT$3&lt;$DG28,R28,0))))))))))))))),0)</f>
        <v>13</v>
      </c>
      <c r="AU28" s="47">
        <f>ROUND(IF(AU$3&lt;$DF28,0,
IF(AU$3=$DF28+'Model Setup'!$B$7,SUMIF($AD$3:$BA$3,"="&amp;$DF28+'Model Setup'!$B$7,$B28:$Y28)+'Model Setup'!$B$8*(SUMIF($AD$3:$BA$3,"&lt;"&amp;$DF28,$B28:$Y28)+SUMIF($AD$3:$BA$3,"&gt;="&amp;$DG28,$B28:$Y28)),
IF(AU$3=$DF28+'Model Setup'!$C$7,SUMIF($AD$3:$BA$3,"="&amp;$DF28+'Model Setup'!$C$7,$B28:$Y28)+'Model Setup'!$C$8*(SUMIF($AD$3:$BA$3,"&lt;"&amp;$DF28,$B28:$Y28)+SUMIF($AD$3:$BA$3,"&gt;="&amp;$DG28,$B28:$Y28)),
IF(AU$3=$DF28+'Model Setup'!$D$7,SUMIF($AD$3:$BA$3,"="&amp;$DF28+'Model Setup'!$D$7,$B28:$Y28)+'Model Setup'!$D$8*(SUMIF($AD$3:$BA$3,"&lt;"&amp;$DF28,$B28:$Y28)+SUMIF($AD$3:$BA$3,"&gt;="&amp;$DG28,$B28:$Y28)),
IF(AU$3=$DF28+'Model Setup'!$E$7,SUMIF($AD$3:$BA$3,"="&amp;$DF28+'Model Setup'!$E$7,$B28:$Y28)+'Model Setup'!$E$8*(SUMIF($AD$3:$BA$3,"&lt;"&amp;$DF28,$B28:$Y28)+SUMIF($AD$3:$BA$3,"&gt;="&amp;$DG28,$B28:$Y28)),
IF(AU$3=$DF28+'Model Setup'!$F$7,SUMIF($AD$3:$BA$3,"="&amp;$DF28+'Model Setup'!$F$7,$B28:$Y28)+'Model Setup'!$F$8*(SUMIF($AD$3:$BA$3,"&lt;"&amp;$DF28,$B28:$Y28)+SUMIF($AD$3:$BA$3,"&gt;="&amp;$DG28,$B28:$Y28)),
IF(AU$3=$DF28+'Model Setup'!$G$7,SUMIF($AD$3:$BA$3,"="&amp;$DF28+'Model Setup'!$G$7,$B28:$Y28)+'Model Setup'!$G$8*(SUMIF($AD$3:$BA$3,"&lt;"&amp;$DF28,$B28:$Y28)+SUMIF($AD$3:$BA$3,"&gt;="&amp;$DG28,$B28:$Y28)),
IF(AU$3=$DF28+'Model Setup'!$H$7,SUMIF($AD$3:$BA$3,"="&amp;$DF28+'Model Setup'!$H$7,$B28:$Y28)+'Model Setup'!$H$8*(SUMIF($AD$3:$BA$3,"&lt;"&amp;$DF28,$B28:$Y28)+SUMIF($AD$3:$BA$3,"&gt;="&amp;$DG28,$B28:$Y28)),
IF(AU$3=$DF28+'Model Setup'!$I$7,SUMIF($AD$3:$BA$3,"="&amp;$DF28+'Model Setup'!$I$7,$B28:$Y28)+'Model Setup'!$I$8*(SUMIF($AD$3:$BA$3,"&lt;"&amp;$DF28,$B28:$Y28)+SUMIF($AD$3:$BA$3,"&gt;="&amp;$DG28,$B28:$Y28)),
IF(AU$3=$DF28+'Model Setup'!$J$7,SUMIF($AD$3:$BA$3,"="&amp;$DF28+'Model Setup'!$J$7,$B28:$Y28)+'Model Setup'!$J$8*(SUMIF($AD$3:$BA$3,"&lt;"&amp;$DF28,$B28:$Y28)+SUMIF($AD$3:$BA$3,"&gt;="&amp;$DG28,$B28:$Y28)),
IF(AU$3=$DF28+'Model Setup'!$K$7,SUMIF($AD$3:$BA$3,"="&amp;$DF28+'Model Setup'!$K$7,$B28:$Y28)+'Model Setup'!$K$8*(SUMIF($AD$3:$BA$3,"&lt;"&amp;$DF28,$B28:$Y28)+SUMIF($AD$3:$BA$3,"&gt;="&amp;$DG28,$B28:$Y28)),
IF(AU$3=$DF28+'Model Setup'!$L$7,SUMIF($AD$3:$BA$3,"="&amp;$DF28+'Model Setup'!$L$7,$B28:$Y28)+'Model Setup'!$L$8*(SUMIF($AD$3:$BA$3,"&lt;"&amp;$DF28,$B28:$Y28)+SUMIF($AD$3:$BA$3,"&gt;="&amp;$DG28,$B28:$Y28)),
IF(AU$3=$DF28+'Model Setup'!$M$7,SUMIF($AD$3:$BA$3,"="&amp;$DF28+'Model Setup'!$M$7,$B28:$Y28)+'Model Setup'!$M$8*(SUMIF($AD$3:$BA$3,"&lt;"&amp;$DF28,$B28:$Y28)+SUMIF($AD$3:$BA$3,"&gt;="&amp;$DG28,$B28:$Y28)),
IF(AU$3=$DF28+'Model Setup'!$N$7,SUMIF($AD$3:$BA$3,"="&amp;$DF28+'Model Setup'!$N$7,$B28:$Y28)+'Model Setup'!$N$8*(SUMIF($AD$3:$BA$3,"&lt;"&amp;$DF28,$B28:$Y28)+SUMIF($AD$3:$BA$3,"&gt;="&amp;$DG28,$B28:$Y28)),
IF(AU$3&lt;$DG28,S28,0))))))))))))))),0)</f>
        <v>40</v>
      </c>
      <c r="AV28" s="47">
        <f>ROUND(IF(AV$3&lt;$DF28,0,
IF(AV$3=$DF28+'Model Setup'!$B$7,SUMIF($AD$3:$BA$3,"="&amp;$DF28+'Model Setup'!$B$7,$B28:$Y28)+'Model Setup'!$B$8*(SUMIF($AD$3:$BA$3,"&lt;"&amp;$DF28,$B28:$Y28)+SUMIF($AD$3:$BA$3,"&gt;="&amp;$DG28,$B28:$Y28)),
IF(AV$3=$DF28+'Model Setup'!$C$7,SUMIF($AD$3:$BA$3,"="&amp;$DF28+'Model Setup'!$C$7,$B28:$Y28)+'Model Setup'!$C$8*(SUMIF($AD$3:$BA$3,"&lt;"&amp;$DF28,$B28:$Y28)+SUMIF($AD$3:$BA$3,"&gt;="&amp;$DG28,$B28:$Y28)),
IF(AV$3=$DF28+'Model Setup'!$D$7,SUMIF($AD$3:$BA$3,"="&amp;$DF28+'Model Setup'!$D$7,$B28:$Y28)+'Model Setup'!$D$8*(SUMIF($AD$3:$BA$3,"&lt;"&amp;$DF28,$B28:$Y28)+SUMIF($AD$3:$BA$3,"&gt;="&amp;$DG28,$B28:$Y28)),
IF(AV$3=$DF28+'Model Setup'!$E$7,SUMIF($AD$3:$BA$3,"="&amp;$DF28+'Model Setup'!$E$7,$B28:$Y28)+'Model Setup'!$E$8*(SUMIF($AD$3:$BA$3,"&lt;"&amp;$DF28,$B28:$Y28)+SUMIF($AD$3:$BA$3,"&gt;="&amp;$DG28,$B28:$Y28)),
IF(AV$3=$DF28+'Model Setup'!$F$7,SUMIF($AD$3:$BA$3,"="&amp;$DF28+'Model Setup'!$F$7,$B28:$Y28)+'Model Setup'!$F$8*(SUMIF($AD$3:$BA$3,"&lt;"&amp;$DF28,$B28:$Y28)+SUMIF($AD$3:$BA$3,"&gt;="&amp;$DG28,$B28:$Y28)),
IF(AV$3=$DF28+'Model Setup'!$G$7,SUMIF($AD$3:$BA$3,"="&amp;$DF28+'Model Setup'!$G$7,$B28:$Y28)+'Model Setup'!$G$8*(SUMIF($AD$3:$BA$3,"&lt;"&amp;$DF28,$B28:$Y28)+SUMIF($AD$3:$BA$3,"&gt;="&amp;$DG28,$B28:$Y28)),
IF(AV$3=$DF28+'Model Setup'!$H$7,SUMIF($AD$3:$BA$3,"="&amp;$DF28+'Model Setup'!$H$7,$B28:$Y28)+'Model Setup'!$H$8*(SUMIF($AD$3:$BA$3,"&lt;"&amp;$DF28,$B28:$Y28)+SUMIF($AD$3:$BA$3,"&gt;="&amp;$DG28,$B28:$Y28)),
IF(AV$3=$DF28+'Model Setup'!$I$7,SUMIF($AD$3:$BA$3,"="&amp;$DF28+'Model Setup'!$I$7,$B28:$Y28)+'Model Setup'!$I$8*(SUMIF($AD$3:$BA$3,"&lt;"&amp;$DF28,$B28:$Y28)+SUMIF($AD$3:$BA$3,"&gt;="&amp;$DG28,$B28:$Y28)),
IF(AV$3=$DF28+'Model Setup'!$J$7,SUMIF($AD$3:$BA$3,"="&amp;$DF28+'Model Setup'!$J$7,$B28:$Y28)+'Model Setup'!$J$8*(SUMIF($AD$3:$BA$3,"&lt;"&amp;$DF28,$B28:$Y28)+SUMIF($AD$3:$BA$3,"&gt;="&amp;$DG28,$B28:$Y28)),
IF(AV$3=$DF28+'Model Setup'!$K$7,SUMIF($AD$3:$BA$3,"="&amp;$DF28+'Model Setup'!$K$7,$B28:$Y28)+'Model Setup'!$K$8*(SUMIF($AD$3:$BA$3,"&lt;"&amp;$DF28,$B28:$Y28)+SUMIF($AD$3:$BA$3,"&gt;="&amp;$DG28,$B28:$Y28)),
IF(AV$3=$DF28+'Model Setup'!$L$7,SUMIF($AD$3:$BA$3,"="&amp;$DF28+'Model Setup'!$L$7,$B28:$Y28)+'Model Setup'!$L$8*(SUMIF($AD$3:$BA$3,"&lt;"&amp;$DF28,$B28:$Y28)+SUMIF($AD$3:$BA$3,"&gt;="&amp;$DG28,$B28:$Y28)),
IF(AV$3=$DF28+'Model Setup'!$M$7,SUMIF($AD$3:$BA$3,"="&amp;$DF28+'Model Setup'!$M$7,$B28:$Y28)+'Model Setup'!$M$8*(SUMIF($AD$3:$BA$3,"&lt;"&amp;$DF28,$B28:$Y28)+SUMIF($AD$3:$BA$3,"&gt;="&amp;$DG28,$B28:$Y28)),
IF(AV$3=$DF28+'Model Setup'!$N$7,SUMIF($AD$3:$BA$3,"="&amp;$DF28+'Model Setup'!$N$7,$B28:$Y28)+'Model Setup'!$N$8*(SUMIF($AD$3:$BA$3,"&lt;"&amp;$DF28,$B28:$Y28)+SUMIF($AD$3:$BA$3,"&gt;="&amp;$DG28,$B28:$Y28)),
IF(AV$3&lt;$DG28,T28,0))))))))))))))),0)</f>
        <v>50</v>
      </c>
      <c r="AW28" s="47">
        <f>ROUND(IF(AW$3&lt;$DF28,0,
IF(AW$3=$DF28+'Model Setup'!$B$7,SUMIF($AD$3:$BA$3,"="&amp;$DF28+'Model Setup'!$B$7,$B28:$Y28)+'Model Setup'!$B$8*(SUMIF($AD$3:$BA$3,"&lt;"&amp;$DF28,$B28:$Y28)+SUMIF($AD$3:$BA$3,"&gt;="&amp;$DG28,$B28:$Y28)),
IF(AW$3=$DF28+'Model Setup'!$C$7,SUMIF($AD$3:$BA$3,"="&amp;$DF28+'Model Setup'!$C$7,$B28:$Y28)+'Model Setup'!$C$8*(SUMIF($AD$3:$BA$3,"&lt;"&amp;$DF28,$B28:$Y28)+SUMIF($AD$3:$BA$3,"&gt;="&amp;$DG28,$B28:$Y28)),
IF(AW$3=$DF28+'Model Setup'!$D$7,SUMIF($AD$3:$BA$3,"="&amp;$DF28+'Model Setup'!$D$7,$B28:$Y28)+'Model Setup'!$D$8*(SUMIF($AD$3:$BA$3,"&lt;"&amp;$DF28,$B28:$Y28)+SUMIF($AD$3:$BA$3,"&gt;="&amp;$DG28,$B28:$Y28)),
IF(AW$3=$DF28+'Model Setup'!$E$7,SUMIF($AD$3:$BA$3,"="&amp;$DF28+'Model Setup'!$E$7,$B28:$Y28)+'Model Setup'!$E$8*(SUMIF($AD$3:$BA$3,"&lt;"&amp;$DF28,$B28:$Y28)+SUMIF($AD$3:$BA$3,"&gt;="&amp;$DG28,$B28:$Y28)),
IF(AW$3=$DF28+'Model Setup'!$F$7,SUMIF($AD$3:$BA$3,"="&amp;$DF28+'Model Setup'!$F$7,$B28:$Y28)+'Model Setup'!$F$8*(SUMIF($AD$3:$BA$3,"&lt;"&amp;$DF28,$B28:$Y28)+SUMIF($AD$3:$BA$3,"&gt;="&amp;$DG28,$B28:$Y28)),
IF(AW$3=$DF28+'Model Setup'!$G$7,SUMIF($AD$3:$BA$3,"="&amp;$DF28+'Model Setup'!$G$7,$B28:$Y28)+'Model Setup'!$G$8*(SUMIF($AD$3:$BA$3,"&lt;"&amp;$DF28,$B28:$Y28)+SUMIF($AD$3:$BA$3,"&gt;="&amp;$DG28,$B28:$Y28)),
IF(AW$3=$DF28+'Model Setup'!$H$7,SUMIF($AD$3:$BA$3,"="&amp;$DF28+'Model Setup'!$H$7,$B28:$Y28)+'Model Setup'!$H$8*(SUMIF($AD$3:$BA$3,"&lt;"&amp;$DF28,$B28:$Y28)+SUMIF($AD$3:$BA$3,"&gt;="&amp;$DG28,$B28:$Y28)),
IF(AW$3=$DF28+'Model Setup'!$I$7,SUMIF($AD$3:$BA$3,"="&amp;$DF28+'Model Setup'!$I$7,$B28:$Y28)+'Model Setup'!$I$8*(SUMIF($AD$3:$BA$3,"&lt;"&amp;$DF28,$B28:$Y28)+SUMIF($AD$3:$BA$3,"&gt;="&amp;$DG28,$B28:$Y28)),
IF(AW$3=$DF28+'Model Setup'!$J$7,SUMIF($AD$3:$BA$3,"="&amp;$DF28+'Model Setup'!$J$7,$B28:$Y28)+'Model Setup'!$J$8*(SUMIF($AD$3:$BA$3,"&lt;"&amp;$DF28,$B28:$Y28)+SUMIF($AD$3:$BA$3,"&gt;="&amp;$DG28,$B28:$Y28)),
IF(AW$3=$DF28+'Model Setup'!$K$7,SUMIF($AD$3:$BA$3,"="&amp;$DF28+'Model Setup'!$K$7,$B28:$Y28)+'Model Setup'!$K$8*(SUMIF($AD$3:$BA$3,"&lt;"&amp;$DF28,$B28:$Y28)+SUMIF($AD$3:$BA$3,"&gt;="&amp;$DG28,$B28:$Y28)),
IF(AW$3=$DF28+'Model Setup'!$L$7,SUMIF($AD$3:$BA$3,"="&amp;$DF28+'Model Setup'!$L$7,$B28:$Y28)+'Model Setup'!$L$8*(SUMIF($AD$3:$BA$3,"&lt;"&amp;$DF28,$B28:$Y28)+SUMIF($AD$3:$BA$3,"&gt;="&amp;$DG28,$B28:$Y28)),
IF(AW$3=$DF28+'Model Setup'!$M$7,SUMIF($AD$3:$BA$3,"="&amp;$DF28+'Model Setup'!$M$7,$B28:$Y28)+'Model Setup'!$M$8*(SUMIF($AD$3:$BA$3,"&lt;"&amp;$DF28,$B28:$Y28)+SUMIF($AD$3:$BA$3,"&gt;="&amp;$DG28,$B28:$Y28)),
IF(AW$3=$DF28+'Model Setup'!$N$7,SUMIF($AD$3:$BA$3,"="&amp;$DF28+'Model Setup'!$N$7,$B28:$Y28)+'Model Setup'!$N$8*(SUMIF($AD$3:$BA$3,"&lt;"&amp;$DF28,$B28:$Y28)+SUMIF($AD$3:$BA$3,"&gt;="&amp;$DG28,$B28:$Y28)),
IF(AW$3&lt;$DG28,U28,0))))))))))))))),0)</f>
        <v>37</v>
      </c>
      <c r="AX28" s="47">
        <f>ROUND(IF(AX$3&lt;$DF28,0,
IF(AX$3=$DF28+'Model Setup'!$B$7,SUMIF($AD$3:$BA$3,"="&amp;$DF28+'Model Setup'!$B$7,$B28:$Y28)+'Model Setup'!$B$8*(SUMIF($AD$3:$BA$3,"&lt;"&amp;$DF28,$B28:$Y28)+SUMIF($AD$3:$BA$3,"&gt;="&amp;$DG28,$B28:$Y28)),
IF(AX$3=$DF28+'Model Setup'!$C$7,SUMIF($AD$3:$BA$3,"="&amp;$DF28+'Model Setup'!$C$7,$B28:$Y28)+'Model Setup'!$C$8*(SUMIF($AD$3:$BA$3,"&lt;"&amp;$DF28,$B28:$Y28)+SUMIF($AD$3:$BA$3,"&gt;="&amp;$DG28,$B28:$Y28)),
IF(AX$3=$DF28+'Model Setup'!$D$7,SUMIF($AD$3:$BA$3,"="&amp;$DF28+'Model Setup'!$D$7,$B28:$Y28)+'Model Setup'!$D$8*(SUMIF($AD$3:$BA$3,"&lt;"&amp;$DF28,$B28:$Y28)+SUMIF($AD$3:$BA$3,"&gt;="&amp;$DG28,$B28:$Y28)),
IF(AX$3=$DF28+'Model Setup'!$E$7,SUMIF($AD$3:$BA$3,"="&amp;$DF28+'Model Setup'!$E$7,$B28:$Y28)+'Model Setup'!$E$8*(SUMIF($AD$3:$BA$3,"&lt;"&amp;$DF28,$B28:$Y28)+SUMIF($AD$3:$BA$3,"&gt;="&amp;$DG28,$B28:$Y28)),
IF(AX$3=$DF28+'Model Setup'!$F$7,SUMIF($AD$3:$BA$3,"="&amp;$DF28+'Model Setup'!$F$7,$B28:$Y28)+'Model Setup'!$F$8*(SUMIF($AD$3:$BA$3,"&lt;"&amp;$DF28,$B28:$Y28)+SUMIF($AD$3:$BA$3,"&gt;="&amp;$DG28,$B28:$Y28)),
IF(AX$3=$DF28+'Model Setup'!$G$7,SUMIF($AD$3:$BA$3,"="&amp;$DF28+'Model Setup'!$G$7,$B28:$Y28)+'Model Setup'!$G$8*(SUMIF($AD$3:$BA$3,"&lt;"&amp;$DF28,$B28:$Y28)+SUMIF($AD$3:$BA$3,"&gt;="&amp;$DG28,$B28:$Y28)),
IF(AX$3=$DF28+'Model Setup'!$H$7,SUMIF($AD$3:$BA$3,"="&amp;$DF28+'Model Setup'!$H$7,$B28:$Y28)+'Model Setup'!$H$8*(SUMIF($AD$3:$BA$3,"&lt;"&amp;$DF28,$B28:$Y28)+SUMIF($AD$3:$BA$3,"&gt;="&amp;$DG28,$B28:$Y28)),
IF(AX$3=$DF28+'Model Setup'!$I$7,SUMIF($AD$3:$BA$3,"="&amp;$DF28+'Model Setup'!$I$7,$B28:$Y28)+'Model Setup'!$I$8*(SUMIF($AD$3:$BA$3,"&lt;"&amp;$DF28,$B28:$Y28)+SUMIF($AD$3:$BA$3,"&gt;="&amp;$DG28,$B28:$Y28)),
IF(AX$3=$DF28+'Model Setup'!$J$7,SUMIF($AD$3:$BA$3,"="&amp;$DF28+'Model Setup'!$J$7,$B28:$Y28)+'Model Setup'!$J$8*(SUMIF($AD$3:$BA$3,"&lt;"&amp;$DF28,$B28:$Y28)+SUMIF($AD$3:$BA$3,"&gt;="&amp;$DG28,$B28:$Y28)),
IF(AX$3=$DF28+'Model Setup'!$K$7,SUMIF($AD$3:$BA$3,"="&amp;$DF28+'Model Setup'!$K$7,$B28:$Y28)+'Model Setup'!$K$8*(SUMIF($AD$3:$BA$3,"&lt;"&amp;$DF28,$B28:$Y28)+SUMIF($AD$3:$BA$3,"&gt;="&amp;$DG28,$B28:$Y28)),
IF(AX$3=$DF28+'Model Setup'!$L$7,SUMIF($AD$3:$BA$3,"="&amp;$DF28+'Model Setup'!$L$7,$B28:$Y28)+'Model Setup'!$L$8*(SUMIF($AD$3:$BA$3,"&lt;"&amp;$DF28,$B28:$Y28)+SUMIF($AD$3:$BA$3,"&gt;="&amp;$DG28,$B28:$Y28)),
IF(AX$3=$DF28+'Model Setup'!$M$7,SUMIF($AD$3:$BA$3,"="&amp;$DF28+'Model Setup'!$M$7,$B28:$Y28)+'Model Setup'!$M$8*(SUMIF($AD$3:$BA$3,"&lt;"&amp;$DF28,$B28:$Y28)+SUMIF($AD$3:$BA$3,"&gt;="&amp;$DG28,$B28:$Y28)),
IF(AX$3=$DF28+'Model Setup'!$N$7,SUMIF($AD$3:$BA$3,"="&amp;$DF28+'Model Setup'!$N$7,$B28:$Y28)+'Model Setup'!$N$8*(SUMIF($AD$3:$BA$3,"&lt;"&amp;$DF28,$B28:$Y28)+SUMIF($AD$3:$BA$3,"&gt;="&amp;$DG28,$B28:$Y28)),
IF(AX$3&lt;$DG28,V28,0))))))))))))))),0)</f>
        <v>0</v>
      </c>
      <c r="AY28" s="47">
        <f>ROUND(IF(AY$3&lt;$DF28,0,
IF(AY$3=$DF28+'Model Setup'!$B$7,SUMIF($AD$3:$BA$3,"="&amp;$DF28+'Model Setup'!$B$7,$B28:$Y28)+'Model Setup'!$B$8*(SUMIF($AD$3:$BA$3,"&lt;"&amp;$DF28,$B28:$Y28)+SUMIF($AD$3:$BA$3,"&gt;="&amp;$DG28,$B28:$Y28)),
IF(AY$3=$DF28+'Model Setup'!$C$7,SUMIF($AD$3:$BA$3,"="&amp;$DF28+'Model Setup'!$C$7,$B28:$Y28)+'Model Setup'!$C$8*(SUMIF($AD$3:$BA$3,"&lt;"&amp;$DF28,$B28:$Y28)+SUMIF($AD$3:$BA$3,"&gt;="&amp;$DG28,$B28:$Y28)),
IF(AY$3=$DF28+'Model Setup'!$D$7,SUMIF($AD$3:$BA$3,"="&amp;$DF28+'Model Setup'!$D$7,$B28:$Y28)+'Model Setup'!$D$8*(SUMIF($AD$3:$BA$3,"&lt;"&amp;$DF28,$B28:$Y28)+SUMIF($AD$3:$BA$3,"&gt;="&amp;$DG28,$B28:$Y28)),
IF(AY$3=$DF28+'Model Setup'!$E$7,SUMIF($AD$3:$BA$3,"="&amp;$DF28+'Model Setup'!$E$7,$B28:$Y28)+'Model Setup'!$E$8*(SUMIF($AD$3:$BA$3,"&lt;"&amp;$DF28,$B28:$Y28)+SUMIF($AD$3:$BA$3,"&gt;="&amp;$DG28,$B28:$Y28)),
IF(AY$3=$DF28+'Model Setup'!$F$7,SUMIF($AD$3:$BA$3,"="&amp;$DF28+'Model Setup'!$F$7,$B28:$Y28)+'Model Setup'!$F$8*(SUMIF($AD$3:$BA$3,"&lt;"&amp;$DF28,$B28:$Y28)+SUMIF($AD$3:$BA$3,"&gt;="&amp;$DG28,$B28:$Y28)),
IF(AY$3=$DF28+'Model Setup'!$G$7,SUMIF($AD$3:$BA$3,"="&amp;$DF28+'Model Setup'!$G$7,$B28:$Y28)+'Model Setup'!$G$8*(SUMIF($AD$3:$BA$3,"&lt;"&amp;$DF28,$B28:$Y28)+SUMIF($AD$3:$BA$3,"&gt;="&amp;$DG28,$B28:$Y28)),
IF(AY$3=$DF28+'Model Setup'!$H$7,SUMIF($AD$3:$BA$3,"="&amp;$DF28+'Model Setup'!$H$7,$B28:$Y28)+'Model Setup'!$H$8*(SUMIF($AD$3:$BA$3,"&lt;"&amp;$DF28,$B28:$Y28)+SUMIF($AD$3:$BA$3,"&gt;="&amp;$DG28,$B28:$Y28)),
IF(AY$3=$DF28+'Model Setup'!$I$7,SUMIF($AD$3:$BA$3,"="&amp;$DF28+'Model Setup'!$I$7,$B28:$Y28)+'Model Setup'!$I$8*(SUMIF($AD$3:$BA$3,"&lt;"&amp;$DF28,$B28:$Y28)+SUMIF($AD$3:$BA$3,"&gt;="&amp;$DG28,$B28:$Y28)),
IF(AY$3=$DF28+'Model Setup'!$J$7,SUMIF($AD$3:$BA$3,"="&amp;$DF28+'Model Setup'!$J$7,$B28:$Y28)+'Model Setup'!$J$8*(SUMIF($AD$3:$BA$3,"&lt;"&amp;$DF28,$B28:$Y28)+SUMIF($AD$3:$BA$3,"&gt;="&amp;$DG28,$B28:$Y28)),
IF(AY$3=$DF28+'Model Setup'!$K$7,SUMIF($AD$3:$BA$3,"="&amp;$DF28+'Model Setup'!$K$7,$B28:$Y28)+'Model Setup'!$K$8*(SUMIF($AD$3:$BA$3,"&lt;"&amp;$DF28,$B28:$Y28)+SUMIF($AD$3:$BA$3,"&gt;="&amp;$DG28,$B28:$Y28)),
IF(AY$3=$DF28+'Model Setup'!$L$7,SUMIF($AD$3:$BA$3,"="&amp;$DF28+'Model Setup'!$L$7,$B28:$Y28)+'Model Setup'!$L$8*(SUMIF($AD$3:$BA$3,"&lt;"&amp;$DF28,$B28:$Y28)+SUMIF($AD$3:$BA$3,"&gt;="&amp;$DG28,$B28:$Y28)),
IF(AY$3=$DF28+'Model Setup'!$M$7,SUMIF($AD$3:$BA$3,"="&amp;$DF28+'Model Setup'!$M$7,$B28:$Y28)+'Model Setup'!$M$8*(SUMIF($AD$3:$BA$3,"&lt;"&amp;$DF28,$B28:$Y28)+SUMIF($AD$3:$BA$3,"&gt;="&amp;$DG28,$B28:$Y28)),
IF(AY$3=$DF28+'Model Setup'!$N$7,SUMIF($AD$3:$BA$3,"="&amp;$DF28+'Model Setup'!$N$7,$B28:$Y28)+'Model Setup'!$N$8*(SUMIF($AD$3:$BA$3,"&lt;"&amp;$DF28,$B28:$Y28)+SUMIF($AD$3:$BA$3,"&gt;="&amp;$DG28,$B28:$Y28)),
IF(AY$3&lt;$DG28,W28,0))))))))))))))),0)</f>
        <v>0</v>
      </c>
      <c r="AZ28" s="47">
        <f>ROUND(IF(AZ$3&lt;$DF28,0,
IF(AZ$3=$DF28+'Model Setup'!$B$7,SUMIF($AD$3:$BA$3,"="&amp;$DF28+'Model Setup'!$B$7,$B28:$Y28)+'Model Setup'!$B$8*(SUMIF($AD$3:$BA$3,"&lt;"&amp;$DF28,$B28:$Y28)+SUMIF($AD$3:$BA$3,"&gt;="&amp;$DG28,$B28:$Y28)),
IF(AZ$3=$DF28+'Model Setup'!$C$7,SUMIF($AD$3:$BA$3,"="&amp;$DF28+'Model Setup'!$C$7,$B28:$Y28)+'Model Setup'!$C$8*(SUMIF($AD$3:$BA$3,"&lt;"&amp;$DF28,$B28:$Y28)+SUMIF($AD$3:$BA$3,"&gt;="&amp;$DG28,$B28:$Y28)),
IF(AZ$3=$DF28+'Model Setup'!$D$7,SUMIF($AD$3:$BA$3,"="&amp;$DF28+'Model Setup'!$D$7,$B28:$Y28)+'Model Setup'!$D$8*(SUMIF($AD$3:$BA$3,"&lt;"&amp;$DF28,$B28:$Y28)+SUMIF($AD$3:$BA$3,"&gt;="&amp;$DG28,$B28:$Y28)),
IF(AZ$3=$DF28+'Model Setup'!$E$7,SUMIF($AD$3:$BA$3,"="&amp;$DF28+'Model Setup'!$E$7,$B28:$Y28)+'Model Setup'!$E$8*(SUMIF($AD$3:$BA$3,"&lt;"&amp;$DF28,$B28:$Y28)+SUMIF($AD$3:$BA$3,"&gt;="&amp;$DG28,$B28:$Y28)),
IF(AZ$3=$DF28+'Model Setup'!$F$7,SUMIF($AD$3:$BA$3,"="&amp;$DF28+'Model Setup'!$F$7,$B28:$Y28)+'Model Setup'!$F$8*(SUMIF($AD$3:$BA$3,"&lt;"&amp;$DF28,$B28:$Y28)+SUMIF($AD$3:$BA$3,"&gt;="&amp;$DG28,$B28:$Y28)),
IF(AZ$3=$DF28+'Model Setup'!$G$7,SUMIF($AD$3:$BA$3,"="&amp;$DF28+'Model Setup'!$G$7,$B28:$Y28)+'Model Setup'!$G$8*(SUMIF($AD$3:$BA$3,"&lt;"&amp;$DF28,$B28:$Y28)+SUMIF($AD$3:$BA$3,"&gt;="&amp;$DG28,$B28:$Y28)),
IF(AZ$3=$DF28+'Model Setup'!$H$7,SUMIF($AD$3:$BA$3,"="&amp;$DF28+'Model Setup'!$H$7,$B28:$Y28)+'Model Setup'!$H$8*(SUMIF($AD$3:$BA$3,"&lt;"&amp;$DF28,$B28:$Y28)+SUMIF($AD$3:$BA$3,"&gt;="&amp;$DG28,$B28:$Y28)),
IF(AZ$3=$DF28+'Model Setup'!$I$7,SUMIF($AD$3:$BA$3,"="&amp;$DF28+'Model Setup'!$I$7,$B28:$Y28)+'Model Setup'!$I$8*(SUMIF($AD$3:$BA$3,"&lt;"&amp;$DF28,$B28:$Y28)+SUMIF($AD$3:$BA$3,"&gt;="&amp;$DG28,$B28:$Y28)),
IF(AZ$3=$DF28+'Model Setup'!$J$7,SUMIF($AD$3:$BA$3,"="&amp;$DF28+'Model Setup'!$J$7,$B28:$Y28)+'Model Setup'!$J$8*(SUMIF($AD$3:$BA$3,"&lt;"&amp;$DF28,$B28:$Y28)+SUMIF($AD$3:$BA$3,"&gt;="&amp;$DG28,$B28:$Y28)),
IF(AZ$3=$DF28+'Model Setup'!$K$7,SUMIF($AD$3:$BA$3,"="&amp;$DF28+'Model Setup'!$K$7,$B28:$Y28)+'Model Setup'!$K$8*(SUMIF($AD$3:$BA$3,"&lt;"&amp;$DF28,$B28:$Y28)+SUMIF($AD$3:$BA$3,"&gt;="&amp;$DG28,$B28:$Y28)),
IF(AZ$3=$DF28+'Model Setup'!$L$7,SUMIF($AD$3:$BA$3,"="&amp;$DF28+'Model Setup'!$L$7,$B28:$Y28)+'Model Setup'!$L$8*(SUMIF($AD$3:$BA$3,"&lt;"&amp;$DF28,$B28:$Y28)+SUMIF($AD$3:$BA$3,"&gt;="&amp;$DG28,$B28:$Y28)),
IF(AZ$3=$DF28+'Model Setup'!$M$7,SUMIF($AD$3:$BA$3,"="&amp;$DF28+'Model Setup'!$M$7,$B28:$Y28)+'Model Setup'!$M$8*(SUMIF($AD$3:$BA$3,"&lt;"&amp;$DF28,$B28:$Y28)+SUMIF($AD$3:$BA$3,"&gt;="&amp;$DG28,$B28:$Y28)),
IF(AZ$3=$DF28+'Model Setup'!$N$7,SUMIF($AD$3:$BA$3,"="&amp;$DF28+'Model Setup'!$N$7,$B28:$Y28)+'Model Setup'!$N$8*(SUMIF($AD$3:$BA$3,"&lt;"&amp;$DF28,$B28:$Y28)+SUMIF($AD$3:$BA$3,"&gt;="&amp;$DG28,$B28:$Y28)),
IF(AZ$3&lt;$DG28,X28,0))))))))))))))),0)</f>
        <v>0</v>
      </c>
      <c r="BA28" s="47">
        <f>ROUND(IF(BA$3&lt;$DF28,0,
IF(BA$3=$DF28+'Model Setup'!$B$7,SUMIF($AD$3:$BA$3,"="&amp;$DF28+'Model Setup'!$B$7,$B28:$Y28)+'Model Setup'!$B$8*(SUMIF($AD$3:$BA$3,"&lt;"&amp;$DF28,$B28:$Y28)+SUMIF($AD$3:$BA$3,"&gt;="&amp;$DG28,$B28:$Y28)),
IF(BA$3=$DF28+'Model Setup'!$C$7,SUMIF($AD$3:$BA$3,"="&amp;$DF28+'Model Setup'!$C$7,$B28:$Y28)+'Model Setup'!$C$8*(SUMIF($AD$3:$BA$3,"&lt;"&amp;$DF28,$B28:$Y28)+SUMIF($AD$3:$BA$3,"&gt;="&amp;$DG28,$B28:$Y28)),
IF(BA$3=$DF28+'Model Setup'!$D$7,SUMIF($AD$3:$BA$3,"="&amp;$DF28+'Model Setup'!$D$7,$B28:$Y28)+'Model Setup'!$D$8*(SUMIF($AD$3:$BA$3,"&lt;"&amp;$DF28,$B28:$Y28)+SUMIF($AD$3:$BA$3,"&gt;="&amp;$DG28,$B28:$Y28)),
IF(BA$3=$DF28+'Model Setup'!$E$7,SUMIF($AD$3:$BA$3,"="&amp;$DF28+'Model Setup'!$E$7,$B28:$Y28)+'Model Setup'!$E$8*(SUMIF($AD$3:$BA$3,"&lt;"&amp;$DF28,$B28:$Y28)+SUMIF($AD$3:$BA$3,"&gt;="&amp;$DG28,$B28:$Y28)),
IF(BA$3=$DF28+'Model Setup'!$F$7,SUMIF($AD$3:$BA$3,"="&amp;$DF28+'Model Setup'!$F$7,$B28:$Y28)+'Model Setup'!$F$8*(SUMIF($AD$3:$BA$3,"&lt;"&amp;$DF28,$B28:$Y28)+SUMIF($AD$3:$BA$3,"&gt;="&amp;$DG28,$B28:$Y28)),
IF(BA$3=$DF28+'Model Setup'!$G$7,SUMIF($AD$3:$BA$3,"="&amp;$DF28+'Model Setup'!$G$7,$B28:$Y28)+'Model Setup'!$G$8*(SUMIF($AD$3:$BA$3,"&lt;"&amp;$DF28,$B28:$Y28)+SUMIF($AD$3:$BA$3,"&gt;="&amp;$DG28,$B28:$Y28)),
IF(BA$3=$DF28+'Model Setup'!$H$7,SUMIF($AD$3:$BA$3,"="&amp;$DF28+'Model Setup'!$H$7,$B28:$Y28)+'Model Setup'!$H$8*(SUMIF($AD$3:$BA$3,"&lt;"&amp;$DF28,$B28:$Y28)+SUMIF($AD$3:$BA$3,"&gt;="&amp;$DG28,$B28:$Y28)),
IF(BA$3=$DF28+'Model Setup'!$I$7,SUMIF($AD$3:$BA$3,"="&amp;$DF28+'Model Setup'!$I$7,$B28:$Y28)+'Model Setup'!$I$8*(SUMIF($AD$3:$BA$3,"&lt;"&amp;$DF28,$B28:$Y28)+SUMIF($AD$3:$BA$3,"&gt;="&amp;$DG28,$B28:$Y28)),
IF(BA$3=$DF28+'Model Setup'!$J$7,SUMIF($AD$3:$BA$3,"="&amp;$DF28+'Model Setup'!$J$7,$B28:$Y28)+'Model Setup'!$J$8*(SUMIF($AD$3:$BA$3,"&lt;"&amp;$DF28,$B28:$Y28)+SUMIF($AD$3:$BA$3,"&gt;="&amp;$DG28,$B28:$Y28)),
IF(BA$3=$DF28+'Model Setup'!$K$7,SUMIF($AD$3:$BA$3,"="&amp;$DF28+'Model Setup'!$K$7,$B28:$Y28)+'Model Setup'!$K$8*(SUMIF($AD$3:$BA$3,"&lt;"&amp;$DF28,$B28:$Y28)+SUMIF($AD$3:$BA$3,"&gt;="&amp;$DG28,$B28:$Y28)),
IF(BA$3=$DF28+'Model Setup'!$L$7,SUMIF($AD$3:$BA$3,"="&amp;$DF28+'Model Setup'!$L$7,$B28:$Y28)+'Model Setup'!$L$8*(SUMIF($AD$3:$BA$3,"&lt;"&amp;$DF28,$B28:$Y28)+SUMIF($AD$3:$BA$3,"&gt;="&amp;$DG28,$B28:$Y28)),
IF(BA$3=$DF28+'Model Setup'!$M$7,SUMIF($AD$3:$BA$3,"="&amp;$DF28+'Model Setup'!$M$7,$B28:$Y28)+'Model Setup'!$M$8*(SUMIF($AD$3:$BA$3,"&lt;"&amp;$DF28,$B28:$Y28)+SUMIF($AD$3:$BA$3,"&gt;="&amp;$DG28,$B28:$Y28)),
IF(BA$3=$DF28+'Model Setup'!$N$7,SUMIF($AD$3:$BA$3,"="&amp;$DF28+'Model Setup'!$N$7,$B28:$Y28)+'Model Setup'!$N$8*(SUMIF($AD$3:$BA$3,"&lt;"&amp;$DF28,$B28:$Y28)+SUMIF($AD$3:$BA$3,"&gt;="&amp;$DG28,$B28:$Y28)),
IF(BA$3&lt;$DG28,Y28,0))))))))))))))),0)</f>
        <v>0</v>
      </c>
      <c r="BB28" s="47">
        <f t="shared" si="1"/>
        <v>601</v>
      </c>
      <c r="BD28" t="b">
        <f t="shared" si="2"/>
        <v>0</v>
      </c>
      <c r="BE28">
        <f t="shared" si="8"/>
        <v>11</v>
      </c>
      <c r="BF28">
        <f>(FTC!F26-FTC!E26)*24</f>
        <v>11.999999999999998</v>
      </c>
      <c r="BG28" s="43" t="s">
        <v>43</v>
      </c>
      <c r="BH28" s="47">
        <f>ROUND(IF(OR(BH$3&lt;$DF28,BH$3&gt;$CW$4),0,
IF(BH$3=$DF28+'Model Setup'!$B$7,SUMIF($BH$3:$CE$3,"="&amp;$DF28+'Model Setup'!$B$7,$AD28:$BA28)+'Model Setup'!$B$8*(SUMIF($BH$3:$CE$3,"&lt;"&amp;$DF28,$AD28:$BA28)+SUMIF($BH$3:$CE$3,"&gt;"&amp;$CW$4,$AD28:$BA28)),
IF(BH$3=$DF28+'Model Setup'!$C$7,SUMIF($BH$3:$CE$3,"="&amp;$DF28+'Model Setup'!$C$7,$AD28:$BA28)+'Model Setup'!$C$8*(SUMIF($BH$3:$CE$3,"&lt;"&amp;$DF28,$AD28:$BA28)+SUMIF($BH$3:$CE$3,"&gt;"&amp;$CW$4,$AD28:$BA28)),
IF(BH$3=$DF28+'Model Setup'!$D$7,SUMIF($BH$3:$CE$3,"="&amp;$DF28+'Model Setup'!$D$7,$AD28:$BA28)+'Model Setup'!$D$8*(SUMIF($BH$3:$CE$3,"&lt;"&amp;$DF28,$AD28:$BA28)+SUMIF($BH$3:$CE$3,"&gt;"&amp;$CW$4,$AD28:$BA28)),
IF(BH$3=$DF28+'Model Setup'!$E$7,SUMIF($BH$3:$CE$3,"="&amp;$DF28+'Model Setup'!$E$7,$AD28:$BA28)+'Model Setup'!$E$8*(SUMIF($BH$3:$CE$3,"&lt;"&amp;$DF28,$AD28:$BA28)+SUMIF($BH$3:$CE$3,"&gt;"&amp;$CW$4,$AD28:$BA28)),
IF(BH$3=$DF28+'Model Setup'!$F$7,SUMIF($BH$3:$CE$3,"="&amp;$DF28+'Model Setup'!$F$7,$AD28:$BA28)+'Model Setup'!$F$8*(SUMIF($BH$3:$CE$3,"&lt;"&amp;$DF28,$AD28:$BA28)+SUMIF($BH$3:$CE$3,"&gt;"&amp;$CW$4,$AD28:$BA28)),
IF(BH$3=$DF28+'Model Setup'!$G$7,SUMIF($BH$3:$CE$3,"="&amp;$DF28+'Model Setup'!$G$7,$AD28:$BA28)+'Model Setup'!$G$8*(SUMIF($BH$3:$CE$3,"&lt;"&amp;$DF28,$AD28:$BA28)+SUMIF($BH$3:$CE$3,"&gt;"&amp;$CW$4,$AD28:$BA28)),
IF(BH$3=$DF28+'Model Setup'!$H$7,SUMIF($BH$3:$CE$3,"="&amp;$DF28+'Model Setup'!$H$7,$AD28:$BA28)+'Model Setup'!$H$8*(SUMIF($BH$3:$CE$3,"&lt;"&amp;$DF28,$AD28:$BA28)+SUMIF($BH$3:$CE$3,"&gt;"&amp;$CW$4,$AD28:$BA28)),
IF(BH$3=$DF28+'Model Setup'!$I$7,SUMIF($BH$3:$CE$3,"="&amp;$DF28+'Model Setup'!$I$7,$AD28:$BA28)+'Model Setup'!$I$8*(SUMIF($BH$3:$CE$3,"&lt;"&amp;$DF28,$AD28:$BA28)+SUMIF($BH$3:$CE$3,"&gt;"&amp;$CW$4,$AD28:$BA28)),
IF(BH$3=$DF28+'Model Setup'!$J$7,SUMIF($BH$3:$CE$3,"="&amp;$DF28+'Model Setup'!$J$7,$AD28:$BA28)+'Model Setup'!$J$8*(SUMIF($BH$3:$CE$3,"&lt;"&amp;$DF28,$AD28:$BA28)+SUMIF($BH$3:$CE$3,"&gt;"&amp;$CW$4,$AD28:$BA28)),
IF(BH$3=$DF28+'Model Setup'!$K$7,SUMIF($BH$3:$CE$3,"="&amp;$DF28+'Model Setup'!$K$7,$AD28:$BA28)+'Model Setup'!$K$8*(SUMIF($BH$3:$CE$3,"&lt;"&amp;$DF28,$AD28:$BA28)+SUMIF($BH$3:$CE$3,"&gt;"&amp;$CW$4,$AD28:$BA28)),
IF(BH$3=$DF28+'Model Setup'!$L$7,SUMIF($BH$3:$CE$3,"="&amp;$DF28+'Model Setup'!$L$7,$AD28:$BA28)+'Model Setup'!$L$8*(SUMIF($BH$3:$CE$3,"&lt;"&amp;$DF28,$AD28:$BA28)+SUMIF($BH$3:$CE$3,"&gt;"&amp;$CW$4,$AD28:$BA28)),
IF(BH$3=$DF28+'Model Setup'!$M$7,SUMIF($BH$3:$CE$3,"="&amp;$DF28+'Model Setup'!$M$7,$AD28:$BA28)+'Model Setup'!$M$8*(SUMIF($BH$3:$CE$3,"&lt;"&amp;$DF28,$AD28:$BA28)+SUMIF($BH$3:$CE$3,"&gt;"&amp;$CW$4,$AD28:$BA28)),
IF(BH$3=$DF28+'Model Setup'!$N$7,SUMIF($BH$3:$CE$3,"="&amp;$DF28+'Model Setup'!$N$7,$AD28:$BA28)+'Model Setup'!$N$8*(SUMIF($BH$3:$CE$3,"&lt;"&amp;$DF28,$AD28:$BA28)+SUMIF($BH$3:$CE$3,"&gt;"&amp;$CW$4,$AD28:$BA28)),
IF(BH$3&lt;$CW$4,B28,0))))))))))))))),0)</f>
        <v>0</v>
      </c>
      <c r="BI28" s="47">
        <f>ROUND(IF(OR(BI$3&lt;$DF28,BI$3&gt;$CW$4),0,
IF(BI$3=$DF28+'Model Setup'!$B$7,SUMIF($BH$3:$CE$3,"="&amp;$DF28+'Model Setup'!$B$7,$AD28:$BA28)+'Model Setup'!$B$8*(SUMIF($BH$3:$CE$3,"&lt;"&amp;$DF28,$AD28:$BA28)+SUMIF($BH$3:$CE$3,"&gt;"&amp;$CW$4,$AD28:$BA28)),
IF(BI$3=$DF28+'Model Setup'!$C$7,SUMIF($BH$3:$CE$3,"="&amp;$DF28+'Model Setup'!$C$7,$AD28:$BA28)+'Model Setup'!$C$8*(SUMIF($BH$3:$CE$3,"&lt;"&amp;$DF28,$AD28:$BA28)+SUMIF($BH$3:$CE$3,"&gt;"&amp;$CW$4,$AD28:$BA28)),
IF(BI$3=$DF28+'Model Setup'!$D$7,SUMIF($BH$3:$CE$3,"="&amp;$DF28+'Model Setup'!$D$7,$AD28:$BA28)+'Model Setup'!$D$8*(SUMIF($BH$3:$CE$3,"&lt;"&amp;$DF28,$AD28:$BA28)+SUMIF($BH$3:$CE$3,"&gt;"&amp;$CW$4,$AD28:$BA28)),
IF(BI$3=$DF28+'Model Setup'!$E$7,SUMIF($BH$3:$CE$3,"="&amp;$DF28+'Model Setup'!$E$7,$AD28:$BA28)+'Model Setup'!$E$8*(SUMIF($BH$3:$CE$3,"&lt;"&amp;$DF28,$AD28:$BA28)+SUMIF($BH$3:$CE$3,"&gt;"&amp;$CW$4,$AD28:$BA28)),
IF(BI$3=$DF28+'Model Setup'!$F$7,SUMIF($BH$3:$CE$3,"="&amp;$DF28+'Model Setup'!$F$7,$AD28:$BA28)+'Model Setup'!$F$8*(SUMIF($BH$3:$CE$3,"&lt;"&amp;$DF28,$AD28:$BA28)+SUMIF($BH$3:$CE$3,"&gt;"&amp;$CW$4,$AD28:$BA28)),
IF(BI$3=$DF28+'Model Setup'!$G$7,SUMIF($BH$3:$CE$3,"="&amp;$DF28+'Model Setup'!$G$7,$AD28:$BA28)+'Model Setup'!$G$8*(SUMIF($BH$3:$CE$3,"&lt;"&amp;$DF28,$AD28:$BA28)+SUMIF($BH$3:$CE$3,"&gt;"&amp;$CW$4,$AD28:$BA28)),
IF(BI$3=$DF28+'Model Setup'!$H$7,SUMIF($BH$3:$CE$3,"="&amp;$DF28+'Model Setup'!$H$7,$AD28:$BA28)+'Model Setup'!$H$8*(SUMIF($BH$3:$CE$3,"&lt;"&amp;$DF28,$AD28:$BA28)+SUMIF($BH$3:$CE$3,"&gt;"&amp;$CW$4,$AD28:$BA28)),
IF(BI$3=$DF28+'Model Setup'!$I$7,SUMIF($BH$3:$CE$3,"="&amp;$DF28+'Model Setup'!$I$7,$AD28:$BA28)+'Model Setup'!$I$8*(SUMIF($BH$3:$CE$3,"&lt;"&amp;$DF28,$AD28:$BA28)+SUMIF($BH$3:$CE$3,"&gt;"&amp;$CW$4,$AD28:$BA28)),
IF(BI$3=$DF28+'Model Setup'!$J$7,SUMIF($BH$3:$CE$3,"="&amp;$DF28+'Model Setup'!$J$7,$AD28:$BA28)+'Model Setup'!$J$8*(SUMIF($BH$3:$CE$3,"&lt;"&amp;$DF28,$AD28:$BA28)+SUMIF($BH$3:$CE$3,"&gt;"&amp;$CW$4,$AD28:$BA28)),
IF(BI$3=$DF28+'Model Setup'!$K$7,SUMIF($BH$3:$CE$3,"="&amp;$DF28+'Model Setup'!$K$7,$AD28:$BA28)+'Model Setup'!$K$8*(SUMIF($BH$3:$CE$3,"&lt;"&amp;$DF28,$AD28:$BA28)+SUMIF($BH$3:$CE$3,"&gt;"&amp;$CW$4,$AD28:$BA28)),
IF(BI$3=$DF28+'Model Setup'!$L$7,SUMIF($BH$3:$CE$3,"="&amp;$DF28+'Model Setup'!$L$7,$AD28:$BA28)+'Model Setup'!$L$8*(SUMIF($BH$3:$CE$3,"&lt;"&amp;$DF28,$AD28:$BA28)+SUMIF($BH$3:$CE$3,"&gt;"&amp;$CW$4,$AD28:$BA28)),
IF(BI$3=$DF28+'Model Setup'!$M$7,SUMIF($BH$3:$CE$3,"="&amp;$DF28+'Model Setup'!$M$7,$AD28:$BA28)+'Model Setup'!$M$8*(SUMIF($BH$3:$CE$3,"&lt;"&amp;$DF28,$AD28:$BA28)+SUMIF($BH$3:$CE$3,"&gt;"&amp;$CW$4,$AD28:$BA28)),
IF(BI$3=$DF28+'Model Setup'!$N$7,SUMIF($BH$3:$CE$3,"="&amp;$DF28+'Model Setup'!$N$7,$AD28:$BA28)+'Model Setup'!$N$8*(SUMIF($BH$3:$CE$3,"&lt;"&amp;$DF28,$AD28:$BA28)+SUMIF($BH$3:$CE$3,"&gt;"&amp;$CW$4,$AD28:$BA28)),
IF(BI$3&lt;$CW$4,C28,0))))))))))))))),0)</f>
        <v>0</v>
      </c>
      <c r="BJ28" s="47">
        <f>ROUND(IF(OR(BJ$3&lt;$DF28,BJ$3&gt;$CW$4),0,
IF(BJ$3=$DF28+'Model Setup'!$B$7,SUMIF($BH$3:$CE$3,"="&amp;$DF28+'Model Setup'!$B$7,$AD28:$BA28)+'Model Setup'!$B$8*(SUMIF($BH$3:$CE$3,"&lt;"&amp;$DF28,$AD28:$BA28)+SUMIF($BH$3:$CE$3,"&gt;"&amp;$CW$4,$AD28:$BA28)),
IF(BJ$3=$DF28+'Model Setup'!$C$7,SUMIF($BH$3:$CE$3,"="&amp;$DF28+'Model Setup'!$C$7,$AD28:$BA28)+'Model Setup'!$C$8*(SUMIF($BH$3:$CE$3,"&lt;"&amp;$DF28,$AD28:$BA28)+SUMIF($BH$3:$CE$3,"&gt;"&amp;$CW$4,$AD28:$BA28)),
IF(BJ$3=$DF28+'Model Setup'!$D$7,SUMIF($BH$3:$CE$3,"="&amp;$DF28+'Model Setup'!$D$7,$AD28:$BA28)+'Model Setup'!$D$8*(SUMIF($BH$3:$CE$3,"&lt;"&amp;$DF28,$AD28:$BA28)+SUMIF($BH$3:$CE$3,"&gt;"&amp;$CW$4,$AD28:$BA28)),
IF(BJ$3=$DF28+'Model Setup'!$E$7,SUMIF($BH$3:$CE$3,"="&amp;$DF28+'Model Setup'!$E$7,$AD28:$BA28)+'Model Setup'!$E$8*(SUMIF($BH$3:$CE$3,"&lt;"&amp;$DF28,$AD28:$BA28)+SUMIF($BH$3:$CE$3,"&gt;"&amp;$CW$4,$AD28:$BA28)),
IF(BJ$3=$DF28+'Model Setup'!$F$7,SUMIF($BH$3:$CE$3,"="&amp;$DF28+'Model Setup'!$F$7,$AD28:$BA28)+'Model Setup'!$F$8*(SUMIF($BH$3:$CE$3,"&lt;"&amp;$DF28,$AD28:$BA28)+SUMIF($BH$3:$CE$3,"&gt;"&amp;$CW$4,$AD28:$BA28)),
IF(BJ$3=$DF28+'Model Setup'!$G$7,SUMIF($BH$3:$CE$3,"="&amp;$DF28+'Model Setup'!$G$7,$AD28:$BA28)+'Model Setup'!$G$8*(SUMIF($BH$3:$CE$3,"&lt;"&amp;$DF28,$AD28:$BA28)+SUMIF($BH$3:$CE$3,"&gt;"&amp;$CW$4,$AD28:$BA28)),
IF(BJ$3=$DF28+'Model Setup'!$H$7,SUMIF($BH$3:$CE$3,"="&amp;$DF28+'Model Setup'!$H$7,$AD28:$BA28)+'Model Setup'!$H$8*(SUMIF($BH$3:$CE$3,"&lt;"&amp;$DF28,$AD28:$BA28)+SUMIF($BH$3:$CE$3,"&gt;"&amp;$CW$4,$AD28:$BA28)),
IF(BJ$3=$DF28+'Model Setup'!$I$7,SUMIF($BH$3:$CE$3,"="&amp;$DF28+'Model Setup'!$I$7,$AD28:$BA28)+'Model Setup'!$I$8*(SUMIF($BH$3:$CE$3,"&lt;"&amp;$DF28,$AD28:$BA28)+SUMIF($BH$3:$CE$3,"&gt;"&amp;$CW$4,$AD28:$BA28)),
IF(BJ$3=$DF28+'Model Setup'!$J$7,SUMIF($BH$3:$CE$3,"="&amp;$DF28+'Model Setup'!$J$7,$AD28:$BA28)+'Model Setup'!$J$8*(SUMIF($BH$3:$CE$3,"&lt;"&amp;$DF28,$AD28:$BA28)+SUMIF($BH$3:$CE$3,"&gt;"&amp;$CW$4,$AD28:$BA28)),
IF(BJ$3=$DF28+'Model Setup'!$K$7,SUMIF($BH$3:$CE$3,"="&amp;$DF28+'Model Setup'!$K$7,$AD28:$BA28)+'Model Setup'!$K$8*(SUMIF($BH$3:$CE$3,"&lt;"&amp;$DF28,$AD28:$BA28)+SUMIF($BH$3:$CE$3,"&gt;"&amp;$CW$4,$AD28:$BA28)),
IF(BJ$3=$DF28+'Model Setup'!$L$7,SUMIF($BH$3:$CE$3,"="&amp;$DF28+'Model Setup'!$L$7,$AD28:$BA28)+'Model Setup'!$L$8*(SUMIF($BH$3:$CE$3,"&lt;"&amp;$DF28,$AD28:$BA28)+SUMIF($BH$3:$CE$3,"&gt;"&amp;$CW$4,$AD28:$BA28)),
IF(BJ$3=$DF28+'Model Setup'!$M$7,SUMIF($BH$3:$CE$3,"="&amp;$DF28+'Model Setup'!$M$7,$AD28:$BA28)+'Model Setup'!$M$8*(SUMIF($BH$3:$CE$3,"&lt;"&amp;$DF28,$AD28:$BA28)+SUMIF($BH$3:$CE$3,"&gt;"&amp;$CW$4,$AD28:$BA28)),
IF(BJ$3=$DF28+'Model Setup'!$N$7,SUMIF($BH$3:$CE$3,"="&amp;$DF28+'Model Setup'!$N$7,$AD28:$BA28)+'Model Setup'!$N$8*(SUMIF($BH$3:$CE$3,"&lt;"&amp;$DF28,$AD28:$BA28)+SUMIF($BH$3:$CE$3,"&gt;"&amp;$CW$4,$AD28:$BA28)),
IF(BJ$3&lt;$CW$4,D28,0))))))))))))))),0)</f>
        <v>0</v>
      </c>
      <c r="BK28" s="47">
        <f>ROUND(IF(OR(BK$3&lt;$DF28,BK$3&gt;$CW$4),0,
IF(BK$3=$DF28+'Model Setup'!$B$7,SUMIF($BH$3:$CE$3,"="&amp;$DF28+'Model Setup'!$B$7,$AD28:$BA28)+'Model Setup'!$B$8*(SUMIF($BH$3:$CE$3,"&lt;"&amp;$DF28,$AD28:$BA28)+SUMIF($BH$3:$CE$3,"&gt;"&amp;$CW$4,$AD28:$BA28)),
IF(BK$3=$DF28+'Model Setup'!$C$7,SUMIF($BH$3:$CE$3,"="&amp;$DF28+'Model Setup'!$C$7,$AD28:$BA28)+'Model Setup'!$C$8*(SUMIF($BH$3:$CE$3,"&lt;"&amp;$DF28,$AD28:$BA28)+SUMIF($BH$3:$CE$3,"&gt;"&amp;$CW$4,$AD28:$BA28)),
IF(BK$3=$DF28+'Model Setup'!$D$7,SUMIF($BH$3:$CE$3,"="&amp;$DF28+'Model Setup'!$D$7,$AD28:$BA28)+'Model Setup'!$D$8*(SUMIF($BH$3:$CE$3,"&lt;"&amp;$DF28,$AD28:$BA28)+SUMIF($BH$3:$CE$3,"&gt;"&amp;$CW$4,$AD28:$BA28)),
IF(BK$3=$DF28+'Model Setup'!$E$7,SUMIF($BH$3:$CE$3,"="&amp;$DF28+'Model Setup'!$E$7,$AD28:$BA28)+'Model Setup'!$E$8*(SUMIF($BH$3:$CE$3,"&lt;"&amp;$DF28,$AD28:$BA28)+SUMIF($BH$3:$CE$3,"&gt;"&amp;$CW$4,$AD28:$BA28)),
IF(BK$3=$DF28+'Model Setup'!$F$7,SUMIF($BH$3:$CE$3,"="&amp;$DF28+'Model Setup'!$F$7,$AD28:$BA28)+'Model Setup'!$F$8*(SUMIF($BH$3:$CE$3,"&lt;"&amp;$DF28,$AD28:$BA28)+SUMIF($BH$3:$CE$3,"&gt;"&amp;$CW$4,$AD28:$BA28)),
IF(BK$3=$DF28+'Model Setup'!$G$7,SUMIF($BH$3:$CE$3,"="&amp;$DF28+'Model Setup'!$G$7,$AD28:$BA28)+'Model Setup'!$G$8*(SUMIF($BH$3:$CE$3,"&lt;"&amp;$DF28,$AD28:$BA28)+SUMIF($BH$3:$CE$3,"&gt;"&amp;$CW$4,$AD28:$BA28)),
IF(BK$3=$DF28+'Model Setup'!$H$7,SUMIF($BH$3:$CE$3,"="&amp;$DF28+'Model Setup'!$H$7,$AD28:$BA28)+'Model Setup'!$H$8*(SUMIF($BH$3:$CE$3,"&lt;"&amp;$DF28,$AD28:$BA28)+SUMIF($BH$3:$CE$3,"&gt;"&amp;$CW$4,$AD28:$BA28)),
IF(BK$3=$DF28+'Model Setup'!$I$7,SUMIF($BH$3:$CE$3,"="&amp;$DF28+'Model Setup'!$I$7,$AD28:$BA28)+'Model Setup'!$I$8*(SUMIF($BH$3:$CE$3,"&lt;"&amp;$DF28,$AD28:$BA28)+SUMIF($BH$3:$CE$3,"&gt;"&amp;$CW$4,$AD28:$BA28)),
IF(BK$3=$DF28+'Model Setup'!$J$7,SUMIF($BH$3:$CE$3,"="&amp;$DF28+'Model Setup'!$J$7,$AD28:$BA28)+'Model Setup'!$J$8*(SUMIF($BH$3:$CE$3,"&lt;"&amp;$DF28,$AD28:$BA28)+SUMIF($BH$3:$CE$3,"&gt;"&amp;$CW$4,$AD28:$BA28)),
IF(BK$3=$DF28+'Model Setup'!$K$7,SUMIF($BH$3:$CE$3,"="&amp;$DF28+'Model Setup'!$K$7,$AD28:$BA28)+'Model Setup'!$K$8*(SUMIF($BH$3:$CE$3,"&lt;"&amp;$DF28,$AD28:$BA28)+SUMIF($BH$3:$CE$3,"&gt;"&amp;$CW$4,$AD28:$BA28)),
IF(BK$3=$DF28+'Model Setup'!$L$7,SUMIF($BH$3:$CE$3,"="&amp;$DF28+'Model Setup'!$L$7,$AD28:$BA28)+'Model Setup'!$L$8*(SUMIF($BH$3:$CE$3,"&lt;"&amp;$DF28,$AD28:$BA28)+SUMIF($BH$3:$CE$3,"&gt;"&amp;$CW$4,$AD28:$BA28)),
IF(BK$3=$DF28+'Model Setup'!$M$7,SUMIF($BH$3:$CE$3,"="&amp;$DF28+'Model Setup'!$M$7,$AD28:$BA28)+'Model Setup'!$M$8*(SUMIF($BH$3:$CE$3,"&lt;"&amp;$DF28,$AD28:$BA28)+SUMIF($BH$3:$CE$3,"&gt;"&amp;$CW$4,$AD28:$BA28)),
IF(BK$3=$DF28+'Model Setup'!$N$7,SUMIF($BH$3:$CE$3,"="&amp;$DF28+'Model Setup'!$N$7,$AD28:$BA28)+'Model Setup'!$N$8*(SUMIF($BH$3:$CE$3,"&lt;"&amp;$DF28,$AD28:$BA28)+SUMIF($BH$3:$CE$3,"&gt;"&amp;$CW$4,$AD28:$BA28)),
IF(BK$3&lt;$CW$4,E28,0))))))))))))))),0)</f>
        <v>0</v>
      </c>
      <c r="BL28" s="47">
        <f>ROUND(IF(OR(BL$3&lt;$DF28,BL$3&gt;$CW$4),0,
IF(BL$3=$DF28+'Model Setup'!$B$7,SUMIF($BH$3:$CE$3,"="&amp;$DF28+'Model Setup'!$B$7,$AD28:$BA28)+'Model Setup'!$B$8*(SUMIF($BH$3:$CE$3,"&lt;"&amp;$DF28,$AD28:$BA28)+SUMIF($BH$3:$CE$3,"&gt;"&amp;$CW$4,$AD28:$BA28)),
IF(BL$3=$DF28+'Model Setup'!$C$7,SUMIF($BH$3:$CE$3,"="&amp;$DF28+'Model Setup'!$C$7,$AD28:$BA28)+'Model Setup'!$C$8*(SUMIF($BH$3:$CE$3,"&lt;"&amp;$DF28,$AD28:$BA28)+SUMIF($BH$3:$CE$3,"&gt;"&amp;$CW$4,$AD28:$BA28)),
IF(BL$3=$DF28+'Model Setup'!$D$7,SUMIF($BH$3:$CE$3,"="&amp;$DF28+'Model Setup'!$D$7,$AD28:$BA28)+'Model Setup'!$D$8*(SUMIF($BH$3:$CE$3,"&lt;"&amp;$DF28,$AD28:$BA28)+SUMIF($BH$3:$CE$3,"&gt;"&amp;$CW$4,$AD28:$BA28)),
IF(BL$3=$DF28+'Model Setup'!$E$7,SUMIF($BH$3:$CE$3,"="&amp;$DF28+'Model Setup'!$E$7,$AD28:$BA28)+'Model Setup'!$E$8*(SUMIF($BH$3:$CE$3,"&lt;"&amp;$DF28,$AD28:$BA28)+SUMIF($BH$3:$CE$3,"&gt;"&amp;$CW$4,$AD28:$BA28)),
IF(BL$3=$DF28+'Model Setup'!$F$7,SUMIF($BH$3:$CE$3,"="&amp;$DF28+'Model Setup'!$F$7,$AD28:$BA28)+'Model Setup'!$F$8*(SUMIF($BH$3:$CE$3,"&lt;"&amp;$DF28,$AD28:$BA28)+SUMIF($BH$3:$CE$3,"&gt;"&amp;$CW$4,$AD28:$BA28)),
IF(BL$3=$DF28+'Model Setup'!$G$7,SUMIF($BH$3:$CE$3,"="&amp;$DF28+'Model Setup'!$G$7,$AD28:$BA28)+'Model Setup'!$G$8*(SUMIF($BH$3:$CE$3,"&lt;"&amp;$DF28,$AD28:$BA28)+SUMIF($BH$3:$CE$3,"&gt;"&amp;$CW$4,$AD28:$BA28)),
IF(BL$3=$DF28+'Model Setup'!$H$7,SUMIF($BH$3:$CE$3,"="&amp;$DF28+'Model Setup'!$H$7,$AD28:$BA28)+'Model Setup'!$H$8*(SUMIF($BH$3:$CE$3,"&lt;"&amp;$DF28,$AD28:$BA28)+SUMIF($BH$3:$CE$3,"&gt;"&amp;$CW$4,$AD28:$BA28)),
IF(BL$3=$DF28+'Model Setup'!$I$7,SUMIF($BH$3:$CE$3,"="&amp;$DF28+'Model Setup'!$I$7,$AD28:$BA28)+'Model Setup'!$I$8*(SUMIF($BH$3:$CE$3,"&lt;"&amp;$DF28,$AD28:$BA28)+SUMIF($BH$3:$CE$3,"&gt;"&amp;$CW$4,$AD28:$BA28)),
IF(BL$3=$DF28+'Model Setup'!$J$7,SUMIF($BH$3:$CE$3,"="&amp;$DF28+'Model Setup'!$J$7,$AD28:$BA28)+'Model Setup'!$J$8*(SUMIF($BH$3:$CE$3,"&lt;"&amp;$DF28,$AD28:$BA28)+SUMIF($BH$3:$CE$3,"&gt;"&amp;$CW$4,$AD28:$BA28)),
IF(BL$3=$DF28+'Model Setup'!$K$7,SUMIF($BH$3:$CE$3,"="&amp;$DF28+'Model Setup'!$K$7,$AD28:$BA28)+'Model Setup'!$K$8*(SUMIF($BH$3:$CE$3,"&lt;"&amp;$DF28,$AD28:$BA28)+SUMIF($BH$3:$CE$3,"&gt;"&amp;$CW$4,$AD28:$BA28)),
IF(BL$3=$DF28+'Model Setup'!$L$7,SUMIF($BH$3:$CE$3,"="&amp;$DF28+'Model Setup'!$L$7,$AD28:$BA28)+'Model Setup'!$L$8*(SUMIF($BH$3:$CE$3,"&lt;"&amp;$DF28,$AD28:$BA28)+SUMIF($BH$3:$CE$3,"&gt;"&amp;$CW$4,$AD28:$BA28)),
IF(BL$3=$DF28+'Model Setup'!$M$7,SUMIF($BH$3:$CE$3,"="&amp;$DF28+'Model Setup'!$M$7,$AD28:$BA28)+'Model Setup'!$M$8*(SUMIF($BH$3:$CE$3,"&lt;"&amp;$DF28,$AD28:$BA28)+SUMIF($BH$3:$CE$3,"&gt;"&amp;$CW$4,$AD28:$BA28)),
IF(BL$3=$DF28+'Model Setup'!$N$7,SUMIF($BH$3:$CE$3,"="&amp;$DF28+'Model Setup'!$N$7,$AD28:$BA28)+'Model Setup'!$N$8*(SUMIF($BH$3:$CE$3,"&lt;"&amp;$DF28,$AD28:$BA28)+SUMIF($BH$3:$CE$3,"&gt;"&amp;$CW$4,$AD28:$BA28)),
IF(BL$3&lt;$CW$4,F28,0))))))))))))))),0)</f>
        <v>0</v>
      </c>
      <c r="BM28" s="47">
        <f>ROUND(IF(OR(BM$3&lt;$DF28,BM$3&gt;$CW$4),0,
IF(BM$3=$DF28+'Model Setup'!$B$7,SUMIF($BH$3:$CE$3,"="&amp;$DF28+'Model Setup'!$B$7,$AD28:$BA28)+'Model Setup'!$B$8*(SUMIF($BH$3:$CE$3,"&lt;"&amp;$DF28,$AD28:$BA28)+SUMIF($BH$3:$CE$3,"&gt;"&amp;$CW$4,$AD28:$BA28)),
IF(BM$3=$DF28+'Model Setup'!$C$7,SUMIF($BH$3:$CE$3,"="&amp;$DF28+'Model Setup'!$C$7,$AD28:$BA28)+'Model Setup'!$C$8*(SUMIF($BH$3:$CE$3,"&lt;"&amp;$DF28,$AD28:$BA28)+SUMIF($BH$3:$CE$3,"&gt;"&amp;$CW$4,$AD28:$BA28)),
IF(BM$3=$DF28+'Model Setup'!$D$7,SUMIF($BH$3:$CE$3,"="&amp;$DF28+'Model Setup'!$D$7,$AD28:$BA28)+'Model Setup'!$D$8*(SUMIF($BH$3:$CE$3,"&lt;"&amp;$DF28,$AD28:$BA28)+SUMIF($BH$3:$CE$3,"&gt;"&amp;$CW$4,$AD28:$BA28)),
IF(BM$3=$DF28+'Model Setup'!$E$7,SUMIF($BH$3:$CE$3,"="&amp;$DF28+'Model Setup'!$E$7,$AD28:$BA28)+'Model Setup'!$E$8*(SUMIF($BH$3:$CE$3,"&lt;"&amp;$DF28,$AD28:$BA28)+SUMIF($BH$3:$CE$3,"&gt;"&amp;$CW$4,$AD28:$BA28)),
IF(BM$3=$DF28+'Model Setup'!$F$7,SUMIF($BH$3:$CE$3,"="&amp;$DF28+'Model Setup'!$F$7,$AD28:$BA28)+'Model Setup'!$F$8*(SUMIF($BH$3:$CE$3,"&lt;"&amp;$DF28,$AD28:$BA28)+SUMIF($BH$3:$CE$3,"&gt;"&amp;$CW$4,$AD28:$BA28)),
IF(BM$3=$DF28+'Model Setup'!$G$7,SUMIF($BH$3:$CE$3,"="&amp;$DF28+'Model Setup'!$G$7,$AD28:$BA28)+'Model Setup'!$G$8*(SUMIF($BH$3:$CE$3,"&lt;"&amp;$DF28,$AD28:$BA28)+SUMIF($BH$3:$CE$3,"&gt;"&amp;$CW$4,$AD28:$BA28)),
IF(BM$3=$DF28+'Model Setup'!$H$7,SUMIF($BH$3:$CE$3,"="&amp;$DF28+'Model Setup'!$H$7,$AD28:$BA28)+'Model Setup'!$H$8*(SUMIF($BH$3:$CE$3,"&lt;"&amp;$DF28,$AD28:$BA28)+SUMIF($BH$3:$CE$3,"&gt;"&amp;$CW$4,$AD28:$BA28)),
IF(BM$3=$DF28+'Model Setup'!$I$7,SUMIF($BH$3:$CE$3,"="&amp;$DF28+'Model Setup'!$I$7,$AD28:$BA28)+'Model Setup'!$I$8*(SUMIF($BH$3:$CE$3,"&lt;"&amp;$DF28,$AD28:$BA28)+SUMIF($BH$3:$CE$3,"&gt;"&amp;$CW$4,$AD28:$BA28)),
IF(BM$3=$DF28+'Model Setup'!$J$7,SUMIF($BH$3:$CE$3,"="&amp;$DF28+'Model Setup'!$J$7,$AD28:$BA28)+'Model Setup'!$J$8*(SUMIF($BH$3:$CE$3,"&lt;"&amp;$DF28,$AD28:$BA28)+SUMIF($BH$3:$CE$3,"&gt;"&amp;$CW$4,$AD28:$BA28)),
IF(BM$3=$DF28+'Model Setup'!$K$7,SUMIF($BH$3:$CE$3,"="&amp;$DF28+'Model Setup'!$K$7,$AD28:$BA28)+'Model Setup'!$K$8*(SUMIF($BH$3:$CE$3,"&lt;"&amp;$DF28,$AD28:$BA28)+SUMIF($BH$3:$CE$3,"&gt;"&amp;$CW$4,$AD28:$BA28)),
IF(BM$3=$DF28+'Model Setup'!$L$7,SUMIF($BH$3:$CE$3,"="&amp;$DF28+'Model Setup'!$L$7,$AD28:$BA28)+'Model Setup'!$L$8*(SUMIF($BH$3:$CE$3,"&lt;"&amp;$DF28,$AD28:$BA28)+SUMIF($BH$3:$CE$3,"&gt;"&amp;$CW$4,$AD28:$BA28)),
IF(BM$3=$DF28+'Model Setup'!$M$7,SUMIF($BH$3:$CE$3,"="&amp;$DF28+'Model Setup'!$M$7,$AD28:$BA28)+'Model Setup'!$M$8*(SUMIF($BH$3:$CE$3,"&lt;"&amp;$DF28,$AD28:$BA28)+SUMIF($BH$3:$CE$3,"&gt;"&amp;$CW$4,$AD28:$BA28)),
IF(BM$3=$DF28+'Model Setup'!$N$7,SUMIF($BH$3:$CE$3,"="&amp;$DF28+'Model Setup'!$N$7,$AD28:$BA28)+'Model Setup'!$N$8*(SUMIF($BH$3:$CE$3,"&lt;"&amp;$DF28,$AD28:$BA28)+SUMIF($BH$3:$CE$3,"&gt;"&amp;$CW$4,$AD28:$BA28)),
IF(BM$3&lt;$CW$4,G28,0))))))))))))))),0)</f>
        <v>0</v>
      </c>
      <c r="BN28" s="47">
        <f>ROUND(IF(OR(BN$3&lt;$DF28,BN$3&gt;$CW$4),0,
IF(BN$3=$DF28+'Model Setup'!$B$7,SUMIF($BH$3:$CE$3,"="&amp;$DF28+'Model Setup'!$B$7,$AD28:$BA28)+'Model Setup'!$B$8*(SUMIF($BH$3:$CE$3,"&lt;"&amp;$DF28,$AD28:$BA28)+SUMIF($BH$3:$CE$3,"&gt;"&amp;$CW$4,$AD28:$BA28)),
IF(BN$3=$DF28+'Model Setup'!$C$7,SUMIF($BH$3:$CE$3,"="&amp;$DF28+'Model Setup'!$C$7,$AD28:$BA28)+'Model Setup'!$C$8*(SUMIF($BH$3:$CE$3,"&lt;"&amp;$DF28,$AD28:$BA28)+SUMIF($BH$3:$CE$3,"&gt;"&amp;$CW$4,$AD28:$BA28)),
IF(BN$3=$DF28+'Model Setup'!$D$7,SUMIF($BH$3:$CE$3,"="&amp;$DF28+'Model Setup'!$D$7,$AD28:$BA28)+'Model Setup'!$D$8*(SUMIF($BH$3:$CE$3,"&lt;"&amp;$DF28,$AD28:$BA28)+SUMIF($BH$3:$CE$3,"&gt;"&amp;$CW$4,$AD28:$BA28)),
IF(BN$3=$DF28+'Model Setup'!$E$7,SUMIF($BH$3:$CE$3,"="&amp;$DF28+'Model Setup'!$E$7,$AD28:$BA28)+'Model Setup'!$E$8*(SUMIF($BH$3:$CE$3,"&lt;"&amp;$DF28,$AD28:$BA28)+SUMIF($BH$3:$CE$3,"&gt;"&amp;$CW$4,$AD28:$BA28)),
IF(BN$3=$DF28+'Model Setup'!$F$7,SUMIF($BH$3:$CE$3,"="&amp;$DF28+'Model Setup'!$F$7,$AD28:$BA28)+'Model Setup'!$F$8*(SUMIF($BH$3:$CE$3,"&lt;"&amp;$DF28,$AD28:$BA28)+SUMIF($BH$3:$CE$3,"&gt;"&amp;$CW$4,$AD28:$BA28)),
IF(BN$3=$DF28+'Model Setup'!$G$7,SUMIF($BH$3:$CE$3,"="&amp;$DF28+'Model Setup'!$G$7,$AD28:$BA28)+'Model Setup'!$G$8*(SUMIF($BH$3:$CE$3,"&lt;"&amp;$DF28,$AD28:$BA28)+SUMIF($BH$3:$CE$3,"&gt;"&amp;$CW$4,$AD28:$BA28)),
IF(BN$3=$DF28+'Model Setup'!$H$7,SUMIF($BH$3:$CE$3,"="&amp;$DF28+'Model Setup'!$H$7,$AD28:$BA28)+'Model Setup'!$H$8*(SUMIF($BH$3:$CE$3,"&lt;"&amp;$DF28,$AD28:$BA28)+SUMIF($BH$3:$CE$3,"&gt;"&amp;$CW$4,$AD28:$BA28)),
IF(BN$3=$DF28+'Model Setup'!$I$7,SUMIF($BH$3:$CE$3,"="&amp;$DF28+'Model Setup'!$I$7,$AD28:$BA28)+'Model Setup'!$I$8*(SUMIF($BH$3:$CE$3,"&lt;"&amp;$DF28,$AD28:$BA28)+SUMIF($BH$3:$CE$3,"&gt;"&amp;$CW$4,$AD28:$BA28)),
IF(BN$3=$DF28+'Model Setup'!$J$7,SUMIF($BH$3:$CE$3,"="&amp;$DF28+'Model Setup'!$J$7,$AD28:$BA28)+'Model Setup'!$J$8*(SUMIF($BH$3:$CE$3,"&lt;"&amp;$DF28,$AD28:$BA28)+SUMIF($BH$3:$CE$3,"&gt;"&amp;$CW$4,$AD28:$BA28)),
IF(BN$3=$DF28+'Model Setup'!$K$7,SUMIF($BH$3:$CE$3,"="&amp;$DF28+'Model Setup'!$K$7,$AD28:$BA28)+'Model Setup'!$K$8*(SUMIF($BH$3:$CE$3,"&lt;"&amp;$DF28,$AD28:$BA28)+SUMIF($BH$3:$CE$3,"&gt;"&amp;$CW$4,$AD28:$BA28)),
IF(BN$3=$DF28+'Model Setup'!$L$7,SUMIF($BH$3:$CE$3,"="&amp;$DF28+'Model Setup'!$L$7,$AD28:$BA28)+'Model Setup'!$L$8*(SUMIF($BH$3:$CE$3,"&lt;"&amp;$DF28,$AD28:$BA28)+SUMIF($BH$3:$CE$3,"&gt;"&amp;$CW$4,$AD28:$BA28)),
IF(BN$3=$DF28+'Model Setup'!$M$7,SUMIF($BH$3:$CE$3,"="&amp;$DF28+'Model Setup'!$M$7,$AD28:$BA28)+'Model Setup'!$M$8*(SUMIF($BH$3:$CE$3,"&lt;"&amp;$DF28,$AD28:$BA28)+SUMIF($BH$3:$CE$3,"&gt;"&amp;$CW$4,$AD28:$BA28)),
IF(BN$3=$DF28+'Model Setup'!$N$7,SUMIF($BH$3:$CE$3,"="&amp;$DF28+'Model Setup'!$N$7,$AD28:$BA28)+'Model Setup'!$N$8*(SUMIF($BH$3:$CE$3,"&lt;"&amp;$DF28,$AD28:$BA28)+SUMIF($BH$3:$CE$3,"&gt;"&amp;$CW$4,$AD28:$BA28)),
IF(BN$3&lt;$CW$4,H28,0))))))))))))))),0)</f>
        <v>0</v>
      </c>
      <c r="BO28" s="47">
        <f>ROUND(IF(OR(BO$3&lt;$DF28,BO$3&gt;$CW$4),0,
IF(BO$3=$DF28+'Model Setup'!$B$7,SUMIF($BH$3:$CE$3,"="&amp;$DF28+'Model Setup'!$B$7,$AD28:$BA28)+'Model Setup'!$B$8*(SUMIF($BH$3:$CE$3,"&lt;"&amp;$DF28,$AD28:$BA28)+SUMIF($BH$3:$CE$3,"&gt;"&amp;$CW$4,$AD28:$BA28)),
IF(BO$3=$DF28+'Model Setup'!$C$7,SUMIF($BH$3:$CE$3,"="&amp;$DF28+'Model Setup'!$C$7,$AD28:$BA28)+'Model Setup'!$C$8*(SUMIF($BH$3:$CE$3,"&lt;"&amp;$DF28,$AD28:$BA28)+SUMIF($BH$3:$CE$3,"&gt;"&amp;$CW$4,$AD28:$BA28)),
IF(BO$3=$DF28+'Model Setup'!$D$7,SUMIF($BH$3:$CE$3,"="&amp;$DF28+'Model Setup'!$D$7,$AD28:$BA28)+'Model Setup'!$D$8*(SUMIF($BH$3:$CE$3,"&lt;"&amp;$DF28,$AD28:$BA28)+SUMIF($BH$3:$CE$3,"&gt;"&amp;$CW$4,$AD28:$BA28)),
IF(BO$3=$DF28+'Model Setup'!$E$7,SUMIF($BH$3:$CE$3,"="&amp;$DF28+'Model Setup'!$E$7,$AD28:$BA28)+'Model Setup'!$E$8*(SUMIF($BH$3:$CE$3,"&lt;"&amp;$DF28,$AD28:$BA28)+SUMIF($BH$3:$CE$3,"&gt;"&amp;$CW$4,$AD28:$BA28)),
IF(BO$3=$DF28+'Model Setup'!$F$7,SUMIF($BH$3:$CE$3,"="&amp;$DF28+'Model Setup'!$F$7,$AD28:$BA28)+'Model Setup'!$F$8*(SUMIF($BH$3:$CE$3,"&lt;"&amp;$DF28,$AD28:$BA28)+SUMIF($BH$3:$CE$3,"&gt;"&amp;$CW$4,$AD28:$BA28)),
IF(BO$3=$DF28+'Model Setup'!$G$7,SUMIF($BH$3:$CE$3,"="&amp;$DF28+'Model Setup'!$G$7,$AD28:$BA28)+'Model Setup'!$G$8*(SUMIF($BH$3:$CE$3,"&lt;"&amp;$DF28,$AD28:$BA28)+SUMIF($BH$3:$CE$3,"&gt;"&amp;$CW$4,$AD28:$BA28)),
IF(BO$3=$DF28+'Model Setup'!$H$7,SUMIF($BH$3:$CE$3,"="&amp;$DF28+'Model Setup'!$H$7,$AD28:$BA28)+'Model Setup'!$H$8*(SUMIF($BH$3:$CE$3,"&lt;"&amp;$DF28,$AD28:$BA28)+SUMIF($BH$3:$CE$3,"&gt;"&amp;$CW$4,$AD28:$BA28)),
IF(BO$3=$DF28+'Model Setup'!$I$7,SUMIF($BH$3:$CE$3,"="&amp;$DF28+'Model Setup'!$I$7,$AD28:$BA28)+'Model Setup'!$I$8*(SUMIF($BH$3:$CE$3,"&lt;"&amp;$DF28,$AD28:$BA28)+SUMIF($BH$3:$CE$3,"&gt;"&amp;$CW$4,$AD28:$BA28)),
IF(BO$3=$DF28+'Model Setup'!$J$7,SUMIF($BH$3:$CE$3,"="&amp;$DF28+'Model Setup'!$J$7,$AD28:$BA28)+'Model Setup'!$J$8*(SUMIF($BH$3:$CE$3,"&lt;"&amp;$DF28,$AD28:$BA28)+SUMIF($BH$3:$CE$3,"&gt;"&amp;$CW$4,$AD28:$BA28)),
IF(BO$3=$DF28+'Model Setup'!$K$7,SUMIF($BH$3:$CE$3,"="&amp;$DF28+'Model Setup'!$K$7,$AD28:$BA28)+'Model Setup'!$K$8*(SUMIF($BH$3:$CE$3,"&lt;"&amp;$DF28,$AD28:$BA28)+SUMIF($BH$3:$CE$3,"&gt;"&amp;$CW$4,$AD28:$BA28)),
IF(BO$3=$DF28+'Model Setup'!$L$7,SUMIF($BH$3:$CE$3,"="&amp;$DF28+'Model Setup'!$L$7,$AD28:$BA28)+'Model Setup'!$L$8*(SUMIF($BH$3:$CE$3,"&lt;"&amp;$DF28,$AD28:$BA28)+SUMIF($BH$3:$CE$3,"&gt;"&amp;$CW$4,$AD28:$BA28)),
IF(BO$3=$DF28+'Model Setup'!$M$7,SUMIF($BH$3:$CE$3,"="&amp;$DF28+'Model Setup'!$M$7,$AD28:$BA28)+'Model Setup'!$M$8*(SUMIF($BH$3:$CE$3,"&lt;"&amp;$DF28,$AD28:$BA28)+SUMIF($BH$3:$CE$3,"&gt;"&amp;$CW$4,$AD28:$BA28)),
IF(BO$3=$DF28+'Model Setup'!$N$7,SUMIF($BH$3:$CE$3,"="&amp;$DF28+'Model Setup'!$N$7,$AD28:$BA28)+'Model Setup'!$N$8*(SUMIF($BH$3:$CE$3,"&lt;"&amp;$DF28,$AD28:$BA28)+SUMIF($BH$3:$CE$3,"&gt;"&amp;$CW$4,$AD28:$BA28)),
IF(BO$3&lt;$CW$4,I28,0))))))))))))))),0)</f>
        <v>69</v>
      </c>
      <c r="BP28" s="47">
        <f>ROUND(IF(OR(BP$3&lt;$DF28,BP$3&gt;$CW$4),0,
IF(BP$3=$DF28+'Model Setup'!$B$7,SUMIF($BH$3:$CE$3,"="&amp;$DF28+'Model Setup'!$B$7,$AD28:$BA28)+'Model Setup'!$B$8*(SUMIF($BH$3:$CE$3,"&lt;"&amp;$DF28,$AD28:$BA28)+SUMIF($BH$3:$CE$3,"&gt;"&amp;$CW$4,$AD28:$BA28)),
IF(BP$3=$DF28+'Model Setup'!$C$7,SUMIF($BH$3:$CE$3,"="&amp;$DF28+'Model Setup'!$C$7,$AD28:$BA28)+'Model Setup'!$C$8*(SUMIF($BH$3:$CE$3,"&lt;"&amp;$DF28,$AD28:$BA28)+SUMIF($BH$3:$CE$3,"&gt;"&amp;$CW$4,$AD28:$BA28)),
IF(BP$3=$DF28+'Model Setup'!$D$7,SUMIF($BH$3:$CE$3,"="&amp;$DF28+'Model Setup'!$D$7,$AD28:$BA28)+'Model Setup'!$D$8*(SUMIF($BH$3:$CE$3,"&lt;"&amp;$DF28,$AD28:$BA28)+SUMIF($BH$3:$CE$3,"&gt;"&amp;$CW$4,$AD28:$BA28)),
IF(BP$3=$DF28+'Model Setup'!$E$7,SUMIF($BH$3:$CE$3,"="&amp;$DF28+'Model Setup'!$E$7,$AD28:$BA28)+'Model Setup'!$E$8*(SUMIF($BH$3:$CE$3,"&lt;"&amp;$DF28,$AD28:$BA28)+SUMIF($BH$3:$CE$3,"&gt;"&amp;$CW$4,$AD28:$BA28)),
IF(BP$3=$DF28+'Model Setup'!$F$7,SUMIF($BH$3:$CE$3,"="&amp;$DF28+'Model Setup'!$F$7,$AD28:$BA28)+'Model Setup'!$F$8*(SUMIF($BH$3:$CE$3,"&lt;"&amp;$DF28,$AD28:$BA28)+SUMIF($BH$3:$CE$3,"&gt;"&amp;$CW$4,$AD28:$BA28)),
IF(BP$3=$DF28+'Model Setup'!$G$7,SUMIF($BH$3:$CE$3,"="&amp;$DF28+'Model Setup'!$G$7,$AD28:$BA28)+'Model Setup'!$G$8*(SUMIF($BH$3:$CE$3,"&lt;"&amp;$DF28,$AD28:$BA28)+SUMIF($BH$3:$CE$3,"&gt;"&amp;$CW$4,$AD28:$BA28)),
IF(BP$3=$DF28+'Model Setup'!$H$7,SUMIF($BH$3:$CE$3,"="&amp;$DF28+'Model Setup'!$H$7,$AD28:$BA28)+'Model Setup'!$H$8*(SUMIF($BH$3:$CE$3,"&lt;"&amp;$DF28,$AD28:$BA28)+SUMIF($BH$3:$CE$3,"&gt;"&amp;$CW$4,$AD28:$BA28)),
IF(BP$3=$DF28+'Model Setup'!$I$7,SUMIF($BH$3:$CE$3,"="&amp;$DF28+'Model Setup'!$I$7,$AD28:$BA28)+'Model Setup'!$I$8*(SUMIF($BH$3:$CE$3,"&lt;"&amp;$DF28,$AD28:$BA28)+SUMIF($BH$3:$CE$3,"&gt;"&amp;$CW$4,$AD28:$BA28)),
IF(BP$3=$DF28+'Model Setup'!$J$7,SUMIF($BH$3:$CE$3,"="&amp;$DF28+'Model Setup'!$J$7,$AD28:$BA28)+'Model Setup'!$J$8*(SUMIF($BH$3:$CE$3,"&lt;"&amp;$DF28,$AD28:$BA28)+SUMIF($BH$3:$CE$3,"&gt;"&amp;$CW$4,$AD28:$BA28)),
IF(BP$3=$DF28+'Model Setup'!$K$7,SUMIF($BH$3:$CE$3,"="&amp;$DF28+'Model Setup'!$K$7,$AD28:$BA28)+'Model Setup'!$K$8*(SUMIF($BH$3:$CE$3,"&lt;"&amp;$DF28,$AD28:$BA28)+SUMIF($BH$3:$CE$3,"&gt;"&amp;$CW$4,$AD28:$BA28)),
IF(BP$3=$DF28+'Model Setup'!$L$7,SUMIF($BH$3:$CE$3,"="&amp;$DF28+'Model Setup'!$L$7,$AD28:$BA28)+'Model Setup'!$L$8*(SUMIF($BH$3:$CE$3,"&lt;"&amp;$DF28,$AD28:$BA28)+SUMIF($BH$3:$CE$3,"&gt;"&amp;$CW$4,$AD28:$BA28)),
IF(BP$3=$DF28+'Model Setup'!$M$7,SUMIF($BH$3:$CE$3,"="&amp;$DF28+'Model Setup'!$M$7,$AD28:$BA28)+'Model Setup'!$M$8*(SUMIF($BH$3:$CE$3,"&lt;"&amp;$DF28,$AD28:$BA28)+SUMIF($BH$3:$CE$3,"&gt;"&amp;$CW$4,$AD28:$BA28)),
IF(BP$3=$DF28+'Model Setup'!$N$7,SUMIF($BH$3:$CE$3,"="&amp;$DF28+'Model Setup'!$N$7,$AD28:$BA28)+'Model Setup'!$N$8*(SUMIF($BH$3:$CE$3,"&lt;"&amp;$DF28,$AD28:$BA28)+SUMIF($BH$3:$CE$3,"&gt;"&amp;$CW$4,$AD28:$BA28)),
IF(BP$3&lt;$CW$4,J28,0))))))))))))))),0)</f>
        <v>85</v>
      </c>
      <c r="BQ28" s="47">
        <f>ROUND(IF(OR(BQ$3&lt;$DF28,BQ$3&gt;$CW$4),0,
IF(BQ$3=$DF28+'Model Setup'!$B$7,SUMIF($BH$3:$CE$3,"="&amp;$DF28+'Model Setup'!$B$7,$AD28:$BA28)+'Model Setup'!$B$8*(SUMIF($BH$3:$CE$3,"&lt;"&amp;$DF28,$AD28:$BA28)+SUMIF($BH$3:$CE$3,"&gt;"&amp;$CW$4,$AD28:$BA28)),
IF(BQ$3=$DF28+'Model Setup'!$C$7,SUMIF($BH$3:$CE$3,"="&amp;$DF28+'Model Setup'!$C$7,$AD28:$BA28)+'Model Setup'!$C$8*(SUMIF($BH$3:$CE$3,"&lt;"&amp;$DF28,$AD28:$BA28)+SUMIF($BH$3:$CE$3,"&gt;"&amp;$CW$4,$AD28:$BA28)),
IF(BQ$3=$DF28+'Model Setup'!$D$7,SUMIF($BH$3:$CE$3,"="&amp;$DF28+'Model Setup'!$D$7,$AD28:$BA28)+'Model Setup'!$D$8*(SUMIF($BH$3:$CE$3,"&lt;"&amp;$DF28,$AD28:$BA28)+SUMIF($BH$3:$CE$3,"&gt;"&amp;$CW$4,$AD28:$BA28)),
IF(BQ$3=$DF28+'Model Setup'!$E$7,SUMIF($BH$3:$CE$3,"="&amp;$DF28+'Model Setup'!$E$7,$AD28:$BA28)+'Model Setup'!$E$8*(SUMIF($BH$3:$CE$3,"&lt;"&amp;$DF28,$AD28:$BA28)+SUMIF($BH$3:$CE$3,"&gt;"&amp;$CW$4,$AD28:$BA28)),
IF(BQ$3=$DF28+'Model Setup'!$F$7,SUMIF($BH$3:$CE$3,"="&amp;$DF28+'Model Setup'!$F$7,$AD28:$BA28)+'Model Setup'!$F$8*(SUMIF($BH$3:$CE$3,"&lt;"&amp;$DF28,$AD28:$BA28)+SUMIF($BH$3:$CE$3,"&gt;"&amp;$CW$4,$AD28:$BA28)),
IF(BQ$3=$DF28+'Model Setup'!$G$7,SUMIF($BH$3:$CE$3,"="&amp;$DF28+'Model Setup'!$G$7,$AD28:$BA28)+'Model Setup'!$G$8*(SUMIF($BH$3:$CE$3,"&lt;"&amp;$DF28,$AD28:$BA28)+SUMIF($BH$3:$CE$3,"&gt;"&amp;$CW$4,$AD28:$BA28)),
IF(BQ$3=$DF28+'Model Setup'!$H$7,SUMIF($BH$3:$CE$3,"="&amp;$DF28+'Model Setup'!$H$7,$AD28:$BA28)+'Model Setup'!$H$8*(SUMIF($BH$3:$CE$3,"&lt;"&amp;$DF28,$AD28:$BA28)+SUMIF($BH$3:$CE$3,"&gt;"&amp;$CW$4,$AD28:$BA28)),
IF(BQ$3=$DF28+'Model Setup'!$I$7,SUMIF($BH$3:$CE$3,"="&amp;$DF28+'Model Setup'!$I$7,$AD28:$BA28)+'Model Setup'!$I$8*(SUMIF($BH$3:$CE$3,"&lt;"&amp;$DF28,$AD28:$BA28)+SUMIF($BH$3:$CE$3,"&gt;"&amp;$CW$4,$AD28:$BA28)),
IF(BQ$3=$DF28+'Model Setup'!$J$7,SUMIF($BH$3:$CE$3,"="&amp;$DF28+'Model Setup'!$J$7,$AD28:$BA28)+'Model Setup'!$J$8*(SUMIF($BH$3:$CE$3,"&lt;"&amp;$DF28,$AD28:$BA28)+SUMIF($BH$3:$CE$3,"&gt;"&amp;$CW$4,$AD28:$BA28)),
IF(BQ$3=$DF28+'Model Setup'!$K$7,SUMIF($BH$3:$CE$3,"="&amp;$DF28+'Model Setup'!$K$7,$AD28:$BA28)+'Model Setup'!$K$8*(SUMIF($BH$3:$CE$3,"&lt;"&amp;$DF28,$AD28:$BA28)+SUMIF($BH$3:$CE$3,"&gt;"&amp;$CW$4,$AD28:$BA28)),
IF(BQ$3=$DF28+'Model Setup'!$L$7,SUMIF($BH$3:$CE$3,"="&amp;$DF28+'Model Setup'!$L$7,$AD28:$BA28)+'Model Setup'!$L$8*(SUMIF($BH$3:$CE$3,"&lt;"&amp;$DF28,$AD28:$BA28)+SUMIF($BH$3:$CE$3,"&gt;"&amp;$CW$4,$AD28:$BA28)),
IF(BQ$3=$DF28+'Model Setup'!$M$7,SUMIF($BH$3:$CE$3,"="&amp;$DF28+'Model Setup'!$M$7,$AD28:$BA28)+'Model Setup'!$M$8*(SUMIF($BH$3:$CE$3,"&lt;"&amp;$DF28,$AD28:$BA28)+SUMIF($BH$3:$CE$3,"&gt;"&amp;$CW$4,$AD28:$BA28)),
IF(BQ$3=$DF28+'Model Setup'!$N$7,SUMIF($BH$3:$CE$3,"="&amp;$DF28+'Model Setup'!$N$7,$AD28:$BA28)+'Model Setup'!$N$8*(SUMIF($BH$3:$CE$3,"&lt;"&amp;$DF28,$AD28:$BA28)+SUMIF($BH$3:$CE$3,"&gt;"&amp;$CW$4,$AD28:$BA28)),
IF(BQ$3&lt;$CW$4,K28,0))))))))))))))),0)</f>
        <v>61</v>
      </c>
      <c r="BR28" s="47">
        <f>ROUND(IF(OR(BR$3&lt;$DF28,BR$3&gt;$CW$4),0,
IF(BR$3=$DF28+'Model Setup'!$B$7,SUMIF($BH$3:$CE$3,"="&amp;$DF28+'Model Setup'!$B$7,$AD28:$BA28)+'Model Setup'!$B$8*(SUMIF($BH$3:$CE$3,"&lt;"&amp;$DF28,$AD28:$BA28)+SUMIF($BH$3:$CE$3,"&gt;"&amp;$CW$4,$AD28:$BA28)),
IF(BR$3=$DF28+'Model Setup'!$C$7,SUMIF($BH$3:$CE$3,"="&amp;$DF28+'Model Setup'!$C$7,$AD28:$BA28)+'Model Setup'!$C$8*(SUMIF($BH$3:$CE$3,"&lt;"&amp;$DF28,$AD28:$BA28)+SUMIF($BH$3:$CE$3,"&gt;"&amp;$CW$4,$AD28:$BA28)),
IF(BR$3=$DF28+'Model Setup'!$D$7,SUMIF($BH$3:$CE$3,"="&amp;$DF28+'Model Setup'!$D$7,$AD28:$BA28)+'Model Setup'!$D$8*(SUMIF($BH$3:$CE$3,"&lt;"&amp;$DF28,$AD28:$BA28)+SUMIF($BH$3:$CE$3,"&gt;"&amp;$CW$4,$AD28:$BA28)),
IF(BR$3=$DF28+'Model Setup'!$E$7,SUMIF($BH$3:$CE$3,"="&amp;$DF28+'Model Setup'!$E$7,$AD28:$BA28)+'Model Setup'!$E$8*(SUMIF($BH$3:$CE$3,"&lt;"&amp;$DF28,$AD28:$BA28)+SUMIF($BH$3:$CE$3,"&gt;"&amp;$CW$4,$AD28:$BA28)),
IF(BR$3=$DF28+'Model Setup'!$F$7,SUMIF($BH$3:$CE$3,"="&amp;$DF28+'Model Setup'!$F$7,$AD28:$BA28)+'Model Setup'!$F$8*(SUMIF($BH$3:$CE$3,"&lt;"&amp;$DF28,$AD28:$BA28)+SUMIF($BH$3:$CE$3,"&gt;"&amp;$CW$4,$AD28:$BA28)),
IF(BR$3=$DF28+'Model Setup'!$G$7,SUMIF($BH$3:$CE$3,"="&amp;$DF28+'Model Setup'!$G$7,$AD28:$BA28)+'Model Setup'!$G$8*(SUMIF($BH$3:$CE$3,"&lt;"&amp;$DF28,$AD28:$BA28)+SUMIF($BH$3:$CE$3,"&gt;"&amp;$CW$4,$AD28:$BA28)),
IF(BR$3=$DF28+'Model Setup'!$H$7,SUMIF($BH$3:$CE$3,"="&amp;$DF28+'Model Setup'!$H$7,$AD28:$BA28)+'Model Setup'!$H$8*(SUMIF($BH$3:$CE$3,"&lt;"&amp;$DF28,$AD28:$BA28)+SUMIF($BH$3:$CE$3,"&gt;"&amp;$CW$4,$AD28:$BA28)),
IF(BR$3=$DF28+'Model Setup'!$I$7,SUMIF($BH$3:$CE$3,"="&amp;$DF28+'Model Setup'!$I$7,$AD28:$BA28)+'Model Setup'!$I$8*(SUMIF($BH$3:$CE$3,"&lt;"&amp;$DF28,$AD28:$BA28)+SUMIF($BH$3:$CE$3,"&gt;"&amp;$CW$4,$AD28:$BA28)),
IF(BR$3=$DF28+'Model Setup'!$J$7,SUMIF($BH$3:$CE$3,"="&amp;$DF28+'Model Setup'!$J$7,$AD28:$BA28)+'Model Setup'!$J$8*(SUMIF($BH$3:$CE$3,"&lt;"&amp;$DF28,$AD28:$BA28)+SUMIF($BH$3:$CE$3,"&gt;"&amp;$CW$4,$AD28:$BA28)),
IF(BR$3=$DF28+'Model Setup'!$K$7,SUMIF($BH$3:$CE$3,"="&amp;$DF28+'Model Setup'!$K$7,$AD28:$BA28)+'Model Setup'!$K$8*(SUMIF($BH$3:$CE$3,"&lt;"&amp;$DF28,$AD28:$BA28)+SUMIF($BH$3:$CE$3,"&gt;"&amp;$CW$4,$AD28:$BA28)),
IF(BR$3=$DF28+'Model Setup'!$L$7,SUMIF($BH$3:$CE$3,"="&amp;$DF28+'Model Setup'!$L$7,$AD28:$BA28)+'Model Setup'!$L$8*(SUMIF($BH$3:$CE$3,"&lt;"&amp;$DF28,$AD28:$BA28)+SUMIF($BH$3:$CE$3,"&gt;"&amp;$CW$4,$AD28:$BA28)),
IF(BR$3=$DF28+'Model Setup'!$M$7,SUMIF($BH$3:$CE$3,"="&amp;$DF28+'Model Setup'!$M$7,$AD28:$BA28)+'Model Setup'!$M$8*(SUMIF($BH$3:$CE$3,"&lt;"&amp;$DF28,$AD28:$BA28)+SUMIF($BH$3:$CE$3,"&gt;"&amp;$CW$4,$AD28:$BA28)),
IF(BR$3=$DF28+'Model Setup'!$N$7,SUMIF($BH$3:$CE$3,"="&amp;$DF28+'Model Setup'!$N$7,$AD28:$BA28)+'Model Setup'!$N$8*(SUMIF($BH$3:$CE$3,"&lt;"&amp;$DF28,$AD28:$BA28)+SUMIF($BH$3:$CE$3,"&gt;"&amp;$CW$4,$AD28:$BA28)),
IF(BR$3&lt;$CW$4,L28,0))))))))))))))),0)</f>
        <v>80</v>
      </c>
      <c r="BS28" s="47">
        <f>ROUND(IF(OR(BS$3&lt;$DF28,BS$3&gt;$CW$4),0,
IF(BS$3=$DF28+'Model Setup'!$B$7,SUMIF($BH$3:$CE$3,"="&amp;$DF28+'Model Setup'!$B$7,$AD28:$BA28)+'Model Setup'!$B$8*(SUMIF($BH$3:$CE$3,"&lt;"&amp;$DF28,$AD28:$BA28)+SUMIF($BH$3:$CE$3,"&gt;"&amp;$CW$4,$AD28:$BA28)),
IF(BS$3=$DF28+'Model Setup'!$C$7,SUMIF($BH$3:$CE$3,"="&amp;$DF28+'Model Setup'!$C$7,$AD28:$BA28)+'Model Setup'!$C$8*(SUMIF($BH$3:$CE$3,"&lt;"&amp;$DF28,$AD28:$BA28)+SUMIF($BH$3:$CE$3,"&gt;"&amp;$CW$4,$AD28:$BA28)),
IF(BS$3=$DF28+'Model Setup'!$D$7,SUMIF($BH$3:$CE$3,"="&amp;$DF28+'Model Setup'!$D$7,$AD28:$BA28)+'Model Setup'!$D$8*(SUMIF($BH$3:$CE$3,"&lt;"&amp;$DF28,$AD28:$BA28)+SUMIF($BH$3:$CE$3,"&gt;"&amp;$CW$4,$AD28:$BA28)),
IF(BS$3=$DF28+'Model Setup'!$E$7,SUMIF($BH$3:$CE$3,"="&amp;$DF28+'Model Setup'!$E$7,$AD28:$BA28)+'Model Setup'!$E$8*(SUMIF($BH$3:$CE$3,"&lt;"&amp;$DF28,$AD28:$BA28)+SUMIF($BH$3:$CE$3,"&gt;"&amp;$CW$4,$AD28:$BA28)),
IF(BS$3=$DF28+'Model Setup'!$F$7,SUMIF($BH$3:$CE$3,"="&amp;$DF28+'Model Setup'!$F$7,$AD28:$BA28)+'Model Setup'!$F$8*(SUMIF($BH$3:$CE$3,"&lt;"&amp;$DF28,$AD28:$BA28)+SUMIF($BH$3:$CE$3,"&gt;"&amp;$CW$4,$AD28:$BA28)),
IF(BS$3=$DF28+'Model Setup'!$G$7,SUMIF($BH$3:$CE$3,"="&amp;$DF28+'Model Setup'!$G$7,$AD28:$BA28)+'Model Setup'!$G$8*(SUMIF($BH$3:$CE$3,"&lt;"&amp;$DF28,$AD28:$BA28)+SUMIF($BH$3:$CE$3,"&gt;"&amp;$CW$4,$AD28:$BA28)),
IF(BS$3=$DF28+'Model Setup'!$H$7,SUMIF($BH$3:$CE$3,"="&amp;$DF28+'Model Setup'!$H$7,$AD28:$BA28)+'Model Setup'!$H$8*(SUMIF($BH$3:$CE$3,"&lt;"&amp;$DF28,$AD28:$BA28)+SUMIF($BH$3:$CE$3,"&gt;"&amp;$CW$4,$AD28:$BA28)),
IF(BS$3=$DF28+'Model Setup'!$I$7,SUMIF($BH$3:$CE$3,"="&amp;$DF28+'Model Setup'!$I$7,$AD28:$BA28)+'Model Setup'!$I$8*(SUMIF($BH$3:$CE$3,"&lt;"&amp;$DF28,$AD28:$BA28)+SUMIF($BH$3:$CE$3,"&gt;"&amp;$CW$4,$AD28:$BA28)),
IF(BS$3=$DF28+'Model Setup'!$J$7,SUMIF($BH$3:$CE$3,"="&amp;$DF28+'Model Setup'!$J$7,$AD28:$BA28)+'Model Setup'!$J$8*(SUMIF($BH$3:$CE$3,"&lt;"&amp;$DF28,$AD28:$BA28)+SUMIF($BH$3:$CE$3,"&gt;"&amp;$CW$4,$AD28:$BA28)),
IF(BS$3=$DF28+'Model Setup'!$K$7,SUMIF($BH$3:$CE$3,"="&amp;$DF28+'Model Setup'!$K$7,$AD28:$BA28)+'Model Setup'!$K$8*(SUMIF($BH$3:$CE$3,"&lt;"&amp;$DF28,$AD28:$BA28)+SUMIF($BH$3:$CE$3,"&gt;"&amp;$CW$4,$AD28:$BA28)),
IF(BS$3=$DF28+'Model Setup'!$L$7,SUMIF($BH$3:$CE$3,"="&amp;$DF28+'Model Setup'!$L$7,$AD28:$BA28)+'Model Setup'!$L$8*(SUMIF($BH$3:$CE$3,"&lt;"&amp;$DF28,$AD28:$BA28)+SUMIF($BH$3:$CE$3,"&gt;"&amp;$CW$4,$AD28:$BA28)),
IF(BS$3=$DF28+'Model Setup'!$M$7,SUMIF($BH$3:$CE$3,"="&amp;$DF28+'Model Setup'!$M$7,$AD28:$BA28)+'Model Setup'!$M$8*(SUMIF($BH$3:$CE$3,"&lt;"&amp;$DF28,$AD28:$BA28)+SUMIF($BH$3:$CE$3,"&gt;"&amp;$CW$4,$AD28:$BA28)),
IF(BS$3=$DF28+'Model Setup'!$N$7,SUMIF($BH$3:$CE$3,"="&amp;$DF28+'Model Setup'!$N$7,$AD28:$BA28)+'Model Setup'!$N$8*(SUMIF($BH$3:$CE$3,"&lt;"&amp;$DF28,$AD28:$BA28)+SUMIF($BH$3:$CE$3,"&gt;"&amp;$CW$4,$AD28:$BA28)),
IF(BS$3&lt;$CW$4,M28,0))))))))))))))),0)</f>
        <v>51</v>
      </c>
      <c r="BT28" s="47">
        <f>ROUND(IF(OR(BT$3&lt;$DF28,BT$3&gt;$CW$4),0,
IF(BT$3=$DF28+'Model Setup'!$B$7,SUMIF($BH$3:$CE$3,"="&amp;$DF28+'Model Setup'!$B$7,$AD28:$BA28)+'Model Setup'!$B$8*(SUMIF($BH$3:$CE$3,"&lt;"&amp;$DF28,$AD28:$BA28)+SUMIF($BH$3:$CE$3,"&gt;"&amp;$CW$4,$AD28:$BA28)),
IF(BT$3=$DF28+'Model Setup'!$C$7,SUMIF($BH$3:$CE$3,"="&amp;$DF28+'Model Setup'!$C$7,$AD28:$BA28)+'Model Setup'!$C$8*(SUMIF($BH$3:$CE$3,"&lt;"&amp;$DF28,$AD28:$BA28)+SUMIF($BH$3:$CE$3,"&gt;"&amp;$CW$4,$AD28:$BA28)),
IF(BT$3=$DF28+'Model Setup'!$D$7,SUMIF($BH$3:$CE$3,"="&amp;$DF28+'Model Setup'!$D$7,$AD28:$BA28)+'Model Setup'!$D$8*(SUMIF($BH$3:$CE$3,"&lt;"&amp;$DF28,$AD28:$BA28)+SUMIF($BH$3:$CE$3,"&gt;"&amp;$CW$4,$AD28:$BA28)),
IF(BT$3=$DF28+'Model Setup'!$E$7,SUMIF($BH$3:$CE$3,"="&amp;$DF28+'Model Setup'!$E$7,$AD28:$BA28)+'Model Setup'!$E$8*(SUMIF($BH$3:$CE$3,"&lt;"&amp;$DF28,$AD28:$BA28)+SUMIF($BH$3:$CE$3,"&gt;"&amp;$CW$4,$AD28:$BA28)),
IF(BT$3=$DF28+'Model Setup'!$F$7,SUMIF($BH$3:$CE$3,"="&amp;$DF28+'Model Setup'!$F$7,$AD28:$BA28)+'Model Setup'!$F$8*(SUMIF($BH$3:$CE$3,"&lt;"&amp;$DF28,$AD28:$BA28)+SUMIF($BH$3:$CE$3,"&gt;"&amp;$CW$4,$AD28:$BA28)),
IF(BT$3=$DF28+'Model Setup'!$G$7,SUMIF($BH$3:$CE$3,"="&amp;$DF28+'Model Setup'!$G$7,$AD28:$BA28)+'Model Setup'!$G$8*(SUMIF($BH$3:$CE$3,"&lt;"&amp;$DF28,$AD28:$BA28)+SUMIF($BH$3:$CE$3,"&gt;"&amp;$CW$4,$AD28:$BA28)),
IF(BT$3=$DF28+'Model Setup'!$H$7,SUMIF($BH$3:$CE$3,"="&amp;$DF28+'Model Setup'!$H$7,$AD28:$BA28)+'Model Setup'!$H$8*(SUMIF($BH$3:$CE$3,"&lt;"&amp;$DF28,$AD28:$BA28)+SUMIF($BH$3:$CE$3,"&gt;"&amp;$CW$4,$AD28:$BA28)),
IF(BT$3=$DF28+'Model Setup'!$I$7,SUMIF($BH$3:$CE$3,"="&amp;$DF28+'Model Setup'!$I$7,$AD28:$BA28)+'Model Setup'!$I$8*(SUMIF($BH$3:$CE$3,"&lt;"&amp;$DF28,$AD28:$BA28)+SUMIF($BH$3:$CE$3,"&gt;"&amp;$CW$4,$AD28:$BA28)),
IF(BT$3=$DF28+'Model Setup'!$J$7,SUMIF($BH$3:$CE$3,"="&amp;$DF28+'Model Setup'!$J$7,$AD28:$BA28)+'Model Setup'!$J$8*(SUMIF($BH$3:$CE$3,"&lt;"&amp;$DF28,$AD28:$BA28)+SUMIF($BH$3:$CE$3,"&gt;"&amp;$CW$4,$AD28:$BA28)),
IF(BT$3=$DF28+'Model Setup'!$K$7,SUMIF($BH$3:$CE$3,"="&amp;$DF28+'Model Setup'!$K$7,$AD28:$BA28)+'Model Setup'!$K$8*(SUMIF($BH$3:$CE$3,"&lt;"&amp;$DF28,$AD28:$BA28)+SUMIF($BH$3:$CE$3,"&gt;"&amp;$CW$4,$AD28:$BA28)),
IF(BT$3=$DF28+'Model Setup'!$L$7,SUMIF($BH$3:$CE$3,"="&amp;$DF28+'Model Setup'!$L$7,$AD28:$BA28)+'Model Setup'!$L$8*(SUMIF($BH$3:$CE$3,"&lt;"&amp;$DF28,$AD28:$BA28)+SUMIF($BH$3:$CE$3,"&gt;"&amp;$CW$4,$AD28:$BA28)),
IF(BT$3=$DF28+'Model Setup'!$M$7,SUMIF($BH$3:$CE$3,"="&amp;$DF28+'Model Setup'!$M$7,$AD28:$BA28)+'Model Setup'!$M$8*(SUMIF($BH$3:$CE$3,"&lt;"&amp;$DF28,$AD28:$BA28)+SUMIF($BH$3:$CE$3,"&gt;"&amp;$CW$4,$AD28:$BA28)),
IF(BT$3=$DF28+'Model Setup'!$N$7,SUMIF($BH$3:$CE$3,"="&amp;$DF28+'Model Setup'!$N$7,$AD28:$BA28)+'Model Setup'!$N$8*(SUMIF($BH$3:$CE$3,"&lt;"&amp;$DF28,$AD28:$BA28)+SUMIF($BH$3:$CE$3,"&gt;"&amp;$CW$4,$AD28:$BA28)),
IF(BT$3&lt;$CW$4,N28,0))))))))))))))),0)</f>
        <v>34</v>
      </c>
      <c r="BU28" s="47">
        <f>ROUND(IF(OR(BU$3&lt;$DF28,BU$3&gt;$CW$4),0,
IF(BU$3=$DF28+'Model Setup'!$B$7,SUMIF($BH$3:$CE$3,"="&amp;$DF28+'Model Setup'!$B$7,$AD28:$BA28)+'Model Setup'!$B$8*(SUMIF($BH$3:$CE$3,"&lt;"&amp;$DF28,$AD28:$BA28)+SUMIF($BH$3:$CE$3,"&gt;"&amp;$CW$4,$AD28:$BA28)),
IF(BU$3=$DF28+'Model Setup'!$C$7,SUMIF($BH$3:$CE$3,"="&amp;$DF28+'Model Setup'!$C$7,$AD28:$BA28)+'Model Setup'!$C$8*(SUMIF($BH$3:$CE$3,"&lt;"&amp;$DF28,$AD28:$BA28)+SUMIF($BH$3:$CE$3,"&gt;"&amp;$CW$4,$AD28:$BA28)),
IF(BU$3=$DF28+'Model Setup'!$D$7,SUMIF($BH$3:$CE$3,"="&amp;$DF28+'Model Setup'!$D$7,$AD28:$BA28)+'Model Setup'!$D$8*(SUMIF($BH$3:$CE$3,"&lt;"&amp;$DF28,$AD28:$BA28)+SUMIF($BH$3:$CE$3,"&gt;"&amp;$CW$4,$AD28:$BA28)),
IF(BU$3=$DF28+'Model Setup'!$E$7,SUMIF($BH$3:$CE$3,"="&amp;$DF28+'Model Setup'!$E$7,$AD28:$BA28)+'Model Setup'!$E$8*(SUMIF($BH$3:$CE$3,"&lt;"&amp;$DF28,$AD28:$BA28)+SUMIF($BH$3:$CE$3,"&gt;"&amp;$CW$4,$AD28:$BA28)),
IF(BU$3=$DF28+'Model Setup'!$F$7,SUMIF($BH$3:$CE$3,"="&amp;$DF28+'Model Setup'!$F$7,$AD28:$BA28)+'Model Setup'!$F$8*(SUMIF($BH$3:$CE$3,"&lt;"&amp;$DF28,$AD28:$BA28)+SUMIF($BH$3:$CE$3,"&gt;"&amp;$CW$4,$AD28:$BA28)),
IF(BU$3=$DF28+'Model Setup'!$G$7,SUMIF($BH$3:$CE$3,"="&amp;$DF28+'Model Setup'!$G$7,$AD28:$BA28)+'Model Setup'!$G$8*(SUMIF($BH$3:$CE$3,"&lt;"&amp;$DF28,$AD28:$BA28)+SUMIF($BH$3:$CE$3,"&gt;"&amp;$CW$4,$AD28:$BA28)),
IF(BU$3=$DF28+'Model Setup'!$H$7,SUMIF($BH$3:$CE$3,"="&amp;$DF28+'Model Setup'!$H$7,$AD28:$BA28)+'Model Setup'!$H$8*(SUMIF($BH$3:$CE$3,"&lt;"&amp;$DF28,$AD28:$BA28)+SUMIF($BH$3:$CE$3,"&gt;"&amp;$CW$4,$AD28:$BA28)),
IF(BU$3=$DF28+'Model Setup'!$I$7,SUMIF($BH$3:$CE$3,"="&amp;$DF28+'Model Setup'!$I$7,$AD28:$BA28)+'Model Setup'!$I$8*(SUMIF($BH$3:$CE$3,"&lt;"&amp;$DF28,$AD28:$BA28)+SUMIF($BH$3:$CE$3,"&gt;"&amp;$CW$4,$AD28:$BA28)),
IF(BU$3=$DF28+'Model Setup'!$J$7,SUMIF($BH$3:$CE$3,"="&amp;$DF28+'Model Setup'!$J$7,$AD28:$BA28)+'Model Setup'!$J$8*(SUMIF($BH$3:$CE$3,"&lt;"&amp;$DF28,$AD28:$BA28)+SUMIF($BH$3:$CE$3,"&gt;"&amp;$CW$4,$AD28:$BA28)),
IF(BU$3=$DF28+'Model Setup'!$K$7,SUMIF($BH$3:$CE$3,"="&amp;$DF28+'Model Setup'!$K$7,$AD28:$BA28)+'Model Setup'!$K$8*(SUMIF($BH$3:$CE$3,"&lt;"&amp;$DF28,$AD28:$BA28)+SUMIF($BH$3:$CE$3,"&gt;"&amp;$CW$4,$AD28:$BA28)),
IF(BU$3=$DF28+'Model Setup'!$L$7,SUMIF($BH$3:$CE$3,"="&amp;$DF28+'Model Setup'!$L$7,$AD28:$BA28)+'Model Setup'!$L$8*(SUMIF($BH$3:$CE$3,"&lt;"&amp;$DF28,$AD28:$BA28)+SUMIF($BH$3:$CE$3,"&gt;"&amp;$CW$4,$AD28:$BA28)),
IF(BU$3=$DF28+'Model Setup'!$M$7,SUMIF($BH$3:$CE$3,"="&amp;$DF28+'Model Setup'!$M$7,$AD28:$BA28)+'Model Setup'!$M$8*(SUMIF($BH$3:$CE$3,"&lt;"&amp;$DF28,$AD28:$BA28)+SUMIF($BH$3:$CE$3,"&gt;"&amp;$CW$4,$AD28:$BA28)),
IF(BU$3=$DF28+'Model Setup'!$N$7,SUMIF($BH$3:$CE$3,"="&amp;$DF28+'Model Setup'!$N$7,$AD28:$BA28)+'Model Setup'!$N$8*(SUMIF($BH$3:$CE$3,"&lt;"&amp;$DF28,$AD28:$BA28)+SUMIF($BH$3:$CE$3,"&gt;"&amp;$CW$4,$AD28:$BA28)),
IF(BU$3&lt;$CW$4,O28,0))))))))))))))),0)</f>
        <v>33</v>
      </c>
      <c r="BV28" s="47">
        <f>ROUND(IF(OR(BV$3&lt;$DF28,BV$3&gt;$CW$4),0,
IF(BV$3=$DF28+'Model Setup'!$B$7,SUMIF($BH$3:$CE$3,"="&amp;$DF28+'Model Setup'!$B$7,$AD28:$BA28)+'Model Setup'!$B$8*(SUMIF($BH$3:$CE$3,"&lt;"&amp;$DF28,$AD28:$BA28)+SUMIF($BH$3:$CE$3,"&gt;"&amp;$CW$4,$AD28:$BA28)),
IF(BV$3=$DF28+'Model Setup'!$C$7,SUMIF($BH$3:$CE$3,"="&amp;$DF28+'Model Setup'!$C$7,$AD28:$BA28)+'Model Setup'!$C$8*(SUMIF($BH$3:$CE$3,"&lt;"&amp;$DF28,$AD28:$BA28)+SUMIF($BH$3:$CE$3,"&gt;"&amp;$CW$4,$AD28:$BA28)),
IF(BV$3=$DF28+'Model Setup'!$D$7,SUMIF($BH$3:$CE$3,"="&amp;$DF28+'Model Setup'!$D$7,$AD28:$BA28)+'Model Setup'!$D$8*(SUMIF($BH$3:$CE$3,"&lt;"&amp;$DF28,$AD28:$BA28)+SUMIF($BH$3:$CE$3,"&gt;"&amp;$CW$4,$AD28:$BA28)),
IF(BV$3=$DF28+'Model Setup'!$E$7,SUMIF($BH$3:$CE$3,"="&amp;$DF28+'Model Setup'!$E$7,$AD28:$BA28)+'Model Setup'!$E$8*(SUMIF($BH$3:$CE$3,"&lt;"&amp;$DF28,$AD28:$BA28)+SUMIF($BH$3:$CE$3,"&gt;"&amp;$CW$4,$AD28:$BA28)),
IF(BV$3=$DF28+'Model Setup'!$F$7,SUMIF($BH$3:$CE$3,"="&amp;$DF28+'Model Setup'!$F$7,$AD28:$BA28)+'Model Setup'!$F$8*(SUMIF($BH$3:$CE$3,"&lt;"&amp;$DF28,$AD28:$BA28)+SUMIF($BH$3:$CE$3,"&gt;"&amp;$CW$4,$AD28:$BA28)),
IF(BV$3=$DF28+'Model Setup'!$G$7,SUMIF($BH$3:$CE$3,"="&amp;$DF28+'Model Setup'!$G$7,$AD28:$BA28)+'Model Setup'!$G$8*(SUMIF($BH$3:$CE$3,"&lt;"&amp;$DF28,$AD28:$BA28)+SUMIF($BH$3:$CE$3,"&gt;"&amp;$CW$4,$AD28:$BA28)),
IF(BV$3=$DF28+'Model Setup'!$H$7,SUMIF($BH$3:$CE$3,"="&amp;$DF28+'Model Setup'!$H$7,$AD28:$BA28)+'Model Setup'!$H$8*(SUMIF($BH$3:$CE$3,"&lt;"&amp;$DF28,$AD28:$BA28)+SUMIF($BH$3:$CE$3,"&gt;"&amp;$CW$4,$AD28:$BA28)),
IF(BV$3=$DF28+'Model Setup'!$I$7,SUMIF($BH$3:$CE$3,"="&amp;$DF28+'Model Setup'!$I$7,$AD28:$BA28)+'Model Setup'!$I$8*(SUMIF($BH$3:$CE$3,"&lt;"&amp;$DF28,$AD28:$BA28)+SUMIF($BH$3:$CE$3,"&gt;"&amp;$CW$4,$AD28:$BA28)),
IF(BV$3=$DF28+'Model Setup'!$J$7,SUMIF($BH$3:$CE$3,"="&amp;$DF28+'Model Setup'!$J$7,$AD28:$BA28)+'Model Setup'!$J$8*(SUMIF($BH$3:$CE$3,"&lt;"&amp;$DF28,$AD28:$BA28)+SUMIF($BH$3:$CE$3,"&gt;"&amp;$CW$4,$AD28:$BA28)),
IF(BV$3=$DF28+'Model Setup'!$K$7,SUMIF($BH$3:$CE$3,"="&amp;$DF28+'Model Setup'!$K$7,$AD28:$BA28)+'Model Setup'!$K$8*(SUMIF($BH$3:$CE$3,"&lt;"&amp;$DF28,$AD28:$BA28)+SUMIF($BH$3:$CE$3,"&gt;"&amp;$CW$4,$AD28:$BA28)),
IF(BV$3=$DF28+'Model Setup'!$L$7,SUMIF($BH$3:$CE$3,"="&amp;$DF28+'Model Setup'!$L$7,$AD28:$BA28)+'Model Setup'!$L$8*(SUMIF($BH$3:$CE$3,"&lt;"&amp;$DF28,$AD28:$BA28)+SUMIF($BH$3:$CE$3,"&gt;"&amp;$CW$4,$AD28:$BA28)),
IF(BV$3=$DF28+'Model Setup'!$M$7,SUMIF($BH$3:$CE$3,"="&amp;$DF28+'Model Setup'!$M$7,$AD28:$BA28)+'Model Setup'!$M$8*(SUMIF($BH$3:$CE$3,"&lt;"&amp;$DF28,$AD28:$BA28)+SUMIF($BH$3:$CE$3,"&gt;"&amp;$CW$4,$AD28:$BA28)),
IF(BV$3=$DF28+'Model Setup'!$N$7,SUMIF($BH$3:$CE$3,"="&amp;$DF28+'Model Setup'!$N$7,$AD28:$BA28)+'Model Setup'!$N$8*(SUMIF($BH$3:$CE$3,"&lt;"&amp;$DF28,$AD28:$BA28)+SUMIF($BH$3:$CE$3,"&gt;"&amp;$CW$4,$AD28:$BA28)),
IF(BV$3&lt;$CW$4,P28,0))))))))))))))),0)</f>
        <v>26</v>
      </c>
      <c r="BW28" s="47">
        <f>ROUND(IF(OR(BW$3&lt;$DF28,BW$3&gt;$CW$4),0,
IF(BW$3=$DF28+'Model Setup'!$B$7,SUMIF($BH$3:$CE$3,"="&amp;$DF28+'Model Setup'!$B$7,$AD28:$BA28)+'Model Setup'!$B$8*(SUMIF($BH$3:$CE$3,"&lt;"&amp;$DF28,$AD28:$BA28)+SUMIF($BH$3:$CE$3,"&gt;"&amp;$CW$4,$AD28:$BA28)),
IF(BW$3=$DF28+'Model Setup'!$C$7,SUMIF($BH$3:$CE$3,"="&amp;$DF28+'Model Setup'!$C$7,$AD28:$BA28)+'Model Setup'!$C$8*(SUMIF($BH$3:$CE$3,"&lt;"&amp;$DF28,$AD28:$BA28)+SUMIF($BH$3:$CE$3,"&gt;"&amp;$CW$4,$AD28:$BA28)),
IF(BW$3=$DF28+'Model Setup'!$D$7,SUMIF($BH$3:$CE$3,"="&amp;$DF28+'Model Setup'!$D$7,$AD28:$BA28)+'Model Setup'!$D$8*(SUMIF($BH$3:$CE$3,"&lt;"&amp;$DF28,$AD28:$BA28)+SUMIF($BH$3:$CE$3,"&gt;"&amp;$CW$4,$AD28:$BA28)),
IF(BW$3=$DF28+'Model Setup'!$E$7,SUMIF($BH$3:$CE$3,"="&amp;$DF28+'Model Setup'!$E$7,$AD28:$BA28)+'Model Setup'!$E$8*(SUMIF($BH$3:$CE$3,"&lt;"&amp;$DF28,$AD28:$BA28)+SUMIF($BH$3:$CE$3,"&gt;"&amp;$CW$4,$AD28:$BA28)),
IF(BW$3=$DF28+'Model Setup'!$F$7,SUMIF($BH$3:$CE$3,"="&amp;$DF28+'Model Setup'!$F$7,$AD28:$BA28)+'Model Setup'!$F$8*(SUMIF($BH$3:$CE$3,"&lt;"&amp;$DF28,$AD28:$BA28)+SUMIF($BH$3:$CE$3,"&gt;"&amp;$CW$4,$AD28:$BA28)),
IF(BW$3=$DF28+'Model Setup'!$G$7,SUMIF($BH$3:$CE$3,"="&amp;$DF28+'Model Setup'!$G$7,$AD28:$BA28)+'Model Setup'!$G$8*(SUMIF($BH$3:$CE$3,"&lt;"&amp;$DF28,$AD28:$BA28)+SUMIF($BH$3:$CE$3,"&gt;"&amp;$CW$4,$AD28:$BA28)),
IF(BW$3=$DF28+'Model Setup'!$H$7,SUMIF($BH$3:$CE$3,"="&amp;$DF28+'Model Setup'!$H$7,$AD28:$BA28)+'Model Setup'!$H$8*(SUMIF($BH$3:$CE$3,"&lt;"&amp;$DF28,$AD28:$BA28)+SUMIF($BH$3:$CE$3,"&gt;"&amp;$CW$4,$AD28:$BA28)),
IF(BW$3=$DF28+'Model Setup'!$I$7,SUMIF($BH$3:$CE$3,"="&amp;$DF28+'Model Setup'!$I$7,$AD28:$BA28)+'Model Setup'!$I$8*(SUMIF($BH$3:$CE$3,"&lt;"&amp;$DF28,$AD28:$BA28)+SUMIF($BH$3:$CE$3,"&gt;"&amp;$CW$4,$AD28:$BA28)),
IF(BW$3=$DF28+'Model Setup'!$J$7,SUMIF($BH$3:$CE$3,"="&amp;$DF28+'Model Setup'!$J$7,$AD28:$BA28)+'Model Setup'!$J$8*(SUMIF($BH$3:$CE$3,"&lt;"&amp;$DF28,$AD28:$BA28)+SUMIF($BH$3:$CE$3,"&gt;"&amp;$CW$4,$AD28:$BA28)),
IF(BW$3=$DF28+'Model Setup'!$K$7,SUMIF($BH$3:$CE$3,"="&amp;$DF28+'Model Setup'!$K$7,$AD28:$BA28)+'Model Setup'!$K$8*(SUMIF($BH$3:$CE$3,"&lt;"&amp;$DF28,$AD28:$BA28)+SUMIF($BH$3:$CE$3,"&gt;"&amp;$CW$4,$AD28:$BA28)),
IF(BW$3=$DF28+'Model Setup'!$L$7,SUMIF($BH$3:$CE$3,"="&amp;$DF28+'Model Setup'!$L$7,$AD28:$BA28)+'Model Setup'!$L$8*(SUMIF($BH$3:$CE$3,"&lt;"&amp;$DF28,$AD28:$BA28)+SUMIF($BH$3:$CE$3,"&gt;"&amp;$CW$4,$AD28:$BA28)),
IF(BW$3=$DF28+'Model Setup'!$M$7,SUMIF($BH$3:$CE$3,"="&amp;$DF28+'Model Setup'!$M$7,$AD28:$BA28)+'Model Setup'!$M$8*(SUMIF($BH$3:$CE$3,"&lt;"&amp;$DF28,$AD28:$BA28)+SUMIF($BH$3:$CE$3,"&gt;"&amp;$CW$4,$AD28:$BA28)),
IF(BW$3=$DF28+'Model Setup'!$N$7,SUMIF($BH$3:$CE$3,"="&amp;$DF28+'Model Setup'!$N$7,$AD28:$BA28)+'Model Setup'!$N$8*(SUMIF($BH$3:$CE$3,"&lt;"&amp;$DF28,$AD28:$BA28)+SUMIF($BH$3:$CE$3,"&gt;"&amp;$CW$4,$AD28:$BA28)),
IF(BW$3&lt;$CW$4,Q28,0))))))))))))))),0)</f>
        <v>22</v>
      </c>
      <c r="BX28" s="47">
        <f>ROUND(IF(OR(BX$3&lt;$DF28,BX$3&gt;$CW$4),0,
IF(BX$3=$DF28+'Model Setup'!$B$7,SUMIF($BH$3:$CE$3,"="&amp;$DF28+'Model Setup'!$B$7,$AD28:$BA28)+'Model Setup'!$B$8*(SUMIF($BH$3:$CE$3,"&lt;"&amp;$DF28,$AD28:$BA28)+SUMIF($BH$3:$CE$3,"&gt;"&amp;$CW$4,$AD28:$BA28)),
IF(BX$3=$DF28+'Model Setup'!$C$7,SUMIF($BH$3:$CE$3,"="&amp;$DF28+'Model Setup'!$C$7,$AD28:$BA28)+'Model Setup'!$C$8*(SUMIF($BH$3:$CE$3,"&lt;"&amp;$DF28,$AD28:$BA28)+SUMIF($BH$3:$CE$3,"&gt;"&amp;$CW$4,$AD28:$BA28)),
IF(BX$3=$DF28+'Model Setup'!$D$7,SUMIF($BH$3:$CE$3,"="&amp;$DF28+'Model Setup'!$D$7,$AD28:$BA28)+'Model Setup'!$D$8*(SUMIF($BH$3:$CE$3,"&lt;"&amp;$DF28,$AD28:$BA28)+SUMIF($BH$3:$CE$3,"&gt;"&amp;$CW$4,$AD28:$BA28)),
IF(BX$3=$DF28+'Model Setup'!$E$7,SUMIF($BH$3:$CE$3,"="&amp;$DF28+'Model Setup'!$E$7,$AD28:$BA28)+'Model Setup'!$E$8*(SUMIF($BH$3:$CE$3,"&lt;"&amp;$DF28,$AD28:$BA28)+SUMIF($BH$3:$CE$3,"&gt;"&amp;$CW$4,$AD28:$BA28)),
IF(BX$3=$DF28+'Model Setup'!$F$7,SUMIF($BH$3:$CE$3,"="&amp;$DF28+'Model Setup'!$F$7,$AD28:$BA28)+'Model Setup'!$F$8*(SUMIF($BH$3:$CE$3,"&lt;"&amp;$DF28,$AD28:$BA28)+SUMIF($BH$3:$CE$3,"&gt;"&amp;$CW$4,$AD28:$BA28)),
IF(BX$3=$DF28+'Model Setup'!$G$7,SUMIF($BH$3:$CE$3,"="&amp;$DF28+'Model Setup'!$G$7,$AD28:$BA28)+'Model Setup'!$G$8*(SUMIF($BH$3:$CE$3,"&lt;"&amp;$DF28,$AD28:$BA28)+SUMIF($BH$3:$CE$3,"&gt;"&amp;$CW$4,$AD28:$BA28)),
IF(BX$3=$DF28+'Model Setup'!$H$7,SUMIF($BH$3:$CE$3,"="&amp;$DF28+'Model Setup'!$H$7,$AD28:$BA28)+'Model Setup'!$H$8*(SUMIF($BH$3:$CE$3,"&lt;"&amp;$DF28,$AD28:$BA28)+SUMIF($BH$3:$CE$3,"&gt;"&amp;$CW$4,$AD28:$BA28)),
IF(BX$3=$DF28+'Model Setup'!$I$7,SUMIF($BH$3:$CE$3,"="&amp;$DF28+'Model Setup'!$I$7,$AD28:$BA28)+'Model Setup'!$I$8*(SUMIF($BH$3:$CE$3,"&lt;"&amp;$DF28,$AD28:$BA28)+SUMIF($BH$3:$CE$3,"&gt;"&amp;$CW$4,$AD28:$BA28)),
IF(BX$3=$DF28+'Model Setup'!$J$7,SUMIF($BH$3:$CE$3,"="&amp;$DF28+'Model Setup'!$J$7,$AD28:$BA28)+'Model Setup'!$J$8*(SUMIF($BH$3:$CE$3,"&lt;"&amp;$DF28,$AD28:$BA28)+SUMIF($BH$3:$CE$3,"&gt;"&amp;$CW$4,$AD28:$BA28)),
IF(BX$3=$DF28+'Model Setup'!$K$7,SUMIF($BH$3:$CE$3,"="&amp;$DF28+'Model Setup'!$K$7,$AD28:$BA28)+'Model Setup'!$K$8*(SUMIF($BH$3:$CE$3,"&lt;"&amp;$DF28,$AD28:$BA28)+SUMIF($BH$3:$CE$3,"&gt;"&amp;$CW$4,$AD28:$BA28)),
IF(BX$3=$DF28+'Model Setup'!$L$7,SUMIF($BH$3:$CE$3,"="&amp;$DF28+'Model Setup'!$L$7,$AD28:$BA28)+'Model Setup'!$L$8*(SUMIF($BH$3:$CE$3,"&lt;"&amp;$DF28,$AD28:$BA28)+SUMIF($BH$3:$CE$3,"&gt;"&amp;$CW$4,$AD28:$BA28)),
IF(BX$3=$DF28+'Model Setup'!$M$7,SUMIF($BH$3:$CE$3,"="&amp;$DF28+'Model Setup'!$M$7,$AD28:$BA28)+'Model Setup'!$M$8*(SUMIF($BH$3:$CE$3,"&lt;"&amp;$DF28,$AD28:$BA28)+SUMIF($BH$3:$CE$3,"&gt;"&amp;$CW$4,$AD28:$BA28)),
IF(BX$3=$DF28+'Model Setup'!$N$7,SUMIF($BH$3:$CE$3,"="&amp;$DF28+'Model Setup'!$N$7,$AD28:$BA28)+'Model Setup'!$N$8*(SUMIF($BH$3:$CE$3,"&lt;"&amp;$DF28,$AD28:$BA28)+SUMIF($BH$3:$CE$3,"&gt;"&amp;$CW$4,$AD28:$BA28)),
IF(BX$3&lt;$CW$4,R28,0))))))))))))))),0)</f>
        <v>13</v>
      </c>
      <c r="BY28" s="47">
        <f>ROUND(IF(OR(BY$3&lt;$DF28,BY$3&gt;$CW$4),0,
IF(BY$3=$DF28+'Model Setup'!$B$7,SUMIF($BH$3:$CE$3,"="&amp;$DF28+'Model Setup'!$B$7,$AD28:$BA28)+'Model Setup'!$B$8*(SUMIF($BH$3:$CE$3,"&lt;"&amp;$DF28,$AD28:$BA28)+SUMIF($BH$3:$CE$3,"&gt;"&amp;$CW$4,$AD28:$BA28)),
IF(BY$3=$DF28+'Model Setup'!$C$7,SUMIF($BH$3:$CE$3,"="&amp;$DF28+'Model Setup'!$C$7,$AD28:$BA28)+'Model Setup'!$C$8*(SUMIF($BH$3:$CE$3,"&lt;"&amp;$DF28,$AD28:$BA28)+SUMIF($BH$3:$CE$3,"&gt;"&amp;$CW$4,$AD28:$BA28)),
IF(BY$3=$DF28+'Model Setup'!$D$7,SUMIF($BH$3:$CE$3,"="&amp;$DF28+'Model Setup'!$D$7,$AD28:$BA28)+'Model Setup'!$D$8*(SUMIF($BH$3:$CE$3,"&lt;"&amp;$DF28,$AD28:$BA28)+SUMIF($BH$3:$CE$3,"&gt;"&amp;$CW$4,$AD28:$BA28)),
IF(BY$3=$DF28+'Model Setup'!$E$7,SUMIF($BH$3:$CE$3,"="&amp;$DF28+'Model Setup'!$E$7,$AD28:$BA28)+'Model Setup'!$E$8*(SUMIF($BH$3:$CE$3,"&lt;"&amp;$DF28,$AD28:$BA28)+SUMIF($BH$3:$CE$3,"&gt;"&amp;$CW$4,$AD28:$BA28)),
IF(BY$3=$DF28+'Model Setup'!$F$7,SUMIF($BH$3:$CE$3,"="&amp;$DF28+'Model Setup'!$F$7,$AD28:$BA28)+'Model Setup'!$F$8*(SUMIF($BH$3:$CE$3,"&lt;"&amp;$DF28,$AD28:$BA28)+SUMIF($BH$3:$CE$3,"&gt;"&amp;$CW$4,$AD28:$BA28)),
IF(BY$3=$DF28+'Model Setup'!$G$7,SUMIF($BH$3:$CE$3,"="&amp;$DF28+'Model Setup'!$G$7,$AD28:$BA28)+'Model Setup'!$G$8*(SUMIF($BH$3:$CE$3,"&lt;"&amp;$DF28,$AD28:$BA28)+SUMIF($BH$3:$CE$3,"&gt;"&amp;$CW$4,$AD28:$BA28)),
IF(BY$3=$DF28+'Model Setup'!$H$7,SUMIF($BH$3:$CE$3,"="&amp;$DF28+'Model Setup'!$H$7,$AD28:$BA28)+'Model Setup'!$H$8*(SUMIF($BH$3:$CE$3,"&lt;"&amp;$DF28,$AD28:$BA28)+SUMIF($BH$3:$CE$3,"&gt;"&amp;$CW$4,$AD28:$BA28)),
IF(BY$3=$DF28+'Model Setup'!$I$7,SUMIF($BH$3:$CE$3,"="&amp;$DF28+'Model Setup'!$I$7,$AD28:$BA28)+'Model Setup'!$I$8*(SUMIF($BH$3:$CE$3,"&lt;"&amp;$DF28,$AD28:$BA28)+SUMIF($BH$3:$CE$3,"&gt;"&amp;$CW$4,$AD28:$BA28)),
IF(BY$3=$DF28+'Model Setup'!$J$7,SUMIF($BH$3:$CE$3,"="&amp;$DF28+'Model Setup'!$J$7,$AD28:$BA28)+'Model Setup'!$J$8*(SUMIF($BH$3:$CE$3,"&lt;"&amp;$DF28,$AD28:$BA28)+SUMIF($BH$3:$CE$3,"&gt;"&amp;$CW$4,$AD28:$BA28)),
IF(BY$3=$DF28+'Model Setup'!$K$7,SUMIF($BH$3:$CE$3,"="&amp;$DF28+'Model Setup'!$K$7,$AD28:$BA28)+'Model Setup'!$K$8*(SUMIF($BH$3:$CE$3,"&lt;"&amp;$DF28,$AD28:$BA28)+SUMIF($BH$3:$CE$3,"&gt;"&amp;$CW$4,$AD28:$BA28)),
IF(BY$3=$DF28+'Model Setup'!$L$7,SUMIF($BH$3:$CE$3,"="&amp;$DF28+'Model Setup'!$L$7,$AD28:$BA28)+'Model Setup'!$L$8*(SUMIF($BH$3:$CE$3,"&lt;"&amp;$DF28,$AD28:$BA28)+SUMIF($BH$3:$CE$3,"&gt;"&amp;$CW$4,$AD28:$BA28)),
IF(BY$3=$DF28+'Model Setup'!$M$7,SUMIF($BH$3:$CE$3,"="&amp;$DF28+'Model Setup'!$M$7,$AD28:$BA28)+'Model Setup'!$M$8*(SUMIF($BH$3:$CE$3,"&lt;"&amp;$DF28,$AD28:$BA28)+SUMIF($BH$3:$CE$3,"&gt;"&amp;$CW$4,$AD28:$BA28)),
IF(BY$3=$DF28+'Model Setup'!$N$7,SUMIF($BH$3:$CE$3,"="&amp;$DF28+'Model Setup'!$N$7,$AD28:$BA28)+'Model Setup'!$N$8*(SUMIF($BH$3:$CE$3,"&lt;"&amp;$DF28,$AD28:$BA28)+SUMIF($BH$3:$CE$3,"&gt;"&amp;$CW$4,$AD28:$BA28)),
IF(BY$3&lt;$CW$4,S28,0))))))))))))))),0)</f>
        <v>51</v>
      </c>
      <c r="BZ28" s="47">
        <f>ROUND(IF(OR(BZ$3&lt;$DF28,BZ$3&gt;$CW$4),0,
IF(BZ$3=$DF28+'Model Setup'!$B$7,SUMIF($BH$3:$CE$3,"="&amp;$DF28+'Model Setup'!$B$7,$AD28:$BA28)+'Model Setup'!$B$8*(SUMIF($BH$3:$CE$3,"&lt;"&amp;$DF28,$AD28:$BA28)+SUMIF($BH$3:$CE$3,"&gt;"&amp;$CW$4,$AD28:$BA28)),
IF(BZ$3=$DF28+'Model Setup'!$C$7,SUMIF($BH$3:$CE$3,"="&amp;$DF28+'Model Setup'!$C$7,$AD28:$BA28)+'Model Setup'!$C$8*(SUMIF($BH$3:$CE$3,"&lt;"&amp;$DF28,$AD28:$BA28)+SUMIF($BH$3:$CE$3,"&gt;"&amp;$CW$4,$AD28:$BA28)),
IF(BZ$3=$DF28+'Model Setup'!$D$7,SUMIF($BH$3:$CE$3,"="&amp;$DF28+'Model Setup'!$D$7,$AD28:$BA28)+'Model Setup'!$D$8*(SUMIF($BH$3:$CE$3,"&lt;"&amp;$DF28,$AD28:$BA28)+SUMIF($BH$3:$CE$3,"&gt;"&amp;$CW$4,$AD28:$BA28)),
IF(BZ$3=$DF28+'Model Setup'!$E$7,SUMIF($BH$3:$CE$3,"="&amp;$DF28+'Model Setup'!$E$7,$AD28:$BA28)+'Model Setup'!$E$8*(SUMIF($BH$3:$CE$3,"&lt;"&amp;$DF28,$AD28:$BA28)+SUMIF($BH$3:$CE$3,"&gt;"&amp;$CW$4,$AD28:$BA28)),
IF(BZ$3=$DF28+'Model Setup'!$F$7,SUMIF($BH$3:$CE$3,"="&amp;$DF28+'Model Setup'!$F$7,$AD28:$BA28)+'Model Setup'!$F$8*(SUMIF($BH$3:$CE$3,"&lt;"&amp;$DF28,$AD28:$BA28)+SUMIF($BH$3:$CE$3,"&gt;"&amp;$CW$4,$AD28:$BA28)),
IF(BZ$3=$DF28+'Model Setup'!$G$7,SUMIF($BH$3:$CE$3,"="&amp;$DF28+'Model Setup'!$G$7,$AD28:$BA28)+'Model Setup'!$G$8*(SUMIF($BH$3:$CE$3,"&lt;"&amp;$DF28,$AD28:$BA28)+SUMIF($BH$3:$CE$3,"&gt;"&amp;$CW$4,$AD28:$BA28)),
IF(BZ$3=$DF28+'Model Setup'!$H$7,SUMIF($BH$3:$CE$3,"="&amp;$DF28+'Model Setup'!$H$7,$AD28:$BA28)+'Model Setup'!$H$8*(SUMIF($BH$3:$CE$3,"&lt;"&amp;$DF28,$AD28:$BA28)+SUMIF($BH$3:$CE$3,"&gt;"&amp;$CW$4,$AD28:$BA28)),
IF(BZ$3=$DF28+'Model Setup'!$I$7,SUMIF($BH$3:$CE$3,"="&amp;$DF28+'Model Setup'!$I$7,$AD28:$BA28)+'Model Setup'!$I$8*(SUMIF($BH$3:$CE$3,"&lt;"&amp;$DF28,$AD28:$BA28)+SUMIF($BH$3:$CE$3,"&gt;"&amp;$CW$4,$AD28:$BA28)),
IF(BZ$3=$DF28+'Model Setup'!$J$7,SUMIF($BH$3:$CE$3,"="&amp;$DF28+'Model Setup'!$J$7,$AD28:$BA28)+'Model Setup'!$J$8*(SUMIF($BH$3:$CE$3,"&lt;"&amp;$DF28,$AD28:$BA28)+SUMIF($BH$3:$CE$3,"&gt;"&amp;$CW$4,$AD28:$BA28)),
IF(BZ$3=$DF28+'Model Setup'!$K$7,SUMIF($BH$3:$CE$3,"="&amp;$DF28+'Model Setup'!$K$7,$AD28:$BA28)+'Model Setup'!$K$8*(SUMIF($BH$3:$CE$3,"&lt;"&amp;$DF28,$AD28:$BA28)+SUMIF($BH$3:$CE$3,"&gt;"&amp;$CW$4,$AD28:$BA28)),
IF(BZ$3=$DF28+'Model Setup'!$L$7,SUMIF($BH$3:$CE$3,"="&amp;$DF28+'Model Setup'!$L$7,$AD28:$BA28)+'Model Setup'!$L$8*(SUMIF($BH$3:$CE$3,"&lt;"&amp;$DF28,$AD28:$BA28)+SUMIF($BH$3:$CE$3,"&gt;"&amp;$CW$4,$AD28:$BA28)),
IF(BZ$3=$DF28+'Model Setup'!$M$7,SUMIF($BH$3:$CE$3,"="&amp;$DF28+'Model Setup'!$M$7,$AD28:$BA28)+'Model Setup'!$M$8*(SUMIF($BH$3:$CE$3,"&lt;"&amp;$DF28,$AD28:$BA28)+SUMIF($BH$3:$CE$3,"&gt;"&amp;$CW$4,$AD28:$BA28)),
IF(BZ$3=$DF28+'Model Setup'!$N$7,SUMIF($BH$3:$CE$3,"="&amp;$DF28+'Model Setup'!$N$7,$AD28:$BA28)+'Model Setup'!$N$8*(SUMIF($BH$3:$CE$3,"&lt;"&amp;$DF28,$AD28:$BA28)+SUMIF($BH$3:$CE$3,"&gt;"&amp;$CW$4,$AD28:$BA28)),
IF(BZ$3&lt;$CW$4,T28,0))))))))))))))),0)</f>
        <v>65</v>
      </c>
      <c r="CA28" s="47">
        <f>ROUND(IF(OR(CA$3&lt;$DF28,CA$3&gt;$CW$4),0,
IF(CA$3=$DF28+'Model Setup'!$B$7,SUMIF($BH$3:$CE$3,"="&amp;$DF28+'Model Setup'!$B$7,$AD28:$BA28)+'Model Setup'!$B$8*(SUMIF($BH$3:$CE$3,"&lt;"&amp;$DF28,$AD28:$BA28)+SUMIF($BH$3:$CE$3,"&gt;"&amp;$CW$4,$AD28:$BA28)),
IF(CA$3=$DF28+'Model Setup'!$C$7,SUMIF($BH$3:$CE$3,"="&amp;$DF28+'Model Setup'!$C$7,$AD28:$BA28)+'Model Setup'!$C$8*(SUMIF($BH$3:$CE$3,"&lt;"&amp;$DF28,$AD28:$BA28)+SUMIF($BH$3:$CE$3,"&gt;"&amp;$CW$4,$AD28:$BA28)),
IF(CA$3=$DF28+'Model Setup'!$D$7,SUMIF($BH$3:$CE$3,"="&amp;$DF28+'Model Setup'!$D$7,$AD28:$BA28)+'Model Setup'!$D$8*(SUMIF($BH$3:$CE$3,"&lt;"&amp;$DF28,$AD28:$BA28)+SUMIF($BH$3:$CE$3,"&gt;"&amp;$CW$4,$AD28:$BA28)),
IF(CA$3=$DF28+'Model Setup'!$E$7,SUMIF($BH$3:$CE$3,"="&amp;$DF28+'Model Setup'!$E$7,$AD28:$BA28)+'Model Setup'!$E$8*(SUMIF($BH$3:$CE$3,"&lt;"&amp;$DF28,$AD28:$BA28)+SUMIF($BH$3:$CE$3,"&gt;"&amp;$CW$4,$AD28:$BA28)),
IF(CA$3=$DF28+'Model Setup'!$F$7,SUMIF($BH$3:$CE$3,"="&amp;$DF28+'Model Setup'!$F$7,$AD28:$BA28)+'Model Setup'!$F$8*(SUMIF($BH$3:$CE$3,"&lt;"&amp;$DF28,$AD28:$BA28)+SUMIF($BH$3:$CE$3,"&gt;"&amp;$CW$4,$AD28:$BA28)),
IF(CA$3=$DF28+'Model Setup'!$G$7,SUMIF($BH$3:$CE$3,"="&amp;$DF28+'Model Setup'!$G$7,$AD28:$BA28)+'Model Setup'!$G$8*(SUMIF($BH$3:$CE$3,"&lt;"&amp;$DF28,$AD28:$BA28)+SUMIF($BH$3:$CE$3,"&gt;"&amp;$CW$4,$AD28:$BA28)),
IF(CA$3=$DF28+'Model Setup'!$H$7,SUMIF($BH$3:$CE$3,"="&amp;$DF28+'Model Setup'!$H$7,$AD28:$BA28)+'Model Setup'!$H$8*(SUMIF($BH$3:$CE$3,"&lt;"&amp;$DF28,$AD28:$BA28)+SUMIF($BH$3:$CE$3,"&gt;"&amp;$CW$4,$AD28:$BA28)),
IF(CA$3=$DF28+'Model Setup'!$I$7,SUMIF($BH$3:$CE$3,"="&amp;$DF28+'Model Setup'!$I$7,$AD28:$BA28)+'Model Setup'!$I$8*(SUMIF($BH$3:$CE$3,"&lt;"&amp;$DF28,$AD28:$BA28)+SUMIF($BH$3:$CE$3,"&gt;"&amp;$CW$4,$AD28:$BA28)),
IF(CA$3=$DF28+'Model Setup'!$J$7,SUMIF($BH$3:$CE$3,"="&amp;$DF28+'Model Setup'!$J$7,$AD28:$BA28)+'Model Setup'!$J$8*(SUMIF($BH$3:$CE$3,"&lt;"&amp;$DF28,$AD28:$BA28)+SUMIF($BH$3:$CE$3,"&gt;"&amp;$CW$4,$AD28:$BA28)),
IF(CA$3=$DF28+'Model Setup'!$K$7,SUMIF($BH$3:$CE$3,"="&amp;$DF28+'Model Setup'!$K$7,$AD28:$BA28)+'Model Setup'!$K$8*(SUMIF($BH$3:$CE$3,"&lt;"&amp;$DF28,$AD28:$BA28)+SUMIF($BH$3:$CE$3,"&gt;"&amp;$CW$4,$AD28:$BA28)),
IF(CA$3=$DF28+'Model Setup'!$L$7,SUMIF($BH$3:$CE$3,"="&amp;$DF28+'Model Setup'!$L$7,$AD28:$BA28)+'Model Setup'!$L$8*(SUMIF($BH$3:$CE$3,"&lt;"&amp;$DF28,$AD28:$BA28)+SUMIF($BH$3:$CE$3,"&gt;"&amp;$CW$4,$AD28:$BA28)),
IF(CA$3=$DF28+'Model Setup'!$M$7,SUMIF($BH$3:$CE$3,"="&amp;$DF28+'Model Setup'!$M$7,$AD28:$BA28)+'Model Setup'!$M$8*(SUMIF($BH$3:$CE$3,"&lt;"&amp;$DF28,$AD28:$BA28)+SUMIF($BH$3:$CE$3,"&gt;"&amp;$CW$4,$AD28:$BA28)),
IF(CA$3=$DF28+'Model Setup'!$N$7,SUMIF($BH$3:$CE$3,"="&amp;$DF28+'Model Setup'!$N$7,$AD28:$BA28)+'Model Setup'!$N$8*(SUMIF($BH$3:$CE$3,"&lt;"&amp;$DF28,$AD28:$BA28)+SUMIF($BH$3:$CE$3,"&gt;"&amp;$CW$4,$AD28:$BA28)),
IF(CA$3&lt;$CW$4,U28,0))))))))))))))),0)</f>
        <v>0</v>
      </c>
      <c r="CB28" s="47">
        <f>ROUND(IF(OR(CB$3&lt;$DF28,CB$3&gt;$CW$4),0,
IF(CB$3=$DF28+'Model Setup'!$B$7,SUMIF($BH$3:$CE$3,"="&amp;$DF28+'Model Setup'!$B$7,$AD28:$BA28)+'Model Setup'!$B$8*(SUMIF($BH$3:$CE$3,"&lt;"&amp;$DF28,$AD28:$BA28)+SUMIF($BH$3:$CE$3,"&gt;"&amp;$CW$4,$AD28:$BA28)),
IF(CB$3=$DF28+'Model Setup'!$C$7,SUMIF($BH$3:$CE$3,"="&amp;$DF28+'Model Setup'!$C$7,$AD28:$BA28)+'Model Setup'!$C$8*(SUMIF($BH$3:$CE$3,"&lt;"&amp;$DF28,$AD28:$BA28)+SUMIF($BH$3:$CE$3,"&gt;"&amp;$CW$4,$AD28:$BA28)),
IF(CB$3=$DF28+'Model Setup'!$D$7,SUMIF($BH$3:$CE$3,"="&amp;$DF28+'Model Setup'!$D$7,$AD28:$BA28)+'Model Setup'!$D$8*(SUMIF($BH$3:$CE$3,"&lt;"&amp;$DF28,$AD28:$BA28)+SUMIF($BH$3:$CE$3,"&gt;"&amp;$CW$4,$AD28:$BA28)),
IF(CB$3=$DF28+'Model Setup'!$E$7,SUMIF($BH$3:$CE$3,"="&amp;$DF28+'Model Setup'!$E$7,$AD28:$BA28)+'Model Setup'!$E$8*(SUMIF($BH$3:$CE$3,"&lt;"&amp;$DF28,$AD28:$BA28)+SUMIF($BH$3:$CE$3,"&gt;"&amp;$CW$4,$AD28:$BA28)),
IF(CB$3=$DF28+'Model Setup'!$F$7,SUMIF($BH$3:$CE$3,"="&amp;$DF28+'Model Setup'!$F$7,$AD28:$BA28)+'Model Setup'!$F$8*(SUMIF($BH$3:$CE$3,"&lt;"&amp;$DF28,$AD28:$BA28)+SUMIF($BH$3:$CE$3,"&gt;"&amp;$CW$4,$AD28:$BA28)),
IF(CB$3=$DF28+'Model Setup'!$G$7,SUMIF($BH$3:$CE$3,"="&amp;$DF28+'Model Setup'!$G$7,$AD28:$BA28)+'Model Setup'!$G$8*(SUMIF($BH$3:$CE$3,"&lt;"&amp;$DF28,$AD28:$BA28)+SUMIF($BH$3:$CE$3,"&gt;"&amp;$CW$4,$AD28:$BA28)),
IF(CB$3=$DF28+'Model Setup'!$H$7,SUMIF($BH$3:$CE$3,"="&amp;$DF28+'Model Setup'!$H$7,$AD28:$BA28)+'Model Setup'!$H$8*(SUMIF($BH$3:$CE$3,"&lt;"&amp;$DF28,$AD28:$BA28)+SUMIF($BH$3:$CE$3,"&gt;"&amp;$CW$4,$AD28:$BA28)),
IF(CB$3=$DF28+'Model Setup'!$I$7,SUMIF($BH$3:$CE$3,"="&amp;$DF28+'Model Setup'!$I$7,$AD28:$BA28)+'Model Setup'!$I$8*(SUMIF($BH$3:$CE$3,"&lt;"&amp;$DF28,$AD28:$BA28)+SUMIF($BH$3:$CE$3,"&gt;"&amp;$CW$4,$AD28:$BA28)),
IF(CB$3=$DF28+'Model Setup'!$J$7,SUMIF($BH$3:$CE$3,"="&amp;$DF28+'Model Setup'!$J$7,$AD28:$BA28)+'Model Setup'!$J$8*(SUMIF($BH$3:$CE$3,"&lt;"&amp;$DF28,$AD28:$BA28)+SUMIF($BH$3:$CE$3,"&gt;"&amp;$CW$4,$AD28:$BA28)),
IF(CB$3=$DF28+'Model Setup'!$K$7,SUMIF($BH$3:$CE$3,"="&amp;$DF28+'Model Setup'!$K$7,$AD28:$BA28)+'Model Setup'!$K$8*(SUMIF($BH$3:$CE$3,"&lt;"&amp;$DF28,$AD28:$BA28)+SUMIF($BH$3:$CE$3,"&gt;"&amp;$CW$4,$AD28:$BA28)),
IF(CB$3=$DF28+'Model Setup'!$L$7,SUMIF($BH$3:$CE$3,"="&amp;$DF28+'Model Setup'!$L$7,$AD28:$BA28)+'Model Setup'!$L$8*(SUMIF($BH$3:$CE$3,"&lt;"&amp;$DF28,$AD28:$BA28)+SUMIF($BH$3:$CE$3,"&gt;"&amp;$CW$4,$AD28:$BA28)),
IF(CB$3=$DF28+'Model Setup'!$M$7,SUMIF($BH$3:$CE$3,"="&amp;$DF28+'Model Setup'!$M$7,$AD28:$BA28)+'Model Setup'!$M$8*(SUMIF($BH$3:$CE$3,"&lt;"&amp;$DF28,$AD28:$BA28)+SUMIF($BH$3:$CE$3,"&gt;"&amp;$CW$4,$AD28:$BA28)),
IF(CB$3=$DF28+'Model Setup'!$N$7,SUMIF($BH$3:$CE$3,"="&amp;$DF28+'Model Setup'!$N$7,$AD28:$BA28)+'Model Setup'!$N$8*(SUMIF($BH$3:$CE$3,"&lt;"&amp;$DF28,$AD28:$BA28)+SUMIF($BH$3:$CE$3,"&gt;"&amp;$CW$4,$AD28:$BA28)),
IF(CB$3&lt;$CW$4,V28,0))))))))))))))),0)</f>
        <v>0</v>
      </c>
      <c r="CC28" s="47">
        <f>ROUND(IF(OR(CC$3&lt;$DF28,CC$3&gt;$CW$4),0,
IF(CC$3=$DF28+'Model Setup'!$B$7,SUMIF($BH$3:$CE$3,"="&amp;$DF28+'Model Setup'!$B$7,$AD28:$BA28)+'Model Setup'!$B$8*(SUMIF($BH$3:$CE$3,"&lt;"&amp;$DF28,$AD28:$BA28)+SUMIF($BH$3:$CE$3,"&gt;"&amp;$CW$4,$AD28:$BA28)),
IF(CC$3=$DF28+'Model Setup'!$C$7,SUMIF($BH$3:$CE$3,"="&amp;$DF28+'Model Setup'!$C$7,$AD28:$BA28)+'Model Setup'!$C$8*(SUMIF($BH$3:$CE$3,"&lt;"&amp;$DF28,$AD28:$BA28)+SUMIF($BH$3:$CE$3,"&gt;"&amp;$CW$4,$AD28:$BA28)),
IF(CC$3=$DF28+'Model Setup'!$D$7,SUMIF($BH$3:$CE$3,"="&amp;$DF28+'Model Setup'!$D$7,$AD28:$BA28)+'Model Setup'!$D$8*(SUMIF($BH$3:$CE$3,"&lt;"&amp;$DF28,$AD28:$BA28)+SUMIF($BH$3:$CE$3,"&gt;"&amp;$CW$4,$AD28:$BA28)),
IF(CC$3=$DF28+'Model Setup'!$E$7,SUMIF($BH$3:$CE$3,"="&amp;$DF28+'Model Setup'!$E$7,$AD28:$BA28)+'Model Setup'!$E$8*(SUMIF($BH$3:$CE$3,"&lt;"&amp;$DF28,$AD28:$BA28)+SUMIF($BH$3:$CE$3,"&gt;"&amp;$CW$4,$AD28:$BA28)),
IF(CC$3=$DF28+'Model Setup'!$F$7,SUMIF($BH$3:$CE$3,"="&amp;$DF28+'Model Setup'!$F$7,$AD28:$BA28)+'Model Setup'!$F$8*(SUMIF($BH$3:$CE$3,"&lt;"&amp;$DF28,$AD28:$BA28)+SUMIF($BH$3:$CE$3,"&gt;"&amp;$CW$4,$AD28:$BA28)),
IF(CC$3=$DF28+'Model Setup'!$G$7,SUMIF($BH$3:$CE$3,"="&amp;$DF28+'Model Setup'!$G$7,$AD28:$BA28)+'Model Setup'!$G$8*(SUMIF($BH$3:$CE$3,"&lt;"&amp;$DF28,$AD28:$BA28)+SUMIF($BH$3:$CE$3,"&gt;"&amp;$CW$4,$AD28:$BA28)),
IF(CC$3=$DF28+'Model Setup'!$H$7,SUMIF($BH$3:$CE$3,"="&amp;$DF28+'Model Setup'!$H$7,$AD28:$BA28)+'Model Setup'!$H$8*(SUMIF($BH$3:$CE$3,"&lt;"&amp;$DF28,$AD28:$BA28)+SUMIF($BH$3:$CE$3,"&gt;"&amp;$CW$4,$AD28:$BA28)),
IF(CC$3=$DF28+'Model Setup'!$I$7,SUMIF($BH$3:$CE$3,"="&amp;$DF28+'Model Setup'!$I$7,$AD28:$BA28)+'Model Setup'!$I$8*(SUMIF($BH$3:$CE$3,"&lt;"&amp;$DF28,$AD28:$BA28)+SUMIF($BH$3:$CE$3,"&gt;"&amp;$CW$4,$AD28:$BA28)),
IF(CC$3=$DF28+'Model Setup'!$J$7,SUMIF($BH$3:$CE$3,"="&amp;$DF28+'Model Setup'!$J$7,$AD28:$BA28)+'Model Setup'!$J$8*(SUMIF($BH$3:$CE$3,"&lt;"&amp;$DF28,$AD28:$BA28)+SUMIF($BH$3:$CE$3,"&gt;"&amp;$CW$4,$AD28:$BA28)),
IF(CC$3=$DF28+'Model Setup'!$K$7,SUMIF($BH$3:$CE$3,"="&amp;$DF28+'Model Setup'!$K$7,$AD28:$BA28)+'Model Setup'!$K$8*(SUMIF($BH$3:$CE$3,"&lt;"&amp;$DF28,$AD28:$BA28)+SUMIF($BH$3:$CE$3,"&gt;"&amp;$CW$4,$AD28:$BA28)),
IF(CC$3=$DF28+'Model Setup'!$L$7,SUMIF($BH$3:$CE$3,"="&amp;$DF28+'Model Setup'!$L$7,$AD28:$BA28)+'Model Setup'!$L$8*(SUMIF($BH$3:$CE$3,"&lt;"&amp;$DF28,$AD28:$BA28)+SUMIF($BH$3:$CE$3,"&gt;"&amp;$CW$4,$AD28:$BA28)),
IF(CC$3=$DF28+'Model Setup'!$M$7,SUMIF($BH$3:$CE$3,"="&amp;$DF28+'Model Setup'!$M$7,$AD28:$BA28)+'Model Setup'!$M$8*(SUMIF($BH$3:$CE$3,"&lt;"&amp;$DF28,$AD28:$BA28)+SUMIF($BH$3:$CE$3,"&gt;"&amp;$CW$4,$AD28:$BA28)),
IF(CC$3=$DF28+'Model Setup'!$N$7,SUMIF($BH$3:$CE$3,"="&amp;$DF28+'Model Setup'!$N$7,$AD28:$BA28)+'Model Setup'!$N$8*(SUMIF($BH$3:$CE$3,"&lt;"&amp;$DF28,$AD28:$BA28)+SUMIF($BH$3:$CE$3,"&gt;"&amp;$CW$4,$AD28:$BA28)),
IF(CC$3&lt;$CW$4,W28,0))))))))))))))),0)</f>
        <v>0</v>
      </c>
      <c r="CD28" s="47">
        <f>ROUND(IF(OR(CD$3&lt;$DF28,CD$3&gt;$CW$4),0,
IF(CD$3=$DF28+'Model Setup'!$B$7,SUMIF($BH$3:$CE$3,"="&amp;$DF28+'Model Setup'!$B$7,$AD28:$BA28)+'Model Setup'!$B$8*(SUMIF($BH$3:$CE$3,"&lt;"&amp;$DF28,$AD28:$BA28)+SUMIF($BH$3:$CE$3,"&gt;"&amp;$CW$4,$AD28:$BA28)),
IF(CD$3=$DF28+'Model Setup'!$C$7,SUMIF($BH$3:$CE$3,"="&amp;$DF28+'Model Setup'!$C$7,$AD28:$BA28)+'Model Setup'!$C$8*(SUMIF($BH$3:$CE$3,"&lt;"&amp;$DF28,$AD28:$BA28)+SUMIF($BH$3:$CE$3,"&gt;"&amp;$CW$4,$AD28:$BA28)),
IF(CD$3=$DF28+'Model Setup'!$D$7,SUMIF($BH$3:$CE$3,"="&amp;$DF28+'Model Setup'!$D$7,$AD28:$BA28)+'Model Setup'!$D$8*(SUMIF($BH$3:$CE$3,"&lt;"&amp;$DF28,$AD28:$BA28)+SUMIF($BH$3:$CE$3,"&gt;"&amp;$CW$4,$AD28:$BA28)),
IF(CD$3=$DF28+'Model Setup'!$E$7,SUMIF($BH$3:$CE$3,"="&amp;$DF28+'Model Setup'!$E$7,$AD28:$BA28)+'Model Setup'!$E$8*(SUMIF($BH$3:$CE$3,"&lt;"&amp;$DF28,$AD28:$BA28)+SUMIF($BH$3:$CE$3,"&gt;"&amp;$CW$4,$AD28:$BA28)),
IF(CD$3=$DF28+'Model Setup'!$F$7,SUMIF($BH$3:$CE$3,"="&amp;$DF28+'Model Setup'!$F$7,$AD28:$BA28)+'Model Setup'!$F$8*(SUMIF($BH$3:$CE$3,"&lt;"&amp;$DF28,$AD28:$BA28)+SUMIF($BH$3:$CE$3,"&gt;"&amp;$CW$4,$AD28:$BA28)),
IF(CD$3=$DF28+'Model Setup'!$G$7,SUMIF($BH$3:$CE$3,"="&amp;$DF28+'Model Setup'!$G$7,$AD28:$BA28)+'Model Setup'!$G$8*(SUMIF($BH$3:$CE$3,"&lt;"&amp;$DF28,$AD28:$BA28)+SUMIF($BH$3:$CE$3,"&gt;"&amp;$CW$4,$AD28:$BA28)),
IF(CD$3=$DF28+'Model Setup'!$H$7,SUMIF($BH$3:$CE$3,"="&amp;$DF28+'Model Setup'!$H$7,$AD28:$BA28)+'Model Setup'!$H$8*(SUMIF($BH$3:$CE$3,"&lt;"&amp;$DF28,$AD28:$BA28)+SUMIF($BH$3:$CE$3,"&gt;"&amp;$CW$4,$AD28:$BA28)),
IF(CD$3=$DF28+'Model Setup'!$I$7,SUMIF($BH$3:$CE$3,"="&amp;$DF28+'Model Setup'!$I$7,$AD28:$BA28)+'Model Setup'!$I$8*(SUMIF($BH$3:$CE$3,"&lt;"&amp;$DF28,$AD28:$BA28)+SUMIF($BH$3:$CE$3,"&gt;"&amp;$CW$4,$AD28:$BA28)),
IF(CD$3=$DF28+'Model Setup'!$J$7,SUMIF($BH$3:$CE$3,"="&amp;$DF28+'Model Setup'!$J$7,$AD28:$BA28)+'Model Setup'!$J$8*(SUMIF($BH$3:$CE$3,"&lt;"&amp;$DF28,$AD28:$BA28)+SUMIF($BH$3:$CE$3,"&gt;"&amp;$CW$4,$AD28:$BA28)),
IF(CD$3=$DF28+'Model Setup'!$K$7,SUMIF($BH$3:$CE$3,"="&amp;$DF28+'Model Setup'!$K$7,$AD28:$BA28)+'Model Setup'!$K$8*(SUMIF($BH$3:$CE$3,"&lt;"&amp;$DF28,$AD28:$BA28)+SUMIF($BH$3:$CE$3,"&gt;"&amp;$CW$4,$AD28:$BA28)),
IF(CD$3=$DF28+'Model Setup'!$L$7,SUMIF($BH$3:$CE$3,"="&amp;$DF28+'Model Setup'!$L$7,$AD28:$BA28)+'Model Setup'!$L$8*(SUMIF($BH$3:$CE$3,"&lt;"&amp;$DF28,$AD28:$BA28)+SUMIF($BH$3:$CE$3,"&gt;"&amp;$CW$4,$AD28:$BA28)),
IF(CD$3=$DF28+'Model Setup'!$M$7,SUMIF($BH$3:$CE$3,"="&amp;$DF28+'Model Setup'!$M$7,$AD28:$BA28)+'Model Setup'!$M$8*(SUMIF($BH$3:$CE$3,"&lt;"&amp;$DF28,$AD28:$BA28)+SUMIF($BH$3:$CE$3,"&gt;"&amp;$CW$4,$AD28:$BA28)),
IF(CD$3=$DF28+'Model Setup'!$N$7,SUMIF($BH$3:$CE$3,"="&amp;$DF28+'Model Setup'!$N$7,$AD28:$BA28)+'Model Setup'!$N$8*(SUMIF($BH$3:$CE$3,"&lt;"&amp;$DF28,$AD28:$BA28)+SUMIF($BH$3:$CE$3,"&gt;"&amp;$CW$4,$AD28:$BA28)),
IF(CD$3&lt;$CW$4,X28,0))))))))))))))),0)</f>
        <v>0</v>
      </c>
      <c r="CE28" s="47">
        <f>ROUND(IF(OR(CE$3&lt;$DF28,CE$3&gt;$CW$4),0,
IF(CE$3=$DF28+'Model Setup'!$B$7,SUMIF($BH$3:$CE$3,"="&amp;$DF28+'Model Setup'!$B$7,$AD28:$BA28)+'Model Setup'!$B$8*(SUMIF($BH$3:$CE$3,"&lt;"&amp;$DF28,$AD28:$BA28)+SUMIF($BH$3:$CE$3,"&gt;"&amp;$CW$4,$AD28:$BA28)),
IF(CE$3=$DF28+'Model Setup'!$C$7,SUMIF($BH$3:$CE$3,"="&amp;$DF28+'Model Setup'!$C$7,$AD28:$BA28)+'Model Setup'!$C$8*(SUMIF($BH$3:$CE$3,"&lt;"&amp;$DF28,$AD28:$BA28)+SUMIF($BH$3:$CE$3,"&gt;"&amp;$CW$4,$AD28:$BA28)),
IF(CE$3=$DF28+'Model Setup'!$D$7,SUMIF($BH$3:$CE$3,"="&amp;$DF28+'Model Setup'!$D$7,$AD28:$BA28)+'Model Setup'!$D$8*(SUMIF($BH$3:$CE$3,"&lt;"&amp;$DF28,$AD28:$BA28)+SUMIF($BH$3:$CE$3,"&gt;"&amp;$CW$4,$AD28:$BA28)),
IF(CE$3=$DF28+'Model Setup'!$E$7,SUMIF($BH$3:$CE$3,"="&amp;$DF28+'Model Setup'!$E$7,$AD28:$BA28)+'Model Setup'!$E$8*(SUMIF($BH$3:$CE$3,"&lt;"&amp;$DF28,$AD28:$BA28)+SUMIF($BH$3:$CE$3,"&gt;"&amp;$CW$4,$AD28:$BA28)),
IF(CE$3=$DF28+'Model Setup'!$F$7,SUMIF($BH$3:$CE$3,"="&amp;$DF28+'Model Setup'!$F$7,$AD28:$BA28)+'Model Setup'!$F$8*(SUMIF($BH$3:$CE$3,"&lt;"&amp;$DF28,$AD28:$BA28)+SUMIF($BH$3:$CE$3,"&gt;"&amp;$CW$4,$AD28:$BA28)),
IF(CE$3=$DF28+'Model Setup'!$G$7,SUMIF($BH$3:$CE$3,"="&amp;$DF28+'Model Setup'!$G$7,$AD28:$BA28)+'Model Setup'!$G$8*(SUMIF($BH$3:$CE$3,"&lt;"&amp;$DF28,$AD28:$BA28)+SUMIF($BH$3:$CE$3,"&gt;"&amp;$CW$4,$AD28:$BA28)),
IF(CE$3=$DF28+'Model Setup'!$H$7,SUMIF($BH$3:$CE$3,"="&amp;$DF28+'Model Setup'!$H$7,$AD28:$BA28)+'Model Setup'!$H$8*(SUMIF($BH$3:$CE$3,"&lt;"&amp;$DF28,$AD28:$BA28)+SUMIF($BH$3:$CE$3,"&gt;"&amp;$CW$4,$AD28:$BA28)),
IF(CE$3=$DF28+'Model Setup'!$I$7,SUMIF($BH$3:$CE$3,"="&amp;$DF28+'Model Setup'!$I$7,$AD28:$BA28)+'Model Setup'!$I$8*(SUMIF($BH$3:$CE$3,"&lt;"&amp;$DF28,$AD28:$BA28)+SUMIF($BH$3:$CE$3,"&gt;"&amp;$CW$4,$AD28:$BA28)),
IF(CE$3=$DF28+'Model Setup'!$J$7,SUMIF($BH$3:$CE$3,"="&amp;$DF28+'Model Setup'!$J$7,$AD28:$BA28)+'Model Setup'!$J$8*(SUMIF($BH$3:$CE$3,"&lt;"&amp;$DF28,$AD28:$BA28)+SUMIF($BH$3:$CE$3,"&gt;"&amp;$CW$4,$AD28:$BA28)),
IF(CE$3=$DF28+'Model Setup'!$K$7,SUMIF($BH$3:$CE$3,"="&amp;$DF28+'Model Setup'!$K$7,$AD28:$BA28)+'Model Setup'!$K$8*(SUMIF($BH$3:$CE$3,"&lt;"&amp;$DF28,$AD28:$BA28)+SUMIF($BH$3:$CE$3,"&gt;"&amp;$CW$4,$AD28:$BA28)),
IF(CE$3=$DF28+'Model Setup'!$L$7,SUMIF($BH$3:$CE$3,"="&amp;$DF28+'Model Setup'!$L$7,$AD28:$BA28)+'Model Setup'!$L$8*(SUMIF($BH$3:$CE$3,"&lt;"&amp;$DF28,$AD28:$BA28)+SUMIF($BH$3:$CE$3,"&gt;"&amp;$CW$4,$AD28:$BA28)),
IF(CE$3=$DF28+'Model Setup'!$M$7,SUMIF($BH$3:$CE$3,"="&amp;$DF28+'Model Setup'!$M$7,$AD28:$BA28)+'Model Setup'!$M$8*(SUMIF($BH$3:$CE$3,"&lt;"&amp;$DF28,$AD28:$BA28)+SUMIF($BH$3:$CE$3,"&gt;"&amp;$CW$4,$AD28:$BA28)),
IF(CE$3=$DF28+'Model Setup'!$N$7,SUMIF($BH$3:$CE$3,"="&amp;$DF28+'Model Setup'!$N$7,$AD28:$BA28)+'Model Setup'!$N$8*(SUMIF($BH$3:$CE$3,"&lt;"&amp;$DF28,$AD28:$BA28)+SUMIF($BH$3:$CE$3,"&gt;"&amp;$CW$4,$AD28:$BA28)),
IF(CE$3&lt;$CW$4,Y28,0))))))))))))))),0)</f>
        <v>0</v>
      </c>
      <c r="CF28" s="47">
        <f t="shared" si="3"/>
        <v>590</v>
      </c>
      <c r="CG28" s="47">
        <f t="shared" si="4"/>
        <v>-11</v>
      </c>
      <c r="CI28" s="10" t="s">
        <v>43</v>
      </c>
      <c r="CJ28" s="126">
        <f t="shared" si="9"/>
        <v>0</v>
      </c>
      <c r="CK28" s="126">
        <f t="shared" si="10"/>
        <v>0</v>
      </c>
      <c r="CL28" s="126">
        <f t="shared" si="11"/>
        <v>69</v>
      </c>
      <c r="CM28" s="126">
        <f t="shared" si="12"/>
        <v>85</v>
      </c>
      <c r="CN28" s="126">
        <f t="shared" si="13"/>
        <v>61</v>
      </c>
      <c r="CO28" s="126">
        <f t="shared" si="14"/>
        <v>80</v>
      </c>
      <c r="CP28" s="126">
        <f t="shared" si="15"/>
        <v>51</v>
      </c>
      <c r="CQ28" s="126">
        <f t="shared" si="16"/>
        <v>34</v>
      </c>
      <c r="CR28" s="126">
        <f t="shared" si="17"/>
        <v>33</v>
      </c>
      <c r="CS28" s="126">
        <f t="shared" si="18"/>
        <v>26</v>
      </c>
      <c r="CT28" s="126">
        <f t="shared" si="19"/>
        <v>22</v>
      </c>
      <c r="CU28" s="126">
        <f t="shared" si="20"/>
        <v>13</v>
      </c>
      <c r="CV28" s="126">
        <f t="shared" si="21"/>
        <v>40</v>
      </c>
      <c r="CW28" s="126">
        <f t="shared" si="22"/>
        <v>50</v>
      </c>
      <c r="CX28" s="126">
        <f t="shared" si="23"/>
        <v>37</v>
      </c>
      <c r="CY28" s="126">
        <f t="shared" si="24"/>
        <v>0</v>
      </c>
      <c r="CZ28" s="47">
        <f t="shared" si="7"/>
        <v>564</v>
      </c>
      <c r="DC28" s="93" t="s">
        <v>43</v>
      </c>
      <c r="DD28" s="89">
        <f>FTC!E26</f>
        <v>0.29166666666666669</v>
      </c>
      <c r="DE28" s="89">
        <f>FTC!F26</f>
        <v>0.79166666666666663</v>
      </c>
      <c r="DF28" s="90">
        <f t="shared" si="25"/>
        <v>7</v>
      </c>
      <c r="DG28" s="91">
        <f t="shared" si="26"/>
        <v>19</v>
      </c>
      <c r="DH28" s="91">
        <f t="shared" si="27"/>
        <v>12</v>
      </c>
    </row>
    <row r="29" spans="1:112" x14ac:dyDescent="0.35">
      <c r="A29" s="43" t="s">
        <v>44</v>
      </c>
      <c r="B29" s="47">
        <v>3</v>
      </c>
      <c r="C29" s="47">
        <v>1</v>
      </c>
      <c r="D29" s="47">
        <v>4</v>
      </c>
      <c r="E29" s="47">
        <v>3</v>
      </c>
      <c r="F29" s="47">
        <v>4</v>
      </c>
      <c r="G29" s="47">
        <v>8</v>
      </c>
      <c r="H29" s="47">
        <v>71</v>
      </c>
      <c r="I29" s="47">
        <v>52</v>
      </c>
      <c r="J29" s="47">
        <v>78</v>
      </c>
      <c r="K29" s="47">
        <v>68</v>
      </c>
      <c r="L29" s="47">
        <v>55</v>
      </c>
      <c r="M29" s="47">
        <v>49</v>
      </c>
      <c r="N29" s="47">
        <v>35</v>
      </c>
      <c r="O29" s="47">
        <v>35</v>
      </c>
      <c r="P29" s="47">
        <v>33</v>
      </c>
      <c r="Q29" s="47">
        <v>22</v>
      </c>
      <c r="R29" s="47">
        <v>17</v>
      </c>
      <c r="S29" s="47">
        <v>12</v>
      </c>
      <c r="T29" s="47">
        <v>7</v>
      </c>
      <c r="U29" s="47">
        <v>5</v>
      </c>
      <c r="V29" s="47">
        <v>2</v>
      </c>
      <c r="W29" s="47">
        <v>6</v>
      </c>
      <c r="X29" s="47">
        <v>5</v>
      </c>
      <c r="Y29" s="47">
        <v>3</v>
      </c>
      <c r="Z29" s="47">
        <f t="shared" si="0"/>
        <v>578</v>
      </c>
      <c r="AC29" s="43" t="s">
        <v>44</v>
      </c>
      <c r="AD29" s="47">
        <f>ROUND(IF(AD$3&lt;$DF29,0,
IF(AD$3=$DF29+'Model Setup'!$B$7,SUMIF($AD$3:$BA$3,"="&amp;$DF29+'Model Setup'!$B$7,$B29:$Y29)+'Model Setup'!$B$8*(SUMIF($AD$3:$BA$3,"&lt;"&amp;$DF29,$B29:$Y29)+SUMIF($AD$3:$BA$3,"&gt;="&amp;$DG29,$B29:$Y29)),
IF(AD$3=$DF29+'Model Setup'!$C$7,SUMIF($AD$3:$BA$3,"="&amp;$DF29+'Model Setup'!$C$7,$B29:$Y29)+'Model Setup'!$C$8*(SUMIF($AD$3:$BA$3,"&lt;"&amp;$DF29,$B29:$Y29)+SUMIF($AD$3:$BA$3,"&gt;="&amp;$DG29,$B29:$Y29)),
IF(AD$3=$DF29+'Model Setup'!$D$7,SUMIF($AD$3:$BA$3,"="&amp;$DF29+'Model Setup'!$D$7,$B29:$Y29)+'Model Setup'!$D$8*(SUMIF($AD$3:$BA$3,"&lt;"&amp;$DF29,$B29:$Y29)+SUMIF($AD$3:$BA$3,"&gt;="&amp;$DG29,$B29:$Y29)),
IF(AD$3=$DF29+'Model Setup'!$E$7,SUMIF($AD$3:$BA$3,"="&amp;$DF29+'Model Setup'!$E$7,$B29:$Y29)+'Model Setup'!$E$8*(SUMIF($AD$3:$BA$3,"&lt;"&amp;$DF29,$B29:$Y29)+SUMIF($AD$3:$BA$3,"&gt;="&amp;$DG29,$B29:$Y29)),
IF(AD$3=$DF29+'Model Setup'!$F$7,SUMIF($AD$3:$BA$3,"="&amp;$DF29+'Model Setup'!$F$7,$B29:$Y29)+'Model Setup'!$F$8*(SUMIF($AD$3:$BA$3,"&lt;"&amp;$DF29,$B29:$Y29)+SUMIF($AD$3:$BA$3,"&gt;="&amp;$DG29,$B29:$Y29)),
IF(AD$3=$DF29+'Model Setup'!$G$7,SUMIF($AD$3:$BA$3,"="&amp;$DF29+'Model Setup'!$G$7,$B29:$Y29)+'Model Setup'!$G$8*(SUMIF($AD$3:$BA$3,"&lt;"&amp;$DF29,$B29:$Y29)+SUMIF($AD$3:$BA$3,"&gt;="&amp;$DG29,$B29:$Y29)),
IF(AD$3=$DF29+'Model Setup'!$H$7,SUMIF($AD$3:$BA$3,"="&amp;$DF29+'Model Setup'!$H$7,$B29:$Y29)+'Model Setup'!$H$8*(SUMIF($AD$3:$BA$3,"&lt;"&amp;$DF29,$B29:$Y29)+SUMIF($AD$3:$BA$3,"&gt;="&amp;$DG29,$B29:$Y29)),
IF(AD$3=$DF29+'Model Setup'!$I$7,SUMIF($AD$3:$BA$3,"="&amp;$DF29+'Model Setup'!$I$7,$B29:$Y29)+'Model Setup'!$I$8*(SUMIF($AD$3:$BA$3,"&lt;"&amp;$DF29,$B29:$Y29)+SUMIF($AD$3:$BA$3,"&gt;="&amp;$DG29,$B29:$Y29)),
IF(AD$3=$DF29+'Model Setup'!$J$7,SUMIF($AD$3:$BA$3,"="&amp;$DF29+'Model Setup'!$J$7,$B29:$Y29)+'Model Setup'!$J$8*(SUMIF($AD$3:$BA$3,"&lt;"&amp;$DF29,$B29:$Y29)+SUMIF($AD$3:$BA$3,"&gt;="&amp;$DG29,$B29:$Y29)),
IF(AD$3=$DF29+'Model Setup'!$K$7,SUMIF($AD$3:$BA$3,"="&amp;$DF29+'Model Setup'!$K$7,$B29:$Y29)+'Model Setup'!$K$8*(SUMIF($AD$3:$BA$3,"&lt;"&amp;$DF29,$B29:$Y29)+SUMIF($AD$3:$BA$3,"&gt;="&amp;$DG29,$B29:$Y29)),
IF(AD$3=$DF29+'Model Setup'!$L$7,SUMIF($AD$3:$BA$3,"="&amp;$DF29+'Model Setup'!$L$7,$B29:$Y29)+'Model Setup'!$L$8*(SUMIF($AD$3:$BA$3,"&lt;"&amp;$DF29,$B29:$Y29)+SUMIF($AD$3:$BA$3,"&gt;="&amp;$DG29,$B29:$Y29)),
IF(AD$3=$DF29+'Model Setup'!$M$7,SUMIF($AD$3:$BA$3,"="&amp;$DF29+'Model Setup'!$M$7,$B29:$Y29)+'Model Setup'!$M$8*(SUMIF($AD$3:$BA$3,"&lt;"&amp;$DF29,$B29:$Y29)+SUMIF($AD$3:$BA$3,"&gt;="&amp;$DG29,$B29:$Y29)),
IF(AD$3=$DF29+'Model Setup'!$N$7,SUMIF($AD$3:$BA$3,"="&amp;$DF29+'Model Setup'!$N$7,$B29:$Y29)+'Model Setup'!$N$8*(SUMIF($AD$3:$BA$3,"&lt;"&amp;$DF29,$B29:$Y29)+SUMIF($AD$3:$BA$3,"&gt;="&amp;$DG29,$B29:$Y29)),
IF(AD$3&lt;$DG29,B29,0))))))))))))))),0)</f>
        <v>0</v>
      </c>
      <c r="AE29" s="47">
        <f>ROUND(IF(AE$3&lt;$DF29,0,
IF(AE$3=$DF29+'Model Setup'!$B$7,SUMIF($AD$3:$BA$3,"="&amp;$DF29+'Model Setup'!$B$7,$B29:$Y29)+'Model Setup'!$B$8*(SUMIF($AD$3:$BA$3,"&lt;"&amp;$DF29,$B29:$Y29)+SUMIF($AD$3:$BA$3,"&gt;="&amp;$DG29,$B29:$Y29)),
IF(AE$3=$DF29+'Model Setup'!$C$7,SUMIF($AD$3:$BA$3,"="&amp;$DF29+'Model Setup'!$C$7,$B29:$Y29)+'Model Setup'!$C$8*(SUMIF($AD$3:$BA$3,"&lt;"&amp;$DF29,$B29:$Y29)+SUMIF($AD$3:$BA$3,"&gt;="&amp;$DG29,$B29:$Y29)),
IF(AE$3=$DF29+'Model Setup'!$D$7,SUMIF($AD$3:$BA$3,"="&amp;$DF29+'Model Setup'!$D$7,$B29:$Y29)+'Model Setup'!$D$8*(SUMIF($AD$3:$BA$3,"&lt;"&amp;$DF29,$B29:$Y29)+SUMIF($AD$3:$BA$3,"&gt;="&amp;$DG29,$B29:$Y29)),
IF(AE$3=$DF29+'Model Setup'!$E$7,SUMIF($AD$3:$BA$3,"="&amp;$DF29+'Model Setup'!$E$7,$B29:$Y29)+'Model Setup'!$E$8*(SUMIF($AD$3:$BA$3,"&lt;"&amp;$DF29,$B29:$Y29)+SUMIF($AD$3:$BA$3,"&gt;="&amp;$DG29,$B29:$Y29)),
IF(AE$3=$DF29+'Model Setup'!$F$7,SUMIF($AD$3:$BA$3,"="&amp;$DF29+'Model Setup'!$F$7,$B29:$Y29)+'Model Setup'!$F$8*(SUMIF($AD$3:$BA$3,"&lt;"&amp;$DF29,$B29:$Y29)+SUMIF($AD$3:$BA$3,"&gt;="&amp;$DG29,$B29:$Y29)),
IF(AE$3=$DF29+'Model Setup'!$G$7,SUMIF($AD$3:$BA$3,"="&amp;$DF29+'Model Setup'!$G$7,$B29:$Y29)+'Model Setup'!$G$8*(SUMIF($AD$3:$BA$3,"&lt;"&amp;$DF29,$B29:$Y29)+SUMIF($AD$3:$BA$3,"&gt;="&amp;$DG29,$B29:$Y29)),
IF(AE$3=$DF29+'Model Setup'!$H$7,SUMIF($AD$3:$BA$3,"="&amp;$DF29+'Model Setup'!$H$7,$B29:$Y29)+'Model Setup'!$H$8*(SUMIF($AD$3:$BA$3,"&lt;"&amp;$DF29,$B29:$Y29)+SUMIF($AD$3:$BA$3,"&gt;="&amp;$DG29,$B29:$Y29)),
IF(AE$3=$DF29+'Model Setup'!$I$7,SUMIF($AD$3:$BA$3,"="&amp;$DF29+'Model Setup'!$I$7,$B29:$Y29)+'Model Setup'!$I$8*(SUMIF($AD$3:$BA$3,"&lt;"&amp;$DF29,$B29:$Y29)+SUMIF($AD$3:$BA$3,"&gt;="&amp;$DG29,$B29:$Y29)),
IF(AE$3=$DF29+'Model Setup'!$J$7,SUMIF($AD$3:$BA$3,"="&amp;$DF29+'Model Setup'!$J$7,$B29:$Y29)+'Model Setup'!$J$8*(SUMIF($AD$3:$BA$3,"&lt;"&amp;$DF29,$B29:$Y29)+SUMIF($AD$3:$BA$3,"&gt;="&amp;$DG29,$B29:$Y29)),
IF(AE$3=$DF29+'Model Setup'!$K$7,SUMIF($AD$3:$BA$3,"="&amp;$DF29+'Model Setup'!$K$7,$B29:$Y29)+'Model Setup'!$K$8*(SUMIF($AD$3:$BA$3,"&lt;"&amp;$DF29,$B29:$Y29)+SUMIF($AD$3:$BA$3,"&gt;="&amp;$DG29,$B29:$Y29)),
IF(AE$3=$DF29+'Model Setup'!$L$7,SUMIF($AD$3:$BA$3,"="&amp;$DF29+'Model Setup'!$L$7,$B29:$Y29)+'Model Setup'!$L$8*(SUMIF($AD$3:$BA$3,"&lt;"&amp;$DF29,$B29:$Y29)+SUMIF($AD$3:$BA$3,"&gt;="&amp;$DG29,$B29:$Y29)),
IF(AE$3=$DF29+'Model Setup'!$M$7,SUMIF($AD$3:$BA$3,"="&amp;$DF29+'Model Setup'!$M$7,$B29:$Y29)+'Model Setup'!$M$8*(SUMIF($AD$3:$BA$3,"&lt;"&amp;$DF29,$B29:$Y29)+SUMIF($AD$3:$BA$3,"&gt;="&amp;$DG29,$B29:$Y29)),
IF(AE$3=$DF29+'Model Setup'!$N$7,SUMIF($AD$3:$BA$3,"="&amp;$DF29+'Model Setup'!$N$7,$B29:$Y29)+'Model Setup'!$N$8*(SUMIF($AD$3:$BA$3,"&lt;"&amp;$DF29,$B29:$Y29)+SUMIF($AD$3:$BA$3,"&gt;="&amp;$DG29,$B29:$Y29)),
IF(AE$3&lt;$DG29,C29,0))))))))))))))),0)</f>
        <v>0</v>
      </c>
      <c r="AF29" s="47">
        <f>ROUND(IF(AF$3&lt;$DF29,0,
IF(AF$3=$DF29+'Model Setup'!$B$7,SUMIF($AD$3:$BA$3,"="&amp;$DF29+'Model Setup'!$B$7,$B29:$Y29)+'Model Setup'!$B$8*(SUMIF($AD$3:$BA$3,"&lt;"&amp;$DF29,$B29:$Y29)+SUMIF($AD$3:$BA$3,"&gt;="&amp;$DG29,$B29:$Y29)),
IF(AF$3=$DF29+'Model Setup'!$C$7,SUMIF($AD$3:$BA$3,"="&amp;$DF29+'Model Setup'!$C$7,$B29:$Y29)+'Model Setup'!$C$8*(SUMIF($AD$3:$BA$3,"&lt;"&amp;$DF29,$B29:$Y29)+SUMIF($AD$3:$BA$3,"&gt;="&amp;$DG29,$B29:$Y29)),
IF(AF$3=$DF29+'Model Setup'!$D$7,SUMIF($AD$3:$BA$3,"="&amp;$DF29+'Model Setup'!$D$7,$B29:$Y29)+'Model Setup'!$D$8*(SUMIF($AD$3:$BA$3,"&lt;"&amp;$DF29,$B29:$Y29)+SUMIF($AD$3:$BA$3,"&gt;="&amp;$DG29,$B29:$Y29)),
IF(AF$3=$DF29+'Model Setup'!$E$7,SUMIF($AD$3:$BA$3,"="&amp;$DF29+'Model Setup'!$E$7,$B29:$Y29)+'Model Setup'!$E$8*(SUMIF($AD$3:$BA$3,"&lt;"&amp;$DF29,$B29:$Y29)+SUMIF($AD$3:$BA$3,"&gt;="&amp;$DG29,$B29:$Y29)),
IF(AF$3=$DF29+'Model Setup'!$F$7,SUMIF($AD$3:$BA$3,"="&amp;$DF29+'Model Setup'!$F$7,$B29:$Y29)+'Model Setup'!$F$8*(SUMIF($AD$3:$BA$3,"&lt;"&amp;$DF29,$B29:$Y29)+SUMIF($AD$3:$BA$3,"&gt;="&amp;$DG29,$B29:$Y29)),
IF(AF$3=$DF29+'Model Setup'!$G$7,SUMIF($AD$3:$BA$3,"="&amp;$DF29+'Model Setup'!$G$7,$B29:$Y29)+'Model Setup'!$G$8*(SUMIF($AD$3:$BA$3,"&lt;"&amp;$DF29,$B29:$Y29)+SUMIF($AD$3:$BA$3,"&gt;="&amp;$DG29,$B29:$Y29)),
IF(AF$3=$DF29+'Model Setup'!$H$7,SUMIF($AD$3:$BA$3,"="&amp;$DF29+'Model Setup'!$H$7,$B29:$Y29)+'Model Setup'!$H$8*(SUMIF($AD$3:$BA$3,"&lt;"&amp;$DF29,$B29:$Y29)+SUMIF($AD$3:$BA$3,"&gt;="&amp;$DG29,$B29:$Y29)),
IF(AF$3=$DF29+'Model Setup'!$I$7,SUMIF($AD$3:$BA$3,"="&amp;$DF29+'Model Setup'!$I$7,$B29:$Y29)+'Model Setup'!$I$8*(SUMIF($AD$3:$BA$3,"&lt;"&amp;$DF29,$B29:$Y29)+SUMIF($AD$3:$BA$3,"&gt;="&amp;$DG29,$B29:$Y29)),
IF(AF$3=$DF29+'Model Setup'!$J$7,SUMIF($AD$3:$BA$3,"="&amp;$DF29+'Model Setup'!$J$7,$B29:$Y29)+'Model Setup'!$J$8*(SUMIF($AD$3:$BA$3,"&lt;"&amp;$DF29,$B29:$Y29)+SUMIF($AD$3:$BA$3,"&gt;="&amp;$DG29,$B29:$Y29)),
IF(AF$3=$DF29+'Model Setup'!$K$7,SUMIF($AD$3:$BA$3,"="&amp;$DF29+'Model Setup'!$K$7,$B29:$Y29)+'Model Setup'!$K$8*(SUMIF($AD$3:$BA$3,"&lt;"&amp;$DF29,$B29:$Y29)+SUMIF($AD$3:$BA$3,"&gt;="&amp;$DG29,$B29:$Y29)),
IF(AF$3=$DF29+'Model Setup'!$L$7,SUMIF($AD$3:$BA$3,"="&amp;$DF29+'Model Setup'!$L$7,$B29:$Y29)+'Model Setup'!$L$8*(SUMIF($AD$3:$BA$3,"&lt;"&amp;$DF29,$B29:$Y29)+SUMIF($AD$3:$BA$3,"&gt;="&amp;$DG29,$B29:$Y29)),
IF(AF$3=$DF29+'Model Setup'!$M$7,SUMIF($AD$3:$BA$3,"="&amp;$DF29+'Model Setup'!$M$7,$B29:$Y29)+'Model Setup'!$M$8*(SUMIF($AD$3:$BA$3,"&lt;"&amp;$DF29,$B29:$Y29)+SUMIF($AD$3:$BA$3,"&gt;="&amp;$DG29,$B29:$Y29)),
IF(AF$3=$DF29+'Model Setup'!$N$7,SUMIF($AD$3:$BA$3,"="&amp;$DF29+'Model Setup'!$N$7,$B29:$Y29)+'Model Setup'!$N$8*(SUMIF($AD$3:$BA$3,"&lt;"&amp;$DF29,$B29:$Y29)+SUMIF($AD$3:$BA$3,"&gt;="&amp;$DG29,$B29:$Y29)),
IF(AF$3&lt;$DG29,D29,0))))))))))))))),0)</f>
        <v>0</v>
      </c>
      <c r="AG29" s="47">
        <f>ROUND(IF(AG$3&lt;$DF29,0,
IF(AG$3=$DF29+'Model Setup'!$B$7,SUMIF($AD$3:$BA$3,"="&amp;$DF29+'Model Setup'!$B$7,$B29:$Y29)+'Model Setup'!$B$8*(SUMIF($AD$3:$BA$3,"&lt;"&amp;$DF29,$B29:$Y29)+SUMIF($AD$3:$BA$3,"&gt;="&amp;$DG29,$B29:$Y29)),
IF(AG$3=$DF29+'Model Setup'!$C$7,SUMIF($AD$3:$BA$3,"="&amp;$DF29+'Model Setup'!$C$7,$B29:$Y29)+'Model Setup'!$C$8*(SUMIF($AD$3:$BA$3,"&lt;"&amp;$DF29,$B29:$Y29)+SUMIF($AD$3:$BA$3,"&gt;="&amp;$DG29,$B29:$Y29)),
IF(AG$3=$DF29+'Model Setup'!$D$7,SUMIF($AD$3:$BA$3,"="&amp;$DF29+'Model Setup'!$D$7,$B29:$Y29)+'Model Setup'!$D$8*(SUMIF($AD$3:$BA$3,"&lt;"&amp;$DF29,$B29:$Y29)+SUMIF($AD$3:$BA$3,"&gt;="&amp;$DG29,$B29:$Y29)),
IF(AG$3=$DF29+'Model Setup'!$E$7,SUMIF($AD$3:$BA$3,"="&amp;$DF29+'Model Setup'!$E$7,$B29:$Y29)+'Model Setup'!$E$8*(SUMIF($AD$3:$BA$3,"&lt;"&amp;$DF29,$B29:$Y29)+SUMIF($AD$3:$BA$3,"&gt;="&amp;$DG29,$B29:$Y29)),
IF(AG$3=$DF29+'Model Setup'!$F$7,SUMIF($AD$3:$BA$3,"="&amp;$DF29+'Model Setup'!$F$7,$B29:$Y29)+'Model Setup'!$F$8*(SUMIF($AD$3:$BA$3,"&lt;"&amp;$DF29,$B29:$Y29)+SUMIF($AD$3:$BA$3,"&gt;="&amp;$DG29,$B29:$Y29)),
IF(AG$3=$DF29+'Model Setup'!$G$7,SUMIF($AD$3:$BA$3,"="&amp;$DF29+'Model Setup'!$G$7,$B29:$Y29)+'Model Setup'!$G$8*(SUMIF($AD$3:$BA$3,"&lt;"&amp;$DF29,$B29:$Y29)+SUMIF($AD$3:$BA$3,"&gt;="&amp;$DG29,$B29:$Y29)),
IF(AG$3=$DF29+'Model Setup'!$H$7,SUMIF($AD$3:$BA$3,"="&amp;$DF29+'Model Setup'!$H$7,$B29:$Y29)+'Model Setup'!$H$8*(SUMIF($AD$3:$BA$3,"&lt;"&amp;$DF29,$B29:$Y29)+SUMIF($AD$3:$BA$3,"&gt;="&amp;$DG29,$B29:$Y29)),
IF(AG$3=$DF29+'Model Setup'!$I$7,SUMIF($AD$3:$BA$3,"="&amp;$DF29+'Model Setup'!$I$7,$B29:$Y29)+'Model Setup'!$I$8*(SUMIF($AD$3:$BA$3,"&lt;"&amp;$DF29,$B29:$Y29)+SUMIF($AD$3:$BA$3,"&gt;="&amp;$DG29,$B29:$Y29)),
IF(AG$3=$DF29+'Model Setup'!$J$7,SUMIF($AD$3:$BA$3,"="&amp;$DF29+'Model Setup'!$J$7,$B29:$Y29)+'Model Setup'!$J$8*(SUMIF($AD$3:$BA$3,"&lt;"&amp;$DF29,$B29:$Y29)+SUMIF($AD$3:$BA$3,"&gt;="&amp;$DG29,$B29:$Y29)),
IF(AG$3=$DF29+'Model Setup'!$K$7,SUMIF($AD$3:$BA$3,"="&amp;$DF29+'Model Setup'!$K$7,$B29:$Y29)+'Model Setup'!$K$8*(SUMIF($AD$3:$BA$3,"&lt;"&amp;$DF29,$B29:$Y29)+SUMIF($AD$3:$BA$3,"&gt;="&amp;$DG29,$B29:$Y29)),
IF(AG$3=$DF29+'Model Setup'!$L$7,SUMIF($AD$3:$BA$3,"="&amp;$DF29+'Model Setup'!$L$7,$B29:$Y29)+'Model Setup'!$L$8*(SUMIF($AD$3:$BA$3,"&lt;"&amp;$DF29,$B29:$Y29)+SUMIF($AD$3:$BA$3,"&gt;="&amp;$DG29,$B29:$Y29)),
IF(AG$3=$DF29+'Model Setup'!$M$7,SUMIF($AD$3:$BA$3,"="&amp;$DF29+'Model Setup'!$M$7,$B29:$Y29)+'Model Setup'!$M$8*(SUMIF($AD$3:$BA$3,"&lt;"&amp;$DF29,$B29:$Y29)+SUMIF($AD$3:$BA$3,"&gt;="&amp;$DG29,$B29:$Y29)),
IF(AG$3=$DF29+'Model Setup'!$N$7,SUMIF($AD$3:$BA$3,"="&amp;$DF29+'Model Setup'!$N$7,$B29:$Y29)+'Model Setup'!$N$8*(SUMIF($AD$3:$BA$3,"&lt;"&amp;$DF29,$B29:$Y29)+SUMIF($AD$3:$BA$3,"&gt;="&amp;$DG29,$B29:$Y29)),
IF(AG$3&lt;$DG29,E29,0))))))))))))))),0)</f>
        <v>0</v>
      </c>
      <c r="AH29" s="47">
        <f>ROUND(IF(AH$3&lt;$DF29,0,
IF(AH$3=$DF29+'Model Setup'!$B$7,SUMIF($AD$3:$BA$3,"="&amp;$DF29+'Model Setup'!$B$7,$B29:$Y29)+'Model Setup'!$B$8*(SUMIF($AD$3:$BA$3,"&lt;"&amp;$DF29,$B29:$Y29)+SUMIF($AD$3:$BA$3,"&gt;="&amp;$DG29,$B29:$Y29)),
IF(AH$3=$DF29+'Model Setup'!$C$7,SUMIF($AD$3:$BA$3,"="&amp;$DF29+'Model Setup'!$C$7,$B29:$Y29)+'Model Setup'!$C$8*(SUMIF($AD$3:$BA$3,"&lt;"&amp;$DF29,$B29:$Y29)+SUMIF($AD$3:$BA$3,"&gt;="&amp;$DG29,$B29:$Y29)),
IF(AH$3=$DF29+'Model Setup'!$D$7,SUMIF($AD$3:$BA$3,"="&amp;$DF29+'Model Setup'!$D$7,$B29:$Y29)+'Model Setup'!$D$8*(SUMIF($AD$3:$BA$3,"&lt;"&amp;$DF29,$B29:$Y29)+SUMIF($AD$3:$BA$3,"&gt;="&amp;$DG29,$B29:$Y29)),
IF(AH$3=$DF29+'Model Setup'!$E$7,SUMIF($AD$3:$BA$3,"="&amp;$DF29+'Model Setup'!$E$7,$B29:$Y29)+'Model Setup'!$E$8*(SUMIF($AD$3:$BA$3,"&lt;"&amp;$DF29,$B29:$Y29)+SUMIF($AD$3:$BA$3,"&gt;="&amp;$DG29,$B29:$Y29)),
IF(AH$3=$DF29+'Model Setup'!$F$7,SUMIF($AD$3:$BA$3,"="&amp;$DF29+'Model Setup'!$F$7,$B29:$Y29)+'Model Setup'!$F$8*(SUMIF($AD$3:$BA$3,"&lt;"&amp;$DF29,$B29:$Y29)+SUMIF($AD$3:$BA$3,"&gt;="&amp;$DG29,$B29:$Y29)),
IF(AH$3=$DF29+'Model Setup'!$G$7,SUMIF($AD$3:$BA$3,"="&amp;$DF29+'Model Setup'!$G$7,$B29:$Y29)+'Model Setup'!$G$8*(SUMIF($AD$3:$BA$3,"&lt;"&amp;$DF29,$B29:$Y29)+SUMIF($AD$3:$BA$3,"&gt;="&amp;$DG29,$B29:$Y29)),
IF(AH$3=$DF29+'Model Setup'!$H$7,SUMIF($AD$3:$BA$3,"="&amp;$DF29+'Model Setup'!$H$7,$B29:$Y29)+'Model Setup'!$H$8*(SUMIF($AD$3:$BA$3,"&lt;"&amp;$DF29,$B29:$Y29)+SUMIF($AD$3:$BA$3,"&gt;="&amp;$DG29,$B29:$Y29)),
IF(AH$3=$DF29+'Model Setup'!$I$7,SUMIF($AD$3:$BA$3,"="&amp;$DF29+'Model Setup'!$I$7,$B29:$Y29)+'Model Setup'!$I$8*(SUMIF($AD$3:$BA$3,"&lt;"&amp;$DF29,$B29:$Y29)+SUMIF($AD$3:$BA$3,"&gt;="&amp;$DG29,$B29:$Y29)),
IF(AH$3=$DF29+'Model Setup'!$J$7,SUMIF($AD$3:$BA$3,"="&amp;$DF29+'Model Setup'!$J$7,$B29:$Y29)+'Model Setup'!$J$8*(SUMIF($AD$3:$BA$3,"&lt;"&amp;$DF29,$B29:$Y29)+SUMIF($AD$3:$BA$3,"&gt;="&amp;$DG29,$B29:$Y29)),
IF(AH$3=$DF29+'Model Setup'!$K$7,SUMIF($AD$3:$BA$3,"="&amp;$DF29+'Model Setup'!$K$7,$B29:$Y29)+'Model Setup'!$K$8*(SUMIF($AD$3:$BA$3,"&lt;"&amp;$DF29,$B29:$Y29)+SUMIF($AD$3:$BA$3,"&gt;="&amp;$DG29,$B29:$Y29)),
IF(AH$3=$DF29+'Model Setup'!$L$7,SUMIF($AD$3:$BA$3,"="&amp;$DF29+'Model Setup'!$L$7,$B29:$Y29)+'Model Setup'!$L$8*(SUMIF($AD$3:$BA$3,"&lt;"&amp;$DF29,$B29:$Y29)+SUMIF($AD$3:$BA$3,"&gt;="&amp;$DG29,$B29:$Y29)),
IF(AH$3=$DF29+'Model Setup'!$M$7,SUMIF($AD$3:$BA$3,"="&amp;$DF29+'Model Setup'!$M$7,$B29:$Y29)+'Model Setup'!$M$8*(SUMIF($AD$3:$BA$3,"&lt;"&amp;$DF29,$B29:$Y29)+SUMIF($AD$3:$BA$3,"&gt;="&amp;$DG29,$B29:$Y29)),
IF(AH$3=$DF29+'Model Setup'!$N$7,SUMIF($AD$3:$BA$3,"="&amp;$DF29+'Model Setup'!$N$7,$B29:$Y29)+'Model Setup'!$N$8*(SUMIF($AD$3:$BA$3,"&lt;"&amp;$DF29,$B29:$Y29)+SUMIF($AD$3:$BA$3,"&gt;="&amp;$DG29,$B29:$Y29)),
IF(AH$3&lt;$DG29,F29,0))))))))))))))),0)</f>
        <v>0</v>
      </c>
      <c r="AI29" s="47">
        <f>ROUND(IF(AI$3&lt;$DF29,0,
IF(AI$3=$DF29+'Model Setup'!$B$7,SUMIF($AD$3:$BA$3,"="&amp;$DF29+'Model Setup'!$B$7,$B29:$Y29)+'Model Setup'!$B$8*(SUMIF($AD$3:$BA$3,"&lt;"&amp;$DF29,$B29:$Y29)+SUMIF($AD$3:$BA$3,"&gt;="&amp;$DG29,$B29:$Y29)),
IF(AI$3=$DF29+'Model Setup'!$C$7,SUMIF($AD$3:$BA$3,"="&amp;$DF29+'Model Setup'!$C$7,$B29:$Y29)+'Model Setup'!$C$8*(SUMIF($AD$3:$BA$3,"&lt;"&amp;$DF29,$B29:$Y29)+SUMIF($AD$3:$BA$3,"&gt;="&amp;$DG29,$B29:$Y29)),
IF(AI$3=$DF29+'Model Setup'!$D$7,SUMIF($AD$3:$BA$3,"="&amp;$DF29+'Model Setup'!$D$7,$B29:$Y29)+'Model Setup'!$D$8*(SUMIF($AD$3:$BA$3,"&lt;"&amp;$DF29,$B29:$Y29)+SUMIF($AD$3:$BA$3,"&gt;="&amp;$DG29,$B29:$Y29)),
IF(AI$3=$DF29+'Model Setup'!$E$7,SUMIF($AD$3:$BA$3,"="&amp;$DF29+'Model Setup'!$E$7,$B29:$Y29)+'Model Setup'!$E$8*(SUMIF($AD$3:$BA$3,"&lt;"&amp;$DF29,$B29:$Y29)+SUMIF($AD$3:$BA$3,"&gt;="&amp;$DG29,$B29:$Y29)),
IF(AI$3=$DF29+'Model Setup'!$F$7,SUMIF($AD$3:$BA$3,"="&amp;$DF29+'Model Setup'!$F$7,$B29:$Y29)+'Model Setup'!$F$8*(SUMIF($AD$3:$BA$3,"&lt;"&amp;$DF29,$B29:$Y29)+SUMIF($AD$3:$BA$3,"&gt;="&amp;$DG29,$B29:$Y29)),
IF(AI$3=$DF29+'Model Setup'!$G$7,SUMIF($AD$3:$BA$3,"="&amp;$DF29+'Model Setup'!$G$7,$B29:$Y29)+'Model Setup'!$G$8*(SUMIF($AD$3:$BA$3,"&lt;"&amp;$DF29,$B29:$Y29)+SUMIF($AD$3:$BA$3,"&gt;="&amp;$DG29,$B29:$Y29)),
IF(AI$3=$DF29+'Model Setup'!$H$7,SUMIF($AD$3:$BA$3,"="&amp;$DF29+'Model Setup'!$H$7,$B29:$Y29)+'Model Setup'!$H$8*(SUMIF($AD$3:$BA$3,"&lt;"&amp;$DF29,$B29:$Y29)+SUMIF($AD$3:$BA$3,"&gt;="&amp;$DG29,$B29:$Y29)),
IF(AI$3=$DF29+'Model Setup'!$I$7,SUMIF($AD$3:$BA$3,"="&amp;$DF29+'Model Setup'!$I$7,$B29:$Y29)+'Model Setup'!$I$8*(SUMIF($AD$3:$BA$3,"&lt;"&amp;$DF29,$B29:$Y29)+SUMIF($AD$3:$BA$3,"&gt;="&amp;$DG29,$B29:$Y29)),
IF(AI$3=$DF29+'Model Setup'!$J$7,SUMIF($AD$3:$BA$3,"="&amp;$DF29+'Model Setup'!$J$7,$B29:$Y29)+'Model Setup'!$J$8*(SUMIF($AD$3:$BA$3,"&lt;"&amp;$DF29,$B29:$Y29)+SUMIF($AD$3:$BA$3,"&gt;="&amp;$DG29,$B29:$Y29)),
IF(AI$3=$DF29+'Model Setup'!$K$7,SUMIF($AD$3:$BA$3,"="&amp;$DF29+'Model Setup'!$K$7,$B29:$Y29)+'Model Setup'!$K$8*(SUMIF($AD$3:$BA$3,"&lt;"&amp;$DF29,$B29:$Y29)+SUMIF($AD$3:$BA$3,"&gt;="&amp;$DG29,$B29:$Y29)),
IF(AI$3=$DF29+'Model Setup'!$L$7,SUMIF($AD$3:$BA$3,"="&amp;$DF29+'Model Setup'!$L$7,$B29:$Y29)+'Model Setup'!$L$8*(SUMIF($AD$3:$BA$3,"&lt;"&amp;$DF29,$B29:$Y29)+SUMIF($AD$3:$BA$3,"&gt;="&amp;$DG29,$B29:$Y29)),
IF(AI$3=$DF29+'Model Setup'!$M$7,SUMIF($AD$3:$BA$3,"="&amp;$DF29+'Model Setup'!$M$7,$B29:$Y29)+'Model Setup'!$M$8*(SUMIF($AD$3:$BA$3,"&lt;"&amp;$DF29,$B29:$Y29)+SUMIF($AD$3:$BA$3,"&gt;="&amp;$DG29,$B29:$Y29)),
IF(AI$3=$DF29+'Model Setup'!$N$7,SUMIF($AD$3:$BA$3,"="&amp;$DF29+'Model Setup'!$N$7,$B29:$Y29)+'Model Setup'!$N$8*(SUMIF($AD$3:$BA$3,"&lt;"&amp;$DF29,$B29:$Y29)+SUMIF($AD$3:$BA$3,"&gt;="&amp;$DG29,$B29:$Y29)),
IF(AI$3&lt;$DG29,G29,0))))))))))))))),0)</f>
        <v>0</v>
      </c>
      <c r="AJ29" s="47">
        <f>ROUND(IF(AJ$3&lt;$DF29,0,
IF(AJ$3=$DF29+'Model Setup'!$B$7,SUMIF($AD$3:$BA$3,"="&amp;$DF29+'Model Setup'!$B$7,$B29:$Y29)+'Model Setup'!$B$8*(SUMIF($AD$3:$BA$3,"&lt;"&amp;$DF29,$B29:$Y29)+SUMIF($AD$3:$BA$3,"&gt;="&amp;$DG29,$B29:$Y29)),
IF(AJ$3=$DF29+'Model Setup'!$C$7,SUMIF($AD$3:$BA$3,"="&amp;$DF29+'Model Setup'!$C$7,$B29:$Y29)+'Model Setup'!$C$8*(SUMIF($AD$3:$BA$3,"&lt;"&amp;$DF29,$B29:$Y29)+SUMIF($AD$3:$BA$3,"&gt;="&amp;$DG29,$B29:$Y29)),
IF(AJ$3=$DF29+'Model Setup'!$D$7,SUMIF($AD$3:$BA$3,"="&amp;$DF29+'Model Setup'!$D$7,$B29:$Y29)+'Model Setup'!$D$8*(SUMIF($AD$3:$BA$3,"&lt;"&amp;$DF29,$B29:$Y29)+SUMIF($AD$3:$BA$3,"&gt;="&amp;$DG29,$B29:$Y29)),
IF(AJ$3=$DF29+'Model Setup'!$E$7,SUMIF($AD$3:$BA$3,"="&amp;$DF29+'Model Setup'!$E$7,$B29:$Y29)+'Model Setup'!$E$8*(SUMIF($AD$3:$BA$3,"&lt;"&amp;$DF29,$B29:$Y29)+SUMIF($AD$3:$BA$3,"&gt;="&amp;$DG29,$B29:$Y29)),
IF(AJ$3=$DF29+'Model Setup'!$F$7,SUMIF($AD$3:$BA$3,"="&amp;$DF29+'Model Setup'!$F$7,$B29:$Y29)+'Model Setup'!$F$8*(SUMIF($AD$3:$BA$3,"&lt;"&amp;$DF29,$B29:$Y29)+SUMIF($AD$3:$BA$3,"&gt;="&amp;$DG29,$B29:$Y29)),
IF(AJ$3=$DF29+'Model Setup'!$G$7,SUMIF($AD$3:$BA$3,"="&amp;$DF29+'Model Setup'!$G$7,$B29:$Y29)+'Model Setup'!$G$8*(SUMIF($AD$3:$BA$3,"&lt;"&amp;$DF29,$B29:$Y29)+SUMIF($AD$3:$BA$3,"&gt;="&amp;$DG29,$B29:$Y29)),
IF(AJ$3=$DF29+'Model Setup'!$H$7,SUMIF($AD$3:$BA$3,"="&amp;$DF29+'Model Setup'!$H$7,$B29:$Y29)+'Model Setup'!$H$8*(SUMIF($AD$3:$BA$3,"&lt;"&amp;$DF29,$B29:$Y29)+SUMIF($AD$3:$BA$3,"&gt;="&amp;$DG29,$B29:$Y29)),
IF(AJ$3=$DF29+'Model Setup'!$I$7,SUMIF($AD$3:$BA$3,"="&amp;$DF29+'Model Setup'!$I$7,$B29:$Y29)+'Model Setup'!$I$8*(SUMIF($AD$3:$BA$3,"&lt;"&amp;$DF29,$B29:$Y29)+SUMIF($AD$3:$BA$3,"&gt;="&amp;$DG29,$B29:$Y29)),
IF(AJ$3=$DF29+'Model Setup'!$J$7,SUMIF($AD$3:$BA$3,"="&amp;$DF29+'Model Setup'!$J$7,$B29:$Y29)+'Model Setup'!$J$8*(SUMIF($AD$3:$BA$3,"&lt;"&amp;$DF29,$B29:$Y29)+SUMIF($AD$3:$BA$3,"&gt;="&amp;$DG29,$B29:$Y29)),
IF(AJ$3=$DF29+'Model Setup'!$K$7,SUMIF($AD$3:$BA$3,"="&amp;$DF29+'Model Setup'!$K$7,$B29:$Y29)+'Model Setup'!$K$8*(SUMIF($AD$3:$BA$3,"&lt;"&amp;$DF29,$B29:$Y29)+SUMIF($AD$3:$BA$3,"&gt;="&amp;$DG29,$B29:$Y29)),
IF(AJ$3=$DF29+'Model Setup'!$L$7,SUMIF($AD$3:$BA$3,"="&amp;$DF29+'Model Setup'!$L$7,$B29:$Y29)+'Model Setup'!$L$8*(SUMIF($AD$3:$BA$3,"&lt;"&amp;$DF29,$B29:$Y29)+SUMIF($AD$3:$BA$3,"&gt;="&amp;$DG29,$B29:$Y29)),
IF(AJ$3=$DF29+'Model Setup'!$M$7,SUMIF($AD$3:$BA$3,"="&amp;$DF29+'Model Setup'!$M$7,$B29:$Y29)+'Model Setup'!$M$8*(SUMIF($AD$3:$BA$3,"&lt;"&amp;$DF29,$B29:$Y29)+SUMIF($AD$3:$BA$3,"&gt;="&amp;$DG29,$B29:$Y29)),
IF(AJ$3=$DF29+'Model Setup'!$N$7,SUMIF($AD$3:$BA$3,"="&amp;$DF29+'Model Setup'!$N$7,$B29:$Y29)+'Model Setup'!$N$8*(SUMIF($AD$3:$BA$3,"&lt;"&amp;$DF29,$B29:$Y29)+SUMIF($AD$3:$BA$3,"&gt;="&amp;$DG29,$B29:$Y29)),
IF(AJ$3&lt;$DG29,H29,0))))))))))))))),0)</f>
        <v>71</v>
      </c>
      <c r="AK29" s="47">
        <f>ROUND(IF(AK$3&lt;$DF29,0,
IF(AK$3=$DF29+'Model Setup'!$B$7,SUMIF($AD$3:$BA$3,"="&amp;$DF29+'Model Setup'!$B$7,$B29:$Y29)+'Model Setup'!$B$8*(SUMIF($AD$3:$BA$3,"&lt;"&amp;$DF29,$B29:$Y29)+SUMIF($AD$3:$BA$3,"&gt;="&amp;$DG29,$B29:$Y29)),
IF(AK$3=$DF29+'Model Setup'!$C$7,SUMIF($AD$3:$BA$3,"="&amp;$DF29+'Model Setup'!$C$7,$B29:$Y29)+'Model Setup'!$C$8*(SUMIF($AD$3:$BA$3,"&lt;"&amp;$DF29,$B29:$Y29)+SUMIF($AD$3:$BA$3,"&gt;="&amp;$DG29,$B29:$Y29)),
IF(AK$3=$DF29+'Model Setup'!$D$7,SUMIF($AD$3:$BA$3,"="&amp;$DF29+'Model Setup'!$D$7,$B29:$Y29)+'Model Setup'!$D$8*(SUMIF($AD$3:$BA$3,"&lt;"&amp;$DF29,$B29:$Y29)+SUMIF($AD$3:$BA$3,"&gt;="&amp;$DG29,$B29:$Y29)),
IF(AK$3=$DF29+'Model Setup'!$E$7,SUMIF($AD$3:$BA$3,"="&amp;$DF29+'Model Setup'!$E$7,$B29:$Y29)+'Model Setup'!$E$8*(SUMIF($AD$3:$BA$3,"&lt;"&amp;$DF29,$B29:$Y29)+SUMIF($AD$3:$BA$3,"&gt;="&amp;$DG29,$B29:$Y29)),
IF(AK$3=$DF29+'Model Setup'!$F$7,SUMIF($AD$3:$BA$3,"="&amp;$DF29+'Model Setup'!$F$7,$B29:$Y29)+'Model Setup'!$F$8*(SUMIF($AD$3:$BA$3,"&lt;"&amp;$DF29,$B29:$Y29)+SUMIF($AD$3:$BA$3,"&gt;="&amp;$DG29,$B29:$Y29)),
IF(AK$3=$DF29+'Model Setup'!$G$7,SUMIF($AD$3:$BA$3,"="&amp;$DF29+'Model Setup'!$G$7,$B29:$Y29)+'Model Setup'!$G$8*(SUMIF($AD$3:$BA$3,"&lt;"&amp;$DF29,$B29:$Y29)+SUMIF($AD$3:$BA$3,"&gt;="&amp;$DG29,$B29:$Y29)),
IF(AK$3=$DF29+'Model Setup'!$H$7,SUMIF($AD$3:$BA$3,"="&amp;$DF29+'Model Setup'!$H$7,$B29:$Y29)+'Model Setup'!$H$8*(SUMIF($AD$3:$BA$3,"&lt;"&amp;$DF29,$B29:$Y29)+SUMIF($AD$3:$BA$3,"&gt;="&amp;$DG29,$B29:$Y29)),
IF(AK$3=$DF29+'Model Setup'!$I$7,SUMIF($AD$3:$BA$3,"="&amp;$DF29+'Model Setup'!$I$7,$B29:$Y29)+'Model Setup'!$I$8*(SUMIF($AD$3:$BA$3,"&lt;"&amp;$DF29,$B29:$Y29)+SUMIF($AD$3:$BA$3,"&gt;="&amp;$DG29,$B29:$Y29)),
IF(AK$3=$DF29+'Model Setup'!$J$7,SUMIF($AD$3:$BA$3,"="&amp;$DF29+'Model Setup'!$J$7,$B29:$Y29)+'Model Setup'!$J$8*(SUMIF($AD$3:$BA$3,"&lt;"&amp;$DF29,$B29:$Y29)+SUMIF($AD$3:$BA$3,"&gt;="&amp;$DG29,$B29:$Y29)),
IF(AK$3=$DF29+'Model Setup'!$K$7,SUMIF($AD$3:$BA$3,"="&amp;$DF29+'Model Setup'!$K$7,$B29:$Y29)+'Model Setup'!$K$8*(SUMIF($AD$3:$BA$3,"&lt;"&amp;$DF29,$B29:$Y29)+SUMIF($AD$3:$BA$3,"&gt;="&amp;$DG29,$B29:$Y29)),
IF(AK$3=$DF29+'Model Setup'!$L$7,SUMIF($AD$3:$BA$3,"="&amp;$DF29+'Model Setup'!$L$7,$B29:$Y29)+'Model Setup'!$L$8*(SUMIF($AD$3:$BA$3,"&lt;"&amp;$DF29,$B29:$Y29)+SUMIF($AD$3:$BA$3,"&gt;="&amp;$DG29,$B29:$Y29)),
IF(AK$3=$DF29+'Model Setup'!$M$7,SUMIF($AD$3:$BA$3,"="&amp;$DF29+'Model Setup'!$M$7,$B29:$Y29)+'Model Setup'!$M$8*(SUMIF($AD$3:$BA$3,"&lt;"&amp;$DF29,$B29:$Y29)+SUMIF($AD$3:$BA$3,"&gt;="&amp;$DG29,$B29:$Y29)),
IF(AK$3=$DF29+'Model Setup'!$N$7,SUMIF($AD$3:$BA$3,"="&amp;$DF29+'Model Setup'!$N$7,$B29:$Y29)+'Model Setup'!$N$8*(SUMIF($AD$3:$BA$3,"&lt;"&amp;$DF29,$B29:$Y29)+SUMIF($AD$3:$BA$3,"&gt;="&amp;$DG29,$B29:$Y29)),
IF(AK$3&lt;$DG29,I29,0))))))))))))))),0)</f>
        <v>52</v>
      </c>
      <c r="AL29" s="47">
        <f>ROUND(IF(AL$3&lt;$DF29,0,
IF(AL$3=$DF29+'Model Setup'!$B$7,SUMIF($AD$3:$BA$3,"="&amp;$DF29+'Model Setup'!$B$7,$B29:$Y29)+'Model Setup'!$B$8*(SUMIF($AD$3:$BA$3,"&lt;"&amp;$DF29,$B29:$Y29)+SUMIF($AD$3:$BA$3,"&gt;="&amp;$DG29,$B29:$Y29)),
IF(AL$3=$DF29+'Model Setup'!$C$7,SUMIF($AD$3:$BA$3,"="&amp;$DF29+'Model Setup'!$C$7,$B29:$Y29)+'Model Setup'!$C$8*(SUMIF($AD$3:$BA$3,"&lt;"&amp;$DF29,$B29:$Y29)+SUMIF($AD$3:$BA$3,"&gt;="&amp;$DG29,$B29:$Y29)),
IF(AL$3=$DF29+'Model Setup'!$D$7,SUMIF($AD$3:$BA$3,"="&amp;$DF29+'Model Setup'!$D$7,$B29:$Y29)+'Model Setup'!$D$8*(SUMIF($AD$3:$BA$3,"&lt;"&amp;$DF29,$B29:$Y29)+SUMIF($AD$3:$BA$3,"&gt;="&amp;$DG29,$B29:$Y29)),
IF(AL$3=$DF29+'Model Setup'!$E$7,SUMIF($AD$3:$BA$3,"="&amp;$DF29+'Model Setup'!$E$7,$B29:$Y29)+'Model Setup'!$E$8*(SUMIF($AD$3:$BA$3,"&lt;"&amp;$DF29,$B29:$Y29)+SUMIF($AD$3:$BA$3,"&gt;="&amp;$DG29,$B29:$Y29)),
IF(AL$3=$DF29+'Model Setup'!$F$7,SUMIF($AD$3:$BA$3,"="&amp;$DF29+'Model Setup'!$F$7,$B29:$Y29)+'Model Setup'!$F$8*(SUMIF($AD$3:$BA$3,"&lt;"&amp;$DF29,$B29:$Y29)+SUMIF($AD$3:$BA$3,"&gt;="&amp;$DG29,$B29:$Y29)),
IF(AL$3=$DF29+'Model Setup'!$G$7,SUMIF($AD$3:$BA$3,"="&amp;$DF29+'Model Setup'!$G$7,$B29:$Y29)+'Model Setup'!$G$8*(SUMIF($AD$3:$BA$3,"&lt;"&amp;$DF29,$B29:$Y29)+SUMIF($AD$3:$BA$3,"&gt;="&amp;$DG29,$B29:$Y29)),
IF(AL$3=$DF29+'Model Setup'!$H$7,SUMIF($AD$3:$BA$3,"="&amp;$DF29+'Model Setup'!$H$7,$B29:$Y29)+'Model Setup'!$H$8*(SUMIF($AD$3:$BA$3,"&lt;"&amp;$DF29,$B29:$Y29)+SUMIF($AD$3:$BA$3,"&gt;="&amp;$DG29,$B29:$Y29)),
IF(AL$3=$DF29+'Model Setup'!$I$7,SUMIF($AD$3:$BA$3,"="&amp;$DF29+'Model Setup'!$I$7,$B29:$Y29)+'Model Setup'!$I$8*(SUMIF($AD$3:$BA$3,"&lt;"&amp;$DF29,$B29:$Y29)+SUMIF($AD$3:$BA$3,"&gt;="&amp;$DG29,$B29:$Y29)),
IF(AL$3=$DF29+'Model Setup'!$J$7,SUMIF($AD$3:$BA$3,"="&amp;$DF29+'Model Setup'!$J$7,$B29:$Y29)+'Model Setup'!$J$8*(SUMIF($AD$3:$BA$3,"&lt;"&amp;$DF29,$B29:$Y29)+SUMIF($AD$3:$BA$3,"&gt;="&amp;$DG29,$B29:$Y29)),
IF(AL$3=$DF29+'Model Setup'!$K$7,SUMIF($AD$3:$BA$3,"="&amp;$DF29+'Model Setup'!$K$7,$B29:$Y29)+'Model Setup'!$K$8*(SUMIF($AD$3:$BA$3,"&lt;"&amp;$DF29,$B29:$Y29)+SUMIF($AD$3:$BA$3,"&gt;="&amp;$DG29,$B29:$Y29)),
IF(AL$3=$DF29+'Model Setup'!$L$7,SUMIF($AD$3:$BA$3,"="&amp;$DF29+'Model Setup'!$L$7,$B29:$Y29)+'Model Setup'!$L$8*(SUMIF($AD$3:$BA$3,"&lt;"&amp;$DF29,$B29:$Y29)+SUMIF($AD$3:$BA$3,"&gt;="&amp;$DG29,$B29:$Y29)),
IF(AL$3=$DF29+'Model Setup'!$M$7,SUMIF($AD$3:$BA$3,"="&amp;$DF29+'Model Setup'!$M$7,$B29:$Y29)+'Model Setup'!$M$8*(SUMIF($AD$3:$BA$3,"&lt;"&amp;$DF29,$B29:$Y29)+SUMIF($AD$3:$BA$3,"&gt;="&amp;$DG29,$B29:$Y29)),
IF(AL$3=$DF29+'Model Setup'!$N$7,SUMIF($AD$3:$BA$3,"="&amp;$DF29+'Model Setup'!$N$7,$B29:$Y29)+'Model Setup'!$N$8*(SUMIF($AD$3:$BA$3,"&lt;"&amp;$DF29,$B29:$Y29)+SUMIF($AD$3:$BA$3,"&gt;="&amp;$DG29,$B29:$Y29)),
IF(AL$3&lt;$DG29,J29,0))))))))))))))),0)</f>
        <v>78</v>
      </c>
      <c r="AM29" s="47">
        <f>ROUND(IF(AM$3&lt;$DF29,0,
IF(AM$3=$DF29+'Model Setup'!$B$7,SUMIF($AD$3:$BA$3,"="&amp;$DF29+'Model Setup'!$B$7,$B29:$Y29)+'Model Setup'!$B$8*(SUMIF($AD$3:$BA$3,"&lt;"&amp;$DF29,$B29:$Y29)+SUMIF($AD$3:$BA$3,"&gt;="&amp;$DG29,$B29:$Y29)),
IF(AM$3=$DF29+'Model Setup'!$C$7,SUMIF($AD$3:$BA$3,"="&amp;$DF29+'Model Setup'!$C$7,$B29:$Y29)+'Model Setup'!$C$8*(SUMIF($AD$3:$BA$3,"&lt;"&amp;$DF29,$B29:$Y29)+SUMIF($AD$3:$BA$3,"&gt;="&amp;$DG29,$B29:$Y29)),
IF(AM$3=$DF29+'Model Setup'!$D$7,SUMIF($AD$3:$BA$3,"="&amp;$DF29+'Model Setup'!$D$7,$B29:$Y29)+'Model Setup'!$D$8*(SUMIF($AD$3:$BA$3,"&lt;"&amp;$DF29,$B29:$Y29)+SUMIF($AD$3:$BA$3,"&gt;="&amp;$DG29,$B29:$Y29)),
IF(AM$3=$DF29+'Model Setup'!$E$7,SUMIF($AD$3:$BA$3,"="&amp;$DF29+'Model Setup'!$E$7,$B29:$Y29)+'Model Setup'!$E$8*(SUMIF($AD$3:$BA$3,"&lt;"&amp;$DF29,$B29:$Y29)+SUMIF($AD$3:$BA$3,"&gt;="&amp;$DG29,$B29:$Y29)),
IF(AM$3=$DF29+'Model Setup'!$F$7,SUMIF($AD$3:$BA$3,"="&amp;$DF29+'Model Setup'!$F$7,$B29:$Y29)+'Model Setup'!$F$8*(SUMIF($AD$3:$BA$3,"&lt;"&amp;$DF29,$B29:$Y29)+SUMIF($AD$3:$BA$3,"&gt;="&amp;$DG29,$B29:$Y29)),
IF(AM$3=$DF29+'Model Setup'!$G$7,SUMIF($AD$3:$BA$3,"="&amp;$DF29+'Model Setup'!$G$7,$B29:$Y29)+'Model Setup'!$G$8*(SUMIF($AD$3:$BA$3,"&lt;"&amp;$DF29,$B29:$Y29)+SUMIF($AD$3:$BA$3,"&gt;="&amp;$DG29,$B29:$Y29)),
IF(AM$3=$DF29+'Model Setup'!$H$7,SUMIF($AD$3:$BA$3,"="&amp;$DF29+'Model Setup'!$H$7,$B29:$Y29)+'Model Setup'!$H$8*(SUMIF($AD$3:$BA$3,"&lt;"&amp;$DF29,$B29:$Y29)+SUMIF($AD$3:$BA$3,"&gt;="&amp;$DG29,$B29:$Y29)),
IF(AM$3=$DF29+'Model Setup'!$I$7,SUMIF($AD$3:$BA$3,"="&amp;$DF29+'Model Setup'!$I$7,$B29:$Y29)+'Model Setup'!$I$8*(SUMIF($AD$3:$BA$3,"&lt;"&amp;$DF29,$B29:$Y29)+SUMIF($AD$3:$BA$3,"&gt;="&amp;$DG29,$B29:$Y29)),
IF(AM$3=$DF29+'Model Setup'!$J$7,SUMIF($AD$3:$BA$3,"="&amp;$DF29+'Model Setup'!$J$7,$B29:$Y29)+'Model Setup'!$J$8*(SUMIF($AD$3:$BA$3,"&lt;"&amp;$DF29,$B29:$Y29)+SUMIF($AD$3:$BA$3,"&gt;="&amp;$DG29,$B29:$Y29)),
IF(AM$3=$DF29+'Model Setup'!$K$7,SUMIF($AD$3:$BA$3,"="&amp;$DF29+'Model Setup'!$K$7,$B29:$Y29)+'Model Setup'!$K$8*(SUMIF($AD$3:$BA$3,"&lt;"&amp;$DF29,$B29:$Y29)+SUMIF($AD$3:$BA$3,"&gt;="&amp;$DG29,$B29:$Y29)),
IF(AM$3=$DF29+'Model Setup'!$L$7,SUMIF($AD$3:$BA$3,"="&amp;$DF29+'Model Setup'!$L$7,$B29:$Y29)+'Model Setup'!$L$8*(SUMIF($AD$3:$BA$3,"&lt;"&amp;$DF29,$B29:$Y29)+SUMIF($AD$3:$BA$3,"&gt;="&amp;$DG29,$B29:$Y29)),
IF(AM$3=$DF29+'Model Setup'!$M$7,SUMIF($AD$3:$BA$3,"="&amp;$DF29+'Model Setup'!$M$7,$B29:$Y29)+'Model Setup'!$M$8*(SUMIF($AD$3:$BA$3,"&lt;"&amp;$DF29,$B29:$Y29)+SUMIF($AD$3:$BA$3,"&gt;="&amp;$DG29,$B29:$Y29)),
IF(AM$3=$DF29+'Model Setup'!$N$7,SUMIF($AD$3:$BA$3,"="&amp;$DF29+'Model Setup'!$N$7,$B29:$Y29)+'Model Setup'!$N$8*(SUMIF($AD$3:$BA$3,"&lt;"&amp;$DF29,$B29:$Y29)+SUMIF($AD$3:$BA$3,"&gt;="&amp;$DG29,$B29:$Y29)),
IF(AM$3&lt;$DG29,K29,0))))))))))))))),0)</f>
        <v>68</v>
      </c>
      <c r="AN29" s="47">
        <f>ROUND(IF(AN$3&lt;$DF29,0,
IF(AN$3=$DF29+'Model Setup'!$B$7,SUMIF($AD$3:$BA$3,"="&amp;$DF29+'Model Setup'!$B$7,$B29:$Y29)+'Model Setup'!$B$8*(SUMIF($AD$3:$BA$3,"&lt;"&amp;$DF29,$B29:$Y29)+SUMIF($AD$3:$BA$3,"&gt;="&amp;$DG29,$B29:$Y29)),
IF(AN$3=$DF29+'Model Setup'!$C$7,SUMIF($AD$3:$BA$3,"="&amp;$DF29+'Model Setup'!$C$7,$B29:$Y29)+'Model Setup'!$C$8*(SUMIF($AD$3:$BA$3,"&lt;"&amp;$DF29,$B29:$Y29)+SUMIF($AD$3:$BA$3,"&gt;="&amp;$DG29,$B29:$Y29)),
IF(AN$3=$DF29+'Model Setup'!$D$7,SUMIF($AD$3:$BA$3,"="&amp;$DF29+'Model Setup'!$D$7,$B29:$Y29)+'Model Setup'!$D$8*(SUMIF($AD$3:$BA$3,"&lt;"&amp;$DF29,$B29:$Y29)+SUMIF($AD$3:$BA$3,"&gt;="&amp;$DG29,$B29:$Y29)),
IF(AN$3=$DF29+'Model Setup'!$E$7,SUMIF($AD$3:$BA$3,"="&amp;$DF29+'Model Setup'!$E$7,$B29:$Y29)+'Model Setup'!$E$8*(SUMIF($AD$3:$BA$3,"&lt;"&amp;$DF29,$B29:$Y29)+SUMIF($AD$3:$BA$3,"&gt;="&amp;$DG29,$B29:$Y29)),
IF(AN$3=$DF29+'Model Setup'!$F$7,SUMIF($AD$3:$BA$3,"="&amp;$DF29+'Model Setup'!$F$7,$B29:$Y29)+'Model Setup'!$F$8*(SUMIF($AD$3:$BA$3,"&lt;"&amp;$DF29,$B29:$Y29)+SUMIF($AD$3:$BA$3,"&gt;="&amp;$DG29,$B29:$Y29)),
IF(AN$3=$DF29+'Model Setup'!$G$7,SUMIF($AD$3:$BA$3,"="&amp;$DF29+'Model Setup'!$G$7,$B29:$Y29)+'Model Setup'!$G$8*(SUMIF($AD$3:$BA$3,"&lt;"&amp;$DF29,$B29:$Y29)+SUMIF($AD$3:$BA$3,"&gt;="&amp;$DG29,$B29:$Y29)),
IF(AN$3=$DF29+'Model Setup'!$H$7,SUMIF($AD$3:$BA$3,"="&amp;$DF29+'Model Setup'!$H$7,$B29:$Y29)+'Model Setup'!$H$8*(SUMIF($AD$3:$BA$3,"&lt;"&amp;$DF29,$B29:$Y29)+SUMIF($AD$3:$BA$3,"&gt;="&amp;$DG29,$B29:$Y29)),
IF(AN$3=$DF29+'Model Setup'!$I$7,SUMIF($AD$3:$BA$3,"="&amp;$DF29+'Model Setup'!$I$7,$B29:$Y29)+'Model Setup'!$I$8*(SUMIF($AD$3:$BA$3,"&lt;"&amp;$DF29,$B29:$Y29)+SUMIF($AD$3:$BA$3,"&gt;="&amp;$DG29,$B29:$Y29)),
IF(AN$3=$DF29+'Model Setup'!$J$7,SUMIF($AD$3:$BA$3,"="&amp;$DF29+'Model Setup'!$J$7,$B29:$Y29)+'Model Setup'!$J$8*(SUMIF($AD$3:$BA$3,"&lt;"&amp;$DF29,$B29:$Y29)+SUMIF($AD$3:$BA$3,"&gt;="&amp;$DG29,$B29:$Y29)),
IF(AN$3=$DF29+'Model Setup'!$K$7,SUMIF($AD$3:$BA$3,"="&amp;$DF29+'Model Setup'!$K$7,$B29:$Y29)+'Model Setup'!$K$8*(SUMIF($AD$3:$BA$3,"&lt;"&amp;$DF29,$B29:$Y29)+SUMIF($AD$3:$BA$3,"&gt;="&amp;$DG29,$B29:$Y29)),
IF(AN$3=$DF29+'Model Setup'!$L$7,SUMIF($AD$3:$BA$3,"="&amp;$DF29+'Model Setup'!$L$7,$B29:$Y29)+'Model Setup'!$L$8*(SUMIF($AD$3:$BA$3,"&lt;"&amp;$DF29,$B29:$Y29)+SUMIF($AD$3:$BA$3,"&gt;="&amp;$DG29,$B29:$Y29)),
IF(AN$3=$DF29+'Model Setup'!$M$7,SUMIF($AD$3:$BA$3,"="&amp;$DF29+'Model Setup'!$M$7,$B29:$Y29)+'Model Setup'!$M$8*(SUMIF($AD$3:$BA$3,"&lt;"&amp;$DF29,$B29:$Y29)+SUMIF($AD$3:$BA$3,"&gt;="&amp;$DG29,$B29:$Y29)),
IF(AN$3=$DF29+'Model Setup'!$N$7,SUMIF($AD$3:$BA$3,"="&amp;$DF29+'Model Setup'!$N$7,$B29:$Y29)+'Model Setup'!$N$8*(SUMIF($AD$3:$BA$3,"&lt;"&amp;$DF29,$B29:$Y29)+SUMIF($AD$3:$BA$3,"&gt;="&amp;$DG29,$B29:$Y29)),
IF(AN$3&lt;$DG29,L29,0))))))))))))))),0)</f>
        <v>55</v>
      </c>
      <c r="AO29" s="47">
        <f>ROUND(IF(AO$3&lt;$DF29,0,
IF(AO$3=$DF29+'Model Setup'!$B$7,SUMIF($AD$3:$BA$3,"="&amp;$DF29+'Model Setup'!$B$7,$B29:$Y29)+'Model Setup'!$B$8*(SUMIF($AD$3:$BA$3,"&lt;"&amp;$DF29,$B29:$Y29)+SUMIF($AD$3:$BA$3,"&gt;="&amp;$DG29,$B29:$Y29)),
IF(AO$3=$DF29+'Model Setup'!$C$7,SUMIF($AD$3:$BA$3,"="&amp;$DF29+'Model Setup'!$C$7,$B29:$Y29)+'Model Setup'!$C$8*(SUMIF($AD$3:$BA$3,"&lt;"&amp;$DF29,$B29:$Y29)+SUMIF($AD$3:$BA$3,"&gt;="&amp;$DG29,$B29:$Y29)),
IF(AO$3=$DF29+'Model Setup'!$D$7,SUMIF($AD$3:$BA$3,"="&amp;$DF29+'Model Setup'!$D$7,$B29:$Y29)+'Model Setup'!$D$8*(SUMIF($AD$3:$BA$3,"&lt;"&amp;$DF29,$B29:$Y29)+SUMIF($AD$3:$BA$3,"&gt;="&amp;$DG29,$B29:$Y29)),
IF(AO$3=$DF29+'Model Setup'!$E$7,SUMIF($AD$3:$BA$3,"="&amp;$DF29+'Model Setup'!$E$7,$B29:$Y29)+'Model Setup'!$E$8*(SUMIF($AD$3:$BA$3,"&lt;"&amp;$DF29,$B29:$Y29)+SUMIF($AD$3:$BA$3,"&gt;="&amp;$DG29,$B29:$Y29)),
IF(AO$3=$DF29+'Model Setup'!$F$7,SUMIF($AD$3:$BA$3,"="&amp;$DF29+'Model Setup'!$F$7,$B29:$Y29)+'Model Setup'!$F$8*(SUMIF($AD$3:$BA$3,"&lt;"&amp;$DF29,$B29:$Y29)+SUMIF($AD$3:$BA$3,"&gt;="&amp;$DG29,$B29:$Y29)),
IF(AO$3=$DF29+'Model Setup'!$G$7,SUMIF($AD$3:$BA$3,"="&amp;$DF29+'Model Setup'!$G$7,$B29:$Y29)+'Model Setup'!$G$8*(SUMIF($AD$3:$BA$3,"&lt;"&amp;$DF29,$B29:$Y29)+SUMIF($AD$3:$BA$3,"&gt;="&amp;$DG29,$B29:$Y29)),
IF(AO$3=$DF29+'Model Setup'!$H$7,SUMIF($AD$3:$BA$3,"="&amp;$DF29+'Model Setup'!$H$7,$B29:$Y29)+'Model Setup'!$H$8*(SUMIF($AD$3:$BA$3,"&lt;"&amp;$DF29,$B29:$Y29)+SUMIF($AD$3:$BA$3,"&gt;="&amp;$DG29,$B29:$Y29)),
IF(AO$3=$DF29+'Model Setup'!$I$7,SUMIF($AD$3:$BA$3,"="&amp;$DF29+'Model Setup'!$I$7,$B29:$Y29)+'Model Setup'!$I$8*(SUMIF($AD$3:$BA$3,"&lt;"&amp;$DF29,$B29:$Y29)+SUMIF($AD$3:$BA$3,"&gt;="&amp;$DG29,$B29:$Y29)),
IF(AO$3=$DF29+'Model Setup'!$J$7,SUMIF($AD$3:$BA$3,"="&amp;$DF29+'Model Setup'!$J$7,$B29:$Y29)+'Model Setup'!$J$8*(SUMIF($AD$3:$BA$3,"&lt;"&amp;$DF29,$B29:$Y29)+SUMIF($AD$3:$BA$3,"&gt;="&amp;$DG29,$B29:$Y29)),
IF(AO$3=$DF29+'Model Setup'!$K$7,SUMIF($AD$3:$BA$3,"="&amp;$DF29+'Model Setup'!$K$7,$B29:$Y29)+'Model Setup'!$K$8*(SUMIF($AD$3:$BA$3,"&lt;"&amp;$DF29,$B29:$Y29)+SUMIF($AD$3:$BA$3,"&gt;="&amp;$DG29,$B29:$Y29)),
IF(AO$3=$DF29+'Model Setup'!$L$7,SUMIF($AD$3:$BA$3,"="&amp;$DF29+'Model Setup'!$L$7,$B29:$Y29)+'Model Setup'!$L$8*(SUMIF($AD$3:$BA$3,"&lt;"&amp;$DF29,$B29:$Y29)+SUMIF($AD$3:$BA$3,"&gt;="&amp;$DG29,$B29:$Y29)),
IF(AO$3=$DF29+'Model Setup'!$M$7,SUMIF($AD$3:$BA$3,"="&amp;$DF29+'Model Setup'!$M$7,$B29:$Y29)+'Model Setup'!$M$8*(SUMIF($AD$3:$BA$3,"&lt;"&amp;$DF29,$B29:$Y29)+SUMIF($AD$3:$BA$3,"&gt;="&amp;$DG29,$B29:$Y29)),
IF(AO$3=$DF29+'Model Setup'!$N$7,SUMIF($AD$3:$BA$3,"="&amp;$DF29+'Model Setup'!$N$7,$B29:$Y29)+'Model Setup'!$N$8*(SUMIF($AD$3:$BA$3,"&lt;"&amp;$DF29,$B29:$Y29)+SUMIF($AD$3:$BA$3,"&gt;="&amp;$DG29,$B29:$Y29)),
IF(AO$3&lt;$DG29,M29,0))))))))))))))),0)</f>
        <v>49</v>
      </c>
      <c r="AP29" s="47">
        <f>ROUND(IF(AP$3&lt;$DF29,0,
IF(AP$3=$DF29+'Model Setup'!$B$7,SUMIF($AD$3:$BA$3,"="&amp;$DF29+'Model Setup'!$B$7,$B29:$Y29)+'Model Setup'!$B$8*(SUMIF($AD$3:$BA$3,"&lt;"&amp;$DF29,$B29:$Y29)+SUMIF($AD$3:$BA$3,"&gt;="&amp;$DG29,$B29:$Y29)),
IF(AP$3=$DF29+'Model Setup'!$C$7,SUMIF($AD$3:$BA$3,"="&amp;$DF29+'Model Setup'!$C$7,$B29:$Y29)+'Model Setup'!$C$8*(SUMIF($AD$3:$BA$3,"&lt;"&amp;$DF29,$B29:$Y29)+SUMIF($AD$3:$BA$3,"&gt;="&amp;$DG29,$B29:$Y29)),
IF(AP$3=$DF29+'Model Setup'!$D$7,SUMIF($AD$3:$BA$3,"="&amp;$DF29+'Model Setup'!$D$7,$B29:$Y29)+'Model Setup'!$D$8*(SUMIF($AD$3:$BA$3,"&lt;"&amp;$DF29,$B29:$Y29)+SUMIF($AD$3:$BA$3,"&gt;="&amp;$DG29,$B29:$Y29)),
IF(AP$3=$DF29+'Model Setup'!$E$7,SUMIF($AD$3:$BA$3,"="&amp;$DF29+'Model Setup'!$E$7,$B29:$Y29)+'Model Setup'!$E$8*(SUMIF($AD$3:$BA$3,"&lt;"&amp;$DF29,$B29:$Y29)+SUMIF($AD$3:$BA$3,"&gt;="&amp;$DG29,$B29:$Y29)),
IF(AP$3=$DF29+'Model Setup'!$F$7,SUMIF($AD$3:$BA$3,"="&amp;$DF29+'Model Setup'!$F$7,$B29:$Y29)+'Model Setup'!$F$8*(SUMIF($AD$3:$BA$3,"&lt;"&amp;$DF29,$B29:$Y29)+SUMIF($AD$3:$BA$3,"&gt;="&amp;$DG29,$B29:$Y29)),
IF(AP$3=$DF29+'Model Setup'!$G$7,SUMIF($AD$3:$BA$3,"="&amp;$DF29+'Model Setup'!$G$7,$B29:$Y29)+'Model Setup'!$G$8*(SUMIF($AD$3:$BA$3,"&lt;"&amp;$DF29,$B29:$Y29)+SUMIF($AD$3:$BA$3,"&gt;="&amp;$DG29,$B29:$Y29)),
IF(AP$3=$DF29+'Model Setup'!$H$7,SUMIF($AD$3:$BA$3,"="&amp;$DF29+'Model Setup'!$H$7,$B29:$Y29)+'Model Setup'!$H$8*(SUMIF($AD$3:$BA$3,"&lt;"&amp;$DF29,$B29:$Y29)+SUMIF($AD$3:$BA$3,"&gt;="&amp;$DG29,$B29:$Y29)),
IF(AP$3=$DF29+'Model Setup'!$I$7,SUMIF($AD$3:$BA$3,"="&amp;$DF29+'Model Setup'!$I$7,$B29:$Y29)+'Model Setup'!$I$8*(SUMIF($AD$3:$BA$3,"&lt;"&amp;$DF29,$B29:$Y29)+SUMIF($AD$3:$BA$3,"&gt;="&amp;$DG29,$B29:$Y29)),
IF(AP$3=$DF29+'Model Setup'!$J$7,SUMIF($AD$3:$BA$3,"="&amp;$DF29+'Model Setup'!$J$7,$B29:$Y29)+'Model Setup'!$J$8*(SUMIF($AD$3:$BA$3,"&lt;"&amp;$DF29,$B29:$Y29)+SUMIF($AD$3:$BA$3,"&gt;="&amp;$DG29,$B29:$Y29)),
IF(AP$3=$DF29+'Model Setup'!$K$7,SUMIF($AD$3:$BA$3,"="&amp;$DF29+'Model Setup'!$K$7,$B29:$Y29)+'Model Setup'!$K$8*(SUMIF($AD$3:$BA$3,"&lt;"&amp;$DF29,$B29:$Y29)+SUMIF($AD$3:$BA$3,"&gt;="&amp;$DG29,$B29:$Y29)),
IF(AP$3=$DF29+'Model Setup'!$L$7,SUMIF($AD$3:$BA$3,"="&amp;$DF29+'Model Setup'!$L$7,$B29:$Y29)+'Model Setup'!$L$8*(SUMIF($AD$3:$BA$3,"&lt;"&amp;$DF29,$B29:$Y29)+SUMIF($AD$3:$BA$3,"&gt;="&amp;$DG29,$B29:$Y29)),
IF(AP$3=$DF29+'Model Setup'!$M$7,SUMIF($AD$3:$BA$3,"="&amp;$DF29+'Model Setup'!$M$7,$B29:$Y29)+'Model Setup'!$M$8*(SUMIF($AD$3:$BA$3,"&lt;"&amp;$DF29,$B29:$Y29)+SUMIF($AD$3:$BA$3,"&gt;="&amp;$DG29,$B29:$Y29)),
IF(AP$3=$DF29+'Model Setup'!$N$7,SUMIF($AD$3:$BA$3,"="&amp;$DF29+'Model Setup'!$N$7,$B29:$Y29)+'Model Setup'!$N$8*(SUMIF($AD$3:$BA$3,"&lt;"&amp;$DF29,$B29:$Y29)+SUMIF($AD$3:$BA$3,"&gt;="&amp;$DG29,$B29:$Y29)),
IF(AP$3&lt;$DG29,N29,0))))))))))))))),0)</f>
        <v>35</v>
      </c>
      <c r="AQ29" s="47">
        <f>ROUND(IF(AQ$3&lt;$DF29,0,
IF(AQ$3=$DF29+'Model Setup'!$B$7,SUMIF($AD$3:$BA$3,"="&amp;$DF29+'Model Setup'!$B$7,$B29:$Y29)+'Model Setup'!$B$8*(SUMIF($AD$3:$BA$3,"&lt;"&amp;$DF29,$B29:$Y29)+SUMIF($AD$3:$BA$3,"&gt;="&amp;$DG29,$B29:$Y29)),
IF(AQ$3=$DF29+'Model Setup'!$C$7,SUMIF($AD$3:$BA$3,"="&amp;$DF29+'Model Setup'!$C$7,$B29:$Y29)+'Model Setup'!$C$8*(SUMIF($AD$3:$BA$3,"&lt;"&amp;$DF29,$B29:$Y29)+SUMIF($AD$3:$BA$3,"&gt;="&amp;$DG29,$B29:$Y29)),
IF(AQ$3=$DF29+'Model Setup'!$D$7,SUMIF($AD$3:$BA$3,"="&amp;$DF29+'Model Setup'!$D$7,$B29:$Y29)+'Model Setup'!$D$8*(SUMIF($AD$3:$BA$3,"&lt;"&amp;$DF29,$B29:$Y29)+SUMIF($AD$3:$BA$3,"&gt;="&amp;$DG29,$B29:$Y29)),
IF(AQ$3=$DF29+'Model Setup'!$E$7,SUMIF($AD$3:$BA$3,"="&amp;$DF29+'Model Setup'!$E$7,$B29:$Y29)+'Model Setup'!$E$8*(SUMIF($AD$3:$BA$3,"&lt;"&amp;$DF29,$B29:$Y29)+SUMIF($AD$3:$BA$3,"&gt;="&amp;$DG29,$B29:$Y29)),
IF(AQ$3=$DF29+'Model Setup'!$F$7,SUMIF($AD$3:$BA$3,"="&amp;$DF29+'Model Setup'!$F$7,$B29:$Y29)+'Model Setup'!$F$8*(SUMIF($AD$3:$BA$3,"&lt;"&amp;$DF29,$B29:$Y29)+SUMIF($AD$3:$BA$3,"&gt;="&amp;$DG29,$B29:$Y29)),
IF(AQ$3=$DF29+'Model Setup'!$G$7,SUMIF($AD$3:$BA$3,"="&amp;$DF29+'Model Setup'!$G$7,$B29:$Y29)+'Model Setup'!$G$8*(SUMIF($AD$3:$BA$3,"&lt;"&amp;$DF29,$B29:$Y29)+SUMIF($AD$3:$BA$3,"&gt;="&amp;$DG29,$B29:$Y29)),
IF(AQ$3=$DF29+'Model Setup'!$H$7,SUMIF($AD$3:$BA$3,"="&amp;$DF29+'Model Setup'!$H$7,$B29:$Y29)+'Model Setup'!$H$8*(SUMIF($AD$3:$BA$3,"&lt;"&amp;$DF29,$B29:$Y29)+SUMIF($AD$3:$BA$3,"&gt;="&amp;$DG29,$B29:$Y29)),
IF(AQ$3=$DF29+'Model Setup'!$I$7,SUMIF($AD$3:$BA$3,"="&amp;$DF29+'Model Setup'!$I$7,$B29:$Y29)+'Model Setup'!$I$8*(SUMIF($AD$3:$BA$3,"&lt;"&amp;$DF29,$B29:$Y29)+SUMIF($AD$3:$BA$3,"&gt;="&amp;$DG29,$B29:$Y29)),
IF(AQ$3=$DF29+'Model Setup'!$J$7,SUMIF($AD$3:$BA$3,"="&amp;$DF29+'Model Setup'!$J$7,$B29:$Y29)+'Model Setup'!$J$8*(SUMIF($AD$3:$BA$3,"&lt;"&amp;$DF29,$B29:$Y29)+SUMIF($AD$3:$BA$3,"&gt;="&amp;$DG29,$B29:$Y29)),
IF(AQ$3=$DF29+'Model Setup'!$K$7,SUMIF($AD$3:$BA$3,"="&amp;$DF29+'Model Setup'!$K$7,$B29:$Y29)+'Model Setup'!$K$8*(SUMIF($AD$3:$BA$3,"&lt;"&amp;$DF29,$B29:$Y29)+SUMIF($AD$3:$BA$3,"&gt;="&amp;$DG29,$B29:$Y29)),
IF(AQ$3=$DF29+'Model Setup'!$L$7,SUMIF($AD$3:$BA$3,"="&amp;$DF29+'Model Setup'!$L$7,$B29:$Y29)+'Model Setup'!$L$8*(SUMIF($AD$3:$BA$3,"&lt;"&amp;$DF29,$B29:$Y29)+SUMIF($AD$3:$BA$3,"&gt;="&amp;$DG29,$B29:$Y29)),
IF(AQ$3=$DF29+'Model Setup'!$M$7,SUMIF($AD$3:$BA$3,"="&amp;$DF29+'Model Setup'!$M$7,$B29:$Y29)+'Model Setup'!$M$8*(SUMIF($AD$3:$BA$3,"&lt;"&amp;$DF29,$B29:$Y29)+SUMIF($AD$3:$BA$3,"&gt;="&amp;$DG29,$B29:$Y29)),
IF(AQ$3=$DF29+'Model Setup'!$N$7,SUMIF($AD$3:$BA$3,"="&amp;$DF29+'Model Setup'!$N$7,$B29:$Y29)+'Model Setup'!$N$8*(SUMIF($AD$3:$BA$3,"&lt;"&amp;$DF29,$B29:$Y29)+SUMIF($AD$3:$BA$3,"&gt;="&amp;$DG29,$B29:$Y29)),
IF(AQ$3&lt;$DG29,O29,0))))))))))))))),0)</f>
        <v>35</v>
      </c>
      <c r="AR29" s="47">
        <f>ROUND(IF(AR$3&lt;$DF29,0,
IF(AR$3=$DF29+'Model Setup'!$B$7,SUMIF($AD$3:$BA$3,"="&amp;$DF29+'Model Setup'!$B$7,$B29:$Y29)+'Model Setup'!$B$8*(SUMIF($AD$3:$BA$3,"&lt;"&amp;$DF29,$B29:$Y29)+SUMIF($AD$3:$BA$3,"&gt;="&amp;$DG29,$B29:$Y29)),
IF(AR$3=$DF29+'Model Setup'!$C$7,SUMIF($AD$3:$BA$3,"="&amp;$DF29+'Model Setup'!$C$7,$B29:$Y29)+'Model Setup'!$C$8*(SUMIF($AD$3:$BA$3,"&lt;"&amp;$DF29,$B29:$Y29)+SUMIF($AD$3:$BA$3,"&gt;="&amp;$DG29,$B29:$Y29)),
IF(AR$3=$DF29+'Model Setup'!$D$7,SUMIF($AD$3:$BA$3,"="&amp;$DF29+'Model Setup'!$D$7,$B29:$Y29)+'Model Setup'!$D$8*(SUMIF($AD$3:$BA$3,"&lt;"&amp;$DF29,$B29:$Y29)+SUMIF($AD$3:$BA$3,"&gt;="&amp;$DG29,$B29:$Y29)),
IF(AR$3=$DF29+'Model Setup'!$E$7,SUMIF($AD$3:$BA$3,"="&amp;$DF29+'Model Setup'!$E$7,$B29:$Y29)+'Model Setup'!$E$8*(SUMIF($AD$3:$BA$3,"&lt;"&amp;$DF29,$B29:$Y29)+SUMIF($AD$3:$BA$3,"&gt;="&amp;$DG29,$B29:$Y29)),
IF(AR$3=$DF29+'Model Setup'!$F$7,SUMIF($AD$3:$BA$3,"="&amp;$DF29+'Model Setup'!$F$7,$B29:$Y29)+'Model Setup'!$F$8*(SUMIF($AD$3:$BA$3,"&lt;"&amp;$DF29,$B29:$Y29)+SUMIF($AD$3:$BA$3,"&gt;="&amp;$DG29,$B29:$Y29)),
IF(AR$3=$DF29+'Model Setup'!$G$7,SUMIF($AD$3:$BA$3,"="&amp;$DF29+'Model Setup'!$G$7,$B29:$Y29)+'Model Setup'!$G$8*(SUMIF($AD$3:$BA$3,"&lt;"&amp;$DF29,$B29:$Y29)+SUMIF($AD$3:$BA$3,"&gt;="&amp;$DG29,$B29:$Y29)),
IF(AR$3=$DF29+'Model Setup'!$H$7,SUMIF($AD$3:$BA$3,"="&amp;$DF29+'Model Setup'!$H$7,$B29:$Y29)+'Model Setup'!$H$8*(SUMIF($AD$3:$BA$3,"&lt;"&amp;$DF29,$B29:$Y29)+SUMIF($AD$3:$BA$3,"&gt;="&amp;$DG29,$B29:$Y29)),
IF(AR$3=$DF29+'Model Setup'!$I$7,SUMIF($AD$3:$BA$3,"="&amp;$DF29+'Model Setup'!$I$7,$B29:$Y29)+'Model Setup'!$I$8*(SUMIF($AD$3:$BA$3,"&lt;"&amp;$DF29,$B29:$Y29)+SUMIF($AD$3:$BA$3,"&gt;="&amp;$DG29,$B29:$Y29)),
IF(AR$3=$DF29+'Model Setup'!$J$7,SUMIF($AD$3:$BA$3,"="&amp;$DF29+'Model Setup'!$J$7,$B29:$Y29)+'Model Setup'!$J$8*(SUMIF($AD$3:$BA$3,"&lt;"&amp;$DF29,$B29:$Y29)+SUMIF($AD$3:$BA$3,"&gt;="&amp;$DG29,$B29:$Y29)),
IF(AR$3=$DF29+'Model Setup'!$K$7,SUMIF($AD$3:$BA$3,"="&amp;$DF29+'Model Setup'!$K$7,$B29:$Y29)+'Model Setup'!$K$8*(SUMIF($AD$3:$BA$3,"&lt;"&amp;$DF29,$B29:$Y29)+SUMIF($AD$3:$BA$3,"&gt;="&amp;$DG29,$B29:$Y29)),
IF(AR$3=$DF29+'Model Setup'!$L$7,SUMIF($AD$3:$BA$3,"="&amp;$DF29+'Model Setup'!$L$7,$B29:$Y29)+'Model Setup'!$L$8*(SUMIF($AD$3:$BA$3,"&lt;"&amp;$DF29,$B29:$Y29)+SUMIF($AD$3:$BA$3,"&gt;="&amp;$DG29,$B29:$Y29)),
IF(AR$3=$DF29+'Model Setup'!$M$7,SUMIF($AD$3:$BA$3,"="&amp;$DF29+'Model Setup'!$M$7,$B29:$Y29)+'Model Setup'!$M$8*(SUMIF($AD$3:$BA$3,"&lt;"&amp;$DF29,$B29:$Y29)+SUMIF($AD$3:$BA$3,"&gt;="&amp;$DG29,$B29:$Y29)),
IF(AR$3=$DF29+'Model Setup'!$N$7,SUMIF($AD$3:$BA$3,"="&amp;$DF29+'Model Setup'!$N$7,$B29:$Y29)+'Model Setup'!$N$8*(SUMIF($AD$3:$BA$3,"&lt;"&amp;$DF29,$B29:$Y29)+SUMIF($AD$3:$BA$3,"&gt;="&amp;$DG29,$B29:$Y29)),
IF(AR$3&lt;$DG29,P29,0))))))))))))))),0)</f>
        <v>33</v>
      </c>
      <c r="AS29" s="47">
        <f>ROUND(IF(AS$3&lt;$DF29,0,
IF(AS$3=$DF29+'Model Setup'!$B$7,SUMIF($AD$3:$BA$3,"="&amp;$DF29+'Model Setup'!$B$7,$B29:$Y29)+'Model Setup'!$B$8*(SUMIF($AD$3:$BA$3,"&lt;"&amp;$DF29,$B29:$Y29)+SUMIF($AD$3:$BA$3,"&gt;="&amp;$DG29,$B29:$Y29)),
IF(AS$3=$DF29+'Model Setup'!$C$7,SUMIF($AD$3:$BA$3,"="&amp;$DF29+'Model Setup'!$C$7,$B29:$Y29)+'Model Setup'!$C$8*(SUMIF($AD$3:$BA$3,"&lt;"&amp;$DF29,$B29:$Y29)+SUMIF($AD$3:$BA$3,"&gt;="&amp;$DG29,$B29:$Y29)),
IF(AS$3=$DF29+'Model Setup'!$D$7,SUMIF($AD$3:$BA$3,"="&amp;$DF29+'Model Setup'!$D$7,$B29:$Y29)+'Model Setup'!$D$8*(SUMIF($AD$3:$BA$3,"&lt;"&amp;$DF29,$B29:$Y29)+SUMIF($AD$3:$BA$3,"&gt;="&amp;$DG29,$B29:$Y29)),
IF(AS$3=$DF29+'Model Setup'!$E$7,SUMIF($AD$3:$BA$3,"="&amp;$DF29+'Model Setup'!$E$7,$B29:$Y29)+'Model Setup'!$E$8*(SUMIF($AD$3:$BA$3,"&lt;"&amp;$DF29,$B29:$Y29)+SUMIF($AD$3:$BA$3,"&gt;="&amp;$DG29,$B29:$Y29)),
IF(AS$3=$DF29+'Model Setup'!$F$7,SUMIF($AD$3:$BA$3,"="&amp;$DF29+'Model Setup'!$F$7,$B29:$Y29)+'Model Setup'!$F$8*(SUMIF($AD$3:$BA$3,"&lt;"&amp;$DF29,$B29:$Y29)+SUMIF($AD$3:$BA$3,"&gt;="&amp;$DG29,$B29:$Y29)),
IF(AS$3=$DF29+'Model Setup'!$G$7,SUMIF($AD$3:$BA$3,"="&amp;$DF29+'Model Setup'!$G$7,$B29:$Y29)+'Model Setup'!$G$8*(SUMIF($AD$3:$BA$3,"&lt;"&amp;$DF29,$B29:$Y29)+SUMIF($AD$3:$BA$3,"&gt;="&amp;$DG29,$B29:$Y29)),
IF(AS$3=$DF29+'Model Setup'!$H$7,SUMIF($AD$3:$BA$3,"="&amp;$DF29+'Model Setup'!$H$7,$B29:$Y29)+'Model Setup'!$H$8*(SUMIF($AD$3:$BA$3,"&lt;"&amp;$DF29,$B29:$Y29)+SUMIF($AD$3:$BA$3,"&gt;="&amp;$DG29,$B29:$Y29)),
IF(AS$3=$DF29+'Model Setup'!$I$7,SUMIF($AD$3:$BA$3,"="&amp;$DF29+'Model Setup'!$I$7,$B29:$Y29)+'Model Setup'!$I$8*(SUMIF($AD$3:$BA$3,"&lt;"&amp;$DF29,$B29:$Y29)+SUMIF($AD$3:$BA$3,"&gt;="&amp;$DG29,$B29:$Y29)),
IF(AS$3=$DF29+'Model Setup'!$J$7,SUMIF($AD$3:$BA$3,"="&amp;$DF29+'Model Setup'!$J$7,$B29:$Y29)+'Model Setup'!$J$8*(SUMIF($AD$3:$BA$3,"&lt;"&amp;$DF29,$B29:$Y29)+SUMIF($AD$3:$BA$3,"&gt;="&amp;$DG29,$B29:$Y29)),
IF(AS$3=$DF29+'Model Setup'!$K$7,SUMIF($AD$3:$BA$3,"="&amp;$DF29+'Model Setup'!$K$7,$B29:$Y29)+'Model Setup'!$K$8*(SUMIF($AD$3:$BA$3,"&lt;"&amp;$DF29,$B29:$Y29)+SUMIF($AD$3:$BA$3,"&gt;="&amp;$DG29,$B29:$Y29)),
IF(AS$3=$DF29+'Model Setup'!$L$7,SUMIF($AD$3:$BA$3,"="&amp;$DF29+'Model Setup'!$L$7,$B29:$Y29)+'Model Setup'!$L$8*(SUMIF($AD$3:$BA$3,"&lt;"&amp;$DF29,$B29:$Y29)+SUMIF($AD$3:$BA$3,"&gt;="&amp;$DG29,$B29:$Y29)),
IF(AS$3=$DF29+'Model Setup'!$M$7,SUMIF($AD$3:$BA$3,"="&amp;$DF29+'Model Setup'!$M$7,$B29:$Y29)+'Model Setup'!$M$8*(SUMIF($AD$3:$BA$3,"&lt;"&amp;$DF29,$B29:$Y29)+SUMIF($AD$3:$BA$3,"&gt;="&amp;$DG29,$B29:$Y29)),
IF(AS$3=$DF29+'Model Setup'!$N$7,SUMIF($AD$3:$BA$3,"="&amp;$DF29+'Model Setup'!$N$7,$B29:$Y29)+'Model Setup'!$N$8*(SUMIF($AD$3:$BA$3,"&lt;"&amp;$DF29,$B29:$Y29)+SUMIF($AD$3:$BA$3,"&gt;="&amp;$DG29,$B29:$Y29)),
IF(AS$3&lt;$DG29,Q29,0))))))))))))))),0)</f>
        <v>22</v>
      </c>
      <c r="AT29" s="47">
        <f>ROUND(IF(AT$3&lt;$DF29,0,
IF(AT$3=$DF29+'Model Setup'!$B$7,SUMIF($AD$3:$BA$3,"="&amp;$DF29+'Model Setup'!$B$7,$B29:$Y29)+'Model Setup'!$B$8*(SUMIF($AD$3:$BA$3,"&lt;"&amp;$DF29,$B29:$Y29)+SUMIF($AD$3:$BA$3,"&gt;="&amp;$DG29,$B29:$Y29)),
IF(AT$3=$DF29+'Model Setup'!$C$7,SUMIF($AD$3:$BA$3,"="&amp;$DF29+'Model Setup'!$C$7,$B29:$Y29)+'Model Setup'!$C$8*(SUMIF($AD$3:$BA$3,"&lt;"&amp;$DF29,$B29:$Y29)+SUMIF($AD$3:$BA$3,"&gt;="&amp;$DG29,$B29:$Y29)),
IF(AT$3=$DF29+'Model Setup'!$D$7,SUMIF($AD$3:$BA$3,"="&amp;$DF29+'Model Setup'!$D$7,$B29:$Y29)+'Model Setup'!$D$8*(SUMIF($AD$3:$BA$3,"&lt;"&amp;$DF29,$B29:$Y29)+SUMIF($AD$3:$BA$3,"&gt;="&amp;$DG29,$B29:$Y29)),
IF(AT$3=$DF29+'Model Setup'!$E$7,SUMIF($AD$3:$BA$3,"="&amp;$DF29+'Model Setup'!$E$7,$B29:$Y29)+'Model Setup'!$E$8*(SUMIF($AD$3:$BA$3,"&lt;"&amp;$DF29,$B29:$Y29)+SUMIF($AD$3:$BA$3,"&gt;="&amp;$DG29,$B29:$Y29)),
IF(AT$3=$DF29+'Model Setup'!$F$7,SUMIF($AD$3:$BA$3,"="&amp;$DF29+'Model Setup'!$F$7,$B29:$Y29)+'Model Setup'!$F$8*(SUMIF($AD$3:$BA$3,"&lt;"&amp;$DF29,$B29:$Y29)+SUMIF($AD$3:$BA$3,"&gt;="&amp;$DG29,$B29:$Y29)),
IF(AT$3=$DF29+'Model Setup'!$G$7,SUMIF($AD$3:$BA$3,"="&amp;$DF29+'Model Setup'!$G$7,$B29:$Y29)+'Model Setup'!$G$8*(SUMIF($AD$3:$BA$3,"&lt;"&amp;$DF29,$B29:$Y29)+SUMIF($AD$3:$BA$3,"&gt;="&amp;$DG29,$B29:$Y29)),
IF(AT$3=$DF29+'Model Setup'!$H$7,SUMIF($AD$3:$BA$3,"="&amp;$DF29+'Model Setup'!$H$7,$B29:$Y29)+'Model Setup'!$H$8*(SUMIF($AD$3:$BA$3,"&lt;"&amp;$DF29,$B29:$Y29)+SUMIF($AD$3:$BA$3,"&gt;="&amp;$DG29,$B29:$Y29)),
IF(AT$3=$DF29+'Model Setup'!$I$7,SUMIF($AD$3:$BA$3,"="&amp;$DF29+'Model Setup'!$I$7,$B29:$Y29)+'Model Setup'!$I$8*(SUMIF($AD$3:$BA$3,"&lt;"&amp;$DF29,$B29:$Y29)+SUMIF($AD$3:$BA$3,"&gt;="&amp;$DG29,$B29:$Y29)),
IF(AT$3=$DF29+'Model Setup'!$J$7,SUMIF($AD$3:$BA$3,"="&amp;$DF29+'Model Setup'!$J$7,$B29:$Y29)+'Model Setup'!$J$8*(SUMIF($AD$3:$BA$3,"&lt;"&amp;$DF29,$B29:$Y29)+SUMIF($AD$3:$BA$3,"&gt;="&amp;$DG29,$B29:$Y29)),
IF(AT$3=$DF29+'Model Setup'!$K$7,SUMIF($AD$3:$BA$3,"="&amp;$DF29+'Model Setup'!$K$7,$B29:$Y29)+'Model Setup'!$K$8*(SUMIF($AD$3:$BA$3,"&lt;"&amp;$DF29,$B29:$Y29)+SUMIF($AD$3:$BA$3,"&gt;="&amp;$DG29,$B29:$Y29)),
IF(AT$3=$DF29+'Model Setup'!$L$7,SUMIF($AD$3:$BA$3,"="&amp;$DF29+'Model Setup'!$L$7,$B29:$Y29)+'Model Setup'!$L$8*(SUMIF($AD$3:$BA$3,"&lt;"&amp;$DF29,$B29:$Y29)+SUMIF($AD$3:$BA$3,"&gt;="&amp;$DG29,$B29:$Y29)),
IF(AT$3=$DF29+'Model Setup'!$M$7,SUMIF($AD$3:$BA$3,"="&amp;$DF29+'Model Setup'!$M$7,$B29:$Y29)+'Model Setup'!$M$8*(SUMIF($AD$3:$BA$3,"&lt;"&amp;$DF29,$B29:$Y29)+SUMIF($AD$3:$BA$3,"&gt;="&amp;$DG29,$B29:$Y29)),
IF(AT$3=$DF29+'Model Setup'!$N$7,SUMIF($AD$3:$BA$3,"="&amp;$DF29+'Model Setup'!$N$7,$B29:$Y29)+'Model Setup'!$N$8*(SUMIF($AD$3:$BA$3,"&lt;"&amp;$DF29,$B29:$Y29)+SUMIF($AD$3:$BA$3,"&gt;="&amp;$DG29,$B29:$Y29)),
IF(AT$3&lt;$DG29,R29,0))))))))))))))),0)</f>
        <v>30</v>
      </c>
      <c r="AU29" s="47">
        <f>ROUND(IF(AU$3&lt;$DF29,0,
IF(AU$3=$DF29+'Model Setup'!$B$7,SUMIF($AD$3:$BA$3,"="&amp;$DF29+'Model Setup'!$B$7,$B29:$Y29)+'Model Setup'!$B$8*(SUMIF($AD$3:$BA$3,"&lt;"&amp;$DF29,$B29:$Y29)+SUMIF($AD$3:$BA$3,"&gt;="&amp;$DG29,$B29:$Y29)),
IF(AU$3=$DF29+'Model Setup'!$C$7,SUMIF($AD$3:$BA$3,"="&amp;$DF29+'Model Setup'!$C$7,$B29:$Y29)+'Model Setup'!$C$8*(SUMIF($AD$3:$BA$3,"&lt;"&amp;$DF29,$B29:$Y29)+SUMIF($AD$3:$BA$3,"&gt;="&amp;$DG29,$B29:$Y29)),
IF(AU$3=$DF29+'Model Setup'!$D$7,SUMIF($AD$3:$BA$3,"="&amp;$DF29+'Model Setup'!$D$7,$B29:$Y29)+'Model Setup'!$D$8*(SUMIF($AD$3:$BA$3,"&lt;"&amp;$DF29,$B29:$Y29)+SUMIF($AD$3:$BA$3,"&gt;="&amp;$DG29,$B29:$Y29)),
IF(AU$3=$DF29+'Model Setup'!$E$7,SUMIF($AD$3:$BA$3,"="&amp;$DF29+'Model Setup'!$E$7,$B29:$Y29)+'Model Setup'!$E$8*(SUMIF($AD$3:$BA$3,"&lt;"&amp;$DF29,$B29:$Y29)+SUMIF($AD$3:$BA$3,"&gt;="&amp;$DG29,$B29:$Y29)),
IF(AU$3=$DF29+'Model Setup'!$F$7,SUMIF($AD$3:$BA$3,"="&amp;$DF29+'Model Setup'!$F$7,$B29:$Y29)+'Model Setup'!$F$8*(SUMIF($AD$3:$BA$3,"&lt;"&amp;$DF29,$B29:$Y29)+SUMIF($AD$3:$BA$3,"&gt;="&amp;$DG29,$B29:$Y29)),
IF(AU$3=$DF29+'Model Setup'!$G$7,SUMIF($AD$3:$BA$3,"="&amp;$DF29+'Model Setup'!$G$7,$B29:$Y29)+'Model Setup'!$G$8*(SUMIF($AD$3:$BA$3,"&lt;"&amp;$DF29,$B29:$Y29)+SUMIF($AD$3:$BA$3,"&gt;="&amp;$DG29,$B29:$Y29)),
IF(AU$3=$DF29+'Model Setup'!$H$7,SUMIF($AD$3:$BA$3,"="&amp;$DF29+'Model Setup'!$H$7,$B29:$Y29)+'Model Setup'!$H$8*(SUMIF($AD$3:$BA$3,"&lt;"&amp;$DF29,$B29:$Y29)+SUMIF($AD$3:$BA$3,"&gt;="&amp;$DG29,$B29:$Y29)),
IF(AU$3=$DF29+'Model Setup'!$I$7,SUMIF($AD$3:$BA$3,"="&amp;$DF29+'Model Setup'!$I$7,$B29:$Y29)+'Model Setup'!$I$8*(SUMIF($AD$3:$BA$3,"&lt;"&amp;$DF29,$B29:$Y29)+SUMIF($AD$3:$BA$3,"&gt;="&amp;$DG29,$B29:$Y29)),
IF(AU$3=$DF29+'Model Setup'!$J$7,SUMIF($AD$3:$BA$3,"="&amp;$DF29+'Model Setup'!$J$7,$B29:$Y29)+'Model Setup'!$J$8*(SUMIF($AD$3:$BA$3,"&lt;"&amp;$DF29,$B29:$Y29)+SUMIF($AD$3:$BA$3,"&gt;="&amp;$DG29,$B29:$Y29)),
IF(AU$3=$DF29+'Model Setup'!$K$7,SUMIF($AD$3:$BA$3,"="&amp;$DF29+'Model Setup'!$K$7,$B29:$Y29)+'Model Setup'!$K$8*(SUMIF($AD$3:$BA$3,"&lt;"&amp;$DF29,$B29:$Y29)+SUMIF($AD$3:$BA$3,"&gt;="&amp;$DG29,$B29:$Y29)),
IF(AU$3=$DF29+'Model Setup'!$L$7,SUMIF($AD$3:$BA$3,"="&amp;$DF29+'Model Setup'!$L$7,$B29:$Y29)+'Model Setup'!$L$8*(SUMIF($AD$3:$BA$3,"&lt;"&amp;$DF29,$B29:$Y29)+SUMIF($AD$3:$BA$3,"&gt;="&amp;$DG29,$B29:$Y29)),
IF(AU$3=$DF29+'Model Setup'!$M$7,SUMIF($AD$3:$BA$3,"="&amp;$DF29+'Model Setup'!$M$7,$B29:$Y29)+'Model Setup'!$M$8*(SUMIF($AD$3:$BA$3,"&lt;"&amp;$DF29,$B29:$Y29)+SUMIF($AD$3:$BA$3,"&gt;="&amp;$DG29,$B29:$Y29)),
IF(AU$3=$DF29+'Model Setup'!$N$7,SUMIF($AD$3:$BA$3,"="&amp;$DF29+'Model Setup'!$N$7,$B29:$Y29)+'Model Setup'!$N$8*(SUMIF($AD$3:$BA$3,"&lt;"&amp;$DF29,$B29:$Y29)+SUMIF($AD$3:$BA$3,"&gt;="&amp;$DG29,$B29:$Y29)),
IF(AU$3&lt;$DG29,S29,0))))))))))))))),0)</f>
        <v>30</v>
      </c>
      <c r="AV29" s="47">
        <f>ROUND(IF(AV$3&lt;$DF29,0,
IF(AV$3=$DF29+'Model Setup'!$B$7,SUMIF($AD$3:$BA$3,"="&amp;$DF29+'Model Setup'!$B$7,$B29:$Y29)+'Model Setup'!$B$8*(SUMIF($AD$3:$BA$3,"&lt;"&amp;$DF29,$B29:$Y29)+SUMIF($AD$3:$BA$3,"&gt;="&amp;$DG29,$B29:$Y29)),
IF(AV$3=$DF29+'Model Setup'!$C$7,SUMIF($AD$3:$BA$3,"="&amp;$DF29+'Model Setup'!$C$7,$B29:$Y29)+'Model Setup'!$C$8*(SUMIF($AD$3:$BA$3,"&lt;"&amp;$DF29,$B29:$Y29)+SUMIF($AD$3:$BA$3,"&gt;="&amp;$DG29,$B29:$Y29)),
IF(AV$3=$DF29+'Model Setup'!$D$7,SUMIF($AD$3:$BA$3,"="&amp;$DF29+'Model Setup'!$D$7,$B29:$Y29)+'Model Setup'!$D$8*(SUMIF($AD$3:$BA$3,"&lt;"&amp;$DF29,$B29:$Y29)+SUMIF($AD$3:$BA$3,"&gt;="&amp;$DG29,$B29:$Y29)),
IF(AV$3=$DF29+'Model Setup'!$E$7,SUMIF($AD$3:$BA$3,"="&amp;$DF29+'Model Setup'!$E$7,$B29:$Y29)+'Model Setup'!$E$8*(SUMIF($AD$3:$BA$3,"&lt;"&amp;$DF29,$B29:$Y29)+SUMIF($AD$3:$BA$3,"&gt;="&amp;$DG29,$B29:$Y29)),
IF(AV$3=$DF29+'Model Setup'!$F$7,SUMIF($AD$3:$BA$3,"="&amp;$DF29+'Model Setup'!$F$7,$B29:$Y29)+'Model Setup'!$F$8*(SUMIF($AD$3:$BA$3,"&lt;"&amp;$DF29,$B29:$Y29)+SUMIF($AD$3:$BA$3,"&gt;="&amp;$DG29,$B29:$Y29)),
IF(AV$3=$DF29+'Model Setup'!$G$7,SUMIF($AD$3:$BA$3,"="&amp;$DF29+'Model Setup'!$G$7,$B29:$Y29)+'Model Setup'!$G$8*(SUMIF($AD$3:$BA$3,"&lt;"&amp;$DF29,$B29:$Y29)+SUMIF($AD$3:$BA$3,"&gt;="&amp;$DG29,$B29:$Y29)),
IF(AV$3=$DF29+'Model Setup'!$H$7,SUMIF($AD$3:$BA$3,"="&amp;$DF29+'Model Setup'!$H$7,$B29:$Y29)+'Model Setup'!$H$8*(SUMIF($AD$3:$BA$3,"&lt;"&amp;$DF29,$B29:$Y29)+SUMIF($AD$3:$BA$3,"&gt;="&amp;$DG29,$B29:$Y29)),
IF(AV$3=$DF29+'Model Setup'!$I$7,SUMIF($AD$3:$BA$3,"="&amp;$DF29+'Model Setup'!$I$7,$B29:$Y29)+'Model Setup'!$I$8*(SUMIF($AD$3:$BA$3,"&lt;"&amp;$DF29,$B29:$Y29)+SUMIF($AD$3:$BA$3,"&gt;="&amp;$DG29,$B29:$Y29)),
IF(AV$3=$DF29+'Model Setup'!$J$7,SUMIF($AD$3:$BA$3,"="&amp;$DF29+'Model Setup'!$J$7,$B29:$Y29)+'Model Setup'!$J$8*(SUMIF($AD$3:$BA$3,"&lt;"&amp;$DF29,$B29:$Y29)+SUMIF($AD$3:$BA$3,"&gt;="&amp;$DG29,$B29:$Y29)),
IF(AV$3=$DF29+'Model Setup'!$K$7,SUMIF($AD$3:$BA$3,"="&amp;$DF29+'Model Setup'!$K$7,$B29:$Y29)+'Model Setup'!$K$8*(SUMIF($AD$3:$BA$3,"&lt;"&amp;$DF29,$B29:$Y29)+SUMIF($AD$3:$BA$3,"&gt;="&amp;$DG29,$B29:$Y29)),
IF(AV$3=$DF29+'Model Setup'!$L$7,SUMIF($AD$3:$BA$3,"="&amp;$DF29+'Model Setup'!$L$7,$B29:$Y29)+'Model Setup'!$L$8*(SUMIF($AD$3:$BA$3,"&lt;"&amp;$DF29,$B29:$Y29)+SUMIF($AD$3:$BA$3,"&gt;="&amp;$DG29,$B29:$Y29)),
IF(AV$3=$DF29+'Model Setup'!$M$7,SUMIF($AD$3:$BA$3,"="&amp;$DF29+'Model Setup'!$M$7,$B29:$Y29)+'Model Setup'!$M$8*(SUMIF($AD$3:$BA$3,"&lt;"&amp;$DF29,$B29:$Y29)+SUMIF($AD$3:$BA$3,"&gt;="&amp;$DG29,$B29:$Y29)),
IF(AV$3=$DF29+'Model Setup'!$N$7,SUMIF($AD$3:$BA$3,"="&amp;$DF29+'Model Setup'!$N$7,$B29:$Y29)+'Model Setup'!$N$8*(SUMIF($AD$3:$BA$3,"&lt;"&amp;$DF29,$B29:$Y29)+SUMIF($AD$3:$BA$3,"&gt;="&amp;$DG29,$B29:$Y29)),
IF(AV$3&lt;$DG29,T29,0))))))))))))))),0)</f>
        <v>20</v>
      </c>
      <c r="AW29" s="47">
        <f>ROUND(IF(AW$3&lt;$DF29,0,
IF(AW$3=$DF29+'Model Setup'!$B$7,SUMIF($AD$3:$BA$3,"="&amp;$DF29+'Model Setup'!$B$7,$B29:$Y29)+'Model Setup'!$B$8*(SUMIF($AD$3:$BA$3,"&lt;"&amp;$DF29,$B29:$Y29)+SUMIF($AD$3:$BA$3,"&gt;="&amp;$DG29,$B29:$Y29)),
IF(AW$3=$DF29+'Model Setup'!$C$7,SUMIF($AD$3:$BA$3,"="&amp;$DF29+'Model Setup'!$C$7,$B29:$Y29)+'Model Setup'!$C$8*(SUMIF($AD$3:$BA$3,"&lt;"&amp;$DF29,$B29:$Y29)+SUMIF($AD$3:$BA$3,"&gt;="&amp;$DG29,$B29:$Y29)),
IF(AW$3=$DF29+'Model Setup'!$D$7,SUMIF($AD$3:$BA$3,"="&amp;$DF29+'Model Setup'!$D$7,$B29:$Y29)+'Model Setup'!$D$8*(SUMIF($AD$3:$BA$3,"&lt;"&amp;$DF29,$B29:$Y29)+SUMIF($AD$3:$BA$3,"&gt;="&amp;$DG29,$B29:$Y29)),
IF(AW$3=$DF29+'Model Setup'!$E$7,SUMIF($AD$3:$BA$3,"="&amp;$DF29+'Model Setup'!$E$7,$B29:$Y29)+'Model Setup'!$E$8*(SUMIF($AD$3:$BA$3,"&lt;"&amp;$DF29,$B29:$Y29)+SUMIF($AD$3:$BA$3,"&gt;="&amp;$DG29,$B29:$Y29)),
IF(AW$3=$DF29+'Model Setup'!$F$7,SUMIF($AD$3:$BA$3,"="&amp;$DF29+'Model Setup'!$F$7,$B29:$Y29)+'Model Setup'!$F$8*(SUMIF($AD$3:$BA$3,"&lt;"&amp;$DF29,$B29:$Y29)+SUMIF($AD$3:$BA$3,"&gt;="&amp;$DG29,$B29:$Y29)),
IF(AW$3=$DF29+'Model Setup'!$G$7,SUMIF($AD$3:$BA$3,"="&amp;$DF29+'Model Setup'!$G$7,$B29:$Y29)+'Model Setup'!$G$8*(SUMIF($AD$3:$BA$3,"&lt;"&amp;$DF29,$B29:$Y29)+SUMIF($AD$3:$BA$3,"&gt;="&amp;$DG29,$B29:$Y29)),
IF(AW$3=$DF29+'Model Setup'!$H$7,SUMIF($AD$3:$BA$3,"="&amp;$DF29+'Model Setup'!$H$7,$B29:$Y29)+'Model Setup'!$H$8*(SUMIF($AD$3:$BA$3,"&lt;"&amp;$DF29,$B29:$Y29)+SUMIF($AD$3:$BA$3,"&gt;="&amp;$DG29,$B29:$Y29)),
IF(AW$3=$DF29+'Model Setup'!$I$7,SUMIF($AD$3:$BA$3,"="&amp;$DF29+'Model Setup'!$I$7,$B29:$Y29)+'Model Setup'!$I$8*(SUMIF($AD$3:$BA$3,"&lt;"&amp;$DF29,$B29:$Y29)+SUMIF($AD$3:$BA$3,"&gt;="&amp;$DG29,$B29:$Y29)),
IF(AW$3=$DF29+'Model Setup'!$J$7,SUMIF($AD$3:$BA$3,"="&amp;$DF29+'Model Setup'!$J$7,$B29:$Y29)+'Model Setup'!$J$8*(SUMIF($AD$3:$BA$3,"&lt;"&amp;$DF29,$B29:$Y29)+SUMIF($AD$3:$BA$3,"&gt;="&amp;$DG29,$B29:$Y29)),
IF(AW$3=$DF29+'Model Setup'!$K$7,SUMIF($AD$3:$BA$3,"="&amp;$DF29+'Model Setup'!$K$7,$B29:$Y29)+'Model Setup'!$K$8*(SUMIF($AD$3:$BA$3,"&lt;"&amp;$DF29,$B29:$Y29)+SUMIF($AD$3:$BA$3,"&gt;="&amp;$DG29,$B29:$Y29)),
IF(AW$3=$DF29+'Model Setup'!$L$7,SUMIF($AD$3:$BA$3,"="&amp;$DF29+'Model Setup'!$L$7,$B29:$Y29)+'Model Setup'!$L$8*(SUMIF($AD$3:$BA$3,"&lt;"&amp;$DF29,$B29:$Y29)+SUMIF($AD$3:$BA$3,"&gt;="&amp;$DG29,$B29:$Y29)),
IF(AW$3=$DF29+'Model Setup'!$M$7,SUMIF($AD$3:$BA$3,"="&amp;$DF29+'Model Setup'!$M$7,$B29:$Y29)+'Model Setup'!$M$8*(SUMIF($AD$3:$BA$3,"&lt;"&amp;$DF29,$B29:$Y29)+SUMIF($AD$3:$BA$3,"&gt;="&amp;$DG29,$B29:$Y29)),
IF(AW$3=$DF29+'Model Setup'!$N$7,SUMIF($AD$3:$BA$3,"="&amp;$DF29+'Model Setup'!$N$7,$B29:$Y29)+'Model Setup'!$N$8*(SUMIF($AD$3:$BA$3,"&lt;"&amp;$DF29,$B29:$Y29)+SUMIF($AD$3:$BA$3,"&gt;="&amp;$DG29,$B29:$Y29)),
IF(AW$3&lt;$DG29,U29,0))))))))))))))),0)</f>
        <v>0</v>
      </c>
      <c r="AX29" s="47">
        <f>ROUND(IF(AX$3&lt;$DF29,0,
IF(AX$3=$DF29+'Model Setup'!$B$7,SUMIF($AD$3:$BA$3,"="&amp;$DF29+'Model Setup'!$B$7,$B29:$Y29)+'Model Setup'!$B$8*(SUMIF($AD$3:$BA$3,"&lt;"&amp;$DF29,$B29:$Y29)+SUMIF($AD$3:$BA$3,"&gt;="&amp;$DG29,$B29:$Y29)),
IF(AX$3=$DF29+'Model Setup'!$C$7,SUMIF($AD$3:$BA$3,"="&amp;$DF29+'Model Setup'!$C$7,$B29:$Y29)+'Model Setup'!$C$8*(SUMIF($AD$3:$BA$3,"&lt;"&amp;$DF29,$B29:$Y29)+SUMIF($AD$3:$BA$3,"&gt;="&amp;$DG29,$B29:$Y29)),
IF(AX$3=$DF29+'Model Setup'!$D$7,SUMIF($AD$3:$BA$3,"="&amp;$DF29+'Model Setup'!$D$7,$B29:$Y29)+'Model Setup'!$D$8*(SUMIF($AD$3:$BA$3,"&lt;"&amp;$DF29,$B29:$Y29)+SUMIF($AD$3:$BA$3,"&gt;="&amp;$DG29,$B29:$Y29)),
IF(AX$3=$DF29+'Model Setup'!$E$7,SUMIF($AD$3:$BA$3,"="&amp;$DF29+'Model Setup'!$E$7,$B29:$Y29)+'Model Setup'!$E$8*(SUMIF($AD$3:$BA$3,"&lt;"&amp;$DF29,$B29:$Y29)+SUMIF($AD$3:$BA$3,"&gt;="&amp;$DG29,$B29:$Y29)),
IF(AX$3=$DF29+'Model Setup'!$F$7,SUMIF($AD$3:$BA$3,"="&amp;$DF29+'Model Setup'!$F$7,$B29:$Y29)+'Model Setup'!$F$8*(SUMIF($AD$3:$BA$3,"&lt;"&amp;$DF29,$B29:$Y29)+SUMIF($AD$3:$BA$3,"&gt;="&amp;$DG29,$B29:$Y29)),
IF(AX$3=$DF29+'Model Setup'!$G$7,SUMIF($AD$3:$BA$3,"="&amp;$DF29+'Model Setup'!$G$7,$B29:$Y29)+'Model Setup'!$G$8*(SUMIF($AD$3:$BA$3,"&lt;"&amp;$DF29,$B29:$Y29)+SUMIF($AD$3:$BA$3,"&gt;="&amp;$DG29,$B29:$Y29)),
IF(AX$3=$DF29+'Model Setup'!$H$7,SUMIF($AD$3:$BA$3,"="&amp;$DF29+'Model Setup'!$H$7,$B29:$Y29)+'Model Setup'!$H$8*(SUMIF($AD$3:$BA$3,"&lt;"&amp;$DF29,$B29:$Y29)+SUMIF($AD$3:$BA$3,"&gt;="&amp;$DG29,$B29:$Y29)),
IF(AX$3=$DF29+'Model Setup'!$I$7,SUMIF($AD$3:$BA$3,"="&amp;$DF29+'Model Setup'!$I$7,$B29:$Y29)+'Model Setup'!$I$8*(SUMIF($AD$3:$BA$3,"&lt;"&amp;$DF29,$B29:$Y29)+SUMIF($AD$3:$BA$3,"&gt;="&amp;$DG29,$B29:$Y29)),
IF(AX$3=$DF29+'Model Setup'!$J$7,SUMIF($AD$3:$BA$3,"="&amp;$DF29+'Model Setup'!$J$7,$B29:$Y29)+'Model Setup'!$J$8*(SUMIF($AD$3:$BA$3,"&lt;"&amp;$DF29,$B29:$Y29)+SUMIF($AD$3:$BA$3,"&gt;="&amp;$DG29,$B29:$Y29)),
IF(AX$3=$DF29+'Model Setup'!$K$7,SUMIF($AD$3:$BA$3,"="&amp;$DF29+'Model Setup'!$K$7,$B29:$Y29)+'Model Setup'!$K$8*(SUMIF($AD$3:$BA$3,"&lt;"&amp;$DF29,$B29:$Y29)+SUMIF($AD$3:$BA$3,"&gt;="&amp;$DG29,$B29:$Y29)),
IF(AX$3=$DF29+'Model Setup'!$L$7,SUMIF($AD$3:$BA$3,"="&amp;$DF29+'Model Setup'!$L$7,$B29:$Y29)+'Model Setup'!$L$8*(SUMIF($AD$3:$BA$3,"&lt;"&amp;$DF29,$B29:$Y29)+SUMIF($AD$3:$BA$3,"&gt;="&amp;$DG29,$B29:$Y29)),
IF(AX$3=$DF29+'Model Setup'!$M$7,SUMIF($AD$3:$BA$3,"="&amp;$DF29+'Model Setup'!$M$7,$B29:$Y29)+'Model Setup'!$M$8*(SUMIF($AD$3:$BA$3,"&lt;"&amp;$DF29,$B29:$Y29)+SUMIF($AD$3:$BA$3,"&gt;="&amp;$DG29,$B29:$Y29)),
IF(AX$3=$DF29+'Model Setup'!$N$7,SUMIF($AD$3:$BA$3,"="&amp;$DF29+'Model Setup'!$N$7,$B29:$Y29)+'Model Setup'!$N$8*(SUMIF($AD$3:$BA$3,"&lt;"&amp;$DF29,$B29:$Y29)+SUMIF($AD$3:$BA$3,"&gt;="&amp;$DG29,$B29:$Y29)),
IF(AX$3&lt;$DG29,V29,0))))))))))))))),0)</f>
        <v>0</v>
      </c>
      <c r="AY29" s="47">
        <f>ROUND(IF(AY$3&lt;$DF29,0,
IF(AY$3=$DF29+'Model Setup'!$B$7,SUMIF($AD$3:$BA$3,"="&amp;$DF29+'Model Setup'!$B$7,$B29:$Y29)+'Model Setup'!$B$8*(SUMIF($AD$3:$BA$3,"&lt;"&amp;$DF29,$B29:$Y29)+SUMIF($AD$3:$BA$3,"&gt;="&amp;$DG29,$B29:$Y29)),
IF(AY$3=$DF29+'Model Setup'!$C$7,SUMIF($AD$3:$BA$3,"="&amp;$DF29+'Model Setup'!$C$7,$B29:$Y29)+'Model Setup'!$C$8*(SUMIF($AD$3:$BA$3,"&lt;"&amp;$DF29,$B29:$Y29)+SUMIF($AD$3:$BA$3,"&gt;="&amp;$DG29,$B29:$Y29)),
IF(AY$3=$DF29+'Model Setup'!$D$7,SUMIF($AD$3:$BA$3,"="&amp;$DF29+'Model Setup'!$D$7,$B29:$Y29)+'Model Setup'!$D$8*(SUMIF($AD$3:$BA$3,"&lt;"&amp;$DF29,$B29:$Y29)+SUMIF($AD$3:$BA$3,"&gt;="&amp;$DG29,$B29:$Y29)),
IF(AY$3=$DF29+'Model Setup'!$E$7,SUMIF($AD$3:$BA$3,"="&amp;$DF29+'Model Setup'!$E$7,$B29:$Y29)+'Model Setup'!$E$8*(SUMIF($AD$3:$BA$3,"&lt;"&amp;$DF29,$B29:$Y29)+SUMIF($AD$3:$BA$3,"&gt;="&amp;$DG29,$B29:$Y29)),
IF(AY$3=$DF29+'Model Setup'!$F$7,SUMIF($AD$3:$BA$3,"="&amp;$DF29+'Model Setup'!$F$7,$B29:$Y29)+'Model Setup'!$F$8*(SUMIF($AD$3:$BA$3,"&lt;"&amp;$DF29,$B29:$Y29)+SUMIF($AD$3:$BA$3,"&gt;="&amp;$DG29,$B29:$Y29)),
IF(AY$3=$DF29+'Model Setup'!$G$7,SUMIF($AD$3:$BA$3,"="&amp;$DF29+'Model Setup'!$G$7,$B29:$Y29)+'Model Setup'!$G$8*(SUMIF($AD$3:$BA$3,"&lt;"&amp;$DF29,$B29:$Y29)+SUMIF($AD$3:$BA$3,"&gt;="&amp;$DG29,$B29:$Y29)),
IF(AY$3=$DF29+'Model Setup'!$H$7,SUMIF($AD$3:$BA$3,"="&amp;$DF29+'Model Setup'!$H$7,$B29:$Y29)+'Model Setup'!$H$8*(SUMIF($AD$3:$BA$3,"&lt;"&amp;$DF29,$B29:$Y29)+SUMIF($AD$3:$BA$3,"&gt;="&amp;$DG29,$B29:$Y29)),
IF(AY$3=$DF29+'Model Setup'!$I$7,SUMIF($AD$3:$BA$3,"="&amp;$DF29+'Model Setup'!$I$7,$B29:$Y29)+'Model Setup'!$I$8*(SUMIF($AD$3:$BA$3,"&lt;"&amp;$DF29,$B29:$Y29)+SUMIF($AD$3:$BA$3,"&gt;="&amp;$DG29,$B29:$Y29)),
IF(AY$3=$DF29+'Model Setup'!$J$7,SUMIF($AD$3:$BA$3,"="&amp;$DF29+'Model Setup'!$J$7,$B29:$Y29)+'Model Setup'!$J$8*(SUMIF($AD$3:$BA$3,"&lt;"&amp;$DF29,$B29:$Y29)+SUMIF($AD$3:$BA$3,"&gt;="&amp;$DG29,$B29:$Y29)),
IF(AY$3=$DF29+'Model Setup'!$K$7,SUMIF($AD$3:$BA$3,"="&amp;$DF29+'Model Setup'!$K$7,$B29:$Y29)+'Model Setup'!$K$8*(SUMIF($AD$3:$BA$3,"&lt;"&amp;$DF29,$B29:$Y29)+SUMIF($AD$3:$BA$3,"&gt;="&amp;$DG29,$B29:$Y29)),
IF(AY$3=$DF29+'Model Setup'!$L$7,SUMIF($AD$3:$BA$3,"="&amp;$DF29+'Model Setup'!$L$7,$B29:$Y29)+'Model Setup'!$L$8*(SUMIF($AD$3:$BA$3,"&lt;"&amp;$DF29,$B29:$Y29)+SUMIF($AD$3:$BA$3,"&gt;="&amp;$DG29,$B29:$Y29)),
IF(AY$3=$DF29+'Model Setup'!$M$7,SUMIF($AD$3:$BA$3,"="&amp;$DF29+'Model Setup'!$M$7,$B29:$Y29)+'Model Setup'!$M$8*(SUMIF($AD$3:$BA$3,"&lt;"&amp;$DF29,$B29:$Y29)+SUMIF($AD$3:$BA$3,"&gt;="&amp;$DG29,$B29:$Y29)),
IF(AY$3=$DF29+'Model Setup'!$N$7,SUMIF($AD$3:$BA$3,"="&amp;$DF29+'Model Setup'!$N$7,$B29:$Y29)+'Model Setup'!$N$8*(SUMIF($AD$3:$BA$3,"&lt;"&amp;$DF29,$B29:$Y29)+SUMIF($AD$3:$BA$3,"&gt;="&amp;$DG29,$B29:$Y29)),
IF(AY$3&lt;$DG29,W29,0))))))))))))))),0)</f>
        <v>0</v>
      </c>
      <c r="AZ29" s="47">
        <f>ROUND(IF(AZ$3&lt;$DF29,0,
IF(AZ$3=$DF29+'Model Setup'!$B$7,SUMIF($AD$3:$BA$3,"="&amp;$DF29+'Model Setup'!$B$7,$B29:$Y29)+'Model Setup'!$B$8*(SUMIF($AD$3:$BA$3,"&lt;"&amp;$DF29,$B29:$Y29)+SUMIF($AD$3:$BA$3,"&gt;="&amp;$DG29,$B29:$Y29)),
IF(AZ$3=$DF29+'Model Setup'!$C$7,SUMIF($AD$3:$BA$3,"="&amp;$DF29+'Model Setup'!$C$7,$B29:$Y29)+'Model Setup'!$C$8*(SUMIF($AD$3:$BA$3,"&lt;"&amp;$DF29,$B29:$Y29)+SUMIF($AD$3:$BA$3,"&gt;="&amp;$DG29,$B29:$Y29)),
IF(AZ$3=$DF29+'Model Setup'!$D$7,SUMIF($AD$3:$BA$3,"="&amp;$DF29+'Model Setup'!$D$7,$B29:$Y29)+'Model Setup'!$D$8*(SUMIF($AD$3:$BA$3,"&lt;"&amp;$DF29,$B29:$Y29)+SUMIF($AD$3:$BA$3,"&gt;="&amp;$DG29,$B29:$Y29)),
IF(AZ$3=$DF29+'Model Setup'!$E$7,SUMIF($AD$3:$BA$3,"="&amp;$DF29+'Model Setup'!$E$7,$B29:$Y29)+'Model Setup'!$E$8*(SUMIF($AD$3:$BA$3,"&lt;"&amp;$DF29,$B29:$Y29)+SUMIF($AD$3:$BA$3,"&gt;="&amp;$DG29,$B29:$Y29)),
IF(AZ$3=$DF29+'Model Setup'!$F$7,SUMIF($AD$3:$BA$3,"="&amp;$DF29+'Model Setup'!$F$7,$B29:$Y29)+'Model Setup'!$F$8*(SUMIF($AD$3:$BA$3,"&lt;"&amp;$DF29,$B29:$Y29)+SUMIF($AD$3:$BA$3,"&gt;="&amp;$DG29,$B29:$Y29)),
IF(AZ$3=$DF29+'Model Setup'!$G$7,SUMIF($AD$3:$BA$3,"="&amp;$DF29+'Model Setup'!$G$7,$B29:$Y29)+'Model Setup'!$G$8*(SUMIF($AD$3:$BA$3,"&lt;"&amp;$DF29,$B29:$Y29)+SUMIF($AD$3:$BA$3,"&gt;="&amp;$DG29,$B29:$Y29)),
IF(AZ$3=$DF29+'Model Setup'!$H$7,SUMIF($AD$3:$BA$3,"="&amp;$DF29+'Model Setup'!$H$7,$B29:$Y29)+'Model Setup'!$H$8*(SUMIF($AD$3:$BA$3,"&lt;"&amp;$DF29,$B29:$Y29)+SUMIF($AD$3:$BA$3,"&gt;="&amp;$DG29,$B29:$Y29)),
IF(AZ$3=$DF29+'Model Setup'!$I$7,SUMIF($AD$3:$BA$3,"="&amp;$DF29+'Model Setup'!$I$7,$B29:$Y29)+'Model Setup'!$I$8*(SUMIF($AD$3:$BA$3,"&lt;"&amp;$DF29,$B29:$Y29)+SUMIF($AD$3:$BA$3,"&gt;="&amp;$DG29,$B29:$Y29)),
IF(AZ$3=$DF29+'Model Setup'!$J$7,SUMIF($AD$3:$BA$3,"="&amp;$DF29+'Model Setup'!$J$7,$B29:$Y29)+'Model Setup'!$J$8*(SUMIF($AD$3:$BA$3,"&lt;"&amp;$DF29,$B29:$Y29)+SUMIF($AD$3:$BA$3,"&gt;="&amp;$DG29,$B29:$Y29)),
IF(AZ$3=$DF29+'Model Setup'!$K$7,SUMIF($AD$3:$BA$3,"="&amp;$DF29+'Model Setup'!$K$7,$B29:$Y29)+'Model Setup'!$K$8*(SUMIF($AD$3:$BA$3,"&lt;"&amp;$DF29,$B29:$Y29)+SUMIF($AD$3:$BA$3,"&gt;="&amp;$DG29,$B29:$Y29)),
IF(AZ$3=$DF29+'Model Setup'!$L$7,SUMIF($AD$3:$BA$3,"="&amp;$DF29+'Model Setup'!$L$7,$B29:$Y29)+'Model Setup'!$L$8*(SUMIF($AD$3:$BA$3,"&lt;"&amp;$DF29,$B29:$Y29)+SUMIF($AD$3:$BA$3,"&gt;="&amp;$DG29,$B29:$Y29)),
IF(AZ$3=$DF29+'Model Setup'!$M$7,SUMIF($AD$3:$BA$3,"="&amp;$DF29+'Model Setup'!$M$7,$B29:$Y29)+'Model Setup'!$M$8*(SUMIF($AD$3:$BA$3,"&lt;"&amp;$DF29,$B29:$Y29)+SUMIF($AD$3:$BA$3,"&gt;="&amp;$DG29,$B29:$Y29)),
IF(AZ$3=$DF29+'Model Setup'!$N$7,SUMIF($AD$3:$BA$3,"="&amp;$DF29+'Model Setup'!$N$7,$B29:$Y29)+'Model Setup'!$N$8*(SUMIF($AD$3:$BA$3,"&lt;"&amp;$DF29,$B29:$Y29)+SUMIF($AD$3:$BA$3,"&gt;="&amp;$DG29,$B29:$Y29)),
IF(AZ$3&lt;$DG29,X29,0))))))))))))))),0)</f>
        <v>0</v>
      </c>
      <c r="BA29" s="47">
        <f>ROUND(IF(BA$3&lt;$DF29,0,
IF(BA$3=$DF29+'Model Setup'!$B$7,SUMIF($AD$3:$BA$3,"="&amp;$DF29+'Model Setup'!$B$7,$B29:$Y29)+'Model Setup'!$B$8*(SUMIF($AD$3:$BA$3,"&lt;"&amp;$DF29,$B29:$Y29)+SUMIF($AD$3:$BA$3,"&gt;="&amp;$DG29,$B29:$Y29)),
IF(BA$3=$DF29+'Model Setup'!$C$7,SUMIF($AD$3:$BA$3,"="&amp;$DF29+'Model Setup'!$C$7,$B29:$Y29)+'Model Setup'!$C$8*(SUMIF($AD$3:$BA$3,"&lt;"&amp;$DF29,$B29:$Y29)+SUMIF($AD$3:$BA$3,"&gt;="&amp;$DG29,$B29:$Y29)),
IF(BA$3=$DF29+'Model Setup'!$D$7,SUMIF($AD$3:$BA$3,"="&amp;$DF29+'Model Setup'!$D$7,$B29:$Y29)+'Model Setup'!$D$8*(SUMIF($AD$3:$BA$3,"&lt;"&amp;$DF29,$B29:$Y29)+SUMIF($AD$3:$BA$3,"&gt;="&amp;$DG29,$B29:$Y29)),
IF(BA$3=$DF29+'Model Setup'!$E$7,SUMIF($AD$3:$BA$3,"="&amp;$DF29+'Model Setup'!$E$7,$B29:$Y29)+'Model Setup'!$E$8*(SUMIF($AD$3:$BA$3,"&lt;"&amp;$DF29,$B29:$Y29)+SUMIF($AD$3:$BA$3,"&gt;="&amp;$DG29,$B29:$Y29)),
IF(BA$3=$DF29+'Model Setup'!$F$7,SUMIF($AD$3:$BA$3,"="&amp;$DF29+'Model Setup'!$F$7,$B29:$Y29)+'Model Setup'!$F$8*(SUMIF($AD$3:$BA$3,"&lt;"&amp;$DF29,$B29:$Y29)+SUMIF($AD$3:$BA$3,"&gt;="&amp;$DG29,$B29:$Y29)),
IF(BA$3=$DF29+'Model Setup'!$G$7,SUMIF($AD$3:$BA$3,"="&amp;$DF29+'Model Setup'!$G$7,$B29:$Y29)+'Model Setup'!$G$8*(SUMIF($AD$3:$BA$3,"&lt;"&amp;$DF29,$B29:$Y29)+SUMIF($AD$3:$BA$3,"&gt;="&amp;$DG29,$B29:$Y29)),
IF(BA$3=$DF29+'Model Setup'!$H$7,SUMIF($AD$3:$BA$3,"="&amp;$DF29+'Model Setup'!$H$7,$B29:$Y29)+'Model Setup'!$H$8*(SUMIF($AD$3:$BA$3,"&lt;"&amp;$DF29,$B29:$Y29)+SUMIF($AD$3:$BA$3,"&gt;="&amp;$DG29,$B29:$Y29)),
IF(BA$3=$DF29+'Model Setup'!$I$7,SUMIF($AD$3:$BA$3,"="&amp;$DF29+'Model Setup'!$I$7,$B29:$Y29)+'Model Setup'!$I$8*(SUMIF($AD$3:$BA$3,"&lt;"&amp;$DF29,$B29:$Y29)+SUMIF($AD$3:$BA$3,"&gt;="&amp;$DG29,$B29:$Y29)),
IF(BA$3=$DF29+'Model Setup'!$J$7,SUMIF($AD$3:$BA$3,"="&amp;$DF29+'Model Setup'!$J$7,$B29:$Y29)+'Model Setup'!$J$8*(SUMIF($AD$3:$BA$3,"&lt;"&amp;$DF29,$B29:$Y29)+SUMIF($AD$3:$BA$3,"&gt;="&amp;$DG29,$B29:$Y29)),
IF(BA$3=$DF29+'Model Setup'!$K$7,SUMIF($AD$3:$BA$3,"="&amp;$DF29+'Model Setup'!$K$7,$B29:$Y29)+'Model Setup'!$K$8*(SUMIF($AD$3:$BA$3,"&lt;"&amp;$DF29,$B29:$Y29)+SUMIF($AD$3:$BA$3,"&gt;="&amp;$DG29,$B29:$Y29)),
IF(BA$3=$DF29+'Model Setup'!$L$7,SUMIF($AD$3:$BA$3,"="&amp;$DF29+'Model Setup'!$L$7,$B29:$Y29)+'Model Setup'!$L$8*(SUMIF($AD$3:$BA$3,"&lt;"&amp;$DF29,$B29:$Y29)+SUMIF($AD$3:$BA$3,"&gt;="&amp;$DG29,$B29:$Y29)),
IF(BA$3=$DF29+'Model Setup'!$M$7,SUMIF($AD$3:$BA$3,"="&amp;$DF29+'Model Setup'!$M$7,$B29:$Y29)+'Model Setup'!$M$8*(SUMIF($AD$3:$BA$3,"&lt;"&amp;$DF29,$B29:$Y29)+SUMIF($AD$3:$BA$3,"&gt;="&amp;$DG29,$B29:$Y29)),
IF(BA$3=$DF29+'Model Setup'!$N$7,SUMIF($AD$3:$BA$3,"="&amp;$DF29+'Model Setup'!$N$7,$B29:$Y29)+'Model Setup'!$N$8*(SUMIF($AD$3:$BA$3,"&lt;"&amp;$DF29,$B29:$Y29)+SUMIF($AD$3:$BA$3,"&gt;="&amp;$DG29,$B29:$Y29)),
IF(BA$3&lt;$DG29,Y29,0))))))))))))))),0)</f>
        <v>0</v>
      </c>
      <c r="BB29" s="47">
        <f t="shared" si="1"/>
        <v>578</v>
      </c>
      <c r="BD29" t="b">
        <f t="shared" si="2"/>
        <v>1</v>
      </c>
      <c r="BE29">
        <f t="shared" si="8"/>
        <v>0</v>
      </c>
      <c r="BF29">
        <f>(FTC!F27-FTC!E27)*24</f>
        <v>13</v>
      </c>
      <c r="BG29" s="43" t="s">
        <v>44</v>
      </c>
      <c r="BH29" s="47">
        <f>ROUND(IF(OR(BH$3&lt;$DF29,BH$3&gt;$CW$4),0,
IF(BH$3=$DF29+'Model Setup'!$B$7,SUMIF($BH$3:$CE$3,"="&amp;$DF29+'Model Setup'!$B$7,$AD29:$BA29)+'Model Setup'!$B$8*(SUMIF($BH$3:$CE$3,"&lt;"&amp;$DF29,$AD29:$BA29)+SUMIF($BH$3:$CE$3,"&gt;"&amp;$CW$4,$AD29:$BA29)),
IF(BH$3=$DF29+'Model Setup'!$C$7,SUMIF($BH$3:$CE$3,"="&amp;$DF29+'Model Setup'!$C$7,$AD29:$BA29)+'Model Setup'!$C$8*(SUMIF($BH$3:$CE$3,"&lt;"&amp;$DF29,$AD29:$BA29)+SUMIF($BH$3:$CE$3,"&gt;"&amp;$CW$4,$AD29:$BA29)),
IF(BH$3=$DF29+'Model Setup'!$D$7,SUMIF($BH$3:$CE$3,"="&amp;$DF29+'Model Setup'!$D$7,$AD29:$BA29)+'Model Setup'!$D$8*(SUMIF($BH$3:$CE$3,"&lt;"&amp;$DF29,$AD29:$BA29)+SUMIF($BH$3:$CE$3,"&gt;"&amp;$CW$4,$AD29:$BA29)),
IF(BH$3=$DF29+'Model Setup'!$E$7,SUMIF($BH$3:$CE$3,"="&amp;$DF29+'Model Setup'!$E$7,$AD29:$BA29)+'Model Setup'!$E$8*(SUMIF($BH$3:$CE$3,"&lt;"&amp;$DF29,$AD29:$BA29)+SUMIF($BH$3:$CE$3,"&gt;"&amp;$CW$4,$AD29:$BA29)),
IF(BH$3=$DF29+'Model Setup'!$F$7,SUMIF($BH$3:$CE$3,"="&amp;$DF29+'Model Setup'!$F$7,$AD29:$BA29)+'Model Setup'!$F$8*(SUMIF($BH$3:$CE$3,"&lt;"&amp;$DF29,$AD29:$BA29)+SUMIF($BH$3:$CE$3,"&gt;"&amp;$CW$4,$AD29:$BA29)),
IF(BH$3=$DF29+'Model Setup'!$G$7,SUMIF($BH$3:$CE$3,"="&amp;$DF29+'Model Setup'!$G$7,$AD29:$BA29)+'Model Setup'!$G$8*(SUMIF($BH$3:$CE$3,"&lt;"&amp;$DF29,$AD29:$BA29)+SUMIF($BH$3:$CE$3,"&gt;"&amp;$CW$4,$AD29:$BA29)),
IF(BH$3=$DF29+'Model Setup'!$H$7,SUMIF($BH$3:$CE$3,"="&amp;$DF29+'Model Setup'!$H$7,$AD29:$BA29)+'Model Setup'!$H$8*(SUMIF($BH$3:$CE$3,"&lt;"&amp;$DF29,$AD29:$BA29)+SUMIF($BH$3:$CE$3,"&gt;"&amp;$CW$4,$AD29:$BA29)),
IF(BH$3=$DF29+'Model Setup'!$I$7,SUMIF($BH$3:$CE$3,"="&amp;$DF29+'Model Setup'!$I$7,$AD29:$BA29)+'Model Setup'!$I$8*(SUMIF($BH$3:$CE$3,"&lt;"&amp;$DF29,$AD29:$BA29)+SUMIF($BH$3:$CE$3,"&gt;"&amp;$CW$4,$AD29:$BA29)),
IF(BH$3=$DF29+'Model Setup'!$J$7,SUMIF($BH$3:$CE$3,"="&amp;$DF29+'Model Setup'!$J$7,$AD29:$BA29)+'Model Setup'!$J$8*(SUMIF($BH$3:$CE$3,"&lt;"&amp;$DF29,$AD29:$BA29)+SUMIF($BH$3:$CE$3,"&gt;"&amp;$CW$4,$AD29:$BA29)),
IF(BH$3=$DF29+'Model Setup'!$K$7,SUMIF($BH$3:$CE$3,"="&amp;$DF29+'Model Setup'!$K$7,$AD29:$BA29)+'Model Setup'!$K$8*(SUMIF($BH$3:$CE$3,"&lt;"&amp;$DF29,$AD29:$BA29)+SUMIF($BH$3:$CE$3,"&gt;"&amp;$CW$4,$AD29:$BA29)),
IF(BH$3=$DF29+'Model Setup'!$L$7,SUMIF($BH$3:$CE$3,"="&amp;$DF29+'Model Setup'!$L$7,$AD29:$BA29)+'Model Setup'!$L$8*(SUMIF($BH$3:$CE$3,"&lt;"&amp;$DF29,$AD29:$BA29)+SUMIF($BH$3:$CE$3,"&gt;"&amp;$CW$4,$AD29:$BA29)),
IF(BH$3=$DF29+'Model Setup'!$M$7,SUMIF($BH$3:$CE$3,"="&amp;$DF29+'Model Setup'!$M$7,$AD29:$BA29)+'Model Setup'!$M$8*(SUMIF($BH$3:$CE$3,"&lt;"&amp;$DF29,$AD29:$BA29)+SUMIF($BH$3:$CE$3,"&gt;"&amp;$CW$4,$AD29:$BA29)),
IF(BH$3=$DF29+'Model Setup'!$N$7,SUMIF($BH$3:$CE$3,"="&amp;$DF29+'Model Setup'!$N$7,$AD29:$BA29)+'Model Setup'!$N$8*(SUMIF($BH$3:$CE$3,"&lt;"&amp;$DF29,$AD29:$BA29)+SUMIF($BH$3:$CE$3,"&gt;"&amp;$CW$4,$AD29:$BA29)),
IF(BH$3&lt;$CW$4,B29,0))))))))))))))),0)</f>
        <v>0</v>
      </c>
      <c r="BI29" s="47">
        <f>ROUND(IF(OR(BI$3&lt;$DF29,BI$3&gt;$CW$4),0,
IF(BI$3=$DF29+'Model Setup'!$B$7,SUMIF($BH$3:$CE$3,"="&amp;$DF29+'Model Setup'!$B$7,$AD29:$BA29)+'Model Setup'!$B$8*(SUMIF($BH$3:$CE$3,"&lt;"&amp;$DF29,$AD29:$BA29)+SUMIF($BH$3:$CE$3,"&gt;"&amp;$CW$4,$AD29:$BA29)),
IF(BI$3=$DF29+'Model Setup'!$C$7,SUMIF($BH$3:$CE$3,"="&amp;$DF29+'Model Setup'!$C$7,$AD29:$BA29)+'Model Setup'!$C$8*(SUMIF($BH$3:$CE$3,"&lt;"&amp;$DF29,$AD29:$BA29)+SUMIF($BH$3:$CE$3,"&gt;"&amp;$CW$4,$AD29:$BA29)),
IF(BI$3=$DF29+'Model Setup'!$D$7,SUMIF($BH$3:$CE$3,"="&amp;$DF29+'Model Setup'!$D$7,$AD29:$BA29)+'Model Setup'!$D$8*(SUMIF($BH$3:$CE$3,"&lt;"&amp;$DF29,$AD29:$BA29)+SUMIF($BH$3:$CE$3,"&gt;"&amp;$CW$4,$AD29:$BA29)),
IF(BI$3=$DF29+'Model Setup'!$E$7,SUMIF($BH$3:$CE$3,"="&amp;$DF29+'Model Setup'!$E$7,$AD29:$BA29)+'Model Setup'!$E$8*(SUMIF($BH$3:$CE$3,"&lt;"&amp;$DF29,$AD29:$BA29)+SUMIF($BH$3:$CE$3,"&gt;"&amp;$CW$4,$AD29:$BA29)),
IF(BI$3=$DF29+'Model Setup'!$F$7,SUMIF($BH$3:$CE$3,"="&amp;$DF29+'Model Setup'!$F$7,$AD29:$BA29)+'Model Setup'!$F$8*(SUMIF($BH$3:$CE$3,"&lt;"&amp;$DF29,$AD29:$BA29)+SUMIF($BH$3:$CE$3,"&gt;"&amp;$CW$4,$AD29:$BA29)),
IF(BI$3=$DF29+'Model Setup'!$G$7,SUMIF($BH$3:$CE$3,"="&amp;$DF29+'Model Setup'!$G$7,$AD29:$BA29)+'Model Setup'!$G$8*(SUMIF($BH$3:$CE$3,"&lt;"&amp;$DF29,$AD29:$BA29)+SUMIF($BH$3:$CE$3,"&gt;"&amp;$CW$4,$AD29:$BA29)),
IF(BI$3=$DF29+'Model Setup'!$H$7,SUMIF($BH$3:$CE$3,"="&amp;$DF29+'Model Setup'!$H$7,$AD29:$BA29)+'Model Setup'!$H$8*(SUMIF($BH$3:$CE$3,"&lt;"&amp;$DF29,$AD29:$BA29)+SUMIF($BH$3:$CE$3,"&gt;"&amp;$CW$4,$AD29:$BA29)),
IF(BI$3=$DF29+'Model Setup'!$I$7,SUMIF($BH$3:$CE$3,"="&amp;$DF29+'Model Setup'!$I$7,$AD29:$BA29)+'Model Setup'!$I$8*(SUMIF($BH$3:$CE$3,"&lt;"&amp;$DF29,$AD29:$BA29)+SUMIF($BH$3:$CE$3,"&gt;"&amp;$CW$4,$AD29:$BA29)),
IF(BI$3=$DF29+'Model Setup'!$J$7,SUMIF($BH$3:$CE$3,"="&amp;$DF29+'Model Setup'!$J$7,$AD29:$BA29)+'Model Setup'!$J$8*(SUMIF($BH$3:$CE$3,"&lt;"&amp;$DF29,$AD29:$BA29)+SUMIF($BH$3:$CE$3,"&gt;"&amp;$CW$4,$AD29:$BA29)),
IF(BI$3=$DF29+'Model Setup'!$K$7,SUMIF($BH$3:$CE$3,"="&amp;$DF29+'Model Setup'!$K$7,$AD29:$BA29)+'Model Setup'!$K$8*(SUMIF($BH$3:$CE$3,"&lt;"&amp;$DF29,$AD29:$BA29)+SUMIF($BH$3:$CE$3,"&gt;"&amp;$CW$4,$AD29:$BA29)),
IF(BI$3=$DF29+'Model Setup'!$L$7,SUMIF($BH$3:$CE$3,"="&amp;$DF29+'Model Setup'!$L$7,$AD29:$BA29)+'Model Setup'!$L$8*(SUMIF($BH$3:$CE$3,"&lt;"&amp;$DF29,$AD29:$BA29)+SUMIF($BH$3:$CE$3,"&gt;"&amp;$CW$4,$AD29:$BA29)),
IF(BI$3=$DF29+'Model Setup'!$M$7,SUMIF($BH$3:$CE$3,"="&amp;$DF29+'Model Setup'!$M$7,$AD29:$BA29)+'Model Setup'!$M$8*(SUMIF($BH$3:$CE$3,"&lt;"&amp;$DF29,$AD29:$BA29)+SUMIF($BH$3:$CE$3,"&gt;"&amp;$CW$4,$AD29:$BA29)),
IF(BI$3=$DF29+'Model Setup'!$N$7,SUMIF($BH$3:$CE$3,"="&amp;$DF29+'Model Setup'!$N$7,$AD29:$BA29)+'Model Setup'!$N$8*(SUMIF($BH$3:$CE$3,"&lt;"&amp;$DF29,$AD29:$BA29)+SUMIF($BH$3:$CE$3,"&gt;"&amp;$CW$4,$AD29:$BA29)),
IF(BI$3&lt;$CW$4,C29,0))))))))))))))),0)</f>
        <v>0</v>
      </c>
      <c r="BJ29" s="47">
        <f>ROUND(IF(OR(BJ$3&lt;$DF29,BJ$3&gt;$CW$4),0,
IF(BJ$3=$DF29+'Model Setup'!$B$7,SUMIF($BH$3:$CE$3,"="&amp;$DF29+'Model Setup'!$B$7,$AD29:$BA29)+'Model Setup'!$B$8*(SUMIF($BH$3:$CE$3,"&lt;"&amp;$DF29,$AD29:$BA29)+SUMIF($BH$3:$CE$3,"&gt;"&amp;$CW$4,$AD29:$BA29)),
IF(BJ$3=$DF29+'Model Setup'!$C$7,SUMIF($BH$3:$CE$3,"="&amp;$DF29+'Model Setup'!$C$7,$AD29:$BA29)+'Model Setup'!$C$8*(SUMIF($BH$3:$CE$3,"&lt;"&amp;$DF29,$AD29:$BA29)+SUMIF($BH$3:$CE$3,"&gt;"&amp;$CW$4,$AD29:$BA29)),
IF(BJ$3=$DF29+'Model Setup'!$D$7,SUMIF($BH$3:$CE$3,"="&amp;$DF29+'Model Setup'!$D$7,$AD29:$BA29)+'Model Setup'!$D$8*(SUMIF($BH$3:$CE$3,"&lt;"&amp;$DF29,$AD29:$BA29)+SUMIF($BH$3:$CE$3,"&gt;"&amp;$CW$4,$AD29:$BA29)),
IF(BJ$3=$DF29+'Model Setup'!$E$7,SUMIF($BH$3:$CE$3,"="&amp;$DF29+'Model Setup'!$E$7,$AD29:$BA29)+'Model Setup'!$E$8*(SUMIF($BH$3:$CE$3,"&lt;"&amp;$DF29,$AD29:$BA29)+SUMIF($BH$3:$CE$3,"&gt;"&amp;$CW$4,$AD29:$BA29)),
IF(BJ$3=$DF29+'Model Setup'!$F$7,SUMIF($BH$3:$CE$3,"="&amp;$DF29+'Model Setup'!$F$7,$AD29:$BA29)+'Model Setup'!$F$8*(SUMIF($BH$3:$CE$3,"&lt;"&amp;$DF29,$AD29:$BA29)+SUMIF($BH$3:$CE$3,"&gt;"&amp;$CW$4,$AD29:$BA29)),
IF(BJ$3=$DF29+'Model Setup'!$G$7,SUMIF($BH$3:$CE$3,"="&amp;$DF29+'Model Setup'!$G$7,$AD29:$BA29)+'Model Setup'!$G$8*(SUMIF($BH$3:$CE$3,"&lt;"&amp;$DF29,$AD29:$BA29)+SUMIF($BH$3:$CE$3,"&gt;"&amp;$CW$4,$AD29:$BA29)),
IF(BJ$3=$DF29+'Model Setup'!$H$7,SUMIF($BH$3:$CE$3,"="&amp;$DF29+'Model Setup'!$H$7,$AD29:$BA29)+'Model Setup'!$H$8*(SUMIF($BH$3:$CE$3,"&lt;"&amp;$DF29,$AD29:$BA29)+SUMIF($BH$3:$CE$3,"&gt;"&amp;$CW$4,$AD29:$BA29)),
IF(BJ$3=$DF29+'Model Setup'!$I$7,SUMIF($BH$3:$CE$3,"="&amp;$DF29+'Model Setup'!$I$7,$AD29:$BA29)+'Model Setup'!$I$8*(SUMIF($BH$3:$CE$3,"&lt;"&amp;$DF29,$AD29:$BA29)+SUMIF($BH$3:$CE$3,"&gt;"&amp;$CW$4,$AD29:$BA29)),
IF(BJ$3=$DF29+'Model Setup'!$J$7,SUMIF($BH$3:$CE$3,"="&amp;$DF29+'Model Setup'!$J$7,$AD29:$BA29)+'Model Setup'!$J$8*(SUMIF($BH$3:$CE$3,"&lt;"&amp;$DF29,$AD29:$BA29)+SUMIF($BH$3:$CE$3,"&gt;"&amp;$CW$4,$AD29:$BA29)),
IF(BJ$3=$DF29+'Model Setup'!$K$7,SUMIF($BH$3:$CE$3,"="&amp;$DF29+'Model Setup'!$K$7,$AD29:$BA29)+'Model Setup'!$K$8*(SUMIF($BH$3:$CE$3,"&lt;"&amp;$DF29,$AD29:$BA29)+SUMIF($BH$3:$CE$3,"&gt;"&amp;$CW$4,$AD29:$BA29)),
IF(BJ$3=$DF29+'Model Setup'!$L$7,SUMIF($BH$3:$CE$3,"="&amp;$DF29+'Model Setup'!$L$7,$AD29:$BA29)+'Model Setup'!$L$8*(SUMIF($BH$3:$CE$3,"&lt;"&amp;$DF29,$AD29:$BA29)+SUMIF($BH$3:$CE$3,"&gt;"&amp;$CW$4,$AD29:$BA29)),
IF(BJ$3=$DF29+'Model Setup'!$M$7,SUMIF($BH$3:$CE$3,"="&amp;$DF29+'Model Setup'!$M$7,$AD29:$BA29)+'Model Setup'!$M$8*(SUMIF($BH$3:$CE$3,"&lt;"&amp;$DF29,$AD29:$BA29)+SUMIF($BH$3:$CE$3,"&gt;"&amp;$CW$4,$AD29:$BA29)),
IF(BJ$3=$DF29+'Model Setup'!$N$7,SUMIF($BH$3:$CE$3,"="&amp;$DF29+'Model Setup'!$N$7,$AD29:$BA29)+'Model Setup'!$N$8*(SUMIF($BH$3:$CE$3,"&lt;"&amp;$DF29,$AD29:$BA29)+SUMIF($BH$3:$CE$3,"&gt;"&amp;$CW$4,$AD29:$BA29)),
IF(BJ$3&lt;$CW$4,D29,0))))))))))))))),0)</f>
        <v>0</v>
      </c>
      <c r="BK29" s="47">
        <f>ROUND(IF(OR(BK$3&lt;$DF29,BK$3&gt;$CW$4),0,
IF(BK$3=$DF29+'Model Setup'!$B$7,SUMIF($BH$3:$CE$3,"="&amp;$DF29+'Model Setup'!$B$7,$AD29:$BA29)+'Model Setup'!$B$8*(SUMIF($BH$3:$CE$3,"&lt;"&amp;$DF29,$AD29:$BA29)+SUMIF($BH$3:$CE$3,"&gt;"&amp;$CW$4,$AD29:$BA29)),
IF(BK$3=$DF29+'Model Setup'!$C$7,SUMIF($BH$3:$CE$3,"="&amp;$DF29+'Model Setup'!$C$7,$AD29:$BA29)+'Model Setup'!$C$8*(SUMIF($BH$3:$CE$3,"&lt;"&amp;$DF29,$AD29:$BA29)+SUMIF($BH$3:$CE$3,"&gt;"&amp;$CW$4,$AD29:$BA29)),
IF(BK$3=$DF29+'Model Setup'!$D$7,SUMIF($BH$3:$CE$3,"="&amp;$DF29+'Model Setup'!$D$7,$AD29:$BA29)+'Model Setup'!$D$8*(SUMIF($BH$3:$CE$3,"&lt;"&amp;$DF29,$AD29:$BA29)+SUMIF($BH$3:$CE$3,"&gt;"&amp;$CW$4,$AD29:$BA29)),
IF(BK$3=$DF29+'Model Setup'!$E$7,SUMIF($BH$3:$CE$3,"="&amp;$DF29+'Model Setup'!$E$7,$AD29:$BA29)+'Model Setup'!$E$8*(SUMIF($BH$3:$CE$3,"&lt;"&amp;$DF29,$AD29:$BA29)+SUMIF($BH$3:$CE$3,"&gt;"&amp;$CW$4,$AD29:$BA29)),
IF(BK$3=$DF29+'Model Setup'!$F$7,SUMIF($BH$3:$CE$3,"="&amp;$DF29+'Model Setup'!$F$7,$AD29:$BA29)+'Model Setup'!$F$8*(SUMIF($BH$3:$CE$3,"&lt;"&amp;$DF29,$AD29:$BA29)+SUMIF($BH$3:$CE$3,"&gt;"&amp;$CW$4,$AD29:$BA29)),
IF(BK$3=$DF29+'Model Setup'!$G$7,SUMIF($BH$3:$CE$3,"="&amp;$DF29+'Model Setup'!$G$7,$AD29:$BA29)+'Model Setup'!$G$8*(SUMIF($BH$3:$CE$3,"&lt;"&amp;$DF29,$AD29:$BA29)+SUMIF($BH$3:$CE$3,"&gt;"&amp;$CW$4,$AD29:$BA29)),
IF(BK$3=$DF29+'Model Setup'!$H$7,SUMIF($BH$3:$CE$3,"="&amp;$DF29+'Model Setup'!$H$7,$AD29:$BA29)+'Model Setup'!$H$8*(SUMIF($BH$3:$CE$3,"&lt;"&amp;$DF29,$AD29:$BA29)+SUMIF($BH$3:$CE$3,"&gt;"&amp;$CW$4,$AD29:$BA29)),
IF(BK$3=$DF29+'Model Setup'!$I$7,SUMIF($BH$3:$CE$3,"="&amp;$DF29+'Model Setup'!$I$7,$AD29:$BA29)+'Model Setup'!$I$8*(SUMIF($BH$3:$CE$3,"&lt;"&amp;$DF29,$AD29:$BA29)+SUMIF($BH$3:$CE$3,"&gt;"&amp;$CW$4,$AD29:$BA29)),
IF(BK$3=$DF29+'Model Setup'!$J$7,SUMIF($BH$3:$CE$3,"="&amp;$DF29+'Model Setup'!$J$7,$AD29:$BA29)+'Model Setup'!$J$8*(SUMIF($BH$3:$CE$3,"&lt;"&amp;$DF29,$AD29:$BA29)+SUMIF($BH$3:$CE$3,"&gt;"&amp;$CW$4,$AD29:$BA29)),
IF(BK$3=$DF29+'Model Setup'!$K$7,SUMIF($BH$3:$CE$3,"="&amp;$DF29+'Model Setup'!$K$7,$AD29:$BA29)+'Model Setup'!$K$8*(SUMIF($BH$3:$CE$3,"&lt;"&amp;$DF29,$AD29:$BA29)+SUMIF($BH$3:$CE$3,"&gt;"&amp;$CW$4,$AD29:$BA29)),
IF(BK$3=$DF29+'Model Setup'!$L$7,SUMIF($BH$3:$CE$3,"="&amp;$DF29+'Model Setup'!$L$7,$AD29:$BA29)+'Model Setup'!$L$8*(SUMIF($BH$3:$CE$3,"&lt;"&amp;$DF29,$AD29:$BA29)+SUMIF($BH$3:$CE$3,"&gt;"&amp;$CW$4,$AD29:$BA29)),
IF(BK$3=$DF29+'Model Setup'!$M$7,SUMIF($BH$3:$CE$3,"="&amp;$DF29+'Model Setup'!$M$7,$AD29:$BA29)+'Model Setup'!$M$8*(SUMIF($BH$3:$CE$3,"&lt;"&amp;$DF29,$AD29:$BA29)+SUMIF($BH$3:$CE$3,"&gt;"&amp;$CW$4,$AD29:$BA29)),
IF(BK$3=$DF29+'Model Setup'!$N$7,SUMIF($BH$3:$CE$3,"="&amp;$DF29+'Model Setup'!$N$7,$AD29:$BA29)+'Model Setup'!$N$8*(SUMIF($BH$3:$CE$3,"&lt;"&amp;$DF29,$AD29:$BA29)+SUMIF($BH$3:$CE$3,"&gt;"&amp;$CW$4,$AD29:$BA29)),
IF(BK$3&lt;$CW$4,E29,0))))))))))))))),0)</f>
        <v>0</v>
      </c>
      <c r="BL29" s="47">
        <f>ROUND(IF(OR(BL$3&lt;$DF29,BL$3&gt;$CW$4),0,
IF(BL$3=$DF29+'Model Setup'!$B$7,SUMIF($BH$3:$CE$3,"="&amp;$DF29+'Model Setup'!$B$7,$AD29:$BA29)+'Model Setup'!$B$8*(SUMIF($BH$3:$CE$3,"&lt;"&amp;$DF29,$AD29:$BA29)+SUMIF($BH$3:$CE$3,"&gt;"&amp;$CW$4,$AD29:$BA29)),
IF(BL$3=$DF29+'Model Setup'!$C$7,SUMIF($BH$3:$CE$3,"="&amp;$DF29+'Model Setup'!$C$7,$AD29:$BA29)+'Model Setup'!$C$8*(SUMIF($BH$3:$CE$3,"&lt;"&amp;$DF29,$AD29:$BA29)+SUMIF($BH$3:$CE$3,"&gt;"&amp;$CW$4,$AD29:$BA29)),
IF(BL$3=$DF29+'Model Setup'!$D$7,SUMIF($BH$3:$CE$3,"="&amp;$DF29+'Model Setup'!$D$7,$AD29:$BA29)+'Model Setup'!$D$8*(SUMIF($BH$3:$CE$3,"&lt;"&amp;$DF29,$AD29:$BA29)+SUMIF($BH$3:$CE$3,"&gt;"&amp;$CW$4,$AD29:$BA29)),
IF(BL$3=$DF29+'Model Setup'!$E$7,SUMIF($BH$3:$CE$3,"="&amp;$DF29+'Model Setup'!$E$7,$AD29:$BA29)+'Model Setup'!$E$8*(SUMIF($BH$3:$CE$3,"&lt;"&amp;$DF29,$AD29:$BA29)+SUMIF($BH$3:$CE$3,"&gt;"&amp;$CW$4,$AD29:$BA29)),
IF(BL$3=$DF29+'Model Setup'!$F$7,SUMIF($BH$3:$CE$3,"="&amp;$DF29+'Model Setup'!$F$7,$AD29:$BA29)+'Model Setup'!$F$8*(SUMIF($BH$3:$CE$3,"&lt;"&amp;$DF29,$AD29:$BA29)+SUMIF($BH$3:$CE$3,"&gt;"&amp;$CW$4,$AD29:$BA29)),
IF(BL$3=$DF29+'Model Setup'!$G$7,SUMIF($BH$3:$CE$3,"="&amp;$DF29+'Model Setup'!$G$7,$AD29:$BA29)+'Model Setup'!$G$8*(SUMIF($BH$3:$CE$3,"&lt;"&amp;$DF29,$AD29:$BA29)+SUMIF($BH$3:$CE$3,"&gt;"&amp;$CW$4,$AD29:$BA29)),
IF(BL$3=$DF29+'Model Setup'!$H$7,SUMIF($BH$3:$CE$3,"="&amp;$DF29+'Model Setup'!$H$7,$AD29:$BA29)+'Model Setup'!$H$8*(SUMIF($BH$3:$CE$3,"&lt;"&amp;$DF29,$AD29:$BA29)+SUMIF($BH$3:$CE$3,"&gt;"&amp;$CW$4,$AD29:$BA29)),
IF(BL$3=$DF29+'Model Setup'!$I$7,SUMIF($BH$3:$CE$3,"="&amp;$DF29+'Model Setup'!$I$7,$AD29:$BA29)+'Model Setup'!$I$8*(SUMIF($BH$3:$CE$3,"&lt;"&amp;$DF29,$AD29:$BA29)+SUMIF($BH$3:$CE$3,"&gt;"&amp;$CW$4,$AD29:$BA29)),
IF(BL$3=$DF29+'Model Setup'!$J$7,SUMIF($BH$3:$CE$3,"="&amp;$DF29+'Model Setup'!$J$7,$AD29:$BA29)+'Model Setup'!$J$8*(SUMIF($BH$3:$CE$3,"&lt;"&amp;$DF29,$AD29:$BA29)+SUMIF($BH$3:$CE$3,"&gt;"&amp;$CW$4,$AD29:$BA29)),
IF(BL$3=$DF29+'Model Setup'!$K$7,SUMIF($BH$3:$CE$3,"="&amp;$DF29+'Model Setup'!$K$7,$AD29:$BA29)+'Model Setup'!$K$8*(SUMIF($BH$3:$CE$3,"&lt;"&amp;$DF29,$AD29:$BA29)+SUMIF($BH$3:$CE$3,"&gt;"&amp;$CW$4,$AD29:$BA29)),
IF(BL$3=$DF29+'Model Setup'!$L$7,SUMIF($BH$3:$CE$3,"="&amp;$DF29+'Model Setup'!$L$7,$AD29:$BA29)+'Model Setup'!$L$8*(SUMIF($BH$3:$CE$3,"&lt;"&amp;$DF29,$AD29:$BA29)+SUMIF($BH$3:$CE$3,"&gt;"&amp;$CW$4,$AD29:$BA29)),
IF(BL$3=$DF29+'Model Setup'!$M$7,SUMIF($BH$3:$CE$3,"="&amp;$DF29+'Model Setup'!$M$7,$AD29:$BA29)+'Model Setup'!$M$8*(SUMIF($BH$3:$CE$3,"&lt;"&amp;$DF29,$AD29:$BA29)+SUMIF($BH$3:$CE$3,"&gt;"&amp;$CW$4,$AD29:$BA29)),
IF(BL$3=$DF29+'Model Setup'!$N$7,SUMIF($BH$3:$CE$3,"="&amp;$DF29+'Model Setup'!$N$7,$AD29:$BA29)+'Model Setup'!$N$8*(SUMIF($BH$3:$CE$3,"&lt;"&amp;$DF29,$AD29:$BA29)+SUMIF($BH$3:$CE$3,"&gt;"&amp;$CW$4,$AD29:$BA29)),
IF(BL$3&lt;$CW$4,F29,0))))))))))))))),0)</f>
        <v>0</v>
      </c>
      <c r="BM29" s="47">
        <f>ROUND(IF(OR(BM$3&lt;$DF29,BM$3&gt;$CW$4),0,
IF(BM$3=$DF29+'Model Setup'!$B$7,SUMIF($BH$3:$CE$3,"="&amp;$DF29+'Model Setup'!$B$7,$AD29:$BA29)+'Model Setup'!$B$8*(SUMIF($BH$3:$CE$3,"&lt;"&amp;$DF29,$AD29:$BA29)+SUMIF($BH$3:$CE$3,"&gt;"&amp;$CW$4,$AD29:$BA29)),
IF(BM$3=$DF29+'Model Setup'!$C$7,SUMIF($BH$3:$CE$3,"="&amp;$DF29+'Model Setup'!$C$7,$AD29:$BA29)+'Model Setup'!$C$8*(SUMIF($BH$3:$CE$3,"&lt;"&amp;$DF29,$AD29:$BA29)+SUMIF($BH$3:$CE$3,"&gt;"&amp;$CW$4,$AD29:$BA29)),
IF(BM$3=$DF29+'Model Setup'!$D$7,SUMIF($BH$3:$CE$3,"="&amp;$DF29+'Model Setup'!$D$7,$AD29:$BA29)+'Model Setup'!$D$8*(SUMIF($BH$3:$CE$3,"&lt;"&amp;$DF29,$AD29:$BA29)+SUMIF($BH$3:$CE$3,"&gt;"&amp;$CW$4,$AD29:$BA29)),
IF(BM$3=$DF29+'Model Setup'!$E$7,SUMIF($BH$3:$CE$3,"="&amp;$DF29+'Model Setup'!$E$7,$AD29:$BA29)+'Model Setup'!$E$8*(SUMIF($BH$3:$CE$3,"&lt;"&amp;$DF29,$AD29:$BA29)+SUMIF($BH$3:$CE$3,"&gt;"&amp;$CW$4,$AD29:$BA29)),
IF(BM$3=$DF29+'Model Setup'!$F$7,SUMIF($BH$3:$CE$3,"="&amp;$DF29+'Model Setup'!$F$7,$AD29:$BA29)+'Model Setup'!$F$8*(SUMIF($BH$3:$CE$3,"&lt;"&amp;$DF29,$AD29:$BA29)+SUMIF($BH$3:$CE$3,"&gt;"&amp;$CW$4,$AD29:$BA29)),
IF(BM$3=$DF29+'Model Setup'!$G$7,SUMIF($BH$3:$CE$3,"="&amp;$DF29+'Model Setup'!$G$7,$AD29:$BA29)+'Model Setup'!$G$8*(SUMIF($BH$3:$CE$3,"&lt;"&amp;$DF29,$AD29:$BA29)+SUMIF($BH$3:$CE$3,"&gt;"&amp;$CW$4,$AD29:$BA29)),
IF(BM$3=$DF29+'Model Setup'!$H$7,SUMIF($BH$3:$CE$3,"="&amp;$DF29+'Model Setup'!$H$7,$AD29:$BA29)+'Model Setup'!$H$8*(SUMIF($BH$3:$CE$3,"&lt;"&amp;$DF29,$AD29:$BA29)+SUMIF($BH$3:$CE$3,"&gt;"&amp;$CW$4,$AD29:$BA29)),
IF(BM$3=$DF29+'Model Setup'!$I$7,SUMIF($BH$3:$CE$3,"="&amp;$DF29+'Model Setup'!$I$7,$AD29:$BA29)+'Model Setup'!$I$8*(SUMIF($BH$3:$CE$3,"&lt;"&amp;$DF29,$AD29:$BA29)+SUMIF($BH$3:$CE$3,"&gt;"&amp;$CW$4,$AD29:$BA29)),
IF(BM$3=$DF29+'Model Setup'!$J$7,SUMIF($BH$3:$CE$3,"="&amp;$DF29+'Model Setup'!$J$7,$AD29:$BA29)+'Model Setup'!$J$8*(SUMIF($BH$3:$CE$3,"&lt;"&amp;$DF29,$AD29:$BA29)+SUMIF($BH$3:$CE$3,"&gt;"&amp;$CW$4,$AD29:$BA29)),
IF(BM$3=$DF29+'Model Setup'!$K$7,SUMIF($BH$3:$CE$3,"="&amp;$DF29+'Model Setup'!$K$7,$AD29:$BA29)+'Model Setup'!$K$8*(SUMIF($BH$3:$CE$3,"&lt;"&amp;$DF29,$AD29:$BA29)+SUMIF($BH$3:$CE$3,"&gt;"&amp;$CW$4,$AD29:$BA29)),
IF(BM$3=$DF29+'Model Setup'!$L$7,SUMIF($BH$3:$CE$3,"="&amp;$DF29+'Model Setup'!$L$7,$AD29:$BA29)+'Model Setup'!$L$8*(SUMIF($BH$3:$CE$3,"&lt;"&amp;$DF29,$AD29:$BA29)+SUMIF($BH$3:$CE$3,"&gt;"&amp;$CW$4,$AD29:$BA29)),
IF(BM$3=$DF29+'Model Setup'!$M$7,SUMIF($BH$3:$CE$3,"="&amp;$DF29+'Model Setup'!$M$7,$AD29:$BA29)+'Model Setup'!$M$8*(SUMIF($BH$3:$CE$3,"&lt;"&amp;$DF29,$AD29:$BA29)+SUMIF($BH$3:$CE$3,"&gt;"&amp;$CW$4,$AD29:$BA29)),
IF(BM$3=$DF29+'Model Setup'!$N$7,SUMIF($BH$3:$CE$3,"="&amp;$DF29+'Model Setup'!$N$7,$AD29:$BA29)+'Model Setup'!$N$8*(SUMIF($BH$3:$CE$3,"&lt;"&amp;$DF29,$AD29:$BA29)+SUMIF($BH$3:$CE$3,"&gt;"&amp;$CW$4,$AD29:$BA29)),
IF(BM$3&lt;$CW$4,G29,0))))))))))))))),0)</f>
        <v>0</v>
      </c>
      <c r="BN29" s="47">
        <f>ROUND(IF(OR(BN$3&lt;$DF29,BN$3&gt;$CW$4),0,
IF(BN$3=$DF29+'Model Setup'!$B$7,SUMIF($BH$3:$CE$3,"="&amp;$DF29+'Model Setup'!$B$7,$AD29:$BA29)+'Model Setup'!$B$8*(SUMIF($BH$3:$CE$3,"&lt;"&amp;$DF29,$AD29:$BA29)+SUMIF($BH$3:$CE$3,"&gt;"&amp;$CW$4,$AD29:$BA29)),
IF(BN$3=$DF29+'Model Setup'!$C$7,SUMIF($BH$3:$CE$3,"="&amp;$DF29+'Model Setup'!$C$7,$AD29:$BA29)+'Model Setup'!$C$8*(SUMIF($BH$3:$CE$3,"&lt;"&amp;$DF29,$AD29:$BA29)+SUMIF($BH$3:$CE$3,"&gt;"&amp;$CW$4,$AD29:$BA29)),
IF(BN$3=$DF29+'Model Setup'!$D$7,SUMIF($BH$3:$CE$3,"="&amp;$DF29+'Model Setup'!$D$7,$AD29:$BA29)+'Model Setup'!$D$8*(SUMIF($BH$3:$CE$3,"&lt;"&amp;$DF29,$AD29:$BA29)+SUMIF($BH$3:$CE$3,"&gt;"&amp;$CW$4,$AD29:$BA29)),
IF(BN$3=$DF29+'Model Setup'!$E$7,SUMIF($BH$3:$CE$3,"="&amp;$DF29+'Model Setup'!$E$7,$AD29:$BA29)+'Model Setup'!$E$8*(SUMIF($BH$3:$CE$3,"&lt;"&amp;$DF29,$AD29:$BA29)+SUMIF($BH$3:$CE$3,"&gt;"&amp;$CW$4,$AD29:$BA29)),
IF(BN$3=$DF29+'Model Setup'!$F$7,SUMIF($BH$3:$CE$3,"="&amp;$DF29+'Model Setup'!$F$7,$AD29:$BA29)+'Model Setup'!$F$8*(SUMIF($BH$3:$CE$3,"&lt;"&amp;$DF29,$AD29:$BA29)+SUMIF($BH$3:$CE$3,"&gt;"&amp;$CW$4,$AD29:$BA29)),
IF(BN$3=$DF29+'Model Setup'!$G$7,SUMIF($BH$3:$CE$3,"="&amp;$DF29+'Model Setup'!$G$7,$AD29:$BA29)+'Model Setup'!$G$8*(SUMIF($BH$3:$CE$3,"&lt;"&amp;$DF29,$AD29:$BA29)+SUMIF($BH$3:$CE$3,"&gt;"&amp;$CW$4,$AD29:$BA29)),
IF(BN$3=$DF29+'Model Setup'!$H$7,SUMIF($BH$3:$CE$3,"="&amp;$DF29+'Model Setup'!$H$7,$AD29:$BA29)+'Model Setup'!$H$8*(SUMIF($BH$3:$CE$3,"&lt;"&amp;$DF29,$AD29:$BA29)+SUMIF($BH$3:$CE$3,"&gt;"&amp;$CW$4,$AD29:$BA29)),
IF(BN$3=$DF29+'Model Setup'!$I$7,SUMIF($BH$3:$CE$3,"="&amp;$DF29+'Model Setup'!$I$7,$AD29:$BA29)+'Model Setup'!$I$8*(SUMIF($BH$3:$CE$3,"&lt;"&amp;$DF29,$AD29:$BA29)+SUMIF($BH$3:$CE$3,"&gt;"&amp;$CW$4,$AD29:$BA29)),
IF(BN$3=$DF29+'Model Setup'!$J$7,SUMIF($BH$3:$CE$3,"="&amp;$DF29+'Model Setup'!$J$7,$AD29:$BA29)+'Model Setup'!$J$8*(SUMIF($BH$3:$CE$3,"&lt;"&amp;$DF29,$AD29:$BA29)+SUMIF($BH$3:$CE$3,"&gt;"&amp;$CW$4,$AD29:$BA29)),
IF(BN$3=$DF29+'Model Setup'!$K$7,SUMIF($BH$3:$CE$3,"="&amp;$DF29+'Model Setup'!$K$7,$AD29:$BA29)+'Model Setup'!$K$8*(SUMIF($BH$3:$CE$3,"&lt;"&amp;$DF29,$AD29:$BA29)+SUMIF($BH$3:$CE$3,"&gt;"&amp;$CW$4,$AD29:$BA29)),
IF(BN$3=$DF29+'Model Setup'!$L$7,SUMIF($BH$3:$CE$3,"="&amp;$DF29+'Model Setup'!$L$7,$AD29:$BA29)+'Model Setup'!$L$8*(SUMIF($BH$3:$CE$3,"&lt;"&amp;$DF29,$AD29:$BA29)+SUMIF($BH$3:$CE$3,"&gt;"&amp;$CW$4,$AD29:$BA29)),
IF(BN$3=$DF29+'Model Setup'!$M$7,SUMIF($BH$3:$CE$3,"="&amp;$DF29+'Model Setup'!$M$7,$AD29:$BA29)+'Model Setup'!$M$8*(SUMIF($BH$3:$CE$3,"&lt;"&amp;$DF29,$AD29:$BA29)+SUMIF($BH$3:$CE$3,"&gt;"&amp;$CW$4,$AD29:$BA29)),
IF(BN$3=$DF29+'Model Setup'!$N$7,SUMIF($BH$3:$CE$3,"="&amp;$DF29+'Model Setup'!$N$7,$AD29:$BA29)+'Model Setup'!$N$8*(SUMIF($BH$3:$CE$3,"&lt;"&amp;$DF29,$AD29:$BA29)+SUMIF($BH$3:$CE$3,"&gt;"&amp;$CW$4,$AD29:$BA29)),
IF(BN$3&lt;$CW$4,H29,0))))))))))))))),0)</f>
        <v>71</v>
      </c>
      <c r="BO29" s="47">
        <f>ROUND(IF(OR(BO$3&lt;$DF29,BO$3&gt;$CW$4),0,
IF(BO$3=$DF29+'Model Setup'!$B$7,SUMIF($BH$3:$CE$3,"="&amp;$DF29+'Model Setup'!$B$7,$AD29:$BA29)+'Model Setup'!$B$8*(SUMIF($BH$3:$CE$3,"&lt;"&amp;$DF29,$AD29:$BA29)+SUMIF($BH$3:$CE$3,"&gt;"&amp;$CW$4,$AD29:$BA29)),
IF(BO$3=$DF29+'Model Setup'!$C$7,SUMIF($BH$3:$CE$3,"="&amp;$DF29+'Model Setup'!$C$7,$AD29:$BA29)+'Model Setup'!$C$8*(SUMIF($BH$3:$CE$3,"&lt;"&amp;$DF29,$AD29:$BA29)+SUMIF($BH$3:$CE$3,"&gt;"&amp;$CW$4,$AD29:$BA29)),
IF(BO$3=$DF29+'Model Setup'!$D$7,SUMIF($BH$3:$CE$3,"="&amp;$DF29+'Model Setup'!$D$7,$AD29:$BA29)+'Model Setup'!$D$8*(SUMIF($BH$3:$CE$3,"&lt;"&amp;$DF29,$AD29:$BA29)+SUMIF($BH$3:$CE$3,"&gt;"&amp;$CW$4,$AD29:$BA29)),
IF(BO$3=$DF29+'Model Setup'!$E$7,SUMIF($BH$3:$CE$3,"="&amp;$DF29+'Model Setup'!$E$7,$AD29:$BA29)+'Model Setup'!$E$8*(SUMIF($BH$3:$CE$3,"&lt;"&amp;$DF29,$AD29:$BA29)+SUMIF($BH$3:$CE$3,"&gt;"&amp;$CW$4,$AD29:$BA29)),
IF(BO$3=$DF29+'Model Setup'!$F$7,SUMIF($BH$3:$CE$3,"="&amp;$DF29+'Model Setup'!$F$7,$AD29:$BA29)+'Model Setup'!$F$8*(SUMIF($BH$3:$CE$3,"&lt;"&amp;$DF29,$AD29:$BA29)+SUMIF($BH$3:$CE$3,"&gt;"&amp;$CW$4,$AD29:$BA29)),
IF(BO$3=$DF29+'Model Setup'!$G$7,SUMIF($BH$3:$CE$3,"="&amp;$DF29+'Model Setup'!$G$7,$AD29:$BA29)+'Model Setup'!$G$8*(SUMIF($BH$3:$CE$3,"&lt;"&amp;$DF29,$AD29:$BA29)+SUMIF($BH$3:$CE$3,"&gt;"&amp;$CW$4,$AD29:$BA29)),
IF(BO$3=$DF29+'Model Setup'!$H$7,SUMIF($BH$3:$CE$3,"="&amp;$DF29+'Model Setup'!$H$7,$AD29:$BA29)+'Model Setup'!$H$8*(SUMIF($BH$3:$CE$3,"&lt;"&amp;$DF29,$AD29:$BA29)+SUMIF($BH$3:$CE$3,"&gt;"&amp;$CW$4,$AD29:$BA29)),
IF(BO$3=$DF29+'Model Setup'!$I$7,SUMIF($BH$3:$CE$3,"="&amp;$DF29+'Model Setup'!$I$7,$AD29:$BA29)+'Model Setup'!$I$8*(SUMIF($BH$3:$CE$3,"&lt;"&amp;$DF29,$AD29:$BA29)+SUMIF($BH$3:$CE$3,"&gt;"&amp;$CW$4,$AD29:$BA29)),
IF(BO$3=$DF29+'Model Setup'!$J$7,SUMIF($BH$3:$CE$3,"="&amp;$DF29+'Model Setup'!$J$7,$AD29:$BA29)+'Model Setup'!$J$8*(SUMIF($BH$3:$CE$3,"&lt;"&amp;$DF29,$AD29:$BA29)+SUMIF($BH$3:$CE$3,"&gt;"&amp;$CW$4,$AD29:$BA29)),
IF(BO$3=$DF29+'Model Setup'!$K$7,SUMIF($BH$3:$CE$3,"="&amp;$DF29+'Model Setup'!$K$7,$AD29:$BA29)+'Model Setup'!$K$8*(SUMIF($BH$3:$CE$3,"&lt;"&amp;$DF29,$AD29:$BA29)+SUMIF($BH$3:$CE$3,"&gt;"&amp;$CW$4,$AD29:$BA29)),
IF(BO$3=$DF29+'Model Setup'!$L$7,SUMIF($BH$3:$CE$3,"="&amp;$DF29+'Model Setup'!$L$7,$AD29:$BA29)+'Model Setup'!$L$8*(SUMIF($BH$3:$CE$3,"&lt;"&amp;$DF29,$AD29:$BA29)+SUMIF($BH$3:$CE$3,"&gt;"&amp;$CW$4,$AD29:$BA29)),
IF(BO$3=$DF29+'Model Setup'!$M$7,SUMIF($BH$3:$CE$3,"="&amp;$DF29+'Model Setup'!$M$7,$AD29:$BA29)+'Model Setup'!$M$8*(SUMIF($BH$3:$CE$3,"&lt;"&amp;$DF29,$AD29:$BA29)+SUMIF($BH$3:$CE$3,"&gt;"&amp;$CW$4,$AD29:$BA29)),
IF(BO$3=$DF29+'Model Setup'!$N$7,SUMIF($BH$3:$CE$3,"="&amp;$DF29+'Model Setup'!$N$7,$AD29:$BA29)+'Model Setup'!$N$8*(SUMIF($BH$3:$CE$3,"&lt;"&amp;$DF29,$AD29:$BA29)+SUMIF($BH$3:$CE$3,"&gt;"&amp;$CW$4,$AD29:$BA29)),
IF(BO$3&lt;$CW$4,I29,0))))))))))))))),0)</f>
        <v>52</v>
      </c>
      <c r="BP29" s="47">
        <f>ROUND(IF(OR(BP$3&lt;$DF29,BP$3&gt;$CW$4),0,
IF(BP$3=$DF29+'Model Setup'!$B$7,SUMIF($BH$3:$CE$3,"="&amp;$DF29+'Model Setup'!$B$7,$AD29:$BA29)+'Model Setup'!$B$8*(SUMIF($BH$3:$CE$3,"&lt;"&amp;$DF29,$AD29:$BA29)+SUMIF($BH$3:$CE$3,"&gt;"&amp;$CW$4,$AD29:$BA29)),
IF(BP$3=$DF29+'Model Setup'!$C$7,SUMIF($BH$3:$CE$3,"="&amp;$DF29+'Model Setup'!$C$7,$AD29:$BA29)+'Model Setup'!$C$8*(SUMIF($BH$3:$CE$3,"&lt;"&amp;$DF29,$AD29:$BA29)+SUMIF($BH$3:$CE$3,"&gt;"&amp;$CW$4,$AD29:$BA29)),
IF(BP$3=$DF29+'Model Setup'!$D$7,SUMIF($BH$3:$CE$3,"="&amp;$DF29+'Model Setup'!$D$7,$AD29:$BA29)+'Model Setup'!$D$8*(SUMIF($BH$3:$CE$3,"&lt;"&amp;$DF29,$AD29:$BA29)+SUMIF($BH$3:$CE$3,"&gt;"&amp;$CW$4,$AD29:$BA29)),
IF(BP$3=$DF29+'Model Setup'!$E$7,SUMIF($BH$3:$CE$3,"="&amp;$DF29+'Model Setup'!$E$7,$AD29:$BA29)+'Model Setup'!$E$8*(SUMIF($BH$3:$CE$3,"&lt;"&amp;$DF29,$AD29:$BA29)+SUMIF($BH$3:$CE$3,"&gt;"&amp;$CW$4,$AD29:$BA29)),
IF(BP$3=$DF29+'Model Setup'!$F$7,SUMIF($BH$3:$CE$3,"="&amp;$DF29+'Model Setup'!$F$7,$AD29:$BA29)+'Model Setup'!$F$8*(SUMIF($BH$3:$CE$3,"&lt;"&amp;$DF29,$AD29:$BA29)+SUMIF($BH$3:$CE$3,"&gt;"&amp;$CW$4,$AD29:$BA29)),
IF(BP$3=$DF29+'Model Setup'!$G$7,SUMIF($BH$3:$CE$3,"="&amp;$DF29+'Model Setup'!$G$7,$AD29:$BA29)+'Model Setup'!$G$8*(SUMIF($BH$3:$CE$3,"&lt;"&amp;$DF29,$AD29:$BA29)+SUMIF($BH$3:$CE$3,"&gt;"&amp;$CW$4,$AD29:$BA29)),
IF(BP$3=$DF29+'Model Setup'!$H$7,SUMIF($BH$3:$CE$3,"="&amp;$DF29+'Model Setup'!$H$7,$AD29:$BA29)+'Model Setup'!$H$8*(SUMIF($BH$3:$CE$3,"&lt;"&amp;$DF29,$AD29:$BA29)+SUMIF($BH$3:$CE$3,"&gt;"&amp;$CW$4,$AD29:$BA29)),
IF(BP$3=$DF29+'Model Setup'!$I$7,SUMIF($BH$3:$CE$3,"="&amp;$DF29+'Model Setup'!$I$7,$AD29:$BA29)+'Model Setup'!$I$8*(SUMIF($BH$3:$CE$3,"&lt;"&amp;$DF29,$AD29:$BA29)+SUMIF($BH$3:$CE$3,"&gt;"&amp;$CW$4,$AD29:$BA29)),
IF(BP$3=$DF29+'Model Setup'!$J$7,SUMIF($BH$3:$CE$3,"="&amp;$DF29+'Model Setup'!$J$7,$AD29:$BA29)+'Model Setup'!$J$8*(SUMIF($BH$3:$CE$3,"&lt;"&amp;$DF29,$AD29:$BA29)+SUMIF($BH$3:$CE$3,"&gt;"&amp;$CW$4,$AD29:$BA29)),
IF(BP$3=$DF29+'Model Setup'!$K$7,SUMIF($BH$3:$CE$3,"="&amp;$DF29+'Model Setup'!$K$7,$AD29:$BA29)+'Model Setup'!$K$8*(SUMIF($BH$3:$CE$3,"&lt;"&amp;$DF29,$AD29:$BA29)+SUMIF($BH$3:$CE$3,"&gt;"&amp;$CW$4,$AD29:$BA29)),
IF(BP$3=$DF29+'Model Setup'!$L$7,SUMIF($BH$3:$CE$3,"="&amp;$DF29+'Model Setup'!$L$7,$AD29:$BA29)+'Model Setup'!$L$8*(SUMIF($BH$3:$CE$3,"&lt;"&amp;$DF29,$AD29:$BA29)+SUMIF($BH$3:$CE$3,"&gt;"&amp;$CW$4,$AD29:$BA29)),
IF(BP$3=$DF29+'Model Setup'!$M$7,SUMIF($BH$3:$CE$3,"="&amp;$DF29+'Model Setup'!$M$7,$AD29:$BA29)+'Model Setup'!$M$8*(SUMIF($BH$3:$CE$3,"&lt;"&amp;$DF29,$AD29:$BA29)+SUMIF($BH$3:$CE$3,"&gt;"&amp;$CW$4,$AD29:$BA29)),
IF(BP$3=$DF29+'Model Setup'!$N$7,SUMIF($BH$3:$CE$3,"="&amp;$DF29+'Model Setup'!$N$7,$AD29:$BA29)+'Model Setup'!$N$8*(SUMIF($BH$3:$CE$3,"&lt;"&amp;$DF29,$AD29:$BA29)+SUMIF($BH$3:$CE$3,"&gt;"&amp;$CW$4,$AD29:$BA29)),
IF(BP$3&lt;$CW$4,J29,0))))))))))))))),0)</f>
        <v>78</v>
      </c>
      <c r="BQ29" s="47">
        <f>ROUND(IF(OR(BQ$3&lt;$DF29,BQ$3&gt;$CW$4),0,
IF(BQ$3=$DF29+'Model Setup'!$B$7,SUMIF($BH$3:$CE$3,"="&amp;$DF29+'Model Setup'!$B$7,$AD29:$BA29)+'Model Setup'!$B$8*(SUMIF($BH$3:$CE$3,"&lt;"&amp;$DF29,$AD29:$BA29)+SUMIF($BH$3:$CE$3,"&gt;"&amp;$CW$4,$AD29:$BA29)),
IF(BQ$3=$DF29+'Model Setup'!$C$7,SUMIF($BH$3:$CE$3,"="&amp;$DF29+'Model Setup'!$C$7,$AD29:$BA29)+'Model Setup'!$C$8*(SUMIF($BH$3:$CE$3,"&lt;"&amp;$DF29,$AD29:$BA29)+SUMIF($BH$3:$CE$3,"&gt;"&amp;$CW$4,$AD29:$BA29)),
IF(BQ$3=$DF29+'Model Setup'!$D$7,SUMIF($BH$3:$CE$3,"="&amp;$DF29+'Model Setup'!$D$7,$AD29:$BA29)+'Model Setup'!$D$8*(SUMIF($BH$3:$CE$3,"&lt;"&amp;$DF29,$AD29:$BA29)+SUMIF($BH$3:$CE$3,"&gt;"&amp;$CW$4,$AD29:$BA29)),
IF(BQ$3=$DF29+'Model Setup'!$E$7,SUMIF($BH$3:$CE$3,"="&amp;$DF29+'Model Setup'!$E$7,$AD29:$BA29)+'Model Setup'!$E$8*(SUMIF($BH$3:$CE$3,"&lt;"&amp;$DF29,$AD29:$BA29)+SUMIF($BH$3:$CE$3,"&gt;"&amp;$CW$4,$AD29:$BA29)),
IF(BQ$3=$DF29+'Model Setup'!$F$7,SUMIF($BH$3:$CE$3,"="&amp;$DF29+'Model Setup'!$F$7,$AD29:$BA29)+'Model Setup'!$F$8*(SUMIF($BH$3:$CE$3,"&lt;"&amp;$DF29,$AD29:$BA29)+SUMIF($BH$3:$CE$3,"&gt;"&amp;$CW$4,$AD29:$BA29)),
IF(BQ$3=$DF29+'Model Setup'!$G$7,SUMIF($BH$3:$CE$3,"="&amp;$DF29+'Model Setup'!$G$7,$AD29:$BA29)+'Model Setup'!$G$8*(SUMIF($BH$3:$CE$3,"&lt;"&amp;$DF29,$AD29:$BA29)+SUMIF($BH$3:$CE$3,"&gt;"&amp;$CW$4,$AD29:$BA29)),
IF(BQ$3=$DF29+'Model Setup'!$H$7,SUMIF($BH$3:$CE$3,"="&amp;$DF29+'Model Setup'!$H$7,$AD29:$BA29)+'Model Setup'!$H$8*(SUMIF($BH$3:$CE$3,"&lt;"&amp;$DF29,$AD29:$BA29)+SUMIF($BH$3:$CE$3,"&gt;"&amp;$CW$4,$AD29:$BA29)),
IF(BQ$3=$DF29+'Model Setup'!$I$7,SUMIF($BH$3:$CE$3,"="&amp;$DF29+'Model Setup'!$I$7,$AD29:$BA29)+'Model Setup'!$I$8*(SUMIF($BH$3:$CE$3,"&lt;"&amp;$DF29,$AD29:$BA29)+SUMIF($BH$3:$CE$3,"&gt;"&amp;$CW$4,$AD29:$BA29)),
IF(BQ$3=$DF29+'Model Setup'!$J$7,SUMIF($BH$3:$CE$3,"="&amp;$DF29+'Model Setup'!$J$7,$AD29:$BA29)+'Model Setup'!$J$8*(SUMIF($BH$3:$CE$3,"&lt;"&amp;$DF29,$AD29:$BA29)+SUMIF($BH$3:$CE$3,"&gt;"&amp;$CW$4,$AD29:$BA29)),
IF(BQ$3=$DF29+'Model Setup'!$K$7,SUMIF($BH$3:$CE$3,"="&amp;$DF29+'Model Setup'!$K$7,$AD29:$BA29)+'Model Setup'!$K$8*(SUMIF($BH$3:$CE$3,"&lt;"&amp;$DF29,$AD29:$BA29)+SUMIF($BH$3:$CE$3,"&gt;"&amp;$CW$4,$AD29:$BA29)),
IF(BQ$3=$DF29+'Model Setup'!$L$7,SUMIF($BH$3:$CE$3,"="&amp;$DF29+'Model Setup'!$L$7,$AD29:$BA29)+'Model Setup'!$L$8*(SUMIF($BH$3:$CE$3,"&lt;"&amp;$DF29,$AD29:$BA29)+SUMIF($BH$3:$CE$3,"&gt;"&amp;$CW$4,$AD29:$BA29)),
IF(BQ$3=$DF29+'Model Setup'!$M$7,SUMIF($BH$3:$CE$3,"="&amp;$DF29+'Model Setup'!$M$7,$AD29:$BA29)+'Model Setup'!$M$8*(SUMIF($BH$3:$CE$3,"&lt;"&amp;$DF29,$AD29:$BA29)+SUMIF($BH$3:$CE$3,"&gt;"&amp;$CW$4,$AD29:$BA29)),
IF(BQ$3=$DF29+'Model Setup'!$N$7,SUMIF($BH$3:$CE$3,"="&amp;$DF29+'Model Setup'!$N$7,$AD29:$BA29)+'Model Setup'!$N$8*(SUMIF($BH$3:$CE$3,"&lt;"&amp;$DF29,$AD29:$BA29)+SUMIF($BH$3:$CE$3,"&gt;"&amp;$CW$4,$AD29:$BA29)),
IF(BQ$3&lt;$CW$4,K29,0))))))))))))))),0)</f>
        <v>68</v>
      </c>
      <c r="BR29" s="47">
        <f>ROUND(IF(OR(BR$3&lt;$DF29,BR$3&gt;$CW$4),0,
IF(BR$3=$DF29+'Model Setup'!$B$7,SUMIF($BH$3:$CE$3,"="&amp;$DF29+'Model Setup'!$B$7,$AD29:$BA29)+'Model Setup'!$B$8*(SUMIF($BH$3:$CE$3,"&lt;"&amp;$DF29,$AD29:$BA29)+SUMIF($BH$3:$CE$3,"&gt;"&amp;$CW$4,$AD29:$BA29)),
IF(BR$3=$DF29+'Model Setup'!$C$7,SUMIF($BH$3:$CE$3,"="&amp;$DF29+'Model Setup'!$C$7,$AD29:$BA29)+'Model Setup'!$C$8*(SUMIF($BH$3:$CE$3,"&lt;"&amp;$DF29,$AD29:$BA29)+SUMIF($BH$3:$CE$3,"&gt;"&amp;$CW$4,$AD29:$BA29)),
IF(BR$3=$DF29+'Model Setup'!$D$7,SUMIF($BH$3:$CE$3,"="&amp;$DF29+'Model Setup'!$D$7,$AD29:$BA29)+'Model Setup'!$D$8*(SUMIF($BH$3:$CE$3,"&lt;"&amp;$DF29,$AD29:$BA29)+SUMIF($BH$3:$CE$3,"&gt;"&amp;$CW$4,$AD29:$BA29)),
IF(BR$3=$DF29+'Model Setup'!$E$7,SUMIF($BH$3:$CE$3,"="&amp;$DF29+'Model Setup'!$E$7,$AD29:$BA29)+'Model Setup'!$E$8*(SUMIF($BH$3:$CE$3,"&lt;"&amp;$DF29,$AD29:$BA29)+SUMIF($BH$3:$CE$3,"&gt;"&amp;$CW$4,$AD29:$BA29)),
IF(BR$3=$DF29+'Model Setup'!$F$7,SUMIF($BH$3:$CE$3,"="&amp;$DF29+'Model Setup'!$F$7,$AD29:$BA29)+'Model Setup'!$F$8*(SUMIF($BH$3:$CE$3,"&lt;"&amp;$DF29,$AD29:$BA29)+SUMIF($BH$3:$CE$3,"&gt;"&amp;$CW$4,$AD29:$BA29)),
IF(BR$3=$DF29+'Model Setup'!$G$7,SUMIF($BH$3:$CE$3,"="&amp;$DF29+'Model Setup'!$G$7,$AD29:$BA29)+'Model Setup'!$G$8*(SUMIF($BH$3:$CE$3,"&lt;"&amp;$DF29,$AD29:$BA29)+SUMIF($BH$3:$CE$3,"&gt;"&amp;$CW$4,$AD29:$BA29)),
IF(BR$3=$DF29+'Model Setup'!$H$7,SUMIF($BH$3:$CE$3,"="&amp;$DF29+'Model Setup'!$H$7,$AD29:$BA29)+'Model Setup'!$H$8*(SUMIF($BH$3:$CE$3,"&lt;"&amp;$DF29,$AD29:$BA29)+SUMIF($BH$3:$CE$3,"&gt;"&amp;$CW$4,$AD29:$BA29)),
IF(BR$3=$DF29+'Model Setup'!$I$7,SUMIF($BH$3:$CE$3,"="&amp;$DF29+'Model Setup'!$I$7,$AD29:$BA29)+'Model Setup'!$I$8*(SUMIF($BH$3:$CE$3,"&lt;"&amp;$DF29,$AD29:$BA29)+SUMIF($BH$3:$CE$3,"&gt;"&amp;$CW$4,$AD29:$BA29)),
IF(BR$3=$DF29+'Model Setup'!$J$7,SUMIF($BH$3:$CE$3,"="&amp;$DF29+'Model Setup'!$J$7,$AD29:$BA29)+'Model Setup'!$J$8*(SUMIF($BH$3:$CE$3,"&lt;"&amp;$DF29,$AD29:$BA29)+SUMIF($BH$3:$CE$3,"&gt;"&amp;$CW$4,$AD29:$BA29)),
IF(BR$3=$DF29+'Model Setup'!$K$7,SUMIF($BH$3:$CE$3,"="&amp;$DF29+'Model Setup'!$K$7,$AD29:$BA29)+'Model Setup'!$K$8*(SUMIF($BH$3:$CE$3,"&lt;"&amp;$DF29,$AD29:$BA29)+SUMIF($BH$3:$CE$3,"&gt;"&amp;$CW$4,$AD29:$BA29)),
IF(BR$3=$DF29+'Model Setup'!$L$7,SUMIF($BH$3:$CE$3,"="&amp;$DF29+'Model Setup'!$L$7,$AD29:$BA29)+'Model Setup'!$L$8*(SUMIF($BH$3:$CE$3,"&lt;"&amp;$DF29,$AD29:$BA29)+SUMIF($BH$3:$CE$3,"&gt;"&amp;$CW$4,$AD29:$BA29)),
IF(BR$3=$DF29+'Model Setup'!$M$7,SUMIF($BH$3:$CE$3,"="&amp;$DF29+'Model Setup'!$M$7,$AD29:$BA29)+'Model Setup'!$M$8*(SUMIF($BH$3:$CE$3,"&lt;"&amp;$DF29,$AD29:$BA29)+SUMIF($BH$3:$CE$3,"&gt;"&amp;$CW$4,$AD29:$BA29)),
IF(BR$3=$DF29+'Model Setup'!$N$7,SUMIF($BH$3:$CE$3,"="&amp;$DF29+'Model Setup'!$N$7,$AD29:$BA29)+'Model Setup'!$N$8*(SUMIF($BH$3:$CE$3,"&lt;"&amp;$DF29,$AD29:$BA29)+SUMIF($BH$3:$CE$3,"&gt;"&amp;$CW$4,$AD29:$BA29)),
IF(BR$3&lt;$CW$4,L29,0))))))))))))))),0)</f>
        <v>55</v>
      </c>
      <c r="BS29" s="47">
        <f>ROUND(IF(OR(BS$3&lt;$DF29,BS$3&gt;$CW$4),0,
IF(BS$3=$DF29+'Model Setup'!$B$7,SUMIF($BH$3:$CE$3,"="&amp;$DF29+'Model Setup'!$B$7,$AD29:$BA29)+'Model Setup'!$B$8*(SUMIF($BH$3:$CE$3,"&lt;"&amp;$DF29,$AD29:$BA29)+SUMIF($BH$3:$CE$3,"&gt;"&amp;$CW$4,$AD29:$BA29)),
IF(BS$3=$DF29+'Model Setup'!$C$7,SUMIF($BH$3:$CE$3,"="&amp;$DF29+'Model Setup'!$C$7,$AD29:$BA29)+'Model Setup'!$C$8*(SUMIF($BH$3:$CE$3,"&lt;"&amp;$DF29,$AD29:$BA29)+SUMIF($BH$3:$CE$3,"&gt;"&amp;$CW$4,$AD29:$BA29)),
IF(BS$3=$DF29+'Model Setup'!$D$7,SUMIF($BH$3:$CE$3,"="&amp;$DF29+'Model Setup'!$D$7,$AD29:$BA29)+'Model Setup'!$D$8*(SUMIF($BH$3:$CE$3,"&lt;"&amp;$DF29,$AD29:$BA29)+SUMIF($BH$3:$CE$3,"&gt;"&amp;$CW$4,$AD29:$BA29)),
IF(BS$3=$DF29+'Model Setup'!$E$7,SUMIF($BH$3:$CE$3,"="&amp;$DF29+'Model Setup'!$E$7,$AD29:$BA29)+'Model Setup'!$E$8*(SUMIF($BH$3:$CE$3,"&lt;"&amp;$DF29,$AD29:$BA29)+SUMIF($BH$3:$CE$3,"&gt;"&amp;$CW$4,$AD29:$BA29)),
IF(BS$3=$DF29+'Model Setup'!$F$7,SUMIF($BH$3:$CE$3,"="&amp;$DF29+'Model Setup'!$F$7,$AD29:$BA29)+'Model Setup'!$F$8*(SUMIF($BH$3:$CE$3,"&lt;"&amp;$DF29,$AD29:$BA29)+SUMIF($BH$3:$CE$3,"&gt;"&amp;$CW$4,$AD29:$BA29)),
IF(BS$3=$DF29+'Model Setup'!$G$7,SUMIF($BH$3:$CE$3,"="&amp;$DF29+'Model Setup'!$G$7,$AD29:$BA29)+'Model Setup'!$G$8*(SUMIF($BH$3:$CE$3,"&lt;"&amp;$DF29,$AD29:$BA29)+SUMIF($BH$3:$CE$3,"&gt;"&amp;$CW$4,$AD29:$BA29)),
IF(BS$3=$DF29+'Model Setup'!$H$7,SUMIF($BH$3:$CE$3,"="&amp;$DF29+'Model Setup'!$H$7,$AD29:$BA29)+'Model Setup'!$H$8*(SUMIF($BH$3:$CE$3,"&lt;"&amp;$DF29,$AD29:$BA29)+SUMIF($BH$3:$CE$3,"&gt;"&amp;$CW$4,$AD29:$BA29)),
IF(BS$3=$DF29+'Model Setup'!$I$7,SUMIF($BH$3:$CE$3,"="&amp;$DF29+'Model Setup'!$I$7,$AD29:$BA29)+'Model Setup'!$I$8*(SUMIF($BH$3:$CE$3,"&lt;"&amp;$DF29,$AD29:$BA29)+SUMIF($BH$3:$CE$3,"&gt;"&amp;$CW$4,$AD29:$BA29)),
IF(BS$3=$DF29+'Model Setup'!$J$7,SUMIF($BH$3:$CE$3,"="&amp;$DF29+'Model Setup'!$J$7,$AD29:$BA29)+'Model Setup'!$J$8*(SUMIF($BH$3:$CE$3,"&lt;"&amp;$DF29,$AD29:$BA29)+SUMIF($BH$3:$CE$3,"&gt;"&amp;$CW$4,$AD29:$BA29)),
IF(BS$3=$DF29+'Model Setup'!$K$7,SUMIF($BH$3:$CE$3,"="&amp;$DF29+'Model Setup'!$K$7,$AD29:$BA29)+'Model Setup'!$K$8*(SUMIF($BH$3:$CE$3,"&lt;"&amp;$DF29,$AD29:$BA29)+SUMIF($BH$3:$CE$3,"&gt;"&amp;$CW$4,$AD29:$BA29)),
IF(BS$3=$DF29+'Model Setup'!$L$7,SUMIF($BH$3:$CE$3,"="&amp;$DF29+'Model Setup'!$L$7,$AD29:$BA29)+'Model Setup'!$L$8*(SUMIF($BH$3:$CE$3,"&lt;"&amp;$DF29,$AD29:$BA29)+SUMIF($BH$3:$CE$3,"&gt;"&amp;$CW$4,$AD29:$BA29)),
IF(BS$3=$DF29+'Model Setup'!$M$7,SUMIF($BH$3:$CE$3,"="&amp;$DF29+'Model Setup'!$M$7,$AD29:$BA29)+'Model Setup'!$M$8*(SUMIF($BH$3:$CE$3,"&lt;"&amp;$DF29,$AD29:$BA29)+SUMIF($BH$3:$CE$3,"&gt;"&amp;$CW$4,$AD29:$BA29)),
IF(BS$3=$DF29+'Model Setup'!$N$7,SUMIF($BH$3:$CE$3,"="&amp;$DF29+'Model Setup'!$N$7,$AD29:$BA29)+'Model Setup'!$N$8*(SUMIF($BH$3:$CE$3,"&lt;"&amp;$DF29,$AD29:$BA29)+SUMIF($BH$3:$CE$3,"&gt;"&amp;$CW$4,$AD29:$BA29)),
IF(BS$3&lt;$CW$4,M29,0))))))))))))))),0)</f>
        <v>49</v>
      </c>
      <c r="BT29" s="47">
        <f>ROUND(IF(OR(BT$3&lt;$DF29,BT$3&gt;$CW$4),0,
IF(BT$3=$DF29+'Model Setup'!$B$7,SUMIF($BH$3:$CE$3,"="&amp;$DF29+'Model Setup'!$B$7,$AD29:$BA29)+'Model Setup'!$B$8*(SUMIF($BH$3:$CE$3,"&lt;"&amp;$DF29,$AD29:$BA29)+SUMIF($BH$3:$CE$3,"&gt;"&amp;$CW$4,$AD29:$BA29)),
IF(BT$3=$DF29+'Model Setup'!$C$7,SUMIF($BH$3:$CE$3,"="&amp;$DF29+'Model Setup'!$C$7,$AD29:$BA29)+'Model Setup'!$C$8*(SUMIF($BH$3:$CE$3,"&lt;"&amp;$DF29,$AD29:$BA29)+SUMIF($BH$3:$CE$3,"&gt;"&amp;$CW$4,$AD29:$BA29)),
IF(BT$3=$DF29+'Model Setup'!$D$7,SUMIF($BH$3:$CE$3,"="&amp;$DF29+'Model Setup'!$D$7,$AD29:$BA29)+'Model Setup'!$D$8*(SUMIF($BH$3:$CE$3,"&lt;"&amp;$DF29,$AD29:$BA29)+SUMIF($BH$3:$CE$3,"&gt;"&amp;$CW$4,$AD29:$BA29)),
IF(BT$3=$DF29+'Model Setup'!$E$7,SUMIF($BH$3:$CE$3,"="&amp;$DF29+'Model Setup'!$E$7,$AD29:$BA29)+'Model Setup'!$E$8*(SUMIF($BH$3:$CE$3,"&lt;"&amp;$DF29,$AD29:$BA29)+SUMIF($BH$3:$CE$3,"&gt;"&amp;$CW$4,$AD29:$BA29)),
IF(BT$3=$DF29+'Model Setup'!$F$7,SUMIF($BH$3:$CE$3,"="&amp;$DF29+'Model Setup'!$F$7,$AD29:$BA29)+'Model Setup'!$F$8*(SUMIF($BH$3:$CE$3,"&lt;"&amp;$DF29,$AD29:$BA29)+SUMIF($BH$3:$CE$3,"&gt;"&amp;$CW$4,$AD29:$BA29)),
IF(BT$3=$DF29+'Model Setup'!$G$7,SUMIF($BH$3:$CE$3,"="&amp;$DF29+'Model Setup'!$G$7,$AD29:$BA29)+'Model Setup'!$G$8*(SUMIF($BH$3:$CE$3,"&lt;"&amp;$DF29,$AD29:$BA29)+SUMIF($BH$3:$CE$3,"&gt;"&amp;$CW$4,$AD29:$BA29)),
IF(BT$3=$DF29+'Model Setup'!$H$7,SUMIF($BH$3:$CE$3,"="&amp;$DF29+'Model Setup'!$H$7,$AD29:$BA29)+'Model Setup'!$H$8*(SUMIF($BH$3:$CE$3,"&lt;"&amp;$DF29,$AD29:$BA29)+SUMIF($BH$3:$CE$3,"&gt;"&amp;$CW$4,$AD29:$BA29)),
IF(BT$3=$DF29+'Model Setup'!$I$7,SUMIF($BH$3:$CE$3,"="&amp;$DF29+'Model Setup'!$I$7,$AD29:$BA29)+'Model Setup'!$I$8*(SUMIF($BH$3:$CE$3,"&lt;"&amp;$DF29,$AD29:$BA29)+SUMIF($BH$3:$CE$3,"&gt;"&amp;$CW$4,$AD29:$BA29)),
IF(BT$3=$DF29+'Model Setup'!$J$7,SUMIF($BH$3:$CE$3,"="&amp;$DF29+'Model Setup'!$J$7,$AD29:$BA29)+'Model Setup'!$J$8*(SUMIF($BH$3:$CE$3,"&lt;"&amp;$DF29,$AD29:$BA29)+SUMIF($BH$3:$CE$3,"&gt;"&amp;$CW$4,$AD29:$BA29)),
IF(BT$3=$DF29+'Model Setup'!$K$7,SUMIF($BH$3:$CE$3,"="&amp;$DF29+'Model Setup'!$K$7,$AD29:$BA29)+'Model Setup'!$K$8*(SUMIF($BH$3:$CE$3,"&lt;"&amp;$DF29,$AD29:$BA29)+SUMIF($BH$3:$CE$3,"&gt;"&amp;$CW$4,$AD29:$BA29)),
IF(BT$3=$DF29+'Model Setup'!$L$7,SUMIF($BH$3:$CE$3,"="&amp;$DF29+'Model Setup'!$L$7,$AD29:$BA29)+'Model Setup'!$L$8*(SUMIF($BH$3:$CE$3,"&lt;"&amp;$DF29,$AD29:$BA29)+SUMIF($BH$3:$CE$3,"&gt;"&amp;$CW$4,$AD29:$BA29)),
IF(BT$3=$DF29+'Model Setup'!$M$7,SUMIF($BH$3:$CE$3,"="&amp;$DF29+'Model Setup'!$M$7,$AD29:$BA29)+'Model Setup'!$M$8*(SUMIF($BH$3:$CE$3,"&lt;"&amp;$DF29,$AD29:$BA29)+SUMIF($BH$3:$CE$3,"&gt;"&amp;$CW$4,$AD29:$BA29)),
IF(BT$3=$DF29+'Model Setup'!$N$7,SUMIF($BH$3:$CE$3,"="&amp;$DF29+'Model Setup'!$N$7,$AD29:$BA29)+'Model Setup'!$N$8*(SUMIF($BH$3:$CE$3,"&lt;"&amp;$DF29,$AD29:$BA29)+SUMIF($BH$3:$CE$3,"&gt;"&amp;$CW$4,$AD29:$BA29)),
IF(BT$3&lt;$CW$4,N29,0))))))))))))))),0)</f>
        <v>35</v>
      </c>
      <c r="BU29" s="47">
        <f>ROUND(IF(OR(BU$3&lt;$DF29,BU$3&gt;$CW$4),0,
IF(BU$3=$DF29+'Model Setup'!$B$7,SUMIF($BH$3:$CE$3,"="&amp;$DF29+'Model Setup'!$B$7,$AD29:$BA29)+'Model Setup'!$B$8*(SUMIF($BH$3:$CE$3,"&lt;"&amp;$DF29,$AD29:$BA29)+SUMIF($BH$3:$CE$3,"&gt;"&amp;$CW$4,$AD29:$BA29)),
IF(BU$3=$DF29+'Model Setup'!$C$7,SUMIF($BH$3:$CE$3,"="&amp;$DF29+'Model Setup'!$C$7,$AD29:$BA29)+'Model Setup'!$C$8*(SUMIF($BH$3:$CE$3,"&lt;"&amp;$DF29,$AD29:$BA29)+SUMIF($BH$3:$CE$3,"&gt;"&amp;$CW$4,$AD29:$BA29)),
IF(BU$3=$DF29+'Model Setup'!$D$7,SUMIF($BH$3:$CE$3,"="&amp;$DF29+'Model Setup'!$D$7,$AD29:$BA29)+'Model Setup'!$D$8*(SUMIF($BH$3:$CE$3,"&lt;"&amp;$DF29,$AD29:$BA29)+SUMIF($BH$3:$CE$3,"&gt;"&amp;$CW$4,$AD29:$BA29)),
IF(BU$3=$DF29+'Model Setup'!$E$7,SUMIF($BH$3:$CE$3,"="&amp;$DF29+'Model Setup'!$E$7,$AD29:$BA29)+'Model Setup'!$E$8*(SUMIF($BH$3:$CE$3,"&lt;"&amp;$DF29,$AD29:$BA29)+SUMIF($BH$3:$CE$3,"&gt;"&amp;$CW$4,$AD29:$BA29)),
IF(BU$3=$DF29+'Model Setup'!$F$7,SUMIF($BH$3:$CE$3,"="&amp;$DF29+'Model Setup'!$F$7,$AD29:$BA29)+'Model Setup'!$F$8*(SUMIF($BH$3:$CE$3,"&lt;"&amp;$DF29,$AD29:$BA29)+SUMIF($BH$3:$CE$3,"&gt;"&amp;$CW$4,$AD29:$BA29)),
IF(BU$3=$DF29+'Model Setup'!$G$7,SUMIF($BH$3:$CE$3,"="&amp;$DF29+'Model Setup'!$G$7,$AD29:$BA29)+'Model Setup'!$G$8*(SUMIF($BH$3:$CE$3,"&lt;"&amp;$DF29,$AD29:$BA29)+SUMIF($BH$3:$CE$3,"&gt;"&amp;$CW$4,$AD29:$BA29)),
IF(BU$3=$DF29+'Model Setup'!$H$7,SUMIF($BH$3:$CE$3,"="&amp;$DF29+'Model Setup'!$H$7,$AD29:$BA29)+'Model Setup'!$H$8*(SUMIF($BH$3:$CE$3,"&lt;"&amp;$DF29,$AD29:$BA29)+SUMIF($BH$3:$CE$3,"&gt;"&amp;$CW$4,$AD29:$BA29)),
IF(BU$3=$DF29+'Model Setup'!$I$7,SUMIF($BH$3:$CE$3,"="&amp;$DF29+'Model Setup'!$I$7,$AD29:$BA29)+'Model Setup'!$I$8*(SUMIF($BH$3:$CE$3,"&lt;"&amp;$DF29,$AD29:$BA29)+SUMIF($BH$3:$CE$3,"&gt;"&amp;$CW$4,$AD29:$BA29)),
IF(BU$3=$DF29+'Model Setup'!$J$7,SUMIF($BH$3:$CE$3,"="&amp;$DF29+'Model Setup'!$J$7,$AD29:$BA29)+'Model Setup'!$J$8*(SUMIF($BH$3:$CE$3,"&lt;"&amp;$DF29,$AD29:$BA29)+SUMIF($BH$3:$CE$3,"&gt;"&amp;$CW$4,$AD29:$BA29)),
IF(BU$3=$DF29+'Model Setup'!$K$7,SUMIF($BH$3:$CE$3,"="&amp;$DF29+'Model Setup'!$K$7,$AD29:$BA29)+'Model Setup'!$K$8*(SUMIF($BH$3:$CE$3,"&lt;"&amp;$DF29,$AD29:$BA29)+SUMIF($BH$3:$CE$3,"&gt;"&amp;$CW$4,$AD29:$BA29)),
IF(BU$3=$DF29+'Model Setup'!$L$7,SUMIF($BH$3:$CE$3,"="&amp;$DF29+'Model Setup'!$L$7,$AD29:$BA29)+'Model Setup'!$L$8*(SUMIF($BH$3:$CE$3,"&lt;"&amp;$DF29,$AD29:$BA29)+SUMIF($BH$3:$CE$3,"&gt;"&amp;$CW$4,$AD29:$BA29)),
IF(BU$3=$DF29+'Model Setup'!$M$7,SUMIF($BH$3:$CE$3,"="&amp;$DF29+'Model Setup'!$M$7,$AD29:$BA29)+'Model Setup'!$M$8*(SUMIF($BH$3:$CE$3,"&lt;"&amp;$DF29,$AD29:$BA29)+SUMIF($BH$3:$CE$3,"&gt;"&amp;$CW$4,$AD29:$BA29)),
IF(BU$3=$DF29+'Model Setup'!$N$7,SUMIF($BH$3:$CE$3,"="&amp;$DF29+'Model Setup'!$N$7,$AD29:$BA29)+'Model Setup'!$N$8*(SUMIF($BH$3:$CE$3,"&lt;"&amp;$DF29,$AD29:$BA29)+SUMIF($BH$3:$CE$3,"&gt;"&amp;$CW$4,$AD29:$BA29)),
IF(BU$3&lt;$CW$4,O29,0))))))))))))))),0)</f>
        <v>35</v>
      </c>
      <c r="BV29" s="47">
        <f>ROUND(IF(OR(BV$3&lt;$DF29,BV$3&gt;$CW$4),0,
IF(BV$3=$DF29+'Model Setup'!$B$7,SUMIF($BH$3:$CE$3,"="&amp;$DF29+'Model Setup'!$B$7,$AD29:$BA29)+'Model Setup'!$B$8*(SUMIF($BH$3:$CE$3,"&lt;"&amp;$DF29,$AD29:$BA29)+SUMIF($BH$3:$CE$3,"&gt;"&amp;$CW$4,$AD29:$BA29)),
IF(BV$3=$DF29+'Model Setup'!$C$7,SUMIF($BH$3:$CE$3,"="&amp;$DF29+'Model Setup'!$C$7,$AD29:$BA29)+'Model Setup'!$C$8*(SUMIF($BH$3:$CE$3,"&lt;"&amp;$DF29,$AD29:$BA29)+SUMIF($BH$3:$CE$3,"&gt;"&amp;$CW$4,$AD29:$BA29)),
IF(BV$3=$DF29+'Model Setup'!$D$7,SUMIF($BH$3:$CE$3,"="&amp;$DF29+'Model Setup'!$D$7,$AD29:$BA29)+'Model Setup'!$D$8*(SUMIF($BH$3:$CE$3,"&lt;"&amp;$DF29,$AD29:$BA29)+SUMIF($BH$3:$CE$3,"&gt;"&amp;$CW$4,$AD29:$BA29)),
IF(BV$3=$DF29+'Model Setup'!$E$7,SUMIF($BH$3:$CE$3,"="&amp;$DF29+'Model Setup'!$E$7,$AD29:$BA29)+'Model Setup'!$E$8*(SUMIF($BH$3:$CE$3,"&lt;"&amp;$DF29,$AD29:$BA29)+SUMIF($BH$3:$CE$3,"&gt;"&amp;$CW$4,$AD29:$BA29)),
IF(BV$3=$DF29+'Model Setup'!$F$7,SUMIF($BH$3:$CE$3,"="&amp;$DF29+'Model Setup'!$F$7,$AD29:$BA29)+'Model Setup'!$F$8*(SUMIF($BH$3:$CE$3,"&lt;"&amp;$DF29,$AD29:$BA29)+SUMIF($BH$3:$CE$3,"&gt;"&amp;$CW$4,$AD29:$BA29)),
IF(BV$3=$DF29+'Model Setup'!$G$7,SUMIF($BH$3:$CE$3,"="&amp;$DF29+'Model Setup'!$G$7,$AD29:$BA29)+'Model Setup'!$G$8*(SUMIF($BH$3:$CE$3,"&lt;"&amp;$DF29,$AD29:$BA29)+SUMIF($BH$3:$CE$3,"&gt;"&amp;$CW$4,$AD29:$BA29)),
IF(BV$3=$DF29+'Model Setup'!$H$7,SUMIF($BH$3:$CE$3,"="&amp;$DF29+'Model Setup'!$H$7,$AD29:$BA29)+'Model Setup'!$H$8*(SUMIF($BH$3:$CE$3,"&lt;"&amp;$DF29,$AD29:$BA29)+SUMIF($BH$3:$CE$3,"&gt;"&amp;$CW$4,$AD29:$BA29)),
IF(BV$3=$DF29+'Model Setup'!$I$7,SUMIF($BH$3:$CE$3,"="&amp;$DF29+'Model Setup'!$I$7,$AD29:$BA29)+'Model Setup'!$I$8*(SUMIF($BH$3:$CE$3,"&lt;"&amp;$DF29,$AD29:$BA29)+SUMIF($BH$3:$CE$3,"&gt;"&amp;$CW$4,$AD29:$BA29)),
IF(BV$3=$DF29+'Model Setup'!$J$7,SUMIF($BH$3:$CE$3,"="&amp;$DF29+'Model Setup'!$J$7,$AD29:$BA29)+'Model Setup'!$J$8*(SUMIF($BH$3:$CE$3,"&lt;"&amp;$DF29,$AD29:$BA29)+SUMIF($BH$3:$CE$3,"&gt;"&amp;$CW$4,$AD29:$BA29)),
IF(BV$3=$DF29+'Model Setup'!$K$7,SUMIF($BH$3:$CE$3,"="&amp;$DF29+'Model Setup'!$K$7,$AD29:$BA29)+'Model Setup'!$K$8*(SUMIF($BH$3:$CE$3,"&lt;"&amp;$DF29,$AD29:$BA29)+SUMIF($BH$3:$CE$3,"&gt;"&amp;$CW$4,$AD29:$BA29)),
IF(BV$3=$DF29+'Model Setup'!$L$7,SUMIF($BH$3:$CE$3,"="&amp;$DF29+'Model Setup'!$L$7,$AD29:$BA29)+'Model Setup'!$L$8*(SUMIF($BH$3:$CE$3,"&lt;"&amp;$DF29,$AD29:$BA29)+SUMIF($BH$3:$CE$3,"&gt;"&amp;$CW$4,$AD29:$BA29)),
IF(BV$3=$DF29+'Model Setup'!$M$7,SUMIF($BH$3:$CE$3,"="&amp;$DF29+'Model Setup'!$M$7,$AD29:$BA29)+'Model Setup'!$M$8*(SUMIF($BH$3:$CE$3,"&lt;"&amp;$DF29,$AD29:$BA29)+SUMIF($BH$3:$CE$3,"&gt;"&amp;$CW$4,$AD29:$BA29)),
IF(BV$3=$DF29+'Model Setup'!$N$7,SUMIF($BH$3:$CE$3,"="&amp;$DF29+'Model Setup'!$N$7,$AD29:$BA29)+'Model Setup'!$N$8*(SUMIF($BH$3:$CE$3,"&lt;"&amp;$DF29,$AD29:$BA29)+SUMIF($BH$3:$CE$3,"&gt;"&amp;$CW$4,$AD29:$BA29)),
IF(BV$3&lt;$CW$4,P29,0))))))))))))))),0)</f>
        <v>33</v>
      </c>
      <c r="BW29" s="47">
        <f>ROUND(IF(OR(BW$3&lt;$DF29,BW$3&gt;$CW$4),0,
IF(BW$3=$DF29+'Model Setup'!$B$7,SUMIF($BH$3:$CE$3,"="&amp;$DF29+'Model Setup'!$B$7,$AD29:$BA29)+'Model Setup'!$B$8*(SUMIF($BH$3:$CE$3,"&lt;"&amp;$DF29,$AD29:$BA29)+SUMIF($BH$3:$CE$3,"&gt;"&amp;$CW$4,$AD29:$BA29)),
IF(BW$3=$DF29+'Model Setup'!$C$7,SUMIF($BH$3:$CE$3,"="&amp;$DF29+'Model Setup'!$C$7,$AD29:$BA29)+'Model Setup'!$C$8*(SUMIF($BH$3:$CE$3,"&lt;"&amp;$DF29,$AD29:$BA29)+SUMIF($BH$3:$CE$3,"&gt;"&amp;$CW$4,$AD29:$BA29)),
IF(BW$3=$DF29+'Model Setup'!$D$7,SUMIF($BH$3:$CE$3,"="&amp;$DF29+'Model Setup'!$D$7,$AD29:$BA29)+'Model Setup'!$D$8*(SUMIF($BH$3:$CE$3,"&lt;"&amp;$DF29,$AD29:$BA29)+SUMIF($BH$3:$CE$3,"&gt;"&amp;$CW$4,$AD29:$BA29)),
IF(BW$3=$DF29+'Model Setup'!$E$7,SUMIF($BH$3:$CE$3,"="&amp;$DF29+'Model Setup'!$E$7,$AD29:$BA29)+'Model Setup'!$E$8*(SUMIF($BH$3:$CE$3,"&lt;"&amp;$DF29,$AD29:$BA29)+SUMIF($BH$3:$CE$3,"&gt;"&amp;$CW$4,$AD29:$BA29)),
IF(BW$3=$DF29+'Model Setup'!$F$7,SUMIF($BH$3:$CE$3,"="&amp;$DF29+'Model Setup'!$F$7,$AD29:$BA29)+'Model Setup'!$F$8*(SUMIF($BH$3:$CE$3,"&lt;"&amp;$DF29,$AD29:$BA29)+SUMIF($BH$3:$CE$3,"&gt;"&amp;$CW$4,$AD29:$BA29)),
IF(BW$3=$DF29+'Model Setup'!$G$7,SUMIF($BH$3:$CE$3,"="&amp;$DF29+'Model Setup'!$G$7,$AD29:$BA29)+'Model Setup'!$G$8*(SUMIF($BH$3:$CE$3,"&lt;"&amp;$DF29,$AD29:$BA29)+SUMIF($BH$3:$CE$3,"&gt;"&amp;$CW$4,$AD29:$BA29)),
IF(BW$3=$DF29+'Model Setup'!$H$7,SUMIF($BH$3:$CE$3,"="&amp;$DF29+'Model Setup'!$H$7,$AD29:$BA29)+'Model Setup'!$H$8*(SUMIF($BH$3:$CE$3,"&lt;"&amp;$DF29,$AD29:$BA29)+SUMIF($BH$3:$CE$3,"&gt;"&amp;$CW$4,$AD29:$BA29)),
IF(BW$3=$DF29+'Model Setup'!$I$7,SUMIF($BH$3:$CE$3,"="&amp;$DF29+'Model Setup'!$I$7,$AD29:$BA29)+'Model Setup'!$I$8*(SUMIF($BH$3:$CE$3,"&lt;"&amp;$DF29,$AD29:$BA29)+SUMIF($BH$3:$CE$3,"&gt;"&amp;$CW$4,$AD29:$BA29)),
IF(BW$3=$DF29+'Model Setup'!$J$7,SUMIF($BH$3:$CE$3,"="&amp;$DF29+'Model Setup'!$J$7,$AD29:$BA29)+'Model Setup'!$J$8*(SUMIF($BH$3:$CE$3,"&lt;"&amp;$DF29,$AD29:$BA29)+SUMIF($BH$3:$CE$3,"&gt;"&amp;$CW$4,$AD29:$BA29)),
IF(BW$3=$DF29+'Model Setup'!$K$7,SUMIF($BH$3:$CE$3,"="&amp;$DF29+'Model Setup'!$K$7,$AD29:$BA29)+'Model Setup'!$K$8*(SUMIF($BH$3:$CE$3,"&lt;"&amp;$DF29,$AD29:$BA29)+SUMIF($BH$3:$CE$3,"&gt;"&amp;$CW$4,$AD29:$BA29)),
IF(BW$3=$DF29+'Model Setup'!$L$7,SUMIF($BH$3:$CE$3,"="&amp;$DF29+'Model Setup'!$L$7,$AD29:$BA29)+'Model Setup'!$L$8*(SUMIF($BH$3:$CE$3,"&lt;"&amp;$DF29,$AD29:$BA29)+SUMIF($BH$3:$CE$3,"&gt;"&amp;$CW$4,$AD29:$BA29)),
IF(BW$3=$DF29+'Model Setup'!$M$7,SUMIF($BH$3:$CE$3,"="&amp;$DF29+'Model Setup'!$M$7,$AD29:$BA29)+'Model Setup'!$M$8*(SUMIF($BH$3:$CE$3,"&lt;"&amp;$DF29,$AD29:$BA29)+SUMIF($BH$3:$CE$3,"&gt;"&amp;$CW$4,$AD29:$BA29)),
IF(BW$3=$DF29+'Model Setup'!$N$7,SUMIF($BH$3:$CE$3,"="&amp;$DF29+'Model Setup'!$N$7,$AD29:$BA29)+'Model Setup'!$N$8*(SUMIF($BH$3:$CE$3,"&lt;"&amp;$DF29,$AD29:$BA29)+SUMIF($BH$3:$CE$3,"&gt;"&amp;$CW$4,$AD29:$BA29)),
IF(BW$3&lt;$CW$4,Q29,0))))))))))))))),0)</f>
        <v>22</v>
      </c>
      <c r="BX29" s="47">
        <f>ROUND(IF(OR(BX$3&lt;$DF29,BX$3&gt;$CW$4),0,
IF(BX$3=$DF29+'Model Setup'!$B$7,SUMIF($BH$3:$CE$3,"="&amp;$DF29+'Model Setup'!$B$7,$AD29:$BA29)+'Model Setup'!$B$8*(SUMIF($BH$3:$CE$3,"&lt;"&amp;$DF29,$AD29:$BA29)+SUMIF($BH$3:$CE$3,"&gt;"&amp;$CW$4,$AD29:$BA29)),
IF(BX$3=$DF29+'Model Setup'!$C$7,SUMIF($BH$3:$CE$3,"="&amp;$DF29+'Model Setup'!$C$7,$AD29:$BA29)+'Model Setup'!$C$8*(SUMIF($BH$3:$CE$3,"&lt;"&amp;$DF29,$AD29:$BA29)+SUMIF($BH$3:$CE$3,"&gt;"&amp;$CW$4,$AD29:$BA29)),
IF(BX$3=$DF29+'Model Setup'!$D$7,SUMIF($BH$3:$CE$3,"="&amp;$DF29+'Model Setup'!$D$7,$AD29:$BA29)+'Model Setup'!$D$8*(SUMIF($BH$3:$CE$3,"&lt;"&amp;$DF29,$AD29:$BA29)+SUMIF($BH$3:$CE$3,"&gt;"&amp;$CW$4,$AD29:$BA29)),
IF(BX$3=$DF29+'Model Setup'!$E$7,SUMIF($BH$3:$CE$3,"="&amp;$DF29+'Model Setup'!$E$7,$AD29:$BA29)+'Model Setup'!$E$8*(SUMIF($BH$3:$CE$3,"&lt;"&amp;$DF29,$AD29:$BA29)+SUMIF($BH$3:$CE$3,"&gt;"&amp;$CW$4,$AD29:$BA29)),
IF(BX$3=$DF29+'Model Setup'!$F$7,SUMIF($BH$3:$CE$3,"="&amp;$DF29+'Model Setup'!$F$7,$AD29:$BA29)+'Model Setup'!$F$8*(SUMIF($BH$3:$CE$3,"&lt;"&amp;$DF29,$AD29:$BA29)+SUMIF($BH$3:$CE$3,"&gt;"&amp;$CW$4,$AD29:$BA29)),
IF(BX$3=$DF29+'Model Setup'!$G$7,SUMIF($BH$3:$CE$3,"="&amp;$DF29+'Model Setup'!$G$7,$AD29:$BA29)+'Model Setup'!$G$8*(SUMIF($BH$3:$CE$3,"&lt;"&amp;$DF29,$AD29:$BA29)+SUMIF($BH$3:$CE$3,"&gt;"&amp;$CW$4,$AD29:$BA29)),
IF(BX$3=$DF29+'Model Setup'!$H$7,SUMIF($BH$3:$CE$3,"="&amp;$DF29+'Model Setup'!$H$7,$AD29:$BA29)+'Model Setup'!$H$8*(SUMIF($BH$3:$CE$3,"&lt;"&amp;$DF29,$AD29:$BA29)+SUMIF($BH$3:$CE$3,"&gt;"&amp;$CW$4,$AD29:$BA29)),
IF(BX$3=$DF29+'Model Setup'!$I$7,SUMIF($BH$3:$CE$3,"="&amp;$DF29+'Model Setup'!$I$7,$AD29:$BA29)+'Model Setup'!$I$8*(SUMIF($BH$3:$CE$3,"&lt;"&amp;$DF29,$AD29:$BA29)+SUMIF($BH$3:$CE$3,"&gt;"&amp;$CW$4,$AD29:$BA29)),
IF(BX$3=$DF29+'Model Setup'!$J$7,SUMIF($BH$3:$CE$3,"="&amp;$DF29+'Model Setup'!$J$7,$AD29:$BA29)+'Model Setup'!$J$8*(SUMIF($BH$3:$CE$3,"&lt;"&amp;$DF29,$AD29:$BA29)+SUMIF($BH$3:$CE$3,"&gt;"&amp;$CW$4,$AD29:$BA29)),
IF(BX$3=$DF29+'Model Setup'!$K$7,SUMIF($BH$3:$CE$3,"="&amp;$DF29+'Model Setup'!$K$7,$AD29:$BA29)+'Model Setup'!$K$8*(SUMIF($BH$3:$CE$3,"&lt;"&amp;$DF29,$AD29:$BA29)+SUMIF($BH$3:$CE$3,"&gt;"&amp;$CW$4,$AD29:$BA29)),
IF(BX$3=$DF29+'Model Setup'!$L$7,SUMIF($BH$3:$CE$3,"="&amp;$DF29+'Model Setup'!$L$7,$AD29:$BA29)+'Model Setup'!$L$8*(SUMIF($BH$3:$CE$3,"&lt;"&amp;$DF29,$AD29:$BA29)+SUMIF($BH$3:$CE$3,"&gt;"&amp;$CW$4,$AD29:$BA29)),
IF(BX$3=$DF29+'Model Setup'!$M$7,SUMIF($BH$3:$CE$3,"="&amp;$DF29+'Model Setup'!$M$7,$AD29:$BA29)+'Model Setup'!$M$8*(SUMIF($BH$3:$CE$3,"&lt;"&amp;$DF29,$AD29:$BA29)+SUMIF($BH$3:$CE$3,"&gt;"&amp;$CW$4,$AD29:$BA29)),
IF(BX$3=$DF29+'Model Setup'!$N$7,SUMIF($BH$3:$CE$3,"="&amp;$DF29+'Model Setup'!$N$7,$AD29:$BA29)+'Model Setup'!$N$8*(SUMIF($BH$3:$CE$3,"&lt;"&amp;$DF29,$AD29:$BA29)+SUMIF($BH$3:$CE$3,"&gt;"&amp;$CW$4,$AD29:$BA29)),
IF(BX$3&lt;$CW$4,R29,0))))))))))))))),0)</f>
        <v>30</v>
      </c>
      <c r="BY29" s="47">
        <f>ROUND(IF(OR(BY$3&lt;$DF29,BY$3&gt;$CW$4),0,
IF(BY$3=$DF29+'Model Setup'!$B$7,SUMIF($BH$3:$CE$3,"="&amp;$DF29+'Model Setup'!$B$7,$AD29:$BA29)+'Model Setup'!$B$8*(SUMIF($BH$3:$CE$3,"&lt;"&amp;$DF29,$AD29:$BA29)+SUMIF($BH$3:$CE$3,"&gt;"&amp;$CW$4,$AD29:$BA29)),
IF(BY$3=$DF29+'Model Setup'!$C$7,SUMIF($BH$3:$CE$3,"="&amp;$DF29+'Model Setup'!$C$7,$AD29:$BA29)+'Model Setup'!$C$8*(SUMIF($BH$3:$CE$3,"&lt;"&amp;$DF29,$AD29:$BA29)+SUMIF($BH$3:$CE$3,"&gt;"&amp;$CW$4,$AD29:$BA29)),
IF(BY$3=$DF29+'Model Setup'!$D$7,SUMIF($BH$3:$CE$3,"="&amp;$DF29+'Model Setup'!$D$7,$AD29:$BA29)+'Model Setup'!$D$8*(SUMIF($BH$3:$CE$3,"&lt;"&amp;$DF29,$AD29:$BA29)+SUMIF($BH$3:$CE$3,"&gt;"&amp;$CW$4,$AD29:$BA29)),
IF(BY$3=$DF29+'Model Setup'!$E$7,SUMIF($BH$3:$CE$3,"="&amp;$DF29+'Model Setup'!$E$7,$AD29:$BA29)+'Model Setup'!$E$8*(SUMIF($BH$3:$CE$3,"&lt;"&amp;$DF29,$AD29:$BA29)+SUMIF($BH$3:$CE$3,"&gt;"&amp;$CW$4,$AD29:$BA29)),
IF(BY$3=$DF29+'Model Setup'!$F$7,SUMIF($BH$3:$CE$3,"="&amp;$DF29+'Model Setup'!$F$7,$AD29:$BA29)+'Model Setup'!$F$8*(SUMIF($BH$3:$CE$3,"&lt;"&amp;$DF29,$AD29:$BA29)+SUMIF($BH$3:$CE$3,"&gt;"&amp;$CW$4,$AD29:$BA29)),
IF(BY$3=$DF29+'Model Setup'!$G$7,SUMIF($BH$3:$CE$3,"="&amp;$DF29+'Model Setup'!$G$7,$AD29:$BA29)+'Model Setup'!$G$8*(SUMIF($BH$3:$CE$3,"&lt;"&amp;$DF29,$AD29:$BA29)+SUMIF($BH$3:$CE$3,"&gt;"&amp;$CW$4,$AD29:$BA29)),
IF(BY$3=$DF29+'Model Setup'!$H$7,SUMIF($BH$3:$CE$3,"="&amp;$DF29+'Model Setup'!$H$7,$AD29:$BA29)+'Model Setup'!$H$8*(SUMIF($BH$3:$CE$3,"&lt;"&amp;$DF29,$AD29:$BA29)+SUMIF($BH$3:$CE$3,"&gt;"&amp;$CW$4,$AD29:$BA29)),
IF(BY$3=$DF29+'Model Setup'!$I$7,SUMIF($BH$3:$CE$3,"="&amp;$DF29+'Model Setup'!$I$7,$AD29:$BA29)+'Model Setup'!$I$8*(SUMIF($BH$3:$CE$3,"&lt;"&amp;$DF29,$AD29:$BA29)+SUMIF($BH$3:$CE$3,"&gt;"&amp;$CW$4,$AD29:$BA29)),
IF(BY$3=$DF29+'Model Setup'!$J$7,SUMIF($BH$3:$CE$3,"="&amp;$DF29+'Model Setup'!$J$7,$AD29:$BA29)+'Model Setup'!$J$8*(SUMIF($BH$3:$CE$3,"&lt;"&amp;$DF29,$AD29:$BA29)+SUMIF($BH$3:$CE$3,"&gt;"&amp;$CW$4,$AD29:$BA29)),
IF(BY$3=$DF29+'Model Setup'!$K$7,SUMIF($BH$3:$CE$3,"="&amp;$DF29+'Model Setup'!$K$7,$AD29:$BA29)+'Model Setup'!$K$8*(SUMIF($BH$3:$CE$3,"&lt;"&amp;$DF29,$AD29:$BA29)+SUMIF($BH$3:$CE$3,"&gt;"&amp;$CW$4,$AD29:$BA29)),
IF(BY$3=$DF29+'Model Setup'!$L$7,SUMIF($BH$3:$CE$3,"="&amp;$DF29+'Model Setup'!$L$7,$AD29:$BA29)+'Model Setup'!$L$8*(SUMIF($BH$3:$CE$3,"&lt;"&amp;$DF29,$AD29:$BA29)+SUMIF($BH$3:$CE$3,"&gt;"&amp;$CW$4,$AD29:$BA29)),
IF(BY$3=$DF29+'Model Setup'!$M$7,SUMIF($BH$3:$CE$3,"="&amp;$DF29+'Model Setup'!$M$7,$AD29:$BA29)+'Model Setup'!$M$8*(SUMIF($BH$3:$CE$3,"&lt;"&amp;$DF29,$AD29:$BA29)+SUMIF($BH$3:$CE$3,"&gt;"&amp;$CW$4,$AD29:$BA29)),
IF(BY$3=$DF29+'Model Setup'!$N$7,SUMIF($BH$3:$CE$3,"="&amp;$DF29+'Model Setup'!$N$7,$AD29:$BA29)+'Model Setup'!$N$8*(SUMIF($BH$3:$CE$3,"&lt;"&amp;$DF29,$AD29:$BA29)+SUMIF($BH$3:$CE$3,"&gt;"&amp;$CW$4,$AD29:$BA29)),
IF(BY$3&lt;$CW$4,S29,0))))))))))))))),0)</f>
        <v>30</v>
      </c>
      <c r="BZ29" s="47">
        <f>ROUND(IF(OR(BZ$3&lt;$DF29,BZ$3&gt;$CW$4),0,
IF(BZ$3=$DF29+'Model Setup'!$B$7,SUMIF($BH$3:$CE$3,"="&amp;$DF29+'Model Setup'!$B$7,$AD29:$BA29)+'Model Setup'!$B$8*(SUMIF($BH$3:$CE$3,"&lt;"&amp;$DF29,$AD29:$BA29)+SUMIF($BH$3:$CE$3,"&gt;"&amp;$CW$4,$AD29:$BA29)),
IF(BZ$3=$DF29+'Model Setup'!$C$7,SUMIF($BH$3:$CE$3,"="&amp;$DF29+'Model Setup'!$C$7,$AD29:$BA29)+'Model Setup'!$C$8*(SUMIF($BH$3:$CE$3,"&lt;"&amp;$DF29,$AD29:$BA29)+SUMIF($BH$3:$CE$3,"&gt;"&amp;$CW$4,$AD29:$BA29)),
IF(BZ$3=$DF29+'Model Setup'!$D$7,SUMIF($BH$3:$CE$3,"="&amp;$DF29+'Model Setup'!$D$7,$AD29:$BA29)+'Model Setup'!$D$8*(SUMIF($BH$3:$CE$3,"&lt;"&amp;$DF29,$AD29:$BA29)+SUMIF($BH$3:$CE$3,"&gt;"&amp;$CW$4,$AD29:$BA29)),
IF(BZ$3=$DF29+'Model Setup'!$E$7,SUMIF($BH$3:$CE$3,"="&amp;$DF29+'Model Setup'!$E$7,$AD29:$BA29)+'Model Setup'!$E$8*(SUMIF($BH$3:$CE$3,"&lt;"&amp;$DF29,$AD29:$BA29)+SUMIF($BH$3:$CE$3,"&gt;"&amp;$CW$4,$AD29:$BA29)),
IF(BZ$3=$DF29+'Model Setup'!$F$7,SUMIF($BH$3:$CE$3,"="&amp;$DF29+'Model Setup'!$F$7,$AD29:$BA29)+'Model Setup'!$F$8*(SUMIF($BH$3:$CE$3,"&lt;"&amp;$DF29,$AD29:$BA29)+SUMIF($BH$3:$CE$3,"&gt;"&amp;$CW$4,$AD29:$BA29)),
IF(BZ$3=$DF29+'Model Setup'!$G$7,SUMIF($BH$3:$CE$3,"="&amp;$DF29+'Model Setup'!$G$7,$AD29:$BA29)+'Model Setup'!$G$8*(SUMIF($BH$3:$CE$3,"&lt;"&amp;$DF29,$AD29:$BA29)+SUMIF($BH$3:$CE$3,"&gt;"&amp;$CW$4,$AD29:$BA29)),
IF(BZ$3=$DF29+'Model Setup'!$H$7,SUMIF($BH$3:$CE$3,"="&amp;$DF29+'Model Setup'!$H$7,$AD29:$BA29)+'Model Setup'!$H$8*(SUMIF($BH$3:$CE$3,"&lt;"&amp;$DF29,$AD29:$BA29)+SUMIF($BH$3:$CE$3,"&gt;"&amp;$CW$4,$AD29:$BA29)),
IF(BZ$3=$DF29+'Model Setup'!$I$7,SUMIF($BH$3:$CE$3,"="&amp;$DF29+'Model Setup'!$I$7,$AD29:$BA29)+'Model Setup'!$I$8*(SUMIF($BH$3:$CE$3,"&lt;"&amp;$DF29,$AD29:$BA29)+SUMIF($BH$3:$CE$3,"&gt;"&amp;$CW$4,$AD29:$BA29)),
IF(BZ$3=$DF29+'Model Setup'!$J$7,SUMIF($BH$3:$CE$3,"="&amp;$DF29+'Model Setup'!$J$7,$AD29:$BA29)+'Model Setup'!$J$8*(SUMIF($BH$3:$CE$3,"&lt;"&amp;$DF29,$AD29:$BA29)+SUMIF($BH$3:$CE$3,"&gt;"&amp;$CW$4,$AD29:$BA29)),
IF(BZ$3=$DF29+'Model Setup'!$K$7,SUMIF($BH$3:$CE$3,"="&amp;$DF29+'Model Setup'!$K$7,$AD29:$BA29)+'Model Setup'!$K$8*(SUMIF($BH$3:$CE$3,"&lt;"&amp;$DF29,$AD29:$BA29)+SUMIF($BH$3:$CE$3,"&gt;"&amp;$CW$4,$AD29:$BA29)),
IF(BZ$3=$DF29+'Model Setup'!$L$7,SUMIF($BH$3:$CE$3,"="&amp;$DF29+'Model Setup'!$L$7,$AD29:$BA29)+'Model Setup'!$L$8*(SUMIF($BH$3:$CE$3,"&lt;"&amp;$DF29,$AD29:$BA29)+SUMIF($BH$3:$CE$3,"&gt;"&amp;$CW$4,$AD29:$BA29)),
IF(BZ$3=$DF29+'Model Setup'!$M$7,SUMIF($BH$3:$CE$3,"="&amp;$DF29+'Model Setup'!$M$7,$AD29:$BA29)+'Model Setup'!$M$8*(SUMIF($BH$3:$CE$3,"&lt;"&amp;$DF29,$AD29:$BA29)+SUMIF($BH$3:$CE$3,"&gt;"&amp;$CW$4,$AD29:$BA29)),
IF(BZ$3=$DF29+'Model Setup'!$N$7,SUMIF($BH$3:$CE$3,"="&amp;$DF29+'Model Setup'!$N$7,$AD29:$BA29)+'Model Setup'!$N$8*(SUMIF($BH$3:$CE$3,"&lt;"&amp;$DF29,$AD29:$BA29)+SUMIF($BH$3:$CE$3,"&gt;"&amp;$CW$4,$AD29:$BA29)),
IF(BZ$3&lt;$CW$4,T29,0))))))))))))))),0)</f>
        <v>20</v>
      </c>
      <c r="CA29" s="47">
        <f>ROUND(IF(OR(CA$3&lt;$DF29,CA$3&gt;$CW$4),0,
IF(CA$3=$DF29+'Model Setup'!$B$7,SUMIF($BH$3:$CE$3,"="&amp;$DF29+'Model Setup'!$B$7,$AD29:$BA29)+'Model Setup'!$B$8*(SUMIF($BH$3:$CE$3,"&lt;"&amp;$DF29,$AD29:$BA29)+SUMIF($BH$3:$CE$3,"&gt;"&amp;$CW$4,$AD29:$BA29)),
IF(CA$3=$DF29+'Model Setup'!$C$7,SUMIF($BH$3:$CE$3,"="&amp;$DF29+'Model Setup'!$C$7,$AD29:$BA29)+'Model Setup'!$C$8*(SUMIF($BH$3:$CE$3,"&lt;"&amp;$DF29,$AD29:$BA29)+SUMIF($BH$3:$CE$3,"&gt;"&amp;$CW$4,$AD29:$BA29)),
IF(CA$3=$DF29+'Model Setup'!$D$7,SUMIF($BH$3:$CE$3,"="&amp;$DF29+'Model Setup'!$D$7,$AD29:$BA29)+'Model Setup'!$D$8*(SUMIF($BH$3:$CE$3,"&lt;"&amp;$DF29,$AD29:$BA29)+SUMIF($BH$3:$CE$3,"&gt;"&amp;$CW$4,$AD29:$BA29)),
IF(CA$3=$DF29+'Model Setup'!$E$7,SUMIF($BH$3:$CE$3,"="&amp;$DF29+'Model Setup'!$E$7,$AD29:$BA29)+'Model Setup'!$E$8*(SUMIF($BH$3:$CE$3,"&lt;"&amp;$DF29,$AD29:$BA29)+SUMIF($BH$3:$CE$3,"&gt;"&amp;$CW$4,$AD29:$BA29)),
IF(CA$3=$DF29+'Model Setup'!$F$7,SUMIF($BH$3:$CE$3,"="&amp;$DF29+'Model Setup'!$F$7,$AD29:$BA29)+'Model Setup'!$F$8*(SUMIF($BH$3:$CE$3,"&lt;"&amp;$DF29,$AD29:$BA29)+SUMIF($BH$3:$CE$3,"&gt;"&amp;$CW$4,$AD29:$BA29)),
IF(CA$3=$DF29+'Model Setup'!$G$7,SUMIF($BH$3:$CE$3,"="&amp;$DF29+'Model Setup'!$G$7,$AD29:$BA29)+'Model Setup'!$G$8*(SUMIF($BH$3:$CE$3,"&lt;"&amp;$DF29,$AD29:$BA29)+SUMIF($BH$3:$CE$3,"&gt;"&amp;$CW$4,$AD29:$BA29)),
IF(CA$3=$DF29+'Model Setup'!$H$7,SUMIF($BH$3:$CE$3,"="&amp;$DF29+'Model Setup'!$H$7,$AD29:$BA29)+'Model Setup'!$H$8*(SUMIF($BH$3:$CE$3,"&lt;"&amp;$DF29,$AD29:$BA29)+SUMIF($BH$3:$CE$3,"&gt;"&amp;$CW$4,$AD29:$BA29)),
IF(CA$3=$DF29+'Model Setup'!$I$7,SUMIF($BH$3:$CE$3,"="&amp;$DF29+'Model Setup'!$I$7,$AD29:$BA29)+'Model Setup'!$I$8*(SUMIF($BH$3:$CE$3,"&lt;"&amp;$DF29,$AD29:$BA29)+SUMIF($BH$3:$CE$3,"&gt;"&amp;$CW$4,$AD29:$BA29)),
IF(CA$3=$DF29+'Model Setup'!$J$7,SUMIF($BH$3:$CE$3,"="&amp;$DF29+'Model Setup'!$J$7,$AD29:$BA29)+'Model Setup'!$J$8*(SUMIF($BH$3:$CE$3,"&lt;"&amp;$DF29,$AD29:$BA29)+SUMIF($BH$3:$CE$3,"&gt;"&amp;$CW$4,$AD29:$BA29)),
IF(CA$3=$DF29+'Model Setup'!$K$7,SUMIF($BH$3:$CE$3,"="&amp;$DF29+'Model Setup'!$K$7,$AD29:$BA29)+'Model Setup'!$K$8*(SUMIF($BH$3:$CE$3,"&lt;"&amp;$DF29,$AD29:$BA29)+SUMIF($BH$3:$CE$3,"&gt;"&amp;$CW$4,$AD29:$BA29)),
IF(CA$3=$DF29+'Model Setup'!$L$7,SUMIF($BH$3:$CE$3,"="&amp;$DF29+'Model Setup'!$L$7,$AD29:$BA29)+'Model Setup'!$L$8*(SUMIF($BH$3:$CE$3,"&lt;"&amp;$DF29,$AD29:$BA29)+SUMIF($BH$3:$CE$3,"&gt;"&amp;$CW$4,$AD29:$BA29)),
IF(CA$3=$DF29+'Model Setup'!$M$7,SUMIF($BH$3:$CE$3,"="&amp;$DF29+'Model Setup'!$M$7,$AD29:$BA29)+'Model Setup'!$M$8*(SUMIF($BH$3:$CE$3,"&lt;"&amp;$DF29,$AD29:$BA29)+SUMIF($BH$3:$CE$3,"&gt;"&amp;$CW$4,$AD29:$BA29)),
IF(CA$3=$DF29+'Model Setup'!$N$7,SUMIF($BH$3:$CE$3,"="&amp;$DF29+'Model Setup'!$N$7,$AD29:$BA29)+'Model Setup'!$N$8*(SUMIF($BH$3:$CE$3,"&lt;"&amp;$DF29,$AD29:$BA29)+SUMIF($BH$3:$CE$3,"&gt;"&amp;$CW$4,$AD29:$BA29)),
IF(CA$3&lt;$CW$4,U29,0))))))))))))))),0)</f>
        <v>0</v>
      </c>
      <c r="CB29" s="47">
        <f>ROUND(IF(OR(CB$3&lt;$DF29,CB$3&gt;$CW$4),0,
IF(CB$3=$DF29+'Model Setup'!$B$7,SUMIF($BH$3:$CE$3,"="&amp;$DF29+'Model Setup'!$B$7,$AD29:$BA29)+'Model Setup'!$B$8*(SUMIF($BH$3:$CE$3,"&lt;"&amp;$DF29,$AD29:$BA29)+SUMIF($BH$3:$CE$3,"&gt;"&amp;$CW$4,$AD29:$BA29)),
IF(CB$3=$DF29+'Model Setup'!$C$7,SUMIF($BH$3:$CE$3,"="&amp;$DF29+'Model Setup'!$C$7,$AD29:$BA29)+'Model Setup'!$C$8*(SUMIF($BH$3:$CE$3,"&lt;"&amp;$DF29,$AD29:$BA29)+SUMIF($BH$3:$CE$3,"&gt;"&amp;$CW$4,$AD29:$BA29)),
IF(CB$3=$DF29+'Model Setup'!$D$7,SUMIF($BH$3:$CE$3,"="&amp;$DF29+'Model Setup'!$D$7,$AD29:$BA29)+'Model Setup'!$D$8*(SUMIF($BH$3:$CE$3,"&lt;"&amp;$DF29,$AD29:$BA29)+SUMIF($BH$3:$CE$3,"&gt;"&amp;$CW$4,$AD29:$BA29)),
IF(CB$3=$DF29+'Model Setup'!$E$7,SUMIF($BH$3:$CE$3,"="&amp;$DF29+'Model Setup'!$E$7,$AD29:$BA29)+'Model Setup'!$E$8*(SUMIF($BH$3:$CE$3,"&lt;"&amp;$DF29,$AD29:$BA29)+SUMIF($BH$3:$CE$3,"&gt;"&amp;$CW$4,$AD29:$BA29)),
IF(CB$3=$DF29+'Model Setup'!$F$7,SUMIF($BH$3:$CE$3,"="&amp;$DF29+'Model Setup'!$F$7,$AD29:$BA29)+'Model Setup'!$F$8*(SUMIF($BH$3:$CE$3,"&lt;"&amp;$DF29,$AD29:$BA29)+SUMIF($BH$3:$CE$3,"&gt;"&amp;$CW$4,$AD29:$BA29)),
IF(CB$3=$DF29+'Model Setup'!$G$7,SUMIF($BH$3:$CE$3,"="&amp;$DF29+'Model Setup'!$G$7,$AD29:$BA29)+'Model Setup'!$G$8*(SUMIF($BH$3:$CE$3,"&lt;"&amp;$DF29,$AD29:$BA29)+SUMIF($BH$3:$CE$3,"&gt;"&amp;$CW$4,$AD29:$BA29)),
IF(CB$3=$DF29+'Model Setup'!$H$7,SUMIF($BH$3:$CE$3,"="&amp;$DF29+'Model Setup'!$H$7,$AD29:$BA29)+'Model Setup'!$H$8*(SUMIF($BH$3:$CE$3,"&lt;"&amp;$DF29,$AD29:$BA29)+SUMIF($BH$3:$CE$3,"&gt;"&amp;$CW$4,$AD29:$BA29)),
IF(CB$3=$DF29+'Model Setup'!$I$7,SUMIF($BH$3:$CE$3,"="&amp;$DF29+'Model Setup'!$I$7,$AD29:$BA29)+'Model Setup'!$I$8*(SUMIF($BH$3:$CE$3,"&lt;"&amp;$DF29,$AD29:$BA29)+SUMIF($BH$3:$CE$3,"&gt;"&amp;$CW$4,$AD29:$BA29)),
IF(CB$3=$DF29+'Model Setup'!$J$7,SUMIF($BH$3:$CE$3,"="&amp;$DF29+'Model Setup'!$J$7,$AD29:$BA29)+'Model Setup'!$J$8*(SUMIF($BH$3:$CE$3,"&lt;"&amp;$DF29,$AD29:$BA29)+SUMIF($BH$3:$CE$3,"&gt;"&amp;$CW$4,$AD29:$BA29)),
IF(CB$3=$DF29+'Model Setup'!$K$7,SUMIF($BH$3:$CE$3,"="&amp;$DF29+'Model Setup'!$K$7,$AD29:$BA29)+'Model Setup'!$K$8*(SUMIF($BH$3:$CE$3,"&lt;"&amp;$DF29,$AD29:$BA29)+SUMIF($BH$3:$CE$3,"&gt;"&amp;$CW$4,$AD29:$BA29)),
IF(CB$3=$DF29+'Model Setup'!$L$7,SUMIF($BH$3:$CE$3,"="&amp;$DF29+'Model Setup'!$L$7,$AD29:$BA29)+'Model Setup'!$L$8*(SUMIF($BH$3:$CE$3,"&lt;"&amp;$DF29,$AD29:$BA29)+SUMIF($BH$3:$CE$3,"&gt;"&amp;$CW$4,$AD29:$BA29)),
IF(CB$3=$DF29+'Model Setup'!$M$7,SUMIF($BH$3:$CE$3,"="&amp;$DF29+'Model Setup'!$M$7,$AD29:$BA29)+'Model Setup'!$M$8*(SUMIF($BH$3:$CE$3,"&lt;"&amp;$DF29,$AD29:$BA29)+SUMIF($BH$3:$CE$3,"&gt;"&amp;$CW$4,$AD29:$BA29)),
IF(CB$3=$DF29+'Model Setup'!$N$7,SUMIF($BH$3:$CE$3,"="&amp;$DF29+'Model Setup'!$N$7,$AD29:$BA29)+'Model Setup'!$N$8*(SUMIF($BH$3:$CE$3,"&lt;"&amp;$DF29,$AD29:$BA29)+SUMIF($BH$3:$CE$3,"&gt;"&amp;$CW$4,$AD29:$BA29)),
IF(CB$3&lt;$CW$4,V29,0))))))))))))))),0)</f>
        <v>0</v>
      </c>
      <c r="CC29" s="47">
        <f>ROUND(IF(OR(CC$3&lt;$DF29,CC$3&gt;$CW$4),0,
IF(CC$3=$DF29+'Model Setup'!$B$7,SUMIF($BH$3:$CE$3,"="&amp;$DF29+'Model Setup'!$B$7,$AD29:$BA29)+'Model Setup'!$B$8*(SUMIF($BH$3:$CE$3,"&lt;"&amp;$DF29,$AD29:$BA29)+SUMIF($BH$3:$CE$3,"&gt;"&amp;$CW$4,$AD29:$BA29)),
IF(CC$3=$DF29+'Model Setup'!$C$7,SUMIF($BH$3:$CE$3,"="&amp;$DF29+'Model Setup'!$C$7,$AD29:$BA29)+'Model Setup'!$C$8*(SUMIF($BH$3:$CE$3,"&lt;"&amp;$DF29,$AD29:$BA29)+SUMIF($BH$3:$CE$3,"&gt;"&amp;$CW$4,$AD29:$BA29)),
IF(CC$3=$DF29+'Model Setup'!$D$7,SUMIF($BH$3:$CE$3,"="&amp;$DF29+'Model Setup'!$D$7,$AD29:$BA29)+'Model Setup'!$D$8*(SUMIF($BH$3:$CE$3,"&lt;"&amp;$DF29,$AD29:$BA29)+SUMIF($BH$3:$CE$3,"&gt;"&amp;$CW$4,$AD29:$BA29)),
IF(CC$3=$DF29+'Model Setup'!$E$7,SUMIF($BH$3:$CE$3,"="&amp;$DF29+'Model Setup'!$E$7,$AD29:$BA29)+'Model Setup'!$E$8*(SUMIF($BH$3:$CE$3,"&lt;"&amp;$DF29,$AD29:$BA29)+SUMIF($BH$3:$CE$3,"&gt;"&amp;$CW$4,$AD29:$BA29)),
IF(CC$3=$DF29+'Model Setup'!$F$7,SUMIF($BH$3:$CE$3,"="&amp;$DF29+'Model Setup'!$F$7,$AD29:$BA29)+'Model Setup'!$F$8*(SUMIF($BH$3:$CE$3,"&lt;"&amp;$DF29,$AD29:$BA29)+SUMIF($BH$3:$CE$3,"&gt;"&amp;$CW$4,$AD29:$BA29)),
IF(CC$3=$DF29+'Model Setup'!$G$7,SUMIF($BH$3:$CE$3,"="&amp;$DF29+'Model Setup'!$G$7,$AD29:$BA29)+'Model Setup'!$G$8*(SUMIF($BH$3:$CE$3,"&lt;"&amp;$DF29,$AD29:$BA29)+SUMIF($BH$3:$CE$3,"&gt;"&amp;$CW$4,$AD29:$BA29)),
IF(CC$3=$DF29+'Model Setup'!$H$7,SUMIF($BH$3:$CE$3,"="&amp;$DF29+'Model Setup'!$H$7,$AD29:$BA29)+'Model Setup'!$H$8*(SUMIF($BH$3:$CE$3,"&lt;"&amp;$DF29,$AD29:$BA29)+SUMIF($BH$3:$CE$3,"&gt;"&amp;$CW$4,$AD29:$BA29)),
IF(CC$3=$DF29+'Model Setup'!$I$7,SUMIF($BH$3:$CE$3,"="&amp;$DF29+'Model Setup'!$I$7,$AD29:$BA29)+'Model Setup'!$I$8*(SUMIF($BH$3:$CE$3,"&lt;"&amp;$DF29,$AD29:$BA29)+SUMIF($BH$3:$CE$3,"&gt;"&amp;$CW$4,$AD29:$BA29)),
IF(CC$3=$DF29+'Model Setup'!$J$7,SUMIF($BH$3:$CE$3,"="&amp;$DF29+'Model Setup'!$J$7,$AD29:$BA29)+'Model Setup'!$J$8*(SUMIF($BH$3:$CE$3,"&lt;"&amp;$DF29,$AD29:$BA29)+SUMIF($BH$3:$CE$3,"&gt;"&amp;$CW$4,$AD29:$BA29)),
IF(CC$3=$DF29+'Model Setup'!$K$7,SUMIF($BH$3:$CE$3,"="&amp;$DF29+'Model Setup'!$K$7,$AD29:$BA29)+'Model Setup'!$K$8*(SUMIF($BH$3:$CE$3,"&lt;"&amp;$DF29,$AD29:$BA29)+SUMIF($BH$3:$CE$3,"&gt;"&amp;$CW$4,$AD29:$BA29)),
IF(CC$3=$DF29+'Model Setup'!$L$7,SUMIF($BH$3:$CE$3,"="&amp;$DF29+'Model Setup'!$L$7,$AD29:$BA29)+'Model Setup'!$L$8*(SUMIF($BH$3:$CE$3,"&lt;"&amp;$DF29,$AD29:$BA29)+SUMIF($BH$3:$CE$3,"&gt;"&amp;$CW$4,$AD29:$BA29)),
IF(CC$3=$DF29+'Model Setup'!$M$7,SUMIF($BH$3:$CE$3,"="&amp;$DF29+'Model Setup'!$M$7,$AD29:$BA29)+'Model Setup'!$M$8*(SUMIF($BH$3:$CE$3,"&lt;"&amp;$DF29,$AD29:$BA29)+SUMIF($BH$3:$CE$3,"&gt;"&amp;$CW$4,$AD29:$BA29)),
IF(CC$3=$DF29+'Model Setup'!$N$7,SUMIF($BH$3:$CE$3,"="&amp;$DF29+'Model Setup'!$N$7,$AD29:$BA29)+'Model Setup'!$N$8*(SUMIF($BH$3:$CE$3,"&lt;"&amp;$DF29,$AD29:$BA29)+SUMIF($BH$3:$CE$3,"&gt;"&amp;$CW$4,$AD29:$BA29)),
IF(CC$3&lt;$CW$4,W29,0))))))))))))))),0)</f>
        <v>0</v>
      </c>
      <c r="CD29" s="47">
        <f>ROUND(IF(OR(CD$3&lt;$DF29,CD$3&gt;$CW$4),0,
IF(CD$3=$DF29+'Model Setup'!$B$7,SUMIF($BH$3:$CE$3,"="&amp;$DF29+'Model Setup'!$B$7,$AD29:$BA29)+'Model Setup'!$B$8*(SUMIF($BH$3:$CE$3,"&lt;"&amp;$DF29,$AD29:$BA29)+SUMIF($BH$3:$CE$3,"&gt;"&amp;$CW$4,$AD29:$BA29)),
IF(CD$3=$DF29+'Model Setup'!$C$7,SUMIF($BH$3:$CE$3,"="&amp;$DF29+'Model Setup'!$C$7,$AD29:$BA29)+'Model Setup'!$C$8*(SUMIF($BH$3:$CE$3,"&lt;"&amp;$DF29,$AD29:$BA29)+SUMIF($BH$3:$CE$3,"&gt;"&amp;$CW$4,$AD29:$BA29)),
IF(CD$3=$DF29+'Model Setup'!$D$7,SUMIF($BH$3:$CE$3,"="&amp;$DF29+'Model Setup'!$D$7,$AD29:$BA29)+'Model Setup'!$D$8*(SUMIF($BH$3:$CE$3,"&lt;"&amp;$DF29,$AD29:$BA29)+SUMIF($BH$3:$CE$3,"&gt;"&amp;$CW$4,$AD29:$BA29)),
IF(CD$3=$DF29+'Model Setup'!$E$7,SUMIF($BH$3:$CE$3,"="&amp;$DF29+'Model Setup'!$E$7,$AD29:$BA29)+'Model Setup'!$E$8*(SUMIF($BH$3:$CE$3,"&lt;"&amp;$DF29,$AD29:$BA29)+SUMIF($BH$3:$CE$3,"&gt;"&amp;$CW$4,$AD29:$BA29)),
IF(CD$3=$DF29+'Model Setup'!$F$7,SUMIF($BH$3:$CE$3,"="&amp;$DF29+'Model Setup'!$F$7,$AD29:$BA29)+'Model Setup'!$F$8*(SUMIF($BH$3:$CE$3,"&lt;"&amp;$DF29,$AD29:$BA29)+SUMIF($BH$3:$CE$3,"&gt;"&amp;$CW$4,$AD29:$BA29)),
IF(CD$3=$DF29+'Model Setup'!$G$7,SUMIF($BH$3:$CE$3,"="&amp;$DF29+'Model Setup'!$G$7,$AD29:$BA29)+'Model Setup'!$G$8*(SUMIF($BH$3:$CE$3,"&lt;"&amp;$DF29,$AD29:$BA29)+SUMIF($BH$3:$CE$3,"&gt;"&amp;$CW$4,$AD29:$BA29)),
IF(CD$3=$DF29+'Model Setup'!$H$7,SUMIF($BH$3:$CE$3,"="&amp;$DF29+'Model Setup'!$H$7,$AD29:$BA29)+'Model Setup'!$H$8*(SUMIF($BH$3:$CE$3,"&lt;"&amp;$DF29,$AD29:$BA29)+SUMIF($BH$3:$CE$3,"&gt;"&amp;$CW$4,$AD29:$BA29)),
IF(CD$3=$DF29+'Model Setup'!$I$7,SUMIF($BH$3:$CE$3,"="&amp;$DF29+'Model Setup'!$I$7,$AD29:$BA29)+'Model Setup'!$I$8*(SUMIF($BH$3:$CE$3,"&lt;"&amp;$DF29,$AD29:$BA29)+SUMIF($BH$3:$CE$3,"&gt;"&amp;$CW$4,$AD29:$BA29)),
IF(CD$3=$DF29+'Model Setup'!$J$7,SUMIF($BH$3:$CE$3,"="&amp;$DF29+'Model Setup'!$J$7,$AD29:$BA29)+'Model Setup'!$J$8*(SUMIF($BH$3:$CE$3,"&lt;"&amp;$DF29,$AD29:$BA29)+SUMIF($BH$3:$CE$3,"&gt;"&amp;$CW$4,$AD29:$BA29)),
IF(CD$3=$DF29+'Model Setup'!$K$7,SUMIF($BH$3:$CE$3,"="&amp;$DF29+'Model Setup'!$K$7,$AD29:$BA29)+'Model Setup'!$K$8*(SUMIF($BH$3:$CE$3,"&lt;"&amp;$DF29,$AD29:$BA29)+SUMIF($BH$3:$CE$3,"&gt;"&amp;$CW$4,$AD29:$BA29)),
IF(CD$3=$DF29+'Model Setup'!$L$7,SUMIF($BH$3:$CE$3,"="&amp;$DF29+'Model Setup'!$L$7,$AD29:$BA29)+'Model Setup'!$L$8*(SUMIF($BH$3:$CE$3,"&lt;"&amp;$DF29,$AD29:$BA29)+SUMIF($BH$3:$CE$3,"&gt;"&amp;$CW$4,$AD29:$BA29)),
IF(CD$3=$DF29+'Model Setup'!$M$7,SUMIF($BH$3:$CE$3,"="&amp;$DF29+'Model Setup'!$M$7,$AD29:$BA29)+'Model Setup'!$M$8*(SUMIF($BH$3:$CE$3,"&lt;"&amp;$DF29,$AD29:$BA29)+SUMIF($BH$3:$CE$3,"&gt;"&amp;$CW$4,$AD29:$BA29)),
IF(CD$3=$DF29+'Model Setup'!$N$7,SUMIF($BH$3:$CE$3,"="&amp;$DF29+'Model Setup'!$N$7,$AD29:$BA29)+'Model Setup'!$N$8*(SUMIF($BH$3:$CE$3,"&lt;"&amp;$DF29,$AD29:$BA29)+SUMIF($BH$3:$CE$3,"&gt;"&amp;$CW$4,$AD29:$BA29)),
IF(CD$3&lt;$CW$4,X29,0))))))))))))))),0)</f>
        <v>0</v>
      </c>
      <c r="CE29" s="47">
        <f>ROUND(IF(OR(CE$3&lt;$DF29,CE$3&gt;$CW$4),0,
IF(CE$3=$DF29+'Model Setup'!$B$7,SUMIF($BH$3:$CE$3,"="&amp;$DF29+'Model Setup'!$B$7,$AD29:$BA29)+'Model Setup'!$B$8*(SUMIF($BH$3:$CE$3,"&lt;"&amp;$DF29,$AD29:$BA29)+SUMIF($BH$3:$CE$3,"&gt;"&amp;$CW$4,$AD29:$BA29)),
IF(CE$3=$DF29+'Model Setup'!$C$7,SUMIF($BH$3:$CE$3,"="&amp;$DF29+'Model Setup'!$C$7,$AD29:$BA29)+'Model Setup'!$C$8*(SUMIF($BH$3:$CE$3,"&lt;"&amp;$DF29,$AD29:$BA29)+SUMIF($BH$3:$CE$3,"&gt;"&amp;$CW$4,$AD29:$BA29)),
IF(CE$3=$DF29+'Model Setup'!$D$7,SUMIF($BH$3:$CE$3,"="&amp;$DF29+'Model Setup'!$D$7,$AD29:$BA29)+'Model Setup'!$D$8*(SUMIF($BH$3:$CE$3,"&lt;"&amp;$DF29,$AD29:$BA29)+SUMIF($BH$3:$CE$3,"&gt;"&amp;$CW$4,$AD29:$BA29)),
IF(CE$3=$DF29+'Model Setup'!$E$7,SUMIF($BH$3:$CE$3,"="&amp;$DF29+'Model Setup'!$E$7,$AD29:$BA29)+'Model Setup'!$E$8*(SUMIF($BH$3:$CE$3,"&lt;"&amp;$DF29,$AD29:$BA29)+SUMIF($BH$3:$CE$3,"&gt;"&amp;$CW$4,$AD29:$BA29)),
IF(CE$3=$DF29+'Model Setup'!$F$7,SUMIF($BH$3:$CE$3,"="&amp;$DF29+'Model Setup'!$F$7,$AD29:$BA29)+'Model Setup'!$F$8*(SUMIF($BH$3:$CE$3,"&lt;"&amp;$DF29,$AD29:$BA29)+SUMIF($BH$3:$CE$3,"&gt;"&amp;$CW$4,$AD29:$BA29)),
IF(CE$3=$DF29+'Model Setup'!$G$7,SUMIF($BH$3:$CE$3,"="&amp;$DF29+'Model Setup'!$G$7,$AD29:$BA29)+'Model Setup'!$G$8*(SUMIF($BH$3:$CE$3,"&lt;"&amp;$DF29,$AD29:$BA29)+SUMIF($BH$3:$CE$3,"&gt;"&amp;$CW$4,$AD29:$BA29)),
IF(CE$3=$DF29+'Model Setup'!$H$7,SUMIF($BH$3:$CE$3,"="&amp;$DF29+'Model Setup'!$H$7,$AD29:$BA29)+'Model Setup'!$H$8*(SUMIF($BH$3:$CE$3,"&lt;"&amp;$DF29,$AD29:$BA29)+SUMIF($BH$3:$CE$3,"&gt;"&amp;$CW$4,$AD29:$BA29)),
IF(CE$3=$DF29+'Model Setup'!$I$7,SUMIF($BH$3:$CE$3,"="&amp;$DF29+'Model Setup'!$I$7,$AD29:$BA29)+'Model Setup'!$I$8*(SUMIF($BH$3:$CE$3,"&lt;"&amp;$DF29,$AD29:$BA29)+SUMIF($BH$3:$CE$3,"&gt;"&amp;$CW$4,$AD29:$BA29)),
IF(CE$3=$DF29+'Model Setup'!$J$7,SUMIF($BH$3:$CE$3,"="&amp;$DF29+'Model Setup'!$J$7,$AD29:$BA29)+'Model Setup'!$J$8*(SUMIF($BH$3:$CE$3,"&lt;"&amp;$DF29,$AD29:$BA29)+SUMIF($BH$3:$CE$3,"&gt;"&amp;$CW$4,$AD29:$BA29)),
IF(CE$3=$DF29+'Model Setup'!$K$7,SUMIF($BH$3:$CE$3,"="&amp;$DF29+'Model Setup'!$K$7,$AD29:$BA29)+'Model Setup'!$K$8*(SUMIF($BH$3:$CE$3,"&lt;"&amp;$DF29,$AD29:$BA29)+SUMIF($BH$3:$CE$3,"&gt;"&amp;$CW$4,$AD29:$BA29)),
IF(CE$3=$DF29+'Model Setup'!$L$7,SUMIF($BH$3:$CE$3,"="&amp;$DF29+'Model Setup'!$L$7,$AD29:$BA29)+'Model Setup'!$L$8*(SUMIF($BH$3:$CE$3,"&lt;"&amp;$DF29,$AD29:$BA29)+SUMIF($BH$3:$CE$3,"&gt;"&amp;$CW$4,$AD29:$BA29)),
IF(CE$3=$DF29+'Model Setup'!$M$7,SUMIF($BH$3:$CE$3,"="&amp;$DF29+'Model Setup'!$M$7,$AD29:$BA29)+'Model Setup'!$M$8*(SUMIF($BH$3:$CE$3,"&lt;"&amp;$DF29,$AD29:$BA29)+SUMIF($BH$3:$CE$3,"&gt;"&amp;$CW$4,$AD29:$BA29)),
IF(CE$3=$DF29+'Model Setup'!$N$7,SUMIF($BH$3:$CE$3,"="&amp;$DF29+'Model Setup'!$N$7,$AD29:$BA29)+'Model Setup'!$N$8*(SUMIF($BH$3:$CE$3,"&lt;"&amp;$DF29,$AD29:$BA29)+SUMIF($BH$3:$CE$3,"&gt;"&amp;$CW$4,$AD29:$BA29)),
IF(CE$3&lt;$CW$4,Y29,0))))))))))))))),0)</f>
        <v>0</v>
      </c>
      <c r="CF29" s="47">
        <f t="shared" si="3"/>
        <v>578</v>
      </c>
      <c r="CG29" s="47">
        <f t="shared" si="4"/>
        <v>0</v>
      </c>
      <c r="CI29" s="10" t="s">
        <v>44</v>
      </c>
      <c r="CJ29" s="126">
        <f t="shared" si="9"/>
        <v>0</v>
      </c>
      <c r="CK29" s="126">
        <f t="shared" si="10"/>
        <v>71</v>
      </c>
      <c r="CL29" s="126">
        <f t="shared" si="11"/>
        <v>52</v>
      </c>
      <c r="CM29" s="126">
        <f t="shared" si="12"/>
        <v>78</v>
      </c>
      <c r="CN29" s="126">
        <f t="shared" si="13"/>
        <v>68</v>
      </c>
      <c r="CO29" s="126">
        <f t="shared" si="14"/>
        <v>55</v>
      </c>
      <c r="CP29" s="126">
        <f t="shared" si="15"/>
        <v>49</v>
      </c>
      <c r="CQ29" s="126">
        <f t="shared" si="16"/>
        <v>35</v>
      </c>
      <c r="CR29" s="126">
        <f t="shared" si="17"/>
        <v>35</v>
      </c>
      <c r="CS29" s="126">
        <f t="shared" si="18"/>
        <v>33</v>
      </c>
      <c r="CT29" s="126">
        <f t="shared" si="19"/>
        <v>22</v>
      </c>
      <c r="CU29" s="126">
        <f t="shared" si="20"/>
        <v>30</v>
      </c>
      <c r="CV29" s="126">
        <f t="shared" si="21"/>
        <v>30</v>
      </c>
      <c r="CW29" s="126">
        <f t="shared" si="22"/>
        <v>20</v>
      </c>
      <c r="CX29" s="126">
        <f t="shared" si="23"/>
        <v>0</v>
      </c>
      <c r="CY29" s="126">
        <f t="shared" si="24"/>
        <v>0</v>
      </c>
      <c r="CZ29" s="47">
        <f t="shared" si="7"/>
        <v>578</v>
      </c>
      <c r="DC29" s="93" t="s">
        <v>44</v>
      </c>
      <c r="DD29" s="89">
        <f>FTC!E27</f>
        <v>0.25</v>
      </c>
      <c r="DE29" s="89">
        <f>FTC!F27</f>
        <v>0.79166666666666663</v>
      </c>
      <c r="DF29" s="90">
        <f t="shared" si="25"/>
        <v>6</v>
      </c>
      <c r="DG29" s="91">
        <f t="shared" si="26"/>
        <v>19</v>
      </c>
      <c r="DH29" s="91">
        <f t="shared" si="27"/>
        <v>13</v>
      </c>
    </row>
    <row r="30" spans="1:112" x14ac:dyDescent="0.35">
      <c r="A30" s="43" t="s">
        <v>45</v>
      </c>
      <c r="B30" s="47">
        <v>1</v>
      </c>
      <c r="C30" s="47">
        <v>1</v>
      </c>
      <c r="D30" s="6"/>
      <c r="E30" s="47">
        <v>1</v>
      </c>
      <c r="F30" s="47">
        <v>6</v>
      </c>
      <c r="G30" s="47">
        <v>7</v>
      </c>
      <c r="H30" s="47">
        <v>34</v>
      </c>
      <c r="I30" s="47">
        <v>36</v>
      </c>
      <c r="J30" s="47">
        <v>33</v>
      </c>
      <c r="K30" s="47">
        <v>34</v>
      </c>
      <c r="L30" s="47">
        <v>30</v>
      </c>
      <c r="M30" s="47">
        <v>34</v>
      </c>
      <c r="N30" s="47">
        <v>14</v>
      </c>
      <c r="O30" s="47">
        <v>15</v>
      </c>
      <c r="P30" s="47">
        <v>10</v>
      </c>
      <c r="Q30" s="47">
        <v>8</v>
      </c>
      <c r="R30" s="47">
        <v>7</v>
      </c>
      <c r="S30" s="47">
        <v>4</v>
      </c>
      <c r="T30" s="47">
        <v>4</v>
      </c>
      <c r="U30" s="47">
        <v>3</v>
      </c>
      <c r="V30" s="6"/>
      <c r="W30" s="47">
        <v>6</v>
      </c>
      <c r="X30" s="47">
        <v>1</v>
      </c>
      <c r="Y30" s="47">
        <v>4</v>
      </c>
      <c r="Z30" s="47">
        <f t="shared" si="0"/>
        <v>293</v>
      </c>
      <c r="AC30" s="43" t="s">
        <v>45</v>
      </c>
      <c r="AD30" s="47">
        <f>ROUND(IF(AD$3&lt;$DF30,0,
IF(AD$3=$DF30+'Model Setup'!$B$7,SUMIF($AD$3:$BA$3,"="&amp;$DF30+'Model Setup'!$B$7,$B30:$Y30)+'Model Setup'!$B$8*(SUMIF($AD$3:$BA$3,"&lt;"&amp;$DF30,$B30:$Y30)+SUMIF($AD$3:$BA$3,"&gt;="&amp;$DG30,$B30:$Y30)),
IF(AD$3=$DF30+'Model Setup'!$C$7,SUMIF($AD$3:$BA$3,"="&amp;$DF30+'Model Setup'!$C$7,$B30:$Y30)+'Model Setup'!$C$8*(SUMIF($AD$3:$BA$3,"&lt;"&amp;$DF30,$B30:$Y30)+SUMIF($AD$3:$BA$3,"&gt;="&amp;$DG30,$B30:$Y30)),
IF(AD$3=$DF30+'Model Setup'!$D$7,SUMIF($AD$3:$BA$3,"="&amp;$DF30+'Model Setup'!$D$7,$B30:$Y30)+'Model Setup'!$D$8*(SUMIF($AD$3:$BA$3,"&lt;"&amp;$DF30,$B30:$Y30)+SUMIF($AD$3:$BA$3,"&gt;="&amp;$DG30,$B30:$Y30)),
IF(AD$3=$DF30+'Model Setup'!$E$7,SUMIF($AD$3:$BA$3,"="&amp;$DF30+'Model Setup'!$E$7,$B30:$Y30)+'Model Setup'!$E$8*(SUMIF($AD$3:$BA$3,"&lt;"&amp;$DF30,$B30:$Y30)+SUMIF($AD$3:$BA$3,"&gt;="&amp;$DG30,$B30:$Y30)),
IF(AD$3=$DF30+'Model Setup'!$F$7,SUMIF($AD$3:$BA$3,"="&amp;$DF30+'Model Setup'!$F$7,$B30:$Y30)+'Model Setup'!$F$8*(SUMIF($AD$3:$BA$3,"&lt;"&amp;$DF30,$B30:$Y30)+SUMIF($AD$3:$BA$3,"&gt;="&amp;$DG30,$B30:$Y30)),
IF(AD$3=$DF30+'Model Setup'!$G$7,SUMIF($AD$3:$BA$3,"="&amp;$DF30+'Model Setup'!$G$7,$B30:$Y30)+'Model Setup'!$G$8*(SUMIF($AD$3:$BA$3,"&lt;"&amp;$DF30,$B30:$Y30)+SUMIF($AD$3:$BA$3,"&gt;="&amp;$DG30,$B30:$Y30)),
IF(AD$3=$DF30+'Model Setup'!$H$7,SUMIF($AD$3:$BA$3,"="&amp;$DF30+'Model Setup'!$H$7,$B30:$Y30)+'Model Setup'!$H$8*(SUMIF($AD$3:$BA$3,"&lt;"&amp;$DF30,$B30:$Y30)+SUMIF($AD$3:$BA$3,"&gt;="&amp;$DG30,$B30:$Y30)),
IF(AD$3=$DF30+'Model Setup'!$I$7,SUMIF($AD$3:$BA$3,"="&amp;$DF30+'Model Setup'!$I$7,$B30:$Y30)+'Model Setup'!$I$8*(SUMIF($AD$3:$BA$3,"&lt;"&amp;$DF30,$B30:$Y30)+SUMIF($AD$3:$BA$3,"&gt;="&amp;$DG30,$B30:$Y30)),
IF(AD$3=$DF30+'Model Setup'!$J$7,SUMIF($AD$3:$BA$3,"="&amp;$DF30+'Model Setup'!$J$7,$B30:$Y30)+'Model Setup'!$J$8*(SUMIF($AD$3:$BA$3,"&lt;"&amp;$DF30,$B30:$Y30)+SUMIF($AD$3:$BA$3,"&gt;="&amp;$DG30,$B30:$Y30)),
IF(AD$3=$DF30+'Model Setup'!$K$7,SUMIF($AD$3:$BA$3,"="&amp;$DF30+'Model Setup'!$K$7,$B30:$Y30)+'Model Setup'!$K$8*(SUMIF($AD$3:$BA$3,"&lt;"&amp;$DF30,$B30:$Y30)+SUMIF($AD$3:$BA$3,"&gt;="&amp;$DG30,$B30:$Y30)),
IF(AD$3=$DF30+'Model Setup'!$L$7,SUMIF($AD$3:$BA$3,"="&amp;$DF30+'Model Setup'!$L$7,$B30:$Y30)+'Model Setup'!$L$8*(SUMIF($AD$3:$BA$3,"&lt;"&amp;$DF30,$B30:$Y30)+SUMIF($AD$3:$BA$3,"&gt;="&amp;$DG30,$B30:$Y30)),
IF(AD$3=$DF30+'Model Setup'!$M$7,SUMIF($AD$3:$BA$3,"="&amp;$DF30+'Model Setup'!$M$7,$B30:$Y30)+'Model Setup'!$M$8*(SUMIF($AD$3:$BA$3,"&lt;"&amp;$DF30,$B30:$Y30)+SUMIF($AD$3:$BA$3,"&gt;="&amp;$DG30,$B30:$Y30)),
IF(AD$3=$DF30+'Model Setup'!$N$7,SUMIF($AD$3:$BA$3,"="&amp;$DF30+'Model Setup'!$N$7,$B30:$Y30)+'Model Setup'!$N$8*(SUMIF($AD$3:$BA$3,"&lt;"&amp;$DF30,$B30:$Y30)+SUMIF($AD$3:$BA$3,"&gt;="&amp;$DG30,$B30:$Y30)),
IF(AD$3&lt;$DG30,B30,0))))))))))))))),0)</f>
        <v>0</v>
      </c>
      <c r="AE30" s="47">
        <f>ROUND(IF(AE$3&lt;$DF30,0,
IF(AE$3=$DF30+'Model Setup'!$B$7,SUMIF($AD$3:$BA$3,"="&amp;$DF30+'Model Setup'!$B$7,$B30:$Y30)+'Model Setup'!$B$8*(SUMIF($AD$3:$BA$3,"&lt;"&amp;$DF30,$B30:$Y30)+SUMIF($AD$3:$BA$3,"&gt;="&amp;$DG30,$B30:$Y30)),
IF(AE$3=$DF30+'Model Setup'!$C$7,SUMIF($AD$3:$BA$3,"="&amp;$DF30+'Model Setup'!$C$7,$B30:$Y30)+'Model Setup'!$C$8*(SUMIF($AD$3:$BA$3,"&lt;"&amp;$DF30,$B30:$Y30)+SUMIF($AD$3:$BA$3,"&gt;="&amp;$DG30,$B30:$Y30)),
IF(AE$3=$DF30+'Model Setup'!$D$7,SUMIF($AD$3:$BA$3,"="&amp;$DF30+'Model Setup'!$D$7,$B30:$Y30)+'Model Setup'!$D$8*(SUMIF($AD$3:$BA$3,"&lt;"&amp;$DF30,$B30:$Y30)+SUMIF($AD$3:$BA$3,"&gt;="&amp;$DG30,$B30:$Y30)),
IF(AE$3=$DF30+'Model Setup'!$E$7,SUMIF($AD$3:$BA$3,"="&amp;$DF30+'Model Setup'!$E$7,$B30:$Y30)+'Model Setup'!$E$8*(SUMIF($AD$3:$BA$3,"&lt;"&amp;$DF30,$B30:$Y30)+SUMIF($AD$3:$BA$3,"&gt;="&amp;$DG30,$B30:$Y30)),
IF(AE$3=$DF30+'Model Setup'!$F$7,SUMIF($AD$3:$BA$3,"="&amp;$DF30+'Model Setup'!$F$7,$B30:$Y30)+'Model Setup'!$F$8*(SUMIF($AD$3:$BA$3,"&lt;"&amp;$DF30,$B30:$Y30)+SUMIF($AD$3:$BA$3,"&gt;="&amp;$DG30,$B30:$Y30)),
IF(AE$3=$DF30+'Model Setup'!$G$7,SUMIF($AD$3:$BA$3,"="&amp;$DF30+'Model Setup'!$G$7,$B30:$Y30)+'Model Setup'!$G$8*(SUMIF($AD$3:$BA$3,"&lt;"&amp;$DF30,$B30:$Y30)+SUMIF($AD$3:$BA$3,"&gt;="&amp;$DG30,$B30:$Y30)),
IF(AE$3=$DF30+'Model Setup'!$H$7,SUMIF($AD$3:$BA$3,"="&amp;$DF30+'Model Setup'!$H$7,$B30:$Y30)+'Model Setup'!$H$8*(SUMIF($AD$3:$BA$3,"&lt;"&amp;$DF30,$B30:$Y30)+SUMIF($AD$3:$BA$3,"&gt;="&amp;$DG30,$B30:$Y30)),
IF(AE$3=$DF30+'Model Setup'!$I$7,SUMIF($AD$3:$BA$3,"="&amp;$DF30+'Model Setup'!$I$7,$B30:$Y30)+'Model Setup'!$I$8*(SUMIF($AD$3:$BA$3,"&lt;"&amp;$DF30,$B30:$Y30)+SUMIF($AD$3:$BA$3,"&gt;="&amp;$DG30,$B30:$Y30)),
IF(AE$3=$DF30+'Model Setup'!$J$7,SUMIF($AD$3:$BA$3,"="&amp;$DF30+'Model Setup'!$J$7,$B30:$Y30)+'Model Setup'!$J$8*(SUMIF($AD$3:$BA$3,"&lt;"&amp;$DF30,$B30:$Y30)+SUMIF($AD$3:$BA$3,"&gt;="&amp;$DG30,$B30:$Y30)),
IF(AE$3=$DF30+'Model Setup'!$K$7,SUMIF($AD$3:$BA$3,"="&amp;$DF30+'Model Setup'!$K$7,$B30:$Y30)+'Model Setup'!$K$8*(SUMIF($AD$3:$BA$3,"&lt;"&amp;$DF30,$B30:$Y30)+SUMIF($AD$3:$BA$3,"&gt;="&amp;$DG30,$B30:$Y30)),
IF(AE$3=$DF30+'Model Setup'!$L$7,SUMIF($AD$3:$BA$3,"="&amp;$DF30+'Model Setup'!$L$7,$B30:$Y30)+'Model Setup'!$L$8*(SUMIF($AD$3:$BA$3,"&lt;"&amp;$DF30,$B30:$Y30)+SUMIF($AD$3:$BA$3,"&gt;="&amp;$DG30,$B30:$Y30)),
IF(AE$3=$DF30+'Model Setup'!$M$7,SUMIF($AD$3:$BA$3,"="&amp;$DF30+'Model Setup'!$M$7,$B30:$Y30)+'Model Setup'!$M$8*(SUMIF($AD$3:$BA$3,"&lt;"&amp;$DF30,$B30:$Y30)+SUMIF($AD$3:$BA$3,"&gt;="&amp;$DG30,$B30:$Y30)),
IF(AE$3=$DF30+'Model Setup'!$N$7,SUMIF($AD$3:$BA$3,"="&amp;$DF30+'Model Setup'!$N$7,$B30:$Y30)+'Model Setup'!$N$8*(SUMIF($AD$3:$BA$3,"&lt;"&amp;$DF30,$B30:$Y30)+SUMIF($AD$3:$BA$3,"&gt;="&amp;$DG30,$B30:$Y30)),
IF(AE$3&lt;$DG30,C30,0))))))))))))))),0)</f>
        <v>0</v>
      </c>
      <c r="AF30" s="47">
        <f>ROUND(IF(AF$3&lt;$DF30,0,
IF(AF$3=$DF30+'Model Setup'!$B$7,SUMIF($AD$3:$BA$3,"="&amp;$DF30+'Model Setup'!$B$7,$B30:$Y30)+'Model Setup'!$B$8*(SUMIF($AD$3:$BA$3,"&lt;"&amp;$DF30,$B30:$Y30)+SUMIF($AD$3:$BA$3,"&gt;="&amp;$DG30,$B30:$Y30)),
IF(AF$3=$DF30+'Model Setup'!$C$7,SUMIF($AD$3:$BA$3,"="&amp;$DF30+'Model Setup'!$C$7,$B30:$Y30)+'Model Setup'!$C$8*(SUMIF($AD$3:$BA$3,"&lt;"&amp;$DF30,$B30:$Y30)+SUMIF($AD$3:$BA$3,"&gt;="&amp;$DG30,$B30:$Y30)),
IF(AF$3=$DF30+'Model Setup'!$D$7,SUMIF($AD$3:$BA$3,"="&amp;$DF30+'Model Setup'!$D$7,$B30:$Y30)+'Model Setup'!$D$8*(SUMIF($AD$3:$BA$3,"&lt;"&amp;$DF30,$B30:$Y30)+SUMIF($AD$3:$BA$3,"&gt;="&amp;$DG30,$B30:$Y30)),
IF(AF$3=$DF30+'Model Setup'!$E$7,SUMIF($AD$3:$BA$3,"="&amp;$DF30+'Model Setup'!$E$7,$B30:$Y30)+'Model Setup'!$E$8*(SUMIF($AD$3:$BA$3,"&lt;"&amp;$DF30,$B30:$Y30)+SUMIF($AD$3:$BA$3,"&gt;="&amp;$DG30,$B30:$Y30)),
IF(AF$3=$DF30+'Model Setup'!$F$7,SUMIF($AD$3:$BA$3,"="&amp;$DF30+'Model Setup'!$F$7,$B30:$Y30)+'Model Setup'!$F$8*(SUMIF($AD$3:$BA$3,"&lt;"&amp;$DF30,$B30:$Y30)+SUMIF($AD$3:$BA$3,"&gt;="&amp;$DG30,$B30:$Y30)),
IF(AF$3=$DF30+'Model Setup'!$G$7,SUMIF($AD$3:$BA$3,"="&amp;$DF30+'Model Setup'!$G$7,$B30:$Y30)+'Model Setup'!$G$8*(SUMIF($AD$3:$BA$3,"&lt;"&amp;$DF30,$B30:$Y30)+SUMIF($AD$3:$BA$3,"&gt;="&amp;$DG30,$B30:$Y30)),
IF(AF$3=$DF30+'Model Setup'!$H$7,SUMIF($AD$3:$BA$3,"="&amp;$DF30+'Model Setup'!$H$7,$B30:$Y30)+'Model Setup'!$H$8*(SUMIF($AD$3:$BA$3,"&lt;"&amp;$DF30,$B30:$Y30)+SUMIF($AD$3:$BA$3,"&gt;="&amp;$DG30,$B30:$Y30)),
IF(AF$3=$DF30+'Model Setup'!$I$7,SUMIF($AD$3:$BA$3,"="&amp;$DF30+'Model Setup'!$I$7,$B30:$Y30)+'Model Setup'!$I$8*(SUMIF($AD$3:$BA$3,"&lt;"&amp;$DF30,$B30:$Y30)+SUMIF($AD$3:$BA$3,"&gt;="&amp;$DG30,$B30:$Y30)),
IF(AF$3=$DF30+'Model Setup'!$J$7,SUMIF($AD$3:$BA$3,"="&amp;$DF30+'Model Setup'!$J$7,$B30:$Y30)+'Model Setup'!$J$8*(SUMIF($AD$3:$BA$3,"&lt;"&amp;$DF30,$B30:$Y30)+SUMIF($AD$3:$BA$3,"&gt;="&amp;$DG30,$B30:$Y30)),
IF(AF$3=$DF30+'Model Setup'!$K$7,SUMIF($AD$3:$BA$3,"="&amp;$DF30+'Model Setup'!$K$7,$B30:$Y30)+'Model Setup'!$K$8*(SUMIF($AD$3:$BA$3,"&lt;"&amp;$DF30,$B30:$Y30)+SUMIF($AD$3:$BA$3,"&gt;="&amp;$DG30,$B30:$Y30)),
IF(AF$3=$DF30+'Model Setup'!$L$7,SUMIF($AD$3:$BA$3,"="&amp;$DF30+'Model Setup'!$L$7,$B30:$Y30)+'Model Setup'!$L$8*(SUMIF($AD$3:$BA$3,"&lt;"&amp;$DF30,$B30:$Y30)+SUMIF($AD$3:$BA$3,"&gt;="&amp;$DG30,$B30:$Y30)),
IF(AF$3=$DF30+'Model Setup'!$M$7,SUMIF($AD$3:$BA$3,"="&amp;$DF30+'Model Setup'!$M$7,$B30:$Y30)+'Model Setup'!$M$8*(SUMIF($AD$3:$BA$3,"&lt;"&amp;$DF30,$B30:$Y30)+SUMIF($AD$3:$BA$3,"&gt;="&amp;$DG30,$B30:$Y30)),
IF(AF$3=$DF30+'Model Setup'!$N$7,SUMIF($AD$3:$BA$3,"="&amp;$DF30+'Model Setup'!$N$7,$B30:$Y30)+'Model Setup'!$N$8*(SUMIF($AD$3:$BA$3,"&lt;"&amp;$DF30,$B30:$Y30)+SUMIF($AD$3:$BA$3,"&gt;="&amp;$DG30,$B30:$Y30)),
IF(AF$3&lt;$DG30,D30,0))))))))))))))),0)</f>
        <v>0</v>
      </c>
      <c r="AG30" s="47">
        <f>ROUND(IF(AG$3&lt;$DF30,0,
IF(AG$3=$DF30+'Model Setup'!$B$7,SUMIF($AD$3:$BA$3,"="&amp;$DF30+'Model Setup'!$B$7,$B30:$Y30)+'Model Setup'!$B$8*(SUMIF($AD$3:$BA$3,"&lt;"&amp;$DF30,$B30:$Y30)+SUMIF($AD$3:$BA$3,"&gt;="&amp;$DG30,$B30:$Y30)),
IF(AG$3=$DF30+'Model Setup'!$C$7,SUMIF($AD$3:$BA$3,"="&amp;$DF30+'Model Setup'!$C$7,$B30:$Y30)+'Model Setup'!$C$8*(SUMIF($AD$3:$BA$3,"&lt;"&amp;$DF30,$B30:$Y30)+SUMIF($AD$3:$BA$3,"&gt;="&amp;$DG30,$B30:$Y30)),
IF(AG$3=$DF30+'Model Setup'!$D$7,SUMIF($AD$3:$BA$3,"="&amp;$DF30+'Model Setup'!$D$7,$B30:$Y30)+'Model Setup'!$D$8*(SUMIF($AD$3:$BA$3,"&lt;"&amp;$DF30,$B30:$Y30)+SUMIF($AD$3:$BA$3,"&gt;="&amp;$DG30,$B30:$Y30)),
IF(AG$3=$DF30+'Model Setup'!$E$7,SUMIF($AD$3:$BA$3,"="&amp;$DF30+'Model Setup'!$E$7,$B30:$Y30)+'Model Setup'!$E$8*(SUMIF($AD$3:$BA$3,"&lt;"&amp;$DF30,$B30:$Y30)+SUMIF($AD$3:$BA$3,"&gt;="&amp;$DG30,$B30:$Y30)),
IF(AG$3=$DF30+'Model Setup'!$F$7,SUMIF($AD$3:$BA$3,"="&amp;$DF30+'Model Setup'!$F$7,$B30:$Y30)+'Model Setup'!$F$8*(SUMIF($AD$3:$BA$3,"&lt;"&amp;$DF30,$B30:$Y30)+SUMIF($AD$3:$BA$3,"&gt;="&amp;$DG30,$B30:$Y30)),
IF(AG$3=$DF30+'Model Setup'!$G$7,SUMIF($AD$3:$BA$3,"="&amp;$DF30+'Model Setup'!$G$7,$B30:$Y30)+'Model Setup'!$G$8*(SUMIF($AD$3:$BA$3,"&lt;"&amp;$DF30,$B30:$Y30)+SUMIF($AD$3:$BA$3,"&gt;="&amp;$DG30,$B30:$Y30)),
IF(AG$3=$DF30+'Model Setup'!$H$7,SUMIF($AD$3:$BA$3,"="&amp;$DF30+'Model Setup'!$H$7,$B30:$Y30)+'Model Setup'!$H$8*(SUMIF($AD$3:$BA$3,"&lt;"&amp;$DF30,$B30:$Y30)+SUMIF($AD$3:$BA$3,"&gt;="&amp;$DG30,$B30:$Y30)),
IF(AG$3=$DF30+'Model Setup'!$I$7,SUMIF($AD$3:$BA$3,"="&amp;$DF30+'Model Setup'!$I$7,$B30:$Y30)+'Model Setup'!$I$8*(SUMIF($AD$3:$BA$3,"&lt;"&amp;$DF30,$B30:$Y30)+SUMIF($AD$3:$BA$3,"&gt;="&amp;$DG30,$B30:$Y30)),
IF(AG$3=$DF30+'Model Setup'!$J$7,SUMIF($AD$3:$BA$3,"="&amp;$DF30+'Model Setup'!$J$7,$B30:$Y30)+'Model Setup'!$J$8*(SUMIF($AD$3:$BA$3,"&lt;"&amp;$DF30,$B30:$Y30)+SUMIF($AD$3:$BA$3,"&gt;="&amp;$DG30,$B30:$Y30)),
IF(AG$3=$DF30+'Model Setup'!$K$7,SUMIF($AD$3:$BA$3,"="&amp;$DF30+'Model Setup'!$K$7,$B30:$Y30)+'Model Setup'!$K$8*(SUMIF($AD$3:$BA$3,"&lt;"&amp;$DF30,$B30:$Y30)+SUMIF($AD$3:$BA$3,"&gt;="&amp;$DG30,$B30:$Y30)),
IF(AG$3=$DF30+'Model Setup'!$L$7,SUMIF($AD$3:$BA$3,"="&amp;$DF30+'Model Setup'!$L$7,$B30:$Y30)+'Model Setup'!$L$8*(SUMIF($AD$3:$BA$3,"&lt;"&amp;$DF30,$B30:$Y30)+SUMIF($AD$3:$BA$3,"&gt;="&amp;$DG30,$B30:$Y30)),
IF(AG$3=$DF30+'Model Setup'!$M$7,SUMIF($AD$3:$BA$3,"="&amp;$DF30+'Model Setup'!$M$7,$B30:$Y30)+'Model Setup'!$M$8*(SUMIF($AD$3:$BA$3,"&lt;"&amp;$DF30,$B30:$Y30)+SUMIF($AD$3:$BA$3,"&gt;="&amp;$DG30,$B30:$Y30)),
IF(AG$3=$DF30+'Model Setup'!$N$7,SUMIF($AD$3:$BA$3,"="&amp;$DF30+'Model Setup'!$N$7,$B30:$Y30)+'Model Setup'!$N$8*(SUMIF($AD$3:$BA$3,"&lt;"&amp;$DF30,$B30:$Y30)+SUMIF($AD$3:$BA$3,"&gt;="&amp;$DG30,$B30:$Y30)),
IF(AG$3&lt;$DG30,E30,0))))))))))))))),0)</f>
        <v>0</v>
      </c>
      <c r="AH30" s="47">
        <f>ROUND(IF(AH$3&lt;$DF30,0,
IF(AH$3=$DF30+'Model Setup'!$B$7,SUMIF($AD$3:$BA$3,"="&amp;$DF30+'Model Setup'!$B$7,$B30:$Y30)+'Model Setup'!$B$8*(SUMIF($AD$3:$BA$3,"&lt;"&amp;$DF30,$B30:$Y30)+SUMIF($AD$3:$BA$3,"&gt;="&amp;$DG30,$B30:$Y30)),
IF(AH$3=$DF30+'Model Setup'!$C$7,SUMIF($AD$3:$BA$3,"="&amp;$DF30+'Model Setup'!$C$7,$B30:$Y30)+'Model Setup'!$C$8*(SUMIF($AD$3:$BA$3,"&lt;"&amp;$DF30,$B30:$Y30)+SUMIF($AD$3:$BA$3,"&gt;="&amp;$DG30,$B30:$Y30)),
IF(AH$3=$DF30+'Model Setup'!$D$7,SUMIF($AD$3:$BA$3,"="&amp;$DF30+'Model Setup'!$D$7,$B30:$Y30)+'Model Setup'!$D$8*(SUMIF($AD$3:$BA$3,"&lt;"&amp;$DF30,$B30:$Y30)+SUMIF($AD$3:$BA$3,"&gt;="&amp;$DG30,$B30:$Y30)),
IF(AH$3=$DF30+'Model Setup'!$E$7,SUMIF($AD$3:$BA$3,"="&amp;$DF30+'Model Setup'!$E$7,$B30:$Y30)+'Model Setup'!$E$8*(SUMIF($AD$3:$BA$3,"&lt;"&amp;$DF30,$B30:$Y30)+SUMIF($AD$3:$BA$3,"&gt;="&amp;$DG30,$B30:$Y30)),
IF(AH$3=$DF30+'Model Setup'!$F$7,SUMIF($AD$3:$BA$3,"="&amp;$DF30+'Model Setup'!$F$7,$B30:$Y30)+'Model Setup'!$F$8*(SUMIF($AD$3:$BA$3,"&lt;"&amp;$DF30,$B30:$Y30)+SUMIF($AD$3:$BA$3,"&gt;="&amp;$DG30,$B30:$Y30)),
IF(AH$3=$DF30+'Model Setup'!$G$7,SUMIF($AD$3:$BA$3,"="&amp;$DF30+'Model Setup'!$G$7,$B30:$Y30)+'Model Setup'!$G$8*(SUMIF($AD$3:$BA$3,"&lt;"&amp;$DF30,$B30:$Y30)+SUMIF($AD$3:$BA$3,"&gt;="&amp;$DG30,$B30:$Y30)),
IF(AH$3=$DF30+'Model Setup'!$H$7,SUMIF($AD$3:$BA$3,"="&amp;$DF30+'Model Setup'!$H$7,$B30:$Y30)+'Model Setup'!$H$8*(SUMIF($AD$3:$BA$3,"&lt;"&amp;$DF30,$B30:$Y30)+SUMIF($AD$3:$BA$3,"&gt;="&amp;$DG30,$B30:$Y30)),
IF(AH$3=$DF30+'Model Setup'!$I$7,SUMIF($AD$3:$BA$3,"="&amp;$DF30+'Model Setup'!$I$7,$B30:$Y30)+'Model Setup'!$I$8*(SUMIF($AD$3:$BA$3,"&lt;"&amp;$DF30,$B30:$Y30)+SUMIF($AD$3:$BA$3,"&gt;="&amp;$DG30,$B30:$Y30)),
IF(AH$3=$DF30+'Model Setup'!$J$7,SUMIF($AD$3:$BA$3,"="&amp;$DF30+'Model Setup'!$J$7,$B30:$Y30)+'Model Setup'!$J$8*(SUMIF($AD$3:$BA$3,"&lt;"&amp;$DF30,$B30:$Y30)+SUMIF($AD$3:$BA$3,"&gt;="&amp;$DG30,$B30:$Y30)),
IF(AH$3=$DF30+'Model Setup'!$K$7,SUMIF($AD$3:$BA$3,"="&amp;$DF30+'Model Setup'!$K$7,$B30:$Y30)+'Model Setup'!$K$8*(SUMIF($AD$3:$BA$3,"&lt;"&amp;$DF30,$B30:$Y30)+SUMIF($AD$3:$BA$3,"&gt;="&amp;$DG30,$B30:$Y30)),
IF(AH$3=$DF30+'Model Setup'!$L$7,SUMIF($AD$3:$BA$3,"="&amp;$DF30+'Model Setup'!$L$7,$B30:$Y30)+'Model Setup'!$L$8*(SUMIF($AD$3:$BA$3,"&lt;"&amp;$DF30,$B30:$Y30)+SUMIF($AD$3:$BA$3,"&gt;="&amp;$DG30,$B30:$Y30)),
IF(AH$3=$DF30+'Model Setup'!$M$7,SUMIF($AD$3:$BA$3,"="&amp;$DF30+'Model Setup'!$M$7,$B30:$Y30)+'Model Setup'!$M$8*(SUMIF($AD$3:$BA$3,"&lt;"&amp;$DF30,$B30:$Y30)+SUMIF($AD$3:$BA$3,"&gt;="&amp;$DG30,$B30:$Y30)),
IF(AH$3=$DF30+'Model Setup'!$N$7,SUMIF($AD$3:$BA$3,"="&amp;$DF30+'Model Setup'!$N$7,$B30:$Y30)+'Model Setup'!$N$8*(SUMIF($AD$3:$BA$3,"&lt;"&amp;$DF30,$B30:$Y30)+SUMIF($AD$3:$BA$3,"&gt;="&amp;$DG30,$B30:$Y30)),
IF(AH$3&lt;$DG30,F30,0))))))))))))))),0)</f>
        <v>0</v>
      </c>
      <c r="AI30" s="47">
        <f>ROUND(IF(AI$3&lt;$DF30,0,
IF(AI$3=$DF30+'Model Setup'!$B$7,SUMIF($AD$3:$BA$3,"="&amp;$DF30+'Model Setup'!$B$7,$B30:$Y30)+'Model Setup'!$B$8*(SUMIF($AD$3:$BA$3,"&lt;"&amp;$DF30,$B30:$Y30)+SUMIF($AD$3:$BA$3,"&gt;="&amp;$DG30,$B30:$Y30)),
IF(AI$3=$DF30+'Model Setup'!$C$7,SUMIF($AD$3:$BA$3,"="&amp;$DF30+'Model Setup'!$C$7,$B30:$Y30)+'Model Setup'!$C$8*(SUMIF($AD$3:$BA$3,"&lt;"&amp;$DF30,$B30:$Y30)+SUMIF($AD$3:$BA$3,"&gt;="&amp;$DG30,$B30:$Y30)),
IF(AI$3=$DF30+'Model Setup'!$D$7,SUMIF($AD$3:$BA$3,"="&amp;$DF30+'Model Setup'!$D$7,$B30:$Y30)+'Model Setup'!$D$8*(SUMIF($AD$3:$BA$3,"&lt;"&amp;$DF30,$B30:$Y30)+SUMIF($AD$3:$BA$3,"&gt;="&amp;$DG30,$B30:$Y30)),
IF(AI$3=$DF30+'Model Setup'!$E$7,SUMIF($AD$3:$BA$3,"="&amp;$DF30+'Model Setup'!$E$7,$B30:$Y30)+'Model Setup'!$E$8*(SUMIF($AD$3:$BA$3,"&lt;"&amp;$DF30,$B30:$Y30)+SUMIF($AD$3:$BA$3,"&gt;="&amp;$DG30,$B30:$Y30)),
IF(AI$3=$DF30+'Model Setup'!$F$7,SUMIF($AD$3:$BA$3,"="&amp;$DF30+'Model Setup'!$F$7,$B30:$Y30)+'Model Setup'!$F$8*(SUMIF($AD$3:$BA$3,"&lt;"&amp;$DF30,$B30:$Y30)+SUMIF($AD$3:$BA$3,"&gt;="&amp;$DG30,$B30:$Y30)),
IF(AI$3=$DF30+'Model Setup'!$G$7,SUMIF($AD$3:$BA$3,"="&amp;$DF30+'Model Setup'!$G$7,$B30:$Y30)+'Model Setup'!$G$8*(SUMIF($AD$3:$BA$3,"&lt;"&amp;$DF30,$B30:$Y30)+SUMIF($AD$3:$BA$3,"&gt;="&amp;$DG30,$B30:$Y30)),
IF(AI$3=$DF30+'Model Setup'!$H$7,SUMIF($AD$3:$BA$3,"="&amp;$DF30+'Model Setup'!$H$7,$B30:$Y30)+'Model Setup'!$H$8*(SUMIF($AD$3:$BA$3,"&lt;"&amp;$DF30,$B30:$Y30)+SUMIF($AD$3:$BA$3,"&gt;="&amp;$DG30,$B30:$Y30)),
IF(AI$3=$DF30+'Model Setup'!$I$7,SUMIF($AD$3:$BA$3,"="&amp;$DF30+'Model Setup'!$I$7,$B30:$Y30)+'Model Setup'!$I$8*(SUMIF($AD$3:$BA$3,"&lt;"&amp;$DF30,$B30:$Y30)+SUMIF($AD$3:$BA$3,"&gt;="&amp;$DG30,$B30:$Y30)),
IF(AI$3=$DF30+'Model Setup'!$J$7,SUMIF($AD$3:$BA$3,"="&amp;$DF30+'Model Setup'!$J$7,$B30:$Y30)+'Model Setup'!$J$8*(SUMIF($AD$3:$BA$3,"&lt;"&amp;$DF30,$B30:$Y30)+SUMIF($AD$3:$BA$3,"&gt;="&amp;$DG30,$B30:$Y30)),
IF(AI$3=$DF30+'Model Setup'!$K$7,SUMIF($AD$3:$BA$3,"="&amp;$DF30+'Model Setup'!$K$7,$B30:$Y30)+'Model Setup'!$K$8*(SUMIF($AD$3:$BA$3,"&lt;"&amp;$DF30,$B30:$Y30)+SUMIF($AD$3:$BA$3,"&gt;="&amp;$DG30,$B30:$Y30)),
IF(AI$3=$DF30+'Model Setup'!$L$7,SUMIF($AD$3:$BA$3,"="&amp;$DF30+'Model Setup'!$L$7,$B30:$Y30)+'Model Setup'!$L$8*(SUMIF($AD$3:$BA$3,"&lt;"&amp;$DF30,$B30:$Y30)+SUMIF($AD$3:$BA$3,"&gt;="&amp;$DG30,$B30:$Y30)),
IF(AI$3=$DF30+'Model Setup'!$M$7,SUMIF($AD$3:$BA$3,"="&amp;$DF30+'Model Setup'!$M$7,$B30:$Y30)+'Model Setup'!$M$8*(SUMIF($AD$3:$BA$3,"&lt;"&amp;$DF30,$B30:$Y30)+SUMIF($AD$3:$BA$3,"&gt;="&amp;$DG30,$B30:$Y30)),
IF(AI$3=$DF30+'Model Setup'!$N$7,SUMIF($AD$3:$BA$3,"="&amp;$DF30+'Model Setup'!$N$7,$B30:$Y30)+'Model Setup'!$N$8*(SUMIF($AD$3:$BA$3,"&lt;"&amp;$DF30,$B30:$Y30)+SUMIF($AD$3:$BA$3,"&gt;="&amp;$DG30,$B30:$Y30)),
IF(AI$3&lt;$DG30,G30,0))))))))))))))),0)</f>
        <v>0</v>
      </c>
      <c r="AJ30" s="47">
        <f>ROUND(IF(AJ$3&lt;$DF30,0,
IF(AJ$3=$DF30+'Model Setup'!$B$7,SUMIF($AD$3:$BA$3,"="&amp;$DF30+'Model Setup'!$B$7,$B30:$Y30)+'Model Setup'!$B$8*(SUMIF($AD$3:$BA$3,"&lt;"&amp;$DF30,$B30:$Y30)+SUMIF($AD$3:$BA$3,"&gt;="&amp;$DG30,$B30:$Y30)),
IF(AJ$3=$DF30+'Model Setup'!$C$7,SUMIF($AD$3:$BA$3,"="&amp;$DF30+'Model Setup'!$C$7,$B30:$Y30)+'Model Setup'!$C$8*(SUMIF($AD$3:$BA$3,"&lt;"&amp;$DF30,$B30:$Y30)+SUMIF($AD$3:$BA$3,"&gt;="&amp;$DG30,$B30:$Y30)),
IF(AJ$3=$DF30+'Model Setup'!$D$7,SUMIF($AD$3:$BA$3,"="&amp;$DF30+'Model Setup'!$D$7,$B30:$Y30)+'Model Setup'!$D$8*(SUMIF($AD$3:$BA$3,"&lt;"&amp;$DF30,$B30:$Y30)+SUMIF($AD$3:$BA$3,"&gt;="&amp;$DG30,$B30:$Y30)),
IF(AJ$3=$DF30+'Model Setup'!$E$7,SUMIF($AD$3:$BA$3,"="&amp;$DF30+'Model Setup'!$E$7,$B30:$Y30)+'Model Setup'!$E$8*(SUMIF($AD$3:$BA$3,"&lt;"&amp;$DF30,$B30:$Y30)+SUMIF($AD$3:$BA$3,"&gt;="&amp;$DG30,$B30:$Y30)),
IF(AJ$3=$DF30+'Model Setup'!$F$7,SUMIF($AD$3:$BA$3,"="&amp;$DF30+'Model Setup'!$F$7,$B30:$Y30)+'Model Setup'!$F$8*(SUMIF($AD$3:$BA$3,"&lt;"&amp;$DF30,$B30:$Y30)+SUMIF($AD$3:$BA$3,"&gt;="&amp;$DG30,$B30:$Y30)),
IF(AJ$3=$DF30+'Model Setup'!$G$7,SUMIF($AD$3:$BA$3,"="&amp;$DF30+'Model Setup'!$G$7,$B30:$Y30)+'Model Setup'!$G$8*(SUMIF($AD$3:$BA$3,"&lt;"&amp;$DF30,$B30:$Y30)+SUMIF($AD$3:$BA$3,"&gt;="&amp;$DG30,$B30:$Y30)),
IF(AJ$3=$DF30+'Model Setup'!$H$7,SUMIF($AD$3:$BA$3,"="&amp;$DF30+'Model Setup'!$H$7,$B30:$Y30)+'Model Setup'!$H$8*(SUMIF($AD$3:$BA$3,"&lt;"&amp;$DF30,$B30:$Y30)+SUMIF($AD$3:$BA$3,"&gt;="&amp;$DG30,$B30:$Y30)),
IF(AJ$3=$DF30+'Model Setup'!$I$7,SUMIF($AD$3:$BA$3,"="&amp;$DF30+'Model Setup'!$I$7,$B30:$Y30)+'Model Setup'!$I$8*(SUMIF($AD$3:$BA$3,"&lt;"&amp;$DF30,$B30:$Y30)+SUMIF($AD$3:$BA$3,"&gt;="&amp;$DG30,$B30:$Y30)),
IF(AJ$3=$DF30+'Model Setup'!$J$7,SUMIF($AD$3:$BA$3,"="&amp;$DF30+'Model Setup'!$J$7,$B30:$Y30)+'Model Setup'!$J$8*(SUMIF($AD$3:$BA$3,"&lt;"&amp;$DF30,$B30:$Y30)+SUMIF($AD$3:$BA$3,"&gt;="&amp;$DG30,$B30:$Y30)),
IF(AJ$3=$DF30+'Model Setup'!$K$7,SUMIF($AD$3:$BA$3,"="&amp;$DF30+'Model Setup'!$K$7,$B30:$Y30)+'Model Setup'!$K$8*(SUMIF($AD$3:$BA$3,"&lt;"&amp;$DF30,$B30:$Y30)+SUMIF($AD$3:$BA$3,"&gt;="&amp;$DG30,$B30:$Y30)),
IF(AJ$3=$DF30+'Model Setup'!$L$7,SUMIF($AD$3:$BA$3,"="&amp;$DF30+'Model Setup'!$L$7,$B30:$Y30)+'Model Setup'!$L$8*(SUMIF($AD$3:$BA$3,"&lt;"&amp;$DF30,$B30:$Y30)+SUMIF($AD$3:$BA$3,"&gt;="&amp;$DG30,$B30:$Y30)),
IF(AJ$3=$DF30+'Model Setup'!$M$7,SUMIF($AD$3:$BA$3,"="&amp;$DF30+'Model Setup'!$M$7,$B30:$Y30)+'Model Setup'!$M$8*(SUMIF($AD$3:$BA$3,"&lt;"&amp;$DF30,$B30:$Y30)+SUMIF($AD$3:$BA$3,"&gt;="&amp;$DG30,$B30:$Y30)),
IF(AJ$3=$DF30+'Model Setup'!$N$7,SUMIF($AD$3:$BA$3,"="&amp;$DF30+'Model Setup'!$N$7,$B30:$Y30)+'Model Setup'!$N$8*(SUMIF($AD$3:$BA$3,"&lt;"&amp;$DF30,$B30:$Y30)+SUMIF($AD$3:$BA$3,"&gt;="&amp;$DG30,$B30:$Y30)),
IF(AJ$3&lt;$DG30,H30,0))))))))))))))),0)</f>
        <v>34</v>
      </c>
      <c r="AK30" s="47">
        <f>ROUND(IF(AK$3&lt;$DF30,0,
IF(AK$3=$DF30+'Model Setup'!$B$7,SUMIF($AD$3:$BA$3,"="&amp;$DF30+'Model Setup'!$B$7,$B30:$Y30)+'Model Setup'!$B$8*(SUMIF($AD$3:$BA$3,"&lt;"&amp;$DF30,$B30:$Y30)+SUMIF($AD$3:$BA$3,"&gt;="&amp;$DG30,$B30:$Y30)),
IF(AK$3=$DF30+'Model Setup'!$C$7,SUMIF($AD$3:$BA$3,"="&amp;$DF30+'Model Setup'!$C$7,$B30:$Y30)+'Model Setup'!$C$8*(SUMIF($AD$3:$BA$3,"&lt;"&amp;$DF30,$B30:$Y30)+SUMIF($AD$3:$BA$3,"&gt;="&amp;$DG30,$B30:$Y30)),
IF(AK$3=$DF30+'Model Setup'!$D$7,SUMIF($AD$3:$BA$3,"="&amp;$DF30+'Model Setup'!$D$7,$B30:$Y30)+'Model Setup'!$D$8*(SUMIF($AD$3:$BA$3,"&lt;"&amp;$DF30,$B30:$Y30)+SUMIF($AD$3:$BA$3,"&gt;="&amp;$DG30,$B30:$Y30)),
IF(AK$3=$DF30+'Model Setup'!$E$7,SUMIF($AD$3:$BA$3,"="&amp;$DF30+'Model Setup'!$E$7,$B30:$Y30)+'Model Setup'!$E$8*(SUMIF($AD$3:$BA$3,"&lt;"&amp;$DF30,$B30:$Y30)+SUMIF($AD$3:$BA$3,"&gt;="&amp;$DG30,$B30:$Y30)),
IF(AK$3=$DF30+'Model Setup'!$F$7,SUMIF($AD$3:$BA$3,"="&amp;$DF30+'Model Setup'!$F$7,$B30:$Y30)+'Model Setup'!$F$8*(SUMIF($AD$3:$BA$3,"&lt;"&amp;$DF30,$B30:$Y30)+SUMIF($AD$3:$BA$3,"&gt;="&amp;$DG30,$B30:$Y30)),
IF(AK$3=$DF30+'Model Setup'!$G$7,SUMIF($AD$3:$BA$3,"="&amp;$DF30+'Model Setup'!$G$7,$B30:$Y30)+'Model Setup'!$G$8*(SUMIF($AD$3:$BA$3,"&lt;"&amp;$DF30,$B30:$Y30)+SUMIF($AD$3:$BA$3,"&gt;="&amp;$DG30,$B30:$Y30)),
IF(AK$3=$DF30+'Model Setup'!$H$7,SUMIF($AD$3:$BA$3,"="&amp;$DF30+'Model Setup'!$H$7,$B30:$Y30)+'Model Setup'!$H$8*(SUMIF($AD$3:$BA$3,"&lt;"&amp;$DF30,$B30:$Y30)+SUMIF($AD$3:$BA$3,"&gt;="&amp;$DG30,$B30:$Y30)),
IF(AK$3=$DF30+'Model Setup'!$I$7,SUMIF($AD$3:$BA$3,"="&amp;$DF30+'Model Setup'!$I$7,$B30:$Y30)+'Model Setup'!$I$8*(SUMIF($AD$3:$BA$3,"&lt;"&amp;$DF30,$B30:$Y30)+SUMIF($AD$3:$BA$3,"&gt;="&amp;$DG30,$B30:$Y30)),
IF(AK$3=$DF30+'Model Setup'!$J$7,SUMIF($AD$3:$BA$3,"="&amp;$DF30+'Model Setup'!$J$7,$B30:$Y30)+'Model Setup'!$J$8*(SUMIF($AD$3:$BA$3,"&lt;"&amp;$DF30,$B30:$Y30)+SUMIF($AD$3:$BA$3,"&gt;="&amp;$DG30,$B30:$Y30)),
IF(AK$3=$DF30+'Model Setup'!$K$7,SUMIF($AD$3:$BA$3,"="&amp;$DF30+'Model Setup'!$K$7,$B30:$Y30)+'Model Setup'!$K$8*(SUMIF($AD$3:$BA$3,"&lt;"&amp;$DF30,$B30:$Y30)+SUMIF($AD$3:$BA$3,"&gt;="&amp;$DG30,$B30:$Y30)),
IF(AK$3=$DF30+'Model Setup'!$L$7,SUMIF($AD$3:$BA$3,"="&amp;$DF30+'Model Setup'!$L$7,$B30:$Y30)+'Model Setup'!$L$8*(SUMIF($AD$3:$BA$3,"&lt;"&amp;$DF30,$B30:$Y30)+SUMIF($AD$3:$BA$3,"&gt;="&amp;$DG30,$B30:$Y30)),
IF(AK$3=$DF30+'Model Setup'!$M$7,SUMIF($AD$3:$BA$3,"="&amp;$DF30+'Model Setup'!$M$7,$B30:$Y30)+'Model Setup'!$M$8*(SUMIF($AD$3:$BA$3,"&lt;"&amp;$DF30,$B30:$Y30)+SUMIF($AD$3:$BA$3,"&gt;="&amp;$DG30,$B30:$Y30)),
IF(AK$3=$DF30+'Model Setup'!$N$7,SUMIF($AD$3:$BA$3,"="&amp;$DF30+'Model Setup'!$N$7,$B30:$Y30)+'Model Setup'!$N$8*(SUMIF($AD$3:$BA$3,"&lt;"&amp;$DF30,$B30:$Y30)+SUMIF($AD$3:$BA$3,"&gt;="&amp;$DG30,$B30:$Y30)),
IF(AK$3&lt;$DG30,I30,0))))))))))))))),0)</f>
        <v>36</v>
      </c>
      <c r="AL30" s="47">
        <f>ROUND(IF(AL$3&lt;$DF30,0,
IF(AL$3=$DF30+'Model Setup'!$B$7,SUMIF($AD$3:$BA$3,"="&amp;$DF30+'Model Setup'!$B$7,$B30:$Y30)+'Model Setup'!$B$8*(SUMIF($AD$3:$BA$3,"&lt;"&amp;$DF30,$B30:$Y30)+SUMIF($AD$3:$BA$3,"&gt;="&amp;$DG30,$B30:$Y30)),
IF(AL$3=$DF30+'Model Setup'!$C$7,SUMIF($AD$3:$BA$3,"="&amp;$DF30+'Model Setup'!$C$7,$B30:$Y30)+'Model Setup'!$C$8*(SUMIF($AD$3:$BA$3,"&lt;"&amp;$DF30,$B30:$Y30)+SUMIF($AD$3:$BA$3,"&gt;="&amp;$DG30,$B30:$Y30)),
IF(AL$3=$DF30+'Model Setup'!$D$7,SUMIF($AD$3:$BA$3,"="&amp;$DF30+'Model Setup'!$D$7,$B30:$Y30)+'Model Setup'!$D$8*(SUMIF($AD$3:$BA$3,"&lt;"&amp;$DF30,$B30:$Y30)+SUMIF($AD$3:$BA$3,"&gt;="&amp;$DG30,$B30:$Y30)),
IF(AL$3=$DF30+'Model Setup'!$E$7,SUMIF($AD$3:$BA$3,"="&amp;$DF30+'Model Setup'!$E$7,$B30:$Y30)+'Model Setup'!$E$8*(SUMIF($AD$3:$BA$3,"&lt;"&amp;$DF30,$B30:$Y30)+SUMIF($AD$3:$BA$3,"&gt;="&amp;$DG30,$B30:$Y30)),
IF(AL$3=$DF30+'Model Setup'!$F$7,SUMIF($AD$3:$BA$3,"="&amp;$DF30+'Model Setup'!$F$7,$B30:$Y30)+'Model Setup'!$F$8*(SUMIF($AD$3:$BA$3,"&lt;"&amp;$DF30,$B30:$Y30)+SUMIF($AD$3:$BA$3,"&gt;="&amp;$DG30,$B30:$Y30)),
IF(AL$3=$DF30+'Model Setup'!$G$7,SUMIF($AD$3:$BA$3,"="&amp;$DF30+'Model Setup'!$G$7,$B30:$Y30)+'Model Setup'!$G$8*(SUMIF($AD$3:$BA$3,"&lt;"&amp;$DF30,$B30:$Y30)+SUMIF($AD$3:$BA$3,"&gt;="&amp;$DG30,$B30:$Y30)),
IF(AL$3=$DF30+'Model Setup'!$H$7,SUMIF($AD$3:$BA$3,"="&amp;$DF30+'Model Setup'!$H$7,$B30:$Y30)+'Model Setup'!$H$8*(SUMIF($AD$3:$BA$3,"&lt;"&amp;$DF30,$B30:$Y30)+SUMIF($AD$3:$BA$3,"&gt;="&amp;$DG30,$B30:$Y30)),
IF(AL$3=$DF30+'Model Setup'!$I$7,SUMIF($AD$3:$BA$3,"="&amp;$DF30+'Model Setup'!$I$7,$B30:$Y30)+'Model Setup'!$I$8*(SUMIF($AD$3:$BA$3,"&lt;"&amp;$DF30,$B30:$Y30)+SUMIF($AD$3:$BA$3,"&gt;="&amp;$DG30,$B30:$Y30)),
IF(AL$3=$DF30+'Model Setup'!$J$7,SUMIF($AD$3:$BA$3,"="&amp;$DF30+'Model Setup'!$J$7,$B30:$Y30)+'Model Setup'!$J$8*(SUMIF($AD$3:$BA$3,"&lt;"&amp;$DF30,$B30:$Y30)+SUMIF($AD$3:$BA$3,"&gt;="&amp;$DG30,$B30:$Y30)),
IF(AL$3=$DF30+'Model Setup'!$K$7,SUMIF($AD$3:$BA$3,"="&amp;$DF30+'Model Setup'!$K$7,$B30:$Y30)+'Model Setup'!$K$8*(SUMIF($AD$3:$BA$3,"&lt;"&amp;$DF30,$B30:$Y30)+SUMIF($AD$3:$BA$3,"&gt;="&amp;$DG30,$B30:$Y30)),
IF(AL$3=$DF30+'Model Setup'!$L$7,SUMIF($AD$3:$BA$3,"="&amp;$DF30+'Model Setup'!$L$7,$B30:$Y30)+'Model Setup'!$L$8*(SUMIF($AD$3:$BA$3,"&lt;"&amp;$DF30,$B30:$Y30)+SUMIF($AD$3:$BA$3,"&gt;="&amp;$DG30,$B30:$Y30)),
IF(AL$3=$DF30+'Model Setup'!$M$7,SUMIF($AD$3:$BA$3,"="&amp;$DF30+'Model Setup'!$M$7,$B30:$Y30)+'Model Setup'!$M$8*(SUMIF($AD$3:$BA$3,"&lt;"&amp;$DF30,$B30:$Y30)+SUMIF($AD$3:$BA$3,"&gt;="&amp;$DG30,$B30:$Y30)),
IF(AL$3=$DF30+'Model Setup'!$N$7,SUMIF($AD$3:$BA$3,"="&amp;$DF30+'Model Setup'!$N$7,$B30:$Y30)+'Model Setup'!$N$8*(SUMIF($AD$3:$BA$3,"&lt;"&amp;$DF30,$B30:$Y30)+SUMIF($AD$3:$BA$3,"&gt;="&amp;$DG30,$B30:$Y30)),
IF(AL$3&lt;$DG30,J30,0))))))))))))))),0)</f>
        <v>33</v>
      </c>
      <c r="AM30" s="47">
        <f>ROUND(IF(AM$3&lt;$DF30,0,
IF(AM$3=$DF30+'Model Setup'!$B$7,SUMIF($AD$3:$BA$3,"="&amp;$DF30+'Model Setup'!$B$7,$B30:$Y30)+'Model Setup'!$B$8*(SUMIF($AD$3:$BA$3,"&lt;"&amp;$DF30,$B30:$Y30)+SUMIF($AD$3:$BA$3,"&gt;="&amp;$DG30,$B30:$Y30)),
IF(AM$3=$DF30+'Model Setup'!$C$7,SUMIF($AD$3:$BA$3,"="&amp;$DF30+'Model Setup'!$C$7,$B30:$Y30)+'Model Setup'!$C$8*(SUMIF($AD$3:$BA$3,"&lt;"&amp;$DF30,$B30:$Y30)+SUMIF($AD$3:$BA$3,"&gt;="&amp;$DG30,$B30:$Y30)),
IF(AM$3=$DF30+'Model Setup'!$D$7,SUMIF($AD$3:$BA$3,"="&amp;$DF30+'Model Setup'!$D$7,$B30:$Y30)+'Model Setup'!$D$8*(SUMIF($AD$3:$BA$3,"&lt;"&amp;$DF30,$B30:$Y30)+SUMIF($AD$3:$BA$3,"&gt;="&amp;$DG30,$B30:$Y30)),
IF(AM$3=$DF30+'Model Setup'!$E$7,SUMIF($AD$3:$BA$3,"="&amp;$DF30+'Model Setup'!$E$7,$B30:$Y30)+'Model Setup'!$E$8*(SUMIF($AD$3:$BA$3,"&lt;"&amp;$DF30,$B30:$Y30)+SUMIF($AD$3:$BA$3,"&gt;="&amp;$DG30,$B30:$Y30)),
IF(AM$3=$DF30+'Model Setup'!$F$7,SUMIF($AD$3:$BA$3,"="&amp;$DF30+'Model Setup'!$F$7,$B30:$Y30)+'Model Setup'!$F$8*(SUMIF($AD$3:$BA$3,"&lt;"&amp;$DF30,$B30:$Y30)+SUMIF($AD$3:$BA$3,"&gt;="&amp;$DG30,$B30:$Y30)),
IF(AM$3=$DF30+'Model Setup'!$G$7,SUMIF($AD$3:$BA$3,"="&amp;$DF30+'Model Setup'!$G$7,$B30:$Y30)+'Model Setup'!$G$8*(SUMIF($AD$3:$BA$3,"&lt;"&amp;$DF30,$B30:$Y30)+SUMIF($AD$3:$BA$3,"&gt;="&amp;$DG30,$B30:$Y30)),
IF(AM$3=$DF30+'Model Setup'!$H$7,SUMIF($AD$3:$BA$3,"="&amp;$DF30+'Model Setup'!$H$7,$B30:$Y30)+'Model Setup'!$H$8*(SUMIF($AD$3:$BA$3,"&lt;"&amp;$DF30,$B30:$Y30)+SUMIF($AD$3:$BA$3,"&gt;="&amp;$DG30,$B30:$Y30)),
IF(AM$3=$DF30+'Model Setup'!$I$7,SUMIF($AD$3:$BA$3,"="&amp;$DF30+'Model Setup'!$I$7,$B30:$Y30)+'Model Setup'!$I$8*(SUMIF($AD$3:$BA$3,"&lt;"&amp;$DF30,$B30:$Y30)+SUMIF($AD$3:$BA$3,"&gt;="&amp;$DG30,$B30:$Y30)),
IF(AM$3=$DF30+'Model Setup'!$J$7,SUMIF($AD$3:$BA$3,"="&amp;$DF30+'Model Setup'!$J$7,$B30:$Y30)+'Model Setup'!$J$8*(SUMIF($AD$3:$BA$3,"&lt;"&amp;$DF30,$B30:$Y30)+SUMIF($AD$3:$BA$3,"&gt;="&amp;$DG30,$B30:$Y30)),
IF(AM$3=$DF30+'Model Setup'!$K$7,SUMIF($AD$3:$BA$3,"="&amp;$DF30+'Model Setup'!$K$7,$B30:$Y30)+'Model Setup'!$K$8*(SUMIF($AD$3:$BA$3,"&lt;"&amp;$DF30,$B30:$Y30)+SUMIF($AD$3:$BA$3,"&gt;="&amp;$DG30,$B30:$Y30)),
IF(AM$3=$DF30+'Model Setup'!$L$7,SUMIF($AD$3:$BA$3,"="&amp;$DF30+'Model Setup'!$L$7,$B30:$Y30)+'Model Setup'!$L$8*(SUMIF($AD$3:$BA$3,"&lt;"&amp;$DF30,$B30:$Y30)+SUMIF($AD$3:$BA$3,"&gt;="&amp;$DG30,$B30:$Y30)),
IF(AM$3=$DF30+'Model Setup'!$M$7,SUMIF($AD$3:$BA$3,"="&amp;$DF30+'Model Setup'!$M$7,$B30:$Y30)+'Model Setup'!$M$8*(SUMIF($AD$3:$BA$3,"&lt;"&amp;$DF30,$B30:$Y30)+SUMIF($AD$3:$BA$3,"&gt;="&amp;$DG30,$B30:$Y30)),
IF(AM$3=$DF30+'Model Setup'!$N$7,SUMIF($AD$3:$BA$3,"="&amp;$DF30+'Model Setup'!$N$7,$B30:$Y30)+'Model Setup'!$N$8*(SUMIF($AD$3:$BA$3,"&lt;"&amp;$DF30,$B30:$Y30)+SUMIF($AD$3:$BA$3,"&gt;="&amp;$DG30,$B30:$Y30)),
IF(AM$3&lt;$DG30,K30,0))))))))))))))),0)</f>
        <v>34</v>
      </c>
      <c r="AN30" s="47">
        <f>ROUND(IF(AN$3&lt;$DF30,0,
IF(AN$3=$DF30+'Model Setup'!$B$7,SUMIF($AD$3:$BA$3,"="&amp;$DF30+'Model Setup'!$B$7,$B30:$Y30)+'Model Setup'!$B$8*(SUMIF($AD$3:$BA$3,"&lt;"&amp;$DF30,$B30:$Y30)+SUMIF($AD$3:$BA$3,"&gt;="&amp;$DG30,$B30:$Y30)),
IF(AN$3=$DF30+'Model Setup'!$C$7,SUMIF($AD$3:$BA$3,"="&amp;$DF30+'Model Setup'!$C$7,$B30:$Y30)+'Model Setup'!$C$8*(SUMIF($AD$3:$BA$3,"&lt;"&amp;$DF30,$B30:$Y30)+SUMIF($AD$3:$BA$3,"&gt;="&amp;$DG30,$B30:$Y30)),
IF(AN$3=$DF30+'Model Setup'!$D$7,SUMIF($AD$3:$BA$3,"="&amp;$DF30+'Model Setup'!$D$7,$B30:$Y30)+'Model Setup'!$D$8*(SUMIF($AD$3:$BA$3,"&lt;"&amp;$DF30,$B30:$Y30)+SUMIF($AD$3:$BA$3,"&gt;="&amp;$DG30,$B30:$Y30)),
IF(AN$3=$DF30+'Model Setup'!$E$7,SUMIF($AD$3:$BA$3,"="&amp;$DF30+'Model Setup'!$E$7,$B30:$Y30)+'Model Setup'!$E$8*(SUMIF($AD$3:$BA$3,"&lt;"&amp;$DF30,$B30:$Y30)+SUMIF($AD$3:$BA$3,"&gt;="&amp;$DG30,$B30:$Y30)),
IF(AN$3=$DF30+'Model Setup'!$F$7,SUMIF($AD$3:$BA$3,"="&amp;$DF30+'Model Setup'!$F$7,$B30:$Y30)+'Model Setup'!$F$8*(SUMIF($AD$3:$BA$3,"&lt;"&amp;$DF30,$B30:$Y30)+SUMIF($AD$3:$BA$3,"&gt;="&amp;$DG30,$B30:$Y30)),
IF(AN$3=$DF30+'Model Setup'!$G$7,SUMIF($AD$3:$BA$3,"="&amp;$DF30+'Model Setup'!$G$7,$B30:$Y30)+'Model Setup'!$G$8*(SUMIF($AD$3:$BA$3,"&lt;"&amp;$DF30,$B30:$Y30)+SUMIF($AD$3:$BA$3,"&gt;="&amp;$DG30,$B30:$Y30)),
IF(AN$3=$DF30+'Model Setup'!$H$7,SUMIF($AD$3:$BA$3,"="&amp;$DF30+'Model Setup'!$H$7,$B30:$Y30)+'Model Setup'!$H$8*(SUMIF($AD$3:$BA$3,"&lt;"&amp;$DF30,$B30:$Y30)+SUMIF($AD$3:$BA$3,"&gt;="&amp;$DG30,$B30:$Y30)),
IF(AN$3=$DF30+'Model Setup'!$I$7,SUMIF($AD$3:$BA$3,"="&amp;$DF30+'Model Setup'!$I$7,$B30:$Y30)+'Model Setup'!$I$8*(SUMIF($AD$3:$BA$3,"&lt;"&amp;$DF30,$B30:$Y30)+SUMIF($AD$3:$BA$3,"&gt;="&amp;$DG30,$B30:$Y30)),
IF(AN$3=$DF30+'Model Setup'!$J$7,SUMIF($AD$3:$BA$3,"="&amp;$DF30+'Model Setup'!$J$7,$B30:$Y30)+'Model Setup'!$J$8*(SUMIF($AD$3:$BA$3,"&lt;"&amp;$DF30,$B30:$Y30)+SUMIF($AD$3:$BA$3,"&gt;="&amp;$DG30,$B30:$Y30)),
IF(AN$3=$DF30+'Model Setup'!$K$7,SUMIF($AD$3:$BA$3,"="&amp;$DF30+'Model Setup'!$K$7,$B30:$Y30)+'Model Setup'!$K$8*(SUMIF($AD$3:$BA$3,"&lt;"&amp;$DF30,$B30:$Y30)+SUMIF($AD$3:$BA$3,"&gt;="&amp;$DG30,$B30:$Y30)),
IF(AN$3=$DF30+'Model Setup'!$L$7,SUMIF($AD$3:$BA$3,"="&amp;$DF30+'Model Setup'!$L$7,$B30:$Y30)+'Model Setup'!$L$8*(SUMIF($AD$3:$BA$3,"&lt;"&amp;$DF30,$B30:$Y30)+SUMIF($AD$3:$BA$3,"&gt;="&amp;$DG30,$B30:$Y30)),
IF(AN$3=$DF30+'Model Setup'!$M$7,SUMIF($AD$3:$BA$3,"="&amp;$DF30+'Model Setup'!$M$7,$B30:$Y30)+'Model Setup'!$M$8*(SUMIF($AD$3:$BA$3,"&lt;"&amp;$DF30,$B30:$Y30)+SUMIF($AD$3:$BA$3,"&gt;="&amp;$DG30,$B30:$Y30)),
IF(AN$3=$DF30+'Model Setup'!$N$7,SUMIF($AD$3:$BA$3,"="&amp;$DF30+'Model Setup'!$N$7,$B30:$Y30)+'Model Setup'!$N$8*(SUMIF($AD$3:$BA$3,"&lt;"&amp;$DF30,$B30:$Y30)+SUMIF($AD$3:$BA$3,"&gt;="&amp;$DG30,$B30:$Y30)),
IF(AN$3&lt;$DG30,L30,0))))))))))))))),0)</f>
        <v>30</v>
      </c>
      <c r="AO30" s="47">
        <f>ROUND(IF(AO$3&lt;$DF30,0,
IF(AO$3=$DF30+'Model Setup'!$B$7,SUMIF($AD$3:$BA$3,"="&amp;$DF30+'Model Setup'!$B$7,$B30:$Y30)+'Model Setup'!$B$8*(SUMIF($AD$3:$BA$3,"&lt;"&amp;$DF30,$B30:$Y30)+SUMIF($AD$3:$BA$3,"&gt;="&amp;$DG30,$B30:$Y30)),
IF(AO$3=$DF30+'Model Setup'!$C$7,SUMIF($AD$3:$BA$3,"="&amp;$DF30+'Model Setup'!$C$7,$B30:$Y30)+'Model Setup'!$C$8*(SUMIF($AD$3:$BA$3,"&lt;"&amp;$DF30,$B30:$Y30)+SUMIF($AD$3:$BA$3,"&gt;="&amp;$DG30,$B30:$Y30)),
IF(AO$3=$DF30+'Model Setup'!$D$7,SUMIF($AD$3:$BA$3,"="&amp;$DF30+'Model Setup'!$D$7,$B30:$Y30)+'Model Setup'!$D$8*(SUMIF($AD$3:$BA$3,"&lt;"&amp;$DF30,$B30:$Y30)+SUMIF($AD$3:$BA$3,"&gt;="&amp;$DG30,$B30:$Y30)),
IF(AO$3=$DF30+'Model Setup'!$E$7,SUMIF($AD$3:$BA$3,"="&amp;$DF30+'Model Setup'!$E$7,$B30:$Y30)+'Model Setup'!$E$8*(SUMIF($AD$3:$BA$3,"&lt;"&amp;$DF30,$B30:$Y30)+SUMIF($AD$3:$BA$3,"&gt;="&amp;$DG30,$B30:$Y30)),
IF(AO$3=$DF30+'Model Setup'!$F$7,SUMIF($AD$3:$BA$3,"="&amp;$DF30+'Model Setup'!$F$7,$B30:$Y30)+'Model Setup'!$F$8*(SUMIF($AD$3:$BA$3,"&lt;"&amp;$DF30,$B30:$Y30)+SUMIF($AD$3:$BA$3,"&gt;="&amp;$DG30,$B30:$Y30)),
IF(AO$3=$DF30+'Model Setup'!$G$7,SUMIF($AD$3:$BA$3,"="&amp;$DF30+'Model Setup'!$G$7,$B30:$Y30)+'Model Setup'!$G$8*(SUMIF($AD$3:$BA$3,"&lt;"&amp;$DF30,$B30:$Y30)+SUMIF($AD$3:$BA$3,"&gt;="&amp;$DG30,$B30:$Y30)),
IF(AO$3=$DF30+'Model Setup'!$H$7,SUMIF($AD$3:$BA$3,"="&amp;$DF30+'Model Setup'!$H$7,$B30:$Y30)+'Model Setup'!$H$8*(SUMIF($AD$3:$BA$3,"&lt;"&amp;$DF30,$B30:$Y30)+SUMIF($AD$3:$BA$3,"&gt;="&amp;$DG30,$B30:$Y30)),
IF(AO$3=$DF30+'Model Setup'!$I$7,SUMIF($AD$3:$BA$3,"="&amp;$DF30+'Model Setup'!$I$7,$B30:$Y30)+'Model Setup'!$I$8*(SUMIF($AD$3:$BA$3,"&lt;"&amp;$DF30,$B30:$Y30)+SUMIF($AD$3:$BA$3,"&gt;="&amp;$DG30,$B30:$Y30)),
IF(AO$3=$DF30+'Model Setup'!$J$7,SUMIF($AD$3:$BA$3,"="&amp;$DF30+'Model Setup'!$J$7,$B30:$Y30)+'Model Setup'!$J$8*(SUMIF($AD$3:$BA$3,"&lt;"&amp;$DF30,$B30:$Y30)+SUMIF($AD$3:$BA$3,"&gt;="&amp;$DG30,$B30:$Y30)),
IF(AO$3=$DF30+'Model Setup'!$K$7,SUMIF($AD$3:$BA$3,"="&amp;$DF30+'Model Setup'!$K$7,$B30:$Y30)+'Model Setup'!$K$8*(SUMIF($AD$3:$BA$3,"&lt;"&amp;$DF30,$B30:$Y30)+SUMIF($AD$3:$BA$3,"&gt;="&amp;$DG30,$B30:$Y30)),
IF(AO$3=$DF30+'Model Setup'!$L$7,SUMIF($AD$3:$BA$3,"="&amp;$DF30+'Model Setup'!$L$7,$B30:$Y30)+'Model Setup'!$L$8*(SUMIF($AD$3:$BA$3,"&lt;"&amp;$DF30,$B30:$Y30)+SUMIF($AD$3:$BA$3,"&gt;="&amp;$DG30,$B30:$Y30)),
IF(AO$3=$DF30+'Model Setup'!$M$7,SUMIF($AD$3:$BA$3,"="&amp;$DF30+'Model Setup'!$M$7,$B30:$Y30)+'Model Setup'!$M$8*(SUMIF($AD$3:$BA$3,"&lt;"&amp;$DF30,$B30:$Y30)+SUMIF($AD$3:$BA$3,"&gt;="&amp;$DG30,$B30:$Y30)),
IF(AO$3=$DF30+'Model Setup'!$N$7,SUMIF($AD$3:$BA$3,"="&amp;$DF30+'Model Setup'!$N$7,$B30:$Y30)+'Model Setup'!$N$8*(SUMIF($AD$3:$BA$3,"&lt;"&amp;$DF30,$B30:$Y30)+SUMIF($AD$3:$BA$3,"&gt;="&amp;$DG30,$B30:$Y30)),
IF(AO$3&lt;$DG30,M30,0))))))))))))))),0)</f>
        <v>34</v>
      </c>
      <c r="AP30" s="47">
        <f>ROUND(IF(AP$3&lt;$DF30,0,
IF(AP$3=$DF30+'Model Setup'!$B$7,SUMIF($AD$3:$BA$3,"="&amp;$DF30+'Model Setup'!$B$7,$B30:$Y30)+'Model Setup'!$B$8*(SUMIF($AD$3:$BA$3,"&lt;"&amp;$DF30,$B30:$Y30)+SUMIF($AD$3:$BA$3,"&gt;="&amp;$DG30,$B30:$Y30)),
IF(AP$3=$DF30+'Model Setup'!$C$7,SUMIF($AD$3:$BA$3,"="&amp;$DF30+'Model Setup'!$C$7,$B30:$Y30)+'Model Setup'!$C$8*(SUMIF($AD$3:$BA$3,"&lt;"&amp;$DF30,$B30:$Y30)+SUMIF($AD$3:$BA$3,"&gt;="&amp;$DG30,$B30:$Y30)),
IF(AP$3=$DF30+'Model Setup'!$D$7,SUMIF($AD$3:$BA$3,"="&amp;$DF30+'Model Setup'!$D$7,$B30:$Y30)+'Model Setup'!$D$8*(SUMIF($AD$3:$BA$3,"&lt;"&amp;$DF30,$B30:$Y30)+SUMIF($AD$3:$BA$3,"&gt;="&amp;$DG30,$B30:$Y30)),
IF(AP$3=$DF30+'Model Setup'!$E$7,SUMIF($AD$3:$BA$3,"="&amp;$DF30+'Model Setup'!$E$7,$B30:$Y30)+'Model Setup'!$E$8*(SUMIF($AD$3:$BA$3,"&lt;"&amp;$DF30,$B30:$Y30)+SUMIF($AD$3:$BA$3,"&gt;="&amp;$DG30,$B30:$Y30)),
IF(AP$3=$DF30+'Model Setup'!$F$7,SUMIF($AD$3:$BA$3,"="&amp;$DF30+'Model Setup'!$F$7,$B30:$Y30)+'Model Setup'!$F$8*(SUMIF($AD$3:$BA$3,"&lt;"&amp;$DF30,$B30:$Y30)+SUMIF($AD$3:$BA$3,"&gt;="&amp;$DG30,$B30:$Y30)),
IF(AP$3=$DF30+'Model Setup'!$G$7,SUMIF($AD$3:$BA$3,"="&amp;$DF30+'Model Setup'!$G$7,$B30:$Y30)+'Model Setup'!$G$8*(SUMIF($AD$3:$BA$3,"&lt;"&amp;$DF30,$B30:$Y30)+SUMIF($AD$3:$BA$3,"&gt;="&amp;$DG30,$B30:$Y30)),
IF(AP$3=$DF30+'Model Setup'!$H$7,SUMIF($AD$3:$BA$3,"="&amp;$DF30+'Model Setup'!$H$7,$B30:$Y30)+'Model Setup'!$H$8*(SUMIF($AD$3:$BA$3,"&lt;"&amp;$DF30,$B30:$Y30)+SUMIF($AD$3:$BA$3,"&gt;="&amp;$DG30,$B30:$Y30)),
IF(AP$3=$DF30+'Model Setup'!$I$7,SUMIF($AD$3:$BA$3,"="&amp;$DF30+'Model Setup'!$I$7,$B30:$Y30)+'Model Setup'!$I$8*(SUMIF($AD$3:$BA$3,"&lt;"&amp;$DF30,$B30:$Y30)+SUMIF($AD$3:$BA$3,"&gt;="&amp;$DG30,$B30:$Y30)),
IF(AP$3=$DF30+'Model Setup'!$J$7,SUMIF($AD$3:$BA$3,"="&amp;$DF30+'Model Setup'!$J$7,$B30:$Y30)+'Model Setup'!$J$8*(SUMIF($AD$3:$BA$3,"&lt;"&amp;$DF30,$B30:$Y30)+SUMIF($AD$3:$BA$3,"&gt;="&amp;$DG30,$B30:$Y30)),
IF(AP$3=$DF30+'Model Setup'!$K$7,SUMIF($AD$3:$BA$3,"="&amp;$DF30+'Model Setup'!$K$7,$B30:$Y30)+'Model Setup'!$K$8*(SUMIF($AD$3:$BA$3,"&lt;"&amp;$DF30,$B30:$Y30)+SUMIF($AD$3:$BA$3,"&gt;="&amp;$DG30,$B30:$Y30)),
IF(AP$3=$DF30+'Model Setup'!$L$7,SUMIF($AD$3:$BA$3,"="&amp;$DF30+'Model Setup'!$L$7,$B30:$Y30)+'Model Setup'!$L$8*(SUMIF($AD$3:$BA$3,"&lt;"&amp;$DF30,$B30:$Y30)+SUMIF($AD$3:$BA$3,"&gt;="&amp;$DG30,$B30:$Y30)),
IF(AP$3=$DF30+'Model Setup'!$M$7,SUMIF($AD$3:$BA$3,"="&amp;$DF30+'Model Setup'!$M$7,$B30:$Y30)+'Model Setup'!$M$8*(SUMIF($AD$3:$BA$3,"&lt;"&amp;$DF30,$B30:$Y30)+SUMIF($AD$3:$BA$3,"&gt;="&amp;$DG30,$B30:$Y30)),
IF(AP$3=$DF30+'Model Setup'!$N$7,SUMIF($AD$3:$BA$3,"="&amp;$DF30+'Model Setup'!$N$7,$B30:$Y30)+'Model Setup'!$N$8*(SUMIF($AD$3:$BA$3,"&lt;"&amp;$DF30,$B30:$Y30)+SUMIF($AD$3:$BA$3,"&gt;="&amp;$DG30,$B30:$Y30)),
IF(AP$3&lt;$DG30,N30,0))))))))))))))),0)</f>
        <v>14</v>
      </c>
      <c r="AQ30" s="47">
        <f>ROUND(IF(AQ$3&lt;$DF30,0,
IF(AQ$3=$DF30+'Model Setup'!$B$7,SUMIF($AD$3:$BA$3,"="&amp;$DF30+'Model Setup'!$B$7,$B30:$Y30)+'Model Setup'!$B$8*(SUMIF($AD$3:$BA$3,"&lt;"&amp;$DF30,$B30:$Y30)+SUMIF($AD$3:$BA$3,"&gt;="&amp;$DG30,$B30:$Y30)),
IF(AQ$3=$DF30+'Model Setup'!$C$7,SUMIF($AD$3:$BA$3,"="&amp;$DF30+'Model Setup'!$C$7,$B30:$Y30)+'Model Setup'!$C$8*(SUMIF($AD$3:$BA$3,"&lt;"&amp;$DF30,$B30:$Y30)+SUMIF($AD$3:$BA$3,"&gt;="&amp;$DG30,$B30:$Y30)),
IF(AQ$3=$DF30+'Model Setup'!$D$7,SUMIF($AD$3:$BA$3,"="&amp;$DF30+'Model Setup'!$D$7,$B30:$Y30)+'Model Setup'!$D$8*(SUMIF($AD$3:$BA$3,"&lt;"&amp;$DF30,$B30:$Y30)+SUMIF($AD$3:$BA$3,"&gt;="&amp;$DG30,$B30:$Y30)),
IF(AQ$3=$DF30+'Model Setup'!$E$7,SUMIF($AD$3:$BA$3,"="&amp;$DF30+'Model Setup'!$E$7,$B30:$Y30)+'Model Setup'!$E$8*(SUMIF($AD$3:$BA$3,"&lt;"&amp;$DF30,$B30:$Y30)+SUMIF($AD$3:$BA$3,"&gt;="&amp;$DG30,$B30:$Y30)),
IF(AQ$3=$DF30+'Model Setup'!$F$7,SUMIF($AD$3:$BA$3,"="&amp;$DF30+'Model Setup'!$F$7,$B30:$Y30)+'Model Setup'!$F$8*(SUMIF($AD$3:$BA$3,"&lt;"&amp;$DF30,$B30:$Y30)+SUMIF($AD$3:$BA$3,"&gt;="&amp;$DG30,$B30:$Y30)),
IF(AQ$3=$DF30+'Model Setup'!$G$7,SUMIF($AD$3:$BA$3,"="&amp;$DF30+'Model Setup'!$G$7,$B30:$Y30)+'Model Setup'!$G$8*(SUMIF($AD$3:$BA$3,"&lt;"&amp;$DF30,$B30:$Y30)+SUMIF($AD$3:$BA$3,"&gt;="&amp;$DG30,$B30:$Y30)),
IF(AQ$3=$DF30+'Model Setup'!$H$7,SUMIF($AD$3:$BA$3,"="&amp;$DF30+'Model Setup'!$H$7,$B30:$Y30)+'Model Setup'!$H$8*(SUMIF($AD$3:$BA$3,"&lt;"&amp;$DF30,$B30:$Y30)+SUMIF($AD$3:$BA$3,"&gt;="&amp;$DG30,$B30:$Y30)),
IF(AQ$3=$DF30+'Model Setup'!$I$7,SUMIF($AD$3:$BA$3,"="&amp;$DF30+'Model Setup'!$I$7,$B30:$Y30)+'Model Setup'!$I$8*(SUMIF($AD$3:$BA$3,"&lt;"&amp;$DF30,$B30:$Y30)+SUMIF($AD$3:$BA$3,"&gt;="&amp;$DG30,$B30:$Y30)),
IF(AQ$3=$DF30+'Model Setup'!$J$7,SUMIF($AD$3:$BA$3,"="&amp;$DF30+'Model Setup'!$J$7,$B30:$Y30)+'Model Setup'!$J$8*(SUMIF($AD$3:$BA$3,"&lt;"&amp;$DF30,$B30:$Y30)+SUMIF($AD$3:$BA$3,"&gt;="&amp;$DG30,$B30:$Y30)),
IF(AQ$3=$DF30+'Model Setup'!$K$7,SUMIF($AD$3:$BA$3,"="&amp;$DF30+'Model Setup'!$K$7,$B30:$Y30)+'Model Setup'!$K$8*(SUMIF($AD$3:$BA$3,"&lt;"&amp;$DF30,$B30:$Y30)+SUMIF($AD$3:$BA$3,"&gt;="&amp;$DG30,$B30:$Y30)),
IF(AQ$3=$DF30+'Model Setup'!$L$7,SUMIF($AD$3:$BA$3,"="&amp;$DF30+'Model Setup'!$L$7,$B30:$Y30)+'Model Setup'!$L$8*(SUMIF($AD$3:$BA$3,"&lt;"&amp;$DF30,$B30:$Y30)+SUMIF($AD$3:$BA$3,"&gt;="&amp;$DG30,$B30:$Y30)),
IF(AQ$3=$DF30+'Model Setup'!$M$7,SUMIF($AD$3:$BA$3,"="&amp;$DF30+'Model Setup'!$M$7,$B30:$Y30)+'Model Setup'!$M$8*(SUMIF($AD$3:$BA$3,"&lt;"&amp;$DF30,$B30:$Y30)+SUMIF($AD$3:$BA$3,"&gt;="&amp;$DG30,$B30:$Y30)),
IF(AQ$3=$DF30+'Model Setup'!$N$7,SUMIF($AD$3:$BA$3,"="&amp;$DF30+'Model Setup'!$N$7,$B30:$Y30)+'Model Setup'!$N$8*(SUMIF($AD$3:$BA$3,"&lt;"&amp;$DF30,$B30:$Y30)+SUMIF($AD$3:$BA$3,"&gt;="&amp;$DG30,$B30:$Y30)),
IF(AQ$3&lt;$DG30,O30,0))))))))))))))),0)</f>
        <v>15</v>
      </c>
      <c r="AR30" s="47">
        <f>ROUND(IF(AR$3&lt;$DF30,0,
IF(AR$3=$DF30+'Model Setup'!$B$7,SUMIF($AD$3:$BA$3,"="&amp;$DF30+'Model Setup'!$B$7,$B30:$Y30)+'Model Setup'!$B$8*(SUMIF($AD$3:$BA$3,"&lt;"&amp;$DF30,$B30:$Y30)+SUMIF($AD$3:$BA$3,"&gt;="&amp;$DG30,$B30:$Y30)),
IF(AR$3=$DF30+'Model Setup'!$C$7,SUMIF($AD$3:$BA$3,"="&amp;$DF30+'Model Setup'!$C$7,$B30:$Y30)+'Model Setup'!$C$8*(SUMIF($AD$3:$BA$3,"&lt;"&amp;$DF30,$B30:$Y30)+SUMIF($AD$3:$BA$3,"&gt;="&amp;$DG30,$B30:$Y30)),
IF(AR$3=$DF30+'Model Setup'!$D$7,SUMIF($AD$3:$BA$3,"="&amp;$DF30+'Model Setup'!$D$7,$B30:$Y30)+'Model Setup'!$D$8*(SUMIF($AD$3:$BA$3,"&lt;"&amp;$DF30,$B30:$Y30)+SUMIF($AD$3:$BA$3,"&gt;="&amp;$DG30,$B30:$Y30)),
IF(AR$3=$DF30+'Model Setup'!$E$7,SUMIF($AD$3:$BA$3,"="&amp;$DF30+'Model Setup'!$E$7,$B30:$Y30)+'Model Setup'!$E$8*(SUMIF($AD$3:$BA$3,"&lt;"&amp;$DF30,$B30:$Y30)+SUMIF($AD$3:$BA$3,"&gt;="&amp;$DG30,$B30:$Y30)),
IF(AR$3=$DF30+'Model Setup'!$F$7,SUMIF($AD$3:$BA$3,"="&amp;$DF30+'Model Setup'!$F$7,$B30:$Y30)+'Model Setup'!$F$8*(SUMIF($AD$3:$BA$3,"&lt;"&amp;$DF30,$B30:$Y30)+SUMIF($AD$3:$BA$3,"&gt;="&amp;$DG30,$B30:$Y30)),
IF(AR$3=$DF30+'Model Setup'!$G$7,SUMIF($AD$3:$BA$3,"="&amp;$DF30+'Model Setup'!$G$7,$B30:$Y30)+'Model Setup'!$G$8*(SUMIF($AD$3:$BA$3,"&lt;"&amp;$DF30,$B30:$Y30)+SUMIF($AD$3:$BA$3,"&gt;="&amp;$DG30,$B30:$Y30)),
IF(AR$3=$DF30+'Model Setup'!$H$7,SUMIF($AD$3:$BA$3,"="&amp;$DF30+'Model Setup'!$H$7,$B30:$Y30)+'Model Setup'!$H$8*(SUMIF($AD$3:$BA$3,"&lt;"&amp;$DF30,$B30:$Y30)+SUMIF($AD$3:$BA$3,"&gt;="&amp;$DG30,$B30:$Y30)),
IF(AR$3=$DF30+'Model Setup'!$I$7,SUMIF($AD$3:$BA$3,"="&amp;$DF30+'Model Setup'!$I$7,$B30:$Y30)+'Model Setup'!$I$8*(SUMIF($AD$3:$BA$3,"&lt;"&amp;$DF30,$B30:$Y30)+SUMIF($AD$3:$BA$3,"&gt;="&amp;$DG30,$B30:$Y30)),
IF(AR$3=$DF30+'Model Setup'!$J$7,SUMIF($AD$3:$BA$3,"="&amp;$DF30+'Model Setup'!$J$7,$B30:$Y30)+'Model Setup'!$J$8*(SUMIF($AD$3:$BA$3,"&lt;"&amp;$DF30,$B30:$Y30)+SUMIF($AD$3:$BA$3,"&gt;="&amp;$DG30,$B30:$Y30)),
IF(AR$3=$DF30+'Model Setup'!$K$7,SUMIF($AD$3:$BA$3,"="&amp;$DF30+'Model Setup'!$K$7,$B30:$Y30)+'Model Setup'!$K$8*(SUMIF($AD$3:$BA$3,"&lt;"&amp;$DF30,$B30:$Y30)+SUMIF($AD$3:$BA$3,"&gt;="&amp;$DG30,$B30:$Y30)),
IF(AR$3=$DF30+'Model Setup'!$L$7,SUMIF($AD$3:$BA$3,"="&amp;$DF30+'Model Setup'!$L$7,$B30:$Y30)+'Model Setup'!$L$8*(SUMIF($AD$3:$BA$3,"&lt;"&amp;$DF30,$B30:$Y30)+SUMIF($AD$3:$BA$3,"&gt;="&amp;$DG30,$B30:$Y30)),
IF(AR$3=$DF30+'Model Setup'!$M$7,SUMIF($AD$3:$BA$3,"="&amp;$DF30+'Model Setup'!$M$7,$B30:$Y30)+'Model Setup'!$M$8*(SUMIF($AD$3:$BA$3,"&lt;"&amp;$DF30,$B30:$Y30)+SUMIF($AD$3:$BA$3,"&gt;="&amp;$DG30,$B30:$Y30)),
IF(AR$3=$DF30+'Model Setup'!$N$7,SUMIF($AD$3:$BA$3,"="&amp;$DF30+'Model Setup'!$N$7,$B30:$Y30)+'Model Setup'!$N$8*(SUMIF($AD$3:$BA$3,"&lt;"&amp;$DF30,$B30:$Y30)+SUMIF($AD$3:$BA$3,"&gt;="&amp;$DG30,$B30:$Y30)),
IF(AR$3&lt;$DG30,P30,0))))))))))))))),0)</f>
        <v>10</v>
      </c>
      <c r="AS30" s="47">
        <f>ROUND(IF(AS$3&lt;$DF30,0,
IF(AS$3=$DF30+'Model Setup'!$B$7,SUMIF($AD$3:$BA$3,"="&amp;$DF30+'Model Setup'!$B$7,$B30:$Y30)+'Model Setup'!$B$8*(SUMIF($AD$3:$BA$3,"&lt;"&amp;$DF30,$B30:$Y30)+SUMIF($AD$3:$BA$3,"&gt;="&amp;$DG30,$B30:$Y30)),
IF(AS$3=$DF30+'Model Setup'!$C$7,SUMIF($AD$3:$BA$3,"="&amp;$DF30+'Model Setup'!$C$7,$B30:$Y30)+'Model Setup'!$C$8*(SUMIF($AD$3:$BA$3,"&lt;"&amp;$DF30,$B30:$Y30)+SUMIF($AD$3:$BA$3,"&gt;="&amp;$DG30,$B30:$Y30)),
IF(AS$3=$DF30+'Model Setup'!$D$7,SUMIF($AD$3:$BA$3,"="&amp;$DF30+'Model Setup'!$D$7,$B30:$Y30)+'Model Setup'!$D$8*(SUMIF($AD$3:$BA$3,"&lt;"&amp;$DF30,$B30:$Y30)+SUMIF($AD$3:$BA$3,"&gt;="&amp;$DG30,$B30:$Y30)),
IF(AS$3=$DF30+'Model Setup'!$E$7,SUMIF($AD$3:$BA$3,"="&amp;$DF30+'Model Setup'!$E$7,$B30:$Y30)+'Model Setup'!$E$8*(SUMIF($AD$3:$BA$3,"&lt;"&amp;$DF30,$B30:$Y30)+SUMIF($AD$3:$BA$3,"&gt;="&amp;$DG30,$B30:$Y30)),
IF(AS$3=$DF30+'Model Setup'!$F$7,SUMIF($AD$3:$BA$3,"="&amp;$DF30+'Model Setup'!$F$7,$B30:$Y30)+'Model Setup'!$F$8*(SUMIF($AD$3:$BA$3,"&lt;"&amp;$DF30,$B30:$Y30)+SUMIF($AD$3:$BA$3,"&gt;="&amp;$DG30,$B30:$Y30)),
IF(AS$3=$DF30+'Model Setup'!$G$7,SUMIF($AD$3:$BA$3,"="&amp;$DF30+'Model Setup'!$G$7,$B30:$Y30)+'Model Setup'!$G$8*(SUMIF($AD$3:$BA$3,"&lt;"&amp;$DF30,$B30:$Y30)+SUMIF($AD$3:$BA$3,"&gt;="&amp;$DG30,$B30:$Y30)),
IF(AS$3=$DF30+'Model Setup'!$H$7,SUMIF($AD$3:$BA$3,"="&amp;$DF30+'Model Setup'!$H$7,$B30:$Y30)+'Model Setup'!$H$8*(SUMIF($AD$3:$BA$3,"&lt;"&amp;$DF30,$B30:$Y30)+SUMIF($AD$3:$BA$3,"&gt;="&amp;$DG30,$B30:$Y30)),
IF(AS$3=$DF30+'Model Setup'!$I$7,SUMIF($AD$3:$BA$3,"="&amp;$DF30+'Model Setup'!$I$7,$B30:$Y30)+'Model Setup'!$I$8*(SUMIF($AD$3:$BA$3,"&lt;"&amp;$DF30,$B30:$Y30)+SUMIF($AD$3:$BA$3,"&gt;="&amp;$DG30,$B30:$Y30)),
IF(AS$3=$DF30+'Model Setup'!$J$7,SUMIF($AD$3:$BA$3,"="&amp;$DF30+'Model Setup'!$J$7,$B30:$Y30)+'Model Setup'!$J$8*(SUMIF($AD$3:$BA$3,"&lt;"&amp;$DF30,$B30:$Y30)+SUMIF($AD$3:$BA$3,"&gt;="&amp;$DG30,$B30:$Y30)),
IF(AS$3=$DF30+'Model Setup'!$K$7,SUMIF($AD$3:$BA$3,"="&amp;$DF30+'Model Setup'!$K$7,$B30:$Y30)+'Model Setup'!$K$8*(SUMIF($AD$3:$BA$3,"&lt;"&amp;$DF30,$B30:$Y30)+SUMIF($AD$3:$BA$3,"&gt;="&amp;$DG30,$B30:$Y30)),
IF(AS$3=$DF30+'Model Setup'!$L$7,SUMIF($AD$3:$BA$3,"="&amp;$DF30+'Model Setup'!$L$7,$B30:$Y30)+'Model Setup'!$L$8*(SUMIF($AD$3:$BA$3,"&lt;"&amp;$DF30,$B30:$Y30)+SUMIF($AD$3:$BA$3,"&gt;="&amp;$DG30,$B30:$Y30)),
IF(AS$3=$DF30+'Model Setup'!$M$7,SUMIF($AD$3:$BA$3,"="&amp;$DF30+'Model Setup'!$M$7,$B30:$Y30)+'Model Setup'!$M$8*(SUMIF($AD$3:$BA$3,"&lt;"&amp;$DF30,$B30:$Y30)+SUMIF($AD$3:$BA$3,"&gt;="&amp;$DG30,$B30:$Y30)),
IF(AS$3=$DF30+'Model Setup'!$N$7,SUMIF($AD$3:$BA$3,"="&amp;$DF30+'Model Setup'!$N$7,$B30:$Y30)+'Model Setup'!$N$8*(SUMIF($AD$3:$BA$3,"&lt;"&amp;$DF30,$B30:$Y30)+SUMIF($AD$3:$BA$3,"&gt;="&amp;$DG30,$B30:$Y30)),
IF(AS$3&lt;$DG30,Q30,0))))))))))))))),0)</f>
        <v>8</v>
      </c>
      <c r="AT30" s="47">
        <f>ROUND(IF(AT$3&lt;$DF30,0,
IF(AT$3=$DF30+'Model Setup'!$B$7,SUMIF($AD$3:$BA$3,"="&amp;$DF30+'Model Setup'!$B$7,$B30:$Y30)+'Model Setup'!$B$8*(SUMIF($AD$3:$BA$3,"&lt;"&amp;$DF30,$B30:$Y30)+SUMIF($AD$3:$BA$3,"&gt;="&amp;$DG30,$B30:$Y30)),
IF(AT$3=$DF30+'Model Setup'!$C$7,SUMIF($AD$3:$BA$3,"="&amp;$DF30+'Model Setup'!$C$7,$B30:$Y30)+'Model Setup'!$C$8*(SUMIF($AD$3:$BA$3,"&lt;"&amp;$DF30,$B30:$Y30)+SUMIF($AD$3:$BA$3,"&gt;="&amp;$DG30,$B30:$Y30)),
IF(AT$3=$DF30+'Model Setup'!$D$7,SUMIF($AD$3:$BA$3,"="&amp;$DF30+'Model Setup'!$D$7,$B30:$Y30)+'Model Setup'!$D$8*(SUMIF($AD$3:$BA$3,"&lt;"&amp;$DF30,$B30:$Y30)+SUMIF($AD$3:$BA$3,"&gt;="&amp;$DG30,$B30:$Y30)),
IF(AT$3=$DF30+'Model Setup'!$E$7,SUMIF($AD$3:$BA$3,"="&amp;$DF30+'Model Setup'!$E$7,$B30:$Y30)+'Model Setup'!$E$8*(SUMIF($AD$3:$BA$3,"&lt;"&amp;$DF30,$B30:$Y30)+SUMIF($AD$3:$BA$3,"&gt;="&amp;$DG30,$B30:$Y30)),
IF(AT$3=$DF30+'Model Setup'!$F$7,SUMIF($AD$3:$BA$3,"="&amp;$DF30+'Model Setup'!$F$7,$B30:$Y30)+'Model Setup'!$F$8*(SUMIF($AD$3:$BA$3,"&lt;"&amp;$DF30,$B30:$Y30)+SUMIF($AD$3:$BA$3,"&gt;="&amp;$DG30,$B30:$Y30)),
IF(AT$3=$DF30+'Model Setup'!$G$7,SUMIF($AD$3:$BA$3,"="&amp;$DF30+'Model Setup'!$G$7,$B30:$Y30)+'Model Setup'!$G$8*(SUMIF($AD$3:$BA$3,"&lt;"&amp;$DF30,$B30:$Y30)+SUMIF($AD$3:$BA$3,"&gt;="&amp;$DG30,$B30:$Y30)),
IF(AT$3=$DF30+'Model Setup'!$H$7,SUMIF($AD$3:$BA$3,"="&amp;$DF30+'Model Setup'!$H$7,$B30:$Y30)+'Model Setup'!$H$8*(SUMIF($AD$3:$BA$3,"&lt;"&amp;$DF30,$B30:$Y30)+SUMIF($AD$3:$BA$3,"&gt;="&amp;$DG30,$B30:$Y30)),
IF(AT$3=$DF30+'Model Setup'!$I$7,SUMIF($AD$3:$BA$3,"="&amp;$DF30+'Model Setup'!$I$7,$B30:$Y30)+'Model Setup'!$I$8*(SUMIF($AD$3:$BA$3,"&lt;"&amp;$DF30,$B30:$Y30)+SUMIF($AD$3:$BA$3,"&gt;="&amp;$DG30,$B30:$Y30)),
IF(AT$3=$DF30+'Model Setup'!$J$7,SUMIF($AD$3:$BA$3,"="&amp;$DF30+'Model Setup'!$J$7,$B30:$Y30)+'Model Setup'!$J$8*(SUMIF($AD$3:$BA$3,"&lt;"&amp;$DF30,$B30:$Y30)+SUMIF($AD$3:$BA$3,"&gt;="&amp;$DG30,$B30:$Y30)),
IF(AT$3=$DF30+'Model Setup'!$K$7,SUMIF($AD$3:$BA$3,"="&amp;$DF30+'Model Setup'!$K$7,$B30:$Y30)+'Model Setup'!$K$8*(SUMIF($AD$3:$BA$3,"&lt;"&amp;$DF30,$B30:$Y30)+SUMIF($AD$3:$BA$3,"&gt;="&amp;$DG30,$B30:$Y30)),
IF(AT$3=$DF30+'Model Setup'!$L$7,SUMIF($AD$3:$BA$3,"="&amp;$DF30+'Model Setup'!$L$7,$B30:$Y30)+'Model Setup'!$L$8*(SUMIF($AD$3:$BA$3,"&lt;"&amp;$DF30,$B30:$Y30)+SUMIF($AD$3:$BA$3,"&gt;="&amp;$DG30,$B30:$Y30)),
IF(AT$3=$DF30+'Model Setup'!$M$7,SUMIF($AD$3:$BA$3,"="&amp;$DF30+'Model Setup'!$M$7,$B30:$Y30)+'Model Setup'!$M$8*(SUMIF($AD$3:$BA$3,"&lt;"&amp;$DF30,$B30:$Y30)+SUMIF($AD$3:$BA$3,"&gt;="&amp;$DG30,$B30:$Y30)),
IF(AT$3=$DF30+'Model Setup'!$N$7,SUMIF($AD$3:$BA$3,"="&amp;$DF30+'Model Setup'!$N$7,$B30:$Y30)+'Model Setup'!$N$8*(SUMIF($AD$3:$BA$3,"&lt;"&amp;$DF30,$B30:$Y30)+SUMIF($AD$3:$BA$3,"&gt;="&amp;$DG30,$B30:$Y30)),
IF(AT$3&lt;$DG30,R30,0))))))))))))))),0)</f>
        <v>17</v>
      </c>
      <c r="AU30" s="47">
        <f>ROUND(IF(AU$3&lt;$DF30,0,
IF(AU$3=$DF30+'Model Setup'!$B$7,SUMIF($AD$3:$BA$3,"="&amp;$DF30+'Model Setup'!$B$7,$B30:$Y30)+'Model Setup'!$B$8*(SUMIF($AD$3:$BA$3,"&lt;"&amp;$DF30,$B30:$Y30)+SUMIF($AD$3:$BA$3,"&gt;="&amp;$DG30,$B30:$Y30)),
IF(AU$3=$DF30+'Model Setup'!$C$7,SUMIF($AD$3:$BA$3,"="&amp;$DF30+'Model Setup'!$C$7,$B30:$Y30)+'Model Setup'!$C$8*(SUMIF($AD$3:$BA$3,"&lt;"&amp;$DF30,$B30:$Y30)+SUMIF($AD$3:$BA$3,"&gt;="&amp;$DG30,$B30:$Y30)),
IF(AU$3=$DF30+'Model Setup'!$D$7,SUMIF($AD$3:$BA$3,"="&amp;$DF30+'Model Setup'!$D$7,$B30:$Y30)+'Model Setup'!$D$8*(SUMIF($AD$3:$BA$3,"&lt;"&amp;$DF30,$B30:$Y30)+SUMIF($AD$3:$BA$3,"&gt;="&amp;$DG30,$B30:$Y30)),
IF(AU$3=$DF30+'Model Setup'!$E$7,SUMIF($AD$3:$BA$3,"="&amp;$DF30+'Model Setup'!$E$7,$B30:$Y30)+'Model Setup'!$E$8*(SUMIF($AD$3:$BA$3,"&lt;"&amp;$DF30,$B30:$Y30)+SUMIF($AD$3:$BA$3,"&gt;="&amp;$DG30,$B30:$Y30)),
IF(AU$3=$DF30+'Model Setup'!$F$7,SUMIF($AD$3:$BA$3,"="&amp;$DF30+'Model Setup'!$F$7,$B30:$Y30)+'Model Setup'!$F$8*(SUMIF($AD$3:$BA$3,"&lt;"&amp;$DF30,$B30:$Y30)+SUMIF($AD$3:$BA$3,"&gt;="&amp;$DG30,$B30:$Y30)),
IF(AU$3=$DF30+'Model Setup'!$G$7,SUMIF($AD$3:$BA$3,"="&amp;$DF30+'Model Setup'!$G$7,$B30:$Y30)+'Model Setup'!$G$8*(SUMIF($AD$3:$BA$3,"&lt;"&amp;$DF30,$B30:$Y30)+SUMIF($AD$3:$BA$3,"&gt;="&amp;$DG30,$B30:$Y30)),
IF(AU$3=$DF30+'Model Setup'!$H$7,SUMIF($AD$3:$BA$3,"="&amp;$DF30+'Model Setup'!$H$7,$B30:$Y30)+'Model Setup'!$H$8*(SUMIF($AD$3:$BA$3,"&lt;"&amp;$DF30,$B30:$Y30)+SUMIF($AD$3:$BA$3,"&gt;="&amp;$DG30,$B30:$Y30)),
IF(AU$3=$DF30+'Model Setup'!$I$7,SUMIF($AD$3:$BA$3,"="&amp;$DF30+'Model Setup'!$I$7,$B30:$Y30)+'Model Setup'!$I$8*(SUMIF($AD$3:$BA$3,"&lt;"&amp;$DF30,$B30:$Y30)+SUMIF($AD$3:$BA$3,"&gt;="&amp;$DG30,$B30:$Y30)),
IF(AU$3=$DF30+'Model Setup'!$J$7,SUMIF($AD$3:$BA$3,"="&amp;$DF30+'Model Setup'!$J$7,$B30:$Y30)+'Model Setup'!$J$8*(SUMIF($AD$3:$BA$3,"&lt;"&amp;$DF30,$B30:$Y30)+SUMIF($AD$3:$BA$3,"&gt;="&amp;$DG30,$B30:$Y30)),
IF(AU$3=$DF30+'Model Setup'!$K$7,SUMIF($AD$3:$BA$3,"="&amp;$DF30+'Model Setup'!$K$7,$B30:$Y30)+'Model Setup'!$K$8*(SUMIF($AD$3:$BA$3,"&lt;"&amp;$DF30,$B30:$Y30)+SUMIF($AD$3:$BA$3,"&gt;="&amp;$DG30,$B30:$Y30)),
IF(AU$3=$DF30+'Model Setup'!$L$7,SUMIF($AD$3:$BA$3,"="&amp;$DF30+'Model Setup'!$L$7,$B30:$Y30)+'Model Setup'!$L$8*(SUMIF($AD$3:$BA$3,"&lt;"&amp;$DF30,$B30:$Y30)+SUMIF($AD$3:$BA$3,"&gt;="&amp;$DG30,$B30:$Y30)),
IF(AU$3=$DF30+'Model Setup'!$M$7,SUMIF($AD$3:$BA$3,"="&amp;$DF30+'Model Setup'!$M$7,$B30:$Y30)+'Model Setup'!$M$8*(SUMIF($AD$3:$BA$3,"&lt;"&amp;$DF30,$B30:$Y30)+SUMIF($AD$3:$BA$3,"&gt;="&amp;$DG30,$B30:$Y30)),
IF(AU$3=$DF30+'Model Setup'!$N$7,SUMIF($AD$3:$BA$3,"="&amp;$DF30+'Model Setup'!$N$7,$B30:$Y30)+'Model Setup'!$N$8*(SUMIF($AD$3:$BA$3,"&lt;"&amp;$DF30,$B30:$Y30)+SUMIF($AD$3:$BA$3,"&gt;="&amp;$DG30,$B30:$Y30)),
IF(AU$3&lt;$DG30,S30,0))))))))))))))),0)</f>
        <v>18</v>
      </c>
      <c r="AV30" s="47">
        <f>ROUND(IF(AV$3&lt;$DF30,0,
IF(AV$3=$DF30+'Model Setup'!$B$7,SUMIF($AD$3:$BA$3,"="&amp;$DF30+'Model Setup'!$B$7,$B30:$Y30)+'Model Setup'!$B$8*(SUMIF($AD$3:$BA$3,"&lt;"&amp;$DF30,$B30:$Y30)+SUMIF($AD$3:$BA$3,"&gt;="&amp;$DG30,$B30:$Y30)),
IF(AV$3=$DF30+'Model Setup'!$C$7,SUMIF($AD$3:$BA$3,"="&amp;$DF30+'Model Setup'!$C$7,$B30:$Y30)+'Model Setup'!$C$8*(SUMIF($AD$3:$BA$3,"&lt;"&amp;$DF30,$B30:$Y30)+SUMIF($AD$3:$BA$3,"&gt;="&amp;$DG30,$B30:$Y30)),
IF(AV$3=$DF30+'Model Setup'!$D$7,SUMIF($AD$3:$BA$3,"="&amp;$DF30+'Model Setup'!$D$7,$B30:$Y30)+'Model Setup'!$D$8*(SUMIF($AD$3:$BA$3,"&lt;"&amp;$DF30,$B30:$Y30)+SUMIF($AD$3:$BA$3,"&gt;="&amp;$DG30,$B30:$Y30)),
IF(AV$3=$DF30+'Model Setup'!$E$7,SUMIF($AD$3:$BA$3,"="&amp;$DF30+'Model Setup'!$E$7,$B30:$Y30)+'Model Setup'!$E$8*(SUMIF($AD$3:$BA$3,"&lt;"&amp;$DF30,$B30:$Y30)+SUMIF($AD$3:$BA$3,"&gt;="&amp;$DG30,$B30:$Y30)),
IF(AV$3=$DF30+'Model Setup'!$F$7,SUMIF($AD$3:$BA$3,"="&amp;$DF30+'Model Setup'!$F$7,$B30:$Y30)+'Model Setup'!$F$8*(SUMIF($AD$3:$BA$3,"&lt;"&amp;$DF30,$B30:$Y30)+SUMIF($AD$3:$BA$3,"&gt;="&amp;$DG30,$B30:$Y30)),
IF(AV$3=$DF30+'Model Setup'!$G$7,SUMIF($AD$3:$BA$3,"="&amp;$DF30+'Model Setup'!$G$7,$B30:$Y30)+'Model Setup'!$G$8*(SUMIF($AD$3:$BA$3,"&lt;"&amp;$DF30,$B30:$Y30)+SUMIF($AD$3:$BA$3,"&gt;="&amp;$DG30,$B30:$Y30)),
IF(AV$3=$DF30+'Model Setup'!$H$7,SUMIF($AD$3:$BA$3,"="&amp;$DF30+'Model Setup'!$H$7,$B30:$Y30)+'Model Setup'!$H$8*(SUMIF($AD$3:$BA$3,"&lt;"&amp;$DF30,$B30:$Y30)+SUMIF($AD$3:$BA$3,"&gt;="&amp;$DG30,$B30:$Y30)),
IF(AV$3=$DF30+'Model Setup'!$I$7,SUMIF($AD$3:$BA$3,"="&amp;$DF30+'Model Setup'!$I$7,$B30:$Y30)+'Model Setup'!$I$8*(SUMIF($AD$3:$BA$3,"&lt;"&amp;$DF30,$B30:$Y30)+SUMIF($AD$3:$BA$3,"&gt;="&amp;$DG30,$B30:$Y30)),
IF(AV$3=$DF30+'Model Setup'!$J$7,SUMIF($AD$3:$BA$3,"="&amp;$DF30+'Model Setup'!$J$7,$B30:$Y30)+'Model Setup'!$J$8*(SUMIF($AD$3:$BA$3,"&lt;"&amp;$DF30,$B30:$Y30)+SUMIF($AD$3:$BA$3,"&gt;="&amp;$DG30,$B30:$Y30)),
IF(AV$3=$DF30+'Model Setup'!$K$7,SUMIF($AD$3:$BA$3,"="&amp;$DF30+'Model Setup'!$K$7,$B30:$Y30)+'Model Setup'!$K$8*(SUMIF($AD$3:$BA$3,"&lt;"&amp;$DF30,$B30:$Y30)+SUMIF($AD$3:$BA$3,"&gt;="&amp;$DG30,$B30:$Y30)),
IF(AV$3=$DF30+'Model Setup'!$L$7,SUMIF($AD$3:$BA$3,"="&amp;$DF30+'Model Setup'!$L$7,$B30:$Y30)+'Model Setup'!$L$8*(SUMIF($AD$3:$BA$3,"&lt;"&amp;$DF30,$B30:$Y30)+SUMIF($AD$3:$BA$3,"&gt;="&amp;$DG30,$B30:$Y30)),
IF(AV$3=$DF30+'Model Setup'!$M$7,SUMIF($AD$3:$BA$3,"="&amp;$DF30+'Model Setup'!$M$7,$B30:$Y30)+'Model Setup'!$M$8*(SUMIF($AD$3:$BA$3,"&lt;"&amp;$DF30,$B30:$Y30)+SUMIF($AD$3:$BA$3,"&gt;="&amp;$DG30,$B30:$Y30)),
IF(AV$3=$DF30+'Model Setup'!$N$7,SUMIF($AD$3:$BA$3,"="&amp;$DF30+'Model Setup'!$N$7,$B30:$Y30)+'Model Setup'!$N$8*(SUMIF($AD$3:$BA$3,"&lt;"&amp;$DF30,$B30:$Y30)+SUMIF($AD$3:$BA$3,"&gt;="&amp;$DG30,$B30:$Y30)),
IF(AV$3&lt;$DG30,T30,0))))))))))))))),0)</f>
        <v>14</v>
      </c>
      <c r="AW30" s="47">
        <f>ROUND(IF(AW$3&lt;$DF30,0,
IF(AW$3=$DF30+'Model Setup'!$B$7,SUMIF($AD$3:$BA$3,"="&amp;$DF30+'Model Setup'!$B$7,$B30:$Y30)+'Model Setup'!$B$8*(SUMIF($AD$3:$BA$3,"&lt;"&amp;$DF30,$B30:$Y30)+SUMIF($AD$3:$BA$3,"&gt;="&amp;$DG30,$B30:$Y30)),
IF(AW$3=$DF30+'Model Setup'!$C$7,SUMIF($AD$3:$BA$3,"="&amp;$DF30+'Model Setup'!$C$7,$B30:$Y30)+'Model Setup'!$C$8*(SUMIF($AD$3:$BA$3,"&lt;"&amp;$DF30,$B30:$Y30)+SUMIF($AD$3:$BA$3,"&gt;="&amp;$DG30,$B30:$Y30)),
IF(AW$3=$DF30+'Model Setup'!$D$7,SUMIF($AD$3:$BA$3,"="&amp;$DF30+'Model Setup'!$D$7,$B30:$Y30)+'Model Setup'!$D$8*(SUMIF($AD$3:$BA$3,"&lt;"&amp;$DF30,$B30:$Y30)+SUMIF($AD$3:$BA$3,"&gt;="&amp;$DG30,$B30:$Y30)),
IF(AW$3=$DF30+'Model Setup'!$E$7,SUMIF($AD$3:$BA$3,"="&amp;$DF30+'Model Setup'!$E$7,$B30:$Y30)+'Model Setup'!$E$8*(SUMIF($AD$3:$BA$3,"&lt;"&amp;$DF30,$B30:$Y30)+SUMIF($AD$3:$BA$3,"&gt;="&amp;$DG30,$B30:$Y30)),
IF(AW$3=$DF30+'Model Setup'!$F$7,SUMIF($AD$3:$BA$3,"="&amp;$DF30+'Model Setup'!$F$7,$B30:$Y30)+'Model Setup'!$F$8*(SUMIF($AD$3:$BA$3,"&lt;"&amp;$DF30,$B30:$Y30)+SUMIF($AD$3:$BA$3,"&gt;="&amp;$DG30,$B30:$Y30)),
IF(AW$3=$DF30+'Model Setup'!$G$7,SUMIF($AD$3:$BA$3,"="&amp;$DF30+'Model Setup'!$G$7,$B30:$Y30)+'Model Setup'!$G$8*(SUMIF($AD$3:$BA$3,"&lt;"&amp;$DF30,$B30:$Y30)+SUMIF($AD$3:$BA$3,"&gt;="&amp;$DG30,$B30:$Y30)),
IF(AW$3=$DF30+'Model Setup'!$H$7,SUMIF($AD$3:$BA$3,"="&amp;$DF30+'Model Setup'!$H$7,$B30:$Y30)+'Model Setup'!$H$8*(SUMIF($AD$3:$BA$3,"&lt;"&amp;$DF30,$B30:$Y30)+SUMIF($AD$3:$BA$3,"&gt;="&amp;$DG30,$B30:$Y30)),
IF(AW$3=$DF30+'Model Setup'!$I$7,SUMIF($AD$3:$BA$3,"="&amp;$DF30+'Model Setup'!$I$7,$B30:$Y30)+'Model Setup'!$I$8*(SUMIF($AD$3:$BA$3,"&lt;"&amp;$DF30,$B30:$Y30)+SUMIF($AD$3:$BA$3,"&gt;="&amp;$DG30,$B30:$Y30)),
IF(AW$3=$DF30+'Model Setup'!$J$7,SUMIF($AD$3:$BA$3,"="&amp;$DF30+'Model Setup'!$J$7,$B30:$Y30)+'Model Setup'!$J$8*(SUMIF($AD$3:$BA$3,"&lt;"&amp;$DF30,$B30:$Y30)+SUMIF($AD$3:$BA$3,"&gt;="&amp;$DG30,$B30:$Y30)),
IF(AW$3=$DF30+'Model Setup'!$K$7,SUMIF($AD$3:$BA$3,"="&amp;$DF30+'Model Setup'!$K$7,$B30:$Y30)+'Model Setup'!$K$8*(SUMIF($AD$3:$BA$3,"&lt;"&amp;$DF30,$B30:$Y30)+SUMIF($AD$3:$BA$3,"&gt;="&amp;$DG30,$B30:$Y30)),
IF(AW$3=$DF30+'Model Setup'!$L$7,SUMIF($AD$3:$BA$3,"="&amp;$DF30+'Model Setup'!$L$7,$B30:$Y30)+'Model Setup'!$L$8*(SUMIF($AD$3:$BA$3,"&lt;"&amp;$DF30,$B30:$Y30)+SUMIF($AD$3:$BA$3,"&gt;="&amp;$DG30,$B30:$Y30)),
IF(AW$3=$DF30+'Model Setup'!$M$7,SUMIF($AD$3:$BA$3,"="&amp;$DF30+'Model Setup'!$M$7,$B30:$Y30)+'Model Setup'!$M$8*(SUMIF($AD$3:$BA$3,"&lt;"&amp;$DF30,$B30:$Y30)+SUMIF($AD$3:$BA$3,"&gt;="&amp;$DG30,$B30:$Y30)),
IF(AW$3=$DF30+'Model Setup'!$N$7,SUMIF($AD$3:$BA$3,"="&amp;$DF30+'Model Setup'!$N$7,$B30:$Y30)+'Model Setup'!$N$8*(SUMIF($AD$3:$BA$3,"&lt;"&amp;$DF30,$B30:$Y30)+SUMIF($AD$3:$BA$3,"&gt;="&amp;$DG30,$B30:$Y30)),
IF(AW$3&lt;$DG30,U30,0))))))))))))))),0)</f>
        <v>0</v>
      </c>
      <c r="AX30" s="47">
        <f>ROUND(IF(AX$3&lt;$DF30,0,
IF(AX$3=$DF30+'Model Setup'!$B$7,SUMIF($AD$3:$BA$3,"="&amp;$DF30+'Model Setup'!$B$7,$B30:$Y30)+'Model Setup'!$B$8*(SUMIF($AD$3:$BA$3,"&lt;"&amp;$DF30,$B30:$Y30)+SUMIF($AD$3:$BA$3,"&gt;="&amp;$DG30,$B30:$Y30)),
IF(AX$3=$DF30+'Model Setup'!$C$7,SUMIF($AD$3:$BA$3,"="&amp;$DF30+'Model Setup'!$C$7,$B30:$Y30)+'Model Setup'!$C$8*(SUMIF($AD$3:$BA$3,"&lt;"&amp;$DF30,$B30:$Y30)+SUMIF($AD$3:$BA$3,"&gt;="&amp;$DG30,$B30:$Y30)),
IF(AX$3=$DF30+'Model Setup'!$D$7,SUMIF($AD$3:$BA$3,"="&amp;$DF30+'Model Setup'!$D$7,$B30:$Y30)+'Model Setup'!$D$8*(SUMIF($AD$3:$BA$3,"&lt;"&amp;$DF30,$B30:$Y30)+SUMIF($AD$3:$BA$3,"&gt;="&amp;$DG30,$B30:$Y30)),
IF(AX$3=$DF30+'Model Setup'!$E$7,SUMIF($AD$3:$BA$3,"="&amp;$DF30+'Model Setup'!$E$7,$B30:$Y30)+'Model Setup'!$E$8*(SUMIF($AD$3:$BA$3,"&lt;"&amp;$DF30,$B30:$Y30)+SUMIF($AD$3:$BA$3,"&gt;="&amp;$DG30,$B30:$Y30)),
IF(AX$3=$DF30+'Model Setup'!$F$7,SUMIF($AD$3:$BA$3,"="&amp;$DF30+'Model Setup'!$F$7,$B30:$Y30)+'Model Setup'!$F$8*(SUMIF($AD$3:$BA$3,"&lt;"&amp;$DF30,$B30:$Y30)+SUMIF($AD$3:$BA$3,"&gt;="&amp;$DG30,$B30:$Y30)),
IF(AX$3=$DF30+'Model Setup'!$G$7,SUMIF($AD$3:$BA$3,"="&amp;$DF30+'Model Setup'!$G$7,$B30:$Y30)+'Model Setup'!$G$8*(SUMIF($AD$3:$BA$3,"&lt;"&amp;$DF30,$B30:$Y30)+SUMIF($AD$3:$BA$3,"&gt;="&amp;$DG30,$B30:$Y30)),
IF(AX$3=$DF30+'Model Setup'!$H$7,SUMIF($AD$3:$BA$3,"="&amp;$DF30+'Model Setup'!$H$7,$B30:$Y30)+'Model Setup'!$H$8*(SUMIF($AD$3:$BA$3,"&lt;"&amp;$DF30,$B30:$Y30)+SUMIF($AD$3:$BA$3,"&gt;="&amp;$DG30,$B30:$Y30)),
IF(AX$3=$DF30+'Model Setup'!$I$7,SUMIF($AD$3:$BA$3,"="&amp;$DF30+'Model Setup'!$I$7,$B30:$Y30)+'Model Setup'!$I$8*(SUMIF($AD$3:$BA$3,"&lt;"&amp;$DF30,$B30:$Y30)+SUMIF($AD$3:$BA$3,"&gt;="&amp;$DG30,$B30:$Y30)),
IF(AX$3=$DF30+'Model Setup'!$J$7,SUMIF($AD$3:$BA$3,"="&amp;$DF30+'Model Setup'!$J$7,$B30:$Y30)+'Model Setup'!$J$8*(SUMIF($AD$3:$BA$3,"&lt;"&amp;$DF30,$B30:$Y30)+SUMIF($AD$3:$BA$3,"&gt;="&amp;$DG30,$B30:$Y30)),
IF(AX$3=$DF30+'Model Setup'!$K$7,SUMIF($AD$3:$BA$3,"="&amp;$DF30+'Model Setup'!$K$7,$B30:$Y30)+'Model Setup'!$K$8*(SUMIF($AD$3:$BA$3,"&lt;"&amp;$DF30,$B30:$Y30)+SUMIF($AD$3:$BA$3,"&gt;="&amp;$DG30,$B30:$Y30)),
IF(AX$3=$DF30+'Model Setup'!$L$7,SUMIF($AD$3:$BA$3,"="&amp;$DF30+'Model Setup'!$L$7,$B30:$Y30)+'Model Setup'!$L$8*(SUMIF($AD$3:$BA$3,"&lt;"&amp;$DF30,$B30:$Y30)+SUMIF($AD$3:$BA$3,"&gt;="&amp;$DG30,$B30:$Y30)),
IF(AX$3=$DF30+'Model Setup'!$M$7,SUMIF($AD$3:$BA$3,"="&amp;$DF30+'Model Setup'!$M$7,$B30:$Y30)+'Model Setup'!$M$8*(SUMIF($AD$3:$BA$3,"&lt;"&amp;$DF30,$B30:$Y30)+SUMIF($AD$3:$BA$3,"&gt;="&amp;$DG30,$B30:$Y30)),
IF(AX$3=$DF30+'Model Setup'!$N$7,SUMIF($AD$3:$BA$3,"="&amp;$DF30+'Model Setup'!$N$7,$B30:$Y30)+'Model Setup'!$N$8*(SUMIF($AD$3:$BA$3,"&lt;"&amp;$DF30,$B30:$Y30)+SUMIF($AD$3:$BA$3,"&gt;="&amp;$DG30,$B30:$Y30)),
IF(AX$3&lt;$DG30,V30,0))))))))))))))),0)</f>
        <v>0</v>
      </c>
      <c r="AY30" s="47">
        <f>ROUND(IF(AY$3&lt;$DF30,0,
IF(AY$3=$DF30+'Model Setup'!$B$7,SUMIF($AD$3:$BA$3,"="&amp;$DF30+'Model Setup'!$B$7,$B30:$Y30)+'Model Setup'!$B$8*(SUMIF($AD$3:$BA$3,"&lt;"&amp;$DF30,$B30:$Y30)+SUMIF($AD$3:$BA$3,"&gt;="&amp;$DG30,$B30:$Y30)),
IF(AY$3=$DF30+'Model Setup'!$C$7,SUMIF($AD$3:$BA$3,"="&amp;$DF30+'Model Setup'!$C$7,$B30:$Y30)+'Model Setup'!$C$8*(SUMIF($AD$3:$BA$3,"&lt;"&amp;$DF30,$B30:$Y30)+SUMIF($AD$3:$BA$3,"&gt;="&amp;$DG30,$B30:$Y30)),
IF(AY$3=$DF30+'Model Setup'!$D$7,SUMIF($AD$3:$BA$3,"="&amp;$DF30+'Model Setup'!$D$7,$B30:$Y30)+'Model Setup'!$D$8*(SUMIF($AD$3:$BA$3,"&lt;"&amp;$DF30,$B30:$Y30)+SUMIF($AD$3:$BA$3,"&gt;="&amp;$DG30,$B30:$Y30)),
IF(AY$3=$DF30+'Model Setup'!$E$7,SUMIF($AD$3:$BA$3,"="&amp;$DF30+'Model Setup'!$E$7,$B30:$Y30)+'Model Setup'!$E$8*(SUMIF($AD$3:$BA$3,"&lt;"&amp;$DF30,$B30:$Y30)+SUMIF($AD$3:$BA$3,"&gt;="&amp;$DG30,$B30:$Y30)),
IF(AY$3=$DF30+'Model Setup'!$F$7,SUMIF($AD$3:$BA$3,"="&amp;$DF30+'Model Setup'!$F$7,$B30:$Y30)+'Model Setup'!$F$8*(SUMIF($AD$3:$BA$3,"&lt;"&amp;$DF30,$B30:$Y30)+SUMIF($AD$3:$BA$3,"&gt;="&amp;$DG30,$B30:$Y30)),
IF(AY$3=$DF30+'Model Setup'!$G$7,SUMIF($AD$3:$BA$3,"="&amp;$DF30+'Model Setup'!$G$7,$B30:$Y30)+'Model Setup'!$G$8*(SUMIF($AD$3:$BA$3,"&lt;"&amp;$DF30,$B30:$Y30)+SUMIF($AD$3:$BA$3,"&gt;="&amp;$DG30,$B30:$Y30)),
IF(AY$3=$DF30+'Model Setup'!$H$7,SUMIF($AD$3:$BA$3,"="&amp;$DF30+'Model Setup'!$H$7,$B30:$Y30)+'Model Setup'!$H$8*(SUMIF($AD$3:$BA$3,"&lt;"&amp;$DF30,$B30:$Y30)+SUMIF($AD$3:$BA$3,"&gt;="&amp;$DG30,$B30:$Y30)),
IF(AY$3=$DF30+'Model Setup'!$I$7,SUMIF($AD$3:$BA$3,"="&amp;$DF30+'Model Setup'!$I$7,$B30:$Y30)+'Model Setup'!$I$8*(SUMIF($AD$3:$BA$3,"&lt;"&amp;$DF30,$B30:$Y30)+SUMIF($AD$3:$BA$3,"&gt;="&amp;$DG30,$B30:$Y30)),
IF(AY$3=$DF30+'Model Setup'!$J$7,SUMIF($AD$3:$BA$3,"="&amp;$DF30+'Model Setup'!$J$7,$B30:$Y30)+'Model Setup'!$J$8*(SUMIF($AD$3:$BA$3,"&lt;"&amp;$DF30,$B30:$Y30)+SUMIF($AD$3:$BA$3,"&gt;="&amp;$DG30,$B30:$Y30)),
IF(AY$3=$DF30+'Model Setup'!$K$7,SUMIF($AD$3:$BA$3,"="&amp;$DF30+'Model Setup'!$K$7,$B30:$Y30)+'Model Setup'!$K$8*(SUMIF($AD$3:$BA$3,"&lt;"&amp;$DF30,$B30:$Y30)+SUMIF($AD$3:$BA$3,"&gt;="&amp;$DG30,$B30:$Y30)),
IF(AY$3=$DF30+'Model Setup'!$L$7,SUMIF($AD$3:$BA$3,"="&amp;$DF30+'Model Setup'!$L$7,$B30:$Y30)+'Model Setup'!$L$8*(SUMIF($AD$3:$BA$3,"&lt;"&amp;$DF30,$B30:$Y30)+SUMIF($AD$3:$BA$3,"&gt;="&amp;$DG30,$B30:$Y30)),
IF(AY$3=$DF30+'Model Setup'!$M$7,SUMIF($AD$3:$BA$3,"="&amp;$DF30+'Model Setup'!$M$7,$B30:$Y30)+'Model Setup'!$M$8*(SUMIF($AD$3:$BA$3,"&lt;"&amp;$DF30,$B30:$Y30)+SUMIF($AD$3:$BA$3,"&gt;="&amp;$DG30,$B30:$Y30)),
IF(AY$3=$DF30+'Model Setup'!$N$7,SUMIF($AD$3:$BA$3,"="&amp;$DF30+'Model Setup'!$N$7,$B30:$Y30)+'Model Setup'!$N$8*(SUMIF($AD$3:$BA$3,"&lt;"&amp;$DF30,$B30:$Y30)+SUMIF($AD$3:$BA$3,"&gt;="&amp;$DG30,$B30:$Y30)),
IF(AY$3&lt;$DG30,W30,0))))))))))))))),0)</f>
        <v>0</v>
      </c>
      <c r="AZ30" s="47">
        <f>ROUND(IF(AZ$3&lt;$DF30,0,
IF(AZ$3=$DF30+'Model Setup'!$B$7,SUMIF($AD$3:$BA$3,"="&amp;$DF30+'Model Setup'!$B$7,$B30:$Y30)+'Model Setup'!$B$8*(SUMIF($AD$3:$BA$3,"&lt;"&amp;$DF30,$B30:$Y30)+SUMIF($AD$3:$BA$3,"&gt;="&amp;$DG30,$B30:$Y30)),
IF(AZ$3=$DF30+'Model Setup'!$C$7,SUMIF($AD$3:$BA$3,"="&amp;$DF30+'Model Setup'!$C$7,$B30:$Y30)+'Model Setup'!$C$8*(SUMIF($AD$3:$BA$3,"&lt;"&amp;$DF30,$B30:$Y30)+SUMIF($AD$3:$BA$3,"&gt;="&amp;$DG30,$B30:$Y30)),
IF(AZ$3=$DF30+'Model Setup'!$D$7,SUMIF($AD$3:$BA$3,"="&amp;$DF30+'Model Setup'!$D$7,$B30:$Y30)+'Model Setup'!$D$8*(SUMIF($AD$3:$BA$3,"&lt;"&amp;$DF30,$B30:$Y30)+SUMIF($AD$3:$BA$3,"&gt;="&amp;$DG30,$B30:$Y30)),
IF(AZ$3=$DF30+'Model Setup'!$E$7,SUMIF($AD$3:$BA$3,"="&amp;$DF30+'Model Setup'!$E$7,$B30:$Y30)+'Model Setup'!$E$8*(SUMIF($AD$3:$BA$3,"&lt;"&amp;$DF30,$B30:$Y30)+SUMIF($AD$3:$BA$3,"&gt;="&amp;$DG30,$B30:$Y30)),
IF(AZ$3=$DF30+'Model Setup'!$F$7,SUMIF($AD$3:$BA$3,"="&amp;$DF30+'Model Setup'!$F$7,$B30:$Y30)+'Model Setup'!$F$8*(SUMIF($AD$3:$BA$3,"&lt;"&amp;$DF30,$B30:$Y30)+SUMIF($AD$3:$BA$3,"&gt;="&amp;$DG30,$B30:$Y30)),
IF(AZ$3=$DF30+'Model Setup'!$G$7,SUMIF($AD$3:$BA$3,"="&amp;$DF30+'Model Setup'!$G$7,$B30:$Y30)+'Model Setup'!$G$8*(SUMIF($AD$3:$BA$3,"&lt;"&amp;$DF30,$B30:$Y30)+SUMIF($AD$3:$BA$3,"&gt;="&amp;$DG30,$B30:$Y30)),
IF(AZ$3=$DF30+'Model Setup'!$H$7,SUMIF($AD$3:$BA$3,"="&amp;$DF30+'Model Setup'!$H$7,$B30:$Y30)+'Model Setup'!$H$8*(SUMIF($AD$3:$BA$3,"&lt;"&amp;$DF30,$B30:$Y30)+SUMIF($AD$3:$BA$3,"&gt;="&amp;$DG30,$B30:$Y30)),
IF(AZ$3=$DF30+'Model Setup'!$I$7,SUMIF($AD$3:$BA$3,"="&amp;$DF30+'Model Setup'!$I$7,$B30:$Y30)+'Model Setup'!$I$8*(SUMIF($AD$3:$BA$3,"&lt;"&amp;$DF30,$B30:$Y30)+SUMIF($AD$3:$BA$3,"&gt;="&amp;$DG30,$B30:$Y30)),
IF(AZ$3=$DF30+'Model Setup'!$J$7,SUMIF($AD$3:$BA$3,"="&amp;$DF30+'Model Setup'!$J$7,$B30:$Y30)+'Model Setup'!$J$8*(SUMIF($AD$3:$BA$3,"&lt;"&amp;$DF30,$B30:$Y30)+SUMIF($AD$3:$BA$3,"&gt;="&amp;$DG30,$B30:$Y30)),
IF(AZ$3=$DF30+'Model Setup'!$K$7,SUMIF($AD$3:$BA$3,"="&amp;$DF30+'Model Setup'!$K$7,$B30:$Y30)+'Model Setup'!$K$8*(SUMIF($AD$3:$BA$3,"&lt;"&amp;$DF30,$B30:$Y30)+SUMIF($AD$3:$BA$3,"&gt;="&amp;$DG30,$B30:$Y30)),
IF(AZ$3=$DF30+'Model Setup'!$L$7,SUMIF($AD$3:$BA$3,"="&amp;$DF30+'Model Setup'!$L$7,$B30:$Y30)+'Model Setup'!$L$8*(SUMIF($AD$3:$BA$3,"&lt;"&amp;$DF30,$B30:$Y30)+SUMIF($AD$3:$BA$3,"&gt;="&amp;$DG30,$B30:$Y30)),
IF(AZ$3=$DF30+'Model Setup'!$M$7,SUMIF($AD$3:$BA$3,"="&amp;$DF30+'Model Setup'!$M$7,$B30:$Y30)+'Model Setup'!$M$8*(SUMIF($AD$3:$BA$3,"&lt;"&amp;$DF30,$B30:$Y30)+SUMIF($AD$3:$BA$3,"&gt;="&amp;$DG30,$B30:$Y30)),
IF(AZ$3=$DF30+'Model Setup'!$N$7,SUMIF($AD$3:$BA$3,"="&amp;$DF30+'Model Setup'!$N$7,$B30:$Y30)+'Model Setup'!$N$8*(SUMIF($AD$3:$BA$3,"&lt;"&amp;$DF30,$B30:$Y30)+SUMIF($AD$3:$BA$3,"&gt;="&amp;$DG30,$B30:$Y30)),
IF(AZ$3&lt;$DG30,X30,0))))))))))))))),0)</f>
        <v>0</v>
      </c>
      <c r="BA30" s="47">
        <f>ROUND(IF(BA$3&lt;$DF30,0,
IF(BA$3=$DF30+'Model Setup'!$B$7,SUMIF($AD$3:$BA$3,"="&amp;$DF30+'Model Setup'!$B$7,$B30:$Y30)+'Model Setup'!$B$8*(SUMIF($AD$3:$BA$3,"&lt;"&amp;$DF30,$B30:$Y30)+SUMIF($AD$3:$BA$3,"&gt;="&amp;$DG30,$B30:$Y30)),
IF(BA$3=$DF30+'Model Setup'!$C$7,SUMIF($AD$3:$BA$3,"="&amp;$DF30+'Model Setup'!$C$7,$B30:$Y30)+'Model Setup'!$C$8*(SUMIF($AD$3:$BA$3,"&lt;"&amp;$DF30,$B30:$Y30)+SUMIF($AD$3:$BA$3,"&gt;="&amp;$DG30,$B30:$Y30)),
IF(BA$3=$DF30+'Model Setup'!$D$7,SUMIF($AD$3:$BA$3,"="&amp;$DF30+'Model Setup'!$D$7,$B30:$Y30)+'Model Setup'!$D$8*(SUMIF($AD$3:$BA$3,"&lt;"&amp;$DF30,$B30:$Y30)+SUMIF($AD$3:$BA$3,"&gt;="&amp;$DG30,$B30:$Y30)),
IF(BA$3=$DF30+'Model Setup'!$E$7,SUMIF($AD$3:$BA$3,"="&amp;$DF30+'Model Setup'!$E$7,$B30:$Y30)+'Model Setup'!$E$8*(SUMIF($AD$3:$BA$3,"&lt;"&amp;$DF30,$B30:$Y30)+SUMIF($AD$3:$BA$3,"&gt;="&amp;$DG30,$B30:$Y30)),
IF(BA$3=$DF30+'Model Setup'!$F$7,SUMIF($AD$3:$BA$3,"="&amp;$DF30+'Model Setup'!$F$7,$B30:$Y30)+'Model Setup'!$F$8*(SUMIF($AD$3:$BA$3,"&lt;"&amp;$DF30,$B30:$Y30)+SUMIF($AD$3:$BA$3,"&gt;="&amp;$DG30,$B30:$Y30)),
IF(BA$3=$DF30+'Model Setup'!$G$7,SUMIF($AD$3:$BA$3,"="&amp;$DF30+'Model Setup'!$G$7,$B30:$Y30)+'Model Setup'!$G$8*(SUMIF($AD$3:$BA$3,"&lt;"&amp;$DF30,$B30:$Y30)+SUMIF($AD$3:$BA$3,"&gt;="&amp;$DG30,$B30:$Y30)),
IF(BA$3=$DF30+'Model Setup'!$H$7,SUMIF($AD$3:$BA$3,"="&amp;$DF30+'Model Setup'!$H$7,$B30:$Y30)+'Model Setup'!$H$8*(SUMIF($AD$3:$BA$3,"&lt;"&amp;$DF30,$B30:$Y30)+SUMIF($AD$3:$BA$3,"&gt;="&amp;$DG30,$B30:$Y30)),
IF(BA$3=$DF30+'Model Setup'!$I$7,SUMIF($AD$3:$BA$3,"="&amp;$DF30+'Model Setup'!$I$7,$B30:$Y30)+'Model Setup'!$I$8*(SUMIF($AD$3:$BA$3,"&lt;"&amp;$DF30,$B30:$Y30)+SUMIF($AD$3:$BA$3,"&gt;="&amp;$DG30,$B30:$Y30)),
IF(BA$3=$DF30+'Model Setup'!$J$7,SUMIF($AD$3:$BA$3,"="&amp;$DF30+'Model Setup'!$J$7,$B30:$Y30)+'Model Setup'!$J$8*(SUMIF($AD$3:$BA$3,"&lt;"&amp;$DF30,$B30:$Y30)+SUMIF($AD$3:$BA$3,"&gt;="&amp;$DG30,$B30:$Y30)),
IF(BA$3=$DF30+'Model Setup'!$K$7,SUMIF($AD$3:$BA$3,"="&amp;$DF30+'Model Setup'!$K$7,$B30:$Y30)+'Model Setup'!$K$8*(SUMIF($AD$3:$BA$3,"&lt;"&amp;$DF30,$B30:$Y30)+SUMIF($AD$3:$BA$3,"&gt;="&amp;$DG30,$B30:$Y30)),
IF(BA$3=$DF30+'Model Setup'!$L$7,SUMIF($AD$3:$BA$3,"="&amp;$DF30+'Model Setup'!$L$7,$B30:$Y30)+'Model Setup'!$L$8*(SUMIF($AD$3:$BA$3,"&lt;"&amp;$DF30,$B30:$Y30)+SUMIF($AD$3:$BA$3,"&gt;="&amp;$DG30,$B30:$Y30)),
IF(BA$3=$DF30+'Model Setup'!$M$7,SUMIF($AD$3:$BA$3,"="&amp;$DF30+'Model Setup'!$M$7,$B30:$Y30)+'Model Setup'!$M$8*(SUMIF($AD$3:$BA$3,"&lt;"&amp;$DF30,$B30:$Y30)+SUMIF($AD$3:$BA$3,"&gt;="&amp;$DG30,$B30:$Y30)),
IF(BA$3=$DF30+'Model Setup'!$N$7,SUMIF($AD$3:$BA$3,"="&amp;$DF30+'Model Setup'!$N$7,$B30:$Y30)+'Model Setup'!$N$8*(SUMIF($AD$3:$BA$3,"&lt;"&amp;$DF30,$B30:$Y30)+SUMIF($AD$3:$BA$3,"&gt;="&amp;$DG30,$B30:$Y30)),
IF(BA$3&lt;$DG30,Y30,0))))))))))))))),0)</f>
        <v>0</v>
      </c>
      <c r="BB30" s="47">
        <f t="shared" si="1"/>
        <v>297</v>
      </c>
      <c r="BD30" t="b">
        <f t="shared" si="2"/>
        <v>0</v>
      </c>
      <c r="BE30">
        <f t="shared" si="8"/>
        <v>4</v>
      </c>
      <c r="BF30">
        <f>(FTC!F28-FTC!E28)*24</f>
        <v>12</v>
      </c>
      <c r="BG30" s="43" t="s">
        <v>45</v>
      </c>
      <c r="BH30" s="47">
        <f>ROUND(IF(OR(BH$3&lt;$DF30,BH$3&gt;$CW$4),0,
IF(BH$3=$DF30+'Model Setup'!$B$7,SUMIF($BH$3:$CE$3,"="&amp;$DF30+'Model Setup'!$B$7,$AD30:$BA30)+'Model Setup'!$B$8*(SUMIF($BH$3:$CE$3,"&lt;"&amp;$DF30,$AD30:$BA30)+SUMIF($BH$3:$CE$3,"&gt;"&amp;$CW$4,$AD30:$BA30)),
IF(BH$3=$DF30+'Model Setup'!$C$7,SUMIF($BH$3:$CE$3,"="&amp;$DF30+'Model Setup'!$C$7,$AD30:$BA30)+'Model Setup'!$C$8*(SUMIF($BH$3:$CE$3,"&lt;"&amp;$DF30,$AD30:$BA30)+SUMIF($BH$3:$CE$3,"&gt;"&amp;$CW$4,$AD30:$BA30)),
IF(BH$3=$DF30+'Model Setup'!$D$7,SUMIF($BH$3:$CE$3,"="&amp;$DF30+'Model Setup'!$D$7,$AD30:$BA30)+'Model Setup'!$D$8*(SUMIF($BH$3:$CE$3,"&lt;"&amp;$DF30,$AD30:$BA30)+SUMIF($BH$3:$CE$3,"&gt;"&amp;$CW$4,$AD30:$BA30)),
IF(BH$3=$DF30+'Model Setup'!$E$7,SUMIF($BH$3:$CE$3,"="&amp;$DF30+'Model Setup'!$E$7,$AD30:$BA30)+'Model Setup'!$E$8*(SUMIF($BH$3:$CE$3,"&lt;"&amp;$DF30,$AD30:$BA30)+SUMIF($BH$3:$CE$3,"&gt;"&amp;$CW$4,$AD30:$BA30)),
IF(BH$3=$DF30+'Model Setup'!$F$7,SUMIF($BH$3:$CE$3,"="&amp;$DF30+'Model Setup'!$F$7,$AD30:$BA30)+'Model Setup'!$F$8*(SUMIF($BH$3:$CE$3,"&lt;"&amp;$DF30,$AD30:$BA30)+SUMIF($BH$3:$CE$3,"&gt;"&amp;$CW$4,$AD30:$BA30)),
IF(BH$3=$DF30+'Model Setup'!$G$7,SUMIF($BH$3:$CE$3,"="&amp;$DF30+'Model Setup'!$G$7,$AD30:$BA30)+'Model Setup'!$G$8*(SUMIF($BH$3:$CE$3,"&lt;"&amp;$DF30,$AD30:$BA30)+SUMIF($BH$3:$CE$3,"&gt;"&amp;$CW$4,$AD30:$BA30)),
IF(BH$3=$DF30+'Model Setup'!$H$7,SUMIF($BH$3:$CE$3,"="&amp;$DF30+'Model Setup'!$H$7,$AD30:$BA30)+'Model Setup'!$H$8*(SUMIF($BH$3:$CE$3,"&lt;"&amp;$DF30,$AD30:$BA30)+SUMIF($BH$3:$CE$3,"&gt;"&amp;$CW$4,$AD30:$BA30)),
IF(BH$3=$DF30+'Model Setup'!$I$7,SUMIF($BH$3:$CE$3,"="&amp;$DF30+'Model Setup'!$I$7,$AD30:$BA30)+'Model Setup'!$I$8*(SUMIF($BH$3:$CE$3,"&lt;"&amp;$DF30,$AD30:$BA30)+SUMIF($BH$3:$CE$3,"&gt;"&amp;$CW$4,$AD30:$BA30)),
IF(BH$3=$DF30+'Model Setup'!$J$7,SUMIF($BH$3:$CE$3,"="&amp;$DF30+'Model Setup'!$J$7,$AD30:$BA30)+'Model Setup'!$J$8*(SUMIF($BH$3:$CE$3,"&lt;"&amp;$DF30,$AD30:$BA30)+SUMIF($BH$3:$CE$3,"&gt;"&amp;$CW$4,$AD30:$BA30)),
IF(BH$3=$DF30+'Model Setup'!$K$7,SUMIF($BH$3:$CE$3,"="&amp;$DF30+'Model Setup'!$K$7,$AD30:$BA30)+'Model Setup'!$K$8*(SUMIF($BH$3:$CE$3,"&lt;"&amp;$DF30,$AD30:$BA30)+SUMIF($BH$3:$CE$3,"&gt;"&amp;$CW$4,$AD30:$BA30)),
IF(BH$3=$DF30+'Model Setup'!$L$7,SUMIF($BH$3:$CE$3,"="&amp;$DF30+'Model Setup'!$L$7,$AD30:$BA30)+'Model Setup'!$L$8*(SUMIF($BH$3:$CE$3,"&lt;"&amp;$DF30,$AD30:$BA30)+SUMIF($BH$3:$CE$3,"&gt;"&amp;$CW$4,$AD30:$BA30)),
IF(BH$3=$DF30+'Model Setup'!$M$7,SUMIF($BH$3:$CE$3,"="&amp;$DF30+'Model Setup'!$M$7,$AD30:$BA30)+'Model Setup'!$M$8*(SUMIF($BH$3:$CE$3,"&lt;"&amp;$DF30,$AD30:$BA30)+SUMIF($BH$3:$CE$3,"&gt;"&amp;$CW$4,$AD30:$BA30)),
IF(BH$3=$DF30+'Model Setup'!$N$7,SUMIF($BH$3:$CE$3,"="&amp;$DF30+'Model Setup'!$N$7,$AD30:$BA30)+'Model Setup'!$N$8*(SUMIF($BH$3:$CE$3,"&lt;"&amp;$DF30,$AD30:$BA30)+SUMIF($BH$3:$CE$3,"&gt;"&amp;$CW$4,$AD30:$BA30)),
IF(BH$3&lt;$CW$4,B30,0))))))))))))))),0)</f>
        <v>0</v>
      </c>
      <c r="BI30" s="47">
        <f>ROUND(IF(OR(BI$3&lt;$DF30,BI$3&gt;$CW$4),0,
IF(BI$3=$DF30+'Model Setup'!$B$7,SUMIF($BH$3:$CE$3,"="&amp;$DF30+'Model Setup'!$B$7,$AD30:$BA30)+'Model Setup'!$B$8*(SUMIF($BH$3:$CE$3,"&lt;"&amp;$DF30,$AD30:$BA30)+SUMIF($BH$3:$CE$3,"&gt;"&amp;$CW$4,$AD30:$BA30)),
IF(BI$3=$DF30+'Model Setup'!$C$7,SUMIF($BH$3:$CE$3,"="&amp;$DF30+'Model Setup'!$C$7,$AD30:$BA30)+'Model Setup'!$C$8*(SUMIF($BH$3:$CE$3,"&lt;"&amp;$DF30,$AD30:$BA30)+SUMIF($BH$3:$CE$3,"&gt;"&amp;$CW$4,$AD30:$BA30)),
IF(BI$3=$DF30+'Model Setup'!$D$7,SUMIF($BH$3:$CE$3,"="&amp;$DF30+'Model Setup'!$D$7,$AD30:$BA30)+'Model Setup'!$D$8*(SUMIF($BH$3:$CE$3,"&lt;"&amp;$DF30,$AD30:$BA30)+SUMIF($BH$3:$CE$3,"&gt;"&amp;$CW$4,$AD30:$BA30)),
IF(BI$3=$DF30+'Model Setup'!$E$7,SUMIF($BH$3:$CE$3,"="&amp;$DF30+'Model Setup'!$E$7,$AD30:$BA30)+'Model Setup'!$E$8*(SUMIF($BH$3:$CE$3,"&lt;"&amp;$DF30,$AD30:$BA30)+SUMIF($BH$3:$CE$3,"&gt;"&amp;$CW$4,$AD30:$BA30)),
IF(BI$3=$DF30+'Model Setup'!$F$7,SUMIF($BH$3:$CE$3,"="&amp;$DF30+'Model Setup'!$F$7,$AD30:$BA30)+'Model Setup'!$F$8*(SUMIF($BH$3:$CE$3,"&lt;"&amp;$DF30,$AD30:$BA30)+SUMIF($BH$3:$CE$3,"&gt;"&amp;$CW$4,$AD30:$BA30)),
IF(BI$3=$DF30+'Model Setup'!$G$7,SUMIF($BH$3:$CE$3,"="&amp;$DF30+'Model Setup'!$G$7,$AD30:$BA30)+'Model Setup'!$G$8*(SUMIF($BH$3:$CE$3,"&lt;"&amp;$DF30,$AD30:$BA30)+SUMIF($BH$3:$CE$3,"&gt;"&amp;$CW$4,$AD30:$BA30)),
IF(BI$3=$DF30+'Model Setup'!$H$7,SUMIF($BH$3:$CE$3,"="&amp;$DF30+'Model Setup'!$H$7,$AD30:$BA30)+'Model Setup'!$H$8*(SUMIF($BH$3:$CE$3,"&lt;"&amp;$DF30,$AD30:$BA30)+SUMIF($BH$3:$CE$3,"&gt;"&amp;$CW$4,$AD30:$BA30)),
IF(BI$3=$DF30+'Model Setup'!$I$7,SUMIF($BH$3:$CE$3,"="&amp;$DF30+'Model Setup'!$I$7,$AD30:$BA30)+'Model Setup'!$I$8*(SUMIF($BH$3:$CE$3,"&lt;"&amp;$DF30,$AD30:$BA30)+SUMIF($BH$3:$CE$3,"&gt;"&amp;$CW$4,$AD30:$BA30)),
IF(BI$3=$DF30+'Model Setup'!$J$7,SUMIF($BH$3:$CE$3,"="&amp;$DF30+'Model Setup'!$J$7,$AD30:$BA30)+'Model Setup'!$J$8*(SUMIF($BH$3:$CE$3,"&lt;"&amp;$DF30,$AD30:$BA30)+SUMIF($BH$3:$CE$3,"&gt;"&amp;$CW$4,$AD30:$BA30)),
IF(BI$3=$DF30+'Model Setup'!$K$7,SUMIF($BH$3:$CE$3,"="&amp;$DF30+'Model Setup'!$K$7,$AD30:$BA30)+'Model Setup'!$K$8*(SUMIF($BH$3:$CE$3,"&lt;"&amp;$DF30,$AD30:$BA30)+SUMIF($BH$3:$CE$3,"&gt;"&amp;$CW$4,$AD30:$BA30)),
IF(BI$3=$DF30+'Model Setup'!$L$7,SUMIF($BH$3:$CE$3,"="&amp;$DF30+'Model Setup'!$L$7,$AD30:$BA30)+'Model Setup'!$L$8*(SUMIF($BH$3:$CE$3,"&lt;"&amp;$DF30,$AD30:$BA30)+SUMIF($BH$3:$CE$3,"&gt;"&amp;$CW$4,$AD30:$BA30)),
IF(BI$3=$DF30+'Model Setup'!$M$7,SUMIF($BH$3:$CE$3,"="&amp;$DF30+'Model Setup'!$M$7,$AD30:$BA30)+'Model Setup'!$M$8*(SUMIF($BH$3:$CE$3,"&lt;"&amp;$DF30,$AD30:$BA30)+SUMIF($BH$3:$CE$3,"&gt;"&amp;$CW$4,$AD30:$BA30)),
IF(BI$3=$DF30+'Model Setup'!$N$7,SUMIF($BH$3:$CE$3,"="&amp;$DF30+'Model Setup'!$N$7,$AD30:$BA30)+'Model Setup'!$N$8*(SUMIF($BH$3:$CE$3,"&lt;"&amp;$DF30,$AD30:$BA30)+SUMIF($BH$3:$CE$3,"&gt;"&amp;$CW$4,$AD30:$BA30)),
IF(BI$3&lt;$CW$4,C30,0))))))))))))))),0)</f>
        <v>0</v>
      </c>
      <c r="BJ30" s="47">
        <f>ROUND(IF(OR(BJ$3&lt;$DF30,BJ$3&gt;$CW$4),0,
IF(BJ$3=$DF30+'Model Setup'!$B$7,SUMIF($BH$3:$CE$3,"="&amp;$DF30+'Model Setup'!$B$7,$AD30:$BA30)+'Model Setup'!$B$8*(SUMIF($BH$3:$CE$3,"&lt;"&amp;$DF30,$AD30:$BA30)+SUMIF($BH$3:$CE$3,"&gt;"&amp;$CW$4,$AD30:$BA30)),
IF(BJ$3=$DF30+'Model Setup'!$C$7,SUMIF($BH$3:$CE$3,"="&amp;$DF30+'Model Setup'!$C$7,$AD30:$BA30)+'Model Setup'!$C$8*(SUMIF($BH$3:$CE$3,"&lt;"&amp;$DF30,$AD30:$BA30)+SUMIF($BH$3:$CE$3,"&gt;"&amp;$CW$4,$AD30:$BA30)),
IF(BJ$3=$DF30+'Model Setup'!$D$7,SUMIF($BH$3:$CE$3,"="&amp;$DF30+'Model Setup'!$D$7,$AD30:$BA30)+'Model Setup'!$D$8*(SUMIF($BH$3:$CE$3,"&lt;"&amp;$DF30,$AD30:$BA30)+SUMIF($BH$3:$CE$3,"&gt;"&amp;$CW$4,$AD30:$BA30)),
IF(BJ$3=$DF30+'Model Setup'!$E$7,SUMIF($BH$3:$CE$3,"="&amp;$DF30+'Model Setup'!$E$7,$AD30:$BA30)+'Model Setup'!$E$8*(SUMIF($BH$3:$CE$3,"&lt;"&amp;$DF30,$AD30:$BA30)+SUMIF($BH$3:$CE$3,"&gt;"&amp;$CW$4,$AD30:$BA30)),
IF(BJ$3=$DF30+'Model Setup'!$F$7,SUMIF($BH$3:$CE$3,"="&amp;$DF30+'Model Setup'!$F$7,$AD30:$BA30)+'Model Setup'!$F$8*(SUMIF($BH$3:$CE$3,"&lt;"&amp;$DF30,$AD30:$BA30)+SUMIF($BH$3:$CE$3,"&gt;"&amp;$CW$4,$AD30:$BA30)),
IF(BJ$3=$DF30+'Model Setup'!$G$7,SUMIF($BH$3:$CE$3,"="&amp;$DF30+'Model Setup'!$G$7,$AD30:$BA30)+'Model Setup'!$G$8*(SUMIF($BH$3:$CE$3,"&lt;"&amp;$DF30,$AD30:$BA30)+SUMIF($BH$3:$CE$3,"&gt;"&amp;$CW$4,$AD30:$BA30)),
IF(BJ$3=$DF30+'Model Setup'!$H$7,SUMIF($BH$3:$CE$3,"="&amp;$DF30+'Model Setup'!$H$7,$AD30:$BA30)+'Model Setup'!$H$8*(SUMIF($BH$3:$CE$3,"&lt;"&amp;$DF30,$AD30:$BA30)+SUMIF($BH$3:$CE$3,"&gt;"&amp;$CW$4,$AD30:$BA30)),
IF(BJ$3=$DF30+'Model Setup'!$I$7,SUMIF($BH$3:$CE$3,"="&amp;$DF30+'Model Setup'!$I$7,$AD30:$BA30)+'Model Setup'!$I$8*(SUMIF($BH$3:$CE$3,"&lt;"&amp;$DF30,$AD30:$BA30)+SUMIF($BH$3:$CE$3,"&gt;"&amp;$CW$4,$AD30:$BA30)),
IF(BJ$3=$DF30+'Model Setup'!$J$7,SUMIF($BH$3:$CE$3,"="&amp;$DF30+'Model Setup'!$J$7,$AD30:$BA30)+'Model Setup'!$J$8*(SUMIF($BH$3:$CE$3,"&lt;"&amp;$DF30,$AD30:$BA30)+SUMIF($BH$3:$CE$3,"&gt;"&amp;$CW$4,$AD30:$BA30)),
IF(BJ$3=$DF30+'Model Setup'!$K$7,SUMIF($BH$3:$CE$3,"="&amp;$DF30+'Model Setup'!$K$7,$AD30:$BA30)+'Model Setup'!$K$8*(SUMIF($BH$3:$CE$3,"&lt;"&amp;$DF30,$AD30:$BA30)+SUMIF($BH$3:$CE$3,"&gt;"&amp;$CW$4,$AD30:$BA30)),
IF(BJ$3=$DF30+'Model Setup'!$L$7,SUMIF($BH$3:$CE$3,"="&amp;$DF30+'Model Setup'!$L$7,$AD30:$BA30)+'Model Setup'!$L$8*(SUMIF($BH$3:$CE$3,"&lt;"&amp;$DF30,$AD30:$BA30)+SUMIF($BH$3:$CE$3,"&gt;"&amp;$CW$4,$AD30:$BA30)),
IF(BJ$3=$DF30+'Model Setup'!$M$7,SUMIF($BH$3:$CE$3,"="&amp;$DF30+'Model Setup'!$M$7,$AD30:$BA30)+'Model Setup'!$M$8*(SUMIF($BH$3:$CE$3,"&lt;"&amp;$DF30,$AD30:$BA30)+SUMIF($BH$3:$CE$3,"&gt;"&amp;$CW$4,$AD30:$BA30)),
IF(BJ$3=$DF30+'Model Setup'!$N$7,SUMIF($BH$3:$CE$3,"="&amp;$DF30+'Model Setup'!$N$7,$AD30:$BA30)+'Model Setup'!$N$8*(SUMIF($BH$3:$CE$3,"&lt;"&amp;$DF30,$AD30:$BA30)+SUMIF($BH$3:$CE$3,"&gt;"&amp;$CW$4,$AD30:$BA30)),
IF(BJ$3&lt;$CW$4,D30,0))))))))))))))),0)</f>
        <v>0</v>
      </c>
      <c r="BK30" s="47">
        <f>ROUND(IF(OR(BK$3&lt;$DF30,BK$3&gt;$CW$4),0,
IF(BK$3=$DF30+'Model Setup'!$B$7,SUMIF($BH$3:$CE$3,"="&amp;$DF30+'Model Setup'!$B$7,$AD30:$BA30)+'Model Setup'!$B$8*(SUMIF($BH$3:$CE$3,"&lt;"&amp;$DF30,$AD30:$BA30)+SUMIF($BH$3:$CE$3,"&gt;"&amp;$CW$4,$AD30:$BA30)),
IF(BK$3=$DF30+'Model Setup'!$C$7,SUMIF($BH$3:$CE$3,"="&amp;$DF30+'Model Setup'!$C$7,$AD30:$BA30)+'Model Setup'!$C$8*(SUMIF($BH$3:$CE$3,"&lt;"&amp;$DF30,$AD30:$BA30)+SUMIF($BH$3:$CE$3,"&gt;"&amp;$CW$4,$AD30:$BA30)),
IF(BK$3=$DF30+'Model Setup'!$D$7,SUMIF($BH$3:$CE$3,"="&amp;$DF30+'Model Setup'!$D$7,$AD30:$BA30)+'Model Setup'!$D$8*(SUMIF($BH$3:$CE$3,"&lt;"&amp;$DF30,$AD30:$BA30)+SUMIF($BH$3:$CE$3,"&gt;"&amp;$CW$4,$AD30:$BA30)),
IF(BK$3=$DF30+'Model Setup'!$E$7,SUMIF($BH$3:$CE$3,"="&amp;$DF30+'Model Setup'!$E$7,$AD30:$BA30)+'Model Setup'!$E$8*(SUMIF($BH$3:$CE$3,"&lt;"&amp;$DF30,$AD30:$BA30)+SUMIF($BH$3:$CE$3,"&gt;"&amp;$CW$4,$AD30:$BA30)),
IF(BK$3=$DF30+'Model Setup'!$F$7,SUMIF($BH$3:$CE$3,"="&amp;$DF30+'Model Setup'!$F$7,$AD30:$BA30)+'Model Setup'!$F$8*(SUMIF($BH$3:$CE$3,"&lt;"&amp;$DF30,$AD30:$BA30)+SUMIF($BH$3:$CE$3,"&gt;"&amp;$CW$4,$AD30:$BA30)),
IF(BK$3=$DF30+'Model Setup'!$G$7,SUMIF($BH$3:$CE$3,"="&amp;$DF30+'Model Setup'!$G$7,$AD30:$BA30)+'Model Setup'!$G$8*(SUMIF($BH$3:$CE$3,"&lt;"&amp;$DF30,$AD30:$BA30)+SUMIF($BH$3:$CE$3,"&gt;"&amp;$CW$4,$AD30:$BA30)),
IF(BK$3=$DF30+'Model Setup'!$H$7,SUMIF($BH$3:$CE$3,"="&amp;$DF30+'Model Setup'!$H$7,$AD30:$BA30)+'Model Setup'!$H$8*(SUMIF($BH$3:$CE$3,"&lt;"&amp;$DF30,$AD30:$BA30)+SUMIF($BH$3:$CE$3,"&gt;"&amp;$CW$4,$AD30:$BA30)),
IF(BK$3=$DF30+'Model Setup'!$I$7,SUMIF($BH$3:$CE$3,"="&amp;$DF30+'Model Setup'!$I$7,$AD30:$BA30)+'Model Setup'!$I$8*(SUMIF($BH$3:$CE$3,"&lt;"&amp;$DF30,$AD30:$BA30)+SUMIF($BH$3:$CE$3,"&gt;"&amp;$CW$4,$AD30:$BA30)),
IF(BK$3=$DF30+'Model Setup'!$J$7,SUMIF($BH$3:$CE$3,"="&amp;$DF30+'Model Setup'!$J$7,$AD30:$BA30)+'Model Setup'!$J$8*(SUMIF($BH$3:$CE$3,"&lt;"&amp;$DF30,$AD30:$BA30)+SUMIF($BH$3:$CE$3,"&gt;"&amp;$CW$4,$AD30:$BA30)),
IF(BK$3=$DF30+'Model Setup'!$K$7,SUMIF($BH$3:$CE$3,"="&amp;$DF30+'Model Setup'!$K$7,$AD30:$BA30)+'Model Setup'!$K$8*(SUMIF($BH$3:$CE$3,"&lt;"&amp;$DF30,$AD30:$BA30)+SUMIF($BH$3:$CE$3,"&gt;"&amp;$CW$4,$AD30:$BA30)),
IF(BK$3=$DF30+'Model Setup'!$L$7,SUMIF($BH$3:$CE$3,"="&amp;$DF30+'Model Setup'!$L$7,$AD30:$BA30)+'Model Setup'!$L$8*(SUMIF($BH$3:$CE$3,"&lt;"&amp;$DF30,$AD30:$BA30)+SUMIF($BH$3:$CE$3,"&gt;"&amp;$CW$4,$AD30:$BA30)),
IF(BK$3=$DF30+'Model Setup'!$M$7,SUMIF($BH$3:$CE$3,"="&amp;$DF30+'Model Setup'!$M$7,$AD30:$BA30)+'Model Setup'!$M$8*(SUMIF($BH$3:$CE$3,"&lt;"&amp;$DF30,$AD30:$BA30)+SUMIF($BH$3:$CE$3,"&gt;"&amp;$CW$4,$AD30:$BA30)),
IF(BK$3=$DF30+'Model Setup'!$N$7,SUMIF($BH$3:$CE$3,"="&amp;$DF30+'Model Setup'!$N$7,$AD30:$BA30)+'Model Setup'!$N$8*(SUMIF($BH$3:$CE$3,"&lt;"&amp;$DF30,$AD30:$BA30)+SUMIF($BH$3:$CE$3,"&gt;"&amp;$CW$4,$AD30:$BA30)),
IF(BK$3&lt;$CW$4,E30,0))))))))))))))),0)</f>
        <v>0</v>
      </c>
      <c r="BL30" s="47">
        <f>ROUND(IF(OR(BL$3&lt;$DF30,BL$3&gt;$CW$4),0,
IF(BL$3=$DF30+'Model Setup'!$B$7,SUMIF($BH$3:$CE$3,"="&amp;$DF30+'Model Setup'!$B$7,$AD30:$BA30)+'Model Setup'!$B$8*(SUMIF($BH$3:$CE$3,"&lt;"&amp;$DF30,$AD30:$BA30)+SUMIF($BH$3:$CE$3,"&gt;"&amp;$CW$4,$AD30:$BA30)),
IF(BL$3=$DF30+'Model Setup'!$C$7,SUMIF($BH$3:$CE$3,"="&amp;$DF30+'Model Setup'!$C$7,$AD30:$BA30)+'Model Setup'!$C$8*(SUMIF($BH$3:$CE$3,"&lt;"&amp;$DF30,$AD30:$BA30)+SUMIF($BH$3:$CE$3,"&gt;"&amp;$CW$4,$AD30:$BA30)),
IF(BL$3=$DF30+'Model Setup'!$D$7,SUMIF($BH$3:$CE$3,"="&amp;$DF30+'Model Setup'!$D$7,$AD30:$BA30)+'Model Setup'!$D$8*(SUMIF($BH$3:$CE$3,"&lt;"&amp;$DF30,$AD30:$BA30)+SUMIF($BH$3:$CE$3,"&gt;"&amp;$CW$4,$AD30:$BA30)),
IF(BL$3=$DF30+'Model Setup'!$E$7,SUMIF($BH$3:$CE$3,"="&amp;$DF30+'Model Setup'!$E$7,$AD30:$BA30)+'Model Setup'!$E$8*(SUMIF($BH$3:$CE$3,"&lt;"&amp;$DF30,$AD30:$BA30)+SUMIF($BH$3:$CE$3,"&gt;"&amp;$CW$4,$AD30:$BA30)),
IF(BL$3=$DF30+'Model Setup'!$F$7,SUMIF($BH$3:$CE$3,"="&amp;$DF30+'Model Setup'!$F$7,$AD30:$BA30)+'Model Setup'!$F$8*(SUMIF($BH$3:$CE$3,"&lt;"&amp;$DF30,$AD30:$BA30)+SUMIF($BH$3:$CE$3,"&gt;"&amp;$CW$4,$AD30:$BA30)),
IF(BL$3=$DF30+'Model Setup'!$G$7,SUMIF($BH$3:$CE$3,"="&amp;$DF30+'Model Setup'!$G$7,$AD30:$BA30)+'Model Setup'!$G$8*(SUMIF($BH$3:$CE$3,"&lt;"&amp;$DF30,$AD30:$BA30)+SUMIF($BH$3:$CE$3,"&gt;"&amp;$CW$4,$AD30:$BA30)),
IF(BL$3=$DF30+'Model Setup'!$H$7,SUMIF($BH$3:$CE$3,"="&amp;$DF30+'Model Setup'!$H$7,$AD30:$BA30)+'Model Setup'!$H$8*(SUMIF($BH$3:$CE$3,"&lt;"&amp;$DF30,$AD30:$BA30)+SUMIF($BH$3:$CE$3,"&gt;"&amp;$CW$4,$AD30:$BA30)),
IF(BL$3=$DF30+'Model Setup'!$I$7,SUMIF($BH$3:$CE$3,"="&amp;$DF30+'Model Setup'!$I$7,$AD30:$BA30)+'Model Setup'!$I$8*(SUMIF($BH$3:$CE$3,"&lt;"&amp;$DF30,$AD30:$BA30)+SUMIF($BH$3:$CE$3,"&gt;"&amp;$CW$4,$AD30:$BA30)),
IF(BL$3=$DF30+'Model Setup'!$J$7,SUMIF($BH$3:$CE$3,"="&amp;$DF30+'Model Setup'!$J$7,$AD30:$BA30)+'Model Setup'!$J$8*(SUMIF($BH$3:$CE$3,"&lt;"&amp;$DF30,$AD30:$BA30)+SUMIF($BH$3:$CE$3,"&gt;"&amp;$CW$4,$AD30:$BA30)),
IF(BL$3=$DF30+'Model Setup'!$K$7,SUMIF($BH$3:$CE$3,"="&amp;$DF30+'Model Setup'!$K$7,$AD30:$BA30)+'Model Setup'!$K$8*(SUMIF($BH$3:$CE$3,"&lt;"&amp;$DF30,$AD30:$BA30)+SUMIF($BH$3:$CE$3,"&gt;"&amp;$CW$4,$AD30:$BA30)),
IF(BL$3=$DF30+'Model Setup'!$L$7,SUMIF($BH$3:$CE$3,"="&amp;$DF30+'Model Setup'!$L$7,$AD30:$BA30)+'Model Setup'!$L$8*(SUMIF($BH$3:$CE$3,"&lt;"&amp;$DF30,$AD30:$BA30)+SUMIF($BH$3:$CE$3,"&gt;"&amp;$CW$4,$AD30:$BA30)),
IF(BL$3=$DF30+'Model Setup'!$M$7,SUMIF($BH$3:$CE$3,"="&amp;$DF30+'Model Setup'!$M$7,$AD30:$BA30)+'Model Setup'!$M$8*(SUMIF($BH$3:$CE$3,"&lt;"&amp;$DF30,$AD30:$BA30)+SUMIF($BH$3:$CE$3,"&gt;"&amp;$CW$4,$AD30:$BA30)),
IF(BL$3=$DF30+'Model Setup'!$N$7,SUMIF($BH$3:$CE$3,"="&amp;$DF30+'Model Setup'!$N$7,$AD30:$BA30)+'Model Setup'!$N$8*(SUMIF($BH$3:$CE$3,"&lt;"&amp;$DF30,$AD30:$BA30)+SUMIF($BH$3:$CE$3,"&gt;"&amp;$CW$4,$AD30:$BA30)),
IF(BL$3&lt;$CW$4,F30,0))))))))))))))),0)</f>
        <v>0</v>
      </c>
      <c r="BM30" s="47">
        <f>ROUND(IF(OR(BM$3&lt;$DF30,BM$3&gt;$CW$4),0,
IF(BM$3=$DF30+'Model Setup'!$B$7,SUMIF($BH$3:$CE$3,"="&amp;$DF30+'Model Setup'!$B$7,$AD30:$BA30)+'Model Setup'!$B$8*(SUMIF($BH$3:$CE$3,"&lt;"&amp;$DF30,$AD30:$BA30)+SUMIF($BH$3:$CE$3,"&gt;"&amp;$CW$4,$AD30:$BA30)),
IF(BM$3=$DF30+'Model Setup'!$C$7,SUMIF($BH$3:$CE$3,"="&amp;$DF30+'Model Setup'!$C$7,$AD30:$BA30)+'Model Setup'!$C$8*(SUMIF($BH$3:$CE$3,"&lt;"&amp;$DF30,$AD30:$BA30)+SUMIF($BH$3:$CE$3,"&gt;"&amp;$CW$4,$AD30:$BA30)),
IF(BM$3=$DF30+'Model Setup'!$D$7,SUMIF($BH$3:$CE$3,"="&amp;$DF30+'Model Setup'!$D$7,$AD30:$BA30)+'Model Setup'!$D$8*(SUMIF($BH$3:$CE$3,"&lt;"&amp;$DF30,$AD30:$BA30)+SUMIF($BH$3:$CE$3,"&gt;"&amp;$CW$4,$AD30:$BA30)),
IF(BM$3=$DF30+'Model Setup'!$E$7,SUMIF($BH$3:$CE$3,"="&amp;$DF30+'Model Setup'!$E$7,$AD30:$BA30)+'Model Setup'!$E$8*(SUMIF($BH$3:$CE$3,"&lt;"&amp;$DF30,$AD30:$BA30)+SUMIF($BH$3:$CE$3,"&gt;"&amp;$CW$4,$AD30:$BA30)),
IF(BM$3=$DF30+'Model Setup'!$F$7,SUMIF($BH$3:$CE$3,"="&amp;$DF30+'Model Setup'!$F$7,$AD30:$BA30)+'Model Setup'!$F$8*(SUMIF($BH$3:$CE$3,"&lt;"&amp;$DF30,$AD30:$BA30)+SUMIF($BH$3:$CE$3,"&gt;"&amp;$CW$4,$AD30:$BA30)),
IF(BM$3=$DF30+'Model Setup'!$G$7,SUMIF($BH$3:$CE$3,"="&amp;$DF30+'Model Setup'!$G$7,$AD30:$BA30)+'Model Setup'!$G$8*(SUMIF($BH$3:$CE$3,"&lt;"&amp;$DF30,$AD30:$BA30)+SUMIF($BH$3:$CE$3,"&gt;"&amp;$CW$4,$AD30:$BA30)),
IF(BM$3=$DF30+'Model Setup'!$H$7,SUMIF($BH$3:$CE$3,"="&amp;$DF30+'Model Setup'!$H$7,$AD30:$BA30)+'Model Setup'!$H$8*(SUMIF($BH$3:$CE$3,"&lt;"&amp;$DF30,$AD30:$BA30)+SUMIF($BH$3:$CE$3,"&gt;"&amp;$CW$4,$AD30:$BA30)),
IF(BM$3=$DF30+'Model Setup'!$I$7,SUMIF($BH$3:$CE$3,"="&amp;$DF30+'Model Setup'!$I$7,$AD30:$BA30)+'Model Setup'!$I$8*(SUMIF($BH$3:$CE$3,"&lt;"&amp;$DF30,$AD30:$BA30)+SUMIF($BH$3:$CE$3,"&gt;"&amp;$CW$4,$AD30:$BA30)),
IF(BM$3=$DF30+'Model Setup'!$J$7,SUMIF($BH$3:$CE$3,"="&amp;$DF30+'Model Setup'!$J$7,$AD30:$BA30)+'Model Setup'!$J$8*(SUMIF($BH$3:$CE$3,"&lt;"&amp;$DF30,$AD30:$BA30)+SUMIF($BH$3:$CE$3,"&gt;"&amp;$CW$4,$AD30:$BA30)),
IF(BM$3=$DF30+'Model Setup'!$K$7,SUMIF($BH$3:$CE$3,"="&amp;$DF30+'Model Setup'!$K$7,$AD30:$BA30)+'Model Setup'!$K$8*(SUMIF($BH$3:$CE$3,"&lt;"&amp;$DF30,$AD30:$BA30)+SUMIF($BH$3:$CE$3,"&gt;"&amp;$CW$4,$AD30:$BA30)),
IF(BM$3=$DF30+'Model Setup'!$L$7,SUMIF($BH$3:$CE$3,"="&amp;$DF30+'Model Setup'!$L$7,$AD30:$BA30)+'Model Setup'!$L$8*(SUMIF($BH$3:$CE$3,"&lt;"&amp;$DF30,$AD30:$BA30)+SUMIF($BH$3:$CE$3,"&gt;"&amp;$CW$4,$AD30:$BA30)),
IF(BM$3=$DF30+'Model Setup'!$M$7,SUMIF($BH$3:$CE$3,"="&amp;$DF30+'Model Setup'!$M$7,$AD30:$BA30)+'Model Setup'!$M$8*(SUMIF($BH$3:$CE$3,"&lt;"&amp;$DF30,$AD30:$BA30)+SUMIF($BH$3:$CE$3,"&gt;"&amp;$CW$4,$AD30:$BA30)),
IF(BM$3=$DF30+'Model Setup'!$N$7,SUMIF($BH$3:$CE$3,"="&amp;$DF30+'Model Setup'!$N$7,$AD30:$BA30)+'Model Setup'!$N$8*(SUMIF($BH$3:$CE$3,"&lt;"&amp;$DF30,$AD30:$BA30)+SUMIF($BH$3:$CE$3,"&gt;"&amp;$CW$4,$AD30:$BA30)),
IF(BM$3&lt;$CW$4,G30,0))))))))))))))),0)</f>
        <v>0</v>
      </c>
      <c r="BN30" s="47">
        <f>ROUND(IF(OR(BN$3&lt;$DF30,BN$3&gt;$CW$4),0,
IF(BN$3=$DF30+'Model Setup'!$B$7,SUMIF($BH$3:$CE$3,"="&amp;$DF30+'Model Setup'!$B$7,$AD30:$BA30)+'Model Setup'!$B$8*(SUMIF($BH$3:$CE$3,"&lt;"&amp;$DF30,$AD30:$BA30)+SUMIF($BH$3:$CE$3,"&gt;"&amp;$CW$4,$AD30:$BA30)),
IF(BN$3=$DF30+'Model Setup'!$C$7,SUMIF($BH$3:$CE$3,"="&amp;$DF30+'Model Setup'!$C$7,$AD30:$BA30)+'Model Setup'!$C$8*(SUMIF($BH$3:$CE$3,"&lt;"&amp;$DF30,$AD30:$BA30)+SUMIF($BH$3:$CE$3,"&gt;"&amp;$CW$4,$AD30:$BA30)),
IF(BN$3=$DF30+'Model Setup'!$D$7,SUMIF($BH$3:$CE$3,"="&amp;$DF30+'Model Setup'!$D$7,$AD30:$BA30)+'Model Setup'!$D$8*(SUMIF($BH$3:$CE$3,"&lt;"&amp;$DF30,$AD30:$BA30)+SUMIF($BH$3:$CE$3,"&gt;"&amp;$CW$4,$AD30:$BA30)),
IF(BN$3=$DF30+'Model Setup'!$E$7,SUMIF($BH$3:$CE$3,"="&amp;$DF30+'Model Setup'!$E$7,$AD30:$BA30)+'Model Setup'!$E$8*(SUMIF($BH$3:$CE$3,"&lt;"&amp;$DF30,$AD30:$BA30)+SUMIF($BH$3:$CE$3,"&gt;"&amp;$CW$4,$AD30:$BA30)),
IF(BN$3=$DF30+'Model Setup'!$F$7,SUMIF($BH$3:$CE$3,"="&amp;$DF30+'Model Setup'!$F$7,$AD30:$BA30)+'Model Setup'!$F$8*(SUMIF($BH$3:$CE$3,"&lt;"&amp;$DF30,$AD30:$BA30)+SUMIF($BH$3:$CE$3,"&gt;"&amp;$CW$4,$AD30:$BA30)),
IF(BN$3=$DF30+'Model Setup'!$G$7,SUMIF($BH$3:$CE$3,"="&amp;$DF30+'Model Setup'!$G$7,$AD30:$BA30)+'Model Setup'!$G$8*(SUMIF($BH$3:$CE$3,"&lt;"&amp;$DF30,$AD30:$BA30)+SUMIF($BH$3:$CE$3,"&gt;"&amp;$CW$4,$AD30:$BA30)),
IF(BN$3=$DF30+'Model Setup'!$H$7,SUMIF($BH$3:$CE$3,"="&amp;$DF30+'Model Setup'!$H$7,$AD30:$BA30)+'Model Setup'!$H$8*(SUMIF($BH$3:$CE$3,"&lt;"&amp;$DF30,$AD30:$BA30)+SUMIF($BH$3:$CE$3,"&gt;"&amp;$CW$4,$AD30:$BA30)),
IF(BN$3=$DF30+'Model Setup'!$I$7,SUMIF($BH$3:$CE$3,"="&amp;$DF30+'Model Setup'!$I$7,$AD30:$BA30)+'Model Setup'!$I$8*(SUMIF($BH$3:$CE$3,"&lt;"&amp;$DF30,$AD30:$BA30)+SUMIF($BH$3:$CE$3,"&gt;"&amp;$CW$4,$AD30:$BA30)),
IF(BN$3=$DF30+'Model Setup'!$J$7,SUMIF($BH$3:$CE$3,"="&amp;$DF30+'Model Setup'!$J$7,$AD30:$BA30)+'Model Setup'!$J$8*(SUMIF($BH$3:$CE$3,"&lt;"&amp;$DF30,$AD30:$BA30)+SUMIF($BH$3:$CE$3,"&gt;"&amp;$CW$4,$AD30:$BA30)),
IF(BN$3=$DF30+'Model Setup'!$K$7,SUMIF($BH$3:$CE$3,"="&amp;$DF30+'Model Setup'!$K$7,$AD30:$BA30)+'Model Setup'!$K$8*(SUMIF($BH$3:$CE$3,"&lt;"&amp;$DF30,$AD30:$BA30)+SUMIF($BH$3:$CE$3,"&gt;"&amp;$CW$4,$AD30:$BA30)),
IF(BN$3=$DF30+'Model Setup'!$L$7,SUMIF($BH$3:$CE$3,"="&amp;$DF30+'Model Setup'!$L$7,$AD30:$BA30)+'Model Setup'!$L$8*(SUMIF($BH$3:$CE$3,"&lt;"&amp;$DF30,$AD30:$BA30)+SUMIF($BH$3:$CE$3,"&gt;"&amp;$CW$4,$AD30:$BA30)),
IF(BN$3=$DF30+'Model Setup'!$M$7,SUMIF($BH$3:$CE$3,"="&amp;$DF30+'Model Setup'!$M$7,$AD30:$BA30)+'Model Setup'!$M$8*(SUMIF($BH$3:$CE$3,"&lt;"&amp;$DF30,$AD30:$BA30)+SUMIF($BH$3:$CE$3,"&gt;"&amp;$CW$4,$AD30:$BA30)),
IF(BN$3=$DF30+'Model Setup'!$N$7,SUMIF($BH$3:$CE$3,"="&amp;$DF30+'Model Setup'!$N$7,$AD30:$BA30)+'Model Setup'!$N$8*(SUMIF($BH$3:$CE$3,"&lt;"&amp;$DF30,$AD30:$BA30)+SUMIF($BH$3:$CE$3,"&gt;"&amp;$CW$4,$AD30:$BA30)),
IF(BN$3&lt;$CW$4,H30,0))))))))))))))),0)</f>
        <v>34</v>
      </c>
      <c r="BO30" s="47">
        <f>ROUND(IF(OR(BO$3&lt;$DF30,BO$3&gt;$CW$4),0,
IF(BO$3=$DF30+'Model Setup'!$B$7,SUMIF($BH$3:$CE$3,"="&amp;$DF30+'Model Setup'!$B$7,$AD30:$BA30)+'Model Setup'!$B$8*(SUMIF($BH$3:$CE$3,"&lt;"&amp;$DF30,$AD30:$BA30)+SUMIF($BH$3:$CE$3,"&gt;"&amp;$CW$4,$AD30:$BA30)),
IF(BO$3=$DF30+'Model Setup'!$C$7,SUMIF($BH$3:$CE$3,"="&amp;$DF30+'Model Setup'!$C$7,$AD30:$BA30)+'Model Setup'!$C$8*(SUMIF($BH$3:$CE$3,"&lt;"&amp;$DF30,$AD30:$BA30)+SUMIF($BH$3:$CE$3,"&gt;"&amp;$CW$4,$AD30:$BA30)),
IF(BO$3=$DF30+'Model Setup'!$D$7,SUMIF($BH$3:$CE$3,"="&amp;$DF30+'Model Setup'!$D$7,$AD30:$BA30)+'Model Setup'!$D$8*(SUMIF($BH$3:$CE$3,"&lt;"&amp;$DF30,$AD30:$BA30)+SUMIF($BH$3:$CE$3,"&gt;"&amp;$CW$4,$AD30:$BA30)),
IF(BO$3=$DF30+'Model Setup'!$E$7,SUMIF($BH$3:$CE$3,"="&amp;$DF30+'Model Setup'!$E$7,$AD30:$BA30)+'Model Setup'!$E$8*(SUMIF($BH$3:$CE$3,"&lt;"&amp;$DF30,$AD30:$BA30)+SUMIF($BH$3:$CE$3,"&gt;"&amp;$CW$4,$AD30:$BA30)),
IF(BO$3=$DF30+'Model Setup'!$F$7,SUMIF($BH$3:$CE$3,"="&amp;$DF30+'Model Setup'!$F$7,$AD30:$BA30)+'Model Setup'!$F$8*(SUMIF($BH$3:$CE$3,"&lt;"&amp;$DF30,$AD30:$BA30)+SUMIF($BH$3:$CE$3,"&gt;"&amp;$CW$4,$AD30:$BA30)),
IF(BO$3=$DF30+'Model Setup'!$G$7,SUMIF($BH$3:$CE$3,"="&amp;$DF30+'Model Setup'!$G$7,$AD30:$BA30)+'Model Setup'!$G$8*(SUMIF($BH$3:$CE$3,"&lt;"&amp;$DF30,$AD30:$BA30)+SUMIF($BH$3:$CE$3,"&gt;"&amp;$CW$4,$AD30:$BA30)),
IF(BO$3=$DF30+'Model Setup'!$H$7,SUMIF($BH$3:$CE$3,"="&amp;$DF30+'Model Setup'!$H$7,$AD30:$BA30)+'Model Setup'!$H$8*(SUMIF($BH$3:$CE$3,"&lt;"&amp;$DF30,$AD30:$BA30)+SUMIF($BH$3:$CE$3,"&gt;"&amp;$CW$4,$AD30:$BA30)),
IF(BO$3=$DF30+'Model Setup'!$I$7,SUMIF($BH$3:$CE$3,"="&amp;$DF30+'Model Setup'!$I$7,$AD30:$BA30)+'Model Setup'!$I$8*(SUMIF($BH$3:$CE$3,"&lt;"&amp;$DF30,$AD30:$BA30)+SUMIF($BH$3:$CE$3,"&gt;"&amp;$CW$4,$AD30:$BA30)),
IF(BO$3=$DF30+'Model Setup'!$J$7,SUMIF($BH$3:$CE$3,"="&amp;$DF30+'Model Setup'!$J$7,$AD30:$BA30)+'Model Setup'!$J$8*(SUMIF($BH$3:$CE$3,"&lt;"&amp;$DF30,$AD30:$BA30)+SUMIF($BH$3:$CE$3,"&gt;"&amp;$CW$4,$AD30:$BA30)),
IF(BO$3=$DF30+'Model Setup'!$K$7,SUMIF($BH$3:$CE$3,"="&amp;$DF30+'Model Setup'!$K$7,$AD30:$BA30)+'Model Setup'!$K$8*(SUMIF($BH$3:$CE$3,"&lt;"&amp;$DF30,$AD30:$BA30)+SUMIF($BH$3:$CE$3,"&gt;"&amp;$CW$4,$AD30:$BA30)),
IF(BO$3=$DF30+'Model Setup'!$L$7,SUMIF($BH$3:$CE$3,"="&amp;$DF30+'Model Setup'!$L$7,$AD30:$BA30)+'Model Setup'!$L$8*(SUMIF($BH$3:$CE$3,"&lt;"&amp;$DF30,$AD30:$BA30)+SUMIF($BH$3:$CE$3,"&gt;"&amp;$CW$4,$AD30:$BA30)),
IF(BO$3=$DF30+'Model Setup'!$M$7,SUMIF($BH$3:$CE$3,"="&amp;$DF30+'Model Setup'!$M$7,$AD30:$BA30)+'Model Setup'!$M$8*(SUMIF($BH$3:$CE$3,"&lt;"&amp;$DF30,$AD30:$BA30)+SUMIF($BH$3:$CE$3,"&gt;"&amp;$CW$4,$AD30:$BA30)),
IF(BO$3=$DF30+'Model Setup'!$N$7,SUMIF($BH$3:$CE$3,"="&amp;$DF30+'Model Setup'!$N$7,$AD30:$BA30)+'Model Setup'!$N$8*(SUMIF($BH$3:$CE$3,"&lt;"&amp;$DF30,$AD30:$BA30)+SUMIF($BH$3:$CE$3,"&gt;"&amp;$CW$4,$AD30:$BA30)),
IF(BO$3&lt;$CW$4,I30,0))))))))))))))),0)</f>
        <v>36</v>
      </c>
      <c r="BP30" s="47">
        <f>ROUND(IF(OR(BP$3&lt;$DF30,BP$3&gt;$CW$4),0,
IF(BP$3=$DF30+'Model Setup'!$B$7,SUMIF($BH$3:$CE$3,"="&amp;$DF30+'Model Setup'!$B$7,$AD30:$BA30)+'Model Setup'!$B$8*(SUMIF($BH$3:$CE$3,"&lt;"&amp;$DF30,$AD30:$BA30)+SUMIF($BH$3:$CE$3,"&gt;"&amp;$CW$4,$AD30:$BA30)),
IF(BP$3=$DF30+'Model Setup'!$C$7,SUMIF($BH$3:$CE$3,"="&amp;$DF30+'Model Setup'!$C$7,$AD30:$BA30)+'Model Setup'!$C$8*(SUMIF($BH$3:$CE$3,"&lt;"&amp;$DF30,$AD30:$BA30)+SUMIF($BH$3:$CE$3,"&gt;"&amp;$CW$4,$AD30:$BA30)),
IF(BP$3=$DF30+'Model Setup'!$D$7,SUMIF($BH$3:$CE$3,"="&amp;$DF30+'Model Setup'!$D$7,$AD30:$BA30)+'Model Setup'!$D$8*(SUMIF($BH$3:$CE$3,"&lt;"&amp;$DF30,$AD30:$BA30)+SUMIF($BH$3:$CE$3,"&gt;"&amp;$CW$4,$AD30:$BA30)),
IF(BP$3=$DF30+'Model Setup'!$E$7,SUMIF($BH$3:$CE$3,"="&amp;$DF30+'Model Setup'!$E$7,$AD30:$BA30)+'Model Setup'!$E$8*(SUMIF($BH$3:$CE$3,"&lt;"&amp;$DF30,$AD30:$BA30)+SUMIF($BH$3:$CE$3,"&gt;"&amp;$CW$4,$AD30:$BA30)),
IF(BP$3=$DF30+'Model Setup'!$F$7,SUMIF($BH$3:$CE$3,"="&amp;$DF30+'Model Setup'!$F$7,$AD30:$BA30)+'Model Setup'!$F$8*(SUMIF($BH$3:$CE$3,"&lt;"&amp;$DF30,$AD30:$BA30)+SUMIF($BH$3:$CE$3,"&gt;"&amp;$CW$4,$AD30:$BA30)),
IF(BP$3=$DF30+'Model Setup'!$G$7,SUMIF($BH$3:$CE$3,"="&amp;$DF30+'Model Setup'!$G$7,$AD30:$BA30)+'Model Setup'!$G$8*(SUMIF($BH$3:$CE$3,"&lt;"&amp;$DF30,$AD30:$BA30)+SUMIF($BH$3:$CE$3,"&gt;"&amp;$CW$4,$AD30:$BA30)),
IF(BP$3=$DF30+'Model Setup'!$H$7,SUMIF($BH$3:$CE$3,"="&amp;$DF30+'Model Setup'!$H$7,$AD30:$BA30)+'Model Setup'!$H$8*(SUMIF($BH$3:$CE$3,"&lt;"&amp;$DF30,$AD30:$BA30)+SUMIF($BH$3:$CE$3,"&gt;"&amp;$CW$4,$AD30:$BA30)),
IF(BP$3=$DF30+'Model Setup'!$I$7,SUMIF($BH$3:$CE$3,"="&amp;$DF30+'Model Setup'!$I$7,$AD30:$BA30)+'Model Setup'!$I$8*(SUMIF($BH$3:$CE$3,"&lt;"&amp;$DF30,$AD30:$BA30)+SUMIF($BH$3:$CE$3,"&gt;"&amp;$CW$4,$AD30:$BA30)),
IF(BP$3=$DF30+'Model Setup'!$J$7,SUMIF($BH$3:$CE$3,"="&amp;$DF30+'Model Setup'!$J$7,$AD30:$BA30)+'Model Setup'!$J$8*(SUMIF($BH$3:$CE$3,"&lt;"&amp;$DF30,$AD30:$BA30)+SUMIF($BH$3:$CE$3,"&gt;"&amp;$CW$4,$AD30:$BA30)),
IF(BP$3=$DF30+'Model Setup'!$K$7,SUMIF($BH$3:$CE$3,"="&amp;$DF30+'Model Setup'!$K$7,$AD30:$BA30)+'Model Setup'!$K$8*(SUMIF($BH$3:$CE$3,"&lt;"&amp;$DF30,$AD30:$BA30)+SUMIF($BH$3:$CE$3,"&gt;"&amp;$CW$4,$AD30:$BA30)),
IF(BP$3=$DF30+'Model Setup'!$L$7,SUMIF($BH$3:$CE$3,"="&amp;$DF30+'Model Setup'!$L$7,$AD30:$BA30)+'Model Setup'!$L$8*(SUMIF($BH$3:$CE$3,"&lt;"&amp;$DF30,$AD30:$BA30)+SUMIF($BH$3:$CE$3,"&gt;"&amp;$CW$4,$AD30:$BA30)),
IF(BP$3=$DF30+'Model Setup'!$M$7,SUMIF($BH$3:$CE$3,"="&amp;$DF30+'Model Setup'!$M$7,$AD30:$BA30)+'Model Setup'!$M$8*(SUMIF($BH$3:$CE$3,"&lt;"&amp;$DF30,$AD30:$BA30)+SUMIF($BH$3:$CE$3,"&gt;"&amp;$CW$4,$AD30:$BA30)),
IF(BP$3=$DF30+'Model Setup'!$N$7,SUMIF($BH$3:$CE$3,"="&amp;$DF30+'Model Setup'!$N$7,$AD30:$BA30)+'Model Setup'!$N$8*(SUMIF($BH$3:$CE$3,"&lt;"&amp;$DF30,$AD30:$BA30)+SUMIF($BH$3:$CE$3,"&gt;"&amp;$CW$4,$AD30:$BA30)),
IF(BP$3&lt;$CW$4,J30,0))))))))))))))),0)</f>
        <v>33</v>
      </c>
      <c r="BQ30" s="47">
        <f>ROUND(IF(OR(BQ$3&lt;$DF30,BQ$3&gt;$CW$4),0,
IF(BQ$3=$DF30+'Model Setup'!$B$7,SUMIF($BH$3:$CE$3,"="&amp;$DF30+'Model Setup'!$B$7,$AD30:$BA30)+'Model Setup'!$B$8*(SUMIF($BH$3:$CE$3,"&lt;"&amp;$DF30,$AD30:$BA30)+SUMIF($BH$3:$CE$3,"&gt;"&amp;$CW$4,$AD30:$BA30)),
IF(BQ$3=$DF30+'Model Setup'!$C$7,SUMIF($BH$3:$CE$3,"="&amp;$DF30+'Model Setup'!$C$7,$AD30:$BA30)+'Model Setup'!$C$8*(SUMIF($BH$3:$CE$3,"&lt;"&amp;$DF30,$AD30:$BA30)+SUMIF($BH$3:$CE$3,"&gt;"&amp;$CW$4,$AD30:$BA30)),
IF(BQ$3=$DF30+'Model Setup'!$D$7,SUMIF($BH$3:$CE$3,"="&amp;$DF30+'Model Setup'!$D$7,$AD30:$BA30)+'Model Setup'!$D$8*(SUMIF($BH$3:$CE$3,"&lt;"&amp;$DF30,$AD30:$BA30)+SUMIF($BH$3:$CE$3,"&gt;"&amp;$CW$4,$AD30:$BA30)),
IF(BQ$3=$DF30+'Model Setup'!$E$7,SUMIF($BH$3:$CE$3,"="&amp;$DF30+'Model Setup'!$E$7,$AD30:$BA30)+'Model Setup'!$E$8*(SUMIF($BH$3:$CE$3,"&lt;"&amp;$DF30,$AD30:$BA30)+SUMIF($BH$3:$CE$3,"&gt;"&amp;$CW$4,$AD30:$BA30)),
IF(BQ$3=$DF30+'Model Setup'!$F$7,SUMIF($BH$3:$CE$3,"="&amp;$DF30+'Model Setup'!$F$7,$AD30:$BA30)+'Model Setup'!$F$8*(SUMIF($BH$3:$CE$3,"&lt;"&amp;$DF30,$AD30:$BA30)+SUMIF($BH$3:$CE$3,"&gt;"&amp;$CW$4,$AD30:$BA30)),
IF(BQ$3=$DF30+'Model Setup'!$G$7,SUMIF($BH$3:$CE$3,"="&amp;$DF30+'Model Setup'!$G$7,$AD30:$BA30)+'Model Setup'!$G$8*(SUMIF($BH$3:$CE$3,"&lt;"&amp;$DF30,$AD30:$BA30)+SUMIF($BH$3:$CE$3,"&gt;"&amp;$CW$4,$AD30:$BA30)),
IF(BQ$3=$DF30+'Model Setup'!$H$7,SUMIF($BH$3:$CE$3,"="&amp;$DF30+'Model Setup'!$H$7,$AD30:$BA30)+'Model Setup'!$H$8*(SUMIF($BH$3:$CE$3,"&lt;"&amp;$DF30,$AD30:$BA30)+SUMIF($BH$3:$CE$3,"&gt;"&amp;$CW$4,$AD30:$BA30)),
IF(BQ$3=$DF30+'Model Setup'!$I$7,SUMIF($BH$3:$CE$3,"="&amp;$DF30+'Model Setup'!$I$7,$AD30:$BA30)+'Model Setup'!$I$8*(SUMIF($BH$3:$CE$3,"&lt;"&amp;$DF30,$AD30:$BA30)+SUMIF($BH$3:$CE$3,"&gt;"&amp;$CW$4,$AD30:$BA30)),
IF(BQ$3=$DF30+'Model Setup'!$J$7,SUMIF($BH$3:$CE$3,"="&amp;$DF30+'Model Setup'!$J$7,$AD30:$BA30)+'Model Setup'!$J$8*(SUMIF($BH$3:$CE$3,"&lt;"&amp;$DF30,$AD30:$BA30)+SUMIF($BH$3:$CE$3,"&gt;"&amp;$CW$4,$AD30:$BA30)),
IF(BQ$3=$DF30+'Model Setup'!$K$7,SUMIF($BH$3:$CE$3,"="&amp;$DF30+'Model Setup'!$K$7,$AD30:$BA30)+'Model Setup'!$K$8*(SUMIF($BH$3:$CE$3,"&lt;"&amp;$DF30,$AD30:$BA30)+SUMIF($BH$3:$CE$3,"&gt;"&amp;$CW$4,$AD30:$BA30)),
IF(BQ$3=$DF30+'Model Setup'!$L$7,SUMIF($BH$3:$CE$3,"="&amp;$DF30+'Model Setup'!$L$7,$AD30:$BA30)+'Model Setup'!$L$8*(SUMIF($BH$3:$CE$3,"&lt;"&amp;$DF30,$AD30:$BA30)+SUMIF($BH$3:$CE$3,"&gt;"&amp;$CW$4,$AD30:$BA30)),
IF(BQ$3=$DF30+'Model Setup'!$M$7,SUMIF($BH$3:$CE$3,"="&amp;$DF30+'Model Setup'!$M$7,$AD30:$BA30)+'Model Setup'!$M$8*(SUMIF($BH$3:$CE$3,"&lt;"&amp;$DF30,$AD30:$BA30)+SUMIF($BH$3:$CE$3,"&gt;"&amp;$CW$4,$AD30:$BA30)),
IF(BQ$3=$DF30+'Model Setup'!$N$7,SUMIF($BH$3:$CE$3,"="&amp;$DF30+'Model Setup'!$N$7,$AD30:$BA30)+'Model Setup'!$N$8*(SUMIF($BH$3:$CE$3,"&lt;"&amp;$DF30,$AD30:$BA30)+SUMIF($BH$3:$CE$3,"&gt;"&amp;$CW$4,$AD30:$BA30)),
IF(BQ$3&lt;$CW$4,K30,0))))))))))))))),0)</f>
        <v>34</v>
      </c>
      <c r="BR30" s="47">
        <f>ROUND(IF(OR(BR$3&lt;$DF30,BR$3&gt;$CW$4),0,
IF(BR$3=$DF30+'Model Setup'!$B$7,SUMIF($BH$3:$CE$3,"="&amp;$DF30+'Model Setup'!$B$7,$AD30:$BA30)+'Model Setup'!$B$8*(SUMIF($BH$3:$CE$3,"&lt;"&amp;$DF30,$AD30:$BA30)+SUMIF($BH$3:$CE$3,"&gt;"&amp;$CW$4,$AD30:$BA30)),
IF(BR$3=$DF30+'Model Setup'!$C$7,SUMIF($BH$3:$CE$3,"="&amp;$DF30+'Model Setup'!$C$7,$AD30:$BA30)+'Model Setup'!$C$8*(SUMIF($BH$3:$CE$3,"&lt;"&amp;$DF30,$AD30:$BA30)+SUMIF($BH$3:$CE$3,"&gt;"&amp;$CW$4,$AD30:$BA30)),
IF(BR$3=$DF30+'Model Setup'!$D$7,SUMIF($BH$3:$CE$3,"="&amp;$DF30+'Model Setup'!$D$7,$AD30:$BA30)+'Model Setup'!$D$8*(SUMIF($BH$3:$CE$3,"&lt;"&amp;$DF30,$AD30:$BA30)+SUMIF($BH$3:$CE$3,"&gt;"&amp;$CW$4,$AD30:$BA30)),
IF(BR$3=$DF30+'Model Setup'!$E$7,SUMIF($BH$3:$CE$3,"="&amp;$DF30+'Model Setup'!$E$7,$AD30:$BA30)+'Model Setup'!$E$8*(SUMIF($BH$3:$CE$3,"&lt;"&amp;$DF30,$AD30:$BA30)+SUMIF($BH$3:$CE$3,"&gt;"&amp;$CW$4,$AD30:$BA30)),
IF(BR$3=$DF30+'Model Setup'!$F$7,SUMIF($BH$3:$CE$3,"="&amp;$DF30+'Model Setup'!$F$7,$AD30:$BA30)+'Model Setup'!$F$8*(SUMIF($BH$3:$CE$3,"&lt;"&amp;$DF30,$AD30:$BA30)+SUMIF($BH$3:$CE$3,"&gt;"&amp;$CW$4,$AD30:$BA30)),
IF(BR$3=$DF30+'Model Setup'!$G$7,SUMIF($BH$3:$CE$3,"="&amp;$DF30+'Model Setup'!$G$7,$AD30:$BA30)+'Model Setup'!$G$8*(SUMIF($BH$3:$CE$3,"&lt;"&amp;$DF30,$AD30:$BA30)+SUMIF($BH$3:$CE$3,"&gt;"&amp;$CW$4,$AD30:$BA30)),
IF(BR$3=$DF30+'Model Setup'!$H$7,SUMIF($BH$3:$CE$3,"="&amp;$DF30+'Model Setup'!$H$7,$AD30:$BA30)+'Model Setup'!$H$8*(SUMIF($BH$3:$CE$3,"&lt;"&amp;$DF30,$AD30:$BA30)+SUMIF($BH$3:$CE$3,"&gt;"&amp;$CW$4,$AD30:$BA30)),
IF(BR$3=$DF30+'Model Setup'!$I$7,SUMIF($BH$3:$CE$3,"="&amp;$DF30+'Model Setup'!$I$7,$AD30:$BA30)+'Model Setup'!$I$8*(SUMIF($BH$3:$CE$3,"&lt;"&amp;$DF30,$AD30:$BA30)+SUMIF($BH$3:$CE$3,"&gt;"&amp;$CW$4,$AD30:$BA30)),
IF(BR$3=$DF30+'Model Setup'!$J$7,SUMIF($BH$3:$CE$3,"="&amp;$DF30+'Model Setup'!$J$7,$AD30:$BA30)+'Model Setup'!$J$8*(SUMIF($BH$3:$CE$3,"&lt;"&amp;$DF30,$AD30:$BA30)+SUMIF($BH$3:$CE$3,"&gt;"&amp;$CW$4,$AD30:$BA30)),
IF(BR$3=$DF30+'Model Setup'!$K$7,SUMIF($BH$3:$CE$3,"="&amp;$DF30+'Model Setup'!$K$7,$AD30:$BA30)+'Model Setup'!$K$8*(SUMIF($BH$3:$CE$3,"&lt;"&amp;$DF30,$AD30:$BA30)+SUMIF($BH$3:$CE$3,"&gt;"&amp;$CW$4,$AD30:$BA30)),
IF(BR$3=$DF30+'Model Setup'!$L$7,SUMIF($BH$3:$CE$3,"="&amp;$DF30+'Model Setup'!$L$7,$AD30:$BA30)+'Model Setup'!$L$8*(SUMIF($BH$3:$CE$3,"&lt;"&amp;$DF30,$AD30:$BA30)+SUMIF($BH$3:$CE$3,"&gt;"&amp;$CW$4,$AD30:$BA30)),
IF(BR$3=$DF30+'Model Setup'!$M$7,SUMIF($BH$3:$CE$3,"="&amp;$DF30+'Model Setup'!$M$7,$AD30:$BA30)+'Model Setup'!$M$8*(SUMIF($BH$3:$CE$3,"&lt;"&amp;$DF30,$AD30:$BA30)+SUMIF($BH$3:$CE$3,"&gt;"&amp;$CW$4,$AD30:$BA30)),
IF(BR$3=$DF30+'Model Setup'!$N$7,SUMIF($BH$3:$CE$3,"="&amp;$DF30+'Model Setup'!$N$7,$AD30:$BA30)+'Model Setup'!$N$8*(SUMIF($BH$3:$CE$3,"&lt;"&amp;$DF30,$AD30:$BA30)+SUMIF($BH$3:$CE$3,"&gt;"&amp;$CW$4,$AD30:$BA30)),
IF(BR$3&lt;$CW$4,L30,0))))))))))))))),0)</f>
        <v>30</v>
      </c>
      <c r="BS30" s="47">
        <f>ROUND(IF(OR(BS$3&lt;$DF30,BS$3&gt;$CW$4),0,
IF(BS$3=$DF30+'Model Setup'!$B$7,SUMIF($BH$3:$CE$3,"="&amp;$DF30+'Model Setup'!$B$7,$AD30:$BA30)+'Model Setup'!$B$8*(SUMIF($BH$3:$CE$3,"&lt;"&amp;$DF30,$AD30:$BA30)+SUMIF($BH$3:$CE$3,"&gt;"&amp;$CW$4,$AD30:$BA30)),
IF(BS$3=$DF30+'Model Setup'!$C$7,SUMIF($BH$3:$CE$3,"="&amp;$DF30+'Model Setup'!$C$7,$AD30:$BA30)+'Model Setup'!$C$8*(SUMIF($BH$3:$CE$3,"&lt;"&amp;$DF30,$AD30:$BA30)+SUMIF($BH$3:$CE$3,"&gt;"&amp;$CW$4,$AD30:$BA30)),
IF(BS$3=$DF30+'Model Setup'!$D$7,SUMIF($BH$3:$CE$3,"="&amp;$DF30+'Model Setup'!$D$7,$AD30:$BA30)+'Model Setup'!$D$8*(SUMIF($BH$3:$CE$3,"&lt;"&amp;$DF30,$AD30:$BA30)+SUMIF($BH$3:$CE$3,"&gt;"&amp;$CW$4,$AD30:$BA30)),
IF(BS$3=$DF30+'Model Setup'!$E$7,SUMIF($BH$3:$CE$3,"="&amp;$DF30+'Model Setup'!$E$7,$AD30:$BA30)+'Model Setup'!$E$8*(SUMIF($BH$3:$CE$3,"&lt;"&amp;$DF30,$AD30:$BA30)+SUMIF($BH$3:$CE$3,"&gt;"&amp;$CW$4,$AD30:$BA30)),
IF(BS$3=$DF30+'Model Setup'!$F$7,SUMIF($BH$3:$CE$3,"="&amp;$DF30+'Model Setup'!$F$7,$AD30:$BA30)+'Model Setup'!$F$8*(SUMIF($BH$3:$CE$3,"&lt;"&amp;$DF30,$AD30:$BA30)+SUMIF($BH$3:$CE$3,"&gt;"&amp;$CW$4,$AD30:$BA30)),
IF(BS$3=$DF30+'Model Setup'!$G$7,SUMIF($BH$3:$CE$3,"="&amp;$DF30+'Model Setup'!$G$7,$AD30:$BA30)+'Model Setup'!$G$8*(SUMIF($BH$3:$CE$3,"&lt;"&amp;$DF30,$AD30:$BA30)+SUMIF($BH$3:$CE$3,"&gt;"&amp;$CW$4,$AD30:$BA30)),
IF(BS$3=$DF30+'Model Setup'!$H$7,SUMIF($BH$3:$CE$3,"="&amp;$DF30+'Model Setup'!$H$7,$AD30:$BA30)+'Model Setup'!$H$8*(SUMIF($BH$3:$CE$3,"&lt;"&amp;$DF30,$AD30:$BA30)+SUMIF($BH$3:$CE$3,"&gt;"&amp;$CW$4,$AD30:$BA30)),
IF(BS$3=$DF30+'Model Setup'!$I$7,SUMIF($BH$3:$CE$3,"="&amp;$DF30+'Model Setup'!$I$7,$AD30:$BA30)+'Model Setup'!$I$8*(SUMIF($BH$3:$CE$3,"&lt;"&amp;$DF30,$AD30:$BA30)+SUMIF($BH$3:$CE$3,"&gt;"&amp;$CW$4,$AD30:$BA30)),
IF(BS$3=$DF30+'Model Setup'!$J$7,SUMIF($BH$3:$CE$3,"="&amp;$DF30+'Model Setup'!$J$7,$AD30:$BA30)+'Model Setup'!$J$8*(SUMIF($BH$3:$CE$3,"&lt;"&amp;$DF30,$AD30:$BA30)+SUMIF($BH$3:$CE$3,"&gt;"&amp;$CW$4,$AD30:$BA30)),
IF(BS$3=$DF30+'Model Setup'!$K$7,SUMIF($BH$3:$CE$3,"="&amp;$DF30+'Model Setup'!$K$7,$AD30:$BA30)+'Model Setup'!$K$8*(SUMIF($BH$3:$CE$3,"&lt;"&amp;$DF30,$AD30:$BA30)+SUMIF($BH$3:$CE$3,"&gt;"&amp;$CW$4,$AD30:$BA30)),
IF(BS$3=$DF30+'Model Setup'!$L$7,SUMIF($BH$3:$CE$3,"="&amp;$DF30+'Model Setup'!$L$7,$AD30:$BA30)+'Model Setup'!$L$8*(SUMIF($BH$3:$CE$3,"&lt;"&amp;$DF30,$AD30:$BA30)+SUMIF($BH$3:$CE$3,"&gt;"&amp;$CW$4,$AD30:$BA30)),
IF(BS$3=$DF30+'Model Setup'!$M$7,SUMIF($BH$3:$CE$3,"="&amp;$DF30+'Model Setup'!$M$7,$AD30:$BA30)+'Model Setup'!$M$8*(SUMIF($BH$3:$CE$3,"&lt;"&amp;$DF30,$AD30:$BA30)+SUMIF($BH$3:$CE$3,"&gt;"&amp;$CW$4,$AD30:$BA30)),
IF(BS$3=$DF30+'Model Setup'!$N$7,SUMIF($BH$3:$CE$3,"="&amp;$DF30+'Model Setup'!$N$7,$AD30:$BA30)+'Model Setup'!$N$8*(SUMIF($BH$3:$CE$3,"&lt;"&amp;$DF30,$AD30:$BA30)+SUMIF($BH$3:$CE$3,"&gt;"&amp;$CW$4,$AD30:$BA30)),
IF(BS$3&lt;$CW$4,M30,0))))))))))))))),0)</f>
        <v>34</v>
      </c>
      <c r="BT30" s="47">
        <f>ROUND(IF(OR(BT$3&lt;$DF30,BT$3&gt;$CW$4),0,
IF(BT$3=$DF30+'Model Setup'!$B$7,SUMIF($BH$3:$CE$3,"="&amp;$DF30+'Model Setup'!$B$7,$AD30:$BA30)+'Model Setup'!$B$8*(SUMIF($BH$3:$CE$3,"&lt;"&amp;$DF30,$AD30:$BA30)+SUMIF($BH$3:$CE$3,"&gt;"&amp;$CW$4,$AD30:$BA30)),
IF(BT$3=$DF30+'Model Setup'!$C$7,SUMIF($BH$3:$CE$3,"="&amp;$DF30+'Model Setup'!$C$7,$AD30:$BA30)+'Model Setup'!$C$8*(SUMIF($BH$3:$CE$3,"&lt;"&amp;$DF30,$AD30:$BA30)+SUMIF($BH$3:$CE$3,"&gt;"&amp;$CW$4,$AD30:$BA30)),
IF(BT$3=$DF30+'Model Setup'!$D$7,SUMIF($BH$3:$CE$3,"="&amp;$DF30+'Model Setup'!$D$7,$AD30:$BA30)+'Model Setup'!$D$8*(SUMIF($BH$3:$CE$3,"&lt;"&amp;$DF30,$AD30:$BA30)+SUMIF($BH$3:$CE$3,"&gt;"&amp;$CW$4,$AD30:$BA30)),
IF(BT$3=$DF30+'Model Setup'!$E$7,SUMIF($BH$3:$CE$3,"="&amp;$DF30+'Model Setup'!$E$7,$AD30:$BA30)+'Model Setup'!$E$8*(SUMIF($BH$3:$CE$3,"&lt;"&amp;$DF30,$AD30:$BA30)+SUMIF($BH$3:$CE$3,"&gt;"&amp;$CW$4,$AD30:$BA30)),
IF(BT$3=$DF30+'Model Setup'!$F$7,SUMIF($BH$3:$CE$3,"="&amp;$DF30+'Model Setup'!$F$7,$AD30:$BA30)+'Model Setup'!$F$8*(SUMIF($BH$3:$CE$3,"&lt;"&amp;$DF30,$AD30:$BA30)+SUMIF($BH$3:$CE$3,"&gt;"&amp;$CW$4,$AD30:$BA30)),
IF(BT$3=$DF30+'Model Setup'!$G$7,SUMIF($BH$3:$CE$3,"="&amp;$DF30+'Model Setup'!$G$7,$AD30:$BA30)+'Model Setup'!$G$8*(SUMIF($BH$3:$CE$3,"&lt;"&amp;$DF30,$AD30:$BA30)+SUMIF($BH$3:$CE$3,"&gt;"&amp;$CW$4,$AD30:$BA30)),
IF(BT$3=$DF30+'Model Setup'!$H$7,SUMIF($BH$3:$CE$3,"="&amp;$DF30+'Model Setup'!$H$7,$AD30:$BA30)+'Model Setup'!$H$8*(SUMIF($BH$3:$CE$3,"&lt;"&amp;$DF30,$AD30:$BA30)+SUMIF($BH$3:$CE$3,"&gt;"&amp;$CW$4,$AD30:$BA30)),
IF(BT$3=$DF30+'Model Setup'!$I$7,SUMIF($BH$3:$CE$3,"="&amp;$DF30+'Model Setup'!$I$7,$AD30:$BA30)+'Model Setup'!$I$8*(SUMIF($BH$3:$CE$3,"&lt;"&amp;$DF30,$AD30:$BA30)+SUMIF($BH$3:$CE$3,"&gt;"&amp;$CW$4,$AD30:$BA30)),
IF(BT$3=$DF30+'Model Setup'!$J$7,SUMIF($BH$3:$CE$3,"="&amp;$DF30+'Model Setup'!$J$7,$AD30:$BA30)+'Model Setup'!$J$8*(SUMIF($BH$3:$CE$3,"&lt;"&amp;$DF30,$AD30:$BA30)+SUMIF($BH$3:$CE$3,"&gt;"&amp;$CW$4,$AD30:$BA30)),
IF(BT$3=$DF30+'Model Setup'!$K$7,SUMIF($BH$3:$CE$3,"="&amp;$DF30+'Model Setup'!$K$7,$AD30:$BA30)+'Model Setup'!$K$8*(SUMIF($BH$3:$CE$3,"&lt;"&amp;$DF30,$AD30:$BA30)+SUMIF($BH$3:$CE$3,"&gt;"&amp;$CW$4,$AD30:$BA30)),
IF(BT$3=$DF30+'Model Setup'!$L$7,SUMIF($BH$3:$CE$3,"="&amp;$DF30+'Model Setup'!$L$7,$AD30:$BA30)+'Model Setup'!$L$8*(SUMIF($BH$3:$CE$3,"&lt;"&amp;$DF30,$AD30:$BA30)+SUMIF($BH$3:$CE$3,"&gt;"&amp;$CW$4,$AD30:$BA30)),
IF(BT$3=$DF30+'Model Setup'!$M$7,SUMIF($BH$3:$CE$3,"="&amp;$DF30+'Model Setup'!$M$7,$AD30:$BA30)+'Model Setup'!$M$8*(SUMIF($BH$3:$CE$3,"&lt;"&amp;$DF30,$AD30:$BA30)+SUMIF($BH$3:$CE$3,"&gt;"&amp;$CW$4,$AD30:$BA30)),
IF(BT$3=$DF30+'Model Setup'!$N$7,SUMIF($BH$3:$CE$3,"="&amp;$DF30+'Model Setup'!$N$7,$AD30:$BA30)+'Model Setup'!$N$8*(SUMIF($BH$3:$CE$3,"&lt;"&amp;$DF30,$AD30:$BA30)+SUMIF($BH$3:$CE$3,"&gt;"&amp;$CW$4,$AD30:$BA30)),
IF(BT$3&lt;$CW$4,N30,0))))))))))))))),0)</f>
        <v>14</v>
      </c>
      <c r="BU30" s="47">
        <f>ROUND(IF(OR(BU$3&lt;$DF30,BU$3&gt;$CW$4),0,
IF(BU$3=$DF30+'Model Setup'!$B$7,SUMIF($BH$3:$CE$3,"="&amp;$DF30+'Model Setup'!$B$7,$AD30:$BA30)+'Model Setup'!$B$8*(SUMIF($BH$3:$CE$3,"&lt;"&amp;$DF30,$AD30:$BA30)+SUMIF($BH$3:$CE$3,"&gt;"&amp;$CW$4,$AD30:$BA30)),
IF(BU$3=$DF30+'Model Setup'!$C$7,SUMIF($BH$3:$CE$3,"="&amp;$DF30+'Model Setup'!$C$7,$AD30:$BA30)+'Model Setup'!$C$8*(SUMIF($BH$3:$CE$3,"&lt;"&amp;$DF30,$AD30:$BA30)+SUMIF($BH$3:$CE$3,"&gt;"&amp;$CW$4,$AD30:$BA30)),
IF(BU$3=$DF30+'Model Setup'!$D$7,SUMIF($BH$3:$CE$3,"="&amp;$DF30+'Model Setup'!$D$7,$AD30:$BA30)+'Model Setup'!$D$8*(SUMIF($BH$3:$CE$3,"&lt;"&amp;$DF30,$AD30:$BA30)+SUMIF($BH$3:$CE$3,"&gt;"&amp;$CW$4,$AD30:$BA30)),
IF(BU$3=$DF30+'Model Setup'!$E$7,SUMIF($BH$3:$CE$3,"="&amp;$DF30+'Model Setup'!$E$7,$AD30:$BA30)+'Model Setup'!$E$8*(SUMIF($BH$3:$CE$3,"&lt;"&amp;$DF30,$AD30:$BA30)+SUMIF($BH$3:$CE$3,"&gt;"&amp;$CW$4,$AD30:$BA30)),
IF(BU$3=$DF30+'Model Setup'!$F$7,SUMIF($BH$3:$CE$3,"="&amp;$DF30+'Model Setup'!$F$7,$AD30:$BA30)+'Model Setup'!$F$8*(SUMIF($BH$3:$CE$3,"&lt;"&amp;$DF30,$AD30:$BA30)+SUMIF($BH$3:$CE$3,"&gt;"&amp;$CW$4,$AD30:$BA30)),
IF(BU$3=$DF30+'Model Setup'!$G$7,SUMIF($BH$3:$CE$3,"="&amp;$DF30+'Model Setup'!$G$7,$AD30:$BA30)+'Model Setup'!$G$8*(SUMIF($BH$3:$CE$3,"&lt;"&amp;$DF30,$AD30:$BA30)+SUMIF($BH$3:$CE$3,"&gt;"&amp;$CW$4,$AD30:$BA30)),
IF(BU$3=$DF30+'Model Setup'!$H$7,SUMIF($BH$3:$CE$3,"="&amp;$DF30+'Model Setup'!$H$7,$AD30:$BA30)+'Model Setup'!$H$8*(SUMIF($BH$3:$CE$3,"&lt;"&amp;$DF30,$AD30:$BA30)+SUMIF($BH$3:$CE$3,"&gt;"&amp;$CW$4,$AD30:$BA30)),
IF(BU$3=$DF30+'Model Setup'!$I$7,SUMIF($BH$3:$CE$3,"="&amp;$DF30+'Model Setup'!$I$7,$AD30:$BA30)+'Model Setup'!$I$8*(SUMIF($BH$3:$CE$3,"&lt;"&amp;$DF30,$AD30:$BA30)+SUMIF($BH$3:$CE$3,"&gt;"&amp;$CW$4,$AD30:$BA30)),
IF(BU$3=$DF30+'Model Setup'!$J$7,SUMIF($BH$3:$CE$3,"="&amp;$DF30+'Model Setup'!$J$7,$AD30:$BA30)+'Model Setup'!$J$8*(SUMIF($BH$3:$CE$3,"&lt;"&amp;$DF30,$AD30:$BA30)+SUMIF($BH$3:$CE$3,"&gt;"&amp;$CW$4,$AD30:$BA30)),
IF(BU$3=$DF30+'Model Setup'!$K$7,SUMIF($BH$3:$CE$3,"="&amp;$DF30+'Model Setup'!$K$7,$AD30:$BA30)+'Model Setup'!$K$8*(SUMIF($BH$3:$CE$3,"&lt;"&amp;$DF30,$AD30:$BA30)+SUMIF($BH$3:$CE$3,"&gt;"&amp;$CW$4,$AD30:$BA30)),
IF(BU$3=$DF30+'Model Setup'!$L$7,SUMIF($BH$3:$CE$3,"="&amp;$DF30+'Model Setup'!$L$7,$AD30:$BA30)+'Model Setup'!$L$8*(SUMIF($BH$3:$CE$3,"&lt;"&amp;$DF30,$AD30:$BA30)+SUMIF($BH$3:$CE$3,"&gt;"&amp;$CW$4,$AD30:$BA30)),
IF(BU$3=$DF30+'Model Setup'!$M$7,SUMIF($BH$3:$CE$3,"="&amp;$DF30+'Model Setup'!$M$7,$AD30:$BA30)+'Model Setup'!$M$8*(SUMIF($BH$3:$CE$3,"&lt;"&amp;$DF30,$AD30:$BA30)+SUMIF($BH$3:$CE$3,"&gt;"&amp;$CW$4,$AD30:$BA30)),
IF(BU$3=$DF30+'Model Setup'!$N$7,SUMIF($BH$3:$CE$3,"="&amp;$DF30+'Model Setup'!$N$7,$AD30:$BA30)+'Model Setup'!$N$8*(SUMIF($BH$3:$CE$3,"&lt;"&amp;$DF30,$AD30:$BA30)+SUMIF($BH$3:$CE$3,"&gt;"&amp;$CW$4,$AD30:$BA30)),
IF(BU$3&lt;$CW$4,O30,0))))))))))))))),0)</f>
        <v>15</v>
      </c>
      <c r="BV30" s="47">
        <f>ROUND(IF(OR(BV$3&lt;$DF30,BV$3&gt;$CW$4),0,
IF(BV$3=$DF30+'Model Setup'!$B$7,SUMIF($BH$3:$CE$3,"="&amp;$DF30+'Model Setup'!$B$7,$AD30:$BA30)+'Model Setup'!$B$8*(SUMIF($BH$3:$CE$3,"&lt;"&amp;$DF30,$AD30:$BA30)+SUMIF($BH$3:$CE$3,"&gt;"&amp;$CW$4,$AD30:$BA30)),
IF(BV$3=$DF30+'Model Setup'!$C$7,SUMIF($BH$3:$CE$3,"="&amp;$DF30+'Model Setup'!$C$7,$AD30:$BA30)+'Model Setup'!$C$8*(SUMIF($BH$3:$CE$3,"&lt;"&amp;$DF30,$AD30:$BA30)+SUMIF($BH$3:$CE$3,"&gt;"&amp;$CW$4,$AD30:$BA30)),
IF(BV$3=$DF30+'Model Setup'!$D$7,SUMIF($BH$3:$CE$3,"="&amp;$DF30+'Model Setup'!$D$7,$AD30:$BA30)+'Model Setup'!$D$8*(SUMIF($BH$3:$CE$3,"&lt;"&amp;$DF30,$AD30:$BA30)+SUMIF($BH$3:$CE$3,"&gt;"&amp;$CW$4,$AD30:$BA30)),
IF(BV$3=$DF30+'Model Setup'!$E$7,SUMIF($BH$3:$CE$3,"="&amp;$DF30+'Model Setup'!$E$7,$AD30:$BA30)+'Model Setup'!$E$8*(SUMIF($BH$3:$CE$3,"&lt;"&amp;$DF30,$AD30:$BA30)+SUMIF($BH$3:$CE$3,"&gt;"&amp;$CW$4,$AD30:$BA30)),
IF(BV$3=$DF30+'Model Setup'!$F$7,SUMIF($BH$3:$CE$3,"="&amp;$DF30+'Model Setup'!$F$7,$AD30:$BA30)+'Model Setup'!$F$8*(SUMIF($BH$3:$CE$3,"&lt;"&amp;$DF30,$AD30:$BA30)+SUMIF($BH$3:$CE$3,"&gt;"&amp;$CW$4,$AD30:$BA30)),
IF(BV$3=$DF30+'Model Setup'!$G$7,SUMIF($BH$3:$CE$3,"="&amp;$DF30+'Model Setup'!$G$7,$AD30:$BA30)+'Model Setup'!$G$8*(SUMIF($BH$3:$CE$3,"&lt;"&amp;$DF30,$AD30:$BA30)+SUMIF($BH$3:$CE$3,"&gt;"&amp;$CW$4,$AD30:$BA30)),
IF(BV$3=$DF30+'Model Setup'!$H$7,SUMIF($BH$3:$CE$3,"="&amp;$DF30+'Model Setup'!$H$7,$AD30:$BA30)+'Model Setup'!$H$8*(SUMIF($BH$3:$CE$3,"&lt;"&amp;$DF30,$AD30:$BA30)+SUMIF($BH$3:$CE$3,"&gt;"&amp;$CW$4,$AD30:$BA30)),
IF(BV$3=$DF30+'Model Setup'!$I$7,SUMIF($BH$3:$CE$3,"="&amp;$DF30+'Model Setup'!$I$7,$AD30:$BA30)+'Model Setup'!$I$8*(SUMIF($BH$3:$CE$3,"&lt;"&amp;$DF30,$AD30:$BA30)+SUMIF($BH$3:$CE$3,"&gt;"&amp;$CW$4,$AD30:$BA30)),
IF(BV$3=$DF30+'Model Setup'!$J$7,SUMIF($BH$3:$CE$3,"="&amp;$DF30+'Model Setup'!$J$7,$AD30:$BA30)+'Model Setup'!$J$8*(SUMIF($BH$3:$CE$3,"&lt;"&amp;$DF30,$AD30:$BA30)+SUMIF($BH$3:$CE$3,"&gt;"&amp;$CW$4,$AD30:$BA30)),
IF(BV$3=$DF30+'Model Setup'!$K$7,SUMIF($BH$3:$CE$3,"="&amp;$DF30+'Model Setup'!$K$7,$AD30:$BA30)+'Model Setup'!$K$8*(SUMIF($BH$3:$CE$3,"&lt;"&amp;$DF30,$AD30:$BA30)+SUMIF($BH$3:$CE$3,"&gt;"&amp;$CW$4,$AD30:$BA30)),
IF(BV$3=$DF30+'Model Setup'!$L$7,SUMIF($BH$3:$CE$3,"="&amp;$DF30+'Model Setup'!$L$7,$AD30:$BA30)+'Model Setup'!$L$8*(SUMIF($BH$3:$CE$3,"&lt;"&amp;$DF30,$AD30:$BA30)+SUMIF($BH$3:$CE$3,"&gt;"&amp;$CW$4,$AD30:$BA30)),
IF(BV$3=$DF30+'Model Setup'!$M$7,SUMIF($BH$3:$CE$3,"="&amp;$DF30+'Model Setup'!$M$7,$AD30:$BA30)+'Model Setup'!$M$8*(SUMIF($BH$3:$CE$3,"&lt;"&amp;$DF30,$AD30:$BA30)+SUMIF($BH$3:$CE$3,"&gt;"&amp;$CW$4,$AD30:$BA30)),
IF(BV$3=$DF30+'Model Setup'!$N$7,SUMIF($BH$3:$CE$3,"="&amp;$DF30+'Model Setup'!$N$7,$AD30:$BA30)+'Model Setup'!$N$8*(SUMIF($BH$3:$CE$3,"&lt;"&amp;$DF30,$AD30:$BA30)+SUMIF($BH$3:$CE$3,"&gt;"&amp;$CW$4,$AD30:$BA30)),
IF(BV$3&lt;$CW$4,P30,0))))))))))))))),0)</f>
        <v>10</v>
      </c>
      <c r="BW30" s="47">
        <f>ROUND(IF(OR(BW$3&lt;$DF30,BW$3&gt;$CW$4),0,
IF(BW$3=$DF30+'Model Setup'!$B$7,SUMIF($BH$3:$CE$3,"="&amp;$DF30+'Model Setup'!$B$7,$AD30:$BA30)+'Model Setup'!$B$8*(SUMIF($BH$3:$CE$3,"&lt;"&amp;$DF30,$AD30:$BA30)+SUMIF($BH$3:$CE$3,"&gt;"&amp;$CW$4,$AD30:$BA30)),
IF(BW$3=$DF30+'Model Setup'!$C$7,SUMIF($BH$3:$CE$3,"="&amp;$DF30+'Model Setup'!$C$7,$AD30:$BA30)+'Model Setup'!$C$8*(SUMIF($BH$3:$CE$3,"&lt;"&amp;$DF30,$AD30:$BA30)+SUMIF($BH$3:$CE$3,"&gt;"&amp;$CW$4,$AD30:$BA30)),
IF(BW$3=$DF30+'Model Setup'!$D$7,SUMIF($BH$3:$CE$3,"="&amp;$DF30+'Model Setup'!$D$7,$AD30:$BA30)+'Model Setup'!$D$8*(SUMIF($BH$3:$CE$3,"&lt;"&amp;$DF30,$AD30:$BA30)+SUMIF($BH$3:$CE$3,"&gt;"&amp;$CW$4,$AD30:$BA30)),
IF(BW$3=$DF30+'Model Setup'!$E$7,SUMIF($BH$3:$CE$3,"="&amp;$DF30+'Model Setup'!$E$7,$AD30:$BA30)+'Model Setup'!$E$8*(SUMIF($BH$3:$CE$3,"&lt;"&amp;$DF30,$AD30:$BA30)+SUMIF($BH$3:$CE$3,"&gt;"&amp;$CW$4,$AD30:$BA30)),
IF(BW$3=$DF30+'Model Setup'!$F$7,SUMIF($BH$3:$CE$3,"="&amp;$DF30+'Model Setup'!$F$7,$AD30:$BA30)+'Model Setup'!$F$8*(SUMIF($BH$3:$CE$3,"&lt;"&amp;$DF30,$AD30:$BA30)+SUMIF($BH$3:$CE$3,"&gt;"&amp;$CW$4,$AD30:$BA30)),
IF(BW$3=$DF30+'Model Setup'!$G$7,SUMIF($BH$3:$CE$3,"="&amp;$DF30+'Model Setup'!$G$7,$AD30:$BA30)+'Model Setup'!$G$8*(SUMIF($BH$3:$CE$3,"&lt;"&amp;$DF30,$AD30:$BA30)+SUMIF($BH$3:$CE$3,"&gt;"&amp;$CW$4,$AD30:$BA30)),
IF(BW$3=$DF30+'Model Setup'!$H$7,SUMIF($BH$3:$CE$3,"="&amp;$DF30+'Model Setup'!$H$7,$AD30:$BA30)+'Model Setup'!$H$8*(SUMIF($BH$3:$CE$3,"&lt;"&amp;$DF30,$AD30:$BA30)+SUMIF($BH$3:$CE$3,"&gt;"&amp;$CW$4,$AD30:$BA30)),
IF(BW$3=$DF30+'Model Setup'!$I$7,SUMIF($BH$3:$CE$3,"="&amp;$DF30+'Model Setup'!$I$7,$AD30:$BA30)+'Model Setup'!$I$8*(SUMIF($BH$3:$CE$3,"&lt;"&amp;$DF30,$AD30:$BA30)+SUMIF($BH$3:$CE$3,"&gt;"&amp;$CW$4,$AD30:$BA30)),
IF(BW$3=$DF30+'Model Setup'!$J$7,SUMIF($BH$3:$CE$3,"="&amp;$DF30+'Model Setup'!$J$7,$AD30:$BA30)+'Model Setup'!$J$8*(SUMIF($BH$3:$CE$3,"&lt;"&amp;$DF30,$AD30:$BA30)+SUMIF($BH$3:$CE$3,"&gt;"&amp;$CW$4,$AD30:$BA30)),
IF(BW$3=$DF30+'Model Setup'!$K$7,SUMIF($BH$3:$CE$3,"="&amp;$DF30+'Model Setup'!$K$7,$AD30:$BA30)+'Model Setup'!$K$8*(SUMIF($BH$3:$CE$3,"&lt;"&amp;$DF30,$AD30:$BA30)+SUMIF($BH$3:$CE$3,"&gt;"&amp;$CW$4,$AD30:$BA30)),
IF(BW$3=$DF30+'Model Setup'!$L$7,SUMIF($BH$3:$CE$3,"="&amp;$DF30+'Model Setup'!$L$7,$AD30:$BA30)+'Model Setup'!$L$8*(SUMIF($BH$3:$CE$3,"&lt;"&amp;$DF30,$AD30:$BA30)+SUMIF($BH$3:$CE$3,"&gt;"&amp;$CW$4,$AD30:$BA30)),
IF(BW$3=$DF30+'Model Setup'!$M$7,SUMIF($BH$3:$CE$3,"="&amp;$DF30+'Model Setup'!$M$7,$AD30:$BA30)+'Model Setup'!$M$8*(SUMIF($BH$3:$CE$3,"&lt;"&amp;$DF30,$AD30:$BA30)+SUMIF($BH$3:$CE$3,"&gt;"&amp;$CW$4,$AD30:$BA30)),
IF(BW$3=$DF30+'Model Setup'!$N$7,SUMIF($BH$3:$CE$3,"="&amp;$DF30+'Model Setup'!$N$7,$AD30:$BA30)+'Model Setup'!$N$8*(SUMIF($BH$3:$CE$3,"&lt;"&amp;$DF30,$AD30:$BA30)+SUMIF($BH$3:$CE$3,"&gt;"&amp;$CW$4,$AD30:$BA30)),
IF(BW$3&lt;$CW$4,Q30,0))))))))))))))),0)</f>
        <v>8</v>
      </c>
      <c r="BX30" s="47">
        <f>ROUND(IF(OR(BX$3&lt;$DF30,BX$3&gt;$CW$4),0,
IF(BX$3=$DF30+'Model Setup'!$B$7,SUMIF($BH$3:$CE$3,"="&amp;$DF30+'Model Setup'!$B$7,$AD30:$BA30)+'Model Setup'!$B$8*(SUMIF($BH$3:$CE$3,"&lt;"&amp;$DF30,$AD30:$BA30)+SUMIF($BH$3:$CE$3,"&gt;"&amp;$CW$4,$AD30:$BA30)),
IF(BX$3=$DF30+'Model Setup'!$C$7,SUMIF($BH$3:$CE$3,"="&amp;$DF30+'Model Setup'!$C$7,$AD30:$BA30)+'Model Setup'!$C$8*(SUMIF($BH$3:$CE$3,"&lt;"&amp;$DF30,$AD30:$BA30)+SUMIF($BH$3:$CE$3,"&gt;"&amp;$CW$4,$AD30:$BA30)),
IF(BX$3=$DF30+'Model Setup'!$D$7,SUMIF($BH$3:$CE$3,"="&amp;$DF30+'Model Setup'!$D$7,$AD30:$BA30)+'Model Setup'!$D$8*(SUMIF($BH$3:$CE$3,"&lt;"&amp;$DF30,$AD30:$BA30)+SUMIF($BH$3:$CE$3,"&gt;"&amp;$CW$4,$AD30:$BA30)),
IF(BX$3=$DF30+'Model Setup'!$E$7,SUMIF($BH$3:$CE$3,"="&amp;$DF30+'Model Setup'!$E$7,$AD30:$BA30)+'Model Setup'!$E$8*(SUMIF($BH$3:$CE$3,"&lt;"&amp;$DF30,$AD30:$BA30)+SUMIF($BH$3:$CE$3,"&gt;"&amp;$CW$4,$AD30:$BA30)),
IF(BX$3=$DF30+'Model Setup'!$F$7,SUMIF($BH$3:$CE$3,"="&amp;$DF30+'Model Setup'!$F$7,$AD30:$BA30)+'Model Setup'!$F$8*(SUMIF($BH$3:$CE$3,"&lt;"&amp;$DF30,$AD30:$BA30)+SUMIF($BH$3:$CE$3,"&gt;"&amp;$CW$4,$AD30:$BA30)),
IF(BX$3=$DF30+'Model Setup'!$G$7,SUMIF($BH$3:$CE$3,"="&amp;$DF30+'Model Setup'!$G$7,$AD30:$BA30)+'Model Setup'!$G$8*(SUMIF($BH$3:$CE$3,"&lt;"&amp;$DF30,$AD30:$BA30)+SUMIF($BH$3:$CE$3,"&gt;"&amp;$CW$4,$AD30:$BA30)),
IF(BX$3=$DF30+'Model Setup'!$H$7,SUMIF($BH$3:$CE$3,"="&amp;$DF30+'Model Setup'!$H$7,$AD30:$BA30)+'Model Setup'!$H$8*(SUMIF($BH$3:$CE$3,"&lt;"&amp;$DF30,$AD30:$BA30)+SUMIF($BH$3:$CE$3,"&gt;"&amp;$CW$4,$AD30:$BA30)),
IF(BX$3=$DF30+'Model Setup'!$I$7,SUMIF($BH$3:$CE$3,"="&amp;$DF30+'Model Setup'!$I$7,$AD30:$BA30)+'Model Setup'!$I$8*(SUMIF($BH$3:$CE$3,"&lt;"&amp;$DF30,$AD30:$BA30)+SUMIF($BH$3:$CE$3,"&gt;"&amp;$CW$4,$AD30:$BA30)),
IF(BX$3=$DF30+'Model Setup'!$J$7,SUMIF($BH$3:$CE$3,"="&amp;$DF30+'Model Setup'!$J$7,$AD30:$BA30)+'Model Setup'!$J$8*(SUMIF($BH$3:$CE$3,"&lt;"&amp;$DF30,$AD30:$BA30)+SUMIF($BH$3:$CE$3,"&gt;"&amp;$CW$4,$AD30:$BA30)),
IF(BX$3=$DF30+'Model Setup'!$K$7,SUMIF($BH$3:$CE$3,"="&amp;$DF30+'Model Setup'!$K$7,$AD30:$BA30)+'Model Setup'!$K$8*(SUMIF($BH$3:$CE$3,"&lt;"&amp;$DF30,$AD30:$BA30)+SUMIF($BH$3:$CE$3,"&gt;"&amp;$CW$4,$AD30:$BA30)),
IF(BX$3=$DF30+'Model Setup'!$L$7,SUMIF($BH$3:$CE$3,"="&amp;$DF30+'Model Setup'!$L$7,$AD30:$BA30)+'Model Setup'!$L$8*(SUMIF($BH$3:$CE$3,"&lt;"&amp;$DF30,$AD30:$BA30)+SUMIF($BH$3:$CE$3,"&gt;"&amp;$CW$4,$AD30:$BA30)),
IF(BX$3=$DF30+'Model Setup'!$M$7,SUMIF($BH$3:$CE$3,"="&amp;$DF30+'Model Setup'!$M$7,$AD30:$BA30)+'Model Setup'!$M$8*(SUMIF($BH$3:$CE$3,"&lt;"&amp;$DF30,$AD30:$BA30)+SUMIF($BH$3:$CE$3,"&gt;"&amp;$CW$4,$AD30:$BA30)),
IF(BX$3=$DF30+'Model Setup'!$N$7,SUMIF($BH$3:$CE$3,"="&amp;$DF30+'Model Setup'!$N$7,$AD30:$BA30)+'Model Setup'!$N$8*(SUMIF($BH$3:$CE$3,"&lt;"&amp;$DF30,$AD30:$BA30)+SUMIF($BH$3:$CE$3,"&gt;"&amp;$CW$4,$AD30:$BA30)),
IF(BX$3&lt;$CW$4,R30,0))))))))))))))),0)</f>
        <v>17</v>
      </c>
      <c r="BY30" s="47">
        <f>ROUND(IF(OR(BY$3&lt;$DF30,BY$3&gt;$CW$4),0,
IF(BY$3=$DF30+'Model Setup'!$B$7,SUMIF($BH$3:$CE$3,"="&amp;$DF30+'Model Setup'!$B$7,$AD30:$BA30)+'Model Setup'!$B$8*(SUMIF($BH$3:$CE$3,"&lt;"&amp;$DF30,$AD30:$BA30)+SUMIF($BH$3:$CE$3,"&gt;"&amp;$CW$4,$AD30:$BA30)),
IF(BY$3=$DF30+'Model Setup'!$C$7,SUMIF($BH$3:$CE$3,"="&amp;$DF30+'Model Setup'!$C$7,$AD30:$BA30)+'Model Setup'!$C$8*(SUMIF($BH$3:$CE$3,"&lt;"&amp;$DF30,$AD30:$BA30)+SUMIF($BH$3:$CE$3,"&gt;"&amp;$CW$4,$AD30:$BA30)),
IF(BY$3=$DF30+'Model Setup'!$D$7,SUMIF($BH$3:$CE$3,"="&amp;$DF30+'Model Setup'!$D$7,$AD30:$BA30)+'Model Setup'!$D$8*(SUMIF($BH$3:$CE$3,"&lt;"&amp;$DF30,$AD30:$BA30)+SUMIF($BH$3:$CE$3,"&gt;"&amp;$CW$4,$AD30:$BA30)),
IF(BY$3=$DF30+'Model Setup'!$E$7,SUMIF($BH$3:$CE$3,"="&amp;$DF30+'Model Setup'!$E$7,$AD30:$BA30)+'Model Setup'!$E$8*(SUMIF($BH$3:$CE$3,"&lt;"&amp;$DF30,$AD30:$BA30)+SUMIF($BH$3:$CE$3,"&gt;"&amp;$CW$4,$AD30:$BA30)),
IF(BY$3=$DF30+'Model Setup'!$F$7,SUMIF($BH$3:$CE$3,"="&amp;$DF30+'Model Setup'!$F$7,$AD30:$BA30)+'Model Setup'!$F$8*(SUMIF($BH$3:$CE$3,"&lt;"&amp;$DF30,$AD30:$BA30)+SUMIF($BH$3:$CE$3,"&gt;"&amp;$CW$4,$AD30:$BA30)),
IF(BY$3=$DF30+'Model Setup'!$G$7,SUMIF($BH$3:$CE$3,"="&amp;$DF30+'Model Setup'!$G$7,$AD30:$BA30)+'Model Setup'!$G$8*(SUMIF($BH$3:$CE$3,"&lt;"&amp;$DF30,$AD30:$BA30)+SUMIF($BH$3:$CE$3,"&gt;"&amp;$CW$4,$AD30:$BA30)),
IF(BY$3=$DF30+'Model Setup'!$H$7,SUMIF($BH$3:$CE$3,"="&amp;$DF30+'Model Setup'!$H$7,$AD30:$BA30)+'Model Setup'!$H$8*(SUMIF($BH$3:$CE$3,"&lt;"&amp;$DF30,$AD30:$BA30)+SUMIF($BH$3:$CE$3,"&gt;"&amp;$CW$4,$AD30:$BA30)),
IF(BY$3=$DF30+'Model Setup'!$I$7,SUMIF($BH$3:$CE$3,"="&amp;$DF30+'Model Setup'!$I$7,$AD30:$BA30)+'Model Setup'!$I$8*(SUMIF($BH$3:$CE$3,"&lt;"&amp;$DF30,$AD30:$BA30)+SUMIF($BH$3:$CE$3,"&gt;"&amp;$CW$4,$AD30:$BA30)),
IF(BY$3=$DF30+'Model Setup'!$J$7,SUMIF($BH$3:$CE$3,"="&amp;$DF30+'Model Setup'!$J$7,$AD30:$BA30)+'Model Setup'!$J$8*(SUMIF($BH$3:$CE$3,"&lt;"&amp;$DF30,$AD30:$BA30)+SUMIF($BH$3:$CE$3,"&gt;"&amp;$CW$4,$AD30:$BA30)),
IF(BY$3=$DF30+'Model Setup'!$K$7,SUMIF($BH$3:$CE$3,"="&amp;$DF30+'Model Setup'!$K$7,$AD30:$BA30)+'Model Setup'!$K$8*(SUMIF($BH$3:$CE$3,"&lt;"&amp;$DF30,$AD30:$BA30)+SUMIF($BH$3:$CE$3,"&gt;"&amp;$CW$4,$AD30:$BA30)),
IF(BY$3=$DF30+'Model Setup'!$L$7,SUMIF($BH$3:$CE$3,"="&amp;$DF30+'Model Setup'!$L$7,$AD30:$BA30)+'Model Setup'!$L$8*(SUMIF($BH$3:$CE$3,"&lt;"&amp;$DF30,$AD30:$BA30)+SUMIF($BH$3:$CE$3,"&gt;"&amp;$CW$4,$AD30:$BA30)),
IF(BY$3=$DF30+'Model Setup'!$M$7,SUMIF($BH$3:$CE$3,"="&amp;$DF30+'Model Setup'!$M$7,$AD30:$BA30)+'Model Setup'!$M$8*(SUMIF($BH$3:$CE$3,"&lt;"&amp;$DF30,$AD30:$BA30)+SUMIF($BH$3:$CE$3,"&gt;"&amp;$CW$4,$AD30:$BA30)),
IF(BY$3=$DF30+'Model Setup'!$N$7,SUMIF($BH$3:$CE$3,"="&amp;$DF30+'Model Setup'!$N$7,$AD30:$BA30)+'Model Setup'!$N$8*(SUMIF($BH$3:$CE$3,"&lt;"&amp;$DF30,$AD30:$BA30)+SUMIF($BH$3:$CE$3,"&gt;"&amp;$CW$4,$AD30:$BA30)),
IF(BY$3&lt;$CW$4,S30,0))))))))))))))),0)</f>
        <v>18</v>
      </c>
      <c r="BZ30" s="47">
        <f>ROUND(IF(OR(BZ$3&lt;$DF30,BZ$3&gt;$CW$4),0,
IF(BZ$3=$DF30+'Model Setup'!$B$7,SUMIF($BH$3:$CE$3,"="&amp;$DF30+'Model Setup'!$B$7,$AD30:$BA30)+'Model Setup'!$B$8*(SUMIF($BH$3:$CE$3,"&lt;"&amp;$DF30,$AD30:$BA30)+SUMIF($BH$3:$CE$3,"&gt;"&amp;$CW$4,$AD30:$BA30)),
IF(BZ$3=$DF30+'Model Setup'!$C$7,SUMIF($BH$3:$CE$3,"="&amp;$DF30+'Model Setup'!$C$7,$AD30:$BA30)+'Model Setup'!$C$8*(SUMIF($BH$3:$CE$3,"&lt;"&amp;$DF30,$AD30:$BA30)+SUMIF($BH$3:$CE$3,"&gt;"&amp;$CW$4,$AD30:$BA30)),
IF(BZ$3=$DF30+'Model Setup'!$D$7,SUMIF($BH$3:$CE$3,"="&amp;$DF30+'Model Setup'!$D$7,$AD30:$BA30)+'Model Setup'!$D$8*(SUMIF($BH$3:$CE$3,"&lt;"&amp;$DF30,$AD30:$BA30)+SUMIF($BH$3:$CE$3,"&gt;"&amp;$CW$4,$AD30:$BA30)),
IF(BZ$3=$DF30+'Model Setup'!$E$7,SUMIF($BH$3:$CE$3,"="&amp;$DF30+'Model Setup'!$E$7,$AD30:$BA30)+'Model Setup'!$E$8*(SUMIF($BH$3:$CE$3,"&lt;"&amp;$DF30,$AD30:$BA30)+SUMIF($BH$3:$CE$3,"&gt;"&amp;$CW$4,$AD30:$BA30)),
IF(BZ$3=$DF30+'Model Setup'!$F$7,SUMIF($BH$3:$CE$3,"="&amp;$DF30+'Model Setup'!$F$7,$AD30:$BA30)+'Model Setup'!$F$8*(SUMIF($BH$3:$CE$3,"&lt;"&amp;$DF30,$AD30:$BA30)+SUMIF($BH$3:$CE$3,"&gt;"&amp;$CW$4,$AD30:$BA30)),
IF(BZ$3=$DF30+'Model Setup'!$G$7,SUMIF($BH$3:$CE$3,"="&amp;$DF30+'Model Setup'!$G$7,$AD30:$BA30)+'Model Setup'!$G$8*(SUMIF($BH$3:$CE$3,"&lt;"&amp;$DF30,$AD30:$BA30)+SUMIF($BH$3:$CE$3,"&gt;"&amp;$CW$4,$AD30:$BA30)),
IF(BZ$3=$DF30+'Model Setup'!$H$7,SUMIF($BH$3:$CE$3,"="&amp;$DF30+'Model Setup'!$H$7,$AD30:$BA30)+'Model Setup'!$H$8*(SUMIF($BH$3:$CE$3,"&lt;"&amp;$DF30,$AD30:$BA30)+SUMIF($BH$3:$CE$3,"&gt;"&amp;$CW$4,$AD30:$BA30)),
IF(BZ$3=$DF30+'Model Setup'!$I$7,SUMIF($BH$3:$CE$3,"="&amp;$DF30+'Model Setup'!$I$7,$AD30:$BA30)+'Model Setup'!$I$8*(SUMIF($BH$3:$CE$3,"&lt;"&amp;$DF30,$AD30:$BA30)+SUMIF($BH$3:$CE$3,"&gt;"&amp;$CW$4,$AD30:$BA30)),
IF(BZ$3=$DF30+'Model Setup'!$J$7,SUMIF($BH$3:$CE$3,"="&amp;$DF30+'Model Setup'!$J$7,$AD30:$BA30)+'Model Setup'!$J$8*(SUMIF($BH$3:$CE$3,"&lt;"&amp;$DF30,$AD30:$BA30)+SUMIF($BH$3:$CE$3,"&gt;"&amp;$CW$4,$AD30:$BA30)),
IF(BZ$3=$DF30+'Model Setup'!$K$7,SUMIF($BH$3:$CE$3,"="&amp;$DF30+'Model Setup'!$K$7,$AD30:$BA30)+'Model Setup'!$K$8*(SUMIF($BH$3:$CE$3,"&lt;"&amp;$DF30,$AD30:$BA30)+SUMIF($BH$3:$CE$3,"&gt;"&amp;$CW$4,$AD30:$BA30)),
IF(BZ$3=$DF30+'Model Setup'!$L$7,SUMIF($BH$3:$CE$3,"="&amp;$DF30+'Model Setup'!$L$7,$AD30:$BA30)+'Model Setup'!$L$8*(SUMIF($BH$3:$CE$3,"&lt;"&amp;$DF30,$AD30:$BA30)+SUMIF($BH$3:$CE$3,"&gt;"&amp;$CW$4,$AD30:$BA30)),
IF(BZ$3=$DF30+'Model Setup'!$M$7,SUMIF($BH$3:$CE$3,"="&amp;$DF30+'Model Setup'!$M$7,$AD30:$BA30)+'Model Setup'!$M$8*(SUMIF($BH$3:$CE$3,"&lt;"&amp;$DF30,$AD30:$BA30)+SUMIF($BH$3:$CE$3,"&gt;"&amp;$CW$4,$AD30:$BA30)),
IF(BZ$3=$DF30+'Model Setup'!$N$7,SUMIF($BH$3:$CE$3,"="&amp;$DF30+'Model Setup'!$N$7,$AD30:$BA30)+'Model Setup'!$N$8*(SUMIF($BH$3:$CE$3,"&lt;"&amp;$DF30,$AD30:$BA30)+SUMIF($BH$3:$CE$3,"&gt;"&amp;$CW$4,$AD30:$BA30)),
IF(BZ$3&lt;$CW$4,T30,0))))))))))))))),0)</f>
        <v>14</v>
      </c>
      <c r="CA30" s="47">
        <f>ROUND(IF(OR(CA$3&lt;$DF30,CA$3&gt;$CW$4),0,
IF(CA$3=$DF30+'Model Setup'!$B$7,SUMIF($BH$3:$CE$3,"="&amp;$DF30+'Model Setup'!$B$7,$AD30:$BA30)+'Model Setup'!$B$8*(SUMIF($BH$3:$CE$3,"&lt;"&amp;$DF30,$AD30:$BA30)+SUMIF($BH$3:$CE$3,"&gt;"&amp;$CW$4,$AD30:$BA30)),
IF(CA$3=$DF30+'Model Setup'!$C$7,SUMIF($BH$3:$CE$3,"="&amp;$DF30+'Model Setup'!$C$7,$AD30:$BA30)+'Model Setup'!$C$8*(SUMIF($BH$3:$CE$3,"&lt;"&amp;$DF30,$AD30:$BA30)+SUMIF($BH$3:$CE$3,"&gt;"&amp;$CW$4,$AD30:$BA30)),
IF(CA$3=$DF30+'Model Setup'!$D$7,SUMIF($BH$3:$CE$3,"="&amp;$DF30+'Model Setup'!$D$7,$AD30:$BA30)+'Model Setup'!$D$8*(SUMIF($BH$3:$CE$3,"&lt;"&amp;$DF30,$AD30:$BA30)+SUMIF($BH$3:$CE$3,"&gt;"&amp;$CW$4,$AD30:$BA30)),
IF(CA$3=$DF30+'Model Setup'!$E$7,SUMIF($BH$3:$CE$3,"="&amp;$DF30+'Model Setup'!$E$7,$AD30:$BA30)+'Model Setup'!$E$8*(SUMIF($BH$3:$CE$3,"&lt;"&amp;$DF30,$AD30:$BA30)+SUMIF($BH$3:$CE$3,"&gt;"&amp;$CW$4,$AD30:$BA30)),
IF(CA$3=$DF30+'Model Setup'!$F$7,SUMIF($BH$3:$CE$3,"="&amp;$DF30+'Model Setup'!$F$7,$AD30:$BA30)+'Model Setup'!$F$8*(SUMIF($BH$3:$CE$3,"&lt;"&amp;$DF30,$AD30:$BA30)+SUMIF($BH$3:$CE$3,"&gt;"&amp;$CW$4,$AD30:$BA30)),
IF(CA$3=$DF30+'Model Setup'!$G$7,SUMIF($BH$3:$CE$3,"="&amp;$DF30+'Model Setup'!$G$7,$AD30:$BA30)+'Model Setup'!$G$8*(SUMIF($BH$3:$CE$3,"&lt;"&amp;$DF30,$AD30:$BA30)+SUMIF($BH$3:$CE$3,"&gt;"&amp;$CW$4,$AD30:$BA30)),
IF(CA$3=$DF30+'Model Setup'!$H$7,SUMIF($BH$3:$CE$3,"="&amp;$DF30+'Model Setup'!$H$7,$AD30:$BA30)+'Model Setup'!$H$8*(SUMIF($BH$3:$CE$3,"&lt;"&amp;$DF30,$AD30:$BA30)+SUMIF($BH$3:$CE$3,"&gt;"&amp;$CW$4,$AD30:$BA30)),
IF(CA$3=$DF30+'Model Setup'!$I$7,SUMIF($BH$3:$CE$3,"="&amp;$DF30+'Model Setup'!$I$7,$AD30:$BA30)+'Model Setup'!$I$8*(SUMIF($BH$3:$CE$3,"&lt;"&amp;$DF30,$AD30:$BA30)+SUMIF($BH$3:$CE$3,"&gt;"&amp;$CW$4,$AD30:$BA30)),
IF(CA$3=$DF30+'Model Setup'!$J$7,SUMIF($BH$3:$CE$3,"="&amp;$DF30+'Model Setup'!$J$7,$AD30:$BA30)+'Model Setup'!$J$8*(SUMIF($BH$3:$CE$3,"&lt;"&amp;$DF30,$AD30:$BA30)+SUMIF($BH$3:$CE$3,"&gt;"&amp;$CW$4,$AD30:$BA30)),
IF(CA$3=$DF30+'Model Setup'!$K$7,SUMIF($BH$3:$CE$3,"="&amp;$DF30+'Model Setup'!$K$7,$AD30:$BA30)+'Model Setup'!$K$8*(SUMIF($BH$3:$CE$3,"&lt;"&amp;$DF30,$AD30:$BA30)+SUMIF($BH$3:$CE$3,"&gt;"&amp;$CW$4,$AD30:$BA30)),
IF(CA$3=$DF30+'Model Setup'!$L$7,SUMIF($BH$3:$CE$3,"="&amp;$DF30+'Model Setup'!$L$7,$AD30:$BA30)+'Model Setup'!$L$8*(SUMIF($BH$3:$CE$3,"&lt;"&amp;$DF30,$AD30:$BA30)+SUMIF($BH$3:$CE$3,"&gt;"&amp;$CW$4,$AD30:$BA30)),
IF(CA$3=$DF30+'Model Setup'!$M$7,SUMIF($BH$3:$CE$3,"="&amp;$DF30+'Model Setup'!$M$7,$AD30:$BA30)+'Model Setup'!$M$8*(SUMIF($BH$3:$CE$3,"&lt;"&amp;$DF30,$AD30:$BA30)+SUMIF($BH$3:$CE$3,"&gt;"&amp;$CW$4,$AD30:$BA30)),
IF(CA$3=$DF30+'Model Setup'!$N$7,SUMIF($BH$3:$CE$3,"="&amp;$DF30+'Model Setup'!$N$7,$AD30:$BA30)+'Model Setup'!$N$8*(SUMIF($BH$3:$CE$3,"&lt;"&amp;$DF30,$AD30:$BA30)+SUMIF($BH$3:$CE$3,"&gt;"&amp;$CW$4,$AD30:$BA30)),
IF(CA$3&lt;$CW$4,U30,0))))))))))))))),0)</f>
        <v>0</v>
      </c>
      <c r="CB30" s="47">
        <f>ROUND(IF(OR(CB$3&lt;$DF30,CB$3&gt;$CW$4),0,
IF(CB$3=$DF30+'Model Setup'!$B$7,SUMIF($BH$3:$CE$3,"="&amp;$DF30+'Model Setup'!$B$7,$AD30:$BA30)+'Model Setup'!$B$8*(SUMIF($BH$3:$CE$3,"&lt;"&amp;$DF30,$AD30:$BA30)+SUMIF($BH$3:$CE$3,"&gt;"&amp;$CW$4,$AD30:$BA30)),
IF(CB$3=$DF30+'Model Setup'!$C$7,SUMIF($BH$3:$CE$3,"="&amp;$DF30+'Model Setup'!$C$7,$AD30:$BA30)+'Model Setup'!$C$8*(SUMIF($BH$3:$CE$3,"&lt;"&amp;$DF30,$AD30:$BA30)+SUMIF($BH$3:$CE$3,"&gt;"&amp;$CW$4,$AD30:$BA30)),
IF(CB$3=$DF30+'Model Setup'!$D$7,SUMIF($BH$3:$CE$3,"="&amp;$DF30+'Model Setup'!$D$7,$AD30:$BA30)+'Model Setup'!$D$8*(SUMIF($BH$3:$CE$3,"&lt;"&amp;$DF30,$AD30:$BA30)+SUMIF($BH$3:$CE$3,"&gt;"&amp;$CW$4,$AD30:$BA30)),
IF(CB$3=$DF30+'Model Setup'!$E$7,SUMIF($BH$3:$CE$3,"="&amp;$DF30+'Model Setup'!$E$7,$AD30:$BA30)+'Model Setup'!$E$8*(SUMIF($BH$3:$CE$3,"&lt;"&amp;$DF30,$AD30:$BA30)+SUMIF($BH$3:$CE$3,"&gt;"&amp;$CW$4,$AD30:$BA30)),
IF(CB$3=$DF30+'Model Setup'!$F$7,SUMIF($BH$3:$CE$3,"="&amp;$DF30+'Model Setup'!$F$7,$AD30:$BA30)+'Model Setup'!$F$8*(SUMIF($BH$3:$CE$3,"&lt;"&amp;$DF30,$AD30:$BA30)+SUMIF($BH$3:$CE$3,"&gt;"&amp;$CW$4,$AD30:$BA30)),
IF(CB$3=$DF30+'Model Setup'!$G$7,SUMIF($BH$3:$CE$3,"="&amp;$DF30+'Model Setup'!$G$7,$AD30:$BA30)+'Model Setup'!$G$8*(SUMIF($BH$3:$CE$3,"&lt;"&amp;$DF30,$AD30:$BA30)+SUMIF($BH$3:$CE$3,"&gt;"&amp;$CW$4,$AD30:$BA30)),
IF(CB$3=$DF30+'Model Setup'!$H$7,SUMIF($BH$3:$CE$3,"="&amp;$DF30+'Model Setup'!$H$7,$AD30:$BA30)+'Model Setup'!$H$8*(SUMIF($BH$3:$CE$3,"&lt;"&amp;$DF30,$AD30:$BA30)+SUMIF($BH$3:$CE$3,"&gt;"&amp;$CW$4,$AD30:$BA30)),
IF(CB$3=$DF30+'Model Setup'!$I$7,SUMIF($BH$3:$CE$3,"="&amp;$DF30+'Model Setup'!$I$7,$AD30:$BA30)+'Model Setup'!$I$8*(SUMIF($BH$3:$CE$3,"&lt;"&amp;$DF30,$AD30:$BA30)+SUMIF($BH$3:$CE$3,"&gt;"&amp;$CW$4,$AD30:$BA30)),
IF(CB$3=$DF30+'Model Setup'!$J$7,SUMIF($BH$3:$CE$3,"="&amp;$DF30+'Model Setup'!$J$7,$AD30:$BA30)+'Model Setup'!$J$8*(SUMIF($BH$3:$CE$3,"&lt;"&amp;$DF30,$AD30:$BA30)+SUMIF($BH$3:$CE$3,"&gt;"&amp;$CW$4,$AD30:$BA30)),
IF(CB$3=$DF30+'Model Setup'!$K$7,SUMIF($BH$3:$CE$3,"="&amp;$DF30+'Model Setup'!$K$7,$AD30:$BA30)+'Model Setup'!$K$8*(SUMIF($BH$3:$CE$3,"&lt;"&amp;$DF30,$AD30:$BA30)+SUMIF($BH$3:$CE$3,"&gt;"&amp;$CW$4,$AD30:$BA30)),
IF(CB$3=$DF30+'Model Setup'!$L$7,SUMIF($BH$3:$CE$3,"="&amp;$DF30+'Model Setup'!$L$7,$AD30:$BA30)+'Model Setup'!$L$8*(SUMIF($BH$3:$CE$3,"&lt;"&amp;$DF30,$AD30:$BA30)+SUMIF($BH$3:$CE$3,"&gt;"&amp;$CW$4,$AD30:$BA30)),
IF(CB$3=$DF30+'Model Setup'!$M$7,SUMIF($BH$3:$CE$3,"="&amp;$DF30+'Model Setup'!$M$7,$AD30:$BA30)+'Model Setup'!$M$8*(SUMIF($BH$3:$CE$3,"&lt;"&amp;$DF30,$AD30:$BA30)+SUMIF($BH$3:$CE$3,"&gt;"&amp;$CW$4,$AD30:$BA30)),
IF(CB$3=$DF30+'Model Setup'!$N$7,SUMIF($BH$3:$CE$3,"="&amp;$DF30+'Model Setup'!$N$7,$AD30:$BA30)+'Model Setup'!$N$8*(SUMIF($BH$3:$CE$3,"&lt;"&amp;$DF30,$AD30:$BA30)+SUMIF($BH$3:$CE$3,"&gt;"&amp;$CW$4,$AD30:$BA30)),
IF(CB$3&lt;$CW$4,V30,0))))))))))))))),0)</f>
        <v>0</v>
      </c>
      <c r="CC30" s="47">
        <f>ROUND(IF(OR(CC$3&lt;$DF30,CC$3&gt;$CW$4),0,
IF(CC$3=$DF30+'Model Setup'!$B$7,SUMIF($BH$3:$CE$3,"="&amp;$DF30+'Model Setup'!$B$7,$AD30:$BA30)+'Model Setup'!$B$8*(SUMIF($BH$3:$CE$3,"&lt;"&amp;$DF30,$AD30:$BA30)+SUMIF($BH$3:$CE$3,"&gt;"&amp;$CW$4,$AD30:$BA30)),
IF(CC$3=$DF30+'Model Setup'!$C$7,SUMIF($BH$3:$CE$3,"="&amp;$DF30+'Model Setup'!$C$7,$AD30:$BA30)+'Model Setup'!$C$8*(SUMIF($BH$3:$CE$3,"&lt;"&amp;$DF30,$AD30:$BA30)+SUMIF($BH$3:$CE$3,"&gt;"&amp;$CW$4,$AD30:$BA30)),
IF(CC$3=$DF30+'Model Setup'!$D$7,SUMIF($BH$3:$CE$3,"="&amp;$DF30+'Model Setup'!$D$7,$AD30:$BA30)+'Model Setup'!$D$8*(SUMIF($BH$3:$CE$3,"&lt;"&amp;$DF30,$AD30:$BA30)+SUMIF($BH$3:$CE$3,"&gt;"&amp;$CW$4,$AD30:$BA30)),
IF(CC$3=$DF30+'Model Setup'!$E$7,SUMIF($BH$3:$CE$3,"="&amp;$DF30+'Model Setup'!$E$7,$AD30:$BA30)+'Model Setup'!$E$8*(SUMIF($BH$3:$CE$3,"&lt;"&amp;$DF30,$AD30:$BA30)+SUMIF($BH$3:$CE$3,"&gt;"&amp;$CW$4,$AD30:$BA30)),
IF(CC$3=$DF30+'Model Setup'!$F$7,SUMIF($BH$3:$CE$3,"="&amp;$DF30+'Model Setup'!$F$7,$AD30:$BA30)+'Model Setup'!$F$8*(SUMIF($BH$3:$CE$3,"&lt;"&amp;$DF30,$AD30:$BA30)+SUMIF($BH$3:$CE$3,"&gt;"&amp;$CW$4,$AD30:$BA30)),
IF(CC$3=$DF30+'Model Setup'!$G$7,SUMIF($BH$3:$CE$3,"="&amp;$DF30+'Model Setup'!$G$7,$AD30:$BA30)+'Model Setup'!$G$8*(SUMIF($BH$3:$CE$3,"&lt;"&amp;$DF30,$AD30:$BA30)+SUMIF($BH$3:$CE$3,"&gt;"&amp;$CW$4,$AD30:$BA30)),
IF(CC$3=$DF30+'Model Setup'!$H$7,SUMIF($BH$3:$CE$3,"="&amp;$DF30+'Model Setup'!$H$7,$AD30:$BA30)+'Model Setup'!$H$8*(SUMIF($BH$3:$CE$3,"&lt;"&amp;$DF30,$AD30:$BA30)+SUMIF($BH$3:$CE$3,"&gt;"&amp;$CW$4,$AD30:$BA30)),
IF(CC$3=$DF30+'Model Setup'!$I$7,SUMIF($BH$3:$CE$3,"="&amp;$DF30+'Model Setup'!$I$7,$AD30:$BA30)+'Model Setup'!$I$8*(SUMIF($BH$3:$CE$3,"&lt;"&amp;$DF30,$AD30:$BA30)+SUMIF($BH$3:$CE$3,"&gt;"&amp;$CW$4,$AD30:$BA30)),
IF(CC$3=$DF30+'Model Setup'!$J$7,SUMIF($BH$3:$CE$3,"="&amp;$DF30+'Model Setup'!$J$7,$AD30:$BA30)+'Model Setup'!$J$8*(SUMIF($BH$3:$CE$3,"&lt;"&amp;$DF30,$AD30:$BA30)+SUMIF($BH$3:$CE$3,"&gt;"&amp;$CW$4,$AD30:$BA30)),
IF(CC$3=$DF30+'Model Setup'!$K$7,SUMIF($BH$3:$CE$3,"="&amp;$DF30+'Model Setup'!$K$7,$AD30:$BA30)+'Model Setup'!$K$8*(SUMIF($BH$3:$CE$3,"&lt;"&amp;$DF30,$AD30:$BA30)+SUMIF($BH$3:$CE$3,"&gt;"&amp;$CW$4,$AD30:$BA30)),
IF(CC$3=$DF30+'Model Setup'!$L$7,SUMIF($BH$3:$CE$3,"="&amp;$DF30+'Model Setup'!$L$7,$AD30:$BA30)+'Model Setup'!$L$8*(SUMIF($BH$3:$CE$3,"&lt;"&amp;$DF30,$AD30:$BA30)+SUMIF($BH$3:$CE$3,"&gt;"&amp;$CW$4,$AD30:$BA30)),
IF(CC$3=$DF30+'Model Setup'!$M$7,SUMIF($BH$3:$CE$3,"="&amp;$DF30+'Model Setup'!$M$7,$AD30:$BA30)+'Model Setup'!$M$8*(SUMIF($BH$3:$CE$3,"&lt;"&amp;$DF30,$AD30:$BA30)+SUMIF($BH$3:$CE$3,"&gt;"&amp;$CW$4,$AD30:$BA30)),
IF(CC$3=$DF30+'Model Setup'!$N$7,SUMIF($BH$3:$CE$3,"="&amp;$DF30+'Model Setup'!$N$7,$AD30:$BA30)+'Model Setup'!$N$8*(SUMIF($BH$3:$CE$3,"&lt;"&amp;$DF30,$AD30:$BA30)+SUMIF($BH$3:$CE$3,"&gt;"&amp;$CW$4,$AD30:$BA30)),
IF(CC$3&lt;$CW$4,W30,0))))))))))))))),0)</f>
        <v>0</v>
      </c>
      <c r="CD30" s="47">
        <f>ROUND(IF(OR(CD$3&lt;$DF30,CD$3&gt;$CW$4),0,
IF(CD$3=$DF30+'Model Setup'!$B$7,SUMIF($BH$3:$CE$3,"="&amp;$DF30+'Model Setup'!$B$7,$AD30:$BA30)+'Model Setup'!$B$8*(SUMIF($BH$3:$CE$3,"&lt;"&amp;$DF30,$AD30:$BA30)+SUMIF($BH$3:$CE$3,"&gt;"&amp;$CW$4,$AD30:$BA30)),
IF(CD$3=$DF30+'Model Setup'!$C$7,SUMIF($BH$3:$CE$3,"="&amp;$DF30+'Model Setup'!$C$7,$AD30:$BA30)+'Model Setup'!$C$8*(SUMIF($BH$3:$CE$3,"&lt;"&amp;$DF30,$AD30:$BA30)+SUMIF($BH$3:$CE$3,"&gt;"&amp;$CW$4,$AD30:$BA30)),
IF(CD$3=$DF30+'Model Setup'!$D$7,SUMIF($BH$3:$CE$3,"="&amp;$DF30+'Model Setup'!$D$7,$AD30:$BA30)+'Model Setup'!$D$8*(SUMIF($BH$3:$CE$3,"&lt;"&amp;$DF30,$AD30:$BA30)+SUMIF($BH$3:$CE$3,"&gt;"&amp;$CW$4,$AD30:$BA30)),
IF(CD$3=$DF30+'Model Setup'!$E$7,SUMIF($BH$3:$CE$3,"="&amp;$DF30+'Model Setup'!$E$7,$AD30:$BA30)+'Model Setup'!$E$8*(SUMIF($BH$3:$CE$3,"&lt;"&amp;$DF30,$AD30:$BA30)+SUMIF($BH$3:$CE$3,"&gt;"&amp;$CW$4,$AD30:$BA30)),
IF(CD$3=$DF30+'Model Setup'!$F$7,SUMIF($BH$3:$CE$3,"="&amp;$DF30+'Model Setup'!$F$7,$AD30:$BA30)+'Model Setup'!$F$8*(SUMIF($BH$3:$CE$3,"&lt;"&amp;$DF30,$AD30:$BA30)+SUMIF($BH$3:$CE$3,"&gt;"&amp;$CW$4,$AD30:$BA30)),
IF(CD$3=$DF30+'Model Setup'!$G$7,SUMIF($BH$3:$CE$3,"="&amp;$DF30+'Model Setup'!$G$7,$AD30:$BA30)+'Model Setup'!$G$8*(SUMIF($BH$3:$CE$3,"&lt;"&amp;$DF30,$AD30:$BA30)+SUMIF($BH$3:$CE$3,"&gt;"&amp;$CW$4,$AD30:$BA30)),
IF(CD$3=$DF30+'Model Setup'!$H$7,SUMIF($BH$3:$CE$3,"="&amp;$DF30+'Model Setup'!$H$7,$AD30:$BA30)+'Model Setup'!$H$8*(SUMIF($BH$3:$CE$3,"&lt;"&amp;$DF30,$AD30:$BA30)+SUMIF($BH$3:$CE$3,"&gt;"&amp;$CW$4,$AD30:$BA30)),
IF(CD$3=$DF30+'Model Setup'!$I$7,SUMIF($BH$3:$CE$3,"="&amp;$DF30+'Model Setup'!$I$7,$AD30:$BA30)+'Model Setup'!$I$8*(SUMIF($BH$3:$CE$3,"&lt;"&amp;$DF30,$AD30:$BA30)+SUMIF($BH$3:$CE$3,"&gt;"&amp;$CW$4,$AD30:$BA30)),
IF(CD$3=$DF30+'Model Setup'!$J$7,SUMIF($BH$3:$CE$3,"="&amp;$DF30+'Model Setup'!$J$7,$AD30:$BA30)+'Model Setup'!$J$8*(SUMIF($BH$3:$CE$3,"&lt;"&amp;$DF30,$AD30:$BA30)+SUMIF($BH$3:$CE$3,"&gt;"&amp;$CW$4,$AD30:$BA30)),
IF(CD$3=$DF30+'Model Setup'!$K$7,SUMIF($BH$3:$CE$3,"="&amp;$DF30+'Model Setup'!$K$7,$AD30:$BA30)+'Model Setup'!$K$8*(SUMIF($BH$3:$CE$3,"&lt;"&amp;$DF30,$AD30:$BA30)+SUMIF($BH$3:$CE$3,"&gt;"&amp;$CW$4,$AD30:$BA30)),
IF(CD$3=$DF30+'Model Setup'!$L$7,SUMIF($BH$3:$CE$3,"="&amp;$DF30+'Model Setup'!$L$7,$AD30:$BA30)+'Model Setup'!$L$8*(SUMIF($BH$3:$CE$3,"&lt;"&amp;$DF30,$AD30:$BA30)+SUMIF($BH$3:$CE$3,"&gt;"&amp;$CW$4,$AD30:$BA30)),
IF(CD$3=$DF30+'Model Setup'!$M$7,SUMIF($BH$3:$CE$3,"="&amp;$DF30+'Model Setup'!$M$7,$AD30:$BA30)+'Model Setup'!$M$8*(SUMIF($BH$3:$CE$3,"&lt;"&amp;$DF30,$AD30:$BA30)+SUMIF($BH$3:$CE$3,"&gt;"&amp;$CW$4,$AD30:$BA30)),
IF(CD$3=$DF30+'Model Setup'!$N$7,SUMIF($BH$3:$CE$3,"="&amp;$DF30+'Model Setup'!$N$7,$AD30:$BA30)+'Model Setup'!$N$8*(SUMIF($BH$3:$CE$3,"&lt;"&amp;$DF30,$AD30:$BA30)+SUMIF($BH$3:$CE$3,"&gt;"&amp;$CW$4,$AD30:$BA30)),
IF(CD$3&lt;$CW$4,X30,0))))))))))))))),0)</f>
        <v>0</v>
      </c>
      <c r="CE30" s="47">
        <f>ROUND(IF(OR(CE$3&lt;$DF30,CE$3&gt;$CW$4),0,
IF(CE$3=$DF30+'Model Setup'!$B$7,SUMIF($BH$3:$CE$3,"="&amp;$DF30+'Model Setup'!$B$7,$AD30:$BA30)+'Model Setup'!$B$8*(SUMIF($BH$3:$CE$3,"&lt;"&amp;$DF30,$AD30:$BA30)+SUMIF($BH$3:$CE$3,"&gt;"&amp;$CW$4,$AD30:$BA30)),
IF(CE$3=$DF30+'Model Setup'!$C$7,SUMIF($BH$3:$CE$3,"="&amp;$DF30+'Model Setup'!$C$7,$AD30:$BA30)+'Model Setup'!$C$8*(SUMIF($BH$3:$CE$3,"&lt;"&amp;$DF30,$AD30:$BA30)+SUMIF($BH$3:$CE$3,"&gt;"&amp;$CW$4,$AD30:$BA30)),
IF(CE$3=$DF30+'Model Setup'!$D$7,SUMIF($BH$3:$CE$3,"="&amp;$DF30+'Model Setup'!$D$7,$AD30:$BA30)+'Model Setup'!$D$8*(SUMIF($BH$3:$CE$3,"&lt;"&amp;$DF30,$AD30:$BA30)+SUMIF($BH$3:$CE$3,"&gt;"&amp;$CW$4,$AD30:$BA30)),
IF(CE$3=$DF30+'Model Setup'!$E$7,SUMIF($BH$3:$CE$3,"="&amp;$DF30+'Model Setup'!$E$7,$AD30:$BA30)+'Model Setup'!$E$8*(SUMIF($BH$3:$CE$3,"&lt;"&amp;$DF30,$AD30:$BA30)+SUMIF($BH$3:$CE$3,"&gt;"&amp;$CW$4,$AD30:$BA30)),
IF(CE$3=$DF30+'Model Setup'!$F$7,SUMIF($BH$3:$CE$3,"="&amp;$DF30+'Model Setup'!$F$7,$AD30:$BA30)+'Model Setup'!$F$8*(SUMIF($BH$3:$CE$3,"&lt;"&amp;$DF30,$AD30:$BA30)+SUMIF($BH$3:$CE$3,"&gt;"&amp;$CW$4,$AD30:$BA30)),
IF(CE$3=$DF30+'Model Setup'!$G$7,SUMIF($BH$3:$CE$3,"="&amp;$DF30+'Model Setup'!$G$7,$AD30:$BA30)+'Model Setup'!$G$8*(SUMIF($BH$3:$CE$3,"&lt;"&amp;$DF30,$AD30:$BA30)+SUMIF($BH$3:$CE$3,"&gt;"&amp;$CW$4,$AD30:$BA30)),
IF(CE$3=$DF30+'Model Setup'!$H$7,SUMIF($BH$3:$CE$3,"="&amp;$DF30+'Model Setup'!$H$7,$AD30:$BA30)+'Model Setup'!$H$8*(SUMIF($BH$3:$CE$3,"&lt;"&amp;$DF30,$AD30:$BA30)+SUMIF($BH$3:$CE$3,"&gt;"&amp;$CW$4,$AD30:$BA30)),
IF(CE$3=$DF30+'Model Setup'!$I$7,SUMIF($BH$3:$CE$3,"="&amp;$DF30+'Model Setup'!$I$7,$AD30:$BA30)+'Model Setup'!$I$8*(SUMIF($BH$3:$CE$3,"&lt;"&amp;$DF30,$AD30:$BA30)+SUMIF($BH$3:$CE$3,"&gt;"&amp;$CW$4,$AD30:$BA30)),
IF(CE$3=$DF30+'Model Setup'!$J$7,SUMIF($BH$3:$CE$3,"="&amp;$DF30+'Model Setup'!$J$7,$AD30:$BA30)+'Model Setup'!$J$8*(SUMIF($BH$3:$CE$3,"&lt;"&amp;$DF30,$AD30:$BA30)+SUMIF($BH$3:$CE$3,"&gt;"&amp;$CW$4,$AD30:$BA30)),
IF(CE$3=$DF30+'Model Setup'!$K$7,SUMIF($BH$3:$CE$3,"="&amp;$DF30+'Model Setup'!$K$7,$AD30:$BA30)+'Model Setup'!$K$8*(SUMIF($BH$3:$CE$3,"&lt;"&amp;$DF30,$AD30:$BA30)+SUMIF($BH$3:$CE$3,"&gt;"&amp;$CW$4,$AD30:$BA30)),
IF(CE$3=$DF30+'Model Setup'!$L$7,SUMIF($BH$3:$CE$3,"="&amp;$DF30+'Model Setup'!$L$7,$AD30:$BA30)+'Model Setup'!$L$8*(SUMIF($BH$3:$CE$3,"&lt;"&amp;$DF30,$AD30:$BA30)+SUMIF($BH$3:$CE$3,"&gt;"&amp;$CW$4,$AD30:$BA30)),
IF(CE$3=$DF30+'Model Setup'!$M$7,SUMIF($BH$3:$CE$3,"="&amp;$DF30+'Model Setup'!$M$7,$AD30:$BA30)+'Model Setup'!$M$8*(SUMIF($BH$3:$CE$3,"&lt;"&amp;$DF30,$AD30:$BA30)+SUMIF($BH$3:$CE$3,"&gt;"&amp;$CW$4,$AD30:$BA30)),
IF(CE$3=$DF30+'Model Setup'!$N$7,SUMIF($BH$3:$CE$3,"="&amp;$DF30+'Model Setup'!$N$7,$AD30:$BA30)+'Model Setup'!$N$8*(SUMIF($BH$3:$CE$3,"&lt;"&amp;$DF30,$AD30:$BA30)+SUMIF($BH$3:$CE$3,"&gt;"&amp;$CW$4,$AD30:$BA30)),
IF(CE$3&lt;$CW$4,Y30,0))))))))))))))),0)</f>
        <v>0</v>
      </c>
      <c r="CF30" s="47">
        <f t="shared" si="3"/>
        <v>297</v>
      </c>
      <c r="CG30" s="47">
        <f t="shared" si="4"/>
        <v>0</v>
      </c>
      <c r="CI30" s="10" t="s">
        <v>45</v>
      </c>
      <c r="CJ30" s="126">
        <f t="shared" si="9"/>
        <v>0</v>
      </c>
      <c r="CK30" s="126">
        <f t="shared" si="10"/>
        <v>34</v>
      </c>
      <c r="CL30" s="126">
        <f t="shared" si="11"/>
        <v>36</v>
      </c>
      <c r="CM30" s="126">
        <f t="shared" si="12"/>
        <v>33</v>
      </c>
      <c r="CN30" s="126">
        <f t="shared" si="13"/>
        <v>34</v>
      </c>
      <c r="CO30" s="126">
        <f t="shared" si="14"/>
        <v>30</v>
      </c>
      <c r="CP30" s="126">
        <f t="shared" si="15"/>
        <v>34</v>
      </c>
      <c r="CQ30" s="126">
        <f t="shared" si="16"/>
        <v>14</v>
      </c>
      <c r="CR30" s="126">
        <f t="shared" si="17"/>
        <v>15</v>
      </c>
      <c r="CS30" s="126">
        <f t="shared" si="18"/>
        <v>10</v>
      </c>
      <c r="CT30" s="126">
        <f t="shared" si="19"/>
        <v>8</v>
      </c>
      <c r="CU30" s="126">
        <f t="shared" si="20"/>
        <v>17</v>
      </c>
      <c r="CV30" s="126">
        <f t="shared" si="21"/>
        <v>18</v>
      </c>
      <c r="CW30" s="126">
        <f t="shared" si="22"/>
        <v>14</v>
      </c>
      <c r="CX30" s="126">
        <f t="shared" si="23"/>
        <v>0</v>
      </c>
      <c r="CY30" s="126">
        <f t="shared" si="24"/>
        <v>0</v>
      </c>
      <c r="CZ30" s="47">
        <f t="shared" si="7"/>
        <v>297</v>
      </c>
      <c r="DC30" s="93" t="s">
        <v>45</v>
      </c>
      <c r="DD30" s="89">
        <f>FTC!E28</f>
        <v>0.25</v>
      </c>
      <c r="DE30" s="89">
        <f>FTC!F28</f>
        <v>0.75</v>
      </c>
      <c r="DF30" s="90">
        <f t="shared" si="25"/>
        <v>6</v>
      </c>
      <c r="DG30" s="91">
        <f t="shared" si="26"/>
        <v>18</v>
      </c>
      <c r="DH30" s="91">
        <f t="shared" si="27"/>
        <v>12</v>
      </c>
    </row>
    <row r="31" spans="1:112" x14ac:dyDescent="0.35">
      <c r="A31" s="43" t="s">
        <v>46</v>
      </c>
      <c r="B31" s="47">
        <v>1</v>
      </c>
      <c r="C31" s="6"/>
      <c r="D31" s="47">
        <v>1</v>
      </c>
      <c r="E31" s="47">
        <v>1</v>
      </c>
      <c r="F31" s="47">
        <v>1</v>
      </c>
      <c r="G31" s="47">
        <v>1</v>
      </c>
      <c r="H31" s="47">
        <v>18</v>
      </c>
      <c r="I31" s="47">
        <v>6</v>
      </c>
      <c r="J31" s="47">
        <v>11</v>
      </c>
      <c r="K31" s="47">
        <v>22</v>
      </c>
      <c r="L31" s="47">
        <v>19</v>
      </c>
      <c r="M31" s="47">
        <v>10</v>
      </c>
      <c r="N31" s="47">
        <v>5</v>
      </c>
      <c r="O31" s="47">
        <v>6</v>
      </c>
      <c r="P31" s="47">
        <v>8</v>
      </c>
      <c r="Q31" s="47">
        <v>7</v>
      </c>
      <c r="R31" s="47">
        <v>8</v>
      </c>
      <c r="S31" s="47">
        <v>7</v>
      </c>
      <c r="T31" s="47">
        <v>3</v>
      </c>
      <c r="U31" s="47">
        <v>1</v>
      </c>
      <c r="V31" s="6"/>
      <c r="W31" s="47">
        <v>10</v>
      </c>
      <c r="X31" s="47">
        <v>6</v>
      </c>
      <c r="Y31" s="47">
        <v>4</v>
      </c>
      <c r="Z31" s="47">
        <f t="shared" si="0"/>
        <v>156</v>
      </c>
      <c r="AC31" s="43" t="s">
        <v>46</v>
      </c>
      <c r="AD31" s="47">
        <f>ROUND(IF(AD$3&lt;$DF31,0,
IF(AD$3=$DF31+'Model Setup'!$B$7,SUMIF($AD$3:$BA$3,"="&amp;$DF31+'Model Setup'!$B$7,$B31:$Y31)+'Model Setup'!$B$8*(SUMIF($AD$3:$BA$3,"&lt;"&amp;$DF31,$B31:$Y31)+SUMIF($AD$3:$BA$3,"&gt;="&amp;$DG31,$B31:$Y31)),
IF(AD$3=$DF31+'Model Setup'!$C$7,SUMIF($AD$3:$BA$3,"="&amp;$DF31+'Model Setup'!$C$7,$B31:$Y31)+'Model Setup'!$C$8*(SUMIF($AD$3:$BA$3,"&lt;"&amp;$DF31,$B31:$Y31)+SUMIF($AD$3:$BA$3,"&gt;="&amp;$DG31,$B31:$Y31)),
IF(AD$3=$DF31+'Model Setup'!$D$7,SUMIF($AD$3:$BA$3,"="&amp;$DF31+'Model Setup'!$D$7,$B31:$Y31)+'Model Setup'!$D$8*(SUMIF($AD$3:$BA$3,"&lt;"&amp;$DF31,$B31:$Y31)+SUMIF($AD$3:$BA$3,"&gt;="&amp;$DG31,$B31:$Y31)),
IF(AD$3=$DF31+'Model Setup'!$E$7,SUMIF($AD$3:$BA$3,"="&amp;$DF31+'Model Setup'!$E$7,$B31:$Y31)+'Model Setup'!$E$8*(SUMIF($AD$3:$BA$3,"&lt;"&amp;$DF31,$B31:$Y31)+SUMIF($AD$3:$BA$3,"&gt;="&amp;$DG31,$B31:$Y31)),
IF(AD$3=$DF31+'Model Setup'!$F$7,SUMIF($AD$3:$BA$3,"="&amp;$DF31+'Model Setup'!$F$7,$B31:$Y31)+'Model Setup'!$F$8*(SUMIF($AD$3:$BA$3,"&lt;"&amp;$DF31,$B31:$Y31)+SUMIF($AD$3:$BA$3,"&gt;="&amp;$DG31,$B31:$Y31)),
IF(AD$3=$DF31+'Model Setup'!$G$7,SUMIF($AD$3:$BA$3,"="&amp;$DF31+'Model Setup'!$G$7,$B31:$Y31)+'Model Setup'!$G$8*(SUMIF($AD$3:$BA$3,"&lt;"&amp;$DF31,$B31:$Y31)+SUMIF($AD$3:$BA$3,"&gt;="&amp;$DG31,$B31:$Y31)),
IF(AD$3=$DF31+'Model Setup'!$H$7,SUMIF($AD$3:$BA$3,"="&amp;$DF31+'Model Setup'!$H$7,$B31:$Y31)+'Model Setup'!$H$8*(SUMIF($AD$3:$BA$3,"&lt;"&amp;$DF31,$B31:$Y31)+SUMIF($AD$3:$BA$3,"&gt;="&amp;$DG31,$B31:$Y31)),
IF(AD$3=$DF31+'Model Setup'!$I$7,SUMIF($AD$3:$BA$3,"="&amp;$DF31+'Model Setup'!$I$7,$B31:$Y31)+'Model Setup'!$I$8*(SUMIF($AD$3:$BA$3,"&lt;"&amp;$DF31,$B31:$Y31)+SUMIF($AD$3:$BA$3,"&gt;="&amp;$DG31,$B31:$Y31)),
IF(AD$3=$DF31+'Model Setup'!$J$7,SUMIF($AD$3:$BA$3,"="&amp;$DF31+'Model Setup'!$J$7,$B31:$Y31)+'Model Setup'!$J$8*(SUMIF($AD$3:$BA$3,"&lt;"&amp;$DF31,$B31:$Y31)+SUMIF($AD$3:$BA$3,"&gt;="&amp;$DG31,$B31:$Y31)),
IF(AD$3=$DF31+'Model Setup'!$K$7,SUMIF($AD$3:$BA$3,"="&amp;$DF31+'Model Setup'!$K$7,$B31:$Y31)+'Model Setup'!$K$8*(SUMIF($AD$3:$BA$3,"&lt;"&amp;$DF31,$B31:$Y31)+SUMIF($AD$3:$BA$3,"&gt;="&amp;$DG31,$B31:$Y31)),
IF(AD$3=$DF31+'Model Setup'!$L$7,SUMIF($AD$3:$BA$3,"="&amp;$DF31+'Model Setup'!$L$7,$B31:$Y31)+'Model Setup'!$L$8*(SUMIF($AD$3:$BA$3,"&lt;"&amp;$DF31,$B31:$Y31)+SUMIF($AD$3:$BA$3,"&gt;="&amp;$DG31,$B31:$Y31)),
IF(AD$3=$DF31+'Model Setup'!$M$7,SUMIF($AD$3:$BA$3,"="&amp;$DF31+'Model Setup'!$M$7,$B31:$Y31)+'Model Setup'!$M$8*(SUMIF($AD$3:$BA$3,"&lt;"&amp;$DF31,$B31:$Y31)+SUMIF($AD$3:$BA$3,"&gt;="&amp;$DG31,$B31:$Y31)),
IF(AD$3=$DF31+'Model Setup'!$N$7,SUMIF($AD$3:$BA$3,"="&amp;$DF31+'Model Setup'!$N$7,$B31:$Y31)+'Model Setup'!$N$8*(SUMIF($AD$3:$BA$3,"&lt;"&amp;$DF31,$B31:$Y31)+SUMIF($AD$3:$BA$3,"&gt;="&amp;$DG31,$B31:$Y31)),
IF(AD$3&lt;$DG31,B31,0))))))))))))))),0)</f>
        <v>0</v>
      </c>
      <c r="AE31" s="47">
        <f>ROUND(IF(AE$3&lt;$DF31,0,
IF(AE$3=$DF31+'Model Setup'!$B$7,SUMIF($AD$3:$BA$3,"="&amp;$DF31+'Model Setup'!$B$7,$B31:$Y31)+'Model Setup'!$B$8*(SUMIF($AD$3:$BA$3,"&lt;"&amp;$DF31,$B31:$Y31)+SUMIF($AD$3:$BA$3,"&gt;="&amp;$DG31,$B31:$Y31)),
IF(AE$3=$DF31+'Model Setup'!$C$7,SUMIF($AD$3:$BA$3,"="&amp;$DF31+'Model Setup'!$C$7,$B31:$Y31)+'Model Setup'!$C$8*(SUMIF($AD$3:$BA$3,"&lt;"&amp;$DF31,$B31:$Y31)+SUMIF($AD$3:$BA$3,"&gt;="&amp;$DG31,$B31:$Y31)),
IF(AE$3=$DF31+'Model Setup'!$D$7,SUMIF($AD$3:$BA$3,"="&amp;$DF31+'Model Setup'!$D$7,$B31:$Y31)+'Model Setup'!$D$8*(SUMIF($AD$3:$BA$3,"&lt;"&amp;$DF31,$B31:$Y31)+SUMIF($AD$3:$BA$3,"&gt;="&amp;$DG31,$B31:$Y31)),
IF(AE$3=$DF31+'Model Setup'!$E$7,SUMIF($AD$3:$BA$3,"="&amp;$DF31+'Model Setup'!$E$7,$B31:$Y31)+'Model Setup'!$E$8*(SUMIF($AD$3:$BA$3,"&lt;"&amp;$DF31,$B31:$Y31)+SUMIF($AD$3:$BA$3,"&gt;="&amp;$DG31,$B31:$Y31)),
IF(AE$3=$DF31+'Model Setup'!$F$7,SUMIF($AD$3:$BA$3,"="&amp;$DF31+'Model Setup'!$F$7,$B31:$Y31)+'Model Setup'!$F$8*(SUMIF($AD$3:$BA$3,"&lt;"&amp;$DF31,$B31:$Y31)+SUMIF($AD$3:$BA$3,"&gt;="&amp;$DG31,$B31:$Y31)),
IF(AE$3=$DF31+'Model Setup'!$G$7,SUMIF($AD$3:$BA$3,"="&amp;$DF31+'Model Setup'!$G$7,$B31:$Y31)+'Model Setup'!$G$8*(SUMIF($AD$3:$BA$3,"&lt;"&amp;$DF31,$B31:$Y31)+SUMIF($AD$3:$BA$3,"&gt;="&amp;$DG31,$B31:$Y31)),
IF(AE$3=$DF31+'Model Setup'!$H$7,SUMIF($AD$3:$BA$3,"="&amp;$DF31+'Model Setup'!$H$7,$B31:$Y31)+'Model Setup'!$H$8*(SUMIF($AD$3:$BA$3,"&lt;"&amp;$DF31,$B31:$Y31)+SUMIF($AD$3:$BA$3,"&gt;="&amp;$DG31,$B31:$Y31)),
IF(AE$3=$DF31+'Model Setup'!$I$7,SUMIF($AD$3:$BA$3,"="&amp;$DF31+'Model Setup'!$I$7,$B31:$Y31)+'Model Setup'!$I$8*(SUMIF($AD$3:$BA$3,"&lt;"&amp;$DF31,$B31:$Y31)+SUMIF($AD$3:$BA$3,"&gt;="&amp;$DG31,$B31:$Y31)),
IF(AE$3=$DF31+'Model Setup'!$J$7,SUMIF($AD$3:$BA$3,"="&amp;$DF31+'Model Setup'!$J$7,$B31:$Y31)+'Model Setup'!$J$8*(SUMIF($AD$3:$BA$3,"&lt;"&amp;$DF31,$B31:$Y31)+SUMIF($AD$3:$BA$3,"&gt;="&amp;$DG31,$B31:$Y31)),
IF(AE$3=$DF31+'Model Setup'!$K$7,SUMIF($AD$3:$BA$3,"="&amp;$DF31+'Model Setup'!$K$7,$B31:$Y31)+'Model Setup'!$K$8*(SUMIF($AD$3:$BA$3,"&lt;"&amp;$DF31,$B31:$Y31)+SUMIF($AD$3:$BA$3,"&gt;="&amp;$DG31,$B31:$Y31)),
IF(AE$3=$DF31+'Model Setup'!$L$7,SUMIF($AD$3:$BA$3,"="&amp;$DF31+'Model Setup'!$L$7,$B31:$Y31)+'Model Setup'!$L$8*(SUMIF($AD$3:$BA$3,"&lt;"&amp;$DF31,$B31:$Y31)+SUMIF($AD$3:$BA$3,"&gt;="&amp;$DG31,$B31:$Y31)),
IF(AE$3=$DF31+'Model Setup'!$M$7,SUMIF($AD$3:$BA$3,"="&amp;$DF31+'Model Setup'!$M$7,$B31:$Y31)+'Model Setup'!$M$8*(SUMIF($AD$3:$BA$3,"&lt;"&amp;$DF31,$B31:$Y31)+SUMIF($AD$3:$BA$3,"&gt;="&amp;$DG31,$B31:$Y31)),
IF(AE$3=$DF31+'Model Setup'!$N$7,SUMIF($AD$3:$BA$3,"="&amp;$DF31+'Model Setup'!$N$7,$B31:$Y31)+'Model Setup'!$N$8*(SUMIF($AD$3:$BA$3,"&lt;"&amp;$DF31,$B31:$Y31)+SUMIF($AD$3:$BA$3,"&gt;="&amp;$DG31,$B31:$Y31)),
IF(AE$3&lt;$DG31,C31,0))))))))))))))),0)</f>
        <v>0</v>
      </c>
      <c r="AF31" s="47">
        <f>ROUND(IF(AF$3&lt;$DF31,0,
IF(AF$3=$DF31+'Model Setup'!$B$7,SUMIF($AD$3:$BA$3,"="&amp;$DF31+'Model Setup'!$B$7,$B31:$Y31)+'Model Setup'!$B$8*(SUMIF($AD$3:$BA$3,"&lt;"&amp;$DF31,$B31:$Y31)+SUMIF($AD$3:$BA$3,"&gt;="&amp;$DG31,$B31:$Y31)),
IF(AF$3=$DF31+'Model Setup'!$C$7,SUMIF($AD$3:$BA$3,"="&amp;$DF31+'Model Setup'!$C$7,$B31:$Y31)+'Model Setup'!$C$8*(SUMIF($AD$3:$BA$3,"&lt;"&amp;$DF31,$B31:$Y31)+SUMIF($AD$3:$BA$3,"&gt;="&amp;$DG31,$B31:$Y31)),
IF(AF$3=$DF31+'Model Setup'!$D$7,SUMIF($AD$3:$BA$3,"="&amp;$DF31+'Model Setup'!$D$7,$B31:$Y31)+'Model Setup'!$D$8*(SUMIF($AD$3:$BA$3,"&lt;"&amp;$DF31,$B31:$Y31)+SUMIF($AD$3:$BA$3,"&gt;="&amp;$DG31,$B31:$Y31)),
IF(AF$3=$DF31+'Model Setup'!$E$7,SUMIF($AD$3:$BA$3,"="&amp;$DF31+'Model Setup'!$E$7,$B31:$Y31)+'Model Setup'!$E$8*(SUMIF($AD$3:$BA$3,"&lt;"&amp;$DF31,$B31:$Y31)+SUMIF($AD$3:$BA$3,"&gt;="&amp;$DG31,$B31:$Y31)),
IF(AF$3=$DF31+'Model Setup'!$F$7,SUMIF($AD$3:$BA$3,"="&amp;$DF31+'Model Setup'!$F$7,$B31:$Y31)+'Model Setup'!$F$8*(SUMIF($AD$3:$BA$3,"&lt;"&amp;$DF31,$B31:$Y31)+SUMIF($AD$3:$BA$3,"&gt;="&amp;$DG31,$B31:$Y31)),
IF(AF$3=$DF31+'Model Setup'!$G$7,SUMIF($AD$3:$BA$3,"="&amp;$DF31+'Model Setup'!$G$7,$B31:$Y31)+'Model Setup'!$G$8*(SUMIF($AD$3:$BA$3,"&lt;"&amp;$DF31,$B31:$Y31)+SUMIF($AD$3:$BA$3,"&gt;="&amp;$DG31,$B31:$Y31)),
IF(AF$3=$DF31+'Model Setup'!$H$7,SUMIF($AD$3:$BA$3,"="&amp;$DF31+'Model Setup'!$H$7,$B31:$Y31)+'Model Setup'!$H$8*(SUMIF($AD$3:$BA$3,"&lt;"&amp;$DF31,$B31:$Y31)+SUMIF($AD$3:$BA$3,"&gt;="&amp;$DG31,$B31:$Y31)),
IF(AF$3=$DF31+'Model Setup'!$I$7,SUMIF($AD$3:$BA$3,"="&amp;$DF31+'Model Setup'!$I$7,$B31:$Y31)+'Model Setup'!$I$8*(SUMIF($AD$3:$BA$3,"&lt;"&amp;$DF31,$B31:$Y31)+SUMIF($AD$3:$BA$3,"&gt;="&amp;$DG31,$B31:$Y31)),
IF(AF$3=$DF31+'Model Setup'!$J$7,SUMIF($AD$3:$BA$3,"="&amp;$DF31+'Model Setup'!$J$7,$B31:$Y31)+'Model Setup'!$J$8*(SUMIF($AD$3:$BA$3,"&lt;"&amp;$DF31,$B31:$Y31)+SUMIF($AD$3:$BA$3,"&gt;="&amp;$DG31,$B31:$Y31)),
IF(AF$3=$DF31+'Model Setup'!$K$7,SUMIF($AD$3:$BA$3,"="&amp;$DF31+'Model Setup'!$K$7,$B31:$Y31)+'Model Setup'!$K$8*(SUMIF($AD$3:$BA$3,"&lt;"&amp;$DF31,$B31:$Y31)+SUMIF($AD$3:$BA$3,"&gt;="&amp;$DG31,$B31:$Y31)),
IF(AF$3=$DF31+'Model Setup'!$L$7,SUMIF($AD$3:$BA$3,"="&amp;$DF31+'Model Setup'!$L$7,$B31:$Y31)+'Model Setup'!$L$8*(SUMIF($AD$3:$BA$3,"&lt;"&amp;$DF31,$B31:$Y31)+SUMIF($AD$3:$BA$3,"&gt;="&amp;$DG31,$B31:$Y31)),
IF(AF$3=$DF31+'Model Setup'!$M$7,SUMIF($AD$3:$BA$3,"="&amp;$DF31+'Model Setup'!$M$7,$B31:$Y31)+'Model Setup'!$M$8*(SUMIF($AD$3:$BA$3,"&lt;"&amp;$DF31,$B31:$Y31)+SUMIF($AD$3:$BA$3,"&gt;="&amp;$DG31,$B31:$Y31)),
IF(AF$3=$DF31+'Model Setup'!$N$7,SUMIF($AD$3:$BA$3,"="&amp;$DF31+'Model Setup'!$N$7,$B31:$Y31)+'Model Setup'!$N$8*(SUMIF($AD$3:$BA$3,"&lt;"&amp;$DF31,$B31:$Y31)+SUMIF($AD$3:$BA$3,"&gt;="&amp;$DG31,$B31:$Y31)),
IF(AF$3&lt;$DG31,D31,0))))))))))))))),0)</f>
        <v>0</v>
      </c>
      <c r="AG31" s="47">
        <f>ROUND(IF(AG$3&lt;$DF31,0,
IF(AG$3=$DF31+'Model Setup'!$B$7,SUMIF($AD$3:$BA$3,"="&amp;$DF31+'Model Setup'!$B$7,$B31:$Y31)+'Model Setup'!$B$8*(SUMIF($AD$3:$BA$3,"&lt;"&amp;$DF31,$B31:$Y31)+SUMIF($AD$3:$BA$3,"&gt;="&amp;$DG31,$B31:$Y31)),
IF(AG$3=$DF31+'Model Setup'!$C$7,SUMIF($AD$3:$BA$3,"="&amp;$DF31+'Model Setup'!$C$7,$B31:$Y31)+'Model Setup'!$C$8*(SUMIF($AD$3:$BA$3,"&lt;"&amp;$DF31,$B31:$Y31)+SUMIF($AD$3:$BA$3,"&gt;="&amp;$DG31,$B31:$Y31)),
IF(AG$3=$DF31+'Model Setup'!$D$7,SUMIF($AD$3:$BA$3,"="&amp;$DF31+'Model Setup'!$D$7,$B31:$Y31)+'Model Setup'!$D$8*(SUMIF($AD$3:$BA$3,"&lt;"&amp;$DF31,$B31:$Y31)+SUMIF($AD$3:$BA$3,"&gt;="&amp;$DG31,$B31:$Y31)),
IF(AG$3=$DF31+'Model Setup'!$E$7,SUMIF($AD$3:$BA$3,"="&amp;$DF31+'Model Setup'!$E$7,$B31:$Y31)+'Model Setup'!$E$8*(SUMIF($AD$3:$BA$3,"&lt;"&amp;$DF31,$B31:$Y31)+SUMIF($AD$3:$BA$3,"&gt;="&amp;$DG31,$B31:$Y31)),
IF(AG$3=$DF31+'Model Setup'!$F$7,SUMIF($AD$3:$BA$3,"="&amp;$DF31+'Model Setup'!$F$7,$B31:$Y31)+'Model Setup'!$F$8*(SUMIF($AD$3:$BA$3,"&lt;"&amp;$DF31,$B31:$Y31)+SUMIF($AD$3:$BA$3,"&gt;="&amp;$DG31,$B31:$Y31)),
IF(AG$3=$DF31+'Model Setup'!$G$7,SUMIF($AD$3:$BA$3,"="&amp;$DF31+'Model Setup'!$G$7,$B31:$Y31)+'Model Setup'!$G$8*(SUMIF($AD$3:$BA$3,"&lt;"&amp;$DF31,$B31:$Y31)+SUMIF($AD$3:$BA$3,"&gt;="&amp;$DG31,$B31:$Y31)),
IF(AG$3=$DF31+'Model Setup'!$H$7,SUMIF($AD$3:$BA$3,"="&amp;$DF31+'Model Setup'!$H$7,$B31:$Y31)+'Model Setup'!$H$8*(SUMIF($AD$3:$BA$3,"&lt;"&amp;$DF31,$B31:$Y31)+SUMIF($AD$3:$BA$3,"&gt;="&amp;$DG31,$B31:$Y31)),
IF(AG$3=$DF31+'Model Setup'!$I$7,SUMIF($AD$3:$BA$3,"="&amp;$DF31+'Model Setup'!$I$7,$B31:$Y31)+'Model Setup'!$I$8*(SUMIF($AD$3:$BA$3,"&lt;"&amp;$DF31,$B31:$Y31)+SUMIF($AD$3:$BA$3,"&gt;="&amp;$DG31,$B31:$Y31)),
IF(AG$3=$DF31+'Model Setup'!$J$7,SUMIF($AD$3:$BA$3,"="&amp;$DF31+'Model Setup'!$J$7,$B31:$Y31)+'Model Setup'!$J$8*(SUMIF($AD$3:$BA$3,"&lt;"&amp;$DF31,$B31:$Y31)+SUMIF($AD$3:$BA$3,"&gt;="&amp;$DG31,$B31:$Y31)),
IF(AG$3=$DF31+'Model Setup'!$K$7,SUMIF($AD$3:$BA$3,"="&amp;$DF31+'Model Setup'!$K$7,$B31:$Y31)+'Model Setup'!$K$8*(SUMIF($AD$3:$BA$3,"&lt;"&amp;$DF31,$B31:$Y31)+SUMIF($AD$3:$BA$3,"&gt;="&amp;$DG31,$B31:$Y31)),
IF(AG$3=$DF31+'Model Setup'!$L$7,SUMIF($AD$3:$BA$3,"="&amp;$DF31+'Model Setup'!$L$7,$B31:$Y31)+'Model Setup'!$L$8*(SUMIF($AD$3:$BA$3,"&lt;"&amp;$DF31,$B31:$Y31)+SUMIF($AD$3:$BA$3,"&gt;="&amp;$DG31,$B31:$Y31)),
IF(AG$3=$DF31+'Model Setup'!$M$7,SUMIF($AD$3:$BA$3,"="&amp;$DF31+'Model Setup'!$M$7,$B31:$Y31)+'Model Setup'!$M$8*(SUMIF($AD$3:$BA$3,"&lt;"&amp;$DF31,$B31:$Y31)+SUMIF($AD$3:$BA$3,"&gt;="&amp;$DG31,$B31:$Y31)),
IF(AG$3=$DF31+'Model Setup'!$N$7,SUMIF($AD$3:$BA$3,"="&amp;$DF31+'Model Setup'!$N$7,$B31:$Y31)+'Model Setup'!$N$8*(SUMIF($AD$3:$BA$3,"&lt;"&amp;$DF31,$B31:$Y31)+SUMIF($AD$3:$BA$3,"&gt;="&amp;$DG31,$B31:$Y31)),
IF(AG$3&lt;$DG31,E31,0))))))))))))))),0)</f>
        <v>0</v>
      </c>
      <c r="AH31" s="47">
        <f>ROUND(IF(AH$3&lt;$DF31,0,
IF(AH$3=$DF31+'Model Setup'!$B$7,SUMIF($AD$3:$BA$3,"="&amp;$DF31+'Model Setup'!$B$7,$B31:$Y31)+'Model Setup'!$B$8*(SUMIF($AD$3:$BA$3,"&lt;"&amp;$DF31,$B31:$Y31)+SUMIF($AD$3:$BA$3,"&gt;="&amp;$DG31,$B31:$Y31)),
IF(AH$3=$DF31+'Model Setup'!$C$7,SUMIF($AD$3:$BA$3,"="&amp;$DF31+'Model Setup'!$C$7,$B31:$Y31)+'Model Setup'!$C$8*(SUMIF($AD$3:$BA$3,"&lt;"&amp;$DF31,$B31:$Y31)+SUMIF($AD$3:$BA$3,"&gt;="&amp;$DG31,$B31:$Y31)),
IF(AH$3=$DF31+'Model Setup'!$D$7,SUMIF($AD$3:$BA$3,"="&amp;$DF31+'Model Setup'!$D$7,$B31:$Y31)+'Model Setup'!$D$8*(SUMIF($AD$3:$BA$3,"&lt;"&amp;$DF31,$B31:$Y31)+SUMIF($AD$3:$BA$3,"&gt;="&amp;$DG31,$B31:$Y31)),
IF(AH$3=$DF31+'Model Setup'!$E$7,SUMIF($AD$3:$BA$3,"="&amp;$DF31+'Model Setup'!$E$7,$B31:$Y31)+'Model Setup'!$E$8*(SUMIF($AD$3:$BA$3,"&lt;"&amp;$DF31,$B31:$Y31)+SUMIF($AD$3:$BA$3,"&gt;="&amp;$DG31,$B31:$Y31)),
IF(AH$3=$DF31+'Model Setup'!$F$7,SUMIF($AD$3:$BA$3,"="&amp;$DF31+'Model Setup'!$F$7,$B31:$Y31)+'Model Setup'!$F$8*(SUMIF($AD$3:$BA$3,"&lt;"&amp;$DF31,$B31:$Y31)+SUMIF($AD$3:$BA$3,"&gt;="&amp;$DG31,$B31:$Y31)),
IF(AH$3=$DF31+'Model Setup'!$G$7,SUMIF($AD$3:$BA$3,"="&amp;$DF31+'Model Setup'!$G$7,$B31:$Y31)+'Model Setup'!$G$8*(SUMIF($AD$3:$BA$3,"&lt;"&amp;$DF31,$B31:$Y31)+SUMIF($AD$3:$BA$3,"&gt;="&amp;$DG31,$B31:$Y31)),
IF(AH$3=$DF31+'Model Setup'!$H$7,SUMIF($AD$3:$BA$3,"="&amp;$DF31+'Model Setup'!$H$7,$B31:$Y31)+'Model Setup'!$H$8*(SUMIF($AD$3:$BA$3,"&lt;"&amp;$DF31,$B31:$Y31)+SUMIF($AD$3:$BA$3,"&gt;="&amp;$DG31,$B31:$Y31)),
IF(AH$3=$DF31+'Model Setup'!$I$7,SUMIF($AD$3:$BA$3,"="&amp;$DF31+'Model Setup'!$I$7,$B31:$Y31)+'Model Setup'!$I$8*(SUMIF($AD$3:$BA$3,"&lt;"&amp;$DF31,$B31:$Y31)+SUMIF($AD$3:$BA$3,"&gt;="&amp;$DG31,$B31:$Y31)),
IF(AH$3=$DF31+'Model Setup'!$J$7,SUMIF($AD$3:$BA$3,"="&amp;$DF31+'Model Setup'!$J$7,$B31:$Y31)+'Model Setup'!$J$8*(SUMIF($AD$3:$BA$3,"&lt;"&amp;$DF31,$B31:$Y31)+SUMIF($AD$3:$BA$3,"&gt;="&amp;$DG31,$B31:$Y31)),
IF(AH$3=$DF31+'Model Setup'!$K$7,SUMIF($AD$3:$BA$3,"="&amp;$DF31+'Model Setup'!$K$7,$B31:$Y31)+'Model Setup'!$K$8*(SUMIF($AD$3:$BA$3,"&lt;"&amp;$DF31,$B31:$Y31)+SUMIF($AD$3:$BA$3,"&gt;="&amp;$DG31,$B31:$Y31)),
IF(AH$3=$DF31+'Model Setup'!$L$7,SUMIF($AD$3:$BA$3,"="&amp;$DF31+'Model Setup'!$L$7,$B31:$Y31)+'Model Setup'!$L$8*(SUMIF($AD$3:$BA$3,"&lt;"&amp;$DF31,$B31:$Y31)+SUMIF($AD$3:$BA$3,"&gt;="&amp;$DG31,$B31:$Y31)),
IF(AH$3=$DF31+'Model Setup'!$M$7,SUMIF($AD$3:$BA$3,"="&amp;$DF31+'Model Setup'!$M$7,$B31:$Y31)+'Model Setup'!$M$8*(SUMIF($AD$3:$BA$3,"&lt;"&amp;$DF31,$B31:$Y31)+SUMIF($AD$3:$BA$3,"&gt;="&amp;$DG31,$B31:$Y31)),
IF(AH$3=$DF31+'Model Setup'!$N$7,SUMIF($AD$3:$BA$3,"="&amp;$DF31+'Model Setup'!$N$7,$B31:$Y31)+'Model Setup'!$N$8*(SUMIF($AD$3:$BA$3,"&lt;"&amp;$DF31,$B31:$Y31)+SUMIF($AD$3:$BA$3,"&gt;="&amp;$DG31,$B31:$Y31)),
IF(AH$3&lt;$DG31,F31,0))))))))))))))),0)</f>
        <v>0</v>
      </c>
      <c r="AI31" s="47">
        <f>ROUND(IF(AI$3&lt;$DF31,0,
IF(AI$3=$DF31+'Model Setup'!$B$7,SUMIF($AD$3:$BA$3,"="&amp;$DF31+'Model Setup'!$B$7,$B31:$Y31)+'Model Setup'!$B$8*(SUMIF($AD$3:$BA$3,"&lt;"&amp;$DF31,$B31:$Y31)+SUMIF($AD$3:$BA$3,"&gt;="&amp;$DG31,$B31:$Y31)),
IF(AI$3=$DF31+'Model Setup'!$C$7,SUMIF($AD$3:$BA$3,"="&amp;$DF31+'Model Setup'!$C$7,$B31:$Y31)+'Model Setup'!$C$8*(SUMIF($AD$3:$BA$3,"&lt;"&amp;$DF31,$B31:$Y31)+SUMIF($AD$3:$BA$3,"&gt;="&amp;$DG31,$B31:$Y31)),
IF(AI$3=$DF31+'Model Setup'!$D$7,SUMIF($AD$3:$BA$3,"="&amp;$DF31+'Model Setup'!$D$7,$B31:$Y31)+'Model Setup'!$D$8*(SUMIF($AD$3:$BA$3,"&lt;"&amp;$DF31,$B31:$Y31)+SUMIF($AD$3:$BA$3,"&gt;="&amp;$DG31,$B31:$Y31)),
IF(AI$3=$DF31+'Model Setup'!$E$7,SUMIF($AD$3:$BA$3,"="&amp;$DF31+'Model Setup'!$E$7,$B31:$Y31)+'Model Setup'!$E$8*(SUMIF($AD$3:$BA$3,"&lt;"&amp;$DF31,$B31:$Y31)+SUMIF($AD$3:$BA$3,"&gt;="&amp;$DG31,$B31:$Y31)),
IF(AI$3=$DF31+'Model Setup'!$F$7,SUMIF($AD$3:$BA$3,"="&amp;$DF31+'Model Setup'!$F$7,$B31:$Y31)+'Model Setup'!$F$8*(SUMIF($AD$3:$BA$3,"&lt;"&amp;$DF31,$B31:$Y31)+SUMIF($AD$3:$BA$3,"&gt;="&amp;$DG31,$B31:$Y31)),
IF(AI$3=$DF31+'Model Setup'!$G$7,SUMIF($AD$3:$BA$3,"="&amp;$DF31+'Model Setup'!$G$7,$B31:$Y31)+'Model Setup'!$G$8*(SUMIF($AD$3:$BA$3,"&lt;"&amp;$DF31,$B31:$Y31)+SUMIF($AD$3:$BA$3,"&gt;="&amp;$DG31,$B31:$Y31)),
IF(AI$3=$DF31+'Model Setup'!$H$7,SUMIF($AD$3:$BA$3,"="&amp;$DF31+'Model Setup'!$H$7,$B31:$Y31)+'Model Setup'!$H$8*(SUMIF($AD$3:$BA$3,"&lt;"&amp;$DF31,$B31:$Y31)+SUMIF($AD$3:$BA$3,"&gt;="&amp;$DG31,$B31:$Y31)),
IF(AI$3=$DF31+'Model Setup'!$I$7,SUMIF($AD$3:$BA$3,"="&amp;$DF31+'Model Setup'!$I$7,$B31:$Y31)+'Model Setup'!$I$8*(SUMIF($AD$3:$BA$3,"&lt;"&amp;$DF31,$B31:$Y31)+SUMIF($AD$3:$BA$3,"&gt;="&amp;$DG31,$B31:$Y31)),
IF(AI$3=$DF31+'Model Setup'!$J$7,SUMIF($AD$3:$BA$3,"="&amp;$DF31+'Model Setup'!$J$7,$B31:$Y31)+'Model Setup'!$J$8*(SUMIF($AD$3:$BA$3,"&lt;"&amp;$DF31,$B31:$Y31)+SUMIF($AD$3:$BA$3,"&gt;="&amp;$DG31,$B31:$Y31)),
IF(AI$3=$DF31+'Model Setup'!$K$7,SUMIF($AD$3:$BA$3,"="&amp;$DF31+'Model Setup'!$K$7,$B31:$Y31)+'Model Setup'!$K$8*(SUMIF($AD$3:$BA$3,"&lt;"&amp;$DF31,$B31:$Y31)+SUMIF($AD$3:$BA$3,"&gt;="&amp;$DG31,$B31:$Y31)),
IF(AI$3=$DF31+'Model Setup'!$L$7,SUMIF($AD$3:$BA$3,"="&amp;$DF31+'Model Setup'!$L$7,$B31:$Y31)+'Model Setup'!$L$8*(SUMIF($AD$3:$BA$3,"&lt;"&amp;$DF31,$B31:$Y31)+SUMIF($AD$3:$BA$3,"&gt;="&amp;$DG31,$B31:$Y31)),
IF(AI$3=$DF31+'Model Setup'!$M$7,SUMIF($AD$3:$BA$3,"="&amp;$DF31+'Model Setup'!$M$7,$B31:$Y31)+'Model Setup'!$M$8*(SUMIF($AD$3:$BA$3,"&lt;"&amp;$DF31,$B31:$Y31)+SUMIF($AD$3:$BA$3,"&gt;="&amp;$DG31,$B31:$Y31)),
IF(AI$3=$DF31+'Model Setup'!$N$7,SUMIF($AD$3:$BA$3,"="&amp;$DF31+'Model Setup'!$N$7,$B31:$Y31)+'Model Setup'!$N$8*(SUMIF($AD$3:$BA$3,"&lt;"&amp;$DF31,$B31:$Y31)+SUMIF($AD$3:$BA$3,"&gt;="&amp;$DG31,$B31:$Y31)),
IF(AI$3&lt;$DG31,G31,0))))))))))))))),0)</f>
        <v>0</v>
      </c>
      <c r="AJ31" s="47">
        <f>ROUND(IF(AJ$3&lt;$DF31,0,
IF(AJ$3=$DF31+'Model Setup'!$B$7,SUMIF($AD$3:$BA$3,"="&amp;$DF31+'Model Setup'!$B$7,$B31:$Y31)+'Model Setup'!$B$8*(SUMIF($AD$3:$BA$3,"&lt;"&amp;$DF31,$B31:$Y31)+SUMIF($AD$3:$BA$3,"&gt;="&amp;$DG31,$B31:$Y31)),
IF(AJ$3=$DF31+'Model Setup'!$C$7,SUMIF($AD$3:$BA$3,"="&amp;$DF31+'Model Setup'!$C$7,$B31:$Y31)+'Model Setup'!$C$8*(SUMIF($AD$3:$BA$3,"&lt;"&amp;$DF31,$B31:$Y31)+SUMIF($AD$3:$BA$3,"&gt;="&amp;$DG31,$B31:$Y31)),
IF(AJ$3=$DF31+'Model Setup'!$D$7,SUMIF($AD$3:$BA$3,"="&amp;$DF31+'Model Setup'!$D$7,$B31:$Y31)+'Model Setup'!$D$8*(SUMIF($AD$3:$BA$3,"&lt;"&amp;$DF31,$B31:$Y31)+SUMIF($AD$3:$BA$3,"&gt;="&amp;$DG31,$B31:$Y31)),
IF(AJ$3=$DF31+'Model Setup'!$E$7,SUMIF($AD$3:$BA$3,"="&amp;$DF31+'Model Setup'!$E$7,$B31:$Y31)+'Model Setup'!$E$8*(SUMIF($AD$3:$BA$3,"&lt;"&amp;$DF31,$B31:$Y31)+SUMIF($AD$3:$BA$3,"&gt;="&amp;$DG31,$B31:$Y31)),
IF(AJ$3=$DF31+'Model Setup'!$F$7,SUMIF($AD$3:$BA$3,"="&amp;$DF31+'Model Setup'!$F$7,$B31:$Y31)+'Model Setup'!$F$8*(SUMIF($AD$3:$BA$3,"&lt;"&amp;$DF31,$B31:$Y31)+SUMIF($AD$3:$BA$3,"&gt;="&amp;$DG31,$B31:$Y31)),
IF(AJ$3=$DF31+'Model Setup'!$G$7,SUMIF($AD$3:$BA$3,"="&amp;$DF31+'Model Setup'!$G$7,$B31:$Y31)+'Model Setup'!$G$8*(SUMIF($AD$3:$BA$3,"&lt;"&amp;$DF31,$B31:$Y31)+SUMIF($AD$3:$BA$3,"&gt;="&amp;$DG31,$B31:$Y31)),
IF(AJ$3=$DF31+'Model Setup'!$H$7,SUMIF($AD$3:$BA$3,"="&amp;$DF31+'Model Setup'!$H$7,$B31:$Y31)+'Model Setup'!$H$8*(SUMIF($AD$3:$BA$3,"&lt;"&amp;$DF31,$B31:$Y31)+SUMIF($AD$3:$BA$3,"&gt;="&amp;$DG31,$B31:$Y31)),
IF(AJ$3=$DF31+'Model Setup'!$I$7,SUMIF($AD$3:$BA$3,"="&amp;$DF31+'Model Setup'!$I$7,$B31:$Y31)+'Model Setup'!$I$8*(SUMIF($AD$3:$BA$3,"&lt;"&amp;$DF31,$B31:$Y31)+SUMIF($AD$3:$BA$3,"&gt;="&amp;$DG31,$B31:$Y31)),
IF(AJ$3=$DF31+'Model Setup'!$J$7,SUMIF($AD$3:$BA$3,"="&amp;$DF31+'Model Setup'!$J$7,$B31:$Y31)+'Model Setup'!$J$8*(SUMIF($AD$3:$BA$3,"&lt;"&amp;$DF31,$B31:$Y31)+SUMIF($AD$3:$BA$3,"&gt;="&amp;$DG31,$B31:$Y31)),
IF(AJ$3=$DF31+'Model Setup'!$K$7,SUMIF($AD$3:$BA$3,"="&amp;$DF31+'Model Setup'!$K$7,$B31:$Y31)+'Model Setup'!$K$8*(SUMIF($AD$3:$BA$3,"&lt;"&amp;$DF31,$B31:$Y31)+SUMIF($AD$3:$BA$3,"&gt;="&amp;$DG31,$B31:$Y31)),
IF(AJ$3=$DF31+'Model Setup'!$L$7,SUMIF($AD$3:$BA$3,"="&amp;$DF31+'Model Setup'!$L$7,$B31:$Y31)+'Model Setup'!$L$8*(SUMIF($AD$3:$BA$3,"&lt;"&amp;$DF31,$B31:$Y31)+SUMIF($AD$3:$BA$3,"&gt;="&amp;$DG31,$B31:$Y31)),
IF(AJ$3=$DF31+'Model Setup'!$M$7,SUMIF($AD$3:$BA$3,"="&amp;$DF31+'Model Setup'!$M$7,$B31:$Y31)+'Model Setup'!$M$8*(SUMIF($AD$3:$BA$3,"&lt;"&amp;$DF31,$B31:$Y31)+SUMIF($AD$3:$BA$3,"&gt;="&amp;$DG31,$B31:$Y31)),
IF(AJ$3=$DF31+'Model Setup'!$N$7,SUMIF($AD$3:$BA$3,"="&amp;$DF31+'Model Setup'!$N$7,$B31:$Y31)+'Model Setup'!$N$8*(SUMIF($AD$3:$BA$3,"&lt;"&amp;$DF31,$B31:$Y31)+SUMIF($AD$3:$BA$3,"&gt;="&amp;$DG31,$B31:$Y31)),
IF(AJ$3&lt;$DG31,H31,0))))))))))))))),0)</f>
        <v>0</v>
      </c>
      <c r="AK31" s="47">
        <f>ROUND(IF(AK$3&lt;$DF31,0,
IF(AK$3=$DF31+'Model Setup'!$B$7,SUMIF($AD$3:$BA$3,"="&amp;$DF31+'Model Setup'!$B$7,$B31:$Y31)+'Model Setup'!$B$8*(SUMIF($AD$3:$BA$3,"&lt;"&amp;$DF31,$B31:$Y31)+SUMIF($AD$3:$BA$3,"&gt;="&amp;$DG31,$B31:$Y31)),
IF(AK$3=$DF31+'Model Setup'!$C$7,SUMIF($AD$3:$BA$3,"="&amp;$DF31+'Model Setup'!$C$7,$B31:$Y31)+'Model Setup'!$C$8*(SUMIF($AD$3:$BA$3,"&lt;"&amp;$DF31,$B31:$Y31)+SUMIF($AD$3:$BA$3,"&gt;="&amp;$DG31,$B31:$Y31)),
IF(AK$3=$DF31+'Model Setup'!$D$7,SUMIF($AD$3:$BA$3,"="&amp;$DF31+'Model Setup'!$D$7,$B31:$Y31)+'Model Setup'!$D$8*(SUMIF($AD$3:$BA$3,"&lt;"&amp;$DF31,$B31:$Y31)+SUMIF($AD$3:$BA$3,"&gt;="&amp;$DG31,$B31:$Y31)),
IF(AK$3=$DF31+'Model Setup'!$E$7,SUMIF($AD$3:$BA$3,"="&amp;$DF31+'Model Setup'!$E$7,$B31:$Y31)+'Model Setup'!$E$8*(SUMIF($AD$3:$BA$3,"&lt;"&amp;$DF31,$B31:$Y31)+SUMIF($AD$3:$BA$3,"&gt;="&amp;$DG31,$B31:$Y31)),
IF(AK$3=$DF31+'Model Setup'!$F$7,SUMIF($AD$3:$BA$3,"="&amp;$DF31+'Model Setup'!$F$7,$B31:$Y31)+'Model Setup'!$F$8*(SUMIF($AD$3:$BA$3,"&lt;"&amp;$DF31,$B31:$Y31)+SUMIF($AD$3:$BA$3,"&gt;="&amp;$DG31,$B31:$Y31)),
IF(AK$3=$DF31+'Model Setup'!$G$7,SUMIF($AD$3:$BA$3,"="&amp;$DF31+'Model Setup'!$G$7,$B31:$Y31)+'Model Setup'!$G$8*(SUMIF($AD$3:$BA$3,"&lt;"&amp;$DF31,$B31:$Y31)+SUMIF($AD$3:$BA$3,"&gt;="&amp;$DG31,$B31:$Y31)),
IF(AK$3=$DF31+'Model Setup'!$H$7,SUMIF($AD$3:$BA$3,"="&amp;$DF31+'Model Setup'!$H$7,$B31:$Y31)+'Model Setup'!$H$8*(SUMIF($AD$3:$BA$3,"&lt;"&amp;$DF31,$B31:$Y31)+SUMIF($AD$3:$BA$3,"&gt;="&amp;$DG31,$B31:$Y31)),
IF(AK$3=$DF31+'Model Setup'!$I$7,SUMIF($AD$3:$BA$3,"="&amp;$DF31+'Model Setup'!$I$7,$B31:$Y31)+'Model Setup'!$I$8*(SUMIF($AD$3:$BA$3,"&lt;"&amp;$DF31,$B31:$Y31)+SUMIF($AD$3:$BA$3,"&gt;="&amp;$DG31,$B31:$Y31)),
IF(AK$3=$DF31+'Model Setup'!$J$7,SUMIF($AD$3:$BA$3,"="&amp;$DF31+'Model Setup'!$J$7,$B31:$Y31)+'Model Setup'!$J$8*(SUMIF($AD$3:$BA$3,"&lt;"&amp;$DF31,$B31:$Y31)+SUMIF($AD$3:$BA$3,"&gt;="&amp;$DG31,$B31:$Y31)),
IF(AK$3=$DF31+'Model Setup'!$K$7,SUMIF($AD$3:$BA$3,"="&amp;$DF31+'Model Setup'!$K$7,$B31:$Y31)+'Model Setup'!$K$8*(SUMIF($AD$3:$BA$3,"&lt;"&amp;$DF31,$B31:$Y31)+SUMIF($AD$3:$BA$3,"&gt;="&amp;$DG31,$B31:$Y31)),
IF(AK$3=$DF31+'Model Setup'!$L$7,SUMIF($AD$3:$BA$3,"="&amp;$DF31+'Model Setup'!$L$7,$B31:$Y31)+'Model Setup'!$L$8*(SUMIF($AD$3:$BA$3,"&lt;"&amp;$DF31,$B31:$Y31)+SUMIF($AD$3:$BA$3,"&gt;="&amp;$DG31,$B31:$Y31)),
IF(AK$3=$DF31+'Model Setup'!$M$7,SUMIF($AD$3:$BA$3,"="&amp;$DF31+'Model Setup'!$M$7,$B31:$Y31)+'Model Setup'!$M$8*(SUMIF($AD$3:$BA$3,"&lt;"&amp;$DF31,$B31:$Y31)+SUMIF($AD$3:$BA$3,"&gt;="&amp;$DG31,$B31:$Y31)),
IF(AK$3=$DF31+'Model Setup'!$N$7,SUMIF($AD$3:$BA$3,"="&amp;$DF31+'Model Setup'!$N$7,$B31:$Y31)+'Model Setup'!$N$8*(SUMIF($AD$3:$BA$3,"&lt;"&amp;$DF31,$B31:$Y31)+SUMIF($AD$3:$BA$3,"&gt;="&amp;$DG31,$B31:$Y31)),
IF(AK$3&lt;$DG31,I31,0))))))))))))))),0)</f>
        <v>6</v>
      </c>
      <c r="AL31" s="47">
        <f>ROUND(IF(AL$3&lt;$DF31,0,
IF(AL$3=$DF31+'Model Setup'!$B$7,SUMIF($AD$3:$BA$3,"="&amp;$DF31+'Model Setup'!$B$7,$B31:$Y31)+'Model Setup'!$B$8*(SUMIF($AD$3:$BA$3,"&lt;"&amp;$DF31,$B31:$Y31)+SUMIF($AD$3:$BA$3,"&gt;="&amp;$DG31,$B31:$Y31)),
IF(AL$3=$DF31+'Model Setup'!$C$7,SUMIF($AD$3:$BA$3,"="&amp;$DF31+'Model Setup'!$C$7,$B31:$Y31)+'Model Setup'!$C$8*(SUMIF($AD$3:$BA$3,"&lt;"&amp;$DF31,$B31:$Y31)+SUMIF($AD$3:$BA$3,"&gt;="&amp;$DG31,$B31:$Y31)),
IF(AL$3=$DF31+'Model Setup'!$D$7,SUMIF($AD$3:$BA$3,"="&amp;$DF31+'Model Setup'!$D$7,$B31:$Y31)+'Model Setup'!$D$8*(SUMIF($AD$3:$BA$3,"&lt;"&amp;$DF31,$B31:$Y31)+SUMIF($AD$3:$BA$3,"&gt;="&amp;$DG31,$B31:$Y31)),
IF(AL$3=$DF31+'Model Setup'!$E$7,SUMIF($AD$3:$BA$3,"="&amp;$DF31+'Model Setup'!$E$7,$B31:$Y31)+'Model Setup'!$E$8*(SUMIF($AD$3:$BA$3,"&lt;"&amp;$DF31,$B31:$Y31)+SUMIF($AD$3:$BA$3,"&gt;="&amp;$DG31,$B31:$Y31)),
IF(AL$3=$DF31+'Model Setup'!$F$7,SUMIF($AD$3:$BA$3,"="&amp;$DF31+'Model Setup'!$F$7,$B31:$Y31)+'Model Setup'!$F$8*(SUMIF($AD$3:$BA$3,"&lt;"&amp;$DF31,$B31:$Y31)+SUMIF($AD$3:$BA$3,"&gt;="&amp;$DG31,$B31:$Y31)),
IF(AL$3=$DF31+'Model Setup'!$G$7,SUMIF($AD$3:$BA$3,"="&amp;$DF31+'Model Setup'!$G$7,$B31:$Y31)+'Model Setup'!$G$8*(SUMIF($AD$3:$BA$3,"&lt;"&amp;$DF31,$B31:$Y31)+SUMIF($AD$3:$BA$3,"&gt;="&amp;$DG31,$B31:$Y31)),
IF(AL$3=$DF31+'Model Setup'!$H$7,SUMIF($AD$3:$BA$3,"="&amp;$DF31+'Model Setup'!$H$7,$B31:$Y31)+'Model Setup'!$H$8*(SUMIF($AD$3:$BA$3,"&lt;"&amp;$DF31,$B31:$Y31)+SUMIF($AD$3:$BA$3,"&gt;="&amp;$DG31,$B31:$Y31)),
IF(AL$3=$DF31+'Model Setup'!$I$7,SUMIF($AD$3:$BA$3,"="&amp;$DF31+'Model Setup'!$I$7,$B31:$Y31)+'Model Setup'!$I$8*(SUMIF($AD$3:$BA$3,"&lt;"&amp;$DF31,$B31:$Y31)+SUMIF($AD$3:$BA$3,"&gt;="&amp;$DG31,$B31:$Y31)),
IF(AL$3=$DF31+'Model Setup'!$J$7,SUMIF($AD$3:$BA$3,"="&amp;$DF31+'Model Setup'!$J$7,$B31:$Y31)+'Model Setup'!$J$8*(SUMIF($AD$3:$BA$3,"&lt;"&amp;$DF31,$B31:$Y31)+SUMIF($AD$3:$BA$3,"&gt;="&amp;$DG31,$B31:$Y31)),
IF(AL$3=$DF31+'Model Setup'!$K$7,SUMIF($AD$3:$BA$3,"="&amp;$DF31+'Model Setup'!$K$7,$B31:$Y31)+'Model Setup'!$K$8*(SUMIF($AD$3:$BA$3,"&lt;"&amp;$DF31,$B31:$Y31)+SUMIF($AD$3:$BA$3,"&gt;="&amp;$DG31,$B31:$Y31)),
IF(AL$3=$DF31+'Model Setup'!$L$7,SUMIF($AD$3:$BA$3,"="&amp;$DF31+'Model Setup'!$L$7,$B31:$Y31)+'Model Setup'!$L$8*(SUMIF($AD$3:$BA$3,"&lt;"&amp;$DF31,$B31:$Y31)+SUMIF($AD$3:$BA$3,"&gt;="&amp;$DG31,$B31:$Y31)),
IF(AL$3=$DF31+'Model Setup'!$M$7,SUMIF($AD$3:$BA$3,"="&amp;$DF31+'Model Setup'!$M$7,$B31:$Y31)+'Model Setup'!$M$8*(SUMIF($AD$3:$BA$3,"&lt;"&amp;$DF31,$B31:$Y31)+SUMIF($AD$3:$BA$3,"&gt;="&amp;$DG31,$B31:$Y31)),
IF(AL$3=$DF31+'Model Setup'!$N$7,SUMIF($AD$3:$BA$3,"="&amp;$DF31+'Model Setup'!$N$7,$B31:$Y31)+'Model Setup'!$N$8*(SUMIF($AD$3:$BA$3,"&lt;"&amp;$DF31,$B31:$Y31)+SUMIF($AD$3:$BA$3,"&gt;="&amp;$DG31,$B31:$Y31)),
IF(AL$3&lt;$DG31,J31,0))))))))))))))),0)</f>
        <v>11</v>
      </c>
      <c r="AM31" s="47">
        <f>ROUND(IF(AM$3&lt;$DF31,0,
IF(AM$3=$DF31+'Model Setup'!$B$7,SUMIF($AD$3:$BA$3,"="&amp;$DF31+'Model Setup'!$B$7,$B31:$Y31)+'Model Setup'!$B$8*(SUMIF($AD$3:$BA$3,"&lt;"&amp;$DF31,$B31:$Y31)+SUMIF($AD$3:$BA$3,"&gt;="&amp;$DG31,$B31:$Y31)),
IF(AM$3=$DF31+'Model Setup'!$C$7,SUMIF($AD$3:$BA$3,"="&amp;$DF31+'Model Setup'!$C$7,$B31:$Y31)+'Model Setup'!$C$8*(SUMIF($AD$3:$BA$3,"&lt;"&amp;$DF31,$B31:$Y31)+SUMIF($AD$3:$BA$3,"&gt;="&amp;$DG31,$B31:$Y31)),
IF(AM$3=$DF31+'Model Setup'!$D$7,SUMIF($AD$3:$BA$3,"="&amp;$DF31+'Model Setup'!$D$7,$B31:$Y31)+'Model Setup'!$D$8*(SUMIF($AD$3:$BA$3,"&lt;"&amp;$DF31,$B31:$Y31)+SUMIF($AD$3:$BA$3,"&gt;="&amp;$DG31,$B31:$Y31)),
IF(AM$3=$DF31+'Model Setup'!$E$7,SUMIF($AD$3:$BA$3,"="&amp;$DF31+'Model Setup'!$E$7,$B31:$Y31)+'Model Setup'!$E$8*(SUMIF($AD$3:$BA$3,"&lt;"&amp;$DF31,$B31:$Y31)+SUMIF($AD$3:$BA$3,"&gt;="&amp;$DG31,$B31:$Y31)),
IF(AM$3=$DF31+'Model Setup'!$F$7,SUMIF($AD$3:$BA$3,"="&amp;$DF31+'Model Setup'!$F$7,$B31:$Y31)+'Model Setup'!$F$8*(SUMIF($AD$3:$BA$3,"&lt;"&amp;$DF31,$B31:$Y31)+SUMIF($AD$3:$BA$3,"&gt;="&amp;$DG31,$B31:$Y31)),
IF(AM$3=$DF31+'Model Setup'!$G$7,SUMIF($AD$3:$BA$3,"="&amp;$DF31+'Model Setup'!$G$7,$B31:$Y31)+'Model Setup'!$G$8*(SUMIF($AD$3:$BA$3,"&lt;"&amp;$DF31,$B31:$Y31)+SUMIF($AD$3:$BA$3,"&gt;="&amp;$DG31,$B31:$Y31)),
IF(AM$3=$DF31+'Model Setup'!$H$7,SUMIF($AD$3:$BA$3,"="&amp;$DF31+'Model Setup'!$H$7,$B31:$Y31)+'Model Setup'!$H$8*(SUMIF($AD$3:$BA$3,"&lt;"&amp;$DF31,$B31:$Y31)+SUMIF($AD$3:$BA$3,"&gt;="&amp;$DG31,$B31:$Y31)),
IF(AM$3=$DF31+'Model Setup'!$I$7,SUMIF($AD$3:$BA$3,"="&amp;$DF31+'Model Setup'!$I$7,$B31:$Y31)+'Model Setup'!$I$8*(SUMIF($AD$3:$BA$3,"&lt;"&amp;$DF31,$B31:$Y31)+SUMIF($AD$3:$BA$3,"&gt;="&amp;$DG31,$B31:$Y31)),
IF(AM$3=$DF31+'Model Setup'!$J$7,SUMIF($AD$3:$BA$3,"="&amp;$DF31+'Model Setup'!$J$7,$B31:$Y31)+'Model Setup'!$J$8*(SUMIF($AD$3:$BA$3,"&lt;"&amp;$DF31,$B31:$Y31)+SUMIF($AD$3:$BA$3,"&gt;="&amp;$DG31,$B31:$Y31)),
IF(AM$3=$DF31+'Model Setup'!$K$7,SUMIF($AD$3:$BA$3,"="&amp;$DF31+'Model Setup'!$K$7,$B31:$Y31)+'Model Setup'!$K$8*(SUMIF($AD$3:$BA$3,"&lt;"&amp;$DF31,$B31:$Y31)+SUMIF($AD$3:$BA$3,"&gt;="&amp;$DG31,$B31:$Y31)),
IF(AM$3=$DF31+'Model Setup'!$L$7,SUMIF($AD$3:$BA$3,"="&amp;$DF31+'Model Setup'!$L$7,$B31:$Y31)+'Model Setup'!$L$8*(SUMIF($AD$3:$BA$3,"&lt;"&amp;$DF31,$B31:$Y31)+SUMIF($AD$3:$BA$3,"&gt;="&amp;$DG31,$B31:$Y31)),
IF(AM$3=$DF31+'Model Setup'!$M$7,SUMIF($AD$3:$BA$3,"="&amp;$DF31+'Model Setup'!$M$7,$B31:$Y31)+'Model Setup'!$M$8*(SUMIF($AD$3:$BA$3,"&lt;"&amp;$DF31,$B31:$Y31)+SUMIF($AD$3:$BA$3,"&gt;="&amp;$DG31,$B31:$Y31)),
IF(AM$3=$DF31+'Model Setup'!$N$7,SUMIF($AD$3:$BA$3,"="&amp;$DF31+'Model Setup'!$N$7,$B31:$Y31)+'Model Setup'!$N$8*(SUMIF($AD$3:$BA$3,"&lt;"&amp;$DF31,$B31:$Y31)+SUMIF($AD$3:$BA$3,"&gt;="&amp;$DG31,$B31:$Y31)),
IF(AM$3&lt;$DG31,K31,0))))))))))))))),0)</f>
        <v>22</v>
      </c>
      <c r="AN31" s="47">
        <f>ROUND(IF(AN$3&lt;$DF31,0,
IF(AN$3=$DF31+'Model Setup'!$B$7,SUMIF($AD$3:$BA$3,"="&amp;$DF31+'Model Setup'!$B$7,$B31:$Y31)+'Model Setup'!$B$8*(SUMIF($AD$3:$BA$3,"&lt;"&amp;$DF31,$B31:$Y31)+SUMIF($AD$3:$BA$3,"&gt;="&amp;$DG31,$B31:$Y31)),
IF(AN$3=$DF31+'Model Setup'!$C$7,SUMIF($AD$3:$BA$3,"="&amp;$DF31+'Model Setup'!$C$7,$B31:$Y31)+'Model Setup'!$C$8*(SUMIF($AD$3:$BA$3,"&lt;"&amp;$DF31,$B31:$Y31)+SUMIF($AD$3:$BA$3,"&gt;="&amp;$DG31,$B31:$Y31)),
IF(AN$3=$DF31+'Model Setup'!$D$7,SUMIF($AD$3:$BA$3,"="&amp;$DF31+'Model Setup'!$D$7,$B31:$Y31)+'Model Setup'!$D$8*(SUMIF($AD$3:$BA$3,"&lt;"&amp;$DF31,$B31:$Y31)+SUMIF($AD$3:$BA$3,"&gt;="&amp;$DG31,$B31:$Y31)),
IF(AN$3=$DF31+'Model Setup'!$E$7,SUMIF($AD$3:$BA$3,"="&amp;$DF31+'Model Setup'!$E$7,$B31:$Y31)+'Model Setup'!$E$8*(SUMIF($AD$3:$BA$3,"&lt;"&amp;$DF31,$B31:$Y31)+SUMIF($AD$3:$BA$3,"&gt;="&amp;$DG31,$B31:$Y31)),
IF(AN$3=$DF31+'Model Setup'!$F$7,SUMIF($AD$3:$BA$3,"="&amp;$DF31+'Model Setup'!$F$7,$B31:$Y31)+'Model Setup'!$F$8*(SUMIF($AD$3:$BA$3,"&lt;"&amp;$DF31,$B31:$Y31)+SUMIF($AD$3:$BA$3,"&gt;="&amp;$DG31,$B31:$Y31)),
IF(AN$3=$DF31+'Model Setup'!$G$7,SUMIF($AD$3:$BA$3,"="&amp;$DF31+'Model Setup'!$G$7,$B31:$Y31)+'Model Setup'!$G$8*(SUMIF($AD$3:$BA$3,"&lt;"&amp;$DF31,$B31:$Y31)+SUMIF($AD$3:$BA$3,"&gt;="&amp;$DG31,$B31:$Y31)),
IF(AN$3=$DF31+'Model Setup'!$H$7,SUMIF($AD$3:$BA$3,"="&amp;$DF31+'Model Setup'!$H$7,$B31:$Y31)+'Model Setup'!$H$8*(SUMIF($AD$3:$BA$3,"&lt;"&amp;$DF31,$B31:$Y31)+SUMIF($AD$3:$BA$3,"&gt;="&amp;$DG31,$B31:$Y31)),
IF(AN$3=$DF31+'Model Setup'!$I$7,SUMIF($AD$3:$BA$3,"="&amp;$DF31+'Model Setup'!$I$7,$B31:$Y31)+'Model Setup'!$I$8*(SUMIF($AD$3:$BA$3,"&lt;"&amp;$DF31,$B31:$Y31)+SUMIF($AD$3:$BA$3,"&gt;="&amp;$DG31,$B31:$Y31)),
IF(AN$3=$DF31+'Model Setup'!$J$7,SUMIF($AD$3:$BA$3,"="&amp;$DF31+'Model Setup'!$J$7,$B31:$Y31)+'Model Setup'!$J$8*(SUMIF($AD$3:$BA$3,"&lt;"&amp;$DF31,$B31:$Y31)+SUMIF($AD$3:$BA$3,"&gt;="&amp;$DG31,$B31:$Y31)),
IF(AN$3=$DF31+'Model Setup'!$K$7,SUMIF($AD$3:$BA$3,"="&amp;$DF31+'Model Setup'!$K$7,$B31:$Y31)+'Model Setup'!$K$8*(SUMIF($AD$3:$BA$3,"&lt;"&amp;$DF31,$B31:$Y31)+SUMIF($AD$3:$BA$3,"&gt;="&amp;$DG31,$B31:$Y31)),
IF(AN$3=$DF31+'Model Setup'!$L$7,SUMIF($AD$3:$BA$3,"="&amp;$DF31+'Model Setup'!$L$7,$B31:$Y31)+'Model Setup'!$L$8*(SUMIF($AD$3:$BA$3,"&lt;"&amp;$DF31,$B31:$Y31)+SUMIF($AD$3:$BA$3,"&gt;="&amp;$DG31,$B31:$Y31)),
IF(AN$3=$DF31+'Model Setup'!$M$7,SUMIF($AD$3:$BA$3,"="&amp;$DF31+'Model Setup'!$M$7,$B31:$Y31)+'Model Setup'!$M$8*(SUMIF($AD$3:$BA$3,"&lt;"&amp;$DF31,$B31:$Y31)+SUMIF($AD$3:$BA$3,"&gt;="&amp;$DG31,$B31:$Y31)),
IF(AN$3=$DF31+'Model Setup'!$N$7,SUMIF($AD$3:$BA$3,"="&amp;$DF31+'Model Setup'!$N$7,$B31:$Y31)+'Model Setup'!$N$8*(SUMIF($AD$3:$BA$3,"&lt;"&amp;$DF31,$B31:$Y31)+SUMIF($AD$3:$BA$3,"&gt;="&amp;$DG31,$B31:$Y31)),
IF(AN$3&lt;$DG31,L31,0))))))))))))))),0)</f>
        <v>19</v>
      </c>
      <c r="AO31" s="47">
        <f>ROUND(IF(AO$3&lt;$DF31,0,
IF(AO$3=$DF31+'Model Setup'!$B$7,SUMIF($AD$3:$BA$3,"="&amp;$DF31+'Model Setup'!$B$7,$B31:$Y31)+'Model Setup'!$B$8*(SUMIF($AD$3:$BA$3,"&lt;"&amp;$DF31,$B31:$Y31)+SUMIF($AD$3:$BA$3,"&gt;="&amp;$DG31,$B31:$Y31)),
IF(AO$3=$DF31+'Model Setup'!$C$7,SUMIF($AD$3:$BA$3,"="&amp;$DF31+'Model Setup'!$C$7,$B31:$Y31)+'Model Setup'!$C$8*(SUMIF($AD$3:$BA$3,"&lt;"&amp;$DF31,$B31:$Y31)+SUMIF($AD$3:$BA$3,"&gt;="&amp;$DG31,$B31:$Y31)),
IF(AO$3=$DF31+'Model Setup'!$D$7,SUMIF($AD$3:$BA$3,"="&amp;$DF31+'Model Setup'!$D$7,$B31:$Y31)+'Model Setup'!$D$8*(SUMIF($AD$3:$BA$3,"&lt;"&amp;$DF31,$B31:$Y31)+SUMIF($AD$3:$BA$3,"&gt;="&amp;$DG31,$B31:$Y31)),
IF(AO$3=$DF31+'Model Setup'!$E$7,SUMIF($AD$3:$BA$3,"="&amp;$DF31+'Model Setup'!$E$7,$B31:$Y31)+'Model Setup'!$E$8*(SUMIF($AD$3:$BA$3,"&lt;"&amp;$DF31,$B31:$Y31)+SUMIF($AD$3:$BA$3,"&gt;="&amp;$DG31,$B31:$Y31)),
IF(AO$3=$DF31+'Model Setup'!$F$7,SUMIF($AD$3:$BA$3,"="&amp;$DF31+'Model Setup'!$F$7,$B31:$Y31)+'Model Setup'!$F$8*(SUMIF($AD$3:$BA$3,"&lt;"&amp;$DF31,$B31:$Y31)+SUMIF($AD$3:$BA$3,"&gt;="&amp;$DG31,$B31:$Y31)),
IF(AO$3=$DF31+'Model Setup'!$G$7,SUMIF($AD$3:$BA$3,"="&amp;$DF31+'Model Setup'!$G$7,$B31:$Y31)+'Model Setup'!$G$8*(SUMIF($AD$3:$BA$3,"&lt;"&amp;$DF31,$B31:$Y31)+SUMIF($AD$3:$BA$3,"&gt;="&amp;$DG31,$B31:$Y31)),
IF(AO$3=$DF31+'Model Setup'!$H$7,SUMIF($AD$3:$BA$3,"="&amp;$DF31+'Model Setup'!$H$7,$B31:$Y31)+'Model Setup'!$H$8*(SUMIF($AD$3:$BA$3,"&lt;"&amp;$DF31,$B31:$Y31)+SUMIF($AD$3:$BA$3,"&gt;="&amp;$DG31,$B31:$Y31)),
IF(AO$3=$DF31+'Model Setup'!$I$7,SUMIF($AD$3:$BA$3,"="&amp;$DF31+'Model Setup'!$I$7,$B31:$Y31)+'Model Setup'!$I$8*(SUMIF($AD$3:$BA$3,"&lt;"&amp;$DF31,$B31:$Y31)+SUMIF($AD$3:$BA$3,"&gt;="&amp;$DG31,$B31:$Y31)),
IF(AO$3=$DF31+'Model Setup'!$J$7,SUMIF($AD$3:$BA$3,"="&amp;$DF31+'Model Setup'!$J$7,$B31:$Y31)+'Model Setup'!$J$8*(SUMIF($AD$3:$BA$3,"&lt;"&amp;$DF31,$B31:$Y31)+SUMIF($AD$3:$BA$3,"&gt;="&amp;$DG31,$B31:$Y31)),
IF(AO$3=$DF31+'Model Setup'!$K$7,SUMIF($AD$3:$BA$3,"="&amp;$DF31+'Model Setup'!$K$7,$B31:$Y31)+'Model Setup'!$K$8*(SUMIF($AD$3:$BA$3,"&lt;"&amp;$DF31,$B31:$Y31)+SUMIF($AD$3:$BA$3,"&gt;="&amp;$DG31,$B31:$Y31)),
IF(AO$3=$DF31+'Model Setup'!$L$7,SUMIF($AD$3:$BA$3,"="&amp;$DF31+'Model Setup'!$L$7,$B31:$Y31)+'Model Setup'!$L$8*(SUMIF($AD$3:$BA$3,"&lt;"&amp;$DF31,$B31:$Y31)+SUMIF($AD$3:$BA$3,"&gt;="&amp;$DG31,$B31:$Y31)),
IF(AO$3=$DF31+'Model Setup'!$M$7,SUMIF($AD$3:$BA$3,"="&amp;$DF31+'Model Setup'!$M$7,$B31:$Y31)+'Model Setup'!$M$8*(SUMIF($AD$3:$BA$3,"&lt;"&amp;$DF31,$B31:$Y31)+SUMIF($AD$3:$BA$3,"&gt;="&amp;$DG31,$B31:$Y31)),
IF(AO$3=$DF31+'Model Setup'!$N$7,SUMIF($AD$3:$BA$3,"="&amp;$DF31+'Model Setup'!$N$7,$B31:$Y31)+'Model Setup'!$N$8*(SUMIF($AD$3:$BA$3,"&lt;"&amp;$DF31,$B31:$Y31)+SUMIF($AD$3:$BA$3,"&gt;="&amp;$DG31,$B31:$Y31)),
IF(AO$3&lt;$DG31,M31,0))))))))))))))),0)</f>
        <v>10</v>
      </c>
      <c r="AP31" s="47">
        <f>ROUND(IF(AP$3&lt;$DF31,0,
IF(AP$3=$DF31+'Model Setup'!$B$7,SUMIF($AD$3:$BA$3,"="&amp;$DF31+'Model Setup'!$B$7,$B31:$Y31)+'Model Setup'!$B$8*(SUMIF($AD$3:$BA$3,"&lt;"&amp;$DF31,$B31:$Y31)+SUMIF($AD$3:$BA$3,"&gt;="&amp;$DG31,$B31:$Y31)),
IF(AP$3=$DF31+'Model Setup'!$C$7,SUMIF($AD$3:$BA$3,"="&amp;$DF31+'Model Setup'!$C$7,$B31:$Y31)+'Model Setup'!$C$8*(SUMIF($AD$3:$BA$3,"&lt;"&amp;$DF31,$B31:$Y31)+SUMIF($AD$3:$BA$3,"&gt;="&amp;$DG31,$B31:$Y31)),
IF(AP$3=$DF31+'Model Setup'!$D$7,SUMIF($AD$3:$BA$3,"="&amp;$DF31+'Model Setup'!$D$7,$B31:$Y31)+'Model Setup'!$D$8*(SUMIF($AD$3:$BA$3,"&lt;"&amp;$DF31,$B31:$Y31)+SUMIF($AD$3:$BA$3,"&gt;="&amp;$DG31,$B31:$Y31)),
IF(AP$3=$DF31+'Model Setup'!$E$7,SUMIF($AD$3:$BA$3,"="&amp;$DF31+'Model Setup'!$E$7,$B31:$Y31)+'Model Setup'!$E$8*(SUMIF($AD$3:$BA$3,"&lt;"&amp;$DF31,$B31:$Y31)+SUMIF($AD$3:$BA$3,"&gt;="&amp;$DG31,$B31:$Y31)),
IF(AP$3=$DF31+'Model Setup'!$F$7,SUMIF($AD$3:$BA$3,"="&amp;$DF31+'Model Setup'!$F$7,$B31:$Y31)+'Model Setup'!$F$8*(SUMIF($AD$3:$BA$3,"&lt;"&amp;$DF31,$B31:$Y31)+SUMIF($AD$3:$BA$3,"&gt;="&amp;$DG31,$B31:$Y31)),
IF(AP$3=$DF31+'Model Setup'!$G$7,SUMIF($AD$3:$BA$3,"="&amp;$DF31+'Model Setup'!$G$7,$B31:$Y31)+'Model Setup'!$G$8*(SUMIF($AD$3:$BA$3,"&lt;"&amp;$DF31,$B31:$Y31)+SUMIF($AD$3:$BA$3,"&gt;="&amp;$DG31,$B31:$Y31)),
IF(AP$3=$DF31+'Model Setup'!$H$7,SUMIF($AD$3:$BA$3,"="&amp;$DF31+'Model Setup'!$H$7,$B31:$Y31)+'Model Setup'!$H$8*(SUMIF($AD$3:$BA$3,"&lt;"&amp;$DF31,$B31:$Y31)+SUMIF($AD$3:$BA$3,"&gt;="&amp;$DG31,$B31:$Y31)),
IF(AP$3=$DF31+'Model Setup'!$I$7,SUMIF($AD$3:$BA$3,"="&amp;$DF31+'Model Setup'!$I$7,$B31:$Y31)+'Model Setup'!$I$8*(SUMIF($AD$3:$BA$3,"&lt;"&amp;$DF31,$B31:$Y31)+SUMIF($AD$3:$BA$3,"&gt;="&amp;$DG31,$B31:$Y31)),
IF(AP$3=$DF31+'Model Setup'!$J$7,SUMIF($AD$3:$BA$3,"="&amp;$DF31+'Model Setup'!$J$7,$B31:$Y31)+'Model Setup'!$J$8*(SUMIF($AD$3:$BA$3,"&lt;"&amp;$DF31,$B31:$Y31)+SUMIF($AD$3:$BA$3,"&gt;="&amp;$DG31,$B31:$Y31)),
IF(AP$3=$DF31+'Model Setup'!$K$7,SUMIF($AD$3:$BA$3,"="&amp;$DF31+'Model Setup'!$K$7,$B31:$Y31)+'Model Setup'!$K$8*(SUMIF($AD$3:$BA$3,"&lt;"&amp;$DF31,$B31:$Y31)+SUMIF($AD$3:$BA$3,"&gt;="&amp;$DG31,$B31:$Y31)),
IF(AP$3=$DF31+'Model Setup'!$L$7,SUMIF($AD$3:$BA$3,"="&amp;$DF31+'Model Setup'!$L$7,$B31:$Y31)+'Model Setup'!$L$8*(SUMIF($AD$3:$BA$3,"&lt;"&amp;$DF31,$B31:$Y31)+SUMIF($AD$3:$BA$3,"&gt;="&amp;$DG31,$B31:$Y31)),
IF(AP$3=$DF31+'Model Setup'!$M$7,SUMIF($AD$3:$BA$3,"="&amp;$DF31+'Model Setup'!$M$7,$B31:$Y31)+'Model Setup'!$M$8*(SUMIF($AD$3:$BA$3,"&lt;"&amp;$DF31,$B31:$Y31)+SUMIF($AD$3:$BA$3,"&gt;="&amp;$DG31,$B31:$Y31)),
IF(AP$3=$DF31+'Model Setup'!$N$7,SUMIF($AD$3:$BA$3,"="&amp;$DF31+'Model Setup'!$N$7,$B31:$Y31)+'Model Setup'!$N$8*(SUMIF($AD$3:$BA$3,"&lt;"&amp;$DF31,$B31:$Y31)+SUMIF($AD$3:$BA$3,"&gt;="&amp;$DG31,$B31:$Y31)),
IF(AP$3&lt;$DG31,N31,0))))))))))))))),0)</f>
        <v>5</v>
      </c>
      <c r="AQ31" s="47">
        <f>ROUND(IF(AQ$3&lt;$DF31,0,
IF(AQ$3=$DF31+'Model Setup'!$B$7,SUMIF($AD$3:$BA$3,"="&amp;$DF31+'Model Setup'!$B$7,$B31:$Y31)+'Model Setup'!$B$8*(SUMIF($AD$3:$BA$3,"&lt;"&amp;$DF31,$B31:$Y31)+SUMIF($AD$3:$BA$3,"&gt;="&amp;$DG31,$B31:$Y31)),
IF(AQ$3=$DF31+'Model Setup'!$C$7,SUMIF($AD$3:$BA$3,"="&amp;$DF31+'Model Setup'!$C$7,$B31:$Y31)+'Model Setup'!$C$8*(SUMIF($AD$3:$BA$3,"&lt;"&amp;$DF31,$B31:$Y31)+SUMIF($AD$3:$BA$3,"&gt;="&amp;$DG31,$B31:$Y31)),
IF(AQ$3=$DF31+'Model Setup'!$D$7,SUMIF($AD$3:$BA$3,"="&amp;$DF31+'Model Setup'!$D$7,$B31:$Y31)+'Model Setup'!$D$8*(SUMIF($AD$3:$BA$3,"&lt;"&amp;$DF31,$B31:$Y31)+SUMIF($AD$3:$BA$3,"&gt;="&amp;$DG31,$B31:$Y31)),
IF(AQ$3=$DF31+'Model Setup'!$E$7,SUMIF($AD$3:$BA$3,"="&amp;$DF31+'Model Setup'!$E$7,$B31:$Y31)+'Model Setup'!$E$8*(SUMIF($AD$3:$BA$3,"&lt;"&amp;$DF31,$B31:$Y31)+SUMIF($AD$3:$BA$3,"&gt;="&amp;$DG31,$B31:$Y31)),
IF(AQ$3=$DF31+'Model Setup'!$F$7,SUMIF($AD$3:$BA$3,"="&amp;$DF31+'Model Setup'!$F$7,$B31:$Y31)+'Model Setup'!$F$8*(SUMIF($AD$3:$BA$3,"&lt;"&amp;$DF31,$B31:$Y31)+SUMIF($AD$3:$BA$3,"&gt;="&amp;$DG31,$B31:$Y31)),
IF(AQ$3=$DF31+'Model Setup'!$G$7,SUMIF($AD$3:$BA$3,"="&amp;$DF31+'Model Setup'!$G$7,$B31:$Y31)+'Model Setup'!$G$8*(SUMIF($AD$3:$BA$3,"&lt;"&amp;$DF31,$B31:$Y31)+SUMIF($AD$3:$BA$3,"&gt;="&amp;$DG31,$B31:$Y31)),
IF(AQ$3=$DF31+'Model Setup'!$H$7,SUMIF($AD$3:$BA$3,"="&amp;$DF31+'Model Setup'!$H$7,$B31:$Y31)+'Model Setup'!$H$8*(SUMIF($AD$3:$BA$3,"&lt;"&amp;$DF31,$B31:$Y31)+SUMIF($AD$3:$BA$3,"&gt;="&amp;$DG31,$B31:$Y31)),
IF(AQ$3=$DF31+'Model Setup'!$I$7,SUMIF($AD$3:$BA$3,"="&amp;$DF31+'Model Setup'!$I$7,$B31:$Y31)+'Model Setup'!$I$8*(SUMIF($AD$3:$BA$3,"&lt;"&amp;$DF31,$B31:$Y31)+SUMIF($AD$3:$BA$3,"&gt;="&amp;$DG31,$B31:$Y31)),
IF(AQ$3=$DF31+'Model Setup'!$J$7,SUMIF($AD$3:$BA$3,"="&amp;$DF31+'Model Setup'!$J$7,$B31:$Y31)+'Model Setup'!$J$8*(SUMIF($AD$3:$BA$3,"&lt;"&amp;$DF31,$B31:$Y31)+SUMIF($AD$3:$BA$3,"&gt;="&amp;$DG31,$B31:$Y31)),
IF(AQ$3=$DF31+'Model Setup'!$K$7,SUMIF($AD$3:$BA$3,"="&amp;$DF31+'Model Setup'!$K$7,$B31:$Y31)+'Model Setup'!$K$8*(SUMIF($AD$3:$BA$3,"&lt;"&amp;$DF31,$B31:$Y31)+SUMIF($AD$3:$BA$3,"&gt;="&amp;$DG31,$B31:$Y31)),
IF(AQ$3=$DF31+'Model Setup'!$L$7,SUMIF($AD$3:$BA$3,"="&amp;$DF31+'Model Setup'!$L$7,$B31:$Y31)+'Model Setup'!$L$8*(SUMIF($AD$3:$BA$3,"&lt;"&amp;$DF31,$B31:$Y31)+SUMIF($AD$3:$BA$3,"&gt;="&amp;$DG31,$B31:$Y31)),
IF(AQ$3=$DF31+'Model Setup'!$M$7,SUMIF($AD$3:$BA$3,"="&amp;$DF31+'Model Setup'!$M$7,$B31:$Y31)+'Model Setup'!$M$8*(SUMIF($AD$3:$BA$3,"&lt;"&amp;$DF31,$B31:$Y31)+SUMIF($AD$3:$BA$3,"&gt;="&amp;$DG31,$B31:$Y31)),
IF(AQ$3=$DF31+'Model Setup'!$N$7,SUMIF($AD$3:$BA$3,"="&amp;$DF31+'Model Setup'!$N$7,$B31:$Y31)+'Model Setup'!$N$8*(SUMIF($AD$3:$BA$3,"&lt;"&amp;$DF31,$B31:$Y31)+SUMIF($AD$3:$BA$3,"&gt;="&amp;$DG31,$B31:$Y31)),
IF(AQ$3&lt;$DG31,O31,0))))))))))))))),0)</f>
        <v>6</v>
      </c>
      <c r="AR31" s="47">
        <f>ROUND(IF(AR$3&lt;$DF31,0,
IF(AR$3=$DF31+'Model Setup'!$B$7,SUMIF($AD$3:$BA$3,"="&amp;$DF31+'Model Setup'!$B$7,$B31:$Y31)+'Model Setup'!$B$8*(SUMIF($AD$3:$BA$3,"&lt;"&amp;$DF31,$B31:$Y31)+SUMIF($AD$3:$BA$3,"&gt;="&amp;$DG31,$B31:$Y31)),
IF(AR$3=$DF31+'Model Setup'!$C$7,SUMIF($AD$3:$BA$3,"="&amp;$DF31+'Model Setup'!$C$7,$B31:$Y31)+'Model Setup'!$C$8*(SUMIF($AD$3:$BA$3,"&lt;"&amp;$DF31,$B31:$Y31)+SUMIF($AD$3:$BA$3,"&gt;="&amp;$DG31,$B31:$Y31)),
IF(AR$3=$DF31+'Model Setup'!$D$7,SUMIF($AD$3:$BA$3,"="&amp;$DF31+'Model Setup'!$D$7,$B31:$Y31)+'Model Setup'!$D$8*(SUMIF($AD$3:$BA$3,"&lt;"&amp;$DF31,$B31:$Y31)+SUMIF($AD$3:$BA$3,"&gt;="&amp;$DG31,$B31:$Y31)),
IF(AR$3=$DF31+'Model Setup'!$E$7,SUMIF($AD$3:$BA$3,"="&amp;$DF31+'Model Setup'!$E$7,$B31:$Y31)+'Model Setup'!$E$8*(SUMIF($AD$3:$BA$3,"&lt;"&amp;$DF31,$B31:$Y31)+SUMIF($AD$3:$BA$3,"&gt;="&amp;$DG31,$B31:$Y31)),
IF(AR$3=$DF31+'Model Setup'!$F$7,SUMIF($AD$3:$BA$3,"="&amp;$DF31+'Model Setup'!$F$7,$B31:$Y31)+'Model Setup'!$F$8*(SUMIF($AD$3:$BA$3,"&lt;"&amp;$DF31,$B31:$Y31)+SUMIF($AD$3:$BA$3,"&gt;="&amp;$DG31,$B31:$Y31)),
IF(AR$3=$DF31+'Model Setup'!$G$7,SUMIF($AD$3:$BA$3,"="&amp;$DF31+'Model Setup'!$G$7,$B31:$Y31)+'Model Setup'!$G$8*(SUMIF($AD$3:$BA$3,"&lt;"&amp;$DF31,$B31:$Y31)+SUMIF($AD$3:$BA$3,"&gt;="&amp;$DG31,$B31:$Y31)),
IF(AR$3=$DF31+'Model Setup'!$H$7,SUMIF($AD$3:$BA$3,"="&amp;$DF31+'Model Setup'!$H$7,$B31:$Y31)+'Model Setup'!$H$8*(SUMIF($AD$3:$BA$3,"&lt;"&amp;$DF31,$B31:$Y31)+SUMIF($AD$3:$BA$3,"&gt;="&amp;$DG31,$B31:$Y31)),
IF(AR$3=$DF31+'Model Setup'!$I$7,SUMIF($AD$3:$BA$3,"="&amp;$DF31+'Model Setup'!$I$7,$B31:$Y31)+'Model Setup'!$I$8*(SUMIF($AD$3:$BA$3,"&lt;"&amp;$DF31,$B31:$Y31)+SUMIF($AD$3:$BA$3,"&gt;="&amp;$DG31,$B31:$Y31)),
IF(AR$3=$DF31+'Model Setup'!$J$7,SUMIF($AD$3:$BA$3,"="&amp;$DF31+'Model Setup'!$J$7,$B31:$Y31)+'Model Setup'!$J$8*(SUMIF($AD$3:$BA$3,"&lt;"&amp;$DF31,$B31:$Y31)+SUMIF($AD$3:$BA$3,"&gt;="&amp;$DG31,$B31:$Y31)),
IF(AR$3=$DF31+'Model Setup'!$K$7,SUMIF($AD$3:$BA$3,"="&amp;$DF31+'Model Setup'!$K$7,$B31:$Y31)+'Model Setup'!$K$8*(SUMIF($AD$3:$BA$3,"&lt;"&amp;$DF31,$B31:$Y31)+SUMIF($AD$3:$BA$3,"&gt;="&amp;$DG31,$B31:$Y31)),
IF(AR$3=$DF31+'Model Setup'!$L$7,SUMIF($AD$3:$BA$3,"="&amp;$DF31+'Model Setup'!$L$7,$B31:$Y31)+'Model Setup'!$L$8*(SUMIF($AD$3:$BA$3,"&lt;"&amp;$DF31,$B31:$Y31)+SUMIF($AD$3:$BA$3,"&gt;="&amp;$DG31,$B31:$Y31)),
IF(AR$3=$DF31+'Model Setup'!$M$7,SUMIF($AD$3:$BA$3,"="&amp;$DF31+'Model Setup'!$M$7,$B31:$Y31)+'Model Setup'!$M$8*(SUMIF($AD$3:$BA$3,"&lt;"&amp;$DF31,$B31:$Y31)+SUMIF($AD$3:$BA$3,"&gt;="&amp;$DG31,$B31:$Y31)),
IF(AR$3=$DF31+'Model Setup'!$N$7,SUMIF($AD$3:$BA$3,"="&amp;$DF31+'Model Setup'!$N$7,$B31:$Y31)+'Model Setup'!$N$8*(SUMIF($AD$3:$BA$3,"&lt;"&amp;$DF31,$B31:$Y31)+SUMIF($AD$3:$BA$3,"&gt;="&amp;$DG31,$B31:$Y31)),
IF(AR$3&lt;$DG31,P31,0))))))))))))))),0)</f>
        <v>8</v>
      </c>
      <c r="AS31" s="47">
        <f>ROUND(IF(AS$3&lt;$DF31,0,
IF(AS$3=$DF31+'Model Setup'!$B$7,SUMIF($AD$3:$BA$3,"="&amp;$DF31+'Model Setup'!$B$7,$B31:$Y31)+'Model Setup'!$B$8*(SUMIF($AD$3:$BA$3,"&lt;"&amp;$DF31,$B31:$Y31)+SUMIF($AD$3:$BA$3,"&gt;="&amp;$DG31,$B31:$Y31)),
IF(AS$3=$DF31+'Model Setup'!$C$7,SUMIF($AD$3:$BA$3,"="&amp;$DF31+'Model Setup'!$C$7,$B31:$Y31)+'Model Setup'!$C$8*(SUMIF($AD$3:$BA$3,"&lt;"&amp;$DF31,$B31:$Y31)+SUMIF($AD$3:$BA$3,"&gt;="&amp;$DG31,$B31:$Y31)),
IF(AS$3=$DF31+'Model Setup'!$D$7,SUMIF($AD$3:$BA$3,"="&amp;$DF31+'Model Setup'!$D$7,$B31:$Y31)+'Model Setup'!$D$8*(SUMIF($AD$3:$BA$3,"&lt;"&amp;$DF31,$B31:$Y31)+SUMIF($AD$3:$BA$3,"&gt;="&amp;$DG31,$B31:$Y31)),
IF(AS$3=$DF31+'Model Setup'!$E$7,SUMIF($AD$3:$BA$3,"="&amp;$DF31+'Model Setup'!$E$7,$B31:$Y31)+'Model Setup'!$E$8*(SUMIF($AD$3:$BA$3,"&lt;"&amp;$DF31,$B31:$Y31)+SUMIF($AD$3:$BA$3,"&gt;="&amp;$DG31,$B31:$Y31)),
IF(AS$3=$DF31+'Model Setup'!$F$7,SUMIF($AD$3:$BA$3,"="&amp;$DF31+'Model Setup'!$F$7,$B31:$Y31)+'Model Setup'!$F$8*(SUMIF($AD$3:$BA$3,"&lt;"&amp;$DF31,$B31:$Y31)+SUMIF($AD$3:$BA$3,"&gt;="&amp;$DG31,$B31:$Y31)),
IF(AS$3=$DF31+'Model Setup'!$G$7,SUMIF($AD$3:$BA$3,"="&amp;$DF31+'Model Setup'!$G$7,$B31:$Y31)+'Model Setup'!$G$8*(SUMIF($AD$3:$BA$3,"&lt;"&amp;$DF31,$B31:$Y31)+SUMIF($AD$3:$BA$3,"&gt;="&amp;$DG31,$B31:$Y31)),
IF(AS$3=$DF31+'Model Setup'!$H$7,SUMIF($AD$3:$BA$3,"="&amp;$DF31+'Model Setup'!$H$7,$B31:$Y31)+'Model Setup'!$H$8*(SUMIF($AD$3:$BA$3,"&lt;"&amp;$DF31,$B31:$Y31)+SUMIF($AD$3:$BA$3,"&gt;="&amp;$DG31,$B31:$Y31)),
IF(AS$3=$DF31+'Model Setup'!$I$7,SUMIF($AD$3:$BA$3,"="&amp;$DF31+'Model Setup'!$I$7,$B31:$Y31)+'Model Setup'!$I$8*(SUMIF($AD$3:$BA$3,"&lt;"&amp;$DF31,$B31:$Y31)+SUMIF($AD$3:$BA$3,"&gt;="&amp;$DG31,$B31:$Y31)),
IF(AS$3=$DF31+'Model Setup'!$J$7,SUMIF($AD$3:$BA$3,"="&amp;$DF31+'Model Setup'!$J$7,$B31:$Y31)+'Model Setup'!$J$8*(SUMIF($AD$3:$BA$3,"&lt;"&amp;$DF31,$B31:$Y31)+SUMIF($AD$3:$BA$3,"&gt;="&amp;$DG31,$B31:$Y31)),
IF(AS$3=$DF31+'Model Setup'!$K$7,SUMIF($AD$3:$BA$3,"="&amp;$DF31+'Model Setup'!$K$7,$B31:$Y31)+'Model Setup'!$K$8*(SUMIF($AD$3:$BA$3,"&lt;"&amp;$DF31,$B31:$Y31)+SUMIF($AD$3:$BA$3,"&gt;="&amp;$DG31,$B31:$Y31)),
IF(AS$3=$DF31+'Model Setup'!$L$7,SUMIF($AD$3:$BA$3,"="&amp;$DF31+'Model Setup'!$L$7,$B31:$Y31)+'Model Setup'!$L$8*(SUMIF($AD$3:$BA$3,"&lt;"&amp;$DF31,$B31:$Y31)+SUMIF($AD$3:$BA$3,"&gt;="&amp;$DG31,$B31:$Y31)),
IF(AS$3=$DF31+'Model Setup'!$M$7,SUMIF($AD$3:$BA$3,"="&amp;$DF31+'Model Setup'!$M$7,$B31:$Y31)+'Model Setup'!$M$8*(SUMIF($AD$3:$BA$3,"&lt;"&amp;$DF31,$B31:$Y31)+SUMIF($AD$3:$BA$3,"&gt;="&amp;$DG31,$B31:$Y31)),
IF(AS$3=$DF31+'Model Setup'!$N$7,SUMIF($AD$3:$BA$3,"="&amp;$DF31+'Model Setup'!$N$7,$B31:$Y31)+'Model Setup'!$N$8*(SUMIF($AD$3:$BA$3,"&lt;"&amp;$DF31,$B31:$Y31)+SUMIF($AD$3:$BA$3,"&gt;="&amp;$DG31,$B31:$Y31)),
IF(AS$3&lt;$DG31,Q31,0))))))))))))))),0)</f>
        <v>7</v>
      </c>
      <c r="AT31" s="47">
        <f>ROUND(IF(AT$3&lt;$DF31,0,
IF(AT$3=$DF31+'Model Setup'!$B$7,SUMIF($AD$3:$BA$3,"="&amp;$DF31+'Model Setup'!$B$7,$B31:$Y31)+'Model Setup'!$B$8*(SUMIF($AD$3:$BA$3,"&lt;"&amp;$DF31,$B31:$Y31)+SUMIF($AD$3:$BA$3,"&gt;="&amp;$DG31,$B31:$Y31)),
IF(AT$3=$DF31+'Model Setup'!$C$7,SUMIF($AD$3:$BA$3,"="&amp;$DF31+'Model Setup'!$C$7,$B31:$Y31)+'Model Setup'!$C$8*(SUMIF($AD$3:$BA$3,"&lt;"&amp;$DF31,$B31:$Y31)+SUMIF($AD$3:$BA$3,"&gt;="&amp;$DG31,$B31:$Y31)),
IF(AT$3=$DF31+'Model Setup'!$D$7,SUMIF($AD$3:$BA$3,"="&amp;$DF31+'Model Setup'!$D$7,$B31:$Y31)+'Model Setup'!$D$8*(SUMIF($AD$3:$BA$3,"&lt;"&amp;$DF31,$B31:$Y31)+SUMIF($AD$3:$BA$3,"&gt;="&amp;$DG31,$B31:$Y31)),
IF(AT$3=$DF31+'Model Setup'!$E$7,SUMIF($AD$3:$BA$3,"="&amp;$DF31+'Model Setup'!$E$7,$B31:$Y31)+'Model Setup'!$E$8*(SUMIF($AD$3:$BA$3,"&lt;"&amp;$DF31,$B31:$Y31)+SUMIF($AD$3:$BA$3,"&gt;="&amp;$DG31,$B31:$Y31)),
IF(AT$3=$DF31+'Model Setup'!$F$7,SUMIF($AD$3:$BA$3,"="&amp;$DF31+'Model Setup'!$F$7,$B31:$Y31)+'Model Setup'!$F$8*(SUMIF($AD$3:$BA$3,"&lt;"&amp;$DF31,$B31:$Y31)+SUMIF($AD$3:$BA$3,"&gt;="&amp;$DG31,$B31:$Y31)),
IF(AT$3=$DF31+'Model Setup'!$G$7,SUMIF($AD$3:$BA$3,"="&amp;$DF31+'Model Setup'!$G$7,$B31:$Y31)+'Model Setup'!$G$8*(SUMIF($AD$3:$BA$3,"&lt;"&amp;$DF31,$B31:$Y31)+SUMIF($AD$3:$BA$3,"&gt;="&amp;$DG31,$B31:$Y31)),
IF(AT$3=$DF31+'Model Setup'!$H$7,SUMIF($AD$3:$BA$3,"="&amp;$DF31+'Model Setup'!$H$7,$B31:$Y31)+'Model Setup'!$H$8*(SUMIF($AD$3:$BA$3,"&lt;"&amp;$DF31,$B31:$Y31)+SUMIF($AD$3:$BA$3,"&gt;="&amp;$DG31,$B31:$Y31)),
IF(AT$3=$DF31+'Model Setup'!$I$7,SUMIF($AD$3:$BA$3,"="&amp;$DF31+'Model Setup'!$I$7,$B31:$Y31)+'Model Setup'!$I$8*(SUMIF($AD$3:$BA$3,"&lt;"&amp;$DF31,$B31:$Y31)+SUMIF($AD$3:$BA$3,"&gt;="&amp;$DG31,$B31:$Y31)),
IF(AT$3=$DF31+'Model Setup'!$J$7,SUMIF($AD$3:$BA$3,"="&amp;$DF31+'Model Setup'!$J$7,$B31:$Y31)+'Model Setup'!$J$8*(SUMIF($AD$3:$BA$3,"&lt;"&amp;$DF31,$B31:$Y31)+SUMIF($AD$3:$BA$3,"&gt;="&amp;$DG31,$B31:$Y31)),
IF(AT$3=$DF31+'Model Setup'!$K$7,SUMIF($AD$3:$BA$3,"="&amp;$DF31+'Model Setup'!$K$7,$B31:$Y31)+'Model Setup'!$K$8*(SUMIF($AD$3:$BA$3,"&lt;"&amp;$DF31,$B31:$Y31)+SUMIF($AD$3:$BA$3,"&gt;="&amp;$DG31,$B31:$Y31)),
IF(AT$3=$DF31+'Model Setup'!$L$7,SUMIF($AD$3:$BA$3,"="&amp;$DF31+'Model Setup'!$L$7,$B31:$Y31)+'Model Setup'!$L$8*(SUMIF($AD$3:$BA$3,"&lt;"&amp;$DF31,$B31:$Y31)+SUMIF($AD$3:$BA$3,"&gt;="&amp;$DG31,$B31:$Y31)),
IF(AT$3=$DF31+'Model Setup'!$M$7,SUMIF($AD$3:$BA$3,"="&amp;$DF31+'Model Setup'!$M$7,$B31:$Y31)+'Model Setup'!$M$8*(SUMIF($AD$3:$BA$3,"&lt;"&amp;$DF31,$B31:$Y31)+SUMIF($AD$3:$BA$3,"&gt;="&amp;$DG31,$B31:$Y31)),
IF(AT$3=$DF31+'Model Setup'!$N$7,SUMIF($AD$3:$BA$3,"="&amp;$DF31+'Model Setup'!$N$7,$B31:$Y31)+'Model Setup'!$N$8*(SUMIF($AD$3:$BA$3,"&lt;"&amp;$DF31,$B31:$Y31)+SUMIF($AD$3:$BA$3,"&gt;="&amp;$DG31,$B31:$Y31)),
IF(AT$3&lt;$DG31,R31,0))))))))))))))),0)</f>
        <v>8</v>
      </c>
      <c r="AU31" s="47">
        <f>ROUND(IF(AU$3&lt;$DF31,0,
IF(AU$3=$DF31+'Model Setup'!$B$7,SUMIF($AD$3:$BA$3,"="&amp;$DF31+'Model Setup'!$B$7,$B31:$Y31)+'Model Setup'!$B$8*(SUMIF($AD$3:$BA$3,"&lt;"&amp;$DF31,$B31:$Y31)+SUMIF($AD$3:$BA$3,"&gt;="&amp;$DG31,$B31:$Y31)),
IF(AU$3=$DF31+'Model Setup'!$C$7,SUMIF($AD$3:$BA$3,"="&amp;$DF31+'Model Setup'!$C$7,$B31:$Y31)+'Model Setup'!$C$8*(SUMIF($AD$3:$BA$3,"&lt;"&amp;$DF31,$B31:$Y31)+SUMIF($AD$3:$BA$3,"&gt;="&amp;$DG31,$B31:$Y31)),
IF(AU$3=$DF31+'Model Setup'!$D$7,SUMIF($AD$3:$BA$3,"="&amp;$DF31+'Model Setup'!$D$7,$B31:$Y31)+'Model Setup'!$D$8*(SUMIF($AD$3:$BA$3,"&lt;"&amp;$DF31,$B31:$Y31)+SUMIF($AD$3:$BA$3,"&gt;="&amp;$DG31,$B31:$Y31)),
IF(AU$3=$DF31+'Model Setup'!$E$7,SUMIF($AD$3:$BA$3,"="&amp;$DF31+'Model Setup'!$E$7,$B31:$Y31)+'Model Setup'!$E$8*(SUMIF($AD$3:$BA$3,"&lt;"&amp;$DF31,$B31:$Y31)+SUMIF($AD$3:$BA$3,"&gt;="&amp;$DG31,$B31:$Y31)),
IF(AU$3=$DF31+'Model Setup'!$F$7,SUMIF($AD$3:$BA$3,"="&amp;$DF31+'Model Setup'!$F$7,$B31:$Y31)+'Model Setup'!$F$8*(SUMIF($AD$3:$BA$3,"&lt;"&amp;$DF31,$B31:$Y31)+SUMIF($AD$3:$BA$3,"&gt;="&amp;$DG31,$B31:$Y31)),
IF(AU$3=$DF31+'Model Setup'!$G$7,SUMIF($AD$3:$BA$3,"="&amp;$DF31+'Model Setup'!$G$7,$B31:$Y31)+'Model Setup'!$G$8*(SUMIF($AD$3:$BA$3,"&lt;"&amp;$DF31,$B31:$Y31)+SUMIF($AD$3:$BA$3,"&gt;="&amp;$DG31,$B31:$Y31)),
IF(AU$3=$DF31+'Model Setup'!$H$7,SUMIF($AD$3:$BA$3,"="&amp;$DF31+'Model Setup'!$H$7,$B31:$Y31)+'Model Setup'!$H$8*(SUMIF($AD$3:$BA$3,"&lt;"&amp;$DF31,$B31:$Y31)+SUMIF($AD$3:$BA$3,"&gt;="&amp;$DG31,$B31:$Y31)),
IF(AU$3=$DF31+'Model Setup'!$I$7,SUMIF($AD$3:$BA$3,"="&amp;$DF31+'Model Setup'!$I$7,$B31:$Y31)+'Model Setup'!$I$8*(SUMIF($AD$3:$BA$3,"&lt;"&amp;$DF31,$B31:$Y31)+SUMIF($AD$3:$BA$3,"&gt;="&amp;$DG31,$B31:$Y31)),
IF(AU$3=$DF31+'Model Setup'!$J$7,SUMIF($AD$3:$BA$3,"="&amp;$DF31+'Model Setup'!$J$7,$B31:$Y31)+'Model Setup'!$J$8*(SUMIF($AD$3:$BA$3,"&lt;"&amp;$DF31,$B31:$Y31)+SUMIF($AD$3:$BA$3,"&gt;="&amp;$DG31,$B31:$Y31)),
IF(AU$3=$DF31+'Model Setup'!$K$7,SUMIF($AD$3:$BA$3,"="&amp;$DF31+'Model Setup'!$K$7,$B31:$Y31)+'Model Setup'!$K$8*(SUMIF($AD$3:$BA$3,"&lt;"&amp;$DF31,$B31:$Y31)+SUMIF($AD$3:$BA$3,"&gt;="&amp;$DG31,$B31:$Y31)),
IF(AU$3=$DF31+'Model Setup'!$L$7,SUMIF($AD$3:$BA$3,"="&amp;$DF31+'Model Setup'!$L$7,$B31:$Y31)+'Model Setup'!$L$8*(SUMIF($AD$3:$BA$3,"&lt;"&amp;$DF31,$B31:$Y31)+SUMIF($AD$3:$BA$3,"&gt;="&amp;$DG31,$B31:$Y31)),
IF(AU$3=$DF31+'Model Setup'!$M$7,SUMIF($AD$3:$BA$3,"="&amp;$DF31+'Model Setup'!$M$7,$B31:$Y31)+'Model Setup'!$M$8*(SUMIF($AD$3:$BA$3,"&lt;"&amp;$DF31,$B31:$Y31)+SUMIF($AD$3:$BA$3,"&gt;="&amp;$DG31,$B31:$Y31)),
IF(AU$3=$DF31+'Model Setup'!$N$7,SUMIF($AD$3:$BA$3,"="&amp;$DF31+'Model Setup'!$N$7,$B31:$Y31)+'Model Setup'!$N$8*(SUMIF($AD$3:$BA$3,"&lt;"&amp;$DF31,$B31:$Y31)+SUMIF($AD$3:$BA$3,"&gt;="&amp;$DG31,$B31:$Y31)),
IF(AU$3&lt;$DG31,S31,0))))))))))))))),0)</f>
        <v>20</v>
      </c>
      <c r="AV31" s="47">
        <f>ROUND(IF(AV$3&lt;$DF31,0,
IF(AV$3=$DF31+'Model Setup'!$B$7,SUMIF($AD$3:$BA$3,"="&amp;$DF31+'Model Setup'!$B$7,$B31:$Y31)+'Model Setup'!$B$8*(SUMIF($AD$3:$BA$3,"&lt;"&amp;$DF31,$B31:$Y31)+SUMIF($AD$3:$BA$3,"&gt;="&amp;$DG31,$B31:$Y31)),
IF(AV$3=$DF31+'Model Setup'!$C$7,SUMIF($AD$3:$BA$3,"="&amp;$DF31+'Model Setup'!$C$7,$B31:$Y31)+'Model Setup'!$C$8*(SUMIF($AD$3:$BA$3,"&lt;"&amp;$DF31,$B31:$Y31)+SUMIF($AD$3:$BA$3,"&gt;="&amp;$DG31,$B31:$Y31)),
IF(AV$3=$DF31+'Model Setup'!$D$7,SUMIF($AD$3:$BA$3,"="&amp;$DF31+'Model Setup'!$D$7,$B31:$Y31)+'Model Setup'!$D$8*(SUMIF($AD$3:$BA$3,"&lt;"&amp;$DF31,$B31:$Y31)+SUMIF($AD$3:$BA$3,"&gt;="&amp;$DG31,$B31:$Y31)),
IF(AV$3=$DF31+'Model Setup'!$E$7,SUMIF($AD$3:$BA$3,"="&amp;$DF31+'Model Setup'!$E$7,$B31:$Y31)+'Model Setup'!$E$8*(SUMIF($AD$3:$BA$3,"&lt;"&amp;$DF31,$B31:$Y31)+SUMIF($AD$3:$BA$3,"&gt;="&amp;$DG31,$B31:$Y31)),
IF(AV$3=$DF31+'Model Setup'!$F$7,SUMIF($AD$3:$BA$3,"="&amp;$DF31+'Model Setup'!$F$7,$B31:$Y31)+'Model Setup'!$F$8*(SUMIF($AD$3:$BA$3,"&lt;"&amp;$DF31,$B31:$Y31)+SUMIF($AD$3:$BA$3,"&gt;="&amp;$DG31,$B31:$Y31)),
IF(AV$3=$DF31+'Model Setup'!$G$7,SUMIF($AD$3:$BA$3,"="&amp;$DF31+'Model Setup'!$G$7,$B31:$Y31)+'Model Setup'!$G$8*(SUMIF($AD$3:$BA$3,"&lt;"&amp;$DF31,$B31:$Y31)+SUMIF($AD$3:$BA$3,"&gt;="&amp;$DG31,$B31:$Y31)),
IF(AV$3=$DF31+'Model Setup'!$H$7,SUMIF($AD$3:$BA$3,"="&amp;$DF31+'Model Setup'!$H$7,$B31:$Y31)+'Model Setup'!$H$8*(SUMIF($AD$3:$BA$3,"&lt;"&amp;$DF31,$B31:$Y31)+SUMIF($AD$3:$BA$3,"&gt;="&amp;$DG31,$B31:$Y31)),
IF(AV$3=$DF31+'Model Setup'!$I$7,SUMIF($AD$3:$BA$3,"="&amp;$DF31+'Model Setup'!$I$7,$B31:$Y31)+'Model Setup'!$I$8*(SUMIF($AD$3:$BA$3,"&lt;"&amp;$DF31,$B31:$Y31)+SUMIF($AD$3:$BA$3,"&gt;="&amp;$DG31,$B31:$Y31)),
IF(AV$3=$DF31+'Model Setup'!$J$7,SUMIF($AD$3:$BA$3,"="&amp;$DF31+'Model Setup'!$J$7,$B31:$Y31)+'Model Setup'!$J$8*(SUMIF($AD$3:$BA$3,"&lt;"&amp;$DF31,$B31:$Y31)+SUMIF($AD$3:$BA$3,"&gt;="&amp;$DG31,$B31:$Y31)),
IF(AV$3=$DF31+'Model Setup'!$K$7,SUMIF($AD$3:$BA$3,"="&amp;$DF31+'Model Setup'!$K$7,$B31:$Y31)+'Model Setup'!$K$8*(SUMIF($AD$3:$BA$3,"&lt;"&amp;$DF31,$B31:$Y31)+SUMIF($AD$3:$BA$3,"&gt;="&amp;$DG31,$B31:$Y31)),
IF(AV$3=$DF31+'Model Setup'!$L$7,SUMIF($AD$3:$BA$3,"="&amp;$DF31+'Model Setup'!$L$7,$B31:$Y31)+'Model Setup'!$L$8*(SUMIF($AD$3:$BA$3,"&lt;"&amp;$DF31,$B31:$Y31)+SUMIF($AD$3:$BA$3,"&gt;="&amp;$DG31,$B31:$Y31)),
IF(AV$3=$DF31+'Model Setup'!$M$7,SUMIF($AD$3:$BA$3,"="&amp;$DF31+'Model Setup'!$M$7,$B31:$Y31)+'Model Setup'!$M$8*(SUMIF($AD$3:$BA$3,"&lt;"&amp;$DF31,$B31:$Y31)+SUMIF($AD$3:$BA$3,"&gt;="&amp;$DG31,$B31:$Y31)),
IF(AV$3=$DF31+'Model Setup'!$N$7,SUMIF($AD$3:$BA$3,"="&amp;$DF31+'Model Setup'!$N$7,$B31:$Y31)+'Model Setup'!$N$8*(SUMIF($AD$3:$BA$3,"&lt;"&amp;$DF31,$B31:$Y31)+SUMIF($AD$3:$BA$3,"&gt;="&amp;$DG31,$B31:$Y31)),
IF(AV$3&lt;$DG31,T31,0))))))))))))))),0)</f>
        <v>20</v>
      </c>
      <c r="AW31" s="47">
        <f>ROUND(IF(AW$3&lt;$DF31,0,
IF(AW$3=$DF31+'Model Setup'!$B$7,SUMIF($AD$3:$BA$3,"="&amp;$DF31+'Model Setup'!$B$7,$B31:$Y31)+'Model Setup'!$B$8*(SUMIF($AD$3:$BA$3,"&lt;"&amp;$DF31,$B31:$Y31)+SUMIF($AD$3:$BA$3,"&gt;="&amp;$DG31,$B31:$Y31)),
IF(AW$3=$DF31+'Model Setup'!$C$7,SUMIF($AD$3:$BA$3,"="&amp;$DF31+'Model Setup'!$C$7,$B31:$Y31)+'Model Setup'!$C$8*(SUMIF($AD$3:$BA$3,"&lt;"&amp;$DF31,$B31:$Y31)+SUMIF($AD$3:$BA$3,"&gt;="&amp;$DG31,$B31:$Y31)),
IF(AW$3=$DF31+'Model Setup'!$D$7,SUMIF($AD$3:$BA$3,"="&amp;$DF31+'Model Setup'!$D$7,$B31:$Y31)+'Model Setup'!$D$8*(SUMIF($AD$3:$BA$3,"&lt;"&amp;$DF31,$B31:$Y31)+SUMIF($AD$3:$BA$3,"&gt;="&amp;$DG31,$B31:$Y31)),
IF(AW$3=$DF31+'Model Setup'!$E$7,SUMIF($AD$3:$BA$3,"="&amp;$DF31+'Model Setup'!$E$7,$B31:$Y31)+'Model Setup'!$E$8*(SUMIF($AD$3:$BA$3,"&lt;"&amp;$DF31,$B31:$Y31)+SUMIF($AD$3:$BA$3,"&gt;="&amp;$DG31,$B31:$Y31)),
IF(AW$3=$DF31+'Model Setup'!$F$7,SUMIF($AD$3:$BA$3,"="&amp;$DF31+'Model Setup'!$F$7,$B31:$Y31)+'Model Setup'!$F$8*(SUMIF($AD$3:$BA$3,"&lt;"&amp;$DF31,$B31:$Y31)+SUMIF($AD$3:$BA$3,"&gt;="&amp;$DG31,$B31:$Y31)),
IF(AW$3=$DF31+'Model Setup'!$G$7,SUMIF($AD$3:$BA$3,"="&amp;$DF31+'Model Setup'!$G$7,$B31:$Y31)+'Model Setup'!$G$8*(SUMIF($AD$3:$BA$3,"&lt;"&amp;$DF31,$B31:$Y31)+SUMIF($AD$3:$BA$3,"&gt;="&amp;$DG31,$B31:$Y31)),
IF(AW$3=$DF31+'Model Setup'!$H$7,SUMIF($AD$3:$BA$3,"="&amp;$DF31+'Model Setup'!$H$7,$B31:$Y31)+'Model Setup'!$H$8*(SUMIF($AD$3:$BA$3,"&lt;"&amp;$DF31,$B31:$Y31)+SUMIF($AD$3:$BA$3,"&gt;="&amp;$DG31,$B31:$Y31)),
IF(AW$3=$DF31+'Model Setup'!$I$7,SUMIF($AD$3:$BA$3,"="&amp;$DF31+'Model Setup'!$I$7,$B31:$Y31)+'Model Setup'!$I$8*(SUMIF($AD$3:$BA$3,"&lt;"&amp;$DF31,$B31:$Y31)+SUMIF($AD$3:$BA$3,"&gt;="&amp;$DG31,$B31:$Y31)),
IF(AW$3=$DF31+'Model Setup'!$J$7,SUMIF($AD$3:$BA$3,"="&amp;$DF31+'Model Setup'!$J$7,$B31:$Y31)+'Model Setup'!$J$8*(SUMIF($AD$3:$BA$3,"&lt;"&amp;$DF31,$B31:$Y31)+SUMIF($AD$3:$BA$3,"&gt;="&amp;$DG31,$B31:$Y31)),
IF(AW$3=$DF31+'Model Setup'!$K$7,SUMIF($AD$3:$BA$3,"="&amp;$DF31+'Model Setup'!$K$7,$B31:$Y31)+'Model Setup'!$K$8*(SUMIF($AD$3:$BA$3,"&lt;"&amp;$DF31,$B31:$Y31)+SUMIF($AD$3:$BA$3,"&gt;="&amp;$DG31,$B31:$Y31)),
IF(AW$3=$DF31+'Model Setup'!$L$7,SUMIF($AD$3:$BA$3,"="&amp;$DF31+'Model Setup'!$L$7,$B31:$Y31)+'Model Setup'!$L$8*(SUMIF($AD$3:$BA$3,"&lt;"&amp;$DF31,$B31:$Y31)+SUMIF($AD$3:$BA$3,"&gt;="&amp;$DG31,$B31:$Y31)),
IF(AW$3=$DF31+'Model Setup'!$M$7,SUMIF($AD$3:$BA$3,"="&amp;$DF31+'Model Setup'!$M$7,$B31:$Y31)+'Model Setup'!$M$8*(SUMIF($AD$3:$BA$3,"&lt;"&amp;$DF31,$B31:$Y31)+SUMIF($AD$3:$BA$3,"&gt;="&amp;$DG31,$B31:$Y31)),
IF(AW$3=$DF31+'Model Setup'!$N$7,SUMIF($AD$3:$BA$3,"="&amp;$DF31+'Model Setup'!$N$7,$B31:$Y31)+'Model Setup'!$N$8*(SUMIF($AD$3:$BA$3,"&lt;"&amp;$DF31,$B31:$Y31)+SUMIF($AD$3:$BA$3,"&gt;="&amp;$DG31,$B31:$Y31)),
IF(AW$3&lt;$DG31,U31,0))))))))))))))),0)</f>
        <v>14</v>
      </c>
      <c r="AX31" s="47">
        <f>ROUND(IF(AX$3&lt;$DF31,0,
IF(AX$3=$DF31+'Model Setup'!$B$7,SUMIF($AD$3:$BA$3,"="&amp;$DF31+'Model Setup'!$B$7,$B31:$Y31)+'Model Setup'!$B$8*(SUMIF($AD$3:$BA$3,"&lt;"&amp;$DF31,$B31:$Y31)+SUMIF($AD$3:$BA$3,"&gt;="&amp;$DG31,$B31:$Y31)),
IF(AX$3=$DF31+'Model Setup'!$C$7,SUMIF($AD$3:$BA$3,"="&amp;$DF31+'Model Setup'!$C$7,$B31:$Y31)+'Model Setup'!$C$8*(SUMIF($AD$3:$BA$3,"&lt;"&amp;$DF31,$B31:$Y31)+SUMIF($AD$3:$BA$3,"&gt;="&amp;$DG31,$B31:$Y31)),
IF(AX$3=$DF31+'Model Setup'!$D$7,SUMIF($AD$3:$BA$3,"="&amp;$DF31+'Model Setup'!$D$7,$B31:$Y31)+'Model Setup'!$D$8*(SUMIF($AD$3:$BA$3,"&lt;"&amp;$DF31,$B31:$Y31)+SUMIF($AD$3:$BA$3,"&gt;="&amp;$DG31,$B31:$Y31)),
IF(AX$3=$DF31+'Model Setup'!$E$7,SUMIF($AD$3:$BA$3,"="&amp;$DF31+'Model Setup'!$E$7,$B31:$Y31)+'Model Setup'!$E$8*(SUMIF($AD$3:$BA$3,"&lt;"&amp;$DF31,$B31:$Y31)+SUMIF($AD$3:$BA$3,"&gt;="&amp;$DG31,$B31:$Y31)),
IF(AX$3=$DF31+'Model Setup'!$F$7,SUMIF($AD$3:$BA$3,"="&amp;$DF31+'Model Setup'!$F$7,$B31:$Y31)+'Model Setup'!$F$8*(SUMIF($AD$3:$BA$3,"&lt;"&amp;$DF31,$B31:$Y31)+SUMIF($AD$3:$BA$3,"&gt;="&amp;$DG31,$B31:$Y31)),
IF(AX$3=$DF31+'Model Setup'!$G$7,SUMIF($AD$3:$BA$3,"="&amp;$DF31+'Model Setup'!$G$7,$B31:$Y31)+'Model Setup'!$G$8*(SUMIF($AD$3:$BA$3,"&lt;"&amp;$DF31,$B31:$Y31)+SUMIF($AD$3:$BA$3,"&gt;="&amp;$DG31,$B31:$Y31)),
IF(AX$3=$DF31+'Model Setup'!$H$7,SUMIF($AD$3:$BA$3,"="&amp;$DF31+'Model Setup'!$H$7,$B31:$Y31)+'Model Setup'!$H$8*(SUMIF($AD$3:$BA$3,"&lt;"&amp;$DF31,$B31:$Y31)+SUMIF($AD$3:$BA$3,"&gt;="&amp;$DG31,$B31:$Y31)),
IF(AX$3=$DF31+'Model Setup'!$I$7,SUMIF($AD$3:$BA$3,"="&amp;$DF31+'Model Setup'!$I$7,$B31:$Y31)+'Model Setup'!$I$8*(SUMIF($AD$3:$BA$3,"&lt;"&amp;$DF31,$B31:$Y31)+SUMIF($AD$3:$BA$3,"&gt;="&amp;$DG31,$B31:$Y31)),
IF(AX$3=$DF31+'Model Setup'!$J$7,SUMIF($AD$3:$BA$3,"="&amp;$DF31+'Model Setup'!$J$7,$B31:$Y31)+'Model Setup'!$J$8*(SUMIF($AD$3:$BA$3,"&lt;"&amp;$DF31,$B31:$Y31)+SUMIF($AD$3:$BA$3,"&gt;="&amp;$DG31,$B31:$Y31)),
IF(AX$3=$DF31+'Model Setup'!$K$7,SUMIF($AD$3:$BA$3,"="&amp;$DF31+'Model Setup'!$K$7,$B31:$Y31)+'Model Setup'!$K$8*(SUMIF($AD$3:$BA$3,"&lt;"&amp;$DF31,$B31:$Y31)+SUMIF($AD$3:$BA$3,"&gt;="&amp;$DG31,$B31:$Y31)),
IF(AX$3=$DF31+'Model Setup'!$L$7,SUMIF($AD$3:$BA$3,"="&amp;$DF31+'Model Setup'!$L$7,$B31:$Y31)+'Model Setup'!$L$8*(SUMIF($AD$3:$BA$3,"&lt;"&amp;$DF31,$B31:$Y31)+SUMIF($AD$3:$BA$3,"&gt;="&amp;$DG31,$B31:$Y31)),
IF(AX$3=$DF31+'Model Setup'!$M$7,SUMIF($AD$3:$BA$3,"="&amp;$DF31+'Model Setup'!$M$7,$B31:$Y31)+'Model Setup'!$M$8*(SUMIF($AD$3:$BA$3,"&lt;"&amp;$DF31,$B31:$Y31)+SUMIF($AD$3:$BA$3,"&gt;="&amp;$DG31,$B31:$Y31)),
IF(AX$3=$DF31+'Model Setup'!$N$7,SUMIF($AD$3:$BA$3,"="&amp;$DF31+'Model Setup'!$N$7,$B31:$Y31)+'Model Setup'!$N$8*(SUMIF($AD$3:$BA$3,"&lt;"&amp;$DF31,$B31:$Y31)+SUMIF($AD$3:$BA$3,"&gt;="&amp;$DG31,$B31:$Y31)),
IF(AX$3&lt;$DG31,V31,0))))))))))))))),0)</f>
        <v>0</v>
      </c>
      <c r="AY31" s="47">
        <f>ROUND(IF(AY$3&lt;$DF31,0,
IF(AY$3=$DF31+'Model Setup'!$B$7,SUMIF($AD$3:$BA$3,"="&amp;$DF31+'Model Setup'!$B$7,$B31:$Y31)+'Model Setup'!$B$8*(SUMIF($AD$3:$BA$3,"&lt;"&amp;$DF31,$B31:$Y31)+SUMIF($AD$3:$BA$3,"&gt;="&amp;$DG31,$B31:$Y31)),
IF(AY$3=$DF31+'Model Setup'!$C$7,SUMIF($AD$3:$BA$3,"="&amp;$DF31+'Model Setup'!$C$7,$B31:$Y31)+'Model Setup'!$C$8*(SUMIF($AD$3:$BA$3,"&lt;"&amp;$DF31,$B31:$Y31)+SUMIF($AD$3:$BA$3,"&gt;="&amp;$DG31,$B31:$Y31)),
IF(AY$3=$DF31+'Model Setup'!$D$7,SUMIF($AD$3:$BA$3,"="&amp;$DF31+'Model Setup'!$D$7,$B31:$Y31)+'Model Setup'!$D$8*(SUMIF($AD$3:$BA$3,"&lt;"&amp;$DF31,$B31:$Y31)+SUMIF($AD$3:$BA$3,"&gt;="&amp;$DG31,$B31:$Y31)),
IF(AY$3=$DF31+'Model Setup'!$E$7,SUMIF($AD$3:$BA$3,"="&amp;$DF31+'Model Setup'!$E$7,$B31:$Y31)+'Model Setup'!$E$8*(SUMIF($AD$3:$BA$3,"&lt;"&amp;$DF31,$B31:$Y31)+SUMIF($AD$3:$BA$3,"&gt;="&amp;$DG31,$B31:$Y31)),
IF(AY$3=$DF31+'Model Setup'!$F$7,SUMIF($AD$3:$BA$3,"="&amp;$DF31+'Model Setup'!$F$7,$B31:$Y31)+'Model Setup'!$F$8*(SUMIF($AD$3:$BA$3,"&lt;"&amp;$DF31,$B31:$Y31)+SUMIF($AD$3:$BA$3,"&gt;="&amp;$DG31,$B31:$Y31)),
IF(AY$3=$DF31+'Model Setup'!$G$7,SUMIF($AD$3:$BA$3,"="&amp;$DF31+'Model Setup'!$G$7,$B31:$Y31)+'Model Setup'!$G$8*(SUMIF($AD$3:$BA$3,"&lt;"&amp;$DF31,$B31:$Y31)+SUMIF($AD$3:$BA$3,"&gt;="&amp;$DG31,$B31:$Y31)),
IF(AY$3=$DF31+'Model Setup'!$H$7,SUMIF($AD$3:$BA$3,"="&amp;$DF31+'Model Setup'!$H$7,$B31:$Y31)+'Model Setup'!$H$8*(SUMIF($AD$3:$BA$3,"&lt;"&amp;$DF31,$B31:$Y31)+SUMIF($AD$3:$BA$3,"&gt;="&amp;$DG31,$B31:$Y31)),
IF(AY$3=$DF31+'Model Setup'!$I$7,SUMIF($AD$3:$BA$3,"="&amp;$DF31+'Model Setup'!$I$7,$B31:$Y31)+'Model Setup'!$I$8*(SUMIF($AD$3:$BA$3,"&lt;"&amp;$DF31,$B31:$Y31)+SUMIF($AD$3:$BA$3,"&gt;="&amp;$DG31,$B31:$Y31)),
IF(AY$3=$DF31+'Model Setup'!$J$7,SUMIF($AD$3:$BA$3,"="&amp;$DF31+'Model Setup'!$J$7,$B31:$Y31)+'Model Setup'!$J$8*(SUMIF($AD$3:$BA$3,"&lt;"&amp;$DF31,$B31:$Y31)+SUMIF($AD$3:$BA$3,"&gt;="&amp;$DG31,$B31:$Y31)),
IF(AY$3=$DF31+'Model Setup'!$K$7,SUMIF($AD$3:$BA$3,"="&amp;$DF31+'Model Setup'!$K$7,$B31:$Y31)+'Model Setup'!$K$8*(SUMIF($AD$3:$BA$3,"&lt;"&amp;$DF31,$B31:$Y31)+SUMIF($AD$3:$BA$3,"&gt;="&amp;$DG31,$B31:$Y31)),
IF(AY$3=$DF31+'Model Setup'!$L$7,SUMIF($AD$3:$BA$3,"="&amp;$DF31+'Model Setup'!$L$7,$B31:$Y31)+'Model Setup'!$L$8*(SUMIF($AD$3:$BA$3,"&lt;"&amp;$DF31,$B31:$Y31)+SUMIF($AD$3:$BA$3,"&gt;="&amp;$DG31,$B31:$Y31)),
IF(AY$3=$DF31+'Model Setup'!$M$7,SUMIF($AD$3:$BA$3,"="&amp;$DF31+'Model Setup'!$M$7,$B31:$Y31)+'Model Setup'!$M$8*(SUMIF($AD$3:$BA$3,"&lt;"&amp;$DF31,$B31:$Y31)+SUMIF($AD$3:$BA$3,"&gt;="&amp;$DG31,$B31:$Y31)),
IF(AY$3=$DF31+'Model Setup'!$N$7,SUMIF($AD$3:$BA$3,"="&amp;$DF31+'Model Setup'!$N$7,$B31:$Y31)+'Model Setup'!$N$8*(SUMIF($AD$3:$BA$3,"&lt;"&amp;$DF31,$B31:$Y31)+SUMIF($AD$3:$BA$3,"&gt;="&amp;$DG31,$B31:$Y31)),
IF(AY$3&lt;$DG31,W31,0))))))))))))))),0)</f>
        <v>0</v>
      </c>
      <c r="AZ31" s="47">
        <f>ROUND(IF(AZ$3&lt;$DF31,0,
IF(AZ$3=$DF31+'Model Setup'!$B$7,SUMIF($AD$3:$BA$3,"="&amp;$DF31+'Model Setup'!$B$7,$B31:$Y31)+'Model Setup'!$B$8*(SUMIF($AD$3:$BA$3,"&lt;"&amp;$DF31,$B31:$Y31)+SUMIF($AD$3:$BA$3,"&gt;="&amp;$DG31,$B31:$Y31)),
IF(AZ$3=$DF31+'Model Setup'!$C$7,SUMIF($AD$3:$BA$3,"="&amp;$DF31+'Model Setup'!$C$7,$B31:$Y31)+'Model Setup'!$C$8*(SUMIF($AD$3:$BA$3,"&lt;"&amp;$DF31,$B31:$Y31)+SUMIF($AD$3:$BA$3,"&gt;="&amp;$DG31,$B31:$Y31)),
IF(AZ$3=$DF31+'Model Setup'!$D$7,SUMIF($AD$3:$BA$3,"="&amp;$DF31+'Model Setup'!$D$7,$B31:$Y31)+'Model Setup'!$D$8*(SUMIF($AD$3:$BA$3,"&lt;"&amp;$DF31,$B31:$Y31)+SUMIF($AD$3:$BA$3,"&gt;="&amp;$DG31,$B31:$Y31)),
IF(AZ$3=$DF31+'Model Setup'!$E$7,SUMIF($AD$3:$BA$3,"="&amp;$DF31+'Model Setup'!$E$7,$B31:$Y31)+'Model Setup'!$E$8*(SUMIF($AD$3:$BA$3,"&lt;"&amp;$DF31,$B31:$Y31)+SUMIF($AD$3:$BA$3,"&gt;="&amp;$DG31,$B31:$Y31)),
IF(AZ$3=$DF31+'Model Setup'!$F$7,SUMIF($AD$3:$BA$3,"="&amp;$DF31+'Model Setup'!$F$7,$B31:$Y31)+'Model Setup'!$F$8*(SUMIF($AD$3:$BA$3,"&lt;"&amp;$DF31,$B31:$Y31)+SUMIF($AD$3:$BA$3,"&gt;="&amp;$DG31,$B31:$Y31)),
IF(AZ$3=$DF31+'Model Setup'!$G$7,SUMIF($AD$3:$BA$3,"="&amp;$DF31+'Model Setup'!$G$7,$B31:$Y31)+'Model Setup'!$G$8*(SUMIF($AD$3:$BA$3,"&lt;"&amp;$DF31,$B31:$Y31)+SUMIF($AD$3:$BA$3,"&gt;="&amp;$DG31,$B31:$Y31)),
IF(AZ$3=$DF31+'Model Setup'!$H$7,SUMIF($AD$3:$BA$3,"="&amp;$DF31+'Model Setup'!$H$7,$B31:$Y31)+'Model Setup'!$H$8*(SUMIF($AD$3:$BA$3,"&lt;"&amp;$DF31,$B31:$Y31)+SUMIF($AD$3:$BA$3,"&gt;="&amp;$DG31,$B31:$Y31)),
IF(AZ$3=$DF31+'Model Setup'!$I$7,SUMIF($AD$3:$BA$3,"="&amp;$DF31+'Model Setup'!$I$7,$B31:$Y31)+'Model Setup'!$I$8*(SUMIF($AD$3:$BA$3,"&lt;"&amp;$DF31,$B31:$Y31)+SUMIF($AD$3:$BA$3,"&gt;="&amp;$DG31,$B31:$Y31)),
IF(AZ$3=$DF31+'Model Setup'!$J$7,SUMIF($AD$3:$BA$3,"="&amp;$DF31+'Model Setup'!$J$7,$B31:$Y31)+'Model Setup'!$J$8*(SUMIF($AD$3:$BA$3,"&lt;"&amp;$DF31,$B31:$Y31)+SUMIF($AD$3:$BA$3,"&gt;="&amp;$DG31,$B31:$Y31)),
IF(AZ$3=$DF31+'Model Setup'!$K$7,SUMIF($AD$3:$BA$3,"="&amp;$DF31+'Model Setup'!$K$7,$B31:$Y31)+'Model Setup'!$K$8*(SUMIF($AD$3:$BA$3,"&lt;"&amp;$DF31,$B31:$Y31)+SUMIF($AD$3:$BA$3,"&gt;="&amp;$DG31,$B31:$Y31)),
IF(AZ$3=$DF31+'Model Setup'!$L$7,SUMIF($AD$3:$BA$3,"="&amp;$DF31+'Model Setup'!$L$7,$B31:$Y31)+'Model Setup'!$L$8*(SUMIF($AD$3:$BA$3,"&lt;"&amp;$DF31,$B31:$Y31)+SUMIF($AD$3:$BA$3,"&gt;="&amp;$DG31,$B31:$Y31)),
IF(AZ$3=$DF31+'Model Setup'!$M$7,SUMIF($AD$3:$BA$3,"="&amp;$DF31+'Model Setup'!$M$7,$B31:$Y31)+'Model Setup'!$M$8*(SUMIF($AD$3:$BA$3,"&lt;"&amp;$DF31,$B31:$Y31)+SUMIF($AD$3:$BA$3,"&gt;="&amp;$DG31,$B31:$Y31)),
IF(AZ$3=$DF31+'Model Setup'!$N$7,SUMIF($AD$3:$BA$3,"="&amp;$DF31+'Model Setup'!$N$7,$B31:$Y31)+'Model Setup'!$N$8*(SUMIF($AD$3:$BA$3,"&lt;"&amp;$DF31,$B31:$Y31)+SUMIF($AD$3:$BA$3,"&gt;="&amp;$DG31,$B31:$Y31)),
IF(AZ$3&lt;$DG31,X31,0))))))))))))))),0)</f>
        <v>0</v>
      </c>
      <c r="BA31" s="47">
        <f>ROUND(IF(BA$3&lt;$DF31,0,
IF(BA$3=$DF31+'Model Setup'!$B$7,SUMIF($AD$3:$BA$3,"="&amp;$DF31+'Model Setup'!$B$7,$B31:$Y31)+'Model Setup'!$B$8*(SUMIF($AD$3:$BA$3,"&lt;"&amp;$DF31,$B31:$Y31)+SUMIF($AD$3:$BA$3,"&gt;="&amp;$DG31,$B31:$Y31)),
IF(BA$3=$DF31+'Model Setup'!$C$7,SUMIF($AD$3:$BA$3,"="&amp;$DF31+'Model Setup'!$C$7,$B31:$Y31)+'Model Setup'!$C$8*(SUMIF($AD$3:$BA$3,"&lt;"&amp;$DF31,$B31:$Y31)+SUMIF($AD$3:$BA$3,"&gt;="&amp;$DG31,$B31:$Y31)),
IF(BA$3=$DF31+'Model Setup'!$D$7,SUMIF($AD$3:$BA$3,"="&amp;$DF31+'Model Setup'!$D$7,$B31:$Y31)+'Model Setup'!$D$8*(SUMIF($AD$3:$BA$3,"&lt;"&amp;$DF31,$B31:$Y31)+SUMIF($AD$3:$BA$3,"&gt;="&amp;$DG31,$B31:$Y31)),
IF(BA$3=$DF31+'Model Setup'!$E$7,SUMIF($AD$3:$BA$3,"="&amp;$DF31+'Model Setup'!$E$7,$B31:$Y31)+'Model Setup'!$E$8*(SUMIF($AD$3:$BA$3,"&lt;"&amp;$DF31,$B31:$Y31)+SUMIF($AD$3:$BA$3,"&gt;="&amp;$DG31,$B31:$Y31)),
IF(BA$3=$DF31+'Model Setup'!$F$7,SUMIF($AD$3:$BA$3,"="&amp;$DF31+'Model Setup'!$F$7,$B31:$Y31)+'Model Setup'!$F$8*(SUMIF($AD$3:$BA$3,"&lt;"&amp;$DF31,$B31:$Y31)+SUMIF($AD$3:$BA$3,"&gt;="&amp;$DG31,$B31:$Y31)),
IF(BA$3=$DF31+'Model Setup'!$G$7,SUMIF($AD$3:$BA$3,"="&amp;$DF31+'Model Setup'!$G$7,$B31:$Y31)+'Model Setup'!$G$8*(SUMIF($AD$3:$BA$3,"&lt;"&amp;$DF31,$B31:$Y31)+SUMIF($AD$3:$BA$3,"&gt;="&amp;$DG31,$B31:$Y31)),
IF(BA$3=$DF31+'Model Setup'!$H$7,SUMIF($AD$3:$BA$3,"="&amp;$DF31+'Model Setup'!$H$7,$B31:$Y31)+'Model Setup'!$H$8*(SUMIF($AD$3:$BA$3,"&lt;"&amp;$DF31,$B31:$Y31)+SUMIF($AD$3:$BA$3,"&gt;="&amp;$DG31,$B31:$Y31)),
IF(BA$3=$DF31+'Model Setup'!$I$7,SUMIF($AD$3:$BA$3,"="&amp;$DF31+'Model Setup'!$I$7,$B31:$Y31)+'Model Setup'!$I$8*(SUMIF($AD$3:$BA$3,"&lt;"&amp;$DF31,$B31:$Y31)+SUMIF($AD$3:$BA$3,"&gt;="&amp;$DG31,$B31:$Y31)),
IF(BA$3=$DF31+'Model Setup'!$J$7,SUMIF($AD$3:$BA$3,"="&amp;$DF31+'Model Setup'!$J$7,$B31:$Y31)+'Model Setup'!$J$8*(SUMIF($AD$3:$BA$3,"&lt;"&amp;$DF31,$B31:$Y31)+SUMIF($AD$3:$BA$3,"&gt;="&amp;$DG31,$B31:$Y31)),
IF(BA$3=$DF31+'Model Setup'!$K$7,SUMIF($AD$3:$BA$3,"="&amp;$DF31+'Model Setup'!$K$7,$B31:$Y31)+'Model Setup'!$K$8*(SUMIF($AD$3:$BA$3,"&lt;"&amp;$DF31,$B31:$Y31)+SUMIF($AD$3:$BA$3,"&gt;="&amp;$DG31,$B31:$Y31)),
IF(BA$3=$DF31+'Model Setup'!$L$7,SUMIF($AD$3:$BA$3,"="&amp;$DF31+'Model Setup'!$L$7,$B31:$Y31)+'Model Setup'!$L$8*(SUMIF($AD$3:$BA$3,"&lt;"&amp;$DF31,$B31:$Y31)+SUMIF($AD$3:$BA$3,"&gt;="&amp;$DG31,$B31:$Y31)),
IF(BA$3=$DF31+'Model Setup'!$M$7,SUMIF($AD$3:$BA$3,"="&amp;$DF31+'Model Setup'!$M$7,$B31:$Y31)+'Model Setup'!$M$8*(SUMIF($AD$3:$BA$3,"&lt;"&amp;$DF31,$B31:$Y31)+SUMIF($AD$3:$BA$3,"&gt;="&amp;$DG31,$B31:$Y31)),
IF(BA$3=$DF31+'Model Setup'!$N$7,SUMIF($AD$3:$BA$3,"="&amp;$DF31+'Model Setup'!$N$7,$B31:$Y31)+'Model Setup'!$N$8*(SUMIF($AD$3:$BA$3,"&lt;"&amp;$DF31,$B31:$Y31)+SUMIF($AD$3:$BA$3,"&gt;="&amp;$DG31,$B31:$Y31)),
IF(BA$3&lt;$DG31,Y31,0))))))))))))))),0)</f>
        <v>0</v>
      </c>
      <c r="BB31" s="47">
        <f t="shared" si="1"/>
        <v>156</v>
      </c>
      <c r="BD31" t="b">
        <f t="shared" si="2"/>
        <v>1</v>
      </c>
      <c r="BE31">
        <f t="shared" si="8"/>
        <v>0</v>
      </c>
      <c r="BF31">
        <f>(FTC!F29-FTC!E29)*24</f>
        <v>13.000000000000002</v>
      </c>
      <c r="BG31" s="43" t="s">
        <v>46</v>
      </c>
      <c r="BH31" s="47">
        <f>ROUND(IF(OR(BH$3&lt;$DF31,BH$3&gt;$CW$4),0,
IF(BH$3=$DF31+'Model Setup'!$B$7,SUMIF($BH$3:$CE$3,"="&amp;$DF31+'Model Setup'!$B$7,$AD31:$BA31)+'Model Setup'!$B$8*(SUMIF($BH$3:$CE$3,"&lt;"&amp;$DF31,$AD31:$BA31)+SUMIF($BH$3:$CE$3,"&gt;"&amp;$CW$4,$AD31:$BA31)),
IF(BH$3=$DF31+'Model Setup'!$C$7,SUMIF($BH$3:$CE$3,"="&amp;$DF31+'Model Setup'!$C$7,$AD31:$BA31)+'Model Setup'!$C$8*(SUMIF($BH$3:$CE$3,"&lt;"&amp;$DF31,$AD31:$BA31)+SUMIF($BH$3:$CE$3,"&gt;"&amp;$CW$4,$AD31:$BA31)),
IF(BH$3=$DF31+'Model Setup'!$D$7,SUMIF($BH$3:$CE$3,"="&amp;$DF31+'Model Setup'!$D$7,$AD31:$BA31)+'Model Setup'!$D$8*(SUMIF($BH$3:$CE$3,"&lt;"&amp;$DF31,$AD31:$BA31)+SUMIF($BH$3:$CE$3,"&gt;"&amp;$CW$4,$AD31:$BA31)),
IF(BH$3=$DF31+'Model Setup'!$E$7,SUMIF($BH$3:$CE$3,"="&amp;$DF31+'Model Setup'!$E$7,$AD31:$BA31)+'Model Setup'!$E$8*(SUMIF($BH$3:$CE$3,"&lt;"&amp;$DF31,$AD31:$BA31)+SUMIF($BH$3:$CE$3,"&gt;"&amp;$CW$4,$AD31:$BA31)),
IF(BH$3=$DF31+'Model Setup'!$F$7,SUMIF($BH$3:$CE$3,"="&amp;$DF31+'Model Setup'!$F$7,$AD31:$BA31)+'Model Setup'!$F$8*(SUMIF($BH$3:$CE$3,"&lt;"&amp;$DF31,$AD31:$BA31)+SUMIF($BH$3:$CE$3,"&gt;"&amp;$CW$4,$AD31:$BA31)),
IF(BH$3=$DF31+'Model Setup'!$G$7,SUMIF($BH$3:$CE$3,"="&amp;$DF31+'Model Setup'!$G$7,$AD31:$BA31)+'Model Setup'!$G$8*(SUMIF($BH$3:$CE$3,"&lt;"&amp;$DF31,$AD31:$BA31)+SUMIF($BH$3:$CE$3,"&gt;"&amp;$CW$4,$AD31:$BA31)),
IF(BH$3=$DF31+'Model Setup'!$H$7,SUMIF($BH$3:$CE$3,"="&amp;$DF31+'Model Setup'!$H$7,$AD31:$BA31)+'Model Setup'!$H$8*(SUMIF($BH$3:$CE$3,"&lt;"&amp;$DF31,$AD31:$BA31)+SUMIF($BH$3:$CE$3,"&gt;"&amp;$CW$4,$AD31:$BA31)),
IF(BH$3=$DF31+'Model Setup'!$I$7,SUMIF($BH$3:$CE$3,"="&amp;$DF31+'Model Setup'!$I$7,$AD31:$BA31)+'Model Setup'!$I$8*(SUMIF($BH$3:$CE$3,"&lt;"&amp;$DF31,$AD31:$BA31)+SUMIF($BH$3:$CE$3,"&gt;"&amp;$CW$4,$AD31:$BA31)),
IF(BH$3=$DF31+'Model Setup'!$J$7,SUMIF($BH$3:$CE$3,"="&amp;$DF31+'Model Setup'!$J$7,$AD31:$BA31)+'Model Setup'!$J$8*(SUMIF($BH$3:$CE$3,"&lt;"&amp;$DF31,$AD31:$BA31)+SUMIF($BH$3:$CE$3,"&gt;"&amp;$CW$4,$AD31:$BA31)),
IF(BH$3=$DF31+'Model Setup'!$K$7,SUMIF($BH$3:$CE$3,"="&amp;$DF31+'Model Setup'!$K$7,$AD31:$BA31)+'Model Setup'!$K$8*(SUMIF($BH$3:$CE$3,"&lt;"&amp;$DF31,$AD31:$BA31)+SUMIF($BH$3:$CE$3,"&gt;"&amp;$CW$4,$AD31:$BA31)),
IF(BH$3=$DF31+'Model Setup'!$L$7,SUMIF($BH$3:$CE$3,"="&amp;$DF31+'Model Setup'!$L$7,$AD31:$BA31)+'Model Setup'!$L$8*(SUMIF($BH$3:$CE$3,"&lt;"&amp;$DF31,$AD31:$BA31)+SUMIF($BH$3:$CE$3,"&gt;"&amp;$CW$4,$AD31:$BA31)),
IF(BH$3=$DF31+'Model Setup'!$M$7,SUMIF($BH$3:$CE$3,"="&amp;$DF31+'Model Setup'!$M$7,$AD31:$BA31)+'Model Setup'!$M$8*(SUMIF($BH$3:$CE$3,"&lt;"&amp;$DF31,$AD31:$BA31)+SUMIF($BH$3:$CE$3,"&gt;"&amp;$CW$4,$AD31:$BA31)),
IF(BH$3=$DF31+'Model Setup'!$N$7,SUMIF($BH$3:$CE$3,"="&amp;$DF31+'Model Setup'!$N$7,$AD31:$BA31)+'Model Setup'!$N$8*(SUMIF($BH$3:$CE$3,"&lt;"&amp;$DF31,$AD31:$BA31)+SUMIF($BH$3:$CE$3,"&gt;"&amp;$CW$4,$AD31:$BA31)),
IF(BH$3&lt;$CW$4,B31,0))))))))))))))),0)</f>
        <v>0</v>
      </c>
      <c r="BI31" s="47">
        <f>ROUND(IF(OR(BI$3&lt;$DF31,BI$3&gt;$CW$4),0,
IF(BI$3=$DF31+'Model Setup'!$B$7,SUMIF($BH$3:$CE$3,"="&amp;$DF31+'Model Setup'!$B$7,$AD31:$BA31)+'Model Setup'!$B$8*(SUMIF($BH$3:$CE$3,"&lt;"&amp;$DF31,$AD31:$BA31)+SUMIF($BH$3:$CE$3,"&gt;"&amp;$CW$4,$AD31:$BA31)),
IF(BI$3=$DF31+'Model Setup'!$C$7,SUMIF($BH$3:$CE$3,"="&amp;$DF31+'Model Setup'!$C$7,$AD31:$BA31)+'Model Setup'!$C$8*(SUMIF($BH$3:$CE$3,"&lt;"&amp;$DF31,$AD31:$BA31)+SUMIF($BH$3:$CE$3,"&gt;"&amp;$CW$4,$AD31:$BA31)),
IF(BI$3=$DF31+'Model Setup'!$D$7,SUMIF($BH$3:$CE$3,"="&amp;$DF31+'Model Setup'!$D$7,$AD31:$BA31)+'Model Setup'!$D$8*(SUMIF($BH$3:$CE$3,"&lt;"&amp;$DF31,$AD31:$BA31)+SUMIF($BH$3:$CE$3,"&gt;"&amp;$CW$4,$AD31:$BA31)),
IF(BI$3=$DF31+'Model Setup'!$E$7,SUMIF($BH$3:$CE$3,"="&amp;$DF31+'Model Setup'!$E$7,$AD31:$BA31)+'Model Setup'!$E$8*(SUMIF($BH$3:$CE$3,"&lt;"&amp;$DF31,$AD31:$BA31)+SUMIF($BH$3:$CE$3,"&gt;"&amp;$CW$4,$AD31:$BA31)),
IF(BI$3=$DF31+'Model Setup'!$F$7,SUMIF($BH$3:$CE$3,"="&amp;$DF31+'Model Setup'!$F$7,$AD31:$BA31)+'Model Setup'!$F$8*(SUMIF($BH$3:$CE$3,"&lt;"&amp;$DF31,$AD31:$BA31)+SUMIF($BH$3:$CE$3,"&gt;"&amp;$CW$4,$AD31:$BA31)),
IF(BI$3=$DF31+'Model Setup'!$G$7,SUMIF($BH$3:$CE$3,"="&amp;$DF31+'Model Setup'!$G$7,$AD31:$BA31)+'Model Setup'!$G$8*(SUMIF($BH$3:$CE$3,"&lt;"&amp;$DF31,$AD31:$BA31)+SUMIF($BH$3:$CE$3,"&gt;"&amp;$CW$4,$AD31:$BA31)),
IF(BI$3=$DF31+'Model Setup'!$H$7,SUMIF($BH$3:$CE$3,"="&amp;$DF31+'Model Setup'!$H$7,$AD31:$BA31)+'Model Setup'!$H$8*(SUMIF($BH$3:$CE$3,"&lt;"&amp;$DF31,$AD31:$BA31)+SUMIF($BH$3:$CE$3,"&gt;"&amp;$CW$4,$AD31:$BA31)),
IF(BI$3=$DF31+'Model Setup'!$I$7,SUMIF($BH$3:$CE$3,"="&amp;$DF31+'Model Setup'!$I$7,$AD31:$BA31)+'Model Setup'!$I$8*(SUMIF($BH$3:$CE$3,"&lt;"&amp;$DF31,$AD31:$BA31)+SUMIF($BH$3:$CE$3,"&gt;"&amp;$CW$4,$AD31:$BA31)),
IF(BI$3=$DF31+'Model Setup'!$J$7,SUMIF($BH$3:$CE$3,"="&amp;$DF31+'Model Setup'!$J$7,$AD31:$BA31)+'Model Setup'!$J$8*(SUMIF($BH$3:$CE$3,"&lt;"&amp;$DF31,$AD31:$BA31)+SUMIF($BH$3:$CE$3,"&gt;"&amp;$CW$4,$AD31:$BA31)),
IF(BI$3=$DF31+'Model Setup'!$K$7,SUMIF($BH$3:$CE$3,"="&amp;$DF31+'Model Setup'!$K$7,$AD31:$BA31)+'Model Setup'!$K$8*(SUMIF($BH$3:$CE$3,"&lt;"&amp;$DF31,$AD31:$BA31)+SUMIF($BH$3:$CE$3,"&gt;"&amp;$CW$4,$AD31:$BA31)),
IF(BI$3=$DF31+'Model Setup'!$L$7,SUMIF($BH$3:$CE$3,"="&amp;$DF31+'Model Setup'!$L$7,$AD31:$BA31)+'Model Setup'!$L$8*(SUMIF($BH$3:$CE$3,"&lt;"&amp;$DF31,$AD31:$BA31)+SUMIF($BH$3:$CE$3,"&gt;"&amp;$CW$4,$AD31:$BA31)),
IF(BI$3=$DF31+'Model Setup'!$M$7,SUMIF($BH$3:$CE$3,"="&amp;$DF31+'Model Setup'!$M$7,$AD31:$BA31)+'Model Setup'!$M$8*(SUMIF($BH$3:$CE$3,"&lt;"&amp;$DF31,$AD31:$BA31)+SUMIF($BH$3:$CE$3,"&gt;"&amp;$CW$4,$AD31:$BA31)),
IF(BI$3=$DF31+'Model Setup'!$N$7,SUMIF($BH$3:$CE$3,"="&amp;$DF31+'Model Setup'!$N$7,$AD31:$BA31)+'Model Setup'!$N$8*(SUMIF($BH$3:$CE$3,"&lt;"&amp;$DF31,$AD31:$BA31)+SUMIF($BH$3:$CE$3,"&gt;"&amp;$CW$4,$AD31:$BA31)),
IF(BI$3&lt;$CW$4,C31,0))))))))))))))),0)</f>
        <v>0</v>
      </c>
      <c r="BJ31" s="47">
        <f>ROUND(IF(OR(BJ$3&lt;$DF31,BJ$3&gt;$CW$4),0,
IF(BJ$3=$DF31+'Model Setup'!$B$7,SUMIF($BH$3:$CE$3,"="&amp;$DF31+'Model Setup'!$B$7,$AD31:$BA31)+'Model Setup'!$B$8*(SUMIF($BH$3:$CE$3,"&lt;"&amp;$DF31,$AD31:$BA31)+SUMIF($BH$3:$CE$3,"&gt;"&amp;$CW$4,$AD31:$BA31)),
IF(BJ$3=$DF31+'Model Setup'!$C$7,SUMIF($BH$3:$CE$3,"="&amp;$DF31+'Model Setup'!$C$7,$AD31:$BA31)+'Model Setup'!$C$8*(SUMIF($BH$3:$CE$3,"&lt;"&amp;$DF31,$AD31:$BA31)+SUMIF($BH$3:$CE$3,"&gt;"&amp;$CW$4,$AD31:$BA31)),
IF(BJ$3=$DF31+'Model Setup'!$D$7,SUMIF($BH$3:$CE$3,"="&amp;$DF31+'Model Setup'!$D$7,$AD31:$BA31)+'Model Setup'!$D$8*(SUMIF($BH$3:$CE$3,"&lt;"&amp;$DF31,$AD31:$BA31)+SUMIF($BH$3:$CE$3,"&gt;"&amp;$CW$4,$AD31:$BA31)),
IF(BJ$3=$DF31+'Model Setup'!$E$7,SUMIF($BH$3:$CE$3,"="&amp;$DF31+'Model Setup'!$E$7,$AD31:$BA31)+'Model Setup'!$E$8*(SUMIF($BH$3:$CE$3,"&lt;"&amp;$DF31,$AD31:$BA31)+SUMIF($BH$3:$CE$3,"&gt;"&amp;$CW$4,$AD31:$BA31)),
IF(BJ$3=$DF31+'Model Setup'!$F$7,SUMIF($BH$3:$CE$3,"="&amp;$DF31+'Model Setup'!$F$7,$AD31:$BA31)+'Model Setup'!$F$8*(SUMIF($BH$3:$CE$3,"&lt;"&amp;$DF31,$AD31:$BA31)+SUMIF($BH$3:$CE$3,"&gt;"&amp;$CW$4,$AD31:$BA31)),
IF(BJ$3=$DF31+'Model Setup'!$G$7,SUMIF($BH$3:$CE$3,"="&amp;$DF31+'Model Setup'!$G$7,$AD31:$BA31)+'Model Setup'!$G$8*(SUMIF($BH$3:$CE$3,"&lt;"&amp;$DF31,$AD31:$BA31)+SUMIF($BH$3:$CE$3,"&gt;"&amp;$CW$4,$AD31:$BA31)),
IF(BJ$3=$DF31+'Model Setup'!$H$7,SUMIF($BH$3:$CE$3,"="&amp;$DF31+'Model Setup'!$H$7,$AD31:$BA31)+'Model Setup'!$H$8*(SUMIF($BH$3:$CE$3,"&lt;"&amp;$DF31,$AD31:$BA31)+SUMIF($BH$3:$CE$3,"&gt;"&amp;$CW$4,$AD31:$BA31)),
IF(BJ$3=$DF31+'Model Setup'!$I$7,SUMIF($BH$3:$CE$3,"="&amp;$DF31+'Model Setup'!$I$7,$AD31:$BA31)+'Model Setup'!$I$8*(SUMIF($BH$3:$CE$3,"&lt;"&amp;$DF31,$AD31:$BA31)+SUMIF($BH$3:$CE$3,"&gt;"&amp;$CW$4,$AD31:$BA31)),
IF(BJ$3=$DF31+'Model Setup'!$J$7,SUMIF($BH$3:$CE$3,"="&amp;$DF31+'Model Setup'!$J$7,$AD31:$BA31)+'Model Setup'!$J$8*(SUMIF($BH$3:$CE$3,"&lt;"&amp;$DF31,$AD31:$BA31)+SUMIF($BH$3:$CE$3,"&gt;"&amp;$CW$4,$AD31:$BA31)),
IF(BJ$3=$DF31+'Model Setup'!$K$7,SUMIF($BH$3:$CE$3,"="&amp;$DF31+'Model Setup'!$K$7,$AD31:$BA31)+'Model Setup'!$K$8*(SUMIF($BH$3:$CE$3,"&lt;"&amp;$DF31,$AD31:$BA31)+SUMIF($BH$3:$CE$3,"&gt;"&amp;$CW$4,$AD31:$BA31)),
IF(BJ$3=$DF31+'Model Setup'!$L$7,SUMIF($BH$3:$CE$3,"="&amp;$DF31+'Model Setup'!$L$7,$AD31:$BA31)+'Model Setup'!$L$8*(SUMIF($BH$3:$CE$3,"&lt;"&amp;$DF31,$AD31:$BA31)+SUMIF($BH$3:$CE$3,"&gt;"&amp;$CW$4,$AD31:$BA31)),
IF(BJ$3=$DF31+'Model Setup'!$M$7,SUMIF($BH$3:$CE$3,"="&amp;$DF31+'Model Setup'!$M$7,$AD31:$BA31)+'Model Setup'!$M$8*(SUMIF($BH$3:$CE$3,"&lt;"&amp;$DF31,$AD31:$BA31)+SUMIF($BH$3:$CE$3,"&gt;"&amp;$CW$4,$AD31:$BA31)),
IF(BJ$3=$DF31+'Model Setup'!$N$7,SUMIF($BH$3:$CE$3,"="&amp;$DF31+'Model Setup'!$N$7,$AD31:$BA31)+'Model Setup'!$N$8*(SUMIF($BH$3:$CE$3,"&lt;"&amp;$DF31,$AD31:$BA31)+SUMIF($BH$3:$CE$3,"&gt;"&amp;$CW$4,$AD31:$BA31)),
IF(BJ$3&lt;$CW$4,D31,0))))))))))))))),0)</f>
        <v>0</v>
      </c>
      <c r="BK31" s="47">
        <f>ROUND(IF(OR(BK$3&lt;$DF31,BK$3&gt;$CW$4),0,
IF(BK$3=$DF31+'Model Setup'!$B$7,SUMIF($BH$3:$CE$3,"="&amp;$DF31+'Model Setup'!$B$7,$AD31:$BA31)+'Model Setup'!$B$8*(SUMIF($BH$3:$CE$3,"&lt;"&amp;$DF31,$AD31:$BA31)+SUMIF($BH$3:$CE$3,"&gt;"&amp;$CW$4,$AD31:$BA31)),
IF(BK$3=$DF31+'Model Setup'!$C$7,SUMIF($BH$3:$CE$3,"="&amp;$DF31+'Model Setup'!$C$7,$AD31:$BA31)+'Model Setup'!$C$8*(SUMIF($BH$3:$CE$3,"&lt;"&amp;$DF31,$AD31:$BA31)+SUMIF($BH$3:$CE$3,"&gt;"&amp;$CW$4,$AD31:$BA31)),
IF(BK$3=$DF31+'Model Setup'!$D$7,SUMIF($BH$3:$CE$3,"="&amp;$DF31+'Model Setup'!$D$7,$AD31:$BA31)+'Model Setup'!$D$8*(SUMIF($BH$3:$CE$3,"&lt;"&amp;$DF31,$AD31:$BA31)+SUMIF($BH$3:$CE$3,"&gt;"&amp;$CW$4,$AD31:$BA31)),
IF(BK$3=$DF31+'Model Setup'!$E$7,SUMIF($BH$3:$CE$3,"="&amp;$DF31+'Model Setup'!$E$7,$AD31:$BA31)+'Model Setup'!$E$8*(SUMIF($BH$3:$CE$3,"&lt;"&amp;$DF31,$AD31:$BA31)+SUMIF($BH$3:$CE$3,"&gt;"&amp;$CW$4,$AD31:$BA31)),
IF(BK$3=$DF31+'Model Setup'!$F$7,SUMIF($BH$3:$CE$3,"="&amp;$DF31+'Model Setup'!$F$7,$AD31:$BA31)+'Model Setup'!$F$8*(SUMIF($BH$3:$CE$3,"&lt;"&amp;$DF31,$AD31:$BA31)+SUMIF($BH$3:$CE$3,"&gt;"&amp;$CW$4,$AD31:$BA31)),
IF(BK$3=$DF31+'Model Setup'!$G$7,SUMIF($BH$3:$CE$3,"="&amp;$DF31+'Model Setup'!$G$7,$AD31:$BA31)+'Model Setup'!$G$8*(SUMIF($BH$3:$CE$3,"&lt;"&amp;$DF31,$AD31:$BA31)+SUMIF($BH$3:$CE$3,"&gt;"&amp;$CW$4,$AD31:$BA31)),
IF(BK$3=$DF31+'Model Setup'!$H$7,SUMIF($BH$3:$CE$3,"="&amp;$DF31+'Model Setup'!$H$7,$AD31:$BA31)+'Model Setup'!$H$8*(SUMIF($BH$3:$CE$3,"&lt;"&amp;$DF31,$AD31:$BA31)+SUMIF($BH$3:$CE$3,"&gt;"&amp;$CW$4,$AD31:$BA31)),
IF(BK$3=$DF31+'Model Setup'!$I$7,SUMIF($BH$3:$CE$3,"="&amp;$DF31+'Model Setup'!$I$7,$AD31:$BA31)+'Model Setup'!$I$8*(SUMIF($BH$3:$CE$3,"&lt;"&amp;$DF31,$AD31:$BA31)+SUMIF($BH$3:$CE$3,"&gt;"&amp;$CW$4,$AD31:$BA31)),
IF(BK$3=$DF31+'Model Setup'!$J$7,SUMIF($BH$3:$CE$3,"="&amp;$DF31+'Model Setup'!$J$7,$AD31:$BA31)+'Model Setup'!$J$8*(SUMIF($BH$3:$CE$3,"&lt;"&amp;$DF31,$AD31:$BA31)+SUMIF($BH$3:$CE$3,"&gt;"&amp;$CW$4,$AD31:$BA31)),
IF(BK$3=$DF31+'Model Setup'!$K$7,SUMIF($BH$3:$CE$3,"="&amp;$DF31+'Model Setup'!$K$7,$AD31:$BA31)+'Model Setup'!$K$8*(SUMIF($BH$3:$CE$3,"&lt;"&amp;$DF31,$AD31:$BA31)+SUMIF($BH$3:$CE$3,"&gt;"&amp;$CW$4,$AD31:$BA31)),
IF(BK$3=$DF31+'Model Setup'!$L$7,SUMIF($BH$3:$CE$3,"="&amp;$DF31+'Model Setup'!$L$7,$AD31:$BA31)+'Model Setup'!$L$8*(SUMIF($BH$3:$CE$3,"&lt;"&amp;$DF31,$AD31:$BA31)+SUMIF($BH$3:$CE$3,"&gt;"&amp;$CW$4,$AD31:$BA31)),
IF(BK$3=$DF31+'Model Setup'!$M$7,SUMIF($BH$3:$CE$3,"="&amp;$DF31+'Model Setup'!$M$7,$AD31:$BA31)+'Model Setup'!$M$8*(SUMIF($BH$3:$CE$3,"&lt;"&amp;$DF31,$AD31:$BA31)+SUMIF($BH$3:$CE$3,"&gt;"&amp;$CW$4,$AD31:$BA31)),
IF(BK$3=$DF31+'Model Setup'!$N$7,SUMIF($BH$3:$CE$3,"="&amp;$DF31+'Model Setup'!$N$7,$AD31:$BA31)+'Model Setup'!$N$8*(SUMIF($BH$3:$CE$3,"&lt;"&amp;$DF31,$AD31:$BA31)+SUMIF($BH$3:$CE$3,"&gt;"&amp;$CW$4,$AD31:$BA31)),
IF(BK$3&lt;$CW$4,E31,0))))))))))))))),0)</f>
        <v>0</v>
      </c>
      <c r="BL31" s="47">
        <f>ROUND(IF(OR(BL$3&lt;$DF31,BL$3&gt;$CW$4),0,
IF(BL$3=$DF31+'Model Setup'!$B$7,SUMIF($BH$3:$CE$3,"="&amp;$DF31+'Model Setup'!$B$7,$AD31:$BA31)+'Model Setup'!$B$8*(SUMIF($BH$3:$CE$3,"&lt;"&amp;$DF31,$AD31:$BA31)+SUMIF($BH$3:$CE$3,"&gt;"&amp;$CW$4,$AD31:$BA31)),
IF(BL$3=$DF31+'Model Setup'!$C$7,SUMIF($BH$3:$CE$3,"="&amp;$DF31+'Model Setup'!$C$7,$AD31:$BA31)+'Model Setup'!$C$8*(SUMIF($BH$3:$CE$3,"&lt;"&amp;$DF31,$AD31:$BA31)+SUMIF($BH$3:$CE$3,"&gt;"&amp;$CW$4,$AD31:$BA31)),
IF(BL$3=$DF31+'Model Setup'!$D$7,SUMIF($BH$3:$CE$3,"="&amp;$DF31+'Model Setup'!$D$7,$AD31:$BA31)+'Model Setup'!$D$8*(SUMIF($BH$3:$CE$3,"&lt;"&amp;$DF31,$AD31:$BA31)+SUMIF($BH$3:$CE$3,"&gt;"&amp;$CW$4,$AD31:$BA31)),
IF(BL$3=$DF31+'Model Setup'!$E$7,SUMIF($BH$3:$CE$3,"="&amp;$DF31+'Model Setup'!$E$7,$AD31:$BA31)+'Model Setup'!$E$8*(SUMIF($BH$3:$CE$3,"&lt;"&amp;$DF31,$AD31:$BA31)+SUMIF($BH$3:$CE$3,"&gt;"&amp;$CW$4,$AD31:$BA31)),
IF(BL$3=$DF31+'Model Setup'!$F$7,SUMIF($BH$3:$CE$3,"="&amp;$DF31+'Model Setup'!$F$7,$AD31:$BA31)+'Model Setup'!$F$8*(SUMIF($BH$3:$CE$3,"&lt;"&amp;$DF31,$AD31:$BA31)+SUMIF($BH$3:$CE$3,"&gt;"&amp;$CW$4,$AD31:$BA31)),
IF(BL$3=$DF31+'Model Setup'!$G$7,SUMIF($BH$3:$CE$3,"="&amp;$DF31+'Model Setup'!$G$7,$AD31:$BA31)+'Model Setup'!$G$8*(SUMIF($BH$3:$CE$3,"&lt;"&amp;$DF31,$AD31:$BA31)+SUMIF($BH$3:$CE$3,"&gt;"&amp;$CW$4,$AD31:$BA31)),
IF(BL$3=$DF31+'Model Setup'!$H$7,SUMIF($BH$3:$CE$3,"="&amp;$DF31+'Model Setup'!$H$7,$AD31:$BA31)+'Model Setup'!$H$8*(SUMIF($BH$3:$CE$3,"&lt;"&amp;$DF31,$AD31:$BA31)+SUMIF($BH$3:$CE$3,"&gt;"&amp;$CW$4,$AD31:$BA31)),
IF(BL$3=$DF31+'Model Setup'!$I$7,SUMIF($BH$3:$CE$3,"="&amp;$DF31+'Model Setup'!$I$7,$AD31:$BA31)+'Model Setup'!$I$8*(SUMIF($BH$3:$CE$3,"&lt;"&amp;$DF31,$AD31:$BA31)+SUMIF($BH$3:$CE$3,"&gt;"&amp;$CW$4,$AD31:$BA31)),
IF(BL$3=$DF31+'Model Setup'!$J$7,SUMIF($BH$3:$CE$3,"="&amp;$DF31+'Model Setup'!$J$7,$AD31:$BA31)+'Model Setup'!$J$8*(SUMIF($BH$3:$CE$3,"&lt;"&amp;$DF31,$AD31:$BA31)+SUMIF($BH$3:$CE$3,"&gt;"&amp;$CW$4,$AD31:$BA31)),
IF(BL$3=$DF31+'Model Setup'!$K$7,SUMIF($BH$3:$CE$3,"="&amp;$DF31+'Model Setup'!$K$7,$AD31:$BA31)+'Model Setup'!$K$8*(SUMIF($BH$3:$CE$3,"&lt;"&amp;$DF31,$AD31:$BA31)+SUMIF($BH$3:$CE$3,"&gt;"&amp;$CW$4,$AD31:$BA31)),
IF(BL$3=$DF31+'Model Setup'!$L$7,SUMIF($BH$3:$CE$3,"="&amp;$DF31+'Model Setup'!$L$7,$AD31:$BA31)+'Model Setup'!$L$8*(SUMIF($BH$3:$CE$3,"&lt;"&amp;$DF31,$AD31:$BA31)+SUMIF($BH$3:$CE$3,"&gt;"&amp;$CW$4,$AD31:$BA31)),
IF(BL$3=$DF31+'Model Setup'!$M$7,SUMIF($BH$3:$CE$3,"="&amp;$DF31+'Model Setup'!$M$7,$AD31:$BA31)+'Model Setup'!$M$8*(SUMIF($BH$3:$CE$3,"&lt;"&amp;$DF31,$AD31:$BA31)+SUMIF($BH$3:$CE$3,"&gt;"&amp;$CW$4,$AD31:$BA31)),
IF(BL$3=$DF31+'Model Setup'!$N$7,SUMIF($BH$3:$CE$3,"="&amp;$DF31+'Model Setup'!$N$7,$AD31:$BA31)+'Model Setup'!$N$8*(SUMIF($BH$3:$CE$3,"&lt;"&amp;$DF31,$AD31:$BA31)+SUMIF($BH$3:$CE$3,"&gt;"&amp;$CW$4,$AD31:$BA31)),
IF(BL$3&lt;$CW$4,F31,0))))))))))))))),0)</f>
        <v>0</v>
      </c>
      <c r="BM31" s="47">
        <f>ROUND(IF(OR(BM$3&lt;$DF31,BM$3&gt;$CW$4),0,
IF(BM$3=$DF31+'Model Setup'!$B$7,SUMIF($BH$3:$CE$3,"="&amp;$DF31+'Model Setup'!$B$7,$AD31:$BA31)+'Model Setup'!$B$8*(SUMIF($BH$3:$CE$3,"&lt;"&amp;$DF31,$AD31:$BA31)+SUMIF($BH$3:$CE$3,"&gt;"&amp;$CW$4,$AD31:$BA31)),
IF(BM$3=$DF31+'Model Setup'!$C$7,SUMIF($BH$3:$CE$3,"="&amp;$DF31+'Model Setup'!$C$7,$AD31:$BA31)+'Model Setup'!$C$8*(SUMIF($BH$3:$CE$3,"&lt;"&amp;$DF31,$AD31:$BA31)+SUMIF($BH$3:$CE$3,"&gt;"&amp;$CW$4,$AD31:$BA31)),
IF(BM$3=$DF31+'Model Setup'!$D$7,SUMIF($BH$3:$CE$3,"="&amp;$DF31+'Model Setup'!$D$7,$AD31:$BA31)+'Model Setup'!$D$8*(SUMIF($BH$3:$CE$3,"&lt;"&amp;$DF31,$AD31:$BA31)+SUMIF($BH$3:$CE$3,"&gt;"&amp;$CW$4,$AD31:$BA31)),
IF(BM$3=$DF31+'Model Setup'!$E$7,SUMIF($BH$3:$CE$3,"="&amp;$DF31+'Model Setup'!$E$7,$AD31:$BA31)+'Model Setup'!$E$8*(SUMIF($BH$3:$CE$3,"&lt;"&amp;$DF31,$AD31:$BA31)+SUMIF($BH$3:$CE$3,"&gt;"&amp;$CW$4,$AD31:$BA31)),
IF(BM$3=$DF31+'Model Setup'!$F$7,SUMIF($BH$3:$CE$3,"="&amp;$DF31+'Model Setup'!$F$7,$AD31:$BA31)+'Model Setup'!$F$8*(SUMIF($BH$3:$CE$3,"&lt;"&amp;$DF31,$AD31:$BA31)+SUMIF($BH$3:$CE$3,"&gt;"&amp;$CW$4,$AD31:$BA31)),
IF(BM$3=$DF31+'Model Setup'!$G$7,SUMIF($BH$3:$CE$3,"="&amp;$DF31+'Model Setup'!$G$7,$AD31:$BA31)+'Model Setup'!$G$8*(SUMIF($BH$3:$CE$3,"&lt;"&amp;$DF31,$AD31:$BA31)+SUMIF($BH$3:$CE$3,"&gt;"&amp;$CW$4,$AD31:$BA31)),
IF(BM$3=$DF31+'Model Setup'!$H$7,SUMIF($BH$3:$CE$3,"="&amp;$DF31+'Model Setup'!$H$7,$AD31:$BA31)+'Model Setup'!$H$8*(SUMIF($BH$3:$CE$3,"&lt;"&amp;$DF31,$AD31:$BA31)+SUMIF($BH$3:$CE$3,"&gt;"&amp;$CW$4,$AD31:$BA31)),
IF(BM$3=$DF31+'Model Setup'!$I$7,SUMIF($BH$3:$CE$3,"="&amp;$DF31+'Model Setup'!$I$7,$AD31:$BA31)+'Model Setup'!$I$8*(SUMIF($BH$3:$CE$3,"&lt;"&amp;$DF31,$AD31:$BA31)+SUMIF($BH$3:$CE$3,"&gt;"&amp;$CW$4,$AD31:$BA31)),
IF(BM$3=$DF31+'Model Setup'!$J$7,SUMIF($BH$3:$CE$3,"="&amp;$DF31+'Model Setup'!$J$7,$AD31:$BA31)+'Model Setup'!$J$8*(SUMIF($BH$3:$CE$3,"&lt;"&amp;$DF31,$AD31:$BA31)+SUMIF($BH$3:$CE$3,"&gt;"&amp;$CW$4,$AD31:$BA31)),
IF(BM$3=$DF31+'Model Setup'!$K$7,SUMIF($BH$3:$CE$3,"="&amp;$DF31+'Model Setup'!$K$7,$AD31:$BA31)+'Model Setup'!$K$8*(SUMIF($BH$3:$CE$3,"&lt;"&amp;$DF31,$AD31:$BA31)+SUMIF($BH$3:$CE$3,"&gt;"&amp;$CW$4,$AD31:$BA31)),
IF(BM$3=$DF31+'Model Setup'!$L$7,SUMIF($BH$3:$CE$3,"="&amp;$DF31+'Model Setup'!$L$7,$AD31:$BA31)+'Model Setup'!$L$8*(SUMIF($BH$3:$CE$3,"&lt;"&amp;$DF31,$AD31:$BA31)+SUMIF($BH$3:$CE$3,"&gt;"&amp;$CW$4,$AD31:$BA31)),
IF(BM$3=$DF31+'Model Setup'!$M$7,SUMIF($BH$3:$CE$3,"="&amp;$DF31+'Model Setup'!$M$7,$AD31:$BA31)+'Model Setup'!$M$8*(SUMIF($BH$3:$CE$3,"&lt;"&amp;$DF31,$AD31:$BA31)+SUMIF($BH$3:$CE$3,"&gt;"&amp;$CW$4,$AD31:$BA31)),
IF(BM$3=$DF31+'Model Setup'!$N$7,SUMIF($BH$3:$CE$3,"="&amp;$DF31+'Model Setup'!$N$7,$AD31:$BA31)+'Model Setup'!$N$8*(SUMIF($BH$3:$CE$3,"&lt;"&amp;$DF31,$AD31:$BA31)+SUMIF($BH$3:$CE$3,"&gt;"&amp;$CW$4,$AD31:$BA31)),
IF(BM$3&lt;$CW$4,G31,0))))))))))))))),0)</f>
        <v>0</v>
      </c>
      <c r="BN31" s="47">
        <f>ROUND(IF(OR(BN$3&lt;$DF31,BN$3&gt;$CW$4),0,
IF(BN$3=$DF31+'Model Setup'!$B$7,SUMIF($BH$3:$CE$3,"="&amp;$DF31+'Model Setup'!$B$7,$AD31:$BA31)+'Model Setup'!$B$8*(SUMIF($BH$3:$CE$3,"&lt;"&amp;$DF31,$AD31:$BA31)+SUMIF($BH$3:$CE$3,"&gt;"&amp;$CW$4,$AD31:$BA31)),
IF(BN$3=$DF31+'Model Setup'!$C$7,SUMIF($BH$3:$CE$3,"="&amp;$DF31+'Model Setup'!$C$7,$AD31:$BA31)+'Model Setup'!$C$8*(SUMIF($BH$3:$CE$3,"&lt;"&amp;$DF31,$AD31:$BA31)+SUMIF($BH$3:$CE$3,"&gt;"&amp;$CW$4,$AD31:$BA31)),
IF(BN$3=$DF31+'Model Setup'!$D$7,SUMIF($BH$3:$CE$3,"="&amp;$DF31+'Model Setup'!$D$7,$AD31:$BA31)+'Model Setup'!$D$8*(SUMIF($BH$3:$CE$3,"&lt;"&amp;$DF31,$AD31:$BA31)+SUMIF($BH$3:$CE$3,"&gt;"&amp;$CW$4,$AD31:$BA31)),
IF(BN$3=$DF31+'Model Setup'!$E$7,SUMIF($BH$3:$CE$3,"="&amp;$DF31+'Model Setup'!$E$7,$AD31:$BA31)+'Model Setup'!$E$8*(SUMIF($BH$3:$CE$3,"&lt;"&amp;$DF31,$AD31:$BA31)+SUMIF($BH$3:$CE$3,"&gt;"&amp;$CW$4,$AD31:$BA31)),
IF(BN$3=$DF31+'Model Setup'!$F$7,SUMIF($BH$3:$CE$3,"="&amp;$DF31+'Model Setup'!$F$7,$AD31:$BA31)+'Model Setup'!$F$8*(SUMIF($BH$3:$CE$3,"&lt;"&amp;$DF31,$AD31:$BA31)+SUMIF($BH$3:$CE$3,"&gt;"&amp;$CW$4,$AD31:$BA31)),
IF(BN$3=$DF31+'Model Setup'!$G$7,SUMIF($BH$3:$CE$3,"="&amp;$DF31+'Model Setup'!$G$7,$AD31:$BA31)+'Model Setup'!$G$8*(SUMIF($BH$3:$CE$3,"&lt;"&amp;$DF31,$AD31:$BA31)+SUMIF($BH$3:$CE$3,"&gt;"&amp;$CW$4,$AD31:$BA31)),
IF(BN$3=$DF31+'Model Setup'!$H$7,SUMIF($BH$3:$CE$3,"="&amp;$DF31+'Model Setup'!$H$7,$AD31:$BA31)+'Model Setup'!$H$8*(SUMIF($BH$3:$CE$3,"&lt;"&amp;$DF31,$AD31:$BA31)+SUMIF($BH$3:$CE$3,"&gt;"&amp;$CW$4,$AD31:$BA31)),
IF(BN$3=$DF31+'Model Setup'!$I$7,SUMIF($BH$3:$CE$3,"="&amp;$DF31+'Model Setup'!$I$7,$AD31:$BA31)+'Model Setup'!$I$8*(SUMIF($BH$3:$CE$3,"&lt;"&amp;$DF31,$AD31:$BA31)+SUMIF($BH$3:$CE$3,"&gt;"&amp;$CW$4,$AD31:$BA31)),
IF(BN$3=$DF31+'Model Setup'!$J$7,SUMIF($BH$3:$CE$3,"="&amp;$DF31+'Model Setup'!$J$7,$AD31:$BA31)+'Model Setup'!$J$8*(SUMIF($BH$3:$CE$3,"&lt;"&amp;$DF31,$AD31:$BA31)+SUMIF($BH$3:$CE$3,"&gt;"&amp;$CW$4,$AD31:$BA31)),
IF(BN$3=$DF31+'Model Setup'!$K$7,SUMIF($BH$3:$CE$3,"="&amp;$DF31+'Model Setup'!$K$7,$AD31:$BA31)+'Model Setup'!$K$8*(SUMIF($BH$3:$CE$3,"&lt;"&amp;$DF31,$AD31:$BA31)+SUMIF($BH$3:$CE$3,"&gt;"&amp;$CW$4,$AD31:$BA31)),
IF(BN$3=$DF31+'Model Setup'!$L$7,SUMIF($BH$3:$CE$3,"="&amp;$DF31+'Model Setup'!$L$7,$AD31:$BA31)+'Model Setup'!$L$8*(SUMIF($BH$3:$CE$3,"&lt;"&amp;$DF31,$AD31:$BA31)+SUMIF($BH$3:$CE$3,"&gt;"&amp;$CW$4,$AD31:$BA31)),
IF(BN$3=$DF31+'Model Setup'!$M$7,SUMIF($BH$3:$CE$3,"="&amp;$DF31+'Model Setup'!$M$7,$AD31:$BA31)+'Model Setup'!$M$8*(SUMIF($BH$3:$CE$3,"&lt;"&amp;$DF31,$AD31:$BA31)+SUMIF($BH$3:$CE$3,"&gt;"&amp;$CW$4,$AD31:$BA31)),
IF(BN$3=$DF31+'Model Setup'!$N$7,SUMIF($BH$3:$CE$3,"="&amp;$DF31+'Model Setup'!$N$7,$AD31:$BA31)+'Model Setup'!$N$8*(SUMIF($BH$3:$CE$3,"&lt;"&amp;$DF31,$AD31:$BA31)+SUMIF($BH$3:$CE$3,"&gt;"&amp;$CW$4,$AD31:$BA31)),
IF(BN$3&lt;$CW$4,H31,0))))))))))))))),0)</f>
        <v>0</v>
      </c>
      <c r="BO31" s="47">
        <f>ROUND(IF(OR(BO$3&lt;$DF31,BO$3&gt;$CW$4),0,
IF(BO$3=$DF31+'Model Setup'!$B$7,SUMIF($BH$3:$CE$3,"="&amp;$DF31+'Model Setup'!$B$7,$AD31:$BA31)+'Model Setup'!$B$8*(SUMIF($BH$3:$CE$3,"&lt;"&amp;$DF31,$AD31:$BA31)+SUMIF($BH$3:$CE$3,"&gt;"&amp;$CW$4,$AD31:$BA31)),
IF(BO$3=$DF31+'Model Setup'!$C$7,SUMIF($BH$3:$CE$3,"="&amp;$DF31+'Model Setup'!$C$7,$AD31:$BA31)+'Model Setup'!$C$8*(SUMIF($BH$3:$CE$3,"&lt;"&amp;$DF31,$AD31:$BA31)+SUMIF($BH$3:$CE$3,"&gt;"&amp;$CW$4,$AD31:$BA31)),
IF(BO$3=$DF31+'Model Setup'!$D$7,SUMIF($BH$3:$CE$3,"="&amp;$DF31+'Model Setup'!$D$7,$AD31:$BA31)+'Model Setup'!$D$8*(SUMIF($BH$3:$CE$3,"&lt;"&amp;$DF31,$AD31:$BA31)+SUMIF($BH$3:$CE$3,"&gt;"&amp;$CW$4,$AD31:$BA31)),
IF(BO$3=$DF31+'Model Setup'!$E$7,SUMIF($BH$3:$CE$3,"="&amp;$DF31+'Model Setup'!$E$7,$AD31:$BA31)+'Model Setup'!$E$8*(SUMIF($BH$3:$CE$3,"&lt;"&amp;$DF31,$AD31:$BA31)+SUMIF($BH$3:$CE$3,"&gt;"&amp;$CW$4,$AD31:$BA31)),
IF(BO$3=$DF31+'Model Setup'!$F$7,SUMIF($BH$3:$CE$3,"="&amp;$DF31+'Model Setup'!$F$7,$AD31:$BA31)+'Model Setup'!$F$8*(SUMIF($BH$3:$CE$3,"&lt;"&amp;$DF31,$AD31:$BA31)+SUMIF($BH$3:$CE$3,"&gt;"&amp;$CW$4,$AD31:$BA31)),
IF(BO$3=$DF31+'Model Setup'!$G$7,SUMIF($BH$3:$CE$3,"="&amp;$DF31+'Model Setup'!$G$7,$AD31:$BA31)+'Model Setup'!$G$8*(SUMIF($BH$3:$CE$3,"&lt;"&amp;$DF31,$AD31:$BA31)+SUMIF($BH$3:$CE$3,"&gt;"&amp;$CW$4,$AD31:$BA31)),
IF(BO$3=$DF31+'Model Setup'!$H$7,SUMIF($BH$3:$CE$3,"="&amp;$DF31+'Model Setup'!$H$7,$AD31:$BA31)+'Model Setup'!$H$8*(SUMIF($BH$3:$CE$3,"&lt;"&amp;$DF31,$AD31:$BA31)+SUMIF($BH$3:$CE$3,"&gt;"&amp;$CW$4,$AD31:$BA31)),
IF(BO$3=$DF31+'Model Setup'!$I$7,SUMIF($BH$3:$CE$3,"="&amp;$DF31+'Model Setup'!$I$7,$AD31:$BA31)+'Model Setup'!$I$8*(SUMIF($BH$3:$CE$3,"&lt;"&amp;$DF31,$AD31:$BA31)+SUMIF($BH$3:$CE$3,"&gt;"&amp;$CW$4,$AD31:$BA31)),
IF(BO$3=$DF31+'Model Setup'!$J$7,SUMIF($BH$3:$CE$3,"="&amp;$DF31+'Model Setup'!$J$7,$AD31:$BA31)+'Model Setup'!$J$8*(SUMIF($BH$3:$CE$3,"&lt;"&amp;$DF31,$AD31:$BA31)+SUMIF($BH$3:$CE$3,"&gt;"&amp;$CW$4,$AD31:$BA31)),
IF(BO$3=$DF31+'Model Setup'!$K$7,SUMIF($BH$3:$CE$3,"="&amp;$DF31+'Model Setup'!$K$7,$AD31:$BA31)+'Model Setup'!$K$8*(SUMIF($BH$3:$CE$3,"&lt;"&amp;$DF31,$AD31:$BA31)+SUMIF($BH$3:$CE$3,"&gt;"&amp;$CW$4,$AD31:$BA31)),
IF(BO$3=$DF31+'Model Setup'!$L$7,SUMIF($BH$3:$CE$3,"="&amp;$DF31+'Model Setup'!$L$7,$AD31:$BA31)+'Model Setup'!$L$8*(SUMIF($BH$3:$CE$3,"&lt;"&amp;$DF31,$AD31:$BA31)+SUMIF($BH$3:$CE$3,"&gt;"&amp;$CW$4,$AD31:$BA31)),
IF(BO$3=$DF31+'Model Setup'!$M$7,SUMIF($BH$3:$CE$3,"="&amp;$DF31+'Model Setup'!$M$7,$AD31:$BA31)+'Model Setup'!$M$8*(SUMIF($BH$3:$CE$3,"&lt;"&amp;$DF31,$AD31:$BA31)+SUMIF($BH$3:$CE$3,"&gt;"&amp;$CW$4,$AD31:$BA31)),
IF(BO$3=$DF31+'Model Setup'!$N$7,SUMIF($BH$3:$CE$3,"="&amp;$DF31+'Model Setup'!$N$7,$AD31:$BA31)+'Model Setup'!$N$8*(SUMIF($BH$3:$CE$3,"&lt;"&amp;$DF31,$AD31:$BA31)+SUMIF($BH$3:$CE$3,"&gt;"&amp;$CW$4,$AD31:$BA31)),
IF(BO$3&lt;$CW$4,I31,0))))))))))))))),0)</f>
        <v>6</v>
      </c>
      <c r="BP31" s="47">
        <f>ROUND(IF(OR(BP$3&lt;$DF31,BP$3&gt;$CW$4),0,
IF(BP$3=$DF31+'Model Setup'!$B$7,SUMIF($BH$3:$CE$3,"="&amp;$DF31+'Model Setup'!$B$7,$AD31:$BA31)+'Model Setup'!$B$8*(SUMIF($BH$3:$CE$3,"&lt;"&amp;$DF31,$AD31:$BA31)+SUMIF($BH$3:$CE$3,"&gt;"&amp;$CW$4,$AD31:$BA31)),
IF(BP$3=$DF31+'Model Setup'!$C$7,SUMIF($BH$3:$CE$3,"="&amp;$DF31+'Model Setup'!$C$7,$AD31:$BA31)+'Model Setup'!$C$8*(SUMIF($BH$3:$CE$3,"&lt;"&amp;$DF31,$AD31:$BA31)+SUMIF($BH$3:$CE$3,"&gt;"&amp;$CW$4,$AD31:$BA31)),
IF(BP$3=$DF31+'Model Setup'!$D$7,SUMIF($BH$3:$CE$3,"="&amp;$DF31+'Model Setup'!$D$7,$AD31:$BA31)+'Model Setup'!$D$8*(SUMIF($BH$3:$CE$3,"&lt;"&amp;$DF31,$AD31:$BA31)+SUMIF($BH$3:$CE$3,"&gt;"&amp;$CW$4,$AD31:$BA31)),
IF(BP$3=$DF31+'Model Setup'!$E$7,SUMIF($BH$3:$CE$3,"="&amp;$DF31+'Model Setup'!$E$7,$AD31:$BA31)+'Model Setup'!$E$8*(SUMIF($BH$3:$CE$3,"&lt;"&amp;$DF31,$AD31:$BA31)+SUMIF($BH$3:$CE$3,"&gt;"&amp;$CW$4,$AD31:$BA31)),
IF(BP$3=$DF31+'Model Setup'!$F$7,SUMIF($BH$3:$CE$3,"="&amp;$DF31+'Model Setup'!$F$7,$AD31:$BA31)+'Model Setup'!$F$8*(SUMIF($BH$3:$CE$3,"&lt;"&amp;$DF31,$AD31:$BA31)+SUMIF($BH$3:$CE$3,"&gt;"&amp;$CW$4,$AD31:$BA31)),
IF(BP$3=$DF31+'Model Setup'!$G$7,SUMIF($BH$3:$CE$3,"="&amp;$DF31+'Model Setup'!$G$7,$AD31:$BA31)+'Model Setup'!$G$8*(SUMIF($BH$3:$CE$3,"&lt;"&amp;$DF31,$AD31:$BA31)+SUMIF($BH$3:$CE$3,"&gt;"&amp;$CW$4,$AD31:$BA31)),
IF(BP$3=$DF31+'Model Setup'!$H$7,SUMIF($BH$3:$CE$3,"="&amp;$DF31+'Model Setup'!$H$7,$AD31:$BA31)+'Model Setup'!$H$8*(SUMIF($BH$3:$CE$3,"&lt;"&amp;$DF31,$AD31:$BA31)+SUMIF($BH$3:$CE$3,"&gt;"&amp;$CW$4,$AD31:$BA31)),
IF(BP$3=$DF31+'Model Setup'!$I$7,SUMIF($BH$3:$CE$3,"="&amp;$DF31+'Model Setup'!$I$7,$AD31:$BA31)+'Model Setup'!$I$8*(SUMIF($BH$3:$CE$3,"&lt;"&amp;$DF31,$AD31:$BA31)+SUMIF($BH$3:$CE$3,"&gt;"&amp;$CW$4,$AD31:$BA31)),
IF(BP$3=$DF31+'Model Setup'!$J$7,SUMIF($BH$3:$CE$3,"="&amp;$DF31+'Model Setup'!$J$7,$AD31:$BA31)+'Model Setup'!$J$8*(SUMIF($BH$3:$CE$3,"&lt;"&amp;$DF31,$AD31:$BA31)+SUMIF($BH$3:$CE$3,"&gt;"&amp;$CW$4,$AD31:$BA31)),
IF(BP$3=$DF31+'Model Setup'!$K$7,SUMIF($BH$3:$CE$3,"="&amp;$DF31+'Model Setup'!$K$7,$AD31:$BA31)+'Model Setup'!$K$8*(SUMIF($BH$3:$CE$3,"&lt;"&amp;$DF31,$AD31:$BA31)+SUMIF($BH$3:$CE$3,"&gt;"&amp;$CW$4,$AD31:$BA31)),
IF(BP$3=$DF31+'Model Setup'!$L$7,SUMIF($BH$3:$CE$3,"="&amp;$DF31+'Model Setup'!$L$7,$AD31:$BA31)+'Model Setup'!$L$8*(SUMIF($BH$3:$CE$3,"&lt;"&amp;$DF31,$AD31:$BA31)+SUMIF($BH$3:$CE$3,"&gt;"&amp;$CW$4,$AD31:$BA31)),
IF(BP$3=$DF31+'Model Setup'!$M$7,SUMIF($BH$3:$CE$3,"="&amp;$DF31+'Model Setup'!$M$7,$AD31:$BA31)+'Model Setup'!$M$8*(SUMIF($BH$3:$CE$3,"&lt;"&amp;$DF31,$AD31:$BA31)+SUMIF($BH$3:$CE$3,"&gt;"&amp;$CW$4,$AD31:$BA31)),
IF(BP$3=$DF31+'Model Setup'!$N$7,SUMIF($BH$3:$CE$3,"="&amp;$DF31+'Model Setup'!$N$7,$AD31:$BA31)+'Model Setup'!$N$8*(SUMIF($BH$3:$CE$3,"&lt;"&amp;$DF31,$AD31:$BA31)+SUMIF($BH$3:$CE$3,"&gt;"&amp;$CW$4,$AD31:$BA31)),
IF(BP$3&lt;$CW$4,J31,0))))))))))))))),0)</f>
        <v>11</v>
      </c>
      <c r="BQ31" s="47">
        <f>ROUND(IF(OR(BQ$3&lt;$DF31,BQ$3&gt;$CW$4),0,
IF(BQ$3=$DF31+'Model Setup'!$B$7,SUMIF($BH$3:$CE$3,"="&amp;$DF31+'Model Setup'!$B$7,$AD31:$BA31)+'Model Setup'!$B$8*(SUMIF($BH$3:$CE$3,"&lt;"&amp;$DF31,$AD31:$BA31)+SUMIF($BH$3:$CE$3,"&gt;"&amp;$CW$4,$AD31:$BA31)),
IF(BQ$3=$DF31+'Model Setup'!$C$7,SUMIF($BH$3:$CE$3,"="&amp;$DF31+'Model Setup'!$C$7,$AD31:$BA31)+'Model Setup'!$C$8*(SUMIF($BH$3:$CE$3,"&lt;"&amp;$DF31,$AD31:$BA31)+SUMIF($BH$3:$CE$3,"&gt;"&amp;$CW$4,$AD31:$BA31)),
IF(BQ$3=$DF31+'Model Setup'!$D$7,SUMIF($BH$3:$CE$3,"="&amp;$DF31+'Model Setup'!$D$7,$AD31:$BA31)+'Model Setup'!$D$8*(SUMIF($BH$3:$CE$3,"&lt;"&amp;$DF31,$AD31:$BA31)+SUMIF($BH$3:$CE$3,"&gt;"&amp;$CW$4,$AD31:$BA31)),
IF(BQ$3=$DF31+'Model Setup'!$E$7,SUMIF($BH$3:$CE$3,"="&amp;$DF31+'Model Setup'!$E$7,$AD31:$BA31)+'Model Setup'!$E$8*(SUMIF($BH$3:$CE$3,"&lt;"&amp;$DF31,$AD31:$BA31)+SUMIF($BH$3:$CE$3,"&gt;"&amp;$CW$4,$AD31:$BA31)),
IF(BQ$3=$DF31+'Model Setup'!$F$7,SUMIF($BH$3:$CE$3,"="&amp;$DF31+'Model Setup'!$F$7,$AD31:$BA31)+'Model Setup'!$F$8*(SUMIF($BH$3:$CE$3,"&lt;"&amp;$DF31,$AD31:$BA31)+SUMIF($BH$3:$CE$3,"&gt;"&amp;$CW$4,$AD31:$BA31)),
IF(BQ$3=$DF31+'Model Setup'!$G$7,SUMIF($BH$3:$CE$3,"="&amp;$DF31+'Model Setup'!$G$7,$AD31:$BA31)+'Model Setup'!$G$8*(SUMIF($BH$3:$CE$3,"&lt;"&amp;$DF31,$AD31:$BA31)+SUMIF($BH$3:$CE$3,"&gt;"&amp;$CW$4,$AD31:$BA31)),
IF(BQ$3=$DF31+'Model Setup'!$H$7,SUMIF($BH$3:$CE$3,"="&amp;$DF31+'Model Setup'!$H$7,$AD31:$BA31)+'Model Setup'!$H$8*(SUMIF($BH$3:$CE$3,"&lt;"&amp;$DF31,$AD31:$BA31)+SUMIF($BH$3:$CE$3,"&gt;"&amp;$CW$4,$AD31:$BA31)),
IF(BQ$3=$DF31+'Model Setup'!$I$7,SUMIF($BH$3:$CE$3,"="&amp;$DF31+'Model Setup'!$I$7,$AD31:$BA31)+'Model Setup'!$I$8*(SUMIF($BH$3:$CE$3,"&lt;"&amp;$DF31,$AD31:$BA31)+SUMIF($BH$3:$CE$3,"&gt;"&amp;$CW$4,$AD31:$BA31)),
IF(BQ$3=$DF31+'Model Setup'!$J$7,SUMIF($BH$3:$CE$3,"="&amp;$DF31+'Model Setup'!$J$7,$AD31:$BA31)+'Model Setup'!$J$8*(SUMIF($BH$3:$CE$3,"&lt;"&amp;$DF31,$AD31:$BA31)+SUMIF($BH$3:$CE$3,"&gt;"&amp;$CW$4,$AD31:$BA31)),
IF(BQ$3=$DF31+'Model Setup'!$K$7,SUMIF($BH$3:$CE$3,"="&amp;$DF31+'Model Setup'!$K$7,$AD31:$BA31)+'Model Setup'!$K$8*(SUMIF($BH$3:$CE$3,"&lt;"&amp;$DF31,$AD31:$BA31)+SUMIF($BH$3:$CE$3,"&gt;"&amp;$CW$4,$AD31:$BA31)),
IF(BQ$3=$DF31+'Model Setup'!$L$7,SUMIF($BH$3:$CE$3,"="&amp;$DF31+'Model Setup'!$L$7,$AD31:$BA31)+'Model Setup'!$L$8*(SUMIF($BH$3:$CE$3,"&lt;"&amp;$DF31,$AD31:$BA31)+SUMIF($BH$3:$CE$3,"&gt;"&amp;$CW$4,$AD31:$BA31)),
IF(BQ$3=$DF31+'Model Setup'!$M$7,SUMIF($BH$3:$CE$3,"="&amp;$DF31+'Model Setup'!$M$7,$AD31:$BA31)+'Model Setup'!$M$8*(SUMIF($BH$3:$CE$3,"&lt;"&amp;$DF31,$AD31:$BA31)+SUMIF($BH$3:$CE$3,"&gt;"&amp;$CW$4,$AD31:$BA31)),
IF(BQ$3=$DF31+'Model Setup'!$N$7,SUMIF($BH$3:$CE$3,"="&amp;$DF31+'Model Setup'!$N$7,$AD31:$BA31)+'Model Setup'!$N$8*(SUMIF($BH$3:$CE$3,"&lt;"&amp;$DF31,$AD31:$BA31)+SUMIF($BH$3:$CE$3,"&gt;"&amp;$CW$4,$AD31:$BA31)),
IF(BQ$3&lt;$CW$4,K31,0))))))))))))))),0)</f>
        <v>22</v>
      </c>
      <c r="BR31" s="47">
        <f>ROUND(IF(OR(BR$3&lt;$DF31,BR$3&gt;$CW$4),0,
IF(BR$3=$DF31+'Model Setup'!$B$7,SUMIF($BH$3:$CE$3,"="&amp;$DF31+'Model Setup'!$B$7,$AD31:$BA31)+'Model Setup'!$B$8*(SUMIF($BH$3:$CE$3,"&lt;"&amp;$DF31,$AD31:$BA31)+SUMIF($BH$3:$CE$3,"&gt;"&amp;$CW$4,$AD31:$BA31)),
IF(BR$3=$DF31+'Model Setup'!$C$7,SUMIF($BH$3:$CE$3,"="&amp;$DF31+'Model Setup'!$C$7,$AD31:$BA31)+'Model Setup'!$C$8*(SUMIF($BH$3:$CE$3,"&lt;"&amp;$DF31,$AD31:$BA31)+SUMIF($BH$3:$CE$3,"&gt;"&amp;$CW$4,$AD31:$BA31)),
IF(BR$3=$DF31+'Model Setup'!$D$7,SUMIF($BH$3:$CE$3,"="&amp;$DF31+'Model Setup'!$D$7,$AD31:$BA31)+'Model Setup'!$D$8*(SUMIF($BH$3:$CE$3,"&lt;"&amp;$DF31,$AD31:$BA31)+SUMIF($BH$3:$CE$3,"&gt;"&amp;$CW$4,$AD31:$BA31)),
IF(BR$3=$DF31+'Model Setup'!$E$7,SUMIF($BH$3:$CE$3,"="&amp;$DF31+'Model Setup'!$E$7,$AD31:$BA31)+'Model Setup'!$E$8*(SUMIF($BH$3:$CE$3,"&lt;"&amp;$DF31,$AD31:$BA31)+SUMIF($BH$3:$CE$3,"&gt;"&amp;$CW$4,$AD31:$BA31)),
IF(BR$3=$DF31+'Model Setup'!$F$7,SUMIF($BH$3:$CE$3,"="&amp;$DF31+'Model Setup'!$F$7,$AD31:$BA31)+'Model Setup'!$F$8*(SUMIF($BH$3:$CE$3,"&lt;"&amp;$DF31,$AD31:$BA31)+SUMIF($BH$3:$CE$3,"&gt;"&amp;$CW$4,$AD31:$BA31)),
IF(BR$3=$DF31+'Model Setup'!$G$7,SUMIF($BH$3:$CE$3,"="&amp;$DF31+'Model Setup'!$G$7,$AD31:$BA31)+'Model Setup'!$G$8*(SUMIF($BH$3:$CE$3,"&lt;"&amp;$DF31,$AD31:$BA31)+SUMIF($BH$3:$CE$3,"&gt;"&amp;$CW$4,$AD31:$BA31)),
IF(BR$3=$DF31+'Model Setup'!$H$7,SUMIF($BH$3:$CE$3,"="&amp;$DF31+'Model Setup'!$H$7,$AD31:$BA31)+'Model Setup'!$H$8*(SUMIF($BH$3:$CE$3,"&lt;"&amp;$DF31,$AD31:$BA31)+SUMIF($BH$3:$CE$3,"&gt;"&amp;$CW$4,$AD31:$BA31)),
IF(BR$3=$DF31+'Model Setup'!$I$7,SUMIF($BH$3:$CE$3,"="&amp;$DF31+'Model Setup'!$I$7,$AD31:$BA31)+'Model Setup'!$I$8*(SUMIF($BH$3:$CE$3,"&lt;"&amp;$DF31,$AD31:$BA31)+SUMIF($BH$3:$CE$3,"&gt;"&amp;$CW$4,$AD31:$BA31)),
IF(BR$3=$DF31+'Model Setup'!$J$7,SUMIF($BH$3:$CE$3,"="&amp;$DF31+'Model Setup'!$J$7,$AD31:$BA31)+'Model Setup'!$J$8*(SUMIF($BH$3:$CE$3,"&lt;"&amp;$DF31,$AD31:$BA31)+SUMIF($BH$3:$CE$3,"&gt;"&amp;$CW$4,$AD31:$BA31)),
IF(BR$3=$DF31+'Model Setup'!$K$7,SUMIF($BH$3:$CE$3,"="&amp;$DF31+'Model Setup'!$K$7,$AD31:$BA31)+'Model Setup'!$K$8*(SUMIF($BH$3:$CE$3,"&lt;"&amp;$DF31,$AD31:$BA31)+SUMIF($BH$3:$CE$3,"&gt;"&amp;$CW$4,$AD31:$BA31)),
IF(BR$3=$DF31+'Model Setup'!$L$7,SUMIF($BH$3:$CE$3,"="&amp;$DF31+'Model Setup'!$L$7,$AD31:$BA31)+'Model Setup'!$L$8*(SUMIF($BH$3:$CE$3,"&lt;"&amp;$DF31,$AD31:$BA31)+SUMIF($BH$3:$CE$3,"&gt;"&amp;$CW$4,$AD31:$BA31)),
IF(BR$3=$DF31+'Model Setup'!$M$7,SUMIF($BH$3:$CE$3,"="&amp;$DF31+'Model Setup'!$M$7,$AD31:$BA31)+'Model Setup'!$M$8*(SUMIF($BH$3:$CE$3,"&lt;"&amp;$DF31,$AD31:$BA31)+SUMIF($BH$3:$CE$3,"&gt;"&amp;$CW$4,$AD31:$BA31)),
IF(BR$3=$DF31+'Model Setup'!$N$7,SUMIF($BH$3:$CE$3,"="&amp;$DF31+'Model Setup'!$N$7,$AD31:$BA31)+'Model Setup'!$N$8*(SUMIF($BH$3:$CE$3,"&lt;"&amp;$DF31,$AD31:$BA31)+SUMIF($BH$3:$CE$3,"&gt;"&amp;$CW$4,$AD31:$BA31)),
IF(BR$3&lt;$CW$4,L31,0))))))))))))))),0)</f>
        <v>19</v>
      </c>
      <c r="BS31" s="47">
        <f>ROUND(IF(OR(BS$3&lt;$DF31,BS$3&gt;$CW$4),0,
IF(BS$3=$DF31+'Model Setup'!$B$7,SUMIF($BH$3:$CE$3,"="&amp;$DF31+'Model Setup'!$B$7,$AD31:$BA31)+'Model Setup'!$B$8*(SUMIF($BH$3:$CE$3,"&lt;"&amp;$DF31,$AD31:$BA31)+SUMIF($BH$3:$CE$3,"&gt;"&amp;$CW$4,$AD31:$BA31)),
IF(BS$3=$DF31+'Model Setup'!$C$7,SUMIF($BH$3:$CE$3,"="&amp;$DF31+'Model Setup'!$C$7,$AD31:$BA31)+'Model Setup'!$C$8*(SUMIF($BH$3:$CE$3,"&lt;"&amp;$DF31,$AD31:$BA31)+SUMIF($BH$3:$CE$3,"&gt;"&amp;$CW$4,$AD31:$BA31)),
IF(BS$3=$DF31+'Model Setup'!$D$7,SUMIF($BH$3:$CE$3,"="&amp;$DF31+'Model Setup'!$D$7,$AD31:$BA31)+'Model Setup'!$D$8*(SUMIF($BH$3:$CE$3,"&lt;"&amp;$DF31,$AD31:$BA31)+SUMIF($BH$3:$CE$3,"&gt;"&amp;$CW$4,$AD31:$BA31)),
IF(BS$3=$DF31+'Model Setup'!$E$7,SUMIF($BH$3:$CE$3,"="&amp;$DF31+'Model Setup'!$E$7,$AD31:$BA31)+'Model Setup'!$E$8*(SUMIF($BH$3:$CE$3,"&lt;"&amp;$DF31,$AD31:$BA31)+SUMIF($BH$3:$CE$3,"&gt;"&amp;$CW$4,$AD31:$BA31)),
IF(BS$3=$DF31+'Model Setup'!$F$7,SUMIF($BH$3:$CE$3,"="&amp;$DF31+'Model Setup'!$F$7,$AD31:$BA31)+'Model Setup'!$F$8*(SUMIF($BH$3:$CE$3,"&lt;"&amp;$DF31,$AD31:$BA31)+SUMIF($BH$3:$CE$3,"&gt;"&amp;$CW$4,$AD31:$BA31)),
IF(BS$3=$DF31+'Model Setup'!$G$7,SUMIF($BH$3:$CE$3,"="&amp;$DF31+'Model Setup'!$G$7,$AD31:$BA31)+'Model Setup'!$G$8*(SUMIF($BH$3:$CE$3,"&lt;"&amp;$DF31,$AD31:$BA31)+SUMIF($BH$3:$CE$3,"&gt;"&amp;$CW$4,$AD31:$BA31)),
IF(BS$3=$DF31+'Model Setup'!$H$7,SUMIF($BH$3:$CE$3,"="&amp;$DF31+'Model Setup'!$H$7,$AD31:$BA31)+'Model Setup'!$H$8*(SUMIF($BH$3:$CE$3,"&lt;"&amp;$DF31,$AD31:$BA31)+SUMIF($BH$3:$CE$3,"&gt;"&amp;$CW$4,$AD31:$BA31)),
IF(BS$3=$DF31+'Model Setup'!$I$7,SUMIF($BH$3:$CE$3,"="&amp;$DF31+'Model Setup'!$I$7,$AD31:$BA31)+'Model Setup'!$I$8*(SUMIF($BH$3:$CE$3,"&lt;"&amp;$DF31,$AD31:$BA31)+SUMIF($BH$3:$CE$3,"&gt;"&amp;$CW$4,$AD31:$BA31)),
IF(BS$3=$DF31+'Model Setup'!$J$7,SUMIF($BH$3:$CE$3,"="&amp;$DF31+'Model Setup'!$J$7,$AD31:$BA31)+'Model Setup'!$J$8*(SUMIF($BH$3:$CE$3,"&lt;"&amp;$DF31,$AD31:$BA31)+SUMIF($BH$3:$CE$3,"&gt;"&amp;$CW$4,$AD31:$BA31)),
IF(BS$3=$DF31+'Model Setup'!$K$7,SUMIF($BH$3:$CE$3,"="&amp;$DF31+'Model Setup'!$K$7,$AD31:$BA31)+'Model Setup'!$K$8*(SUMIF($BH$3:$CE$3,"&lt;"&amp;$DF31,$AD31:$BA31)+SUMIF($BH$3:$CE$3,"&gt;"&amp;$CW$4,$AD31:$BA31)),
IF(BS$3=$DF31+'Model Setup'!$L$7,SUMIF($BH$3:$CE$3,"="&amp;$DF31+'Model Setup'!$L$7,$AD31:$BA31)+'Model Setup'!$L$8*(SUMIF($BH$3:$CE$3,"&lt;"&amp;$DF31,$AD31:$BA31)+SUMIF($BH$3:$CE$3,"&gt;"&amp;$CW$4,$AD31:$BA31)),
IF(BS$3=$DF31+'Model Setup'!$M$7,SUMIF($BH$3:$CE$3,"="&amp;$DF31+'Model Setup'!$M$7,$AD31:$BA31)+'Model Setup'!$M$8*(SUMIF($BH$3:$CE$3,"&lt;"&amp;$DF31,$AD31:$BA31)+SUMIF($BH$3:$CE$3,"&gt;"&amp;$CW$4,$AD31:$BA31)),
IF(BS$3=$DF31+'Model Setup'!$N$7,SUMIF($BH$3:$CE$3,"="&amp;$DF31+'Model Setup'!$N$7,$AD31:$BA31)+'Model Setup'!$N$8*(SUMIF($BH$3:$CE$3,"&lt;"&amp;$DF31,$AD31:$BA31)+SUMIF($BH$3:$CE$3,"&gt;"&amp;$CW$4,$AD31:$BA31)),
IF(BS$3&lt;$CW$4,M31,0))))))))))))))),0)</f>
        <v>10</v>
      </c>
      <c r="BT31" s="47">
        <f>ROUND(IF(OR(BT$3&lt;$DF31,BT$3&gt;$CW$4),0,
IF(BT$3=$DF31+'Model Setup'!$B$7,SUMIF($BH$3:$CE$3,"="&amp;$DF31+'Model Setup'!$B$7,$AD31:$BA31)+'Model Setup'!$B$8*(SUMIF($BH$3:$CE$3,"&lt;"&amp;$DF31,$AD31:$BA31)+SUMIF($BH$3:$CE$3,"&gt;"&amp;$CW$4,$AD31:$BA31)),
IF(BT$3=$DF31+'Model Setup'!$C$7,SUMIF($BH$3:$CE$3,"="&amp;$DF31+'Model Setup'!$C$7,$AD31:$BA31)+'Model Setup'!$C$8*(SUMIF($BH$3:$CE$3,"&lt;"&amp;$DF31,$AD31:$BA31)+SUMIF($BH$3:$CE$3,"&gt;"&amp;$CW$4,$AD31:$BA31)),
IF(BT$3=$DF31+'Model Setup'!$D$7,SUMIF($BH$3:$CE$3,"="&amp;$DF31+'Model Setup'!$D$7,$AD31:$BA31)+'Model Setup'!$D$8*(SUMIF($BH$3:$CE$3,"&lt;"&amp;$DF31,$AD31:$BA31)+SUMIF($BH$3:$CE$3,"&gt;"&amp;$CW$4,$AD31:$BA31)),
IF(BT$3=$DF31+'Model Setup'!$E$7,SUMIF($BH$3:$CE$3,"="&amp;$DF31+'Model Setup'!$E$7,$AD31:$BA31)+'Model Setup'!$E$8*(SUMIF($BH$3:$CE$3,"&lt;"&amp;$DF31,$AD31:$BA31)+SUMIF($BH$3:$CE$3,"&gt;"&amp;$CW$4,$AD31:$BA31)),
IF(BT$3=$DF31+'Model Setup'!$F$7,SUMIF($BH$3:$CE$3,"="&amp;$DF31+'Model Setup'!$F$7,$AD31:$BA31)+'Model Setup'!$F$8*(SUMIF($BH$3:$CE$3,"&lt;"&amp;$DF31,$AD31:$BA31)+SUMIF($BH$3:$CE$3,"&gt;"&amp;$CW$4,$AD31:$BA31)),
IF(BT$3=$DF31+'Model Setup'!$G$7,SUMIF($BH$3:$CE$3,"="&amp;$DF31+'Model Setup'!$G$7,$AD31:$BA31)+'Model Setup'!$G$8*(SUMIF($BH$3:$CE$3,"&lt;"&amp;$DF31,$AD31:$BA31)+SUMIF($BH$3:$CE$3,"&gt;"&amp;$CW$4,$AD31:$BA31)),
IF(BT$3=$DF31+'Model Setup'!$H$7,SUMIF($BH$3:$CE$3,"="&amp;$DF31+'Model Setup'!$H$7,$AD31:$BA31)+'Model Setup'!$H$8*(SUMIF($BH$3:$CE$3,"&lt;"&amp;$DF31,$AD31:$BA31)+SUMIF($BH$3:$CE$3,"&gt;"&amp;$CW$4,$AD31:$BA31)),
IF(BT$3=$DF31+'Model Setup'!$I$7,SUMIF($BH$3:$CE$3,"="&amp;$DF31+'Model Setup'!$I$7,$AD31:$BA31)+'Model Setup'!$I$8*(SUMIF($BH$3:$CE$3,"&lt;"&amp;$DF31,$AD31:$BA31)+SUMIF($BH$3:$CE$3,"&gt;"&amp;$CW$4,$AD31:$BA31)),
IF(BT$3=$DF31+'Model Setup'!$J$7,SUMIF($BH$3:$CE$3,"="&amp;$DF31+'Model Setup'!$J$7,$AD31:$BA31)+'Model Setup'!$J$8*(SUMIF($BH$3:$CE$3,"&lt;"&amp;$DF31,$AD31:$BA31)+SUMIF($BH$3:$CE$3,"&gt;"&amp;$CW$4,$AD31:$BA31)),
IF(BT$3=$DF31+'Model Setup'!$K$7,SUMIF($BH$3:$CE$3,"="&amp;$DF31+'Model Setup'!$K$7,$AD31:$BA31)+'Model Setup'!$K$8*(SUMIF($BH$3:$CE$3,"&lt;"&amp;$DF31,$AD31:$BA31)+SUMIF($BH$3:$CE$3,"&gt;"&amp;$CW$4,$AD31:$BA31)),
IF(BT$3=$DF31+'Model Setup'!$L$7,SUMIF($BH$3:$CE$3,"="&amp;$DF31+'Model Setup'!$L$7,$AD31:$BA31)+'Model Setup'!$L$8*(SUMIF($BH$3:$CE$3,"&lt;"&amp;$DF31,$AD31:$BA31)+SUMIF($BH$3:$CE$3,"&gt;"&amp;$CW$4,$AD31:$BA31)),
IF(BT$3=$DF31+'Model Setup'!$M$7,SUMIF($BH$3:$CE$3,"="&amp;$DF31+'Model Setup'!$M$7,$AD31:$BA31)+'Model Setup'!$M$8*(SUMIF($BH$3:$CE$3,"&lt;"&amp;$DF31,$AD31:$BA31)+SUMIF($BH$3:$CE$3,"&gt;"&amp;$CW$4,$AD31:$BA31)),
IF(BT$3=$DF31+'Model Setup'!$N$7,SUMIF($BH$3:$CE$3,"="&amp;$DF31+'Model Setup'!$N$7,$AD31:$BA31)+'Model Setup'!$N$8*(SUMIF($BH$3:$CE$3,"&lt;"&amp;$DF31,$AD31:$BA31)+SUMIF($BH$3:$CE$3,"&gt;"&amp;$CW$4,$AD31:$BA31)),
IF(BT$3&lt;$CW$4,N31,0))))))))))))))),0)</f>
        <v>5</v>
      </c>
      <c r="BU31" s="47">
        <f>ROUND(IF(OR(BU$3&lt;$DF31,BU$3&gt;$CW$4),0,
IF(BU$3=$DF31+'Model Setup'!$B$7,SUMIF($BH$3:$CE$3,"="&amp;$DF31+'Model Setup'!$B$7,$AD31:$BA31)+'Model Setup'!$B$8*(SUMIF($BH$3:$CE$3,"&lt;"&amp;$DF31,$AD31:$BA31)+SUMIF($BH$3:$CE$3,"&gt;"&amp;$CW$4,$AD31:$BA31)),
IF(BU$3=$DF31+'Model Setup'!$C$7,SUMIF($BH$3:$CE$3,"="&amp;$DF31+'Model Setup'!$C$7,$AD31:$BA31)+'Model Setup'!$C$8*(SUMIF($BH$3:$CE$3,"&lt;"&amp;$DF31,$AD31:$BA31)+SUMIF($BH$3:$CE$3,"&gt;"&amp;$CW$4,$AD31:$BA31)),
IF(BU$3=$DF31+'Model Setup'!$D$7,SUMIF($BH$3:$CE$3,"="&amp;$DF31+'Model Setup'!$D$7,$AD31:$BA31)+'Model Setup'!$D$8*(SUMIF($BH$3:$CE$3,"&lt;"&amp;$DF31,$AD31:$BA31)+SUMIF($BH$3:$CE$3,"&gt;"&amp;$CW$4,$AD31:$BA31)),
IF(BU$3=$DF31+'Model Setup'!$E$7,SUMIF($BH$3:$CE$3,"="&amp;$DF31+'Model Setup'!$E$7,$AD31:$BA31)+'Model Setup'!$E$8*(SUMIF($BH$3:$CE$3,"&lt;"&amp;$DF31,$AD31:$BA31)+SUMIF($BH$3:$CE$3,"&gt;"&amp;$CW$4,$AD31:$BA31)),
IF(BU$3=$DF31+'Model Setup'!$F$7,SUMIF($BH$3:$CE$3,"="&amp;$DF31+'Model Setup'!$F$7,$AD31:$BA31)+'Model Setup'!$F$8*(SUMIF($BH$3:$CE$3,"&lt;"&amp;$DF31,$AD31:$BA31)+SUMIF($BH$3:$CE$3,"&gt;"&amp;$CW$4,$AD31:$BA31)),
IF(BU$3=$DF31+'Model Setup'!$G$7,SUMIF($BH$3:$CE$3,"="&amp;$DF31+'Model Setup'!$G$7,$AD31:$BA31)+'Model Setup'!$G$8*(SUMIF($BH$3:$CE$3,"&lt;"&amp;$DF31,$AD31:$BA31)+SUMIF($BH$3:$CE$3,"&gt;"&amp;$CW$4,$AD31:$BA31)),
IF(BU$3=$DF31+'Model Setup'!$H$7,SUMIF($BH$3:$CE$3,"="&amp;$DF31+'Model Setup'!$H$7,$AD31:$BA31)+'Model Setup'!$H$8*(SUMIF($BH$3:$CE$3,"&lt;"&amp;$DF31,$AD31:$BA31)+SUMIF($BH$3:$CE$3,"&gt;"&amp;$CW$4,$AD31:$BA31)),
IF(BU$3=$DF31+'Model Setup'!$I$7,SUMIF($BH$3:$CE$3,"="&amp;$DF31+'Model Setup'!$I$7,$AD31:$BA31)+'Model Setup'!$I$8*(SUMIF($BH$3:$CE$3,"&lt;"&amp;$DF31,$AD31:$BA31)+SUMIF($BH$3:$CE$3,"&gt;"&amp;$CW$4,$AD31:$BA31)),
IF(BU$3=$DF31+'Model Setup'!$J$7,SUMIF($BH$3:$CE$3,"="&amp;$DF31+'Model Setup'!$J$7,$AD31:$BA31)+'Model Setup'!$J$8*(SUMIF($BH$3:$CE$3,"&lt;"&amp;$DF31,$AD31:$BA31)+SUMIF($BH$3:$CE$3,"&gt;"&amp;$CW$4,$AD31:$BA31)),
IF(BU$3=$DF31+'Model Setup'!$K$7,SUMIF($BH$3:$CE$3,"="&amp;$DF31+'Model Setup'!$K$7,$AD31:$BA31)+'Model Setup'!$K$8*(SUMIF($BH$3:$CE$3,"&lt;"&amp;$DF31,$AD31:$BA31)+SUMIF($BH$3:$CE$3,"&gt;"&amp;$CW$4,$AD31:$BA31)),
IF(BU$3=$DF31+'Model Setup'!$L$7,SUMIF($BH$3:$CE$3,"="&amp;$DF31+'Model Setup'!$L$7,$AD31:$BA31)+'Model Setup'!$L$8*(SUMIF($BH$3:$CE$3,"&lt;"&amp;$DF31,$AD31:$BA31)+SUMIF($BH$3:$CE$3,"&gt;"&amp;$CW$4,$AD31:$BA31)),
IF(BU$3=$DF31+'Model Setup'!$M$7,SUMIF($BH$3:$CE$3,"="&amp;$DF31+'Model Setup'!$M$7,$AD31:$BA31)+'Model Setup'!$M$8*(SUMIF($BH$3:$CE$3,"&lt;"&amp;$DF31,$AD31:$BA31)+SUMIF($BH$3:$CE$3,"&gt;"&amp;$CW$4,$AD31:$BA31)),
IF(BU$3=$DF31+'Model Setup'!$N$7,SUMIF($BH$3:$CE$3,"="&amp;$DF31+'Model Setup'!$N$7,$AD31:$BA31)+'Model Setup'!$N$8*(SUMIF($BH$3:$CE$3,"&lt;"&amp;$DF31,$AD31:$BA31)+SUMIF($BH$3:$CE$3,"&gt;"&amp;$CW$4,$AD31:$BA31)),
IF(BU$3&lt;$CW$4,O31,0))))))))))))))),0)</f>
        <v>6</v>
      </c>
      <c r="BV31" s="47">
        <f>ROUND(IF(OR(BV$3&lt;$DF31,BV$3&gt;$CW$4),0,
IF(BV$3=$DF31+'Model Setup'!$B$7,SUMIF($BH$3:$CE$3,"="&amp;$DF31+'Model Setup'!$B$7,$AD31:$BA31)+'Model Setup'!$B$8*(SUMIF($BH$3:$CE$3,"&lt;"&amp;$DF31,$AD31:$BA31)+SUMIF($BH$3:$CE$3,"&gt;"&amp;$CW$4,$AD31:$BA31)),
IF(BV$3=$DF31+'Model Setup'!$C$7,SUMIF($BH$3:$CE$3,"="&amp;$DF31+'Model Setup'!$C$7,$AD31:$BA31)+'Model Setup'!$C$8*(SUMIF($BH$3:$CE$3,"&lt;"&amp;$DF31,$AD31:$BA31)+SUMIF($BH$3:$CE$3,"&gt;"&amp;$CW$4,$AD31:$BA31)),
IF(BV$3=$DF31+'Model Setup'!$D$7,SUMIF($BH$3:$CE$3,"="&amp;$DF31+'Model Setup'!$D$7,$AD31:$BA31)+'Model Setup'!$D$8*(SUMIF($BH$3:$CE$3,"&lt;"&amp;$DF31,$AD31:$BA31)+SUMIF($BH$3:$CE$3,"&gt;"&amp;$CW$4,$AD31:$BA31)),
IF(BV$3=$DF31+'Model Setup'!$E$7,SUMIF($BH$3:$CE$3,"="&amp;$DF31+'Model Setup'!$E$7,$AD31:$BA31)+'Model Setup'!$E$8*(SUMIF($BH$3:$CE$3,"&lt;"&amp;$DF31,$AD31:$BA31)+SUMIF($BH$3:$CE$3,"&gt;"&amp;$CW$4,$AD31:$BA31)),
IF(BV$3=$DF31+'Model Setup'!$F$7,SUMIF($BH$3:$CE$3,"="&amp;$DF31+'Model Setup'!$F$7,$AD31:$BA31)+'Model Setup'!$F$8*(SUMIF($BH$3:$CE$3,"&lt;"&amp;$DF31,$AD31:$BA31)+SUMIF($BH$3:$CE$3,"&gt;"&amp;$CW$4,$AD31:$BA31)),
IF(BV$3=$DF31+'Model Setup'!$G$7,SUMIF($BH$3:$CE$3,"="&amp;$DF31+'Model Setup'!$G$7,$AD31:$BA31)+'Model Setup'!$G$8*(SUMIF($BH$3:$CE$3,"&lt;"&amp;$DF31,$AD31:$BA31)+SUMIF($BH$3:$CE$3,"&gt;"&amp;$CW$4,$AD31:$BA31)),
IF(BV$3=$DF31+'Model Setup'!$H$7,SUMIF($BH$3:$CE$3,"="&amp;$DF31+'Model Setup'!$H$7,$AD31:$BA31)+'Model Setup'!$H$8*(SUMIF($BH$3:$CE$3,"&lt;"&amp;$DF31,$AD31:$BA31)+SUMIF($BH$3:$CE$3,"&gt;"&amp;$CW$4,$AD31:$BA31)),
IF(BV$3=$DF31+'Model Setup'!$I$7,SUMIF($BH$3:$CE$3,"="&amp;$DF31+'Model Setup'!$I$7,$AD31:$BA31)+'Model Setup'!$I$8*(SUMIF($BH$3:$CE$3,"&lt;"&amp;$DF31,$AD31:$BA31)+SUMIF($BH$3:$CE$3,"&gt;"&amp;$CW$4,$AD31:$BA31)),
IF(BV$3=$DF31+'Model Setup'!$J$7,SUMIF($BH$3:$CE$3,"="&amp;$DF31+'Model Setup'!$J$7,$AD31:$BA31)+'Model Setup'!$J$8*(SUMIF($BH$3:$CE$3,"&lt;"&amp;$DF31,$AD31:$BA31)+SUMIF($BH$3:$CE$3,"&gt;"&amp;$CW$4,$AD31:$BA31)),
IF(BV$3=$DF31+'Model Setup'!$K$7,SUMIF($BH$3:$CE$3,"="&amp;$DF31+'Model Setup'!$K$7,$AD31:$BA31)+'Model Setup'!$K$8*(SUMIF($BH$3:$CE$3,"&lt;"&amp;$DF31,$AD31:$BA31)+SUMIF($BH$3:$CE$3,"&gt;"&amp;$CW$4,$AD31:$BA31)),
IF(BV$3=$DF31+'Model Setup'!$L$7,SUMIF($BH$3:$CE$3,"="&amp;$DF31+'Model Setup'!$L$7,$AD31:$BA31)+'Model Setup'!$L$8*(SUMIF($BH$3:$CE$3,"&lt;"&amp;$DF31,$AD31:$BA31)+SUMIF($BH$3:$CE$3,"&gt;"&amp;$CW$4,$AD31:$BA31)),
IF(BV$3=$DF31+'Model Setup'!$M$7,SUMIF($BH$3:$CE$3,"="&amp;$DF31+'Model Setup'!$M$7,$AD31:$BA31)+'Model Setup'!$M$8*(SUMIF($BH$3:$CE$3,"&lt;"&amp;$DF31,$AD31:$BA31)+SUMIF($BH$3:$CE$3,"&gt;"&amp;$CW$4,$AD31:$BA31)),
IF(BV$3=$DF31+'Model Setup'!$N$7,SUMIF($BH$3:$CE$3,"="&amp;$DF31+'Model Setup'!$N$7,$AD31:$BA31)+'Model Setup'!$N$8*(SUMIF($BH$3:$CE$3,"&lt;"&amp;$DF31,$AD31:$BA31)+SUMIF($BH$3:$CE$3,"&gt;"&amp;$CW$4,$AD31:$BA31)),
IF(BV$3&lt;$CW$4,P31,0))))))))))))))),0)</f>
        <v>8</v>
      </c>
      <c r="BW31" s="47">
        <f>ROUND(IF(OR(BW$3&lt;$DF31,BW$3&gt;$CW$4),0,
IF(BW$3=$DF31+'Model Setup'!$B$7,SUMIF($BH$3:$CE$3,"="&amp;$DF31+'Model Setup'!$B$7,$AD31:$BA31)+'Model Setup'!$B$8*(SUMIF($BH$3:$CE$3,"&lt;"&amp;$DF31,$AD31:$BA31)+SUMIF($BH$3:$CE$3,"&gt;"&amp;$CW$4,$AD31:$BA31)),
IF(BW$3=$DF31+'Model Setup'!$C$7,SUMIF($BH$3:$CE$3,"="&amp;$DF31+'Model Setup'!$C$7,$AD31:$BA31)+'Model Setup'!$C$8*(SUMIF($BH$3:$CE$3,"&lt;"&amp;$DF31,$AD31:$BA31)+SUMIF($BH$3:$CE$3,"&gt;"&amp;$CW$4,$AD31:$BA31)),
IF(BW$3=$DF31+'Model Setup'!$D$7,SUMIF($BH$3:$CE$3,"="&amp;$DF31+'Model Setup'!$D$7,$AD31:$BA31)+'Model Setup'!$D$8*(SUMIF($BH$3:$CE$3,"&lt;"&amp;$DF31,$AD31:$BA31)+SUMIF($BH$3:$CE$3,"&gt;"&amp;$CW$4,$AD31:$BA31)),
IF(BW$3=$DF31+'Model Setup'!$E$7,SUMIF($BH$3:$CE$3,"="&amp;$DF31+'Model Setup'!$E$7,$AD31:$BA31)+'Model Setup'!$E$8*(SUMIF($BH$3:$CE$3,"&lt;"&amp;$DF31,$AD31:$BA31)+SUMIF($BH$3:$CE$3,"&gt;"&amp;$CW$4,$AD31:$BA31)),
IF(BW$3=$DF31+'Model Setup'!$F$7,SUMIF($BH$3:$CE$3,"="&amp;$DF31+'Model Setup'!$F$7,$AD31:$BA31)+'Model Setup'!$F$8*(SUMIF($BH$3:$CE$3,"&lt;"&amp;$DF31,$AD31:$BA31)+SUMIF($BH$3:$CE$3,"&gt;"&amp;$CW$4,$AD31:$BA31)),
IF(BW$3=$DF31+'Model Setup'!$G$7,SUMIF($BH$3:$CE$3,"="&amp;$DF31+'Model Setup'!$G$7,$AD31:$BA31)+'Model Setup'!$G$8*(SUMIF($BH$3:$CE$3,"&lt;"&amp;$DF31,$AD31:$BA31)+SUMIF($BH$3:$CE$3,"&gt;"&amp;$CW$4,$AD31:$BA31)),
IF(BW$3=$DF31+'Model Setup'!$H$7,SUMIF($BH$3:$CE$3,"="&amp;$DF31+'Model Setup'!$H$7,$AD31:$BA31)+'Model Setup'!$H$8*(SUMIF($BH$3:$CE$3,"&lt;"&amp;$DF31,$AD31:$BA31)+SUMIF($BH$3:$CE$3,"&gt;"&amp;$CW$4,$AD31:$BA31)),
IF(BW$3=$DF31+'Model Setup'!$I$7,SUMIF($BH$3:$CE$3,"="&amp;$DF31+'Model Setup'!$I$7,$AD31:$BA31)+'Model Setup'!$I$8*(SUMIF($BH$3:$CE$3,"&lt;"&amp;$DF31,$AD31:$BA31)+SUMIF($BH$3:$CE$3,"&gt;"&amp;$CW$4,$AD31:$BA31)),
IF(BW$3=$DF31+'Model Setup'!$J$7,SUMIF($BH$3:$CE$3,"="&amp;$DF31+'Model Setup'!$J$7,$AD31:$BA31)+'Model Setup'!$J$8*(SUMIF($BH$3:$CE$3,"&lt;"&amp;$DF31,$AD31:$BA31)+SUMIF($BH$3:$CE$3,"&gt;"&amp;$CW$4,$AD31:$BA31)),
IF(BW$3=$DF31+'Model Setup'!$K$7,SUMIF($BH$3:$CE$3,"="&amp;$DF31+'Model Setup'!$K$7,$AD31:$BA31)+'Model Setup'!$K$8*(SUMIF($BH$3:$CE$3,"&lt;"&amp;$DF31,$AD31:$BA31)+SUMIF($BH$3:$CE$3,"&gt;"&amp;$CW$4,$AD31:$BA31)),
IF(BW$3=$DF31+'Model Setup'!$L$7,SUMIF($BH$3:$CE$3,"="&amp;$DF31+'Model Setup'!$L$7,$AD31:$BA31)+'Model Setup'!$L$8*(SUMIF($BH$3:$CE$3,"&lt;"&amp;$DF31,$AD31:$BA31)+SUMIF($BH$3:$CE$3,"&gt;"&amp;$CW$4,$AD31:$BA31)),
IF(BW$3=$DF31+'Model Setup'!$M$7,SUMIF($BH$3:$CE$3,"="&amp;$DF31+'Model Setup'!$M$7,$AD31:$BA31)+'Model Setup'!$M$8*(SUMIF($BH$3:$CE$3,"&lt;"&amp;$DF31,$AD31:$BA31)+SUMIF($BH$3:$CE$3,"&gt;"&amp;$CW$4,$AD31:$BA31)),
IF(BW$3=$DF31+'Model Setup'!$N$7,SUMIF($BH$3:$CE$3,"="&amp;$DF31+'Model Setup'!$N$7,$AD31:$BA31)+'Model Setup'!$N$8*(SUMIF($BH$3:$CE$3,"&lt;"&amp;$DF31,$AD31:$BA31)+SUMIF($BH$3:$CE$3,"&gt;"&amp;$CW$4,$AD31:$BA31)),
IF(BW$3&lt;$CW$4,Q31,0))))))))))))))),0)</f>
        <v>7</v>
      </c>
      <c r="BX31" s="47">
        <f>ROUND(IF(OR(BX$3&lt;$DF31,BX$3&gt;$CW$4),0,
IF(BX$3=$DF31+'Model Setup'!$B$7,SUMIF($BH$3:$CE$3,"="&amp;$DF31+'Model Setup'!$B$7,$AD31:$BA31)+'Model Setup'!$B$8*(SUMIF($BH$3:$CE$3,"&lt;"&amp;$DF31,$AD31:$BA31)+SUMIF($BH$3:$CE$3,"&gt;"&amp;$CW$4,$AD31:$BA31)),
IF(BX$3=$DF31+'Model Setup'!$C$7,SUMIF($BH$3:$CE$3,"="&amp;$DF31+'Model Setup'!$C$7,$AD31:$BA31)+'Model Setup'!$C$8*(SUMIF($BH$3:$CE$3,"&lt;"&amp;$DF31,$AD31:$BA31)+SUMIF($BH$3:$CE$3,"&gt;"&amp;$CW$4,$AD31:$BA31)),
IF(BX$3=$DF31+'Model Setup'!$D$7,SUMIF($BH$3:$CE$3,"="&amp;$DF31+'Model Setup'!$D$7,$AD31:$BA31)+'Model Setup'!$D$8*(SUMIF($BH$3:$CE$3,"&lt;"&amp;$DF31,$AD31:$BA31)+SUMIF($BH$3:$CE$3,"&gt;"&amp;$CW$4,$AD31:$BA31)),
IF(BX$3=$DF31+'Model Setup'!$E$7,SUMIF($BH$3:$CE$3,"="&amp;$DF31+'Model Setup'!$E$7,$AD31:$BA31)+'Model Setup'!$E$8*(SUMIF($BH$3:$CE$3,"&lt;"&amp;$DF31,$AD31:$BA31)+SUMIF($BH$3:$CE$3,"&gt;"&amp;$CW$4,$AD31:$BA31)),
IF(BX$3=$DF31+'Model Setup'!$F$7,SUMIF($BH$3:$CE$3,"="&amp;$DF31+'Model Setup'!$F$7,$AD31:$BA31)+'Model Setup'!$F$8*(SUMIF($BH$3:$CE$3,"&lt;"&amp;$DF31,$AD31:$BA31)+SUMIF($BH$3:$CE$3,"&gt;"&amp;$CW$4,$AD31:$BA31)),
IF(BX$3=$DF31+'Model Setup'!$G$7,SUMIF($BH$3:$CE$3,"="&amp;$DF31+'Model Setup'!$G$7,$AD31:$BA31)+'Model Setup'!$G$8*(SUMIF($BH$3:$CE$3,"&lt;"&amp;$DF31,$AD31:$BA31)+SUMIF($BH$3:$CE$3,"&gt;"&amp;$CW$4,$AD31:$BA31)),
IF(BX$3=$DF31+'Model Setup'!$H$7,SUMIF($BH$3:$CE$3,"="&amp;$DF31+'Model Setup'!$H$7,$AD31:$BA31)+'Model Setup'!$H$8*(SUMIF($BH$3:$CE$3,"&lt;"&amp;$DF31,$AD31:$BA31)+SUMIF($BH$3:$CE$3,"&gt;"&amp;$CW$4,$AD31:$BA31)),
IF(BX$3=$DF31+'Model Setup'!$I$7,SUMIF($BH$3:$CE$3,"="&amp;$DF31+'Model Setup'!$I$7,$AD31:$BA31)+'Model Setup'!$I$8*(SUMIF($BH$3:$CE$3,"&lt;"&amp;$DF31,$AD31:$BA31)+SUMIF($BH$3:$CE$3,"&gt;"&amp;$CW$4,$AD31:$BA31)),
IF(BX$3=$DF31+'Model Setup'!$J$7,SUMIF($BH$3:$CE$3,"="&amp;$DF31+'Model Setup'!$J$7,$AD31:$BA31)+'Model Setup'!$J$8*(SUMIF($BH$3:$CE$3,"&lt;"&amp;$DF31,$AD31:$BA31)+SUMIF($BH$3:$CE$3,"&gt;"&amp;$CW$4,$AD31:$BA31)),
IF(BX$3=$DF31+'Model Setup'!$K$7,SUMIF($BH$3:$CE$3,"="&amp;$DF31+'Model Setup'!$K$7,$AD31:$BA31)+'Model Setup'!$K$8*(SUMIF($BH$3:$CE$3,"&lt;"&amp;$DF31,$AD31:$BA31)+SUMIF($BH$3:$CE$3,"&gt;"&amp;$CW$4,$AD31:$BA31)),
IF(BX$3=$DF31+'Model Setup'!$L$7,SUMIF($BH$3:$CE$3,"="&amp;$DF31+'Model Setup'!$L$7,$AD31:$BA31)+'Model Setup'!$L$8*(SUMIF($BH$3:$CE$3,"&lt;"&amp;$DF31,$AD31:$BA31)+SUMIF($BH$3:$CE$3,"&gt;"&amp;$CW$4,$AD31:$BA31)),
IF(BX$3=$DF31+'Model Setup'!$M$7,SUMIF($BH$3:$CE$3,"="&amp;$DF31+'Model Setup'!$M$7,$AD31:$BA31)+'Model Setup'!$M$8*(SUMIF($BH$3:$CE$3,"&lt;"&amp;$DF31,$AD31:$BA31)+SUMIF($BH$3:$CE$3,"&gt;"&amp;$CW$4,$AD31:$BA31)),
IF(BX$3=$DF31+'Model Setup'!$N$7,SUMIF($BH$3:$CE$3,"="&amp;$DF31+'Model Setup'!$N$7,$AD31:$BA31)+'Model Setup'!$N$8*(SUMIF($BH$3:$CE$3,"&lt;"&amp;$DF31,$AD31:$BA31)+SUMIF($BH$3:$CE$3,"&gt;"&amp;$CW$4,$AD31:$BA31)),
IF(BX$3&lt;$CW$4,R31,0))))))))))))))),0)</f>
        <v>8</v>
      </c>
      <c r="BY31" s="47">
        <f>ROUND(IF(OR(BY$3&lt;$DF31,BY$3&gt;$CW$4),0,
IF(BY$3=$DF31+'Model Setup'!$B$7,SUMIF($BH$3:$CE$3,"="&amp;$DF31+'Model Setup'!$B$7,$AD31:$BA31)+'Model Setup'!$B$8*(SUMIF($BH$3:$CE$3,"&lt;"&amp;$DF31,$AD31:$BA31)+SUMIF($BH$3:$CE$3,"&gt;"&amp;$CW$4,$AD31:$BA31)),
IF(BY$3=$DF31+'Model Setup'!$C$7,SUMIF($BH$3:$CE$3,"="&amp;$DF31+'Model Setup'!$C$7,$AD31:$BA31)+'Model Setup'!$C$8*(SUMIF($BH$3:$CE$3,"&lt;"&amp;$DF31,$AD31:$BA31)+SUMIF($BH$3:$CE$3,"&gt;"&amp;$CW$4,$AD31:$BA31)),
IF(BY$3=$DF31+'Model Setup'!$D$7,SUMIF($BH$3:$CE$3,"="&amp;$DF31+'Model Setup'!$D$7,$AD31:$BA31)+'Model Setup'!$D$8*(SUMIF($BH$3:$CE$3,"&lt;"&amp;$DF31,$AD31:$BA31)+SUMIF($BH$3:$CE$3,"&gt;"&amp;$CW$4,$AD31:$BA31)),
IF(BY$3=$DF31+'Model Setup'!$E$7,SUMIF($BH$3:$CE$3,"="&amp;$DF31+'Model Setup'!$E$7,$AD31:$BA31)+'Model Setup'!$E$8*(SUMIF($BH$3:$CE$3,"&lt;"&amp;$DF31,$AD31:$BA31)+SUMIF($BH$3:$CE$3,"&gt;"&amp;$CW$4,$AD31:$BA31)),
IF(BY$3=$DF31+'Model Setup'!$F$7,SUMIF($BH$3:$CE$3,"="&amp;$DF31+'Model Setup'!$F$7,$AD31:$BA31)+'Model Setup'!$F$8*(SUMIF($BH$3:$CE$3,"&lt;"&amp;$DF31,$AD31:$BA31)+SUMIF($BH$3:$CE$3,"&gt;"&amp;$CW$4,$AD31:$BA31)),
IF(BY$3=$DF31+'Model Setup'!$G$7,SUMIF($BH$3:$CE$3,"="&amp;$DF31+'Model Setup'!$G$7,$AD31:$BA31)+'Model Setup'!$G$8*(SUMIF($BH$3:$CE$3,"&lt;"&amp;$DF31,$AD31:$BA31)+SUMIF($BH$3:$CE$3,"&gt;"&amp;$CW$4,$AD31:$BA31)),
IF(BY$3=$DF31+'Model Setup'!$H$7,SUMIF($BH$3:$CE$3,"="&amp;$DF31+'Model Setup'!$H$7,$AD31:$BA31)+'Model Setup'!$H$8*(SUMIF($BH$3:$CE$3,"&lt;"&amp;$DF31,$AD31:$BA31)+SUMIF($BH$3:$CE$3,"&gt;"&amp;$CW$4,$AD31:$BA31)),
IF(BY$3=$DF31+'Model Setup'!$I$7,SUMIF($BH$3:$CE$3,"="&amp;$DF31+'Model Setup'!$I$7,$AD31:$BA31)+'Model Setup'!$I$8*(SUMIF($BH$3:$CE$3,"&lt;"&amp;$DF31,$AD31:$BA31)+SUMIF($BH$3:$CE$3,"&gt;"&amp;$CW$4,$AD31:$BA31)),
IF(BY$3=$DF31+'Model Setup'!$J$7,SUMIF($BH$3:$CE$3,"="&amp;$DF31+'Model Setup'!$J$7,$AD31:$BA31)+'Model Setup'!$J$8*(SUMIF($BH$3:$CE$3,"&lt;"&amp;$DF31,$AD31:$BA31)+SUMIF($BH$3:$CE$3,"&gt;"&amp;$CW$4,$AD31:$BA31)),
IF(BY$3=$DF31+'Model Setup'!$K$7,SUMIF($BH$3:$CE$3,"="&amp;$DF31+'Model Setup'!$K$7,$AD31:$BA31)+'Model Setup'!$K$8*(SUMIF($BH$3:$CE$3,"&lt;"&amp;$DF31,$AD31:$BA31)+SUMIF($BH$3:$CE$3,"&gt;"&amp;$CW$4,$AD31:$BA31)),
IF(BY$3=$DF31+'Model Setup'!$L$7,SUMIF($BH$3:$CE$3,"="&amp;$DF31+'Model Setup'!$L$7,$AD31:$BA31)+'Model Setup'!$L$8*(SUMIF($BH$3:$CE$3,"&lt;"&amp;$DF31,$AD31:$BA31)+SUMIF($BH$3:$CE$3,"&gt;"&amp;$CW$4,$AD31:$BA31)),
IF(BY$3=$DF31+'Model Setup'!$M$7,SUMIF($BH$3:$CE$3,"="&amp;$DF31+'Model Setup'!$M$7,$AD31:$BA31)+'Model Setup'!$M$8*(SUMIF($BH$3:$CE$3,"&lt;"&amp;$DF31,$AD31:$BA31)+SUMIF($BH$3:$CE$3,"&gt;"&amp;$CW$4,$AD31:$BA31)),
IF(BY$3=$DF31+'Model Setup'!$N$7,SUMIF($BH$3:$CE$3,"="&amp;$DF31+'Model Setup'!$N$7,$AD31:$BA31)+'Model Setup'!$N$8*(SUMIF($BH$3:$CE$3,"&lt;"&amp;$DF31,$AD31:$BA31)+SUMIF($BH$3:$CE$3,"&gt;"&amp;$CW$4,$AD31:$BA31)),
IF(BY$3&lt;$CW$4,S31,0))))))))))))))),0)</f>
        <v>24</v>
      </c>
      <c r="BZ31" s="47">
        <f>ROUND(IF(OR(BZ$3&lt;$DF31,BZ$3&gt;$CW$4),0,
IF(BZ$3=$DF31+'Model Setup'!$B$7,SUMIF($BH$3:$CE$3,"="&amp;$DF31+'Model Setup'!$B$7,$AD31:$BA31)+'Model Setup'!$B$8*(SUMIF($BH$3:$CE$3,"&lt;"&amp;$DF31,$AD31:$BA31)+SUMIF($BH$3:$CE$3,"&gt;"&amp;$CW$4,$AD31:$BA31)),
IF(BZ$3=$DF31+'Model Setup'!$C$7,SUMIF($BH$3:$CE$3,"="&amp;$DF31+'Model Setup'!$C$7,$AD31:$BA31)+'Model Setup'!$C$8*(SUMIF($BH$3:$CE$3,"&lt;"&amp;$DF31,$AD31:$BA31)+SUMIF($BH$3:$CE$3,"&gt;"&amp;$CW$4,$AD31:$BA31)),
IF(BZ$3=$DF31+'Model Setup'!$D$7,SUMIF($BH$3:$CE$3,"="&amp;$DF31+'Model Setup'!$D$7,$AD31:$BA31)+'Model Setup'!$D$8*(SUMIF($BH$3:$CE$3,"&lt;"&amp;$DF31,$AD31:$BA31)+SUMIF($BH$3:$CE$3,"&gt;"&amp;$CW$4,$AD31:$BA31)),
IF(BZ$3=$DF31+'Model Setup'!$E$7,SUMIF($BH$3:$CE$3,"="&amp;$DF31+'Model Setup'!$E$7,$AD31:$BA31)+'Model Setup'!$E$8*(SUMIF($BH$3:$CE$3,"&lt;"&amp;$DF31,$AD31:$BA31)+SUMIF($BH$3:$CE$3,"&gt;"&amp;$CW$4,$AD31:$BA31)),
IF(BZ$3=$DF31+'Model Setup'!$F$7,SUMIF($BH$3:$CE$3,"="&amp;$DF31+'Model Setup'!$F$7,$AD31:$BA31)+'Model Setup'!$F$8*(SUMIF($BH$3:$CE$3,"&lt;"&amp;$DF31,$AD31:$BA31)+SUMIF($BH$3:$CE$3,"&gt;"&amp;$CW$4,$AD31:$BA31)),
IF(BZ$3=$DF31+'Model Setup'!$G$7,SUMIF($BH$3:$CE$3,"="&amp;$DF31+'Model Setup'!$G$7,$AD31:$BA31)+'Model Setup'!$G$8*(SUMIF($BH$3:$CE$3,"&lt;"&amp;$DF31,$AD31:$BA31)+SUMIF($BH$3:$CE$3,"&gt;"&amp;$CW$4,$AD31:$BA31)),
IF(BZ$3=$DF31+'Model Setup'!$H$7,SUMIF($BH$3:$CE$3,"="&amp;$DF31+'Model Setup'!$H$7,$AD31:$BA31)+'Model Setup'!$H$8*(SUMIF($BH$3:$CE$3,"&lt;"&amp;$DF31,$AD31:$BA31)+SUMIF($BH$3:$CE$3,"&gt;"&amp;$CW$4,$AD31:$BA31)),
IF(BZ$3=$DF31+'Model Setup'!$I$7,SUMIF($BH$3:$CE$3,"="&amp;$DF31+'Model Setup'!$I$7,$AD31:$BA31)+'Model Setup'!$I$8*(SUMIF($BH$3:$CE$3,"&lt;"&amp;$DF31,$AD31:$BA31)+SUMIF($BH$3:$CE$3,"&gt;"&amp;$CW$4,$AD31:$BA31)),
IF(BZ$3=$DF31+'Model Setup'!$J$7,SUMIF($BH$3:$CE$3,"="&amp;$DF31+'Model Setup'!$J$7,$AD31:$BA31)+'Model Setup'!$J$8*(SUMIF($BH$3:$CE$3,"&lt;"&amp;$DF31,$AD31:$BA31)+SUMIF($BH$3:$CE$3,"&gt;"&amp;$CW$4,$AD31:$BA31)),
IF(BZ$3=$DF31+'Model Setup'!$K$7,SUMIF($BH$3:$CE$3,"="&amp;$DF31+'Model Setup'!$K$7,$AD31:$BA31)+'Model Setup'!$K$8*(SUMIF($BH$3:$CE$3,"&lt;"&amp;$DF31,$AD31:$BA31)+SUMIF($BH$3:$CE$3,"&gt;"&amp;$CW$4,$AD31:$BA31)),
IF(BZ$3=$DF31+'Model Setup'!$L$7,SUMIF($BH$3:$CE$3,"="&amp;$DF31+'Model Setup'!$L$7,$AD31:$BA31)+'Model Setup'!$L$8*(SUMIF($BH$3:$CE$3,"&lt;"&amp;$DF31,$AD31:$BA31)+SUMIF($BH$3:$CE$3,"&gt;"&amp;$CW$4,$AD31:$BA31)),
IF(BZ$3=$DF31+'Model Setup'!$M$7,SUMIF($BH$3:$CE$3,"="&amp;$DF31+'Model Setup'!$M$7,$AD31:$BA31)+'Model Setup'!$M$8*(SUMIF($BH$3:$CE$3,"&lt;"&amp;$DF31,$AD31:$BA31)+SUMIF($BH$3:$CE$3,"&gt;"&amp;$CW$4,$AD31:$BA31)),
IF(BZ$3=$DF31+'Model Setup'!$N$7,SUMIF($BH$3:$CE$3,"="&amp;$DF31+'Model Setup'!$N$7,$AD31:$BA31)+'Model Setup'!$N$8*(SUMIF($BH$3:$CE$3,"&lt;"&amp;$DF31,$AD31:$BA31)+SUMIF($BH$3:$CE$3,"&gt;"&amp;$CW$4,$AD31:$BA31)),
IF(BZ$3&lt;$CW$4,T31,0))))))))))))))),0)</f>
        <v>26</v>
      </c>
      <c r="CA31" s="47">
        <f>ROUND(IF(OR(CA$3&lt;$DF31,CA$3&gt;$CW$4),0,
IF(CA$3=$DF31+'Model Setup'!$B$7,SUMIF($BH$3:$CE$3,"="&amp;$DF31+'Model Setup'!$B$7,$AD31:$BA31)+'Model Setup'!$B$8*(SUMIF($BH$3:$CE$3,"&lt;"&amp;$DF31,$AD31:$BA31)+SUMIF($BH$3:$CE$3,"&gt;"&amp;$CW$4,$AD31:$BA31)),
IF(CA$3=$DF31+'Model Setup'!$C$7,SUMIF($BH$3:$CE$3,"="&amp;$DF31+'Model Setup'!$C$7,$AD31:$BA31)+'Model Setup'!$C$8*(SUMIF($BH$3:$CE$3,"&lt;"&amp;$DF31,$AD31:$BA31)+SUMIF($BH$3:$CE$3,"&gt;"&amp;$CW$4,$AD31:$BA31)),
IF(CA$3=$DF31+'Model Setup'!$D$7,SUMIF($BH$3:$CE$3,"="&amp;$DF31+'Model Setup'!$D$7,$AD31:$BA31)+'Model Setup'!$D$8*(SUMIF($BH$3:$CE$3,"&lt;"&amp;$DF31,$AD31:$BA31)+SUMIF($BH$3:$CE$3,"&gt;"&amp;$CW$4,$AD31:$BA31)),
IF(CA$3=$DF31+'Model Setup'!$E$7,SUMIF($BH$3:$CE$3,"="&amp;$DF31+'Model Setup'!$E$7,$AD31:$BA31)+'Model Setup'!$E$8*(SUMIF($BH$3:$CE$3,"&lt;"&amp;$DF31,$AD31:$BA31)+SUMIF($BH$3:$CE$3,"&gt;"&amp;$CW$4,$AD31:$BA31)),
IF(CA$3=$DF31+'Model Setup'!$F$7,SUMIF($BH$3:$CE$3,"="&amp;$DF31+'Model Setup'!$F$7,$AD31:$BA31)+'Model Setup'!$F$8*(SUMIF($BH$3:$CE$3,"&lt;"&amp;$DF31,$AD31:$BA31)+SUMIF($BH$3:$CE$3,"&gt;"&amp;$CW$4,$AD31:$BA31)),
IF(CA$3=$DF31+'Model Setup'!$G$7,SUMIF($BH$3:$CE$3,"="&amp;$DF31+'Model Setup'!$G$7,$AD31:$BA31)+'Model Setup'!$G$8*(SUMIF($BH$3:$CE$3,"&lt;"&amp;$DF31,$AD31:$BA31)+SUMIF($BH$3:$CE$3,"&gt;"&amp;$CW$4,$AD31:$BA31)),
IF(CA$3=$DF31+'Model Setup'!$H$7,SUMIF($BH$3:$CE$3,"="&amp;$DF31+'Model Setup'!$H$7,$AD31:$BA31)+'Model Setup'!$H$8*(SUMIF($BH$3:$CE$3,"&lt;"&amp;$DF31,$AD31:$BA31)+SUMIF($BH$3:$CE$3,"&gt;"&amp;$CW$4,$AD31:$BA31)),
IF(CA$3=$DF31+'Model Setup'!$I$7,SUMIF($BH$3:$CE$3,"="&amp;$DF31+'Model Setup'!$I$7,$AD31:$BA31)+'Model Setup'!$I$8*(SUMIF($BH$3:$CE$3,"&lt;"&amp;$DF31,$AD31:$BA31)+SUMIF($BH$3:$CE$3,"&gt;"&amp;$CW$4,$AD31:$BA31)),
IF(CA$3=$DF31+'Model Setup'!$J$7,SUMIF($BH$3:$CE$3,"="&amp;$DF31+'Model Setup'!$J$7,$AD31:$BA31)+'Model Setup'!$J$8*(SUMIF($BH$3:$CE$3,"&lt;"&amp;$DF31,$AD31:$BA31)+SUMIF($BH$3:$CE$3,"&gt;"&amp;$CW$4,$AD31:$BA31)),
IF(CA$3=$DF31+'Model Setup'!$K$7,SUMIF($BH$3:$CE$3,"="&amp;$DF31+'Model Setup'!$K$7,$AD31:$BA31)+'Model Setup'!$K$8*(SUMIF($BH$3:$CE$3,"&lt;"&amp;$DF31,$AD31:$BA31)+SUMIF($BH$3:$CE$3,"&gt;"&amp;$CW$4,$AD31:$BA31)),
IF(CA$3=$DF31+'Model Setup'!$L$7,SUMIF($BH$3:$CE$3,"="&amp;$DF31+'Model Setup'!$L$7,$AD31:$BA31)+'Model Setup'!$L$8*(SUMIF($BH$3:$CE$3,"&lt;"&amp;$DF31,$AD31:$BA31)+SUMIF($BH$3:$CE$3,"&gt;"&amp;$CW$4,$AD31:$BA31)),
IF(CA$3=$DF31+'Model Setup'!$M$7,SUMIF($BH$3:$CE$3,"="&amp;$DF31+'Model Setup'!$M$7,$AD31:$BA31)+'Model Setup'!$M$8*(SUMIF($BH$3:$CE$3,"&lt;"&amp;$DF31,$AD31:$BA31)+SUMIF($BH$3:$CE$3,"&gt;"&amp;$CW$4,$AD31:$BA31)),
IF(CA$3=$DF31+'Model Setup'!$N$7,SUMIF($BH$3:$CE$3,"="&amp;$DF31+'Model Setup'!$N$7,$AD31:$BA31)+'Model Setup'!$N$8*(SUMIF($BH$3:$CE$3,"&lt;"&amp;$DF31,$AD31:$BA31)+SUMIF($BH$3:$CE$3,"&gt;"&amp;$CW$4,$AD31:$BA31)),
IF(CA$3&lt;$CW$4,U31,0))))))))))))))),0)</f>
        <v>0</v>
      </c>
      <c r="CB31" s="47">
        <f>ROUND(IF(OR(CB$3&lt;$DF31,CB$3&gt;$CW$4),0,
IF(CB$3=$DF31+'Model Setup'!$B$7,SUMIF($BH$3:$CE$3,"="&amp;$DF31+'Model Setup'!$B$7,$AD31:$BA31)+'Model Setup'!$B$8*(SUMIF($BH$3:$CE$3,"&lt;"&amp;$DF31,$AD31:$BA31)+SUMIF($BH$3:$CE$3,"&gt;"&amp;$CW$4,$AD31:$BA31)),
IF(CB$3=$DF31+'Model Setup'!$C$7,SUMIF($BH$3:$CE$3,"="&amp;$DF31+'Model Setup'!$C$7,$AD31:$BA31)+'Model Setup'!$C$8*(SUMIF($BH$3:$CE$3,"&lt;"&amp;$DF31,$AD31:$BA31)+SUMIF($BH$3:$CE$3,"&gt;"&amp;$CW$4,$AD31:$BA31)),
IF(CB$3=$DF31+'Model Setup'!$D$7,SUMIF($BH$3:$CE$3,"="&amp;$DF31+'Model Setup'!$D$7,$AD31:$BA31)+'Model Setup'!$D$8*(SUMIF($BH$3:$CE$3,"&lt;"&amp;$DF31,$AD31:$BA31)+SUMIF($BH$3:$CE$3,"&gt;"&amp;$CW$4,$AD31:$BA31)),
IF(CB$3=$DF31+'Model Setup'!$E$7,SUMIF($BH$3:$CE$3,"="&amp;$DF31+'Model Setup'!$E$7,$AD31:$BA31)+'Model Setup'!$E$8*(SUMIF($BH$3:$CE$3,"&lt;"&amp;$DF31,$AD31:$BA31)+SUMIF($BH$3:$CE$3,"&gt;"&amp;$CW$4,$AD31:$BA31)),
IF(CB$3=$DF31+'Model Setup'!$F$7,SUMIF($BH$3:$CE$3,"="&amp;$DF31+'Model Setup'!$F$7,$AD31:$BA31)+'Model Setup'!$F$8*(SUMIF($BH$3:$CE$3,"&lt;"&amp;$DF31,$AD31:$BA31)+SUMIF($BH$3:$CE$3,"&gt;"&amp;$CW$4,$AD31:$BA31)),
IF(CB$3=$DF31+'Model Setup'!$G$7,SUMIF($BH$3:$CE$3,"="&amp;$DF31+'Model Setup'!$G$7,$AD31:$BA31)+'Model Setup'!$G$8*(SUMIF($BH$3:$CE$3,"&lt;"&amp;$DF31,$AD31:$BA31)+SUMIF($BH$3:$CE$3,"&gt;"&amp;$CW$4,$AD31:$BA31)),
IF(CB$3=$DF31+'Model Setup'!$H$7,SUMIF($BH$3:$CE$3,"="&amp;$DF31+'Model Setup'!$H$7,$AD31:$BA31)+'Model Setup'!$H$8*(SUMIF($BH$3:$CE$3,"&lt;"&amp;$DF31,$AD31:$BA31)+SUMIF($BH$3:$CE$3,"&gt;"&amp;$CW$4,$AD31:$BA31)),
IF(CB$3=$DF31+'Model Setup'!$I$7,SUMIF($BH$3:$CE$3,"="&amp;$DF31+'Model Setup'!$I$7,$AD31:$BA31)+'Model Setup'!$I$8*(SUMIF($BH$3:$CE$3,"&lt;"&amp;$DF31,$AD31:$BA31)+SUMIF($BH$3:$CE$3,"&gt;"&amp;$CW$4,$AD31:$BA31)),
IF(CB$3=$DF31+'Model Setup'!$J$7,SUMIF($BH$3:$CE$3,"="&amp;$DF31+'Model Setup'!$J$7,$AD31:$BA31)+'Model Setup'!$J$8*(SUMIF($BH$3:$CE$3,"&lt;"&amp;$DF31,$AD31:$BA31)+SUMIF($BH$3:$CE$3,"&gt;"&amp;$CW$4,$AD31:$BA31)),
IF(CB$3=$DF31+'Model Setup'!$K$7,SUMIF($BH$3:$CE$3,"="&amp;$DF31+'Model Setup'!$K$7,$AD31:$BA31)+'Model Setup'!$K$8*(SUMIF($BH$3:$CE$3,"&lt;"&amp;$DF31,$AD31:$BA31)+SUMIF($BH$3:$CE$3,"&gt;"&amp;$CW$4,$AD31:$BA31)),
IF(CB$3=$DF31+'Model Setup'!$L$7,SUMIF($BH$3:$CE$3,"="&amp;$DF31+'Model Setup'!$L$7,$AD31:$BA31)+'Model Setup'!$L$8*(SUMIF($BH$3:$CE$3,"&lt;"&amp;$DF31,$AD31:$BA31)+SUMIF($BH$3:$CE$3,"&gt;"&amp;$CW$4,$AD31:$BA31)),
IF(CB$3=$DF31+'Model Setup'!$M$7,SUMIF($BH$3:$CE$3,"="&amp;$DF31+'Model Setup'!$M$7,$AD31:$BA31)+'Model Setup'!$M$8*(SUMIF($BH$3:$CE$3,"&lt;"&amp;$DF31,$AD31:$BA31)+SUMIF($BH$3:$CE$3,"&gt;"&amp;$CW$4,$AD31:$BA31)),
IF(CB$3=$DF31+'Model Setup'!$N$7,SUMIF($BH$3:$CE$3,"="&amp;$DF31+'Model Setup'!$N$7,$AD31:$BA31)+'Model Setup'!$N$8*(SUMIF($BH$3:$CE$3,"&lt;"&amp;$DF31,$AD31:$BA31)+SUMIF($BH$3:$CE$3,"&gt;"&amp;$CW$4,$AD31:$BA31)),
IF(CB$3&lt;$CW$4,V31,0))))))))))))))),0)</f>
        <v>0</v>
      </c>
      <c r="CC31" s="47">
        <f>ROUND(IF(OR(CC$3&lt;$DF31,CC$3&gt;$CW$4),0,
IF(CC$3=$DF31+'Model Setup'!$B$7,SUMIF($BH$3:$CE$3,"="&amp;$DF31+'Model Setup'!$B$7,$AD31:$BA31)+'Model Setup'!$B$8*(SUMIF($BH$3:$CE$3,"&lt;"&amp;$DF31,$AD31:$BA31)+SUMIF($BH$3:$CE$3,"&gt;"&amp;$CW$4,$AD31:$BA31)),
IF(CC$3=$DF31+'Model Setup'!$C$7,SUMIF($BH$3:$CE$3,"="&amp;$DF31+'Model Setup'!$C$7,$AD31:$BA31)+'Model Setup'!$C$8*(SUMIF($BH$3:$CE$3,"&lt;"&amp;$DF31,$AD31:$BA31)+SUMIF($BH$3:$CE$3,"&gt;"&amp;$CW$4,$AD31:$BA31)),
IF(CC$3=$DF31+'Model Setup'!$D$7,SUMIF($BH$3:$CE$3,"="&amp;$DF31+'Model Setup'!$D$7,$AD31:$BA31)+'Model Setup'!$D$8*(SUMIF($BH$3:$CE$3,"&lt;"&amp;$DF31,$AD31:$BA31)+SUMIF($BH$3:$CE$3,"&gt;"&amp;$CW$4,$AD31:$BA31)),
IF(CC$3=$DF31+'Model Setup'!$E$7,SUMIF($BH$3:$CE$3,"="&amp;$DF31+'Model Setup'!$E$7,$AD31:$BA31)+'Model Setup'!$E$8*(SUMIF($BH$3:$CE$3,"&lt;"&amp;$DF31,$AD31:$BA31)+SUMIF($BH$3:$CE$3,"&gt;"&amp;$CW$4,$AD31:$BA31)),
IF(CC$3=$DF31+'Model Setup'!$F$7,SUMIF($BH$3:$CE$3,"="&amp;$DF31+'Model Setup'!$F$7,$AD31:$BA31)+'Model Setup'!$F$8*(SUMIF($BH$3:$CE$3,"&lt;"&amp;$DF31,$AD31:$BA31)+SUMIF($BH$3:$CE$3,"&gt;"&amp;$CW$4,$AD31:$BA31)),
IF(CC$3=$DF31+'Model Setup'!$G$7,SUMIF($BH$3:$CE$3,"="&amp;$DF31+'Model Setup'!$G$7,$AD31:$BA31)+'Model Setup'!$G$8*(SUMIF($BH$3:$CE$3,"&lt;"&amp;$DF31,$AD31:$BA31)+SUMIF($BH$3:$CE$3,"&gt;"&amp;$CW$4,$AD31:$BA31)),
IF(CC$3=$DF31+'Model Setup'!$H$7,SUMIF($BH$3:$CE$3,"="&amp;$DF31+'Model Setup'!$H$7,$AD31:$BA31)+'Model Setup'!$H$8*(SUMIF($BH$3:$CE$3,"&lt;"&amp;$DF31,$AD31:$BA31)+SUMIF($BH$3:$CE$3,"&gt;"&amp;$CW$4,$AD31:$BA31)),
IF(CC$3=$DF31+'Model Setup'!$I$7,SUMIF($BH$3:$CE$3,"="&amp;$DF31+'Model Setup'!$I$7,$AD31:$BA31)+'Model Setup'!$I$8*(SUMIF($BH$3:$CE$3,"&lt;"&amp;$DF31,$AD31:$BA31)+SUMIF($BH$3:$CE$3,"&gt;"&amp;$CW$4,$AD31:$BA31)),
IF(CC$3=$DF31+'Model Setup'!$J$7,SUMIF($BH$3:$CE$3,"="&amp;$DF31+'Model Setup'!$J$7,$AD31:$BA31)+'Model Setup'!$J$8*(SUMIF($BH$3:$CE$3,"&lt;"&amp;$DF31,$AD31:$BA31)+SUMIF($BH$3:$CE$3,"&gt;"&amp;$CW$4,$AD31:$BA31)),
IF(CC$3=$DF31+'Model Setup'!$K$7,SUMIF($BH$3:$CE$3,"="&amp;$DF31+'Model Setup'!$K$7,$AD31:$BA31)+'Model Setup'!$K$8*(SUMIF($BH$3:$CE$3,"&lt;"&amp;$DF31,$AD31:$BA31)+SUMIF($BH$3:$CE$3,"&gt;"&amp;$CW$4,$AD31:$BA31)),
IF(CC$3=$DF31+'Model Setup'!$L$7,SUMIF($BH$3:$CE$3,"="&amp;$DF31+'Model Setup'!$L$7,$AD31:$BA31)+'Model Setup'!$L$8*(SUMIF($BH$3:$CE$3,"&lt;"&amp;$DF31,$AD31:$BA31)+SUMIF($BH$3:$CE$3,"&gt;"&amp;$CW$4,$AD31:$BA31)),
IF(CC$3=$DF31+'Model Setup'!$M$7,SUMIF($BH$3:$CE$3,"="&amp;$DF31+'Model Setup'!$M$7,$AD31:$BA31)+'Model Setup'!$M$8*(SUMIF($BH$3:$CE$3,"&lt;"&amp;$DF31,$AD31:$BA31)+SUMIF($BH$3:$CE$3,"&gt;"&amp;$CW$4,$AD31:$BA31)),
IF(CC$3=$DF31+'Model Setup'!$N$7,SUMIF($BH$3:$CE$3,"="&amp;$DF31+'Model Setup'!$N$7,$AD31:$BA31)+'Model Setup'!$N$8*(SUMIF($BH$3:$CE$3,"&lt;"&amp;$DF31,$AD31:$BA31)+SUMIF($BH$3:$CE$3,"&gt;"&amp;$CW$4,$AD31:$BA31)),
IF(CC$3&lt;$CW$4,W31,0))))))))))))))),0)</f>
        <v>0</v>
      </c>
      <c r="CD31" s="47">
        <f>ROUND(IF(OR(CD$3&lt;$DF31,CD$3&gt;$CW$4),0,
IF(CD$3=$DF31+'Model Setup'!$B$7,SUMIF($BH$3:$CE$3,"="&amp;$DF31+'Model Setup'!$B$7,$AD31:$BA31)+'Model Setup'!$B$8*(SUMIF($BH$3:$CE$3,"&lt;"&amp;$DF31,$AD31:$BA31)+SUMIF($BH$3:$CE$3,"&gt;"&amp;$CW$4,$AD31:$BA31)),
IF(CD$3=$DF31+'Model Setup'!$C$7,SUMIF($BH$3:$CE$3,"="&amp;$DF31+'Model Setup'!$C$7,$AD31:$BA31)+'Model Setup'!$C$8*(SUMIF($BH$3:$CE$3,"&lt;"&amp;$DF31,$AD31:$BA31)+SUMIF($BH$3:$CE$3,"&gt;"&amp;$CW$4,$AD31:$BA31)),
IF(CD$3=$DF31+'Model Setup'!$D$7,SUMIF($BH$3:$CE$3,"="&amp;$DF31+'Model Setup'!$D$7,$AD31:$BA31)+'Model Setup'!$D$8*(SUMIF($BH$3:$CE$3,"&lt;"&amp;$DF31,$AD31:$BA31)+SUMIF($BH$3:$CE$3,"&gt;"&amp;$CW$4,$AD31:$BA31)),
IF(CD$3=$DF31+'Model Setup'!$E$7,SUMIF($BH$3:$CE$3,"="&amp;$DF31+'Model Setup'!$E$7,$AD31:$BA31)+'Model Setup'!$E$8*(SUMIF($BH$3:$CE$3,"&lt;"&amp;$DF31,$AD31:$BA31)+SUMIF($BH$3:$CE$3,"&gt;"&amp;$CW$4,$AD31:$BA31)),
IF(CD$3=$DF31+'Model Setup'!$F$7,SUMIF($BH$3:$CE$3,"="&amp;$DF31+'Model Setup'!$F$7,$AD31:$BA31)+'Model Setup'!$F$8*(SUMIF($BH$3:$CE$3,"&lt;"&amp;$DF31,$AD31:$BA31)+SUMIF($BH$3:$CE$3,"&gt;"&amp;$CW$4,$AD31:$BA31)),
IF(CD$3=$DF31+'Model Setup'!$G$7,SUMIF($BH$3:$CE$3,"="&amp;$DF31+'Model Setup'!$G$7,$AD31:$BA31)+'Model Setup'!$G$8*(SUMIF($BH$3:$CE$3,"&lt;"&amp;$DF31,$AD31:$BA31)+SUMIF($BH$3:$CE$3,"&gt;"&amp;$CW$4,$AD31:$BA31)),
IF(CD$3=$DF31+'Model Setup'!$H$7,SUMIF($BH$3:$CE$3,"="&amp;$DF31+'Model Setup'!$H$7,$AD31:$BA31)+'Model Setup'!$H$8*(SUMIF($BH$3:$CE$3,"&lt;"&amp;$DF31,$AD31:$BA31)+SUMIF($BH$3:$CE$3,"&gt;"&amp;$CW$4,$AD31:$BA31)),
IF(CD$3=$DF31+'Model Setup'!$I$7,SUMIF($BH$3:$CE$3,"="&amp;$DF31+'Model Setup'!$I$7,$AD31:$BA31)+'Model Setup'!$I$8*(SUMIF($BH$3:$CE$3,"&lt;"&amp;$DF31,$AD31:$BA31)+SUMIF($BH$3:$CE$3,"&gt;"&amp;$CW$4,$AD31:$BA31)),
IF(CD$3=$DF31+'Model Setup'!$J$7,SUMIF($BH$3:$CE$3,"="&amp;$DF31+'Model Setup'!$J$7,$AD31:$BA31)+'Model Setup'!$J$8*(SUMIF($BH$3:$CE$3,"&lt;"&amp;$DF31,$AD31:$BA31)+SUMIF($BH$3:$CE$3,"&gt;"&amp;$CW$4,$AD31:$BA31)),
IF(CD$3=$DF31+'Model Setup'!$K$7,SUMIF($BH$3:$CE$3,"="&amp;$DF31+'Model Setup'!$K$7,$AD31:$BA31)+'Model Setup'!$K$8*(SUMIF($BH$3:$CE$3,"&lt;"&amp;$DF31,$AD31:$BA31)+SUMIF($BH$3:$CE$3,"&gt;"&amp;$CW$4,$AD31:$BA31)),
IF(CD$3=$DF31+'Model Setup'!$L$7,SUMIF($BH$3:$CE$3,"="&amp;$DF31+'Model Setup'!$L$7,$AD31:$BA31)+'Model Setup'!$L$8*(SUMIF($BH$3:$CE$3,"&lt;"&amp;$DF31,$AD31:$BA31)+SUMIF($BH$3:$CE$3,"&gt;"&amp;$CW$4,$AD31:$BA31)),
IF(CD$3=$DF31+'Model Setup'!$M$7,SUMIF($BH$3:$CE$3,"="&amp;$DF31+'Model Setup'!$M$7,$AD31:$BA31)+'Model Setup'!$M$8*(SUMIF($BH$3:$CE$3,"&lt;"&amp;$DF31,$AD31:$BA31)+SUMIF($BH$3:$CE$3,"&gt;"&amp;$CW$4,$AD31:$BA31)),
IF(CD$3=$DF31+'Model Setup'!$N$7,SUMIF($BH$3:$CE$3,"="&amp;$DF31+'Model Setup'!$N$7,$AD31:$BA31)+'Model Setup'!$N$8*(SUMIF($BH$3:$CE$3,"&lt;"&amp;$DF31,$AD31:$BA31)+SUMIF($BH$3:$CE$3,"&gt;"&amp;$CW$4,$AD31:$BA31)),
IF(CD$3&lt;$CW$4,X31,0))))))))))))))),0)</f>
        <v>0</v>
      </c>
      <c r="CE31" s="47">
        <f>ROUND(IF(OR(CE$3&lt;$DF31,CE$3&gt;$CW$4),0,
IF(CE$3=$DF31+'Model Setup'!$B$7,SUMIF($BH$3:$CE$3,"="&amp;$DF31+'Model Setup'!$B$7,$AD31:$BA31)+'Model Setup'!$B$8*(SUMIF($BH$3:$CE$3,"&lt;"&amp;$DF31,$AD31:$BA31)+SUMIF($BH$3:$CE$3,"&gt;"&amp;$CW$4,$AD31:$BA31)),
IF(CE$3=$DF31+'Model Setup'!$C$7,SUMIF($BH$3:$CE$3,"="&amp;$DF31+'Model Setup'!$C$7,$AD31:$BA31)+'Model Setup'!$C$8*(SUMIF($BH$3:$CE$3,"&lt;"&amp;$DF31,$AD31:$BA31)+SUMIF($BH$3:$CE$3,"&gt;"&amp;$CW$4,$AD31:$BA31)),
IF(CE$3=$DF31+'Model Setup'!$D$7,SUMIF($BH$3:$CE$3,"="&amp;$DF31+'Model Setup'!$D$7,$AD31:$BA31)+'Model Setup'!$D$8*(SUMIF($BH$3:$CE$3,"&lt;"&amp;$DF31,$AD31:$BA31)+SUMIF($BH$3:$CE$3,"&gt;"&amp;$CW$4,$AD31:$BA31)),
IF(CE$3=$DF31+'Model Setup'!$E$7,SUMIF($BH$3:$CE$3,"="&amp;$DF31+'Model Setup'!$E$7,$AD31:$BA31)+'Model Setup'!$E$8*(SUMIF($BH$3:$CE$3,"&lt;"&amp;$DF31,$AD31:$BA31)+SUMIF($BH$3:$CE$3,"&gt;"&amp;$CW$4,$AD31:$BA31)),
IF(CE$3=$DF31+'Model Setup'!$F$7,SUMIF($BH$3:$CE$3,"="&amp;$DF31+'Model Setup'!$F$7,$AD31:$BA31)+'Model Setup'!$F$8*(SUMIF($BH$3:$CE$3,"&lt;"&amp;$DF31,$AD31:$BA31)+SUMIF($BH$3:$CE$3,"&gt;"&amp;$CW$4,$AD31:$BA31)),
IF(CE$3=$DF31+'Model Setup'!$G$7,SUMIF($BH$3:$CE$3,"="&amp;$DF31+'Model Setup'!$G$7,$AD31:$BA31)+'Model Setup'!$G$8*(SUMIF($BH$3:$CE$3,"&lt;"&amp;$DF31,$AD31:$BA31)+SUMIF($BH$3:$CE$3,"&gt;"&amp;$CW$4,$AD31:$BA31)),
IF(CE$3=$DF31+'Model Setup'!$H$7,SUMIF($BH$3:$CE$3,"="&amp;$DF31+'Model Setup'!$H$7,$AD31:$BA31)+'Model Setup'!$H$8*(SUMIF($BH$3:$CE$3,"&lt;"&amp;$DF31,$AD31:$BA31)+SUMIF($BH$3:$CE$3,"&gt;"&amp;$CW$4,$AD31:$BA31)),
IF(CE$3=$DF31+'Model Setup'!$I$7,SUMIF($BH$3:$CE$3,"="&amp;$DF31+'Model Setup'!$I$7,$AD31:$BA31)+'Model Setup'!$I$8*(SUMIF($BH$3:$CE$3,"&lt;"&amp;$DF31,$AD31:$BA31)+SUMIF($BH$3:$CE$3,"&gt;"&amp;$CW$4,$AD31:$BA31)),
IF(CE$3=$DF31+'Model Setup'!$J$7,SUMIF($BH$3:$CE$3,"="&amp;$DF31+'Model Setup'!$J$7,$AD31:$BA31)+'Model Setup'!$J$8*(SUMIF($BH$3:$CE$3,"&lt;"&amp;$DF31,$AD31:$BA31)+SUMIF($BH$3:$CE$3,"&gt;"&amp;$CW$4,$AD31:$BA31)),
IF(CE$3=$DF31+'Model Setup'!$K$7,SUMIF($BH$3:$CE$3,"="&amp;$DF31+'Model Setup'!$K$7,$AD31:$BA31)+'Model Setup'!$K$8*(SUMIF($BH$3:$CE$3,"&lt;"&amp;$DF31,$AD31:$BA31)+SUMIF($BH$3:$CE$3,"&gt;"&amp;$CW$4,$AD31:$BA31)),
IF(CE$3=$DF31+'Model Setup'!$L$7,SUMIF($BH$3:$CE$3,"="&amp;$DF31+'Model Setup'!$L$7,$AD31:$BA31)+'Model Setup'!$L$8*(SUMIF($BH$3:$CE$3,"&lt;"&amp;$DF31,$AD31:$BA31)+SUMIF($BH$3:$CE$3,"&gt;"&amp;$CW$4,$AD31:$BA31)),
IF(CE$3=$DF31+'Model Setup'!$M$7,SUMIF($BH$3:$CE$3,"="&amp;$DF31+'Model Setup'!$M$7,$AD31:$BA31)+'Model Setup'!$M$8*(SUMIF($BH$3:$CE$3,"&lt;"&amp;$DF31,$AD31:$BA31)+SUMIF($BH$3:$CE$3,"&gt;"&amp;$CW$4,$AD31:$BA31)),
IF(CE$3=$DF31+'Model Setup'!$N$7,SUMIF($BH$3:$CE$3,"="&amp;$DF31+'Model Setup'!$N$7,$AD31:$BA31)+'Model Setup'!$N$8*(SUMIF($BH$3:$CE$3,"&lt;"&amp;$DF31,$AD31:$BA31)+SUMIF($BH$3:$CE$3,"&gt;"&amp;$CW$4,$AD31:$BA31)),
IF(CE$3&lt;$CW$4,Y31,0))))))))))))))),0)</f>
        <v>0</v>
      </c>
      <c r="CF31" s="47">
        <f t="shared" si="3"/>
        <v>152</v>
      </c>
      <c r="CG31" s="47">
        <f t="shared" si="4"/>
        <v>-4</v>
      </c>
      <c r="CI31" s="10" t="s">
        <v>46</v>
      </c>
      <c r="CJ31" s="126">
        <f t="shared" si="9"/>
        <v>0</v>
      </c>
      <c r="CK31" s="126">
        <f t="shared" si="10"/>
        <v>0</v>
      </c>
      <c r="CL31" s="126">
        <f t="shared" si="11"/>
        <v>6</v>
      </c>
      <c r="CM31" s="126">
        <f t="shared" si="12"/>
        <v>11</v>
      </c>
      <c r="CN31" s="126">
        <f t="shared" si="13"/>
        <v>22</v>
      </c>
      <c r="CO31" s="126">
        <f t="shared" si="14"/>
        <v>19</v>
      </c>
      <c r="CP31" s="126">
        <f t="shared" si="15"/>
        <v>10</v>
      </c>
      <c r="CQ31" s="126">
        <f t="shared" si="16"/>
        <v>5</v>
      </c>
      <c r="CR31" s="126">
        <f t="shared" si="17"/>
        <v>6</v>
      </c>
      <c r="CS31" s="126">
        <f t="shared" si="18"/>
        <v>8</v>
      </c>
      <c r="CT31" s="126">
        <f t="shared" si="19"/>
        <v>7</v>
      </c>
      <c r="CU31" s="126">
        <f t="shared" si="20"/>
        <v>8</v>
      </c>
      <c r="CV31" s="126">
        <f t="shared" si="21"/>
        <v>20</v>
      </c>
      <c r="CW31" s="126">
        <f t="shared" si="22"/>
        <v>20</v>
      </c>
      <c r="CX31" s="126">
        <f t="shared" si="23"/>
        <v>14</v>
      </c>
      <c r="CY31" s="126">
        <f t="shared" si="24"/>
        <v>0</v>
      </c>
      <c r="CZ31" s="47">
        <f t="shared" si="7"/>
        <v>142</v>
      </c>
      <c r="DC31" s="93" t="s">
        <v>46</v>
      </c>
      <c r="DD31" s="89">
        <f>FTC!E29</f>
        <v>0.29166666666666669</v>
      </c>
      <c r="DE31" s="89">
        <f>FTC!F29</f>
        <v>0.83333333333333337</v>
      </c>
      <c r="DF31" s="90">
        <f t="shared" si="25"/>
        <v>7</v>
      </c>
      <c r="DG31" s="91">
        <f t="shared" si="26"/>
        <v>20</v>
      </c>
      <c r="DH31" s="91">
        <f t="shared" si="27"/>
        <v>13</v>
      </c>
    </row>
    <row r="32" spans="1:112" x14ac:dyDescent="0.35">
      <c r="A32" s="43" t="s">
        <v>47</v>
      </c>
      <c r="B32" s="47">
        <v>5</v>
      </c>
      <c r="C32" s="47">
        <v>1</v>
      </c>
      <c r="D32" s="47">
        <v>5</v>
      </c>
      <c r="E32" s="47">
        <v>9</v>
      </c>
      <c r="F32" s="47">
        <v>23</v>
      </c>
      <c r="G32" s="47">
        <v>34</v>
      </c>
      <c r="H32" s="47">
        <v>128</v>
      </c>
      <c r="I32" s="47">
        <v>124</v>
      </c>
      <c r="J32" s="47">
        <v>115</v>
      </c>
      <c r="K32" s="47">
        <v>108</v>
      </c>
      <c r="L32" s="47">
        <v>113</v>
      </c>
      <c r="M32" s="47">
        <v>85</v>
      </c>
      <c r="N32" s="47">
        <v>56</v>
      </c>
      <c r="O32" s="47">
        <v>61</v>
      </c>
      <c r="P32" s="47">
        <v>43</v>
      </c>
      <c r="Q32" s="47">
        <v>19</v>
      </c>
      <c r="R32" s="47">
        <v>34</v>
      </c>
      <c r="S32" s="47">
        <v>20</v>
      </c>
      <c r="T32" s="47">
        <v>11</v>
      </c>
      <c r="U32" s="47">
        <v>12</v>
      </c>
      <c r="V32" s="47">
        <v>3</v>
      </c>
      <c r="W32" s="47">
        <v>10</v>
      </c>
      <c r="X32" s="47">
        <v>11</v>
      </c>
      <c r="Y32" s="47">
        <v>2</v>
      </c>
      <c r="Z32" s="47">
        <f t="shared" si="0"/>
        <v>1032</v>
      </c>
      <c r="AC32" s="43" t="s">
        <v>47</v>
      </c>
      <c r="AD32" s="47">
        <f>ROUND(IF(AD$3&lt;$DF32,0,
IF(AD$3=$DF32+'Model Setup'!$B$7,SUMIF($AD$3:$BA$3,"="&amp;$DF32+'Model Setup'!$B$7,$B32:$Y32)+'Model Setup'!$B$8*(SUMIF($AD$3:$BA$3,"&lt;"&amp;$DF32,$B32:$Y32)+SUMIF($AD$3:$BA$3,"&gt;="&amp;$DG32,$B32:$Y32)),
IF(AD$3=$DF32+'Model Setup'!$C$7,SUMIF($AD$3:$BA$3,"="&amp;$DF32+'Model Setup'!$C$7,$B32:$Y32)+'Model Setup'!$C$8*(SUMIF($AD$3:$BA$3,"&lt;"&amp;$DF32,$B32:$Y32)+SUMIF($AD$3:$BA$3,"&gt;="&amp;$DG32,$B32:$Y32)),
IF(AD$3=$DF32+'Model Setup'!$D$7,SUMIF($AD$3:$BA$3,"="&amp;$DF32+'Model Setup'!$D$7,$B32:$Y32)+'Model Setup'!$D$8*(SUMIF($AD$3:$BA$3,"&lt;"&amp;$DF32,$B32:$Y32)+SUMIF($AD$3:$BA$3,"&gt;="&amp;$DG32,$B32:$Y32)),
IF(AD$3=$DF32+'Model Setup'!$E$7,SUMIF($AD$3:$BA$3,"="&amp;$DF32+'Model Setup'!$E$7,$B32:$Y32)+'Model Setup'!$E$8*(SUMIF($AD$3:$BA$3,"&lt;"&amp;$DF32,$B32:$Y32)+SUMIF($AD$3:$BA$3,"&gt;="&amp;$DG32,$B32:$Y32)),
IF(AD$3=$DF32+'Model Setup'!$F$7,SUMIF($AD$3:$BA$3,"="&amp;$DF32+'Model Setup'!$F$7,$B32:$Y32)+'Model Setup'!$F$8*(SUMIF($AD$3:$BA$3,"&lt;"&amp;$DF32,$B32:$Y32)+SUMIF($AD$3:$BA$3,"&gt;="&amp;$DG32,$B32:$Y32)),
IF(AD$3=$DF32+'Model Setup'!$G$7,SUMIF($AD$3:$BA$3,"="&amp;$DF32+'Model Setup'!$G$7,$B32:$Y32)+'Model Setup'!$G$8*(SUMIF($AD$3:$BA$3,"&lt;"&amp;$DF32,$B32:$Y32)+SUMIF($AD$3:$BA$3,"&gt;="&amp;$DG32,$B32:$Y32)),
IF(AD$3=$DF32+'Model Setup'!$H$7,SUMIF($AD$3:$BA$3,"="&amp;$DF32+'Model Setup'!$H$7,$B32:$Y32)+'Model Setup'!$H$8*(SUMIF($AD$3:$BA$3,"&lt;"&amp;$DF32,$B32:$Y32)+SUMIF($AD$3:$BA$3,"&gt;="&amp;$DG32,$B32:$Y32)),
IF(AD$3=$DF32+'Model Setup'!$I$7,SUMIF($AD$3:$BA$3,"="&amp;$DF32+'Model Setup'!$I$7,$B32:$Y32)+'Model Setup'!$I$8*(SUMIF($AD$3:$BA$3,"&lt;"&amp;$DF32,$B32:$Y32)+SUMIF($AD$3:$BA$3,"&gt;="&amp;$DG32,$B32:$Y32)),
IF(AD$3=$DF32+'Model Setup'!$J$7,SUMIF($AD$3:$BA$3,"="&amp;$DF32+'Model Setup'!$J$7,$B32:$Y32)+'Model Setup'!$J$8*(SUMIF($AD$3:$BA$3,"&lt;"&amp;$DF32,$B32:$Y32)+SUMIF($AD$3:$BA$3,"&gt;="&amp;$DG32,$B32:$Y32)),
IF(AD$3=$DF32+'Model Setup'!$K$7,SUMIF($AD$3:$BA$3,"="&amp;$DF32+'Model Setup'!$K$7,$B32:$Y32)+'Model Setup'!$K$8*(SUMIF($AD$3:$BA$3,"&lt;"&amp;$DF32,$B32:$Y32)+SUMIF($AD$3:$BA$3,"&gt;="&amp;$DG32,$B32:$Y32)),
IF(AD$3=$DF32+'Model Setup'!$L$7,SUMIF($AD$3:$BA$3,"="&amp;$DF32+'Model Setup'!$L$7,$B32:$Y32)+'Model Setup'!$L$8*(SUMIF($AD$3:$BA$3,"&lt;"&amp;$DF32,$B32:$Y32)+SUMIF($AD$3:$BA$3,"&gt;="&amp;$DG32,$B32:$Y32)),
IF(AD$3=$DF32+'Model Setup'!$M$7,SUMIF($AD$3:$BA$3,"="&amp;$DF32+'Model Setup'!$M$7,$B32:$Y32)+'Model Setup'!$M$8*(SUMIF($AD$3:$BA$3,"&lt;"&amp;$DF32,$B32:$Y32)+SUMIF($AD$3:$BA$3,"&gt;="&amp;$DG32,$B32:$Y32)),
IF(AD$3=$DF32+'Model Setup'!$N$7,SUMIF($AD$3:$BA$3,"="&amp;$DF32+'Model Setup'!$N$7,$B32:$Y32)+'Model Setup'!$N$8*(SUMIF($AD$3:$BA$3,"&lt;"&amp;$DF32,$B32:$Y32)+SUMIF($AD$3:$BA$3,"&gt;="&amp;$DG32,$B32:$Y32)),
IF(AD$3&lt;$DG32,B32,0))))))))))))))),0)</f>
        <v>0</v>
      </c>
      <c r="AE32" s="47">
        <f>ROUND(IF(AE$3&lt;$DF32,0,
IF(AE$3=$DF32+'Model Setup'!$B$7,SUMIF($AD$3:$BA$3,"="&amp;$DF32+'Model Setup'!$B$7,$B32:$Y32)+'Model Setup'!$B$8*(SUMIF($AD$3:$BA$3,"&lt;"&amp;$DF32,$B32:$Y32)+SUMIF($AD$3:$BA$3,"&gt;="&amp;$DG32,$B32:$Y32)),
IF(AE$3=$DF32+'Model Setup'!$C$7,SUMIF($AD$3:$BA$3,"="&amp;$DF32+'Model Setup'!$C$7,$B32:$Y32)+'Model Setup'!$C$8*(SUMIF($AD$3:$BA$3,"&lt;"&amp;$DF32,$B32:$Y32)+SUMIF($AD$3:$BA$3,"&gt;="&amp;$DG32,$B32:$Y32)),
IF(AE$3=$DF32+'Model Setup'!$D$7,SUMIF($AD$3:$BA$3,"="&amp;$DF32+'Model Setup'!$D$7,$B32:$Y32)+'Model Setup'!$D$8*(SUMIF($AD$3:$BA$3,"&lt;"&amp;$DF32,$B32:$Y32)+SUMIF($AD$3:$BA$3,"&gt;="&amp;$DG32,$B32:$Y32)),
IF(AE$3=$DF32+'Model Setup'!$E$7,SUMIF($AD$3:$BA$3,"="&amp;$DF32+'Model Setup'!$E$7,$B32:$Y32)+'Model Setup'!$E$8*(SUMIF($AD$3:$BA$3,"&lt;"&amp;$DF32,$B32:$Y32)+SUMIF($AD$3:$BA$3,"&gt;="&amp;$DG32,$B32:$Y32)),
IF(AE$3=$DF32+'Model Setup'!$F$7,SUMIF($AD$3:$BA$3,"="&amp;$DF32+'Model Setup'!$F$7,$B32:$Y32)+'Model Setup'!$F$8*(SUMIF($AD$3:$BA$3,"&lt;"&amp;$DF32,$B32:$Y32)+SUMIF($AD$3:$BA$3,"&gt;="&amp;$DG32,$B32:$Y32)),
IF(AE$3=$DF32+'Model Setup'!$G$7,SUMIF($AD$3:$BA$3,"="&amp;$DF32+'Model Setup'!$G$7,$B32:$Y32)+'Model Setup'!$G$8*(SUMIF($AD$3:$BA$3,"&lt;"&amp;$DF32,$B32:$Y32)+SUMIF($AD$3:$BA$3,"&gt;="&amp;$DG32,$B32:$Y32)),
IF(AE$3=$DF32+'Model Setup'!$H$7,SUMIF($AD$3:$BA$3,"="&amp;$DF32+'Model Setup'!$H$7,$B32:$Y32)+'Model Setup'!$H$8*(SUMIF($AD$3:$BA$3,"&lt;"&amp;$DF32,$B32:$Y32)+SUMIF($AD$3:$BA$3,"&gt;="&amp;$DG32,$B32:$Y32)),
IF(AE$3=$DF32+'Model Setup'!$I$7,SUMIF($AD$3:$BA$3,"="&amp;$DF32+'Model Setup'!$I$7,$B32:$Y32)+'Model Setup'!$I$8*(SUMIF($AD$3:$BA$3,"&lt;"&amp;$DF32,$B32:$Y32)+SUMIF($AD$3:$BA$3,"&gt;="&amp;$DG32,$B32:$Y32)),
IF(AE$3=$DF32+'Model Setup'!$J$7,SUMIF($AD$3:$BA$3,"="&amp;$DF32+'Model Setup'!$J$7,$B32:$Y32)+'Model Setup'!$J$8*(SUMIF($AD$3:$BA$3,"&lt;"&amp;$DF32,$B32:$Y32)+SUMIF($AD$3:$BA$3,"&gt;="&amp;$DG32,$B32:$Y32)),
IF(AE$3=$DF32+'Model Setup'!$K$7,SUMIF($AD$3:$BA$3,"="&amp;$DF32+'Model Setup'!$K$7,$B32:$Y32)+'Model Setup'!$K$8*(SUMIF($AD$3:$BA$3,"&lt;"&amp;$DF32,$B32:$Y32)+SUMIF($AD$3:$BA$3,"&gt;="&amp;$DG32,$B32:$Y32)),
IF(AE$3=$DF32+'Model Setup'!$L$7,SUMIF($AD$3:$BA$3,"="&amp;$DF32+'Model Setup'!$L$7,$B32:$Y32)+'Model Setup'!$L$8*(SUMIF($AD$3:$BA$3,"&lt;"&amp;$DF32,$B32:$Y32)+SUMIF($AD$3:$BA$3,"&gt;="&amp;$DG32,$B32:$Y32)),
IF(AE$3=$DF32+'Model Setup'!$M$7,SUMIF($AD$3:$BA$3,"="&amp;$DF32+'Model Setup'!$M$7,$B32:$Y32)+'Model Setup'!$M$8*(SUMIF($AD$3:$BA$3,"&lt;"&amp;$DF32,$B32:$Y32)+SUMIF($AD$3:$BA$3,"&gt;="&amp;$DG32,$B32:$Y32)),
IF(AE$3=$DF32+'Model Setup'!$N$7,SUMIF($AD$3:$BA$3,"="&amp;$DF32+'Model Setup'!$N$7,$B32:$Y32)+'Model Setup'!$N$8*(SUMIF($AD$3:$BA$3,"&lt;"&amp;$DF32,$B32:$Y32)+SUMIF($AD$3:$BA$3,"&gt;="&amp;$DG32,$B32:$Y32)),
IF(AE$3&lt;$DG32,C32,0))))))))))))))),0)</f>
        <v>0</v>
      </c>
      <c r="AF32" s="47">
        <f>ROUND(IF(AF$3&lt;$DF32,0,
IF(AF$3=$DF32+'Model Setup'!$B$7,SUMIF($AD$3:$BA$3,"="&amp;$DF32+'Model Setup'!$B$7,$B32:$Y32)+'Model Setup'!$B$8*(SUMIF($AD$3:$BA$3,"&lt;"&amp;$DF32,$B32:$Y32)+SUMIF($AD$3:$BA$3,"&gt;="&amp;$DG32,$B32:$Y32)),
IF(AF$3=$DF32+'Model Setup'!$C$7,SUMIF($AD$3:$BA$3,"="&amp;$DF32+'Model Setup'!$C$7,$B32:$Y32)+'Model Setup'!$C$8*(SUMIF($AD$3:$BA$3,"&lt;"&amp;$DF32,$B32:$Y32)+SUMIF($AD$3:$BA$3,"&gt;="&amp;$DG32,$B32:$Y32)),
IF(AF$3=$DF32+'Model Setup'!$D$7,SUMIF($AD$3:$BA$3,"="&amp;$DF32+'Model Setup'!$D$7,$B32:$Y32)+'Model Setup'!$D$8*(SUMIF($AD$3:$BA$3,"&lt;"&amp;$DF32,$B32:$Y32)+SUMIF($AD$3:$BA$3,"&gt;="&amp;$DG32,$B32:$Y32)),
IF(AF$3=$DF32+'Model Setup'!$E$7,SUMIF($AD$3:$BA$3,"="&amp;$DF32+'Model Setup'!$E$7,$B32:$Y32)+'Model Setup'!$E$8*(SUMIF($AD$3:$BA$3,"&lt;"&amp;$DF32,$B32:$Y32)+SUMIF($AD$3:$BA$3,"&gt;="&amp;$DG32,$B32:$Y32)),
IF(AF$3=$DF32+'Model Setup'!$F$7,SUMIF($AD$3:$BA$3,"="&amp;$DF32+'Model Setup'!$F$7,$B32:$Y32)+'Model Setup'!$F$8*(SUMIF($AD$3:$BA$3,"&lt;"&amp;$DF32,$B32:$Y32)+SUMIF($AD$3:$BA$3,"&gt;="&amp;$DG32,$B32:$Y32)),
IF(AF$3=$DF32+'Model Setup'!$G$7,SUMIF($AD$3:$BA$3,"="&amp;$DF32+'Model Setup'!$G$7,$B32:$Y32)+'Model Setup'!$G$8*(SUMIF($AD$3:$BA$3,"&lt;"&amp;$DF32,$B32:$Y32)+SUMIF($AD$3:$BA$3,"&gt;="&amp;$DG32,$B32:$Y32)),
IF(AF$3=$DF32+'Model Setup'!$H$7,SUMIF($AD$3:$BA$3,"="&amp;$DF32+'Model Setup'!$H$7,$B32:$Y32)+'Model Setup'!$H$8*(SUMIF($AD$3:$BA$3,"&lt;"&amp;$DF32,$B32:$Y32)+SUMIF($AD$3:$BA$3,"&gt;="&amp;$DG32,$B32:$Y32)),
IF(AF$3=$DF32+'Model Setup'!$I$7,SUMIF($AD$3:$BA$3,"="&amp;$DF32+'Model Setup'!$I$7,$B32:$Y32)+'Model Setup'!$I$8*(SUMIF($AD$3:$BA$3,"&lt;"&amp;$DF32,$B32:$Y32)+SUMIF($AD$3:$BA$3,"&gt;="&amp;$DG32,$B32:$Y32)),
IF(AF$3=$DF32+'Model Setup'!$J$7,SUMIF($AD$3:$BA$3,"="&amp;$DF32+'Model Setup'!$J$7,$B32:$Y32)+'Model Setup'!$J$8*(SUMIF($AD$3:$BA$3,"&lt;"&amp;$DF32,$B32:$Y32)+SUMIF($AD$3:$BA$3,"&gt;="&amp;$DG32,$B32:$Y32)),
IF(AF$3=$DF32+'Model Setup'!$K$7,SUMIF($AD$3:$BA$3,"="&amp;$DF32+'Model Setup'!$K$7,$B32:$Y32)+'Model Setup'!$K$8*(SUMIF($AD$3:$BA$3,"&lt;"&amp;$DF32,$B32:$Y32)+SUMIF($AD$3:$BA$3,"&gt;="&amp;$DG32,$B32:$Y32)),
IF(AF$3=$DF32+'Model Setup'!$L$7,SUMIF($AD$3:$BA$3,"="&amp;$DF32+'Model Setup'!$L$7,$B32:$Y32)+'Model Setup'!$L$8*(SUMIF($AD$3:$BA$3,"&lt;"&amp;$DF32,$B32:$Y32)+SUMIF($AD$3:$BA$3,"&gt;="&amp;$DG32,$B32:$Y32)),
IF(AF$3=$DF32+'Model Setup'!$M$7,SUMIF($AD$3:$BA$3,"="&amp;$DF32+'Model Setup'!$M$7,$B32:$Y32)+'Model Setup'!$M$8*(SUMIF($AD$3:$BA$3,"&lt;"&amp;$DF32,$B32:$Y32)+SUMIF($AD$3:$BA$3,"&gt;="&amp;$DG32,$B32:$Y32)),
IF(AF$3=$DF32+'Model Setup'!$N$7,SUMIF($AD$3:$BA$3,"="&amp;$DF32+'Model Setup'!$N$7,$B32:$Y32)+'Model Setup'!$N$8*(SUMIF($AD$3:$BA$3,"&lt;"&amp;$DF32,$B32:$Y32)+SUMIF($AD$3:$BA$3,"&gt;="&amp;$DG32,$B32:$Y32)),
IF(AF$3&lt;$DG32,D32,0))))))))))))))),0)</f>
        <v>0</v>
      </c>
      <c r="AG32" s="47">
        <f>ROUND(IF(AG$3&lt;$DF32,0,
IF(AG$3=$DF32+'Model Setup'!$B$7,SUMIF($AD$3:$BA$3,"="&amp;$DF32+'Model Setup'!$B$7,$B32:$Y32)+'Model Setup'!$B$8*(SUMIF($AD$3:$BA$3,"&lt;"&amp;$DF32,$B32:$Y32)+SUMIF($AD$3:$BA$3,"&gt;="&amp;$DG32,$B32:$Y32)),
IF(AG$3=$DF32+'Model Setup'!$C$7,SUMIF($AD$3:$BA$3,"="&amp;$DF32+'Model Setup'!$C$7,$B32:$Y32)+'Model Setup'!$C$8*(SUMIF($AD$3:$BA$3,"&lt;"&amp;$DF32,$B32:$Y32)+SUMIF($AD$3:$BA$3,"&gt;="&amp;$DG32,$B32:$Y32)),
IF(AG$3=$DF32+'Model Setup'!$D$7,SUMIF($AD$3:$BA$3,"="&amp;$DF32+'Model Setup'!$D$7,$B32:$Y32)+'Model Setup'!$D$8*(SUMIF($AD$3:$BA$3,"&lt;"&amp;$DF32,$B32:$Y32)+SUMIF($AD$3:$BA$3,"&gt;="&amp;$DG32,$B32:$Y32)),
IF(AG$3=$DF32+'Model Setup'!$E$7,SUMIF($AD$3:$BA$3,"="&amp;$DF32+'Model Setup'!$E$7,$B32:$Y32)+'Model Setup'!$E$8*(SUMIF($AD$3:$BA$3,"&lt;"&amp;$DF32,$B32:$Y32)+SUMIF($AD$3:$BA$3,"&gt;="&amp;$DG32,$B32:$Y32)),
IF(AG$3=$DF32+'Model Setup'!$F$7,SUMIF($AD$3:$BA$3,"="&amp;$DF32+'Model Setup'!$F$7,$B32:$Y32)+'Model Setup'!$F$8*(SUMIF($AD$3:$BA$3,"&lt;"&amp;$DF32,$B32:$Y32)+SUMIF($AD$3:$BA$3,"&gt;="&amp;$DG32,$B32:$Y32)),
IF(AG$3=$DF32+'Model Setup'!$G$7,SUMIF($AD$3:$BA$3,"="&amp;$DF32+'Model Setup'!$G$7,$B32:$Y32)+'Model Setup'!$G$8*(SUMIF($AD$3:$BA$3,"&lt;"&amp;$DF32,$B32:$Y32)+SUMIF($AD$3:$BA$3,"&gt;="&amp;$DG32,$B32:$Y32)),
IF(AG$3=$DF32+'Model Setup'!$H$7,SUMIF($AD$3:$BA$3,"="&amp;$DF32+'Model Setup'!$H$7,$B32:$Y32)+'Model Setup'!$H$8*(SUMIF($AD$3:$BA$3,"&lt;"&amp;$DF32,$B32:$Y32)+SUMIF($AD$3:$BA$3,"&gt;="&amp;$DG32,$B32:$Y32)),
IF(AG$3=$DF32+'Model Setup'!$I$7,SUMIF($AD$3:$BA$3,"="&amp;$DF32+'Model Setup'!$I$7,$B32:$Y32)+'Model Setup'!$I$8*(SUMIF($AD$3:$BA$3,"&lt;"&amp;$DF32,$B32:$Y32)+SUMIF($AD$3:$BA$3,"&gt;="&amp;$DG32,$B32:$Y32)),
IF(AG$3=$DF32+'Model Setup'!$J$7,SUMIF($AD$3:$BA$3,"="&amp;$DF32+'Model Setup'!$J$7,$B32:$Y32)+'Model Setup'!$J$8*(SUMIF($AD$3:$BA$3,"&lt;"&amp;$DF32,$B32:$Y32)+SUMIF($AD$3:$BA$3,"&gt;="&amp;$DG32,$B32:$Y32)),
IF(AG$3=$DF32+'Model Setup'!$K$7,SUMIF($AD$3:$BA$3,"="&amp;$DF32+'Model Setup'!$K$7,$B32:$Y32)+'Model Setup'!$K$8*(SUMIF($AD$3:$BA$3,"&lt;"&amp;$DF32,$B32:$Y32)+SUMIF($AD$3:$BA$3,"&gt;="&amp;$DG32,$B32:$Y32)),
IF(AG$3=$DF32+'Model Setup'!$L$7,SUMIF($AD$3:$BA$3,"="&amp;$DF32+'Model Setup'!$L$7,$B32:$Y32)+'Model Setup'!$L$8*(SUMIF($AD$3:$BA$3,"&lt;"&amp;$DF32,$B32:$Y32)+SUMIF($AD$3:$BA$3,"&gt;="&amp;$DG32,$B32:$Y32)),
IF(AG$3=$DF32+'Model Setup'!$M$7,SUMIF($AD$3:$BA$3,"="&amp;$DF32+'Model Setup'!$M$7,$B32:$Y32)+'Model Setup'!$M$8*(SUMIF($AD$3:$BA$3,"&lt;"&amp;$DF32,$B32:$Y32)+SUMIF($AD$3:$BA$3,"&gt;="&amp;$DG32,$B32:$Y32)),
IF(AG$3=$DF32+'Model Setup'!$N$7,SUMIF($AD$3:$BA$3,"="&amp;$DF32+'Model Setup'!$N$7,$B32:$Y32)+'Model Setup'!$N$8*(SUMIF($AD$3:$BA$3,"&lt;"&amp;$DF32,$B32:$Y32)+SUMIF($AD$3:$BA$3,"&gt;="&amp;$DG32,$B32:$Y32)),
IF(AG$3&lt;$DG32,E32,0))))))))))))))),0)</f>
        <v>0</v>
      </c>
      <c r="AH32" s="47">
        <f>ROUND(IF(AH$3&lt;$DF32,0,
IF(AH$3=$DF32+'Model Setup'!$B$7,SUMIF($AD$3:$BA$3,"="&amp;$DF32+'Model Setup'!$B$7,$B32:$Y32)+'Model Setup'!$B$8*(SUMIF($AD$3:$BA$3,"&lt;"&amp;$DF32,$B32:$Y32)+SUMIF($AD$3:$BA$3,"&gt;="&amp;$DG32,$B32:$Y32)),
IF(AH$3=$DF32+'Model Setup'!$C$7,SUMIF($AD$3:$BA$3,"="&amp;$DF32+'Model Setup'!$C$7,$B32:$Y32)+'Model Setup'!$C$8*(SUMIF($AD$3:$BA$3,"&lt;"&amp;$DF32,$B32:$Y32)+SUMIF($AD$3:$BA$3,"&gt;="&amp;$DG32,$B32:$Y32)),
IF(AH$3=$DF32+'Model Setup'!$D$7,SUMIF($AD$3:$BA$3,"="&amp;$DF32+'Model Setup'!$D$7,$B32:$Y32)+'Model Setup'!$D$8*(SUMIF($AD$3:$BA$3,"&lt;"&amp;$DF32,$B32:$Y32)+SUMIF($AD$3:$BA$3,"&gt;="&amp;$DG32,$B32:$Y32)),
IF(AH$3=$DF32+'Model Setup'!$E$7,SUMIF($AD$3:$BA$3,"="&amp;$DF32+'Model Setup'!$E$7,$B32:$Y32)+'Model Setup'!$E$8*(SUMIF($AD$3:$BA$3,"&lt;"&amp;$DF32,$B32:$Y32)+SUMIF($AD$3:$BA$3,"&gt;="&amp;$DG32,$B32:$Y32)),
IF(AH$3=$DF32+'Model Setup'!$F$7,SUMIF($AD$3:$BA$3,"="&amp;$DF32+'Model Setup'!$F$7,$B32:$Y32)+'Model Setup'!$F$8*(SUMIF($AD$3:$BA$3,"&lt;"&amp;$DF32,$B32:$Y32)+SUMIF($AD$3:$BA$3,"&gt;="&amp;$DG32,$B32:$Y32)),
IF(AH$3=$DF32+'Model Setup'!$G$7,SUMIF($AD$3:$BA$3,"="&amp;$DF32+'Model Setup'!$G$7,$B32:$Y32)+'Model Setup'!$G$8*(SUMIF($AD$3:$BA$3,"&lt;"&amp;$DF32,$B32:$Y32)+SUMIF($AD$3:$BA$3,"&gt;="&amp;$DG32,$B32:$Y32)),
IF(AH$3=$DF32+'Model Setup'!$H$7,SUMIF($AD$3:$BA$3,"="&amp;$DF32+'Model Setup'!$H$7,$B32:$Y32)+'Model Setup'!$H$8*(SUMIF($AD$3:$BA$3,"&lt;"&amp;$DF32,$B32:$Y32)+SUMIF($AD$3:$BA$3,"&gt;="&amp;$DG32,$B32:$Y32)),
IF(AH$3=$DF32+'Model Setup'!$I$7,SUMIF($AD$3:$BA$3,"="&amp;$DF32+'Model Setup'!$I$7,$B32:$Y32)+'Model Setup'!$I$8*(SUMIF($AD$3:$BA$3,"&lt;"&amp;$DF32,$B32:$Y32)+SUMIF($AD$3:$BA$3,"&gt;="&amp;$DG32,$B32:$Y32)),
IF(AH$3=$DF32+'Model Setup'!$J$7,SUMIF($AD$3:$BA$3,"="&amp;$DF32+'Model Setup'!$J$7,$B32:$Y32)+'Model Setup'!$J$8*(SUMIF($AD$3:$BA$3,"&lt;"&amp;$DF32,$B32:$Y32)+SUMIF($AD$3:$BA$3,"&gt;="&amp;$DG32,$B32:$Y32)),
IF(AH$3=$DF32+'Model Setup'!$K$7,SUMIF($AD$3:$BA$3,"="&amp;$DF32+'Model Setup'!$K$7,$B32:$Y32)+'Model Setup'!$K$8*(SUMIF($AD$3:$BA$3,"&lt;"&amp;$DF32,$B32:$Y32)+SUMIF($AD$3:$BA$3,"&gt;="&amp;$DG32,$B32:$Y32)),
IF(AH$3=$DF32+'Model Setup'!$L$7,SUMIF($AD$3:$BA$3,"="&amp;$DF32+'Model Setup'!$L$7,$B32:$Y32)+'Model Setup'!$L$8*(SUMIF($AD$3:$BA$3,"&lt;"&amp;$DF32,$B32:$Y32)+SUMIF($AD$3:$BA$3,"&gt;="&amp;$DG32,$B32:$Y32)),
IF(AH$3=$DF32+'Model Setup'!$M$7,SUMIF($AD$3:$BA$3,"="&amp;$DF32+'Model Setup'!$M$7,$B32:$Y32)+'Model Setup'!$M$8*(SUMIF($AD$3:$BA$3,"&lt;"&amp;$DF32,$B32:$Y32)+SUMIF($AD$3:$BA$3,"&gt;="&amp;$DG32,$B32:$Y32)),
IF(AH$3=$DF32+'Model Setup'!$N$7,SUMIF($AD$3:$BA$3,"="&amp;$DF32+'Model Setup'!$N$7,$B32:$Y32)+'Model Setup'!$N$8*(SUMIF($AD$3:$BA$3,"&lt;"&amp;$DF32,$B32:$Y32)+SUMIF($AD$3:$BA$3,"&gt;="&amp;$DG32,$B32:$Y32)),
IF(AH$3&lt;$DG32,F32,0))))))))))))))),0)</f>
        <v>0</v>
      </c>
      <c r="AI32" s="47">
        <f>ROUND(IF(AI$3&lt;$DF32,0,
IF(AI$3=$DF32+'Model Setup'!$B$7,SUMIF($AD$3:$BA$3,"="&amp;$DF32+'Model Setup'!$B$7,$B32:$Y32)+'Model Setup'!$B$8*(SUMIF($AD$3:$BA$3,"&lt;"&amp;$DF32,$B32:$Y32)+SUMIF($AD$3:$BA$3,"&gt;="&amp;$DG32,$B32:$Y32)),
IF(AI$3=$DF32+'Model Setup'!$C$7,SUMIF($AD$3:$BA$3,"="&amp;$DF32+'Model Setup'!$C$7,$B32:$Y32)+'Model Setup'!$C$8*(SUMIF($AD$3:$BA$3,"&lt;"&amp;$DF32,$B32:$Y32)+SUMIF($AD$3:$BA$3,"&gt;="&amp;$DG32,$B32:$Y32)),
IF(AI$3=$DF32+'Model Setup'!$D$7,SUMIF($AD$3:$BA$3,"="&amp;$DF32+'Model Setup'!$D$7,$B32:$Y32)+'Model Setup'!$D$8*(SUMIF($AD$3:$BA$3,"&lt;"&amp;$DF32,$B32:$Y32)+SUMIF($AD$3:$BA$3,"&gt;="&amp;$DG32,$B32:$Y32)),
IF(AI$3=$DF32+'Model Setup'!$E$7,SUMIF($AD$3:$BA$3,"="&amp;$DF32+'Model Setup'!$E$7,$B32:$Y32)+'Model Setup'!$E$8*(SUMIF($AD$3:$BA$3,"&lt;"&amp;$DF32,$B32:$Y32)+SUMIF($AD$3:$BA$3,"&gt;="&amp;$DG32,$B32:$Y32)),
IF(AI$3=$DF32+'Model Setup'!$F$7,SUMIF($AD$3:$BA$3,"="&amp;$DF32+'Model Setup'!$F$7,$B32:$Y32)+'Model Setup'!$F$8*(SUMIF($AD$3:$BA$3,"&lt;"&amp;$DF32,$B32:$Y32)+SUMIF($AD$3:$BA$3,"&gt;="&amp;$DG32,$B32:$Y32)),
IF(AI$3=$DF32+'Model Setup'!$G$7,SUMIF($AD$3:$BA$3,"="&amp;$DF32+'Model Setup'!$G$7,$B32:$Y32)+'Model Setup'!$G$8*(SUMIF($AD$3:$BA$3,"&lt;"&amp;$DF32,$B32:$Y32)+SUMIF($AD$3:$BA$3,"&gt;="&amp;$DG32,$B32:$Y32)),
IF(AI$3=$DF32+'Model Setup'!$H$7,SUMIF($AD$3:$BA$3,"="&amp;$DF32+'Model Setup'!$H$7,$B32:$Y32)+'Model Setup'!$H$8*(SUMIF($AD$3:$BA$3,"&lt;"&amp;$DF32,$B32:$Y32)+SUMIF($AD$3:$BA$3,"&gt;="&amp;$DG32,$B32:$Y32)),
IF(AI$3=$DF32+'Model Setup'!$I$7,SUMIF($AD$3:$BA$3,"="&amp;$DF32+'Model Setup'!$I$7,$B32:$Y32)+'Model Setup'!$I$8*(SUMIF($AD$3:$BA$3,"&lt;"&amp;$DF32,$B32:$Y32)+SUMIF($AD$3:$BA$3,"&gt;="&amp;$DG32,$B32:$Y32)),
IF(AI$3=$DF32+'Model Setup'!$J$7,SUMIF($AD$3:$BA$3,"="&amp;$DF32+'Model Setup'!$J$7,$B32:$Y32)+'Model Setup'!$J$8*(SUMIF($AD$3:$BA$3,"&lt;"&amp;$DF32,$B32:$Y32)+SUMIF($AD$3:$BA$3,"&gt;="&amp;$DG32,$B32:$Y32)),
IF(AI$3=$DF32+'Model Setup'!$K$7,SUMIF($AD$3:$BA$3,"="&amp;$DF32+'Model Setup'!$K$7,$B32:$Y32)+'Model Setup'!$K$8*(SUMIF($AD$3:$BA$3,"&lt;"&amp;$DF32,$B32:$Y32)+SUMIF($AD$3:$BA$3,"&gt;="&amp;$DG32,$B32:$Y32)),
IF(AI$3=$DF32+'Model Setup'!$L$7,SUMIF($AD$3:$BA$3,"="&amp;$DF32+'Model Setup'!$L$7,$B32:$Y32)+'Model Setup'!$L$8*(SUMIF($AD$3:$BA$3,"&lt;"&amp;$DF32,$B32:$Y32)+SUMIF($AD$3:$BA$3,"&gt;="&amp;$DG32,$B32:$Y32)),
IF(AI$3=$DF32+'Model Setup'!$M$7,SUMIF($AD$3:$BA$3,"="&amp;$DF32+'Model Setup'!$M$7,$B32:$Y32)+'Model Setup'!$M$8*(SUMIF($AD$3:$BA$3,"&lt;"&amp;$DF32,$B32:$Y32)+SUMIF($AD$3:$BA$3,"&gt;="&amp;$DG32,$B32:$Y32)),
IF(AI$3=$DF32+'Model Setup'!$N$7,SUMIF($AD$3:$BA$3,"="&amp;$DF32+'Model Setup'!$N$7,$B32:$Y32)+'Model Setup'!$N$8*(SUMIF($AD$3:$BA$3,"&lt;"&amp;$DF32,$B32:$Y32)+SUMIF($AD$3:$BA$3,"&gt;="&amp;$DG32,$B32:$Y32)),
IF(AI$3&lt;$DG32,G32,0))))))))))))))),0)</f>
        <v>34</v>
      </c>
      <c r="AJ32" s="47">
        <f>ROUND(IF(AJ$3&lt;$DF32,0,
IF(AJ$3=$DF32+'Model Setup'!$B$7,SUMIF($AD$3:$BA$3,"="&amp;$DF32+'Model Setup'!$B$7,$B32:$Y32)+'Model Setup'!$B$8*(SUMIF($AD$3:$BA$3,"&lt;"&amp;$DF32,$B32:$Y32)+SUMIF($AD$3:$BA$3,"&gt;="&amp;$DG32,$B32:$Y32)),
IF(AJ$3=$DF32+'Model Setup'!$C$7,SUMIF($AD$3:$BA$3,"="&amp;$DF32+'Model Setup'!$C$7,$B32:$Y32)+'Model Setup'!$C$8*(SUMIF($AD$3:$BA$3,"&lt;"&amp;$DF32,$B32:$Y32)+SUMIF($AD$3:$BA$3,"&gt;="&amp;$DG32,$B32:$Y32)),
IF(AJ$3=$DF32+'Model Setup'!$D$7,SUMIF($AD$3:$BA$3,"="&amp;$DF32+'Model Setup'!$D$7,$B32:$Y32)+'Model Setup'!$D$8*(SUMIF($AD$3:$BA$3,"&lt;"&amp;$DF32,$B32:$Y32)+SUMIF($AD$3:$BA$3,"&gt;="&amp;$DG32,$B32:$Y32)),
IF(AJ$3=$DF32+'Model Setup'!$E$7,SUMIF($AD$3:$BA$3,"="&amp;$DF32+'Model Setup'!$E$7,$B32:$Y32)+'Model Setup'!$E$8*(SUMIF($AD$3:$BA$3,"&lt;"&amp;$DF32,$B32:$Y32)+SUMIF($AD$3:$BA$3,"&gt;="&amp;$DG32,$B32:$Y32)),
IF(AJ$3=$DF32+'Model Setup'!$F$7,SUMIF($AD$3:$BA$3,"="&amp;$DF32+'Model Setup'!$F$7,$B32:$Y32)+'Model Setup'!$F$8*(SUMIF($AD$3:$BA$3,"&lt;"&amp;$DF32,$B32:$Y32)+SUMIF($AD$3:$BA$3,"&gt;="&amp;$DG32,$B32:$Y32)),
IF(AJ$3=$DF32+'Model Setup'!$G$7,SUMIF($AD$3:$BA$3,"="&amp;$DF32+'Model Setup'!$G$7,$B32:$Y32)+'Model Setup'!$G$8*(SUMIF($AD$3:$BA$3,"&lt;"&amp;$DF32,$B32:$Y32)+SUMIF($AD$3:$BA$3,"&gt;="&amp;$DG32,$B32:$Y32)),
IF(AJ$3=$DF32+'Model Setup'!$H$7,SUMIF($AD$3:$BA$3,"="&amp;$DF32+'Model Setup'!$H$7,$B32:$Y32)+'Model Setup'!$H$8*(SUMIF($AD$3:$BA$3,"&lt;"&amp;$DF32,$B32:$Y32)+SUMIF($AD$3:$BA$3,"&gt;="&amp;$DG32,$B32:$Y32)),
IF(AJ$3=$DF32+'Model Setup'!$I$7,SUMIF($AD$3:$BA$3,"="&amp;$DF32+'Model Setup'!$I$7,$B32:$Y32)+'Model Setup'!$I$8*(SUMIF($AD$3:$BA$3,"&lt;"&amp;$DF32,$B32:$Y32)+SUMIF($AD$3:$BA$3,"&gt;="&amp;$DG32,$B32:$Y32)),
IF(AJ$3=$DF32+'Model Setup'!$J$7,SUMIF($AD$3:$BA$3,"="&amp;$DF32+'Model Setup'!$J$7,$B32:$Y32)+'Model Setup'!$J$8*(SUMIF($AD$3:$BA$3,"&lt;"&amp;$DF32,$B32:$Y32)+SUMIF($AD$3:$BA$3,"&gt;="&amp;$DG32,$B32:$Y32)),
IF(AJ$3=$DF32+'Model Setup'!$K$7,SUMIF($AD$3:$BA$3,"="&amp;$DF32+'Model Setup'!$K$7,$B32:$Y32)+'Model Setup'!$K$8*(SUMIF($AD$3:$BA$3,"&lt;"&amp;$DF32,$B32:$Y32)+SUMIF($AD$3:$BA$3,"&gt;="&amp;$DG32,$B32:$Y32)),
IF(AJ$3=$DF32+'Model Setup'!$L$7,SUMIF($AD$3:$BA$3,"="&amp;$DF32+'Model Setup'!$L$7,$B32:$Y32)+'Model Setup'!$L$8*(SUMIF($AD$3:$BA$3,"&lt;"&amp;$DF32,$B32:$Y32)+SUMIF($AD$3:$BA$3,"&gt;="&amp;$DG32,$B32:$Y32)),
IF(AJ$3=$DF32+'Model Setup'!$M$7,SUMIF($AD$3:$BA$3,"="&amp;$DF32+'Model Setup'!$M$7,$B32:$Y32)+'Model Setup'!$M$8*(SUMIF($AD$3:$BA$3,"&lt;"&amp;$DF32,$B32:$Y32)+SUMIF($AD$3:$BA$3,"&gt;="&amp;$DG32,$B32:$Y32)),
IF(AJ$3=$DF32+'Model Setup'!$N$7,SUMIF($AD$3:$BA$3,"="&amp;$DF32+'Model Setup'!$N$7,$B32:$Y32)+'Model Setup'!$N$8*(SUMIF($AD$3:$BA$3,"&lt;"&amp;$DF32,$B32:$Y32)+SUMIF($AD$3:$BA$3,"&gt;="&amp;$DG32,$B32:$Y32)),
IF(AJ$3&lt;$DG32,H32,0))))))))))))))),0)</f>
        <v>128</v>
      </c>
      <c r="AK32" s="47">
        <f>ROUND(IF(AK$3&lt;$DF32,0,
IF(AK$3=$DF32+'Model Setup'!$B$7,SUMIF($AD$3:$BA$3,"="&amp;$DF32+'Model Setup'!$B$7,$B32:$Y32)+'Model Setup'!$B$8*(SUMIF($AD$3:$BA$3,"&lt;"&amp;$DF32,$B32:$Y32)+SUMIF($AD$3:$BA$3,"&gt;="&amp;$DG32,$B32:$Y32)),
IF(AK$3=$DF32+'Model Setup'!$C$7,SUMIF($AD$3:$BA$3,"="&amp;$DF32+'Model Setup'!$C$7,$B32:$Y32)+'Model Setup'!$C$8*(SUMIF($AD$3:$BA$3,"&lt;"&amp;$DF32,$B32:$Y32)+SUMIF($AD$3:$BA$3,"&gt;="&amp;$DG32,$B32:$Y32)),
IF(AK$3=$DF32+'Model Setup'!$D$7,SUMIF($AD$3:$BA$3,"="&amp;$DF32+'Model Setup'!$D$7,$B32:$Y32)+'Model Setup'!$D$8*(SUMIF($AD$3:$BA$3,"&lt;"&amp;$DF32,$B32:$Y32)+SUMIF($AD$3:$BA$3,"&gt;="&amp;$DG32,$B32:$Y32)),
IF(AK$3=$DF32+'Model Setup'!$E$7,SUMIF($AD$3:$BA$3,"="&amp;$DF32+'Model Setup'!$E$7,$B32:$Y32)+'Model Setup'!$E$8*(SUMIF($AD$3:$BA$3,"&lt;"&amp;$DF32,$B32:$Y32)+SUMIF($AD$3:$BA$3,"&gt;="&amp;$DG32,$B32:$Y32)),
IF(AK$3=$DF32+'Model Setup'!$F$7,SUMIF($AD$3:$BA$3,"="&amp;$DF32+'Model Setup'!$F$7,$B32:$Y32)+'Model Setup'!$F$8*(SUMIF($AD$3:$BA$3,"&lt;"&amp;$DF32,$B32:$Y32)+SUMIF($AD$3:$BA$3,"&gt;="&amp;$DG32,$B32:$Y32)),
IF(AK$3=$DF32+'Model Setup'!$G$7,SUMIF($AD$3:$BA$3,"="&amp;$DF32+'Model Setup'!$G$7,$B32:$Y32)+'Model Setup'!$G$8*(SUMIF($AD$3:$BA$3,"&lt;"&amp;$DF32,$B32:$Y32)+SUMIF($AD$3:$BA$3,"&gt;="&amp;$DG32,$B32:$Y32)),
IF(AK$3=$DF32+'Model Setup'!$H$7,SUMIF($AD$3:$BA$3,"="&amp;$DF32+'Model Setup'!$H$7,$B32:$Y32)+'Model Setup'!$H$8*(SUMIF($AD$3:$BA$3,"&lt;"&amp;$DF32,$B32:$Y32)+SUMIF($AD$3:$BA$3,"&gt;="&amp;$DG32,$B32:$Y32)),
IF(AK$3=$DF32+'Model Setup'!$I$7,SUMIF($AD$3:$BA$3,"="&amp;$DF32+'Model Setup'!$I$7,$B32:$Y32)+'Model Setup'!$I$8*(SUMIF($AD$3:$BA$3,"&lt;"&amp;$DF32,$B32:$Y32)+SUMIF($AD$3:$BA$3,"&gt;="&amp;$DG32,$B32:$Y32)),
IF(AK$3=$DF32+'Model Setup'!$J$7,SUMIF($AD$3:$BA$3,"="&amp;$DF32+'Model Setup'!$J$7,$B32:$Y32)+'Model Setup'!$J$8*(SUMIF($AD$3:$BA$3,"&lt;"&amp;$DF32,$B32:$Y32)+SUMIF($AD$3:$BA$3,"&gt;="&amp;$DG32,$B32:$Y32)),
IF(AK$3=$DF32+'Model Setup'!$K$7,SUMIF($AD$3:$BA$3,"="&amp;$DF32+'Model Setup'!$K$7,$B32:$Y32)+'Model Setup'!$K$8*(SUMIF($AD$3:$BA$3,"&lt;"&amp;$DF32,$B32:$Y32)+SUMIF($AD$3:$BA$3,"&gt;="&amp;$DG32,$B32:$Y32)),
IF(AK$3=$DF32+'Model Setup'!$L$7,SUMIF($AD$3:$BA$3,"="&amp;$DF32+'Model Setup'!$L$7,$B32:$Y32)+'Model Setup'!$L$8*(SUMIF($AD$3:$BA$3,"&lt;"&amp;$DF32,$B32:$Y32)+SUMIF($AD$3:$BA$3,"&gt;="&amp;$DG32,$B32:$Y32)),
IF(AK$3=$DF32+'Model Setup'!$M$7,SUMIF($AD$3:$BA$3,"="&amp;$DF32+'Model Setup'!$M$7,$B32:$Y32)+'Model Setup'!$M$8*(SUMIF($AD$3:$BA$3,"&lt;"&amp;$DF32,$B32:$Y32)+SUMIF($AD$3:$BA$3,"&gt;="&amp;$DG32,$B32:$Y32)),
IF(AK$3=$DF32+'Model Setup'!$N$7,SUMIF($AD$3:$BA$3,"="&amp;$DF32+'Model Setup'!$N$7,$B32:$Y32)+'Model Setup'!$N$8*(SUMIF($AD$3:$BA$3,"&lt;"&amp;$DF32,$B32:$Y32)+SUMIF($AD$3:$BA$3,"&gt;="&amp;$DG32,$B32:$Y32)),
IF(AK$3&lt;$DG32,I32,0))))))))))))))),0)</f>
        <v>124</v>
      </c>
      <c r="AL32" s="47">
        <f>ROUND(IF(AL$3&lt;$DF32,0,
IF(AL$3=$DF32+'Model Setup'!$B$7,SUMIF($AD$3:$BA$3,"="&amp;$DF32+'Model Setup'!$B$7,$B32:$Y32)+'Model Setup'!$B$8*(SUMIF($AD$3:$BA$3,"&lt;"&amp;$DF32,$B32:$Y32)+SUMIF($AD$3:$BA$3,"&gt;="&amp;$DG32,$B32:$Y32)),
IF(AL$3=$DF32+'Model Setup'!$C$7,SUMIF($AD$3:$BA$3,"="&amp;$DF32+'Model Setup'!$C$7,$B32:$Y32)+'Model Setup'!$C$8*(SUMIF($AD$3:$BA$3,"&lt;"&amp;$DF32,$B32:$Y32)+SUMIF($AD$3:$BA$3,"&gt;="&amp;$DG32,$B32:$Y32)),
IF(AL$3=$DF32+'Model Setup'!$D$7,SUMIF($AD$3:$BA$3,"="&amp;$DF32+'Model Setup'!$D$7,$B32:$Y32)+'Model Setup'!$D$8*(SUMIF($AD$3:$BA$3,"&lt;"&amp;$DF32,$B32:$Y32)+SUMIF($AD$3:$BA$3,"&gt;="&amp;$DG32,$B32:$Y32)),
IF(AL$3=$DF32+'Model Setup'!$E$7,SUMIF($AD$3:$BA$3,"="&amp;$DF32+'Model Setup'!$E$7,$B32:$Y32)+'Model Setup'!$E$8*(SUMIF($AD$3:$BA$3,"&lt;"&amp;$DF32,$B32:$Y32)+SUMIF($AD$3:$BA$3,"&gt;="&amp;$DG32,$B32:$Y32)),
IF(AL$3=$DF32+'Model Setup'!$F$7,SUMIF($AD$3:$BA$3,"="&amp;$DF32+'Model Setup'!$F$7,$B32:$Y32)+'Model Setup'!$F$8*(SUMIF($AD$3:$BA$3,"&lt;"&amp;$DF32,$B32:$Y32)+SUMIF($AD$3:$BA$3,"&gt;="&amp;$DG32,$B32:$Y32)),
IF(AL$3=$DF32+'Model Setup'!$G$7,SUMIF($AD$3:$BA$3,"="&amp;$DF32+'Model Setup'!$G$7,$B32:$Y32)+'Model Setup'!$G$8*(SUMIF($AD$3:$BA$3,"&lt;"&amp;$DF32,$B32:$Y32)+SUMIF($AD$3:$BA$3,"&gt;="&amp;$DG32,$B32:$Y32)),
IF(AL$3=$DF32+'Model Setup'!$H$7,SUMIF($AD$3:$BA$3,"="&amp;$DF32+'Model Setup'!$H$7,$B32:$Y32)+'Model Setup'!$H$8*(SUMIF($AD$3:$BA$3,"&lt;"&amp;$DF32,$B32:$Y32)+SUMIF($AD$3:$BA$3,"&gt;="&amp;$DG32,$B32:$Y32)),
IF(AL$3=$DF32+'Model Setup'!$I$7,SUMIF($AD$3:$BA$3,"="&amp;$DF32+'Model Setup'!$I$7,$B32:$Y32)+'Model Setup'!$I$8*(SUMIF($AD$3:$BA$3,"&lt;"&amp;$DF32,$B32:$Y32)+SUMIF($AD$3:$BA$3,"&gt;="&amp;$DG32,$B32:$Y32)),
IF(AL$3=$DF32+'Model Setup'!$J$7,SUMIF($AD$3:$BA$3,"="&amp;$DF32+'Model Setup'!$J$7,$B32:$Y32)+'Model Setup'!$J$8*(SUMIF($AD$3:$BA$3,"&lt;"&amp;$DF32,$B32:$Y32)+SUMIF($AD$3:$BA$3,"&gt;="&amp;$DG32,$B32:$Y32)),
IF(AL$3=$DF32+'Model Setup'!$K$7,SUMIF($AD$3:$BA$3,"="&amp;$DF32+'Model Setup'!$K$7,$B32:$Y32)+'Model Setup'!$K$8*(SUMIF($AD$3:$BA$3,"&lt;"&amp;$DF32,$B32:$Y32)+SUMIF($AD$3:$BA$3,"&gt;="&amp;$DG32,$B32:$Y32)),
IF(AL$3=$DF32+'Model Setup'!$L$7,SUMIF($AD$3:$BA$3,"="&amp;$DF32+'Model Setup'!$L$7,$B32:$Y32)+'Model Setup'!$L$8*(SUMIF($AD$3:$BA$3,"&lt;"&amp;$DF32,$B32:$Y32)+SUMIF($AD$3:$BA$3,"&gt;="&amp;$DG32,$B32:$Y32)),
IF(AL$3=$DF32+'Model Setup'!$M$7,SUMIF($AD$3:$BA$3,"="&amp;$DF32+'Model Setup'!$M$7,$B32:$Y32)+'Model Setup'!$M$8*(SUMIF($AD$3:$BA$3,"&lt;"&amp;$DF32,$B32:$Y32)+SUMIF($AD$3:$BA$3,"&gt;="&amp;$DG32,$B32:$Y32)),
IF(AL$3=$DF32+'Model Setup'!$N$7,SUMIF($AD$3:$BA$3,"="&amp;$DF32+'Model Setup'!$N$7,$B32:$Y32)+'Model Setup'!$N$8*(SUMIF($AD$3:$BA$3,"&lt;"&amp;$DF32,$B32:$Y32)+SUMIF($AD$3:$BA$3,"&gt;="&amp;$DG32,$B32:$Y32)),
IF(AL$3&lt;$DG32,J32,0))))))))))))))),0)</f>
        <v>115</v>
      </c>
      <c r="AM32" s="47">
        <f>ROUND(IF(AM$3&lt;$DF32,0,
IF(AM$3=$DF32+'Model Setup'!$B$7,SUMIF($AD$3:$BA$3,"="&amp;$DF32+'Model Setup'!$B$7,$B32:$Y32)+'Model Setup'!$B$8*(SUMIF($AD$3:$BA$3,"&lt;"&amp;$DF32,$B32:$Y32)+SUMIF($AD$3:$BA$3,"&gt;="&amp;$DG32,$B32:$Y32)),
IF(AM$3=$DF32+'Model Setup'!$C$7,SUMIF($AD$3:$BA$3,"="&amp;$DF32+'Model Setup'!$C$7,$B32:$Y32)+'Model Setup'!$C$8*(SUMIF($AD$3:$BA$3,"&lt;"&amp;$DF32,$B32:$Y32)+SUMIF($AD$3:$BA$3,"&gt;="&amp;$DG32,$B32:$Y32)),
IF(AM$3=$DF32+'Model Setup'!$D$7,SUMIF($AD$3:$BA$3,"="&amp;$DF32+'Model Setup'!$D$7,$B32:$Y32)+'Model Setup'!$D$8*(SUMIF($AD$3:$BA$3,"&lt;"&amp;$DF32,$B32:$Y32)+SUMIF($AD$3:$BA$3,"&gt;="&amp;$DG32,$B32:$Y32)),
IF(AM$3=$DF32+'Model Setup'!$E$7,SUMIF($AD$3:$BA$3,"="&amp;$DF32+'Model Setup'!$E$7,$B32:$Y32)+'Model Setup'!$E$8*(SUMIF($AD$3:$BA$3,"&lt;"&amp;$DF32,$B32:$Y32)+SUMIF($AD$3:$BA$3,"&gt;="&amp;$DG32,$B32:$Y32)),
IF(AM$3=$DF32+'Model Setup'!$F$7,SUMIF($AD$3:$BA$3,"="&amp;$DF32+'Model Setup'!$F$7,$B32:$Y32)+'Model Setup'!$F$8*(SUMIF($AD$3:$BA$3,"&lt;"&amp;$DF32,$B32:$Y32)+SUMIF($AD$3:$BA$3,"&gt;="&amp;$DG32,$B32:$Y32)),
IF(AM$3=$DF32+'Model Setup'!$G$7,SUMIF($AD$3:$BA$3,"="&amp;$DF32+'Model Setup'!$G$7,$B32:$Y32)+'Model Setup'!$G$8*(SUMIF($AD$3:$BA$3,"&lt;"&amp;$DF32,$B32:$Y32)+SUMIF($AD$3:$BA$3,"&gt;="&amp;$DG32,$B32:$Y32)),
IF(AM$3=$DF32+'Model Setup'!$H$7,SUMIF($AD$3:$BA$3,"="&amp;$DF32+'Model Setup'!$H$7,$B32:$Y32)+'Model Setup'!$H$8*(SUMIF($AD$3:$BA$3,"&lt;"&amp;$DF32,$B32:$Y32)+SUMIF($AD$3:$BA$3,"&gt;="&amp;$DG32,$B32:$Y32)),
IF(AM$3=$DF32+'Model Setup'!$I$7,SUMIF($AD$3:$BA$3,"="&amp;$DF32+'Model Setup'!$I$7,$B32:$Y32)+'Model Setup'!$I$8*(SUMIF($AD$3:$BA$3,"&lt;"&amp;$DF32,$B32:$Y32)+SUMIF($AD$3:$BA$3,"&gt;="&amp;$DG32,$B32:$Y32)),
IF(AM$3=$DF32+'Model Setup'!$J$7,SUMIF($AD$3:$BA$3,"="&amp;$DF32+'Model Setup'!$J$7,$B32:$Y32)+'Model Setup'!$J$8*(SUMIF($AD$3:$BA$3,"&lt;"&amp;$DF32,$B32:$Y32)+SUMIF($AD$3:$BA$3,"&gt;="&amp;$DG32,$B32:$Y32)),
IF(AM$3=$DF32+'Model Setup'!$K$7,SUMIF($AD$3:$BA$3,"="&amp;$DF32+'Model Setup'!$K$7,$B32:$Y32)+'Model Setup'!$K$8*(SUMIF($AD$3:$BA$3,"&lt;"&amp;$DF32,$B32:$Y32)+SUMIF($AD$3:$BA$3,"&gt;="&amp;$DG32,$B32:$Y32)),
IF(AM$3=$DF32+'Model Setup'!$L$7,SUMIF($AD$3:$BA$3,"="&amp;$DF32+'Model Setup'!$L$7,$B32:$Y32)+'Model Setup'!$L$8*(SUMIF($AD$3:$BA$3,"&lt;"&amp;$DF32,$B32:$Y32)+SUMIF($AD$3:$BA$3,"&gt;="&amp;$DG32,$B32:$Y32)),
IF(AM$3=$DF32+'Model Setup'!$M$7,SUMIF($AD$3:$BA$3,"="&amp;$DF32+'Model Setup'!$M$7,$B32:$Y32)+'Model Setup'!$M$8*(SUMIF($AD$3:$BA$3,"&lt;"&amp;$DF32,$B32:$Y32)+SUMIF($AD$3:$BA$3,"&gt;="&amp;$DG32,$B32:$Y32)),
IF(AM$3=$DF32+'Model Setup'!$N$7,SUMIF($AD$3:$BA$3,"="&amp;$DF32+'Model Setup'!$N$7,$B32:$Y32)+'Model Setup'!$N$8*(SUMIF($AD$3:$BA$3,"&lt;"&amp;$DF32,$B32:$Y32)+SUMIF($AD$3:$BA$3,"&gt;="&amp;$DG32,$B32:$Y32)),
IF(AM$3&lt;$DG32,K32,0))))))))))))))),0)</f>
        <v>108</v>
      </c>
      <c r="AN32" s="47">
        <f>ROUND(IF(AN$3&lt;$DF32,0,
IF(AN$3=$DF32+'Model Setup'!$B$7,SUMIF($AD$3:$BA$3,"="&amp;$DF32+'Model Setup'!$B$7,$B32:$Y32)+'Model Setup'!$B$8*(SUMIF($AD$3:$BA$3,"&lt;"&amp;$DF32,$B32:$Y32)+SUMIF($AD$3:$BA$3,"&gt;="&amp;$DG32,$B32:$Y32)),
IF(AN$3=$DF32+'Model Setup'!$C$7,SUMIF($AD$3:$BA$3,"="&amp;$DF32+'Model Setup'!$C$7,$B32:$Y32)+'Model Setup'!$C$8*(SUMIF($AD$3:$BA$3,"&lt;"&amp;$DF32,$B32:$Y32)+SUMIF($AD$3:$BA$3,"&gt;="&amp;$DG32,$B32:$Y32)),
IF(AN$3=$DF32+'Model Setup'!$D$7,SUMIF($AD$3:$BA$3,"="&amp;$DF32+'Model Setup'!$D$7,$B32:$Y32)+'Model Setup'!$D$8*(SUMIF($AD$3:$BA$3,"&lt;"&amp;$DF32,$B32:$Y32)+SUMIF($AD$3:$BA$3,"&gt;="&amp;$DG32,$B32:$Y32)),
IF(AN$3=$DF32+'Model Setup'!$E$7,SUMIF($AD$3:$BA$3,"="&amp;$DF32+'Model Setup'!$E$7,$B32:$Y32)+'Model Setup'!$E$8*(SUMIF($AD$3:$BA$3,"&lt;"&amp;$DF32,$B32:$Y32)+SUMIF($AD$3:$BA$3,"&gt;="&amp;$DG32,$B32:$Y32)),
IF(AN$3=$DF32+'Model Setup'!$F$7,SUMIF($AD$3:$BA$3,"="&amp;$DF32+'Model Setup'!$F$7,$B32:$Y32)+'Model Setup'!$F$8*(SUMIF($AD$3:$BA$3,"&lt;"&amp;$DF32,$B32:$Y32)+SUMIF($AD$3:$BA$3,"&gt;="&amp;$DG32,$B32:$Y32)),
IF(AN$3=$DF32+'Model Setup'!$G$7,SUMIF($AD$3:$BA$3,"="&amp;$DF32+'Model Setup'!$G$7,$B32:$Y32)+'Model Setup'!$G$8*(SUMIF($AD$3:$BA$3,"&lt;"&amp;$DF32,$B32:$Y32)+SUMIF($AD$3:$BA$3,"&gt;="&amp;$DG32,$B32:$Y32)),
IF(AN$3=$DF32+'Model Setup'!$H$7,SUMIF($AD$3:$BA$3,"="&amp;$DF32+'Model Setup'!$H$7,$B32:$Y32)+'Model Setup'!$H$8*(SUMIF($AD$3:$BA$3,"&lt;"&amp;$DF32,$B32:$Y32)+SUMIF($AD$3:$BA$3,"&gt;="&amp;$DG32,$B32:$Y32)),
IF(AN$3=$DF32+'Model Setup'!$I$7,SUMIF($AD$3:$BA$3,"="&amp;$DF32+'Model Setup'!$I$7,$B32:$Y32)+'Model Setup'!$I$8*(SUMIF($AD$3:$BA$3,"&lt;"&amp;$DF32,$B32:$Y32)+SUMIF($AD$3:$BA$3,"&gt;="&amp;$DG32,$B32:$Y32)),
IF(AN$3=$DF32+'Model Setup'!$J$7,SUMIF($AD$3:$BA$3,"="&amp;$DF32+'Model Setup'!$J$7,$B32:$Y32)+'Model Setup'!$J$8*(SUMIF($AD$3:$BA$3,"&lt;"&amp;$DF32,$B32:$Y32)+SUMIF($AD$3:$BA$3,"&gt;="&amp;$DG32,$B32:$Y32)),
IF(AN$3=$DF32+'Model Setup'!$K$7,SUMIF($AD$3:$BA$3,"="&amp;$DF32+'Model Setup'!$K$7,$B32:$Y32)+'Model Setup'!$K$8*(SUMIF($AD$3:$BA$3,"&lt;"&amp;$DF32,$B32:$Y32)+SUMIF($AD$3:$BA$3,"&gt;="&amp;$DG32,$B32:$Y32)),
IF(AN$3=$DF32+'Model Setup'!$L$7,SUMIF($AD$3:$BA$3,"="&amp;$DF32+'Model Setup'!$L$7,$B32:$Y32)+'Model Setup'!$L$8*(SUMIF($AD$3:$BA$3,"&lt;"&amp;$DF32,$B32:$Y32)+SUMIF($AD$3:$BA$3,"&gt;="&amp;$DG32,$B32:$Y32)),
IF(AN$3=$DF32+'Model Setup'!$M$7,SUMIF($AD$3:$BA$3,"="&amp;$DF32+'Model Setup'!$M$7,$B32:$Y32)+'Model Setup'!$M$8*(SUMIF($AD$3:$BA$3,"&lt;"&amp;$DF32,$B32:$Y32)+SUMIF($AD$3:$BA$3,"&gt;="&amp;$DG32,$B32:$Y32)),
IF(AN$3=$DF32+'Model Setup'!$N$7,SUMIF($AD$3:$BA$3,"="&amp;$DF32+'Model Setup'!$N$7,$B32:$Y32)+'Model Setup'!$N$8*(SUMIF($AD$3:$BA$3,"&lt;"&amp;$DF32,$B32:$Y32)+SUMIF($AD$3:$BA$3,"&gt;="&amp;$DG32,$B32:$Y32)),
IF(AN$3&lt;$DG32,L32,0))))))))))))))),0)</f>
        <v>113</v>
      </c>
      <c r="AO32" s="47">
        <f>ROUND(IF(AO$3&lt;$DF32,0,
IF(AO$3=$DF32+'Model Setup'!$B$7,SUMIF($AD$3:$BA$3,"="&amp;$DF32+'Model Setup'!$B$7,$B32:$Y32)+'Model Setup'!$B$8*(SUMIF($AD$3:$BA$3,"&lt;"&amp;$DF32,$B32:$Y32)+SUMIF($AD$3:$BA$3,"&gt;="&amp;$DG32,$B32:$Y32)),
IF(AO$3=$DF32+'Model Setup'!$C$7,SUMIF($AD$3:$BA$3,"="&amp;$DF32+'Model Setup'!$C$7,$B32:$Y32)+'Model Setup'!$C$8*(SUMIF($AD$3:$BA$3,"&lt;"&amp;$DF32,$B32:$Y32)+SUMIF($AD$3:$BA$3,"&gt;="&amp;$DG32,$B32:$Y32)),
IF(AO$3=$DF32+'Model Setup'!$D$7,SUMIF($AD$3:$BA$3,"="&amp;$DF32+'Model Setup'!$D$7,$B32:$Y32)+'Model Setup'!$D$8*(SUMIF($AD$3:$BA$3,"&lt;"&amp;$DF32,$B32:$Y32)+SUMIF($AD$3:$BA$3,"&gt;="&amp;$DG32,$B32:$Y32)),
IF(AO$3=$DF32+'Model Setup'!$E$7,SUMIF($AD$3:$BA$3,"="&amp;$DF32+'Model Setup'!$E$7,$B32:$Y32)+'Model Setup'!$E$8*(SUMIF($AD$3:$BA$3,"&lt;"&amp;$DF32,$B32:$Y32)+SUMIF($AD$3:$BA$3,"&gt;="&amp;$DG32,$B32:$Y32)),
IF(AO$3=$DF32+'Model Setup'!$F$7,SUMIF($AD$3:$BA$3,"="&amp;$DF32+'Model Setup'!$F$7,$B32:$Y32)+'Model Setup'!$F$8*(SUMIF($AD$3:$BA$3,"&lt;"&amp;$DF32,$B32:$Y32)+SUMIF($AD$3:$BA$3,"&gt;="&amp;$DG32,$B32:$Y32)),
IF(AO$3=$DF32+'Model Setup'!$G$7,SUMIF($AD$3:$BA$3,"="&amp;$DF32+'Model Setup'!$G$7,$B32:$Y32)+'Model Setup'!$G$8*(SUMIF($AD$3:$BA$3,"&lt;"&amp;$DF32,$B32:$Y32)+SUMIF($AD$3:$BA$3,"&gt;="&amp;$DG32,$B32:$Y32)),
IF(AO$3=$DF32+'Model Setup'!$H$7,SUMIF($AD$3:$BA$3,"="&amp;$DF32+'Model Setup'!$H$7,$B32:$Y32)+'Model Setup'!$H$8*(SUMIF($AD$3:$BA$3,"&lt;"&amp;$DF32,$B32:$Y32)+SUMIF($AD$3:$BA$3,"&gt;="&amp;$DG32,$B32:$Y32)),
IF(AO$3=$DF32+'Model Setup'!$I$7,SUMIF($AD$3:$BA$3,"="&amp;$DF32+'Model Setup'!$I$7,$B32:$Y32)+'Model Setup'!$I$8*(SUMIF($AD$3:$BA$3,"&lt;"&amp;$DF32,$B32:$Y32)+SUMIF($AD$3:$BA$3,"&gt;="&amp;$DG32,$B32:$Y32)),
IF(AO$3=$DF32+'Model Setup'!$J$7,SUMIF($AD$3:$BA$3,"="&amp;$DF32+'Model Setup'!$J$7,$B32:$Y32)+'Model Setup'!$J$8*(SUMIF($AD$3:$BA$3,"&lt;"&amp;$DF32,$B32:$Y32)+SUMIF($AD$3:$BA$3,"&gt;="&amp;$DG32,$B32:$Y32)),
IF(AO$3=$DF32+'Model Setup'!$K$7,SUMIF($AD$3:$BA$3,"="&amp;$DF32+'Model Setup'!$K$7,$B32:$Y32)+'Model Setup'!$K$8*(SUMIF($AD$3:$BA$3,"&lt;"&amp;$DF32,$B32:$Y32)+SUMIF($AD$3:$BA$3,"&gt;="&amp;$DG32,$B32:$Y32)),
IF(AO$3=$DF32+'Model Setup'!$L$7,SUMIF($AD$3:$BA$3,"="&amp;$DF32+'Model Setup'!$L$7,$B32:$Y32)+'Model Setup'!$L$8*(SUMIF($AD$3:$BA$3,"&lt;"&amp;$DF32,$B32:$Y32)+SUMIF($AD$3:$BA$3,"&gt;="&amp;$DG32,$B32:$Y32)),
IF(AO$3=$DF32+'Model Setup'!$M$7,SUMIF($AD$3:$BA$3,"="&amp;$DF32+'Model Setup'!$M$7,$B32:$Y32)+'Model Setup'!$M$8*(SUMIF($AD$3:$BA$3,"&lt;"&amp;$DF32,$B32:$Y32)+SUMIF($AD$3:$BA$3,"&gt;="&amp;$DG32,$B32:$Y32)),
IF(AO$3=$DF32+'Model Setup'!$N$7,SUMIF($AD$3:$BA$3,"="&amp;$DF32+'Model Setup'!$N$7,$B32:$Y32)+'Model Setup'!$N$8*(SUMIF($AD$3:$BA$3,"&lt;"&amp;$DF32,$B32:$Y32)+SUMIF($AD$3:$BA$3,"&gt;="&amp;$DG32,$B32:$Y32)),
IF(AO$3&lt;$DG32,M32,0))))))))))))))),0)</f>
        <v>85</v>
      </c>
      <c r="AP32" s="47">
        <f>ROUND(IF(AP$3&lt;$DF32,0,
IF(AP$3=$DF32+'Model Setup'!$B$7,SUMIF($AD$3:$BA$3,"="&amp;$DF32+'Model Setup'!$B$7,$B32:$Y32)+'Model Setup'!$B$8*(SUMIF($AD$3:$BA$3,"&lt;"&amp;$DF32,$B32:$Y32)+SUMIF($AD$3:$BA$3,"&gt;="&amp;$DG32,$B32:$Y32)),
IF(AP$3=$DF32+'Model Setup'!$C$7,SUMIF($AD$3:$BA$3,"="&amp;$DF32+'Model Setup'!$C$7,$B32:$Y32)+'Model Setup'!$C$8*(SUMIF($AD$3:$BA$3,"&lt;"&amp;$DF32,$B32:$Y32)+SUMIF($AD$3:$BA$3,"&gt;="&amp;$DG32,$B32:$Y32)),
IF(AP$3=$DF32+'Model Setup'!$D$7,SUMIF($AD$3:$BA$3,"="&amp;$DF32+'Model Setup'!$D$7,$B32:$Y32)+'Model Setup'!$D$8*(SUMIF($AD$3:$BA$3,"&lt;"&amp;$DF32,$B32:$Y32)+SUMIF($AD$3:$BA$3,"&gt;="&amp;$DG32,$B32:$Y32)),
IF(AP$3=$DF32+'Model Setup'!$E$7,SUMIF($AD$3:$BA$3,"="&amp;$DF32+'Model Setup'!$E$7,$B32:$Y32)+'Model Setup'!$E$8*(SUMIF($AD$3:$BA$3,"&lt;"&amp;$DF32,$B32:$Y32)+SUMIF($AD$3:$BA$3,"&gt;="&amp;$DG32,$B32:$Y32)),
IF(AP$3=$DF32+'Model Setup'!$F$7,SUMIF($AD$3:$BA$3,"="&amp;$DF32+'Model Setup'!$F$7,$B32:$Y32)+'Model Setup'!$F$8*(SUMIF($AD$3:$BA$3,"&lt;"&amp;$DF32,$B32:$Y32)+SUMIF($AD$3:$BA$3,"&gt;="&amp;$DG32,$B32:$Y32)),
IF(AP$3=$DF32+'Model Setup'!$G$7,SUMIF($AD$3:$BA$3,"="&amp;$DF32+'Model Setup'!$G$7,$B32:$Y32)+'Model Setup'!$G$8*(SUMIF($AD$3:$BA$3,"&lt;"&amp;$DF32,$B32:$Y32)+SUMIF($AD$3:$BA$3,"&gt;="&amp;$DG32,$B32:$Y32)),
IF(AP$3=$DF32+'Model Setup'!$H$7,SUMIF($AD$3:$BA$3,"="&amp;$DF32+'Model Setup'!$H$7,$B32:$Y32)+'Model Setup'!$H$8*(SUMIF($AD$3:$BA$3,"&lt;"&amp;$DF32,$B32:$Y32)+SUMIF($AD$3:$BA$3,"&gt;="&amp;$DG32,$B32:$Y32)),
IF(AP$3=$DF32+'Model Setup'!$I$7,SUMIF($AD$3:$BA$3,"="&amp;$DF32+'Model Setup'!$I$7,$B32:$Y32)+'Model Setup'!$I$8*(SUMIF($AD$3:$BA$3,"&lt;"&amp;$DF32,$B32:$Y32)+SUMIF($AD$3:$BA$3,"&gt;="&amp;$DG32,$B32:$Y32)),
IF(AP$3=$DF32+'Model Setup'!$J$7,SUMIF($AD$3:$BA$3,"="&amp;$DF32+'Model Setup'!$J$7,$B32:$Y32)+'Model Setup'!$J$8*(SUMIF($AD$3:$BA$3,"&lt;"&amp;$DF32,$B32:$Y32)+SUMIF($AD$3:$BA$3,"&gt;="&amp;$DG32,$B32:$Y32)),
IF(AP$3=$DF32+'Model Setup'!$K$7,SUMIF($AD$3:$BA$3,"="&amp;$DF32+'Model Setup'!$K$7,$B32:$Y32)+'Model Setup'!$K$8*(SUMIF($AD$3:$BA$3,"&lt;"&amp;$DF32,$B32:$Y32)+SUMIF($AD$3:$BA$3,"&gt;="&amp;$DG32,$B32:$Y32)),
IF(AP$3=$DF32+'Model Setup'!$L$7,SUMIF($AD$3:$BA$3,"="&amp;$DF32+'Model Setup'!$L$7,$B32:$Y32)+'Model Setup'!$L$8*(SUMIF($AD$3:$BA$3,"&lt;"&amp;$DF32,$B32:$Y32)+SUMIF($AD$3:$BA$3,"&gt;="&amp;$DG32,$B32:$Y32)),
IF(AP$3=$DF32+'Model Setup'!$M$7,SUMIF($AD$3:$BA$3,"="&amp;$DF32+'Model Setup'!$M$7,$B32:$Y32)+'Model Setup'!$M$8*(SUMIF($AD$3:$BA$3,"&lt;"&amp;$DF32,$B32:$Y32)+SUMIF($AD$3:$BA$3,"&gt;="&amp;$DG32,$B32:$Y32)),
IF(AP$3=$DF32+'Model Setup'!$N$7,SUMIF($AD$3:$BA$3,"="&amp;$DF32+'Model Setup'!$N$7,$B32:$Y32)+'Model Setup'!$N$8*(SUMIF($AD$3:$BA$3,"&lt;"&amp;$DF32,$B32:$Y32)+SUMIF($AD$3:$BA$3,"&gt;="&amp;$DG32,$B32:$Y32)),
IF(AP$3&lt;$DG32,N32,0))))))))))))))),0)</f>
        <v>56</v>
      </c>
      <c r="AQ32" s="47">
        <f>ROUND(IF(AQ$3&lt;$DF32,0,
IF(AQ$3=$DF32+'Model Setup'!$B$7,SUMIF($AD$3:$BA$3,"="&amp;$DF32+'Model Setup'!$B$7,$B32:$Y32)+'Model Setup'!$B$8*(SUMIF($AD$3:$BA$3,"&lt;"&amp;$DF32,$B32:$Y32)+SUMIF($AD$3:$BA$3,"&gt;="&amp;$DG32,$B32:$Y32)),
IF(AQ$3=$DF32+'Model Setup'!$C$7,SUMIF($AD$3:$BA$3,"="&amp;$DF32+'Model Setup'!$C$7,$B32:$Y32)+'Model Setup'!$C$8*(SUMIF($AD$3:$BA$3,"&lt;"&amp;$DF32,$B32:$Y32)+SUMIF($AD$3:$BA$3,"&gt;="&amp;$DG32,$B32:$Y32)),
IF(AQ$3=$DF32+'Model Setup'!$D$7,SUMIF($AD$3:$BA$3,"="&amp;$DF32+'Model Setup'!$D$7,$B32:$Y32)+'Model Setup'!$D$8*(SUMIF($AD$3:$BA$3,"&lt;"&amp;$DF32,$B32:$Y32)+SUMIF($AD$3:$BA$3,"&gt;="&amp;$DG32,$B32:$Y32)),
IF(AQ$3=$DF32+'Model Setup'!$E$7,SUMIF($AD$3:$BA$3,"="&amp;$DF32+'Model Setup'!$E$7,$B32:$Y32)+'Model Setup'!$E$8*(SUMIF($AD$3:$BA$3,"&lt;"&amp;$DF32,$B32:$Y32)+SUMIF($AD$3:$BA$3,"&gt;="&amp;$DG32,$B32:$Y32)),
IF(AQ$3=$DF32+'Model Setup'!$F$7,SUMIF($AD$3:$BA$3,"="&amp;$DF32+'Model Setup'!$F$7,$B32:$Y32)+'Model Setup'!$F$8*(SUMIF($AD$3:$BA$3,"&lt;"&amp;$DF32,$B32:$Y32)+SUMIF($AD$3:$BA$3,"&gt;="&amp;$DG32,$B32:$Y32)),
IF(AQ$3=$DF32+'Model Setup'!$G$7,SUMIF($AD$3:$BA$3,"="&amp;$DF32+'Model Setup'!$G$7,$B32:$Y32)+'Model Setup'!$G$8*(SUMIF($AD$3:$BA$3,"&lt;"&amp;$DF32,$B32:$Y32)+SUMIF($AD$3:$BA$3,"&gt;="&amp;$DG32,$B32:$Y32)),
IF(AQ$3=$DF32+'Model Setup'!$H$7,SUMIF($AD$3:$BA$3,"="&amp;$DF32+'Model Setup'!$H$7,$B32:$Y32)+'Model Setup'!$H$8*(SUMIF($AD$3:$BA$3,"&lt;"&amp;$DF32,$B32:$Y32)+SUMIF($AD$3:$BA$3,"&gt;="&amp;$DG32,$B32:$Y32)),
IF(AQ$3=$DF32+'Model Setup'!$I$7,SUMIF($AD$3:$BA$3,"="&amp;$DF32+'Model Setup'!$I$7,$B32:$Y32)+'Model Setup'!$I$8*(SUMIF($AD$3:$BA$3,"&lt;"&amp;$DF32,$B32:$Y32)+SUMIF($AD$3:$BA$3,"&gt;="&amp;$DG32,$B32:$Y32)),
IF(AQ$3=$DF32+'Model Setup'!$J$7,SUMIF($AD$3:$BA$3,"="&amp;$DF32+'Model Setup'!$J$7,$B32:$Y32)+'Model Setup'!$J$8*(SUMIF($AD$3:$BA$3,"&lt;"&amp;$DF32,$B32:$Y32)+SUMIF($AD$3:$BA$3,"&gt;="&amp;$DG32,$B32:$Y32)),
IF(AQ$3=$DF32+'Model Setup'!$K$7,SUMIF($AD$3:$BA$3,"="&amp;$DF32+'Model Setup'!$K$7,$B32:$Y32)+'Model Setup'!$K$8*(SUMIF($AD$3:$BA$3,"&lt;"&amp;$DF32,$B32:$Y32)+SUMIF($AD$3:$BA$3,"&gt;="&amp;$DG32,$B32:$Y32)),
IF(AQ$3=$DF32+'Model Setup'!$L$7,SUMIF($AD$3:$BA$3,"="&amp;$DF32+'Model Setup'!$L$7,$B32:$Y32)+'Model Setup'!$L$8*(SUMIF($AD$3:$BA$3,"&lt;"&amp;$DF32,$B32:$Y32)+SUMIF($AD$3:$BA$3,"&gt;="&amp;$DG32,$B32:$Y32)),
IF(AQ$3=$DF32+'Model Setup'!$M$7,SUMIF($AD$3:$BA$3,"="&amp;$DF32+'Model Setup'!$M$7,$B32:$Y32)+'Model Setup'!$M$8*(SUMIF($AD$3:$BA$3,"&lt;"&amp;$DF32,$B32:$Y32)+SUMIF($AD$3:$BA$3,"&gt;="&amp;$DG32,$B32:$Y32)),
IF(AQ$3=$DF32+'Model Setup'!$N$7,SUMIF($AD$3:$BA$3,"="&amp;$DF32+'Model Setup'!$N$7,$B32:$Y32)+'Model Setup'!$N$8*(SUMIF($AD$3:$BA$3,"&lt;"&amp;$DF32,$B32:$Y32)+SUMIF($AD$3:$BA$3,"&gt;="&amp;$DG32,$B32:$Y32)),
IF(AQ$3&lt;$DG32,O32,0))))))))))))))),0)</f>
        <v>61</v>
      </c>
      <c r="AR32" s="47">
        <f>ROUND(IF(AR$3&lt;$DF32,0,
IF(AR$3=$DF32+'Model Setup'!$B$7,SUMIF($AD$3:$BA$3,"="&amp;$DF32+'Model Setup'!$B$7,$B32:$Y32)+'Model Setup'!$B$8*(SUMIF($AD$3:$BA$3,"&lt;"&amp;$DF32,$B32:$Y32)+SUMIF($AD$3:$BA$3,"&gt;="&amp;$DG32,$B32:$Y32)),
IF(AR$3=$DF32+'Model Setup'!$C$7,SUMIF($AD$3:$BA$3,"="&amp;$DF32+'Model Setup'!$C$7,$B32:$Y32)+'Model Setup'!$C$8*(SUMIF($AD$3:$BA$3,"&lt;"&amp;$DF32,$B32:$Y32)+SUMIF($AD$3:$BA$3,"&gt;="&amp;$DG32,$B32:$Y32)),
IF(AR$3=$DF32+'Model Setup'!$D$7,SUMIF($AD$3:$BA$3,"="&amp;$DF32+'Model Setup'!$D$7,$B32:$Y32)+'Model Setup'!$D$8*(SUMIF($AD$3:$BA$3,"&lt;"&amp;$DF32,$B32:$Y32)+SUMIF($AD$3:$BA$3,"&gt;="&amp;$DG32,$B32:$Y32)),
IF(AR$3=$DF32+'Model Setup'!$E$7,SUMIF($AD$3:$BA$3,"="&amp;$DF32+'Model Setup'!$E$7,$B32:$Y32)+'Model Setup'!$E$8*(SUMIF($AD$3:$BA$3,"&lt;"&amp;$DF32,$B32:$Y32)+SUMIF($AD$3:$BA$3,"&gt;="&amp;$DG32,$B32:$Y32)),
IF(AR$3=$DF32+'Model Setup'!$F$7,SUMIF($AD$3:$BA$3,"="&amp;$DF32+'Model Setup'!$F$7,$B32:$Y32)+'Model Setup'!$F$8*(SUMIF($AD$3:$BA$3,"&lt;"&amp;$DF32,$B32:$Y32)+SUMIF($AD$3:$BA$3,"&gt;="&amp;$DG32,$B32:$Y32)),
IF(AR$3=$DF32+'Model Setup'!$G$7,SUMIF($AD$3:$BA$3,"="&amp;$DF32+'Model Setup'!$G$7,$B32:$Y32)+'Model Setup'!$G$8*(SUMIF($AD$3:$BA$3,"&lt;"&amp;$DF32,$B32:$Y32)+SUMIF($AD$3:$BA$3,"&gt;="&amp;$DG32,$B32:$Y32)),
IF(AR$3=$DF32+'Model Setup'!$H$7,SUMIF($AD$3:$BA$3,"="&amp;$DF32+'Model Setup'!$H$7,$B32:$Y32)+'Model Setup'!$H$8*(SUMIF($AD$3:$BA$3,"&lt;"&amp;$DF32,$B32:$Y32)+SUMIF($AD$3:$BA$3,"&gt;="&amp;$DG32,$B32:$Y32)),
IF(AR$3=$DF32+'Model Setup'!$I$7,SUMIF($AD$3:$BA$3,"="&amp;$DF32+'Model Setup'!$I$7,$B32:$Y32)+'Model Setup'!$I$8*(SUMIF($AD$3:$BA$3,"&lt;"&amp;$DF32,$B32:$Y32)+SUMIF($AD$3:$BA$3,"&gt;="&amp;$DG32,$B32:$Y32)),
IF(AR$3=$DF32+'Model Setup'!$J$7,SUMIF($AD$3:$BA$3,"="&amp;$DF32+'Model Setup'!$J$7,$B32:$Y32)+'Model Setup'!$J$8*(SUMIF($AD$3:$BA$3,"&lt;"&amp;$DF32,$B32:$Y32)+SUMIF($AD$3:$BA$3,"&gt;="&amp;$DG32,$B32:$Y32)),
IF(AR$3=$DF32+'Model Setup'!$K$7,SUMIF($AD$3:$BA$3,"="&amp;$DF32+'Model Setup'!$K$7,$B32:$Y32)+'Model Setup'!$K$8*(SUMIF($AD$3:$BA$3,"&lt;"&amp;$DF32,$B32:$Y32)+SUMIF($AD$3:$BA$3,"&gt;="&amp;$DG32,$B32:$Y32)),
IF(AR$3=$DF32+'Model Setup'!$L$7,SUMIF($AD$3:$BA$3,"="&amp;$DF32+'Model Setup'!$L$7,$B32:$Y32)+'Model Setup'!$L$8*(SUMIF($AD$3:$BA$3,"&lt;"&amp;$DF32,$B32:$Y32)+SUMIF($AD$3:$BA$3,"&gt;="&amp;$DG32,$B32:$Y32)),
IF(AR$3=$DF32+'Model Setup'!$M$7,SUMIF($AD$3:$BA$3,"="&amp;$DF32+'Model Setup'!$M$7,$B32:$Y32)+'Model Setup'!$M$8*(SUMIF($AD$3:$BA$3,"&lt;"&amp;$DF32,$B32:$Y32)+SUMIF($AD$3:$BA$3,"&gt;="&amp;$DG32,$B32:$Y32)),
IF(AR$3=$DF32+'Model Setup'!$N$7,SUMIF($AD$3:$BA$3,"="&amp;$DF32+'Model Setup'!$N$7,$B32:$Y32)+'Model Setup'!$N$8*(SUMIF($AD$3:$BA$3,"&lt;"&amp;$DF32,$B32:$Y32)+SUMIF($AD$3:$BA$3,"&gt;="&amp;$DG32,$B32:$Y32)),
IF(AR$3&lt;$DG32,P32,0))))))))))))))),0)</f>
        <v>43</v>
      </c>
      <c r="AS32" s="47">
        <f>ROUND(IF(AS$3&lt;$DF32,0,
IF(AS$3=$DF32+'Model Setup'!$B$7,SUMIF($AD$3:$BA$3,"="&amp;$DF32+'Model Setup'!$B$7,$B32:$Y32)+'Model Setup'!$B$8*(SUMIF($AD$3:$BA$3,"&lt;"&amp;$DF32,$B32:$Y32)+SUMIF($AD$3:$BA$3,"&gt;="&amp;$DG32,$B32:$Y32)),
IF(AS$3=$DF32+'Model Setup'!$C$7,SUMIF($AD$3:$BA$3,"="&amp;$DF32+'Model Setup'!$C$7,$B32:$Y32)+'Model Setup'!$C$8*(SUMIF($AD$3:$BA$3,"&lt;"&amp;$DF32,$B32:$Y32)+SUMIF($AD$3:$BA$3,"&gt;="&amp;$DG32,$B32:$Y32)),
IF(AS$3=$DF32+'Model Setup'!$D$7,SUMIF($AD$3:$BA$3,"="&amp;$DF32+'Model Setup'!$D$7,$B32:$Y32)+'Model Setup'!$D$8*(SUMIF($AD$3:$BA$3,"&lt;"&amp;$DF32,$B32:$Y32)+SUMIF($AD$3:$BA$3,"&gt;="&amp;$DG32,$B32:$Y32)),
IF(AS$3=$DF32+'Model Setup'!$E$7,SUMIF($AD$3:$BA$3,"="&amp;$DF32+'Model Setup'!$E$7,$B32:$Y32)+'Model Setup'!$E$8*(SUMIF($AD$3:$BA$3,"&lt;"&amp;$DF32,$B32:$Y32)+SUMIF($AD$3:$BA$3,"&gt;="&amp;$DG32,$B32:$Y32)),
IF(AS$3=$DF32+'Model Setup'!$F$7,SUMIF($AD$3:$BA$3,"="&amp;$DF32+'Model Setup'!$F$7,$B32:$Y32)+'Model Setup'!$F$8*(SUMIF($AD$3:$BA$3,"&lt;"&amp;$DF32,$B32:$Y32)+SUMIF($AD$3:$BA$3,"&gt;="&amp;$DG32,$B32:$Y32)),
IF(AS$3=$DF32+'Model Setup'!$G$7,SUMIF($AD$3:$BA$3,"="&amp;$DF32+'Model Setup'!$G$7,$B32:$Y32)+'Model Setup'!$G$8*(SUMIF($AD$3:$BA$3,"&lt;"&amp;$DF32,$B32:$Y32)+SUMIF($AD$3:$BA$3,"&gt;="&amp;$DG32,$B32:$Y32)),
IF(AS$3=$DF32+'Model Setup'!$H$7,SUMIF($AD$3:$BA$3,"="&amp;$DF32+'Model Setup'!$H$7,$B32:$Y32)+'Model Setup'!$H$8*(SUMIF($AD$3:$BA$3,"&lt;"&amp;$DF32,$B32:$Y32)+SUMIF($AD$3:$BA$3,"&gt;="&amp;$DG32,$B32:$Y32)),
IF(AS$3=$DF32+'Model Setup'!$I$7,SUMIF($AD$3:$BA$3,"="&amp;$DF32+'Model Setup'!$I$7,$B32:$Y32)+'Model Setup'!$I$8*(SUMIF($AD$3:$BA$3,"&lt;"&amp;$DF32,$B32:$Y32)+SUMIF($AD$3:$BA$3,"&gt;="&amp;$DG32,$B32:$Y32)),
IF(AS$3=$DF32+'Model Setup'!$J$7,SUMIF($AD$3:$BA$3,"="&amp;$DF32+'Model Setup'!$J$7,$B32:$Y32)+'Model Setup'!$J$8*(SUMIF($AD$3:$BA$3,"&lt;"&amp;$DF32,$B32:$Y32)+SUMIF($AD$3:$BA$3,"&gt;="&amp;$DG32,$B32:$Y32)),
IF(AS$3=$DF32+'Model Setup'!$K$7,SUMIF($AD$3:$BA$3,"="&amp;$DF32+'Model Setup'!$K$7,$B32:$Y32)+'Model Setup'!$K$8*(SUMIF($AD$3:$BA$3,"&lt;"&amp;$DF32,$B32:$Y32)+SUMIF($AD$3:$BA$3,"&gt;="&amp;$DG32,$B32:$Y32)),
IF(AS$3=$DF32+'Model Setup'!$L$7,SUMIF($AD$3:$BA$3,"="&amp;$DF32+'Model Setup'!$L$7,$B32:$Y32)+'Model Setup'!$L$8*(SUMIF($AD$3:$BA$3,"&lt;"&amp;$DF32,$B32:$Y32)+SUMIF($AD$3:$BA$3,"&gt;="&amp;$DG32,$B32:$Y32)),
IF(AS$3=$DF32+'Model Setup'!$M$7,SUMIF($AD$3:$BA$3,"="&amp;$DF32+'Model Setup'!$M$7,$B32:$Y32)+'Model Setup'!$M$8*(SUMIF($AD$3:$BA$3,"&lt;"&amp;$DF32,$B32:$Y32)+SUMIF($AD$3:$BA$3,"&gt;="&amp;$DG32,$B32:$Y32)),
IF(AS$3=$DF32+'Model Setup'!$N$7,SUMIF($AD$3:$BA$3,"="&amp;$DF32+'Model Setup'!$N$7,$B32:$Y32)+'Model Setup'!$N$8*(SUMIF($AD$3:$BA$3,"&lt;"&amp;$DF32,$B32:$Y32)+SUMIF($AD$3:$BA$3,"&gt;="&amp;$DG32,$B32:$Y32)),
IF(AS$3&lt;$DG32,Q32,0))))))))))))))),0)</f>
        <v>47</v>
      </c>
      <c r="AT32" s="47">
        <f>ROUND(IF(AT$3&lt;$DF32,0,
IF(AT$3=$DF32+'Model Setup'!$B$7,SUMIF($AD$3:$BA$3,"="&amp;$DF32+'Model Setup'!$B$7,$B32:$Y32)+'Model Setup'!$B$8*(SUMIF($AD$3:$BA$3,"&lt;"&amp;$DF32,$B32:$Y32)+SUMIF($AD$3:$BA$3,"&gt;="&amp;$DG32,$B32:$Y32)),
IF(AT$3=$DF32+'Model Setup'!$C$7,SUMIF($AD$3:$BA$3,"="&amp;$DF32+'Model Setup'!$C$7,$B32:$Y32)+'Model Setup'!$C$8*(SUMIF($AD$3:$BA$3,"&lt;"&amp;$DF32,$B32:$Y32)+SUMIF($AD$3:$BA$3,"&gt;="&amp;$DG32,$B32:$Y32)),
IF(AT$3=$DF32+'Model Setup'!$D$7,SUMIF($AD$3:$BA$3,"="&amp;$DF32+'Model Setup'!$D$7,$B32:$Y32)+'Model Setup'!$D$8*(SUMIF($AD$3:$BA$3,"&lt;"&amp;$DF32,$B32:$Y32)+SUMIF($AD$3:$BA$3,"&gt;="&amp;$DG32,$B32:$Y32)),
IF(AT$3=$DF32+'Model Setup'!$E$7,SUMIF($AD$3:$BA$3,"="&amp;$DF32+'Model Setup'!$E$7,$B32:$Y32)+'Model Setup'!$E$8*(SUMIF($AD$3:$BA$3,"&lt;"&amp;$DF32,$B32:$Y32)+SUMIF($AD$3:$BA$3,"&gt;="&amp;$DG32,$B32:$Y32)),
IF(AT$3=$DF32+'Model Setup'!$F$7,SUMIF($AD$3:$BA$3,"="&amp;$DF32+'Model Setup'!$F$7,$B32:$Y32)+'Model Setup'!$F$8*(SUMIF($AD$3:$BA$3,"&lt;"&amp;$DF32,$B32:$Y32)+SUMIF($AD$3:$BA$3,"&gt;="&amp;$DG32,$B32:$Y32)),
IF(AT$3=$DF32+'Model Setup'!$G$7,SUMIF($AD$3:$BA$3,"="&amp;$DF32+'Model Setup'!$G$7,$B32:$Y32)+'Model Setup'!$G$8*(SUMIF($AD$3:$BA$3,"&lt;"&amp;$DF32,$B32:$Y32)+SUMIF($AD$3:$BA$3,"&gt;="&amp;$DG32,$B32:$Y32)),
IF(AT$3=$DF32+'Model Setup'!$H$7,SUMIF($AD$3:$BA$3,"="&amp;$DF32+'Model Setup'!$H$7,$B32:$Y32)+'Model Setup'!$H$8*(SUMIF($AD$3:$BA$3,"&lt;"&amp;$DF32,$B32:$Y32)+SUMIF($AD$3:$BA$3,"&gt;="&amp;$DG32,$B32:$Y32)),
IF(AT$3=$DF32+'Model Setup'!$I$7,SUMIF($AD$3:$BA$3,"="&amp;$DF32+'Model Setup'!$I$7,$B32:$Y32)+'Model Setup'!$I$8*(SUMIF($AD$3:$BA$3,"&lt;"&amp;$DF32,$B32:$Y32)+SUMIF($AD$3:$BA$3,"&gt;="&amp;$DG32,$B32:$Y32)),
IF(AT$3=$DF32+'Model Setup'!$J$7,SUMIF($AD$3:$BA$3,"="&amp;$DF32+'Model Setup'!$J$7,$B32:$Y32)+'Model Setup'!$J$8*(SUMIF($AD$3:$BA$3,"&lt;"&amp;$DF32,$B32:$Y32)+SUMIF($AD$3:$BA$3,"&gt;="&amp;$DG32,$B32:$Y32)),
IF(AT$3=$DF32+'Model Setup'!$K$7,SUMIF($AD$3:$BA$3,"="&amp;$DF32+'Model Setup'!$K$7,$B32:$Y32)+'Model Setup'!$K$8*(SUMIF($AD$3:$BA$3,"&lt;"&amp;$DF32,$B32:$Y32)+SUMIF($AD$3:$BA$3,"&gt;="&amp;$DG32,$B32:$Y32)),
IF(AT$3=$DF32+'Model Setup'!$L$7,SUMIF($AD$3:$BA$3,"="&amp;$DF32+'Model Setup'!$L$7,$B32:$Y32)+'Model Setup'!$L$8*(SUMIF($AD$3:$BA$3,"&lt;"&amp;$DF32,$B32:$Y32)+SUMIF($AD$3:$BA$3,"&gt;="&amp;$DG32,$B32:$Y32)),
IF(AT$3=$DF32+'Model Setup'!$M$7,SUMIF($AD$3:$BA$3,"="&amp;$DF32+'Model Setup'!$M$7,$B32:$Y32)+'Model Setup'!$M$8*(SUMIF($AD$3:$BA$3,"&lt;"&amp;$DF32,$B32:$Y32)+SUMIF($AD$3:$BA$3,"&gt;="&amp;$DG32,$B32:$Y32)),
IF(AT$3=$DF32+'Model Setup'!$N$7,SUMIF($AD$3:$BA$3,"="&amp;$DF32+'Model Setup'!$N$7,$B32:$Y32)+'Model Setup'!$N$8*(SUMIF($AD$3:$BA$3,"&lt;"&amp;$DF32,$B32:$Y32)+SUMIF($AD$3:$BA$3,"&gt;="&amp;$DG32,$B32:$Y32)),
IF(AT$3&lt;$DG32,R32,0))))))))))))))),0)</f>
        <v>71</v>
      </c>
      <c r="AU32" s="47">
        <f>ROUND(IF(AU$3&lt;$DF32,0,
IF(AU$3=$DF32+'Model Setup'!$B$7,SUMIF($AD$3:$BA$3,"="&amp;$DF32+'Model Setup'!$B$7,$B32:$Y32)+'Model Setup'!$B$8*(SUMIF($AD$3:$BA$3,"&lt;"&amp;$DF32,$B32:$Y32)+SUMIF($AD$3:$BA$3,"&gt;="&amp;$DG32,$B32:$Y32)),
IF(AU$3=$DF32+'Model Setup'!$C$7,SUMIF($AD$3:$BA$3,"="&amp;$DF32+'Model Setup'!$C$7,$B32:$Y32)+'Model Setup'!$C$8*(SUMIF($AD$3:$BA$3,"&lt;"&amp;$DF32,$B32:$Y32)+SUMIF($AD$3:$BA$3,"&gt;="&amp;$DG32,$B32:$Y32)),
IF(AU$3=$DF32+'Model Setup'!$D$7,SUMIF($AD$3:$BA$3,"="&amp;$DF32+'Model Setup'!$D$7,$B32:$Y32)+'Model Setup'!$D$8*(SUMIF($AD$3:$BA$3,"&lt;"&amp;$DF32,$B32:$Y32)+SUMIF($AD$3:$BA$3,"&gt;="&amp;$DG32,$B32:$Y32)),
IF(AU$3=$DF32+'Model Setup'!$E$7,SUMIF($AD$3:$BA$3,"="&amp;$DF32+'Model Setup'!$E$7,$B32:$Y32)+'Model Setup'!$E$8*(SUMIF($AD$3:$BA$3,"&lt;"&amp;$DF32,$B32:$Y32)+SUMIF($AD$3:$BA$3,"&gt;="&amp;$DG32,$B32:$Y32)),
IF(AU$3=$DF32+'Model Setup'!$F$7,SUMIF($AD$3:$BA$3,"="&amp;$DF32+'Model Setup'!$F$7,$B32:$Y32)+'Model Setup'!$F$8*(SUMIF($AD$3:$BA$3,"&lt;"&amp;$DF32,$B32:$Y32)+SUMIF($AD$3:$BA$3,"&gt;="&amp;$DG32,$B32:$Y32)),
IF(AU$3=$DF32+'Model Setup'!$G$7,SUMIF($AD$3:$BA$3,"="&amp;$DF32+'Model Setup'!$G$7,$B32:$Y32)+'Model Setup'!$G$8*(SUMIF($AD$3:$BA$3,"&lt;"&amp;$DF32,$B32:$Y32)+SUMIF($AD$3:$BA$3,"&gt;="&amp;$DG32,$B32:$Y32)),
IF(AU$3=$DF32+'Model Setup'!$H$7,SUMIF($AD$3:$BA$3,"="&amp;$DF32+'Model Setup'!$H$7,$B32:$Y32)+'Model Setup'!$H$8*(SUMIF($AD$3:$BA$3,"&lt;"&amp;$DF32,$B32:$Y32)+SUMIF($AD$3:$BA$3,"&gt;="&amp;$DG32,$B32:$Y32)),
IF(AU$3=$DF32+'Model Setup'!$I$7,SUMIF($AD$3:$BA$3,"="&amp;$DF32+'Model Setup'!$I$7,$B32:$Y32)+'Model Setup'!$I$8*(SUMIF($AD$3:$BA$3,"&lt;"&amp;$DF32,$B32:$Y32)+SUMIF($AD$3:$BA$3,"&gt;="&amp;$DG32,$B32:$Y32)),
IF(AU$3=$DF32+'Model Setup'!$J$7,SUMIF($AD$3:$BA$3,"="&amp;$DF32+'Model Setup'!$J$7,$B32:$Y32)+'Model Setup'!$J$8*(SUMIF($AD$3:$BA$3,"&lt;"&amp;$DF32,$B32:$Y32)+SUMIF($AD$3:$BA$3,"&gt;="&amp;$DG32,$B32:$Y32)),
IF(AU$3=$DF32+'Model Setup'!$K$7,SUMIF($AD$3:$BA$3,"="&amp;$DF32+'Model Setup'!$K$7,$B32:$Y32)+'Model Setup'!$K$8*(SUMIF($AD$3:$BA$3,"&lt;"&amp;$DF32,$B32:$Y32)+SUMIF($AD$3:$BA$3,"&gt;="&amp;$DG32,$B32:$Y32)),
IF(AU$3=$DF32+'Model Setup'!$L$7,SUMIF($AD$3:$BA$3,"="&amp;$DF32+'Model Setup'!$L$7,$B32:$Y32)+'Model Setup'!$L$8*(SUMIF($AD$3:$BA$3,"&lt;"&amp;$DF32,$B32:$Y32)+SUMIF($AD$3:$BA$3,"&gt;="&amp;$DG32,$B32:$Y32)),
IF(AU$3=$DF32+'Model Setup'!$M$7,SUMIF($AD$3:$BA$3,"="&amp;$DF32+'Model Setup'!$M$7,$B32:$Y32)+'Model Setup'!$M$8*(SUMIF($AD$3:$BA$3,"&lt;"&amp;$DF32,$B32:$Y32)+SUMIF($AD$3:$BA$3,"&gt;="&amp;$DG32,$B32:$Y32)),
IF(AU$3=$DF32+'Model Setup'!$N$7,SUMIF($AD$3:$BA$3,"="&amp;$DF32+'Model Setup'!$N$7,$B32:$Y32)+'Model Setup'!$N$8*(SUMIF($AD$3:$BA$3,"&lt;"&amp;$DF32,$B32:$Y32)+SUMIF($AD$3:$BA$3,"&gt;="&amp;$DG32,$B32:$Y32)),
IF(AU$3&lt;$DG32,S32,0))))))))))))))),0)</f>
        <v>48</v>
      </c>
      <c r="AV32" s="47">
        <f>ROUND(IF(AV$3&lt;$DF32,0,
IF(AV$3=$DF32+'Model Setup'!$B$7,SUMIF($AD$3:$BA$3,"="&amp;$DF32+'Model Setup'!$B$7,$B32:$Y32)+'Model Setup'!$B$8*(SUMIF($AD$3:$BA$3,"&lt;"&amp;$DF32,$B32:$Y32)+SUMIF($AD$3:$BA$3,"&gt;="&amp;$DG32,$B32:$Y32)),
IF(AV$3=$DF32+'Model Setup'!$C$7,SUMIF($AD$3:$BA$3,"="&amp;$DF32+'Model Setup'!$C$7,$B32:$Y32)+'Model Setup'!$C$8*(SUMIF($AD$3:$BA$3,"&lt;"&amp;$DF32,$B32:$Y32)+SUMIF($AD$3:$BA$3,"&gt;="&amp;$DG32,$B32:$Y32)),
IF(AV$3=$DF32+'Model Setup'!$D$7,SUMIF($AD$3:$BA$3,"="&amp;$DF32+'Model Setup'!$D$7,$B32:$Y32)+'Model Setup'!$D$8*(SUMIF($AD$3:$BA$3,"&lt;"&amp;$DF32,$B32:$Y32)+SUMIF($AD$3:$BA$3,"&gt;="&amp;$DG32,$B32:$Y32)),
IF(AV$3=$DF32+'Model Setup'!$E$7,SUMIF($AD$3:$BA$3,"="&amp;$DF32+'Model Setup'!$E$7,$B32:$Y32)+'Model Setup'!$E$8*(SUMIF($AD$3:$BA$3,"&lt;"&amp;$DF32,$B32:$Y32)+SUMIF($AD$3:$BA$3,"&gt;="&amp;$DG32,$B32:$Y32)),
IF(AV$3=$DF32+'Model Setup'!$F$7,SUMIF($AD$3:$BA$3,"="&amp;$DF32+'Model Setup'!$F$7,$B32:$Y32)+'Model Setup'!$F$8*(SUMIF($AD$3:$BA$3,"&lt;"&amp;$DF32,$B32:$Y32)+SUMIF($AD$3:$BA$3,"&gt;="&amp;$DG32,$B32:$Y32)),
IF(AV$3=$DF32+'Model Setup'!$G$7,SUMIF($AD$3:$BA$3,"="&amp;$DF32+'Model Setup'!$G$7,$B32:$Y32)+'Model Setup'!$G$8*(SUMIF($AD$3:$BA$3,"&lt;"&amp;$DF32,$B32:$Y32)+SUMIF($AD$3:$BA$3,"&gt;="&amp;$DG32,$B32:$Y32)),
IF(AV$3=$DF32+'Model Setup'!$H$7,SUMIF($AD$3:$BA$3,"="&amp;$DF32+'Model Setup'!$H$7,$B32:$Y32)+'Model Setup'!$H$8*(SUMIF($AD$3:$BA$3,"&lt;"&amp;$DF32,$B32:$Y32)+SUMIF($AD$3:$BA$3,"&gt;="&amp;$DG32,$B32:$Y32)),
IF(AV$3=$DF32+'Model Setup'!$I$7,SUMIF($AD$3:$BA$3,"="&amp;$DF32+'Model Setup'!$I$7,$B32:$Y32)+'Model Setup'!$I$8*(SUMIF($AD$3:$BA$3,"&lt;"&amp;$DF32,$B32:$Y32)+SUMIF($AD$3:$BA$3,"&gt;="&amp;$DG32,$B32:$Y32)),
IF(AV$3=$DF32+'Model Setup'!$J$7,SUMIF($AD$3:$BA$3,"="&amp;$DF32+'Model Setup'!$J$7,$B32:$Y32)+'Model Setup'!$J$8*(SUMIF($AD$3:$BA$3,"&lt;"&amp;$DF32,$B32:$Y32)+SUMIF($AD$3:$BA$3,"&gt;="&amp;$DG32,$B32:$Y32)),
IF(AV$3=$DF32+'Model Setup'!$K$7,SUMIF($AD$3:$BA$3,"="&amp;$DF32+'Model Setup'!$K$7,$B32:$Y32)+'Model Setup'!$K$8*(SUMIF($AD$3:$BA$3,"&lt;"&amp;$DF32,$B32:$Y32)+SUMIF($AD$3:$BA$3,"&gt;="&amp;$DG32,$B32:$Y32)),
IF(AV$3=$DF32+'Model Setup'!$L$7,SUMIF($AD$3:$BA$3,"="&amp;$DF32+'Model Setup'!$L$7,$B32:$Y32)+'Model Setup'!$L$8*(SUMIF($AD$3:$BA$3,"&lt;"&amp;$DF32,$B32:$Y32)+SUMIF($AD$3:$BA$3,"&gt;="&amp;$DG32,$B32:$Y32)),
IF(AV$3=$DF32+'Model Setup'!$M$7,SUMIF($AD$3:$BA$3,"="&amp;$DF32+'Model Setup'!$M$7,$B32:$Y32)+'Model Setup'!$M$8*(SUMIF($AD$3:$BA$3,"&lt;"&amp;$DF32,$B32:$Y32)+SUMIF($AD$3:$BA$3,"&gt;="&amp;$DG32,$B32:$Y32)),
IF(AV$3=$DF32+'Model Setup'!$N$7,SUMIF($AD$3:$BA$3,"="&amp;$DF32+'Model Setup'!$N$7,$B32:$Y32)+'Model Setup'!$N$8*(SUMIF($AD$3:$BA$3,"&lt;"&amp;$DF32,$B32:$Y32)+SUMIF($AD$3:$BA$3,"&gt;="&amp;$DG32,$B32:$Y32)),
IF(AV$3&lt;$DG32,T32,0))))))))))))))),0)</f>
        <v>0</v>
      </c>
      <c r="AW32" s="47">
        <f>ROUND(IF(AW$3&lt;$DF32,0,
IF(AW$3=$DF32+'Model Setup'!$B$7,SUMIF($AD$3:$BA$3,"="&amp;$DF32+'Model Setup'!$B$7,$B32:$Y32)+'Model Setup'!$B$8*(SUMIF($AD$3:$BA$3,"&lt;"&amp;$DF32,$B32:$Y32)+SUMIF($AD$3:$BA$3,"&gt;="&amp;$DG32,$B32:$Y32)),
IF(AW$3=$DF32+'Model Setup'!$C$7,SUMIF($AD$3:$BA$3,"="&amp;$DF32+'Model Setup'!$C$7,$B32:$Y32)+'Model Setup'!$C$8*(SUMIF($AD$3:$BA$3,"&lt;"&amp;$DF32,$B32:$Y32)+SUMIF($AD$3:$BA$3,"&gt;="&amp;$DG32,$B32:$Y32)),
IF(AW$3=$DF32+'Model Setup'!$D$7,SUMIF($AD$3:$BA$3,"="&amp;$DF32+'Model Setup'!$D$7,$B32:$Y32)+'Model Setup'!$D$8*(SUMIF($AD$3:$BA$3,"&lt;"&amp;$DF32,$B32:$Y32)+SUMIF($AD$3:$BA$3,"&gt;="&amp;$DG32,$B32:$Y32)),
IF(AW$3=$DF32+'Model Setup'!$E$7,SUMIF($AD$3:$BA$3,"="&amp;$DF32+'Model Setup'!$E$7,$B32:$Y32)+'Model Setup'!$E$8*(SUMIF($AD$3:$BA$3,"&lt;"&amp;$DF32,$B32:$Y32)+SUMIF($AD$3:$BA$3,"&gt;="&amp;$DG32,$B32:$Y32)),
IF(AW$3=$DF32+'Model Setup'!$F$7,SUMIF($AD$3:$BA$3,"="&amp;$DF32+'Model Setup'!$F$7,$B32:$Y32)+'Model Setup'!$F$8*(SUMIF($AD$3:$BA$3,"&lt;"&amp;$DF32,$B32:$Y32)+SUMIF($AD$3:$BA$3,"&gt;="&amp;$DG32,$B32:$Y32)),
IF(AW$3=$DF32+'Model Setup'!$G$7,SUMIF($AD$3:$BA$3,"="&amp;$DF32+'Model Setup'!$G$7,$B32:$Y32)+'Model Setup'!$G$8*(SUMIF($AD$3:$BA$3,"&lt;"&amp;$DF32,$B32:$Y32)+SUMIF($AD$3:$BA$3,"&gt;="&amp;$DG32,$B32:$Y32)),
IF(AW$3=$DF32+'Model Setup'!$H$7,SUMIF($AD$3:$BA$3,"="&amp;$DF32+'Model Setup'!$H$7,$B32:$Y32)+'Model Setup'!$H$8*(SUMIF($AD$3:$BA$3,"&lt;"&amp;$DF32,$B32:$Y32)+SUMIF($AD$3:$BA$3,"&gt;="&amp;$DG32,$B32:$Y32)),
IF(AW$3=$DF32+'Model Setup'!$I$7,SUMIF($AD$3:$BA$3,"="&amp;$DF32+'Model Setup'!$I$7,$B32:$Y32)+'Model Setup'!$I$8*(SUMIF($AD$3:$BA$3,"&lt;"&amp;$DF32,$B32:$Y32)+SUMIF($AD$3:$BA$3,"&gt;="&amp;$DG32,$B32:$Y32)),
IF(AW$3=$DF32+'Model Setup'!$J$7,SUMIF($AD$3:$BA$3,"="&amp;$DF32+'Model Setup'!$J$7,$B32:$Y32)+'Model Setup'!$J$8*(SUMIF($AD$3:$BA$3,"&lt;"&amp;$DF32,$B32:$Y32)+SUMIF($AD$3:$BA$3,"&gt;="&amp;$DG32,$B32:$Y32)),
IF(AW$3=$DF32+'Model Setup'!$K$7,SUMIF($AD$3:$BA$3,"="&amp;$DF32+'Model Setup'!$K$7,$B32:$Y32)+'Model Setup'!$K$8*(SUMIF($AD$3:$BA$3,"&lt;"&amp;$DF32,$B32:$Y32)+SUMIF($AD$3:$BA$3,"&gt;="&amp;$DG32,$B32:$Y32)),
IF(AW$3=$DF32+'Model Setup'!$L$7,SUMIF($AD$3:$BA$3,"="&amp;$DF32+'Model Setup'!$L$7,$B32:$Y32)+'Model Setup'!$L$8*(SUMIF($AD$3:$BA$3,"&lt;"&amp;$DF32,$B32:$Y32)+SUMIF($AD$3:$BA$3,"&gt;="&amp;$DG32,$B32:$Y32)),
IF(AW$3=$DF32+'Model Setup'!$M$7,SUMIF($AD$3:$BA$3,"="&amp;$DF32+'Model Setup'!$M$7,$B32:$Y32)+'Model Setup'!$M$8*(SUMIF($AD$3:$BA$3,"&lt;"&amp;$DF32,$B32:$Y32)+SUMIF($AD$3:$BA$3,"&gt;="&amp;$DG32,$B32:$Y32)),
IF(AW$3=$DF32+'Model Setup'!$N$7,SUMIF($AD$3:$BA$3,"="&amp;$DF32+'Model Setup'!$N$7,$B32:$Y32)+'Model Setup'!$N$8*(SUMIF($AD$3:$BA$3,"&lt;"&amp;$DF32,$B32:$Y32)+SUMIF($AD$3:$BA$3,"&gt;="&amp;$DG32,$B32:$Y32)),
IF(AW$3&lt;$DG32,U32,0))))))))))))))),0)</f>
        <v>0</v>
      </c>
      <c r="AX32" s="47">
        <f>ROUND(IF(AX$3&lt;$DF32,0,
IF(AX$3=$DF32+'Model Setup'!$B$7,SUMIF($AD$3:$BA$3,"="&amp;$DF32+'Model Setup'!$B$7,$B32:$Y32)+'Model Setup'!$B$8*(SUMIF($AD$3:$BA$3,"&lt;"&amp;$DF32,$B32:$Y32)+SUMIF($AD$3:$BA$3,"&gt;="&amp;$DG32,$B32:$Y32)),
IF(AX$3=$DF32+'Model Setup'!$C$7,SUMIF($AD$3:$BA$3,"="&amp;$DF32+'Model Setup'!$C$7,$B32:$Y32)+'Model Setup'!$C$8*(SUMIF($AD$3:$BA$3,"&lt;"&amp;$DF32,$B32:$Y32)+SUMIF($AD$3:$BA$3,"&gt;="&amp;$DG32,$B32:$Y32)),
IF(AX$3=$DF32+'Model Setup'!$D$7,SUMIF($AD$3:$BA$3,"="&amp;$DF32+'Model Setup'!$D$7,$B32:$Y32)+'Model Setup'!$D$8*(SUMIF($AD$3:$BA$3,"&lt;"&amp;$DF32,$B32:$Y32)+SUMIF($AD$3:$BA$3,"&gt;="&amp;$DG32,$B32:$Y32)),
IF(AX$3=$DF32+'Model Setup'!$E$7,SUMIF($AD$3:$BA$3,"="&amp;$DF32+'Model Setup'!$E$7,$B32:$Y32)+'Model Setup'!$E$8*(SUMIF($AD$3:$BA$3,"&lt;"&amp;$DF32,$B32:$Y32)+SUMIF($AD$3:$BA$3,"&gt;="&amp;$DG32,$B32:$Y32)),
IF(AX$3=$DF32+'Model Setup'!$F$7,SUMIF($AD$3:$BA$3,"="&amp;$DF32+'Model Setup'!$F$7,$B32:$Y32)+'Model Setup'!$F$8*(SUMIF($AD$3:$BA$3,"&lt;"&amp;$DF32,$B32:$Y32)+SUMIF($AD$3:$BA$3,"&gt;="&amp;$DG32,$B32:$Y32)),
IF(AX$3=$DF32+'Model Setup'!$G$7,SUMIF($AD$3:$BA$3,"="&amp;$DF32+'Model Setup'!$G$7,$B32:$Y32)+'Model Setup'!$G$8*(SUMIF($AD$3:$BA$3,"&lt;"&amp;$DF32,$B32:$Y32)+SUMIF($AD$3:$BA$3,"&gt;="&amp;$DG32,$B32:$Y32)),
IF(AX$3=$DF32+'Model Setup'!$H$7,SUMIF($AD$3:$BA$3,"="&amp;$DF32+'Model Setup'!$H$7,$B32:$Y32)+'Model Setup'!$H$8*(SUMIF($AD$3:$BA$3,"&lt;"&amp;$DF32,$B32:$Y32)+SUMIF($AD$3:$BA$3,"&gt;="&amp;$DG32,$B32:$Y32)),
IF(AX$3=$DF32+'Model Setup'!$I$7,SUMIF($AD$3:$BA$3,"="&amp;$DF32+'Model Setup'!$I$7,$B32:$Y32)+'Model Setup'!$I$8*(SUMIF($AD$3:$BA$3,"&lt;"&amp;$DF32,$B32:$Y32)+SUMIF($AD$3:$BA$3,"&gt;="&amp;$DG32,$B32:$Y32)),
IF(AX$3=$DF32+'Model Setup'!$J$7,SUMIF($AD$3:$BA$3,"="&amp;$DF32+'Model Setup'!$J$7,$B32:$Y32)+'Model Setup'!$J$8*(SUMIF($AD$3:$BA$3,"&lt;"&amp;$DF32,$B32:$Y32)+SUMIF($AD$3:$BA$3,"&gt;="&amp;$DG32,$B32:$Y32)),
IF(AX$3=$DF32+'Model Setup'!$K$7,SUMIF($AD$3:$BA$3,"="&amp;$DF32+'Model Setup'!$K$7,$B32:$Y32)+'Model Setup'!$K$8*(SUMIF($AD$3:$BA$3,"&lt;"&amp;$DF32,$B32:$Y32)+SUMIF($AD$3:$BA$3,"&gt;="&amp;$DG32,$B32:$Y32)),
IF(AX$3=$DF32+'Model Setup'!$L$7,SUMIF($AD$3:$BA$3,"="&amp;$DF32+'Model Setup'!$L$7,$B32:$Y32)+'Model Setup'!$L$8*(SUMIF($AD$3:$BA$3,"&lt;"&amp;$DF32,$B32:$Y32)+SUMIF($AD$3:$BA$3,"&gt;="&amp;$DG32,$B32:$Y32)),
IF(AX$3=$DF32+'Model Setup'!$M$7,SUMIF($AD$3:$BA$3,"="&amp;$DF32+'Model Setup'!$M$7,$B32:$Y32)+'Model Setup'!$M$8*(SUMIF($AD$3:$BA$3,"&lt;"&amp;$DF32,$B32:$Y32)+SUMIF($AD$3:$BA$3,"&gt;="&amp;$DG32,$B32:$Y32)),
IF(AX$3=$DF32+'Model Setup'!$N$7,SUMIF($AD$3:$BA$3,"="&amp;$DF32+'Model Setup'!$N$7,$B32:$Y32)+'Model Setup'!$N$8*(SUMIF($AD$3:$BA$3,"&lt;"&amp;$DF32,$B32:$Y32)+SUMIF($AD$3:$BA$3,"&gt;="&amp;$DG32,$B32:$Y32)),
IF(AX$3&lt;$DG32,V32,0))))))))))))))),0)</f>
        <v>0</v>
      </c>
      <c r="AY32" s="47">
        <f>ROUND(IF(AY$3&lt;$DF32,0,
IF(AY$3=$DF32+'Model Setup'!$B$7,SUMIF($AD$3:$BA$3,"="&amp;$DF32+'Model Setup'!$B$7,$B32:$Y32)+'Model Setup'!$B$8*(SUMIF($AD$3:$BA$3,"&lt;"&amp;$DF32,$B32:$Y32)+SUMIF($AD$3:$BA$3,"&gt;="&amp;$DG32,$B32:$Y32)),
IF(AY$3=$DF32+'Model Setup'!$C$7,SUMIF($AD$3:$BA$3,"="&amp;$DF32+'Model Setup'!$C$7,$B32:$Y32)+'Model Setup'!$C$8*(SUMIF($AD$3:$BA$3,"&lt;"&amp;$DF32,$B32:$Y32)+SUMIF($AD$3:$BA$3,"&gt;="&amp;$DG32,$B32:$Y32)),
IF(AY$3=$DF32+'Model Setup'!$D$7,SUMIF($AD$3:$BA$3,"="&amp;$DF32+'Model Setup'!$D$7,$B32:$Y32)+'Model Setup'!$D$8*(SUMIF($AD$3:$BA$3,"&lt;"&amp;$DF32,$B32:$Y32)+SUMIF($AD$3:$BA$3,"&gt;="&amp;$DG32,$B32:$Y32)),
IF(AY$3=$DF32+'Model Setup'!$E$7,SUMIF($AD$3:$BA$3,"="&amp;$DF32+'Model Setup'!$E$7,$B32:$Y32)+'Model Setup'!$E$8*(SUMIF($AD$3:$BA$3,"&lt;"&amp;$DF32,$B32:$Y32)+SUMIF($AD$3:$BA$3,"&gt;="&amp;$DG32,$B32:$Y32)),
IF(AY$3=$DF32+'Model Setup'!$F$7,SUMIF($AD$3:$BA$3,"="&amp;$DF32+'Model Setup'!$F$7,$B32:$Y32)+'Model Setup'!$F$8*(SUMIF($AD$3:$BA$3,"&lt;"&amp;$DF32,$B32:$Y32)+SUMIF($AD$3:$BA$3,"&gt;="&amp;$DG32,$B32:$Y32)),
IF(AY$3=$DF32+'Model Setup'!$G$7,SUMIF($AD$3:$BA$3,"="&amp;$DF32+'Model Setup'!$G$7,$B32:$Y32)+'Model Setup'!$G$8*(SUMIF($AD$3:$BA$3,"&lt;"&amp;$DF32,$B32:$Y32)+SUMIF($AD$3:$BA$3,"&gt;="&amp;$DG32,$B32:$Y32)),
IF(AY$3=$DF32+'Model Setup'!$H$7,SUMIF($AD$3:$BA$3,"="&amp;$DF32+'Model Setup'!$H$7,$B32:$Y32)+'Model Setup'!$H$8*(SUMIF($AD$3:$BA$3,"&lt;"&amp;$DF32,$B32:$Y32)+SUMIF($AD$3:$BA$3,"&gt;="&amp;$DG32,$B32:$Y32)),
IF(AY$3=$DF32+'Model Setup'!$I$7,SUMIF($AD$3:$BA$3,"="&amp;$DF32+'Model Setup'!$I$7,$B32:$Y32)+'Model Setup'!$I$8*(SUMIF($AD$3:$BA$3,"&lt;"&amp;$DF32,$B32:$Y32)+SUMIF($AD$3:$BA$3,"&gt;="&amp;$DG32,$B32:$Y32)),
IF(AY$3=$DF32+'Model Setup'!$J$7,SUMIF($AD$3:$BA$3,"="&amp;$DF32+'Model Setup'!$J$7,$B32:$Y32)+'Model Setup'!$J$8*(SUMIF($AD$3:$BA$3,"&lt;"&amp;$DF32,$B32:$Y32)+SUMIF($AD$3:$BA$3,"&gt;="&amp;$DG32,$B32:$Y32)),
IF(AY$3=$DF32+'Model Setup'!$K$7,SUMIF($AD$3:$BA$3,"="&amp;$DF32+'Model Setup'!$K$7,$B32:$Y32)+'Model Setup'!$K$8*(SUMIF($AD$3:$BA$3,"&lt;"&amp;$DF32,$B32:$Y32)+SUMIF($AD$3:$BA$3,"&gt;="&amp;$DG32,$B32:$Y32)),
IF(AY$3=$DF32+'Model Setup'!$L$7,SUMIF($AD$3:$BA$3,"="&amp;$DF32+'Model Setup'!$L$7,$B32:$Y32)+'Model Setup'!$L$8*(SUMIF($AD$3:$BA$3,"&lt;"&amp;$DF32,$B32:$Y32)+SUMIF($AD$3:$BA$3,"&gt;="&amp;$DG32,$B32:$Y32)),
IF(AY$3=$DF32+'Model Setup'!$M$7,SUMIF($AD$3:$BA$3,"="&amp;$DF32+'Model Setup'!$M$7,$B32:$Y32)+'Model Setup'!$M$8*(SUMIF($AD$3:$BA$3,"&lt;"&amp;$DF32,$B32:$Y32)+SUMIF($AD$3:$BA$3,"&gt;="&amp;$DG32,$B32:$Y32)),
IF(AY$3=$DF32+'Model Setup'!$N$7,SUMIF($AD$3:$BA$3,"="&amp;$DF32+'Model Setup'!$N$7,$B32:$Y32)+'Model Setup'!$N$8*(SUMIF($AD$3:$BA$3,"&lt;"&amp;$DF32,$B32:$Y32)+SUMIF($AD$3:$BA$3,"&gt;="&amp;$DG32,$B32:$Y32)),
IF(AY$3&lt;$DG32,W32,0))))))))))))))),0)</f>
        <v>0</v>
      </c>
      <c r="AZ32" s="47">
        <f>ROUND(IF(AZ$3&lt;$DF32,0,
IF(AZ$3=$DF32+'Model Setup'!$B$7,SUMIF($AD$3:$BA$3,"="&amp;$DF32+'Model Setup'!$B$7,$B32:$Y32)+'Model Setup'!$B$8*(SUMIF($AD$3:$BA$3,"&lt;"&amp;$DF32,$B32:$Y32)+SUMIF($AD$3:$BA$3,"&gt;="&amp;$DG32,$B32:$Y32)),
IF(AZ$3=$DF32+'Model Setup'!$C$7,SUMIF($AD$3:$BA$3,"="&amp;$DF32+'Model Setup'!$C$7,$B32:$Y32)+'Model Setup'!$C$8*(SUMIF($AD$3:$BA$3,"&lt;"&amp;$DF32,$B32:$Y32)+SUMIF($AD$3:$BA$3,"&gt;="&amp;$DG32,$B32:$Y32)),
IF(AZ$3=$DF32+'Model Setup'!$D$7,SUMIF($AD$3:$BA$3,"="&amp;$DF32+'Model Setup'!$D$7,$B32:$Y32)+'Model Setup'!$D$8*(SUMIF($AD$3:$BA$3,"&lt;"&amp;$DF32,$B32:$Y32)+SUMIF($AD$3:$BA$3,"&gt;="&amp;$DG32,$B32:$Y32)),
IF(AZ$3=$DF32+'Model Setup'!$E$7,SUMIF($AD$3:$BA$3,"="&amp;$DF32+'Model Setup'!$E$7,$B32:$Y32)+'Model Setup'!$E$8*(SUMIF($AD$3:$BA$3,"&lt;"&amp;$DF32,$B32:$Y32)+SUMIF($AD$3:$BA$3,"&gt;="&amp;$DG32,$B32:$Y32)),
IF(AZ$3=$DF32+'Model Setup'!$F$7,SUMIF($AD$3:$BA$3,"="&amp;$DF32+'Model Setup'!$F$7,$B32:$Y32)+'Model Setup'!$F$8*(SUMIF($AD$3:$BA$3,"&lt;"&amp;$DF32,$B32:$Y32)+SUMIF($AD$3:$BA$3,"&gt;="&amp;$DG32,$B32:$Y32)),
IF(AZ$3=$DF32+'Model Setup'!$G$7,SUMIF($AD$3:$BA$3,"="&amp;$DF32+'Model Setup'!$G$7,$B32:$Y32)+'Model Setup'!$G$8*(SUMIF($AD$3:$BA$3,"&lt;"&amp;$DF32,$B32:$Y32)+SUMIF($AD$3:$BA$3,"&gt;="&amp;$DG32,$B32:$Y32)),
IF(AZ$3=$DF32+'Model Setup'!$H$7,SUMIF($AD$3:$BA$3,"="&amp;$DF32+'Model Setup'!$H$7,$B32:$Y32)+'Model Setup'!$H$8*(SUMIF($AD$3:$BA$3,"&lt;"&amp;$DF32,$B32:$Y32)+SUMIF($AD$3:$BA$3,"&gt;="&amp;$DG32,$B32:$Y32)),
IF(AZ$3=$DF32+'Model Setup'!$I$7,SUMIF($AD$3:$BA$3,"="&amp;$DF32+'Model Setup'!$I$7,$B32:$Y32)+'Model Setup'!$I$8*(SUMIF($AD$3:$BA$3,"&lt;"&amp;$DF32,$B32:$Y32)+SUMIF($AD$3:$BA$3,"&gt;="&amp;$DG32,$B32:$Y32)),
IF(AZ$3=$DF32+'Model Setup'!$J$7,SUMIF($AD$3:$BA$3,"="&amp;$DF32+'Model Setup'!$J$7,$B32:$Y32)+'Model Setup'!$J$8*(SUMIF($AD$3:$BA$3,"&lt;"&amp;$DF32,$B32:$Y32)+SUMIF($AD$3:$BA$3,"&gt;="&amp;$DG32,$B32:$Y32)),
IF(AZ$3=$DF32+'Model Setup'!$K$7,SUMIF($AD$3:$BA$3,"="&amp;$DF32+'Model Setup'!$K$7,$B32:$Y32)+'Model Setup'!$K$8*(SUMIF($AD$3:$BA$3,"&lt;"&amp;$DF32,$B32:$Y32)+SUMIF($AD$3:$BA$3,"&gt;="&amp;$DG32,$B32:$Y32)),
IF(AZ$3=$DF32+'Model Setup'!$L$7,SUMIF($AD$3:$BA$3,"="&amp;$DF32+'Model Setup'!$L$7,$B32:$Y32)+'Model Setup'!$L$8*(SUMIF($AD$3:$BA$3,"&lt;"&amp;$DF32,$B32:$Y32)+SUMIF($AD$3:$BA$3,"&gt;="&amp;$DG32,$B32:$Y32)),
IF(AZ$3=$DF32+'Model Setup'!$M$7,SUMIF($AD$3:$BA$3,"="&amp;$DF32+'Model Setup'!$M$7,$B32:$Y32)+'Model Setup'!$M$8*(SUMIF($AD$3:$BA$3,"&lt;"&amp;$DF32,$B32:$Y32)+SUMIF($AD$3:$BA$3,"&gt;="&amp;$DG32,$B32:$Y32)),
IF(AZ$3=$DF32+'Model Setup'!$N$7,SUMIF($AD$3:$BA$3,"="&amp;$DF32+'Model Setup'!$N$7,$B32:$Y32)+'Model Setup'!$N$8*(SUMIF($AD$3:$BA$3,"&lt;"&amp;$DF32,$B32:$Y32)+SUMIF($AD$3:$BA$3,"&gt;="&amp;$DG32,$B32:$Y32)),
IF(AZ$3&lt;$DG32,X32,0))))))))))))))),0)</f>
        <v>0</v>
      </c>
      <c r="BA32" s="47">
        <f>ROUND(IF(BA$3&lt;$DF32,0,
IF(BA$3=$DF32+'Model Setup'!$B$7,SUMIF($AD$3:$BA$3,"="&amp;$DF32+'Model Setup'!$B$7,$B32:$Y32)+'Model Setup'!$B$8*(SUMIF($AD$3:$BA$3,"&lt;"&amp;$DF32,$B32:$Y32)+SUMIF($AD$3:$BA$3,"&gt;="&amp;$DG32,$B32:$Y32)),
IF(BA$3=$DF32+'Model Setup'!$C$7,SUMIF($AD$3:$BA$3,"="&amp;$DF32+'Model Setup'!$C$7,$B32:$Y32)+'Model Setup'!$C$8*(SUMIF($AD$3:$BA$3,"&lt;"&amp;$DF32,$B32:$Y32)+SUMIF($AD$3:$BA$3,"&gt;="&amp;$DG32,$B32:$Y32)),
IF(BA$3=$DF32+'Model Setup'!$D$7,SUMIF($AD$3:$BA$3,"="&amp;$DF32+'Model Setup'!$D$7,$B32:$Y32)+'Model Setup'!$D$8*(SUMIF($AD$3:$BA$3,"&lt;"&amp;$DF32,$B32:$Y32)+SUMIF($AD$3:$BA$3,"&gt;="&amp;$DG32,$B32:$Y32)),
IF(BA$3=$DF32+'Model Setup'!$E$7,SUMIF($AD$3:$BA$3,"="&amp;$DF32+'Model Setup'!$E$7,$B32:$Y32)+'Model Setup'!$E$8*(SUMIF($AD$3:$BA$3,"&lt;"&amp;$DF32,$B32:$Y32)+SUMIF($AD$3:$BA$3,"&gt;="&amp;$DG32,$B32:$Y32)),
IF(BA$3=$DF32+'Model Setup'!$F$7,SUMIF($AD$3:$BA$3,"="&amp;$DF32+'Model Setup'!$F$7,$B32:$Y32)+'Model Setup'!$F$8*(SUMIF($AD$3:$BA$3,"&lt;"&amp;$DF32,$B32:$Y32)+SUMIF($AD$3:$BA$3,"&gt;="&amp;$DG32,$B32:$Y32)),
IF(BA$3=$DF32+'Model Setup'!$G$7,SUMIF($AD$3:$BA$3,"="&amp;$DF32+'Model Setup'!$G$7,$B32:$Y32)+'Model Setup'!$G$8*(SUMIF($AD$3:$BA$3,"&lt;"&amp;$DF32,$B32:$Y32)+SUMIF($AD$3:$BA$3,"&gt;="&amp;$DG32,$B32:$Y32)),
IF(BA$3=$DF32+'Model Setup'!$H$7,SUMIF($AD$3:$BA$3,"="&amp;$DF32+'Model Setup'!$H$7,$B32:$Y32)+'Model Setup'!$H$8*(SUMIF($AD$3:$BA$3,"&lt;"&amp;$DF32,$B32:$Y32)+SUMIF($AD$3:$BA$3,"&gt;="&amp;$DG32,$B32:$Y32)),
IF(BA$3=$DF32+'Model Setup'!$I$7,SUMIF($AD$3:$BA$3,"="&amp;$DF32+'Model Setup'!$I$7,$B32:$Y32)+'Model Setup'!$I$8*(SUMIF($AD$3:$BA$3,"&lt;"&amp;$DF32,$B32:$Y32)+SUMIF($AD$3:$BA$3,"&gt;="&amp;$DG32,$B32:$Y32)),
IF(BA$3=$DF32+'Model Setup'!$J$7,SUMIF($AD$3:$BA$3,"="&amp;$DF32+'Model Setup'!$J$7,$B32:$Y32)+'Model Setup'!$J$8*(SUMIF($AD$3:$BA$3,"&lt;"&amp;$DF32,$B32:$Y32)+SUMIF($AD$3:$BA$3,"&gt;="&amp;$DG32,$B32:$Y32)),
IF(BA$3=$DF32+'Model Setup'!$K$7,SUMIF($AD$3:$BA$3,"="&amp;$DF32+'Model Setup'!$K$7,$B32:$Y32)+'Model Setup'!$K$8*(SUMIF($AD$3:$BA$3,"&lt;"&amp;$DF32,$B32:$Y32)+SUMIF($AD$3:$BA$3,"&gt;="&amp;$DG32,$B32:$Y32)),
IF(BA$3=$DF32+'Model Setup'!$L$7,SUMIF($AD$3:$BA$3,"="&amp;$DF32+'Model Setup'!$L$7,$B32:$Y32)+'Model Setup'!$L$8*(SUMIF($AD$3:$BA$3,"&lt;"&amp;$DF32,$B32:$Y32)+SUMIF($AD$3:$BA$3,"&gt;="&amp;$DG32,$B32:$Y32)),
IF(BA$3=$DF32+'Model Setup'!$M$7,SUMIF($AD$3:$BA$3,"="&amp;$DF32+'Model Setup'!$M$7,$B32:$Y32)+'Model Setup'!$M$8*(SUMIF($AD$3:$BA$3,"&lt;"&amp;$DF32,$B32:$Y32)+SUMIF($AD$3:$BA$3,"&gt;="&amp;$DG32,$B32:$Y32)),
IF(BA$3=$DF32+'Model Setup'!$N$7,SUMIF($AD$3:$BA$3,"="&amp;$DF32+'Model Setup'!$N$7,$B32:$Y32)+'Model Setup'!$N$8*(SUMIF($AD$3:$BA$3,"&lt;"&amp;$DF32,$B32:$Y32)+SUMIF($AD$3:$BA$3,"&gt;="&amp;$DG32,$B32:$Y32)),
IF(BA$3&lt;$DG32,Y32,0))))))))))))))),0)</f>
        <v>0</v>
      </c>
      <c r="BB32" s="47">
        <f t="shared" si="1"/>
        <v>1033</v>
      </c>
      <c r="BD32" t="b">
        <f t="shared" si="2"/>
        <v>0</v>
      </c>
      <c r="BE32">
        <f t="shared" si="8"/>
        <v>1</v>
      </c>
      <c r="BF32">
        <f>(FTC!F30-FTC!E30)*24</f>
        <v>13</v>
      </c>
      <c r="BG32" s="43" t="s">
        <v>47</v>
      </c>
      <c r="BH32" s="47">
        <f>ROUND(IF(OR(BH$3&lt;$DF32,BH$3&gt;$CW$4),0,
IF(BH$3=$DF32+'Model Setup'!$B$7,SUMIF($BH$3:$CE$3,"="&amp;$DF32+'Model Setup'!$B$7,$AD32:$BA32)+'Model Setup'!$B$8*(SUMIF($BH$3:$CE$3,"&lt;"&amp;$DF32,$AD32:$BA32)+SUMIF($BH$3:$CE$3,"&gt;"&amp;$CW$4,$AD32:$BA32)),
IF(BH$3=$DF32+'Model Setup'!$C$7,SUMIF($BH$3:$CE$3,"="&amp;$DF32+'Model Setup'!$C$7,$AD32:$BA32)+'Model Setup'!$C$8*(SUMIF($BH$3:$CE$3,"&lt;"&amp;$DF32,$AD32:$BA32)+SUMIF($BH$3:$CE$3,"&gt;"&amp;$CW$4,$AD32:$BA32)),
IF(BH$3=$DF32+'Model Setup'!$D$7,SUMIF($BH$3:$CE$3,"="&amp;$DF32+'Model Setup'!$D$7,$AD32:$BA32)+'Model Setup'!$D$8*(SUMIF($BH$3:$CE$3,"&lt;"&amp;$DF32,$AD32:$BA32)+SUMIF($BH$3:$CE$3,"&gt;"&amp;$CW$4,$AD32:$BA32)),
IF(BH$3=$DF32+'Model Setup'!$E$7,SUMIF($BH$3:$CE$3,"="&amp;$DF32+'Model Setup'!$E$7,$AD32:$BA32)+'Model Setup'!$E$8*(SUMIF($BH$3:$CE$3,"&lt;"&amp;$DF32,$AD32:$BA32)+SUMIF($BH$3:$CE$3,"&gt;"&amp;$CW$4,$AD32:$BA32)),
IF(BH$3=$DF32+'Model Setup'!$F$7,SUMIF($BH$3:$CE$3,"="&amp;$DF32+'Model Setup'!$F$7,$AD32:$BA32)+'Model Setup'!$F$8*(SUMIF($BH$3:$CE$3,"&lt;"&amp;$DF32,$AD32:$BA32)+SUMIF($BH$3:$CE$3,"&gt;"&amp;$CW$4,$AD32:$BA32)),
IF(BH$3=$DF32+'Model Setup'!$G$7,SUMIF($BH$3:$CE$3,"="&amp;$DF32+'Model Setup'!$G$7,$AD32:$BA32)+'Model Setup'!$G$8*(SUMIF($BH$3:$CE$3,"&lt;"&amp;$DF32,$AD32:$BA32)+SUMIF($BH$3:$CE$3,"&gt;"&amp;$CW$4,$AD32:$BA32)),
IF(BH$3=$DF32+'Model Setup'!$H$7,SUMIF($BH$3:$CE$3,"="&amp;$DF32+'Model Setup'!$H$7,$AD32:$BA32)+'Model Setup'!$H$8*(SUMIF($BH$3:$CE$3,"&lt;"&amp;$DF32,$AD32:$BA32)+SUMIF($BH$3:$CE$3,"&gt;"&amp;$CW$4,$AD32:$BA32)),
IF(BH$3=$DF32+'Model Setup'!$I$7,SUMIF($BH$3:$CE$3,"="&amp;$DF32+'Model Setup'!$I$7,$AD32:$BA32)+'Model Setup'!$I$8*(SUMIF($BH$3:$CE$3,"&lt;"&amp;$DF32,$AD32:$BA32)+SUMIF($BH$3:$CE$3,"&gt;"&amp;$CW$4,$AD32:$BA32)),
IF(BH$3=$DF32+'Model Setup'!$J$7,SUMIF($BH$3:$CE$3,"="&amp;$DF32+'Model Setup'!$J$7,$AD32:$BA32)+'Model Setup'!$J$8*(SUMIF($BH$3:$CE$3,"&lt;"&amp;$DF32,$AD32:$BA32)+SUMIF($BH$3:$CE$3,"&gt;"&amp;$CW$4,$AD32:$BA32)),
IF(BH$3=$DF32+'Model Setup'!$K$7,SUMIF($BH$3:$CE$3,"="&amp;$DF32+'Model Setup'!$K$7,$AD32:$BA32)+'Model Setup'!$K$8*(SUMIF($BH$3:$CE$3,"&lt;"&amp;$DF32,$AD32:$BA32)+SUMIF($BH$3:$CE$3,"&gt;"&amp;$CW$4,$AD32:$BA32)),
IF(BH$3=$DF32+'Model Setup'!$L$7,SUMIF($BH$3:$CE$3,"="&amp;$DF32+'Model Setup'!$L$7,$AD32:$BA32)+'Model Setup'!$L$8*(SUMIF($BH$3:$CE$3,"&lt;"&amp;$DF32,$AD32:$BA32)+SUMIF($BH$3:$CE$3,"&gt;"&amp;$CW$4,$AD32:$BA32)),
IF(BH$3=$DF32+'Model Setup'!$M$7,SUMIF($BH$3:$CE$3,"="&amp;$DF32+'Model Setup'!$M$7,$AD32:$BA32)+'Model Setup'!$M$8*(SUMIF($BH$3:$CE$3,"&lt;"&amp;$DF32,$AD32:$BA32)+SUMIF($BH$3:$CE$3,"&gt;"&amp;$CW$4,$AD32:$BA32)),
IF(BH$3=$DF32+'Model Setup'!$N$7,SUMIF($BH$3:$CE$3,"="&amp;$DF32+'Model Setup'!$N$7,$AD32:$BA32)+'Model Setup'!$N$8*(SUMIF($BH$3:$CE$3,"&lt;"&amp;$DF32,$AD32:$BA32)+SUMIF($BH$3:$CE$3,"&gt;"&amp;$CW$4,$AD32:$BA32)),
IF(BH$3&lt;$CW$4,B32,0))))))))))))))),0)</f>
        <v>0</v>
      </c>
      <c r="BI32" s="47">
        <f>ROUND(IF(OR(BI$3&lt;$DF32,BI$3&gt;$CW$4),0,
IF(BI$3=$DF32+'Model Setup'!$B$7,SUMIF($BH$3:$CE$3,"="&amp;$DF32+'Model Setup'!$B$7,$AD32:$BA32)+'Model Setup'!$B$8*(SUMIF($BH$3:$CE$3,"&lt;"&amp;$DF32,$AD32:$BA32)+SUMIF($BH$3:$CE$3,"&gt;"&amp;$CW$4,$AD32:$BA32)),
IF(BI$3=$DF32+'Model Setup'!$C$7,SUMIF($BH$3:$CE$3,"="&amp;$DF32+'Model Setup'!$C$7,$AD32:$BA32)+'Model Setup'!$C$8*(SUMIF($BH$3:$CE$3,"&lt;"&amp;$DF32,$AD32:$BA32)+SUMIF($BH$3:$CE$3,"&gt;"&amp;$CW$4,$AD32:$BA32)),
IF(BI$3=$DF32+'Model Setup'!$D$7,SUMIF($BH$3:$CE$3,"="&amp;$DF32+'Model Setup'!$D$7,$AD32:$BA32)+'Model Setup'!$D$8*(SUMIF($BH$3:$CE$3,"&lt;"&amp;$DF32,$AD32:$BA32)+SUMIF($BH$3:$CE$3,"&gt;"&amp;$CW$4,$AD32:$BA32)),
IF(BI$3=$DF32+'Model Setup'!$E$7,SUMIF($BH$3:$CE$3,"="&amp;$DF32+'Model Setup'!$E$7,$AD32:$BA32)+'Model Setup'!$E$8*(SUMIF($BH$3:$CE$3,"&lt;"&amp;$DF32,$AD32:$BA32)+SUMIF($BH$3:$CE$3,"&gt;"&amp;$CW$4,$AD32:$BA32)),
IF(BI$3=$DF32+'Model Setup'!$F$7,SUMIF($BH$3:$CE$3,"="&amp;$DF32+'Model Setup'!$F$7,$AD32:$BA32)+'Model Setup'!$F$8*(SUMIF($BH$3:$CE$3,"&lt;"&amp;$DF32,$AD32:$BA32)+SUMIF($BH$3:$CE$3,"&gt;"&amp;$CW$4,$AD32:$BA32)),
IF(BI$3=$DF32+'Model Setup'!$G$7,SUMIF($BH$3:$CE$3,"="&amp;$DF32+'Model Setup'!$G$7,$AD32:$BA32)+'Model Setup'!$G$8*(SUMIF($BH$3:$CE$3,"&lt;"&amp;$DF32,$AD32:$BA32)+SUMIF($BH$3:$CE$3,"&gt;"&amp;$CW$4,$AD32:$BA32)),
IF(BI$3=$DF32+'Model Setup'!$H$7,SUMIF($BH$3:$CE$3,"="&amp;$DF32+'Model Setup'!$H$7,$AD32:$BA32)+'Model Setup'!$H$8*(SUMIF($BH$3:$CE$3,"&lt;"&amp;$DF32,$AD32:$BA32)+SUMIF($BH$3:$CE$3,"&gt;"&amp;$CW$4,$AD32:$BA32)),
IF(BI$3=$DF32+'Model Setup'!$I$7,SUMIF($BH$3:$CE$3,"="&amp;$DF32+'Model Setup'!$I$7,$AD32:$BA32)+'Model Setup'!$I$8*(SUMIF($BH$3:$CE$3,"&lt;"&amp;$DF32,$AD32:$BA32)+SUMIF($BH$3:$CE$3,"&gt;"&amp;$CW$4,$AD32:$BA32)),
IF(BI$3=$DF32+'Model Setup'!$J$7,SUMIF($BH$3:$CE$3,"="&amp;$DF32+'Model Setup'!$J$7,$AD32:$BA32)+'Model Setup'!$J$8*(SUMIF($BH$3:$CE$3,"&lt;"&amp;$DF32,$AD32:$BA32)+SUMIF($BH$3:$CE$3,"&gt;"&amp;$CW$4,$AD32:$BA32)),
IF(BI$3=$DF32+'Model Setup'!$K$7,SUMIF($BH$3:$CE$3,"="&amp;$DF32+'Model Setup'!$K$7,$AD32:$BA32)+'Model Setup'!$K$8*(SUMIF($BH$3:$CE$3,"&lt;"&amp;$DF32,$AD32:$BA32)+SUMIF($BH$3:$CE$3,"&gt;"&amp;$CW$4,$AD32:$BA32)),
IF(BI$3=$DF32+'Model Setup'!$L$7,SUMIF($BH$3:$CE$3,"="&amp;$DF32+'Model Setup'!$L$7,$AD32:$BA32)+'Model Setup'!$L$8*(SUMIF($BH$3:$CE$3,"&lt;"&amp;$DF32,$AD32:$BA32)+SUMIF($BH$3:$CE$3,"&gt;"&amp;$CW$4,$AD32:$BA32)),
IF(BI$3=$DF32+'Model Setup'!$M$7,SUMIF($BH$3:$CE$3,"="&amp;$DF32+'Model Setup'!$M$7,$AD32:$BA32)+'Model Setup'!$M$8*(SUMIF($BH$3:$CE$3,"&lt;"&amp;$DF32,$AD32:$BA32)+SUMIF($BH$3:$CE$3,"&gt;"&amp;$CW$4,$AD32:$BA32)),
IF(BI$3=$DF32+'Model Setup'!$N$7,SUMIF($BH$3:$CE$3,"="&amp;$DF32+'Model Setup'!$N$7,$AD32:$BA32)+'Model Setup'!$N$8*(SUMIF($BH$3:$CE$3,"&lt;"&amp;$DF32,$AD32:$BA32)+SUMIF($BH$3:$CE$3,"&gt;"&amp;$CW$4,$AD32:$BA32)),
IF(BI$3&lt;$CW$4,C32,0))))))))))))))),0)</f>
        <v>0</v>
      </c>
      <c r="BJ32" s="47">
        <f>ROUND(IF(OR(BJ$3&lt;$DF32,BJ$3&gt;$CW$4),0,
IF(BJ$3=$DF32+'Model Setup'!$B$7,SUMIF($BH$3:$CE$3,"="&amp;$DF32+'Model Setup'!$B$7,$AD32:$BA32)+'Model Setup'!$B$8*(SUMIF($BH$3:$CE$3,"&lt;"&amp;$DF32,$AD32:$BA32)+SUMIF($BH$3:$CE$3,"&gt;"&amp;$CW$4,$AD32:$BA32)),
IF(BJ$3=$DF32+'Model Setup'!$C$7,SUMIF($BH$3:$CE$3,"="&amp;$DF32+'Model Setup'!$C$7,$AD32:$BA32)+'Model Setup'!$C$8*(SUMIF($BH$3:$CE$3,"&lt;"&amp;$DF32,$AD32:$BA32)+SUMIF($BH$3:$CE$3,"&gt;"&amp;$CW$4,$AD32:$BA32)),
IF(BJ$3=$DF32+'Model Setup'!$D$7,SUMIF($BH$3:$CE$3,"="&amp;$DF32+'Model Setup'!$D$7,$AD32:$BA32)+'Model Setup'!$D$8*(SUMIF($BH$3:$CE$3,"&lt;"&amp;$DF32,$AD32:$BA32)+SUMIF($BH$3:$CE$3,"&gt;"&amp;$CW$4,$AD32:$BA32)),
IF(BJ$3=$DF32+'Model Setup'!$E$7,SUMIF($BH$3:$CE$3,"="&amp;$DF32+'Model Setup'!$E$7,$AD32:$BA32)+'Model Setup'!$E$8*(SUMIF($BH$3:$CE$3,"&lt;"&amp;$DF32,$AD32:$BA32)+SUMIF($BH$3:$CE$3,"&gt;"&amp;$CW$4,$AD32:$BA32)),
IF(BJ$3=$DF32+'Model Setup'!$F$7,SUMIF($BH$3:$CE$3,"="&amp;$DF32+'Model Setup'!$F$7,$AD32:$BA32)+'Model Setup'!$F$8*(SUMIF($BH$3:$CE$3,"&lt;"&amp;$DF32,$AD32:$BA32)+SUMIF($BH$3:$CE$3,"&gt;"&amp;$CW$4,$AD32:$BA32)),
IF(BJ$3=$DF32+'Model Setup'!$G$7,SUMIF($BH$3:$CE$3,"="&amp;$DF32+'Model Setup'!$G$7,$AD32:$BA32)+'Model Setup'!$G$8*(SUMIF($BH$3:$CE$3,"&lt;"&amp;$DF32,$AD32:$BA32)+SUMIF($BH$3:$CE$3,"&gt;"&amp;$CW$4,$AD32:$BA32)),
IF(BJ$3=$DF32+'Model Setup'!$H$7,SUMIF($BH$3:$CE$3,"="&amp;$DF32+'Model Setup'!$H$7,$AD32:$BA32)+'Model Setup'!$H$8*(SUMIF($BH$3:$CE$3,"&lt;"&amp;$DF32,$AD32:$BA32)+SUMIF($BH$3:$CE$3,"&gt;"&amp;$CW$4,$AD32:$BA32)),
IF(BJ$3=$DF32+'Model Setup'!$I$7,SUMIF($BH$3:$CE$3,"="&amp;$DF32+'Model Setup'!$I$7,$AD32:$BA32)+'Model Setup'!$I$8*(SUMIF($BH$3:$CE$3,"&lt;"&amp;$DF32,$AD32:$BA32)+SUMIF($BH$3:$CE$3,"&gt;"&amp;$CW$4,$AD32:$BA32)),
IF(BJ$3=$DF32+'Model Setup'!$J$7,SUMIF($BH$3:$CE$3,"="&amp;$DF32+'Model Setup'!$J$7,$AD32:$BA32)+'Model Setup'!$J$8*(SUMIF($BH$3:$CE$3,"&lt;"&amp;$DF32,$AD32:$BA32)+SUMIF($BH$3:$CE$3,"&gt;"&amp;$CW$4,$AD32:$BA32)),
IF(BJ$3=$DF32+'Model Setup'!$K$7,SUMIF($BH$3:$CE$3,"="&amp;$DF32+'Model Setup'!$K$7,$AD32:$BA32)+'Model Setup'!$K$8*(SUMIF($BH$3:$CE$3,"&lt;"&amp;$DF32,$AD32:$BA32)+SUMIF($BH$3:$CE$3,"&gt;"&amp;$CW$4,$AD32:$BA32)),
IF(BJ$3=$DF32+'Model Setup'!$L$7,SUMIF($BH$3:$CE$3,"="&amp;$DF32+'Model Setup'!$L$7,$AD32:$BA32)+'Model Setup'!$L$8*(SUMIF($BH$3:$CE$3,"&lt;"&amp;$DF32,$AD32:$BA32)+SUMIF($BH$3:$CE$3,"&gt;"&amp;$CW$4,$AD32:$BA32)),
IF(BJ$3=$DF32+'Model Setup'!$M$7,SUMIF($BH$3:$CE$3,"="&amp;$DF32+'Model Setup'!$M$7,$AD32:$BA32)+'Model Setup'!$M$8*(SUMIF($BH$3:$CE$3,"&lt;"&amp;$DF32,$AD32:$BA32)+SUMIF($BH$3:$CE$3,"&gt;"&amp;$CW$4,$AD32:$BA32)),
IF(BJ$3=$DF32+'Model Setup'!$N$7,SUMIF($BH$3:$CE$3,"="&amp;$DF32+'Model Setup'!$N$7,$AD32:$BA32)+'Model Setup'!$N$8*(SUMIF($BH$3:$CE$3,"&lt;"&amp;$DF32,$AD32:$BA32)+SUMIF($BH$3:$CE$3,"&gt;"&amp;$CW$4,$AD32:$BA32)),
IF(BJ$3&lt;$CW$4,D32,0))))))))))))))),0)</f>
        <v>0</v>
      </c>
      <c r="BK32" s="47">
        <f>ROUND(IF(OR(BK$3&lt;$DF32,BK$3&gt;$CW$4),0,
IF(BK$3=$DF32+'Model Setup'!$B$7,SUMIF($BH$3:$CE$3,"="&amp;$DF32+'Model Setup'!$B$7,$AD32:$BA32)+'Model Setup'!$B$8*(SUMIF($BH$3:$CE$3,"&lt;"&amp;$DF32,$AD32:$BA32)+SUMIF($BH$3:$CE$3,"&gt;"&amp;$CW$4,$AD32:$BA32)),
IF(BK$3=$DF32+'Model Setup'!$C$7,SUMIF($BH$3:$CE$3,"="&amp;$DF32+'Model Setup'!$C$7,$AD32:$BA32)+'Model Setup'!$C$8*(SUMIF($BH$3:$CE$3,"&lt;"&amp;$DF32,$AD32:$BA32)+SUMIF($BH$3:$CE$3,"&gt;"&amp;$CW$4,$AD32:$BA32)),
IF(BK$3=$DF32+'Model Setup'!$D$7,SUMIF($BH$3:$CE$3,"="&amp;$DF32+'Model Setup'!$D$7,$AD32:$BA32)+'Model Setup'!$D$8*(SUMIF($BH$3:$CE$3,"&lt;"&amp;$DF32,$AD32:$BA32)+SUMIF($BH$3:$CE$3,"&gt;"&amp;$CW$4,$AD32:$BA32)),
IF(BK$3=$DF32+'Model Setup'!$E$7,SUMIF($BH$3:$CE$3,"="&amp;$DF32+'Model Setup'!$E$7,$AD32:$BA32)+'Model Setup'!$E$8*(SUMIF($BH$3:$CE$3,"&lt;"&amp;$DF32,$AD32:$BA32)+SUMIF($BH$3:$CE$3,"&gt;"&amp;$CW$4,$AD32:$BA32)),
IF(BK$3=$DF32+'Model Setup'!$F$7,SUMIF($BH$3:$CE$3,"="&amp;$DF32+'Model Setup'!$F$7,$AD32:$BA32)+'Model Setup'!$F$8*(SUMIF($BH$3:$CE$3,"&lt;"&amp;$DF32,$AD32:$BA32)+SUMIF($BH$3:$CE$3,"&gt;"&amp;$CW$4,$AD32:$BA32)),
IF(BK$3=$DF32+'Model Setup'!$G$7,SUMIF($BH$3:$CE$3,"="&amp;$DF32+'Model Setup'!$G$7,$AD32:$BA32)+'Model Setup'!$G$8*(SUMIF($BH$3:$CE$3,"&lt;"&amp;$DF32,$AD32:$BA32)+SUMIF($BH$3:$CE$3,"&gt;"&amp;$CW$4,$AD32:$BA32)),
IF(BK$3=$DF32+'Model Setup'!$H$7,SUMIF($BH$3:$CE$3,"="&amp;$DF32+'Model Setup'!$H$7,$AD32:$BA32)+'Model Setup'!$H$8*(SUMIF($BH$3:$CE$3,"&lt;"&amp;$DF32,$AD32:$BA32)+SUMIF($BH$3:$CE$3,"&gt;"&amp;$CW$4,$AD32:$BA32)),
IF(BK$3=$DF32+'Model Setup'!$I$7,SUMIF($BH$3:$CE$3,"="&amp;$DF32+'Model Setup'!$I$7,$AD32:$BA32)+'Model Setup'!$I$8*(SUMIF($BH$3:$CE$3,"&lt;"&amp;$DF32,$AD32:$BA32)+SUMIF($BH$3:$CE$3,"&gt;"&amp;$CW$4,$AD32:$BA32)),
IF(BK$3=$DF32+'Model Setup'!$J$7,SUMIF($BH$3:$CE$3,"="&amp;$DF32+'Model Setup'!$J$7,$AD32:$BA32)+'Model Setup'!$J$8*(SUMIF($BH$3:$CE$3,"&lt;"&amp;$DF32,$AD32:$BA32)+SUMIF($BH$3:$CE$3,"&gt;"&amp;$CW$4,$AD32:$BA32)),
IF(BK$3=$DF32+'Model Setup'!$K$7,SUMIF($BH$3:$CE$3,"="&amp;$DF32+'Model Setup'!$K$7,$AD32:$BA32)+'Model Setup'!$K$8*(SUMIF($BH$3:$CE$3,"&lt;"&amp;$DF32,$AD32:$BA32)+SUMIF($BH$3:$CE$3,"&gt;"&amp;$CW$4,$AD32:$BA32)),
IF(BK$3=$DF32+'Model Setup'!$L$7,SUMIF($BH$3:$CE$3,"="&amp;$DF32+'Model Setup'!$L$7,$AD32:$BA32)+'Model Setup'!$L$8*(SUMIF($BH$3:$CE$3,"&lt;"&amp;$DF32,$AD32:$BA32)+SUMIF($BH$3:$CE$3,"&gt;"&amp;$CW$4,$AD32:$BA32)),
IF(BK$3=$DF32+'Model Setup'!$M$7,SUMIF($BH$3:$CE$3,"="&amp;$DF32+'Model Setup'!$M$7,$AD32:$BA32)+'Model Setup'!$M$8*(SUMIF($BH$3:$CE$3,"&lt;"&amp;$DF32,$AD32:$BA32)+SUMIF($BH$3:$CE$3,"&gt;"&amp;$CW$4,$AD32:$BA32)),
IF(BK$3=$DF32+'Model Setup'!$N$7,SUMIF($BH$3:$CE$3,"="&amp;$DF32+'Model Setup'!$N$7,$AD32:$BA32)+'Model Setup'!$N$8*(SUMIF($BH$3:$CE$3,"&lt;"&amp;$DF32,$AD32:$BA32)+SUMIF($BH$3:$CE$3,"&gt;"&amp;$CW$4,$AD32:$BA32)),
IF(BK$3&lt;$CW$4,E32,0))))))))))))))),0)</f>
        <v>0</v>
      </c>
      <c r="BL32" s="47">
        <f>ROUND(IF(OR(BL$3&lt;$DF32,BL$3&gt;$CW$4),0,
IF(BL$3=$DF32+'Model Setup'!$B$7,SUMIF($BH$3:$CE$3,"="&amp;$DF32+'Model Setup'!$B$7,$AD32:$BA32)+'Model Setup'!$B$8*(SUMIF($BH$3:$CE$3,"&lt;"&amp;$DF32,$AD32:$BA32)+SUMIF($BH$3:$CE$3,"&gt;"&amp;$CW$4,$AD32:$BA32)),
IF(BL$3=$DF32+'Model Setup'!$C$7,SUMIF($BH$3:$CE$3,"="&amp;$DF32+'Model Setup'!$C$7,$AD32:$BA32)+'Model Setup'!$C$8*(SUMIF($BH$3:$CE$3,"&lt;"&amp;$DF32,$AD32:$BA32)+SUMIF($BH$3:$CE$3,"&gt;"&amp;$CW$4,$AD32:$BA32)),
IF(BL$3=$DF32+'Model Setup'!$D$7,SUMIF($BH$3:$CE$3,"="&amp;$DF32+'Model Setup'!$D$7,$AD32:$BA32)+'Model Setup'!$D$8*(SUMIF($BH$3:$CE$3,"&lt;"&amp;$DF32,$AD32:$BA32)+SUMIF($BH$3:$CE$3,"&gt;"&amp;$CW$4,$AD32:$BA32)),
IF(BL$3=$DF32+'Model Setup'!$E$7,SUMIF($BH$3:$CE$3,"="&amp;$DF32+'Model Setup'!$E$7,$AD32:$BA32)+'Model Setup'!$E$8*(SUMIF($BH$3:$CE$3,"&lt;"&amp;$DF32,$AD32:$BA32)+SUMIF($BH$3:$CE$3,"&gt;"&amp;$CW$4,$AD32:$BA32)),
IF(BL$3=$DF32+'Model Setup'!$F$7,SUMIF($BH$3:$CE$3,"="&amp;$DF32+'Model Setup'!$F$7,$AD32:$BA32)+'Model Setup'!$F$8*(SUMIF($BH$3:$CE$3,"&lt;"&amp;$DF32,$AD32:$BA32)+SUMIF($BH$3:$CE$3,"&gt;"&amp;$CW$4,$AD32:$BA32)),
IF(BL$3=$DF32+'Model Setup'!$G$7,SUMIF($BH$3:$CE$3,"="&amp;$DF32+'Model Setup'!$G$7,$AD32:$BA32)+'Model Setup'!$G$8*(SUMIF($BH$3:$CE$3,"&lt;"&amp;$DF32,$AD32:$BA32)+SUMIF($BH$3:$CE$3,"&gt;"&amp;$CW$4,$AD32:$BA32)),
IF(BL$3=$DF32+'Model Setup'!$H$7,SUMIF($BH$3:$CE$3,"="&amp;$DF32+'Model Setup'!$H$7,$AD32:$BA32)+'Model Setup'!$H$8*(SUMIF($BH$3:$CE$3,"&lt;"&amp;$DF32,$AD32:$BA32)+SUMIF($BH$3:$CE$3,"&gt;"&amp;$CW$4,$AD32:$BA32)),
IF(BL$3=$DF32+'Model Setup'!$I$7,SUMIF($BH$3:$CE$3,"="&amp;$DF32+'Model Setup'!$I$7,$AD32:$BA32)+'Model Setup'!$I$8*(SUMIF($BH$3:$CE$3,"&lt;"&amp;$DF32,$AD32:$BA32)+SUMIF($BH$3:$CE$3,"&gt;"&amp;$CW$4,$AD32:$BA32)),
IF(BL$3=$DF32+'Model Setup'!$J$7,SUMIF($BH$3:$CE$3,"="&amp;$DF32+'Model Setup'!$J$7,$AD32:$BA32)+'Model Setup'!$J$8*(SUMIF($BH$3:$CE$3,"&lt;"&amp;$DF32,$AD32:$BA32)+SUMIF($BH$3:$CE$3,"&gt;"&amp;$CW$4,$AD32:$BA32)),
IF(BL$3=$DF32+'Model Setup'!$K$7,SUMIF($BH$3:$CE$3,"="&amp;$DF32+'Model Setup'!$K$7,$AD32:$BA32)+'Model Setup'!$K$8*(SUMIF($BH$3:$CE$3,"&lt;"&amp;$DF32,$AD32:$BA32)+SUMIF($BH$3:$CE$3,"&gt;"&amp;$CW$4,$AD32:$BA32)),
IF(BL$3=$DF32+'Model Setup'!$L$7,SUMIF($BH$3:$CE$3,"="&amp;$DF32+'Model Setup'!$L$7,$AD32:$BA32)+'Model Setup'!$L$8*(SUMIF($BH$3:$CE$3,"&lt;"&amp;$DF32,$AD32:$BA32)+SUMIF($BH$3:$CE$3,"&gt;"&amp;$CW$4,$AD32:$BA32)),
IF(BL$3=$DF32+'Model Setup'!$M$7,SUMIF($BH$3:$CE$3,"="&amp;$DF32+'Model Setup'!$M$7,$AD32:$BA32)+'Model Setup'!$M$8*(SUMIF($BH$3:$CE$3,"&lt;"&amp;$DF32,$AD32:$BA32)+SUMIF($BH$3:$CE$3,"&gt;"&amp;$CW$4,$AD32:$BA32)),
IF(BL$3=$DF32+'Model Setup'!$N$7,SUMIF($BH$3:$CE$3,"="&amp;$DF32+'Model Setup'!$N$7,$AD32:$BA32)+'Model Setup'!$N$8*(SUMIF($BH$3:$CE$3,"&lt;"&amp;$DF32,$AD32:$BA32)+SUMIF($BH$3:$CE$3,"&gt;"&amp;$CW$4,$AD32:$BA32)),
IF(BL$3&lt;$CW$4,F32,0))))))))))))))),0)</f>
        <v>0</v>
      </c>
      <c r="BM32" s="47">
        <f>ROUND(IF(OR(BM$3&lt;$DF32,BM$3&gt;$CW$4),0,
IF(BM$3=$DF32+'Model Setup'!$B$7,SUMIF($BH$3:$CE$3,"="&amp;$DF32+'Model Setup'!$B$7,$AD32:$BA32)+'Model Setup'!$B$8*(SUMIF($BH$3:$CE$3,"&lt;"&amp;$DF32,$AD32:$BA32)+SUMIF($BH$3:$CE$3,"&gt;"&amp;$CW$4,$AD32:$BA32)),
IF(BM$3=$DF32+'Model Setup'!$C$7,SUMIF($BH$3:$CE$3,"="&amp;$DF32+'Model Setup'!$C$7,$AD32:$BA32)+'Model Setup'!$C$8*(SUMIF($BH$3:$CE$3,"&lt;"&amp;$DF32,$AD32:$BA32)+SUMIF($BH$3:$CE$3,"&gt;"&amp;$CW$4,$AD32:$BA32)),
IF(BM$3=$DF32+'Model Setup'!$D$7,SUMIF($BH$3:$CE$3,"="&amp;$DF32+'Model Setup'!$D$7,$AD32:$BA32)+'Model Setup'!$D$8*(SUMIF($BH$3:$CE$3,"&lt;"&amp;$DF32,$AD32:$BA32)+SUMIF($BH$3:$CE$3,"&gt;"&amp;$CW$4,$AD32:$BA32)),
IF(BM$3=$DF32+'Model Setup'!$E$7,SUMIF($BH$3:$CE$3,"="&amp;$DF32+'Model Setup'!$E$7,$AD32:$BA32)+'Model Setup'!$E$8*(SUMIF($BH$3:$CE$3,"&lt;"&amp;$DF32,$AD32:$BA32)+SUMIF($BH$3:$CE$3,"&gt;"&amp;$CW$4,$AD32:$BA32)),
IF(BM$3=$DF32+'Model Setup'!$F$7,SUMIF($BH$3:$CE$3,"="&amp;$DF32+'Model Setup'!$F$7,$AD32:$BA32)+'Model Setup'!$F$8*(SUMIF($BH$3:$CE$3,"&lt;"&amp;$DF32,$AD32:$BA32)+SUMIF($BH$3:$CE$3,"&gt;"&amp;$CW$4,$AD32:$BA32)),
IF(BM$3=$DF32+'Model Setup'!$G$7,SUMIF($BH$3:$CE$3,"="&amp;$DF32+'Model Setup'!$G$7,$AD32:$BA32)+'Model Setup'!$G$8*(SUMIF($BH$3:$CE$3,"&lt;"&amp;$DF32,$AD32:$BA32)+SUMIF($BH$3:$CE$3,"&gt;"&amp;$CW$4,$AD32:$BA32)),
IF(BM$3=$DF32+'Model Setup'!$H$7,SUMIF($BH$3:$CE$3,"="&amp;$DF32+'Model Setup'!$H$7,$AD32:$BA32)+'Model Setup'!$H$8*(SUMIF($BH$3:$CE$3,"&lt;"&amp;$DF32,$AD32:$BA32)+SUMIF($BH$3:$CE$3,"&gt;"&amp;$CW$4,$AD32:$BA32)),
IF(BM$3=$DF32+'Model Setup'!$I$7,SUMIF($BH$3:$CE$3,"="&amp;$DF32+'Model Setup'!$I$7,$AD32:$BA32)+'Model Setup'!$I$8*(SUMIF($BH$3:$CE$3,"&lt;"&amp;$DF32,$AD32:$BA32)+SUMIF($BH$3:$CE$3,"&gt;"&amp;$CW$4,$AD32:$BA32)),
IF(BM$3=$DF32+'Model Setup'!$J$7,SUMIF($BH$3:$CE$3,"="&amp;$DF32+'Model Setup'!$J$7,$AD32:$BA32)+'Model Setup'!$J$8*(SUMIF($BH$3:$CE$3,"&lt;"&amp;$DF32,$AD32:$BA32)+SUMIF($BH$3:$CE$3,"&gt;"&amp;$CW$4,$AD32:$BA32)),
IF(BM$3=$DF32+'Model Setup'!$K$7,SUMIF($BH$3:$CE$3,"="&amp;$DF32+'Model Setup'!$K$7,$AD32:$BA32)+'Model Setup'!$K$8*(SUMIF($BH$3:$CE$3,"&lt;"&amp;$DF32,$AD32:$BA32)+SUMIF($BH$3:$CE$3,"&gt;"&amp;$CW$4,$AD32:$BA32)),
IF(BM$3=$DF32+'Model Setup'!$L$7,SUMIF($BH$3:$CE$3,"="&amp;$DF32+'Model Setup'!$L$7,$AD32:$BA32)+'Model Setup'!$L$8*(SUMIF($BH$3:$CE$3,"&lt;"&amp;$DF32,$AD32:$BA32)+SUMIF($BH$3:$CE$3,"&gt;"&amp;$CW$4,$AD32:$BA32)),
IF(BM$3=$DF32+'Model Setup'!$M$7,SUMIF($BH$3:$CE$3,"="&amp;$DF32+'Model Setup'!$M$7,$AD32:$BA32)+'Model Setup'!$M$8*(SUMIF($BH$3:$CE$3,"&lt;"&amp;$DF32,$AD32:$BA32)+SUMIF($BH$3:$CE$3,"&gt;"&amp;$CW$4,$AD32:$BA32)),
IF(BM$3=$DF32+'Model Setup'!$N$7,SUMIF($BH$3:$CE$3,"="&amp;$DF32+'Model Setup'!$N$7,$AD32:$BA32)+'Model Setup'!$N$8*(SUMIF($BH$3:$CE$3,"&lt;"&amp;$DF32,$AD32:$BA32)+SUMIF($BH$3:$CE$3,"&gt;"&amp;$CW$4,$AD32:$BA32)),
IF(BM$3&lt;$CW$4,G32,0))))))))))))))),0)</f>
        <v>34</v>
      </c>
      <c r="BN32" s="47">
        <f>ROUND(IF(OR(BN$3&lt;$DF32,BN$3&gt;$CW$4),0,
IF(BN$3=$DF32+'Model Setup'!$B$7,SUMIF($BH$3:$CE$3,"="&amp;$DF32+'Model Setup'!$B$7,$AD32:$BA32)+'Model Setup'!$B$8*(SUMIF($BH$3:$CE$3,"&lt;"&amp;$DF32,$AD32:$BA32)+SUMIF($BH$3:$CE$3,"&gt;"&amp;$CW$4,$AD32:$BA32)),
IF(BN$3=$DF32+'Model Setup'!$C$7,SUMIF($BH$3:$CE$3,"="&amp;$DF32+'Model Setup'!$C$7,$AD32:$BA32)+'Model Setup'!$C$8*(SUMIF($BH$3:$CE$3,"&lt;"&amp;$DF32,$AD32:$BA32)+SUMIF($BH$3:$CE$3,"&gt;"&amp;$CW$4,$AD32:$BA32)),
IF(BN$3=$DF32+'Model Setup'!$D$7,SUMIF($BH$3:$CE$3,"="&amp;$DF32+'Model Setup'!$D$7,$AD32:$BA32)+'Model Setup'!$D$8*(SUMIF($BH$3:$CE$3,"&lt;"&amp;$DF32,$AD32:$BA32)+SUMIF($BH$3:$CE$3,"&gt;"&amp;$CW$4,$AD32:$BA32)),
IF(BN$3=$DF32+'Model Setup'!$E$7,SUMIF($BH$3:$CE$3,"="&amp;$DF32+'Model Setup'!$E$7,$AD32:$BA32)+'Model Setup'!$E$8*(SUMIF($BH$3:$CE$3,"&lt;"&amp;$DF32,$AD32:$BA32)+SUMIF($BH$3:$CE$3,"&gt;"&amp;$CW$4,$AD32:$BA32)),
IF(BN$3=$DF32+'Model Setup'!$F$7,SUMIF($BH$3:$CE$3,"="&amp;$DF32+'Model Setup'!$F$7,$AD32:$BA32)+'Model Setup'!$F$8*(SUMIF($BH$3:$CE$3,"&lt;"&amp;$DF32,$AD32:$BA32)+SUMIF($BH$3:$CE$3,"&gt;"&amp;$CW$4,$AD32:$BA32)),
IF(BN$3=$DF32+'Model Setup'!$G$7,SUMIF($BH$3:$CE$3,"="&amp;$DF32+'Model Setup'!$G$7,$AD32:$BA32)+'Model Setup'!$G$8*(SUMIF($BH$3:$CE$3,"&lt;"&amp;$DF32,$AD32:$BA32)+SUMIF($BH$3:$CE$3,"&gt;"&amp;$CW$4,$AD32:$BA32)),
IF(BN$3=$DF32+'Model Setup'!$H$7,SUMIF($BH$3:$CE$3,"="&amp;$DF32+'Model Setup'!$H$7,$AD32:$BA32)+'Model Setup'!$H$8*(SUMIF($BH$3:$CE$3,"&lt;"&amp;$DF32,$AD32:$BA32)+SUMIF($BH$3:$CE$3,"&gt;"&amp;$CW$4,$AD32:$BA32)),
IF(BN$3=$DF32+'Model Setup'!$I$7,SUMIF($BH$3:$CE$3,"="&amp;$DF32+'Model Setup'!$I$7,$AD32:$BA32)+'Model Setup'!$I$8*(SUMIF($BH$3:$CE$3,"&lt;"&amp;$DF32,$AD32:$BA32)+SUMIF($BH$3:$CE$3,"&gt;"&amp;$CW$4,$AD32:$BA32)),
IF(BN$3=$DF32+'Model Setup'!$J$7,SUMIF($BH$3:$CE$3,"="&amp;$DF32+'Model Setup'!$J$7,$AD32:$BA32)+'Model Setup'!$J$8*(SUMIF($BH$3:$CE$3,"&lt;"&amp;$DF32,$AD32:$BA32)+SUMIF($BH$3:$CE$3,"&gt;"&amp;$CW$4,$AD32:$BA32)),
IF(BN$3=$DF32+'Model Setup'!$K$7,SUMIF($BH$3:$CE$3,"="&amp;$DF32+'Model Setup'!$K$7,$AD32:$BA32)+'Model Setup'!$K$8*(SUMIF($BH$3:$CE$3,"&lt;"&amp;$DF32,$AD32:$BA32)+SUMIF($BH$3:$CE$3,"&gt;"&amp;$CW$4,$AD32:$BA32)),
IF(BN$3=$DF32+'Model Setup'!$L$7,SUMIF($BH$3:$CE$3,"="&amp;$DF32+'Model Setup'!$L$7,$AD32:$BA32)+'Model Setup'!$L$8*(SUMIF($BH$3:$CE$3,"&lt;"&amp;$DF32,$AD32:$BA32)+SUMIF($BH$3:$CE$3,"&gt;"&amp;$CW$4,$AD32:$BA32)),
IF(BN$3=$DF32+'Model Setup'!$M$7,SUMIF($BH$3:$CE$3,"="&amp;$DF32+'Model Setup'!$M$7,$AD32:$BA32)+'Model Setup'!$M$8*(SUMIF($BH$3:$CE$3,"&lt;"&amp;$DF32,$AD32:$BA32)+SUMIF($BH$3:$CE$3,"&gt;"&amp;$CW$4,$AD32:$BA32)),
IF(BN$3=$DF32+'Model Setup'!$N$7,SUMIF($BH$3:$CE$3,"="&amp;$DF32+'Model Setup'!$N$7,$AD32:$BA32)+'Model Setup'!$N$8*(SUMIF($BH$3:$CE$3,"&lt;"&amp;$DF32,$AD32:$BA32)+SUMIF($BH$3:$CE$3,"&gt;"&amp;$CW$4,$AD32:$BA32)),
IF(BN$3&lt;$CW$4,H32,0))))))))))))))),0)</f>
        <v>128</v>
      </c>
      <c r="BO32" s="47">
        <f>ROUND(IF(OR(BO$3&lt;$DF32,BO$3&gt;$CW$4),0,
IF(BO$3=$DF32+'Model Setup'!$B$7,SUMIF($BH$3:$CE$3,"="&amp;$DF32+'Model Setup'!$B$7,$AD32:$BA32)+'Model Setup'!$B$8*(SUMIF($BH$3:$CE$3,"&lt;"&amp;$DF32,$AD32:$BA32)+SUMIF($BH$3:$CE$3,"&gt;"&amp;$CW$4,$AD32:$BA32)),
IF(BO$3=$DF32+'Model Setup'!$C$7,SUMIF($BH$3:$CE$3,"="&amp;$DF32+'Model Setup'!$C$7,$AD32:$BA32)+'Model Setup'!$C$8*(SUMIF($BH$3:$CE$3,"&lt;"&amp;$DF32,$AD32:$BA32)+SUMIF($BH$3:$CE$3,"&gt;"&amp;$CW$4,$AD32:$BA32)),
IF(BO$3=$DF32+'Model Setup'!$D$7,SUMIF($BH$3:$CE$3,"="&amp;$DF32+'Model Setup'!$D$7,$AD32:$BA32)+'Model Setup'!$D$8*(SUMIF($BH$3:$CE$3,"&lt;"&amp;$DF32,$AD32:$BA32)+SUMIF($BH$3:$CE$3,"&gt;"&amp;$CW$4,$AD32:$BA32)),
IF(BO$3=$DF32+'Model Setup'!$E$7,SUMIF($BH$3:$CE$3,"="&amp;$DF32+'Model Setup'!$E$7,$AD32:$BA32)+'Model Setup'!$E$8*(SUMIF($BH$3:$CE$3,"&lt;"&amp;$DF32,$AD32:$BA32)+SUMIF($BH$3:$CE$3,"&gt;"&amp;$CW$4,$AD32:$BA32)),
IF(BO$3=$DF32+'Model Setup'!$F$7,SUMIF($BH$3:$CE$3,"="&amp;$DF32+'Model Setup'!$F$7,$AD32:$BA32)+'Model Setup'!$F$8*(SUMIF($BH$3:$CE$3,"&lt;"&amp;$DF32,$AD32:$BA32)+SUMIF($BH$3:$CE$3,"&gt;"&amp;$CW$4,$AD32:$BA32)),
IF(BO$3=$DF32+'Model Setup'!$G$7,SUMIF($BH$3:$CE$3,"="&amp;$DF32+'Model Setup'!$G$7,$AD32:$BA32)+'Model Setup'!$G$8*(SUMIF($BH$3:$CE$3,"&lt;"&amp;$DF32,$AD32:$BA32)+SUMIF($BH$3:$CE$3,"&gt;"&amp;$CW$4,$AD32:$BA32)),
IF(BO$3=$DF32+'Model Setup'!$H$7,SUMIF($BH$3:$CE$3,"="&amp;$DF32+'Model Setup'!$H$7,$AD32:$BA32)+'Model Setup'!$H$8*(SUMIF($BH$3:$CE$3,"&lt;"&amp;$DF32,$AD32:$BA32)+SUMIF($BH$3:$CE$3,"&gt;"&amp;$CW$4,$AD32:$BA32)),
IF(BO$3=$DF32+'Model Setup'!$I$7,SUMIF($BH$3:$CE$3,"="&amp;$DF32+'Model Setup'!$I$7,$AD32:$BA32)+'Model Setup'!$I$8*(SUMIF($BH$3:$CE$3,"&lt;"&amp;$DF32,$AD32:$BA32)+SUMIF($BH$3:$CE$3,"&gt;"&amp;$CW$4,$AD32:$BA32)),
IF(BO$3=$DF32+'Model Setup'!$J$7,SUMIF($BH$3:$CE$3,"="&amp;$DF32+'Model Setup'!$J$7,$AD32:$BA32)+'Model Setup'!$J$8*(SUMIF($BH$3:$CE$3,"&lt;"&amp;$DF32,$AD32:$BA32)+SUMIF($BH$3:$CE$3,"&gt;"&amp;$CW$4,$AD32:$BA32)),
IF(BO$3=$DF32+'Model Setup'!$K$7,SUMIF($BH$3:$CE$3,"="&amp;$DF32+'Model Setup'!$K$7,$AD32:$BA32)+'Model Setup'!$K$8*(SUMIF($BH$3:$CE$3,"&lt;"&amp;$DF32,$AD32:$BA32)+SUMIF($BH$3:$CE$3,"&gt;"&amp;$CW$4,$AD32:$BA32)),
IF(BO$3=$DF32+'Model Setup'!$L$7,SUMIF($BH$3:$CE$3,"="&amp;$DF32+'Model Setup'!$L$7,$AD32:$BA32)+'Model Setup'!$L$8*(SUMIF($BH$3:$CE$3,"&lt;"&amp;$DF32,$AD32:$BA32)+SUMIF($BH$3:$CE$3,"&gt;"&amp;$CW$4,$AD32:$BA32)),
IF(BO$3=$DF32+'Model Setup'!$M$7,SUMIF($BH$3:$CE$3,"="&amp;$DF32+'Model Setup'!$M$7,$AD32:$BA32)+'Model Setup'!$M$8*(SUMIF($BH$3:$CE$3,"&lt;"&amp;$DF32,$AD32:$BA32)+SUMIF($BH$3:$CE$3,"&gt;"&amp;$CW$4,$AD32:$BA32)),
IF(BO$3=$DF32+'Model Setup'!$N$7,SUMIF($BH$3:$CE$3,"="&amp;$DF32+'Model Setup'!$N$7,$AD32:$BA32)+'Model Setup'!$N$8*(SUMIF($BH$3:$CE$3,"&lt;"&amp;$DF32,$AD32:$BA32)+SUMIF($BH$3:$CE$3,"&gt;"&amp;$CW$4,$AD32:$BA32)),
IF(BO$3&lt;$CW$4,I32,0))))))))))))))),0)</f>
        <v>124</v>
      </c>
      <c r="BP32" s="47">
        <f>ROUND(IF(OR(BP$3&lt;$DF32,BP$3&gt;$CW$4),0,
IF(BP$3=$DF32+'Model Setup'!$B$7,SUMIF($BH$3:$CE$3,"="&amp;$DF32+'Model Setup'!$B$7,$AD32:$BA32)+'Model Setup'!$B$8*(SUMIF($BH$3:$CE$3,"&lt;"&amp;$DF32,$AD32:$BA32)+SUMIF($BH$3:$CE$3,"&gt;"&amp;$CW$4,$AD32:$BA32)),
IF(BP$3=$DF32+'Model Setup'!$C$7,SUMIF($BH$3:$CE$3,"="&amp;$DF32+'Model Setup'!$C$7,$AD32:$BA32)+'Model Setup'!$C$8*(SUMIF($BH$3:$CE$3,"&lt;"&amp;$DF32,$AD32:$BA32)+SUMIF($BH$3:$CE$3,"&gt;"&amp;$CW$4,$AD32:$BA32)),
IF(BP$3=$DF32+'Model Setup'!$D$7,SUMIF($BH$3:$CE$3,"="&amp;$DF32+'Model Setup'!$D$7,$AD32:$BA32)+'Model Setup'!$D$8*(SUMIF($BH$3:$CE$3,"&lt;"&amp;$DF32,$AD32:$BA32)+SUMIF($BH$3:$CE$3,"&gt;"&amp;$CW$4,$AD32:$BA32)),
IF(BP$3=$DF32+'Model Setup'!$E$7,SUMIF($BH$3:$CE$3,"="&amp;$DF32+'Model Setup'!$E$7,$AD32:$BA32)+'Model Setup'!$E$8*(SUMIF($BH$3:$CE$3,"&lt;"&amp;$DF32,$AD32:$BA32)+SUMIF($BH$3:$CE$3,"&gt;"&amp;$CW$4,$AD32:$BA32)),
IF(BP$3=$DF32+'Model Setup'!$F$7,SUMIF($BH$3:$CE$3,"="&amp;$DF32+'Model Setup'!$F$7,$AD32:$BA32)+'Model Setup'!$F$8*(SUMIF($BH$3:$CE$3,"&lt;"&amp;$DF32,$AD32:$BA32)+SUMIF($BH$3:$CE$3,"&gt;"&amp;$CW$4,$AD32:$BA32)),
IF(BP$3=$DF32+'Model Setup'!$G$7,SUMIF($BH$3:$CE$3,"="&amp;$DF32+'Model Setup'!$G$7,$AD32:$BA32)+'Model Setup'!$G$8*(SUMIF($BH$3:$CE$3,"&lt;"&amp;$DF32,$AD32:$BA32)+SUMIF($BH$3:$CE$3,"&gt;"&amp;$CW$4,$AD32:$BA32)),
IF(BP$3=$DF32+'Model Setup'!$H$7,SUMIF($BH$3:$CE$3,"="&amp;$DF32+'Model Setup'!$H$7,$AD32:$BA32)+'Model Setup'!$H$8*(SUMIF($BH$3:$CE$3,"&lt;"&amp;$DF32,$AD32:$BA32)+SUMIF($BH$3:$CE$3,"&gt;"&amp;$CW$4,$AD32:$BA32)),
IF(BP$3=$DF32+'Model Setup'!$I$7,SUMIF($BH$3:$CE$3,"="&amp;$DF32+'Model Setup'!$I$7,$AD32:$BA32)+'Model Setup'!$I$8*(SUMIF($BH$3:$CE$3,"&lt;"&amp;$DF32,$AD32:$BA32)+SUMIF($BH$3:$CE$3,"&gt;"&amp;$CW$4,$AD32:$BA32)),
IF(BP$3=$DF32+'Model Setup'!$J$7,SUMIF($BH$3:$CE$3,"="&amp;$DF32+'Model Setup'!$J$7,$AD32:$BA32)+'Model Setup'!$J$8*(SUMIF($BH$3:$CE$3,"&lt;"&amp;$DF32,$AD32:$BA32)+SUMIF($BH$3:$CE$3,"&gt;"&amp;$CW$4,$AD32:$BA32)),
IF(BP$3=$DF32+'Model Setup'!$K$7,SUMIF($BH$3:$CE$3,"="&amp;$DF32+'Model Setup'!$K$7,$AD32:$BA32)+'Model Setup'!$K$8*(SUMIF($BH$3:$CE$3,"&lt;"&amp;$DF32,$AD32:$BA32)+SUMIF($BH$3:$CE$3,"&gt;"&amp;$CW$4,$AD32:$BA32)),
IF(BP$3=$DF32+'Model Setup'!$L$7,SUMIF($BH$3:$CE$3,"="&amp;$DF32+'Model Setup'!$L$7,$AD32:$BA32)+'Model Setup'!$L$8*(SUMIF($BH$3:$CE$3,"&lt;"&amp;$DF32,$AD32:$BA32)+SUMIF($BH$3:$CE$3,"&gt;"&amp;$CW$4,$AD32:$BA32)),
IF(BP$3=$DF32+'Model Setup'!$M$7,SUMIF($BH$3:$CE$3,"="&amp;$DF32+'Model Setup'!$M$7,$AD32:$BA32)+'Model Setup'!$M$8*(SUMIF($BH$3:$CE$3,"&lt;"&amp;$DF32,$AD32:$BA32)+SUMIF($BH$3:$CE$3,"&gt;"&amp;$CW$4,$AD32:$BA32)),
IF(BP$3=$DF32+'Model Setup'!$N$7,SUMIF($BH$3:$CE$3,"="&amp;$DF32+'Model Setup'!$N$7,$AD32:$BA32)+'Model Setup'!$N$8*(SUMIF($BH$3:$CE$3,"&lt;"&amp;$DF32,$AD32:$BA32)+SUMIF($BH$3:$CE$3,"&gt;"&amp;$CW$4,$AD32:$BA32)),
IF(BP$3&lt;$CW$4,J32,0))))))))))))))),0)</f>
        <v>115</v>
      </c>
      <c r="BQ32" s="47">
        <f>ROUND(IF(OR(BQ$3&lt;$DF32,BQ$3&gt;$CW$4),0,
IF(BQ$3=$DF32+'Model Setup'!$B$7,SUMIF($BH$3:$CE$3,"="&amp;$DF32+'Model Setup'!$B$7,$AD32:$BA32)+'Model Setup'!$B$8*(SUMIF($BH$3:$CE$3,"&lt;"&amp;$DF32,$AD32:$BA32)+SUMIF($BH$3:$CE$3,"&gt;"&amp;$CW$4,$AD32:$BA32)),
IF(BQ$3=$DF32+'Model Setup'!$C$7,SUMIF($BH$3:$CE$3,"="&amp;$DF32+'Model Setup'!$C$7,$AD32:$BA32)+'Model Setup'!$C$8*(SUMIF($BH$3:$CE$3,"&lt;"&amp;$DF32,$AD32:$BA32)+SUMIF($BH$3:$CE$3,"&gt;"&amp;$CW$4,$AD32:$BA32)),
IF(BQ$3=$DF32+'Model Setup'!$D$7,SUMIF($BH$3:$CE$3,"="&amp;$DF32+'Model Setup'!$D$7,$AD32:$BA32)+'Model Setup'!$D$8*(SUMIF($BH$3:$CE$3,"&lt;"&amp;$DF32,$AD32:$BA32)+SUMIF($BH$3:$CE$3,"&gt;"&amp;$CW$4,$AD32:$BA32)),
IF(BQ$3=$DF32+'Model Setup'!$E$7,SUMIF($BH$3:$CE$3,"="&amp;$DF32+'Model Setup'!$E$7,$AD32:$BA32)+'Model Setup'!$E$8*(SUMIF($BH$3:$CE$3,"&lt;"&amp;$DF32,$AD32:$BA32)+SUMIF($BH$3:$CE$3,"&gt;"&amp;$CW$4,$AD32:$BA32)),
IF(BQ$3=$DF32+'Model Setup'!$F$7,SUMIF($BH$3:$CE$3,"="&amp;$DF32+'Model Setup'!$F$7,$AD32:$BA32)+'Model Setup'!$F$8*(SUMIF($BH$3:$CE$3,"&lt;"&amp;$DF32,$AD32:$BA32)+SUMIF($BH$3:$CE$3,"&gt;"&amp;$CW$4,$AD32:$BA32)),
IF(BQ$3=$DF32+'Model Setup'!$G$7,SUMIF($BH$3:$CE$3,"="&amp;$DF32+'Model Setup'!$G$7,$AD32:$BA32)+'Model Setup'!$G$8*(SUMIF($BH$3:$CE$3,"&lt;"&amp;$DF32,$AD32:$BA32)+SUMIF($BH$3:$CE$3,"&gt;"&amp;$CW$4,$AD32:$BA32)),
IF(BQ$3=$DF32+'Model Setup'!$H$7,SUMIF($BH$3:$CE$3,"="&amp;$DF32+'Model Setup'!$H$7,$AD32:$BA32)+'Model Setup'!$H$8*(SUMIF($BH$3:$CE$3,"&lt;"&amp;$DF32,$AD32:$BA32)+SUMIF($BH$3:$CE$3,"&gt;"&amp;$CW$4,$AD32:$BA32)),
IF(BQ$3=$DF32+'Model Setup'!$I$7,SUMIF($BH$3:$CE$3,"="&amp;$DF32+'Model Setup'!$I$7,$AD32:$BA32)+'Model Setup'!$I$8*(SUMIF($BH$3:$CE$3,"&lt;"&amp;$DF32,$AD32:$BA32)+SUMIF($BH$3:$CE$3,"&gt;"&amp;$CW$4,$AD32:$BA32)),
IF(BQ$3=$DF32+'Model Setup'!$J$7,SUMIF($BH$3:$CE$3,"="&amp;$DF32+'Model Setup'!$J$7,$AD32:$BA32)+'Model Setup'!$J$8*(SUMIF($BH$3:$CE$3,"&lt;"&amp;$DF32,$AD32:$BA32)+SUMIF($BH$3:$CE$3,"&gt;"&amp;$CW$4,$AD32:$BA32)),
IF(BQ$3=$DF32+'Model Setup'!$K$7,SUMIF($BH$3:$CE$3,"="&amp;$DF32+'Model Setup'!$K$7,$AD32:$BA32)+'Model Setup'!$K$8*(SUMIF($BH$3:$CE$3,"&lt;"&amp;$DF32,$AD32:$BA32)+SUMIF($BH$3:$CE$3,"&gt;"&amp;$CW$4,$AD32:$BA32)),
IF(BQ$3=$DF32+'Model Setup'!$L$7,SUMIF($BH$3:$CE$3,"="&amp;$DF32+'Model Setup'!$L$7,$AD32:$BA32)+'Model Setup'!$L$8*(SUMIF($BH$3:$CE$3,"&lt;"&amp;$DF32,$AD32:$BA32)+SUMIF($BH$3:$CE$3,"&gt;"&amp;$CW$4,$AD32:$BA32)),
IF(BQ$3=$DF32+'Model Setup'!$M$7,SUMIF($BH$3:$CE$3,"="&amp;$DF32+'Model Setup'!$M$7,$AD32:$BA32)+'Model Setup'!$M$8*(SUMIF($BH$3:$CE$3,"&lt;"&amp;$DF32,$AD32:$BA32)+SUMIF($BH$3:$CE$3,"&gt;"&amp;$CW$4,$AD32:$BA32)),
IF(BQ$3=$DF32+'Model Setup'!$N$7,SUMIF($BH$3:$CE$3,"="&amp;$DF32+'Model Setup'!$N$7,$AD32:$BA32)+'Model Setup'!$N$8*(SUMIF($BH$3:$CE$3,"&lt;"&amp;$DF32,$AD32:$BA32)+SUMIF($BH$3:$CE$3,"&gt;"&amp;$CW$4,$AD32:$BA32)),
IF(BQ$3&lt;$CW$4,K32,0))))))))))))))),0)</f>
        <v>108</v>
      </c>
      <c r="BR32" s="47">
        <f>ROUND(IF(OR(BR$3&lt;$DF32,BR$3&gt;$CW$4),0,
IF(BR$3=$DF32+'Model Setup'!$B$7,SUMIF($BH$3:$CE$3,"="&amp;$DF32+'Model Setup'!$B$7,$AD32:$BA32)+'Model Setup'!$B$8*(SUMIF($BH$3:$CE$3,"&lt;"&amp;$DF32,$AD32:$BA32)+SUMIF($BH$3:$CE$3,"&gt;"&amp;$CW$4,$AD32:$BA32)),
IF(BR$3=$DF32+'Model Setup'!$C$7,SUMIF($BH$3:$CE$3,"="&amp;$DF32+'Model Setup'!$C$7,$AD32:$BA32)+'Model Setup'!$C$8*(SUMIF($BH$3:$CE$3,"&lt;"&amp;$DF32,$AD32:$BA32)+SUMIF($BH$3:$CE$3,"&gt;"&amp;$CW$4,$AD32:$BA32)),
IF(BR$3=$DF32+'Model Setup'!$D$7,SUMIF($BH$3:$CE$3,"="&amp;$DF32+'Model Setup'!$D$7,$AD32:$BA32)+'Model Setup'!$D$8*(SUMIF($BH$3:$CE$3,"&lt;"&amp;$DF32,$AD32:$BA32)+SUMIF($BH$3:$CE$3,"&gt;"&amp;$CW$4,$AD32:$BA32)),
IF(BR$3=$DF32+'Model Setup'!$E$7,SUMIF($BH$3:$CE$3,"="&amp;$DF32+'Model Setup'!$E$7,$AD32:$BA32)+'Model Setup'!$E$8*(SUMIF($BH$3:$CE$3,"&lt;"&amp;$DF32,$AD32:$BA32)+SUMIF($BH$3:$CE$3,"&gt;"&amp;$CW$4,$AD32:$BA32)),
IF(BR$3=$DF32+'Model Setup'!$F$7,SUMIF($BH$3:$CE$3,"="&amp;$DF32+'Model Setup'!$F$7,$AD32:$BA32)+'Model Setup'!$F$8*(SUMIF($BH$3:$CE$3,"&lt;"&amp;$DF32,$AD32:$BA32)+SUMIF($BH$3:$CE$3,"&gt;"&amp;$CW$4,$AD32:$BA32)),
IF(BR$3=$DF32+'Model Setup'!$G$7,SUMIF($BH$3:$CE$3,"="&amp;$DF32+'Model Setup'!$G$7,$AD32:$BA32)+'Model Setup'!$G$8*(SUMIF($BH$3:$CE$3,"&lt;"&amp;$DF32,$AD32:$BA32)+SUMIF($BH$3:$CE$3,"&gt;"&amp;$CW$4,$AD32:$BA32)),
IF(BR$3=$DF32+'Model Setup'!$H$7,SUMIF($BH$3:$CE$3,"="&amp;$DF32+'Model Setup'!$H$7,$AD32:$BA32)+'Model Setup'!$H$8*(SUMIF($BH$3:$CE$3,"&lt;"&amp;$DF32,$AD32:$BA32)+SUMIF($BH$3:$CE$3,"&gt;"&amp;$CW$4,$AD32:$BA32)),
IF(BR$3=$DF32+'Model Setup'!$I$7,SUMIF($BH$3:$CE$3,"="&amp;$DF32+'Model Setup'!$I$7,$AD32:$BA32)+'Model Setup'!$I$8*(SUMIF($BH$3:$CE$3,"&lt;"&amp;$DF32,$AD32:$BA32)+SUMIF($BH$3:$CE$3,"&gt;"&amp;$CW$4,$AD32:$BA32)),
IF(BR$3=$DF32+'Model Setup'!$J$7,SUMIF($BH$3:$CE$3,"="&amp;$DF32+'Model Setup'!$J$7,$AD32:$BA32)+'Model Setup'!$J$8*(SUMIF($BH$3:$CE$3,"&lt;"&amp;$DF32,$AD32:$BA32)+SUMIF($BH$3:$CE$3,"&gt;"&amp;$CW$4,$AD32:$BA32)),
IF(BR$3=$DF32+'Model Setup'!$K$7,SUMIF($BH$3:$CE$3,"="&amp;$DF32+'Model Setup'!$K$7,$AD32:$BA32)+'Model Setup'!$K$8*(SUMIF($BH$3:$CE$3,"&lt;"&amp;$DF32,$AD32:$BA32)+SUMIF($BH$3:$CE$3,"&gt;"&amp;$CW$4,$AD32:$BA32)),
IF(BR$3=$DF32+'Model Setup'!$L$7,SUMIF($BH$3:$CE$3,"="&amp;$DF32+'Model Setup'!$L$7,$AD32:$BA32)+'Model Setup'!$L$8*(SUMIF($BH$3:$CE$3,"&lt;"&amp;$DF32,$AD32:$BA32)+SUMIF($BH$3:$CE$3,"&gt;"&amp;$CW$4,$AD32:$BA32)),
IF(BR$3=$DF32+'Model Setup'!$M$7,SUMIF($BH$3:$CE$3,"="&amp;$DF32+'Model Setup'!$M$7,$AD32:$BA32)+'Model Setup'!$M$8*(SUMIF($BH$3:$CE$3,"&lt;"&amp;$DF32,$AD32:$BA32)+SUMIF($BH$3:$CE$3,"&gt;"&amp;$CW$4,$AD32:$BA32)),
IF(BR$3=$DF32+'Model Setup'!$N$7,SUMIF($BH$3:$CE$3,"="&amp;$DF32+'Model Setup'!$N$7,$AD32:$BA32)+'Model Setup'!$N$8*(SUMIF($BH$3:$CE$3,"&lt;"&amp;$DF32,$AD32:$BA32)+SUMIF($BH$3:$CE$3,"&gt;"&amp;$CW$4,$AD32:$BA32)),
IF(BR$3&lt;$CW$4,L32,0))))))))))))))),0)</f>
        <v>113</v>
      </c>
      <c r="BS32" s="47">
        <f>ROUND(IF(OR(BS$3&lt;$DF32,BS$3&gt;$CW$4),0,
IF(BS$3=$DF32+'Model Setup'!$B$7,SUMIF($BH$3:$CE$3,"="&amp;$DF32+'Model Setup'!$B$7,$AD32:$BA32)+'Model Setup'!$B$8*(SUMIF($BH$3:$CE$3,"&lt;"&amp;$DF32,$AD32:$BA32)+SUMIF($BH$3:$CE$3,"&gt;"&amp;$CW$4,$AD32:$BA32)),
IF(BS$3=$DF32+'Model Setup'!$C$7,SUMIF($BH$3:$CE$3,"="&amp;$DF32+'Model Setup'!$C$7,$AD32:$BA32)+'Model Setup'!$C$8*(SUMIF($BH$3:$CE$3,"&lt;"&amp;$DF32,$AD32:$BA32)+SUMIF($BH$3:$CE$3,"&gt;"&amp;$CW$4,$AD32:$BA32)),
IF(BS$3=$DF32+'Model Setup'!$D$7,SUMIF($BH$3:$CE$3,"="&amp;$DF32+'Model Setup'!$D$7,$AD32:$BA32)+'Model Setup'!$D$8*(SUMIF($BH$3:$CE$3,"&lt;"&amp;$DF32,$AD32:$BA32)+SUMIF($BH$3:$CE$3,"&gt;"&amp;$CW$4,$AD32:$BA32)),
IF(BS$3=$DF32+'Model Setup'!$E$7,SUMIF($BH$3:$CE$3,"="&amp;$DF32+'Model Setup'!$E$7,$AD32:$BA32)+'Model Setup'!$E$8*(SUMIF($BH$3:$CE$3,"&lt;"&amp;$DF32,$AD32:$BA32)+SUMIF($BH$3:$CE$3,"&gt;"&amp;$CW$4,$AD32:$BA32)),
IF(BS$3=$DF32+'Model Setup'!$F$7,SUMIF($BH$3:$CE$3,"="&amp;$DF32+'Model Setup'!$F$7,$AD32:$BA32)+'Model Setup'!$F$8*(SUMIF($BH$3:$CE$3,"&lt;"&amp;$DF32,$AD32:$BA32)+SUMIF($BH$3:$CE$3,"&gt;"&amp;$CW$4,$AD32:$BA32)),
IF(BS$3=$DF32+'Model Setup'!$G$7,SUMIF($BH$3:$CE$3,"="&amp;$DF32+'Model Setup'!$G$7,$AD32:$BA32)+'Model Setup'!$G$8*(SUMIF($BH$3:$CE$3,"&lt;"&amp;$DF32,$AD32:$BA32)+SUMIF($BH$3:$CE$3,"&gt;"&amp;$CW$4,$AD32:$BA32)),
IF(BS$3=$DF32+'Model Setup'!$H$7,SUMIF($BH$3:$CE$3,"="&amp;$DF32+'Model Setup'!$H$7,$AD32:$BA32)+'Model Setup'!$H$8*(SUMIF($BH$3:$CE$3,"&lt;"&amp;$DF32,$AD32:$BA32)+SUMIF($BH$3:$CE$3,"&gt;"&amp;$CW$4,$AD32:$BA32)),
IF(BS$3=$DF32+'Model Setup'!$I$7,SUMIF($BH$3:$CE$3,"="&amp;$DF32+'Model Setup'!$I$7,$AD32:$BA32)+'Model Setup'!$I$8*(SUMIF($BH$3:$CE$3,"&lt;"&amp;$DF32,$AD32:$BA32)+SUMIF($BH$3:$CE$3,"&gt;"&amp;$CW$4,$AD32:$BA32)),
IF(BS$3=$DF32+'Model Setup'!$J$7,SUMIF($BH$3:$CE$3,"="&amp;$DF32+'Model Setup'!$J$7,$AD32:$BA32)+'Model Setup'!$J$8*(SUMIF($BH$3:$CE$3,"&lt;"&amp;$DF32,$AD32:$BA32)+SUMIF($BH$3:$CE$3,"&gt;"&amp;$CW$4,$AD32:$BA32)),
IF(BS$3=$DF32+'Model Setup'!$K$7,SUMIF($BH$3:$CE$3,"="&amp;$DF32+'Model Setup'!$K$7,$AD32:$BA32)+'Model Setup'!$K$8*(SUMIF($BH$3:$CE$3,"&lt;"&amp;$DF32,$AD32:$BA32)+SUMIF($BH$3:$CE$3,"&gt;"&amp;$CW$4,$AD32:$BA32)),
IF(BS$3=$DF32+'Model Setup'!$L$7,SUMIF($BH$3:$CE$3,"="&amp;$DF32+'Model Setup'!$L$7,$AD32:$BA32)+'Model Setup'!$L$8*(SUMIF($BH$3:$CE$3,"&lt;"&amp;$DF32,$AD32:$BA32)+SUMIF($BH$3:$CE$3,"&gt;"&amp;$CW$4,$AD32:$BA32)),
IF(BS$3=$DF32+'Model Setup'!$M$7,SUMIF($BH$3:$CE$3,"="&amp;$DF32+'Model Setup'!$M$7,$AD32:$BA32)+'Model Setup'!$M$8*(SUMIF($BH$3:$CE$3,"&lt;"&amp;$DF32,$AD32:$BA32)+SUMIF($BH$3:$CE$3,"&gt;"&amp;$CW$4,$AD32:$BA32)),
IF(BS$3=$DF32+'Model Setup'!$N$7,SUMIF($BH$3:$CE$3,"="&amp;$DF32+'Model Setup'!$N$7,$AD32:$BA32)+'Model Setup'!$N$8*(SUMIF($BH$3:$CE$3,"&lt;"&amp;$DF32,$AD32:$BA32)+SUMIF($BH$3:$CE$3,"&gt;"&amp;$CW$4,$AD32:$BA32)),
IF(BS$3&lt;$CW$4,M32,0))))))))))))))),0)</f>
        <v>85</v>
      </c>
      <c r="BT32" s="47">
        <f>ROUND(IF(OR(BT$3&lt;$DF32,BT$3&gt;$CW$4),0,
IF(BT$3=$DF32+'Model Setup'!$B$7,SUMIF($BH$3:$CE$3,"="&amp;$DF32+'Model Setup'!$B$7,$AD32:$BA32)+'Model Setup'!$B$8*(SUMIF($BH$3:$CE$3,"&lt;"&amp;$DF32,$AD32:$BA32)+SUMIF($BH$3:$CE$3,"&gt;"&amp;$CW$4,$AD32:$BA32)),
IF(BT$3=$DF32+'Model Setup'!$C$7,SUMIF($BH$3:$CE$3,"="&amp;$DF32+'Model Setup'!$C$7,$AD32:$BA32)+'Model Setup'!$C$8*(SUMIF($BH$3:$CE$3,"&lt;"&amp;$DF32,$AD32:$BA32)+SUMIF($BH$3:$CE$3,"&gt;"&amp;$CW$4,$AD32:$BA32)),
IF(BT$3=$DF32+'Model Setup'!$D$7,SUMIF($BH$3:$CE$3,"="&amp;$DF32+'Model Setup'!$D$7,$AD32:$BA32)+'Model Setup'!$D$8*(SUMIF($BH$3:$CE$3,"&lt;"&amp;$DF32,$AD32:$BA32)+SUMIF($BH$3:$CE$3,"&gt;"&amp;$CW$4,$AD32:$BA32)),
IF(BT$3=$DF32+'Model Setup'!$E$7,SUMIF($BH$3:$CE$3,"="&amp;$DF32+'Model Setup'!$E$7,$AD32:$BA32)+'Model Setup'!$E$8*(SUMIF($BH$3:$CE$3,"&lt;"&amp;$DF32,$AD32:$BA32)+SUMIF($BH$3:$CE$3,"&gt;"&amp;$CW$4,$AD32:$BA32)),
IF(BT$3=$DF32+'Model Setup'!$F$7,SUMIF($BH$3:$CE$3,"="&amp;$DF32+'Model Setup'!$F$7,$AD32:$BA32)+'Model Setup'!$F$8*(SUMIF($BH$3:$CE$3,"&lt;"&amp;$DF32,$AD32:$BA32)+SUMIF($BH$3:$CE$3,"&gt;"&amp;$CW$4,$AD32:$BA32)),
IF(BT$3=$DF32+'Model Setup'!$G$7,SUMIF($BH$3:$CE$3,"="&amp;$DF32+'Model Setup'!$G$7,$AD32:$BA32)+'Model Setup'!$G$8*(SUMIF($BH$3:$CE$3,"&lt;"&amp;$DF32,$AD32:$BA32)+SUMIF($BH$3:$CE$3,"&gt;"&amp;$CW$4,$AD32:$BA32)),
IF(BT$3=$DF32+'Model Setup'!$H$7,SUMIF($BH$3:$CE$3,"="&amp;$DF32+'Model Setup'!$H$7,$AD32:$BA32)+'Model Setup'!$H$8*(SUMIF($BH$3:$CE$3,"&lt;"&amp;$DF32,$AD32:$BA32)+SUMIF($BH$3:$CE$3,"&gt;"&amp;$CW$4,$AD32:$BA32)),
IF(BT$3=$DF32+'Model Setup'!$I$7,SUMIF($BH$3:$CE$3,"="&amp;$DF32+'Model Setup'!$I$7,$AD32:$BA32)+'Model Setup'!$I$8*(SUMIF($BH$3:$CE$3,"&lt;"&amp;$DF32,$AD32:$BA32)+SUMIF($BH$3:$CE$3,"&gt;"&amp;$CW$4,$AD32:$BA32)),
IF(BT$3=$DF32+'Model Setup'!$J$7,SUMIF($BH$3:$CE$3,"="&amp;$DF32+'Model Setup'!$J$7,$AD32:$BA32)+'Model Setup'!$J$8*(SUMIF($BH$3:$CE$3,"&lt;"&amp;$DF32,$AD32:$BA32)+SUMIF($BH$3:$CE$3,"&gt;"&amp;$CW$4,$AD32:$BA32)),
IF(BT$3=$DF32+'Model Setup'!$K$7,SUMIF($BH$3:$CE$3,"="&amp;$DF32+'Model Setup'!$K$7,$AD32:$BA32)+'Model Setup'!$K$8*(SUMIF($BH$3:$CE$3,"&lt;"&amp;$DF32,$AD32:$BA32)+SUMIF($BH$3:$CE$3,"&gt;"&amp;$CW$4,$AD32:$BA32)),
IF(BT$3=$DF32+'Model Setup'!$L$7,SUMIF($BH$3:$CE$3,"="&amp;$DF32+'Model Setup'!$L$7,$AD32:$BA32)+'Model Setup'!$L$8*(SUMIF($BH$3:$CE$3,"&lt;"&amp;$DF32,$AD32:$BA32)+SUMIF($BH$3:$CE$3,"&gt;"&amp;$CW$4,$AD32:$BA32)),
IF(BT$3=$DF32+'Model Setup'!$M$7,SUMIF($BH$3:$CE$3,"="&amp;$DF32+'Model Setup'!$M$7,$AD32:$BA32)+'Model Setup'!$M$8*(SUMIF($BH$3:$CE$3,"&lt;"&amp;$DF32,$AD32:$BA32)+SUMIF($BH$3:$CE$3,"&gt;"&amp;$CW$4,$AD32:$BA32)),
IF(BT$3=$DF32+'Model Setup'!$N$7,SUMIF($BH$3:$CE$3,"="&amp;$DF32+'Model Setup'!$N$7,$AD32:$BA32)+'Model Setup'!$N$8*(SUMIF($BH$3:$CE$3,"&lt;"&amp;$DF32,$AD32:$BA32)+SUMIF($BH$3:$CE$3,"&gt;"&amp;$CW$4,$AD32:$BA32)),
IF(BT$3&lt;$CW$4,N32,0))))))))))))))),0)</f>
        <v>56</v>
      </c>
      <c r="BU32" s="47">
        <f>ROUND(IF(OR(BU$3&lt;$DF32,BU$3&gt;$CW$4),0,
IF(BU$3=$DF32+'Model Setup'!$B$7,SUMIF($BH$3:$CE$3,"="&amp;$DF32+'Model Setup'!$B$7,$AD32:$BA32)+'Model Setup'!$B$8*(SUMIF($BH$3:$CE$3,"&lt;"&amp;$DF32,$AD32:$BA32)+SUMIF($BH$3:$CE$3,"&gt;"&amp;$CW$4,$AD32:$BA32)),
IF(BU$3=$DF32+'Model Setup'!$C$7,SUMIF($BH$3:$CE$3,"="&amp;$DF32+'Model Setup'!$C$7,$AD32:$BA32)+'Model Setup'!$C$8*(SUMIF($BH$3:$CE$3,"&lt;"&amp;$DF32,$AD32:$BA32)+SUMIF($BH$3:$CE$3,"&gt;"&amp;$CW$4,$AD32:$BA32)),
IF(BU$3=$DF32+'Model Setup'!$D$7,SUMIF($BH$3:$CE$3,"="&amp;$DF32+'Model Setup'!$D$7,$AD32:$BA32)+'Model Setup'!$D$8*(SUMIF($BH$3:$CE$3,"&lt;"&amp;$DF32,$AD32:$BA32)+SUMIF($BH$3:$CE$3,"&gt;"&amp;$CW$4,$AD32:$BA32)),
IF(BU$3=$DF32+'Model Setup'!$E$7,SUMIF($BH$3:$CE$3,"="&amp;$DF32+'Model Setup'!$E$7,$AD32:$BA32)+'Model Setup'!$E$8*(SUMIF($BH$3:$CE$3,"&lt;"&amp;$DF32,$AD32:$BA32)+SUMIF($BH$3:$CE$3,"&gt;"&amp;$CW$4,$AD32:$BA32)),
IF(BU$3=$DF32+'Model Setup'!$F$7,SUMIF($BH$3:$CE$3,"="&amp;$DF32+'Model Setup'!$F$7,$AD32:$BA32)+'Model Setup'!$F$8*(SUMIF($BH$3:$CE$3,"&lt;"&amp;$DF32,$AD32:$BA32)+SUMIF($BH$3:$CE$3,"&gt;"&amp;$CW$4,$AD32:$BA32)),
IF(BU$3=$DF32+'Model Setup'!$G$7,SUMIF($BH$3:$CE$3,"="&amp;$DF32+'Model Setup'!$G$7,$AD32:$BA32)+'Model Setup'!$G$8*(SUMIF($BH$3:$CE$3,"&lt;"&amp;$DF32,$AD32:$BA32)+SUMIF($BH$3:$CE$3,"&gt;"&amp;$CW$4,$AD32:$BA32)),
IF(BU$3=$DF32+'Model Setup'!$H$7,SUMIF($BH$3:$CE$3,"="&amp;$DF32+'Model Setup'!$H$7,$AD32:$BA32)+'Model Setup'!$H$8*(SUMIF($BH$3:$CE$3,"&lt;"&amp;$DF32,$AD32:$BA32)+SUMIF($BH$3:$CE$3,"&gt;"&amp;$CW$4,$AD32:$BA32)),
IF(BU$3=$DF32+'Model Setup'!$I$7,SUMIF($BH$3:$CE$3,"="&amp;$DF32+'Model Setup'!$I$7,$AD32:$BA32)+'Model Setup'!$I$8*(SUMIF($BH$3:$CE$3,"&lt;"&amp;$DF32,$AD32:$BA32)+SUMIF($BH$3:$CE$3,"&gt;"&amp;$CW$4,$AD32:$BA32)),
IF(BU$3=$DF32+'Model Setup'!$J$7,SUMIF($BH$3:$CE$3,"="&amp;$DF32+'Model Setup'!$J$7,$AD32:$BA32)+'Model Setup'!$J$8*(SUMIF($BH$3:$CE$3,"&lt;"&amp;$DF32,$AD32:$BA32)+SUMIF($BH$3:$CE$3,"&gt;"&amp;$CW$4,$AD32:$BA32)),
IF(BU$3=$DF32+'Model Setup'!$K$7,SUMIF($BH$3:$CE$3,"="&amp;$DF32+'Model Setup'!$K$7,$AD32:$BA32)+'Model Setup'!$K$8*(SUMIF($BH$3:$CE$3,"&lt;"&amp;$DF32,$AD32:$BA32)+SUMIF($BH$3:$CE$3,"&gt;"&amp;$CW$4,$AD32:$BA32)),
IF(BU$3=$DF32+'Model Setup'!$L$7,SUMIF($BH$3:$CE$3,"="&amp;$DF32+'Model Setup'!$L$7,$AD32:$BA32)+'Model Setup'!$L$8*(SUMIF($BH$3:$CE$3,"&lt;"&amp;$DF32,$AD32:$BA32)+SUMIF($BH$3:$CE$3,"&gt;"&amp;$CW$4,$AD32:$BA32)),
IF(BU$3=$DF32+'Model Setup'!$M$7,SUMIF($BH$3:$CE$3,"="&amp;$DF32+'Model Setup'!$M$7,$AD32:$BA32)+'Model Setup'!$M$8*(SUMIF($BH$3:$CE$3,"&lt;"&amp;$DF32,$AD32:$BA32)+SUMIF($BH$3:$CE$3,"&gt;"&amp;$CW$4,$AD32:$BA32)),
IF(BU$3=$DF32+'Model Setup'!$N$7,SUMIF($BH$3:$CE$3,"="&amp;$DF32+'Model Setup'!$N$7,$AD32:$BA32)+'Model Setup'!$N$8*(SUMIF($BH$3:$CE$3,"&lt;"&amp;$DF32,$AD32:$BA32)+SUMIF($BH$3:$CE$3,"&gt;"&amp;$CW$4,$AD32:$BA32)),
IF(BU$3&lt;$CW$4,O32,0))))))))))))))),0)</f>
        <v>61</v>
      </c>
      <c r="BV32" s="47">
        <f>ROUND(IF(OR(BV$3&lt;$DF32,BV$3&gt;$CW$4),0,
IF(BV$3=$DF32+'Model Setup'!$B$7,SUMIF($BH$3:$CE$3,"="&amp;$DF32+'Model Setup'!$B$7,$AD32:$BA32)+'Model Setup'!$B$8*(SUMIF($BH$3:$CE$3,"&lt;"&amp;$DF32,$AD32:$BA32)+SUMIF($BH$3:$CE$3,"&gt;"&amp;$CW$4,$AD32:$BA32)),
IF(BV$3=$DF32+'Model Setup'!$C$7,SUMIF($BH$3:$CE$3,"="&amp;$DF32+'Model Setup'!$C$7,$AD32:$BA32)+'Model Setup'!$C$8*(SUMIF($BH$3:$CE$3,"&lt;"&amp;$DF32,$AD32:$BA32)+SUMIF($BH$3:$CE$3,"&gt;"&amp;$CW$4,$AD32:$BA32)),
IF(BV$3=$DF32+'Model Setup'!$D$7,SUMIF($BH$3:$CE$3,"="&amp;$DF32+'Model Setup'!$D$7,$AD32:$BA32)+'Model Setup'!$D$8*(SUMIF($BH$3:$CE$3,"&lt;"&amp;$DF32,$AD32:$BA32)+SUMIF($BH$3:$CE$3,"&gt;"&amp;$CW$4,$AD32:$BA32)),
IF(BV$3=$DF32+'Model Setup'!$E$7,SUMIF($BH$3:$CE$3,"="&amp;$DF32+'Model Setup'!$E$7,$AD32:$BA32)+'Model Setup'!$E$8*(SUMIF($BH$3:$CE$3,"&lt;"&amp;$DF32,$AD32:$BA32)+SUMIF($BH$3:$CE$3,"&gt;"&amp;$CW$4,$AD32:$BA32)),
IF(BV$3=$DF32+'Model Setup'!$F$7,SUMIF($BH$3:$CE$3,"="&amp;$DF32+'Model Setup'!$F$7,$AD32:$BA32)+'Model Setup'!$F$8*(SUMIF($BH$3:$CE$3,"&lt;"&amp;$DF32,$AD32:$BA32)+SUMIF($BH$3:$CE$3,"&gt;"&amp;$CW$4,$AD32:$BA32)),
IF(BV$3=$DF32+'Model Setup'!$G$7,SUMIF($BH$3:$CE$3,"="&amp;$DF32+'Model Setup'!$G$7,$AD32:$BA32)+'Model Setup'!$G$8*(SUMIF($BH$3:$CE$3,"&lt;"&amp;$DF32,$AD32:$BA32)+SUMIF($BH$3:$CE$3,"&gt;"&amp;$CW$4,$AD32:$BA32)),
IF(BV$3=$DF32+'Model Setup'!$H$7,SUMIF($BH$3:$CE$3,"="&amp;$DF32+'Model Setup'!$H$7,$AD32:$BA32)+'Model Setup'!$H$8*(SUMIF($BH$3:$CE$3,"&lt;"&amp;$DF32,$AD32:$BA32)+SUMIF($BH$3:$CE$3,"&gt;"&amp;$CW$4,$AD32:$BA32)),
IF(BV$3=$DF32+'Model Setup'!$I$7,SUMIF($BH$3:$CE$3,"="&amp;$DF32+'Model Setup'!$I$7,$AD32:$BA32)+'Model Setup'!$I$8*(SUMIF($BH$3:$CE$3,"&lt;"&amp;$DF32,$AD32:$BA32)+SUMIF($BH$3:$CE$3,"&gt;"&amp;$CW$4,$AD32:$BA32)),
IF(BV$3=$DF32+'Model Setup'!$J$7,SUMIF($BH$3:$CE$3,"="&amp;$DF32+'Model Setup'!$J$7,$AD32:$BA32)+'Model Setup'!$J$8*(SUMIF($BH$3:$CE$3,"&lt;"&amp;$DF32,$AD32:$BA32)+SUMIF($BH$3:$CE$3,"&gt;"&amp;$CW$4,$AD32:$BA32)),
IF(BV$3=$DF32+'Model Setup'!$K$7,SUMIF($BH$3:$CE$3,"="&amp;$DF32+'Model Setup'!$K$7,$AD32:$BA32)+'Model Setup'!$K$8*(SUMIF($BH$3:$CE$3,"&lt;"&amp;$DF32,$AD32:$BA32)+SUMIF($BH$3:$CE$3,"&gt;"&amp;$CW$4,$AD32:$BA32)),
IF(BV$3=$DF32+'Model Setup'!$L$7,SUMIF($BH$3:$CE$3,"="&amp;$DF32+'Model Setup'!$L$7,$AD32:$BA32)+'Model Setup'!$L$8*(SUMIF($BH$3:$CE$3,"&lt;"&amp;$DF32,$AD32:$BA32)+SUMIF($BH$3:$CE$3,"&gt;"&amp;$CW$4,$AD32:$BA32)),
IF(BV$3=$DF32+'Model Setup'!$M$7,SUMIF($BH$3:$CE$3,"="&amp;$DF32+'Model Setup'!$M$7,$AD32:$BA32)+'Model Setup'!$M$8*(SUMIF($BH$3:$CE$3,"&lt;"&amp;$DF32,$AD32:$BA32)+SUMIF($BH$3:$CE$3,"&gt;"&amp;$CW$4,$AD32:$BA32)),
IF(BV$3=$DF32+'Model Setup'!$N$7,SUMIF($BH$3:$CE$3,"="&amp;$DF32+'Model Setup'!$N$7,$AD32:$BA32)+'Model Setup'!$N$8*(SUMIF($BH$3:$CE$3,"&lt;"&amp;$DF32,$AD32:$BA32)+SUMIF($BH$3:$CE$3,"&gt;"&amp;$CW$4,$AD32:$BA32)),
IF(BV$3&lt;$CW$4,P32,0))))))))))))))),0)</f>
        <v>43</v>
      </c>
      <c r="BW32" s="47">
        <f>ROUND(IF(OR(BW$3&lt;$DF32,BW$3&gt;$CW$4),0,
IF(BW$3=$DF32+'Model Setup'!$B$7,SUMIF($BH$3:$CE$3,"="&amp;$DF32+'Model Setup'!$B$7,$AD32:$BA32)+'Model Setup'!$B$8*(SUMIF($BH$3:$CE$3,"&lt;"&amp;$DF32,$AD32:$BA32)+SUMIF($BH$3:$CE$3,"&gt;"&amp;$CW$4,$AD32:$BA32)),
IF(BW$3=$DF32+'Model Setup'!$C$7,SUMIF($BH$3:$CE$3,"="&amp;$DF32+'Model Setup'!$C$7,$AD32:$BA32)+'Model Setup'!$C$8*(SUMIF($BH$3:$CE$3,"&lt;"&amp;$DF32,$AD32:$BA32)+SUMIF($BH$3:$CE$3,"&gt;"&amp;$CW$4,$AD32:$BA32)),
IF(BW$3=$DF32+'Model Setup'!$D$7,SUMIF($BH$3:$CE$3,"="&amp;$DF32+'Model Setup'!$D$7,$AD32:$BA32)+'Model Setup'!$D$8*(SUMIF($BH$3:$CE$3,"&lt;"&amp;$DF32,$AD32:$BA32)+SUMIF($BH$3:$CE$3,"&gt;"&amp;$CW$4,$AD32:$BA32)),
IF(BW$3=$DF32+'Model Setup'!$E$7,SUMIF($BH$3:$CE$3,"="&amp;$DF32+'Model Setup'!$E$7,$AD32:$BA32)+'Model Setup'!$E$8*(SUMIF($BH$3:$CE$3,"&lt;"&amp;$DF32,$AD32:$BA32)+SUMIF($BH$3:$CE$3,"&gt;"&amp;$CW$4,$AD32:$BA32)),
IF(BW$3=$DF32+'Model Setup'!$F$7,SUMIF($BH$3:$CE$3,"="&amp;$DF32+'Model Setup'!$F$7,$AD32:$BA32)+'Model Setup'!$F$8*(SUMIF($BH$3:$CE$3,"&lt;"&amp;$DF32,$AD32:$BA32)+SUMIF($BH$3:$CE$3,"&gt;"&amp;$CW$4,$AD32:$BA32)),
IF(BW$3=$DF32+'Model Setup'!$G$7,SUMIF($BH$3:$CE$3,"="&amp;$DF32+'Model Setup'!$G$7,$AD32:$BA32)+'Model Setup'!$G$8*(SUMIF($BH$3:$CE$3,"&lt;"&amp;$DF32,$AD32:$BA32)+SUMIF($BH$3:$CE$3,"&gt;"&amp;$CW$4,$AD32:$BA32)),
IF(BW$3=$DF32+'Model Setup'!$H$7,SUMIF($BH$3:$CE$3,"="&amp;$DF32+'Model Setup'!$H$7,$AD32:$BA32)+'Model Setup'!$H$8*(SUMIF($BH$3:$CE$3,"&lt;"&amp;$DF32,$AD32:$BA32)+SUMIF($BH$3:$CE$3,"&gt;"&amp;$CW$4,$AD32:$BA32)),
IF(BW$3=$DF32+'Model Setup'!$I$7,SUMIF($BH$3:$CE$3,"="&amp;$DF32+'Model Setup'!$I$7,$AD32:$BA32)+'Model Setup'!$I$8*(SUMIF($BH$3:$CE$3,"&lt;"&amp;$DF32,$AD32:$BA32)+SUMIF($BH$3:$CE$3,"&gt;"&amp;$CW$4,$AD32:$BA32)),
IF(BW$3=$DF32+'Model Setup'!$J$7,SUMIF($BH$3:$CE$3,"="&amp;$DF32+'Model Setup'!$J$7,$AD32:$BA32)+'Model Setup'!$J$8*(SUMIF($BH$3:$CE$3,"&lt;"&amp;$DF32,$AD32:$BA32)+SUMIF($BH$3:$CE$3,"&gt;"&amp;$CW$4,$AD32:$BA32)),
IF(BW$3=$DF32+'Model Setup'!$K$7,SUMIF($BH$3:$CE$3,"="&amp;$DF32+'Model Setup'!$K$7,$AD32:$BA32)+'Model Setup'!$K$8*(SUMIF($BH$3:$CE$3,"&lt;"&amp;$DF32,$AD32:$BA32)+SUMIF($BH$3:$CE$3,"&gt;"&amp;$CW$4,$AD32:$BA32)),
IF(BW$3=$DF32+'Model Setup'!$L$7,SUMIF($BH$3:$CE$3,"="&amp;$DF32+'Model Setup'!$L$7,$AD32:$BA32)+'Model Setup'!$L$8*(SUMIF($BH$3:$CE$3,"&lt;"&amp;$DF32,$AD32:$BA32)+SUMIF($BH$3:$CE$3,"&gt;"&amp;$CW$4,$AD32:$BA32)),
IF(BW$3=$DF32+'Model Setup'!$M$7,SUMIF($BH$3:$CE$3,"="&amp;$DF32+'Model Setup'!$M$7,$AD32:$BA32)+'Model Setup'!$M$8*(SUMIF($BH$3:$CE$3,"&lt;"&amp;$DF32,$AD32:$BA32)+SUMIF($BH$3:$CE$3,"&gt;"&amp;$CW$4,$AD32:$BA32)),
IF(BW$3=$DF32+'Model Setup'!$N$7,SUMIF($BH$3:$CE$3,"="&amp;$DF32+'Model Setup'!$N$7,$AD32:$BA32)+'Model Setup'!$N$8*(SUMIF($BH$3:$CE$3,"&lt;"&amp;$DF32,$AD32:$BA32)+SUMIF($BH$3:$CE$3,"&gt;"&amp;$CW$4,$AD32:$BA32)),
IF(BW$3&lt;$CW$4,Q32,0))))))))))))))),0)</f>
        <v>47</v>
      </c>
      <c r="BX32" s="47">
        <f>ROUND(IF(OR(BX$3&lt;$DF32,BX$3&gt;$CW$4),0,
IF(BX$3=$DF32+'Model Setup'!$B$7,SUMIF($BH$3:$CE$3,"="&amp;$DF32+'Model Setup'!$B$7,$AD32:$BA32)+'Model Setup'!$B$8*(SUMIF($BH$3:$CE$3,"&lt;"&amp;$DF32,$AD32:$BA32)+SUMIF($BH$3:$CE$3,"&gt;"&amp;$CW$4,$AD32:$BA32)),
IF(BX$3=$DF32+'Model Setup'!$C$7,SUMIF($BH$3:$CE$3,"="&amp;$DF32+'Model Setup'!$C$7,$AD32:$BA32)+'Model Setup'!$C$8*(SUMIF($BH$3:$CE$3,"&lt;"&amp;$DF32,$AD32:$BA32)+SUMIF($BH$3:$CE$3,"&gt;"&amp;$CW$4,$AD32:$BA32)),
IF(BX$3=$DF32+'Model Setup'!$D$7,SUMIF($BH$3:$CE$3,"="&amp;$DF32+'Model Setup'!$D$7,$AD32:$BA32)+'Model Setup'!$D$8*(SUMIF($BH$3:$CE$3,"&lt;"&amp;$DF32,$AD32:$BA32)+SUMIF($BH$3:$CE$3,"&gt;"&amp;$CW$4,$AD32:$BA32)),
IF(BX$3=$DF32+'Model Setup'!$E$7,SUMIF($BH$3:$CE$3,"="&amp;$DF32+'Model Setup'!$E$7,$AD32:$BA32)+'Model Setup'!$E$8*(SUMIF($BH$3:$CE$3,"&lt;"&amp;$DF32,$AD32:$BA32)+SUMIF($BH$3:$CE$3,"&gt;"&amp;$CW$4,$AD32:$BA32)),
IF(BX$3=$DF32+'Model Setup'!$F$7,SUMIF($BH$3:$CE$3,"="&amp;$DF32+'Model Setup'!$F$7,$AD32:$BA32)+'Model Setup'!$F$8*(SUMIF($BH$3:$CE$3,"&lt;"&amp;$DF32,$AD32:$BA32)+SUMIF($BH$3:$CE$3,"&gt;"&amp;$CW$4,$AD32:$BA32)),
IF(BX$3=$DF32+'Model Setup'!$G$7,SUMIF($BH$3:$CE$3,"="&amp;$DF32+'Model Setup'!$G$7,$AD32:$BA32)+'Model Setup'!$G$8*(SUMIF($BH$3:$CE$3,"&lt;"&amp;$DF32,$AD32:$BA32)+SUMIF($BH$3:$CE$3,"&gt;"&amp;$CW$4,$AD32:$BA32)),
IF(BX$3=$DF32+'Model Setup'!$H$7,SUMIF($BH$3:$CE$3,"="&amp;$DF32+'Model Setup'!$H$7,$AD32:$BA32)+'Model Setup'!$H$8*(SUMIF($BH$3:$CE$3,"&lt;"&amp;$DF32,$AD32:$BA32)+SUMIF($BH$3:$CE$3,"&gt;"&amp;$CW$4,$AD32:$BA32)),
IF(BX$3=$DF32+'Model Setup'!$I$7,SUMIF($BH$3:$CE$3,"="&amp;$DF32+'Model Setup'!$I$7,$AD32:$BA32)+'Model Setup'!$I$8*(SUMIF($BH$3:$CE$3,"&lt;"&amp;$DF32,$AD32:$BA32)+SUMIF($BH$3:$CE$3,"&gt;"&amp;$CW$4,$AD32:$BA32)),
IF(BX$3=$DF32+'Model Setup'!$J$7,SUMIF($BH$3:$CE$3,"="&amp;$DF32+'Model Setup'!$J$7,$AD32:$BA32)+'Model Setup'!$J$8*(SUMIF($BH$3:$CE$3,"&lt;"&amp;$DF32,$AD32:$BA32)+SUMIF($BH$3:$CE$3,"&gt;"&amp;$CW$4,$AD32:$BA32)),
IF(BX$3=$DF32+'Model Setup'!$K$7,SUMIF($BH$3:$CE$3,"="&amp;$DF32+'Model Setup'!$K$7,$AD32:$BA32)+'Model Setup'!$K$8*(SUMIF($BH$3:$CE$3,"&lt;"&amp;$DF32,$AD32:$BA32)+SUMIF($BH$3:$CE$3,"&gt;"&amp;$CW$4,$AD32:$BA32)),
IF(BX$3=$DF32+'Model Setup'!$L$7,SUMIF($BH$3:$CE$3,"="&amp;$DF32+'Model Setup'!$L$7,$AD32:$BA32)+'Model Setup'!$L$8*(SUMIF($BH$3:$CE$3,"&lt;"&amp;$DF32,$AD32:$BA32)+SUMIF($BH$3:$CE$3,"&gt;"&amp;$CW$4,$AD32:$BA32)),
IF(BX$3=$DF32+'Model Setup'!$M$7,SUMIF($BH$3:$CE$3,"="&amp;$DF32+'Model Setup'!$M$7,$AD32:$BA32)+'Model Setup'!$M$8*(SUMIF($BH$3:$CE$3,"&lt;"&amp;$DF32,$AD32:$BA32)+SUMIF($BH$3:$CE$3,"&gt;"&amp;$CW$4,$AD32:$BA32)),
IF(BX$3=$DF32+'Model Setup'!$N$7,SUMIF($BH$3:$CE$3,"="&amp;$DF32+'Model Setup'!$N$7,$AD32:$BA32)+'Model Setup'!$N$8*(SUMIF($BH$3:$CE$3,"&lt;"&amp;$DF32,$AD32:$BA32)+SUMIF($BH$3:$CE$3,"&gt;"&amp;$CW$4,$AD32:$BA32)),
IF(BX$3&lt;$CW$4,R32,0))))))))))))))),0)</f>
        <v>71</v>
      </c>
      <c r="BY32" s="47">
        <f>ROUND(IF(OR(BY$3&lt;$DF32,BY$3&gt;$CW$4),0,
IF(BY$3=$DF32+'Model Setup'!$B$7,SUMIF($BH$3:$CE$3,"="&amp;$DF32+'Model Setup'!$B$7,$AD32:$BA32)+'Model Setup'!$B$8*(SUMIF($BH$3:$CE$3,"&lt;"&amp;$DF32,$AD32:$BA32)+SUMIF($BH$3:$CE$3,"&gt;"&amp;$CW$4,$AD32:$BA32)),
IF(BY$3=$DF32+'Model Setup'!$C$7,SUMIF($BH$3:$CE$3,"="&amp;$DF32+'Model Setup'!$C$7,$AD32:$BA32)+'Model Setup'!$C$8*(SUMIF($BH$3:$CE$3,"&lt;"&amp;$DF32,$AD32:$BA32)+SUMIF($BH$3:$CE$3,"&gt;"&amp;$CW$4,$AD32:$BA32)),
IF(BY$3=$DF32+'Model Setup'!$D$7,SUMIF($BH$3:$CE$3,"="&amp;$DF32+'Model Setup'!$D$7,$AD32:$BA32)+'Model Setup'!$D$8*(SUMIF($BH$3:$CE$3,"&lt;"&amp;$DF32,$AD32:$BA32)+SUMIF($BH$3:$CE$3,"&gt;"&amp;$CW$4,$AD32:$BA32)),
IF(BY$3=$DF32+'Model Setup'!$E$7,SUMIF($BH$3:$CE$3,"="&amp;$DF32+'Model Setup'!$E$7,$AD32:$BA32)+'Model Setup'!$E$8*(SUMIF($BH$3:$CE$3,"&lt;"&amp;$DF32,$AD32:$BA32)+SUMIF($BH$3:$CE$3,"&gt;"&amp;$CW$4,$AD32:$BA32)),
IF(BY$3=$DF32+'Model Setup'!$F$7,SUMIF($BH$3:$CE$3,"="&amp;$DF32+'Model Setup'!$F$7,$AD32:$BA32)+'Model Setup'!$F$8*(SUMIF($BH$3:$CE$3,"&lt;"&amp;$DF32,$AD32:$BA32)+SUMIF($BH$3:$CE$3,"&gt;"&amp;$CW$4,$AD32:$BA32)),
IF(BY$3=$DF32+'Model Setup'!$G$7,SUMIF($BH$3:$CE$3,"="&amp;$DF32+'Model Setup'!$G$7,$AD32:$BA32)+'Model Setup'!$G$8*(SUMIF($BH$3:$CE$3,"&lt;"&amp;$DF32,$AD32:$BA32)+SUMIF($BH$3:$CE$3,"&gt;"&amp;$CW$4,$AD32:$BA32)),
IF(BY$3=$DF32+'Model Setup'!$H$7,SUMIF($BH$3:$CE$3,"="&amp;$DF32+'Model Setup'!$H$7,$AD32:$BA32)+'Model Setup'!$H$8*(SUMIF($BH$3:$CE$3,"&lt;"&amp;$DF32,$AD32:$BA32)+SUMIF($BH$3:$CE$3,"&gt;"&amp;$CW$4,$AD32:$BA32)),
IF(BY$3=$DF32+'Model Setup'!$I$7,SUMIF($BH$3:$CE$3,"="&amp;$DF32+'Model Setup'!$I$7,$AD32:$BA32)+'Model Setup'!$I$8*(SUMIF($BH$3:$CE$3,"&lt;"&amp;$DF32,$AD32:$BA32)+SUMIF($BH$3:$CE$3,"&gt;"&amp;$CW$4,$AD32:$BA32)),
IF(BY$3=$DF32+'Model Setup'!$J$7,SUMIF($BH$3:$CE$3,"="&amp;$DF32+'Model Setup'!$J$7,$AD32:$BA32)+'Model Setup'!$J$8*(SUMIF($BH$3:$CE$3,"&lt;"&amp;$DF32,$AD32:$BA32)+SUMIF($BH$3:$CE$3,"&gt;"&amp;$CW$4,$AD32:$BA32)),
IF(BY$3=$DF32+'Model Setup'!$K$7,SUMIF($BH$3:$CE$3,"="&amp;$DF32+'Model Setup'!$K$7,$AD32:$BA32)+'Model Setup'!$K$8*(SUMIF($BH$3:$CE$3,"&lt;"&amp;$DF32,$AD32:$BA32)+SUMIF($BH$3:$CE$3,"&gt;"&amp;$CW$4,$AD32:$BA32)),
IF(BY$3=$DF32+'Model Setup'!$L$7,SUMIF($BH$3:$CE$3,"="&amp;$DF32+'Model Setup'!$L$7,$AD32:$BA32)+'Model Setup'!$L$8*(SUMIF($BH$3:$CE$3,"&lt;"&amp;$DF32,$AD32:$BA32)+SUMIF($BH$3:$CE$3,"&gt;"&amp;$CW$4,$AD32:$BA32)),
IF(BY$3=$DF32+'Model Setup'!$M$7,SUMIF($BH$3:$CE$3,"="&amp;$DF32+'Model Setup'!$M$7,$AD32:$BA32)+'Model Setup'!$M$8*(SUMIF($BH$3:$CE$3,"&lt;"&amp;$DF32,$AD32:$BA32)+SUMIF($BH$3:$CE$3,"&gt;"&amp;$CW$4,$AD32:$BA32)),
IF(BY$3=$DF32+'Model Setup'!$N$7,SUMIF($BH$3:$CE$3,"="&amp;$DF32+'Model Setup'!$N$7,$AD32:$BA32)+'Model Setup'!$N$8*(SUMIF($BH$3:$CE$3,"&lt;"&amp;$DF32,$AD32:$BA32)+SUMIF($BH$3:$CE$3,"&gt;"&amp;$CW$4,$AD32:$BA32)),
IF(BY$3&lt;$CW$4,S32,0))))))))))))))),0)</f>
        <v>48</v>
      </c>
      <c r="BZ32" s="47">
        <f>ROUND(IF(OR(BZ$3&lt;$DF32,BZ$3&gt;$CW$4),0,
IF(BZ$3=$DF32+'Model Setup'!$B$7,SUMIF($BH$3:$CE$3,"="&amp;$DF32+'Model Setup'!$B$7,$AD32:$BA32)+'Model Setup'!$B$8*(SUMIF($BH$3:$CE$3,"&lt;"&amp;$DF32,$AD32:$BA32)+SUMIF($BH$3:$CE$3,"&gt;"&amp;$CW$4,$AD32:$BA32)),
IF(BZ$3=$DF32+'Model Setup'!$C$7,SUMIF($BH$3:$CE$3,"="&amp;$DF32+'Model Setup'!$C$7,$AD32:$BA32)+'Model Setup'!$C$8*(SUMIF($BH$3:$CE$3,"&lt;"&amp;$DF32,$AD32:$BA32)+SUMIF($BH$3:$CE$3,"&gt;"&amp;$CW$4,$AD32:$BA32)),
IF(BZ$3=$DF32+'Model Setup'!$D$7,SUMIF($BH$3:$CE$3,"="&amp;$DF32+'Model Setup'!$D$7,$AD32:$BA32)+'Model Setup'!$D$8*(SUMIF($BH$3:$CE$3,"&lt;"&amp;$DF32,$AD32:$BA32)+SUMIF($BH$3:$CE$3,"&gt;"&amp;$CW$4,$AD32:$BA32)),
IF(BZ$3=$DF32+'Model Setup'!$E$7,SUMIF($BH$3:$CE$3,"="&amp;$DF32+'Model Setup'!$E$7,$AD32:$BA32)+'Model Setup'!$E$8*(SUMIF($BH$3:$CE$3,"&lt;"&amp;$DF32,$AD32:$BA32)+SUMIF($BH$3:$CE$3,"&gt;"&amp;$CW$4,$AD32:$BA32)),
IF(BZ$3=$DF32+'Model Setup'!$F$7,SUMIF($BH$3:$CE$3,"="&amp;$DF32+'Model Setup'!$F$7,$AD32:$BA32)+'Model Setup'!$F$8*(SUMIF($BH$3:$CE$3,"&lt;"&amp;$DF32,$AD32:$BA32)+SUMIF($BH$3:$CE$3,"&gt;"&amp;$CW$4,$AD32:$BA32)),
IF(BZ$3=$DF32+'Model Setup'!$G$7,SUMIF($BH$3:$CE$3,"="&amp;$DF32+'Model Setup'!$G$7,$AD32:$BA32)+'Model Setup'!$G$8*(SUMIF($BH$3:$CE$3,"&lt;"&amp;$DF32,$AD32:$BA32)+SUMIF($BH$3:$CE$3,"&gt;"&amp;$CW$4,$AD32:$BA32)),
IF(BZ$3=$DF32+'Model Setup'!$H$7,SUMIF($BH$3:$CE$3,"="&amp;$DF32+'Model Setup'!$H$7,$AD32:$BA32)+'Model Setup'!$H$8*(SUMIF($BH$3:$CE$3,"&lt;"&amp;$DF32,$AD32:$BA32)+SUMIF($BH$3:$CE$3,"&gt;"&amp;$CW$4,$AD32:$BA32)),
IF(BZ$3=$DF32+'Model Setup'!$I$7,SUMIF($BH$3:$CE$3,"="&amp;$DF32+'Model Setup'!$I$7,$AD32:$BA32)+'Model Setup'!$I$8*(SUMIF($BH$3:$CE$3,"&lt;"&amp;$DF32,$AD32:$BA32)+SUMIF($BH$3:$CE$3,"&gt;"&amp;$CW$4,$AD32:$BA32)),
IF(BZ$3=$DF32+'Model Setup'!$J$7,SUMIF($BH$3:$CE$3,"="&amp;$DF32+'Model Setup'!$J$7,$AD32:$BA32)+'Model Setup'!$J$8*(SUMIF($BH$3:$CE$3,"&lt;"&amp;$DF32,$AD32:$BA32)+SUMIF($BH$3:$CE$3,"&gt;"&amp;$CW$4,$AD32:$BA32)),
IF(BZ$3=$DF32+'Model Setup'!$K$7,SUMIF($BH$3:$CE$3,"="&amp;$DF32+'Model Setup'!$K$7,$AD32:$BA32)+'Model Setup'!$K$8*(SUMIF($BH$3:$CE$3,"&lt;"&amp;$DF32,$AD32:$BA32)+SUMIF($BH$3:$CE$3,"&gt;"&amp;$CW$4,$AD32:$BA32)),
IF(BZ$3=$DF32+'Model Setup'!$L$7,SUMIF($BH$3:$CE$3,"="&amp;$DF32+'Model Setup'!$L$7,$AD32:$BA32)+'Model Setup'!$L$8*(SUMIF($BH$3:$CE$3,"&lt;"&amp;$DF32,$AD32:$BA32)+SUMIF($BH$3:$CE$3,"&gt;"&amp;$CW$4,$AD32:$BA32)),
IF(BZ$3=$DF32+'Model Setup'!$M$7,SUMIF($BH$3:$CE$3,"="&amp;$DF32+'Model Setup'!$M$7,$AD32:$BA32)+'Model Setup'!$M$8*(SUMIF($BH$3:$CE$3,"&lt;"&amp;$DF32,$AD32:$BA32)+SUMIF($BH$3:$CE$3,"&gt;"&amp;$CW$4,$AD32:$BA32)),
IF(BZ$3=$DF32+'Model Setup'!$N$7,SUMIF($BH$3:$CE$3,"="&amp;$DF32+'Model Setup'!$N$7,$AD32:$BA32)+'Model Setup'!$N$8*(SUMIF($BH$3:$CE$3,"&lt;"&amp;$DF32,$AD32:$BA32)+SUMIF($BH$3:$CE$3,"&gt;"&amp;$CW$4,$AD32:$BA32)),
IF(BZ$3&lt;$CW$4,T32,0))))))))))))))),0)</f>
        <v>0</v>
      </c>
      <c r="CA32" s="47">
        <f>ROUND(IF(OR(CA$3&lt;$DF32,CA$3&gt;$CW$4),0,
IF(CA$3=$DF32+'Model Setup'!$B$7,SUMIF($BH$3:$CE$3,"="&amp;$DF32+'Model Setup'!$B$7,$AD32:$BA32)+'Model Setup'!$B$8*(SUMIF($BH$3:$CE$3,"&lt;"&amp;$DF32,$AD32:$BA32)+SUMIF($BH$3:$CE$3,"&gt;"&amp;$CW$4,$AD32:$BA32)),
IF(CA$3=$DF32+'Model Setup'!$C$7,SUMIF($BH$3:$CE$3,"="&amp;$DF32+'Model Setup'!$C$7,$AD32:$BA32)+'Model Setup'!$C$8*(SUMIF($BH$3:$CE$3,"&lt;"&amp;$DF32,$AD32:$BA32)+SUMIF($BH$3:$CE$3,"&gt;"&amp;$CW$4,$AD32:$BA32)),
IF(CA$3=$DF32+'Model Setup'!$D$7,SUMIF($BH$3:$CE$3,"="&amp;$DF32+'Model Setup'!$D$7,$AD32:$BA32)+'Model Setup'!$D$8*(SUMIF($BH$3:$CE$3,"&lt;"&amp;$DF32,$AD32:$BA32)+SUMIF($BH$3:$CE$3,"&gt;"&amp;$CW$4,$AD32:$BA32)),
IF(CA$3=$DF32+'Model Setup'!$E$7,SUMIF($BH$3:$CE$3,"="&amp;$DF32+'Model Setup'!$E$7,$AD32:$BA32)+'Model Setup'!$E$8*(SUMIF($BH$3:$CE$3,"&lt;"&amp;$DF32,$AD32:$BA32)+SUMIF($BH$3:$CE$3,"&gt;"&amp;$CW$4,$AD32:$BA32)),
IF(CA$3=$DF32+'Model Setup'!$F$7,SUMIF($BH$3:$CE$3,"="&amp;$DF32+'Model Setup'!$F$7,$AD32:$BA32)+'Model Setup'!$F$8*(SUMIF($BH$3:$CE$3,"&lt;"&amp;$DF32,$AD32:$BA32)+SUMIF($BH$3:$CE$3,"&gt;"&amp;$CW$4,$AD32:$BA32)),
IF(CA$3=$DF32+'Model Setup'!$G$7,SUMIF($BH$3:$CE$3,"="&amp;$DF32+'Model Setup'!$G$7,$AD32:$BA32)+'Model Setup'!$G$8*(SUMIF($BH$3:$CE$3,"&lt;"&amp;$DF32,$AD32:$BA32)+SUMIF($BH$3:$CE$3,"&gt;"&amp;$CW$4,$AD32:$BA32)),
IF(CA$3=$DF32+'Model Setup'!$H$7,SUMIF($BH$3:$CE$3,"="&amp;$DF32+'Model Setup'!$H$7,$AD32:$BA32)+'Model Setup'!$H$8*(SUMIF($BH$3:$CE$3,"&lt;"&amp;$DF32,$AD32:$BA32)+SUMIF($BH$3:$CE$3,"&gt;"&amp;$CW$4,$AD32:$BA32)),
IF(CA$3=$DF32+'Model Setup'!$I$7,SUMIF($BH$3:$CE$3,"="&amp;$DF32+'Model Setup'!$I$7,$AD32:$BA32)+'Model Setup'!$I$8*(SUMIF($BH$3:$CE$3,"&lt;"&amp;$DF32,$AD32:$BA32)+SUMIF($BH$3:$CE$3,"&gt;"&amp;$CW$4,$AD32:$BA32)),
IF(CA$3=$DF32+'Model Setup'!$J$7,SUMIF($BH$3:$CE$3,"="&amp;$DF32+'Model Setup'!$J$7,$AD32:$BA32)+'Model Setup'!$J$8*(SUMIF($BH$3:$CE$3,"&lt;"&amp;$DF32,$AD32:$BA32)+SUMIF($BH$3:$CE$3,"&gt;"&amp;$CW$4,$AD32:$BA32)),
IF(CA$3=$DF32+'Model Setup'!$K$7,SUMIF($BH$3:$CE$3,"="&amp;$DF32+'Model Setup'!$K$7,$AD32:$BA32)+'Model Setup'!$K$8*(SUMIF($BH$3:$CE$3,"&lt;"&amp;$DF32,$AD32:$BA32)+SUMIF($BH$3:$CE$3,"&gt;"&amp;$CW$4,$AD32:$BA32)),
IF(CA$3=$DF32+'Model Setup'!$L$7,SUMIF($BH$3:$CE$3,"="&amp;$DF32+'Model Setup'!$L$7,$AD32:$BA32)+'Model Setup'!$L$8*(SUMIF($BH$3:$CE$3,"&lt;"&amp;$DF32,$AD32:$BA32)+SUMIF($BH$3:$CE$3,"&gt;"&amp;$CW$4,$AD32:$BA32)),
IF(CA$3=$DF32+'Model Setup'!$M$7,SUMIF($BH$3:$CE$3,"="&amp;$DF32+'Model Setup'!$M$7,$AD32:$BA32)+'Model Setup'!$M$8*(SUMIF($BH$3:$CE$3,"&lt;"&amp;$DF32,$AD32:$BA32)+SUMIF($BH$3:$CE$3,"&gt;"&amp;$CW$4,$AD32:$BA32)),
IF(CA$3=$DF32+'Model Setup'!$N$7,SUMIF($BH$3:$CE$3,"="&amp;$DF32+'Model Setup'!$N$7,$AD32:$BA32)+'Model Setup'!$N$8*(SUMIF($BH$3:$CE$3,"&lt;"&amp;$DF32,$AD32:$BA32)+SUMIF($BH$3:$CE$3,"&gt;"&amp;$CW$4,$AD32:$BA32)),
IF(CA$3&lt;$CW$4,U32,0))))))))))))))),0)</f>
        <v>0</v>
      </c>
      <c r="CB32" s="47">
        <f>ROUND(IF(OR(CB$3&lt;$DF32,CB$3&gt;$CW$4),0,
IF(CB$3=$DF32+'Model Setup'!$B$7,SUMIF($BH$3:$CE$3,"="&amp;$DF32+'Model Setup'!$B$7,$AD32:$BA32)+'Model Setup'!$B$8*(SUMIF($BH$3:$CE$3,"&lt;"&amp;$DF32,$AD32:$BA32)+SUMIF($BH$3:$CE$3,"&gt;"&amp;$CW$4,$AD32:$BA32)),
IF(CB$3=$DF32+'Model Setup'!$C$7,SUMIF($BH$3:$CE$3,"="&amp;$DF32+'Model Setup'!$C$7,$AD32:$BA32)+'Model Setup'!$C$8*(SUMIF($BH$3:$CE$3,"&lt;"&amp;$DF32,$AD32:$BA32)+SUMIF($BH$3:$CE$3,"&gt;"&amp;$CW$4,$AD32:$BA32)),
IF(CB$3=$DF32+'Model Setup'!$D$7,SUMIF($BH$3:$CE$3,"="&amp;$DF32+'Model Setup'!$D$7,$AD32:$BA32)+'Model Setup'!$D$8*(SUMIF($BH$3:$CE$3,"&lt;"&amp;$DF32,$AD32:$BA32)+SUMIF($BH$3:$CE$3,"&gt;"&amp;$CW$4,$AD32:$BA32)),
IF(CB$3=$DF32+'Model Setup'!$E$7,SUMIF($BH$3:$CE$3,"="&amp;$DF32+'Model Setup'!$E$7,$AD32:$BA32)+'Model Setup'!$E$8*(SUMIF($BH$3:$CE$3,"&lt;"&amp;$DF32,$AD32:$BA32)+SUMIF($BH$3:$CE$3,"&gt;"&amp;$CW$4,$AD32:$BA32)),
IF(CB$3=$DF32+'Model Setup'!$F$7,SUMIF($BH$3:$CE$3,"="&amp;$DF32+'Model Setup'!$F$7,$AD32:$BA32)+'Model Setup'!$F$8*(SUMIF($BH$3:$CE$3,"&lt;"&amp;$DF32,$AD32:$BA32)+SUMIF($BH$3:$CE$3,"&gt;"&amp;$CW$4,$AD32:$BA32)),
IF(CB$3=$DF32+'Model Setup'!$G$7,SUMIF($BH$3:$CE$3,"="&amp;$DF32+'Model Setup'!$G$7,$AD32:$BA32)+'Model Setup'!$G$8*(SUMIF($BH$3:$CE$3,"&lt;"&amp;$DF32,$AD32:$BA32)+SUMIF($BH$3:$CE$3,"&gt;"&amp;$CW$4,$AD32:$BA32)),
IF(CB$3=$DF32+'Model Setup'!$H$7,SUMIF($BH$3:$CE$3,"="&amp;$DF32+'Model Setup'!$H$7,$AD32:$BA32)+'Model Setup'!$H$8*(SUMIF($BH$3:$CE$3,"&lt;"&amp;$DF32,$AD32:$BA32)+SUMIF($BH$3:$CE$3,"&gt;"&amp;$CW$4,$AD32:$BA32)),
IF(CB$3=$DF32+'Model Setup'!$I$7,SUMIF($BH$3:$CE$3,"="&amp;$DF32+'Model Setup'!$I$7,$AD32:$BA32)+'Model Setup'!$I$8*(SUMIF($BH$3:$CE$3,"&lt;"&amp;$DF32,$AD32:$BA32)+SUMIF($BH$3:$CE$3,"&gt;"&amp;$CW$4,$AD32:$BA32)),
IF(CB$3=$DF32+'Model Setup'!$J$7,SUMIF($BH$3:$CE$3,"="&amp;$DF32+'Model Setup'!$J$7,$AD32:$BA32)+'Model Setup'!$J$8*(SUMIF($BH$3:$CE$3,"&lt;"&amp;$DF32,$AD32:$BA32)+SUMIF($BH$3:$CE$3,"&gt;"&amp;$CW$4,$AD32:$BA32)),
IF(CB$3=$DF32+'Model Setup'!$K$7,SUMIF($BH$3:$CE$3,"="&amp;$DF32+'Model Setup'!$K$7,$AD32:$BA32)+'Model Setup'!$K$8*(SUMIF($BH$3:$CE$3,"&lt;"&amp;$DF32,$AD32:$BA32)+SUMIF($BH$3:$CE$3,"&gt;"&amp;$CW$4,$AD32:$BA32)),
IF(CB$3=$DF32+'Model Setup'!$L$7,SUMIF($BH$3:$CE$3,"="&amp;$DF32+'Model Setup'!$L$7,$AD32:$BA32)+'Model Setup'!$L$8*(SUMIF($BH$3:$CE$3,"&lt;"&amp;$DF32,$AD32:$BA32)+SUMIF($BH$3:$CE$3,"&gt;"&amp;$CW$4,$AD32:$BA32)),
IF(CB$3=$DF32+'Model Setup'!$M$7,SUMIF($BH$3:$CE$3,"="&amp;$DF32+'Model Setup'!$M$7,$AD32:$BA32)+'Model Setup'!$M$8*(SUMIF($BH$3:$CE$3,"&lt;"&amp;$DF32,$AD32:$BA32)+SUMIF($BH$3:$CE$3,"&gt;"&amp;$CW$4,$AD32:$BA32)),
IF(CB$3=$DF32+'Model Setup'!$N$7,SUMIF($BH$3:$CE$3,"="&amp;$DF32+'Model Setup'!$N$7,$AD32:$BA32)+'Model Setup'!$N$8*(SUMIF($BH$3:$CE$3,"&lt;"&amp;$DF32,$AD32:$BA32)+SUMIF($BH$3:$CE$3,"&gt;"&amp;$CW$4,$AD32:$BA32)),
IF(CB$3&lt;$CW$4,V32,0))))))))))))))),0)</f>
        <v>0</v>
      </c>
      <c r="CC32" s="47">
        <f>ROUND(IF(OR(CC$3&lt;$DF32,CC$3&gt;$CW$4),0,
IF(CC$3=$DF32+'Model Setup'!$B$7,SUMIF($BH$3:$CE$3,"="&amp;$DF32+'Model Setup'!$B$7,$AD32:$BA32)+'Model Setup'!$B$8*(SUMIF($BH$3:$CE$3,"&lt;"&amp;$DF32,$AD32:$BA32)+SUMIF($BH$3:$CE$3,"&gt;"&amp;$CW$4,$AD32:$BA32)),
IF(CC$3=$DF32+'Model Setup'!$C$7,SUMIF($BH$3:$CE$3,"="&amp;$DF32+'Model Setup'!$C$7,$AD32:$BA32)+'Model Setup'!$C$8*(SUMIF($BH$3:$CE$3,"&lt;"&amp;$DF32,$AD32:$BA32)+SUMIF($BH$3:$CE$3,"&gt;"&amp;$CW$4,$AD32:$BA32)),
IF(CC$3=$DF32+'Model Setup'!$D$7,SUMIF($BH$3:$CE$3,"="&amp;$DF32+'Model Setup'!$D$7,$AD32:$BA32)+'Model Setup'!$D$8*(SUMIF($BH$3:$CE$3,"&lt;"&amp;$DF32,$AD32:$BA32)+SUMIF($BH$3:$CE$3,"&gt;"&amp;$CW$4,$AD32:$BA32)),
IF(CC$3=$DF32+'Model Setup'!$E$7,SUMIF($BH$3:$CE$3,"="&amp;$DF32+'Model Setup'!$E$7,$AD32:$BA32)+'Model Setup'!$E$8*(SUMIF($BH$3:$CE$3,"&lt;"&amp;$DF32,$AD32:$BA32)+SUMIF($BH$3:$CE$3,"&gt;"&amp;$CW$4,$AD32:$BA32)),
IF(CC$3=$DF32+'Model Setup'!$F$7,SUMIF($BH$3:$CE$3,"="&amp;$DF32+'Model Setup'!$F$7,$AD32:$BA32)+'Model Setup'!$F$8*(SUMIF($BH$3:$CE$3,"&lt;"&amp;$DF32,$AD32:$BA32)+SUMIF($BH$3:$CE$3,"&gt;"&amp;$CW$4,$AD32:$BA32)),
IF(CC$3=$DF32+'Model Setup'!$G$7,SUMIF($BH$3:$CE$3,"="&amp;$DF32+'Model Setup'!$G$7,$AD32:$BA32)+'Model Setup'!$G$8*(SUMIF($BH$3:$CE$3,"&lt;"&amp;$DF32,$AD32:$BA32)+SUMIF($BH$3:$CE$3,"&gt;"&amp;$CW$4,$AD32:$BA32)),
IF(CC$3=$DF32+'Model Setup'!$H$7,SUMIF($BH$3:$CE$3,"="&amp;$DF32+'Model Setup'!$H$7,$AD32:$BA32)+'Model Setup'!$H$8*(SUMIF($BH$3:$CE$3,"&lt;"&amp;$DF32,$AD32:$BA32)+SUMIF($BH$3:$CE$3,"&gt;"&amp;$CW$4,$AD32:$BA32)),
IF(CC$3=$DF32+'Model Setup'!$I$7,SUMIF($BH$3:$CE$3,"="&amp;$DF32+'Model Setup'!$I$7,$AD32:$BA32)+'Model Setup'!$I$8*(SUMIF($BH$3:$CE$3,"&lt;"&amp;$DF32,$AD32:$BA32)+SUMIF($BH$3:$CE$3,"&gt;"&amp;$CW$4,$AD32:$BA32)),
IF(CC$3=$DF32+'Model Setup'!$J$7,SUMIF($BH$3:$CE$3,"="&amp;$DF32+'Model Setup'!$J$7,$AD32:$BA32)+'Model Setup'!$J$8*(SUMIF($BH$3:$CE$3,"&lt;"&amp;$DF32,$AD32:$BA32)+SUMIF($BH$3:$CE$3,"&gt;"&amp;$CW$4,$AD32:$BA32)),
IF(CC$3=$DF32+'Model Setup'!$K$7,SUMIF($BH$3:$CE$3,"="&amp;$DF32+'Model Setup'!$K$7,$AD32:$BA32)+'Model Setup'!$K$8*(SUMIF($BH$3:$CE$3,"&lt;"&amp;$DF32,$AD32:$BA32)+SUMIF($BH$3:$CE$3,"&gt;"&amp;$CW$4,$AD32:$BA32)),
IF(CC$3=$DF32+'Model Setup'!$L$7,SUMIF($BH$3:$CE$3,"="&amp;$DF32+'Model Setup'!$L$7,$AD32:$BA32)+'Model Setup'!$L$8*(SUMIF($BH$3:$CE$3,"&lt;"&amp;$DF32,$AD32:$BA32)+SUMIF($BH$3:$CE$3,"&gt;"&amp;$CW$4,$AD32:$BA32)),
IF(CC$3=$DF32+'Model Setup'!$M$7,SUMIF($BH$3:$CE$3,"="&amp;$DF32+'Model Setup'!$M$7,$AD32:$BA32)+'Model Setup'!$M$8*(SUMIF($BH$3:$CE$3,"&lt;"&amp;$DF32,$AD32:$BA32)+SUMIF($BH$3:$CE$3,"&gt;"&amp;$CW$4,$AD32:$BA32)),
IF(CC$3=$DF32+'Model Setup'!$N$7,SUMIF($BH$3:$CE$3,"="&amp;$DF32+'Model Setup'!$N$7,$AD32:$BA32)+'Model Setup'!$N$8*(SUMIF($BH$3:$CE$3,"&lt;"&amp;$DF32,$AD32:$BA32)+SUMIF($BH$3:$CE$3,"&gt;"&amp;$CW$4,$AD32:$BA32)),
IF(CC$3&lt;$CW$4,W32,0))))))))))))))),0)</f>
        <v>0</v>
      </c>
      <c r="CD32" s="47">
        <f>ROUND(IF(OR(CD$3&lt;$DF32,CD$3&gt;$CW$4),0,
IF(CD$3=$DF32+'Model Setup'!$B$7,SUMIF($BH$3:$CE$3,"="&amp;$DF32+'Model Setup'!$B$7,$AD32:$BA32)+'Model Setup'!$B$8*(SUMIF($BH$3:$CE$3,"&lt;"&amp;$DF32,$AD32:$BA32)+SUMIF($BH$3:$CE$3,"&gt;"&amp;$CW$4,$AD32:$BA32)),
IF(CD$3=$DF32+'Model Setup'!$C$7,SUMIF($BH$3:$CE$3,"="&amp;$DF32+'Model Setup'!$C$7,$AD32:$BA32)+'Model Setup'!$C$8*(SUMIF($BH$3:$CE$3,"&lt;"&amp;$DF32,$AD32:$BA32)+SUMIF($BH$3:$CE$3,"&gt;"&amp;$CW$4,$AD32:$BA32)),
IF(CD$3=$DF32+'Model Setup'!$D$7,SUMIF($BH$3:$CE$3,"="&amp;$DF32+'Model Setup'!$D$7,$AD32:$BA32)+'Model Setup'!$D$8*(SUMIF($BH$3:$CE$3,"&lt;"&amp;$DF32,$AD32:$BA32)+SUMIF($BH$3:$CE$3,"&gt;"&amp;$CW$4,$AD32:$BA32)),
IF(CD$3=$DF32+'Model Setup'!$E$7,SUMIF($BH$3:$CE$3,"="&amp;$DF32+'Model Setup'!$E$7,$AD32:$BA32)+'Model Setup'!$E$8*(SUMIF($BH$3:$CE$3,"&lt;"&amp;$DF32,$AD32:$BA32)+SUMIF($BH$3:$CE$3,"&gt;"&amp;$CW$4,$AD32:$BA32)),
IF(CD$3=$DF32+'Model Setup'!$F$7,SUMIF($BH$3:$CE$3,"="&amp;$DF32+'Model Setup'!$F$7,$AD32:$BA32)+'Model Setup'!$F$8*(SUMIF($BH$3:$CE$3,"&lt;"&amp;$DF32,$AD32:$BA32)+SUMIF($BH$3:$CE$3,"&gt;"&amp;$CW$4,$AD32:$BA32)),
IF(CD$3=$DF32+'Model Setup'!$G$7,SUMIF($BH$3:$CE$3,"="&amp;$DF32+'Model Setup'!$G$7,$AD32:$BA32)+'Model Setup'!$G$8*(SUMIF($BH$3:$CE$3,"&lt;"&amp;$DF32,$AD32:$BA32)+SUMIF($BH$3:$CE$3,"&gt;"&amp;$CW$4,$AD32:$BA32)),
IF(CD$3=$DF32+'Model Setup'!$H$7,SUMIF($BH$3:$CE$3,"="&amp;$DF32+'Model Setup'!$H$7,$AD32:$BA32)+'Model Setup'!$H$8*(SUMIF($BH$3:$CE$3,"&lt;"&amp;$DF32,$AD32:$BA32)+SUMIF($BH$3:$CE$3,"&gt;"&amp;$CW$4,$AD32:$BA32)),
IF(CD$3=$DF32+'Model Setup'!$I$7,SUMIF($BH$3:$CE$3,"="&amp;$DF32+'Model Setup'!$I$7,$AD32:$BA32)+'Model Setup'!$I$8*(SUMIF($BH$3:$CE$3,"&lt;"&amp;$DF32,$AD32:$BA32)+SUMIF($BH$3:$CE$3,"&gt;"&amp;$CW$4,$AD32:$BA32)),
IF(CD$3=$DF32+'Model Setup'!$J$7,SUMIF($BH$3:$CE$3,"="&amp;$DF32+'Model Setup'!$J$7,$AD32:$BA32)+'Model Setup'!$J$8*(SUMIF($BH$3:$CE$3,"&lt;"&amp;$DF32,$AD32:$BA32)+SUMIF($BH$3:$CE$3,"&gt;"&amp;$CW$4,$AD32:$BA32)),
IF(CD$3=$DF32+'Model Setup'!$K$7,SUMIF($BH$3:$CE$3,"="&amp;$DF32+'Model Setup'!$K$7,$AD32:$BA32)+'Model Setup'!$K$8*(SUMIF($BH$3:$CE$3,"&lt;"&amp;$DF32,$AD32:$BA32)+SUMIF($BH$3:$CE$3,"&gt;"&amp;$CW$4,$AD32:$BA32)),
IF(CD$3=$DF32+'Model Setup'!$L$7,SUMIF($BH$3:$CE$3,"="&amp;$DF32+'Model Setup'!$L$7,$AD32:$BA32)+'Model Setup'!$L$8*(SUMIF($BH$3:$CE$3,"&lt;"&amp;$DF32,$AD32:$BA32)+SUMIF($BH$3:$CE$3,"&gt;"&amp;$CW$4,$AD32:$BA32)),
IF(CD$3=$DF32+'Model Setup'!$M$7,SUMIF($BH$3:$CE$3,"="&amp;$DF32+'Model Setup'!$M$7,$AD32:$BA32)+'Model Setup'!$M$8*(SUMIF($BH$3:$CE$3,"&lt;"&amp;$DF32,$AD32:$BA32)+SUMIF($BH$3:$CE$3,"&gt;"&amp;$CW$4,$AD32:$BA32)),
IF(CD$3=$DF32+'Model Setup'!$N$7,SUMIF($BH$3:$CE$3,"="&amp;$DF32+'Model Setup'!$N$7,$AD32:$BA32)+'Model Setup'!$N$8*(SUMIF($BH$3:$CE$3,"&lt;"&amp;$DF32,$AD32:$BA32)+SUMIF($BH$3:$CE$3,"&gt;"&amp;$CW$4,$AD32:$BA32)),
IF(CD$3&lt;$CW$4,X32,0))))))))))))))),0)</f>
        <v>0</v>
      </c>
      <c r="CE32" s="47">
        <f>ROUND(IF(OR(CE$3&lt;$DF32,CE$3&gt;$CW$4),0,
IF(CE$3=$DF32+'Model Setup'!$B$7,SUMIF($BH$3:$CE$3,"="&amp;$DF32+'Model Setup'!$B$7,$AD32:$BA32)+'Model Setup'!$B$8*(SUMIF($BH$3:$CE$3,"&lt;"&amp;$DF32,$AD32:$BA32)+SUMIF($BH$3:$CE$3,"&gt;"&amp;$CW$4,$AD32:$BA32)),
IF(CE$3=$DF32+'Model Setup'!$C$7,SUMIF($BH$3:$CE$3,"="&amp;$DF32+'Model Setup'!$C$7,$AD32:$BA32)+'Model Setup'!$C$8*(SUMIF($BH$3:$CE$3,"&lt;"&amp;$DF32,$AD32:$BA32)+SUMIF($BH$3:$CE$3,"&gt;"&amp;$CW$4,$AD32:$BA32)),
IF(CE$3=$DF32+'Model Setup'!$D$7,SUMIF($BH$3:$CE$3,"="&amp;$DF32+'Model Setup'!$D$7,$AD32:$BA32)+'Model Setup'!$D$8*(SUMIF($BH$3:$CE$3,"&lt;"&amp;$DF32,$AD32:$BA32)+SUMIF($BH$3:$CE$3,"&gt;"&amp;$CW$4,$AD32:$BA32)),
IF(CE$3=$DF32+'Model Setup'!$E$7,SUMIF($BH$3:$CE$3,"="&amp;$DF32+'Model Setup'!$E$7,$AD32:$BA32)+'Model Setup'!$E$8*(SUMIF($BH$3:$CE$3,"&lt;"&amp;$DF32,$AD32:$BA32)+SUMIF($BH$3:$CE$3,"&gt;"&amp;$CW$4,$AD32:$BA32)),
IF(CE$3=$DF32+'Model Setup'!$F$7,SUMIF($BH$3:$CE$3,"="&amp;$DF32+'Model Setup'!$F$7,$AD32:$BA32)+'Model Setup'!$F$8*(SUMIF($BH$3:$CE$3,"&lt;"&amp;$DF32,$AD32:$BA32)+SUMIF($BH$3:$CE$3,"&gt;"&amp;$CW$4,$AD32:$BA32)),
IF(CE$3=$DF32+'Model Setup'!$G$7,SUMIF($BH$3:$CE$3,"="&amp;$DF32+'Model Setup'!$G$7,$AD32:$BA32)+'Model Setup'!$G$8*(SUMIF($BH$3:$CE$3,"&lt;"&amp;$DF32,$AD32:$BA32)+SUMIF($BH$3:$CE$3,"&gt;"&amp;$CW$4,$AD32:$BA32)),
IF(CE$3=$DF32+'Model Setup'!$H$7,SUMIF($BH$3:$CE$3,"="&amp;$DF32+'Model Setup'!$H$7,$AD32:$BA32)+'Model Setup'!$H$8*(SUMIF($BH$3:$CE$3,"&lt;"&amp;$DF32,$AD32:$BA32)+SUMIF($BH$3:$CE$3,"&gt;"&amp;$CW$4,$AD32:$BA32)),
IF(CE$3=$DF32+'Model Setup'!$I$7,SUMIF($BH$3:$CE$3,"="&amp;$DF32+'Model Setup'!$I$7,$AD32:$BA32)+'Model Setup'!$I$8*(SUMIF($BH$3:$CE$3,"&lt;"&amp;$DF32,$AD32:$BA32)+SUMIF($BH$3:$CE$3,"&gt;"&amp;$CW$4,$AD32:$BA32)),
IF(CE$3=$DF32+'Model Setup'!$J$7,SUMIF($BH$3:$CE$3,"="&amp;$DF32+'Model Setup'!$J$7,$AD32:$BA32)+'Model Setup'!$J$8*(SUMIF($BH$3:$CE$3,"&lt;"&amp;$DF32,$AD32:$BA32)+SUMIF($BH$3:$CE$3,"&gt;"&amp;$CW$4,$AD32:$BA32)),
IF(CE$3=$DF32+'Model Setup'!$K$7,SUMIF($BH$3:$CE$3,"="&amp;$DF32+'Model Setup'!$K$7,$AD32:$BA32)+'Model Setup'!$K$8*(SUMIF($BH$3:$CE$3,"&lt;"&amp;$DF32,$AD32:$BA32)+SUMIF($BH$3:$CE$3,"&gt;"&amp;$CW$4,$AD32:$BA32)),
IF(CE$3=$DF32+'Model Setup'!$L$7,SUMIF($BH$3:$CE$3,"="&amp;$DF32+'Model Setup'!$L$7,$AD32:$BA32)+'Model Setup'!$L$8*(SUMIF($BH$3:$CE$3,"&lt;"&amp;$DF32,$AD32:$BA32)+SUMIF($BH$3:$CE$3,"&gt;"&amp;$CW$4,$AD32:$BA32)),
IF(CE$3=$DF32+'Model Setup'!$M$7,SUMIF($BH$3:$CE$3,"="&amp;$DF32+'Model Setup'!$M$7,$AD32:$BA32)+'Model Setup'!$M$8*(SUMIF($BH$3:$CE$3,"&lt;"&amp;$DF32,$AD32:$BA32)+SUMIF($BH$3:$CE$3,"&gt;"&amp;$CW$4,$AD32:$BA32)),
IF(CE$3=$DF32+'Model Setup'!$N$7,SUMIF($BH$3:$CE$3,"="&amp;$DF32+'Model Setup'!$N$7,$AD32:$BA32)+'Model Setup'!$N$8*(SUMIF($BH$3:$CE$3,"&lt;"&amp;$DF32,$AD32:$BA32)+SUMIF($BH$3:$CE$3,"&gt;"&amp;$CW$4,$AD32:$BA32)),
IF(CE$3&lt;$CW$4,Y32,0))))))))))))))),0)</f>
        <v>0</v>
      </c>
      <c r="CF32" s="47">
        <f t="shared" si="3"/>
        <v>1033</v>
      </c>
      <c r="CG32" s="47">
        <f t="shared" si="4"/>
        <v>0</v>
      </c>
      <c r="CI32" s="10" t="s">
        <v>47</v>
      </c>
      <c r="CJ32" s="126">
        <f t="shared" si="9"/>
        <v>34</v>
      </c>
      <c r="CK32" s="126">
        <f t="shared" si="10"/>
        <v>128</v>
      </c>
      <c r="CL32" s="126">
        <f t="shared" si="11"/>
        <v>124</v>
      </c>
      <c r="CM32" s="126">
        <f t="shared" si="12"/>
        <v>115</v>
      </c>
      <c r="CN32" s="126">
        <f t="shared" si="13"/>
        <v>108</v>
      </c>
      <c r="CO32" s="126">
        <f t="shared" si="14"/>
        <v>113</v>
      </c>
      <c r="CP32" s="126">
        <f t="shared" si="15"/>
        <v>85</v>
      </c>
      <c r="CQ32" s="126">
        <f t="shared" si="16"/>
        <v>56</v>
      </c>
      <c r="CR32" s="126">
        <f t="shared" si="17"/>
        <v>61</v>
      </c>
      <c r="CS32" s="126">
        <f t="shared" si="18"/>
        <v>43</v>
      </c>
      <c r="CT32" s="126">
        <f t="shared" si="19"/>
        <v>47</v>
      </c>
      <c r="CU32" s="126">
        <f t="shared" si="20"/>
        <v>71</v>
      </c>
      <c r="CV32" s="126">
        <f t="shared" si="21"/>
        <v>48</v>
      </c>
      <c r="CW32" s="126">
        <f t="shared" si="22"/>
        <v>0</v>
      </c>
      <c r="CX32" s="126">
        <f t="shared" si="23"/>
        <v>0</v>
      </c>
      <c r="CY32" s="126">
        <f t="shared" si="24"/>
        <v>0</v>
      </c>
      <c r="CZ32" s="47">
        <f t="shared" si="7"/>
        <v>1033</v>
      </c>
      <c r="DC32" s="93" t="s">
        <v>47</v>
      </c>
      <c r="DD32" s="89">
        <f>FTC!E30</f>
        <v>0.20833333333333334</v>
      </c>
      <c r="DE32" s="89">
        <f>FTC!F30</f>
        <v>0.75</v>
      </c>
      <c r="DF32" s="90">
        <f t="shared" si="25"/>
        <v>5</v>
      </c>
      <c r="DG32" s="91">
        <f t="shared" si="26"/>
        <v>18</v>
      </c>
      <c r="DH32" s="91">
        <f t="shared" si="27"/>
        <v>13</v>
      </c>
    </row>
    <row r="33" spans="1:112" x14ac:dyDescent="0.35">
      <c r="A33" s="43" t="s">
        <v>48</v>
      </c>
      <c r="B33" s="6"/>
      <c r="C33" s="47">
        <v>1</v>
      </c>
      <c r="D33" s="6"/>
      <c r="E33" s="6"/>
      <c r="F33" s="47">
        <v>1</v>
      </c>
      <c r="G33" s="6"/>
      <c r="H33" s="47">
        <v>10</v>
      </c>
      <c r="I33" s="47">
        <v>7</v>
      </c>
      <c r="J33" s="47">
        <v>8</v>
      </c>
      <c r="K33" s="47">
        <v>15</v>
      </c>
      <c r="L33" s="47">
        <v>11</v>
      </c>
      <c r="M33" s="47">
        <v>4</v>
      </c>
      <c r="N33" s="47">
        <v>2</v>
      </c>
      <c r="O33" s="47">
        <v>1</v>
      </c>
      <c r="P33" s="47">
        <v>3</v>
      </c>
      <c r="Q33" s="47">
        <v>2</v>
      </c>
      <c r="R33" s="47">
        <v>1</v>
      </c>
      <c r="S33" s="47">
        <v>1</v>
      </c>
      <c r="T33" s="47">
        <v>2</v>
      </c>
      <c r="U33" s="6"/>
      <c r="V33" s="47">
        <v>1</v>
      </c>
      <c r="W33" s="47">
        <v>1</v>
      </c>
      <c r="X33" s="47">
        <v>1</v>
      </c>
      <c r="Y33" s="6"/>
      <c r="Z33" s="47">
        <f t="shared" si="0"/>
        <v>72</v>
      </c>
      <c r="AC33" s="43" t="s">
        <v>48</v>
      </c>
      <c r="AD33" s="47">
        <f>ROUND(IF(AD$3&lt;$DF33,0,
IF(AD$3=$DF33+'Model Setup'!$B$7,SUMIF($AD$3:$BA$3,"="&amp;$DF33+'Model Setup'!$B$7,$B33:$Y33)+'Model Setup'!$B$8*(SUMIF($AD$3:$BA$3,"&lt;"&amp;$DF33,$B33:$Y33)+SUMIF($AD$3:$BA$3,"&gt;="&amp;$DG33,$B33:$Y33)),
IF(AD$3=$DF33+'Model Setup'!$C$7,SUMIF($AD$3:$BA$3,"="&amp;$DF33+'Model Setup'!$C$7,$B33:$Y33)+'Model Setup'!$C$8*(SUMIF($AD$3:$BA$3,"&lt;"&amp;$DF33,$B33:$Y33)+SUMIF($AD$3:$BA$3,"&gt;="&amp;$DG33,$B33:$Y33)),
IF(AD$3=$DF33+'Model Setup'!$D$7,SUMIF($AD$3:$BA$3,"="&amp;$DF33+'Model Setup'!$D$7,$B33:$Y33)+'Model Setup'!$D$8*(SUMIF($AD$3:$BA$3,"&lt;"&amp;$DF33,$B33:$Y33)+SUMIF($AD$3:$BA$3,"&gt;="&amp;$DG33,$B33:$Y33)),
IF(AD$3=$DF33+'Model Setup'!$E$7,SUMIF($AD$3:$BA$3,"="&amp;$DF33+'Model Setup'!$E$7,$B33:$Y33)+'Model Setup'!$E$8*(SUMIF($AD$3:$BA$3,"&lt;"&amp;$DF33,$B33:$Y33)+SUMIF($AD$3:$BA$3,"&gt;="&amp;$DG33,$B33:$Y33)),
IF(AD$3=$DF33+'Model Setup'!$F$7,SUMIF($AD$3:$BA$3,"="&amp;$DF33+'Model Setup'!$F$7,$B33:$Y33)+'Model Setup'!$F$8*(SUMIF($AD$3:$BA$3,"&lt;"&amp;$DF33,$B33:$Y33)+SUMIF($AD$3:$BA$3,"&gt;="&amp;$DG33,$B33:$Y33)),
IF(AD$3=$DF33+'Model Setup'!$G$7,SUMIF($AD$3:$BA$3,"="&amp;$DF33+'Model Setup'!$G$7,$B33:$Y33)+'Model Setup'!$G$8*(SUMIF($AD$3:$BA$3,"&lt;"&amp;$DF33,$B33:$Y33)+SUMIF($AD$3:$BA$3,"&gt;="&amp;$DG33,$B33:$Y33)),
IF(AD$3=$DF33+'Model Setup'!$H$7,SUMIF($AD$3:$BA$3,"="&amp;$DF33+'Model Setup'!$H$7,$B33:$Y33)+'Model Setup'!$H$8*(SUMIF($AD$3:$BA$3,"&lt;"&amp;$DF33,$B33:$Y33)+SUMIF($AD$3:$BA$3,"&gt;="&amp;$DG33,$B33:$Y33)),
IF(AD$3=$DF33+'Model Setup'!$I$7,SUMIF($AD$3:$BA$3,"="&amp;$DF33+'Model Setup'!$I$7,$B33:$Y33)+'Model Setup'!$I$8*(SUMIF($AD$3:$BA$3,"&lt;"&amp;$DF33,$B33:$Y33)+SUMIF($AD$3:$BA$3,"&gt;="&amp;$DG33,$B33:$Y33)),
IF(AD$3=$DF33+'Model Setup'!$J$7,SUMIF($AD$3:$BA$3,"="&amp;$DF33+'Model Setup'!$J$7,$B33:$Y33)+'Model Setup'!$J$8*(SUMIF($AD$3:$BA$3,"&lt;"&amp;$DF33,$B33:$Y33)+SUMIF($AD$3:$BA$3,"&gt;="&amp;$DG33,$B33:$Y33)),
IF(AD$3=$DF33+'Model Setup'!$K$7,SUMIF($AD$3:$BA$3,"="&amp;$DF33+'Model Setup'!$K$7,$B33:$Y33)+'Model Setup'!$K$8*(SUMIF($AD$3:$BA$3,"&lt;"&amp;$DF33,$B33:$Y33)+SUMIF($AD$3:$BA$3,"&gt;="&amp;$DG33,$B33:$Y33)),
IF(AD$3=$DF33+'Model Setup'!$L$7,SUMIF($AD$3:$BA$3,"="&amp;$DF33+'Model Setup'!$L$7,$B33:$Y33)+'Model Setup'!$L$8*(SUMIF($AD$3:$BA$3,"&lt;"&amp;$DF33,$B33:$Y33)+SUMIF($AD$3:$BA$3,"&gt;="&amp;$DG33,$B33:$Y33)),
IF(AD$3=$DF33+'Model Setup'!$M$7,SUMIF($AD$3:$BA$3,"="&amp;$DF33+'Model Setup'!$M$7,$B33:$Y33)+'Model Setup'!$M$8*(SUMIF($AD$3:$BA$3,"&lt;"&amp;$DF33,$B33:$Y33)+SUMIF($AD$3:$BA$3,"&gt;="&amp;$DG33,$B33:$Y33)),
IF(AD$3=$DF33+'Model Setup'!$N$7,SUMIF($AD$3:$BA$3,"="&amp;$DF33+'Model Setup'!$N$7,$B33:$Y33)+'Model Setup'!$N$8*(SUMIF($AD$3:$BA$3,"&lt;"&amp;$DF33,$B33:$Y33)+SUMIF($AD$3:$BA$3,"&gt;="&amp;$DG33,$B33:$Y33)),
IF(AD$3&lt;$DG33,B33,0))))))))))))))),0)</f>
        <v>0</v>
      </c>
      <c r="AE33" s="47">
        <f>ROUND(IF(AE$3&lt;$DF33,0,
IF(AE$3=$DF33+'Model Setup'!$B$7,SUMIF($AD$3:$BA$3,"="&amp;$DF33+'Model Setup'!$B$7,$B33:$Y33)+'Model Setup'!$B$8*(SUMIF($AD$3:$BA$3,"&lt;"&amp;$DF33,$B33:$Y33)+SUMIF($AD$3:$BA$3,"&gt;="&amp;$DG33,$B33:$Y33)),
IF(AE$3=$DF33+'Model Setup'!$C$7,SUMIF($AD$3:$BA$3,"="&amp;$DF33+'Model Setup'!$C$7,$B33:$Y33)+'Model Setup'!$C$8*(SUMIF($AD$3:$BA$3,"&lt;"&amp;$DF33,$B33:$Y33)+SUMIF($AD$3:$BA$3,"&gt;="&amp;$DG33,$B33:$Y33)),
IF(AE$3=$DF33+'Model Setup'!$D$7,SUMIF($AD$3:$BA$3,"="&amp;$DF33+'Model Setup'!$D$7,$B33:$Y33)+'Model Setup'!$D$8*(SUMIF($AD$3:$BA$3,"&lt;"&amp;$DF33,$B33:$Y33)+SUMIF($AD$3:$BA$3,"&gt;="&amp;$DG33,$B33:$Y33)),
IF(AE$3=$DF33+'Model Setup'!$E$7,SUMIF($AD$3:$BA$3,"="&amp;$DF33+'Model Setup'!$E$7,$B33:$Y33)+'Model Setup'!$E$8*(SUMIF($AD$3:$BA$3,"&lt;"&amp;$DF33,$B33:$Y33)+SUMIF($AD$3:$BA$3,"&gt;="&amp;$DG33,$B33:$Y33)),
IF(AE$3=$DF33+'Model Setup'!$F$7,SUMIF($AD$3:$BA$3,"="&amp;$DF33+'Model Setup'!$F$7,$B33:$Y33)+'Model Setup'!$F$8*(SUMIF($AD$3:$BA$3,"&lt;"&amp;$DF33,$B33:$Y33)+SUMIF($AD$3:$BA$3,"&gt;="&amp;$DG33,$B33:$Y33)),
IF(AE$3=$DF33+'Model Setup'!$G$7,SUMIF($AD$3:$BA$3,"="&amp;$DF33+'Model Setup'!$G$7,$B33:$Y33)+'Model Setup'!$G$8*(SUMIF($AD$3:$BA$3,"&lt;"&amp;$DF33,$B33:$Y33)+SUMIF($AD$3:$BA$3,"&gt;="&amp;$DG33,$B33:$Y33)),
IF(AE$3=$DF33+'Model Setup'!$H$7,SUMIF($AD$3:$BA$3,"="&amp;$DF33+'Model Setup'!$H$7,$B33:$Y33)+'Model Setup'!$H$8*(SUMIF($AD$3:$BA$3,"&lt;"&amp;$DF33,$B33:$Y33)+SUMIF($AD$3:$BA$3,"&gt;="&amp;$DG33,$B33:$Y33)),
IF(AE$3=$DF33+'Model Setup'!$I$7,SUMIF($AD$3:$BA$3,"="&amp;$DF33+'Model Setup'!$I$7,$B33:$Y33)+'Model Setup'!$I$8*(SUMIF($AD$3:$BA$3,"&lt;"&amp;$DF33,$B33:$Y33)+SUMIF($AD$3:$BA$3,"&gt;="&amp;$DG33,$B33:$Y33)),
IF(AE$3=$DF33+'Model Setup'!$J$7,SUMIF($AD$3:$BA$3,"="&amp;$DF33+'Model Setup'!$J$7,$B33:$Y33)+'Model Setup'!$J$8*(SUMIF($AD$3:$BA$3,"&lt;"&amp;$DF33,$B33:$Y33)+SUMIF($AD$3:$BA$3,"&gt;="&amp;$DG33,$B33:$Y33)),
IF(AE$3=$DF33+'Model Setup'!$K$7,SUMIF($AD$3:$BA$3,"="&amp;$DF33+'Model Setup'!$K$7,$B33:$Y33)+'Model Setup'!$K$8*(SUMIF($AD$3:$BA$3,"&lt;"&amp;$DF33,$B33:$Y33)+SUMIF($AD$3:$BA$3,"&gt;="&amp;$DG33,$B33:$Y33)),
IF(AE$3=$DF33+'Model Setup'!$L$7,SUMIF($AD$3:$BA$3,"="&amp;$DF33+'Model Setup'!$L$7,$B33:$Y33)+'Model Setup'!$L$8*(SUMIF($AD$3:$BA$3,"&lt;"&amp;$DF33,$B33:$Y33)+SUMIF($AD$3:$BA$3,"&gt;="&amp;$DG33,$B33:$Y33)),
IF(AE$3=$DF33+'Model Setup'!$M$7,SUMIF($AD$3:$BA$3,"="&amp;$DF33+'Model Setup'!$M$7,$B33:$Y33)+'Model Setup'!$M$8*(SUMIF($AD$3:$BA$3,"&lt;"&amp;$DF33,$B33:$Y33)+SUMIF($AD$3:$BA$3,"&gt;="&amp;$DG33,$B33:$Y33)),
IF(AE$3=$DF33+'Model Setup'!$N$7,SUMIF($AD$3:$BA$3,"="&amp;$DF33+'Model Setup'!$N$7,$B33:$Y33)+'Model Setup'!$N$8*(SUMIF($AD$3:$BA$3,"&lt;"&amp;$DF33,$B33:$Y33)+SUMIF($AD$3:$BA$3,"&gt;="&amp;$DG33,$B33:$Y33)),
IF(AE$3&lt;$DG33,C33,0))))))))))))))),0)</f>
        <v>0</v>
      </c>
      <c r="AF33" s="47">
        <f>ROUND(IF(AF$3&lt;$DF33,0,
IF(AF$3=$DF33+'Model Setup'!$B$7,SUMIF($AD$3:$BA$3,"="&amp;$DF33+'Model Setup'!$B$7,$B33:$Y33)+'Model Setup'!$B$8*(SUMIF($AD$3:$BA$3,"&lt;"&amp;$DF33,$B33:$Y33)+SUMIF($AD$3:$BA$3,"&gt;="&amp;$DG33,$B33:$Y33)),
IF(AF$3=$DF33+'Model Setup'!$C$7,SUMIF($AD$3:$BA$3,"="&amp;$DF33+'Model Setup'!$C$7,$B33:$Y33)+'Model Setup'!$C$8*(SUMIF($AD$3:$BA$3,"&lt;"&amp;$DF33,$B33:$Y33)+SUMIF($AD$3:$BA$3,"&gt;="&amp;$DG33,$B33:$Y33)),
IF(AF$3=$DF33+'Model Setup'!$D$7,SUMIF($AD$3:$BA$3,"="&amp;$DF33+'Model Setup'!$D$7,$B33:$Y33)+'Model Setup'!$D$8*(SUMIF($AD$3:$BA$3,"&lt;"&amp;$DF33,$B33:$Y33)+SUMIF($AD$3:$BA$3,"&gt;="&amp;$DG33,$B33:$Y33)),
IF(AF$3=$DF33+'Model Setup'!$E$7,SUMIF($AD$3:$BA$3,"="&amp;$DF33+'Model Setup'!$E$7,$B33:$Y33)+'Model Setup'!$E$8*(SUMIF($AD$3:$BA$3,"&lt;"&amp;$DF33,$B33:$Y33)+SUMIF($AD$3:$BA$3,"&gt;="&amp;$DG33,$B33:$Y33)),
IF(AF$3=$DF33+'Model Setup'!$F$7,SUMIF($AD$3:$BA$3,"="&amp;$DF33+'Model Setup'!$F$7,$B33:$Y33)+'Model Setup'!$F$8*(SUMIF($AD$3:$BA$3,"&lt;"&amp;$DF33,$B33:$Y33)+SUMIF($AD$3:$BA$3,"&gt;="&amp;$DG33,$B33:$Y33)),
IF(AF$3=$DF33+'Model Setup'!$G$7,SUMIF($AD$3:$BA$3,"="&amp;$DF33+'Model Setup'!$G$7,$B33:$Y33)+'Model Setup'!$G$8*(SUMIF($AD$3:$BA$3,"&lt;"&amp;$DF33,$B33:$Y33)+SUMIF($AD$3:$BA$3,"&gt;="&amp;$DG33,$B33:$Y33)),
IF(AF$3=$DF33+'Model Setup'!$H$7,SUMIF($AD$3:$BA$3,"="&amp;$DF33+'Model Setup'!$H$7,$B33:$Y33)+'Model Setup'!$H$8*(SUMIF($AD$3:$BA$3,"&lt;"&amp;$DF33,$B33:$Y33)+SUMIF($AD$3:$BA$3,"&gt;="&amp;$DG33,$B33:$Y33)),
IF(AF$3=$DF33+'Model Setup'!$I$7,SUMIF($AD$3:$BA$3,"="&amp;$DF33+'Model Setup'!$I$7,$B33:$Y33)+'Model Setup'!$I$8*(SUMIF($AD$3:$BA$3,"&lt;"&amp;$DF33,$B33:$Y33)+SUMIF($AD$3:$BA$3,"&gt;="&amp;$DG33,$B33:$Y33)),
IF(AF$3=$DF33+'Model Setup'!$J$7,SUMIF($AD$3:$BA$3,"="&amp;$DF33+'Model Setup'!$J$7,$B33:$Y33)+'Model Setup'!$J$8*(SUMIF($AD$3:$BA$3,"&lt;"&amp;$DF33,$B33:$Y33)+SUMIF($AD$3:$BA$3,"&gt;="&amp;$DG33,$B33:$Y33)),
IF(AF$3=$DF33+'Model Setup'!$K$7,SUMIF($AD$3:$BA$3,"="&amp;$DF33+'Model Setup'!$K$7,$B33:$Y33)+'Model Setup'!$K$8*(SUMIF($AD$3:$BA$3,"&lt;"&amp;$DF33,$B33:$Y33)+SUMIF($AD$3:$BA$3,"&gt;="&amp;$DG33,$B33:$Y33)),
IF(AF$3=$DF33+'Model Setup'!$L$7,SUMIF($AD$3:$BA$3,"="&amp;$DF33+'Model Setup'!$L$7,$B33:$Y33)+'Model Setup'!$L$8*(SUMIF($AD$3:$BA$3,"&lt;"&amp;$DF33,$B33:$Y33)+SUMIF($AD$3:$BA$3,"&gt;="&amp;$DG33,$B33:$Y33)),
IF(AF$3=$DF33+'Model Setup'!$M$7,SUMIF($AD$3:$BA$3,"="&amp;$DF33+'Model Setup'!$M$7,$B33:$Y33)+'Model Setup'!$M$8*(SUMIF($AD$3:$BA$3,"&lt;"&amp;$DF33,$B33:$Y33)+SUMIF($AD$3:$BA$3,"&gt;="&amp;$DG33,$B33:$Y33)),
IF(AF$3=$DF33+'Model Setup'!$N$7,SUMIF($AD$3:$BA$3,"="&amp;$DF33+'Model Setup'!$N$7,$B33:$Y33)+'Model Setup'!$N$8*(SUMIF($AD$3:$BA$3,"&lt;"&amp;$DF33,$B33:$Y33)+SUMIF($AD$3:$BA$3,"&gt;="&amp;$DG33,$B33:$Y33)),
IF(AF$3&lt;$DG33,D33,0))))))))))))))),0)</f>
        <v>0</v>
      </c>
      <c r="AG33" s="47">
        <f>ROUND(IF(AG$3&lt;$DF33,0,
IF(AG$3=$DF33+'Model Setup'!$B$7,SUMIF($AD$3:$BA$3,"="&amp;$DF33+'Model Setup'!$B$7,$B33:$Y33)+'Model Setup'!$B$8*(SUMIF($AD$3:$BA$3,"&lt;"&amp;$DF33,$B33:$Y33)+SUMIF($AD$3:$BA$3,"&gt;="&amp;$DG33,$B33:$Y33)),
IF(AG$3=$DF33+'Model Setup'!$C$7,SUMIF($AD$3:$BA$3,"="&amp;$DF33+'Model Setup'!$C$7,$B33:$Y33)+'Model Setup'!$C$8*(SUMIF($AD$3:$BA$3,"&lt;"&amp;$DF33,$B33:$Y33)+SUMIF($AD$3:$BA$3,"&gt;="&amp;$DG33,$B33:$Y33)),
IF(AG$3=$DF33+'Model Setup'!$D$7,SUMIF($AD$3:$BA$3,"="&amp;$DF33+'Model Setup'!$D$7,$B33:$Y33)+'Model Setup'!$D$8*(SUMIF($AD$3:$BA$3,"&lt;"&amp;$DF33,$B33:$Y33)+SUMIF($AD$3:$BA$3,"&gt;="&amp;$DG33,$B33:$Y33)),
IF(AG$3=$DF33+'Model Setup'!$E$7,SUMIF($AD$3:$BA$3,"="&amp;$DF33+'Model Setup'!$E$7,$B33:$Y33)+'Model Setup'!$E$8*(SUMIF($AD$3:$BA$3,"&lt;"&amp;$DF33,$B33:$Y33)+SUMIF($AD$3:$BA$3,"&gt;="&amp;$DG33,$B33:$Y33)),
IF(AG$3=$DF33+'Model Setup'!$F$7,SUMIF($AD$3:$BA$3,"="&amp;$DF33+'Model Setup'!$F$7,$B33:$Y33)+'Model Setup'!$F$8*(SUMIF($AD$3:$BA$3,"&lt;"&amp;$DF33,$B33:$Y33)+SUMIF($AD$3:$BA$3,"&gt;="&amp;$DG33,$B33:$Y33)),
IF(AG$3=$DF33+'Model Setup'!$G$7,SUMIF($AD$3:$BA$3,"="&amp;$DF33+'Model Setup'!$G$7,$B33:$Y33)+'Model Setup'!$G$8*(SUMIF($AD$3:$BA$3,"&lt;"&amp;$DF33,$B33:$Y33)+SUMIF($AD$3:$BA$3,"&gt;="&amp;$DG33,$B33:$Y33)),
IF(AG$3=$DF33+'Model Setup'!$H$7,SUMIF($AD$3:$BA$3,"="&amp;$DF33+'Model Setup'!$H$7,$B33:$Y33)+'Model Setup'!$H$8*(SUMIF($AD$3:$BA$3,"&lt;"&amp;$DF33,$B33:$Y33)+SUMIF($AD$3:$BA$3,"&gt;="&amp;$DG33,$B33:$Y33)),
IF(AG$3=$DF33+'Model Setup'!$I$7,SUMIF($AD$3:$BA$3,"="&amp;$DF33+'Model Setup'!$I$7,$B33:$Y33)+'Model Setup'!$I$8*(SUMIF($AD$3:$BA$3,"&lt;"&amp;$DF33,$B33:$Y33)+SUMIF($AD$3:$BA$3,"&gt;="&amp;$DG33,$B33:$Y33)),
IF(AG$3=$DF33+'Model Setup'!$J$7,SUMIF($AD$3:$BA$3,"="&amp;$DF33+'Model Setup'!$J$7,$B33:$Y33)+'Model Setup'!$J$8*(SUMIF($AD$3:$BA$3,"&lt;"&amp;$DF33,$B33:$Y33)+SUMIF($AD$3:$BA$3,"&gt;="&amp;$DG33,$B33:$Y33)),
IF(AG$3=$DF33+'Model Setup'!$K$7,SUMIF($AD$3:$BA$3,"="&amp;$DF33+'Model Setup'!$K$7,$B33:$Y33)+'Model Setup'!$K$8*(SUMIF($AD$3:$BA$3,"&lt;"&amp;$DF33,$B33:$Y33)+SUMIF($AD$3:$BA$3,"&gt;="&amp;$DG33,$B33:$Y33)),
IF(AG$3=$DF33+'Model Setup'!$L$7,SUMIF($AD$3:$BA$3,"="&amp;$DF33+'Model Setup'!$L$7,$B33:$Y33)+'Model Setup'!$L$8*(SUMIF($AD$3:$BA$3,"&lt;"&amp;$DF33,$B33:$Y33)+SUMIF($AD$3:$BA$3,"&gt;="&amp;$DG33,$B33:$Y33)),
IF(AG$3=$DF33+'Model Setup'!$M$7,SUMIF($AD$3:$BA$3,"="&amp;$DF33+'Model Setup'!$M$7,$B33:$Y33)+'Model Setup'!$M$8*(SUMIF($AD$3:$BA$3,"&lt;"&amp;$DF33,$B33:$Y33)+SUMIF($AD$3:$BA$3,"&gt;="&amp;$DG33,$B33:$Y33)),
IF(AG$3=$DF33+'Model Setup'!$N$7,SUMIF($AD$3:$BA$3,"="&amp;$DF33+'Model Setup'!$N$7,$B33:$Y33)+'Model Setup'!$N$8*(SUMIF($AD$3:$BA$3,"&lt;"&amp;$DF33,$B33:$Y33)+SUMIF($AD$3:$BA$3,"&gt;="&amp;$DG33,$B33:$Y33)),
IF(AG$3&lt;$DG33,E33,0))))))))))))))),0)</f>
        <v>0</v>
      </c>
      <c r="AH33" s="47">
        <f>ROUND(IF(AH$3&lt;$DF33,0,
IF(AH$3=$DF33+'Model Setup'!$B$7,SUMIF($AD$3:$BA$3,"="&amp;$DF33+'Model Setup'!$B$7,$B33:$Y33)+'Model Setup'!$B$8*(SUMIF($AD$3:$BA$3,"&lt;"&amp;$DF33,$B33:$Y33)+SUMIF($AD$3:$BA$3,"&gt;="&amp;$DG33,$B33:$Y33)),
IF(AH$3=$DF33+'Model Setup'!$C$7,SUMIF($AD$3:$BA$3,"="&amp;$DF33+'Model Setup'!$C$7,$B33:$Y33)+'Model Setup'!$C$8*(SUMIF($AD$3:$BA$3,"&lt;"&amp;$DF33,$B33:$Y33)+SUMIF($AD$3:$BA$3,"&gt;="&amp;$DG33,$B33:$Y33)),
IF(AH$3=$DF33+'Model Setup'!$D$7,SUMIF($AD$3:$BA$3,"="&amp;$DF33+'Model Setup'!$D$7,$B33:$Y33)+'Model Setup'!$D$8*(SUMIF($AD$3:$BA$3,"&lt;"&amp;$DF33,$B33:$Y33)+SUMIF($AD$3:$BA$3,"&gt;="&amp;$DG33,$B33:$Y33)),
IF(AH$3=$DF33+'Model Setup'!$E$7,SUMIF($AD$3:$BA$3,"="&amp;$DF33+'Model Setup'!$E$7,$B33:$Y33)+'Model Setup'!$E$8*(SUMIF($AD$3:$BA$3,"&lt;"&amp;$DF33,$B33:$Y33)+SUMIF($AD$3:$BA$3,"&gt;="&amp;$DG33,$B33:$Y33)),
IF(AH$3=$DF33+'Model Setup'!$F$7,SUMIF($AD$3:$BA$3,"="&amp;$DF33+'Model Setup'!$F$7,$B33:$Y33)+'Model Setup'!$F$8*(SUMIF($AD$3:$BA$3,"&lt;"&amp;$DF33,$B33:$Y33)+SUMIF($AD$3:$BA$3,"&gt;="&amp;$DG33,$B33:$Y33)),
IF(AH$3=$DF33+'Model Setup'!$G$7,SUMIF($AD$3:$BA$3,"="&amp;$DF33+'Model Setup'!$G$7,$B33:$Y33)+'Model Setup'!$G$8*(SUMIF($AD$3:$BA$3,"&lt;"&amp;$DF33,$B33:$Y33)+SUMIF($AD$3:$BA$3,"&gt;="&amp;$DG33,$B33:$Y33)),
IF(AH$3=$DF33+'Model Setup'!$H$7,SUMIF($AD$3:$BA$3,"="&amp;$DF33+'Model Setup'!$H$7,$B33:$Y33)+'Model Setup'!$H$8*(SUMIF($AD$3:$BA$3,"&lt;"&amp;$DF33,$B33:$Y33)+SUMIF($AD$3:$BA$3,"&gt;="&amp;$DG33,$B33:$Y33)),
IF(AH$3=$DF33+'Model Setup'!$I$7,SUMIF($AD$3:$BA$3,"="&amp;$DF33+'Model Setup'!$I$7,$B33:$Y33)+'Model Setup'!$I$8*(SUMIF($AD$3:$BA$3,"&lt;"&amp;$DF33,$B33:$Y33)+SUMIF($AD$3:$BA$3,"&gt;="&amp;$DG33,$B33:$Y33)),
IF(AH$3=$DF33+'Model Setup'!$J$7,SUMIF($AD$3:$BA$3,"="&amp;$DF33+'Model Setup'!$J$7,$B33:$Y33)+'Model Setup'!$J$8*(SUMIF($AD$3:$BA$3,"&lt;"&amp;$DF33,$B33:$Y33)+SUMIF($AD$3:$BA$3,"&gt;="&amp;$DG33,$B33:$Y33)),
IF(AH$3=$DF33+'Model Setup'!$K$7,SUMIF($AD$3:$BA$3,"="&amp;$DF33+'Model Setup'!$K$7,$B33:$Y33)+'Model Setup'!$K$8*(SUMIF($AD$3:$BA$3,"&lt;"&amp;$DF33,$B33:$Y33)+SUMIF($AD$3:$BA$3,"&gt;="&amp;$DG33,$B33:$Y33)),
IF(AH$3=$DF33+'Model Setup'!$L$7,SUMIF($AD$3:$BA$3,"="&amp;$DF33+'Model Setup'!$L$7,$B33:$Y33)+'Model Setup'!$L$8*(SUMIF($AD$3:$BA$3,"&lt;"&amp;$DF33,$B33:$Y33)+SUMIF($AD$3:$BA$3,"&gt;="&amp;$DG33,$B33:$Y33)),
IF(AH$3=$DF33+'Model Setup'!$M$7,SUMIF($AD$3:$BA$3,"="&amp;$DF33+'Model Setup'!$M$7,$B33:$Y33)+'Model Setup'!$M$8*(SUMIF($AD$3:$BA$3,"&lt;"&amp;$DF33,$B33:$Y33)+SUMIF($AD$3:$BA$3,"&gt;="&amp;$DG33,$B33:$Y33)),
IF(AH$3=$DF33+'Model Setup'!$N$7,SUMIF($AD$3:$BA$3,"="&amp;$DF33+'Model Setup'!$N$7,$B33:$Y33)+'Model Setup'!$N$8*(SUMIF($AD$3:$BA$3,"&lt;"&amp;$DF33,$B33:$Y33)+SUMIF($AD$3:$BA$3,"&gt;="&amp;$DG33,$B33:$Y33)),
IF(AH$3&lt;$DG33,F33,0))))))))))))))),0)</f>
        <v>0</v>
      </c>
      <c r="AI33" s="47">
        <f>ROUND(IF(AI$3&lt;$DF33,0,
IF(AI$3=$DF33+'Model Setup'!$B$7,SUMIF($AD$3:$BA$3,"="&amp;$DF33+'Model Setup'!$B$7,$B33:$Y33)+'Model Setup'!$B$8*(SUMIF($AD$3:$BA$3,"&lt;"&amp;$DF33,$B33:$Y33)+SUMIF($AD$3:$BA$3,"&gt;="&amp;$DG33,$B33:$Y33)),
IF(AI$3=$DF33+'Model Setup'!$C$7,SUMIF($AD$3:$BA$3,"="&amp;$DF33+'Model Setup'!$C$7,$B33:$Y33)+'Model Setup'!$C$8*(SUMIF($AD$3:$BA$3,"&lt;"&amp;$DF33,$B33:$Y33)+SUMIF($AD$3:$BA$3,"&gt;="&amp;$DG33,$B33:$Y33)),
IF(AI$3=$DF33+'Model Setup'!$D$7,SUMIF($AD$3:$BA$3,"="&amp;$DF33+'Model Setup'!$D$7,$B33:$Y33)+'Model Setup'!$D$8*(SUMIF($AD$3:$BA$3,"&lt;"&amp;$DF33,$B33:$Y33)+SUMIF($AD$3:$BA$3,"&gt;="&amp;$DG33,$B33:$Y33)),
IF(AI$3=$DF33+'Model Setup'!$E$7,SUMIF($AD$3:$BA$3,"="&amp;$DF33+'Model Setup'!$E$7,$B33:$Y33)+'Model Setup'!$E$8*(SUMIF($AD$3:$BA$3,"&lt;"&amp;$DF33,$B33:$Y33)+SUMIF($AD$3:$BA$3,"&gt;="&amp;$DG33,$B33:$Y33)),
IF(AI$3=$DF33+'Model Setup'!$F$7,SUMIF($AD$3:$BA$3,"="&amp;$DF33+'Model Setup'!$F$7,$B33:$Y33)+'Model Setup'!$F$8*(SUMIF($AD$3:$BA$3,"&lt;"&amp;$DF33,$B33:$Y33)+SUMIF($AD$3:$BA$3,"&gt;="&amp;$DG33,$B33:$Y33)),
IF(AI$3=$DF33+'Model Setup'!$G$7,SUMIF($AD$3:$BA$3,"="&amp;$DF33+'Model Setup'!$G$7,$B33:$Y33)+'Model Setup'!$G$8*(SUMIF($AD$3:$BA$3,"&lt;"&amp;$DF33,$B33:$Y33)+SUMIF($AD$3:$BA$3,"&gt;="&amp;$DG33,$B33:$Y33)),
IF(AI$3=$DF33+'Model Setup'!$H$7,SUMIF($AD$3:$BA$3,"="&amp;$DF33+'Model Setup'!$H$7,$B33:$Y33)+'Model Setup'!$H$8*(SUMIF($AD$3:$BA$3,"&lt;"&amp;$DF33,$B33:$Y33)+SUMIF($AD$3:$BA$3,"&gt;="&amp;$DG33,$B33:$Y33)),
IF(AI$3=$DF33+'Model Setup'!$I$7,SUMIF($AD$3:$BA$3,"="&amp;$DF33+'Model Setup'!$I$7,$B33:$Y33)+'Model Setup'!$I$8*(SUMIF($AD$3:$BA$3,"&lt;"&amp;$DF33,$B33:$Y33)+SUMIF($AD$3:$BA$3,"&gt;="&amp;$DG33,$B33:$Y33)),
IF(AI$3=$DF33+'Model Setup'!$J$7,SUMIF($AD$3:$BA$3,"="&amp;$DF33+'Model Setup'!$J$7,$B33:$Y33)+'Model Setup'!$J$8*(SUMIF($AD$3:$BA$3,"&lt;"&amp;$DF33,$B33:$Y33)+SUMIF($AD$3:$BA$3,"&gt;="&amp;$DG33,$B33:$Y33)),
IF(AI$3=$DF33+'Model Setup'!$K$7,SUMIF($AD$3:$BA$3,"="&amp;$DF33+'Model Setup'!$K$7,$B33:$Y33)+'Model Setup'!$K$8*(SUMIF($AD$3:$BA$3,"&lt;"&amp;$DF33,$B33:$Y33)+SUMIF($AD$3:$BA$3,"&gt;="&amp;$DG33,$B33:$Y33)),
IF(AI$3=$DF33+'Model Setup'!$L$7,SUMIF($AD$3:$BA$3,"="&amp;$DF33+'Model Setup'!$L$7,$B33:$Y33)+'Model Setup'!$L$8*(SUMIF($AD$3:$BA$3,"&lt;"&amp;$DF33,$B33:$Y33)+SUMIF($AD$3:$BA$3,"&gt;="&amp;$DG33,$B33:$Y33)),
IF(AI$3=$DF33+'Model Setup'!$M$7,SUMIF($AD$3:$BA$3,"="&amp;$DF33+'Model Setup'!$M$7,$B33:$Y33)+'Model Setup'!$M$8*(SUMIF($AD$3:$BA$3,"&lt;"&amp;$DF33,$B33:$Y33)+SUMIF($AD$3:$BA$3,"&gt;="&amp;$DG33,$B33:$Y33)),
IF(AI$3=$DF33+'Model Setup'!$N$7,SUMIF($AD$3:$BA$3,"="&amp;$DF33+'Model Setup'!$N$7,$B33:$Y33)+'Model Setup'!$N$8*(SUMIF($AD$3:$BA$3,"&lt;"&amp;$DF33,$B33:$Y33)+SUMIF($AD$3:$BA$3,"&gt;="&amp;$DG33,$B33:$Y33)),
IF(AI$3&lt;$DG33,G33,0))))))))))))))),0)</f>
        <v>0</v>
      </c>
      <c r="AJ33" s="47">
        <f>ROUND(IF(AJ$3&lt;$DF33,0,
IF(AJ$3=$DF33+'Model Setup'!$B$7,SUMIF($AD$3:$BA$3,"="&amp;$DF33+'Model Setup'!$B$7,$B33:$Y33)+'Model Setup'!$B$8*(SUMIF($AD$3:$BA$3,"&lt;"&amp;$DF33,$B33:$Y33)+SUMIF($AD$3:$BA$3,"&gt;="&amp;$DG33,$B33:$Y33)),
IF(AJ$3=$DF33+'Model Setup'!$C$7,SUMIF($AD$3:$BA$3,"="&amp;$DF33+'Model Setup'!$C$7,$B33:$Y33)+'Model Setup'!$C$8*(SUMIF($AD$3:$BA$3,"&lt;"&amp;$DF33,$B33:$Y33)+SUMIF($AD$3:$BA$3,"&gt;="&amp;$DG33,$B33:$Y33)),
IF(AJ$3=$DF33+'Model Setup'!$D$7,SUMIF($AD$3:$BA$3,"="&amp;$DF33+'Model Setup'!$D$7,$B33:$Y33)+'Model Setup'!$D$8*(SUMIF($AD$3:$BA$3,"&lt;"&amp;$DF33,$B33:$Y33)+SUMIF($AD$3:$BA$3,"&gt;="&amp;$DG33,$B33:$Y33)),
IF(AJ$3=$DF33+'Model Setup'!$E$7,SUMIF($AD$3:$BA$3,"="&amp;$DF33+'Model Setup'!$E$7,$B33:$Y33)+'Model Setup'!$E$8*(SUMIF($AD$3:$BA$3,"&lt;"&amp;$DF33,$B33:$Y33)+SUMIF($AD$3:$BA$3,"&gt;="&amp;$DG33,$B33:$Y33)),
IF(AJ$3=$DF33+'Model Setup'!$F$7,SUMIF($AD$3:$BA$3,"="&amp;$DF33+'Model Setup'!$F$7,$B33:$Y33)+'Model Setup'!$F$8*(SUMIF($AD$3:$BA$3,"&lt;"&amp;$DF33,$B33:$Y33)+SUMIF($AD$3:$BA$3,"&gt;="&amp;$DG33,$B33:$Y33)),
IF(AJ$3=$DF33+'Model Setup'!$G$7,SUMIF($AD$3:$BA$3,"="&amp;$DF33+'Model Setup'!$G$7,$B33:$Y33)+'Model Setup'!$G$8*(SUMIF($AD$3:$BA$3,"&lt;"&amp;$DF33,$B33:$Y33)+SUMIF($AD$3:$BA$3,"&gt;="&amp;$DG33,$B33:$Y33)),
IF(AJ$3=$DF33+'Model Setup'!$H$7,SUMIF($AD$3:$BA$3,"="&amp;$DF33+'Model Setup'!$H$7,$B33:$Y33)+'Model Setup'!$H$8*(SUMIF($AD$3:$BA$3,"&lt;"&amp;$DF33,$B33:$Y33)+SUMIF($AD$3:$BA$3,"&gt;="&amp;$DG33,$B33:$Y33)),
IF(AJ$3=$DF33+'Model Setup'!$I$7,SUMIF($AD$3:$BA$3,"="&amp;$DF33+'Model Setup'!$I$7,$B33:$Y33)+'Model Setup'!$I$8*(SUMIF($AD$3:$BA$3,"&lt;"&amp;$DF33,$B33:$Y33)+SUMIF($AD$3:$BA$3,"&gt;="&amp;$DG33,$B33:$Y33)),
IF(AJ$3=$DF33+'Model Setup'!$J$7,SUMIF($AD$3:$BA$3,"="&amp;$DF33+'Model Setup'!$J$7,$B33:$Y33)+'Model Setup'!$J$8*(SUMIF($AD$3:$BA$3,"&lt;"&amp;$DF33,$B33:$Y33)+SUMIF($AD$3:$BA$3,"&gt;="&amp;$DG33,$B33:$Y33)),
IF(AJ$3=$DF33+'Model Setup'!$K$7,SUMIF($AD$3:$BA$3,"="&amp;$DF33+'Model Setup'!$K$7,$B33:$Y33)+'Model Setup'!$K$8*(SUMIF($AD$3:$BA$3,"&lt;"&amp;$DF33,$B33:$Y33)+SUMIF($AD$3:$BA$3,"&gt;="&amp;$DG33,$B33:$Y33)),
IF(AJ$3=$DF33+'Model Setup'!$L$7,SUMIF($AD$3:$BA$3,"="&amp;$DF33+'Model Setup'!$L$7,$B33:$Y33)+'Model Setup'!$L$8*(SUMIF($AD$3:$BA$3,"&lt;"&amp;$DF33,$B33:$Y33)+SUMIF($AD$3:$BA$3,"&gt;="&amp;$DG33,$B33:$Y33)),
IF(AJ$3=$DF33+'Model Setup'!$M$7,SUMIF($AD$3:$BA$3,"="&amp;$DF33+'Model Setup'!$M$7,$B33:$Y33)+'Model Setup'!$M$8*(SUMIF($AD$3:$BA$3,"&lt;"&amp;$DF33,$B33:$Y33)+SUMIF($AD$3:$BA$3,"&gt;="&amp;$DG33,$B33:$Y33)),
IF(AJ$3=$DF33+'Model Setup'!$N$7,SUMIF($AD$3:$BA$3,"="&amp;$DF33+'Model Setup'!$N$7,$B33:$Y33)+'Model Setup'!$N$8*(SUMIF($AD$3:$BA$3,"&lt;"&amp;$DF33,$B33:$Y33)+SUMIF($AD$3:$BA$3,"&gt;="&amp;$DG33,$B33:$Y33)),
IF(AJ$3&lt;$DG33,H33,0))))))))))))))),0)</f>
        <v>10</v>
      </c>
      <c r="AK33" s="47">
        <f>ROUND(IF(AK$3&lt;$DF33,0,
IF(AK$3=$DF33+'Model Setup'!$B$7,SUMIF($AD$3:$BA$3,"="&amp;$DF33+'Model Setup'!$B$7,$B33:$Y33)+'Model Setup'!$B$8*(SUMIF($AD$3:$BA$3,"&lt;"&amp;$DF33,$B33:$Y33)+SUMIF($AD$3:$BA$3,"&gt;="&amp;$DG33,$B33:$Y33)),
IF(AK$3=$DF33+'Model Setup'!$C$7,SUMIF($AD$3:$BA$3,"="&amp;$DF33+'Model Setup'!$C$7,$B33:$Y33)+'Model Setup'!$C$8*(SUMIF($AD$3:$BA$3,"&lt;"&amp;$DF33,$B33:$Y33)+SUMIF($AD$3:$BA$3,"&gt;="&amp;$DG33,$B33:$Y33)),
IF(AK$3=$DF33+'Model Setup'!$D$7,SUMIF($AD$3:$BA$3,"="&amp;$DF33+'Model Setup'!$D$7,$B33:$Y33)+'Model Setup'!$D$8*(SUMIF($AD$3:$BA$3,"&lt;"&amp;$DF33,$B33:$Y33)+SUMIF($AD$3:$BA$3,"&gt;="&amp;$DG33,$B33:$Y33)),
IF(AK$3=$DF33+'Model Setup'!$E$7,SUMIF($AD$3:$BA$3,"="&amp;$DF33+'Model Setup'!$E$7,$B33:$Y33)+'Model Setup'!$E$8*(SUMIF($AD$3:$BA$3,"&lt;"&amp;$DF33,$B33:$Y33)+SUMIF($AD$3:$BA$3,"&gt;="&amp;$DG33,$B33:$Y33)),
IF(AK$3=$DF33+'Model Setup'!$F$7,SUMIF($AD$3:$BA$3,"="&amp;$DF33+'Model Setup'!$F$7,$B33:$Y33)+'Model Setup'!$F$8*(SUMIF($AD$3:$BA$3,"&lt;"&amp;$DF33,$B33:$Y33)+SUMIF($AD$3:$BA$3,"&gt;="&amp;$DG33,$B33:$Y33)),
IF(AK$3=$DF33+'Model Setup'!$G$7,SUMIF($AD$3:$BA$3,"="&amp;$DF33+'Model Setup'!$G$7,$B33:$Y33)+'Model Setup'!$G$8*(SUMIF($AD$3:$BA$3,"&lt;"&amp;$DF33,$B33:$Y33)+SUMIF($AD$3:$BA$3,"&gt;="&amp;$DG33,$B33:$Y33)),
IF(AK$3=$DF33+'Model Setup'!$H$7,SUMIF($AD$3:$BA$3,"="&amp;$DF33+'Model Setup'!$H$7,$B33:$Y33)+'Model Setup'!$H$8*(SUMIF($AD$3:$BA$3,"&lt;"&amp;$DF33,$B33:$Y33)+SUMIF($AD$3:$BA$3,"&gt;="&amp;$DG33,$B33:$Y33)),
IF(AK$3=$DF33+'Model Setup'!$I$7,SUMIF($AD$3:$BA$3,"="&amp;$DF33+'Model Setup'!$I$7,$B33:$Y33)+'Model Setup'!$I$8*(SUMIF($AD$3:$BA$3,"&lt;"&amp;$DF33,$B33:$Y33)+SUMIF($AD$3:$BA$3,"&gt;="&amp;$DG33,$B33:$Y33)),
IF(AK$3=$DF33+'Model Setup'!$J$7,SUMIF($AD$3:$BA$3,"="&amp;$DF33+'Model Setup'!$J$7,$B33:$Y33)+'Model Setup'!$J$8*(SUMIF($AD$3:$BA$3,"&lt;"&amp;$DF33,$B33:$Y33)+SUMIF($AD$3:$BA$3,"&gt;="&amp;$DG33,$B33:$Y33)),
IF(AK$3=$DF33+'Model Setup'!$K$7,SUMIF($AD$3:$BA$3,"="&amp;$DF33+'Model Setup'!$K$7,$B33:$Y33)+'Model Setup'!$K$8*(SUMIF($AD$3:$BA$3,"&lt;"&amp;$DF33,$B33:$Y33)+SUMIF($AD$3:$BA$3,"&gt;="&amp;$DG33,$B33:$Y33)),
IF(AK$3=$DF33+'Model Setup'!$L$7,SUMIF($AD$3:$BA$3,"="&amp;$DF33+'Model Setup'!$L$7,$B33:$Y33)+'Model Setup'!$L$8*(SUMIF($AD$3:$BA$3,"&lt;"&amp;$DF33,$B33:$Y33)+SUMIF($AD$3:$BA$3,"&gt;="&amp;$DG33,$B33:$Y33)),
IF(AK$3=$DF33+'Model Setup'!$M$7,SUMIF($AD$3:$BA$3,"="&amp;$DF33+'Model Setup'!$M$7,$B33:$Y33)+'Model Setup'!$M$8*(SUMIF($AD$3:$BA$3,"&lt;"&amp;$DF33,$B33:$Y33)+SUMIF($AD$3:$BA$3,"&gt;="&amp;$DG33,$B33:$Y33)),
IF(AK$3=$DF33+'Model Setup'!$N$7,SUMIF($AD$3:$BA$3,"="&amp;$DF33+'Model Setup'!$N$7,$B33:$Y33)+'Model Setup'!$N$8*(SUMIF($AD$3:$BA$3,"&lt;"&amp;$DF33,$B33:$Y33)+SUMIF($AD$3:$BA$3,"&gt;="&amp;$DG33,$B33:$Y33)),
IF(AK$3&lt;$DG33,I33,0))))))))))))))),0)</f>
        <v>7</v>
      </c>
      <c r="AL33" s="47">
        <f>ROUND(IF(AL$3&lt;$DF33,0,
IF(AL$3=$DF33+'Model Setup'!$B$7,SUMIF($AD$3:$BA$3,"="&amp;$DF33+'Model Setup'!$B$7,$B33:$Y33)+'Model Setup'!$B$8*(SUMIF($AD$3:$BA$3,"&lt;"&amp;$DF33,$B33:$Y33)+SUMIF($AD$3:$BA$3,"&gt;="&amp;$DG33,$B33:$Y33)),
IF(AL$3=$DF33+'Model Setup'!$C$7,SUMIF($AD$3:$BA$3,"="&amp;$DF33+'Model Setup'!$C$7,$B33:$Y33)+'Model Setup'!$C$8*(SUMIF($AD$3:$BA$3,"&lt;"&amp;$DF33,$B33:$Y33)+SUMIF($AD$3:$BA$3,"&gt;="&amp;$DG33,$B33:$Y33)),
IF(AL$3=$DF33+'Model Setup'!$D$7,SUMIF($AD$3:$BA$3,"="&amp;$DF33+'Model Setup'!$D$7,$B33:$Y33)+'Model Setup'!$D$8*(SUMIF($AD$3:$BA$3,"&lt;"&amp;$DF33,$B33:$Y33)+SUMIF($AD$3:$BA$3,"&gt;="&amp;$DG33,$B33:$Y33)),
IF(AL$3=$DF33+'Model Setup'!$E$7,SUMIF($AD$3:$BA$3,"="&amp;$DF33+'Model Setup'!$E$7,$B33:$Y33)+'Model Setup'!$E$8*(SUMIF($AD$3:$BA$3,"&lt;"&amp;$DF33,$B33:$Y33)+SUMIF($AD$3:$BA$3,"&gt;="&amp;$DG33,$B33:$Y33)),
IF(AL$3=$DF33+'Model Setup'!$F$7,SUMIF($AD$3:$BA$3,"="&amp;$DF33+'Model Setup'!$F$7,$B33:$Y33)+'Model Setup'!$F$8*(SUMIF($AD$3:$BA$3,"&lt;"&amp;$DF33,$B33:$Y33)+SUMIF($AD$3:$BA$3,"&gt;="&amp;$DG33,$B33:$Y33)),
IF(AL$3=$DF33+'Model Setup'!$G$7,SUMIF($AD$3:$BA$3,"="&amp;$DF33+'Model Setup'!$G$7,$B33:$Y33)+'Model Setup'!$G$8*(SUMIF($AD$3:$BA$3,"&lt;"&amp;$DF33,$B33:$Y33)+SUMIF($AD$3:$BA$3,"&gt;="&amp;$DG33,$B33:$Y33)),
IF(AL$3=$DF33+'Model Setup'!$H$7,SUMIF($AD$3:$BA$3,"="&amp;$DF33+'Model Setup'!$H$7,$B33:$Y33)+'Model Setup'!$H$8*(SUMIF($AD$3:$BA$3,"&lt;"&amp;$DF33,$B33:$Y33)+SUMIF($AD$3:$BA$3,"&gt;="&amp;$DG33,$B33:$Y33)),
IF(AL$3=$DF33+'Model Setup'!$I$7,SUMIF($AD$3:$BA$3,"="&amp;$DF33+'Model Setup'!$I$7,$B33:$Y33)+'Model Setup'!$I$8*(SUMIF($AD$3:$BA$3,"&lt;"&amp;$DF33,$B33:$Y33)+SUMIF($AD$3:$BA$3,"&gt;="&amp;$DG33,$B33:$Y33)),
IF(AL$3=$DF33+'Model Setup'!$J$7,SUMIF($AD$3:$BA$3,"="&amp;$DF33+'Model Setup'!$J$7,$B33:$Y33)+'Model Setup'!$J$8*(SUMIF($AD$3:$BA$3,"&lt;"&amp;$DF33,$B33:$Y33)+SUMIF($AD$3:$BA$3,"&gt;="&amp;$DG33,$B33:$Y33)),
IF(AL$3=$DF33+'Model Setup'!$K$7,SUMIF($AD$3:$BA$3,"="&amp;$DF33+'Model Setup'!$K$7,$B33:$Y33)+'Model Setup'!$K$8*(SUMIF($AD$3:$BA$3,"&lt;"&amp;$DF33,$B33:$Y33)+SUMIF($AD$3:$BA$3,"&gt;="&amp;$DG33,$B33:$Y33)),
IF(AL$3=$DF33+'Model Setup'!$L$7,SUMIF($AD$3:$BA$3,"="&amp;$DF33+'Model Setup'!$L$7,$B33:$Y33)+'Model Setup'!$L$8*(SUMIF($AD$3:$BA$3,"&lt;"&amp;$DF33,$B33:$Y33)+SUMIF($AD$3:$BA$3,"&gt;="&amp;$DG33,$B33:$Y33)),
IF(AL$3=$DF33+'Model Setup'!$M$7,SUMIF($AD$3:$BA$3,"="&amp;$DF33+'Model Setup'!$M$7,$B33:$Y33)+'Model Setup'!$M$8*(SUMIF($AD$3:$BA$3,"&lt;"&amp;$DF33,$B33:$Y33)+SUMIF($AD$3:$BA$3,"&gt;="&amp;$DG33,$B33:$Y33)),
IF(AL$3=$DF33+'Model Setup'!$N$7,SUMIF($AD$3:$BA$3,"="&amp;$DF33+'Model Setup'!$N$7,$B33:$Y33)+'Model Setup'!$N$8*(SUMIF($AD$3:$BA$3,"&lt;"&amp;$DF33,$B33:$Y33)+SUMIF($AD$3:$BA$3,"&gt;="&amp;$DG33,$B33:$Y33)),
IF(AL$3&lt;$DG33,J33,0))))))))))))))),0)</f>
        <v>8</v>
      </c>
      <c r="AM33" s="47">
        <f>ROUND(IF(AM$3&lt;$DF33,0,
IF(AM$3=$DF33+'Model Setup'!$B$7,SUMIF($AD$3:$BA$3,"="&amp;$DF33+'Model Setup'!$B$7,$B33:$Y33)+'Model Setup'!$B$8*(SUMIF($AD$3:$BA$3,"&lt;"&amp;$DF33,$B33:$Y33)+SUMIF($AD$3:$BA$3,"&gt;="&amp;$DG33,$B33:$Y33)),
IF(AM$3=$DF33+'Model Setup'!$C$7,SUMIF($AD$3:$BA$3,"="&amp;$DF33+'Model Setup'!$C$7,$B33:$Y33)+'Model Setup'!$C$8*(SUMIF($AD$3:$BA$3,"&lt;"&amp;$DF33,$B33:$Y33)+SUMIF($AD$3:$BA$3,"&gt;="&amp;$DG33,$B33:$Y33)),
IF(AM$3=$DF33+'Model Setup'!$D$7,SUMIF($AD$3:$BA$3,"="&amp;$DF33+'Model Setup'!$D$7,$B33:$Y33)+'Model Setup'!$D$8*(SUMIF($AD$3:$BA$3,"&lt;"&amp;$DF33,$B33:$Y33)+SUMIF($AD$3:$BA$3,"&gt;="&amp;$DG33,$B33:$Y33)),
IF(AM$3=$DF33+'Model Setup'!$E$7,SUMIF($AD$3:$BA$3,"="&amp;$DF33+'Model Setup'!$E$7,$B33:$Y33)+'Model Setup'!$E$8*(SUMIF($AD$3:$BA$3,"&lt;"&amp;$DF33,$B33:$Y33)+SUMIF($AD$3:$BA$3,"&gt;="&amp;$DG33,$B33:$Y33)),
IF(AM$3=$DF33+'Model Setup'!$F$7,SUMIF($AD$3:$BA$3,"="&amp;$DF33+'Model Setup'!$F$7,$B33:$Y33)+'Model Setup'!$F$8*(SUMIF($AD$3:$BA$3,"&lt;"&amp;$DF33,$B33:$Y33)+SUMIF($AD$3:$BA$3,"&gt;="&amp;$DG33,$B33:$Y33)),
IF(AM$3=$DF33+'Model Setup'!$G$7,SUMIF($AD$3:$BA$3,"="&amp;$DF33+'Model Setup'!$G$7,$B33:$Y33)+'Model Setup'!$G$8*(SUMIF($AD$3:$BA$3,"&lt;"&amp;$DF33,$B33:$Y33)+SUMIF($AD$3:$BA$3,"&gt;="&amp;$DG33,$B33:$Y33)),
IF(AM$3=$DF33+'Model Setup'!$H$7,SUMIF($AD$3:$BA$3,"="&amp;$DF33+'Model Setup'!$H$7,$B33:$Y33)+'Model Setup'!$H$8*(SUMIF($AD$3:$BA$3,"&lt;"&amp;$DF33,$B33:$Y33)+SUMIF($AD$3:$BA$3,"&gt;="&amp;$DG33,$B33:$Y33)),
IF(AM$3=$DF33+'Model Setup'!$I$7,SUMIF($AD$3:$BA$3,"="&amp;$DF33+'Model Setup'!$I$7,$B33:$Y33)+'Model Setup'!$I$8*(SUMIF($AD$3:$BA$3,"&lt;"&amp;$DF33,$B33:$Y33)+SUMIF($AD$3:$BA$3,"&gt;="&amp;$DG33,$B33:$Y33)),
IF(AM$3=$DF33+'Model Setup'!$J$7,SUMIF($AD$3:$BA$3,"="&amp;$DF33+'Model Setup'!$J$7,$B33:$Y33)+'Model Setup'!$J$8*(SUMIF($AD$3:$BA$3,"&lt;"&amp;$DF33,$B33:$Y33)+SUMIF($AD$3:$BA$3,"&gt;="&amp;$DG33,$B33:$Y33)),
IF(AM$3=$DF33+'Model Setup'!$K$7,SUMIF($AD$3:$BA$3,"="&amp;$DF33+'Model Setup'!$K$7,$B33:$Y33)+'Model Setup'!$K$8*(SUMIF($AD$3:$BA$3,"&lt;"&amp;$DF33,$B33:$Y33)+SUMIF($AD$3:$BA$3,"&gt;="&amp;$DG33,$B33:$Y33)),
IF(AM$3=$DF33+'Model Setup'!$L$7,SUMIF($AD$3:$BA$3,"="&amp;$DF33+'Model Setup'!$L$7,$B33:$Y33)+'Model Setup'!$L$8*(SUMIF($AD$3:$BA$3,"&lt;"&amp;$DF33,$B33:$Y33)+SUMIF($AD$3:$BA$3,"&gt;="&amp;$DG33,$B33:$Y33)),
IF(AM$3=$DF33+'Model Setup'!$M$7,SUMIF($AD$3:$BA$3,"="&amp;$DF33+'Model Setup'!$M$7,$B33:$Y33)+'Model Setup'!$M$8*(SUMIF($AD$3:$BA$3,"&lt;"&amp;$DF33,$B33:$Y33)+SUMIF($AD$3:$BA$3,"&gt;="&amp;$DG33,$B33:$Y33)),
IF(AM$3=$DF33+'Model Setup'!$N$7,SUMIF($AD$3:$BA$3,"="&amp;$DF33+'Model Setup'!$N$7,$B33:$Y33)+'Model Setup'!$N$8*(SUMIF($AD$3:$BA$3,"&lt;"&amp;$DF33,$B33:$Y33)+SUMIF($AD$3:$BA$3,"&gt;="&amp;$DG33,$B33:$Y33)),
IF(AM$3&lt;$DG33,K33,0))))))))))))))),0)</f>
        <v>15</v>
      </c>
      <c r="AN33" s="47">
        <f>ROUND(IF(AN$3&lt;$DF33,0,
IF(AN$3=$DF33+'Model Setup'!$B$7,SUMIF($AD$3:$BA$3,"="&amp;$DF33+'Model Setup'!$B$7,$B33:$Y33)+'Model Setup'!$B$8*(SUMIF($AD$3:$BA$3,"&lt;"&amp;$DF33,$B33:$Y33)+SUMIF($AD$3:$BA$3,"&gt;="&amp;$DG33,$B33:$Y33)),
IF(AN$3=$DF33+'Model Setup'!$C$7,SUMIF($AD$3:$BA$3,"="&amp;$DF33+'Model Setup'!$C$7,$B33:$Y33)+'Model Setup'!$C$8*(SUMIF($AD$3:$BA$3,"&lt;"&amp;$DF33,$B33:$Y33)+SUMIF($AD$3:$BA$3,"&gt;="&amp;$DG33,$B33:$Y33)),
IF(AN$3=$DF33+'Model Setup'!$D$7,SUMIF($AD$3:$BA$3,"="&amp;$DF33+'Model Setup'!$D$7,$B33:$Y33)+'Model Setup'!$D$8*(SUMIF($AD$3:$BA$3,"&lt;"&amp;$DF33,$B33:$Y33)+SUMIF($AD$3:$BA$3,"&gt;="&amp;$DG33,$B33:$Y33)),
IF(AN$3=$DF33+'Model Setup'!$E$7,SUMIF($AD$3:$BA$3,"="&amp;$DF33+'Model Setup'!$E$7,$B33:$Y33)+'Model Setup'!$E$8*(SUMIF($AD$3:$BA$3,"&lt;"&amp;$DF33,$B33:$Y33)+SUMIF($AD$3:$BA$3,"&gt;="&amp;$DG33,$B33:$Y33)),
IF(AN$3=$DF33+'Model Setup'!$F$7,SUMIF($AD$3:$BA$3,"="&amp;$DF33+'Model Setup'!$F$7,$B33:$Y33)+'Model Setup'!$F$8*(SUMIF($AD$3:$BA$3,"&lt;"&amp;$DF33,$B33:$Y33)+SUMIF($AD$3:$BA$3,"&gt;="&amp;$DG33,$B33:$Y33)),
IF(AN$3=$DF33+'Model Setup'!$G$7,SUMIF($AD$3:$BA$3,"="&amp;$DF33+'Model Setup'!$G$7,$B33:$Y33)+'Model Setup'!$G$8*(SUMIF($AD$3:$BA$3,"&lt;"&amp;$DF33,$B33:$Y33)+SUMIF($AD$3:$BA$3,"&gt;="&amp;$DG33,$B33:$Y33)),
IF(AN$3=$DF33+'Model Setup'!$H$7,SUMIF($AD$3:$BA$3,"="&amp;$DF33+'Model Setup'!$H$7,$B33:$Y33)+'Model Setup'!$H$8*(SUMIF($AD$3:$BA$3,"&lt;"&amp;$DF33,$B33:$Y33)+SUMIF($AD$3:$BA$3,"&gt;="&amp;$DG33,$B33:$Y33)),
IF(AN$3=$DF33+'Model Setup'!$I$7,SUMIF($AD$3:$BA$3,"="&amp;$DF33+'Model Setup'!$I$7,$B33:$Y33)+'Model Setup'!$I$8*(SUMIF($AD$3:$BA$3,"&lt;"&amp;$DF33,$B33:$Y33)+SUMIF($AD$3:$BA$3,"&gt;="&amp;$DG33,$B33:$Y33)),
IF(AN$3=$DF33+'Model Setup'!$J$7,SUMIF($AD$3:$BA$3,"="&amp;$DF33+'Model Setup'!$J$7,$B33:$Y33)+'Model Setup'!$J$8*(SUMIF($AD$3:$BA$3,"&lt;"&amp;$DF33,$B33:$Y33)+SUMIF($AD$3:$BA$3,"&gt;="&amp;$DG33,$B33:$Y33)),
IF(AN$3=$DF33+'Model Setup'!$K$7,SUMIF($AD$3:$BA$3,"="&amp;$DF33+'Model Setup'!$K$7,$B33:$Y33)+'Model Setup'!$K$8*(SUMIF($AD$3:$BA$3,"&lt;"&amp;$DF33,$B33:$Y33)+SUMIF($AD$3:$BA$3,"&gt;="&amp;$DG33,$B33:$Y33)),
IF(AN$3=$DF33+'Model Setup'!$L$7,SUMIF($AD$3:$BA$3,"="&amp;$DF33+'Model Setup'!$L$7,$B33:$Y33)+'Model Setup'!$L$8*(SUMIF($AD$3:$BA$3,"&lt;"&amp;$DF33,$B33:$Y33)+SUMIF($AD$3:$BA$3,"&gt;="&amp;$DG33,$B33:$Y33)),
IF(AN$3=$DF33+'Model Setup'!$M$7,SUMIF($AD$3:$BA$3,"="&amp;$DF33+'Model Setup'!$M$7,$B33:$Y33)+'Model Setup'!$M$8*(SUMIF($AD$3:$BA$3,"&lt;"&amp;$DF33,$B33:$Y33)+SUMIF($AD$3:$BA$3,"&gt;="&amp;$DG33,$B33:$Y33)),
IF(AN$3=$DF33+'Model Setup'!$N$7,SUMIF($AD$3:$BA$3,"="&amp;$DF33+'Model Setup'!$N$7,$B33:$Y33)+'Model Setup'!$N$8*(SUMIF($AD$3:$BA$3,"&lt;"&amp;$DF33,$B33:$Y33)+SUMIF($AD$3:$BA$3,"&gt;="&amp;$DG33,$B33:$Y33)),
IF(AN$3&lt;$DG33,L33,0))))))))))))))),0)</f>
        <v>11</v>
      </c>
      <c r="AO33" s="47">
        <f>ROUND(IF(AO$3&lt;$DF33,0,
IF(AO$3=$DF33+'Model Setup'!$B$7,SUMIF($AD$3:$BA$3,"="&amp;$DF33+'Model Setup'!$B$7,$B33:$Y33)+'Model Setup'!$B$8*(SUMIF($AD$3:$BA$3,"&lt;"&amp;$DF33,$B33:$Y33)+SUMIF($AD$3:$BA$3,"&gt;="&amp;$DG33,$B33:$Y33)),
IF(AO$3=$DF33+'Model Setup'!$C$7,SUMIF($AD$3:$BA$3,"="&amp;$DF33+'Model Setup'!$C$7,$B33:$Y33)+'Model Setup'!$C$8*(SUMIF($AD$3:$BA$3,"&lt;"&amp;$DF33,$B33:$Y33)+SUMIF($AD$3:$BA$3,"&gt;="&amp;$DG33,$B33:$Y33)),
IF(AO$3=$DF33+'Model Setup'!$D$7,SUMIF($AD$3:$BA$3,"="&amp;$DF33+'Model Setup'!$D$7,$B33:$Y33)+'Model Setup'!$D$8*(SUMIF($AD$3:$BA$3,"&lt;"&amp;$DF33,$B33:$Y33)+SUMIF($AD$3:$BA$3,"&gt;="&amp;$DG33,$B33:$Y33)),
IF(AO$3=$DF33+'Model Setup'!$E$7,SUMIF($AD$3:$BA$3,"="&amp;$DF33+'Model Setup'!$E$7,$B33:$Y33)+'Model Setup'!$E$8*(SUMIF($AD$3:$BA$3,"&lt;"&amp;$DF33,$B33:$Y33)+SUMIF($AD$3:$BA$3,"&gt;="&amp;$DG33,$B33:$Y33)),
IF(AO$3=$DF33+'Model Setup'!$F$7,SUMIF($AD$3:$BA$3,"="&amp;$DF33+'Model Setup'!$F$7,$B33:$Y33)+'Model Setup'!$F$8*(SUMIF($AD$3:$BA$3,"&lt;"&amp;$DF33,$B33:$Y33)+SUMIF($AD$3:$BA$3,"&gt;="&amp;$DG33,$B33:$Y33)),
IF(AO$3=$DF33+'Model Setup'!$G$7,SUMIF($AD$3:$BA$3,"="&amp;$DF33+'Model Setup'!$G$7,$B33:$Y33)+'Model Setup'!$G$8*(SUMIF($AD$3:$BA$3,"&lt;"&amp;$DF33,$B33:$Y33)+SUMIF($AD$3:$BA$3,"&gt;="&amp;$DG33,$B33:$Y33)),
IF(AO$3=$DF33+'Model Setup'!$H$7,SUMIF($AD$3:$BA$3,"="&amp;$DF33+'Model Setup'!$H$7,$B33:$Y33)+'Model Setup'!$H$8*(SUMIF($AD$3:$BA$3,"&lt;"&amp;$DF33,$B33:$Y33)+SUMIF($AD$3:$BA$3,"&gt;="&amp;$DG33,$B33:$Y33)),
IF(AO$3=$DF33+'Model Setup'!$I$7,SUMIF($AD$3:$BA$3,"="&amp;$DF33+'Model Setup'!$I$7,$B33:$Y33)+'Model Setup'!$I$8*(SUMIF($AD$3:$BA$3,"&lt;"&amp;$DF33,$B33:$Y33)+SUMIF($AD$3:$BA$3,"&gt;="&amp;$DG33,$B33:$Y33)),
IF(AO$3=$DF33+'Model Setup'!$J$7,SUMIF($AD$3:$BA$3,"="&amp;$DF33+'Model Setup'!$J$7,$B33:$Y33)+'Model Setup'!$J$8*(SUMIF($AD$3:$BA$3,"&lt;"&amp;$DF33,$B33:$Y33)+SUMIF($AD$3:$BA$3,"&gt;="&amp;$DG33,$B33:$Y33)),
IF(AO$3=$DF33+'Model Setup'!$K$7,SUMIF($AD$3:$BA$3,"="&amp;$DF33+'Model Setup'!$K$7,$B33:$Y33)+'Model Setup'!$K$8*(SUMIF($AD$3:$BA$3,"&lt;"&amp;$DF33,$B33:$Y33)+SUMIF($AD$3:$BA$3,"&gt;="&amp;$DG33,$B33:$Y33)),
IF(AO$3=$DF33+'Model Setup'!$L$7,SUMIF($AD$3:$BA$3,"="&amp;$DF33+'Model Setup'!$L$7,$B33:$Y33)+'Model Setup'!$L$8*(SUMIF($AD$3:$BA$3,"&lt;"&amp;$DF33,$B33:$Y33)+SUMIF($AD$3:$BA$3,"&gt;="&amp;$DG33,$B33:$Y33)),
IF(AO$3=$DF33+'Model Setup'!$M$7,SUMIF($AD$3:$BA$3,"="&amp;$DF33+'Model Setup'!$M$7,$B33:$Y33)+'Model Setup'!$M$8*(SUMIF($AD$3:$BA$3,"&lt;"&amp;$DF33,$B33:$Y33)+SUMIF($AD$3:$BA$3,"&gt;="&amp;$DG33,$B33:$Y33)),
IF(AO$3=$DF33+'Model Setup'!$N$7,SUMIF($AD$3:$BA$3,"="&amp;$DF33+'Model Setup'!$N$7,$B33:$Y33)+'Model Setup'!$N$8*(SUMIF($AD$3:$BA$3,"&lt;"&amp;$DF33,$B33:$Y33)+SUMIF($AD$3:$BA$3,"&gt;="&amp;$DG33,$B33:$Y33)),
IF(AO$3&lt;$DG33,M33,0))))))))))))))),0)</f>
        <v>4</v>
      </c>
      <c r="AP33" s="47">
        <f>ROUND(IF(AP$3&lt;$DF33,0,
IF(AP$3=$DF33+'Model Setup'!$B$7,SUMIF($AD$3:$BA$3,"="&amp;$DF33+'Model Setup'!$B$7,$B33:$Y33)+'Model Setup'!$B$8*(SUMIF($AD$3:$BA$3,"&lt;"&amp;$DF33,$B33:$Y33)+SUMIF($AD$3:$BA$3,"&gt;="&amp;$DG33,$B33:$Y33)),
IF(AP$3=$DF33+'Model Setup'!$C$7,SUMIF($AD$3:$BA$3,"="&amp;$DF33+'Model Setup'!$C$7,$B33:$Y33)+'Model Setup'!$C$8*(SUMIF($AD$3:$BA$3,"&lt;"&amp;$DF33,$B33:$Y33)+SUMIF($AD$3:$BA$3,"&gt;="&amp;$DG33,$B33:$Y33)),
IF(AP$3=$DF33+'Model Setup'!$D$7,SUMIF($AD$3:$BA$3,"="&amp;$DF33+'Model Setup'!$D$7,$B33:$Y33)+'Model Setup'!$D$8*(SUMIF($AD$3:$BA$3,"&lt;"&amp;$DF33,$B33:$Y33)+SUMIF($AD$3:$BA$3,"&gt;="&amp;$DG33,$B33:$Y33)),
IF(AP$3=$DF33+'Model Setup'!$E$7,SUMIF($AD$3:$BA$3,"="&amp;$DF33+'Model Setup'!$E$7,$B33:$Y33)+'Model Setup'!$E$8*(SUMIF($AD$3:$BA$3,"&lt;"&amp;$DF33,$B33:$Y33)+SUMIF($AD$3:$BA$3,"&gt;="&amp;$DG33,$B33:$Y33)),
IF(AP$3=$DF33+'Model Setup'!$F$7,SUMIF($AD$3:$BA$3,"="&amp;$DF33+'Model Setup'!$F$7,$B33:$Y33)+'Model Setup'!$F$8*(SUMIF($AD$3:$BA$3,"&lt;"&amp;$DF33,$B33:$Y33)+SUMIF($AD$3:$BA$3,"&gt;="&amp;$DG33,$B33:$Y33)),
IF(AP$3=$DF33+'Model Setup'!$G$7,SUMIF($AD$3:$BA$3,"="&amp;$DF33+'Model Setup'!$G$7,$B33:$Y33)+'Model Setup'!$G$8*(SUMIF($AD$3:$BA$3,"&lt;"&amp;$DF33,$B33:$Y33)+SUMIF($AD$3:$BA$3,"&gt;="&amp;$DG33,$B33:$Y33)),
IF(AP$3=$DF33+'Model Setup'!$H$7,SUMIF($AD$3:$BA$3,"="&amp;$DF33+'Model Setup'!$H$7,$B33:$Y33)+'Model Setup'!$H$8*(SUMIF($AD$3:$BA$3,"&lt;"&amp;$DF33,$B33:$Y33)+SUMIF($AD$3:$BA$3,"&gt;="&amp;$DG33,$B33:$Y33)),
IF(AP$3=$DF33+'Model Setup'!$I$7,SUMIF($AD$3:$BA$3,"="&amp;$DF33+'Model Setup'!$I$7,$B33:$Y33)+'Model Setup'!$I$8*(SUMIF($AD$3:$BA$3,"&lt;"&amp;$DF33,$B33:$Y33)+SUMIF($AD$3:$BA$3,"&gt;="&amp;$DG33,$B33:$Y33)),
IF(AP$3=$DF33+'Model Setup'!$J$7,SUMIF($AD$3:$BA$3,"="&amp;$DF33+'Model Setup'!$J$7,$B33:$Y33)+'Model Setup'!$J$8*(SUMIF($AD$3:$BA$3,"&lt;"&amp;$DF33,$B33:$Y33)+SUMIF($AD$3:$BA$3,"&gt;="&amp;$DG33,$B33:$Y33)),
IF(AP$3=$DF33+'Model Setup'!$K$7,SUMIF($AD$3:$BA$3,"="&amp;$DF33+'Model Setup'!$K$7,$B33:$Y33)+'Model Setup'!$K$8*(SUMIF($AD$3:$BA$3,"&lt;"&amp;$DF33,$B33:$Y33)+SUMIF($AD$3:$BA$3,"&gt;="&amp;$DG33,$B33:$Y33)),
IF(AP$3=$DF33+'Model Setup'!$L$7,SUMIF($AD$3:$BA$3,"="&amp;$DF33+'Model Setup'!$L$7,$B33:$Y33)+'Model Setup'!$L$8*(SUMIF($AD$3:$BA$3,"&lt;"&amp;$DF33,$B33:$Y33)+SUMIF($AD$3:$BA$3,"&gt;="&amp;$DG33,$B33:$Y33)),
IF(AP$3=$DF33+'Model Setup'!$M$7,SUMIF($AD$3:$BA$3,"="&amp;$DF33+'Model Setup'!$M$7,$B33:$Y33)+'Model Setup'!$M$8*(SUMIF($AD$3:$BA$3,"&lt;"&amp;$DF33,$B33:$Y33)+SUMIF($AD$3:$BA$3,"&gt;="&amp;$DG33,$B33:$Y33)),
IF(AP$3=$DF33+'Model Setup'!$N$7,SUMIF($AD$3:$BA$3,"="&amp;$DF33+'Model Setup'!$N$7,$B33:$Y33)+'Model Setup'!$N$8*(SUMIF($AD$3:$BA$3,"&lt;"&amp;$DF33,$B33:$Y33)+SUMIF($AD$3:$BA$3,"&gt;="&amp;$DG33,$B33:$Y33)),
IF(AP$3&lt;$DG33,N33,0))))))))))))))),0)</f>
        <v>2</v>
      </c>
      <c r="AQ33" s="47">
        <f>ROUND(IF(AQ$3&lt;$DF33,0,
IF(AQ$3=$DF33+'Model Setup'!$B$7,SUMIF($AD$3:$BA$3,"="&amp;$DF33+'Model Setup'!$B$7,$B33:$Y33)+'Model Setup'!$B$8*(SUMIF($AD$3:$BA$3,"&lt;"&amp;$DF33,$B33:$Y33)+SUMIF($AD$3:$BA$3,"&gt;="&amp;$DG33,$B33:$Y33)),
IF(AQ$3=$DF33+'Model Setup'!$C$7,SUMIF($AD$3:$BA$3,"="&amp;$DF33+'Model Setup'!$C$7,$B33:$Y33)+'Model Setup'!$C$8*(SUMIF($AD$3:$BA$3,"&lt;"&amp;$DF33,$B33:$Y33)+SUMIF($AD$3:$BA$3,"&gt;="&amp;$DG33,$B33:$Y33)),
IF(AQ$3=$DF33+'Model Setup'!$D$7,SUMIF($AD$3:$BA$3,"="&amp;$DF33+'Model Setup'!$D$7,$B33:$Y33)+'Model Setup'!$D$8*(SUMIF($AD$3:$BA$3,"&lt;"&amp;$DF33,$B33:$Y33)+SUMIF($AD$3:$BA$3,"&gt;="&amp;$DG33,$B33:$Y33)),
IF(AQ$3=$DF33+'Model Setup'!$E$7,SUMIF($AD$3:$BA$3,"="&amp;$DF33+'Model Setup'!$E$7,$B33:$Y33)+'Model Setup'!$E$8*(SUMIF($AD$3:$BA$3,"&lt;"&amp;$DF33,$B33:$Y33)+SUMIF($AD$3:$BA$3,"&gt;="&amp;$DG33,$B33:$Y33)),
IF(AQ$3=$DF33+'Model Setup'!$F$7,SUMIF($AD$3:$BA$3,"="&amp;$DF33+'Model Setup'!$F$7,$B33:$Y33)+'Model Setup'!$F$8*(SUMIF($AD$3:$BA$3,"&lt;"&amp;$DF33,$B33:$Y33)+SUMIF($AD$3:$BA$3,"&gt;="&amp;$DG33,$B33:$Y33)),
IF(AQ$3=$DF33+'Model Setup'!$G$7,SUMIF($AD$3:$BA$3,"="&amp;$DF33+'Model Setup'!$G$7,$B33:$Y33)+'Model Setup'!$G$8*(SUMIF($AD$3:$BA$3,"&lt;"&amp;$DF33,$B33:$Y33)+SUMIF($AD$3:$BA$3,"&gt;="&amp;$DG33,$B33:$Y33)),
IF(AQ$3=$DF33+'Model Setup'!$H$7,SUMIF($AD$3:$BA$3,"="&amp;$DF33+'Model Setup'!$H$7,$B33:$Y33)+'Model Setup'!$H$8*(SUMIF($AD$3:$BA$3,"&lt;"&amp;$DF33,$B33:$Y33)+SUMIF($AD$3:$BA$3,"&gt;="&amp;$DG33,$B33:$Y33)),
IF(AQ$3=$DF33+'Model Setup'!$I$7,SUMIF($AD$3:$BA$3,"="&amp;$DF33+'Model Setup'!$I$7,$B33:$Y33)+'Model Setup'!$I$8*(SUMIF($AD$3:$BA$3,"&lt;"&amp;$DF33,$B33:$Y33)+SUMIF($AD$3:$BA$3,"&gt;="&amp;$DG33,$B33:$Y33)),
IF(AQ$3=$DF33+'Model Setup'!$J$7,SUMIF($AD$3:$BA$3,"="&amp;$DF33+'Model Setup'!$J$7,$B33:$Y33)+'Model Setup'!$J$8*(SUMIF($AD$3:$BA$3,"&lt;"&amp;$DF33,$B33:$Y33)+SUMIF($AD$3:$BA$3,"&gt;="&amp;$DG33,$B33:$Y33)),
IF(AQ$3=$DF33+'Model Setup'!$K$7,SUMIF($AD$3:$BA$3,"="&amp;$DF33+'Model Setup'!$K$7,$B33:$Y33)+'Model Setup'!$K$8*(SUMIF($AD$3:$BA$3,"&lt;"&amp;$DF33,$B33:$Y33)+SUMIF($AD$3:$BA$3,"&gt;="&amp;$DG33,$B33:$Y33)),
IF(AQ$3=$DF33+'Model Setup'!$L$7,SUMIF($AD$3:$BA$3,"="&amp;$DF33+'Model Setup'!$L$7,$B33:$Y33)+'Model Setup'!$L$8*(SUMIF($AD$3:$BA$3,"&lt;"&amp;$DF33,$B33:$Y33)+SUMIF($AD$3:$BA$3,"&gt;="&amp;$DG33,$B33:$Y33)),
IF(AQ$3=$DF33+'Model Setup'!$M$7,SUMIF($AD$3:$BA$3,"="&amp;$DF33+'Model Setup'!$M$7,$B33:$Y33)+'Model Setup'!$M$8*(SUMIF($AD$3:$BA$3,"&lt;"&amp;$DF33,$B33:$Y33)+SUMIF($AD$3:$BA$3,"&gt;="&amp;$DG33,$B33:$Y33)),
IF(AQ$3=$DF33+'Model Setup'!$N$7,SUMIF($AD$3:$BA$3,"="&amp;$DF33+'Model Setup'!$N$7,$B33:$Y33)+'Model Setup'!$N$8*(SUMIF($AD$3:$BA$3,"&lt;"&amp;$DF33,$B33:$Y33)+SUMIF($AD$3:$BA$3,"&gt;="&amp;$DG33,$B33:$Y33)),
IF(AQ$3&lt;$DG33,O33,0))))))))))))))),0)</f>
        <v>1</v>
      </c>
      <c r="AR33" s="47">
        <f>ROUND(IF(AR$3&lt;$DF33,0,
IF(AR$3=$DF33+'Model Setup'!$B$7,SUMIF($AD$3:$BA$3,"="&amp;$DF33+'Model Setup'!$B$7,$B33:$Y33)+'Model Setup'!$B$8*(SUMIF($AD$3:$BA$3,"&lt;"&amp;$DF33,$B33:$Y33)+SUMIF($AD$3:$BA$3,"&gt;="&amp;$DG33,$B33:$Y33)),
IF(AR$3=$DF33+'Model Setup'!$C$7,SUMIF($AD$3:$BA$3,"="&amp;$DF33+'Model Setup'!$C$7,$B33:$Y33)+'Model Setup'!$C$8*(SUMIF($AD$3:$BA$3,"&lt;"&amp;$DF33,$B33:$Y33)+SUMIF($AD$3:$BA$3,"&gt;="&amp;$DG33,$B33:$Y33)),
IF(AR$3=$DF33+'Model Setup'!$D$7,SUMIF($AD$3:$BA$3,"="&amp;$DF33+'Model Setup'!$D$7,$B33:$Y33)+'Model Setup'!$D$8*(SUMIF($AD$3:$BA$3,"&lt;"&amp;$DF33,$B33:$Y33)+SUMIF($AD$3:$BA$3,"&gt;="&amp;$DG33,$B33:$Y33)),
IF(AR$3=$DF33+'Model Setup'!$E$7,SUMIF($AD$3:$BA$3,"="&amp;$DF33+'Model Setup'!$E$7,$B33:$Y33)+'Model Setup'!$E$8*(SUMIF($AD$3:$BA$3,"&lt;"&amp;$DF33,$B33:$Y33)+SUMIF($AD$3:$BA$3,"&gt;="&amp;$DG33,$B33:$Y33)),
IF(AR$3=$DF33+'Model Setup'!$F$7,SUMIF($AD$3:$BA$3,"="&amp;$DF33+'Model Setup'!$F$7,$B33:$Y33)+'Model Setup'!$F$8*(SUMIF($AD$3:$BA$3,"&lt;"&amp;$DF33,$B33:$Y33)+SUMIF($AD$3:$BA$3,"&gt;="&amp;$DG33,$B33:$Y33)),
IF(AR$3=$DF33+'Model Setup'!$G$7,SUMIF($AD$3:$BA$3,"="&amp;$DF33+'Model Setup'!$G$7,$B33:$Y33)+'Model Setup'!$G$8*(SUMIF($AD$3:$BA$3,"&lt;"&amp;$DF33,$B33:$Y33)+SUMIF($AD$3:$BA$3,"&gt;="&amp;$DG33,$B33:$Y33)),
IF(AR$3=$DF33+'Model Setup'!$H$7,SUMIF($AD$3:$BA$3,"="&amp;$DF33+'Model Setup'!$H$7,$B33:$Y33)+'Model Setup'!$H$8*(SUMIF($AD$3:$BA$3,"&lt;"&amp;$DF33,$B33:$Y33)+SUMIF($AD$3:$BA$3,"&gt;="&amp;$DG33,$B33:$Y33)),
IF(AR$3=$DF33+'Model Setup'!$I$7,SUMIF($AD$3:$BA$3,"="&amp;$DF33+'Model Setup'!$I$7,$B33:$Y33)+'Model Setup'!$I$8*(SUMIF($AD$3:$BA$3,"&lt;"&amp;$DF33,$B33:$Y33)+SUMIF($AD$3:$BA$3,"&gt;="&amp;$DG33,$B33:$Y33)),
IF(AR$3=$DF33+'Model Setup'!$J$7,SUMIF($AD$3:$BA$3,"="&amp;$DF33+'Model Setup'!$J$7,$B33:$Y33)+'Model Setup'!$J$8*(SUMIF($AD$3:$BA$3,"&lt;"&amp;$DF33,$B33:$Y33)+SUMIF($AD$3:$BA$3,"&gt;="&amp;$DG33,$B33:$Y33)),
IF(AR$3=$DF33+'Model Setup'!$K$7,SUMIF($AD$3:$BA$3,"="&amp;$DF33+'Model Setup'!$K$7,$B33:$Y33)+'Model Setup'!$K$8*(SUMIF($AD$3:$BA$3,"&lt;"&amp;$DF33,$B33:$Y33)+SUMIF($AD$3:$BA$3,"&gt;="&amp;$DG33,$B33:$Y33)),
IF(AR$3=$DF33+'Model Setup'!$L$7,SUMIF($AD$3:$BA$3,"="&amp;$DF33+'Model Setup'!$L$7,$B33:$Y33)+'Model Setup'!$L$8*(SUMIF($AD$3:$BA$3,"&lt;"&amp;$DF33,$B33:$Y33)+SUMIF($AD$3:$BA$3,"&gt;="&amp;$DG33,$B33:$Y33)),
IF(AR$3=$DF33+'Model Setup'!$M$7,SUMIF($AD$3:$BA$3,"="&amp;$DF33+'Model Setup'!$M$7,$B33:$Y33)+'Model Setup'!$M$8*(SUMIF($AD$3:$BA$3,"&lt;"&amp;$DF33,$B33:$Y33)+SUMIF($AD$3:$BA$3,"&gt;="&amp;$DG33,$B33:$Y33)),
IF(AR$3=$DF33+'Model Setup'!$N$7,SUMIF($AD$3:$BA$3,"="&amp;$DF33+'Model Setup'!$N$7,$B33:$Y33)+'Model Setup'!$N$8*(SUMIF($AD$3:$BA$3,"&lt;"&amp;$DF33,$B33:$Y33)+SUMIF($AD$3:$BA$3,"&gt;="&amp;$DG33,$B33:$Y33)),
IF(AR$3&lt;$DG33,P33,0))))))))))))))),0)</f>
        <v>3</v>
      </c>
      <c r="AS33" s="47">
        <f>ROUND(IF(AS$3&lt;$DF33,0,
IF(AS$3=$DF33+'Model Setup'!$B$7,SUMIF($AD$3:$BA$3,"="&amp;$DF33+'Model Setup'!$B$7,$B33:$Y33)+'Model Setup'!$B$8*(SUMIF($AD$3:$BA$3,"&lt;"&amp;$DF33,$B33:$Y33)+SUMIF($AD$3:$BA$3,"&gt;="&amp;$DG33,$B33:$Y33)),
IF(AS$3=$DF33+'Model Setup'!$C$7,SUMIF($AD$3:$BA$3,"="&amp;$DF33+'Model Setup'!$C$7,$B33:$Y33)+'Model Setup'!$C$8*(SUMIF($AD$3:$BA$3,"&lt;"&amp;$DF33,$B33:$Y33)+SUMIF($AD$3:$BA$3,"&gt;="&amp;$DG33,$B33:$Y33)),
IF(AS$3=$DF33+'Model Setup'!$D$7,SUMIF($AD$3:$BA$3,"="&amp;$DF33+'Model Setup'!$D$7,$B33:$Y33)+'Model Setup'!$D$8*(SUMIF($AD$3:$BA$3,"&lt;"&amp;$DF33,$B33:$Y33)+SUMIF($AD$3:$BA$3,"&gt;="&amp;$DG33,$B33:$Y33)),
IF(AS$3=$DF33+'Model Setup'!$E$7,SUMIF($AD$3:$BA$3,"="&amp;$DF33+'Model Setup'!$E$7,$B33:$Y33)+'Model Setup'!$E$8*(SUMIF($AD$3:$BA$3,"&lt;"&amp;$DF33,$B33:$Y33)+SUMIF($AD$3:$BA$3,"&gt;="&amp;$DG33,$B33:$Y33)),
IF(AS$3=$DF33+'Model Setup'!$F$7,SUMIF($AD$3:$BA$3,"="&amp;$DF33+'Model Setup'!$F$7,$B33:$Y33)+'Model Setup'!$F$8*(SUMIF($AD$3:$BA$3,"&lt;"&amp;$DF33,$B33:$Y33)+SUMIF($AD$3:$BA$3,"&gt;="&amp;$DG33,$B33:$Y33)),
IF(AS$3=$DF33+'Model Setup'!$G$7,SUMIF($AD$3:$BA$3,"="&amp;$DF33+'Model Setup'!$G$7,$B33:$Y33)+'Model Setup'!$G$8*(SUMIF($AD$3:$BA$3,"&lt;"&amp;$DF33,$B33:$Y33)+SUMIF($AD$3:$BA$3,"&gt;="&amp;$DG33,$B33:$Y33)),
IF(AS$3=$DF33+'Model Setup'!$H$7,SUMIF($AD$3:$BA$3,"="&amp;$DF33+'Model Setup'!$H$7,$B33:$Y33)+'Model Setup'!$H$8*(SUMIF($AD$3:$BA$3,"&lt;"&amp;$DF33,$B33:$Y33)+SUMIF($AD$3:$BA$3,"&gt;="&amp;$DG33,$B33:$Y33)),
IF(AS$3=$DF33+'Model Setup'!$I$7,SUMIF($AD$3:$BA$3,"="&amp;$DF33+'Model Setup'!$I$7,$B33:$Y33)+'Model Setup'!$I$8*(SUMIF($AD$3:$BA$3,"&lt;"&amp;$DF33,$B33:$Y33)+SUMIF($AD$3:$BA$3,"&gt;="&amp;$DG33,$B33:$Y33)),
IF(AS$3=$DF33+'Model Setup'!$J$7,SUMIF($AD$3:$BA$3,"="&amp;$DF33+'Model Setup'!$J$7,$B33:$Y33)+'Model Setup'!$J$8*(SUMIF($AD$3:$BA$3,"&lt;"&amp;$DF33,$B33:$Y33)+SUMIF($AD$3:$BA$3,"&gt;="&amp;$DG33,$B33:$Y33)),
IF(AS$3=$DF33+'Model Setup'!$K$7,SUMIF($AD$3:$BA$3,"="&amp;$DF33+'Model Setup'!$K$7,$B33:$Y33)+'Model Setup'!$K$8*(SUMIF($AD$3:$BA$3,"&lt;"&amp;$DF33,$B33:$Y33)+SUMIF($AD$3:$BA$3,"&gt;="&amp;$DG33,$B33:$Y33)),
IF(AS$3=$DF33+'Model Setup'!$L$7,SUMIF($AD$3:$BA$3,"="&amp;$DF33+'Model Setup'!$L$7,$B33:$Y33)+'Model Setup'!$L$8*(SUMIF($AD$3:$BA$3,"&lt;"&amp;$DF33,$B33:$Y33)+SUMIF($AD$3:$BA$3,"&gt;="&amp;$DG33,$B33:$Y33)),
IF(AS$3=$DF33+'Model Setup'!$M$7,SUMIF($AD$3:$BA$3,"="&amp;$DF33+'Model Setup'!$M$7,$B33:$Y33)+'Model Setup'!$M$8*(SUMIF($AD$3:$BA$3,"&lt;"&amp;$DF33,$B33:$Y33)+SUMIF($AD$3:$BA$3,"&gt;="&amp;$DG33,$B33:$Y33)),
IF(AS$3=$DF33+'Model Setup'!$N$7,SUMIF($AD$3:$BA$3,"="&amp;$DF33+'Model Setup'!$N$7,$B33:$Y33)+'Model Setup'!$N$8*(SUMIF($AD$3:$BA$3,"&lt;"&amp;$DF33,$B33:$Y33)+SUMIF($AD$3:$BA$3,"&gt;="&amp;$DG33,$B33:$Y33)),
IF(AS$3&lt;$DG33,Q33,0))))))))))))))),0)</f>
        <v>2</v>
      </c>
      <c r="AT33" s="47">
        <f>ROUND(IF(AT$3&lt;$DF33,0,
IF(AT$3=$DF33+'Model Setup'!$B$7,SUMIF($AD$3:$BA$3,"="&amp;$DF33+'Model Setup'!$B$7,$B33:$Y33)+'Model Setup'!$B$8*(SUMIF($AD$3:$BA$3,"&lt;"&amp;$DF33,$B33:$Y33)+SUMIF($AD$3:$BA$3,"&gt;="&amp;$DG33,$B33:$Y33)),
IF(AT$3=$DF33+'Model Setup'!$C$7,SUMIF($AD$3:$BA$3,"="&amp;$DF33+'Model Setup'!$C$7,$B33:$Y33)+'Model Setup'!$C$8*(SUMIF($AD$3:$BA$3,"&lt;"&amp;$DF33,$B33:$Y33)+SUMIF($AD$3:$BA$3,"&gt;="&amp;$DG33,$B33:$Y33)),
IF(AT$3=$DF33+'Model Setup'!$D$7,SUMIF($AD$3:$BA$3,"="&amp;$DF33+'Model Setup'!$D$7,$B33:$Y33)+'Model Setup'!$D$8*(SUMIF($AD$3:$BA$3,"&lt;"&amp;$DF33,$B33:$Y33)+SUMIF($AD$3:$BA$3,"&gt;="&amp;$DG33,$B33:$Y33)),
IF(AT$3=$DF33+'Model Setup'!$E$7,SUMIF($AD$3:$BA$3,"="&amp;$DF33+'Model Setup'!$E$7,$B33:$Y33)+'Model Setup'!$E$8*(SUMIF($AD$3:$BA$3,"&lt;"&amp;$DF33,$B33:$Y33)+SUMIF($AD$3:$BA$3,"&gt;="&amp;$DG33,$B33:$Y33)),
IF(AT$3=$DF33+'Model Setup'!$F$7,SUMIF($AD$3:$BA$3,"="&amp;$DF33+'Model Setup'!$F$7,$B33:$Y33)+'Model Setup'!$F$8*(SUMIF($AD$3:$BA$3,"&lt;"&amp;$DF33,$B33:$Y33)+SUMIF($AD$3:$BA$3,"&gt;="&amp;$DG33,$B33:$Y33)),
IF(AT$3=$DF33+'Model Setup'!$G$7,SUMIF($AD$3:$BA$3,"="&amp;$DF33+'Model Setup'!$G$7,$B33:$Y33)+'Model Setup'!$G$8*(SUMIF($AD$3:$BA$3,"&lt;"&amp;$DF33,$B33:$Y33)+SUMIF($AD$3:$BA$3,"&gt;="&amp;$DG33,$B33:$Y33)),
IF(AT$3=$DF33+'Model Setup'!$H$7,SUMIF($AD$3:$BA$3,"="&amp;$DF33+'Model Setup'!$H$7,$B33:$Y33)+'Model Setup'!$H$8*(SUMIF($AD$3:$BA$3,"&lt;"&amp;$DF33,$B33:$Y33)+SUMIF($AD$3:$BA$3,"&gt;="&amp;$DG33,$B33:$Y33)),
IF(AT$3=$DF33+'Model Setup'!$I$7,SUMIF($AD$3:$BA$3,"="&amp;$DF33+'Model Setup'!$I$7,$B33:$Y33)+'Model Setup'!$I$8*(SUMIF($AD$3:$BA$3,"&lt;"&amp;$DF33,$B33:$Y33)+SUMIF($AD$3:$BA$3,"&gt;="&amp;$DG33,$B33:$Y33)),
IF(AT$3=$DF33+'Model Setup'!$J$7,SUMIF($AD$3:$BA$3,"="&amp;$DF33+'Model Setup'!$J$7,$B33:$Y33)+'Model Setup'!$J$8*(SUMIF($AD$3:$BA$3,"&lt;"&amp;$DF33,$B33:$Y33)+SUMIF($AD$3:$BA$3,"&gt;="&amp;$DG33,$B33:$Y33)),
IF(AT$3=$DF33+'Model Setup'!$K$7,SUMIF($AD$3:$BA$3,"="&amp;$DF33+'Model Setup'!$K$7,$B33:$Y33)+'Model Setup'!$K$8*(SUMIF($AD$3:$BA$3,"&lt;"&amp;$DF33,$B33:$Y33)+SUMIF($AD$3:$BA$3,"&gt;="&amp;$DG33,$B33:$Y33)),
IF(AT$3=$DF33+'Model Setup'!$L$7,SUMIF($AD$3:$BA$3,"="&amp;$DF33+'Model Setup'!$L$7,$B33:$Y33)+'Model Setup'!$L$8*(SUMIF($AD$3:$BA$3,"&lt;"&amp;$DF33,$B33:$Y33)+SUMIF($AD$3:$BA$3,"&gt;="&amp;$DG33,$B33:$Y33)),
IF(AT$3=$DF33+'Model Setup'!$M$7,SUMIF($AD$3:$BA$3,"="&amp;$DF33+'Model Setup'!$M$7,$B33:$Y33)+'Model Setup'!$M$8*(SUMIF($AD$3:$BA$3,"&lt;"&amp;$DF33,$B33:$Y33)+SUMIF($AD$3:$BA$3,"&gt;="&amp;$DG33,$B33:$Y33)),
IF(AT$3=$DF33+'Model Setup'!$N$7,SUMIF($AD$3:$BA$3,"="&amp;$DF33+'Model Setup'!$N$7,$B33:$Y33)+'Model Setup'!$N$8*(SUMIF($AD$3:$BA$3,"&lt;"&amp;$DF33,$B33:$Y33)+SUMIF($AD$3:$BA$3,"&gt;="&amp;$DG33,$B33:$Y33)),
IF(AT$3&lt;$DG33,R33,0))))))))))))))),0)</f>
        <v>3</v>
      </c>
      <c r="AU33" s="47">
        <f>ROUND(IF(AU$3&lt;$DF33,0,
IF(AU$3=$DF33+'Model Setup'!$B$7,SUMIF($AD$3:$BA$3,"="&amp;$DF33+'Model Setup'!$B$7,$B33:$Y33)+'Model Setup'!$B$8*(SUMIF($AD$3:$BA$3,"&lt;"&amp;$DF33,$B33:$Y33)+SUMIF($AD$3:$BA$3,"&gt;="&amp;$DG33,$B33:$Y33)),
IF(AU$3=$DF33+'Model Setup'!$C$7,SUMIF($AD$3:$BA$3,"="&amp;$DF33+'Model Setup'!$C$7,$B33:$Y33)+'Model Setup'!$C$8*(SUMIF($AD$3:$BA$3,"&lt;"&amp;$DF33,$B33:$Y33)+SUMIF($AD$3:$BA$3,"&gt;="&amp;$DG33,$B33:$Y33)),
IF(AU$3=$DF33+'Model Setup'!$D$7,SUMIF($AD$3:$BA$3,"="&amp;$DF33+'Model Setup'!$D$7,$B33:$Y33)+'Model Setup'!$D$8*(SUMIF($AD$3:$BA$3,"&lt;"&amp;$DF33,$B33:$Y33)+SUMIF($AD$3:$BA$3,"&gt;="&amp;$DG33,$B33:$Y33)),
IF(AU$3=$DF33+'Model Setup'!$E$7,SUMIF($AD$3:$BA$3,"="&amp;$DF33+'Model Setup'!$E$7,$B33:$Y33)+'Model Setup'!$E$8*(SUMIF($AD$3:$BA$3,"&lt;"&amp;$DF33,$B33:$Y33)+SUMIF($AD$3:$BA$3,"&gt;="&amp;$DG33,$B33:$Y33)),
IF(AU$3=$DF33+'Model Setup'!$F$7,SUMIF($AD$3:$BA$3,"="&amp;$DF33+'Model Setup'!$F$7,$B33:$Y33)+'Model Setup'!$F$8*(SUMIF($AD$3:$BA$3,"&lt;"&amp;$DF33,$B33:$Y33)+SUMIF($AD$3:$BA$3,"&gt;="&amp;$DG33,$B33:$Y33)),
IF(AU$3=$DF33+'Model Setup'!$G$7,SUMIF($AD$3:$BA$3,"="&amp;$DF33+'Model Setup'!$G$7,$B33:$Y33)+'Model Setup'!$G$8*(SUMIF($AD$3:$BA$3,"&lt;"&amp;$DF33,$B33:$Y33)+SUMIF($AD$3:$BA$3,"&gt;="&amp;$DG33,$B33:$Y33)),
IF(AU$3=$DF33+'Model Setup'!$H$7,SUMIF($AD$3:$BA$3,"="&amp;$DF33+'Model Setup'!$H$7,$B33:$Y33)+'Model Setup'!$H$8*(SUMIF($AD$3:$BA$3,"&lt;"&amp;$DF33,$B33:$Y33)+SUMIF($AD$3:$BA$3,"&gt;="&amp;$DG33,$B33:$Y33)),
IF(AU$3=$DF33+'Model Setup'!$I$7,SUMIF($AD$3:$BA$3,"="&amp;$DF33+'Model Setup'!$I$7,$B33:$Y33)+'Model Setup'!$I$8*(SUMIF($AD$3:$BA$3,"&lt;"&amp;$DF33,$B33:$Y33)+SUMIF($AD$3:$BA$3,"&gt;="&amp;$DG33,$B33:$Y33)),
IF(AU$3=$DF33+'Model Setup'!$J$7,SUMIF($AD$3:$BA$3,"="&amp;$DF33+'Model Setup'!$J$7,$B33:$Y33)+'Model Setup'!$J$8*(SUMIF($AD$3:$BA$3,"&lt;"&amp;$DF33,$B33:$Y33)+SUMIF($AD$3:$BA$3,"&gt;="&amp;$DG33,$B33:$Y33)),
IF(AU$3=$DF33+'Model Setup'!$K$7,SUMIF($AD$3:$BA$3,"="&amp;$DF33+'Model Setup'!$K$7,$B33:$Y33)+'Model Setup'!$K$8*(SUMIF($AD$3:$BA$3,"&lt;"&amp;$DF33,$B33:$Y33)+SUMIF($AD$3:$BA$3,"&gt;="&amp;$DG33,$B33:$Y33)),
IF(AU$3=$DF33+'Model Setup'!$L$7,SUMIF($AD$3:$BA$3,"="&amp;$DF33+'Model Setup'!$L$7,$B33:$Y33)+'Model Setup'!$L$8*(SUMIF($AD$3:$BA$3,"&lt;"&amp;$DF33,$B33:$Y33)+SUMIF($AD$3:$BA$3,"&gt;="&amp;$DG33,$B33:$Y33)),
IF(AU$3=$DF33+'Model Setup'!$M$7,SUMIF($AD$3:$BA$3,"="&amp;$DF33+'Model Setup'!$M$7,$B33:$Y33)+'Model Setup'!$M$8*(SUMIF($AD$3:$BA$3,"&lt;"&amp;$DF33,$B33:$Y33)+SUMIF($AD$3:$BA$3,"&gt;="&amp;$DG33,$B33:$Y33)),
IF(AU$3=$DF33+'Model Setup'!$N$7,SUMIF($AD$3:$BA$3,"="&amp;$DF33+'Model Setup'!$N$7,$B33:$Y33)+'Model Setup'!$N$8*(SUMIF($AD$3:$BA$3,"&lt;"&amp;$DF33,$B33:$Y33)+SUMIF($AD$3:$BA$3,"&gt;="&amp;$DG33,$B33:$Y33)),
IF(AU$3&lt;$DG33,S33,0))))))))))))))),0)</f>
        <v>3</v>
      </c>
      <c r="AV33" s="47">
        <f>ROUND(IF(AV$3&lt;$DF33,0,
IF(AV$3=$DF33+'Model Setup'!$B$7,SUMIF($AD$3:$BA$3,"="&amp;$DF33+'Model Setup'!$B$7,$B33:$Y33)+'Model Setup'!$B$8*(SUMIF($AD$3:$BA$3,"&lt;"&amp;$DF33,$B33:$Y33)+SUMIF($AD$3:$BA$3,"&gt;="&amp;$DG33,$B33:$Y33)),
IF(AV$3=$DF33+'Model Setup'!$C$7,SUMIF($AD$3:$BA$3,"="&amp;$DF33+'Model Setup'!$C$7,$B33:$Y33)+'Model Setup'!$C$8*(SUMIF($AD$3:$BA$3,"&lt;"&amp;$DF33,$B33:$Y33)+SUMIF($AD$3:$BA$3,"&gt;="&amp;$DG33,$B33:$Y33)),
IF(AV$3=$DF33+'Model Setup'!$D$7,SUMIF($AD$3:$BA$3,"="&amp;$DF33+'Model Setup'!$D$7,$B33:$Y33)+'Model Setup'!$D$8*(SUMIF($AD$3:$BA$3,"&lt;"&amp;$DF33,$B33:$Y33)+SUMIF($AD$3:$BA$3,"&gt;="&amp;$DG33,$B33:$Y33)),
IF(AV$3=$DF33+'Model Setup'!$E$7,SUMIF($AD$3:$BA$3,"="&amp;$DF33+'Model Setup'!$E$7,$B33:$Y33)+'Model Setup'!$E$8*(SUMIF($AD$3:$BA$3,"&lt;"&amp;$DF33,$B33:$Y33)+SUMIF($AD$3:$BA$3,"&gt;="&amp;$DG33,$B33:$Y33)),
IF(AV$3=$DF33+'Model Setup'!$F$7,SUMIF($AD$3:$BA$3,"="&amp;$DF33+'Model Setup'!$F$7,$B33:$Y33)+'Model Setup'!$F$8*(SUMIF($AD$3:$BA$3,"&lt;"&amp;$DF33,$B33:$Y33)+SUMIF($AD$3:$BA$3,"&gt;="&amp;$DG33,$B33:$Y33)),
IF(AV$3=$DF33+'Model Setup'!$G$7,SUMIF($AD$3:$BA$3,"="&amp;$DF33+'Model Setup'!$G$7,$B33:$Y33)+'Model Setup'!$G$8*(SUMIF($AD$3:$BA$3,"&lt;"&amp;$DF33,$B33:$Y33)+SUMIF($AD$3:$BA$3,"&gt;="&amp;$DG33,$B33:$Y33)),
IF(AV$3=$DF33+'Model Setup'!$H$7,SUMIF($AD$3:$BA$3,"="&amp;$DF33+'Model Setup'!$H$7,$B33:$Y33)+'Model Setup'!$H$8*(SUMIF($AD$3:$BA$3,"&lt;"&amp;$DF33,$B33:$Y33)+SUMIF($AD$3:$BA$3,"&gt;="&amp;$DG33,$B33:$Y33)),
IF(AV$3=$DF33+'Model Setup'!$I$7,SUMIF($AD$3:$BA$3,"="&amp;$DF33+'Model Setup'!$I$7,$B33:$Y33)+'Model Setup'!$I$8*(SUMIF($AD$3:$BA$3,"&lt;"&amp;$DF33,$B33:$Y33)+SUMIF($AD$3:$BA$3,"&gt;="&amp;$DG33,$B33:$Y33)),
IF(AV$3=$DF33+'Model Setup'!$J$7,SUMIF($AD$3:$BA$3,"="&amp;$DF33+'Model Setup'!$J$7,$B33:$Y33)+'Model Setup'!$J$8*(SUMIF($AD$3:$BA$3,"&lt;"&amp;$DF33,$B33:$Y33)+SUMIF($AD$3:$BA$3,"&gt;="&amp;$DG33,$B33:$Y33)),
IF(AV$3=$DF33+'Model Setup'!$K$7,SUMIF($AD$3:$BA$3,"="&amp;$DF33+'Model Setup'!$K$7,$B33:$Y33)+'Model Setup'!$K$8*(SUMIF($AD$3:$BA$3,"&lt;"&amp;$DF33,$B33:$Y33)+SUMIF($AD$3:$BA$3,"&gt;="&amp;$DG33,$B33:$Y33)),
IF(AV$3=$DF33+'Model Setup'!$L$7,SUMIF($AD$3:$BA$3,"="&amp;$DF33+'Model Setup'!$L$7,$B33:$Y33)+'Model Setup'!$L$8*(SUMIF($AD$3:$BA$3,"&lt;"&amp;$DF33,$B33:$Y33)+SUMIF($AD$3:$BA$3,"&gt;="&amp;$DG33,$B33:$Y33)),
IF(AV$3=$DF33+'Model Setup'!$M$7,SUMIF($AD$3:$BA$3,"="&amp;$DF33+'Model Setup'!$M$7,$B33:$Y33)+'Model Setup'!$M$8*(SUMIF($AD$3:$BA$3,"&lt;"&amp;$DF33,$B33:$Y33)+SUMIF($AD$3:$BA$3,"&gt;="&amp;$DG33,$B33:$Y33)),
IF(AV$3=$DF33+'Model Setup'!$N$7,SUMIF($AD$3:$BA$3,"="&amp;$DF33+'Model Setup'!$N$7,$B33:$Y33)+'Model Setup'!$N$8*(SUMIF($AD$3:$BA$3,"&lt;"&amp;$DF33,$B33:$Y33)+SUMIF($AD$3:$BA$3,"&gt;="&amp;$DG33,$B33:$Y33)),
IF(AV$3&lt;$DG33,T33,0))))))))))))))),0)</f>
        <v>4</v>
      </c>
      <c r="AW33" s="47">
        <f>ROUND(IF(AW$3&lt;$DF33,0,
IF(AW$3=$DF33+'Model Setup'!$B$7,SUMIF($AD$3:$BA$3,"="&amp;$DF33+'Model Setup'!$B$7,$B33:$Y33)+'Model Setup'!$B$8*(SUMIF($AD$3:$BA$3,"&lt;"&amp;$DF33,$B33:$Y33)+SUMIF($AD$3:$BA$3,"&gt;="&amp;$DG33,$B33:$Y33)),
IF(AW$3=$DF33+'Model Setup'!$C$7,SUMIF($AD$3:$BA$3,"="&amp;$DF33+'Model Setup'!$C$7,$B33:$Y33)+'Model Setup'!$C$8*(SUMIF($AD$3:$BA$3,"&lt;"&amp;$DF33,$B33:$Y33)+SUMIF($AD$3:$BA$3,"&gt;="&amp;$DG33,$B33:$Y33)),
IF(AW$3=$DF33+'Model Setup'!$D$7,SUMIF($AD$3:$BA$3,"="&amp;$DF33+'Model Setup'!$D$7,$B33:$Y33)+'Model Setup'!$D$8*(SUMIF($AD$3:$BA$3,"&lt;"&amp;$DF33,$B33:$Y33)+SUMIF($AD$3:$BA$3,"&gt;="&amp;$DG33,$B33:$Y33)),
IF(AW$3=$DF33+'Model Setup'!$E$7,SUMIF($AD$3:$BA$3,"="&amp;$DF33+'Model Setup'!$E$7,$B33:$Y33)+'Model Setup'!$E$8*(SUMIF($AD$3:$BA$3,"&lt;"&amp;$DF33,$B33:$Y33)+SUMIF($AD$3:$BA$3,"&gt;="&amp;$DG33,$B33:$Y33)),
IF(AW$3=$DF33+'Model Setup'!$F$7,SUMIF($AD$3:$BA$3,"="&amp;$DF33+'Model Setup'!$F$7,$B33:$Y33)+'Model Setup'!$F$8*(SUMIF($AD$3:$BA$3,"&lt;"&amp;$DF33,$B33:$Y33)+SUMIF($AD$3:$BA$3,"&gt;="&amp;$DG33,$B33:$Y33)),
IF(AW$3=$DF33+'Model Setup'!$G$7,SUMIF($AD$3:$BA$3,"="&amp;$DF33+'Model Setup'!$G$7,$B33:$Y33)+'Model Setup'!$G$8*(SUMIF($AD$3:$BA$3,"&lt;"&amp;$DF33,$B33:$Y33)+SUMIF($AD$3:$BA$3,"&gt;="&amp;$DG33,$B33:$Y33)),
IF(AW$3=$DF33+'Model Setup'!$H$7,SUMIF($AD$3:$BA$3,"="&amp;$DF33+'Model Setup'!$H$7,$B33:$Y33)+'Model Setup'!$H$8*(SUMIF($AD$3:$BA$3,"&lt;"&amp;$DF33,$B33:$Y33)+SUMIF($AD$3:$BA$3,"&gt;="&amp;$DG33,$B33:$Y33)),
IF(AW$3=$DF33+'Model Setup'!$I$7,SUMIF($AD$3:$BA$3,"="&amp;$DF33+'Model Setup'!$I$7,$B33:$Y33)+'Model Setup'!$I$8*(SUMIF($AD$3:$BA$3,"&lt;"&amp;$DF33,$B33:$Y33)+SUMIF($AD$3:$BA$3,"&gt;="&amp;$DG33,$B33:$Y33)),
IF(AW$3=$DF33+'Model Setup'!$J$7,SUMIF($AD$3:$BA$3,"="&amp;$DF33+'Model Setup'!$J$7,$B33:$Y33)+'Model Setup'!$J$8*(SUMIF($AD$3:$BA$3,"&lt;"&amp;$DF33,$B33:$Y33)+SUMIF($AD$3:$BA$3,"&gt;="&amp;$DG33,$B33:$Y33)),
IF(AW$3=$DF33+'Model Setup'!$K$7,SUMIF($AD$3:$BA$3,"="&amp;$DF33+'Model Setup'!$K$7,$B33:$Y33)+'Model Setup'!$K$8*(SUMIF($AD$3:$BA$3,"&lt;"&amp;$DF33,$B33:$Y33)+SUMIF($AD$3:$BA$3,"&gt;="&amp;$DG33,$B33:$Y33)),
IF(AW$3=$DF33+'Model Setup'!$L$7,SUMIF($AD$3:$BA$3,"="&amp;$DF33+'Model Setup'!$L$7,$B33:$Y33)+'Model Setup'!$L$8*(SUMIF($AD$3:$BA$3,"&lt;"&amp;$DF33,$B33:$Y33)+SUMIF($AD$3:$BA$3,"&gt;="&amp;$DG33,$B33:$Y33)),
IF(AW$3=$DF33+'Model Setup'!$M$7,SUMIF($AD$3:$BA$3,"="&amp;$DF33+'Model Setup'!$M$7,$B33:$Y33)+'Model Setup'!$M$8*(SUMIF($AD$3:$BA$3,"&lt;"&amp;$DF33,$B33:$Y33)+SUMIF($AD$3:$BA$3,"&gt;="&amp;$DG33,$B33:$Y33)),
IF(AW$3=$DF33+'Model Setup'!$N$7,SUMIF($AD$3:$BA$3,"="&amp;$DF33+'Model Setup'!$N$7,$B33:$Y33)+'Model Setup'!$N$8*(SUMIF($AD$3:$BA$3,"&lt;"&amp;$DF33,$B33:$Y33)+SUMIF($AD$3:$BA$3,"&gt;="&amp;$DG33,$B33:$Y33)),
IF(AW$3&lt;$DG33,U33,0))))))))))))))),0)</f>
        <v>0</v>
      </c>
      <c r="AX33" s="47">
        <f>ROUND(IF(AX$3&lt;$DF33,0,
IF(AX$3=$DF33+'Model Setup'!$B$7,SUMIF($AD$3:$BA$3,"="&amp;$DF33+'Model Setup'!$B$7,$B33:$Y33)+'Model Setup'!$B$8*(SUMIF($AD$3:$BA$3,"&lt;"&amp;$DF33,$B33:$Y33)+SUMIF($AD$3:$BA$3,"&gt;="&amp;$DG33,$B33:$Y33)),
IF(AX$3=$DF33+'Model Setup'!$C$7,SUMIF($AD$3:$BA$3,"="&amp;$DF33+'Model Setup'!$C$7,$B33:$Y33)+'Model Setup'!$C$8*(SUMIF($AD$3:$BA$3,"&lt;"&amp;$DF33,$B33:$Y33)+SUMIF($AD$3:$BA$3,"&gt;="&amp;$DG33,$B33:$Y33)),
IF(AX$3=$DF33+'Model Setup'!$D$7,SUMIF($AD$3:$BA$3,"="&amp;$DF33+'Model Setup'!$D$7,$B33:$Y33)+'Model Setup'!$D$8*(SUMIF($AD$3:$BA$3,"&lt;"&amp;$DF33,$B33:$Y33)+SUMIF($AD$3:$BA$3,"&gt;="&amp;$DG33,$B33:$Y33)),
IF(AX$3=$DF33+'Model Setup'!$E$7,SUMIF($AD$3:$BA$3,"="&amp;$DF33+'Model Setup'!$E$7,$B33:$Y33)+'Model Setup'!$E$8*(SUMIF($AD$3:$BA$3,"&lt;"&amp;$DF33,$B33:$Y33)+SUMIF($AD$3:$BA$3,"&gt;="&amp;$DG33,$B33:$Y33)),
IF(AX$3=$DF33+'Model Setup'!$F$7,SUMIF($AD$3:$BA$3,"="&amp;$DF33+'Model Setup'!$F$7,$B33:$Y33)+'Model Setup'!$F$8*(SUMIF($AD$3:$BA$3,"&lt;"&amp;$DF33,$B33:$Y33)+SUMIF($AD$3:$BA$3,"&gt;="&amp;$DG33,$B33:$Y33)),
IF(AX$3=$DF33+'Model Setup'!$G$7,SUMIF($AD$3:$BA$3,"="&amp;$DF33+'Model Setup'!$G$7,$B33:$Y33)+'Model Setup'!$G$8*(SUMIF($AD$3:$BA$3,"&lt;"&amp;$DF33,$B33:$Y33)+SUMIF($AD$3:$BA$3,"&gt;="&amp;$DG33,$B33:$Y33)),
IF(AX$3=$DF33+'Model Setup'!$H$7,SUMIF($AD$3:$BA$3,"="&amp;$DF33+'Model Setup'!$H$7,$B33:$Y33)+'Model Setup'!$H$8*(SUMIF($AD$3:$BA$3,"&lt;"&amp;$DF33,$B33:$Y33)+SUMIF($AD$3:$BA$3,"&gt;="&amp;$DG33,$B33:$Y33)),
IF(AX$3=$DF33+'Model Setup'!$I$7,SUMIF($AD$3:$BA$3,"="&amp;$DF33+'Model Setup'!$I$7,$B33:$Y33)+'Model Setup'!$I$8*(SUMIF($AD$3:$BA$3,"&lt;"&amp;$DF33,$B33:$Y33)+SUMIF($AD$3:$BA$3,"&gt;="&amp;$DG33,$B33:$Y33)),
IF(AX$3=$DF33+'Model Setup'!$J$7,SUMIF($AD$3:$BA$3,"="&amp;$DF33+'Model Setup'!$J$7,$B33:$Y33)+'Model Setup'!$J$8*(SUMIF($AD$3:$BA$3,"&lt;"&amp;$DF33,$B33:$Y33)+SUMIF($AD$3:$BA$3,"&gt;="&amp;$DG33,$B33:$Y33)),
IF(AX$3=$DF33+'Model Setup'!$K$7,SUMIF($AD$3:$BA$3,"="&amp;$DF33+'Model Setup'!$K$7,$B33:$Y33)+'Model Setup'!$K$8*(SUMIF($AD$3:$BA$3,"&lt;"&amp;$DF33,$B33:$Y33)+SUMIF($AD$3:$BA$3,"&gt;="&amp;$DG33,$B33:$Y33)),
IF(AX$3=$DF33+'Model Setup'!$L$7,SUMIF($AD$3:$BA$3,"="&amp;$DF33+'Model Setup'!$L$7,$B33:$Y33)+'Model Setup'!$L$8*(SUMIF($AD$3:$BA$3,"&lt;"&amp;$DF33,$B33:$Y33)+SUMIF($AD$3:$BA$3,"&gt;="&amp;$DG33,$B33:$Y33)),
IF(AX$3=$DF33+'Model Setup'!$M$7,SUMIF($AD$3:$BA$3,"="&amp;$DF33+'Model Setup'!$M$7,$B33:$Y33)+'Model Setup'!$M$8*(SUMIF($AD$3:$BA$3,"&lt;"&amp;$DF33,$B33:$Y33)+SUMIF($AD$3:$BA$3,"&gt;="&amp;$DG33,$B33:$Y33)),
IF(AX$3=$DF33+'Model Setup'!$N$7,SUMIF($AD$3:$BA$3,"="&amp;$DF33+'Model Setup'!$N$7,$B33:$Y33)+'Model Setup'!$N$8*(SUMIF($AD$3:$BA$3,"&lt;"&amp;$DF33,$B33:$Y33)+SUMIF($AD$3:$BA$3,"&gt;="&amp;$DG33,$B33:$Y33)),
IF(AX$3&lt;$DG33,V33,0))))))))))))))),0)</f>
        <v>0</v>
      </c>
      <c r="AY33" s="47">
        <f>ROUND(IF(AY$3&lt;$DF33,0,
IF(AY$3=$DF33+'Model Setup'!$B$7,SUMIF($AD$3:$BA$3,"="&amp;$DF33+'Model Setup'!$B$7,$B33:$Y33)+'Model Setup'!$B$8*(SUMIF($AD$3:$BA$3,"&lt;"&amp;$DF33,$B33:$Y33)+SUMIF($AD$3:$BA$3,"&gt;="&amp;$DG33,$B33:$Y33)),
IF(AY$3=$DF33+'Model Setup'!$C$7,SUMIF($AD$3:$BA$3,"="&amp;$DF33+'Model Setup'!$C$7,$B33:$Y33)+'Model Setup'!$C$8*(SUMIF($AD$3:$BA$3,"&lt;"&amp;$DF33,$B33:$Y33)+SUMIF($AD$3:$BA$3,"&gt;="&amp;$DG33,$B33:$Y33)),
IF(AY$3=$DF33+'Model Setup'!$D$7,SUMIF($AD$3:$BA$3,"="&amp;$DF33+'Model Setup'!$D$7,$B33:$Y33)+'Model Setup'!$D$8*(SUMIF($AD$3:$BA$3,"&lt;"&amp;$DF33,$B33:$Y33)+SUMIF($AD$3:$BA$3,"&gt;="&amp;$DG33,$B33:$Y33)),
IF(AY$3=$DF33+'Model Setup'!$E$7,SUMIF($AD$3:$BA$3,"="&amp;$DF33+'Model Setup'!$E$7,$B33:$Y33)+'Model Setup'!$E$8*(SUMIF($AD$3:$BA$3,"&lt;"&amp;$DF33,$B33:$Y33)+SUMIF($AD$3:$BA$3,"&gt;="&amp;$DG33,$B33:$Y33)),
IF(AY$3=$DF33+'Model Setup'!$F$7,SUMIF($AD$3:$BA$3,"="&amp;$DF33+'Model Setup'!$F$7,$B33:$Y33)+'Model Setup'!$F$8*(SUMIF($AD$3:$BA$3,"&lt;"&amp;$DF33,$B33:$Y33)+SUMIF($AD$3:$BA$3,"&gt;="&amp;$DG33,$B33:$Y33)),
IF(AY$3=$DF33+'Model Setup'!$G$7,SUMIF($AD$3:$BA$3,"="&amp;$DF33+'Model Setup'!$G$7,$B33:$Y33)+'Model Setup'!$G$8*(SUMIF($AD$3:$BA$3,"&lt;"&amp;$DF33,$B33:$Y33)+SUMIF($AD$3:$BA$3,"&gt;="&amp;$DG33,$B33:$Y33)),
IF(AY$3=$DF33+'Model Setup'!$H$7,SUMIF($AD$3:$BA$3,"="&amp;$DF33+'Model Setup'!$H$7,$B33:$Y33)+'Model Setup'!$H$8*(SUMIF($AD$3:$BA$3,"&lt;"&amp;$DF33,$B33:$Y33)+SUMIF($AD$3:$BA$3,"&gt;="&amp;$DG33,$B33:$Y33)),
IF(AY$3=$DF33+'Model Setup'!$I$7,SUMIF($AD$3:$BA$3,"="&amp;$DF33+'Model Setup'!$I$7,$B33:$Y33)+'Model Setup'!$I$8*(SUMIF($AD$3:$BA$3,"&lt;"&amp;$DF33,$B33:$Y33)+SUMIF($AD$3:$BA$3,"&gt;="&amp;$DG33,$B33:$Y33)),
IF(AY$3=$DF33+'Model Setup'!$J$7,SUMIF($AD$3:$BA$3,"="&amp;$DF33+'Model Setup'!$J$7,$B33:$Y33)+'Model Setup'!$J$8*(SUMIF($AD$3:$BA$3,"&lt;"&amp;$DF33,$B33:$Y33)+SUMIF($AD$3:$BA$3,"&gt;="&amp;$DG33,$B33:$Y33)),
IF(AY$3=$DF33+'Model Setup'!$K$7,SUMIF($AD$3:$BA$3,"="&amp;$DF33+'Model Setup'!$K$7,$B33:$Y33)+'Model Setup'!$K$8*(SUMIF($AD$3:$BA$3,"&lt;"&amp;$DF33,$B33:$Y33)+SUMIF($AD$3:$BA$3,"&gt;="&amp;$DG33,$B33:$Y33)),
IF(AY$3=$DF33+'Model Setup'!$L$7,SUMIF($AD$3:$BA$3,"="&amp;$DF33+'Model Setup'!$L$7,$B33:$Y33)+'Model Setup'!$L$8*(SUMIF($AD$3:$BA$3,"&lt;"&amp;$DF33,$B33:$Y33)+SUMIF($AD$3:$BA$3,"&gt;="&amp;$DG33,$B33:$Y33)),
IF(AY$3=$DF33+'Model Setup'!$M$7,SUMIF($AD$3:$BA$3,"="&amp;$DF33+'Model Setup'!$M$7,$B33:$Y33)+'Model Setup'!$M$8*(SUMIF($AD$3:$BA$3,"&lt;"&amp;$DF33,$B33:$Y33)+SUMIF($AD$3:$BA$3,"&gt;="&amp;$DG33,$B33:$Y33)),
IF(AY$3=$DF33+'Model Setup'!$N$7,SUMIF($AD$3:$BA$3,"="&amp;$DF33+'Model Setup'!$N$7,$B33:$Y33)+'Model Setup'!$N$8*(SUMIF($AD$3:$BA$3,"&lt;"&amp;$DF33,$B33:$Y33)+SUMIF($AD$3:$BA$3,"&gt;="&amp;$DG33,$B33:$Y33)),
IF(AY$3&lt;$DG33,W33,0))))))))))))))),0)</f>
        <v>0</v>
      </c>
      <c r="AZ33" s="47">
        <f>ROUND(IF(AZ$3&lt;$DF33,0,
IF(AZ$3=$DF33+'Model Setup'!$B$7,SUMIF($AD$3:$BA$3,"="&amp;$DF33+'Model Setup'!$B$7,$B33:$Y33)+'Model Setup'!$B$8*(SUMIF($AD$3:$BA$3,"&lt;"&amp;$DF33,$B33:$Y33)+SUMIF($AD$3:$BA$3,"&gt;="&amp;$DG33,$B33:$Y33)),
IF(AZ$3=$DF33+'Model Setup'!$C$7,SUMIF($AD$3:$BA$3,"="&amp;$DF33+'Model Setup'!$C$7,$B33:$Y33)+'Model Setup'!$C$8*(SUMIF($AD$3:$BA$3,"&lt;"&amp;$DF33,$B33:$Y33)+SUMIF($AD$3:$BA$3,"&gt;="&amp;$DG33,$B33:$Y33)),
IF(AZ$3=$DF33+'Model Setup'!$D$7,SUMIF($AD$3:$BA$3,"="&amp;$DF33+'Model Setup'!$D$7,$B33:$Y33)+'Model Setup'!$D$8*(SUMIF($AD$3:$BA$3,"&lt;"&amp;$DF33,$B33:$Y33)+SUMIF($AD$3:$BA$3,"&gt;="&amp;$DG33,$B33:$Y33)),
IF(AZ$3=$DF33+'Model Setup'!$E$7,SUMIF($AD$3:$BA$3,"="&amp;$DF33+'Model Setup'!$E$7,$B33:$Y33)+'Model Setup'!$E$8*(SUMIF($AD$3:$BA$3,"&lt;"&amp;$DF33,$B33:$Y33)+SUMIF($AD$3:$BA$3,"&gt;="&amp;$DG33,$B33:$Y33)),
IF(AZ$3=$DF33+'Model Setup'!$F$7,SUMIF($AD$3:$BA$3,"="&amp;$DF33+'Model Setup'!$F$7,$B33:$Y33)+'Model Setup'!$F$8*(SUMIF($AD$3:$BA$3,"&lt;"&amp;$DF33,$B33:$Y33)+SUMIF($AD$3:$BA$3,"&gt;="&amp;$DG33,$B33:$Y33)),
IF(AZ$3=$DF33+'Model Setup'!$G$7,SUMIF($AD$3:$BA$3,"="&amp;$DF33+'Model Setup'!$G$7,$B33:$Y33)+'Model Setup'!$G$8*(SUMIF($AD$3:$BA$3,"&lt;"&amp;$DF33,$B33:$Y33)+SUMIF($AD$3:$BA$3,"&gt;="&amp;$DG33,$B33:$Y33)),
IF(AZ$3=$DF33+'Model Setup'!$H$7,SUMIF($AD$3:$BA$3,"="&amp;$DF33+'Model Setup'!$H$7,$B33:$Y33)+'Model Setup'!$H$8*(SUMIF($AD$3:$BA$3,"&lt;"&amp;$DF33,$B33:$Y33)+SUMIF($AD$3:$BA$3,"&gt;="&amp;$DG33,$B33:$Y33)),
IF(AZ$3=$DF33+'Model Setup'!$I$7,SUMIF($AD$3:$BA$3,"="&amp;$DF33+'Model Setup'!$I$7,$B33:$Y33)+'Model Setup'!$I$8*(SUMIF($AD$3:$BA$3,"&lt;"&amp;$DF33,$B33:$Y33)+SUMIF($AD$3:$BA$3,"&gt;="&amp;$DG33,$B33:$Y33)),
IF(AZ$3=$DF33+'Model Setup'!$J$7,SUMIF($AD$3:$BA$3,"="&amp;$DF33+'Model Setup'!$J$7,$B33:$Y33)+'Model Setup'!$J$8*(SUMIF($AD$3:$BA$3,"&lt;"&amp;$DF33,$B33:$Y33)+SUMIF($AD$3:$BA$3,"&gt;="&amp;$DG33,$B33:$Y33)),
IF(AZ$3=$DF33+'Model Setup'!$K$7,SUMIF($AD$3:$BA$3,"="&amp;$DF33+'Model Setup'!$K$7,$B33:$Y33)+'Model Setup'!$K$8*(SUMIF($AD$3:$BA$3,"&lt;"&amp;$DF33,$B33:$Y33)+SUMIF($AD$3:$BA$3,"&gt;="&amp;$DG33,$B33:$Y33)),
IF(AZ$3=$DF33+'Model Setup'!$L$7,SUMIF($AD$3:$BA$3,"="&amp;$DF33+'Model Setup'!$L$7,$B33:$Y33)+'Model Setup'!$L$8*(SUMIF($AD$3:$BA$3,"&lt;"&amp;$DF33,$B33:$Y33)+SUMIF($AD$3:$BA$3,"&gt;="&amp;$DG33,$B33:$Y33)),
IF(AZ$3=$DF33+'Model Setup'!$M$7,SUMIF($AD$3:$BA$3,"="&amp;$DF33+'Model Setup'!$M$7,$B33:$Y33)+'Model Setup'!$M$8*(SUMIF($AD$3:$BA$3,"&lt;"&amp;$DF33,$B33:$Y33)+SUMIF($AD$3:$BA$3,"&gt;="&amp;$DG33,$B33:$Y33)),
IF(AZ$3=$DF33+'Model Setup'!$N$7,SUMIF($AD$3:$BA$3,"="&amp;$DF33+'Model Setup'!$N$7,$B33:$Y33)+'Model Setup'!$N$8*(SUMIF($AD$3:$BA$3,"&lt;"&amp;$DF33,$B33:$Y33)+SUMIF($AD$3:$BA$3,"&gt;="&amp;$DG33,$B33:$Y33)),
IF(AZ$3&lt;$DG33,X33,0))))))))))))))),0)</f>
        <v>0</v>
      </c>
      <c r="BA33" s="47">
        <f>ROUND(IF(BA$3&lt;$DF33,0,
IF(BA$3=$DF33+'Model Setup'!$B$7,SUMIF($AD$3:$BA$3,"="&amp;$DF33+'Model Setup'!$B$7,$B33:$Y33)+'Model Setup'!$B$8*(SUMIF($AD$3:$BA$3,"&lt;"&amp;$DF33,$B33:$Y33)+SUMIF($AD$3:$BA$3,"&gt;="&amp;$DG33,$B33:$Y33)),
IF(BA$3=$DF33+'Model Setup'!$C$7,SUMIF($AD$3:$BA$3,"="&amp;$DF33+'Model Setup'!$C$7,$B33:$Y33)+'Model Setup'!$C$8*(SUMIF($AD$3:$BA$3,"&lt;"&amp;$DF33,$B33:$Y33)+SUMIF($AD$3:$BA$3,"&gt;="&amp;$DG33,$B33:$Y33)),
IF(BA$3=$DF33+'Model Setup'!$D$7,SUMIF($AD$3:$BA$3,"="&amp;$DF33+'Model Setup'!$D$7,$B33:$Y33)+'Model Setup'!$D$8*(SUMIF($AD$3:$BA$3,"&lt;"&amp;$DF33,$B33:$Y33)+SUMIF($AD$3:$BA$3,"&gt;="&amp;$DG33,$B33:$Y33)),
IF(BA$3=$DF33+'Model Setup'!$E$7,SUMIF($AD$3:$BA$3,"="&amp;$DF33+'Model Setup'!$E$7,$B33:$Y33)+'Model Setup'!$E$8*(SUMIF($AD$3:$BA$3,"&lt;"&amp;$DF33,$B33:$Y33)+SUMIF($AD$3:$BA$3,"&gt;="&amp;$DG33,$B33:$Y33)),
IF(BA$3=$DF33+'Model Setup'!$F$7,SUMIF($AD$3:$BA$3,"="&amp;$DF33+'Model Setup'!$F$7,$B33:$Y33)+'Model Setup'!$F$8*(SUMIF($AD$3:$BA$3,"&lt;"&amp;$DF33,$B33:$Y33)+SUMIF($AD$3:$BA$3,"&gt;="&amp;$DG33,$B33:$Y33)),
IF(BA$3=$DF33+'Model Setup'!$G$7,SUMIF($AD$3:$BA$3,"="&amp;$DF33+'Model Setup'!$G$7,$B33:$Y33)+'Model Setup'!$G$8*(SUMIF($AD$3:$BA$3,"&lt;"&amp;$DF33,$B33:$Y33)+SUMIF($AD$3:$BA$3,"&gt;="&amp;$DG33,$B33:$Y33)),
IF(BA$3=$DF33+'Model Setup'!$H$7,SUMIF($AD$3:$BA$3,"="&amp;$DF33+'Model Setup'!$H$7,$B33:$Y33)+'Model Setup'!$H$8*(SUMIF($AD$3:$BA$3,"&lt;"&amp;$DF33,$B33:$Y33)+SUMIF($AD$3:$BA$3,"&gt;="&amp;$DG33,$B33:$Y33)),
IF(BA$3=$DF33+'Model Setup'!$I$7,SUMIF($AD$3:$BA$3,"="&amp;$DF33+'Model Setup'!$I$7,$B33:$Y33)+'Model Setup'!$I$8*(SUMIF($AD$3:$BA$3,"&lt;"&amp;$DF33,$B33:$Y33)+SUMIF($AD$3:$BA$3,"&gt;="&amp;$DG33,$B33:$Y33)),
IF(BA$3=$DF33+'Model Setup'!$J$7,SUMIF($AD$3:$BA$3,"="&amp;$DF33+'Model Setup'!$J$7,$B33:$Y33)+'Model Setup'!$J$8*(SUMIF($AD$3:$BA$3,"&lt;"&amp;$DF33,$B33:$Y33)+SUMIF($AD$3:$BA$3,"&gt;="&amp;$DG33,$B33:$Y33)),
IF(BA$3=$DF33+'Model Setup'!$K$7,SUMIF($AD$3:$BA$3,"="&amp;$DF33+'Model Setup'!$K$7,$B33:$Y33)+'Model Setup'!$K$8*(SUMIF($AD$3:$BA$3,"&lt;"&amp;$DF33,$B33:$Y33)+SUMIF($AD$3:$BA$3,"&gt;="&amp;$DG33,$B33:$Y33)),
IF(BA$3=$DF33+'Model Setup'!$L$7,SUMIF($AD$3:$BA$3,"="&amp;$DF33+'Model Setup'!$L$7,$B33:$Y33)+'Model Setup'!$L$8*(SUMIF($AD$3:$BA$3,"&lt;"&amp;$DF33,$B33:$Y33)+SUMIF($AD$3:$BA$3,"&gt;="&amp;$DG33,$B33:$Y33)),
IF(BA$3=$DF33+'Model Setup'!$M$7,SUMIF($AD$3:$BA$3,"="&amp;$DF33+'Model Setup'!$M$7,$B33:$Y33)+'Model Setup'!$M$8*(SUMIF($AD$3:$BA$3,"&lt;"&amp;$DF33,$B33:$Y33)+SUMIF($AD$3:$BA$3,"&gt;="&amp;$DG33,$B33:$Y33)),
IF(BA$3=$DF33+'Model Setup'!$N$7,SUMIF($AD$3:$BA$3,"="&amp;$DF33+'Model Setup'!$N$7,$B33:$Y33)+'Model Setup'!$N$8*(SUMIF($AD$3:$BA$3,"&lt;"&amp;$DF33,$B33:$Y33)+SUMIF($AD$3:$BA$3,"&gt;="&amp;$DG33,$B33:$Y33)),
IF(BA$3&lt;$DG33,Y33,0))))))))))))))),0)</f>
        <v>0</v>
      </c>
      <c r="BB33" s="47">
        <f t="shared" si="1"/>
        <v>73</v>
      </c>
      <c r="BD33" t="b">
        <f t="shared" si="2"/>
        <v>0</v>
      </c>
      <c r="BE33">
        <f t="shared" si="8"/>
        <v>1</v>
      </c>
      <c r="BF33">
        <f>(FTC!F31-FTC!E31)*24</f>
        <v>13</v>
      </c>
      <c r="BG33" s="43" t="s">
        <v>48</v>
      </c>
      <c r="BH33" s="47">
        <f>ROUND(IF(OR(BH$3&lt;$DF33,BH$3&gt;$CW$4),0,
IF(BH$3=$DF33+'Model Setup'!$B$7,SUMIF($BH$3:$CE$3,"="&amp;$DF33+'Model Setup'!$B$7,$AD33:$BA33)+'Model Setup'!$B$8*(SUMIF($BH$3:$CE$3,"&lt;"&amp;$DF33,$AD33:$BA33)+SUMIF($BH$3:$CE$3,"&gt;"&amp;$CW$4,$AD33:$BA33)),
IF(BH$3=$DF33+'Model Setup'!$C$7,SUMIF($BH$3:$CE$3,"="&amp;$DF33+'Model Setup'!$C$7,$AD33:$BA33)+'Model Setup'!$C$8*(SUMIF($BH$3:$CE$3,"&lt;"&amp;$DF33,$AD33:$BA33)+SUMIF($BH$3:$CE$3,"&gt;"&amp;$CW$4,$AD33:$BA33)),
IF(BH$3=$DF33+'Model Setup'!$D$7,SUMIF($BH$3:$CE$3,"="&amp;$DF33+'Model Setup'!$D$7,$AD33:$BA33)+'Model Setup'!$D$8*(SUMIF($BH$3:$CE$3,"&lt;"&amp;$DF33,$AD33:$BA33)+SUMIF($BH$3:$CE$3,"&gt;"&amp;$CW$4,$AD33:$BA33)),
IF(BH$3=$DF33+'Model Setup'!$E$7,SUMIF($BH$3:$CE$3,"="&amp;$DF33+'Model Setup'!$E$7,$AD33:$BA33)+'Model Setup'!$E$8*(SUMIF($BH$3:$CE$3,"&lt;"&amp;$DF33,$AD33:$BA33)+SUMIF($BH$3:$CE$3,"&gt;"&amp;$CW$4,$AD33:$BA33)),
IF(BH$3=$DF33+'Model Setup'!$F$7,SUMIF($BH$3:$CE$3,"="&amp;$DF33+'Model Setup'!$F$7,$AD33:$BA33)+'Model Setup'!$F$8*(SUMIF($BH$3:$CE$3,"&lt;"&amp;$DF33,$AD33:$BA33)+SUMIF($BH$3:$CE$3,"&gt;"&amp;$CW$4,$AD33:$BA33)),
IF(BH$3=$DF33+'Model Setup'!$G$7,SUMIF($BH$3:$CE$3,"="&amp;$DF33+'Model Setup'!$G$7,$AD33:$BA33)+'Model Setup'!$G$8*(SUMIF($BH$3:$CE$3,"&lt;"&amp;$DF33,$AD33:$BA33)+SUMIF($BH$3:$CE$3,"&gt;"&amp;$CW$4,$AD33:$BA33)),
IF(BH$3=$DF33+'Model Setup'!$H$7,SUMIF($BH$3:$CE$3,"="&amp;$DF33+'Model Setup'!$H$7,$AD33:$BA33)+'Model Setup'!$H$8*(SUMIF($BH$3:$CE$3,"&lt;"&amp;$DF33,$AD33:$BA33)+SUMIF($BH$3:$CE$3,"&gt;"&amp;$CW$4,$AD33:$BA33)),
IF(BH$3=$DF33+'Model Setup'!$I$7,SUMIF($BH$3:$CE$3,"="&amp;$DF33+'Model Setup'!$I$7,$AD33:$BA33)+'Model Setup'!$I$8*(SUMIF($BH$3:$CE$3,"&lt;"&amp;$DF33,$AD33:$BA33)+SUMIF($BH$3:$CE$3,"&gt;"&amp;$CW$4,$AD33:$BA33)),
IF(BH$3=$DF33+'Model Setup'!$J$7,SUMIF($BH$3:$CE$3,"="&amp;$DF33+'Model Setup'!$J$7,$AD33:$BA33)+'Model Setup'!$J$8*(SUMIF($BH$3:$CE$3,"&lt;"&amp;$DF33,$AD33:$BA33)+SUMIF($BH$3:$CE$3,"&gt;"&amp;$CW$4,$AD33:$BA33)),
IF(BH$3=$DF33+'Model Setup'!$K$7,SUMIF($BH$3:$CE$3,"="&amp;$DF33+'Model Setup'!$K$7,$AD33:$BA33)+'Model Setup'!$K$8*(SUMIF($BH$3:$CE$3,"&lt;"&amp;$DF33,$AD33:$BA33)+SUMIF($BH$3:$CE$3,"&gt;"&amp;$CW$4,$AD33:$BA33)),
IF(BH$3=$DF33+'Model Setup'!$L$7,SUMIF($BH$3:$CE$3,"="&amp;$DF33+'Model Setup'!$L$7,$AD33:$BA33)+'Model Setup'!$L$8*(SUMIF($BH$3:$CE$3,"&lt;"&amp;$DF33,$AD33:$BA33)+SUMIF($BH$3:$CE$3,"&gt;"&amp;$CW$4,$AD33:$BA33)),
IF(BH$3=$DF33+'Model Setup'!$M$7,SUMIF($BH$3:$CE$3,"="&amp;$DF33+'Model Setup'!$M$7,$AD33:$BA33)+'Model Setup'!$M$8*(SUMIF($BH$3:$CE$3,"&lt;"&amp;$DF33,$AD33:$BA33)+SUMIF($BH$3:$CE$3,"&gt;"&amp;$CW$4,$AD33:$BA33)),
IF(BH$3=$DF33+'Model Setup'!$N$7,SUMIF($BH$3:$CE$3,"="&amp;$DF33+'Model Setup'!$N$7,$AD33:$BA33)+'Model Setup'!$N$8*(SUMIF($BH$3:$CE$3,"&lt;"&amp;$DF33,$AD33:$BA33)+SUMIF($BH$3:$CE$3,"&gt;"&amp;$CW$4,$AD33:$BA33)),
IF(BH$3&lt;$CW$4,B33,0))))))))))))))),0)</f>
        <v>0</v>
      </c>
      <c r="BI33" s="47">
        <f>ROUND(IF(OR(BI$3&lt;$DF33,BI$3&gt;$CW$4),0,
IF(BI$3=$DF33+'Model Setup'!$B$7,SUMIF($BH$3:$CE$3,"="&amp;$DF33+'Model Setup'!$B$7,$AD33:$BA33)+'Model Setup'!$B$8*(SUMIF($BH$3:$CE$3,"&lt;"&amp;$DF33,$AD33:$BA33)+SUMIF($BH$3:$CE$3,"&gt;"&amp;$CW$4,$AD33:$BA33)),
IF(BI$3=$DF33+'Model Setup'!$C$7,SUMIF($BH$3:$CE$3,"="&amp;$DF33+'Model Setup'!$C$7,$AD33:$BA33)+'Model Setup'!$C$8*(SUMIF($BH$3:$CE$3,"&lt;"&amp;$DF33,$AD33:$BA33)+SUMIF($BH$3:$CE$3,"&gt;"&amp;$CW$4,$AD33:$BA33)),
IF(BI$3=$DF33+'Model Setup'!$D$7,SUMIF($BH$3:$CE$3,"="&amp;$DF33+'Model Setup'!$D$7,$AD33:$BA33)+'Model Setup'!$D$8*(SUMIF($BH$3:$CE$3,"&lt;"&amp;$DF33,$AD33:$BA33)+SUMIF($BH$3:$CE$3,"&gt;"&amp;$CW$4,$AD33:$BA33)),
IF(BI$3=$DF33+'Model Setup'!$E$7,SUMIF($BH$3:$CE$3,"="&amp;$DF33+'Model Setup'!$E$7,$AD33:$BA33)+'Model Setup'!$E$8*(SUMIF($BH$3:$CE$3,"&lt;"&amp;$DF33,$AD33:$BA33)+SUMIF($BH$3:$CE$3,"&gt;"&amp;$CW$4,$AD33:$BA33)),
IF(BI$3=$DF33+'Model Setup'!$F$7,SUMIF($BH$3:$CE$3,"="&amp;$DF33+'Model Setup'!$F$7,$AD33:$BA33)+'Model Setup'!$F$8*(SUMIF($BH$3:$CE$3,"&lt;"&amp;$DF33,$AD33:$BA33)+SUMIF($BH$3:$CE$3,"&gt;"&amp;$CW$4,$AD33:$BA33)),
IF(BI$3=$DF33+'Model Setup'!$G$7,SUMIF($BH$3:$CE$3,"="&amp;$DF33+'Model Setup'!$G$7,$AD33:$BA33)+'Model Setup'!$G$8*(SUMIF($BH$3:$CE$3,"&lt;"&amp;$DF33,$AD33:$BA33)+SUMIF($BH$3:$CE$3,"&gt;"&amp;$CW$4,$AD33:$BA33)),
IF(BI$3=$DF33+'Model Setup'!$H$7,SUMIF($BH$3:$CE$3,"="&amp;$DF33+'Model Setup'!$H$7,$AD33:$BA33)+'Model Setup'!$H$8*(SUMIF($BH$3:$CE$3,"&lt;"&amp;$DF33,$AD33:$BA33)+SUMIF($BH$3:$CE$3,"&gt;"&amp;$CW$4,$AD33:$BA33)),
IF(BI$3=$DF33+'Model Setup'!$I$7,SUMIF($BH$3:$CE$3,"="&amp;$DF33+'Model Setup'!$I$7,$AD33:$BA33)+'Model Setup'!$I$8*(SUMIF($BH$3:$CE$3,"&lt;"&amp;$DF33,$AD33:$BA33)+SUMIF($BH$3:$CE$3,"&gt;"&amp;$CW$4,$AD33:$BA33)),
IF(BI$3=$DF33+'Model Setup'!$J$7,SUMIF($BH$3:$CE$3,"="&amp;$DF33+'Model Setup'!$J$7,$AD33:$BA33)+'Model Setup'!$J$8*(SUMIF($BH$3:$CE$3,"&lt;"&amp;$DF33,$AD33:$BA33)+SUMIF($BH$3:$CE$3,"&gt;"&amp;$CW$4,$AD33:$BA33)),
IF(BI$3=$DF33+'Model Setup'!$K$7,SUMIF($BH$3:$CE$3,"="&amp;$DF33+'Model Setup'!$K$7,$AD33:$BA33)+'Model Setup'!$K$8*(SUMIF($BH$3:$CE$3,"&lt;"&amp;$DF33,$AD33:$BA33)+SUMIF($BH$3:$CE$3,"&gt;"&amp;$CW$4,$AD33:$BA33)),
IF(BI$3=$DF33+'Model Setup'!$L$7,SUMIF($BH$3:$CE$3,"="&amp;$DF33+'Model Setup'!$L$7,$AD33:$BA33)+'Model Setup'!$L$8*(SUMIF($BH$3:$CE$3,"&lt;"&amp;$DF33,$AD33:$BA33)+SUMIF($BH$3:$CE$3,"&gt;"&amp;$CW$4,$AD33:$BA33)),
IF(BI$3=$DF33+'Model Setup'!$M$7,SUMIF($BH$3:$CE$3,"="&amp;$DF33+'Model Setup'!$M$7,$AD33:$BA33)+'Model Setup'!$M$8*(SUMIF($BH$3:$CE$3,"&lt;"&amp;$DF33,$AD33:$BA33)+SUMIF($BH$3:$CE$3,"&gt;"&amp;$CW$4,$AD33:$BA33)),
IF(BI$3=$DF33+'Model Setup'!$N$7,SUMIF($BH$3:$CE$3,"="&amp;$DF33+'Model Setup'!$N$7,$AD33:$BA33)+'Model Setup'!$N$8*(SUMIF($BH$3:$CE$3,"&lt;"&amp;$DF33,$AD33:$BA33)+SUMIF($BH$3:$CE$3,"&gt;"&amp;$CW$4,$AD33:$BA33)),
IF(BI$3&lt;$CW$4,C33,0))))))))))))))),0)</f>
        <v>0</v>
      </c>
      <c r="BJ33" s="47">
        <f>ROUND(IF(OR(BJ$3&lt;$DF33,BJ$3&gt;$CW$4),0,
IF(BJ$3=$DF33+'Model Setup'!$B$7,SUMIF($BH$3:$CE$3,"="&amp;$DF33+'Model Setup'!$B$7,$AD33:$BA33)+'Model Setup'!$B$8*(SUMIF($BH$3:$CE$3,"&lt;"&amp;$DF33,$AD33:$BA33)+SUMIF($BH$3:$CE$3,"&gt;"&amp;$CW$4,$AD33:$BA33)),
IF(BJ$3=$DF33+'Model Setup'!$C$7,SUMIF($BH$3:$CE$3,"="&amp;$DF33+'Model Setup'!$C$7,$AD33:$BA33)+'Model Setup'!$C$8*(SUMIF($BH$3:$CE$3,"&lt;"&amp;$DF33,$AD33:$BA33)+SUMIF($BH$3:$CE$3,"&gt;"&amp;$CW$4,$AD33:$BA33)),
IF(BJ$3=$DF33+'Model Setup'!$D$7,SUMIF($BH$3:$CE$3,"="&amp;$DF33+'Model Setup'!$D$7,$AD33:$BA33)+'Model Setup'!$D$8*(SUMIF($BH$3:$CE$3,"&lt;"&amp;$DF33,$AD33:$BA33)+SUMIF($BH$3:$CE$3,"&gt;"&amp;$CW$4,$AD33:$BA33)),
IF(BJ$3=$DF33+'Model Setup'!$E$7,SUMIF($BH$3:$CE$3,"="&amp;$DF33+'Model Setup'!$E$7,$AD33:$BA33)+'Model Setup'!$E$8*(SUMIF($BH$3:$CE$3,"&lt;"&amp;$DF33,$AD33:$BA33)+SUMIF($BH$3:$CE$3,"&gt;"&amp;$CW$4,$AD33:$BA33)),
IF(BJ$3=$DF33+'Model Setup'!$F$7,SUMIF($BH$3:$CE$3,"="&amp;$DF33+'Model Setup'!$F$7,$AD33:$BA33)+'Model Setup'!$F$8*(SUMIF($BH$3:$CE$3,"&lt;"&amp;$DF33,$AD33:$BA33)+SUMIF($BH$3:$CE$3,"&gt;"&amp;$CW$4,$AD33:$BA33)),
IF(BJ$3=$DF33+'Model Setup'!$G$7,SUMIF($BH$3:$CE$3,"="&amp;$DF33+'Model Setup'!$G$7,$AD33:$BA33)+'Model Setup'!$G$8*(SUMIF($BH$3:$CE$3,"&lt;"&amp;$DF33,$AD33:$BA33)+SUMIF($BH$3:$CE$3,"&gt;"&amp;$CW$4,$AD33:$BA33)),
IF(BJ$3=$DF33+'Model Setup'!$H$7,SUMIF($BH$3:$CE$3,"="&amp;$DF33+'Model Setup'!$H$7,$AD33:$BA33)+'Model Setup'!$H$8*(SUMIF($BH$3:$CE$3,"&lt;"&amp;$DF33,$AD33:$BA33)+SUMIF($BH$3:$CE$3,"&gt;"&amp;$CW$4,$AD33:$BA33)),
IF(BJ$3=$DF33+'Model Setup'!$I$7,SUMIF($BH$3:$CE$3,"="&amp;$DF33+'Model Setup'!$I$7,$AD33:$BA33)+'Model Setup'!$I$8*(SUMIF($BH$3:$CE$3,"&lt;"&amp;$DF33,$AD33:$BA33)+SUMIF($BH$3:$CE$3,"&gt;"&amp;$CW$4,$AD33:$BA33)),
IF(BJ$3=$DF33+'Model Setup'!$J$7,SUMIF($BH$3:$CE$3,"="&amp;$DF33+'Model Setup'!$J$7,$AD33:$BA33)+'Model Setup'!$J$8*(SUMIF($BH$3:$CE$3,"&lt;"&amp;$DF33,$AD33:$BA33)+SUMIF($BH$3:$CE$3,"&gt;"&amp;$CW$4,$AD33:$BA33)),
IF(BJ$3=$DF33+'Model Setup'!$K$7,SUMIF($BH$3:$CE$3,"="&amp;$DF33+'Model Setup'!$K$7,$AD33:$BA33)+'Model Setup'!$K$8*(SUMIF($BH$3:$CE$3,"&lt;"&amp;$DF33,$AD33:$BA33)+SUMIF($BH$3:$CE$3,"&gt;"&amp;$CW$4,$AD33:$BA33)),
IF(BJ$3=$DF33+'Model Setup'!$L$7,SUMIF($BH$3:$CE$3,"="&amp;$DF33+'Model Setup'!$L$7,$AD33:$BA33)+'Model Setup'!$L$8*(SUMIF($BH$3:$CE$3,"&lt;"&amp;$DF33,$AD33:$BA33)+SUMIF($BH$3:$CE$3,"&gt;"&amp;$CW$4,$AD33:$BA33)),
IF(BJ$3=$DF33+'Model Setup'!$M$7,SUMIF($BH$3:$CE$3,"="&amp;$DF33+'Model Setup'!$M$7,$AD33:$BA33)+'Model Setup'!$M$8*(SUMIF($BH$3:$CE$3,"&lt;"&amp;$DF33,$AD33:$BA33)+SUMIF($BH$3:$CE$3,"&gt;"&amp;$CW$4,$AD33:$BA33)),
IF(BJ$3=$DF33+'Model Setup'!$N$7,SUMIF($BH$3:$CE$3,"="&amp;$DF33+'Model Setup'!$N$7,$AD33:$BA33)+'Model Setup'!$N$8*(SUMIF($BH$3:$CE$3,"&lt;"&amp;$DF33,$AD33:$BA33)+SUMIF($BH$3:$CE$3,"&gt;"&amp;$CW$4,$AD33:$BA33)),
IF(BJ$3&lt;$CW$4,D33,0))))))))))))))),0)</f>
        <v>0</v>
      </c>
      <c r="BK33" s="47">
        <f>ROUND(IF(OR(BK$3&lt;$DF33,BK$3&gt;$CW$4),0,
IF(BK$3=$DF33+'Model Setup'!$B$7,SUMIF($BH$3:$CE$3,"="&amp;$DF33+'Model Setup'!$B$7,$AD33:$BA33)+'Model Setup'!$B$8*(SUMIF($BH$3:$CE$3,"&lt;"&amp;$DF33,$AD33:$BA33)+SUMIF($BH$3:$CE$3,"&gt;"&amp;$CW$4,$AD33:$BA33)),
IF(BK$3=$DF33+'Model Setup'!$C$7,SUMIF($BH$3:$CE$3,"="&amp;$DF33+'Model Setup'!$C$7,$AD33:$BA33)+'Model Setup'!$C$8*(SUMIF($BH$3:$CE$3,"&lt;"&amp;$DF33,$AD33:$BA33)+SUMIF($BH$3:$CE$3,"&gt;"&amp;$CW$4,$AD33:$BA33)),
IF(BK$3=$DF33+'Model Setup'!$D$7,SUMIF($BH$3:$CE$3,"="&amp;$DF33+'Model Setup'!$D$7,$AD33:$BA33)+'Model Setup'!$D$8*(SUMIF($BH$3:$CE$3,"&lt;"&amp;$DF33,$AD33:$BA33)+SUMIF($BH$3:$CE$3,"&gt;"&amp;$CW$4,$AD33:$BA33)),
IF(BK$3=$DF33+'Model Setup'!$E$7,SUMIF($BH$3:$CE$3,"="&amp;$DF33+'Model Setup'!$E$7,$AD33:$BA33)+'Model Setup'!$E$8*(SUMIF($BH$3:$CE$3,"&lt;"&amp;$DF33,$AD33:$BA33)+SUMIF($BH$3:$CE$3,"&gt;"&amp;$CW$4,$AD33:$BA33)),
IF(BK$3=$DF33+'Model Setup'!$F$7,SUMIF($BH$3:$CE$3,"="&amp;$DF33+'Model Setup'!$F$7,$AD33:$BA33)+'Model Setup'!$F$8*(SUMIF($BH$3:$CE$3,"&lt;"&amp;$DF33,$AD33:$BA33)+SUMIF($BH$3:$CE$3,"&gt;"&amp;$CW$4,$AD33:$BA33)),
IF(BK$3=$DF33+'Model Setup'!$G$7,SUMIF($BH$3:$CE$3,"="&amp;$DF33+'Model Setup'!$G$7,$AD33:$BA33)+'Model Setup'!$G$8*(SUMIF($BH$3:$CE$3,"&lt;"&amp;$DF33,$AD33:$BA33)+SUMIF($BH$3:$CE$3,"&gt;"&amp;$CW$4,$AD33:$BA33)),
IF(BK$3=$DF33+'Model Setup'!$H$7,SUMIF($BH$3:$CE$3,"="&amp;$DF33+'Model Setup'!$H$7,$AD33:$BA33)+'Model Setup'!$H$8*(SUMIF($BH$3:$CE$3,"&lt;"&amp;$DF33,$AD33:$BA33)+SUMIF($BH$3:$CE$3,"&gt;"&amp;$CW$4,$AD33:$BA33)),
IF(BK$3=$DF33+'Model Setup'!$I$7,SUMIF($BH$3:$CE$3,"="&amp;$DF33+'Model Setup'!$I$7,$AD33:$BA33)+'Model Setup'!$I$8*(SUMIF($BH$3:$CE$3,"&lt;"&amp;$DF33,$AD33:$BA33)+SUMIF($BH$3:$CE$3,"&gt;"&amp;$CW$4,$AD33:$BA33)),
IF(BK$3=$DF33+'Model Setup'!$J$7,SUMIF($BH$3:$CE$3,"="&amp;$DF33+'Model Setup'!$J$7,$AD33:$BA33)+'Model Setup'!$J$8*(SUMIF($BH$3:$CE$3,"&lt;"&amp;$DF33,$AD33:$BA33)+SUMIF($BH$3:$CE$3,"&gt;"&amp;$CW$4,$AD33:$BA33)),
IF(BK$3=$DF33+'Model Setup'!$K$7,SUMIF($BH$3:$CE$3,"="&amp;$DF33+'Model Setup'!$K$7,$AD33:$BA33)+'Model Setup'!$K$8*(SUMIF($BH$3:$CE$3,"&lt;"&amp;$DF33,$AD33:$BA33)+SUMIF($BH$3:$CE$3,"&gt;"&amp;$CW$4,$AD33:$BA33)),
IF(BK$3=$DF33+'Model Setup'!$L$7,SUMIF($BH$3:$CE$3,"="&amp;$DF33+'Model Setup'!$L$7,$AD33:$BA33)+'Model Setup'!$L$8*(SUMIF($BH$3:$CE$3,"&lt;"&amp;$DF33,$AD33:$BA33)+SUMIF($BH$3:$CE$3,"&gt;"&amp;$CW$4,$AD33:$BA33)),
IF(BK$3=$DF33+'Model Setup'!$M$7,SUMIF($BH$3:$CE$3,"="&amp;$DF33+'Model Setup'!$M$7,$AD33:$BA33)+'Model Setup'!$M$8*(SUMIF($BH$3:$CE$3,"&lt;"&amp;$DF33,$AD33:$BA33)+SUMIF($BH$3:$CE$3,"&gt;"&amp;$CW$4,$AD33:$BA33)),
IF(BK$3=$DF33+'Model Setup'!$N$7,SUMIF($BH$3:$CE$3,"="&amp;$DF33+'Model Setup'!$N$7,$AD33:$BA33)+'Model Setup'!$N$8*(SUMIF($BH$3:$CE$3,"&lt;"&amp;$DF33,$AD33:$BA33)+SUMIF($BH$3:$CE$3,"&gt;"&amp;$CW$4,$AD33:$BA33)),
IF(BK$3&lt;$CW$4,E33,0))))))))))))))),0)</f>
        <v>0</v>
      </c>
      <c r="BL33" s="47">
        <f>ROUND(IF(OR(BL$3&lt;$DF33,BL$3&gt;$CW$4),0,
IF(BL$3=$DF33+'Model Setup'!$B$7,SUMIF($BH$3:$CE$3,"="&amp;$DF33+'Model Setup'!$B$7,$AD33:$BA33)+'Model Setup'!$B$8*(SUMIF($BH$3:$CE$3,"&lt;"&amp;$DF33,$AD33:$BA33)+SUMIF($BH$3:$CE$3,"&gt;"&amp;$CW$4,$AD33:$BA33)),
IF(BL$3=$DF33+'Model Setup'!$C$7,SUMIF($BH$3:$CE$3,"="&amp;$DF33+'Model Setup'!$C$7,$AD33:$BA33)+'Model Setup'!$C$8*(SUMIF($BH$3:$CE$3,"&lt;"&amp;$DF33,$AD33:$BA33)+SUMIF($BH$3:$CE$3,"&gt;"&amp;$CW$4,$AD33:$BA33)),
IF(BL$3=$DF33+'Model Setup'!$D$7,SUMIF($BH$3:$CE$3,"="&amp;$DF33+'Model Setup'!$D$7,$AD33:$BA33)+'Model Setup'!$D$8*(SUMIF($BH$3:$CE$3,"&lt;"&amp;$DF33,$AD33:$BA33)+SUMIF($BH$3:$CE$3,"&gt;"&amp;$CW$4,$AD33:$BA33)),
IF(BL$3=$DF33+'Model Setup'!$E$7,SUMIF($BH$3:$CE$3,"="&amp;$DF33+'Model Setup'!$E$7,$AD33:$BA33)+'Model Setup'!$E$8*(SUMIF($BH$3:$CE$3,"&lt;"&amp;$DF33,$AD33:$BA33)+SUMIF($BH$3:$CE$3,"&gt;"&amp;$CW$4,$AD33:$BA33)),
IF(BL$3=$DF33+'Model Setup'!$F$7,SUMIF($BH$3:$CE$3,"="&amp;$DF33+'Model Setup'!$F$7,$AD33:$BA33)+'Model Setup'!$F$8*(SUMIF($BH$3:$CE$3,"&lt;"&amp;$DF33,$AD33:$BA33)+SUMIF($BH$3:$CE$3,"&gt;"&amp;$CW$4,$AD33:$BA33)),
IF(BL$3=$DF33+'Model Setup'!$G$7,SUMIF($BH$3:$CE$3,"="&amp;$DF33+'Model Setup'!$G$7,$AD33:$BA33)+'Model Setup'!$G$8*(SUMIF($BH$3:$CE$3,"&lt;"&amp;$DF33,$AD33:$BA33)+SUMIF($BH$3:$CE$3,"&gt;"&amp;$CW$4,$AD33:$BA33)),
IF(BL$3=$DF33+'Model Setup'!$H$7,SUMIF($BH$3:$CE$3,"="&amp;$DF33+'Model Setup'!$H$7,$AD33:$BA33)+'Model Setup'!$H$8*(SUMIF($BH$3:$CE$3,"&lt;"&amp;$DF33,$AD33:$BA33)+SUMIF($BH$3:$CE$3,"&gt;"&amp;$CW$4,$AD33:$BA33)),
IF(BL$3=$DF33+'Model Setup'!$I$7,SUMIF($BH$3:$CE$3,"="&amp;$DF33+'Model Setup'!$I$7,$AD33:$BA33)+'Model Setup'!$I$8*(SUMIF($BH$3:$CE$3,"&lt;"&amp;$DF33,$AD33:$BA33)+SUMIF($BH$3:$CE$3,"&gt;"&amp;$CW$4,$AD33:$BA33)),
IF(BL$3=$DF33+'Model Setup'!$J$7,SUMIF($BH$3:$CE$3,"="&amp;$DF33+'Model Setup'!$J$7,$AD33:$BA33)+'Model Setup'!$J$8*(SUMIF($BH$3:$CE$3,"&lt;"&amp;$DF33,$AD33:$BA33)+SUMIF($BH$3:$CE$3,"&gt;"&amp;$CW$4,$AD33:$BA33)),
IF(BL$3=$DF33+'Model Setup'!$K$7,SUMIF($BH$3:$CE$3,"="&amp;$DF33+'Model Setup'!$K$7,$AD33:$BA33)+'Model Setup'!$K$8*(SUMIF($BH$3:$CE$3,"&lt;"&amp;$DF33,$AD33:$BA33)+SUMIF($BH$3:$CE$3,"&gt;"&amp;$CW$4,$AD33:$BA33)),
IF(BL$3=$DF33+'Model Setup'!$L$7,SUMIF($BH$3:$CE$3,"="&amp;$DF33+'Model Setup'!$L$7,$AD33:$BA33)+'Model Setup'!$L$8*(SUMIF($BH$3:$CE$3,"&lt;"&amp;$DF33,$AD33:$BA33)+SUMIF($BH$3:$CE$3,"&gt;"&amp;$CW$4,$AD33:$BA33)),
IF(BL$3=$DF33+'Model Setup'!$M$7,SUMIF($BH$3:$CE$3,"="&amp;$DF33+'Model Setup'!$M$7,$AD33:$BA33)+'Model Setup'!$M$8*(SUMIF($BH$3:$CE$3,"&lt;"&amp;$DF33,$AD33:$BA33)+SUMIF($BH$3:$CE$3,"&gt;"&amp;$CW$4,$AD33:$BA33)),
IF(BL$3=$DF33+'Model Setup'!$N$7,SUMIF($BH$3:$CE$3,"="&amp;$DF33+'Model Setup'!$N$7,$AD33:$BA33)+'Model Setup'!$N$8*(SUMIF($BH$3:$CE$3,"&lt;"&amp;$DF33,$AD33:$BA33)+SUMIF($BH$3:$CE$3,"&gt;"&amp;$CW$4,$AD33:$BA33)),
IF(BL$3&lt;$CW$4,F33,0))))))))))))))),0)</f>
        <v>0</v>
      </c>
      <c r="BM33" s="47">
        <f>ROUND(IF(OR(BM$3&lt;$DF33,BM$3&gt;$CW$4),0,
IF(BM$3=$DF33+'Model Setup'!$B$7,SUMIF($BH$3:$CE$3,"="&amp;$DF33+'Model Setup'!$B$7,$AD33:$BA33)+'Model Setup'!$B$8*(SUMIF($BH$3:$CE$3,"&lt;"&amp;$DF33,$AD33:$BA33)+SUMIF($BH$3:$CE$3,"&gt;"&amp;$CW$4,$AD33:$BA33)),
IF(BM$3=$DF33+'Model Setup'!$C$7,SUMIF($BH$3:$CE$3,"="&amp;$DF33+'Model Setup'!$C$7,$AD33:$BA33)+'Model Setup'!$C$8*(SUMIF($BH$3:$CE$3,"&lt;"&amp;$DF33,$AD33:$BA33)+SUMIF($BH$3:$CE$3,"&gt;"&amp;$CW$4,$AD33:$BA33)),
IF(BM$3=$DF33+'Model Setup'!$D$7,SUMIF($BH$3:$CE$3,"="&amp;$DF33+'Model Setup'!$D$7,$AD33:$BA33)+'Model Setup'!$D$8*(SUMIF($BH$3:$CE$3,"&lt;"&amp;$DF33,$AD33:$BA33)+SUMIF($BH$3:$CE$3,"&gt;"&amp;$CW$4,$AD33:$BA33)),
IF(BM$3=$DF33+'Model Setup'!$E$7,SUMIF($BH$3:$CE$3,"="&amp;$DF33+'Model Setup'!$E$7,$AD33:$BA33)+'Model Setup'!$E$8*(SUMIF($BH$3:$CE$3,"&lt;"&amp;$DF33,$AD33:$BA33)+SUMIF($BH$3:$CE$3,"&gt;"&amp;$CW$4,$AD33:$BA33)),
IF(BM$3=$DF33+'Model Setup'!$F$7,SUMIF($BH$3:$CE$3,"="&amp;$DF33+'Model Setup'!$F$7,$AD33:$BA33)+'Model Setup'!$F$8*(SUMIF($BH$3:$CE$3,"&lt;"&amp;$DF33,$AD33:$BA33)+SUMIF($BH$3:$CE$3,"&gt;"&amp;$CW$4,$AD33:$BA33)),
IF(BM$3=$DF33+'Model Setup'!$G$7,SUMIF($BH$3:$CE$3,"="&amp;$DF33+'Model Setup'!$G$7,$AD33:$BA33)+'Model Setup'!$G$8*(SUMIF($BH$3:$CE$3,"&lt;"&amp;$DF33,$AD33:$BA33)+SUMIF($BH$3:$CE$3,"&gt;"&amp;$CW$4,$AD33:$BA33)),
IF(BM$3=$DF33+'Model Setup'!$H$7,SUMIF($BH$3:$CE$3,"="&amp;$DF33+'Model Setup'!$H$7,$AD33:$BA33)+'Model Setup'!$H$8*(SUMIF($BH$3:$CE$3,"&lt;"&amp;$DF33,$AD33:$BA33)+SUMIF($BH$3:$CE$3,"&gt;"&amp;$CW$4,$AD33:$BA33)),
IF(BM$3=$DF33+'Model Setup'!$I$7,SUMIF($BH$3:$CE$3,"="&amp;$DF33+'Model Setup'!$I$7,$AD33:$BA33)+'Model Setup'!$I$8*(SUMIF($BH$3:$CE$3,"&lt;"&amp;$DF33,$AD33:$BA33)+SUMIF($BH$3:$CE$3,"&gt;"&amp;$CW$4,$AD33:$BA33)),
IF(BM$3=$DF33+'Model Setup'!$J$7,SUMIF($BH$3:$CE$3,"="&amp;$DF33+'Model Setup'!$J$7,$AD33:$BA33)+'Model Setup'!$J$8*(SUMIF($BH$3:$CE$3,"&lt;"&amp;$DF33,$AD33:$BA33)+SUMIF($BH$3:$CE$3,"&gt;"&amp;$CW$4,$AD33:$BA33)),
IF(BM$3=$DF33+'Model Setup'!$K$7,SUMIF($BH$3:$CE$3,"="&amp;$DF33+'Model Setup'!$K$7,$AD33:$BA33)+'Model Setup'!$K$8*(SUMIF($BH$3:$CE$3,"&lt;"&amp;$DF33,$AD33:$BA33)+SUMIF($BH$3:$CE$3,"&gt;"&amp;$CW$4,$AD33:$BA33)),
IF(BM$3=$DF33+'Model Setup'!$L$7,SUMIF($BH$3:$CE$3,"="&amp;$DF33+'Model Setup'!$L$7,$AD33:$BA33)+'Model Setup'!$L$8*(SUMIF($BH$3:$CE$3,"&lt;"&amp;$DF33,$AD33:$BA33)+SUMIF($BH$3:$CE$3,"&gt;"&amp;$CW$4,$AD33:$BA33)),
IF(BM$3=$DF33+'Model Setup'!$M$7,SUMIF($BH$3:$CE$3,"="&amp;$DF33+'Model Setup'!$M$7,$AD33:$BA33)+'Model Setup'!$M$8*(SUMIF($BH$3:$CE$3,"&lt;"&amp;$DF33,$AD33:$BA33)+SUMIF($BH$3:$CE$3,"&gt;"&amp;$CW$4,$AD33:$BA33)),
IF(BM$3=$DF33+'Model Setup'!$N$7,SUMIF($BH$3:$CE$3,"="&amp;$DF33+'Model Setup'!$N$7,$AD33:$BA33)+'Model Setup'!$N$8*(SUMIF($BH$3:$CE$3,"&lt;"&amp;$DF33,$AD33:$BA33)+SUMIF($BH$3:$CE$3,"&gt;"&amp;$CW$4,$AD33:$BA33)),
IF(BM$3&lt;$CW$4,G33,0))))))))))))))),0)</f>
        <v>0</v>
      </c>
      <c r="BN33" s="47">
        <f>ROUND(IF(OR(BN$3&lt;$DF33,BN$3&gt;$CW$4),0,
IF(BN$3=$DF33+'Model Setup'!$B$7,SUMIF($BH$3:$CE$3,"="&amp;$DF33+'Model Setup'!$B$7,$AD33:$BA33)+'Model Setup'!$B$8*(SUMIF($BH$3:$CE$3,"&lt;"&amp;$DF33,$AD33:$BA33)+SUMIF($BH$3:$CE$3,"&gt;"&amp;$CW$4,$AD33:$BA33)),
IF(BN$3=$DF33+'Model Setup'!$C$7,SUMIF($BH$3:$CE$3,"="&amp;$DF33+'Model Setup'!$C$7,$AD33:$BA33)+'Model Setup'!$C$8*(SUMIF($BH$3:$CE$3,"&lt;"&amp;$DF33,$AD33:$BA33)+SUMIF($BH$3:$CE$3,"&gt;"&amp;$CW$4,$AD33:$BA33)),
IF(BN$3=$DF33+'Model Setup'!$D$7,SUMIF($BH$3:$CE$3,"="&amp;$DF33+'Model Setup'!$D$7,$AD33:$BA33)+'Model Setup'!$D$8*(SUMIF($BH$3:$CE$3,"&lt;"&amp;$DF33,$AD33:$BA33)+SUMIF($BH$3:$CE$3,"&gt;"&amp;$CW$4,$AD33:$BA33)),
IF(BN$3=$DF33+'Model Setup'!$E$7,SUMIF($BH$3:$CE$3,"="&amp;$DF33+'Model Setup'!$E$7,$AD33:$BA33)+'Model Setup'!$E$8*(SUMIF($BH$3:$CE$3,"&lt;"&amp;$DF33,$AD33:$BA33)+SUMIF($BH$3:$CE$3,"&gt;"&amp;$CW$4,$AD33:$BA33)),
IF(BN$3=$DF33+'Model Setup'!$F$7,SUMIF($BH$3:$CE$3,"="&amp;$DF33+'Model Setup'!$F$7,$AD33:$BA33)+'Model Setup'!$F$8*(SUMIF($BH$3:$CE$3,"&lt;"&amp;$DF33,$AD33:$BA33)+SUMIF($BH$3:$CE$3,"&gt;"&amp;$CW$4,$AD33:$BA33)),
IF(BN$3=$DF33+'Model Setup'!$G$7,SUMIF($BH$3:$CE$3,"="&amp;$DF33+'Model Setup'!$G$7,$AD33:$BA33)+'Model Setup'!$G$8*(SUMIF($BH$3:$CE$3,"&lt;"&amp;$DF33,$AD33:$BA33)+SUMIF($BH$3:$CE$3,"&gt;"&amp;$CW$4,$AD33:$BA33)),
IF(BN$3=$DF33+'Model Setup'!$H$7,SUMIF($BH$3:$CE$3,"="&amp;$DF33+'Model Setup'!$H$7,$AD33:$BA33)+'Model Setup'!$H$8*(SUMIF($BH$3:$CE$3,"&lt;"&amp;$DF33,$AD33:$BA33)+SUMIF($BH$3:$CE$3,"&gt;"&amp;$CW$4,$AD33:$BA33)),
IF(BN$3=$DF33+'Model Setup'!$I$7,SUMIF($BH$3:$CE$3,"="&amp;$DF33+'Model Setup'!$I$7,$AD33:$BA33)+'Model Setup'!$I$8*(SUMIF($BH$3:$CE$3,"&lt;"&amp;$DF33,$AD33:$BA33)+SUMIF($BH$3:$CE$3,"&gt;"&amp;$CW$4,$AD33:$BA33)),
IF(BN$3=$DF33+'Model Setup'!$J$7,SUMIF($BH$3:$CE$3,"="&amp;$DF33+'Model Setup'!$J$7,$AD33:$BA33)+'Model Setup'!$J$8*(SUMIF($BH$3:$CE$3,"&lt;"&amp;$DF33,$AD33:$BA33)+SUMIF($BH$3:$CE$3,"&gt;"&amp;$CW$4,$AD33:$BA33)),
IF(BN$3=$DF33+'Model Setup'!$K$7,SUMIF($BH$3:$CE$3,"="&amp;$DF33+'Model Setup'!$K$7,$AD33:$BA33)+'Model Setup'!$K$8*(SUMIF($BH$3:$CE$3,"&lt;"&amp;$DF33,$AD33:$BA33)+SUMIF($BH$3:$CE$3,"&gt;"&amp;$CW$4,$AD33:$BA33)),
IF(BN$3=$DF33+'Model Setup'!$L$7,SUMIF($BH$3:$CE$3,"="&amp;$DF33+'Model Setup'!$L$7,$AD33:$BA33)+'Model Setup'!$L$8*(SUMIF($BH$3:$CE$3,"&lt;"&amp;$DF33,$AD33:$BA33)+SUMIF($BH$3:$CE$3,"&gt;"&amp;$CW$4,$AD33:$BA33)),
IF(BN$3=$DF33+'Model Setup'!$M$7,SUMIF($BH$3:$CE$3,"="&amp;$DF33+'Model Setup'!$M$7,$AD33:$BA33)+'Model Setup'!$M$8*(SUMIF($BH$3:$CE$3,"&lt;"&amp;$DF33,$AD33:$BA33)+SUMIF($BH$3:$CE$3,"&gt;"&amp;$CW$4,$AD33:$BA33)),
IF(BN$3=$DF33+'Model Setup'!$N$7,SUMIF($BH$3:$CE$3,"="&amp;$DF33+'Model Setup'!$N$7,$AD33:$BA33)+'Model Setup'!$N$8*(SUMIF($BH$3:$CE$3,"&lt;"&amp;$DF33,$AD33:$BA33)+SUMIF($BH$3:$CE$3,"&gt;"&amp;$CW$4,$AD33:$BA33)),
IF(BN$3&lt;$CW$4,H33,0))))))))))))))),0)</f>
        <v>10</v>
      </c>
      <c r="BO33" s="47">
        <f>ROUND(IF(OR(BO$3&lt;$DF33,BO$3&gt;$CW$4),0,
IF(BO$3=$DF33+'Model Setup'!$B$7,SUMIF($BH$3:$CE$3,"="&amp;$DF33+'Model Setup'!$B$7,$AD33:$BA33)+'Model Setup'!$B$8*(SUMIF($BH$3:$CE$3,"&lt;"&amp;$DF33,$AD33:$BA33)+SUMIF($BH$3:$CE$3,"&gt;"&amp;$CW$4,$AD33:$BA33)),
IF(BO$3=$DF33+'Model Setup'!$C$7,SUMIF($BH$3:$CE$3,"="&amp;$DF33+'Model Setup'!$C$7,$AD33:$BA33)+'Model Setup'!$C$8*(SUMIF($BH$3:$CE$3,"&lt;"&amp;$DF33,$AD33:$BA33)+SUMIF($BH$3:$CE$3,"&gt;"&amp;$CW$4,$AD33:$BA33)),
IF(BO$3=$DF33+'Model Setup'!$D$7,SUMIF($BH$3:$CE$3,"="&amp;$DF33+'Model Setup'!$D$7,$AD33:$BA33)+'Model Setup'!$D$8*(SUMIF($BH$3:$CE$3,"&lt;"&amp;$DF33,$AD33:$BA33)+SUMIF($BH$3:$CE$3,"&gt;"&amp;$CW$4,$AD33:$BA33)),
IF(BO$3=$DF33+'Model Setup'!$E$7,SUMIF($BH$3:$CE$3,"="&amp;$DF33+'Model Setup'!$E$7,$AD33:$BA33)+'Model Setup'!$E$8*(SUMIF($BH$3:$CE$3,"&lt;"&amp;$DF33,$AD33:$BA33)+SUMIF($BH$3:$CE$3,"&gt;"&amp;$CW$4,$AD33:$BA33)),
IF(BO$3=$DF33+'Model Setup'!$F$7,SUMIF($BH$3:$CE$3,"="&amp;$DF33+'Model Setup'!$F$7,$AD33:$BA33)+'Model Setup'!$F$8*(SUMIF($BH$3:$CE$3,"&lt;"&amp;$DF33,$AD33:$BA33)+SUMIF($BH$3:$CE$3,"&gt;"&amp;$CW$4,$AD33:$BA33)),
IF(BO$3=$DF33+'Model Setup'!$G$7,SUMIF($BH$3:$CE$3,"="&amp;$DF33+'Model Setup'!$G$7,$AD33:$BA33)+'Model Setup'!$G$8*(SUMIF($BH$3:$CE$3,"&lt;"&amp;$DF33,$AD33:$BA33)+SUMIF($BH$3:$CE$3,"&gt;"&amp;$CW$4,$AD33:$BA33)),
IF(BO$3=$DF33+'Model Setup'!$H$7,SUMIF($BH$3:$CE$3,"="&amp;$DF33+'Model Setup'!$H$7,$AD33:$BA33)+'Model Setup'!$H$8*(SUMIF($BH$3:$CE$3,"&lt;"&amp;$DF33,$AD33:$BA33)+SUMIF($BH$3:$CE$3,"&gt;"&amp;$CW$4,$AD33:$BA33)),
IF(BO$3=$DF33+'Model Setup'!$I$7,SUMIF($BH$3:$CE$3,"="&amp;$DF33+'Model Setup'!$I$7,$AD33:$BA33)+'Model Setup'!$I$8*(SUMIF($BH$3:$CE$3,"&lt;"&amp;$DF33,$AD33:$BA33)+SUMIF($BH$3:$CE$3,"&gt;"&amp;$CW$4,$AD33:$BA33)),
IF(BO$3=$DF33+'Model Setup'!$J$7,SUMIF($BH$3:$CE$3,"="&amp;$DF33+'Model Setup'!$J$7,$AD33:$BA33)+'Model Setup'!$J$8*(SUMIF($BH$3:$CE$3,"&lt;"&amp;$DF33,$AD33:$BA33)+SUMIF($BH$3:$CE$3,"&gt;"&amp;$CW$4,$AD33:$BA33)),
IF(BO$3=$DF33+'Model Setup'!$K$7,SUMIF($BH$3:$CE$3,"="&amp;$DF33+'Model Setup'!$K$7,$AD33:$BA33)+'Model Setup'!$K$8*(SUMIF($BH$3:$CE$3,"&lt;"&amp;$DF33,$AD33:$BA33)+SUMIF($BH$3:$CE$3,"&gt;"&amp;$CW$4,$AD33:$BA33)),
IF(BO$3=$DF33+'Model Setup'!$L$7,SUMIF($BH$3:$CE$3,"="&amp;$DF33+'Model Setup'!$L$7,$AD33:$BA33)+'Model Setup'!$L$8*(SUMIF($BH$3:$CE$3,"&lt;"&amp;$DF33,$AD33:$BA33)+SUMIF($BH$3:$CE$3,"&gt;"&amp;$CW$4,$AD33:$BA33)),
IF(BO$3=$DF33+'Model Setup'!$M$7,SUMIF($BH$3:$CE$3,"="&amp;$DF33+'Model Setup'!$M$7,$AD33:$BA33)+'Model Setup'!$M$8*(SUMIF($BH$3:$CE$3,"&lt;"&amp;$DF33,$AD33:$BA33)+SUMIF($BH$3:$CE$3,"&gt;"&amp;$CW$4,$AD33:$BA33)),
IF(BO$3=$DF33+'Model Setup'!$N$7,SUMIF($BH$3:$CE$3,"="&amp;$DF33+'Model Setup'!$N$7,$AD33:$BA33)+'Model Setup'!$N$8*(SUMIF($BH$3:$CE$3,"&lt;"&amp;$DF33,$AD33:$BA33)+SUMIF($BH$3:$CE$3,"&gt;"&amp;$CW$4,$AD33:$BA33)),
IF(BO$3&lt;$CW$4,I33,0))))))))))))))),0)</f>
        <v>7</v>
      </c>
      <c r="BP33" s="47">
        <f>ROUND(IF(OR(BP$3&lt;$DF33,BP$3&gt;$CW$4),0,
IF(BP$3=$DF33+'Model Setup'!$B$7,SUMIF($BH$3:$CE$3,"="&amp;$DF33+'Model Setup'!$B$7,$AD33:$BA33)+'Model Setup'!$B$8*(SUMIF($BH$3:$CE$3,"&lt;"&amp;$DF33,$AD33:$BA33)+SUMIF($BH$3:$CE$3,"&gt;"&amp;$CW$4,$AD33:$BA33)),
IF(BP$3=$DF33+'Model Setup'!$C$7,SUMIF($BH$3:$CE$3,"="&amp;$DF33+'Model Setup'!$C$7,$AD33:$BA33)+'Model Setup'!$C$8*(SUMIF($BH$3:$CE$3,"&lt;"&amp;$DF33,$AD33:$BA33)+SUMIF($BH$3:$CE$3,"&gt;"&amp;$CW$4,$AD33:$BA33)),
IF(BP$3=$DF33+'Model Setup'!$D$7,SUMIF($BH$3:$CE$3,"="&amp;$DF33+'Model Setup'!$D$7,$AD33:$BA33)+'Model Setup'!$D$8*(SUMIF($BH$3:$CE$3,"&lt;"&amp;$DF33,$AD33:$BA33)+SUMIF($BH$3:$CE$3,"&gt;"&amp;$CW$4,$AD33:$BA33)),
IF(BP$3=$DF33+'Model Setup'!$E$7,SUMIF($BH$3:$CE$3,"="&amp;$DF33+'Model Setup'!$E$7,$AD33:$BA33)+'Model Setup'!$E$8*(SUMIF($BH$3:$CE$3,"&lt;"&amp;$DF33,$AD33:$BA33)+SUMIF($BH$3:$CE$3,"&gt;"&amp;$CW$4,$AD33:$BA33)),
IF(BP$3=$DF33+'Model Setup'!$F$7,SUMIF($BH$3:$CE$3,"="&amp;$DF33+'Model Setup'!$F$7,$AD33:$BA33)+'Model Setup'!$F$8*(SUMIF($BH$3:$CE$3,"&lt;"&amp;$DF33,$AD33:$BA33)+SUMIF($BH$3:$CE$3,"&gt;"&amp;$CW$4,$AD33:$BA33)),
IF(BP$3=$DF33+'Model Setup'!$G$7,SUMIF($BH$3:$CE$3,"="&amp;$DF33+'Model Setup'!$G$7,$AD33:$BA33)+'Model Setup'!$G$8*(SUMIF($BH$3:$CE$3,"&lt;"&amp;$DF33,$AD33:$BA33)+SUMIF($BH$3:$CE$3,"&gt;"&amp;$CW$4,$AD33:$BA33)),
IF(BP$3=$DF33+'Model Setup'!$H$7,SUMIF($BH$3:$CE$3,"="&amp;$DF33+'Model Setup'!$H$7,$AD33:$BA33)+'Model Setup'!$H$8*(SUMIF($BH$3:$CE$3,"&lt;"&amp;$DF33,$AD33:$BA33)+SUMIF($BH$3:$CE$3,"&gt;"&amp;$CW$4,$AD33:$BA33)),
IF(BP$3=$DF33+'Model Setup'!$I$7,SUMIF($BH$3:$CE$3,"="&amp;$DF33+'Model Setup'!$I$7,$AD33:$BA33)+'Model Setup'!$I$8*(SUMIF($BH$3:$CE$3,"&lt;"&amp;$DF33,$AD33:$BA33)+SUMIF($BH$3:$CE$3,"&gt;"&amp;$CW$4,$AD33:$BA33)),
IF(BP$3=$DF33+'Model Setup'!$J$7,SUMIF($BH$3:$CE$3,"="&amp;$DF33+'Model Setup'!$J$7,$AD33:$BA33)+'Model Setup'!$J$8*(SUMIF($BH$3:$CE$3,"&lt;"&amp;$DF33,$AD33:$BA33)+SUMIF($BH$3:$CE$3,"&gt;"&amp;$CW$4,$AD33:$BA33)),
IF(BP$3=$DF33+'Model Setup'!$K$7,SUMIF($BH$3:$CE$3,"="&amp;$DF33+'Model Setup'!$K$7,$AD33:$BA33)+'Model Setup'!$K$8*(SUMIF($BH$3:$CE$3,"&lt;"&amp;$DF33,$AD33:$BA33)+SUMIF($BH$3:$CE$3,"&gt;"&amp;$CW$4,$AD33:$BA33)),
IF(BP$3=$DF33+'Model Setup'!$L$7,SUMIF($BH$3:$CE$3,"="&amp;$DF33+'Model Setup'!$L$7,$AD33:$BA33)+'Model Setup'!$L$8*(SUMIF($BH$3:$CE$3,"&lt;"&amp;$DF33,$AD33:$BA33)+SUMIF($BH$3:$CE$3,"&gt;"&amp;$CW$4,$AD33:$BA33)),
IF(BP$3=$DF33+'Model Setup'!$M$7,SUMIF($BH$3:$CE$3,"="&amp;$DF33+'Model Setup'!$M$7,$AD33:$BA33)+'Model Setup'!$M$8*(SUMIF($BH$3:$CE$3,"&lt;"&amp;$DF33,$AD33:$BA33)+SUMIF($BH$3:$CE$3,"&gt;"&amp;$CW$4,$AD33:$BA33)),
IF(BP$3=$DF33+'Model Setup'!$N$7,SUMIF($BH$3:$CE$3,"="&amp;$DF33+'Model Setup'!$N$7,$AD33:$BA33)+'Model Setup'!$N$8*(SUMIF($BH$3:$CE$3,"&lt;"&amp;$DF33,$AD33:$BA33)+SUMIF($BH$3:$CE$3,"&gt;"&amp;$CW$4,$AD33:$BA33)),
IF(BP$3&lt;$CW$4,J33,0))))))))))))))),0)</f>
        <v>8</v>
      </c>
      <c r="BQ33" s="47">
        <f>ROUND(IF(OR(BQ$3&lt;$DF33,BQ$3&gt;$CW$4),0,
IF(BQ$3=$DF33+'Model Setup'!$B$7,SUMIF($BH$3:$CE$3,"="&amp;$DF33+'Model Setup'!$B$7,$AD33:$BA33)+'Model Setup'!$B$8*(SUMIF($BH$3:$CE$3,"&lt;"&amp;$DF33,$AD33:$BA33)+SUMIF($BH$3:$CE$3,"&gt;"&amp;$CW$4,$AD33:$BA33)),
IF(BQ$3=$DF33+'Model Setup'!$C$7,SUMIF($BH$3:$CE$3,"="&amp;$DF33+'Model Setup'!$C$7,$AD33:$BA33)+'Model Setup'!$C$8*(SUMIF($BH$3:$CE$3,"&lt;"&amp;$DF33,$AD33:$BA33)+SUMIF($BH$3:$CE$3,"&gt;"&amp;$CW$4,$AD33:$BA33)),
IF(BQ$3=$DF33+'Model Setup'!$D$7,SUMIF($BH$3:$CE$3,"="&amp;$DF33+'Model Setup'!$D$7,$AD33:$BA33)+'Model Setup'!$D$8*(SUMIF($BH$3:$CE$3,"&lt;"&amp;$DF33,$AD33:$BA33)+SUMIF($BH$3:$CE$3,"&gt;"&amp;$CW$4,$AD33:$BA33)),
IF(BQ$3=$DF33+'Model Setup'!$E$7,SUMIF($BH$3:$CE$3,"="&amp;$DF33+'Model Setup'!$E$7,$AD33:$BA33)+'Model Setup'!$E$8*(SUMIF($BH$3:$CE$3,"&lt;"&amp;$DF33,$AD33:$BA33)+SUMIF($BH$3:$CE$3,"&gt;"&amp;$CW$4,$AD33:$BA33)),
IF(BQ$3=$DF33+'Model Setup'!$F$7,SUMIF($BH$3:$CE$3,"="&amp;$DF33+'Model Setup'!$F$7,$AD33:$BA33)+'Model Setup'!$F$8*(SUMIF($BH$3:$CE$3,"&lt;"&amp;$DF33,$AD33:$BA33)+SUMIF($BH$3:$CE$3,"&gt;"&amp;$CW$4,$AD33:$BA33)),
IF(BQ$3=$DF33+'Model Setup'!$G$7,SUMIF($BH$3:$CE$3,"="&amp;$DF33+'Model Setup'!$G$7,$AD33:$BA33)+'Model Setup'!$G$8*(SUMIF($BH$3:$CE$3,"&lt;"&amp;$DF33,$AD33:$BA33)+SUMIF($BH$3:$CE$3,"&gt;"&amp;$CW$4,$AD33:$BA33)),
IF(BQ$3=$DF33+'Model Setup'!$H$7,SUMIF($BH$3:$CE$3,"="&amp;$DF33+'Model Setup'!$H$7,$AD33:$BA33)+'Model Setup'!$H$8*(SUMIF($BH$3:$CE$3,"&lt;"&amp;$DF33,$AD33:$BA33)+SUMIF($BH$3:$CE$3,"&gt;"&amp;$CW$4,$AD33:$BA33)),
IF(BQ$3=$DF33+'Model Setup'!$I$7,SUMIF($BH$3:$CE$3,"="&amp;$DF33+'Model Setup'!$I$7,$AD33:$BA33)+'Model Setup'!$I$8*(SUMIF($BH$3:$CE$3,"&lt;"&amp;$DF33,$AD33:$BA33)+SUMIF($BH$3:$CE$3,"&gt;"&amp;$CW$4,$AD33:$BA33)),
IF(BQ$3=$DF33+'Model Setup'!$J$7,SUMIF($BH$3:$CE$3,"="&amp;$DF33+'Model Setup'!$J$7,$AD33:$BA33)+'Model Setup'!$J$8*(SUMIF($BH$3:$CE$3,"&lt;"&amp;$DF33,$AD33:$BA33)+SUMIF($BH$3:$CE$3,"&gt;"&amp;$CW$4,$AD33:$BA33)),
IF(BQ$3=$DF33+'Model Setup'!$K$7,SUMIF($BH$3:$CE$3,"="&amp;$DF33+'Model Setup'!$K$7,$AD33:$BA33)+'Model Setup'!$K$8*(SUMIF($BH$3:$CE$3,"&lt;"&amp;$DF33,$AD33:$BA33)+SUMIF($BH$3:$CE$3,"&gt;"&amp;$CW$4,$AD33:$BA33)),
IF(BQ$3=$DF33+'Model Setup'!$L$7,SUMIF($BH$3:$CE$3,"="&amp;$DF33+'Model Setup'!$L$7,$AD33:$BA33)+'Model Setup'!$L$8*(SUMIF($BH$3:$CE$3,"&lt;"&amp;$DF33,$AD33:$BA33)+SUMIF($BH$3:$CE$3,"&gt;"&amp;$CW$4,$AD33:$BA33)),
IF(BQ$3=$DF33+'Model Setup'!$M$7,SUMIF($BH$3:$CE$3,"="&amp;$DF33+'Model Setup'!$M$7,$AD33:$BA33)+'Model Setup'!$M$8*(SUMIF($BH$3:$CE$3,"&lt;"&amp;$DF33,$AD33:$BA33)+SUMIF($BH$3:$CE$3,"&gt;"&amp;$CW$4,$AD33:$BA33)),
IF(BQ$3=$DF33+'Model Setup'!$N$7,SUMIF($BH$3:$CE$3,"="&amp;$DF33+'Model Setup'!$N$7,$AD33:$BA33)+'Model Setup'!$N$8*(SUMIF($BH$3:$CE$3,"&lt;"&amp;$DF33,$AD33:$BA33)+SUMIF($BH$3:$CE$3,"&gt;"&amp;$CW$4,$AD33:$BA33)),
IF(BQ$3&lt;$CW$4,K33,0))))))))))))))),0)</f>
        <v>15</v>
      </c>
      <c r="BR33" s="47">
        <f>ROUND(IF(OR(BR$3&lt;$DF33,BR$3&gt;$CW$4),0,
IF(BR$3=$DF33+'Model Setup'!$B$7,SUMIF($BH$3:$CE$3,"="&amp;$DF33+'Model Setup'!$B$7,$AD33:$BA33)+'Model Setup'!$B$8*(SUMIF($BH$3:$CE$3,"&lt;"&amp;$DF33,$AD33:$BA33)+SUMIF($BH$3:$CE$3,"&gt;"&amp;$CW$4,$AD33:$BA33)),
IF(BR$3=$DF33+'Model Setup'!$C$7,SUMIF($BH$3:$CE$3,"="&amp;$DF33+'Model Setup'!$C$7,$AD33:$BA33)+'Model Setup'!$C$8*(SUMIF($BH$3:$CE$3,"&lt;"&amp;$DF33,$AD33:$BA33)+SUMIF($BH$3:$CE$3,"&gt;"&amp;$CW$4,$AD33:$BA33)),
IF(BR$3=$DF33+'Model Setup'!$D$7,SUMIF($BH$3:$CE$3,"="&amp;$DF33+'Model Setup'!$D$7,$AD33:$BA33)+'Model Setup'!$D$8*(SUMIF($BH$3:$CE$3,"&lt;"&amp;$DF33,$AD33:$BA33)+SUMIF($BH$3:$CE$3,"&gt;"&amp;$CW$4,$AD33:$BA33)),
IF(BR$3=$DF33+'Model Setup'!$E$7,SUMIF($BH$3:$CE$3,"="&amp;$DF33+'Model Setup'!$E$7,$AD33:$BA33)+'Model Setup'!$E$8*(SUMIF($BH$3:$CE$3,"&lt;"&amp;$DF33,$AD33:$BA33)+SUMIF($BH$3:$CE$3,"&gt;"&amp;$CW$4,$AD33:$BA33)),
IF(BR$3=$DF33+'Model Setup'!$F$7,SUMIF($BH$3:$CE$3,"="&amp;$DF33+'Model Setup'!$F$7,$AD33:$BA33)+'Model Setup'!$F$8*(SUMIF($BH$3:$CE$3,"&lt;"&amp;$DF33,$AD33:$BA33)+SUMIF($BH$3:$CE$3,"&gt;"&amp;$CW$4,$AD33:$BA33)),
IF(BR$3=$DF33+'Model Setup'!$G$7,SUMIF($BH$3:$CE$3,"="&amp;$DF33+'Model Setup'!$G$7,$AD33:$BA33)+'Model Setup'!$G$8*(SUMIF($BH$3:$CE$3,"&lt;"&amp;$DF33,$AD33:$BA33)+SUMIF($BH$3:$CE$3,"&gt;"&amp;$CW$4,$AD33:$BA33)),
IF(BR$3=$DF33+'Model Setup'!$H$7,SUMIF($BH$3:$CE$3,"="&amp;$DF33+'Model Setup'!$H$7,$AD33:$BA33)+'Model Setup'!$H$8*(SUMIF($BH$3:$CE$3,"&lt;"&amp;$DF33,$AD33:$BA33)+SUMIF($BH$3:$CE$3,"&gt;"&amp;$CW$4,$AD33:$BA33)),
IF(BR$3=$DF33+'Model Setup'!$I$7,SUMIF($BH$3:$CE$3,"="&amp;$DF33+'Model Setup'!$I$7,$AD33:$BA33)+'Model Setup'!$I$8*(SUMIF($BH$3:$CE$3,"&lt;"&amp;$DF33,$AD33:$BA33)+SUMIF($BH$3:$CE$3,"&gt;"&amp;$CW$4,$AD33:$BA33)),
IF(BR$3=$DF33+'Model Setup'!$J$7,SUMIF($BH$3:$CE$3,"="&amp;$DF33+'Model Setup'!$J$7,$AD33:$BA33)+'Model Setup'!$J$8*(SUMIF($BH$3:$CE$3,"&lt;"&amp;$DF33,$AD33:$BA33)+SUMIF($BH$3:$CE$3,"&gt;"&amp;$CW$4,$AD33:$BA33)),
IF(BR$3=$DF33+'Model Setup'!$K$7,SUMIF($BH$3:$CE$3,"="&amp;$DF33+'Model Setup'!$K$7,$AD33:$BA33)+'Model Setup'!$K$8*(SUMIF($BH$3:$CE$3,"&lt;"&amp;$DF33,$AD33:$BA33)+SUMIF($BH$3:$CE$3,"&gt;"&amp;$CW$4,$AD33:$BA33)),
IF(BR$3=$DF33+'Model Setup'!$L$7,SUMIF($BH$3:$CE$3,"="&amp;$DF33+'Model Setup'!$L$7,$AD33:$BA33)+'Model Setup'!$L$8*(SUMIF($BH$3:$CE$3,"&lt;"&amp;$DF33,$AD33:$BA33)+SUMIF($BH$3:$CE$3,"&gt;"&amp;$CW$4,$AD33:$BA33)),
IF(BR$3=$DF33+'Model Setup'!$M$7,SUMIF($BH$3:$CE$3,"="&amp;$DF33+'Model Setup'!$M$7,$AD33:$BA33)+'Model Setup'!$M$8*(SUMIF($BH$3:$CE$3,"&lt;"&amp;$DF33,$AD33:$BA33)+SUMIF($BH$3:$CE$3,"&gt;"&amp;$CW$4,$AD33:$BA33)),
IF(BR$3=$DF33+'Model Setup'!$N$7,SUMIF($BH$3:$CE$3,"="&amp;$DF33+'Model Setup'!$N$7,$AD33:$BA33)+'Model Setup'!$N$8*(SUMIF($BH$3:$CE$3,"&lt;"&amp;$DF33,$AD33:$BA33)+SUMIF($BH$3:$CE$3,"&gt;"&amp;$CW$4,$AD33:$BA33)),
IF(BR$3&lt;$CW$4,L33,0))))))))))))))),0)</f>
        <v>11</v>
      </c>
      <c r="BS33" s="47">
        <f>ROUND(IF(OR(BS$3&lt;$DF33,BS$3&gt;$CW$4),0,
IF(BS$3=$DF33+'Model Setup'!$B$7,SUMIF($BH$3:$CE$3,"="&amp;$DF33+'Model Setup'!$B$7,$AD33:$BA33)+'Model Setup'!$B$8*(SUMIF($BH$3:$CE$3,"&lt;"&amp;$DF33,$AD33:$BA33)+SUMIF($BH$3:$CE$3,"&gt;"&amp;$CW$4,$AD33:$BA33)),
IF(BS$3=$DF33+'Model Setup'!$C$7,SUMIF($BH$3:$CE$3,"="&amp;$DF33+'Model Setup'!$C$7,$AD33:$BA33)+'Model Setup'!$C$8*(SUMIF($BH$3:$CE$3,"&lt;"&amp;$DF33,$AD33:$BA33)+SUMIF($BH$3:$CE$3,"&gt;"&amp;$CW$4,$AD33:$BA33)),
IF(BS$3=$DF33+'Model Setup'!$D$7,SUMIF($BH$3:$CE$3,"="&amp;$DF33+'Model Setup'!$D$7,$AD33:$BA33)+'Model Setup'!$D$8*(SUMIF($BH$3:$CE$3,"&lt;"&amp;$DF33,$AD33:$BA33)+SUMIF($BH$3:$CE$3,"&gt;"&amp;$CW$4,$AD33:$BA33)),
IF(BS$3=$DF33+'Model Setup'!$E$7,SUMIF($BH$3:$CE$3,"="&amp;$DF33+'Model Setup'!$E$7,$AD33:$BA33)+'Model Setup'!$E$8*(SUMIF($BH$3:$CE$3,"&lt;"&amp;$DF33,$AD33:$BA33)+SUMIF($BH$3:$CE$3,"&gt;"&amp;$CW$4,$AD33:$BA33)),
IF(BS$3=$DF33+'Model Setup'!$F$7,SUMIF($BH$3:$CE$3,"="&amp;$DF33+'Model Setup'!$F$7,$AD33:$BA33)+'Model Setup'!$F$8*(SUMIF($BH$3:$CE$3,"&lt;"&amp;$DF33,$AD33:$BA33)+SUMIF($BH$3:$CE$3,"&gt;"&amp;$CW$4,$AD33:$BA33)),
IF(BS$3=$DF33+'Model Setup'!$G$7,SUMIF($BH$3:$CE$3,"="&amp;$DF33+'Model Setup'!$G$7,$AD33:$BA33)+'Model Setup'!$G$8*(SUMIF($BH$3:$CE$3,"&lt;"&amp;$DF33,$AD33:$BA33)+SUMIF($BH$3:$CE$3,"&gt;"&amp;$CW$4,$AD33:$BA33)),
IF(BS$3=$DF33+'Model Setup'!$H$7,SUMIF($BH$3:$CE$3,"="&amp;$DF33+'Model Setup'!$H$7,$AD33:$BA33)+'Model Setup'!$H$8*(SUMIF($BH$3:$CE$3,"&lt;"&amp;$DF33,$AD33:$BA33)+SUMIF($BH$3:$CE$3,"&gt;"&amp;$CW$4,$AD33:$BA33)),
IF(BS$3=$DF33+'Model Setup'!$I$7,SUMIF($BH$3:$CE$3,"="&amp;$DF33+'Model Setup'!$I$7,$AD33:$BA33)+'Model Setup'!$I$8*(SUMIF($BH$3:$CE$3,"&lt;"&amp;$DF33,$AD33:$BA33)+SUMIF($BH$3:$CE$3,"&gt;"&amp;$CW$4,$AD33:$BA33)),
IF(BS$3=$DF33+'Model Setup'!$J$7,SUMIF($BH$3:$CE$3,"="&amp;$DF33+'Model Setup'!$J$7,$AD33:$BA33)+'Model Setup'!$J$8*(SUMIF($BH$3:$CE$3,"&lt;"&amp;$DF33,$AD33:$BA33)+SUMIF($BH$3:$CE$3,"&gt;"&amp;$CW$4,$AD33:$BA33)),
IF(BS$3=$DF33+'Model Setup'!$K$7,SUMIF($BH$3:$CE$3,"="&amp;$DF33+'Model Setup'!$K$7,$AD33:$BA33)+'Model Setup'!$K$8*(SUMIF($BH$3:$CE$3,"&lt;"&amp;$DF33,$AD33:$BA33)+SUMIF($BH$3:$CE$3,"&gt;"&amp;$CW$4,$AD33:$BA33)),
IF(BS$3=$DF33+'Model Setup'!$L$7,SUMIF($BH$3:$CE$3,"="&amp;$DF33+'Model Setup'!$L$7,$AD33:$BA33)+'Model Setup'!$L$8*(SUMIF($BH$3:$CE$3,"&lt;"&amp;$DF33,$AD33:$BA33)+SUMIF($BH$3:$CE$3,"&gt;"&amp;$CW$4,$AD33:$BA33)),
IF(BS$3=$DF33+'Model Setup'!$M$7,SUMIF($BH$3:$CE$3,"="&amp;$DF33+'Model Setup'!$M$7,$AD33:$BA33)+'Model Setup'!$M$8*(SUMIF($BH$3:$CE$3,"&lt;"&amp;$DF33,$AD33:$BA33)+SUMIF($BH$3:$CE$3,"&gt;"&amp;$CW$4,$AD33:$BA33)),
IF(BS$3=$DF33+'Model Setup'!$N$7,SUMIF($BH$3:$CE$3,"="&amp;$DF33+'Model Setup'!$N$7,$AD33:$BA33)+'Model Setup'!$N$8*(SUMIF($BH$3:$CE$3,"&lt;"&amp;$DF33,$AD33:$BA33)+SUMIF($BH$3:$CE$3,"&gt;"&amp;$CW$4,$AD33:$BA33)),
IF(BS$3&lt;$CW$4,M33,0))))))))))))))),0)</f>
        <v>4</v>
      </c>
      <c r="BT33" s="47">
        <f>ROUND(IF(OR(BT$3&lt;$DF33,BT$3&gt;$CW$4),0,
IF(BT$3=$DF33+'Model Setup'!$B$7,SUMIF($BH$3:$CE$3,"="&amp;$DF33+'Model Setup'!$B$7,$AD33:$BA33)+'Model Setup'!$B$8*(SUMIF($BH$3:$CE$3,"&lt;"&amp;$DF33,$AD33:$BA33)+SUMIF($BH$3:$CE$3,"&gt;"&amp;$CW$4,$AD33:$BA33)),
IF(BT$3=$DF33+'Model Setup'!$C$7,SUMIF($BH$3:$CE$3,"="&amp;$DF33+'Model Setup'!$C$7,$AD33:$BA33)+'Model Setup'!$C$8*(SUMIF($BH$3:$CE$3,"&lt;"&amp;$DF33,$AD33:$BA33)+SUMIF($BH$3:$CE$3,"&gt;"&amp;$CW$4,$AD33:$BA33)),
IF(BT$3=$DF33+'Model Setup'!$D$7,SUMIF($BH$3:$CE$3,"="&amp;$DF33+'Model Setup'!$D$7,$AD33:$BA33)+'Model Setup'!$D$8*(SUMIF($BH$3:$CE$3,"&lt;"&amp;$DF33,$AD33:$BA33)+SUMIF($BH$3:$CE$3,"&gt;"&amp;$CW$4,$AD33:$BA33)),
IF(BT$3=$DF33+'Model Setup'!$E$7,SUMIF($BH$3:$CE$3,"="&amp;$DF33+'Model Setup'!$E$7,$AD33:$BA33)+'Model Setup'!$E$8*(SUMIF($BH$3:$CE$3,"&lt;"&amp;$DF33,$AD33:$BA33)+SUMIF($BH$3:$CE$3,"&gt;"&amp;$CW$4,$AD33:$BA33)),
IF(BT$3=$DF33+'Model Setup'!$F$7,SUMIF($BH$3:$CE$3,"="&amp;$DF33+'Model Setup'!$F$7,$AD33:$BA33)+'Model Setup'!$F$8*(SUMIF($BH$3:$CE$3,"&lt;"&amp;$DF33,$AD33:$BA33)+SUMIF($BH$3:$CE$3,"&gt;"&amp;$CW$4,$AD33:$BA33)),
IF(BT$3=$DF33+'Model Setup'!$G$7,SUMIF($BH$3:$CE$3,"="&amp;$DF33+'Model Setup'!$G$7,$AD33:$BA33)+'Model Setup'!$G$8*(SUMIF($BH$3:$CE$3,"&lt;"&amp;$DF33,$AD33:$BA33)+SUMIF($BH$3:$CE$3,"&gt;"&amp;$CW$4,$AD33:$BA33)),
IF(BT$3=$DF33+'Model Setup'!$H$7,SUMIF($BH$3:$CE$3,"="&amp;$DF33+'Model Setup'!$H$7,$AD33:$BA33)+'Model Setup'!$H$8*(SUMIF($BH$3:$CE$3,"&lt;"&amp;$DF33,$AD33:$BA33)+SUMIF($BH$3:$CE$3,"&gt;"&amp;$CW$4,$AD33:$BA33)),
IF(BT$3=$DF33+'Model Setup'!$I$7,SUMIF($BH$3:$CE$3,"="&amp;$DF33+'Model Setup'!$I$7,$AD33:$BA33)+'Model Setup'!$I$8*(SUMIF($BH$3:$CE$3,"&lt;"&amp;$DF33,$AD33:$BA33)+SUMIF($BH$3:$CE$3,"&gt;"&amp;$CW$4,$AD33:$BA33)),
IF(BT$3=$DF33+'Model Setup'!$J$7,SUMIF($BH$3:$CE$3,"="&amp;$DF33+'Model Setup'!$J$7,$AD33:$BA33)+'Model Setup'!$J$8*(SUMIF($BH$3:$CE$3,"&lt;"&amp;$DF33,$AD33:$BA33)+SUMIF($BH$3:$CE$3,"&gt;"&amp;$CW$4,$AD33:$BA33)),
IF(BT$3=$DF33+'Model Setup'!$K$7,SUMIF($BH$3:$CE$3,"="&amp;$DF33+'Model Setup'!$K$7,$AD33:$BA33)+'Model Setup'!$K$8*(SUMIF($BH$3:$CE$3,"&lt;"&amp;$DF33,$AD33:$BA33)+SUMIF($BH$3:$CE$3,"&gt;"&amp;$CW$4,$AD33:$BA33)),
IF(BT$3=$DF33+'Model Setup'!$L$7,SUMIF($BH$3:$CE$3,"="&amp;$DF33+'Model Setup'!$L$7,$AD33:$BA33)+'Model Setup'!$L$8*(SUMIF($BH$3:$CE$3,"&lt;"&amp;$DF33,$AD33:$BA33)+SUMIF($BH$3:$CE$3,"&gt;"&amp;$CW$4,$AD33:$BA33)),
IF(BT$3=$DF33+'Model Setup'!$M$7,SUMIF($BH$3:$CE$3,"="&amp;$DF33+'Model Setup'!$M$7,$AD33:$BA33)+'Model Setup'!$M$8*(SUMIF($BH$3:$CE$3,"&lt;"&amp;$DF33,$AD33:$BA33)+SUMIF($BH$3:$CE$3,"&gt;"&amp;$CW$4,$AD33:$BA33)),
IF(BT$3=$DF33+'Model Setup'!$N$7,SUMIF($BH$3:$CE$3,"="&amp;$DF33+'Model Setup'!$N$7,$AD33:$BA33)+'Model Setup'!$N$8*(SUMIF($BH$3:$CE$3,"&lt;"&amp;$DF33,$AD33:$BA33)+SUMIF($BH$3:$CE$3,"&gt;"&amp;$CW$4,$AD33:$BA33)),
IF(BT$3&lt;$CW$4,N33,0))))))))))))))),0)</f>
        <v>2</v>
      </c>
      <c r="BU33" s="47">
        <f>ROUND(IF(OR(BU$3&lt;$DF33,BU$3&gt;$CW$4),0,
IF(BU$3=$DF33+'Model Setup'!$B$7,SUMIF($BH$3:$CE$3,"="&amp;$DF33+'Model Setup'!$B$7,$AD33:$BA33)+'Model Setup'!$B$8*(SUMIF($BH$3:$CE$3,"&lt;"&amp;$DF33,$AD33:$BA33)+SUMIF($BH$3:$CE$3,"&gt;"&amp;$CW$4,$AD33:$BA33)),
IF(BU$3=$DF33+'Model Setup'!$C$7,SUMIF($BH$3:$CE$3,"="&amp;$DF33+'Model Setup'!$C$7,$AD33:$BA33)+'Model Setup'!$C$8*(SUMIF($BH$3:$CE$3,"&lt;"&amp;$DF33,$AD33:$BA33)+SUMIF($BH$3:$CE$3,"&gt;"&amp;$CW$4,$AD33:$BA33)),
IF(BU$3=$DF33+'Model Setup'!$D$7,SUMIF($BH$3:$CE$3,"="&amp;$DF33+'Model Setup'!$D$7,$AD33:$BA33)+'Model Setup'!$D$8*(SUMIF($BH$3:$CE$3,"&lt;"&amp;$DF33,$AD33:$BA33)+SUMIF($BH$3:$CE$3,"&gt;"&amp;$CW$4,$AD33:$BA33)),
IF(BU$3=$DF33+'Model Setup'!$E$7,SUMIF($BH$3:$CE$3,"="&amp;$DF33+'Model Setup'!$E$7,$AD33:$BA33)+'Model Setup'!$E$8*(SUMIF($BH$3:$CE$3,"&lt;"&amp;$DF33,$AD33:$BA33)+SUMIF($BH$3:$CE$3,"&gt;"&amp;$CW$4,$AD33:$BA33)),
IF(BU$3=$DF33+'Model Setup'!$F$7,SUMIF($BH$3:$CE$3,"="&amp;$DF33+'Model Setup'!$F$7,$AD33:$BA33)+'Model Setup'!$F$8*(SUMIF($BH$3:$CE$3,"&lt;"&amp;$DF33,$AD33:$BA33)+SUMIF($BH$3:$CE$3,"&gt;"&amp;$CW$4,$AD33:$BA33)),
IF(BU$3=$DF33+'Model Setup'!$G$7,SUMIF($BH$3:$CE$3,"="&amp;$DF33+'Model Setup'!$G$7,$AD33:$BA33)+'Model Setup'!$G$8*(SUMIF($BH$3:$CE$3,"&lt;"&amp;$DF33,$AD33:$BA33)+SUMIF($BH$3:$CE$3,"&gt;"&amp;$CW$4,$AD33:$BA33)),
IF(BU$3=$DF33+'Model Setup'!$H$7,SUMIF($BH$3:$CE$3,"="&amp;$DF33+'Model Setup'!$H$7,$AD33:$BA33)+'Model Setup'!$H$8*(SUMIF($BH$3:$CE$3,"&lt;"&amp;$DF33,$AD33:$BA33)+SUMIF($BH$3:$CE$3,"&gt;"&amp;$CW$4,$AD33:$BA33)),
IF(BU$3=$DF33+'Model Setup'!$I$7,SUMIF($BH$3:$CE$3,"="&amp;$DF33+'Model Setup'!$I$7,$AD33:$BA33)+'Model Setup'!$I$8*(SUMIF($BH$3:$CE$3,"&lt;"&amp;$DF33,$AD33:$BA33)+SUMIF($BH$3:$CE$3,"&gt;"&amp;$CW$4,$AD33:$BA33)),
IF(BU$3=$DF33+'Model Setup'!$J$7,SUMIF($BH$3:$CE$3,"="&amp;$DF33+'Model Setup'!$J$7,$AD33:$BA33)+'Model Setup'!$J$8*(SUMIF($BH$3:$CE$3,"&lt;"&amp;$DF33,$AD33:$BA33)+SUMIF($BH$3:$CE$3,"&gt;"&amp;$CW$4,$AD33:$BA33)),
IF(BU$3=$DF33+'Model Setup'!$K$7,SUMIF($BH$3:$CE$3,"="&amp;$DF33+'Model Setup'!$K$7,$AD33:$BA33)+'Model Setup'!$K$8*(SUMIF($BH$3:$CE$3,"&lt;"&amp;$DF33,$AD33:$BA33)+SUMIF($BH$3:$CE$3,"&gt;"&amp;$CW$4,$AD33:$BA33)),
IF(BU$3=$DF33+'Model Setup'!$L$7,SUMIF($BH$3:$CE$3,"="&amp;$DF33+'Model Setup'!$L$7,$AD33:$BA33)+'Model Setup'!$L$8*(SUMIF($BH$3:$CE$3,"&lt;"&amp;$DF33,$AD33:$BA33)+SUMIF($BH$3:$CE$3,"&gt;"&amp;$CW$4,$AD33:$BA33)),
IF(BU$3=$DF33+'Model Setup'!$M$7,SUMIF($BH$3:$CE$3,"="&amp;$DF33+'Model Setup'!$M$7,$AD33:$BA33)+'Model Setup'!$M$8*(SUMIF($BH$3:$CE$3,"&lt;"&amp;$DF33,$AD33:$BA33)+SUMIF($BH$3:$CE$3,"&gt;"&amp;$CW$4,$AD33:$BA33)),
IF(BU$3=$DF33+'Model Setup'!$N$7,SUMIF($BH$3:$CE$3,"="&amp;$DF33+'Model Setup'!$N$7,$AD33:$BA33)+'Model Setup'!$N$8*(SUMIF($BH$3:$CE$3,"&lt;"&amp;$DF33,$AD33:$BA33)+SUMIF($BH$3:$CE$3,"&gt;"&amp;$CW$4,$AD33:$BA33)),
IF(BU$3&lt;$CW$4,O33,0))))))))))))))),0)</f>
        <v>1</v>
      </c>
      <c r="BV33" s="47">
        <f>ROUND(IF(OR(BV$3&lt;$DF33,BV$3&gt;$CW$4),0,
IF(BV$3=$DF33+'Model Setup'!$B$7,SUMIF($BH$3:$CE$3,"="&amp;$DF33+'Model Setup'!$B$7,$AD33:$BA33)+'Model Setup'!$B$8*(SUMIF($BH$3:$CE$3,"&lt;"&amp;$DF33,$AD33:$BA33)+SUMIF($BH$3:$CE$3,"&gt;"&amp;$CW$4,$AD33:$BA33)),
IF(BV$3=$DF33+'Model Setup'!$C$7,SUMIF($BH$3:$CE$3,"="&amp;$DF33+'Model Setup'!$C$7,$AD33:$BA33)+'Model Setup'!$C$8*(SUMIF($BH$3:$CE$3,"&lt;"&amp;$DF33,$AD33:$BA33)+SUMIF($BH$3:$CE$3,"&gt;"&amp;$CW$4,$AD33:$BA33)),
IF(BV$3=$DF33+'Model Setup'!$D$7,SUMIF($BH$3:$CE$3,"="&amp;$DF33+'Model Setup'!$D$7,$AD33:$BA33)+'Model Setup'!$D$8*(SUMIF($BH$3:$CE$3,"&lt;"&amp;$DF33,$AD33:$BA33)+SUMIF($BH$3:$CE$3,"&gt;"&amp;$CW$4,$AD33:$BA33)),
IF(BV$3=$DF33+'Model Setup'!$E$7,SUMIF($BH$3:$CE$3,"="&amp;$DF33+'Model Setup'!$E$7,$AD33:$BA33)+'Model Setup'!$E$8*(SUMIF($BH$3:$CE$3,"&lt;"&amp;$DF33,$AD33:$BA33)+SUMIF($BH$3:$CE$3,"&gt;"&amp;$CW$4,$AD33:$BA33)),
IF(BV$3=$DF33+'Model Setup'!$F$7,SUMIF($BH$3:$CE$3,"="&amp;$DF33+'Model Setup'!$F$7,$AD33:$BA33)+'Model Setup'!$F$8*(SUMIF($BH$3:$CE$3,"&lt;"&amp;$DF33,$AD33:$BA33)+SUMIF($BH$3:$CE$3,"&gt;"&amp;$CW$4,$AD33:$BA33)),
IF(BV$3=$DF33+'Model Setup'!$G$7,SUMIF($BH$3:$CE$3,"="&amp;$DF33+'Model Setup'!$G$7,$AD33:$BA33)+'Model Setup'!$G$8*(SUMIF($BH$3:$CE$3,"&lt;"&amp;$DF33,$AD33:$BA33)+SUMIF($BH$3:$CE$3,"&gt;"&amp;$CW$4,$AD33:$BA33)),
IF(BV$3=$DF33+'Model Setup'!$H$7,SUMIF($BH$3:$CE$3,"="&amp;$DF33+'Model Setup'!$H$7,$AD33:$BA33)+'Model Setup'!$H$8*(SUMIF($BH$3:$CE$3,"&lt;"&amp;$DF33,$AD33:$BA33)+SUMIF($BH$3:$CE$3,"&gt;"&amp;$CW$4,$AD33:$BA33)),
IF(BV$3=$DF33+'Model Setup'!$I$7,SUMIF($BH$3:$CE$3,"="&amp;$DF33+'Model Setup'!$I$7,$AD33:$BA33)+'Model Setup'!$I$8*(SUMIF($BH$3:$CE$3,"&lt;"&amp;$DF33,$AD33:$BA33)+SUMIF($BH$3:$CE$3,"&gt;"&amp;$CW$4,$AD33:$BA33)),
IF(BV$3=$DF33+'Model Setup'!$J$7,SUMIF($BH$3:$CE$3,"="&amp;$DF33+'Model Setup'!$J$7,$AD33:$BA33)+'Model Setup'!$J$8*(SUMIF($BH$3:$CE$3,"&lt;"&amp;$DF33,$AD33:$BA33)+SUMIF($BH$3:$CE$3,"&gt;"&amp;$CW$4,$AD33:$BA33)),
IF(BV$3=$DF33+'Model Setup'!$K$7,SUMIF($BH$3:$CE$3,"="&amp;$DF33+'Model Setup'!$K$7,$AD33:$BA33)+'Model Setup'!$K$8*(SUMIF($BH$3:$CE$3,"&lt;"&amp;$DF33,$AD33:$BA33)+SUMIF($BH$3:$CE$3,"&gt;"&amp;$CW$4,$AD33:$BA33)),
IF(BV$3=$DF33+'Model Setup'!$L$7,SUMIF($BH$3:$CE$3,"="&amp;$DF33+'Model Setup'!$L$7,$AD33:$BA33)+'Model Setup'!$L$8*(SUMIF($BH$3:$CE$3,"&lt;"&amp;$DF33,$AD33:$BA33)+SUMIF($BH$3:$CE$3,"&gt;"&amp;$CW$4,$AD33:$BA33)),
IF(BV$3=$DF33+'Model Setup'!$M$7,SUMIF($BH$3:$CE$3,"="&amp;$DF33+'Model Setup'!$M$7,$AD33:$BA33)+'Model Setup'!$M$8*(SUMIF($BH$3:$CE$3,"&lt;"&amp;$DF33,$AD33:$BA33)+SUMIF($BH$3:$CE$3,"&gt;"&amp;$CW$4,$AD33:$BA33)),
IF(BV$3=$DF33+'Model Setup'!$N$7,SUMIF($BH$3:$CE$3,"="&amp;$DF33+'Model Setup'!$N$7,$AD33:$BA33)+'Model Setup'!$N$8*(SUMIF($BH$3:$CE$3,"&lt;"&amp;$DF33,$AD33:$BA33)+SUMIF($BH$3:$CE$3,"&gt;"&amp;$CW$4,$AD33:$BA33)),
IF(BV$3&lt;$CW$4,P33,0))))))))))))))),0)</f>
        <v>3</v>
      </c>
      <c r="BW33" s="47">
        <f>ROUND(IF(OR(BW$3&lt;$DF33,BW$3&gt;$CW$4),0,
IF(BW$3=$DF33+'Model Setup'!$B$7,SUMIF($BH$3:$CE$3,"="&amp;$DF33+'Model Setup'!$B$7,$AD33:$BA33)+'Model Setup'!$B$8*(SUMIF($BH$3:$CE$3,"&lt;"&amp;$DF33,$AD33:$BA33)+SUMIF($BH$3:$CE$3,"&gt;"&amp;$CW$4,$AD33:$BA33)),
IF(BW$3=$DF33+'Model Setup'!$C$7,SUMIF($BH$3:$CE$3,"="&amp;$DF33+'Model Setup'!$C$7,$AD33:$BA33)+'Model Setup'!$C$8*(SUMIF($BH$3:$CE$3,"&lt;"&amp;$DF33,$AD33:$BA33)+SUMIF($BH$3:$CE$3,"&gt;"&amp;$CW$4,$AD33:$BA33)),
IF(BW$3=$DF33+'Model Setup'!$D$7,SUMIF($BH$3:$CE$3,"="&amp;$DF33+'Model Setup'!$D$7,$AD33:$BA33)+'Model Setup'!$D$8*(SUMIF($BH$3:$CE$3,"&lt;"&amp;$DF33,$AD33:$BA33)+SUMIF($BH$3:$CE$3,"&gt;"&amp;$CW$4,$AD33:$BA33)),
IF(BW$3=$DF33+'Model Setup'!$E$7,SUMIF($BH$3:$CE$3,"="&amp;$DF33+'Model Setup'!$E$7,$AD33:$BA33)+'Model Setup'!$E$8*(SUMIF($BH$3:$CE$3,"&lt;"&amp;$DF33,$AD33:$BA33)+SUMIF($BH$3:$CE$3,"&gt;"&amp;$CW$4,$AD33:$BA33)),
IF(BW$3=$DF33+'Model Setup'!$F$7,SUMIF($BH$3:$CE$3,"="&amp;$DF33+'Model Setup'!$F$7,$AD33:$BA33)+'Model Setup'!$F$8*(SUMIF($BH$3:$CE$3,"&lt;"&amp;$DF33,$AD33:$BA33)+SUMIF($BH$3:$CE$3,"&gt;"&amp;$CW$4,$AD33:$BA33)),
IF(BW$3=$DF33+'Model Setup'!$G$7,SUMIF($BH$3:$CE$3,"="&amp;$DF33+'Model Setup'!$G$7,$AD33:$BA33)+'Model Setup'!$G$8*(SUMIF($BH$3:$CE$3,"&lt;"&amp;$DF33,$AD33:$BA33)+SUMIF($BH$3:$CE$3,"&gt;"&amp;$CW$4,$AD33:$BA33)),
IF(BW$3=$DF33+'Model Setup'!$H$7,SUMIF($BH$3:$CE$3,"="&amp;$DF33+'Model Setup'!$H$7,$AD33:$BA33)+'Model Setup'!$H$8*(SUMIF($BH$3:$CE$3,"&lt;"&amp;$DF33,$AD33:$BA33)+SUMIF($BH$3:$CE$3,"&gt;"&amp;$CW$4,$AD33:$BA33)),
IF(BW$3=$DF33+'Model Setup'!$I$7,SUMIF($BH$3:$CE$3,"="&amp;$DF33+'Model Setup'!$I$7,$AD33:$BA33)+'Model Setup'!$I$8*(SUMIF($BH$3:$CE$3,"&lt;"&amp;$DF33,$AD33:$BA33)+SUMIF($BH$3:$CE$3,"&gt;"&amp;$CW$4,$AD33:$BA33)),
IF(BW$3=$DF33+'Model Setup'!$J$7,SUMIF($BH$3:$CE$3,"="&amp;$DF33+'Model Setup'!$J$7,$AD33:$BA33)+'Model Setup'!$J$8*(SUMIF($BH$3:$CE$3,"&lt;"&amp;$DF33,$AD33:$BA33)+SUMIF($BH$3:$CE$3,"&gt;"&amp;$CW$4,$AD33:$BA33)),
IF(BW$3=$DF33+'Model Setup'!$K$7,SUMIF($BH$3:$CE$3,"="&amp;$DF33+'Model Setup'!$K$7,$AD33:$BA33)+'Model Setup'!$K$8*(SUMIF($BH$3:$CE$3,"&lt;"&amp;$DF33,$AD33:$BA33)+SUMIF($BH$3:$CE$3,"&gt;"&amp;$CW$4,$AD33:$BA33)),
IF(BW$3=$DF33+'Model Setup'!$L$7,SUMIF($BH$3:$CE$3,"="&amp;$DF33+'Model Setup'!$L$7,$AD33:$BA33)+'Model Setup'!$L$8*(SUMIF($BH$3:$CE$3,"&lt;"&amp;$DF33,$AD33:$BA33)+SUMIF($BH$3:$CE$3,"&gt;"&amp;$CW$4,$AD33:$BA33)),
IF(BW$3=$DF33+'Model Setup'!$M$7,SUMIF($BH$3:$CE$3,"="&amp;$DF33+'Model Setup'!$M$7,$AD33:$BA33)+'Model Setup'!$M$8*(SUMIF($BH$3:$CE$3,"&lt;"&amp;$DF33,$AD33:$BA33)+SUMIF($BH$3:$CE$3,"&gt;"&amp;$CW$4,$AD33:$BA33)),
IF(BW$3=$DF33+'Model Setup'!$N$7,SUMIF($BH$3:$CE$3,"="&amp;$DF33+'Model Setup'!$N$7,$AD33:$BA33)+'Model Setup'!$N$8*(SUMIF($BH$3:$CE$3,"&lt;"&amp;$DF33,$AD33:$BA33)+SUMIF($BH$3:$CE$3,"&gt;"&amp;$CW$4,$AD33:$BA33)),
IF(BW$3&lt;$CW$4,Q33,0))))))))))))))),0)</f>
        <v>2</v>
      </c>
      <c r="BX33" s="47">
        <f>ROUND(IF(OR(BX$3&lt;$DF33,BX$3&gt;$CW$4),0,
IF(BX$3=$DF33+'Model Setup'!$B$7,SUMIF($BH$3:$CE$3,"="&amp;$DF33+'Model Setup'!$B$7,$AD33:$BA33)+'Model Setup'!$B$8*(SUMIF($BH$3:$CE$3,"&lt;"&amp;$DF33,$AD33:$BA33)+SUMIF($BH$3:$CE$3,"&gt;"&amp;$CW$4,$AD33:$BA33)),
IF(BX$3=$DF33+'Model Setup'!$C$7,SUMIF($BH$3:$CE$3,"="&amp;$DF33+'Model Setup'!$C$7,$AD33:$BA33)+'Model Setup'!$C$8*(SUMIF($BH$3:$CE$3,"&lt;"&amp;$DF33,$AD33:$BA33)+SUMIF($BH$3:$CE$3,"&gt;"&amp;$CW$4,$AD33:$BA33)),
IF(BX$3=$DF33+'Model Setup'!$D$7,SUMIF($BH$3:$CE$3,"="&amp;$DF33+'Model Setup'!$D$7,$AD33:$BA33)+'Model Setup'!$D$8*(SUMIF($BH$3:$CE$3,"&lt;"&amp;$DF33,$AD33:$BA33)+SUMIF($BH$3:$CE$3,"&gt;"&amp;$CW$4,$AD33:$BA33)),
IF(BX$3=$DF33+'Model Setup'!$E$7,SUMIF($BH$3:$CE$3,"="&amp;$DF33+'Model Setup'!$E$7,$AD33:$BA33)+'Model Setup'!$E$8*(SUMIF($BH$3:$CE$3,"&lt;"&amp;$DF33,$AD33:$BA33)+SUMIF($BH$3:$CE$3,"&gt;"&amp;$CW$4,$AD33:$BA33)),
IF(BX$3=$DF33+'Model Setup'!$F$7,SUMIF($BH$3:$CE$3,"="&amp;$DF33+'Model Setup'!$F$7,$AD33:$BA33)+'Model Setup'!$F$8*(SUMIF($BH$3:$CE$3,"&lt;"&amp;$DF33,$AD33:$BA33)+SUMIF($BH$3:$CE$3,"&gt;"&amp;$CW$4,$AD33:$BA33)),
IF(BX$3=$DF33+'Model Setup'!$G$7,SUMIF($BH$3:$CE$3,"="&amp;$DF33+'Model Setup'!$G$7,$AD33:$BA33)+'Model Setup'!$G$8*(SUMIF($BH$3:$CE$3,"&lt;"&amp;$DF33,$AD33:$BA33)+SUMIF($BH$3:$CE$3,"&gt;"&amp;$CW$4,$AD33:$BA33)),
IF(BX$3=$DF33+'Model Setup'!$H$7,SUMIF($BH$3:$CE$3,"="&amp;$DF33+'Model Setup'!$H$7,$AD33:$BA33)+'Model Setup'!$H$8*(SUMIF($BH$3:$CE$3,"&lt;"&amp;$DF33,$AD33:$BA33)+SUMIF($BH$3:$CE$3,"&gt;"&amp;$CW$4,$AD33:$BA33)),
IF(BX$3=$DF33+'Model Setup'!$I$7,SUMIF($BH$3:$CE$3,"="&amp;$DF33+'Model Setup'!$I$7,$AD33:$BA33)+'Model Setup'!$I$8*(SUMIF($BH$3:$CE$3,"&lt;"&amp;$DF33,$AD33:$BA33)+SUMIF($BH$3:$CE$3,"&gt;"&amp;$CW$4,$AD33:$BA33)),
IF(BX$3=$DF33+'Model Setup'!$J$7,SUMIF($BH$3:$CE$3,"="&amp;$DF33+'Model Setup'!$J$7,$AD33:$BA33)+'Model Setup'!$J$8*(SUMIF($BH$3:$CE$3,"&lt;"&amp;$DF33,$AD33:$BA33)+SUMIF($BH$3:$CE$3,"&gt;"&amp;$CW$4,$AD33:$BA33)),
IF(BX$3=$DF33+'Model Setup'!$K$7,SUMIF($BH$3:$CE$3,"="&amp;$DF33+'Model Setup'!$K$7,$AD33:$BA33)+'Model Setup'!$K$8*(SUMIF($BH$3:$CE$3,"&lt;"&amp;$DF33,$AD33:$BA33)+SUMIF($BH$3:$CE$3,"&gt;"&amp;$CW$4,$AD33:$BA33)),
IF(BX$3=$DF33+'Model Setup'!$L$7,SUMIF($BH$3:$CE$3,"="&amp;$DF33+'Model Setup'!$L$7,$AD33:$BA33)+'Model Setup'!$L$8*(SUMIF($BH$3:$CE$3,"&lt;"&amp;$DF33,$AD33:$BA33)+SUMIF($BH$3:$CE$3,"&gt;"&amp;$CW$4,$AD33:$BA33)),
IF(BX$3=$DF33+'Model Setup'!$M$7,SUMIF($BH$3:$CE$3,"="&amp;$DF33+'Model Setup'!$M$7,$AD33:$BA33)+'Model Setup'!$M$8*(SUMIF($BH$3:$CE$3,"&lt;"&amp;$DF33,$AD33:$BA33)+SUMIF($BH$3:$CE$3,"&gt;"&amp;$CW$4,$AD33:$BA33)),
IF(BX$3=$DF33+'Model Setup'!$N$7,SUMIF($BH$3:$CE$3,"="&amp;$DF33+'Model Setup'!$N$7,$AD33:$BA33)+'Model Setup'!$N$8*(SUMIF($BH$3:$CE$3,"&lt;"&amp;$DF33,$AD33:$BA33)+SUMIF($BH$3:$CE$3,"&gt;"&amp;$CW$4,$AD33:$BA33)),
IF(BX$3&lt;$CW$4,R33,0))))))))))))))),0)</f>
        <v>3</v>
      </c>
      <c r="BY33" s="47">
        <f>ROUND(IF(OR(BY$3&lt;$DF33,BY$3&gt;$CW$4),0,
IF(BY$3=$DF33+'Model Setup'!$B$7,SUMIF($BH$3:$CE$3,"="&amp;$DF33+'Model Setup'!$B$7,$AD33:$BA33)+'Model Setup'!$B$8*(SUMIF($BH$3:$CE$3,"&lt;"&amp;$DF33,$AD33:$BA33)+SUMIF($BH$3:$CE$3,"&gt;"&amp;$CW$4,$AD33:$BA33)),
IF(BY$3=$DF33+'Model Setup'!$C$7,SUMIF($BH$3:$CE$3,"="&amp;$DF33+'Model Setup'!$C$7,$AD33:$BA33)+'Model Setup'!$C$8*(SUMIF($BH$3:$CE$3,"&lt;"&amp;$DF33,$AD33:$BA33)+SUMIF($BH$3:$CE$3,"&gt;"&amp;$CW$4,$AD33:$BA33)),
IF(BY$3=$DF33+'Model Setup'!$D$7,SUMIF($BH$3:$CE$3,"="&amp;$DF33+'Model Setup'!$D$7,$AD33:$BA33)+'Model Setup'!$D$8*(SUMIF($BH$3:$CE$3,"&lt;"&amp;$DF33,$AD33:$BA33)+SUMIF($BH$3:$CE$3,"&gt;"&amp;$CW$4,$AD33:$BA33)),
IF(BY$3=$DF33+'Model Setup'!$E$7,SUMIF($BH$3:$CE$3,"="&amp;$DF33+'Model Setup'!$E$7,$AD33:$BA33)+'Model Setup'!$E$8*(SUMIF($BH$3:$CE$3,"&lt;"&amp;$DF33,$AD33:$BA33)+SUMIF($BH$3:$CE$3,"&gt;"&amp;$CW$4,$AD33:$BA33)),
IF(BY$3=$DF33+'Model Setup'!$F$7,SUMIF($BH$3:$CE$3,"="&amp;$DF33+'Model Setup'!$F$7,$AD33:$BA33)+'Model Setup'!$F$8*(SUMIF($BH$3:$CE$3,"&lt;"&amp;$DF33,$AD33:$BA33)+SUMIF($BH$3:$CE$3,"&gt;"&amp;$CW$4,$AD33:$BA33)),
IF(BY$3=$DF33+'Model Setup'!$G$7,SUMIF($BH$3:$CE$3,"="&amp;$DF33+'Model Setup'!$G$7,$AD33:$BA33)+'Model Setup'!$G$8*(SUMIF($BH$3:$CE$3,"&lt;"&amp;$DF33,$AD33:$BA33)+SUMIF($BH$3:$CE$3,"&gt;"&amp;$CW$4,$AD33:$BA33)),
IF(BY$3=$DF33+'Model Setup'!$H$7,SUMIF($BH$3:$CE$3,"="&amp;$DF33+'Model Setup'!$H$7,$AD33:$BA33)+'Model Setup'!$H$8*(SUMIF($BH$3:$CE$3,"&lt;"&amp;$DF33,$AD33:$BA33)+SUMIF($BH$3:$CE$3,"&gt;"&amp;$CW$4,$AD33:$BA33)),
IF(BY$3=$DF33+'Model Setup'!$I$7,SUMIF($BH$3:$CE$3,"="&amp;$DF33+'Model Setup'!$I$7,$AD33:$BA33)+'Model Setup'!$I$8*(SUMIF($BH$3:$CE$3,"&lt;"&amp;$DF33,$AD33:$BA33)+SUMIF($BH$3:$CE$3,"&gt;"&amp;$CW$4,$AD33:$BA33)),
IF(BY$3=$DF33+'Model Setup'!$J$7,SUMIF($BH$3:$CE$3,"="&amp;$DF33+'Model Setup'!$J$7,$AD33:$BA33)+'Model Setup'!$J$8*(SUMIF($BH$3:$CE$3,"&lt;"&amp;$DF33,$AD33:$BA33)+SUMIF($BH$3:$CE$3,"&gt;"&amp;$CW$4,$AD33:$BA33)),
IF(BY$3=$DF33+'Model Setup'!$K$7,SUMIF($BH$3:$CE$3,"="&amp;$DF33+'Model Setup'!$K$7,$AD33:$BA33)+'Model Setup'!$K$8*(SUMIF($BH$3:$CE$3,"&lt;"&amp;$DF33,$AD33:$BA33)+SUMIF($BH$3:$CE$3,"&gt;"&amp;$CW$4,$AD33:$BA33)),
IF(BY$3=$DF33+'Model Setup'!$L$7,SUMIF($BH$3:$CE$3,"="&amp;$DF33+'Model Setup'!$L$7,$AD33:$BA33)+'Model Setup'!$L$8*(SUMIF($BH$3:$CE$3,"&lt;"&amp;$DF33,$AD33:$BA33)+SUMIF($BH$3:$CE$3,"&gt;"&amp;$CW$4,$AD33:$BA33)),
IF(BY$3=$DF33+'Model Setup'!$M$7,SUMIF($BH$3:$CE$3,"="&amp;$DF33+'Model Setup'!$M$7,$AD33:$BA33)+'Model Setup'!$M$8*(SUMIF($BH$3:$CE$3,"&lt;"&amp;$DF33,$AD33:$BA33)+SUMIF($BH$3:$CE$3,"&gt;"&amp;$CW$4,$AD33:$BA33)),
IF(BY$3=$DF33+'Model Setup'!$N$7,SUMIF($BH$3:$CE$3,"="&amp;$DF33+'Model Setup'!$N$7,$AD33:$BA33)+'Model Setup'!$N$8*(SUMIF($BH$3:$CE$3,"&lt;"&amp;$DF33,$AD33:$BA33)+SUMIF($BH$3:$CE$3,"&gt;"&amp;$CW$4,$AD33:$BA33)),
IF(BY$3&lt;$CW$4,S33,0))))))))))))))),0)</f>
        <v>3</v>
      </c>
      <c r="BZ33" s="47">
        <f>ROUND(IF(OR(BZ$3&lt;$DF33,BZ$3&gt;$CW$4),0,
IF(BZ$3=$DF33+'Model Setup'!$B$7,SUMIF($BH$3:$CE$3,"="&amp;$DF33+'Model Setup'!$B$7,$AD33:$BA33)+'Model Setup'!$B$8*(SUMIF($BH$3:$CE$3,"&lt;"&amp;$DF33,$AD33:$BA33)+SUMIF($BH$3:$CE$3,"&gt;"&amp;$CW$4,$AD33:$BA33)),
IF(BZ$3=$DF33+'Model Setup'!$C$7,SUMIF($BH$3:$CE$3,"="&amp;$DF33+'Model Setup'!$C$7,$AD33:$BA33)+'Model Setup'!$C$8*(SUMIF($BH$3:$CE$3,"&lt;"&amp;$DF33,$AD33:$BA33)+SUMIF($BH$3:$CE$3,"&gt;"&amp;$CW$4,$AD33:$BA33)),
IF(BZ$3=$DF33+'Model Setup'!$D$7,SUMIF($BH$3:$CE$3,"="&amp;$DF33+'Model Setup'!$D$7,$AD33:$BA33)+'Model Setup'!$D$8*(SUMIF($BH$3:$CE$3,"&lt;"&amp;$DF33,$AD33:$BA33)+SUMIF($BH$3:$CE$3,"&gt;"&amp;$CW$4,$AD33:$BA33)),
IF(BZ$3=$DF33+'Model Setup'!$E$7,SUMIF($BH$3:$CE$3,"="&amp;$DF33+'Model Setup'!$E$7,$AD33:$BA33)+'Model Setup'!$E$8*(SUMIF($BH$3:$CE$3,"&lt;"&amp;$DF33,$AD33:$BA33)+SUMIF($BH$3:$CE$3,"&gt;"&amp;$CW$4,$AD33:$BA33)),
IF(BZ$3=$DF33+'Model Setup'!$F$7,SUMIF($BH$3:$CE$3,"="&amp;$DF33+'Model Setup'!$F$7,$AD33:$BA33)+'Model Setup'!$F$8*(SUMIF($BH$3:$CE$3,"&lt;"&amp;$DF33,$AD33:$BA33)+SUMIF($BH$3:$CE$3,"&gt;"&amp;$CW$4,$AD33:$BA33)),
IF(BZ$3=$DF33+'Model Setup'!$G$7,SUMIF($BH$3:$CE$3,"="&amp;$DF33+'Model Setup'!$G$7,$AD33:$BA33)+'Model Setup'!$G$8*(SUMIF($BH$3:$CE$3,"&lt;"&amp;$DF33,$AD33:$BA33)+SUMIF($BH$3:$CE$3,"&gt;"&amp;$CW$4,$AD33:$BA33)),
IF(BZ$3=$DF33+'Model Setup'!$H$7,SUMIF($BH$3:$CE$3,"="&amp;$DF33+'Model Setup'!$H$7,$AD33:$BA33)+'Model Setup'!$H$8*(SUMIF($BH$3:$CE$3,"&lt;"&amp;$DF33,$AD33:$BA33)+SUMIF($BH$3:$CE$3,"&gt;"&amp;$CW$4,$AD33:$BA33)),
IF(BZ$3=$DF33+'Model Setup'!$I$7,SUMIF($BH$3:$CE$3,"="&amp;$DF33+'Model Setup'!$I$7,$AD33:$BA33)+'Model Setup'!$I$8*(SUMIF($BH$3:$CE$3,"&lt;"&amp;$DF33,$AD33:$BA33)+SUMIF($BH$3:$CE$3,"&gt;"&amp;$CW$4,$AD33:$BA33)),
IF(BZ$3=$DF33+'Model Setup'!$J$7,SUMIF($BH$3:$CE$3,"="&amp;$DF33+'Model Setup'!$J$7,$AD33:$BA33)+'Model Setup'!$J$8*(SUMIF($BH$3:$CE$3,"&lt;"&amp;$DF33,$AD33:$BA33)+SUMIF($BH$3:$CE$3,"&gt;"&amp;$CW$4,$AD33:$BA33)),
IF(BZ$3=$DF33+'Model Setup'!$K$7,SUMIF($BH$3:$CE$3,"="&amp;$DF33+'Model Setup'!$K$7,$AD33:$BA33)+'Model Setup'!$K$8*(SUMIF($BH$3:$CE$3,"&lt;"&amp;$DF33,$AD33:$BA33)+SUMIF($BH$3:$CE$3,"&gt;"&amp;$CW$4,$AD33:$BA33)),
IF(BZ$3=$DF33+'Model Setup'!$L$7,SUMIF($BH$3:$CE$3,"="&amp;$DF33+'Model Setup'!$L$7,$AD33:$BA33)+'Model Setup'!$L$8*(SUMIF($BH$3:$CE$3,"&lt;"&amp;$DF33,$AD33:$BA33)+SUMIF($BH$3:$CE$3,"&gt;"&amp;$CW$4,$AD33:$BA33)),
IF(BZ$3=$DF33+'Model Setup'!$M$7,SUMIF($BH$3:$CE$3,"="&amp;$DF33+'Model Setup'!$M$7,$AD33:$BA33)+'Model Setup'!$M$8*(SUMIF($BH$3:$CE$3,"&lt;"&amp;$DF33,$AD33:$BA33)+SUMIF($BH$3:$CE$3,"&gt;"&amp;$CW$4,$AD33:$BA33)),
IF(BZ$3=$DF33+'Model Setup'!$N$7,SUMIF($BH$3:$CE$3,"="&amp;$DF33+'Model Setup'!$N$7,$AD33:$BA33)+'Model Setup'!$N$8*(SUMIF($BH$3:$CE$3,"&lt;"&amp;$DF33,$AD33:$BA33)+SUMIF($BH$3:$CE$3,"&gt;"&amp;$CW$4,$AD33:$BA33)),
IF(BZ$3&lt;$CW$4,T33,0))))))))))))))),0)</f>
        <v>4</v>
      </c>
      <c r="CA33" s="47">
        <f>ROUND(IF(OR(CA$3&lt;$DF33,CA$3&gt;$CW$4),0,
IF(CA$3=$DF33+'Model Setup'!$B$7,SUMIF($BH$3:$CE$3,"="&amp;$DF33+'Model Setup'!$B$7,$AD33:$BA33)+'Model Setup'!$B$8*(SUMIF($BH$3:$CE$3,"&lt;"&amp;$DF33,$AD33:$BA33)+SUMIF($BH$3:$CE$3,"&gt;"&amp;$CW$4,$AD33:$BA33)),
IF(CA$3=$DF33+'Model Setup'!$C$7,SUMIF($BH$3:$CE$3,"="&amp;$DF33+'Model Setup'!$C$7,$AD33:$BA33)+'Model Setup'!$C$8*(SUMIF($BH$3:$CE$3,"&lt;"&amp;$DF33,$AD33:$BA33)+SUMIF($BH$3:$CE$3,"&gt;"&amp;$CW$4,$AD33:$BA33)),
IF(CA$3=$DF33+'Model Setup'!$D$7,SUMIF($BH$3:$CE$3,"="&amp;$DF33+'Model Setup'!$D$7,$AD33:$BA33)+'Model Setup'!$D$8*(SUMIF($BH$3:$CE$3,"&lt;"&amp;$DF33,$AD33:$BA33)+SUMIF($BH$3:$CE$3,"&gt;"&amp;$CW$4,$AD33:$BA33)),
IF(CA$3=$DF33+'Model Setup'!$E$7,SUMIF($BH$3:$CE$3,"="&amp;$DF33+'Model Setup'!$E$7,$AD33:$BA33)+'Model Setup'!$E$8*(SUMIF($BH$3:$CE$3,"&lt;"&amp;$DF33,$AD33:$BA33)+SUMIF($BH$3:$CE$3,"&gt;"&amp;$CW$4,$AD33:$BA33)),
IF(CA$3=$DF33+'Model Setup'!$F$7,SUMIF($BH$3:$CE$3,"="&amp;$DF33+'Model Setup'!$F$7,$AD33:$BA33)+'Model Setup'!$F$8*(SUMIF($BH$3:$CE$3,"&lt;"&amp;$DF33,$AD33:$BA33)+SUMIF($BH$3:$CE$3,"&gt;"&amp;$CW$4,$AD33:$BA33)),
IF(CA$3=$DF33+'Model Setup'!$G$7,SUMIF($BH$3:$CE$3,"="&amp;$DF33+'Model Setup'!$G$7,$AD33:$BA33)+'Model Setup'!$G$8*(SUMIF($BH$3:$CE$3,"&lt;"&amp;$DF33,$AD33:$BA33)+SUMIF($BH$3:$CE$3,"&gt;"&amp;$CW$4,$AD33:$BA33)),
IF(CA$3=$DF33+'Model Setup'!$H$7,SUMIF($BH$3:$CE$3,"="&amp;$DF33+'Model Setup'!$H$7,$AD33:$BA33)+'Model Setup'!$H$8*(SUMIF($BH$3:$CE$3,"&lt;"&amp;$DF33,$AD33:$BA33)+SUMIF($BH$3:$CE$3,"&gt;"&amp;$CW$4,$AD33:$BA33)),
IF(CA$3=$DF33+'Model Setup'!$I$7,SUMIF($BH$3:$CE$3,"="&amp;$DF33+'Model Setup'!$I$7,$AD33:$BA33)+'Model Setup'!$I$8*(SUMIF($BH$3:$CE$3,"&lt;"&amp;$DF33,$AD33:$BA33)+SUMIF($BH$3:$CE$3,"&gt;"&amp;$CW$4,$AD33:$BA33)),
IF(CA$3=$DF33+'Model Setup'!$J$7,SUMIF($BH$3:$CE$3,"="&amp;$DF33+'Model Setup'!$J$7,$AD33:$BA33)+'Model Setup'!$J$8*(SUMIF($BH$3:$CE$3,"&lt;"&amp;$DF33,$AD33:$BA33)+SUMIF($BH$3:$CE$3,"&gt;"&amp;$CW$4,$AD33:$BA33)),
IF(CA$3=$DF33+'Model Setup'!$K$7,SUMIF($BH$3:$CE$3,"="&amp;$DF33+'Model Setup'!$K$7,$AD33:$BA33)+'Model Setup'!$K$8*(SUMIF($BH$3:$CE$3,"&lt;"&amp;$DF33,$AD33:$BA33)+SUMIF($BH$3:$CE$3,"&gt;"&amp;$CW$4,$AD33:$BA33)),
IF(CA$3=$DF33+'Model Setup'!$L$7,SUMIF($BH$3:$CE$3,"="&amp;$DF33+'Model Setup'!$L$7,$AD33:$BA33)+'Model Setup'!$L$8*(SUMIF($BH$3:$CE$3,"&lt;"&amp;$DF33,$AD33:$BA33)+SUMIF($BH$3:$CE$3,"&gt;"&amp;$CW$4,$AD33:$BA33)),
IF(CA$3=$DF33+'Model Setup'!$M$7,SUMIF($BH$3:$CE$3,"="&amp;$DF33+'Model Setup'!$M$7,$AD33:$BA33)+'Model Setup'!$M$8*(SUMIF($BH$3:$CE$3,"&lt;"&amp;$DF33,$AD33:$BA33)+SUMIF($BH$3:$CE$3,"&gt;"&amp;$CW$4,$AD33:$BA33)),
IF(CA$3=$DF33+'Model Setup'!$N$7,SUMIF($BH$3:$CE$3,"="&amp;$DF33+'Model Setup'!$N$7,$AD33:$BA33)+'Model Setup'!$N$8*(SUMIF($BH$3:$CE$3,"&lt;"&amp;$DF33,$AD33:$BA33)+SUMIF($BH$3:$CE$3,"&gt;"&amp;$CW$4,$AD33:$BA33)),
IF(CA$3&lt;$CW$4,U33,0))))))))))))))),0)</f>
        <v>0</v>
      </c>
      <c r="CB33" s="47">
        <f>ROUND(IF(OR(CB$3&lt;$DF33,CB$3&gt;$CW$4),0,
IF(CB$3=$DF33+'Model Setup'!$B$7,SUMIF($BH$3:$CE$3,"="&amp;$DF33+'Model Setup'!$B$7,$AD33:$BA33)+'Model Setup'!$B$8*(SUMIF($BH$3:$CE$3,"&lt;"&amp;$DF33,$AD33:$BA33)+SUMIF($BH$3:$CE$3,"&gt;"&amp;$CW$4,$AD33:$BA33)),
IF(CB$3=$DF33+'Model Setup'!$C$7,SUMIF($BH$3:$CE$3,"="&amp;$DF33+'Model Setup'!$C$7,$AD33:$BA33)+'Model Setup'!$C$8*(SUMIF($BH$3:$CE$3,"&lt;"&amp;$DF33,$AD33:$BA33)+SUMIF($BH$3:$CE$3,"&gt;"&amp;$CW$4,$AD33:$BA33)),
IF(CB$3=$DF33+'Model Setup'!$D$7,SUMIF($BH$3:$CE$3,"="&amp;$DF33+'Model Setup'!$D$7,$AD33:$BA33)+'Model Setup'!$D$8*(SUMIF($BH$3:$CE$3,"&lt;"&amp;$DF33,$AD33:$BA33)+SUMIF($BH$3:$CE$3,"&gt;"&amp;$CW$4,$AD33:$BA33)),
IF(CB$3=$DF33+'Model Setup'!$E$7,SUMIF($BH$3:$CE$3,"="&amp;$DF33+'Model Setup'!$E$7,$AD33:$BA33)+'Model Setup'!$E$8*(SUMIF($BH$3:$CE$3,"&lt;"&amp;$DF33,$AD33:$BA33)+SUMIF($BH$3:$CE$3,"&gt;"&amp;$CW$4,$AD33:$BA33)),
IF(CB$3=$DF33+'Model Setup'!$F$7,SUMIF($BH$3:$CE$3,"="&amp;$DF33+'Model Setup'!$F$7,$AD33:$BA33)+'Model Setup'!$F$8*(SUMIF($BH$3:$CE$3,"&lt;"&amp;$DF33,$AD33:$BA33)+SUMIF($BH$3:$CE$3,"&gt;"&amp;$CW$4,$AD33:$BA33)),
IF(CB$3=$DF33+'Model Setup'!$G$7,SUMIF($BH$3:$CE$3,"="&amp;$DF33+'Model Setup'!$G$7,$AD33:$BA33)+'Model Setup'!$G$8*(SUMIF($BH$3:$CE$3,"&lt;"&amp;$DF33,$AD33:$BA33)+SUMIF($BH$3:$CE$3,"&gt;"&amp;$CW$4,$AD33:$BA33)),
IF(CB$3=$DF33+'Model Setup'!$H$7,SUMIF($BH$3:$CE$3,"="&amp;$DF33+'Model Setup'!$H$7,$AD33:$BA33)+'Model Setup'!$H$8*(SUMIF($BH$3:$CE$3,"&lt;"&amp;$DF33,$AD33:$BA33)+SUMIF($BH$3:$CE$3,"&gt;"&amp;$CW$4,$AD33:$BA33)),
IF(CB$3=$DF33+'Model Setup'!$I$7,SUMIF($BH$3:$CE$3,"="&amp;$DF33+'Model Setup'!$I$7,$AD33:$BA33)+'Model Setup'!$I$8*(SUMIF($BH$3:$CE$3,"&lt;"&amp;$DF33,$AD33:$BA33)+SUMIF($BH$3:$CE$3,"&gt;"&amp;$CW$4,$AD33:$BA33)),
IF(CB$3=$DF33+'Model Setup'!$J$7,SUMIF($BH$3:$CE$3,"="&amp;$DF33+'Model Setup'!$J$7,$AD33:$BA33)+'Model Setup'!$J$8*(SUMIF($BH$3:$CE$3,"&lt;"&amp;$DF33,$AD33:$BA33)+SUMIF($BH$3:$CE$3,"&gt;"&amp;$CW$4,$AD33:$BA33)),
IF(CB$3=$DF33+'Model Setup'!$K$7,SUMIF($BH$3:$CE$3,"="&amp;$DF33+'Model Setup'!$K$7,$AD33:$BA33)+'Model Setup'!$K$8*(SUMIF($BH$3:$CE$3,"&lt;"&amp;$DF33,$AD33:$BA33)+SUMIF($BH$3:$CE$3,"&gt;"&amp;$CW$4,$AD33:$BA33)),
IF(CB$3=$DF33+'Model Setup'!$L$7,SUMIF($BH$3:$CE$3,"="&amp;$DF33+'Model Setup'!$L$7,$AD33:$BA33)+'Model Setup'!$L$8*(SUMIF($BH$3:$CE$3,"&lt;"&amp;$DF33,$AD33:$BA33)+SUMIF($BH$3:$CE$3,"&gt;"&amp;$CW$4,$AD33:$BA33)),
IF(CB$3=$DF33+'Model Setup'!$M$7,SUMIF($BH$3:$CE$3,"="&amp;$DF33+'Model Setup'!$M$7,$AD33:$BA33)+'Model Setup'!$M$8*(SUMIF($BH$3:$CE$3,"&lt;"&amp;$DF33,$AD33:$BA33)+SUMIF($BH$3:$CE$3,"&gt;"&amp;$CW$4,$AD33:$BA33)),
IF(CB$3=$DF33+'Model Setup'!$N$7,SUMIF($BH$3:$CE$3,"="&amp;$DF33+'Model Setup'!$N$7,$AD33:$BA33)+'Model Setup'!$N$8*(SUMIF($BH$3:$CE$3,"&lt;"&amp;$DF33,$AD33:$BA33)+SUMIF($BH$3:$CE$3,"&gt;"&amp;$CW$4,$AD33:$BA33)),
IF(CB$3&lt;$CW$4,V33,0))))))))))))))),0)</f>
        <v>0</v>
      </c>
      <c r="CC33" s="47">
        <f>ROUND(IF(OR(CC$3&lt;$DF33,CC$3&gt;$CW$4),0,
IF(CC$3=$DF33+'Model Setup'!$B$7,SUMIF($BH$3:$CE$3,"="&amp;$DF33+'Model Setup'!$B$7,$AD33:$BA33)+'Model Setup'!$B$8*(SUMIF($BH$3:$CE$3,"&lt;"&amp;$DF33,$AD33:$BA33)+SUMIF($BH$3:$CE$3,"&gt;"&amp;$CW$4,$AD33:$BA33)),
IF(CC$3=$DF33+'Model Setup'!$C$7,SUMIF($BH$3:$CE$3,"="&amp;$DF33+'Model Setup'!$C$7,$AD33:$BA33)+'Model Setup'!$C$8*(SUMIF($BH$3:$CE$3,"&lt;"&amp;$DF33,$AD33:$BA33)+SUMIF($BH$3:$CE$3,"&gt;"&amp;$CW$4,$AD33:$BA33)),
IF(CC$3=$DF33+'Model Setup'!$D$7,SUMIF($BH$3:$CE$3,"="&amp;$DF33+'Model Setup'!$D$7,$AD33:$BA33)+'Model Setup'!$D$8*(SUMIF($BH$3:$CE$3,"&lt;"&amp;$DF33,$AD33:$BA33)+SUMIF($BH$3:$CE$3,"&gt;"&amp;$CW$4,$AD33:$BA33)),
IF(CC$3=$DF33+'Model Setup'!$E$7,SUMIF($BH$3:$CE$3,"="&amp;$DF33+'Model Setup'!$E$7,$AD33:$BA33)+'Model Setup'!$E$8*(SUMIF($BH$3:$CE$3,"&lt;"&amp;$DF33,$AD33:$BA33)+SUMIF($BH$3:$CE$3,"&gt;"&amp;$CW$4,$AD33:$BA33)),
IF(CC$3=$DF33+'Model Setup'!$F$7,SUMIF($BH$3:$CE$3,"="&amp;$DF33+'Model Setup'!$F$7,$AD33:$BA33)+'Model Setup'!$F$8*(SUMIF($BH$3:$CE$3,"&lt;"&amp;$DF33,$AD33:$BA33)+SUMIF($BH$3:$CE$3,"&gt;"&amp;$CW$4,$AD33:$BA33)),
IF(CC$3=$DF33+'Model Setup'!$G$7,SUMIF($BH$3:$CE$3,"="&amp;$DF33+'Model Setup'!$G$7,$AD33:$BA33)+'Model Setup'!$G$8*(SUMIF($BH$3:$CE$3,"&lt;"&amp;$DF33,$AD33:$BA33)+SUMIF($BH$3:$CE$3,"&gt;"&amp;$CW$4,$AD33:$BA33)),
IF(CC$3=$DF33+'Model Setup'!$H$7,SUMIF($BH$3:$CE$3,"="&amp;$DF33+'Model Setup'!$H$7,$AD33:$BA33)+'Model Setup'!$H$8*(SUMIF($BH$3:$CE$3,"&lt;"&amp;$DF33,$AD33:$BA33)+SUMIF($BH$3:$CE$3,"&gt;"&amp;$CW$4,$AD33:$BA33)),
IF(CC$3=$DF33+'Model Setup'!$I$7,SUMIF($BH$3:$CE$3,"="&amp;$DF33+'Model Setup'!$I$7,$AD33:$BA33)+'Model Setup'!$I$8*(SUMIF($BH$3:$CE$3,"&lt;"&amp;$DF33,$AD33:$BA33)+SUMIF($BH$3:$CE$3,"&gt;"&amp;$CW$4,$AD33:$BA33)),
IF(CC$3=$DF33+'Model Setup'!$J$7,SUMIF($BH$3:$CE$3,"="&amp;$DF33+'Model Setup'!$J$7,$AD33:$BA33)+'Model Setup'!$J$8*(SUMIF($BH$3:$CE$3,"&lt;"&amp;$DF33,$AD33:$BA33)+SUMIF($BH$3:$CE$3,"&gt;"&amp;$CW$4,$AD33:$BA33)),
IF(CC$3=$DF33+'Model Setup'!$K$7,SUMIF($BH$3:$CE$3,"="&amp;$DF33+'Model Setup'!$K$7,$AD33:$BA33)+'Model Setup'!$K$8*(SUMIF($BH$3:$CE$3,"&lt;"&amp;$DF33,$AD33:$BA33)+SUMIF($BH$3:$CE$3,"&gt;"&amp;$CW$4,$AD33:$BA33)),
IF(CC$3=$DF33+'Model Setup'!$L$7,SUMIF($BH$3:$CE$3,"="&amp;$DF33+'Model Setup'!$L$7,$AD33:$BA33)+'Model Setup'!$L$8*(SUMIF($BH$3:$CE$3,"&lt;"&amp;$DF33,$AD33:$BA33)+SUMIF($BH$3:$CE$3,"&gt;"&amp;$CW$4,$AD33:$BA33)),
IF(CC$3=$DF33+'Model Setup'!$M$7,SUMIF($BH$3:$CE$3,"="&amp;$DF33+'Model Setup'!$M$7,$AD33:$BA33)+'Model Setup'!$M$8*(SUMIF($BH$3:$CE$3,"&lt;"&amp;$DF33,$AD33:$BA33)+SUMIF($BH$3:$CE$3,"&gt;"&amp;$CW$4,$AD33:$BA33)),
IF(CC$3=$DF33+'Model Setup'!$N$7,SUMIF($BH$3:$CE$3,"="&amp;$DF33+'Model Setup'!$N$7,$AD33:$BA33)+'Model Setup'!$N$8*(SUMIF($BH$3:$CE$3,"&lt;"&amp;$DF33,$AD33:$BA33)+SUMIF($BH$3:$CE$3,"&gt;"&amp;$CW$4,$AD33:$BA33)),
IF(CC$3&lt;$CW$4,W33,0))))))))))))))),0)</f>
        <v>0</v>
      </c>
      <c r="CD33" s="47">
        <f>ROUND(IF(OR(CD$3&lt;$DF33,CD$3&gt;$CW$4),0,
IF(CD$3=$DF33+'Model Setup'!$B$7,SUMIF($BH$3:$CE$3,"="&amp;$DF33+'Model Setup'!$B$7,$AD33:$BA33)+'Model Setup'!$B$8*(SUMIF($BH$3:$CE$3,"&lt;"&amp;$DF33,$AD33:$BA33)+SUMIF($BH$3:$CE$3,"&gt;"&amp;$CW$4,$AD33:$BA33)),
IF(CD$3=$DF33+'Model Setup'!$C$7,SUMIF($BH$3:$CE$3,"="&amp;$DF33+'Model Setup'!$C$7,$AD33:$BA33)+'Model Setup'!$C$8*(SUMIF($BH$3:$CE$3,"&lt;"&amp;$DF33,$AD33:$BA33)+SUMIF($BH$3:$CE$3,"&gt;"&amp;$CW$4,$AD33:$BA33)),
IF(CD$3=$DF33+'Model Setup'!$D$7,SUMIF($BH$3:$CE$3,"="&amp;$DF33+'Model Setup'!$D$7,$AD33:$BA33)+'Model Setup'!$D$8*(SUMIF($BH$3:$CE$3,"&lt;"&amp;$DF33,$AD33:$BA33)+SUMIF($BH$3:$CE$3,"&gt;"&amp;$CW$4,$AD33:$BA33)),
IF(CD$3=$DF33+'Model Setup'!$E$7,SUMIF($BH$3:$CE$3,"="&amp;$DF33+'Model Setup'!$E$7,$AD33:$BA33)+'Model Setup'!$E$8*(SUMIF($BH$3:$CE$3,"&lt;"&amp;$DF33,$AD33:$BA33)+SUMIF($BH$3:$CE$3,"&gt;"&amp;$CW$4,$AD33:$BA33)),
IF(CD$3=$DF33+'Model Setup'!$F$7,SUMIF($BH$3:$CE$3,"="&amp;$DF33+'Model Setup'!$F$7,$AD33:$BA33)+'Model Setup'!$F$8*(SUMIF($BH$3:$CE$3,"&lt;"&amp;$DF33,$AD33:$BA33)+SUMIF($BH$3:$CE$3,"&gt;"&amp;$CW$4,$AD33:$BA33)),
IF(CD$3=$DF33+'Model Setup'!$G$7,SUMIF($BH$3:$CE$3,"="&amp;$DF33+'Model Setup'!$G$7,$AD33:$BA33)+'Model Setup'!$G$8*(SUMIF($BH$3:$CE$3,"&lt;"&amp;$DF33,$AD33:$BA33)+SUMIF($BH$3:$CE$3,"&gt;"&amp;$CW$4,$AD33:$BA33)),
IF(CD$3=$DF33+'Model Setup'!$H$7,SUMIF($BH$3:$CE$3,"="&amp;$DF33+'Model Setup'!$H$7,$AD33:$BA33)+'Model Setup'!$H$8*(SUMIF($BH$3:$CE$3,"&lt;"&amp;$DF33,$AD33:$BA33)+SUMIF($BH$3:$CE$3,"&gt;"&amp;$CW$4,$AD33:$BA33)),
IF(CD$3=$DF33+'Model Setup'!$I$7,SUMIF($BH$3:$CE$3,"="&amp;$DF33+'Model Setup'!$I$7,$AD33:$BA33)+'Model Setup'!$I$8*(SUMIF($BH$3:$CE$3,"&lt;"&amp;$DF33,$AD33:$BA33)+SUMIF($BH$3:$CE$3,"&gt;"&amp;$CW$4,$AD33:$BA33)),
IF(CD$3=$DF33+'Model Setup'!$J$7,SUMIF($BH$3:$CE$3,"="&amp;$DF33+'Model Setup'!$J$7,$AD33:$BA33)+'Model Setup'!$J$8*(SUMIF($BH$3:$CE$3,"&lt;"&amp;$DF33,$AD33:$BA33)+SUMIF($BH$3:$CE$3,"&gt;"&amp;$CW$4,$AD33:$BA33)),
IF(CD$3=$DF33+'Model Setup'!$K$7,SUMIF($BH$3:$CE$3,"="&amp;$DF33+'Model Setup'!$K$7,$AD33:$BA33)+'Model Setup'!$K$8*(SUMIF($BH$3:$CE$3,"&lt;"&amp;$DF33,$AD33:$BA33)+SUMIF($BH$3:$CE$3,"&gt;"&amp;$CW$4,$AD33:$BA33)),
IF(CD$3=$DF33+'Model Setup'!$L$7,SUMIF($BH$3:$CE$3,"="&amp;$DF33+'Model Setup'!$L$7,$AD33:$BA33)+'Model Setup'!$L$8*(SUMIF($BH$3:$CE$3,"&lt;"&amp;$DF33,$AD33:$BA33)+SUMIF($BH$3:$CE$3,"&gt;"&amp;$CW$4,$AD33:$BA33)),
IF(CD$3=$DF33+'Model Setup'!$M$7,SUMIF($BH$3:$CE$3,"="&amp;$DF33+'Model Setup'!$M$7,$AD33:$BA33)+'Model Setup'!$M$8*(SUMIF($BH$3:$CE$3,"&lt;"&amp;$DF33,$AD33:$BA33)+SUMIF($BH$3:$CE$3,"&gt;"&amp;$CW$4,$AD33:$BA33)),
IF(CD$3=$DF33+'Model Setup'!$N$7,SUMIF($BH$3:$CE$3,"="&amp;$DF33+'Model Setup'!$N$7,$AD33:$BA33)+'Model Setup'!$N$8*(SUMIF($BH$3:$CE$3,"&lt;"&amp;$DF33,$AD33:$BA33)+SUMIF($BH$3:$CE$3,"&gt;"&amp;$CW$4,$AD33:$BA33)),
IF(CD$3&lt;$CW$4,X33,0))))))))))))))),0)</f>
        <v>0</v>
      </c>
      <c r="CE33" s="47">
        <f>ROUND(IF(OR(CE$3&lt;$DF33,CE$3&gt;$CW$4),0,
IF(CE$3=$DF33+'Model Setup'!$B$7,SUMIF($BH$3:$CE$3,"="&amp;$DF33+'Model Setup'!$B$7,$AD33:$BA33)+'Model Setup'!$B$8*(SUMIF($BH$3:$CE$3,"&lt;"&amp;$DF33,$AD33:$BA33)+SUMIF($BH$3:$CE$3,"&gt;"&amp;$CW$4,$AD33:$BA33)),
IF(CE$3=$DF33+'Model Setup'!$C$7,SUMIF($BH$3:$CE$3,"="&amp;$DF33+'Model Setup'!$C$7,$AD33:$BA33)+'Model Setup'!$C$8*(SUMIF($BH$3:$CE$3,"&lt;"&amp;$DF33,$AD33:$BA33)+SUMIF($BH$3:$CE$3,"&gt;"&amp;$CW$4,$AD33:$BA33)),
IF(CE$3=$DF33+'Model Setup'!$D$7,SUMIF($BH$3:$CE$3,"="&amp;$DF33+'Model Setup'!$D$7,$AD33:$BA33)+'Model Setup'!$D$8*(SUMIF($BH$3:$CE$3,"&lt;"&amp;$DF33,$AD33:$BA33)+SUMIF($BH$3:$CE$3,"&gt;"&amp;$CW$4,$AD33:$BA33)),
IF(CE$3=$DF33+'Model Setup'!$E$7,SUMIF($BH$3:$CE$3,"="&amp;$DF33+'Model Setup'!$E$7,$AD33:$BA33)+'Model Setup'!$E$8*(SUMIF($BH$3:$CE$3,"&lt;"&amp;$DF33,$AD33:$BA33)+SUMIF($BH$3:$CE$3,"&gt;"&amp;$CW$4,$AD33:$BA33)),
IF(CE$3=$DF33+'Model Setup'!$F$7,SUMIF($BH$3:$CE$3,"="&amp;$DF33+'Model Setup'!$F$7,$AD33:$BA33)+'Model Setup'!$F$8*(SUMIF($BH$3:$CE$3,"&lt;"&amp;$DF33,$AD33:$BA33)+SUMIF($BH$3:$CE$3,"&gt;"&amp;$CW$4,$AD33:$BA33)),
IF(CE$3=$DF33+'Model Setup'!$G$7,SUMIF($BH$3:$CE$3,"="&amp;$DF33+'Model Setup'!$G$7,$AD33:$BA33)+'Model Setup'!$G$8*(SUMIF($BH$3:$CE$3,"&lt;"&amp;$DF33,$AD33:$BA33)+SUMIF($BH$3:$CE$3,"&gt;"&amp;$CW$4,$AD33:$BA33)),
IF(CE$3=$DF33+'Model Setup'!$H$7,SUMIF($BH$3:$CE$3,"="&amp;$DF33+'Model Setup'!$H$7,$AD33:$BA33)+'Model Setup'!$H$8*(SUMIF($BH$3:$CE$3,"&lt;"&amp;$DF33,$AD33:$BA33)+SUMIF($BH$3:$CE$3,"&gt;"&amp;$CW$4,$AD33:$BA33)),
IF(CE$3=$DF33+'Model Setup'!$I$7,SUMIF($BH$3:$CE$3,"="&amp;$DF33+'Model Setup'!$I$7,$AD33:$BA33)+'Model Setup'!$I$8*(SUMIF($BH$3:$CE$3,"&lt;"&amp;$DF33,$AD33:$BA33)+SUMIF($BH$3:$CE$3,"&gt;"&amp;$CW$4,$AD33:$BA33)),
IF(CE$3=$DF33+'Model Setup'!$J$7,SUMIF($BH$3:$CE$3,"="&amp;$DF33+'Model Setup'!$J$7,$AD33:$BA33)+'Model Setup'!$J$8*(SUMIF($BH$3:$CE$3,"&lt;"&amp;$DF33,$AD33:$BA33)+SUMIF($BH$3:$CE$3,"&gt;"&amp;$CW$4,$AD33:$BA33)),
IF(CE$3=$DF33+'Model Setup'!$K$7,SUMIF($BH$3:$CE$3,"="&amp;$DF33+'Model Setup'!$K$7,$AD33:$BA33)+'Model Setup'!$K$8*(SUMIF($BH$3:$CE$3,"&lt;"&amp;$DF33,$AD33:$BA33)+SUMIF($BH$3:$CE$3,"&gt;"&amp;$CW$4,$AD33:$BA33)),
IF(CE$3=$DF33+'Model Setup'!$L$7,SUMIF($BH$3:$CE$3,"="&amp;$DF33+'Model Setup'!$L$7,$AD33:$BA33)+'Model Setup'!$L$8*(SUMIF($BH$3:$CE$3,"&lt;"&amp;$DF33,$AD33:$BA33)+SUMIF($BH$3:$CE$3,"&gt;"&amp;$CW$4,$AD33:$BA33)),
IF(CE$3=$DF33+'Model Setup'!$M$7,SUMIF($BH$3:$CE$3,"="&amp;$DF33+'Model Setup'!$M$7,$AD33:$BA33)+'Model Setup'!$M$8*(SUMIF($BH$3:$CE$3,"&lt;"&amp;$DF33,$AD33:$BA33)+SUMIF($BH$3:$CE$3,"&gt;"&amp;$CW$4,$AD33:$BA33)),
IF(CE$3=$DF33+'Model Setup'!$N$7,SUMIF($BH$3:$CE$3,"="&amp;$DF33+'Model Setup'!$N$7,$AD33:$BA33)+'Model Setup'!$N$8*(SUMIF($BH$3:$CE$3,"&lt;"&amp;$DF33,$AD33:$BA33)+SUMIF($BH$3:$CE$3,"&gt;"&amp;$CW$4,$AD33:$BA33)),
IF(CE$3&lt;$CW$4,Y33,0))))))))))))))),0)</f>
        <v>0</v>
      </c>
      <c r="CF33" s="47">
        <f t="shared" si="3"/>
        <v>73</v>
      </c>
      <c r="CG33" s="47">
        <f t="shared" si="4"/>
        <v>0</v>
      </c>
      <c r="CI33" s="10" t="s">
        <v>48</v>
      </c>
      <c r="CJ33" s="126">
        <f t="shared" si="9"/>
        <v>0</v>
      </c>
      <c r="CK33" s="126">
        <f t="shared" si="10"/>
        <v>10</v>
      </c>
      <c r="CL33" s="126">
        <f t="shared" si="11"/>
        <v>7</v>
      </c>
      <c r="CM33" s="126">
        <f t="shared" si="12"/>
        <v>8</v>
      </c>
      <c r="CN33" s="126">
        <f t="shared" si="13"/>
        <v>15</v>
      </c>
      <c r="CO33" s="126">
        <f t="shared" si="14"/>
        <v>11</v>
      </c>
      <c r="CP33" s="126">
        <f t="shared" si="15"/>
        <v>4</v>
      </c>
      <c r="CQ33" s="126">
        <f t="shared" si="16"/>
        <v>2</v>
      </c>
      <c r="CR33" s="126">
        <f t="shared" si="17"/>
        <v>1</v>
      </c>
      <c r="CS33" s="126">
        <f t="shared" si="18"/>
        <v>3</v>
      </c>
      <c r="CT33" s="126">
        <f t="shared" si="19"/>
        <v>2</v>
      </c>
      <c r="CU33" s="126">
        <f t="shared" si="20"/>
        <v>3</v>
      </c>
      <c r="CV33" s="126">
        <f t="shared" si="21"/>
        <v>3</v>
      </c>
      <c r="CW33" s="126">
        <f t="shared" si="22"/>
        <v>4</v>
      </c>
      <c r="CX33" s="126">
        <f t="shared" si="23"/>
        <v>0</v>
      </c>
      <c r="CY33" s="126">
        <f t="shared" si="24"/>
        <v>0</v>
      </c>
      <c r="CZ33" s="47">
        <f t="shared" si="7"/>
        <v>73</v>
      </c>
      <c r="DC33" s="93" t="s">
        <v>48</v>
      </c>
      <c r="DD33" s="89">
        <f>FTC!E31</f>
        <v>0.25</v>
      </c>
      <c r="DE33" s="89">
        <f>FTC!F31</f>
        <v>0.79166666666666663</v>
      </c>
      <c r="DF33" s="90">
        <f t="shared" si="25"/>
        <v>6</v>
      </c>
      <c r="DG33" s="91">
        <f t="shared" si="26"/>
        <v>19</v>
      </c>
      <c r="DH33" s="91">
        <f t="shared" si="27"/>
        <v>13</v>
      </c>
    </row>
    <row r="34" spans="1:112" x14ac:dyDescent="0.35">
      <c r="A34" s="43" t="s">
        <v>49</v>
      </c>
      <c r="B34" s="6"/>
      <c r="C34" s="6"/>
      <c r="D34" s="6"/>
      <c r="E34" s="47">
        <v>2</v>
      </c>
      <c r="F34" s="47">
        <v>2</v>
      </c>
      <c r="G34" s="47">
        <v>5</v>
      </c>
      <c r="H34" s="47">
        <v>23</v>
      </c>
      <c r="I34" s="47">
        <v>25</v>
      </c>
      <c r="J34" s="47">
        <v>22</v>
      </c>
      <c r="K34" s="47">
        <v>19</v>
      </c>
      <c r="L34" s="47">
        <v>31</v>
      </c>
      <c r="M34" s="47">
        <v>12</v>
      </c>
      <c r="N34" s="47">
        <v>13</v>
      </c>
      <c r="O34" s="47">
        <v>12</v>
      </c>
      <c r="P34" s="47">
        <v>11</v>
      </c>
      <c r="Q34" s="47">
        <v>5</v>
      </c>
      <c r="R34" s="47">
        <v>2</v>
      </c>
      <c r="S34" s="47">
        <v>3</v>
      </c>
      <c r="T34" s="47">
        <v>3</v>
      </c>
      <c r="U34" s="6"/>
      <c r="V34" s="6"/>
      <c r="W34" s="47">
        <v>2</v>
      </c>
      <c r="X34" s="47">
        <v>1</v>
      </c>
      <c r="Y34" s="47">
        <v>3</v>
      </c>
      <c r="Z34" s="47">
        <f t="shared" si="0"/>
        <v>196</v>
      </c>
      <c r="AC34" s="43" t="s">
        <v>49</v>
      </c>
      <c r="AD34" s="47">
        <f>ROUND(IF(AD$3&lt;$DF34,0,
IF(AD$3=$DF34+'Model Setup'!$B$7,SUMIF($AD$3:$BA$3,"="&amp;$DF34+'Model Setup'!$B$7,$B34:$Y34)+'Model Setup'!$B$8*(SUMIF($AD$3:$BA$3,"&lt;"&amp;$DF34,$B34:$Y34)+SUMIF($AD$3:$BA$3,"&gt;="&amp;$DG34,$B34:$Y34)),
IF(AD$3=$DF34+'Model Setup'!$C$7,SUMIF($AD$3:$BA$3,"="&amp;$DF34+'Model Setup'!$C$7,$B34:$Y34)+'Model Setup'!$C$8*(SUMIF($AD$3:$BA$3,"&lt;"&amp;$DF34,$B34:$Y34)+SUMIF($AD$3:$BA$3,"&gt;="&amp;$DG34,$B34:$Y34)),
IF(AD$3=$DF34+'Model Setup'!$D$7,SUMIF($AD$3:$BA$3,"="&amp;$DF34+'Model Setup'!$D$7,$B34:$Y34)+'Model Setup'!$D$8*(SUMIF($AD$3:$BA$3,"&lt;"&amp;$DF34,$B34:$Y34)+SUMIF($AD$3:$BA$3,"&gt;="&amp;$DG34,$B34:$Y34)),
IF(AD$3=$DF34+'Model Setup'!$E$7,SUMIF($AD$3:$BA$3,"="&amp;$DF34+'Model Setup'!$E$7,$B34:$Y34)+'Model Setup'!$E$8*(SUMIF($AD$3:$BA$3,"&lt;"&amp;$DF34,$B34:$Y34)+SUMIF($AD$3:$BA$3,"&gt;="&amp;$DG34,$B34:$Y34)),
IF(AD$3=$DF34+'Model Setup'!$F$7,SUMIF($AD$3:$BA$3,"="&amp;$DF34+'Model Setup'!$F$7,$B34:$Y34)+'Model Setup'!$F$8*(SUMIF($AD$3:$BA$3,"&lt;"&amp;$DF34,$B34:$Y34)+SUMIF($AD$3:$BA$3,"&gt;="&amp;$DG34,$B34:$Y34)),
IF(AD$3=$DF34+'Model Setup'!$G$7,SUMIF($AD$3:$BA$3,"="&amp;$DF34+'Model Setup'!$G$7,$B34:$Y34)+'Model Setup'!$G$8*(SUMIF($AD$3:$BA$3,"&lt;"&amp;$DF34,$B34:$Y34)+SUMIF($AD$3:$BA$3,"&gt;="&amp;$DG34,$B34:$Y34)),
IF(AD$3=$DF34+'Model Setup'!$H$7,SUMIF($AD$3:$BA$3,"="&amp;$DF34+'Model Setup'!$H$7,$B34:$Y34)+'Model Setup'!$H$8*(SUMIF($AD$3:$BA$3,"&lt;"&amp;$DF34,$B34:$Y34)+SUMIF($AD$3:$BA$3,"&gt;="&amp;$DG34,$B34:$Y34)),
IF(AD$3=$DF34+'Model Setup'!$I$7,SUMIF($AD$3:$BA$3,"="&amp;$DF34+'Model Setup'!$I$7,$B34:$Y34)+'Model Setup'!$I$8*(SUMIF($AD$3:$BA$3,"&lt;"&amp;$DF34,$B34:$Y34)+SUMIF($AD$3:$BA$3,"&gt;="&amp;$DG34,$B34:$Y34)),
IF(AD$3=$DF34+'Model Setup'!$J$7,SUMIF($AD$3:$BA$3,"="&amp;$DF34+'Model Setup'!$J$7,$B34:$Y34)+'Model Setup'!$J$8*(SUMIF($AD$3:$BA$3,"&lt;"&amp;$DF34,$B34:$Y34)+SUMIF($AD$3:$BA$3,"&gt;="&amp;$DG34,$B34:$Y34)),
IF(AD$3=$DF34+'Model Setup'!$K$7,SUMIF($AD$3:$BA$3,"="&amp;$DF34+'Model Setup'!$K$7,$B34:$Y34)+'Model Setup'!$K$8*(SUMIF($AD$3:$BA$3,"&lt;"&amp;$DF34,$B34:$Y34)+SUMIF($AD$3:$BA$3,"&gt;="&amp;$DG34,$B34:$Y34)),
IF(AD$3=$DF34+'Model Setup'!$L$7,SUMIF($AD$3:$BA$3,"="&amp;$DF34+'Model Setup'!$L$7,$B34:$Y34)+'Model Setup'!$L$8*(SUMIF($AD$3:$BA$3,"&lt;"&amp;$DF34,$B34:$Y34)+SUMIF($AD$3:$BA$3,"&gt;="&amp;$DG34,$B34:$Y34)),
IF(AD$3=$DF34+'Model Setup'!$M$7,SUMIF($AD$3:$BA$3,"="&amp;$DF34+'Model Setup'!$M$7,$B34:$Y34)+'Model Setup'!$M$8*(SUMIF($AD$3:$BA$3,"&lt;"&amp;$DF34,$B34:$Y34)+SUMIF($AD$3:$BA$3,"&gt;="&amp;$DG34,$B34:$Y34)),
IF(AD$3=$DF34+'Model Setup'!$N$7,SUMIF($AD$3:$BA$3,"="&amp;$DF34+'Model Setup'!$N$7,$B34:$Y34)+'Model Setup'!$N$8*(SUMIF($AD$3:$BA$3,"&lt;"&amp;$DF34,$B34:$Y34)+SUMIF($AD$3:$BA$3,"&gt;="&amp;$DG34,$B34:$Y34)),
IF(AD$3&lt;$DG34,B34,0))))))))))))))),0)</f>
        <v>0</v>
      </c>
      <c r="AE34" s="47">
        <f>ROUND(IF(AE$3&lt;$DF34,0,
IF(AE$3=$DF34+'Model Setup'!$B$7,SUMIF($AD$3:$BA$3,"="&amp;$DF34+'Model Setup'!$B$7,$B34:$Y34)+'Model Setup'!$B$8*(SUMIF($AD$3:$BA$3,"&lt;"&amp;$DF34,$B34:$Y34)+SUMIF($AD$3:$BA$3,"&gt;="&amp;$DG34,$B34:$Y34)),
IF(AE$3=$DF34+'Model Setup'!$C$7,SUMIF($AD$3:$BA$3,"="&amp;$DF34+'Model Setup'!$C$7,$B34:$Y34)+'Model Setup'!$C$8*(SUMIF($AD$3:$BA$3,"&lt;"&amp;$DF34,$B34:$Y34)+SUMIF($AD$3:$BA$3,"&gt;="&amp;$DG34,$B34:$Y34)),
IF(AE$3=$DF34+'Model Setup'!$D$7,SUMIF($AD$3:$BA$3,"="&amp;$DF34+'Model Setup'!$D$7,$B34:$Y34)+'Model Setup'!$D$8*(SUMIF($AD$3:$BA$3,"&lt;"&amp;$DF34,$B34:$Y34)+SUMIF($AD$3:$BA$3,"&gt;="&amp;$DG34,$B34:$Y34)),
IF(AE$3=$DF34+'Model Setup'!$E$7,SUMIF($AD$3:$BA$3,"="&amp;$DF34+'Model Setup'!$E$7,$B34:$Y34)+'Model Setup'!$E$8*(SUMIF($AD$3:$BA$3,"&lt;"&amp;$DF34,$B34:$Y34)+SUMIF($AD$3:$BA$3,"&gt;="&amp;$DG34,$B34:$Y34)),
IF(AE$3=$DF34+'Model Setup'!$F$7,SUMIF($AD$3:$BA$3,"="&amp;$DF34+'Model Setup'!$F$7,$B34:$Y34)+'Model Setup'!$F$8*(SUMIF($AD$3:$BA$3,"&lt;"&amp;$DF34,$B34:$Y34)+SUMIF($AD$3:$BA$3,"&gt;="&amp;$DG34,$B34:$Y34)),
IF(AE$3=$DF34+'Model Setup'!$G$7,SUMIF($AD$3:$BA$3,"="&amp;$DF34+'Model Setup'!$G$7,$B34:$Y34)+'Model Setup'!$G$8*(SUMIF($AD$3:$BA$3,"&lt;"&amp;$DF34,$B34:$Y34)+SUMIF($AD$3:$BA$3,"&gt;="&amp;$DG34,$B34:$Y34)),
IF(AE$3=$DF34+'Model Setup'!$H$7,SUMIF($AD$3:$BA$3,"="&amp;$DF34+'Model Setup'!$H$7,$B34:$Y34)+'Model Setup'!$H$8*(SUMIF($AD$3:$BA$3,"&lt;"&amp;$DF34,$B34:$Y34)+SUMIF($AD$3:$BA$3,"&gt;="&amp;$DG34,$B34:$Y34)),
IF(AE$3=$DF34+'Model Setup'!$I$7,SUMIF($AD$3:$BA$3,"="&amp;$DF34+'Model Setup'!$I$7,$B34:$Y34)+'Model Setup'!$I$8*(SUMIF($AD$3:$BA$3,"&lt;"&amp;$DF34,$B34:$Y34)+SUMIF($AD$3:$BA$3,"&gt;="&amp;$DG34,$B34:$Y34)),
IF(AE$3=$DF34+'Model Setup'!$J$7,SUMIF($AD$3:$BA$3,"="&amp;$DF34+'Model Setup'!$J$7,$B34:$Y34)+'Model Setup'!$J$8*(SUMIF($AD$3:$BA$3,"&lt;"&amp;$DF34,$B34:$Y34)+SUMIF($AD$3:$BA$3,"&gt;="&amp;$DG34,$B34:$Y34)),
IF(AE$3=$DF34+'Model Setup'!$K$7,SUMIF($AD$3:$BA$3,"="&amp;$DF34+'Model Setup'!$K$7,$B34:$Y34)+'Model Setup'!$K$8*(SUMIF($AD$3:$BA$3,"&lt;"&amp;$DF34,$B34:$Y34)+SUMIF($AD$3:$BA$3,"&gt;="&amp;$DG34,$B34:$Y34)),
IF(AE$3=$DF34+'Model Setup'!$L$7,SUMIF($AD$3:$BA$3,"="&amp;$DF34+'Model Setup'!$L$7,$B34:$Y34)+'Model Setup'!$L$8*(SUMIF($AD$3:$BA$3,"&lt;"&amp;$DF34,$B34:$Y34)+SUMIF($AD$3:$BA$3,"&gt;="&amp;$DG34,$B34:$Y34)),
IF(AE$3=$DF34+'Model Setup'!$M$7,SUMIF($AD$3:$BA$3,"="&amp;$DF34+'Model Setup'!$M$7,$B34:$Y34)+'Model Setup'!$M$8*(SUMIF($AD$3:$BA$3,"&lt;"&amp;$DF34,$B34:$Y34)+SUMIF($AD$3:$BA$3,"&gt;="&amp;$DG34,$B34:$Y34)),
IF(AE$3=$DF34+'Model Setup'!$N$7,SUMIF($AD$3:$BA$3,"="&amp;$DF34+'Model Setup'!$N$7,$B34:$Y34)+'Model Setup'!$N$8*(SUMIF($AD$3:$BA$3,"&lt;"&amp;$DF34,$B34:$Y34)+SUMIF($AD$3:$BA$3,"&gt;="&amp;$DG34,$B34:$Y34)),
IF(AE$3&lt;$DG34,C34,0))))))))))))))),0)</f>
        <v>0</v>
      </c>
      <c r="AF34" s="47">
        <f>ROUND(IF(AF$3&lt;$DF34,0,
IF(AF$3=$DF34+'Model Setup'!$B$7,SUMIF($AD$3:$BA$3,"="&amp;$DF34+'Model Setup'!$B$7,$B34:$Y34)+'Model Setup'!$B$8*(SUMIF($AD$3:$BA$3,"&lt;"&amp;$DF34,$B34:$Y34)+SUMIF($AD$3:$BA$3,"&gt;="&amp;$DG34,$B34:$Y34)),
IF(AF$3=$DF34+'Model Setup'!$C$7,SUMIF($AD$3:$BA$3,"="&amp;$DF34+'Model Setup'!$C$7,$B34:$Y34)+'Model Setup'!$C$8*(SUMIF($AD$3:$BA$3,"&lt;"&amp;$DF34,$B34:$Y34)+SUMIF($AD$3:$BA$3,"&gt;="&amp;$DG34,$B34:$Y34)),
IF(AF$3=$DF34+'Model Setup'!$D$7,SUMIF($AD$3:$BA$3,"="&amp;$DF34+'Model Setup'!$D$7,$B34:$Y34)+'Model Setup'!$D$8*(SUMIF($AD$3:$BA$3,"&lt;"&amp;$DF34,$B34:$Y34)+SUMIF($AD$3:$BA$3,"&gt;="&amp;$DG34,$B34:$Y34)),
IF(AF$3=$DF34+'Model Setup'!$E$7,SUMIF($AD$3:$BA$3,"="&amp;$DF34+'Model Setup'!$E$7,$B34:$Y34)+'Model Setup'!$E$8*(SUMIF($AD$3:$BA$3,"&lt;"&amp;$DF34,$B34:$Y34)+SUMIF($AD$3:$BA$3,"&gt;="&amp;$DG34,$B34:$Y34)),
IF(AF$3=$DF34+'Model Setup'!$F$7,SUMIF($AD$3:$BA$3,"="&amp;$DF34+'Model Setup'!$F$7,$B34:$Y34)+'Model Setup'!$F$8*(SUMIF($AD$3:$BA$3,"&lt;"&amp;$DF34,$B34:$Y34)+SUMIF($AD$3:$BA$3,"&gt;="&amp;$DG34,$B34:$Y34)),
IF(AF$3=$DF34+'Model Setup'!$G$7,SUMIF($AD$3:$BA$3,"="&amp;$DF34+'Model Setup'!$G$7,$B34:$Y34)+'Model Setup'!$G$8*(SUMIF($AD$3:$BA$3,"&lt;"&amp;$DF34,$B34:$Y34)+SUMIF($AD$3:$BA$3,"&gt;="&amp;$DG34,$B34:$Y34)),
IF(AF$3=$DF34+'Model Setup'!$H$7,SUMIF($AD$3:$BA$3,"="&amp;$DF34+'Model Setup'!$H$7,$B34:$Y34)+'Model Setup'!$H$8*(SUMIF($AD$3:$BA$3,"&lt;"&amp;$DF34,$B34:$Y34)+SUMIF($AD$3:$BA$3,"&gt;="&amp;$DG34,$B34:$Y34)),
IF(AF$3=$DF34+'Model Setup'!$I$7,SUMIF($AD$3:$BA$3,"="&amp;$DF34+'Model Setup'!$I$7,$B34:$Y34)+'Model Setup'!$I$8*(SUMIF($AD$3:$BA$3,"&lt;"&amp;$DF34,$B34:$Y34)+SUMIF($AD$3:$BA$3,"&gt;="&amp;$DG34,$B34:$Y34)),
IF(AF$3=$DF34+'Model Setup'!$J$7,SUMIF($AD$3:$BA$3,"="&amp;$DF34+'Model Setup'!$J$7,$B34:$Y34)+'Model Setup'!$J$8*(SUMIF($AD$3:$BA$3,"&lt;"&amp;$DF34,$B34:$Y34)+SUMIF($AD$3:$BA$3,"&gt;="&amp;$DG34,$B34:$Y34)),
IF(AF$3=$DF34+'Model Setup'!$K$7,SUMIF($AD$3:$BA$3,"="&amp;$DF34+'Model Setup'!$K$7,$B34:$Y34)+'Model Setup'!$K$8*(SUMIF($AD$3:$BA$3,"&lt;"&amp;$DF34,$B34:$Y34)+SUMIF($AD$3:$BA$3,"&gt;="&amp;$DG34,$B34:$Y34)),
IF(AF$3=$DF34+'Model Setup'!$L$7,SUMIF($AD$3:$BA$3,"="&amp;$DF34+'Model Setup'!$L$7,$B34:$Y34)+'Model Setup'!$L$8*(SUMIF($AD$3:$BA$3,"&lt;"&amp;$DF34,$B34:$Y34)+SUMIF($AD$3:$BA$3,"&gt;="&amp;$DG34,$B34:$Y34)),
IF(AF$3=$DF34+'Model Setup'!$M$7,SUMIF($AD$3:$BA$3,"="&amp;$DF34+'Model Setup'!$M$7,$B34:$Y34)+'Model Setup'!$M$8*(SUMIF($AD$3:$BA$3,"&lt;"&amp;$DF34,$B34:$Y34)+SUMIF($AD$3:$BA$3,"&gt;="&amp;$DG34,$B34:$Y34)),
IF(AF$3=$DF34+'Model Setup'!$N$7,SUMIF($AD$3:$BA$3,"="&amp;$DF34+'Model Setup'!$N$7,$B34:$Y34)+'Model Setup'!$N$8*(SUMIF($AD$3:$BA$3,"&lt;"&amp;$DF34,$B34:$Y34)+SUMIF($AD$3:$BA$3,"&gt;="&amp;$DG34,$B34:$Y34)),
IF(AF$3&lt;$DG34,D34,0))))))))))))))),0)</f>
        <v>0</v>
      </c>
      <c r="AG34" s="47">
        <f>ROUND(IF(AG$3&lt;$DF34,0,
IF(AG$3=$DF34+'Model Setup'!$B$7,SUMIF($AD$3:$BA$3,"="&amp;$DF34+'Model Setup'!$B$7,$B34:$Y34)+'Model Setup'!$B$8*(SUMIF($AD$3:$BA$3,"&lt;"&amp;$DF34,$B34:$Y34)+SUMIF($AD$3:$BA$3,"&gt;="&amp;$DG34,$B34:$Y34)),
IF(AG$3=$DF34+'Model Setup'!$C$7,SUMIF($AD$3:$BA$3,"="&amp;$DF34+'Model Setup'!$C$7,$B34:$Y34)+'Model Setup'!$C$8*(SUMIF($AD$3:$BA$3,"&lt;"&amp;$DF34,$B34:$Y34)+SUMIF($AD$3:$BA$3,"&gt;="&amp;$DG34,$B34:$Y34)),
IF(AG$3=$DF34+'Model Setup'!$D$7,SUMIF($AD$3:$BA$3,"="&amp;$DF34+'Model Setup'!$D$7,$B34:$Y34)+'Model Setup'!$D$8*(SUMIF($AD$3:$BA$3,"&lt;"&amp;$DF34,$B34:$Y34)+SUMIF($AD$3:$BA$3,"&gt;="&amp;$DG34,$B34:$Y34)),
IF(AG$3=$DF34+'Model Setup'!$E$7,SUMIF($AD$3:$BA$3,"="&amp;$DF34+'Model Setup'!$E$7,$B34:$Y34)+'Model Setup'!$E$8*(SUMIF($AD$3:$BA$3,"&lt;"&amp;$DF34,$B34:$Y34)+SUMIF($AD$3:$BA$3,"&gt;="&amp;$DG34,$B34:$Y34)),
IF(AG$3=$DF34+'Model Setup'!$F$7,SUMIF($AD$3:$BA$3,"="&amp;$DF34+'Model Setup'!$F$7,$B34:$Y34)+'Model Setup'!$F$8*(SUMIF($AD$3:$BA$3,"&lt;"&amp;$DF34,$B34:$Y34)+SUMIF($AD$3:$BA$3,"&gt;="&amp;$DG34,$B34:$Y34)),
IF(AG$3=$DF34+'Model Setup'!$G$7,SUMIF($AD$3:$BA$3,"="&amp;$DF34+'Model Setup'!$G$7,$B34:$Y34)+'Model Setup'!$G$8*(SUMIF($AD$3:$BA$3,"&lt;"&amp;$DF34,$B34:$Y34)+SUMIF($AD$3:$BA$3,"&gt;="&amp;$DG34,$B34:$Y34)),
IF(AG$3=$DF34+'Model Setup'!$H$7,SUMIF($AD$3:$BA$3,"="&amp;$DF34+'Model Setup'!$H$7,$B34:$Y34)+'Model Setup'!$H$8*(SUMIF($AD$3:$BA$3,"&lt;"&amp;$DF34,$B34:$Y34)+SUMIF($AD$3:$BA$3,"&gt;="&amp;$DG34,$B34:$Y34)),
IF(AG$3=$DF34+'Model Setup'!$I$7,SUMIF($AD$3:$BA$3,"="&amp;$DF34+'Model Setup'!$I$7,$B34:$Y34)+'Model Setup'!$I$8*(SUMIF($AD$3:$BA$3,"&lt;"&amp;$DF34,$B34:$Y34)+SUMIF($AD$3:$BA$3,"&gt;="&amp;$DG34,$B34:$Y34)),
IF(AG$3=$DF34+'Model Setup'!$J$7,SUMIF($AD$3:$BA$3,"="&amp;$DF34+'Model Setup'!$J$7,$B34:$Y34)+'Model Setup'!$J$8*(SUMIF($AD$3:$BA$3,"&lt;"&amp;$DF34,$B34:$Y34)+SUMIF($AD$3:$BA$3,"&gt;="&amp;$DG34,$B34:$Y34)),
IF(AG$3=$DF34+'Model Setup'!$K$7,SUMIF($AD$3:$BA$3,"="&amp;$DF34+'Model Setup'!$K$7,$B34:$Y34)+'Model Setup'!$K$8*(SUMIF($AD$3:$BA$3,"&lt;"&amp;$DF34,$B34:$Y34)+SUMIF($AD$3:$BA$3,"&gt;="&amp;$DG34,$B34:$Y34)),
IF(AG$3=$DF34+'Model Setup'!$L$7,SUMIF($AD$3:$BA$3,"="&amp;$DF34+'Model Setup'!$L$7,$B34:$Y34)+'Model Setup'!$L$8*(SUMIF($AD$3:$BA$3,"&lt;"&amp;$DF34,$B34:$Y34)+SUMIF($AD$3:$BA$3,"&gt;="&amp;$DG34,$B34:$Y34)),
IF(AG$3=$DF34+'Model Setup'!$M$7,SUMIF($AD$3:$BA$3,"="&amp;$DF34+'Model Setup'!$M$7,$B34:$Y34)+'Model Setup'!$M$8*(SUMIF($AD$3:$BA$3,"&lt;"&amp;$DF34,$B34:$Y34)+SUMIF($AD$3:$BA$3,"&gt;="&amp;$DG34,$B34:$Y34)),
IF(AG$3=$DF34+'Model Setup'!$N$7,SUMIF($AD$3:$BA$3,"="&amp;$DF34+'Model Setup'!$N$7,$B34:$Y34)+'Model Setup'!$N$8*(SUMIF($AD$3:$BA$3,"&lt;"&amp;$DF34,$B34:$Y34)+SUMIF($AD$3:$BA$3,"&gt;="&amp;$DG34,$B34:$Y34)),
IF(AG$3&lt;$DG34,E34,0))))))))))))))),0)</f>
        <v>0</v>
      </c>
      <c r="AH34" s="47">
        <f>ROUND(IF(AH$3&lt;$DF34,0,
IF(AH$3=$DF34+'Model Setup'!$B$7,SUMIF($AD$3:$BA$3,"="&amp;$DF34+'Model Setup'!$B$7,$B34:$Y34)+'Model Setup'!$B$8*(SUMIF($AD$3:$BA$3,"&lt;"&amp;$DF34,$B34:$Y34)+SUMIF($AD$3:$BA$3,"&gt;="&amp;$DG34,$B34:$Y34)),
IF(AH$3=$DF34+'Model Setup'!$C$7,SUMIF($AD$3:$BA$3,"="&amp;$DF34+'Model Setup'!$C$7,$B34:$Y34)+'Model Setup'!$C$8*(SUMIF($AD$3:$BA$3,"&lt;"&amp;$DF34,$B34:$Y34)+SUMIF($AD$3:$BA$3,"&gt;="&amp;$DG34,$B34:$Y34)),
IF(AH$3=$DF34+'Model Setup'!$D$7,SUMIF($AD$3:$BA$3,"="&amp;$DF34+'Model Setup'!$D$7,$B34:$Y34)+'Model Setup'!$D$8*(SUMIF($AD$3:$BA$3,"&lt;"&amp;$DF34,$B34:$Y34)+SUMIF($AD$3:$BA$3,"&gt;="&amp;$DG34,$B34:$Y34)),
IF(AH$3=$DF34+'Model Setup'!$E$7,SUMIF($AD$3:$BA$3,"="&amp;$DF34+'Model Setup'!$E$7,$B34:$Y34)+'Model Setup'!$E$8*(SUMIF($AD$3:$BA$3,"&lt;"&amp;$DF34,$B34:$Y34)+SUMIF($AD$3:$BA$3,"&gt;="&amp;$DG34,$B34:$Y34)),
IF(AH$3=$DF34+'Model Setup'!$F$7,SUMIF($AD$3:$BA$3,"="&amp;$DF34+'Model Setup'!$F$7,$B34:$Y34)+'Model Setup'!$F$8*(SUMIF($AD$3:$BA$3,"&lt;"&amp;$DF34,$B34:$Y34)+SUMIF($AD$3:$BA$3,"&gt;="&amp;$DG34,$B34:$Y34)),
IF(AH$3=$DF34+'Model Setup'!$G$7,SUMIF($AD$3:$BA$3,"="&amp;$DF34+'Model Setup'!$G$7,$B34:$Y34)+'Model Setup'!$G$8*(SUMIF($AD$3:$BA$3,"&lt;"&amp;$DF34,$B34:$Y34)+SUMIF($AD$3:$BA$3,"&gt;="&amp;$DG34,$B34:$Y34)),
IF(AH$3=$DF34+'Model Setup'!$H$7,SUMIF($AD$3:$BA$3,"="&amp;$DF34+'Model Setup'!$H$7,$B34:$Y34)+'Model Setup'!$H$8*(SUMIF($AD$3:$BA$3,"&lt;"&amp;$DF34,$B34:$Y34)+SUMIF($AD$3:$BA$3,"&gt;="&amp;$DG34,$B34:$Y34)),
IF(AH$3=$DF34+'Model Setup'!$I$7,SUMIF($AD$3:$BA$3,"="&amp;$DF34+'Model Setup'!$I$7,$B34:$Y34)+'Model Setup'!$I$8*(SUMIF($AD$3:$BA$3,"&lt;"&amp;$DF34,$B34:$Y34)+SUMIF($AD$3:$BA$3,"&gt;="&amp;$DG34,$B34:$Y34)),
IF(AH$3=$DF34+'Model Setup'!$J$7,SUMIF($AD$3:$BA$3,"="&amp;$DF34+'Model Setup'!$J$7,$B34:$Y34)+'Model Setup'!$J$8*(SUMIF($AD$3:$BA$3,"&lt;"&amp;$DF34,$B34:$Y34)+SUMIF($AD$3:$BA$3,"&gt;="&amp;$DG34,$B34:$Y34)),
IF(AH$3=$DF34+'Model Setup'!$K$7,SUMIF($AD$3:$BA$3,"="&amp;$DF34+'Model Setup'!$K$7,$B34:$Y34)+'Model Setup'!$K$8*(SUMIF($AD$3:$BA$3,"&lt;"&amp;$DF34,$B34:$Y34)+SUMIF($AD$3:$BA$3,"&gt;="&amp;$DG34,$B34:$Y34)),
IF(AH$3=$DF34+'Model Setup'!$L$7,SUMIF($AD$3:$BA$3,"="&amp;$DF34+'Model Setup'!$L$7,$B34:$Y34)+'Model Setup'!$L$8*(SUMIF($AD$3:$BA$3,"&lt;"&amp;$DF34,$B34:$Y34)+SUMIF($AD$3:$BA$3,"&gt;="&amp;$DG34,$B34:$Y34)),
IF(AH$3=$DF34+'Model Setup'!$M$7,SUMIF($AD$3:$BA$3,"="&amp;$DF34+'Model Setup'!$M$7,$B34:$Y34)+'Model Setup'!$M$8*(SUMIF($AD$3:$BA$3,"&lt;"&amp;$DF34,$B34:$Y34)+SUMIF($AD$3:$BA$3,"&gt;="&amp;$DG34,$B34:$Y34)),
IF(AH$3=$DF34+'Model Setup'!$N$7,SUMIF($AD$3:$BA$3,"="&amp;$DF34+'Model Setup'!$N$7,$B34:$Y34)+'Model Setup'!$N$8*(SUMIF($AD$3:$BA$3,"&lt;"&amp;$DF34,$B34:$Y34)+SUMIF($AD$3:$BA$3,"&gt;="&amp;$DG34,$B34:$Y34)),
IF(AH$3&lt;$DG34,F34,0))))))))))))))),0)</f>
        <v>0</v>
      </c>
      <c r="AI34" s="47">
        <f>ROUND(IF(AI$3&lt;$DF34,0,
IF(AI$3=$DF34+'Model Setup'!$B$7,SUMIF($AD$3:$BA$3,"="&amp;$DF34+'Model Setup'!$B$7,$B34:$Y34)+'Model Setup'!$B$8*(SUMIF($AD$3:$BA$3,"&lt;"&amp;$DF34,$B34:$Y34)+SUMIF($AD$3:$BA$3,"&gt;="&amp;$DG34,$B34:$Y34)),
IF(AI$3=$DF34+'Model Setup'!$C$7,SUMIF($AD$3:$BA$3,"="&amp;$DF34+'Model Setup'!$C$7,$B34:$Y34)+'Model Setup'!$C$8*(SUMIF($AD$3:$BA$3,"&lt;"&amp;$DF34,$B34:$Y34)+SUMIF($AD$3:$BA$3,"&gt;="&amp;$DG34,$B34:$Y34)),
IF(AI$3=$DF34+'Model Setup'!$D$7,SUMIF($AD$3:$BA$3,"="&amp;$DF34+'Model Setup'!$D$7,$B34:$Y34)+'Model Setup'!$D$8*(SUMIF($AD$3:$BA$3,"&lt;"&amp;$DF34,$B34:$Y34)+SUMIF($AD$3:$BA$3,"&gt;="&amp;$DG34,$B34:$Y34)),
IF(AI$3=$DF34+'Model Setup'!$E$7,SUMIF($AD$3:$BA$3,"="&amp;$DF34+'Model Setup'!$E$7,$B34:$Y34)+'Model Setup'!$E$8*(SUMIF($AD$3:$BA$3,"&lt;"&amp;$DF34,$B34:$Y34)+SUMIF($AD$3:$BA$3,"&gt;="&amp;$DG34,$B34:$Y34)),
IF(AI$3=$DF34+'Model Setup'!$F$7,SUMIF($AD$3:$BA$3,"="&amp;$DF34+'Model Setup'!$F$7,$B34:$Y34)+'Model Setup'!$F$8*(SUMIF($AD$3:$BA$3,"&lt;"&amp;$DF34,$B34:$Y34)+SUMIF($AD$3:$BA$3,"&gt;="&amp;$DG34,$B34:$Y34)),
IF(AI$3=$DF34+'Model Setup'!$G$7,SUMIF($AD$3:$BA$3,"="&amp;$DF34+'Model Setup'!$G$7,$B34:$Y34)+'Model Setup'!$G$8*(SUMIF($AD$3:$BA$3,"&lt;"&amp;$DF34,$B34:$Y34)+SUMIF($AD$3:$BA$3,"&gt;="&amp;$DG34,$B34:$Y34)),
IF(AI$3=$DF34+'Model Setup'!$H$7,SUMIF($AD$3:$BA$3,"="&amp;$DF34+'Model Setup'!$H$7,$B34:$Y34)+'Model Setup'!$H$8*(SUMIF($AD$3:$BA$3,"&lt;"&amp;$DF34,$B34:$Y34)+SUMIF($AD$3:$BA$3,"&gt;="&amp;$DG34,$B34:$Y34)),
IF(AI$3=$DF34+'Model Setup'!$I$7,SUMIF($AD$3:$BA$3,"="&amp;$DF34+'Model Setup'!$I$7,$B34:$Y34)+'Model Setup'!$I$8*(SUMIF($AD$3:$BA$3,"&lt;"&amp;$DF34,$B34:$Y34)+SUMIF($AD$3:$BA$3,"&gt;="&amp;$DG34,$B34:$Y34)),
IF(AI$3=$DF34+'Model Setup'!$J$7,SUMIF($AD$3:$BA$3,"="&amp;$DF34+'Model Setup'!$J$7,$B34:$Y34)+'Model Setup'!$J$8*(SUMIF($AD$3:$BA$3,"&lt;"&amp;$DF34,$B34:$Y34)+SUMIF($AD$3:$BA$3,"&gt;="&amp;$DG34,$B34:$Y34)),
IF(AI$3=$DF34+'Model Setup'!$K$7,SUMIF($AD$3:$BA$3,"="&amp;$DF34+'Model Setup'!$K$7,$B34:$Y34)+'Model Setup'!$K$8*(SUMIF($AD$3:$BA$3,"&lt;"&amp;$DF34,$B34:$Y34)+SUMIF($AD$3:$BA$3,"&gt;="&amp;$DG34,$B34:$Y34)),
IF(AI$3=$DF34+'Model Setup'!$L$7,SUMIF($AD$3:$BA$3,"="&amp;$DF34+'Model Setup'!$L$7,$B34:$Y34)+'Model Setup'!$L$8*(SUMIF($AD$3:$BA$3,"&lt;"&amp;$DF34,$B34:$Y34)+SUMIF($AD$3:$BA$3,"&gt;="&amp;$DG34,$B34:$Y34)),
IF(AI$3=$DF34+'Model Setup'!$M$7,SUMIF($AD$3:$BA$3,"="&amp;$DF34+'Model Setup'!$M$7,$B34:$Y34)+'Model Setup'!$M$8*(SUMIF($AD$3:$BA$3,"&lt;"&amp;$DF34,$B34:$Y34)+SUMIF($AD$3:$BA$3,"&gt;="&amp;$DG34,$B34:$Y34)),
IF(AI$3=$DF34+'Model Setup'!$N$7,SUMIF($AD$3:$BA$3,"="&amp;$DF34+'Model Setup'!$N$7,$B34:$Y34)+'Model Setup'!$N$8*(SUMIF($AD$3:$BA$3,"&lt;"&amp;$DF34,$B34:$Y34)+SUMIF($AD$3:$BA$3,"&gt;="&amp;$DG34,$B34:$Y34)),
IF(AI$3&lt;$DG34,G34,0))))))))))))))),0)</f>
        <v>0</v>
      </c>
      <c r="AJ34" s="47">
        <f>ROUND(IF(AJ$3&lt;$DF34,0,
IF(AJ$3=$DF34+'Model Setup'!$B$7,SUMIF($AD$3:$BA$3,"="&amp;$DF34+'Model Setup'!$B$7,$B34:$Y34)+'Model Setup'!$B$8*(SUMIF($AD$3:$BA$3,"&lt;"&amp;$DF34,$B34:$Y34)+SUMIF($AD$3:$BA$3,"&gt;="&amp;$DG34,$B34:$Y34)),
IF(AJ$3=$DF34+'Model Setup'!$C$7,SUMIF($AD$3:$BA$3,"="&amp;$DF34+'Model Setup'!$C$7,$B34:$Y34)+'Model Setup'!$C$8*(SUMIF($AD$3:$BA$3,"&lt;"&amp;$DF34,$B34:$Y34)+SUMIF($AD$3:$BA$3,"&gt;="&amp;$DG34,$B34:$Y34)),
IF(AJ$3=$DF34+'Model Setup'!$D$7,SUMIF($AD$3:$BA$3,"="&amp;$DF34+'Model Setup'!$D$7,$B34:$Y34)+'Model Setup'!$D$8*(SUMIF($AD$3:$BA$3,"&lt;"&amp;$DF34,$B34:$Y34)+SUMIF($AD$3:$BA$3,"&gt;="&amp;$DG34,$B34:$Y34)),
IF(AJ$3=$DF34+'Model Setup'!$E$7,SUMIF($AD$3:$BA$3,"="&amp;$DF34+'Model Setup'!$E$7,$B34:$Y34)+'Model Setup'!$E$8*(SUMIF($AD$3:$BA$3,"&lt;"&amp;$DF34,$B34:$Y34)+SUMIF($AD$3:$BA$3,"&gt;="&amp;$DG34,$B34:$Y34)),
IF(AJ$3=$DF34+'Model Setup'!$F$7,SUMIF($AD$3:$BA$3,"="&amp;$DF34+'Model Setup'!$F$7,$B34:$Y34)+'Model Setup'!$F$8*(SUMIF($AD$3:$BA$3,"&lt;"&amp;$DF34,$B34:$Y34)+SUMIF($AD$3:$BA$3,"&gt;="&amp;$DG34,$B34:$Y34)),
IF(AJ$3=$DF34+'Model Setup'!$G$7,SUMIF($AD$3:$BA$3,"="&amp;$DF34+'Model Setup'!$G$7,$B34:$Y34)+'Model Setup'!$G$8*(SUMIF($AD$3:$BA$3,"&lt;"&amp;$DF34,$B34:$Y34)+SUMIF($AD$3:$BA$3,"&gt;="&amp;$DG34,$B34:$Y34)),
IF(AJ$3=$DF34+'Model Setup'!$H$7,SUMIF($AD$3:$BA$3,"="&amp;$DF34+'Model Setup'!$H$7,$B34:$Y34)+'Model Setup'!$H$8*(SUMIF($AD$3:$BA$3,"&lt;"&amp;$DF34,$B34:$Y34)+SUMIF($AD$3:$BA$3,"&gt;="&amp;$DG34,$B34:$Y34)),
IF(AJ$3=$DF34+'Model Setup'!$I$7,SUMIF($AD$3:$BA$3,"="&amp;$DF34+'Model Setup'!$I$7,$B34:$Y34)+'Model Setup'!$I$8*(SUMIF($AD$3:$BA$3,"&lt;"&amp;$DF34,$B34:$Y34)+SUMIF($AD$3:$BA$3,"&gt;="&amp;$DG34,$B34:$Y34)),
IF(AJ$3=$DF34+'Model Setup'!$J$7,SUMIF($AD$3:$BA$3,"="&amp;$DF34+'Model Setup'!$J$7,$B34:$Y34)+'Model Setup'!$J$8*(SUMIF($AD$3:$BA$3,"&lt;"&amp;$DF34,$B34:$Y34)+SUMIF($AD$3:$BA$3,"&gt;="&amp;$DG34,$B34:$Y34)),
IF(AJ$3=$DF34+'Model Setup'!$K$7,SUMIF($AD$3:$BA$3,"="&amp;$DF34+'Model Setup'!$K$7,$B34:$Y34)+'Model Setup'!$K$8*(SUMIF($AD$3:$BA$3,"&lt;"&amp;$DF34,$B34:$Y34)+SUMIF($AD$3:$BA$3,"&gt;="&amp;$DG34,$B34:$Y34)),
IF(AJ$3=$DF34+'Model Setup'!$L$7,SUMIF($AD$3:$BA$3,"="&amp;$DF34+'Model Setup'!$L$7,$B34:$Y34)+'Model Setup'!$L$8*(SUMIF($AD$3:$BA$3,"&lt;"&amp;$DF34,$B34:$Y34)+SUMIF($AD$3:$BA$3,"&gt;="&amp;$DG34,$B34:$Y34)),
IF(AJ$3=$DF34+'Model Setup'!$M$7,SUMIF($AD$3:$BA$3,"="&amp;$DF34+'Model Setup'!$M$7,$B34:$Y34)+'Model Setup'!$M$8*(SUMIF($AD$3:$BA$3,"&lt;"&amp;$DF34,$B34:$Y34)+SUMIF($AD$3:$BA$3,"&gt;="&amp;$DG34,$B34:$Y34)),
IF(AJ$3=$DF34+'Model Setup'!$N$7,SUMIF($AD$3:$BA$3,"="&amp;$DF34+'Model Setup'!$N$7,$B34:$Y34)+'Model Setup'!$N$8*(SUMIF($AD$3:$BA$3,"&lt;"&amp;$DF34,$B34:$Y34)+SUMIF($AD$3:$BA$3,"&gt;="&amp;$DG34,$B34:$Y34)),
IF(AJ$3&lt;$DG34,H34,0))))))))))))))),0)</f>
        <v>23</v>
      </c>
      <c r="AK34" s="47">
        <f>ROUND(IF(AK$3&lt;$DF34,0,
IF(AK$3=$DF34+'Model Setup'!$B$7,SUMIF($AD$3:$BA$3,"="&amp;$DF34+'Model Setup'!$B$7,$B34:$Y34)+'Model Setup'!$B$8*(SUMIF($AD$3:$BA$3,"&lt;"&amp;$DF34,$B34:$Y34)+SUMIF($AD$3:$BA$3,"&gt;="&amp;$DG34,$B34:$Y34)),
IF(AK$3=$DF34+'Model Setup'!$C$7,SUMIF($AD$3:$BA$3,"="&amp;$DF34+'Model Setup'!$C$7,$B34:$Y34)+'Model Setup'!$C$8*(SUMIF($AD$3:$BA$3,"&lt;"&amp;$DF34,$B34:$Y34)+SUMIF($AD$3:$BA$3,"&gt;="&amp;$DG34,$B34:$Y34)),
IF(AK$3=$DF34+'Model Setup'!$D$7,SUMIF($AD$3:$BA$3,"="&amp;$DF34+'Model Setup'!$D$7,$B34:$Y34)+'Model Setup'!$D$8*(SUMIF($AD$3:$BA$3,"&lt;"&amp;$DF34,$B34:$Y34)+SUMIF($AD$3:$BA$3,"&gt;="&amp;$DG34,$B34:$Y34)),
IF(AK$3=$DF34+'Model Setup'!$E$7,SUMIF($AD$3:$BA$3,"="&amp;$DF34+'Model Setup'!$E$7,$B34:$Y34)+'Model Setup'!$E$8*(SUMIF($AD$3:$BA$3,"&lt;"&amp;$DF34,$B34:$Y34)+SUMIF($AD$3:$BA$3,"&gt;="&amp;$DG34,$B34:$Y34)),
IF(AK$3=$DF34+'Model Setup'!$F$7,SUMIF($AD$3:$BA$3,"="&amp;$DF34+'Model Setup'!$F$7,$B34:$Y34)+'Model Setup'!$F$8*(SUMIF($AD$3:$BA$3,"&lt;"&amp;$DF34,$B34:$Y34)+SUMIF($AD$3:$BA$3,"&gt;="&amp;$DG34,$B34:$Y34)),
IF(AK$3=$DF34+'Model Setup'!$G$7,SUMIF($AD$3:$BA$3,"="&amp;$DF34+'Model Setup'!$G$7,$B34:$Y34)+'Model Setup'!$G$8*(SUMIF($AD$3:$BA$3,"&lt;"&amp;$DF34,$B34:$Y34)+SUMIF($AD$3:$BA$3,"&gt;="&amp;$DG34,$B34:$Y34)),
IF(AK$3=$DF34+'Model Setup'!$H$7,SUMIF($AD$3:$BA$3,"="&amp;$DF34+'Model Setup'!$H$7,$B34:$Y34)+'Model Setup'!$H$8*(SUMIF($AD$3:$BA$3,"&lt;"&amp;$DF34,$B34:$Y34)+SUMIF($AD$3:$BA$3,"&gt;="&amp;$DG34,$B34:$Y34)),
IF(AK$3=$DF34+'Model Setup'!$I$7,SUMIF($AD$3:$BA$3,"="&amp;$DF34+'Model Setup'!$I$7,$B34:$Y34)+'Model Setup'!$I$8*(SUMIF($AD$3:$BA$3,"&lt;"&amp;$DF34,$B34:$Y34)+SUMIF($AD$3:$BA$3,"&gt;="&amp;$DG34,$B34:$Y34)),
IF(AK$3=$DF34+'Model Setup'!$J$7,SUMIF($AD$3:$BA$3,"="&amp;$DF34+'Model Setup'!$J$7,$B34:$Y34)+'Model Setup'!$J$8*(SUMIF($AD$3:$BA$3,"&lt;"&amp;$DF34,$B34:$Y34)+SUMIF($AD$3:$BA$3,"&gt;="&amp;$DG34,$B34:$Y34)),
IF(AK$3=$DF34+'Model Setup'!$K$7,SUMIF($AD$3:$BA$3,"="&amp;$DF34+'Model Setup'!$K$7,$B34:$Y34)+'Model Setup'!$K$8*(SUMIF($AD$3:$BA$3,"&lt;"&amp;$DF34,$B34:$Y34)+SUMIF($AD$3:$BA$3,"&gt;="&amp;$DG34,$B34:$Y34)),
IF(AK$3=$DF34+'Model Setup'!$L$7,SUMIF($AD$3:$BA$3,"="&amp;$DF34+'Model Setup'!$L$7,$B34:$Y34)+'Model Setup'!$L$8*(SUMIF($AD$3:$BA$3,"&lt;"&amp;$DF34,$B34:$Y34)+SUMIF($AD$3:$BA$3,"&gt;="&amp;$DG34,$B34:$Y34)),
IF(AK$3=$DF34+'Model Setup'!$M$7,SUMIF($AD$3:$BA$3,"="&amp;$DF34+'Model Setup'!$M$7,$B34:$Y34)+'Model Setup'!$M$8*(SUMIF($AD$3:$BA$3,"&lt;"&amp;$DF34,$B34:$Y34)+SUMIF($AD$3:$BA$3,"&gt;="&amp;$DG34,$B34:$Y34)),
IF(AK$3=$DF34+'Model Setup'!$N$7,SUMIF($AD$3:$BA$3,"="&amp;$DF34+'Model Setup'!$N$7,$B34:$Y34)+'Model Setup'!$N$8*(SUMIF($AD$3:$BA$3,"&lt;"&amp;$DF34,$B34:$Y34)+SUMIF($AD$3:$BA$3,"&gt;="&amp;$DG34,$B34:$Y34)),
IF(AK$3&lt;$DG34,I34,0))))))))))))))),0)</f>
        <v>25</v>
      </c>
      <c r="AL34" s="47">
        <f>ROUND(IF(AL$3&lt;$DF34,0,
IF(AL$3=$DF34+'Model Setup'!$B$7,SUMIF($AD$3:$BA$3,"="&amp;$DF34+'Model Setup'!$B$7,$B34:$Y34)+'Model Setup'!$B$8*(SUMIF($AD$3:$BA$3,"&lt;"&amp;$DF34,$B34:$Y34)+SUMIF($AD$3:$BA$3,"&gt;="&amp;$DG34,$B34:$Y34)),
IF(AL$3=$DF34+'Model Setup'!$C$7,SUMIF($AD$3:$BA$3,"="&amp;$DF34+'Model Setup'!$C$7,$B34:$Y34)+'Model Setup'!$C$8*(SUMIF($AD$3:$BA$3,"&lt;"&amp;$DF34,$B34:$Y34)+SUMIF($AD$3:$BA$3,"&gt;="&amp;$DG34,$B34:$Y34)),
IF(AL$3=$DF34+'Model Setup'!$D$7,SUMIF($AD$3:$BA$3,"="&amp;$DF34+'Model Setup'!$D$7,$B34:$Y34)+'Model Setup'!$D$8*(SUMIF($AD$3:$BA$3,"&lt;"&amp;$DF34,$B34:$Y34)+SUMIF($AD$3:$BA$3,"&gt;="&amp;$DG34,$B34:$Y34)),
IF(AL$3=$DF34+'Model Setup'!$E$7,SUMIF($AD$3:$BA$3,"="&amp;$DF34+'Model Setup'!$E$7,$B34:$Y34)+'Model Setup'!$E$8*(SUMIF($AD$3:$BA$3,"&lt;"&amp;$DF34,$B34:$Y34)+SUMIF($AD$3:$BA$3,"&gt;="&amp;$DG34,$B34:$Y34)),
IF(AL$3=$DF34+'Model Setup'!$F$7,SUMIF($AD$3:$BA$3,"="&amp;$DF34+'Model Setup'!$F$7,$B34:$Y34)+'Model Setup'!$F$8*(SUMIF($AD$3:$BA$3,"&lt;"&amp;$DF34,$B34:$Y34)+SUMIF($AD$3:$BA$3,"&gt;="&amp;$DG34,$B34:$Y34)),
IF(AL$3=$DF34+'Model Setup'!$G$7,SUMIF($AD$3:$BA$3,"="&amp;$DF34+'Model Setup'!$G$7,$B34:$Y34)+'Model Setup'!$G$8*(SUMIF($AD$3:$BA$3,"&lt;"&amp;$DF34,$B34:$Y34)+SUMIF($AD$3:$BA$3,"&gt;="&amp;$DG34,$B34:$Y34)),
IF(AL$3=$DF34+'Model Setup'!$H$7,SUMIF($AD$3:$BA$3,"="&amp;$DF34+'Model Setup'!$H$7,$B34:$Y34)+'Model Setup'!$H$8*(SUMIF($AD$3:$BA$3,"&lt;"&amp;$DF34,$B34:$Y34)+SUMIF($AD$3:$BA$3,"&gt;="&amp;$DG34,$B34:$Y34)),
IF(AL$3=$DF34+'Model Setup'!$I$7,SUMIF($AD$3:$BA$3,"="&amp;$DF34+'Model Setup'!$I$7,$B34:$Y34)+'Model Setup'!$I$8*(SUMIF($AD$3:$BA$3,"&lt;"&amp;$DF34,$B34:$Y34)+SUMIF($AD$3:$BA$3,"&gt;="&amp;$DG34,$B34:$Y34)),
IF(AL$3=$DF34+'Model Setup'!$J$7,SUMIF($AD$3:$BA$3,"="&amp;$DF34+'Model Setup'!$J$7,$B34:$Y34)+'Model Setup'!$J$8*(SUMIF($AD$3:$BA$3,"&lt;"&amp;$DF34,$B34:$Y34)+SUMIF($AD$3:$BA$3,"&gt;="&amp;$DG34,$B34:$Y34)),
IF(AL$3=$DF34+'Model Setup'!$K$7,SUMIF($AD$3:$BA$3,"="&amp;$DF34+'Model Setup'!$K$7,$B34:$Y34)+'Model Setup'!$K$8*(SUMIF($AD$3:$BA$3,"&lt;"&amp;$DF34,$B34:$Y34)+SUMIF($AD$3:$BA$3,"&gt;="&amp;$DG34,$B34:$Y34)),
IF(AL$3=$DF34+'Model Setup'!$L$7,SUMIF($AD$3:$BA$3,"="&amp;$DF34+'Model Setup'!$L$7,$B34:$Y34)+'Model Setup'!$L$8*(SUMIF($AD$3:$BA$3,"&lt;"&amp;$DF34,$B34:$Y34)+SUMIF($AD$3:$BA$3,"&gt;="&amp;$DG34,$B34:$Y34)),
IF(AL$3=$DF34+'Model Setup'!$M$7,SUMIF($AD$3:$BA$3,"="&amp;$DF34+'Model Setup'!$M$7,$B34:$Y34)+'Model Setup'!$M$8*(SUMIF($AD$3:$BA$3,"&lt;"&amp;$DF34,$B34:$Y34)+SUMIF($AD$3:$BA$3,"&gt;="&amp;$DG34,$B34:$Y34)),
IF(AL$3=$DF34+'Model Setup'!$N$7,SUMIF($AD$3:$BA$3,"="&amp;$DF34+'Model Setup'!$N$7,$B34:$Y34)+'Model Setup'!$N$8*(SUMIF($AD$3:$BA$3,"&lt;"&amp;$DF34,$B34:$Y34)+SUMIF($AD$3:$BA$3,"&gt;="&amp;$DG34,$B34:$Y34)),
IF(AL$3&lt;$DG34,J34,0))))))))))))))),0)</f>
        <v>22</v>
      </c>
      <c r="AM34" s="47">
        <f>ROUND(IF(AM$3&lt;$DF34,0,
IF(AM$3=$DF34+'Model Setup'!$B$7,SUMIF($AD$3:$BA$3,"="&amp;$DF34+'Model Setup'!$B$7,$B34:$Y34)+'Model Setup'!$B$8*(SUMIF($AD$3:$BA$3,"&lt;"&amp;$DF34,$B34:$Y34)+SUMIF($AD$3:$BA$3,"&gt;="&amp;$DG34,$B34:$Y34)),
IF(AM$3=$DF34+'Model Setup'!$C$7,SUMIF($AD$3:$BA$3,"="&amp;$DF34+'Model Setup'!$C$7,$B34:$Y34)+'Model Setup'!$C$8*(SUMIF($AD$3:$BA$3,"&lt;"&amp;$DF34,$B34:$Y34)+SUMIF($AD$3:$BA$3,"&gt;="&amp;$DG34,$B34:$Y34)),
IF(AM$3=$DF34+'Model Setup'!$D$7,SUMIF($AD$3:$BA$3,"="&amp;$DF34+'Model Setup'!$D$7,$B34:$Y34)+'Model Setup'!$D$8*(SUMIF($AD$3:$BA$3,"&lt;"&amp;$DF34,$B34:$Y34)+SUMIF($AD$3:$BA$3,"&gt;="&amp;$DG34,$B34:$Y34)),
IF(AM$3=$DF34+'Model Setup'!$E$7,SUMIF($AD$3:$BA$3,"="&amp;$DF34+'Model Setup'!$E$7,$B34:$Y34)+'Model Setup'!$E$8*(SUMIF($AD$3:$BA$3,"&lt;"&amp;$DF34,$B34:$Y34)+SUMIF($AD$3:$BA$3,"&gt;="&amp;$DG34,$B34:$Y34)),
IF(AM$3=$DF34+'Model Setup'!$F$7,SUMIF($AD$3:$BA$3,"="&amp;$DF34+'Model Setup'!$F$7,$B34:$Y34)+'Model Setup'!$F$8*(SUMIF($AD$3:$BA$3,"&lt;"&amp;$DF34,$B34:$Y34)+SUMIF($AD$3:$BA$3,"&gt;="&amp;$DG34,$B34:$Y34)),
IF(AM$3=$DF34+'Model Setup'!$G$7,SUMIF($AD$3:$BA$3,"="&amp;$DF34+'Model Setup'!$G$7,$B34:$Y34)+'Model Setup'!$G$8*(SUMIF($AD$3:$BA$3,"&lt;"&amp;$DF34,$B34:$Y34)+SUMIF($AD$3:$BA$3,"&gt;="&amp;$DG34,$B34:$Y34)),
IF(AM$3=$DF34+'Model Setup'!$H$7,SUMIF($AD$3:$BA$3,"="&amp;$DF34+'Model Setup'!$H$7,$B34:$Y34)+'Model Setup'!$H$8*(SUMIF($AD$3:$BA$3,"&lt;"&amp;$DF34,$B34:$Y34)+SUMIF($AD$3:$BA$3,"&gt;="&amp;$DG34,$B34:$Y34)),
IF(AM$3=$DF34+'Model Setup'!$I$7,SUMIF($AD$3:$BA$3,"="&amp;$DF34+'Model Setup'!$I$7,$B34:$Y34)+'Model Setup'!$I$8*(SUMIF($AD$3:$BA$3,"&lt;"&amp;$DF34,$B34:$Y34)+SUMIF($AD$3:$BA$3,"&gt;="&amp;$DG34,$B34:$Y34)),
IF(AM$3=$DF34+'Model Setup'!$J$7,SUMIF($AD$3:$BA$3,"="&amp;$DF34+'Model Setup'!$J$7,$B34:$Y34)+'Model Setup'!$J$8*(SUMIF($AD$3:$BA$3,"&lt;"&amp;$DF34,$B34:$Y34)+SUMIF($AD$3:$BA$3,"&gt;="&amp;$DG34,$B34:$Y34)),
IF(AM$3=$DF34+'Model Setup'!$K$7,SUMIF($AD$3:$BA$3,"="&amp;$DF34+'Model Setup'!$K$7,$B34:$Y34)+'Model Setup'!$K$8*(SUMIF($AD$3:$BA$3,"&lt;"&amp;$DF34,$B34:$Y34)+SUMIF($AD$3:$BA$3,"&gt;="&amp;$DG34,$B34:$Y34)),
IF(AM$3=$DF34+'Model Setup'!$L$7,SUMIF($AD$3:$BA$3,"="&amp;$DF34+'Model Setup'!$L$7,$B34:$Y34)+'Model Setup'!$L$8*(SUMIF($AD$3:$BA$3,"&lt;"&amp;$DF34,$B34:$Y34)+SUMIF($AD$3:$BA$3,"&gt;="&amp;$DG34,$B34:$Y34)),
IF(AM$3=$DF34+'Model Setup'!$M$7,SUMIF($AD$3:$BA$3,"="&amp;$DF34+'Model Setup'!$M$7,$B34:$Y34)+'Model Setup'!$M$8*(SUMIF($AD$3:$BA$3,"&lt;"&amp;$DF34,$B34:$Y34)+SUMIF($AD$3:$BA$3,"&gt;="&amp;$DG34,$B34:$Y34)),
IF(AM$3=$DF34+'Model Setup'!$N$7,SUMIF($AD$3:$BA$3,"="&amp;$DF34+'Model Setup'!$N$7,$B34:$Y34)+'Model Setup'!$N$8*(SUMIF($AD$3:$BA$3,"&lt;"&amp;$DF34,$B34:$Y34)+SUMIF($AD$3:$BA$3,"&gt;="&amp;$DG34,$B34:$Y34)),
IF(AM$3&lt;$DG34,K34,0))))))))))))))),0)</f>
        <v>19</v>
      </c>
      <c r="AN34" s="47">
        <f>ROUND(IF(AN$3&lt;$DF34,0,
IF(AN$3=$DF34+'Model Setup'!$B$7,SUMIF($AD$3:$BA$3,"="&amp;$DF34+'Model Setup'!$B$7,$B34:$Y34)+'Model Setup'!$B$8*(SUMIF($AD$3:$BA$3,"&lt;"&amp;$DF34,$B34:$Y34)+SUMIF($AD$3:$BA$3,"&gt;="&amp;$DG34,$B34:$Y34)),
IF(AN$3=$DF34+'Model Setup'!$C$7,SUMIF($AD$3:$BA$3,"="&amp;$DF34+'Model Setup'!$C$7,$B34:$Y34)+'Model Setup'!$C$8*(SUMIF($AD$3:$BA$3,"&lt;"&amp;$DF34,$B34:$Y34)+SUMIF($AD$3:$BA$3,"&gt;="&amp;$DG34,$B34:$Y34)),
IF(AN$3=$DF34+'Model Setup'!$D$7,SUMIF($AD$3:$BA$3,"="&amp;$DF34+'Model Setup'!$D$7,$B34:$Y34)+'Model Setup'!$D$8*(SUMIF($AD$3:$BA$3,"&lt;"&amp;$DF34,$B34:$Y34)+SUMIF($AD$3:$BA$3,"&gt;="&amp;$DG34,$B34:$Y34)),
IF(AN$3=$DF34+'Model Setup'!$E$7,SUMIF($AD$3:$BA$3,"="&amp;$DF34+'Model Setup'!$E$7,$B34:$Y34)+'Model Setup'!$E$8*(SUMIF($AD$3:$BA$3,"&lt;"&amp;$DF34,$B34:$Y34)+SUMIF($AD$3:$BA$3,"&gt;="&amp;$DG34,$B34:$Y34)),
IF(AN$3=$DF34+'Model Setup'!$F$7,SUMIF($AD$3:$BA$3,"="&amp;$DF34+'Model Setup'!$F$7,$B34:$Y34)+'Model Setup'!$F$8*(SUMIF($AD$3:$BA$3,"&lt;"&amp;$DF34,$B34:$Y34)+SUMIF($AD$3:$BA$3,"&gt;="&amp;$DG34,$B34:$Y34)),
IF(AN$3=$DF34+'Model Setup'!$G$7,SUMIF($AD$3:$BA$3,"="&amp;$DF34+'Model Setup'!$G$7,$B34:$Y34)+'Model Setup'!$G$8*(SUMIF($AD$3:$BA$3,"&lt;"&amp;$DF34,$B34:$Y34)+SUMIF($AD$3:$BA$3,"&gt;="&amp;$DG34,$B34:$Y34)),
IF(AN$3=$DF34+'Model Setup'!$H$7,SUMIF($AD$3:$BA$3,"="&amp;$DF34+'Model Setup'!$H$7,$B34:$Y34)+'Model Setup'!$H$8*(SUMIF($AD$3:$BA$3,"&lt;"&amp;$DF34,$B34:$Y34)+SUMIF($AD$3:$BA$3,"&gt;="&amp;$DG34,$B34:$Y34)),
IF(AN$3=$DF34+'Model Setup'!$I$7,SUMIF($AD$3:$BA$3,"="&amp;$DF34+'Model Setup'!$I$7,$B34:$Y34)+'Model Setup'!$I$8*(SUMIF($AD$3:$BA$3,"&lt;"&amp;$DF34,$B34:$Y34)+SUMIF($AD$3:$BA$3,"&gt;="&amp;$DG34,$B34:$Y34)),
IF(AN$3=$DF34+'Model Setup'!$J$7,SUMIF($AD$3:$BA$3,"="&amp;$DF34+'Model Setup'!$J$7,$B34:$Y34)+'Model Setup'!$J$8*(SUMIF($AD$3:$BA$3,"&lt;"&amp;$DF34,$B34:$Y34)+SUMIF($AD$3:$BA$3,"&gt;="&amp;$DG34,$B34:$Y34)),
IF(AN$3=$DF34+'Model Setup'!$K$7,SUMIF($AD$3:$BA$3,"="&amp;$DF34+'Model Setup'!$K$7,$B34:$Y34)+'Model Setup'!$K$8*(SUMIF($AD$3:$BA$3,"&lt;"&amp;$DF34,$B34:$Y34)+SUMIF($AD$3:$BA$3,"&gt;="&amp;$DG34,$B34:$Y34)),
IF(AN$3=$DF34+'Model Setup'!$L$7,SUMIF($AD$3:$BA$3,"="&amp;$DF34+'Model Setup'!$L$7,$B34:$Y34)+'Model Setup'!$L$8*(SUMIF($AD$3:$BA$3,"&lt;"&amp;$DF34,$B34:$Y34)+SUMIF($AD$3:$BA$3,"&gt;="&amp;$DG34,$B34:$Y34)),
IF(AN$3=$DF34+'Model Setup'!$M$7,SUMIF($AD$3:$BA$3,"="&amp;$DF34+'Model Setup'!$M$7,$B34:$Y34)+'Model Setup'!$M$8*(SUMIF($AD$3:$BA$3,"&lt;"&amp;$DF34,$B34:$Y34)+SUMIF($AD$3:$BA$3,"&gt;="&amp;$DG34,$B34:$Y34)),
IF(AN$3=$DF34+'Model Setup'!$N$7,SUMIF($AD$3:$BA$3,"="&amp;$DF34+'Model Setup'!$N$7,$B34:$Y34)+'Model Setup'!$N$8*(SUMIF($AD$3:$BA$3,"&lt;"&amp;$DF34,$B34:$Y34)+SUMIF($AD$3:$BA$3,"&gt;="&amp;$DG34,$B34:$Y34)),
IF(AN$3&lt;$DG34,L34,0))))))))))))))),0)</f>
        <v>31</v>
      </c>
      <c r="AO34" s="47">
        <f>ROUND(IF(AO$3&lt;$DF34,0,
IF(AO$3=$DF34+'Model Setup'!$B$7,SUMIF($AD$3:$BA$3,"="&amp;$DF34+'Model Setup'!$B$7,$B34:$Y34)+'Model Setup'!$B$8*(SUMIF($AD$3:$BA$3,"&lt;"&amp;$DF34,$B34:$Y34)+SUMIF($AD$3:$BA$3,"&gt;="&amp;$DG34,$B34:$Y34)),
IF(AO$3=$DF34+'Model Setup'!$C$7,SUMIF($AD$3:$BA$3,"="&amp;$DF34+'Model Setup'!$C$7,$B34:$Y34)+'Model Setup'!$C$8*(SUMIF($AD$3:$BA$3,"&lt;"&amp;$DF34,$B34:$Y34)+SUMIF($AD$3:$BA$3,"&gt;="&amp;$DG34,$B34:$Y34)),
IF(AO$3=$DF34+'Model Setup'!$D$7,SUMIF($AD$3:$BA$3,"="&amp;$DF34+'Model Setup'!$D$7,$B34:$Y34)+'Model Setup'!$D$8*(SUMIF($AD$3:$BA$3,"&lt;"&amp;$DF34,$B34:$Y34)+SUMIF($AD$3:$BA$3,"&gt;="&amp;$DG34,$B34:$Y34)),
IF(AO$3=$DF34+'Model Setup'!$E$7,SUMIF($AD$3:$BA$3,"="&amp;$DF34+'Model Setup'!$E$7,$B34:$Y34)+'Model Setup'!$E$8*(SUMIF($AD$3:$BA$3,"&lt;"&amp;$DF34,$B34:$Y34)+SUMIF($AD$3:$BA$3,"&gt;="&amp;$DG34,$B34:$Y34)),
IF(AO$3=$DF34+'Model Setup'!$F$7,SUMIF($AD$3:$BA$3,"="&amp;$DF34+'Model Setup'!$F$7,$B34:$Y34)+'Model Setup'!$F$8*(SUMIF($AD$3:$BA$3,"&lt;"&amp;$DF34,$B34:$Y34)+SUMIF($AD$3:$BA$3,"&gt;="&amp;$DG34,$B34:$Y34)),
IF(AO$3=$DF34+'Model Setup'!$G$7,SUMIF($AD$3:$BA$3,"="&amp;$DF34+'Model Setup'!$G$7,$B34:$Y34)+'Model Setup'!$G$8*(SUMIF($AD$3:$BA$3,"&lt;"&amp;$DF34,$B34:$Y34)+SUMIF($AD$3:$BA$3,"&gt;="&amp;$DG34,$B34:$Y34)),
IF(AO$3=$DF34+'Model Setup'!$H$7,SUMIF($AD$3:$BA$3,"="&amp;$DF34+'Model Setup'!$H$7,$B34:$Y34)+'Model Setup'!$H$8*(SUMIF($AD$3:$BA$3,"&lt;"&amp;$DF34,$B34:$Y34)+SUMIF($AD$3:$BA$3,"&gt;="&amp;$DG34,$B34:$Y34)),
IF(AO$3=$DF34+'Model Setup'!$I$7,SUMIF($AD$3:$BA$3,"="&amp;$DF34+'Model Setup'!$I$7,$B34:$Y34)+'Model Setup'!$I$8*(SUMIF($AD$3:$BA$3,"&lt;"&amp;$DF34,$B34:$Y34)+SUMIF($AD$3:$BA$3,"&gt;="&amp;$DG34,$B34:$Y34)),
IF(AO$3=$DF34+'Model Setup'!$J$7,SUMIF($AD$3:$BA$3,"="&amp;$DF34+'Model Setup'!$J$7,$B34:$Y34)+'Model Setup'!$J$8*(SUMIF($AD$3:$BA$3,"&lt;"&amp;$DF34,$B34:$Y34)+SUMIF($AD$3:$BA$3,"&gt;="&amp;$DG34,$B34:$Y34)),
IF(AO$3=$DF34+'Model Setup'!$K$7,SUMIF($AD$3:$BA$3,"="&amp;$DF34+'Model Setup'!$K$7,$B34:$Y34)+'Model Setup'!$K$8*(SUMIF($AD$3:$BA$3,"&lt;"&amp;$DF34,$B34:$Y34)+SUMIF($AD$3:$BA$3,"&gt;="&amp;$DG34,$B34:$Y34)),
IF(AO$3=$DF34+'Model Setup'!$L$7,SUMIF($AD$3:$BA$3,"="&amp;$DF34+'Model Setup'!$L$7,$B34:$Y34)+'Model Setup'!$L$8*(SUMIF($AD$3:$BA$3,"&lt;"&amp;$DF34,$B34:$Y34)+SUMIF($AD$3:$BA$3,"&gt;="&amp;$DG34,$B34:$Y34)),
IF(AO$3=$DF34+'Model Setup'!$M$7,SUMIF($AD$3:$BA$3,"="&amp;$DF34+'Model Setup'!$M$7,$B34:$Y34)+'Model Setup'!$M$8*(SUMIF($AD$3:$BA$3,"&lt;"&amp;$DF34,$B34:$Y34)+SUMIF($AD$3:$BA$3,"&gt;="&amp;$DG34,$B34:$Y34)),
IF(AO$3=$DF34+'Model Setup'!$N$7,SUMIF($AD$3:$BA$3,"="&amp;$DF34+'Model Setup'!$N$7,$B34:$Y34)+'Model Setup'!$N$8*(SUMIF($AD$3:$BA$3,"&lt;"&amp;$DF34,$B34:$Y34)+SUMIF($AD$3:$BA$3,"&gt;="&amp;$DG34,$B34:$Y34)),
IF(AO$3&lt;$DG34,M34,0))))))))))))))),0)</f>
        <v>12</v>
      </c>
      <c r="AP34" s="47">
        <f>ROUND(IF(AP$3&lt;$DF34,0,
IF(AP$3=$DF34+'Model Setup'!$B$7,SUMIF($AD$3:$BA$3,"="&amp;$DF34+'Model Setup'!$B$7,$B34:$Y34)+'Model Setup'!$B$8*(SUMIF($AD$3:$BA$3,"&lt;"&amp;$DF34,$B34:$Y34)+SUMIF($AD$3:$BA$3,"&gt;="&amp;$DG34,$B34:$Y34)),
IF(AP$3=$DF34+'Model Setup'!$C$7,SUMIF($AD$3:$BA$3,"="&amp;$DF34+'Model Setup'!$C$7,$B34:$Y34)+'Model Setup'!$C$8*(SUMIF($AD$3:$BA$3,"&lt;"&amp;$DF34,$B34:$Y34)+SUMIF($AD$3:$BA$3,"&gt;="&amp;$DG34,$B34:$Y34)),
IF(AP$3=$DF34+'Model Setup'!$D$7,SUMIF($AD$3:$BA$3,"="&amp;$DF34+'Model Setup'!$D$7,$B34:$Y34)+'Model Setup'!$D$8*(SUMIF($AD$3:$BA$3,"&lt;"&amp;$DF34,$B34:$Y34)+SUMIF($AD$3:$BA$3,"&gt;="&amp;$DG34,$B34:$Y34)),
IF(AP$3=$DF34+'Model Setup'!$E$7,SUMIF($AD$3:$BA$3,"="&amp;$DF34+'Model Setup'!$E$7,$B34:$Y34)+'Model Setup'!$E$8*(SUMIF($AD$3:$BA$3,"&lt;"&amp;$DF34,$B34:$Y34)+SUMIF($AD$3:$BA$3,"&gt;="&amp;$DG34,$B34:$Y34)),
IF(AP$3=$DF34+'Model Setup'!$F$7,SUMIF($AD$3:$BA$3,"="&amp;$DF34+'Model Setup'!$F$7,$B34:$Y34)+'Model Setup'!$F$8*(SUMIF($AD$3:$BA$3,"&lt;"&amp;$DF34,$B34:$Y34)+SUMIF($AD$3:$BA$3,"&gt;="&amp;$DG34,$B34:$Y34)),
IF(AP$3=$DF34+'Model Setup'!$G$7,SUMIF($AD$3:$BA$3,"="&amp;$DF34+'Model Setup'!$G$7,$B34:$Y34)+'Model Setup'!$G$8*(SUMIF($AD$3:$BA$3,"&lt;"&amp;$DF34,$B34:$Y34)+SUMIF($AD$3:$BA$3,"&gt;="&amp;$DG34,$B34:$Y34)),
IF(AP$3=$DF34+'Model Setup'!$H$7,SUMIF($AD$3:$BA$3,"="&amp;$DF34+'Model Setup'!$H$7,$B34:$Y34)+'Model Setup'!$H$8*(SUMIF($AD$3:$BA$3,"&lt;"&amp;$DF34,$B34:$Y34)+SUMIF($AD$3:$BA$3,"&gt;="&amp;$DG34,$B34:$Y34)),
IF(AP$3=$DF34+'Model Setup'!$I$7,SUMIF($AD$3:$BA$3,"="&amp;$DF34+'Model Setup'!$I$7,$B34:$Y34)+'Model Setup'!$I$8*(SUMIF($AD$3:$BA$3,"&lt;"&amp;$DF34,$B34:$Y34)+SUMIF($AD$3:$BA$3,"&gt;="&amp;$DG34,$B34:$Y34)),
IF(AP$3=$DF34+'Model Setup'!$J$7,SUMIF($AD$3:$BA$3,"="&amp;$DF34+'Model Setup'!$J$7,$B34:$Y34)+'Model Setup'!$J$8*(SUMIF($AD$3:$BA$3,"&lt;"&amp;$DF34,$B34:$Y34)+SUMIF($AD$3:$BA$3,"&gt;="&amp;$DG34,$B34:$Y34)),
IF(AP$3=$DF34+'Model Setup'!$K$7,SUMIF($AD$3:$BA$3,"="&amp;$DF34+'Model Setup'!$K$7,$B34:$Y34)+'Model Setup'!$K$8*(SUMIF($AD$3:$BA$3,"&lt;"&amp;$DF34,$B34:$Y34)+SUMIF($AD$3:$BA$3,"&gt;="&amp;$DG34,$B34:$Y34)),
IF(AP$3=$DF34+'Model Setup'!$L$7,SUMIF($AD$3:$BA$3,"="&amp;$DF34+'Model Setup'!$L$7,$B34:$Y34)+'Model Setup'!$L$8*(SUMIF($AD$3:$BA$3,"&lt;"&amp;$DF34,$B34:$Y34)+SUMIF($AD$3:$BA$3,"&gt;="&amp;$DG34,$B34:$Y34)),
IF(AP$3=$DF34+'Model Setup'!$M$7,SUMIF($AD$3:$BA$3,"="&amp;$DF34+'Model Setup'!$M$7,$B34:$Y34)+'Model Setup'!$M$8*(SUMIF($AD$3:$BA$3,"&lt;"&amp;$DF34,$B34:$Y34)+SUMIF($AD$3:$BA$3,"&gt;="&amp;$DG34,$B34:$Y34)),
IF(AP$3=$DF34+'Model Setup'!$N$7,SUMIF($AD$3:$BA$3,"="&amp;$DF34+'Model Setup'!$N$7,$B34:$Y34)+'Model Setup'!$N$8*(SUMIF($AD$3:$BA$3,"&lt;"&amp;$DF34,$B34:$Y34)+SUMIF($AD$3:$BA$3,"&gt;="&amp;$DG34,$B34:$Y34)),
IF(AP$3&lt;$DG34,N34,0))))))))))))))),0)</f>
        <v>13</v>
      </c>
      <c r="AQ34" s="47">
        <f>ROUND(IF(AQ$3&lt;$DF34,0,
IF(AQ$3=$DF34+'Model Setup'!$B$7,SUMIF($AD$3:$BA$3,"="&amp;$DF34+'Model Setup'!$B$7,$B34:$Y34)+'Model Setup'!$B$8*(SUMIF($AD$3:$BA$3,"&lt;"&amp;$DF34,$B34:$Y34)+SUMIF($AD$3:$BA$3,"&gt;="&amp;$DG34,$B34:$Y34)),
IF(AQ$3=$DF34+'Model Setup'!$C$7,SUMIF($AD$3:$BA$3,"="&amp;$DF34+'Model Setup'!$C$7,$B34:$Y34)+'Model Setup'!$C$8*(SUMIF($AD$3:$BA$3,"&lt;"&amp;$DF34,$B34:$Y34)+SUMIF($AD$3:$BA$3,"&gt;="&amp;$DG34,$B34:$Y34)),
IF(AQ$3=$DF34+'Model Setup'!$D$7,SUMIF($AD$3:$BA$3,"="&amp;$DF34+'Model Setup'!$D$7,$B34:$Y34)+'Model Setup'!$D$8*(SUMIF($AD$3:$BA$3,"&lt;"&amp;$DF34,$B34:$Y34)+SUMIF($AD$3:$BA$3,"&gt;="&amp;$DG34,$B34:$Y34)),
IF(AQ$3=$DF34+'Model Setup'!$E$7,SUMIF($AD$3:$BA$3,"="&amp;$DF34+'Model Setup'!$E$7,$B34:$Y34)+'Model Setup'!$E$8*(SUMIF($AD$3:$BA$3,"&lt;"&amp;$DF34,$B34:$Y34)+SUMIF($AD$3:$BA$3,"&gt;="&amp;$DG34,$B34:$Y34)),
IF(AQ$3=$DF34+'Model Setup'!$F$7,SUMIF($AD$3:$BA$3,"="&amp;$DF34+'Model Setup'!$F$7,$B34:$Y34)+'Model Setup'!$F$8*(SUMIF($AD$3:$BA$3,"&lt;"&amp;$DF34,$B34:$Y34)+SUMIF($AD$3:$BA$3,"&gt;="&amp;$DG34,$B34:$Y34)),
IF(AQ$3=$DF34+'Model Setup'!$G$7,SUMIF($AD$3:$BA$3,"="&amp;$DF34+'Model Setup'!$G$7,$B34:$Y34)+'Model Setup'!$G$8*(SUMIF($AD$3:$BA$3,"&lt;"&amp;$DF34,$B34:$Y34)+SUMIF($AD$3:$BA$3,"&gt;="&amp;$DG34,$B34:$Y34)),
IF(AQ$3=$DF34+'Model Setup'!$H$7,SUMIF($AD$3:$BA$3,"="&amp;$DF34+'Model Setup'!$H$7,$B34:$Y34)+'Model Setup'!$H$8*(SUMIF($AD$3:$BA$3,"&lt;"&amp;$DF34,$B34:$Y34)+SUMIF($AD$3:$BA$3,"&gt;="&amp;$DG34,$B34:$Y34)),
IF(AQ$3=$DF34+'Model Setup'!$I$7,SUMIF($AD$3:$BA$3,"="&amp;$DF34+'Model Setup'!$I$7,$B34:$Y34)+'Model Setup'!$I$8*(SUMIF($AD$3:$BA$3,"&lt;"&amp;$DF34,$B34:$Y34)+SUMIF($AD$3:$BA$3,"&gt;="&amp;$DG34,$B34:$Y34)),
IF(AQ$3=$DF34+'Model Setup'!$J$7,SUMIF($AD$3:$BA$3,"="&amp;$DF34+'Model Setup'!$J$7,$B34:$Y34)+'Model Setup'!$J$8*(SUMIF($AD$3:$BA$3,"&lt;"&amp;$DF34,$B34:$Y34)+SUMIF($AD$3:$BA$3,"&gt;="&amp;$DG34,$B34:$Y34)),
IF(AQ$3=$DF34+'Model Setup'!$K$7,SUMIF($AD$3:$BA$3,"="&amp;$DF34+'Model Setup'!$K$7,$B34:$Y34)+'Model Setup'!$K$8*(SUMIF($AD$3:$BA$3,"&lt;"&amp;$DF34,$B34:$Y34)+SUMIF($AD$3:$BA$3,"&gt;="&amp;$DG34,$B34:$Y34)),
IF(AQ$3=$DF34+'Model Setup'!$L$7,SUMIF($AD$3:$BA$3,"="&amp;$DF34+'Model Setup'!$L$7,$B34:$Y34)+'Model Setup'!$L$8*(SUMIF($AD$3:$BA$3,"&lt;"&amp;$DF34,$B34:$Y34)+SUMIF($AD$3:$BA$3,"&gt;="&amp;$DG34,$B34:$Y34)),
IF(AQ$3=$DF34+'Model Setup'!$M$7,SUMIF($AD$3:$BA$3,"="&amp;$DF34+'Model Setup'!$M$7,$B34:$Y34)+'Model Setup'!$M$8*(SUMIF($AD$3:$BA$3,"&lt;"&amp;$DF34,$B34:$Y34)+SUMIF($AD$3:$BA$3,"&gt;="&amp;$DG34,$B34:$Y34)),
IF(AQ$3=$DF34+'Model Setup'!$N$7,SUMIF($AD$3:$BA$3,"="&amp;$DF34+'Model Setup'!$N$7,$B34:$Y34)+'Model Setup'!$N$8*(SUMIF($AD$3:$BA$3,"&lt;"&amp;$DF34,$B34:$Y34)+SUMIF($AD$3:$BA$3,"&gt;="&amp;$DG34,$B34:$Y34)),
IF(AQ$3&lt;$DG34,O34,0))))))))))))))),0)</f>
        <v>12</v>
      </c>
      <c r="AR34" s="47">
        <f>ROUND(IF(AR$3&lt;$DF34,0,
IF(AR$3=$DF34+'Model Setup'!$B$7,SUMIF($AD$3:$BA$3,"="&amp;$DF34+'Model Setup'!$B$7,$B34:$Y34)+'Model Setup'!$B$8*(SUMIF($AD$3:$BA$3,"&lt;"&amp;$DF34,$B34:$Y34)+SUMIF($AD$3:$BA$3,"&gt;="&amp;$DG34,$B34:$Y34)),
IF(AR$3=$DF34+'Model Setup'!$C$7,SUMIF($AD$3:$BA$3,"="&amp;$DF34+'Model Setup'!$C$7,$B34:$Y34)+'Model Setup'!$C$8*(SUMIF($AD$3:$BA$3,"&lt;"&amp;$DF34,$B34:$Y34)+SUMIF($AD$3:$BA$3,"&gt;="&amp;$DG34,$B34:$Y34)),
IF(AR$3=$DF34+'Model Setup'!$D$7,SUMIF($AD$3:$BA$3,"="&amp;$DF34+'Model Setup'!$D$7,$B34:$Y34)+'Model Setup'!$D$8*(SUMIF($AD$3:$BA$3,"&lt;"&amp;$DF34,$B34:$Y34)+SUMIF($AD$3:$BA$3,"&gt;="&amp;$DG34,$B34:$Y34)),
IF(AR$3=$DF34+'Model Setup'!$E$7,SUMIF($AD$3:$BA$3,"="&amp;$DF34+'Model Setup'!$E$7,$B34:$Y34)+'Model Setup'!$E$8*(SUMIF($AD$3:$BA$3,"&lt;"&amp;$DF34,$B34:$Y34)+SUMIF($AD$3:$BA$3,"&gt;="&amp;$DG34,$B34:$Y34)),
IF(AR$3=$DF34+'Model Setup'!$F$7,SUMIF($AD$3:$BA$3,"="&amp;$DF34+'Model Setup'!$F$7,$B34:$Y34)+'Model Setup'!$F$8*(SUMIF($AD$3:$BA$3,"&lt;"&amp;$DF34,$B34:$Y34)+SUMIF($AD$3:$BA$3,"&gt;="&amp;$DG34,$B34:$Y34)),
IF(AR$3=$DF34+'Model Setup'!$G$7,SUMIF($AD$3:$BA$3,"="&amp;$DF34+'Model Setup'!$G$7,$B34:$Y34)+'Model Setup'!$G$8*(SUMIF($AD$3:$BA$3,"&lt;"&amp;$DF34,$B34:$Y34)+SUMIF($AD$3:$BA$3,"&gt;="&amp;$DG34,$B34:$Y34)),
IF(AR$3=$DF34+'Model Setup'!$H$7,SUMIF($AD$3:$BA$3,"="&amp;$DF34+'Model Setup'!$H$7,$B34:$Y34)+'Model Setup'!$H$8*(SUMIF($AD$3:$BA$3,"&lt;"&amp;$DF34,$B34:$Y34)+SUMIF($AD$3:$BA$3,"&gt;="&amp;$DG34,$B34:$Y34)),
IF(AR$3=$DF34+'Model Setup'!$I$7,SUMIF($AD$3:$BA$3,"="&amp;$DF34+'Model Setup'!$I$7,$B34:$Y34)+'Model Setup'!$I$8*(SUMIF($AD$3:$BA$3,"&lt;"&amp;$DF34,$B34:$Y34)+SUMIF($AD$3:$BA$3,"&gt;="&amp;$DG34,$B34:$Y34)),
IF(AR$3=$DF34+'Model Setup'!$J$7,SUMIF($AD$3:$BA$3,"="&amp;$DF34+'Model Setup'!$J$7,$B34:$Y34)+'Model Setup'!$J$8*(SUMIF($AD$3:$BA$3,"&lt;"&amp;$DF34,$B34:$Y34)+SUMIF($AD$3:$BA$3,"&gt;="&amp;$DG34,$B34:$Y34)),
IF(AR$3=$DF34+'Model Setup'!$K$7,SUMIF($AD$3:$BA$3,"="&amp;$DF34+'Model Setup'!$K$7,$B34:$Y34)+'Model Setup'!$K$8*(SUMIF($AD$3:$BA$3,"&lt;"&amp;$DF34,$B34:$Y34)+SUMIF($AD$3:$BA$3,"&gt;="&amp;$DG34,$B34:$Y34)),
IF(AR$3=$DF34+'Model Setup'!$L$7,SUMIF($AD$3:$BA$3,"="&amp;$DF34+'Model Setup'!$L$7,$B34:$Y34)+'Model Setup'!$L$8*(SUMIF($AD$3:$BA$3,"&lt;"&amp;$DF34,$B34:$Y34)+SUMIF($AD$3:$BA$3,"&gt;="&amp;$DG34,$B34:$Y34)),
IF(AR$3=$DF34+'Model Setup'!$M$7,SUMIF($AD$3:$BA$3,"="&amp;$DF34+'Model Setup'!$M$7,$B34:$Y34)+'Model Setup'!$M$8*(SUMIF($AD$3:$BA$3,"&lt;"&amp;$DF34,$B34:$Y34)+SUMIF($AD$3:$BA$3,"&gt;="&amp;$DG34,$B34:$Y34)),
IF(AR$3=$DF34+'Model Setup'!$N$7,SUMIF($AD$3:$BA$3,"="&amp;$DF34+'Model Setup'!$N$7,$B34:$Y34)+'Model Setup'!$N$8*(SUMIF($AD$3:$BA$3,"&lt;"&amp;$DF34,$B34:$Y34)+SUMIF($AD$3:$BA$3,"&gt;="&amp;$DG34,$B34:$Y34)),
IF(AR$3&lt;$DG34,P34,0))))))))))))))),0)</f>
        <v>11</v>
      </c>
      <c r="AS34" s="47">
        <f>ROUND(IF(AS$3&lt;$DF34,0,
IF(AS$3=$DF34+'Model Setup'!$B$7,SUMIF($AD$3:$BA$3,"="&amp;$DF34+'Model Setup'!$B$7,$B34:$Y34)+'Model Setup'!$B$8*(SUMIF($AD$3:$BA$3,"&lt;"&amp;$DF34,$B34:$Y34)+SUMIF($AD$3:$BA$3,"&gt;="&amp;$DG34,$B34:$Y34)),
IF(AS$3=$DF34+'Model Setup'!$C$7,SUMIF($AD$3:$BA$3,"="&amp;$DF34+'Model Setup'!$C$7,$B34:$Y34)+'Model Setup'!$C$8*(SUMIF($AD$3:$BA$3,"&lt;"&amp;$DF34,$B34:$Y34)+SUMIF($AD$3:$BA$3,"&gt;="&amp;$DG34,$B34:$Y34)),
IF(AS$3=$DF34+'Model Setup'!$D$7,SUMIF($AD$3:$BA$3,"="&amp;$DF34+'Model Setup'!$D$7,$B34:$Y34)+'Model Setup'!$D$8*(SUMIF($AD$3:$BA$3,"&lt;"&amp;$DF34,$B34:$Y34)+SUMIF($AD$3:$BA$3,"&gt;="&amp;$DG34,$B34:$Y34)),
IF(AS$3=$DF34+'Model Setup'!$E$7,SUMIF($AD$3:$BA$3,"="&amp;$DF34+'Model Setup'!$E$7,$B34:$Y34)+'Model Setup'!$E$8*(SUMIF($AD$3:$BA$3,"&lt;"&amp;$DF34,$B34:$Y34)+SUMIF($AD$3:$BA$3,"&gt;="&amp;$DG34,$B34:$Y34)),
IF(AS$3=$DF34+'Model Setup'!$F$7,SUMIF($AD$3:$BA$3,"="&amp;$DF34+'Model Setup'!$F$7,$B34:$Y34)+'Model Setup'!$F$8*(SUMIF($AD$3:$BA$3,"&lt;"&amp;$DF34,$B34:$Y34)+SUMIF($AD$3:$BA$3,"&gt;="&amp;$DG34,$B34:$Y34)),
IF(AS$3=$DF34+'Model Setup'!$G$7,SUMIF($AD$3:$BA$3,"="&amp;$DF34+'Model Setup'!$G$7,$B34:$Y34)+'Model Setup'!$G$8*(SUMIF($AD$3:$BA$3,"&lt;"&amp;$DF34,$B34:$Y34)+SUMIF($AD$3:$BA$3,"&gt;="&amp;$DG34,$B34:$Y34)),
IF(AS$3=$DF34+'Model Setup'!$H$7,SUMIF($AD$3:$BA$3,"="&amp;$DF34+'Model Setup'!$H$7,$B34:$Y34)+'Model Setup'!$H$8*(SUMIF($AD$3:$BA$3,"&lt;"&amp;$DF34,$B34:$Y34)+SUMIF($AD$3:$BA$3,"&gt;="&amp;$DG34,$B34:$Y34)),
IF(AS$3=$DF34+'Model Setup'!$I$7,SUMIF($AD$3:$BA$3,"="&amp;$DF34+'Model Setup'!$I$7,$B34:$Y34)+'Model Setup'!$I$8*(SUMIF($AD$3:$BA$3,"&lt;"&amp;$DF34,$B34:$Y34)+SUMIF($AD$3:$BA$3,"&gt;="&amp;$DG34,$B34:$Y34)),
IF(AS$3=$DF34+'Model Setup'!$J$7,SUMIF($AD$3:$BA$3,"="&amp;$DF34+'Model Setup'!$J$7,$B34:$Y34)+'Model Setup'!$J$8*(SUMIF($AD$3:$BA$3,"&lt;"&amp;$DF34,$B34:$Y34)+SUMIF($AD$3:$BA$3,"&gt;="&amp;$DG34,$B34:$Y34)),
IF(AS$3=$DF34+'Model Setup'!$K$7,SUMIF($AD$3:$BA$3,"="&amp;$DF34+'Model Setup'!$K$7,$B34:$Y34)+'Model Setup'!$K$8*(SUMIF($AD$3:$BA$3,"&lt;"&amp;$DF34,$B34:$Y34)+SUMIF($AD$3:$BA$3,"&gt;="&amp;$DG34,$B34:$Y34)),
IF(AS$3=$DF34+'Model Setup'!$L$7,SUMIF($AD$3:$BA$3,"="&amp;$DF34+'Model Setup'!$L$7,$B34:$Y34)+'Model Setup'!$L$8*(SUMIF($AD$3:$BA$3,"&lt;"&amp;$DF34,$B34:$Y34)+SUMIF($AD$3:$BA$3,"&gt;="&amp;$DG34,$B34:$Y34)),
IF(AS$3=$DF34+'Model Setup'!$M$7,SUMIF($AD$3:$BA$3,"="&amp;$DF34+'Model Setup'!$M$7,$B34:$Y34)+'Model Setup'!$M$8*(SUMIF($AD$3:$BA$3,"&lt;"&amp;$DF34,$B34:$Y34)+SUMIF($AD$3:$BA$3,"&gt;="&amp;$DG34,$B34:$Y34)),
IF(AS$3=$DF34+'Model Setup'!$N$7,SUMIF($AD$3:$BA$3,"="&amp;$DF34+'Model Setup'!$N$7,$B34:$Y34)+'Model Setup'!$N$8*(SUMIF($AD$3:$BA$3,"&lt;"&amp;$DF34,$B34:$Y34)+SUMIF($AD$3:$BA$3,"&gt;="&amp;$DG34,$B34:$Y34)),
IF(AS$3&lt;$DG34,Q34,0))))))))))))))),0)</f>
        <v>5</v>
      </c>
      <c r="AT34" s="47">
        <f>ROUND(IF(AT$3&lt;$DF34,0,
IF(AT$3=$DF34+'Model Setup'!$B$7,SUMIF($AD$3:$BA$3,"="&amp;$DF34+'Model Setup'!$B$7,$B34:$Y34)+'Model Setup'!$B$8*(SUMIF($AD$3:$BA$3,"&lt;"&amp;$DF34,$B34:$Y34)+SUMIF($AD$3:$BA$3,"&gt;="&amp;$DG34,$B34:$Y34)),
IF(AT$3=$DF34+'Model Setup'!$C$7,SUMIF($AD$3:$BA$3,"="&amp;$DF34+'Model Setup'!$C$7,$B34:$Y34)+'Model Setup'!$C$8*(SUMIF($AD$3:$BA$3,"&lt;"&amp;$DF34,$B34:$Y34)+SUMIF($AD$3:$BA$3,"&gt;="&amp;$DG34,$B34:$Y34)),
IF(AT$3=$DF34+'Model Setup'!$D$7,SUMIF($AD$3:$BA$3,"="&amp;$DF34+'Model Setup'!$D$7,$B34:$Y34)+'Model Setup'!$D$8*(SUMIF($AD$3:$BA$3,"&lt;"&amp;$DF34,$B34:$Y34)+SUMIF($AD$3:$BA$3,"&gt;="&amp;$DG34,$B34:$Y34)),
IF(AT$3=$DF34+'Model Setup'!$E$7,SUMIF($AD$3:$BA$3,"="&amp;$DF34+'Model Setup'!$E$7,$B34:$Y34)+'Model Setup'!$E$8*(SUMIF($AD$3:$BA$3,"&lt;"&amp;$DF34,$B34:$Y34)+SUMIF($AD$3:$BA$3,"&gt;="&amp;$DG34,$B34:$Y34)),
IF(AT$3=$DF34+'Model Setup'!$F$7,SUMIF($AD$3:$BA$3,"="&amp;$DF34+'Model Setup'!$F$7,$B34:$Y34)+'Model Setup'!$F$8*(SUMIF($AD$3:$BA$3,"&lt;"&amp;$DF34,$B34:$Y34)+SUMIF($AD$3:$BA$3,"&gt;="&amp;$DG34,$B34:$Y34)),
IF(AT$3=$DF34+'Model Setup'!$G$7,SUMIF($AD$3:$BA$3,"="&amp;$DF34+'Model Setup'!$G$7,$B34:$Y34)+'Model Setup'!$G$8*(SUMIF($AD$3:$BA$3,"&lt;"&amp;$DF34,$B34:$Y34)+SUMIF($AD$3:$BA$3,"&gt;="&amp;$DG34,$B34:$Y34)),
IF(AT$3=$DF34+'Model Setup'!$H$7,SUMIF($AD$3:$BA$3,"="&amp;$DF34+'Model Setup'!$H$7,$B34:$Y34)+'Model Setup'!$H$8*(SUMIF($AD$3:$BA$3,"&lt;"&amp;$DF34,$B34:$Y34)+SUMIF($AD$3:$BA$3,"&gt;="&amp;$DG34,$B34:$Y34)),
IF(AT$3=$DF34+'Model Setup'!$I$7,SUMIF($AD$3:$BA$3,"="&amp;$DF34+'Model Setup'!$I$7,$B34:$Y34)+'Model Setup'!$I$8*(SUMIF($AD$3:$BA$3,"&lt;"&amp;$DF34,$B34:$Y34)+SUMIF($AD$3:$BA$3,"&gt;="&amp;$DG34,$B34:$Y34)),
IF(AT$3=$DF34+'Model Setup'!$J$7,SUMIF($AD$3:$BA$3,"="&amp;$DF34+'Model Setup'!$J$7,$B34:$Y34)+'Model Setup'!$J$8*(SUMIF($AD$3:$BA$3,"&lt;"&amp;$DF34,$B34:$Y34)+SUMIF($AD$3:$BA$3,"&gt;="&amp;$DG34,$B34:$Y34)),
IF(AT$3=$DF34+'Model Setup'!$K$7,SUMIF($AD$3:$BA$3,"="&amp;$DF34+'Model Setup'!$K$7,$B34:$Y34)+'Model Setup'!$K$8*(SUMIF($AD$3:$BA$3,"&lt;"&amp;$DF34,$B34:$Y34)+SUMIF($AD$3:$BA$3,"&gt;="&amp;$DG34,$B34:$Y34)),
IF(AT$3=$DF34+'Model Setup'!$L$7,SUMIF($AD$3:$BA$3,"="&amp;$DF34+'Model Setup'!$L$7,$B34:$Y34)+'Model Setup'!$L$8*(SUMIF($AD$3:$BA$3,"&lt;"&amp;$DF34,$B34:$Y34)+SUMIF($AD$3:$BA$3,"&gt;="&amp;$DG34,$B34:$Y34)),
IF(AT$3=$DF34+'Model Setup'!$M$7,SUMIF($AD$3:$BA$3,"="&amp;$DF34+'Model Setup'!$M$7,$B34:$Y34)+'Model Setup'!$M$8*(SUMIF($AD$3:$BA$3,"&lt;"&amp;$DF34,$B34:$Y34)+SUMIF($AD$3:$BA$3,"&gt;="&amp;$DG34,$B34:$Y34)),
IF(AT$3=$DF34+'Model Setup'!$N$7,SUMIF($AD$3:$BA$3,"="&amp;$DF34+'Model Setup'!$N$7,$B34:$Y34)+'Model Setup'!$N$8*(SUMIF($AD$3:$BA$3,"&lt;"&amp;$DF34,$B34:$Y34)+SUMIF($AD$3:$BA$3,"&gt;="&amp;$DG34,$B34:$Y34)),
IF(AT$3&lt;$DG34,R34,0))))))))))))))),0)</f>
        <v>7</v>
      </c>
      <c r="AU34" s="47">
        <f>ROUND(IF(AU$3&lt;$DF34,0,
IF(AU$3=$DF34+'Model Setup'!$B$7,SUMIF($AD$3:$BA$3,"="&amp;$DF34+'Model Setup'!$B$7,$B34:$Y34)+'Model Setup'!$B$8*(SUMIF($AD$3:$BA$3,"&lt;"&amp;$DF34,$B34:$Y34)+SUMIF($AD$3:$BA$3,"&gt;="&amp;$DG34,$B34:$Y34)),
IF(AU$3=$DF34+'Model Setup'!$C$7,SUMIF($AD$3:$BA$3,"="&amp;$DF34+'Model Setup'!$C$7,$B34:$Y34)+'Model Setup'!$C$8*(SUMIF($AD$3:$BA$3,"&lt;"&amp;$DF34,$B34:$Y34)+SUMIF($AD$3:$BA$3,"&gt;="&amp;$DG34,$B34:$Y34)),
IF(AU$3=$DF34+'Model Setup'!$D$7,SUMIF($AD$3:$BA$3,"="&amp;$DF34+'Model Setup'!$D$7,$B34:$Y34)+'Model Setup'!$D$8*(SUMIF($AD$3:$BA$3,"&lt;"&amp;$DF34,$B34:$Y34)+SUMIF($AD$3:$BA$3,"&gt;="&amp;$DG34,$B34:$Y34)),
IF(AU$3=$DF34+'Model Setup'!$E$7,SUMIF($AD$3:$BA$3,"="&amp;$DF34+'Model Setup'!$E$7,$B34:$Y34)+'Model Setup'!$E$8*(SUMIF($AD$3:$BA$3,"&lt;"&amp;$DF34,$B34:$Y34)+SUMIF($AD$3:$BA$3,"&gt;="&amp;$DG34,$B34:$Y34)),
IF(AU$3=$DF34+'Model Setup'!$F$7,SUMIF($AD$3:$BA$3,"="&amp;$DF34+'Model Setup'!$F$7,$B34:$Y34)+'Model Setup'!$F$8*(SUMIF($AD$3:$BA$3,"&lt;"&amp;$DF34,$B34:$Y34)+SUMIF($AD$3:$BA$3,"&gt;="&amp;$DG34,$B34:$Y34)),
IF(AU$3=$DF34+'Model Setup'!$G$7,SUMIF($AD$3:$BA$3,"="&amp;$DF34+'Model Setup'!$G$7,$B34:$Y34)+'Model Setup'!$G$8*(SUMIF($AD$3:$BA$3,"&lt;"&amp;$DF34,$B34:$Y34)+SUMIF($AD$3:$BA$3,"&gt;="&amp;$DG34,$B34:$Y34)),
IF(AU$3=$DF34+'Model Setup'!$H$7,SUMIF($AD$3:$BA$3,"="&amp;$DF34+'Model Setup'!$H$7,$B34:$Y34)+'Model Setup'!$H$8*(SUMIF($AD$3:$BA$3,"&lt;"&amp;$DF34,$B34:$Y34)+SUMIF($AD$3:$BA$3,"&gt;="&amp;$DG34,$B34:$Y34)),
IF(AU$3=$DF34+'Model Setup'!$I$7,SUMIF($AD$3:$BA$3,"="&amp;$DF34+'Model Setup'!$I$7,$B34:$Y34)+'Model Setup'!$I$8*(SUMIF($AD$3:$BA$3,"&lt;"&amp;$DF34,$B34:$Y34)+SUMIF($AD$3:$BA$3,"&gt;="&amp;$DG34,$B34:$Y34)),
IF(AU$3=$DF34+'Model Setup'!$J$7,SUMIF($AD$3:$BA$3,"="&amp;$DF34+'Model Setup'!$J$7,$B34:$Y34)+'Model Setup'!$J$8*(SUMIF($AD$3:$BA$3,"&lt;"&amp;$DF34,$B34:$Y34)+SUMIF($AD$3:$BA$3,"&gt;="&amp;$DG34,$B34:$Y34)),
IF(AU$3=$DF34+'Model Setup'!$K$7,SUMIF($AD$3:$BA$3,"="&amp;$DF34+'Model Setup'!$K$7,$B34:$Y34)+'Model Setup'!$K$8*(SUMIF($AD$3:$BA$3,"&lt;"&amp;$DF34,$B34:$Y34)+SUMIF($AD$3:$BA$3,"&gt;="&amp;$DG34,$B34:$Y34)),
IF(AU$3=$DF34+'Model Setup'!$L$7,SUMIF($AD$3:$BA$3,"="&amp;$DF34+'Model Setup'!$L$7,$B34:$Y34)+'Model Setup'!$L$8*(SUMIF($AD$3:$BA$3,"&lt;"&amp;$DF34,$B34:$Y34)+SUMIF($AD$3:$BA$3,"&gt;="&amp;$DG34,$B34:$Y34)),
IF(AU$3=$DF34+'Model Setup'!$M$7,SUMIF($AD$3:$BA$3,"="&amp;$DF34+'Model Setup'!$M$7,$B34:$Y34)+'Model Setup'!$M$8*(SUMIF($AD$3:$BA$3,"&lt;"&amp;$DF34,$B34:$Y34)+SUMIF($AD$3:$BA$3,"&gt;="&amp;$DG34,$B34:$Y34)),
IF(AU$3=$DF34+'Model Setup'!$N$7,SUMIF($AD$3:$BA$3,"="&amp;$DF34+'Model Setup'!$N$7,$B34:$Y34)+'Model Setup'!$N$8*(SUMIF($AD$3:$BA$3,"&lt;"&amp;$DF34,$B34:$Y34)+SUMIF($AD$3:$BA$3,"&gt;="&amp;$DG34,$B34:$Y34)),
IF(AU$3&lt;$DG34,S34,0))))))))))))))),0)</f>
        <v>9</v>
      </c>
      <c r="AV34" s="47">
        <f>ROUND(IF(AV$3&lt;$DF34,0,
IF(AV$3=$DF34+'Model Setup'!$B$7,SUMIF($AD$3:$BA$3,"="&amp;$DF34+'Model Setup'!$B$7,$B34:$Y34)+'Model Setup'!$B$8*(SUMIF($AD$3:$BA$3,"&lt;"&amp;$DF34,$B34:$Y34)+SUMIF($AD$3:$BA$3,"&gt;="&amp;$DG34,$B34:$Y34)),
IF(AV$3=$DF34+'Model Setup'!$C$7,SUMIF($AD$3:$BA$3,"="&amp;$DF34+'Model Setup'!$C$7,$B34:$Y34)+'Model Setup'!$C$8*(SUMIF($AD$3:$BA$3,"&lt;"&amp;$DF34,$B34:$Y34)+SUMIF($AD$3:$BA$3,"&gt;="&amp;$DG34,$B34:$Y34)),
IF(AV$3=$DF34+'Model Setup'!$D$7,SUMIF($AD$3:$BA$3,"="&amp;$DF34+'Model Setup'!$D$7,$B34:$Y34)+'Model Setup'!$D$8*(SUMIF($AD$3:$BA$3,"&lt;"&amp;$DF34,$B34:$Y34)+SUMIF($AD$3:$BA$3,"&gt;="&amp;$DG34,$B34:$Y34)),
IF(AV$3=$DF34+'Model Setup'!$E$7,SUMIF($AD$3:$BA$3,"="&amp;$DF34+'Model Setup'!$E$7,$B34:$Y34)+'Model Setup'!$E$8*(SUMIF($AD$3:$BA$3,"&lt;"&amp;$DF34,$B34:$Y34)+SUMIF($AD$3:$BA$3,"&gt;="&amp;$DG34,$B34:$Y34)),
IF(AV$3=$DF34+'Model Setup'!$F$7,SUMIF($AD$3:$BA$3,"="&amp;$DF34+'Model Setup'!$F$7,$B34:$Y34)+'Model Setup'!$F$8*(SUMIF($AD$3:$BA$3,"&lt;"&amp;$DF34,$B34:$Y34)+SUMIF($AD$3:$BA$3,"&gt;="&amp;$DG34,$B34:$Y34)),
IF(AV$3=$DF34+'Model Setup'!$G$7,SUMIF($AD$3:$BA$3,"="&amp;$DF34+'Model Setup'!$G$7,$B34:$Y34)+'Model Setup'!$G$8*(SUMIF($AD$3:$BA$3,"&lt;"&amp;$DF34,$B34:$Y34)+SUMIF($AD$3:$BA$3,"&gt;="&amp;$DG34,$B34:$Y34)),
IF(AV$3=$DF34+'Model Setup'!$H$7,SUMIF($AD$3:$BA$3,"="&amp;$DF34+'Model Setup'!$H$7,$B34:$Y34)+'Model Setup'!$H$8*(SUMIF($AD$3:$BA$3,"&lt;"&amp;$DF34,$B34:$Y34)+SUMIF($AD$3:$BA$3,"&gt;="&amp;$DG34,$B34:$Y34)),
IF(AV$3=$DF34+'Model Setup'!$I$7,SUMIF($AD$3:$BA$3,"="&amp;$DF34+'Model Setup'!$I$7,$B34:$Y34)+'Model Setup'!$I$8*(SUMIF($AD$3:$BA$3,"&lt;"&amp;$DF34,$B34:$Y34)+SUMIF($AD$3:$BA$3,"&gt;="&amp;$DG34,$B34:$Y34)),
IF(AV$3=$DF34+'Model Setup'!$J$7,SUMIF($AD$3:$BA$3,"="&amp;$DF34+'Model Setup'!$J$7,$B34:$Y34)+'Model Setup'!$J$8*(SUMIF($AD$3:$BA$3,"&lt;"&amp;$DF34,$B34:$Y34)+SUMIF($AD$3:$BA$3,"&gt;="&amp;$DG34,$B34:$Y34)),
IF(AV$3=$DF34+'Model Setup'!$K$7,SUMIF($AD$3:$BA$3,"="&amp;$DF34+'Model Setup'!$K$7,$B34:$Y34)+'Model Setup'!$K$8*(SUMIF($AD$3:$BA$3,"&lt;"&amp;$DF34,$B34:$Y34)+SUMIF($AD$3:$BA$3,"&gt;="&amp;$DG34,$B34:$Y34)),
IF(AV$3=$DF34+'Model Setup'!$L$7,SUMIF($AD$3:$BA$3,"="&amp;$DF34+'Model Setup'!$L$7,$B34:$Y34)+'Model Setup'!$L$8*(SUMIF($AD$3:$BA$3,"&lt;"&amp;$DF34,$B34:$Y34)+SUMIF($AD$3:$BA$3,"&gt;="&amp;$DG34,$B34:$Y34)),
IF(AV$3=$DF34+'Model Setup'!$M$7,SUMIF($AD$3:$BA$3,"="&amp;$DF34+'Model Setup'!$M$7,$B34:$Y34)+'Model Setup'!$M$8*(SUMIF($AD$3:$BA$3,"&lt;"&amp;$DF34,$B34:$Y34)+SUMIF($AD$3:$BA$3,"&gt;="&amp;$DG34,$B34:$Y34)),
IF(AV$3=$DF34+'Model Setup'!$N$7,SUMIF($AD$3:$BA$3,"="&amp;$DF34+'Model Setup'!$N$7,$B34:$Y34)+'Model Setup'!$N$8*(SUMIF($AD$3:$BA$3,"&lt;"&amp;$DF34,$B34:$Y34)+SUMIF($AD$3:$BA$3,"&gt;="&amp;$DG34,$B34:$Y34)),
IF(AV$3&lt;$DG34,T34,0))))))))))))))),0)</f>
        <v>8</v>
      </c>
      <c r="AW34" s="47">
        <f>ROUND(IF(AW$3&lt;$DF34,0,
IF(AW$3=$DF34+'Model Setup'!$B$7,SUMIF($AD$3:$BA$3,"="&amp;$DF34+'Model Setup'!$B$7,$B34:$Y34)+'Model Setup'!$B$8*(SUMIF($AD$3:$BA$3,"&lt;"&amp;$DF34,$B34:$Y34)+SUMIF($AD$3:$BA$3,"&gt;="&amp;$DG34,$B34:$Y34)),
IF(AW$3=$DF34+'Model Setup'!$C$7,SUMIF($AD$3:$BA$3,"="&amp;$DF34+'Model Setup'!$C$7,$B34:$Y34)+'Model Setup'!$C$8*(SUMIF($AD$3:$BA$3,"&lt;"&amp;$DF34,$B34:$Y34)+SUMIF($AD$3:$BA$3,"&gt;="&amp;$DG34,$B34:$Y34)),
IF(AW$3=$DF34+'Model Setup'!$D$7,SUMIF($AD$3:$BA$3,"="&amp;$DF34+'Model Setup'!$D$7,$B34:$Y34)+'Model Setup'!$D$8*(SUMIF($AD$3:$BA$3,"&lt;"&amp;$DF34,$B34:$Y34)+SUMIF($AD$3:$BA$3,"&gt;="&amp;$DG34,$B34:$Y34)),
IF(AW$3=$DF34+'Model Setup'!$E$7,SUMIF($AD$3:$BA$3,"="&amp;$DF34+'Model Setup'!$E$7,$B34:$Y34)+'Model Setup'!$E$8*(SUMIF($AD$3:$BA$3,"&lt;"&amp;$DF34,$B34:$Y34)+SUMIF($AD$3:$BA$3,"&gt;="&amp;$DG34,$B34:$Y34)),
IF(AW$3=$DF34+'Model Setup'!$F$7,SUMIF($AD$3:$BA$3,"="&amp;$DF34+'Model Setup'!$F$7,$B34:$Y34)+'Model Setup'!$F$8*(SUMIF($AD$3:$BA$3,"&lt;"&amp;$DF34,$B34:$Y34)+SUMIF($AD$3:$BA$3,"&gt;="&amp;$DG34,$B34:$Y34)),
IF(AW$3=$DF34+'Model Setup'!$G$7,SUMIF($AD$3:$BA$3,"="&amp;$DF34+'Model Setup'!$G$7,$B34:$Y34)+'Model Setup'!$G$8*(SUMIF($AD$3:$BA$3,"&lt;"&amp;$DF34,$B34:$Y34)+SUMIF($AD$3:$BA$3,"&gt;="&amp;$DG34,$B34:$Y34)),
IF(AW$3=$DF34+'Model Setup'!$H$7,SUMIF($AD$3:$BA$3,"="&amp;$DF34+'Model Setup'!$H$7,$B34:$Y34)+'Model Setup'!$H$8*(SUMIF($AD$3:$BA$3,"&lt;"&amp;$DF34,$B34:$Y34)+SUMIF($AD$3:$BA$3,"&gt;="&amp;$DG34,$B34:$Y34)),
IF(AW$3=$DF34+'Model Setup'!$I$7,SUMIF($AD$3:$BA$3,"="&amp;$DF34+'Model Setup'!$I$7,$B34:$Y34)+'Model Setup'!$I$8*(SUMIF($AD$3:$BA$3,"&lt;"&amp;$DF34,$B34:$Y34)+SUMIF($AD$3:$BA$3,"&gt;="&amp;$DG34,$B34:$Y34)),
IF(AW$3=$DF34+'Model Setup'!$J$7,SUMIF($AD$3:$BA$3,"="&amp;$DF34+'Model Setup'!$J$7,$B34:$Y34)+'Model Setup'!$J$8*(SUMIF($AD$3:$BA$3,"&lt;"&amp;$DF34,$B34:$Y34)+SUMIF($AD$3:$BA$3,"&gt;="&amp;$DG34,$B34:$Y34)),
IF(AW$3=$DF34+'Model Setup'!$K$7,SUMIF($AD$3:$BA$3,"="&amp;$DF34+'Model Setup'!$K$7,$B34:$Y34)+'Model Setup'!$K$8*(SUMIF($AD$3:$BA$3,"&lt;"&amp;$DF34,$B34:$Y34)+SUMIF($AD$3:$BA$3,"&gt;="&amp;$DG34,$B34:$Y34)),
IF(AW$3=$DF34+'Model Setup'!$L$7,SUMIF($AD$3:$BA$3,"="&amp;$DF34+'Model Setup'!$L$7,$B34:$Y34)+'Model Setup'!$L$8*(SUMIF($AD$3:$BA$3,"&lt;"&amp;$DF34,$B34:$Y34)+SUMIF($AD$3:$BA$3,"&gt;="&amp;$DG34,$B34:$Y34)),
IF(AW$3=$DF34+'Model Setup'!$M$7,SUMIF($AD$3:$BA$3,"="&amp;$DF34+'Model Setup'!$M$7,$B34:$Y34)+'Model Setup'!$M$8*(SUMIF($AD$3:$BA$3,"&lt;"&amp;$DF34,$B34:$Y34)+SUMIF($AD$3:$BA$3,"&gt;="&amp;$DG34,$B34:$Y34)),
IF(AW$3=$DF34+'Model Setup'!$N$7,SUMIF($AD$3:$BA$3,"="&amp;$DF34+'Model Setup'!$N$7,$B34:$Y34)+'Model Setup'!$N$8*(SUMIF($AD$3:$BA$3,"&lt;"&amp;$DF34,$B34:$Y34)+SUMIF($AD$3:$BA$3,"&gt;="&amp;$DG34,$B34:$Y34)),
IF(AW$3&lt;$DG34,U34,0))))))))))))))),0)</f>
        <v>0</v>
      </c>
      <c r="AX34" s="47">
        <f>ROUND(IF(AX$3&lt;$DF34,0,
IF(AX$3=$DF34+'Model Setup'!$B$7,SUMIF($AD$3:$BA$3,"="&amp;$DF34+'Model Setup'!$B$7,$B34:$Y34)+'Model Setup'!$B$8*(SUMIF($AD$3:$BA$3,"&lt;"&amp;$DF34,$B34:$Y34)+SUMIF($AD$3:$BA$3,"&gt;="&amp;$DG34,$B34:$Y34)),
IF(AX$3=$DF34+'Model Setup'!$C$7,SUMIF($AD$3:$BA$3,"="&amp;$DF34+'Model Setup'!$C$7,$B34:$Y34)+'Model Setup'!$C$8*(SUMIF($AD$3:$BA$3,"&lt;"&amp;$DF34,$B34:$Y34)+SUMIF($AD$3:$BA$3,"&gt;="&amp;$DG34,$B34:$Y34)),
IF(AX$3=$DF34+'Model Setup'!$D$7,SUMIF($AD$3:$BA$3,"="&amp;$DF34+'Model Setup'!$D$7,$B34:$Y34)+'Model Setup'!$D$8*(SUMIF($AD$3:$BA$3,"&lt;"&amp;$DF34,$B34:$Y34)+SUMIF($AD$3:$BA$3,"&gt;="&amp;$DG34,$B34:$Y34)),
IF(AX$3=$DF34+'Model Setup'!$E$7,SUMIF($AD$3:$BA$3,"="&amp;$DF34+'Model Setup'!$E$7,$B34:$Y34)+'Model Setup'!$E$8*(SUMIF($AD$3:$BA$3,"&lt;"&amp;$DF34,$B34:$Y34)+SUMIF($AD$3:$BA$3,"&gt;="&amp;$DG34,$B34:$Y34)),
IF(AX$3=$DF34+'Model Setup'!$F$7,SUMIF($AD$3:$BA$3,"="&amp;$DF34+'Model Setup'!$F$7,$B34:$Y34)+'Model Setup'!$F$8*(SUMIF($AD$3:$BA$3,"&lt;"&amp;$DF34,$B34:$Y34)+SUMIF($AD$3:$BA$3,"&gt;="&amp;$DG34,$B34:$Y34)),
IF(AX$3=$DF34+'Model Setup'!$G$7,SUMIF($AD$3:$BA$3,"="&amp;$DF34+'Model Setup'!$G$7,$B34:$Y34)+'Model Setup'!$G$8*(SUMIF($AD$3:$BA$3,"&lt;"&amp;$DF34,$B34:$Y34)+SUMIF($AD$3:$BA$3,"&gt;="&amp;$DG34,$B34:$Y34)),
IF(AX$3=$DF34+'Model Setup'!$H$7,SUMIF($AD$3:$BA$3,"="&amp;$DF34+'Model Setup'!$H$7,$B34:$Y34)+'Model Setup'!$H$8*(SUMIF($AD$3:$BA$3,"&lt;"&amp;$DF34,$B34:$Y34)+SUMIF($AD$3:$BA$3,"&gt;="&amp;$DG34,$B34:$Y34)),
IF(AX$3=$DF34+'Model Setup'!$I$7,SUMIF($AD$3:$BA$3,"="&amp;$DF34+'Model Setup'!$I$7,$B34:$Y34)+'Model Setup'!$I$8*(SUMIF($AD$3:$BA$3,"&lt;"&amp;$DF34,$B34:$Y34)+SUMIF($AD$3:$BA$3,"&gt;="&amp;$DG34,$B34:$Y34)),
IF(AX$3=$DF34+'Model Setup'!$J$7,SUMIF($AD$3:$BA$3,"="&amp;$DF34+'Model Setup'!$J$7,$B34:$Y34)+'Model Setup'!$J$8*(SUMIF($AD$3:$BA$3,"&lt;"&amp;$DF34,$B34:$Y34)+SUMIF($AD$3:$BA$3,"&gt;="&amp;$DG34,$B34:$Y34)),
IF(AX$3=$DF34+'Model Setup'!$K$7,SUMIF($AD$3:$BA$3,"="&amp;$DF34+'Model Setup'!$K$7,$B34:$Y34)+'Model Setup'!$K$8*(SUMIF($AD$3:$BA$3,"&lt;"&amp;$DF34,$B34:$Y34)+SUMIF($AD$3:$BA$3,"&gt;="&amp;$DG34,$B34:$Y34)),
IF(AX$3=$DF34+'Model Setup'!$L$7,SUMIF($AD$3:$BA$3,"="&amp;$DF34+'Model Setup'!$L$7,$B34:$Y34)+'Model Setup'!$L$8*(SUMIF($AD$3:$BA$3,"&lt;"&amp;$DF34,$B34:$Y34)+SUMIF($AD$3:$BA$3,"&gt;="&amp;$DG34,$B34:$Y34)),
IF(AX$3=$DF34+'Model Setup'!$M$7,SUMIF($AD$3:$BA$3,"="&amp;$DF34+'Model Setup'!$M$7,$B34:$Y34)+'Model Setup'!$M$8*(SUMIF($AD$3:$BA$3,"&lt;"&amp;$DF34,$B34:$Y34)+SUMIF($AD$3:$BA$3,"&gt;="&amp;$DG34,$B34:$Y34)),
IF(AX$3=$DF34+'Model Setup'!$N$7,SUMIF($AD$3:$BA$3,"="&amp;$DF34+'Model Setup'!$N$7,$B34:$Y34)+'Model Setup'!$N$8*(SUMIF($AD$3:$BA$3,"&lt;"&amp;$DF34,$B34:$Y34)+SUMIF($AD$3:$BA$3,"&gt;="&amp;$DG34,$B34:$Y34)),
IF(AX$3&lt;$DG34,V34,0))))))))))))))),0)</f>
        <v>0</v>
      </c>
      <c r="AY34" s="47">
        <f>ROUND(IF(AY$3&lt;$DF34,0,
IF(AY$3=$DF34+'Model Setup'!$B$7,SUMIF($AD$3:$BA$3,"="&amp;$DF34+'Model Setup'!$B$7,$B34:$Y34)+'Model Setup'!$B$8*(SUMIF($AD$3:$BA$3,"&lt;"&amp;$DF34,$B34:$Y34)+SUMIF($AD$3:$BA$3,"&gt;="&amp;$DG34,$B34:$Y34)),
IF(AY$3=$DF34+'Model Setup'!$C$7,SUMIF($AD$3:$BA$3,"="&amp;$DF34+'Model Setup'!$C$7,$B34:$Y34)+'Model Setup'!$C$8*(SUMIF($AD$3:$BA$3,"&lt;"&amp;$DF34,$B34:$Y34)+SUMIF($AD$3:$BA$3,"&gt;="&amp;$DG34,$B34:$Y34)),
IF(AY$3=$DF34+'Model Setup'!$D$7,SUMIF($AD$3:$BA$3,"="&amp;$DF34+'Model Setup'!$D$7,$B34:$Y34)+'Model Setup'!$D$8*(SUMIF($AD$3:$BA$3,"&lt;"&amp;$DF34,$B34:$Y34)+SUMIF($AD$3:$BA$3,"&gt;="&amp;$DG34,$B34:$Y34)),
IF(AY$3=$DF34+'Model Setup'!$E$7,SUMIF($AD$3:$BA$3,"="&amp;$DF34+'Model Setup'!$E$7,$B34:$Y34)+'Model Setup'!$E$8*(SUMIF($AD$3:$BA$3,"&lt;"&amp;$DF34,$B34:$Y34)+SUMIF($AD$3:$BA$3,"&gt;="&amp;$DG34,$B34:$Y34)),
IF(AY$3=$DF34+'Model Setup'!$F$7,SUMIF($AD$3:$BA$3,"="&amp;$DF34+'Model Setup'!$F$7,$B34:$Y34)+'Model Setup'!$F$8*(SUMIF($AD$3:$BA$3,"&lt;"&amp;$DF34,$B34:$Y34)+SUMIF($AD$3:$BA$3,"&gt;="&amp;$DG34,$B34:$Y34)),
IF(AY$3=$DF34+'Model Setup'!$G$7,SUMIF($AD$3:$BA$3,"="&amp;$DF34+'Model Setup'!$G$7,$B34:$Y34)+'Model Setup'!$G$8*(SUMIF($AD$3:$BA$3,"&lt;"&amp;$DF34,$B34:$Y34)+SUMIF($AD$3:$BA$3,"&gt;="&amp;$DG34,$B34:$Y34)),
IF(AY$3=$DF34+'Model Setup'!$H$7,SUMIF($AD$3:$BA$3,"="&amp;$DF34+'Model Setup'!$H$7,$B34:$Y34)+'Model Setup'!$H$8*(SUMIF($AD$3:$BA$3,"&lt;"&amp;$DF34,$B34:$Y34)+SUMIF($AD$3:$BA$3,"&gt;="&amp;$DG34,$B34:$Y34)),
IF(AY$3=$DF34+'Model Setup'!$I$7,SUMIF($AD$3:$BA$3,"="&amp;$DF34+'Model Setup'!$I$7,$B34:$Y34)+'Model Setup'!$I$8*(SUMIF($AD$3:$BA$3,"&lt;"&amp;$DF34,$B34:$Y34)+SUMIF($AD$3:$BA$3,"&gt;="&amp;$DG34,$B34:$Y34)),
IF(AY$3=$DF34+'Model Setup'!$J$7,SUMIF($AD$3:$BA$3,"="&amp;$DF34+'Model Setup'!$J$7,$B34:$Y34)+'Model Setup'!$J$8*(SUMIF($AD$3:$BA$3,"&lt;"&amp;$DF34,$B34:$Y34)+SUMIF($AD$3:$BA$3,"&gt;="&amp;$DG34,$B34:$Y34)),
IF(AY$3=$DF34+'Model Setup'!$K$7,SUMIF($AD$3:$BA$3,"="&amp;$DF34+'Model Setup'!$K$7,$B34:$Y34)+'Model Setup'!$K$8*(SUMIF($AD$3:$BA$3,"&lt;"&amp;$DF34,$B34:$Y34)+SUMIF($AD$3:$BA$3,"&gt;="&amp;$DG34,$B34:$Y34)),
IF(AY$3=$DF34+'Model Setup'!$L$7,SUMIF($AD$3:$BA$3,"="&amp;$DF34+'Model Setup'!$L$7,$B34:$Y34)+'Model Setup'!$L$8*(SUMIF($AD$3:$BA$3,"&lt;"&amp;$DF34,$B34:$Y34)+SUMIF($AD$3:$BA$3,"&gt;="&amp;$DG34,$B34:$Y34)),
IF(AY$3=$DF34+'Model Setup'!$M$7,SUMIF($AD$3:$BA$3,"="&amp;$DF34+'Model Setup'!$M$7,$B34:$Y34)+'Model Setup'!$M$8*(SUMIF($AD$3:$BA$3,"&lt;"&amp;$DF34,$B34:$Y34)+SUMIF($AD$3:$BA$3,"&gt;="&amp;$DG34,$B34:$Y34)),
IF(AY$3=$DF34+'Model Setup'!$N$7,SUMIF($AD$3:$BA$3,"="&amp;$DF34+'Model Setup'!$N$7,$B34:$Y34)+'Model Setup'!$N$8*(SUMIF($AD$3:$BA$3,"&lt;"&amp;$DF34,$B34:$Y34)+SUMIF($AD$3:$BA$3,"&gt;="&amp;$DG34,$B34:$Y34)),
IF(AY$3&lt;$DG34,W34,0))))))))))))))),0)</f>
        <v>0</v>
      </c>
      <c r="AZ34" s="47">
        <f>ROUND(IF(AZ$3&lt;$DF34,0,
IF(AZ$3=$DF34+'Model Setup'!$B$7,SUMIF($AD$3:$BA$3,"="&amp;$DF34+'Model Setup'!$B$7,$B34:$Y34)+'Model Setup'!$B$8*(SUMIF($AD$3:$BA$3,"&lt;"&amp;$DF34,$B34:$Y34)+SUMIF($AD$3:$BA$3,"&gt;="&amp;$DG34,$B34:$Y34)),
IF(AZ$3=$DF34+'Model Setup'!$C$7,SUMIF($AD$3:$BA$3,"="&amp;$DF34+'Model Setup'!$C$7,$B34:$Y34)+'Model Setup'!$C$8*(SUMIF($AD$3:$BA$3,"&lt;"&amp;$DF34,$B34:$Y34)+SUMIF($AD$3:$BA$3,"&gt;="&amp;$DG34,$B34:$Y34)),
IF(AZ$3=$DF34+'Model Setup'!$D$7,SUMIF($AD$3:$BA$3,"="&amp;$DF34+'Model Setup'!$D$7,$B34:$Y34)+'Model Setup'!$D$8*(SUMIF($AD$3:$BA$3,"&lt;"&amp;$DF34,$B34:$Y34)+SUMIF($AD$3:$BA$3,"&gt;="&amp;$DG34,$B34:$Y34)),
IF(AZ$3=$DF34+'Model Setup'!$E$7,SUMIF($AD$3:$BA$3,"="&amp;$DF34+'Model Setup'!$E$7,$B34:$Y34)+'Model Setup'!$E$8*(SUMIF($AD$3:$BA$3,"&lt;"&amp;$DF34,$B34:$Y34)+SUMIF($AD$3:$BA$3,"&gt;="&amp;$DG34,$B34:$Y34)),
IF(AZ$3=$DF34+'Model Setup'!$F$7,SUMIF($AD$3:$BA$3,"="&amp;$DF34+'Model Setup'!$F$7,$B34:$Y34)+'Model Setup'!$F$8*(SUMIF($AD$3:$BA$3,"&lt;"&amp;$DF34,$B34:$Y34)+SUMIF($AD$3:$BA$3,"&gt;="&amp;$DG34,$B34:$Y34)),
IF(AZ$3=$DF34+'Model Setup'!$G$7,SUMIF($AD$3:$BA$3,"="&amp;$DF34+'Model Setup'!$G$7,$B34:$Y34)+'Model Setup'!$G$8*(SUMIF($AD$3:$BA$3,"&lt;"&amp;$DF34,$B34:$Y34)+SUMIF($AD$3:$BA$3,"&gt;="&amp;$DG34,$B34:$Y34)),
IF(AZ$3=$DF34+'Model Setup'!$H$7,SUMIF($AD$3:$BA$3,"="&amp;$DF34+'Model Setup'!$H$7,$B34:$Y34)+'Model Setup'!$H$8*(SUMIF($AD$3:$BA$3,"&lt;"&amp;$DF34,$B34:$Y34)+SUMIF($AD$3:$BA$3,"&gt;="&amp;$DG34,$B34:$Y34)),
IF(AZ$3=$DF34+'Model Setup'!$I$7,SUMIF($AD$3:$BA$3,"="&amp;$DF34+'Model Setup'!$I$7,$B34:$Y34)+'Model Setup'!$I$8*(SUMIF($AD$3:$BA$3,"&lt;"&amp;$DF34,$B34:$Y34)+SUMIF($AD$3:$BA$3,"&gt;="&amp;$DG34,$B34:$Y34)),
IF(AZ$3=$DF34+'Model Setup'!$J$7,SUMIF($AD$3:$BA$3,"="&amp;$DF34+'Model Setup'!$J$7,$B34:$Y34)+'Model Setup'!$J$8*(SUMIF($AD$3:$BA$3,"&lt;"&amp;$DF34,$B34:$Y34)+SUMIF($AD$3:$BA$3,"&gt;="&amp;$DG34,$B34:$Y34)),
IF(AZ$3=$DF34+'Model Setup'!$K$7,SUMIF($AD$3:$BA$3,"="&amp;$DF34+'Model Setup'!$K$7,$B34:$Y34)+'Model Setup'!$K$8*(SUMIF($AD$3:$BA$3,"&lt;"&amp;$DF34,$B34:$Y34)+SUMIF($AD$3:$BA$3,"&gt;="&amp;$DG34,$B34:$Y34)),
IF(AZ$3=$DF34+'Model Setup'!$L$7,SUMIF($AD$3:$BA$3,"="&amp;$DF34+'Model Setup'!$L$7,$B34:$Y34)+'Model Setup'!$L$8*(SUMIF($AD$3:$BA$3,"&lt;"&amp;$DF34,$B34:$Y34)+SUMIF($AD$3:$BA$3,"&gt;="&amp;$DG34,$B34:$Y34)),
IF(AZ$3=$DF34+'Model Setup'!$M$7,SUMIF($AD$3:$BA$3,"="&amp;$DF34+'Model Setup'!$M$7,$B34:$Y34)+'Model Setup'!$M$8*(SUMIF($AD$3:$BA$3,"&lt;"&amp;$DF34,$B34:$Y34)+SUMIF($AD$3:$BA$3,"&gt;="&amp;$DG34,$B34:$Y34)),
IF(AZ$3=$DF34+'Model Setup'!$N$7,SUMIF($AD$3:$BA$3,"="&amp;$DF34+'Model Setup'!$N$7,$B34:$Y34)+'Model Setup'!$N$8*(SUMIF($AD$3:$BA$3,"&lt;"&amp;$DF34,$B34:$Y34)+SUMIF($AD$3:$BA$3,"&gt;="&amp;$DG34,$B34:$Y34)),
IF(AZ$3&lt;$DG34,X34,0))))))))))))))),0)</f>
        <v>0</v>
      </c>
      <c r="BA34" s="47">
        <f>ROUND(IF(BA$3&lt;$DF34,0,
IF(BA$3=$DF34+'Model Setup'!$B$7,SUMIF($AD$3:$BA$3,"="&amp;$DF34+'Model Setup'!$B$7,$B34:$Y34)+'Model Setup'!$B$8*(SUMIF($AD$3:$BA$3,"&lt;"&amp;$DF34,$B34:$Y34)+SUMIF($AD$3:$BA$3,"&gt;="&amp;$DG34,$B34:$Y34)),
IF(BA$3=$DF34+'Model Setup'!$C$7,SUMIF($AD$3:$BA$3,"="&amp;$DF34+'Model Setup'!$C$7,$B34:$Y34)+'Model Setup'!$C$8*(SUMIF($AD$3:$BA$3,"&lt;"&amp;$DF34,$B34:$Y34)+SUMIF($AD$3:$BA$3,"&gt;="&amp;$DG34,$B34:$Y34)),
IF(BA$3=$DF34+'Model Setup'!$D$7,SUMIF($AD$3:$BA$3,"="&amp;$DF34+'Model Setup'!$D$7,$B34:$Y34)+'Model Setup'!$D$8*(SUMIF($AD$3:$BA$3,"&lt;"&amp;$DF34,$B34:$Y34)+SUMIF($AD$3:$BA$3,"&gt;="&amp;$DG34,$B34:$Y34)),
IF(BA$3=$DF34+'Model Setup'!$E$7,SUMIF($AD$3:$BA$3,"="&amp;$DF34+'Model Setup'!$E$7,$B34:$Y34)+'Model Setup'!$E$8*(SUMIF($AD$3:$BA$3,"&lt;"&amp;$DF34,$B34:$Y34)+SUMIF($AD$3:$BA$3,"&gt;="&amp;$DG34,$B34:$Y34)),
IF(BA$3=$DF34+'Model Setup'!$F$7,SUMIF($AD$3:$BA$3,"="&amp;$DF34+'Model Setup'!$F$7,$B34:$Y34)+'Model Setup'!$F$8*(SUMIF($AD$3:$BA$3,"&lt;"&amp;$DF34,$B34:$Y34)+SUMIF($AD$3:$BA$3,"&gt;="&amp;$DG34,$B34:$Y34)),
IF(BA$3=$DF34+'Model Setup'!$G$7,SUMIF($AD$3:$BA$3,"="&amp;$DF34+'Model Setup'!$G$7,$B34:$Y34)+'Model Setup'!$G$8*(SUMIF($AD$3:$BA$3,"&lt;"&amp;$DF34,$B34:$Y34)+SUMIF($AD$3:$BA$3,"&gt;="&amp;$DG34,$B34:$Y34)),
IF(BA$3=$DF34+'Model Setup'!$H$7,SUMIF($AD$3:$BA$3,"="&amp;$DF34+'Model Setup'!$H$7,$B34:$Y34)+'Model Setup'!$H$8*(SUMIF($AD$3:$BA$3,"&lt;"&amp;$DF34,$B34:$Y34)+SUMIF($AD$3:$BA$3,"&gt;="&amp;$DG34,$B34:$Y34)),
IF(BA$3=$DF34+'Model Setup'!$I$7,SUMIF($AD$3:$BA$3,"="&amp;$DF34+'Model Setup'!$I$7,$B34:$Y34)+'Model Setup'!$I$8*(SUMIF($AD$3:$BA$3,"&lt;"&amp;$DF34,$B34:$Y34)+SUMIF($AD$3:$BA$3,"&gt;="&amp;$DG34,$B34:$Y34)),
IF(BA$3=$DF34+'Model Setup'!$J$7,SUMIF($AD$3:$BA$3,"="&amp;$DF34+'Model Setup'!$J$7,$B34:$Y34)+'Model Setup'!$J$8*(SUMIF($AD$3:$BA$3,"&lt;"&amp;$DF34,$B34:$Y34)+SUMIF($AD$3:$BA$3,"&gt;="&amp;$DG34,$B34:$Y34)),
IF(BA$3=$DF34+'Model Setup'!$K$7,SUMIF($AD$3:$BA$3,"="&amp;$DF34+'Model Setup'!$K$7,$B34:$Y34)+'Model Setup'!$K$8*(SUMIF($AD$3:$BA$3,"&lt;"&amp;$DF34,$B34:$Y34)+SUMIF($AD$3:$BA$3,"&gt;="&amp;$DG34,$B34:$Y34)),
IF(BA$3=$DF34+'Model Setup'!$L$7,SUMIF($AD$3:$BA$3,"="&amp;$DF34+'Model Setup'!$L$7,$B34:$Y34)+'Model Setup'!$L$8*(SUMIF($AD$3:$BA$3,"&lt;"&amp;$DF34,$B34:$Y34)+SUMIF($AD$3:$BA$3,"&gt;="&amp;$DG34,$B34:$Y34)),
IF(BA$3=$DF34+'Model Setup'!$M$7,SUMIF($AD$3:$BA$3,"="&amp;$DF34+'Model Setup'!$M$7,$B34:$Y34)+'Model Setup'!$M$8*(SUMIF($AD$3:$BA$3,"&lt;"&amp;$DF34,$B34:$Y34)+SUMIF($AD$3:$BA$3,"&gt;="&amp;$DG34,$B34:$Y34)),
IF(BA$3=$DF34+'Model Setup'!$N$7,SUMIF($AD$3:$BA$3,"="&amp;$DF34+'Model Setup'!$N$7,$B34:$Y34)+'Model Setup'!$N$8*(SUMIF($AD$3:$BA$3,"&lt;"&amp;$DF34,$B34:$Y34)+SUMIF($AD$3:$BA$3,"&gt;="&amp;$DG34,$B34:$Y34)),
IF(BA$3&lt;$DG34,Y34,0))))))))))))))),0)</f>
        <v>0</v>
      </c>
      <c r="BB34" s="47">
        <f t="shared" si="1"/>
        <v>197</v>
      </c>
      <c r="BD34" t="b">
        <f t="shared" si="2"/>
        <v>0</v>
      </c>
      <c r="BE34">
        <f t="shared" si="8"/>
        <v>1</v>
      </c>
      <c r="BF34">
        <f>(FTC!F32-FTC!E32)*24</f>
        <v>13</v>
      </c>
      <c r="BG34" s="43" t="s">
        <v>49</v>
      </c>
      <c r="BH34" s="47">
        <f>ROUND(IF(OR(BH$3&lt;$DF34,BH$3&gt;$CW$4),0,
IF(BH$3=$DF34+'Model Setup'!$B$7,SUMIF($BH$3:$CE$3,"="&amp;$DF34+'Model Setup'!$B$7,$AD34:$BA34)+'Model Setup'!$B$8*(SUMIF($BH$3:$CE$3,"&lt;"&amp;$DF34,$AD34:$BA34)+SUMIF($BH$3:$CE$3,"&gt;"&amp;$CW$4,$AD34:$BA34)),
IF(BH$3=$DF34+'Model Setup'!$C$7,SUMIF($BH$3:$CE$3,"="&amp;$DF34+'Model Setup'!$C$7,$AD34:$BA34)+'Model Setup'!$C$8*(SUMIF($BH$3:$CE$3,"&lt;"&amp;$DF34,$AD34:$BA34)+SUMIF($BH$3:$CE$3,"&gt;"&amp;$CW$4,$AD34:$BA34)),
IF(BH$3=$DF34+'Model Setup'!$D$7,SUMIF($BH$3:$CE$3,"="&amp;$DF34+'Model Setup'!$D$7,$AD34:$BA34)+'Model Setup'!$D$8*(SUMIF($BH$3:$CE$3,"&lt;"&amp;$DF34,$AD34:$BA34)+SUMIF($BH$3:$CE$3,"&gt;"&amp;$CW$4,$AD34:$BA34)),
IF(BH$3=$DF34+'Model Setup'!$E$7,SUMIF($BH$3:$CE$3,"="&amp;$DF34+'Model Setup'!$E$7,$AD34:$BA34)+'Model Setup'!$E$8*(SUMIF($BH$3:$CE$3,"&lt;"&amp;$DF34,$AD34:$BA34)+SUMIF($BH$3:$CE$3,"&gt;"&amp;$CW$4,$AD34:$BA34)),
IF(BH$3=$DF34+'Model Setup'!$F$7,SUMIF($BH$3:$CE$3,"="&amp;$DF34+'Model Setup'!$F$7,$AD34:$BA34)+'Model Setup'!$F$8*(SUMIF($BH$3:$CE$3,"&lt;"&amp;$DF34,$AD34:$BA34)+SUMIF($BH$3:$CE$3,"&gt;"&amp;$CW$4,$AD34:$BA34)),
IF(BH$3=$DF34+'Model Setup'!$G$7,SUMIF($BH$3:$CE$3,"="&amp;$DF34+'Model Setup'!$G$7,$AD34:$BA34)+'Model Setup'!$G$8*(SUMIF($BH$3:$CE$3,"&lt;"&amp;$DF34,$AD34:$BA34)+SUMIF($BH$3:$CE$3,"&gt;"&amp;$CW$4,$AD34:$BA34)),
IF(BH$3=$DF34+'Model Setup'!$H$7,SUMIF($BH$3:$CE$3,"="&amp;$DF34+'Model Setup'!$H$7,$AD34:$BA34)+'Model Setup'!$H$8*(SUMIF($BH$3:$CE$3,"&lt;"&amp;$DF34,$AD34:$BA34)+SUMIF($BH$3:$CE$3,"&gt;"&amp;$CW$4,$AD34:$BA34)),
IF(BH$3=$DF34+'Model Setup'!$I$7,SUMIF($BH$3:$CE$3,"="&amp;$DF34+'Model Setup'!$I$7,$AD34:$BA34)+'Model Setup'!$I$8*(SUMIF($BH$3:$CE$3,"&lt;"&amp;$DF34,$AD34:$BA34)+SUMIF($BH$3:$CE$3,"&gt;"&amp;$CW$4,$AD34:$BA34)),
IF(BH$3=$DF34+'Model Setup'!$J$7,SUMIF($BH$3:$CE$3,"="&amp;$DF34+'Model Setup'!$J$7,$AD34:$BA34)+'Model Setup'!$J$8*(SUMIF($BH$3:$CE$3,"&lt;"&amp;$DF34,$AD34:$BA34)+SUMIF($BH$3:$CE$3,"&gt;"&amp;$CW$4,$AD34:$BA34)),
IF(BH$3=$DF34+'Model Setup'!$K$7,SUMIF($BH$3:$CE$3,"="&amp;$DF34+'Model Setup'!$K$7,$AD34:$BA34)+'Model Setup'!$K$8*(SUMIF($BH$3:$CE$3,"&lt;"&amp;$DF34,$AD34:$BA34)+SUMIF($BH$3:$CE$3,"&gt;"&amp;$CW$4,$AD34:$BA34)),
IF(BH$3=$DF34+'Model Setup'!$L$7,SUMIF($BH$3:$CE$3,"="&amp;$DF34+'Model Setup'!$L$7,$AD34:$BA34)+'Model Setup'!$L$8*(SUMIF($BH$3:$CE$3,"&lt;"&amp;$DF34,$AD34:$BA34)+SUMIF($BH$3:$CE$3,"&gt;"&amp;$CW$4,$AD34:$BA34)),
IF(BH$3=$DF34+'Model Setup'!$M$7,SUMIF($BH$3:$CE$3,"="&amp;$DF34+'Model Setup'!$M$7,$AD34:$BA34)+'Model Setup'!$M$8*(SUMIF($BH$3:$CE$3,"&lt;"&amp;$DF34,$AD34:$BA34)+SUMIF($BH$3:$CE$3,"&gt;"&amp;$CW$4,$AD34:$BA34)),
IF(BH$3=$DF34+'Model Setup'!$N$7,SUMIF($BH$3:$CE$3,"="&amp;$DF34+'Model Setup'!$N$7,$AD34:$BA34)+'Model Setup'!$N$8*(SUMIF($BH$3:$CE$3,"&lt;"&amp;$DF34,$AD34:$BA34)+SUMIF($BH$3:$CE$3,"&gt;"&amp;$CW$4,$AD34:$BA34)),
IF(BH$3&lt;$CW$4,B34,0))))))))))))))),0)</f>
        <v>0</v>
      </c>
      <c r="BI34" s="47">
        <f>ROUND(IF(OR(BI$3&lt;$DF34,BI$3&gt;$CW$4),0,
IF(BI$3=$DF34+'Model Setup'!$B$7,SUMIF($BH$3:$CE$3,"="&amp;$DF34+'Model Setup'!$B$7,$AD34:$BA34)+'Model Setup'!$B$8*(SUMIF($BH$3:$CE$3,"&lt;"&amp;$DF34,$AD34:$BA34)+SUMIF($BH$3:$CE$3,"&gt;"&amp;$CW$4,$AD34:$BA34)),
IF(BI$3=$DF34+'Model Setup'!$C$7,SUMIF($BH$3:$CE$3,"="&amp;$DF34+'Model Setup'!$C$7,$AD34:$BA34)+'Model Setup'!$C$8*(SUMIF($BH$3:$CE$3,"&lt;"&amp;$DF34,$AD34:$BA34)+SUMIF($BH$3:$CE$3,"&gt;"&amp;$CW$4,$AD34:$BA34)),
IF(BI$3=$DF34+'Model Setup'!$D$7,SUMIF($BH$3:$CE$3,"="&amp;$DF34+'Model Setup'!$D$7,$AD34:$BA34)+'Model Setup'!$D$8*(SUMIF($BH$3:$CE$3,"&lt;"&amp;$DF34,$AD34:$BA34)+SUMIF($BH$3:$CE$3,"&gt;"&amp;$CW$4,$AD34:$BA34)),
IF(BI$3=$DF34+'Model Setup'!$E$7,SUMIF($BH$3:$CE$3,"="&amp;$DF34+'Model Setup'!$E$7,$AD34:$BA34)+'Model Setup'!$E$8*(SUMIF($BH$3:$CE$3,"&lt;"&amp;$DF34,$AD34:$BA34)+SUMIF($BH$3:$CE$3,"&gt;"&amp;$CW$4,$AD34:$BA34)),
IF(BI$3=$DF34+'Model Setup'!$F$7,SUMIF($BH$3:$CE$3,"="&amp;$DF34+'Model Setup'!$F$7,$AD34:$BA34)+'Model Setup'!$F$8*(SUMIF($BH$3:$CE$3,"&lt;"&amp;$DF34,$AD34:$BA34)+SUMIF($BH$3:$CE$3,"&gt;"&amp;$CW$4,$AD34:$BA34)),
IF(BI$3=$DF34+'Model Setup'!$G$7,SUMIF($BH$3:$CE$3,"="&amp;$DF34+'Model Setup'!$G$7,$AD34:$BA34)+'Model Setup'!$G$8*(SUMIF($BH$3:$CE$3,"&lt;"&amp;$DF34,$AD34:$BA34)+SUMIF($BH$3:$CE$3,"&gt;"&amp;$CW$4,$AD34:$BA34)),
IF(BI$3=$DF34+'Model Setup'!$H$7,SUMIF($BH$3:$CE$3,"="&amp;$DF34+'Model Setup'!$H$7,$AD34:$BA34)+'Model Setup'!$H$8*(SUMIF($BH$3:$CE$3,"&lt;"&amp;$DF34,$AD34:$BA34)+SUMIF($BH$3:$CE$3,"&gt;"&amp;$CW$4,$AD34:$BA34)),
IF(BI$3=$DF34+'Model Setup'!$I$7,SUMIF($BH$3:$CE$3,"="&amp;$DF34+'Model Setup'!$I$7,$AD34:$BA34)+'Model Setup'!$I$8*(SUMIF($BH$3:$CE$3,"&lt;"&amp;$DF34,$AD34:$BA34)+SUMIF($BH$3:$CE$3,"&gt;"&amp;$CW$4,$AD34:$BA34)),
IF(BI$3=$DF34+'Model Setup'!$J$7,SUMIF($BH$3:$CE$3,"="&amp;$DF34+'Model Setup'!$J$7,$AD34:$BA34)+'Model Setup'!$J$8*(SUMIF($BH$3:$CE$3,"&lt;"&amp;$DF34,$AD34:$BA34)+SUMIF($BH$3:$CE$3,"&gt;"&amp;$CW$4,$AD34:$BA34)),
IF(BI$3=$DF34+'Model Setup'!$K$7,SUMIF($BH$3:$CE$3,"="&amp;$DF34+'Model Setup'!$K$7,$AD34:$BA34)+'Model Setup'!$K$8*(SUMIF($BH$3:$CE$3,"&lt;"&amp;$DF34,$AD34:$BA34)+SUMIF($BH$3:$CE$3,"&gt;"&amp;$CW$4,$AD34:$BA34)),
IF(BI$3=$DF34+'Model Setup'!$L$7,SUMIF($BH$3:$CE$3,"="&amp;$DF34+'Model Setup'!$L$7,$AD34:$BA34)+'Model Setup'!$L$8*(SUMIF($BH$3:$CE$3,"&lt;"&amp;$DF34,$AD34:$BA34)+SUMIF($BH$3:$CE$3,"&gt;"&amp;$CW$4,$AD34:$BA34)),
IF(BI$3=$DF34+'Model Setup'!$M$7,SUMIF($BH$3:$CE$3,"="&amp;$DF34+'Model Setup'!$M$7,$AD34:$BA34)+'Model Setup'!$M$8*(SUMIF($BH$3:$CE$3,"&lt;"&amp;$DF34,$AD34:$BA34)+SUMIF($BH$3:$CE$3,"&gt;"&amp;$CW$4,$AD34:$BA34)),
IF(BI$3=$DF34+'Model Setup'!$N$7,SUMIF($BH$3:$CE$3,"="&amp;$DF34+'Model Setup'!$N$7,$AD34:$BA34)+'Model Setup'!$N$8*(SUMIF($BH$3:$CE$3,"&lt;"&amp;$DF34,$AD34:$BA34)+SUMIF($BH$3:$CE$3,"&gt;"&amp;$CW$4,$AD34:$BA34)),
IF(BI$3&lt;$CW$4,C34,0))))))))))))))),0)</f>
        <v>0</v>
      </c>
      <c r="BJ34" s="47">
        <f>ROUND(IF(OR(BJ$3&lt;$DF34,BJ$3&gt;$CW$4),0,
IF(BJ$3=$DF34+'Model Setup'!$B$7,SUMIF($BH$3:$CE$3,"="&amp;$DF34+'Model Setup'!$B$7,$AD34:$BA34)+'Model Setup'!$B$8*(SUMIF($BH$3:$CE$3,"&lt;"&amp;$DF34,$AD34:$BA34)+SUMIF($BH$3:$CE$3,"&gt;"&amp;$CW$4,$AD34:$BA34)),
IF(BJ$3=$DF34+'Model Setup'!$C$7,SUMIF($BH$3:$CE$3,"="&amp;$DF34+'Model Setup'!$C$7,$AD34:$BA34)+'Model Setup'!$C$8*(SUMIF($BH$3:$CE$3,"&lt;"&amp;$DF34,$AD34:$BA34)+SUMIF($BH$3:$CE$3,"&gt;"&amp;$CW$4,$AD34:$BA34)),
IF(BJ$3=$DF34+'Model Setup'!$D$7,SUMIF($BH$3:$CE$3,"="&amp;$DF34+'Model Setup'!$D$7,$AD34:$BA34)+'Model Setup'!$D$8*(SUMIF($BH$3:$CE$3,"&lt;"&amp;$DF34,$AD34:$BA34)+SUMIF($BH$3:$CE$3,"&gt;"&amp;$CW$4,$AD34:$BA34)),
IF(BJ$3=$DF34+'Model Setup'!$E$7,SUMIF($BH$3:$CE$3,"="&amp;$DF34+'Model Setup'!$E$7,$AD34:$BA34)+'Model Setup'!$E$8*(SUMIF($BH$3:$CE$3,"&lt;"&amp;$DF34,$AD34:$BA34)+SUMIF($BH$3:$CE$3,"&gt;"&amp;$CW$4,$AD34:$BA34)),
IF(BJ$3=$DF34+'Model Setup'!$F$7,SUMIF($BH$3:$CE$3,"="&amp;$DF34+'Model Setup'!$F$7,$AD34:$BA34)+'Model Setup'!$F$8*(SUMIF($BH$3:$CE$3,"&lt;"&amp;$DF34,$AD34:$BA34)+SUMIF($BH$3:$CE$3,"&gt;"&amp;$CW$4,$AD34:$BA34)),
IF(BJ$3=$DF34+'Model Setup'!$G$7,SUMIF($BH$3:$CE$3,"="&amp;$DF34+'Model Setup'!$G$7,$AD34:$BA34)+'Model Setup'!$G$8*(SUMIF($BH$3:$CE$3,"&lt;"&amp;$DF34,$AD34:$BA34)+SUMIF($BH$3:$CE$3,"&gt;"&amp;$CW$4,$AD34:$BA34)),
IF(BJ$3=$DF34+'Model Setup'!$H$7,SUMIF($BH$3:$CE$3,"="&amp;$DF34+'Model Setup'!$H$7,$AD34:$BA34)+'Model Setup'!$H$8*(SUMIF($BH$3:$CE$3,"&lt;"&amp;$DF34,$AD34:$BA34)+SUMIF($BH$3:$CE$3,"&gt;"&amp;$CW$4,$AD34:$BA34)),
IF(BJ$3=$DF34+'Model Setup'!$I$7,SUMIF($BH$3:$CE$3,"="&amp;$DF34+'Model Setup'!$I$7,$AD34:$BA34)+'Model Setup'!$I$8*(SUMIF($BH$3:$CE$3,"&lt;"&amp;$DF34,$AD34:$BA34)+SUMIF($BH$3:$CE$3,"&gt;"&amp;$CW$4,$AD34:$BA34)),
IF(BJ$3=$DF34+'Model Setup'!$J$7,SUMIF($BH$3:$CE$3,"="&amp;$DF34+'Model Setup'!$J$7,$AD34:$BA34)+'Model Setup'!$J$8*(SUMIF($BH$3:$CE$3,"&lt;"&amp;$DF34,$AD34:$BA34)+SUMIF($BH$3:$CE$3,"&gt;"&amp;$CW$4,$AD34:$BA34)),
IF(BJ$3=$DF34+'Model Setup'!$K$7,SUMIF($BH$3:$CE$3,"="&amp;$DF34+'Model Setup'!$K$7,$AD34:$BA34)+'Model Setup'!$K$8*(SUMIF($BH$3:$CE$3,"&lt;"&amp;$DF34,$AD34:$BA34)+SUMIF($BH$3:$CE$3,"&gt;"&amp;$CW$4,$AD34:$BA34)),
IF(BJ$3=$DF34+'Model Setup'!$L$7,SUMIF($BH$3:$CE$3,"="&amp;$DF34+'Model Setup'!$L$7,$AD34:$BA34)+'Model Setup'!$L$8*(SUMIF($BH$3:$CE$3,"&lt;"&amp;$DF34,$AD34:$BA34)+SUMIF($BH$3:$CE$3,"&gt;"&amp;$CW$4,$AD34:$BA34)),
IF(BJ$3=$DF34+'Model Setup'!$M$7,SUMIF($BH$3:$CE$3,"="&amp;$DF34+'Model Setup'!$M$7,$AD34:$BA34)+'Model Setup'!$M$8*(SUMIF($BH$3:$CE$3,"&lt;"&amp;$DF34,$AD34:$BA34)+SUMIF($BH$3:$CE$3,"&gt;"&amp;$CW$4,$AD34:$BA34)),
IF(BJ$3=$DF34+'Model Setup'!$N$7,SUMIF($BH$3:$CE$3,"="&amp;$DF34+'Model Setup'!$N$7,$AD34:$BA34)+'Model Setup'!$N$8*(SUMIF($BH$3:$CE$3,"&lt;"&amp;$DF34,$AD34:$BA34)+SUMIF($BH$3:$CE$3,"&gt;"&amp;$CW$4,$AD34:$BA34)),
IF(BJ$3&lt;$CW$4,D34,0))))))))))))))),0)</f>
        <v>0</v>
      </c>
      <c r="BK34" s="47">
        <f>ROUND(IF(OR(BK$3&lt;$DF34,BK$3&gt;$CW$4),0,
IF(BK$3=$DF34+'Model Setup'!$B$7,SUMIF($BH$3:$CE$3,"="&amp;$DF34+'Model Setup'!$B$7,$AD34:$BA34)+'Model Setup'!$B$8*(SUMIF($BH$3:$CE$3,"&lt;"&amp;$DF34,$AD34:$BA34)+SUMIF($BH$3:$CE$3,"&gt;"&amp;$CW$4,$AD34:$BA34)),
IF(BK$3=$DF34+'Model Setup'!$C$7,SUMIF($BH$3:$CE$3,"="&amp;$DF34+'Model Setup'!$C$7,$AD34:$BA34)+'Model Setup'!$C$8*(SUMIF($BH$3:$CE$3,"&lt;"&amp;$DF34,$AD34:$BA34)+SUMIF($BH$3:$CE$3,"&gt;"&amp;$CW$4,$AD34:$BA34)),
IF(BK$3=$DF34+'Model Setup'!$D$7,SUMIF($BH$3:$CE$3,"="&amp;$DF34+'Model Setup'!$D$7,$AD34:$BA34)+'Model Setup'!$D$8*(SUMIF($BH$3:$CE$3,"&lt;"&amp;$DF34,$AD34:$BA34)+SUMIF($BH$3:$CE$3,"&gt;"&amp;$CW$4,$AD34:$BA34)),
IF(BK$3=$DF34+'Model Setup'!$E$7,SUMIF($BH$3:$CE$3,"="&amp;$DF34+'Model Setup'!$E$7,$AD34:$BA34)+'Model Setup'!$E$8*(SUMIF($BH$3:$CE$3,"&lt;"&amp;$DF34,$AD34:$BA34)+SUMIF($BH$3:$CE$3,"&gt;"&amp;$CW$4,$AD34:$BA34)),
IF(BK$3=$DF34+'Model Setup'!$F$7,SUMIF($BH$3:$CE$3,"="&amp;$DF34+'Model Setup'!$F$7,$AD34:$BA34)+'Model Setup'!$F$8*(SUMIF($BH$3:$CE$3,"&lt;"&amp;$DF34,$AD34:$BA34)+SUMIF($BH$3:$CE$3,"&gt;"&amp;$CW$4,$AD34:$BA34)),
IF(BK$3=$DF34+'Model Setup'!$G$7,SUMIF($BH$3:$CE$3,"="&amp;$DF34+'Model Setup'!$G$7,$AD34:$BA34)+'Model Setup'!$G$8*(SUMIF($BH$3:$CE$3,"&lt;"&amp;$DF34,$AD34:$BA34)+SUMIF($BH$3:$CE$3,"&gt;"&amp;$CW$4,$AD34:$BA34)),
IF(BK$3=$DF34+'Model Setup'!$H$7,SUMIF($BH$3:$CE$3,"="&amp;$DF34+'Model Setup'!$H$7,$AD34:$BA34)+'Model Setup'!$H$8*(SUMIF($BH$3:$CE$3,"&lt;"&amp;$DF34,$AD34:$BA34)+SUMIF($BH$3:$CE$3,"&gt;"&amp;$CW$4,$AD34:$BA34)),
IF(BK$3=$DF34+'Model Setup'!$I$7,SUMIF($BH$3:$CE$3,"="&amp;$DF34+'Model Setup'!$I$7,$AD34:$BA34)+'Model Setup'!$I$8*(SUMIF($BH$3:$CE$3,"&lt;"&amp;$DF34,$AD34:$BA34)+SUMIF($BH$3:$CE$3,"&gt;"&amp;$CW$4,$AD34:$BA34)),
IF(BK$3=$DF34+'Model Setup'!$J$7,SUMIF($BH$3:$CE$3,"="&amp;$DF34+'Model Setup'!$J$7,$AD34:$BA34)+'Model Setup'!$J$8*(SUMIF($BH$3:$CE$3,"&lt;"&amp;$DF34,$AD34:$BA34)+SUMIF($BH$3:$CE$3,"&gt;"&amp;$CW$4,$AD34:$BA34)),
IF(BK$3=$DF34+'Model Setup'!$K$7,SUMIF($BH$3:$CE$3,"="&amp;$DF34+'Model Setup'!$K$7,$AD34:$BA34)+'Model Setup'!$K$8*(SUMIF($BH$3:$CE$3,"&lt;"&amp;$DF34,$AD34:$BA34)+SUMIF($BH$3:$CE$3,"&gt;"&amp;$CW$4,$AD34:$BA34)),
IF(BK$3=$DF34+'Model Setup'!$L$7,SUMIF($BH$3:$CE$3,"="&amp;$DF34+'Model Setup'!$L$7,$AD34:$BA34)+'Model Setup'!$L$8*(SUMIF($BH$3:$CE$3,"&lt;"&amp;$DF34,$AD34:$BA34)+SUMIF($BH$3:$CE$3,"&gt;"&amp;$CW$4,$AD34:$BA34)),
IF(BK$3=$DF34+'Model Setup'!$M$7,SUMIF($BH$3:$CE$3,"="&amp;$DF34+'Model Setup'!$M$7,$AD34:$BA34)+'Model Setup'!$M$8*(SUMIF($BH$3:$CE$3,"&lt;"&amp;$DF34,$AD34:$BA34)+SUMIF($BH$3:$CE$3,"&gt;"&amp;$CW$4,$AD34:$BA34)),
IF(BK$3=$DF34+'Model Setup'!$N$7,SUMIF($BH$3:$CE$3,"="&amp;$DF34+'Model Setup'!$N$7,$AD34:$BA34)+'Model Setup'!$N$8*(SUMIF($BH$3:$CE$3,"&lt;"&amp;$DF34,$AD34:$BA34)+SUMIF($BH$3:$CE$3,"&gt;"&amp;$CW$4,$AD34:$BA34)),
IF(BK$3&lt;$CW$4,E34,0))))))))))))))),0)</f>
        <v>0</v>
      </c>
      <c r="BL34" s="47">
        <f>ROUND(IF(OR(BL$3&lt;$DF34,BL$3&gt;$CW$4),0,
IF(BL$3=$DF34+'Model Setup'!$B$7,SUMIF($BH$3:$CE$3,"="&amp;$DF34+'Model Setup'!$B$7,$AD34:$BA34)+'Model Setup'!$B$8*(SUMIF($BH$3:$CE$3,"&lt;"&amp;$DF34,$AD34:$BA34)+SUMIF($BH$3:$CE$3,"&gt;"&amp;$CW$4,$AD34:$BA34)),
IF(BL$3=$DF34+'Model Setup'!$C$7,SUMIF($BH$3:$CE$3,"="&amp;$DF34+'Model Setup'!$C$7,$AD34:$BA34)+'Model Setup'!$C$8*(SUMIF($BH$3:$CE$3,"&lt;"&amp;$DF34,$AD34:$BA34)+SUMIF($BH$3:$CE$3,"&gt;"&amp;$CW$4,$AD34:$BA34)),
IF(BL$3=$DF34+'Model Setup'!$D$7,SUMIF($BH$3:$CE$3,"="&amp;$DF34+'Model Setup'!$D$7,$AD34:$BA34)+'Model Setup'!$D$8*(SUMIF($BH$3:$CE$3,"&lt;"&amp;$DF34,$AD34:$BA34)+SUMIF($BH$3:$CE$3,"&gt;"&amp;$CW$4,$AD34:$BA34)),
IF(BL$3=$DF34+'Model Setup'!$E$7,SUMIF($BH$3:$CE$3,"="&amp;$DF34+'Model Setup'!$E$7,$AD34:$BA34)+'Model Setup'!$E$8*(SUMIF($BH$3:$CE$3,"&lt;"&amp;$DF34,$AD34:$BA34)+SUMIF($BH$3:$CE$3,"&gt;"&amp;$CW$4,$AD34:$BA34)),
IF(BL$3=$DF34+'Model Setup'!$F$7,SUMIF($BH$3:$CE$3,"="&amp;$DF34+'Model Setup'!$F$7,$AD34:$BA34)+'Model Setup'!$F$8*(SUMIF($BH$3:$CE$3,"&lt;"&amp;$DF34,$AD34:$BA34)+SUMIF($BH$3:$CE$3,"&gt;"&amp;$CW$4,$AD34:$BA34)),
IF(BL$3=$DF34+'Model Setup'!$G$7,SUMIF($BH$3:$CE$3,"="&amp;$DF34+'Model Setup'!$G$7,$AD34:$BA34)+'Model Setup'!$G$8*(SUMIF($BH$3:$CE$3,"&lt;"&amp;$DF34,$AD34:$BA34)+SUMIF($BH$3:$CE$3,"&gt;"&amp;$CW$4,$AD34:$BA34)),
IF(BL$3=$DF34+'Model Setup'!$H$7,SUMIF($BH$3:$CE$3,"="&amp;$DF34+'Model Setup'!$H$7,$AD34:$BA34)+'Model Setup'!$H$8*(SUMIF($BH$3:$CE$3,"&lt;"&amp;$DF34,$AD34:$BA34)+SUMIF($BH$3:$CE$3,"&gt;"&amp;$CW$4,$AD34:$BA34)),
IF(BL$3=$DF34+'Model Setup'!$I$7,SUMIF($BH$3:$CE$3,"="&amp;$DF34+'Model Setup'!$I$7,$AD34:$BA34)+'Model Setup'!$I$8*(SUMIF($BH$3:$CE$3,"&lt;"&amp;$DF34,$AD34:$BA34)+SUMIF($BH$3:$CE$3,"&gt;"&amp;$CW$4,$AD34:$BA34)),
IF(BL$3=$DF34+'Model Setup'!$J$7,SUMIF($BH$3:$CE$3,"="&amp;$DF34+'Model Setup'!$J$7,$AD34:$BA34)+'Model Setup'!$J$8*(SUMIF($BH$3:$CE$3,"&lt;"&amp;$DF34,$AD34:$BA34)+SUMIF($BH$3:$CE$3,"&gt;"&amp;$CW$4,$AD34:$BA34)),
IF(BL$3=$DF34+'Model Setup'!$K$7,SUMIF($BH$3:$CE$3,"="&amp;$DF34+'Model Setup'!$K$7,$AD34:$BA34)+'Model Setup'!$K$8*(SUMIF($BH$3:$CE$3,"&lt;"&amp;$DF34,$AD34:$BA34)+SUMIF($BH$3:$CE$3,"&gt;"&amp;$CW$4,$AD34:$BA34)),
IF(BL$3=$DF34+'Model Setup'!$L$7,SUMIF($BH$3:$CE$3,"="&amp;$DF34+'Model Setup'!$L$7,$AD34:$BA34)+'Model Setup'!$L$8*(SUMIF($BH$3:$CE$3,"&lt;"&amp;$DF34,$AD34:$BA34)+SUMIF($BH$3:$CE$3,"&gt;"&amp;$CW$4,$AD34:$BA34)),
IF(BL$3=$DF34+'Model Setup'!$M$7,SUMIF($BH$3:$CE$3,"="&amp;$DF34+'Model Setup'!$M$7,$AD34:$BA34)+'Model Setup'!$M$8*(SUMIF($BH$3:$CE$3,"&lt;"&amp;$DF34,$AD34:$BA34)+SUMIF($BH$3:$CE$3,"&gt;"&amp;$CW$4,$AD34:$BA34)),
IF(BL$3=$DF34+'Model Setup'!$N$7,SUMIF($BH$3:$CE$3,"="&amp;$DF34+'Model Setup'!$N$7,$AD34:$BA34)+'Model Setup'!$N$8*(SUMIF($BH$3:$CE$3,"&lt;"&amp;$DF34,$AD34:$BA34)+SUMIF($BH$3:$CE$3,"&gt;"&amp;$CW$4,$AD34:$BA34)),
IF(BL$3&lt;$CW$4,F34,0))))))))))))))),0)</f>
        <v>0</v>
      </c>
      <c r="BM34" s="47">
        <f>ROUND(IF(OR(BM$3&lt;$DF34,BM$3&gt;$CW$4),0,
IF(BM$3=$DF34+'Model Setup'!$B$7,SUMIF($BH$3:$CE$3,"="&amp;$DF34+'Model Setup'!$B$7,$AD34:$BA34)+'Model Setup'!$B$8*(SUMIF($BH$3:$CE$3,"&lt;"&amp;$DF34,$AD34:$BA34)+SUMIF($BH$3:$CE$3,"&gt;"&amp;$CW$4,$AD34:$BA34)),
IF(BM$3=$DF34+'Model Setup'!$C$7,SUMIF($BH$3:$CE$3,"="&amp;$DF34+'Model Setup'!$C$7,$AD34:$BA34)+'Model Setup'!$C$8*(SUMIF($BH$3:$CE$3,"&lt;"&amp;$DF34,$AD34:$BA34)+SUMIF($BH$3:$CE$3,"&gt;"&amp;$CW$4,$AD34:$BA34)),
IF(BM$3=$DF34+'Model Setup'!$D$7,SUMIF($BH$3:$CE$3,"="&amp;$DF34+'Model Setup'!$D$7,$AD34:$BA34)+'Model Setup'!$D$8*(SUMIF($BH$3:$CE$3,"&lt;"&amp;$DF34,$AD34:$BA34)+SUMIF($BH$3:$CE$3,"&gt;"&amp;$CW$4,$AD34:$BA34)),
IF(BM$3=$DF34+'Model Setup'!$E$7,SUMIF($BH$3:$CE$3,"="&amp;$DF34+'Model Setup'!$E$7,$AD34:$BA34)+'Model Setup'!$E$8*(SUMIF($BH$3:$CE$3,"&lt;"&amp;$DF34,$AD34:$BA34)+SUMIF($BH$3:$CE$3,"&gt;"&amp;$CW$4,$AD34:$BA34)),
IF(BM$3=$DF34+'Model Setup'!$F$7,SUMIF($BH$3:$CE$3,"="&amp;$DF34+'Model Setup'!$F$7,$AD34:$BA34)+'Model Setup'!$F$8*(SUMIF($BH$3:$CE$3,"&lt;"&amp;$DF34,$AD34:$BA34)+SUMIF($BH$3:$CE$3,"&gt;"&amp;$CW$4,$AD34:$BA34)),
IF(BM$3=$DF34+'Model Setup'!$G$7,SUMIF($BH$3:$CE$3,"="&amp;$DF34+'Model Setup'!$G$7,$AD34:$BA34)+'Model Setup'!$G$8*(SUMIF($BH$3:$CE$3,"&lt;"&amp;$DF34,$AD34:$BA34)+SUMIF($BH$3:$CE$3,"&gt;"&amp;$CW$4,$AD34:$BA34)),
IF(BM$3=$DF34+'Model Setup'!$H$7,SUMIF($BH$3:$CE$3,"="&amp;$DF34+'Model Setup'!$H$7,$AD34:$BA34)+'Model Setup'!$H$8*(SUMIF($BH$3:$CE$3,"&lt;"&amp;$DF34,$AD34:$BA34)+SUMIF($BH$3:$CE$3,"&gt;"&amp;$CW$4,$AD34:$BA34)),
IF(BM$3=$DF34+'Model Setup'!$I$7,SUMIF($BH$3:$CE$3,"="&amp;$DF34+'Model Setup'!$I$7,$AD34:$BA34)+'Model Setup'!$I$8*(SUMIF($BH$3:$CE$3,"&lt;"&amp;$DF34,$AD34:$BA34)+SUMIF($BH$3:$CE$3,"&gt;"&amp;$CW$4,$AD34:$BA34)),
IF(BM$3=$DF34+'Model Setup'!$J$7,SUMIF($BH$3:$CE$3,"="&amp;$DF34+'Model Setup'!$J$7,$AD34:$BA34)+'Model Setup'!$J$8*(SUMIF($BH$3:$CE$3,"&lt;"&amp;$DF34,$AD34:$BA34)+SUMIF($BH$3:$CE$3,"&gt;"&amp;$CW$4,$AD34:$BA34)),
IF(BM$3=$DF34+'Model Setup'!$K$7,SUMIF($BH$3:$CE$3,"="&amp;$DF34+'Model Setup'!$K$7,$AD34:$BA34)+'Model Setup'!$K$8*(SUMIF($BH$3:$CE$3,"&lt;"&amp;$DF34,$AD34:$BA34)+SUMIF($BH$3:$CE$3,"&gt;"&amp;$CW$4,$AD34:$BA34)),
IF(BM$3=$DF34+'Model Setup'!$L$7,SUMIF($BH$3:$CE$3,"="&amp;$DF34+'Model Setup'!$L$7,$AD34:$BA34)+'Model Setup'!$L$8*(SUMIF($BH$3:$CE$3,"&lt;"&amp;$DF34,$AD34:$BA34)+SUMIF($BH$3:$CE$3,"&gt;"&amp;$CW$4,$AD34:$BA34)),
IF(BM$3=$DF34+'Model Setup'!$M$7,SUMIF($BH$3:$CE$3,"="&amp;$DF34+'Model Setup'!$M$7,$AD34:$BA34)+'Model Setup'!$M$8*(SUMIF($BH$3:$CE$3,"&lt;"&amp;$DF34,$AD34:$BA34)+SUMIF($BH$3:$CE$3,"&gt;"&amp;$CW$4,$AD34:$BA34)),
IF(BM$3=$DF34+'Model Setup'!$N$7,SUMIF($BH$3:$CE$3,"="&amp;$DF34+'Model Setup'!$N$7,$AD34:$BA34)+'Model Setup'!$N$8*(SUMIF($BH$3:$CE$3,"&lt;"&amp;$DF34,$AD34:$BA34)+SUMIF($BH$3:$CE$3,"&gt;"&amp;$CW$4,$AD34:$BA34)),
IF(BM$3&lt;$CW$4,G34,0))))))))))))))),0)</f>
        <v>0</v>
      </c>
      <c r="BN34" s="47">
        <f>ROUND(IF(OR(BN$3&lt;$DF34,BN$3&gt;$CW$4),0,
IF(BN$3=$DF34+'Model Setup'!$B$7,SUMIF($BH$3:$CE$3,"="&amp;$DF34+'Model Setup'!$B$7,$AD34:$BA34)+'Model Setup'!$B$8*(SUMIF($BH$3:$CE$3,"&lt;"&amp;$DF34,$AD34:$BA34)+SUMIF($BH$3:$CE$3,"&gt;"&amp;$CW$4,$AD34:$BA34)),
IF(BN$3=$DF34+'Model Setup'!$C$7,SUMIF($BH$3:$CE$3,"="&amp;$DF34+'Model Setup'!$C$7,$AD34:$BA34)+'Model Setup'!$C$8*(SUMIF($BH$3:$CE$3,"&lt;"&amp;$DF34,$AD34:$BA34)+SUMIF($BH$3:$CE$3,"&gt;"&amp;$CW$4,$AD34:$BA34)),
IF(BN$3=$DF34+'Model Setup'!$D$7,SUMIF($BH$3:$CE$3,"="&amp;$DF34+'Model Setup'!$D$7,$AD34:$BA34)+'Model Setup'!$D$8*(SUMIF($BH$3:$CE$3,"&lt;"&amp;$DF34,$AD34:$BA34)+SUMIF($BH$3:$CE$3,"&gt;"&amp;$CW$4,$AD34:$BA34)),
IF(BN$3=$DF34+'Model Setup'!$E$7,SUMIF($BH$3:$CE$3,"="&amp;$DF34+'Model Setup'!$E$7,$AD34:$BA34)+'Model Setup'!$E$8*(SUMIF($BH$3:$CE$3,"&lt;"&amp;$DF34,$AD34:$BA34)+SUMIF($BH$3:$CE$3,"&gt;"&amp;$CW$4,$AD34:$BA34)),
IF(BN$3=$DF34+'Model Setup'!$F$7,SUMIF($BH$3:$CE$3,"="&amp;$DF34+'Model Setup'!$F$7,$AD34:$BA34)+'Model Setup'!$F$8*(SUMIF($BH$3:$CE$3,"&lt;"&amp;$DF34,$AD34:$BA34)+SUMIF($BH$3:$CE$3,"&gt;"&amp;$CW$4,$AD34:$BA34)),
IF(BN$3=$DF34+'Model Setup'!$G$7,SUMIF($BH$3:$CE$3,"="&amp;$DF34+'Model Setup'!$G$7,$AD34:$BA34)+'Model Setup'!$G$8*(SUMIF($BH$3:$CE$3,"&lt;"&amp;$DF34,$AD34:$BA34)+SUMIF($BH$3:$CE$3,"&gt;"&amp;$CW$4,$AD34:$BA34)),
IF(BN$3=$DF34+'Model Setup'!$H$7,SUMIF($BH$3:$CE$3,"="&amp;$DF34+'Model Setup'!$H$7,$AD34:$BA34)+'Model Setup'!$H$8*(SUMIF($BH$3:$CE$3,"&lt;"&amp;$DF34,$AD34:$BA34)+SUMIF($BH$3:$CE$3,"&gt;"&amp;$CW$4,$AD34:$BA34)),
IF(BN$3=$DF34+'Model Setup'!$I$7,SUMIF($BH$3:$CE$3,"="&amp;$DF34+'Model Setup'!$I$7,$AD34:$BA34)+'Model Setup'!$I$8*(SUMIF($BH$3:$CE$3,"&lt;"&amp;$DF34,$AD34:$BA34)+SUMIF($BH$3:$CE$3,"&gt;"&amp;$CW$4,$AD34:$BA34)),
IF(BN$3=$DF34+'Model Setup'!$J$7,SUMIF($BH$3:$CE$3,"="&amp;$DF34+'Model Setup'!$J$7,$AD34:$BA34)+'Model Setup'!$J$8*(SUMIF($BH$3:$CE$3,"&lt;"&amp;$DF34,$AD34:$BA34)+SUMIF($BH$3:$CE$3,"&gt;"&amp;$CW$4,$AD34:$BA34)),
IF(BN$3=$DF34+'Model Setup'!$K$7,SUMIF($BH$3:$CE$3,"="&amp;$DF34+'Model Setup'!$K$7,$AD34:$BA34)+'Model Setup'!$K$8*(SUMIF($BH$3:$CE$3,"&lt;"&amp;$DF34,$AD34:$BA34)+SUMIF($BH$3:$CE$3,"&gt;"&amp;$CW$4,$AD34:$BA34)),
IF(BN$3=$DF34+'Model Setup'!$L$7,SUMIF($BH$3:$CE$3,"="&amp;$DF34+'Model Setup'!$L$7,$AD34:$BA34)+'Model Setup'!$L$8*(SUMIF($BH$3:$CE$3,"&lt;"&amp;$DF34,$AD34:$BA34)+SUMIF($BH$3:$CE$3,"&gt;"&amp;$CW$4,$AD34:$BA34)),
IF(BN$3=$DF34+'Model Setup'!$M$7,SUMIF($BH$3:$CE$3,"="&amp;$DF34+'Model Setup'!$M$7,$AD34:$BA34)+'Model Setup'!$M$8*(SUMIF($BH$3:$CE$3,"&lt;"&amp;$DF34,$AD34:$BA34)+SUMIF($BH$3:$CE$3,"&gt;"&amp;$CW$4,$AD34:$BA34)),
IF(BN$3=$DF34+'Model Setup'!$N$7,SUMIF($BH$3:$CE$3,"="&amp;$DF34+'Model Setup'!$N$7,$AD34:$BA34)+'Model Setup'!$N$8*(SUMIF($BH$3:$CE$3,"&lt;"&amp;$DF34,$AD34:$BA34)+SUMIF($BH$3:$CE$3,"&gt;"&amp;$CW$4,$AD34:$BA34)),
IF(BN$3&lt;$CW$4,H34,0))))))))))))))),0)</f>
        <v>23</v>
      </c>
      <c r="BO34" s="47">
        <f>ROUND(IF(OR(BO$3&lt;$DF34,BO$3&gt;$CW$4),0,
IF(BO$3=$DF34+'Model Setup'!$B$7,SUMIF($BH$3:$CE$3,"="&amp;$DF34+'Model Setup'!$B$7,$AD34:$BA34)+'Model Setup'!$B$8*(SUMIF($BH$3:$CE$3,"&lt;"&amp;$DF34,$AD34:$BA34)+SUMIF($BH$3:$CE$3,"&gt;"&amp;$CW$4,$AD34:$BA34)),
IF(BO$3=$DF34+'Model Setup'!$C$7,SUMIF($BH$3:$CE$3,"="&amp;$DF34+'Model Setup'!$C$7,$AD34:$BA34)+'Model Setup'!$C$8*(SUMIF($BH$3:$CE$3,"&lt;"&amp;$DF34,$AD34:$BA34)+SUMIF($BH$3:$CE$3,"&gt;"&amp;$CW$4,$AD34:$BA34)),
IF(BO$3=$DF34+'Model Setup'!$D$7,SUMIF($BH$3:$CE$3,"="&amp;$DF34+'Model Setup'!$D$7,$AD34:$BA34)+'Model Setup'!$D$8*(SUMIF($BH$3:$CE$3,"&lt;"&amp;$DF34,$AD34:$BA34)+SUMIF($BH$3:$CE$3,"&gt;"&amp;$CW$4,$AD34:$BA34)),
IF(BO$3=$DF34+'Model Setup'!$E$7,SUMIF($BH$3:$CE$3,"="&amp;$DF34+'Model Setup'!$E$7,$AD34:$BA34)+'Model Setup'!$E$8*(SUMIF($BH$3:$CE$3,"&lt;"&amp;$DF34,$AD34:$BA34)+SUMIF($BH$3:$CE$3,"&gt;"&amp;$CW$4,$AD34:$BA34)),
IF(BO$3=$DF34+'Model Setup'!$F$7,SUMIF($BH$3:$CE$3,"="&amp;$DF34+'Model Setup'!$F$7,$AD34:$BA34)+'Model Setup'!$F$8*(SUMIF($BH$3:$CE$3,"&lt;"&amp;$DF34,$AD34:$BA34)+SUMIF($BH$3:$CE$3,"&gt;"&amp;$CW$4,$AD34:$BA34)),
IF(BO$3=$DF34+'Model Setup'!$G$7,SUMIF($BH$3:$CE$3,"="&amp;$DF34+'Model Setup'!$G$7,$AD34:$BA34)+'Model Setup'!$G$8*(SUMIF($BH$3:$CE$3,"&lt;"&amp;$DF34,$AD34:$BA34)+SUMIF($BH$3:$CE$3,"&gt;"&amp;$CW$4,$AD34:$BA34)),
IF(BO$3=$DF34+'Model Setup'!$H$7,SUMIF($BH$3:$CE$3,"="&amp;$DF34+'Model Setup'!$H$7,$AD34:$BA34)+'Model Setup'!$H$8*(SUMIF($BH$3:$CE$3,"&lt;"&amp;$DF34,$AD34:$BA34)+SUMIF($BH$3:$CE$3,"&gt;"&amp;$CW$4,$AD34:$BA34)),
IF(BO$3=$DF34+'Model Setup'!$I$7,SUMIF($BH$3:$CE$3,"="&amp;$DF34+'Model Setup'!$I$7,$AD34:$BA34)+'Model Setup'!$I$8*(SUMIF($BH$3:$CE$3,"&lt;"&amp;$DF34,$AD34:$BA34)+SUMIF($BH$3:$CE$3,"&gt;"&amp;$CW$4,$AD34:$BA34)),
IF(BO$3=$DF34+'Model Setup'!$J$7,SUMIF($BH$3:$CE$3,"="&amp;$DF34+'Model Setup'!$J$7,$AD34:$BA34)+'Model Setup'!$J$8*(SUMIF($BH$3:$CE$3,"&lt;"&amp;$DF34,$AD34:$BA34)+SUMIF($BH$3:$CE$3,"&gt;"&amp;$CW$4,$AD34:$BA34)),
IF(BO$3=$DF34+'Model Setup'!$K$7,SUMIF($BH$3:$CE$3,"="&amp;$DF34+'Model Setup'!$K$7,$AD34:$BA34)+'Model Setup'!$K$8*(SUMIF($BH$3:$CE$3,"&lt;"&amp;$DF34,$AD34:$BA34)+SUMIF($BH$3:$CE$3,"&gt;"&amp;$CW$4,$AD34:$BA34)),
IF(BO$3=$DF34+'Model Setup'!$L$7,SUMIF($BH$3:$CE$3,"="&amp;$DF34+'Model Setup'!$L$7,$AD34:$BA34)+'Model Setup'!$L$8*(SUMIF($BH$3:$CE$3,"&lt;"&amp;$DF34,$AD34:$BA34)+SUMIF($BH$3:$CE$3,"&gt;"&amp;$CW$4,$AD34:$BA34)),
IF(BO$3=$DF34+'Model Setup'!$M$7,SUMIF($BH$3:$CE$3,"="&amp;$DF34+'Model Setup'!$M$7,$AD34:$BA34)+'Model Setup'!$M$8*(SUMIF($BH$3:$CE$3,"&lt;"&amp;$DF34,$AD34:$BA34)+SUMIF($BH$3:$CE$3,"&gt;"&amp;$CW$4,$AD34:$BA34)),
IF(BO$3=$DF34+'Model Setup'!$N$7,SUMIF($BH$3:$CE$3,"="&amp;$DF34+'Model Setup'!$N$7,$AD34:$BA34)+'Model Setup'!$N$8*(SUMIF($BH$3:$CE$3,"&lt;"&amp;$DF34,$AD34:$BA34)+SUMIF($BH$3:$CE$3,"&gt;"&amp;$CW$4,$AD34:$BA34)),
IF(BO$3&lt;$CW$4,I34,0))))))))))))))),0)</f>
        <v>25</v>
      </c>
      <c r="BP34" s="47">
        <f>ROUND(IF(OR(BP$3&lt;$DF34,BP$3&gt;$CW$4),0,
IF(BP$3=$DF34+'Model Setup'!$B$7,SUMIF($BH$3:$CE$3,"="&amp;$DF34+'Model Setup'!$B$7,$AD34:$BA34)+'Model Setup'!$B$8*(SUMIF($BH$3:$CE$3,"&lt;"&amp;$DF34,$AD34:$BA34)+SUMIF($BH$3:$CE$3,"&gt;"&amp;$CW$4,$AD34:$BA34)),
IF(BP$3=$DF34+'Model Setup'!$C$7,SUMIF($BH$3:$CE$3,"="&amp;$DF34+'Model Setup'!$C$7,$AD34:$BA34)+'Model Setup'!$C$8*(SUMIF($BH$3:$CE$3,"&lt;"&amp;$DF34,$AD34:$BA34)+SUMIF($BH$3:$CE$3,"&gt;"&amp;$CW$4,$AD34:$BA34)),
IF(BP$3=$DF34+'Model Setup'!$D$7,SUMIF($BH$3:$CE$3,"="&amp;$DF34+'Model Setup'!$D$7,$AD34:$BA34)+'Model Setup'!$D$8*(SUMIF($BH$3:$CE$3,"&lt;"&amp;$DF34,$AD34:$BA34)+SUMIF($BH$3:$CE$3,"&gt;"&amp;$CW$4,$AD34:$BA34)),
IF(BP$3=$DF34+'Model Setup'!$E$7,SUMIF($BH$3:$CE$3,"="&amp;$DF34+'Model Setup'!$E$7,$AD34:$BA34)+'Model Setup'!$E$8*(SUMIF($BH$3:$CE$3,"&lt;"&amp;$DF34,$AD34:$BA34)+SUMIF($BH$3:$CE$3,"&gt;"&amp;$CW$4,$AD34:$BA34)),
IF(BP$3=$DF34+'Model Setup'!$F$7,SUMIF($BH$3:$CE$3,"="&amp;$DF34+'Model Setup'!$F$7,$AD34:$BA34)+'Model Setup'!$F$8*(SUMIF($BH$3:$CE$3,"&lt;"&amp;$DF34,$AD34:$BA34)+SUMIF($BH$3:$CE$3,"&gt;"&amp;$CW$4,$AD34:$BA34)),
IF(BP$3=$DF34+'Model Setup'!$G$7,SUMIF($BH$3:$CE$3,"="&amp;$DF34+'Model Setup'!$G$7,$AD34:$BA34)+'Model Setup'!$G$8*(SUMIF($BH$3:$CE$3,"&lt;"&amp;$DF34,$AD34:$BA34)+SUMIF($BH$3:$CE$3,"&gt;"&amp;$CW$4,$AD34:$BA34)),
IF(BP$3=$DF34+'Model Setup'!$H$7,SUMIF($BH$3:$CE$3,"="&amp;$DF34+'Model Setup'!$H$7,$AD34:$BA34)+'Model Setup'!$H$8*(SUMIF($BH$3:$CE$3,"&lt;"&amp;$DF34,$AD34:$BA34)+SUMIF($BH$3:$CE$3,"&gt;"&amp;$CW$4,$AD34:$BA34)),
IF(BP$3=$DF34+'Model Setup'!$I$7,SUMIF($BH$3:$CE$3,"="&amp;$DF34+'Model Setup'!$I$7,$AD34:$BA34)+'Model Setup'!$I$8*(SUMIF($BH$3:$CE$3,"&lt;"&amp;$DF34,$AD34:$BA34)+SUMIF($BH$3:$CE$3,"&gt;"&amp;$CW$4,$AD34:$BA34)),
IF(BP$3=$DF34+'Model Setup'!$J$7,SUMIF($BH$3:$CE$3,"="&amp;$DF34+'Model Setup'!$J$7,$AD34:$BA34)+'Model Setup'!$J$8*(SUMIF($BH$3:$CE$3,"&lt;"&amp;$DF34,$AD34:$BA34)+SUMIF($BH$3:$CE$3,"&gt;"&amp;$CW$4,$AD34:$BA34)),
IF(BP$3=$DF34+'Model Setup'!$K$7,SUMIF($BH$3:$CE$3,"="&amp;$DF34+'Model Setup'!$K$7,$AD34:$BA34)+'Model Setup'!$K$8*(SUMIF($BH$3:$CE$3,"&lt;"&amp;$DF34,$AD34:$BA34)+SUMIF($BH$3:$CE$3,"&gt;"&amp;$CW$4,$AD34:$BA34)),
IF(BP$3=$DF34+'Model Setup'!$L$7,SUMIF($BH$3:$CE$3,"="&amp;$DF34+'Model Setup'!$L$7,$AD34:$BA34)+'Model Setup'!$L$8*(SUMIF($BH$3:$CE$3,"&lt;"&amp;$DF34,$AD34:$BA34)+SUMIF($BH$3:$CE$3,"&gt;"&amp;$CW$4,$AD34:$BA34)),
IF(BP$3=$DF34+'Model Setup'!$M$7,SUMIF($BH$3:$CE$3,"="&amp;$DF34+'Model Setup'!$M$7,$AD34:$BA34)+'Model Setup'!$M$8*(SUMIF($BH$3:$CE$3,"&lt;"&amp;$DF34,$AD34:$BA34)+SUMIF($BH$3:$CE$3,"&gt;"&amp;$CW$4,$AD34:$BA34)),
IF(BP$3=$DF34+'Model Setup'!$N$7,SUMIF($BH$3:$CE$3,"="&amp;$DF34+'Model Setup'!$N$7,$AD34:$BA34)+'Model Setup'!$N$8*(SUMIF($BH$3:$CE$3,"&lt;"&amp;$DF34,$AD34:$BA34)+SUMIF($BH$3:$CE$3,"&gt;"&amp;$CW$4,$AD34:$BA34)),
IF(BP$3&lt;$CW$4,J34,0))))))))))))))),0)</f>
        <v>22</v>
      </c>
      <c r="BQ34" s="47">
        <f>ROUND(IF(OR(BQ$3&lt;$DF34,BQ$3&gt;$CW$4),0,
IF(BQ$3=$DF34+'Model Setup'!$B$7,SUMIF($BH$3:$CE$3,"="&amp;$DF34+'Model Setup'!$B$7,$AD34:$BA34)+'Model Setup'!$B$8*(SUMIF($BH$3:$CE$3,"&lt;"&amp;$DF34,$AD34:$BA34)+SUMIF($BH$3:$CE$3,"&gt;"&amp;$CW$4,$AD34:$BA34)),
IF(BQ$3=$DF34+'Model Setup'!$C$7,SUMIF($BH$3:$CE$3,"="&amp;$DF34+'Model Setup'!$C$7,$AD34:$BA34)+'Model Setup'!$C$8*(SUMIF($BH$3:$CE$3,"&lt;"&amp;$DF34,$AD34:$BA34)+SUMIF($BH$3:$CE$3,"&gt;"&amp;$CW$4,$AD34:$BA34)),
IF(BQ$3=$DF34+'Model Setup'!$D$7,SUMIF($BH$3:$CE$3,"="&amp;$DF34+'Model Setup'!$D$7,$AD34:$BA34)+'Model Setup'!$D$8*(SUMIF($BH$3:$CE$3,"&lt;"&amp;$DF34,$AD34:$BA34)+SUMIF($BH$3:$CE$3,"&gt;"&amp;$CW$4,$AD34:$BA34)),
IF(BQ$3=$DF34+'Model Setup'!$E$7,SUMIF($BH$3:$CE$3,"="&amp;$DF34+'Model Setup'!$E$7,$AD34:$BA34)+'Model Setup'!$E$8*(SUMIF($BH$3:$CE$3,"&lt;"&amp;$DF34,$AD34:$BA34)+SUMIF($BH$3:$CE$3,"&gt;"&amp;$CW$4,$AD34:$BA34)),
IF(BQ$3=$DF34+'Model Setup'!$F$7,SUMIF($BH$3:$CE$3,"="&amp;$DF34+'Model Setup'!$F$7,$AD34:$BA34)+'Model Setup'!$F$8*(SUMIF($BH$3:$CE$3,"&lt;"&amp;$DF34,$AD34:$BA34)+SUMIF($BH$3:$CE$3,"&gt;"&amp;$CW$4,$AD34:$BA34)),
IF(BQ$3=$DF34+'Model Setup'!$G$7,SUMIF($BH$3:$CE$3,"="&amp;$DF34+'Model Setup'!$G$7,$AD34:$BA34)+'Model Setup'!$G$8*(SUMIF($BH$3:$CE$3,"&lt;"&amp;$DF34,$AD34:$BA34)+SUMIF($BH$3:$CE$3,"&gt;"&amp;$CW$4,$AD34:$BA34)),
IF(BQ$3=$DF34+'Model Setup'!$H$7,SUMIF($BH$3:$CE$3,"="&amp;$DF34+'Model Setup'!$H$7,$AD34:$BA34)+'Model Setup'!$H$8*(SUMIF($BH$3:$CE$3,"&lt;"&amp;$DF34,$AD34:$BA34)+SUMIF($BH$3:$CE$3,"&gt;"&amp;$CW$4,$AD34:$BA34)),
IF(BQ$3=$DF34+'Model Setup'!$I$7,SUMIF($BH$3:$CE$3,"="&amp;$DF34+'Model Setup'!$I$7,$AD34:$BA34)+'Model Setup'!$I$8*(SUMIF($BH$3:$CE$3,"&lt;"&amp;$DF34,$AD34:$BA34)+SUMIF($BH$3:$CE$3,"&gt;"&amp;$CW$4,$AD34:$BA34)),
IF(BQ$3=$DF34+'Model Setup'!$J$7,SUMIF($BH$3:$CE$3,"="&amp;$DF34+'Model Setup'!$J$7,$AD34:$BA34)+'Model Setup'!$J$8*(SUMIF($BH$3:$CE$3,"&lt;"&amp;$DF34,$AD34:$BA34)+SUMIF($BH$3:$CE$3,"&gt;"&amp;$CW$4,$AD34:$BA34)),
IF(BQ$3=$DF34+'Model Setup'!$K$7,SUMIF($BH$3:$CE$3,"="&amp;$DF34+'Model Setup'!$K$7,$AD34:$BA34)+'Model Setup'!$K$8*(SUMIF($BH$3:$CE$3,"&lt;"&amp;$DF34,$AD34:$BA34)+SUMIF($BH$3:$CE$3,"&gt;"&amp;$CW$4,$AD34:$BA34)),
IF(BQ$3=$DF34+'Model Setup'!$L$7,SUMIF($BH$3:$CE$3,"="&amp;$DF34+'Model Setup'!$L$7,$AD34:$BA34)+'Model Setup'!$L$8*(SUMIF($BH$3:$CE$3,"&lt;"&amp;$DF34,$AD34:$BA34)+SUMIF($BH$3:$CE$3,"&gt;"&amp;$CW$4,$AD34:$BA34)),
IF(BQ$3=$DF34+'Model Setup'!$M$7,SUMIF($BH$3:$CE$3,"="&amp;$DF34+'Model Setup'!$M$7,$AD34:$BA34)+'Model Setup'!$M$8*(SUMIF($BH$3:$CE$3,"&lt;"&amp;$DF34,$AD34:$BA34)+SUMIF($BH$3:$CE$3,"&gt;"&amp;$CW$4,$AD34:$BA34)),
IF(BQ$3=$DF34+'Model Setup'!$N$7,SUMIF($BH$3:$CE$3,"="&amp;$DF34+'Model Setup'!$N$7,$AD34:$BA34)+'Model Setup'!$N$8*(SUMIF($BH$3:$CE$3,"&lt;"&amp;$DF34,$AD34:$BA34)+SUMIF($BH$3:$CE$3,"&gt;"&amp;$CW$4,$AD34:$BA34)),
IF(BQ$3&lt;$CW$4,K34,0))))))))))))))),0)</f>
        <v>19</v>
      </c>
      <c r="BR34" s="47">
        <f>ROUND(IF(OR(BR$3&lt;$DF34,BR$3&gt;$CW$4),0,
IF(BR$3=$DF34+'Model Setup'!$B$7,SUMIF($BH$3:$CE$3,"="&amp;$DF34+'Model Setup'!$B$7,$AD34:$BA34)+'Model Setup'!$B$8*(SUMIF($BH$3:$CE$3,"&lt;"&amp;$DF34,$AD34:$BA34)+SUMIF($BH$3:$CE$3,"&gt;"&amp;$CW$4,$AD34:$BA34)),
IF(BR$3=$DF34+'Model Setup'!$C$7,SUMIF($BH$3:$CE$3,"="&amp;$DF34+'Model Setup'!$C$7,$AD34:$BA34)+'Model Setup'!$C$8*(SUMIF($BH$3:$CE$3,"&lt;"&amp;$DF34,$AD34:$BA34)+SUMIF($BH$3:$CE$3,"&gt;"&amp;$CW$4,$AD34:$BA34)),
IF(BR$3=$DF34+'Model Setup'!$D$7,SUMIF($BH$3:$CE$3,"="&amp;$DF34+'Model Setup'!$D$7,$AD34:$BA34)+'Model Setup'!$D$8*(SUMIF($BH$3:$CE$3,"&lt;"&amp;$DF34,$AD34:$BA34)+SUMIF($BH$3:$CE$3,"&gt;"&amp;$CW$4,$AD34:$BA34)),
IF(BR$3=$DF34+'Model Setup'!$E$7,SUMIF($BH$3:$CE$3,"="&amp;$DF34+'Model Setup'!$E$7,$AD34:$BA34)+'Model Setup'!$E$8*(SUMIF($BH$3:$CE$3,"&lt;"&amp;$DF34,$AD34:$BA34)+SUMIF($BH$3:$CE$3,"&gt;"&amp;$CW$4,$AD34:$BA34)),
IF(BR$3=$DF34+'Model Setup'!$F$7,SUMIF($BH$3:$CE$3,"="&amp;$DF34+'Model Setup'!$F$7,$AD34:$BA34)+'Model Setup'!$F$8*(SUMIF($BH$3:$CE$3,"&lt;"&amp;$DF34,$AD34:$BA34)+SUMIF($BH$3:$CE$3,"&gt;"&amp;$CW$4,$AD34:$BA34)),
IF(BR$3=$DF34+'Model Setup'!$G$7,SUMIF($BH$3:$CE$3,"="&amp;$DF34+'Model Setup'!$G$7,$AD34:$BA34)+'Model Setup'!$G$8*(SUMIF($BH$3:$CE$3,"&lt;"&amp;$DF34,$AD34:$BA34)+SUMIF($BH$3:$CE$3,"&gt;"&amp;$CW$4,$AD34:$BA34)),
IF(BR$3=$DF34+'Model Setup'!$H$7,SUMIF($BH$3:$CE$3,"="&amp;$DF34+'Model Setup'!$H$7,$AD34:$BA34)+'Model Setup'!$H$8*(SUMIF($BH$3:$CE$3,"&lt;"&amp;$DF34,$AD34:$BA34)+SUMIF($BH$3:$CE$3,"&gt;"&amp;$CW$4,$AD34:$BA34)),
IF(BR$3=$DF34+'Model Setup'!$I$7,SUMIF($BH$3:$CE$3,"="&amp;$DF34+'Model Setup'!$I$7,$AD34:$BA34)+'Model Setup'!$I$8*(SUMIF($BH$3:$CE$3,"&lt;"&amp;$DF34,$AD34:$BA34)+SUMIF($BH$3:$CE$3,"&gt;"&amp;$CW$4,$AD34:$BA34)),
IF(BR$3=$DF34+'Model Setup'!$J$7,SUMIF($BH$3:$CE$3,"="&amp;$DF34+'Model Setup'!$J$7,$AD34:$BA34)+'Model Setup'!$J$8*(SUMIF($BH$3:$CE$3,"&lt;"&amp;$DF34,$AD34:$BA34)+SUMIF($BH$3:$CE$3,"&gt;"&amp;$CW$4,$AD34:$BA34)),
IF(BR$3=$DF34+'Model Setup'!$K$7,SUMIF($BH$3:$CE$3,"="&amp;$DF34+'Model Setup'!$K$7,$AD34:$BA34)+'Model Setup'!$K$8*(SUMIF($BH$3:$CE$3,"&lt;"&amp;$DF34,$AD34:$BA34)+SUMIF($BH$3:$CE$3,"&gt;"&amp;$CW$4,$AD34:$BA34)),
IF(BR$3=$DF34+'Model Setup'!$L$7,SUMIF($BH$3:$CE$3,"="&amp;$DF34+'Model Setup'!$L$7,$AD34:$BA34)+'Model Setup'!$L$8*(SUMIF($BH$3:$CE$3,"&lt;"&amp;$DF34,$AD34:$BA34)+SUMIF($BH$3:$CE$3,"&gt;"&amp;$CW$4,$AD34:$BA34)),
IF(BR$3=$DF34+'Model Setup'!$M$7,SUMIF($BH$3:$CE$3,"="&amp;$DF34+'Model Setup'!$M$7,$AD34:$BA34)+'Model Setup'!$M$8*(SUMIF($BH$3:$CE$3,"&lt;"&amp;$DF34,$AD34:$BA34)+SUMIF($BH$3:$CE$3,"&gt;"&amp;$CW$4,$AD34:$BA34)),
IF(BR$3=$DF34+'Model Setup'!$N$7,SUMIF($BH$3:$CE$3,"="&amp;$DF34+'Model Setup'!$N$7,$AD34:$BA34)+'Model Setup'!$N$8*(SUMIF($BH$3:$CE$3,"&lt;"&amp;$DF34,$AD34:$BA34)+SUMIF($BH$3:$CE$3,"&gt;"&amp;$CW$4,$AD34:$BA34)),
IF(BR$3&lt;$CW$4,L34,0))))))))))))))),0)</f>
        <v>31</v>
      </c>
      <c r="BS34" s="47">
        <f>ROUND(IF(OR(BS$3&lt;$DF34,BS$3&gt;$CW$4),0,
IF(BS$3=$DF34+'Model Setup'!$B$7,SUMIF($BH$3:$CE$3,"="&amp;$DF34+'Model Setup'!$B$7,$AD34:$BA34)+'Model Setup'!$B$8*(SUMIF($BH$3:$CE$3,"&lt;"&amp;$DF34,$AD34:$BA34)+SUMIF($BH$3:$CE$3,"&gt;"&amp;$CW$4,$AD34:$BA34)),
IF(BS$3=$DF34+'Model Setup'!$C$7,SUMIF($BH$3:$CE$3,"="&amp;$DF34+'Model Setup'!$C$7,$AD34:$BA34)+'Model Setup'!$C$8*(SUMIF($BH$3:$CE$3,"&lt;"&amp;$DF34,$AD34:$BA34)+SUMIF($BH$3:$CE$3,"&gt;"&amp;$CW$4,$AD34:$BA34)),
IF(BS$3=$DF34+'Model Setup'!$D$7,SUMIF($BH$3:$CE$3,"="&amp;$DF34+'Model Setup'!$D$7,$AD34:$BA34)+'Model Setup'!$D$8*(SUMIF($BH$3:$CE$3,"&lt;"&amp;$DF34,$AD34:$BA34)+SUMIF($BH$3:$CE$3,"&gt;"&amp;$CW$4,$AD34:$BA34)),
IF(BS$3=$DF34+'Model Setup'!$E$7,SUMIF($BH$3:$CE$3,"="&amp;$DF34+'Model Setup'!$E$7,$AD34:$BA34)+'Model Setup'!$E$8*(SUMIF($BH$3:$CE$3,"&lt;"&amp;$DF34,$AD34:$BA34)+SUMIF($BH$3:$CE$3,"&gt;"&amp;$CW$4,$AD34:$BA34)),
IF(BS$3=$DF34+'Model Setup'!$F$7,SUMIF($BH$3:$CE$3,"="&amp;$DF34+'Model Setup'!$F$7,$AD34:$BA34)+'Model Setup'!$F$8*(SUMIF($BH$3:$CE$3,"&lt;"&amp;$DF34,$AD34:$BA34)+SUMIF($BH$3:$CE$3,"&gt;"&amp;$CW$4,$AD34:$BA34)),
IF(BS$3=$DF34+'Model Setup'!$G$7,SUMIF($BH$3:$CE$3,"="&amp;$DF34+'Model Setup'!$G$7,$AD34:$BA34)+'Model Setup'!$G$8*(SUMIF($BH$3:$CE$3,"&lt;"&amp;$DF34,$AD34:$BA34)+SUMIF($BH$3:$CE$3,"&gt;"&amp;$CW$4,$AD34:$BA34)),
IF(BS$3=$DF34+'Model Setup'!$H$7,SUMIF($BH$3:$CE$3,"="&amp;$DF34+'Model Setup'!$H$7,$AD34:$BA34)+'Model Setup'!$H$8*(SUMIF($BH$3:$CE$3,"&lt;"&amp;$DF34,$AD34:$BA34)+SUMIF($BH$3:$CE$3,"&gt;"&amp;$CW$4,$AD34:$BA34)),
IF(BS$3=$DF34+'Model Setup'!$I$7,SUMIF($BH$3:$CE$3,"="&amp;$DF34+'Model Setup'!$I$7,$AD34:$BA34)+'Model Setup'!$I$8*(SUMIF($BH$3:$CE$3,"&lt;"&amp;$DF34,$AD34:$BA34)+SUMIF($BH$3:$CE$3,"&gt;"&amp;$CW$4,$AD34:$BA34)),
IF(BS$3=$DF34+'Model Setup'!$J$7,SUMIF($BH$3:$CE$3,"="&amp;$DF34+'Model Setup'!$J$7,$AD34:$BA34)+'Model Setup'!$J$8*(SUMIF($BH$3:$CE$3,"&lt;"&amp;$DF34,$AD34:$BA34)+SUMIF($BH$3:$CE$3,"&gt;"&amp;$CW$4,$AD34:$BA34)),
IF(BS$3=$DF34+'Model Setup'!$K$7,SUMIF($BH$3:$CE$3,"="&amp;$DF34+'Model Setup'!$K$7,$AD34:$BA34)+'Model Setup'!$K$8*(SUMIF($BH$3:$CE$3,"&lt;"&amp;$DF34,$AD34:$BA34)+SUMIF($BH$3:$CE$3,"&gt;"&amp;$CW$4,$AD34:$BA34)),
IF(BS$3=$DF34+'Model Setup'!$L$7,SUMIF($BH$3:$CE$3,"="&amp;$DF34+'Model Setup'!$L$7,$AD34:$BA34)+'Model Setup'!$L$8*(SUMIF($BH$3:$CE$3,"&lt;"&amp;$DF34,$AD34:$BA34)+SUMIF($BH$3:$CE$3,"&gt;"&amp;$CW$4,$AD34:$BA34)),
IF(BS$3=$DF34+'Model Setup'!$M$7,SUMIF($BH$3:$CE$3,"="&amp;$DF34+'Model Setup'!$M$7,$AD34:$BA34)+'Model Setup'!$M$8*(SUMIF($BH$3:$CE$3,"&lt;"&amp;$DF34,$AD34:$BA34)+SUMIF($BH$3:$CE$3,"&gt;"&amp;$CW$4,$AD34:$BA34)),
IF(BS$3=$DF34+'Model Setup'!$N$7,SUMIF($BH$3:$CE$3,"="&amp;$DF34+'Model Setup'!$N$7,$AD34:$BA34)+'Model Setup'!$N$8*(SUMIF($BH$3:$CE$3,"&lt;"&amp;$DF34,$AD34:$BA34)+SUMIF($BH$3:$CE$3,"&gt;"&amp;$CW$4,$AD34:$BA34)),
IF(BS$3&lt;$CW$4,M34,0))))))))))))))),0)</f>
        <v>12</v>
      </c>
      <c r="BT34" s="47">
        <f>ROUND(IF(OR(BT$3&lt;$DF34,BT$3&gt;$CW$4),0,
IF(BT$3=$DF34+'Model Setup'!$B$7,SUMIF($BH$3:$CE$3,"="&amp;$DF34+'Model Setup'!$B$7,$AD34:$BA34)+'Model Setup'!$B$8*(SUMIF($BH$3:$CE$3,"&lt;"&amp;$DF34,$AD34:$BA34)+SUMIF($BH$3:$CE$3,"&gt;"&amp;$CW$4,$AD34:$BA34)),
IF(BT$3=$DF34+'Model Setup'!$C$7,SUMIF($BH$3:$CE$3,"="&amp;$DF34+'Model Setup'!$C$7,$AD34:$BA34)+'Model Setup'!$C$8*(SUMIF($BH$3:$CE$3,"&lt;"&amp;$DF34,$AD34:$BA34)+SUMIF($BH$3:$CE$3,"&gt;"&amp;$CW$4,$AD34:$BA34)),
IF(BT$3=$DF34+'Model Setup'!$D$7,SUMIF($BH$3:$CE$3,"="&amp;$DF34+'Model Setup'!$D$7,$AD34:$BA34)+'Model Setup'!$D$8*(SUMIF($BH$3:$CE$3,"&lt;"&amp;$DF34,$AD34:$BA34)+SUMIF($BH$3:$CE$3,"&gt;"&amp;$CW$4,$AD34:$BA34)),
IF(BT$3=$DF34+'Model Setup'!$E$7,SUMIF($BH$3:$CE$3,"="&amp;$DF34+'Model Setup'!$E$7,$AD34:$BA34)+'Model Setup'!$E$8*(SUMIF($BH$3:$CE$3,"&lt;"&amp;$DF34,$AD34:$BA34)+SUMIF($BH$3:$CE$3,"&gt;"&amp;$CW$4,$AD34:$BA34)),
IF(BT$3=$DF34+'Model Setup'!$F$7,SUMIF($BH$3:$CE$3,"="&amp;$DF34+'Model Setup'!$F$7,$AD34:$BA34)+'Model Setup'!$F$8*(SUMIF($BH$3:$CE$3,"&lt;"&amp;$DF34,$AD34:$BA34)+SUMIF($BH$3:$CE$3,"&gt;"&amp;$CW$4,$AD34:$BA34)),
IF(BT$3=$DF34+'Model Setup'!$G$7,SUMIF($BH$3:$CE$3,"="&amp;$DF34+'Model Setup'!$G$7,$AD34:$BA34)+'Model Setup'!$G$8*(SUMIF($BH$3:$CE$3,"&lt;"&amp;$DF34,$AD34:$BA34)+SUMIF($BH$3:$CE$3,"&gt;"&amp;$CW$4,$AD34:$BA34)),
IF(BT$3=$DF34+'Model Setup'!$H$7,SUMIF($BH$3:$CE$3,"="&amp;$DF34+'Model Setup'!$H$7,$AD34:$BA34)+'Model Setup'!$H$8*(SUMIF($BH$3:$CE$3,"&lt;"&amp;$DF34,$AD34:$BA34)+SUMIF($BH$3:$CE$3,"&gt;"&amp;$CW$4,$AD34:$BA34)),
IF(BT$3=$DF34+'Model Setup'!$I$7,SUMIF($BH$3:$CE$3,"="&amp;$DF34+'Model Setup'!$I$7,$AD34:$BA34)+'Model Setup'!$I$8*(SUMIF($BH$3:$CE$3,"&lt;"&amp;$DF34,$AD34:$BA34)+SUMIF($BH$3:$CE$3,"&gt;"&amp;$CW$4,$AD34:$BA34)),
IF(BT$3=$DF34+'Model Setup'!$J$7,SUMIF($BH$3:$CE$3,"="&amp;$DF34+'Model Setup'!$J$7,$AD34:$BA34)+'Model Setup'!$J$8*(SUMIF($BH$3:$CE$3,"&lt;"&amp;$DF34,$AD34:$BA34)+SUMIF($BH$3:$CE$3,"&gt;"&amp;$CW$4,$AD34:$BA34)),
IF(BT$3=$DF34+'Model Setup'!$K$7,SUMIF($BH$3:$CE$3,"="&amp;$DF34+'Model Setup'!$K$7,$AD34:$BA34)+'Model Setup'!$K$8*(SUMIF($BH$3:$CE$3,"&lt;"&amp;$DF34,$AD34:$BA34)+SUMIF($BH$3:$CE$3,"&gt;"&amp;$CW$4,$AD34:$BA34)),
IF(BT$3=$DF34+'Model Setup'!$L$7,SUMIF($BH$3:$CE$3,"="&amp;$DF34+'Model Setup'!$L$7,$AD34:$BA34)+'Model Setup'!$L$8*(SUMIF($BH$3:$CE$3,"&lt;"&amp;$DF34,$AD34:$BA34)+SUMIF($BH$3:$CE$3,"&gt;"&amp;$CW$4,$AD34:$BA34)),
IF(BT$3=$DF34+'Model Setup'!$M$7,SUMIF($BH$3:$CE$3,"="&amp;$DF34+'Model Setup'!$M$7,$AD34:$BA34)+'Model Setup'!$M$8*(SUMIF($BH$3:$CE$3,"&lt;"&amp;$DF34,$AD34:$BA34)+SUMIF($BH$3:$CE$3,"&gt;"&amp;$CW$4,$AD34:$BA34)),
IF(BT$3=$DF34+'Model Setup'!$N$7,SUMIF($BH$3:$CE$3,"="&amp;$DF34+'Model Setup'!$N$7,$AD34:$BA34)+'Model Setup'!$N$8*(SUMIF($BH$3:$CE$3,"&lt;"&amp;$DF34,$AD34:$BA34)+SUMIF($BH$3:$CE$3,"&gt;"&amp;$CW$4,$AD34:$BA34)),
IF(BT$3&lt;$CW$4,N34,0))))))))))))))),0)</f>
        <v>13</v>
      </c>
      <c r="BU34" s="47">
        <f>ROUND(IF(OR(BU$3&lt;$DF34,BU$3&gt;$CW$4),0,
IF(BU$3=$DF34+'Model Setup'!$B$7,SUMIF($BH$3:$CE$3,"="&amp;$DF34+'Model Setup'!$B$7,$AD34:$BA34)+'Model Setup'!$B$8*(SUMIF($BH$3:$CE$3,"&lt;"&amp;$DF34,$AD34:$BA34)+SUMIF($BH$3:$CE$3,"&gt;"&amp;$CW$4,$AD34:$BA34)),
IF(BU$3=$DF34+'Model Setup'!$C$7,SUMIF($BH$3:$CE$3,"="&amp;$DF34+'Model Setup'!$C$7,$AD34:$BA34)+'Model Setup'!$C$8*(SUMIF($BH$3:$CE$3,"&lt;"&amp;$DF34,$AD34:$BA34)+SUMIF($BH$3:$CE$3,"&gt;"&amp;$CW$4,$AD34:$BA34)),
IF(BU$3=$DF34+'Model Setup'!$D$7,SUMIF($BH$3:$CE$3,"="&amp;$DF34+'Model Setup'!$D$7,$AD34:$BA34)+'Model Setup'!$D$8*(SUMIF($BH$3:$CE$3,"&lt;"&amp;$DF34,$AD34:$BA34)+SUMIF($BH$3:$CE$3,"&gt;"&amp;$CW$4,$AD34:$BA34)),
IF(BU$3=$DF34+'Model Setup'!$E$7,SUMIF($BH$3:$CE$3,"="&amp;$DF34+'Model Setup'!$E$7,$AD34:$BA34)+'Model Setup'!$E$8*(SUMIF($BH$3:$CE$3,"&lt;"&amp;$DF34,$AD34:$BA34)+SUMIF($BH$3:$CE$3,"&gt;"&amp;$CW$4,$AD34:$BA34)),
IF(BU$3=$DF34+'Model Setup'!$F$7,SUMIF($BH$3:$CE$3,"="&amp;$DF34+'Model Setup'!$F$7,$AD34:$BA34)+'Model Setup'!$F$8*(SUMIF($BH$3:$CE$3,"&lt;"&amp;$DF34,$AD34:$BA34)+SUMIF($BH$3:$CE$3,"&gt;"&amp;$CW$4,$AD34:$BA34)),
IF(BU$3=$DF34+'Model Setup'!$G$7,SUMIF($BH$3:$CE$3,"="&amp;$DF34+'Model Setup'!$G$7,$AD34:$BA34)+'Model Setup'!$G$8*(SUMIF($BH$3:$CE$3,"&lt;"&amp;$DF34,$AD34:$BA34)+SUMIF($BH$3:$CE$3,"&gt;"&amp;$CW$4,$AD34:$BA34)),
IF(BU$3=$DF34+'Model Setup'!$H$7,SUMIF($BH$3:$CE$3,"="&amp;$DF34+'Model Setup'!$H$7,$AD34:$BA34)+'Model Setup'!$H$8*(SUMIF($BH$3:$CE$3,"&lt;"&amp;$DF34,$AD34:$BA34)+SUMIF($BH$3:$CE$3,"&gt;"&amp;$CW$4,$AD34:$BA34)),
IF(BU$3=$DF34+'Model Setup'!$I$7,SUMIF($BH$3:$CE$3,"="&amp;$DF34+'Model Setup'!$I$7,$AD34:$BA34)+'Model Setup'!$I$8*(SUMIF($BH$3:$CE$3,"&lt;"&amp;$DF34,$AD34:$BA34)+SUMIF($BH$3:$CE$3,"&gt;"&amp;$CW$4,$AD34:$BA34)),
IF(BU$3=$DF34+'Model Setup'!$J$7,SUMIF($BH$3:$CE$3,"="&amp;$DF34+'Model Setup'!$J$7,$AD34:$BA34)+'Model Setup'!$J$8*(SUMIF($BH$3:$CE$3,"&lt;"&amp;$DF34,$AD34:$BA34)+SUMIF($BH$3:$CE$3,"&gt;"&amp;$CW$4,$AD34:$BA34)),
IF(BU$3=$DF34+'Model Setup'!$K$7,SUMIF($BH$3:$CE$3,"="&amp;$DF34+'Model Setup'!$K$7,$AD34:$BA34)+'Model Setup'!$K$8*(SUMIF($BH$3:$CE$3,"&lt;"&amp;$DF34,$AD34:$BA34)+SUMIF($BH$3:$CE$3,"&gt;"&amp;$CW$4,$AD34:$BA34)),
IF(BU$3=$DF34+'Model Setup'!$L$7,SUMIF($BH$3:$CE$3,"="&amp;$DF34+'Model Setup'!$L$7,$AD34:$BA34)+'Model Setup'!$L$8*(SUMIF($BH$3:$CE$3,"&lt;"&amp;$DF34,$AD34:$BA34)+SUMIF($BH$3:$CE$3,"&gt;"&amp;$CW$4,$AD34:$BA34)),
IF(BU$3=$DF34+'Model Setup'!$M$7,SUMIF($BH$3:$CE$3,"="&amp;$DF34+'Model Setup'!$M$7,$AD34:$BA34)+'Model Setup'!$M$8*(SUMIF($BH$3:$CE$3,"&lt;"&amp;$DF34,$AD34:$BA34)+SUMIF($BH$3:$CE$3,"&gt;"&amp;$CW$4,$AD34:$BA34)),
IF(BU$3=$DF34+'Model Setup'!$N$7,SUMIF($BH$3:$CE$3,"="&amp;$DF34+'Model Setup'!$N$7,$AD34:$BA34)+'Model Setup'!$N$8*(SUMIF($BH$3:$CE$3,"&lt;"&amp;$DF34,$AD34:$BA34)+SUMIF($BH$3:$CE$3,"&gt;"&amp;$CW$4,$AD34:$BA34)),
IF(BU$3&lt;$CW$4,O34,0))))))))))))))),0)</f>
        <v>12</v>
      </c>
      <c r="BV34" s="47">
        <f>ROUND(IF(OR(BV$3&lt;$DF34,BV$3&gt;$CW$4),0,
IF(BV$3=$DF34+'Model Setup'!$B$7,SUMIF($BH$3:$CE$3,"="&amp;$DF34+'Model Setup'!$B$7,$AD34:$BA34)+'Model Setup'!$B$8*(SUMIF($BH$3:$CE$3,"&lt;"&amp;$DF34,$AD34:$BA34)+SUMIF($BH$3:$CE$3,"&gt;"&amp;$CW$4,$AD34:$BA34)),
IF(BV$3=$DF34+'Model Setup'!$C$7,SUMIF($BH$3:$CE$3,"="&amp;$DF34+'Model Setup'!$C$7,$AD34:$BA34)+'Model Setup'!$C$8*(SUMIF($BH$3:$CE$3,"&lt;"&amp;$DF34,$AD34:$BA34)+SUMIF($BH$3:$CE$3,"&gt;"&amp;$CW$4,$AD34:$BA34)),
IF(BV$3=$DF34+'Model Setup'!$D$7,SUMIF($BH$3:$CE$3,"="&amp;$DF34+'Model Setup'!$D$7,$AD34:$BA34)+'Model Setup'!$D$8*(SUMIF($BH$3:$CE$3,"&lt;"&amp;$DF34,$AD34:$BA34)+SUMIF($BH$3:$CE$3,"&gt;"&amp;$CW$4,$AD34:$BA34)),
IF(BV$3=$DF34+'Model Setup'!$E$7,SUMIF($BH$3:$CE$3,"="&amp;$DF34+'Model Setup'!$E$7,$AD34:$BA34)+'Model Setup'!$E$8*(SUMIF($BH$3:$CE$3,"&lt;"&amp;$DF34,$AD34:$BA34)+SUMIF($BH$3:$CE$3,"&gt;"&amp;$CW$4,$AD34:$BA34)),
IF(BV$3=$DF34+'Model Setup'!$F$7,SUMIF($BH$3:$CE$3,"="&amp;$DF34+'Model Setup'!$F$7,$AD34:$BA34)+'Model Setup'!$F$8*(SUMIF($BH$3:$CE$3,"&lt;"&amp;$DF34,$AD34:$BA34)+SUMIF($BH$3:$CE$3,"&gt;"&amp;$CW$4,$AD34:$BA34)),
IF(BV$3=$DF34+'Model Setup'!$G$7,SUMIF($BH$3:$CE$3,"="&amp;$DF34+'Model Setup'!$G$7,$AD34:$BA34)+'Model Setup'!$G$8*(SUMIF($BH$3:$CE$3,"&lt;"&amp;$DF34,$AD34:$BA34)+SUMIF($BH$3:$CE$3,"&gt;"&amp;$CW$4,$AD34:$BA34)),
IF(BV$3=$DF34+'Model Setup'!$H$7,SUMIF($BH$3:$CE$3,"="&amp;$DF34+'Model Setup'!$H$7,$AD34:$BA34)+'Model Setup'!$H$8*(SUMIF($BH$3:$CE$3,"&lt;"&amp;$DF34,$AD34:$BA34)+SUMIF($BH$3:$CE$3,"&gt;"&amp;$CW$4,$AD34:$BA34)),
IF(BV$3=$DF34+'Model Setup'!$I$7,SUMIF($BH$3:$CE$3,"="&amp;$DF34+'Model Setup'!$I$7,$AD34:$BA34)+'Model Setup'!$I$8*(SUMIF($BH$3:$CE$3,"&lt;"&amp;$DF34,$AD34:$BA34)+SUMIF($BH$3:$CE$3,"&gt;"&amp;$CW$4,$AD34:$BA34)),
IF(BV$3=$DF34+'Model Setup'!$J$7,SUMIF($BH$3:$CE$3,"="&amp;$DF34+'Model Setup'!$J$7,$AD34:$BA34)+'Model Setup'!$J$8*(SUMIF($BH$3:$CE$3,"&lt;"&amp;$DF34,$AD34:$BA34)+SUMIF($BH$3:$CE$3,"&gt;"&amp;$CW$4,$AD34:$BA34)),
IF(BV$3=$DF34+'Model Setup'!$K$7,SUMIF($BH$3:$CE$3,"="&amp;$DF34+'Model Setup'!$K$7,$AD34:$BA34)+'Model Setup'!$K$8*(SUMIF($BH$3:$CE$3,"&lt;"&amp;$DF34,$AD34:$BA34)+SUMIF($BH$3:$CE$3,"&gt;"&amp;$CW$4,$AD34:$BA34)),
IF(BV$3=$DF34+'Model Setup'!$L$7,SUMIF($BH$3:$CE$3,"="&amp;$DF34+'Model Setup'!$L$7,$AD34:$BA34)+'Model Setup'!$L$8*(SUMIF($BH$3:$CE$3,"&lt;"&amp;$DF34,$AD34:$BA34)+SUMIF($BH$3:$CE$3,"&gt;"&amp;$CW$4,$AD34:$BA34)),
IF(BV$3=$DF34+'Model Setup'!$M$7,SUMIF($BH$3:$CE$3,"="&amp;$DF34+'Model Setup'!$M$7,$AD34:$BA34)+'Model Setup'!$M$8*(SUMIF($BH$3:$CE$3,"&lt;"&amp;$DF34,$AD34:$BA34)+SUMIF($BH$3:$CE$3,"&gt;"&amp;$CW$4,$AD34:$BA34)),
IF(BV$3=$DF34+'Model Setup'!$N$7,SUMIF($BH$3:$CE$3,"="&amp;$DF34+'Model Setup'!$N$7,$AD34:$BA34)+'Model Setup'!$N$8*(SUMIF($BH$3:$CE$3,"&lt;"&amp;$DF34,$AD34:$BA34)+SUMIF($BH$3:$CE$3,"&gt;"&amp;$CW$4,$AD34:$BA34)),
IF(BV$3&lt;$CW$4,P34,0))))))))))))))),0)</f>
        <v>11</v>
      </c>
      <c r="BW34" s="47">
        <f>ROUND(IF(OR(BW$3&lt;$DF34,BW$3&gt;$CW$4),0,
IF(BW$3=$DF34+'Model Setup'!$B$7,SUMIF($BH$3:$CE$3,"="&amp;$DF34+'Model Setup'!$B$7,$AD34:$BA34)+'Model Setup'!$B$8*(SUMIF($BH$3:$CE$3,"&lt;"&amp;$DF34,$AD34:$BA34)+SUMIF($BH$3:$CE$3,"&gt;"&amp;$CW$4,$AD34:$BA34)),
IF(BW$3=$DF34+'Model Setup'!$C$7,SUMIF($BH$3:$CE$3,"="&amp;$DF34+'Model Setup'!$C$7,$AD34:$BA34)+'Model Setup'!$C$8*(SUMIF($BH$3:$CE$3,"&lt;"&amp;$DF34,$AD34:$BA34)+SUMIF($BH$3:$CE$3,"&gt;"&amp;$CW$4,$AD34:$BA34)),
IF(BW$3=$DF34+'Model Setup'!$D$7,SUMIF($BH$3:$CE$3,"="&amp;$DF34+'Model Setup'!$D$7,$AD34:$BA34)+'Model Setup'!$D$8*(SUMIF($BH$3:$CE$3,"&lt;"&amp;$DF34,$AD34:$BA34)+SUMIF($BH$3:$CE$3,"&gt;"&amp;$CW$4,$AD34:$BA34)),
IF(BW$3=$DF34+'Model Setup'!$E$7,SUMIF($BH$3:$CE$3,"="&amp;$DF34+'Model Setup'!$E$7,$AD34:$BA34)+'Model Setup'!$E$8*(SUMIF($BH$3:$CE$3,"&lt;"&amp;$DF34,$AD34:$BA34)+SUMIF($BH$3:$CE$3,"&gt;"&amp;$CW$4,$AD34:$BA34)),
IF(BW$3=$DF34+'Model Setup'!$F$7,SUMIF($BH$3:$CE$3,"="&amp;$DF34+'Model Setup'!$F$7,$AD34:$BA34)+'Model Setup'!$F$8*(SUMIF($BH$3:$CE$3,"&lt;"&amp;$DF34,$AD34:$BA34)+SUMIF($BH$3:$CE$3,"&gt;"&amp;$CW$4,$AD34:$BA34)),
IF(BW$3=$DF34+'Model Setup'!$G$7,SUMIF($BH$3:$CE$3,"="&amp;$DF34+'Model Setup'!$G$7,$AD34:$BA34)+'Model Setup'!$G$8*(SUMIF($BH$3:$CE$3,"&lt;"&amp;$DF34,$AD34:$BA34)+SUMIF($BH$3:$CE$3,"&gt;"&amp;$CW$4,$AD34:$BA34)),
IF(BW$3=$DF34+'Model Setup'!$H$7,SUMIF($BH$3:$CE$3,"="&amp;$DF34+'Model Setup'!$H$7,$AD34:$BA34)+'Model Setup'!$H$8*(SUMIF($BH$3:$CE$3,"&lt;"&amp;$DF34,$AD34:$BA34)+SUMIF($BH$3:$CE$3,"&gt;"&amp;$CW$4,$AD34:$BA34)),
IF(BW$3=$DF34+'Model Setup'!$I$7,SUMIF($BH$3:$CE$3,"="&amp;$DF34+'Model Setup'!$I$7,$AD34:$BA34)+'Model Setup'!$I$8*(SUMIF($BH$3:$CE$3,"&lt;"&amp;$DF34,$AD34:$BA34)+SUMIF($BH$3:$CE$3,"&gt;"&amp;$CW$4,$AD34:$BA34)),
IF(BW$3=$DF34+'Model Setup'!$J$7,SUMIF($BH$3:$CE$3,"="&amp;$DF34+'Model Setup'!$J$7,$AD34:$BA34)+'Model Setup'!$J$8*(SUMIF($BH$3:$CE$3,"&lt;"&amp;$DF34,$AD34:$BA34)+SUMIF($BH$3:$CE$3,"&gt;"&amp;$CW$4,$AD34:$BA34)),
IF(BW$3=$DF34+'Model Setup'!$K$7,SUMIF($BH$3:$CE$3,"="&amp;$DF34+'Model Setup'!$K$7,$AD34:$BA34)+'Model Setup'!$K$8*(SUMIF($BH$3:$CE$3,"&lt;"&amp;$DF34,$AD34:$BA34)+SUMIF($BH$3:$CE$3,"&gt;"&amp;$CW$4,$AD34:$BA34)),
IF(BW$3=$DF34+'Model Setup'!$L$7,SUMIF($BH$3:$CE$3,"="&amp;$DF34+'Model Setup'!$L$7,$AD34:$BA34)+'Model Setup'!$L$8*(SUMIF($BH$3:$CE$3,"&lt;"&amp;$DF34,$AD34:$BA34)+SUMIF($BH$3:$CE$3,"&gt;"&amp;$CW$4,$AD34:$BA34)),
IF(BW$3=$DF34+'Model Setup'!$M$7,SUMIF($BH$3:$CE$3,"="&amp;$DF34+'Model Setup'!$M$7,$AD34:$BA34)+'Model Setup'!$M$8*(SUMIF($BH$3:$CE$3,"&lt;"&amp;$DF34,$AD34:$BA34)+SUMIF($BH$3:$CE$3,"&gt;"&amp;$CW$4,$AD34:$BA34)),
IF(BW$3=$DF34+'Model Setup'!$N$7,SUMIF($BH$3:$CE$3,"="&amp;$DF34+'Model Setup'!$N$7,$AD34:$BA34)+'Model Setup'!$N$8*(SUMIF($BH$3:$CE$3,"&lt;"&amp;$DF34,$AD34:$BA34)+SUMIF($BH$3:$CE$3,"&gt;"&amp;$CW$4,$AD34:$BA34)),
IF(BW$3&lt;$CW$4,Q34,0))))))))))))))),0)</f>
        <v>5</v>
      </c>
      <c r="BX34" s="47">
        <f>ROUND(IF(OR(BX$3&lt;$DF34,BX$3&gt;$CW$4),0,
IF(BX$3=$DF34+'Model Setup'!$B$7,SUMIF($BH$3:$CE$3,"="&amp;$DF34+'Model Setup'!$B$7,$AD34:$BA34)+'Model Setup'!$B$8*(SUMIF($BH$3:$CE$3,"&lt;"&amp;$DF34,$AD34:$BA34)+SUMIF($BH$3:$CE$3,"&gt;"&amp;$CW$4,$AD34:$BA34)),
IF(BX$3=$DF34+'Model Setup'!$C$7,SUMIF($BH$3:$CE$3,"="&amp;$DF34+'Model Setup'!$C$7,$AD34:$BA34)+'Model Setup'!$C$8*(SUMIF($BH$3:$CE$3,"&lt;"&amp;$DF34,$AD34:$BA34)+SUMIF($BH$3:$CE$3,"&gt;"&amp;$CW$4,$AD34:$BA34)),
IF(BX$3=$DF34+'Model Setup'!$D$7,SUMIF($BH$3:$CE$3,"="&amp;$DF34+'Model Setup'!$D$7,$AD34:$BA34)+'Model Setup'!$D$8*(SUMIF($BH$3:$CE$3,"&lt;"&amp;$DF34,$AD34:$BA34)+SUMIF($BH$3:$CE$3,"&gt;"&amp;$CW$4,$AD34:$BA34)),
IF(BX$3=$DF34+'Model Setup'!$E$7,SUMIF($BH$3:$CE$3,"="&amp;$DF34+'Model Setup'!$E$7,$AD34:$BA34)+'Model Setup'!$E$8*(SUMIF($BH$3:$CE$3,"&lt;"&amp;$DF34,$AD34:$BA34)+SUMIF($BH$3:$CE$3,"&gt;"&amp;$CW$4,$AD34:$BA34)),
IF(BX$3=$DF34+'Model Setup'!$F$7,SUMIF($BH$3:$CE$3,"="&amp;$DF34+'Model Setup'!$F$7,$AD34:$BA34)+'Model Setup'!$F$8*(SUMIF($BH$3:$CE$3,"&lt;"&amp;$DF34,$AD34:$BA34)+SUMIF($BH$3:$CE$3,"&gt;"&amp;$CW$4,$AD34:$BA34)),
IF(BX$3=$DF34+'Model Setup'!$G$7,SUMIF($BH$3:$CE$3,"="&amp;$DF34+'Model Setup'!$G$7,$AD34:$BA34)+'Model Setup'!$G$8*(SUMIF($BH$3:$CE$3,"&lt;"&amp;$DF34,$AD34:$BA34)+SUMIF($BH$3:$CE$3,"&gt;"&amp;$CW$4,$AD34:$BA34)),
IF(BX$3=$DF34+'Model Setup'!$H$7,SUMIF($BH$3:$CE$3,"="&amp;$DF34+'Model Setup'!$H$7,$AD34:$BA34)+'Model Setup'!$H$8*(SUMIF($BH$3:$CE$3,"&lt;"&amp;$DF34,$AD34:$BA34)+SUMIF($BH$3:$CE$3,"&gt;"&amp;$CW$4,$AD34:$BA34)),
IF(BX$3=$DF34+'Model Setup'!$I$7,SUMIF($BH$3:$CE$3,"="&amp;$DF34+'Model Setup'!$I$7,$AD34:$BA34)+'Model Setup'!$I$8*(SUMIF($BH$3:$CE$3,"&lt;"&amp;$DF34,$AD34:$BA34)+SUMIF($BH$3:$CE$3,"&gt;"&amp;$CW$4,$AD34:$BA34)),
IF(BX$3=$DF34+'Model Setup'!$J$7,SUMIF($BH$3:$CE$3,"="&amp;$DF34+'Model Setup'!$J$7,$AD34:$BA34)+'Model Setup'!$J$8*(SUMIF($BH$3:$CE$3,"&lt;"&amp;$DF34,$AD34:$BA34)+SUMIF($BH$3:$CE$3,"&gt;"&amp;$CW$4,$AD34:$BA34)),
IF(BX$3=$DF34+'Model Setup'!$K$7,SUMIF($BH$3:$CE$3,"="&amp;$DF34+'Model Setup'!$K$7,$AD34:$BA34)+'Model Setup'!$K$8*(SUMIF($BH$3:$CE$3,"&lt;"&amp;$DF34,$AD34:$BA34)+SUMIF($BH$3:$CE$3,"&gt;"&amp;$CW$4,$AD34:$BA34)),
IF(BX$3=$DF34+'Model Setup'!$L$7,SUMIF($BH$3:$CE$3,"="&amp;$DF34+'Model Setup'!$L$7,$AD34:$BA34)+'Model Setup'!$L$8*(SUMIF($BH$3:$CE$3,"&lt;"&amp;$DF34,$AD34:$BA34)+SUMIF($BH$3:$CE$3,"&gt;"&amp;$CW$4,$AD34:$BA34)),
IF(BX$3=$DF34+'Model Setup'!$M$7,SUMIF($BH$3:$CE$3,"="&amp;$DF34+'Model Setup'!$M$7,$AD34:$BA34)+'Model Setup'!$M$8*(SUMIF($BH$3:$CE$3,"&lt;"&amp;$DF34,$AD34:$BA34)+SUMIF($BH$3:$CE$3,"&gt;"&amp;$CW$4,$AD34:$BA34)),
IF(BX$3=$DF34+'Model Setup'!$N$7,SUMIF($BH$3:$CE$3,"="&amp;$DF34+'Model Setup'!$N$7,$AD34:$BA34)+'Model Setup'!$N$8*(SUMIF($BH$3:$CE$3,"&lt;"&amp;$DF34,$AD34:$BA34)+SUMIF($BH$3:$CE$3,"&gt;"&amp;$CW$4,$AD34:$BA34)),
IF(BX$3&lt;$CW$4,R34,0))))))))))))))),0)</f>
        <v>7</v>
      </c>
      <c r="BY34" s="47">
        <f>ROUND(IF(OR(BY$3&lt;$DF34,BY$3&gt;$CW$4),0,
IF(BY$3=$DF34+'Model Setup'!$B$7,SUMIF($BH$3:$CE$3,"="&amp;$DF34+'Model Setup'!$B$7,$AD34:$BA34)+'Model Setup'!$B$8*(SUMIF($BH$3:$CE$3,"&lt;"&amp;$DF34,$AD34:$BA34)+SUMIF($BH$3:$CE$3,"&gt;"&amp;$CW$4,$AD34:$BA34)),
IF(BY$3=$DF34+'Model Setup'!$C$7,SUMIF($BH$3:$CE$3,"="&amp;$DF34+'Model Setup'!$C$7,$AD34:$BA34)+'Model Setup'!$C$8*(SUMIF($BH$3:$CE$3,"&lt;"&amp;$DF34,$AD34:$BA34)+SUMIF($BH$3:$CE$3,"&gt;"&amp;$CW$4,$AD34:$BA34)),
IF(BY$3=$DF34+'Model Setup'!$D$7,SUMIF($BH$3:$CE$3,"="&amp;$DF34+'Model Setup'!$D$7,$AD34:$BA34)+'Model Setup'!$D$8*(SUMIF($BH$3:$CE$3,"&lt;"&amp;$DF34,$AD34:$BA34)+SUMIF($BH$3:$CE$3,"&gt;"&amp;$CW$4,$AD34:$BA34)),
IF(BY$3=$DF34+'Model Setup'!$E$7,SUMIF($BH$3:$CE$3,"="&amp;$DF34+'Model Setup'!$E$7,$AD34:$BA34)+'Model Setup'!$E$8*(SUMIF($BH$3:$CE$3,"&lt;"&amp;$DF34,$AD34:$BA34)+SUMIF($BH$3:$CE$3,"&gt;"&amp;$CW$4,$AD34:$BA34)),
IF(BY$3=$DF34+'Model Setup'!$F$7,SUMIF($BH$3:$CE$3,"="&amp;$DF34+'Model Setup'!$F$7,$AD34:$BA34)+'Model Setup'!$F$8*(SUMIF($BH$3:$CE$3,"&lt;"&amp;$DF34,$AD34:$BA34)+SUMIF($BH$3:$CE$3,"&gt;"&amp;$CW$4,$AD34:$BA34)),
IF(BY$3=$DF34+'Model Setup'!$G$7,SUMIF($BH$3:$CE$3,"="&amp;$DF34+'Model Setup'!$G$7,$AD34:$BA34)+'Model Setup'!$G$8*(SUMIF($BH$3:$CE$3,"&lt;"&amp;$DF34,$AD34:$BA34)+SUMIF($BH$3:$CE$3,"&gt;"&amp;$CW$4,$AD34:$BA34)),
IF(BY$3=$DF34+'Model Setup'!$H$7,SUMIF($BH$3:$CE$3,"="&amp;$DF34+'Model Setup'!$H$7,$AD34:$BA34)+'Model Setup'!$H$8*(SUMIF($BH$3:$CE$3,"&lt;"&amp;$DF34,$AD34:$BA34)+SUMIF($BH$3:$CE$3,"&gt;"&amp;$CW$4,$AD34:$BA34)),
IF(BY$3=$DF34+'Model Setup'!$I$7,SUMIF($BH$3:$CE$3,"="&amp;$DF34+'Model Setup'!$I$7,$AD34:$BA34)+'Model Setup'!$I$8*(SUMIF($BH$3:$CE$3,"&lt;"&amp;$DF34,$AD34:$BA34)+SUMIF($BH$3:$CE$3,"&gt;"&amp;$CW$4,$AD34:$BA34)),
IF(BY$3=$DF34+'Model Setup'!$J$7,SUMIF($BH$3:$CE$3,"="&amp;$DF34+'Model Setup'!$J$7,$AD34:$BA34)+'Model Setup'!$J$8*(SUMIF($BH$3:$CE$3,"&lt;"&amp;$DF34,$AD34:$BA34)+SUMIF($BH$3:$CE$3,"&gt;"&amp;$CW$4,$AD34:$BA34)),
IF(BY$3=$DF34+'Model Setup'!$K$7,SUMIF($BH$3:$CE$3,"="&amp;$DF34+'Model Setup'!$K$7,$AD34:$BA34)+'Model Setup'!$K$8*(SUMIF($BH$3:$CE$3,"&lt;"&amp;$DF34,$AD34:$BA34)+SUMIF($BH$3:$CE$3,"&gt;"&amp;$CW$4,$AD34:$BA34)),
IF(BY$3=$DF34+'Model Setup'!$L$7,SUMIF($BH$3:$CE$3,"="&amp;$DF34+'Model Setup'!$L$7,$AD34:$BA34)+'Model Setup'!$L$8*(SUMIF($BH$3:$CE$3,"&lt;"&amp;$DF34,$AD34:$BA34)+SUMIF($BH$3:$CE$3,"&gt;"&amp;$CW$4,$AD34:$BA34)),
IF(BY$3=$DF34+'Model Setup'!$M$7,SUMIF($BH$3:$CE$3,"="&amp;$DF34+'Model Setup'!$M$7,$AD34:$BA34)+'Model Setup'!$M$8*(SUMIF($BH$3:$CE$3,"&lt;"&amp;$DF34,$AD34:$BA34)+SUMIF($BH$3:$CE$3,"&gt;"&amp;$CW$4,$AD34:$BA34)),
IF(BY$3=$DF34+'Model Setup'!$N$7,SUMIF($BH$3:$CE$3,"="&amp;$DF34+'Model Setup'!$N$7,$AD34:$BA34)+'Model Setup'!$N$8*(SUMIF($BH$3:$CE$3,"&lt;"&amp;$DF34,$AD34:$BA34)+SUMIF($BH$3:$CE$3,"&gt;"&amp;$CW$4,$AD34:$BA34)),
IF(BY$3&lt;$CW$4,S34,0))))))))))))))),0)</f>
        <v>9</v>
      </c>
      <c r="BZ34" s="47">
        <f>ROUND(IF(OR(BZ$3&lt;$DF34,BZ$3&gt;$CW$4),0,
IF(BZ$3=$DF34+'Model Setup'!$B$7,SUMIF($BH$3:$CE$3,"="&amp;$DF34+'Model Setup'!$B$7,$AD34:$BA34)+'Model Setup'!$B$8*(SUMIF($BH$3:$CE$3,"&lt;"&amp;$DF34,$AD34:$BA34)+SUMIF($BH$3:$CE$3,"&gt;"&amp;$CW$4,$AD34:$BA34)),
IF(BZ$3=$DF34+'Model Setup'!$C$7,SUMIF($BH$3:$CE$3,"="&amp;$DF34+'Model Setup'!$C$7,$AD34:$BA34)+'Model Setup'!$C$8*(SUMIF($BH$3:$CE$3,"&lt;"&amp;$DF34,$AD34:$BA34)+SUMIF($BH$3:$CE$3,"&gt;"&amp;$CW$4,$AD34:$BA34)),
IF(BZ$3=$DF34+'Model Setup'!$D$7,SUMIF($BH$3:$CE$3,"="&amp;$DF34+'Model Setup'!$D$7,$AD34:$BA34)+'Model Setup'!$D$8*(SUMIF($BH$3:$CE$3,"&lt;"&amp;$DF34,$AD34:$BA34)+SUMIF($BH$3:$CE$3,"&gt;"&amp;$CW$4,$AD34:$BA34)),
IF(BZ$3=$DF34+'Model Setup'!$E$7,SUMIF($BH$3:$CE$3,"="&amp;$DF34+'Model Setup'!$E$7,$AD34:$BA34)+'Model Setup'!$E$8*(SUMIF($BH$3:$CE$3,"&lt;"&amp;$DF34,$AD34:$BA34)+SUMIF($BH$3:$CE$3,"&gt;"&amp;$CW$4,$AD34:$BA34)),
IF(BZ$3=$DF34+'Model Setup'!$F$7,SUMIF($BH$3:$CE$3,"="&amp;$DF34+'Model Setup'!$F$7,$AD34:$BA34)+'Model Setup'!$F$8*(SUMIF($BH$3:$CE$3,"&lt;"&amp;$DF34,$AD34:$BA34)+SUMIF($BH$3:$CE$3,"&gt;"&amp;$CW$4,$AD34:$BA34)),
IF(BZ$3=$DF34+'Model Setup'!$G$7,SUMIF($BH$3:$CE$3,"="&amp;$DF34+'Model Setup'!$G$7,$AD34:$BA34)+'Model Setup'!$G$8*(SUMIF($BH$3:$CE$3,"&lt;"&amp;$DF34,$AD34:$BA34)+SUMIF($BH$3:$CE$3,"&gt;"&amp;$CW$4,$AD34:$BA34)),
IF(BZ$3=$DF34+'Model Setup'!$H$7,SUMIF($BH$3:$CE$3,"="&amp;$DF34+'Model Setup'!$H$7,$AD34:$BA34)+'Model Setup'!$H$8*(SUMIF($BH$3:$CE$3,"&lt;"&amp;$DF34,$AD34:$BA34)+SUMIF($BH$3:$CE$3,"&gt;"&amp;$CW$4,$AD34:$BA34)),
IF(BZ$3=$DF34+'Model Setup'!$I$7,SUMIF($BH$3:$CE$3,"="&amp;$DF34+'Model Setup'!$I$7,$AD34:$BA34)+'Model Setup'!$I$8*(SUMIF($BH$3:$CE$3,"&lt;"&amp;$DF34,$AD34:$BA34)+SUMIF($BH$3:$CE$3,"&gt;"&amp;$CW$4,$AD34:$BA34)),
IF(BZ$3=$DF34+'Model Setup'!$J$7,SUMIF($BH$3:$CE$3,"="&amp;$DF34+'Model Setup'!$J$7,$AD34:$BA34)+'Model Setup'!$J$8*(SUMIF($BH$3:$CE$3,"&lt;"&amp;$DF34,$AD34:$BA34)+SUMIF($BH$3:$CE$3,"&gt;"&amp;$CW$4,$AD34:$BA34)),
IF(BZ$3=$DF34+'Model Setup'!$K$7,SUMIF($BH$3:$CE$3,"="&amp;$DF34+'Model Setup'!$K$7,$AD34:$BA34)+'Model Setup'!$K$8*(SUMIF($BH$3:$CE$3,"&lt;"&amp;$DF34,$AD34:$BA34)+SUMIF($BH$3:$CE$3,"&gt;"&amp;$CW$4,$AD34:$BA34)),
IF(BZ$3=$DF34+'Model Setup'!$L$7,SUMIF($BH$3:$CE$3,"="&amp;$DF34+'Model Setup'!$L$7,$AD34:$BA34)+'Model Setup'!$L$8*(SUMIF($BH$3:$CE$3,"&lt;"&amp;$DF34,$AD34:$BA34)+SUMIF($BH$3:$CE$3,"&gt;"&amp;$CW$4,$AD34:$BA34)),
IF(BZ$3=$DF34+'Model Setup'!$M$7,SUMIF($BH$3:$CE$3,"="&amp;$DF34+'Model Setup'!$M$7,$AD34:$BA34)+'Model Setup'!$M$8*(SUMIF($BH$3:$CE$3,"&lt;"&amp;$DF34,$AD34:$BA34)+SUMIF($BH$3:$CE$3,"&gt;"&amp;$CW$4,$AD34:$BA34)),
IF(BZ$3=$DF34+'Model Setup'!$N$7,SUMIF($BH$3:$CE$3,"="&amp;$DF34+'Model Setup'!$N$7,$AD34:$BA34)+'Model Setup'!$N$8*(SUMIF($BH$3:$CE$3,"&lt;"&amp;$DF34,$AD34:$BA34)+SUMIF($BH$3:$CE$3,"&gt;"&amp;$CW$4,$AD34:$BA34)),
IF(BZ$3&lt;$CW$4,T34,0))))))))))))))),0)</f>
        <v>8</v>
      </c>
      <c r="CA34" s="47">
        <f>ROUND(IF(OR(CA$3&lt;$DF34,CA$3&gt;$CW$4),0,
IF(CA$3=$DF34+'Model Setup'!$B$7,SUMIF($BH$3:$CE$3,"="&amp;$DF34+'Model Setup'!$B$7,$AD34:$BA34)+'Model Setup'!$B$8*(SUMIF($BH$3:$CE$3,"&lt;"&amp;$DF34,$AD34:$BA34)+SUMIF($BH$3:$CE$3,"&gt;"&amp;$CW$4,$AD34:$BA34)),
IF(CA$3=$DF34+'Model Setup'!$C$7,SUMIF($BH$3:$CE$3,"="&amp;$DF34+'Model Setup'!$C$7,$AD34:$BA34)+'Model Setup'!$C$8*(SUMIF($BH$3:$CE$3,"&lt;"&amp;$DF34,$AD34:$BA34)+SUMIF($BH$3:$CE$3,"&gt;"&amp;$CW$4,$AD34:$BA34)),
IF(CA$3=$DF34+'Model Setup'!$D$7,SUMIF($BH$3:$CE$3,"="&amp;$DF34+'Model Setup'!$D$7,$AD34:$BA34)+'Model Setup'!$D$8*(SUMIF($BH$3:$CE$3,"&lt;"&amp;$DF34,$AD34:$BA34)+SUMIF($BH$3:$CE$3,"&gt;"&amp;$CW$4,$AD34:$BA34)),
IF(CA$3=$DF34+'Model Setup'!$E$7,SUMIF($BH$3:$CE$3,"="&amp;$DF34+'Model Setup'!$E$7,$AD34:$BA34)+'Model Setup'!$E$8*(SUMIF($BH$3:$CE$3,"&lt;"&amp;$DF34,$AD34:$BA34)+SUMIF($BH$3:$CE$3,"&gt;"&amp;$CW$4,$AD34:$BA34)),
IF(CA$3=$DF34+'Model Setup'!$F$7,SUMIF($BH$3:$CE$3,"="&amp;$DF34+'Model Setup'!$F$7,$AD34:$BA34)+'Model Setup'!$F$8*(SUMIF($BH$3:$CE$3,"&lt;"&amp;$DF34,$AD34:$BA34)+SUMIF($BH$3:$CE$3,"&gt;"&amp;$CW$4,$AD34:$BA34)),
IF(CA$3=$DF34+'Model Setup'!$G$7,SUMIF($BH$3:$CE$3,"="&amp;$DF34+'Model Setup'!$G$7,$AD34:$BA34)+'Model Setup'!$G$8*(SUMIF($BH$3:$CE$3,"&lt;"&amp;$DF34,$AD34:$BA34)+SUMIF($BH$3:$CE$3,"&gt;"&amp;$CW$4,$AD34:$BA34)),
IF(CA$3=$DF34+'Model Setup'!$H$7,SUMIF($BH$3:$CE$3,"="&amp;$DF34+'Model Setup'!$H$7,$AD34:$BA34)+'Model Setup'!$H$8*(SUMIF($BH$3:$CE$3,"&lt;"&amp;$DF34,$AD34:$BA34)+SUMIF($BH$3:$CE$3,"&gt;"&amp;$CW$4,$AD34:$BA34)),
IF(CA$3=$DF34+'Model Setup'!$I$7,SUMIF($BH$3:$CE$3,"="&amp;$DF34+'Model Setup'!$I$7,$AD34:$BA34)+'Model Setup'!$I$8*(SUMIF($BH$3:$CE$3,"&lt;"&amp;$DF34,$AD34:$BA34)+SUMIF($BH$3:$CE$3,"&gt;"&amp;$CW$4,$AD34:$BA34)),
IF(CA$3=$DF34+'Model Setup'!$J$7,SUMIF($BH$3:$CE$3,"="&amp;$DF34+'Model Setup'!$J$7,$AD34:$BA34)+'Model Setup'!$J$8*(SUMIF($BH$3:$CE$3,"&lt;"&amp;$DF34,$AD34:$BA34)+SUMIF($BH$3:$CE$3,"&gt;"&amp;$CW$4,$AD34:$BA34)),
IF(CA$3=$DF34+'Model Setup'!$K$7,SUMIF($BH$3:$CE$3,"="&amp;$DF34+'Model Setup'!$K$7,$AD34:$BA34)+'Model Setup'!$K$8*(SUMIF($BH$3:$CE$3,"&lt;"&amp;$DF34,$AD34:$BA34)+SUMIF($BH$3:$CE$3,"&gt;"&amp;$CW$4,$AD34:$BA34)),
IF(CA$3=$DF34+'Model Setup'!$L$7,SUMIF($BH$3:$CE$3,"="&amp;$DF34+'Model Setup'!$L$7,$AD34:$BA34)+'Model Setup'!$L$8*(SUMIF($BH$3:$CE$3,"&lt;"&amp;$DF34,$AD34:$BA34)+SUMIF($BH$3:$CE$3,"&gt;"&amp;$CW$4,$AD34:$BA34)),
IF(CA$3=$DF34+'Model Setup'!$M$7,SUMIF($BH$3:$CE$3,"="&amp;$DF34+'Model Setup'!$M$7,$AD34:$BA34)+'Model Setup'!$M$8*(SUMIF($BH$3:$CE$3,"&lt;"&amp;$DF34,$AD34:$BA34)+SUMIF($BH$3:$CE$3,"&gt;"&amp;$CW$4,$AD34:$BA34)),
IF(CA$3=$DF34+'Model Setup'!$N$7,SUMIF($BH$3:$CE$3,"="&amp;$DF34+'Model Setup'!$N$7,$AD34:$BA34)+'Model Setup'!$N$8*(SUMIF($BH$3:$CE$3,"&lt;"&amp;$DF34,$AD34:$BA34)+SUMIF($BH$3:$CE$3,"&gt;"&amp;$CW$4,$AD34:$BA34)),
IF(CA$3&lt;$CW$4,U34,0))))))))))))))),0)</f>
        <v>0</v>
      </c>
      <c r="CB34" s="47">
        <f>ROUND(IF(OR(CB$3&lt;$DF34,CB$3&gt;$CW$4),0,
IF(CB$3=$DF34+'Model Setup'!$B$7,SUMIF($BH$3:$CE$3,"="&amp;$DF34+'Model Setup'!$B$7,$AD34:$BA34)+'Model Setup'!$B$8*(SUMIF($BH$3:$CE$3,"&lt;"&amp;$DF34,$AD34:$BA34)+SUMIF($BH$3:$CE$3,"&gt;"&amp;$CW$4,$AD34:$BA34)),
IF(CB$3=$DF34+'Model Setup'!$C$7,SUMIF($BH$3:$CE$3,"="&amp;$DF34+'Model Setup'!$C$7,$AD34:$BA34)+'Model Setup'!$C$8*(SUMIF($BH$3:$CE$3,"&lt;"&amp;$DF34,$AD34:$BA34)+SUMIF($BH$3:$CE$3,"&gt;"&amp;$CW$4,$AD34:$BA34)),
IF(CB$3=$DF34+'Model Setup'!$D$7,SUMIF($BH$3:$CE$3,"="&amp;$DF34+'Model Setup'!$D$7,$AD34:$BA34)+'Model Setup'!$D$8*(SUMIF($BH$3:$CE$3,"&lt;"&amp;$DF34,$AD34:$BA34)+SUMIF($BH$3:$CE$3,"&gt;"&amp;$CW$4,$AD34:$BA34)),
IF(CB$3=$DF34+'Model Setup'!$E$7,SUMIF($BH$3:$CE$3,"="&amp;$DF34+'Model Setup'!$E$7,$AD34:$BA34)+'Model Setup'!$E$8*(SUMIF($BH$3:$CE$3,"&lt;"&amp;$DF34,$AD34:$BA34)+SUMIF($BH$3:$CE$3,"&gt;"&amp;$CW$4,$AD34:$BA34)),
IF(CB$3=$DF34+'Model Setup'!$F$7,SUMIF($BH$3:$CE$3,"="&amp;$DF34+'Model Setup'!$F$7,$AD34:$BA34)+'Model Setup'!$F$8*(SUMIF($BH$3:$CE$3,"&lt;"&amp;$DF34,$AD34:$BA34)+SUMIF($BH$3:$CE$3,"&gt;"&amp;$CW$4,$AD34:$BA34)),
IF(CB$3=$DF34+'Model Setup'!$G$7,SUMIF($BH$3:$CE$3,"="&amp;$DF34+'Model Setup'!$G$7,$AD34:$BA34)+'Model Setup'!$G$8*(SUMIF($BH$3:$CE$3,"&lt;"&amp;$DF34,$AD34:$BA34)+SUMIF($BH$3:$CE$3,"&gt;"&amp;$CW$4,$AD34:$BA34)),
IF(CB$3=$DF34+'Model Setup'!$H$7,SUMIF($BH$3:$CE$3,"="&amp;$DF34+'Model Setup'!$H$7,$AD34:$BA34)+'Model Setup'!$H$8*(SUMIF($BH$3:$CE$3,"&lt;"&amp;$DF34,$AD34:$BA34)+SUMIF($BH$3:$CE$3,"&gt;"&amp;$CW$4,$AD34:$BA34)),
IF(CB$3=$DF34+'Model Setup'!$I$7,SUMIF($BH$3:$CE$3,"="&amp;$DF34+'Model Setup'!$I$7,$AD34:$BA34)+'Model Setup'!$I$8*(SUMIF($BH$3:$CE$3,"&lt;"&amp;$DF34,$AD34:$BA34)+SUMIF($BH$3:$CE$3,"&gt;"&amp;$CW$4,$AD34:$BA34)),
IF(CB$3=$DF34+'Model Setup'!$J$7,SUMIF($BH$3:$CE$3,"="&amp;$DF34+'Model Setup'!$J$7,$AD34:$BA34)+'Model Setup'!$J$8*(SUMIF($BH$3:$CE$3,"&lt;"&amp;$DF34,$AD34:$BA34)+SUMIF($BH$3:$CE$3,"&gt;"&amp;$CW$4,$AD34:$BA34)),
IF(CB$3=$DF34+'Model Setup'!$K$7,SUMIF($BH$3:$CE$3,"="&amp;$DF34+'Model Setup'!$K$7,$AD34:$BA34)+'Model Setup'!$K$8*(SUMIF($BH$3:$CE$3,"&lt;"&amp;$DF34,$AD34:$BA34)+SUMIF($BH$3:$CE$3,"&gt;"&amp;$CW$4,$AD34:$BA34)),
IF(CB$3=$DF34+'Model Setup'!$L$7,SUMIF($BH$3:$CE$3,"="&amp;$DF34+'Model Setup'!$L$7,$AD34:$BA34)+'Model Setup'!$L$8*(SUMIF($BH$3:$CE$3,"&lt;"&amp;$DF34,$AD34:$BA34)+SUMIF($BH$3:$CE$3,"&gt;"&amp;$CW$4,$AD34:$BA34)),
IF(CB$3=$DF34+'Model Setup'!$M$7,SUMIF($BH$3:$CE$3,"="&amp;$DF34+'Model Setup'!$M$7,$AD34:$BA34)+'Model Setup'!$M$8*(SUMIF($BH$3:$CE$3,"&lt;"&amp;$DF34,$AD34:$BA34)+SUMIF($BH$3:$CE$3,"&gt;"&amp;$CW$4,$AD34:$BA34)),
IF(CB$3=$DF34+'Model Setup'!$N$7,SUMIF($BH$3:$CE$3,"="&amp;$DF34+'Model Setup'!$N$7,$AD34:$BA34)+'Model Setup'!$N$8*(SUMIF($BH$3:$CE$3,"&lt;"&amp;$DF34,$AD34:$BA34)+SUMIF($BH$3:$CE$3,"&gt;"&amp;$CW$4,$AD34:$BA34)),
IF(CB$3&lt;$CW$4,V34,0))))))))))))))),0)</f>
        <v>0</v>
      </c>
      <c r="CC34" s="47">
        <f>ROUND(IF(OR(CC$3&lt;$DF34,CC$3&gt;$CW$4),0,
IF(CC$3=$DF34+'Model Setup'!$B$7,SUMIF($BH$3:$CE$3,"="&amp;$DF34+'Model Setup'!$B$7,$AD34:$BA34)+'Model Setup'!$B$8*(SUMIF($BH$3:$CE$3,"&lt;"&amp;$DF34,$AD34:$BA34)+SUMIF($BH$3:$CE$3,"&gt;"&amp;$CW$4,$AD34:$BA34)),
IF(CC$3=$DF34+'Model Setup'!$C$7,SUMIF($BH$3:$CE$3,"="&amp;$DF34+'Model Setup'!$C$7,$AD34:$BA34)+'Model Setup'!$C$8*(SUMIF($BH$3:$CE$3,"&lt;"&amp;$DF34,$AD34:$BA34)+SUMIF($BH$3:$CE$3,"&gt;"&amp;$CW$4,$AD34:$BA34)),
IF(CC$3=$DF34+'Model Setup'!$D$7,SUMIF($BH$3:$CE$3,"="&amp;$DF34+'Model Setup'!$D$7,$AD34:$BA34)+'Model Setup'!$D$8*(SUMIF($BH$3:$CE$3,"&lt;"&amp;$DF34,$AD34:$BA34)+SUMIF($BH$3:$CE$3,"&gt;"&amp;$CW$4,$AD34:$BA34)),
IF(CC$3=$DF34+'Model Setup'!$E$7,SUMIF($BH$3:$CE$3,"="&amp;$DF34+'Model Setup'!$E$7,$AD34:$BA34)+'Model Setup'!$E$8*(SUMIF($BH$3:$CE$3,"&lt;"&amp;$DF34,$AD34:$BA34)+SUMIF($BH$3:$CE$3,"&gt;"&amp;$CW$4,$AD34:$BA34)),
IF(CC$3=$DF34+'Model Setup'!$F$7,SUMIF($BH$3:$CE$3,"="&amp;$DF34+'Model Setup'!$F$7,$AD34:$BA34)+'Model Setup'!$F$8*(SUMIF($BH$3:$CE$3,"&lt;"&amp;$DF34,$AD34:$BA34)+SUMIF($BH$3:$CE$3,"&gt;"&amp;$CW$4,$AD34:$BA34)),
IF(CC$3=$DF34+'Model Setup'!$G$7,SUMIF($BH$3:$CE$3,"="&amp;$DF34+'Model Setup'!$G$7,$AD34:$BA34)+'Model Setup'!$G$8*(SUMIF($BH$3:$CE$3,"&lt;"&amp;$DF34,$AD34:$BA34)+SUMIF($BH$3:$CE$3,"&gt;"&amp;$CW$4,$AD34:$BA34)),
IF(CC$3=$DF34+'Model Setup'!$H$7,SUMIF($BH$3:$CE$3,"="&amp;$DF34+'Model Setup'!$H$7,$AD34:$BA34)+'Model Setup'!$H$8*(SUMIF($BH$3:$CE$3,"&lt;"&amp;$DF34,$AD34:$BA34)+SUMIF($BH$3:$CE$3,"&gt;"&amp;$CW$4,$AD34:$BA34)),
IF(CC$3=$DF34+'Model Setup'!$I$7,SUMIF($BH$3:$CE$3,"="&amp;$DF34+'Model Setup'!$I$7,$AD34:$BA34)+'Model Setup'!$I$8*(SUMIF($BH$3:$CE$3,"&lt;"&amp;$DF34,$AD34:$BA34)+SUMIF($BH$3:$CE$3,"&gt;"&amp;$CW$4,$AD34:$BA34)),
IF(CC$3=$DF34+'Model Setup'!$J$7,SUMIF($BH$3:$CE$3,"="&amp;$DF34+'Model Setup'!$J$7,$AD34:$BA34)+'Model Setup'!$J$8*(SUMIF($BH$3:$CE$3,"&lt;"&amp;$DF34,$AD34:$BA34)+SUMIF($BH$3:$CE$3,"&gt;"&amp;$CW$4,$AD34:$BA34)),
IF(CC$3=$DF34+'Model Setup'!$K$7,SUMIF($BH$3:$CE$3,"="&amp;$DF34+'Model Setup'!$K$7,$AD34:$BA34)+'Model Setup'!$K$8*(SUMIF($BH$3:$CE$3,"&lt;"&amp;$DF34,$AD34:$BA34)+SUMIF($BH$3:$CE$3,"&gt;"&amp;$CW$4,$AD34:$BA34)),
IF(CC$3=$DF34+'Model Setup'!$L$7,SUMIF($BH$3:$CE$3,"="&amp;$DF34+'Model Setup'!$L$7,$AD34:$BA34)+'Model Setup'!$L$8*(SUMIF($BH$3:$CE$3,"&lt;"&amp;$DF34,$AD34:$BA34)+SUMIF($BH$3:$CE$3,"&gt;"&amp;$CW$4,$AD34:$BA34)),
IF(CC$3=$DF34+'Model Setup'!$M$7,SUMIF($BH$3:$CE$3,"="&amp;$DF34+'Model Setup'!$M$7,$AD34:$BA34)+'Model Setup'!$M$8*(SUMIF($BH$3:$CE$3,"&lt;"&amp;$DF34,$AD34:$BA34)+SUMIF($BH$3:$CE$3,"&gt;"&amp;$CW$4,$AD34:$BA34)),
IF(CC$3=$DF34+'Model Setup'!$N$7,SUMIF($BH$3:$CE$3,"="&amp;$DF34+'Model Setup'!$N$7,$AD34:$BA34)+'Model Setup'!$N$8*(SUMIF($BH$3:$CE$3,"&lt;"&amp;$DF34,$AD34:$BA34)+SUMIF($BH$3:$CE$3,"&gt;"&amp;$CW$4,$AD34:$BA34)),
IF(CC$3&lt;$CW$4,W34,0))))))))))))))),0)</f>
        <v>0</v>
      </c>
      <c r="CD34" s="47">
        <f>ROUND(IF(OR(CD$3&lt;$DF34,CD$3&gt;$CW$4),0,
IF(CD$3=$DF34+'Model Setup'!$B$7,SUMIF($BH$3:$CE$3,"="&amp;$DF34+'Model Setup'!$B$7,$AD34:$BA34)+'Model Setup'!$B$8*(SUMIF($BH$3:$CE$3,"&lt;"&amp;$DF34,$AD34:$BA34)+SUMIF($BH$3:$CE$3,"&gt;"&amp;$CW$4,$AD34:$BA34)),
IF(CD$3=$DF34+'Model Setup'!$C$7,SUMIF($BH$3:$CE$3,"="&amp;$DF34+'Model Setup'!$C$7,$AD34:$BA34)+'Model Setup'!$C$8*(SUMIF($BH$3:$CE$3,"&lt;"&amp;$DF34,$AD34:$BA34)+SUMIF($BH$3:$CE$3,"&gt;"&amp;$CW$4,$AD34:$BA34)),
IF(CD$3=$DF34+'Model Setup'!$D$7,SUMIF($BH$3:$CE$3,"="&amp;$DF34+'Model Setup'!$D$7,$AD34:$BA34)+'Model Setup'!$D$8*(SUMIF($BH$3:$CE$3,"&lt;"&amp;$DF34,$AD34:$BA34)+SUMIF($BH$3:$CE$3,"&gt;"&amp;$CW$4,$AD34:$BA34)),
IF(CD$3=$DF34+'Model Setup'!$E$7,SUMIF($BH$3:$CE$3,"="&amp;$DF34+'Model Setup'!$E$7,$AD34:$BA34)+'Model Setup'!$E$8*(SUMIF($BH$3:$CE$3,"&lt;"&amp;$DF34,$AD34:$BA34)+SUMIF($BH$3:$CE$3,"&gt;"&amp;$CW$4,$AD34:$BA34)),
IF(CD$3=$DF34+'Model Setup'!$F$7,SUMIF($BH$3:$CE$3,"="&amp;$DF34+'Model Setup'!$F$7,$AD34:$BA34)+'Model Setup'!$F$8*(SUMIF($BH$3:$CE$3,"&lt;"&amp;$DF34,$AD34:$BA34)+SUMIF($BH$3:$CE$3,"&gt;"&amp;$CW$4,$AD34:$BA34)),
IF(CD$3=$DF34+'Model Setup'!$G$7,SUMIF($BH$3:$CE$3,"="&amp;$DF34+'Model Setup'!$G$7,$AD34:$BA34)+'Model Setup'!$G$8*(SUMIF($BH$3:$CE$3,"&lt;"&amp;$DF34,$AD34:$BA34)+SUMIF($BH$3:$CE$3,"&gt;"&amp;$CW$4,$AD34:$BA34)),
IF(CD$3=$DF34+'Model Setup'!$H$7,SUMIF($BH$3:$CE$3,"="&amp;$DF34+'Model Setup'!$H$7,$AD34:$BA34)+'Model Setup'!$H$8*(SUMIF($BH$3:$CE$3,"&lt;"&amp;$DF34,$AD34:$BA34)+SUMIF($BH$3:$CE$3,"&gt;"&amp;$CW$4,$AD34:$BA34)),
IF(CD$3=$DF34+'Model Setup'!$I$7,SUMIF($BH$3:$CE$3,"="&amp;$DF34+'Model Setup'!$I$7,$AD34:$BA34)+'Model Setup'!$I$8*(SUMIF($BH$3:$CE$3,"&lt;"&amp;$DF34,$AD34:$BA34)+SUMIF($BH$3:$CE$3,"&gt;"&amp;$CW$4,$AD34:$BA34)),
IF(CD$3=$DF34+'Model Setup'!$J$7,SUMIF($BH$3:$CE$3,"="&amp;$DF34+'Model Setup'!$J$7,$AD34:$BA34)+'Model Setup'!$J$8*(SUMIF($BH$3:$CE$3,"&lt;"&amp;$DF34,$AD34:$BA34)+SUMIF($BH$3:$CE$3,"&gt;"&amp;$CW$4,$AD34:$BA34)),
IF(CD$3=$DF34+'Model Setup'!$K$7,SUMIF($BH$3:$CE$3,"="&amp;$DF34+'Model Setup'!$K$7,$AD34:$BA34)+'Model Setup'!$K$8*(SUMIF($BH$3:$CE$3,"&lt;"&amp;$DF34,$AD34:$BA34)+SUMIF($BH$3:$CE$3,"&gt;"&amp;$CW$4,$AD34:$BA34)),
IF(CD$3=$DF34+'Model Setup'!$L$7,SUMIF($BH$3:$CE$3,"="&amp;$DF34+'Model Setup'!$L$7,$AD34:$BA34)+'Model Setup'!$L$8*(SUMIF($BH$3:$CE$3,"&lt;"&amp;$DF34,$AD34:$BA34)+SUMIF($BH$3:$CE$3,"&gt;"&amp;$CW$4,$AD34:$BA34)),
IF(CD$3=$DF34+'Model Setup'!$M$7,SUMIF($BH$3:$CE$3,"="&amp;$DF34+'Model Setup'!$M$7,$AD34:$BA34)+'Model Setup'!$M$8*(SUMIF($BH$3:$CE$3,"&lt;"&amp;$DF34,$AD34:$BA34)+SUMIF($BH$3:$CE$3,"&gt;"&amp;$CW$4,$AD34:$BA34)),
IF(CD$3=$DF34+'Model Setup'!$N$7,SUMIF($BH$3:$CE$3,"="&amp;$DF34+'Model Setup'!$N$7,$AD34:$BA34)+'Model Setup'!$N$8*(SUMIF($BH$3:$CE$3,"&lt;"&amp;$DF34,$AD34:$BA34)+SUMIF($BH$3:$CE$3,"&gt;"&amp;$CW$4,$AD34:$BA34)),
IF(CD$3&lt;$CW$4,X34,0))))))))))))))),0)</f>
        <v>0</v>
      </c>
      <c r="CE34" s="47">
        <f>ROUND(IF(OR(CE$3&lt;$DF34,CE$3&gt;$CW$4),0,
IF(CE$3=$DF34+'Model Setup'!$B$7,SUMIF($BH$3:$CE$3,"="&amp;$DF34+'Model Setup'!$B$7,$AD34:$BA34)+'Model Setup'!$B$8*(SUMIF($BH$3:$CE$3,"&lt;"&amp;$DF34,$AD34:$BA34)+SUMIF($BH$3:$CE$3,"&gt;"&amp;$CW$4,$AD34:$BA34)),
IF(CE$3=$DF34+'Model Setup'!$C$7,SUMIF($BH$3:$CE$3,"="&amp;$DF34+'Model Setup'!$C$7,$AD34:$BA34)+'Model Setup'!$C$8*(SUMIF($BH$3:$CE$3,"&lt;"&amp;$DF34,$AD34:$BA34)+SUMIF($BH$3:$CE$3,"&gt;"&amp;$CW$4,$AD34:$BA34)),
IF(CE$3=$DF34+'Model Setup'!$D$7,SUMIF($BH$3:$CE$3,"="&amp;$DF34+'Model Setup'!$D$7,$AD34:$BA34)+'Model Setup'!$D$8*(SUMIF($BH$3:$CE$3,"&lt;"&amp;$DF34,$AD34:$BA34)+SUMIF($BH$3:$CE$3,"&gt;"&amp;$CW$4,$AD34:$BA34)),
IF(CE$3=$DF34+'Model Setup'!$E$7,SUMIF($BH$3:$CE$3,"="&amp;$DF34+'Model Setup'!$E$7,$AD34:$BA34)+'Model Setup'!$E$8*(SUMIF($BH$3:$CE$3,"&lt;"&amp;$DF34,$AD34:$BA34)+SUMIF($BH$3:$CE$3,"&gt;"&amp;$CW$4,$AD34:$BA34)),
IF(CE$3=$DF34+'Model Setup'!$F$7,SUMIF($BH$3:$CE$3,"="&amp;$DF34+'Model Setup'!$F$7,$AD34:$BA34)+'Model Setup'!$F$8*(SUMIF($BH$3:$CE$3,"&lt;"&amp;$DF34,$AD34:$BA34)+SUMIF($BH$3:$CE$3,"&gt;"&amp;$CW$4,$AD34:$BA34)),
IF(CE$3=$DF34+'Model Setup'!$G$7,SUMIF($BH$3:$CE$3,"="&amp;$DF34+'Model Setup'!$G$7,$AD34:$BA34)+'Model Setup'!$G$8*(SUMIF($BH$3:$CE$3,"&lt;"&amp;$DF34,$AD34:$BA34)+SUMIF($BH$3:$CE$3,"&gt;"&amp;$CW$4,$AD34:$BA34)),
IF(CE$3=$DF34+'Model Setup'!$H$7,SUMIF($BH$3:$CE$3,"="&amp;$DF34+'Model Setup'!$H$7,$AD34:$BA34)+'Model Setup'!$H$8*(SUMIF($BH$3:$CE$3,"&lt;"&amp;$DF34,$AD34:$BA34)+SUMIF($BH$3:$CE$3,"&gt;"&amp;$CW$4,$AD34:$BA34)),
IF(CE$3=$DF34+'Model Setup'!$I$7,SUMIF($BH$3:$CE$3,"="&amp;$DF34+'Model Setup'!$I$7,$AD34:$BA34)+'Model Setup'!$I$8*(SUMIF($BH$3:$CE$3,"&lt;"&amp;$DF34,$AD34:$BA34)+SUMIF($BH$3:$CE$3,"&gt;"&amp;$CW$4,$AD34:$BA34)),
IF(CE$3=$DF34+'Model Setup'!$J$7,SUMIF($BH$3:$CE$3,"="&amp;$DF34+'Model Setup'!$J$7,$AD34:$BA34)+'Model Setup'!$J$8*(SUMIF($BH$3:$CE$3,"&lt;"&amp;$DF34,$AD34:$BA34)+SUMIF($BH$3:$CE$3,"&gt;"&amp;$CW$4,$AD34:$BA34)),
IF(CE$3=$DF34+'Model Setup'!$K$7,SUMIF($BH$3:$CE$3,"="&amp;$DF34+'Model Setup'!$K$7,$AD34:$BA34)+'Model Setup'!$K$8*(SUMIF($BH$3:$CE$3,"&lt;"&amp;$DF34,$AD34:$BA34)+SUMIF($BH$3:$CE$3,"&gt;"&amp;$CW$4,$AD34:$BA34)),
IF(CE$3=$DF34+'Model Setup'!$L$7,SUMIF($BH$3:$CE$3,"="&amp;$DF34+'Model Setup'!$L$7,$AD34:$BA34)+'Model Setup'!$L$8*(SUMIF($BH$3:$CE$3,"&lt;"&amp;$DF34,$AD34:$BA34)+SUMIF($BH$3:$CE$3,"&gt;"&amp;$CW$4,$AD34:$BA34)),
IF(CE$3=$DF34+'Model Setup'!$M$7,SUMIF($BH$3:$CE$3,"="&amp;$DF34+'Model Setup'!$M$7,$AD34:$BA34)+'Model Setup'!$M$8*(SUMIF($BH$3:$CE$3,"&lt;"&amp;$DF34,$AD34:$BA34)+SUMIF($BH$3:$CE$3,"&gt;"&amp;$CW$4,$AD34:$BA34)),
IF(CE$3=$DF34+'Model Setup'!$N$7,SUMIF($BH$3:$CE$3,"="&amp;$DF34+'Model Setup'!$N$7,$AD34:$BA34)+'Model Setup'!$N$8*(SUMIF($BH$3:$CE$3,"&lt;"&amp;$DF34,$AD34:$BA34)+SUMIF($BH$3:$CE$3,"&gt;"&amp;$CW$4,$AD34:$BA34)),
IF(CE$3&lt;$CW$4,Y34,0))))))))))))))),0)</f>
        <v>0</v>
      </c>
      <c r="CF34" s="47">
        <f t="shared" si="3"/>
        <v>197</v>
      </c>
      <c r="CG34" s="47">
        <f t="shared" si="4"/>
        <v>0</v>
      </c>
      <c r="CI34" s="10" t="s">
        <v>49</v>
      </c>
      <c r="CJ34" s="126">
        <f t="shared" si="9"/>
        <v>0</v>
      </c>
      <c r="CK34" s="126">
        <f t="shared" si="10"/>
        <v>23</v>
      </c>
      <c r="CL34" s="126">
        <f t="shared" si="11"/>
        <v>25</v>
      </c>
      <c r="CM34" s="126">
        <f t="shared" si="12"/>
        <v>22</v>
      </c>
      <c r="CN34" s="126">
        <f t="shared" si="13"/>
        <v>19</v>
      </c>
      <c r="CO34" s="126">
        <f t="shared" si="14"/>
        <v>31</v>
      </c>
      <c r="CP34" s="126">
        <f t="shared" si="15"/>
        <v>12</v>
      </c>
      <c r="CQ34" s="126">
        <f t="shared" si="16"/>
        <v>13</v>
      </c>
      <c r="CR34" s="126">
        <f t="shared" si="17"/>
        <v>12</v>
      </c>
      <c r="CS34" s="126">
        <f t="shared" si="18"/>
        <v>11</v>
      </c>
      <c r="CT34" s="126">
        <f t="shared" si="19"/>
        <v>5</v>
      </c>
      <c r="CU34" s="126">
        <f t="shared" si="20"/>
        <v>7</v>
      </c>
      <c r="CV34" s="126">
        <f t="shared" si="21"/>
        <v>9</v>
      </c>
      <c r="CW34" s="126">
        <f t="shared" si="22"/>
        <v>8</v>
      </c>
      <c r="CX34" s="126">
        <f t="shared" si="23"/>
        <v>0</v>
      </c>
      <c r="CY34" s="126">
        <f t="shared" si="24"/>
        <v>0</v>
      </c>
      <c r="CZ34" s="47">
        <f t="shared" si="7"/>
        <v>197</v>
      </c>
      <c r="DC34" s="93" t="s">
        <v>49</v>
      </c>
      <c r="DD34" s="89">
        <f>FTC!E32</f>
        <v>0.25</v>
      </c>
      <c r="DE34" s="89">
        <f>FTC!F32</f>
        <v>0.79166666666666663</v>
      </c>
      <c r="DF34" s="90">
        <f t="shared" si="25"/>
        <v>6</v>
      </c>
      <c r="DG34" s="91">
        <f t="shared" si="26"/>
        <v>19</v>
      </c>
      <c r="DH34" s="91">
        <f t="shared" si="27"/>
        <v>13</v>
      </c>
    </row>
    <row r="35" spans="1:112" x14ac:dyDescent="0.35">
      <c r="A35" s="43" t="s">
        <v>50</v>
      </c>
      <c r="B35" s="6"/>
      <c r="C35" s="47">
        <v>1</v>
      </c>
      <c r="D35" s="47">
        <v>1</v>
      </c>
      <c r="E35" s="47">
        <v>3</v>
      </c>
      <c r="F35" s="47">
        <v>4</v>
      </c>
      <c r="G35" s="47">
        <v>4</v>
      </c>
      <c r="H35" s="47">
        <v>42</v>
      </c>
      <c r="I35" s="47">
        <v>50</v>
      </c>
      <c r="J35" s="47">
        <v>44</v>
      </c>
      <c r="K35" s="47">
        <v>26</v>
      </c>
      <c r="L35" s="47">
        <v>21</v>
      </c>
      <c r="M35" s="47">
        <v>23</v>
      </c>
      <c r="N35" s="47">
        <v>19</v>
      </c>
      <c r="O35" s="47">
        <v>12</v>
      </c>
      <c r="P35" s="47">
        <v>4</v>
      </c>
      <c r="Q35" s="47">
        <v>4</v>
      </c>
      <c r="R35" s="47">
        <v>6</v>
      </c>
      <c r="S35" s="47">
        <v>4</v>
      </c>
      <c r="T35" s="47">
        <v>4</v>
      </c>
      <c r="U35" s="47">
        <v>2</v>
      </c>
      <c r="V35" s="47">
        <v>1</v>
      </c>
      <c r="W35" s="47">
        <v>4</v>
      </c>
      <c r="X35" s="6"/>
      <c r="Y35" s="47">
        <v>1</v>
      </c>
      <c r="Z35" s="47">
        <f t="shared" si="0"/>
        <v>280</v>
      </c>
      <c r="AC35" s="43" t="s">
        <v>50</v>
      </c>
      <c r="AD35" s="47">
        <f>ROUND(IF(AD$3&lt;$DF35,0,
IF(AD$3=$DF35+'Model Setup'!$B$7,SUMIF($AD$3:$BA$3,"="&amp;$DF35+'Model Setup'!$B$7,$B35:$Y35)+'Model Setup'!$B$8*(SUMIF($AD$3:$BA$3,"&lt;"&amp;$DF35,$B35:$Y35)+SUMIF($AD$3:$BA$3,"&gt;="&amp;$DG35,$B35:$Y35)),
IF(AD$3=$DF35+'Model Setup'!$C$7,SUMIF($AD$3:$BA$3,"="&amp;$DF35+'Model Setup'!$C$7,$B35:$Y35)+'Model Setup'!$C$8*(SUMIF($AD$3:$BA$3,"&lt;"&amp;$DF35,$B35:$Y35)+SUMIF($AD$3:$BA$3,"&gt;="&amp;$DG35,$B35:$Y35)),
IF(AD$3=$DF35+'Model Setup'!$D$7,SUMIF($AD$3:$BA$3,"="&amp;$DF35+'Model Setup'!$D$7,$B35:$Y35)+'Model Setup'!$D$8*(SUMIF($AD$3:$BA$3,"&lt;"&amp;$DF35,$B35:$Y35)+SUMIF($AD$3:$BA$3,"&gt;="&amp;$DG35,$B35:$Y35)),
IF(AD$3=$DF35+'Model Setup'!$E$7,SUMIF($AD$3:$BA$3,"="&amp;$DF35+'Model Setup'!$E$7,$B35:$Y35)+'Model Setup'!$E$8*(SUMIF($AD$3:$BA$3,"&lt;"&amp;$DF35,$B35:$Y35)+SUMIF($AD$3:$BA$3,"&gt;="&amp;$DG35,$B35:$Y35)),
IF(AD$3=$DF35+'Model Setup'!$F$7,SUMIF($AD$3:$BA$3,"="&amp;$DF35+'Model Setup'!$F$7,$B35:$Y35)+'Model Setup'!$F$8*(SUMIF($AD$3:$BA$3,"&lt;"&amp;$DF35,$B35:$Y35)+SUMIF($AD$3:$BA$3,"&gt;="&amp;$DG35,$B35:$Y35)),
IF(AD$3=$DF35+'Model Setup'!$G$7,SUMIF($AD$3:$BA$3,"="&amp;$DF35+'Model Setup'!$G$7,$B35:$Y35)+'Model Setup'!$G$8*(SUMIF($AD$3:$BA$3,"&lt;"&amp;$DF35,$B35:$Y35)+SUMIF($AD$3:$BA$3,"&gt;="&amp;$DG35,$B35:$Y35)),
IF(AD$3=$DF35+'Model Setup'!$H$7,SUMIF($AD$3:$BA$3,"="&amp;$DF35+'Model Setup'!$H$7,$B35:$Y35)+'Model Setup'!$H$8*(SUMIF($AD$3:$BA$3,"&lt;"&amp;$DF35,$B35:$Y35)+SUMIF($AD$3:$BA$3,"&gt;="&amp;$DG35,$B35:$Y35)),
IF(AD$3=$DF35+'Model Setup'!$I$7,SUMIF($AD$3:$BA$3,"="&amp;$DF35+'Model Setup'!$I$7,$B35:$Y35)+'Model Setup'!$I$8*(SUMIF($AD$3:$BA$3,"&lt;"&amp;$DF35,$B35:$Y35)+SUMIF($AD$3:$BA$3,"&gt;="&amp;$DG35,$B35:$Y35)),
IF(AD$3=$DF35+'Model Setup'!$J$7,SUMIF($AD$3:$BA$3,"="&amp;$DF35+'Model Setup'!$J$7,$B35:$Y35)+'Model Setup'!$J$8*(SUMIF($AD$3:$BA$3,"&lt;"&amp;$DF35,$B35:$Y35)+SUMIF($AD$3:$BA$3,"&gt;="&amp;$DG35,$B35:$Y35)),
IF(AD$3=$DF35+'Model Setup'!$K$7,SUMIF($AD$3:$BA$3,"="&amp;$DF35+'Model Setup'!$K$7,$B35:$Y35)+'Model Setup'!$K$8*(SUMIF($AD$3:$BA$3,"&lt;"&amp;$DF35,$B35:$Y35)+SUMIF($AD$3:$BA$3,"&gt;="&amp;$DG35,$B35:$Y35)),
IF(AD$3=$DF35+'Model Setup'!$L$7,SUMIF($AD$3:$BA$3,"="&amp;$DF35+'Model Setup'!$L$7,$B35:$Y35)+'Model Setup'!$L$8*(SUMIF($AD$3:$BA$3,"&lt;"&amp;$DF35,$B35:$Y35)+SUMIF($AD$3:$BA$3,"&gt;="&amp;$DG35,$B35:$Y35)),
IF(AD$3=$DF35+'Model Setup'!$M$7,SUMIF($AD$3:$BA$3,"="&amp;$DF35+'Model Setup'!$M$7,$B35:$Y35)+'Model Setup'!$M$8*(SUMIF($AD$3:$BA$3,"&lt;"&amp;$DF35,$B35:$Y35)+SUMIF($AD$3:$BA$3,"&gt;="&amp;$DG35,$B35:$Y35)),
IF(AD$3=$DF35+'Model Setup'!$N$7,SUMIF($AD$3:$BA$3,"="&amp;$DF35+'Model Setup'!$N$7,$B35:$Y35)+'Model Setup'!$N$8*(SUMIF($AD$3:$BA$3,"&lt;"&amp;$DF35,$B35:$Y35)+SUMIF($AD$3:$BA$3,"&gt;="&amp;$DG35,$B35:$Y35)),
IF(AD$3&lt;$DG35,B35,0))))))))))))))),0)</f>
        <v>0</v>
      </c>
      <c r="AE35" s="47">
        <f>ROUND(IF(AE$3&lt;$DF35,0,
IF(AE$3=$DF35+'Model Setup'!$B$7,SUMIF($AD$3:$BA$3,"="&amp;$DF35+'Model Setup'!$B$7,$B35:$Y35)+'Model Setup'!$B$8*(SUMIF($AD$3:$BA$3,"&lt;"&amp;$DF35,$B35:$Y35)+SUMIF($AD$3:$BA$3,"&gt;="&amp;$DG35,$B35:$Y35)),
IF(AE$3=$DF35+'Model Setup'!$C$7,SUMIF($AD$3:$BA$3,"="&amp;$DF35+'Model Setup'!$C$7,$B35:$Y35)+'Model Setup'!$C$8*(SUMIF($AD$3:$BA$3,"&lt;"&amp;$DF35,$B35:$Y35)+SUMIF($AD$3:$BA$3,"&gt;="&amp;$DG35,$B35:$Y35)),
IF(AE$3=$DF35+'Model Setup'!$D$7,SUMIF($AD$3:$BA$3,"="&amp;$DF35+'Model Setup'!$D$7,$B35:$Y35)+'Model Setup'!$D$8*(SUMIF($AD$3:$BA$3,"&lt;"&amp;$DF35,$B35:$Y35)+SUMIF($AD$3:$BA$3,"&gt;="&amp;$DG35,$B35:$Y35)),
IF(AE$3=$DF35+'Model Setup'!$E$7,SUMIF($AD$3:$BA$3,"="&amp;$DF35+'Model Setup'!$E$7,$B35:$Y35)+'Model Setup'!$E$8*(SUMIF($AD$3:$BA$3,"&lt;"&amp;$DF35,$B35:$Y35)+SUMIF($AD$3:$BA$3,"&gt;="&amp;$DG35,$B35:$Y35)),
IF(AE$3=$DF35+'Model Setup'!$F$7,SUMIF($AD$3:$BA$3,"="&amp;$DF35+'Model Setup'!$F$7,$B35:$Y35)+'Model Setup'!$F$8*(SUMIF($AD$3:$BA$3,"&lt;"&amp;$DF35,$B35:$Y35)+SUMIF($AD$3:$BA$3,"&gt;="&amp;$DG35,$B35:$Y35)),
IF(AE$3=$DF35+'Model Setup'!$G$7,SUMIF($AD$3:$BA$3,"="&amp;$DF35+'Model Setup'!$G$7,$B35:$Y35)+'Model Setup'!$G$8*(SUMIF($AD$3:$BA$3,"&lt;"&amp;$DF35,$B35:$Y35)+SUMIF($AD$3:$BA$3,"&gt;="&amp;$DG35,$B35:$Y35)),
IF(AE$3=$DF35+'Model Setup'!$H$7,SUMIF($AD$3:$BA$3,"="&amp;$DF35+'Model Setup'!$H$7,$B35:$Y35)+'Model Setup'!$H$8*(SUMIF($AD$3:$BA$3,"&lt;"&amp;$DF35,$B35:$Y35)+SUMIF($AD$3:$BA$3,"&gt;="&amp;$DG35,$B35:$Y35)),
IF(AE$3=$DF35+'Model Setup'!$I$7,SUMIF($AD$3:$BA$3,"="&amp;$DF35+'Model Setup'!$I$7,$B35:$Y35)+'Model Setup'!$I$8*(SUMIF($AD$3:$BA$3,"&lt;"&amp;$DF35,$B35:$Y35)+SUMIF($AD$3:$BA$3,"&gt;="&amp;$DG35,$B35:$Y35)),
IF(AE$3=$DF35+'Model Setup'!$J$7,SUMIF($AD$3:$BA$3,"="&amp;$DF35+'Model Setup'!$J$7,$B35:$Y35)+'Model Setup'!$J$8*(SUMIF($AD$3:$BA$3,"&lt;"&amp;$DF35,$B35:$Y35)+SUMIF($AD$3:$BA$3,"&gt;="&amp;$DG35,$B35:$Y35)),
IF(AE$3=$DF35+'Model Setup'!$K$7,SUMIF($AD$3:$BA$3,"="&amp;$DF35+'Model Setup'!$K$7,$B35:$Y35)+'Model Setup'!$K$8*(SUMIF($AD$3:$BA$3,"&lt;"&amp;$DF35,$B35:$Y35)+SUMIF($AD$3:$BA$3,"&gt;="&amp;$DG35,$B35:$Y35)),
IF(AE$3=$DF35+'Model Setup'!$L$7,SUMIF($AD$3:$BA$3,"="&amp;$DF35+'Model Setup'!$L$7,$B35:$Y35)+'Model Setup'!$L$8*(SUMIF($AD$3:$BA$3,"&lt;"&amp;$DF35,$B35:$Y35)+SUMIF($AD$3:$BA$3,"&gt;="&amp;$DG35,$B35:$Y35)),
IF(AE$3=$DF35+'Model Setup'!$M$7,SUMIF($AD$3:$BA$3,"="&amp;$DF35+'Model Setup'!$M$7,$B35:$Y35)+'Model Setup'!$M$8*(SUMIF($AD$3:$BA$3,"&lt;"&amp;$DF35,$B35:$Y35)+SUMIF($AD$3:$BA$3,"&gt;="&amp;$DG35,$B35:$Y35)),
IF(AE$3=$DF35+'Model Setup'!$N$7,SUMIF($AD$3:$BA$3,"="&amp;$DF35+'Model Setup'!$N$7,$B35:$Y35)+'Model Setup'!$N$8*(SUMIF($AD$3:$BA$3,"&lt;"&amp;$DF35,$B35:$Y35)+SUMIF($AD$3:$BA$3,"&gt;="&amp;$DG35,$B35:$Y35)),
IF(AE$3&lt;$DG35,C35,0))))))))))))))),0)</f>
        <v>0</v>
      </c>
      <c r="AF35" s="47">
        <f>ROUND(IF(AF$3&lt;$DF35,0,
IF(AF$3=$DF35+'Model Setup'!$B$7,SUMIF($AD$3:$BA$3,"="&amp;$DF35+'Model Setup'!$B$7,$B35:$Y35)+'Model Setup'!$B$8*(SUMIF($AD$3:$BA$3,"&lt;"&amp;$DF35,$B35:$Y35)+SUMIF($AD$3:$BA$3,"&gt;="&amp;$DG35,$B35:$Y35)),
IF(AF$3=$DF35+'Model Setup'!$C$7,SUMIF($AD$3:$BA$3,"="&amp;$DF35+'Model Setup'!$C$7,$B35:$Y35)+'Model Setup'!$C$8*(SUMIF($AD$3:$BA$3,"&lt;"&amp;$DF35,$B35:$Y35)+SUMIF($AD$3:$BA$3,"&gt;="&amp;$DG35,$B35:$Y35)),
IF(AF$3=$DF35+'Model Setup'!$D$7,SUMIF($AD$3:$BA$3,"="&amp;$DF35+'Model Setup'!$D$7,$B35:$Y35)+'Model Setup'!$D$8*(SUMIF($AD$3:$BA$3,"&lt;"&amp;$DF35,$B35:$Y35)+SUMIF($AD$3:$BA$3,"&gt;="&amp;$DG35,$B35:$Y35)),
IF(AF$3=$DF35+'Model Setup'!$E$7,SUMIF($AD$3:$BA$3,"="&amp;$DF35+'Model Setup'!$E$7,$B35:$Y35)+'Model Setup'!$E$8*(SUMIF($AD$3:$BA$3,"&lt;"&amp;$DF35,$B35:$Y35)+SUMIF($AD$3:$BA$3,"&gt;="&amp;$DG35,$B35:$Y35)),
IF(AF$3=$DF35+'Model Setup'!$F$7,SUMIF($AD$3:$BA$3,"="&amp;$DF35+'Model Setup'!$F$7,$B35:$Y35)+'Model Setup'!$F$8*(SUMIF($AD$3:$BA$3,"&lt;"&amp;$DF35,$B35:$Y35)+SUMIF($AD$3:$BA$3,"&gt;="&amp;$DG35,$B35:$Y35)),
IF(AF$3=$DF35+'Model Setup'!$G$7,SUMIF($AD$3:$BA$3,"="&amp;$DF35+'Model Setup'!$G$7,$B35:$Y35)+'Model Setup'!$G$8*(SUMIF($AD$3:$BA$3,"&lt;"&amp;$DF35,$B35:$Y35)+SUMIF($AD$3:$BA$3,"&gt;="&amp;$DG35,$B35:$Y35)),
IF(AF$3=$DF35+'Model Setup'!$H$7,SUMIF($AD$3:$BA$3,"="&amp;$DF35+'Model Setup'!$H$7,$B35:$Y35)+'Model Setup'!$H$8*(SUMIF($AD$3:$BA$3,"&lt;"&amp;$DF35,$B35:$Y35)+SUMIF($AD$3:$BA$3,"&gt;="&amp;$DG35,$B35:$Y35)),
IF(AF$3=$DF35+'Model Setup'!$I$7,SUMIF($AD$3:$BA$3,"="&amp;$DF35+'Model Setup'!$I$7,$B35:$Y35)+'Model Setup'!$I$8*(SUMIF($AD$3:$BA$3,"&lt;"&amp;$DF35,$B35:$Y35)+SUMIF($AD$3:$BA$3,"&gt;="&amp;$DG35,$B35:$Y35)),
IF(AF$3=$DF35+'Model Setup'!$J$7,SUMIF($AD$3:$BA$3,"="&amp;$DF35+'Model Setup'!$J$7,$B35:$Y35)+'Model Setup'!$J$8*(SUMIF($AD$3:$BA$3,"&lt;"&amp;$DF35,$B35:$Y35)+SUMIF($AD$3:$BA$3,"&gt;="&amp;$DG35,$B35:$Y35)),
IF(AF$3=$DF35+'Model Setup'!$K$7,SUMIF($AD$3:$BA$3,"="&amp;$DF35+'Model Setup'!$K$7,$B35:$Y35)+'Model Setup'!$K$8*(SUMIF($AD$3:$BA$3,"&lt;"&amp;$DF35,$B35:$Y35)+SUMIF($AD$3:$BA$3,"&gt;="&amp;$DG35,$B35:$Y35)),
IF(AF$3=$DF35+'Model Setup'!$L$7,SUMIF($AD$3:$BA$3,"="&amp;$DF35+'Model Setup'!$L$7,$B35:$Y35)+'Model Setup'!$L$8*(SUMIF($AD$3:$BA$3,"&lt;"&amp;$DF35,$B35:$Y35)+SUMIF($AD$3:$BA$3,"&gt;="&amp;$DG35,$B35:$Y35)),
IF(AF$3=$DF35+'Model Setup'!$M$7,SUMIF($AD$3:$BA$3,"="&amp;$DF35+'Model Setup'!$M$7,$B35:$Y35)+'Model Setup'!$M$8*(SUMIF($AD$3:$BA$3,"&lt;"&amp;$DF35,$B35:$Y35)+SUMIF($AD$3:$BA$3,"&gt;="&amp;$DG35,$B35:$Y35)),
IF(AF$3=$DF35+'Model Setup'!$N$7,SUMIF($AD$3:$BA$3,"="&amp;$DF35+'Model Setup'!$N$7,$B35:$Y35)+'Model Setup'!$N$8*(SUMIF($AD$3:$BA$3,"&lt;"&amp;$DF35,$B35:$Y35)+SUMIF($AD$3:$BA$3,"&gt;="&amp;$DG35,$B35:$Y35)),
IF(AF$3&lt;$DG35,D35,0))))))))))))))),0)</f>
        <v>0</v>
      </c>
      <c r="AG35" s="47">
        <f>ROUND(IF(AG$3&lt;$DF35,0,
IF(AG$3=$DF35+'Model Setup'!$B$7,SUMIF($AD$3:$BA$3,"="&amp;$DF35+'Model Setup'!$B$7,$B35:$Y35)+'Model Setup'!$B$8*(SUMIF($AD$3:$BA$3,"&lt;"&amp;$DF35,$B35:$Y35)+SUMIF($AD$3:$BA$3,"&gt;="&amp;$DG35,$B35:$Y35)),
IF(AG$3=$DF35+'Model Setup'!$C$7,SUMIF($AD$3:$BA$3,"="&amp;$DF35+'Model Setup'!$C$7,$B35:$Y35)+'Model Setup'!$C$8*(SUMIF($AD$3:$BA$3,"&lt;"&amp;$DF35,$B35:$Y35)+SUMIF($AD$3:$BA$3,"&gt;="&amp;$DG35,$B35:$Y35)),
IF(AG$3=$DF35+'Model Setup'!$D$7,SUMIF($AD$3:$BA$3,"="&amp;$DF35+'Model Setup'!$D$7,$B35:$Y35)+'Model Setup'!$D$8*(SUMIF($AD$3:$BA$3,"&lt;"&amp;$DF35,$B35:$Y35)+SUMIF($AD$3:$BA$3,"&gt;="&amp;$DG35,$B35:$Y35)),
IF(AG$3=$DF35+'Model Setup'!$E$7,SUMIF($AD$3:$BA$3,"="&amp;$DF35+'Model Setup'!$E$7,$B35:$Y35)+'Model Setup'!$E$8*(SUMIF($AD$3:$BA$3,"&lt;"&amp;$DF35,$B35:$Y35)+SUMIF($AD$3:$BA$3,"&gt;="&amp;$DG35,$B35:$Y35)),
IF(AG$3=$DF35+'Model Setup'!$F$7,SUMIF($AD$3:$BA$3,"="&amp;$DF35+'Model Setup'!$F$7,$B35:$Y35)+'Model Setup'!$F$8*(SUMIF($AD$3:$BA$3,"&lt;"&amp;$DF35,$B35:$Y35)+SUMIF($AD$3:$BA$3,"&gt;="&amp;$DG35,$B35:$Y35)),
IF(AG$3=$DF35+'Model Setup'!$G$7,SUMIF($AD$3:$BA$3,"="&amp;$DF35+'Model Setup'!$G$7,$B35:$Y35)+'Model Setup'!$G$8*(SUMIF($AD$3:$BA$3,"&lt;"&amp;$DF35,$B35:$Y35)+SUMIF($AD$3:$BA$3,"&gt;="&amp;$DG35,$B35:$Y35)),
IF(AG$3=$DF35+'Model Setup'!$H$7,SUMIF($AD$3:$BA$3,"="&amp;$DF35+'Model Setup'!$H$7,$B35:$Y35)+'Model Setup'!$H$8*(SUMIF($AD$3:$BA$3,"&lt;"&amp;$DF35,$B35:$Y35)+SUMIF($AD$3:$BA$3,"&gt;="&amp;$DG35,$B35:$Y35)),
IF(AG$3=$DF35+'Model Setup'!$I$7,SUMIF($AD$3:$BA$3,"="&amp;$DF35+'Model Setup'!$I$7,$B35:$Y35)+'Model Setup'!$I$8*(SUMIF($AD$3:$BA$3,"&lt;"&amp;$DF35,$B35:$Y35)+SUMIF($AD$3:$BA$3,"&gt;="&amp;$DG35,$B35:$Y35)),
IF(AG$3=$DF35+'Model Setup'!$J$7,SUMIF($AD$3:$BA$3,"="&amp;$DF35+'Model Setup'!$J$7,$B35:$Y35)+'Model Setup'!$J$8*(SUMIF($AD$3:$BA$3,"&lt;"&amp;$DF35,$B35:$Y35)+SUMIF($AD$3:$BA$3,"&gt;="&amp;$DG35,$B35:$Y35)),
IF(AG$3=$DF35+'Model Setup'!$K$7,SUMIF($AD$3:$BA$3,"="&amp;$DF35+'Model Setup'!$K$7,$B35:$Y35)+'Model Setup'!$K$8*(SUMIF($AD$3:$BA$3,"&lt;"&amp;$DF35,$B35:$Y35)+SUMIF($AD$3:$BA$3,"&gt;="&amp;$DG35,$B35:$Y35)),
IF(AG$3=$DF35+'Model Setup'!$L$7,SUMIF($AD$3:$BA$3,"="&amp;$DF35+'Model Setup'!$L$7,$B35:$Y35)+'Model Setup'!$L$8*(SUMIF($AD$3:$BA$3,"&lt;"&amp;$DF35,$B35:$Y35)+SUMIF($AD$3:$BA$3,"&gt;="&amp;$DG35,$B35:$Y35)),
IF(AG$3=$DF35+'Model Setup'!$M$7,SUMIF($AD$3:$BA$3,"="&amp;$DF35+'Model Setup'!$M$7,$B35:$Y35)+'Model Setup'!$M$8*(SUMIF($AD$3:$BA$3,"&lt;"&amp;$DF35,$B35:$Y35)+SUMIF($AD$3:$BA$3,"&gt;="&amp;$DG35,$B35:$Y35)),
IF(AG$3=$DF35+'Model Setup'!$N$7,SUMIF($AD$3:$BA$3,"="&amp;$DF35+'Model Setup'!$N$7,$B35:$Y35)+'Model Setup'!$N$8*(SUMIF($AD$3:$BA$3,"&lt;"&amp;$DF35,$B35:$Y35)+SUMIF($AD$3:$BA$3,"&gt;="&amp;$DG35,$B35:$Y35)),
IF(AG$3&lt;$DG35,E35,0))))))))))))))),0)</f>
        <v>0</v>
      </c>
      <c r="AH35" s="47">
        <f>ROUND(IF(AH$3&lt;$DF35,0,
IF(AH$3=$DF35+'Model Setup'!$B$7,SUMIF($AD$3:$BA$3,"="&amp;$DF35+'Model Setup'!$B$7,$B35:$Y35)+'Model Setup'!$B$8*(SUMIF($AD$3:$BA$3,"&lt;"&amp;$DF35,$B35:$Y35)+SUMIF($AD$3:$BA$3,"&gt;="&amp;$DG35,$B35:$Y35)),
IF(AH$3=$DF35+'Model Setup'!$C$7,SUMIF($AD$3:$BA$3,"="&amp;$DF35+'Model Setup'!$C$7,$B35:$Y35)+'Model Setup'!$C$8*(SUMIF($AD$3:$BA$3,"&lt;"&amp;$DF35,$B35:$Y35)+SUMIF($AD$3:$BA$3,"&gt;="&amp;$DG35,$B35:$Y35)),
IF(AH$3=$DF35+'Model Setup'!$D$7,SUMIF($AD$3:$BA$3,"="&amp;$DF35+'Model Setup'!$D$7,$B35:$Y35)+'Model Setup'!$D$8*(SUMIF($AD$3:$BA$3,"&lt;"&amp;$DF35,$B35:$Y35)+SUMIF($AD$3:$BA$3,"&gt;="&amp;$DG35,$B35:$Y35)),
IF(AH$3=$DF35+'Model Setup'!$E$7,SUMIF($AD$3:$BA$3,"="&amp;$DF35+'Model Setup'!$E$7,$B35:$Y35)+'Model Setup'!$E$8*(SUMIF($AD$3:$BA$3,"&lt;"&amp;$DF35,$B35:$Y35)+SUMIF($AD$3:$BA$3,"&gt;="&amp;$DG35,$B35:$Y35)),
IF(AH$3=$DF35+'Model Setup'!$F$7,SUMIF($AD$3:$BA$3,"="&amp;$DF35+'Model Setup'!$F$7,$B35:$Y35)+'Model Setup'!$F$8*(SUMIF($AD$3:$BA$3,"&lt;"&amp;$DF35,$B35:$Y35)+SUMIF($AD$3:$BA$3,"&gt;="&amp;$DG35,$B35:$Y35)),
IF(AH$3=$DF35+'Model Setup'!$G$7,SUMIF($AD$3:$BA$3,"="&amp;$DF35+'Model Setup'!$G$7,$B35:$Y35)+'Model Setup'!$G$8*(SUMIF($AD$3:$BA$3,"&lt;"&amp;$DF35,$B35:$Y35)+SUMIF($AD$3:$BA$3,"&gt;="&amp;$DG35,$B35:$Y35)),
IF(AH$3=$DF35+'Model Setup'!$H$7,SUMIF($AD$3:$BA$3,"="&amp;$DF35+'Model Setup'!$H$7,$B35:$Y35)+'Model Setup'!$H$8*(SUMIF($AD$3:$BA$3,"&lt;"&amp;$DF35,$B35:$Y35)+SUMIF($AD$3:$BA$3,"&gt;="&amp;$DG35,$B35:$Y35)),
IF(AH$3=$DF35+'Model Setup'!$I$7,SUMIF($AD$3:$BA$3,"="&amp;$DF35+'Model Setup'!$I$7,$B35:$Y35)+'Model Setup'!$I$8*(SUMIF($AD$3:$BA$3,"&lt;"&amp;$DF35,$B35:$Y35)+SUMIF($AD$3:$BA$3,"&gt;="&amp;$DG35,$B35:$Y35)),
IF(AH$3=$DF35+'Model Setup'!$J$7,SUMIF($AD$3:$BA$3,"="&amp;$DF35+'Model Setup'!$J$7,$B35:$Y35)+'Model Setup'!$J$8*(SUMIF($AD$3:$BA$3,"&lt;"&amp;$DF35,$B35:$Y35)+SUMIF($AD$3:$BA$3,"&gt;="&amp;$DG35,$B35:$Y35)),
IF(AH$3=$DF35+'Model Setup'!$K$7,SUMIF($AD$3:$BA$3,"="&amp;$DF35+'Model Setup'!$K$7,$B35:$Y35)+'Model Setup'!$K$8*(SUMIF($AD$3:$BA$3,"&lt;"&amp;$DF35,$B35:$Y35)+SUMIF($AD$3:$BA$3,"&gt;="&amp;$DG35,$B35:$Y35)),
IF(AH$3=$DF35+'Model Setup'!$L$7,SUMIF($AD$3:$BA$3,"="&amp;$DF35+'Model Setup'!$L$7,$B35:$Y35)+'Model Setup'!$L$8*(SUMIF($AD$3:$BA$3,"&lt;"&amp;$DF35,$B35:$Y35)+SUMIF($AD$3:$BA$3,"&gt;="&amp;$DG35,$B35:$Y35)),
IF(AH$3=$DF35+'Model Setup'!$M$7,SUMIF($AD$3:$BA$3,"="&amp;$DF35+'Model Setup'!$M$7,$B35:$Y35)+'Model Setup'!$M$8*(SUMIF($AD$3:$BA$3,"&lt;"&amp;$DF35,$B35:$Y35)+SUMIF($AD$3:$BA$3,"&gt;="&amp;$DG35,$B35:$Y35)),
IF(AH$3=$DF35+'Model Setup'!$N$7,SUMIF($AD$3:$BA$3,"="&amp;$DF35+'Model Setup'!$N$7,$B35:$Y35)+'Model Setup'!$N$8*(SUMIF($AD$3:$BA$3,"&lt;"&amp;$DF35,$B35:$Y35)+SUMIF($AD$3:$BA$3,"&gt;="&amp;$DG35,$B35:$Y35)),
IF(AH$3&lt;$DG35,F35,0))))))))))))))),0)</f>
        <v>0</v>
      </c>
      <c r="AI35" s="47">
        <f>ROUND(IF(AI$3&lt;$DF35,0,
IF(AI$3=$DF35+'Model Setup'!$B$7,SUMIF($AD$3:$BA$3,"="&amp;$DF35+'Model Setup'!$B$7,$B35:$Y35)+'Model Setup'!$B$8*(SUMIF($AD$3:$BA$3,"&lt;"&amp;$DF35,$B35:$Y35)+SUMIF($AD$3:$BA$3,"&gt;="&amp;$DG35,$B35:$Y35)),
IF(AI$3=$DF35+'Model Setup'!$C$7,SUMIF($AD$3:$BA$3,"="&amp;$DF35+'Model Setup'!$C$7,$B35:$Y35)+'Model Setup'!$C$8*(SUMIF($AD$3:$BA$3,"&lt;"&amp;$DF35,$B35:$Y35)+SUMIF($AD$3:$BA$3,"&gt;="&amp;$DG35,$B35:$Y35)),
IF(AI$3=$DF35+'Model Setup'!$D$7,SUMIF($AD$3:$BA$3,"="&amp;$DF35+'Model Setup'!$D$7,$B35:$Y35)+'Model Setup'!$D$8*(SUMIF($AD$3:$BA$3,"&lt;"&amp;$DF35,$B35:$Y35)+SUMIF($AD$3:$BA$3,"&gt;="&amp;$DG35,$B35:$Y35)),
IF(AI$3=$DF35+'Model Setup'!$E$7,SUMIF($AD$3:$BA$3,"="&amp;$DF35+'Model Setup'!$E$7,$B35:$Y35)+'Model Setup'!$E$8*(SUMIF($AD$3:$BA$3,"&lt;"&amp;$DF35,$B35:$Y35)+SUMIF($AD$3:$BA$3,"&gt;="&amp;$DG35,$B35:$Y35)),
IF(AI$3=$DF35+'Model Setup'!$F$7,SUMIF($AD$3:$BA$3,"="&amp;$DF35+'Model Setup'!$F$7,$B35:$Y35)+'Model Setup'!$F$8*(SUMIF($AD$3:$BA$3,"&lt;"&amp;$DF35,$B35:$Y35)+SUMIF($AD$3:$BA$3,"&gt;="&amp;$DG35,$B35:$Y35)),
IF(AI$3=$DF35+'Model Setup'!$G$7,SUMIF($AD$3:$BA$3,"="&amp;$DF35+'Model Setup'!$G$7,$B35:$Y35)+'Model Setup'!$G$8*(SUMIF($AD$3:$BA$3,"&lt;"&amp;$DF35,$B35:$Y35)+SUMIF($AD$3:$BA$3,"&gt;="&amp;$DG35,$B35:$Y35)),
IF(AI$3=$DF35+'Model Setup'!$H$7,SUMIF($AD$3:$BA$3,"="&amp;$DF35+'Model Setup'!$H$7,$B35:$Y35)+'Model Setup'!$H$8*(SUMIF($AD$3:$BA$3,"&lt;"&amp;$DF35,$B35:$Y35)+SUMIF($AD$3:$BA$3,"&gt;="&amp;$DG35,$B35:$Y35)),
IF(AI$3=$DF35+'Model Setup'!$I$7,SUMIF($AD$3:$BA$3,"="&amp;$DF35+'Model Setup'!$I$7,$B35:$Y35)+'Model Setup'!$I$8*(SUMIF($AD$3:$BA$3,"&lt;"&amp;$DF35,$B35:$Y35)+SUMIF($AD$3:$BA$3,"&gt;="&amp;$DG35,$B35:$Y35)),
IF(AI$3=$DF35+'Model Setup'!$J$7,SUMIF($AD$3:$BA$3,"="&amp;$DF35+'Model Setup'!$J$7,$B35:$Y35)+'Model Setup'!$J$8*(SUMIF($AD$3:$BA$3,"&lt;"&amp;$DF35,$B35:$Y35)+SUMIF($AD$3:$BA$3,"&gt;="&amp;$DG35,$B35:$Y35)),
IF(AI$3=$DF35+'Model Setup'!$K$7,SUMIF($AD$3:$BA$3,"="&amp;$DF35+'Model Setup'!$K$7,$B35:$Y35)+'Model Setup'!$K$8*(SUMIF($AD$3:$BA$3,"&lt;"&amp;$DF35,$B35:$Y35)+SUMIF($AD$3:$BA$3,"&gt;="&amp;$DG35,$B35:$Y35)),
IF(AI$3=$DF35+'Model Setup'!$L$7,SUMIF($AD$3:$BA$3,"="&amp;$DF35+'Model Setup'!$L$7,$B35:$Y35)+'Model Setup'!$L$8*(SUMIF($AD$3:$BA$3,"&lt;"&amp;$DF35,$B35:$Y35)+SUMIF($AD$3:$BA$3,"&gt;="&amp;$DG35,$B35:$Y35)),
IF(AI$3=$DF35+'Model Setup'!$M$7,SUMIF($AD$3:$BA$3,"="&amp;$DF35+'Model Setup'!$M$7,$B35:$Y35)+'Model Setup'!$M$8*(SUMIF($AD$3:$BA$3,"&lt;"&amp;$DF35,$B35:$Y35)+SUMIF($AD$3:$BA$3,"&gt;="&amp;$DG35,$B35:$Y35)),
IF(AI$3=$DF35+'Model Setup'!$N$7,SUMIF($AD$3:$BA$3,"="&amp;$DF35+'Model Setup'!$N$7,$B35:$Y35)+'Model Setup'!$N$8*(SUMIF($AD$3:$BA$3,"&lt;"&amp;$DF35,$B35:$Y35)+SUMIF($AD$3:$BA$3,"&gt;="&amp;$DG35,$B35:$Y35)),
IF(AI$3&lt;$DG35,G35,0))))))))))))))),0)</f>
        <v>4</v>
      </c>
      <c r="AJ35" s="47">
        <f>ROUND(IF(AJ$3&lt;$DF35,0,
IF(AJ$3=$DF35+'Model Setup'!$B$7,SUMIF($AD$3:$BA$3,"="&amp;$DF35+'Model Setup'!$B$7,$B35:$Y35)+'Model Setup'!$B$8*(SUMIF($AD$3:$BA$3,"&lt;"&amp;$DF35,$B35:$Y35)+SUMIF($AD$3:$BA$3,"&gt;="&amp;$DG35,$B35:$Y35)),
IF(AJ$3=$DF35+'Model Setup'!$C$7,SUMIF($AD$3:$BA$3,"="&amp;$DF35+'Model Setup'!$C$7,$B35:$Y35)+'Model Setup'!$C$8*(SUMIF($AD$3:$BA$3,"&lt;"&amp;$DF35,$B35:$Y35)+SUMIF($AD$3:$BA$3,"&gt;="&amp;$DG35,$B35:$Y35)),
IF(AJ$3=$DF35+'Model Setup'!$D$7,SUMIF($AD$3:$BA$3,"="&amp;$DF35+'Model Setup'!$D$7,$B35:$Y35)+'Model Setup'!$D$8*(SUMIF($AD$3:$BA$3,"&lt;"&amp;$DF35,$B35:$Y35)+SUMIF($AD$3:$BA$3,"&gt;="&amp;$DG35,$B35:$Y35)),
IF(AJ$3=$DF35+'Model Setup'!$E$7,SUMIF($AD$3:$BA$3,"="&amp;$DF35+'Model Setup'!$E$7,$B35:$Y35)+'Model Setup'!$E$8*(SUMIF($AD$3:$BA$3,"&lt;"&amp;$DF35,$B35:$Y35)+SUMIF($AD$3:$BA$3,"&gt;="&amp;$DG35,$B35:$Y35)),
IF(AJ$3=$DF35+'Model Setup'!$F$7,SUMIF($AD$3:$BA$3,"="&amp;$DF35+'Model Setup'!$F$7,$B35:$Y35)+'Model Setup'!$F$8*(SUMIF($AD$3:$BA$3,"&lt;"&amp;$DF35,$B35:$Y35)+SUMIF($AD$3:$BA$3,"&gt;="&amp;$DG35,$B35:$Y35)),
IF(AJ$3=$DF35+'Model Setup'!$G$7,SUMIF($AD$3:$BA$3,"="&amp;$DF35+'Model Setup'!$G$7,$B35:$Y35)+'Model Setup'!$G$8*(SUMIF($AD$3:$BA$3,"&lt;"&amp;$DF35,$B35:$Y35)+SUMIF($AD$3:$BA$3,"&gt;="&amp;$DG35,$B35:$Y35)),
IF(AJ$3=$DF35+'Model Setup'!$H$7,SUMIF($AD$3:$BA$3,"="&amp;$DF35+'Model Setup'!$H$7,$B35:$Y35)+'Model Setup'!$H$8*(SUMIF($AD$3:$BA$3,"&lt;"&amp;$DF35,$B35:$Y35)+SUMIF($AD$3:$BA$3,"&gt;="&amp;$DG35,$B35:$Y35)),
IF(AJ$3=$DF35+'Model Setup'!$I$7,SUMIF($AD$3:$BA$3,"="&amp;$DF35+'Model Setup'!$I$7,$B35:$Y35)+'Model Setup'!$I$8*(SUMIF($AD$3:$BA$3,"&lt;"&amp;$DF35,$B35:$Y35)+SUMIF($AD$3:$BA$3,"&gt;="&amp;$DG35,$B35:$Y35)),
IF(AJ$3=$DF35+'Model Setup'!$J$7,SUMIF($AD$3:$BA$3,"="&amp;$DF35+'Model Setup'!$J$7,$B35:$Y35)+'Model Setup'!$J$8*(SUMIF($AD$3:$BA$3,"&lt;"&amp;$DF35,$B35:$Y35)+SUMIF($AD$3:$BA$3,"&gt;="&amp;$DG35,$B35:$Y35)),
IF(AJ$3=$DF35+'Model Setup'!$K$7,SUMIF($AD$3:$BA$3,"="&amp;$DF35+'Model Setup'!$K$7,$B35:$Y35)+'Model Setup'!$K$8*(SUMIF($AD$3:$BA$3,"&lt;"&amp;$DF35,$B35:$Y35)+SUMIF($AD$3:$BA$3,"&gt;="&amp;$DG35,$B35:$Y35)),
IF(AJ$3=$DF35+'Model Setup'!$L$7,SUMIF($AD$3:$BA$3,"="&amp;$DF35+'Model Setup'!$L$7,$B35:$Y35)+'Model Setup'!$L$8*(SUMIF($AD$3:$BA$3,"&lt;"&amp;$DF35,$B35:$Y35)+SUMIF($AD$3:$BA$3,"&gt;="&amp;$DG35,$B35:$Y35)),
IF(AJ$3=$DF35+'Model Setup'!$M$7,SUMIF($AD$3:$BA$3,"="&amp;$DF35+'Model Setup'!$M$7,$B35:$Y35)+'Model Setup'!$M$8*(SUMIF($AD$3:$BA$3,"&lt;"&amp;$DF35,$B35:$Y35)+SUMIF($AD$3:$BA$3,"&gt;="&amp;$DG35,$B35:$Y35)),
IF(AJ$3=$DF35+'Model Setup'!$N$7,SUMIF($AD$3:$BA$3,"="&amp;$DF35+'Model Setup'!$N$7,$B35:$Y35)+'Model Setup'!$N$8*(SUMIF($AD$3:$BA$3,"&lt;"&amp;$DF35,$B35:$Y35)+SUMIF($AD$3:$BA$3,"&gt;="&amp;$DG35,$B35:$Y35)),
IF(AJ$3&lt;$DG35,H35,0))))))))))))))),0)</f>
        <v>42</v>
      </c>
      <c r="AK35" s="47">
        <f>ROUND(IF(AK$3&lt;$DF35,0,
IF(AK$3=$DF35+'Model Setup'!$B$7,SUMIF($AD$3:$BA$3,"="&amp;$DF35+'Model Setup'!$B$7,$B35:$Y35)+'Model Setup'!$B$8*(SUMIF($AD$3:$BA$3,"&lt;"&amp;$DF35,$B35:$Y35)+SUMIF($AD$3:$BA$3,"&gt;="&amp;$DG35,$B35:$Y35)),
IF(AK$3=$DF35+'Model Setup'!$C$7,SUMIF($AD$3:$BA$3,"="&amp;$DF35+'Model Setup'!$C$7,$B35:$Y35)+'Model Setup'!$C$8*(SUMIF($AD$3:$BA$3,"&lt;"&amp;$DF35,$B35:$Y35)+SUMIF($AD$3:$BA$3,"&gt;="&amp;$DG35,$B35:$Y35)),
IF(AK$3=$DF35+'Model Setup'!$D$7,SUMIF($AD$3:$BA$3,"="&amp;$DF35+'Model Setup'!$D$7,$B35:$Y35)+'Model Setup'!$D$8*(SUMIF($AD$3:$BA$3,"&lt;"&amp;$DF35,$B35:$Y35)+SUMIF($AD$3:$BA$3,"&gt;="&amp;$DG35,$B35:$Y35)),
IF(AK$3=$DF35+'Model Setup'!$E$7,SUMIF($AD$3:$BA$3,"="&amp;$DF35+'Model Setup'!$E$7,$B35:$Y35)+'Model Setup'!$E$8*(SUMIF($AD$3:$BA$3,"&lt;"&amp;$DF35,$B35:$Y35)+SUMIF($AD$3:$BA$3,"&gt;="&amp;$DG35,$B35:$Y35)),
IF(AK$3=$DF35+'Model Setup'!$F$7,SUMIF($AD$3:$BA$3,"="&amp;$DF35+'Model Setup'!$F$7,$B35:$Y35)+'Model Setup'!$F$8*(SUMIF($AD$3:$BA$3,"&lt;"&amp;$DF35,$B35:$Y35)+SUMIF($AD$3:$BA$3,"&gt;="&amp;$DG35,$B35:$Y35)),
IF(AK$3=$DF35+'Model Setup'!$G$7,SUMIF($AD$3:$BA$3,"="&amp;$DF35+'Model Setup'!$G$7,$B35:$Y35)+'Model Setup'!$G$8*(SUMIF($AD$3:$BA$3,"&lt;"&amp;$DF35,$B35:$Y35)+SUMIF($AD$3:$BA$3,"&gt;="&amp;$DG35,$B35:$Y35)),
IF(AK$3=$DF35+'Model Setup'!$H$7,SUMIF($AD$3:$BA$3,"="&amp;$DF35+'Model Setup'!$H$7,$B35:$Y35)+'Model Setup'!$H$8*(SUMIF($AD$3:$BA$3,"&lt;"&amp;$DF35,$B35:$Y35)+SUMIF($AD$3:$BA$3,"&gt;="&amp;$DG35,$B35:$Y35)),
IF(AK$3=$DF35+'Model Setup'!$I$7,SUMIF($AD$3:$BA$3,"="&amp;$DF35+'Model Setup'!$I$7,$B35:$Y35)+'Model Setup'!$I$8*(SUMIF($AD$3:$BA$3,"&lt;"&amp;$DF35,$B35:$Y35)+SUMIF($AD$3:$BA$3,"&gt;="&amp;$DG35,$B35:$Y35)),
IF(AK$3=$DF35+'Model Setup'!$J$7,SUMIF($AD$3:$BA$3,"="&amp;$DF35+'Model Setup'!$J$7,$B35:$Y35)+'Model Setup'!$J$8*(SUMIF($AD$3:$BA$3,"&lt;"&amp;$DF35,$B35:$Y35)+SUMIF($AD$3:$BA$3,"&gt;="&amp;$DG35,$B35:$Y35)),
IF(AK$3=$DF35+'Model Setup'!$K$7,SUMIF($AD$3:$BA$3,"="&amp;$DF35+'Model Setup'!$K$7,$B35:$Y35)+'Model Setup'!$K$8*(SUMIF($AD$3:$BA$3,"&lt;"&amp;$DF35,$B35:$Y35)+SUMIF($AD$3:$BA$3,"&gt;="&amp;$DG35,$B35:$Y35)),
IF(AK$3=$DF35+'Model Setup'!$L$7,SUMIF($AD$3:$BA$3,"="&amp;$DF35+'Model Setup'!$L$7,$B35:$Y35)+'Model Setup'!$L$8*(SUMIF($AD$3:$BA$3,"&lt;"&amp;$DF35,$B35:$Y35)+SUMIF($AD$3:$BA$3,"&gt;="&amp;$DG35,$B35:$Y35)),
IF(AK$3=$DF35+'Model Setup'!$M$7,SUMIF($AD$3:$BA$3,"="&amp;$DF35+'Model Setup'!$M$7,$B35:$Y35)+'Model Setup'!$M$8*(SUMIF($AD$3:$BA$3,"&lt;"&amp;$DF35,$B35:$Y35)+SUMIF($AD$3:$BA$3,"&gt;="&amp;$DG35,$B35:$Y35)),
IF(AK$3=$DF35+'Model Setup'!$N$7,SUMIF($AD$3:$BA$3,"="&amp;$DF35+'Model Setup'!$N$7,$B35:$Y35)+'Model Setup'!$N$8*(SUMIF($AD$3:$BA$3,"&lt;"&amp;$DF35,$B35:$Y35)+SUMIF($AD$3:$BA$3,"&gt;="&amp;$DG35,$B35:$Y35)),
IF(AK$3&lt;$DG35,I35,0))))))))))))))),0)</f>
        <v>50</v>
      </c>
      <c r="AL35" s="47">
        <f>ROUND(IF(AL$3&lt;$DF35,0,
IF(AL$3=$DF35+'Model Setup'!$B$7,SUMIF($AD$3:$BA$3,"="&amp;$DF35+'Model Setup'!$B$7,$B35:$Y35)+'Model Setup'!$B$8*(SUMIF($AD$3:$BA$3,"&lt;"&amp;$DF35,$B35:$Y35)+SUMIF($AD$3:$BA$3,"&gt;="&amp;$DG35,$B35:$Y35)),
IF(AL$3=$DF35+'Model Setup'!$C$7,SUMIF($AD$3:$BA$3,"="&amp;$DF35+'Model Setup'!$C$7,$B35:$Y35)+'Model Setup'!$C$8*(SUMIF($AD$3:$BA$3,"&lt;"&amp;$DF35,$B35:$Y35)+SUMIF($AD$3:$BA$3,"&gt;="&amp;$DG35,$B35:$Y35)),
IF(AL$3=$DF35+'Model Setup'!$D$7,SUMIF($AD$3:$BA$3,"="&amp;$DF35+'Model Setup'!$D$7,$B35:$Y35)+'Model Setup'!$D$8*(SUMIF($AD$3:$BA$3,"&lt;"&amp;$DF35,$B35:$Y35)+SUMIF($AD$3:$BA$3,"&gt;="&amp;$DG35,$B35:$Y35)),
IF(AL$3=$DF35+'Model Setup'!$E$7,SUMIF($AD$3:$BA$3,"="&amp;$DF35+'Model Setup'!$E$7,$B35:$Y35)+'Model Setup'!$E$8*(SUMIF($AD$3:$BA$3,"&lt;"&amp;$DF35,$B35:$Y35)+SUMIF($AD$3:$BA$3,"&gt;="&amp;$DG35,$B35:$Y35)),
IF(AL$3=$DF35+'Model Setup'!$F$7,SUMIF($AD$3:$BA$3,"="&amp;$DF35+'Model Setup'!$F$7,$B35:$Y35)+'Model Setup'!$F$8*(SUMIF($AD$3:$BA$3,"&lt;"&amp;$DF35,$B35:$Y35)+SUMIF($AD$3:$BA$3,"&gt;="&amp;$DG35,$B35:$Y35)),
IF(AL$3=$DF35+'Model Setup'!$G$7,SUMIF($AD$3:$BA$3,"="&amp;$DF35+'Model Setup'!$G$7,$B35:$Y35)+'Model Setup'!$G$8*(SUMIF($AD$3:$BA$3,"&lt;"&amp;$DF35,$B35:$Y35)+SUMIF($AD$3:$BA$3,"&gt;="&amp;$DG35,$B35:$Y35)),
IF(AL$3=$DF35+'Model Setup'!$H$7,SUMIF($AD$3:$BA$3,"="&amp;$DF35+'Model Setup'!$H$7,$B35:$Y35)+'Model Setup'!$H$8*(SUMIF($AD$3:$BA$3,"&lt;"&amp;$DF35,$B35:$Y35)+SUMIF($AD$3:$BA$3,"&gt;="&amp;$DG35,$B35:$Y35)),
IF(AL$3=$DF35+'Model Setup'!$I$7,SUMIF($AD$3:$BA$3,"="&amp;$DF35+'Model Setup'!$I$7,$B35:$Y35)+'Model Setup'!$I$8*(SUMIF($AD$3:$BA$3,"&lt;"&amp;$DF35,$B35:$Y35)+SUMIF($AD$3:$BA$3,"&gt;="&amp;$DG35,$B35:$Y35)),
IF(AL$3=$DF35+'Model Setup'!$J$7,SUMIF($AD$3:$BA$3,"="&amp;$DF35+'Model Setup'!$J$7,$B35:$Y35)+'Model Setup'!$J$8*(SUMIF($AD$3:$BA$3,"&lt;"&amp;$DF35,$B35:$Y35)+SUMIF($AD$3:$BA$3,"&gt;="&amp;$DG35,$B35:$Y35)),
IF(AL$3=$DF35+'Model Setup'!$K$7,SUMIF($AD$3:$BA$3,"="&amp;$DF35+'Model Setup'!$K$7,$B35:$Y35)+'Model Setup'!$K$8*(SUMIF($AD$3:$BA$3,"&lt;"&amp;$DF35,$B35:$Y35)+SUMIF($AD$3:$BA$3,"&gt;="&amp;$DG35,$B35:$Y35)),
IF(AL$3=$DF35+'Model Setup'!$L$7,SUMIF($AD$3:$BA$3,"="&amp;$DF35+'Model Setup'!$L$7,$B35:$Y35)+'Model Setup'!$L$8*(SUMIF($AD$3:$BA$3,"&lt;"&amp;$DF35,$B35:$Y35)+SUMIF($AD$3:$BA$3,"&gt;="&amp;$DG35,$B35:$Y35)),
IF(AL$3=$DF35+'Model Setup'!$M$7,SUMIF($AD$3:$BA$3,"="&amp;$DF35+'Model Setup'!$M$7,$B35:$Y35)+'Model Setup'!$M$8*(SUMIF($AD$3:$BA$3,"&lt;"&amp;$DF35,$B35:$Y35)+SUMIF($AD$3:$BA$3,"&gt;="&amp;$DG35,$B35:$Y35)),
IF(AL$3=$DF35+'Model Setup'!$N$7,SUMIF($AD$3:$BA$3,"="&amp;$DF35+'Model Setup'!$N$7,$B35:$Y35)+'Model Setup'!$N$8*(SUMIF($AD$3:$BA$3,"&lt;"&amp;$DF35,$B35:$Y35)+SUMIF($AD$3:$BA$3,"&gt;="&amp;$DG35,$B35:$Y35)),
IF(AL$3&lt;$DG35,J35,0))))))))))))))),0)</f>
        <v>44</v>
      </c>
      <c r="AM35" s="47">
        <f>ROUND(IF(AM$3&lt;$DF35,0,
IF(AM$3=$DF35+'Model Setup'!$B$7,SUMIF($AD$3:$BA$3,"="&amp;$DF35+'Model Setup'!$B$7,$B35:$Y35)+'Model Setup'!$B$8*(SUMIF($AD$3:$BA$3,"&lt;"&amp;$DF35,$B35:$Y35)+SUMIF($AD$3:$BA$3,"&gt;="&amp;$DG35,$B35:$Y35)),
IF(AM$3=$DF35+'Model Setup'!$C$7,SUMIF($AD$3:$BA$3,"="&amp;$DF35+'Model Setup'!$C$7,$B35:$Y35)+'Model Setup'!$C$8*(SUMIF($AD$3:$BA$3,"&lt;"&amp;$DF35,$B35:$Y35)+SUMIF($AD$3:$BA$3,"&gt;="&amp;$DG35,$B35:$Y35)),
IF(AM$3=$DF35+'Model Setup'!$D$7,SUMIF($AD$3:$BA$3,"="&amp;$DF35+'Model Setup'!$D$7,$B35:$Y35)+'Model Setup'!$D$8*(SUMIF($AD$3:$BA$3,"&lt;"&amp;$DF35,$B35:$Y35)+SUMIF($AD$3:$BA$3,"&gt;="&amp;$DG35,$B35:$Y35)),
IF(AM$3=$DF35+'Model Setup'!$E$7,SUMIF($AD$3:$BA$3,"="&amp;$DF35+'Model Setup'!$E$7,$B35:$Y35)+'Model Setup'!$E$8*(SUMIF($AD$3:$BA$3,"&lt;"&amp;$DF35,$B35:$Y35)+SUMIF($AD$3:$BA$3,"&gt;="&amp;$DG35,$B35:$Y35)),
IF(AM$3=$DF35+'Model Setup'!$F$7,SUMIF($AD$3:$BA$3,"="&amp;$DF35+'Model Setup'!$F$7,$B35:$Y35)+'Model Setup'!$F$8*(SUMIF($AD$3:$BA$3,"&lt;"&amp;$DF35,$B35:$Y35)+SUMIF($AD$3:$BA$3,"&gt;="&amp;$DG35,$B35:$Y35)),
IF(AM$3=$DF35+'Model Setup'!$G$7,SUMIF($AD$3:$BA$3,"="&amp;$DF35+'Model Setup'!$G$7,$B35:$Y35)+'Model Setup'!$G$8*(SUMIF($AD$3:$BA$3,"&lt;"&amp;$DF35,$B35:$Y35)+SUMIF($AD$3:$BA$3,"&gt;="&amp;$DG35,$B35:$Y35)),
IF(AM$3=$DF35+'Model Setup'!$H$7,SUMIF($AD$3:$BA$3,"="&amp;$DF35+'Model Setup'!$H$7,$B35:$Y35)+'Model Setup'!$H$8*(SUMIF($AD$3:$BA$3,"&lt;"&amp;$DF35,$B35:$Y35)+SUMIF($AD$3:$BA$3,"&gt;="&amp;$DG35,$B35:$Y35)),
IF(AM$3=$DF35+'Model Setup'!$I$7,SUMIF($AD$3:$BA$3,"="&amp;$DF35+'Model Setup'!$I$7,$B35:$Y35)+'Model Setup'!$I$8*(SUMIF($AD$3:$BA$3,"&lt;"&amp;$DF35,$B35:$Y35)+SUMIF($AD$3:$BA$3,"&gt;="&amp;$DG35,$B35:$Y35)),
IF(AM$3=$DF35+'Model Setup'!$J$7,SUMIF($AD$3:$BA$3,"="&amp;$DF35+'Model Setup'!$J$7,$B35:$Y35)+'Model Setup'!$J$8*(SUMIF($AD$3:$BA$3,"&lt;"&amp;$DF35,$B35:$Y35)+SUMIF($AD$3:$BA$3,"&gt;="&amp;$DG35,$B35:$Y35)),
IF(AM$3=$DF35+'Model Setup'!$K$7,SUMIF($AD$3:$BA$3,"="&amp;$DF35+'Model Setup'!$K$7,$B35:$Y35)+'Model Setup'!$K$8*(SUMIF($AD$3:$BA$3,"&lt;"&amp;$DF35,$B35:$Y35)+SUMIF($AD$3:$BA$3,"&gt;="&amp;$DG35,$B35:$Y35)),
IF(AM$3=$DF35+'Model Setup'!$L$7,SUMIF($AD$3:$BA$3,"="&amp;$DF35+'Model Setup'!$L$7,$B35:$Y35)+'Model Setup'!$L$8*(SUMIF($AD$3:$BA$3,"&lt;"&amp;$DF35,$B35:$Y35)+SUMIF($AD$3:$BA$3,"&gt;="&amp;$DG35,$B35:$Y35)),
IF(AM$3=$DF35+'Model Setup'!$M$7,SUMIF($AD$3:$BA$3,"="&amp;$DF35+'Model Setup'!$M$7,$B35:$Y35)+'Model Setup'!$M$8*(SUMIF($AD$3:$BA$3,"&lt;"&amp;$DF35,$B35:$Y35)+SUMIF($AD$3:$BA$3,"&gt;="&amp;$DG35,$B35:$Y35)),
IF(AM$3=$DF35+'Model Setup'!$N$7,SUMIF($AD$3:$BA$3,"="&amp;$DF35+'Model Setup'!$N$7,$B35:$Y35)+'Model Setup'!$N$8*(SUMIF($AD$3:$BA$3,"&lt;"&amp;$DF35,$B35:$Y35)+SUMIF($AD$3:$BA$3,"&gt;="&amp;$DG35,$B35:$Y35)),
IF(AM$3&lt;$DG35,K35,0))))))))))))))),0)</f>
        <v>26</v>
      </c>
      <c r="AN35" s="47">
        <f>ROUND(IF(AN$3&lt;$DF35,0,
IF(AN$3=$DF35+'Model Setup'!$B$7,SUMIF($AD$3:$BA$3,"="&amp;$DF35+'Model Setup'!$B$7,$B35:$Y35)+'Model Setup'!$B$8*(SUMIF($AD$3:$BA$3,"&lt;"&amp;$DF35,$B35:$Y35)+SUMIF($AD$3:$BA$3,"&gt;="&amp;$DG35,$B35:$Y35)),
IF(AN$3=$DF35+'Model Setup'!$C$7,SUMIF($AD$3:$BA$3,"="&amp;$DF35+'Model Setup'!$C$7,$B35:$Y35)+'Model Setup'!$C$8*(SUMIF($AD$3:$BA$3,"&lt;"&amp;$DF35,$B35:$Y35)+SUMIF($AD$3:$BA$3,"&gt;="&amp;$DG35,$B35:$Y35)),
IF(AN$3=$DF35+'Model Setup'!$D$7,SUMIF($AD$3:$BA$3,"="&amp;$DF35+'Model Setup'!$D$7,$B35:$Y35)+'Model Setup'!$D$8*(SUMIF($AD$3:$BA$3,"&lt;"&amp;$DF35,$B35:$Y35)+SUMIF($AD$3:$BA$3,"&gt;="&amp;$DG35,$B35:$Y35)),
IF(AN$3=$DF35+'Model Setup'!$E$7,SUMIF($AD$3:$BA$3,"="&amp;$DF35+'Model Setup'!$E$7,$B35:$Y35)+'Model Setup'!$E$8*(SUMIF($AD$3:$BA$3,"&lt;"&amp;$DF35,$B35:$Y35)+SUMIF($AD$3:$BA$3,"&gt;="&amp;$DG35,$B35:$Y35)),
IF(AN$3=$DF35+'Model Setup'!$F$7,SUMIF($AD$3:$BA$3,"="&amp;$DF35+'Model Setup'!$F$7,$B35:$Y35)+'Model Setup'!$F$8*(SUMIF($AD$3:$BA$3,"&lt;"&amp;$DF35,$B35:$Y35)+SUMIF($AD$3:$BA$3,"&gt;="&amp;$DG35,$B35:$Y35)),
IF(AN$3=$DF35+'Model Setup'!$G$7,SUMIF($AD$3:$BA$3,"="&amp;$DF35+'Model Setup'!$G$7,$B35:$Y35)+'Model Setup'!$G$8*(SUMIF($AD$3:$BA$3,"&lt;"&amp;$DF35,$B35:$Y35)+SUMIF($AD$3:$BA$3,"&gt;="&amp;$DG35,$B35:$Y35)),
IF(AN$3=$DF35+'Model Setup'!$H$7,SUMIF($AD$3:$BA$3,"="&amp;$DF35+'Model Setup'!$H$7,$B35:$Y35)+'Model Setup'!$H$8*(SUMIF($AD$3:$BA$3,"&lt;"&amp;$DF35,$B35:$Y35)+SUMIF($AD$3:$BA$3,"&gt;="&amp;$DG35,$B35:$Y35)),
IF(AN$3=$DF35+'Model Setup'!$I$7,SUMIF($AD$3:$BA$3,"="&amp;$DF35+'Model Setup'!$I$7,$B35:$Y35)+'Model Setup'!$I$8*(SUMIF($AD$3:$BA$3,"&lt;"&amp;$DF35,$B35:$Y35)+SUMIF($AD$3:$BA$3,"&gt;="&amp;$DG35,$B35:$Y35)),
IF(AN$3=$DF35+'Model Setup'!$J$7,SUMIF($AD$3:$BA$3,"="&amp;$DF35+'Model Setup'!$J$7,$B35:$Y35)+'Model Setup'!$J$8*(SUMIF($AD$3:$BA$3,"&lt;"&amp;$DF35,$B35:$Y35)+SUMIF($AD$3:$BA$3,"&gt;="&amp;$DG35,$B35:$Y35)),
IF(AN$3=$DF35+'Model Setup'!$K$7,SUMIF($AD$3:$BA$3,"="&amp;$DF35+'Model Setup'!$K$7,$B35:$Y35)+'Model Setup'!$K$8*(SUMIF($AD$3:$BA$3,"&lt;"&amp;$DF35,$B35:$Y35)+SUMIF($AD$3:$BA$3,"&gt;="&amp;$DG35,$B35:$Y35)),
IF(AN$3=$DF35+'Model Setup'!$L$7,SUMIF($AD$3:$BA$3,"="&amp;$DF35+'Model Setup'!$L$7,$B35:$Y35)+'Model Setup'!$L$8*(SUMIF($AD$3:$BA$3,"&lt;"&amp;$DF35,$B35:$Y35)+SUMIF($AD$3:$BA$3,"&gt;="&amp;$DG35,$B35:$Y35)),
IF(AN$3=$DF35+'Model Setup'!$M$7,SUMIF($AD$3:$BA$3,"="&amp;$DF35+'Model Setup'!$M$7,$B35:$Y35)+'Model Setup'!$M$8*(SUMIF($AD$3:$BA$3,"&lt;"&amp;$DF35,$B35:$Y35)+SUMIF($AD$3:$BA$3,"&gt;="&amp;$DG35,$B35:$Y35)),
IF(AN$3=$DF35+'Model Setup'!$N$7,SUMIF($AD$3:$BA$3,"="&amp;$DF35+'Model Setup'!$N$7,$B35:$Y35)+'Model Setup'!$N$8*(SUMIF($AD$3:$BA$3,"&lt;"&amp;$DF35,$B35:$Y35)+SUMIF($AD$3:$BA$3,"&gt;="&amp;$DG35,$B35:$Y35)),
IF(AN$3&lt;$DG35,L35,0))))))))))))))),0)</f>
        <v>21</v>
      </c>
      <c r="AO35" s="47">
        <f>ROUND(IF(AO$3&lt;$DF35,0,
IF(AO$3=$DF35+'Model Setup'!$B$7,SUMIF($AD$3:$BA$3,"="&amp;$DF35+'Model Setup'!$B$7,$B35:$Y35)+'Model Setup'!$B$8*(SUMIF($AD$3:$BA$3,"&lt;"&amp;$DF35,$B35:$Y35)+SUMIF($AD$3:$BA$3,"&gt;="&amp;$DG35,$B35:$Y35)),
IF(AO$3=$DF35+'Model Setup'!$C$7,SUMIF($AD$3:$BA$3,"="&amp;$DF35+'Model Setup'!$C$7,$B35:$Y35)+'Model Setup'!$C$8*(SUMIF($AD$3:$BA$3,"&lt;"&amp;$DF35,$B35:$Y35)+SUMIF($AD$3:$BA$3,"&gt;="&amp;$DG35,$B35:$Y35)),
IF(AO$3=$DF35+'Model Setup'!$D$7,SUMIF($AD$3:$BA$3,"="&amp;$DF35+'Model Setup'!$D$7,$B35:$Y35)+'Model Setup'!$D$8*(SUMIF($AD$3:$BA$3,"&lt;"&amp;$DF35,$B35:$Y35)+SUMIF($AD$3:$BA$3,"&gt;="&amp;$DG35,$B35:$Y35)),
IF(AO$3=$DF35+'Model Setup'!$E$7,SUMIF($AD$3:$BA$3,"="&amp;$DF35+'Model Setup'!$E$7,$B35:$Y35)+'Model Setup'!$E$8*(SUMIF($AD$3:$BA$3,"&lt;"&amp;$DF35,$B35:$Y35)+SUMIF($AD$3:$BA$3,"&gt;="&amp;$DG35,$B35:$Y35)),
IF(AO$3=$DF35+'Model Setup'!$F$7,SUMIF($AD$3:$BA$3,"="&amp;$DF35+'Model Setup'!$F$7,$B35:$Y35)+'Model Setup'!$F$8*(SUMIF($AD$3:$BA$3,"&lt;"&amp;$DF35,$B35:$Y35)+SUMIF($AD$3:$BA$3,"&gt;="&amp;$DG35,$B35:$Y35)),
IF(AO$3=$DF35+'Model Setup'!$G$7,SUMIF($AD$3:$BA$3,"="&amp;$DF35+'Model Setup'!$G$7,$B35:$Y35)+'Model Setup'!$G$8*(SUMIF($AD$3:$BA$3,"&lt;"&amp;$DF35,$B35:$Y35)+SUMIF($AD$3:$BA$3,"&gt;="&amp;$DG35,$B35:$Y35)),
IF(AO$3=$DF35+'Model Setup'!$H$7,SUMIF($AD$3:$BA$3,"="&amp;$DF35+'Model Setup'!$H$7,$B35:$Y35)+'Model Setup'!$H$8*(SUMIF($AD$3:$BA$3,"&lt;"&amp;$DF35,$B35:$Y35)+SUMIF($AD$3:$BA$3,"&gt;="&amp;$DG35,$B35:$Y35)),
IF(AO$3=$DF35+'Model Setup'!$I$7,SUMIF($AD$3:$BA$3,"="&amp;$DF35+'Model Setup'!$I$7,$B35:$Y35)+'Model Setup'!$I$8*(SUMIF($AD$3:$BA$3,"&lt;"&amp;$DF35,$B35:$Y35)+SUMIF($AD$3:$BA$3,"&gt;="&amp;$DG35,$B35:$Y35)),
IF(AO$3=$DF35+'Model Setup'!$J$7,SUMIF($AD$3:$BA$3,"="&amp;$DF35+'Model Setup'!$J$7,$B35:$Y35)+'Model Setup'!$J$8*(SUMIF($AD$3:$BA$3,"&lt;"&amp;$DF35,$B35:$Y35)+SUMIF($AD$3:$BA$3,"&gt;="&amp;$DG35,$B35:$Y35)),
IF(AO$3=$DF35+'Model Setup'!$K$7,SUMIF($AD$3:$BA$3,"="&amp;$DF35+'Model Setup'!$K$7,$B35:$Y35)+'Model Setup'!$K$8*(SUMIF($AD$3:$BA$3,"&lt;"&amp;$DF35,$B35:$Y35)+SUMIF($AD$3:$BA$3,"&gt;="&amp;$DG35,$B35:$Y35)),
IF(AO$3=$DF35+'Model Setup'!$L$7,SUMIF($AD$3:$BA$3,"="&amp;$DF35+'Model Setup'!$L$7,$B35:$Y35)+'Model Setup'!$L$8*(SUMIF($AD$3:$BA$3,"&lt;"&amp;$DF35,$B35:$Y35)+SUMIF($AD$3:$BA$3,"&gt;="&amp;$DG35,$B35:$Y35)),
IF(AO$3=$DF35+'Model Setup'!$M$7,SUMIF($AD$3:$BA$3,"="&amp;$DF35+'Model Setup'!$M$7,$B35:$Y35)+'Model Setup'!$M$8*(SUMIF($AD$3:$BA$3,"&lt;"&amp;$DF35,$B35:$Y35)+SUMIF($AD$3:$BA$3,"&gt;="&amp;$DG35,$B35:$Y35)),
IF(AO$3=$DF35+'Model Setup'!$N$7,SUMIF($AD$3:$BA$3,"="&amp;$DF35+'Model Setup'!$N$7,$B35:$Y35)+'Model Setup'!$N$8*(SUMIF($AD$3:$BA$3,"&lt;"&amp;$DF35,$B35:$Y35)+SUMIF($AD$3:$BA$3,"&gt;="&amp;$DG35,$B35:$Y35)),
IF(AO$3&lt;$DG35,M35,0))))))))))))))),0)</f>
        <v>23</v>
      </c>
      <c r="AP35" s="47">
        <f>ROUND(IF(AP$3&lt;$DF35,0,
IF(AP$3=$DF35+'Model Setup'!$B$7,SUMIF($AD$3:$BA$3,"="&amp;$DF35+'Model Setup'!$B$7,$B35:$Y35)+'Model Setup'!$B$8*(SUMIF($AD$3:$BA$3,"&lt;"&amp;$DF35,$B35:$Y35)+SUMIF($AD$3:$BA$3,"&gt;="&amp;$DG35,$B35:$Y35)),
IF(AP$3=$DF35+'Model Setup'!$C$7,SUMIF($AD$3:$BA$3,"="&amp;$DF35+'Model Setup'!$C$7,$B35:$Y35)+'Model Setup'!$C$8*(SUMIF($AD$3:$BA$3,"&lt;"&amp;$DF35,$B35:$Y35)+SUMIF($AD$3:$BA$3,"&gt;="&amp;$DG35,$B35:$Y35)),
IF(AP$3=$DF35+'Model Setup'!$D$7,SUMIF($AD$3:$BA$3,"="&amp;$DF35+'Model Setup'!$D$7,$B35:$Y35)+'Model Setup'!$D$8*(SUMIF($AD$3:$BA$3,"&lt;"&amp;$DF35,$B35:$Y35)+SUMIF($AD$3:$BA$3,"&gt;="&amp;$DG35,$B35:$Y35)),
IF(AP$3=$DF35+'Model Setup'!$E$7,SUMIF($AD$3:$BA$3,"="&amp;$DF35+'Model Setup'!$E$7,$B35:$Y35)+'Model Setup'!$E$8*(SUMIF($AD$3:$BA$3,"&lt;"&amp;$DF35,$B35:$Y35)+SUMIF($AD$3:$BA$3,"&gt;="&amp;$DG35,$B35:$Y35)),
IF(AP$3=$DF35+'Model Setup'!$F$7,SUMIF($AD$3:$BA$3,"="&amp;$DF35+'Model Setup'!$F$7,$B35:$Y35)+'Model Setup'!$F$8*(SUMIF($AD$3:$BA$3,"&lt;"&amp;$DF35,$B35:$Y35)+SUMIF($AD$3:$BA$3,"&gt;="&amp;$DG35,$B35:$Y35)),
IF(AP$3=$DF35+'Model Setup'!$G$7,SUMIF($AD$3:$BA$3,"="&amp;$DF35+'Model Setup'!$G$7,$B35:$Y35)+'Model Setup'!$G$8*(SUMIF($AD$3:$BA$3,"&lt;"&amp;$DF35,$B35:$Y35)+SUMIF($AD$3:$BA$3,"&gt;="&amp;$DG35,$B35:$Y35)),
IF(AP$3=$DF35+'Model Setup'!$H$7,SUMIF($AD$3:$BA$3,"="&amp;$DF35+'Model Setup'!$H$7,$B35:$Y35)+'Model Setup'!$H$8*(SUMIF($AD$3:$BA$3,"&lt;"&amp;$DF35,$B35:$Y35)+SUMIF($AD$3:$BA$3,"&gt;="&amp;$DG35,$B35:$Y35)),
IF(AP$3=$DF35+'Model Setup'!$I$7,SUMIF($AD$3:$BA$3,"="&amp;$DF35+'Model Setup'!$I$7,$B35:$Y35)+'Model Setup'!$I$8*(SUMIF($AD$3:$BA$3,"&lt;"&amp;$DF35,$B35:$Y35)+SUMIF($AD$3:$BA$3,"&gt;="&amp;$DG35,$B35:$Y35)),
IF(AP$3=$DF35+'Model Setup'!$J$7,SUMIF($AD$3:$BA$3,"="&amp;$DF35+'Model Setup'!$J$7,$B35:$Y35)+'Model Setup'!$J$8*(SUMIF($AD$3:$BA$3,"&lt;"&amp;$DF35,$B35:$Y35)+SUMIF($AD$3:$BA$3,"&gt;="&amp;$DG35,$B35:$Y35)),
IF(AP$3=$DF35+'Model Setup'!$K$7,SUMIF($AD$3:$BA$3,"="&amp;$DF35+'Model Setup'!$K$7,$B35:$Y35)+'Model Setup'!$K$8*(SUMIF($AD$3:$BA$3,"&lt;"&amp;$DF35,$B35:$Y35)+SUMIF($AD$3:$BA$3,"&gt;="&amp;$DG35,$B35:$Y35)),
IF(AP$3=$DF35+'Model Setup'!$L$7,SUMIF($AD$3:$BA$3,"="&amp;$DF35+'Model Setup'!$L$7,$B35:$Y35)+'Model Setup'!$L$8*(SUMIF($AD$3:$BA$3,"&lt;"&amp;$DF35,$B35:$Y35)+SUMIF($AD$3:$BA$3,"&gt;="&amp;$DG35,$B35:$Y35)),
IF(AP$3=$DF35+'Model Setup'!$M$7,SUMIF($AD$3:$BA$3,"="&amp;$DF35+'Model Setup'!$M$7,$B35:$Y35)+'Model Setup'!$M$8*(SUMIF($AD$3:$BA$3,"&lt;"&amp;$DF35,$B35:$Y35)+SUMIF($AD$3:$BA$3,"&gt;="&amp;$DG35,$B35:$Y35)),
IF(AP$3=$DF35+'Model Setup'!$N$7,SUMIF($AD$3:$BA$3,"="&amp;$DF35+'Model Setup'!$N$7,$B35:$Y35)+'Model Setup'!$N$8*(SUMIF($AD$3:$BA$3,"&lt;"&amp;$DF35,$B35:$Y35)+SUMIF($AD$3:$BA$3,"&gt;="&amp;$DG35,$B35:$Y35)),
IF(AP$3&lt;$DG35,N35,0))))))))))))))),0)</f>
        <v>19</v>
      </c>
      <c r="AQ35" s="47">
        <f>ROUND(IF(AQ$3&lt;$DF35,0,
IF(AQ$3=$DF35+'Model Setup'!$B$7,SUMIF($AD$3:$BA$3,"="&amp;$DF35+'Model Setup'!$B$7,$B35:$Y35)+'Model Setup'!$B$8*(SUMIF($AD$3:$BA$3,"&lt;"&amp;$DF35,$B35:$Y35)+SUMIF($AD$3:$BA$3,"&gt;="&amp;$DG35,$B35:$Y35)),
IF(AQ$3=$DF35+'Model Setup'!$C$7,SUMIF($AD$3:$BA$3,"="&amp;$DF35+'Model Setup'!$C$7,$B35:$Y35)+'Model Setup'!$C$8*(SUMIF($AD$3:$BA$3,"&lt;"&amp;$DF35,$B35:$Y35)+SUMIF($AD$3:$BA$3,"&gt;="&amp;$DG35,$B35:$Y35)),
IF(AQ$3=$DF35+'Model Setup'!$D$7,SUMIF($AD$3:$BA$3,"="&amp;$DF35+'Model Setup'!$D$7,$B35:$Y35)+'Model Setup'!$D$8*(SUMIF($AD$3:$BA$3,"&lt;"&amp;$DF35,$B35:$Y35)+SUMIF($AD$3:$BA$3,"&gt;="&amp;$DG35,$B35:$Y35)),
IF(AQ$3=$DF35+'Model Setup'!$E$7,SUMIF($AD$3:$BA$3,"="&amp;$DF35+'Model Setup'!$E$7,$B35:$Y35)+'Model Setup'!$E$8*(SUMIF($AD$3:$BA$3,"&lt;"&amp;$DF35,$B35:$Y35)+SUMIF($AD$3:$BA$3,"&gt;="&amp;$DG35,$B35:$Y35)),
IF(AQ$3=$DF35+'Model Setup'!$F$7,SUMIF($AD$3:$BA$3,"="&amp;$DF35+'Model Setup'!$F$7,$B35:$Y35)+'Model Setup'!$F$8*(SUMIF($AD$3:$BA$3,"&lt;"&amp;$DF35,$B35:$Y35)+SUMIF($AD$3:$BA$3,"&gt;="&amp;$DG35,$B35:$Y35)),
IF(AQ$3=$DF35+'Model Setup'!$G$7,SUMIF($AD$3:$BA$3,"="&amp;$DF35+'Model Setup'!$G$7,$B35:$Y35)+'Model Setup'!$G$8*(SUMIF($AD$3:$BA$3,"&lt;"&amp;$DF35,$B35:$Y35)+SUMIF($AD$3:$BA$3,"&gt;="&amp;$DG35,$B35:$Y35)),
IF(AQ$3=$DF35+'Model Setup'!$H$7,SUMIF($AD$3:$BA$3,"="&amp;$DF35+'Model Setup'!$H$7,$B35:$Y35)+'Model Setup'!$H$8*(SUMIF($AD$3:$BA$3,"&lt;"&amp;$DF35,$B35:$Y35)+SUMIF($AD$3:$BA$3,"&gt;="&amp;$DG35,$B35:$Y35)),
IF(AQ$3=$DF35+'Model Setup'!$I$7,SUMIF($AD$3:$BA$3,"="&amp;$DF35+'Model Setup'!$I$7,$B35:$Y35)+'Model Setup'!$I$8*(SUMIF($AD$3:$BA$3,"&lt;"&amp;$DF35,$B35:$Y35)+SUMIF($AD$3:$BA$3,"&gt;="&amp;$DG35,$B35:$Y35)),
IF(AQ$3=$DF35+'Model Setup'!$J$7,SUMIF($AD$3:$BA$3,"="&amp;$DF35+'Model Setup'!$J$7,$B35:$Y35)+'Model Setup'!$J$8*(SUMIF($AD$3:$BA$3,"&lt;"&amp;$DF35,$B35:$Y35)+SUMIF($AD$3:$BA$3,"&gt;="&amp;$DG35,$B35:$Y35)),
IF(AQ$3=$DF35+'Model Setup'!$K$7,SUMIF($AD$3:$BA$3,"="&amp;$DF35+'Model Setup'!$K$7,$B35:$Y35)+'Model Setup'!$K$8*(SUMIF($AD$3:$BA$3,"&lt;"&amp;$DF35,$B35:$Y35)+SUMIF($AD$3:$BA$3,"&gt;="&amp;$DG35,$B35:$Y35)),
IF(AQ$3=$DF35+'Model Setup'!$L$7,SUMIF($AD$3:$BA$3,"="&amp;$DF35+'Model Setup'!$L$7,$B35:$Y35)+'Model Setup'!$L$8*(SUMIF($AD$3:$BA$3,"&lt;"&amp;$DF35,$B35:$Y35)+SUMIF($AD$3:$BA$3,"&gt;="&amp;$DG35,$B35:$Y35)),
IF(AQ$3=$DF35+'Model Setup'!$M$7,SUMIF($AD$3:$BA$3,"="&amp;$DF35+'Model Setup'!$M$7,$B35:$Y35)+'Model Setup'!$M$8*(SUMIF($AD$3:$BA$3,"&lt;"&amp;$DF35,$B35:$Y35)+SUMIF($AD$3:$BA$3,"&gt;="&amp;$DG35,$B35:$Y35)),
IF(AQ$3=$DF35+'Model Setup'!$N$7,SUMIF($AD$3:$BA$3,"="&amp;$DF35+'Model Setup'!$N$7,$B35:$Y35)+'Model Setup'!$N$8*(SUMIF($AD$3:$BA$3,"&lt;"&amp;$DF35,$B35:$Y35)+SUMIF($AD$3:$BA$3,"&gt;="&amp;$DG35,$B35:$Y35)),
IF(AQ$3&lt;$DG35,O35,0))))))))))))))),0)</f>
        <v>12</v>
      </c>
      <c r="AR35" s="47">
        <f>ROUND(IF(AR$3&lt;$DF35,0,
IF(AR$3=$DF35+'Model Setup'!$B$7,SUMIF($AD$3:$BA$3,"="&amp;$DF35+'Model Setup'!$B$7,$B35:$Y35)+'Model Setup'!$B$8*(SUMIF($AD$3:$BA$3,"&lt;"&amp;$DF35,$B35:$Y35)+SUMIF($AD$3:$BA$3,"&gt;="&amp;$DG35,$B35:$Y35)),
IF(AR$3=$DF35+'Model Setup'!$C$7,SUMIF($AD$3:$BA$3,"="&amp;$DF35+'Model Setup'!$C$7,$B35:$Y35)+'Model Setup'!$C$8*(SUMIF($AD$3:$BA$3,"&lt;"&amp;$DF35,$B35:$Y35)+SUMIF($AD$3:$BA$3,"&gt;="&amp;$DG35,$B35:$Y35)),
IF(AR$3=$DF35+'Model Setup'!$D$7,SUMIF($AD$3:$BA$3,"="&amp;$DF35+'Model Setup'!$D$7,$B35:$Y35)+'Model Setup'!$D$8*(SUMIF($AD$3:$BA$3,"&lt;"&amp;$DF35,$B35:$Y35)+SUMIF($AD$3:$BA$3,"&gt;="&amp;$DG35,$B35:$Y35)),
IF(AR$3=$DF35+'Model Setup'!$E$7,SUMIF($AD$3:$BA$3,"="&amp;$DF35+'Model Setup'!$E$7,$B35:$Y35)+'Model Setup'!$E$8*(SUMIF($AD$3:$BA$3,"&lt;"&amp;$DF35,$B35:$Y35)+SUMIF($AD$3:$BA$3,"&gt;="&amp;$DG35,$B35:$Y35)),
IF(AR$3=$DF35+'Model Setup'!$F$7,SUMIF($AD$3:$BA$3,"="&amp;$DF35+'Model Setup'!$F$7,$B35:$Y35)+'Model Setup'!$F$8*(SUMIF($AD$3:$BA$3,"&lt;"&amp;$DF35,$B35:$Y35)+SUMIF($AD$3:$BA$3,"&gt;="&amp;$DG35,$B35:$Y35)),
IF(AR$3=$DF35+'Model Setup'!$G$7,SUMIF($AD$3:$BA$3,"="&amp;$DF35+'Model Setup'!$G$7,$B35:$Y35)+'Model Setup'!$G$8*(SUMIF($AD$3:$BA$3,"&lt;"&amp;$DF35,$B35:$Y35)+SUMIF($AD$3:$BA$3,"&gt;="&amp;$DG35,$B35:$Y35)),
IF(AR$3=$DF35+'Model Setup'!$H$7,SUMIF($AD$3:$BA$3,"="&amp;$DF35+'Model Setup'!$H$7,$B35:$Y35)+'Model Setup'!$H$8*(SUMIF($AD$3:$BA$3,"&lt;"&amp;$DF35,$B35:$Y35)+SUMIF($AD$3:$BA$3,"&gt;="&amp;$DG35,$B35:$Y35)),
IF(AR$3=$DF35+'Model Setup'!$I$7,SUMIF($AD$3:$BA$3,"="&amp;$DF35+'Model Setup'!$I$7,$B35:$Y35)+'Model Setup'!$I$8*(SUMIF($AD$3:$BA$3,"&lt;"&amp;$DF35,$B35:$Y35)+SUMIF($AD$3:$BA$3,"&gt;="&amp;$DG35,$B35:$Y35)),
IF(AR$3=$DF35+'Model Setup'!$J$7,SUMIF($AD$3:$BA$3,"="&amp;$DF35+'Model Setup'!$J$7,$B35:$Y35)+'Model Setup'!$J$8*(SUMIF($AD$3:$BA$3,"&lt;"&amp;$DF35,$B35:$Y35)+SUMIF($AD$3:$BA$3,"&gt;="&amp;$DG35,$B35:$Y35)),
IF(AR$3=$DF35+'Model Setup'!$K$7,SUMIF($AD$3:$BA$3,"="&amp;$DF35+'Model Setup'!$K$7,$B35:$Y35)+'Model Setup'!$K$8*(SUMIF($AD$3:$BA$3,"&lt;"&amp;$DF35,$B35:$Y35)+SUMIF($AD$3:$BA$3,"&gt;="&amp;$DG35,$B35:$Y35)),
IF(AR$3=$DF35+'Model Setup'!$L$7,SUMIF($AD$3:$BA$3,"="&amp;$DF35+'Model Setup'!$L$7,$B35:$Y35)+'Model Setup'!$L$8*(SUMIF($AD$3:$BA$3,"&lt;"&amp;$DF35,$B35:$Y35)+SUMIF($AD$3:$BA$3,"&gt;="&amp;$DG35,$B35:$Y35)),
IF(AR$3=$DF35+'Model Setup'!$M$7,SUMIF($AD$3:$BA$3,"="&amp;$DF35+'Model Setup'!$M$7,$B35:$Y35)+'Model Setup'!$M$8*(SUMIF($AD$3:$BA$3,"&lt;"&amp;$DF35,$B35:$Y35)+SUMIF($AD$3:$BA$3,"&gt;="&amp;$DG35,$B35:$Y35)),
IF(AR$3=$DF35+'Model Setup'!$N$7,SUMIF($AD$3:$BA$3,"="&amp;$DF35+'Model Setup'!$N$7,$B35:$Y35)+'Model Setup'!$N$8*(SUMIF($AD$3:$BA$3,"&lt;"&amp;$DF35,$B35:$Y35)+SUMIF($AD$3:$BA$3,"&gt;="&amp;$DG35,$B35:$Y35)),
IF(AR$3&lt;$DG35,P35,0))))))))))))))),0)</f>
        <v>4</v>
      </c>
      <c r="AS35" s="47">
        <f>ROUND(IF(AS$3&lt;$DF35,0,
IF(AS$3=$DF35+'Model Setup'!$B$7,SUMIF($AD$3:$BA$3,"="&amp;$DF35+'Model Setup'!$B$7,$B35:$Y35)+'Model Setup'!$B$8*(SUMIF($AD$3:$BA$3,"&lt;"&amp;$DF35,$B35:$Y35)+SUMIF($AD$3:$BA$3,"&gt;="&amp;$DG35,$B35:$Y35)),
IF(AS$3=$DF35+'Model Setup'!$C$7,SUMIF($AD$3:$BA$3,"="&amp;$DF35+'Model Setup'!$C$7,$B35:$Y35)+'Model Setup'!$C$8*(SUMIF($AD$3:$BA$3,"&lt;"&amp;$DF35,$B35:$Y35)+SUMIF($AD$3:$BA$3,"&gt;="&amp;$DG35,$B35:$Y35)),
IF(AS$3=$DF35+'Model Setup'!$D$7,SUMIF($AD$3:$BA$3,"="&amp;$DF35+'Model Setup'!$D$7,$B35:$Y35)+'Model Setup'!$D$8*(SUMIF($AD$3:$BA$3,"&lt;"&amp;$DF35,$B35:$Y35)+SUMIF($AD$3:$BA$3,"&gt;="&amp;$DG35,$B35:$Y35)),
IF(AS$3=$DF35+'Model Setup'!$E$7,SUMIF($AD$3:$BA$3,"="&amp;$DF35+'Model Setup'!$E$7,$B35:$Y35)+'Model Setup'!$E$8*(SUMIF($AD$3:$BA$3,"&lt;"&amp;$DF35,$B35:$Y35)+SUMIF($AD$3:$BA$3,"&gt;="&amp;$DG35,$B35:$Y35)),
IF(AS$3=$DF35+'Model Setup'!$F$7,SUMIF($AD$3:$BA$3,"="&amp;$DF35+'Model Setup'!$F$7,$B35:$Y35)+'Model Setup'!$F$8*(SUMIF($AD$3:$BA$3,"&lt;"&amp;$DF35,$B35:$Y35)+SUMIF($AD$3:$BA$3,"&gt;="&amp;$DG35,$B35:$Y35)),
IF(AS$3=$DF35+'Model Setup'!$G$7,SUMIF($AD$3:$BA$3,"="&amp;$DF35+'Model Setup'!$G$7,$B35:$Y35)+'Model Setup'!$G$8*(SUMIF($AD$3:$BA$3,"&lt;"&amp;$DF35,$B35:$Y35)+SUMIF($AD$3:$BA$3,"&gt;="&amp;$DG35,$B35:$Y35)),
IF(AS$3=$DF35+'Model Setup'!$H$7,SUMIF($AD$3:$BA$3,"="&amp;$DF35+'Model Setup'!$H$7,$B35:$Y35)+'Model Setup'!$H$8*(SUMIF($AD$3:$BA$3,"&lt;"&amp;$DF35,$B35:$Y35)+SUMIF($AD$3:$BA$3,"&gt;="&amp;$DG35,$B35:$Y35)),
IF(AS$3=$DF35+'Model Setup'!$I$7,SUMIF($AD$3:$BA$3,"="&amp;$DF35+'Model Setup'!$I$7,$B35:$Y35)+'Model Setup'!$I$8*(SUMIF($AD$3:$BA$3,"&lt;"&amp;$DF35,$B35:$Y35)+SUMIF($AD$3:$BA$3,"&gt;="&amp;$DG35,$B35:$Y35)),
IF(AS$3=$DF35+'Model Setup'!$J$7,SUMIF($AD$3:$BA$3,"="&amp;$DF35+'Model Setup'!$J$7,$B35:$Y35)+'Model Setup'!$J$8*(SUMIF($AD$3:$BA$3,"&lt;"&amp;$DF35,$B35:$Y35)+SUMIF($AD$3:$BA$3,"&gt;="&amp;$DG35,$B35:$Y35)),
IF(AS$3=$DF35+'Model Setup'!$K$7,SUMIF($AD$3:$BA$3,"="&amp;$DF35+'Model Setup'!$K$7,$B35:$Y35)+'Model Setup'!$K$8*(SUMIF($AD$3:$BA$3,"&lt;"&amp;$DF35,$B35:$Y35)+SUMIF($AD$3:$BA$3,"&gt;="&amp;$DG35,$B35:$Y35)),
IF(AS$3=$DF35+'Model Setup'!$L$7,SUMIF($AD$3:$BA$3,"="&amp;$DF35+'Model Setup'!$L$7,$B35:$Y35)+'Model Setup'!$L$8*(SUMIF($AD$3:$BA$3,"&lt;"&amp;$DF35,$B35:$Y35)+SUMIF($AD$3:$BA$3,"&gt;="&amp;$DG35,$B35:$Y35)),
IF(AS$3=$DF35+'Model Setup'!$M$7,SUMIF($AD$3:$BA$3,"="&amp;$DF35+'Model Setup'!$M$7,$B35:$Y35)+'Model Setup'!$M$8*(SUMIF($AD$3:$BA$3,"&lt;"&amp;$DF35,$B35:$Y35)+SUMIF($AD$3:$BA$3,"&gt;="&amp;$DG35,$B35:$Y35)),
IF(AS$3=$DF35+'Model Setup'!$N$7,SUMIF($AD$3:$BA$3,"="&amp;$DF35+'Model Setup'!$N$7,$B35:$Y35)+'Model Setup'!$N$8*(SUMIF($AD$3:$BA$3,"&lt;"&amp;$DF35,$B35:$Y35)+SUMIF($AD$3:$BA$3,"&gt;="&amp;$DG35,$B35:$Y35)),
IF(AS$3&lt;$DG35,Q35,0))))))))))))))),0)</f>
        <v>10</v>
      </c>
      <c r="AT35" s="47">
        <f>ROUND(IF(AT$3&lt;$DF35,0,
IF(AT$3=$DF35+'Model Setup'!$B$7,SUMIF($AD$3:$BA$3,"="&amp;$DF35+'Model Setup'!$B$7,$B35:$Y35)+'Model Setup'!$B$8*(SUMIF($AD$3:$BA$3,"&lt;"&amp;$DF35,$B35:$Y35)+SUMIF($AD$3:$BA$3,"&gt;="&amp;$DG35,$B35:$Y35)),
IF(AT$3=$DF35+'Model Setup'!$C$7,SUMIF($AD$3:$BA$3,"="&amp;$DF35+'Model Setup'!$C$7,$B35:$Y35)+'Model Setup'!$C$8*(SUMIF($AD$3:$BA$3,"&lt;"&amp;$DF35,$B35:$Y35)+SUMIF($AD$3:$BA$3,"&gt;="&amp;$DG35,$B35:$Y35)),
IF(AT$3=$DF35+'Model Setup'!$D$7,SUMIF($AD$3:$BA$3,"="&amp;$DF35+'Model Setup'!$D$7,$B35:$Y35)+'Model Setup'!$D$8*(SUMIF($AD$3:$BA$3,"&lt;"&amp;$DF35,$B35:$Y35)+SUMIF($AD$3:$BA$3,"&gt;="&amp;$DG35,$B35:$Y35)),
IF(AT$3=$DF35+'Model Setup'!$E$7,SUMIF($AD$3:$BA$3,"="&amp;$DF35+'Model Setup'!$E$7,$B35:$Y35)+'Model Setup'!$E$8*(SUMIF($AD$3:$BA$3,"&lt;"&amp;$DF35,$B35:$Y35)+SUMIF($AD$3:$BA$3,"&gt;="&amp;$DG35,$B35:$Y35)),
IF(AT$3=$DF35+'Model Setup'!$F$7,SUMIF($AD$3:$BA$3,"="&amp;$DF35+'Model Setup'!$F$7,$B35:$Y35)+'Model Setup'!$F$8*(SUMIF($AD$3:$BA$3,"&lt;"&amp;$DF35,$B35:$Y35)+SUMIF($AD$3:$BA$3,"&gt;="&amp;$DG35,$B35:$Y35)),
IF(AT$3=$DF35+'Model Setup'!$G$7,SUMIF($AD$3:$BA$3,"="&amp;$DF35+'Model Setup'!$G$7,$B35:$Y35)+'Model Setup'!$G$8*(SUMIF($AD$3:$BA$3,"&lt;"&amp;$DF35,$B35:$Y35)+SUMIF($AD$3:$BA$3,"&gt;="&amp;$DG35,$B35:$Y35)),
IF(AT$3=$DF35+'Model Setup'!$H$7,SUMIF($AD$3:$BA$3,"="&amp;$DF35+'Model Setup'!$H$7,$B35:$Y35)+'Model Setup'!$H$8*(SUMIF($AD$3:$BA$3,"&lt;"&amp;$DF35,$B35:$Y35)+SUMIF($AD$3:$BA$3,"&gt;="&amp;$DG35,$B35:$Y35)),
IF(AT$3=$DF35+'Model Setup'!$I$7,SUMIF($AD$3:$BA$3,"="&amp;$DF35+'Model Setup'!$I$7,$B35:$Y35)+'Model Setup'!$I$8*(SUMIF($AD$3:$BA$3,"&lt;"&amp;$DF35,$B35:$Y35)+SUMIF($AD$3:$BA$3,"&gt;="&amp;$DG35,$B35:$Y35)),
IF(AT$3=$DF35+'Model Setup'!$J$7,SUMIF($AD$3:$BA$3,"="&amp;$DF35+'Model Setup'!$J$7,$B35:$Y35)+'Model Setup'!$J$8*(SUMIF($AD$3:$BA$3,"&lt;"&amp;$DF35,$B35:$Y35)+SUMIF($AD$3:$BA$3,"&gt;="&amp;$DG35,$B35:$Y35)),
IF(AT$3=$DF35+'Model Setup'!$K$7,SUMIF($AD$3:$BA$3,"="&amp;$DF35+'Model Setup'!$K$7,$B35:$Y35)+'Model Setup'!$K$8*(SUMIF($AD$3:$BA$3,"&lt;"&amp;$DF35,$B35:$Y35)+SUMIF($AD$3:$BA$3,"&gt;="&amp;$DG35,$B35:$Y35)),
IF(AT$3=$DF35+'Model Setup'!$L$7,SUMIF($AD$3:$BA$3,"="&amp;$DF35+'Model Setup'!$L$7,$B35:$Y35)+'Model Setup'!$L$8*(SUMIF($AD$3:$BA$3,"&lt;"&amp;$DF35,$B35:$Y35)+SUMIF($AD$3:$BA$3,"&gt;="&amp;$DG35,$B35:$Y35)),
IF(AT$3=$DF35+'Model Setup'!$M$7,SUMIF($AD$3:$BA$3,"="&amp;$DF35+'Model Setup'!$M$7,$B35:$Y35)+'Model Setup'!$M$8*(SUMIF($AD$3:$BA$3,"&lt;"&amp;$DF35,$B35:$Y35)+SUMIF($AD$3:$BA$3,"&gt;="&amp;$DG35,$B35:$Y35)),
IF(AT$3=$DF35+'Model Setup'!$N$7,SUMIF($AD$3:$BA$3,"="&amp;$DF35+'Model Setup'!$N$7,$B35:$Y35)+'Model Setup'!$N$8*(SUMIF($AD$3:$BA$3,"&lt;"&amp;$DF35,$B35:$Y35)+SUMIF($AD$3:$BA$3,"&gt;="&amp;$DG35,$B35:$Y35)),
IF(AT$3&lt;$DG35,R35,0))))))))))))))),0)</f>
        <v>14</v>
      </c>
      <c r="AU35" s="47">
        <f>ROUND(IF(AU$3&lt;$DF35,0,
IF(AU$3=$DF35+'Model Setup'!$B$7,SUMIF($AD$3:$BA$3,"="&amp;$DF35+'Model Setup'!$B$7,$B35:$Y35)+'Model Setup'!$B$8*(SUMIF($AD$3:$BA$3,"&lt;"&amp;$DF35,$B35:$Y35)+SUMIF($AD$3:$BA$3,"&gt;="&amp;$DG35,$B35:$Y35)),
IF(AU$3=$DF35+'Model Setup'!$C$7,SUMIF($AD$3:$BA$3,"="&amp;$DF35+'Model Setup'!$C$7,$B35:$Y35)+'Model Setup'!$C$8*(SUMIF($AD$3:$BA$3,"&lt;"&amp;$DF35,$B35:$Y35)+SUMIF($AD$3:$BA$3,"&gt;="&amp;$DG35,$B35:$Y35)),
IF(AU$3=$DF35+'Model Setup'!$D$7,SUMIF($AD$3:$BA$3,"="&amp;$DF35+'Model Setup'!$D$7,$B35:$Y35)+'Model Setup'!$D$8*(SUMIF($AD$3:$BA$3,"&lt;"&amp;$DF35,$B35:$Y35)+SUMIF($AD$3:$BA$3,"&gt;="&amp;$DG35,$B35:$Y35)),
IF(AU$3=$DF35+'Model Setup'!$E$7,SUMIF($AD$3:$BA$3,"="&amp;$DF35+'Model Setup'!$E$7,$B35:$Y35)+'Model Setup'!$E$8*(SUMIF($AD$3:$BA$3,"&lt;"&amp;$DF35,$B35:$Y35)+SUMIF($AD$3:$BA$3,"&gt;="&amp;$DG35,$B35:$Y35)),
IF(AU$3=$DF35+'Model Setup'!$F$7,SUMIF($AD$3:$BA$3,"="&amp;$DF35+'Model Setup'!$F$7,$B35:$Y35)+'Model Setup'!$F$8*(SUMIF($AD$3:$BA$3,"&lt;"&amp;$DF35,$B35:$Y35)+SUMIF($AD$3:$BA$3,"&gt;="&amp;$DG35,$B35:$Y35)),
IF(AU$3=$DF35+'Model Setup'!$G$7,SUMIF($AD$3:$BA$3,"="&amp;$DF35+'Model Setup'!$G$7,$B35:$Y35)+'Model Setup'!$G$8*(SUMIF($AD$3:$BA$3,"&lt;"&amp;$DF35,$B35:$Y35)+SUMIF($AD$3:$BA$3,"&gt;="&amp;$DG35,$B35:$Y35)),
IF(AU$3=$DF35+'Model Setup'!$H$7,SUMIF($AD$3:$BA$3,"="&amp;$DF35+'Model Setup'!$H$7,$B35:$Y35)+'Model Setup'!$H$8*(SUMIF($AD$3:$BA$3,"&lt;"&amp;$DF35,$B35:$Y35)+SUMIF($AD$3:$BA$3,"&gt;="&amp;$DG35,$B35:$Y35)),
IF(AU$3=$DF35+'Model Setup'!$I$7,SUMIF($AD$3:$BA$3,"="&amp;$DF35+'Model Setup'!$I$7,$B35:$Y35)+'Model Setup'!$I$8*(SUMIF($AD$3:$BA$3,"&lt;"&amp;$DF35,$B35:$Y35)+SUMIF($AD$3:$BA$3,"&gt;="&amp;$DG35,$B35:$Y35)),
IF(AU$3=$DF35+'Model Setup'!$J$7,SUMIF($AD$3:$BA$3,"="&amp;$DF35+'Model Setup'!$J$7,$B35:$Y35)+'Model Setup'!$J$8*(SUMIF($AD$3:$BA$3,"&lt;"&amp;$DF35,$B35:$Y35)+SUMIF($AD$3:$BA$3,"&gt;="&amp;$DG35,$B35:$Y35)),
IF(AU$3=$DF35+'Model Setup'!$K$7,SUMIF($AD$3:$BA$3,"="&amp;$DF35+'Model Setup'!$K$7,$B35:$Y35)+'Model Setup'!$K$8*(SUMIF($AD$3:$BA$3,"&lt;"&amp;$DF35,$B35:$Y35)+SUMIF($AD$3:$BA$3,"&gt;="&amp;$DG35,$B35:$Y35)),
IF(AU$3=$DF35+'Model Setup'!$L$7,SUMIF($AD$3:$BA$3,"="&amp;$DF35+'Model Setup'!$L$7,$B35:$Y35)+'Model Setup'!$L$8*(SUMIF($AD$3:$BA$3,"&lt;"&amp;$DF35,$B35:$Y35)+SUMIF($AD$3:$BA$3,"&gt;="&amp;$DG35,$B35:$Y35)),
IF(AU$3=$DF35+'Model Setup'!$M$7,SUMIF($AD$3:$BA$3,"="&amp;$DF35+'Model Setup'!$M$7,$B35:$Y35)+'Model Setup'!$M$8*(SUMIF($AD$3:$BA$3,"&lt;"&amp;$DF35,$B35:$Y35)+SUMIF($AD$3:$BA$3,"&gt;="&amp;$DG35,$B35:$Y35)),
IF(AU$3=$DF35+'Model Setup'!$N$7,SUMIF($AD$3:$BA$3,"="&amp;$DF35+'Model Setup'!$N$7,$B35:$Y35)+'Model Setup'!$N$8*(SUMIF($AD$3:$BA$3,"&lt;"&amp;$DF35,$B35:$Y35)+SUMIF($AD$3:$BA$3,"&gt;="&amp;$DG35,$B35:$Y35)),
IF(AU$3&lt;$DG35,S35,0))))))))))))))),0)</f>
        <v>10</v>
      </c>
      <c r="AV35" s="47">
        <f>ROUND(IF(AV$3&lt;$DF35,0,
IF(AV$3=$DF35+'Model Setup'!$B$7,SUMIF($AD$3:$BA$3,"="&amp;$DF35+'Model Setup'!$B$7,$B35:$Y35)+'Model Setup'!$B$8*(SUMIF($AD$3:$BA$3,"&lt;"&amp;$DF35,$B35:$Y35)+SUMIF($AD$3:$BA$3,"&gt;="&amp;$DG35,$B35:$Y35)),
IF(AV$3=$DF35+'Model Setup'!$C$7,SUMIF($AD$3:$BA$3,"="&amp;$DF35+'Model Setup'!$C$7,$B35:$Y35)+'Model Setup'!$C$8*(SUMIF($AD$3:$BA$3,"&lt;"&amp;$DF35,$B35:$Y35)+SUMIF($AD$3:$BA$3,"&gt;="&amp;$DG35,$B35:$Y35)),
IF(AV$3=$DF35+'Model Setup'!$D$7,SUMIF($AD$3:$BA$3,"="&amp;$DF35+'Model Setup'!$D$7,$B35:$Y35)+'Model Setup'!$D$8*(SUMIF($AD$3:$BA$3,"&lt;"&amp;$DF35,$B35:$Y35)+SUMIF($AD$3:$BA$3,"&gt;="&amp;$DG35,$B35:$Y35)),
IF(AV$3=$DF35+'Model Setup'!$E$7,SUMIF($AD$3:$BA$3,"="&amp;$DF35+'Model Setup'!$E$7,$B35:$Y35)+'Model Setup'!$E$8*(SUMIF($AD$3:$BA$3,"&lt;"&amp;$DF35,$B35:$Y35)+SUMIF($AD$3:$BA$3,"&gt;="&amp;$DG35,$B35:$Y35)),
IF(AV$3=$DF35+'Model Setup'!$F$7,SUMIF($AD$3:$BA$3,"="&amp;$DF35+'Model Setup'!$F$7,$B35:$Y35)+'Model Setup'!$F$8*(SUMIF($AD$3:$BA$3,"&lt;"&amp;$DF35,$B35:$Y35)+SUMIF($AD$3:$BA$3,"&gt;="&amp;$DG35,$B35:$Y35)),
IF(AV$3=$DF35+'Model Setup'!$G$7,SUMIF($AD$3:$BA$3,"="&amp;$DF35+'Model Setup'!$G$7,$B35:$Y35)+'Model Setup'!$G$8*(SUMIF($AD$3:$BA$3,"&lt;"&amp;$DF35,$B35:$Y35)+SUMIF($AD$3:$BA$3,"&gt;="&amp;$DG35,$B35:$Y35)),
IF(AV$3=$DF35+'Model Setup'!$H$7,SUMIF($AD$3:$BA$3,"="&amp;$DF35+'Model Setup'!$H$7,$B35:$Y35)+'Model Setup'!$H$8*(SUMIF($AD$3:$BA$3,"&lt;"&amp;$DF35,$B35:$Y35)+SUMIF($AD$3:$BA$3,"&gt;="&amp;$DG35,$B35:$Y35)),
IF(AV$3=$DF35+'Model Setup'!$I$7,SUMIF($AD$3:$BA$3,"="&amp;$DF35+'Model Setup'!$I$7,$B35:$Y35)+'Model Setup'!$I$8*(SUMIF($AD$3:$BA$3,"&lt;"&amp;$DF35,$B35:$Y35)+SUMIF($AD$3:$BA$3,"&gt;="&amp;$DG35,$B35:$Y35)),
IF(AV$3=$DF35+'Model Setup'!$J$7,SUMIF($AD$3:$BA$3,"="&amp;$DF35+'Model Setup'!$J$7,$B35:$Y35)+'Model Setup'!$J$8*(SUMIF($AD$3:$BA$3,"&lt;"&amp;$DF35,$B35:$Y35)+SUMIF($AD$3:$BA$3,"&gt;="&amp;$DG35,$B35:$Y35)),
IF(AV$3=$DF35+'Model Setup'!$K$7,SUMIF($AD$3:$BA$3,"="&amp;$DF35+'Model Setup'!$K$7,$B35:$Y35)+'Model Setup'!$K$8*(SUMIF($AD$3:$BA$3,"&lt;"&amp;$DF35,$B35:$Y35)+SUMIF($AD$3:$BA$3,"&gt;="&amp;$DG35,$B35:$Y35)),
IF(AV$3=$DF35+'Model Setup'!$L$7,SUMIF($AD$3:$BA$3,"="&amp;$DF35+'Model Setup'!$L$7,$B35:$Y35)+'Model Setup'!$L$8*(SUMIF($AD$3:$BA$3,"&lt;"&amp;$DF35,$B35:$Y35)+SUMIF($AD$3:$BA$3,"&gt;="&amp;$DG35,$B35:$Y35)),
IF(AV$3=$DF35+'Model Setup'!$M$7,SUMIF($AD$3:$BA$3,"="&amp;$DF35+'Model Setup'!$M$7,$B35:$Y35)+'Model Setup'!$M$8*(SUMIF($AD$3:$BA$3,"&lt;"&amp;$DF35,$B35:$Y35)+SUMIF($AD$3:$BA$3,"&gt;="&amp;$DG35,$B35:$Y35)),
IF(AV$3=$DF35+'Model Setup'!$N$7,SUMIF($AD$3:$BA$3,"="&amp;$DF35+'Model Setup'!$N$7,$B35:$Y35)+'Model Setup'!$N$8*(SUMIF($AD$3:$BA$3,"&lt;"&amp;$DF35,$B35:$Y35)+SUMIF($AD$3:$BA$3,"&gt;="&amp;$DG35,$B35:$Y35)),
IF(AV$3&lt;$DG35,T35,0))))))))))))))),0)</f>
        <v>0</v>
      </c>
      <c r="AW35" s="47">
        <f>ROUND(IF(AW$3&lt;$DF35,0,
IF(AW$3=$DF35+'Model Setup'!$B$7,SUMIF($AD$3:$BA$3,"="&amp;$DF35+'Model Setup'!$B$7,$B35:$Y35)+'Model Setup'!$B$8*(SUMIF($AD$3:$BA$3,"&lt;"&amp;$DF35,$B35:$Y35)+SUMIF($AD$3:$BA$3,"&gt;="&amp;$DG35,$B35:$Y35)),
IF(AW$3=$DF35+'Model Setup'!$C$7,SUMIF($AD$3:$BA$3,"="&amp;$DF35+'Model Setup'!$C$7,$B35:$Y35)+'Model Setup'!$C$8*(SUMIF($AD$3:$BA$3,"&lt;"&amp;$DF35,$B35:$Y35)+SUMIF($AD$3:$BA$3,"&gt;="&amp;$DG35,$B35:$Y35)),
IF(AW$3=$DF35+'Model Setup'!$D$7,SUMIF($AD$3:$BA$3,"="&amp;$DF35+'Model Setup'!$D$7,$B35:$Y35)+'Model Setup'!$D$8*(SUMIF($AD$3:$BA$3,"&lt;"&amp;$DF35,$B35:$Y35)+SUMIF($AD$3:$BA$3,"&gt;="&amp;$DG35,$B35:$Y35)),
IF(AW$3=$DF35+'Model Setup'!$E$7,SUMIF($AD$3:$BA$3,"="&amp;$DF35+'Model Setup'!$E$7,$B35:$Y35)+'Model Setup'!$E$8*(SUMIF($AD$3:$BA$3,"&lt;"&amp;$DF35,$B35:$Y35)+SUMIF($AD$3:$BA$3,"&gt;="&amp;$DG35,$B35:$Y35)),
IF(AW$3=$DF35+'Model Setup'!$F$7,SUMIF($AD$3:$BA$3,"="&amp;$DF35+'Model Setup'!$F$7,$B35:$Y35)+'Model Setup'!$F$8*(SUMIF($AD$3:$BA$3,"&lt;"&amp;$DF35,$B35:$Y35)+SUMIF($AD$3:$BA$3,"&gt;="&amp;$DG35,$B35:$Y35)),
IF(AW$3=$DF35+'Model Setup'!$G$7,SUMIF($AD$3:$BA$3,"="&amp;$DF35+'Model Setup'!$G$7,$B35:$Y35)+'Model Setup'!$G$8*(SUMIF($AD$3:$BA$3,"&lt;"&amp;$DF35,$B35:$Y35)+SUMIF($AD$3:$BA$3,"&gt;="&amp;$DG35,$B35:$Y35)),
IF(AW$3=$DF35+'Model Setup'!$H$7,SUMIF($AD$3:$BA$3,"="&amp;$DF35+'Model Setup'!$H$7,$B35:$Y35)+'Model Setup'!$H$8*(SUMIF($AD$3:$BA$3,"&lt;"&amp;$DF35,$B35:$Y35)+SUMIF($AD$3:$BA$3,"&gt;="&amp;$DG35,$B35:$Y35)),
IF(AW$3=$DF35+'Model Setup'!$I$7,SUMIF($AD$3:$BA$3,"="&amp;$DF35+'Model Setup'!$I$7,$B35:$Y35)+'Model Setup'!$I$8*(SUMIF($AD$3:$BA$3,"&lt;"&amp;$DF35,$B35:$Y35)+SUMIF($AD$3:$BA$3,"&gt;="&amp;$DG35,$B35:$Y35)),
IF(AW$3=$DF35+'Model Setup'!$J$7,SUMIF($AD$3:$BA$3,"="&amp;$DF35+'Model Setup'!$J$7,$B35:$Y35)+'Model Setup'!$J$8*(SUMIF($AD$3:$BA$3,"&lt;"&amp;$DF35,$B35:$Y35)+SUMIF($AD$3:$BA$3,"&gt;="&amp;$DG35,$B35:$Y35)),
IF(AW$3=$DF35+'Model Setup'!$K$7,SUMIF($AD$3:$BA$3,"="&amp;$DF35+'Model Setup'!$K$7,$B35:$Y35)+'Model Setup'!$K$8*(SUMIF($AD$3:$BA$3,"&lt;"&amp;$DF35,$B35:$Y35)+SUMIF($AD$3:$BA$3,"&gt;="&amp;$DG35,$B35:$Y35)),
IF(AW$3=$DF35+'Model Setup'!$L$7,SUMIF($AD$3:$BA$3,"="&amp;$DF35+'Model Setup'!$L$7,$B35:$Y35)+'Model Setup'!$L$8*(SUMIF($AD$3:$BA$3,"&lt;"&amp;$DF35,$B35:$Y35)+SUMIF($AD$3:$BA$3,"&gt;="&amp;$DG35,$B35:$Y35)),
IF(AW$3=$DF35+'Model Setup'!$M$7,SUMIF($AD$3:$BA$3,"="&amp;$DF35+'Model Setup'!$M$7,$B35:$Y35)+'Model Setup'!$M$8*(SUMIF($AD$3:$BA$3,"&lt;"&amp;$DF35,$B35:$Y35)+SUMIF($AD$3:$BA$3,"&gt;="&amp;$DG35,$B35:$Y35)),
IF(AW$3=$DF35+'Model Setup'!$N$7,SUMIF($AD$3:$BA$3,"="&amp;$DF35+'Model Setup'!$N$7,$B35:$Y35)+'Model Setup'!$N$8*(SUMIF($AD$3:$BA$3,"&lt;"&amp;$DF35,$B35:$Y35)+SUMIF($AD$3:$BA$3,"&gt;="&amp;$DG35,$B35:$Y35)),
IF(AW$3&lt;$DG35,U35,0))))))))))))))),0)</f>
        <v>0</v>
      </c>
      <c r="AX35" s="47">
        <f>ROUND(IF(AX$3&lt;$DF35,0,
IF(AX$3=$DF35+'Model Setup'!$B$7,SUMIF($AD$3:$BA$3,"="&amp;$DF35+'Model Setup'!$B$7,$B35:$Y35)+'Model Setup'!$B$8*(SUMIF($AD$3:$BA$3,"&lt;"&amp;$DF35,$B35:$Y35)+SUMIF($AD$3:$BA$3,"&gt;="&amp;$DG35,$B35:$Y35)),
IF(AX$3=$DF35+'Model Setup'!$C$7,SUMIF($AD$3:$BA$3,"="&amp;$DF35+'Model Setup'!$C$7,$B35:$Y35)+'Model Setup'!$C$8*(SUMIF($AD$3:$BA$3,"&lt;"&amp;$DF35,$B35:$Y35)+SUMIF($AD$3:$BA$3,"&gt;="&amp;$DG35,$B35:$Y35)),
IF(AX$3=$DF35+'Model Setup'!$D$7,SUMIF($AD$3:$BA$3,"="&amp;$DF35+'Model Setup'!$D$7,$B35:$Y35)+'Model Setup'!$D$8*(SUMIF($AD$3:$BA$3,"&lt;"&amp;$DF35,$B35:$Y35)+SUMIF($AD$3:$BA$3,"&gt;="&amp;$DG35,$B35:$Y35)),
IF(AX$3=$DF35+'Model Setup'!$E$7,SUMIF($AD$3:$BA$3,"="&amp;$DF35+'Model Setup'!$E$7,$B35:$Y35)+'Model Setup'!$E$8*(SUMIF($AD$3:$BA$3,"&lt;"&amp;$DF35,$B35:$Y35)+SUMIF($AD$3:$BA$3,"&gt;="&amp;$DG35,$B35:$Y35)),
IF(AX$3=$DF35+'Model Setup'!$F$7,SUMIF($AD$3:$BA$3,"="&amp;$DF35+'Model Setup'!$F$7,$B35:$Y35)+'Model Setup'!$F$8*(SUMIF($AD$3:$BA$3,"&lt;"&amp;$DF35,$B35:$Y35)+SUMIF($AD$3:$BA$3,"&gt;="&amp;$DG35,$B35:$Y35)),
IF(AX$3=$DF35+'Model Setup'!$G$7,SUMIF($AD$3:$BA$3,"="&amp;$DF35+'Model Setup'!$G$7,$B35:$Y35)+'Model Setup'!$G$8*(SUMIF($AD$3:$BA$3,"&lt;"&amp;$DF35,$B35:$Y35)+SUMIF($AD$3:$BA$3,"&gt;="&amp;$DG35,$B35:$Y35)),
IF(AX$3=$DF35+'Model Setup'!$H$7,SUMIF($AD$3:$BA$3,"="&amp;$DF35+'Model Setup'!$H$7,$B35:$Y35)+'Model Setup'!$H$8*(SUMIF($AD$3:$BA$3,"&lt;"&amp;$DF35,$B35:$Y35)+SUMIF($AD$3:$BA$3,"&gt;="&amp;$DG35,$B35:$Y35)),
IF(AX$3=$DF35+'Model Setup'!$I$7,SUMIF($AD$3:$BA$3,"="&amp;$DF35+'Model Setup'!$I$7,$B35:$Y35)+'Model Setup'!$I$8*(SUMIF($AD$3:$BA$3,"&lt;"&amp;$DF35,$B35:$Y35)+SUMIF($AD$3:$BA$3,"&gt;="&amp;$DG35,$B35:$Y35)),
IF(AX$3=$DF35+'Model Setup'!$J$7,SUMIF($AD$3:$BA$3,"="&amp;$DF35+'Model Setup'!$J$7,$B35:$Y35)+'Model Setup'!$J$8*(SUMIF($AD$3:$BA$3,"&lt;"&amp;$DF35,$B35:$Y35)+SUMIF($AD$3:$BA$3,"&gt;="&amp;$DG35,$B35:$Y35)),
IF(AX$3=$DF35+'Model Setup'!$K$7,SUMIF($AD$3:$BA$3,"="&amp;$DF35+'Model Setup'!$K$7,$B35:$Y35)+'Model Setup'!$K$8*(SUMIF($AD$3:$BA$3,"&lt;"&amp;$DF35,$B35:$Y35)+SUMIF($AD$3:$BA$3,"&gt;="&amp;$DG35,$B35:$Y35)),
IF(AX$3=$DF35+'Model Setup'!$L$7,SUMIF($AD$3:$BA$3,"="&amp;$DF35+'Model Setup'!$L$7,$B35:$Y35)+'Model Setup'!$L$8*(SUMIF($AD$3:$BA$3,"&lt;"&amp;$DF35,$B35:$Y35)+SUMIF($AD$3:$BA$3,"&gt;="&amp;$DG35,$B35:$Y35)),
IF(AX$3=$DF35+'Model Setup'!$M$7,SUMIF($AD$3:$BA$3,"="&amp;$DF35+'Model Setup'!$M$7,$B35:$Y35)+'Model Setup'!$M$8*(SUMIF($AD$3:$BA$3,"&lt;"&amp;$DF35,$B35:$Y35)+SUMIF($AD$3:$BA$3,"&gt;="&amp;$DG35,$B35:$Y35)),
IF(AX$3=$DF35+'Model Setup'!$N$7,SUMIF($AD$3:$BA$3,"="&amp;$DF35+'Model Setup'!$N$7,$B35:$Y35)+'Model Setup'!$N$8*(SUMIF($AD$3:$BA$3,"&lt;"&amp;$DF35,$B35:$Y35)+SUMIF($AD$3:$BA$3,"&gt;="&amp;$DG35,$B35:$Y35)),
IF(AX$3&lt;$DG35,V35,0))))))))))))))),0)</f>
        <v>0</v>
      </c>
      <c r="AY35" s="47">
        <f>ROUND(IF(AY$3&lt;$DF35,0,
IF(AY$3=$DF35+'Model Setup'!$B$7,SUMIF($AD$3:$BA$3,"="&amp;$DF35+'Model Setup'!$B$7,$B35:$Y35)+'Model Setup'!$B$8*(SUMIF($AD$3:$BA$3,"&lt;"&amp;$DF35,$B35:$Y35)+SUMIF($AD$3:$BA$3,"&gt;="&amp;$DG35,$B35:$Y35)),
IF(AY$3=$DF35+'Model Setup'!$C$7,SUMIF($AD$3:$BA$3,"="&amp;$DF35+'Model Setup'!$C$7,$B35:$Y35)+'Model Setup'!$C$8*(SUMIF($AD$3:$BA$3,"&lt;"&amp;$DF35,$B35:$Y35)+SUMIF($AD$3:$BA$3,"&gt;="&amp;$DG35,$B35:$Y35)),
IF(AY$3=$DF35+'Model Setup'!$D$7,SUMIF($AD$3:$BA$3,"="&amp;$DF35+'Model Setup'!$D$7,$B35:$Y35)+'Model Setup'!$D$8*(SUMIF($AD$3:$BA$3,"&lt;"&amp;$DF35,$B35:$Y35)+SUMIF($AD$3:$BA$3,"&gt;="&amp;$DG35,$B35:$Y35)),
IF(AY$3=$DF35+'Model Setup'!$E$7,SUMIF($AD$3:$BA$3,"="&amp;$DF35+'Model Setup'!$E$7,$B35:$Y35)+'Model Setup'!$E$8*(SUMIF($AD$3:$BA$3,"&lt;"&amp;$DF35,$B35:$Y35)+SUMIF($AD$3:$BA$3,"&gt;="&amp;$DG35,$B35:$Y35)),
IF(AY$3=$DF35+'Model Setup'!$F$7,SUMIF($AD$3:$BA$3,"="&amp;$DF35+'Model Setup'!$F$7,$B35:$Y35)+'Model Setup'!$F$8*(SUMIF($AD$3:$BA$3,"&lt;"&amp;$DF35,$B35:$Y35)+SUMIF($AD$3:$BA$3,"&gt;="&amp;$DG35,$B35:$Y35)),
IF(AY$3=$DF35+'Model Setup'!$G$7,SUMIF($AD$3:$BA$3,"="&amp;$DF35+'Model Setup'!$G$7,$B35:$Y35)+'Model Setup'!$G$8*(SUMIF($AD$3:$BA$3,"&lt;"&amp;$DF35,$B35:$Y35)+SUMIF($AD$3:$BA$3,"&gt;="&amp;$DG35,$B35:$Y35)),
IF(AY$3=$DF35+'Model Setup'!$H$7,SUMIF($AD$3:$BA$3,"="&amp;$DF35+'Model Setup'!$H$7,$B35:$Y35)+'Model Setup'!$H$8*(SUMIF($AD$3:$BA$3,"&lt;"&amp;$DF35,$B35:$Y35)+SUMIF($AD$3:$BA$3,"&gt;="&amp;$DG35,$B35:$Y35)),
IF(AY$3=$DF35+'Model Setup'!$I$7,SUMIF($AD$3:$BA$3,"="&amp;$DF35+'Model Setup'!$I$7,$B35:$Y35)+'Model Setup'!$I$8*(SUMIF($AD$3:$BA$3,"&lt;"&amp;$DF35,$B35:$Y35)+SUMIF($AD$3:$BA$3,"&gt;="&amp;$DG35,$B35:$Y35)),
IF(AY$3=$DF35+'Model Setup'!$J$7,SUMIF($AD$3:$BA$3,"="&amp;$DF35+'Model Setup'!$J$7,$B35:$Y35)+'Model Setup'!$J$8*(SUMIF($AD$3:$BA$3,"&lt;"&amp;$DF35,$B35:$Y35)+SUMIF($AD$3:$BA$3,"&gt;="&amp;$DG35,$B35:$Y35)),
IF(AY$3=$DF35+'Model Setup'!$K$7,SUMIF($AD$3:$BA$3,"="&amp;$DF35+'Model Setup'!$K$7,$B35:$Y35)+'Model Setup'!$K$8*(SUMIF($AD$3:$BA$3,"&lt;"&amp;$DF35,$B35:$Y35)+SUMIF($AD$3:$BA$3,"&gt;="&amp;$DG35,$B35:$Y35)),
IF(AY$3=$DF35+'Model Setup'!$L$7,SUMIF($AD$3:$BA$3,"="&amp;$DF35+'Model Setup'!$L$7,$B35:$Y35)+'Model Setup'!$L$8*(SUMIF($AD$3:$BA$3,"&lt;"&amp;$DF35,$B35:$Y35)+SUMIF($AD$3:$BA$3,"&gt;="&amp;$DG35,$B35:$Y35)),
IF(AY$3=$DF35+'Model Setup'!$M$7,SUMIF($AD$3:$BA$3,"="&amp;$DF35+'Model Setup'!$M$7,$B35:$Y35)+'Model Setup'!$M$8*(SUMIF($AD$3:$BA$3,"&lt;"&amp;$DF35,$B35:$Y35)+SUMIF($AD$3:$BA$3,"&gt;="&amp;$DG35,$B35:$Y35)),
IF(AY$3=$DF35+'Model Setup'!$N$7,SUMIF($AD$3:$BA$3,"="&amp;$DF35+'Model Setup'!$N$7,$B35:$Y35)+'Model Setup'!$N$8*(SUMIF($AD$3:$BA$3,"&lt;"&amp;$DF35,$B35:$Y35)+SUMIF($AD$3:$BA$3,"&gt;="&amp;$DG35,$B35:$Y35)),
IF(AY$3&lt;$DG35,W35,0))))))))))))))),0)</f>
        <v>0</v>
      </c>
      <c r="AZ35" s="47">
        <f>ROUND(IF(AZ$3&lt;$DF35,0,
IF(AZ$3=$DF35+'Model Setup'!$B$7,SUMIF($AD$3:$BA$3,"="&amp;$DF35+'Model Setup'!$B$7,$B35:$Y35)+'Model Setup'!$B$8*(SUMIF($AD$3:$BA$3,"&lt;"&amp;$DF35,$B35:$Y35)+SUMIF($AD$3:$BA$3,"&gt;="&amp;$DG35,$B35:$Y35)),
IF(AZ$3=$DF35+'Model Setup'!$C$7,SUMIF($AD$3:$BA$3,"="&amp;$DF35+'Model Setup'!$C$7,$B35:$Y35)+'Model Setup'!$C$8*(SUMIF($AD$3:$BA$3,"&lt;"&amp;$DF35,$B35:$Y35)+SUMIF($AD$3:$BA$3,"&gt;="&amp;$DG35,$B35:$Y35)),
IF(AZ$3=$DF35+'Model Setup'!$D$7,SUMIF($AD$3:$BA$3,"="&amp;$DF35+'Model Setup'!$D$7,$B35:$Y35)+'Model Setup'!$D$8*(SUMIF($AD$3:$BA$3,"&lt;"&amp;$DF35,$B35:$Y35)+SUMIF($AD$3:$BA$3,"&gt;="&amp;$DG35,$B35:$Y35)),
IF(AZ$3=$DF35+'Model Setup'!$E$7,SUMIF($AD$3:$BA$3,"="&amp;$DF35+'Model Setup'!$E$7,$B35:$Y35)+'Model Setup'!$E$8*(SUMIF($AD$3:$BA$3,"&lt;"&amp;$DF35,$B35:$Y35)+SUMIF($AD$3:$BA$3,"&gt;="&amp;$DG35,$B35:$Y35)),
IF(AZ$3=$DF35+'Model Setup'!$F$7,SUMIF($AD$3:$BA$3,"="&amp;$DF35+'Model Setup'!$F$7,$B35:$Y35)+'Model Setup'!$F$8*(SUMIF($AD$3:$BA$3,"&lt;"&amp;$DF35,$B35:$Y35)+SUMIF($AD$3:$BA$3,"&gt;="&amp;$DG35,$B35:$Y35)),
IF(AZ$3=$DF35+'Model Setup'!$G$7,SUMIF($AD$3:$BA$3,"="&amp;$DF35+'Model Setup'!$G$7,$B35:$Y35)+'Model Setup'!$G$8*(SUMIF($AD$3:$BA$3,"&lt;"&amp;$DF35,$B35:$Y35)+SUMIF($AD$3:$BA$3,"&gt;="&amp;$DG35,$B35:$Y35)),
IF(AZ$3=$DF35+'Model Setup'!$H$7,SUMIF($AD$3:$BA$3,"="&amp;$DF35+'Model Setup'!$H$7,$B35:$Y35)+'Model Setup'!$H$8*(SUMIF($AD$3:$BA$3,"&lt;"&amp;$DF35,$B35:$Y35)+SUMIF($AD$3:$BA$3,"&gt;="&amp;$DG35,$B35:$Y35)),
IF(AZ$3=$DF35+'Model Setup'!$I$7,SUMIF($AD$3:$BA$3,"="&amp;$DF35+'Model Setup'!$I$7,$B35:$Y35)+'Model Setup'!$I$8*(SUMIF($AD$3:$BA$3,"&lt;"&amp;$DF35,$B35:$Y35)+SUMIF($AD$3:$BA$3,"&gt;="&amp;$DG35,$B35:$Y35)),
IF(AZ$3=$DF35+'Model Setup'!$J$7,SUMIF($AD$3:$BA$3,"="&amp;$DF35+'Model Setup'!$J$7,$B35:$Y35)+'Model Setup'!$J$8*(SUMIF($AD$3:$BA$3,"&lt;"&amp;$DF35,$B35:$Y35)+SUMIF($AD$3:$BA$3,"&gt;="&amp;$DG35,$B35:$Y35)),
IF(AZ$3=$DF35+'Model Setup'!$K$7,SUMIF($AD$3:$BA$3,"="&amp;$DF35+'Model Setup'!$K$7,$B35:$Y35)+'Model Setup'!$K$8*(SUMIF($AD$3:$BA$3,"&lt;"&amp;$DF35,$B35:$Y35)+SUMIF($AD$3:$BA$3,"&gt;="&amp;$DG35,$B35:$Y35)),
IF(AZ$3=$DF35+'Model Setup'!$L$7,SUMIF($AD$3:$BA$3,"="&amp;$DF35+'Model Setup'!$L$7,$B35:$Y35)+'Model Setup'!$L$8*(SUMIF($AD$3:$BA$3,"&lt;"&amp;$DF35,$B35:$Y35)+SUMIF($AD$3:$BA$3,"&gt;="&amp;$DG35,$B35:$Y35)),
IF(AZ$3=$DF35+'Model Setup'!$M$7,SUMIF($AD$3:$BA$3,"="&amp;$DF35+'Model Setup'!$M$7,$B35:$Y35)+'Model Setup'!$M$8*(SUMIF($AD$3:$BA$3,"&lt;"&amp;$DF35,$B35:$Y35)+SUMIF($AD$3:$BA$3,"&gt;="&amp;$DG35,$B35:$Y35)),
IF(AZ$3=$DF35+'Model Setup'!$N$7,SUMIF($AD$3:$BA$3,"="&amp;$DF35+'Model Setup'!$N$7,$B35:$Y35)+'Model Setup'!$N$8*(SUMIF($AD$3:$BA$3,"&lt;"&amp;$DF35,$B35:$Y35)+SUMIF($AD$3:$BA$3,"&gt;="&amp;$DG35,$B35:$Y35)),
IF(AZ$3&lt;$DG35,X35,0))))))))))))))),0)</f>
        <v>0</v>
      </c>
      <c r="BA35" s="47">
        <f>ROUND(IF(BA$3&lt;$DF35,0,
IF(BA$3=$DF35+'Model Setup'!$B$7,SUMIF($AD$3:$BA$3,"="&amp;$DF35+'Model Setup'!$B$7,$B35:$Y35)+'Model Setup'!$B$8*(SUMIF($AD$3:$BA$3,"&lt;"&amp;$DF35,$B35:$Y35)+SUMIF($AD$3:$BA$3,"&gt;="&amp;$DG35,$B35:$Y35)),
IF(BA$3=$DF35+'Model Setup'!$C$7,SUMIF($AD$3:$BA$3,"="&amp;$DF35+'Model Setup'!$C$7,$B35:$Y35)+'Model Setup'!$C$8*(SUMIF($AD$3:$BA$3,"&lt;"&amp;$DF35,$B35:$Y35)+SUMIF($AD$3:$BA$3,"&gt;="&amp;$DG35,$B35:$Y35)),
IF(BA$3=$DF35+'Model Setup'!$D$7,SUMIF($AD$3:$BA$3,"="&amp;$DF35+'Model Setup'!$D$7,$B35:$Y35)+'Model Setup'!$D$8*(SUMIF($AD$3:$BA$3,"&lt;"&amp;$DF35,$B35:$Y35)+SUMIF($AD$3:$BA$3,"&gt;="&amp;$DG35,$B35:$Y35)),
IF(BA$3=$DF35+'Model Setup'!$E$7,SUMIF($AD$3:$BA$3,"="&amp;$DF35+'Model Setup'!$E$7,$B35:$Y35)+'Model Setup'!$E$8*(SUMIF($AD$3:$BA$3,"&lt;"&amp;$DF35,$B35:$Y35)+SUMIF($AD$3:$BA$3,"&gt;="&amp;$DG35,$B35:$Y35)),
IF(BA$3=$DF35+'Model Setup'!$F$7,SUMIF($AD$3:$BA$3,"="&amp;$DF35+'Model Setup'!$F$7,$B35:$Y35)+'Model Setup'!$F$8*(SUMIF($AD$3:$BA$3,"&lt;"&amp;$DF35,$B35:$Y35)+SUMIF($AD$3:$BA$3,"&gt;="&amp;$DG35,$B35:$Y35)),
IF(BA$3=$DF35+'Model Setup'!$G$7,SUMIF($AD$3:$BA$3,"="&amp;$DF35+'Model Setup'!$G$7,$B35:$Y35)+'Model Setup'!$G$8*(SUMIF($AD$3:$BA$3,"&lt;"&amp;$DF35,$B35:$Y35)+SUMIF($AD$3:$BA$3,"&gt;="&amp;$DG35,$B35:$Y35)),
IF(BA$3=$DF35+'Model Setup'!$H$7,SUMIF($AD$3:$BA$3,"="&amp;$DF35+'Model Setup'!$H$7,$B35:$Y35)+'Model Setup'!$H$8*(SUMIF($AD$3:$BA$3,"&lt;"&amp;$DF35,$B35:$Y35)+SUMIF($AD$3:$BA$3,"&gt;="&amp;$DG35,$B35:$Y35)),
IF(BA$3=$DF35+'Model Setup'!$I$7,SUMIF($AD$3:$BA$3,"="&amp;$DF35+'Model Setup'!$I$7,$B35:$Y35)+'Model Setup'!$I$8*(SUMIF($AD$3:$BA$3,"&lt;"&amp;$DF35,$B35:$Y35)+SUMIF($AD$3:$BA$3,"&gt;="&amp;$DG35,$B35:$Y35)),
IF(BA$3=$DF35+'Model Setup'!$J$7,SUMIF($AD$3:$BA$3,"="&amp;$DF35+'Model Setup'!$J$7,$B35:$Y35)+'Model Setup'!$J$8*(SUMIF($AD$3:$BA$3,"&lt;"&amp;$DF35,$B35:$Y35)+SUMIF($AD$3:$BA$3,"&gt;="&amp;$DG35,$B35:$Y35)),
IF(BA$3=$DF35+'Model Setup'!$K$7,SUMIF($AD$3:$BA$3,"="&amp;$DF35+'Model Setup'!$K$7,$B35:$Y35)+'Model Setup'!$K$8*(SUMIF($AD$3:$BA$3,"&lt;"&amp;$DF35,$B35:$Y35)+SUMIF($AD$3:$BA$3,"&gt;="&amp;$DG35,$B35:$Y35)),
IF(BA$3=$DF35+'Model Setup'!$L$7,SUMIF($AD$3:$BA$3,"="&amp;$DF35+'Model Setup'!$L$7,$B35:$Y35)+'Model Setup'!$L$8*(SUMIF($AD$3:$BA$3,"&lt;"&amp;$DF35,$B35:$Y35)+SUMIF($AD$3:$BA$3,"&gt;="&amp;$DG35,$B35:$Y35)),
IF(BA$3=$DF35+'Model Setup'!$M$7,SUMIF($AD$3:$BA$3,"="&amp;$DF35+'Model Setup'!$M$7,$B35:$Y35)+'Model Setup'!$M$8*(SUMIF($AD$3:$BA$3,"&lt;"&amp;$DF35,$B35:$Y35)+SUMIF($AD$3:$BA$3,"&gt;="&amp;$DG35,$B35:$Y35)),
IF(BA$3=$DF35+'Model Setup'!$N$7,SUMIF($AD$3:$BA$3,"="&amp;$DF35+'Model Setup'!$N$7,$B35:$Y35)+'Model Setup'!$N$8*(SUMIF($AD$3:$BA$3,"&lt;"&amp;$DF35,$B35:$Y35)+SUMIF($AD$3:$BA$3,"&gt;="&amp;$DG35,$B35:$Y35)),
IF(BA$3&lt;$DG35,Y35,0))))))))))))))),0)</f>
        <v>0</v>
      </c>
      <c r="BB35" s="47">
        <f t="shared" si="1"/>
        <v>279</v>
      </c>
      <c r="BD35" t="b">
        <f t="shared" si="2"/>
        <v>0</v>
      </c>
      <c r="BE35">
        <f t="shared" si="8"/>
        <v>-1</v>
      </c>
      <c r="BF35">
        <f>(FTC!F33-FTC!E33)*24</f>
        <v>13</v>
      </c>
      <c r="BG35" s="43" t="s">
        <v>50</v>
      </c>
      <c r="BH35" s="47">
        <f>ROUND(IF(OR(BH$3&lt;$DF35,BH$3&gt;$CW$4),0,
IF(BH$3=$DF35+'Model Setup'!$B$7,SUMIF($BH$3:$CE$3,"="&amp;$DF35+'Model Setup'!$B$7,$AD35:$BA35)+'Model Setup'!$B$8*(SUMIF($BH$3:$CE$3,"&lt;"&amp;$DF35,$AD35:$BA35)+SUMIF($BH$3:$CE$3,"&gt;"&amp;$CW$4,$AD35:$BA35)),
IF(BH$3=$DF35+'Model Setup'!$C$7,SUMIF($BH$3:$CE$3,"="&amp;$DF35+'Model Setup'!$C$7,$AD35:$BA35)+'Model Setup'!$C$8*(SUMIF($BH$3:$CE$3,"&lt;"&amp;$DF35,$AD35:$BA35)+SUMIF($BH$3:$CE$3,"&gt;"&amp;$CW$4,$AD35:$BA35)),
IF(BH$3=$DF35+'Model Setup'!$D$7,SUMIF($BH$3:$CE$3,"="&amp;$DF35+'Model Setup'!$D$7,$AD35:$BA35)+'Model Setup'!$D$8*(SUMIF($BH$3:$CE$3,"&lt;"&amp;$DF35,$AD35:$BA35)+SUMIF($BH$3:$CE$3,"&gt;"&amp;$CW$4,$AD35:$BA35)),
IF(BH$3=$DF35+'Model Setup'!$E$7,SUMIF($BH$3:$CE$3,"="&amp;$DF35+'Model Setup'!$E$7,$AD35:$BA35)+'Model Setup'!$E$8*(SUMIF($BH$3:$CE$3,"&lt;"&amp;$DF35,$AD35:$BA35)+SUMIF($BH$3:$CE$3,"&gt;"&amp;$CW$4,$AD35:$BA35)),
IF(BH$3=$DF35+'Model Setup'!$F$7,SUMIF($BH$3:$CE$3,"="&amp;$DF35+'Model Setup'!$F$7,$AD35:$BA35)+'Model Setup'!$F$8*(SUMIF($BH$3:$CE$3,"&lt;"&amp;$DF35,$AD35:$BA35)+SUMIF($BH$3:$CE$3,"&gt;"&amp;$CW$4,$AD35:$BA35)),
IF(BH$3=$DF35+'Model Setup'!$G$7,SUMIF($BH$3:$CE$3,"="&amp;$DF35+'Model Setup'!$G$7,$AD35:$BA35)+'Model Setup'!$G$8*(SUMIF($BH$3:$CE$3,"&lt;"&amp;$DF35,$AD35:$BA35)+SUMIF($BH$3:$CE$3,"&gt;"&amp;$CW$4,$AD35:$BA35)),
IF(BH$3=$DF35+'Model Setup'!$H$7,SUMIF($BH$3:$CE$3,"="&amp;$DF35+'Model Setup'!$H$7,$AD35:$BA35)+'Model Setup'!$H$8*(SUMIF($BH$3:$CE$3,"&lt;"&amp;$DF35,$AD35:$BA35)+SUMIF($BH$3:$CE$3,"&gt;"&amp;$CW$4,$AD35:$BA35)),
IF(BH$3=$DF35+'Model Setup'!$I$7,SUMIF($BH$3:$CE$3,"="&amp;$DF35+'Model Setup'!$I$7,$AD35:$BA35)+'Model Setup'!$I$8*(SUMIF($BH$3:$CE$3,"&lt;"&amp;$DF35,$AD35:$BA35)+SUMIF($BH$3:$CE$3,"&gt;"&amp;$CW$4,$AD35:$BA35)),
IF(BH$3=$DF35+'Model Setup'!$J$7,SUMIF($BH$3:$CE$3,"="&amp;$DF35+'Model Setup'!$J$7,$AD35:$BA35)+'Model Setup'!$J$8*(SUMIF($BH$3:$CE$3,"&lt;"&amp;$DF35,$AD35:$BA35)+SUMIF($BH$3:$CE$3,"&gt;"&amp;$CW$4,$AD35:$BA35)),
IF(BH$3=$DF35+'Model Setup'!$K$7,SUMIF($BH$3:$CE$3,"="&amp;$DF35+'Model Setup'!$K$7,$AD35:$BA35)+'Model Setup'!$K$8*(SUMIF($BH$3:$CE$3,"&lt;"&amp;$DF35,$AD35:$BA35)+SUMIF($BH$3:$CE$3,"&gt;"&amp;$CW$4,$AD35:$BA35)),
IF(BH$3=$DF35+'Model Setup'!$L$7,SUMIF($BH$3:$CE$3,"="&amp;$DF35+'Model Setup'!$L$7,$AD35:$BA35)+'Model Setup'!$L$8*(SUMIF($BH$3:$CE$3,"&lt;"&amp;$DF35,$AD35:$BA35)+SUMIF($BH$3:$CE$3,"&gt;"&amp;$CW$4,$AD35:$BA35)),
IF(BH$3=$DF35+'Model Setup'!$M$7,SUMIF($BH$3:$CE$3,"="&amp;$DF35+'Model Setup'!$M$7,$AD35:$BA35)+'Model Setup'!$M$8*(SUMIF($BH$3:$CE$3,"&lt;"&amp;$DF35,$AD35:$BA35)+SUMIF($BH$3:$CE$3,"&gt;"&amp;$CW$4,$AD35:$BA35)),
IF(BH$3=$DF35+'Model Setup'!$N$7,SUMIF($BH$3:$CE$3,"="&amp;$DF35+'Model Setup'!$N$7,$AD35:$BA35)+'Model Setup'!$N$8*(SUMIF($BH$3:$CE$3,"&lt;"&amp;$DF35,$AD35:$BA35)+SUMIF($BH$3:$CE$3,"&gt;"&amp;$CW$4,$AD35:$BA35)),
IF(BH$3&lt;$CW$4,B35,0))))))))))))))),0)</f>
        <v>0</v>
      </c>
      <c r="BI35" s="47">
        <f>ROUND(IF(OR(BI$3&lt;$DF35,BI$3&gt;$CW$4),0,
IF(BI$3=$DF35+'Model Setup'!$B$7,SUMIF($BH$3:$CE$3,"="&amp;$DF35+'Model Setup'!$B$7,$AD35:$BA35)+'Model Setup'!$B$8*(SUMIF($BH$3:$CE$3,"&lt;"&amp;$DF35,$AD35:$BA35)+SUMIF($BH$3:$CE$3,"&gt;"&amp;$CW$4,$AD35:$BA35)),
IF(BI$3=$DF35+'Model Setup'!$C$7,SUMIF($BH$3:$CE$3,"="&amp;$DF35+'Model Setup'!$C$7,$AD35:$BA35)+'Model Setup'!$C$8*(SUMIF($BH$3:$CE$3,"&lt;"&amp;$DF35,$AD35:$BA35)+SUMIF($BH$3:$CE$3,"&gt;"&amp;$CW$4,$AD35:$BA35)),
IF(BI$3=$DF35+'Model Setup'!$D$7,SUMIF($BH$3:$CE$3,"="&amp;$DF35+'Model Setup'!$D$7,$AD35:$BA35)+'Model Setup'!$D$8*(SUMIF($BH$3:$CE$3,"&lt;"&amp;$DF35,$AD35:$BA35)+SUMIF($BH$3:$CE$3,"&gt;"&amp;$CW$4,$AD35:$BA35)),
IF(BI$3=$DF35+'Model Setup'!$E$7,SUMIF($BH$3:$CE$3,"="&amp;$DF35+'Model Setup'!$E$7,$AD35:$BA35)+'Model Setup'!$E$8*(SUMIF($BH$3:$CE$3,"&lt;"&amp;$DF35,$AD35:$BA35)+SUMIF($BH$3:$CE$3,"&gt;"&amp;$CW$4,$AD35:$BA35)),
IF(BI$3=$DF35+'Model Setup'!$F$7,SUMIF($BH$3:$CE$3,"="&amp;$DF35+'Model Setup'!$F$7,$AD35:$BA35)+'Model Setup'!$F$8*(SUMIF($BH$3:$CE$3,"&lt;"&amp;$DF35,$AD35:$BA35)+SUMIF($BH$3:$CE$3,"&gt;"&amp;$CW$4,$AD35:$BA35)),
IF(BI$3=$DF35+'Model Setup'!$G$7,SUMIF($BH$3:$CE$3,"="&amp;$DF35+'Model Setup'!$G$7,$AD35:$BA35)+'Model Setup'!$G$8*(SUMIF($BH$3:$CE$3,"&lt;"&amp;$DF35,$AD35:$BA35)+SUMIF($BH$3:$CE$3,"&gt;"&amp;$CW$4,$AD35:$BA35)),
IF(BI$3=$DF35+'Model Setup'!$H$7,SUMIF($BH$3:$CE$3,"="&amp;$DF35+'Model Setup'!$H$7,$AD35:$BA35)+'Model Setup'!$H$8*(SUMIF($BH$3:$CE$3,"&lt;"&amp;$DF35,$AD35:$BA35)+SUMIF($BH$3:$CE$3,"&gt;"&amp;$CW$4,$AD35:$BA35)),
IF(BI$3=$DF35+'Model Setup'!$I$7,SUMIF($BH$3:$CE$3,"="&amp;$DF35+'Model Setup'!$I$7,$AD35:$BA35)+'Model Setup'!$I$8*(SUMIF($BH$3:$CE$3,"&lt;"&amp;$DF35,$AD35:$BA35)+SUMIF($BH$3:$CE$3,"&gt;"&amp;$CW$4,$AD35:$BA35)),
IF(BI$3=$DF35+'Model Setup'!$J$7,SUMIF($BH$3:$CE$3,"="&amp;$DF35+'Model Setup'!$J$7,$AD35:$BA35)+'Model Setup'!$J$8*(SUMIF($BH$3:$CE$3,"&lt;"&amp;$DF35,$AD35:$BA35)+SUMIF($BH$3:$CE$3,"&gt;"&amp;$CW$4,$AD35:$BA35)),
IF(BI$3=$DF35+'Model Setup'!$K$7,SUMIF($BH$3:$CE$3,"="&amp;$DF35+'Model Setup'!$K$7,$AD35:$BA35)+'Model Setup'!$K$8*(SUMIF($BH$3:$CE$3,"&lt;"&amp;$DF35,$AD35:$BA35)+SUMIF($BH$3:$CE$3,"&gt;"&amp;$CW$4,$AD35:$BA35)),
IF(BI$3=$DF35+'Model Setup'!$L$7,SUMIF($BH$3:$CE$3,"="&amp;$DF35+'Model Setup'!$L$7,$AD35:$BA35)+'Model Setup'!$L$8*(SUMIF($BH$3:$CE$3,"&lt;"&amp;$DF35,$AD35:$BA35)+SUMIF($BH$3:$CE$3,"&gt;"&amp;$CW$4,$AD35:$BA35)),
IF(BI$3=$DF35+'Model Setup'!$M$7,SUMIF($BH$3:$CE$3,"="&amp;$DF35+'Model Setup'!$M$7,$AD35:$BA35)+'Model Setup'!$M$8*(SUMIF($BH$3:$CE$3,"&lt;"&amp;$DF35,$AD35:$BA35)+SUMIF($BH$3:$CE$3,"&gt;"&amp;$CW$4,$AD35:$BA35)),
IF(BI$3=$DF35+'Model Setup'!$N$7,SUMIF($BH$3:$CE$3,"="&amp;$DF35+'Model Setup'!$N$7,$AD35:$BA35)+'Model Setup'!$N$8*(SUMIF($BH$3:$CE$3,"&lt;"&amp;$DF35,$AD35:$BA35)+SUMIF($BH$3:$CE$3,"&gt;"&amp;$CW$4,$AD35:$BA35)),
IF(BI$3&lt;$CW$4,C35,0))))))))))))))),0)</f>
        <v>0</v>
      </c>
      <c r="BJ35" s="47">
        <f>ROUND(IF(OR(BJ$3&lt;$DF35,BJ$3&gt;$CW$4),0,
IF(BJ$3=$DF35+'Model Setup'!$B$7,SUMIF($BH$3:$CE$3,"="&amp;$DF35+'Model Setup'!$B$7,$AD35:$BA35)+'Model Setup'!$B$8*(SUMIF($BH$3:$CE$3,"&lt;"&amp;$DF35,$AD35:$BA35)+SUMIF($BH$3:$CE$3,"&gt;"&amp;$CW$4,$AD35:$BA35)),
IF(BJ$3=$DF35+'Model Setup'!$C$7,SUMIF($BH$3:$CE$3,"="&amp;$DF35+'Model Setup'!$C$7,$AD35:$BA35)+'Model Setup'!$C$8*(SUMIF($BH$3:$CE$3,"&lt;"&amp;$DF35,$AD35:$BA35)+SUMIF($BH$3:$CE$3,"&gt;"&amp;$CW$4,$AD35:$BA35)),
IF(BJ$3=$DF35+'Model Setup'!$D$7,SUMIF($BH$3:$CE$3,"="&amp;$DF35+'Model Setup'!$D$7,$AD35:$BA35)+'Model Setup'!$D$8*(SUMIF($BH$3:$CE$3,"&lt;"&amp;$DF35,$AD35:$BA35)+SUMIF($BH$3:$CE$3,"&gt;"&amp;$CW$4,$AD35:$BA35)),
IF(BJ$3=$DF35+'Model Setup'!$E$7,SUMIF($BH$3:$CE$3,"="&amp;$DF35+'Model Setup'!$E$7,$AD35:$BA35)+'Model Setup'!$E$8*(SUMIF($BH$3:$CE$3,"&lt;"&amp;$DF35,$AD35:$BA35)+SUMIF($BH$3:$CE$3,"&gt;"&amp;$CW$4,$AD35:$BA35)),
IF(BJ$3=$DF35+'Model Setup'!$F$7,SUMIF($BH$3:$CE$3,"="&amp;$DF35+'Model Setup'!$F$7,$AD35:$BA35)+'Model Setup'!$F$8*(SUMIF($BH$3:$CE$3,"&lt;"&amp;$DF35,$AD35:$BA35)+SUMIF($BH$3:$CE$3,"&gt;"&amp;$CW$4,$AD35:$BA35)),
IF(BJ$3=$DF35+'Model Setup'!$G$7,SUMIF($BH$3:$CE$3,"="&amp;$DF35+'Model Setup'!$G$7,$AD35:$BA35)+'Model Setup'!$G$8*(SUMIF($BH$3:$CE$3,"&lt;"&amp;$DF35,$AD35:$BA35)+SUMIF($BH$3:$CE$3,"&gt;"&amp;$CW$4,$AD35:$BA35)),
IF(BJ$3=$DF35+'Model Setup'!$H$7,SUMIF($BH$3:$CE$3,"="&amp;$DF35+'Model Setup'!$H$7,$AD35:$BA35)+'Model Setup'!$H$8*(SUMIF($BH$3:$CE$3,"&lt;"&amp;$DF35,$AD35:$BA35)+SUMIF($BH$3:$CE$3,"&gt;"&amp;$CW$4,$AD35:$BA35)),
IF(BJ$3=$DF35+'Model Setup'!$I$7,SUMIF($BH$3:$CE$3,"="&amp;$DF35+'Model Setup'!$I$7,$AD35:$BA35)+'Model Setup'!$I$8*(SUMIF($BH$3:$CE$3,"&lt;"&amp;$DF35,$AD35:$BA35)+SUMIF($BH$3:$CE$3,"&gt;"&amp;$CW$4,$AD35:$BA35)),
IF(BJ$3=$DF35+'Model Setup'!$J$7,SUMIF($BH$3:$CE$3,"="&amp;$DF35+'Model Setup'!$J$7,$AD35:$BA35)+'Model Setup'!$J$8*(SUMIF($BH$3:$CE$3,"&lt;"&amp;$DF35,$AD35:$BA35)+SUMIF($BH$3:$CE$3,"&gt;"&amp;$CW$4,$AD35:$BA35)),
IF(BJ$3=$DF35+'Model Setup'!$K$7,SUMIF($BH$3:$CE$3,"="&amp;$DF35+'Model Setup'!$K$7,$AD35:$BA35)+'Model Setup'!$K$8*(SUMIF($BH$3:$CE$3,"&lt;"&amp;$DF35,$AD35:$BA35)+SUMIF($BH$3:$CE$3,"&gt;"&amp;$CW$4,$AD35:$BA35)),
IF(BJ$3=$DF35+'Model Setup'!$L$7,SUMIF($BH$3:$CE$3,"="&amp;$DF35+'Model Setup'!$L$7,$AD35:$BA35)+'Model Setup'!$L$8*(SUMIF($BH$3:$CE$3,"&lt;"&amp;$DF35,$AD35:$BA35)+SUMIF($BH$3:$CE$3,"&gt;"&amp;$CW$4,$AD35:$BA35)),
IF(BJ$3=$DF35+'Model Setup'!$M$7,SUMIF($BH$3:$CE$3,"="&amp;$DF35+'Model Setup'!$M$7,$AD35:$BA35)+'Model Setup'!$M$8*(SUMIF($BH$3:$CE$3,"&lt;"&amp;$DF35,$AD35:$BA35)+SUMIF($BH$3:$CE$3,"&gt;"&amp;$CW$4,$AD35:$BA35)),
IF(BJ$3=$DF35+'Model Setup'!$N$7,SUMIF($BH$3:$CE$3,"="&amp;$DF35+'Model Setup'!$N$7,$AD35:$BA35)+'Model Setup'!$N$8*(SUMIF($BH$3:$CE$3,"&lt;"&amp;$DF35,$AD35:$BA35)+SUMIF($BH$3:$CE$3,"&gt;"&amp;$CW$4,$AD35:$BA35)),
IF(BJ$3&lt;$CW$4,D35,0))))))))))))))),0)</f>
        <v>0</v>
      </c>
      <c r="BK35" s="47">
        <f>ROUND(IF(OR(BK$3&lt;$DF35,BK$3&gt;$CW$4),0,
IF(BK$3=$DF35+'Model Setup'!$B$7,SUMIF($BH$3:$CE$3,"="&amp;$DF35+'Model Setup'!$B$7,$AD35:$BA35)+'Model Setup'!$B$8*(SUMIF($BH$3:$CE$3,"&lt;"&amp;$DF35,$AD35:$BA35)+SUMIF($BH$3:$CE$3,"&gt;"&amp;$CW$4,$AD35:$BA35)),
IF(BK$3=$DF35+'Model Setup'!$C$7,SUMIF($BH$3:$CE$3,"="&amp;$DF35+'Model Setup'!$C$7,$AD35:$BA35)+'Model Setup'!$C$8*(SUMIF($BH$3:$CE$3,"&lt;"&amp;$DF35,$AD35:$BA35)+SUMIF($BH$3:$CE$3,"&gt;"&amp;$CW$4,$AD35:$BA35)),
IF(BK$3=$DF35+'Model Setup'!$D$7,SUMIF($BH$3:$CE$3,"="&amp;$DF35+'Model Setup'!$D$7,$AD35:$BA35)+'Model Setup'!$D$8*(SUMIF($BH$3:$CE$3,"&lt;"&amp;$DF35,$AD35:$BA35)+SUMIF($BH$3:$CE$3,"&gt;"&amp;$CW$4,$AD35:$BA35)),
IF(BK$3=$DF35+'Model Setup'!$E$7,SUMIF($BH$3:$CE$3,"="&amp;$DF35+'Model Setup'!$E$7,$AD35:$BA35)+'Model Setup'!$E$8*(SUMIF($BH$3:$CE$3,"&lt;"&amp;$DF35,$AD35:$BA35)+SUMIF($BH$3:$CE$3,"&gt;"&amp;$CW$4,$AD35:$BA35)),
IF(BK$3=$DF35+'Model Setup'!$F$7,SUMIF($BH$3:$CE$3,"="&amp;$DF35+'Model Setup'!$F$7,$AD35:$BA35)+'Model Setup'!$F$8*(SUMIF($BH$3:$CE$3,"&lt;"&amp;$DF35,$AD35:$BA35)+SUMIF($BH$3:$CE$3,"&gt;"&amp;$CW$4,$AD35:$BA35)),
IF(BK$3=$DF35+'Model Setup'!$G$7,SUMIF($BH$3:$CE$3,"="&amp;$DF35+'Model Setup'!$G$7,$AD35:$BA35)+'Model Setup'!$G$8*(SUMIF($BH$3:$CE$3,"&lt;"&amp;$DF35,$AD35:$BA35)+SUMIF($BH$3:$CE$3,"&gt;"&amp;$CW$4,$AD35:$BA35)),
IF(BK$3=$DF35+'Model Setup'!$H$7,SUMIF($BH$3:$CE$3,"="&amp;$DF35+'Model Setup'!$H$7,$AD35:$BA35)+'Model Setup'!$H$8*(SUMIF($BH$3:$CE$3,"&lt;"&amp;$DF35,$AD35:$BA35)+SUMIF($BH$3:$CE$3,"&gt;"&amp;$CW$4,$AD35:$BA35)),
IF(BK$3=$DF35+'Model Setup'!$I$7,SUMIF($BH$3:$CE$3,"="&amp;$DF35+'Model Setup'!$I$7,$AD35:$BA35)+'Model Setup'!$I$8*(SUMIF($BH$3:$CE$3,"&lt;"&amp;$DF35,$AD35:$BA35)+SUMIF($BH$3:$CE$3,"&gt;"&amp;$CW$4,$AD35:$BA35)),
IF(BK$3=$DF35+'Model Setup'!$J$7,SUMIF($BH$3:$CE$3,"="&amp;$DF35+'Model Setup'!$J$7,$AD35:$BA35)+'Model Setup'!$J$8*(SUMIF($BH$3:$CE$3,"&lt;"&amp;$DF35,$AD35:$BA35)+SUMIF($BH$3:$CE$3,"&gt;"&amp;$CW$4,$AD35:$BA35)),
IF(BK$3=$DF35+'Model Setup'!$K$7,SUMIF($BH$3:$CE$3,"="&amp;$DF35+'Model Setup'!$K$7,$AD35:$BA35)+'Model Setup'!$K$8*(SUMIF($BH$3:$CE$3,"&lt;"&amp;$DF35,$AD35:$BA35)+SUMIF($BH$3:$CE$3,"&gt;"&amp;$CW$4,$AD35:$BA35)),
IF(BK$3=$DF35+'Model Setup'!$L$7,SUMIF($BH$3:$CE$3,"="&amp;$DF35+'Model Setup'!$L$7,$AD35:$BA35)+'Model Setup'!$L$8*(SUMIF($BH$3:$CE$3,"&lt;"&amp;$DF35,$AD35:$BA35)+SUMIF($BH$3:$CE$3,"&gt;"&amp;$CW$4,$AD35:$BA35)),
IF(BK$3=$DF35+'Model Setup'!$M$7,SUMIF($BH$3:$CE$3,"="&amp;$DF35+'Model Setup'!$M$7,$AD35:$BA35)+'Model Setup'!$M$8*(SUMIF($BH$3:$CE$3,"&lt;"&amp;$DF35,$AD35:$BA35)+SUMIF($BH$3:$CE$3,"&gt;"&amp;$CW$4,$AD35:$BA35)),
IF(BK$3=$DF35+'Model Setup'!$N$7,SUMIF($BH$3:$CE$3,"="&amp;$DF35+'Model Setup'!$N$7,$AD35:$BA35)+'Model Setup'!$N$8*(SUMIF($BH$3:$CE$3,"&lt;"&amp;$DF35,$AD35:$BA35)+SUMIF($BH$3:$CE$3,"&gt;"&amp;$CW$4,$AD35:$BA35)),
IF(BK$3&lt;$CW$4,E35,0))))))))))))))),0)</f>
        <v>0</v>
      </c>
      <c r="BL35" s="47">
        <f>ROUND(IF(OR(BL$3&lt;$DF35,BL$3&gt;$CW$4),0,
IF(BL$3=$DF35+'Model Setup'!$B$7,SUMIF($BH$3:$CE$3,"="&amp;$DF35+'Model Setup'!$B$7,$AD35:$BA35)+'Model Setup'!$B$8*(SUMIF($BH$3:$CE$3,"&lt;"&amp;$DF35,$AD35:$BA35)+SUMIF($BH$3:$CE$3,"&gt;"&amp;$CW$4,$AD35:$BA35)),
IF(BL$3=$DF35+'Model Setup'!$C$7,SUMIF($BH$3:$CE$3,"="&amp;$DF35+'Model Setup'!$C$7,$AD35:$BA35)+'Model Setup'!$C$8*(SUMIF($BH$3:$CE$3,"&lt;"&amp;$DF35,$AD35:$BA35)+SUMIF($BH$3:$CE$3,"&gt;"&amp;$CW$4,$AD35:$BA35)),
IF(BL$3=$DF35+'Model Setup'!$D$7,SUMIF($BH$3:$CE$3,"="&amp;$DF35+'Model Setup'!$D$7,$AD35:$BA35)+'Model Setup'!$D$8*(SUMIF($BH$3:$CE$3,"&lt;"&amp;$DF35,$AD35:$BA35)+SUMIF($BH$3:$CE$3,"&gt;"&amp;$CW$4,$AD35:$BA35)),
IF(BL$3=$DF35+'Model Setup'!$E$7,SUMIF($BH$3:$CE$3,"="&amp;$DF35+'Model Setup'!$E$7,$AD35:$BA35)+'Model Setup'!$E$8*(SUMIF($BH$3:$CE$3,"&lt;"&amp;$DF35,$AD35:$BA35)+SUMIF($BH$3:$CE$3,"&gt;"&amp;$CW$4,$AD35:$BA35)),
IF(BL$3=$DF35+'Model Setup'!$F$7,SUMIF($BH$3:$CE$3,"="&amp;$DF35+'Model Setup'!$F$7,$AD35:$BA35)+'Model Setup'!$F$8*(SUMIF($BH$3:$CE$3,"&lt;"&amp;$DF35,$AD35:$BA35)+SUMIF($BH$3:$CE$3,"&gt;"&amp;$CW$4,$AD35:$BA35)),
IF(BL$3=$DF35+'Model Setup'!$G$7,SUMIF($BH$3:$CE$3,"="&amp;$DF35+'Model Setup'!$G$7,$AD35:$BA35)+'Model Setup'!$G$8*(SUMIF($BH$3:$CE$3,"&lt;"&amp;$DF35,$AD35:$BA35)+SUMIF($BH$3:$CE$3,"&gt;"&amp;$CW$4,$AD35:$BA35)),
IF(BL$3=$DF35+'Model Setup'!$H$7,SUMIF($BH$3:$CE$3,"="&amp;$DF35+'Model Setup'!$H$7,$AD35:$BA35)+'Model Setup'!$H$8*(SUMIF($BH$3:$CE$3,"&lt;"&amp;$DF35,$AD35:$BA35)+SUMIF($BH$3:$CE$3,"&gt;"&amp;$CW$4,$AD35:$BA35)),
IF(BL$3=$DF35+'Model Setup'!$I$7,SUMIF($BH$3:$CE$3,"="&amp;$DF35+'Model Setup'!$I$7,$AD35:$BA35)+'Model Setup'!$I$8*(SUMIF($BH$3:$CE$3,"&lt;"&amp;$DF35,$AD35:$BA35)+SUMIF($BH$3:$CE$3,"&gt;"&amp;$CW$4,$AD35:$BA35)),
IF(BL$3=$DF35+'Model Setup'!$J$7,SUMIF($BH$3:$CE$3,"="&amp;$DF35+'Model Setup'!$J$7,$AD35:$BA35)+'Model Setup'!$J$8*(SUMIF($BH$3:$CE$3,"&lt;"&amp;$DF35,$AD35:$BA35)+SUMIF($BH$3:$CE$3,"&gt;"&amp;$CW$4,$AD35:$BA35)),
IF(BL$3=$DF35+'Model Setup'!$K$7,SUMIF($BH$3:$CE$3,"="&amp;$DF35+'Model Setup'!$K$7,$AD35:$BA35)+'Model Setup'!$K$8*(SUMIF($BH$3:$CE$3,"&lt;"&amp;$DF35,$AD35:$BA35)+SUMIF($BH$3:$CE$3,"&gt;"&amp;$CW$4,$AD35:$BA35)),
IF(BL$3=$DF35+'Model Setup'!$L$7,SUMIF($BH$3:$CE$3,"="&amp;$DF35+'Model Setup'!$L$7,$AD35:$BA35)+'Model Setup'!$L$8*(SUMIF($BH$3:$CE$3,"&lt;"&amp;$DF35,$AD35:$BA35)+SUMIF($BH$3:$CE$3,"&gt;"&amp;$CW$4,$AD35:$BA35)),
IF(BL$3=$DF35+'Model Setup'!$M$7,SUMIF($BH$3:$CE$3,"="&amp;$DF35+'Model Setup'!$M$7,$AD35:$BA35)+'Model Setup'!$M$8*(SUMIF($BH$3:$CE$3,"&lt;"&amp;$DF35,$AD35:$BA35)+SUMIF($BH$3:$CE$3,"&gt;"&amp;$CW$4,$AD35:$BA35)),
IF(BL$3=$DF35+'Model Setup'!$N$7,SUMIF($BH$3:$CE$3,"="&amp;$DF35+'Model Setup'!$N$7,$AD35:$BA35)+'Model Setup'!$N$8*(SUMIF($BH$3:$CE$3,"&lt;"&amp;$DF35,$AD35:$BA35)+SUMIF($BH$3:$CE$3,"&gt;"&amp;$CW$4,$AD35:$BA35)),
IF(BL$3&lt;$CW$4,F35,0))))))))))))))),0)</f>
        <v>0</v>
      </c>
      <c r="BM35" s="47">
        <f>ROUND(IF(OR(BM$3&lt;$DF35,BM$3&gt;$CW$4),0,
IF(BM$3=$DF35+'Model Setup'!$B$7,SUMIF($BH$3:$CE$3,"="&amp;$DF35+'Model Setup'!$B$7,$AD35:$BA35)+'Model Setup'!$B$8*(SUMIF($BH$3:$CE$3,"&lt;"&amp;$DF35,$AD35:$BA35)+SUMIF($BH$3:$CE$3,"&gt;"&amp;$CW$4,$AD35:$BA35)),
IF(BM$3=$DF35+'Model Setup'!$C$7,SUMIF($BH$3:$CE$3,"="&amp;$DF35+'Model Setup'!$C$7,$AD35:$BA35)+'Model Setup'!$C$8*(SUMIF($BH$3:$CE$3,"&lt;"&amp;$DF35,$AD35:$BA35)+SUMIF($BH$3:$CE$3,"&gt;"&amp;$CW$4,$AD35:$BA35)),
IF(BM$3=$DF35+'Model Setup'!$D$7,SUMIF($BH$3:$CE$3,"="&amp;$DF35+'Model Setup'!$D$7,$AD35:$BA35)+'Model Setup'!$D$8*(SUMIF($BH$3:$CE$3,"&lt;"&amp;$DF35,$AD35:$BA35)+SUMIF($BH$3:$CE$3,"&gt;"&amp;$CW$4,$AD35:$BA35)),
IF(BM$3=$DF35+'Model Setup'!$E$7,SUMIF($BH$3:$CE$3,"="&amp;$DF35+'Model Setup'!$E$7,$AD35:$BA35)+'Model Setup'!$E$8*(SUMIF($BH$3:$CE$3,"&lt;"&amp;$DF35,$AD35:$BA35)+SUMIF($BH$3:$CE$3,"&gt;"&amp;$CW$4,$AD35:$BA35)),
IF(BM$3=$DF35+'Model Setup'!$F$7,SUMIF($BH$3:$CE$3,"="&amp;$DF35+'Model Setup'!$F$7,$AD35:$BA35)+'Model Setup'!$F$8*(SUMIF($BH$3:$CE$3,"&lt;"&amp;$DF35,$AD35:$BA35)+SUMIF($BH$3:$CE$3,"&gt;"&amp;$CW$4,$AD35:$BA35)),
IF(BM$3=$DF35+'Model Setup'!$G$7,SUMIF($BH$3:$CE$3,"="&amp;$DF35+'Model Setup'!$G$7,$AD35:$BA35)+'Model Setup'!$G$8*(SUMIF($BH$3:$CE$3,"&lt;"&amp;$DF35,$AD35:$BA35)+SUMIF($BH$3:$CE$3,"&gt;"&amp;$CW$4,$AD35:$BA35)),
IF(BM$3=$DF35+'Model Setup'!$H$7,SUMIF($BH$3:$CE$3,"="&amp;$DF35+'Model Setup'!$H$7,$AD35:$BA35)+'Model Setup'!$H$8*(SUMIF($BH$3:$CE$3,"&lt;"&amp;$DF35,$AD35:$BA35)+SUMIF($BH$3:$CE$3,"&gt;"&amp;$CW$4,$AD35:$BA35)),
IF(BM$3=$DF35+'Model Setup'!$I$7,SUMIF($BH$3:$CE$3,"="&amp;$DF35+'Model Setup'!$I$7,$AD35:$BA35)+'Model Setup'!$I$8*(SUMIF($BH$3:$CE$3,"&lt;"&amp;$DF35,$AD35:$BA35)+SUMIF($BH$3:$CE$3,"&gt;"&amp;$CW$4,$AD35:$BA35)),
IF(BM$3=$DF35+'Model Setup'!$J$7,SUMIF($BH$3:$CE$3,"="&amp;$DF35+'Model Setup'!$J$7,$AD35:$BA35)+'Model Setup'!$J$8*(SUMIF($BH$3:$CE$3,"&lt;"&amp;$DF35,$AD35:$BA35)+SUMIF($BH$3:$CE$3,"&gt;"&amp;$CW$4,$AD35:$BA35)),
IF(BM$3=$DF35+'Model Setup'!$K$7,SUMIF($BH$3:$CE$3,"="&amp;$DF35+'Model Setup'!$K$7,$AD35:$BA35)+'Model Setup'!$K$8*(SUMIF($BH$3:$CE$3,"&lt;"&amp;$DF35,$AD35:$BA35)+SUMIF($BH$3:$CE$3,"&gt;"&amp;$CW$4,$AD35:$BA35)),
IF(BM$3=$DF35+'Model Setup'!$L$7,SUMIF($BH$3:$CE$3,"="&amp;$DF35+'Model Setup'!$L$7,$AD35:$BA35)+'Model Setup'!$L$8*(SUMIF($BH$3:$CE$3,"&lt;"&amp;$DF35,$AD35:$BA35)+SUMIF($BH$3:$CE$3,"&gt;"&amp;$CW$4,$AD35:$BA35)),
IF(BM$3=$DF35+'Model Setup'!$M$7,SUMIF($BH$3:$CE$3,"="&amp;$DF35+'Model Setup'!$M$7,$AD35:$BA35)+'Model Setup'!$M$8*(SUMIF($BH$3:$CE$3,"&lt;"&amp;$DF35,$AD35:$BA35)+SUMIF($BH$3:$CE$3,"&gt;"&amp;$CW$4,$AD35:$BA35)),
IF(BM$3=$DF35+'Model Setup'!$N$7,SUMIF($BH$3:$CE$3,"="&amp;$DF35+'Model Setup'!$N$7,$AD35:$BA35)+'Model Setup'!$N$8*(SUMIF($BH$3:$CE$3,"&lt;"&amp;$DF35,$AD35:$BA35)+SUMIF($BH$3:$CE$3,"&gt;"&amp;$CW$4,$AD35:$BA35)),
IF(BM$3&lt;$CW$4,G35,0))))))))))))))),0)</f>
        <v>4</v>
      </c>
      <c r="BN35" s="47">
        <f>ROUND(IF(OR(BN$3&lt;$DF35,BN$3&gt;$CW$4),0,
IF(BN$3=$DF35+'Model Setup'!$B$7,SUMIF($BH$3:$CE$3,"="&amp;$DF35+'Model Setup'!$B$7,$AD35:$BA35)+'Model Setup'!$B$8*(SUMIF($BH$3:$CE$3,"&lt;"&amp;$DF35,$AD35:$BA35)+SUMIF($BH$3:$CE$3,"&gt;"&amp;$CW$4,$AD35:$BA35)),
IF(BN$3=$DF35+'Model Setup'!$C$7,SUMIF($BH$3:$CE$3,"="&amp;$DF35+'Model Setup'!$C$7,$AD35:$BA35)+'Model Setup'!$C$8*(SUMIF($BH$3:$CE$3,"&lt;"&amp;$DF35,$AD35:$BA35)+SUMIF($BH$3:$CE$3,"&gt;"&amp;$CW$4,$AD35:$BA35)),
IF(BN$3=$DF35+'Model Setup'!$D$7,SUMIF($BH$3:$CE$3,"="&amp;$DF35+'Model Setup'!$D$7,$AD35:$BA35)+'Model Setup'!$D$8*(SUMIF($BH$3:$CE$3,"&lt;"&amp;$DF35,$AD35:$BA35)+SUMIF($BH$3:$CE$3,"&gt;"&amp;$CW$4,$AD35:$BA35)),
IF(BN$3=$DF35+'Model Setup'!$E$7,SUMIF($BH$3:$CE$3,"="&amp;$DF35+'Model Setup'!$E$7,$AD35:$BA35)+'Model Setup'!$E$8*(SUMIF($BH$3:$CE$3,"&lt;"&amp;$DF35,$AD35:$BA35)+SUMIF($BH$3:$CE$3,"&gt;"&amp;$CW$4,$AD35:$BA35)),
IF(BN$3=$DF35+'Model Setup'!$F$7,SUMIF($BH$3:$CE$3,"="&amp;$DF35+'Model Setup'!$F$7,$AD35:$BA35)+'Model Setup'!$F$8*(SUMIF($BH$3:$CE$3,"&lt;"&amp;$DF35,$AD35:$BA35)+SUMIF($BH$3:$CE$3,"&gt;"&amp;$CW$4,$AD35:$BA35)),
IF(BN$3=$DF35+'Model Setup'!$G$7,SUMIF($BH$3:$CE$3,"="&amp;$DF35+'Model Setup'!$G$7,$AD35:$BA35)+'Model Setup'!$G$8*(SUMIF($BH$3:$CE$3,"&lt;"&amp;$DF35,$AD35:$BA35)+SUMIF($BH$3:$CE$3,"&gt;"&amp;$CW$4,$AD35:$BA35)),
IF(BN$3=$DF35+'Model Setup'!$H$7,SUMIF($BH$3:$CE$3,"="&amp;$DF35+'Model Setup'!$H$7,$AD35:$BA35)+'Model Setup'!$H$8*(SUMIF($BH$3:$CE$3,"&lt;"&amp;$DF35,$AD35:$BA35)+SUMIF($BH$3:$CE$3,"&gt;"&amp;$CW$4,$AD35:$BA35)),
IF(BN$3=$DF35+'Model Setup'!$I$7,SUMIF($BH$3:$CE$3,"="&amp;$DF35+'Model Setup'!$I$7,$AD35:$BA35)+'Model Setup'!$I$8*(SUMIF($BH$3:$CE$3,"&lt;"&amp;$DF35,$AD35:$BA35)+SUMIF($BH$3:$CE$3,"&gt;"&amp;$CW$4,$AD35:$BA35)),
IF(BN$3=$DF35+'Model Setup'!$J$7,SUMIF($BH$3:$CE$3,"="&amp;$DF35+'Model Setup'!$J$7,$AD35:$BA35)+'Model Setup'!$J$8*(SUMIF($BH$3:$CE$3,"&lt;"&amp;$DF35,$AD35:$BA35)+SUMIF($BH$3:$CE$3,"&gt;"&amp;$CW$4,$AD35:$BA35)),
IF(BN$3=$DF35+'Model Setup'!$K$7,SUMIF($BH$3:$CE$3,"="&amp;$DF35+'Model Setup'!$K$7,$AD35:$BA35)+'Model Setup'!$K$8*(SUMIF($BH$3:$CE$3,"&lt;"&amp;$DF35,$AD35:$BA35)+SUMIF($BH$3:$CE$3,"&gt;"&amp;$CW$4,$AD35:$BA35)),
IF(BN$3=$DF35+'Model Setup'!$L$7,SUMIF($BH$3:$CE$3,"="&amp;$DF35+'Model Setup'!$L$7,$AD35:$BA35)+'Model Setup'!$L$8*(SUMIF($BH$3:$CE$3,"&lt;"&amp;$DF35,$AD35:$BA35)+SUMIF($BH$3:$CE$3,"&gt;"&amp;$CW$4,$AD35:$BA35)),
IF(BN$3=$DF35+'Model Setup'!$M$7,SUMIF($BH$3:$CE$3,"="&amp;$DF35+'Model Setup'!$M$7,$AD35:$BA35)+'Model Setup'!$M$8*(SUMIF($BH$3:$CE$3,"&lt;"&amp;$DF35,$AD35:$BA35)+SUMIF($BH$3:$CE$3,"&gt;"&amp;$CW$4,$AD35:$BA35)),
IF(BN$3=$DF35+'Model Setup'!$N$7,SUMIF($BH$3:$CE$3,"="&amp;$DF35+'Model Setup'!$N$7,$AD35:$BA35)+'Model Setup'!$N$8*(SUMIF($BH$3:$CE$3,"&lt;"&amp;$DF35,$AD35:$BA35)+SUMIF($BH$3:$CE$3,"&gt;"&amp;$CW$4,$AD35:$BA35)),
IF(BN$3&lt;$CW$4,H35,0))))))))))))))),0)</f>
        <v>42</v>
      </c>
      <c r="BO35" s="47">
        <f>ROUND(IF(OR(BO$3&lt;$DF35,BO$3&gt;$CW$4),0,
IF(BO$3=$DF35+'Model Setup'!$B$7,SUMIF($BH$3:$CE$3,"="&amp;$DF35+'Model Setup'!$B$7,$AD35:$BA35)+'Model Setup'!$B$8*(SUMIF($BH$3:$CE$3,"&lt;"&amp;$DF35,$AD35:$BA35)+SUMIF($BH$3:$CE$3,"&gt;"&amp;$CW$4,$AD35:$BA35)),
IF(BO$3=$DF35+'Model Setup'!$C$7,SUMIF($BH$3:$CE$3,"="&amp;$DF35+'Model Setup'!$C$7,$AD35:$BA35)+'Model Setup'!$C$8*(SUMIF($BH$3:$CE$3,"&lt;"&amp;$DF35,$AD35:$BA35)+SUMIF($BH$3:$CE$3,"&gt;"&amp;$CW$4,$AD35:$BA35)),
IF(BO$3=$DF35+'Model Setup'!$D$7,SUMIF($BH$3:$CE$3,"="&amp;$DF35+'Model Setup'!$D$7,$AD35:$BA35)+'Model Setup'!$D$8*(SUMIF($BH$3:$CE$3,"&lt;"&amp;$DF35,$AD35:$BA35)+SUMIF($BH$3:$CE$3,"&gt;"&amp;$CW$4,$AD35:$BA35)),
IF(BO$3=$DF35+'Model Setup'!$E$7,SUMIF($BH$3:$CE$3,"="&amp;$DF35+'Model Setup'!$E$7,$AD35:$BA35)+'Model Setup'!$E$8*(SUMIF($BH$3:$CE$3,"&lt;"&amp;$DF35,$AD35:$BA35)+SUMIF($BH$3:$CE$3,"&gt;"&amp;$CW$4,$AD35:$BA35)),
IF(BO$3=$DF35+'Model Setup'!$F$7,SUMIF($BH$3:$CE$3,"="&amp;$DF35+'Model Setup'!$F$7,$AD35:$BA35)+'Model Setup'!$F$8*(SUMIF($BH$3:$CE$3,"&lt;"&amp;$DF35,$AD35:$BA35)+SUMIF($BH$3:$CE$3,"&gt;"&amp;$CW$4,$AD35:$BA35)),
IF(BO$3=$DF35+'Model Setup'!$G$7,SUMIF($BH$3:$CE$3,"="&amp;$DF35+'Model Setup'!$G$7,$AD35:$BA35)+'Model Setup'!$G$8*(SUMIF($BH$3:$CE$3,"&lt;"&amp;$DF35,$AD35:$BA35)+SUMIF($BH$3:$CE$3,"&gt;"&amp;$CW$4,$AD35:$BA35)),
IF(BO$3=$DF35+'Model Setup'!$H$7,SUMIF($BH$3:$CE$3,"="&amp;$DF35+'Model Setup'!$H$7,$AD35:$BA35)+'Model Setup'!$H$8*(SUMIF($BH$3:$CE$3,"&lt;"&amp;$DF35,$AD35:$BA35)+SUMIF($BH$3:$CE$3,"&gt;"&amp;$CW$4,$AD35:$BA35)),
IF(BO$3=$DF35+'Model Setup'!$I$7,SUMIF($BH$3:$CE$3,"="&amp;$DF35+'Model Setup'!$I$7,$AD35:$BA35)+'Model Setup'!$I$8*(SUMIF($BH$3:$CE$3,"&lt;"&amp;$DF35,$AD35:$BA35)+SUMIF($BH$3:$CE$3,"&gt;"&amp;$CW$4,$AD35:$BA35)),
IF(BO$3=$DF35+'Model Setup'!$J$7,SUMIF($BH$3:$CE$3,"="&amp;$DF35+'Model Setup'!$J$7,$AD35:$BA35)+'Model Setup'!$J$8*(SUMIF($BH$3:$CE$3,"&lt;"&amp;$DF35,$AD35:$BA35)+SUMIF($BH$3:$CE$3,"&gt;"&amp;$CW$4,$AD35:$BA35)),
IF(BO$3=$DF35+'Model Setup'!$K$7,SUMIF($BH$3:$CE$3,"="&amp;$DF35+'Model Setup'!$K$7,$AD35:$BA35)+'Model Setup'!$K$8*(SUMIF($BH$3:$CE$3,"&lt;"&amp;$DF35,$AD35:$BA35)+SUMIF($BH$3:$CE$3,"&gt;"&amp;$CW$4,$AD35:$BA35)),
IF(BO$3=$DF35+'Model Setup'!$L$7,SUMIF($BH$3:$CE$3,"="&amp;$DF35+'Model Setup'!$L$7,$AD35:$BA35)+'Model Setup'!$L$8*(SUMIF($BH$3:$CE$3,"&lt;"&amp;$DF35,$AD35:$BA35)+SUMIF($BH$3:$CE$3,"&gt;"&amp;$CW$4,$AD35:$BA35)),
IF(BO$3=$DF35+'Model Setup'!$M$7,SUMIF($BH$3:$CE$3,"="&amp;$DF35+'Model Setup'!$M$7,$AD35:$BA35)+'Model Setup'!$M$8*(SUMIF($BH$3:$CE$3,"&lt;"&amp;$DF35,$AD35:$BA35)+SUMIF($BH$3:$CE$3,"&gt;"&amp;$CW$4,$AD35:$BA35)),
IF(BO$3=$DF35+'Model Setup'!$N$7,SUMIF($BH$3:$CE$3,"="&amp;$DF35+'Model Setup'!$N$7,$AD35:$BA35)+'Model Setup'!$N$8*(SUMIF($BH$3:$CE$3,"&lt;"&amp;$DF35,$AD35:$BA35)+SUMIF($BH$3:$CE$3,"&gt;"&amp;$CW$4,$AD35:$BA35)),
IF(BO$3&lt;$CW$4,I35,0))))))))))))))),0)</f>
        <v>50</v>
      </c>
      <c r="BP35" s="47">
        <f>ROUND(IF(OR(BP$3&lt;$DF35,BP$3&gt;$CW$4),0,
IF(BP$3=$DF35+'Model Setup'!$B$7,SUMIF($BH$3:$CE$3,"="&amp;$DF35+'Model Setup'!$B$7,$AD35:$BA35)+'Model Setup'!$B$8*(SUMIF($BH$3:$CE$3,"&lt;"&amp;$DF35,$AD35:$BA35)+SUMIF($BH$3:$CE$3,"&gt;"&amp;$CW$4,$AD35:$BA35)),
IF(BP$3=$DF35+'Model Setup'!$C$7,SUMIF($BH$3:$CE$3,"="&amp;$DF35+'Model Setup'!$C$7,$AD35:$BA35)+'Model Setup'!$C$8*(SUMIF($BH$3:$CE$3,"&lt;"&amp;$DF35,$AD35:$BA35)+SUMIF($BH$3:$CE$3,"&gt;"&amp;$CW$4,$AD35:$BA35)),
IF(BP$3=$DF35+'Model Setup'!$D$7,SUMIF($BH$3:$CE$3,"="&amp;$DF35+'Model Setup'!$D$7,$AD35:$BA35)+'Model Setup'!$D$8*(SUMIF($BH$3:$CE$3,"&lt;"&amp;$DF35,$AD35:$BA35)+SUMIF($BH$3:$CE$3,"&gt;"&amp;$CW$4,$AD35:$BA35)),
IF(BP$3=$DF35+'Model Setup'!$E$7,SUMIF($BH$3:$CE$3,"="&amp;$DF35+'Model Setup'!$E$7,$AD35:$BA35)+'Model Setup'!$E$8*(SUMIF($BH$3:$CE$3,"&lt;"&amp;$DF35,$AD35:$BA35)+SUMIF($BH$3:$CE$3,"&gt;"&amp;$CW$4,$AD35:$BA35)),
IF(BP$3=$DF35+'Model Setup'!$F$7,SUMIF($BH$3:$CE$3,"="&amp;$DF35+'Model Setup'!$F$7,$AD35:$BA35)+'Model Setup'!$F$8*(SUMIF($BH$3:$CE$3,"&lt;"&amp;$DF35,$AD35:$BA35)+SUMIF($BH$3:$CE$3,"&gt;"&amp;$CW$4,$AD35:$BA35)),
IF(BP$3=$DF35+'Model Setup'!$G$7,SUMIF($BH$3:$CE$3,"="&amp;$DF35+'Model Setup'!$G$7,$AD35:$BA35)+'Model Setup'!$G$8*(SUMIF($BH$3:$CE$3,"&lt;"&amp;$DF35,$AD35:$BA35)+SUMIF($BH$3:$CE$3,"&gt;"&amp;$CW$4,$AD35:$BA35)),
IF(BP$3=$DF35+'Model Setup'!$H$7,SUMIF($BH$3:$CE$3,"="&amp;$DF35+'Model Setup'!$H$7,$AD35:$BA35)+'Model Setup'!$H$8*(SUMIF($BH$3:$CE$3,"&lt;"&amp;$DF35,$AD35:$BA35)+SUMIF($BH$3:$CE$3,"&gt;"&amp;$CW$4,$AD35:$BA35)),
IF(BP$3=$DF35+'Model Setup'!$I$7,SUMIF($BH$3:$CE$3,"="&amp;$DF35+'Model Setup'!$I$7,$AD35:$BA35)+'Model Setup'!$I$8*(SUMIF($BH$3:$CE$3,"&lt;"&amp;$DF35,$AD35:$BA35)+SUMIF($BH$3:$CE$3,"&gt;"&amp;$CW$4,$AD35:$BA35)),
IF(BP$3=$DF35+'Model Setup'!$J$7,SUMIF($BH$3:$CE$3,"="&amp;$DF35+'Model Setup'!$J$7,$AD35:$BA35)+'Model Setup'!$J$8*(SUMIF($BH$3:$CE$3,"&lt;"&amp;$DF35,$AD35:$BA35)+SUMIF($BH$3:$CE$3,"&gt;"&amp;$CW$4,$AD35:$BA35)),
IF(BP$3=$DF35+'Model Setup'!$K$7,SUMIF($BH$3:$CE$3,"="&amp;$DF35+'Model Setup'!$K$7,$AD35:$BA35)+'Model Setup'!$K$8*(SUMIF($BH$3:$CE$3,"&lt;"&amp;$DF35,$AD35:$BA35)+SUMIF($BH$3:$CE$3,"&gt;"&amp;$CW$4,$AD35:$BA35)),
IF(BP$3=$DF35+'Model Setup'!$L$7,SUMIF($BH$3:$CE$3,"="&amp;$DF35+'Model Setup'!$L$7,$AD35:$BA35)+'Model Setup'!$L$8*(SUMIF($BH$3:$CE$3,"&lt;"&amp;$DF35,$AD35:$BA35)+SUMIF($BH$3:$CE$3,"&gt;"&amp;$CW$4,$AD35:$BA35)),
IF(BP$3=$DF35+'Model Setup'!$M$7,SUMIF($BH$3:$CE$3,"="&amp;$DF35+'Model Setup'!$M$7,$AD35:$BA35)+'Model Setup'!$M$8*(SUMIF($BH$3:$CE$3,"&lt;"&amp;$DF35,$AD35:$BA35)+SUMIF($BH$3:$CE$3,"&gt;"&amp;$CW$4,$AD35:$BA35)),
IF(BP$3=$DF35+'Model Setup'!$N$7,SUMIF($BH$3:$CE$3,"="&amp;$DF35+'Model Setup'!$N$7,$AD35:$BA35)+'Model Setup'!$N$8*(SUMIF($BH$3:$CE$3,"&lt;"&amp;$DF35,$AD35:$BA35)+SUMIF($BH$3:$CE$3,"&gt;"&amp;$CW$4,$AD35:$BA35)),
IF(BP$3&lt;$CW$4,J35,0))))))))))))))),0)</f>
        <v>44</v>
      </c>
      <c r="BQ35" s="47">
        <f>ROUND(IF(OR(BQ$3&lt;$DF35,BQ$3&gt;$CW$4),0,
IF(BQ$3=$DF35+'Model Setup'!$B$7,SUMIF($BH$3:$CE$3,"="&amp;$DF35+'Model Setup'!$B$7,$AD35:$BA35)+'Model Setup'!$B$8*(SUMIF($BH$3:$CE$3,"&lt;"&amp;$DF35,$AD35:$BA35)+SUMIF($BH$3:$CE$3,"&gt;"&amp;$CW$4,$AD35:$BA35)),
IF(BQ$3=$DF35+'Model Setup'!$C$7,SUMIF($BH$3:$CE$3,"="&amp;$DF35+'Model Setup'!$C$7,$AD35:$BA35)+'Model Setup'!$C$8*(SUMIF($BH$3:$CE$3,"&lt;"&amp;$DF35,$AD35:$BA35)+SUMIF($BH$3:$CE$3,"&gt;"&amp;$CW$4,$AD35:$BA35)),
IF(BQ$3=$DF35+'Model Setup'!$D$7,SUMIF($BH$3:$CE$3,"="&amp;$DF35+'Model Setup'!$D$7,$AD35:$BA35)+'Model Setup'!$D$8*(SUMIF($BH$3:$CE$3,"&lt;"&amp;$DF35,$AD35:$BA35)+SUMIF($BH$3:$CE$3,"&gt;"&amp;$CW$4,$AD35:$BA35)),
IF(BQ$3=$DF35+'Model Setup'!$E$7,SUMIF($BH$3:$CE$3,"="&amp;$DF35+'Model Setup'!$E$7,$AD35:$BA35)+'Model Setup'!$E$8*(SUMIF($BH$3:$CE$3,"&lt;"&amp;$DF35,$AD35:$BA35)+SUMIF($BH$3:$CE$3,"&gt;"&amp;$CW$4,$AD35:$BA35)),
IF(BQ$3=$DF35+'Model Setup'!$F$7,SUMIF($BH$3:$CE$3,"="&amp;$DF35+'Model Setup'!$F$7,$AD35:$BA35)+'Model Setup'!$F$8*(SUMIF($BH$3:$CE$3,"&lt;"&amp;$DF35,$AD35:$BA35)+SUMIF($BH$3:$CE$3,"&gt;"&amp;$CW$4,$AD35:$BA35)),
IF(BQ$3=$DF35+'Model Setup'!$G$7,SUMIF($BH$3:$CE$3,"="&amp;$DF35+'Model Setup'!$G$7,$AD35:$BA35)+'Model Setup'!$G$8*(SUMIF($BH$3:$CE$3,"&lt;"&amp;$DF35,$AD35:$BA35)+SUMIF($BH$3:$CE$3,"&gt;"&amp;$CW$4,$AD35:$BA35)),
IF(BQ$3=$DF35+'Model Setup'!$H$7,SUMIF($BH$3:$CE$3,"="&amp;$DF35+'Model Setup'!$H$7,$AD35:$BA35)+'Model Setup'!$H$8*(SUMIF($BH$3:$CE$3,"&lt;"&amp;$DF35,$AD35:$BA35)+SUMIF($BH$3:$CE$3,"&gt;"&amp;$CW$4,$AD35:$BA35)),
IF(BQ$3=$DF35+'Model Setup'!$I$7,SUMIF($BH$3:$CE$3,"="&amp;$DF35+'Model Setup'!$I$7,$AD35:$BA35)+'Model Setup'!$I$8*(SUMIF($BH$3:$CE$3,"&lt;"&amp;$DF35,$AD35:$BA35)+SUMIF($BH$3:$CE$3,"&gt;"&amp;$CW$4,$AD35:$BA35)),
IF(BQ$3=$DF35+'Model Setup'!$J$7,SUMIF($BH$3:$CE$3,"="&amp;$DF35+'Model Setup'!$J$7,$AD35:$BA35)+'Model Setup'!$J$8*(SUMIF($BH$3:$CE$3,"&lt;"&amp;$DF35,$AD35:$BA35)+SUMIF($BH$3:$CE$3,"&gt;"&amp;$CW$4,$AD35:$BA35)),
IF(BQ$3=$DF35+'Model Setup'!$K$7,SUMIF($BH$3:$CE$3,"="&amp;$DF35+'Model Setup'!$K$7,$AD35:$BA35)+'Model Setup'!$K$8*(SUMIF($BH$3:$CE$3,"&lt;"&amp;$DF35,$AD35:$BA35)+SUMIF($BH$3:$CE$3,"&gt;"&amp;$CW$4,$AD35:$BA35)),
IF(BQ$3=$DF35+'Model Setup'!$L$7,SUMIF($BH$3:$CE$3,"="&amp;$DF35+'Model Setup'!$L$7,$AD35:$BA35)+'Model Setup'!$L$8*(SUMIF($BH$3:$CE$3,"&lt;"&amp;$DF35,$AD35:$BA35)+SUMIF($BH$3:$CE$3,"&gt;"&amp;$CW$4,$AD35:$BA35)),
IF(BQ$3=$DF35+'Model Setup'!$M$7,SUMIF($BH$3:$CE$3,"="&amp;$DF35+'Model Setup'!$M$7,$AD35:$BA35)+'Model Setup'!$M$8*(SUMIF($BH$3:$CE$3,"&lt;"&amp;$DF35,$AD35:$BA35)+SUMIF($BH$3:$CE$3,"&gt;"&amp;$CW$4,$AD35:$BA35)),
IF(BQ$3=$DF35+'Model Setup'!$N$7,SUMIF($BH$3:$CE$3,"="&amp;$DF35+'Model Setup'!$N$7,$AD35:$BA35)+'Model Setup'!$N$8*(SUMIF($BH$3:$CE$3,"&lt;"&amp;$DF35,$AD35:$BA35)+SUMIF($BH$3:$CE$3,"&gt;"&amp;$CW$4,$AD35:$BA35)),
IF(BQ$3&lt;$CW$4,K35,0))))))))))))))),0)</f>
        <v>26</v>
      </c>
      <c r="BR35" s="47">
        <f>ROUND(IF(OR(BR$3&lt;$DF35,BR$3&gt;$CW$4),0,
IF(BR$3=$DF35+'Model Setup'!$B$7,SUMIF($BH$3:$CE$3,"="&amp;$DF35+'Model Setup'!$B$7,$AD35:$BA35)+'Model Setup'!$B$8*(SUMIF($BH$3:$CE$3,"&lt;"&amp;$DF35,$AD35:$BA35)+SUMIF($BH$3:$CE$3,"&gt;"&amp;$CW$4,$AD35:$BA35)),
IF(BR$3=$DF35+'Model Setup'!$C$7,SUMIF($BH$3:$CE$3,"="&amp;$DF35+'Model Setup'!$C$7,$AD35:$BA35)+'Model Setup'!$C$8*(SUMIF($BH$3:$CE$3,"&lt;"&amp;$DF35,$AD35:$BA35)+SUMIF($BH$3:$CE$3,"&gt;"&amp;$CW$4,$AD35:$BA35)),
IF(BR$3=$DF35+'Model Setup'!$D$7,SUMIF($BH$3:$CE$3,"="&amp;$DF35+'Model Setup'!$D$7,$AD35:$BA35)+'Model Setup'!$D$8*(SUMIF($BH$3:$CE$3,"&lt;"&amp;$DF35,$AD35:$BA35)+SUMIF($BH$3:$CE$3,"&gt;"&amp;$CW$4,$AD35:$BA35)),
IF(BR$3=$DF35+'Model Setup'!$E$7,SUMIF($BH$3:$CE$3,"="&amp;$DF35+'Model Setup'!$E$7,$AD35:$BA35)+'Model Setup'!$E$8*(SUMIF($BH$3:$CE$3,"&lt;"&amp;$DF35,$AD35:$BA35)+SUMIF($BH$3:$CE$3,"&gt;"&amp;$CW$4,$AD35:$BA35)),
IF(BR$3=$DF35+'Model Setup'!$F$7,SUMIF($BH$3:$CE$3,"="&amp;$DF35+'Model Setup'!$F$7,$AD35:$BA35)+'Model Setup'!$F$8*(SUMIF($BH$3:$CE$3,"&lt;"&amp;$DF35,$AD35:$BA35)+SUMIF($BH$3:$CE$3,"&gt;"&amp;$CW$4,$AD35:$BA35)),
IF(BR$3=$DF35+'Model Setup'!$G$7,SUMIF($BH$3:$CE$3,"="&amp;$DF35+'Model Setup'!$G$7,$AD35:$BA35)+'Model Setup'!$G$8*(SUMIF($BH$3:$CE$3,"&lt;"&amp;$DF35,$AD35:$BA35)+SUMIF($BH$3:$CE$3,"&gt;"&amp;$CW$4,$AD35:$BA35)),
IF(BR$3=$DF35+'Model Setup'!$H$7,SUMIF($BH$3:$CE$3,"="&amp;$DF35+'Model Setup'!$H$7,$AD35:$BA35)+'Model Setup'!$H$8*(SUMIF($BH$3:$CE$3,"&lt;"&amp;$DF35,$AD35:$BA35)+SUMIF($BH$3:$CE$3,"&gt;"&amp;$CW$4,$AD35:$BA35)),
IF(BR$3=$DF35+'Model Setup'!$I$7,SUMIF($BH$3:$CE$3,"="&amp;$DF35+'Model Setup'!$I$7,$AD35:$BA35)+'Model Setup'!$I$8*(SUMIF($BH$3:$CE$3,"&lt;"&amp;$DF35,$AD35:$BA35)+SUMIF($BH$3:$CE$3,"&gt;"&amp;$CW$4,$AD35:$BA35)),
IF(BR$3=$DF35+'Model Setup'!$J$7,SUMIF($BH$3:$CE$3,"="&amp;$DF35+'Model Setup'!$J$7,$AD35:$BA35)+'Model Setup'!$J$8*(SUMIF($BH$3:$CE$3,"&lt;"&amp;$DF35,$AD35:$BA35)+SUMIF($BH$3:$CE$3,"&gt;"&amp;$CW$4,$AD35:$BA35)),
IF(BR$3=$DF35+'Model Setup'!$K$7,SUMIF($BH$3:$CE$3,"="&amp;$DF35+'Model Setup'!$K$7,$AD35:$BA35)+'Model Setup'!$K$8*(SUMIF($BH$3:$CE$3,"&lt;"&amp;$DF35,$AD35:$BA35)+SUMIF($BH$3:$CE$3,"&gt;"&amp;$CW$4,$AD35:$BA35)),
IF(BR$3=$DF35+'Model Setup'!$L$7,SUMIF($BH$3:$CE$3,"="&amp;$DF35+'Model Setup'!$L$7,$AD35:$BA35)+'Model Setup'!$L$8*(SUMIF($BH$3:$CE$3,"&lt;"&amp;$DF35,$AD35:$BA35)+SUMIF($BH$3:$CE$3,"&gt;"&amp;$CW$4,$AD35:$BA35)),
IF(BR$3=$DF35+'Model Setup'!$M$7,SUMIF($BH$3:$CE$3,"="&amp;$DF35+'Model Setup'!$M$7,$AD35:$BA35)+'Model Setup'!$M$8*(SUMIF($BH$3:$CE$3,"&lt;"&amp;$DF35,$AD35:$BA35)+SUMIF($BH$3:$CE$3,"&gt;"&amp;$CW$4,$AD35:$BA35)),
IF(BR$3=$DF35+'Model Setup'!$N$7,SUMIF($BH$3:$CE$3,"="&amp;$DF35+'Model Setup'!$N$7,$AD35:$BA35)+'Model Setup'!$N$8*(SUMIF($BH$3:$CE$3,"&lt;"&amp;$DF35,$AD35:$BA35)+SUMIF($BH$3:$CE$3,"&gt;"&amp;$CW$4,$AD35:$BA35)),
IF(BR$3&lt;$CW$4,L35,0))))))))))))))),0)</f>
        <v>21</v>
      </c>
      <c r="BS35" s="47">
        <f>ROUND(IF(OR(BS$3&lt;$DF35,BS$3&gt;$CW$4),0,
IF(BS$3=$DF35+'Model Setup'!$B$7,SUMIF($BH$3:$CE$3,"="&amp;$DF35+'Model Setup'!$B$7,$AD35:$BA35)+'Model Setup'!$B$8*(SUMIF($BH$3:$CE$3,"&lt;"&amp;$DF35,$AD35:$BA35)+SUMIF($BH$3:$CE$3,"&gt;"&amp;$CW$4,$AD35:$BA35)),
IF(BS$3=$DF35+'Model Setup'!$C$7,SUMIF($BH$3:$CE$3,"="&amp;$DF35+'Model Setup'!$C$7,$AD35:$BA35)+'Model Setup'!$C$8*(SUMIF($BH$3:$CE$3,"&lt;"&amp;$DF35,$AD35:$BA35)+SUMIF($BH$3:$CE$3,"&gt;"&amp;$CW$4,$AD35:$BA35)),
IF(BS$3=$DF35+'Model Setup'!$D$7,SUMIF($BH$3:$CE$3,"="&amp;$DF35+'Model Setup'!$D$7,$AD35:$BA35)+'Model Setup'!$D$8*(SUMIF($BH$3:$CE$3,"&lt;"&amp;$DF35,$AD35:$BA35)+SUMIF($BH$3:$CE$3,"&gt;"&amp;$CW$4,$AD35:$BA35)),
IF(BS$3=$DF35+'Model Setup'!$E$7,SUMIF($BH$3:$CE$3,"="&amp;$DF35+'Model Setup'!$E$7,$AD35:$BA35)+'Model Setup'!$E$8*(SUMIF($BH$3:$CE$3,"&lt;"&amp;$DF35,$AD35:$BA35)+SUMIF($BH$3:$CE$3,"&gt;"&amp;$CW$4,$AD35:$BA35)),
IF(BS$3=$DF35+'Model Setup'!$F$7,SUMIF($BH$3:$CE$3,"="&amp;$DF35+'Model Setup'!$F$7,$AD35:$BA35)+'Model Setup'!$F$8*(SUMIF($BH$3:$CE$3,"&lt;"&amp;$DF35,$AD35:$BA35)+SUMIF($BH$3:$CE$3,"&gt;"&amp;$CW$4,$AD35:$BA35)),
IF(BS$3=$DF35+'Model Setup'!$G$7,SUMIF($BH$3:$CE$3,"="&amp;$DF35+'Model Setup'!$G$7,$AD35:$BA35)+'Model Setup'!$G$8*(SUMIF($BH$3:$CE$3,"&lt;"&amp;$DF35,$AD35:$BA35)+SUMIF($BH$3:$CE$3,"&gt;"&amp;$CW$4,$AD35:$BA35)),
IF(BS$3=$DF35+'Model Setup'!$H$7,SUMIF($BH$3:$CE$3,"="&amp;$DF35+'Model Setup'!$H$7,$AD35:$BA35)+'Model Setup'!$H$8*(SUMIF($BH$3:$CE$3,"&lt;"&amp;$DF35,$AD35:$BA35)+SUMIF($BH$3:$CE$3,"&gt;"&amp;$CW$4,$AD35:$BA35)),
IF(BS$3=$DF35+'Model Setup'!$I$7,SUMIF($BH$3:$CE$3,"="&amp;$DF35+'Model Setup'!$I$7,$AD35:$BA35)+'Model Setup'!$I$8*(SUMIF($BH$3:$CE$3,"&lt;"&amp;$DF35,$AD35:$BA35)+SUMIF($BH$3:$CE$3,"&gt;"&amp;$CW$4,$AD35:$BA35)),
IF(BS$3=$DF35+'Model Setup'!$J$7,SUMIF($BH$3:$CE$3,"="&amp;$DF35+'Model Setup'!$J$7,$AD35:$BA35)+'Model Setup'!$J$8*(SUMIF($BH$3:$CE$3,"&lt;"&amp;$DF35,$AD35:$BA35)+SUMIF($BH$3:$CE$3,"&gt;"&amp;$CW$4,$AD35:$BA35)),
IF(BS$3=$DF35+'Model Setup'!$K$7,SUMIF($BH$3:$CE$3,"="&amp;$DF35+'Model Setup'!$K$7,$AD35:$BA35)+'Model Setup'!$K$8*(SUMIF($BH$3:$CE$3,"&lt;"&amp;$DF35,$AD35:$BA35)+SUMIF($BH$3:$CE$3,"&gt;"&amp;$CW$4,$AD35:$BA35)),
IF(BS$3=$DF35+'Model Setup'!$L$7,SUMIF($BH$3:$CE$3,"="&amp;$DF35+'Model Setup'!$L$7,$AD35:$BA35)+'Model Setup'!$L$8*(SUMIF($BH$3:$CE$3,"&lt;"&amp;$DF35,$AD35:$BA35)+SUMIF($BH$3:$CE$3,"&gt;"&amp;$CW$4,$AD35:$BA35)),
IF(BS$3=$DF35+'Model Setup'!$M$7,SUMIF($BH$3:$CE$3,"="&amp;$DF35+'Model Setup'!$M$7,$AD35:$BA35)+'Model Setup'!$M$8*(SUMIF($BH$3:$CE$3,"&lt;"&amp;$DF35,$AD35:$BA35)+SUMIF($BH$3:$CE$3,"&gt;"&amp;$CW$4,$AD35:$BA35)),
IF(BS$3=$DF35+'Model Setup'!$N$7,SUMIF($BH$3:$CE$3,"="&amp;$DF35+'Model Setup'!$N$7,$AD35:$BA35)+'Model Setup'!$N$8*(SUMIF($BH$3:$CE$3,"&lt;"&amp;$DF35,$AD35:$BA35)+SUMIF($BH$3:$CE$3,"&gt;"&amp;$CW$4,$AD35:$BA35)),
IF(BS$3&lt;$CW$4,M35,0))))))))))))))),0)</f>
        <v>23</v>
      </c>
      <c r="BT35" s="47">
        <f>ROUND(IF(OR(BT$3&lt;$DF35,BT$3&gt;$CW$4),0,
IF(BT$3=$DF35+'Model Setup'!$B$7,SUMIF($BH$3:$CE$3,"="&amp;$DF35+'Model Setup'!$B$7,$AD35:$BA35)+'Model Setup'!$B$8*(SUMIF($BH$3:$CE$3,"&lt;"&amp;$DF35,$AD35:$BA35)+SUMIF($BH$3:$CE$3,"&gt;"&amp;$CW$4,$AD35:$BA35)),
IF(BT$3=$DF35+'Model Setup'!$C$7,SUMIF($BH$3:$CE$3,"="&amp;$DF35+'Model Setup'!$C$7,$AD35:$BA35)+'Model Setup'!$C$8*(SUMIF($BH$3:$CE$3,"&lt;"&amp;$DF35,$AD35:$BA35)+SUMIF($BH$3:$CE$3,"&gt;"&amp;$CW$4,$AD35:$BA35)),
IF(BT$3=$DF35+'Model Setup'!$D$7,SUMIF($BH$3:$CE$3,"="&amp;$DF35+'Model Setup'!$D$7,$AD35:$BA35)+'Model Setup'!$D$8*(SUMIF($BH$3:$CE$3,"&lt;"&amp;$DF35,$AD35:$BA35)+SUMIF($BH$3:$CE$3,"&gt;"&amp;$CW$4,$AD35:$BA35)),
IF(BT$3=$DF35+'Model Setup'!$E$7,SUMIF($BH$3:$CE$3,"="&amp;$DF35+'Model Setup'!$E$7,$AD35:$BA35)+'Model Setup'!$E$8*(SUMIF($BH$3:$CE$3,"&lt;"&amp;$DF35,$AD35:$BA35)+SUMIF($BH$3:$CE$3,"&gt;"&amp;$CW$4,$AD35:$BA35)),
IF(BT$3=$DF35+'Model Setup'!$F$7,SUMIF($BH$3:$CE$3,"="&amp;$DF35+'Model Setup'!$F$7,$AD35:$BA35)+'Model Setup'!$F$8*(SUMIF($BH$3:$CE$3,"&lt;"&amp;$DF35,$AD35:$BA35)+SUMIF($BH$3:$CE$3,"&gt;"&amp;$CW$4,$AD35:$BA35)),
IF(BT$3=$DF35+'Model Setup'!$G$7,SUMIF($BH$3:$CE$3,"="&amp;$DF35+'Model Setup'!$G$7,$AD35:$BA35)+'Model Setup'!$G$8*(SUMIF($BH$3:$CE$3,"&lt;"&amp;$DF35,$AD35:$BA35)+SUMIF($BH$3:$CE$3,"&gt;"&amp;$CW$4,$AD35:$BA35)),
IF(BT$3=$DF35+'Model Setup'!$H$7,SUMIF($BH$3:$CE$3,"="&amp;$DF35+'Model Setup'!$H$7,$AD35:$BA35)+'Model Setup'!$H$8*(SUMIF($BH$3:$CE$3,"&lt;"&amp;$DF35,$AD35:$BA35)+SUMIF($BH$3:$CE$3,"&gt;"&amp;$CW$4,$AD35:$BA35)),
IF(BT$3=$DF35+'Model Setup'!$I$7,SUMIF($BH$3:$CE$3,"="&amp;$DF35+'Model Setup'!$I$7,$AD35:$BA35)+'Model Setup'!$I$8*(SUMIF($BH$3:$CE$3,"&lt;"&amp;$DF35,$AD35:$BA35)+SUMIF($BH$3:$CE$3,"&gt;"&amp;$CW$4,$AD35:$BA35)),
IF(BT$3=$DF35+'Model Setup'!$J$7,SUMIF($BH$3:$CE$3,"="&amp;$DF35+'Model Setup'!$J$7,$AD35:$BA35)+'Model Setup'!$J$8*(SUMIF($BH$3:$CE$3,"&lt;"&amp;$DF35,$AD35:$BA35)+SUMIF($BH$3:$CE$3,"&gt;"&amp;$CW$4,$AD35:$BA35)),
IF(BT$3=$DF35+'Model Setup'!$K$7,SUMIF($BH$3:$CE$3,"="&amp;$DF35+'Model Setup'!$K$7,$AD35:$BA35)+'Model Setup'!$K$8*(SUMIF($BH$3:$CE$3,"&lt;"&amp;$DF35,$AD35:$BA35)+SUMIF($BH$3:$CE$3,"&gt;"&amp;$CW$4,$AD35:$BA35)),
IF(BT$3=$DF35+'Model Setup'!$L$7,SUMIF($BH$3:$CE$3,"="&amp;$DF35+'Model Setup'!$L$7,$AD35:$BA35)+'Model Setup'!$L$8*(SUMIF($BH$3:$CE$3,"&lt;"&amp;$DF35,$AD35:$BA35)+SUMIF($BH$3:$CE$3,"&gt;"&amp;$CW$4,$AD35:$BA35)),
IF(BT$3=$DF35+'Model Setup'!$M$7,SUMIF($BH$3:$CE$3,"="&amp;$DF35+'Model Setup'!$M$7,$AD35:$BA35)+'Model Setup'!$M$8*(SUMIF($BH$3:$CE$3,"&lt;"&amp;$DF35,$AD35:$BA35)+SUMIF($BH$3:$CE$3,"&gt;"&amp;$CW$4,$AD35:$BA35)),
IF(BT$3=$DF35+'Model Setup'!$N$7,SUMIF($BH$3:$CE$3,"="&amp;$DF35+'Model Setup'!$N$7,$AD35:$BA35)+'Model Setup'!$N$8*(SUMIF($BH$3:$CE$3,"&lt;"&amp;$DF35,$AD35:$BA35)+SUMIF($BH$3:$CE$3,"&gt;"&amp;$CW$4,$AD35:$BA35)),
IF(BT$3&lt;$CW$4,N35,0))))))))))))))),0)</f>
        <v>19</v>
      </c>
      <c r="BU35" s="47">
        <f>ROUND(IF(OR(BU$3&lt;$DF35,BU$3&gt;$CW$4),0,
IF(BU$3=$DF35+'Model Setup'!$B$7,SUMIF($BH$3:$CE$3,"="&amp;$DF35+'Model Setup'!$B$7,$AD35:$BA35)+'Model Setup'!$B$8*(SUMIF($BH$3:$CE$3,"&lt;"&amp;$DF35,$AD35:$BA35)+SUMIF($BH$3:$CE$3,"&gt;"&amp;$CW$4,$AD35:$BA35)),
IF(BU$3=$DF35+'Model Setup'!$C$7,SUMIF($BH$3:$CE$3,"="&amp;$DF35+'Model Setup'!$C$7,$AD35:$BA35)+'Model Setup'!$C$8*(SUMIF($BH$3:$CE$3,"&lt;"&amp;$DF35,$AD35:$BA35)+SUMIF($BH$3:$CE$3,"&gt;"&amp;$CW$4,$AD35:$BA35)),
IF(BU$3=$DF35+'Model Setup'!$D$7,SUMIF($BH$3:$CE$3,"="&amp;$DF35+'Model Setup'!$D$7,$AD35:$BA35)+'Model Setup'!$D$8*(SUMIF($BH$3:$CE$3,"&lt;"&amp;$DF35,$AD35:$BA35)+SUMIF($BH$3:$CE$3,"&gt;"&amp;$CW$4,$AD35:$BA35)),
IF(BU$3=$DF35+'Model Setup'!$E$7,SUMIF($BH$3:$CE$3,"="&amp;$DF35+'Model Setup'!$E$7,$AD35:$BA35)+'Model Setup'!$E$8*(SUMIF($BH$3:$CE$3,"&lt;"&amp;$DF35,$AD35:$BA35)+SUMIF($BH$3:$CE$3,"&gt;"&amp;$CW$4,$AD35:$BA35)),
IF(BU$3=$DF35+'Model Setup'!$F$7,SUMIF($BH$3:$CE$3,"="&amp;$DF35+'Model Setup'!$F$7,$AD35:$BA35)+'Model Setup'!$F$8*(SUMIF($BH$3:$CE$3,"&lt;"&amp;$DF35,$AD35:$BA35)+SUMIF($BH$3:$CE$3,"&gt;"&amp;$CW$4,$AD35:$BA35)),
IF(BU$3=$DF35+'Model Setup'!$G$7,SUMIF($BH$3:$CE$3,"="&amp;$DF35+'Model Setup'!$G$7,$AD35:$BA35)+'Model Setup'!$G$8*(SUMIF($BH$3:$CE$3,"&lt;"&amp;$DF35,$AD35:$BA35)+SUMIF($BH$3:$CE$3,"&gt;"&amp;$CW$4,$AD35:$BA35)),
IF(BU$3=$DF35+'Model Setup'!$H$7,SUMIF($BH$3:$CE$3,"="&amp;$DF35+'Model Setup'!$H$7,$AD35:$BA35)+'Model Setup'!$H$8*(SUMIF($BH$3:$CE$3,"&lt;"&amp;$DF35,$AD35:$BA35)+SUMIF($BH$3:$CE$3,"&gt;"&amp;$CW$4,$AD35:$BA35)),
IF(BU$3=$DF35+'Model Setup'!$I$7,SUMIF($BH$3:$CE$3,"="&amp;$DF35+'Model Setup'!$I$7,$AD35:$BA35)+'Model Setup'!$I$8*(SUMIF($BH$3:$CE$3,"&lt;"&amp;$DF35,$AD35:$BA35)+SUMIF($BH$3:$CE$3,"&gt;"&amp;$CW$4,$AD35:$BA35)),
IF(BU$3=$DF35+'Model Setup'!$J$7,SUMIF($BH$3:$CE$3,"="&amp;$DF35+'Model Setup'!$J$7,$AD35:$BA35)+'Model Setup'!$J$8*(SUMIF($BH$3:$CE$3,"&lt;"&amp;$DF35,$AD35:$BA35)+SUMIF($BH$3:$CE$3,"&gt;"&amp;$CW$4,$AD35:$BA35)),
IF(BU$3=$DF35+'Model Setup'!$K$7,SUMIF($BH$3:$CE$3,"="&amp;$DF35+'Model Setup'!$K$7,$AD35:$BA35)+'Model Setup'!$K$8*(SUMIF($BH$3:$CE$3,"&lt;"&amp;$DF35,$AD35:$BA35)+SUMIF($BH$3:$CE$3,"&gt;"&amp;$CW$4,$AD35:$BA35)),
IF(BU$3=$DF35+'Model Setup'!$L$7,SUMIF($BH$3:$CE$3,"="&amp;$DF35+'Model Setup'!$L$7,$AD35:$BA35)+'Model Setup'!$L$8*(SUMIF($BH$3:$CE$3,"&lt;"&amp;$DF35,$AD35:$BA35)+SUMIF($BH$3:$CE$3,"&gt;"&amp;$CW$4,$AD35:$BA35)),
IF(BU$3=$DF35+'Model Setup'!$M$7,SUMIF($BH$3:$CE$3,"="&amp;$DF35+'Model Setup'!$M$7,$AD35:$BA35)+'Model Setup'!$M$8*(SUMIF($BH$3:$CE$3,"&lt;"&amp;$DF35,$AD35:$BA35)+SUMIF($BH$3:$CE$3,"&gt;"&amp;$CW$4,$AD35:$BA35)),
IF(BU$3=$DF35+'Model Setup'!$N$7,SUMIF($BH$3:$CE$3,"="&amp;$DF35+'Model Setup'!$N$7,$AD35:$BA35)+'Model Setup'!$N$8*(SUMIF($BH$3:$CE$3,"&lt;"&amp;$DF35,$AD35:$BA35)+SUMIF($BH$3:$CE$3,"&gt;"&amp;$CW$4,$AD35:$BA35)),
IF(BU$3&lt;$CW$4,O35,0))))))))))))))),0)</f>
        <v>12</v>
      </c>
      <c r="BV35" s="47">
        <f>ROUND(IF(OR(BV$3&lt;$DF35,BV$3&gt;$CW$4),0,
IF(BV$3=$DF35+'Model Setup'!$B$7,SUMIF($BH$3:$CE$3,"="&amp;$DF35+'Model Setup'!$B$7,$AD35:$BA35)+'Model Setup'!$B$8*(SUMIF($BH$3:$CE$3,"&lt;"&amp;$DF35,$AD35:$BA35)+SUMIF($BH$3:$CE$3,"&gt;"&amp;$CW$4,$AD35:$BA35)),
IF(BV$3=$DF35+'Model Setup'!$C$7,SUMIF($BH$3:$CE$3,"="&amp;$DF35+'Model Setup'!$C$7,$AD35:$BA35)+'Model Setup'!$C$8*(SUMIF($BH$3:$CE$3,"&lt;"&amp;$DF35,$AD35:$BA35)+SUMIF($BH$3:$CE$3,"&gt;"&amp;$CW$4,$AD35:$BA35)),
IF(BV$3=$DF35+'Model Setup'!$D$7,SUMIF($BH$3:$CE$3,"="&amp;$DF35+'Model Setup'!$D$7,$AD35:$BA35)+'Model Setup'!$D$8*(SUMIF($BH$3:$CE$3,"&lt;"&amp;$DF35,$AD35:$BA35)+SUMIF($BH$3:$CE$3,"&gt;"&amp;$CW$4,$AD35:$BA35)),
IF(BV$3=$DF35+'Model Setup'!$E$7,SUMIF($BH$3:$CE$3,"="&amp;$DF35+'Model Setup'!$E$7,$AD35:$BA35)+'Model Setup'!$E$8*(SUMIF($BH$3:$CE$3,"&lt;"&amp;$DF35,$AD35:$BA35)+SUMIF($BH$3:$CE$3,"&gt;"&amp;$CW$4,$AD35:$BA35)),
IF(BV$3=$DF35+'Model Setup'!$F$7,SUMIF($BH$3:$CE$3,"="&amp;$DF35+'Model Setup'!$F$7,$AD35:$BA35)+'Model Setup'!$F$8*(SUMIF($BH$3:$CE$3,"&lt;"&amp;$DF35,$AD35:$BA35)+SUMIF($BH$3:$CE$3,"&gt;"&amp;$CW$4,$AD35:$BA35)),
IF(BV$3=$DF35+'Model Setup'!$G$7,SUMIF($BH$3:$CE$3,"="&amp;$DF35+'Model Setup'!$G$7,$AD35:$BA35)+'Model Setup'!$G$8*(SUMIF($BH$3:$CE$3,"&lt;"&amp;$DF35,$AD35:$BA35)+SUMIF($BH$3:$CE$3,"&gt;"&amp;$CW$4,$AD35:$BA35)),
IF(BV$3=$DF35+'Model Setup'!$H$7,SUMIF($BH$3:$CE$3,"="&amp;$DF35+'Model Setup'!$H$7,$AD35:$BA35)+'Model Setup'!$H$8*(SUMIF($BH$3:$CE$3,"&lt;"&amp;$DF35,$AD35:$BA35)+SUMIF($BH$3:$CE$3,"&gt;"&amp;$CW$4,$AD35:$BA35)),
IF(BV$3=$DF35+'Model Setup'!$I$7,SUMIF($BH$3:$CE$3,"="&amp;$DF35+'Model Setup'!$I$7,$AD35:$BA35)+'Model Setup'!$I$8*(SUMIF($BH$3:$CE$3,"&lt;"&amp;$DF35,$AD35:$BA35)+SUMIF($BH$3:$CE$3,"&gt;"&amp;$CW$4,$AD35:$BA35)),
IF(BV$3=$DF35+'Model Setup'!$J$7,SUMIF($BH$3:$CE$3,"="&amp;$DF35+'Model Setup'!$J$7,$AD35:$BA35)+'Model Setup'!$J$8*(SUMIF($BH$3:$CE$3,"&lt;"&amp;$DF35,$AD35:$BA35)+SUMIF($BH$3:$CE$3,"&gt;"&amp;$CW$4,$AD35:$BA35)),
IF(BV$3=$DF35+'Model Setup'!$K$7,SUMIF($BH$3:$CE$3,"="&amp;$DF35+'Model Setup'!$K$7,$AD35:$BA35)+'Model Setup'!$K$8*(SUMIF($BH$3:$CE$3,"&lt;"&amp;$DF35,$AD35:$BA35)+SUMIF($BH$3:$CE$3,"&gt;"&amp;$CW$4,$AD35:$BA35)),
IF(BV$3=$DF35+'Model Setup'!$L$7,SUMIF($BH$3:$CE$3,"="&amp;$DF35+'Model Setup'!$L$7,$AD35:$BA35)+'Model Setup'!$L$8*(SUMIF($BH$3:$CE$3,"&lt;"&amp;$DF35,$AD35:$BA35)+SUMIF($BH$3:$CE$3,"&gt;"&amp;$CW$4,$AD35:$BA35)),
IF(BV$3=$DF35+'Model Setup'!$M$7,SUMIF($BH$3:$CE$3,"="&amp;$DF35+'Model Setup'!$M$7,$AD35:$BA35)+'Model Setup'!$M$8*(SUMIF($BH$3:$CE$3,"&lt;"&amp;$DF35,$AD35:$BA35)+SUMIF($BH$3:$CE$3,"&gt;"&amp;$CW$4,$AD35:$BA35)),
IF(BV$3=$DF35+'Model Setup'!$N$7,SUMIF($BH$3:$CE$3,"="&amp;$DF35+'Model Setup'!$N$7,$AD35:$BA35)+'Model Setup'!$N$8*(SUMIF($BH$3:$CE$3,"&lt;"&amp;$DF35,$AD35:$BA35)+SUMIF($BH$3:$CE$3,"&gt;"&amp;$CW$4,$AD35:$BA35)),
IF(BV$3&lt;$CW$4,P35,0))))))))))))))),0)</f>
        <v>4</v>
      </c>
      <c r="BW35" s="47">
        <f>ROUND(IF(OR(BW$3&lt;$DF35,BW$3&gt;$CW$4),0,
IF(BW$3=$DF35+'Model Setup'!$B$7,SUMIF($BH$3:$CE$3,"="&amp;$DF35+'Model Setup'!$B$7,$AD35:$BA35)+'Model Setup'!$B$8*(SUMIF($BH$3:$CE$3,"&lt;"&amp;$DF35,$AD35:$BA35)+SUMIF($BH$3:$CE$3,"&gt;"&amp;$CW$4,$AD35:$BA35)),
IF(BW$3=$DF35+'Model Setup'!$C$7,SUMIF($BH$3:$CE$3,"="&amp;$DF35+'Model Setup'!$C$7,$AD35:$BA35)+'Model Setup'!$C$8*(SUMIF($BH$3:$CE$3,"&lt;"&amp;$DF35,$AD35:$BA35)+SUMIF($BH$3:$CE$3,"&gt;"&amp;$CW$4,$AD35:$BA35)),
IF(BW$3=$DF35+'Model Setup'!$D$7,SUMIF($BH$3:$CE$3,"="&amp;$DF35+'Model Setup'!$D$7,$AD35:$BA35)+'Model Setup'!$D$8*(SUMIF($BH$3:$CE$3,"&lt;"&amp;$DF35,$AD35:$BA35)+SUMIF($BH$3:$CE$3,"&gt;"&amp;$CW$4,$AD35:$BA35)),
IF(BW$3=$DF35+'Model Setup'!$E$7,SUMIF($BH$3:$CE$3,"="&amp;$DF35+'Model Setup'!$E$7,$AD35:$BA35)+'Model Setup'!$E$8*(SUMIF($BH$3:$CE$3,"&lt;"&amp;$DF35,$AD35:$BA35)+SUMIF($BH$3:$CE$3,"&gt;"&amp;$CW$4,$AD35:$BA35)),
IF(BW$3=$DF35+'Model Setup'!$F$7,SUMIF($BH$3:$CE$3,"="&amp;$DF35+'Model Setup'!$F$7,$AD35:$BA35)+'Model Setup'!$F$8*(SUMIF($BH$3:$CE$3,"&lt;"&amp;$DF35,$AD35:$BA35)+SUMIF($BH$3:$CE$3,"&gt;"&amp;$CW$4,$AD35:$BA35)),
IF(BW$3=$DF35+'Model Setup'!$G$7,SUMIF($BH$3:$CE$3,"="&amp;$DF35+'Model Setup'!$G$7,$AD35:$BA35)+'Model Setup'!$G$8*(SUMIF($BH$3:$CE$3,"&lt;"&amp;$DF35,$AD35:$BA35)+SUMIF($BH$3:$CE$3,"&gt;"&amp;$CW$4,$AD35:$BA35)),
IF(BW$3=$DF35+'Model Setup'!$H$7,SUMIF($BH$3:$CE$3,"="&amp;$DF35+'Model Setup'!$H$7,$AD35:$BA35)+'Model Setup'!$H$8*(SUMIF($BH$3:$CE$3,"&lt;"&amp;$DF35,$AD35:$BA35)+SUMIF($BH$3:$CE$3,"&gt;"&amp;$CW$4,$AD35:$BA35)),
IF(BW$3=$DF35+'Model Setup'!$I$7,SUMIF($BH$3:$CE$3,"="&amp;$DF35+'Model Setup'!$I$7,$AD35:$BA35)+'Model Setup'!$I$8*(SUMIF($BH$3:$CE$3,"&lt;"&amp;$DF35,$AD35:$BA35)+SUMIF($BH$3:$CE$3,"&gt;"&amp;$CW$4,$AD35:$BA35)),
IF(BW$3=$DF35+'Model Setup'!$J$7,SUMIF($BH$3:$CE$3,"="&amp;$DF35+'Model Setup'!$J$7,$AD35:$BA35)+'Model Setup'!$J$8*(SUMIF($BH$3:$CE$3,"&lt;"&amp;$DF35,$AD35:$BA35)+SUMIF($BH$3:$CE$3,"&gt;"&amp;$CW$4,$AD35:$BA35)),
IF(BW$3=$DF35+'Model Setup'!$K$7,SUMIF($BH$3:$CE$3,"="&amp;$DF35+'Model Setup'!$K$7,$AD35:$BA35)+'Model Setup'!$K$8*(SUMIF($BH$3:$CE$3,"&lt;"&amp;$DF35,$AD35:$BA35)+SUMIF($BH$3:$CE$3,"&gt;"&amp;$CW$4,$AD35:$BA35)),
IF(BW$3=$DF35+'Model Setup'!$L$7,SUMIF($BH$3:$CE$3,"="&amp;$DF35+'Model Setup'!$L$7,$AD35:$BA35)+'Model Setup'!$L$8*(SUMIF($BH$3:$CE$3,"&lt;"&amp;$DF35,$AD35:$BA35)+SUMIF($BH$3:$CE$3,"&gt;"&amp;$CW$4,$AD35:$BA35)),
IF(BW$3=$DF35+'Model Setup'!$M$7,SUMIF($BH$3:$CE$3,"="&amp;$DF35+'Model Setup'!$M$7,$AD35:$BA35)+'Model Setup'!$M$8*(SUMIF($BH$3:$CE$3,"&lt;"&amp;$DF35,$AD35:$BA35)+SUMIF($BH$3:$CE$3,"&gt;"&amp;$CW$4,$AD35:$BA35)),
IF(BW$3=$DF35+'Model Setup'!$N$7,SUMIF($BH$3:$CE$3,"="&amp;$DF35+'Model Setup'!$N$7,$AD35:$BA35)+'Model Setup'!$N$8*(SUMIF($BH$3:$CE$3,"&lt;"&amp;$DF35,$AD35:$BA35)+SUMIF($BH$3:$CE$3,"&gt;"&amp;$CW$4,$AD35:$BA35)),
IF(BW$3&lt;$CW$4,Q35,0))))))))))))))),0)</f>
        <v>10</v>
      </c>
      <c r="BX35" s="47">
        <f>ROUND(IF(OR(BX$3&lt;$DF35,BX$3&gt;$CW$4),0,
IF(BX$3=$DF35+'Model Setup'!$B$7,SUMIF($BH$3:$CE$3,"="&amp;$DF35+'Model Setup'!$B$7,$AD35:$BA35)+'Model Setup'!$B$8*(SUMIF($BH$3:$CE$3,"&lt;"&amp;$DF35,$AD35:$BA35)+SUMIF($BH$3:$CE$3,"&gt;"&amp;$CW$4,$AD35:$BA35)),
IF(BX$3=$DF35+'Model Setup'!$C$7,SUMIF($BH$3:$CE$3,"="&amp;$DF35+'Model Setup'!$C$7,$AD35:$BA35)+'Model Setup'!$C$8*(SUMIF($BH$3:$CE$3,"&lt;"&amp;$DF35,$AD35:$BA35)+SUMIF($BH$3:$CE$3,"&gt;"&amp;$CW$4,$AD35:$BA35)),
IF(BX$3=$DF35+'Model Setup'!$D$7,SUMIF($BH$3:$CE$3,"="&amp;$DF35+'Model Setup'!$D$7,$AD35:$BA35)+'Model Setup'!$D$8*(SUMIF($BH$3:$CE$3,"&lt;"&amp;$DF35,$AD35:$BA35)+SUMIF($BH$3:$CE$3,"&gt;"&amp;$CW$4,$AD35:$BA35)),
IF(BX$3=$DF35+'Model Setup'!$E$7,SUMIF($BH$3:$CE$3,"="&amp;$DF35+'Model Setup'!$E$7,$AD35:$BA35)+'Model Setup'!$E$8*(SUMIF($BH$3:$CE$3,"&lt;"&amp;$DF35,$AD35:$BA35)+SUMIF($BH$3:$CE$3,"&gt;"&amp;$CW$4,$AD35:$BA35)),
IF(BX$3=$DF35+'Model Setup'!$F$7,SUMIF($BH$3:$CE$3,"="&amp;$DF35+'Model Setup'!$F$7,$AD35:$BA35)+'Model Setup'!$F$8*(SUMIF($BH$3:$CE$3,"&lt;"&amp;$DF35,$AD35:$BA35)+SUMIF($BH$3:$CE$3,"&gt;"&amp;$CW$4,$AD35:$BA35)),
IF(BX$3=$DF35+'Model Setup'!$G$7,SUMIF($BH$3:$CE$3,"="&amp;$DF35+'Model Setup'!$G$7,$AD35:$BA35)+'Model Setup'!$G$8*(SUMIF($BH$3:$CE$3,"&lt;"&amp;$DF35,$AD35:$BA35)+SUMIF($BH$3:$CE$3,"&gt;"&amp;$CW$4,$AD35:$BA35)),
IF(BX$3=$DF35+'Model Setup'!$H$7,SUMIF($BH$3:$CE$3,"="&amp;$DF35+'Model Setup'!$H$7,$AD35:$BA35)+'Model Setup'!$H$8*(SUMIF($BH$3:$CE$3,"&lt;"&amp;$DF35,$AD35:$BA35)+SUMIF($BH$3:$CE$3,"&gt;"&amp;$CW$4,$AD35:$BA35)),
IF(BX$3=$DF35+'Model Setup'!$I$7,SUMIF($BH$3:$CE$3,"="&amp;$DF35+'Model Setup'!$I$7,$AD35:$BA35)+'Model Setup'!$I$8*(SUMIF($BH$3:$CE$3,"&lt;"&amp;$DF35,$AD35:$BA35)+SUMIF($BH$3:$CE$3,"&gt;"&amp;$CW$4,$AD35:$BA35)),
IF(BX$3=$DF35+'Model Setup'!$J$7,SUMIF($BH$3:$CE$3,"="&amp;$DF35+'Model Setup'!$J$7,$AD35:$BA35)+'Model Setup'!$J$8*(SUMIF($BH$3:$CE$3,"&lt;"&amp;$DF35,$AD35:$BA35)+SUMIF($BH$3:$CE$3,"&gt;"&amp;$CW$4,$AD35:$BA35)),
IF(BX$3=$DF35+'Model Setup'!$K$7,SUMIF($BH$3:$CE$3,"="&amp;$DF35+'Model Setup'!$K$7,$AD35:$BA35)+'Model Setup'!$K$8*(SUMIF($BH$3:$CE$3,"&lt;"&amp;$DF35,$AD35:$BA35)+SUMIF($BH$3:$CE$3,"&gt;"&amp;$CW$4,$AD35:$BA35)),
IF(BX$3=$DF35+'Model Setup'!$L$7,SUMIF($BH$3:$CE$3,"="&amp;$DF35+'Model Setup'!$L$7,$AD35:$BA35)+'Model Setup'!$L$8*(SUMIF($BH$3:$CE$3,"&lt;"&amp;$DF35,$AD35:$BA35)+SUMIF($BH$3:$CE$3,"&gt;"&amp;$CW$4,$AD35:$BA35)),
IF(BX$3=$DF35+'Model Setup'!$M$7,SUMIF($BH$3:$CE$3,"="&amp;$DF35+'Model Setup'!$M$7,$AD35:$BA35)+'Model Setup'!$M$8*(SUMIF($BH$3:$CE$3,"&lt;"&amp;$DF35,$AD35:$BA35)+SUMIF($BH$3:$CE$3,"&gt;"&amp;$CW$4,$AD35:$BA35)),
IF(BX$3=$DF35+'Model Setup'!$N$7,SUMIF($BH$3:$CE$3,"="&amp;$DF35+'Model Setup'!$N$7,$AD35:$BA35)+'Model Setup'!$N$8*(SUMIF($BH$3:$CE$3,"&lt;"&amp;$DF35,$AD35:$BA35)+SUMIF($BH$3:$CE$3,"&gt;"&amp;$CW$4,$AD35:$BA35)),
IF(BX$3&lt;$CW$4,R35,0))))))))))))))),0)</f>
        <v>14</v>
      </c>
      <c r="BY35" s="47">
        <f>ROUND(IF(OR(BY$3&lt;$DF35,BY$3&gt;$CW$4),0,
IF(BY$3=$DF35+'Model Setup'!$B$7,SUMIF($BH$3:$CE$3,"="&amp;$DF35+'Model Setup'!$B$7,$AD35:$BA35)+'Model Setup'!$B$8*(SUMIF($BH$3:$CE$3,"&lt;"&amp;$DF35,$AD35:$BA35)+SUMIF($BH$3:$CE$3,"&gt;"&amp;$CW$4,$AD35:$BA35)),
IF(BY$3=$DF35+'Model Setup'!$C$7,SUMIF($BH$3:$CE$3,"="&amp;$DF35+'Model Setup'!$C$7,$AD35:$BA35)+'Model Setup'!$C$8*(SUMIF($BH$3:$CE$3,"&lt;"&amp;$DF35,$AD35:$BA35)+SUMIF($BH$3:$CE$3,"&gt;"&amp;$CW$4,$AD35:$BA35)),
IF(BY$3=$DF35+'Model Setup'!$D$7,SUMIF($BH$3:$CE$3,"="&amp;$DF35+'Model Setup'!$D$7,$AD35:$BA35)+'Model Setup'!$D$8*(SUMIF($BH$3:$CE$3,"&lt;"&amp;$DF35,$AD35:$BA35)+SUMIF($BH$3:$CE$3,"&gt;"&amp;$CW$4,$AD35:$BA35)),
IF(BY$3=$DF35+'Model Setup'!$E$7,SUMIF($BH$3:$CE$3,"="&amp;$DF35+'Model Setup'!$E$7,$AD35:$BA35)+'Model Setup'!$E$8*(SUMIF($BH$3:$CE$3,"&lt;"&amp;$DF35,$AD35:$BA35)+SUMIF($BH$3:$CE$3,"&gt;"&amp;$CW$4,$AD35:$BA35)),
IF(BY$3=$DF35+'Model Setup'!$F$7,SUMIF($BH$3:$CE$3,"="&amp;$DF35+'Model Setup'!$F$7,$AD35:$BA35)+'Model Setup'!$F$8*(SUMIF($BH$3:$CE$3,"&lt;"&amp;$DF35,$AD35:$BA35)+SUMIF($BH$3:$CE$3,"&gt;"&amp;$CW$4,$AD35:$BA35)),
IF(BY$3=$DF35+'Model Setup'!$G$7,SUMIF($BH$3:$CE$3,"="&amp;$DF35+'Model Setup'!$G$7,$AD35:$BA35)+'Model Setup'!$G$8*(SUMIF($BH$3:$CE$3,"&lt;"&amp;$DF35,$AD35:$BA35)+SUMIF($BH$3:$CE$3,"&gt;"&amp;$CW$4,$AD35:$BA35)),
IF(BY$3=$DF35+'Model Setup'!$H$7,SUMIF($BH$3:$CE$3,"="&amp;$DF35+'Model Setup'!$H$7,$AD35:$BA35)+'Model Setup'!$H$8*(SUMIF($BH$3:$CE$3,"&lt;"&amp;$DF35,$AD35:$BA35)+SUMIF($BH$3:$CE$3,"&gt;"&amp;$CW$4,$AD35:$BA35)),
IF(BY$3=$DF35+'Model Setup'!$I$7,SUMIF($BH$3:$CE$3,"="&amp;$DF35+'Model Setup'!$I$7,$AD35:$BA35)+'Model Setup'!$I$8*(SUMIF($BH$3:$CE$3,"&lt;"&amp;$DF35,$AD35:$BA35)+SUMIF($BH$3:$CE$3,"&gt;"&amp;$CW$4,$AD35:$BA35)),
IF(BY$3=$DF35+'Model Setup'!$J$7,SUMIF($BH$3:$CE$3,"="&amp;$DF35+'Model Setup'!$J$7,$AD35:$BA35)+'Model Setup'!$J$8*(SUMIF($BH$3:$CE$3,"&lt;"&amp;$DF35,$AD35:$BA35)+SUMIF($BH$3:$CE$3,"&gt;"&amp;$CW$4,$AD35:$BA35)),
IF(BY$3=$DF35+'Model Setup'!$K$7,SUMIF($BH$3:$CE$3,"="&amp;$DF35+'Model Setup'!$K$7,$AD35:$BA35)+'Model Setup'!$K$8*(SUMIF($BH$3:$CE$3,"&lt;"&amp;$DF35,$AD35:$BA35)+SUMIF($BH$3:$CE$3,"&gt;"&amp;$CW$4,$AD35:$BA35)),
IF(BY$3=$DF35+'Model Setup'!$L$7,SUMIF($BH$3:$CE$3,"="&amp;$DF35+'Model Setup'!$L$7,$AD35:$BA35)+'Model Setup'!$L$8*(SUMIF($BH$3:$CE$3,"&lt;"&amp;$DF35,$AD35:$BA35)+SUMIF($BH$3:$CE$3,"&gt;"&amp;$CW$4,$AD35:$BA35)),
IF(BY$3=$DF35+'Model Setup'!$M$7,SUMIF($BH$3:$CE$3,"="&amp;$DF35+'Model Setup'!$M$7,$AD35:$BA35)+'Model Setup'!$M$8*(SUMIF($BH$3:$CE$3,"&lt;"&amp;$DF35,$AD35:$BA35)+SUMIF($BH$3:$CE$3,"&gt;"&amp;$CW$4,$AD35:$BA35)),
IF(BY$3=$DF35+'Model Setup'!$N$7,SUMIF($BH$3:$CE$3,"="&amp;$DF35+'Model Setup'!$N$7,$AD35:$BA35)+'Model Setup'!$N$8*(SUMIF($BH$3:$CE$3,"&lt;"&amp;$DF35,$AD35:$BA35)+SUMIF($BH$3:$CE$3,"&gt;"&amp;$CW$4,$AD35:$BA35)),
IF(BY$3&lt;$CW$4,S35,0))))))))))))))),0)</f>
        <v>10</v>
      </c>
      <c r="BZ35" s="47">
        <f>ROUND(IF(OR(BZ$3&lt;$DF35,BZ$3&gt;$CW$4),0,
IF(BZ$3=$DF35+'Model Setup'!$B$7,SUMIF($BH$3:$CE$3,"="&amp;$DF35+'Model Setup'!$B$7,$AD35:$BA35)+'Model Setup'!$B$8*(SUMIF($BH$3:$CE$3,"&lt;"&amp;$DF35,$AD35:$BA35)+SUMIF($BH$3:$CE$3,"&gt;"&amp;$CW$4,$AD35:$BA35)),
IF(BZ$3=$DF35+'Model Setup'!$C$7,SUMIF($BH$3:$CE$3,"="&amp;$DF35+'Model Setup'!$C$7,$AD35:$BA35)+'Model Setup'!$C$8*(SUMIF($BH$3:$CE$3,"&lt;"&amp;$DF35,$AD35:$BA35)+SUMIF($BH$3:$CE$3,"&gt;"&amp;$CW$4,$AD35:$BA35)),
IF(BZ$3=$DF35+'Model Setup'!$D$7,SUMIF($BH$3:$CE$3,"="&amp;$DF35+'Model Setup'!$D$7,$AD35:$BA35)+'Model Setup'!$D$8*(SUMIF($BH$3:$CE$3,"&lt;"&amp;$DF35,$AD35:$BA35)+SUMIF($BH$3:$CE$3,"&gt;"&amp;$CW$4,$AD35:$BA35)),
IF(BZ$3=$DF35+'Model Setup'!$E$7,SUMIF($BH$3:$CE$3,"="&amp;$DF35+'Model Setup'!$E$7,$AD35:$BA35)+'Model Setup'!$E$8*(SUMIF($BH$3:$CE$3,"&lt;"&amp;$DF35,$AD35:$BA35)+SUMIF($BH$3:$CE$3,"&gt;"&amp;$CW$4,$AD35:$BA35)),
IF(BZ$3=$DF35+'Model Setup'!$F$7,SUMIF($BH$3:$CE$3,"="&amp;$DF35+'Model Setup'!$F$7,$AD35:$BA35)+'Model Setup'!$F$8*(SUMIF($BH$3:$CE$3,"&lt;"&amp;$DF35,$AD35:$BA35)+SUMIF($BH$3:$CE$3,"&gt;"&amp;$CW$4,$AD35:$BA35)),
IF(BZ$3=$DF35+'Model Setup'!$G$7,SUMIF($BH$3:$CE$3,"="&amp;$DF35+'Model Setup'!$G$7,$AD35:$BA35)+'Model Setup'!$G$8*(SUMIF($BH$3:$CE$3,"&lt;"&amp;$DF35,$AD35:$BA35)+SUMIF($BH$3:$CE$3,"&gt;"&amp;$CW$4,$AD35:$BA35)),
IF(BZ$3=$DF35+'Model Setup'!$H$7,SUMIF($BH$3:$CE$3,"="&amp;$DF35+'Model Setup'!$H$7,$AD35:$BA35)+'Model Setup'!$H$8*(SUMIF($BH$3:$CE$3,"&lt;"&amp;$DF35,$AD35:$BA35)+SUMIF($BH$3:$CE$3,"&gt;"&amp;$CW$4,$AD35:$BA35)),
IF(BZ$3=$DF35+'Model Setup'!$I$7,SUMIF($BH$3:$CE$3,"="&amp;$DF35+'Model Setup'!$I$7,$AD35:$BA35)+'Model Setup'!$I$8*(SUMIF($BH$3:$CE$3,"&lt;"&amp;$DF35,$AD35:$BA35)+SUMIF($BH$3:$CE$3,"&gt;"&amp;$CW$4,$AD35:$BA35)),
IF(BZ$3=$DF35+'Model Setup'!$J$7,SUMIF($BH$3:$CE$3,"="&amp;$DF35+'Model Setup'!$J$7,$AD35:$BA35)+'Model Setup'!$J$8*(SUMIF($BH$3:$CE$3,"&lt;"&amp;$DF35,$AD35:$BA35)+SUMIF($BH$3:$CE$3,"&gt;"&amp;$CW$4,$AD35:$BA35)),
IF(BZ$3=$DF35+'Model Setup'!$K$7,SUMIF($BH$3:$CE$3,"="&amp;$DF35+'Model Setup'!$K$7,$AD35:$BA35)+'Model Setup'!$K$8*(SUMIF($BH$3:$CE$3,"&lt;"&amp;$DF35,$AD35:$BA35)+SUMIF($BH$3:$CE$3,"&gt;"&amp;$CW$4,$AD35:$BA35)),
IF(BZ$3=$DF35+'Model Setup'!$L$7,SUMIF($BH$3:$CE$3,"="&amp;$DF35+'Model Setup'!$L$7,$AD35:$BA35)+'Model Setup'!$L$8*(SUMIF($BH$3:$CE$3,"&lt;"&amp;$DF35,$AD35:$BA35)+SUMIF($BH$3:$CE$3,"&gt;"&amp;$CW$4,$AD35:$BA35)),
IF(BZ$3=$DF35+'Model Setup'!$M$7,SUMIF($BH$3:$CE$3,"="&amp;$DF35+'Model Setup'!$M$7,$AD35:$BA35)+'Model Setup'!$M$8*(SUMIF($BH$3:$CE$3,"&lt;"&amp;$DF35,$AD35:$BA35)+SUMIF($BH$3:$CE$3,"&gt;"&amp;$CW$4,$AD35:$BA35)),
IF(BZ$3=$DF35+'Model Setup'!$N$7,SUMIF($BH$3:$CE$3,"="&amp;$DF35+'Model Setup'!$N$7,$AD35:$BA35)+'Model Setup'!$N$8*(SUMIF($BH$3:$CE$3,"&lt;"&amp;$DF35,$AD35:$BA35)+SUMIF($BH$3:$CE$3,"&gt;"&amp;$CW$4,$AD35:$BA35)),
IF(BZ$3&lt;$CW$4,T35,0))))))))))))))),0)</f>
        <v>0</v>
      </c>
      <c r="CA35" s="47">
        <f>ROUND(IF(OR(CA$3&lt;$DF35,CA$3&gt;$CW$4),0,
IF(CA$3=$DF35+'Model Setup'!$B$7,SUMIF($BH$3:$CE$3,"="&amp;$DF35+'Model Setup'!$B$7,$AD35:$BA35)+'Model Setup'!$B$8*(SUMIF($BH$3:$CE$3,"&lt;"&amp;$DF35,$AD35:$BA35)+SUMIF($BH$3:$CE$3,"&gt;"&amp;$CW$4,$AD35:$BA35)),
IF(CA$3=$DF35+'Model Setup'!$C$7,SUMIF($BH$3:$CE$3,"="&amp;$DF35+'Model Setup'!$C$7,$AD35:$BA35)+'Model Setup'!$C$8*(SUMIF($BH$3:$CE$3,"&lt;"&amp;$DF35,$AD35:$BA35)+SUMIF($BH$3:$CE$3,"&gt;"&amp;$CW$4,$AD35:$BA35)),
IF(CA$3=$DF35+'Model Setup'!$D$7,SUMIF($BH$3:$CE$3,"="&amp;$DF35+'Model Setup'!$D$7,$AD35:$BA35)+'Model Setup'!$D$8*(SUMIF($BH$3:$CE$3,"&lt;"&amp;$DF35,$AD35:$BA35)+SUMIF($BH$3:$CE$3,"&gt;"&amp;$CW$4,$AD35:$BA35)),
IF(CA$3=$DF35+'Model Setup'!$E$7,SUMIF($BH$3:$CE$3,"="&amp;$DF35+'Model Setup'!$E$7,$AD35:$BA35)+'Model Setup'!$E$8*(SUMIF($BH$3:$CE$3,"&lt;"&amp;$DF35,$AD35:$BA35)+SUMIF($BH$3:$CE$3,"&gt;"&amp;$CW$4,$AD35:$BA35)),
IF(CA$3=$DF35+'Model Setup'!$F$7,SUMIF($BH$3:$CE$3,"="&amp;$DF35+'Model Setup'!$F$7,$AD35:$BA35)+'Model Setup'!$F$8*(SUMIF($BH$3:$CE$3,"&lt;"&amp;$DF35,$AD35:$BA35)+SUMIF($BH$3:$CE$3,"&gt;"&amp;$CW$4,$AD35:$BA35)),
IF(CA$3=$DF35+'Model Setup'!$G$7,SUMIF($BH$3:$CE$3,"="&amp;$DF35+'Model Setup'!$G$7,$AD35:$BA35)+'Model Setup'!$G$8*(SUMIF($BH$3:$CE$3,"&lt;"&amp;$DF35,$AD35:$BA35)+SUMIF($BH$3:$CE$3,"&gt;"&amp;$CW$4,$AD35:$BA35)),
IF(CA$3=$DF35+'Model Setup'!$H$7,SUMIF($BH$3:$CE$3,"="&amp;$DF35+'Model Setup'!$H$7,$AD35:$BA35)+'Model Setup'!$H$8*(SUMIF($BH$3:$CE$3,"&lt;"&amp;$DF35,$AD35:$BA35)+SUMIF($BH$3:$CE$3,"&gt;"&amp;$CW$4,$AD35:$BA35)),
IF(CA$3=$DF35+'Model Setup'!$I$7,SUMIF($BH$3:$CE$3,"="&amp;$DF35+'Model Setup'!$I$7,$AD35:$BA35)+'Model Setup'!$I$8*(SUMIF($BH$3:$CE$3,"&lt;"&amp;$DF35,$AD35:$BA35)+SUMIF($BH$3:$CE$3,"&gt;"&amp;$CW$4,$AD35:$BA35)),
IF(CA$3=$DF35+'Model Setup'!$J$7,SUMIF($BH$3:$CE$3,"="&amp;$DF35+'Model Setup'!$J$7,$AD35:$BA35)+'Model Setup'!$J$8*(SUMIF($BH$3:$CE$3,"&lt;"&amp;$DF35,$AD35:$BA35)+SUMIF($BH$3:$CE$3,"&gt;"&amp;$CW$4,$AD35:$BA35)),
IF(CA$3=$DF35+'Model Setup'!$K$7,SUMIF($BH$3:$CE$3,"="&amp;$DF35+'Model Setup'!$K$7,$AD35:$BA35)+'Model Setup'!$K$8*(SUMIF($BH$3:$CE$3,"&lt;"&amp;$DF35,$AD35:$BA35)+SUMIF($BH$3:$CE$3,"&gt;"&amp;$CW$4,$AD35:$BA35)),
IF(CA$3=$DF35+'Model Setup'!$L$7,SUMIF($BH$3:$CE$3,"="&amp;$DF35+'Model Setup'!$L$7,$AD35:$BA35)+'Model Setup'!$L$8*(SUMIF($BH$3:$CE$3,"&lt;"&amp;$DF35,$AD35:$BA35)+SUMIF($BH$3:$CE$3,"&gt;"&amp;$CW$4,$AD35:$BA35)),
IF(CA$3=$DF35+'Model Setup'!$M$7,SUMIF($BH$3:$CE$3,"="&amp;$DF35+'Model Setup'!$M$7,$AD35:$BA35)+'Model Setup'!$M$8*(SUMIF($BH$3:$CE$3,"&lt;"&amp;$DF35,$AD35:$BA35)+SUMIF($BH$3:$CE$3,"&gt;"&amp;$CW$4,$AD35:$BA35)),
IF(CA$3=$DF35+'Model Setup'!$N$7,SUMIF($BH$3:$CE$3,"="&amp;$DF35+'Model Setup'!$N$7,$AD35:$BA35)+'Model Setup'!$N$8*(SUMIF($BH$3:$CE$3,"&lt;"&amp;$DF35,$AD35:$BA35)+SUMIF($BH$3:$CE$3,"&gt;"&amp;$CW$4,$AD35:$BA35)),
IF(CA$3&lt;$CW$4,U35,0))))))))))))))),0)</f>
        <v>0</v>
      </c>
      <c r="CB35" s="47">
        <f>ROUND(IF(OR(CB$3&lt;$DF35,CB$3&gt;$CW$4),0,
IF(CB$3=$DF35+'Model Setup'!$B$7,SUMIF($BH$3:$CE$3,"="&amp;$DF35+'Model Setup'!$B$7,$AD35:$BA35)+'Model Setup'!$B$8*(SUMIF($BH$3:$CE$3,"&lt;"&amp;$DF35,$AD35:$BA35)+SUMIF($BH$3:$CE$3,"&gt;"&amp;$CW$4,$AD35:$BA35)),
IF(CB$3=$DF35+'Model Setup'!$C$7,SUMIF($BH$3:$CE$3,"="&amp;$DF35+'Model Setup'!$C$7,$AD35:$BA35)+'Model Setup'!$C$8*(SUMIF($BH$3:$CE$3,"&lt;"&amp;$DF35,$AD35:$BA35)+SUMIF($BH$3:$CE$3,"&gt;"&amp;$CW$4,$AD35:$BA35)),
IF(CB$3=$DF35+'Model Setup'!$D$7,SUMIF($BH$3:$CE$3,"="&amp;$DF35+'Model Setup'!$D$7,$AD35:$BA35)+'Model Setup'!$D$8*(SUMIF($BH$3:$CE$3,"&lt;"&amp;$DF35,$AD35:$BA35)+SUMIF($BH$3:$CE$3,"&gt;"&amp;$CW$4,$AD35:$BA35)),
IF(CB$3=$DF35+'Model Setup'!$E$7,SUMIF($BH$3:$CE$3,"="&amp;$DF35+'Model Setup'!$E$7,$AD35:$BA35)+'Model Setup'!$E$8*(SUMIF($BH$3:$CE$3,"&lt;"&amp;$DF35,$AD35:$BA35)+SUMIF($BH$3:$CE$3,"&gt;"&amp;$CW$4,$AD35:$BA35)),
IF(CB$3=$DF35+'Model Setup'!$F$7,SUMIF($BH$3:$CE$3,"="&amp;$DF35+'Model Setup'!$F$7,$AD35:$BA35)+'Model Setup'!$F$8*(SUMIF($BH$3:$CE$3,"&lt;"&amp;$DF35,$AD35:$BA35)+SUMIF($BH$3:$CE$3,"&gt;"&amp;$CW$4,$AD35:$BA35)),
IF(CB$3=$DF35+'Model Setup'!$G$7,SUMIF($BH$3:$CE$3,"="&amp;$DF35+'Model Setup'!$G$7,$AD35:$BA35)+'Model Setup'!$G$8*(SUMIF($BH$3:$CE$3,"&lt;"&amp;$DF35,$AD35:$BA35)+SUMIF($BH$3:$CE$3,"&gt;"&amp;$CW$4,$AD35:$BA35)),
IF(CB$3=$DF35+'Model Setup'!$H$7,SUMIF($BH$3:$CE$3,"="&amp;$DF35+'Model Setup'!$H$7,$AD35:$BA35)+'Model Setup'!$H$8*(SUMIF($BH$3:$CE$3,"&lt;"&amp;$DF35,$AD35:$BA35)+SUMIF($BH$3:$CE$3,"&gt;"&amp;$CW$4,$AD35:$BA35)),
IF(CB$3=$DF35+'Model Setup'!$I$7,SUMIF($BH$3:$CE$3,"="&amp;$DF35+'Model Setup'!$I$7,$AD35:$BA35)+'Model Setup'!$I$8*(SUMIF($BH$3:$CE$3,"&lt;"&amp;$DF35,$AD35:$BA35)+SUMIF($BH$3:$CE$3,"&gt;"&amp;$CW$4,$AD35:$BA35)),
IF(CB$3=$DF35+'Model Setup'!$J$7,SUMIF($BH$3:$CE$3,"="&amp;$DF35+'Model Setup'!$J$7,$AD35:$BA35)+'Model Setup'!$J$8*(SUMIF($BH$3:$CE$3,"&lt;"&amp;$DF35,$AD35:$BA35)+SUMIF($BH$3:$CE$3,"&gt;"&amp;$CW$4,$AD35:$BA35)),
IF(CB$3=$DF35+'Model Setup'!$K$7,SUMIF($BH$3:$CE$3,"="&amp;$DF35+'Model Setup'!$K$7,$AD35:$BA35)+'Model Setup'!$K$8*(SUMIF($BH$3:$CE$3,"&lt;"&amp;$DF35,$AD35:$BA35)+SUMIF($BH$3:$CE$3,"&gt;"&amp;$CW$4,$AD35:$BA35)),
IF(CB$3=$DF35+'Model Setup'!$L$7,SUMIF($BH$3:$CE$3,"="&amp;$DF35+'Model Setup'!$L$7,$AD35:$BA35)+'Model Setup'!$L$8*(SUMIF($BH$3:$CE$3,"&lt;"&amp;$DF35,$AD35:$BA35)+SUMIF($BH$3:$CE$3,"&gt;"&amp;$CW$4,$AD35:$BA35)),
IF(CB$3=$DF35+'Model Setup'!$M$7,SUMIF($BH$3:$CE$3,"="&amp;$DF35+'Model Setup'!$M$7,$AD35:$BA35)+'Model Setup'!$M$8*(SUMIF($BH$3:$CE$3,"&lt;"&amp;$DF35,$AD35:$BA35)+SUMIF($BH$3:$CE$3,"&gt;"&amp;$CW$4,$AD35:$BA35)),
IF(CB$3=$DF35+'Model Setup'!$N$7,SUMIF($BH$3:$CE$3,"="&amp;$DF35+'Model Setup'!$N$7,$AD35:$BA35)+'Model Setup'!$N$8*(SUMIF($BH$3:$CE$3,"&lt;"&amp;$DF35,$AD35:$BA35)+SUMIF($BH$3:$CE$3,"&gt;"&amp;$CW$4,$AD35:$BA35)),
IF(CB$3&lt;$CW$4,V35,0))))))))))))))),0)</f>
        <v>0</v>
      </c>
      <c r="CC35" s="47">
        <f>ROUND(IF(OR(CC$3&lt;$DF35,CC$3&gt;$CW$4),0,
IF(CC$3=$DF35+'Model Setup'!$B$7,SUMIF($BH$3:$CE$3,"="&amp;$DF35+'Model Setup'!$B$7,$AD35:$BA35)+'Model Setup'!$B$8*(SUMIF($BH$3:$CE$3,"&lt;"&amp;$DF35,$AD35:$BA35)+SUMIF($BH$3:$CE$3,"&gt;"&amp;$CW$4,$AD35:$BA35)),
IF(CC$3=$DF35+'Model Setup'!$C$7,SUMIF($BH$3:$CE$3,"="&amp;$DF35+'Model Setup'!$C$7,$AD35:$BA35)+'Model Setup'!$C$8*(SUMIF($BH$3:$CE$3,"&lt;"&amp;$DF35,$AD35:$BA35)+SUMIF($BH$3:$CE$3,"&gt;"&amp;$CW$4,$AD35:$BA35)),
IF(CC$3=$DF35+'Model Setup'!$D$7,SUMIF($BH$3:$CE$3,"="&amp;$DF35+'Model Setup'!$D$7,$AD35:$BA35)+'Model Setup'!$D$8*(SUMIF($BH$3:$CE$3,"&lt;"&amp;$DF35,$AD35:$BA35)+SUMIF($BH$3:$CE$3,"&gt;"&amp;$CW$4,$AD35:$BA35)),
IF(CC$3=$DF35+'Model Setup'!$E$7,SUMIF($BH$3:$CE$3,"="&amp;$DF35+'Model Setup'!$E$7,$AD35:$BA35)+'Model Setup'!$E$8*(SUMIF($BH$3:$CE$3,"&lt;"&amp;$DF35,$AD35:$BA35)+SUMIF($BH$3:$CE$3,"&gt;"&amp;$CW$4,$AD35:$BA35)),
IF(CC$3=$DF35+'Model Setup'!$F$7,SUMIF($BH$3:$CE$3,"="&amp;$DF35+'Model Setup'!$F$7,$AD35:$BA35)+'Model Setup'!$F$8*(SUMIF($BH$3:$CE$3,"&lt;"&amp;$DF35,$AD35:$BA35)+SUMIF($BH$3:$CE$3,"&gt;"&amp;$CW$4,$AD35:$BA35)),
IF(CC$3=$DF35+'Model Setup'!$G$7,SUMIF($BH$3:$CE$3,"="&amp;$DF35+'Model Setup'!$G$7,$AD35:$BA35)+'Model Setup'!$G$8*(SUMIF($BH$3:$CE$3,"&lt;"&amp;$DF35,$AD35:$BA35)+SUMIF($BH$3:$CE$3,"&gt;"&amp;$CW$4,$AD35:$BA35)),
IF(CC$3=$DF35+'Model Setup'!$H$7,SUMIF($BH$3:$CE$3,"="&amp;$DF35+'Model Setup'!$H$7,$AD35:$BA35)+'Model Setup'!$H$8*(SUMIF($BH$3:$CE$3,"&lt;"&amp;$DF35,$AD35:$BA35)+SUMIF($BH$3:$CE$3,"&gt;"&amp;$CW$4,$AD35:$BA35)),
IF(CC$3=$DF35+'Model Setup'!$I$7,SUMIF($BH$3:$CE$3,"="&amp;$DF35+'Model Setup'!$I$7,$AD35:$BA35)+'Model Setup'!$I$8*(SUMIF($BH$3:$CE$3,"&lt;"&amp;$DF35,$AD35:$BA35)+SUMIF($BH$3:$CE$3,"&gt;"&amp;$CW$4,$AD35:$BA35)),
IF(CC$3=$DF35+'Model Setup'!$J$7,SUMIF($BH$3:$CE$3,"="&amp;$DF35+'Model Setup'!$J$7,$AD35:$BA35)+'Model Setup'!$J$8*(SUMIF($BH$3:$CE$3,"&lt;"&amp;$DF35,$AD35:$BA35)+SUMIF($BH$3:$CE$3,"&gt;"&amp;$CW$4,$AD35:$BA35)),
IF(CC$3=$DF35+'Model Setup'!$K$7,SUMIF($BH$3:$CE$3,"="&amp;$DF35+'Model Setup'!$K$7,$AD35:$BA35)+'Model Setup'!$K$8*(SUMIF($BH$3:$CE$3,"&lt;"&amp;$DF35,$AD35:$BA35)+SUMIF($BH$3:$CE$3,"&gt;"&amp;$CW$4,$AD35:$BA35)),
IF(CC$3=$DF35+'Model Setup'!$L$7,SUMIF($BH$3:$CE$3,"="&amp;$DF35+'Model Setup'!$L$7,$AD35:$BA35)+'Model Setup'!$L$8*(SUMIF($BH$3:$CE$3,"&lt;"&amp;$DF35,$AD35:$BA35)+SUMIF($BH$3:$CE$3,"&gt;"&amp;$CW$4,$AD35:$BA35)),
IF(CC$3=$DF35+'Model Setup'!$M$7,SUMIF($BH$3:$CE$3,"="&amp;$DF35+'Model Setup'!$M$7,$AD35:$BA35)+'Model Setup'!$M$8*(SUMIF($BH$3:$CE$3,"&lt;"&amp;$DF35,$AD35:$BA35)+SUMIF($BH$3:$CE$3,"&gt;"&amp;$CW$4,$AD35:$BA35)),
IF(CC$3=$DF35+'Model Setup'!$N$7,SUMIF($BH$3:$CE$3,"="&amp;$DF35+'Model Setup'!$N$7,$AD35:$BA35)+'Model Setup'!$N$8*(SUMIF($BH$3:$CE$3,"&lt;"&amp;$DF35,$AD35:$BA35)+SUMIF($BH$3:$CE$3,"&gt;"&amp;$CW$4,$AD35:$BA35)),
IF(CC$3&lt;$CW$4,W35,0))))))))))))))),0)</f>
        <v>0</v>
      </c>
      <c r="CD35" s="47">
        <f>ROUND(IF(OR(CD$3&lt;$DF35,CD$3&gt;$CW$4),0,
IF(CD$3=$DF35+'Model Setup'!$B$7,SUMIF($BH$3:$CE$3,"="&amp;$DF35+'Model Setup'!$B$7,$AD35:$BA35)+'Model Setup'!$B$8*(SUMIF($BH$3:$CE$3,"&lt;"&amp;$DF35,$AD35:$BA35)+SUMIF($BH$3:$CE$3,"&gt;"&amp;$CW$4,$AD35:$BA35)),
IF(CD$3=$DF35+'Model Setup'!$C$7,SUMIF($BH$3:$CE$3,"="&amp;$DF35+'Model Setup'!$C$7,$AD35:$BA35)+'Model Setup'!$C$8*(SUMIF($BH$3:$CE$3,"&lt;"&amp;$DF35,$AD35:$BA35)+SUMIF($BH$3:$CE$3,"&gt;"&amp;$CW$4,$AD35:$BA35)),
IF(CD$3=$DF35+'Model Setup'!$D$7,SUMIF($BH$3:$CE$3,"="&amp;$DF35+'Model Setup'!$D$7,$AD35:$BA35)+'Model Setup'!$D$8*(SUMIF($BH$3:$CE$3,"&lt;"&amp;$DF35,$AD35:$BA35)+SUMIF($BH$3:$CE$3,"&gt;"&amp;$CW$4,$AD35:$BA35)),
IF(CD$3=$DF35+'Model Setup'!$E$7,SUMIF($BH$3:$CE$3,"="&amp;$DF35+'Model Setup'!$E$7,$AD35:$BA35)+'Model Setup'!$E$8*(SUMIF($BH$3:$CE$3,"&lt;"&amp;$DF35,$AD35:$BA35)+SUMIF($BH$3:$CE$3,"&gt;"&amp;$CW$4,$AD35:$BA35)),
IF(CD$3=$DF35+'Model Setup'!$F$7,SUMIF($BH$3:$CE$3,"="&amp;$DF35+'Model Setup'!$F$7,$AD35:$BA35)+'Model Setup'!$F$8*(SUMIF($BH$3:$CE$3,"&lt;"&amp;$DF35,$AD35:$BA35)+SUMIF($BH$3:$CE$3,"&gt;"&amp;$CW$4,$AD35:$BA35)),
IF(CD$3=$DF35+'Model Setup'!$G$7,SUMIF($BH$3:$CE$3,"="&amp;$DF35+'Model Setup'!$G$7,$AD35:$BA35)+'Model Setup'!$G$8*(SUMIF($BH$3:$CE$3,"&lt;"&amp;$DF35,$AD35:$BA35)+SUMIF($BH$3:$CE$3,"&gt;"&amp;$CW$4,$AD35:$BA35)),
IF(CD$3=$DF35+'Model Setup'!$H$7,SUMIF($BH$3:$CE$3,"="&amp;$DF35+'Model Setup'!$H$7,$AD35:$BA35)+'Model Setup'!$H$8*(SUMIF($BH$3:$CE$3,"&lt;"&amp;$DF35,$AD35:$BA35)+SUMIF($BH$3:$CE$3,"&gt;"&amp;$CW$4,$AD35:$BA35)),
IF(CD$3=$DF35+'Model Setup'!$I$7,SUMIF($BH$3:$CE$3,"="&amp;$DF35+'Model Setup'!$I$7,$AD35:$BA35)+'Model Setup'!$I$8*(SUMIF($BH$3:$CE$3,"&lt;"&amp;$DF35,$AD35:$BA35)+SUMIF($BH$3:$CE$3,"&gt;"&amp;$CW$4,$AD35:$BA35)),
IF(CD$3=$DF35+'Model Setup'!$J$7,SUMIF($BH$3:$CE$3,"="&amp;$DF35+'Model Setup'!$J$7,$AD35:$BA35)+'Model Setup'!$J$8*(SUMIF($BH$3:$CE$3,"&lt;"&amp;$DF35,$AD35:$BA35)+SUMIF($BH$3:$CE$3,"&gt;"&amp;$CW$4,$AD35:$BA35)),
IF(CD$3=$DF35+'Model Setup'!$K$7,SUMIF($BH$3:$CE$3,"="&amp;$DF35+'Model Setup'!$K$7,$AD35:$BA35)+'Model Setup'!$K$8*(SUMIF($BH$3:$CE$3,"&lt;"&amp;$DF35,$AD35:$BA35)+SUMIF($BH$3:$CE$3,"&gt;"&amp;$CW$4,$AD35:$BA35)),
IF(CD$3=$DF35+'Model Setup'!$L$7,SUMIF($BH$3:$CE$3,"="&amp;$DF35+'Model Setup'!$L$7,$AD35:$BA35)+'Model Setup'!$L$8*(SUMIF($BH$3:$CE$3,"&lt;"&amp;$DF35,$AD35:$BA35)+SUMIF($BH$3:$CE$3,"&gt;"&amp;$CW$4,$AD35:$BA35)),
IF(CD$3=$DF35+'Model Setup'!$M$7,SUMIF($BH$3:$CE$3,"="&amp;$DF35+'Model Setup'!$M$7,$AD35:$BA35)+'Model Setup'!$M$8*(SUMIF($BH$3:$CE$3,"&lt;"&amp;$DF35,$AD35:$BA35)+SUMIF($BH$3:$CE$3,"&gt;"&amp;$CW$4,$AD35:$BA35)),
IF(CD$3=$DF35+'Model Setup'!$N$7,SUMIF($BH$3:$CE$3,"="&amp;$DF35+'Model Setup'!$N$7,$AD35:$BA35)+'Model Setup'!$N$8*(SUMIF($BH$3:$CE$3,"&lt;"&amp;$DF35,$AD35:$BA35)+SUMIF($BH$3:$CE$3,"&gt;"&amp;$CW$4,$AD35:$BA35)),
IF(CD$3&lt;$CW$4,X35,0))))))))))))))),0)</f>
        <v>0</v>
      </c>
      <c r="CE35" s="47">
        <f>ROUND(IF(OR(CE$3&lt;$DF35,CE$3&gt;$CW$4),0,
IF(CE$3=$DF35+'Model Setup'!$B$7,SUMIF($BH$3:$CE$3,"="&amp;$DF35+'Model Setup'!$B$7,$AD35:$BA35)+'Model Setup'!$B$8*(SUMIF($BH$3:$CE$3,"&lt;"&amp;$DF35,$AD35:$BA35)+SUMIF($BH$3:$CE$3,"&gt;"&amp;$CW$4,$AD35:$BA35)),
IF(CE$3=$DF35+'Model Setup'!$C$7,SUMIF($BH$3:$CE$3,"="&amp;$DF35+'Model Setup'!$C$7,$AD35:$BA35)+'Model Setup'!$C$8*(SUMIF($BH$3:$CE$3,"&lt;"&amp;$DF35,$AD35:$BA35)+SUMIF($BH$3:$CE$3,"&gt;"&amp;$CW$4,$AD35:$BA35)),
IF(CE$3=$DF35+'Model Setup'!$D$7,SUMIF($BH$3:$CE$3,"="&amp;$DF35+'Model Setup'!$D$7,$AD35:$BA35)+'Model Setup'!$D$8*(SUMIF($BH$3:$CE$3,"&lt;"&amp;$DF35,$AD35:$BA35)+SUMIF($BH$3:$CE$3,"&gt;"&amp;$CW$4,$AD35:$BA35)),
IF(CE$3=$DF35+'Model Setup'!$E$7,SUMIF($BH$3:$CE$3,"="&amp;$DF35+'Model Setup'!$E$7,$AD35:$BA35)+'Model Setup'!$E$8*(SUMIF($BH$3:$CE$3,"&lt;"&amp;$DF35,$AD35:$BA35)+SUMIF($BH$3:$CE$3,"&gt;"&amp;$CW$4,$AD35:$BA35)),
IF(CE$3=$DF35+'Model Setup'!$F$7,SUMIF($BH$3:$CE$3,"="&amp;$DF35+'Model Setup'!$F$7,$AD35:$BA35)+'Model Setup'!$F$8*(SUMIF($BH$3:$CE$3,"&lt;"&amp;$DF35,$AD35:$BA35)+SUMIF($BH$3:$CE$3,"&gt;"&amp;$CW$4,$AD35:$BA35)),
IF(CE$3=$DF35+'Model Setup'!$G$7,SUMIF($BH$3:$CE$3,"="&amp;$DF35+'Model Setup'!$G$7,$AD35:$BA35)+'Model Setup'!$G$8*(SUMIF($BH$3:$CE$3,"&lt;"&amp;$DF35,$AD35:$BA35)+SUMIF($BH$3:$CE$3,"&gt;"&amp;$CW$4,$AD35:$BA35)),
IF(CE$3=$DF35+'Model Setup'!$H$7,SUMIF($BH$3:$CE$3,"="&amp;$DF35+'Model Setup'!$H$7,$AD35:$BA35)+'Model Setup'!$H$8*(SUMIF($BH$3:$CE$3,"&lt;"&amp;$DF35,$AD35:$BA35)+SUMIF($BH$3:$CE$3,"&gt;"&amp;$CW$4,$AD35:$BA35)),
IF(CE$3=$DF35+'Model Setup'!$I$7,SUMIF($BH$3:$CE$3,"="&amp;$DF35+'Model Setup'!$I$7,$AD35:$BA35)+'Model Setup'!$I$8*(SUMIF($BH$3:$CE$3,"&lt;"&amp;$DF35,$AD35:$BA35)+SUMIF($BH$3:$CE$3,"&gt;"&amp;$CW$4,$AD35:$BA35)),
IF(CE$3=$DF35+'Model Setup'!$J$7,SUMIF($BH$3:$CE$3,"="&amp;$DF35+'Model Setup'!$J$7,$AD35:$BA35)+'Model Setup'!$J$8*(SUMIF($BH$3:$CE$3,"&lt;"&amp;$DF35,$AD35:$BA35)+SUMIF($BH$3:$CE$3,"&gt;"&amp;$CW$4,$AD35:$BA35)),
IF(CE$3=$DF35+'Model Setup'!$K$7,SUMIF($BH$3:$CE$3,"="&amp;$DF35+'Model Setup'!$K$7,$AD35:$BA35)+'Model Setup'!$K$8*(SUMIF($BH$3:$CE$3,"&lt;"&amp;$DF35,$AD35:$BA35)+SUMIF($BH$3:$CE$3,"&gt;"&amp;$CW$4,$AD35:$BA35)),
IF(CE$3=$DF35+'Model Setup'!$L$7,SUMIF($BH$3:$CE$3,"="&amp;$DF35+'Model Setup'!$L$7,$AD35:$BA35)+'Model Setup'!$L$8*(SUMIF($BH$3:$CE$3,"&lt;"&amp;$DF35,$AD35:$BA35)+SUMIF($BH$3:$CE$3,"&gt;"&amp;$CW$4,$AD35:$BA35)),
IF(CE$3=$DF35+'Model Setup'!$M$7,SUMIF($BH$3:$CE$3,"="&amp;$DF35+'Model Setup'!$M$7,$AD35:$BA35)+'Model Setup'!$M$8*(SUMIF($BH$3:$CE$3,"&lt;"&amp;$DF35,$AD35:$BA35)+SUMIF($BH$3:$CE$3,"&gt;"&amp;$CW$4,$AD35:$BA35)),
IF(CE$3=$DF35+'Model Setup'!$N$7,SUMIF($BH$3:$CE$3,"="&amp;$DF35+'Model Setup'!$N$7,$AD35:$BA35)+'Model Setup'!$N$8*(SUMIF($BH$3:$CE$3,"&lt;"&amp;$DF35,$AD35:$BA35)+SUMIF($BH$3:$CE$3,"&gt;"&amp;$CW$4,$AD35:$BA35)),
IF(CE$3&lt;$CW$4,Y35,0))))))))))))))),0)</f>
        <v>0</v>
      </c>
      <c r="CF35" s="47">
        <f t="shared" si="3"/>
        <v>279</v>
      </c>
      <c r="CG35" s="47">
        <f t="shared" si="4"/>
        <v>0</v>
      </c>
      <c r="CI35" s="10" t="s">
        <v>50</v>
      </c>
      <c r="CJ35" s="126">
        <f t="shared" si="9"/>
        <v>4</v>
      </c>
      <c r="CK35" s="126">
        <f t="shared" si="10"/>
        <v>42</v>
      </c>
      <c r="CL35" s="126">
        <f t="shared" si="11"/>
        <v>50</v>
      </c>
      <c r="CM35" s="126">
        <f t="shared" si="12"/>
        <v>44</v>
      </c>
      <c r="CN35" s="126">
        <f t="shared" si="13"/>
        <v>26</v>
      </c>
      <c r="CO35" s="126">
        <f t="shared" si="14"/>
        <v>21</v>
      </c>
      <c r="CP35" s="126">
        <f t="shared" si="15"/>
        <v>23</v>
      </c>
      <c r="CQ35" s="126">
        <f t="shared" si="16"/>
        <v>19</v>
      </c>
      <c r="CR35" s="126">
        <f t="shared" si="17"/>
        <v>12</v>
      </c>
      <c r="CS35" s="126">
        <f t="shared" si="18"/>
        <v>4</v>
      </c>
      <c r="CT35" s="126">
        <f t="shared" si="19"/>
        <v>10</v>
      </c>
      <c r="CU35" s="126">
        <f t="shared" si="20"/>
        <v>14</v>
      </c>
      <c r="CV35" s="126">
        <f t="shared" si="21"/>
        <v>10</v>
      </c>
      <c r="CW35" s="126">
        <f t="shared" si="22"/>
        <v>0</v>
      </c>
      <c r="CX35" s="126">
        <f t="shared" si="23"/>
        <v>0</v>
      </c>
      <c r="CY35" s="126">
        <f t="shared" si="24"/>
        <v>0</v>
      </c>
      <c r="CZ35" s="47">
        <f t="shared" si="7"/>
        <v>279</v>
      </c>
      <c r="DC35" s="93" t="s">
        <v>50</v>
      </c>
      <c r="DD35" s="89">
        <f>FTC!E33</f>
        <v>0.20833333333333334</v>
      </c>
      <c r="DE35" s="89">
        <f>FTC!F33</f>
        <v>0.75</v>
      </c>
      <c r="DF35" s="90">
        <f t="shared" si="25"/>
        <v>5</v>
      </c>
      <c r="DG35" s="91">
        <f t="shared" si="26"/>
        <v>18</v>
      </c>
      <c r="DH35" s="91">
        <f t="shared" si="27"/>
        <v>13</v>
      </c>
    </row>
    <row r="36" spans="1:112" x14ac:dyDescent="0.35">
      <c r="A36" s="43" t="s">
        <v>51</v>
      </c>
      <c r="B36" s="47">
        <v>4</v>
      </c>
      <c r="C36" s="47">
        <v>3</v>
      </c>
      <c r="D36" s="47">
        <v>9</v>
      </c>
      <c r="E36" s="47">
        <v>17</v>
      </c>
      <c r="F36" s="47">
        <v>23</v>
      </c>
      <c r="G36" s="47">
        <v>48</v>
      </c>
      <c r="H36" s="47">
        <v>142</v>
      </c>
      <c r="I36" s="47">
        <v>156</v>
      </c>
      <c r="J36" s="47">
        <v>176</v>
      </c>
      <c r="K36" s="47">
        <v>208</v>
      </c>
      <c r="L36" s="47">
        <v>180</v>
      </c>
      <c r="M36" s="47">
        <v>146</v>
      </c>
      <c r="N36" s="47">
        <v>124</v>
      </c>
      <c r="O36" s="47">
        <v>112</v>
      </c>
      <c r="P36" s="47">
        <v>77</v>
      </c>
      <c r="Q36" s="47">
        <v>55</v>
      </c>
      <c r="R36" s="47">
        <v>59</v>
      </c>
      <c r="S36" s="47">
        <v>42</v>
      </c>
      <c r="T36" s="47">
        <v>35</v>
      </c>
      <c r="U36" s="47">
        <v>9</v>
      </c>
      <c r="V36" s="47">
        <v>15</v>
      </c>
      <c r="W36" s="47">
        <v>12</v>
      </c>
      <c r="X36" s="47">
        <v>10</v>
      </c>
      <c r="Y36" s="47">
        <v>2</v>
      </c>
      <c r="Z36" s="47">
        <f t="shared" si="0"/>
        <v>1664</v>
      </c>
      <c r="AC36" s="43" t="s">
        <v>51</v>
      </c>
      <c r="AD36" s="47">
        <f>ROUND(IF(AD$3&lt;$DF36,0,
IF(AD$3=$DF36+'Model Setup'!$B$7,SUMIF($AD$3:$BA$3,"="&amp;$DF36+'Model Setup'!$B$7,$B36:$Y36)+'Model Setup'!$B$8*(SUMIF($AD$3:$BA$3,"&lt;"&amp;$DF36,$B36:$Y36)+SUMIF($AD$3:$BA$3,"&gt;="&amp;$DG36,$B36:$Y36)),
IF(AD$3=$DF36+'Model Setup'!$C$7,SUMIF($AD$3:$BA$3,"="&amp;$DF36+'Model Setup'!$C$7,$B36:$Y36)+'Model Setup'!$C$8*(SUMIF($AD$3:$BA$3,"&lt;"&amp;$DF36,$B36:$Y36)+SUMIF($AD$3:$BA$3,"&gt;="&amp;$DG36,$B36:$Y36)),
IF(AD$3=$DF36+'Model Setup'!$D$7,SUMIF($AD$3:$BA$3,"="&amp;$DF36+'Model Setup'!$D$7,$B36:$Y36)+'Model Setup'!$D$8*(SUMIF($AD$3:$BA$3,"&lt;"&amp;$DF36,$B36:$Y36)+SUMIF($AD$3:$BA$3,"&gt;="&amp;$DG36,$B36:$Y36)),
IF(AD$3=$DF36+'Model Setup'!$E$7,SUMIF($AD$3:$BA$3,"="&amp;$DF36+'Model Setup'!$E$7,$B36:$Y36)+'Model Setup'!$E$8*(SUMIF($AD$3:$BA$3,"&lt;"&amp;$DF36,$B36:$Y36)+SUMIF($AD$3:$BA$3,"&gt;="&amp;$DG36,$B36:$Y36)),
IF(AD$3=$DF36+'Model Setup'!$F$7,SUMIF($AD$3:$BA$3,"="&amp;$DF36+'Model Setup'!$F$7,$B36:$Y36)+'Model Setup'!$F$8*(SUMIF($AD$3:$BA$3,"&lt;"&amp;$DF36,$B36:$Y36)+SUMIF($AD$3:$BA$3,"&gt;="&amp;$DG36,$B36:$Y36)),
IF(AD$3=$DF36+'Model Setup'!$G$7,SUMIF($AD$3:$BA$3,"="&amp;$DF36+'Model Setup'!$G$7,$B36:$Y36)+'Model Setup'!$G$8*(SUMIF($AD$3:$BA$3,"&lt;"&amp;$DF36,$B36:$Y36)+SUMIF($AD$3:$BA$3,"&gt;="&amp;$DG36,$B36:$Y36)),
IF(AD$3=$DF36+'Model Setup'!$H$7,SUMIF($AD$3:$BA$3,"="&amp;$DF36+'Model Setup'!$H$7,$B36:$Y36)+'Model Setup'!$H$8*(SUMIF($AD$3:$BA$3,"&lt;"&amp;$DF36,$B36:$Y36)+SUMIF($AD$3:$BA$3,"&gt;="&amp;$DG36,$B36:$Y36)),
IF(AD$3=$DF36+'Model Setup'!$I$7,SUMIF($AD$3:$BA$3,"="&amp;$DF36+'Model Setup'!$I$7,$B36:$Y36)+'Model Setup'!$I$8*(SUMIF($AD$3:$BA$3,"&lt;"&amp;$DF36,$B36:$Y36)+SUMIF($AD$3:$BA$3,"&gt;="&amp;$DG36,$B36:$Y36)),
IF(AD$3=$DF36+'Model Setup'!$J$7,SUMIF($AD$3:$BA$3,"="&amp;$DF36+'Model Setup'!$J$7,$B36:$Y36)+'Model Setup'!$J$8*(SUMIF($AD$3:$BA$3,"&lt;"&amp;$DF36,$B36:$Y36)+SUMIF($AD$3:$BA$3,"&gt;="&amp;$DG36,$B36:$Y36)),
IF(AD$3=$DF36+'Model Setup'!$K$7,SUMIF($AD$3:$BA$3,"="&amp;$DF36+'Model Setup'!$K$7,$B36:$Y36)+'Model Setup'!$K$8*(SUMIF($AD$3:$BA$3,"&lt;"&amp;$DF36,$B36:$Y36)+SUMIF($AD$3:$BA$3,"&gt;="&amp;$DG36,$B36:$Y36)),
IF(AD$3=$DF36+'Model Setup'!$L$7,SUMIF($AD$3:$BA$3,"="&amp;$DF36+'Model Setup'!$L$7,$B36:$Y36)+'Model Setup'!$L$8*(SUMIF($AD$3:$BA$3,"&lt;"&amp;$DF36,$B36:$Y36)+SUMIF($AD$3:$BA$3,"&gt;="&amp;$DG36,$B36:$Y36)),
IF(AD$3=$DF36+'Model Setup'!$M$7,SUMIF($AD$3:$BA$3,"="&amp;$DF36+'Model Setup'!$M$7,$B36:$Y36)+'Model Setup'!$M$8*(SUMIF($AD$3:$BA$3,"&lt;"&amp;$DF36,$B36:$Y36)+SUMIF($AD$3:$BA$3,"&gt;="&amp;$DG36,$B36:$Y36)),
IF(AD$3=$DF36+'Model Setup'!$N$7,SUMIF($AD$3:$BA$3,"="&amp;$DF36+'Model Setup'!$N$7,$B36:$Y36)+'Model Setup'!$N$8*(SUMIF($AD$3:$BA$3,"&lt;"&amp;$DF36,$B36:$Y36)+SUMIF($AD$3:$BA$3,"&gt;="&amp;$DG36,$B36:$Y36)),
IF(AD$3&lt;$DG36,B36,0))))))))))))))),0)</f>
        <v>0</v>
      </c>
      <c r="AE36" s="47">
        <f>ROUND(IF(AE$3&lt;$DF36,0,
IF(AE$3=$DF36+'Model Setup'!$B$7,SUMIF($AD$3:$BA$3,"="&amp;$DF36+'Model Setup'!$B$7,$B36:$Y36)+'Model Setup'!$B$8*(SUMIF($AD$3:$BA$3,"&lt;"&amp;$DF36,$B36:$Y36)+SUMIF($AD$3:$BA$3,"&gt;="&amp;$DG36,$B36:$Y36)),
IF(AE$3=$DF36+'Model Setup'!$C$7,SUMIF($AD$3:$BA$3,"="&amp;$DF36+'Model Setup'!$C$7,$B36:$Y36)+'Model Setup'!$C$8*(SUMIF($AD$3:$BA$3,"&lt;"&amp;$DF36,$B36:$Y36)+SUMIF($AD$3:$BA$3,"&gt;="&amp;$DG36,$B36:$Y36)),
IF(AE$3=$DF36+'Model Setup'!$D$7,SUMIF($AD$3:$BA$3,"="&amp;$DF36+'Model Setup'!$D$7,$B36:$Y36)+'Model Setup'!$D$8*(SUMIF($AD$3:$BA$3,"&lt;"&amp;$DF36,$B36:$Y36)+SUMIF($AD$3:$BA$3,"&gt;="&amp;$DG36,$B36:$Y36)),
IF(AE$3=$DF36+'Model Setup'!$E$7,SUMIF($AD$3:$BA$3,"="&amp;$DF36+'Model Setup'!$E$7,$B36:$Y36)+'Model Setup'!$E$8*(SUMIF($AD$3:$BA$3,"&lt;"&amp;$DF36,$B36:$Y36)+SUMIF($AD$3:$BA$3,"&gt;="&amp;$DG36,$B36:$Y36)),
IF(AE$3=$DF36+'Model Setup'!$F$7,SUMIF($AD$3:$BA$3,"="&amp;$DF36+'Model Setup'!$F$7,$B36:$Y36)+'Model Setup'!$F$8*(SUMIF($AD$3:$BA$3,"&lt;"&amp;$DF36,$B36:$Y36)+SUMIF($AD$3:$BA$3,"&gt;="&amp;$DG36,$B36:$Y36)),
IF(AE$3=$DF36+'Model Setup'!$G$7,SUMIF($AD$3:$BA$3,"="&amp;$DF36+'Model Setup'!$G$7,$B36:$Y36)+'Model Setup'!$G$8*(SUMIF($AD$3:$BA$3,"&lt;"&amp;$DF36,$B36:$Y36)+SUMIF($AD$3:$BA$3,"&gt;="&amp;$DG36,$B36:$Y36)),
IF(AE$3=$DF36+'Model Setup'!$H$7,SUMIF($AD$3:$BA$3,"="&amp;$DF36+'Model Setup'!$H$7,$B36:$Y36)+'Model Setup'!$H$8*(SUMIF($AD$3:$BA$3,"&lt;"&amp;$DF36,$B36:$Y36)+SUMIF($AD$3:$BA$3,"&gt;="&amp;$DG36,$B36:$Y36)),
IF(AE$3=$DF36+'Model Setup'!$I$7,SUMIF($AD$3:$BA$3,"="&amp;$DF36+'Model Setup'!$I$7,$B36:$Y36)+'Model Setup'!$I$8*(SUMIF($AD$3:$BA$3,"&lt;"&amp;$DF36,$B36:$Y36)+SUMIF($AD$3:$BA$3,"&gt;="&amp;$DG36,$B36:$Y36)),
IF(AE$3=$DF36+'Model Setup'!$J$7,SUMIF($AD$3:$BA$3,"="&amp;$DF36+'Model Setup'!$J$7,$B36:$Y36)+'Model Setup'!$J$8*(SUMIF($AD$3:$BA$3,"&lt;"&amp;$DF36,$B36:$Y36)+SUMIF($AD$3:$BA$3,"&gt;="&amp;$DG36,$B36:$Y36)),
IF(AE$3=$DF36+'Model Setup'!$K$7,SUMIF($AD$3:$BA$3,"="&amp;$DF36+'Model Setup'!$K$7,$B36:$Y36)+'Model Setup'!$K$8*(SUMIF($AD$3:$BA$3,"&lt;"&amp;$DF36,$B36:$Y36)+SUMIF($AD$3:$BA$3,"&gt;="&amp;$DG36,$B36:$Y36)),
IF(AE$3=$DF36+'Model Setup'!$L$7,SUMIF($AD$3:$BA$3,"="&amp;$DF36+'Model Setup'!$L$7,$B36:$Y36)+'Model Setup'!$L$8*(SUMIF($AD$3:$BA$3,"&lt;"&amp;$DF36,$B36:$Y36)+SUMIF($AD$3:$BA$3,"&gt;="&amp;$DG36,$B36:$Y36)),
IF(AE$3=$DF36+'Model Setup'!$M$7,SUMIF($AD$3:$BA$3,"="&amp;$DF36+'Model Setup'!$M$7,$B36:$Y36)+'Model Setup'!$M$8*(SUMIF($AD$3:$BA$3,"&lt;"&amp;$DF36,$B36:$Y36)+SUMIF($AD$3:$BA$3,"&gt;="&amp;$DG36,$B36:$Y36)),
IF(AE$3=$DF36+'Model Setup'!$N$7,SUMIF($AD$3:$BA$3,"="&amp;$DF36+'Model Setup'!$N$7,$B36:$Y36)+'Model Setup'!$N$8*(SUMIF($AD$3:$BA$3,"&lt;"&amp;$DF36,$B36:$Y36)+SUMIF($AD$3:$BA$3,"&gt;="&amp;$DG36,$B36:$Y36)),
IF(AE$3&lt;$DG36,C36,0))))))))))))))),0)</f>
        <v>0</v>
      </c>
      <c r="AF36" s="47">
        <f>ROUND(IF(AF$3&lt;$DF36,0,
IF(AF$3=$DF36+'Model Setup'!$B$7,SUMIF($AD$3:$BA$3,"="&amp;$DF36+'Model Setup'!$B$7,$B36:$Y36)+'Model Setup'!$B$8*(SUMIF($AD$3:$BA$3,"&lt;"&amp;$DF36,$B36:$Y36)+SUMIF($AD$3:$BA$3,"&gt;="&amp;$DG36,$B36:$Y36)),
IF(AF$3=$DF36+'Model Setup'!$C$7,SUMIF($AD$3:$BA$3,"="&amp;$DF36+'Model Setup'!$C$7,$B36:$Y36)+'Model Setup'!$C$8*(SUMIF($AD$3:$BA$3,"&lt;"&amp;$DF36,$B36:$Y36)+SUMIF($AD$3:$BA$3,"&gt;="&amp;$DG36,$B36:$Y36)),
IF(AF$3=$DF36+'Model Setup'!$D$7,SUMIF($AD$3:$BA$3,"="&amp;$DF36+'Model Setup'!$D$7,$B36:$Y36)+'Model Setup'!$D$8*(SUMIF($AD$3:$BA$3,"&lt;"&amp;$DF36,$B36:$Y36)+SUMIF($AD$3:$BA$3,"&gt;="&amp;$DG36,$B36:$Y36)),
IF(AF$3=$DF36+'Model Setup'!$E$7,SUMIF($AD$3:$BA$3,"="&amp;$DF36+'Model Setup'!$E$7,$B36:$Y36)+'Model Setup'!$E$8*(SUMIF($AD$3:$BA$3,"&lt;"&amp;$DF36,$B36:$Y36)+SUMIF($AD$3:$BA$3,"&gt;="&amp;$DG36,$B36:$Y36)),
IF(AF$3=$DF36+'Model Setup'!$F$7,SUMIF($AD$3:$BA$3,"="&amp;$DF36+'Model Setup'!$F$7,$B36:$Y36)+'Model Setup'!$F$8*(SUMIF($AD$3:$BA$3,"&lt;"&amp;$DF36,$B36:$Y36)+SUMIF($AD$3:$BA$3,"&gt;="&amp;$DG36,$B36:$Y36)),
IF(AF$3=$DF36+'Model Setup'!$G$7,SUMIF($AD$3:$BA$3,"="&amp;$DF36+'Model Setup'!$G$7,$B36:$Y36)+'Model Setup'!$G$8*(SUMIF($AD$3:$BA$3,"&lt;"&amp;$DF36,$B36:$Y36)+SUMIF($AD$3:$BA$3,"&gt;="&amp;$DG36,$B36:$Y36)),
IF(AF$3=$DF36+'Model Setup'!$H$7,SUMIF($AD$3:$BA$3,"="&amp;$DF36+'Model Setup'!$H$7,$B36:$Y36)+'Model Setup'!$H$8*(SUMIF($AD$3:$BA$3,"&lt;"&amp;$DF36,$B36:$Y36)+SUMIF($AD$3:$BA$3,"&gt;="&amp;$DG36,$B36:$Y36)),
IF(AF$3=$DF36+'Model Setup'!$I$7,SUMIF($AD$3:$BA$3,"="&amp;$DF36+'Model Setup'!$I$7,$B36:$Y36)+'Model Setup'!$I$8*(SUMIF($AD$3:$BA$3,"&lt;"&amp;$DF36,$B36:$Y36)+SUMIF($AD$3:$BA$3,"&gt;="&amp;$DG36,$B36:$Y36)),
IF(AF$3=$DF36+'Model Setup'!$J$7,SUMIF($AD$3:$BA$3,"="&amp;$DF36+'Model Setup'!$J$7,$B36:$Y36)+'Model Setup'!$J$8*(SUMIF($AD$3:$BA$3,"&lt;"&amp;$DF36,$B36:$Y36)+SUMIF($AD$3:$BA$3,"&gt;="&amp;$DG36,$B36:$Y36)),
IF(AF$3=$DF36+'Model Setup'!$K$7,SUMIF($AD$3:$BA$3,"="&amp;$DF36+'Model Setup'!$K$7,$B36:$Y36)+'Model Setup'!$K$8*(SUMIF($AD$3:$BA$3,"&lt;"&amp;$DF36,$B36:$Y36)+SUMIF($AD$3:$BA$3,"&gt;="&amp;$DG36,$B36:$Y36)),
IF(AF$3=$DF36+'Model Setup'!$L$7,SUMIF($AD$3:$BA$3,"="&amp;$DF36+'Model Setup'!$L$7,$B36:$Y36)+'Model Setup'!$L$8*(SUMIF($AD$3:$BA$3,"&lt;"&amp;$DF36,$B36:$Y36)+SUMIF($AD$3:$BA$3,"&gt;="&amp;$DG36,$B36:$Y36)),
IF(AF$3=$DF36+'Model Setup'!$M$7,SUMIF($AD$3:$BA$3,"="&amp;$DF36+'Model Setup'!$M$7,$B36:$Y36)+'Model Setup'!$M$8*(SUMIF($AD$3:$BA$3,"&lt;"&amp;$DF36,$B36:$Y36)+SUMIF($AD$3:$BA$3,"&gt;="&amp;$DG36,$B36:$Y36)),
IF(AF$3=$DF36+'Model Setup'!$N$7,SUMIF($AD$3:$BA$3,"="&amp;$DF36+'Model Setup'!$N$7,$B36:$Y36)+'Model Setup'!$N$8*(SUMIF($AD$3:$BA$3,"&lt;"&amp;$DF36,$B36:$Y36)+SUMIF($AD$3:$BA$3,"&gt;="&amp;$DG36,$B36:$Y36)),
IF(AF$3&lt;$DG36,D36,0))))))))))))))),0)</f>
        <v>0</v>
      </c>
      <c r="AG36" s="47">
        <f>ROUND(IF(AG$3&lt;$DF36,0,
IF(AG$3=$DF36+'Model Setup'!$B$7,SUMIF($AD$3:$BA$3,"="&amp;$DF36+'Model Setup'!$B$7,$B36:$Y36)+'Model Setup'!$B$8*(SUMIF($AD$3:$BA$3,"&lt;"&amp;$DF36,$B36:$Y36)+SUMIF($AD$3:$BA$3,"&gt;="&amp;$DG36,$B36:$Y36)),
IF(AG$3=$DF36+'Model Setup'!$C$7,SUMIF($AD$3:$BA$3,"="&amp;$DF36+'Model Setup'!$C$7,$B36:$Y36)+'Model Setup'!$C$8*(SUMIF($AD$3:$BA$3,"&lt;"&amp;$DF36,$B36:$Y36)+SUMIF($AD$3:$BA$3,"&gt;="&amp;$DG36,$B36:$Y36)),
IF(AG$3=$DF36+'Model Setup'!$D$7,SUMIF($AD$3:$BA$3,"="&amp;$DF36+'Model Setup'!$D$7,$B36:$Y36)+'Model Setup'!$D$8*(SUMIF($AD$3:$BA$3,"&lt;"&amp;$DF36,$B36:$Y36)+SUMIF($AD$3:$BA$3,"&gt;="&amp;$DG36,$B36:$Y36)),
IF(AG$3=$DF36+'Model Setup'!$E$7,SUMIF($AD$3:$BA$3,"="&amp;$DF36+'Model Setup'!$E$7,$B36:$Y36)+'Model Setup'!$E$8*(SUMIF($AD$3:$BA$3,"&lt;"&amp;$DF36,$B36:$Y36)+SUMIF($AD$3:$BA$3,"&gt;="&amp;$DG36,$B36:$Y36)),
IF(AG$3=$DF36+'Model Setup'!$F$7,SUMIF($AD$3:$BA$3,"="&amp;$DF36+'Model Setup'!$F$7,$B36:$Y36)+'Model Setup'!$F$8*(SUMIF($AD$3:$BA$3,"&lt;"&amp;$DF36,$B36:$Y36)+SUMIF($AD$3:$BA$3,"&gt;="&amp;$DG36,$B36:$Y36)),
IF(AG$3=$DF36+'Model Setup'!$G$7,SUMIF($AD$3:$BA$3,"="&amp;$DF36+'Model Setup'!$G$7,$B36:$Y36)+'Model Setup'!$G$8*(SUMIF($AD$3:$BA$3,"&lt;"&amp;$DF36,$B36:$Y36)+SUMIF($AD$3:$BA$3,"&gt;="&amp;$DG36,$B36:$Y36)),
IF(AG$3=$DF36+'Model Setup'!$H$7,SUMIF($AD$3:$BA$3,"="&amp;$DF36+'Model Setup'!$H$7,$B36:$Y36)+'Model Setup'!$H$8*(SUMIF($AD$3:$BA$3,"&lt;"&amp;$DF36,$B36:$Y36)+SUMIF($AD$3:$BA$3,"&gt;="&amp;$DG36,$B36:$Y36)),
IF(AG$3=$DF36+'Model Setup'!$I$7,SUMIF($AD$3:$BA$3,"="&amp;$DF36+'Model Setup'!$I$7,$B36:$Y36)+'Model Setup'!$I$8*(SUMIF($AD$3:$BA$3,"&lt;"&amp;$DF36,$B36:$Y36)+SUMIF($AD$3:$BA$3,"&gt;="&amp;$DG36,$B36:$Y36)),
IF(AG$3=$DF36+'Model Setup'!$J$7,SUMIF($AD$3:$BA$3,"="&amp;$DF36+'Model Setup'!$J$7,$B36:$Y36)+'Model Setup'!$J$8*(SUMIF($AD$3:$BA$3,"&lt;"&amp;$DF36,$B36:$Y36)+SUMIF($AD$3:$BA$3,"&gt;="&amp;$DG36,$B36:$Y36)),
IF(AG$3=$DF36+'Model Setup'!$K$7,SUMIF($AD$3:$BA$3,"="&amp;$DF36+'Model Setup'!$K$7,$B36:$Y36)+'Model Setup'!$K$8*(SUMIF($AD$3:$BA$3,"&lt;"&amp;$DF36,$B36:$Y36)+SUMIF($AD$3:$BA$3,"&gt;="&amp;$DG36,$B36:$Y36)),
IF(AG$3=$DF36+'Model Setup'!$L$7,SUMIF($AD$3:$BA$3,"="&amp;$DF36+'Model Setup'!$L$7,$B36:$Y36)+'Model Setup'!$L$8*(SUMIF($AD$3:$BA$3,"&lt;"&amp;$DF36,$B36:$Y36)+SUMIF($AD$3:$BA$3,"&gt;="&amp;$DG36,$B36:$Y36)),
IF(AG$3=$DF36+'Model Setup'!$M$7,SUMIF($AD$3:$BA$3,"="&amp;$DF36+'Model Setup'!$M$7,$B36:$Y36)+'Model Setup'!$M$8*(SUMIF($AD$3:$BA$3,"&lt;"&amp;$DF36,$B36:$Y36)+SUMIF($AD$3:$BA$3,"&gt;="&amp;$DG36,$B36:$Y36)),
IF(AG$3=$DF36+'Model Setup'!$N$7,SUMIF($AD$3:$BA$3,"="&amp;$DF36+'Model Setup'!$N$7,$B36:$Y36)+'Model Setup'!$N$8*(SUMIF($AD$3:$BA$3,"&lt;"&amp;$DF36,$B36:$Y36)+SUMIF($AD$3:$BA$3,"&gt;="&amp;$DG36,$B36:$Y36)),
IF(AG$3&lt;$DG36,E36,0))))))))))))))),0)</f>
        <v>0</v>
      </c>
      <c r="AH36" s="47">
        <f>ROUND(IF(AH$3&lt;$DF36,0,
IF(AH$3=$DF36+'Model Setup'!$B$7,SUMIF($AD$3:$BA$3,"="&amp;$DF36+'Model Setup'!$B$7,$B36:$Y36)+'Model Setup'!$B$8*(SUMIF($AD$3:$BA$3,"&lt;"&amp;$DF36,$B36:$Y36)+SUMIF($AD$3:$BA$3,"&gt;="&amp;$DG36,$B36:$Y36)),
IF(AH$3=$DF36+'Model Setup'!$C$7,SUMIF($AD$3:$BA$3,"="&amp;$DF36+'Model Setup'!$C$7,$B36:$Y36)+'Model Setup'!$C$8*(SUMIF($AD$3:$BA$3,"&lt;"&amp;$DF36,$B36:$Y36)+SUMIF($AD$3:$BA$3,"&gt;="&amp;$DG36,$B36:$Y36)),
IF(AH$3=$DF36+'Model Setup'!$D$7,SUMIF($AD$3:$BA$3,"="&amp;$DF36+'Model Setup'!$D$7,$B36:$Y36)+'Model Setup'!$D$8*(SUMIF($AD$3:$BA$3,"&lt;"&amp;$DF36,$B36:$Y36)+SUMIF($AD$3:$BA$3,"&gt;="&amp;$DG36,$B36:$Y36)),
IF(AH$3=$DF36+'Model Setup'!$E$7,SUMIF($AD$3:$BA$3,"="&amp;$DF36+'Model Setup'!$E$7,$B36:$Y36)+'Model Setup'!$E$8*(SUMIF($AD$3:$BA$3,"&lt;"&amp;$DF36,$B36:$Y36)+SUMIF($AD$3:$BA$3,"&gt;="&amp;$DG36,$B36:$Y36)),
IF(AH$3=$DF36+'Model Setup'!$F$7,SUMIF($AD$3:$BA$3,"="&amp;$DF36+'Model Setup'!$F$7,$B36:$Y36)+'Model Setup'!$F$8*(SUMIF($AD$3:$BA$3,"&lt;"&amp;$DF36,$B36:$Y36)+SUMIF($AD$3:$BA$3,"&gt;="&amp;$DG36,$B36:$Y36)),
IF(AH$3=$DF36+'Model Setup'!$G$7,SUMIF($AD$3:$BA$3,"="&amp;$DF36+'Model Setup'!$G$7,$B36:$Y36)+'Model Setup'!$G$8*(SUMIF($AD$3:$BA$3,"&lt;"&amp;$DF36,$B36:$Y36)+SUMIF($AD$3:$BA$3,"&gt;="&amp;$DG36,$B36:$Y36)),
IF(AH$3=$DF36+'Model Setup'!$H$7,SUMIF($AD$3:$BA$3,"="&amp;$DF36+'Model Setup'!$H$7,$B36:$Y36)+'Model Setup'!$H$8*(SUMIF($AD$3:$BA$3,"&lt;"&amp;$DF36,$B36:$Y36)+SUMIF($AD$3:$BA$3,"&gt;="&amp;$DG36,$B36:$Y36)),
IF(AH$3=$DF36+'Model Setup'!$I$7,SUMIF($AD$3:$BA$3,"="&amp;$DF36+'Model Setup'!$I$7,$B36:$Y36)+'Model Setup'!$I$8*(SUMIF($AD$3:$BA$3,"&lt;"&amp;$DF36,$B36:$Y36)+SUMIF($AD$3:$BA$3,"&gt;="&amp;$DG36,$B36:$Y36)),
IF(AH$3=$DF36+'Model Setup'!$J$7,SUMIF($AD$3:$BA$3,"="&amp;$DF36+'Model Setup'!$J$7,$B36:$Y36)+'Model Setup'!$J$8*(SUMIF($AD$3:$BA$3,"&lt;"&amp;$DF36,$B36:$Y36)+SUMIF($AD$3:$BA$3,"&gt;="&amp;$DG36,$B36:$Y36)),
IF(AH$3=$DF36+'Model Setup'!$K$7,SUMIF($AD$3:$BA$3,"="&amp;$DF36+'Model Setup'!$K$7,$B36:$Y36)+'Model Setup'!$K$8*(SUMIF($AD$3:$BA$3,"&lt;"&amp;$DF36,$B36:$Y36)+SUMIF($AD$3:$BA$3,"&gt;="&amp;$DG36,$B36:$Y36)),
IF(AH$3=$DF36+'Model Setup'!$L$7,SUMIF($AD$3:$BA$3,"="&amp;$DF36+'Model Setup'!$L$7,$B36:$Y36)+'Model Setup'!$L$8*(SUMIF($AD$3:$BA$3,"&lt;"&amp;$DF36,$B36:$Y36)+SUMIF($AD$3:$BA$3,"&gt;="&amp;$DG36,$B36:$Y36)),
IF(AH$3=$DF36+'Model Setup'!$M$7,SUMIF($AD$3:$BA$3,"="&amp;$DF36+'Model Setup'!$M$7,$B36:$Y36)+'Model Setup'!$M$8*(SUMIF($AD$3:$BA$3,"&lt;"&amp;$DF36,$B36:$Y36)+SUMIF($AD$3:$BA$3,"&gt;="&amp;$DG36,$B36:$Y36)),
IF(AH$3=$DF36+'Model Setup'!$N$7,SUMIF($AD$3:$BA$3,"="&amp;$DF36+'Model Setup'!$N$7,$B36:$Y36)+'Model Setup'!$N$8*(SUMIF($AD$3:$BA$3,"&lt;"&amp;$DF36,$B36:$Y36)+SUMIF($AD$3:$BA$3,"&gt;="&amp;$DG36,$B36:$Y36)),
IF(AH$3&lt;$DG36,F36,0))))))))))))))),0)</f>
        <v>0</v>
      </c>
      <c r="AI36" s="47">
        <f>ROUND(IF(AI$3&lt;$DF36,0,
IF(AI$3=$DF36+'Model Setup'!$B$7,SUMIF($AD$3:$BA$3,"="&amp;$DF36+'Model Setup'!$B$7,$B36:$Y36)+'Model Setup'!$B$8*(SUMIF($AD$3:$BA$3,"&lt;"&amp;$DF36,$B36:$Y36)+SUMIF($AD$3:$BA$3,"&gt;="&amp;$DG36,$B36:$Y36)),
IF(AI$3=$DF36+'Model Setup'!$C$7,SUMIF($AD$3:$BA$3,"="&amp;$DF36+'Model Setup'!$C$7,$B36:$Y36)+'Model Setup'!$C$8*(SUMIF($AD$3:$BA$3,"&lt;"&amp;$DF36,$B36:$Y36)+SUMIF($AD$3:$BA$3,"&gt;="&amp;$DG36,$B36:$Y36)),
IF(AI$3=$DF36+'Model Setup'!$D$7,SUMIF($AD$3:$BA$3,"="&amp;$DF36+'Model Setup'!$D$7,$B36:$Y36)+'Model Setup'!$D$8*(SUMIF($AD$3:$BA$3,"&lt;"&amp;$DF36,$B36:$Y36)+SUMIF($AD$3:$BA$3,"&gt;="&amp;$DG36,$B36:$Y36)),
IF(AI$3=$DF36+'Model Setup'!$E$7,SUMIF($AD$3:$BA$3,"="&amp;$DF36+'Model Setup'!$E$7,$B36:$Y36)+'Model Setup'!$E$8*(SUMIF($AD$3:$BA$3,"&lt;"&amp;$DF36,$B36:$Y36)+SUMIF($AD$3:$BA$3,"&gt;="&amp;$DG36,$B36:$Y36)),
IF(AI$3=$DF36+'Model Setup'!$F$7,SUMIF($AD$3:$BA$3,"="&amp;$DF36+'Model Setup'!$F$7,$B36:$Y36)+'Model Setup'!$F$8*(SUMIF($AD$3:$BA$3,"&lt;"&amp;$DF36,$B36:$Y36)+SUMIF($AD$3:$BA$3,"&gt;="&amp;$DG36,$B36:$Y36)),
IF(AI$3=$DF36+'Model Setup'!$G$7,SUMIF($AD$3:$BA$3,"="&amp;$DF36+'Model Setup'!$G$7,$B36:$Y36)+'Model Setup'!$G$8*(SUMIF($AD$3:$BA$3,"&lt;"&amp;$DF36,$B36:$Y36)+SUMIF($AD$3:$BA$3,"&gt;="&amp;$DG36,$B36:$Y36)),
IF(AI$3=$DF36+'Model Setup'!$H$7,SUMIF($AD$3:$BA$3,"="&amp;$DF36+'Model Setup'!$H$7,$B36:$Y36)+'Model Setup'!$H$8*(SUMIF($AD$3:$BA$3,"&lt;"&amp;$DF36,$B36:$Y36)+SUMIF($AD$3:$BA$3,"&gt;="&amp;$DG36,$B36:$Y36)),
IF(AI$3=$DF36+'Model Setup'!$I$7,SUMIF($AD$3:$BA$3,"="&amp;$DF36+'Model Setup'!$I$7,$B36:$Y36)+'Model Setup'!$I$8*(SUMIF($AD$3:$BA$3,"&lt;"&amp;$DF36,$B36:$Y36)+SUMIF($AD$3:$BA$3,"&gt;="&amp;$DG36,$B36:$Y36)),
IF(AI$3=$DF36+'Model Setup'!$J$7,SUMIF($AD$3:$BA$3,"="&amp;$DF36+'Model Setup'!$J$7,$B36:$Y36)+'Model Setup'!$J$8*(SUMIF($AD$3:$BA$3,"&lt;"&amp;$DF36,$B36:$Y36)+SUMIF($AD$3:$BA$3,"&gt;="&amp;$DG36,$B36:$Y36)),
IF(AI$3=$DF36+'Model Setup'!$K$7,SUMIF($AD$3:$BA$3,"="&amp;$DF36+'Model Setup'!$K$7,$B36:$Y36)+'Model Setup'!$K$8*(SUMIF($AD$3:$BA$3,"&lt;"&amp;$DF36,$B36:$Y36)+SUMIF($AD$3:$BA$3,"&gt;="&amp;$DG36,$B36:$Y36)),
IF(AI$3=$DF36+'Model Setup'!$L$7,SUMIF($AD$3:$BA$3,"="&amp;$DF36+'Model Setup'!$L$7,$B36:$Y36)+'Model Setup'!$L$8*(SUMIF($AD$3:$BA$3,"&lt;"&amp;$DF36,$B36:$Y36)+SUMIF($AD$3:$BA$3,"&gt;="&amp;$DG36,$B36:$Y36)),
IF(AI$3=$DF36+'Model Setup'!$M$7,SUMIF($AD$3:$BA$3,"="&amp;$DF36+'Model Setup'!$M$7,$B36:$Y36)+'Model Setup'!$M$8*(SUMIF($AD$3:$BA$3,"&lt;"&amp;$DF36,$B36:$Y36)+SUMIF($AD$3:$BA$3,"&gt;="&amp;$DG36,$B36:$Y36)),
IF(AI$3=$DF36+'Model Setup'!$N$7,SUMIF($AD$3:$BA$3,"="&amp;$DF36+'Model Setup'!$N$7,$B36:$Y36)+'Model Setup'!$N$8*(SUMIF($AD$3:$BA$3,"&lt;"&amp;$DF36,$B36:$Y36)+SUMIF($AD$3:$BA$3,"&gt;="&amp;$DG36,$B36:$Y36)),
IF(AI$3&lt;$DG36,G36,0))))))))))))))),0)</f>
        <v>48</v>
      </c>
      <c r="AJ36" s="47">
        <f>ROUND(IF(AJ$3&lt;$DF36,0,
IF(AJ$3=$DF36+'Model Setup'!$B$7,SUMIF($AD$3:$BA$3,"="&amp;$DF36+'Model Setup'!$B$7,$B36:$Y36)+'Model Setup'!$B$8*(SUMIF($AD$3:$BA$3,"&lt;"&amp;$DF36,$B36:$Y36)+SUMIF($AD$3:$BA$3,"&gt;="&amp;$DG36,$B36:$Y36)),
IF(AJ$3=$DF36+'Model Setup'!$C$7,SUMIF($AD$3:$BA$3,"="&amp;$DF36+'Model Setup'!$C$7,$B36:$Y36)+'Model Setup'!$C$8*(SUMIF($AD$3:$BA$3,"&lt;"&amp;$DF36,$B36:$Y36)+SUMIF($AD$3:$BA$3,"&gt;="&amp;$DG36,$B36:$Y36)),
IF(AJ$3=$DF36+'Model Setup'!$D$7,SUMIF($AD$3:$BA$3,"="&amp;$DF36+'Model Setup'!$D$7,$B36:$Y36)+'Model Setup'!$D$8*(SUMIF($AD$3:$BA$3,"&lt;"&amp;$DF36,$B36:$Y36)+SUMIF($AD$3:$BA$3,"&gt;="&amp;$DG36,$B36:$Y36)),
IF(AJ$3=$DF36+'Model Setup'!$E$7,SUMIF($AD$3:$BA$3,"="&amp;$DF36+'Model Setup'!$E$7,$B36:$Y36)+'Model Setup'!$E$8*(SUMIF($AD$3:$BA$3,"&lt;"&amp;$DF36,$B36:$Y36)+SUMIF($AD$3:$BA$3,"&gt;="&amp;$DG36,$B36:$Y36)),
IF(AJ$3=$DF36+'Model Setup'!$F$7,SUMIF($AD$3:$BA$3,"="&amp;$DF36+'Model Setup'!$F$7,$B36:$Y36)+'Model Setup'!$F$8*(SUMIF($AD$3:$BA$3,"&lt;"&amp;$DF36,$B36:$Y36)+SUMIF($AD$3:$BA$3,"&gt;="&amp;$DG36,$B36:$Y36)),
IF(AJ$3=$DF36+'Model Setup'!$G$7,SUMIF($AD$3:$BA$3,"="&amp;$DF36+'Model Setup'!$G$7,$B36:$Y36)+'Model Setup'!$G$8*(SUMIF($AD$3:$BA$3,"&lt;"&amp;$DF36,$B36:$Y36)+SUMIF($AD$3:$BA$3,"&gt;="&amp;$DG36,$B36:$Y36)),
IF(AJ$3=$DF36+'Model Setup'!$H$7,SUMIF($AD$3:$BA$3,"="&amp;$DF36+'Model Setup'!$H$7,$B36:$Y36)+'Model Setup'!$H$8*(SUMIF($AD$3:$BA$3,"&lt;"&amp;$DF36,$B36:$Y36)+SUMIF($AD$3:$BA$3,"&gt;="&amp;$DG36,$B36:$Y36)),
IF(AJ$3=$DF36+'Model Setup'!$I$7,SUMIF($AD$3:$BA$3,"="&amp;$DF36+'Model Setup'!$I$7,$B36:$Y36)+'Model Setup'!$I$8*(SUMIF($AD$3:$BA$3,"&lt;"&amp;$DF36,$B36:$Y36)+SUMIF($AD$3:$BA$3,"&gt;="&amp;$DG36,$B36:$Y36)),
IF(AJ$3=$DF36+'Model Setup'!$J$7,SUMIF($AD$3:$BA$3,"="&amp;$DF36+'Model Setup'!$J$7,$B36:$Y36)+'Model Setup'!$J$8*(SUMIF($AD$3:$BA$3,"&lt;"&amp;$DF36,$B36:$Y36)+SUMIF($AD$3:$BA$3,"&gt;="&amp;$DG36,$B36:$Y36)),
IF(AJ$3=$DF36+'Model Setup'!$K$7,SUMIF($AD$3:$BA$3,"="&amp;$DF36+'Model Setup'!$K$7,$B36:$Y36)+'Model Setup'!$K$8*(SUMIF($AD$3:$BA$3,"&lt;"&amp;$DF36,$B36:$Y36)+SUMIF($AD$3:$BA$3,"&gt;="&amp;$DG36,$B36:$Y36)),
IF(AJ$3=$DF36+'Model Setup'!$L$7,SUMIF($AD$3:$BA$3,"="&amp;$DF36+'Model Setup'!$L$7,$B36:$Y36)+'Model Setup'!$L$8*(SUMIF($AD$3:$BA$3,"&lt;"&amp;$DF36,$B36:$Y36)+SUMIF($AD$3:$BA$3,"&gt;="&amp;$DG36,$B36:$Y36)),
IF(AJ$3=$DF36+'Model Setup'!$M$7,SUMIF($AD$3:$BA$3,"="&amp;$DF36+'Model Setup'!$M$7,$B36:$Y36)+'Model Setup'!$M$8*(SUMIF($AD$3:$BA$3,"&lt;"&amp;$DF36,$B36:$Y36)+SUMIF($AD$3:$BA$3,"&gt;="&amp;$DG36,$B36:$Y36)),
IF(AJ$3=$DF36+'Model Setup'!$N$7,SUMIF($AD$3:$BA$3,"="&amp;$DF36+'Model Setup'!$N$7,$B36:$Y36)+'Model Setup'!$N$8*(SUMIF($AD$3:$BA$3,"&lt;"&amp;$DF36,$B36:$Y36)+SUMIF($AD$3:$BA$3,"&gt;="&amp;$DG36,$B36:$Y36)),
IF(AJ$3&lt;$DG36,H36,0))))))))))))))),0)</f>
        <v>142</v>
      </c>
      <c r="AK36" s="47">
        <f>ROUND(IF(AK$3&lt;$DF36,0,
IF(AK$3=$DF36+'Model Setup'!$B$7,SUMIF($AD$3:$BA$3,"="&amp;$DF36+'Model Setup'!$B$7,$B36:$Y36)+'Model Setup'!$B$8*(SUMIF($AD$3:$BA$3,"&lt;"&amp;$DF36,$B36:$Y36)+SUMIF($AD$3:$BA$3,"&gt;="&amp;$DG36,$B36:$Y36)),
IF(AK$3=$DF36+'Model Setup'!$C$7,SUMIF($AD$3:$BA$3,"="&amp;$DF36+'Model Setup'!$C$7,$B36:$Y36)+'Model Setup'!$C$8*(SUMIF($AD$3:$BA$3,"&lt;"&amp;$DF36,$B36:$Y36)+SUMIF($AD$3:$BA$3,"&gt;="&amp;$DG36,$B36:$Y36)),
IF(AK$3=$DF36+'Model Setup'!$D$7,SUMIF($AD$3:$BA$3,"="&amp;$DF36+'Model Setup'!$D$7,$B36:$Y36)+'Model Setup'!$D$8*(SUMIF($AD$3:$BA$3,"&lt;"&amp;$DF36,$B36:$Y36)+SUMIF($AD$3:$BA$3,"&gt;="&amp;$DG36,$B36:$Y36)),
IF(AK$3=$DF36+'Model Setup'!$E$7,SUMIF($AD$3:$BA$3,"="&amp;$DF36+'Model Setup'!$E$7,$B36:$Y36)+'Model Setup'!$E$8*(SUMIF($AD$3:$BA$3,"&lt;"&amp;$DF36,$B36:$Y36)+SUMIF($AD$3:$BA$3,"&gt;="&amp;$DG36,$B36:$Y36)),
IF(AK$3=$DF36+'Model Setup'!$F$7,SUMIF($AD$3:$BA$3,"="&amp;$DF36+'Model Setup'!$F$7,$B36:$Y36)+'Model Setup'!$F$8*(SUMIF($AD$3:$BA$3,"&lt;"&amp;$DF36,$B36:$Y36)+SUMIF($AD$3:$BA$3,"&gt;="&amp;$DG36,$B36:$Y36)),
IF(AK$3=$DF36+'Model Setup'!$G$7,SUMIF($AD$3:$BA$3,"="&amp;$DF36+'Model Setup'!$G$7,$B36:$Y36)+'Model Setup'!$G$8*(SUMIF($AD$3:$BA$3,"&lt;"&amp;$DF36,$B36:$Y36)+SUMIF($AD$3:$BA$3,"&gt;="&amp;$DG36,$B36:$Y36)),
IF(AK$3=$DF36+'Model Setup'!$H$7,SUMIF($AD$3:$BA$3,"="&amp;$DF36+'Model Setup'!$H$7,$B36:$Y36)+'Model Setup'!$H$8*(SUMIF($AD$3:$BA$3,"&lt;"&amp;$DF36,$B36:$Y36)+SUMIF($AD$3:$BA$3,"&gt;="&amp;$DG36,$B36:$Y36)),
IF(AK$3=$DF36+'Model Setup'!$I$7,SUMIF($AD$3:$BA$3,"="&amp;$DF36+'Model Setup'!$I$7,$B36:$Y36)+'Model Setup'!$I$8*(SUMIF($AD$3:$BA$3,"&lt;"&amp;$DF36,$B36:$Y36)+SUMIF($AD$3:$BA$3,"&gt;="&amp;$DG36,$B36:$Y36)),
IF(AK$3=$DF36+'Model Setup'!$J$7,SUMIF($AD$3:$BA$3,"="&amp;$DF36+'Model Setup'!$J$7,$B36:$Y36)+'Model Setup'!$J$8*(SUMIF($AD$3:$BA$3,"&lt;"&amp;$DF36,$B36:$Y36)+SUMIF($AD$3:$BA$3,"&gt;="&amp;$DG36,$B36:$Y36)),
IF(AK$3=$DF36+'Model Setup'!$K$7,SUMIF($AD$3:$BA$3,"="&amp;$DF36+'Model Setup'!$K$7,$B36:$Y36)+'Model Setup'!$K$8*(SUMIF($AD$3:$BA$3,"&lt;"&amp;$DF36,$B36:$Y36)+SUMIF($AD$3:$BA$3,"&gt;="&amp;$DG36,$B36:$Y36)),
IF(AK$3=$DF36+'Model Setup'!$L$7,SUMIF($AD$3:$BA$3,"="&amp;$DF36+'Model Setup'!$L$7,$B36:$Y36)+'Model Setup'!$L$8*(SUMIF($AD$3:$BA$3,"&lt;"&amp;$DF36,$B36:$Y36)+SUMIF($AD$3:$BA$3,"&gt;="&amp;$DG36,$B36:$Y36)),
IF(AK$3=$DF36+'Model Setup'!$M$7,SUMIF($AD$3:$BA$3,"="&amp;$DF36+'Model Setup'!$M$7,$B36:$Y36)+'Model Setup'!$M$8*(SUMIF($AD$3:$BA$3,"&lt;"&amp;$DF36,$B36:$Y36)+SUMIF($AD$3:$BA$3,"&gt;="&amp;$DG36,$B36:$Y36)),
IF(AK$3=$DF36+'Model Setup'!$N$7,SUMIF($AD$3:$BA$3,"="&amp;$DF36+'Model Setup'!$N$7,$B36:$Y36)+'Model Setup'!$N$8*(SUMIF($AD$3:$BA$3,"&lt;"&amp;$DF36,$B36:$Y36)+SUMIF($AD$3:$BA$3,"&gt;="&amp;$DG36,$B36:$Y36)),
IF(AK$3&lt;$DG36,I36,0))))))))))))))),0)</f>
        <v>156</v>
      </c>
      <c r="AL36" s="47">
        <f>ROUND(IF(AL$3&lt;$DF36,0,
IF(AL$3=$DF36+'Model Setup'!$B$7,SUMIF($AD$3:$BA$3,"="&amp;$DF36+'Model Setup'!$B$7,$B36:$Y36)+'Model Setup'!$B$8*(SUMIF($AD$3:$BA$3,"&lt;"&amp;$DF36,$B36:$Y36)+SUMIF($AD$3:$BA$3,"&gt;="&amp;$DG36,$B36:$Y36)),
IF(AL$3=$DF36+'Model Setup'!$C$7,SUMIF($AD$3:$BA$3,"="&amp;$DF36+'Model Setup'!$C$7,$B36:$Y36)+'Model Setup'!$C$8*(SUMIF($AD$3:$BA$3,"&lt;"&amp;$DF36,$B36:$Y36)+SUMIF($AD$3:$BA$3,"&gt;="&amp;$DG36,$B36:$Y36)),
IF(AL$3=$DF36+'Model Setup'!$D$7,SUMIF($AD$3:$BA$3,"="&amp;$DF36+'Model Setup'!$D$7,$B36:$Y36)+'Model Setup'!$D$8*(SUMIF($AD$3:$BA$3,"&lt;"&amp;$DF36,$B36:$Y36)+SUMIF($AD$3:$BA$3,"&gt;="&amp;$DG36,$B36:$Y36)),
IF(AL$3=$DF36+'Model Setup'!$E$7,SUMIF($AD$3:$BA$3,"="&amp;$DF36+'Model Setup'!$E$7,$B36:$Y36)+'Model Setup'!$E$8*(SUMIF($AD$3:$BA$3,"&lt;"&amp;$DF36,$B36:$Y36)+SUMIF($AD$3:$BA$3,"&gt;="&amp;$DG36,$B36:$Y36)),
IF(AL$3=$DF36+'Model Setup'!$F$7,SUMIF($AD$3:$BA$3,"="&amp;$DF36+'Model Setup'!$F$7,$B36:$Y36)+'Model Setup'!$F$8*(SUMIF($AD$3:$BA$3,"&lt;"&amp;$DF36,$B36:$Y36)+SUMIF($AD$3:$BA$3,"&gt;="&amp;$DG36,$B36:$Y36)),
IF(AL$3=$DF36+'Model Setup'!$G$7,SUMIF($AD$3:$BA$3,"="&amp;$DF36+'Model Setup'!$G$7,$B36:$Y36)+'Model Setup'!$G$8*(SUMIF($AD$3:$BA$3,"&lt;"&amp;$DF36,$B36:$Y36)+SUMIF($AD$3:$BA$3,"&gt;="&amp;$DG36,$B36:$Y36)),
IF(AL$3=$DF36+'Model Setup'!$H$7,SUMIF($AD$3:$BA$3,"="&amp;$DF36+'Model Setup'!$H$7,$B36:$Y36)+'Model Setup'!$H$8*(SUMIF($AD$3:$BA$3,"&lt;"&amp;$DF36,$B36:$Y36)+SUMIF($AD$3:$BA$3,"&gt;="&amp;$DG36,$B36:$Y36)),
IF(AL$3=$DF36+'Model Setup'!$I$7,SUMIF($AD$3:$BA$3,"="&amp;$DF36+'Model Setup'!$I$7,$B36:$Y36)+'Model Setup'!$I$8*(SUMIF($AD$3:$BA$3,"&lt;"&amp;$DF36,$B36:$Y36)+SUMIF($AD$3:$BA$3,"&gt;="&amp;$DG36,$B36:$Y36)),
IF(AL$3=$DF36+'Model Setup'!$J$7,SUMIF($AD$3:$BA$3,"="&amp;$DF36+'Model Setup'!$J$7,$B36:$Y36)+'Model Setup'!$J$8*(SUMIF($AD$3:$BA$3,"&lt;"&amp;$DF36,$B36:$Y36)+SUMIF($AD$3:$BA$3,"&gt;="&amp;$DG36,$B36:$Y36)),
IF(AL$3=$DF36+'Model Setup'!$K$7,SUMIF($AD$3:$BA$3,"="&amp;$DF36+'Model Setup'!$K$7,$B36:$Y36)+'Model Setup'!$K$8*(SUMIF($AD$3:$BA$3,"&lt;"&amp;$DF36,$B36:$Y36)+SUMIF($AD$3:$BA$3,"&gt;="&amp;$DG36,$B36:$Y36)),
IF(AL$3=$DF36+'Model Setup'!$L$7,SUMIF($AD$3:$BA$3,"="&amp;$DF36+'Model Setup'!$L$7,$B36:$Y36)+'Model Setup'!$L$8*(SUMIF($AD$3:$BA$3,"&lt;"&amp;$DF36,$B36:$Y36)+SUMIF($AD$3:$BA$3,"&gt;="&amp;$DG36,$B36:$Y36)),
IF(AL$3=$DF36+'Model Setup'!$M$7,SUMIF($AD$3:$BA$3,"="&amp;$DF36+'Model Setup'!$M$7,$B36:$Y36)+'Model Setup'!$M$8*(SUMIF($AD$3:$BA$3,"&lt;"&amp;$DF36,$B36:$Y36)+SUMIF($AD$3:$BA$3,"&gt;="&amp;$DG36,$B36:$Y36)),
IF(AL$3=$DF36+'Model Setup'!$N$7,SUMIF($AD$3:$BA$3,"="&amp;$DF36+'Model Setup'!$N$7,$B36:$Y36)+'Model Setup'!$N$8*(SUMIF($AD$3:$BA$3,"&lt;"&amp;$DF36,$B36:$Y36)+SUMIF($AD$3:$BA$3,"&gt;="&amp;$DG36,$B36:$Y36)),
IF(AL$3&lt;$DG36,J36,0))))))))))))))),0)</f>
        <v>176</v>
      </c>
      <c r="AM36" s="47">
        <f>ROUND(IF(AM$3&lt;$DF36,0,
IF(AM$3=$DF36+'Model Setup'!$B$7,SUMIF($AD$3:$BA$3,"="&amp;$DF36+'Model Setup'!$B$7,$B36:$Y36)+'Model Setup'!$B$8*(SUMIF($AD$3:$BA$3,"&lt;"&amp;$DF36,$B36:$Y36)+SUMIF($AD$3:$BA$3,"&gt;="&amp;$DG36,$B36:$Y36)),
IF(AM$3=$DF36+'Model Setup'!$C$7,SUMIF($AD$3:$BA$3,"="&amp;$DF36+'Model Setup'!$C$7,$B36:$Y36)+'Model Setup'!$C$8*(SUMIF($AD$3:$BA$3,"&lt;"&amp;$DF36,$B36:$Y36)+SUMIF($AD$3:$BA$3,"&gt;="&amp;$DG36,$B36:$Y36)),
IF(AM$3=$DF36+'Model Setup'!$D$7,SUMIF($AD$3:$BA$3,"="&amp;$DF36+'Model Setup'!$D$7,$B36:$Y36)+'Model Setup'!$D$8*(SUMIF($AD$3:$BA$3,"&lt;"&amp;$DF36,$B36:$Y36)+SUMIF($AD$3:$BA$3,"&gt;="&amp;$DG36,$B36:$Y36)),
IF(AM$3=$DF36+'Model Setup'!$E$7,SUMIF($AD$3:$BA$3,"="&amp;$DF36+'Model Setup'!$E$7,$B36:$Y36)+'Model Setup'!$E$8*(SUMIF($AD$3:$BA$3,"&lt;"&amp;$DF36,$B36:$Y36)+SUMIF($AD$3:$BA$3,"&gt;="&amp;$DG36,$B36:$Y36)),
IF(AM$3=$DF36+'Model Setup'!$F$7,SUMIF($AD$3:$BA$3,"="&amp;$DF36+'Model Setup'!$F$7,$B36:$Y36)+'Model Setup'!$F$8*(SUMIF($AD$3:$BA$3,"&lt;"&amp;$DF36,$B36:$Y36)+SUMIF($AD$3:$BA$3,"&gt;="&amp;$DG36,$B36:$Y36)),
IF(AM$3=$DF36+'Model Setup'!$G$7,SUMIF($AD$3:$BA$3,"="&amp;$DF36+'Model Setup'!$G$7,$B36:$Y36)+'Model Setup'!$G$8*(SUMIF($AD$3:$BA$3,"&lt;"&amp;$DF36,$B36:$Y36)+SUMIF($AD$3:$BA$3,"&gt;="&amp;$DG36,$B36:$Y36)),
IF(AM$3=$DF36+'Model Setup'!$H$7,SUMIF($AD$3:$BA$3,"="&amp;$DF36+'Model Setup'!$H$7,$B36:$Y36)+'Model Setup'!$H$8*(SUMIF($AD$3:$BA$3,"&lt;"&amp;$DF36,$B36:$Y36)+SUMIF($AD$3:$BA$3,"&gt;="&amp;$DG36,$B36:$Y36)),
IF(AM$3=$DF36+'Model Setup'!$I$7,SUMIF($AD$3:$BA$3,"="&amp;$DF36+'Model Setup'!$I$7,$B36:$Y36)+'Model Setup'!$I$8*(SUMIF($AD$3:$BA$3,"&lt;"&amp;$DF36,$B36:$Y36)+SUMIF($AD$3:$BA$3,"&gt;="&amp;$DG36,$B36:$Y36)),
IF(AM$3=$DF36+'Model Setup'!$J$7,SUMIF($AD$3:$BA$3,"="&amp;$DF36+'Model Setup'!$J$7,$B36:$Y36)+'Model Setup'!$J$8*(SUMIF($AD$3:$BA$3,"&lt;"&amp;$DF36,$B36:$Y36)+SUMIF($AD$3:$BA$3,"&gt;="&amp;$DG36,$B36:$Y36)),
IF(AM$3=$DF36+'Model Setup'!$K$7,SUMIF($AD$3:$BA$3,"="&amp;$DF36+'Model Setup'!$K$7,$B36:$Y36)+'Model Setup'!$K$8*(SUMIF($AD$3:$BA$3,"&lt;"&amp;$DF36,$B36:$Y36)+SUMIF($AD$3:$BA$3,"&gt;="&amp;$DG36,$B36:$Y36)),
IF(AM$3=$DF36+'Model Setup'!$L$7,SUMIF($AD$3:$BA$3,"="&amp;$DF36+'Model Setup'!$L$7,$B36:$Y36)+'Model Setup'!$L$8*(SUMIF($AD$3:$BA$3,"&lt;"&amp;$DF36,$B36:$Y36)+SUMIF($AD$3:$BA$3,"&gt;="&amp;$DG36,$B36:$Y36)),
IF(AM$3=$DF36+'Model Setup'!$M$7,SUMIF($AD$3:$BA$3,"="&amp;$DF36+'Model Setup'!$M$7,$B36:$Y36)+'Model Setup'!$M$8*(SUMIF($AD$3:$BA$3,"&lt;"&amp;$DF36,$B36:$Y36)+SUMIF($AD$3:$BA$3,"&gt;="&amp;$DG36,$B36:$Y36)),
IF(AM$3=$DF36+'Model Setup'!$N$7,SUMIF($AD$3:$BA$3,"="&amp;$DF36+'Model Setup'!$N$7,$B36:$Y36)+'Model Setup'!$N$8*(SUMIF($AD$3:$BA$3,"&lt;"&amp;$DF36,$B36:$Y36)+SUMIF($AD$3:$BA$3,"&gt;="&amp;$DG36,$B36:$Y36)),
IF(AM$3&lt;$DG36,K36,0))))))))))))))),0)</f>
        <v>208</v>
      </c>
      <c r="AN36" s="47">
        <f>ROUND(IF(AN$3&lt;$DF36,0,
IF(AN$3=$DF36+'Model Setup'!$B$7,SUMIF($AD$3:$BA$3,"="&amp;$DF36+'Model Setup'!$B$7,$B36:$Y36)+'Model Setup'!$B$8*(SUMIF($AD$3:$BA$3,"&lt;"&amp;$DF36,$B36:$Y36)+SUMIF($AD$3:$BA$3,"&gt;="&amp;$DG36,$B36:$Y36)),
IF(AN$3=$DF36+'Model Setup'!$C$7,SUMIF($AD$3:$BA$3,"="&amp;$DF36+'Model Setup'!$C$7,$B36:$Y36)+'Model Setup'!$C$8*(SUMIF($AD$3:$BA$3,"&lt;"&amp;$DF36,$B36:$Y36)+SUMIF($AD$3:$BA$3,"&gt;="&amp;$DG36,$B36:$Y36)),
IF(AN$3=$DF36+'Model Setup'!$D$7,SUMIF($AD$3:$BA$3,"="&amp;$DF36+'Model Setup'!$D$7,$B36:$Y36)+'Model Setup'!$D$8*(SUMIF($AD$3:$BA$3,"&lt;"&amp;$DF36,$B36:$Y36)+SUMIF($AD$3:$BA$3,"&gt;="&amp;$DG36,$B36:$Y36)),
IF(AN$3=$DF36+'Model Setup'!$E$7,SUMIF($AD$3:$BA$3,"="&amp;$DF36+'Model Setup'!$E$7,$B36:$Y36)+'Model Setup'!$E$8*(SUMIF($AD$3:$BA$3,"&lt;"&amp;$DF36,$B36:$Y36)+SUMIF($AD$3:$BA$3,"&gt;="&amp;$DG36,$B36:$Y36)),
IF(AN$3=$DF36+'Model Setup'!$F$7,SUMIF($AD$3:$BA$3,"="&amp;$DF36+'Model Setup'!$F$7,$B36:$Y36)+'Model Setup'!$F$8*(SUMIF($AD$3:$BA$3,"&lt;"&amp;$DF36,$B36:$Y36)+SUMIF($AD$3:$BA$3,"&gt;="&amp;$DG36,$B36:$Y36)),
IF(AN$3=$DF36+'Model Setup'!$G$7,SUMIF($AD$3:$BA$3,"="&amp;$DF36+'Model Setup'!$G$7,$B36:$Y36)+'Model Setup'!$G$8*(SUMIF($AD$3:$BA$3,"&lt;"&amp;$DF36,$B36:$Y36)+SUMIF($AD$3:$BA$3,"&gt;="&amp;$DG36,$B36:$Y36)),
IF(AN$3=$DF36+'Model Setup'!$H$7,SUMIF($AD$3:$BA$3,"="&amp;$DF36+'Model Setup'!$H$7,$B36:$Y36)+'Model Setup'!$H$8*(SUMIF($AD$3:$BA$3,"&lt;"&amp;$DF36,$B36:$Y36)+SUMIF($AD$3:$BA$3,"&gt;="&amp;$DG36,$B36:$Y36)),
IF(AN$3=$DF36+'Model Setup'!$I$7,SUMIF($AD$3:$BA$3,"="&amp;$DF36+'Model Setup'!$I$7,$B36:$Y36)+'Model Setup'!$I$8*(SUMIF($AD$3:$BA$3,"&lt;"&amp;$DF36,$B36:$Y36)+SUMIF($AD$3:$BA$3,"&gt;="&amp;$DG36,$B36:$Y36)),
IF(AN$3=$DF36+'Model Setup'!$J$7,SUMIF($AD$3:$BA$3,"="&amp;$DF36+'Model Setup'!$J$7,$B36:$Y36)+'Model Setup'!$J$8*(SUMIF($AD$3:$BA$3,"&lt;"&amp;$DF36,$B36:$Y36)+SUMIF($AD$3:$BA$3,"&gt;="&amp;$DG36,$B36:$Y36)),
IF(AN$3=$DF36+'Model Setup'!$K$7,SUMIF($AD$3:$BA$3,"="&amp;$DF36+'Model Setup'!$K$7,$B36:$Y36)+'Model Setup'!$K$8*(SUMIF($AD$3:$BA$3,"&lt;"&amp;$DF36,$B36:$Y36)+SUMIF($AD$3:$BA$3,"&gt;="&amp;$DG36,$B36:$Y36)),
IF(AN$3=$DF36+'Model Setup'!$L$7,SUMIF($AD$3:$BA$3,"="&amp;$DF36+'Model Setup'!$L$7,$B36:$Y36)+'Model Setup'!$L$8*(SUMIF($AD$3:$BA$3,"&lt;"&amp;$DF36,$B36:$Y36)+SUMIF($AD$3:$BA$3,"&gt;="&amp;$DG36,$B36:$Y36)),
IF(AN$3=$DF36+'Model Setup'!$M$7,SUMIF($AD$3:$BA$3,"="&amp;$DF36+'Model Setup'!$M$7,$B36:$Y36)+'Model Setup'!$M$8*(SUMIF($AD$3:$BA$3,"&lt;"&amp;$DF36,$B36:$Y36)+SUMIF($AD$3:$BA$3,"&gt;="&amp;$DG36,$B36:$Y36)),
IF(AN$3=$DF36+'Model Setup'!$N$7,SUMIF($AD$3:$BA$3,"="&amp;$DF36+'Model Setup'!$N$7,$B36:$Y36)+'Model Setup'!$N$8*(SUMIF($AD$3:$BA$3,"&lt;"&amp;$DF36,$B36:$Y36)+SUMIF($AD$3:$BA$3,"&gt;="&amp;$DG36,$B36:$Y36)),
IF(AN$3&lt;$DG36,L36,0))))))))))))))),0)</f>
        <v>180</v>
      </c>
      <c r="AO36" s="47">
        <f>ROUND(IF(AO$3&lt;$DF36,0,
IF(AO$3=$DF36+'Model Setup'!$B$7,SUMIF($AD$3:$BA$3,"="&amp;$DF36+'Model Setup'!$B$7,$B36:$Y36)+'Model Setup'!$B$8*(SUMIF($AD$3:$BA$3,"&lt;"&amp;$DF36,$B36:$Y36)+SUMIF($AD$3:$BA$3,"&gt;="&amp;$DG36,$B36:$Y36)),
IF(AO$3=$DF36+'Model Setup'!$C$7,SUMIF($AD$3:$BA$3,"="&amp;$DF36+'Model Setup'!$C$7,$B36:$Y36)+'Model Setup'!$C$8*(SUMIF($AD$3:$BA$3,"&lt;"&amp;$DF36,$B36:$Y36)+SUMIF($AD$3:$BA$3,"&gt;="&amp;$DG36,$B36:$Y36)),
IF(AO$3=$DF36+'Model Setup'!$D$7,SUMIF($AD$3:$BA$3,"="&amp;$DF36+'Model Setup'!$D$7,$B36:$Y36)+'Model Setup'!$D$8*(SUMIF($AD$3:$BA$3,"&lt;"&amp;$DF36,$B36:$Y36)+SUMIF($AD$3:$BA$3,"&gt;="&amp;$DG36,$B36:$Y36)),
IF(AO$3=$DF36+'Model Setup'!$E$7,SUMIF($AD$3:$BA$3,"="&amp;$DF36+'Model Setup'!$E$7,$B36:$Y36)+'Model Setup'!$E$8*(SUMIF($AD$3:$BA$3,"&lt;"&amp;$DF36,$B36:$Y36)+SUMIF($AD$3:$BA$3,"&gt;="&amp;$DG36,$B36:$Y36)),
IF(AO$3=$DF36+'Model Setup'!$F$7,SUMIF($AD$3:$BA$3,"="&amp;$DF36+'Model Setup'!$F$7,$B36:$Y36)+'Model Setup'!$F$8*(SUMIF($AD$3:$BA$3,"&lt;"&amp;$DF36,$B36:$Y36)+SUMIF($AD$3:$BA$3,"&gt;="&amp;$DG36,$B36:$Y36)),
IF(AO$3=$DF36+'Model Setup'!$G$7,SUMIF($AD$3:$BA$3,"="&amp;$DF36+'Model Setup'!$G$7,$B36:$Y36)+'Model Setup'!$G$8*(SUMIF($AD$3:$BA$3,"&lt;"&amp;$DF36,$B36:$Y36)+SUMIF($AD$3:$BA$3,"&gt;="&amp;$DG36,$B36:$Y36)),
IF(AO$3=$DF36+'Model Setup'!$H$7,SUMIF($AD$3:$BA$3,"="&amp;$DF36+'Model Setup'!$H$7,$B36:$Y36)+'Model Setup'!$H$8*(SUMIF($AD$3:$BA$3,"&lt;"&amp;$DF36,$B36:$Y36)+SUMIF($AD$3:$BA$3,"&gt;="&amp;$DG36,$B36:$Y36)),
IF(AO$3=$DF36+'Model Setup'!$I$7,SUMIF($AD$3:$BA$3,"="&amp;$DF36+'Model Setup'!$I$7,$B36:$Y36)+'Model Setup'!$I$8*(SUMIF($AD$3:$BA$3,"&lt;"&amp;$DF36,$B36:$Y36)+SUMIF($AD$3:$BA$3,"&gt;="&amp;$DG36,$B36:$Y36)),
IF(AO$3=$DF36+'Model Setup'!$J$7,SUMIF($AD$3:$BA$3,"="&amp;$DF36+'Model Setup'!$J$7,$B36:$Y36)+'Model Setup'!$J$8*(SUMIF($AD$3:$BA$3,"&lt;"&amp;$DF36,$B36:$Y36)+SUMIF($AD$3:$BA$3,"&gt;="&amp;$DG36,$B36:$Y36)),
IF(AO$3=$DF36+'Model Setup'!$K$7,SUMIF($AD$3:$BA$3,"="&amp;$DF36+'Model Setup'!$K$7,$B36:$Y36)+'Model Setup'!$K$8*(SUMIF($AD$3:$BA$3,"&lt;"&amp;$DF36,$B36:$Y36)+SUMIF($AD$3:$BA$3,"&gt;="&amp;$DG36,$B36:$Y36)),
IF(AO$3=$DF36+'Model Setup'!$L$7,SUMIF($AD$3:$BA$3,"="&amp;$DF36+'Model Setup'!$L$7,$B36:$Y36)+'Model Setup'!$L$8*(SUMIF($AD$3:$BA$3,"&lt;"&amp;$DF36,$B36:$Y36)+SUMIF($AD$3:$BA$3,"&gt;="&amp;$DG36,$B36:$Y36)),
IF(AO$3=$DF36+'Model Setup'!$M$7,SUMIF($AD$3:$BA$3,"="&amp;$DF36+'Model Setup'!$M$7,$B36:$Y36)+'Model Setup'!$M$8*(SUMIF($AD$3:$BA$3,"&lt;"&amp;$DF36,$B36:$Y36)+SUMIF($AD$3:$BA$3,"&gt;="&amp;$DG36,$B36:$Y36)),
IF(AO$3=$DF36+'Model Setup'!$N$7,SUMIF($AD$3:$BA$3,"="&amp;$DF36+'Model Setup'!$N$7,$B36:$Y36)+'Model Setup'!$N$8*(SUMIF($AD$3:$BA$3,"&lt;"&amp;$DF36,$B36:$Y36)+SUMIF($AD$3:$BA$3,"&gt;="&amp;$DG36,$B36:$Y36)),
IF(AO$3&lt;$DG36,M36,0))))))))))))))),0)</f>
        <v>146</v>
      </c>
      <c r="AP36" s="47">
        <f>ROUND(IF(AP$3&lt;$DF36,0,
IF(AP$3=$DF36+'Model Setup'!$B$7,SUMIF($AD$3:$BA$3,"="&amp;$DF36+'Model Setup'!$B$7,$B36:$Y36)+'Model Setup'!$B$8*(SUMIF($AD$3:$BA$3,"&lt;"&amp;$DF36,$B36:$Y36)+SUMIF($AD$3:$BA$3,"&gt;="&amp;$DG36,$B36:$Y36)),
IF(AP$3=$DF36+'Model Setup'!$C$7,SUMIF($AD$3:$BA$3,"="&amp;$DF36+'Model Setup'!$C$7,$B36:$Y36)+'Model Setup'!$C$8*(SUMIF($AD$3:$BA$3,"&lt;"&amp;$DF36,$B36:$Y36)+SUMIF($AD$3:$BA$3,"&gt;="&amp;$DG36,$B36:$Y36)),
IF(AP$3=$DF36+'Model Setup'!$D$7,SUMIF($AD$3:$BA$3,"="&amp;$DF36+'Model Setup'!$D$7,$B36:$Y36)+'Model Setup'!$D$8*(SUMIF($AD$3:$BA$3,"&lt;"&amp;$DF36,$B36:$Y36)+SUMIF($AD$3:$BA$3,"&gt;="&amp;$DG36,$B36:$Y36)),
IF(AP$3=$DF36+'Model Setup'!$E$7,SUMIF($AD$3:$BA$3,"="&amp;$DF36+'Model Setup'!$E$7,$B36:$Y36)+'Model Setup'!$E$8*(SUMIF($AD$3:$BA$3,"&lt;"&amp;$DF36,$B36:$Y36)+SUMIF($AD$3:$BA$3,"&gt;="&amp;$DG36,$B36:$Y36)),
IF(AP$3=$DF36+'Model Setup'!$F$7,SUMIF($AD$3:$BA$3,"="&amp;$DF36+'Model Setup'!$F$7,$B36:$Y36)+'Model Setup'!$F$8*(SUMIF($AD$3:$BA$3,"&lt;"&amp;$DF36,$B36:$Y36)+SUMIF($AD$3:$BA$3,"&gt;="&amp;$DG36,$B36:$Y36)),
IF(AP$3=$DF36+'Model Setup'!$G$7,SUMIF($AD$3:$BA$3,"="&amp;$DF36+'Model Setup'!$G$7,$B36:$Y36)+'Model Setup'!$G$8*(SUMIF($AD$3:$BA$3,"&lt;"&amp;$DF36,$B36:$Y36)+SUMIF($AD$3:$BA$3,"&gt;="&amp;$DG36,$B36:$Y36)),
IF(AP$3=$DF36+'Model Setup'!$H$7,SUMIF($AD$3:$BA$3,"="&amp;$DF36+'Model Setup'!$H$7,$B36:$Y36)+'Model Setup'!$H$8*(SUMIF($AD$3:$BA$3,"&lt;"&amp;$DF36,$B36:$Y36)+SUMIF($AD$3:$BA$3,"&gt;="&amp;$DG36,$B36:$Y36)),
IF(AP$3=$DF36+'Model Setup'!$I$7,SUMIF($AD$3:$BA$3,"="&amp;$DF36+'Model Setup'!$I$7,$B36:$Y36)+'Model Setup'!$I$8*(SUMIF($AD$3:$BA$3,"&lt;"&amp;$DF36,$B36:$Y36)+SUMIF($AD$3:$BA$3,"&gt;="&amp;$DG36,$B36:$Y36)),
IF(AP$3=$DF36+'Model Setup'!$J$7,SUMIF($AD$3:$BA$3,"="&amp;$DF36+'Model Setup'!$J$7,$B36:$Y36)+'Model Setup'!$J$8*(SUMIF($AD$3:$BA$3,"&lt;"&amp;$DF36,$B36:$Y36)+SUMIF($AD$3:$BA$3,"&gt;="&amp;$DG36,$B36:$Y36)),
IF(AP$3=$DF36+'Model Setup'!$K$7,SUMIF($AD$3:$BA$3,"="&amp;$DF36+'Model Setup'!$K$7,$B36:$Y36)+'Model Setup'!$K$8*(SUMIF($AD$3:$BA$3,"&lt;"&amp;$DF36,$B36:$Y36)+SUMIF($AD$3:$BA$3,"&gt;="&amp;$DG36,$B36:$Y36)),
IF(AP$3=$DF36+'Model Setup'!$L$7,SUMIF($AD$3:$BA$3,"="&amp;$DF36+'Model Setup'!$L$7,$B36:$Y36)+'Model Setup'!$L$8*(SUMIF($AD$3:$BA$3,"&lt;"&amp;$DF36,$B36:$Y36)+SUMIF($AD$3:$BA$3,"&gt;="&amp;$DG36,$B36:$Y36)),
IF(AP$3=$DF36+'Model Setup'!$M$7,SUMIF($AD$3:$BA$3,"="&amp;$DF36+'Model Setup'!$M$7,$B36:$Y36)+'Model Setup'!$M$8*(SUMIF($AD$3:$BA$3,"&lt;"&amp;$DF36,$B36:$Y36)+SUMIF($AD$3:$BA$3,"&gt;="&amp;$DG36,$B36:$Y36)),
IF(AP$3=$DF36+'Model Setup'!$N$7,SUMIF($AD$3:$BA$3,"="&amp;$DF36+'Model Setup'!$N$7,$B36:$Y36)+'Model Setup'!$N$8*(SUMIF($AD$3:$BA$3,"&lt;"&amp;$DF36,$B36:$Y36)+SUMIF($AD$3:$BA$3,"&gt;="&amp;$DG36,$B36:$Y36)),
IF(AP$3&lt;$DG36,N36,0))))))))))))))),0)</f>
        <v>124</v>
      </c>
      <c r="AQ36" s="47">
        <f>ROUND(IF(AQ$3&lt;$DF36,0,
IF(AQ$3=$DF36+'Model Setup'!$B$7,SUMIF($AD$3:$BA$3,"="&amp;$DF36+'Model Setup'!$B$7,$B36:$Y36)+'Model Setup'!$B$8*(SUMIF($AD$3:$BA$3,"&lt;"&amp;$DF36,$B36:$Y36)+SUMIF($AD$3:$BA$3,"&gt;="&amp;$DG36,$B36:$Y36)),
IF(AQ$3=$DF36+'Model Setup'!$C$7,SUMIF($AD$3:$BA$3,"="&amp;$DF36+'Model Setup'!$C$7,$B36:$Y36)+'Model Setup'!$C$8*(SUMIF($AD$3:$BA$3,"&lt;"&amp;$DF36,$B36:$Y36)+SUMIF($AD$3:$BA$3,"&gt;="&amp;$DG36,$B36:$Y36)),
IF(AQ$3=$DF36+'Model Setup'!$D$7,SUMIF($AD$3:$BA$3,"="&amp;$DF36+'Model Setup'!$D$7,$B36:$Y36)+'Model Setup'!$D$8*(SUMIF($AD$3:$BA$3,"&lt;"&amp;$DF36,$B36:$Y36)+SUMIF($AD$3:$BA$3,"&gt;="&amp;$DG36,$B36:$Y36)),
IF(AQ$3=$DF36+'Model Setup'!$E$7,SUMIF($AD$3:$BA$3,"="&amp;$DF36+'Model Setup'!$E$7,$B36:$Y36)+'Model Setup'!$E$8*(SUMIF($AD$3:$BA$3,"&lt;"&amp;$DF36,$B36:$Y36)+SUMIF($AD$3:$BA$3,"&gt;="&amp;$DG36,$B36:$Y36)),
IF(AQ$3=$DF36+'Model Setup'!$F$7,SUMIF($AD$3:$BA$3,"="&amp;$DF36+'Model Setup'!$F$7,$B36:$Y36)+'Model Setup'!$F$8*(SUMIF($AD$3:$BA$3,"&lt;"&amp;$DF36,$B36:$Y36)+SUMIF($AD$3:$BA$3,"&gt;="&amp;$DG36,$B36:$Y36)),
IF(AQ$3=$DF36+'Model Setup'!$G$7,SUMIF($AD$3:$BA$3,"="&amp;$DF36+'Model Setup'!$G$7,$B36:$Y36)+'Model Setup'!$G$8*(SUMIF($AD$3:$BA$3,"&lt;"&amp;$DF36,$B36:$Y36)+SUMIF($AD$3:$BA$3,"&gt;="&amp;$DG36,$B36:$Y36)),
IF(AQ$3=$DF36+'Model Setup'!$H$7,SUMIF($AD$3:$BA$3,"="&amp;$DF36+'Model Setup'!$H$7,$B36:$Y36)+'Model Setup'!$H$8*(SUMIF($AD$3:$BA$3,"&lt;"&amp;$DF36,$B36:$Y36)+SUMIF($AD$3:$BA$3,"&gt;="&amp;$DG36,$B36:$Y36)),
IF(AQ$3=$DF36+'Model Setup'!$I$7,SUMIF($AD$3:$BA$3,"="&amp;$DF36+'Model Setup'!$I$7,$B36:$Y36)+'Model Setup'!$I$8*(SUMIF($AD$3:$BA$3,"&lt;"&amp;$DF36,$B36:$Y36)+SUMIF($AD$3:$BA$3,"&gt;="&amp;$DG36,$B36:$Y36)),
IF(AQ$3=$DF36+'Model Setup'!$J$7,SUMIF($AD$3:$BA$3,"="&amp;$DF36+'Model Setup'!$J$7,$B36:$Y36)+'Model Setup'!$J$8*(SUMIF($AD$3:$BA$3,"&lt;"&amp;$DF36,$B36:$Y36)+SUMIF($AD$3:$BA$3,"&gt;="&amp;$DG36,$B36:$Y36)),
IF(AQ$3=$DF36+'Model Setup'!$K$7,SUMIF($AD$3:$BA$3,"="&amp;$DF36+'Model Setup'!$K$7,$B36:$Y36)+'Model Setup'!$K$8*(SUMIF($AD$3:$BA$3,"&lt;"&amp;$DF36,$B36:$Y36)+SUMIF($AD$3:$BA$3,"&gt;="&amp;$DG36,$B36:$Y36)),
IF(AQ$3=$DF36+'Model Setup'!$L$7,SUMIF($AD$3:$BA$3,"="&amp;$DF36+'Model Setup'!$L$7,$B36:$Y36)+'Model Setup'!$L$8*(SUMIF($AD$3:$BA$3,"&lt;"&amp;$DF36,$B36:$Y36)+SUMIF($AD$3:$BA$3,"&gt;="&amp;$DG36,$B36:$Y36)),
IF(AQ$3=$DF36+'Model Setup'!$M$7,SUMIF($AD$3:$BA$3,"="&amp;$DF36+'Model Setup'!$M$7,$B36:$Y36)+'Model Setup'!$M$8*(SUMIF($AD$3:$BA$3,"&lt;"&amp;$DF36,$B36:$Y36)+SUMIF($AD$3:$BA$3,"&gt;="&amp;$DG36,$B36:$Y36)),
IF(AQ$3=$DF36+'Model Setup'!$N$7,SUMIF($AD$3:$BA$3,"="&amp;$DF36+'Model Setup'!$N$7,$B36:$Y36)+'Model Setup'!$N$8*(SUMIF($AD$3:$BA$3,"&lt;"&amp;$DF36,$B36:$Y36)+SUMIF($AD$3:$BA$3,"&gt;="&amp;$DG36,$B36:$Y36)),
IF(AQ$3&lt;$DG36,O36,0))))))))))))))),0)</f>
        <v>112</v>
      </c>
      <c r="AR36" s="47">
        <f>ROUND(IF(AR$3&lt;$DF36,0,
IF(AR$3=$DF36+'Model Setup'!$B$7,SUMIF($AD$3:$BA$3,"="&amp;$DF36+'Model Setup'!$B$7,$B36:$Y36)+'Model Setup'!$B$8*(SUMIF($AD$3:$BA$3,"&lt;"&amp;$DF36,$B36:$Y36)+SUMIF($AD$3:$BA$3,"&gt;="&amp;$DG36,$B36:$Y36)),
IF(AR$3=$DF36+'Model Setup'!$C$7,SUMIF($AD$3:$BA$3,"="&amp;$DF36+'Model Setup'!$C$7,$B36:$Y36)+'Model Setup'!$C$8*(SUMIF($AD$3:$BA$3,"&lt;"&amp;$DF36,$B36:$Y36)+SUMIF($AD$3:$BA$3,"&gt;="&amp;$DG36,$B36:$Y36)),
IF(AR$3=$DF36+'Model Setup'!$D$7,SUMIF($AD$3:$BA$3,"="&amp;$DF36+'Model Setup'!$D$7,$B36:$Y36)+'Model Setup'!$D$8*(SUMIF($AD$3:$BA$3,"&lt;"&amp;$DF36,$B36:$Y36)+SUMIF($AD$3:$BA$3,"&gt;="&amp;$DG36,$B36:$Y36)),
IF(AR$3=$DF36+'Model Setup'!$E$7,SUMIF($AD$3:$BA$3,"="&amp;$DF36+'Model Setup'!$E$7,$B36:$Y36)+'Model Setup'!$E$8*(SUMIF($AD$3:$BA$3,"&lt;"&amp;$DF36,$B36:$Y36)+SUMIF($AD$3:$BA$3,"&gt;="&amp;$DG36,$B36:$Y36)),
IF(AR$3=$DF36+'Model Setup'!$F$7,SUMIF($AD$3:$BA$3,"="&amp;$DF36+'Model Setup'!$F$7,$B36:$Y36)+'Model Setup'!$F$8*(SUMIF($AD$3:$BA$3,"&lt;"&amp;$DF36,$B36:$Y36)+SUMIF($AD$3:$BA$3,"&gt;="&amp;$DG36,$B36:$Y36)),
IF(AR$3=$DF36+'Model Setup'!$G$7,SUMIF($AD$3:$BA$3,"="&amp;$DF36+'Model Setup'!$G$7,$B36:$Y36)+'Model Setup'!$G$8*(SUMIF($AD$3:$BA$3,"&lt;"&amp;$DF36,$B36:$Y36)+SUMIF($AD$3:$BA$3,"&gt;="&amp;$DG36,$B36:$Y36)),
IF(AR$3=$DF36+'Model Setup'!$H$7,SUMIF($AD$3:$BA$3,"="&amp;$DF36+'Model Setup'!$H$7,$B36:$Y36)+'Model Setup'!$H$8*(SUMIF($AD$3:$BA$3,"&lt;"&amp;$DF36,$B36:$Y36)+SUMIF($AD$3:$BA$3,"&gt;="&amp;$DG36,$B36:$Y36)),
IF(AR$3=$DF36+'Model Setup'!$I$7,SUMIF($AD$3:$BA$3,"="&amp;$DF36+'Model Setup'!$I$7,$B36:$Y36)+'Model Setup'!$I$8*(SUMIF($AD$3:$BA$3,"&lt;"&amp;$DF36,$B36:$Y36)+SUMIF($AD$3:$BA$3,"&gt;="&amp;$DG36,$B36:$Y36)),
IF(AR$3=$DF36+'Model Setup'!$J$7,SUMIF($AD$3:$BA$3,"="&amp;$DF36+'Model Setup'!$J$7,$B36:$Y36)+'Model Setup'!$J$8*(SUMIF($AD$3:$BA$3,"&lt;"&amp;$DF36,$B36:$Y36)+SUMIF($AD$3:$BA$3,"&gt;="&amp;$DG36,$B36:$Y36)),
IF(AR$3=$DF36+'Model Setup'!$K$7,SUMIF($AD$3:$BA$3,"="&amp;$DF36+'Model Setup'!$K$7,$B36:$Y36)+'Model Setup'!$K$8*(SUMIF($AD$3:$BA$3,"&lt;"&amp;$DF36,$B36:$Y36)+SUMIF($AD$3:$BA$3,"&gt;="&amp;$DG36,$B36:$Y36)),
IF(AR$3=$DF36+'Model Setup'!$L$7,SUMIF($AD$3:$BA$3,"="&amp;$DF36+'Model Setup'!$L$7,$B36:$Y36)+'Model Setup'!$L$8*(SUMIF($AD$3:$BA$3,"&lt;"&amp;$DF36,$B36:$Y36)+SUMIF($AD$3:$BA$3,"&gt;="&amp;$DG36,$B36:$Y36)),
IF(AR$3=$DF36+'Model Setup'!$M$7,SUMIF($AD$3:$BA$3,"="&amp;$DF36+'Model Setup'!$M$7,$B36:$Y36)+'Model Setup'!$M$8*(SUMIF($AD$3:$BA$3,"&lt;"&amp;$DF36,$B36:$Y36)+SUMIF($AD$3:$BA$3,"&gt;="&amp;$DG36,$B36:$Y36)),
IF(AR$3=$DF36+'Model Setup'!$N$7,SUMIF($AD$3:$BA$3,"="&amp;$DF36+'Model Setup'!$N$7,$B36:$Y36)+'Model Setup'!$N$8*(SUMIF($AD$3:$BA$3,"&lt;"&amp;$DF36,$B36:$Y36)+SUMIF($AD$3:$BA$3,"&gt;="&amp;$DG36,$B36:$Y36)),
IF(AR$3&lt;$DG36,P36,0))))))))))))))),0)</f>
        <v>77</v>
      </c>
      <c r="AS36" s="47">
        <f>ROUND(IF(AS$3&lt;$DF36,0,
IF(AS$3=$DF36+'Model Setup'!$B$7,SUMIF($AD$3:$BA$3,"="&amp;$DF36+'Model Setup'!$B$7,$B36:$Y36)+'Model Setup'!$B$8*(SUMIF($AD$3:$BA$3,"&lt;"&amp;$DF36,$B36:$Y36)+SUMIF($AD$3:$BA$3,"&gt;="&amp;$DG36,$B36:$Y36)),
IF(AS$3=$DF36+'Model Setup'!$C$7,SUMIF($AD$3:$BA$3,"="&amp;$DF36+'Model Setup'!$C$7,$B36:$Y36)+'Model Setup'!$C$8*(SUMIF($AD$3:$BA$3,"&lt;"&amp;$DF36,$B36:$Y36)+SUMIF($AD$3:$BA$3,"&gt;="&amp;$DG36,$B36:$Y36)),
IF(AS$3=$DF36+'Model Setup'!$D$7,SUMIF($AD$3:$BA$3,"="&amp;$DF36+'Model Setup'!$D$7,$B36:$Y36)+'Model Setup'!$D$8*(SUMIF($AD$3:$BA$3,"&lt;"&amp;$DF36,$B36:$Y36)+SUMIF($AD$3:$BA$3,"&gt;="&amp;$DG36,$B36:$Y36)),
IF(AS$3=$DF36+'Model Setup'!$E$7,SUMIF($AD$3:$BA$3,"="&amp;$DF36+'Model Setup'!$E$7,$B36:$Y36)+'Model Setup'!$E$8*(SUMIF($AD$3:$BA$3,"&lt;"&amp;$DF36,$B36:$Y36)+SUMIF($AD$3:$BA$3,"&gt;="&amp;$DG36,$B36:$Y36)),
IF(AS$3=$DF36+'Model Setup'!$F$7,SUMIF($AD$3:$BA$3,"="&amp;$DF36+'Model Setup'!$F$7,$B36:$Y36)+'Model Setup'!$F$8*(SUMIF($AD$3:$BA$3,"&lt;"&amp;$DF36,$B36:$Y36)+SUMIF($AD$3:$BA$3,"&gt;="&amp;$DG36,$B36:$Y36)),
IF(AS$3=$DF36+'Model Setup'!$G$7,SUMIF($AD$3:$BA$3,"="&amp;$DF36+'Model Setup'!$G$7,$B36:$Y36)+'Model Setup'!$G$8*(SUMIF($AD$3:$BA$3,"&lt;"&amp;$DF36,$B36:$Y36)+SUMIF($AD$3:$BA$3,"&gt;="&amp;$DG36,$B36:$Y36)),
IF(AS$3=$DF36+'Model Setup'!$H$7,SUMIF($AD$3:$BA$3,"="&amp;$DF36+'Model Setup'!$H$7,$B36:$Y36)+'Model Setup'!$H$8*(SUMIF($AD$3:$BA$3,"&lt;"&amp;$DF36,$B36:$Y36)+SUMIF($AD$3:$BA$3,"&gt;="&amp;$DG36,$B36:$Y36)),
IF(AS$3=$DF36+'Model Setup'!$I$7,SUMIF($AD$3:$BA$3,"="&amp;$DF36+'Model Setup'!$I$7,$B36:$Y36)+'Model Setup'!$I$8*(SUMIF($AD$3:$BA$3,"&lt;"&amp;$DF36,$B36:$Y36)+SUMIF($AD$3:$BA$3,"&gt;="&amp;$DG36,$B36:$Y36)),
IF(AS$3=$DF36+'Model Setup'!$J$7,SUMIF($AD$3:$BA$3,"="&amp;$DF36+'Model Setup'!$J$7,$B36:$Y36)+'Model Setup'!$J$8*(SUMIF($AD$3:$BA$3,"&lt;"&amp;$DF36,$B36:$Y36)+SUMIF($AD$3:$BA$3,"&gt;="&amp;$DG36,$B36:$Y36)),
IF(AS$3=$DF36+'Model Setup'!$K$7,SUMIF($AD$3:$BA$3,"="&amp;$DF36+'Model Setup'!$K$7,$B36:$Y36)+'Model Setup'!$K$8*(SUMIF($AD$3:$BA$3,"&lt;"&amp;$DF36,$B36:$Y36)+SUMIF($AD$3:$BA$3,"&gt;="&amp;$DG36,$B36:$Y36)),
IF(AS$3=$DF36+'Model Setup'!$L$7,SUMIF($AD$3:$BA$3,"="&amp;$DF36+'Model Setup'!$L$7,$B36:$Y36)+'Model Setup'!$L$8*(SUMIF($AD$3:$BA$3,"&lt;"&amp;$DF36,$B36:$Y36)+SUMIF($AD$3:$BA$3,"&gt;="&amp;$DG36,$B36:$Y36)),
IF(AS$3=$DF36+'Model Setup'!$M$7,SUMIF($AD$3:$BA$3,"="&amp;$DF36+'Model Setup'!$M$7,$B36:$Y36)+'Model Setup'!$M$8*(SUMIF($AD$3:$BA$3,"&lt;"&amp;$DF36,$B36:$Y36)+SUMIF($AD$3:$BA$3,"&gt;="&amp;$DG36,$B36:$Y36)),
IF(AS$3=$DF36+'Model Setup'!$N$7,SUMIF($AD$3:$BA$3,"="&amp;$DF36+'Model Setup'!$N$7,$B36:$Y36)+'Model Setup'!$N$8*(SUMIF($AD$3:$BA$3,"&lt;"&amp;$DF36,$B36:$Y36)+SUMIF($AD$3:$BA$3,"&gt;="&amp;$DG36,$B36:$Y36)),
IF(AS$3&lt;$DG36,Q36,0))))))))))))))),0)</f>
        <v>97</v>
      </c>
      <c r="AT36" s="47">
        <f>ROUND(IF(AT$3&lt;$DF36,0,
IF(AT$3=$DF36+'Model Setup'!$B$7,SUMIF($AD$3:$BA$3,"="&amp;$DF36+'Model Setup'!$B$7,$B36:$Y36)+'Model Setup'!$B$8*(SUMIF($AD$3:$BA$3,"&lt;"&amp;$DF36,$B36:$Y36)+SUMIF($AD$3:$BA$3,"&gt;="&amp;$DG36,$B36:$Y36)),
IF(AT$3=$DF36+'Model Setup'!$C$7,SUMIF($AD$3:$BA$3,"="&amp;$DF36+'Model Setup'!$C$7,$B36:$Y36)+'Model Setup'!$C$8*(SUMIF($AD$3:$BA$3,"&lt;"&amp;$DF36,$B36:$Y36)+SUMIF($AD$3:$BA$3,"&gt;="&amp;$DG36,$B36:$Y36)),
IF(AT$3=$DF36+'Model Setup'!$D$7,SUMIF($AD$3:$BA$3,"="&amp;$DF36+'Model Setup'!$D$7,$B36:$Y36)+'Model Setup'!$D$8*(SUMIF($AD$3:$BA$3,"&lt;"&amp;$DF36,$B36:$Y36)+SUMIF($AD$3:$BA$3,"&gt;="&amp;$DG36,$B36:$Y36)),
IF(AT$3=$DF36+'Model Setup'!$E$7,SUMIF($AD$3:$BA$3,"="&amp;$DF36+'Model Setup'!$E$7,$B36:$Y36)+'Model Setup'!$E$8*(SUMIF($AD$3:$BA$3,"&lt;"&amp;$DF36,$B36:$Y36)+SUMIF($AD$3:$BA$3,"&gt;="&amp;$DG36,$B36:$Y36)),
IF(AT$3=$DF36+'Model Setup'!$F$7,SUMIF($AD$3:$BA$3,"="&amp;$DF36+'Model Setup'!$F$7,$B36:$Y36)+'Model Setup'!$F$8*(SUMIF($AD$3:$BA$3,"&lt;"&amp;$DF36,$B36:$Y36)+SUMIF($AD$3:$BA$3,"&gt;="&amp;$DG36,$B36:$Y36)),
IF(AT$3=$DF36+'Model Setup'!$G$7,SUMIF($AD$3:$BA$3,"="&amp;$DF36+'Model Setup'!$G$7,$B36:$Y36)+'Model Setup'!$G$8*(SUMIF($AD$3:$BA$3,"&lt;"&amp;$DF36,$B36:$Y36)+SUMIF($AD$3:$BA$3,"&gt;="&amp;$DG36,$B36:$Y36)),
IF(AT$3=$DF36+'Model Setup'!$H$7,SUMIF($AD$3:$BA$3,"="&amp;$DF36+'Model Setup'!$H$7,$B36:$Y36)+'Model Setup'!$H$8*(SUMIF($AD$3:$BA$3,"&lt;"&amp;$DF36,$B36:$Y36)+SUMIF($AD$3:$BA$3,"&gt;="&amp;$DG36,$B36:$Y36)),
IF(AT$3=$DF36+'Model Setup'!$I$7,SUMIF($AD$3:$BA$3,"="&amp;$DF36+'Model Setup'!$I$7,$B36:$Y36)+'Model Setup'!$I$8*(SUMIF($AD$3:$BA$3,"&lt;"&amp;$DF36,$B36:$Y36)+SUMIF($AD$3:$BA$3,"&gt;="&amp;$DG36,$B36:$Y36)),
IF(AT$3=$DF36+'Model Setup'!$J$7,SUMIF($AD$3:$BA$3,"="&amp;$DF36+'Model Setup'!$J$7,$B36:$Y36)+'Model Setup'!$J$8*(SUMIF($AD$3:$BA$3,"&lt;"&amp;$DF36,$B36:$Y36)+SUMIF($AD$3:$BA$3,"&gt;="&amp;$DG36,$B36:$Y36)),
IF(AT$3=$DF36+'Model Setup'!$K$7,SUMIF($AD$3:$BA$3,"="&amp;$DF36+'Model Setup'!$K$7,$B36:$Y36)+'Model Setup'!$K$8*(SUMIF($AD$3:$BA$3,"&lt;"&amp;$DF36,$B36:$Y36)+SUMIF($AD$3:$BA$3,"&gt;="&amp;$DG36,$B36:$Y36)),
IF(AT$3=$DF36+'Model Setup'!$L$7,SUMIF($AD$3:$BA$3,"="&amp;$DF36+'Model Setup'!$L$7,$B36:$Y36)+'Model Setup'!$L$8*(SUMIF($AD$3:$BA$3,"&lt;"&amp;$DF36,$B36:$Y36)+SUMIF($AD$3:$BA$3,"&gt;="&amp;$DG36,$B36:$Y36)),
IF(AT$3=$DF36+'Model Setup'!$M$7,SUMIF($AD$3:$BA$3,"="&amp;$DF36+'Model Setup'!$M$7,$B36:$Y36)+'Model Setup'!$M$8*(SUMIF($AD$3:$BA$3,"&lt;"&amp;$DF36,$B36:$Y36)+SUMIF($AD$3:$BA$3,"&gt;="&amp;$DG36,$B36:$Y36)),
IF(AT$3=$DF36+'Model Setup'!$N$7,SUMIF($AD$3:$BA$3,"="&amp;$DF36+'Model Setup'!$N$7,$B36:$Y36)+'Model Setup'!$N$8*(SUMIF($AD$3:$BA$3,"&lt;"&amp;$DF36,$B36:$Y36)+SUMIF($AD$3:$BA$3,"&gt;="&amp;$DG36,$B36:$Y36)),
IF(AT$3&lt;$DG36,R36,0))))))))))))))),0)</f>
        <v>115</v>
      </c>
      <c r="AU36" s="47">
        <f>ROUND(IF(AU$3&lt;$DF36,0,
IF(AU$3=$DF36+'Model Setup'!$B$7,SUMIF($AD$3:$BA$3,"="&amp;$DF36+'Model Setup'!$B$7,$B36:$Y36)+'Model Setup'!$B$8*(SUMIF($AD$3:$BA$3,"&lt;"&amp;$DF36,$B36:$Y36)+SUMIF($AD$3:$BA$3,"&gt;="&amp;$DG36,$B36:$Y36)),
IF(AU$3=$DF36+'Model Setup'!$C$7,SUMIF($AD$3:$BA$3,"="&amp;$DF36+'Model Setup'!$C$7,$B36:$Y36)+'Model Setup'!$C$8*(SUMIF($AD$3:$BA$3,"&lt;"&amp;$DF36,$B36:$Y36)+SUMIF($AD$3:$BA$3,"&gt;="&amp;$DG36,$B36:$Y36)),
IF(AU$3=$DF36+'Model Setup'!$D$7,SUMIF($AD$3:$BA$3,"="&amp;$DF36+'Model Setup'!$D$7,$B36:$Y36)+'Model Setup'!$D$8*(SUMIF($AD$3:$BA$3,"&lt;"&amp;$DF36,$B36:$Y36)+SUMIF($AD$3:$BA$3,"&gt;="&amp;$DG36,$B36:$Y36)),
IF(AU$3=$DF36+'Model Setup'!$E$7,SUMIF($AD$3:$BA$3,"="&amp;$DF36+'Model Setup'!$E$7,$B36:$Y36)+'Model Setup'!$E$8*(SUMIF($AD$3:$BA$3,"&lt;"&amp;$DF36,$B36:$Y36)+SUMIF($AD$3:$BA$3,"&gt;="&amp;$DG36,$B36:$Y36)),
IF(AU$3=$DF36+'Model Setup'!$F$7,SUMIF($AD$3:$BA$3,"="&amp;$DF36+'Model Setup'!$F$7,$B36:$Y36)+'Model Setup'!$F$8*(SUMIF($AD$3:$BA$3,"&lt;"&amp;$DF36,$B36:$Y36)+SUMIF($AD$3:$BA$3,"&gt;="&amp;$DG36,$B36:$Y36)),
IF(AU$3=$DF36+'Model Setup'!$G$7,SUMIF($AD$3:$BA$3,"="&amp;$DF36+'Model Setup'!$G$7,$B36:$Y36)+'Model Setup'!$G$8*(SUMIF($AD$3:$BA$3,"&lt;"&amp;$DF36,$B36:$Y36)+SUMIF($AD$3:$BA$3,"&gt;="&amp;$DG36,$B36:$Y36)),
IF(AU$3=$DF36+'Model Setup'!$H$7,SUMIF($AD$3:$BA$3,"="&amp;$DF36+'Model Setup'!$H$7,$B36:$Y36)+'Model Setup'!$H$8*(SUMIF($AD$3:$BA$3,"&lt;"&amp;$DF36,$B36:$Y36)+SUMIF($AD$3:$BA$3,"&gt;="&amp;$DG36,$B36:$Y36)),
IF(AU$3=$DF36+'Model Setup'!$I$7,SUMIF($AD$3:$BA$3,"="&amp;$DF36+'Model Setup'!$I$7,$B36:$Y36)+'Model Setup'!$I$8*(SUMIF($AD$3:$BA$3,"&lt;"&amp;$DF36,$B36:$Y36)+SUMIF($AD$3:$BA$3,"&gt;="&amp;$DG36,$B36:$Y36)),
IF(AU$3=$DF36+'Model Setup'!$J$7,SUMIF($AD$3:$BA$3,"="&amp;$DF36+'Model Setup'!$J$7,$B36:$Y36)+'Model Setup'!$J$8*(SUMIF($AD$3:$BA$3,"&lt;"&amp;$DF36,$B36:$Y36)+SUMIF($AD$3:$BA$3,"&gt;="&amp;$DG36,$B36:$Y36)),
IF(AU$3=$DF36+'Model Setup'!$K$7,SUMIF($AD$3:$BA$3,"="&amp;$DF36+'Model Setup'!$K$7,$B36:$Y36)+'Model Setup'!$K$8*(SUMIF($AD$3:$BA$3,"&lt;"&amp;$DF36,$B36:$Y36)+SUMIF($AD$3:$BA$3,"&gt;="&amp;$DG36,$B36:$Y36)),
IF(AU$3=$DF36+'Model Setup'!$L$7,SUMIF($AD$3:$BA$3,"="&amp;$DF36+'Model Setup'!$L$7,$B36:$Y36)+'Model Setup'!$L$8*(SUMIF($AD$3:$BA$3,"&lt;"&amp;$DF36,$B36:$Y36)+SUMIF($AD$3:$BA$3,"&gt;="&amp;$DG36,$B36:$Y36)),
IF(AU$3=$DF36+'Model Setup'!$M$7,SUMIF($AD$3:$BA$3,"="&amp;$DF36+'Model Setup'!$M$7,$B36:$Y36)+'Model Setup'!$M$8*(SUMIF($AD$3:$BA$3,"&lt;"&amp;$DF36,$B36:$Y36)+SUMIF($AD$3:$BA$3,"&gt;="&amp;$DG36,$B36:$Y36)),
IF(AU$3=$DF36+'Model Setup'!$N$7,SUMIF($AD$3:$BA$3,"="&amp;$DF36+'Model Setup'!$N$7,$B36:$Y36)+'Model Setup'!$N$8*(SUMIF($AD$3:$BA$3,"&lt;"&amp;$DF36,$B36:$Y36)+SUMIF($AD$3:$BA$3,"&gt;="&amp;$DG36,$B36:$Y36)),
IF(AU$3&lt;$DG36,S36,0))))))))))))))),0)</f>
        <v>84</v>
      </c>
      <c r="AV36" s="47">
        <f>ROUND(IF(AV$3&lt;$DF36,0,
IF(AV$3=$DF36+'Model Setup'!$B$7,SUMIF($AD$3:$BA$3,"="&amp;$DF36+'Model Setup'!$B$7,$B36:$Y36)+'Model Setup'!$B$8*(SUMIF($AD$3:$BA$3,"&lt;"&amp;$DF36,$B36:$Y36)+SUMIF($AD$3:$BA$3,"&gt;="&amp;$DG36,$B36:$Y36)),
IF(AV$3=$DF36+'Model Setup'!$C$7,SUMIF($AD$3:$BA$3,"="&amp;$DF36+'Model Setup'!$C$7,$B36:$Y36)+'Model Setup'!$C$8*(SUMIF($AD$3:$BA$3,"&lt;"&amp;$DF36,$B36:$Y36)+SUMIF($AD$3:$BA$3,"&gt;="&amp;$DG36,$B36:$Y36)),
IF(AV$3=$DF36+'Model Setup'!$D$7,SUMIF($AD$3:$BA$3,"="&amp;$DF36+'Model Setup'!$D$7,$B36:$Y36)+'Model Setup'!$D$8*(SUMIF($AD$3:$BA$3,"&lt;"&amp;$DF36,$B36:$Y36)+SUMIF($AD$3:$BA$3,"&gt;="&amp;$DG36,$B36:$Y36)),
IF(AV$3=$DF36+'Model Setup'!$E$7,SUMIF($AD$3:$BA$3,"="&amp;$DF36+'Model Setup'!$E$7,$B36:$Y36)+'Model Setup'!$E$8*(SUMIF($AD$3:$BA$3,"&lt;"&amp;$DF36,$B36:$Y36)+SUMIF($AD$3:$BA$3,"&gt;="&amp;$DG36,$B36:$Y36)),
IF(AV$3=$DF36+'Model Setup'!$F$7,SUMIF($AD$3:$BA$3,"="&amp;$DF36+'Model Setup'!$F$7,$B36:$Y36)+'Model Setup'!$F$8*(SUMIF($AD$3:$BA$3,"&lt;"&amp;$DF36,$B36:$Y36)+SUMIF($AD$3:$BA$3,"&gt;="&amp;$DG36,$B36:$Y36)),
IF(AV$3=$DF36+'Model Setup'!$G$7,SUMIF($AD$3:$BA$3,"="&amp;$DF36+'Model Setup'!$G$7,$B36:$Y36)+'Model Setup'!$G$8*(SUMIF($AD$3:$BA$3,"&lt;"&amp;$DF36,$B36:$Y36)+SUMIF($AD$3:$BA$3,"&gt;="&amp;$DG36,$B36:$Y36)),
IF(AV$3=$DF36+'Model Setup'!$H$7,SUMIF($AD$3:$BA$3,"="&amp;$DF36+'Model Setup'!$H$7,$B36:$Y36)+'Model Setup'!$H$8*(SUMIF($AD$3:$BA$3,"&lt;"&amp;$DF36,$B36:$Y36)+SUMIF($AD$3:$BA$3,"&gt;="&amp;$DG36,$B36:$Y36)),
IF(AV$3=$DF36+'Model Setup'!$I$7,SUMIF($AD$3:$BA$3,"="&amp;$DF36+'Model Setup'!$I$7,$B36:$Y36)+'Model Setup'!$I$8*(SUMIF($AD$3:$BA$3,"&lt;"&amp;$DF36,$B36:$Y36)+SUMIF($AD$3:$BA$3,"&gt;="&amp;$DG36,$B36:$Y36)),
IF(AV$3=$DF36+'Model Setup'!$J$7,SUMIF($AD$3:$BA$3,"="&amp;$DF36+'Model Setup'!$J$7,$B36:$Y36)+'Model Setup'!$J$8*(SUMIF($AD$3:$BA$3,"&lt;"&amp;$DF36,$B36:$Y36)+SUMIF($AD$3:$BA$3,"&gt;="&amp;$DG36,$B36:$Y36)),
IF(AV$3=$DF36+'Model Setup'!$K$7,SUMIF($AD$3:$BA$3,"="&amp;$DF36+'Model Setup'!$K$7,$B36:$Y36)+'Model Setup'!$K$8*(SUMIF($AD$3:$BA$3,"&lt;"&amp;$DF36,$B36:$Y36)+SUMIF($AD$3:$BA$3,"&gt;="&amp;$DG36,$B36:$Y36)),
IF(AV$3=$DF36+'Model Setup'!$L$7,SUMIF($AD$3:$BA$3,"="&amp;$DF36+'Model Setup'!$L$7,$B36:$Y36)+'Model Setup'!$L$8*(SUMIF($AD$3:$BA$3,"&lt;"&amp;$DF36,$B36:$Y36)+SUMIF($AD$3:$BA$3,"&gt;="&amp;$DG36,$B36:$Y36)),
IF(AV$3=$DF36+'Model Setup'!$M$7,SUMIF($AD$3:$BA$3,"="&amp;$DF36+'Model Setup'!$M$7,$B36:$Y36)+'Model Setup'!$M$8*(SUMIF($AD$3:$BA$3,"&lt;"&amp;$DF36,$B36:$Y36)+SUMIF($AD$3:$BA$3,"&gt;="&amp;$DG36,$B36:$Y36)),
IF(AV$3=$DF36+'Model Setup'!$N$7,SUMIF($AD$3:$BA$3,"="&amp;$DF36+'Model Setup'!$N$7,$B36:$Y36)+'Model Setup'!$N$8*(SUMIF($AD$3:$BA$3,"&lt;"&amp;$DF36,$B36:$Y36)+SUMIF($AD$3:$BA$3,"&gt;="&amp;$DG36,$B36:$Y36)),
IF(AV$3&lt;$DG36,T36,0))))))))))))))),0)</f>
        <v>0</v>
      </c>
      <c r="AW36" s="47">
        <f>ROUND(IF(AW$3&lt;$DF36,0,
IF(AW$3=$DF36+'Model Setup'!$B$7,SUMIF($AD$3:$BA$3,"="&amp;$DF36+'Model Setup'!$B$7,$B36:$Y36)+'Model Setup'!$B$8*(SUMIF($AD$3:$BA$3,"&lt;"&amp;$DF36,$B36:$Y36)+SUMIF($AD$3:$BA$3,"&gt;="&amp;$DG36,$B36:$Y36)),
IF(AW$3=$DF36+'Model Setup'!$C$7,SUMIF($AD$3:$BA$3,"="&amp;$DF36+'Model Setup'!$C$7,$B36:$Y36)+'Model Setup'!$C$8*(SUMIF($AD$3:$BA$3,"&lt;"&amp;$DF36,$B36:$Y36)+SUMIF($AD$3:$BA$3,"&gt;="&amp;$DG36,$B36:$Y36)),
IF(AW$3=$DF36+'Model Setup'!$D$7,SUMIF($AD$3:$BA$3,"="&amp;$DF36+'Model Setup'!$D$7,$B36:$Y36)+'Model Setup'!$D$8*(SUMIF($AD$3:$BA$3,"&lt;"&amp;$DF36,$B36:$Y36)+SUMIF($AD$3:$BA$3,"&gt;="&amp;$DG36,$B36:$Y36)),
IF(AW$3=$DF36+'Model Setup'!$E$7,SUMIF($AD$3:$BA$3,"="&amp;$DF36+'Model Setup'!$E$7,$B36:$Y36)+'Model Setup'!$E$8*(SUMIF($AD$3:$BA$3,"&lt;"&amp;$DF36,$B36:$Y36)+SUMIF($AD$3:$BA$3,"&gt;="&amp;$DG36,$B36:$Y36)),
IF(AW$3=$DF36+'Model Setup'!$F$7,SUMIF($AD$3:$BA$3,"="&amp;$DF36+'Model Setup'!$F$7,$B36:$Y36)+'Model Setup'!$F$8*(SUMIF($AD$3:$BA$3,"&lt;"&amp;$DF36,$B36:$Y36)+SUMIF($AD$3:$BA$3,"&gt;="&amp;$DG36,$B36:$Y36)),
IF(AW$3=$DF36+'Model Setup'!$G$7,SUMIF($AD$3:$BA$3,"="&amp;$DF36+'Model Setup'!$G$7,$B36:$Y36)+'Model Setup'!$G$8*(SUMIF($AD$3:$BA$3,"&lt;"&amp;$DF36,$B36:$Y36)+SUMIF($AD$3:$BA$3,"&gt;="&amp;$DG36,$B36:$Y36)),
IF(AW$3=$DF36+'Model Setup'!$H$7,SUMIF($AD$3:$BA$3,"="&amp;$DF36+'Model Setup'!$H$7,$B36:$Y36)+'Model Setup'!$H$8*(SUMIF($AD$3:$BA$3,"&lt;"&amp;$DF36,$B36:$Y36)+SUMIF($AD$3:$BA$3,"&gt;="&amp;$DG36,$B36:$Y36)),
IF(AW$3=$DF36+'Model Setup'!$I$7,SUMIF($AD$3:$BA$3,"="&amp;$DF36+'Model Setup'!$I$7,$B36:$Y36)+'Model Setup'!$I$8*(SUMIF($AD$3:$BA$3,"&lt;"&amp;$DF36,$B36:$Y36)+SUMIF($AD$3:$BA$3,"&gt;="&amp;$DG36,$B36:$Y36)),
IF(AW$3=$DF36+'Model Setup'!$J$7,SUMIF($AD$3:$BA$3,"="&amp;$DF36+'Model Setup'!$J$7,$B36:$Y36)+'Model Setup'!$J$8*(SUMIF($AD$3:$BA$3,"&lt;"&amp;$DF36,$B36:$Y36)+SUMIF($AD$3:$BA$3,"&gt;="&amp;$DG36,$B36:$Y36)),
IF(AW$3=$DF36+'Model Setup'!$K$7,SUMIF($AD$3:$BA$3,"="&amp;$DF36+'Model Setup'!$K$7,$B36:$Y36)+'Model Setup'!$K$8*(SUMIF($AD$3:$BA$3,"&lt;"&amp;$DF36,$B36:$Y36)+SUMIF($AD$3:$BA$3,"&gt;="&amp;$DG36,$B36:$Y36)),
IF(AW$3=$DF36+'Model Setup'!$L$7,SUMIF($AD$3:$BA$3,"="&amp;$DF36+'Model Setup'!$L$7,$B36:$Y36)+'Model Setup'!$L$8*(SUMIF($AD$3:$BA$3,"&lt;"&amp;$DF36,$B36:$Y36)+SUMIF($AD$3:$BA$3,"&gt;="&amp;$DG36,$B36:$Y36)),
IF(AW$3=$DF36+'Model Setup'!$M$7,SUMIF($AD$3:$BA$3,"="&amp;$DF36+'Model Setup'!$M$7,$B36:$Y36)+'Model Setup'!$M$8*(SUMIF($AD$3:$BA$3,"&lt;"&amp;$DF36,$B36:$Y36)+SUMIF($AD$3:$BA$3,"&gt;="&amp;$DG36,$B36:$Y36)),
IF(AW$3=$DF36+'Model Setup'!$N$7,SUMIF($AD$3:$BA$3,"="&amp;$DF36+'Model Setup'!$N$7,$B36:$Y36)+'Model Setup'!$N$8*(SUMIF($AD$3:$BA$3,"&lt;"&amp;$DF36,$B36:$Y36)+SUMIF($AD$3:$BA$3,"&gt;="&amp;$DG36,$B36:$Y36)),
IF(AW$3&lt;$DG36,U36,0))))))))))))))),0)</f>
        <v>0</v>
      </c>
      <c r="AX36" s="47">
        <f>ROUND(IF(AX$3&lt;$DF36,0,
IF(AX$3=$DF36+'Model Setup'!$B$7,SUMIF($AD$3:$BA$3,"="&amp;$DF36+'Model Setup'!$B$7,$B36:$Y36)+'Model Setup'!$B$8*(SUMIF($AD$3:$BA$3,"&lt;"&amp;$DF36,$B36:$Y36)+SUMIF($AD$3:$BA$3,"&gt;="&amp;$DG36,$B36:$Y36)),
IF(AX$3=$DF36+'Model Setup'!$C$7,SUMIF($AD$3:$BA$3,"="&amp;$DF36+'Model Setup'!$C$7,$B36:$Y36)+'Model Setup'!$C$8*(SUMIF($AD$3:$BA$3,"&lt;"&amp;$DF36,$B36:$Y36)+SUMIF($AD$3:$BA$3,"&gt;="&amp;$DG36,$B36:$Y36)),
IF(AX$3=$DF36+'Model Setup'!$D$7,SUMIF($AD$3:$BA$3,"="&amp;$DF36+'Model Setup'!$D$7,$B36:$Y36)+'Model Setup'!$D$8*(SUMIF($AD$3:$BA$3,"&lt;"&amp;$DF36,$B36:$Y36)+SUMIF($AD$3:$BA$3,"&gt;="&amp;$DG36,$B36:$Y36)),
IF(AX$3=$DF36+'Model Setup'!$E$7,SUMIF($AD$3:$BA$3,"="&amp;$DF36+'Model Setup'!$E$7,$B36:$Y36)+'Model Setup'!$E$8*(SUMIF($AD$3:$BA$3,"&lt;"&amp;$DF36,$B36:$Y36)+SUMIF($AD$3:$BA$3,"&gt;="&amp;$DG36,$B36:$Y36)),
IF(AX$3=$DF36+'Model Setup'!$F$7,SUMIF($AD$3:$BA$3,"="&amp;$DF36+'Model Setup'!$F$7,$B36:$Y36)+'Model Setup'!$F$8*(SUMIF($AD$3:$BA$3,"&lt;"&amp;$DF36,$B36:$Y36)+SUMIF($AD$3:$BA$3,"&gt;="&amp;$DG36,$B36:$Y36)),
IF(AX$3=$DF36+'Model Setup'!$G$7,SUMIF($AD$3:$BA$3,"="&amp;$DF36+'Model Setup'!$G$7,$B36:$Y36)+'Model Setup'!$G$8*(SUMIF($AD$3:$BA$3,"&lt;"&amp;$DF36,$B36:$Y36)+SUMIF($AD$3:$BA$3,"&gt;="&amp;$DG36,$B36:$Y36)),
IF(AX$3=$DF36+'Model Setup'!$H$7,SUMIF($AD$3:$BA$3,"="&amp;$DF36+'Model Setup'!$H$7,$B36:$Y36)+'Model Setup'!$H$8*(SUMIF($AD$3:$BA$3,"&lt;"&amp;$DF36,$B36:$Y36)+SUMIF($AD$3:$BA$3,"&gt;="&amp;$DG36,$B36:$Y36)),
IF(AX$3=$DF36+'Model Setup'!$I$7,SUMIF($AD$3:$BA$3,"="&amp;$DF36+'Model Setup'!$I$7,$B36:$Y36)+'Model Setup'!$I$8*(SUMIF($AD$3:$BA$3,"&lt;"&amp;$DF36,$B36:$Y36)+SUMIF($AD$3:$BA$3,"&gt;="&amp;$DG36,$B36:$Y36)),
IF(AX$3=$DF36+'Model Setup'!$J$7,SUMIF($AD$3:$BA$3,"="&amp;$DF36+'Model Setup'!$J$7,$B36:$Y36)+'Model Setup'!$J$8*(SUMIF($AD$3:$BA$3,"&lt;"&amp;$DF36,$B36:$Y36)+SUMIF($AD$3:$BA$3,"&gt;="&amp;$DG36,$B36:$Y36)),
IF(AX$3=$DF36+'Model Setup'!$K$7,SUMIF($AD$3:$BA$3,"="&amp;$DF36+'Model Setup'!$K$7,$B36:$Y36)+'Model Setup'!$K$8*(SUMIF($AD$3:$BA$3,"&lt;"&amp;$DF36,$B36:$Y36)+SUMIF($AD$3:$BA$3,"&gt;="&amp;$DG36,$B36:$Y36)),
IF(AX$3=$DF36+'Model Setup'!$L$7,SUMIF($AD$3:$BA$3,"="&amp;$DF36+'Model Setup'!$L$7,$B36:$Y36)+'Model Setup'!$L$8*(SUMIF($AD$3:$BA$3,"&lt;"&amp;$DF36,$B36:$Y36)+SUMIF($AD$3:$BA$3,"&gt;="&amp;$DG36,$B36:$Y36)),
IF(AX$3=$DF36+'Model Setup'!$M$7,SUMIF($AD$3:$BA$3,"="&amp;$DF36+'Model Setup'!$M$7,$B36:$Y36)+'Model Setup'!$M$8*(SUMIF($AD$3:$BA$3,"&lt;"&amp;$DF36,$B36:$Y36)+SUMIF($AD$3:$BA$3,"&gt;="&amp;$DG36,$B36:$Y36)),
IF(AX$3=$DF36+'Model Setup'!$N$7,SUMIF($AD$3:$BA$3,"="&amp;$DF36+'Model Setup'!$N$7,$B36:$Y36)+'Model Setup'!$N$8*(SUMIF($AD$3:$BA$3,"&lt;"&amp;$DF36,$B36:$Y36)+SUMIF($AD$3:$BA$3,"&gt;="&amp;$DG36,$B36:$Y36)),
IF(AX$3&lt;$DG36,V36,0))))))))))))))),0)</f>
        <v>0</v>
      </c>
      <c r="AY36" s="47">
        <f>ROUND(IF(AY$3&lt;$DF36,0,
IF(AY$3=$DF36+'Model Setup'!$B$7,SUMIF($AD$3:$BA$3,"="&amp;$DF36+'Model Setup'!$B$7,$B36:$Y36)+'Model Setup'!$B$8*(SUMIF($AD$3:$BA$3,"&lt;"&amp;$DF36,$B36:$Y36)+SUMIF($AD$3:$BA$3,"&gt;="&amp;$DG36,$B36:$Y36)),
IF(AY$3=$DF36+'Model Setup'!$C$7,SUMIF($AD$3:$BA$3,"="&amp;$DF36+'Model Setup'!$C$7,$B36:$Y36)+'Model Setup'!$C$8*(SUMIF($AD$3:$BA$3,"&lt;"&amp;$DF36,$B36:$Y36)+SUMIF($AD$3:$BA$3,"&gt;="&amp;$DG36,$B36:$Y36)),
IF(AY$3=$DF36+'Model Setup'!$D$7,SUMIF($AD$3:$BA$3,"="&amp;$DF36+'Model Setup'!$D$7,$B36:$Y36)+'Model Setup'!$D$8*(SUMIF($AD$3:$BA$3,"&lt;"&amp;$DF36,$B36:$Y36)+SUMIF($AD$3:$BA$3,"&gt;="&amp;$DG36,$B36:$Y36)),
IF(AY$3=$DF36+'Model Setup'!$E$7,SUMIF($AD$3:$BA$3,"="&amp;$DF36+'Model Setup'!$E$7,$B36:$Y36)+'Model Setup'!$E$8*(SUMIF($AD$3:$BA$3,"&lt;"&amp;$DF36,$B36:$Y36)+SUMIF($AD$3:$BA$3,"&gt;="&amp;$DG36,$B36:$Y36)),
IF(AY$3=$DF36+'Model Setup'!$F$7,SUMIF($AD$3:$BA$3,"="&amp;$DF36+'Model Setup'!$F$7,$B36:$Y36)+'Model Setup'!$F$8*(SUMIF($AD$3:$BA$3,"&lt;"&amp;$DF36,$B36:$Y36)+SUMIF($AD$3:$BA$3,"&gt;="&amp;$DG36,$B36:$Y36)),
IF(AY$3=$DF36+'Model Setup'!$G$7,SUMIF($AD$3:$BA$3,"="&amp;$DF36+'Model Setup'!$G$7,$B36:$Y36)+'Model Setup'!$G$8*(SUMIF($AD$3:$BA$3,"&lt;"&amp;$DF36,$B36:$Y36)+SUMIF($AD$3:$BA$3,"&gt;="&amp;$DG36,$B36:$Y36)),
IF(AY$3=$DF36+'Model Setup'!$H$7,SUMIF($AD$3:$BA$3,"="&amp;$DF36+'Model Setup'!$H$7,$B36:$Y36)+'Model Setup'!$H$8*(SUMIF($AD$3:$BA$3,"&lt;"&amp;$DF36,$B36:$Y36)+SUMIF($AD$3:$BA$3,"&gt;="&amp;$DG36,$B36:$Y36)),
IF(AY$3=$DF36+'Model Setup'!$I$7,SUMIF($AD$3:$BA$3,"="&amp;$DF36+'Model Setup'!$I$7,$B36:$Y36)+'Model Setup'!$I$8*(SUMIF($AD$3:$BA$3,"&lt;"&amp;$DF36,$B36:$Y36)+SUMIF($AD$3:$BA$3,"&gt;="&amp;$DG36,$B36:$Y36)),
IF(AY$3=$DF36+'Model Setup'!$J$7,SUMIF($AD$3:$BA$3,"="&amp;$DF36+'Model Setup'!$J$7,$B36:$Y36)+'Model Setup'!$J$8*(SUMIF($AD$3:$BA$3,"&lt;"&amp;$DF36,$B36:$Y36)+SUMIF($AD$3:$BA$3,"&gt;="&amp;$DG36,$B36:$Y36)),
IF(AY$3=$DF36+'Model Setup'!$K$7,SUMIF($AD$3:$BA$3,"="&amp;$DF36+'Model Setup'!$K$7,$B36:$Y36)+'Model Setup'!$K$8*(SUMIF($AD$3:$BA$3,"&lt;"&amp;$DF36,$B36:$Y36)+SUMIF($AD$3:$BA$3,"&gt;="&amp;$DG36,$B36:$Y36)),
IF(AY$3=$DF36+'Model Setup'!$L$7,SUMIF($AD$3:$BA$3,"="&amp;$DF36+'Model Setup'!$L$7,$B36:$Y36)+'Model Setup'!$L$8*(SUMIF($AD$3:$BA$3,"&lt;"&amp;$DF36,$B36:$Y36)+SUMIF($AD$3:$BA$3,"&gt;="&amp;$DG36,$B36:$Y36)),
IF(AY$3=$DF36+'Model Setup'!$M$7,SUMIF($AD$3:$BA$3,"="&amp;$DF36+'Model Setup'!$M$7,$B36:$Y36)+'Model Setup'!$M$8*(SUMIF($AD$3:$BA$3,"&lt;"&amp;$DF36,$B36:$Y36)+SUMIF($AD$3:$BA$3,"&gt;="&amp;$DG36,$B36:$Y36)),
IF(AY$3=$DF36+'Model Setup'!$N$7,SUMIF($AD$3:$BA$3,"="&amp;$DF36+'Model Setup'!$N$7,$B36:$Y36)+'Model Setup'!$N$8*(SUMIF($AD$3:$BA$3,"&lt;"&amp;$DF36,$B36:$Y36)+SUMIF($AD$3:$BA$3,"&gt;="&amp;$DG36,$B36:$Y36)),
IF(AY$3&lt;$DG36,W36,0))))))))))))))),0)</f>
        <v>0</v>
      </c>
      <c r="AZ36" s="47">
        <f>ROUND(IF(AZ$3&lt;$DF36,0,
IF(AZ$3=$DF36+'Model Setup'!$B$7,SUMIF($AD$3:$BA$3,"="&amp;$DF36+'Model Setup'!$B$7,$B36:$Y36)+'Model Setup'!$B$8*(SUMIF($AD$3:$BA$3,"&lt;"&amp;$DF36,$B36:$Y36)+SUMIF($AD$3:$BA$3,"&gt;="&amp;$DG36,$B36:$Y36)),
IF(AZ$3=$DF36+'Model Setup'!$C$7,SUMIF($AD$3:$BA$3,"="&amp;$DF36+'Model Setup'!$C$7,$B36:$Y36)+'Model Setup'!$C$8*(SUMIF($AD$3:$BA$3,"&lt;"&amp;$DF36,$B36:$Y36)+SUMIF($AD$3:$BA$3,"&gt;="&amp;$DG36,$B36:$Y36)),
IF(AZ$3=$DF36+'Model Setup'!$D$7,SUMIF($AD$3:$BA$3,"="&amp;$DF36+'Model Setup'!$D$7,$B36:$Y36)+'Model Setup'!$D$8*(SUMIF($AD$3:$BA$3,"&lt;"&amp;$DF36,$B36:$Y36)+SUMIF($AD$3:$BA$3,"&gt;="&amp;$DG36,$B36:$Y36)),
IF(AZ$3=$DF36+'Model Setup'!$E$7,SUMIF($AD$3:$BA$3,"="&amp;$DF36+'Model Setup'!$E$7,$B36:$Y36)+'Model Setup'!$E$8*(SUMIF($AD$3:$BA$3,"&lt;"&amp;$DF36,$B36:$Y36)+SUMIF($AD$3:$BA$3,"&gt;="&amp;$DG36,$B36:$Y36)),
IF(AZ$3=$DF36+'Model Setup'!$F$7,SUMIF($AD$3:$BA$3,"="&amp;$DF36+'Model Setup'!$F$7,$B36:$Y36)+'Model Setup'!$F$8*(SUMIF($AD$3:$BA$3,"&lt;"&amp;$DF36,$B36:$Y36)+SUMIF($AD$3:$BA$3,"&gt;="&amp;$DG36,$B36:$Y36)),
IF(AZ$3=$DF36+'Model Setup'!$G$7,SUMIF($AD$3:$BA$3,"="&amp;$DF36+'Model Setup'!$G$7,$B36:$Y36)+'Model Setup'!$G$8*(SUMIF($AD$3:$BA$3,"&lt;"&amp;$DF36,$B36:$Y36)+SUMIF($AD$3:$BA$3,"&gt;="&amp;$DG36,$B36:$Y36)),
IF(AZ$3=$DF36+'Model Setup'!$H$7,SUMIF($AD$3:$BA$3,"="&amp;$DF36+'Model Setup'!$H$7,$B36:$Y36)+'Model Setup'!$H$8*(SUMIF($AD$3:$BA$3,"&lt;"&amp;$DF36,$B36:$Y36)+SUMIF($AD$3:$BA$3,"&gt;="&amp;$DG36,$B36:$Y36)),
IF(AZ$3=$DF36+'Model Setup'!$I$7,SUMIF($AD$3:$BA$3,"="&amp;$DF36+'Model Setup'!$I$7,$B36:$Y36)+'Model Setup'!$I$8*(SUMIF($AD$3:$BA$3,"&lt;"&amp;$DF36,$B36:$Y36)+SUMIF($AD$3:$BA$3,"&gt;="&amp;$DG36,$B36:$Y36)),
IF(AZ$3=$DF36+'Model Setup'!$J$7,SUMIF($AD$3:$BA$3,"="&amp;$DF36+'Model Setup'!$J$7,$B36:$Y36)+'Model Setup'!$J$8*(SUMIF($AD$3:$BA$3,"&lt;"&amp;$DF36,$B36:$Y36)+SUMIF($AD$3:$BA$3,"&gt;="&amp;$DG36,$B36:$Y36)),
IF(AZ$3=$DF36+'Model Setup'!$K$7,SUMIF($AD$3:$BA$3,"="&amp;$DF36+'Model Setup'!$K$7,$B36:$Y36)+'Model Setup'!$K$8*(SUMIF($AD$3:$BA$3,"&lt;"&amp;$DF36,$B36:$Y36)+SUMIF($AD$3:$BA$3,"&gt;="&amp;$DG36,$B36:$Y36)),
IF(AZ$3=$DF36+'Model Setup'!$L$7,SUMIF($AD$3:$BA$3,"="&amp;$DF36+'Model Setup'!$L$7,$B36:$Y36)+'Model Setup'!$L$8*(SUMIF($AD$3:$BA$3,"&lt;"&amp;$DF36,$B36:$Y36)+SUMIF($AD$3:$BA$3,"&gt;="&amp;$DG36,$B36:$Y36)),
IF(AZ$3=$DF36+'Model Setup'!$M$7,SUMIF($AD$3:$BA$3,"="&amp;$DF36+'Model Setup'!$M$7,$B36:$Y36)+'Model Setup'!$M$8*(SUMIF($AD$3:$BA$3,"&lt;"&amp;$DF36,$B36:$Y36)+SUMIF($AD$3:$BA$3,"&gt;="&amp;$DG36,$B36:$Y36)),
IF(AZ$3=$DF36+'Model Setup'!$N$7,SUMIF($AD$3:$BA$3,"="&amp;$DF36+'Model Setup'!$N$7,$B36:$Y36)+'Model Setup'!$N$8*(SUMIF($AD$3:$BA$3,"&lt;"&amp;$DF36,$B36:$Y36)+SUMIF($AD$3:$BA$3,"&gt;="&amp;$DG36,$B36:$Y36)),
IF(AZ$3&lt;$DG36,X36,0))))))))))))))),0)</f>
        <v>0</v>
      </c>
      <c r="BA36" s="47">
        <f>ROUND(IF(BA$3&lt;$DF36,0,
IF(BA$3=$DF36+'Model Setup'!$B$7,SUMIF($AD$3:$BA$3,"="&amp;$DF36+'Model Setup'!$B$7,$B36:$Y36)+'Model Setup'!$B$8*(SUMIF($AD$3:$BA$3,"&lt;"&amp;$DF36,$B36:$Y36)+SUMIF($AD$3:$BA$3,"&gt;="&amp;$DG36,$B36:$Y36)),
IF(BA$3=$DF36+'Model Setup'!$C$7,SUMIF($AD$3:$BA$3,"="&amp;$DF36+'Model Setup'!$C$7,$B36:$Y36)+'Model Setup'!$C$8*(SUMIF($AD$3:$BA$3,"&lt;"&amp;$DF36,$B36:$Y36)+SUMIF($AD$3:$BA$3,"&gt;="&amp;$DG36,$B36:$Y36)),
IF(BA$3=$DF36+'Model Setup'!$D$7,SUMIF($AD$3:$BA$3,"="&amp;$DF36+'Model Setup'!$D$7,$B36:$Y36)+'Model Setup'!$D$8*(SUMIF($AD$3:$BA$3,"&lt;"&amp;$DF36,$B36:$Y36)+SUMIF($AD$3:$BA$3,"&gt;="&amp;$DG36,$B36:$Y36)),
IF(BA$3=$DF36+'Model Setup'!$E$7,SUMIF($AD$3:$BA$3,"="&amp;$DF36+'Model Setup'!$E$7,$B36:$Y36)+'Model Setup'!$E$8*(SUMIF($AD$3:$BA$3,"&lt;"&amp;$DF36,$B36:$Y36)+SUMIF($AD$3:$BA$3,"&gt;="&amp;$DG36,$B36:$Y36)),
IF(BA$3=$DF36+'Model Setup'!$F$7,SUMIF($AD$3:$BA$3,"="&amp;$DF36+'Model Setup'!$F$7,$B36:$Y36)+'Model Setup'!$F$8*(SUMIF($AD$3:$BA$3,"&lt;"&amp;$DF36,$B36:$Y36)+SUMIF($AD$3:$BA$3,"&gt;="&amp;$DG36,$B36:$Y36)),
IF(BA$3=$DF36+'Model Setup'!$G$7,SUMIF($AD$3:$BA$3,"="&amp;$DF36+'Model Setup'!$G$7,$B36:$Y36)+'Model Setup'!$G$8*(SUMIF($AD$3:$BA$3,"&lt;"&amp;$DF36,$B36:$Y36)+SUMIF($AD$3:$BA$3,"&gt;="&amp;$DG36,$B36:$Y36)),
IF(BA$3=$DF36+'Model Setup'!$H$7,SUMIF($AD$3:$BA$3,"="&amp;$DF36+'Model Setup'!$H$7,$B36:$Y36)+'Model Setup'!$H$8*(SUMIF($AD$3:$BA$3,"&lt;"&amp;$DF36,$B36:$Y36)+SUMIF($AD$3:$BA$3,"&gt;="&amp;$DG36,$B36:$Y36)),
IF(BA$3=$DF36+'Model Setup'!$I$7,SUMIF($AD$3:$BA$3,"="&amp;$DF36+'Model Setup'!$I$7,$B36:$Y36)+'Model Setup'!$I$8*(SUMIF($AD$3:$BA$3,"&lt;"&amp;$DF36,$B36:$Y36)+SUMIF($AD$3:$BA$3,"&gt;="&amp;$DG36,$B36:$Y36)),
IF(BA$3=$DF36+'Model Setup'!$J$7,SUMIF($AD$3:$BA$3,"="&amp;$DF36+'Model Setup'!$J$7,$B36:$Y36)+'Model Setup'!$J$8*(SUMIF($AD$3:$BA$3,"&lt;"&amp;$DF36,$B36:$Y36)+SUMIF($AD$3:$BA$3,"&gt;="&amp;$DG36,$B36:$Y36)),
IF(BA$3=$DF36+'Model Setup'!$K$7,SUMIF($AD$3:$BA$3,"="&amp;$DF36+'Model Setup'!$K$7,$B36:$Y36)+'Model Setup'!$K$8*(SUMIF($AD$3:$BA$3,"&lt;"&amp;$DF36,$B36:$Y36)+SUMIF($AD$3:$BA$3,"&gt;="&amp;$DG36,$B36:$Y36)),
IF(BA$3=$DF36+'Model Setup'!$L$7,SUMIF($AD$3:$BA$3,"="&amp;$DF36+'Model Setup'!$L$7,$B36:$Y36)+'Model Setup'!$L$8*(SUMIF($AD$3:$BA$3,"&lt;"&amp;$DF36,$B36:$Y36)+SUMIF($AD$3:$BA$3,"&gt;="&amp;$DG36,$B36:$Y36)),
IF(BA$3=$DF36+'Model Setup'!$M$7,SUMIF($AD$3:$BA$3,"="&amp;$DF36+'Model Setup'!$M$7,$B36:$Y36)+'Model Setup'!$M$8*(SUMIF($AD$3:$BA$3,"&lt;"&amp;$DF36,$B36:$Y36)+SUMIF($AD$3:$BA$3,"&gt;="&amp;$DG36,$B36:$Y36)),
IF(BA$3=$DF36+'Model Setup'!$N$7,SUMIF($AD$3:$BA$3,"="&amp;$DF36+'Model Setup'!$N$7,$B36:$Y36)+'Model Setup'!$N$8*(SUMIF($AD$3:$BA$3,"&lt;"&amp;$DF36,$B36:$Y36)+SUMIF($AD$3:$BA$3,"&gt;="&amp;$DG36,$B36:$Y36)),
IF(BA$3&lt;$DG36,Y36,0))))))))))))))),0)</f>
        <v>0</v>
      </c>
      <c r="BB36" s="47">
        <f t="shared" si="1"/>
        <v>1665</v>
      </c>
      <c r="BD36" t="b">
        <f t="shared" si="2"/>
        <v>0</v>
      </c>
      <c r="BE36">
        <f t="shared" si="8"/>
        <v>1</v>
      </c>
      <c r="BF36">
        <f>(FTC!F34-FTC!E34)*24</f>
        <v>13</v>
      </c>
      <c r="BG36" s="43" t="s">
        <v>51</v>
      </c>
      <c r="BH36" s="47">
        <f>ROUND(IF(OR(BH$3&lt;$DF36,BH$3&gt;$CW$4),0,
IF(BH$3=$DF36+'Model Setup'!$B$7,SUMIF($BH$3:$CE$3,"="&amp;$DF36+'Model Setup'!$B$7,$AD36:$BA36)+'Model Setup'!$B$8*(SUMIF($BH$3:$CE$3,"&lt;"&amp;$DF36,$AD36:$BA36)+SUMIF($BH$3:$CE$3,"&gt;"&amp;$CW$4,$AD36:$BA36)),
IF(BH$3=$DF36+'Model Setup'!$C$7,SUMIF($BH$3:$CE$3,"="&amp;$DF36+'Model Setup'!$C$7,$AD36:$BA36)+'Model Setup'!$C$8*(SUMIF($BH$3:$CE$3,"&lt;"&amp;$DF36,$AD36:$BA36)+SUMIF($BH$3:$CE$3,"&gt;"&amp;$CW$4,$AD36:$BA36)),
IF(BH$3=$DF36+'Model Setup'!$D$7,SUMIF($BH$3:$CE$3,"="&amp;$DF36+'Model Setup'!$D$7,$AD36:$BA36)+'Model Setup'!$D$8*(SUMIF($BH$3:$CE$3,"&lt;"&amp;$DF36,$AD36:$BA36)+SUMIF($BH$3:$CE$3,"&gt;"&amp;$CW$4,$AD36:$BA36)),
IF(BH$3=$DF36+'Model Setup'!$E$7,SUMIF($BH$3:$CE$3,"="&amp;$DF36+'Model Setup'!$E$7,$AD36:$BA36)+'Model Setup'!$E$8*(SUMIF($BH$3:$CE$3,"&lt;"&amp;$DF36,$AD36:$BA36)+SUMIF($BH$3:$CE$3,"&gt;"&amp;$CW$4,$AD36:$BA36)),
IF(BH$3=$DF36+'Model Setup'!$F$7,SUMIF($BH$3:$CE$3,"="&amp;$DF36+'Model Setup'!$F$7,$AD36:$BA36)+'Model Setup'!$F$8*(SUMIF($BH$3:$CE$3,"&lt;"&amp;$DF36,$AD36:$BA36)+SUMIF($BH$3:$CE$3,"&gt;"&amp;$CW$4,$AD36:$BA36)),
IF(BH$3=$DF36+'Model Setup'!$G$7,SUMIF($BH$3:$CE$3,"="&amp;$DF36+'Model Setup'!$G$7,$AD36:$BA36)+'Model Setup'!$G$8*(SUMIF($BH$3:$CE$3,"&lt;"&amp;$DF36,$AD36:$BA36)+SUMIF($BH$3:$CE$3,"&gt;"&amp;$CW$4,$AD36:$BA36)),
IF(BH$3=$DF36+'Model Setup'!$H$7,SUMIF($BH$3:$CE$3,"="&amp;$DF36+'Model Setup'!$H$7,$AD36:$BA36)+'Model Setup'!$H$8*(SUMIF($BH$3:$CE$3,"&lt;"&amp;$DF36,$AD36:$BA36)+SUMIF($BH$3:$CE$3,"&gt;"&amp;$CW$4,$AD36:$BA36)),
IF(BH$3=$DF36+'Model Setup'!$I$7,SUMIF($BH$3:$CE$3,"="&amp;$DF36+'Model Setup'!$I$7,$AD36:$BA36)+'Model Setup'!$I$8*(SUMIF($BH$3:$CE$3,"&lt;"&amp;$DF36,$AD36:$BA36)+SUMIF($BH$3:$CE$3,"&gt;"&amp;$CW$4,$AD36:$BA36)),
IF(BH$3=$DF36+'Model Setup'!$J$7,SUMIF($BH$3:$CE$3,"="&amp;$DF36+'Model Setup'!$J$7,$AD36:$BA36)+'Model Setup'!$J$8*(SUMIF($BH$3:$CE$3,"&lt;"&amp;$DF36,$AD36:$BA36)+SUMIF($BH$3:$CE$3,"&gt;"&amp;$CW$4,$AD36:$BA36)),
IF(BH$3=$DF36+'Model Setup'!$K$7,SUMIF($BH$3:$CE$3,"="&amp;$DF36+'Model Setup'!$K$7,$AD36:$BA36)+'Model Setup'!$K$8*(SUMIF($BH$3:$CE$3,"&lt;"&amp;$DF36,$AD36:$BA36)+SUMIF($BH$3:$CE$3,"&gt;"&amp;$CW$4,$AD36:$BA36)),
IF(BH$3=$DF36+'Model Setup'!$L$7,SUMIF($BH$3:$CE$3,"="&amp;$DF36+'Model Setup'!$L$7,$AD36:$BA36)+'Model Setup'!$L$8*(SUMIF($BH$3:$CE$3,"&lt;"&amp;$DF36,$AD36:$BA36)+SUMIF($BH$3:$CE$3,"&gt;"&amp;$CW$4,$AD36:$BA36)),
IF(BH$3=$DF36+'Model Setup'!$M$7,SUMIF($BH$3:$CE$3,"="&amp;$DF36+'Model Setup'!$M$7,$AD36:$BA36)+'Model Setup'!$M$8*(SUMIF($BH$3:$CE$3,"&lt;"&amp;$DF36,$AD36:$BA36)+SUMIF($BH$3:$CE$3,"&gt;"&amp;$CW$4,$AD36:$BA36)),
IF(BH$3=$DF36+'Model Setup'!$N$7,SUMIF($BH$3:$CE$3,"="&amp;$DF36+'Model Setup'!$N$7,$AD36:$BA36)+'Model Setup'!$N$8*(SUMIF($BH$3:$CE$3,"&lt;"&amp;$DF36,$AD36:$BA36)+SUMIF($BH$3:$CE$3,"&gt;"&amp;$CW$4,$AD36:$BA36)),
IF(BH$3&lt;$CW$4,B36,0))))))))))))))),0)</f>
        <v>0</v>
      </c>
      <c r="BI36" s="47">
        <f>ROUND(IF(OR(BI$3&lt;$DF36,BI$3&gt;$CW$4),0,
IF(BI$3=$DF36+'Model Setup'!$B$7,SUMIF($BH$3:$CE$3,"="&amp;$DF36+'Model Setup'!$B$7,$AD36:$BA36)+'Model Setup'!$B$8*(SUMIF($BH$3:$CE$3,"&lt;"&amp;$DF36,$AD36:$BA36)+SUMIF($BH$3:$CE$3,"&gt;"&amp;$CW$4,$AD36:$BA36)),
IF(BI$3=$DF36+'Model Setup'!$C$7,SUMIF($BH$3:$CE$3,"="&amp;$DF36+'Model Setup'!$C$7,$AD36:$BA36)+'Model Setup'!$C$8*(SUMIF($BH$3:$CE$3,"&lt;"&amp;$DF36,$AD36:$BA36)+SUMIF($BH$3:$CE$3,"&gt;"&amp;$CW$4,$AD36:$BA36)),
IF(BI$3=$DF36+'Model Setup'!$D$7,SUMIF($BH$3:$CE$3,"="&amp;$DF36+'Model Setup'!$D$7,$AD36:$BA36)+'Model Setup'!$D$8*(SUMIF($BH$3:$CE$3,"&lt;"&amp;$DF36,$AD36:$BA36)+SUMIF($BH$3:$CE$3,"&gt;"&amp;$CW$4,$AD36:$BA36)),
IF(BI$3=$DF36+'Model Setup'!$E$7,SUMIF($BH$3:$CE$3,"="&amp;$DF36+'Model Setup'!$E$7,$AD36:$BA36)+'Model Setup'!$E$8*(SUMIF($BH$3:$CE$3,"&lt;"&amp;$DF36,$AD36:$BA36)+SUMIF($BH$3:$CE$3,"&gt;"&amp;$CW$4,$AD36:$BA36)),
IF(BI$3=$DF36+'Model Setup'!$F$7,SUMIF($BH$3:$CE$3,"="&amp;$DF36+'Model Setup'!$F$7,$AD36:$BA36)+'Model Setup'!$F$8*(SUMIF($BH$3:$CE$3,"&lt;"&amp;$DF36,$AD36:$BA36)+SUMIF($BH$3:$CE$3,"&gt;"&amp;$CW$4,$AD36:$BA36)),
IF(BI$3=$DF36+'Model Setup'!$G$7,SUMIF($BH$3:$CE$3,"="&amp;$DF36+'Model Setup'!$G$7,$AD36:$BA36)+'Model Setup'!$G$8*(SUMIF($BH$3:$CE$3,"&lt;"&amp;$DF36,$AD36:$BA36)+SUMIF($BH$3:$CE$3,"&gt;"&amp;$CW$4,$AD36:$BA36)),
IF(BI$3=$DF36+'Model Setup'!$H$7,SUMIF($BH$3:$CE$3,"="&amp;$DF36+'Model Setup'!$H$7,$AD36:$BA36)+'Model Setup'!$H$8*(SUMIF($BH$3:$CE$3,"&lt;"&amp;$DF36,$AD36:$BA36)+SUMIF($BH$3:$CE$3,"&gt;"&amp;$CW$4,$AD36:$BA36)),
IF(BI$3=$DF36+'Model Setup'!$I$7,SUMIF($BH$3:$CE$3,"="&amp;$DF36+'Model Setup'!$I$7,$AD36:$BA36)+'Model Setup'!$I$8*(SUMIF($BH$3:$CE$3,"&lt;"&amp;$DF36,$AD36:$BA36)+SUMIF($BH$3:$CE$3,"&gt;"&amp;$CW$4,$AD36:$BA36)),
IF(BI$3=$DF36+'Model Setup'!$J$7,SUMIF($BH$3:$CE$3,"="&amp;$DF36+'Model Setup'!$J$7,$AD36:$BA36)+'Model Setup'!$J$8*(SUMIF($BH$3:$CE$3,"&lt;"&amp;$DF36,$AD36:$BA36)+SUMIF($BH$3:$CE$3,"&gt;"&amp;$CW$4,$AD36:$BA36)),
IF(BI$3=$DF36+'Model Setup'!$K$7,SUMIF($BH$3:$CE$3,"="&amp;$DF36+'Model Setup'!$K$7,$AD36:$BA36)+'Model Setup'!$K$8*(SUMIF($BH$3:$CE$3,"&lt;"&amp;$DF36,$AD36:$BA36)+SUMIF($BH$3:$CE$3,"&gt;"&amp;$CW$4,$AD36:$BA36)),
IF(BI$3=$DF36+'Model Setup'!$L$7,SUMIF($BH$3:$CE$3,"="&amp;$DF36+'Model Setup'!$L$7,$AD36:$BA36)+'Model Setup'!$L$8*(SUMIF($BH$3:$CE$3,"&lt;"&amp;$DF36,$AD36:$BA36)+SUMIF($BH$3:$CE$3,"&gt;"&amp;$CW$4,$AD36:$BA36)),
IF(BI$3=$DF36+'Model Setup'!$M$7,SUMIF($BH$3:$CE$3,"="&amp;$DF36+'Model Setup'!$M$7,$AD36:$BA36)+'Model Setup'!$M$8*(SUMIF($BH$3:$CE$3,"&lt;"&amp;$DF36,$AD36:$BA36)+SUMIF($BH$3:$CE$3,"&gt;"&amp;$CW$4,$AD36:$BA36)),
IF(BI$3=$DF36+'Model Setup'!$N$7,SUMIF($BH$3:$CE$3,"="&amp;$DF36+'Model Setup'!$N$7,$AD36:$BA36)+'Model Setup'!$N$8*(SUMIF($BH$3:$CE$3,"&lt;"&amp;$DF36,$AD36:$BA36)+SUMIF($BH$3:$CE$3,"&gt;"&amp;$CW$4,$AD36:$BA36)),
IF(BI$3&lt;$CW$4,C36,0))))))))))))))),0)</f>
        <v>0</v>
      </c>
      <c r="BJ36" s="47">
        <f>ROUND(IF(OR(BJ$3&lt;$DF36,BJ$3&gt;$CW$4),0,
IF(BJ$3=$DF36+'Model Setup'!$B$7,SUMIF($BH$3:$CE$3,"="&amp;$DF36+'Model Setup'!$B$7,$AD36:$BA36)+'Model Setup'!$B$8*(SUMIF($BH$3:$CE$3,"&lt;"&amp;$DF36,$AD36:$BA36)+SUMIF($BH$3:$CE$3,"&gt;"&amp;$CW$4,$AD36:$BA36)),
IF(BJ$3=$DF36+'Model Setup'!$C$7,SUMIF($BH$3:$CE$3,"="&amp;$DF36+'Model Setup'!$C$7,$AD36:$BA36)+'Model Setup'!$C$8*(SUMIF($BH$3:$CE$3,"&lt;"&amp;$DF36,$AD36:$BA36)+SUMIF($BH$3:$CE$3,"&gt;"&amp;$CW$4,$AD36:$BA36)),
IF(BJ$3=$DF36+'Model Setup'!$D$7,SUMIF($BH$3:$CE$3,"="&amp;$DF36+'Model Setup'!$D$7,$AD36:$BA36)+'Model Setup'!$D$8*(SUMIF($BH$3:$CE$3,"&lt;"&amp;$DF36,$AD36:$BA36)+SUMIF($BH$3:$CE$3,"&gt;"&amp;$CW$4,$AD36:$BA36)),
IF(BJ$3=$DF36+'Model Setup'!$E$7,SUMIF($BH$3:$CE$3,"="&amp;$DF36+'Model Setup'!$E$7,$AD36:$BA36)+'Model Setup'!$E$8*(SUMIF($BH$3:$CE$3,"&lt;"&amp;$DF36,$AD36:$BA36)+SUMIF($BH$3:$CE$3,"&gt;"&amp;$CW$4,$AD36:$BA36)),
IF(BJ$3=$DF36+'Model Setup'!$F$7,SUMIF($BH$3:$CE$3,"="&amp;$DF36+'Model Setup'!$F$7,$AD36:$BA36)+'Model Setup'!$F$8*(SUMIF($BH$3:$CE$3,"&lt;"&amp;$DF36,$AD36:$BA36)+SUMIF($BH$3:$CE$3,"&gt;"&amp;$CW$4,$AD36:$BA36)),
IF(BJ$3=$DF36+'Model Setup'!$G$7,SUMIF($BH$3:$CE$3,"="&amp;$DF36+'Model Setup'!$G$7,$AD36:$BA36)+'Model Setup'!$G$8*(SUMIF($BH$3:$CE$3,"&lt;"&amp;$DF36,$AD36:$BA36)+SUMIF($BH$3:$CE$3,"&gt;"&amp;$CW$4,$AD36:$BA36)),
IF(BJ$3=$DF36+'Model Setup'!$H$7,SUMIF($BH$3:$CE$3,"="&amp;$DF36+'Model Setup'!$H$7,$AD36:$BA36)+'Model Setup'!$H$8*(SUMIF($BH$3:$CE$3,"&lt;"&amp;$DF36,$AD36:$BA36)+SUMIF($BH$3:$CE$3,"&gt;"&amp;$CW$4,$AD36:$BA36)),
IF(BJ$3=$DF36+'Model Setup'!$I$7,SUMIF($BH$3:$CE$3,"="&amp;$DF36+'Model Setup'!$I$7,$AD36:$BA36)+'Model Setup'!$I$8*(SUMIF($BH$3:$CE$3,"&lt;"&amp;$DF36,$AD36:$BA36)+SUMIF($BH$3:$CE$3,"&gt;"&amp;$CW$4,$AD36:$BA36)),
IF(BJ$3=$DF36+'Model Setup'!$J$7,SUMIF($BH$3:$CE$3,"="&amp;$DF36+'Model Setup'!$J$7,$AD36:$BA36)+'Model Setup'!$J$8*(SUMIF($BH$3:$CE$3,"&lt;"&amp;$DF36,$AD36:$BA36)+SUMIF($BH$3:$CE$3,"&gt;"&amp;$CW$4,$AD36:$BA36)),
IF(BJ$3=$DF36+'Model Setup'!$K$7,SUMIF($BH$3:$CE$3,"="&amp;$DF36+'Model Setup'!$K$7,$AD36:$BA36)+'Model Setup'!$K$8*(SUMIF($BH$3:$CE$3,"&lt;"&amp;$DF36,$AD36:$BA36)+SUMIF($BH$3:$CE$3,"&gt;"&amp;$CW$4,$AD36:$BA36)),
IF(BJ$3=$DF36+'Model Setup'!$L$7,SUMIF($BH$3:$CE$3,"="&amp;$DF36+'Model Setup'!$L$7,$AD36:$BA36)+'Model Setup'!$L$8*(SUMIF($BH$3:$CE$3,"&lt;"&amp;$DF36,$AD36:$BA36)+SUMIF($BH$3:$CE$3,"&gt;"&amp;$CW$4,$AD36:$BA36)),
IF(BJ$3=$DF36+'Model Setup'!$M$7,SUMIF($BH$3:$CE$3,"="&amp;$DF36+'Model Setup'!$M$7,$AD36:$BA36)+'Model Setup'!$M$8*(SUMIF($BH$3:$CE$3,"&lt;"&amp;$DF36,$AD36:$BA36)+SUMIF($BH$3:$CE$3,"&gt;"&amp;$CW$4,$AD36:$BA36)),
IF(BJ$3=$DF36+'Model Setup'!$N$7,SUMIF($BH$3:$CE$3,"="&amp;$DF36+'Model Setup'!$N$7,$AD36:$BA36)+'Model Setup'!$N$8*(SUMIF($BH$3:$CE$3,"&lt;"&amp;$DF36,$AD36:$BA36)+SUMIF($BH$3:$CE$3,"&gt;"&amp;$CW$4,$AD36:$BA36)),
IF(BJ$3&lt;$CW$4,D36,0))))))))))))))),0)</f>
        <v>0</v>
      </c>
      <c r="BK36" s="47">
        <f>ROUND(IF(OR(BK$3&lt;$DF36,BK$3&gt;$CW$4),0,
IF(BK$3=$DF36+'Model Setup'!$B$7,SUMIF($BH$3:$CE$3,"="&amp;$DF36+'Model Setup'!$B$7,$AD36:$BA36)+'Model Setup'!$B$8*(SUMIF($BH$3:$CE$3,"&lt;"&amp;$DF36,$AD36:$BA36)+SUMIF($BH$3:$CE$3,"&gt;"&amp;$CW$4,$AD36:$BA36)),
IF(BK$3=$DF36+'Model Setup'!$C$7,SUMIF($BH$3:$CE$3,"="&amp;$DF36+'Model Setup'!$C$7,$AD36:$BA36)+'Model Setup'!$C$8*(SUMIF($BH$3:$CE$3,"&lt;"&amp;$DF36,$AD36:$BA36)+SUMIF($BH$3:$CE$3,"&gt;"&amp;$CW$4,$AD36:$BA36)),
IF(BK$3=$DF36+'Model Setup'!$D$7,SUMIF($BH$3:$CE$3,"="&amp;$DF36+'Model Setup'!$D$7,$AD36:$BA36)+'Model Setup'!$D$8*(SUMIF($BH$3:$CE$3,"&lt;"&amp;$DF36,$AD36:$BA36)+SUMIF($BH$3:$CE$3,"&gt;"&amp;$CW$4,$AD36:$BA36)),
IF(BK$3=$DF36+'Model Setup'!$E$7,SUMIF($BH$3:$CE$3,"="&amp;$DF36+'Model Setup'!$E$7,$AD36:$BA36)+'Model Setup'!$E$8*(SUMIF($BH$3:$CE$3,"&lt;"&amp;$DF36,$AD36:$BA36)+SUMIF($BH$3:$CE$3,"&gt;"&amp;$CW$4,$AD36:$BA36)),
IF(BK$3=$DF36+'Model Setup'!$F$7,SUMIF($BH$3:$CE$3,"="&amp;$DF36+'Model Setup'!$F$7,$AD36:$BA36)+'Model Setup'!$F$8*(SUMIF($BH$3:$CE$3,"&lt;"&amp;$DF36,$AD36:$BA36)+SUMIF($BH$3:$CE$3,"&gt;"&amp;$CW$4,$AD36:$BA36)),
IF(BK$3=$DF36+'Model Setup'!$G$7,SUMIF($BH$3:$CE$3,"="&amp;$DF36+'Model Setup'!$G$7,$AD36:$BA36)+'Model Setup'!$G$8*(SUMIF($BH$3:$CE$3,"&lt;"&amp;$DF36,$AD36:$BA36)+SUMIF($BH$3:$CE$3,"&gt;"&amp;$CW$4,$AD36:$BA36)),
IF(BK$3=$DF36+'Model Setup'!$H$7,SUMIF($BH$3:$CE$3,"="&amp;$DF36+'Model Setup'!$H$7,$AD36:$BA36)+'Model Setup'!$H$8*(SUMIF($BH$3:$CE$3,"&lt;"&amp;$DF36,$AD36:$BA36)+SUMIF($BH$3:$CE$3,"&gt;"&amp;$CW$4,$AD36:$BA36)),
IF(BK$3=$DF36+'Model Setup'!$I$7,SUMIF($BH$3:$CE$3,"="&amp;$DF36+'Model Setup'!$I$7,$AD36:$BA36)+'Model Setup'!$I$8*(SUMIF($BH$3:$CE$3,"&lt;"&amp;$DF36,$AD36:$BA36)+SUMIF($BH$3:$CE$3,"&gt;"&amp;$CW$4,$AD36:$BA36)),
IF(BK$3=$DF36+'Model Setup'!$J$7,SUMIF($BH$3:$CE$3,"="&amp;$DF36+'Model Setup'!$J$7,$AD36:$BA36)+'Model Setup'!$J$8*(SUMIF($BH$3:$CE$3,"&lt;"&amp;$DF36,$AD36:$BA36)+SUMIF($BH$3:$CE$3,"&gt;"&amp;$CW$4,$AD36:$BA36)),
IF(BK$3=$DF36+'Model Setup'!$K$7,SUMIF($BH$3:$CE$3,"="&amp;$DF36+'Model Setup'!$K$7,$AD36:$BA36)+'Model Setup'!$K$8*(SUMIF($BH$3:$CE$3,"&lt;"&amp;$DF36,$AD36:$BA36)+SUMIF($BH$3:$CE$3,"&gt;"&amp;$CW$4,$AD36:$BA36)),
IF(BK$3=$DF36+'Model Setup'!$L$7,SUMIF($BH$3:$CE$3,"="&amp;$DF36+'Model Setup'!$L$7,$AD36:$BA36)+'Model Setup'!$L$8*(SUMIF($BH$3:$CE$3,"&lt;"&amp;$DF36,$AD36:$BA36)+SUMIF($BH$3:$CE$3,"&gt;"&amp;$CW$4,$AD36:$BA36)),
IF(BK$3=$DF36+'Model Setup'!$M$7,SUMIF($BH$3:$CE$3,"="&amp;$DF36+'Model Setup'!$M$7,$AD36:$BA36)+'Model Setup'!$M$8*(SUMIF($BH$3:$CE$3,"&lt;"&amp;$DF36,$AD36:$BA36)+SUMIF($BH$3:$CE$3,"&gt;"&amp;$CW$4,$AD36:$BA36)),
IF(BK$3=$DF36+'Model Setup'!$N$7,SUMIF($BH$3:$CE$3,"="&amp;$DF36+'Model Setup'!$N$7,$AD36:$BA36)+'Model Setup'!$N$8*(SUMIF($BH$3:$CE$3,"&lt;"&amp;$DF36,$AD36:$BA36)+SUMIF($BH$3:$CE$3,"&gt;"&amp;$CW$4,$AD36:$BA36)),
IF(BK$3&lt;$CW$4,E36,0))))))))))))))),0)</f>
        <v>0</v>
      </c>
      <c r="BL36" s="47">
        <f>ROUND(IF(OR(BL$3&lt;$DF36,BL$3&gt;$CW$4),0,
IF(BL$3=$DF36+'Model Setup'!$B$7,SUMIF($BH$3:$CE$3,"="&amp;$DF36+'Model Setup'!$B$7,$AD36:$BA36)+'Model Setup'!$B$8*(SUMIF($BH$3:$CE$3,"&lt;"&amp;$DF36,$AD36:$BA36)+SUMIF($BH$3:$CE$3,"&gt;"&amp;$CW$4,$AD36:$BA36)),
IF(BL$3=$DF36+'Model Setup'!$C$7,SUMIF($BH$3:$CE$3,"="&amp;$DF36+'Model Setup'!$C$7,$AD36:$BA36)+'Model Setup'!$C$8*(SUMIF($BH$3:$CE$3,"&lt;"&amp;$DF36,$AD36:$BA36)+SUMIF($BH$3:$CE$3,"&gt;"&amp;$CW$4,$AD36:$BA36)),
IF(BL$3=$DF36+'Model Setup'!$D$7,SUMIF($BH$3:$CE$3,"="&amp;$DF36+'Model Setup'!$D$7,$AD36:$BA36)+'Model Setup'!$D$8*(SUMIF($BH$3:$CE$3,"&lt;"&amp;$DF36,$AD36:$BA36)+SUMIF($BH$3:$CE$3,"&gt;"&amp;$CW$4,$AD36:$BA36)),
IF(BL$3=$DF36+'Model Setup'!$E$7,SUMIF($BH$3:$CE$3,"="&amp;$DF36+'Model Setup'!$E$7,$AD36:$BA36)+'Model Setup'!$E$8*(SUMIF($BH$3:$CE$3,"&lt;"&amp;$DF36,$AD36:$BA36)+SUMIF($BH$3:$CE$3,"&gt;"&amp;$CW$4,$AD36:$BA36)),
IF(BL$3=$DF36+'Model Setup'!$F$7,SUMIF($BH$3:$CE$3,"="&amp;$DF36+'Model Setup'!$F$7,$AD36:$BA36)+'Model Setup'!$F$8*(SUMIF($BH$3:$CE$3,"&lt;"&amp;$DF36,$AD36:$BA36)+SUMIF($BH$3:$CE$3,"&gt;"&amp;$CW$4,$AD36:$BA36)),
IF(BL$3=$DF36+'Model Setup'!$G$7,SUMIF($BH$3:$CE$3,"="&amp;$DF36+'Model Setup'!$G$7,$AD36:$BA36)+'Model Setup'!$G$8*(SUMIF($BH$3:$CE$3,"&lt;"&amp;$DF36,$AD36:$BA36)+SUMIF($BH$3:$CE$3,"&gt;"&amp;$CW$4,$AD36:$BA36)),
IF(BL$3=$DF36+'Model Setup'!$H$7,SUMIF($BH$3:$CE$3,"="&amp;$DF36+'Model Setup'!$H$7,$AD36:$BA36)+'Model Setup'!$H$8*(SUMIF($BH$3:$CE$3,"&lt;"&amp;$DF36,$AD36:$BA36)+SUMIF($BH$3:$CE$3,"&gt;"&amp;$CW$4,$AD36:$BA36)),
IF(BL$3=$DF36+'Model Setup'!$I$7,SUMIF($BH$3:$CE$3,"="&amp;$DF36+'Model Setup'!$I$7,$AD36:$BA36)+'Model Setup'!$I$8*(SUMIF($BH$3:$CE$3,"&lt;"&amp;$DF36,$AD36:$BA36)+SUMIF($BH$3:$CE$3,"&gt;"&amp;$CW$4,$AD36:$BA36)),
IF(BL$3=$DF36+'Model Setup'!$J$7,SUMIF($BH$3:$CE$3,"="&amp;$DF36+'Model Setup'!$J$7,$AD36:$BA36)+'Model Setup'!$J$8*(SUMIF($BH$3:$CE$3,"&lt;"&amp;$DF36,$AD36:$BA36)+SUMIF($BH$3:$CE$3,"&gt;"&amp;$CW$4,$AD36:$BA36)),
IF(BL$3=$DF36+'Model Setup'!$K$7,SUMIF($BH$3:$CE$3,"="&amp;$DF36+'Model Setup'!$K$7,$AD36:$BA36)+'Model Setup'!$K$8*(SUMIF($BH$3:$CE$3,"&lt;"&amp;$DF36,$AD36:$BA36)+SUMIF($BH$3:$CE$3,"&gt;"&amp;$CW$4,$AD36:$BA36)),
IF(BL$3=$DF36+'Model Setup'!$L$7,SUMIF($BH$3:$CE$3,"="&amp;$DF36+'Model Setup'!$L$7,$AD36:$BA36)+'Model Setup'!$L$8*(SUMIF($BH$3:$CE$3,"&lt;"&amp;$DF36,$AD36:$BA36)+SUMIF($BH$3:$CE$3,"&gt;"&amp;$CW$4,$AD36:$BA36)),
IF(BL$3=$DF36+'Model Setup'!$M$7,SUMIF($BH$3:$CE$3,"="&amp;$DF36+'Model Setup'!$M$7,$AD36:$BA36)+'Model Setup'!$M$8*(SUMIF($BH$3:$CE$3,"&lt;"&amp;$DF36,$AD36:$BA36)+SUMIF($BH$3:$CE$3,"&gt;"&amp;$CW$4,$AD36:$BA36)),
IF(BL$3=$DF36+'Model Setup'!$N$7,SUMIF($BH$3:$CE$3,"="&amp;$DF36+'Model Setup'!$N$7,$AD36:$BA36)+'Model Setup'!$N$8*(SUMIF($BH$3:$CE$3,"&lt;"&amp;$DF36,$AD36:$BA36)+SUMIF($BH$3:$CE$3,"&gt;"&amp;$CW$4,$AD36:$BA36)),
IF(BL$3&lt;$CW$4,F36,0))))))))))))))),0)</f>
        <v>0</v>
      </c>
      <c r="BM36" s="47">
        <f>ROUND(IF(OR(BM$3&lt;$DF36,BM$3&gt;$CW$4),0,
IF(BM$3=$DF36+'Model Setup'!$B$7,SUMIF($BH$3:$CE$3,"="&amp;$DF36+'Model Setup'!$B$7,$AD36:$BA36)+'Model Setup'!$B$8*(SUMIF($BH$3:$CE$3,"&lt;"&amp;$DF36,$AD36:$BA36)+SUMIF($BH$3:$CE$3,"&gt;"&amp;$CW$4,$AD36:$BA36)),
IF(BM$3=$DF36+'Model Setup'!$C$7,SUMIF($BH$3:$CE$3,"="&amp;$DF36+'Model Setup'!$C$7,$AD36:$BA36)+'Model Setup'!$C$8*(SUMIF($BH$3:$CE$3,"&lt;"&amp;$DF36,$AD36:$BA36)+SUMIF($BH$3:$CE$3,"&gt;"&amp;$CW$4,$AD36:$BA36)),
IF(BM$3=$DF36+'Model Setup'!$D$7,SUMIF($BH$3:$CE$3,"="&amp;$DF36+'Model Setup'!$D$7,$AD36:$BA36)+'Model Setup'!$D$8*(SUMIF($BH$3:$CE$3,"&lt;"&amp;$DF36,$AD36:$BA36)+SUMIF($BH$3:$CE$3,"&gt;"&amp;$CW$4,$AD36:$BA36)),
IF(BM$3=$DF36+'Model Setup'!$E$7,SUMIF($BH$3:$CE$3,"="&amp;$DF36+'Model Setup'!$E$7,$AD36:$BA36)+'Model Setup'!$E$8*(SUMIF($BH$3:$CE$3,"&lt;"&amp;$DF36,$AD36:$BA36)+SUMIF($BH$3:$CE$3,"&gt;"&amp;$CW$4,$AD36:$BA36)),
IF(BM$3=$DF36+'Model Setup'!$F$7,SUMIF($BH$3:$CE$3,"="&amp;$DF36+'Model Setup'!$F$7,$AD36:$BA36)+'Model Setup'!$F$8*(SUMIF($BH$3:$CE$3,"&lt;"&amp;$DF36,$AD36:$BA36)+SUMIF($BH$3:$CE$3,"&gt;"&amp;$CW$4,$AD36:$BA36)),
IF(BM$3=$DF36+'Model Setup'!$G$7,SUMIF($BH$3:$CE$3,"="&amp;$DF36+'Model Setup'!$G$7,$AD36:$BA36)+'Model Setup'!$G$8*(SUMIF($BH$3:$CE$3,"&lt;"&amp;$DF36,$AD36:$BA36)+SUMIF($BH$3:$CE$3,"&gt;"&amp;$CW$4,$AD36:$BA36)),
IF(BM$3=$DF36+'Model Setup'!$H$7,SUMIF($BH$3:$CE$3,"="&amp;$DF36+'Model Setup'!$H$7,$AD36:$BA36)+'Model Setup'!$H$8*(SUMIF($BH$3:$CE$3,"&lt;"&amp;$DF36,$AD36:$BA36)+SUMIF($BH$3:$CE$3,"&gt;"&amp;$CW$4,$AD36:$BA36)),
IF(BM$3=$DF36+'Model Setup'!$I$7,SUMIF($BH$3:$CE$3,"="&amp;$DF36+'Model Setup'!$I$7,$AD36:$BA36)+'Model Setup'!$I$8*(SUMIF($BH$3:$CE$3,"&lt;"&amp;$DF36,$AD36:$BA36)+SUMIF($BH$3:$CE$3,"&gt;"&amp;$CW$4,$AD36:$BA36)),
IF(BM$3=$DF36+'Model Setup'!$J$7,SUMIF($BH$3:$CE$3,"="&amp;$DF36+'Model Setup'!$J$7,$AD36:$BA36)+'Model Setup'!$J$8*(SUMIF($BH$3:$CE$3,"&lt;"&amp;$DF36,$AD36:$BA36)+SUMIF($BH$3:$CE$3,"&gt;"&amp;$CW$4,$AD36:$BA36)),
IF(BM$3=$DF36+'Model Setup'!$K$7,SUMIF($BH$3:$CE$3,"="&amp;$DF36+'Model Setup'!$K$7,$AD36:$BA36)+'Model Setup'!$K$8*(SUMIF($BH$3:$CE$3,"&lt;"&amp;$DF36,$AD36:$BA36)+SUMIF($BH$3:$CE$3,"&gt;"&amp;$CW$4,$AD36:$BA36)),
IF(BM$3=$DF36+'Model Setup'!$L$7,SUMIF($BH$3:$CE$3,"="&amp;$DF36+'Model Setup'!$L$7,$AD36:$BA36)+'Model Setup'!$L$8*(SUMIF($BH$3:$CE$3,"&lt;"&amp;$DF36,$AD36:$BA36)+SUMIF($BH$3:$CE$3,"&gt;"&amp;$CW$4,$AD36:$BA36)),
IF(BM$3=$DF36+'Model Setup'!$M$7,SUMIF($BH$3:$CE$3,"="&amp;$DF36+'Model Setup'!$M$7,$AD36:$BA36)+'Model Setup'!$M$8*(SUMIF($BH$3:$CE$3,"&lt;"&amp;$DF36,$AD36:$BA36)+SUMIF($BH$3:$CE$3,"&gt;"&amp;$CW$4,$AD36:$BA36)),
IF(BM$3=$DF36+'Model Setup'!$N$7,SUMIF($BH$3:$CE$3,"="&amp;$DF36+'Model Setup'!$N$7,$AD36:$BA36)+'Model Setup'!$N$8*(SUMIF($BH$3:$CE$3,"&lt;"&amp;$DF36,$AD36:$BA36)+SUMIF($BH$3:$CE$3,"&gt;"&amp;$CW$4,$AD36:$BA36)),
IF(BM$3&lt;$CW$4,G36,0))))))))))))))),0)</f>
        <v>48</v>
      </c>
      <c r="BN36" s="47">
        <f>ROUND(IF(OR(BN$3&lt;$DF36,BN$3&gt;$CW$4),0,
IF(BN$3=$DF36+'Model Setup'!$B$7,SUMIF($BH$3:$CE$3,"="&amp;$DF36+'Model Setup'!$B$7,$AD36:$BA36)+'Model Setup'!$B$8*(SUMIF($BH$3:$CE$3,"&lt;"&amp;$DF36,$AD36:$BA36)+SUMIF($BH$3:$CE$3,"&gt;"&amp;$CW$4,$AD36:$BA36)),
IF(BN$3=$DF36+'Model Setup'!$C$7,SUMIF($BH$3:$CE$3,"="&amp;$DF36+'Model Setup'!$C$7,$AD36:$BA36)+'Model Setup'!$C$8*(SUMIF($BH$3:$CE$3,"&lt;"&amp;$DF36,$AD36:$BA36)+SUMIF($BH$3:$CE$3,"&gt;"&amp;$CW$4,$AD36:$BA36)),
IF(BN$3=$DF36+'Model Setup'!$D$7,SUMIF($BH$3:$CE$3,"="&amp;$DF36+'Model Setup'!$D$7,$AD36:$BA36)+'Model Setup'!$D$8*(SUMIF($BH$3:$CE$3,"&lt;"&amp;$DF36,$AD36:$BA36)+SUMIF($BH$3:$CE$3,"&gt;"&amp;$CW$4,$AD36:$BA36)),
IF(BN$3=$DF36+'Model Setup'!$E$7,SUMIF($BH$3:$CE$3,"="&amp;$DF36+'Model Setup'!$E$7,$AD36:$BA36)+'Model Setup'!$E$8*(SUMIF($BH$3:$CE$3,"&lt;"&amp;$DF36,$AD36:$BA36)+SUMIF($BH$3:$CE$3,"&gt;"&amp;$CW$4,$AD36:$BA36)),
IF(BN$3=$DF36+'Model Setup'!$F$7,SUMIF($BH$3:$CE$3,"="&amp;$DF36+'Model Setup'!$F$7,$AD36:$BA36)+'Model Setup'!$F$8*(SUMIF($BH$3:$CE$3,"&lt;"&amp;$DF36,$AD36:$BA36)+SUMIF($BH$3:$CE$3,"&gt;"&amp;$CW$4,$AD36:$BA36)),
IF(BN$3=$DF36+'Model Setup'!$G$7,SUMIF($BH$3:$CE$3,"="&amp;$DF36+'Model Setup'!$G$7,$AD36:$BA36)+'Model Setup'!$G$8*(SUMIF($BH$3:$CE$3,"&lt;"&amp;$DF36,$AD36:$BA36)+SUMIF($BH$3:$CE$3,"&gt;"&amp;$CW$4,$AD36:$BA36)),
IF(BN$3=$DF36+'Model Setup'!$H$7,SUMIF($BH$3:$CE$3,"="&amp;$DF36+'Model Setup'!$H$7,$AD36:$BA36)+'Model Setup'!$H$8*(SUMIF($BH$3:$CE$3,"&lt;"&amp;$DF36,$AD36:$BA36)+SUMIF($BH$3:$CE$3,"&gt;"&amp;$CW$4,$AD36:$BA36)),
IF(BN$3=$DF36+'Model Setup'!$I$7,SUMIF($BH$3:$CE$3,"="&amp;$DF36+'Model Setup'!$I$7,$AD36:$BA36)+'Model Setup'!$I$8*(SUMIF($BH$3:$CE$3,"&lt;"&amp;$DF36,$AD36:$BA36)+SUMIF($BH$3:$CE$3,"&gt;"&amp;$CW$4,$AD36:$BA36)),
IF(BN$3=$DF36+'Model Setup'!$J$7,SUMIF($BH$3:$CE$3,"="&amp;$DF36+'Model Setup'!$J$7,$AD36:$BA36)+'Model Setup'!$J$8*(SUMIF($BH$3:$CE$3,"&lt;"&amp;$DF36,$AD36:$BA36)+SUMIF($BH$3:$CE$3,"&gt;"&amp;$CW$4,$AD36:$BA36)),
IF(BN$3=$DF36+'Model Setup'!$K$7,SUMIF($BH$3:$CE$3,"="&amp;$DF36+'Model Setup'!$K$7,$AD36:$BA36)+'Model Setup'!$K$8*(SUMIF($BH$3:$CE$3,"&lt;"&amp;$DF36,$AD36:$BA36)+SUMIF($BH$3:$CE$3,"&gt;"&amp;$CW$4,$AD36:$BA36)),
IF(BN$3=$DF36+'Model Setup'!$L$7,SUMIF($BH$3:$CE$3,"="&amp;$DF36+'Model Setup'!$L$7,$AD36:$BA36)+'Model Setup'!$L$8*(SUMIF($BH$3:$CE$3,"&lt;"&amp;$DF36,$AD36:$BA36)+SUMIF($BH$3:$CE$3,"&gt;"&amp;$CW$4,$AD36:$BA36)),
IF(BN$3=$DF36+'Model Setup'!$M$7,SUMIF($BH$3:$CE$3,"="&amp;$DF36+'Model Setup'!$M$7,$AD36:$BA36)+'Model Setup'!$M$8*(SUMIF($BH$3:$CE$3,"&lt;"&amp;$DF36,$AD36:$BA36)+SUMIF($BH$3:$CE$3,"&gt;"&amp;$CW$4,$AD36:$BA36)),
IF(BN$3=$DF36+'Model Setup'!$N$7,SUMIF($BH$3:$CE$3,"="&amp;$DF36+'Model Setup'!$N$7,$AD36:$BA36)+'Model Setup'!$N$8*(SUMIF($BH$3:$CE$3,"&lt;"&amp;$DF36,$AD36:$BA36)+SUMIF($BH$3:$CE$3,"&gt;"&amp;$CW$4,$AD36:$BA36)),
IF(BN$3&lt;$CW$4,H36,0))))))))))))))),0)</f>
        <v>142</v>
      </c>
      <c r="BO36" s="47">
        <f>ROUND(IF(OR(BO$3&lt;$DF36,BO$3&gt;$CW$4),0,
IF(BO$3=$DF36+'Model Setup'!$B$7,SUMIF($BH$3:$CE$3,"="&amp;$DF36+'Model Setup'!$B$7,$AD36:$BA36)+'Model Setup'!$B$8*(SUMIF($BH$3:$CE$3,"&lt;"&amp;$DF36,$AD36:$BA36)+SUMIF($BH$3:$CE$3,"&gt;"&amp;$CW$4,$AD36:$BA36)),
IF(BO$3=$DF36+'Model Setup'!$C$7,SUMIF($BH$3:$CE$3,"="&amp;$DF36+'Model Setup'!$C$7,$AD36:$BA36)+'Model Setup'!$C$8*(SUMIF($BH$3:$CE$3,"&lt;"&amp;$DF36,$AD36:$BA36)+SUMIF($BH$3:$CE$3,"&gt;"&amp;$CW$4,$AD36:$BA36)),
IF(BO$3=$DF36+'Model Setup'!$D$7,SUMIF($BH$3:$CE$3,"="&amp;$DF36+'Model Setup'!$D$7,$AD36:$BA36)+'Model Setup'!$D$8*(SUMIF($BH$3:$CE$3,"&lt;"&amp;$DF36,$AD36:$BA36)+SUMIF($BH$3:$CE$3,"&gt;"&amp;$CW$4,$AD36:$BA36)),
IF(BO$3=$DF36+'Model Setup'!$E$7,SUMIF($BH$3:$CE$3,"="&amp;$DF36+'Model Setup'!$E$7,$AD36:$BA36)+'Model Setup'!$E$8*(SUMIF($BH$3:$CE$3,"&lt;"&amp;$DF36,$AD36:$BA36)+SUMIF($BH$3:$CE$3,"&gt;"&amp;$CW$4,$AD36:$BA36)),
IF(BO$3=$DF36+'Model Setup'!$F$7,SUMIF($BH$3:$CE$3,"="&amp;$DF36+'Model Setup'!$F$7,$AD36:$BA36)+'Model Setup'!$F$8*(SUMIF($BH$3:$CE$3,"&lt;"&amp;$DF36,$AD36:$BA36)+SUMIF($BH$3:$CE$3,"&gt;"&amp;$CW$4,$AD36:$BA36)),
IF(BO$3=$DF36+'Model Setup'!$G$7,SUMIF($BH$3:$CE$3,"="&amp;$DF36+'Model Setup'!$G$7,$AD36:$BA36)+'Model Setup'!$G$8*(SUMIF($BH$3:$CE$3,"&lt;"&amp;$DF36,$AD36:$BA36)+SUMIF($BH$3:$CE$3,"&gt;"&amp;$CW$4,$AD36:$BA36)),
IF(BO$3=$DF36+'Model Setup'!$H$7,SUMIF($BH$3:$CE$3,"="&amp;$DF36+'Model Setup'!$H$7,$AD36:$BA36)+'Model Setup'!$H$8*(SUMIF($BH$3:$CE$3,"&lt;"&amp;$DF36,$AD36:$BA36)+SUMIF($BH$3:$CE$3,"&gt;"&amp;$CW$4,$AD36:$BA36)),
IF(BO$3=$DF36+'Model Setup'!$I$7,SUMIF($BH$3:$CE$3,"="&amp;$DF36+'Model Setup'!$I$7,$AD36:$BA36)+'Model Setup'!$I$8*(SUMIF($BH$3:$CE$3,"&lt;"&amp;$DF36,$AD36:$BA36)+SUMIF($BH$3:$CE$3,"&gt;"&amp;$CW$4,$AD36:$BA36)),
IF(BO$3=$DF36+'Model Setup'!$J$7,SUMIF($BH$3:$CE$3,"="&amp;$DF36+'Model Setup'!$J$7,$AD36:$BA36)+'Model Setup'!$J$8*(SUMIF($BH$3:$CE$3,"&lt;"&amp;$DF36,$AD36:$BA36)+SUMIF($BH$3:$CE$3,"&gt;"&amp;$CW$4,$AD36:$BA36)),
IF(BO$3=$DF36+'Model Setup'!$K$7,SUMIF($BH$3:$CE$3,"="&amp;$DF36+'Model Setup'!$K$7,$AD36:$BA36)+'Model Setup'!$K$8*(SUMIF($BH$3:$CE$3,"&lt;"&amp;$DF36,$AD36:$BA36)+SUMIF($BH$3:$CE$3,"&gt;"&amp;$CW$4,$AD36:$BA36)),
IF(BO$3=$DF36+'Model Setup'!$L$7,SUMIF($BH$3:$CE$3,"="&amp;$DF36+'Model Setup'!$L$7,$AD36:$BA36)+'Model Setup'!$L$8*(SUMIF($BH$3:$CE$3,"&lt;"&amp;$DF36,$AD36:$BA36)+SUMIF($BH$3:$CE$3,"&gt;"&amp;$CW$4,$AD36:$BA36)),
IF(BO$3=$DF36+'Model Setup'!$M$7,SUMIF($BH$3:$CE$3,"="&amp;$DF36+'Model Setup'!$M$7,$AD36:$BA36)+'Model Setup'!$M$8*(SUMIF($BH$3:$CE$3,"&lt;"&amp;$DF36,$AD36:$BA36)+SUMIF($BH$3:$CE$3,"&gt;"&amp;$CW$4,$AD36:$BA36)),
IF(BO$3=$DF36+'Model Setup'!$N$7,SUMIF($BH$3:$CE$3,"="&amp;$DF36+'Model Setup'!$N$7,$AD36:$BA36)+'Model Setup'!$N$8*(SUMIF($BH$3:$CE$3,"&lt;"&amp;$DF36,$AD36:$BA36)+SUMIF($BH$3:$CE$3,"&gt;"&amp;$CW$4,$AD36:$BA36)),
IF(BO$3&lt;$CW$4,I36,0))))))))))))))),0)</f>
        <v>156</v>
      </c>
      <c r="BP36" s="47">
        <f>ROUND(IF(OR(BP$3&lt;$DF36,BP$3&gt;$CW$4),0,
IF(BP$3=$DF36+'Model Setup'!$B$7,SUMIF($BH$3:$CE$3,"="&amp;$DF36+'Model Setup'!$B$7,$AD36:$BA36)+'Model Setup'!$B$8*(SUMIF($BH$3:$CE$3,"&lt;"&amp;$DF36,$AD36:$BA36)+SUMIF($BH$3:$CE$3,"&gt;"&amp;$CW$4,$AD36:$BA36)),
IF(BP$3=$DF36+'Model Setup'!$C$7,SUMIF($BH$3:$CE$3,"="&amp;$DF36+'Model Setup'!$C$7,$AD36:$BA36)+'Model Setup'!$C$8*(SUMIF($BH$3:$CE$3,"&lt;"&amp;$DF36,$AD36:$BA36)+SUMIF($BH$3:$CE$3,"&gt;"&amp;$CW$4,$AD36:$BA36)),
IF(BP$3=$DF36+'Model Setup'!$D$7,SUMIF($BH$3:$CE$3,"="&amp;$DF36+'Model Setup'!$D$7,$AD36:$BA36)+'Model Setup'!$D$8*(SUMIF($BH$3:$CE$3,"&lt;"&amp;$DF36,$AD36:$BA36)+SUMIF($BH$3:$CE$3,"&gt;"&amp;$CW$4,$AD36:$BA36)),
IF(BP$3=$DF36+'Model Setup'!$E$7,SUMIF($BH$3:$CE$3,"="&amp;$DF36+'Model Setup'!$E$7,$AD36:$BA36)+'Model Setup'!$E$8*(SUMIF($BH$3:$CE$3,"&lt;"&amp;$DF36,$AD36:$BA36)+SUMIF($BH$3:$CE$3,"&gt;"&amp;$CW$4,$AD36:$BA36)),
IF(BP$3=$DF36+'Model Setup'!$F$7,SUMIF($BH$3:$CE$3,"="&amp;$DF36+'Model Setup'!$F$7,$AD36:$BA36)+'Model Setup'!$F$8*(SUMIF($BH$3:$CE$3,"&lt;"&amp;$DF36,$AD36:$BA36)+SUMIF($BH$3:$CE$3,"&gt;"&amp;$CW$4,$AD36:$BA36)),
IF(BP$3=$DF36+'Model Setup'!$G$7,SUMIF($BH$3:$CE$3,"="&amp;$DF36+'Model Setup'!$G$7,$AD36:$BA36)+'Model Setup'!$G$8*(SUMIF($BH$3:$CE$3,"&lt;"&amp;$DF36,$AD36:$BA36)+SUMIF($BH$3:$CE$3,"&gt;"&amp;$CW$4,$AD36:$BA36)),
IF(BP$3=$DF36+'Model Setup'!$H$7,SUMIF($BH$3:$CE$3,"="&amp;$DF36+'Model Setup'!$H$7,$AD36:$BA36)+'Model Setup'!$H$8*(SUMIF($BH$3:$CE$3,"&lt;"&amp;$DF36,$AD36:$BA36)+SUMIF($BH$3:$CE$3,"&gt;"&amp;$CW$4,$AD36:$BA36)),
IF(BP$3=$DF36+'Model Setup'!$I$7,SUMIF($BH$3:$CE$3,"="&amp;$DF36+'Model Setup'!$I$7,$AD36:$BA36)+'Model Setup'!$I$8*(SUMIF($BH$3:$CE$3,"&lt;"&amp;$DF36,$AD36:$BA36)+SUMIF($BH$3:$CE$3,"&gt;"&amp;$CW$4,$AD36:$BA36)),
IF(BP$3=$DF36+'Model Setup'!$J$7,SUMIF($BH$3:$CE$3,"="&amp;$DF36+'Model Setup'!$J$7,$AD36:$BA36)+'Model Setup'!$J$8*(SUMIF($BH$3:$CE$3,"&lt;"&amp;$DF36,$AD36:$BA36)+SUMIF($BH$3:$CE$3,"&gt;"&amp;$CW$4,$AD36:$BA36)),
IF(BP$3=$DF36+'Model Setup'!$K$7,SUMIF($BH$3:$CE$3,"="&amp;$DF36+'Model Setup'!$K$7,$AD36:$BA36)+'Model Setup'!$K$8*(SUMIF($BH$3:$CE$3,"&lt;"&amp;$DF36,$AD36:$BA36)+SUMIF($BH$3:$CE$3,"&gt;"&amp;$CW$4,$AD36:$BA36)),
IF(BP$3=$DF36+'Model Setup'!$L$7,SUMIF($BH$3:$CE$3,"="&amp;$DF36+'Model Setup'!$L$7,$AD36:$BA36)+'Model Setup'!$L$8*(SUMIF($BH$3:$CE$3,"&lt;"&amp;$DF36,$AD36:$BA36)+SUMIF($BH$3:$CE$3,"&gt;"&amp;$CW$4,$AD36:$BA36)),
IF(BP$3=$DF36+'Model Setup'!$M$7,SUMIF($BH$3:$CE$3,"="&amp;$DF36+'Model Setup'!$M$7,$AD36:$BA36)+'Model Setup'!$M$8*(SUMIF($BH$3:$CE$3,"&lt;"&amp;$DF36,$AD36:$BA36)+SUMIF($BH$3:$CE$3,"&gt;"&amp;$CW$4,$AD36:$BA36)),
IF(BP$3=$DF36+'Model Setup'!$N$7,SUMIF($BH$3:$CE$3,"="&amp;$DF36+'Model Setup'!$N$7,$AD36:$BA36)+'Model Setup'!$N$8*(SUMIF($BH$3:$CE$3,"&lt;"&amp;$DF36,$AD36:$BA36)+SUMIF($BH$3:$CE$3,"&gt;"&amp;$CW$4,$AD36:$BA36)),
IF(BP$3&lt;$CW$4,J36,0))))))))))))))),0)</f>
        <v>176</v>
      </c>
      <c r="BQ36" s="47">
        <f>ROUND(IF(OR(BQ$3&lt;$DF36,BQ$3&gt;$CW$4),0,
IF(BQ$3=$DF36+'Model Setup'!$B$7,SUMIF($BH$3:$CE$3,"="&amp;$DF36+'Model Setup'!$B$7,$AD36:$BA36)+'Model Setup'!$B$8*(SUMIF($BH$3:$CE$3,"&lt;"&amp;$DF36,$AD36:$BA36)+SUMIF($BH$3:$CE$3,"&gt;"&amp;$CW$4,$AD36:$BA36)),
IF(BQ$3=$DF36+'Model Setup'!$C$7,SUMIF($BH$3:$CE$3,"="&amp;$DF36+'Model Setup'!$C$7,$AD36:$BA36)+'Model Setup'!$C$8*(SUMIF($BH$3:$CE$3,"&lt;"&amp;$DF36,$AD36:$BA36)+SUMIF($BH$3:$CE$3,"&gt;"&amp;$CW$4,$AD36:$BA36)),
IF(BQ$3=$DF36+'Model Setup'!$D$7,SUMIF($BH$3:$CE$3,"="&amp;$DF36+'Model Setup'!$D$7,$AD36:$BA36)+'Model Setup'!$D$8*(SUMIF($BH$3:$CE$3,"&lt;"&amp;$DF36,$AD36:$BA36)+SUMIF($BH$3:$CE$3,"&gt;"&amp;$CW$4,$AD36:$BA36)),
IF(BQ$3=$DF36+'Model Setup'!$E$7,SUMIF($BH$3:$CE$3,"="&amp;$DF36+'Model Setup'!$E$7,$AD36:$BA36)+'Model Setup'!$E$8*(SUMIF($BH$3:$CE$3,"&lt;"&amp;$DF36,$AD36:$BA36)+SUMIF($BH$3:$CE$3,"&gt;"&amp;$CW$4,$AD36:$BA36)),
IF(BQ$3=$DF36+'Model Setup'!$F$7,SUMIF($BH$3:$CE$3,"="&amp;$DF36+'Model Setup'!$F$7,$AD36:$BA36)+'Model Setup'!$F$8*(SUMIF($BH$3:$CE$3,"&lt;"&amp;$DF36,$AD36:$BA36)+SUMIF($BH$3:$CE$3,"&gt;"&amp;$CW$4,$AD36:$BA36)),
IF(BQ$3=$DF36+'Model Setup'!$G$7,SUMIF($BH$3:$CE$3,"="&amp;$DF36+'Model Setup'!$G$7,$AD36:$BA36)+'Model Setup'!$G$8*(SUMIF($BH$3:$CE$3,"&lt;"&amp;$DF36,$AD36:$BA36)+SUMIF($BH$3:$CE$3,"&gt;"&amp;$CW$4,$AD36:$BA36)),
IF(BQ$3=$DF36+'Model Setup'!$H$7,SUMIF($BH$3:$CE$3,"="&amp;$DF36+'Model Setup'!$H$7,$AD36:$BA36)+'Model Setup'!$H$8*(SUMIF($BH$3:$CE$3,"&lt;"&amp;$DF36,$AD36:$BA36)+SUMIF($BH$3:$CE$3,"&gt;"&amp;$CW$4,$AD36:$BA36)),
IF(BQ$3=$DF36+'Model Setup'!$I$7,SUMIF($BH$3:$CE$3,"="&amp;$DF36+'Model Setup'!$I$7,$AD36:$BA36)+'Model Setup'!$I$8*(SUMIF($BH$3:$CE$3,"&lt;"&amp;$DF36,$AD36:$BA36)+SUMIF($BH$3:$CE$3,"&gt;"&amp;$CW$4,$AD36:$BA36)),
IF(BQ$3=$DF36+'Model Setup'!$J$7,SUMIF($BH$3:$CE$3,"="&amp;$DF36+'Model Setup'!$J$7,$AD36:$BA36)+'Model Setup'!$J$8*(SUMIF($BH$3:$CE$3,"&lt;"&amp;$DF36,$AD36:$BA36)+SUMIF($BH$3:$CE$3,"&gt;"&amp;$CW$4,$AD36:$BA36)),
IF(BQ$3=$DF36+'Model Setup'!$K$7,SUMIF($BH$3:$CE$3,"="&amp;$DF36+'Model Setup'!$K$7,$AD36:$BA36)+'Model Setup'!$K$8*(SUMIF($BH$3:$CE$3,"&lt;"&amp;$DF36,$AD36:$BA36)+SUMIF($BH$3:$CE$3,"&gt;"&amp;$CW$4,$AD36:$BA36)),
IF(BQ$3=$DF36+'Model Setup'!$L$7,SUMIF($BH$3:$CE$3,"="&amp;$DF36+'Model Setup'!$L$7,$AD36:$BA36)+'Model Setup'!$L$8*(SUMIF($BH$3:$CE$3,"&lt;"&amp;$DF36,$AD36:$BA36)+SUMIF($BH$3:$CE$3,"&gt;"&amp;$CW$4,$AD36:$BA36)),
IF(BQ$3=$DF36+'Model Setup'!$M$7,SUMIF($BH$3:$CE$3,"="&amp;$DF36+'Model Setup'!$M$7,$AD36:$BA36)+'Model Setup'!$M$8*(SUMIF($BH$3:$CE$3,"&lt;"&amp;$DF36,$AD36:$BA36)+SUMIF($BH$3:$CE$3,"&gt;"&amp;$CW$4,$AD36:$BA36)),
IF(BQ$3=$DF36+'Model Setup'!$N$7,SUMIF($BH$3:$CE$3,"="&amp;$DF36+'Model Setup'!$N$7,$AD36:$BA36)+'Model Setup'!$N$8*(SUMIF($BH$3:$CE$3,"&lt;"&amp;$DF36,$AD36:$BA36)+SUMIF($BH$3:$CE$3,"&gt;"&amp;$CW$4,$AD36:$BA36)),
IF(BQ$3&lt;$CW$4,K36,0))))))))))))))),0)</f>
        <v>208</v>
      </c>
      <c r="BR36" s="47">
        <f>ROUND(IF(OR(BR$3&lt;$DF36,BR$3&gt;$CW$4),0,
IF(BR$3=$DF36+'Model Setup'!$B$7,SUMIF($BH$3:$CE$3,"="&amp;$DF36+'Model Setup'!$B$7,$AD36:$BA36)+'Model Setup'!$B$8*(SUMIF($BH$3:$CE$3,"&lt;"&amp;$DF36,$AD36:$BA36)+SUMIF($BH$3:$CE$3,"&gt;"&amp;$CW$4,$AD36:$BA36)),
IF(BR$3=$DF36+'Model Setup'!$C$7,SUMIF($BH$3:$CE$3,"="&amp;$DF36+'Model Setup'!$C$7,$AD36:$BA36)+'Model Setup'!$C$8*(SUMIF($BH$3:$CE$3,"&lt;"&amp;$DF36,$AD36:$BA36)+SUMIF($BH$3:$CE$3,"&gt;"&amp;$CW$4,$AD36:$BA36)),
IF(BR$3=$DF36+'Model Setup'!$D$7,SUMIF($BH$3:$CE$3,"="&amp;$DF36+'Model Setup'!$D$7,$AD36:$BA36)+'Model Setup'!$D$8*(SUMIF($BH$3:$CE$3,"&lt;"&amp;$DF36,$AD36:$BA36)+SUMIF($BH$3:$CE$3,"&gt;"&amp;$CW$4,$AD36:$BA36)),
IF(BR$3=$DF36+'Model Setup'!$E$7,SUMIF($BH$3:$CE$3,"="&amp;$DF36+'Model Setup'!$E$7,$AD36:$BA36)+'Model Setup'!$E$8*(SUMIF($BH$3:$CE$3,"&lt;"&amp;$DF36,$AD36:$BA36)+SUMIF($BH$3:$CE$3,"&gt;"&amp;$CW$4,$AD36:$BA36)),
IF(BR$3=$DF36+'Model Setup'!$F$7,SUMIF($BH$3:$CE$3,"="&amp;$DF36+'Model Setup'!$F$7,$AD36:$BA36)+'Model Setup'!$F$8*(SUMIF($BH$3:$CE$3,"&lt;"&amp;$DF36,$AD36:$BA36)+SUMIF($BH$3:$CE$3,"&gt;"&amp;$CW$4,$AD36:$BA36)),
IF(BR$3=$DF36+'Model Setup'!$G$7,SUMIF($BH$3:$CE$3,"="&amp;$DF36+'Model Setup'!$G$7,$AD36:$BA36)+'Model Setup'!$G$8*(SUMIF($BH$3:$CE$3,"&lt;"&amp;$DF36,$AD36:$BA36)+SUMIF($BH$3:$CE$3,"&gt;"&amp;$CW$4,$AD36:$BA36)),
IF(BR$3=$DF36+'Model Setup'!$H$7,SUMIF($BH$3:$CE$3,"="&amp;$DF36+'Model Setup'!$H$7,$AD36:$BA36)+'Model Setup'!$H$8*(SUMIF($BH$3:$CE$3,"&lt;"&amp;$DF36,$AD36:$BA36)+SUMIF($BH$3:$CE$3,"&gt;"&amp;$CW$4,$AD36:$BA36)),
IF(BR$3=$DF36+'Model Setup'!$I$7,SUMIF($BH$3:$CE$3,"="&amp;$DF36+'Model Setup'!$I$7,$AD36:$BA36)+'Model Setup'!$I$8*(SUMIF($BH$3:$CE$3,"&lt;"&amp;$DF36,$AD36:$BA36)+SUMIF($BH$3:$CE$3,"&gt;"&amp;$CW$4,$AD36:$BA36)),
IF(BR$3=$DF36+'Model Setup'!$J$7,SUMIF($BH$3:$CE$3,"="&amp;$DF36+'Model Setup'!$J$7,$AD36:$BA36)+'Model Setup'!$J$8*(SUMIF($BH$3:$CE$3,"&lt;"&amp;$DF36,$AD36:$BA36)+SUMIF($BH$3:$CE$3,"&gt;"&amp;$CW$4,$AD36:$BA36)),
IF(BR$3=$DF36+'Model Setup'!$K$7,SUMIF($BH$3:$CE$3,"="&amp;$DF36+'Model Setup'!$K$7,$AD36:$BA36)+'Model Setup'!$K$8*(SUMIF($BH$3:$CE$3,"&lt;"&amp;$DF36,$AD36:$BA36)+SUMIF($BH$3:$CE$3,"&gt;"&amp;$CW$4,$AD36:$BA36)),
IF(BR$3=$DF36+'Model Setup'!$L$7,SUMIF($BH$3:$CE$3,"="&amp;$DF36+'Model Setup'!$L$7,$AD36:$BA36)+'Model Setup'!$L$8*(SUMIF($BH$3:$CE$3,"&lt;"&amp;$DF36,$AD36:$BA36)+SUMIF($BH$3:$CE$3,"&gt;"&amp;$CW$4,$AD36:$BA36)),
IF(BR$3=$DF36+'Model Setup'!$M$7,SUMIF($BH$3:$CE$3,"="&amp;$DF36+'Model Setup'!$M$7,$AD36:$BA36)+'Model Setup'!$M$8*(SUMIF($BH$3:$CE$3,"&lt;"&amp;$DF36,$AD36:$BA36)+SUMIF($BH$3:$CE$3,"&gt;"&amp;$CW$4,$AD36:$BA36)),
IF(BR$3=$DF36+'Model Setup'!$N$7,SUMIF($BH$3:$CE$3,"="&amp;$DF36+'Model Setup'!$N$7,$AD36:$BA36)+'Model Setup'!$N$8*(SUMIF($BH$3:$CE$3,"&lt;"&amp;$DF36,$AD36:$BA36)+SUMIF($BH$3:$CE$3,"&gt;"&amp;$CW$4,$AD36:$BA36)),
IF(BR$3&lt;$CW$4,L36,0))))))))))))))),0)</f>
        <v>180</v>
      </c>
      <c r="BS36" s="47">
        <f>ROUND(IF(OR(BS$3&lt;$DF36,BS$3&gt;$CW$4),0,
IF(BS$3=$DF36+'Model Setup'!$B$7,SUMIF($BH$3:$CE$3,"="&amp;$DF36+'Model Setup'!$B$7,$AD36:$BA36)+'Model Setup'!$B$8*(SUMIF($BH$3:$CE$3,"&lt;"&amp;$DF36,$AD36:$BA36)+SUMIF($BH$3:$CE$3,"&gt;"&amp;$CW$4,$AD36:$BA36)),
IF(BS$3=$DF36+'Model Setup'!$C$7,SUMIF($BH$3:$CE$3,"="&amp;$DF36+'Model Setup'!$C$7,$AD36:$BA36)+'Model Setup'!$C$8*(SUMIF($BH$3:$CE$3,"&lt;"&amp;$DF36,$AD36:$BA36)+SUMIF($BH$3:$CE$3,"&gt;"&amp;$CW$4,$AD36:$BA36)),
IF(BS$3=$DF36+'Model Setup'!$D$7,SUMIF($BH$3:$CE$3,"="&amp;$DF36+'Model Setup'!$D$7,$AD36:$BA36)+'Model Setup'!$D$8*(SUMIF($BH$3:$CE$3,"&lt;"&amp;$DF36,$AD36:$BA36)+SUMIF($BH$3:$CE$3,"&gt;"&amp;$CW$4,$AD36:$BA36)),
IF(BS$3=$DF36+'Model Setup'!$E$7,SUMIF($BH$3:$CE$3,"="&amp;$DF36+'Model Setup'!$E$7,$AD36:$BA36)+'Model Setup'!$E$8*(SUMIF($BH$3:$CE$3,"&lt;"&amp;$DF36,$AD36:$BA36)+SUMIF($BH$3:$CE$3,"&gt;"&amp;$CW$4,$AD36:$BA36)),
IF(BS$3=$DF36+'Model Setup'!$F$7,SUMIF($BH$3:$CE$3,"="&amp;$DF36+'Model Setup'!$F$7,$AD36:$BA36)+'Model Setup'!$F$8*(SUMIF($BH$3:$CE$3,"&lt;"&amp;$DF36,$AD36:$BA36)+SUMIF($BH$3:$CE$3,"&gt;"&amp;$CW$4,$AD36:$BA36)),
IF(BS$3=$DF36+'Model Setup'!$G$7,SUMIF($BH$3:$CE$3,"="&amp;$DF36+'Model Setup'!$G$7,$AD36:$BA36)+'Model Setup'!$G$8*(SUMIF($BH$3:$CE$3,"&lt;"&amp;$DF36,$AD36:$BA36)+SUMIF($BH$3:$CE$3,"&gt;"&amp;$CW$4,$AD36:$BA36)),
IF(BS$3=$DF36+'Model Setup'!$H$7,SUMIF($BH$3:$CE$3,"="&amp;$DF36+'Model Setup'!$H$7,$AD36:$BA36)+'Model Setup'!$H$8*(SUMIF($BH$3:$CE$3,"&lt;"&amp;$DF36,$AD36:$BA36)+SUMIF($BH$3:$CE$3,"&gt;"&amp;$CW$4,$AD36:$BA36)),
IF(BS$3=$DF36+'Model Setup'!$I$7,SUMIF($BH$3:$CE$3,"="&amp;$DF36+'Model Setup'!$I$7,$AD36:$BA36)+'Model Setup'!$I$8*(SUMIF($BH$3:$CE$3,"&lt;"&amp;$DF36,$AD36:$BA36)+SUMIF($BH$3:$CE$3,"&gt;"&amp;$CW$4,$AD36:$BA36)),
IF(BS$3=$DF36+'Model Setup'!$J$7,SUMIF($BH$3:$CE$3,"="&amp;$DF36+'Model Setup'!$J$7,$AD36:$BA36)+'Model Setup'!$J$8*(SUMIF($BH$3:$CE$3,"&lt;"&amp;$DF36,$AD36:$BA36)+SUMIF($BH$3:$CE$3,"&gt;"&amp;$CW$4,$AD36:$BA36)),
IF(BS$3=$DF36+'Model Setup'!$K$7,SUMIF($BH$3:$CE$3,"="&amp;$DF36+'Model Setup'!$K$7,$AD36:$BA36)+'Model Setup'!$K$8*(SUMIF($BH$3:$CE$3,"&lt;"&amp;$DF36,$AD36:$BA36)+SUMIF($BH$3:$CE$3,"&gt;"&amp;$CW$4,$AD36:$BA36)),
IF(BS$3=$DF36+'Model Setup'!$L$7,SUMIF($BH$3:$CE$3,"="&amp;$DF36+'Model Setup'!$L$7,$AD36:$BA36)+'Model Setup'!$L$8*(SUMIF($BH$3:$CE$3,"&lt;"&amp;$DF36,$AD36:$BA36)+SUMIF($BH$3:$CE$3,"&gt;"&amp;$CW$4,$AD36:$BA36)),
IF(BS$3=$DF36+'Model Setup'!$M$7,SUMIF($BH$3:$CE$3,"="&amp;$DF36+'Model Setup'!$M$7,$AD36:$BA36)+'Model Setup'!$M$8*(SUMIF($BH$3:$CE$3,"&lt;"&amp;$DF36,$AD36:$BA36)+SUMIF($BH$3:$CE$3,"&gt;"&amp;$CW$4,$AD36:$BA36)),
IF(BS$3=$DF36+'Model Setup'!$N$7,SUMIF($BH$3:$CE$3,"="&amp;$DF36+'Model Setup'!$N$7,$AD36:$BA36)+'Model Setup'!$N$8*(SUMIF($BH$3:$CE$3,"&lt;"&amp;$DF36,$AD36:$BA36)+SUMIF($BH$3:$CE$3,"&gt;"&amp;$CW$4,$AD36:$BA36)),
IF(BS$3&lt;$CW$4,M36,0))))))))))))))),0)</f>
        <v>146</v>
      </c>
      <c r="BT36" s="47">
        <f>ROUND(IF(OR(BT$3&lt;$DF36,BT$3&gt;$CW$4),0,
IF(BT$3=$DF36+'Model Setup'!$B$7,SUMIF($BH$3:$CE$3,"="&amp;$DF36+'Model Setup'!$B$7,$AD36:$BA36)+'Model Setup'!$B$8*(SUMIF($BH$3:$CE$3,"&lt;"&amp;$DF36,$AD36:$BA36)+SUMIF($BH$3:$CE$3,"&gt;"&amp;$CW$4,$AD36:$BA36)),
IF(BT$3=$DF36+'Model Setup'!$C$7,SUMIF($BH$3:$CE$3,"="&amp;$DF36+'Model Setup'!$C$7,$AD36:$BA36)+'Model Setup'!$C$8*(SUMIF($BH$3:$CE$3,"&lt;"&amp;$DF36,$AD36:$BA36)+SUMIF($BH$3:$CE$3,"&gt;"&amp;$CW$4,$AD36:$BA36)),
IF(BT$3=$DF36+'Model Setup'!$D$7,SUMIF($BH$3:$CE$3,"="&amp;$DF36+'Model Setup'!$D$7,$AD36:$BA36)+'Model Setup'!$D$8*(SUMIF($BH$3:$CE$3,"&lt;"&amp;$DF36,$AD36:$BA36)+SUMIF($BH$3:$CE$3,"&gt;"&amp;$CW$4,$AD36:$BA36)),
IF(BT$3=$DF36+'Model Setup'!$E$7,SUMIF($BH$3:$CE$3,"="&amp;$DF36+'Model Setup'!$E$7,$AD36:$BA36)+'Model Setup'!$E$8*(SUMIF($BH$3:$CE$3,"&lt;"&amp;$DF36,$AD36:$BA36)+SUMIF($BH$3:$CE$3,"&gt;"&amp;$CW$4,$AD36:$BA36)),
IF(BT$3=$DF36+'Model Setup'!$F$7,SUMIF($BH$3:$CE$3,"="&amp;$DF36+'Model Setup'!$F$7,$AD36:$BA36)+'Model Setup'!$F$8*(SUMIF($BH$3:$CE$3,"&lt;"&amp;$DF36,$AD36:$BA36)+SUMIF($BH$3:$CE$3,"&gt;"&amp;$CW$4,$AD36:$BA36)),
IF(BT$3=$DF36+'Model Setup'!$G$7,SUMIF($BH$3:$CE$3,"="&amp;$DF36+'Model Setup'!$G$7,$AD36:$BA36)+'Model Setup'!$G$8*(SUMIF($BH$3:$CE$3,"&lt;"&amp;$DF36,$AD36:$BA36)+SUMIF($BH$3:$CE$3,"&gt;"&amp;$CW$4,$AD36:$BA36)),
IF(BT$3=$DF36+'Model Setup'!$H$7,SUMIF($BH$3:$CE$3,"="&amp;$DF36+'Model Setup'!$H$7,$AD36:$BA36)+'Model Setup'!$H$8*(SUMIF($BH$3:$CE$3,"&lt;"&amp;$DF36,$AD36:$BA36)+SUMIF($BH$3:$CE$3,"&gt;"&amp;$CW$4,$AD36:$BA36)),
IF(BT$3=$DF36+'Model Setup'!$I$7,SUMIF($BH$3:$CE$3,"="&amp;$DF36+'Model Setup'!$I$7,$AD36:$BA36)+'Model Setup'!$I$8*(SUMIF($BH$3:$CE$3,"&lt;"&amp;$DF36,$AD36:$BA36)+SUMIF($BH$3:$CE$3,"&gt;"&amp;$CW$4,$AD36:$BA36)),
IF(BT$3=$DF36+'Model Setup'!$J$7,SUMIF($BH$3:$CE$3,"="&amp;$DF36+'Model Setup'!$J$7,$AD36:$BA36)+'Model Setup'!$J$8*(SUMIF($BH$3:$CE$3,"&lt;"&amp;$DF36,$AD36:$BA36)+SUMIF($BH$3:$CE$3,"&gt;"&amp;$CW$4,$AD36:$BA36)),
IF(BT$3=$DF36+'Model Setup'!$K$7,SUMIF($BH$3:$CE$3,"="&amp;$DF36+'Model Setup'!$K$7,$AD36:$BA36)+'Model Setup'!$K$8*(SUMIF($BH$3:$CE$3,"&lt;"&amp;$DF36,$AD36:$BA36)+SUMIF($BH$3:$CE$3,"&gt;"&amp;$CW$4,$AD36:$BA36)),
IF(BT$3=$DF36+'Model Setup'!$L$7,SUMIF($BH$3:$CE$3,"="&amp;$DF36+'Model Setup'!$L$7,$AD36:$BA36)+'Model Setup'!$L$8*(SUMIF($BH$3:$CE$3,"&lt;"&amp;$DF36,$AD36:$BA36)+SUMIF($BH$3:$CE$3,"&gt;"&amp;$CW$4,$AD36:$BA36)),
IF(BT$3=$DF36+'Model Setup'!$M$7,SUMIF($BH$3:$CE$3,"="&amp;$DF36+'Model Setup'!$M$7,$AD36:$BA36)+'Model Setup'!$M$8*(SUMIF($BH$3:$CE$3,"&lt;"&amp;$DF36,$AD36:$BA36)+SUMIF($BH$3:$CE$3,"&gt;"&amp;$CW$4,$AD36:$BA36)),
IF(BT$3=$DF36+'Model Setup'!$N$7,SUMIF($BH$3:$CE$3,"="&amp;$DF36+'Model Setup'!$N$7,$AD36:$BA36)+'Model Setup'!$N$8*(SUMIF($BH$3:$CE$3,"&lt;"&amp;$DF36,$AD36:$BA36)+SUMIF($BH$3:$CE$3,"&gt;"&amp;$CW$4,$AD36:$BA36)),
IF(BT$3&lt;$CW$4,N36,0))))))))))))))),0)</f>
        <v>124</v>
      </c>
      <c r="BU36" s="47">
        <f>ROUND(IF(OR(BU$3&lt;$DF36,BU$3&gt;$CW$4),0,
IF(BU$3=$DF36+'Model Setup'!$B$7,SUMIF($BH$3:$CE$3,"="&amp;$DF36+'Model Setup'!$B$7,$AD36:$BA36)+'Model Setup'!$B$8*(SUMIF($BH$3:$CE$3,"&lt;"&amp;$DF36,$AD36:$BA36)+SUMIF($BH$3:$CE$3,"&gt;"&amp;$CW$4,$AD36:$BA36)),
IF(BU$3=$DF36+'Model Setup'!$C$7,SUMIF($BH$3:$CE$3,"="&amp;$DF36+'Model Setup'!$C$7,$AD36:$BA36)+'Model Setup'!$C$8*(SUMIF($BH$3:$CE$3,"&lt;"&amp;$DF36,$AD36:$BA36)+SUMIF($BH$3:$CE$3,"&gt;"&amp;$CW$4,$AD36:$BA36)),
IF(BU$3=$DF36+'Model Setup'!$D$7,SUMIF($BH$3:$CE$3,"="&amp;$DF36+'Model Setup'!$D$7,$AD36:$BA36)+'Model Setup'!$D$8*(SUMIF($BH$3:$CE$3,"&lt;"&amp;$DF36,$AD36:$BA36)+SUMIF($BH$3:$CE$3,"&gt;"&amp;$CW$4,$AD36:$BA36)),
IF(BU$3=$DF36+'Model Setup'!$E$7,SUMIF($BH$3:$CE$3,"="&amp;$DF36+'Model Setup'!$E$7,$AD36:$BA36)+'Model Setup'!$E$8*(SUMIF($BH$3:$CE$3,"&lt;"&amp;$DF36,$AD36:$BA36)+SUMIF($BH$3:$CE$3,"&gt;"&amp;$CW$4,$AD36:$BA36)),
IF(BU$3=$DF36+'Model Setup'!$F$7,SUMIF($BH$3:$CE$3,"="&amp;$DF36+'Model Setup'!$F$7,$AD36:$BA36)+'Model Setup'!$F$8*(SUMIF($BH$3:$CE$3,"&lt;"&amp;$DF36,$AD36:$BA36)+SUMIF($BH$3:$CE$3,"&gt;"&amp;$CW$4,$AD36:$BA36)),
IF(BU$3=$DF36+'Model Setup'!$G$7,SUMIF($BH$3:$CE$3,"="&amp;$DF36+'Model Setup'!$G$7,$AD36:$BA36)+'Model Setup'!$G$8*(SUMIF($BH$3:$CE$3,"&lt;"&amp;$DF36,$AD36:$BA36)+SUMIF($BH$3:$CE$3,"&gt;"&amp;$CW$4,$AD36:$BA36)),
IF(BU$3=$DF36+'Model Setup'!$H$7,SUMIF($BH$3:$CE$3,"="&amp;$DF36+'Model Setup'!$H$7,$AD36:$BA36)+'Model Setup'!$H$8*(SUMIF($BH$3:$CE$3,"&lt;"&amp;$DF36,$AD36:$BA36)+SUMIF($BH$3:$CE$3,"&gt;"&amp;$CW$4,$AD36:$BA36)),
IF(BU$3=$DF36+'Model Setup'!$I$7,SUMIF($BH$3:$CE$3,"="&amp;$DF36+'Model Setup'!$I$7,$AD36:$BA36)+'Model Setup'!$I$8*(SUMIF($BH$3:$CE$3,"&lt;"&amp;$DF36,$AD36:$BA36)+SUMIF($BH$3:$CE$3,"&gt;"&amp;$CW$4,$AD36:$BA36)),
IF(BU$3=$DF36+'Model Setup'!$J$7,SUMIF($BH$3:$CE$3,"="&amp;$DF36+'Model Setup'!$J$7,$AD36:$BA36)+'Model Setup'!$J$8*(SUMIF($BH$3:$CE$3,"&lt;"&amp;$DF36,$AD36:$BA36)+SUMIF($BH$3:$CE$3,"&gt;"&amp;$CW$4,$AD36:$BA36)),
IF(BU$3=$DF36+'Model Setup'!$K$7,SUMIF($BH$3:$CE$3,"="&amp;$DF36+'Model Setup'!$K$7,$AD36:$BA36)+'Model Setup'!$K$8*(SUMIF($BH$3:$CE$3,"&lt;"&amp;$DF36,$AD36:$BA36)+SUMIF($BH$3:$CE$3,"&gt;"&amp;$CW$4,$AD36:$BA36)),
IF(BU$3=$DF36+'Model Setup'!$L$7,SUMIF($BH$3:$CE$3,"="&amp;$DF36+'Model Setup'!$L$7,$AD36:$BA36)+'Model Setup'!$L$8*(SUMIF($BH$3:$CE$3,"&lt;"&amp;$DF36,$AD36:$BA36)+SUMIF($BH$3:$CE$3,"&gt;"&amp;$CW$4,$AD36:$BA36)),
IF(BU$3=$DF36+'Model Setup'!$M$7,SUMIF($BH$3:$CE$3,"="&amp;$DF36+'Model Setup'!$M$7,$AD36:$BA36)+'Model Setup'!$M$8*(SUMIF($BH$3:$CE$3,"&lt;"&amp;$DF36,$AD36:$BA36)+SUMIF($BH$3:$CE$3,"&gt;"&amp;$CW$4,$AD36:$BA36)),
IF(BU$3=$DF36+'Model Setup'!$N$7,SUMIF($BH$3:$CE$3,"="&amp;$DF36+'Model Setup'!$N$7,$AD36:$BA36)+'Model Setup'!$N$8*(SUMIF($BH$3:$CE$3,"&lt;"&amp;$DF36,$AD36:$BA36)+SUMIF($BH$3:$CE$3,"&gt;"&amp;$CW$4,$AD36:$BA36)),
IF(BU$3&lt;$CW$4,O36,0))))))))))))))),0)</f>
        <v>112</v>
      </c>
      <c r="BV36" s="47">
        <f>ROUND(IF(OR(BV$3&lt;$DF36,BV$3&gt;$CW$4),0,
IF(BV$3=$DF36+'Model Setup'!$B$7,SUMIF($BH$3:$CE$3,"="&amp;$DF36+'Model Setup'!$B$7,$AD36:$BA36)+'Model Setup'!$B$8*(SUMIF($BH$3:$CE$3,"&lt;"&amp;$DF36,$AD36:$BA36)+SUMIF($BH$3:$CE$3,"&gt;"&amp;$CW$4,$AD36:$BA36)),
IF(BV$3=$DF36+'Model Setup'!$C$7,SUMIF($BH$3:$CE$3,"="&amp;$DF36+'Model Setup'!$C$7,$AD36:$BA36)+'Model Setup'!$C$8*(SUMIF($BH$3:$CE$3,"&lt;"&amp;$DF36,$AD36:$BA36)+SUMIF($BH$3:$CE$3,"&gt;"&amp;$CW$4,$AD36:$BA36)),
IF(BV$3=$DF36+'Model Setup'!$D$7,SUMIF($BH$3:$CE$3,"="&amp;$DF36+'Model Setup'!$D$7,$AD36:$BA36)+'Model Setup'!$D$8*(SUMIF($BH$3:$CE$3,"&lt;"&amp;$DF36,$AD36:$BA36)+SUMIF($BH$3:$CE$3,"&gt;"&amp;$CW$4,$AD36:$BA36)),
IF(BV$3=$DF36+'Model Setup'!$E$7,SUMIF($BH$3:$CE$3,"="&amp;$DF36+'Model Setup'!$E$7,$AD36:$BA36)+'Model Setup'!$E$8*(SUMIF($BH$3:$CE$3,"&lt;"&amp;$DF36,$AD36:$BA36)+SUMIF($BH$3:$CE$3,"&gt;"&amp;$CW$4,$AD36:$BA36)),
IF(BV$3=$DF36+'Model Setup'!$F$7,SUMIF($BH$3:$CE$3,"="&amp;$DF36+'Model Setup'!$F$7,$AD36:$BA36)+'Model Setup'!$F$8*(SUMIF($BH$3:$CE$3,"&lt;"&amp;$DF36,$AD36:$BA36)+SUMIF($BH$3:$CE$3,"&gt;"&amp;$CW$4,$AD36:$BA36)),
IF(BV$3=$DF36+'Model Setup'!$G$7,SUMIF($BH$3:$CE$3,"="&amp;$DF36+'Model Setup'!$G$7,$AD36:$BA36)+'Model Setup'!$G$8*(SUMIF($BH$3:$CE$3,"&lt;"&amp;$DF36,$AD36:$BA36)+SUMIF($BH$3:$CE$3,"&gt;"&amp;$CW$4,$AD36:$BA36)),
IF(BV$3=$DF36+'Model Setup'!$H$7,SUMIF($BH$3:$CE$3,"="&amp;$DF36+'Model Setup'!$H$7,$AD36:$BA36)+'Model Setup'!$H$8*(SUMIF($BH$3:$CE$3,"&lt;"&amp;$DF36,$AD36:$BA36)+SUMIF($BH$3:$CE$3,"&gt;"&amp;$CW$4,$AD36:$BA36)),
IF(BV$3=$DF36+'Model Setup'!$I$7,SUMIF($BH$3:$CE$3,"="&amp;$DF36+'Model Setup'!$I$7,$AD36:$BA36)+'Model Setup'!$I$8*(SUMIF($BH$3:$CE$3,"&lt;"&amp;$DF36,$AD36:$BA36)+SUMIF($BH$3:$CE$3,"&gt;"&amp;$CW$4,$AD36:$BA36)),
IF(BV$3=$DF36+'Model Setup'!$J$7,SUMIF($BH$3:$CE$3,"="&amp;$DF36+'Model Setup'!$J$7,$AD36:$BA36)+'Model Setup'!$J$8*(SUMIF($BH$3:$CE$3,"&lt;"&amp;$DF36,$AD36:$BA36)+SUMIF($BH$3:$CE$3,"&gt;"&amp;$CW$4,$AD36:$BA36)),
IF(BV$3=$DF36+'Model Setup'!$K$7,SUMIF($BH$3:$CE$3,"="&amp;$DF36+'Model Setup'!$K$7,$AD36:$BA36)+'Model Setup'!$K$8*(SUMIF($BH$3:$CE$3,"&lt;"&amp;$DF36,$AD36:$BA36)+SUMIF($BH$3:$CE$3,"&gt;"&amp;$CW$4,$AD36:$BA36)),
IF(BV$3=$DF36+'Model Setup'!$L$7,SUMIF($BH$3:$CE$3,"="&amp;$DF36+'Model Setup'!$L$7,$AD36:$BA36)+'Model Setup'!$L$8*(SUMIF($BH$3:$CE$3,"&lt;"&amp;$DF36,$AD36:$BA36)+SUMIF($BH$3:$CE$3,"&gt;"&amp;$CW$4,$AD36:$BA36)),
IF(BV$3=$DF36+'Model Setup'!$M$7,SUMIF($BH$3:$CE$3,"="&amp;$DF36+'Model Setup'!$M$7,$AD36:$BA36)+'Model Setup'!$M$8*(SUMIF($BH$3:$CE$3,"&lt;"&amp;$DF36,$AD36:$BA36)+SUMIF($BH$3:$CE$3,"&gt;"&amp;$CW$4,$AD36:$BA36)),
IF(BV$3=$DF36+'Model Setup'!$N$7,SUMIF($BH$3:$CE$3,"="&amp;$DF36+'Model Setup'!$N$7,$AD36:$BA36)+'Model Setup'!$N$8*(SUMIF($BH$3:$CE$3,"&lt;"&amp;$DF36,$AD36:$BA36)+SUMIF($BH$3:$CE$3,"&gt;"&amp;$CW$4,$AD36:$BA36)),
IF(BV$3&lt;$CW$4,P36,0))))))))))))))),0)</f>
        <v>77</v>
      </c>
      <c r="BW36" s="47">
        <f>ROUND(IF(OR(BW$3&lt;$DF36,BW$3&gt;$CW$4),0,
IF(BW$3=$DF36+'Model Setup'!$B$7,SUMIF($BH$3:$CE$3,"="&amp;$DF36+'Model Setup'!$B$7,$AD36:$BA36)+'Model Setup'!$B$8*(SUMIF($BH$3:$CE$3,"&lt;"&amp;$DF36,$AD36:$BA36)+SUMIF($BH$3:$CE$3,"&gt;"&amp;$CW$4,$AD36:$BA36)),
IF(BW$3=$DF36+'Model Setup'!$C$7,SUMIF($BH$3:$CE$3,"="&amp;$DF36+'Model Setup'!$C$7,$AD36:$BA36)+'Model Setup'!$C$8*(SUMIF($BH$3:$CE$3,"&lt;"&amp;$DF36,$AD36:$BA36)+SUMIF($BH$3:$CE$3,"&gt;"&amp;$CW$4,$AD36:$BA36)),
IF(BW$3=$DF36+'Model Setup'!$D$7,SUMIF($BH$3:$CE$3,"="&amp;$DF36+'Model Setup'!$D$7,$AD36:$BA36)+'Model Setup'!$D$8*(SUMIF($BH$3:$CE$3,"&lt;"&amp;$DF36,$AD36:$BA36)+SUMIF($BH$3:$CE$3,"&gt;"&amp;$CW$4,$AD36:$BA36)),
IF(BW$3=$DF36+'Model Setup'!$E$7,SUMIF($BH$3:$CE$3,"="&amp;$DF36+'Model Setup'!$E$7,$AD36:$BA36)+'Model Setup'!$E$8*(SUMIF($BH$3:$CE$3,"&lt;"&amp;$DF36,$AD36:$BA36)+SUMIF($BH$3:$CE$3,"&gt;"&amp;$CW$4,$AD36:$BA36)),
IF(BW$3=$DF36+'Model Setup'!$F$7,SUMIF($BH$3:$CE$3,"="&amp;$DF36+'Model Setup'!$F$7,$AD36:$BA36)+'Model Setup'!$F$8*(SUMIF($BH$3:$CE$3,"&lt;"&amp;$DF36,$AD36:$BA36)+SUMIF($BH$3:$CE$3,"&gt;"&amp;$CW$4,$AD36:$BA36)),
IF(BW$3=$DF36+'Model Setup'!$G$7,SUMIF($BH$3:$CE$3,"="&amp;$DF36+'Model Setup'!$G$7,$AD36:$BA36)+'Model Setup'!$G$8*(SUMIF($BH$3:$CE$3,"&lt;"&amp;$DF36,$AD36:$BA36)+SUMIF($BH$3:$CE$3,"&gt;"&amp;$CW$4,$AD36:$BA36)),
IF(BW$3=$DF36+'Model Setup'!$H$7,SUMIF($BH$3:$CE$3,"="&amp;$DF36+'Model Setup'!$H$7,$AD36:$BA36)+'Model Setup'!$H$8*(SUMIF($BH$3:$CE$3,"&lt;"&amp;$DF36,$AD36:$BA36)+SUMIF($BH$3:$CE$3,"&gt;"&amp;$CW$4,$AD36:$BA36)),
IF(BW$3=$DF36+'Model Setup'!$I$7,SUMIF($BH$3:$CE$3,"="&amp;$DF36+'Model Setup'!$I$7,$AD36:$BA36)+'Model Setup'!$I$8*(SUMIF($BH$3:$CE$3,"&lt;"&amp;$DF36,$AD36:$BA36)+SUMIF($BH$3:$CE$3,"&gt;"&amp;$CW$4,$AD36:$BA36)),
IF(BW$3=$DF36+'Model Setup'!$J$7,SUMIF($BH$3:$CE$3,"="&amp;$DF36+'Model Setup'!$J$7,$AD36:$BA36)+'Model Setup'!$J$8*(SUMIF($BH$3:$CE$3,"&lt;"&amp;$DF36,$AD36:$BA36)+SUMIF($BH$3:$CE$3,"&gt;"&amp;$CW$4,$AD36:$BA36)),
IF(BW$3=$DF36+'Model Setup'!$K$7,SUMIF($BH$3:$CE$3,"="&amp;$DF36+'Model Setup'!$K$7,$AD36:$BA36)+'Model Setup'!$K$8*(SUMIF($BH$3:$CE$3,"&lt;"&amp;$DF36,$AD36:$BA36)+SUMIF($BH$3:$CE$3,"&gt;"&amp;$CW$4,$AD36:$BA36)),
IF(BW$3=$DF36+'Model Setup'!$L$7,SUMIF($BH$3:$CE$3,"="&amp;$DF36+'Model Setup'!$L$7,$AD36:$BA36)+'Model Setup'!$L$8*(SUMIF($BH$3:$CE$3,"&lt;"&amp;$DF36,$AD36:$BA36)+SUMIF($BH$3:$CE$3,"&gt;"&amp;$CW$4,$AD36:$BA36)),
IF(BW$3=$DF36+'Model Setup'!$M$7,SUMIF($BH$3:$CE$3,"="&amp;$DF36+'Model Setup'!$M$7,$AD36:$BA36)+'Model Setup'!$M$8*(SUMIF($BH$3:$CE$3,"&lt;"&amp;$DF36,$AD36:$BA36)+SUMIF($BH$3:$CE$3,"&gt;"&amp;$CW$4,$AD36:$BA36)),
IF(BW$3=$DF36+'Model Setup'!$N$7,SUMIF($BH$3:$CE$3,"="&amp;$DF36+'Model Setup'!$N$7,$AD36:$BA36)+'Model Setup'!$N$8*(SUMIF($BH$3:$CE$3,"&lt;"&amp;$DF36,$AD36:$BA36)+SUMIF($BH$3:$CE$3,"&gt;"&amp;$CW$4,$AD36:$BA36)),
IF(BW$3&lt;$CW$4,Q36,0))))))))))))))),0)</f>
        <v>97</v>
      </c>
      <c r="BX36" s="47">
        <f>ROUND(IF(OR(BX$3&lt;$DF36,BX$3&gt;$CW$4),0,
IF(BX$3=$DF36+'Model Setup'!$B$7,SUMIF($BH$3:$CE$3,"="&amp;$DF36+'Model Setup'!$B$7,$AD36:$BA36)+'Model Setup'!$B$8*(SUMIF($BH$3:$CE$3,"&lt;"&amp;$DF36,$AD36:$BA36)+SUMIF($BH$3:$CE$3,"&gt;"&amp;$CW$4,$AD36:$BA36)),
IF(BX$3=$DF36+'Model Setup'!$C$7,SUMIF($BH$3:$CE$3,"="&amp;$DF36+'Model Setup'!$C$7,$AD36:$BA36)+'Model Setup'!$C$8*(SUMIF($BH$3:$CE$3,"&lt;"&amp;$DF36,$AD36:$BA36)+SUMIF($BH$3:$CE$3,"&gt;"&amp;$CW$4,$AD36:$BA36)),
IF(BX$3=$DF36+'Model Setup'!$D$7,SUMIF($BH$3:$CE$3,"="&amp;$DF36+'Model Setup'!$D$7,$AD36:$BA36)+'Model Setup'!$D$8*(SUMIF($BH$3:$CE$3,"&lt;"&amp;$DF36,$AD36:$BA36)+SUMIF($BH$3:$CE$3,"&gt;"&amp;$CW$4,$AD36:$BA36)),
IF(BX$3=$DF36+'Model Setup'!$E$7,SUMIF($BH$3:$CE$3,"="&amp;$DF36+'Model Setup'!$E$7,$AD36:$BA36)+'Model Setup'!$E$8*(SUMIF($BH$3:$CE$3,"&lt;"&amp;$DF36,$AD36:$BA36)+SUMIF($BH$3:$CE$3,"&gt;"&amp;$CW$4,$AD36:$BA36)),
IF(BX$3=$DF36+'Model Setup'!$F$7,SUMIF($BH$3:$CE$3,"="&amp;$DF36+'Model Setup'!$F$7,$AD36:$BA36)+'Model Setup'!$F$8*(SUMIF($BH$3:$CE$3,"&lt;"&amp;$DF36,$AD36:$BA36)+SUMIF($BH$3:$CE$3,"&gt;"&amp;$CW$4,$AD36:$BA36)),
IF(BX$3=$DF36+'Model Setup'!$G$7,SUMIF($BH$3:$CE$3,"="&amp;$DF36+'Model Setup'!$G$7,$AD36:$BA36)+'Model Setup'!$G$8*(SUMIF($BH$3:$CE$3,"&lt;"&amp;$DF36,$AD36:$BA36)+SUMIF($BH$3:$CE$3,"&gt;"&amp;$CW$4,$AD36:$BA36)),
IF(BX$3=$DF36+'Model Setup'!$H$7,SUMIF($BH$3:$CE$3,"="&amp;$DF36+'Model Setup'!$H$7,$AD36:$BA36)+'Model Setup'!$H$8*(SUMIF($BH$3:$CE$3,"&lt;"&amp;$DF36,$AD36:$BA36)+SUMIF($BH$3:$CE$3,"&gt;"&amp;$CW$4,$AD36:$BA36)),
IF(BX$3=$DF36+'Model Setup'!$I$7,SUMIF($BH$3:$CE$3,"="&amp;$DF36+'Model Setup'!$I$7,$AD36:$BA36)+'Model Setup'!$I$8*(SUMIF($BH$3:$CE$3,"&lt;"&amp;$DF36,$AD36:$BA36)+SUMIF($BH$3:$CE$3,"&gt;"&amp;$CW$4,$AD36:$BA36)),
IF(BX$3=$DF36+'Model Setup'!$J$7,SUMIF($BH$3:$CE$3,"="&amp;$DF36+'Model Setup'!$J$7,$AD36:$BA36)+'Model Setup'!$J$8*(SUMIF($BH$3:$CE$3,"&lt;"&amp;$DF36,$AD36:$BA36)+SUMIF($BH$3:$CE$3,"&gt;"&amp;$CW$4,$AD36:$BA36)),
IF(BX$3=$DF36+'Model Setup'!$K$7,SUMIF($BH$3:$CE$3,"="&amp;$DF36+'Model Setup'!$K$7,$AD36:$BA36)+'Model Setup'!$K$8*(SUMIF($BH$3:$CE$3,"&lt;"&amp;$DF36,$AD36:$BA36)+SUMIF($BH$3:$CE$3,"&gt;"&amp;$CW$4,$AD36:$BA36)),
IF(BX$3=$DF36+'Model Setup'!$L$7,SUMIF($BH$3:$CE$3,"="&amp;$DF36+'Model Setup'!$L$7,$AD36:$BA36)+'Model Setup'!$L$8*(SUMIF($BH$3:$CE$3,"&lt;"&amp;$DF36,$AD36:$BA36)+SUMIF($BH$3:$CE$3,"&gt;"&amp;$CW$4,$AD36:$BA36)),
IF(BX$3=$DF36+'Model Setup'!$M$7,SUMIF($BH$3:$CE$3,"="&amp;$DF36+'Model Setup'!$M$7,$AD36:$BA36)+'Model Setup'!$M$8*(SUMIF($BH$3:$CE$3,"&lt;"&amp;$DF36,$AD36:$BA36)+SUMIF($BH$3:$CE$3,"&gt;"&amp;$CW$4,$AD36:$BA36)),
IF(BX$3=$DF36+'Model Setup'!$N$7,SUMIF($BH$3:$CE$3,"="&amp;$DF36+'Model Setup'!$N$7,$AD36:$BA36)+'Model Setup'!$N$8*(SUMIF($BH$3:$CE$3,"&lt;"&amp;$DF36,$AD36:$BA36)+SUMIF($BH$3:$CE$3,"&gt;"&amp;$CW$4,$AD36:$BA36)),
IF(BX$3&lt;$CW$4,R36,0))))))))))))))),0)</f>
        <v>115</v>
      </c>
      <c r="BY36" s="47">
        <f>ROUND(IF(OR(BY$3&lt;$DF36,BY$3&gt;$CW$4),0,
IF(BY$3=$DF36+'Model Setup'!$B$7,SUMIF($BH$3:$CE$3,"="&amp;$DF36+'Model Setup'!$B$7,$AD36:$BA36)+'Model Setup'!$B$8*(SUMIF($BH$3:$CE$3,"&lt;"&amp;$DF36,$AD36:$BA36)+SUMIF($BH$3:$CE$3,"&gt;"&amp;$CW$4,$AD36:$BA36)),
IF(BY$3=$DF36+'Model Setup'!$C$7,SUMIF($BH$3:$CE$3,"="&amp;$DF36+'Model Setup'!$C$7,$AD36:$BA36)+'Model Setup'!$C$8*(SUMIF($BH$3:$CE$3,"&lt;"&amp;$DF36,$AD36:$BA36)+SUMIF($BH$3:$CE$3,"&gt;"&amp;$CW$4,$AD36:$BA36)),
IF(BY$3=$DF36+'Model Setup'!$D$7,SUMIF($BH$3:$CE$3,"="&amp;$DF36+'Model Setup'!$D$7,$AD36:$BA36)+'Model Setup'!$D$8*(SUMIF($BH$3:$CE$3,"&lt;"&amp;$DF36,$AD36:$BA36)+SUMIF($BH$3:$CE$3,"&gt;"&amp;$CW$4,$AD36:$BA36)),
IF(BY$3=$DF36+'Model Setup'!$E$7,SUMIF($BH$3:$CE$3,"="&amp;$DF36+'Model Setup'!$E$7,$AD36:$BA36)+'Model Setup'!$E$8*(SUMIF($BH$3:$CE$3,"&lt;"&amp;$DF36,$AD36:$BA36)+SUMIF($BH$3:$CE$3,"&gt;"&amp;$CW$4,$AD36:$BA36)),
IF(BY$3=$DF36+'Model Setup'!$F$7,SUMIF($BH$3:$CE$3,"="&amp;$DF36+'Model Setup'!$F$7,$AD36:$BA36)+'Model Setup'!$F$8*(SUMIF($BH$3:$CE$3,"&lt;"&amp;$DF36,$AD36:$BA36)+SUMIF($BH$3:$CE$3,"&gt;"&amp;$CW$4,$AD36:$BA36)),
IF(BY$3=$DF36+'Model Setup'!$G$7,SUMIF($BH$3:$CE$3,"="&amp;$DF36+'Model Setup'!$G$7,$AD36:$BA36)+'Model Setup'!$G$8*(SUMIF($BH$3:$CE$3,"&lt;"&amp;$DF36,$AD36:$BA36)+SUMIF($BH$3:$CE$3,"&gt;"&amp;$CW$4,$AD36:$BA36)),
IF(BY$3=$DF36+'Model Setup'!$H$7,SUMIF($BH$3:$CE$3,"="&amp;$DF36+'Model Setup'!$H$7,$AD36:$BA36)+'Model Setup'!$H$8*(SUMIF($BH$3:$CE$3,"&lt;"&amp;$DF36,$AD36:$BA36)+SUMIF($BH$3:$CE$3,"&gt;"&amp;$CW$4,$AD36:$BA36)),
IF(BY$3=$DF36+'Model Setup'!$I$7,SUMIF($BH$3:$CE$3,"="&amp;$DF36+'Model Setup'!$I$7,$AD36:$BA36)+'Model Setup'!$I$8*(SUMIF($BH$3:$CE$3,"&lt;"&amp;$DF36,$AD36:$BA36)+SUMIF($BH$3:$CE$3,"&gt;"&amp;$CW$4,$AD36:$BA36)),
IF(BY$3=$DF36+'Model Setup'!$J$7,SUMIF($BH$3:$CE$3,"="&amp;$DF36+'Model Setup'!$J$7,$AD36:$BA36)+'Model Setup'!$J$8*(SUMIF($BH$3:$CE$3,"&lt;"&amp;$DF36,$AD36:$BA36)+SUMIF($BH$3:$CE$3,"&gt;"&amp;$CW$4,$AD36:$BA36)),
IF(BY$3=$DF36+'Model Setup'!$K$7,SUMIF($BH$3:$CE$3,"="&amp;$DF36+'Model Setup'!$K$7,$AD36:$BA36)+'Model Setup'!$K$8*(SUMIF($BH$3:$CE$3,"&lt;"&amp;$DF36,$AD36:$BA36)+SUMIF($BH$3:$CE$3,"&gt;"&amp;$CW$4,$AD36:$BA36)),
IF(BY$3=$DF36+'Model Setup'!$L$7,SUMIF($BH$3:$CE$3,"="&amp;$DF36+'Model Setup'!$L$7,$AD36:$BA36)+'Model Setup'!$L$8*(SUMIF($BH$3:$CE$3,"&lt;"&amp;$DF36,$AD36:$BA36)+SUMIF($BH$3:$CE$3,"&gt;"&amp;$CW$4,$AD36:$BA36)),
IF(BY$3=$DF36+'Model Setup'!$M$7,SUMIF($BH$3:$CE$3,"="&amp;$DF36+'Model Setup'!$M$7,$AD36:$BA36)+'Model Setup'!$M$8*(SUMIF($BH$3:$CE$3,"&lt;"&amp;$DF36,$AD36:$BA36)+SUMIF($BH$3:$CE$3,"&gt;"&amp;$CW$4,$AD36:$BA36)),
IF(BY$3=$DF36+'Model Setup'!$N$7,SUMIF($BH$3:$CE$3,"="&amp;$DF36+'Model Setup'!$N$7,$AD36:$BA36)+'Model Setup'!$N$8*(SUMIF($BH$3:$CE$3,"&lt;"&amp;$DF36,$AD36:$BA36)+SUMIF($BH$3:$CE$3,"&gt;"&amp;$CW$4,$AD36:$BA36)),
IF(BY$3&lt;$CW$4,S36,0))))))))))))))),0)</f>
        <v>84</v>
      </c>
      <c r="BZ36" s="47">
        <f>ROUND(IF(OR(BZ$3&lt;$DF36,BZ$3&gt;$CW$4),0,
IF(BZ$3=$DF36+'Model Setup'!$B$7,SUMIF($BH$3:$CE$3,"="&amp;$DF36+'Model Setup'!$B$7,$AD36:$BA36)+'Model Setup'!$B$8*(SUMIF($BH$3:$CE$3,"&lt;"&amp;$DF36,$AD36:$BA36)+SUMIF($BH$3:$CE$3,"&gt;"&amp;$CW$4,$AD36:$BA36)),
IF(BZ$3=$DF36+'Model Setup'!$C$7,SUMIF($BH$3:$CE$3,"="&amp;$DF36+'Model Setup'!$C$7,$AD36:$BA36)+'Model Setup'!$C$8*(SUMIF($BH$3:$CE$3,"&lt;"&amp;$DF36,$AD36:$BA36)+SUMIF($BH$3:$CE$3,"&gt;"&amp;$CW$4,$AD36:$BA36)),
IF(BZ$3=$DF36+'Model Setup'!$D$7,SUMIF($BH$3:$CE$3,"="&amp;$DF36+'Model Setup'!$D$7,$AD36:$BA36)+'Model Setup'!$D$8*(SUMIF($BH$3:$CE$3,"&lt;"&amp;$DF36,$AD36:$BA36)+SUMIF($BH$3:$CE$3,"&gt;"&amp;$CW$4,$AD36:$BA36)),
IF(BZ$3=$DF36+'Model Setup'!$E$7,SUMIF($BH$3:$CE$3,"="&amp;$DF36+'Model Setup'!$E$7,$AD36:$BA36)+'Model Setup'!$E$8*(SUMIF($BH$3:$CE$3,"&lt;"&amp;$DF36,$AD36:$BA36)+SUMIF($BH$3:$CE$3,"&gt;"&amp;$CW$4,$AD36:$BA36)),
IF(BZ$3=$DF36+'Model Setup'!$F$7,SUMIF($BH$3:$CE$3,"="&amp;$DF36+'Model Setup'!$F$7,$AD36:$BA36)+'Model Setup'!$F$8*(SUMIF($BH$3:$CE$3,"&lt;"&amp;$DF36,$AD36:$BA36)+SUMIF($BH$3:$CE$3,"&gt;"&amp;$CW$4,$AD36:$BA36)),
IF(BZ$3=$DF36+'Model Setup'!$G$7,SUMIF($BH$3:$CE$3,"="&amp;$DF36+'Model Setup'!$G$7,$AD36:$BA36)+'Model Setup'!$G$8*(SUMIF($BH$3:$CE$3,"&lt;"&amp;$DF36,$AD36:$BA36)+SUMIF($BH$3:$CE$3,"&gt;"&amp;$CW$4,$AD36:$BA36)),
IF(BZ$3=$DF36+'Model Setup'!$H$7,SUMIF($BH$3:$CE$3,"="&amp;$DF36+'Model Setup'!$H$7,$AD36:$BA36)+'Model Setup'!$H$8*(SUMIF($BH$3:$CE$3,"&lt;"&amp;$DF36,$AD36:$BA36)+SUMIF($BH$3:$CE$3,"&gt;"&amp;$CW$4,$AD36:$BA36)),
IF(BZ$3=$DF36+'Model Setup'!$I$7,SUMIF($BH$3:$CE$3,"="&amp;$DF36+'Model Setup'!$I$7,$AD36:$BA36)+'Model Setup'!$I$8*(SUMIF($BH$3:$CE$3,"&lt;"&amp;$DF36,$AD36:$BA36)+SUMIF($BH$3:$CE$3,"&gt;"&amp;$CW$4,$AD36:$BA36)),
IF(BZ$3=$DF36+'Model Setup'!$J$7,SUMIF($BH$3:$CE$3,"="&amp;$DF36+'Model Setup'!$J$7,$AD36:$BA36)+'Model Setup'!$J$8*(SUMIF($BH$3:$CE$3,"&lt;"&amp;$DF36,$AD36:$BA36)+SUMIF($BH$3:$CE$3,"&gt;"&amp;$CW$4,$AD36:$BA36)),
IF(BZ$3=$DF36+'Model Setup'!$K$7,SUMIF($BH$3:$CE$3,"="&amp;$DF36+'Model Setup'!$K$7,$AD36:$BA36)+'Model Setup'!$K$8*(SUMIF($BH$3:$CE$3,"&lt;"&amp;$DF36,$AD36:$BA36)+SUMIF($BH$3:$CE$3,"&gt;"&amp;$CW$4,$AD36:$BA36)),
IF(BZ$3=$DF36+'Model Setup'!$L$7,SUMIF($BH$3:$CE$3,"="&amp;$DF36+'Model Setup'!$L$7,$AD36:$BA36)+'Model Setup'!$L$8*(SUMIF($BH$3:$CE$3,"&lt;"&amp;$DF36,$AD36:$BA36)+SUMIF($BH$3:$CE$3,"&gt;"&amp;$CW$4,$AD36:$BA36)),
IF(BZ$3=$DF36+'Model Setup'!$M$7,SUMIF($BH$3:$CE$3,"="&amp;$DF36+'Model Setup'!$M$7,$AD36:$BA36)+'Model Setup'!$M$8*(SUMIF($BH$3:$CE$3,"&lt;"&amp;$DF36,$AD36:$BA36)+SUMIF($BH$3:$CE$3,"&gt;"&amp;$CW$4,$AD36:$BA36)),
IF(BZ$3=$DF36+'Model Setup'!$N$7,SUMIF($BH$3:$CE$3,"="&amp;$DF36+'Model Setup'!$N$7,$AD36:$BA36)+'Model Setup'!$N$8*(SUMIF($BH$3:$CE$3,"&lt;"&amp;$DF36,$AD36:$BA36)+SUMIF($BH$3:$CE$3,"&gt;"&amp;$CW$4,$AD36:$BA36)),
IF(BZ$3&lt;$CW$4,T36,0))))))))))))))),0)</f>
        <v>0</v>
      </c>
      <c r="CA36" s="47">
        <f>ROUND(IF(OR(CA$3&lt;$DF36,CA$3&gt;$CW$4),0,
IF(CA$3=$DF36+'Model Setup'!$B$7,SUMIF($BH$3:$CE$3,"="&amp;$DF36+'Model Setup'!$B$7,$AD36:$BA36)+'Model Setup'!$B$8*(SUMIF($BH$3:$CE$3,"&lt;"&amp;$DF36,$AD36:$BA36)+SUMIF($BH$3:$CE$3,"&gt;"&amp;$CW$4,$AD36:$BA36)),
IF(CA$3=$DF36+'Model Setup'!$C$7,SUMIF($BH$3:$CE$3,"="&amp;$DF36+'Model Setup'!$C$7,$AD36:$BA36)+'Model Setup'!$C$8*(SUMIF($BH$3:$CE$3,"&lt;"&amp;$DF36,$AD36:$BA36)+SUMIF($BH$3:$CE$3,"&gt;"&amp;$CW$4,$AD36:$BA36)),
IF(CA$3=$DF36+'Model Setup'!$D$7,SUMIF($BH$3:$CE$3,"="&amp;$DF36+'Model Setup'!$D$7,$AD36:$BA36)+'Model Setup'!$D$8*(SUMIF($BH$3:$CE$3,"&lt;"&amp;$DF36,$AD36:$BA36)+SUMIF($BH$3:$CE$3,"&gt;"&amp;$CW$4,$AD36:$BA36)),
IF(CA$3=$DF36+'Model Setup'!$E$7,SUMIF($BH$3:$CE$3,"="&amp;$DF36+'Model Setup'!$E$7,$AD36:$BA36)+'Model Setup'!$E$8*(SUMIF($BH$3:$CE$3,"&lt;"&amp;$DF36,$AD36:$BA36)+SUMIF($BH$3:$CE$3,"&gt;"&amp;$CW$4,$AD36:$BA36)),
IF(CA$3=$DF36+'Model Setup'!$F$7,SUMIF($BH$3:$CE$3,"="&amp;$DF36+'Model Setup'!$F$7,$AD36:$BA36)+'Model Setup'!$F$8*(SUMIF($BH$3:$CE$3,"&lt;"&amp;$DF36,$AD36:$BA36)+SUMIF($BH$3:$CE$3,"&gt;"&amp;$CW$4,$AD36:$BA36)),
IF(CA$3=$DF36+'Model Setup'!$G$7,SUMIF($BH$3:$CE$3,"="&amp;$DF36+'Model Setup'!$G$7,$AD36:$BA36)+'Model Setup'!$G$8*(SUMIF($BH$3:$CE$3,"&lt;"&amp;$DF36,$AD36:$BA36)+SUMIF($BH$3:$CE$3,"&gt;"&amp;$CW$4,$AD36:$BA36)),
IF(CA$3=$DF36+'Model Setup'!$H$7,SUMIF($BH$3:$CE$3,"="&amp;$DF36+'Model Setup'!$H$7,$AD36:$BA36)+'Model Setup'!$H$8*(SUMIF($BH$3:$CE$3,"&lt;"&amp;$DF36,$AD36:$BA36)+SUMIF($BH$3:$CE$3,"&gt;"&amp;$CW$4,$AD36:$BA36)),
IF(CA$3=$DF36+'Model Setup'!$I$7,SUMIF($BH$3:$CE$3,"="&amp;$DF36+'Model Setup'!$I$7,$AD36:$BA36)+'Model Setup'!$I$8*(SUMIF($BH$3:$CE$3,"&lt;"&amp;$DF36,$AD36:$BA36)+SUMIF($BH$3:$CE$3,"&gt;"&amp;$CW$4,$AD36:$BA36)),
IF(CA$3=$DF36+'Model Setup'!$J$7,SUMIF($BH$3:$CE$3,"="&amp;$DF36+'Model Setup'!$J$7,$AD36:$BA36)+'Model Setup'!$J$8*(SUMIF($BH$3:$CE$3,"&lt;"&amp;$DF36,$AD36:$BA36)+SUMIF($BH$3:$CE$3,"&gt;"&amp;$CW$4,$AD36:$BA36)),
IF(CA$3=$DF36+'Model Setup'!$K$7,SUMIF($BH$3:$CE$3,"="&amp;$DF36+'Model Setup'!$K$7,$AD36:$BA36)+'Model Setup'!$K$8*(SUMIF($BH$3:$CE$3,"&lt;"&amp;$DF36,$AD36:$BA36)+SUMIF($BH$3:$CE$3,"&gt;"&amp;$CW$4,$AD36:$BA36)),
IF(CA$3=$DF36+'Model Setup'!$L$7,SUMIF($BH$3:$CE$3,"="&amp;$DF36+'Model Setup'!$L$7,$AD36:$BA36)+'Model Setup'!$L$8*(SUMIF($BH$3:$CE$3,"&lt;"&amp;$DF36,$AD36:$BA36)+SUMIF($BH$3:$CE$3,"&gt;"&amp;$CW$4,$AD36:$BA36)),
IF(CA$3=$DF36+'Model Setup'!$M$7,SUMIF($BH$3:$CE$3,"="&amp;$DF36+'Model Setup'!$M$7,$AD36:$BA36)+'Model Setup'!$M$8*(SUMIF($BH$3:$CE$3,"&lt;"&amp;$DF36,$AD36:$BA36)+SUMIF($BH$3:$CE$3,"&gt;"&amp;$CW$4,$AD36:$BA36)),
IF(CA$3=$DF36+'Model Setup'!$N$7,SUMIF($BH$3:$CE$3,"="&amp;$DF36+'Model Setup'!$N$7,$AD36:$BA36)+'Model Setup'!$N$8*(SUMIF($BH$3:$CE$3,"&lt;"&amp;$DF36,$AD36:$BA36)+SUMIF($BH$3:$CE$3,"&gt;"&amp;$CW$4,$AD36:$BA36)),
IF(CA$3&lt;$CW$4,U36,0))))))))))))))),0)</f>
        <v>0</v>
      </c>
      <c r="CB36" s="47">
        <f>ROUND(IF(OR(CB$3&lt;$DF36,CB$3&gt;$CW$4),0,
IF(CB$3=$DF36+'Model Setup'!$B$7,SUMIF($BH$3:$CE$3,"="&amp;$DF36+'Model Setup'!$B$7,$AD36:$BA36)+'Model Setup'!$B$8*(SUMIF($BH$3:$CE$3,"&lt;"&amp;$DF36,$AD36:$BA36)+SUMIF($BH$3:$CE$3,"&gt;"&amp;$CW$4,$AD36:$BA36)),
IF(CB$3=$DF36+'Model Setup'!$C$7,SUMIF($BH$3:$CE$3,"="&amp;$DF36+'Model Setup'!$C$7,$AD36:$BA36)+'Model Setup'!$C$8*(SUMIF($BH$3:$CE$3,"&lt;"&amp;$DF36,$AD36:$BA36)+SUMIF($BH$3:$CE$3,"&gt;"&amp;$CW$4,$AD36:$BA36)),
IF(CB$3=$DF36+'Model Setup'!$D$7,SUMIF($BH$3:$CE$3,"="&amp;$DF36+'Model Setup'!$D$7,$AD36:$BA36)+'Model Setup'!$D$8*(SUMIF($BH$3:$CE$3,"&lt;"&amp;$DF36,$AD36:$BA36)+SUMIF($BH$3:$CE$3,"&gt;"&amp;$CW$4,$AD36:$BA36)),
IF(CB$3=$DF36+'Model Setup'!$E$7,SUMIF($BH$3:$CE$3,"="&amp;$DF36+'Model Setup'!$E$7,$AD36:$BA36)+'Model Setup'!$E$8*(SUMIF($BH$3:$CE$3,"&lt;"&amp;$DF36,$AD36:$BA36)+SUMIF($BH$3:$CE$3,"&gt;"&amp;$CW$4,$AD36:$BA36)),
IF(CB$3=$DF36+'Model Setup'!$F$7,SUMIF($BH$3:$CE$3,"="&amp;$DF36+'Model Setup'!$F$7,$AD36:$BA36)+'Model Setup'!$F$8*(SUMIF($BH$3:$CE$3,"&lt;"&amp;$DF36,$AD36:$BA36)+SUMIF($BH$3:$CE$3,"&gt;"&amp;$CW$4,$AD36:$BA36)),
IF(CB$3=$DF36+'Model Setup'!$G$7,SUMIF($BH$3:$CE$3,"="&amp;$DF36+'Model Setup'!$G$7,$AD36:$BA36)+'Model Setup'!$G$8*(SUMIF($BH$3:$CE$3,"&lt;"&amp;$DF36,$AD36:$BA36)+SUMIF($BH$3:$CE$3,"&gt;"&amp;$CW$4,$AD36:$BA36)),
IF(CB$3=$DF36+'Model Setup'!$H$7,SUMIF($BH$3:$CE$3,"="&amp;$DF36+'Model Setup'!$H$7,$AD36:$BA36)+'Model Setup'!$H$8*(SUMIF($BH$3:$CE$3,"&lt;"&amp;$DF36,$AD36:$BA36)+SUMIF($BH$3:$CE$3,"&gt;"&amp;$CW$4,$AD36:$BA36)),
IF(CB$3=$DF36+'Model Setup'!$I$7,SUMIF($BH$3:$CE$3,"="&amp;$DF36+'Model Setup'!$I$7,$AD36:$BA36)+'Model Setup'!$I$8*(SUMIF($BH$3:$CE$3,"&lt;"&amp;$DF36,$AD36:$BA36)+SUMIF($BH$3:$CE$3,"&gt;"&amp;$CW$4,$AD36:$BA36)),
IF(CB$3=$DF36+'Model Setup'!$J$7,SUMIF($BH$3:$CE$3,"="&amp;$DF36+'Model Setup'!$J$7,$AD36:$BA36)+'Model Setup'!$J$8*(SUMIF($BH$3:$CE$3,"&lt;"&amp;$DF36,$AD36:$BA36)+SUMIF($BH$3:$CE$3,"&gt;"&amp;$CW$4,$AD36:$BA36)),
IF(CB$3=$DF36+'Model Setup'!$K$7,SUMIF($BH$3:$CE$3,"="&amp;$DF36+'Model Setup'!$K$7,$AD36:$BA36)+'Model Setup'!$K$8*(SUMIF($BH$3:$CE$3,"&lt;"&amp;$DF36,$AD36:$BA36)+SUMIF($BH$3:$CE$3,"&gt;"&amp;$CW$4,$AD36:$BA36)),
IF(CB$3=$DF36+'Model Setup'!$L$7,SUMIF($BH$3:$CE$3,"="&amp;$DF36+'Model Setup'!$L$7,$AD36:$BA36)+'Model Setup'!$L$8*(SUMIF($BH$3:$CE$3,"&lt;"&amp;$DF36,$AD36:$BA36)+SUMIF($BH$3:$CE$3,"&gt;"&amp;$CW$4,$AD36:$BA36)),
IF(CB$3=$DF36+'Model Setup'!$M$7,SUMIF($BH$3:$CE$3,"="&amp;$DF36+'Model Setup'!$M$7,$AD36:$BA36)+'Model Setup'!$M$8*(SUMIF($BH$3:$CE$3,"&lt;"&amp;$DF36,$AD36:$BA36)+SUMIF($BH$3:$CE$3,"&gt;"&amp;$CW$4,$AD36:$BA36)),
IF(CB$3=$DF36+'Model Setup'!$N$7,SUMIF($BH$3:$CE$3,"="&amp;$DF36+'Model Setup'!$N$7,$AD36:$BA36)+'Model Setup'!$N$8*(SUMIF($BH$3:$CE$3,"&lt;"&amp;$DF36,$AD36:$BA36)+SUMIF($BH$3:$CE$3,"&gt;"&amp;$CW$4,$AD36:$BA36)),
IF(CB$3&lt;$CW$4,V36,0))))))))))))))),0)</f>
        <v>0</v>
      </c>
      <c r="CC36" s="47">
        <f>ROUND(IF(OR(CC$3&lt;$DF36,CC$3&gt;$CW$4),0,
IF(CC$3=$DF36+'Model Setup'!$B$7,SUMIF($BH$3:$CE$3,"="&amp;$DF36+'Model Setup'!$B$7,$AD36:$BA36)+'Model Setup'!$B$8*(SUMIF($BH$3:$CE$3,"&lt;"&amp;$DF36,$AD36:$BA36)+SUMIF($BH$3:$CE$3,"&gt;"&amp;$CW$4,$AD36:$BA36)),
IF(CC$3=$DF36+'Model Setup'!$C$7,SUMIF($BH$3:$CE$3,"="&amp;$DF36+'Model Setup'!$C$7,$AD36:$BA36)+'Model Setup'!$C$8*(SUMIF($BH$3:$CE$3,"&lt;"&amp;$DF36,$AD36:$BA36)+SUMIF($BH$3:$CE$3,"&gt;"&amp;$CW$4,$AD36:$BA36)),
IF(CC$3=$DF36+'Model Setup'!$D$7,SUMIF($BH$3:$CE$3,"="&amp;$DF36+'Model Setup'!$D$7,$AD36:$BA36)+'Model Setup'!$D$8*(SUMIF($BH$3:$CE$3,"&lt;"&amp;$DF36,$AD36:$BA36)+SUMIF($BH$3:$CE$3,"&gt;"&amp;$CW$4,$AD36:$BA36)),
IF(CC$3=$DF36+'Model Setup'!$E$7,SUMIF($BH$3:$CE$3,"="&amp;$DF36+'Model Setup'!$E$7,$AD36:$BA36)+'Model Setup'!$E$8*(SUMIF($BH$3:$CE$3,"&lt;"&amp;$DF36,$AD36:$BA36)+SUMIF($BH$3:$CE$3,"&gt;"&amp;$CW$4,$AD36:$BA36)),
IF(CC$3=$DF36+'Model Setup'!$F$7,SUMIF($BH$3:$CE$3,"="&amp;$DF36+'Model Setup'!$F$7,$AD36:$BA36)+'Model Setup'!$F$8*(SUMIF($BH$3:$CE$3,"&lt;"&amp;$DF36,$AD36:$BA36)+SUMIF($BH$3:$CE$3,"&gt;"&amp;$CW$4,$AD36:$BA36)),
IF(CC$3=$DF36+'Model Setup'!$G$7,SUMIF($BH$3:$CE$3,"="&amp;$DF36+'Model Setup'!$G$7,$AD36:$BA36)+'Model Setup'!$G$8*(SUMIF($BH$3:$CE$3,"&lt;"&amp;$DF36,$AD36:$BA36)+SUMIF($BH$3:$CE$3,"&gt;"&amp;$CW$4,$AD36:$BA36)),
IF(CC$3=$DF36+'Model Setup'!$H$7,SUMIF($BH$3:$CE$3,"="&amp;$DF36+'Model Setup'!$H$7,$AD36:$BA36)+'Model Setup'!$H$8*(SUMIF($BH$3:$CE$3,"&lt;"&amp;$DF36,$AD36:$BA36)+SUMIF($BH$3:$CE$3,"&gt;"&amp;$CW$4,$AD36:$BA36)),
IF(CC$3=$DF36+'Model Setup'!$I$7,SUMIF($BH$3:$CE$3,"="&amp;$DF36+'Model Setup'!$I$7,$AD36:$BA36)+'Model Setup'!$I$8*(SUMIF($BH$3:$CE$3,"&lt;"&amp;$DF36,$AD36:$BA36)+SUMIF($BH$3:$CE$3,"&gt;"&amp;$CW$4,$AD36:$BA36)),
IF(CC$3=$DF36+'Model Setup'!$J$7,SUMIF($BH$3:$CE$3,"="&amp;$DF36+'Model Setup'!$J$7,$AD36:$BA36)+'Model Setup'!$J$8*(SUMIF($BH$3:$CE$3,"&lt;"&amp;$DF36,$AD36:$BA36)+SUMIF($BH$3:$CE$3,"&gt;"&amp;$CW$4,$AD36:$BA36)),
IF(CC$3=$DF36+'Model Setup'!$K$7,SUMIF($BH$3:$CE$3,"="&amp;$DF36+'Model Setup'!$K$7,$AD36:$BA36)+'Model Setup'!$K$8*(SUMIF($BH$3:$CE$3,"&lt;"&amp;$DF36,$AD36:$BA36)+SUMIF($BH$3:$CE$3,"&gt;"&amp;$CW$4,$AD36:$BA36)),
IF(CC$3=$DF36+'Model Setup'!$L$7,SUMIF($BH$3:$CE$3,"="&amp;$DF36+'Model Setup'!$L$7,$AD36:$BA36)+'Model Setup'!$L$8*(SUMIF($BH$3:$CE$3,"&lt;"&amp;$DF36,$AD36:$BA36)+SUMIF($BH$3:$CE$3,"&gt;"&amp;$CW$4,$AD36:$BA36)),
IF(CC$3=$DF36+'Model Setup'!$M$7,SUMIF($BH$3:$CE$3,"="&amp;$DF36+'Model Setup'!$M$7,$AD36:$BA36)+'Model Setup'!$M$8*(SUMIF($BH$3:$CE$3,"&lt;"&amp;$DF36,$AD36:$BA36)+SUMIF($BH$3:$CE$3,"&gt;"&amp;$CW$4,$AD36:$BA36)),
IF(CC$3=$DF36+'Model Setup'!$N$7,SUMIF($BH$3:$CE$3,"="&amp;$DF36+'Model Setup'!$N$7,$AD36:$BA36)+'Model Setup'!$N$8*(SUMIF($BH$3:$CE$3,"&lt;"&amp;$DF36,$AD36:$BA36)+SUMIF($BH$3:$CE$3,"&gt;"&amp;$CW$4,$AD36:$BA36)),
IF(CC$3&lt;$CW$4,W36,0))))))))))))))),0)</f>
        <v>0</v>
      </c>
      <c r="CD36" s="47">
        <f>ROUND(IF(OR(CD$3&lt;$DF36,CD$3&gt;$CW$4),0,
IF(CD$3=$DF36+'Model Setup'!$B$7,SUMIF($BH$3:$CE$3,"="&amp;$DF36+'Model Setup'!$B$7,$AD36:$BA36)+'Model Setup'!$B$8*(SUMIF($BH$3:$CE$3,"&lt;"&amp;$DF36,$AD36:$BA36)+SUMIF($BH$3:$CE$3,"&gt;"&amp;$CW$4,$AD36:$BA36)),
IF(CD$3=$DF36+'Model Setup'!$C$7,SUMIF($BH$3:$CE$3,"="&amp;$DF36+'Model Setup'!$C$7,$AD36:$BA36)+'Model Setup'!$C$8*(SUMIF($BH$3:$CE$3,"&lt;"&amp;$DF36,$AD36:$BA36)+SUMIF($BH$3:$CE$3,"&gt;"&amp;$CW$4,$AD36:$BA36)),
IF(CD$3=$DF36+'Model Setup'!$D$7,SUMIF($BH$3:$CE$3,"="&amp;$DF36+'Model Setup'!$D$7,$AD36:$BA36)+'Model Setup'!$D$8*(SUMIF($BH$3:$CE$3,"&lt;"&amp;$DF36,$AD36:$BA36)+SUMIF($BH$3:$CE$3,"&gt;"&amp;$CW$4,$AD36:$BA36)),
IF(CD$3=$DF36+'Model Setup'!$E$7,SUMIF($BH$3:$CE$3,"="&amp;$DF36+'Model Setup'!$E$7,$AD36:$BA36)+'Model Setup'!$E$8*(SUMIF($BH$3:$CE$3,"&lt;"&amp;$DF36,$AD36:$BA36)+SUMIF($BH$3:$CE$3,"&gt;"&amp;$CW$4,$AD36:$BA36)),
IF(CD$3=$DF36+'Model Setup'!$F$7,SUMIF($BH$3:$CE$3,"="&amp;$DF36+'Model Setup'!$F$7,$AD36:$BA36)+'Model Setup'!$F$8*(SUMIF($BH$3:$CE$3,"&lt;"&amp;$DF36,$AD36:$BA36)+SUMIF($BH$3:$CE$3,"&gt;"&amp;$CW$4,$AD36:$BA36)),
IF(CD$3=$DF36+'Model Setup'!$G$7,SUMIF($BH$3:$CE$3,"="&amp;$DF36+'Model Setup'!$G$7,$AD36:$BA36)+'Model Setup'!$G$8*(SUMIF($BH$3:$CE$3,"&lt;"&amp;$DF36,$AD36:$BA36)+SUMIF($BH$3:$CE$3,"&gt;"&amp;$CW$4,$AD36:$BA36)),
IF(CD$3=$DF36+'Model Setup'!$H$7,SUMIF($BH$3:$CE$3,"="&amp;$DF36+'Model Setup'!$H$7,$AD36:$BA36)+'Model Setup'!$H$8*(SUMIF($BH$3:$CE$3,"&lt;"&amp;$DF36,$AD36:$BA36)+SUMIF($BH$3:$CE$3,"&gt;"&amp;$CW$4,$AD36:$BA36)),
IF(CD$3=$DF36+'Model Setup'!$I$7,SUMIF($BH$3:$CE$3,"="&amp;$DF36+'Model Setup'!$I$7,$AD36:$BA36)+'Model Setup'!$I$8*(SUMIF($BH$3:$CE$3,"&lt;"&amp;$DF36,$AD36:$BA36)+SUMIF($BH$3:$CE$3,"&gt;"&amp;$CW$4,$AD36:$BA36)),
IF(CD$3=$DF36+'Model Setup'!$J$7,SUMIF($BH$3:$CE$3,"="&amp;$DF36+'Model Setup'!$J$7,$AD36:$BA36)+'Model Setup'!$J$8*(SUMIF($BH$3:$CE$3,"&lt;"&amp;$DF36,$AD36:$BA36)+SUMIF($BH$3:$CE$3,"&gt;"&amp;$CW$4,$AD36:$BA36)),
IF(CD$3=$DF36+'Model Setup'!$K$7,SUMIF($BH$3:$CE$3,"="&amp;$DF36+'Model Setup'!$K$7,$AD36:$BA36)+'Model Setup'!$K$8*(SUMIF($BH$3:$CE$3,"&lt;"&amp;$DF36,$AD36:$BA36)+SUMIF($BH$3:$CE$3,"&gt;"&amp;$CW$4,$AD36:$BA36)),
IF(CD$3=$DF36+'Model Setup'!$L$7,SUMIF($BH$3:$CE$3,"="&amp;$DF36+'Model Setup'!$L$7,$AD36:$BA36)+'Model Setup'!$L$8*(SUMIF($BH$3:$CE$3,"&lt;"&amp;$DF36,$AD36:$BA36)+SUMIF($BH$3:$CE$3,"&gt;"&amp;$CW$4,$AD36:$BA36)),
IF(CD$3=$DF36+'Model Setup'!$M$7,SUMIF($BH$3:$CE$3,"="&amp;$DF36+'Model Setup'!$M$7,$AD36:$BA36)+'Model Setup'!$M$8*(SUMIF($BH$3:$CE$3,"&lt;"&amp;$DF36,$AD36:$BA36)+SUMIF($BH$3:$CE$3,"&gt;"&amp;$CW$4,$AD36:$BA36)),
IF(CD$3=$DF36+'Model Setup'!$N$7,SUMIF($BH$3:$CE$3,"="&amp;$DF36+'Model Setup'!$N$7,$AD36:$BA36)+'Model Setup'!$N$8*(SUMIF($BH$3:$CE$3,"&lt;"&amp;$DF36,$AD36:$BA36)+SUMIF($BH$3:$CE$3,"&gt;"&amp;$CW$4,$AD36:$BA36)),
IF(CD$3&lt;$CW$4,X36,0))))))))))))))),0)</f>
        <v>0</v>
      </c>
      <c r="CE36" s="47">
        <f>ROUND(IF(OR(CE$3&lt;$DF36,CE$3&gt;$CW$4),0,
IF(CE$3=$DF36+'Model Setup'!$B$7,SUMIF($BH$3:$CE$3,"="&amp;$DF36+'Model Setup'!$B$7,$AD36:$BA36)+'Model Setup'!$B$8*(SUMIF($BH$3:$CE$3,"&lt;"&amp;$DF36,$AD36:$BA36)+SUMIF($BH$3:$CE$3,"&gt;"&amp;$CW$4,$AD36:$BA36)),
IF(CE$3=$DF36+'Model Setup'!$C$7,SUMIF($BH$3:$CE$3,"="&amp;$DF36+'Model Setup'!$C$7,$AD36:$BA36)+'Model Setup'!$C$8*(SUMIF($BH$3:$CE$3,"&lt;"&amp;$DF36,$AD36:$BA36)+SUMIF($BH$3:$CE$3,"&gt;"&amp;$CW$4,$AD36:$BA36)),
IF(CE$3=$DF36+'Model Setup'!$D$7,SUMIF($BH$3:$CE$3,"="&amp;$DF36+'Model Setup'!$D$7,$AD36:$BA36)+'Model Setup'!$D$8*(SUMIF($BH$3:$CE$3,"&lt;"&amp;$DF36,$AD36:$BA36)+SUMIF($BH$3:$CE$3,"&gt;"&amp;$CW$4,$AD36:$BA36)),
IF(CE$3=$DF36+'Model Setup'!$E$7,SUMIF($BH$3:$CE$3,"="&amp;$DF36+'Model Setup'!$E$7,$AD36:$BA36)+'Model Setup'!$E$8*(SUMIF($BH$3:$CE$3,"&lt;"&amp;$DF36,$AD36:$BA36)+SUMIF($BH$3:$CE$3,"&gt;"&amp;$CW$4,$AD36:$BA36)),
IF(CE$3=$DF36+'Model Setup'!$F$7,SUMIF($BH$3:$CE$3,"="&amp;$DF36+'Model Setup'!$F$7,$AD36:$BA36)+'Model Setup'!$F$8*(SUMIF($BH$3:$CE$3,"&lt;"&amp;$DF36,$AD36:$BA36)+SUMIF($BH$3:$CE$3,"&gt;"&amp;$CW$4,$AD36:$BA36)),
IF(CE$3=$DF36+'Model Setup'!$G$7,SUMIF($BH$3:$CE$3,"="&amp;$DF36+'Model Setup'!$G$7,$AD36:$BA36)+'Model Setup'!$G$8*(SUMIF($BH$3:$CE$3,"&lt;"&amp;$DF36,$AD36:$BA36)+SUMIF($BH$3:$CE$3,"&gt;"&amp;$CW$4,$AD36:$BA36)),
IF(CE$3=$DF36+'Model Setup'!$H$7,SUMIF($BH$3:$CE$3,"="&amp;$DF36+'Model Setup'!$H$7,$AD36:$BA36)+'Model Setup'!$H$8*(SUMIF($BH$3:$CE$3,"&lt;"&amp;$DF36,$AD36:$BA36)+SUMIF($BH$3:$CE$3,"&gt;"&amp;$CW$4,$AD36:$BA36)),
IF(CE$3=$DF36+'Model Setup'!$I$7,SUMIF($BH$3:$CE$3,"="&amp;$DF36+'Model Setup'!$I$7,$AD36:$BA36)+'Model Setup'!$I$8*(SUMIF($BH$3:$CE$3,"&lt;"&amp;$DF36,$AD36:$BA36)+SUMIF($BH$3:$CE$3,"&gt;"&amp;$CW$4,$AD36:$BA36)),
IF(CE$3=$DF36+'Model Setup'!$J$7,SUMIF($BH$3:$CE$3,"="&amp;$DF36+'Model Setup'!$J$7,$AD36:$BA36)+'Model Setup'!$J$8*(SUMIF($BH$3:$CE$3,"&lt;"&amp;$DF36,$AD36:$BA36)+SUMIF($BH$3:$CE$3,"&gt;"&amp;$CW$4,$AD36:$BA36)),
IF(CE$3=$DF36+'Model Setup'!$K$7,SUMIF($BH$3:$CE$3,"="&amp;$DF36+'Model Setup'!$K$7,$AD36:$BA36)+'Model Setup'!$K$8*(SUMIF($BH$3:$CE$3,"&lt;"&amp;$DF36,$AD36:$BA36)+SUMIF($BH$3:$CE$3,"&gt;"&amp;$CW$4,$AD36:$BA36)),
IF(CE$3=$DF36+'Model Setup'!$L$7,SUMIF($BH$3:$CE$3,"="&amp;$DF36+'Model Setup'!$L$7,$AD36:$BA36)+'Model Setup'!$L$8*(SUMIF($BH$3:$CE$3,"&lt;"&amp;$DF36,$AD36:$BA36)+SUMIF($BH$3:$CE$3,"&gt;"&amp;$CW$4,$AD36:$BA36)),
IF(CE$3=$DF36+'Model Setup'!$M$7,SUMIF($BH$3:$CE$3,"="&amp;$DF36+'Model Setup'!$M$7,$AD36:$BA36)+'Model Setup'!$M$8*(SUMIF($BH$3:$CE$3,"&lt;"&amp;$DF36,$AD36:$BA36)+SUMIF($BH$3:$CE$3,"&gt;"&amp;$CW$4,$AD36:$BA36)),
IF(CE$3=$DF36+'Model Setup'!$N$7,SUMIF($BH$3:$CE$3,"="&amp;$DF36+'Model Setup'!$N$7,$AD36:$BA36)+'Model Setup'!$N$8*(SUMIF($BH$3:$CE$3,"&lt;"&amp;$DF36,$AD36:$BA36)+SUMIF($BH$3:$CE$3,"&gt;"&amp;$CW$4,$AD36:$BA36)),
IF(CE$3&lt;$CW$4,Y36,0))))))))))))))),0)</f>
        <v>0</v>
      </c>
      <c r="CF36" s="47">
        <f t="shared" si="3"/>
        <v>1665</v>
      </c>
      <c r="CG36" s="47">
        <f t="shared" si="4"/>
        <v>0</v>
      </c>
      <c r="CI36" s="10" t="s">
        <v>51</v>
      </c>
      <c r="CJ36" s="126">
        <f t="shared" si="9"/>
        <v>48</v>
      </c>
      <c r="CK36" s="126">
        <f t="shared" si="10"/>
        <v>142</v>
      </c>
      <c r="CL36" s="126">
        <f t="shared" si="11"/>
        <v>156</v>
      </c>
      <c r="CM36" s="126">
        <f t="shared" si="12"/>
        <v>176</v>
      </c>
      <c r="CN36" s="126">
        <f t="shared" si="13"/>
        <v>208</v>
      </c>
      <c r="CO36" s="126">
        <f t="shared" si="14"/>
        <v>180</v>
      </c>
      <c r="CP36" s="126">
        <f t="shared" si="15"/>
        <v>146</v>
      </c>
      <c r="CQ36" s="126">
        <f t="shared" si="16"/>
        <v>124</v>
      </c>
      <c r="CR36" s="126">
        <f t="shared" si="17"/>
        <v>112</v>
      </c>
      <c r="CS36" s="126">
        <f t="shared" si="18"/>
        <v>77</v>
      </c>
      <c r="CT36" s="126">
        <f t="shared" si="19"/>
        <v>97</v>
      </c>
      <c r="CU36" s="126">
        <f t="shared" si="20"/>
        <v>115</v>
      </c>
      <c r="CV36" s="126">
        <f t="shared" si="21"/>
        <v>84</v>
      </c>
      <c r="CW36" s="126">
        <f t="shared" si="22"/>
        <v>0</v>
      </c>
      <c r="CX36" s="126">
        <f t="shared" si="23"/>
        <v>0</v>
      </c>
      <c r="CY36" s="126">
        <f t="shared" si="24"/>
        <v>0</v>
      </c>
      <c r="CZ36" s="47">
        <f t="shared" si="7"/>
        <v>1665</v>
      </c>
      <c r="DC36" s="93" t="s">
        <v>51</v>
      </c>
      <c r="DD36" s="89">
        <f>FTC!E34</f>
        <v>0.20833333333333334</v>
      </c>
      <c r="DE36" s="89">
        <f>FTC!F34</f>
        <v>0.75</v>
      </c>
      <c r="DF36" s="90">
        <f t="shared" si="25"/>
        <v>5</v>
      </c>
      <c r="DG36" s="91">
        <f t="shared" si="26"/>
        <v>18</v>
      </c>
      <c r="DH36" s="91">
        <f t="shared" si="27"/>
        <v>13</v>
      </c>
    </row>
    <row r="37" spans="1:112" x14ac:dyDescent="0.35">
      <c r="A37" s="43" t="s">
        <v>52</v>
      </c>
      <c r="B37" s="47">
        <v>1</v>
      </c>
      <c r="C37" s="6"/>
      <c r="D37" s="47">
        <v>3</v>
      </c>
      <c r="E37" s="47">
        <v>1</v>
      </c>
      <c r="F37" s="6"/>
      <c r="G37" s="47">
        <v>3</v>
      </c>
      <c r="H37" s="47">
        <v>38</v>
      </c>
      <c r="I37" s="47">
        <v>35</v>
      </c>
      <c r="J37" s="47">
        <v>50</v>
      </c>
      <c r="K37" s="47">
        <v>42</v>
      </c>
      <c r="L37" s="47">
        <v>39</v>
      </c>
      <c r="M37" s="47">
        <v>32</v>
      </c>
      <c r="N37" s="47">
        <v>19</v>
      </c>
      <c r="O37" s="47">
        <v>26</v>
      </c>
      <c r="P37" s="47">
        <v>12</v>
      </c>
      <c r="Q37" s="47">
        <v>16</v>
      </c>
      <c r="R37" s="47">
        <v>10</v>
      </c>
      <c r="S37" s="47">
        <v>5</v>
      </c>
      <c r="T37" s="47">
        <v>4</v>
      </c>
      <c r="U37" s="47">
        <v>2</v>
      </c>
      <c r="V37" s="47">
        <v>3</v>
      </c>
      <c r="W37" s="47">
        <v>7</v>
      </c>
      <c r="X37" s="47">
        <v>2</v>
      </c>
      <c r="Y37" s="47">
        <v>3</v>
      </c>
      <c r="Z37" s="47">
        <f t="shared" si="0"/>
        <v>353</v>
      </c>
      <c r="AC37" s="43" t="s">
        <v>52</v>
      </c>
      <c r="AD37" s="47">
        <f>ROUND(IF(AD$3&lt;$DF37,0,
IF(AD$3=$DF37+'Model Setup'!$B$7,SUMIF($AD$3:$BA$3,"="&amp;$DF37+'Model Setup'!$B$7,$B37:$Y37)+'Model Setup'!$B$8*(SUMIF($AD$3:$BA$3,"&lt;"&amp;$DF37,$B37:$Y37)+SUMIF($AD$3:$BA$3,"&gt;="&amp;$DG37,$B37:$Y37)),
IF(AD$3=$DF37+'Model Setup'!$C$7,SUMIF($AD$3:$BA$3,"="&amp;$DF37+'Model Setup'!$C$7,$B37:$Y37)+'Model Setup'!$C$8*(SUMIF($AD$3:$BA$3,"&lt;"&amp;$DF37,$B37:$Y37)+SUMIF($AD$3:$BA$3,"&gt;="&amp;$DG37,$B37:$Y37)),
IF(AD$3=$DF37+'Model Setup'!$D$7,SUMIF($AD$3:$BA$3,"="&amp;$DF37+'Model Setup'!$D$7,$B37:$Y37)+'Model Setup'!$D$8*(SUMIF($AD$3:$BA$3,"&lt;"&amp;$DF37,$B37:$Y37)+SUMIF($AD$3:$BA$3,"&gt;="&amp;$DG37,$B37:$Y37)),
IF(AD$3=$DF37+'Model Setup'!$E$7,SUMIF($AD$3:$BA$3,"="&amp;$DF37+'Model Setup'!$E$7,$B37:$Y37)+'Model Setup'!$E$8*(SUMIF($AD$3:$BA$3,"&lt;"&amp;$DF37,$B37:$Y37)+SUMIF($AD$3:$BA$3,"&gt;="&amp;$DG37,$B37:$Y37)),
IF(AD$3=$DF37+'Model Setup'!$F$7,SUMIF($AD$3:$BA$3,"="&amp;$DF37+'Model Setup'!$F$7,$B37:$Y37)+'Model Setup'!$F$8*(SUMIF($AD$3:$BA$3,"&lt;"&amp;$DF37,$B37:$Y37)+SUMIF($AD$3:$BA$3,"&gt;="&amp;$DG37,$B37:$Y37)),
IF(AD$3=$DF37+'Model Setup'!$G$7,SUMIF($AD$3:$BA$3,"="&amp;$DF37+'Model Setup'!$G$7,$B37:$Y37)+'Model Setup'!$G$8*(SUMIF($AD$3:$BA$3,"&lt;"&amp;$DF37,$B37:$Y37)+SUMIF($AD$3:$BA$3,"&gt;="&amp;$DG37,$B37:$Y37)),
IF(AD$3=$DF37+'Model Setup'!$H$7,SUMIF($AD$3:$BA$3,"="&amp;$DF37+'Model Setup'!$H$7,$B37:$Y37)+'Model Setup'!$H$8*(SUMIF($AD$3:$BA$3,"&lt;"&amp;$DF37,$B37:$Y37)+SUMIF($AD$3:$BA$3,"&gt;="&amp;$DG37,$B37:$Y37)),
IF(AD$3=$DF37+'Model Setup'!$I$7,SUMIF($AD$3:$BA$3,"="&amp;$DF37+'Model Setup'!$I$7,$B37:$Y37)+'Model Setup'!$I$8*(SUMIF($AD$3:$BA$3,"&lt;"&amp;$DF37,$B37:$Y37)+SUMIF($AD$3:$BA$3,"&gt;="&amp;$DG37,$B37:$Y37)),
IF(AD$3=$DF37+'Model Setup'!$J$7,SUMIF($AD$3:$BA$3,"="&amp;$DF37+'Model Setup'!$J$7,$B37:$Y37)+'Model Setup'!$J$8*(SUMIF($AD$3:$BA$3,"&lt;"&amp;$DF37,$B37:$Y37)+SUMIF($AD$3:$BA$3,"&gt;="&amp;$DG37,$B37:$Y37)),
IF(AD$3=$DF37+'Model Setup'!$K$7,SUMIF($AD$3:$BA$3,"="&amp;$DF37+'Model Setup'!$K$7,$B37:$Y37)+'Model Setup'!$K$8*(SUMIF($AD$3:$BA$3,"&lt;"&amp;$DF37,$B37:$Y37)+SUMIF($AD$3:$BA$3,"&gt;="&amp;$DG37,$B37:$Y37)),
IF(AD$3=$DF37+'Model Setup'!$L$7,SUMIF($AD$3:$BA$3,"="&amp;$DF37+'Model Setup'!$L$7,$B37:$Y37)+'Model Setup'!$L$8*(SUMIF($AD$3:$BA$3,"&lt;"&amp;$DF37,$B37:$Y37)+SUMIF($AD$3:$BA$3,"&gt;="&amp;$DG37,$B37:$Y37)),
IF(AD$3=$DF37+'Model Setup'!$M$7,SUMIF($AD$3:$BA$3,"="&amp;$DF37+'Model Setup'!$M$7,$B37:$Y37)+'Model Setup'!$M$8*(SUMIF($AD$3:$BA$3,"&lt;"&amp;$DF37,$B37:$Y37)+SUMIF($AD$3:$BA$3,"&gt;="&amp;$DG37,$B37:$Y37)),
IF(AD$3=$DF37+'Model Setup'!$N$7,SUMIF($AD$3:$BA$3,"="&amp;$DF37+'Model Setup'!$N$7,$B37:$Y37)+'Model Setup'!$N$8*(SUMIF($AD$3:$BA$3,"&lt;"&amp;$DF37,$B37:$Y37)+SUMIF($AD$3:$BA$3,"&gt;="&amp;$DG37,$B37:$Y37)),
IF(AD$3&lt;$DG37,B37,0))))))))))))))),0)</f>
        <v>0</v>
      </c>
      <c r="AE37" s="47">
        <f>ROUND(IF(AE$3&lt;$DF37,0,
IF(AE$3=$DF37+'Model Setup'!$B$7,SUMIF($AD$3:$BA$3,"="&amp;$DF37+'Model Setup'!$B$7,$B37:$Y37)+'Model Setup'!$B$8*(SUMIF($AD$3:$BA$3,"&lt;"&amp;$DF37,$B37:$Y37)+SUMIF($AD$3:$BA$3,"&gt;="&amp;$DG37,$B37:$Y37)),
IF(AE$3=$DF37+'Model Setup'!$C$7,SUMIF($AD$3:$BA$3,"="&amp;$DF37+'Model Setup'!$C$7,$B37:$Y37)+'Model Setup'!$C$8*(SUMIF($AD$3:$BA$3,"&lt;"&amp;$DF37,$B37:$Y37)+SUMIF($AD$3:$BA$3,"&gt;="&amp;$DG37,$B37:$Y37)),
IF(AE$3=$DF37+'Model Setup'!$D$7,SUMIF($AD$3:$BA$3,"="&amp;$DF37+'Model Setup'!$D$7,$B37:$Y37)+'Model Setup'!$D$8*(SUMIF($AD$3:$BA$3,"&lt;"&amp;$DF37,$B37:$Y37)+SUMIF($AD$3:$BA$3,"&gt;="&amp;$DG37,$B37:$Y37)),
IF(AE$3=$DF37+'Model Setup'!$E$7,SUMIF($AD$3:$BA$3,"="&amp;$DF37+'Model Setup'!$E$7,$B37:$Y37)+'Model Setup'!$E$8*(SUMIF($AD$3:$BA$3,"&lt;"&amp;$DF37,$B37:$Y37)+SUMIF($AD$3:$BA$3,"&gt;="&amp;$DG37,$B37:$Y37)),
IF(AE$3=$DF37+'Model Setup'!$F$7,SUMIF($AD$3:$BA$3,"="&amp;$DF37+'Model Setup'!$F$7,$B37:$Y37)+'Model Setup'!$F$8*(SUMIF($AD$3:$BA$3,"&lt;"&amp;$DF37,$B37:$Y37)+SUMIF($AD$3:$BA$3,"&gt;="&amp;$DG37,$B37:$Y37)),
IF(AE$3=$DF37+'Model Setup'!$G$7,SUMIF($AD$3:$BA$3,"="&amp;$DF37+'Model Setup'!$G$7,$B37:$Y37)+'Model Setup'!$G$8*(SUMIF($AD$3:$BA$3,"&lt;"&amp;$DF37,$B37:$Y37)+SUMIF($AD$3:$BA$3,"&gt;="&amp;$DG37,$B37:$Y37)),
IF(AE$3=$DF37+'Model Setup'!$H$7,SUMIF($AD$3:$BA$3,"="&amp;$DF37+'Model Setup'!$H$7,$B37:$Y37)+'Model Setup'!$H$8*(SUMIF($AD$3:$BA$3,"&lt;"&amp;$DF37,$B37:$Y37)+SUMIF($AD$3:$BA$3,"&gt;="&amp;$DG37,$B37:$Y37)),
IF(AE$3=$DF37+'Model Setup'!$I$7,SUMIF($AD$3:$BA$3,"="&amp;$DF37+'Model Setup'!$I$7,$B37:$Y37)+'Model Setup'!$I$8*(SUMIF($AD$3:$BA$3,"&lt;"&amp;$DF37,$B37:$Y37)+SUMIF($AD$3:$BA$3,"&gt;="&amp;$DG37,$B37:$Y37)),
IF(AE$3=$DF37+'Model Setup'!$J$7,SUMIF($AD$3:$BA$3,"="&amp;$DF37+'Model Setup'!$J$7,$B37:$Y37)+'Model Setup'!$J$8*(SUMIF($AD$3:$BA$3,"&lt;"&amp;$DF37,$B37:$Y37)+SUMIF($AD$3:$BA$3,"&gt;="&amp;$DG37,$B37:$Y37)),
IF(AE$3=$DF37+'Model Setup'!$K$7,SUMIF($AD$3:$BA$3,"="&amp;$DF37+'Model Setup'!$K$7,$B37:$Y37)+'Model Setup'!$K$8*(SUMIF($AD$3:$BA$3,"&lt;"&amp;$DF37,$B37:$Y37)+SUMIF($AD$3:$BA$3,"&gt;="&amp;$DG37,$B37:$Y37)),
IF(AE$3=$DF37+'Model Setup'!$L$7,SUMIF($AD$3:$BA$3,"="&amp;$DF37+'Model Setup'!$L$7,$B37:$Y37)+'Model Setup'!$L$8*(SUMIF($AD$3:$BA$3,"&lt;"&amp;$DF37,$B37:$Y37)+SUMIF($AD$3:$BA$3,"&gt;="&amp;$DG37,$B37:$Y37)),
IF(AE$3=$DF37+'Model Setup'!$M$7,SUMIF($AD$3:$BA$3,"="&amp;$DF37+'Model Setup'!$M$7,$B37:$Y37)+'Model Setup'!$M$8*(SUMIF($AD$3:$BA$3,"&lt;"&amp;$DF37,$B37:$Y37)+SUMIF($AD$3:$BA$3,"&gt;="&amp;$DG37,$B37:$Y37)),
IF(AE$3=$DF37+'Model Setup'!$N$7,SUMIF($AD$3:$BA$3,"="&amp;$DF37+'Model Setup'!$N$7,$B37:$Y37)+'Model Setup'!$N$8*(SUMIF($AD$3:$BA$3,"&lt;"&amp;$DF37,$B37:$Y37)+SUMIF($AD$3:$BA$3,"&gt;="&amp;$DG37,$B37:$Y37)),
IF(AE$3&lt;$DG37,C37,0))))))))))))))),0)</f>
        <v>0</v>
      </c>
      <c r="AF37" s="47">
        <f>ROUND(IF(AF$3&lt;$DF37,0,
IF(AF$3=$DF37+'Model Setup'!$B$7,SUMIF($AD$3:$BA$3,"="&amp;$DF37+'Model Setup'!$B$7,$B37:$Y37)+'Model Setup'!$B$8*(SUMIF($AD$3:$BA$3,"&lt;"&amp;$DF37,$B37:$Y37)+SUMIF($AD$3:$BA$3,"&gt;="&amp;$DG37,$B37:$Y37)),
IF(AF$3=$DF37+'Model Setup'!$C$7,SUMIF($AD$3:$BA$3,"="&amp;$DF37+'Model Setup'!$C$7,$B37:$Y37)+'Model Setup'!$C$8*(SUMIF($AD$3:$BA$3,"&lt;"&amp;$DF37,$B37:$Y37)+SUMIF($AD$3:$BA$3,"&gt;="&amp;$DG37,$B37:$Y37)),
IF(AF$3=$DF37+'Model Setup'!$D$7,SUMIF($AD$3:$BA$3,"="&amp;$DF37+'Model Setup'!$D$7,$B37:$Y37)+'Model Setup'!$D$8*(SUMIF($AD$3:$BA$3,"&lt;"&amp;$DF37,$B37:$Y37)+SUMIF($AD$3:$BA$3,"&gt;="&amp;$DG37,$B37:$Y37)),
IF(AF$3=$DF37+'Model Setup'!$E$7,SUMIF($AD$3:$BA$3,"="&amp;$DF37+'Model Setup'!$E$7,$B37:$Y37)+'Model Setup'!$E$8*(SUMIF($AD$3:$BA$3,"&lt;"&amp;$DF37,$B37:$Y37)+SUMIF($AD$3:$BA$3,"&gt;="&amp;$DG37,$B37:$Y37)),
IF(AF$3=$DF37+'Model Setup'!$F$7,SUMIF($AD$3:$BA$3,"="&amp;$DF37+'Model Setup'!$F$7,$B37:$Y37)+'Model Setup'!$F$8*(SUMIF($AD$3:$BA$3,"&lt;"&amp;$DF37,$B37:$Y37)+SUMIF($AD$3:$BA$3,"&gt;="&amp;$DG37,$B37:$Y37)),
IF(AF$3=$DF37+'Model Setup'!$G$7,SUMIF($AD$3:$BA$3,"="&amp;$DF37+'Model Setup'!$G$7,$B37:$Y37)+'Model Setup'!$G$8*(SUMIF($AD$3:$BA$3,"&lt;"&amp;$DF37,$B37:$Y37)+SUMIF($AD$3:$BA$3,"&gt;="&amp;$DG37,$B37:$Y37)),
IF(AF$3=$DF37+'Model Setup'!$H$7,SUMIF($AD$3:$BA$3,"="&amp;$DF37+'Model Setup'!$H$7,$B37:$Y37)+'Model Setup'!$H$8*(SUMIF($AD$3:$BA$3,"&lt;"&amp;$DF37,$B37:$Y37)+SUMIF($AD$3:$BA$3,"&gt;="&amp;$DG37,$B37:$Y37)),
IF(AF$3=$DF37+'Model Setup'!$I$7,SUMIF($AD$3:$BA$3,"="&amp;$DF37+'Model Setup'!$I$7,$B37:$Y37)+'Model Setup'!$I$8*(SUMIF($AD$3:$BA$3,"&lt;"&amp;$DF37,$B37:$Y37)+SUMIF($AD$3:$BA$3,"&gt;="&amp;$DG37,$B37:$Y37)),
IF(AF$3=$DF37+'Model Setup'!$J$7,SUMIF($AD$3:$BA$3,"="&amp;$DF37+'Model Setup'!$J$7,$B37:$Y37)+'Model Setup'!$J$8*(SUMIF($AD$3:$BA$3,"&lt;"&amp;$DF37,$B37:$Y37)+SUMIF($AD$3:$BA$3,"&gt;="&amp;$DG37,$B37:$Y37)),
IF(AF$3=$DF37+'Model Setup'!$K$7,SUMIF($AD$3:$BA$3,"="&amp;$DF37+'Model Setup'!$K$7,$B37:$Y37)+'Model Setup'!$K$8*(SUMIF($AD$3:$BA$3,"&lt;"&amp;$DF37,$B37:$Y37)+SUMIF($AD$3:$BA$3,"&gt;="&amp;$DG37,$B37:$Y37)),
IF(AF$3=$DF37+'Model Setup'!$L$7,SUMIF($AD$3:$BA$3,"="&amp;$DF37+'Model Setup'!$L$7,$B37:$Y37)+'Model Setup'!$L$8*(SUMIF($AD$3:$BA$3,"&lt;"&amp;$DF37,$B37:$Y37)+SUMIF($AD$3:$BA$3,"&gt;="&amp;$DG37,$B37:$Y37)),
IF(AF$3=$DF37+'Model Setup'!$M$7,SUMIF($AD$3:$BA$3,"="&amp;$DF37+'Model Setup'!$M$7,$B37:$Y37)+'Model Setup'!$M$8*(SUMIF($AD$3:$BA$3,"&lt;"&amp;$DF37,$B37:$Y37)+SUMIF($AD$3:$BA$3,"&gt;="&amp;$DG37,$B37:$Y37)),
IF(AF$3=$DF37+'Model Setup'!$N$7,SUMIF($AD$3:$BA$3,"="&amp;$DF37+'Model Setup'!$N$7,$B37:$Y37)+'Model Setup'!$N$8*(SUMIF($AD$3:$BA$3,"&lt;"&amp;$DF37,$B37:$Y37)+SUMIF($AD$3:$BA$3,"&gt;="&amp;$DG37,$B37:$Y37)),
IF(AF$3&lt;$DG37,D37,0))))))))))))))),0)</f>
        <v>0</v>
      </c>
      <c r="AG37" s="47">
        <f>ROUND(IF(AG$3&lt;$DF37,0,
IF(AG$3=$DF37+'Model Setup'!$B$7,SUMIF($AD$3:$BA$3,"="&amp;$DF37+'Model Setup'!$B$7,$B37:$Y37)+'Model Setup'!$B$8*(SUMIF($AD$3:$BA$3,"&lt;"&amp;$DF37,$B37:$Y37)+SUMIF($AD$3:$BA$3,"&gt;="&amp;$DG37,$B37:$Y37)),
IF(AG$3=$DF37+'Model Setup'!$C$7,SUMIF($AD$3:$BA$3,"="&amp;$DF37+'Model Setup'!$C$7,$B37:$Y37)+'Model Setup'!$C$8*(SUMIF($AD$3:$BA$3,"&lt;"&amp;$DF37,$B37:$Y37)+SUMIF($AD$3:$BA$3,"&gt;="&amp;$DG37,$B37:$Y37)),
IF(AG$3=$DF37+'Model Setup'!$D$7,SUMIF($AD$3:$BA$3,"="&amp;$DF37+'Model Setup'!$D$7,$B37:$Y37)+'Model Setup'!$D$8*(SUMIF($AD$3:$BA$3,"&lt;"&amp;$DF37,$B37:$Y37)+SUMIF($AD$3:$BA$3,"&gt;="&amp;$DG37,$B37:$Y37)),
IF(AG$3=$DF37+'Model Setup'!$E$7,SUMIF($AD$3:$BA$3,"="&amp;$DF37+'Model Setup'!$E$7,$B37:$Y37)+'Model Setup'!$E$8*(SUMIF($AD$3:$BA$3,"&lt;"&amp;$DF37,$B37:$Y37)+SUMIF($AD$3:$BA$3,"&gt;="&amp;$DG37,$B37:$Y37)),
IF(AG$3=$DF37+'Model Setup'!$F$7,SUMIF($AD$3:$BA$3,"="&amp;$DF37+'Model Setup'!$F$7,$B37:$Y37)+'Model Setup'!$F$8*(SUMIF($AD$3:$BA$3,"&lt;"&amp;$DF37,$B37:$Y37)+SUMIF($AD$3:$BA$3,"&gt;="&amp;$DG37,$B37:$Y37)),
IF(AG$3=$DF37+'Model Setup'!$G$7,SUMIF($AD$3:$BA$3,"="&amp;$DF37+'Model Setup'!$G$7,$B37:$Y37)+'Model Setup'!$G$8*(SUMIF($AD$3:$BA$3,"&lt;"&amp;$DF37,$B37:$Y37)+SUMIF($AD$3:$BA$3,"&gt;="&amp;$DG37,$B37:$Y37)),
IF(AG$3=$DF37+'Model Setup'!$H$7,SUMIF($AD$3:$BA$3,"="&amp;$DF37+'Model Setup'!$H$7,$B37:$Y37)+'Model Setup'!$H$8*(SUMIF($AD$3:$BA$3,"&lt;"&amp;$DF37,$B37:$Y37)+SUMIF($AD$3:$BA$3,"&gt;="&amp;$DG37,$B37:$Y37)),
IF(AG$3=$DF37+'Model Setup'!$I$7,SUMIF($AD$3:$BA$3,"="&amp;$DF37+'Model Setup'!$I$7,$B37:$Y37)+'Model Setup'!$I$8*(SUMIF($AD$3:$BA$3,"&lt;"&amp;$DF37,$B37:$Y37)+SUMIF($AD$3:$BA$3,"&gt;="&amp;$DG37,$B37:$Y37)),
IF(AG$3=$DF37+'Model Setup'!$J$7,SUMIF($AD$3:$BA$3,"="&amp;$DF37+'Model Setup'!$J$7,$B37:$Y37)+'Model Setup'!$J$8*(SUMIF($AD$3:$BA$3,"&lt;"&amp;$DF37,$B37:$Y37)+SUMIF($AD$3:$BA$3,"&gt;="&amp;$DG37,$B37:$Y37)),
IF(AG$3=$DF37+'Model Setup'!$K$7,SUMIF($AD$3:$BA$3,"="&amp;$DF37+'Model Setup'!$K$7,$B37:$Y37)+'Model Setup'!$K$8*(SUMIF($AD$3:$BA$3,"&lt;"&amp;$DF37,$B37:$Y37)+SUMIF($AD$3:$BA$3,"&gt;="&amp;$DG37,$B37:$Y37)),
IF(AG$3=$DF37+'Model Setup'!$L$7,SUMIF($AD$3:$BA$3,"="&amp;$DF37+'Model Setup'!$L$7,$B37:$Y37)+'Model Setup'!$L$8*(SUMIF($AD$3:$BA$3,"&lt;"&amp;$DF37,$B37:$Y37)+SUMIF($AD$3:$BA$3,"&gt;="&amp;$DG37,$B37:$Y37)),
IF(AG$3=$DF37+'Model Setup'!$M$7,SUMIF($AD$3:$BA$3,"="&amp;$DF37+'Model Setup'!$M$7,$B37:$Y37)+'Model Setup'!$M$8*(SUMIF($AD$3:$BA$3,"&lt;"&amp;$DF37,$B37:$Y37)+SUMIF($AD$3:$BA$3,"&gt;="&amp;$DG37,$B37:$Y37)),
IF(AG$3=$DF37+'Model Setup'!$N$7,SUMIF($AD$3:$BA$3,"="&amp;$DF37+'Model Setup'!$N$7,$B37:$Y37)+'Model Setup'!$N$8*(SUMIF($AD$3:$BA$3,"&lt;"&amp;$DF37,$B37:$Y37)+SUMIF($AD$3:$BA$3,"&gt;="&amp;$DG37,$B37:$Y37)),
IF(AG$3&lt;$DG37,E37,0))))))))))))))),0)</f>
        <v>0</v>
      </c>
      <c r="AH37" s="47">
        <f>ROUND(IF(AH$3&lt;$DF37,0,
IF(AH$3=$DF37+'Model Setup'!$B$7,SUMIF($AD$3:$BA$3,"="&amp;$DF37+'Model Setup'!$B$7,$B37:$Y37)+'Model Setup'!$B$8*(SUMIF($AD$3:$BA$3,"&lt;"&amp;$DF37,$B37:$Y37)+SUMIF($AD$3:$BA$3,"&gt;="&amp;$DG37,$B37:$Y37)),
IF(AH$3=$DF37+'Model Setup'!$C$7,SUMIF($AD$3:$BA$3,"="&amp;$DF37+'Model Setup'!$C$7,$B37:$Y37)+'Model Setup'!$C$8*(SUMIF($AD$3:$BA$3,"&lt;"&amp;$DF37,$B37:$Y37)+SUMIF($AD$3:$BA$3,"&gt;="&amp;$DG37,$B37:$Y37)),
IF(AH$3=$DF37+'Model Setup'!$D$7,SUMIF($AD$3:$BA$3,"="&amp;$DF37+'Model Setup'!$D$7,$B37:$Y37)+'Model Setup'!$D$8*(SUMIF($AD$3:$BA$3,"&lt;"&amp;$DF37,$B37:$Y37)+SUMIF($AD$3:$BA$3,"&gt;="&amp;$DG37,$B37:$Y37)),
IF(AH$3=$DF37+'Model Setup'!$E$7,SUMIF($AD$3:$BA$3,"="&amp;$DF37+'Model Setup'!$E$7,$B37:$Y37)+'Model Setup'!$E$8*(SUMIF($AD$3:$BA$3,"&lt;"&amp;$DF37,$B37:$Y37)+SUMIF($AD$3:$BA$3,"&gt;="&amp;$DG37,$B37:$Y37)),
IF(AH$3=$DF37+'Model Setup'!$F$7,SUMIF($AD$3:$BA$3,"="&amp;$DF37+'Model Setup'!$F$7,$B37:$Y37)+'Model Setup'!$F$8*(SUMIF($AD$3:$BA$3,"&lt;"&amp;$DF37,$B37:$Y37)+SUMIF($AD$3:$BA$3,"&gt;="&amp;$DG37,$B37:$Y37)),
IF(AH$3=$DF37+'Model Setup'!$G$7,SUMIF($AD$3:$BA$3,"="&amp;$DF37+'Model Setup'!$G$7,$B37:$Y37)+'Model Setup'!$G$8*(SUMIF($AD$3:$BA$3,"&lt;"&amp;$DF37,$B37:$Y37)+SUMIF($AD$3:$BA$3,"&gt;="&amp;$DG37,$B37:$Y37)),
IF(AH$3=$DF37+'Model Setup'!$H$7,SUMIF($AD$3:$BA$3,"="&amp;$DF37+'Model Setup'!$H$7,$B37:$Y37)+'Model Setup'!$H$8*(SUMIF($AD$3:$BA$3,"&lt;"&amp;$DF37,$B37:$Y37)+SUMIF($AD$3:$BA$3,"&gt;="&amp;$DG37,$B37:$Y37)),
IF(AH$3=$DF37+'Model Setup'!$I$7,SUMIF($AD$3:$BA$3,"="&amp;$DF37+'Model Setup'!$I$7,$B37:$Y37)+'Model Setup'!$I$8*(SUMIF($AD$3:$BA$3,"&lt;"&amp;$DF37,$B37:$Y37)+SUMIF($AD$3:$BA$3,"&gt;="&amp;$DG37,$B37:$Y37)),
IF(AH$3=$DF37+'Model Setup'!$J$7,SUMIF($AD$3:$BA$3,"="&amp;$DF37+'Model Setup'!$J$7,$B37:$Y37)+'Model Setup'!$J$8*(SUMIF($AD$3:$BA$3,"&lt;"&amp;$DF37,$B37:$Y37)+SUMIF($AD$3:$BA$3,"&gt;="&amp;$DG37,$B37:$Y37)),
IF(AH$3=$DF37+'Model Setup'!$K$7,SUMIF($AD$3:$BA$3,"="&amp;$DF37+'Model Setup'!$K$7,$B37:$Y37)+'Model Setup'!$K$8*(SUMIF($AD$3:$BA$3,"&lt;"&amp;$DF37,$B37:$Y37)+SUMIF($AD$3:$BA$3,"&gt;="&amp;$DG37,$B37:$Y37)),
IF(AH$3=$DF37+'Model Setup'!$L$7,SUMIF($AD$3:$BA$3,"="&amp;$DF37+'Model Setup'!$L$7,$B37:$Y37)+'Model Setup'!$L$8*(SUMIF($AD$3:$BA$3,"&lt;"&amp;$DF37,$B37:$Y37)+SUMIF($AD$3:$BA$3,"&gt;="&amp;$DG37,$B37:$Y37)),
IF(AH$3=$DF37+'Model Setup'!$M$7,SUMIF($AD$3:$BA$3,"="&amp;$DF37+'Model Setup'!$M$7,$B37:$Y37)+'Model Setup'!$M$8*(SUMIF($AD$3:$BA$3,"&lt;"&amp;$DF37,$B37:$Y37)+SUMIF($AD$3:$BA$3,"&gt;="&amp;$DG37,$B37:$Y37)),
IF(AH$3=$DF37+'Model Setup'!$N$7,SUMIF($AD$3:$BA$3,"="&amp;$DF37+'Model Setup'!$N$7,$B37:$Y37)+'Model Setup'!$N$8*(SUMIF($AD$3:$BA$3,"&lt;"&amp;$DF37,$B37:$Y37)+SUMIF($AD$3:$BA$3,"&gt;="&amp;$DG37,$B37:$Y37)),
IF(AH$3&lt;$DG37,F37,0))))))))))))))),0)</f>
        <v>0</v>
      </c>
      <c r="AI37" s="47">
        <f>ROUND(IF(AI$3&lt;$DF37,0,
IF(AI$3=$DF37+'Model Setup'!$B$7,SUMIF($AD$3:$BA$3,"="&amp;$DF37+'Model Setup'!$B$7,$B37:$Y37)+'Model Setup'!$B$8*(SUMIF($AD$3:$BA$3,"&lt;"&amp;$DF37,$B37:$Y37)+SUMIF($AD$3:$BA$3,"&gt;="&amp;$DG37,$B37:$Y37)),
IF(AI$3=$DF37+'Model Setup'!$C$7,SUMIF($AD$3:$BA$3,"="&amp;$DF37+'Model Setup'!$C$7,$B37:$Y37)+'Model Setup'!$C$8*(SUMIF($AD$3:$BA$3,"&lt;"&amp;$DF37,$B37:$Y37)+SUMIF($AD$3:$BA$3,"&gt;="&amp;$DG37,$B37:$Y37)),
IF(AI$3=$DF37+'Model Setup'!$D$7,SUMIF($AD$3:$BA$3,"="&amp;$DF37+'Model Setup'!$D$7,$B37:$Y37)+'Model Setup'!$D$8*(SUMIF($AD$3:$BA$3,"&lt;"&amp;$DF37,$B37:$Y37)+SUMIF($AD$3:$BA$3,"&gt;="&amp;$DG37,$B37:$Y37)),
IF(AI$3=$DF37+'Model Setup'!$E$7,SUMIF($AD$3:$BA$3,"="&amp;$DF37+'Model Setup'!$E$7,$B37:$Y37)+'Model Setup'!$E$8*(SUMIF($AD$3:$BA$3,"&lt;"&amp;$DF37,$B37:$Y37)+SUMIF($AD$3:$BA$3,"&gt;="&amp;$DG37,$B37:$Y37)),
IF(AI$3=$DF37+'Model Setup'!$F$7,SUMIF($AD$3:$BA$3,"="&amp;$DF37+'Model Setup'!$F$7,$B37:$Y37)+'Model Setup'!$F$8*(SUMIF($AD$3:$BA$3,"&lt;"&amp;$DF37,$B37:$Y37)+SUMIF($AD$3:$BA$3,"&gt;="&amp;$DG37,$B37:$Y37)),
IF(AI$3=$DF37+'Model Setup'!$G$7,SUMIF($AD$3:$BA$3,"="&amp;$DF37+'Model Setup'!$G$7,$B37:$Y37)+'Model Setup'!$G$8*(SUMIF($AD$3:$BA$3,"&lt;"&amp;$DF37,$B37:$Y37)+SUMIF($AD$3:$BA$3,"&gt;="&amp;$DG37,$B37:$Y37)),
IF(AI$3=$DF37+'Model Setup'!$H$7,SUMIF($AD$3:$BA$3,"="&amp;$DF37+'Model Setup'!$H$7,$B37:$Y37)+'Model Setup'!$H$8*(SUMIF($AD$3:$BA$3,"&lt;"&amp;$DF37,$B37:$Y37)+SUMIF($AD$3:$BA$3,"&gt;="&amp;$DG37,$B37:$Y37)),
IF(AI$3=$DF37+'Model Setup'!$I$7,SUMIF($AD$3:$BA$3,"="&amp;$DF37+'Model Setup'!$I$7,$B37:$Y37)+'Model Setup'!$I$8*(SUMIF($AD$3:$BA$3,"&lt;"&amp;$DF37,$B37:$Y37)+SUMIF($AD$3:$BA$3,"&gt;="&amp;$DG37,$B37:$Y37)),
IF(AI$3=$DF37+'Model Setup'!$J$7,SUMIF($AD$3:$BA$3,"="&amp;$DF37+'Model Setup'!$J$7,$B37:$Y37)+'Model Setup'!$J$8*(SUMIF($AD$3:$BA$3,"&lt;"&amp;$DF37,$B37:$Y37)+SUMIF($AD$3:$BA$3,"&gt;="&amp;$DG37,$B37:$Y37)),
IF(AI$3=$DF37+'Model Setup'!$K$7,SUMIF($AD$3:$BA$3,"="&amp;$DF37+'Model Setup'!$K$7,$B37:$Y37)+'Model Setup'!$K$8*(SUMIF($AD$3:$BA$3,"&lt;"&amp;$DF37,$B37:$Y37)+SUMIF($AD$3:$BA$3,"&gt;="&amp;$DG37,$B37:$Y37)),
IF(AI$3=$DF37+'Model Setup'!$L$7,SUMIF($AD$3:$BA$3,"="&amp;$DF37+'Model Setup'!$L$7,$B37:$Y37)+'Model Setup'!$L$8*(SUMIF($AD$3:$BA$3,"&lt;"&amp;$DF37,$B37:$Y37)+SUMIF($AD$3:$BA$3,"&gt;="&amp;$DG37,$B37:$Y37)),
IF(AI$3=$DF37+'Model Setup'!$M$7,SUMIF($AD$3:$BA$3,"="&amp;$DF37+'Model Setup'!$M$7,$B37:$Y37)+'Model Setup'!$M$8*(SUMIF($AD$3:$BA$3,"&lt;"&amp;$DF37,$B37:$Y37)+SUMIF($AD$3:$BA$3,"&gt;="&amp;$DG37,$B37:$Y37)),
IF(AI$3=$DF37+'Model Setup'!$N$7,SUMIF($AD$3:$BA$3,"="&amp;$DF37+'Model Setup'!$N$7,$B37:$Y37)+'Model Setup'!$N$8*(SUMIF($AD$3:$BA$3,"&lt;"&amp;$DF37,$B37:$Y37)+SUMIF($AD$3:$BA$3,"&gt;="&amp;$DG37,$B37:$Y37)),
IF(AI$3&lt;$DG37,G37,0))))))))))))))),0)</f>
        <v>0</v>
      </c>
      <c r="AJ37" s="47">
        <f>ROUND(IF(AJ$3&lt;$DF37,0,
IF(AJ$3=$DF37+'Model Setup'!$B$7,SUMIF($AD$3:$BA$3,"="&amp;$DF37+'Model Setup'!$B$7,$B37:$Y37)+'Model Setup'!$B$8*(SUMIF($AD$3:$BA$3,"&lt;"&amp;$DF37,$B37:$Y37)+SUMIF($AD$3:$BA$3,"&gt;="&amp;$DG37,$B37:$Y37)),
IF(AJ$3=$DF37+'Model Setup'!$C$7,SUMIF($AD$3:$BA$3,"="&amp;$DF37+'Model Setup'!$C$7,$B37:$Y37)+'Model Setup'!$C$8*(SUMIF($AD$3:$BA$3,"&lt;"&amp;$DF37,$B37:$Y37)+SUMIF($AD$3:$BA$3,"&gt;="&amp;$DG37,$B37:$Y37)),
IF(AJ$3=$DF37+'Model Setup'!$D$7,SUMIF($AD$3:$BA$3,"="&amp;$DF37+'Model Setup'!$D$7,$B37:$Y37)+'Model Setup'!$D$8*(SUMIF($AD$3:$BA$3,"&lt;"&amp;$DF37,$B37:$Y37)+SUMIF($AD$3:$BA$3,"&gt;="&amp;$DG37,$B37:$Y37)),
IF(AJ$3=$DF37+'Model Setup'!$E$7,SUMIF($AD$3:$BA$3,"="&amp;$DF37+'Model Setup'!$E$7,$B37:$Y37)+'Model Setup'!$E$8*(SUMIF($AD$3:$BA$3,"&lt;"&amp;$DF37,$B37:$Y37)+SUMIF($AD$3:$BA$3,"&gt;="&amp;$DG37,$B37:$Y37)),
IF(AJ$3=$DF37+'Model Setup'!$F$7,SUMIF($AD$3:$BA$3,"="&amp;$DF37+'Model Setup'!$F$7,$B37:$Y37)+'Model Setup'!$F$8*(SUMIF($AD$3:$BA$3,"&lt;"&amp;$DF37,$B37:$Y37)+SUMIF($AD$3:$BA$3,"&gt;="&amp;$DG37,$B37:$Y37)),
IF(AJ$3=$DF37+'Model Setup'!$G$7,SUMIF($AD$3:$BA$3,"="&amp;$DF37+'Model Setup'!$G$7,$B37:$Y37)+'Model Setup'!$G$8*(SUMIF($AD$3:$BA$3,"&lt;"&amp;$DF37,$B37:$Y37)+SUMIF($AD$3:$BA$3,"&gt;="&amp;$DG37,$B37:$Y37)),
IF(AJ$3=$DF37+'Model Setup'!$H$7,SUMIF($AD$3:$BA$3,"="&amp;$DF37+'Model Setup'!$H$7,$B37:$Y37)+'Model Setup'!$H$8*(SUMIF($AD$3:$BA$3,"&lt;"&amp;$DF37,$B37:$Y37)+SUMIF($AD$3:$BA$3,"&gt;="&amp;$DG37,$B37:$Y37)),
IF(AJ$3=$DF37+'Model Setup'!$I$7,SUMIF($AD$3:$BA$3,"="&amp;$DF37+'Model Setup'!$I$7,$B37:$Y37)+'Model Setup'!$I$8*(SUMIF($AD$3:$BA$3,"&lt;"&amp;$DF37,$B37:$Y37)+SUMIF($AD$3:$BA$3,"&gt;="&amp;$DG37,$B37:$Y37)),
IF(AJ$3=$DF37+'Model Setup'!$J$7,SUMIF($AD$3:$BA$3,"="&amp;$DF37+'Model Setup'!$J$7,$B37:$Y37)+'Model Setup'!$J$8*(SUMIF($AD$3:$BA$3,"&lt;"&amp;$DF37,$B37:$Y37)+SUMIF($AD$3:$BA$3,"&gt;="&amp;$DG37,$B37:$Y37)),
IF(AJ$3=$DF37+'Model Setup'!$K$7,SUMIF($AD$3:$BA$3,"="&amp;$DF37+'Model Setup'!$K$7,$B37:$Y37)+'Model Setup'!$K$8*(SUMIF($AD$3:$BA$3,"&lt;"&amp;$DF37,$B37:$Y37)+SUMIF($AD$3:$BA$3,"&gt;="&amp;$DG37,$B37:$Y37)),
IF(AJ$3=$DF37+'Model Setup'!$L$7,SUMIF($AD$3:$BA$3,"="&amp;$DF37+'Model Setup'!$L$7,$B37:$Y37)+'Model Setup'!$L$8*(SUMIF($AD$3:$BA$3,"&lt;"&amp;$DF37,$B37:$Y37)+SUMIF($AD$3:$BA$3,"&gt;="&amp;$DG37,$B37:$Y37)),
IF(AJ$3=$DF37+'Model Setup'!$M$7,SUMIF($AD$3:$BA$3,"="&amp;$DF37+'Model Setup'!$M$7,$B37:$Y37)+'Model Setup'!$M$8*(SUMIF($AD$3:$BA$3,"&lt;"&amp;$DF37,$B37:$Y37)+SUMIF($AD$3:$BA$3,"&gt;="&amp;$DG37,$B37:$Y37)),
IF(AJ$3=$DF37+'Model Setup'!$N$7,SUMIF($AD$3:$BA$3,"="&amp;$DF37+'Model Setup'!$N$7,$B37:$Y37)+'Model Setup'!$N$8*(SUMIF($AD$3:$BA$3,"&lt;"&amp;$DF37,$B37:$Y37)+SUMIF($AD$3:$BA$3,"&gt;="&amp;$DG37,$B37:$Y37)),
IF(AJ$3&lt;$DG37,H37,0))))))))))))))),0)</f>
        <v>0</v>
      </c>
      <c r="AK37" s="47">
        <f>ROUND(IF(AK$3&lt;$DF37,0,
IF(AK$3=$DF37+'Model Setup'!$B$7,SUMIF($AD$3:$BA$3,"="&amp;$DF37+'Model Setup'!$B$7,$B37:$Y37)+'Model Setup'!$B$8*(SUMIF($AD$3:$BA$3,"&lt;"&amp;$DF37,$B37:$Y37)+SUMIF($AD$3:$BA$3,"&gt;="&amp;$DG37,$B37:$Y37)),
IF(AK$3=$DF37+'Model Setup'!$C$7,SUMIF($AD$3:$BA$3,"="&amp;$DF37+'Model Setup'!$C$7,$B37:$Y37)+'Model Setup'!$C$8*(SUMIF($AD$3:$BA$3,"&lt;"&amp;$DF37,$B37:$Y37)+SUMIF($AD$3:$BA$3,"&gt;="&amp;$DG37,$B37:$Y37)),
IF(AK$3=$DF37+'Model Setup'!$D$7,SUMIF($AD$3:$BA$3,"="&amp;$DF37+'Model Setup'!$D$7,$B37:$Y37)+'Model Setup'!$D$8*(SUMIF($AD$3:$BA$3,"&lt;"&amp;$DF37,$B37:$Y37)+SUMIF($AD$3:$BA$3,"&gt;="&amp;$DG37,$B37:$Y37)),
IF(AK$3=$DF37+'Model Setup'!$E$7,SUMIF($AD$3:$BA$3,"="&amp;$DF37+'Model Setup'!$E$7,$B37:$Y37)+'Model Setup'!$E$8*(SUMIF($AD$3:$BA$3,"&lt;"&amp;$DF37,$B37:$Y37)+SUMIF($AD$3:$BA$3,"&gt;="&amp;$DG37,$B37:$Y37)),
IF(AK$3=$DF37+'Model Setup'!$F$7,SUMIF($AD$3:$BA$3,"="&amp;$DF37+'Model Setup'!$F$7,$B37:$Y37)+'Model Setup'!$F$8*(SUMIF($AD$3:$BA$3,"&lt;"&amp;$DF37,$B37:$Y37)+SUMIF($AD$3:$BA$3,"&gt;="&amp;$DG37,$B37:$Y37)),
IF(AK$3=$DF37+'Model Setup'!$G$7,SUMIF($AD$3:$BA$3,"="&amp;$DF37+'Model Setup'!$G$7,$B37:$Y37)+'Model Setup'!$G$8*(SUMIF($AD$3:$BA$3,"&lt;"&amp;$DF37,$B37:$Y37)+SUMIF($AD$3:$BA$3,"&gt;="&amp;$DG37,$B37:$Y37)),
IF(AK$3=$DF37+'Model Setup'!$H$7,SUMIF($AD$3:$BA$3,"="&amp;$DF37+'Model Setup'!$H$7,$B37:$Y37)+'Model Setup'!$H$8*(SUMIF($AD$3:$BA$3,"&lt;"&amp;$DF37,$B37:$Y37)+SUMIF($AD$3:$BA$3,"&gt;="&amp;$DG37,$B37:$Y37)),
IF(AK$3=$DF37+'Model Setup'!$I$7,SUMIF($AD$3:$BA$3,"="&amp;$DF37+'Model Setup'!$I$7,$B37:$Y37)+'Model Setup'!$I$8*(SUMIF($AD$3:$BA$3,"&lt;"&amp;$DF37,$B37:$Y37)+SUMIF($AD$3:$BA$3,"&gt;="&amp;$DG37,$B37:$Y37)),
IF(AK$3=$DF37+'Model Setup'!$J$7,SUMIF($AD$3:$BA$3,"="&amp;$DF37+'Model Setup'!$J$7,$B37:$Y37)+'Model Setup'!$J$8*(SUMIF($AD$3:$BA$3,"&lt;"&amp;$DF37,$B37:$Y37)+SUMIF($AD$3:$BA$3,"&gt;="&amp;$DG37,$B37:$Y37)),
IF(AK$3=$DF37+'Model Setup'!$K$7,SUMIF($AD$3:$BA$3,"="&amp;$DF37+'Model Setup'!$K$7,$B37:$Y37)+'Model Setup'!$K$8*(SUMIF($AD$3:$BA$3,"&lt;"&amp;$DF37,$B37:$Y37)+SUMIF($AD$3:$BA$3,"&gt;="&amp;$DG37,$B37:$Y37)),
IF(AK$3=$DF37+'Model Setup'!$L$7,SUMIF($AD$3:$BA$3,"="&amp;$DF37+'Model Setup'!$L$7,$B37:$Y37)+'Model Setup'!$L$8*(SUMIF($AD$3:$BA$3,"&lt;"&amp;$DF37,$B37:$Y37)+SUMIF($AD$3:$BA$3,"&gt;="&amp;$DG37,$B37:$Y37)),
IF(AK$3=$DF37+'Model Setup'!$M$7,SUMIF($AD$3:$BA$3,"="&amp;$DF37+'Model Setup'!$M$7,$B37:$Y37)+'Model Setup'!$M$8*(SUMIF($AD$3:$BA$3,"&lt;"&amp;$DF37,$B37:$Y37)+SUMIF($AD$3:$BA$3,"&gt;="&amp;$DG37,$B37:$Y37)),
IF(AK$3=$DF37+'Model Setup'!$N$7,SUMIF($AD$3:$BA$3,"="&amp;$DF37+'Model Setup'!$N$7,$B37:$Y37)+'Model Setup'!$N$8*(SUMIF($AD$3:$BA$3,"&lt;"&amp;$DF37,$B37:$Y37)+SUMIF($AD$3:$BA$3,"&gt;="&amp;$DG37,$B37:$Y37)),
IF(AK$3&lt;$DG37,I37,0))))))))))))))),0)</f>
        <v>0</v>
      </c>
      <c r="AL37" s="47">
        <f>ROUND(IF(AL$3&lt;$DF37,0,
IF(AL$3=$DF37+'Model Setup'!$B$7,SUMIF($AD$3:$BA$3,"="&amp;$DF37+'Model Setup'!$B$7,$B37:$Y37)+'Model Setup'!$B$8*(SUMIF($AD$3:$BA$3,"&lt;"&amp;$DF37,$B37:$Y37)+SUMIF($AD$3:$BA$3,"&gt;="&amp;$DG37,$B37:$Y37)),
IF(AL$3=$DF37+'Model Setup'!$C$7,SUMIF($AD$3:$BA$3,"="&amp;$DF37+'Model Setup'!$C$7,$B37:$Y37)+'Model Setup'!$C$8*(SUMIF($AD$3:$BA$3,"&lt;"&amp;$DF37,$B37:$Y37)+SUMIF($AD$3:$BA$3,"&gt;="&amp;$DG37,$B37:$Y37)),
IF(AL$3=$DF37+'Model Setup'!$D$7,SUMIF($AD$3:$BA$3,"="&amp;$DF37+'Model Setup'!$D$7,$B37:$Y37)+'Model Setup'!$D$8*(SUMIF($AD$3:$BA$3,"&lt;"&amp;$DF37,$B37:$Y37)+SUMIF($AD$3:$BA$3,"&gt;="&amp;$DG37,$B37:$Y37)),
IF(AL$3=$DF37+'Model Setup'!$E$7,SUMIF($AD$3:$BA$3,"="&amp;$DF37+'Model Setup'!$E$7,$B37:$Y37)+'Model Setup'!$E$8*(SUMIF($AD$3:$BA$3,"&lt;"&amp;$DF37,$B37:$Y37)+SUMIF($AD$3:$BA$3,"&gt;="&amp;$DG37,$B37:$Y37)),
IF(AL$3=$DF37+'Model Setup'!$F$7,SUMIF($AD$3:$BA$3,"="&amp;$DF37+'Model Setup'!$F$7,$B37:$Y37)+'Model Setup'!$F$8*(SUMIF($AD$3:$BA$3,"&lt;"&amp;$DF37,$B37:$Y37)+SUMIF($AD$3:$BA$3,"&gt;="&amp;$DG37,$B37:$Y37)),
IF(AL$3=$DF37+'Model Setup'!$G$7,SUMIF($AD$3:$BA$3,"="&amp;$DF37+'Model Setup'!$G$7,$B37:$Y37)+'Model Setup'!$G$8*(SUMIF($AD$3:$BA$3,"&lt;"&amp;$DF37,$B37:$Y37)+SUMIF($AD$3:$BA$3,"&gt;="&amp;$DG37,$B37:$Y37)),
IF(AL$3=$DF37+'Model Setup'!$H$7,SUMIF($AD$3:$BA$3,"="&amp;$DF37+'Model Setup'!$H$7,$B37:$Y37)+'Model Setup'!$H$8*(SUMIF($AD$3:$BA$3,"&lt;"&amp;$DF37,$B37:$Y37)+SUMIF($AD$3:$BA$3,"&gt;="&amp;$DG37,$B37:$Y37)),
IF(AL$3=$DF37+'Model Setup'!$I$7,SUMIF($AD$3:$BA$3,"="&amp;$DF37+'Model Setup'!$I$7,$B37:$Y37)+'Model Setup'!$I$8*(SUMIF($AD$3:$BA$3,"&lt;"&amp;$DF37,$B37:$Y37)+SUMIF($AD$3:$BA$3,"&gt;="&amp;$DG37,$B37:$Y37)),
IF(AL$3=$DF37+'Model Setup'!$J$7,SUMIF($AD$3:$BA$3,"="&amp;$DF37+'Model Setup'!$J$7,$B37:$Y37)+'Model Setup'!$J$8*(SUMIF($AD$3:$BA$3,"&lt;"&amp;$DF37,$B37:$Y37)+SUMIF($AD$3:$BA$3,"&gt;="&amp;$DG37,$B37:$Y37)),
IF(AL$3=$DF37+'Model Setup'!$K$7,SUMIF($AD$3:$BA$3,"="&amp;$DF37+'Model Setup'!$K$7,$B37:$Y37)+'Model Setup'!$K$8*(SUMIF($AD$3:$BA$3,"&lt;"&amp;$DF37,$B37:$Y37)+SUMIF($AD$3:$BA$3,"&gt;="&amp;$DG37,$B37:$Y37)),
IF(AL$3=$DF37+'Model Setup'!$L$7,SUMIF($AD$3:$BA$3,"="&amp;$DF37+'Model Setup'!$L$7,$B37:$Y37)+'Model Setup'!$L$8*(SUMIF($AD$3:$BA$3,"&lt;"&amp;$DF37,$B37:$Y37)+SUMIF($AD$3:$BA$3,"&gt;="&amp;$DG37,$B37:$Y37)),
IF(AL$3=$DF37+'Model Setup'!$M$7,SUMIF($AD$3:$BA$3,"="&amp;$DF37+'Model Setup'!$M$7,$B37:$Y37)+'Model Setup'!$M$8*(SUMIF($AD$3:$BA$3,"&lt;"&amp;$DF37,$B37:$Y37)+SUMIF($AD$3:$BA$3,"&gt;="&amp;$DG37,$B37:$Y37)),
IF(AL$3=$DF37+'Model Setup'!$N$7,SUMIF($AD$3:$BA$3,"="&amp;$DF37+'Model Setup'!$N$7,$B37:$Y37)+'Model Setup'!$N$8*(SUMIF($AD$3:$BA$3,"&lt;"&amp;$DF37,$B37:$Y37)+SUMIF($AD$3:$BA$3,"&gt;="&amp;$DG37,$B37:$Y37)),
IF(AL$3&lt;$DG37,J37,0))))))))))))))),0)</f>
        <v>50</v>
      </c>
      <c r="AM37" s="47">
        <f>ROUND(IF(AM$3&lt;$DF37,0,
IF(AM$3=$DF37+'Model Setup'!$B$7,SUMIF($AD$3:$BA$3,"="&amp;$DF37+'Model Setup'!$B$7,$B37:$Y37)+'Model Setup'!$B$8*(SUMIF($AD$3:$BA$3,"&lt;"&amp;$DF37,$B37:$Y37)+SUMIF($AD$3:$BA$3,"&gt;="&amp;$DG37,$B37:$Y37)),
IF(AM$3=$DF37+'Model Setup'!$C$7,SUMIF($AD$3:$BA$3,"="&amp;$DF37+'Model Setup'!$C$7,$B37:$Y37)+'Model Setup'!$C$8*(SUMIF($AD$3:$BA$3,"&lt;"&amp;$DF37,$B37:$Y37)+SUMIF($AD$3:$BA$3,"&gt;="&amp;$DG37,$B37:$Y37)),
IF(AM$3=$DF37+'Model Setup'!$D$7,SUMIF($AD$3:$BA$3,"="&amp;$DF37+'Model Setup'!$D$7,$B37:$Y37)+'Model Setup'!$D$8*(SUMIF($AD$3:$BA$3,"&lt;"&amp;$DF37,$B37:$Y37)+SUMIF($AD$3:$BA$3,"&gt;="&amp;$DG37,$B37:$Y37)),
IF(AM$3=$DF37+'Model Setup'!$E$7,SUMIF($AD$3:$BA$3,"="&amp;$DF37+'Model Setup'!$E$7,$B37:$Y37)+'Model Setup'!$E$8*(SUMIF($AD$3:$BA$3,"&lt;"&amp;$DF37,$B37:$Y37)+SUMIF($AD$3:$BA$3,"&gt;="&amp;$DG37,$B37:$Y37)),
IF(AM$3=$DF37+'Model Setup'!$F$7,SUMIF($AD$3:$BA$3,"="&amp;$DF37+'Model Setup'!$F$7,$B37:$Y37)+'Model Setup'!$F$8*(SUMIF($AD$3:$BA$3,"&lt;"&amp;$DF37,$B37:$Y37)+SUMIF($AD$3:$BA$3,"&gt;="&amp;$DG37,$B37:$Y37)),
IF(AM$3=$DF37+'Model Setup'!$G$7,SUMIF($AD$3:$BA$3,"="&amp;$DF37+'Model Setup'!$G$7,$B37:$Y37)+'Model Setup'!$G$8*(SUMIF($AD$3:$BA$3,"&lt;"&amp;$DF37,$B37:$Y37)+SUMIF($AD$3:$BA$3,"&gt;="&amp;$DG37,$B37:$Y37)),
IF(AM$3=$DF37+'Model Setup'!$H$7,SUMIF($AD$3:$BA$3,"="&amp;$DF37+'Model Setup'!$H$7,$B37:$Y37)+'Model Setup'!$H$8*(SUMIF($AD$3:$BA$3,"&lt;"&amp;$DF37,$B37:$Y37)+SUMIF($AD$3:$BA$3,"&gt;="&amp;$DG37,$B37:$Y37)),
IF(AM$3=$DF37+'Model Setup'!$I$7,SUMIF($AD$3:$BA$3,"="&amp;$DF37+'Model Setup'!$I$7,$B37:$Y37)+'Model Setup'!$I$8*(SUMIF($AD$3:$BA$3,"&lt;"&amp;$DF37,$B37:$Y37)+SUMIF($AD$3:$BA$3,"&gt;="&amp;$DG37,$B37:$Y37)),
IF(AM$3=$DF37+'Model Setup'!$J$7,SUMIF($AD$3:$BA$3,"="&amp;$DF37+'Model Setup'!$J$7,$B37:$Y37)+'Model Setup'!$J$8*(SUMIF($AD$3:$BA$3,"&lt;"&amp;$DF37,$B37:$Y37)+SUMIF($AD$3:$BA$3,"&gt;="&amp;$DG37,$B37:$Y37)),
IF(AM$3=$DF37+'Model Setup'!$K$7,SUMIF($AD$3:$BA$3,"="&amp;$DF37+'Model Setup'!$K$7,$B37:$Y37)+'Model Setup'!$K$8*(SUMIF($AD$3:$BA$3,"&lt;"&amp;$DF37,$B37:$Y37)+SUMIF($AD$3:$BA$3,"&gt;="&amp;$DG37,$B37:$Y37)),
IF(AM$3=$DF37+'Model Setup'!$L$7,SUMIF($AD$3:$BA$3,"="&amp;$DF37+'Model Setup'!$L$7,$B37:$Y37)+'Model Setup'!$L$8*(SUMIF($AD$3:$BA$3,"&lt;"&amp;$DF37,$B37:$Y37)+SUMIF($AD$3:$BA$3,"&gt;="&amp;$DG37,$B37:$Y37)),
IF(AM$3=$DF37+'Model Setup'!$M$7,SUMIF($AD$3:$BA$3,"="&amp;$DF37+'Model Setup'!$M$7,$B37:$Y37)+'Model Setup'!$M$8*(SUMIF($AD$3:$BA$3,"&lt;"&amp;$DF37,$B37:$Y37)+SUMIF($AD$3:$BA$3,"&gt;="&amp;$DG37,$B37:$Y37)),
IF(AM$3=$DF37+'Model Setup'!$N$7,SUMIF($AD$3:$BA$3,"="&amp;$DF37+'Model Setup'!$N$7,$B37:$Y37)+'Model Setup'!$N$8*(SUMIF($AD$3:$BA$3,"&lt;"&amp;$DF37,$B37:$Y37)+SUMIF($AD$3:$BA$3,"&gt;="&amp;$DG37,$B37:$Y37)),
IF(AM$3&lt;$DG37,K37,0))))))))))))))),0)</f>
        <v>42</v>
      </c>
      <c r="AN37" s="47">
        <f>ROUND(IF(AN$3&lt;$DF37,0,
IF(AN$3=$DF37+'Model Setup'!$B$7,SUMIF($AD$3:$BA$3,"="&amp;$DF37+'Model Setup'!$B$7,$B37:$Y37)+'Model Setup'!$B$8*(SUMIF($AD$3:$BA$3,"&lt;"&amp;$DF37,$B37:$Y37)+SUMIF($AD$3:$BA$3,"&gt;="&amp;$DG37,$B37:$Y37)),
IF(AN$3=$DF37+'Model Setup'!$C$7,SUMIF($AD$3:$BA$3,"="&amp;$DF37+'Model Setup'!$C$7,$B37:$Y37)+'Model Setup'!$C$8*(SUMIF($AD$3:$BA$3,"&lt;"&amp;$DF37,$B37:$Y37)+SUMIF($AD$3:$BA$3,"&gt;="&amp;$DG37,$B37:$Y37)),
IF(AN$3=$DF37+'Model Setup'!$D$7,SUMIF($AD$3:$BA$3,"="&amp;$DF37+'Model Setup'!$D$7,$B37:$Y37)+'Model Setup'!$D$8*(SUMIF($AD$3:$BA$3,"&lt;"&amp;$DF37,$B37:$Y37)+SUMIF($AD$3:$BA$3,"&gt;="&amp;$DG37,$B37:$Y37)),
IF(AN$3=$DF37+'Model Setup'!$E$7,SUMIF($AD$3:$BA$3,"="&amp;$DF37+'Model Setup'!$E$7,$B37:$Y37)+'Model Setup'!$E$8*(SUMIF($AD$3:$BA$3,"&lt;"&amp;$DF37,$B37:$Y37)+SUMIF($AD$3:$BA$3,"&gt;="&amp;$DG37,$B37:$Y37)),
IF(AN$3=$DF37+'Model Setup'!$F$7,SUMIF($AD$3:$BA$3,"="&amp;$DF37+'Model Setup'!$F$7,$B37:$Y37)+'Model Setup'!$F$8*(SUMIF($AD$3:$BA$3,"&lt;"&amp;$DF37,$B37:$Y37)+SUMIF($AD$3:$BA$3,"&gt;="&amp;$DG37,$B37:$Y37)),
IF(AN$3=$DF37+'Model Setup'!$G$7,SUMIF($AD$3:$BA$3,"="&amp;$DF37+'Model Setup'!$G$7,$B37:$Y37)+'Model Setup'!$G$8*(SUMIF($AD$3:$BA$3,"&lt;"&amp;$DF37,$B37:$Y37)+SUMIF($AD$3:$BA$3,"&gt;="&amp;$DG37,$B37:$Y37)),
IF(AN$3=$DF37+'Model Setup'!$H$7,SUMIF($AD$3:$BA$3,"="&amp;$DF37+'Model Setup'!$H$7,$B37:$Y37)+'Model Setup'!$H$8*(SUMIF($AD$3:$BA$3,"&lt;"&amp;$DF37,$B37:$Y37)+SUMIF($AD$3:$BA$3,"&gt;="&amp;$DG37,$B37:$Y37)),
IF(AN$3=$DF37+'Model Setup'!$I$7,SUMIF($AD$3:$BA$3,"="&amp;$DF37+'Model Setup'!$I$7,$B37:$Y37)+'Model Setup'!$I$8*(SUMIF($AD$3:$BA$3,"&lt;"&amp;$DF37,$B37:$Y37)+SUMIF($AD$3:$BA$3,"&gt;="&amp;$DG37,$B37:$Y37)),
IF(AN$3=$DF37+'Model Setup'!$J$7,SUMIF($AD$3:$BA$3,"="&amp;$DF37+'Model Setup'!$J$7,$B37:$Y37)+'Model Setup'!$J$8*(SUMIF($AD$3:$BA$3,"&lt;"&amp;$DF37,$B37:$Y37)+SUMIF($AD$3:$BA$3,"&gt;="&amp;$DG37,$B37:$Y37)),
IF(AN$3=$DF37+'Model Setup'!$K$7,SUMIF($AD$3:$BA$3,"="&amp;$DF37+'Model Setup'!$K$7,$B37:$Y37)+'Model Setup'!$K$8*(SUMIF($AD$3:$BA$3,"&lt;"&amp;$DF37,$B37:$Y37)+SUMIF($AD$3:$BA$3,"&gt;="&amp;$DG37,$B37:$Y37)),
IF(AN$3=$DF37+'Model Setup'!$L$7,SUMIF($AD$3:$BA$3,"="&amp;$DF37+'Model Setup'!$L$7,$B37:$Y37)+'Model Setup'!$L$8*(SUMIF($AD$3:$BA$3,"&lt;"&amp;$DF37,$B37:$Y37)+SUMIF($AD$3:$BA$3,"&gt;="&amp;$DG37,$B37:$Y37)),
IF(AN$3=$DF37+'Model Setup'!$M$7,SUMIF($AD$3:$BA$3,"="&amp;$DF37+'Model Setup'!$M$7,$B37:$Y37)+'Model Setup'!$M$8*(SUMIF($AD$3:$BA$3,"&lt;"&amp;$DF37,$B37:$Y37)+SUMIF($AD$3:$BA$3,"&gt;="&amp;$DG37,$B37:$Y37)),
IF(AN$3=$DF37+'Model Setup'!$N$7,SUMIF($AD$3:$BA$3,"="&amp;$DF37+'Model Setup'!$N$7,$B37:$Y37)+'Model Setup'!$N$8*(SUMIF($AD$3:$BA$3,"&lt;"&amp;$DF37,$B37:$Y37)+SUMIF($AD$3:$BA$3,"&gt;="&amp;$DG37,$B37:$Y37)),
IF(AN$3&lt;$DG37,L37,0))))))))))))))),0)</f>
        <v>39</v>
      </c>
      <c r="AO37" s="47">
        <f>ROUND(IF(AO$3&lt;$DF37,0,
IF(AO$3=$DF37+'Model Setup'!$B$7,SUMIF($AD$3:$BA$3,"="&amp;$DF37+'Model Setup'!$B$7,$B37:$Y37)+'Model Setup'!$B$8*(SUMIF($AD$3:$BA$3,"&lt;"&amp;$DF37,$B37:$Y37)+SUMIF($AD$3:$BA$3,"&gt;="&amp;$DG37,$B37:$Y37)),
IF(AO$3=$DF37+'Model Setup'!$C$7,SUMIF($AD$3:$BA$3,"="&amp;$DF37+'Model Setup'!$C$7,$B37:$Y37)+'Model Setup'!$C$8*(SUMIF($AD$3:$BA$3,"&lt;"&amp;$DF37,$B37:$Y37)+SUMIF($AD$3:$BA$3,"&gt;="&amp;$DG37,$B37:$Y37)),
IF(AO$3=$DF37+'Model Setup'!$D$7,SUMIF($AD$3:$BA$3,"="&amp;$DF37+'Model Setup'!$D$7,$B37:$Y37)+'Model Setup'!$D$8*(SUMIF($AD$3:$BA$3,"&lt;"&amp;$DF37,$B37:$Y37)+SUMIF($AD$3:$BA$3,"&gt;="&amp;$DG37,$B37:$Y37)),
IF(AO$3=$DF37+'Model Setup'!$E$7,SUMIF($AD$3:$BA$3,"="&amp;$DF37+'Model Setup'!$E$7,$B37:$Y37)+'Model Setup'!$E$8*(SUMIF($AD$3:$BA$3,"&lt;"&amp;$DF37,$B37:$Y37)+SUMIF($AD$3:$BA$3,"&gt;="&amp;$DG37,$B37:$Y37)),
IF(AO$3=$DF37+'Model Setup'!$F$7,SUMIF($AD$3:$BA$3,"="&amp;$DF37+'Model Setup'!$F$7,$B37:$Y37)+'Model Setup'!$F$8*(SUMIF($AD$3:$BA$3,"&lt;"&amp;$DF37,$B37:$Y37)+SUMIF($AD$3:$BA$3,"&gt;="&amp;$DG37,$B37:$Y37)),
IF(AO$3=$DF37+'Model Setup'!$G$7,SUMIF($AD$3:$BA$3,"="&amp;$DF37+'Model Setup'!$G$7,$B37:$Y37)+'Model Setup'!$G$8*(SUMIF($AD$3:$BA$3,"&lt;"&amp;$DF37,$B37:$Y37)+SUMIF($AD$3:$BA$3,"&gt;="&amp;$DG37,$B37:$Y37)),
IF(AO$3=$DF37+'Model Setup'!$H$7,SUMIF($AD$3:$BA$3,"="&amp;$DF37+'Model Setup'!$H$7,$B37:$Y37)+'Model Setup'!$H$8*(SUMIF($AD$3:$BA$3,"&lt;"&amp;$DF37,$B37:$Y37)+SUMIF($AD$3:$BA$3,"&gt;="&amp;$DG37,$B37:$Y37)),
IF(AO$3=$DF37+'Model Setup'!$I$7,SUMIF($AD$3:$BA$3,"="&amp;$DF37+'Model Setup'!$I$7,$B37:$Y37)+'Model Setup'!$I$8*(SUMIF($AD$3:$BA$3,"&lt;"&amp;$DF37,$B37:$Y37)+SUMIF($AD$3:$BA$3,"&gt;="&amp;$DG37,$B37:$Y37)),
IF(AO$3=$DF37+'Model Setup'!$J$7,SUMIF($AD$3:$BA$3,"="&amp;$DF37+'Model Setup'!$J$7,$B37:$Y37)+'Model Setup'!$J$8*(SUMIF($AD$3:$BA$3,"&lt;"&amp;$DF37,$B37:$Y37)+SUMIF($AD$3:$BA$3,"&gt;="&amp;$DG37,$B37:$Y37)),
IF(AO$3=$DF37+'Model Setup'!$K$7,SUMIF($AD$3:$BA$3,"="&amp;$DF37+'Model Setup'!$K$7,$B37:$Y37)+'Model Setup'!$K$8*(SUMIF($AD$3:$BA$3,"&lt;"&amp;$DF37,$B37:$Y37)+SUMIF($AD$3:$BA$3,"&gt;="&amp;$DG37,$B37:$Y37)),
IF(AO$3=$DF37+'Model Setup'!$L$7,SUMIF($AD$3:$BA$3,"="&amp;$DF37+'Model Setup'!$L$7,$B37:$Y37)+'Model Setup'!$L$8*(SUMIF($AD$3:$BA$3,"&lt;"&amp;$DF37,$B37:$Y37)+SUMIF($AD$3:$BA$3,"&gt;="&amp;$DG37,$B37:$Y37)),
IF(AO$3=$DF37+'Model Setup'!$M$7,SUMIF($AD$3:$BA$3,"="&amp;$DF37+'Model Setup'!$M$7,$B37:$Y37)+'Model Setup'!$M$8*(SUMIF($AD$3:$BA$3,"&lt;"&amp;$DF37,$B37:$Y37)+SUMIF($AD$3:$BA$3,"&gt;="&amp;$DG37,$B37:$Y37)),
IF(AO$3=$DF37+'Model Setup'!$N$7,SUMIF($AD$3:$BA$3,"="&amp;$DF37+'Model Setup'!$N$7,$B37:$Y37)+'Model Setup'!$N$8*(SUMIF($AD$3:$BA$3,"&lt;"&amp;$DF37,$B37:$Y37)+SUMIF($AD$3:$BA$3,"&gt;="&amp;$DG37,$B37:$Y37)),
IF(AO$3&lt;$DG37,M37,0))))))))))))))),0)</f>
        <v>32</v>
      </c>
      <c r="AP37" s="47">
        <f>ROUND(IF(AP$3&lt;$DF37,0,
IF(AP$3=$DF37+'Model Setup'!$B$7,SUMIF($AD$3:$BA$3,"="&amp;$DF37+'Model Setup'!$B$7,$B37:$Y37)+'Model Setup'!$B$8*(SUMIF($AD$3:$BA$3,"&lt;"&amp;$DF37,$B37:$Y37)+SUMIF($AD$3:$BA$3,"&gt;="&amp;$DG37,$B37:$Y37)),
IF(AP$3=$DF37+'Model Setup'!$C$7,SUMIF($AD$3:$BA$3,"="&amp;$DF37+'Model Setup'!$C$7,$B37:$Y37)+'Model Setup'!$C$8*(SUMIF($AD$3:$BA$3,"&lt;"&amp;$DF37,$B37:$Y37)+SUMIF($AD$3:$BA$3,"&gt;="&amp;$DG37,$B37:$Y37)),
IF(AP$3=$DF37+'Model Setup'!$D$7,SUMIF($AD$3:$BA$3,"="&amp;$DF37+'Model Setup'!$D$7,$B37:$Y37)+'Model Setup'!$D$8*(SUMIF($AD$3:$BA$3,"&lt;"&amp;$DF37,$B37:$Y37)+SUMIF($AD$3:$BA$3,"&gt;="&amp;$DG37,$B37:$Y37)),
IF(AP$3=$DF37+'Model Setup'!$E$7,SUMIF($AD$3:$BA$3,"="&amp;$DF37+'Model Setup'!$E$7,$B37:$Y37)+'Model Setup'!$E$8*(SUMIF($AD$3:$BA$3,"&lt;"&amp;$DF37,$B37:$Y37)+SUMIF($AD$3:$BA$3,"&gt;="&amp;$DG37,$B37:$Y37)),
IF(AP$3=$DF37+'Model Setup'!$F$7,SUMIF($AD$3:$BA$3,"="&amp;$DF37+'Model Setup'!$F$7,$B37:$Y37)+'Model Setup'!$F$8*(SUMIF($AD$3:$BA$3,"&lt;"&amp;$DF37,$B37:$Y37)+SUMIF($AD$3:$BA$3,"&gt;="&amp;$DG37,$B37:$Y37)),
IF(AP$3=$DF37+'Model Setup'!$G$7,SUMIF($AD$3:$BA$3,"="&amp;$DF37+'Model Setup'!$G$7,$B37:$Y37)+'Model Setup'!$G$8*(SUMIF($AD$3:$BA$3,"&lt;"&amp;$DF37,$B37:$Y37)+SUMIF($AD$3:$BA$3,"&gt;="&amp;$DG37,$B37:$Y37)),
IF(AP$3=$DF37+'Model Setup'!$H$7,SUMIF($AD$3:$BA$3,"="&amp;$DF37+'Model Setup'!$H$7,$B37:$Y37)+'Model Setup'!$H$8*(SUMIF($AD$3:$BA$3,"&lt;"&amp;$DF37,$B37:$Y37)+SUMIF($AD$3:$BA$3,"&gt;="&amp;$DG37,$B37:$Y37)),
IF(AP$3=$DF37+'Model Setup'!$I$7,SUMIF($AD$3:$BA$3,"="&amp;$DF37+'Model Setup'!$I$7,$B37:$Y37)+'Model Setup'!$I$8*(SUMIF($AD$3:$BA$3,"&lt;"&amp;$DF37,$B37:$Y37)+SUMIF($AD$3:$BA$3,"&gt;="&amp;$DG37,$B37:$Y37)),
IF(AP$3=$DF37+'Model Setup'!$J$7,SUMIF($AD$3:$BA$3,"="&amp;$DF37+'Model Setup'!$J$7,$B37:$Y37)+'Model Setup'!$J$8*(SUMIF($AD$3:$BA$3,"&lt;"&amp;$DF37,$B37:$Y37)+SUMIF($AD$3:$BA$3,"&gt;="&amp;$DG37,$B37:$Y37)),
IF(AP$3=$DF37+'Model Setup'!$K$7,SUMIF($AD$3:$BA$3,"="&amp;$DF37+'Model Setup'!$K$7,$B37:$Y37)+'Model Setup'!$K$8*(SUMIF($AD$3:$BA$3,"&lt;"&amp;$DF37,$B37:$Y37)+SUMIF($AD$3:$BA$3,"&gt;="&amp;$DG37,$B37:$Y37)),
IF(AP$3=$DF37+'Model Setup'!$L$7,SUMIF($AD$3:$BA$3,"="&amp;$DF37+'Model Setup'!$L$7,$B37:$Y37)+'Model Setup'!$L$8*(SUMIF($AD$3:$BA$3,"&lt;"&amp;$DF37,$B37:$Y37)+SUMIF($AD$3:$BA$3,"&gt;="&amp;$DG37,$B37:$Y37)),
IF(AP$3=$DF37+'Model Setup'!$M$7,SUMIF($AD$3:$BA$3,"="&amp;$DF37+'Model Setup'!$M$7,$B37:$Y37)+'Model Setup'!$M$8*(SUMIF($AD$3:$BA$3,"&lt;"&amp;$DF37,$B37:$Y37)+SUMIF($AD$3:$BA$3,"&gt;="&amp;$DG37,$B37:$Y37)),
IF(AP$3=$DF37+'Model Setup'!$N$7,SUMIF($AD$3:$BA$3,"="&amp;$DF37+'Model Setup'!$N$7,$B37:$Y37)+'Model Setup'!$N$8*(SUMIF($AD$3:$BA$3,"&lt;"&amp;$DF37,$B37:$Y37)+SUMIF($AD$3:$BA$3,"&gt;="&amp;$DG37,$B37:$Y37)),
IF(AP$3&lt;$DG37,N37,0))))))))))))))),0)</f>
        <v>19</v>
      </c>
      <c r="AQ37" s="47">
        <f>ROUND(IF(AQ$3&lt;$DF37,0,
IF(AQ$3=$DF37+'Model Setup'!$B$7,SUMIF($AD$3:$BA$3,"="&amp;$DF37+'Model Setup'!$B$7,$B37:$Y37)+'Model Setup'!$B$8*(SUMIF($AD$3:$BA$3,"&lt;"&amp;$DF37,$B37:$Y37)+SUMIF($AD$3:$BA$3,"&gt;="&amp;$DG37,$B37:$Y37)),
IF(AQ$3=$DF37+'Model Setup'!$C$7,SUMIF($AD$3:$BA$3,"="&amp;$DF37+'Model Setup'!$C$7,$B37:$Y37)+'Model Setup'!$C$8*(SUMIF($AD$3:$BA$3,"&lt;"&amp;$DF37,$B37:$Y37)+SUMIF($AD$3:$BA$3,"&gt;="&amp;$DG37,$B37:$Y37)),
IF(AQ$3=$DF37+'Model Setup'!$D$7,SUMIF($AD$3:$BA$3,"="&amp;$DF37+'Model Setup'!$D$7,$B37:$Y37)+'Model Setup'!$D$8*(SUMIF($AD$3:$BA$3,"&lt;"&amp;$DF37,$B37:$Y37)+SUMIF($AD$3:$BA$3,"&gt;="&amp;$DG37,$B37:$Y37)),
IF(AQ$3=$DF37+'Model Setup'!$E$7,SUMIF($AD$3:$BA$3,"="&amp;$DF37+'Model Setup'!$E$7,$B37:$Y37)+'Model Setup'!$E$8*(SUMIF($AD$3:$BA$3,"&lt;"&amp;$DF37,$B37:$Y37)+SUMIF($AD$3:$BA$3,"&gt;="&amp;$DG37,$B37:$Y37)),
IF(AQ$3=$DF37+'Model Setup'!$F$7,SUMIF($AD$3:$BA$3,"="&amp;$DF37+'Model Setup'!$F$7,$B37:$Y37)+'Model Setup'!$F$8*(SUMIF($AD$3:$BA$3,"&lt;"&amp;$DF37,$B37:$Y37)+SUMIF($AD$3:$BA$3,"&gt;="&amp;$DG37,$B37:$Y37)),
IF(AQ$3=$DF37+'Model Setup'!$G$7,SUMIF($AD$3:$BA$3,"="&amp;$DF37+'Model Setup'!$G$7,$B37:$Y37)+'Model Setup'!$G$8*(SUMIF($AD$3:$BA$3,"&lt;"&amp;$DF37,$B37:$Y37)+SUMIF($AD$3:$BA$3,"&gt;="&amp;$DG37,$B37:$Y37)),
IF(AQ$3=$DF37+'Model Setup'!$H$7,SUMIF($AD$3:$BA$3,"="&amp;$DF37+'Model Setup'!$H$7,$B37:$Y37)+'Model Setup'!$H$8*(SUMIF($AD$3:$BA$3,"&lt;"&amp;$DF37,$B37:$Y37)+SUMIF($AD$3:$BA$3,"&gt;="&amp;$DG37,$B37:$Y37)),
IF(AQ$3=$DF37+'Model Setup'!$I$7,SUMIF($AD$3:$BA$3,"="&amp;$DF37+'Model Setup'!$I$7,$B37:$Y37)+'Model Setup'!$I$8*(SUMIF($AD$3:$BA$3,"&lt;"&amp;$DF37,$B37:$Y37)+SUMIF($AD$3:$BA$3,"&gt;="&amp;$DG37,$B37:$Y37)),
IF(AQ$3=$DF37+'Model Setup'!$J$7,SUMIF($AD$3:$BA$3,"="&amp;$DF37+'Model Setup'!$J$7,$B37:$Y37)+'Model Setup'!$J$8*(SUMIF($AD$3:$BA$3,"&lt;"&amp;$DF37,$B37:$Y37)+SUMIF($AD$3:$BA$3,"&gt;="&amp;$DG37,$B37:$Y37)),
IF(AQ$3=$DF37+'Model Setup'!$K$7,SUMIF($AD$3:$BA$3,"="&amp;$DF37+'Model Setup'!$K$7,$B37:$Y37)+'Model Setup'!$K$8*(SUMIF($AD$3:$BA$3,"&lt;"&amp;$DF37,$B37:$Y37)+SUMIF($AD$3:$BA$3,"&gt;="&amp;$DG37,$B37:$Y37)),
IF(AQ$3=$DF37+'Model Setup'!$L$7,SUMIF($AD$3:$BA$3,"="&amp;$DF37+'Model Setup'!$L$7,$B37:$Y37)+'Model Setup'!$L$8*(SUMIF($AD$3:$BA$3,"&lt;"&amp;$DF37,$B37:$Y37)+SUMIF($AD$3:$BA$3,"&gt;="&amp;$DG37,$B37:$Y37)),
IF(AQ$3=$DF37+'Model Setup'!$M$7,SUMIF($AD$3:$BA$3,"="&amp;$DF37+'Model Setup'!$M$7,$B37:$Y37)+'Model Setup'!$M$8*(SUMIF($AD$3:$BA$3,"&lt;"&amp;$DF37,$B37:$Y37)+SUMIF($AD$3:$BA$3,"&gt;="&amp;$DG37,$B37:$Y37)),
IF(AQ$3=$DF37+'Model Setup'!$N$7,SUMIF($AD$3:$BA$3,"="&amp;$DF37+'Model Setup'!$N$7,$B37:$Y37)+'Model Setup'!$N$8*(SUMIF($AD$3:$BA$3,"&lt;"&amp;$DF37,$B37:$Y37)+SUMIF($AD$3:$BA$3,"&gt;="&amp;$DG37,$B37:$Y37)),
IF(AQ$3&lt;$DG37,O37,0))))))))))))))),0)</f>
        <v>26</v>
      </c>
      <c r="AR37" s="47">
        <f>ROUND(IF(AR$3&lt;$DF37,0,
IF(AR$3=$DF37+'Model Setup'!$B$7,SUMIF($AD$3:$BA$3,"="&amp;$DF37+'Model Setup'!$B$7,$B37:$Y37)+'Model Setup'!$B$8*(SUMIF($AD$3:$BA$3,"&lt;"&amp;$DF37,$B37:$Y37)+SUMIF($AD$3:$BA$3,"&gt;="&amp;$DG37,$B37:$Y37)),
IF(AR$3=$DF37+'Model Setup'!$C$7,SUMIF($AD$3:$BA$3,"="&amp;$DF37+'Model Setup'!$C$7,$B37:$Y37)+'Model Setup'!$C$8*(SUMIF($AD$3:$BA$3,"&lt;"&amp;$DF37,$B37:$Y37)+SUMIF($AD$3:$BA$3,"&gt;="&amp;$DG37,$B37:$Y37)),
IF(AR$3=$DF37+'Model Setup'!$D$7,SUMIF($AD$3:$BA$3,"="&amp;$DF37+'Model Setup'!$D$7,$B37:$Y37)+'Model Setup'!$D$8*(SUMIF($AD$3:$BA$3,"&lt;"&amp;$DF37,$B37:$Y37)+SUMIF($AD$3:$BA$3,"&gt;="&amp;$DG37,$B37:$Y37)),
IF(AR$3=$DF37+'Model Setup'!$E$7,SUMIF($AD$3:$BA$3,"="&amp;$DF37+'Model Setup'!$E$7,$B37:$Y37)+'Model Setup'!$E$8*(SUMIF($AD$3:$BA$3,"&lt;"&amp;$DF37,$B37:$Y37)+SUMIF($AD$3:$BA$3,"&gt;="&amp;$DG37,$B37:$Y37)),
IF(AR$3=$DF37+'Model Setup'!$F$7,SUMIF($AD$3:$BA$3,"="&amp;$DF37+'Model Setup'!$F$7,$B37:$Y37)+'Model Setup'!$F$8*(SUMIF($AD$3:$BA$3,"&lt;"&amp;$DF37,$B37:$Y37)+SUMIF($AD$3:$BA$3,"&gt;="&amp;$DG37,$B37:$Y37)),
IF(AR$3=$DF37+'Model Setup'!$G$7,SUMIF($AD$3:$BA$3,"="&amp;$DF37+'Model Setup'!$G$7,$B37:$Y37)+'Model Setup'!$G$8*(SUMIF($AD$3:$BA$3,"&lt;"&amp;$DF37,$B37:$Y37)+SUMIF($AD$3:$BA$3,"&gt;="&amp;$DG37,$B37:$Y37)),
IF(AR$3=$DF37+'Model Setup'!$H$7,SUMIF($AD$3:$BA$3,"="&amp;$DF37+'Model Setup'!$H$7,$B37:$Y37)+'Model Setup'!$H$8*(SUMIF($AD$3:$BA$3,"&lt;"&amp;$DF37,$B37:$Y37)+SUMIF($AD$3:$BA$3,"&gt;="&amp;$DG37,$B37:$Y37)),
IF(AR$3=$DF37+'Model Setup'!$I$7,SUMIF($AD$3:$BA$3,"="&amp;$DF37+'Model Setup'!$I$7,$B37:$Y37)+'Model Setup'!$I$8*(SUMIF($AD$3:$BA$3,"&lt;"&amp;$DF37,$B37:$Y37)+SUMIF($AD$3:$BA$3,"&gt;="&amp;$DG37,$B37:$Y37)),
IF(AR$3=$DF37+'Model Setup'!$J$7,SUMIF($AD$3:$BA$3,"="&amp;$DF37+'Model Setup'!$J$7,$B37:$Y37)+'Model Setup'!$J$8*(SUMIF($AD$3:$BA$3,"&lt;"&amp;$DF37,$B37:$Y37)+SUMIF($AD$3:$BA$3,"&gt;="&amp;$DG37,$B37:$Y37)),
IF(AR$3=$DF37+'Model Setup'!$K$7,SUMIF($AD$3:$BA$3,"="&amp;$DF37+'Model Setup'!$K$7,$B37:$Y37)+'Model Setup'!$K$8*(SUMIF($AD$3:$BA$3,"&lt;"&amp;$DF37,$B37:$Y37)+SUMIF($AD$3:$BA$3,"&gt;="&amp;$DG37,$B37:$Y37)),
IF(AR$3=$DF37+'Model Setup'!$L$7,SUMIF($AD$3:$BA$3,"="&amp;$DF37+'Model Setup'!$L$7,$B37:$Y37)+'Model Setup'!$L$8*(SUMIF($AD$3:$BA$3,"&lt;"&amp;$DF37,$B37:$Y37)+SUMIF($AD$3:$BA$3,"&gt;="&amp;$DG37,$B37:$Y37)),
IF(AR$3=$DF37+'Model Setup'!$M$7,SUMIF($AD$3:$BA$3,"="&amp;$DF37+'Model Setup'!$M$7,$B37:$Y37)+'Model Setup'!$M$8*(SUMIF($AD$3:$BA$3,"&lt;"&amp;$DF37,$B37:$Y37)+SUMIF($AD$3:$BA$3,"&gt;="&amp;$DG37,$B37:$Y37)),
IF(AR$3=$DF37+'Model Setup'!$N$7,SUMIF($AD$3:$BA$3,"="&amp;$DF37+'Model Setup'!$N$7,$B37:$Y37)+'Model Setup'!$N$8*(SUMIF($AD$3:$BA$3,"&lt;"&amp;$DF37,$B37:$Y37)+SUMIF($AD$3:$BA$3,"&gt;="&amp;$DG37,$B37:$Y37)),
IF(AR$3&lt;$DG37,P37,0))))))))))))))),0)</f>
        <v>12</v>
      </c>
      <c r="AS37" s="47">
        <f>ROUND(IF(AS$3&lt;$DF37,0,
IF(AS$3=$DF37+'Model Setup'!$B$7,SUMIF($AD$3:$BA$3,"="&amp;$DF37+'Model Setup'!$B$7,$B37:$Y37)+'Model Setup'!$B$8*(SUMIF($AD$3:$BA$3,"&lt;"&amp;$DF37,$B37:$Y37)+SUMIF($AD$3:$BA$3,"&gt;="&amp;$DG37,$B37:$Y37)),
IF(AS$3=$DF37+'Model Setup'!$C$7,SUMIF($AD$3:$BA$3,"="&amp;$DF37+'Model Setup'!$C$7,$B37:$Y37)+'Model Setup'!$C$8*(SUMIF($AD$3:$BA$3,"&lt;"&amp;$DF37,$B37:$Y37)+SUMIF($AD$3:$BA$3,"&gt;="&amp;$DG37,$B37:$Y37)),
IF(AS$3=$DF37+'Model Setup'!$D$7,SUMIF($AD$3:$BA$3,"="&amp;$DF37+'Model Setup'!$D$7,$B37:$Y37)+'Model Setup'!$D$8*(SUMIF($AD$3:$BA$3,"&lt;"&amp;$DF37,$B37:$Y37)+SUMIF($AD$3:$BA$3,"&gt;="&amp;$DG37,$B37:$Y37)),
IF(AS$3=$DF37+'Model Setup'!$E$7,SUMIF($AD$3:$BA$3,"="&amp;$DF37+'Model Setup'!$E$7,$B37:$Y37)+'Model Setup'!$E$8*(SUMIF($AD$3:$BA$3,"&lt;"&amp;$DF37,$B37:$Y37)+SUMIF($AD$3:$BA$3,"&gt;="&amp;$DG37,$B37:$Y37)),
IF(AS$3=$DF37+'Model Setup'!$F$7,SUMIF($AD$3:$BA$3,"="&amp;$DF37+'Model Setup'!$F$7,$B37:$Y37)+'Model Setup'!$F$8*(SUMIF($AD$3:$BA$3,"&lt;"&amp;$DF37,$B37:$Y37)+SUMIF($AD$3:$BA$3,"&gt;="&amp;$DG37,$B37:$Y37)),
IF(AS$3=$DF37+'Model Setup'!$G$7,SUMIF($AD$3:$BA$3,"="&amp;$DF37+'Model Setup'!$G$7,$B37:$Y37)+'Model Setup'!$G$8*(SUMIF($AD$3:$BA$3,"&lt;"&amp;$DF37,$B37:$Y37)+SUMIF($AD$3:$BA$3,"&gt;="&amp;$DG37,$B37:$Y37)),
IF(AS$3=$DF37+'Model Setup'!$H$7,SUMIF($AD$3:$BA$3,"="&amp;$DF37+'Model Setup'!$H$7,$B37:$Y37)+'Model Setup'!$H$8*(SUMIF($AD$3:$BA$3,"&lt;"&amp;$DF37,$B37:$Y37)+SUMIF($AD$3:$BA$3,"&gt;="&amp;$DG37,$B37:$Y37)),
IF(AS$3=$DF37+'Model Setup'!$I$7,SUMIF($AD$3:$BA$3,"="&amp;$DF37+'Model Setup'!$I$7,$B37:$Y37)+'Model Setup'!$I$8*(SUMIF($AD$3:$BA$3,"&lt;"&amp;$DF37,$B37:$Y37)+SUMIF($AD$3:$BA$3,"&gt;="&amp;$DG37,$B37:$Y37)),
IF(AS$3=$DF37+'Model Setup'!$J$7,SUMIF($AD$3:$BA$3,"="&amp;$DF37+'Model Setup'!$J$7,$B37:$Y37)+'Model Setup'!$J$8*(SUMIF($AD$3:$BA$3,"&lt;"&amp;$DF37,$B37:$Y37)+SUMIF($AD$3:$BA$3,"&gt;="&amp;$DG37,$B37:$Y37)),
IF(AS$3=$DF37+'Model Setup'!$K$7,SUMIF($AD$3:$BA$3,"="&amp;$DF37+'Model Setup'!$K$7,$B37:$Y37)+'Model Setup'!$K$8*(SUMIF($AD$3:$BA$3,"&lt;"&amp;$DF37,$B37:$Y37)+SUMIF($AD$3:$BA$3,"&gt;="&amp;$DG37,$B37:$Y37)),
IF(AS$3=$DF37+'Model Setup'!$L$7,SUMIF($AD$3:$BA$3,"="&amp;$DF37+'Model Setup'!$L$7,$B37:$Y37)+'Model Setup'!$L$8*(SUMIF($AD$3:$BA$3,"&lt;"&amp;$DF37,$B37:$Y37)+SUMIF($AD$3:$BA$3,"&gt;="&amp;$DG37,$B37:$Y37)),
IF(AS$3=$DF37+'Model Setup'!$M$7,SUMIF($AD$3:$BA$3,"="&amp;$DF37+'Model Setup'!$M$7,$B37:$Y37)+'Model Setup'!$M$8*(SUMIF($AD$3:$BA$3,"&lt;"&amp;$DF37,$B37:$Y37)+SUMIF($AD$3:$BA$3,"&gt;="&amp;$DG37,$B37:$Y37)),
IF(AS$3=$DF37+'Model Setup'!$N$7,SUMIF($AD$3:$BA$3,"="&amp;$DF37+'Model Setup'!$N$7,$B37:$Y37)+'Model Setup'!$N$8*(SUMIF($AD$3:$BA$3,"&lt;"&amp;$DF37,$B37:$Y37)+SUMIF($AD$3:$BA$3,"&gt;="&amp;$DG37,$B37:$Y37)),
IF(AS$3&lt;$DG37,Q37,0))))))))))))))),0)</f>
        <v>16</v>
      </c>
      <c r="AT37" s="47">
        <f>ROUND(IF(AT$3&lt;$DF37,0,
IF(AT$3=$DF37+'Model Setup'!$B$7,SUMIF($AD$3:$BA$3,"="&amp;$DF37+'Model Setup'!$B$7,$B37:$Y37)+'Model Setup'!$B$8*(SUMIF($AD$3:$BA$3,"&lt;"&amp;$DF37,$B37:$Y37)+SUMIF($AD$3:$BA$3,"&gt;="&amp;$DG37,$B37:$Y37)),
IF(AT$3=$DF37+'Model Setup'!$C$7,SUMIF($AD$3:$BA$3,"="&amp;$DF37+'Model Setup'!$C$7,$B37:$Y37)+'Model Setup'!$C$8*(SUMIF($AD$3:$BA$3,"&lt;"&amp;$DF37,$B37:$Y37)+SUMIF($AD$3:$BA$3,"&gt;="&amp;$DG37,$B37:$Y37)),
IF(AT$3=$DF37+'Model Setup'!$D$7,SUMIF($AD$3:$BA$3,"="&amp;$DF37+'Model Setup'!$D$7,$B37:$Y37)+'Model Setup'!$D$8*(SUMIF($AD$3:$BA$3,"&lt;"&amp;$DF37,$B37:$Y37)+SUMIF($AD$3:$BA$3,"&gt;="&amp;$DG37,$B37:$Y37)),
IF(AT$3=$DF37+'Model Setup'!$E$7,SUMIF($AD$3:$BA$3,"="&amp;$DF37+'Model Setup'!$E$7,$B37:$Y37)+'Model Setup'!$E$8*(SUMIF($AD$3:$BA$3,"&lt;"&amp;$DF37,$B37:$Y37)+SUMIF($AD$3:$BA$3,"&gt;="&amp;$DG37,$B37:$Y37)),
IF(AT$3=$DF37+'Model Setup'!$F$7,SUMIF($AD$3:$BA$3,"="&amp;$DF37+'Model Setup'!$F$7,$B37:$Y37)+'Model Setup'!$F$8*(SUMIF($AD$3:$BA$3,"&lt;"&amp;$DF37,$B37:$Y37)+SUMIF($AD$3:$BA$3,"&gt;="&amp;$DG37,$B37:$Y37)),
IF(AT$3=$DF37+'Model Setup'!$G$7,SUMIF($AD$3:$BA$3,"="&amp;$DF37+'Model Setup'!$G$7,$B37:$Y37)+'Model Setup'!$G$8*(SUMIF($AD$3:$BA$3,"&lt;"&amp;$DF37,$B37:$Y37)+SUMIF($AD$3:$BA$3,"&gt;="&amp;$DG37,$B37:$Y37)),
IF(AT$3=$DF37+'Model Setup'!$H$7,SUMIF($AD$3:$BA$3,"="&amp;$DF37+'Model Setup'!$H$7,$B37:$Y37)+'Model Setup'!$H$8*(SUMIF($AD$3:$BA$3,"&lt;"&amp;$DF37,$B37:$Y37)+SUMIF($AD$3:$BA$3,"&gt;="&amp;$DG37,$B37:$Y37)),
IF(AT$3=$DF37+'Model Setup'!$I$7,SUMIF($AD$3:$BA$3,"="&amp;$DF37+'Model Setup'!$I$7,$B37:$Y37)+'Model Setup'!$I$8*(SUMIF($AD$3:$BA$3,"&lt;"&amp;$DF37,$B37:$Y37)+SUMIF($AD$3:$BA$3,"&gt;="&amp;$DG37,$B37:$Y37)),
IF(AT$3=$DF37+'Model Setup'!$J$7,SUMIF($AD$3:$BA$3,"="&amp;$DF37+'Model Setup'!$J$7,$B37:$Y37)+'Model Setup'!$J$8*(SUMIF($AD$3:$BA$3,"&lt;"&amp;$DF37,$B37:$Y37)+SUMIF($AD$3:$BA$3,"&gt;="&amp;$DG37,$B37:$Y37)),
IF(AT$3=$DF37+'Model Setup'!$K$7,SUMIF($AD$3:$BA$3,"="&amp;$DF37+'Model Setup'!$K$7,$B37:$Y37)+'Model Setup'!$K$8*(SUMIF($AD$3:$BA$3,"&lt;"&amp;$DF37,$B37:$Y37)+SUMIF($AD$3:$BA$3,"&gt;="&amp;$DG37,$B37:$Y37)),
IF(AT$3=$DF37+'Model Setup'!$L$7,SUMIF($AD$3:$BA$3,"="&amp;$DF37+'Model Setup'!$L$7,$B37:$Y37)+'Model Setup'!$L$8*(SUMIF($AD$3:$BA$3,"&lt;"&amp;$DF37,$B37:$Y37)+SUMIF($AD$3:$BA$3,"&gt;="&amp;$DG37,$B37:$Y37)),
IF(AT$3=$DF37+'Model Setup'!$M$7,SUMIF($AD$3:$BA$3,"="&amp;$DF37+'Model Setup'!$M$7,$B37:$Y37)+'Model Setup'!$M$8*(SUMIF($AD$3:$BA$3,"&lt;"&amp;$DF37,$B37:$Y37)+SUMIF($AD$3:$BA$3,"&gt;="&amp;$DG37,$B37:$Y37)),
IF(AT$3=$DF37+'Model Setup'!$N$7,SUMIF($AD$3:$BA$3,"="&amp;$DF37+'Model Setup'!$N$7,$B37:$Y37)+'Model Setup'!$N$8*(SUMIF($AD$3:$BA$3,"&lt;"&amp;$DF37,$B37:$Y37)+SUMIF($AD$3:$BA$3,"&gt;="&amp;$DG37,$B37:$Y37)),
IF(AT$3&lt;$DG37,R37,0))))))))))))))),0)</f>
        <v>10</v>
      </c>
      <c r="AU37" s="47">
        <f>ROUND(IF(AU$3&lt;$DF37,0,
IF(AU$3=$DF37+'Model Setup'!$B$7,SUMIF($AD$3:$BA$3,"="&amp;$DF37+'Model Setup'!$B$7,$B37:$Y37)+'Model Setup'!$B$8*(SUMIF($AD$3:$BA$3,"&lt;"&amp;$DF37,$B37:$Y37)+SUMIF($AD$3:$BA$3,"&gt;="&amp;$DG37,$B37:$Y37)),
IF(AU$3=$DF37+'Model Setup'!$C$7,SUMIF($AD$3:$BA$3,"="&amp;$DF37+'Model Setup'!$C$7,$B37:$Y37)+'Model Setup'!$C$8*(SUMIF($AD$3:$BA$3,"&lt;"&amp;$DF37,$B37:$Y37)+SUMIF($AD$3:$BA$3,"&gt;="&amp;$DG37,$B37:$Y37)),
IF(AU$3=$DF37+'Model Setup'!$D$7,SUMIF($AD$3:$BA$3,"="&amp;$DF37+'Model Setup'!$D$7,$B37:$Y37)+'Model Setup'!$D$8*(SUMIF($AD$3:$BA$3,"&lt;"&amp;$DF37,$B37:$Y37)+SUMIF($AD$3:$BA$3,"&gt;="&amp;$DG37,$B37:$Y37)),
IF(AU$3=$DF37+'Model Setup'!$E$7,SUMIF($AD$3:$BA$3,"="&amp;$DF37+'Model Setup'!$E$7,$B37:$Y37)+'Model Setup'!$E$8*(SUMIF($AD$3:$BA$3,"&lt;"&amp;$DF37,$B37:$Y37)+SUMIF($AD$3:$BA$3,"&gt;="&amp;$DG37,$B37:$Y37)),
IF(AU$3=$DF37+'Model Setup'!$F$7,SUMIF($AD$3:$BA$3,"="&amp;$DF37+'Model Setup'!$F$7,$B37:$Y37)+'Model Setup'!$F$8*(SUMIF($AD$3:$BA$3,"&lt;"&amp;$DF37,$B37:$Y37)+SUMIF($AD$3:$BA$3,"&gt;="&amp;$DG37,$B37:$Y37)),
IF(AU$3=$DF37+'Model Setup'!$G$7,SUMIF($AD$3:$BA$3,"="&amp;$DF37+'Model Setup'!$G$7,$B37:$Y37)+'Model Setup'!$G$8*(SUMIF($AD$3:$BA$3,"&lt;"&amp;$DF37,$B37:$Y37)+SUMIF($AD$3:$BA$3,"&gt;="&amp;$DG37,$B37:$Y37)),
IF(AU$3=$DF37+'Model Setup'!$H$7,SUMIF($AD$3:$BA$3,"="&amp;$DF37+'Model Setup'!$H$7,$B37:$Y37)+'Model Setup'!$H$8*(SUMIF($AD$3:$BA$3,"&lt;"&amp;$DF37,$B37:$Y37)+SUMIF($AD$3:$BA$3,"&gt;="&amp;$DG37,$B37:$Y37)),
IF(AU$3=$DF37+'Model Setup'!$I$7,SUMIF($AD$3:$BA$3,"="&amp;$DF37+'Model Setup'!$I$7,$B37:$Y37)+'Model Setup'!$I$8*(SUMIF($AD$3:$BA$3,"&lt;"&amp;$DF37,$B37:$Y37)+SUMIF($AD$3:$BA$3,"&gt;="&amp;$DG37,$B37:$Y37)),
IF(AU$3=$DF37+'Model Setup'!$J$7,SUMIF($AD$3:$BA$3,"="&amp;$DF37+'Model Setup'!$J$7,$B37:$Y37)+'Model Setup'!$J$8*(SUMIF($AD$3:$BA$3,"&lt;"&amp;$DF37,$B37:$Y37)+SUMIF($AD$3:$BA$3,"&gt;="&amp;$DG37,$B37:$Y37)),
IF(AU$3=$DF37+'Model Setup'!$K$7,SUMIF($AD$3:$BA$3,"="&amp;$DF37+'Model Setup'!$K$7,$B37:$Y37)+'Model Setup'!$K$8*(SUMIF($AD$3:$BA$3,"&lt;"&amp;$DF37,$B37:$Y37)+SUMIF($AD$3:$BA$3,"&gt;="&amp;$DG37,$B37:$Y37)),
IF(AU$3=$DF37+'Model Setup'!$L$7,SUMIF($AD$3:$BA$3,"="&amp;$DF37+'Model Setup'!$L$7,$B37:$Y37)+'Model Setup'!$L$8*(SUMIF($AD$3:$BA$3,"&lt;"&amp;$DF37,$B37:$Y37)+SUMIF($AD$3:$BA$3,"&gt;="&amp;$DG37,$B37:$Y37)),
IF(AU$3=$DF37+'Model Setup'!$M$7,SUMIF($AD$3:$BA$3,"="&amp;$DF37+'Model Setup'!$M$7,$B37:$Y37)+'Model Setup'!$M$8*(SUMIF($AD$3:$BA$3,"&lt;"&amp;$DF37,$B37:$Y37)+SUMIF($AD$3:$BA$3,"&gt;="&amp;$DG37,$B37:$Y37)),
IF(AU$3=$DF37+'Model Setup'!$N$7,SUMIF($AD$3:$BA$3,"="&amp;$DF37+'Model Setup'!$N$7,$B37:$Y37)+'Model Setup'!$N$8*(SUMIF($AD$3:$BA$3,"&lt;"&amp;$DF37,$B37:$Y37)+SUMIF($AD$3:$BA$3,"&gt;="&amp;$DG37,$B37:$Y37)),
IF(AU$3&lt;$DG37,S37,0))))))))))))))),0)</f>
        <v>5</v>
      </c>
      <c r="AV37" s="47">
        <f>ROUND(IF(AV$3&lt;$DF37,0,
IF(AV$3=$DF37+'Model Setup'!$B$7,SUMIF($AD$3:$BA$3,"="&amp;$DF37+'Model Setup'!$B$7,$B37:$Y37)+'Model Setup'!$B$8*(SUMIF($AD$3:$BA$3,"&lt;"&amp;$DF37,$B37:$Y37)+SUMIF($AD$3:$BA$3,"&gt;="&amp;$DG37,$B37:$Y37)),
IF(AV$3=$DF37+'Model Setup'!$C$7,SUMIF($AD$3:$BA$3,"="&amp;$DF37+'Model Setup'!$C$7,$B37:$Y37)+'Model Setup'!$C$8*(SUMIF($AD$3:$BA$3,"&lt;"&amp;$DF37,$B37:$Y37)+SUMIF($AD$3:$BA$3,"&gt;="&amp;$DG37,$B37:$Y37)),
IF(AV$3=$DF37+'Model Setup'!$D$7,SUMIF($AD$3:$BA$3,"="&amp;$DF37+'Model Setup'!$D$7,$B37:$Y37)+'Model Setup'!$D$8*(SUMIF($AD$3:$BA$3,"&lt;"&amp;$DF37,$B37:$Y37)+SUMIF($AD$3:$BA$3,"&gt;="&amp;$DG37,$B37:$Y37)),
IF(AV$3=$DF37+'Model Setup'!$E$7,SUMIF($AD$3:$BA$3,"="&amp;$DF37+'Model Setup'!$E$7,$B37:$Y37)+'Model Setup'!$E$8*(SUMIF($AD$3:$BA$3,"&lt;"&amp;$DF37,$B37:$Y37)+SUMIF($AD$3:$BA$3,"&gt;="&amp;$DG37,$B37:$Y37)),
IF(AV$3=$DF37+'Model Setup'!$F$7,SUMIF($AD$3:$BA$3,"="&amp;$DF37+'Model Setup'!$F$7,$B37:$Y37)+'Model Setup'!$F$8*(SUMIF($AD$3:$BA$3,"&lt;"&amp;$DF37,$B37:$Y37)+SUMIF($AD$3:$BA$3,"&gt;="&amp;$DG37,$B37:$Y37)),
IF(AV$3=$DF37+'Model Setup'!$G$7,SUMIF($AD$3:$BA$3,"="&amp;$DF37+'Model Setup'!$G$7,$B37:$Y37)+'Model Setup'!$G$8*(SUMIF($AD$3:$BA$3,"&lt;"&amp;$DF37,$B37:$Y37)+SUMIF($AD$3:$BA$3,"&gt;="&amp;$DG37,$B37:$Y37)),
IF(AV$3=$DF37+'Model Setup'!$H$7,SUMIF($AD$3:$BA$3,"="&amp;$DF37+'Model Setup'!$H$7,$B37:$Y37)+'Model Setup'!$H$8*(SUMIF($AD$3:$BA$3,"&lt;"&amp;$DF37,$B37:$Y37)+SUMIF($AD$3:$BA$3,"&gt;="&amp;$DG37,$B37:$Y37)),
IF(AV$3=$DF37+'Model Setup'!$I$7,SUMIF($AD$3:$BA$3,"="&amp;$DF37+'Model Setup'!$I$7,$B37:$Y37)+'Model Setup'!$I$8*(SUMIF($AD$3:$BA$3,"&lt;"&amp;$DF37,$B37:$Y37)+SUMIF($AD$3:$BA$3,"&gt;="&amp;$DG37,$B37:$Y37)),
IF(AV$3=$DF37+'Model Setup'!$J$7,SUMIF($AD$3:$BA$3,"="&amp;$DF37+'Model Setup'!$J$7,$B37:$Y37)+'Model Setup'!$J$8*(SUMIF($AD$3:$BA$3,"&lt;"&amp;$DF37,$B37:$Y37)+SUMIF($AD$3:$BA$3,"&gt;="&amp;$DG37,$B37:$Y37)),
IF(AV$3=$DF37+'Model Setup'!$K$7,SUMIF($AD$3:$BA$3,"="&amp;$DF37+'Model Setup'!$K$7,$B37:$Y37)+'Model Setup'!$K$8*(SUMIF($AD$3:$BA$3,"&lt;"&amp;$DF37,$B37:$Y37)+SUMIF($AD$3:$BA$3,"&gt;="&amp;$DG37,$B37:$Y37)),
IF(AV$3=$DF37+'Model Setup'!$L$7,SUMIF($AD$3:$BA$3,"="&amp;$DF37+'Model Setup'!$L$7,$B37:$Y37)+'Model Setup'!$L$8*(SUMIF($AD$3:$BA$3,"&lt;"&amp;$DF37,$B37:$Y37)+SUMIF($AD$3:$BA$3,"&gt;="&amp;$DG37,$B37:$Y37)),
IF(AV$3=$DF37+'Model Setup'!$M$7,SUMIF($AD$3:$BA$3,"="&amp;$DF37+'Model Setup'!$M$7,$B37:$Y37)+'Model Setup'!$M$8*(SUMIF($AD$3:$BA$3,"&lt;"&amp;$DF37,$B37:$Y37)+SUMIF($AD$3:$BA$3,"&gt;="&amp;$DG37,$B37:$Y37)),
IF(AV$3=$DF37+'Model Setup'!$N$7,SUMIF($AD$3:$BA$3,"="&amp;$DF37+'Model Setup'!$N$7,$B37:$Y37)+'Model Setup'!$N$8*(SUMIF($AD$3:$BA$3,"&lt;"&amp;$DF37,$B37:$Y37)+SUMIF($AD$3:$BA$3,"&gt;="&amp;$DG37,$B37:$Y37)),
IF(AV$3&lt;$DG37,T37,0))))))))))))))),0)</f>
        <v>33</v>
      </c>
      <c r="AW37" s="47">
        <f>ROUND(IF(AW$3&lt;$DF37,0,
IF(AW$3=$DF37+'Model Setup'!$B$7,SUMIF($AD$3:$BA$3,"="&amp;$DF37+'Model Setup'!$B$7,$B37:$Y37)+'Model Setup'!$B$8*(SUMIF($AD$3:$BA$3,"&lt;"&amp;$DF37,$B37:$Y37)+SUMIF($AD$3:$BA$3,"&gt;="&amp;$DG37,$B37:$Y37)),
IF(AW$3=$DF37+'Model Setup'!$C$7,SUMIF($AD$3:$BA$3,"="&amp;$DF37+'Model Setup'!$C$7,$B37:$Y37)+'Model Setup'!$C$8*(SUMIF($AD$3:$BA$3,"&lt;"&amp;$DF37,$B37:$Y37)+SUMIF($AD$3:$BA$3,"&gt;="&amp;$DG37,$B37:$Y37)),
IF(AW$3=$DF37+'Model Setup'!$D$7,SUMIF($AD$3:$BA$3,"="&amp;$DF37+'Model Setup'!$D$7,$B37:$Y37)+'Model Setup'!$D$8*(SUMIF($AD$3:$BA$3,"&lt;"&amp;$DF37,$B37:$Y37)+SUMIF($AD$3:$BA$3,"&gt;="&amp;$DG37,$B37:$Y37)),
IF(AW$3=$DF37+'Model Setup'!$E$7,SUMIF($AD$3:$BA$3,"="&amp;$DF37+'Model Setup'!$E$7,$B37:$Y37)+'Model Setup'!$E$8*(SUMIF($AD$3:$BA$3,"&lt;"&amp;$DF37,$B37:$Y37)+SUMIF($AD$3:$BA$3,"&gt;="&amp;$DG37,$B37:$Y37)),
IF(AW$3=$DF37+'Model Setup'!$F$7,SUMIF($AD$3:$BA$3,"="&amp;$DF37+'Model Setup'!$F$7,$B37:$Y37)+'Model Setup'!$F$8*(SUMIF($AD$3:$BA$3,"&lt;"&amp;$DF37,$B37:$Y37)+SUMIF($AD$3:$BA$3,"&gt;="&amp;$DG37,$B37:$Y37)),
IF(AW$3=$DF37+'Model Setup'!$G$7,SUMIF($AD$3:$BA$3,"="&amp;$DF37+'Model Setup'!$G$7,$B37:$Y37)+'Model Setup'!$G$8*(SUMIF($AD$3:$BA$3,"&lt;"&amp;$DF37,$B37:$Y37)+SUMIF($AD$3:$BA$3,"&gt;="&amp;$DG37,$B37:$Y37)),
IF(AW$3=$DF37+'Model Setup'!$H$7,SUMIF($AD$3:$BA$3,"="&amp;$DF37+'Model Setup'!$H$7,$B37:$Y37)+'Model Setup'!$H$8*(SUMIF($AD$3:$BA$3,"&lt;"&amp;$DF37,$B37:$Y37)+SUMIF($AD$3:$BA$3,"&gt;="&amp;$DG37,$B37:$Y37)),
IF(AW$3=$DF37+'Model Setup'!$I$7,SUMIF($AD$3:$BA$3,"="&amp;$DF37+'Model Setup'!$I$7,$B37:$Y37)+'Model Setup'!$I$8*(SUMIF($AD$3:$BA$3,"&lt;"&amp;$DF37,$B37:$Y37)+SUMIF($AD$3:$BA$3,"&gt;="&amp;$DG37,$B37:$Y37)),
IF(AW$3=$DF37+'Model Setup'!$J$7,SUMIF($AD$3:$BA$3,"="&amp;$DF37+'Model Setup'!$J$7,$B37:$Y37)+'Model Setup'!$J$8*(SUMIF($AD$3:$BA$3,"&lt;"&amp;$DF37,$B37:$Y37)+SUMIF($AD$3:$BA$3,"&gt;="&amp;$DG37,$B37:$Y37)),
IF(AW$3=$DF37+'Model Setup'!$K$7,SUMIF($AD$3:$BA$3,"="&amp;$DF37+'Model Setup'!$K$7,$B37:$Y37)+'Model Setup'!$K$8*(SUMIF($AD$3:$BA$3,"&lt;"&amp;$DF37,$B37:$Y37)+SUMIF($AD$3:$BA$3,"&gt;="&amp;$DG37,$B37:$Y37)),
IF(AW$3=$DF37+'Model Setup'!$L$7,SUMIF($AD$3:$BA$3,"="&amp;$DF37+'Model Setup'!$L$7,$B37:$Y37)+'Model Setup'!$L$8*(SUMIF($AD$3:$BA$3,"&lt;"&amp;$DF37,$B37:$Y37)+SUMIF($AD$3:$BA$3,"&gt;="&amp;$DG37,$B37:$Y37)),
IF(AW$3=$DF37+'Model Setup'!$M$7,SUMIF($AD$3:$BA$3,"="&amp;$DF37+'Model Setup'!$M$7,$B37:$Y37)+'Model Setup'!$M$8*(SUMIF($AD$3:$BA$3,"&lt;"&amp;$DF37,$B37:$Y37)+SUMIF($AD$3:$BA$3,"&gt;="&amp;$DG37,$B37:$Y37)),
IF(AW$3=$DF37+'Model Setup'!$N$7,SUMIF($AD$3:$BA$3,"="&amp;$DF37+'Model Setup'!$N$7,$B37:$Y37)+'Model Setup'!$N$8*(SUMIF($AD$3:$BA$3,"&lt;"&amp;$DF37,$B37:$Y37)+SUMIF($AD$3:$BA$3,"&gt;="&amp;$DG37,$B37:$Y37)),
IF(AW$3&lt;$DG37,U37,0))))))))))))))),0)</f>
        <v>40</v>
      </c>
      <c r="AX37" s="47">
        <f>ROUND(IF(AX$3&lt;$DF37,0,
IF(AX$3=$DF37+'Model Setup'!$B$7,SUMIF($AD$3:$BA$3,"="&amp;$DF37+'Model Setup'!$B$7,$B37:$Y37)+'Model Setup'!$B$8*(SUMIF($AD$3:$BA$3,"&lt;"&amp;$DF37,$B37:$Y37)+SUMIF($AD$3:$BA$3,"&gt;="&amp;$DG37,$B37:$Y37)),
IF(AX$3=$DF37+'Model Setup'!$C$7,SUMIF($AD$3:$BA$3,"="&amp;$DF37+'Model Setup'!$C$7,$B37:$Y37)+'Model Setup'!$C$8*(SUMIF($AD$3:$BA$3,"&lt;"&amp;$DF37,$B37:$Y37)+SUMIF($AD$3:$BA$3,"&gt;="&amp;$DG37,$B37:$Y37)),
IF(AX$3=$DF37+'Model Setup'!$D$7,SUMIF($AD$3:$BA$3,"="&amp;$DF37+'Model Setup'!$D$7,$B37:$Y37)+'Model Setup'!$D$8*(SUMIF($AD$3:$BA$3,"&lt;"&amp;$DF37,$B37:$Y37)+SUMIF($AD$3:$BA$3,"&gt;="&amp;$DG37,$B37:$Y37)),
IF(AX$3=$DF37+'Model Setup'!$E$7,SUMIF($AD$3:$BA$3,"="&amp;$DF37+'Model Setup'!$E$7,$B37:$Y37)+'Model Setup'!$E$8*(SUMIF($AD$3:$BA$3,"&lt;"&amp;$DF37,$B37:$Y37)+SUMIF($AD$3:$BA$3,"&gt;="&amp;$DG37,$B37:$Y37)),
IF(AX$3=$DF37+'Model Setup'!$F$7,SUMIF($AD$3:$BA$3,"="&amp;$DF37+'Model Setup'!$F$7,$B37:$Y37)+'Model Setup'!$F$8*(SUMIF($AD$3:$BA$3,"&lt;"&amp;$DF37,$B37:$Y37)+SUMIF($AD$3:$BA$3,"&gt;="&amp;$DG37,$B37:$Y37)),
IF(AX$3=$DF37+'Model Setup'!$G$7,SUMIF($AD$3:$BA$3,"="&amp;$DF37+'Model Setup'!$G$7,$B37:$Y37)+'Model Setup'!$G$8*(SUMIF($AD$3:$BA$3,"&lt;"&amp;$DF37,$B37:$Y37)+SUMIF($AD$3:$BA$3,"&gt;="&amp;$DG37,$B37:$Y37)),
IF(AX$3=$DF37+'Model Setup'!$H$7,SUMIF($AD$3:$BA$3,"="&amp;$DF37+'Model Setup'!$H$7,$B37:$Y37)+'Model Setup'!$H$8*(SUMIF($AD$3:$BA$3,"&lt;"&amp;$DF37,$B37:$Y37)+SUMIF($AD$3:$BA$3,"&gt;="&amp;$DG37,$B37:$Y37)),
IF(AX$3=$DF37+'Model Setup'!$I$7,SUMIF($AD$3:$BA$3,"="&amp;$DF37+'Model Setup'!$I$7,$B37:$Y37)+'Model Setup'!$I$8*(SUMIF($AD$3:$BA$3,"&lt;"&amp;$DF37,$B37:$Y37)+SUMIF($AD$3:$BA$3,"&gt;="&amp;$DG37,$B37:$Y37)),
IF(AX$3=$DF37+'Model Setup'!$J$7,SUMIF($AD$3:$BA$3,"="&amp;$DF37+'Model Setup'!$J$7,$B37:$Y37)+'Model Setup'!$J$8*(SUMIF($AD$3:$BA$3,"&lt;"&amp;$DF37,$B37:$Y37)+SUMIF($AD$3:$BA$3,"&gt;="&amp;$DG37,$B37:$Y37)),
IF(AX$3=$DF37+'Model Setup'!$K$7,SUMIF($AD$3:$BA$3,"="&amp;$DF37+'Model Setup'!$K$7,$B37:$Y37)+'Model Setup'!$K$8*(SUMIF($AD$3:$BA$3,"&lt;"&amp;$DF37,$B37:$Y37)+SUMIF($AD$3:$BA$3,"&gt;="&amp;$DG37,$B37:$Y37)),
IF(AX$3=$DF37+'Model Setup'!$L$7,SUMIF($AD$3:$BA$3,"="&amp;$DF37+'Model Setup'!$L$7,$B37:$Y37)+'Model Setup'!$L$8*(SUMIF($AD$3:$BA$3,"&lt;"&amp;$DF37,$B37:$Y37)+SUMIF($AD$3:$BA$3,"&gt;="&amp;$DG37,$B37:$Y37)),
IF(AX$3=$DF37+'Model Setup'!$M$7,SUMIF($AD$3:$BA$3,"="&amp;$DF37+'Model Setup'!$M$7,$B37:$Y37)+'Model Setup'!$M$8*(SUMIF($AD$3:$BA$3,"&lt;"&amp;$DF37,$B37:$Y37)+SUMIF($AD$3:$BA$3,"&gt;="&amp;$DG37,$B37:$Y37)),
IF(AX$3=$DF37+'Model Setup'!$N$7,SUMIF($AD$3:$BA$3,"="&amp;$DF37+'Model Setup'!$N$7,$B37:$Y37)+'Model Setup'!$N$8*(SUMIF($AD$3:$BA$3,"&lt;"&amp;$DF37,$B37:$Y37)+SUMIF($AD$3:$BA$3,"&gt;="&amp;$DG37,$B37:$Y37)),
IF(AX$3&lt;$DG37,V37,0))))))))))))))),0)</f>
        <v>32</v>
      </c>
      <c r="AY37" s="47">
        <f>ROUND(IF(AY$3&lt;$DF37,0,
IF(AY$3=$DF37+'Model Setup'!$B$7,SUMIF($AD$3:$BA$3,"="&amp;$DF37+'Model Setup'!$B$7,$B37:$Y37)+'Model Setup'!$B$8*(SUMIF($AD$3:$BA$3,"&lt;"&amp;$DF37,$B37:$Y37)+SUMIF($AD$3:$BA$3,"&gt;="&amp;$DG37,$B37:$Y37)),
IF(AY$3=$DF37+'Model Setup'!$C$7,SUMIF($AD$3:$BA$3,"="&amp;$DF37+'Model Setup'!$C$7,$B37:$Y37)+'Model Setup'!$C$8*(SUMIF($AD$3:$BA$3,"&lt;"&amp;$DF37,$B37:$Y37)+SUMIF($AD$3:$BA$3,"&gt;="&amp;$DG37,$B37:$Y37)),
IF(AY$3=$DF37+'Model Setup'!$D$7,SUMIF($AD$3:$BA$3,"="&amp;$DF37+'Model Setup'!$D$7,$B37:$Y37)+'Model Setup'!$D$8*(SUMIF($AD$3:$BA$3,"&lt;"&amp;$DF37,$B37:$Y37)+SUMIF($AD$3:$BA$3,"&gt;="&amp;$DG37,$B37:$Y37)),
IF(AY$3=$DF37+'Model Setup'!$E$7,SUMIF($AD$3:$BA$3,"="&amp;$DF37+'Model Setup'!$E$7,$B37:$Y37)+'Model Setup'!$E$8*(SUMIF($AD$3:$BA$3,"&lt;"&amp;$DF37,$B37:$Y37)+SUMIF($AD$3:$BA$3,"&gt;="&amp;$DG37,$B37:$Y37)),
IF(AY$3=$DF37+'Model Setup'!$F$7,SUMIF($AD$3:$BA$3,"="&amp;$DF37+'Model Setup'!$F$7,$B37:$Y37)+'Model Setup'!$F$8*(SUMIF($AD$3:$BA$3,"&lt;"&amp;$DF37,$B37:$Y37)+SUMIF($AD$3:$BA$3,"&gt;="&amp;$DG37,$B37:$Y37)),
IF(AY$3=$DF37+'Model Setup'!$G$7,SUMIF($AD$3:$BA$3,"="&amp;$DF37+'Model Setup'!$G$7,$B37:$Y37)+'Model Setup'!$G$8*(SUMIF($AD$3:$BA$3,"&lt;"&amp;$DF37,$B37:$Y37)+SUMIF($AD$3:$BA$3,"&gt;="&amp;$DG37,$B37:$Y37)),
IF(AY$3=$DF37+'Model Setup'!$H$7,SUMIF($AD$3:$BA$3,"="&amp;$DF37+'Model Setup'!$H$7,$B37:$Y37)+'Model Setup'!$H$8*(SUMIF($AD$3:$BA$3,"&lt;"&amp;$DF37,$B37:$Y37)+SUMIF($AD$3:$BA$3,"&gt;="&amp;$DG37,$B37:$Y37)),
IF(AY$3=$DF37+'Model Setup'!$I$7,SUMIF($AD$3:$BA$3,"="&amp;$DF37+'Model Setup'!$I$7,$B37:$Y37)+'Model Setup'!$I$8*(SUMIF($AD$3:$BA$3,"&lt;"&amp;$DF37,$B37:$Y37)+SUMIF($AD$3:$BA$3,"&gt;="&amp;$DG37,$B37:$Y37)),
IF(AY$3=$DF37+'Model Setup'!$J$7,SUMIF($AD$3:$BA$3,"="&amp;$DF37+'Model Setup'!$J$7,$B37:$Y37)+'Model Setup'!$J$8*(SUMIF($AD$3:$BA$3,"&lt;"&amp;$DF37,$B37:$Y37)+SUMIF($AD$3:$BA$3,"&gt;="&amp;$DG37,$B37:$Y37)),
IF(AY$3=$DF37+'Model Setup'!$K$7,SUMIF($AD$3:$BA$3,"="&amp;$DF37+'Model Setup'!$K$7,$B37:$Y37)+'Model Setup'!$K$8*(SUMIF($AD$3:$BA$3,"&lt;"&amp;$DF37,$B37:$Y37)+SUMIF($AD$3:$BA$3,"&gt;="&amp;$DG37,$B37:$Y37)),
IF(AY$3=$DF37+'Model Setup'!$L$7,SUMIF($AD$3:$BA$3,"="&amp;$DF37+'Model Setup'!$L$7,$B37:$Y37)+'Model Setup'!$L$8*(SUMIF($AD$3:$BA$3,"&lt;"&amp;$DF37,$B37:$Y37)+SUMIF($AD$3:$BA$3,"&gt;="&amp;$DG37,$B37:$Y37)),
IF(AY$3=$DF37+'Model Setup'!$M$7,SUMIF($AD$3:$BA$3,"="&amp;$DF37+'Model Setup'!$M$7,$B37:$Y37)+'Model Setup'!$M$8*(SUMIF($AD$3:$BA$3,"&lt;"&amp;$DF37,$B37:$Y37)+SUMIF($AD$3:$BA$3,"&gt;="&amp;$DG37,$B37:$Y37)),
IF(AY$3=$DF37+'Model Setup'!$N$7,SUMIF($AD$3:$BA$3,"="&amp;$DF37+'Model Setup'!$N$7,$B37:$Y37)+'Model Setup'!$N$8*(SUMIF($AD$3:$BA$3,"&lt;"&amp;$DF37,$B37:$Y37)+SUMIF($AD$3:$BA$3,"&gt;="&amp;$DG37,$B37:$Y37)),
IF(AY$3&lt;$DG37,W37,0))))))))))))))),0)</f>
        <v>0</v>
      </c>
      <c r="AZ37" s="47">
        <f>ROUND(IF(AZ$3&lt;$DF37,0,
IF(AZ$3=$DF37+'Model Setup'!$B$7,SUMIF($AD$3:$BA$3,"="&amp;$DF37+'Model Setup'!$B$7,$B37:$Y37)+'Model Setup'!$B$8*(SUMIF($AD$3:$BA$3,"&lt;"&amp;$DF37,$B37:$Y37)+SUMIF($AD$3:$BA$3,"&gt;="&amp;$DG37,$B37:$Y37)),
IF(AZ$3=$DF37+'Model Setup'!$C$7,SUMIF($AD$3:$BA$3,"="&amp;$DF37+'Model Setup'!$C$7,$B37:$Y37)+'Model Setup'!$C$8*(SUMIF($AD$3:$BA$3,"&lt;"&amp;$DF37,$B37:$Y37)+SUMIF($AD$3:$BA$3,"&gt;="&amp;$DG37,$B37:$Y37)),
IF(AZ$3=$DF37+'Model Setup'!$D$7,SUMIF($AD$3:$BA$3,"="&amp;$DF37+'Model Setup'!$D$7,$B37:$Y37)+'Model Setup'!$D$8*(SUMIF($AD$3:$BA$3,"&lt;"&amp;$DF37,$B37:$Y37)+SUMIF($AD$3:$BA$3,"&gt;="&amp;$DG37,$B37:$Y37)),
IF(AZ$3=$DF37+'Model Setup'!$E$7,SUMIF($AD$3:$BA$3,"="&amp;$DF37+'Model Setup'!$E$7,$B37:$Y37)+'Model Setup'!$E$8*(SUMIF($AD$3:$BA$3,"&lt;"&amp;$DF37,$B37:$Y37)+SUMIF($AD$3:$BA$3,"&gt;="&amp;$DG37,$B37:$Y37)),
IF(AZ$3=$DF37+'Model Setup'!$F$7,SUMIF($AD$3:$BA$3,"="&amp;$DF37+'Model Setup'!$F$7,$B37:$Y37)+'Model Setup'!$F$8*(SUMIF($AD$3:$BA$3,"&lt;"&amp;$DF37,$B37:$Y37)+SUMIF($AD$3:$BA$3,"&gt;="&amp;$DG37,$B37:$Y37)),
IF(AZ$3=$DF37+'Model Setup'!$G$7,SUMIF($AD$3:$BA$3,"="&amp;$DF37+'Model Setup'!$G$7,$B37:$Y37)+'Model Setup'!$G$8*(SUMIF($AD$3:$BA$3,"&lt;"&amp;$DF37,$B37:$Y37)+SUMIF($AD$3:$BA$3,"&gt;="&amp;$DG37,$B37:$Y37)),
IF(AZ$3=$DF37+'Model Setup'!$H$7,SUMIF($AD$3:$BA$3,"="&amp;$DF37+'Model Setup'!$H$7,$B37:$Y37)+'Model Setup'!$H$8*(SUMIF($AD$3:$BA$3,"&lt;"&amp;$DF37,$B37:$Y37)+SUMIF($AD$3:$BA$3,"&gt;="&amp;$DG37,$B37:$Y37)),
IF(AZ$3=$DF37+'Model Setup'!$I$7,SUMIF($AD$3:$BA$3,"="&amp;$DF37+'Model Setup'!$I$7,$B37:$Y37)+'Model Setup'!$I$8*(SUMIF($AD$3:$BA$3,"&lt;"&amp;$DF37,$B37:$Y37)+SUMIF($AD$3:$BA$3,"&gt;="&amp;$DG37,$B37:$Y37)),
IF(AZ$3=$DF37+'Model Setup'!$J$7,SUMIF($AD$3:$BA$3,"="&amp;$DF37+'Model Setup'!$J$7,$B37:$Y37)+'Model Setup'!$J$8*(SUMIF($AD$3:$BA$3,"&lt;"&amp;$DF37,$B37:$Y37)+SUMIF($AD$3:$BA$3,"&gt;="&amp;$DG37,$B37:$Y37)),
IF(AZ$3=$DF37+'Model Setup'!$K$7,SUMIF($AD$3:$BA$3,"="&amp;$DF37+'Model Setup'!$K$7,$B37:$Y37)+'Model Setup'!$K$8*(SUMIF($AD$3:$BA$3,"&lt;"&amp;$DF37,$B37:$Y37)+SUMIF($AD$3:$BA$3,"&gt;="&amp;$DG37,$B37:$Y37)),
IF(AZ$3=$DF37+'Model Setup'!$L$7,SUMIF($AD$3:$BA$3,"="&amp;$DF37+'Model Setup'!$L$7,$B37:$Y37)+'Model Setup'!$L$8*(SUMIF($AD$3:$BA$3,"&lt;"&amp;$DF37,$B37:$Y37)+SUMIF($AD$3:$BA$3,"&gt;="&amp;$DG37,$B37:$Y37)),
IF(AZ$3=$DF37+'Model Setup'!$M$7,SUMIF($AD$3:$BA$3,"="&amp;$DF37+'Model Setup'!$M$7,$B37:$Y37)+'Model Setup'!$M$8*(SUMIF($AD$3:$BA$3,"&lt;"&amp;$DF37,$B37:$Y37)+SUMIF($AD$3:$BA$3,"&gt;="&amp;$DG37,$B37:$Y37)),
IF(AZ$3=$DF37+'Model Setup'!$N$7,SUMIF($AD$3:$BA$3,"="&amp;$DF37+'Model Setup'!$N$7,$B37:$Y37)+'Model Setup'!$N$8*(SUMIF($AD$3:$BA$3,"&lt;"&amp;$DF37,$B37:$Y37)+SUMIF($AD$3:$BA$3,"&gt;="&amp;$DG37,$B37:$Y37)),
IF(AZ$3&lt;$DG37,X37,0))))))))))))))),0)</f>
        <v>0</v>
      </c>
      <c r="BA37" s="47">
        <f>ROUND(IF(BA$3&lt;$DF37,0,
IF(BA$3=$DF37+'Model Setup'!$B$7,SUMIF($AD$3:$BA$3,"="&amp;$DF37+'Model Setup'!$B$7,$B37:$Y37)+'Model Setup'!$B$8*(SUMIF($AD$3:$BA$3,"&lt;"&amp;$DF37,$B37:$Y37)+SUMIF($AD$3:$BA$3,"&gt;="&amp;$DG37,$B37:$Y37)),
IF(BA$3=$DF37+'Model Setup'!$C$7,SUMIF($AD$3:$BA$3,"="&amp;$DF37+'Model Setup'!$C$7,$B37:$Y37)+'Model Setup'!$C$8*(SUMIF($AD$3:$BA$3,"&lt;"&amp;$DF37,$B37:$Y37)+SUMIF($AD$3:$BA$3,"&gt;="&amp;$DG37,$B37:$Y37)),
IF(BA$3=$DF37+'Model Setup'!$D$7,SUMIF($AD$3:$BA$3,"="&amp;$DF37+'Model Setup'!$D$7,$B37:$Y37)+'Model Setup'!$D$8*(SUMIF($AD$3:$BA$3,"&lt;"&amp;$DF37,$B37:$Y37)+SUMIF($AD$3:$BA$3,"&gt;="&amp;$DG37,$B37:$Y37)),
IF(BA$3=$DF37+'Model Setup'!$E$7,SUMIF($AD$3:$BA$3,"="&amp;$DF37+'Model Setup'!$E$7,$B37:$Y37)+'Model Setup'!$E$8*(SUMIF($AD$3:$BA$3,"&lt;"&amp;$DF37,$B37:$Y37)+SUMIF($AD$3:$BA$3,"&gt;="&amp;$DG37,$B37:$Y37)),
IF(BA$3=$DF37+'Model Setup'!$F$7,SUMIF($AD$3:$BA$3,"="&amp;$DF37+'Model Setup'!$F$7,$B37:$Y37)+'Model Setup'!$F$8*(SUMIF($AD$3:$BA$3,"&lt;"&amp;$DF37,$B37:$Y37)+SUMIF($AD$3:$BA$3,"&gt;="&amp;$DG37,$B37:$Y37)),
IF(BA$3=$DF37+'Model Setup'!$G$7,SUMIF($AD$3:$BA$3,"="&amp;$DF37+'Model Setup'!$G$7,$B37:$Y37)+'Model Setup'!$G$8*(SUMIF($AD$3:$BA$3,"&lt;"&amp;$DF37,$B37:$Y37)+SUMIF($AD$3:$BA$3,"&gt;="&amp;$DG37,$B37:$Y37)),
IF(BA$3=$DF37+'Model Setup'!$H$7,SUMIF($AD$3:$BA$3,"="&amp;$DF37+'Model Setup'!$H$7,$B37:$Y37)+'Model Setup'!$H$8*(SUMIF($AD$3:$BA$3,"&lt;"&amp;$DF37,$B37:$Y37)+SUMIF($AD$3:$BA$3,"&gt;="&amp;$DG37,$B37:$Y37)),
IF(BA$3=$DF37+'Model Setup'!$I$7,SUMIF($AD$3:$BA$3,"="&amp;$DF37+'Model Setup'!$I$7,$B37:$Y37)+'Model Setup'!$I$8*(SUMIF($AD$3:$BA$3,"&lt;"&amp;$DF37,$B37:$Y37)+SUMIF($AD$3:$BA$3,"&gt;="&amp;$DG37,$B37:$Y37)),
IF(BA$3=$DF37+'Model Setup'!$J$7,SUMIF($AD$3:$BA$3,"="&amp;$DF37+'Model Setup'!$J$7,$B37:$Y37)+'Model Setup'!$J$8*(SUMIF($AD$3:$BA$3,"&lt;"&amp;$DF37,$B37:$Y37)+SUMIF($AD$3:$BA$3,"&gt;="&amp;$DG37,$B37:$Y37)),
IF(BA$3=$DF37+'Model Setup'!$K$7,SUMIF($AD$3:$BA$3,"="&amp;$DF37+'Model Setup'!$K$7,$B37:$Y37)+'Model Setup'!$K$8*(SUMIF($AD$3:$BA$3,"&lt;"&amp;$DF37,$B37:$Y37)+SUMIF($AD$3:$BA$3,"&gt;="&amp;$DG37,$B37:$Y37)),
IF(BA$3=$DF37+'Model Setup'!$L$7,SUMIF($AD$3:$BA$3,"="&amp;$DF37+'Model Setup'!$L$7,$B37:$Y37)+'Model Setup'!$L$8*(SUMIF($AD$3:$BA$3,"&lt;"&amp;$DF37,$B37:$Y37)+SUMIF($AD$3:$BA$3,"&gt;="&amp;$DG37,$B37:$Y37)),
IF(BA$3=$DF37+'Model Setup'!$M$7,SUMIF($AD$3:$BA$3,"="&amp;$DF37+'Model Setup'!$M$7,$B37:$Y37)+'Model Setup'!$M$8*(SUMIF($AD$3:$BA$3,"&lt;"&amp;$DF37,$B37:$Y37)+SUMIF($AD$3:$BA$3,"&gt;="&amp;$DG37,$B37:$Y37)),
IF(BA$3=$DF37+'Model Setup'!$N$7,SUMIF($AD$3:$BA$3,"="&amp;$DF37+'Model Setup'!$N$7,$B37:$Y37)+'Model Setup'!$N$8*(SUMIF($AD$3:$BA$3,"&lt;"&amp;$DF37,$B37:$Y37)+SUMIF($AD$3:$BA$3,"&gt;="&amp;$DG37,$B37:$Y37)),
IF(BA$3&lt;$DG37,Y37,0))))))))))))))),0)</f>
        <v>0</v>
      </c>
      <c r="BB37" s="47">
        <f t="shared" si="1"/>
        <v>356</v>
      </c>
      <c r="BD37" t="b">
        <f t="shared" si="2"/>
        <v>0</v>
      </c>
      <c r="BE37">
        <f t="shared" si="8"/>
        <v>3</v>
      </c>
      <c r="BF37">
        <f>(FTC!F35-FTC!E35)*24</f>
        <v>12</v>
      </c>
      <c r="BG37" s="43" t="s">
        <v>52</v>
      </c>
      <c r="BH37" s="47">
        <f>ROUND(IF(OR(BH$3&lt;$DF37,BH$3&gt;$CW$4),0,
IF(BH$3=$DF37+'Model Setup'!$B$7,SUMIF($BH$3:$CE$3,"="&amp;$DF37+'Model Setup'!$B$7,$AD37:$BA37)+'Model Setup'!$B$8*(SUMIF($BH$3:$CE$3,"&lt;"&amp;$DF37,$AD37:$BA37)+SUMIF($BH$3:$CE$3,"&gt;"&amp;$CW$4,$AD37:$BA37)),
IF(BH$3=$DF37+'Model Setup'!$C$7,SUMIF($BH$3:$CE$3,"="&amp;$DF37+'Model Setup'!$C$7,$AD37:$BA37)+'Model Setup'!$C$8*(SUMIF($BH$3:$CE$3,"&lt;"&amp;$DF37,$AD37:$BA37)+SUMIF($BH$3:$CE$3,"&gt;"&amp;$CW$4,$AD37:$BA37)),
IF(BH$3=$DF37+'Model Setup'!$D$7,SUMIF($BH$3:$CE$3,"="&amp;$DF37+'Model Setup'!$D$7,$AD37:$BA37)+'Model Setup'!$D$8*(SUMIF($BH$3:$CE$3,"&lt;"&amp;$DF37,$AD37:$BA37)+SUMIF($BH$3:$CE$3,"&gt;"&amp;$CW$4,$AD37:$BA37)),
IF(BH$3=$DF37+'Model Setup'!$E$7,SUMIF($BH$3:$CE$3,"="&amp;$DF37+'Model Setup'!$E$7,$AD37:$BA37)+'Model Setup'!$E$8*(SUMIF($BH$3:$CE$3,"&lt;"&amp;$DF37,$AD37:$BA37)+SUMIF($BH$3:$CE$3,"&gt;"&amp;$CW$4,$AD37:$BA37)),
IF(BH$3=$DF37+'Model Setup'!$F$7,SUMIF($BH$3:$CE$3,"="&amp;$DF37+'Model Setup'!$F$7,$AD37:$BA37)+'Model Setup'!$F$8*(SUMIF($BH$3:$CE$3,"&lt;"&amp;$DF37,$AD37:$BA37)+SUMIF($BH$3:$CE$3,"&gt;"&amp;$CW$4,$AD37:$BA37)),
IF(BH$3=$DF37+'Model Setup'!$G$7,SUMIF($BH$3:$CE$3,"="&amp;$DF37+'Model Setup'!$G$7,$AD37:$BA37)+'Model Setup'!$G$8*(SUMIF($BH$3:$CE$3,"&lt;"&amp;$DF37,$AD37:$BA37)+SUMIF($BH$3:$CE$3,"&gt;"&amp;$CW$4,$AD37:$BA37)),
IF(BH$3=$DF37+'Model Setup'!$H$7,SUMIF($BH$3:$CE$3,"="&amp;$DF37+'Model Setup'!$H$7,$AD37:$BA37)+'Model Setup'!$H$8*(SUMIF($BH$3:$CE$3,"&lt;"&amp;$DF37,$AD37:$BA37)+SUMIF($BH$3:$CE$3,"&gt;"&amp;$CW$4,$AD37:$BA37)),
IF(BH$3=$DF37+'Model Setup'!$I$7,SUMIF($BH$3:$CE$3,"="&amp;$DF37+'Model Setup'!$I$7,$AD37:$BA37)+'Model Setup'!$I$8*(SUMIF($BH$3:$CE$3,"&lt;"&amp;$DF37,$AD37:$BA37)+SUMIF($BH$3:$CE$3,"&gt;"&amp;$CW$4,$AD37:$BA37)),
IF(BH$3=$DF37+'Model Setup'!$J$7,SUMIF($BH$3:$CE$3,"="&amp;$DF37+'Model Setup'!$J$7,$AD37:$BA37)+'Model Setup'!$J$8*(SUMIF($BH$3:$CE$3,"&lt;"&amp;$DF37,$AD37:$BA37)+SUMIF($BH$3:$CE$3,"&gt;"&amp;$CW$4,$AD37:$BA37)),
IF(BH$3=$DF37+'Model Setup'!$K$7,SUMIF($BH$3:$CE$3,"="&amp;$DF37+'Model Setup'!$K$7,$AD37:$BA37)+'Model Setup'!$K$8*(SUMIF($BH$3:$CE$3,"&lt;"&amp;$DF37,$AD37:$BA37)+SUMIF($BH$3:$CE$3,"&gt;"&amp;$CW$4,$AD37:$BA37)),
IF(BH$3=$DF37+'Model Setup'!$L$7,SUMIF($BH$3:$CE$3,"="&amp;$DF37+'Model Setup'!$L$7,$AD37:$BA37)+'Model Setup'!$L$8*(SUMIF($BH$3:$CE$3,"&lt;"&amp;$DF37,$AD37:$BA37)+SUMIF($BH$3:$CE$3,"&gt;"&amp;$CW$4,$AD37:$BA37)),
IF(BH$3=$DF37+'Model Setup'!$M$7,SUMIF($BH$3:$CE$3,"="&amp;$DF37+'Model Setup'!$M$7,$AD37:$BA37)+'Model Setup'!$M$8*(SUMIF($BH$3:$CE$3,"&lt;"&amp;$DF37,$AD37:$BA37)+SUMIF($BH$3:$CE$3,"&gt;"&amp;$CW$4,$AD37:$BA37)),
IF(BH$3=$DF37+'Model Setup'!$N$7,SUMIF($BH$3:$CE$3,"="&amp;$DF37+'Model Setup'!$N$7,$AD37:$BA37)+'Model Setup'!$N$8*(SUMIF($BH$3:$CE$3,"&lt;"&amp;$DF37,$AD37:$BA37)+SUMIF($BH$3:$CE$3,"&gt;"&amp;$CW$4,$AD37:$BA37)),
IF(BH$3&lt;$CW$4,B37,0))))))))))))))),0)</f>
        <v>0</v>
      </c>
      <c r="BI37" s="47">
        <f>ROUND(IF(OR(BI$3&lt;$DF37,BI$3&gt;$CW$4),0,
IF(BI$3=$DF37+'Model Setup'!$B$7,SUMIF($BH$3:$CE$3,"="&amp;$DF37+'Model Setup'!$B$7,$AD37:$BA37)+'Model Setup'!$B$8*(SUMIF($BH$3:$CE$3,"&lt;"&amp;$DF37,$AD37:$BA37)+SUMIF($BH$3:$CE$3,"&gt;"&amp;$CW$4,$AD37:$BA37)),
IF(BI$3=$DF37+'Model Setup'!$C$7,SUMIF($BH$3:$CE$3,"="&amp;$DF37+'Model Setup'!$C$7,$AD37:$BA37)+'Model Setup'!$C$8*(SUMIF($BH$3:$CE$3,"&lt;"&amp;$DF37,$AD37:$BA37)+SUMIF($BH$3:$CE$3,"&gt;"&amp;$CW$4,$AD37:$BA37)),
IF(BI$3=$DF37+'Model Setup'!$D$7,SUMIF($BH$3:$CE$3,"="&amp;$DF37+'Model Setup'!$D$7,$AD37:$BA37)+'Model Setup'!$D$8*(SUMIF($BH$3:$CE$3,"&lt;"&amp;$DF37,$AD37:$BA37)+SUMIF($BH$3:$CE$3,"&gt;"&amp;$CW$4,$AD37:$BA37)),
IF(BI$3=$DF37+'Model Setup'!$E$7,SUMIF($BH$3:$CE$3,"="&amp;$DF37+'Model Setup'!$E$7,$AD37:$BA37)+'Model Setup'!$E$8*(SUMIF($BH$3:$CE$3,"&lt;"&amp;$DF37,$AD37:$BA37)+SUMIF($BH$3:$CE$3,"&gt;"&amp;$CW$4,$AD37:$BA37)),
IF(BI$3=$DF37+'Model Setup'!$F$7,SUMIF($BH$3:$CE$3,"="&amp;$DF37+'Model Setup'!$F$7,$AD37:$BA37)+'Model Setup'!$F$8*(SUMIF($BH$3:$CE$3,"&lt;"&amp;$DF37,$AD37:$BA37)+SUMIF($BH$3:$CE$3,"&gt;"&amp;$CW$4,$AD37:$BA37)),
IF(BI$3=$DF37+'Model Setup'!$G$7,SUMIF($BH$3:$CE$3,"="&amp;$DF37+'Model Setup'!$G$7,$AD37:$BA37)+'Model Setup'!$G$8*(SUMIF($BH$3:$CE$3,"&lt;"&amp;$DF37,$AD37:$BA37)+SUMIF($BH$3:$CE$3,"&gt;"&amp;$CW$4,$AD37:$BA37)),
IF(BI$3=$DF37+'Model Setup'!$H$7,SUMIF($BH$3:$CE$3,"="&amp;$DF37+'Model Setup'!$H$7,$AD37:$BA37)+'Model Setup'!$H$8*(SUMIF($BH$3:$CE$3,"&lt;"&amp;$DF37,$AD37:$BA37)+SUMIF($BH$3:$CE$3,"&gt;"&amp;$CW$4,$AD37:$BA37)),
IF(BI$3=$DF37+'Model Setup'!$I$7,SUMIF($BH$3:$CE$3,"="&amp;$DF37+'Model Setup'!$I$7,$AD37:$BA37)+'Model Setup'!$I$8*(SUMIF($BH$3:$CE$3,"&lt;"&amp;$DF37,$AD37:$BA37)+SUMIF($BH$3:$CE$3,"&gt;"&amp;$CW$4,$AD37:$BA37)),
IF(BI$3=$DF37+'Model Setup'!$J$7,SUMIF($BH$3:$CE$3,"="&amp;$DF37+'Model Setup'!$J$7,$AD37:$BA37)+'Model Setup'!$J$8*(SUMIF($BH$3:$CE$3,"&lt;"&amp;$DF37,$AD37:$BA37)+SUMIF($BH$3:$CE$3,"&gt;"&amp;$CW$4,$AD37:$BA37)),
IF(BI$3=$DF37+'Model Setup'!$K$7,SUMIF($BH$3:$CE$3,"="&amp;$DF37+'Model Setup'!$K$7,$AD37:$BA37)+'Model Setup'!$K$8*(SUMIF($BH$3:$CE$3,"&lt;"&amp;$DF37,$AD37:$BA37)+SUMIF($BH$3:$CE$3,"&gt;"&amp;$CW$4,$AD37:$BA37)),
IF(BI$3=$DF37+'Model Setup'!$L$7,SUMIF($BH$3:$CE$3,"="&amp;$DF37+'Model Setup'!$L$7,$AD37:$BA37)+'Model Setup'!$L$8*(SUMIF($BH$3:$CE$3,"&lt;"&amp;$DF37,$AD37:$BA37)+SUMIF($BH$3:$CE$3,"&gt;"&amp;$CW$4,$AD37:$BA37)),
IF(BI$3=$DF37+'Model Setup'!$M$7,SUMIF($BH$3:$CE$3,"="&amp;$DF37+'Model Setup'!$M$7,$AD37:$BA37)+'Model Setup'!$M$8*(SUMIF($BH$3:$CE$3,"&lt;"&amp;$DF37,$AD37:$BA37)+SUMIF($BH$3:$CE$3,"&gt;"&amp;$CW$4,$AD37:$BA37)),
IF(BI$3=$DF37+'Model Setup'!$N$7,SUMIF($BH$3:$CE$3,"="&amp;$DF37+'Model Setup'!$N$7,$AD37:$BA37)+'Model Setup'!$N$8*(SUMIF($BH$3:$CE$3,"&lt;"&amp;$DF37,$AD37:$BA37)+SUMIF($BH$3:$CE$3,"&gt;"&amp;$CW$4,$AD37:$BA37)),
IF(BI$3&lt;$CW$4,C37,0))))))))))))))),0)</f>
        <v>0</v>
      </c>
      <c r="BJ37" s="47">
        <f>ROUND(IF(OR(BJ$3&lt;$DF37,BJ$3&gt;$CW$4),0,
IF(BJ$3=$DF37+'Model Setup'!$B$7,SUMIF($BH$3:$CE$3,"="&amp;$DF37+'Model Setup'!$B$7,$AD37:$BA37)+'Model Setup'!$B$8*(SUMIF($BH$3:$CE$3,"&lt;"&amp;$DF37,$AD37:$BA37)+SUMIF($BH$3:$CE$3,"&gt;"&amp;$CW$4,$AD37:$BA37)),
IF(BJ$3=$DF37+'Model Setup'!$C$7,SUMIF($BH$3:$CE$3,"="&amp;$DF37+'Model Setup'!$C$7,$AD37:$BA37)+'Model Setup'!$C$8*(SUMIF($BH$3:$CE$3,"&lt;"&amp;$DF37,$AD37:$BA37)+SUMIF($BH$3:$CE$3,"&gt;"&amp;$CW$4,$AD37:$BA37)),
IF(BJ$3=$DF37+'Model Setup'!$D$7,SUMIF($BH$3:$CE$3,"="&amp;$DF37+'Model Setup'!$D$7,$AD37:$BA37)+'Model Setup'!$D$8*(SUMIF($BH$3:$CE$3,"&lt;"&amp;$DF37,$AD37:$BA37)+SUMIF($BH$3:$CE$3,"&gt;"&amp;$CW$4,$AD37:$BA37)),
IF(BJ$3=$DF37+'Model Setup'!$E$7,SUMIF($BH$3:$CE$3,"="&amp;$DF37+'Model Setup'!$E$7,$AD37:$BA37)+'Model Setup'!$E$8*(SUMIF($BH$3:$CE$3,"&lt;"&amp;$DF37,$AD37:$BA37)+SUMIF($BH$3:$CE$3,"&gt;"&amp;$CW$4,$AD37:$BA37)),
IF(BJ$3=$DF37+'Model Setup'!$F$7,SUMIF($BH$3:$CE$3,"="&amp;$DF37+'Model Setup'!$F$7,$AD37:$BA37)+'Model Setup'!$F$8*(SUMIF($BH$3:$CE$3,"&lt;"&amp;$DF37,$AD37:$BA37)+SUMIF($BH$3:$CE$3,"&gt;"&amp;$CW$4,$AD37:$BA37)),
IF(BJ$3=$DF37+'Model Setup'!$G$7,SUMIF($BH$3:$CE$3,"="&amp;$DF37+'Model Setup'!$G$7,$AD37:$BA37)+'Model Setup'!$G$8*(SUMIF($BH$3:$CE$3,"&lt;"&amp;$DF37,$AD37:$BA37)+SUMIF($BH$3:$CE$3,"&gt;"&amp;$CW$4,$AD37:$BA37)),
IF(BJ$3=$DF37+'Model Setup'!$H$7,SUMIF($BH$3:$CE$3,"="&amp;$DF37+'Model Setup'!$H$7,$AD37:$BA37)+'Model Setup'!$H$8*(SUMIF($BH$3:$CE$3,"&lt;"&amp;$DF37,$AD37:$BA37)+SUMIF($BH$3:$CE$3,"&gt;"&amp;$CW$4,$AD37:$BA37)),
IF(BJ$3=$DF37+'Model Setup'!$I$7,SUMIF($BH$3:$CE$3,"="&amp;$DF37+'Model Setup'!$I$7,$AD37:$BA37)+'Model Setup'!$I$8*(SUMIF($BH$3:$CE$3,"&lt;"&amp;$DF37,$AD37:$BA37)+SUMIF($BH$3:$CE$3,"&gt;"&amp;$CW$4,$AD37:$BA37)),
IF(BJ$3=$DF37+'Model Setup'!$J$7,SUMIF($BH$3:$CE$3,"="&amp;$DF37+'Model Setup'!$J$7,$AD37:$BA37)+'Model Setup'!$J$8*(SUMIF($BH$3:$CE$3,"&lt;"&amp;$DF37,$AD37:$BA37)+SUMIF($BH$3:$CE$3,"&gt;"&amp;$CW$4,$AD37:$BA37)),
IF(BJ$3=$DF37+'Model Setup'!$K$7,SUMIF($BH$3:$CE$3,"="&amp;$DF37+'Model Setup'!$K$7,$AD37:$BA37)+'Model Setup'!$K$8*(SUMIF($BH$3:$CE$3,"&lt;"&amp;$DF37,$AD37:$BA37)+SUMIF($BH$3:$CE$3,"&gt;"&amp;$CW$4,$AD37:$BA37)),
IF(BJ$3=$DF37+'Model Setup'!$L$7,SUMIF($BH$3:$CE$3,"="&amp;$DF37+'Model Setup'!$L$7,$AD37:$BA37)+'Model Setup'!$L$8*(SUMIF($BH$3:$CE$3,"&lt;"&amp;$DF37,$AD37:$BA37)+SUMIF($BH$3:$CE$3,"&gt;"&amp;$CW$4,$AD37:$BA37)),
IF(BJ$3=$DF37+'Model Setup'!$M$7,SUMIF($BH$3:$CE$3,"="&amp;$DF37+'Model Setup'!$M$7,$AD37:$BA37)+'Model Setup'!$M$8*(SUMIF($BH$3:$CE$3,"&lt;"&amp;$DF37,$AD37:$BA37)+SUMIF($BH$3:$CE$3,"&gt;"&amp;$CW$4,$AD37:$BA37)),
IF(BJ$3=$DF37+'Model Setup'!$N$7,SUMIF($BH$3:$CE$3,"="&amp;$DF37+'Model Setup'!$N$7,$AD37:$BA37)+'Model Setup'!$N$8*(SUMIF($BH$3:$CE$3,"&lt;"&amp;$DF37,$AD37:$BA37)+SUMIF($BH$3:$CE$3,"&gt;"&amp;$CW$4,$AD37:$BA37)),
IF(BJ$3&lt;$CW$4,D37,0))))))))))))))),0)</f>
        <v>0</v>
      </c>
      <c r="BK37" s="47">
        <f>ROUND(IF(OR(BK$3&lt;$DF37,BK$3&gt;$CW$4),0,
IF(BK$3=$DF37+'Model Setup'!$B$7,SUMIF($BH$3:$CE$3,"="&amp;$DF37+'Model Setup'!$B$7,$AD37:$BA37)+'Model Setup'!$B$8*(SUMIF($BH$3:$CE$3,"&lt;"&amp;$DF37,$AD37:$BA37)+SUMIF($BH$3:$CE$3,"&gt;"&amp;$CW$4,$AD37:$BA37)),
IF(BK$3=$DF37+'Model Setup'!$C$7,SUMIF($BH$3:$CE$3,"="&amp;$DF37+'Model Setup'!$C$7,$AD37:$BA37)+'Model Setup'!$C$8*(SUMIF($BH$3:$CE$3,"&lt;"&amp;$DF37,$AD37:$BA37)+SUMIF($BH$3:$CE$3,"&gt;"&amp;$CW$4,$AD37:$BA37)),
IF(BK$3=$DF37+'Model Setup'!$D$7,SUMIF($BH$3:$CE$3,"="&amp;$DF37+'Model Setup'!$D$7,$AD37:$BA37)+'Model Setup'!$D$8*(SUMIF($BH$3:$CE$3,"&lt;"&amp;$DF37,$AD37:$BA37)+SUMIF($BH$3:$CE$3,"&gt;"&amp;$CW$4,$AD37:$BA37)),
IF(BK$3=$DF37+'Model Setup'!$E$7,SUMIF($BH$3:$CE$3,"="&amp;$DF37+'Model Setup'!$E$7,$AD37:$BA37)+'Model Setup'!$E$8*(SUMIF($BH$3:$CE$3,"&lt;"&amp;$DF37,$AD37:$BA37)+SUMIF($BH$3:$CE$3,"&gt;"&amp;$CW$4,$AD37:$BA37)),
IF(BK$3=$DF37+'Model Setup'!$F$7,SUMIF($BH$3:$CE$3,"="&amp;$DF37+'Model Setup'!$F$7,$AD37:$BA37)+'Model Setup'!$F$8*(SUMIF($BH$3:$CE$3,"&lt;"&amp;$DF37,$AD37:$BA37)+SUMIF($BH$3:$CE$3,"&gt;"&amp;$CW$4,$AD37:$BA37)),
IF(BK$3=$DF37+'Model Setup'!$G$7,SUMIF($BH$3:$CE$3,"="&amp;$DF37+'Model Setup'!$G$7,$AD37:$BA37)+'Model Setup'!$G$8*(SUMIF($BH$3:$CE$3,"&lt;"&amp;$DF37,$AD37:$BA37)+SUMIF($BH$3:$CE$3,"&gt;"&amp;$CW$4,$AD37:$BA37)),
IF(BK$3=$DF37+'Model Setup'!$H$7,SUMIF($BH$3:$CE$3,"="&amp;$DF37+'Model Setup'!$H$7,$AD37:$BA37)+'Model Setup'!$H$8*(SUMIF($BH$3:$CE$3,"&lt;"&amp;$DF37,$AD37:$BA37)+SUMIF($BH$3:$CE$3,"&gt;"&amp;$CW$4,$AD37:$BA37)),
IF(BK$3=$DF37+'Model Setup'!$I$7,SUMIF($BH$3:$CE$3,"="&amp;$DF37+'Model Setup'!$I$7,$AD37:$BA37)+'Model Setup'!$I$8*(SUMIF($BH$3:$CE$3,"&lt;"&amp;$DF37,$AD37:$BA37)+SUMIF($BH$3:$CE$3,"&gt;"&amp;$CW$4,$AD37:$BA37)),
IF(BK$3=$DF37+'Model Setup'!$J$7,SUMIF($BH$3:$CE$3,"="&amp;$DF37+'Model Setup'!$J$7,$AD37:$BA37)+'Model Setup'!$J$8*(SUMIF($BH$3:$CE$3,"&lt;"&amp;$DF37,$AD37:$BA37)+SUMIF($BH$3:$CE$3,"&gt;"&amp;$CW$4,$AD37:$BA37)),
IF(BK$3=$DF37+'Model Setup'!$K$7,SUMIF($BH$3:$CE$3,"="&amp;$DF37+'Model Setup'!$K$7,$AD37:$BA37)+'Model Setup'!$K$8*(SUMIF($BH$3:$CE$3,"&lt;"&amp;$DF37,$AD37:$BA37)+SUMIF($BH$3:$CE$3,"&gt;"&amp;$CW$4,$AD37:$BA37)),
IF(BK$3=$DF37+'Model Setup'!$L$7,SUMIF($BH$3:$CE$3,"="&amp;$DF37+'Model Setup'!$L$7,$AD37:$BA37)+'Model Setup'!$L$8*(SUMIF($BH$3:$CE$3,"&lt;"&amp;$DF37,$AD37:$BA37)+SUMIF($BH$3:$CE$3,"&gt;"&amp;$CW$4,$AD37:$BA37)),
IF(BK$3=$DF37+'Model Setup'!$M$7,SUMIF($BH$3:$CE$3,"="&amp;$DF37+'Model Setup'!$M$7,$AD37:$BA37)+'Model Setup'!$M$8*(SUMIF($BH$3:$CE$3,"&lt;"&amp;$DF37,$AD37:$BA37)+SUMIF($BH$3:$CE$3,"&gt;"&amp;$CW$4,$AD37:$BA37)),
IF(BK$3=$DF37+'Model Setup'!$N$7,SUMIF($BH$3:$CE$3,"="&amp;$DF37+'Model Setup'!$N$7,$AD37:$BA37)+'Model Setup'!$N$8*(SUMIF($BH$3:$CE$3,"&lt;"&amp;$DF37,$AD37:$BA37)+SUMIF($BH$3:$CE$3,"&gt;"&amp;$CW$4,$AD37:$BA37)),
IF(BK$3&lt;$CW$4,E37,0))))))))))))))),0)</f>
        <v>0</v>
      </c>
      <c r="BL37" s="47">
        <f>ROUND(IF(OR(BL$3&lt;$DF37,BL$3&gt;$CW$4),0,
IF(BL$3=$DF37+'Model Setup'!$B$7,SUMIF($BH$3:$CE$3,"="&amp;$DF37+'Model Setup'!$B$7,$AD37:$BA37)+'Model Setup'!$B$8*(SUMIF($BH$3:$CE$3,"&lt;"&amp;$DF37,$AD37:$BA37)+SUMIF($BH$3:$CE$3,"&gt;"&amp;$CW$4,$AD37:$BA37)),
IF(BL$3=$DF37+'Model Setup'!$C$7,SUMIF($BH$3:$CE$3,"="&amp;$DF37+'Model Setup'!$C$7,$AD37:$BA37)+'Model Setup'!$C$8*(SUMIF($BH$3:$CE$3,"&lt;"&amp;$DF37,$AD37:$BA37)+SUMIF($BH$3:$CE$3,"&gt;"&amp;$CW$4,$AD37:$BA37)),
IF(BL$3=$DF37+'Model Setup'!$D$7,SUMIF($BH$3:$CE$3,"="&amp;$DF37+'Model Setup'!$D$7,$AD37:$BA37)+'Model Setup'!$D$8*(SUMIF($BH$3:$CE$3,"&lt;"&amp;$DF37,$AD37:$BA37)+SUMIF($BH$3:$CE$3,"&gt;"&amp;$CW$4,$AD37:$BA37)),
IF(BL$3=$DF37+'Model Setup'!$E$7,SUMIF($BH$3:$CE$3,"="&amp;$DF37+'Model Setup'!$E$7,$AD37:$BA37)+'Model Setup'!$E$8*(SUMIF($BH$3:$CE$3,"&lt;"&amp;$DF37,$AD37:$BA37)+SUMIF($BH$3:$CE$3,"&gt;"&amp;$CW$4,$AD37:$BA37)),
IF(BL$3=$DF37+'Model Setup'!$F$7,SUMIF($BH$3:$CE$3,"="&amp;$DF37+'Model Setup'!$F$7,$AD37:$BA37)+'Model Setup'!$F$8*(SUMIF($BH$3:$CE$3,"&lt;"&amp;$DF37,$AD37:$BA37)+SUMIF($BH$3:$CE$3,"&gt;"&amp;$CW$4,$AD37:$BA37)),
IF(BL$3=$DF37+'Model Setup'!$G$7,SUMIF($BH$3:$CE$3,"="&amp;$DF37+'Model Setup'!$G$7,$AD37:$BA37)+'Model Setup'!$G$8*(SUMIF($BH$3:$CE$3,"&lt;"&amp;$DF37,$AD37:$BA37)+SUMIF($BH$3:$CE$3,"&gt;"&amp;$CW$4,$AD37:$BA37)),
IF(BL$3=$DF37+'Model Setup'!$H$7,SUMIF($BH$3:$CE$3,"="&amp;$DF37+'Model Setup'!$H$7,$AD37:$BA37)+'Model Setup'!$H$8*(SUMIF($BH$3:$CE$3,"&lt;"&amp;$DF37,$AD37:$BA37)+SUMIF($BH$3:$CE$3,"&gt;"&amp;$CW$4,$AD37:$BA37)),
IF(BL$3=$DF37+'Model Setup'!$I$7,SUMIF($BH$3:$CE$3,"="&amp;$DF37+'Model Setup'!$I$7,$AD37:$BA37)+'Model Setup'!$I$8*(SUMIF($BH$3:$CE$3,"&lt;"&amp;$DF37,$AD37:$BA37)+SUMIF($BH$3:$CE$3,"&gt;"&amp;$CW$4,$AD37:$BA37)),
IF(BL$3=$DF37+'Model Setup'!$J$7,SUMIF($BH$3:$CE$3,"="&amp;$DF37+'Model Setup'!$J$7,$AD37:$BA37)+'Model Setup'!$J$8*(SUMIF($BH$3:$CE$3,"&lt;"&amp;$DF37,$AD37:$BA37)+SUMIF($BH$3:$CE$3,"&gt;"&amp;$CW$4,$AD37:$BA37)),
IF(BL$3=$DF37+'Model Setup'!$K$7,SUMIF($BH$3:$CE$3,"="&amp;$DF37+'Model Setup'!$K$7,$AD37:$BA37)+'Model Setup'!$K$8*(SUMIF($BH$3:$CE$3,"&lt;"&amp;$DF37,$AD37:$BA37)+SUMIF($BH$3:$CE$3,"&gt;"&amp;$CW$4,$AD37:$BA37)),
IF(BL$3=$DF37+'Model Setup'!$L$7,SUMIF($BH$3:$CE$3,"="&amp;$DF37+'Model Setup'!$L$7,$AD37:$BA37)+'Model Setup'!$L$8*(SUMIF($BH$3:$CE$3,"&lt;"&amp;$DF37,$AD37:$BA37)+SUMIF($BH$3:$CE$3,"&gt;"&amp;$CW$4,$AD37:$BA37)),
IF(BL$3=$DF37+'Model Setup'!$M$7,SUMIF($BH$3:$CE$3,"="&amp;$DF37+'Model Setup'!$M$7,$AD37:$BA37)+'Model Setup'!$M$8*(SUMIF($BH$3:$CE$3,"&lt;"&amp;$DF37,$AD37:$BA37)+SUMIF($BH$3:$CE$3,"&gt;"&amp;$CW$4,$AD37:$BA37)),
IF(BL$3=$DF37+'Model Setup'!$N$7,SUMIF($BH$3:$CE$3,"="&amp;$DF37+'Model Setup'!$N$7,$AD37:$BA37)+'Model Setup'!$N$8*(SUMIF($BH$3:$CE$3,"&lt;"&amp;$DF37,$AD37:$BA37)+SUMIF($BH$3:$CE$3,"&gt;"&amp;$CW$4,$AD37:$BA37)),
IF(BL$3&lt;$CW$4,F37,0))))))))))))))),0)</f>
        <v>0</v>
      </c>
      <c r="BM37" s="47">
        <f>ROUND(IF(OR(BM$3&lt;$DF37,BM$3&gt;$CW$4),0,
IF(BM$3=$DF37+'Model Setup'!$B$7,SUMIF($BH$3:$CE$3,"="&amp;$DF37+'Model Setup'!$B$7,$AD37:$BA37)+'Model Setup'!$B$8*(SUMIF($BH$3:$CE$3,"&lt;"&amp;$DF37,$AD37:$BA37)+SUMIF($BH$3:$CE$3,"&gt;"&amp;$CW$4,$AD37:$BA37)),
IF(BM$3=$DF37+'Model Setup'!$C$7,SUMIF($BH$3:$CE$3,"="&amp;$DF37+'Model Setup'!$C$7,$AD37:$BA37)+'Model Setup'!$C$8*(SUMIF($BH$3:$CE$3,"&lt;"&amp;$DF37,$AD37:$BA37)+SUMIF($BH$3:$CE$3,"&gt;"&amp;$CW$4,$AD37:$BA37)),
IF(BM$3=$DF37+'Model Setup'!$D$7,SUMIF($BH$3:$CE$3,"="&amp;$DF37+'Model Setup'!$D$7,$AD37:$BA37)+'Model Setup'!$D$8*(SUMIF($BH$3:$CE$3,"&lt;"&amp;$DF37,$AD37:$BA37)+SUMIF($BH$3:$CE$3,"&gt;"&amp;$CW$4,$AD37:$BA37)),
IF(BM$3=$DF37+'Model Setup'!$E$7,SUMIF($BH$3:$CE$3,"="&amp;$DF37+'Model Setup'!$E$7,$AD37:$BA37)+'Model Setup'!$E$8*(SUMIF($BH$3:$CE$3,"&lt;"&amp;$DF37,$AD37:$BA37)+SUMIF($BH$3:$CE$3,"&gt;"&amp;$CW$4,$AD37:$BA37)),
IF(BM$3=$DF37+'Model Setup'!$F$7,SUMIF($BH$3:$CE$3,"="&amp;$DF37+'Model Setup'!$F$7,$AD37:$BA37)+'Model Setup'!$F$8*(SUMIF($BH$3:$CE$3,"&lt;"&amp;$DF37,$AD37:$BA37)+SUMIF($BH$3:$CE$3,"&gt;"&amp;$CW$4,$AD37:$BA37)),
IF(BM$3=$DF37+'Model Setup'!$G$7,SUMIF($BH$3:$CE$3,"="&amp;$DF37+'Model Setup'!$G$7,$AD37:$BA37)+'Model Setup'!$G$8*(SUMIF($BH$3:$CE$3,"&lt;"&amp;$DF37,$AD37:$BA37)+SUMIF($BH$3:$CE$3,"&gt;"&amp;$CW$4,$AD37:$BA37)),
IF(BM$3=$DF37+'Model Setup'!$H$7,SUMIF($BH$3:$CE$3,"="&amp;$DF37+'Model Setup'!$H$7,$AD37:$BA37)+'Model Setup'!$H$8*(SUMIF($BH$3:$CE$3,"&lt;"&amp;$DF37,$AD37:$BA37)+SUMIF($BH$3:$CE$3,"&gt;"&amp;$CW$4,$AD37:$BA37)),
IF(BM$3=$DF37+'Model Setup'!$I$7,SUMIF($BH$3:$CE$3,"="&amp;$DF37+'Model Setup'!$I$7,$AD37:$BA37)+'Model Setup'!$I$8*(SUMIF($BH$3:$CE$3,"&lt;"&amp;$DF37,$AD37:$BA37)+SUMIF($BH$3:$CE$3,"&gt;"&amp;$CW$4,$AD37:$BA37)),
IF(BM$3=$DF37+'Model Setup'!$J$7,SUMIF($BH$3:$CE$3,"="&amp;$DF37+'Model Setup'!$J$7,$AD37:$BA37)+'Model Setup'!$J$8*(SUMIF($BH$3:$CE$3,"&lt;"&amp;$DF37,$AD37:$BA37)+SUMIF($BH$3:$CE$3,"&gt;"&amp;$CW$4,$AD37:$BA37)),
IF(BM$3=$DF37+'Model Setup'!$K$7,SUMIF($BH$3:$CE$3,"="&amp;$DF37+'Model Setup'!$K$7,$AD37:$BA37)+'Model Setup'!$K$8*(SUMIF($BH$3:$CE$3,"&lt;"&amp;$DF37,$AD37:$BA37)+SUMIF($BH$3:$CE$3,"&gt;"&amp;$CW$4,$AD37:$BA37)),
IF(BM$3=$DF37+'Model Setup'!$L$7,SUMIF($BH$3:$CE$3,"="&amp;$DF37+'Model Setup'!$L$7,$AD37:$BA37)+'Model Setup'!$L$8*(SUMIF($BH$3:$CE$3,"&lt;"&amp;$DF37,$AD37:$BA37)+SUMIF($BH$3:$CE$3,"&gt;"&amp;$CW$4,$AD37:$BA37)),
IF(BM$3=$DF37+'Model Setup'!$M$7,SUMIF($BH$3:$CE$3,"="&amp;$DF37+'Model Setup'!$M$7,$AD37:$BA37)+'Model Setup'!$M$8*(SUMIF($BH$3:$CE$3,"&lt;"&amp;$DF37,$AD37:$BA37)+SUMIF($BH$3:$CE$3,"&gt;"&amp;$CW$4,$AD37:$BA37)),
IF(BM$3=$DF37+'Model Setup'!$N$7,SUMIF($BH$3:$CE$3,"="&amp;$DF37+'Model Setup'!$N$7,$AD37:$BA37)+'Model Setup'!$N$8*(SUMIF($BH$3:$CE$3,"&lt;"&amp;$DF37,$AD37:$BA37)+SUMIF($BH$3:$CE$3,"&gt;"&amp;$CW$4,$AD37:$BA37)),
IF(BM$3&lt;$CW$4,G37,0))))))))))))))),0)</f>
        <v>0</v>
      </c>
      <c r="BN37" s="47">
        <f>ROUND(IF(OR(BN$3&lt;$DF37,BN$3&gt;$CW$4),0,
IF(BN$3=$DF37+'Model Setup'!$B$7,SUMIF($BH$3:$CE$3,"="&amp;$DF37+'Model Setup'!$B$7,$AD37:$BA37)+'Model Setup'!$B$8*(SUMIF($BH$3:$CE$3,"&lt;"&amp;$DF37,$AD37:$BA37)+SUMIF($BH$3:$CE$3,"&gt;"&amp;$CW$4,$AD37:$BA37)),
IF(BN$3=$DF37+'Model Setup'!$C$7,SUMIF($BH$3:$CE$3,"="&amp;$DF37+'Model Setup'!$C$7,$AD37:$BA37)+'Model Setup'!$C$8*(SUMIF($BH$3:$CE$3,"&lt;"&amp;$DF37,$AD37:$BA37)+SUMIF($BH$3:$CE$3,"&gt;"&amp;$CW$4,$AD37:$BA37)),
IF(BN$3=$DF37+'Model Setup'!$D$7,SUMIF($BH$3:$CE$3,"="&amp;$DF37+'Model Setup'!$D$7,$AD37:$BA37)+'Model Setup'!$D$8*(SUMIF($BH$3:$CE$3,"&lt;"&amp;$DF37,$AD37:$BA37)+SUMIF($BH$3:$CE$3,"&gt;"&amp;$CW$4,$AD37:$BA37)),
IF(BN$3=$DF37+'Model Setup'!$E$7,SUMIF($BH$3:$CE$3,"="&amp;$DF37+'Model Setup'!$E$7,$AD37:$BA37)+'Model Setup'!$E$8*(SUMIF($BH$3:$CE$3,"&lt;"&amp;$DF37,$AD37:$BA37)+SUMIF($BH$3:$CE$3,"&gt;"&amp;$CW$4,$AD37:$BA37)),
IF(BN$3=$DF37+'Model Setup'!$F$7,SUMIF($BH$3:$CE$3,"="&amp;$DF37+'Model Setup'!$F$7,$AD37:$BA37)+'Model Setup'!$F$8*(SUMIF($BH$3:$CE$3,"&lt;"&amp;$DF37,$AD37:$BA37)+SUMIF($BH$3:$CE$3,"&gt;"&amp;$CW$4,$AD37:$BA37)),
IF(BN$3=$DF37+'Model Setup'!$G$7,SUMIF($BH$3:$CE$3,"="&amp;$DF37+'Model Setup'!$G$7,$AD37:$BA37)+'Model Setup'!$G$8*(SUMIF($BH$3:$CE$3,"&lt;"&amp;$DF37,$AD37:$BA37)+SUMIF($BH$3:$CE$3,"&gt;"&amp;$CW$4,$AD37:$BA37)),
IF(BN$3=$DF37+'Model Setup'!$H$7,SUMIF($BH$3:$CE$3,"="&amp;$DF37+'Model Setup'!$H$7,$AD37:$BA37)+'Model Setup'!$H$8*(SUMIF($BH$3:$CE$3,"&lt;"&amp;$DF37,$AD37:$BA37)+SUMIF($BH$3:$CE$3,"&gt;"&amp;$CW$4,$AD37:$BA37)),
IF(BN$3=$DF37+'Model Setup'!$I$7,SUMIF($BH$3:$CE$3,"="&amp;$DF37+'Model Setup'!$I$7,$AD37:$BA37)+'Model Setup'!$I$8*(SUMIF($BH$3:$CE$3,"&lt;"&amp;$DF37,$AD37:$BA37)+SUMIF($BH$3:$CE$3,"&gt;"&amp;$CW$4,$AD37:$BA37)),
IF(BN$3=$DF37+'Model Setup'!$J$7,SUMIF($BH$3:$CE$3,"="&amp;$DF37+'Model Setup'!$J$7,$AD37:$BA37)+'Model Setup'!$J$8*(SUMIF($BH$3:$CE$3,"&lt;"&amp;$DF37,$AD37:$BA37)+SUMIF($BH$3:$CE$3,"&gt;"&amp;$CW$4,$AD37:$BA37)),
IF(BN$3=$DF37+'Model Setup'!$K$7,SUMIF($BH$3:$CE$3,"="&amp;$DF37+'Model Setup'!$K$7,$AD37:$BA37)+'Model Setup'!$K$8*(SUMIF($BH$3:$CE$3,"&lt;"&amp;$DF37,$AD37:$BA37)+SUMIF($BH$3:$CE$3,"&gt;"&amp;$CW$4,$AD37:$BA37)),
IF(BN$3=$DF37+'Model Setup'!$L$7,SUMIF($BH$3:$CE$3,"="&amp;$DF37+'Model Setup'!$L$7,$AD37:$BA37)+'Model Setup'!$L$8*(SUMIF($BH$3:$CE$3,"&lt;"&amp;$DF37,$AD37:$BA37)+SUMIF($BH$3:$CE$3,"&gt;"&amp;$CW$4,$AD37:$BA37)),
IF(BN$3=$DF37+'Model Setup'!$M$7,SUMIF($BH$3:$CE$3,"="&amp;$DF37+'Model Setup'!$M$7,$AD37:$BA37)+'Model Setup'!$M$8*(SUMIF($BH$3:$CE$3,"&lt;"&amp;$DF37,$AD37:$BA37)+SUMIF($BH$3:$CE$3,"&gt;"&amp;$CW$4,$AD37:$BA37)),
IF(BN$3=$DF37+'Model Setup'!$N$7,SUMIF($BH$3:$CE$3,"="&amp;$DF37+'Model Setup'!$N$7,$AD37:$BA37)+'Model Setup'!$N$8*(SUMIF($BH$3:$CE$3,"&lt;"&amp;$DF37,$AD37:$BA37)+SUMIF($BH$3:$CE$3,"&gt;"&amp;$CW$4,$AD37:$BA37)),
IF(BN$3&lt;$CW$4,H37,0))))))))))))))),0)</f>
        <v>0</v>
      </c>
      <c r="BO37" s="47">
        <f>ROUND(IF(OR(BO$3&lt;$DF37,BO$3&gt;$CW$4),0,
IF(BO$3=$DF37+'Model Setup'!$B$7,SUMIF($BH$3:$CE$3,"="&amp;$DF37+'Model Setup'!$B$7,$AD37:$BA37)+'Model Setup'!$B$8*(SUMIF($BH$3:$CE$3,"&lt;"&amp;$DF37,$AD37:$BA37)+SUMIF($BH$3:$CE$3,"&gt;"&amp;$CW$4,$AD37:$BA37)),
IF(BO$3=$DF37+'Model Setup'!$C$7,SUMIF($BH$3:$CE$3,"="&amp;$DF37+'Model Setup'!$C$7,$AD37:$BA37)+'Model Setup'!$C$8*(SUMIF($BH$3:$CE$3,"&lt;"&amp;$DF37,$AD37:$BA37)+SUMIF($BH$3:$CE$3,"&gt;"&amp;$CW$4,$AD37:$BA37)),
IF(BO$3=$DF37+'Model Setup'!$D$7,SUMIF($BH$3:$CE$3,"="&amp;$DF37+'Model Setup'!$D$7,$AD37:$BA37)+'Model Setup'!$D$8*(SUMIF($BH$3:$CE$3,"&lt;"&amp;$DF37,$AD37:$BA37)+SUMIF($BH$3:$CE$3,"&gt;"&amp;$CW$4,$AD37:$BA37)),
IF(BO$3=$DF37+'Model Setup'!$E$7,SUMIF($BH$3:$CE$3,"="&amp;$DF37+'Model Setup'!$E$7,$AD37:$BA37)+'Model Setup'!$E$8*(SUMIF($BH$3:$CE$3,"&lt;"&amp;$DF37,$AD37:$BA37)+SUMIF($BH$3:$CE$3,"&gt;"&amp;$CW$4,$AD37:$BA37)),
IF(BO$3=$DF37+'Model Setup'!$F$7,SUMIF($BH$3:$CE$3,"="&amp;$DF37+'Model Setup'!$F$7,$AD37:$BA37)+'Model Setup'!$F$8*(SUMIF($BH$3:$CE$3,"&lt;"&amp;$DF37,$AD37:$BA37)+SUMIF($BH$3:$CE$3,"&gt;"&amp;$CW$4,$AD37:$BA37)),
IF(BO$3=$DF37+'Model Setup'!$G$7,SUMIF($BH$3:$CE$3,"="&amp;$DF37+'Model Setup'!$G$7,$AD37:$BA37)+'Model Setup'!$G$8*(SUMIF($BH$3:$CE$3,"&lt;"&amp;$DF37,$AD37:$BA37)+SUMIF($BH$3:$CE$3,"&gt;"&amp;$CW$4,$AD37:$BA37)),
IF(BO$3=$DF37+'Model Setup'!$H$7,SUMIF($BH$3:$CE$3,"="&amp;$DF37+'Model Setup'!$H$7,$AD37:$BA37)+'Model Setup'!$H$8*(SUMIF($BH$3:$CE$3,"&lt;"&amp;$DF37,$AD37:$BA37)+SUMIF($BH$3:$CE$3,"&gt;"&amp;$CW$4,$AD37:$BA37)),
IF(BO$3=$DF37+'Model Setup'!$I$7,SUMIF($BH$3:$CE$3,"="&amp;$DF37+'Model Setup'!$I$7,$AD37:$BA37)+'Model Setup'!$I$8*(SUMIF($BH$3:$CE$3,"&lt;"&amp;$DF37,$AD37:$BA37)+SUMIF($BH$3:$CE$3,"&gt;"&amp;$CW$4,$AD37:$BA37)),
IF(BO$3=$DF37+'Model Setup'!$J$7,SUMIF($BH$3:$CE$3,"="&amp;$DF37+'Model Setup'!$J$7,$AD37:$BA37)+'Model Setup'!$J$8*(SUMIF($BH$3:$CE$3,"&lt;"&amp;$DF37,$AD37:$BA37)+SUMIF($BH$3:$CE$3,"&gt;"&amp;$CW$4,$AD37:$BA37)),
IF(BO$3=$DF37+'Model Setup'!$K$7,SUMIF($BH$3:$CE$3,"="&amp;$DF37+'Model Setup'!$K$7,$AD37:$BA37)+'Model Setup'!$K$8*(SUMIF($BH$3:$CE$3,"&lt;"&amp;$DF37,$AD37:$BA37)+SUMIF($BH$3:$CE$3,"&gt;"&amp;$CW$4,$AD37:$BA37)),
IF(BO$3=$DF37+'Model Setup'!$L$7,SUMIF($BH$3:$CE$3,"="&amp;$DF37+'Model Setup'!$L$7,$AD37:$BA37)+'Model Setup'!$L$8*(SUMIF($BH$3:$CE$3,"&lt;"&amp;$DF37,$AD37:$BA37)+SUMIF($BH$3:$CE$3,"&gt;"&amp;$CW$4,$AD37:$BA37)),
IF(BO$3=$DF37+'Model Setup'!$M$7,SUMIF($BH$3:$CE$3,"="&amp;$DF37+'Model Setup'!$M$7,$AD37:$BA37)+'Model Setup'!$M$8*(SUMIF($BH$3:$CE$3,"&lt;"&amp;$DF37,$AD37:$BA37)+SUMIF($BH$3:$CE$3,"&gt;"&amp;$CW$4,$AD37:$BA37)),
IF(BO$3=$DF37+'Model Setup'!$N$7,SUMIF($BH$3:$CE$3,"="&amp;$DF37+'Model Setup'!$N$7,$AD37:$BA37)+'Model Setup'!$N$8*(SUMIF($BH$3:$CE$3,"&lt;"&amp;$DF37,$AD37:$BA37)+SUMIF($BH$3:$CE$3,"&gt;"&amp;$CW$4,$AD37:$BA37)),
IF(BO$3&lt;$CW$4,I37,0))))))))))))))),0)</f>
        <v>0</v>
      </c>
      <c r="BP37" s="47">
        <f>ROUND(IF(OR(BP$3&lt;$DF37,BP$3&gt;$CW$4),0,
IF(BP$3=$DF37+'Model Setup'!$B$7,SUMIF($BH$3:$CE$3,"="&amp;$DF37+'Model Setup'!$B$7,$AD37:$BA37)+'Model Setup'!$B$8*(SUMIF($BH$3:$CE$3,"&lt;"&amp;$DF37,$AD37:$BA37)+SUMIF($BH$3:$CE$3,"&gt;"&amp;$CW$4,$AD37:$BA37)),
IF(BP$3=$DF37+'Model Setup'!$C$7,SUMIF($BH$3:$CE$3,"="&amp;$DF37+'Model Setup'!$C$7,$AD37:$BA37)+'Model Setup'!$C$8*(SUMIF($BH$3:$CE$3,"&lt;"&amp;$DF37,$AD37:$BA37)+SUMIF($BH$3:$CE$3,"&gt;"&amp;$CW$4,$AD37:$BA37)),
IF(BP$3=$DF37+'Model Setup'!$D$7,SUMIF($BH$3:$CE$3,"="&amp;$DF37+'Model Setup'!$D$7,$AD37:$BA37)+'Model Setup'!$D$8*(SUMIF($BH$3:$CE$3,"&lt;"&amp;$DF37,$AD37:$BA37)+SUMIF($BH$3:$CE$3,"&gt;"&amp;$CW$4,$AD37:$BA37)),
IF(BP$3=$DF37+'Model Setup'!$E$7,SUMIF($BH$3:$CE$3,"="&amp;$DF37+'Model Setup'!$E$7,$AD37:$BA37)+'Model Setup'!$E$8*(SUMIF($BH$3:$CE$3,"&lt;"&amp;$DF37,$AD37:$BA37)+SUMIF($BH$3:$CE$3,"&gt;"&amp;$CW$4,$AD37:$BA37)),
IF(BP$3=$DF37+'Model Setup'!$F$7,SUMIF($BH$3:$CE$3,"="&amp;$DF37+'Model Setup'!$F$7,$AD37:$BA37)+'Model Setup'!$F$8*(SUMIF($BH$3:$CE$3,"&lt;"&amp;$DF37,$AD37:$BA37)+SUMIF($BH$3:$CE$3,"&gt;"&amp;$CW$4,$AD37:$BA37)),
IF(BP$3=$DF37+'Model Setup'!$G$7,SUMIF($BH$3:$CE$3,"="&amp;$DF37+'Model Setup'!$G$7,$AD37:$BA37)+'Model Setup'!$G$8*(SUMIF($BH$3:$CE$3,"&lt;"&amp;$DF37,$AD37:$BA37)+SUMIF($BH$3:$CE$3,"&gt;"&amp;$CW$4,$AD37:$BA37)),
IF(BP$3=$DF37+'Model Setup'!$H$7,SUMIF($BH$3:$CE$3,"="&amp;$DF37+'Model Setup'!$H$7,$AD37:$BA37)+'Model Setup'!$H$8*(SUMIF($BH$3:$CE$3,"&lt;"&amp;$DF37,$AD37:$BA37)+SUMIF($BH$3:$CE$3,"&gt;"&amp;$CW$4,$AD37:$BA37)),
IF(BP$3=$DF37+'Model Setup'!$I$7,SUMIF($BH$3:$CE$3,"="&amp;$DF37+'Model Setup'!$I$7,$AD37:$BA37)+'Model Setup'!$I$8*(SUMIF($BH$3:$CE$3,"&lt;"&amp;$DF37,$AD37:$BA37)+SUMIF($BH$3:$CE$3,"&gt;"&amp;$CW$4,$AD37:$BA37)),
IF(BP$3=$DF37+'Model Setup'!$J$7,SUMIF($BH$3:$CE$3,"="&amp;$DF37+'Model Setup'!$J$7,$AD37:$BA37)+'Model Setup'!$J$8*(SUMIF($BH$3:$CE$3,"&lt;"&amp;$DF37,$AD37:$BA37)+SUMIF($BH$3:$CE$3,"&gt;"&amp;$CW$4,$AD37:$BA37)),
IF(BP$3=$DF37+'Model Setup'!$K$7,SUMIF($BH$3:$CE$3,"="&amp;$DF37+'Model Setup'!$K$7,$AD37:$BA37)+'Model Setup'!$K$8*(SUMIF($BH$3:$CE$3,"&lt;"&amp;$DF37,$AD37:$BA37)+SUMIF($BH$3:$CE$3,"&gt;"&amp;$CW$4,$AD37:$BA37)),
IF(BP$3=$DF37+'Model Setup'!$L$7,SUMIF($BH$3:$CE$3,"="&amp;$DF37+'Model Setup'!$L$7,$AD37:$BA37)+'Model Setup'!$L$8*(SUMIF($BH$3:$CE$3,"&lt;"&amp;$DF37,$AD37:$BA37)+SUMIF($BH$3:$CE$3,"&gt;"&amp;$CW$4,$AD37:$BA37)),
IF(BP$3=$DF37+'Model Setup'!$M$7,SUMIF($BH$3:$CE$3,"="&amp;$DF37+'Model Setup'!$M$7,$AD37:$BA37)+'Model Setup'!$M$8*(SUMIF($BH$3:$CE$3,"&lt;"&amp;$DF37,$AD37:$BA37)+SUMIF($BH$3:$CE$3,"&gt;"&amp;$CW$4,$AD37:$BA37)),
IF(BP$3=$DF37+'Model Setup'!$N$7,SUMIF($BH$3:$CE$3,"="&amp;$DF37+'Model Setup'!$N$7,$AD37:$BA37)+'Model Setup'!$N$8*(SUMIF($BH$3:$CE$3,"&lt;"&amp;$DF37,$AD37:$BA37)+SUMIF($BH$3:$CE$3,"&gt;"&amp;$CW$4,$AD37:$BA37)),
IF(BP$3&lt;$CW$4,J37,0))))))))))))))),0)</f>
        <v>50</v>
      </c>
      <c r="BQ37" s="47">
        <f>ROUND(IF(OR(BQ$3&lt;$DF37,BQ$3&gt;$CW$4),0,
IF(BQ$3=$DF37+'Model Setup'!$B$7,SUMIF($BH$3:$CE$3,"="&amp;$DF37+'Model Setup'!$B$7,$AD37:$BA37)+'Model Setup'!$B$8*(SUMIF($BH$3:$CE$3,"&lt;"&amp;$DF37,$AD37:$BA37)+SUMIF($BH$3:$CE$3,"&gt;"&amp;$CW$4,$AD37:$BA37)),
IF(BQ$3=$DF37+'Model Setup'!$C$7,SUMIF($BH$3:$CE$3,"="&amp;$DF37+'Model Setup'!$C$7,$AD37:$BA37)+'Model Setup'!$C$8*(SUMIF($BH$3:$CE$3,"&lt;"&amp;$DF37,$AD37:$BA37)+SUMIF($BH$3:$CE$3,"&gt;"&amp;$CW$4,$AD37:$BA37)),
IF(BQ$3=$DF37+'Model Setup'!$D$7,SUMIF($BH$3:$CE$3,"="&amp;$DF37+'Model Setup'!$D$7,$AD37:$BA37)+'Model Setup'!$D$8*(SUMIF($BH$3:$CE$3,"&lt;"&amp;$DF37,$AD37:$BA37)+SUMIF($BH$3:$CE$3,"&gt;"&amp;$CW$4,$AD37:$BA37)),
IF(BQ$3=$DF37+'Model Setup'!$E$7,SUMIF($BH$3:$CE$3,"="&amp;$DF37+'Model Setup'!$E$7,$AD37:$BA37)+'Model Setup'!$E$8*(SUMIF($BH$3:$CE$3,"&lt;"&amp;$DF37,$AD37:$BA37)+SUMIF($BH$3:$CE$3,"&gt;"&amp;$CW$4,$AD37:$BA37)),
IF(BQ$3=$DF37+'Model Setup'!$F$7,SUMIF($BH$3:$CE$3,"="&amp;$DF37+'Model Setup'!$F$7,$AD37:$BA37)+'Model Setup'!$F$8*(SUMIF($BH$3:$CE$3,"&lt;"&amp;$DF37,$AD37:$BA37)+SUMIF($BH$3:$CE$3,"&gt;"&amp;$CW$4,$AD37:$BA37)),
IF(BQ$3=$DF37+'Model Setup'!$G$7,SUMIF($BH$3:$CE$3,"="&amp;$DF37+'Model Setup'!$G$7,$AD37:$BA37)+'Model Setup'!$G$8*(SUMIF($BH$3:$CE$3,"&lt;"&amp;$DF37,$AD37:$BA37)+SUMIF($BH$3:$CE$3,"&gt;"&amp;$CW$4,$AD37:$BA37)),
IF(BQ$3=$DF37+'Model Setup'!$H$7,SUMIF($BH$3:$CE$3,"="&amp;$DF37+'Model Setup'!$H$7,$AD37:$BA37)+'Model Setup'!$H$8*(SUMIF($BH$3:$CE$3,"&lt;"&amp;$DF37,$AD37:$BA37)+SUMIF($BH$3:$CE$3,"&gt;"&amp;$CW$4,$AD37:$BA37)),
IF(BQ$3=$DF37+'Model Setup'!$I$7,SUMIF($BH$3:$CE$3,"="&amp;$DF37+'Model Setup'!$I$7,$AD37:$BA37)+'Model Setup'!$I$8*(SUMIF($BH$3:$CE$3,"&lt;"&amp;$DF37,$AD37:$BA37)+SUMIF($BH$3:$CE$3,"&gt;"&amp;$CW$4,$AD37:$BA37)),
IF(BQ$3=$DF37+'Model Setup'!$J$7,SUMIF($BH$3:$CE$3,"="&amp;$DF37+'Model Setup'!$J$7,$AD37:$BA37)+'Model Setup'!$J$8*(SUMIF($BH$3:$CE$3,"&lt;"&amp;$DF37,$AD37:$BA37)+SUMIF($BH$3:$CE$3,"&gt;"&amp;$CW$4,$AD37:$BA37)),
IF(BQ$3=$DF37+'Model Setup'!$K$7,SUMIF($BH$3:$CE$3,"="&amp;$DF37+'Model Setup'!$K$7,$AD37:$BA37)+'Model Setup'!$K$8*(SUMIF($BH$3:$CE$3,"&lt;"&amp;$DF37,$AD37:$BA37)+SUMIF($BH$3:$CE$3,"&gt;"&amp;$CW$4,$AD37:$BA37)),
IF(BQ$3=$DF37+'Model Setup'!$L$7,SUMIF($BH$3:$CE$3,"="&amp;$DF37+'Model Setup'!$L$7,$AD37:$BA37)+'Model Setup'!$L$8*(SUMIF($BH$3:$CE$3,"&lt;"&amp;$DF37,$AD37:$BA37)+SUMIF($BH$3:$CE$3,"&gt;"&amp;$CW$4,$AD37:$BA37)),
IF(BQ$3=$DF37+'Model Setup'!$M$7,SUMIF($BH$3:$CE$3,"="&amp;$DF37+'Model Setup'!$M$7,$AD37:$BA37)+'Model Setup'!$M$8*(SUMIF($BH$3:$CE$3,"&lt;"&amp;$DF37,$AD37:$BA37)+SUMIF($BH$3:$CE$3,"&gt;"&amp;$CW$4,$AD37:$BA37)),
IF(BQ$3=$DF37+'Model Setup'!$N$7,SUMIF($BH$3:$CE$3,"="&amp;$DF37+'Model Setup'!$N$7,$AD37:$BA37)+'Model Setup'!$N$8*(SUMIF($BH$3:$CE$3,"&lt;"&amp;$DF37,$AD37:$BA37)+SUMIF($BH$3:$CE$3,"&gt;"&amp;$CW$4,$AD37:$BA37)),
IF(BQ$3&lt;$CW$4,K37,0))))))))))))))),0)</f>
        <v>42</v>
      </c>
      <c r="BR37" s="47">
        <f>ROUND(IF(OR(BR$3&lt;$DF37,BR$3&gt;$CW$4),0,
IF(BR$3=$DF37+'Model Setup'!$B$7,SUMIF($BH$3:$CE$3,"="&amp;$DF37+'Model Setup'!$B$7,$AD37:$BA37)+'Model Setup'!$B$8*(SUMIF($BH$3:$CE$3,"&lt;"&amp;$DF37,$AD37:$BA37)+SUMIF($BH$3:$CE$3,"&gt;"&amp;$CW$4,$AD37:$BA37)),
IF(BR$3=$DF37+'Model Setup'!$C$7,SUMIF($BH$3:$CE$3,"="&amp;$DF37+'Model Setup'!$C$7,$AD37:$BA37)+'Model Setup'!$C$8*(SUMIF($BH$3:$CE$3,"&lt;"&amp;$DF37,$AD37:$BA37)+SUMIF($BH$3:$CE$3,"&gt;"&amp;$CW$4,$AD37:$BA37)),
IF(BR$3=$DF37+'Model Setup'!$D$7,SUMIF($BH$3:$CE$3,"="&amp;$DF37+'Model Setup'!$D$7,$AD37:$BA37)+'Model Setup'!$D$8*(SUMIF($BH$3:$CE$3,"&lt;"&amp;$DF37,$AD37:$BA37)+SUMIF($BH$3:$CE$3,"&gt;"&amp;$CW$4,$AD37:$BA37)),
IF(BR$3=$DF37+'Model Setup'!$E$7,SUMIF($BH$3:$CE$3,"="&amp;$DF37+'Model Setup'!$E$7,$AD37:$BA37)+'Model Setup'!$E$8*(SUMIF($BH$3:$CE$3,"&lt;"&amp;$DF37,$AD37:$BA37)+SUMIF($BH$3:$CE$3,"&gt;"&amp;$CW$4,$AD37:$BA37)),
IF(BR$3=$DF37+'Model Setup'!$F$7,SUMIF($BH$3:$CE$3,"="&amp;$DF37+'Model Setup'!$F$7,$AD37:$BA37)+'Model Setup'!$F$8*(SUMIF($BH$3:$CE$3,"&lt;"&amp;$DF37,$AD37:$BA37)+SUMIF($BH$3:$CE$3,"&gt;"&amp;$CW$4,$AD37:$BA37)),
IF(BR$3=$DF37+'Model Setup'!$G$7,SUMIF($BH$3:$CE$3,"="&amp;$DF37+'Model Setup'!$G$7,$AD37:$BA37)+'Model Setup'!$G$8*(SUMIF($BH$3:$CE$3,"&lt;"&amp;$DF37,$AD37:$BA37)+SUMIF($BH$3:$CE$3,"&gt;"&amp;$CW$4,$AD37:$BA37)),
IF(BR$3=$DF37+'Model Setup'!$H$7,SUMIF($BH$3:$CE$3,"="&amp;$DF37+'Model Setup'!$H$7,$AD37:$BA37)+'Model Setup'!$H$8*(SUMIF($BH$3:$CE$3,"&lt;"&amp;$DF37,$AD37:$BA37)+SUMIF($BH$3:$CE$3,"&gt;"&amp;$CW$4,$AD37:$BA37)),
IF(BR$3=$DF37+'Model Setup'!$I$7,SUMIF($BH$3:$CE$3,"="&amp;$DF37+'Model Setup'!$I$7,$AD37:$BA37)+'Model Setup'!$I$8*(SUMIF($BH$3:$CE$3,"&lt;"&amp;$DF37,$AD37:$BA37)+SUMIF($BH$3:$CE$3,"&gt;"&amp;$CW$4,$AD37:$BA37)),
IF(BR$3=$DF37+'Model Setup'!$J$7,SUMIF($BH$3:$CE$3,"="&amp;$DF37+'Model Setup'!$J$7,$AD37:$BA37)+'Model Setup'!$J$8*(SUMIF($BH$3:$CE$3,"&lt;"&amp;$DF37,$AD37:$BA37)+SUMIF($BH$3:$CE$3,"&gt;"&amp;$CW$4,$AD37:$BA37)),
IF(BR$3=$DF37+'Model Setup'!$K$7,SUMIF($BH$3:$CE$3,"="&amp;$DF37+'Model Setup'!$K$7,$AD37:$BA37)+'Model Setup'!$K$8*(SUMIF($BH$3:$CE$3,"&lt;"&amp;$DF37,$AD37:$BA37)+SUMIF($BH$3:$CE$3,"&gt;"&amp;$CW$4,$AD37:$BA37)),
IF(BR$3=$DF37+'Model Setup'!$L$7,SUMIF($BH$3:$CE$3,"="&amp;$DF37+'Model Setup'!$L$7,$AD37:$BA37)+'Model Setup'!$L$8*(SUMIF($BH$3:$CE$3,"&lt;"&amp;$DF37,$AD37:$BA37)+SUMIF($BH$3:$CE$3,"&gt;"&amp;$CW$4,$AD37:$BA37)),
IF(BR$3=$DF37+'Model Setup'!$M$7,SUMIF($BH$3:$CE$3,"="&amp;$DF37+'Model Setup'!$M$7,$AD37:$BA37)+'Model Setup'!$M$8*(SUMIF($BH$3:$CE$3,"&lt;"&amp;$DF37,$AD37:$BA37)+SUMIF($BH$3:$CE$3,"&gt;"&amp;$CW$4,$AD37:$BA37)),
IF(BR$3=$DF37+'Model Setup'!$N$7,SUMIF($BH$3:$CE$3,"="&amp;$DF37+'Model Setup'!$N$7,$AD37:$BA37)+'Model Setup'!$N$8*(SUMIF($BH$3:$CE$3,"&lt;"&amp;$DF37,$AD37:$BA37)+SUMIF($BH$3:$CE$3,"&gt;"&amp;$CW$4,$AD37:$BA37)),
IF(BR$3&lt;$CW$4,L37,0))))))))))))))),0)</f>
        <v>39</v>
      </c>
      <c r="BS37" s="47">
        <f>ROUND(IF(OR(BS$3&lt;$DF37,BS$3&gt;$CW$4),0,
IF(BS$3=$DF37+'Model Setup'!$B$7,SUMIF($BH$3:$CE$3,"="&amp;$DF37+'Model Setup'!$B$7,$AD37:$BA37)+'Model Setup'!$B$8*(SUMIF($BH$3:$CE$3,"&lt;"&amp;$DF37,$AD37:$BA37)+SUMIF($BH$3:$CE$3,"&gt;"&amp;$CW$4,$AD37:$BA37)),
IF(BS$3=$DF37+'Model Setup'!$C$7,SUMIF($BH$3:$CE$3,"="&amp;$DF37+'Model Setup'!$C$7,$AD37:$BA37)+'Model Setup'!$C$8*(SUMIF($BH$3:$CE$3,"&lt;"&amp;$DF37,$AD37:$BA37)+SUMIF($BH$3:$CE$3,"&gt;"&amp;$CW$4,$AD37:$BA37)),
IF(BS$3=$DF37+'Model Setup'!$D$7,SUMIF($BH$3:$CE$3,"="&amp;$DF37+'Model Setup'!$D$7,$AD37:$BA37)+'Model Setup'!$D$8*(SUMIF($BH$3:$CE$3,"&lt;"&amp;$DF37,$AD37:$BA37)+SUMIF($BH$3:$CE$3,"&gt;"&amp;$CW$4,$AD37:$BA37)),
IF(BS$3=$DF37+'Model Setup'!$E$7,SUMIF($BH$3:$CE$3,"="&amp;$DF37+'Model Setup'!$E$7,$AD37:$BA37)+'Model Setup'!$E$8*(SUMIF($BH$3:$CE$3,"&lt;"&amp;$DF37,$AD37:$BA37)+SUMIF($BH$3:$CE$3,"&gt;"&amp;$CW$4,$AD37:$BA37)),
IF(BS$3=$DF37+'Model Setup'!$F$7,SUMIF($BH$3:$CE$3,"="&amp;$DF37+'Model Setup'!$F$7,$AD37:$BA37)+'Model Setup'!$F$8*(SUMIF($BH$3:$CE$3,"&lt;"&amp;$DF37,$AD37:$BA37)+SUMIF($BH$3:$CE$3,"&gt;"&amp;$CW$4,$AD37:$BA37)),
IF(BS$3=$DF37+'Model Setup'!$G$7,SUMIF($BH$3:$CE$3,"="&amp;$DF37+'Model Setup'!$G$7,$AD37:$BA37)+'Model Setup'!$G$8*(SUMIF($BH$3:$CE$3,"&lt;"&amp;$DF37,$AD37:$BA37)+SUMIF($BH$3:$CE$3,"&gt;"&amp;$CW$4,$AD37:$BA37)),
IF(BS$3=$DF37+'Model Setup'!$H$7,SUMIF($BH$3:$CE$3,"="&amp;$DF37+'Model Setup'!$H$7,$AD37:$BA37)+'Model Setup'!$H$8*(SUMIF($BH$3:$CE$3,"&lt;"&amp;$DF37,$AD37:$BA37)+SUMIF($BH$3:$CE$3,"&gt;"&amp;$CW$4,$AD37:$BA37)),
IF(BS$3=$DF37+'Model Setup'!$I$7,SUMIF($BH$3:$CE$3,"="&amp;$DF37+'Model Setup'!$I$7,$AD37:$BA37)+'Model Setup'!$I$8*(SUMIF($BH$3:$CE$3,"&lt;"&amp;$DF37,$AD37:$BA37)+SUMIF($BH$3:$CE$3,"&gt;"&amp;$CW$4,$AD37:$BA37)),
IF(BS$3=$DF37+'Model Setup'!$J$7,SUMIF($BH$3:$CE$3,"="&amp;$DF37+'Model Setup'!$J$7,$AD37:$BA37)+'Model Setup'!$J$8*(SUMIF($BH$3:$CE$3,"&lt;"&amp;$DF37,$AD37:$BA37)+SUMIF($BH$3:$CE$3,"&gt;"&amp;$CW$4,$AD37:$BA37)),
IF(BS$3=$DF37+'Model Setup'!$K$7,SUMIF($BH$3:$CE$3,"="&amp;$DF37+'Model Setup'!$K$7,$AD37:$BA37)+'Model Setup'!$K$8*(SUMIF($BH$3:$CE$3,"&lt;"&amp;$DF37,$AD37:$BA37)+SUMIF($BH$3:$CE$3,"&gt;"&amp;$CW$4,$AD37:$BA37)),
IF(BS$3=$DF37+'Model Setup'!$L$7,SUMIF($BH$3:$CE$3,"="&amp;$DF37+'Model Setup'!$L$7,$AD37:$BA37)+'Model Setup'!$L$8*(SUMIF($BH$3:$CE$3,"&lt;"&amp;$DF37,$AD37:$BA37)+SUMIF($BH$3:$CE$3,"&gt;"&amp;$CW$4,$AD37:$BA37)),
IF(BS$3=$DF37+'Model Setup'!$M$7,SUMIF($BH$3:$CE$3,"="&amp;$DF37+'Model Setup'!$M$7,$AD37:$BA37)+'Model Setup'!$M$8*(SUMIF($BH$3:$CE$3,"&lt;"&amp;$DF37,$AD37:$BA37)+SUMIF($BH$3:$CE$3,"&gt;"&amp;$CW$4,$AD37:$BA37)),
IF(BS$3=$DF37+'Model Setup'!$N$7,SUMIF($BH$3:$CE$3,"="&amp;$DF37+'Model Setup'!$N$7,$AD37:$BA37)+'Model Setup'!$N$8*(SUMIF($BH$3:$CE$3,"&lt;"&amp;$DF37,$AD37:$BA37)+SUMIF($BH$3:$CE$3,"&gt;"&amp;$CW$4,$AD37:$BA37)),
IF(BS$3&lt;$CW$4,M37,0))))))))))))))),0)</f>
        <v>32</v>
      </c>
      <c r="BT37" s="47">
        <f>ROUND(IF(OR(BT$3&lt;$DF37,BT$3&gt;$CW$4),0,
IF(BT$3=$DF37+'Model Setup'!$B$7,SUMIF($BH$3:$CE$3,"="&amp;$DF37+'Model Setup'!$B$7,$AD37:$BA37)+'Model Setup'!$B$8*(SUMIF($BH$3:$CE$3,"&lt;"&amp;$DF37,$AD37:$BA37)+SUMIF($BH$3:$CE$3,"&gt;"&amp;$CW$4,$AD37:$BA37)),
IF(BT$3=$DF37+'Model Setup'!$C$7,SUMIF($BH$3:$CE$3,"="&amp;$DF37+'Model Setup'!$C$7,$AD37:$BA37)+'Model Setup'!$C$8*(SUMIF($BH$3:$CE$3,"&lt;"&amp;$DF37,$AD37:$BA37)+SUMIF($BH$3:$CE$3,"&gt;"&amp;$CW$4,$AD37:$BA37)),
IF(BT$3=$DF37+'Model Setup'!$D$7,SUMIF($BH$3:$CE$3,"="&amp;$DF37+'Model Setup'!$D$7,$AD37:$BA37)+'Model Setup'!$D$8*(SUMIF($BH$3:$CE$3,"&lt;"&amp;$DF37,$AD37:$BA37)+SUMIF($BH$3:$CE$3,"&gt;"&amp;$CW$4,$AD37:$BA37)),
IF(BT$3=$DF37+'Model Setup'!$E$7,SUMIF($BH$3:$CE$3,"="&amp;$DF37+'Model Setup'!$E$7,$AD37:$BA37)+'Model Setup'!$E$8*(SUMIF($BH$3:$CE$3,"&lt;"&amp;$DF37,$AD37:$BA37)+SUMIF($BH$3:$CE$3,"&gt;"&amp;$CW$4,$AD37:$BA37)),
IF(BT$3=$DF37+'Model Setup'!$F$7,SUMIF($BH$3:$CE$3,"="&amp;$DF37+'Model Setup'!$F$7,$AD37:$BA37)+'Model Setup'!$F$8*(SUMIF($BH$3:$CE$3,"&lt;"&amp;$DF37,$AD37:$BA37)+SUMIF($BH$3:$CE$3,"&gt;"&amp;$CW$4,$AD37:$BA37)),
IF(BT$3=$DF37+'Model Setup'!$G$7,SUMIF($BH$3:$CE$3,"="&amp;$DF37+'Model Setup'!$G$7,$AD37:$BA37)+'Model Setup'!$G$8*(SUMIF($BH$3:$CE$3,"&lt;"&amp;$DF37,$AD37:$BA37)+SUMIF($BH$3:$CE$3,"&gt;"&amp;$CW$4,$AD37:$BA37)),
IF(BT$3=$DF37+'Model Setup'!$H$7,SUMIF($BH$3:$CE$3,"="&amp;$DF37+'Model Setup'!$H$7,$AD37:$BA37)+'Model Setup'!$H$8*(SUMIF($BH$3:$CE$3,"&lt;"&amp;$DF37,$AD37:$BA37)+SUMIF($BH$3:$CE$3,"&gt;"&amp;$CW$4,$AD37:$BA37)),
IF(BT$3=$DF37+'Model Setup'!$I$7,SUMIF($BH$3:$CE$3,"="&amp;$DF37+'Model Setup'!$I$7,$AD37:$BA37)+'Model Setup'!$I$8*(SUMIF($BH$3:$CE$3,"&lt;"&amp;$DF37,$AD37:$BA37)+SUMIF($BH$3:$CE$3,"&gt;"&amp;$CW$4,$AD37:$BA37)),
IF(BT$3=$DF37+'Model Setup'!$J$7,SUMIF($BH$3:$CE$3,"="&amp;$DF37+'Model Setup'!$J$7,$AD37:$BA37)+'Model Setup'!$J$8*(SUMIF($BH$3:$CE$3,"&lt;"&amp;$DF37,$AD37:$BA37)+SUMIF($BH$3:$CE$3,"&gt;"&amp;$CW$4,$AD37:$BA37)),
IF(BT$3=$DF37+'Model Setup'!$K$7,SUMIF($BH$3:$CE$3,"="&amp;$DF37+'Model Setup'!$K$7,$AD37:$BA37)+'Model Setup'!$K$8*(SUMIF($BH$3:$CE$3,"&lt;"&amp;$DF37,$AD37:$BA37)+SUMIF($BH$3:$CE$3,"&gt;"&amp;$CW$4,$AD37:$BA37)),
IF(BT$3=$DF37+'Model Setup'!$L$7,SUMIF($BH$3:$CE$3,"="&amp;$DF37+'Model Setup'!$L$7,$AD37:$BA37)+'Model Setup'!$L$8*(SUMIF($BH$3:$CE$3,"&lt;"&amp;$DF37,$AD37:$BA37)+SUMIF($BH$3:$CE$3,"&gt;"&amp;$CW$4,$AD37:$BA37)),
IF(BT$3=$DF37+'Model Setup'!$M$7,SUMIF($BH$3:$CE$3,"="&amp;$DF37+'Model Setup'!$M$7,$AD37:$BA37)+'Model Setup'!$M$8*(SUMIF($BH$3:$CE$3,"&lt;"&amp;$DF37,$AD37:$BA37)+SUMIF($BH$3:$CE$3,"&gt;"&amp;$CW$4,$AD37:$BA37)),
IF(BT$3=$DF37+'Model Setup'!$N$7,SUMIF($BH$3:$CE$3,"="&amp;$DF37+'Model Setup'!$N$7,$AD37:$BA37)+'Model Setup'!$N$8*(SUMIF($BH$3:$CE$3,"&lt;"&amp;$DF37,$AD37:$BA37)+SUMIF($BH$3:$CE$3,"&gt;"&amp;$CW$4,$AD37:$BA37)),
IF(BT$3&lt;$CW$4,N37,0))))))))))))))),0)</f>
        <v>19</v>
      </c>
      <c r="BU37" s="47">
        <f>ROUND(IF(OR(BU$3&lt;$DF37,BU$3&gt;$CW$4),0,
IF(BU$3=$DF37+'Model Setup'!$B$7,SUMIF($BH$3:$CE$3,"="&amp;$DF37+'Model Setup'!$B$7,$AD37:$BA37)+'Model Setup'!$B$8*(SUMIF($BH$3:$CE$3,"&lt;"&amp;$DF37,$AD37:$BA37)+SUMIF($BH$3:$CE$3,"&gt;"&amp;$CW$4,$AD37:$BA37)),
IF(BU$3=$DF37+'Model Setup'!$C$7,SUMIF($BH$3:$CE$3,"="&amp;$DF37+'Model Setup'!$C$7,$AD37:$BA37)+'Model Setup'!$C$8*(SUMIF($BH$3:$CE$3,"&lt;"&amp;$DF37,$AD37:$BA37)+SUMIF($BH$3:$CE$3,"&gt;"&amp;$CW$4,$AD37:$BA37)),
IF(BU$3=$DF37+'Model Setup'!$D$7,SUMIF($BH$3:$CE$3,"="&amp;$DF37+'Model Setup'!$D$7,$AD37:$BA37)+'Model Setup'!$D$8*(SUMIF($BH$3:$CE$3,"&lt;"&amp;$DF37,$AD37:$BA37)+SUMIF($BH$3:$CE$3,"&gt;"&amp;$CW$4,$AD37:$BA37)),
IF(BU$3=$DF37+'Model Setup'!$E$7,SUMIF($BH$3:$CE$3,"="&amp;$DF37+'Model Setup'!$E$7,$AD37:$BA37)+'Model Setup'!$E$8*(SUMIF($BH$3:$CE$3,"&lt;"&amp;$DF37,$AD37:$BA37)+SUMIF($BH$3:$CE$3,"&gt;"&amp;$CW$4,$AD37:$BA37)),
IF(BU$3=$DF37+'Model Setup'!$F$7,SUMIF($BH$3:$CE$3,"="&amp;$DF37+'Model Setup'!$F$7,$AD37:$BA37)+'Model Setup'!$F$8*(SUMIF($BH$3:$CE$3,"&lt;"&amp;$DF37,$AD37:$BA37)+SUMIF($BH$3:$CE$3,"&gt;"&amp;$CW$4,$AD37:$BA37)),
IF(BU$3=$DF37+'Model Setup'!$G$7,SUMIF($BH$3:$CE$3,"="&amp;$DF37+'Model Setup'!$G$7,$AD37:$BA37)+'Model Setup'!$G$8*(SUMIF($BH$3:$CE$3,"&lt;"&amp;$DF37,$AD37:$BA37)+SUMIF($BH$3:$CE$3,"&gt;"&amp;$CW$4,$AD37:$BA37)),
IF(BU$3=$DF37+'Model Setup'!$H$7,SUMIF($BH$3:$CE$3,"="&amp;$DF37+'Model Setup'!$H$7,$AD37:$BA37)+'Model Setup'!$H$8*(SUMIF($BH$3:$CE$3,"&lt;"&amp;$DF37,$AD37:$BA37)+SUMIF($BH$3:$CE$3,"&gt;"&amp;$CW$4,$AD37:$BA37)),
IF(BU$3=$DF37+'Model Setup'!$I$7,SUMIF($BH$3:$CE$3,"="&amp;$DF37+'Model Setup'!$I$7,$AD37:$BA37)+'Model Setup'!$I$8*(SUMIF($BH$3:$CE$3,"&lt;"&amp;$DF37,$AD37:$BA37)+SUMIF($BH$3:$CE$3,"&gt;"&amp;$CW$4,$AD37:$BA37)),
IF(BU$3=$DF37+'Model Setup'!$J$7,SUMIF($BH$3:$CE$3,"="&amp;$DF37+'Model Setup'!$J$7,$AD37:$BA37)+'Model Setup'!$J$8*(SUMIF($BH$3:$CE$3,"&lt;"&amp;$DF37,$AD37:$BA37)+SUMIF($BH$3:$CE$3,"&gt;"&amp;$CW$4,$AD37:$BA37)),
IF(BU$3=$DF37+'Model Setup'!$K$7,SUMIF($BH$3:$CE$3,"="&amp;$DF37+'Model Setup'!$K$7,$AD37:$BA37)+'Model Setup'!$K$8*(SUMIF($BH$3:$CE$3,"&lt;"&amp;$DF37,$AD37:$BA37)+SUMIF($BH$3:$CE$3,"&gt;"&amp;$CW$4,$AD37:$BA37)),
IF(BU$3=$DF37+'Model Setup'!$L$7,SUMIF($BH$3:$CE$3,"="&amp;$DF37+'Model Setup'!$L$7,$AD37:$BA37)+'Model Setup'!$L$8*(SUMIF($BH$3:$CE$3,"&lt;"&amp;$DF37,$AD37:$BA37)+SUMIF($BH$3:$CE$3,"&gt;"&amp;$CW$4,$AD37:$BA37)),
IF(BU$3=$DF37+'Model Setup'!$M$7,SUMIF($BH$3:$CE$3,"="&amp;$DF37+'Model Setup'!$M$7,$AD37:$BA37)+'Model Setup'!$M$8*(SUMIF($BH$3:$CE$3,"&lt;"&amp;$DF37,$AD37:$BA37)+SUMIF($BH$3:$CE$3,"&gt;"&amp;$CW$4,$AD37:$BA37)),
IF(BU$3=$DF37+'Model Setup'!$N$7,SUMIF($BH$3:$CE$3,"="&amp;$DF37+'Model Setup'!$N$7,$AD37:$BA37)+'Model Setup'!$N$8*(SUMIF($BH$3:$CE$3,"&lt;"&amp;$DF37,$AD37:$BA37)+SUMIF($BH$3:$CE$3,"&gt;"&amp;$CW$4,$AD37:$BA37)),
IF(BU$3&lt;$CW$4,O37,0))))))))))))))),0)</f>
        <v>26</v>
      </c>
      <c r="BV37" s="47">
        <f>ROUND(IF(OR(BV$3&lt;$DF37,BV$3&gt;$CW$4),0,
IF(BV$3=$DF37+'Model Setup'!$B$7,SUMIF($BH$3:$CE$3,"="&amp;$DF37+'Model Setup'!$B$7,$AD37:$BA37)+'Model Setup'!$B$8*(SUMIF($BH$3:$CE$3,"&lt;"&amp;$DF37,$AD37:$BA37)+SUMIF($BH$3:$CE$3,"&gt;"&amp;$CW$4,$AD37:$BA37)),
IF(BV$3=$DF37+'Model Setup'!$C$7,SUMIF($BH$3:$CE$3,"="&amp;$DF37+'Model Setup'!$C$7,$AD37:$BA37)+'Model Setup'!$C$8*(SUMIF($BH$3:$CE$3,"&lt;"&amp;$DF37,$AD37:$BA37)+SUMIF($BH$3:$CE$3,"&gt;"&amp;$CW$4,$AD37:$BA37)),
IF(BV$3=$DF37+'Model Setup'!$D$7,SUMIF($BH$3:$CE$3,"="&amp;$DF37+'Model Setup'!$D$7,$AD37:$BA37)+'Model Setup'!$D$8*(SUMIF($BH$3:$CE$3,"&lt;"&amp;$DF37,$AD37:$BA37)+SUMIF($BH$3:$CE$3,"&gt;"&amp;$CW$4,$AD37:$BA37)),
IF(BV$3=$DF37+'Model Setup'!$E$7,SUMIF($BH$3:$CE$3,"="&amp;$DF37+'Model Setup'!$E$7,$AD37:$BA37)+'Model Setup'!$E$8*(SUMIF($BH$3:$CE$3,"&lt;"&amp;$DF37,$AD37:$BA37)+SUMIF($BH$3:$CE$3,"&gt;"&amp;$CW$4,$AD37:$BA37)),
IF(BV$3=$DF37+'Model Setup'!$F$7,SUMIF($BH$3:$CE$3,"="&amp;$DF37+'Model Setup'!$F$7,$AD37:$BA37)+'Model Setup'!$F$8*(SUMIF($BH$3:$CE$3,"&lt;"&amp;$DF37,$AD37:$BA37)+SUMIF($BH$3:$CE$3,"&gt;"&amp;$CW$4,$AD37:$BA37)),
IF(BV$3=$DF37+'Model Setup'!$G$7,SUMIF($BH$3:$CE$3,"="&amp;$DF37+'Model Setup'!$G$7,$AD37:$BA37)+'Model Setup'!$G$8*(SUMIF($BH$3:$CE$3,"&lt;"&amp;$DF37,$AD37:$BA37)+SUMIF($BH$3:$CE$3,"&gt;"&amp;$CW$4,$AD37:$BA37)),
IF(BV$3=$DF37+'Model Setup'!$H$7,SUMIF($BH$3:$CE$3,"="&amp;$DF37+'Model Setup'!$H$7,$AD37:$BA37)+'Model Setup'!$H$8*(SUMIF($BH$3:$CE$3,"&lt;"&amp;$DF37,$AD37:$BA37)+SUMIF($BH$3:$CE$3,"&gt;"&amp;$CW$4,$AD37:$BA37)),
IF(BV$3=$DF37+'Model Setup'!$I$7,SUMIF($BH$3:$CE$3,"="&amp;$DF37+'Model Setup'!$I$7,$AD37:$BA37)+'Model Setup'!$I$8*(SUMIF($BH$3:$CE$3,"&lt;"&amp;$DF37,$AD37:$BA37)+SUMIF($BH$3:$CE$3,"&gt;"&amp;$CW$4,$AD37:$BA37)),
IF(BV$3=$DF37+'Model Setup'!$J$7,SUMIF($BH$3:$CE$3,"="&amp;$DF37+'Model Setup'!$J$7,$AD37:$BA37)+'Model Setup'!$J$8*(SUMIF($BH$3:$CE$3,"&lt;"&amp;$DF37,$AD37:$BA37)+SUMIF($BH$3:$CE$3,"&gt;"&amp;$CW$4,$AD37:$BA37)),
IF(BV$3=$DF37+'Model Setup'!$K$7,SUMIF($BH$3:$CE$3,"="&amp;$DF37+'Model Setup'!$K$7,$AD37:$BA37)+'Model Setup'!$K$8*(SUMIF($BH$3:$CE$3,"&lt;"&amp;$DF37,$AD37:$BA37)+SUMIF($BH$3:$CE$3,"&gt;"&amp;$CW$4,$AD37:$BA37)),
IF(BV$3=$DF37+'Model Setup'!$L$7,SUMIF($BH$3:$CE$3,"="&amp;$DF37+'Model Setup'!$L$7,$AD37:$BA37)+'Model Setup'!$L$8*(SUMIF($BH$3:$CE$3,"&lt;"&amp;$DF37,$AD37:$BA37)+SUMIF($BH$3:$CE$3,"&gt;"&amp;$CW$4,$AD37:$BA37)),
IF(BV$3=$DF37+'Model Setup'!$M$7,SUMIF($BH$3:$CE$3,"="&amp;$DF37+'Model Setup'!$M$7,$AD37:$BA37)+'Model Setup'!$M$8*(SUMIF($BH$3:$CE$3,"&lt;"&amp;$DF37,$AD37:$BA37)+SUMIF($BH$3:$CE$3,"&gt;"&amp;$CW$4,$AD37:$BA37)),
IF(BV$3=$DF37+'Model Setup'!$N$7,SUMIF($BH$3:$CE$3,"="&amp;$DF37+'Model Setup'!$N$7,$AD37:$BA37)+'Model Setup'!$N$8*(SUMIF($BH$3:$CE$3,"&lt;"&amp;$DF37,$AD37:$BA37)+SUMIF($BH$3:$CE$3,"&gt;"&amp;$CW$4,$AD37:$BA37)),
IF(BV$3&lt;$CW$4,P37,0))))))))))))))),0)</f>
        <v>12</v>
      </c>
      <c r="BW37" s="47">
        <f>ROUND(IF(OR(BW$3&lt;$DF37,BW$3&gt;$CW$4),0,
IF(BW$3=$DF37+'Model Setup'!$B$7,SUMIF($BH$3:$CE$3,"="&amp;$DF37+'Model Setup'!$B$7,$AD37:$BA37)+'Model Setup'!$B$8*(SUMIF($BH$3:$CE$3,"&lt;"&amp;$DF37,$AD37:$BA37)+SUMIF($BH$3:$CE$3,"&gt;"&amp;$CW$4,$AD37:$BA37)),
IF(BW$3=$DF37+'Model Setup'!$C$7,SUMIF($BH$3:$CE$3,"="&amp;$DF37+'Model Setup'!$C$7,$AD37:$BA37)+'Model Setup'!$C$8*(SUMIF($BH$3:$CE$3,"&lt;"&amp;$DF37,$AD37:$BA37)+SUMIF($BH$3:$CE$3,"&gt;"&amp;$CW$4,$AD37:$BA37)),
IF(BW$3=$DF37+'Model Setup'!$D$7,SUMIF($BH$3:$CE$3,"="&amp;$DF37+'Model Setup'!$D$7,$AD37:$BA37)+'Model Setup'!$D$8*(SUMIF($BH$3:$CE$3,"&lt;"&amp;$DF37,$AD37:$BA37)+SUMIF($BH$3:$CE$3,"&gt;"&amp;$CW$4,$AD37:$BA37)),
IF(BW$3=$DF37+'Model Setup'!$E$7,SUMIF($BH$3:$CE$3,"="&amp;$DF37+'Model Setup'!$E$7,$AD37:$BA37)+'Model Setup'!$E$8*(SUMIF($BH$3:$CE$3,"&lt;"&amp;$DF37,$AD37:$BA37)+SUMIF($BH$3:$CE$3,"&gt;"&amp;$CW$4,$AD37:$BA37)),
IF(BW$3=$DF37+'Model Setup'!$F$7,SUMIF($BH$3:$CE$3,"="&amp;$DF37+'Model Setup'!$F$7,$AD37:$BA37)+'Model Setup'!$F$8*(SUMIF($BH$3:$CE$3,"&lt;"&amp;$DF37,$AD37:$BA37)+SUMIF($BH$3:$CE$3,"&gt;"&amp;$CW$4,$AD37:$BA37)),
IF(BW$3=$DF37+'Model Setup'!$G$7,SUMIF($BH$3:$CE$3,"="&amp;$DF37+'Model Setup'!$G$7,$AD37:$BA37)+'Model Setup'!$G$8*(SUMIF($BH$3:$CE$3,"&lt;"&amp;$DF37,$AD37:$BA37)+SUMIF($BH$3:$CE$3,"&gt;"&amp;$CW$4,$AD37:$BA37)),
IF(BW$3=$DF37+'Model Setup'!$H$7,SUMIF($BH$3:$CE$3,"="&amp;$DF37+'Model Setup'!$H$7,$AD37:$BA37)+'Model Setup'!$H$8*(SUMIF($BH$3:$CE$3,"&lt;"&amp;$DF37,$AD37:$BA37)+SUMIF($BH$3:$CE$3,"&gt;"&amp;$CW$4,$AD37:$BA37)),
IF(BW$3=$DF37+'Model Setup'!$I$7,SUMIF($BH$3:$CE$3,"="&amp;$DF37+'Model Setup'!$I$7,$AD37:$BA37)+'Model Setup'!$I$8*(SUMIF($BH$3:$CE$3,"&lt;"&amp;$DF37,$AD37:$BA37)+SUMIF($BH$3:$CE$3,"&gt;"&amp;$CW$4,$AD37:$BA37)),
IF(BW$3=$DF37+'Model Setup'!$J$7,SUMIF($BH$3:$CE$3,"="&amp;$DF37+'Model Setup'!$J$7,$AD37:$BA37)+'Model Setup'!$J$8*(SUMIF($BH$3:$CE$3,"&lt;"&amp;$DF37,$AD37:$BA37)+SUMIF($BH$3:$CE$3,"&gt;"&amp;$CW$4,$AD37:$BA37)),
IF(BW$3=$DF37+'Model Setup'!$K$7,SUMIF($BH$3:$CE$3,"="&amp;$DF37+'Model Setup'!$K$7,$AD37:$BA37)+'Model Setup'!$K$8*(SUMIF($BH$3:$CE$3,"&lt;"&amp;$DF37,$AD37:$BA37)+SUMIF($BH$3:$CE$3,"&gt;"&amp;$CW$4,$AD37:$BA37)),
IF(BW$3=$DF37+'Model Setup'!$L$7,SUMIF($BH$3:$CE$3,"="&amp;$DF37+'Model Setup'!$L$7,$AD37:$BA37)+'Model Setup'!$L$8*(SUMIF($BH$3:$CE$3,"&lt;"&amp;$DF37,$AD37:$BA37)+SUMIF($BH$3:$CE$3,"&gt;"&amp;$CW$4,$AD37:$BA37)),
IF(BW$3=$DF37+'Model Setup'!$M$7,SUMIF($BH$3:$CE$3,"="&amp;$DF37+'Model Setup'!$M$7,$AD37:$BA37)+'Model Setup'!$M$8*(SUMIF($BH$3:$CE$3,"&lt;"&amp;$DF37,$AD37:$BA37)+SUMIF($BH$3:$CE$3,"&gt;"&amp;$CW$4,$AD37:$BA37)),
IF(BW$3=$DF37+'Model Setup'!$N$7,SUMIF($BH$3:$CE$3,"="&amp;$DF37+'Model Setup'!$N$7,$AD37:$BA37)+'Model Setup'!$N$8*(SUMIF($BH$3:$CE$3,"&lt;"&amp;$DF37,$AD37:$BA37)+SUMIF($BH$3:$CE$3,"&gt;"&amp;$CW$4,$AD37:$BA37)),
IF(BW$3&lt;$CW$4,Q37,0))))))))))))))),0)</f>
        <v>16</v>
      </c>
      <c r="BX37" s="47">
        <f>ROUND(IF(OR(BX$3&lt;$DF37,BX$3&gt;$CW$4),0,
IF(BX$3=$DF37+'Model Setup'!$B$7,SUMIF($BH$3:$CE$3,"="&amp;$DF37+'Model Setup'!$B$7,$AD37:$BA37)+'Model Setup'!$B$8*(SUMIF($BH$3:$CE$3,"&lt;"&amp;$DF37,$AD37:$BA37)+SUMIF($BH$3:$CE$3,"&gt;"&amp;$CW$4,$AD37:$BA37)),
IF(BX$3=$DF37+'Model Setup'!$C$7,SUMIF($BH$3:$CE$3,"="&amp;$DF37+'Model Setup'!$C$7,$AD37:$BA37)+'Model Setup'!$C$8*(SUMIF($BH$3:$CE$3,"&lt;"&amp;$DF37,$AD37:$BA37)+SUMIF($BH$3:$CE$3,"&gt;"&amp;$CW$4,$AD37:$BA37)),
IF(BX$3=$DF37+'Model Setup'!$D$7,SUMIF($BH$3:$CE$3,"="&amp;$DF37+'Model Setup'!$D$7,$AD37:$BA37)+'Model Setup'!$D$8*(SUMIF($BH$3:$CE$3,"&lt;"&amp;$DF37,$AD37:$BA37)+SUMIF($BH$3:$CE$3,"&gt;"&amp;$CW$4,$AD37:$BA37)),
IF(BX$3=$DF37+'Model Setup'!$E$7,SUMIF($BH$3:$CE$3,"="&amp;$DF37+'Model Setup'!$E$7,$AD37:$BA37)+'Model Setup'!$E$8*(SUMIF($BH$3:$CE$3,"&lt;"&amp;$DF37,$AD37:$BA37)+SUMIF($BH$3:$CE$3,"&gt;"&amp;$CW$4,$AD37:$BA37)),
IF(BX$3=$DF37+'Model Setup'!$F$7,SUMIF($BH$3:$CE$3,"="&amp;$DF37+'Model Setup'!$F$7,$AD37:$BA37)+'Model Setup'!$F$8*(SUMIF($BH$3:$CE$3,"&lt;"&amp;$DF37,$AD37:$BA37)+SUMIF($BH$3:$CE$3,"&gt;"&amp;$CW$4,$AD37:$BA37)),
IF(BX$3=$DF37+'Model Setup'!$G$7,SUMIF($BH$3:$CE$3,"="&amp;$DF37+'Model Setup'!$G$7,$AD37:$BA37)+'Model Setup'!$G$8*(SUMIF($BH$3:$CE$3,"&lt;"&amp;$DF37,$AD37:$BA37)+SUMIF($BH$3:$CE$3,"&gt;"&amp;$CW$4,$AD37:$BA37)),
IF(BX$3=$DF37+'Model Setup'!$H$7,SUMIF($BH$3:$CE$3,"="&amp;$DF37+'Model Setup'!$H$7,$AD37:$BA37)+'Model Setup'!$H$8*(SUMIF($BH$3:$CE$3,"&lt;"&amp;$DF37,$AD37:$BA37)+SUMIF($BH$3:$CE$3,"&gt;"&amp;$CW$4,$AD37:$BA37)),
IF(BX$3=$DF37+'Model Setup'!$I$7,SUMIF($BH$3:$CE$3,"="&amp;$DF37+'Model Setup'!$I$7,$AD37:$BA37)+'Model Setup'!$I$8*(SUMIF($BH$3:$CE$3,"&lt;"&amp;$DF37,$AD37:$BA37)+SUMIF($BH$3:$CE$3,"&gt;"&amp;$CW$4,$AD37:$BA37)),
IF(BX$3=$DF37+'Model Setup'!$J$7,SUMIF($BH$3:$CE$3,"="&amp;$DF37+'Model Setup'!$J$7,$AD37:$BA37)+'Model Setup'!$J$8*(SUMIF($BH$3:$CE$3,"&lt;"&amp;$DF37,$AD37:$BA37)+SUMIF($BH$3:$CE$3,"&gt;"&amp;$CW$4,$AD37:$BA37)),
IF(BX$3=$DF37+'Model Setup'!$K$7,SUMIF($BH$3:$CE$3,"="&amp;$DF37+'Model Setup'!$K$7,$AD37:$BA37)+'Model Setup'!$K$8*(SUMIF($BH$3:$CE$3,"&lt;"&amp;$DF37,$AD37:$BA37)+SUMIF($BH$3:$CE$3,"&gt;"&amp;$CW$4,$AD37:$BA37)),
IF(BX$3=$DF37+'Model Setup'!$L$7,SUMIF($BH$3:$CE$3,"="&amp;$DF37+'Model Setup'!$L$7,$AD37:$BA37)+'Model Setup'!$L$8*(SUMIF($BH$3:$CE$3,"&lt;"&amp;$DF37,$AD37:$BA37)+SUMIF($BH$3:$CE$3,"&gt;"&amp;$CW$4,$AD37:$BA37)),
IF(BX$3=$DF37+'Model Setup'!$M$7,SUMIF($BH$3:$CE$3,"="&amp;$DF37+'Model Setup'!$M$7,$AD37:$BA37)+'Model Setup'!$M$8*(SUMIF($BH$3:$CE$3,"&lt;"&amp;$DF37,$AD37:$BA37)+SUMIF($BH$3:$CE$3,"&gt;"&amp;$CW$4,$AD37:$BA37)),
IF(BX$3=$DF37+'Model Setup'!$N$7,SUMIF($BH$3:$CE$3,"="&amp;$DF37+'Model Setup'!$N$7,$AD37:$BA37)+'Model Setup'!$N$8*(SUMIF($BH$3:$CE$3,"&lt;"&amp;$DF37,$AD37:$BA37)+SUMIF($BH$3:$CE$3,"&gt;"&amp;$CW$4,$AD37:$BA37)),
IF(BX$3&lt;$CW$4,R37,0))))))))))))))),0)</f>
        <v>10</v>
      </c>
      <c r="BY37" s="47">
        <f>ROUND(IF(OR(BY$3&lt;$DF37,BY$3&gt;$CW$4),0,
IF(BY$3=$DF37+'Model Setup'!$B$7,SUMIF($BH$3:$CE$3,"="&amp;$DF37+'Model Setup'!$B$7,$AD37:$BA37)+'Model Setup'!$B$8*(SUMIF($BH$3:$CE$3,"&lt;"&amp;$DF37,$AD37:$BA37)+SUMIF($BH$3:$CE$3,"&gt;"&amp;$CW$4,$AD37:$BA37)),
IF(BY$3=$DF37+'Model Setup'!$C$7,SUMIF($BH$3:$CE$3,"="&amp;$DF37+'Model Setup'!$C$7,$AD37:$BA37)+'Model Setup'!$C$8*(SUMIF($BH$3:$CE$3,"&lt;"&amp;$DF37,$AD37:$BA37)+SUMIF($BH$3:$CE$3,"&gt;"&amp;$CW$4,$AD37:$BA37)),
IF(BY$3=$DF37+'Model Setup'!$D$7,SUMIF($BH$3:$CE$3,"="&amp;$DF37+'Model Setup'!$D$7,$AD37:$BA37)+'Model Setup'!$D$8*(SUMIF($BH$3:$CE$3,"&lt;"&amp;$DF37,$AD37:$BA37)+SUMIF($BH$3:$CE$3,"&gt;"&amp;$CW$4,$AD37:$BA37)),
IF(BY$3=$DF37+'Model Setup'!$E$7,SUMIF($BH$3:$CE$3,"="&amp;$DF37+'Model Setup'!$E$7,$AD37:$BA37)+'Model Setup'!$E$8*(SUMIF($BH$3:$CE$3,"&lt;"&amp;$DF37,$AD37:$BA37)+SUMIF($BH$3:$CE$3,"&gt;"&amp;$CW$4,$AD37:$BA37)),
IF(BY$3=$DF37+'Model Setup'!$F$7,SUMIF($BH$3:$CE$3,"="&amp;$DF37+'Model Setup'!$F$7,$AD37:$BA37)+'Model Setup'!$F$8*(SUMIF($BH$3:$CE$3,"&lt;"&amp;$DF37,$AD37:$BA37)+SUMIF($BH$3:$CE$3,"&gt;"&amp;$CW$4,$AD37:$BA37)),
IF(BY$3=$DF37+'Model Setup'!$G$7,SUMIF($BH$3:$CE$3,"="&amp;$DF37+'Model Setup'!$G$7,$AD37:$BA37)+'Model Setup'!$G$8*(SUMIF($BH$3:$CE$3,"&lt;"&amp;$DF37,$AD37:$BA37)+SUMIF($BH$3:$CE$3,"&gt;"&amp;$CW$4,$AD37:$BA37)),
IF(BY$3=$DF37+'Model Setup'!$H$7,SUMIF($BH$3:$CE$3,"="&amp;$DF37+'Model Setup'!$H$7,$AD37:$BA37)+'Model Setup'!$H$8*(SUMIF($BH$3:$CE$3,"&lt;"&amp;$DF37,$AD37:$BA37)+SUMIF($BH$3:$CE$3,"&gt;"&amp;$CW$4,$AD37:$BA37)),
IF(BY$3=$DF37+'Model Setup'!$I$7,SUMIF($BH$3:$CE$3,"="&amp;$DF37+'Model Setup'!$I$7,$AD37:$BA37)+'Model Setup'!$I$8*(SUMIF($BH$3:$CE$3,"&lt;"&amp;$DF37,$AD37:$BA37)+SUMIF($BH$3:$CE$3,"&gt;"&amp;$CW$4,$AD37:$BA37)),
IF(BY$3=$DF37+'Model Setup'!$J$7,SUMIF($BH$3:$CE$3,"="&amp;$DF37+'Model Setup'!$J$7,$AD37:$BA37)+'Model Setup'!$J$8*(SUMIF($BH$3:$CE$3,"&lt;"&amp;$DF37,$AD37:$BA37)+SUMIF($BH$3:$CE$3,"&gt;"&amp;$CW$4,$AD37:$BA37)),
IF(BY$3=$DF37+'Model Setup'!$K$7,SUMIF($BH$3:$CE$3,"="&amp;$DF37+'Model Setup'!$K$7,$AD37:$BA37)+'Model Setup'!$K$8*(SUMIF($BH$3:$CE$3,"&lt;"&amp;$DF37,$AD37:$BA37)+SUMIF($BH$3:$CE$3,"&gt;"&amp;$CW$4,$AD37:$BA37)),
IF(BY$3=$DF37+'Model Setup'!$L$7,SUMIF($BH$3:$CE$3,"="&amp;$DF37+'Model Setup'!$L$7,$AD37:$BA37)+'Model Setup'!$L$8*(SUMIF($BH$3:$CE$3,"&lt;"&amp;$DF37,$AD37:$BA37)+SUMIF($BH$3:$CE$3,"&gt;"&amp;$CW$4,$AD37:$BA37)),
IF(BY$3=$DF37+'Model Setup'!$M$7,SUMIF($BH$3:$CE$3,"="&amp;$DF37+'Model Setup'!$M$7,$AD37:$BA37)+'Model Setup'!$M$8*(SUMIF($BH$3:$CE$3,"&lt;"&amp;$DF37,$AD37:$BA37)+SUMIF($BH$3:$CE$3,"&gt;"&amp;$CW$4,$AD37:$BA37)),
IF(BY$3=$DF37+'Model Setup'!$N$7,SUMIF($BH$3:$CE$3,"="&amp;$DF37+'Model Setup'!$N$7,$AD37:$BA37)+'Model Setup'!$N$8*(SUMIF($BH$3:$CE$3,"&lt;"&amp;$DF37,$AD37:$BA37)+SUMIF($BH$3:$CE$3,"&gt;"&amp;$CW$4,$AD37:$BA37)),
IF(BY$3&lt;$CW$4,S37,0))))))))))))))),0)</f>
        <v>5</v>
      </c>
      <c r="BZ37" s="47">
        <f>ROUND(IF(OR(BZ$3&lt;$DF37,BZ$3&gt;$CW$4),0,
IF(BZ$3=$DF37+'Model Setup'!$B$7,SUMIF($BH$3:$CE$3,"="&amp;$DF37+'Model Setup'!$B$7,$AD37:$BA37)+'Model Setup'!$B$8*(SUMIF($BH$3:$CE$3,"&lt;"&amp;$DF37,$AD37:$BA37)+SUMIF($BH$3:$CE$3,"&gt;"&amp;$CW$4,$AD37:$BA37)),
IF(BZ$3=$DF37+'Model Setup'!$C$7,SUMIF($BH$3:$CE$3,"="&amp;$DF37+'Model Setup'!$C$7,$AD37:$BA37)+'Model Setup'!$C$8*(SUMIF($BH$3:$CE$3,"&lt;"&amp;$DF37,$AD37:$BA37)+SUMIF($BH$3:$CE$3,"&gt;"&amp;$CW$4,$AD37:$BA37)),
IF(BZ$3=$DF37+'Model Setup'!$D$7,SUMIF($BH$3:$CE$3,"="&amp;$DF37+'Model Setup'!$D$7,$AD37:$BA37)+'Model Setup'!$D$8*(SUMIF($BH$3:$CE$3,"&lt;"&amp;$DF37,$AD37:$BA37)+SUMIF($BH$3:$CE$3,"&gt;"&amp;$CW$4,$AD37:$BA37)),
IF(BZ$3=$DF37+'Model Setup'!$E$7,SUMIF($BH$3:$CE$3,"="&amp;$DF37+'Model Setup'!$E$7,$AD37:$BA37)+'Model Setup'!$E$8*(SUMIF($BH$3:$CE$3,"&lt;"&amp;$DF37,$AD37:$BA37)+SUMIF($BH$3:$CE$3,"&gt;"&amp;$CW$4,$AD37:$BA37)),
IF(BZ$3=$DF37+'Model Setup'!$F$7,SUMIF($BH$3:$CE$3,"="&amp;$DF37+'Model Setup'!$F$7,$AD37:$BA37)+'Model Setup'!$F$8*(SUMIF($BH$3:$CE$3,"&lt;"&amp;$DF37,$AD37:$BA37)+SUMIF($BH$3:$CE$3,"&gt;"&amp;$CW$4,$AD37:$BA37)),
IF(BZ$3=$DF37+'Model Setup'!$G$7,SUMIF($BH$3:$CE$3,"="&amp;$DF37+'Model Setup'!$G$7,$AD37:$BA37)+'Model Setup'!$G$8*(SUMIF($BH$3:$CE$3,"&lt;"&amp;$DF37,$AD37:$BA37)+SUMIF($BH$3:$CE$3,"&gt;"&amp;$CW$4,$AD37:$BA37)),
IF(BZ$3=$DF37+'Model Setup'!$H$7,SUMIF($BH$3:$CE$3,"="&amp;$DF37+'Model Setup'!$H$7,$AD37:$BA37)+'Model Setup'!$H$8*(SUMIF($BH$3:$CE$3,"&lt;"&amp;$DF37,$AD37:$BA37)+SUMIF($BH$3:$CE$3,"&gt;"&amp;$CW$4,$AD37:$BA37)),
IF(BZ$3=$DF37+'Model Setup'!$I$7,SUMIF($BH$3:$CE$3,"="&amp;$DF37+'Model Setup'!$I$7,$AD37:$BA37)+'Model Setup'!$I$8*(SUMIF($BH$3:$CE$3,"&lt;"&amp;$DF37,$AD37:$BA37)+SUMIF($BH$3:$CE$3,"&gt;"&amp;$CW$4,$AD37:$BA37)),
IF(BZ$3=$DF37+'Model Setup'!$J$7,SUMIF($BH$3:$CE$3,"="&amp;$DF37+'Model Setup'!$J$7,$AD37:$BA37)+'Model Setup'!$J$8*(SUMIF($BH$3:$CE$3,"&lt;"&amp;$DF37,$AD37:$BA37)+SUMIF($BH$3:$CE$3,"&gt;"&amp;$CW$4,$AD37:$BA37)),
IF(BZ$3=$DF37+'Model Setup'!$K$7,SUMIF($BH$3:$CE$3,"="&amp;$DF37+'Model Setup'!$K$7,$AD37:$BA37)+'Model Setup'!$K$8*(SUMIF($BH$3:$CE$3,"&lt;"&amp;$DF37,$AD37:$BA37)+SUMIF($BH$3:$CE$3,"&gt;"&amp;$CW$4,$AD37:$BA37)),
IF(BZ$3=$DF37+'Model Setup'!$L$7,SUMIF($BH$3:$CE$3,"="&amp;$DF37+'Model Setup'!$L$7,$AD37:$BA37)+'Model Setup'!$L$8*(SUMIF($BH$3:$CE$3,"&lt;"&amp;$DF37,$AD37:$BA37)+SUMIF($BH$3:$CE$3,"&gt;"&amp;$CW$4,$AD37:$BA37)),
IF(BZ$3=$DF37+'Model Setup'!$M$7,SUMIF($BH$3:$CE$3,"="&amp;$DF37+'Model Setup'!$M$7,$AD37:$BA37)+'Model Setup'!$M$8*(SUMIF($BH$3:$CE$3,"&lt;"&amp;$DF37,$AD37:$BA37)+SUMIF($BH$3:$CE$3,"&gt;"&amp;$CW$4,$AD37:$BA37)),
IF(BZ$3=$DF37+'Model Setup'!$N$7,SUMIF($BH$3:$CE$3,"="&amp;$DF37+'Model Setup'!$N$7,$AD37:$BA37)+'Model Setup'!$N$8*(SUMIF($BH$3:$CE$3,"&lt;"&amp;$DF37,$AD37:$BA37)+SUMIF($BH$3:$CE$3,"&gt;"&amp;$CW$4,$AD37:$BA37)),
IF(BZ$3&lt;$CW$4,T37,0))))))))))))))),0)</f>
        <v>55</v>
      </c>
      <c r="CA37" s="47">
        <f>ROUND(IF(OR(CA$3&lt;$DF37,CA$3&gt;$CW$4),0,
IF(CA$3=$DF37+'Model Setup'!$B$7,SUMIF($BH$3:$CE$3,"="&amp;$DF37+'Model Setup'!$B$7,$AD37:$BA37)+'Model Setup'!$B$8*(SUMIF($BH$3:$CE$3,"&lt;"&amp;$DF37,$AD37:$BA37)+SUMIF($BH$3:$CE$3,"&gt;"&amp;$CW$4,$AD37:$BA37)),
IF(CA$3=$DF37+'Model Setup'!$C$7,SUMIF($BH$3:$CE$3,"="&amp;$DF37+'Model Setup'!$C$7,$AD37:$BA37)+'Model Setup'!$C$8*(SUMIF($BH$3:$CE$3,"&lt;"&amp;$DF37,$AD37:$BA37)+SUMIF($BH$3:$CE$3,"&gt;"&amp;$CW$4,$AD37:$BA37)),
IF(CA$3=$DF37+'Model Setup'!$D$7,SUMIF($BH$3:$CE$3,"="&amp;$DF37+'Model Setup'!$D$7,$AD37:$BA37)+'Model Setup'!$D$8*(SUMIF($BH$3:$CE$3,"&lt;"&amp;$DF37,$AD37:$BA37)+SUMIF($BH$3:$CE$3,"&gt;"&amp;$CW$4,$AD37:$BA37)),
IF(CA$3=$DF37+'Model Setup'!$E$7,SUMIF($BH$3:$CE$3,"="&amp;$DF37+'Model Setup'!$E$7,$AD37:$BA37)+'Model Setup'!$E$8*(SUMIF($BH$3:$CE$3,"&lt;"&amp;$DF37,$AD37:$BA37)+SUMIF($BH$3:$CE$3,"&gt;"&amp;$CW$4,$AD37:$BA37)),
IF(CA$3=$DF37+'Model Setup'!$F$7,SUMIF($BH$3:$CE$3,"="&amp;$DF37+'Model Setup'!$F$7,$AD37:$BA37)+'Model Setup'!$F$8*(SUMIF($BH$3:$CE$3,"&lt;"&amp;$DF37,$AD37:$BA37)+SUMIF($BH$3:$CE$3,"&gt;"&amp;$CW$4,$AD37:$BA37)),
IF(CA$3=$DF37+'Model Setup'!$G$7,SUMIF($BH$3:$CE$3,"="&amp;$DF37+'Model Setup'!$G$7,$AD37:$BA37)+'Model Setup'!$G$8*(SUMIF($BH$3:$CE$3,"&lt;"&amp;$DF37,$AD37:$BA37)+SUMIF($BH$3:$CE$3,"&gt;"&amp;$CW$4,$AD37:$BA37)),
IF(CA$3=$DF37+'Model Setup'!$H$7,SUMIF($BH$3:$CE$3,"="&amp;$DF37+'Model Setup'!$H$7,$AD37:$BA37)+'Model Setup'!$H$8*(SUMIF($BH$3:$CE$3,"&lt;"&amp;$DF37,$AD37:$BA37)+SUMIF($BH$3:$CE$3,"&gt;"&amp;$CW$4,$AD37:$BA37)),
IF(CA$3=$DF37+'Model Setup'!$I$7,SUMIF($BH$3:$CE$3,"="&amp;$DF37+'Model Setup'!$I$7,$AD37:$BA37)+'Model Setup'!$I$8*(SUMIF($BH$3:$CE$3,"&lt;"&amp;$DF37,$AD37:$BA37)+SUMIF($BH$3:$CE$3,"&gt;"&amp;$CW$4,$AD37:$BA37)),
IF(CA$3=$DF37+'Model Setup'!$J$7,SUMIF($BH$3:$CE$3,"="&amp;$DF37+'Model Setup'!$J$7,$AD37:$BA37)+'Model Setup'!$J$8*(SUMIF($BH$3:$CE$3,"&lt;"&amp;$DF37,$AD37:$BA37)+SUMIF($BH$3:$CE$3,"&gt;"&amp;$CW$4,$AD37:$BA37)),
IF(CA$3=$DF37+'Model Setup'!$K$7,SUMIF($BH$3:$CE$3,"="&amp;$DF37+'Model Setup'!$K$7,$AD37:$BA37)+'Model Setup'!$K$8*(SUMIF($BH$3:$CE$3,"&lt;"&amp;$DF37,$AD37:$BA37)+SUMIF($BH$3:$CE$3,"&gt;"&amp;$CW$4,$AD37:$BA37)),
IF(CA$3=$DF37+'Model Setup'!$L$7,SUMIF($BH$3:$CE$3,"="&amp;$DF37+'Model Setup'!$L$7,$AD37:$BA37)+'Model Setup'!$L$8*(SUMIF($BH$3:$CE$3,"&lt;"&amp;$DF37,$AD37:$BA37)+SUMIF($BH$3:$CE$3,"&gt;"&amp;$CW$4,$AD37:$BA37)),
IF(CA$3=$DF37+'Model Setup'!$M$7,SUMIF($BH$3:$CE$3,"="&amp;$DF37+'Model Setup'!$M$7,$AD37:$BA37)+'Model Setup'!$M$8*(SUMIF($BH$3:$CE$3,"&lt;"&amp;$DF37,$AD37:$BA37)+SUMIF($BH$3:$CE$3,"&gt;"&amp;$CW$4,$AD37:$BA37)),
IF(CA$3=$DF37+'Model Setup'!$N$7,SUMIF($BH$3:$CE$3,"="&amp;$DF37+'Model Setup'!$N$7,$AD37:$BA37)+'Model Setup'!$N$8*(SUMIF($BH$3:$CE$3,"&lt;"&amp;$DF37,$AD37:$BA37)+SUMIF($BH$3:$CE$3,"&gt;"&amp;$CW$4,$AD37:$BA37)),
IF(CA$3&lt;$CW$4,U37,0))))))))))))))),0)</f>
        <v>0</v>
      </c>
      <c r="CB37" s="47">
        <f>ROUND(IF(OR(CB$3&lt;$DF37,CB$3&gt;$CW$4),0,
IF(CB$3=$DF37+'Model Setup'!$B$7,SUMIF($BH$3:$CE$3,"="&amp;$DF37+'Model Setup'!$B$7,$AD37:$BA37)+'Model Setup'!$B$8*(SUMIF($BH$3:$CE$3,"&lt;"&amp;$DF37,$AD37:$BA37)+SUMIF($BH$3:$CE$3,"&gt;"&amp;$CW$4,$AD37:$BA37)),
IF(CB$3=$DF37+'Model Setup'!$C$7,SUMIF($BH$3:$CE$3,"="&amp;$DF37+'Model Setup'!$C$7,$AD37:$BA37)+'Model Setup'!$C$8*(SUMIF($BH$3:$CE$3,"&lt;"&amp;$DF37,$AD37:$BA37)+SUMIF($BH$3:$CE$3,"&gt;"&amp;$CW$4,$AD37:$BA37)),
IF(CB$3=$DF37+'Model Setup'!$D$7,SUMIF($BH$3:$CE$3,"="&amp;$DF37+'Model Setup'!$D$7,$AD37:$BA37)+'Model Setup'!$D$8*(SUMIF($BH$3:$CE$3,"&lt;"&amp;$DF37,$AD37:$BA37)+SUMIF($BH$3:$CE$3,"&gt;"&amp;$CW$4,$AD37:$BA37)),
IF(CB$3=$DF37+'Model Setup'!$E$7,SUMIF($BH$3:$CE$3,"="&amp;$DF37+'Model Setup'!$E$7,$AD37:$BA37)+'Model Setup'!$E$8*(SUMIF($BH$3:$CE$3,"&lt;"&amp;$DF37,$AD37:$BA37)+SUMIF($BH$3:$CE$3,"&gt;"&amp;$CW$4,$AD37:$BA37)),
IF(CB$3=$DF37+'Model Setup'!$F$7,SUMIF($BH$3:$CE$3,"="&amp;$DF37+'Model Setup'!$F$7,$AD37:$BA37)+'Model Setup'!$F$8*(SUMIF($BH$3:$CE$3,"&lt;"&amp;$DF37,$AD37:$BA37)+SUMIF($BH$3:$CE$3,"&gt;"&amp;$CW$4,$AD37:$BA37)),
IF(CB$3=$DF37+'Model Setup'!$G$7,SUMIF($BH$3:$CE$3,"="&amp;$DF37+'Model Setup'!$G$7,$AD37:$BA37)+'Model Setup'!$G$8*(SUMIF($BH$3:$CE$3,"&lt;"&amp;$DF37,$AD37:$BA37)+SUMIF($BH$3:$CE$3,"&gt;"&amp;$CW$4,$AD37:$BA37)),
IF(CB$3=$DF37+'Model Setup'!$H$7,SUMIF($BH$3:$CE$3,"="&amp;$DF37+'Model Setup'!$H$7,$AD37:$BA37)+'Model Setup'!$H$8*(SUMIF($BH$3:$CE$3,"&lt;"&amp;$DF37,$AD37:$BA37)+SUMIF($BH$3:$CE$3,"&gt;"&amp;$CW$4,$AD37:$BA37)),
IF(CB$3=$DF37+'Model Setup'!$I$7,SUMIF($BH$3:$CE$3,"="&amp;$DF37+'Model Setup'!$I$7,$AD37:$BA37)+'Model Setup'!$I$8*(SUMIF($BH$3:$CE$3,"&lt;"&amp;$DF37,$AD37:$BA37)+SUMIF($BH$3:$CE$3,"&gt;"&amp;$CW$4,$AD37:$BA37)),
IF(CB$3=$DF37+'Model Setup'!$J$7,SUMIF($BH$3:$CE$3,"="&amp;$DF37+'Model Setup'!$J$7,$AD37:$BA37)+'Model Setup'!$J$8*(SUMIF($BH$3:$CE$3,"&lt;"&amp;$DF37,$AD37:$BA37)+SUMIF($BH$3:$CE$3,"&gt;"&amp;$CW$4,$AD37:$BA37)),
IF(CB$3=$DF37+'Model Setup'!$K$7,SUMIF($BH$3:$CE$3,"="&amp;$DF37+'Model Setup'!$K$7,$AD37:$BA37)+'Model Setup'!$K$8*(SUMIF($BH$3:$CE$3,"&lt;"&amp;$DF37,$AD37:$BA37)+SUMIF($BH$3:$CE$3,"&gt;"&amp;$CW$4,$AD37:$BA37)),
IF(CB$3=$DF37+'Model Setup'!$L$7,SUMIF($BH$3:$CE$3,"="&amp;$DF37+'Model Setup'!$L$7,$AD37:$BA37)+'Model Setup'!$L$8*(SUMIF($BH$3:$CE$3,"&lt;"&amp;$DF37,$AD37:$BA37)+SUMIF($BH$3:$CE$3,"&gt;"&amp;$CW$4,$AD37:$BA37)),
IF(CB$3=$DF37+'Model Setup'!$M$7,SUMIF($BH$3:$CE$3,"="&amp;$DF37+'Model Setup'!$M$7,$AD37:$BA37)+'Model Setup'!$M$8*(SUMIF($BH$3:$CE$3,"&lt;"&amp;$DF37,$AD37:$BA37)+SUMIF($BH$3:$CE$3,"&gt;"&amp;$CW$4,$AD37:$BA37)),
IF(CB$3=$DF37+'Model Setup'!$N$7,SUMIF($BH$3:$CE$3,"="&amp;$DF37+'Model Setup'!$N$7,$AD37:$BA37)+'Model Setup'!$N$8*(SUMIF($BH$3:$CE$3,"&lt;"&amp;$DF37,$AD37:$BA37)+SUMIF($BH$3:$CE$3,"&gt;"&amp;$CW$4,$AD37:$BA37)),
IF(CB$3&lt;$CW$4,V37,0))))))))))))))),0)</f>
        <v>0</v>
      </c>
      <c r="CC37" s="47">
        <f>ROUND(IF(OR(CC$3&lt;$DF37,CC$3&gt;$CW$4),0,
IF(CC$3=$DF37+'Model Setup'!$B$7,SUMIF($BH$3:$CE$3,"="&amp;$DF37+'Model Setup'!$B$7,$AD37:$BA37)+'Model Setup'!$B$8*(SUMIF($BH$3:$CE$3,"&lt;"&amp;$DF37,$AD37:$BA37)+SUMIF($BH$3:$CE$3,"&gt;"&amp;$CW$4,$AD37:$BA37)),
IF(CC$3=$DF37+'Model Setup'!$C$7,SUMIF($BH$3:$CE$3,"="&amp;$DF37+'Model Setup'!$C$7,$AD37:$BA37)+'Model Setup'!$C$8*(SUMIF($BH$3:$CE$3,"&lt;"&amp;$DF37,$AD37:$BA37)+SUMIF($BH$3:$CE$3,"&gt;"&amp;$CW$4,$AD37:$BA37)),
IF(CC$3=$DF37+'Model Setup'!$D$7,SUMIF($BH$3:$CE$3,"="&amp;$DF37+'Model Setup'!$D$7,$AD37:$BA37)+'Model Setup'!$D$8*(SUMIF($BH$3:$CE$3,"&lt;"&amp;$DF37,$AD37:$BA37)+SUMIF($BH$3:$CE$3,"&gt;"&amp;$CW$4,$AD37:$BA37)),
IF(CC$3=$DF37+'Model Setup'!$E$7,SUMIF($BH$3:$CE$3,"="&amp;$DF37+'Model Setup'!$E$7,$AD37:$BA37)+'Model Setup'!$E$8*(SUMIF($BH$3:$CE$3,"&lt;"&amp;$DF37,$AD37:$BA37)+SUMIF($BH$3:$CE$3,"&gt;"&amp;$CW$4,$AD37:$BA37)),
IF(CC$3=$DF37+'Model Setup'!$F$7,SUMIF($BH$3:$CE$3,"="&amp;$DF37+'Model Setup'!$F$7,$AD37:$BA37)+'Model Setup'!$F$8*(SUMIF($BH$3:$CE$3,"&lt;"&amp;$DF37,$AD37:$BA37)+SUMIF($BH$3:$CE$3,"&gt;"&amp;$CW$4,$AD37:$BA37)),
IF(CC$3=$DF37+'Model Setup'!$G$7,SUMIF($BH$3:$CE$3,"="&amp;$DF37+'Model Setup'!$G$7,$AD37:$BA37)+'Model Setup'!$G$8*(SUMIF($BH$3:$CE$3,"&lt;"&amp;$DF37,$AD37:$BA37)+SUMIF($BH$3:$CE$3,"&gt;"&amp;$CW$4,$AD37:$BA37)),
IF(CC$3=$DF37+'Model Setup'!$H$7,SUMIF($BH$3:$CE$3,"="&amp;$DF37+'Model Setup'!$H$7,$AD37:$BA37)+'Model Setup'!$H$8*(SUMIF($BH$3:$CE$3,"&lt;"&amp;$DF37,$AD37:$BA37)+SUMIF($BH$3:$CE$3,"&gt;"&amp;$CW$4,$AD37:$BA37)),
IF(CC$3=$DF37+'Model Setup'!$I$7,SUMIF($BH$3:$CE$3,"="&amp;$DF37+'Model Setup'!$I$7,$AD37:$BA37)+'Model Setup'!$I$8*(SUMIF($BH$3:$CE$3,"&lt;"&amp;$DF37,$AD37:$BA37)+SUMIF($BH$3:$CE$3,"&gt;"&amp;$CW$4,$AD37:$BA37)),
IF(CC$3=$DF37+'Model Setup'!$J$7,SUMIF($BH$3:$CE$3,"="&amp;$DF37+'Model Setup'!$J$7,$AD37:$BA37)+'Model Setup'!$J$8*(SUMIF($BH$3:$CE$3,"&lt;"&amp;$DF37,$AD37:$BA37)+SUMIF($BH$3:$CE$3,"&gt;"&amp;$CW$4,$AD37:$BA37)),
IF(CC$3=$DF37+'Model Setup'!$K$7,SUMIF($BH$3:$CE$3,"="&amp;$DF37+'Model Setup'!$K$7,$AD37:$BA37)+'Model Setup'!$K$8*(SUMIF($BH$3:$CE$3,"&lt;"&amp;$DF37,$AD37:$BA37)+SUMIF($BH$3:$CE$3,"&gt;"&amp;$CW$4,$AD37:$BA37)),
IF(CC$3=$DF37+'Model Setup'!$L$7,SUMIF($BH$3:$CE$3,"="&amp;$DF37+'Model Setup'!$L$7,$AD37:$BA37)+'Model Setup'!$L$8*(SUMIF($BH$3:$CE$3,"&lt;"&amp;$DF37,$AD37:$BA37)+SUMIF($BH$3:$CE$3,"&gt;"&amp;$CW$4,$AD37:$BA37)),
IF(CC$3=$DF37+'Model Setup'!$M$7,SUMIF($BH$3:$CE$3,"="&amp;$DF37+'Model Setup'!$M$7,$AD37:$BA37)+'Model Setup'!$M$8*(SUMIF($BH$3:$CE$3,"&lt;"&amp;$DF37,$AD37:$BA37)+SUMIF($BH$3:$CE$3,"&gt;"&amp;$CW$4,$AD37:$BA37)),
IF(CC$3=$DF37+'Model Setup'!$N$7,SUMIF($BH$3:$CE$3,"="&amp;$DF37+'Model Setup'!$N$7,$AD37:$BA37)+'Model Setup'!$N$8*(SUMIF($BH$3:$CE$3,"&lt;"&amp;$DF37,$AD37:$BA37)+SUMIF($BH$3:$CE$3,"&gt;"&amp;$CW$4,$AD37:$BA37)),
IF(CC$3&lt;$CW$4,W37,0))))))))))))))),0)</f>
        <v>0</v>
      </c>
      <c r="CD37" s="47">
        <f>ROUND(IF(OR(CD$3&lt;$DF37,CD$3&gt;$CW$4),0,
IF(CD$3=$DF37+'Model Setup'!$B$7,SUMIF($BH$3:$CE$3,"="&amp;$DF37+'Model Setup'!$B$7,$AD37:$BA37)+'Model Setup'!$B$8*(SUMIF($BH$3:$CE$3,"&lt;"&amp;$DF37,$AD37:$BA37)+SUMIF($BH$3:$CE$3,"&gt;"&amp;$CW$4,$AD37:$BA37)),
IF(CD$3=$DF37+'Model Setup'!$C$7,SUMIF($BH$3:$CE$3,"="&amp;$DF37+'Model Setup'!$C$7,$AD37:$BA37)+'Model Setup'!$C$8*(SUMIF($BH$3:$CE$3,"&lt;"&amp;$DF37,$AD37:$BA37)+SUMIF($BH$3:$CE$3,"&gt;"&amp;$CW$4,$AD37:$BA37)),
IF(CD$3=$DF37+'Model Setup'!$D$7,SUMIF($BH$3:$CE$3,"="&amp;$DF37+'Model Setup'!$D$7,$AD37:$BA37)+'Model Setup'!$D$8*(SUMIF($BH$3:$CE$3,"&lt;"&amp;$DF37,$AD37:$BA37)+SUMIF($BH$3:$CE$3,"&gt;"&amp;$CW$4,$AD37:$BA37)),
IF(CD$3=$DF37+'Model Setup'!$E$7,SUMIF($BH$3:$CE$3,"="&amp;$DF37+'Model Setup'!$E$7,$AD37:$BA37)+'Model Setup'!$E$8*(SUMIF($BH$3:$CE$3,"&lt;"&amp;$DF37,$AD37:$BA37)+SUMIF($BH$3:$CE$3,"&gt;"&amp;$CW$4,$AD37:$BA37)),
IF(CD$3=$DF37+'Model Setup'!$F$7,SUMIF($BH$3:$CE$3,"="&amp;$DF37+'Model Setup'!$F$7,$AD37:$BA37)+'Model Setup'!$F$8*(SUMIF($BH$3:$CE$3,"&lt;"&amp;$DF37,$AD37:$BA37)+SUMIF($BH$3:$CE$3,"&gt;"&amp;$CW$4,$AD37:$BA37)),
IF(CD$3=$DF37+'Model Setup'!$G$7,SUMIF($BH$3:$CE$3,"="&amp;$DF37+'Model Setup'!$G$7,$AD37:$BA37)+'Model Setup'!$G$8*(SUMIF($BH$3:$CE$3,"&lt;"&amp;$DF37,$AD37:$BA37)+SUMIF($BH$3:$CE$3,"&gt;"&amp;$CW$4,$AD37:$BA37)),
IF(CD$3=$DF37+'Model Setup'!$H$7,SUMIF($BH$3:$CE$3,"="&amp;$DF37+'Model Setup'!$H$7,$AD37:$BA37)+'Model Setup'!$H$8*(SUMIF($BH$3:$CE$3,"&lt;"&amp;$DF37,$AD37:$BA37)+SUMIF($BH$3:$CE$3,"&gt;"&amp;$CW$4,$AD37:$BA37)),
IF(CD$3=$DF37+'Model Setup'!$I$7,SUMIF($BH$3:$CE$3,"="&amp;$DF37+'Model Setup'!$I$7,$AD37:$BA37)+'Model Setup'!$I$8*(SUMIF($BH$3:$CE$3,"&lt;"&amp;$DF37,$AD37:$BA37)+SUMIF($BH$3:$CE$3,"&gt;"&amp;$CW$4,$AD37:$BA37)),
IF(CD$3=$DF37+'Model Setup'!$J$7,SUMIF($BH$3:$CE$3,"="&amp;$DF37+'Model Setup'!$J$7,$AD37:$BA37)+'Model Setup'!$J$8*(SUMIF($BH$3:$CE$3,"&lt;"&amp;$DF37,$AD37:$BA37)+SUMIF($BH$3:$CE$3,"&gt;"&amp;$CW$4,$AD37:$BA37)),
IF(CD$3=$DF37+'Model Setup'!$K$7,SUMIF($BH$3:$CE$3,"="&amp;$DF37+'Model Setup'!$K$7,$AD37:$BA37)+'Model Setup'!$K$8*(SUMIF($BH$3:$CE$3,"&lt;"&amp;$DF37,$AD37:$BA37)+SUMIF($BH$3:$CE$3,"&gt;"&amp;$CW$4,$AD37:$BA37)),
IF(CD$3=$DF37+'Model Setup'!$L$7,SUMIF($BH$3:$CE$3,"="&amp;$DF37+'Model Setup'!$L$7,$AD37:$BA37)+'Model Setup'!$L$8*(SUMIF($BH$3:$CE$3,"&lt;"&amp;$DF37,$AD37:$BA37)+SUMIF($BH$3:$CE$3,"&gt;"&amp;$CW$4,$AD37:$BA37)),
IF(CD$3=$DF37+'Model Setup'!$M$7,SUMIF($BH$3:$CE$3,"="&amp;$DF37+'Model Setup'!$M$7,$AD37:$BA37)+'Model Setup'!$M$8*(SUMIF($BH$3:$CE$3,"&lt;"&amp;$DF37,$AD37:$BA37)+SUMIF($BH$3:$CE$3,"&gt;"&amp;$CW$4,$AD37:$BA37)),
IF(CD$3=$DF37+'Model Setup'!$N$7,SUMIF($BH$3:$CE$3,"="&amp;$DF37+'Model Setup'!$N$7,$AD37:$BA37)+'Model Setup'!$N$8*(SUMIF($BH$3:$CE$3,"&lt;"&amp;$DF37,$AD37:$BA37)+SUMIF($BH$3:$CE$3,"&gt;"&amp;$CW$4,$AD37:$BA37)),
IF(CD$3&lt;$CW$4,X37,0))))))))))))))),0)</f>
        <v>0</v>
      </c>
      <c r="CE37" s="47">
        <f>ROUND(IF(OR(CE$3&lt;$DF37,CE$3&gt;$CW$4),0,
IF(CE$3=$DF37+'Model Setup'!$B$7,SUMIF($BH$3:$CE$3,"="&amp;$DF37+'Model Setup'!$B$7,$AD37:$BA37)+'Model Setup'!$B$8*(SUMIF($BH$3:$CE$3,"&lt;"&amp;$DF37,$AD37:$BA37)+SUMIF($BH$3:$CE$3,"&gt;"&amp;$CW$4,$AD37:$BA37)),
IF(CE$3=$DF37+'Model Setup'!$C$7,SUMIF($BH$3:$CE$3,"="&amp;$DF37+'Model Setup'!$C$7,$AD37:$BA37)+'Model Setup'!$C$8*(SUMIF($BH$3:$CE$3,"&lt;"&amp;$DF37,$AD37:$BA37)+SUMIF($BH$3:$CE$3,"&gt;"&amp;$CW$4,$AD37:$BA37)),
IF(CE$3=$DF37+'Model Setup'!$D$7,SUMIF($BH$3:$CE$3,"="&amp;$DF37+'Model Setup'!$D$7,$AD37:$BA37)+'Model Setup'!$D$8*(SUMIF($BH$3:$CE$3,"&lt;"&amp;$DF37,$AD37:$BA37)+SUMIF($BH$3:$CE$3,"&gt;"&amp;$CW$4,$AD37:$BA37)),
IF(CE$3=$DF37+'Model Setup'!$E$7,SUMIF($BH$3:$CE$3,"="&amp;$DF37+'Model Setup'!$E$7,$AD37:$BA37)+'Model Setup'!$E$8*(SUMIF($BH$3:$CE$3,"&lt;"&amp;$DF37,$AD37:$BA37)+SUMIF($BH$3:$CE$3,"&gt;"&amp;$CW$4,$AD37:$BA37)),
IF(CE$3=$DF37+'Model Setup'!$F$7,SUMIF($BH$3:$CE$3,"="&amp;$DF37+'Model Setup'!$F$7,$AD37:$BA37)+'Model Setup'!$F$8*(SUMIF($BH$3:$CE$3,"&lt;"&amp;$DF37,$AD37:$BA37)+SUMIF($BH$3:$CE$3,"&gt;"&amp;$CW$4,$AD37:$BA37)),
IF(CE$3=$DF37+'Model Setup'!$G$7,SUMIF($BH$3:$CE$3,"="&amp;$DF37+'Model Setup'!$G$7,$AD37:$BA37)+'Model Setup'!$G$8*(SUMIF($BH$3:$CE$3,"&lt;"&amp;$DF37,$AD37:$BA37)+SUMIF($BH$3:$CE$3,"&gt;"&amp;$CW$4,$AD37:$BA37)),
IF(CE$3=$DF37+'Model Setup'!$H$7,SUMIF($BH$3:$CE$3,"="&amp;$DF37+'Model Setup'!$H$7,$AD37:$BA37)+'Model Setup'!$H$8*(SUMIF($BH$3:$CE$3,"&lt;"&amp;$DF37,$AD37:$BA37)+SUMIF($BH$3:$CE$3,"&gt;"&amp;$CW$4,$AD37:$BA37)),
IF(CE$3=$DF37+'Model Setup'!$I$7,SUMIF($BH$3:$CE$3,"="&amp;$DF37+'Model Setup'!$I$7,$AD37:$BA37)+'Model Setup'!$I$8*(SUMIF($BH$3:$CE$3,"&lt;"&amp;$DF37,$AD37:$BA37)+SUMIF($BH$3:$CE$3,"&gt;"&amp;$CW$4,$AD37:$BA37)),
IF(CE$3=$DF37+'Model Setup'!$J$7,SUMIF($BH$3:$CE$3,"="&amp;$DF37+'Model Setup'!$J$7,$AD37:$BA37)+'Model Setup'!$J$8*(SUMIF($BH$3:$CE$3,"&lt;"&amp;$DF37,$AD37:$BA37)+SUMIF($BH$3:$CE$3,"&gt;"&amp;$CW$4,$AD37:$BA37)),
IF(CE$3=$DF37+'Model Setup'!$K$7,SUMIF($BH$3:$CE$3,"="&amp;$DF37+'Model Setup'!$K$7,$AD37:$BA37)+'Model Setup'!$K$8*(SUMIF($BH$3:$CE$3,"&lt;"&amp;$DF37,$AD37:$BA37)+SUMIF($BH$3:$CE$3,"&gt;"&amp;$CW$4,$AD37:$BA37)),
IF(CE$3=$DF37+'Model Setup'!$L$7,SUMIF($BH$3:$CE$3,"="&amp;$DF37+'Model Setup'!$L$7,$AD37:$BA37)+'Model Setup'!$L$8*(SUMIF($BH$3:$CE$3,"&lt;"&amp;$DF37,$AD37:$BA37)+SUMIF($BH$3:$CE$3,"&gt;"&amp;$CW$4,$AD37:$BA37)),
IF(CE$3=$DF37+'Model Setup'!$M$7,SUMIF($BH$3:$CE$3,"="&amp;$DF37+'Model Setup'!$M$7,$AD37:$BA37)+'Model Setup'!$M$8*(SUMIF($BH$3:$CE$3,"&lt;"&amp;$DF37,$AD37:$BA37)+SUMIF($BH$3:$CE$3,"&gt;"&amp;$CW$4,$AD37:$BA37)),
IF(CE$3=$DF37+'Model Setup'!$N$7,SUMIF($BH$3:$CE$3,"="&amp;$DF37+'Model Setup'!$N$7,$AD37:$BA37)+'Model Setup'!$N$8*(SUMIF($BH$3:$CE$3,"&lt;"&amp;$DF37,$AD37:$BA37)+SUMIF($BH$3:$CE$3,"&gt;"&amp;$CW$4,$AD37:$BA37)),
IF(CE$3&lt;$CW$4,Y37,0))))))))))))))),0)</f>
        <v>0</v>
      </c>
      <c r="CF37" s="47">
        <f t="shared" si="3"/>
        <v>306</v>
      </c>
      <c r="CG37" s="47">
        <f t="shared" si="4"/>
        <v>-50</v>
      </c>
      <c r="CI37" s="10" t="s">
        <v>52</v>
      </c>
      <c r="CJ37" s="126">
        <f t="shared" si="9"/>
        <v>0</v>
      </c>
      <c r="CK37" s="126">
        <f t="shared" si="10"/>
        <v>0</v>
      </c>
      <c r="CL37" s="126">
        <f t="shared" si="11"/>
        <v>0</v>
      </c>
      <c r="CM37" s="126">
        <f t="shared" si="12"/>
        <v>50</v>
      </c>
      <c r="CN37" s="126">
        <f t="shared" si="13"/>
        <v>42</v>
      </c>
      <c r="CO37" s="126">
        <f t="shared" si="14"/>
        <v>39</v>
      </c>
      <c r="CP37" s="126">
        <f t="shared" si="15"/>
        <v>32</v>
      </c>
      <c r="CQ37" s="126">
        <f t="shared" si="16"/>
        <v>19</v>
      </c>
      <c r="CR37" s="126">
        <f t="shared" si="17"/>
        <v>26</v>
      </c>
      <c r="CS37" s="126">
        <f t="shared" si="18"/>
        <v>12</v>
      </c>
      <c r="CT37" s="126">
        <f t="shared" si="19"/>
        <v>16</v>
      </c>
      <c r="CU37" s="126">
        <f t="shared" si="20"/>
        <v>10</v>
      </c>
      <c r="CV37" s="126">
        <f t="shared" si="21"/>
        <v>5</v>
      </c>
      <c r="CW37" s="126">
        <f t="shared" si="22"/>
        <v>33</v>
      </c>
      <c r="CX37" s="126">
        <f t="shared" si="23"/>
        <v>40</v>
      </c>
      <c r="CY37" s="126">
        <f t="shared" si="24"/>
        <v>32</v>
      </c>
      <c r="CZ37" s="47">
        <f t="shared" si="7"/>
        <v>284</v>
      </c>
      <c r="DC37" s="93" t="s">
        <v>52</v>
      </c>
      <c r="DD37" s="89">
        <f>FTC!E35</f>
        <v>0.33333333333333331</v>
      </c>
      <c r="DE37" s="89">
        <f>FTC!F35</f>
        <v>0.83333333333333337</v>
      </c>
      <c r="DF37" s="90">
        <f t="shared" si="25"/>
        <v>8</v>
      </c>
      <c r="DG37" s="91">
        <f t="shared" si="26"/>
        <v>20</v>
      </c>
      <c r="DH37" s="91">
        <f t="shared" si="27"/>
        <v>12</v>
      </c>
    </row>
    <row r="38" spans="1:112" x14ac:dyDescent="0.35">
      <c r="A38" s="43" t="s">
        <v>53</v>
      </c>
      <c r="B38" s="47">
        <v>1</v>
      </c>
      <c r="C38" s="47">
        <v>2</v>
      </c>
      <c r="D38" s="47">
        <v>1</v>
      </c>
      <c r="E38" s="6"/>
      <c r="F38" s="47">
        <v>1</v>
      </c>
      <c r="G38" s="47">
        <v>2</v>
      </c>
      <c r="H38" s="47">
        <v>12</v>
      </c>
      <c r="I38" s="47">
        <v>24</v>
      </c>
      <c r="J38" s="47">
        <v>30</v>
      </c>
      <c r="K38" s="47">
        <v>33</v>
      </c>
      <c r="L38" s="47">
        <v>37</v>
      </c>
      <c r="M38" s="47">
        <v>31</v>
      </c>
      <c r="N38" s="47">
        <v>30</v>
      </c>
      <c r="O38" s="47">
        <v>14</v>
      </c>
      <c r="P38" s="47">
        <v>23</v>
      </c>
      <c r="Q38" s="47">
        <v>17</v>
      </c>
      <c r="R38" s="47">
        <v>14</v>
      </c>
      <c r="S38" s="47">
        <v>10</v>
      </c>
      <c r="T38" s="47">
        <v>9</v>
      </c>
      <c r="U38" s="47">
        <v>10</v>
      </c>
      <c r="V38" s="47">
        <v>5</v>
      </c>
      <c r="W38" s="6"/>
      <c r="X38" s="47">
        <v>3</v>
      </c>
      <c r="Y38" s="47">
        <v>3</v>
      </c>
      <c r="Z38" s="47">
        <f t="shared" si="0"/>
        <v>312</v>
      </c>
      <c r="AC38" s="43" t="s">
        <v>53</v>
      </c>
      <c r="AD38" s="47">
        <f>ROUND(IF(AD$3&lt;$DF38,0,
IF(AD$3=$DF38+'Model Setup'!$B$7,SUMIF($AD$3:$BA$3,"="&amp;$DF38+'Model Setup'!$B$7,$B38:$Y38)+'Model Setup'!$B$8*(SUMIF($AD$3:$BA$3,"&lt;"&amp;$DF38,$B38:$Y38)+SUMIF($AD$3:$BA$3,"&gt;="&amp;$DG38,$B38:$Y38)),
IF(AD$3=$DF38+'Model Setup'!$C$7,SUMIF($AD$3:$BA$3,"="&amp;$DF38+'Model Setup'!$C$7,$B38:$Y38)+'Model Setup'!$C$8*(SUMIF($AD$3:$BA$3,"&lt;"&amp;$DF38,$B38:$Y38)+SUMIF($AD$3:$BA$3,"&gt;="&amp;$DG38,$B38:$Y38)),
IF(AD$3=$DF38+'Model Setup'!$D$7,SUMIF($AD$3:$BA$3,"="&amp;$DF38+'Model Setup'!$D$7,$B38:$Y38)+'Model Setup'!$D$8*(SUMIF($AD$3:$BA$3,"&lt;"&amp;$DF38,$B38:$Y38)+SUMIF($AD$3:$BA$3,"&gt;="&amp;$DG38,$B38:$Y38)),
IF(AD$3=$DF38+'Model Setup'!$E$7,SUMIF($AD$3:$BA$3,"="&amp;$DF38+'Model Setup'!$E$7,$B38:$Y38)+'Model Setup'!$E$8*(SUMIF($AD$3:$BA$3,"&lt;"&amp;$DF38,$B38:$Y38)+SUMIF($AD$3:$BA$3,"&gt;="&amp;$DG38,$B38:$Y38)),
IF(AD$3=$DF38+'Model Setup'!$F$7,SUMIF($AD$3:$BA$3,"="&amp;$DF38+'Model Setup'!$F$7,$B38:$Y38)+'Model Setup'!$F$8*(SUMIF($AD$3:$BA$3,"&lt;"&amp;$DF38,$B38:$Y38)+SUMIF($AD$3:$BA$3,"&gt;="&amp;$DG38,$B38:$Y38)),
IF(AD$3=$DF38+'Model Setup'!$G$7,SUMIF($AD$3:$BA$3,"="&amp;$DF38+'Model Setup'!$G$7,$B38:$Y38)+'Model Setup'!$G$8*(SUMIF($AD$3:$BA$3,"&lt;"&amp;$DF38,$B38:$Y38)+SUMIF($AD$3:$BA$3,"&gt;="&amp;$DG38,$B38:$Y38)),
IF(AD$3=$DF38+'Model Setup'!$H$7,SUMIF($AD$3:$BA$3,"="&amp;$DF38+'Model Setup'!$H$7,$B38:$Y38)+'Model Setup'!$H$8*(SUMIF($AD$3:$BA$3,"&lt;"&amp;$DF38,$B38:$Y38)+SUMIF($AD$3:$BA$3,"&gt;="&amp;$DG38,$B38:$Y38)),
IF(AD$3=$DF38+'Model Setup'!$I$7,SUMIF($AD$3:$BA$3,"="&amp;$DF38+'Model Setup'!$I$7,$B38:$Y38)+'Model Setup'!$I$8*(SUMIF($AD$3:$BA$3,"&lt;"&amp;$DF38,$B38:$Y38)+SUMIF($AD$3:$BA$3,"&gt;="&amp;$DG38,$B38:$Y38)),
IF(AD$3=$DF38+'Model Setup'!$J$7,SUMIF($AD$3:$BA$3,"="&amp;$DF38+'Model Setup'!$J$7,$B38:$Y38)+'Model Setup'!$J$8*(SUMIF($AD$3:$BA$3,"&lt;"&amp;$DF38,$B38:$Y38)+SUMIF($AD$3:$BA$3,"&gt;="&amp;$DG38,$B38:$Y38)),
IF(AD$3=$DF38+'Model Setup'!$K$7,SUMIF($AD$3:$BA$3,"="&amp;$DF38+'Model Setup'!$K$7,$B38:$Y38)+'Model Setup'!$K$8*(SUMIF($AD$3:$BA$3,"&lt;"&amp;$DF38,$B38:$Y38)+SUMIF($AD$3:$BA$3,"&gt;="&amp;$DG38,$B38:$Y38)),
IF(AD$3=$DF38+'Model Setup'!$L$7,SUMIF($AD$3:$BA$3,"="&amp;$DF38+'Model Setup'!$L$7,$B38:$Y38)+'Model Setup'!$L$8*(SUMIF($AD$3:$BA$3,"&lt;"&amp;$DF38,$B38:$Y38)+SUMIF($AD$3:$BA$3,"&gt;="&amp;$DG38,$B38:$Y38)),
IF(AD$3=$DF38+'Model Setup'!$M$7,SUMIF($AD$3:$BA$3,"="&amp;$DF38+'Model Setup'!$M$7,$B38:$Y38)+'Model Setup'!$M$8*(SUMIF($AD$3:$BA$3,"&lt;"&amp;$DF38,$B38:$Y38)+SUMIF($AD$3:$BA$3,"&gt;="&amp;$DG38,$B38:$Y38)),
IF(AD$3=$DF38+'Model Setup'!$N$7,SUMIF($AD$3:$BA$3,"="&amp;$DF38+'Model Setup'!$N$7,$B38:$Y38)+'Model Setup'!$N$8*(SUMIF($AD$3:$BA$3,"&lt;"&amp;$DF38,$B38:$Y38)+SUMIF($AD$3:$BA$3,"&gt;="&amp;$DG38,$B38:$Y38)),
IF(AD$3&lt;$DG38,B38,0))))))))))))))),0)</f>
        <v>0</v>
      </c>
      <c r="AE38" s="47">
        <f>ROUND(IF(AE$3&lt;$DF38,0,
IF(AE$3=$DF38+'Model Setup'!$B$7,SUMIF($AD$3:$BA$3,"="&amp;$DF38+'Model Setup'!$B$7,$B38:$Y38)+'Model Setup'!$B$8*(SUMIF($AD$3:$BA$3,"&lt;"&amp;$DF38,$B38:$Y38)+SUMIF($AD$3:$BA$3,"&gt;="&amp;$DG38,$B38:$Y38)),
IF(AE$3=$DF38+'Model Setup'!$C$7,SUMIF($AD$3:$BA$3,"="&amp;$DF38+'Model Setup'!$C$7,$B38:$Y38)+'Model Setup'!$C$8*(SUMIF($AD$3:$BA$3,"&lt;"&amp;$DF38,$B38:$Y38)+SUMIF($AD$3:$BA$3,"&gt;="&amp;$DG38,$B38:$Y38)),
IF(AE$3=$DF38+'Model Setup'!$D$7,SUMIF($AD$3:$BA$3,"="&amp;$DF38+'Model Setup'!$D$7,$B38:$Y38)+'Model Setup'!$D$8*(SUMIF($AD$3:$BA$3,"&lt;"&amp;$DF38,$B38:$Y38)+SUMIF($AD$3:$BA$3,"&gt;="&amp;$DG38,$B38:$Y38)),
IF(AE$3=$DF38+'Model Setup'!$E$7,SUMIF($AD$3:$BA$3,"="&amp;$DF38+'Model Setup'!$E$7,$B38:$Y38)+'Model Setup'!$E$8*(SUMIF($AD$3:$BA$3,"&lt;"&amp;$DF38,$B38:$Y38)+SUMIF($AD$3:$BA$3,"&gt;="&amp;$DG38,$B38:$Y38)),
IF(AE$3=$DF38+'Model Setup'!$F$7,SUMIF($AD$3:$BA$3,"="&amp;$DF38+'Model Setup'!$F$7,$B38:$Y38)+'Model Setup'!$F$8*(SUMIF($AD$3:$BA$3,"&lt;"&amp;$DF38,$B38:$Y38)+SUMIF($AD$3:$BA$3,"&gt;="&amp;$DG38,$B38:$Y38)),
IF(AE$3=$DF38+'Model Setup'!$G$7,SUMIF($AD$3:$BA$3,"="&amp;$DF38+'Model Setup'!$G$7,$B38:$Y38)+'Model Setup'!$G$8*(SUMIF($AD$3:$BA$3,"&lt;"&amp;$DF38,$B38:$Y38)+SUMIF($AD$3:$BA$3,"&gt;="&amp;$DG38,$B38:$Y38)),
IF(AE$3=$DF38+'Model Setup'!$H$7,SUMIF($AD$3:$BA$3,"="&amp;$DF38+'Model Setup'!$H$7,$B38:$Y38)+'Model Setup'!$H$8*(SUMIF($AD$3:$BA$3,"&lt;"&amp;$DF38,$B38:$Y38)+SUMIF($AD$3:$BA$3,"&gt;="&amp;$DG38,$B38:$Y38)),
IF(AE$3=$DF38+'Model Setup'!$I$7,SUMIF($AD$3:$BA$3,"="&amp;$DF38+'Model Setup'!$I$7,$B38:$Y38)+'Model Setup'!$I$8*(SUMIF($AD$3:$BA$3,"&lt;"&amp;$DF38,$B38:$Y38)+SUMIF($AD$3:$BA$3,"&gt;="&amp;$DG38,$B38:$Y38)),
IF(AE$3=$DF38+'Model Setup'!$J$7,SUMIF($AD$3:$BA$3,"="&amp;$DF38+'Model Setup'!$J$7,$B38:$Y38)+'Model Setup'!$J$8*(SUMIF($AD$3:$BA$3,"&lt;"&amp;$DF38,$B38:$Y38)+SUMIF($AD$3:$BA$3,"&gt;="&amp;$DG38,$B38:$Y38)),
IF(AE$3=$DF38+'Model Setup'!$K$7,SUMIF($AD$3:$BA$3,"="&amp;$DF38+'Model Setup'!$K$7,$B38:$Y38)+'Model Setup'!$K$8*(SUMIF($AD$3:$BA$3,"&lt;"&amp;$DF38,$B38:$Y38)+SUMIF($AD$3:$BA$3,"&gt;="&amp;$DG38,$B38:$Y38)),
IF(AE$3=$DF38+'Model Setup'!$L$7,SUMIF($AD$3:$BA$3,"="&amp;$DF38+'Model Setup'!$L$7,$B38:$Y38)+'Model Setup'!$L$8*(SUMIF($AD$3:$BA$3,"&lt;"&amp;$DF38,$B38:$Y38)+SUMIF($AD$3:$BA$3,"&gt;="&amp;$DG38,$B38:$Y38)),
IF(AE$3=$DF38+'Model Setup'!$M$7,SUMIF($AD$3:$BA$3,"="&amp;$DF38+'Model Setup'!$M$7,$B38:$Y38)+'Model Setup'!$M$8*(SUMIF($AD$3:$BA$3,"&lt;"&amp;$DF38,$B38:$Y38)+SUMIF($AD$3:$BA$3,"&gt;="&amp;$DG38,$B38:$Y38)),
IF(AE$3=$DF38+'Model Setup'!$N$7,SUMIF($AD$3:$BA$3,"="&amp;$DF38+'Model Setup'!$N$7,$B38:$Y38)+'Model Setup'!$N$8*(SUMIF($AD$3:$BA$3,"&lt;"&amp;$DF38,$B38:$Y38)+SUMIF($AD$3:$BA$3,"&gt;="&amp;$DG38,$B38:$Y38)),
IF(AE$3&lt;$DG38,C38,0))))))))))))))),0)</f>
        <v>0</v>
      </c>
      <c r="AF38" s="47">
        <f>ROUND(IF(AF$3&lt;$DF38,0,
IF(AF$3=$DF38+'Model Setup'!$B$7,SUMIF($AD$3:$BA$3,"="&amp;$DF38+'Model Setup'!$B$7,$B38:$Y38)+'Model Setup'!$B$8*(SUMIF($AD$3:$BA$3,"&lt;"&amp;$DF38,$B38:$Y38)+SUMIF($AD$3:$BA$3,"&gt;="&amp;$DG38,$B38:$Y38)),
IF(AF$3=$DF38+'Model Setup'!$C$7,SUMIF($AD$3:$BA$3,"="&amp;$DF38+'Model Setup'!$C$7,$B38:$Y38)+'Model Setup'!$C$8*(SUMIF($AD$3:$BA$3,"&lt;"&amp;$DF38,$B38:$Y38)+SUMIF($AD$3:$BA$3,"&gt;="&amp;$DG38,$B38:$Y38)),
IF(AF$3=$DF38+'Model Setup'!$D$7,SUMIF($AD$3:$BA$3,"="&amp;$DF38+'Model Setup'!$D$7,$B38:$Y38)+'Model Setup'!$D$8*(SUMIF($AD$3:$BA$3,"&lt;"&amp;$DF38,$B38:$Y38)+SUMIF($AD$3:$BA$3,"&gt;="&amp;$DG38,$B38:$Y38)),
IF(AF$3=$DF38+'Model Setup'!$E$7,SUMIF($AD$3:$BA$3,"="&amp;$DF38+'Model Setup'!$E$7,$B38:$Y38)+'Model Setup'!$E$8*(SUMIF($AD$3:$BA$3,"&lt;"&amp;$DF38,$B38:$Y38)+SUMIF($AD$3:$BA$3,"&gt;="&amp;$DG38,$B38:$Y38)),
IF(AF$3=$DF38+'Model Setup'!$F$7,SUMIF($AD$3:$BA$3,"="&amp;$DF38+'Model Setup'!$F$7,$B38:$Y38)+'Model Setup'!$F$8*(SUMIF($AD$3:$BA$3,"&lt;"&amp;$DF38,$B38:$Y38)+SUMIF($AD$3:$BA$3,"&gt;="&amp;$DG38,$B38:$Y38)),
IF(AF$3=$DF38+'Model Setup'!$G$7,SUMIF($AD$3:$BA$3,"="&amp;$DF38+'Model Setup'!$G$7,$B38:$Y38)+'Model Setup'!$G$8*(SUMIF($AD$3:$BA$3,"&lt;"&amp;$DF38,$B38:$Y38)+SUMIF($AD$3:$BA$3,"&gt;="&amp;$DG38,$B38:$Y38)),
IF(AF$3=$DF38+'Model Setup'!$H$7,SUMIF($AD$3:$BA$3,"="&amp;$DF38+'Model Setup'!$H$7,$B38:$Y38)+'Model Setup'!$H$8*(SUMIF($AD$3:$BA$3,"&lt;"&amp;$DF38,$B38:$Y38)+SUMIF($AD$3:$BA$3,"&gt;="&amp;$DG38,$B38:$Y38)),
IF(AF$3=$DF38+'Model Setup'!$I$7,SUMIF($AD$3:$BA$3,"="&amp;$DF38+'Model Setup'!$I$7,$B38:$Y38)+'Model Setup'!$I$8*(SUMIF($AD$3:$BA$3,"&lt;"&amp;$DF38,$B38:$Y38)+SUMIF($AD$3:$BA$3,"&gt;="&amp;$DG38,$B38:$Y38)),
IF(AF$3=$DF38+'Model Setup'!$J$7,SUMIF($AD$3:$BA$3,"="&amp;$DF38+'Model Setup'!$J$7,$B38:$Y38)+'Model Setup'!$J$8*(SUMIF($AD$3:$BA$3,"&lt;"&amp;$DF38,$B38:$Y38)+SUMIF($AD$3:$BA$3,"&gt;="&amp;$DG38,$B38:$Y38)),
IF(AF$3=$DF38+'Model Setup'!$K$7,SUMIF($AD$3:$BA$3,"="&amp;$DF38+'Model Setup'!$K$7,$B38:$Y38)+'Model Setup'!$K$8*(SUMIF($AD$3:$BA$3,"&lt;"&amp;$DF38,$B38:$Y38)+SUMIF($AD$3:$BA$3,"&gt;="&amp;$DG38,$B38:$Y38)),
IF(AF$3=$DF38+'Model Setup'!$L$7,SUMIF($AD$3:$BA$3,"="&amp;$DF38+'Model Setup'!$L$7,$B38:$Y38)+'Model Setup'!$L$8*(SUMIF($AD$3:$BA$3,"&lt;"&amp;$DF38,$B38:$Y38)+SUMIF($AD$3:$BA$3,"&gt;="&amp;$DG38,$B38:$Y38)),
IF(AF$3=$DF38+'Model Setup'!$M$7,SUMIF($AD$3:$BA$3,"="&amp;$DF38+'Model Setup'!$M$7,$B38:$Y38)+'Model Setup'!$M$8*(SUMIF($AD$3:$BA$3,"&lt;"&amp;$DF38,$B38:$Y38)+SUMIF($AD$3:$BA$3,"&gt;="&amp;$DG38,$B38:$Y38)),
IF(AF$3=$DF38+'Model Setup'!$N$7,SUMIF($AD$3:$BA$3,"="&amp;$DF38+'Model Setup'!$N$7,$B38:$Y38)+'Model Setup'!$N$8*(SUMIF($AD$3:$BA$3,"&lt;"&amp;$DF38,$B38:$Y38)+SUMIF($AD$3:$BA$3,"&gt;="&amp;$DG38,$B38:$Y38)),
IF(AF$3&lt;$DG38,D38,0))))))))))))))),0)</f>
        <v>0</v>
      </c>
      <c r="AG38" s="47">
        <f>ROUND(IF(AG$3&lt;$DF38,0,
IF(AG$3=$DF38+'Model Setup'!$B$7,SUMIF($AD$3:$BA$3,"="&amp;$DF38+'Model Setup'!$B$7,$B38:$Y38)+'Model Setup'!$B$8*(SUMIF($AD$3:$BA$3,"&lt;"&amp;$DF38,$B38:$Y38)+SUMIF($AD$3:$BA$3,"&gt;="&amp;$DG38,$B38:$Y38)),
IF(AG$3=$DF38+'Model Setup'!$C$7,SUMIF($AD$3:$BA$3,"="&amp;$DF38+'Model Setup'!$C$7,$B38:$Y38)+'Model Setup'!$C$8*(SUMIF($AD$3:$BA$3,"&lt;"&amp;$DF38,$B38:$Y38)+SUMIF($AD$3:$BA$3,"&gt;="&amp;$DG38,$B38:$Y38)),
IF(AG$3=$DF38+'Model Setup'!$D$7,SUMIF($AD$3:$BA$3,"="&amp;$DF38+'Model Setup'!$D$7,$B38:$Y38)+'Model Setup'!$D$8*(SUMIF($AD$3:$BA$3,"&lt;"&amp;$DF38,$B38:$Y38)+SUMIF($AD$3:$BA$3,"&gt;="&amp;$DG38,$B38:$Y38)),
IF(AG$3=$DF38+'Model Setup'!$E$7,SUMIF($AD$3:$BA$3,"="&amp;$DF38+'Model Setup'!$E$7,$B38:$Y38)+'Model Setup'!$E$8*(SUMIF($AD$3:$BA$3,"&lt;"&amp;$DF38,$B38:$Y38)+SUMIF($AD$3:$BA$3,"&gt;="&amp;$DG38,$B38:$Y38)),
IF(AG$3=$DF38+'Model Setup'!$F$7,SUMIF($AD$3:$BA$3,"="&amp;$DF38+'Model Setup'!$F$7,$B38:$Y38)+'Model Setup'!$F$8*(SUMIF($AD$3:$BA$3,"&lt;"&amp;$DF38,$B38:$Y38)+SUMIF($AD$3:$BA$3,"&gt;="&amp;$DG38,$B38:$Y38)),
IF(AG$3=$DF38+'Model Setup'!$G$7,SUMIF($AD$3:$BA$3,"="&amp;$DF38+'Model Setup'!$G$7,$B38:$Y38)+'Model Setup'!$G$8*(SUMIF($AD$3:$BA$3,"&lt;"&amp;$DF38,$B38:$Y38)+SUMIF($AD$3:$BA$3,"&gt;="&amp;$DG38,$B38:$Y38)),
IF(AG$3=$DF38+'Model Setup'!$H$7,SUMIF($AD$3:$BA$3,"="&amp;$DF38+'Model Setup'!$H$7,$B38:$Y38)+'Model Setup'!$H$8*(SUMIF($AD$3:$BA$3,"&lt;"&amp;$DF38,$B38:$Y38)+SUMIF($AD$3:$BA$3,"&gt;="&amp;$DG38,$B38:$Y38)),
IF(AG$3=$DF38+'Model Setup'!$I$7,SUMIF($AD$3:$BA$3,"="&amp;$DF38+'Model Setup'!$I$7,$B38:$Y38)+'Model Setup'!$I$8*(SUMIF($AD$3:$BA$3,"&lt;"&amp;$DF38,$B38:$Y38)+SUMIF($AD$3:$BA$3,"&gt;="&amp;$DG38,$B38:$Y38)),
IF(AG$3=$DF38+'Model Setup'!$J$7,SUMIF($AD$3:$BA$3,"="&amp;$DF38+'Model Setup'!$J$7,$B38:$Y38)+'Model Setup'!$J$8*(SUMIF($AD$3:$BA$3,"&lt;"&amp;$DF38,$B38:$Y38)+SUMIF($AD$3:$BA$3,"&gt;="&amp;$DG38,$B38:$Y38)),
IF(AG$3=$DF38+'Model Setup'!$K$7,SUMIF($AD$3:$BA$3,"="&amp;$DF38+'Model Setup'!$K$7,$B38:$Y38)+'Model Setup'!$K$8*(SUMIF($AD$3:$BA$3,"&lt;"&amp;$DF38,$B38:$Y38)+SUMIF($AD$3:$BA$3,"&gt;="&amp;$DG38,$B38:$Y38)),
IF(AG$3=$DF38+'Model Setup'!$L$7,SUMIF($AD$3:$BA$3,"="&amp;$DF38+'Model Setup'!$L$7,$B38:$Y38)+'Model Setup'!$L$8*(SUMIF($AD$3:$BA$3,"&lt;"&amp;$DF38,$B38:$Y38)+SUMIF($AD$3:$BA$3,"&gt;="&amp;$DG38,$B38:$Y38)),
IF(AG$3=$DF38+'Model Setup'!$M$7,SUMIF($AD$3:$BA$3,"="&amp;$DF38+'Model Setup'!$M$7,$B38:$Y38)+'Model Setup'!$M$8*(SUMIF($AD$3:$BA$3,"&lt;"&amp;$DF38,$B38:$Y38)+SUMIF($AD$3:$BA$3,"&gt;="&amp;$DG38,$B38:$Y38)),
IF(AG$3=$DF38+'Model Setup'!$N$7,SUMIF($AD$3:$BA$3,"="&amp;$DF38+'Model Setup'!$N$7,$B38:$Y38)+'Model Setup'!$N$8*(SUMIF($AD$3:$BA$3,"&lt;"&amp;$DF38,$B38:$Y38)+SUMIF($AD$3:$BA$3,"&gt;="&amp;$DG38,$B38:$Y38)),
IF(AG$3&lt;$DG38,E38,0))))))))))))))),0)</f>
        <v>0</v>
      </c>
      <c r="AH38" s="47">
        <f>ROUND(IF(AH$3&lt;$DF38,0,
IF(AH$3=$DF38+'Model Setup'!$B$7,SUMIF($AD$3:$BA$3,"="&amp;$DF38+'Model Setup'!$B$7,$B38:$Y38)+'Model Setup'!$B$8*(SUMIF($AD$3:$BA$3,"&lt;"&amp;$DF38,$B38:$Y38)+SUMIF($AD$3:$BA$3,"&gt;="&amp;$DG38,$B38:$Y38)),
IF(AH$3=$DF38+'Model Setup'!$C$7,SUMIF($AD$3:$BA$3,"="&amp;$DF38+'Model Setup'!$C$7,$B38:$Y38)+'Model Setup'!$C$8*(SUMIF($AD$3:$BA$3,"&lt;"&amp;$DF38,$B38:$Y38)+SUMIF($AD$3:$BA$3,"&gt;="&amp;$DG38,$B38:$Y38)),
IF(AH$3=$DF38+'Model Setup'!$D$7,SUMIF($AD$3:$BA$3,"="&amp;$DF38+'Model Setup'!$D$7,$B38:$Y38)+'Model Setup'!$D$8*(SUMIF($AD$3:$BA$3,"&lt;"&amp;$DF38,$B38:$Y38)+SUMIF($AD$3:$BA$3,"&gt;="&amp;$DG38,$B38:$Y38)),
IF(AH$3=$DF38+'Model Setup'!$E$7,SUMIF($AD$3:$BA$3,"="&amp;$DF38+'Model Setup'!$E$7,$B38:$Y38)+'Model Setup'!$E$8*(SUMIF($AD$3:$BA$3,"&lt;"&amp;$DF38,$B38:$Y38)+SUMIF($AD$3:$BA$3,"&gt;="&amp;$DG38,$B38:$Y38)),
IF(AH$3=$DF38+'Model Setup'!$F$7,SUMIF($AD$3:$BA$3,"="&amp;$DF38+'Model Setup'!$F$7,$B38:$Y38)+'Model Setup'!$F$8*(SUMIF($AD$3:$BA$3,"&lt;"&amp;$DF38,$B38:$Y38)+SUMIF($AD$3:$BA$3,"&gt;="&amp;$DG38,$B38:$Y38)),
IF(AH$3=$DF38+'Model Setup'!$G$7,SUMIF($AD$3:$BA$3,"="&amp;$DF38+'Model Setup'!$G$7,$B38:$Y38)+'Model Setup'!$G$8*(SUMIF($AD$3:$BA$3,"&lt;"&amp;$DF38,$B38:$Y38)+SUMIF($AD$3:$BA$3,"&gt;="&amp;$DG38,$B38:$Y38)),
IF(AH$3=$DF38+'Model Setup'!$H$7,SUMIF($AD$3:$BA$3,"="&amp;$DF38+'Model Setup'!$H$7,$B38:$Y38)+'Model Setup'!$H$8*(SUMIF($AD$3:$BA$3,"&lt;"&amp;$DF38,$B38:$Y38)+SUMIF($AD$3:$BA$3,"&gt;="&amp;$DG38,$B38:$Y38)),
IF(AH$3=$DF38+'Model Setup'!$I$7,SUMIF($AD$3:$BA$3,"="&amp;$DF38+'Model Setup'!$I$7,$B38:$Y38)+'Model Setup'!$I$8*(SUMIF($AD$3:$BA$3,"&lt;"&amp;$DF38,$B38:$Y38)+SUMIF($AD$3:$BA$3,"&gt;="&amp;$DG38,$B38:$Y38)),
IF(AH$3=$DF38+'Model Setup'!$J$7,SUMIF($AD$3:$BA$3,"="&amp;$DF38+'Model Setup'!$J$7,$B38:$Y38)+'Model Setup'!$J$8*(SUMIF($AD$3:$BA$3,"&lt;"&amp;$DF38,$B38:$Y38)+SUMIF($AD$3:$BA$3,"&gt;="&amp;$DG38,$B38:$Y38)),
IF(AH$3=$DF38+'Model Setup'!$K$7,SUMIF($AD$3:$BA$3,"="&amp;$DF38+'Model Setup'!$K$7,$B38:$Y38)+'Model Setup'!$K$8*(SUMIF($AD$3:$BA$3,"&lt;"&amp;$DF38,$B38:$Y38)+SUMIF($AD$3:$BA$3,"&gt;="&amp;$DG38,$B38:$Y38)),
IF(AH$3=$DF38+'Model Setup'!$L$7,SUMIF($AD$3:$BA$3,"="&amp;$DF38+'Model Setup'!$L$7,$B38:$Y38)+'Model Setup'!$L$8*(SUMIF($AD$3:$BA$3,"&lt;"&amp;$DF38,$B38:$Y38)+SUMIF($AD$3:$BA$3,"&gt;="&amp;$DG38,$B38:$Y38)),
IF(AH$3=$DF38+'Model Setup'!$M$7,SUMIF($AD$3:$BA$3,"="&amp;$DF38+'Model Setup'!$M$7,$B38:$Y38)+'Model Setup'!$M$8*(SUMIF($AD$3:$BA$3,"&lt;"&amp;$DF38,$B38:$Y38)+SUMIF($AD$3:$BA$3,"&gt;="&amp;$DG38,$B38:$Y38)),
IF(AH$3=$DF38+'Model Setup'!$N$7,SUMIF($AD$3:$BA$3,"="&amp;$DF38+'Model Setup'!$N$7,$B38:$Y38)+'Model Setup'!$N$8*(SUMIF($AD$3:$BA$3,"&lt;"&amp;$DF38,$B38:$Y38)+SUMIF($AD$3:$BA$3,"&gt;="&amp;$DG38,$B38:$Y38)),
IF(AH$3&lt;$DG38,F38,0))))))))))))))),0)</f>
        <v>0</v>
      </c>
      <c r="AI38" s="47">
        <f>ROUND(IF(AI$3&lt;$DF38,0,
IF(AI$3=$DF38+'Model Setup'!$B$7,SUMIF($AD$3:$BA$3,"="&amp;$DF38+'Model Setup'!$B$7,$B38:$Y38)+'Model Setup'!$B$8*(SUMIF($AD$3:$BA$3,"&lt;"&amp;$DF38,$B38:$Y38)+SUMIF($AD$3:$BA$3,"&gt;="&amp;$DG38,$B38:$Y38)),
IF(AI$3=$DF38+'Model Setup'!$C$7,SUMIF($AD$3:$BA$3,"="&amp;$DF38+'Model Setup'!$C$7,$B38:$Y38)+'Model Setup'!$C$8*(SUMIF($AD$3:$BA$3,"&lt;"&amp;$DF38,$B38:$Y38)+SUMIF($AD$3:$BA$3,"&gt;="&amp;$DG38,$B38:$Y38)),
IF(AI$3=$DF38+'Model Setup'!$D$7,SUMIF($AD$3:$BA$3,"="&amp;$DF38+'Model Setup'!$D$7,$B38:$Y38)+'Model Setup'!$D$8*(SUMIF($AD$3:$BA$3,"&lt;"&amp;$DF38,$B38:$Y38)+SUMIF($AD$3:$BA$3,"&gt;="&amp;$DG38,$B38:$Y38)),
IF(AI$3=$DF38+'Model Setup'!$E$7,SUMIF($AD$3:$BA$3,"="&amp;$DF38+'Model Setup'!$E$7,$B38:$Y38)+'Model Setup'!$E$8*(SUMIF($AD$3:$BA$3,"&lt;"&amp;$DF38,$B38:$Y38)+SUMIF($AD$3:$BA$3,"&gt;="&amp;$DG38,$B38:$Y38)),
IF(AI$3=$DF38+'Model Setup'!$F$7,SUMIF($AD$3:$BA$3,"="&amp;$DF38+'Model Setup'!$F$7,$B38:$Y38)+'Model Setup'!$F$8*(SUMIF($AD$3:$BA$3,"&lt;"&amp;$DF38,$B38:$Y38)+SUMIF($AD$3:$BA$3,"&gt;="&amp;$DG38,$B38:$Y38)),
IF(AI$3=$DF38+'Model Setup'!$G$7,SUMIF($AD$3:$BA$3,"="&amp;$DF38+'Model Setup'!$G$7,$B38:$Y38)+'Model Setup'!$G$8*(SUMIF($AD$3:$BA$3,"&lt;"&amp;$DF38,$B38:$Y38)+SUMIF($AD$3:$BA$3,"&gt;="&amp;$DG38,$B38:$Y38)),
IF(AI$3=$DF38+'Model Setup'!$H$7,SUMIF($AD$3:$BA$3,"="&amp;$DF38+'Model Setup'!$H$7,$B38:$Y38)+'Model Setup'!$H$8*(SUMIF($AD$3:$BA$3,"&lt;"&amp;$DF38,$B38:$Y38)+SUMIF($AD$3:$BA$3,"&gt;="&amp;$DG38,$B38:$Y38)),
IF(AI$3=$DF38+'Model Setup'!$I$7,SUMIF($AD$3:$BA$3,"="&amp;$DF38+'Model Setup'!$I$7,$B38:$Y38)+'Model Setup'!$I$8*(SUMIF($AD$3:$BA$3,"&lt;"&amp;$DF38,$B38:$Y38)+SUMIF($AD$3:$BA$3,"&gt;="&amp;$DG38,$B38:$Y38)),
IF(AI$3=$DF38+'Model Setup'!$J$7,SUMIF($AD$3:$BA$3,"="&amp;$DF38+'Model Setup'!$J$7,$B38:$Y38)+'Model Setup'!$J$8*(SUMIF($AD$3:$BA$3,"&lt;"&amp;$DF38,$B38:$Y38)+SUMIF($AD$3:$BA$3,"&gt;="&amp;$DG38,$B38:$Y38)),
IF(AI$3=$DF38+'Model Setup'!$K$7,SUMIF($AD$3:$BA$3,"="&amp;$DF38+'Model Setup'!$K$7,$B38:$Y38)+'Model Setup'!$K$8*(SUMIF($AD$3:$BA$3,"&lt;"&amp;$DF38,$B38:$Y38)+SUMIF($AD$3:$BA$3,"&gt;="&amp;$DG38,$B38:$Y38)),
IF(AI$3=$DF38+'Model Setup'!$L$7,SUMIF($AD$3:$BA$3,"="&amp;$DF38+'Model Setup'!$L$7,$B38:$Y38)+'Model Setup'!$L$8*(SUMIF($AD$3:$BA$3,"&lt;"&amp;$DF38,$B38:$Y38)+SUMIF($AD$3:$BA$3,"&gt;="&amp;$DG38,$B38:$Y38)),
IF(AI$3=$DF38+'Model Setup'!$M$7,SUMIF($AD$3:$BA$3,"="&amp;$DF38+'Model Setup'!$M$7,$B38:$Y38)+'Model Setup'!$M$8*(SUMIF($AD$3:$BA$3,"&lt;"&amp;$DF38,$B38:$Y38)+SUMIF($AD$3:$BA$3,"&gt;="&amp;$DG38,$B38:$Y38)),
IF(AI$3=$DF38+'Model Setup'!$N$7,SUMIF($AD$3:$BA$3,"="&amp;$DF38+'Model Setup'!$N$7,$B38:$Y38)+'Model Setup'!$N$8*(SUMIF($AD$3:$BA$3,"&lt;"&amp;$DF38,$B38:$Y38)+SUMIF($AD$3:$BA$3,"&gt;="&amp;$DG38,$B38:$Y38)),
IF(AI$3&lt;$DG38,G38,0))))))))))))))),0)</f>
        <v>0</v>
      </c>
      <c r="AJ38" s="47">
        <f>ROUND(IF(AJ$3&lt;$DF38,0,
IF(AJ$3=$DF38+'Model Setup'!$B$7,SUMIF($AD$3:$BA$3,"="&amp;$DF38+'Model Setup'!$B$7,$B38:$Y38)+'Model Setup'!$B$8*(SUMIF($AD$3:$BA$3,"&lt;"&amp;$DF38,$B38:$Y38)+SUMIF($AD$3:$BA$3,"&gt;="&amp;$DG38,$B38:$Y38)),
IF(AJ$3=$DF38+'Model Setup'!$C$7,SUMIF($AD$3:$BA$3,"="&amp;$DF38+'Model Setup'!$C$7,$B38:$Y38)+'Model Setup'!$C$8*(SUMIF($AD$3:$BA$3,"&lt;"&amp;$DF38,$B38:$Y38)+SUMIF($AD$3:$BA$3,"&gt;="&amp;$DG38,$B38:$Y38)),
IF(AJ$3=$DF38+'Model Setup'!$D$7,SUMIF($AD$3:$BA$3,"="&amp;$DF38+'Model Setup'!$D$7,$B38:$Y38)+'Model Setup'!$D$8*(SUMIF($AD$3:$BA$3,"&lt;"&amp;$DF38,$B38:$Y38)+SUMIF($AD$3:$BA$3,"&gt;="&amp;$DG38,$B38:$Y38)),
IF(AJ$3=$DF38+'Model Setup'!$E$7,SUMIF($AD$3:$BA$3,"="&amp;$DF38+'Model Setup'!$E$7,$B38:$Y38)+'Model Setup'!$E$8*(SUMIF($AD$3:$BA$3,"&lt;"&amp;$DF38,$B38:$Y38)+SUMIF($AD$3:$BA$3,"&gt;="&amp;$DG38,$B38:$Y38)),
IF(AJ$3=$DF38+'Model Setup'!$F$7,SUMIF($AD$3:$BA$3,"="&amp;$DF38+'Model Setup'!$F$7,$B38:$Y38)+'Model Setup'!$F$8*(SUMIF($AD$3:$BA$3,"&lt;"&amp;$DF38,$B38:$Y38)+SUMIF($AD$3:$BA$3,"&gt;="&amp;$DG38,$B38:$Y38)),
IF(AJ$3=$DF38+'Model Setup'!$G$7,SUMIF($AD$3:$BA$3,"="&amp;$DF38+'Model Setup'!$G$7,$B38:$Y38)+'Model Setup'!$G$8*(SUMIF($AD$3:$BA$3,"&lt;"&amp;$DF38,$B38:$Y38)+SUMIF($AD$3:$BA$3,"&gt;="&amp;$DG38,$B38:$Y38)),
IF(AJ$3=$DF38+'Model Setup'!$H$7,SUMIF($AD$3:$BA$3,"="&amp;$DF38+'Model Setup'!$H$7,$B38:$Y38)+'Model Setup'!$H$8*(SUMIF($AD$3:$BA$3,"&lt;"&amp;$DF38,$B38:$Y38)+SUMIF($AD$3:$BA$3,"&gt;="&amp;$DG38,$B38:$Y38)),
IF(AJ$3=$DF38+'Model Setup'!$I$7,SUMIF($AD$3:$BA$3,"="&amp;$DF38+'Model Setup'!$I$7,$B38:$Y38)+'Model Setup'!$I$8*(SUMIF($AD$3:$BA$3,"&lt;"&amp;$DF38,$B38:$Y38)+SUMIF($AD$3:$BA$3,"&gt;="&amp;$DG38,$B38:$Y38)),
IF(AJ$3=$DF38+'Model Setup'!$J$7,SUMIF($AD$3:$BA$3,"="&amp;$DF38+'Model Setup'!$J$7,$B38:$Y38)+'Model Setup'!$J$8*(SUMIF($AD$3:$BA$3,"&lt;"&amp;$DF38,$B38:$Y38)+SUMIF($AD$3:$BA$3,"&gt;="&amp;$DG38,$B38:$Y38)),
IF(AJ$3=$DF38+'Model Setup'!$K$7,SUMIF($AD$3:$BA$3,"="&amp;$DF38+'Model Setup'!$K$7,$B38:$Y38)+'Model Setup'!$K$8*(SUMIF($AD$3:$BA$3,"&lt;"&amp;$DF38,$B38:$Y38)+SUMIF($AD$3:$BA$3,"&gt;="&amp;$DG38,$B38:$Y38)),
IF(AJ$3=$DF38+'Model Setup'!$L$7,SUMIF($AD$3:$BA$3,"="&amp;$DF38+'Model Setup'!$L$7,$B38:$Y38)+'Model Setup'!$L$8*(SUMIF($AD$3:$BA$3,"&lt;"&amp;$DF38,$B38:$Y38)+SUMIF($AD$3:$BA$3,"&gt;="&amp;$DG38,$B38:$Y38)),
IF(AJ$3=$DF38+'Model Setup'!$M$7,SUMIF($AD$3:$BA$3,"="&amp;$DF38+'Model Setup'!$M$7,$B38:$Y38)+'Model Setup'!$M$8*(SUMIF($AD$3:$BA$3,"&lt;"&amp;$DF38,$B38:$Y38)+SUMIF($AD$3:$BA$3,"&gt;="&amp;$DG38,$B38:$Y38)),
IF(AJ$3=$DF38+'Model Setup'!$N$7,SUMIF($AD$3:$BA$3,"="&amp;$DF38+'Model Setup'!$N$7,$B38:$Y38)+'Model Setup'!$N$8*(SUMIF($AD$3:$BA$3,"&lt;"&amp;$DF38,$B38:$Y38)+SUMIF($AD$3:$BA$3,"&gt;="&amp;$DG38,$B38:$Y38)),
IF(AJ$3&lt;$DG38,H38,0))))))))))))))),0)</f>
        <v>0</v>
      </c>
      <c r="AK38" s="47">
        <f>ROUND(IF(AK$3&lt;$DF38,0,
IF(AK$3=$DF38+'Model Setup'!$B$7,SUMIF($AD$3:$BA$3,"="&amp;$DF38+'Model Setup'!$B$7,$B38:$Y38)+'Model Setup'!$B$8*(SUMIF($AD$3:$BA$3,"&lt;"&amp;$DF38,$B38:$Y38)+SUMIF($AD$3:$BA$3,"&gt;="&amp;$DG38,$B38:$Y38)),
IF(AK$3=$DF38+'Model Setup'!$C$7,SUMIF($AD$3:$BA$3,"="&amp;$DF38+'Model Setup'!$C$7,$B38:$Y38)+'Model Setup'!$C$8*(SUMIF($AD$3:$BA$3,"&lt;"&amp;$DF38,$B38:$Y38)+SUMIF($AD$3:$BA$3,"&gt;="&amp;$DG38,$B38:$Y38)),
IF(AK$3=$DF38+'Model Setup'!$D$7,SUMIF($AD$3:$BA$3,"="&amp;$DF38+'Model Setup'!$D$7,$B38:$Y38)+'Model Setup'!$D$8*(SUMIF($AD$3:$BA$3,"&lt;"&amp;$DF38,$B38:$Y38)+SUMIF($AD$3:$BA$3,"&gt;="&amp;$DG38,$B38:$Y38)),
IF(AK$3=$DF38+'Model Setup'!$E$7,SUMIF($AD$3:$BA$3,"="&amp;$DF38+'Model Setup'!$E$7,$B38:$Y38)+'Model Setup'!$E$8*(SUMIF($AD$3:$BA$3,"&lt;"&amp;$DF38,$B38:$Y38)+SUMIF($AD$3:$BA$3,"&gt;="&amp;$DG38,$B38:$Y38)),
IF(AK$3=$DF38+'Model Setup'!$F$7,SUMIF($AD$3:$BA$3,"="&amp;$DF38+'Model Setup'!$F$7,$B38:$Y38)+'Model Setup'!$F$8*(SUMIF($AD$3:$BA$3,"&lt;"&amp;$DF38,$B38:$Y38)+SUMIF($AD$3:$BA$3,"&gt;="&amp;$DG38,$B38:$Y38)),
IF(AK$3=$DF38+'Model Setup'!$G$7,SUMIF($AD$3:$BA$3,"="&amp;$DF38+'Model Setup'!$G$7,$B38:$Y38)+'Model Setup'!$G$8*(SUMIF($AD$3:$BA$3,"&lt;"&amp;$DF38,$B38:$Y38)+SUMIF($AD$3:$BA$3,"&gt;="&amp;$DG38,$B38:$Y38)),
IF(AK$3=$DF38+'Model Setup'!$H$7,SUMIF($AD$3:$BA$3,"="&amp;$DF38+'Model Setup'!$H$7,$B38:$Y38)+'Model Setup'!$H$8*(SUMIF($AD$3:$BA$3,"&lt;"&amp;$DF38,$B38:$Y38)+SUMIF($AD$3:$BA$3,"&gt;="&amp;$DG38,$B38:$Y38)),
IF(AK$3=$DF38+'Model Setup'!$I$7,SUMIF($AD$3:$BA$3,"="&amp;$DF38+'Model Setup'!$I$7,$B38:$Y38)+'Model Setup'!$I$8*(SUMIF($AD$3:$BA$3,"&lt;"&amp;$DF38,$B38:$Y38)+SUMIF($AD$3:$BA$3,"&gt;="&amp;$DG38,$B38:$Y38)),
IF(AK$3=$DF38+'Model Setup'!$J$7,SUMIF($AD$3:$BA$3,"="&amp;$DF38+'Model Setup'!$J$7,$B38:$Y38)+'Model Setup'!$J$8*(SUMIF($AD$3:$BA$3,"&lt;"&amp;$DF38,$B38:$Y38)+SUMIF($AD$3:$BA$3,"&gt;="&amp;$DG38,$B38:$Y38)),
IF(AK$3=$DF38+'Model Setup'!$K$7,SUMIF($AD$3:$BA$3,"="&amp;$DF38+'Model Setup'!$K$7,$B38:$Y38)+'Model Setup'!$K$8*(SUMIF($AD$3:$BA$3,"&lt;"&amp;$DF38,$B38:$Y38)+SUMIF($AD$3:$BA$3,"&gt;="&amp;$DG38,$B38:$Y38)),
IF(AK$3=$DF38+'Model Setup'!$L$7,SUMIF($AD$3:$BA$3,"="&amp;$DF38+'Model Setup'!$L$7,$B38:$Y38)+'Model Setup'!$L$8*(SUMIF($AD$3:$BA$3,"&lt;"&amp;$DF38,$B38:$Y38)+SUMIF($AD$3:$BA$3,"&gt;="&amp;$DG38,$B38:$Y38)),
IF(AK$3=$DF38+'Model Setup'!$M$7,SUMIF($AD$3:$BA$3,"="&amp;$DF38+'Model Setup'!$M$7,$B38:$Y38)+'Model Setup'!$M$8*(SUMIF($AD$3:$BA$3,"&lt;"&amp;$DF38,$B38:$Y38)+SUMIF($AD$3:$BA$3,"&gt;="&amp;$DG38,$B38:$Y38)),
IF(AK$3=$DF38+'Model Setup'!$N$7,SUMIF($AD$3:$BA$3,"="&amp;$DF38+'Model Setup'!$N$7,$B38:$Y38)+'Model Setup'!$N$8*(SUMIF($AD$3:$BA$3,"&lt;"&amp;$DF38,$B38:$Y38)+SUMIF($AD$3:$BA$3,"&gt;="&amp;$DG38,$B38:$Y38)),
IF(AK$3&lt;$DG38,I38,0))))))))))))))),0)</f>
        <v>0</v>
      </c>
      <c r="AL38" s="47">
        <f>ROUND(IF(AL$3&lt;$DF38,0,
IF(AL$3=$DF38+'Model Setup'!$B$7,SUMIF($AD$3:$BA$3,"="&amp;$DF38+'Model Setup'!$B$7,$B38:$Y38)+'Model Setup'!$B$8*(SUMIF($AD$3:$BA$3,"&lt;"&amp;$DF38,$B38:$Y38)+SUMIF($AD$3:$BA$3,"&gt;="&amp;$DG38,$B38:$Y38)),
IF(AL$3=$DF38+'Model Setup'!$C$7,SUMIF($AD$3:$BA$3,"="&amp;$DF38+'Model Setup'!$C$7,$B38:$Y38)+'Model Setup'!$C$8*(SUMIF($AD$3:$BA$3,"&lt;"&amp;$DF38,$B38:$Y38)+SUMIF($AD$3:$BA$3,"&gt;="&amp;$DG38,$B38:$Y38)),
IF(AL$3=$DF38+'Model Setup'!$D$7,SUMIF($AD$3:$BA$3,"="&amp;$DF38+'Model Setup'!$D$7,$B38:$Y38)+'Model Setup'!$D$8*(SUMIF($AD$3:$BA$3,"&lt;"&amp;$DF38,$B38:$Y38)+SUMIF($AD$3:$BA$3,"&gt;="&amp;$DG38,$B38:$Y38)),
IF(AL$3=$DF38+'Model Setup'!$E$7,SUMIF($AD$3:$BA$3,"="&amp;$DF38+'Model Setup'!$E$7,$B38:$Y38)+'Model Setup'!$E$8*(SUMIF($AD$3:$BA$3,"&lt;"&amp;$DF38,$B38:$Y38)+SUMIF($AD$3:$BA$3,"&gt;="&amp;$DG38,$B38:$Y38)),
IF(AL$3=$DF38+'Model Setup'!$F$7,SUMIF($AD$3:$BA$3,"="&amp;$DF38+'Model Setup'!$F$7,$B38:$Y38)+'Model Setup'!$F$8*(SUMIF($AD$3:$BA$3,"&lt;"&amp;$DF38,$B38:$Y38)+SUMIF($AD$3:$BA$3,"&gt;="&amp;$DG38,$B38:$Y38)),
IF(AL$3=$DF38+'Model Setup'!$G$7,SUMIF($AD$3:$BA$3,"="&amp;$DF38+'Model Setup'!$G$7,$B38:$Y38)+'Model Setup'!$G$8*(SUMIF($AD$3:$BA$3,"&lt;"&amp;$DF38,$B38:$Y38)+SUMIF($AD$3:$BA$3,"&gt;="&amp;$DG38,$B38:$Y38)),
IF(AL$3=$DF38+'Model Setup'!$H$7,SUMIF($AD$3:$BA$3,"="&amp;$DF38+'Model Setup'!$H$7,$B38:$Y38)+'Model Setup'!$H$8*(SUMIF($AD$3:$BA$3,"&lt;"&amp;$DF38,$B38:$Y38)+SUMIF($AD$3:$BA$3,"&gt;="&amp;$DG38,$B38:$Y38)),
IF(AL$3=$DF38+'Model Setup'!$I$7,SUMIF($AD$3:$BA$3,"="&amp;$DF38+'Model Setup'!$I$7,$B38:$Y38)+'Model Setup'!$I$8*(SUMIF($AD$3:$BA$3,"&lt;"&amp;$DF38,$B38:$Y38)+SUMIF($AD$3:$BA$3,"&gt;="&amp;$DG38,$B38:$Y38)),
IF(AL$3=$DF38+'Model Setup'!$J$7,SUMIF($AD$3:$BA$3,"="&amp;$DF38+'Model Setup'!$J$7,$B38:$Y38)+'Model Setup'!$J$8*(SUMIF($AD$3:$BA$3,"&lt;"&amp;$DF38,$B38:$Y38)+SUMIF($AD$3:$BA$3,"&gt;="&amp;$DG38,$B38:$Y38)),
IF(AL$3=$DF38+'Model Setup'!$K$7,SUMIF($AD$3:$BA$3,"="&amp;$DF38+'Model Setup'!$K$7,$B38:$Y38)+'Model Setup'!$K$8*(SUMIF($AD$3:$BA$3,"&lt;"&amp;$DF38,$B38:$Y38)+SUMIF($AD$3:$BA$3,"&gt;="&amp;$DG38,$B38:$Y38)),
IF(AL$3=$DF38+'Model Setup'!$L$7,SUMIF($AD$3:$BA$3,"="&amp;$DF38+'Model Setup'!$L$7,$B38:$Y38)+'Model Setup'!$L$8*(SUMIF($AD$3:$BA$3,"&lt;"&amp;$DF38,$B38:$Y38)+SUMIF($AD$3:$BA$3,"&gt;="&amp;$DG38,$B38:$Y38)),
IF(AL$3=$DF38+'Model Setup'!$M$7,SUMIF($AD$3:$BA$3,"="&amp;$DF38+'Model Setup'!$M$7,$B38:$Y38)+'Model Setup'!$M$8*(SUMIF($AD$3:$BA$3,"&lt;"&amp;$DF38,$B38:$Y38)+SUMIF($AD$3:$BA$3,"&gt;="&amp;$DG38,$B38:$Y38)),
IF(AL$3=$DF38+'Model Setup'!$N$7,SUMIF($AD$3:$BA$3,"="&amp;$DF38+'Model Setup'!$N$7,$B38:$Y38)+'Model Setup'!$N$8*(SUMIF($AD$3:$BA$3,"&lt;"&amp;$DF38,$B38:$Y38)+SUMIF($AD$3:$BA$3,"&gt;="&amp;$DG38,$B38:$Y38)),
IF(AL$3&lt;$DG38,J38,0))))))))))))))),0)</f>
        <v>0</v>
      </c>
      <c r="AM38" s="47">
        <f>ROUND(IF(AM$3&lt;$DF38,0,
IF(AM$3=$DF38+'Model Setup'!$B$7,SUMIF($AD$3:$BA$3,"="&amp;$DF38+'Model Setup'!$B$7,$B38:$Y38)+'Model Setup'!$B$8*(SUMIF($AD$3:$BA$3,"&lt;"&amp;$DF38,$B38:$Y38)+SUMIF($AD$3:$BA$3,"&gt;="&amp;$DG38,$B38:$Y38)),
IF(AM$3=$DF38+'Model Setup'!$C$7,SUMIF($AD$3:$BA$3,"="&amp;$DF38+'Model Setup'!$C$7,$B38:$Y38)+'Model Setup'!$C$8*(SUMIF($AD$3:$BA$3,"&lt;"&amp;$DF38,$B38:$Y38)+SUMIF($AD$3:$BA$3,"&gt;="&amp;$DG38,$B38:$Y38)),
IF(AM$3=$DF38+'Model Setup'!$D$7,SUMIF($AD$3:$BA$3,"="&amp;$DF38+'Model Setup'!$D$7,$B38:$Y38)+'Model Setup'!$D$8*(SUMIF($AD$3:$BA$3,"&lt;"&amp;$DF38,$B38:$Y38)+SUMIF($AD$3:$BA$3,"&gt;="&amp;$DG38,$B38:$Y38)),
IF(AM$3=$DF38+'Model Setup'!$E$7,SUMIF($AD$3:$BA$3,"="&amp;$DF38+'Model Setup'!$E$7,$B38:$Y38)+'Model Setup'!$E$8*(SUMIF($AD$3:$BA$3,"&lt;"&amp;$DF38,$B38:$Y38)+SUMIF($AD$3:$BA$3,"&gt;="&amp;$DG38,$B38:$Y38)),
IF(AM$3=$DF38+'Model Setup'!$F$7,SUMIF($AD$3:$BA$3,"="&amp;$DF38+'Model Setup'!$F$7,$B38:$Y38)+'Model Setup'!$F$8*(SUMIF($AD$3:$BA$3,"&lt;"&amp;$DF38,$B38:$Y38)+SUMIF($AD$3:$BA$3,"&gt;="&amp;$DG38,$B38:$Y38)),
IF(AM$3=$DF38+'Model Setup'!$G$7,SUMIF($AD$3:$BA$3,"="&amp;$DF38+'Model Setup'!$G$7,$B38:$Y38)+'Model Setup'!$G$8*(SUMIF($AD$3:$BA$3,"&lt;"&amp;$DF38,$B38:$Y38)+SUMIF($AD$3:$BA$3,"&gt;="&amp;$DG38,$B38:$Y38)),
IF(AM$3=$DF38+'Model Setup'!$H$7,SUMIF($AD$3:$BA$3,"="&amp;$DF38+'Model Setup'!$H$7,$B38:$Y38)+'Model Setup'!$H$8*(SUMIF($AD$3:$BA$3,"&lt;"&amp;$DF38,$B38:$Y38)+SUMIF($AD$3:$BA$3,"&gt;="&amp;$DG38,$B38:$Y38)),
IF(AM$3=$DF38+'Model Setup'!$I$7,SUMIF($AD$3:$BA$3,"="&amp;$DF38+'Model Setup'!$I$7,$B38:$Y38)+'Model Setup'!$I$8*(SUMIF($AD$3:$BA$3,"&lt;"&amp;$DF38,$B38:$Y38)+SUMIF($AD$3:$BA$3,"&gt;="&amp;$DG38,$B38:$Y38)),
IF(AM$3=$DF38+'Model Setup'!$J$7,SUMIF($AD$3:$BA$3,"="&amp;$DF38+'Model Setup'!$J$7,$B38:$Y38)+'Model Setup'!$J$8*(SUMIF($AD$3:$BA$3,"&lt;"&amp;$DF38,$B38:$Y38)+SUMIF($AD$3:$BA$3,"&gt;="&amp;$DG38,$B38:$Y38)),
IF(AM$3=$DF38+'Model Setup'!$K$7,SUMIF($AD$3:$BA$3,"="&amp;$DF38+'Model Setup'!$K$7,$B38:$Y38)+'Model Setup'!$K$8*(SUMIF($AD$3:$BA$3,"&lt;"&amp;$DF38,$B38:$Y38)+SUMIF($AD$3:$BA$3,"&gt;="&amp;$DG38,$B38:$Y38)),
IF(AM$3=$DF38+'Model Setup'!$L$7,SUMIF($AD$3:$BA$3,"="&amp;$DF38+'Model Setup'!$L$7,$B38:$Y38)+'Model Setup'!$L$8*(SUMIF($AD$3:$BA$3,"&lt;"&amp;$DF38,$B38:$Y38)+SUMIF($AD$3:$BA$3,"&gt;="&amp;$DG38,$B38:$Y38)),
IF(AM$3=$DF38+'Model Setup'!$M$7,SUMIF($AD$3:$BA$3,"="&amp;$DF38+'Model Setup'!$M$7,$B38:$Y38)+'Model Setup'!$M$8*(SUMIF($AD$3:$BA$3,"&lt;"&amp;$DF38,$B38:$Y38)+SUMIF($AD$3:$BA$3,"&gt;="&amp;$DG38,$B38:$Y38)),
IF(AM$3=$DF38+'Model Setup'!$N$7,SUMIF($AD$3:$BA$3,"="&amp;$DF38+'Model Setup'!$N$7,$B38:$Y38)+'Model Setup'!$N$8*(SUMIF($AD$3:$BA$3,"&lt;"&amp;$DF38,$B38:$Y38)+SUMIF($AD$3:$BA$3,"&gt;="&amp;$DG38,$B38:$Y38)),
IF(AM$3&lt;$DG38,K38,0))))))))))))))),0)</f>
        <v>33</v>
      </c>
      <c r="AN38" s="47">
        <f>ROUND(IF(AN$3&lt;$DF38,0,
IF(AN$3=$DF38+'Model Setup'!$B$7,SUMIF($AD$3:$BA$3,"="&amp;$DF38+'Model Setup'!$B$7,$B38:$Y38)+'Model Setup'!$B$8*(SUMIF($AD$3:$BA$3,"&lt;"&amp;$DF38,$B38:$Y38)+SUMIF($AD$3:$BA$3,"&gt;="&amp;$DG38,$B38:$Y38)),
IF(AN$3=$DF38+'Model Setup'!$C$7,SUMIF($AD$3:$BA$3,"="&amp;$DF38+'Model Setup'!$C$7,$B38:$Y38)+'Model Setup'!$C$8*(SUMIF($AD$3:$BA$3,"&lt;"&amp;$DF38,$B38:$Y38)+SUMIF($AD$3:$BA$3,"&gt;="&amp;$DG38,$B38:$Y38)),
IF(AN$3=$DF38+'Model Setup'!$D$7,SUMIF($AD$3:$BA$3,"="&amp;$DF38+'Model Setup'!$D$7,$B38:$Y38)+'Model Setup'!$D$8*(SUMIF($AD$3:$BA$3,"&lt;"&amp;$DF38,$B38:$Y38)+SUMIF($AD$3:$BA$3,"&gt;="&amp;$DG38,$B38:$Y38)),
IF(AN$3=$DF38+'Model Setup'!$E$7,SUMIF($AD$3:$BA$3,"="&amp;$DF38+'Model Setup'!$E$7,$B38:$Y38)+'Model Setup'!$E$8*(SUMIF($AD$3:$BA$3,"&lt;"&amp;$DF38,$B38:$Y38)+SUMIF($AD$3:$BA$3,"&gt;="&amp;$DG38,$B38:$Y38)),
IF(AN$3=$DF38+'Model Setup'!$F$7,SUMIF($AD$3:$BA$3,"="&amp;$DF38+'Model Setup'!$F$7,$B38:$Y38)+'Model Setup'!$F$8*(SUMIF($AD$3:$BA$3,"&lt;"&amp;$DF38,$B38:$Y38)+SUMIF($AD$3:$BA$3,"&gt;="&amp;$DG38,$B38:$Y38)),
IF(AN$3=$DF38+'Model Setup'!$G$7,SUMIF($AD$3:$BA$3,"="&amp;$DF38+'Model Setup'!$G$7,$B38:$Y38)+'Model Setup'!$G$8*(SUMIF($AD$3:$BA$3,"&lt;"&amp;$DF38,$B38:$Y38)+SUMIF($AD$3:$BA$3,"&gt;="&amp;$DG38,$B38:$Y38)),
IF(AN$3=$DF38+'Model Setup'!$H$7,SUMIF($AD$3:$BA$3,"="&amp;$DF38+'Model Setup'!$H$7,$B38:$Y38)+'Model Setup'!$H$8*(SUMIF($AD$3:$BA$3,"&lt;"&amp;$DF38,$B38:$Y38)+SUMIF($AD$3:$BA$3,"&gt;="&amp;$DG38,$B38:$Y38)),
IF(AN$3=$DF38+'Model Setup'!$I$7,SUMIF($AD$3:$BA$3,"="&amp;$DF38+'Model Setup'!$I$7,$B38:$Y38)+'Model Setup'!$I$8*(SUMIF($AD$3:$BA$3,"&lt;"&amp;$DF38,$B38:$Y38)+SUMIF($AD$3:$BA$3,"&gt;="&amp;$DG38,$B38:$Y38)),
IF(AN$3=$DF38+'Model Setup'!$J$7,SUMIF($AD$3:$BA$3,"="&amp;$DF38+'Model Setup'!$J$7,$B38:$Y38)+'Model Setup'!$J$8*(SUMIF($AD$3:$BA$3,"&lt;"&amp;$DF38,$B38:$Y38)+SUMIF($AD$3:$BA$3,"&gt;="&amp;$DG38,$B38:$Y38)),
IF(AN$3=$DF38+'Model Setup'!$K$7,SUMIF($AD$3:$BA$3,"="&amp;$DF38+'Model Setup'!$K$7,$B38:$Y38)+'Model Setup'!$K$8*(SUMIF($AD$3:$BA$3,"&lt;"&amp;$DF38,$B38:$Y38)+SUMIF($AD$3:$BA$3,"&gt;="&amp;$DG38,$B38:$Y38)),
IF(AN$3=$DF38+'Model Setup'!$L$7,SUMIF($AD$3:$BA$3,"="&amp;$DF38+'Model Setup'!$L$7,$B38:$Y38)+'Model Setup'!$L$8*(SUMIF($AD$3:$BA$3,"&lt;"&amp;$DF38,$B38:$Y38)+SUMIF($AD$3:$BA$3,"&gt;="&amp;$DG38,$B38:$Y38)),
IF(AN$3=$DF38+'Model Setup'!$M$7,SUMIF($AD$3:$BA$3,"="&amp;$DF38+'Model Setup'!$M$7,$B38:$Y38)+'Model Setup'!$M$8*(SUMIF($AD$3:$BA$3,"&lt;"&amp;$DF38,$B38:$Y38)+SUMIF($AD$3:$BA$3,"&gt;="&amp;$DG38,$B38:$Y38)),
IF(AN$3=$DF38+'Model Setup'!$N$7,SUMIF($AD$3:$BA$3,"="&amp;$DF38+'Model Setup'!$N$7,$B38:$Y38)+'Model Setup'!$N$8*(SUMIF($AD$3:$BA$3,"&lt;"&amp;$DF38,$B38:$Y38)+SUMIF($AD$3:$BA$3,"&gt;="&amp;$DG38,$B38:$Y38)),
IF(AN$3&lt;$DG38,L38,0))))))))))))))),0)</f>
        <v>37</v>
      </c>
      <c r="AO38" s="47">
        <f>ROUND(IF(AO$3&lt;$DF38,0,
IF(AO$3=$DF38+'Model Setup'!$B$7,SUMIF($AD$3:$BA$3,"="&amp;$DF38+'Model Setup'!$B$7,$B38:$Y38)+'Model Setup'!$B$8*(SUMIF($AD$3:$BA$3,"&lt;"&amp;$DF38,$B38:$Y38)+SUMIF($AD$3:$BA$3,"&gt;="&amp;$DG38,$B38:$Y38)),
IF(AO$3=$DF38+'Model Setup'!$C$7,SUMIF($AD$3:$BA$3,"="&amp;$DF38+'Model Setup'!$C$7,$B38:$Y38)+'Model Setup'!$C$8*(SUMIF($AD$3:$BA$3,"&lt;"&amp;$DF38,$B38:$Y38)+SUMIF($AD$3:$BA$3,"&gt;="&amp;$DG38,$B38:$Y38)),
IF(AO$3=$DF38+'Model Setup'!$D$7,SUMIF($AD$3:$BA$3,"="&amp;$DF38+'Model Setup'!$D$7,$B38:$Y38)+'Model Setup'!$D$8*(SUMIF($AD$3:$BA$3,"&lt;"&amp;$DF38,$B38:$Y38)+SUMIF($AD$3:$BA$3,"&gt;="&amp;$DG38,$B38:$Y38)),
IF(AO$3=$DF38+'Model Setup'!$E$7,SUMIF($AD$3:$BA$3,"="&amp;$DF38+'Model Setup'!$E$7,$B38:$Y38)+'Model Setup'!$E$8*(SUMIF($AD$3:$BA$3,"&lt;"&amp;$DF38,$B38:$Y38)+SUMIF($AD$3:$BA$3,"&gt;="&amp;$DG38,$B38:$Y38)),
IF(AO$3=$DF38+'Model Setup'!$F$7,SUMIF($AD$3:$BA$3,"="&amp;$DF38+'Model Setup'!$F$7,$B38:$Y38)+'Model Setup'!$F$8*(SUMIF($AD$3:$BA$3,"&lt;"&amp;$DF38,$B38:$Y38)+SUMIF($AD$3:$BA$3,"&gt;="&amp;$DG38,$B38:$Y38)),
IF(AO$3=$DF38+'Model Setup'!$G$7,SUMIF($AD$3:$BA$3,"="&amp;$DF38+'Model Setup'!$G$7,$B38:$Y38)+'Model Setup'!$G$8*(SUMIF($AD$3:$BA$3,"&lt;"&amp;$DF38,$B38:$Y38)+SUMIF($AD$3:$BA$3,"&gt;="&amp;$DG38,$B38:$Y38)),
IF(AO$3=$DF38+'Model Setup'!$H$7,SUMIF($AD$3:$BA$3,"="&amp;$DF38+'Model Setup'!$H$7,$B38:$Y38)+'Model Setup'!$H$8*(SUMIF($AD$3:$BA$3,"&lt;"&amp;$DF38,$B38:$Y38)+SUMIF($AD$3:$BA$3,"&gt;="&amp;$DG38,$B38:$Y38)),
IF(AO$3=$DF38+'Model Setup'!$I$7,SUMIF($AD$3:$BA$3,"="&amp;$DF38+'Model Setup'!$I$7,$B38:$Y38)+'Model Setup'!$I$8*(SUMIF($AD$3:$BA$3,"&lt;"&amp;$DF38,$B38:$Y38)+SUMIF($AD$3:$BA$3,"&gt;="&amp;$DG38,$B38:$Y38)),
IF(AO$3=$DF38+'Model Setup'!$J$7,SUMIF($AD$3:$BA$3,"="&amp;$DF38+'Model Setup'!$J$7,$B38:$Y38)+'Model Setup'!$J$8*(SUMIF($AD$3:$BA$3,"&lt;"&amp;$DF38,$B38:$Y38)+SUMIF($AD$3:$BA$3,"&gt;="&amp;$DG38,$B38:$Y38)),
IF(AO$3=$DF38+'Model Setup'!$K$7,SUMIF($AD$3:$BA$3,"="&amp;$DF38+'Model Setup'!$K$7,$B38:$Y38)+'Model Setup'!$K$8*(SUMIF($AD$3:$BA$3,"&lt;"&amp;$DF38,$B38:$Y38)+SUMIF($AD$3:$BA$3,"&gt;="&amp;$DG38,$B38:$Y38)),
IF(AO$3=$DF38+'Model Setup'!$L$7,SUMIF($AD$3:$BA$3,"="&amp;$DF38+'Model Setup'!$L$7,$B38:$Y38)+'Model Setup'!$L$8*(SUMIF($AD$3:$BA$3,"&lt;"&amp;$DF38,$B38:$Y38)+SUMIF($AD$3:$BA$3,"&gt;="&amp;$DG38,$B38:$Y38)),
IF(AO$3=$DF38+'Model Setup'!$M$7,SUMIF($AD$3:$BA$3,"="&amp;$DF38+'Model Setup'!$M$7,$B38:$Y38)+'Model Setup'!$M$8*(SUMIF($AD$3:$BA$3,"&lt;"&amp;$DF38,$B38:$Y38)+SUMIF($AD$3:$BA$3,"&gt;="&amp;$DG38,$B38:$Y38)),
IF(AO$3=$DF38+'Model Setup'!$N$7,SUMIF($AD$3:$BA$3,"="&amp;$DF38+'Model Setup'!$N$7,$B38:$Y38)+'Model Setup'!$N$8*(SUMIF($AD$3:$BA$3,"&lt;"&amp;$DF38,$B38:$Y38)+SUMIF($AD$3:$BA$3,"&gt;="&amp;$DG38,$B38:$Y38)),
IF(AO$3&lt;$DG38,M38,0))))))))))))))),0)</f>
        <v>31</v>
      </c>
      <c r="AP38" s="47">
        <f>ROUND(IF(AP$3&lt;$DF38,0,
IF(AP$3=$DF38+'Model Setup'!$B$7,SUMIF($AD$3:$BA$3,"="&amp;$DF38+'Model Setup'!$B$7,$B38:$Y38)+'Model Setup'!$B$8*(SUMIF($AD$3:$BA$3,"&lt;"&amp;$DF38,$B38:$Y38)+SUMIF($AD$3:$BA$3,"&gt;="&amp;$DG38,$B38:$Y38)),
IF(AP$3=$DF38+'Model Setup'!$C$7,SUMIF($AD$3:$BA$3,"="&amp;$DF38+'Model Setup'!$C$7,$B38:$Y38)+'Model Setup'!$C$8*(SUMIF($AD$3:$BA$3,"&lt;"&amp;$DF38,$B38:$Y38)+SUMIF($AD$3:$BA$3,"&gt;="&amp;$DG38,$B38:$Y38)),
IF(AP$3=$DF38+'Model Setup'!$D$7,SUMIF($AD$3:$BA$3,"="&amp;$DF38+'Model Setup'!$D$7,$B38:$Y38)+'Model Setup'!$D$8*(SUMIF($AD$3:$BA$3,"&lt;"&amp;$DF38,$B38:$Y38)+SUMIF($AD$3:$BA$3,"&gt;="&amp;$DG38,$B38:$Y38)),
IF(AP$3=$DF38+'Model Setup'!$E$7,SUMIF($AD$3:$BA$3,"="&amp;$DF38+'Model Setup'!$E$7,$B38:$Y38)+'Model Setup'!$E$8*(SUMIF($AD$3:$BA$3,"&lt;"&amp;$DF38,$B38:$Y38)+SUMIF($AD$3:$BA$3,"&gt;="&amp;$DG38,$B38:$Y38)),
IF(AP$3=$DF38+'Model Setup'!$F$7,SUMIF($AD$3:$BA$3,"="&amp;$DF38+'Model Setup'!$F$7,$B38:$Y38)+'Model Setup'!$F$8*(SUMIF($AD$3:$BA$3,"&lt;"&amp;$DF38,$B38:$Y38)+SUMIF($AD$3:$BA$3,"&gt;="&amp;$DG38,$B38:$Y38)),
IF(AP$3=$DF38+'Model Setup'!$G$7,SUMIF($AD$3:$BA$3,"="&amp;$DF38+'Model Setup'!$G$7,$B38:$Y38)+'Model Setup'!$G$8*(SUMIF($AD$3:$BA$3,"&lt;"&amp;$DF38,$B38:$Y38)+SUMIF($AD$3:$BA$3,"&gt;="&amp;$DG38,$B38:$Y38)),
IF(AP$3=$DF38+'Model Setup'!$H$7,SUMIF($AD$3:$BA$3,"="&amp;$DF38+'Model Setup'!$H$7,$B38:$Y38)+'Model Setup'!$H$8*(SUMIF($AD$3:$BA$3,"&lt;"&amp;$DF38,$B38:$Y38)+SUMIF($AD$3:$BA$3,"&gt;="&amp;$DG38,$B38:$Y38)),
IF(AP$3=$DF38+'Model Setup'!$I$7,SUMIF($AD$3:$BA$3,"="&amp;$DF38+'Model Setup'!$I$7,$B38:$Y38)+'Model Setup'!$I$8*(SUMIF($AD$3:$BA$3,"&lt;"&amp;$DF38,$B38:$Y38)+SUMIF($AD$3:$BA$3,"&gt;="&amp;$DG38,$B38:$Y38)),
IF(AP$3=$DF38+'Model Setup'!$J$7,SUMIF($AD$3:$BA$3,"="&amp;$DF38+'Model Setup'!$J$7,$B38:$Y38)+'Model Setup'!$J$8*(SUMIF($AD$3:$BA$3,"&lt;"&amp;$DF38,$B38:$Y38)+SUMIF($AD$3:$BA$3,"&gt;="&amp;$DG38,$B38:$Y38)),
IF(AP$3=$DF38+'Model Setup'!$K$7,SUMIF($AD$3:$BA$3,"="&amp;$DF38+'Model Setup'!$K$7,$B38:$Y38)+'Model Setup'!$K$8*(SUMIF($AD$3:$BA$3,"&lt;"&amp;$DF38,$B38:$Y38)+SUMIF($AD$3:$BA$3,"&gt;="&amp;$DG38,$B38:$Y38)),
IF(AP$3=$DF38+'Model Setup'!$L$7,SUMIF($AD$3:$BA$3,"="&amp;$DF38+'Model Setup'!$L$7,$B38:$Y38)+'Model Setup'!$L$8*(SUMIF($AD$3:$BA$3,"&lt;"&amp;$DF38,$B38:$Y38)+SUMIF($AD$3:$BA$3,"&gt;="&amp;$DG38,$B38:$Y38)),
IF(AP$3=$DF38+'Model Setup'!$M$7,SUMIF($AD$3:$BA$3,"="&amp;$DF38+'Model Setup'!$M$7,$B38:$Y38)+'Model Setup'!$M$8*(SUMIF($AD$3:$BA$3,"&lt;"&amp;$DF38,$B38:$Y38)+SUMIF($AD$3:$BA$3,"&gt;="&amp;$DG38,$B38:$Y38)),
IF(AP$3=$DF38+'Model Setup'!$N$7,SUMIF($AD$3:$BA$3,"="&amp;$DF38+'Model Setup'!$N$7,$B38:$Y38)+'Model Setup'!$N$8*(SUMIF($AD$3:$BA$3,"&lt;"&amp;$DF38,$B38:$Y38)+SUMIF($AD$3:$BA$3,"&gt;="&amp;$DG38,$B38:$Y38)),
IF(AP$3&lt;$DG38,N38,0))))))))))))))),0)</f>
        <v>30</v>
      </c>
      <c r="AQ38" s="47">
        <f>ROUND(IF(AQ$3&lt;$DF38,0,
IF(AQ$3=$DF38+'Model Setup'!$B$7,SUMIF($AD$3:$BA$3,"="&amp;$DF38+'Model Setup'!$B$7,$B38:$Y38)+'Model Setup'!$B$8*(SUMIF($AD$3:$BA$3,"&lt;"&amp;$DF38,$B38:$Y38)+SUMIF($AD$3:$BA$3,"&gt;="&amp;$DG38,$B38:$Y38)),
IF(AQ$3=$DF38+'Model Setup'!$C$7,SUMIF($AD$3:$BA$3,"="&amp;$DF38+'Model Setup'!$C$7,$B38:$Y38)+'Model Setup'!$C$8*(SUMIF($AD$3:$BA$3,"&lt;"&amp;$DF38,$B38:$Y38)+SUMIF($AD$3:$BA$3,"&gt;="&amp;$DG38,$B38:$Y38)),
IF(AQ$3=$DF38+'Model Setup'!$D$7,SUMIF($AD$3:$BA$3,"="&amp;$DF38+'Model Setup'!$D$7,$B38:$Y38)+'Model Setup'!$D$8*(SUMIF($AD$3:$BA$3,"&lt;"&amp;$DF38,$B38:$Y38)+SUMIF($AD$3:$BA$3,"&gt;="&amp;$DG38,$B38:$Y38)),
IF(AQ$3=$DF38+'Model Setup'!$E$7,SUMIF($AD$3:$BA$3,"="&amp;$DF38+'Model Setup'!$E$7,$B38:$Y38)+'Model Setup'!$E$8*(SUMIF($AD$3:$BA$3,"&lt;"&amp;$DF38,$B38:$Y38)+SUMIF($AD$3:$BA$3,"&gt;="&amp;$DG38,$B38:$Y38)),
IF(AQ$3=$DF38+'Model Setup'!$F$7,SUMIF($AD$3:$BA$3,"="&amp;$DF38+'Model Setup'!$F$7,$B38:$Y38)+'Model Setup'!$F$8*(SUMIF($AD$3:$BA$3,"&lt;"&amp;$DF38,$B38:$Y38)+SUMIF($AD$3:$BA$3,"&gt;="&amp;$DG38,$B38:$Y38)),
IF(AQ$3=$DF38+'Model Setup'!$G$7,SUMIF($AD$3:$BA$3,"="&amp;$DF38+'Model Setup'!$G$7,$B38:$Y38)+'Model Setup'!$G$8*(SUMIF($AD$3:$BA$3,"&lt;"&amp;$DF38,$B38:$Y38)+SUMIF($AD$3:$BA$3,"&gt;="&amp;$DG38,$B38:$Y38)),
IF(AQ$3=$DF38+'Model Setup'!$H$7,SUMIF($AD$3:$BA$3,"="&amp;$DF38+'Model Setup'!$H$7,$B38:$Y38)+'Model Setup'!$H$8*(SUMIF($AD$3:$BA$3,"&lt;"&amp;$DF38,$B38:$Y38)+SUMIF($AD$3:$BA$3,"&gt;="&amp;$DG38,$B38:$Y38)),
IF(AQ$3=$DF38+'Model Setup'!$I$7,SUMIF($AD$3:$BA$3,"="&amp;$DF38+'Model Setup'!$I$7,$B38:$Y38)+'Model Setup'!$I$8*(SUMIF($AD$3:$BA$3,"&lt;"&amp;$DF38,$B38:$Y38)+SUMIF($AD$3:$BA$3,"&gt;="&amp;$DG38,$B38:$Y38)),
IF(AQ$3=$DF38+'Model Setup'!$J$7,SUMIF($AD$3:$BA$3,"="&amp;$DF38+'Model Setup'!$J$7,$B38:$Y38)+'Model Setup'!$J$8*(SUMIF($AD$3:$BA$3,"&lt;"&amp;$DF38,$B38:$Y38)+SUMIF($AD$3:$BA$3,"&gt;="&amp;$DG38,$B38:$Y38)),
IF(AQ$3=$DF38+'Model Setup'!$K$7,SUMIF($AD$3:$BA$3,"="&amp;$DF38+'Model Setup'!$K$7,$B38:$Y38)+'Model Setup'!$K$8*(SUMIF($AD$3:$BA$3,"&lt;"&amp;$DF38,$B38:$Y38)+SUMIF($AD$3:$BA$3,"&gt;="&amp;$DG38,$B38:$Y38)),
IF(AQ$3=$DF38+'Model Setup'!$L$7,SUMIF($AD$3:$BA$3,"="&amp;$DF38+'Model Setup'!$L$7,$B38:$Y38)+'Model Setup'!$L$8*(SUMIF($AD$3:$BA$3,"&lt;"&amp;$DF38,$B38:$Y38)+SUMIF($AD$3:$BA$3,"&gt;="&amp;$DG38,$B38:$Y38)),
IF(AQ$3=$DF38+'Model Setup'!$M$7,SUMIF($AD$3:$BA$3,"="&amp;$DF38+'Model Setup'!$M$7,$B38:$Y38)+'Model Setup'!$M$8*(SUMIF($AD$3:$BA$3,"&lt;"&amp;$DF38,$B38:$Y38)+SUMIF($AD$3:$BA$3,"&gt;="&amp;$DG38,$B38:$Y38)),
IF(AQ$3=$DF38+'Model Setup'!$N$7,SUMIF($AD$3:$BA$3,"="&amp;$DF38+'Model Setup'!$N$7,$B38:$Y38)+'Model Setup'!$N$8*(SUMIF($AD$3:$BA$3,"&lt;"&amp;$DF38,$B38:$Y38)+SUMIF($AD$3:$BA$3,"&gt;="&amp;$DG38,$B38:$Y38)),
IF(AQ$3&lt;$DG38,O38,0))))))))))))))),0)</f>
        <v>14</v>
      </c>
      <c r="AR38" s="47">
        <f>ROUND(IF(AR$3&lt;$DF38,0,
IF(AR$3=$DF38+'Model Setup'!$B$7,SUMIF($AD$3:$BA$3,"="&amp;$DF38+'Model Setup'!$B$7,$B38:$Y38)+'Model Setup'!$B$8*(SUMIF($AD$3:$BA$3,"&lt;"&amp;$DF38,$B38:$Y38)+SUMIF($AD$3:$BA$3,"&gt;="&amp;$DG38,$B38:$Y38)),
IF(AR$3=$DF38+'Model Setup'!$C$7,SUMIF($AD$3:$BA$3,"="&amp;$DF38+'Model Setup'!$C$7,$B38:$Y38)+'Model Setup'!$C$8*(SUMIF($AD$3:$BA$3,"&lt;"&amp;$DF38,$B38:$Y38)+SUMIF($AD$3:$BA$3,"&gt;="&amp;$DG38,$B38:$Y38)),
IF(AR$3=$DF38+'Model Setup'!$D$7,SUMIF($AD$3:$BA$3,"="&amp;$DF38+'Model Setup'!$D$7,$B38:$Y38)+'Model Setup'!$D$8*(SUMIF($AD$3:$BA$3,"&lt;"&amp;$DF38,$B38:$Y38)+SUMIF($AD$3:$BA$3,"&gt;="&amp;$DG38,$B38:$Y38)),
IF(AR$3=$DF38+'Model Setup'!$E$7,SUMIF($AD$3:$BA$3,"="&amp;$DF38+'Model Setup'!$E$7,$B38:$Y38)+'Model Setup'!$E$8*(SUMIF($AD$3:$BA$3,"&lt;"&amp;$DF38,$B38:$Y38)+SUMIF($AD$3:$BA$3,"&gt;="&amp;$DG38,$B38:$Y38)),
IF(AR$3=$DF38+'Model Setup'!$F$7,SUMIF($AD$3:$BA$3,"="&amp;$DF38+'Model Setup'!$F$7,$B38:$Y38)+'Model Setup'!$F$8*(SUMIF($AD$3:$BA$3,"&lt;"&amp;$DF38,$B38:$Y38)+SUMIF($AD$3:$BA$3,"&gt;="&amp;$DG38,$B38:$Y38)),
IF(AR$3=$DF38+'Model Setup'!$G$7,SUMIF($AD$3:$BA$3,"="&amp;$DF38+'Model Setup'!$G$7,$B38:$Y38)+'Model Setup'!$G$8*(SUMIF($AD$3:$BA$3,"&lt;"&amp;$DF38,$B38:$Y38)+SUMIF($AD$3:$BA$3,"&gt;="&amp;$DG38,$B38:$Y38)),
IF(AR$3=$DF38+'Model Setup'!$H$7,SUMIF($AD$3:$BA$3,"="&amp;$DF38+'Model Setup'!$H$7,$B38:$Y38)+'Model Setup'!$H$8*(SUMIF($AD$3:$BA$3,"&lt;"&amp;$DF38,$B38:$Y38)+SUMIF($AD$3:$BA$3,"&gt;="&amp;$DG38,$B38:$Y38)),
IF(AR$3=$DF38+'Model Setup'!$I$7,SUMIF($AD$3:$BA$3,"="&amp;$DF38+'Model Setup'!$I$7,$B38:$Y38)+'Model Setup'!$I$8*(SUMIF($AD$3:$BA$3,"&lt;"&amp;$DF38,$B38:$Y38)+SUMIF($AD$3:$BA$3,"&gt;="&amp;$DG38,$B38:$Y38)),
IF(AR$3=$DF38+'Model Setup'!$J$7,SUMIF($AD$3:$BA$3,"="&amp;$DF38+'Model Setup'!$J$7,$B38:$Y38)+'Model Setup'!$J$8*(SUMIF($AD$3:$BA$3,"&lt;"&amp;$DF38,$B38:$Y38)+SUMIF($AD$3:$BA$3,"&gt;="&amp;$DG38,$B38:$Y38)),
IF(AR$3=$DF38+'Model Setup'!$K$7,SUMIF($AD$3:$BA$3,"="&amp;$DF38+'Model Setup'!$K$7,$B38:$Y38)+'Model Setup'!$K$8*(SUMIF($AD$3:$BA$3,"&lt;"&amp;$DF38,$B38:$Y38)+SUMIF($AD$3:$BA$3,"&gt;="&amp;$DG38,$B38:$Y38)),
IF(AR$3=$DF38+'Model Setup'!$L$7,SUMIF($AD$3:$BA$3,"="&amp;$DF38+'Model Setup'!$L$7,$B38:$Y38)+'Model Setup'!$L$8*(SUMIF($AD$3:$BA$3,"&lt;"&amp;$DF38,$B38:$Y38)+SUMIF($AD$3:$BA$3,"&gt;="&amp;$DG38,$B38:$Y38)),
IF(AR$3=$DF38+'Model Setup'!$M$7,SUMIF($AD$3:$BA$3,"="&amp;$DF38+'Model Setup'!$M$7,$B38:$Y38)+'Model Setup'!$M$8*(SUMIF($AD$3:$BA$3,"&lt;"&amp;$DF38,$B38:$Y38)+SUMIF($AD$3:$BA$3,"&gt;="&amp;$DG38,$B38:$Y38)),
IF(AR$3=$DF38+'Model Setup'!$N$7,SUMIF($AD$3:$BA$3,"="&amp;$DF38+'Model Setup'!$N$7,$B38:$Y38)+'Model Setup'!$N$8*(SUMIF($AD$3:$BA$3,"&lt;"&amp;$DF38,$B38:$Y38)+SUMIF($AD$3:$BA$3,"&gt;="&amp;$DG38,$B38:$Y38)),
IF(AR$3&lt;$DG38,P38,0))))))))))))))),0)</f>
        <v>23</v>
      </c>
      <c r="AS38" s="47">
        <f>ROUND(IF(AS$3&lt;$DF38,0,
IF(AS$3=$DF38+'Model Setup'!$B$7,SUMIF($AD$3:$BA$3,"="&amp;$DF38+'Model Setup'!$B$7,$B38:$Y38)+'Model Setup'!$B$8*(SUMIF($AD$3:$BA$3,"&lt;"&amp;$DF38,$B38:$Y38)+SUMIF($AD$3:$BA$3,"&gt;="&amp;$DG38,$B38:$Y38)),
IF(AS$3=$DF38+'Model Setup'!$C$7,SUMIF($AD$3:$BA$3,"="&amp;$DF38+'Model Setup'!$C$7,$B38:$Y38)+'Model Setup'!$C$8*(SUMIF($AD$3:$BA$3,"&lt;"&amp;$DF38,$B38:$Y38)+SUMIF($AD$3:$BA$3,"&gt;="&amp;$DG38,$B38:$Y38)),
IF(AS$3=$DF38+'Model Setup'!$D$7,SUMIF($AD$3:$BA$3,"="&amp;$DF38+'Model Setup'!$D$7,$B38:$Y38)+'Model Setup'!$D$8*(SUMIF($AD$3:$BA$3,"&lt;"&amp;$DF38,$B38:$Y38)+SUMIF($AD$3:$BA$3,"&gt;="&amp;$DG38,$B38:$Y38)),
IF(AS$3=$DF38+'Model Setup'!$E$7,SUMIF($AD$3:$BA$3,"="&amp;$DF38+'Model Setup'!$E$7,$B38:$Y38)+'Model Setup'!$E$8*(SUMIF($AD$3:$BA$3,"&lt;"&amp;$DF38,$B38:$Y38)+SUMIF($AD$3:$BA$3,"&gt;="&amp;$DG38,$B38:$Y38)),
IF(AS$3=$DF38+'Model Setup'!$F$7,SUMIF($AD$3:$BA$3,"="&amp;$DF38+'Model Setup'!$F$7,$B38:$Y38)+'Model Setup'!$F$8*(SUMIF($AD$3:$BA$3,"&lt;"&amp;$DF38,$B38:$Y38)+SUMIF($AD$3:$BA$3,"&gt;="&amp;$DG38,$B38:$Y38)),
IF(AS$3=$DF38+'Model Setup'!$G$7,SUMIF($AD$3:$BA$3,"="&amp;$DF38+'Model Setup'!$G$7,$B38:$Y38)+'Model Setup'!$G$8*(SUMIF($AD$3:$BA$3,"&lt;"&amp;$DF38,$B38:$Y38)+SUMIF($AD$3:$BA$3,"&gt;="&amp;$DG38,$B38:$Y38)),
IF(AS$3=$DF38+'Model Setup'!$H$7,SUMIF($AD$3:$BA$3,"="&amp;$DF38+'Model Setup'!$H$7,$B38:$Y38)+'Model Setup'!$H$8*(SUMIF($AD$3:$BA$3,"&lt;"&amp;$DF38,$B38:$Y38)+SUMIF($AD$3:$BA$3,"&gt;="&amp;$DG38,$B38:$Y38)),
IF(AS$3=$DF38+'Model Setup'!$I$7,SUMIF($AD$3:$BA$3,"="&amp;$DF38+'Model Setup'!$I$7,$B38:$Y38)+'Model Setup'!$I$8*(SUMIF($AD$3:$BA$3,"&lt;"&amp;$DF38,$B38:$Y38)+SUMIF($AD$3:$BA$3,"&gt;="&amp;$DG38,$B38:$Y38)),
IF(AS$3=$DF38+'Model Setup'!$J$7,SUMIF($AD$3:$BA$3,"="&amp;$DF38+'Model Setup'!$J$7,$B38:$Y38)+'Model Setup'!$J$8*(SUMIF($AD$3:$BA$3,"&lt;"&amp;$DF38,$B38:$Y38)+SUMIF($AD$3:$BA$3,"&gt;="&amp;$DG38,$B38:$Y38)),
IF(AS$3=$DF38+'Model Setup'!$K$7,SUMIF($AD$3:$BA$3,"="&amp;$DF38+'Model Setup'!$K$7,$B38:$Y38)+'Model Setup'!$K$8*(SUMIF($AD$3:$BA$3,"&lt;"&amp;$DF38,$B38:$Y38)+SUMIF($AD$3:$BA$3,"&gt;="&amp;$DG38,$B38:$Y38)),
IF(AS$3=$DF38+'Model Setup'!$L$7,SUMIF($AD$3:$BA$3,"="&amp;$DF38+'Model Setup'!$L$7,$B38:$Y38)+'Model Setup'!$L$8*(SUMIF($AD$3:$BA$3,"&lt;"&amp;$DF38,$B38:$Y38)+SUMIF($AD$3:$BA$3,"&gt;="&amp;$DG38,$B38:$Y38)),
IF(AS$3=$DF38+'Model Setup'!$M$7,SUMIF($AD$3:$BA$3,"="&amp;$DF38+'Model Setup'!$M$7,$B38:$Y38)+'Model Setup'!$M$8*(SUMIF($AD$3:$BA$3,"&lt;"&amp;$DF38,$B38:$Y38)+SUMIF($AD$3:$BA$3,"&gt;="&amp;$DG38,$B38:$Y38)),
IF(AS$3=$DF38+'Model Setup'!$N$7,SUMIF($AD$3:$BA$3,"="&amp;$DF38+'Model Setup'!$N$7,$B38:$Y38)+'Model Setup'!$N$8*(SUMIF($AD$3:$BA$3,"&lt;"&amp;$DF38,$B38:$Y38)+SUMIF($AD$3:$BA$3,"&gt;="&amp;$DG38,$B38:$Y38)),
IF(AS$3&lt;$DG38,Q38,0))))))))))))))),0)</f>
        <v>17</v>
      </c>
      <c r="AT38" s="47">
        <f>ROUND(IF(AT$3&lt;$DF38,0,
IF(AT$3=$DF38+'Model Setup'!$B$7,SUMIF($AD$3:$BA$3,"="&amp;$DF38+'Model Setup'!$B$7,$B38:$Y38)+'Model Setup'!$B$8*(SUMIF($AD$3:$BA$3,"&lt;"&amp;$DF38,$B38:$Y38)+SUMIF($AD$3:$BA$3,"&gt;="&amp;$DG38,$B38:$Y38)),
IF(AT$3=$DF38+'Model Setup'!$C$7,SUMIF($AD$3:$BA$3,"="&amp;$DF38+'Model Setup'!$C$7,$B38:$Y38)+'Model Setup'!$C$8*(SUMIF($AD$3:$BA$3,"&lt;"&amp;$DF38,$B38:$Y38)+SUMIF($AD$3:$BA$3,"&gt;="&amp;$DG38,$B38:$Y38)),
IF(AT$3=$DF38+'Model Setup'!$D$7,SUMIF($AD$3:$BA$3,"="&amp;$DF38+'Model Setup'!$D$7,$B38:$Y38)+'Model Setup'!$D$8*(SUMIF($AD$3:$BA$3,"&lt;"&amp;$DF38,$B38:$Y38)+SUMIF($AD$3:$BA$3,"&gt;="&amp;$DG38,$B38:$Y38)),
IF(AT$3=$DF38+'Model Setup'!$E$7,SUMIF($AD$3:$BA$3,"="&amp;$DF38+'Model Setup'!$E$7,$B38:$Y38)+'Model Setup'!$E$8*(SUMIF($AD$3:$BA$3,"&lt;"&amp;$DF38,$B38:$Y38)+SUMIF($AD$3:$BA$3,"&gt;="&amp;$DG38,$B38:$Y38)),
IF(AT$3=$DF38+'Model Setup'!$F$7,SUMIF($AD$3:$BA$3,"="&amp;$DF38+'Model Setup'!$F$7,$B38:$Y38)+'Model Setup'!$F$8*(SUMIF($AD$3:$BA$3,"&lt;"&amp;$DF38,$B38:$Y38)+SUMIF($AD$3:$BA$3,"&gt;="&amp;$DG38,$B38:$Y38)),
IF(AT$3=$DF38+'Model Setup'!$G$7,SUMIF($AD$3:$BA$3,"="&amp;$DF38+'Model Setup'!$G$7,$B38:$Y38)+'Model Setup'!$G$8*(SUMIF($AD$3:$BA$3,"&lt;"&amp;$DF38,$B38:$Y38)+SUMIF($AD$3:$BA$3,"&gt;="&amp;$DG38,$B38:$Y38)),
IF(AT$3=$DF38+'Model Setup'!$H$7,SUMIF($AD$3:$BA$3,"="&amp;$DF38+'Model Setup'!$H$7,$B38:$Y38)+'Model Setup'!$H$8*(SUMIF($AD$3:$BA$3,"&lt;"&amp;$DF38,$B38:$Y38)+SUMIF($AD$3:$BA$3,"&gt;="&amp;$DG38,$B38:$Y38)),
IF(AT$3=$DF38+'Model Setup'!$I$7,SUMIF($AD$3:$BA$3,"="&amp;$DF38+'Model Setup'!$I$7,$B38:$Y38)+'Model Setup'!$I$8*(SUMIF($AD$3:$BA$3,"&lt;"&amp;$DF38,$B38:$Y38)+SUMIF($AD$3:$BA$3,"&gt;="&amp;$DG38,$B38:$Y38)),
IF(AT$3=$DF38+'Model Setup'!$J$7,SUMIF($AD$3:$BA$3,"="&amp;$DF38+'Model Setup'!$J$7,$B38:$Y38)+'Model Setup'!$J$8*(SUMIF($AD$3:$BA$3,"&lt;"&amp;$DF38,$B38:$Y38)+SUMIF($AD$3:$BA$3,"&gt;="&amp;$DG38,$B38:$Y38)),
IF(AT$3=$DF38+'Model Setup'!$K$7,SUMIF($AD$3:$BA$3,"="&amp;$DF38+'Model Setup'!$K$7,$B38:$Y38)+'Model Setup'!$K$8*(SUMIF($AD$3:$BA$3,"&lt;"&amp;$DF38,$B38:$Y38)+SUMIF($AD$3:$BA$3,"&gt;="&amp;$DG38,$B38:$Y38)),
IF(AT$3=$DF38+'Model Setup'!$L$7,SUMIF($AD$3:$BA$3,"="&amp;$DF38+'Model Setup'!$L$7,$B38:$Y38)+'Model Setup'!$L$8*(SUMIF($AD$3:$BA$3,"&lt;"&amp;$DF38,$B38:$Y38)+SUMIF($AD$3:$BA$3,"&gt;="&amp;$DG38,$B38:$Y38)),
IF(AT$3=$DF38+'Model Setup'!$M$7,SUMIF($AD$3:$BA$3,"="&amp;$DF38+'Model Setup'!$M$7,$B38:$Y38)+'Model Setup'!$M$8*(SUMIF($AD$3:$BA$3,"&lt;"&amp;$DF38,$B38:$Y38)+SUMIF($AD$3:$BA$3,"&gt;="&amp;$DG38,$B38:$Y38)),
IF(AT$3=$DF38+'Model Setup'!$N$7,SUMIF($AD$3:$BA$3,"="&amp;$DF38+'Model Setup'!$N$7,$B38:$Y38)+'Model Setup'!$N$8*(SUMIF($AD$3:$BA$3,"&lt;"&amp;$DF38,$B38:$Y38)+SUMIF($AD$3:$BA$3,"&gt;="&amp;$DG38,$B38:$Y38)),
IF(AT$3&lt;$DG38,R38,0))))))))))))))),0)</f>
        <v>14</v>
      </c>
      <c r="AU38" s="47">
        <f>ROUND(IF(AU$3&lt;$DF38,0,
IF(AU$3=$DF38+'Model Setup'!$B$7,SUMIF($AD$3:$BA$3,"="&amp;$DF38+'Model Setup'!$B$7,$B38:$Y38)+'Model Setup'!$B$8*(SUMIF($AD$3:$BA$3,"&lt;"&amp;$DF38,$B38:$Y38)+SUMIF($AD$3:$BA$3,"&gt;="&amp;$DG38,$B38:$Y38)),
IF(AU$3=$DF38+'Model Setup'!$C$7,SUMIF($AD$3:$BA$3,"="&amp;$DF38+'Model Setup'!$C$7,$B38:$Y38)+'Model Setup'!$C$8*(SUMIF($AD$3:$BA$3,"&lt;"&amp;$DF38,$B38:$Y38)+SUMIF($AD$3:$BA$3,"&gt;="&amp;$DG38,$B38:$Y38)),
IF(AU$3=$DF38+'Model Setup'!$D$7,SUMIF($AD$3:$BA$3,"="&amp;$DF38+'Model Setup'!$D$7,$B38:$Y38)+'Model Setup'!$D$8*(SUMIF($AD$3:$BA$3,"&lt;"&amp;$DF38,$B38:$Y38)+SUMIF($AD$3:$BA$3,"&gt;="&amp;$DG38,$B38:$Y38)),
IF(AU$3=$DF38+'Model Setup'!$E$7,SUMIF($AD$3:$BA$3,"="&amp;$DF38+'Model Setup'!$E$7,$B38:$Y38)+'Model Setup'!$E$8*(SUMIF($AD$3:$BA$3,"&lt;"&amp;$DF38,$B38:$Y38)+SUMIF($AD$3:$BA$3,"&gt;="&amp;$DG38,$B38:$Y38)),
IF(AU$3=$DF38+'Model Setup'!$F$7,SUMIF($AD$3:$BA$3,"="&amp;$DF38+'Model Setup'!$F$7,$B38:$Y38)+'Model Setup'!$F$8*(SUMIF($AD$3:$BA$3,"&lt;"&amp;$DF38,$B38:$Y38)+SUMIF($AD$3:$BA$3,"&gt;="&amp;$DG38,$B38:$Y38)),
IF(AU$3=$DF38+'Model Setup'!$G$7,SUMIF($AD$3:$BA$3,"="&amp;$DF38+'Model Setup'!$G$7,$B38:$Y38)+'Model Setup'!$G$8*(SUMIF($AD$3:$BA$3,"&lt;"&amp;$DF38,$B38:$Y38)+SUMIF($AD$3:$BA$3,"&gt;="&amp;$DG38,$B38:$Y38)),
IF(AU$3=$DF38+'Model Setup'!$H$7,SUMIF($AD$3:$BA$3,"="&amp;$DF38+'Model Setup'!$H$7,$B38:$Y38)+'Model Setup'!$H$8*(SUMIF($AD$3:$BA$3,"&lt;"&amp;$DF38,$B38:$Y38)+SUMIF($AD$3:$BA$3,"&gt;="&amp;$DG38,$B38:$Y38)),
IF(AU$3=$DF38+'Model Setup'!$I$7,SUMIF($AD$3:$BA$3,"="&amp;$DF38+'Model Setup'!$I$7,$B38:$Y38)+'Model Setup'!$I$8*(SUMIF($AD$3:$BA$3,"&lt;"&amp;$DF38,$B38:$Y38)+SUMIF($AD$3:$BA$3,"&gt;="&amp;$DG38,$B38:$Y38)),
IF(AU$3=$DF38+'Model Setup'!$J$7,SUMIF($AD$3:$BA$3,"="&amp;$DF38+'Model Setup'!$J$7,$B38:$Y38)+'Model Setup'!$J$8*(SUMIF($AD$3:$BA$3,"&lt;"&amp;$DF38,$B38:$Y38)+SUMIF($AD$3:$BA$3,"&gt;="&amp;$DG38,$B38:$Y38)),
IF(AU$3=$DF38+'Model Setup'!$K$7,SUMIF($AD$3:$BA$3,"="&amp;$DF38+'Model Setup'!$K$7,$B38:$Y38)+'Model Setup'!$K$8*(SUMIF($AD$3:$BA$3,"&lt;"&amp;$DF38,$B38:$Y38)+SUMIF($AD$3:$BA$3,"&gt;="&amp;$DG38,$B38:$Y38)),
IF(AU$3=$DF38+'Model Setup'!$L$7,SUMIF($AD$3:$BA$3,"="&amp;$DF38+'Model Setup'!$L$7,$B38:$Y38)+'Model Setup'!$L$8*(SUMIF($AD$3:$BA$3,"&lt;"&amp;$DF38,$B38:$Y38)+SUMIF($AD$3:$BA$3,"&gt;="&amp;$DG38,$B38:$Y38)),
IF(AU$3=$DF38+'Model Setup'!$M$7,SUMIF($AD$3:$BA$3,"="&amp;$DF38+'Model Setup'!$M$7,$B38:$Y38)+'Model Setup'!$M$8*(SUMIF($AD$3:$BA$3,"&lt;"&amp;$DF38,$B38:$Y38)+SUMIF($AD$3:$BA$3,"&gt;="&amp;$DG38,$B38:$Y38)),
IF(AU$3=$DF38+'Model Setup'!$N$7,SUMIF($AD$3:$BA$3,"="&amp;$DF38+'Model Setup'!$N$7,$B38:$Y38)+'Model Setup'!$N$8*(SUMIF($AD$3:$BA$3,"&lt;"&amp;$DF38,$B38:$Y38)+SUMIF($AD$3:$BA$3,"&gt;="&amp;$DG38,$B38:$Y38)),
IF(AU$3&lt;$DG38,S38,0))))))))))))))),0)</f>
        <v>10</v>
      </c>
      <c r="AV38" s="47">
        <f>ROUND(IF(AV$3&lt;$DF38,0,
IF(AV$3=$DF38+'Model Setup'!$B$7,SUMIF($AD$3:$BA$3,"="&amp;$DF38+'Model Setup'!$B$7,$B38:$Y38)+'Model Setup'!$B$8*(SUMIF($AD$3:$BA$3,"&lt;"&amp;$DF38,$B38:$Y38)+SUMIF($AD$3:$BA$3,"&gt;="&amp;$DG38,$B38:$Y38)),
IF(AV$3=$DF38+'Model Setup'!$C$7,SUMIF($AD$3:$BA$3,"="&amp;$DF38+'Model Setup'!$C$7,$B38:$Y38)+'Model Setup'!$C$8*(SUMIF($AD$3:$BA$3,"&lt;"&amp;$DF38,$B38:$Y38)+SUMIF($AD$3:$BA$3,"&gt;="&amp;$DG38,$B38:$Y38)),
IF(AV$3=$DF38+'Model Setup'!$D$7,SUMIF($AD$3:$BA$3,"="&amp;$DF38+'Model Setup'!$D$7,$B38:$Y38)+'Model Setup'!$D$8*(SUMIF($AD$3:$BA$3,"&lt;"&amp;$DF38,$B38:$Y38)+SUMIF($AD$3:$BA$3,"&gt;="&amp;$DG38,$B38:$Y38)),
IF(AV$3=$DF38+'Model Setup'!$E$7,SUMIF($AD$3:$BA$3,"="&amp;$DF38+'Model Setup'!$E$7,$B38:$Y38)+'Model Setup'!$E$8*(SUMIF($AD$3:$BA$3,"&lt;"&amp;$DF38,$B38:$Y38)+SUMIF($AD$3:$BA$3,"&gt;="&amp;$DG38,$B38:$Y38)),
IF(AV$3=$DF38+'Model Setup'!$F$7,SUMIF($AD$3:$BA$3,"="&amp;$DF38+'Model Setup'!$F$7,$B38:$Y38)+'Model Setup'!$F$8*(SUMIF($AD$3:$BA$3,"&lt;"&amp;$DF38,$B38:$Y38)+SUMIF($AD$3:$BA$3,"&gt;="&amp;$DG38,$B38:$Y38)),
IF(AV$3=$DF38+'Model Setup'!$G$7,SUMIF($AD$3:$BA$3,"="&amp;$DF38+'Model Setup'!$G$7,$B38:$Y38)+'Model Setup'!$G$8*(SUMIF($AD$3:$BA$3,"&lt;"&amp;$DF38,$B38:$Y38)+SUMIF($AD$3:$BA$3,"&gt;="&amp;$DG38,$B38:$Y38)),
IF(AV$3=$DF38+'Model Setup'!$H$7,SUMIF($AD$3:$BA$3,"="&amp;$DF38+'Model Setup'!$H$7,$B38:$Y38)+'Model Setup'!$H$8*(SUMIF($AD$3:$BA$3,"&lt;"&amp;$DF38,$B38:$Y38)+SUMIF($AD$3:$BA$3,"&gt;="&amp;$DG38,$B38:$Y38)),
IF(AV$3=$DF38+'Model Setup'!$I$7,SUMIF($AD$3:$BA$3,"="&amp;$DF38+'Model Setup'!$I$7,$B38:$Y38)+'Model Setup'!$I$8*(SUMIF($AD$3:$BA$3,"&lt;"&amp;$DF38,$B38:$Y38)+SUMIF($AD$3:$BA$3,"&gt;="&amp;$DG38,$B38:$Y38)),
IF(AV$3=$DF38+'Model Setup'!$J$7,SUMIF($AD$3:$BA$3,"="&amp;$DF38+'Model Setup'!$J$7,$B38:$Y38)+'Model Setup'!$J$8*(SUMIF($AD$3:$BA$3,"&lt;"&amp;$DF38,$B38:$Y38)+SUMIF($AD$3:$BA$3,"&gt;="&amp;$DG38,$B38:$Y38)),
IF(AV$3=$DF38+'Model Setup'!$K$7,SUMIF($AD$3:$BA$3,"="&amp;$DF38+'Model Setup'!$K$7,$B38:$Y38)+'Model Setup'!$K$8*(SUMIF($AD$3:$BA$3,"&lt;"&amp;$DF38,$B38:$Y38)+SUMIF($AD$3:$BA$3,"&gt;="&amp;$DG38,$B38:$Y38)),
IF(AV$3=$DF38+'Model Setup'!$L$7,SUMIF($AD$3:$BA$3,"="&amp;$DF38+'Model Setup'!$L$7,$B38:$Y38)+'Model Setup'!$L$8*(SUMIF($AD$3:$BA$3,"&lt;"&amp;$DF38,$B38:$Y38)+SUMIF($AD$3:$BA$3,"&gt;="&amp;$DG38,$B38:$Y38)),
IF(AV$3=$DF38+'Model Setup'!$M$7,SUMIF($AD$3:$BA$3,"="&amp;$DF38+'Model Setup'!$M$7,$B38:$Y38)+'Model Setup'!$M$8*(SUMIF($AD$3:$BA$3,"&lt;"&amp;$DF38,$B38:$Y38)+SUMIF($AD$3:$BA$3,"&gt;="&amp;$DG38,$B38:$Y38)),
IF(AV$3=$DF38+'Model Setup'!$N$7,SUMIF($AD$3:$BA$3,"="&amp;$DF38+'Model Setup'!$N$7,$B38:$Y38)+'Model Setup'!$N$8*(SUMIF($AD$3:$BA$3,"&lt;"&amp;$DF38,$B38:$Y38)+SUMIF($AD$3:$BA$3,"&gt;="&amp;$DG38,$B38:$Y38)),
IF(AV$3&lt;$DG38,T38,0))))))))))))))),0)</f>
        <v>9</v>
      </c>
      <c r="AW38" s="47">
        <f>ROUND(IF(AW$3&lt;$DF38,0,
IF(AW$3=$DF38+'Model Setup'!$B$7,SUMIF($AD$3:$BA$3,"="&amp;$DF38+'Model Setup'!$B$7,$B38:$Y38)+'Model Setup'!$B$8*(SUMIF($AD$3:$BA$3,"&lt;"&amp;$DF38,$B38:$Y38)+SUMIF($AD$3:$BA$3,"&gt;="&amp;$DG38,$B38:$Y38)),
IF(AW$3=$DF38+'Model Setup'!$C$7,SUMIF($AD$3:$BA$3,"="&amp;$DF38+'Model Setup'!$C$7,$B38:$Y38)+'Model Setup'!$C$8*(SUMIF($AD$3:$BA$3,"&lt;"&amp;$DF38,$B38:$Y38)+SUMIF($AD$3:$BA$3,"&gt;="&amp;$DG38,$B38:$Y38)),
IF(AW$3=$DF38+'Model Setup'!$D$7,SUMIF($AD$3:$BA$3,"="&amp;$DF38+'Model Setup'!$D$7,$B38:$Y38)+'Model Setup'!$D$8*(SUMIF($AD$3:$BA$3,"&lt;"&amp;$DF38,$B38:$Y38)+SUMIF($AD$3:$BA$3,"&gt;="&amp;$DG38,$B38:$Y38)),
IF(AW$3=$DF38+'Model Setup'!$E$7,SUMIF($AD$3:$BA$3,"="&amp;$DF38+'Model Setup'!$E$7,$B38:$Y38)+'Model Setup'!$E$8*(SUMIF($AD$3:$BA$3,"&lt;"&amp;$DF38,$B38:$Y38)+SUMIF($AD$3:$BA$3,"&gt;="&amp;$DG38,$B38:$Y38)),
IF(AW$3=$DF38+'Model Setup'!$F$7,SUMIF($AD$3:$BA$3,"="&amp;$DF38+'Model Setup'!$F$7,$B38:$Y38)+'Model Setup'!$F$8*(SUMIF($AD$3:$BA$3,"&lt;"&amp;$DF38,$B38:$Y38)+SUMIF($AD$3:$BA$3,"&gt;="&amp;$DG38,$B38:$Y38)),
IF(AW$3=$DF38+'Model Setup'!$G$7,SUMIF($AD$3:$BA$3,"="&amp;$DF38+'Model Setup'!$G$7,$B38:$Y38)+'Model Setup'!$G$8*(SUMIF($AD$3:$BA$3,"&lt;"&amp;$DF38,$B38:$Y38)+SUMIF($AD$3:$BA$3,"&gt;="&amp;$DG38,$B38:$Y38)),
IF(AW$3=$DF38+'Model Setup'!$H$7,SUMIF($AD$3:$BA$3,"="&amp;$DF38+'Model Setup'!$H$7,$B38:$Y38)+'Model Setup'!$H$8*(SUMIF($AD$3:$BA$3,"&lt;"&amp;$DF38,$B38:$Y38)+SUMIF($AD$3:$BA$3,"&gt;="&amp;$DG38,$B38:$Y38)),
IF(AW$3=$DF38+'Model Setup'!$I$7,SUMIF($AD$3:$BA$3,"="&amp;$DF38+'Model Setup'!$I$7,$B38:$Y38)+'Model Setup'!$I$8*(SUMIF($AD$3:$BA$3,"&lt;"&amp;$DF38,$B38:$Y38)+SUMIF($AD$3:$BA$3,"&gt;="&amp;$DG38,$B38:$Y38)),
IF(AW$3=$DF38+'Model Setup'!$J$7,SUMIF($AD$3:$BA$3,"="&amp;$DF38+'Model Setup'!$J$7,$B38:$Y38)+'Model Setup'!$J$8*(SUMIF($AD$3:$BA$3,"&lt;"&amp;$DF38,$B38:$Y38)+SUMIF($AD$3:$BA$3,"&gt;="&amp;$DG38,$B38:$Y38)),
IF(AW$3=$DF38+'Model Setup'!$K$7,SUMIF($AD$3:$BA$3,"="&amp;$DF38+'Model Setup'!$K$7,$B38:$Y38)+'Model Setup'!$K$8*(SUMIF($AD$3:$BA$3,"&lt;"&amp;$DF38,$B38:$Y38)+SUMIF($AD$3:$BA$3,"&gt;="&amp;$DG38,$B38:$Y38)),
IF(AW$3=$DF38+'Model Setup'!$L$7,SUMIF($AD$3:$BA$3,"="&amp;$DF38+'Model Setup'!$L$7,$B38:$Y38)+'Model Setup'!$L$8*(SUMIF($AD$3:$BA$3,"&lt;"&amp;$DF38,$B38:$Y38)+SUMIF($AD$3:$BA$3,"&gt;="&amp;$DG38,$B38:$Y38)),
IF(AW$3=$DF38+'Model Setup'!$M$7,SUMIF($AD$3:$BA$3,"="&amp;$DF38+'Model Setup'!$M$7,$B38:$Y38)+'Model Setup'!$M$8*(SUMIF($AD$3:$BA$3,"&lt;"&amp;$DF38,$B38:$Y38)+SUMIF($AD$3:$BA$3,"&gt;="&amp;$DG38,$B38:$Y38)),
IF(AW$3=$DF38+'Model Setup'!$N$7,SUMIF($AD$3:$BA$3,"="&amp;$DF38+'Model Setup'!$N$7,$B38:$Y38)+'Model Setup'!$N$8*(SUMIF($AD$3:$BA$3,"&lt;"&amp;$DF38,$B38:$Y38)+SUMIF($AD$3:$BA$3,"&gt;="&amp;$DG38,$B38:$Y38)),
IF(AW$3&lt;$DG38,U38,0))))))))))))))),0)</f>
        <v>35</v>
      </c>
      <c r="AX38" s="47">
        <f>ROUND(IF(AX$3&lt;$DF38,0,
IF(AX$3=$DF38+'Model Setup'!$B$7,SUMIF($AD$3:$BA$3,"="&amp;$DF38+'Model Setup'!$B$7,$B38:$Y38)+'Model Setup'!$B$8*(SUMIF($AD$3:$BA$3,"&lt;"&amp;$DF38,$B38:$Y38)+SUMIF($AD$3:$BA$3,"&gt;="&amp;$DG38,$B38:$Y38)),
IF(AX$3=$DF38+'Model Setup'!$C$7,SUMIF($AD$3:$BA$3,"="&amp;$DF38+'Model Setup'!$C$7,$B38:$Y38)+'Model Setup'!$C$8*(SUMIF($AD$3:$BA$3,"&lt;"&amp;$DF38,$B38:$Y38)+SUMIF($AD$3:$BA$3,"&gt;="&amp;$DG38,$B38:$Y38)),
IF(AX$3=$DF38+'Model Setup'!$D$7,SUMIF($AD$3:$BA$3,"="&amp;$DF38+'Model Setup'!$D$7,$B38:$Y38)+'Model Setup'!$D$8*(SUMIF($AD$3:$BA$3,"&lt;"&amp;$DF38,$B38:$Y38)+SUMIF($AD$3:$BA$3,"&gt;="&amp;$DG38,$B38:$Y38)),
IF(AX$3=$DF38+'Model Setup'!$E$7,SUMIF($AD$3:$BA$3,"="&amp;$DF38+'Model Setup'!$E$7,$B38:$Y38)+'Model Setup'!$E$8*(SUMIF($AD$3:$BA$3,"&lt;"&amp;$DF38,$B38:$Y38)+SUMIF($AD$3:$BA$3,"&gt;="&amp;$DG38,$B38:$Y38)),
IF(AX$3=$DF38+'Model Setup'!$F$7,SUMIF($AD$3:$BA$3,"="&amp;$DF38+'Model Setup'!$F$7,$B38:$Y38)+'Model Setup'!$F$8*(SUMIF($AD$3:$BA$3,"&lt;"&amp;$DF38,$B38:$Y38)+SUMIF($AD$3:$BA$3,"&gt;="&amp;$DG38,$B38:$Y38)),
IF(AX$3=$DF38+'Model Setup'!$G$7,SUMIF($AD$3:$BA$3,"="&amp;$DF38+'Model Setup'!$G$7,$B38:$Y38)+'Model Setup'!$G$8*(SUMIF($AD$3:$BA$3,"&lt;"&amp;$DF38,$B38:$Y38)+SUMIF($AD$3:$BA$3,"&gt;="&amp;$DG38,$B38:$Y38)),
IF(AX$3=$DF38+'Model Setup'!$H$7,SUMIF($AD$3:$BA$3,"="&amp;$DF38+'Model Setup'!$H$7,$B38:$Y38)+'Model Setup'!$H$8*(SUMIF($AD$3:$BA$3,"&lt;"&amp;$DF38,$B38:$Y38)+SUMIF($AD$3:$BA$3,"&gt;="&amp;$DG38,$B38:$Y38)),
IF(AX$3=$DF38+'Model Setup'!$I$7,SUMIF($AD$3:$BA$3,"="&amp;$DF38+'Model Setup'!$I$7,$B38:$Y38)+'Model Setup'!$I$8*(SUMIF($AD$3:$BA$3,"&lt;"&amp;$DF38,$B38:$Y38)+SUMIF($AD$3:$BA$3,"&gt;="&amp;$DG38,$B38:$Y38)),
IF(AX$3=$DF38+'Model Setup'!$J$7,SUMIF($AD$3:$BA$3,"="&amp;$DF38+'Model Setup'!$J$7,$B38:$Y38)+'Model Setup'!$J$8*(SUMIF($AD$3:$BA$3,"&lt;"&amp;$DF38,$B38:$Y38)+SUMIF($AD$3:$BA$3,"&gt;="&amp;$DG38,$B38:$Y38)),
IF(AX$3=$DF38+'Model Setup'!$K$7,SUMIF($AD$3:$BA$3,"="&amp;$DF38+'Model Setup'!$K$7,$B38:$Y38)+'Model Setup'!$K$8*(SUMIF($AD$3:$BA$3,"&lt;"&amp;$DF38,$B38:$Y38)+SUMIF($AD$3:$BA$3,"&gt;="&amp;$DG38,$B38:$Y38)),
IF(AX$3=$DF38+'Model Setup'!$L$7,SUMIF($AD$3:$BA$3,"="&amp;$DF38+'Model Setup'!$L$7,$B38:$Y38)+'Model Setup'!$L$8*(SUMIF($AD$3:$BA$3,"&lt;"&amp;$DF38,$B38:$Y38)+SUMIF($AD$3:$BA$3,"&gt;="&amp;$DG38,$B38:$Y38)),
IF(AX$3=$DF38+'Model Setup'!$M$7,SUMIF($AD$3:$BA$3,"="&amp;$DF38+'Model Setup'!$M$7,$B38:$Y38)+'Model Setup'!$M$8*(SUMIF($AD$3:$BA$3,"&lt;"&amp;$DF38,$B38:$Y38)+SUMIF($AD$3:$BA$3,"&gt;="&amp;$DG38,$B38:$Y38)),
IF(AX$3=$DF38+'Model Setup'!$N$7,SUMIF($AD$3:$BA$3,"="&amp;$DF38+'Model Setup'!$N$7,$B38:$Y38)+'Model Setup'!$N$8*(SUMIF($AD$3:$BA$3,"&lt;"&amp;$DF38,$B38:$Y38)+SUMIF($AD$3:$BA$3,"&gt;="&amp;$DG38,$B38:$Y38)),
IF(AX$3&lt;$DG38,V38,0))))))))))))))),0)</f>
        <v>39</v>
      </c>
      <c r="AY38" s="47">
        <f>ROUND(IF(AY$3&lt;$DF38,0,
IF(AY$3=$DF38+'Model Setup'!$B$7,SUMIF($AD$3:$BA$3,"="&amp;$DF38+'Model Setup'!$B$7,$B38:$Y38)+'Model Setup'!$B$8*(SUMIF($AD$3:$BA$3,"&lt;"&amp;$DF38,$B38:$Y38)+SUMIF($AD$3:$BA$3,"&gt;="&amp;$DG38,$B38:$Y38)),
IF(AY$3=$DF38+'Model Setup'!$C$7,SUMIF($AD$3:$BA$3,"="&amp;$DF38+'Model Setup'!$C$7,$B38:$Y38)+'Model Setup'!$C$8*(SUMIF($AD$3:$BA$3,"&lt;"&amp;$DF38,$B38:$Y38)+SUMIF($AD$3:$BA$3,"&gt;="&amp;$DG38,$B38:$Y38)),
IF(AY$3=$DF38+'Model Setup'!$D$7,SUMIF($AD$3:$BA$3,"="&amp;$DF38+'Model Setup'!$D$7,$B38:$Y38)+'Model Setup'!$D$8*(SUMIF($AD$3:$BA$3,"&lt;"&amp;$DF38,$B38:$Y38)+SUMIF($AD$3:$BA$3,"&gt;="&amp;$DG38,$B38:$Y38)),
IF(AY$3=$DF38+'Model Setup'!$E$7,SUMIF($AD$3:$BA$3,"="&amp;$DF38+'Model Setup'!$E$7,$B38:$Y38)+'Model Setup'!$E$8*(SUMIF($AD$3:$BA$3,"&lt;"&amp;$DF38,$B38:$Y38)+SUMIF($AD$3:$BA$3,"&gt;="&amp;$DG38,$B38:$Y38)),
IF(AY$3=$DF38+'Model Setup'!$F$7,SUMIF($AD$3:$BA$3,"="&amp;$DF38+'Model Setup'!$F$7,$B38:$Y38)+'Model Setup'!$F$8*(SUMIF($AD$3:$BA$3,"&lt;"&amp;$DF38,$B38:$Y38)+SUMIF($AD$3:$BA$3,"&gt;="&amp;$DG38,$B38:$Y38)),
IF(AY$3=$DF38+'Model Setup'!$G$7,SUMIF($AD$3:$BA$3,"="&amp;$DF38+'Model Setup'!$G$7,$B38:$Y38)+'Model Setup'!$G$8*(SUMIF($AD$3:$BA$3,"&lt;"&amp;$DF38,$B38:$Y38)+SUMIF($AD$3:$BA$3,"&gt;="&amp;$DG38,$B38:$Y38)),
IF(AY$3=$DF38+'Model Setup'!$H$7,SUMIF($AD$3:$BA$3,"="&amp;$DF38+'Model Setup'!$H$7,$B38:$Y38)+'Model Setup'!$H$8*(SUMIF($AD$3:$BA$3,"&lt;"&amp;$DF38,$B38:$Y38)+SUMIF($AD$3:$BA$3,"&gt;="&amp;$DG38,$B38:$Y38)),
IF(AY$3=$DF38+'Model Setup'!$I$7,SUMIF($AD$3:$BA$3,"="&amp;$DF38+'Model Setup'!$I$7,$B38:$Y38)+'Model Setup'!$I$8*(SUMIF($AD$3:$BA$3,"&lt;"&amp;$DF38,$B38:$Y38)+SUMIF($AD$3:$BA$3,"&gt;="&amp;$DG38,$B38:$Y38)),
IF(AY$3=$DF38+'Model Setup'!$J$7,SUMIF($AD$3:$BA$3,"="&amp;$DF38+'Model Setup'!$J$7,$B38:$Y38)+'Model Setup'!$J$8*(SUMIF($AD$3:$BA$3,"&lt;"&amp;$DF38,$B38:$Y38)+SUMIF($AD$3:$BA$3,"&gt;="&amp;$DG38,$B38:$Y38)),
IF(AY$3=$DF38+'Model Setup'!$K$7,SUMIF($AD$3:$BA$3,"="&amp;$DF38+'Model Setup'!$K$7,$B38:$Y38)+'Model Setup'!$K$8*(SUMIF($AD$3:$BA$3,"&lt;"&amp;$DF38,$B38:$Y38)+SUMIF($AD$3:$BA$3,"&gt;="&amp;$DG38,$B38:$Y38)),
IF(AY$3=$DF38+'Model Setup'!$L$7,SUMIF($AD$3:$BA$3,"="&amp;$DF38+'Model Setup'!$L$7,$B38:$Y38)+'Model Setup'!$L$8*(SUMIF($AD$3:$BA$3,"&lt;"&amp;$DF38,$B38:$Y38)+SUMIF($AD$3:$BA$3,"&gt;="&amp;$DG38,$B38:$Y38)),
IF(AY$3=$DF38+'Model Setup'!$M$7,SUMIF($AD$3:$BA$3,"="&amp;$DF38+'Model Setup'!$M$7,$B38:$Y38)+'Model Setup'!$M$8*(SUMIF($AD$3:$BA$3,"&lt;"&amp;$DF38,$B38:$Y38)+SUMIF($AD$3:$BA$3,"&gt;="&amp;$DG38,$B38:$Y38)),
IF(AY$3=$DF38+'Model Setup'!$N$7,SUMIF($AD$3:$BA$3,"="&amp;$DF38+'Model Setup'!$N$7,$B38:$Y38)+'Model Setup'!$N$8*(SUMIF($AD$3:$BA$3,"&lt;"&amp;$DF38,$B38:$Y38)+SUMIF($AD$3:$BA$3,"&gt;="&amp;$DG38,$B38:$Y38)),
IF(AY$3&lt;$DG38,W38,0))))))))))))))),0)</f>
        <v>25</v>
      </c>
      <c r="AZ38" s="47">
        <f>ROUND(IF(AZ$3&lt;$DF38,0,
IF(AZ$3=$DF38+'Model Setup'!$B$7,SUMIF($AD$3:$BA$3,"="&amp;$DF38+'Model Setup'!$B$7,$B38:$Y38)+'Model Setup'!$B$8*(SUMIF($AD$3:$BA$3,"&lt;"&amp;$DF38,$B38:$Y38)+SUMIF($AD$3:$BA$3,"&gt;="&amp;$DG38,$B38:$Y38)),
IF(AZ$3=$DF38+'Model Setup'!$C$7,SUMIF($AD$3:$BA$3,"="&amp;$DF38+'Model Setup'!$C$7,$B38:$Y38)+'Model Setup'!$C$8*(SUMIF($AD$3:$BA$3,"&lt;"&amp;$DF38,$B38:$Y38)+SUMIF($AD$3:$BA$3,"&gt;="&amp;$DG38,$B38:$Y38)),
IF(AZ$3=$DF38+'Model Setup'!$D$7,SUMIF($AD$3:$BA$3,"="&amp;$DF38+'Model Setup'!$D$7,$B38:$Y38)+'Model Setup'!$D$8*(SUMIF($AD$3:$BA$3,"&lt;"&amp;$DF38,$B38:$Y38)+SUMIF($AD$3:$BA$3,"&gt;="&amp;$DG38,$B38:$Y38)),
IF(AZ$3=$DF38+'Model Setup'!$E$7,SUMIF($AD$3:$BA$3,"="&amp;$DF38+'Model Setup'!$E$7,$B38:$Y38)+'Model Setup'!$E$8*(SUMIF($AD$3:$BA$3,"&lt;"&amp;$DF38,$B38:$Y38)+SUMIF($AD$3:$BA$3,"&gt;="&amp;$DG38,$B38:$Y38)),
IF(AZ$3=$DF38+'Model Setup'!$F$7,SUMIF($AD$3:$BA$3,"="&amp;$DF38+'Model Setup'!$F$7,$B38:$Y38)+'Model Setup'!$F$8*(SUMIF($AD$3:$BA$3,"&lt;"&amp;$DF38,$B38:$Y38)+SUMIF($AD$3:$BA$3,"&gt;="&amp;$DG38,$B38:$Y38)),
IF(AZ$3=$DF38+'Model Setup'!$G$7,SUMIF($AD$3:$BA$3,"="&amp;$DF38+'Model Setup'!$G$7,$B38:$Y38)+'Model Setup'!$G$8*(SUMIF($AD$3:$BA$3,"&lt;"&amp;$DF38,$B38:$Y38)+SUMIF($AD$3:$BA$3,"&gt;="&amp;$DG38,$B38:$Y38)),
IF(AZ$3=$DF38+'Model Setup'!$H$7,SUMIF($AD$3:$BA$3,"="&amp;$DF38+'Model Setup'!$H$7,$B38:$Y38)+'Model Setup'!$H$8*(SUMIF($AD$3:$BA$3,"&lt;"&amp;$DF38,$B38:$Y38)+SUMIF($AD$3:$BA$3,"&gt;="&amp;$DG38,$B38:$Y38)),
IF(AZ$3=$DF38+'Model Setup'!$I$7,SUMIF($AD$3:$BA$3,"="&amp;$DF38+'Model Setup'!$I$7,$B38:$Y38)+'Model Setup'!$I$8*(SUMIF($AD$3:$BA$3,"&lt;"&amp;$DF38,$B38:$Y38)+SUMIF($AD$3:$BA$3,"&gt;="&amp;$DG38,$B38:$Y38)),
IF(AZ$3=$DF38+'Model Setup'!$J$7,SUMIF($AD$3:$BA$3,"="&amp;$DF38+'Model Setup'!$J$7,$B38:$Y38)+'Model Setup'!$J$8*(SUMIF($AD$3:$BA$3,"&lt;"&amp;$DF38,$B38:$Y38)+SUMIF($AD$3:$BA$3,"&gt;="&amp;$DG38,$B38:$Y38)),
IF(AZ$3=$DF38+'Model Setup'!$K$7,SUMIF($AD$3:$BA$3,"="&amp;$DF38+'Model Setup'!$K$7,$B38:$Y38)+'Model Setup'!$K$8*(SUMIF($AD$3:$BA$3,"&lt;"&amp;$DF38,$B38:$Y38)+SUMIF($AD$3:$BA$3,"&gt;="&amp;$DG38,$B38:$Y38)),
IF(AZ$3=$DF38+'Model Setup'!$L$7,SUMIF($AD$3:$BA$3,"="&amp;$DF38+'Model Setup'!$L$7,$B38:$Y38)+'Model Setup'!$L$8*(SUMIF($AD$3:$BA$3,"&lt;"&amp;$DF38,$B38:$Y38)+SUMIF($AD$3:$BA$3,"&gt;="&amp;$DG38,$B38:$Y38)),
IF(AZ$3=$DF38+'Model Setup'!$M$7,SUMIF($AD$3:$BA$3,"="&amp;$DF38+'Model Setup'!$M$7,$B38:$Y38)+'Model Setup'!$M$8*(SUMIF($AD$3:$BA$3,"&lt;"&amp;$DF38,$B38:$Y38)+SUMIF($AD$3:$BA$3,"&gt;="&amp;$DG38,$B38:$Y38)),
IF(AZ$3=$DF38+'Model Setup'!$N$7,SUMIF($AD$3:$BA$3,"="&amp;$DF38+'Model Setup'!$N$7,$B38:$Y38)+'Model Setup'!$N$8*(SUMIF($AD$3:$BA$3,"&lt;"&amp;$DF38,$B38:$Y38)+SUMIF($AD$3:$BA$3,"&gt;="&amp;$DG38,$B38:$Y38)),
IF(AZ$3&lt;$DG38,X38,0))))))))))))))),0)</f>
        <v>0</v>
      </c>
      <c r="BA38" s="47">
        <f>ROUND(IF(BA$3&lt;$DF38,0,
IF(BA$3=$DF38+'Model Setup'!$B$7,SUMIF($AD$3:$BA$3,"="&amp;$DF38+'Model Setup'!$B$7,$B38:$Y38)+'Model Setup'!$B$8*(SUMIF($AD$3:$BA$3,"&lt;"&amp;$DF38,$B38:$Y38)+SUMIF($AD$3:$BA$3,"&gt;="&amp;$DG38,$B38:$Y38)),
IF(BA$3=$DF38+'Model Setup'!$C$7,SUMIF($AD$3:$BA$3,"="&amp;$DF38+'Model Setup'!$C$7,$B38:$Y38)+'Model Setup'!$C$8*(SUMIF($AD$3:$BA$3,"&lt;"&amp;$DF38,$B38:$Y38)+SUMIF($AD$3:$BA$3,"&gt;="&amp;$DG38,$B38:$Y38)),
IF(BA$3=$DF38+'Model Setup'!$D$7,SUMIF($AD$3:$BA$3,"="&amp;$DF38+'Model Setup'!$D$7,$B38:$Y38)+'Model Setup'!$D$8*(SUMIF($AD$3:$BA$3,"&lt;"&amp;$DF38,$B38:$Y38)+SUMIF($AD$3:$BA$3,"&gt;="&amp;$DG38,$B38:$Y38)),
IF(BA$3=$DF38+'Model Setup'!$E$7,SUMIF($AD$3:$BA$3,"="&amp;$DF38+'Model Setup'!$E$7,$B38:$Y38)+'Model Setup'!$E$8*(SUMIF($AD$3:$BA$3,"&lt;"&amp;$DF38,$B38:$Y38)+SUMIF($AD$3:$BA$3,"&gt;="&amp;$DG38,$B38:$Y38)),
IF(BA$3=$DF38+'Model Setup'!$F$7,SUMIF($AD$3:$BA$3,"="&amp;$DF38+'Model Setup'!$F$7,$B38:$Y38)+'Model Setup'!$F$8*(SUMIF($AD$3:$BA$3,"&lt;"&amp;$DF38,$B38:$Y38)+SUMIF($AD$3:$BA$3,"&gt;="&amp;$DG38,$B38:$Y38)),
IF(BA$3=$DF38+'Model Setup'!$G$7,SUMIF($AD$3:$BA$3,"="&amp;$DF38+'Model Setup'!$G$7,$B38:$Y38)+'Model Setup'!$G$8*(SUMIF($AD$3:$BA$3,"&lt;"&amp;$DF38,$B38:$Y38)+SUMIF($AD$3:$BA$3,"&gt;="&amp;$DG38,$B38:$Y38)),
IF(BA$3=$DF38+'Model Setup'!$H$7,SUMIF($AD$3:$BA$3,"="&amp;$DF38+'Model Setup'!$H$7,$B38:$Y38)+'Model Setup'!$H$8*(SUMIF($AD$3:$BA$3,"&lt;"&amp;$DF38,$B38:$Y38)+SUMIF($AD$3:$BA$3,"&gt;="&amp;$DG38,$B38:$Y38)),
IF(BA$3=$DF38+'Model Setup'!$I$7,SUMIF($AD$3:$BA$3,"="&amp;$DF38+'Model Setup'!$I$7,$B38:$Y38)+'Model Setup'!$I$8*(SUMIF($AD$3:$BA$3,"&lt;"&amp;$DF38,$B38:$Y38)+SUMIF($AD$3:$BA$3,"&gt;="&amp;$DG38,$B38:$Y38)),
IF(BA$3=$DF38+'Model Setup'!$J$7,SUMIF($AD$3:$BA$3,"="&amp;$DF38+'Model Setup'!$J$7,$B38:$Y38)+'Model Setup'!$J$8*(SUMIF($AD$3:$BA$3,"&lt;"&amp;$DF38,$B38:$Y38)+SUMIF($AD$3:$BA$3,"&gt;="&amp;$DG38,$B38:$Y38)),
IF(BA$3=$DF38+'Model Setup'!$K$7,SUMIF($AD$3:$BA$3,"="&amp;$DF38+'Model Setup'!$K$7,$B38:$Y38)+'Model Setup'!$K$8*(SUMIF($AD$3:$BA$3,"&lt;"&amp;$DF38,$B38:$Y38)+SUMIF($AD$3:$BA$3,"&gt;="&amp;$DG38,$B38:$Y38)),
IF(BA$3=$DF38+'Model Setup'!$L$7,SUMIF($AD$3:$BA$3,"="&amp;$DF38+'Model Setup'!$L$7,$B38:$Y38)+'Model Setup'!$L$8*(SUMIF($AD$3:$BA$3,"&lt;"&amp;$DF38,$B38:$Y38)+SUMIF($AD$3:$BA$3,"&gt;="&amp;$DG38,$B38:$Y38)),
IF(BA$3=$DF38+'Model Setup'!$M$7,SUMIF($AD$3:$BA$3,"="&amp;$DF38+'Model Setup'!$M$7,$B38:$Y38)+'Model Setup'!$M$8*(SUMIF($AD$3:$BA$3,"&lt;"&amp;$DF38,$B38:$Y38)+SUMIF($AD$3:$BA$3,"&gt;="&amp;$DG38,$B38:$Y38)),
IF(BA$3=$DF38+'Model Setup'!$N$7,SUMIF($AD$3:$BA$3,"="&amp;$DF38+'Model Setup'!$N$7,$B38:$Y38)+'Model Setup'!$N$8*(SUMIF($AD$3:$BA$3,"&lt;"&amp;$DF38,$B38:$Y38)+SUMIF($AD$3:$BA$3,"&gt;="&amp;$DG38,$B38:$Y38)),
IF(BA$3&lt;$DG38,Y38,0))))))))))))))),0)</f>
        <v>0</v>
      </c>
      <c r="BB38" s="47">
        <f t="shared" si="1"/>
        <v>317</v>
      </c>
      <c r="BD38" t="b">
        <f t="shared" si="2"/>
        <v>0</v>
      </c>
      <c r="BE38">
        <f t="shared" si="8"/>
        <v>5</v>
      </c>
      <c r="BF38">
        <f>(FTC!F36-FTC!E36)*24</f>
        <v>11</v>
      </c>
      <c r="BG38" s="43" t="s">
        <v>53</v>
      </c>
      <c r="BH38" s="47">
        <f>ROUND(IF(OR(BH$3&lt;$DF38,BH$3&gt;$CW$4),0,
IF(BH$3=$DF38+'Model Setup'!$B$7,SUMIF($BH$3:$CE$3,"="&amp;$DF38+'Model Setup'!$B$7,$AD38:$BA38)+'Model Setup'!$B$8*(SUMIF($BH$3:$CE$3,"&lt;"&amp;$DF38,$AD38:$BA38)+SUMIF($BH$3:$CE$3,"&gt;"&amp;$CW$4,$AD38:$BA38)),
IF(BH$3=$DF38+'Model Setup'!$C$7,SUMIF($BH$3:$CE$3,"="&amp;$DF38+'Model Setup'!$C$7,$AD38:$BA38)+'Model Setup'!$C$8*(SUMIF($BH$3:$CE$3,"&lt;"&amp;$DF38,$AD38:$BA38)+SUMIF($BH$3:$CE$3,"&gt;"&amp;$CW$4,$AD38:$BA38)),
IF(BH$3=$DF38+'Model Setup'!$D$7,SUMIF($BH$3:$CE$3,"="&amp;$DF38+'Model Setup'!$D$7,$AD38:$BA38)+'Model Setup'!$D$8*(SUMIF($BH$3:$CE$3,"&lt;"&amp;$DF38,$AD38:$BA38)+SUMIF($BH$3:$CE$3,"&gt;"&amp;$CW$4,$AD38:$BA38)),
IF(BH$3=$DF38+'Model Setup'!$E$7,SUMIF($BH$3:$CE$3,"="&amp;$DF38+'Model Setup'!$E$7,$AD38:$BA38)+'Model Setup'!$E$8*(SUMIF($BH$3:$CE$3,"&lt;"&amp;$DF38,$AD38:$BA38)+SUMIF($BH$3:$CE$3,"&gt;"&amp;$CW$4,$AD38:$BA38)),
IF(BH$3=$DF38+'Model Setup'!$F$7,SUMIF($BH$3:$CE$3,"="&amp;$DF38+'Model Setup'!$F$7,$AD38:$BA38)+'Model Setup'!$F$8*(SUMIF($BH$3:$CE$3,"&lt;"&amp;$DF38,$AD38:$BA38)+SUMIF($BH$3:$CE$3,"&gt;"&amp;$CW$4,$AD38:$BA38)),
IF(BH$3=$DF38+'Model Setup'!$G$7,SUMIF($BH$3:$CE$3,"="&amp;$DF38+'Model Setup'!$G$7,$AD38:$BA38)+'Model Setup'!$G$8*(SUMIF($BH$3:$CE$3,"&lt;"&amp;$DF38,$AD38:$BA38)+SUMIF($BH$3:$CE$3,"&gt;"&amp;$CW$4,$AD38:$BA38)),
IF(BH$3=$DF38+'Model Setup'!$H$7,SUMIF($BH$3:$CE$3,"="&amp;$DF38+'Model Setup'!$H$7,$AD38:$BA38)+'Model Setup'!$H$8*(SUMIF($BH$3:$CE$3,"&lt;"&amp;$DF38,$AD38:$BA38)+SUMIF($BH$3:$CE$3,"&gt;"&amp;$CW$4,$AD38:$BA38)),
IF(BH$3=$DF38+'Model Setup'!$I$7,SUMIF($BH$3:$CE$3,"="&amp;$DF38+'Model Setup'!$I$7,$AD38:$BA38)+'Model Setup'!$I$8*(SUMIF($BH$3:$CE$3,"&lt;"&amp;$DF38,$AD38:$BA38)+SUMIF($BH$3:$CE$3,"&gt;"&amp;$CW$4,$AD38:$BA38)),
IF(BH$3=$DF38+'Model Setup'!$J$7,SUMIF($BH$3:$CE$3,"="&amp;$DF38+'Model Setup'!$J$7,$AD38:$BA38)+'Model Setup'!$J$8*(SUMIF($BH$3:$CE$3,"&lt;"&amp;$DF38,$AD38:$BA38)+SUMIF($BH$3:$CE$3,"&gt;"&amp;$CW$4,$AD38:$BA38)),
IF(BH$3=$DF38+'Model Setup'!$K$7,SUMIF($BH$3:$CE$3,"="&amp;$DF38+'Model Setup'!$K$7,$AD38:$BA38)+'Model Setup'!$K$8*(SUMIF($BH$3:$CE$3,"&lt;"&amp;$DF38,$AD38:$BA38)+SUMIF($BH$3:$CE$3,"&gt;"&amp;$CW$4,$AD38:$BA38)),
IF(BH$3=$DF38+'Model Setup'!$L$7,SUMIF($BH$3:$CE$3,"="&amp;$DF38+'Model Setup'!$L$7,$AD38:$BA38)+'Model Setup'!$L$8*(SUMIF($BH$3:$CE$3,"&lt;"&amp;$DF38,$AD38:$BA38)+SUMIF($BH$3:$CE$3,"&gt;"&amp;$CW$4,$AD38:$BA38)),
IF(BH$3=$DF38+'Model Setup'!$M$7,SUMIF($BH$3:$CE$3,"="&amp;$DF38+'Model Setup'!$M$7,$AD38:$BA38)+'Model Setup'!$M$8*(SUMIF($BH$3:$CE$3,"&lt;"&amp;$DF38,$AD38:$BA38)+SUMIF($BH$3:$CE$3,"&gt;"&amp;$CW$4,$AD38:$BA38)),
IF(BH$3=$DF38+'Model Setup'!$N$7,SUMIF($BH$3:$CE$3,"="&amp;$DF38+'Model Setup'!$N$7,$AD38:$BA38)+'Model Setup'!$N$8*(SUMIF($BH$3:$CE$3,"&lt;"&amp;$DF38,$AD38:$BA38)+SUMIF($BH$3:$CE$3,"&gt;"&amp;$CW$4,$AD38:$BA38)),
IF(BH$3&lt;$CW$4,B38,0))))))))))))))),0)</f>
        <v>0</v>
      </c>
      <c r="BI38" s="47">
        <f>ROUND(IF(OR(BI$3&lt;$DF38,BI$3&gt;$CW$4),0,
IF(BI$3=$DF38+'Model Setup'!$B$7,SUMIF($BH$3:$CE$3,"="&amp;$DF38+'Model Setup'!$B$7,$AD38:$BA38)+'Model Setup'!$B$8*(SUMIF($BH$3:$CE$3,"&lt;"&amp;$DF38,$AD38:$BA38)+SUMIF($BH$3:$CE$3,"&gt;"&amp;$CW$4,$AD38:$BA38)),
IF(BI$3=$DF38+'Model Setup'!$C$7,SUMIF($BH$3:$CE$3,"="&amp;$DF38+'Model Setup'!$C$7,$AD38:$BA38)+'Model Setup'!$C$8*(SUMIF($BH$3:$CE$3,"&lt;"&amp;$DF38,$AD38:$BA38)+SUMIF($BH$3:$CE$3,"&gt;"&amp;$CW$4,$AD38:$BA38)),
IF(BI$3=$DF38+'Model Setup'!$D$7,SUMIF($BH$3:$CE$3,"="&amp;$DF38+'Model Setup'!$D$7,$AD38:$BA38)+'Model Setup'!$D$8*(SUMIF($BH$3:$CE$3,"&lt;"&amp;$DF38,$AD38:$BA38)+SUMIF($BH$3:$CE$3,"&gt;"&amp;$CW$4,$AD38:$BA38)),
IF(BI$3=$DF38+'Model Setup'!$E$7,SUMIF($BH$3:$CE$3,"="&amp;$DF38+'Model Setup'!$E$7,$AD38:$BA38)+'Model Setup'!$E$8*(SUMIF($BH$3:$CE$3,"&lt;"&amp;$DF38,$AD38:$BA38)+SUMIF($BH$3:$CE$3,"&gt;"&amp;$CW$4,$AD38:$BA38)),
IF(BI$3=$DF38+'Model Setup'!$F$7,SUMIF($BH$3:$CE$3,"="&amp;$DF38+'Model Setup'!$F$7,$AD38:$BA38)+'Model Setup'!$F$8*(SUMIF($BH$3:$CE$3,"&lt;"&amp;$DF38,$AD38:$BA38)+SUMIF($BH$3:$CE$3,"&gt;"&amp;$CW$4,$AD38:$BA38)),
IF(BI$3=$DF38+'Model Setup'!$G$7,SUMIF($BH$3:$CE$3,"="&amp;$DF38+'Model Setup'!$G$7,$AD38:$BA38)+'Model Setup'!$G$8*(SUMIF($BH$3:$CE$3,"&lt;"&amp;$DF38,$AD38:$BA38)+SUMIF($BH$3:$CE$3,"&gt;"&amp;$CW$4,$AD38:$BA38)),
IF(BI$3=$DF38+'Model Setup'!$H$7,SUMIF($BH$3:$CE$3,"="&amp;$DF38+'Model Setup'!$H$7,$AD38:$BA38)+'Model Setup'!$H$8*(SUMIF($BH$3:$CE$3,"&lt;"&amp;$DF38,$AD38:$BA38)+SUMIF($BH$3:$CE$3,"&gt;"&amp;$CW$4,$AD38:$BA38)),
IF(BI$3=$DF38+'Model Setup'!$I$7,SUMIF($BH$3:$CE$3,"="&amp;$DF38+'Model Setup'!$I$7,$AD38:$BA38)+'Model Setup'!$I$8*(SUMIF($BH$3:$CE$3,"&lt;"&amp;$DF38,$AD38:$BA38)+SUMIF($BH$3:$CE$3,"&gt;"&amp;$CW$4,$AD38:$BA38)),
IF(BI$3=$DF38+'Model Setup'!$J$7,SUMIF($BH$3:$CE$3,"="&amp;$DF38+'Model Setup'!$J$7,$AD38:$BA38)+'Model Setup'!$J$8*(SUMIF($BH$3:$CE$3,"&lt;"&amp;$DF38,$AD38:$BA38)+SUMIF($BH$3:$CE$3,"&gt;"&amp;$CW$4,$AD38:$BA38)),
IF(BI$3=$DF38+'Model Setup'!$K$7,SUMIF($BH$3:$CE$3,"="&amp;$DF38+'Model Setup'!$K$7,$AD38:$BA38)+'Model Setup'!$K$8*(SUMIF($BH$3:$CE$3,"&lt;"&amp;$DF38,$AD38:$BA38)+SUMIF($BH$3:$CE$3,"&gt;"&amp;$CW$4,$AD38:$BA38)),
IF(BI$3=$DF38+'Model Setup'!$L$7,SUMIF($BH$3:$CE$3,"="&amp;$DF38+'Model Setup'!$L$7,$AD38:$BA38)+'Model Setup'!$L$8*(SUMIF($BH$3:$CE$3,"&lt;"&amp;$DF38,$AD38:$BA38)+SUMIF($BH$3:$CE$3,"&gt;"&amp;$CW$4,$AD38:$BA38)),
IF(BI$3=$DF38+'Model Setup'!$M$7,SUMIF($BH$3:$CE$3,"="&amp;$DF38+'Model Setup'!$M$7,$AD38:$BA38)+'Model Setup'!$M$8*(SUMIF($BH$3:$CE$3,"&lt;"&amp;$DF38,$AD38:$BA38)+SUMIF($BH$3:$CE$3,"&gt;"&amp;$CW$4,$AD38:$BA38)),
IF(BI$3=$DF38+'Model Setup'!$N$7,SUMIF($BH$3:$CE$3,"="&amp;$DF38+'Model Setup'!$N$7,$AD38:$BA38)+'Model Setup'!$N$8*(SUMIF($BH$3:$CE$3,"&lt;"&amp;$DF38,$AD38:$BA38)+SUMIF($BH$3:$CE$3,"&gt;"&amp;$CW$4,$AD38:$BA38)),
IF(BI$3&lt;$CW$4,C38,0))))))))))))))),0)</f>
        <v>0</v>
      </c>
      <c r="BJ38" s="47">
        <f>ROUND(IF(OR(BJ$3&lt;$DF38,BJ$3&gt;$CW$4),0,
IF(BJ$3=$DF38+'Model Setup'!$B$7,SUMIF($BH$3:$CE$3,"="&amp;$DF38+'Model Setup'!$B$7,$AD38:$BA38)+'Model Setup'!$B$8*(SUMIF($BH$3:$CE$3,"&lt;"&amp;$DF38,$AD38:$BA38)+SUMIF($BH$3:$CE$3,"&gt;"&amp;$CW$4,$AD38:$BA38)),
IF(BJ$3=$DF38+'Model Setup'!$C$7,SUMIF($BH$3:$CE$3,"="&amp;$DF38+'Model Setup'!$C$7,$AD38:$BA38)+'Model Setup'!$C$8*(SUMIF($BH$3:$CE$3,"&lt;"&amp;$DF38,$AD38:$BA38)+SUMIF($BH$3:$CE$3,"&gt;"&amp;$CW$4,$AD38:$BA38)),
IF(BJ$3=$DF38+'Model Setup'!$D$7,SUMIF($BH$3:$CE$3,"="&amp;$DF38+'Model Setup'!$D$7,$AD38:$BA38)+'Model Setup'!$D$8*(SUMIF($BH$3:$CE$3,"&lt;"&amp;$DF38,$AD38:$BA38)+SUMIF($BH$3:$CE$3,"&gt;"&amp;$CW$4,$AD38:$BA38)),
IF(BJ$3=$DF38+'Model Setup'!$E$7,SUMIF($BH$3:$CE$3,"="&amp;$DF38+'Model Setup'!$E$7,$AD38:$BA38)+'Model Setup'!$E$8*(SUMIF($BH$3:$CE$3,"&lt;"&amp;$DF38,$AD38:$BA38)+SUMIF($BH$3:$CE$3,"&gt;"&amp;$CW$4,$AD38:$BA38)),
IF(BJ$3=$DF38+'Model Setup'!$F$7,SUMIF($BH$3:$CE$3,"="&amp;$DF38+'Model Setup'!$F$7,$AD38:$BA38)+'Model Setup'!$F$8*(SUMIF($BH$3:$CE$3,"&lt;"&amp;$DF38,$AD38:$BA38)+SUMIF($BH$3:$CE$3,"&gt;"&amp;$CW$4,$AD38:$BA38)),
IF(BJ$3=$DF38+'Model Setup'!$G$7,SUMIF($BH$3:$CE$3,"="&amp;$DF38+'Model Setup'!$G$7,$AD38:$BA38)+'Model Setup'!$G$8*(SUMIF($BH$3:$CE$3,"&lt;"&amp;$DF38,$AD38:$BA38)+SUMIF($BH$3:$CE$3,"&gt;"&amp;$CW$4,$AD38:$BA38)),
IF(BJ$3=$DF38+'Model Setup'!$H$7,SUMIF($BH$3:$CE$3,"="&amp;$DF38+'Model Setup'!$H$7,$AD38:$BA38)+'Model Setup'!$H$8*(SUMIF($BH$3:$CE$3,"&lt;"&amp;$DF38,$AD38:$BA38)+SUMIF($BH$3:$CE$3,"&gt;"&amp;$CW$4,$AD38:$BA38)),
IF(BJ$3=$DF38+'Model Setup'!$I$7,SUMIF($BH$3:$CE$3,"="&amp;$DF38+'Model Setup'!$I$7,$AD38:$BA38)+'Model Setup'!$I$8*(SUMIF($BH$3:$CE$3,"&lt;"&amp;$DF38,$AD38:$BA38)+SUMIF($BH$3:$CE$3,"&gt;"&amp;$CW$4,$AD38:$BA38)),
IF(BJ$3=$DF38+'Model Setup'!$J$7,SUMIF($BH$3:$CE$3,"="&amp;$DF38+'Model Setup'!$J$7,$AD38:$BA38)+'Model Setup'!$J$8*(SUMIF($BH$3:$CE$3,"&lt;"&amp;$DF38,$AD38:$BA38)+SUMIF($BH$3:$CE$3,"&gt;"&amp;$CW$4,$AD38:$BA38)),
IF(BJ$3=$DF38+'Model Setup'!$K$7,SUMIF($BH$3:$CE$3,"="&amp;$DF38+'Model Setup'!$K$7,$AD38:$BA38)+'Model Setup'!$K$8*(SUMIF($BH$3:$CE$3,"&lt;"&amp;$DF38,$AD38:$BA38)+SUMIF($BH$3:$CE$3,"&gt;"&amp;$CW$4,$AD38:$BA38)),
IF(BJ$3=$DF38+'Model Setup'!$L$7,SUMIF($BH$3:$CE$3,"="&amp;$DF38+'Model Setup'!$L$7,$AD38:$BA38)+'Model Setup'!$L$8*(SUMIF($BH$3:$CE$3,"&lt;"&amp;$DF38,$AD38:$BA38)+SUMIF($BH$3:$CE$3,"&gt;"&amp;$CW$4,$AD38:$BA38)),
IF(BJ$3=$DF38+'Model Setup'!$M$7,SUMIF($BH$3:$CE$3,"="&amp;$DF38+'Model Setup'!$M$7,$AD38:$BA38)+'Model Setup'!$M$8*(SUMIF($BH$3:$CE$3,"&lt;"&amp;$DF38,$AD38:$BA38)+SUMIF($BH$3:$CE$3,"&gt;"&amp;$CW$4,$AD38:$BA38)),
IF(BJ$3=$DF38+'Model Setup'!$N$7,SUMIF($BH$3:$CE$3,"="&amp;$DF38+'Model Setup'!$N$7,$AD38:$BA38)+'Model Setup'!$N$8*(SUMIF($BH$3:$CE$3,"&lt;"&amp;$DF38,$AD38:$BA38)+SUMIF($BH$3:$CE$3,"&gt;"&amp;$CW$4,$AD38:$BA38)),
IF(BJ$3&lt;$CW$4,D38,0))))))))))))))),0)</f>
        <v>0</v>
      </c>
      <c r="BK38" s="47">
        <f>ROUND(IF(OR(BK$3&lt;$DF38,BK$3&gt;$CW$4),0,
IF(BK$3=$DF38+'Model Setup'!$B$7,SUMIF($BH$3:$CE$3,"="&amp;$DF38+'Model Setup'!$B$7,$AD38:$BA38)+'Model Setup'!$B$8*(SUMIF($BH$3:$CE$3,"&lt;"&amp;$DF38,$AD38:$BA38)+SUMIF($BH$3:$CE$3,"&gt;"&amp;$CW$4,$AD38:$BA38)),
IF(BK$3=$DF38+'Model Setup'!$C$7,SUMIF($BH$3:$CE$3,"="&amp;$DF38+'Model Setup'!$C$7,$AD38:$BA38)+'Model Setup'!$C$8*(SUMIF($BH$3:$CE$3,"&lt;"&amp;$DF38,$AD38:$BA38)+SUMIF($BH$3:$CE$3,"&gt;"&amp;$CW$4,$AD38:$BA38)),
IF(BK$3=$DF38+'Model Setup'!$D$7,SUMIF($BH$3:$CE$3,"="&amp;$DF38+'Model Setup'!$D$7,$AD38:$BA38)+'Model Setup'!$D$8*(SUMIF($BH$3:$CE$3,"&lt;"&amp;$DF38,$AD38:$BA38)+SUMIF($BH$3:$CE$3,"&gt;"&amp;$CW$4,$AD38:$BA38)),
IF(BK$3=$DF38+'Model Setup'!$E$7,SUMIF($BH$3:$CE$3,"="&amp;$DF38+'Model Setup'!$E$7,$AD38:$BA38)+'Model Setup'!$E$8*(SUMIF($BH$3:$CE$3,"&lt;"&amp;$DF38,$AD38:$BA38)+SUMIF($BH$3:$CE$3,"&gt;"&amp;$CW$4,$AD38:$BA38)),
IF(BK$3=$DF38+'Model Setup'!$F$7,SUMIF($BH$3:$CE$3,"="&amp;$DF38+'Model Setup'!$F$7,$AD38:$BA38)+'Model Setup'!$F$8*(SUMIF($BH$3:$CE$3,"&lt;"&amp;$DF38,$AD38:$BA38)+SUMIF($BH$3:$CE$3,"&gt;"&amp;$CW$4,$AD38:$BA38)),
IF(BK$3=$DF38+'Model Setup'!$G$7,SUMIF($BH$3:$CE$3,"="&amp;$DF38+'Model Setup'!$G$7,$AD38:$BA38)+'Model Setup'!$G$8*(SUMIF($BH$3:$CE$3,"&lt;"&amp;$DF38,$AD38:$BA38)+SUMIF($BH$3:$CE$3,"&gt;"&amp;$CW$4,$AD38:$BA38)),
IF(BK$3=$DF38+'Model Setup'!$H$7,SUMIF($BH$3:$CE$3,"="&amp;$DF38+'Model Setup'!$H$7,$AD38:$BA38)+'Model Setup'!$H$8*(SUMIF($BH$3:$CE$3,"&lt;"&amp;$DF38,$AD38:$BA38)+SUMIF($BH$3:$CE$3,"&gt;"&amp;$CW$4,$AD38:$BA38)),
IF(BK$3=$DF38+'Model Setup'!$I$7,SUMIF($BH$3:$CE$3,"="&amp;$DF38+'Model Setup'!$I$7,$AD38:$BA38)+'Model Setup'!$I$8*(SUMIF($BH$3:$CE$3,"&lt;"&amp;$DF38,$AD38:$BA38)+SUMIF($BH$3:$CE$3,"&gt;"&amp;$CW$4,$AD38:$BA38)),
IF(BK$3=$DF38+'Model Setup'!$J$7,SUMIF($BH$3:$CE$3,"="&amp;$DF38+'Model Setup'!$J$7,$AD38:$BA38)+'Model Setup'!$J$8*(SUMIF($BH$3:$CE$3,"&lt;"&amp;$DF38,$AD38:$BA38)+SUMIF($BH$3:$CE$3,"&gt;"&amp;$CW$4,$AD38:$BA38)),
IF(BK$3=$DF38+'Model Setup'!$K$7,SUMIF($BH$3:$CE$3,"="&amp;$DF38+'Model Setup'!$K$7,$AD38:$BA38)+'Model Setup'!$K$8*(SUMIF($BH$3:$CE$3,"&lt;"&amp;$DF38,$AD38:$BA38)+SUMIF($BH$3:$CE$3,"&gt;"&amp;$CW$4,$AD38:$BA38)),
IF(BK$3=$DF38+'Model Setup'!$L$7,SUMIF($BH$3:$CE$3,"="&amp;$DF38+'Model Setup'!$L$7,$AD38:$BA38)+'Model Setup'!$L$8*(SUMIF($BH$3:$CE$3,"&lt;"&amp;$DF38,$AD38:$BA38)+SUMIF($BH$3:$CE$3,"&gt;"&amp;$CW$4,$AD38:$BA38)),
IF(BK$3=$DF38+'Model Setup'!$M$7,SUMIF($BH$3:$CE$3,"="&amp;$DF38+'Model Setup'!$M$7,$AD38:$BA38)+'Model Setup'!$M$8*(SUMIF($BH$3:$CE$3,"&lt;"&amp;$DF38,$AD38:$BA38)+SUMIF($BH$3:$CE$3,"&gt;"&amp;$CW$4,$AD38:$BA38)),
IF(BK$3=$DF38+'Model Setup'!$N$7,SUMIF($BH$3:$CE$3,"="&amp;$DF38+'Model Setup'!$N$7,$AD38:$BA38)+'Model Setup'!$N$8*(SUMIF($BH$3:$CE$3,"&lt;"&amp;$DF38,$AD38:$BA38)+SUMIF($BH$3:$CE$3,"&gt;"&amp;$CW$4,$AD38:$BA38)),
IF(BK$3&lt;$CW$4,E38,0))))))))))))))),0)</f>
        <v>0</v>
      </c>
      <c r="BL38" s="47">
        <f>ROUND(IF(OR(BL$3&lt;$DF38,BL$3&gt;$CW$4),0,
IF(BL$3=$DF38+'Model Setup'!$B$7,SUMIF($BH$3:$CE$3,"="&amp;$DF38+'Model Setup'!$B$7,$AD38:$BA38)+'Model Setup'!$B$8*(SUMIF($BH$3:$CE$3,"&lt;"&amp;$DF38,$AD38:$BA38)+SUMIF($BH$3:$CE$3,"&gt;"&amp;$CW$4,$AD38:$BA38)),
IF(BL$3=$DF38+'Model Setup'!$C$7,SUMIF($BH$3:$CE$3,"="&amp;$DF38+'Model Setup'!$C$7,$AD38:$BA38)+'Model Setup'!$C$8*(SUMIF($BH$3:$CE$3,"&lt;"&amp;$DF38,$AD38:$BA38)+SUMIF($BH$3:$CE$3,"&gt;"&amp;$CW$4,$AD38:$BA38)),
IF(BL$3=$DF38+'Model Setup'!$D$7,SUMIF($BH$3:$CE$3,"="&amp;$DF38+'Model Setup'!$D$7,$AD38:$BA38)+'Model Setup'!$D$8*(SUMIF($BH$3:$CE$3,"&lt;"&amp;$DF38,$AD38:$BA38)+SUMIF($BH$3:$CE$3,"&gt;"&amp;$CW$4,$AD38:$BA38)),
IF(BL$3=$DF38+'Model Setup'!$E$7,SUMIF($BH$3:$CE$3,"="&amp;$DF38+'Model Setup'!$E$7,$AD38:$BA38)+'Model Setup'!$E$8*(SUMIF($BH$3:$CE$3,"&lt;"&amp;$DF38,$AD38:$BA38)+SUMIF($BH$3:$CE$3,"&gt;"&amp;$CW$4,$AD38:$BA38)),
IF(BL$3=$DF38+'Model Setup'!$F$7,SUMIF($BH$3:$CE$3,"="&amp;$DF38+'Model Setup'!$F$7,$AD38:$BA38)+'Model Setup'!$F$8*(SUMIF($BH$3:$CE$3,"&lt;"&amp;$DF38,$AD38:$BA38)+SUMIF($BH$3:$CE$3,"&gt;"&amp;$CW$4,$AD38:$BA38)),
IF(BL$3=$DF38+'Model Setup'!$G$7,SUMIF($BH$3:$CE$3,"="&amp;$DF38+'Model Setup'!$G$7,$AD38:$BA38)+'Model Setup'!$G$8*(SUMIF($BH$3:$CE$3,"&lt;"&amp;$DF38,$AD38:$BA38)+SUMIF($BH$3:$CE$3,"&gt;"&amp;$CW$4,$AD38:$BA38)),
IF(BL$3=$DF38+'Model Setup'!$H$7,SUMIF($BH$3:$CE$3,"="&amp;$DF38+'Model Setup'!$H$7,$AD38:$BA38)+'Model Setup'!$H$8*(SUMIF($BH$3:$CE$3,"&lt;"&amp;$DF38,$AD38:$BA38)+SUMIF($BH$3:$CE$3,"&gt;"&amp;$CW$4,$AD38:$BA38)),
IF(BL$3=$DF38+'Model Setup'!$I$7,SUMIF($BH$3:$CE$3,"="&amp;$DF38+'Model Setup'!$I$7,$AD38:$BA38)+'Model Setup'!$I$8*(SUMIF($BH$3:$CE$3,"&lt;"&amp;$DF38,$AD38:$BA38)+SUMIF($BH$3:$CE$3,"&gt;"&amp;$CW$4,$AD38:$BA38)),
IF(BL$3=$DF38+'Model Setup'!$J$7,SUMIF($BH$3:$CE$3,"="&amp;$DF38+'Model Setup'!$J$7,$AD38:$BA38)+'Model Setup'!$J$8*(SUMIF($BH$3:$CE$3,"&lt;"&amp;$DF38,$AD38:$BA38)+SUMIF($BH$3:$CE$3,"&gt;"&amp;$CW$4,$AD38:$BA38)),
IF(BL$3=$DF38+'Model Setup'!$K$7,SUMIF($BH$3:$CE$3,"="&amp;$DF38+'Model Setup'!$K$7,$AD38:$BA38)+'Model Setup'!$K$8*(SUMIF($BH$3:$CE$3,"&lt;"&amp;$DF38,$AD38:$BA38)+SUMIF($BH$3:$CE$3,"&gt;"&amp;$CW$4,$AD38:$BA38)),
IF(BL$3=$DF38+'Model Setup'!$L$7,SUMIF($BH$3:$CE$3,"="&amp;$DF38+'Model Setup'!$L$7,$AD38:$BA38)+'Model Setup'!$L$8*(SUMIF($BH$3:$CE$3,"&lt;"&amp;$DF38,$AD38:$BA38)+SUMIF($BH$3:$CE$3,"&gt;"&amp;$CW$4,$AD38:$BA38)),
IF(BL$3=$DF38+'Model Setup'!$M$7,SUMIF($BH$3:$CE$3,"="&amp;$DF38+'Model Setup'!$M$7,$AD38:$BA38)+'Model Setup'!$M$8*(SUMIF($BH$3:$CE$3,"&lt;"&amp;$DF38,$AD38:$BA38)+SUMIF($BH$3:$CE$3,"&gt;"&amp;$CW$4,$AD38:$BA38)),
IF(BL$3=$DF38+'Model Setup'!$N$7,SUMIF($BH$3:$CE$3,"="&amp;$DF38+'Model Setup'!$N$7,$AD38:$BA38)+'Model Setup'!$N$8*(SUMIF($BH$3:$CE$3,"&lt;"&amp;$DF38,$AD38:$BA38)+SUMIF($BH$3:$CE$3,"&gt;"&amp;$CW$4,$AD38:$BA38)),
IF(BL$3&lt;$CW$4,F38,0))))))))))))))),0)</f>
        <v>0</v>
      </c>
      <c r="BM38" s="47">
        <f>ROUND(IF(OR(BM$3&lt;$DF38,BM$3&gt;$CW$4),0,
IF(BM$3=$DF38+'Model Setup'!$B$7,SUMIF($BH$3:$CE$3,"="&amp;$DF38+'Model Setup'!$B$7,$AD38:$BA38)+'Model Setup'!$B$8*(SUMIF($BH$3:$CE$3,"&lt;"&amp;$DF38,$AD38:$BA38)+SUMIF($BH$3:$CE$3,"&gt;"&amp;$CW$4,$AD38:$BA38)),
IF(BM$3=$DF38+'Model Setup'!$C$7,SUMIF($BH$3:$CE$3,"="&amp;$DF38+'Model Setup'!$C$7,$AD38:$BA38)+'Model Setup'!$C$8*(SUMIF($BH$3:$CE$3,"&lt;"&amp;$DF38,$AD38:$BA38)+SUMIF($BH$3:$CE$3,"&gt;"&amp;$CW$4,$AD38:$BA38)),
IF(BM$3=$DF38+'Model Setup'!$D$7,SUMIF($BH$3:$CE$3,"="&amp;$DF38+'Model Setup'!$D$7,$AD38:$BA38)+'Model Setup'!$D$8*(SUMIF($BH$3:$CE$3,"&lt;"&amp;$DF38,$AD38:$BA38)+SUMIF($BH$3:$CE$3,"&gt;"&amp;$CW$4,$AD38:$BA38)),
IF(BM$3=$DF38+'Model Setup'!$E$7,SUMIF($BH$3:$CE$3,"="&amp;$DF38+'Model Setup'!$E$7,$AD38:$BA38)+'Model Setup'!$E$8*(SUMIF($BH$3:$CE$3,"&lt;"&amp;$DF38,$AD38:$BA38)+SUMIF($BH$3:$CE$3,"&gt;"&amp;$CW$4,$AD38:$BA38)),
IF(BM$3=$DF38+'Model Setup'!$F$7,SUMIF($BH$3:$CE$3,"="&amp;$DF38+'Model Setup'!$F$7,$AD38:$BA38)+'Model Setup'!$F$8*(SUMIF($BH$3:$CE$3,"&lt;"&amp;$DF38,$AD38:$BA38)+SUMIF($BH$3:$CE$3,"&gt;"&amp;$CW$4,$AD38:$BA38)),
IF(BM$3=$DF38+'Model Setup'!$G$7,SUMIF($BH$3:$CE$3,"="&amp;$DF38+'Model Setup'!$G$7,$AD38:$BA38)+'Model Setup'!$G$8*(SUMIF($BH$3:$CE$3,"&lt;"&amp;$DF38,$AD38:$BA38)+SUMIF($BH$3:$CE$3,"&gt;"&amp;$CW$4,$AD38:$BA38)),
IF(BM$3=$DF38+'Model Setup'!$H$7,SUMIF($BH$3:$CE$3,"="&amp;$DF38+'Model Setup'!$H$7,$AD38:$BA38)+'Model Setup'!$H$8*(SUMIF($BH$3:$CE$3,"&lt;"&amp;$DF38,$AD38:$BA38)+SUMIF($BH$3:$CE$3,"&gt;"&amp;$CW$4,$AD38:$BA38)),
IF(BM$3=$DF38+'Model Setup'!$I$7,SUMIF($BH$3:$CE$3,"="&amp;$DF38+'Model Setup'!$I$7,$AD38:$BA38)+'Model Setup'!$I$8*(SUMIF($BH$3:$CE$3,"&lt;"&amp;$DF38,$AD38:$BA38)+SUMIF($BH$3:$CE$3,"&gt;"&amp;$CW$4,$AD38:$BA38)),
IF(BM$3=$DF38+'Model Setup'!$J$7,SUMIF($BH$3:$CE$3,"="&amp;$DF38+'Model Setup'!$J$7,$AD38:$BA38)+'Model Setup'!$J$8*(SUMIF($BH$3:$CE$3,"&lt;"&amp;$DF38,$AD38:$BA38)+SUMIF($BH$3:$CE$3,"&gt;"&amp;$CW$4,$AD38:$BA38)),
IF(BM$3=$DF38+'Model Setup'!$K$7,SUMIF($BH$3:$CE$3,"="&amp;$DF38+'Model Setup'!$K$7,$AD38:$BA38)+'Model Setup'!$K$8*(SUMIF($BH$3:$CE$3,"&lt;"&amp;$DF38,$AD38:$BA38)+SUMIF($BH$3:$CE$3,"&gt;"&amp;$CW$4,$AD38:$BA38)),
IF(BM$3=$DF38+'Model Setup'!$L$7,SUMIF($BH$3:$CE$3,"="&amp;$DF38+'Model Setup'!$L$7,$AD38:$BA38)+'Model Setup'!$L$8*(SUMIF($BH$3:$CE$3,"&lt;"&amp;$DF38,$AD38:$BA38)+SUMIF($BH$3:$CE$3,"&gt;"&amp;$CW$4,$AD38:$BA38)),
IF(BM$3=$DF38+'Model Setup'!$M$7,SUMIF($BH$3:$CE$3,"="&amp;$DF38+'Model Setup'!$M$7,$AD38:$BA38)+'Model Setup'!$M$8*(SUMIF($BH$3:$CE$3,"&lt;"&amp;$DF38,$AD38:$BA38)+SUMIF($BH$3:$CE$3,"&gt;"&amp;$CW$4,$AD38:$BA38)),
IF(BM$3=$DF38+'Model Setup'!$N$7,SUMIF($BH$3:$CE$3,"="&amp;$DF38+'Model Setup'!$N$7,$AD38:$BA38)+'Model Setup'!$N$8*(SUMIF($BH$3:$CE$3,"&lt;"&amp;$DF38,$AD38:$BA38)+SUMIF($BH$3:$CE$3,"&gt;"&amp;$CW$4,$AD38:$BA38)),
IF(BM$3&lt;$CW$4,G38,0))))))))))))))),0)</f>
        <v>0</v>
      </c>
      <c r="BN38" s="47">
        <f>ROUND(IF(OR(BN$3&lt;$DF38,BN$3&gt;$CW$4),0,
IF(BN$3=$DF38+'Model Setup'!$B$7,SUMIF($BH$3:$CE$3,"="&amp;$DF38+'Model Setup'!$B$7,$AD38:$BA38)+'Model Setup'!$B$8*(SUMIF($BH$3:$CE$3,"&lt;"&amp;$DF38,$AD38:$BA38)+SUMIF($BH$3:$CE$3,"&gt;"&amp;$CW$4,$AD38:$BA38)),
IF(BN$3=$DF38+'Model Setup'!$C$7,SUMIF($BH$3:$CE$3,"="&amp;$DF38+'Model Setup'!$C$7,$AD38:$BA38)+'Model Setup'!$C$8*(SUMIF($BH$3:$CE$3,"&lt;"&amp;$DF38,$AD38:$BA38)+SUMIF($BH$3:$CE$3,"&gt;"&amp;$CW$4,$AD38:$BA38)),
IF(BN$3=$DF38+'Model Setup'!$D$7,SUMIF($BH$3:$CE$3,"="&amp;$DF38+'Model Setup'!$D$7,$AD38:$BA38)+'Model Setup'!$D$8*(SUMIF($BH$3:$CE$3,"&lt;"&amp;$DF38,$AD38:$BA38)+SUMIF($BH$3:$CE$3,"&gt;"&amp;$CW$4,$AD38:$BA38)),
IF(BN$3=$DF38+'Model Setup'!$E$7,SUMIF($BH$3:$CE$3,"="&amp;$DF38+'Model Setup'!$E$7,$AD38:$BA38)+'Model Setup'!$E$8*(SUMIF($BH$3:$CE$3,"&lt;"&amp;$DF38,$AD38:$BA38)+SUMIF($BH$3:$CE$3,"&gt;"&amp;$CW$4,$AD38:$BA38)),
IF(BN$3=$DF38+'Model Setup'!$F$7,SUMIF($BH$3:$CE$3,"="&amp;$DF38+'Model Setup'!$F$7,$AD38:$BA38)+'Model Setup'!$F$8*(SUMIF($BH$3:$CE$3,"&lt;"&amp;$DF38,$AD38:$BA38)+SUMIF($BH$3:$CE$3,"&gt;"&amp;$CW$4,$AD38:$BA38)),
IF(BN$3=$DF38+'Model Setup'!$G$7,SUMIF($BH$3:$CE$3,"="&amp;$DF38+'Model Setup'!$G$7,$AD38:$BA38)+'Model Setup'!$G$8*(SUMIF($BH$3:$CE$3,"&lt;"&amp;$DF38,$AD38:$BA38)+SUMIF($BH$3:$CE$3,"&gt;"&amp;$CW$4,$AD38:$BA38)),
IF(BN$3=$DF38+'Model Setup'!$H$7,SUMIF($BH$3:$CE$3,"="&amp;$DF38+'Model Setup'!$H$7,$AD38:$BA38)+'Model Setup'!$H$8*(SUMIF($BH$3:$CE$3,"&lt;"&amp;$DF38,$AD38:$BA38)+SUMIF($BH$3:$CE$3,"&gt;"&amp;$CW$4,$AD38:$BA38)),
IF(BN$3=$DF38+'Model Setup'!$I$7,SUMIF($BH$3:$CE$3,"="&amp;$DF38+'Model Setup'!$I$7,$AD38:$BA38)+'Model Setup'!$I$8*(SUMIF($BH$3:$CE$3,"&lt;"&amp;$DF38,$AD38:$BA38)+SUMIF($BH$3:$CE$3,"&gt;"&amp;$CW$4,$AD38:$BA38)),
IF(BN$3=$DF38+'Model Setup'!$J$7,SUMIF($BH$3:$CE$3,"="&amp;$DF38+'Model Setup'!$J$7,$AD38:$BA38)+'Model Setup'!$J$8*(SUMIF($BH$3:$CE$3,"&lt;"&amp;$DF38,$AD38:$BA38)+SUMIF($BH$3:$CE$3,"&gt;"&amp;$CW$4,$AD38:$BA38)),
IF(BN$3=$DF38+'Model Setup'!$K$7,SUMIF($BH$3:$CE$3,"="&amp;$DF38+'Model Setup'!$K$7,$AD38:$BA38)+'Model Setup'!$K$8*(SUMIF($BH$3:$CE$3,"&lt;"&amp;$DF38,$AD38:$BA38)+SUMIF($BH$3:$CE$3,"&gt;"&amp;$CW$4,$AD38:$BA38)),
IF(BN$3=$DF38+'Model Setup'!$L$7,SUMIF($BH$3:$CE$3,"="&amp;$DF38+'Model Setup'!$L$7,$AD38:$BA38)+'Model Setup'!$L$8*(SUMIF($BH$3:$CE$3,"&lt;"&amp;$DF38,$AD38:$BA38)+SUMIF($BH$3:$CE$3,"&gt;"&amp;$CW$4,$AD38:$BA38)),
IF(BN$3=$DF38+'Model Setup'!$M$7,SUMIF($BH$3:$CE$3,"="&amp;$DF38+'Model Setup'!$M$7,$AD38:$BA38)+'Model Setup'!$M$8*(SUMIF($BH$3:$CE$3,"&lt;"&amp;$DF38,$AD38:$BA38)+SUMIF($BH$3:$CE$3,"&gt;"&amp;$CW$4,$AD38:$BA38)),
IF(BN$3=$DF38+'Model Setup'!$N$7,SUMIF($BH$3:$CE$3,"="&amp;$DF38+'Model Setup'!$N$7,$AD38:$BA38)+'Model Setup'!$N$8*(SUMIF($BH$3:$CE$3,"&lt;"&amp;$DF38,$AD38:$BA38)+SUMIF($BH$3:$CE$3,"&gt;"&amp;$CW$4,$AD38:$BA38)),
IF(BN$3&lt;$CW$4,H38,0))))))))))))))),0)</f>
        <v>0</v>
      </c>
      <c r="BO38" s="47">
        <f>ROUND(IF(OR(BO$3&lt;$DF38,BO$3&gt;$CW$4),0,
IF(BO$3=$DF38+'Model Setup'!$B$7,SUMIF($BH$3:$CE$3,"="&amp;$DF38+'Model Setup'!$B$7,$AD38:$BA38)+'Model Setup'!$B$8*(SUMIF($BH$3:$CE$3,"&lt;"&amp;$DF38,$AD38:$BA38)+SUMIF($BH$3:$CE$3,"&gt;"&amp;$CW$4,$AD38:$BA38)),
IF(BO$3=$DF38+'Model Setup'!$C$7,SUMIF($BH$3:$CE$3,"="&amp;$DF38+'Model Setup'!$C$7,$AD38:$BA38)+'Model Setup'!$C$8*(SUMIF($BH$3:$CE$3,"&lt;"&amp;$DF38,$AD38:$BA38)+SUMIF($BH$3:$CE$3,"&gt;"&amp;$CW$4,$AD38:$BA38)),
IF(BO$3=$DF38+'Model Setup'!$D$7,SUMIF($BH$3:$CE$3,"="&amp;$DF38+'Model Setup'!$D$7,$AD38:$BA38)+'Model Setup'!$D$8*(SUMIF($BH$3:$CE$3,"&lt;"&amp;$DF38,$AD38:$BA38)+SUMIF($BH$3:$CE$3,"&gt;"&amp;$CW$4,$AD38:$BA38)),
IF(BO$3=$DF38+'Model Setup'!$E$7,SUMIF($BH$3:$CE$3,"="&amp;$DF38+'Model Setup'!$E$7,$AD38:$BA38)+'Model Setup'!$E$8*(SUMIF($BH$3:$CE$3,"&lt;"&amp;$DF38,$AD38:$BA38)+SUMIF($BH$3:$CE$3,"&gt;"&amp;$CW$4,$AD38:$BA38)),
IF(BO$3=$DF38+'Model Setup'!$F$7,SUMIF($BH$3:$CE$3,"="&amp;$DF38+'Model Setup'!$F$7,$AD38:$BA38)+'Model Setup'!$F$8*(SUMIF($BH$3:$CE$3,"&lt;"&amp;$DF38,$AD38:$BA38)+SUMIF($BH$3:$CE$3,"&gt;"&amp;$CW$4,$AD38:$BA38)),
IF(BO$3=$DF38+'Model Setup'!$G$7,SUMIF($BH$3:$CE$3,"="&amp;$DF38+'Model Setup'!$G$7,$AD38:$BA38)+'Model Setup'!$G$8*(SUMIF($BH$3:$CE$3,"&lt;"&amp;$DF38,$AD38:$BA38)+SUMIF($BH$3:$CE$3,"&gt;"&amp;$CW$4,$AD38:$BA38)),
IF(BO$3=$DF38+'Model Setup'!$H$7,SUMIF($BH$3:$CE$3,"="&amp;$DF38+'Model Setup'!$H$7,$AD38:$BA38)+'Model Setup'!$H$8*(SUMIF($BH$3:$CE$3,"&lt;"&amp;$DF38,$AD38:$BA38)+SUMIF($BH$3:$CE$3,"&gt;"&amp;$CW$4,$AD38:$BA38)),
IF(BO$3=$DF38+'Model Setup'!$I$7,SUMIF($BH$3:$CE$3,"="&amp;$DF38+'Model Setup'!$I$7,$AD38:$BA38)+'Model Setup'!$I$8*(SUMIF($BH$3:$CE$3,"&lt;"&amp;$DF38,$AD38:$BA38)+SUMIF($BH$3:$CE$3,"&gt;"&amp;$CW$4,$AD38:$BA38)),
IF(BO$3=$DF38+'Model Setup'!$J$7,SUMIF($BH$3:$CE$3,"="&amp;$DF38+'Model Setup'!$J$7,$AD38:$BA38)+'Model Setup'!$J$8*(SUMIF($BH$3:$CE$3,"&lt;"&amp;$DF38,$AD38:$BA38)+SUMIF($BH$3:$CE$3,"&gt;"&amp;$CW$4,$AD38:$BA38)),
IF(BO$3=$DF38+'Model Setup'!$K$7,SUMIF($BH$3:$CE$3,"="&amp;$DF38+'Model Setup'!$K$7,$AD38:$BA38)+'Model Setup'!$K$8*(SUMIF($BH$3:$CE$3,"&lt;"&amp;$DF38,$AD38:$BA38)+SUMIF($BH$3:$CE$3,"&gt;"&amp;$CW$4,$AD38:$BA38)),
IF(BO$3=$DF38+'Model Setup'!$L$7,SUMIF($BH$3:$CE$3,"="&amp;$DF38+'Model Setup'!$L$7,$AD38:$BA38)+'Model Setup'!$L$8*(SUMIF($BH$3:$CE$3,"&lt;"&amp;$DF38,$AD38:$BA38)+SUMIF($BH$3:$CE$3,"&gt;"&amp;$CW$4,$AD38:$BA38)),
IF(BO$3=$DF38+'Model Setup'!$M$7,SUMIF($BH$3:$CE$3,"="&amp;$DF38+'Model Setup'!$M$7,$AD38:$BA38)+'Model Setup'!$M$8*(SUMIF($BH$3:$CE$3,"&lt;"&amp;$DF38,$AD38:$BA38)+SUMIF($BH$3:$CE$3,"&gt;"&amp;$CW$4,$AD38:$BA38)),
IF(BO$3=$DF38+'Model Setup'!$N$7,SUMIF($BH$3:$CE$3,"="&amp;$DF38+'Model Setup'!$N$7,$AD38:$BA38)+'Model Setup'!$N$8*(SUMIF($BH$3:$CE$3,"&lt;"&amp;$DF38,$AD38:$BA38)+SUMIF($BH$3:$CE$3,"&gt;"&amp;$CW$4,$AD38:$BA38)),
IF(BO$3&lt;$CW$4,I38,0))))))))))))))),0)</f>
        <v>0</v>
      </c>
      <c r="BP38" s="47">
        <f>ROUND(IF(OR(BP$3&lt;$DF38,BP$3&gt;$CW$4),0,
IF(BP$3=$DF38+'Model Setup'!$B$7,SUMIF($BH$3:$CE$3,"="&amp;$DF38+'Model Setup'!$B$7,$AD38:$BA38)+'Model Setup'!$B$8*(SUMIF($BH$3:$CE$3,"&lt;"&amp;$DF38,$AD38:$BA38)+SUMIF($BH$3:$CE$3,"&gt;"&amp;$CW$4,$AD38:$BA38)),
IF(BP$3=$DF38+'Model Setup'!$C$7,SUMIF($BH$3:$CE$3,"="&amp;$DF38+'Model Setup'!$C$7,$AD38:$BA38)+'Model Setup'!$C$8*(SUMIF($BH$3:$CE$3,"&lt;"&amp;$DF38,$AD38:$BA38)+SUMIF($BH$3:$CE$3,"&gt;"&amp;$CW$4,$AD38:$BA38)),
IF(BP$3=$DF38+'Model Setup'!$D$7,SUMIF($BH$3:$CE$3,"="&amp;$DF38+'Model Setup'!$D$7,$AD38:$BA38)+'Model Setup'!$D$8*(SUMIF($BH$3:$CE$3,"&lt;"&amp;$DF38,$AD38:$BA38)+SUMIF($BH$3:$CE$3,"&gt;"&amp;$CW$4,$AD38:$BA38)),
IF(BP$3=$DF38+'Model Setup'!$E$7,SUMIF($BH$3:$CE$3,"="&amp;$DF38+'Model Setup'!$E$7,$AD38:$BA38)+'Model Setup'!$E$8*(SUMIF($BH$3:$CE$3,"&lt;"&amp;$DF38,$AD38:$BA38)+SUMIF($BH$3:$CE$3,"&gt;"&amp;$CW$4,$AD38:$BA38)),
IF(BP$3=$DF38+'Model Setup'!$F$7,SUMIF($BH$3:$CE$3,"="&amp;$DF38+'Model Setup'!$F$7,$AD38:$BA38)+'Model Setup'!$F$8*(SUMIF($BH$3:$CE$3,"&lt;"&amp;$DF38,$AD38:$BA38)+SUMIF($BH$3:$CE$3,"&gt;"&amp;$CW$4,$AD38:$BA38)),
IF(BP$3=$DF38+'Model Setup'!$G$7,SUMIF($BH$3:$CE$3,"="&amp;$DF38+'Model Setup'!$G$7,$AD38:$BA38)+'Model Setup'!$G$8*(SUMIF($BH$3:$CE$3,"&lt;"&amp;$DF38,$AD38:$BA38)+SUMIF($BH$3:$CE$3,"&gt;"&amp;$CW$4,$AD38:$BA38)),
IF(BP$3=$DF38+'Model Setup'!$H$7,SUMIF($BH$3:$CE$3,"="&amp;$DF38+'Model Setup'!$H$7,$AD38:$BA38)+'Model Setup'!$H$8*(SUMIF($BH$3:$CE$3,"&lt;"&amp;$DF38,$AD38:$BA38)+SUMIF($BH$3:$CE$3,"&gt;"&amp;$CW$4,$AD38:$BA38)),
IF(BP$3=$DF38+'Model Setup'!$I$7,SUMIF($BH$3:$CE$3,"="&amp;$DF38+'Model Setup'!$I$7,$AD38:$BA38)+'Model Setup'!$I$8*(SUMIF($BH$3:$CE$3,"&lt;"&amp;$DF38,$AD38:$BA38)+SUMIF($BH$3:$CE$3,"&gt;"&amp;$CW$4,$AD38:$BA38)),
IF(BP$3=$DF38+'Model Setup'!$J$7,SUMIF($BH$3:$CE$3,"="&amp;$DF38+'Model Setup'!$J$7,$AD38:$BA38)+'Model Setup'!$J$8*(SUMIF($BH$3:$CE$3,"&lt;"&amp;$DF38,$AD38:$BA38)+SUMIF($BH$3:$CE$3,"&gt;"&amp;$CW$4,$AD38:$BA38)),
IF(BP$3=$DF38+'Model Setup'!$K$7,SUMIF($BH$3:$CE$3,"="&amp;$DF38+'Model Setup'!$K$7,$AD38:$BA38)+'Model Setup'!$K$8*(SUMIF($BH$3:$CE$3,"&lt;"&amp;$DF38,$AD38:$BA38)+SUMIF($BH$3:$CE$3,"&gt;"&amp;$CW$4,$AD38:$BA38)),
IF(BP$3=$DF38+'Model Setup'!$L$7,SUMIF($BH$3:$CE$3,"="&amp;$DF38+'Model Setup'!$L$7,$AD38:$BA38)+'Model Setup'!$L$8*(SUMIF($BH$3:$CE$3,"&lt;"&amp;$DF38,$AD38:$BA38)+SUMIF($BH$3:$CE$3,"&gt;"&amp;$CW$4,$AD38:$BA38)),
IF(BP$3=$DF38+'Model Setup'!$M$7,SUMIF($BH$3:$CE$3,"="&amp;$DF38+'Model Setup'!$M$7,$AD38:$BA38)+'Model Setup'!$M$8*(SUMIF($BH$3:$CE$3,"&lt;"&amp;$DF38,$AD38:$BA38)+SUMIF($BH$3:$CE$3,"&gt;"&amp;$CW$4,$AD38:$BA38)),
IF(BP$3=$DF38+'Model Setup'!$N$7,SUMIF($BH$3:$CE$3,"="&amp;$DF38+'Model Setup'!$N$7,$AD38:$BA38)+'Model Setup'!$N$8*(SUMIF($BH$3:$CE$3,"&lt;"&amp;$DF38,$AD38:$BA38)+SUMIF($BH$3:$CE$3,"&gt;"&amp;$CW$4,$AD38:$BA38)),
IF(BP$3&lt;$CW$4,J38,0))))))))))))))),0)</f>
        <v>0</v>
      </c>
      <c r="BQ38" s="47">
        <f>ROUND(IF(OR(BQ$3&lt;$DF38,BQ$3&gt;$CW$4),0,
IF(BQ$3=$DF38+'Model Setup'!$B$7,SUMIF($BH$3:$CE$3,"="&amp;$DF38+'Model Setup'!$B$7,$AD38:$BA38)+'Model Setup'!$B$8*(SUMIF($BH$3:$CE$3,"&lt;"&amp;$DF38,$AD38:$BA38)+SUMIF($BH$3:$CE$3,"&gt;"&amp;$CW$4,$AD38:$BA38)),
IF(BQ$3=$DF38+'Model Setup'!$C$7,SUMIF($BH$3:$CE$3,"="&amp;$DF38+'Model Setup'!$C$7,$AD38:$BA38)+'Model Setup'!$C$8*(SUMIF($BH$3:$CE$3,"&lt;"&amp;$DF38,$AD38:$BA38)+SUMIF($BH$3:$CE$3,"&gt;"&amp;$CW$4,$AD38:$BA38)),
IF(BQ$3=$DF38+'Model Setup'!$D$7,SUMIF($BH$3:$CE$3,"="&amp;$DF38+'Model Setup'!$D$7,$AD38:$BA38)+'Model Setup'!$D$8*(SUMIF($BH$3:$CE$3,"&lt;"&amp;$DF38,$AD38:$BA38)+SUMIF($BH$3:$CE$3,"&gt;"&amp;$CW$4,$AD38:$BA38)),
IF(BQ$3=$DF38+'Model Setup'!$E$7,SUMIF($BH$3:$CE$3,"="&amp;$DF38+'Model Setup'!$E$7,$AD38:$BA38)+'Model Setup'!$E$8*(SUMIF($BH$3:$CE$3,"&lt;"&amp;$DF38,$AD38:$BA38)+SUMIF($BH$3:$CE$3,"&gt;"&amp;$CW$4,$AD38:$BA38)),
IF(BQ$3=$DF38+'Model Setup'!$F$7,SUMIF($BH$3:$CE$3,"="&amp;$DF38+'Model Setup'!$F$7,$AD38:$BA38)+'Model Setup'!$F$8*(SUMIF($BH$3:$CE$3,"&lt;"&amp;$DF38,$AD38:$BA38)+SUMIF($BH$3:$CE$3,"&gt;"&amp;$CW$4,$AD38:$BA38)),
IF(BQ$3=$DF38+'Model Setup'!$G$7,SUMIF($BH$3:$CE$3,"="&amp;$DF38+'Model Setup'!$G$7,$AD38:$BA38)+'Model Setup'!$G$8*(SUMIF($BH$3:$CE$3,"&lt;"&amp;$DF38,$AD38:$BA38)+SUMIF($BH$3:$CE$3,"&gt;"&amp;$CW$4,$AD38:$BA38)),
IF(BQ$3=$DF38+'Model Setup'!$H$7,SUMIF($BH$3:$CE$3,"="&amp;$DF38+'Model Setup'!$H$7,$AD38:$BA38)+'Model Setup'!$H$8*(SUMIF($BH$3:$CE$3,"&lt;"&amp;$DF38,$AD38:$BA38)+SUMIF($BH$3:$CE$3,"&gt;"&amp;$CW$4,$AD38:$BA38)),
IF(BQ$3=$DF38+'Model Setup'!$I$7,SUMIF($BH$3:$CE$3,"="&amp;$DF38+'Model Setup'!$I$7,$AD38:$BA38)+'Model Setup'!$I$8*(SUMIF($BH$3:$CE$3,"&lt;"&amp;$DF38,$AD38:$BA38)+SUMIF($BH$3:$CE$3,"&gt;"&amp;$CW$4,$AD38:$BA38)),
IF(BQ$3=$DF38+'Model Setup'!$J$7,SUMIF($BH$3:$CE$3,"="&amp;$DF38+'Model Setup'!$J$7,$AD38:$BA38)+'Model Setup'!$J$8*(SUMIF($BH$3:$CE$3,"&lt;"&amp;$DF38,$AD38:$BA38)+SUMIF($BH$3:$CE$3,"&gt;"&amp;$CW$4,$AD38:$BA38)),
IF(BQ$3=$DF38+'Model Setup'!$K$7,SUMIF($BH$3:$CE$3,"="&amp;$DF38+'Model Setup'!$K$7,$AD38:$BA38)+'Model Setup'!$K$8*(SUMIF($BH$3:$CE$3,"&lt;"&amp;$DF38,$AD38:$BA38)+SUMIF($BH$3:$CE$3,"&gt;"&amp;$CW$4,$AD38:$BA38)),
IF(BQ$3=$DF38+'Model Setup'!$L$7,SUMIF($BH$3:$CE$3,"="&amp;$DF38+'Model Setup'!$L$7,$AD38:$BA38)+'Model Setup'!$L$8*(SUMIF($BH$3:$CE$3,"&lt;"&amp;$DF38,$AD38:$BA38)+SUMIF($BH$3:$CE$3,"&gt;"&amp;$CW$4,$AD38:$BA38)),
IF(BQ$3=$DF38+'Model Setup'!$M$7,SUMIF($BH$3:$CE$3,"="&amp;$DF38+'Model Setup'!$M$7,$AD38:$BA38)+'Model Setup'!$M$8*(SUMIF($BH$3:$CE$3,"&lt;"&amp;$DF38,$AD38:$BA38)+SUMIF($BH$3:$CE$3,"&gt;"&amp;$CW$4,$AD38:$BA38)),
IF(BQ$3=$DF38+'Model Setup'!$N$7,SUMIF($BH$3:$CE$3,"="&amp;$DF38+'Model Setup'!$N$7,$AD38:$BA38)+'Model Setup'!$N$8*(SUMIF($BH$3:$CE$3,"&lt;"&amp;$DF38,$AD38:$BA38)+SUMIF($BH$3:$CE$3,"&gt;"&amp;$CW$4,$AD38:$BA38)),
IF(BQ$3&lt;$CW$4,K38,0))))))))))))))),0)</f>
        <v>33</v>
      </c>
      <c r="BR38" s="47">
        <f>ROUND(IF(OR(BR$3&lt;$DF38,BR$3&gt;$CW$4),0,
IF(BR$3=$DF38+'Model Setup'!$B$7,SUMIF($BH$3:$CE$3,"="&amp;$DF38+'Model Setup'!$B$7,$AD38:$BA38)+'Model Setup'!$B$8*(SUMIF($BH$3:$CE$3,"&lt;"&amp;$DF38,$AD38:$BA38)+SUMIF($BH$3:$CE$3,"&gt;"&amp;$CW$4,$AD38:$BA38)),
IF(BR$3=$DF38+'Model Setup'!$C$7,SUMIF($BH$3:$CE$3,"="&amp;$DF38+'Model Setup'!$C$7,$AD38:$BA38)+'Model Setup'!$C$8*(SUMIF($BH$3:$CE$3,"&lt;"&amp;$DF38,$AD38:$BA38)+SUMIF($BH$3:$CE$3,"&gt;"&amp;$CW$4,$AD38:$BA38)),
IF(BR$3=$DF38+'Model Setup'!$D$7,SUMIF($BH$3:$CE$3,"="&amp;$DF38+'Model Setup'!$D$7,$AD38:$BA38)+'Model Setup'!$D$8*(SUMIF($BH$3:$CE$3,"&lt;"&amp;$DF38,$AD38:$BA38)+SUMIF($BH$3:$CE$3,"&gt;"&amp;$CW$4,$AD38:$BA38)),
IF(BR$3=$DF38+'Model Setup'!$E$7,SUMIF($BH$3:$CE$3,"="&amp;$DF38+'Model Setup'!$E$7,$AD38:$BA38)+'Model Setup'!$E$8*(SUMIF($BH$3:$CE$3,"&lt;"&amp;$DF38,$AD38:$BA38)+SUMIF($BH$3:$CE$3,"&gt;"&amp;$CW$4,$AD38:$BA38)),
IF(BR$3=$DF38+'Model Setup'!$F$7,SUMIF($BH$3:$CE$3,"="&amp;$DF38+'Model Setup'!$F$7,$AD38:$BA38)+'Model Setup'!$F$8*(SUMIF($BH$3:$CE$3,"&lt;"&amp;$DF38,$AD38:$BA38)+SUMIF($BH$3:$CE$3,"&gt;"&amp;$CW$4,$AD38:$BA38)),
IF(BR$3=$DF38+'Model Setup'!$G$7,SUMIF($BH$3:$CE$3,"="&amp;$DF38+'Model Setup'!$G$7,$AD38:$BA38)+'Model Setup'!$G$8*(SUMIF($BH$3:$CE$3,"&lt;"&amp;$DF38,$AD38:$BA38)+SUMIF($BH$3:$CE$3,"&gt;"&amp;$CW$4,$AD38:$BA38)),
IF(BR$3=$DF38+'Model Setup'!$H$7,SUMIF($BH$3:$CE$3,"="&amp;$DF38+'Model Setup'!$H$7,$AD38:$BA38)+'Model Setup'!$H$8*(SUMIF($BH$3:$CE$3,"&lt;"&amp;$DF38,$AD38:$BA38)+SUMIF($BH$3:$CE$3,"&gt;"&amp;$CW$4,$AD38:$BA38)),
IF(BR$3=$DF38+'Model Setup'!$I$7,SUMIF($BH$3:$CE$3,"="&amp;$DF38+'Model Setup'!$I$7,$AD38:$BA38)+'Model Setup'!$I$8*(SUMIF($BH$3:$CE$3,"&lt;"&amp;$DF38,$AD38:$BA38)+SUMIF($BH$3:$CE$3,"&gt;"&amp;$CW$4,$AD38:$BA38)),
IF(BR$3=$DF38+'Model Setup'!$J$7,SUMIF($BH$3:$CE$3,"="&amp;$DF38+'Model Setup'!$J$7,$AD38:$BA38)+'Model Setup'!$J$8*(SUMIF($BH$3:$CE$3,"&lt;"&amp;$DF38,$AD38:$BA38)+SUMIF($BH$3:$CE$3,"&gt;"&amp;$CW$4,$AD38:$BA38)),
IF(BR$3=$DF38+'Model Setup'!$K$7,SUMIF($BH$3:$CE$3,"="&amp;$DF38+'Model Setup'!$K$7,$AD38:$BA38)+'Model Setup'!$K$8*(SUMIF($BH$3:$CE$3,"&lt;"&amp;$DF38,$AD38:$BA38)+SUMIF($BH$3:$CE$3,"&gt;"&amp;$CW$4,$AD38:$BA38)),
IF(BR$3=$DF38+'Model Setup'!$L$7,SUMIF($BH$3:$CE$3,"="&amp;$DF38+'Model Setup'!$L$7,$AD38:$BA38)+'Model Setup'!$L$8*(SUMIF($BH$3:$CE$3,"&lt;"&amp;$DF38,$AD38:$BA38)+SUMIF($BH$3:$CE$3,"&gt;"&amp;$CW$4,$AD38:$BA38)),
IF(BR$3=$DF38+'Model Setup'!$M$7,SUMIF($BH$3:$CE$3,"="&amp;$DF38+'Model Setup'!$M$7,$AD38:$BA38)+'Model Setup'!$M$8*(SUMIF($BH$3:$CE$3,"&lt;"&amp;$DF38,$AD38:$BA38)+SUMIF($BH$3:$CE$3,"&gt;"&amp;$CW$4,$AD38:$BA38)),
IF(BR$3=$DF38+'Model Setup'!$N$7,SUMIF($BH$3:$CE$3,"="&amp;$DF38+'Model Setup'!$N$7,$AD38:$BA38)+'Model Setup'!$N$8*(SUMIF($BH$3:$CE$3,"&lt;"&amp;$DF38,$AD38:$BA38)+SUMIF($BH$3:$CE$3,"&gt;"&amp;$CW$4,$AD38:$BA38)),
IF(BR$3&lt;$CW$4,L38,0))))))))))))))),0)</f>
        <v>37</v>
      </c>
      <c r="BS38" s="47">
        <f>ROUND(IF(OR(BS$3&lt;$DF38,BS$3&gt;$CW$4),0,
IF(BS$3=$DF38+'Model Setup'!$B$7,SUMIF($BH$3:$CE$3,"="&amp;$DF38+'Model Setup'!$B$7,$AD38:$BA38)+'Model Setup'!$B$8*(SUMIF($BH$3:$CE$3,"&lt;"&amp;$DF38,$AD38:$BA38)+SUMIF($BH$3:$CE$3,"&gt;"&amp;$CW$4,$AD38:$BA38)),
IF(BS$3=$DF38+'Model Setup'!$C$7,SUMIF($BH$3:$CE$3,"="&amp;$DF38+'Model Setup'!$C$7,$AD38:$BA38)+'Model Setup'!$C$8*(SUMIF($BH$3:$CE$3,"&lt;"&amp;$DF38,$AD38:$BA38)+SUMIF($BH$3:$CE$3,"&gt;"&amp;$CW$4,$AD38:$BA38)),
IF(BS$3=$DF38+'Model Setup'!$D$7,SUMIF($BH$3:$CE$3,"="&amp;$DF38+'Model Setup'!$D$7,$AD38:$BA38)+'Model Setup'!$D$8*(SUMIF($BH$3:$CE$3,"&lt;"&amp;$DF38,$AD38:$BA38)+SUMIF($BH$3:$CE$3,"&gt;"&amp;$CW$4,$AD38:$BA38)),
IF(BS$3=$DF38+'Model Setup'!$E$7,SUMIF($BH$3:$CE$3,"="&amp;$DF38+'Model Setup'!$E$7,$AD38:$BA38)+'Model Setup'!$E$8*(SUMIF($BH$3:$CE$3,"&lt;"&amp;$DF38,$AD38:$BA38)+SUMIF($BH$3:$CE$3,"&gt;"&amp;$CW$4,$AD38:$BA38)),
IF(BS$3=$DF38+'Model Setup'!$F$7,SUMIF($BH$3:$CE$3,"="&amp;$DF38+'Model Setup'!$F$7,$AD38:$BA38)+'Model Setup'!$F$8*(SUMIF($BH$3:$CE$3,"&lt;"&amp;$DF38,$AD38:$BA38)+SUMIF($BH$3:$CE$3,"&gt;"&amp;$CW$4,$AD38:$BA38)),
IF(BS$3=$DF38+'Model Setup'!$G$7,SUMIF($BH$3:$CE$3,"="&amp;$DF38+'Model Setup'!$G$7,$AD38:$BA38)+'Model Setup'!$G$8*(SUMIF($BH$3:$CE$3,"&lt;"&amp;$DF38,$AD38:$BA38)+SUMIF($BH$3:$CE$3,"&gt;"&amp;$CW$4,$AD38:$BA38)),
IF(BS$3=$DF38+'Model Setup'!$H$7,SUMIF($BH$3:$CE$3,"="&amp;$DF38+'Model Setup'!$H$7,$AD38:$BA38)+'Model Setup'!$H$8*(SUMIF($BH$3:$CE$3,"&lt;"&amp;$DF38,$AD38:$BA38)+SUMIF($BH$3:$CE$3,"&gt;"&amp;$CW$4,$AD38:$BA38)),
IF(BS$3=$DF38+'Model Setup'!$I$7,SUMIF($BH$3:$CE$3,"="&amp;$DF38+'Model Setup'!$I$7,$AD38:$BA38)+'Model Setup'!$I$8*(SUMIF($BH$3:$CE$3,"&lt;"&amp;$DF38,$AD38:$BA38)+SUMIF($BH$3:$CE$3,"&gt;"&amp;$CW$4,$AD38:$BA38)),
IF(BS$3=$DF38+'Model Setup'!$J$7,SUMIF($BH$3:$CE$3,"="&amp;$DF38+'Model Setup'!$J$7,$AD38:$BA38)+'Model Setup'!$J$8*(SUMIF($BH$3:$CE$3,"&lt;"&amp;$DF38,$AD38:$BA38)+SUMIF($BH$3:$CE$3,"&gt;"&amp;$CW$4,$AD38:$BA38)),
IF(BS$3=$DF38+'Model Setup'!$K$7,SUMIF($BH$3:$CE$3,"="&amp;$DF38+'Model Setup'!$K$7,$AD38:$BA38)+'Model Setup'!$K$8*(SUMIF($BH$3:$CE$3,"&lt;"&amp;$DF38,$AD38:$BA38)+SUMIF($BH$3:$CE$3,"&gt;"&amp;$CW$4,$AD38:$BA38)),
IF(BS$3=$DF38+'Model Setup'!$L$7,SUMIF($BH$3:$CE$3,"="&amp;$DF38+'Model Setup'!$L$7,$AD38:$BA38)+'Model Setup'!$L$8*(SUMIF($BH$3:$CE$3,"&lt;"&amp;$DF38,$AD38:$BA38)+SUMIF($BH$3:$CE$3,"&gt;"&amp;$CW$4,$AD38:$BA38)),
IF(BS$3=$DF38+'Model Setup'!$M$7,SUMIF($BH$3:$CE$3,"="&amp;$DF38+'Model Setup'!$M$7,$AD38:$BA38)+'Model Setup'!$M$8*(SUMIF($BH$3:$CE$3,"&lt;"&amp;$DF38,$AD38:$BA38)+SUMIF($BH$3:$CE$3,"&gt;"&amp;$CW$4,$AD38:$BA38)),
IF(BS$3=$DF38+'Model Setup'!$N$7,SUMIF($BH$3:$CE$3,"="&amp;$DF38+'Model Setup'!$N$7,$AD38:$BA38)+'Model Setup'!$N$8*(SUMIF($BH$3:$CE$3,"&lt;"&amp;$DF38,$AD38:$BA38)+SUMIF($BH$3:$CE$3,"&gt;"&amp;$CW$4,$AD38:$BA38)),
IF(BS$3&lt;$CW$4,M38,0))))))))))))))),0)</f>
        <v>31</v>
      </c>
      <c r="BT38" s="47">
        <f>ROUND(IF(OR(BT$3&lt;$DF38,BT$3&gt;$CW$4),0,
IF(BT$3=$DF38+'Model Setup'!$B$7,SUMIF($BH$3:$CE$3,"="&amp;$DF38+'Model Setup'!$B$7,$AD38:$BA38)+'Model Setup'!$B$8*(SUMIF($BH$3:$CE$3,"&lt;"&amp;$DF38,$AD38:$BA38)+SUMIF($BH$3:$CE$3,"&gt;"&amp;$CW$4,$AD38:$BA38)),
IF(BT$3=$DF38+'Model Setup'!$C$7,SUMIF($BH$3:$CE$3,"="&amp;$DF38+'Model Setup'!$C$7,$AD38:$BA38)+'Model Setup'!$C$8*(SUMIF($BH$3:$CE$3,"&lt;"&amp;$DF38,$AD38:$BA38)+SUMIF($BH$3:$CE$3,"&gt;"&amp;$CW$4,$AD38:$BA38)),
IF(BT$3=$DF38+'Model Setup'!$D$7,SUMIF($BH$3:$CE$3,"="&amp;$DF38+'Model Setup'!$D$7,$AD38:$BA38)+'Model Setup'!$D$8*(SUMIF($BH$3:$CE$3,"&lt;"&amp;$DF38,$AD38:$BA38)+SUMIF($BH$3:$CE$3,"&gt;"&amp;$CW$4,$AD38:$BA38)),
IF(BT$3=$DF38+'Model Setup'!$E$7,SUMIF($BH$3:$CE$3,"="&amp;$DF38+'Model Setup'!$E$7,$AD38:$BA38)+'Model Setup'!$E$8*(SUMIF($BH$3:$CE$3,"&lt;"&amp;$DF38,$AD38:$BA38)+SUMIF($BH$3:$CE$3,"&gt;"&amp;$CW$4,$AD38:$BA38)),
IF(BT$3=$DF38+'Model Setup'!$F$7,SUMIF($BH$3:$CE$3,"="&amp;$DF38+'Model Setup'!$F$7,$AD38:$BA38)+'Model Setup'!$F$8*(SUMIF($BH$3:$CE$3,"&lt;"&amp;$DF38,$AD38:$BA38)+SUMIF($BH$3:$CE$3,"&gt;"&amp;$CW$4,$AD38:$BA38)),
IF(BT$3=$DF38+'Model Setup'!$G$7,SUMIF($BH$3:$CE$3,"="&amp;$DF38+'Model Setup'!$G$7,$AD38:$BA38)+'Model Setup'!$G$8*(SUMIF($BH$3:$CE$3,"&lt;"&amp;$DF38,$AD38:$BA38)+SUMIF($BH$3:$CE$3,"&gt;"&amp;$CW$4,$AD38:$BA38)),
IF(BT$3=$DF38+'Model Setup'!$H$7,SUMIF($BH$3:$CE$3,"="&amp;$DF38+'Model Setup'!$H$7,$AD38:$BA38)+'Model Setup'!$H$8*(SUMIF($BH$3:$CE$3,"&lt;"&amp;$DF38,$AD38:$BA38)+SUMIF($BH$3:$CE$3,"&gt;"&amp;$CW$4,$AD38:$BA38)),
IF(BT$3=$DF38+'Model Setup'!$I$7,SUMIF($BH$3:$CE$3,"="&amp;$DF38+'Model Setup'!$I$7,$AD38:$BA38)+'Model Setup'!$I$8*(SUMIF($BH$3:$CE$3,"&lt;"&amp;$DF38,$AD38:$BA38)+SUMIF($BH$3:$CE$3,"&gt;"&amp;$CW$4,$AD38:$BA38)),
IF(BT$3=$DF38+'Model Setup'!$J$7,SUMIF($BH$3:$CE$3,"="&amp;$DF38+'Model Setup'!$J$7,$AD38:$BA38)+'Model Setup'!$J$8*(SUMIF($BH$3:$CE$3,"&lt;"&amp;$DF38,$AD38:$BA38)+SUMIF($BH$3:$CE$3,"&gt;"&amp;$CW$4,$AD38:$BA38)),
IF(BT$3=$DF38+'Model Setup'!$K$7,SUMIF($BH$3:$CE$3,"="&amp;$DF38+'Model Setup'!$K$7,$AD38:$BA38)+'Model Setup'!$K$8*(SUMIF($BH$3:$CE$3,"&lt;"&amp;$DF38,$AD38:$BA38)+SUMIF($BH$3:$CE$3,"&gt;"&amp;$CW$4,$AD38:$BA38)),
IF(BT$3=$DF38+'Model Setup'!$L$7,SUMIF($BH$3:$CE$3,"="&amp;$DF38+'Model Setup'!$L$7,$AD38:$BA38)+'Model Setup'!$L$8*(SUMIF($BH$3:$CE$3,"&lt;"&amp;$DF38,$AD38:$BA38)+SUMIF($BH$3:$CE$3,"&gt;"&amp;$CW$4,$AD38:$BA38)),
IF(BT$3=$DF38+'Model Setup'!$M$7,SUMIF($BH$3:$CE$3,"="&amp;$DF38+'Model Setup'!$M$7,$AD38:$BA38)+'Model Setup'!$M$8*(SUMIF($BH$3:$CE$3,"&lt;"&amp;$DF38,$AD38:$BA38)+SUMIF($BH$3:$CE$3,"&gt;"&amp;$CW$4,$AD38:$BA38)),
IF(BT$3=$DF38+'Model Setup'!$N$7,SUMIF($BH$3:$CE$3,"="&amp;$DF38+'Model Setup'!$N$7,$AD38:$BA38)+'Model Setup'!$N$8*(SUMIF($BH$3:$CE$3,"&lt;"&amp;$DF38,$AD38:$BA38)+SUMIF($BH$3:$CE$3,"&gt;"&amp;$CW$4,$AD38:$BA38)),
IF(BT$3&lt;$CW$4,N38,0))))))))))))))),0)</f>
        <v>30</v>
      </c>
      <c r="BU38" s="47">
        <f>ROUND(IF(OR(BU$3&lt;$DF38,BU$3&gt;$CW$4),0,
IF(BU$3=$DF38+'Model Setup'!$B$7,SUMIF($BH$3:$CE$3,"="&amp;$DF38+'Model Setup'!$B$7,$AD38:$BA38)+'Model Setup'!$B$8*(SUMIF($BH$3:$CE$3,"&lt;"&amp;$DF38,$AD38:$BA38)+SUMIF($BH$3:$CE$3,"&gt;"&amp;$CW$4,$AD38:$BA38)),
IF(BU$3=$DF38+'Model Setup'!$C$7,SUMIF($BH$3:$CE$3,"="&amp;$DF38+'Model Setup'!$C$7,$AD38:$BA38)+'Model Setup'!$C$8*(SUMIF($BH$3:$CE$3,"&lt;"&amp;$DF38,$AD38:$BA38)+SUMIF($BH$3:$CE$3,"&gt;"&amp;$CW$4,$AD38:$BA38)),
IF(BU$3=$DF38+'Model Setup'!$D$7,SUMIF($BH$3:$CE$3,"="&amp;$DF38+'Model Setup'!$D$7,$AD38:$BA38)+'Model Setup'!$D$8*(SUMIF($BH$3:$CE$3,"&lt;"&amp;$DF38,$AD38:$BA38)+SUMIF($BH$3:$CE$3,"&gt;"&amp;$CW$4,$AD38:$BA38)),
IF(BU$3=$DF38+'Model Setup'!$E$7,SUMIF($BH$3:$CE$3,"="&amp;$DF38+'Model Setup'!$E$7,$AD38:$BA38)+'Model Setup'!$E$8*(SUMIF($BH$3:$CE$3,"&lt;"&amp;$DF38,$AD38:$BA38)+SUMIF($BH$3:$CE$3,"&gt;"&amp;$CW$4,$AD38:$BA38)),
IF(BU$3=$DF38+'Model Setup'!$F$7,SUMIF($BH$3:$CE$3,"="&amp;$DF38+'Model Setup'!$F$7,$AD38:$BA38)+'Model Setup'!$F$8*(SUMIF($BH$3:$CE$3,"&lt;"&amp;$DF38,$AD38:$BA38)+SUMIF($BH$3:$CE$3,"&gt;"&amp;$CW$4,$AD38:$BA38)),
IF(BU$3=$DF38+'Model Setup'!$G$7,SUMIF($BH$3:$CE$3,"="&amp;$DF38+'Model Setup'!$G$7,$AD38:$BA38)+'Model Setup'!$G$8*(SUMIF($BH$3:$CE$3,"&lt;"&amp;$DF38,$AD38:$BA38)+SUMIF($BH$3:$CE$3,"&gt;"&amp;$CW$4,$AD38:$BA38)),
IF(BU$3=$DF38+'Model Setup'!$H$7,SUMIF($BH$3:$CE$3,"="&amp;$DF38+'Model Setup'!$H$7,$AD38:$BA38)+'Model Setup'!$H$8*(SUMIF($BH$3:$CE$3,"&lt;"&amp;$DF38,$AD38:$BA38)+SUMIF($BH$3:$CE$3,"&gt;"&amp;$CW$4,$AD38:$BA38)),
IF(BU$3=$DF38+'Model Setup'!$I$7,SUMIF($BH$3:$CE$3,"="&amp;$DF38+'Model Setup'!$I$7,$AD38:$BA38)+'Model Setup'!$I$8*(SUMIF($BH$3:$CE$3,"&lt;"&amp;$DF38,$AD38:$BA38)+SUMIF($BH$3:$CE$3,"&gt;"&amp;$CW$4,$AD38:$BA38)),
IF(BU$3=$DF38+'Model Setup'!$J$7,SUMIF($BH$3:$CE$3,"="&amp;$DF38+'Model Setup'!$J$7,$AD38:$BA38)+'Model Setup'!$J$8*(SUMIF($BH$3:$CE$3,"&lt;"&amp;$DF38,$AD38:$BA38)+SUMIF($BH$3:$CE$3,"&gt;"&amp;$CW$4,$AD38:$BA38)),
IF(BU$3=$DF38+'Model Setup'!$K$7,SUMIF($BH$3:$CE$3,"="&amp;$DF38+'Model Setup'!$K$7,$AD38:$BA38)+'Model Setup'!$K$8*(SUMIF($BH$3:$CE$3,"&lt;"&amp;$DF38,$AD38:$BA38)+SUMIF($BH$3:$CE$3,"&gt;"&amp;$CW$4,$AD38:$BA38)),
IF(BU$3=$DF38+'Model Setup'!$L$7,SUMIF($BH$3:$CE$3,"="&amp;$DF38+'Model Setup'!$L$7,$AD38:$BA38)+'Model Setup'!$L$8*(SUMIF($BH$3:$CE$3,"&lt;"&amp;$DF38,$AD38:$BA38)+SUMIF($BH$3:$CE$3,"&gt;"&amp;$CW$4,$AD38:$BA38)),
IF(BU$3=$DF38+'Model Setup'!$M$7,SUMIF($BH$3:$CE$3,"="&amp;$DF38+'Model Setup'!$M$7,$AD38:$BA38)+'Model Setup'!$M$8*(SUMIF($BH$3:$CE$3,"&lt;"&amp;$DF38,$AD38:$BA38)+SUMIF($BH$3:$CE$3,"&gt;"&amp;$CW$4,$AD38:$BA38)),
IF(BU$3=$DF38+'Model Setup'!$N$7,SUMIF($BH$3:$CE$3,"="&amp;$DF38+'Model Setup'!$N$7,$AD38:$BA38)+'Model Setup'!$N$8*(SUMIF($BH$3:$CE$3,"&lt;"&amp;$DF38,$AD38:$BA38)+SUMIF($BH$3:$CE$3,"&gt;"&amp;$CW$4,$AD38:$BA38)),
IF(BU$3&lt;$CW$4,O38,0))))))))))))))),0)</f>
        <v>14</v>
      </c>
      <c r="BV38" s="47">
        <f>ROUND(IF(OR(BV$3&lt;$DF38,BV$3&gt;$CW$4),0,
IF(BV$3=$DF38+'Model Setup'!$B$7,SUMIF($BH$3:$CE$3,"="&amp;$DF38+'Model Setup'!$B$7,$AD38:$BA38)+'Model Setup'!$B$8*(SUMIF($BH$3:$CE$3,"&lt;"&amp;$DF38,$AD38:$BA38)+SUMIF($BH$3:$CE$3,"&gt;"&amp;$CW$4,$AD38:$BA38)),
IF(BV$3=$DF38+'Model Setup'!$C$7,SUMIF($BH$3:$CE$3,"="&amp;$DF38+'Model Setup'!$C$7,$AD38:$BA38)+'Model Setup'!$C$8*(SUMIF($BH$3:$CE$3,"&lt;"&amp;$DF38,$AD38:$BA38)+SUMIF($BH$3:$CE$3,"&gt;"&amp;$CW$4,$AD38:$BA38)),
IF(BV$3=$DF38+'Model Setup'!$D$7,SUMIF($BH$3:$CE$3,"="&amp;$DF38+'Model Setup'!$D$7,$AD38:$BA38)+'Model Setup'!$D$8*(SUMIF($BH$3:$CE$3,"&lt;"&amp;$DF38,$AD38:$BA38)+SUMIF($BH$3:$CE$3,"&gt;"&amp;$CW$4,$AD38:$BA38)),
IF(BV$3=$DF38+'Model Setup'!$E$7,SUMIF($BH$3:$CE$3,"="&amp;$DF38+'Model Setup'!$E$7,$AD38:$BA38)+'Model Setup'!$E$8*(SUMIF($BH$3:$CE$3,"&lt;"&amp;$DF38,$AD38:$BA38)+SUMIF($BH$3:$CE$3,"&gt;"&amp;$CW$4,$AD38:$BA38)),
IF(BV$3=$DF38+'Model Setup'!$F$7,SUMIF($BH$3:$CE$3,"="&amp;$DF38+'Model Setup'!$F$7,$AD38:$BA38)+'Model Setup'!$F$8*(SUMIF($BH$3:$CE$3,"&lt;"&amp;$DF38,$AD38:$BA38)+SUMIF($BH$3:$CE$3,"&gt;"&amp;$CW$4,$AD38:$BA38)),
IF(BV$3=$DF38+'Model Setup'!$G$7,SUMIF($BH$3:$CE$3,"="&amp;$DF38+'Model Setup'!$G$7,$AD38:$BA38)+'Model Setup'!$G$8*(SUMIF($BH$3:$CE$3,"&lt;"&amp;$DF38,$AD38:$BA38)+SUMIF($BH$3:$CE$3,"&gt;"&amp;$CW$4,$AD38:$BA38)),
IF(BV$3=$DF38+'Model Setup'!$H$7,SUMIF($BH$3:$CE$3,"="&amp;$DF38+'Model Setup'!$H$7,$AD38:$BA38)+'Model Setup'!$H$8*(SUMIF($BH$3:$CE$3,"&lt;"&amp;$DF38,$AD38:$BA38)+SUMIF($BH$3:$CE$3,"&gt;"&amp;$CW$4,$AD38:$BA38)),
IF(BV$3=$DF38+'Model Setup'!$I$7,SUMIF($BH$3:$CE$3,"="&amp;$DF38+'Model Setup'!$I$7,$AD38:$BA38)+'Model Setup'!$I$8*(SUMIF($BH$3:$CE$3,"&lt;"&amp;$DF38,$AD38:$BA38)+SUMIF($BH$3:$CE$3,"&gt;"&amp;$CW$4,$AD38:$BA38)),
IF(BV$3=$DF38+'Model Setup'!$J$7,SUMIF($BH$3:$CE$3,"="&amp;$DF38+'Model Setup'!$J$7,$AD38:$BA38)+'Model Setup'!$J$8*(SUMIF($BH$3:$CE$3,"&lt;"&amp;$DF38,$AD38:$BA38)+SUMIF($BH$3:$CE$3,"&gt;"&amp;$CW$4,$AD38:$BA38)),
IF(BV$3=$DF38+'Model Setup'!$K$7,SUMIF($BH$3:$CE$3,"="&amp;$DF38+'Model Setup'!$K$7,$AD38:$BA38)+'Model Setup'!$K$8*(SUMIF($BH$3:$CE$3,"&lt;"&amp;$DF38,$AD38:$BA38)+SUMIF($BH$3:$CE$3,"&gt;"&amp;$CW$4,$AD38:$BA38)),
IF(BV$3=$DF38+'Model Setup'!$L$7,SUMIF($BH$3:$CE$3,"="&amp;$DF38+'Model Setup'!$L$7,$AD38:$BA38)+'Model Setup'!$L$8*(SUMIF($BH$3:$CE$3,"&lt;"&amp;$DF38,$AD38:$BA38)+SUMIF($BH$3:$CE$3,"&gt;"&amp;$CW$4,$AD38:$BA38)),
IF(BV$3=$DF38+'Model Setup'!$M$7,SUMIF($BH$3:$CE$3,"="&amp;$DF38+'Model Setup'!$M$7,$AD38:$BA38)+'Model Setup'!$M$8*(SUMIF($BH$3:$CE$3,"&lt;"&amp;$DF38,$AD38:$BA38)+SUMIF($BH$3:$CE$3,"&gt;"&amp;$CW$4,$AD38:$BA38)),
IF(BV$3=$DF38+'Model Setup'!$N$7,SUMIF($BH$3:$CE$3,"="&amp;$DF38+'Model Setup'!$N$7,$AD38:$BA38)+'Model Setup'!$N$8*(SUMIF($BH$3:$CE$3,"&lt;"&amp;$DF38,$AD38:$BA38)+SUMIF($BH$3:$CE$3,"&gt;"&amp;$CW$4,$AD38:$BA38)),
IF(BV$3&lt;$CW$4,P38,0))))))))))))))),0)</f>
        <v>23</v>
      </c>
      <c r="BW38" s="47">
        <f>ROUND(IF(OR(BW$3&lt;$DF38,BW$3&gt;$CW$4),0,
IF(BW$3=$DF38+'Model Setup'!$B$7,SUMIF($BH$3:$CE$3,"="&amp;$DF38+'Model Setup'!$B$7,$AD38:$BA38)+'Model Setup'!$B$8*(SUMIF($BH$3:$CE$3,"&lt;"&amp;$DF38,$AD38:$BA38)+SUMIF($BH$3:$CE$3,"&gt;"&amp;$CW$4,$AD38:$BA38)),
IF(BW$3=$DF38+'Model Setup'!$C$7,SUMIF($BH$3:$CE$3,"="&amp;$DF38+'Model Setup'!$C$7,$AD38:$BA38)+'Model Setup'!$C$8*(SUMIF($BH$3:$CE$3,"&lt;"&amp;$DF38,$AD38:$BA38)+SUMIF($BH$3:$CE$3,"&gt;"&amp;$CW$4,$AD38:$BA38)),
IF(BW$3=$DF38+'Model Setup'!$D$7,SUMIF($BH$3:$CE$3,"="&amp;$DF38+'Model Setup'!$D$7,$AD38:$BA38)+'Model Setup'!$D$8*(SUMIF($BH$3:$CE$3,"&lt;"&amp;$DF38,$AD38:$BA38)+SUMIF($BH$3:$CE$3,"&gt;"&amp;$CW$4,$AD38:$BA38)),
IF(BW$3=$DF38+'Model Setup'!$E$7,SUMIF($BH$3:$CE$3,"="&amp;$DF38+'Model Setup'!$E$7,$AD38:$BA38)+'Model Setup'!$E$8*(SUMIF($BH$3:$CE$3,"&lt;"&amp;$DF38,$AD38:$BA38)+SUMIF($BH$3:$CE$3,"&gt;"&amp;$CW$4,$AD38:$BA38)),
IF(BW$3=$DF38+'Model Setup'!$F$7,SUMIF($BH$3:$CE$3,"="&amp;$DF38+'Model Setup'!$F$7,$AD38:$BA38)+'Model Setup'!$F$8*(SUMIF($BH$3:$CE$3,"&lt;"&amp;$DF38,$AD38:$BA38)+SUMIF($BH$3:$CE$3,"&gt;"&amp;$CW$4,$AD38:$BA38)),
IF(BW$3=$DF38+'Model Setup'!$G$7,SUMIF($BH$3:$CE$3,"="&amp;$DF38+'Model Setup'!$G$7,$AD38:$BA38)+'Model Setup'!$G$8*(SUMIF($BH$3:$CE$3,"&lt;"&amp;$DF38,$AD38:$BA38)+SUMIF($BH$3:$CE$3,"&gt;"&amp;$CW$4,$AD38:$BA38)),
IF(BW$3=$DF38+'Model Setup'!$H$7,SUMIF($BH$3:$CE$3,"="&amp;$DF38+'Model Setup'!$H$7,$AD38:$BA38)+'Model Setup'!$H$8*(SUMIF($BH$3:$CE$3,"&lt;"&amp;$DF38,$AD38:$BA38)+SUMIF($BH$3:$CE$3,"&gt;"&amp;$CW$4,$AD38:$BA38)),
IF(BW$3=$DF38+'Model Setup'!$I$7,SUMIF($BH$3:$CE$3,"="&amp;$DF38+'Model Setup'!$I$7,$AD38:$BA38)+'Model Setup'!$I$8*(SUMIF($BH$3:$CE$3,"&lt;"&amp;$DF38,$AD38:$BA38)+SUMIF($BH$3:$CE$3,"&gt;"&amp;$CW$4,$AD38:$BA38)),
IF(BW$3=$DF38+'Model Setup'!$J$7,SUMIF($BH$3:$CE$3,"="&amp;$DF38+'Model Setup'!$J$7,$AD38:$BA38)+'Model Setup'!$J$8*(SUMIF($BH$3:$CE$3,"&lt;"&amp;$DF38,$AD38:$BA38)+SUMIF($BH$3:$CE$3,"&gt;"&amp;$CW$4,$AD38:$BA38)),
IF(BW$3=$DF38+'Model Setup'!$K$7,SUMIF($BH$3:$CE$3,"="&amp;$DF38+'Model Setup'!$K$7,$AD38:$BA38)+'Model Setup'!$K$8*(SUMIF($BH$3:$CE$3,"&lt;"&amp;$DF38,$AD38:$BA38)+SUMIF($BH$3:$CE$3,"&gt;"&amp;$CW$4,$AD38:$BA38)),
IF(BW$3=$DF38+'Model Setup'!$L$7,SUMIF($BH$3:$CE$3,"="&amp;$DF38+'Model Setup'!$L$7,$AD38:$BA38)+'Model Setup'!$L$8*(SUMIF($BH$3:$CE$3,"&lt;"&amp;$DF38,$AD38:$BA38)+SUMIF($BH$3:$CE$3,"&gt;"&amp;$CW$4,$AD38:$BA38)),
IF(BW$3=$DF38+'Model Setup'!$M$7,SUMIF($BH$3:$CE$3,"="&amp;$DF38+'Model Setup'!$M$7,$AD38:$BA38)+'Model Setup'!$M$8*(SUMIF($BH$3:$CE$3,"&lt;"&amp;$DF38,$AD38:$BA38)+SUMIF($BH$3:$CE$3,"&gt;"&amp;$CW$4,$AD38:$BA38)),
IF(BW$3=$DF38+'Model Setup'!$N$7,SUMIF($BH$3:$CE$3,"="&amp;$DF38+'Model Setup'!$N$7,$AD38:$BA38)+'Model Setup'!$N$8*(SUMIF($BH$3:$CE$3,"&lt;"&amp;$DF38,$AD38:$BA38)+SUMIF($BH$3:$CE$3,"&gt;"&amp;$CW$4,$AD38:$BA38)),
IF(BW$3&lt;$CW$4,Q38,0))))))))))))))),0)</f>
        <v>17</v>
      </c>
      <c r="BX38" s="47">
        <f>ROUND(IF(OR(BX$3&lt;$DF38,BX$3&gt;$CW$4),0,
IF(BX$3=$DF38+'Model Setup'!$B$7,SUMIF($BH$3:$CE$3,"="&amp;$DF38+'Model Setup'!$B$7,$AD38:$BA38)+'Model Setup'!$B$8*(SUMIF($BH$3:$CE$3,"&lt;"&amp;$DF38,$AD38:$BA38)+SUMIF($BH$3:$CE$3,"&gt;"&amp;$CW$4,$AD38:$BA38)),
IF(BX$3=$DF38+'Model Setup'!$C$7,SUMIF($BH$3:$CE$3,"="&amp;$DF38+'Model Setup'!$C$7,$AD38:$BA38)+'Model Setup'!$C$8*(SUMIF($BH$3:$CE$3,"&lt;"&amp;$DF38,$AD38:$BA38)+SUMIF($BH$3:$CE$3,"&gt;"&amp;$CW$4,$AD38:$BA38)),
IF(BX$3=$DF38+'Model Setup'!$D$7,SUMIF($BH$3:$CE$3,"="&amp;$DF38+'Model Setup'!$D$7,$AD38:$BA38)+'Model Setup'!$D$8*(SUMIF($BH$3:$CE$3,"&lt;"&amp;$DF38,$AD38:$BA38)+SUMIF($BH$3:$CE$3,"&gt;"&amp;$CW$4,$AD38:$BA38)),
IF(BX$3=$DF38+'Model Setup'!$E$7,SUMIF($BH$3:$CE$3,"="&amp;$DF38+'Model Setup'!$E$7,$AD38:$BA38)+'Model Setup'!$E$8*(SUMIF($BH$3:$CE$3,"&lt;"&amp;$DF38,$AD38:$BA38)+SUMIF($BH$3:$CE$3,"&gt;"&amp;$CW$4,$AD38:$BA38)),
IF(BX$3=$DF38+'Model Setup'!$F$7,SUMIF($BH$3:$CE$3,"="&amp;$DF38+'Model Setup'!$F$7,$AD38:$BA38)+'Model Setup'!$F$8*(SUMIF($BH$3:$CE$3,"&lt;"&amp;$DF38,$AD38:$BA38)+SUMIF($BH$3:$CE$3,"&gt;"&amp;$CW$4,$AD38:$BA38)),
IF(BX$3=$DF38+'Model Setup'!$G$7,SUMIF($BH$3:$CE$3,"="&amp;$DF38+'Model Setup'!$G$7,$AD38:$BA38)+'Model Setup'!$G$8*(SUMIF($BH$3:$CE$3,"&lt;"&amp;$DF38,$AD38:$BA38)+SUMIF($BH$3:$CE$3,"&gt;"&amp;$CW$4,$AD38:$BA38)),
IF(BX$3=$DF38+'Model Setup'!$H$7,SUMIF($BH$3:$CE$3,"="&amp;$DF38+'Model Setup'!$H$7,$AD38:$BA38)+'Model Setup'!$H$8*(SUMIF($BH$3:$CE$3,"&lt;"&amp;$DF38,$AD38:$BA38)+SUMIF($BH$3:$CE$3,"&gt;"&amp;$CW$4,$AD38:$BA38)),
IF(BX$3=$DF38+'Model Setup'!$I$7,SUMIF($BH$3:$CE$3,"="&amp;$DF38+'Model Setup'!$I$7,$AD38:$BA38)+'Model Setup'!$I$8*(SUMIF($BH$3:$CE$3,"&lt;"&amp;$DF38,$AD38:$BA38)+SUMIF($BH$3:$CE$3,"&gt;"&amp;$CW$4,$AD38:$BA38)),
IF(BX$3=$DF38+'Model Setup'!$J$7,SUMIF($BH$3:$CE$3,"="&amp;$DF38+'Model Setup'!$J$7,$AD38:$BA38)+'Model Setup'!$J$8*(SUMIF($BH$3:$CE$3,"&lt;"&amp;$DF38,$AD38:$BA38)+SUMIF($BH$3:$CE$3,"&gt;"&amp;$CW$4,$AD38:$BA38)),
IF(BX$3=$DF38+'Model Setup'!$K$7,SUMIF($BH$3:$CE$3,"="&amp;$DF38+'Model Setup'!$K$7,$AD38:$BA38)+'Model Setup'!$K$8*(SUMIF($BH$3:$CE$3,"&lt;"&amp;$DF38,$AD38:$BA38)+SUMIF($BH$3:$CE$3,"&gt;"&amp;$CW$4,$AD38:$BA38)),
IF(BX$3=$DF38+'Model Setup'!$L$7,SUMIF($BH$3:$CE$3,"="&amp;$DF38+'Model Setup'!$L$7,$AD38:$BA38)+'Model Setup'!$L$8*(SUMIF($BH$3:$CE$3,"&lt;"&amp;$DF38,$AD38:$BA38)+SUMIF($BH$3:$CE$3,"&gt;"&amp;$CW$4,$AD38:$BA38)),
IF(BX$3=$DF38+'Model Setup'!$M$7,SUMIF($BH$3:$CE$3,"="&amp;$DF38+'Model Setup'!$M$7,$AD38:$BA38)+'Model Setup'!$M$8*(SUMIF($BH$3:$CE$3,"&lt;"&amp;$DF38,$AD38:$BA38)+SUMIF($BH$3:$CE$3,"&gt;"&amp;$CW$4,$AD38:$BA38)),
IF(BX$3=$DF38+'Model Setup'!$N$7,SUMIF($BH$3:$CE$3,"="&amp;$DF38+'Model Setup'!$N$7,$AD38:$BA38)+'Model Setup'!$N$8*(SUMIF($BH$3:$CE$3,"&lt;"&amp;$DF38,$AD38:$BA38)+SUMIF($BH$3:$CE$3,"&gt;"&amp;$CW$4,$AD38:$BA38)),
IF(BX$3&lt;$CW$4,R38,0))))))))))))))),0)</f>
        <v>14</v>
      </c>
      <c r="BY38" s="47">
        <f>ROUND(IF(OR(BY$3&lt;$DF38,BY$3&gt;$CW$4),0,
IF(BY$3=$DF38+'Model Setup'!$B$7,SUMIF($BH$3:$CE$3,"="&amp;$DF38+'Model Setup'!$B$7,$AD38:$BA38)+'Model Setup'!$B$8*(SUMIF($BH$3:$CE$3,"&lt;"&amp;$DF38,$AD38:$BA38)+SUMIF($BH$3:$CE$3,"&gt;"&amp;$CW$4,$AD38:$BA38)),
IF(BY$3=$DF38+'Model Setup'!$C$7,SUMIF($BH$3:$CE$3,"="&amp;$DF38+'Model Setup'!$C$7,$AD38:$BA38)+'Model Setup'!$C$8*(SUMIF($BH$3:$CE$3,"&lt;"&amp;$DF38,$AD38:$BA38)+SUMIF($BH$3:$CE$3,"&gt;"&amp;$CW$4,$AD38:$BA38)),
IF(BY$3=$DF38+'Model Setup'!$D$7,SUMIF($BH$3:$CE$3,"="&amp;$DF38+'Model Setup'!$D$7,$AD38:$BA38)+'Model Setup'!$D$8*(SUMIF($BH$3:$CE$3,"&lt;"&amp;$DF38,$AD38:$BA38)+SUMIF($BH$3:$CE$3,"&gt;"&amp;$CW$4,$AD38:$BA38)),
IF(BY$3=$DF38+'Model Setup'!$E$7,SUMIF($BH$3:$CE$3,"="&amp;$DF38+'Model Setup'!$E$7,$AD38:$BA38)+'Model Setup'!$E$8*(SUMIF($BH$3:$CE$3,"&lt;"&amp;$DF38,$AD38:$BA38)+SUMIF($BH$3:$CE$3,"&gt;"&amp;$CW$4,$AD38:$BA38)),
IF(BY$3=$DF38+'Model Setup'!$F$7,SUMIF($BH$3:$CE$3,"="&amp;$DF38+'Model Setup'!$F$7,$AD38:$BA38)+'Model Setup'!$F$8*(SUMIF($BH$3:$CE$3,"&lt;"&amp;$DF38,$AD38:$BA38)+SUMIF($BH$3:$CE$3,"&gt;"&amp;$CW$4,$AD38:$BA38)),
IF(BY$3=$DF38+'Model Setup'!$G$7,SUMIF($BH$3:$CE$3,"="&amp;$DF38+'Model Setup'!$G$7,$AD38:$BA38)+'Model Setup'!$G$8*(SUMIF($BH$3:$CE$3,"&lt;"&amp;$DF38,$AD38:$BA38)+SUMIF($BH$3:$CE$3,"&gt;"&amp;$CW$4,$AD38:$BA38)),
IF(BY$3=$DF38+'Model Setup'!$H$7,SUMIF($BH$3:$CE$3,"="&amp;$DF38+'Model Setup'!$H$7,$AD38:$BA38)+'Model Setup'!$H$8*(SUMIF($BH$3:$CE$3,"&lt;"&amp;$DF38,$AD38:$BA38)+SUMIF($BH$3:$CE$3,"&gt;"&amp;$CW$4,$AD38:$BA38)),
IF(BY$3=$DF38+'Model Setup'!$I$7,SUMIF($BH$3:$CE$3,"="&amp;$DF38+'Model Setup'!$I$7,$AD38:$BA38)+'Model Setup'!$I$8*(SUMIF($BH$3:$CE$3,"&lt;"&amp;$DF38,$AD38:$BA38)+SUMIF($BH$3:$CE$3,"&gt;"&amp;$CW$4,$AD38:$BA38)),
IF(BY$3=$DF38+'Model Setup'!$J$7,SUMIF($BH$3:$CE$3,"="&amp;$DF38+'Model Setup'!$J$7,$AD38:$BA38)+'Model Setup'!$J$8*(SUMIF($BH$3:$CE$3,"&lt;"&amp;$DF38,$AD38:$BA38)+SUMIF($BH$3:$CE$3,"&gt;"&amp;$CW$4,$AD38:$BA38)),
IF(BY$3=$DF38+'Model Setup'!$K$7,SUMIF($BH$3:$CE$3,"="&amp;$DF38+'Model Setup'!$K$7,$AD38:$BA38)+'Model Setup'!$K$8*(SUMIF($BH$3:$CE$3,"&lt;"&amp;$DF38,$AD38:$BA38)+SUMIF($BH$3:$CE$3,"&gt;"&amp;$CW$4,$AD38:$BA38)),
IF(BY$3=$DF38+'Model Setup'!$L$7,SUMIF($BH$3:$CE$3,"="&amp;$DF38+'Model Setup'!$L$7,$AD38:$BA38)+'Model Setup'!$L$8*(SUMIF($BH$3:$CE$3,"&lt;"&amp;$DF38,$AD38:$BA38)+SUMIF($BH$3:$CE$3,"&gt;"&amp;$CW$4,$AD38:$BA38)),
IF(BY$3=$DF38+'Model Setup'!$M$7,SUMIF($BH$3:$CE$3,"="&amp;$DF38+'Model Setup'!$M$7,$AD38:$BA38)+'Model Setup'!$M$8*(SUMIF($BH$3:$CE$3,"&lt;"&amp;$DF38,$AD38:$BA38)+SUMIF($BH$3:$CE$3,"&gt;"&amp;$CW$4,$AD38:$BA38)),
IF(BY$3=$DF38+'Model Setup'!$N$7,SUMIF($BH$3:$CE$3,"="&amp;$DF38+'Model Setup'!$N$7,$AD38:$BA38)+'Model Setup'!$N$8*(SUMIF($BH$3:$CE$3,"&lt;"&amp;$DF38,$AD38:$BA38)+SUMIF($BH$3:$CE$3,"&gt;"&amp;$CW$4,$AD38:$BA38)),
IF(BY$3&lt;$CW$4,S38,0))))))))))))))),0)</f>
        <v>10</v>
      </c>
      <c r="BZ38" s="47">
        <f>ROUND(IF(OR(BZ$3&lt;$DF38,BZ$3&gt;$CW$4),0,
IF(BZ$3=$DF38+'Model Setup'!$B$7,SUMIF($BH$3:$CE$3,"="&amp;$DF38+'Model Setup'!$B$7,$AD38:$BA38)+'Model Setup'!$B$8*(SUMIF($BH$3:$CE$3,"&lt;"&amp;$DF38,$AD38:$BA38)+SUMIF($BH$3:$CE$3,"&gt;"&amp;$CW$4,$AD38:$BA38)),
IF(BZ$3=$DF38+'Model Setup'!$C$7,SUMIF($BH$3:$CE$3,"="&amp;$DF38+'Model Setup'!$C$7,$AD38:$BA38)+'Model Setup'!$C$8*(SUMIF($BH$3:$CE$3,"&lt;"&amp;$DF38,$AD38:$BA38)+SUMIF($BH$3:$CE$3,"&gt;"&amp;$CW$4,$AD38:$BA38)),
IF(BZ$3=$DF38+'Model Setup'!$D$7,SUMIF($BH$3:$CE$3,"="&amp;$DF38+'Model Setup'!$D$7,$AD38:$BA38)+'Model Setup'!$D$8*(SUMIF($BH$3:$CE$3,"&lt;"&amp;$DF38,$AD38:$BA38)+SUMIF($BH$3:$CE$3,"&gt;"&amp;$CW$4,$AD38:$BA38)),
IF(BZ$3=$DF38+'Model Setup'!$E$7,SUMIF($BH$3:$CE$3,"="&amp;$DF38+'Model Setup'!$E$7,$AD38:$BA38)+'Model Setup'!$E$8*(SUMIF($BH$3:$CE$3,"&lt;"&amp;$DF38,$AD38:$BA38)+SUMIF($BH$3:$CE$3,"&gt;"&amp;$CW$4,$AD38:$BA38)),
IF(BZ$3=$DF38+'Model Setup'!$F$7,SUMIF($BH$3:$CE$3,"="&amp;$DF38+'Model Setup'!$F$7,$AD38:$BA38)+'Model Setup'!$F$8*(SUMIF($BH$3:$CE$3,"&lt;"&amp;$DF38,$AD38:$BA38)+SUMIF($BH$3:$CE$3,"&gt;"&amp;$CW$4,$AD38:$BA38)),
IF(BZ$3=$DF38+'Model Setup'!$G$7,SUMIF($BH$3:$CE$3,"="&amp;$DF38+'Model Setup'!$G$7,$AD38:$BA38)+'Model Setup'!$G$8*(SUMIF($BH$3:$CE$3,"&lt;"&amp;$DF38,$AD38:$BA38)+SUMIF($BH$3:$CE$3,"&gt;"&amp;$CW$4,$AD38:$BA38)),
IF(BZ$3=$DF38+'Model Setup'!$H$7,SUMIF($BH$3:$CE$3,"="&amp;$DF38+'Model Setup'!$H$7,$AD38:$BA38)+'Model Setup'!$H$8*(SUMIF($BH$3:$CE$3,"&lt;"&amp;$DF38,$AD38:$BA38)+SUMIF($BH$3:$CE$3,"&gt;"&amp;$CW$4,$AD38:$BA38)),
IF(BZ$3=$DF38+'Model Setup'!$I$7,SUMIF($BH$3:$CE$3,"="&amp;$DF38+'Model Setup'!$I$7,$AD38:$BA38)+'Model Setup'!$I$8*(SUMIF($BH$3:$CE$3,"&lt;"&amp;$DF38,$AD38:$BA38)+SUMIF($BH$3:$CE$3,"&gt;"&amp;$CW$4,$AD38:$BA38)),
IF(BZ$3=$DF38+'Model Setup'!$J$7,SUMIF($BH$3:$CE$3,"="&amp;$DF38+'Model Setup'!$J$7,$AD38:$BA38)+'Model Setup'!$J$8*(SUMIF($BH$3:$CE$3,"&lt;"&amp;$DF38,$AD38:$BA38)+SUMIF($BH$3:$CE$3,"&gt;"&amp;$CW$4,$AD38:$BA38)),
IF(BZ$3=$DF38+'Model Setup'!$K$7,SUMIF($BH$3:$CE$3,"="&amp;$DF38+'Model Setup'!$K$7,$AD38:$BA38)+'Model Setup'!$K$8*(SUMIF($BH$3:$CE$3,"&lt;"&amp;$DF38,$AD38:$BA38)+SUMIF($BH$3:$CE$3,"&gt;"&amp;$CW$4,$AD38:$BA38)),
IF(BZ$3=$DF38+'Model Setup'!$L$7,SUMIF($BH$3:$CE$3,"="&amp;$DF38+'Model Setup'!$L$7,$AD38:$BA38)+'Model Setup'!$L$8*(SUMIF($BH$3:$CE$3,"&lt;"&amp;$DF38,$AD38:$BA38)+SUMIF($BH$3:$CE$3,"&gt;"&amp;$CW$4,$AD38:$BA38)),
IF(BZ$3=$DF38+'Model Setup'!$M$7,SUMIF($BH$3:$CE$3,"="&amp;$DF38+'Model Setup'!$M$7,$AD38:$BA38)+'Model Setup'!$M$8*(SUMIF($BH$3:$CE$3,"&lt;"&amp;$DF38,$AD38:$BA38)+SUMIF($BH$3:$CE$3,"&gt;"&amp;$CW$4,$AD38:$BA38)),
IF(BZ$3=$DF38+'Model Setup'!$N$7,SUMIF($BH$3:$CE$3,"="&amp;$DF38+'Model Setup'!$N$7,$AD38:$BA38)+'Model Setup'!$N$8*(SUMIF($BH$3:$CE$3,"&lt;"&amp;$DF38,$AD38:$BA38)+SUMIF($BH$3:$CE$3,"&gt;"&amp;$CW$4,$AD38:$BA38)),
IF(BZ$3&lt;$CW$4,T38,0))))))))))))))),0)</f>
        <v>9</v>
      </c>
      <c r="CA38" s="47">
        <f>ROUND(IF(OR(CA$3&lt;$DF38,CA$3&gt;$CW$4),0,
IF(CA$3=$DF38+'Model Setup'!$B$7,SUMIF($BH$3:$CE$3,"="&amp;$DF38+'Model Setup'!$B$7,$AD38:$BA38)+'Model Setup'!$B$8*(SUMIF($BH$3:$CE$3,"&lt;"&amp;$DF38,$AD38:$BA38)+SUMIF($BH$3:$CE$3,"&gt;"&amp;$CW$4,$AD38:$BA38)),
IF(CA$3=$DF38+'Model Setup'!$C$7,SUMIF($BH$3:$CE$3,"="&amp;$DF38+'Model Setup'!$C$7,$AD38:$BA38)+'Model Setup'!$C$8*(SUMIF($BH$3:$CE$3,"&lt;"&amp;$DF38,$AD38:$BA38)+SUMIF($BH$3:$CE$3,"&gt;"&amp;$CW$4,$AD38:$BA38)),
IF(CA$3=$DF38+'Model Setup'!$D$7,SUMIF($BH$3:$CE$3,"="&amp;$DF38+'Model Setup'!$D$7,$AD38:$BA38)+'Model Setup'!$D$8*(SUMIF($BH$3:$CE$3,"&lt;"&amp;$DF38,$AD38:$BA38)+SUMIF($BH$3:$CE$3,"&gt;"&amp;$CW$4,$AD38:$BA38)),
IF(CA$3=$DF38+'Model Setup'!$E$7,SUMIF($BH$3:$CE$3,"="&amp;$DF38+'Model Setup'!$E$7,$AD38:$BA38)+'Model Setup'!$E$8*(SUMIF($BH$3:$CE$3,"&lt;"&amp;$DF38,$AD38:$BA38)+SUMIF($BH$3:$CE$3,"&gt;"&amp;$CW$4,$AD38:$BA38)),
IF(CA$3=$DF38+'Model Setup'!$F$7,SUMIF($BH$3:$CE$3,"="&amp;$DF38+'Model Setup'!$F$7,$AD38:$BA38)+'Model Setup'!$F$8*(SUMIF($BH$3:$CE$3,"&lt;"&amp;$DF38,$AD38:$BA38)+SUMIF($BH$3:$CE$3,"&gt;"&amp;$CW$4,$AD38:$BA38)),
IF(CA$3=$DF38+'Model Setup'!$G$7,SUMIF($BH$3:$CE$3,"="&amp;$DF38+'Model Setup'!$G$7,$AD38:$BA38)+'Model Setup'!$G$8*(SUMIF($BH$3:$CE$3,"&lt;"&amp;$DF38,$AD38:$BA38)+SUMIF($BH$3:$CE$3,"&gt;"&amp;$CW$4,$AD38:$BA38)),
IF(CA$3=$DF38+'Model Setup'!$H$7,SUMIF($BH$3:$CE$3,"="&amp;$DF38+'Model Setup'!$H$7,$AD38:$BA38)+'Model Setup'!$H$8*(SUMIF($BH$3:$CE$3,"&lt;"&amp;$DF38,$AD38:$BA38)+SUMIF($BH$3:$CE$3,"&gt;"&amp;$CW$4,$AD38:$BA38)),
IF(CA$3=$DF38+'Model Setup'!$I$7,SUMIF($BH$3:$CE$3,"="&amp;$DF38+'Model Setup'!$I$7,$AD38:$BA38)+'Model Setup'!$I$8*(SUMIF($BH$3:$CE$3,"&lt;"&amp;$DF38,$AD38:$BA38)+SUMIF($BH$3:$CE$3,"&gt;"&amp;$CW$4,$AD38:$BA38)),
IF(CA$3=$DF38+'Model Setup'!$J$7,SUMIF($BH$3:$CE$3,"="&amp;$DF38+'Model Setup'!$J$7,$AD38:$BA38)+'Model Setup'!$J$8*(SUMIF($BH$3:$CE$3,"&lt;"&amp;$DF38,$AD38:$BA38)+SUMIF($BH$3:$CE$3,"&gt;"&amp;$CW$4,$AD38:$BA38)),
IF(CA$3=$DF38+'Model Setup'!$K$7,SUMIF($BH$3:$CE$3,"="&amp;$DF38+'Model Setup'!$K$7,$AD38:$BA38)+'Model Setup'!$K$8*(SUMIF($BH$3:$CE$3,"&lt;"&amp;$DF38,$AD38:$BA38)+SUMIF($BH$3:$CE$3,"&gt;"&amp;$CW$4,$AD38:$BA38)),
IF(CA$3=$DF38+'Model Setup'!$L$7,SUMIF($BH$3:$CE$3,"="&amp;$DF38+'Model Setup'!$L$7,$AD38:$BA38)+'Model Setup'!$L$8*(SUMIF($BH$3:$CE$3,"&lt;"&amp;$DF38,$AD38:$BA38)+SUMIF($BH$3:$CE$3,"&gt;"&amp;$CW$4,$AD38:$BA38)),
IF(CA$3=$DF38+'Model Setup'!$M$7,SUMIF($BH$3:$CE$3,"="&amp;$DF38+'Model Setup'!$M$7,$AD38:$BA38)+'Model Setup'!$M$8*(SUMIF($BH$3:$CE$3,"&lt;"&amp;$DF38,$AD38:$BA38)+SUMIF($BH$3:$CE$3,"&gt;"&amp;$CW$4,$AD38:$BA38)),
IF(CA$3=$DF38+'Model Setup'!$N$7,SUMIF($BH$3:$CE$3,"="&amp;$DF38+'Model Setup'!$N$7,$AD38:$BA38)+'Model Setup'!$N$8*(SUMIF($BH$3:$CE$3,"&lt;"&amp;$DF38,$AD38:$BA38)+SUMIF($BH$3:$CE$3,"&gt;"&amp;$CW$4,$AD38:$BA38)),
IF(CA$3&lt;$CW$4,U38,0))))))))))))))),0)</f>
        <v>0</v>
      </c>
      <c r="CB38" s="47">
        <f>ROUND(IF(OR(CB$3&lt;$DF38,CB$3&gt;$CW$4),0,
IF(CB$3=$DF38+'Model Setup'!$B$7,SUMIF($BH$3:$CE$3,"="&amp;$DF38+'Model Setup'!$B$7,$AD38:$BA38)+'Model Setup'!$B$8*(SUMIF($BH$3:$CE$3,"&lt;"&amp;$DF38,$AD38:$BA38)+SUMIF($BH$3:$CE$3,"&gt;"&amp;$CW$4,$AD38:$BA38)),
IF(CB$3=$DF38+'Model Setup'!$C$7,SUMIF($BH$3:$CE$3,"="&amp;$DF38+'Model Setup'!$C$7,$AD38:$BA38)+'Model Setup'!$C$8*(SUMIF($BH$3:$CE$3,"&lt;"&amp;$DF38,$AD38:$BA38)+SUMIF($BH$3:$CE$3,"&gt;"&amp;$CW$4,$AD38:$BA38)),
IF(CB$3=$DF38+'Model Setup'!$D$7,SUMIF($BH$3:$CE$3,"="&amp;$DF38+'Model Setup'!$D$7,$AD38:$BA38)+'Model Setup'!$D$8*(SUMIF($BH$3:$CE$3,"&lt;"&amp;$DF38,$AD38:$BA38)+SUMIF($BH$3:$CE$3,"&gt;"&amp;$CW$4,$AD38:$BA38)),
IF(CB$3=$DF38+'Model Setup'!$E$7,SUMIF($BH$3:$CE$3,"="&amp;$DF38+'Model Setup'!$E$7,$AD38:$BA38)+'Model Setup'!$E$8*(SUMIF($BH$3:$CE$3,"&lt;"&amp;$DF38,$AD38:$BA38)+SUMIF($BH$3:$CE$3,"&gt;"&amp;$CW$4,$AD38:$BA38)),
IF(CB$3=$DF38+'Model Setup'!$F$7,SUMIF($BH$3:$CE$3,"="&amp;$DF38+'Model Setup'!$F$7,$AD38:$BA38)+'Model Setup'!$F$8*(SUMIF($BH$3:$CE$3,"&lt;"&amp;$DF38,$AD38:$BA38)+SUMIF($BH$3:$CE$3,"&gt;"&amp;$CW$4,$AD38:$BA38)),
IF(CB$3=$DF38+'Model Setup'!$G$7,SUMIF($BH$3:$CE$3,"="&amp;$DF38+'Model Setup'!$G$7,$AD38:$BA38)+'Model Setup'!$G$8*(SUMIF($BH$3:$CE$3,"&lt;"&amp;$DF38,$AD38:$BA38)+SUMIF($BH$3:$CE$3,"&gt;"&amp;$CW$4,$AD38:$BA38)),
IF(CB$3=$DF38+'Model Setup'!$H$7,SUMIF($BH$3:$CE$3,"="&amp;$DF38+'Model Setup'!$H$7,$AD38:$BA38)+'Model Setup'!$H$8*(SUMIF($BH$3:$CE$3,"&lt;"&amp;$DF38,$AD38:$BA38)+SUMIF($BH$3:$CE$3,"&gt;"&amp;$CW$4,$AD38:$BA38)),
IF(CB$3=$DF38+'Model Setup'!$I$7,SUMIF($BH$3:$CE$3,"="&amp;$DF38+'Model Setup'!$I$7,$AD38:$BA38)+'Model Setup'!$I$8*(SUMIF($BH$3:$CE$3,"&lt;"&amp;$DF38,$AD38:$BA38)+SUMIF($BH$3:$CE$3,"&gt;"&amp;$CW$4,$AD38:$BA38)),
IF(CB$3=$DF38+'Model Setup'!$J$7,SUMIF($BH$3:$CE$3,"="&amp;$DF38+'Model Setup'!$J$7,$AD38:$BA38)+'Model Setup'!$J$8*(SUMIF($BH$3:$CE$3,"&lt;"&amp;$DF38,$AD38:$BA38)+SUMIF($BH$3:$CE$3,"&gt;"&amp;$CW$4,$AD38:$BA38)),
IF(CB$3=$DF38+'Model Setup'!$K$7,SUMIF($BH$3:$CE$3,"="&amp;$DF38+'Model Setup'!$K$7,$AD38:$BA38)+'Model Setup'!$K$8*(SUMIF($BH$3:$CE$3,"&lt;"&amp;$DF38,$AD38:$BA38)+SUMIF($BH$3:$CE$3,"&gt;"&amp;$CW$4,$AD38:$BA38)),
IF(CB$3=$DF38+'Model Setup'!$L$7,SUMIF($BH$3:$CE$3,"="&amp;$DF38+'Model Setup'!$L$7,$AD38:$BA38)+'Model Setup'!$L$8*(SUMIF($BH$3:$CE$3,"&lt;"&amp;$DF38,$AD38:$BA38)+SUMIF($BH$3:$CE$3,"&gt;"&amp;$CW$4,$AD38:$BA38)),
IF(CB$3=$DF38+'Model Setup'!$M$7,SUMIF($BH$3:$CE$3,"="&amp;$DF38+'Model Setup'!$M$7,$AD38:$BA38)+'Model Setup'!$M$8*(SUMIF($BH$3:$CE$3,"&lt;"&amp;$DF38,$AD38:$BA38)+SUMIF($BH$3:$CE$3,"&gt;"&amp;$CW$4,$AD38:$BA38)),
IF(CB$3=$DF38+'Model Setup'!$N$7,SUMIF($BH$3:$CE$3,"="&amp;$DF38+'Model Setup'!$N$7,$AD38:$BA38)+'Model Setup'!$N$8*(SUMIF($BH$3:$CE$3,"&lt;"&amp;$DF38,$AD38:$BA38)+SUMIF($BH$3:$CE$3,"&gt;"&amp;$CW$4,$AD38:$BA38)),
IF(CB$3&lt;$CW$4,V38,0))))))))))))))),0)</f>
        <v>0</v>
      </c>
      <c r="CC38" s="47">
        <f>ROUND(IF(OR(CC$3&lt;$DF38,CC$3&gt;$CW$4),0,
IF(CC$3=$DF38+'Model Setup'!$B$7,SUMIF($BH$3:$CE$3,"="&amp;$DF38+'Model Setup'!$B$7,$AD38:$BA38)+'Model Setup'!$B$8*(SUMIF($BH$3:$CE$3,"&lt;"&amp;$DF38,$AD38:$BA38)+SUMIF($BH$3:$CE$3,"&gt;"&amp;$CW$4,$AD38:$BA38)),
IF(CC$3=$DF38+'Model Setup'!$C$7,SUMIF($BH$3:$CE$3,"="&amp;$DF38+'Model Setup'!$C$7,$AD38:$BA38)+'Model Setup'!$C$8*(SUMIF($BH$3:$CE$3,"&lt;"&amp;$DF38,$AD38:$BA38)+SUMIF($BH$3:$CE$3,"&gt;"&amp;$CW$4,$AD38:$BA38)),
IF(CC$3=$DF38+'Model Setup'!$D$7,SUMIF($BH$3:$CE$3,"="&amp;$DF38+'Model Setup'!$D$7,$AD38:$BA38)+'Model Setup'!$D$8*(SUMIF($BH$3:$CE$3,"&lt;"&amp;$DF38,$AD38:$BA38)+SUMIF($BH$3:$CE$3,"&gt;"&amp;$CW$4,$AD38:$BA38)),
IF(CC$3=$DF38+'Model Setup'!$E$7,SUMIF($BH$3:$CE$3,"="&amp;$DF38+'Model Setup'!$E$7,$AD38:$BA38)+'Model Setup'!$E$8*(SUMIF($BH$3:$CE$3,"&lt;"&amp;$DF38,$AD38:$BA38)+SUMIF($BH$3:$CE$3,"&gt;"&amp;$CW$4,$AD38:$BA38)),
IF(CC$3=$DF38+'Model Setup'!$F$7,SUMIF($BH$3:$CE$3,"="&amp;$DF38+'Model Setup'!$F$7,$AD38:$BA38)+'Model Setup'!$F$8*(SUMIF($BH$3:$CE$3,"&lt;"&amp;$DF38,$AD38:$BA38)+SUMIF($BH$3:$CE$3,"&gt;"&amp;$CW$4,$AD38:$BA38)),
IF(CC$3=$DF38+'Model Setup'!$G$7,SUMIF($BH$3:$CE$3,"="&amp;$DF38+'Model Setup'!$G$7,$AD38:$BA38)+'Model Setup'!$G$8*(SUMIF($BH$3:$CE$3,"&lt;"&amp;$DF38,$AD38:$BA38)+SUMIF($BH$3:$CE$3,"&gt;"&amp;$CW$4,$AD38:$BA38)),
IF(CC$3=$DF38+'Model Setup'!$H$7,SUMIF($BH$3:$CE$3,"="&amp;$DF38+'Model Setup'!$H$7,$AD38:$BA38)+'Model Setup'!$H$8*(SUMIF($BH$3:$CE$3,"&lt;"&amp;$DF38,$AD38:$BA38)+SUMIF($BH$3:$CE$3,"&gt;"&amp;$CW$4,$AD38:$BA38)),
IF(CC$3=$DF38+'Model Setup'!$I$7,SUMIF($BH$3:$CE$3,"="&amp;$DF38+'Model Setup'!$I$7,$AD38:$BA38)+'Model Setup'!$I$8*(SUMIF($BH$3:$CE$3,"&lt;"&amp;$DF38,$AD38:$BA38)+SUMIF($BH$3:$CE$3,"&gt;"&amp;$CW$4,$AD38:$BA38)),
IF(CC$3=$DF38+'Model Setup'!$J$7,SUMIF($BH$3:$CE$3,"="&amp;$DF38+'Model Setup'!$J$7,$AD38:$BA38)+'Model Setup'!$J$8*(SUMIF($BH$3:$CE$3,"&lt;"&amp;$DF38,$AD38:$BA38)+SUMIF($BH$3:$CE$3,"&gt;"&amp;$CW$4,$AD38:$BA38)),
IF(CC$3=$DF38+'Model Setup'!$K$7,SUMIF($BH$3:$CE$3,"="&amp;$DF38+'Model Setup'!$K$7,$AD38:$BA38)+'Model Setup'!$K$8*(SUMIF($BH$3:$CE$3,"&lt;"&amp;$DF38,$AD38:$BA38)+SUMIF($BH$3:$CE$3,"&gt;"&amp;$CW$4,$AD38:$BA38)),
IF(CC$3=$DF38+'Model Setup'!$L$7,SUMIF($BH$3:$CE$3,"="&amp;$DF38+'Model Setup'!$L$7,$AD38:$BA38)+'Model Setup'!$L$8*(SUMIF($BH$3:$CE$3,"&lt;"&amp;$DF38,$AD38:$BA38)+SUMIF($BH$3:$CE$3,"&gt;"&amp;$CW$4,$AD38:$BA38)),
IF(CC$3=$DF38+'Model Setup'!$M$7,SUMIF($BH$3:$CE$3,"="&amp;$DF38+'Model Setup'!$M$7,$AD38:$BA38)+'Model Setup'!$M$8*(SUMIF($BH$3:$CE$3,"&lt;"&amp;$DF38,$AD38:$BA38)+SUMIF($BH$3:$CE$3,"&gt;"&amp;$CW$4,$AD38:$BA38)),
IF(CC$3=$DF38+'Model Setup'!$N$7,SUMIF($BH$3:$CE$3,"="&amp;$DF38+'Model Setup'!$N$7,$AD38:$BA38)+'Model Setup'!$N$8*(SUMIF($BH$3:$CE$3,"&lt;"&amp;$DF38,$AD38:$BA38)+SUMIF($BH$3:$CE$3,"&gt;"&amp;$CW$4,$AD38:$BA38)),
IF(CC$3&lt;$CW$4,W38,0))))))))))))))),0)</f>
        <v>0</v>
      </c>
      <c r="CD38" s="47">
        <f>ROUND(IF(OR(CD$3&lt;$DF38,CD$3&gt;$CW$4),0,
IF(CD$3=$DF38+'Model Setup'!$B$7,SUMIF($BH$3:$CE$3,"="&amp;$DF38+'Model Setup'!$B$7,$AD38:$BA38)+'Model Setup'!$B$8*(SUMIF($BH$3:$CE$3,"&lt;"&amp;$DF38,$AD38:$BA38)+SUMIF($BH$3:$CE$3,"&gt;"&amp;$CW$4,$AD38:$BA38)),
IF(CD$3=$DF38+'Model Setup'!$C$7,SUMIF($BH$3:$CE$3,"="&amp;$DF38+'Model Setup'!$C$7,$AD38:$BA38)+'Model Setup'!$C$8*(SUMIF($BH$3:$CE$3,"&lt;"&amp;$DF38,$AD38:$BA38)+SUMIF($BH$3:$CE$3,"&gt;"&amp;$CW$4,$AD38:$BA38)),
IF(CD$3=$DF38+'Model Setup'!$D$7,SUMIF($BH$3:$CE$3,"="&amp;$DF38+'Model Setup'!$D$7,$AD38:$BA38)+'Model Setup'!$D$8*(SUMIF($BH$3:$CE$3,"&lt;"&amp;$DF38,$AD38:$BA38)+SUMIF($BH$3:$CE$3,"&gt;"&amp;$CW$4,$AD38:$BA38)),
IF(CD$3=$DF38+'Model Setup'!$E$7,SUMIF($BH$3:$CE$3,"="&amp;$DF38+'Model Setup'!$E$7,$AD38:$BA38)+'Model Setup'!$E$8*(SUMIF($BH$3:$CE$3,"&lt;"&amp;$DF38,$AD38:$BA38)+SUMIF($BH$3:$CE$3,"&gt;"&amp;$CW$4,$AD38:$BA38)),
IF(CD$3=$DF38+'Model Setup'!$F$7,SUMIF($BH$3:$CE$3,"="&amp;$DF38+'Model Setup'!$F$7,$AD38:$BA38)+'Model Setup'!$F$8*(SUMIF($BH$3:$CE$3,"&lt;"&amp;$DF38,$AD38:$BA38)+SUMIF($BH$3:$CE$3,"&gt;"&amp;$CW$4,$AD38:$BA38)),
IF(CD$3=$DF38+'Model Setup'!$G$7,SUMIF($BH$3:$CE$3,"="&amp;$DF38+'Model Setup'!$G$7,$AD38:$BA38)+'Model Setup'!$G$8*(SUMIF($BH$3:$CE$3,"&lt;"&amp;$DF38,$AD38:$BA38)+SUMIF($BH$3:$CE$3,"&gt;"&amp;$CW$4,$AD38:$BA38)),
IF(CD$3=$DF38+'Model Setup'!$H$7,SUMIF($BH$3:$CE$3,"="&amp;$DF38+'Model Setup'!$H$7,$AD38:$BA38)+'Model Setup'!$H$8*(SUMIF($BH$3:$CE$3,"&lt;"&amp;$DF38,$AD38:$BA38)+SUMIF($BH$3:$CE$3,"&gt;"&amp;$CW$4,$AD38:$BA38)),
IF(CD$3=$DF38+'Model Setup'!$I$7,SUMIF($BH$3:$CE$3,"="&amp;$DF38+'Model Setup'!$I$7,$AD38:$BA38)+'Model Setup'!$I$8*(SUMIF($BH$3:$CE$3,"&lt;"&amp;$DF38,$AD38:$BA38)+SUMIF($BH$3:$CE$3,"&gt;"&amp;$CW$4,$AD38:$BA38)),
IF(CD$3=$DF38+'Model Setup'!$J$7,SUMIF($BH$3:$CE$3,"="&amp;$DF38+'Model Setup'!$J$7,$AD38:$BA38)+'Model Setup'!$J$8*(SUMIF($BH$3:$CE$3,"&lt;"&amp;$DF38,$AD38:$BA38)+SUMIF($BH$3:$CE$3,"&gt;"&amp;$CW$4,$AD38:$BA38)),
IF(CD$3=$DF38+'Model Setup'!$K$7,SUMIF($BH$3:$CE$3,"="&amp;$DF38+'Model Setup'!$K$7,$AD38:$BA38)+'Model Setup'!$K$8*(SUMIF($BH$3:$CE$3,"&lt;"&amp;$DF38,$AD38:$BA38)+SUMIF($BH$3:$CE$3,"&gt;"&amp;$CW$4,$AD38:$BA38)),
IF(CD$3=$DF38+'Model Setup'!$L$7,SUMIF($BH$3:$CE$3,"="&amp;$DF38+'Model Setup'!$L$7,$AD38:$BA38)+'Model Setup'!$L$8*(SUMIF($BH$3:$CE$3,"&lt;"&amp;$DF38,$AD38:$BA38)+SUMIF($BH$3:$CE$3,"&gt;"&amp;$CW$4,$AD38:$BA38)),
IF(CD$3=$DF38+'Model Setup'!$M$7,SUMIF($BH$3:$CE$3,"="&amp;$DF38+'Model Setup'!$M$7,$AD38:$BA38)+'Model Setup'!$M$8*(SUMIF($BH$3:$CE$3,"&lt;"&amp;$DF38,$AD38:$BA38)+SUMIF($BH$3:$CE$3,"&gt;"&amp;$CW$4,$AD38:$BA38)),
IF(CD$3=$DF38+'Model Setup'!$N$7,SUMIF($BH$3:$CE$3,"="&amp;$DF38+'Model Setup'!$N$7,$AD38:$BA38)+'Model Setup'!$N$8*(SUMIF($BH$3:$CE$3,"&lt;"&amp;$DF38,$AD38:$BA38)+SUMIF($BH$3:$CE$3,"&gt;"&amp;$CW$4,$AD38:$BA38)),
IF(CD$3&lt;$CW$4,X38,0))))))))))))))),0)</f>
        <v>0</v>
      </c>
      <c r="CE38" s="47">
        <f>ROUND(IF(OR(CE$3&lt;$DF38,CE$3&gt;$CW$4),0,
IF(CE$3=$DF38+'Model Setup'!$B$7,SUMIF($BH$3:$CE$3,"="&amp;$DF38+'Model Setup'!$B$7,$AD38:$BA38)+'Model Setup'!$B$8*(SUMIF($BH$3:$CE$3,"&lt;"&amp;$DF38,$AD38:$BA38)+SUMIF($BH$3:$CE$3,"&gt;"&amp;$CW$4,$AD38:$BA38)),
IF(CE$3=$DF38+'Model Setup'!$C$7,SUMIF($BH$3:$CE$3,"="&amp;$DF38+'Model Setup'!$C$7,$AD38:$BA38)+'Model Setup'!$C$8*(SUMIF($BH$3:$CE$3,"&lt;"&amp;$DF38,$AD38:$BA38)+SUMIF($BH$3:$CE$3,"&gt;"&amp;$CW$4,$AD38:$BA38)),
IF(CE$3=$DF38+'Model Setup'!$D$7,SUMIF($BH$3:$CE$3,"="&amp;$DF38+'Model Setup'!$D$7,$AD38:$BA38)+'Model Setup'!$D$8*(SUMIF($BH$3:$CE$3,"&lt;"&amp;$DF38,$AD38:$BA38)+SUMIF($BH$3:$CE$3,"&gt;"&amp;$CW$4,$AD38:$BA38)),
IF(CE$3=$DF38+'Model Setup'!$E$7,SUMIF($BH$3:$CE$3,"="&amp;$DF38+'Model Setup'!$E$7,$AD38:$BA38)+'Model Setup'!$E$8*(SUMIF($BH$3:$CE$3,"&lt;"&amp;$DF38,$AD38:$BA38)+SUMIF($BH$3:$CE$3,"&gt;"&amp;$CW$4,$AD38:$BA38)),
IF(CE$3=$DF38+'Model Setup'!$F$7,SUMIF($BH$3:$CE$3,"="&amp;$DF38+'Model Setup'!$F$7,$AD38:$BA38)+'Model Setup'!$F$8*(SUMIF($BH$3:$CE$3,"&lt;"&amp;$DF38,$AD38:$BA38)+SUMIF($BH$3:$CE$3,"&gt;"&amp;$CW$4,$AD38:$BA38)),
IF(CE$3=$DF38+'Model Setup'!$G$7,SUMIF($BH$3:$CE$3,"="&amp;$DF38+'Model Setup'!$G$7,$AD38:$BA38)+'Model Setup'!$G$8*(SUMIF($BH$3:$CE$3,"&lt;"&amp;$DF38,$AD38:$BA38)+SUMIF($BH$3:$CE$3,"&gt;"&amp;$CW$4,$AD38:$BA38)),
IF(CE$3=$DF38+'Model Setup'!$H$7,SUMIF($BH$3:$CE$3,"="&amp;$DF38+'Model Setup'!$H$7,$AD38:$BA38)+'Model Setup'!$H$8*(SUMIF($BH$3:$CE$3,"&lt;"&amp;$DF38,$AD38:$BA38)+SUMIF($BH$3:$CE$3,"&gt;"&amp;$CW$4,$AD38:$BA38)),
IF(CE$3=$DF38+'Model Setup'!$I$7,SUMIF($BH$3:$CE$3,"="&amp;$DF38+'Model Setup'!$I$7,$AD38:$BA38)+'Model Setup'!$I$8*(SUMIF($BH$3:$CE$3,"&lt;"&amp;$DF38,$AD38:$BA38)+SUMIF($BH$3:$CE$3,"&gt;"&amp;$CW$4,$AD38:$BA38)),
IF(CE$3=$DF38+'Model Setup'!$J$7,SUMIF($BH$3:$CE$3,"="&amp;$DF38+'Model Setup'!$J$7,$AD38:$BA38)+'Model Setup'!$J$8*(SUMIF($BH$3:$CE$3,"&lt;"&amp;$DF38,$AD38:$BA38)+SUMIF($BH$3:$CE$3,"&gt;"&amp;$CW$4,$AD38:$BA38)),
IF(CE$3=$DF38+'Model Setup'!$K$7,SUMIF($BH$3:$CE$3,"="&amp;$DF38+'Model Setup'!$K$7,$AD38:$BA38)+'Model Setup'!$K$8*(SUMIF($BH$3:$CE$3,"&lt;"&amp;$DF38,$AD38:$BA38)+SUMIF($BH$3:$CE$3,"&gt;"&amp;$CW$4,$AD38:$BA38)),
IF(CE$3=$DF38+'Model Setup'!$L$7,SUMIF($BH$3:$CE$3,"="&amp;$DF38+'Model Setup'!$L$7,$AD38:$BA38)+'Model Setup'!$L$8*(SUMIF($BH$3:$CE$3,"&lt;"&amp;$DF38,$AD38:$BA38)+SUMIF($BH$3:$CE$3,"&gt;"&amp;$CW$4,$AD38:$BA38)),
IF(CE$3=$DF38+'Model Setup'!$M$7,SUMIF($BH$3:$CE$3,"="&amp;$DF38+'Model Setup'!$M$7,$AD38:$BA38)+'Model Setup'!$M$8*(SUMIF($BH$3:$CE$3,"&lt;"&amp;$DF38,$AD38:$BA38)+SUMIF($BH$3:$CE$3,"&gt;"&amp;$CW$4,$AD38:$BA38)),
IF(CE$3=$DF38+'Model Setup'!$N$7,SUMIF($BH$3:$CE$3,"="&amp;$DF38+'Model Setup'!$N$7,$AD38:$BA38)+'Model Setup'!$N$8*(SUMIF($BH$3:$CE$3,"&lt;"&amp;$DF38,$AD38:$BA38)+SUMIF($BH$3:$CE$3,"&gt;"&amp;$CW$4,$AD38:$BA38)),
IF(CE$3&lt;$CW$4,Y38,0))))))))))))))),0)</f>
        <v>0</v>
      </c>
      <c r="CF38" s="47">
        <f t="shared" si="3"/>
        <v>218</v>
      </c>
      <c r="CG38" s="47">
        <f t="shared" si="4"/>
        <v>-99</v>
      </c>
      <c r="CI38" s="10" t="s">
        <v>53</v>
      </c>
      <c r="CJ38" s="126">
        <f t="shared" si="9"/>
        <v>0</v>
      </c>
      <c r="CK38" s="126">
        <f t="shared" si="10"/>
        <v>0</v>
      </c>
      <c r="CL38" s="126">
        <f t="shared" si="11"/>
        <v>0</v>
      </c>
      <c r="CM38" s="126">
        <f t="shared" si="12"/>
        <v>0</v>
      </c>
      <c r="CN38" s="126">
        <f t="shared" si="13"/>
        <v>33</v>
      </c>
      <c r="CO38" s="126">
        <f t="shared" si="14"/>
        <v>37</v>
      </c>
      <c r="CP38" s="126">
        <f t="shared" si="15"/>
        <v>31</v>
      </c>
      <c r="CQ38" s="126">
        <f t="shared" si="16"/>
        <v>30</v>
      </c>
      <c r="CR38" s="126">
        <f t="shared" si="17"/>
        <v>14</v>
      </c>
      <c r="CS38" s="126">
        <f t="shared" si="18"/>
        <v>23</v>
      </c>
      <c r="CT38" s="126">
        <f t="shared" si="19"/>
        <v>17</v>
      </c>
      <c r="CU38" s="126">
        <f t="shared" si="20"/>
        <v>14</v>
      </c>
      <c r="CV38" s="126">
        <f t="shared" si="21"/>
        <v>10</v>
      </c>
      <c r="CW38" s="126">
        <f t="shared" si="22"/>
        <v>9</v>
      </c>
      <c r="CX38" s="126">
        <f t="shared" si="23"/>
        <v>35</v>
      </c>
      <c r="CY38" s="126">
        <f t="shared" si="24"/>
        <v>39</v>
      </c>
      <c r="CZ38" s="47">
        <f t="shared" si="7"/>
        <v>218</v>
      </c>
      <c r="DC38" s="93" t="s">
        <v>53</v>
      </c>
      <c r="DD38" s="89">
        <f>FTC!E36</f>
        <v>0.375</v>
      </c>
      <c r="DE38" s="89">
        <f>FTC!F36</f>
        <v>0.83333333333333337</v>
      </c>
      <c r="DF38" s="90">
        <f t="shared" si="25"/>
        <v>9</v>
      </c>
      <c r="DG38" s="91">
        <f t="shared" si="26"/>
        <v>20</v>
      </c>
      <c r="DH38" s="91">
        <f t="shared" si="27"/>
        <v>11</v>
      </c>
    </row>
    <row r="39" spans="1:112" x14ac:dyDescent="0.35">
      <c r="A39" s="43" t="s">
        <v>54</v>
      </c>
      <c r="B39" s="47">
        <v>6</v>
      </c>
      <c r="C39" s="47">
        <v>4</v>
      </c>
      <c r="D39" s="47">
        <v>9</v>
      </c>
      <c r="E39" s="47">
        <v>23</v>
      </c>
      <c r="F39" s="47">
        <v>41</v>
      </c>
      <c r="G39" s="47">
        <v>73</v>
      </c>
      <c r="H39" s="47">
        <v>288</v>
      </c>
      <c r="I39" s="47">
        <v>278</v>
      </c>
      <c r="J39" s="47">
        <v>285</v>
      </c>
      <c r="K39" s="47">
        <v>266</v>
      </c>
      <c r="L39" s="47">
        <v>258</v>
      </c>
      <c r="M39" s="47">
        <v>207</v>
      </c>
      <c r="N39" s="47">
        <v>208</v>
      </c>
      <c r="O39" s="47">
        <v>146</v>
      </c>
      <c r="P39" s="47">
        <v>109</v>
      </c>
      <c r="Q39" s="47">
        <v>78</v>
      </c>
      <c r="R39" s="47">
        <v>63</v>
      </c>
      <c r="S39" s="47">
        <v>54</v>
      </c>
      <c r="T39" s="47">
        <v>54</v>
      </c>
      <c r="U39" s="47">
        <v>30</v>
      </c>
      <c r="V39" s="47">
        <v>14</v>
      </c>
      <c r="W39" s="47">
        <v>18</v>
      </c>
      <c r="X39" s="47">
        <v>14</v>
      </c>
      <c r="Y39" s="47">
        <v>6</v>
      </c>
      <c r="Z39" s="47">
        <f t="shared" si="0"/>
        <v>2532</v>
      </c>
      <c r="AC39" s="43" t="s">
        <v>54</v>
      </c>
      <c r="AD39" s="47">
        <f>ROUND(IF(AD$3&lt;$DF39,0,
IF(AD$3=$DF39+'Model Setup'!$B$7,SUMIF($AD$3:$BA$3,"="&amp;$DF39+'Model Setup'!$B$7,$B39:$Y39)+'Model Setup'!$B$8*(SUMIF($AD$3:$BA$3,"&lt;"&amp;$DF39,$B39:$Y39)+SUMIF($AD$3:$BA$3,"&gt;="&amp;$DG39,$B39:$Y39)),
IF(AD$3=$DF39+'Model Setup'!$C$7,SUMIF($AD$3:$BA$3,"="&amp;$DF39+'Model Setup'!$C$7,$B39:$Y39)+'Model Setup'!$C$8*(SUMIF($AD$3:$BA$3,"&lt;"&amp;$DF39,$B39:$Y39)+SUMIF($AD$3:$BA$3,"&gt;="&amp;$DG39,$B39:$Y39)),
IF(AD$3=$DF39+'Model Setup'!$D$7,SUMIF($AD$3:$BA$3,"="&amp;$DF39+'Model Setup'!$D$7,$B39:$Y39)+'Model Setup'!$D$8*(SUMIF($AD$3:$BA$3,"&lt;"&amp;$DF39,$B39:$Y39)+SUMIF($AD$3:$BA$3,"&gt;="&amp;$DG39,$B39:$Y39)),
IF(AD$3=$DF39+'Model Setup'!$E$7,SUMIF($AD$3:$BA$3,"="&amp;$DF39+'Model Setup'!$E$7,$B39:$Y39)+'Model Setup'!$E$8*(SUMIF($AD$3:$BA$3,"&lt;"&amp;$DF39,$B39:$Y39)+SUMIF($AD$3:$BA$3,"&gt;="&amp;$DG39,$B39:$Y39)),
IF(AD$3=$DF39+'Model Setup'!$F$7,SUMIF($AD$3:$BA$3,"="&amp;$DF39+'Model Setup'!$F$7,$B39:$Y39)+'Model Setup'!$F$8*(SUMIF($AD$3:$BA$3,"&lt;"&amp;$DF39,$B39:$Y39)+SUMIF($AD$3:$BA$3,"&gt;="&amp;$DG39,$B39:$Y39)),
IF(AD$3=$DF39+'Model Setup'!$G$7,SUMIF($AD$3:$BA$3,"="&amp;$DF39+'Model Setup'!$G$7,$B39:$Y39)+'Model Setup'!$G$8*(SUMIF($AD$3:$BA$3,"&lt;"&amp;$DF39,$B39:$Y39)+SUMIF($AD$3:$BA$3,"&gt;="&amp;$DG39,$B39:$Y39)),
IF(AD$3=$DF39+'Model Setup'!$H$7,SUMIF($AD$3:$BA$3,"="&amp;$DF39+'Model Setup'!$H$7,$B39:$Y39)+'Model Setup'!$H$8*(SUMIF($AD$3:$BA$3,"&lt;"&amp;$DF39,$B39:$Y39)+SUMIF($AD$3:$BA$3,"&gt;="&amp;$DG39,$B39:$Y39)),
IF(AD$3=$DF39+'Model Setup'!$I$7,SUMIF($AD$3:$BA$3,"="&amp;$DF39+'Model Setup'!$I$7,$B39:$Y39)+'Model Setup'!$I$8*(SUMIF($AD$3:$BA$3,"&lt;"&amp;$DF39,$B39:$Y39)+SUMIF($AD$3:$BA$3,"&gt;="&amp;$DG39,$B39:$Y39)),
IF(AD$3=$DF39+'Model Setup'!$J$7,SUMIF($AD$3:$BA$3,"="&amp;$DF39+'Model Setup'!$J$7,$B39:$Y39)+'Model Setup'!$J$8*(SUMIF($AD$3:$BA$3,"&lt;"&amp;$DF39,$B39:$Y39)+SUMIF($AD$3:$BA$3,"&gt;="&amp;$DG39,$B39:$Y39)),
IF(AD$3=$DF39+'Model Setup'!$K$7,SUMIF($AD$3:$BA$3,"="&amp;$DF39+'Model Setup'!$K$7,$B39:$Y39)+'Model Setup'!$K$8*(SUMIF($AD$3:$BA$3,"&lt;"&amp;$DF39,$B39:$Y39)+SUMIF($AD$3:$BA$3,"&gt;="&amp;$DG39,$B39:$Y39)),
IF(AD$3=$DF39+'Model Setup'!$L$7,SUMIF($AD$3:$BA$3,"="&amp;$DF39+'Model Setup'!$L$7,$B39:$Y39)+'Model Setup'!$L$8*(SUMIF($AD$3:$BA$3,"&lt;"&amp;$DF39,$B39:$Y39)+SUMIF($AD$3:$BA$3,"&gt;="&amp;$DG39,$B39:$Y39)),
IF(AD$3=$DF39+'Model Setup'!$M$7,SUMIF($AD$3:$BA$3,"="&amp;$DF39+'Model Setup'!$M$7,$B39:$Y39)+'Model Setup'!$M$8*(SUMIF($AD$3:$BA$3,"&lt;"&amp;$DF39,$B39:$Y39)+SUMIF($AD$3:$BA$3,"&gt;="&amp;$DG39,$B39:$Y39)),
IF(AD$3=$DF39+'Model Setup'!$N$7,SUMIF($AD$3:$BA$3,"="&amp;$DF39+'Model Setup'!$N$7,$B39:$Y39)+'Model Setup'!$N$8*(SUMIF($AD$3:$BA$3,"&lt;"&amp;$DF39,$B39:$Y39)+SUMIF($AD$3:$BA$3,"&gt;="&amp;$DG39,$B39:$Y39)),
IF(AD$3&lt;$DG39,B39,0))))))))))))))),0)</f>
        <v>0</v>
      </c>
      <c r="AE39" s="47">
        <f>ROUND(IF(AE$3&lt;$DF39,0,
IF(AE$3=$DF39+'Model Setup'!$B$7,SUMIF($AD$3:$BA$3,"="&amp;$DF39+'Model Setup'!$B$7,$B39:$Y39)+'Model Setup'!$B$8*(SUMIF($AD$3:$BA$3,"&lt;"&amp;$DF39,$B39:$Y39)+SUMIF($AD$3:$BA$3,"&gt;="&amp;$DG39,$B39:$Y39)),
IF(AE$3=$DF39+'Model Setup'!$C$7,SUMIF($AD$3:$BA$3,"="&amp;$DF39+'Model Setup'!$C$7,$B39:$Y39)+'Model Setup'!$C$8*(SUMIF($AD$3:$BA$3,"&lt;"&amp;$DF39,$B39:$Y39)+SUMIF($AD$3:$BA$3,"&gt;="&amp;$DG39,$B39:$Y39)),
IF(AE$3=$DF39+'Model Setup'!$D$7,SUMIF($AD$3:$BA$3,"="&amp;$DF39+'Model Setup'!$D$7,$B39:$Y39)+'Model Setup'!$D$8*(SUMIF($AD$3:$BA$3,"&lt;"&amp;$DF39,$B39:$Y39)+SUMIF($AD$3:$BA$3,"&gt;="&amp;$DG39,$B39:$Y39)),
IF(AE$3=$DF39+'Model Setup'!$E$7,SUMIF($AD$3:$BA$3,"="&amp;$DF39+'Model Setup'!$E$7,$B39:$Y39)+'Model Setup'!$E$8*(SUMIF($AD$3:$BA$3,"&lt;"&amp;$DF39,$B39:$Y39)+SUMIF($AD$3:$BA$3,"&gt;="&amp;$DG39,$B39:$Y39)),
IF(AE$3=$DF39+'Model Setup'!$F$7,SUMIF($AD$3:$BA$3,"="&amp;$DF39+'Model Setup'!$F$7,$B39:$Y39)+'Model Setup'!$F$8*(SUMIF($AD$3:$BA$3,"&lt;"&amp;$DF39,$B39:$Y39)+SUMIF($AD$3:$BA$3,"&gt;="&amp;$DG39,$B39:$Y39)),
IF(AE$3=$DF39+'Model Setup'!$G$7,SUMIF($AD$3:$BA$3,"="&amp;$DF39+'Model Setup'!$G$7,$B39:$Y39)+'Model Setup'!$G$8*(SUMIF($AD$3:$BA$3,"&lt;"&amp;$DF39,$B39:$Y39)+SUMIF($AD$3:$BA$3,"&gt;="&amp;$DG39,$B39:$Y39)),
IF(AE$3=$DF39+'Model Setup'!$H$7,SUMIF($AD$3:$BA$3,"="&amp;$DF39+'Model Setup'!$H$7,$B39:$Y39)+'Model Setup'!$H$8*(SUMIF($AD$3:$BA$3,"&lt;"&amp;$DF39,$B39:$Y39)+SUMIF($AD$3:$BA$3,"&gt;="&amp;$DG39,$B39:$Y39)),
IF(AE$3=$DF39+'Model Setup'!$I$7,SUMIF($AD$3:$BA$3,"="&amp;$DF39+'Model Setup'!$I$7,$B39:$Y39)+'Model Setup'!$I$8*(SUMIF($AD$3:$BA$3,"&lt;"&amp;$DF39,$B39:$Y39)+SUMIF($AD$3:$BA$3,"&gt;="&amp;$DG39,$B39:$Y39)),
IF(AE$3=$DF39+'Model Setup'!$J$7,SUMIF($AD$3:$BA$3,"="&amp;$DF39+'Model Setup'!$J$7,$B39:$Y39)+'Model Setup'!$J$8*(SUMIF($AD$3:$BA$3,"&lt;"&amp;$DF39,$B39:$Y39)+SUMIF($AD$3:$BA$3,"&gt;="&amp;$DG39,$B39:$Y39)),
IF(AE$3=$DF39+'Model Setup'!$K$7,SUMIF($AD$3:$BA$3,"="&amp;$DF39+'Model Setup'!$K$7,$B39:$Y39)+'Model Setup'!$K$8*(SUMIF($AD$3:$BA$3,"&lt;"&amp;$DF39,$B39:$Y39)+SUMIF($AD$3:$BA$3,"&gt;="&amp;$DG39,$B39:$Y39)),
IF(AE$3=$DF39+'Model Setup'!$L$7,SUMIF($AD$3:$BA$3,"="&amp;$DF39+'Model Setup'!$L$7,$B39:$Y39)+'Model Setup'!$L$8*(SUMIF($AD$3:$BA$3,"&lt;"&amp;$DF39,$B39:$Y39)+SUMIF($AD$3:$BA$3,"&gt;="&amp;$DG39,$B39:$Y39)),
IF(AE$3=$DF39+'Model Setup'!$M$7,SUMIF($AD$3:$BA$3,"="&amp;$DF39+'Model Setup'!$M$7,$B39:$Y39)+'Model Setup'!$M$8*(SUMIF($AD$3:$BA$3,"&lt;"&amp;$DF39,$B39:$Y39)+SUMIF($AD$3:$BA$3,"&gt;="&amp;$DG39,$B39:$Y39)),
IF(AE$3=$DF39+'Model Setup'!$N$7,SUMIF($AD$3:$BA$3,"="&amp;$DF39+'Model Setup'!$N$7,$B39:$Y39)+'Model Setup'!$N$8*(SUMIF($AD$3:$BA$3,"&lt;"&amp;$DF39,$B39:$Y39)+SUMIF($AD$3:$BA$3,"&gt;="&amp;$DG39,$B39:$Y39)),
IF(AE$3&lt;$DG39,C39,0))))))))))))))),0)</f>
        <v>0</v>
      </c>
      <c r="AF39" s="47">
        <f>ROUND(IF(AF$3&lt;$DF39,0,
IF(AF$3=$DF39+'Model Setup'!$B$7,SUMIF($AD$3:$BA$3,"="&amp;$DF39+'Model Setup'!$B$7,$B39:$Y39)+'Model Setup'!$B$8*(SUMIF($AD$3:$BA$3,"&lt;"&amp;$DF39,$B39:$Y39)+SUMIF($AD$3:$BA$3,"&gt;="&amp;$DG39,$B39:$Y39)),
IF(AF$3=$DF39+'Model Setup'!$C$7,SUMIF($AD$3:$BA$3,"="&amp;$DF39+'Model Setup'!$C$7,$B39:$Y39)+'Model Setup'!$C$8*(SUMIF($AD$3:$BA$3,"&lt;"&amp;$DF39,$B39:$Y39)+SUMIF($AD$3:$BA$3,"&gt;="&amp;$DG39,$B39:$Y39)),
IF(AF$3=$DF39+'Model Setup'!$D$7,SUMIF($AD$3:$BA$3,"="&amp;$DF39+'Model Setup'!$D$7,$B39:$Y39)+'Model Setup'!$D$8*(SUMIF($AD$3:$BA$3,"&lt;"&amp;$DF39,$B39:$Y39)+SUMIF($AD$3:$BA$3,"&gt;="&amp;$DG39,$B39:$Y39)),
IF(AF$3=$DF39+'Model Setup'!$E$7,SUMIF($AD$3:$BA$3,"="&amp;$DF39+'Model Setup'!$E$7,$B39:$Y39)+'Model Setup'!$E$8*(SUMIF($AD$3:$BA$3,"&lt;"&amp;$DF39,$B39:$Y39)+SUMIF($AD$3:$BA$3,"&gt;="&amp;$DG39,$B39:$Y39)),
IF(AF$3=$DF39+'Model Setup'!$F$7,SUMIF($AD$3:$BA$3,"="&amp;$DF39+'Model Setup'!$F$7,$B39:$Y39)+'Model Setup'!$F$8*(SUMIF($AD$3:$BA$3,"&lt;"&amp;$DF39,$B39:$Y39)+SUMIF($AD$3:$BA$3,"&gt;="&amp;$DG39,$B39:$Y39)),
IF(AF$3=$DF39+'Model Setup'!$G$7,SUMIF($AD$3:$BA$3,"="&amp;$DF39+'Model Setup'!$G$7,$B39:$Y39)+'Model Setup'!$G$8*(SUMIF($AD$3:$BA$3,"&lt;"&amp;$DF39,$B39:$Y39)+SUMIF($AD$3:$BA$3,"&gt;="&amp;$DG39,$B39:$Y39)),
IF(AF$3=$DF39+'Model Setup'!$H$7,SUMIF($AD$3:$BA$3,"="&amp;$DF39+'Model Setup'!$H$7,$B39:$Y39)+'Model Setup'!$H$8*(SUMIF($AD$3:$BA$3,"&lt;"&amp;$DF39,$B39:$Y39)+SUMIF($AD$3:$BA$3,"&gt;="&amp;$DG39,$B39:$Y39)),
IF(AF$3=$DF39+'Model Setup'!$I$7,SUMIF($AD$3:$BA$3,"="&amp;$DF39+'Model Setup'!$I$7,$B39:$Y39)+'Model Setup'!$I$8*(SUMIF($AD$3:$BA$3,"&lt;"&amp;$DF39,$B39:$Y39)+SUMIF($AD$3:$BA$3,"&gt;="&amp;$DG39,$B39:$Y39)),
IF(AF$3=$DF39+'Model Setup'!$J$7,SUMIF($AD$3:$BA$3,"="&amp;$DF39+'Model Setup'!$J$7,$B39:$Y39)+'Model Setup'!$J$8*(SUMIF($AD$3:$BA$3,"&lt;"&amp;$DF39,$B39:$Y39)+SUMIF($AD$3:$BA$3,"&gt;="&amp;$DG39,$B39:$Y39)),
IF(AF$3=$DF39+'Model Setup'!$K$7,SUMIF($AD$3:$BA$3,"="&amp;$DF39+'Model Setup'!$K$7,$B39:$Y39)+'Model Setup'!$K$8*(SUMIF($AD$3:$BA$3,"&lt;"&amp;$DF39,$B39:$Y39)+SUMIF($AD$3:$BA$3,"&gt;="&amp;$DG39,$B39:$Y39)),
IF(AF$3=$DF39+'Model Setup'!$L$7,SUMIF($AD$3:$BA$3,"="&amp;$DF39+'Model Setup'!$L$7,$B39:$Y39)+'Model Setup'!$L$8*(SUMIF($AD$3:$BA$3,"&lt;"&amp;$DF39,$B39:$Y39)+SUMIF($AD$3:$BA$3,"&gt;="&amp;$DG39,$B39:$Y39)),
IF(AF$3=$DF39+'Model Setup'!$M$7,SUMIF($AD$3:$BA$3,"="&amp;$DF39+'Model Setup'!$M$7,$B39:$Y39)+'Model Setup'!$M$8*(SUMIF($AD$3:$BA$3,"&lt;"&amp;$DF39,$B39:$Y39)+SUMIF($AD$3:$BA$3,"&gt;="&amp;$DG39,$B39:$Y39)),
IF(AF$3=$DF39+'Model Setup'!$N$7,SUMIF($AD$3:$BA$3,"="&amp;$DF39+'Model Setup'!$N$7,$B39:$Y39)+'Model Setup'!$N$8*(SUMIF($AD$3:$BA$3,"&lt;"&amp;$DF39,$B39:$Y39)+SUMIF($AD$3:$BA$3,"&gt;="&amp;$DG39,$B39:$Y39)),
IF(AF$3&lt;$DG39,D39,0))))))))))))))),0)</f>
        <v>0</v>
      </c>
      <c r="AG39" s="47">
        <f>ROUND(IF(AG$3&lt;$DF39,0,
IF(AG$3=$DF39+'Model Setup'!$B$7,SUMIF($AD$3:$BA$3,"="&amp;$DF39+'Model Setup'!$B$7,$B39:$Y39)+'Model Setup'!$B$8*(SUMIF($AD$3:$BA$3,"&lt;"&amp;$DF39,$B39:$Y39)+SUMIF($AD$3:$BA$3,"&gt;="&amp;$DG39,$B39:$Y39)),
IF(AG$3=$DF39+'Model Setup'!$C$7,SUMIF($AD$3:$BA$3,"="&amp;$DF39+'Model Setup'!$C$7,$B39:$Y39)+'Model Setup'!$C$8*(SUMIF($AD$3:$BA$3,"&lt;"&amp;$DF39,$B39:$Y39)+SUMIF($AD$3:$BA$3,"&gt;="&amp;$DG39,$B39:$Y39)),
IF(AG$3=$DF39+'Model Setup'!$D$7,SUMIF($AD$3:$BA$3,"="&amp;$DF39+'Model Setup'!$D$7,$B39:$Y39)+'Model Setup'!$D$8*(SUMIF($AD$3:$BA$3,"&lt;"&amp;$DF39,$B39:$Y39)+SUMIF($AD$3:$BA$3,"&gt;="&amp;$DG39,$B39:$Y39)),
IF(AG$3=$DF39+'Model Setup'!$E$7,SUMIF($AD$3:$BA$3,"="&amp;$DF39+'Model Setup'!$E$7,$B39:$Y39)+'Model Setup'!$E$8*(SUMIF($AD$3:$BA$3,"&lt;"&amp;$DF39,$B39:$Y39)+SUMIF($AD$3:$BA$3,"&gt;="&amp;$DG39,$B39:$Y39)),
IF(AG$3=$DF39+'Model Setup'!$F$7,SUMIF($AD$3:$BA$3,"="&amp;$DF39+'Model Setup'!$F$7,$B39:$Y39)+'Model Setup'!$F$8*(SUMIF($AD$3:$BA$3,"&lt;"&amp;$DF39,$B39:$Y39)+SUMIF($AD$3:$BA$3,"&gt;="&amp;$DG39,$B39:$Y39)),
IF(AG$3=$DF39+'Model Setup'!$G$7,SUMIF($AD$3:$BA$3,"="&amp;$DF39+'Model Setup'!$G$7,$B39:$Y39)+'Model Setup'!$G$8*(SUMIF($AD$3:$BA$3,"&lt;"&amp;$DF39,$B39:$Y39)+SUMIF($AD$3:$BA$3,"&gt;="&amp;$DG39,$B39:$Y39)),
IF(AG$3=$DF39+'Model Setup'!$H$7,SUMIF($AD$3:$BA$3,"="&amp;$DF39+'Model Setup'!$H$7,$B39:$Y39)+'Model Setup'!$H$8*(SUMIF($AD$3:$BA$3,"&lt;"&amp;$DF39,$B39:$Y39)+SUMIF($AD$3:$BA$3,"&gt;="&amp;$DG39,$B39:$Y39)),
IF(AG$3=$DF39+'Model Setup'!$I$7,SUMIF($AD$3:$BA$3,"="&amp;$DF39+'Model Setup'!$I$7,$B39:$Y39)+'Model Setup'!$I$8*(SUMIF($AD$3:$BA$3,"&lt;"&amp;$DF39,$B39:$Y39)+SUMIF($AD$3:$BA$3,"&gt;="&amp;$DG39,$B39:$Y39)),
IF(AG$3=$DF39+'Model Setup'!$J$7,SUMIF($AD$3:$BA$3,"="&amp;$DF39+'Model Setup'!$J$7,$B39:$Y39)+'Model Setup'!$J$8*(SUMIF($AD$3:$BA$3,"&lt;"&amp;$DF39,$B39:$Y39)+SUMIF($AD$3:$BA$3,"&gt;="&amp;$DG39,$B39:$Y39)),
IF(AG$3=$DF39+'Model Setup'!$K$7,SUMIF($AD$3:$BA$3,"="&amp;$DF39+'Model Setup'!$K$7,$B39:$Y39)+'Model Setup'!$K$8*(SUMIF($AD$3:$BA$3,"&lt;"&amp;$DF39,$B39:$Y39)+SUMIF($AD$3:$BA$3,"&gt;="&amp;$DG39,$B39:$Y39)),
IF(AG$3=$DF39+'Model Setup'!$L$7,SUMIF($AD$3:$BA$3,"="&amp;$DF39+'Model Setup'!$L$7,$B39:$Y39)+'Model Setup'!$L$8*(SUMIF($AD$3:$BA$3,"&lt;"&amp;$DF39,$B39:$Y39)+SUMIF($AD$3:$BA$3,"&gt;="&amp;$DG39,$B39:$Y39)),
IF(AG$3=$DF39+'Model Setup'!$M$7,SUMIF($AD$3:$BA$3,"="&amp;$DF39+'Model Setup'!$M$7,$B39:$Y39)+'Model Setup'!$M$8*(SUMIF($AD$3:$BA$3,"&lt;"&amp;$DF39,$B39:$Y39)+SUMIF($AD$3:$BA$3,"&gt;="&amp;$DG39,$B39:$Y39)),
IF(AG$3=$DF39+'Model Setup'!$N$7,SUMIF($AD$3:$BA$3,"="&amp;$DF39+'Model Setup'!$N$7,$B39:$Y39)+'Model Setup'!$N$8*(SUMIF($AD$3:$BA$3,"&lt;"&amp;$DF39,$B39:$Y39)+SUMIF($AD$3:$BA$3,"&gt;="&amp;$DG39,$B39:$Y39)),
IF(AG$3&lt;$DG39,E39,0))))))))))))))),0)</f>
        <v>0</v>
      </c>
      <c r="AH39" s="47">
        <f>ROUND(IF(AH$3&lt;$DF39,0,
IF(AH$3=$DF39+'Model Setup'!$B$7,SUMIF($AD$3:$BA$3,"="&amp;$DF39+'Model Setup'!$B$7,$B39:$Y39)+'Model Setup'!$B$8*(SUMIF($AD$3:$BA$3,"&lt;"&amp;$DF39,$B39:$Y39)+SUMIF($AD$3:$BA$3,"&gt;="&amp;$DG39,$B39:$Y39)),
IF(AH$3=$DF39+'Model Setup'!$C$7,SUMIF($AD$3:$BA$3,"="&amp;$DF39+'Model Setup'!$C$7,$B39:$Y39)+'Model Setup'!$C$8*(SUMIF($AD$3:$BA$3,"&lt;"&amp;$DF39,$B39:$Y39)+SUMIF($AD$3:$BA$3,"&gt;="&amp;$DG39,$B39:$Y39)),
IF(AH$3=$DF39+'Model Setup'!$D$7,SUMIF($AD$3:$BA$3,"="&amp;$DF39+'Model Setup'!$D$7,$B39:$Y39)+'Model Setup'!$D$8*(SUMIF($AD$3:$BA$3,"&lt;"&amp;$DF39,$B39:$Y39)+SUMIF($AD$3:$BA$3,"&gt;="&amp;$DG39,$B39:$Y39)),
IF(AH$3=$DF39+'Model Setup'!$E$7,SUMIF($AD$3:$BA$3,"="&amp;$DF39+'Model Setup'!$E$7,$B39:$Y39)+'Model Setup'!$E$8*(SUMIF($AD$3:$BA$3,"&lt;"&amp;$DF39,$B39:$Y39)+SUMIF($AD$3:$BA$3,"&gt;="&amp;$DG39,$B39:$Y39)),
IF(AH$3=$DF39+'Model Setup'!$F$7,SUMIF($AD$3:$BA$3,"="&amp;$DF39+'Model Setup'!$F$7,$B39:$Y39)+'Model Setup'!$F$8*(SUMIF($AD$3:$BA$3,"&lt;"&amp;$DF39,$B39:$Y39)+SUMIF($AD$3:$BA$3,"&gt;="&amp;$DG39,$B39:$Y39)),
IF(AH$3=$DF39+'Model Setup'!$G$7,SUMIF($AD$3:$BA$3,"="&amp;$DF39+'Model Setup'!$G$7,$B39:$Y39)+'Model Setup'!$G$8*(SUMIF($AD$3:$BA$3,"&lt;"&amp;$DF39,$B39:$Y39)+SUMIF($AD$3:$BA$3,"&gt;="&amp;$DG39,$B39:$Y39)),
IF(AH$3=$DF39+'Model Setup'!$H$7,SUMIF($AD$3:$BA$3,"="&amp;$DF39+'Model Setup'!$H$7,$B39:$Y39)+'Model Setup'!$H$8*(SUMIF($AD$3:$BA$3,"&lt;"&amp;$DF39,$B39:$Y39)+SUMIF($AD$3:$BA$3,"&gt;="&amp;$DG39,$B39:$Y39)),
IF(AH$3=$DF39+'Model Setup'!$I$7,SUMIF($AD$3:$BA$3,"="&amp;$DF39+'Model Setup'!$I$7,$B39:$Y39)+'Model Setup'!$I$8*(SUMIF($AD$3:$BA$3,"&lt;"&amp;$DF39,$B39:$Y39)+SUMIF($AD$3:$BA$3,"&gt;="&amp;$DG39,$B39:$Y39)),
IF(AH$3=$DF39+'Model Setup'!$J$7,SUMIF($AD$3:$BA$3,"="&amp;$DF39+'Model Setup'!$J$7,$B39:$Y39)+'Model Setup'!$J$8*(SUMIF($AD$3:$BA$3,"&lt;"&amp;$DF39,$B39:$Y39)+SUMIF($AD$3:$BA$3,"&gt;="&amp;$DG39,$B39:$Y39)),
IF(AH$3=$DF39+'Model Setup'!$K$7,SUMIF($AD$3:$BA$3,"="&amp;$DF39+'Model Setup'!$K$7,$B39:$Y39)+'Model Setup'!$K$8*(SUMIF($AD$3:$BA$3,"&lt;"&amp;$DF39,$B39:$Y39)+SUMIF($AD$3:$BA$3,"&gt;="&amp;$DG39,$B39:$Y39)),
IF(AH$3=$DF39+'Model Setup'!$L$7,SUMIF($AD$3:$BA$3,"="&amp;$DF39+'Model Setup'!$L$7,$B39:$Y39)+'Model Setup'!$L$8*(SUMIF($AD$3:$BA$3,"&lt;"&amp;$DF39,$B39:$Y39)+SUMIF($AD$3:$BA$3,"&gt;="&amp;$DG39,$B39:$Y39)),
IF(AH$3=$DF39+'Model Setup'!$M$7,SUMIF($AD$3:$BA$3,"="&amp;$DF39+'Model Setup'!$M$7,$B39:$Y39)+'Model Setup'!$M$8*(SUMIF($AD$3:$BA$3,"&lt;"&amp;$DF39,$B39:$Y39)+SUMIF($AD$3:$BA$3,"&gt;="&amp;$DG39,$B39:$Y39)),
IF(AH$3=$DF39+'Model Setup'!$N$7,SUMIF($AD$3:$BA$3,"="&amp;$DF39+'Model Setup'!$N$7,$B39:$Y39)+'Model Setup'!$N$8*(SUMIF($AD$3:$BA$3,"&lt;"&amp;$DF39,$B39:$Y39)+SUMIF($AD$3:$BA$3,"&gt;="&amp;$DG39,$B39:$Y39)),
IF(AH$3&lt;$DG39,F39,0))))))))))))))),0)</f>
        <v>0</v>
      </c>
      <c r="AI39" s="47">
        <f>ROUND(IF(AI$3&lt;$DF39,0,
IF(AI$3=$DF39+'Model Setup'!$B$7,SUMIF($AD$3:$BA$3,"="&amp;$DF39+'Model Setup'!$B$7,$B39:$Y39)+'Model Setup'!$B$8*(SUMIF($AD$3:$BA$3,"&lt;"&amp;$DF39,$B39:$Y39)+SUMIF($AD$3:$BA$3,"&gt;="&amp;$DG39,$B39:$Y39)),
IF(AI$3=$DF39+'Model Setup'!$C$7,SUMIF($AD$3:$BA$3,"="&amp;$DF39+'Model Setup'!$C$7,$B39:$Y39)+'Model Setup'!$C$8*(SUMIF($AD$3:$BA$3,"&lt;"&amp;$DF39,$B39:$Y39)+SUMIF($AD$3:$BA$3,"&gt;="&amp;$DG39,$B39:$Y39)),
IF(AI$3=$DF39+'Model Setup'!$D$7,SUMIF($AD$3:$BA$3,"="&amp;$DF39+'Model Setup'!$D$7,$B39:$Y39)+'Model Setup'!$D$8*(SUMIF($AD$3:$BA$3,"&lt;"&amp;$DF39,$B39:$Y39)+SUMIF($AD$3:$BA$3,"&gt;="&amp;$DG39,$B39:$Y39)),
IF(AI$3=$DF39+'Model Setup'!$E$7,SUMIF($AD$3:$BA$3,"="&amp;$DF39+'Model Setup'!$E$7,$B39:$Y39)+'Model Setup'!$E$8*(SUMIF($AD$3:$BA$3,"&lt;"&amp;$DF39,$B39:$Y39)+SUMIF($AD$3:$BA$3,"&gt;="&amp;$DG39,$B39:$Y39)),
IF(AI$3=$DF39+'Model Setup'!$F$7,SUMIF($AD$3:$BA$3,"="&amp;$DF39+'Model Setup'!$F$7,$B39:$Y39)+'Model Setup'!$F$8*(SUMIF($AD$3:$BA$3,"&lt;"&amp;$DF39,$B39:$Y39)+SUMIF($AD$3:$BA$3,"&gt;="&amp;$DG39,$B39:$Y39)),
IF(AI$3=$DF39+'Model Setup'!$G$7,SUMIF($AD$3:$BA$3,"="&amp;$DF39+'Model Setup'!$G$7,$B39:$Y39)+'Model Setup'!$G$8*(SUMIF($AD$3:$BA$3,"&lt;"&amp;$DF39,$B39:$Y39)+SUMIF($AD$3:$BA$3,"&gt;="&amp;$DG39,$B39:$Y39)),
IF(AI$3=$DF39+'Model Setup'!$H$7,SUMIF($AD$3:$BA$3,"="&amp;$DF39+'Model Setup'!$H$7,$B39:$Y39)+'Model Setup'!$H$8*(SUMIF($AD$3:$BA$3,"&lt;"&amp;$DF39,$B39:$Y39)+SUMIF($AD$3:$BA$3,"&gt;="&amp;$DG39,$B39:$Y39)),
IF(AI$3=$DF39+'Model Setup'!$I$7,SUMIF($AD$3:$BA$3,"="&amp;$DF39+'Model Setup'!$I$7,$B39:$Y39)+'Model Setup'!$I$8*(SUMIF($AD$3:$BA$3,"&lt;"&amp;$DF39,$B39:$Y39)+SUMIF($AD$3:$BA$3,"&gt;="&amp;$DG39,$B39:$Y39)),
IF(AI$3=$DF39+'Model Setup'!$J$7,SUMIF($AD$3:$BA$3,"="&amp;$DF39+'Model Setup'!$J$7,$B39:$Y39)+'Model Setup'!$J$8*(SUMIF($AD$3:$BA$3,"&lt;"&amp;$DF39,$B39:$Y39)+SUMIF($AD$3:$BA$3,"&gt;="&amp;$DG39,$B39:$Y39)),
IF(AI$3=$DF39+'Model Setup'!$K$7,SUMIF($AD$3:$BA$3,"="&amp;$DF39+'Model Setup'!$K$7,$B39:$Y39)+'Model Setup'!$K$8*(SUMIF($AD$3:$BA$3,"&lt;"&amp;$DF39,$B39:$Y39)+SUMIF($AD$3:$BA$3,"&gt;="&amp;$DG39,$B39:$Y39)),
IF(AI$3=$DF39+'Model Setup'!$L$7,SUMIF($AD$3:$BA$3,"="&amp;$DF39+'Model Setup'!$L$7,$B39:$Y39)+'Model Setup'!$L$8*(SUMIF($AD$3:$BA$3,"&lt;"&amp;$DF39,$B39:$Y39)+SUMIF($AD$3:$BA$3,"&gt;="&amp;$DG39,$B39:$Y39)),
IF(AI$3=$DF39+'Model Setup'!$M$7,SUMIF($AD$3:$BA$3,"="&amp;$DF39+'Model Setup'!$M$7,$B39:$Y39)+'Model Setup'!$M$8*(SUMIF($AD$3:$BA$3,"&lt;"&amp;$DF39,$B39:$Y39)+SUMIF($AD$3:$BA$3,"&gt;="&amp;$DG39,$B39:$Y39)),
IF(AI$3=$DF39+'Model Setup'!$N$7,SUMIF($AD$3:$BA$3,"="&amp;$DF39+'Model Setup'!$N$7,$B39:$Y39)+'Model Setup'!$N$8*(SUMIF($AD$3:$BA$3,"&lt;"&amp;$DF39,$B39:$Y39)+SUMIF($AD$3:$BA$3,"&gt;="&amp;$DG39,$B39:$Y39)),
IF(AI$3&lt;$DG39,G39,0))))))))))))))),0)</f>
        <v>73</v>
      </c>
      <c r="AJ39" s="47">
        <f>ROUND(IF(AJ$3&lt;$DF39,0,
IF(AJ$3=$DF39+'Model Setup'!$B$7,SUMIF($AD$3:$BA$3,"="&amp;$DF39+'Model Setup'!$B$7,$B39:$Y39)+'Model Setup'!$B$8*(SUMIF($AD$3:$BA$3,"&lt;"&amp;$DF39,$B39:$Y39)+SUMIF($AD$3:$BA$3,"&gt;="&amp;$DG39,$B39:$Y39)),
IF(AJ$3=$DF39+'Model Setup'!$C$7,SUMIF($AD$3:$BA$3,"="&amp;$DF39+'Model Setup'!$C$7,$B39:$Y39)+'Model Setup'!$C$8*(SUMIF($AD$3:$BA$3,"&lt;"&amp;$DF39,$B39:$Y39)+SUMIF($AD$3:$BA$3,"&gt;="&amp;$DG39,$B39:$Y39)),
IF(AJ$3=$DF39+'Model Setup'!$D$7,SUMIF($AD$3:$BA$3,"="&amp;$DF39+'Model Setup'!$D$7,$B39:$Y39)+'Model Setup'!$D$8*(SUMIF($AD$3:$BA$3,"&lt;"&amp;$DF39,$B39:$Y39)+SUMIF($AD$3:$BA$3,"&gt;="&amp;$DG39,$B39:$Y39)),
IF(AJ$3=$DF39+'Model Setup'!$E$7,SUMIF($AD$3:$BA$3,"="&amp;$DF39+'Model Setup'!$E$7,$B39:$Y39)+'Model Setup'!$E$8*(SUMIF($AD$3:$BA$3,"&lt;"&amp;$DF39,$B39:$Y39)+SUMIF($AD$3:$BA$3,"&gt;="&amp;$DG39,$B39:$Y39)),
IF(AJ$3=$DF39+'Model Setup'!$F$7,SUMIF($AD$3:$BA$3,"="&amp;$DF39+'Model Setup'!$F$7,$B39:$Y39)+'Model Setup'!$F$8*(SUMIF($AD$3:$BA$3,"&lt;"&amp;$DF39,$B39:$Y39)+SUMIF($AD$3:$BA$3,"&gt;="&amp;$DG39,$B39:$Y39)),
IF(AJ$3=$DF39+'Model Setup'!$G$7,SUMIF($AD$3:$BA$3,"="&amp;$DF39+'Model Setup'!$G$7,$B39:$Y39)+'Model Setup'!$G$8*(SUMIF($AD$3:$BA$3,"&lt;"&amp;$DF39,$B39:$Y39)+SUMIF($AD$3:$BA$3,"&gt;="&amp;$DG39,$B39:$Y39)),
IF(AJ$3=$DF39+'Model Setup'!$H$7,SUMIF($AD$3:$BA$3,"="&amp;$DF39+'Model Setup'!$H$7,$B39:$Y39)+'Model Setup'!$H$8*(SUMIF($AD$3:$BA$3,"&lt;"&amp;$DF39,$B39:$Y39)+SUMIF($AD$3:$BA$3,"&gt;="&amp;$DG39,$B39:$Y39)),
IF(AJ$3=$DF39+'Model Setup'!$I$7,SUMIF($AD$3:$BA$3,"="&amp;$DF39+'Model Setup'!$I$7,$B39:$Y39)+'Model Setup'!$I$8*(SUMIF($AD$3:$BA$3,"&lt;"&amp;$DF39,$B39:$Y39)+SUMIF($AD$3:$BA$3,"&gt;="&amp;$DG39,$B39:$Y39)),
IF(AJ$3=$DF39+'Model Setup'!$J$7,SUMIF($AD$3:$BA$3,"="&amp;$DF39+'Model Setup'!$J$7,$B39:$Y39)+'Model Setup'!$J$8*(SUMIF($AD$3:$BA$3,"&lt;"&amp;$DF39,$B39:$Y39)+SUMIF($AD$3:$BA$3,"&gt;="&amp;$DG39,$B39:$Y39)),
IF(AJ$3=$DF39+'Model Setup'!$K$7,SUMIF($AD$3:$BA$3,"="&amp;$DF39+'Model Setup'!$K$7,$B39:$Y39)+'Model Setup'!$K$8*(SUMIF($AD$3:$BA$3,"&lt;"&amp;$DF39,$B39:$Y39)+SUMIF($AD$3:$BA$3,"&gt;="&amp;$DG39,$B39:$Y39)),
IF(AJ$3=$DF39+'Model Setup'!$L$7,SUMIF($AD$3:$BA$3,"="&amp;$DF39+'Model Setup'!$L$7,$B39:$Y39)+'Model Setup'!$L$8*(SUMIF($AD$3:$BA$3,"&lt;"&amp;$DF39,$B39:$Y39)+SUMIF($AD$3:$BA$3,"&gt;="&amp;$DG39,$B39:$Y39)),
IF(AJ$3=$DF39+'Model Setup'!$M$7,SUMIF($AD$3:$BA$3,"="&amp;$DF39+'Model Setup'!$M$7,$B39:$Y39)+'Model Setup'!$M$8*(SUMIF($AD$3:$BA$3,"&lt;"&amp;$DF39,$B39:$Y39)+SUMIF($AD$3:$BA$3,"&gt;="&amp;$DG39,$B39:$Y39)),
IF(AJ$3=$DF39+'Model Setup'!$N$7,SUMIF($AD$3:$BA$3,"="&amp;$DF39+'Model Setup'!$N$7,$B39:$Y39)+'Model Setup'!$N$8*(SUMIF($AD$3:$BA$3,"&lt;"&amp;$DF39,$B39:$Y39)+SUMIF($AD$3:$BA$3,"&gt;="&amp;$DG39,$B39:$Y39)),
IF(AJ$3&lt;$DG39,H39,0))))))))))))))),0)</f>
        <v>288</v>
      </c>
      <c r="AK39" s="47">
        <f>ROUND(IF(AK$3&lt;$DF39,0,
IF(AK$3=$DF39+'Model Setup'!$B$7,SUMIF($AD$3:$BA$3,"="&amp;$DF39+'Model Setup'!$B$7,$B39:$Y39)+'Model Setup'!$B$8*(SUMIF($AD$3:$BA$3,"&lt;"&amp;$DF39,$B39:$Y39)+SUMIF($AD$3:$BA$3,"&gt;="&amp;$DG39,$B39:$Y39)),
IF(AK$3=$DF39+'Model Setup'!$C$7,SUMIF($AD$3:$BA$3,"="&amp;$DF39+'Model Setup'!$C$7,$B39:$Y39)+'Model Setup'!$C$8*(SUMIF($AD$3:$BA$3,"&lt;"&amp;$DF39,$B39:$Y39)+SUMIF($AD$3:$BA$3,"&gt;="&amp;$DG39,$B39:$Y39)),
IF(AK$3=$DF39+'Model Setup'!$D$7,SUMIF($AD$3:$BA$3,"="&amp;$DF39+'Model Setup'!$D$7,$B39:$Y39)+'Model Setup'!$D$8*(SUMIF($AD$3:$BA$3,"&lt;"&amp;$DF39,$B39:$Y39)+SUMIF($AD$3:$BA$3,"&gt;="&amp;$DG39,$B39:$Y39)),
IF(AK$3=$DF39+'Model Setup'!$E$7,SUMIF($AD$3:$BA$3,"="&amp;$DF39+'Model Setup'!$E$7,$B39:$Y39)+'Model Setup'!$E$8*(SUMIF($AD$3:$BA$3,"&lt;"&amp;$DF39,$B39:$Y39)+SUMIF($AD$3:$BA$3,"&gt;="&amp;$DG39,$B39:$Y39)),
IF(AK$3=$DF39+'Model Setup'!$F$7,SUMIF($AD$3:$BA$3,"="&amp;$DF39+'Model Setup'!$F$7,$B39:$Y39)+'Model Setup'!$F$8*(SUMIF($AD$3:$BA$3,"&lt;"&amp;$DF39,$B39:$Y39)+SUMIF($AD$3:$BA$3,"&gt;="&amp;$DG39,$B39:$Y39)),
IF(AK$3=$DF39+'Model Setup'!$G$7,SUMIF($AD$3:$BA$3,"="&amp;$DF39+'Model Setup'!$G$7,$B39:$Y39)+'Model Setup'!$G$8*(SUMIF($AD$3:$BA$3,"&lt;"&amp;$DF39,$B39:$Y39)+SUMIF($AD$3:$BA$3,"&gt;="&amp;$DG39,$B39:$Y39)),
IF(AK$3=$DF39+'Model Setup'!$H$7,SUMIF($AD$3:$BA$3,"="&amp;$DF39+'Model Setup'!$H$7,$B39:$Y39)+'Model Setup'!$H$8*(SUMIF($AD$3:$BA$3,"&lt;"&amp;$DF39,$B39:$Y39)+SUMIF($AD$3:$BA$3,"&gt;="&amp;$DG39,$B39:$Y39)),
IF(AK$3=$DF39+'Model Setup'!$I$7,SUMIF($AD$3:$BA$3,"="&amp;$DF39+'Model Setup'!$I$7,$B39:$Y39)+'Model Setup'!$I$8*(SUMIF($AD$3:$BA$3,"&lt;"&amp;$DF39,$B39:$Y39)+SUMIF($AD$3:$BA$3,"&gt;="&amp;$DG39,$B39:$Y39)),
IF(AK$3=$DF39+'Model Setup'!$J$7,SUMIF($AD$3:$BA$3,"="&amp;$DF39+'Model Setup'!$J$7,$B39:$Y39)+'Model Setup'!$J$8*(SUMIF($AD$3:$BA$3,"&lt;"&amp;$DF39,$B39:$Y39)+SUMIF($AD$3:$BA$3,"&gt;="&amp;$DG39,$B39:$Y39)),
IF(AK$3=$DF39+'Model Setup'!$K$7,SUMIF($AD$3:$BA$3,"="&amp;$DF39+'Model Setup'!$K$7,$B39:$Y39)+'Model Setup'!$K$8*(SUMIF($AD$3:$BA$3,"&lt;"&amp;$DF39,$B39:$Y39)+SUMIF($AD$3:$BA$3,"&gt;="&amp;$DG39,$B39:$Y39)),
IF(AK$3=$DF39+'Model Setup'!$L$7,SUMIF($AD$3:$BA$3,"="&amp;$DF39+'Model Setup'!$L$7,$B39:$Y39)+'Model Setup'!$L$8*(SUMIF($AD$3:$BA$3,"&lt;"&amp;$DF39,$B39:$Y39)+SUMIF($AD$3:$BA$3,"&gt;="&amp;$DG39,$B39:$Y39)),
IF(AK$3=$DF39+'Model Setup'!$M$7,SUMIF($AD$3:$BA$3,"="&amp;$DF39+'Model Setup'!$M$7,$B39:$Y39)+'Model Setup'!$M$8*(SUMIF($AD$3:$BA$3,"&lt;"&amp;$DF39,$B39:$Y39)+SUMIF($AD$3:$BA$3,"&gt;="&amp;$DG39,$B39:$Y39)),
IF(AK$3=$DF39+'Model Setup'!$N$7,SUMIF($AD$3:$BA$3,"="&amp;$DF39+'Model Setup'!$N$7,$B39:$Y39)+'Model Setup'!$N$8*(SUMIF($AD$3:$BA$3,"&lt;"&amp;$DF39,$B39:$Y39)+SUMIF($AD$3:$BA$3,"&gt;="&amp;$DG39,$B39:$Y39)),
IF(AK$3&lt;$DG39,I39,0))))))))))))))),0)</f>
        <v>278</v>
      </c>
      <c r="AL39" s="47">
        <f>ROUND(IF(AL$3&lt;$DF39,0,
IF(AL$3=$DF39+'Model Setup'!$B$7,SUMIF($AD$3:$BA$3,"="&amp;$DF39+'Model Setup'!$B$7,$B39:$Y39)+'Model Setup'!$B$8*(SUMIF($AD$3:$BA$3,"&lt;"&amp;$DF39,$B39:$Y39)+SUMIF($AD$3:$BA$3,"&gt;="&amp;$DG39,$B39:$Y39)),
IF(AL$3=$DF39+'Model Setup'!$C$7,SUMIF($AD$3:$BA$3,"="&amp;$DF39+'Model Setup'!$C$7,$B39:$Y39)+'Model Setup'!$C$8*(SUMIF($AD$3:$BA$3,"&lt;"&amp;$DF39,$B39:$Y39)+SUMIF($AD$3:$BA$3,"&gt;="&amp;$DG39,$B39:$Y39)),
IF(AL$3=$DF39+'Model Setup'!$D$7,SUMIF($AD$3:$BA$3,"="&amp;$DF39+'Model Setup'!$D$7,$B39:$Y39)+'Model Setup'!$D$8*(SUMIF($AD$3:$BA$3,"&lt;"&amp;$DF39,$B39:$Y39)+SUMIF($AD$3:$BA$3,"&gt;="&amp;$DG39,$B39:$Y39)),
IF(AL$3=$DF39+'Model Setup'!$E$7,SUMIF($AD$3:$BA$3,"="&amp;$DF39+'Model Setup'!$E$7,$B39:$Y39)+'Model Setup'!$E$8*(SUMIF($AD$3:$BA$3,"&lt;"&amp;$DF39,$B39:$Y39)+SUMIF($AD$3:$BA$3,"&gt;="&amp;$DG39,$B39:$Y39)),
IF(AL$3=$DF39+'Model Setup'!$F$7,SUMIF($AD$3:$BA$3,"="&amp;$DF39+'Model Setup'!$F$7,$B39:$Y39)+'Model Setup'!$F$8*(SUMIF($AD$3:$BA$3,"&lt;"&amp;$DF39,$B39:$Y39)+SUMIF($AD$3:$BA$3,"&gt;="&amp;$DG39,$B39:$Y39)),
IF(AL$3=$DF39+'Model Setup'!$G$7,SUMIF($AD$3:$BA$3,"="&amp;$DF39+'Model Setup'!$G$7,$B39:$Y39)+'Model Setup'!$G$8*(SUMIF($AD$3:$BA$3,"&lt;"&amp;$DF39,$B39:$Y39)+SUMIF($AD$3:$BA$3,"&gt;="&amp;$DG39,$B39:$Y39)),
IF(AL$3=$DF39+'Model Setup'!$H$7,SUMIF($AD$3:$BA$3,"="&amp;$DF39+'Model Setup'!$H$7,$B39:$Y39)+'Model Setup'!$H$8*(SUMIF($AD$3:$BA$3,"&lt;"&amp;$DF39,$B39:$Y39)+SUMIF($AD$3:$BA$3,"&gt;="&amp;$DG39,$B39:$Y39)),
IF(AL$3=$DF39+'Model Setup'!$I$7,SUMIF($AD$3:$BA$3,"="&amp;$DF39+'Model Setup'!$I$7,$B39:$Y39)+'Model Setup'!$I$8*(SUMIF($AD$3:$BA$3,"&lt;"&amp;$DF39,$B39:$Y39)+SUMIF($AD$3:$BA$3,"&gt;="&amp;$DG39,$B39:$Y39)),
IF(AL$3=$DF39+'Model Setup'!$J$7,SUMIF($AD$3:$BA$3,"="&amp;$DF39+'Model Setup'!$J$7,$B39:$Y39)+'Model Setup'!$J$8*(SUMIF($AD$3:$BA$3,"&lt;"&amp;$DF39,$B39:$Y39)+SUMIF($AD$3:$BA$3,"&gt;="&amp;$DG39,$B39:$Y39)),
IF(AL$3=$DF39+'Model Setup'!$K$7,SUMIF($AD$3:$BA$3,"="&amp;$DF39+'Model Setup'!$K$7,$B39:$Y39)+'Model Setup'!$K$8*(SUMIF($AD$3:$BA$3,"&lt;"&amp;$DF39,$B39:$Y39)+SUMIF($AD$3:$BA$3,"&gt;="&amp;$DG39,$B39:$Y39)),
IF(AL$3=$DF39+'Model Setup'!$L$7,SUMIF($AD$3:$BA$3,"="&amp;$DF39+'Model Setup'!$L$7,$B39:$Y39)+'Model Setup'!$L$8*(SUMIF($AD$3:$BA$3,"&lt;"&amp;$DF39,$B39:$Y39)+SUMIF($AD$3:$BA$3,"&gt;="&amp;$DG39,$B39:$Y39)),
IF(AL$3=$DF39+'Model Setup'!$M$7,SUMIF($AD$3:$BA$3,"="&amp;$DF39+'Model Setup'!$M$7,$B39:$Y39)+'Model Setup'!$M$8*(SUMIF($AD$3:$BA$3,"&lt;"&amp;$DF39,$B39:$Y39)+SUMIF($AD$3:$BA$3,"&gt;="&amp;$DG39,$B39:$Y39)),
IF(AL$3=$DF39+'Model Setup'!$N$7,SUMIF($AD$3:$BA$3,"="&amp;$DF39+'Model Setup'!$N$7,$B39:$Y39)+'Model Setup'!$N$8*(SUMIF($AD$3:$BA$3,"&lt;"&amp;$DF39,$B39:$Y39)+SUMIF($AD$3:$BA$3,"&gt;="&amp;$DG39,$B39:$Y39)),
IF(AL$3&lt;$DG39,J39,0))))))))))))))),0)</f>
        <v>285</v>
      </c>
      <c r="AM39" s="47">
        <f>ROUND(IF(AM$3&lt;$DF39,0,
IF(AM$3=$DF39+'Model Setup'!$B$7,SUMIF($AD$3:$BA$3,"="&amp;$DF39+'Model Setup'!$B$7,$B39:$Y39)+'Model Setup'!$B$8*(SUMIF($AD$3:$BA$3,"&lt;"&amp;$DF39,$B39:$Y39)+SUMIF($AD$3:$BA$3,"&gt;="&amp;$DG39,$B39:$Y39)),
IF(AM$3=$DF39+'Model Setup'!$C$7,SUMIF($AD$3:$BA$3,"="&amp;$DF39+'Model Setup'!$C$7,$B39:$Y39)+'Model Setup'!$C$8*(SUMIF($AD$3:$BA$3,"&lt;"&amp;$DF39,$B39:$Y39)+SUMIF($AD$3:$BA$3,"&gt;="&amp;$DG39,$B39:$Y39)),
IF(AM$3=$DF39+'Model Setup'!$D$7,SUMIF($AD$3:$BA$3,"="&amp;$DF39+'Model Setup'!$D$7,$B39:$Y39)+'Model Setup'!$D$8*(SUMIF($AD$3:$BA$3,"&lt;"&amp;$DF39,$B39:$Y39)+SUMIF($AD$3:$BA$3,"&gt;="&amp;$DG39,$B39:$Y39)),
IF(AM$3=$DF39+'Model Setup'!$E$7,SUMIF($AD$3:$BA$3,"="&amp;$DF39+'Model Setup'!$E$7,$B39:$Y39)+'Model Setup'!$E$8*(SUMIF($AD$3:$BA$3,"&lt;"&amp;$DF39,$B39:$Y39)+SUMIF($AD$3:$BA$3,"&gt;="&amp;$DG39,$B39:$Y39)),
IF(AM$3=$DF39+'Model Setup'!$F$7,SUMIF($AD$3:$BA$3,"="&amp;$DF39+'Model Setup'!$F$7,$B39:$Y39)+'Model Setup'!$F$8*(SUMIF($AD$3:$BA$3,"&lt;"&amp;$DF39,$B39:$Y39)+SUMIF($AD$3:$BA$3,"&gt;="&amp;$DG39,$B39:$Y39)),
IF(AM$3=$DF39+'Model Setup'!$G$7,SUMIF($AD$3:$BA$3,"="&amp;$DF39+'Model Setup'!$G$7,$B39:$Y39)+'Model Setup'!$G$8*(SUMIF($AD$3:$BA$3,"&lt;"&amp;$DF39,$B39:$Y39)+SUMIF($AD$3:$BA$3,"&gt;="&amp;$DG39,$B39:$Y39)),
IF(AM$3=$DF39+'Model Setup'!$H$7,SUMIF($AD$3:$BA$3,"="&amp;$DF39+'Model Setup'!$H$7,$B39:$Y39)+'Model Setup'!$H$8*(SUMIF($AD$3:$BA$3,"&lt;"&amp;$DF39,$B39:$Y39)+SUMIF($AD$3:$BA$3,"&gt;="&amp;$DG39,$B39:$Y39)),
IF(AM$3=$DF39+'Model Setup'!$I$7,SUMIF($AD$3:$BA$3,"="&amp;$DF39+'Model Setup'!$I$7,$B39:$Y39)+'Model Setup'!$I$8*(SUMIF($AD$3:$BA$3,"&lt;"&amp;$DF39,$B39:$Y39)+SUMIF($AD$3:$BA$3,"&gt;="&amp;$DG39,$B39:$Y39)),
IF(AM$3=$DF39+'Model Setup'!$J$7,SUMIF($AD$3:$BA$3,"="&amp;$DF39+'Model Setup'!$J$7,$B39:$Y39)+'Model Setup'!$J$8*(SUMIF($AD$3:$BA$3,"&lt;"&amp;$DF39,$B39:$Y39)+SUMIF($AD$3:$BA$3,"&gt;="&amp;$DG39,$B39:$Y39)),
IF(AM$3=$DF39+'Model Setup'!$K$7,SUMIF($AD$3:$BA$3,"="&amp;$DF39+'Model Setup'!$K$7,$B39:$Y39)+'Model Setup'!$K$8*(SUMIF($AD$3:$BA$3,"&lt;"&amp;$DF39,$B39:$Y39)+SUMIF($AD$3:$BA$3,"&gt;="&amp;$DG39,$B39:$Y39)),
IF(AM$3=$DF39+'Model Setup'!$L$7,SUMIF($AD$3:$BA$3,"="&amp;$DF39+'Model Setup'!$L$7,$B39:$Y39)+'Model Setup'!$L$8*(SUMIF($AD$3:$BA$3,"&lt;"&amp;$DF39,$B39:$Y39)+SUMIF($AD$3:$BA$3,"&gt;="&amp;$DG39,$B39:$Y39)),
IF(AM$3=$DF39+'Model Setup'!$M$7,SUMIF($AD$3:$BA$3,"="&amp;$DF39+'Model Setup'!$M$7,$B39:$Y39)+'Model Setup'!$M$8*(SUMIF($AD$3:$BA$3,"&lt;"&amp;$DF39,$B39:$Y39)+SUMIF($AD$3:$BA$3,"&gt;="&amp;$DG39,$B39:$Y39)),
IF(AM$3=$DF39+'Model Setup'!$N$7,SUMIF($AD$3:$BA$3,"="&amp;$DF39+'Model Setup'!$N$7,$B39:$Y39)+'Model Setup'!$N$8*(SUMIF($AD$3:$BA$3,"&lt;"&amp;$DF39,$B39:$Y39)+SUMIF($AD$3:$BA$3,"&gt;="&amp;$DG39,$B39:$Y39)),
IF(AM$3&lt;$DG39,K39,0))))))))))))))),0)</f>
        <v>266</v>
      </c>
      <c r="AN39" s="47">
        <f>ROUND(IF(AN$3&lt;$DF39,0,
IF(AN$3=$DF39+'Model Setup'!$B$7,SUMIF($AD$3:$BA$3,"="&amp;$DF39+'Model Setup'!$B$7,$B39:$Y39)+'Model Setup'!$B$8*(SUMIF($AD$3:$BA$3,"&lt;"&amp;$DF39,$B39:$Y39)+SUMIF($AD$3:$BA$3,"&gt;="&amp;$DG39,$B39:$Y39)),
IF(AN$3=$DF39+'Model Setup'!$C$7,SUMIF($AD$3:$BA$3,"="&amp;$DF39+'Model Setup'!$C$7,$B39:$Y39)+'Model Setup'!$C$8*(SUMIF($AD$3:$BA$3,"&lt;"&amp;$DF39,$B39:$Y39)+SUMIF($AD$3:$BA$3,"&gt;="&amp;$DG39,$B39:$Y39)),
IF(AN$3=$DF39+'Model Setup'!$D$7,SUMIF($AD$3:$BA$3,"="&amp;$DF39+'Model Setup'!$D$7,$B39:$Y39)+'Model Setup'!$D$8*(SUMIF($AD$3:$BA$3,"&lt;"&amp;$DF39,$B39:$Y39)+SUMIF($AD$3:$BA$3,"&gt;="&amp;$DG39,$B39:$Y39)),
IF(AN$3=$DF39+'Model Setup'!$E$7,SUMIF($AD$3:$BA$3,"="&amp;$DF39+'Model Setup'!$E$7,$B39:$Y39)+'Model Setup'!$E$8*(SUMIF($AD$3:$BA$3,"&lt;"&amp;$DF39,$B39:$Y39)+SUMIF($AD$3:$BA$3,"&gt;="&amp;$DG39,$B39:$Y39)),
IF(AN$3=$DF39+'Model Setup'!$F$7,SUMIF($AD$3:$BA$3,"="&amp;$DF39+'Model Setup'!$F$7,$B39:$Y39)+'Model Setup'!$F$8*(SUMIF($AD$3:$BA$3,"&lt;"&amp;$DF39,$B39:$Y39)+SUMIF($AD$3:$BA$3,"&gt;="&amp;$DG39,$B39:$Y39)),
IF(AN$3=$DF39+'Model Setup'!$G$7,SUMIF($AD$3:$BA$3,"="&amp;$DF39+'Model Setup'!$G$7,$B39:$Y39)+'Model Setup'!$G$8*(SUMIF($AD$3:$BA$3,"&lt;"&amp;$DF39,$B39:$Y39)+SUMIF($AD$3:$BA$3,"&gt;="&amp;$DG39,$B39:$Y39)),
IF(AN$3=$DF39+'Model Setup'!$H$7,SUMIF($AD$3:$BA$3,"="&amp;$DF39+'Model Setup'!$H$7,$B39:$Y39)+'Model Setup'!$H$8*(SUMIF($AD$3:$BA$3,"&lt;"&amp;$DF39,$B39:$Y39)+SUMIF($AD$3:$BA$3,"&gt;="&amp;$DG39,$B39:$Y39)),
IF(AN$3=$DF39+'Model Setup'!$I$7,SUMIF($AD$3:$BA$3,"="&amp;$DF39+'Model Setup'!$I$7,$B39:$Y39)+'Model Setup'!$I$8*(SUMIF($AD$3:$BA$3,"&lt;"&amp;$DF39,$B39:$Y39)+SUMIF($AD$3:$BA$3,"&gt;="&amp;$DG39,$B39:$Y39)),
IF(AN$3=$DF39+'Model Setup'!$J$7,SUMIF($AD$3:$BA$3,"="&amp;$DF39+'Model Setup'!$J$7,$B39:$Y39)+'Model Setup'!$J$8*(SUMIF($AD$3:$BA$3,"&lt;"&amp;$DF39,$B39:$Y39)+SUMIF($AD$3:$BA$3,"&gt;="&amp;$DG39,$B39:$Y39)),
IF(AN$3=$DF39+'Model Setup'!$K$7,SUMIF($AD$3:$BA$3,"="&amp;$DF39+'Model Setup'!$K$7,$B39:$Y39)+'Model Setup'!$K$8*(SUMIF($AD$3:$BA$3,"&lt;"&amp;$DF39,$B39:$Y39)+SUMIF($AD$3:$BA$3,"&gt;="&amp;$DG39,$B39:$Y39)),
IF(AN$3=$DF39+'Model Setup'!$L$7,SUMIF($AD$3:$BA$3,"="&amp;$DF39+'Model Setup'!$L$7,$B39:$Y39)+'Model Setup'!$L$8*(SUMIF($AD$3:$BA$3,"&lt;"&amp;$DF39,$B39:$Y39)+SUMIF($AD$3:$BA$3,"&gt;="&amp;$DG39,$B39:$Y39)),
IF(AN$3=$DF39+'Model Setup'!$M$7,SUMIF($AD$3:$BA$3,"="&amp;$DF39+'Model Setup'!$M$7,$B39:$Y39)+'Model Setup'!$M$8*(SUMIF($AD$3:$BA$3,"&lt;"&amp;$DF39,$B39:$Y39)+SUMIF($AD$3:$BA$3,"&gt;="&amp;$DG39,$B39:$Y39)),
IF(AN$3=$DF39+'Model Setup'!$N$7,SUMIF($AD$3:$BA$3,"="&amp;$DF39+'Model Setup'!$N$7,$B39:$Y39)+'Model Setup'!$N$8*(SUMIF($AD$3:$BA$3,"&lt;"&amp;$DF39,$B39:$Y39)+SUMIF($AD$3:$BA$3,"&gt;="&amp;$DG39,$B39:$Y39)),
IF(AN$3&lt;$DG39,L39,0))))))))))))))),0)</f>
        <v>258</v>
      </c>
      <c r="AO39" s="47">
        <f>ROUND(IF(AO$3&lt;$DF39,0,
IF(AO$3=$DF39+'Model Setup'!$B$7,SUMIF($AD$3:$BA$3,"="&amp;$DF39+'Model Setup'!$B$7,$B39:$Y39)+'Model Setup'!$B$8*(SUMIF($AD$3:$BA$3,"&lt;"&amp;$DF39,$B39:$Y39)+SUMIF($AD$3:$BA$3,"&gt;="&amp;$DG39,$B39:$Y39)),
IF(AO$3=$DF39+'Model Setup'!$C$7,SUMIF($AD$3:$BA$3,"="&amp;$DF39+'Model Setup'!$C$7,$B39:$Y39)+'Model Setup'!$C$8*(SUMIF($AD$3:$BA$3,"&lt;"&amp;$DF39,$B39:$Y39)+SUMIF($AD$3:$BA$3,"&gt;="&amp;$DG39,$B39:$Y39)),
IF(AO$3=$DF39+'Model Setup'!$D$7,SUMIF($AD$3:$BA$3,"="&amp;$DF39+'Model Setup'!$D$7,$B39:$Y39)+'Model Setup'!$D$8*(SUMIF($AD$3:$BA$3,"&lt;"&amp;$DF39,$B39:$Y39)+SUMIF($AD$3:$BA$3,"&gt;="&amp;$DG39,$B39:$Y39)),
IF(AO$3=$DF39+'Model Setup'!$E$7,SUMIF($AD$3:$BA$3,"="&amp;$DF39+'Model Setup'!$E$7,$B39:$Y39)+'Model Setup'!$E$8*(SUMIF($AD$3:$BA$3,"&lt;"&amp;$DF39,$B39:$Y39)+SUMIF($AD$3:$BA$3,"&gt;="&amp;$DG39,$B39:$Y39)),
IF(AO$3=$DF39+'Model Setup'!$F$7,SUMIF($AD$3:$BA$3,"="&amp;$DF39+'Model Setup'!$F$7,$B39:$Y39)+'Model Setup'!$F$8*(SUMIF($AD$3:$BA$3,"&lt;"&amp;$DF39,$B39:$Y39)+SUMIF($AD$3:$BA$3,"&gt;="&amp;$DG39,$B39:$Y39)),
IF(AO$3=$DF39+'Model Setup'!$G$7,SUMIF($AD$3:$BA$3,"="&amp;$DF39+'Model Setup'!$G$7,$B39:$Y39)+'Model Setup'!$G$8*(SUMIF($AD$3:$BA$3,"&lt;"&amp;$DF39,$B39:$Y39)+SUMIF($AD$3:$BA$3,"&gt;="&amp;$DG39,$B39:$Y39)),
IF(AO$3=$DF39+'Model Setup'!$H$7,SUMIF($AD$3:$BA$3,"="&amp;$DF39+'Model Setup'!$H$7,$B39:$Y39)+'Model Setup'!$H$8*(SUMIF($AD$3:$BA$3,"&lt;"&amp;$DF39,$B39:$Y39)+SUMIF($AD$3:$BA$3,"&gt;="&amp;$DG39,$B39:$Y39)),
IF(AO$3=$DF39+'Model Setup'!$I$7,SUMIF($AD$3:$BA$3,"="&amp;$DF39+'Model Setup'!$I$7,$B39:$Y39)+'Model Setup'!$I$8*(SUMIF($AD$3:$BA$3,"&lt;"&amp;$DF39,$B39:$Y39)+SUMIF($AD$3:$BA$3,"&gt;="&amp;$DG39,$B39:$Y39)),
IF(AO$3=$DF39+'Model Setup'!$J$7,SUMIF($AD$3:$BA$3,"="&amp;$DF39+'Model Setup'!$J$7,$B39:$Y39)+'Model Setup'!$J$8*(SUMIF($AD$3:$BA$3,"&lt;"&amp;$DF39,$B39:$Y39)+SUMIF($AD$3:$BA$3,"&gt;="&amp;$DG39,$B39:$Y39)),
IF(AO$3=$DF39+'Model Setup'!$K$7,SUMIF($AD$3:$BA$3,"="&amp;$DF39+'Model Setup'!$K$7,$B39:$Y39)+'Model Setup'!$K$8*(SUMIF($AD$3:$BA$3,"&lt;"&amp;$DF39,$B39:$Y39)+SUMIF($AD$3:$BA$3,"&gt;="&amp;$DG39,$B39:$Y39)),
IF(AO$3=$DF39+'Model Setup'!$L$7,SUMIF($AD$3:$BA$3,"="&amp;$DF39+'Model Setup'!$L$7,$B39:$Y39)+'Model Setup'!$L$8*(SUMIF($AD$3:$BA$3,"&lt;"&amp;$DF39,$B39:$Y39)+SUMIF($AD$3:$BA$3,"&gt;="&amp;$DG39,$B39:$Y39)),
IF(AO$3=$DF39+'Model Setup'!$M$7,SUMIF($AD$3:$BA$3,"="&amp;$DF39+'Model Setup'!$M$7,$B39:$Y39)+'Model Setup'!$M$8*(SUMIF($AD$3:$BA$3,"&lt;"&amp;$DF39,$B39:$Y39)+SUMIF($AD$3:$BA$3,"&gt;="&amp;$DG39,$B39:$Y39)),
IF(AO$3=$DF39+'Model Setup'!$N$7,SUMIF($AD$3:$BA$3,"="&amp;$DF39+'Model Setup'!$N$7,$B39:$Y39)+'Model Setup'!$N$8*(SUMIF($AD$3:$BA$3,"&lt;"&amp;$DF39,$B39:$Y39)+SUMIF($AD$3:$BA$3,"&gt;="&amp;$DG39,$B39:$Y39)),
IF(AO$3&lt;$DG39,M39,0))))))))))))))),0)</f>
        <v>207</v>
      </c>
      <c r="AP39" s="47">
        <f>ROUND(IF(AP$3&lt;$DF39,0,
IF(AP$3=$DF39+'Model Setup'!$B$7,SUMIF($AD$3:$BA$3,"="&amp;$DF39+'Model Setup'!$B$7,$B39:$Y39)+'Model Setup'!$B$8*(SUMIF($AD$3:$BA$3,"&lt;"&amp;$DF39,$B39:$Y39)+SUMIF($AD$3:$BA$3,"&gt;="&amp;$DG39,$B39:$Y39)),
IF(AP$3=$DF39+'Model Setup'!$C$7,SUMIF($AD$3:$BA$3,"="&amp;$DF39+'Model Setup'!$C$7,$B39:$Y39)+'Model Setup'!$C$8*(SUMIF($AD$3:$BA$3,"&lt;"&amp;$DF39,$B39:$Y39)+SUMIF($AD$3:$BA$3,"&gt;="&amp;$DG39,$B39:$Y39)),
IF(AP$3=$DF39+'Model Setup'!$D$7,SUMIF($AD$3:$BA$3,"="&amp;$DF39+'Model Setup'!$D$7,$B39:$Y39)+'Model Setup'!$D$8*(SUMIF($AD$3:$BA$3,"&lt;"&amp;$DF39,$B39:$Y39)+SUMIF($AD$3:$BA$3,"&gt;="&amp;$DG39,$B39:$Y39)),
IF(AP$3=$DF39+'Model Setup'!$E$7,SUMIF($AD$3:$BA$3,"="&amp;$DF39+'Model Setup'!$E$7,$B39:$Y39)+'Model Setup'!$E$8*(SUMIF($AD$3:$BA$3,"&lt;"&amp;$DF39,$B39:$Y39)+SUMIF($AD$3:$BA$3,"&gt;="&amp;$DG39,$B39:$Y39)),
IF(AP$3=$DF39+'Model Setup'!$F$7,SUMIF($AD$3:$BA$3,"="&amp;$DF39+'Model Setup'!$F$7,$B39:$Y39)+'Model Setup'!$F$8*(SUMIF($AD$3:$BA$3,"&lt;"&amp;$DF39,$B39:$Y39)+SUMIF($AD$3:$BA$3,"&gt;="&amp;$DG39,$B39:$Y39)),
IF(AP$3=$DF39+'Model Setup'!$G$7,SUMIF($AD$3:$BA$3,"="&amp;$DF39+'Model Setup'!$G$7,$B39:$Y39)+'Model Setup'!$G$8*(SUMIF($AD$3:$BA$3,"&lt;"&amp;$DF39,$B39:$Y39)+SUMIF($AD$3:$BA$3,"&gt;="&amp;$DG39,$B39:$Y39)),
IF(AP$3=$DF39+'Model Setup'!$H$7,SUMIF($AD$3:$BA$3,"="&amp;$DF39+'Model Setup'!$H$7,$B39:$Y39)+'Model Setup'!$H$8*(SUMIF($AD$3:$BA$3,"&lt;"&amp;$DF39,$B39:$Y39)+SUMIF($AD$3:$BA$3,"&gt;="&amp;$DG39,$B39:$Y39)),
IF(AP$3=$DF39+'Model Setup'!$I$7,SUMIF($AD$3:$BA$3,"="&amp;$DF39+'Model Setup'!$I$7,$B39:$Y39)+'Model Setup'!$I$8*(SUMIF($AD$3:$BA$3,"&lt;"&amp;$DF39,$B39:$Y39)+SUMIF($AD$3:$BA$3,"&gt;="&amp;$DG39,$B39:$Y39)),
IF(AP$3=$DF39+'Model Setup'!$J$7,SUMIF($AD$3:$BA$3,"="&amp;$DF39+'Model Setup'!$J$7,$B39:$Y39)+'Model Setup'!$J$8*(SUMIF($AD$3:$BA$3,"&lt;"&amp;$DF39,$B39:$Y39)+SUMIF($AD$3:$BA$3,"&gt;="&amp;$DG39,$B39:$Y39)),
IF(AP$3=$DF39+'Model Setup'!$K$7,SUMIF($AD$3:$BA$3,"="&amp;$DF39+'Model Setup'!$K$7,$B39:$Y39)+'Model Setup'!$K$8*(SUMIF($AD$3:$BA$3,"&lt;"&amp;$DF39,$B39:$Y39)+SUMIF($AD$3:$BA$3,"&gt;="&amp;$DG39,$B39:$Y39)),
IF(AP$3=$DF39+'Model Setup'!$L$7,SUMIF($AD$3:$BA$3,"="&amp;$DF39+'Model Setup'!$L$7,$B39:$Y39)+'Model Setup'!$L$8*(SUMIF($AD$3:$BA$3,"&lt;"&amp;$DF39,$B39:$Y39)+SUMIF($AD$3:$BA$3,"&gt;="&amp;$DG39,$B39:$Y39)),
IF(AP$3=$DF39+'Model Setup'!$M$7,SUMIF($AD$3:$BA$3,"="&amp;$DF39+'Model Setup'!$M$7,$B39:$Y39)+'Model Setup'!$M$8*(SUMIF($AD$3:$BA$3,"&lt;"&amp;$DF39,$B39:$Y39)+SUMIF($AD$3:$BA$3,"&gt;="&amp;$DG39,$B39:$Y39)),
IF(AP$3=$DF39+'Model Setup'!$N$7,SUMIF($AD$3:$BA$3,"="&amp;$DF39+'Model Setup'!$N$7,$B39:$Y39)+'Model Setup'!$N$8*(SUMIF($AD$3:$BA$3,"&lt;"&amp;$DF39,$B39:$Y39)+SUMIF($AD$3:$BA$3,"&gt;="&amp;$DG39,$B39:$Y39)),
IF(AP$3&lt;$DG39,N39,0))))))))))))))),0)</f>
        <v>208</v>
      </c>
      <c r="AQ39" s="47">
        <f>ROUND(IF(AQ$3&lt;$DF39,0,
IF(AQ$3=$DF39+'Model Setup'!$B$7,SUMIF($AD$3:$BA$3,"="&amp;$DF39+'Model Setup'!$B$7,$B39:$Y39)+'Model Setup'!$B$8*(SUMIF($AD$3:$BA$3,"&lt;"&amp;$DF39,$B39:$Y39)+SUMIF($AD$3:$BA$3,"&gt;="&amp;$DG39,$B39:$Y39)),
IF(AQ$3=$DF39+'Model Setup'!$C$7,SUMIF($AD$3:$BA$3,"="&amp;$DF39+'Model Setup'!$C$7,$B39:$Y39)+'Model Setup'!$C$8*(SUMIF($AD$3:$BA$3,"&lt;"&amp;$DF39,$B39:$Y39)+SUMIF($AD$3:$BA$3,"&gt;="&amp;$DG39,$B39:$Y39)),
IF(AQ$3=$DF39+'Model Setup'!$D$7,SUMIF($AD$3:$BA$3,"="&amp;$DF39+'Model Setup'!$D$7,$B39:$Y39)+'Model Setup'!$D$8*(SUMIF($AD$3:$BA$3,"&lt;"&amp;$DF39,$B39:$Y39)+SUMIF($AD$3:$BA$3,"&gt;="&amp;$DG39,$B39:$Y39)),
IF(AQ$3=$DF39+'Model Setup'!$E$7,SUMIF($AD$3:$BA$3,"="&amp;$DF39+'Model Setup'!$E$7,$B39:$Y39)+'Model Setup'!$E$8*(SUMIF($AD$3:$BA$3,"&lt;"&amp;$DF39,$B39:$Y39)+SUMIF($AD$3:$BA$3,"&gt;="&amp;$DG39,$B39:$Y39)),
IF(AQ$3=$DF39+'Model Setup'!$F$7,SUMIF($AD$3:$BA$3,"="&amp;$DF39+'Model Setup'!$F$7,$B39:$Y39)+'Model Setup'!$F$8*(SUMIF($AD$3:$BA$3,"&lt;"&amp;$DF39,$B39:$Y39)+SUMIF($AD$3:$BA$3,"&gt;="&amp;$DG39,$B39:$Y39)),
IF(AQ$3=$DF39+'Model Setup'!$G$7,SUMIF($AD$3:$BA$3,"="&amp;$DF39+'Model Setup'!$G$7,$B39:$Y39)+'Model Setup'!$G$8*(SUMIF($AD$3:$BA$3,"&lt;"&amp;$DF39,$B39:$Y39)+SUMIF($AD$3:$BA$3,"&gt;="&amp;$DG39,$B39:$Y39)),
IF(AQ$3=$DF39+'Model Setup'!$H$7,SUMIF($AD$3:$BA$3,"="&amp;$DF39+'Model Setup'!$H$7,$B39:$Y39)+'Model Setup'!$H$8*(SUMIF($AD$3:$BA$3,"&lt;"&amp;$DF39,$B39:$Y39)+SUMIF($AD$3:$BA$3,"&gt;="&amp;$DG39,$B39:$Y39)),
IF(AQ$3=$DF39+'Model Setup'!$I$7,SUMIF($AD$3:$BA$3,"="&amp;$DF39+'Model Setup'!$I$7,$B39:$Y39)+'Model Setup'!$I$8*(SUMIF($AD$3:$BA$3,"&lt;"&amp;$DF39,$B39:$Y39)+SUMIF($AD$3:$BA$3,"&gt;="&amp;$DG39,$B39:$Y39)),
IF(AQ$3=$DF39+'Model Setup'!$J$7,SUMIF($AD$3:$BA$3,"="&amp;$DF39+'Model Setup'!$J$7,$B39:$Y39)+'Model Setup'!$J$8*(SUMIF($AD$3:$BA$3,"&lt;"&amp;$DF39,$B39:$Y39)+SUMIF($AD$3:$BA$3,"&gt;="&amp;$DG39,$B39:$Y39)),
IF(AQ$3=$DF39+'Model Setup'!$K$7,SUMIF($AD$3:$BA$3,"="&amp;$DF39+'Model Setup'!$K$7,$B39:$Y39)+'Model Setup'!$K$8*(SUMIF($AD$3:$BA$3,"&lt;"&amp;$DF39,$B39:$Y39)+SUMIF($AD$3:$BA$3,"&gt;="&amp;$DG39,$B39:$Y39)),
IF(AQ$3=$DF39+'Model Setup'!$L$7,SUMIF($AD$3:$BA$3,"="&amp;$DF39+'Model Setup'!$L$7,$B39:$Y39)+'Model Setup'!$L$8*(SUMIF($AD$3:$BA$3,"&lt;"&amp;$DF39,$B39:$Y39)+SUMIF($AD$3:$BA$3,"&gt;="&amp;$DG39,$B39:$Y39)),
IF(AQ$3=$DF39+'Model Setup'!$M$7,SUMIF($AD$3:$BA$3,"="&amp;$DF39+'Model Setup'!$M$7,$B39:$Y39)+'Model Setup'!$M$8*(SUMIF($AD$3:$BA$3,"&lt;"&amp;$DF39,$B39:$Y39)+SUMIF($AD$3:$BA$3,"&gt;="&amp;$DG39,$B39:$Y39)),
IF(AQ$3=$DF39+'Model Setup'!$N$7,SUMIF($AD$3:$BA$3,"="&amp;$DF39+'Model Setup'!$N$7,$B39:$Y39)+'Model Setup'!$N$8*(SUMIF($AD$3:$BA$3,"&lt;"&amp;$DF39,$B39:$Y39)+SUMIF($AD$3:$BA$3,"&gt;="&amp;$DG39,$B39:$Y39)),
IF(AQ$3&lt;$DG39,O39,0))))))))))))))),0)</f>
        <v>146</v>
      </c>
      <c r="AR39" s="47">
        <f>ROUND(IF(AR$3&lt;$DF39,0,
IF(AR$3=$DF39+'Model Setup'!$B$7,SUMIF($AD$3:$BA$3,"="&amp;$DF39+'Model Setup'!$B$7,$B39:$Y39)+'Model Setup'!$B$8*(SUMIF($AD$3:$BA$3,"&lt;"&amp;$DF39,$B39:$Y39)+SUMIF($AD$3:$BA$3,"&gt;="&amp;$DG39,$B39:$Y39)),
IF(AR$3=$DF39+'Model Setup'!$C$7,SUMIF($AD$3:$BA$3,"="&amp;$DF39+'Model Setup'!$C$7,$B39:$Y39)+'Model Setup'!$C$8*(SUMIF($AD$3:$BA$3,"&lt;"&amp;$DF39,$B39:$Y39)+SUMIF($AD$3:$BA$3,"&gt;="&amp;$DG39,$B39:$Y39)),
IF(AR$3=$DF39+'Model Setup'!$D$7,SUMIF($AD$3:$BA$3,"="&amp;$DF39+'Model Setup'!$D$7,$B39:$Y39)+'Model Setup'!$D$8*(SUMIF($AD$3:$BA$3,"&lt;"&amp;$DF39,$B39:$Y39)+SUMIF($AD$3:$BA$3,"&gt;="&amp;$DG39,$B39:$Y39)),
IF(AR$3=$DF39+'Model Setup'!$E$7,SUMIF($AD$3:$BA$3,"="&amp;$DF39+'Model Setup'!$E$7,$B39:$Y39)+'Model Setup'!$E$8*(SUMIF($AD$3:$BA$3,"&lt;"&amp;$DF39,$B39:$Y39)+SUMIF($AD$3:$BA$3,"&gt;="&amp;$DG39,$B39:$Y39)),
IF(AR$3=$DF39+'Model Setup'!$F$7,SUMIF($AD$3:$BA$3,"="&amp;$DF39+'Model Setup'!$F$7,$B39:$Y39)+'Model Setup'!$F$8*(SUMIF($AD$3:$BA$3,"&lt;"&amp;$DF39,$B39:$Y39)+SUMIF($AD$3:$BA$3,"&gt;="&amp;$DG39,$B39:$Y39)),
IF(AR$3=$DF39+'Model Setup'!$G$7,SUMIF($AD$3:$BA$3,"="&amp;$DF39+'Model Setup'!$G$7,$B39:$Y39)+'Model Setup'!$G$8*(SUMIF($AD$3:$BA$3,"&lt;"&amp;$DF39,$B39:$Y39)+SUMIF($AD$3:$BA$3,"&gt;="&amp;$DG39,$B39:$Y39)),
IF(AR$3=$DF39+'Model Setup'!$H$7,SUMIF($AD$3:$BA$3,"="&amp;$DF39+'Model Setup'!$H$7,$B39:$Y39)+'Model Setup'!$H$8*(SUMIF($AD$3:$BA$3,"&lt;"&amp;$DF39,$B39:$Y39)+SUMIF($AD$3:$BA$3,"&gt;="&amp;$DG39,$B39:$Y39)),
IF(AR$3=$DF39+'Model Setup'!$I$7,SUMIF($AD$3:$BA$3,"="&amp;$DF39+'Model Setup'!$I$7,$B39:$Y39)+'Model Setup'!$I$8*(SUMIF($AD$3:$BA$3,"&lt;"&amp;$DF39,$B39:$Y39)+SUMIF($AD$3:$BA$3,"&gt;="&amp;$DG39,$B39:$Y39)),
IF(AR$3=$DF39+'Model Setup'!$J$7,SUMIF($AD$3:$BA$3,"="&amp;$DF39+'Model Setup'!$J$7,$B39:$Y39)+'Model Setup'!$J$8*(SUMIF($AD$3:$BA$3,"&lt;"&amp;$DF39,$B39:$Y39)+SUMIF($AD$3:$BA$3,"&gt;="&amp;$DG39,$B39:$Y39)),
IF(AR$3=$DF39+'Model Setup'!$K$7,SUMIF($AD$3:$BA$3,"="&amp;$DF39+'Model Setup'!$K$7,$B39:$Y39)+'Model Setup'!$K$8*(SUMIF($AD$3:$BA$3,"&lt;"&amp;$DF39,$B39:$Y39)+SUMIF($AD$3:$BA$3,"&gt;="&amp;$DG39,$B39:$Y39)),
IF(AR$3=$DF39+'Model Setup'!$L$7,SUMIF($AD$3:$BA$3,"="&amp;$DF39+'Model Setup'!$L$7,$B39:$Y39)+'Model Setup'!$L$8*(SUMIF($AD$3:$BA$3,"&lt;"&amp;$DF39,$B39:$Y39)+SUMIF($AD$3:$BA$3,"&gt;="&amp;$DG39,$B39:$Y39)),
IF(AR$3=$DF39+'Model Setup'!$M$7,SUMIF($AD$3:$BA$3,"="&amp;$DF39+'Model Setup'!$M$7,$B39:$Y39)+'Model Setup'!$M$8*(SUMIF($AD$3:$BA$3,"&lt;"&amp;$DF39,$B39:$Y39)+SUMIF($AD$3:$BA$3,"&gt;="&amp;$DG39,$B39:$Y39)),
IF(AR$3=$DF39+'Model Setup'!$N$7,SUMIF($AD$3:$BA$3,"="&amp;$DF39+'Model Setup'!$N$7,$B39:$Y39)+'Model Setup'!$N$8*(SUMIF($AD$3:$BA$3,"&lt;"&amp;$DF39,$B39:$Y39)+SUMIF($AD$3:$BA$3,"&gt;="&amp;$DG39,$B39:$Y39)),
IF(AR$3&lt;$DG39,P39,0))))))))))))))),0)</f>
        <v>109</v>
      </c>
      <c r="AS39" s="47">
        <f>ROUND(IF(AS$3&lt;$DF39,0,
IF(AS$3=$DF39+'Model Setup'!$B$7,SUMIF($AD$3:$BA$3,"="&amp;$DF39+'Model Setup'!$B$7,$B39:$Y39)+'Model Setup'!$B$8*(SUMIF($AD$3:$BA$3,"&lt;"&amp;$DF39,$B39:$Y39)+SUMIF($AD$3:$BA$3,"&gt;="&amp;$DG39,$B39:$Y39)),
IF(AS$3=$DF39+'Model Setup'!$C$7,SUMIF($AD$3:$BA$3,"="&amp;$DF39+'Model Setup'!$C$7,$B39:$Y39)+'Model Setup'!$C$8*(SUMIF($AD$3:$BA$3,"&lt;"&amp;$DF39,$B39:$Y39)+SUMIF($AD$3:$BA$3,"&gt;="&amp;$DG39,$B39:$Y39)),
IF(AS$3=$DF39+'Model Setup'!$D$7,SUMIF($AD$3:$BA$3,"="&amp;$DF39+'Model Setup'!$D$7,$B39:$Y39)+'Model Setup'!$D$8*(SUMIF($AD$3:$BA$3,"&lt;"&amp;$DF39,$B39:$Y39)+SUMIF($AD$3:$BA$3,"&gt;="&amp;$DG39,$B39:$Y39)),
IF(AS$3=$DF39+'Model Setup'!$E$7,SUMIF($AD$3:$BA$3,"="&amp;$DF39+'Model Setup'!$E$7,$B39:$Y39)+'Model Setup'!$E$8*(SUMIF($AD$3:$BA$3,"&lt;"&amp;$DF39,$B39:$Y39)+SUMIF($AD$3:$BA$3,"&gt;="&amp;$DG39,$B39:$Y39)),
IF(AS$3=$DF39+'Model Setup'!$F$7,SUMIF($AD$3:$BA$3,"="&amp;$DF39+'Model Setup'!$F$7,$B39:$Y39)+'Model Setup'!$F$8*(SUMIF($AD$3:$BA$3,"&lt;"&amp;$DF39,$B39:$Y39)+SUMIF($AD$3:$BA$3,"&gt;="&amp;$DG39,$B39:$Y39)),
IF(AS$3=$DF39+'Model Setup'!$G$7,SUMIF($AD$3:$BA$3,"="&amp;$DF39+'Model Setup'!$G$7,$B39:$Y39)+'Model Setup'!$G$8*(SUMIF($AD$3:$BA$3,"&lt;"&amp;$DF39,$B39:$Y39)+SUMIF($AD$3:$BA$3,"&gt;="&amp;$DG39,$B39:$Y39)),
IF(AS$3=$DF39+'Model Setup'!$H$7,SUMIF($AD$3:$BA$3,"="&amp;$DF39+'Model Setup'!$H$7,$B39:$Y39)+'Model Setup'!$H$8*(SUMIF($AD$3:$BA$3,"&lt;"&amp;$DF39,$B39:$Y39)+SUMIF($AD$3:$BA$3,"&gt;="&amp;$DG39,$B39:$Y39)),
IF(AS$3=$DF39+'Model Setup'!$I$7,SUMIF($AD$3:$BA$3,"="&amp;$DF39+'Model Setup'!$I$7,$B39:$Y39)+'Model Setup'!$I$8*(SUMIF($AD$3:$BA$3,"&lt;"&amp;$DF39,$B39:$Y39)+SUMIF($AD$3:$BA$3,"&gt;="&amp;$DG39,$B39:$Y39)),
IF(AS$3=$DF39+'Model Setup'!$J$7,SUMIF($AD$3:$BA$3,"="&amp;$DF39+'Model Setup'!$J$7,$B39:$Y39)+'Model Setup'!$J$8*(SUMIF($AD$3:$BA$3,"&lt;"&amp;$DF39,$B39:$Y39)+SUMIF($AD$3:$BA$3,"&gt;="&amp;$DG39,$B39:$Y39)),
IF(AS$3=$DF39+'Model Setup'!$K$7,SUMIF($AD$3:$BA$3,"="&amp;$DF39+'Model Setup'!$K$7,$B39:$Y39)+'Model Setup'!$K$8*(SUMIF($AD$3:$BA$3,"&lt;"&amp;$DF39,$B39:$Y39)+SUMIF($AD$3:$BA$3,"&gt;="&amp;$DG39,$B39:$Y39)),
IF(AS$3=$DF39+'Model Setup'!$L$7,SUMIF($AD$3:$BA$3,"="&amp;$DF39+'Model Setup'!$L$7,$B39:$Y39)+'Model Setup'!$L$8*(SUMIF($AD$3:$BA$3,"&lt;"&amp;$DF39,$B39:$Y39)+SUMIF($AD$3:$BA$3,"&gt;="&amp;$DG39,$B39:$Y39)),
IF(AS$3=$DF39+'Model Setup'!$M$7,SUMIF($AD$3:$BA$3,"="&amp;$DF39+'Model Setup'!$M$7,$B39:$Y39)+'Model Setup'!$M$8*(SUMIF($AD$3:$BA$3,"&lt;"&amp;$DF39,$B39:$Y39)+SUMIF($AD$3:$BA$3,"&gt;="&amp;$DG39,$B39:$Y39)),
IF(AS$3=$DF39+'Model Setup'!$N$7,SUMIF($AD$3:$BA$3,"="&amp;$DF39+'Model Setup'!$N$7,$B39:$Y39)+'Model Setup'!$N$8*(SUMIF($AD$3:$BA$3,"&lt;"&amp;$DF39,$B39:$Y39)+SUMIF($AD$3:$BA$3,"&gt;="&amp;$DG39,$B39:$Y39)),
IF(AS$3&lt;$DG39,Q39,0))))))))))))))),0)</f>
        <v>144</v>
      </c>
      <c r="AT39" s="47">
        <f>ROUND(IF(AT$3&lt;$DF39,0,
IF(AT$3=$DF39+'Model Setup'!$B$7,SUMIF($AD$3:$BA$3,"="&amp;$DF39+'Model Setup'!$B$7,$B39:$Y39)+'Model Setup'!$B$8*(SUMIF($AD$3:$BA$3,"&lt;"&amp;$DF39,$B39:$Y39)+SUMIF($AD$3:$BA$3,"&gt;="&amp;$DG39,$B39:$Y39)),
IF(AT$3=$DF39+'Model Setup'!$C$7,SUMIF($AD$3:$BA$3,"="&amp;$DF39+'Model Setup'!$C$7,$B39:$Y39)+'Model Setup'!$C$8*(SUMIF($AD$3:$BA$3,"&lt;"&amp;$DF39,$B39:$Y39)+SUMIF($AD$3:$BA$3,"&gt;="&amp;$DG39,$B39:$Y39)),
IF(AT$3=$DF39+'Model Setup'!$D$7,SUMIF($AD$3:$BA$3,"="&amp;$DF39+'Model Setup'!$D$7,$B39:$Y39)+'Model Setup'!$D$8*(SUMIF($AD$3:$BA$3,"&lt;"&amp;$DF39,$B39:$Y39)+SUMIF($AD$3:$BA$3,"&gt;="&amp;$DG39,$B39:$Y39)),
IF(AT$3=$DF39+'Model Setup'!$E$7,SUMIF($AD$3:$BA$3,"="&amp;$DF39+'Model Setup'!$E$7,$B39:$Y39)+'Model Setup'!$E$8*(SUMIF($AD$3:$BA$3,"&lt;"&amp;$DF39,$B39:$Y39)+SUMIF($AD$3:$BA$3,"&gt;="&amp;$DG39,$B39:$Y39)),
IF(AT$3=$DF39+'Model Setup'!$F$7,SUMIF($AD$3:$BA$3,"="&amp;$DF39+'Model Setup'!$F$7,$B39:$Y39)+'Model Setup'!$F$8*(SUMIF($AD$3:$BA$3,"&lt;"&amp;$DF39,$B39:$Y39)+SUMIF($AD$3:$BA$3,"&gt;="&amp;$DG39,$B39:$Y39)),
IF(AT$3=$DF39+'Model Setup'!$G$7,SUMIF($AD$3:$BA$3,"="&amp;$DF39+'Model Setup'!$G$7,$B39:$Y39)+'Model Setup'!$G$8*(SUMIF($AD$3:$BA$3,"&lt;"&amp;$DF39,$B39:$Y39)+SUMIF($AD$3:$BA$3,"&gt;="&amp;$DG39,$B39:$Y39)),
IF(AT$3=$DF39+'Model Setup'!$H$7,SUMIF($AD$3:$BA$3,"="&amp;$DF39+'Model Setup'!$H$7,$B39:$Y39)+'Model Setup'!$H$8*(SUMIF($AD$3:$BA$3,"&lt;"&amp;$DF39,$B39:$Y39)+SUMIF($AD$3:$BA$3,"&gt;="&amp;$DG39,$B39:$Y39)),
IF(AT$3=$DF39+'Model Setup'!$I$7,SUMIF($AD$3:$BA$3,"="&amp;$DF39+'Model Setup'!$I$7,$B39:$Y39)+'Model Setup'!$I$8*(SUMIF($AD$3:$BA$3,"&lt;"&amp;$DF39,$B39:$Y39)+SUMIF($AD$3:$BA$3,"&gt;="&amp;$DG39,$B39:$Y39)),
IF(AT$3=$DF39+'Model Setup'!$J$7,SUMIF($AD$3:$BA$3,"="&amp;$DF39+'Model Setup'!$J$7,$B39:$Y39)+'Model Setup'!$J$8*(SUMIF($AD$3:$BA$3,"&lt;"&amp;$DF39,$B39:$Y39)+SUMIF($AD$3:$BA$3,"&gt;="&amp;$DG39,$B39:$Y39)),
IF(AT$3=$DF39+'Model Setup'!$K$7,SUMIF($AD$3:$BA$3,"="&amp;$DF39+'Model Setup'!$K$7,$B39:$Y39)+'Model Setup'!$K$8*(SUMIF($AD$3:$BA$3,"&lt;"&amp;$DF39,$B39:$Y39)+SUMIF($AD$3:$BA$3,"&gt;="&amp;$DG39,$B39:$Y39)),
IF(AT$3=$DF39+'Model Setup'!$L$7,SUMIF($AD$3:$BA$3,"="&amp;$DF39+'Model Setup'!$L$7,$B39:$Y39)+'Model Setup'!$L$8*(SUMIF($AD$3:$BA$3,"&lt;"&amp;$DF39,$B39:$Y39)+SUMIF($AD$3:$BA$3,"&gt;="&amp;$DG39,$B39:$Y39)),
IF(AT$3=$DF39+'Model Setup'!$M$7,SUMIF($AD$3:$BA$3,"="&amp;$DF39+'Model Setup'!$M$7,$B39:$Y39)+'Model Setup'!$M$8*(SUMIF($AD$3:$BA$3,"&lt;"&amp;$DF39,$B39:$Y39)+SUMIF($AD$3:$BA$3,"&gt;="&amp;$DG39,$B39:$Y39)),
IF(AT$3=$DF39+'Model Setup'!$N$7,SUMIF($AD$3:$BA$3,"="&amp;$DF39+'Model Setup'!$N$7,$B39:$Y39)+'Model Setup'!$N$8*(SUMIF($AD$3:$BA$3,"&lt;"&amp;$DF39,$B39:$Y39)+SUMIF($AD$3:$BA$3,"&gt;="&amp;$DG39,$B39:$Y39)),
IF(AT$3&lt;$DG39,R39,0))))))))))))))),0)</f>
        <v>151</v>
      </c>
      <c r="AU39" s="47">
        <f>ROUND(IF(AU$3&lt;$DF39,0,
IF(AU$3=$DF39+'Model Setup'!$B$7,SUMIF($AD$3:$BA$3,"="&amp;$DF39+'Model Setup'!$B$7,$B39:$Y39)+'Model Setup'!$B$8*(SUMIF($AD$3:$BA$3,"&lt;"&amp;$DF39,$B39:$Y39)+SUMIF($AD$3:$BA$3,"&gt;="&amp;$DG39,$B39:$Y39)),
IF(AU$3=$DF39+'Model Setup'!$C$7,SUMIF($AD$3:$BA$3,"="&amp;$DF39+'Model Setup'!$C$7,$B39:$Y39)+'Model Setup'!$C$8*(SUMIF($AD$3:$BA$3,"&lt;"&amp;$DF39,$B39:$Y39)+SUMIF($AD$3:$BA$3,"&gt;="&amp;$DG39,$B39:$Y39)),
IF(AU$3=$DF39+'Model Setup'!$D$7,SUMIF($AD$3:$BA$3,"="&amp;$DF39+'Model Setup'!$D$7,$B39:$Y39)+'Model Setup'!$D$8*(SUMIF($AD$3:$BA$3,"&lt;"&amp;$DF39,$B39:$Y39)+SUMIF($AD$3:$BA$3,"&gt;="&amp;$DG39,$B39:$Y39)),
IF(AU$3=$DF39+'Model Setup'!$E$7,SUMIF($AD$3:$BA$3,"="&amp;$DF39+'Model Setup'!$E$7,$B39:$Y39)+'Model Setup'!$E$8*(SUMIF($AD$3:$BA$3,"&lt;"&amp;$DF39,$B39:$Y39)+SUMIF($AD$3:$BA$3,"&gt;="&amp;$DG39,$B39:$Y39)),
IF(AU$3=$DF39+'Model Setup'!$F$7,SUMIF($AD$3:$BA$3,"="&amp;$DF39+'Model Setup'!$F$7,$B39:$Y39)+'Model Setup'!$F$8*(SUMIF($AD$3:$BA$3,"&lt;"&amp;$DF39,$B39:$Y39)+SUMIF($AD$3:$BA$3,"&gt;="&amp;$DG39,$B39:$Y39)),
IF(AU$3=$DF39+'Model Setup'!$G$7,SUMIF($AD$3:$BA$3,"="&amp;$DF39+'Model Setup'!$G$7,$B39:$Y39)+'Model Setup'!$G$8*(SUMIF($AD$3:$BA$3,"&lt;"&amp;$DF39,$B39:$Y39)+SUMIF($AD$3:$BA$3,"&gt;="&amp;$DG39,$B39:$Y39)),
IF(AU$3=$DF39+'Model Setup'!$H$7,SUMIF($AD$3:$BA$3,"="&amp;$DF39+'Model Setup'!$H$7,$B39:$Y39)+'Model Setup'!$H$8*(SUMIF($AD$3:$BA$3,"&lt;"&amp;$DF39,$B39:$Y39)+SUMIF($AD$3:$BA$3,"&gt;="&amp;$DG39,$B39:$Y39)),
IF(AU$3=$DF39+'Model Setup'!$I$7,SUMIF($AD$3:$BA$3,"="&amp;$DF39+'Model Setup'!$I$7,$B39:$Y39)+'Model Setup'!$I$8*(SUMIF($AD$3:$BA$3,"&lt;"&amp;$DF39,$B39:$Y39)+SUMIF($AD$3:$BA$3,"&gt;="&amp;$DG39,$B39:$Y39)),
IF(AU$3=$DF39+'Model Setup'!$J$7,SUMIF($AD$3:$BA$3,"="&amp;$DF39+'Model Setup'!$J$7,$B39:$Y39)+'Model Setup'!$J$8*(SUMIF($AD$3:$BA$3,"&lt;"&amp;$DF39,$B39:$Y39)+SUMIF($AD$3:$BA$3,"&gt;="&amp;$DG39,$B39:$Y39)),
IF(AU$3=$DF39+'Model Setup'!$K$7,SUMIF($AD$3:$BA$3,"="&amp;$DF39+'Model Setup'!$K$7,$B39:$Y39)+'Model Setup'!$K$8*(SUMIF($AD$3:$BA$3,"&lt;"&amp;$DF39,$B39:$Y39)+SUMIF($AD$3:$BA$3,"&gt;="&amp;$DG39,$B39:$Y39)),
IF(AU$3=$DF39+'Model Setup'!$L$7,SUMIF($AD$3:$BA$3,"="&amp;$DF39+'Model Setup'!$L$7,$B39:$Y39)+'Model Setup'!$L$8*(SUMIF($AD$3:$BA$3,"&lt;"&amp;$DF39,$B39:$Y39)+SUMIF($AD$3:$BA$3,"&gt;="&amp;$DG39,$B39:$Y39)),
IF(AU$3=$DF39+'Model Setup'!$M$7,SUMIF($AD$3:$BA$3,"="&amp;$DF39+'Model Setup'!$M$7,$B39:$Y39)+'Model Setup'!$M$8*(SUMIF($AD$3:$BA$3,"&lt;"&amp;$DF39,$B39:$Y39)+SUMIF($AD$3:$BA$3,"&gt;="&amp;$DG39,$B39:$Y39)),
IF(AU$3=$DF39+'Model Setup'!$N$7,SUMIF($AD$3:$BA$3,"="&amp;$DF39+'Model Setup'!$N$7,$B39:$Y39)+'Model Setup'!$N$8*(SUMIF($AD$3:$BA$3,"&lt;"&amp;$DF39,$B39:$Y39)+SUMIF($AD$3:$BA$3,"&gt;="&amp;$DG39,$B39:$Y39)),
IF(AU$3&lt;$DG39,S39,0))))))))))))))),0)</f>
        <v>120</v>
      </c>
      <c r="AV39" s="47">
        <f>ROUND(IF(AV$3&lt;$DF39,0,
IF(AV$3=$DF39+'Model Setup'!$B$7,SUMIF($AD$3:$BA$3,"="&amp;$DF39+'Model Setup'!$B$7,$B39:$Y39)+'Model Setup'!$B$8*(SUMIF($AD$3:$BA$3,"&lt;"&amp;$DF39,$B39:$Y39)+SUMIF($AD$3:$BA$3,"&gt;="&amp;$DG39,$B39:$Y39)),
IF(AV$3=$DF39+'Model Setup'!$C$7,SUMIF($AD$3:$BA$3,"="&amp;$DF39+'Model Setup'!$C$7,$B39:$Y39)+'Model Setup'!$C$8*(SUMIF($AD$3:$BA$3,"&lt;"&amp;$DF39,$B39:$Y39)+SUMIF($AD$3:$BA$3,"&gt;="&amp;$DG39,$B39:$Y39)),
IF(AV$3=$DF39+'Model Setup'!$D$7,SUMIF($AD$3:$BA$3,"="&amp;$DF39+'Model Setup'!$D$7,$B39:$Y39)+'Model Setup'!$D$8*(SUMIF($AD$3:$BA$3,"&lt;"&amp;$DF39,$B39:$Y39)+SUMIF($AD$3:$BA$3,"&gt;="&amp;$DG39,$B39:$Y39)),
IF(AV$3=$DF39+'Model Setup'!$E$7,SUMIF($AD$3:$BA$3,"="&amp;$DF39+'Model Setup'!$E$7,$B39:$Y39)+'Model Setup'!$E$8*(SUMIF($AD$3:$BA$3,"&lt;"&amp;$DF39,$B39:$Y39)+SUMIF($AD$3:$BA$3,"&gt;="&amp;$DG39,$B39:$Y39)),
IF(AV$3=$DF39+'Model Setup'!$F$7,SUMIF($AD$3:$BA$3,"="&amp;$DF39+'Model Setup'!$F$7,$B39:$Y39)+'Model Setup'!$F$8*(SUMIF($AD$3:$BA$3,"&lt;"&amp;$DF39,$B39:$Y39)+SUMIF($AD$3:$BA$3,"&gt;="&amp;$DG39,$B39:$Y39)),
IF(AV$3=$DF39+'Model Setup'!$G$7,SUMIF($AD$3:$BA$3,"="&amp;$DF39+'Model Setup'!$G$7,$B39:$Y39)+'Model Setup'!$G$8*(SUMIF($AD$3:$BA$3,"&lt;"&amp;$DF39,$B39:$Y39)+SUMIF($AD$3:$BA$3,"&gt;="&amp;$DG39,$B39:$Y39)),
IF(AV$3=$DF39+'Model Setup'!$H$7,SUMIF($AD$3:$BA$3,"="&amp;$DF39+'Model Setup'!$H$7,$B39:$Y39)+'Model Setup'!$H$8*(SUMIF($AD$3:$BA$3,"&lt;"&amp;$DF39,$B39:$Y39)+SUMIF($AD$3:$BA$3,"&gt;="&amp;$DG39,$B39:$Y39)),
IF(AV$3=$DF39+'Model Setup'!$I$7,SUMIF($AD$3:$BA$3,"="&amp;$DF39+'Model Setup'!$I$7,$B39:$Y39)+'Model Setup'!$I$8*(SUMIF($AD$3:$BA$3,"&lt;"&amp;$DF39,$B39:$Y39)+SUMIF($AD$3:$BA$3,"&gt;="&amp;$DG39,$B39:$Y39)),
IF(AV$3=$DF39+'Model Setup'!$J$7,SUMIF($AD$3:$BA$3,"="&amp;$DF39+'Model Setup'!$J$7,$B39:$Y39)+'Model Setup'!$J$8*(SUMIF($AD$3:$BA$3,"&lt;"&amp;$DF39,$B39:$Y39)+SUMIF($AD$3:$BA$3,"&gt;="&amp;$DG39,$B39:$Y39)),
IF(AV$3=$DF39+'Model Setup'!$K$7,SUMIF($AD$3:$BA$3,"="&amp;$DF39+'Model Setup'!$K$7,$B39:$Y39)+'Model Setup'!$K$8*(SUMIF($AD$3:$BA$3,"&lt;"&amp;$DF39,$B39:$Y39)+SUMIF($AD$3:$BA$3,"&gt;="&amp;$DG39,$B39:$Y39)),
IF(AV$3=$DF39+'Model Setup'!$L$7,SUMIF($AD$3:$BA$3,"="&amp;$DF39+'Model Setup'!$L$7,$B39:$Y39)+'Model Setup'!$L$8*(SUMIF($AD$3:$BA$3,"&lt;"&amp;$DF39,$B39:$Y39)+SUMIF($AD$3:$BA$3,"&gt;="&amp;$DG39,$B39:$Y39)),
IF(AV$3=$DF39+'Model Setup'!$M$7,SUMIF($AD$3:$BA$3,"="&amp;$DF39+'Model Setup'!$M$7,$B39:$Y39)+'Model Setup'!$M$8*(SUMIF($AD$3:$BA$3,"&lt;"&amp;$DF39,$B39:$Y39)+SUMIF($AD$3:$BA$3,"&gt;="&amp;$DG39,$B39:$Y39)),
IF(AV$3=$DF39+'Model Setup'!$N$7,SUMIF($AD$3:$BA$3,"="&amp;$DF39+'Model Setup'!$N$7,$B39:$Y39)+'Model Setup'!$N$8*(SUMIF($AD$3:$BA$3,"&lt;"&amp;$DF39,$B39:$Y39)+SUMIF($AD$3:$BA$3,"&gt;="&amp;$DG39,$B39:$Y39)),
IF(AV$3&lt;$DG39,T39,0))))))))))))))),0)</f>
        <v>0</v>
      </c>
      <c r="AW39" s="47">
        <f>ROUND(IF(AW$3&lt;$DF39,0,
IF(AW$3=$DF39+'Model Setup'!$B$7,SUMIF($AD$3:$BA$3,"="&amp;$DF39+'Model Setup'!$B$7,$B39:$Y39)+'Model Setup'!$B$8*(SUMIF($AD$3:$BA$3,"&lt;"&amp;$DF39,$B39:$Y39)+SUMIF($AD$3:$BA$3,"&gt;="&amp;$DG39,$B39:$Y39)),
IF(AW$3=$DF39+'Model Setup'!$C$7,SUMIF($AD$3:$BA$3,"="&amp;$DF39+'Model Setup'!$C$7,$B39:$Y39)+'Model Setup'!$C$8*(SUMIF($AD$3:$BA$3,"&lt;"&amp;$DF39,$B39:$Y39)+SUMIF($AD$3:$BA$3,"&gt;="&amp;$DG39,$B39:$Y39)),
IF(AW$3=$DF39+'Model Setup'!$D$7,SUMIF($AD$3:$BA$3,"="&amp;$DF39+'Model Setup'!$D$7,$B39:$Y39)+'Model Setup'!$D$8*(SUMIF($AD$3:$BA$3,"&lt;"&amp;$DF39,$B39:$Y39)+SUMIF($AD$3:$BA$3,"&gt;="&amp;$DG39,$B39:$Y39)),
IF(AW$3=$DF39+'Model Setup'!$E$7,SUMIF($AD$3:$BA$3,"="&amp;$DF39+'Model Setup'!$E$7,$B39:$Y39)+'Model Setup'!$E$8*(SUMIF($AD$3:$BA$3,"&lt;"&amp;$DF39,$B39:$Y39)+SUMIF($AD$3:$BA$3,"&gt;="&amp;$DG39,$B39:$Y39)),
IF(AW$3=$DF39+'Model Setup'!$F$7,SUMIF($AD$3:$BA$3,"="&amp;$DF39+'Model Setup'!$F$7,$B39:$Y39)+'Model Setup'!$F$8*(SUMIF($AD$3:$BA$3,"&lt;"&amp;$DF39,$B39:$Y39)+SUMIF($AD$3:$BA$3,"&gt;="&amp;$DG39,$B39:$Y39)),
IF(AW$3=$DF39+'Model Setup'!$G$7,SUMIF($AD$3:$BA$3,"="&amp;$DF39+'Model Setup'!$G$7,$B39:$Y39)+'Model Setup'!$G$8*(SUMIF($AD$3:$BA$3,"&lt;"&amp;$DF39,$B39:$Y39)+SUMIF($AD$3:$BA$3,"&gt;="&amp;$DG39,$B39:$Y39)),
IF(AW$3=$DF39+'Model Setup'!$H$7,SUMIF($AD$3:$BA$3,"="&amp;$DF39+'Model Setup'!$H$7,$B39:$Y39)+'Model Setup'!$H$8*(SUMIF($AD$3:$BA$3,"&lt;"&amp;$DF39,$B39:$Y39)+SUMIF($AD$3:$BA$3,"&gt;="&amp;$DG39,$B39:$Y39)),
IF(AW$3=$DF39+'Model Setup'!$I$7,SUMIF($AD$3:$BA$3,"="&amp;$DF39+'Model Setup'!$I$7,$B39:$Y39)+'Model Setup'!$I$8*(SUMIF($AD$3:$BA$3,"&lt;"&amp;$DF39,$B39:$Y39)+SUMIF($AD$3:$BA$3,"&gt;="&amp;$DG39,$B39:$Y39)),
IF(AW$3=$DF39+'Model Setup'!$J$7,SUMIF($AD$3:$BA$3,"="&amp;$DF39+'Model Setup'!$J$7,$B39:$Y39)+'Model Setup'!$J$8*(SUMIF($AD$3:$BA$3,"&lt;"&amp;$DF39,$B39:$Y39)+SUMIF($AD$3:$BA$3,"&gt;="&amp;$DG39,$B39:$Y39)),
IF(AW$3=$DF39+'Model Setup'!$K$7,SUMIF($AD$3:$BA$3,"="&amp;$DF39+'Model Setup'!$K$7,$B39:$Y39)+'Model Setup'!$K$8*(SUMIF($AD$3:$BA$3,"&lt;"&amp;$DF39,$B39:$Y39)+SUMIF($AD$3:$BA$3,"&gt;="&amp;$DG39,$B39:$Y39)),
IF(AW$3=$DF39+'Model Setup'!$L$7,SUMIF($AD$3:$BA$3,"="&amp;$DF39+'Model Setup'!$L$7,$B39:$Y39)+'Model Setup'!$L$8*(SUMIF($AD$3:$BA$3,"&lt;"&amp;$DF39,$B39:$Y39)+SUMIF($AD$3:$BA$3,"&gt;="&amp;$DG39,$B39:$Y39)),
IF(AW$3=$DF39+'Model Setup'!$M$7,SUMIF($AD$3:$BA$3,"="&amp;$DF39+'Model Setup'!$M$7,$B39:$Y39)+'Model Setup'!$M$8*(SUMIF($AD$3:$BA$3,"&lt;"&amp;$DF39,$B39:$Y39)+SUMIF($AD$3:$BA$3,"&gt;="&amp;$DG39,$B39:$Y39)),
IF(AW$3=$DF39+'Model Setup'!$N$7,SUMIF($AD$3:$BA$3,"="&amp;$DF39+'Model Setup'!$N$7,$B39:$Y39)+'Model Setup'!$N$8*(SUMIF($AD$3:$BA$3,"&lt;"&amp;$DF39,$B39:$Y39)+SUMIF($AD$3:$BA$3,"&gt;="&amp;$DG39,$B39:$Y39)),
IF(AW$3&lt;$DG39,U39,0))))))))))))))),0)</f>
        <v>0</v>
      </c>
      <c r="AX39" s="47">
        <f>ROUND(IF(AX$3&lt;$DF39,0,
IF(AX$3=$DF39+'Model Setup'!$B$7,SUMIF($AD$3:$BA$3,"="&amp;$DF39+'Model Setup'!$B$7,$B39:$Y39)+'Model Setup'!$B$8*(SUMIF($AD$3:$BA$3,"&lt;"&amp;$DF39,$B39:$Y39)+SUMIF($AD$3:$BA$3,"&gt;="&amp;$DG39,$B39:$Y39)),
IF(AX$3=$DF39+'Model Setup'!$C$7,SUMIF($AD$3:$BA$3,"="&amp;$DF39+'Model Setup'!$C$7,$B39:$Y39)+'Model Setup'!$C$8*(SUMIF($AD$3:$BA$3,"&lt;"&amp;$DF39,$B39:$Y39)+SUMIF($AD$3:$BA$3,"&gt;="&amp;$DG39,$B39:$Y39)),
IF(AX$3=$DF39+'Model Setup'!$D$7,SUMIF($AD$3:$BA$3,"="&amp;$DF39+'Model Setup'!$D$7,$B39:$Y39)+'Model Setup'!$D$8*(SUMIF($AD$3:$BA$3,"&lt;"&amp;$DF39,$B39:$Y39)+SUMIF($AD$3:$BA$3,"&gt;="&amp;$DG39,$B39:$Y39)),
IF(AX$3=$DF39+'Model Setup'!$E$7,SUMIF($AD$3:$BA$3,"="&amp;$DF39+'Model Setup'!$E$7,$B39:$Y39)+'Model Setup'!$E$8*(SUMIF($AD$3:$BA$3,"&lt;"&amp;$DF39,$B39:$Y39)+SUMIF($AD$3:$BA$3,"&gt;="&amp;$DG39,$B39:$Y39)),
IF(AX$3=$DF39+'Model Setup'!$F$7,SUMIF($AD$3:$BA$3,"="&amp;$DF39+'Model Setup'!$F$7,$B39:$Y39)+'Model Setup'!$F$8*(SUMIF($AD$3:$BA$3,"&lt;"&amp;$DF39,$B39:$Y39)+SUMIF($AD$3:$BA$3,"&gt;="&amp;$DG39,$B39:$Y39)),
IF(AX$3=$DF39+'Model Setup'!$G$7,SUMIF($AD$3:$BA$3,"="&amp;$DF39+'Model Setup'!$G$7,$B39:$Y39)+'Model Setup'!$G$8*(SUMIF($AD$3:$BA$3,"&lt;"&amp;$DF39,$B39:$Y39)+SUMIF($AD$3:$BA$3,"&gt;="&amp;$DG39,$B39:$Y39)),
IF(AX$3=$DF39+'Model Setup'!$H$7,SUMIF($AD$3:$BA$3,"="&amp;$DF39+'Model Setup'!$H$7,$B39:$Y39)+'Model Setup'!$H$8*(SUMIF($AD$3:$BA$3,"&lt;"&amp;$DF39,$B39:$Y39)+SUMIF($AD$3:$BA$3,"&gt;="&amp;$DG39,$B39:$Y39)),
IF(AX$3=$DF39+'Model Setup'!$I$7,SUMIF($AD$3:$BA$3,"="&amp;$DF39+'Model Setup'!$I$7,$B39:$Y39)+'Model Setup'!$I$8*(SUMIF($AD$3:$BA$3,"&lt;"&amp;$DF39,$B39:$Y39)+SUMIF($AD$3:$BA$3,"&gt;="&amp;$DG39,$B39:$Y39)),
IF(AX$3=$DF39+'Model Setup'!$J$7,SUMIF($AD$3:$BA$3,"="&amp;$DF39+'Model Setup'!$J$7,$B39:$Y39)+'Model Setup'!$J$8*(SUMIF($AD$3:$BA$3,"&lt;"&amp;$DF39,$B39:$Y39)+SUMIF($AD$3:$BA$3,"&gt;="&amp;$DG39,$B39:$Y39)),
IF(AX$3=$DF39+'Model Setup'!$K$7,SUMIF($AD$3:$BA$3,"="&amp;$DF39+'Model Setup'!$K$7,$B39:$Y39)+'Model Setup'!$K$8*(SUMIF($AD$3:$BA$3,"&lt;"&amp;$DF39,$B39:$Y39)+SUMIF($AD$3:$BA$3,"&gt;="&amp;$DG39,$B39:$Y39)),
IF(AX$3=$DF39+'Model Setup'!$L$7,SUMIF($AD$3:$BA$3,"="&amp;$DF39+'Model Setup'!$L$7,$B39:$Y39)+'Model Setup'!$L$8*(SUMIF($AD$3:$BA$3,"&lt;"&amp;$DF39,$B39:$Y39)+SUMIF($AD$3:$BA$3,"&gt;="&amp;$DG39,$B39:$Y39)),
IF(AX$3=$DF39+'Model Setup'!$M$7,SUMIF($AD$3:$BA$3,"="&amp;$DF39+'Model Setup'!$M$7,$B39:$Y39)+'Model Setup'!$M$8*(SUMIF($AD$3:$BA$3,"&lt;"&amp;$DF39,$B39:$Y39)+SUMIF($AD$3:$BA$3,"&gt;="&amp;$DG39,$B39:$Y39)),
IF(AX$3=$DF39+'Model Setup'!$N$7,SUMIF($AD$3:$BA$3,"="&amp;$DF39+'Model Setup'!$N$7,$B39:$Y39)+'Model Setup'!$N$8*(SUMIF($AD$3:$BA$3,"&lt;"&amp;$DF39,$B39:$Y39)+SUMIF($AD$3:$BA$3,"&gt;="&amp;$DG39,$B39:$Y39)),
IF(AX$3&lt;$DG39,V39,0))))))))))))))),0)</f>
        <v>0</v>
      </c>
      <c r="AY39" s="47">
        <f>ROUND(IF(AY$3&lt;$DF39,0,
IF(AY$3=$DF39+'Model Setup'!$B$7,SUMIF($AD$3:$BA$3,"="&amp;$DF39+'Model Setup'!$B$7,$B39:$Y39)+'Model Setup'!$B$8*(SUMIF($AD$3:$BA$3,"&lt;"&amp;$DF39,$B39:$Y39)+SUMIF($AD$3:$BA$3,"&gt;="&amp;$DG39,$B39:$Y39)),
IF(AY$3=$DF39+'Model Setup'!$C$7,SUMIF($AD$3:$BA$3,"="&amp;$DF39+'Model Setup'!$C$7,$B39:$Y39)+'Model Setup'!$C$8*(SUMIF($AD$3:$BA$3,"&lt;"&amp;$DF39,$B39:$Y39)+SUMIF($AD$3:$BA$3,"&gt;="&amp;$DG39,$B39:$Y39)),
IF(AY$3=$DF39+'Model Setup'!$D$7,SUMIF($AD$3:$BA$3,"="&amp;$DF39+'Model Setup'!$D$7,$B39:$Y39)+'Model Setup'!$D$8*(SUMIF($AD$3:$BA$3,"&lt;"&amp;$DF39,$B39:$Y39)+SUMIF($AD$3:$BA$3,"&gt;="&amp;$DG39,$B39:$Y39)),
IF(AY$3=$DF39+'Model Setup'!$E$7,SUMIF($AD$3:$BA$3,"="&amp;$DF39+'Model Setup'!$E$7,$B39:$Y39)+'Model Setup'!$E$8*(SUMIF($AD$3:$BA$3,"&lt;"&amp;$DF39,$B39:$Y39)+SUMIF($AD$3:$BA$3,"&gt;="&amp;$DG39,$B39:$Y39)),
IF(AY$3=$DF39+'Model Setup'!$F$7,SUMIF($AD$3:$BA$3,"="&amp;$DF39+'Model Setup'!$F$7,$B39:$Y39)+'Model Setup'!$F$8*(SUMIF($AD$3:$BA$3,"&lt;"&amp;$DF39,$B39:$Y39)+SUMIF($AD$3:$BA$3,"&gt;="&amp;$DG39,$B39:$Y39)),
IF(AY$3=$DF39+'Model Setup'!$G$7,SUMIF($AD$3:$BA$3,"="&amp;$DF39+'Model Setup'!$G$7,$B39:$Y39)+'Model Setup'!$G$8*(SUMIF($AD$3:$BA$3,"&lt;"&amp;$DF39,$B39:$Y39)+SUMIF($AD$3:$BA$3,"&gt;="&amp;$DG39,$B39:$Y39)),
IF(AY$3=$DF39+'Model Setup'!$H$7,SUMIF($AD$3:$BA$3,"="&amp;$DF39+'Model Setup'!$H$7,$B39:$Y39)+'Model Setup'!$H$8*(SUMIF($AD$3:$BA$3,"&lt;"&amp;$DF39,$B39:$Y39)+SUMIF($AD$3:$BA$3,"&gt;="&amp;$DG39,$B39:$Y39)),
IF(AY$3=$DF39+'Model Setup'!$I$7,SUMIF($AD$3:$BA$3,"="&amp;$DF39+'Model Setup'!$I$7,$B39:$Y39)+'Model Setup'!$I$8*(SUMIF($AD$3:$BA$3,"&lt;"&amp;$DF39,$B39:$Y39)+SUMIF($AD$3:$BA$3,"&gt;="&amp;$DG39,$B39:$Y39)),
IF(AY$3=$DF39+'Model Setup'!$J$7,SUMIF($AD$3:$BA$3,"="&amp;$DF39+'Model Setup'!$J$7,$B39:$Y39)+'Model Setup'!$J$8*(SUMIF($AD$3:$BA$3,"&lt;"&amp;$DF39,$B39:$Y39)+SUMIF($AD$3:$BA$3,"&gt;="&amp;$DG39,$B39:$Y39)),
IF(AY$3=$DF39+'Model Setup'!$K$7,SUMIF($AD$3:$BA$3,"="&amp;$DF39+'Model Setup'!$K$7,$B39:$Y39)+'Model Setup'!$K$8*(SUMIF($AD$3:$BA$3,"&lt;"&amp;$DF39,$B39:$Y39)+SUMIF($AD$3:$BA$3,"&gt;="&amp;$DG39,$B39:$Y39)),
IF(AY$3=$DF39+'Model Setup'!$L$7,SUMIF($AD$3:$BA$3,"="&amp;$DF39+'Model Setup'!$L$7,$B39:$Y39)+'Model Setup'!$L$8*(SUMIF($AD$3:$BA$3,"&lt;"&amp;$DF39,$B39:$Y39)+SUMIF($AD$3:$BA$3,"&gt;="&amp;$DG39,$B39:$Y39)),
IF(AY$3=$DF39+'Model Setup'!$M$7,SUMIF($AD$3:$BA$3,"="&amp;$DF39+'Model Setup'!$M$7,$B39:$Y39)+'Model Setup'!$M$8*(SUMIF($AD$3:$BA$3,"&lt;"&amp;$DF39,$B39:$Y39)+SUMIF($AD$3:$BA$3,"&gt;="&amp;$DG39,$B39:$Y39)),
IF(AY$3=$DF39+'Model Setup'!$N$7,SUMIF($AD$3:$BA$3,"="&amp;$DF39+'Model Setup'!$N$7,$B39:$Y39)+'Model Setup'!$N$8*(SUMIF($AD$3:$BA$3,"&lt;"&amp;$DF39,$B39:$Y39)+SUMIF($AD$3:$BA$3,"&gt;="&amp;$DG39,$B39:$Y39)),
IF(AY$3&lt;$DG39,W39,0))))))))))))))),0)</f>
        <v>0</v>
      </c>
      <c r="AZ39" s="47">
        <f>ROUND(IF(AZ$3&lt;$DF39,0,
IF(AZ$3=$DF39+'Model Setup'!$B$7,SUMIF($AD$3:$BA$3,"="&amp;$DF39+'Model Setup'!$B$7,$B39:$Y39)+'Model Setup'!$B$8*(SUMIF($AD$3:$BA$3,"&lt;"&amp;$DF39,$B39:$Y39)+SUMIF($AD$3:$BA$3,"&gt;="&amp;$DG39,$B39:$Y39)),
IF(AZ$3=$DF39+'Model Setup'!$C$7,SUMIF($AD$3:$BA$3,"="&amp;$DF39+'Model Setup'!$C$7,$B39:$Y39)+'Model Setup'!$C$8*(SUMIF($AD$3:$BA$3,"&lt;"&amp;$DF39,$B39:$Y39)+SUMIF($AD$3:$BA$3,"&gt;="&amp;$DG39,$B39:$Y39)),
IF(AZ$3=$DF39+'Model Setup'!$D$7,SUMIF($AD$3:$BA$3,"="&amp;$DF39+'Model Setup'!$D$7,$B39:$Y39)+'Model Setup'!$D$8*(SUMIF($AD$3:$BA$3,"&lt;"&amp;$DF39,$B39:$Y39)+SUMIF($AD$3:$BA$3,"&gt;="&amp;$DG39,$B39:$Y39)),
IF(AZ$3=$DF39+'Model Setup'!$E$7,SUMIF($AD$3:$BA$3,"="&amp;$DF39+'Model Setup'!$E$7,$B39:$Y39)+'Model Setup'!$E$8*(SUMIF($AD$3:$BA$3,"&lt;"&amp;$DF39,$B39:$Y39)+SUMIF($AD$3:$BA$3,"&gt;="&amp;$DG39,$B39:$Y39)),
IF(AZ$3=$DF39+'Model Setup'!$F$7,SUMIF($AD$3:$BA$3,"="&amp;$DF39+'Model Setup'!$F$7,$B39:$Y39)+'Model Setup'!$F$8*(SUMIF($AD$3:$BA$3,"&lt;"&amp;$DF39,$B39:$Y39)+SUMIF($AD$3:$BA$3,"&gt;="&amp;$DG39,$B39:$Y39)),
IF(AZ$3=$DF39+'Model Setup'!$G$7,SUMIF($AD$3:$BA$3,"="&amp;$DF39+'Model Setup'!$G$7,$B39:$Y39)+'Model Setup'!$G$8*(SUMIF($AD$3:$BA$3,"&lt;"&amp;$DF39,$B39:$Y39)+SUMIF($AD$3:$BA$3,"&gt;="&amp;$DG39,$B39:$Y39)),
IF(AZ$3=$DF39+'Model Setup'!$H$7,SUMIF($AD$3:$BA$3,"="&amp;$DF39+'Model Setup'!$H$7,$B39:$Y39)+'Model Setup'!$H$8*(SUMIF($AD$3:$BA$3,"&lt;"&amp;$DF39,$B39:$Y39)+SUMIF($AD$3:$BA$3,"&gt;="&amp;$DG39,$B39:$Y39)),
IF(AZ$3=$DF39+'Model Setup'!$I$7,SUMIF($AD$3:$BA$3,"="&amp;$DF39+'Model Setup'!$I$7,$B39:$Y39)+'Model Setup'!$I$8*(SUMIF($AD$3:$BA$3,"&lt;"&amp;$DF39,$B39:$Y39)+SUMIF($AD$3:$BA$3,"&gt;="&amp;$DG39,$B39:$Y39)),
IF(AZ$3=$DF39+'Model Setup'!$J$7,SUMIF($AD$3:$BA$3,"="&amp;$DF39+'Model Setup'!$J$7,$B39:$Y39)+'Model Setup'!$J$8*(SUMIF($AD$3:$BA$3,"&lt;"&amp;$DF39,$B39:$Y39)+SUMIF($AD$3:$BA$3,"&gt;="&amp;$DG39,$B39:$Y39)),
IF(AZ$3=$DF39+'Model Setup'!$K$7,SUMIF($AD$3:$BA$3,"="&amp;$DF39+'Model Setup'!$K$7,$B39:$Y39)+'Model Setup'!$K$8*(SUMIF($AD$3:$BA$3,"&lt;"&amp;$DF39,$B39:$Y39)+SUMIF($AD$3:$BA$3,"&gt;="&amp;$DG39,$B39:$Y39)),
IF(AZ$3=$DF39+'Model Setup'!$L$7,SUMIF($AD$3:$BA$3,"="&amp;$DF39+'Model Setup'!$L$7,$B39:$Y39)+'Model Setup'!$L$8*(SUMIF($AD$3:$BA$3,"&lt;"&amp;$DF39,$B39:$Y39)+SUMIF($AD$3:$BA$3,"&gt;="&amp;$DG39,$B39:$Y39)),
IF(AZ$3=$DF39+'Model Setup'!$M$7,SUMIF($AD$3:$BA$3,"="&amp;$DF39+'Model Setup'!$M$7,$B39:$Y39)+'Model Setup'!$M$8*(SUMIF($AD$3:$BA$3,"&lt;"&amp;$DF39,$B39:$Y39)+SUMIF($AD$3:$BA$3,"&gt;="&amp;$DG39,$B39:$Y39)),
IF(AZ$3=$DF39+'Model Setup'!$N$7,SUMIF($AD$3:$BA$3,"="&amp;$DF39+'Model Setup'!$N$7,$B39:$Y39)+'Model Setup'!$N$8*(SUMIF($AD$3:$BA$3,"&lt;"&amp;$DF39,$B39:$Y39)+SUMIF($AD$3:$BA$3,"&gt;="&amp;$DG39,$B39:$Y39)),
IF(AZ$3&lt;$DG39,X39,0))))))))))))))),0)</f>
        <v>0</v>
      </c>
      <c r="BA39" s="47">
        <f>ROUND(IF(BA$3&lt;$DF39,0,
IF(BA$3=$DF39+'Model Setup'!$B$7,SUMIF($AD$3:$BA$3,"="&amp;$DF39+'Model Setup'!$B$7,$B39:$Y39)+'Model Setup'!$B$8*(SUMIF($AD$3:$BA$3,"&lt;"&amp;$DF39,$B39:$Y39)+SUMIF($AD$3:$BA$3,"&gt;="&amp;$DG39,$B39:$Y39)),
IF(BA$3=$DF39+'Model Setup'!$C$7,SUMIF($AD$3:$BA$3,"="&amp;$DF39+'Model Setup'!$C$7,$B39:$Y39)+'Model Setup'!$C$8*(SUMIF($AD$3:$BA$3,"&lt;"&amp;$DF39,$B39:$Y39)+SUMIF($AD$3:$BA$3,"&gt;="&amp;$DG39,$B39:$Y39)),
IF(BA$3=$DF39+'Model Setup'!$D$7,SUMIF($AD$3:$BA$3,"="&amp;$DF39+'Model Setup'!$D$7,$B39:$Y39)+'Model Setup'!$D$8*(SUMIF($AD$3:$BA$3,"&lt;"&amp;$DF39,$B39:$Y39)+SUMIF($AD$3:$BA$3,"&gt;="&amp;$DG39,$B39:$Y39)),
IF(BA$3=$DF39+'Model Setup'!$E$7,SUMIF($AD$3:$BA$3,"="&amp;$DF39+'Model Setup'!$E$7,$B39:$Y39)+'Model Setup'!$E$8*(SUMIF($AD$3:$BA$3,"&lt;"&amp;$DF39,$B39:$Y39)+SUMIF($AD$3:$BA$3,"&gt;="&amp;$DG39,$B39:$Y39)),
IF(BA$3=$DF39+'Model Setup'!$F$7,SUMIF($AD$3:$BA$3,"="&amp;$DF39+'Model Setup'!$F$7,$B39:$Y39)+'Model Setup'!$F$8*(SUMIF($AD$3:$BA$3,"&lt;"&amp;$DF39,$B39:$Y39)+SUMIF($AD$3:$BA$3,"&gt;="&amp;$DG39,$B39:$Y39)),
IF(BA$3=$DF39+'Model Setup'!$G$7,SUMIF($AD$3:$BA$3,"="&amp;$DF39+'Model Setup'!$G$7,$B39:$Y39)+'Model Setup'!$G$8*(SUMIF($AD$3:$BA$3,"&lt;"&amp;$DF39,$B39:$Y39)+SUMIF($AD$3:$BA$3,"&gt;="&amp;$DG39,$B39:$Y39)),
IF(BA$3=$DF39+'Model Setup'!$H$7,SUMIF($AD$3:$BA$3,"="&amp;$DF39+'Model Setup'!$H$7,$B39:$Y39)+'Model Setup'!$H$8*(SUMIF($AD$3:$BA$3,"&lt;"&amp;$DF39,$B39:$Y39)+SUMIF($AD$3:$BA$3,"&gt;="&amp;$DG39,$B39:$Y39)),
IF(BA$3=$DF39+'Model Setup'!$I$7,SUMIF($AD$3:$BA$3,"="&amp;$DF39+'Model Setup'!$I$7,$B39:$Y39)+'Model Setup'!$I$8*(SUMIF($AD$3:$BA$3,"&lt;"&amp;$DF39,$B39:$Y39)+SUMIF($AD$3:$BA$3,"&gt;="&amp;$DG39,$B39:$Y39)),
IF(BA$3=$DF39+'Model Setup'!$J$7,SUMIF($AD$3:$BA$3,"="&amp;$DF39+'Model Setup'!$J$7,$B39:$Y39)+'Model Setup'!$J$8*(SUMIF($AD$3:$BA$3,"&lt;"&amp;$DF39,$B39:$Y39)+SUMIF($AD$3:$BA$3,"&gt;="&amp;$DG39,$B39:$Y39)),
IF(BA$3=$DF39+'Model Setup'!$K$7,SUMIF($AD$3:$BA$3,"="&amp;$DF39+'Model Setup'!$K$7,$B39:$Y39)+'Model Setup'!$K$8*(SUMIF($AD$3:$BA$3,"&lt;"&amp;$DF39,$B39:$Y39)+SUMIF($AD$3:$BA$3,"&gt;="&amp;$DG39,$B39:$Y39)),
IF(BA$3=$DF39+'Model Setup'!$L$7,SUMIF($AD$3:$BA$3,"="&amp;$DF39+'Model Setup'!$L$7,$B39:$Y39)+'Model Setup'!$L$8*(SUMIF($AD$3:$BA$3,"&lt;"&amp;$DF39,$B39:$Y39)+SUMIF($AD$3:$BA$3,"&gt;="&amp;$DG39,$B39:$Y39)),
IF(BA$3=$DF39+'Model Setup'!$M$7,SUMIF($AD$3:$BA$3,"="&amp;$DF39+'Model Setup'!$M$7,$B39:$Y39)+'Model Setup'!$M$8*(SUMIF($AD$3:$BA$3,"&lt;"&amp;$DF39,$B39:$Y39)+SUMIF($AD$3:$BA$3,"&gt;="&amp;$DG39,$B39:$Y39)),
IF(BA$3=$DF39+'Model Setup'!$N$7,SUMIF($AD$3:$BA$3,"="&amp;$DF39+'Model Setup'!$N$7,$B39:$Y39)+'Model Setup'!$N$8*(SUMIF($AD$3:$BA$3,"&lt;"&amp;$DF39,$B39:$Y39)+SUMIF($AD$3:$BA$3,"&gt;="&amp;$DG39,$B39:$Y39)),
IF(BA$3&lt;$DG39,Y39,0))))))))))))))),0)</f>
        <v>0</v>
      </c>
      <c r="BB39" s="47">
        <f t="shared" si="1"/>
        <v>2533</v>
      </c>
      <c r="BD39" t="b">
        <f t="shared" si="2"/>
        <v>0</v>
      </c>
      <c r="BE39">
        <f t="shared" si="8"/>
        <v>1</v>
      </c>
      <c r="BF39">
        <f>(FTC!F37-FTC!E37)*24</f>
        <v>13</v>
      </c>
      <c r="BG39" s="43" t="s">
        <v>54</v>
      </c>
      <c r="BH39" s="47">
        <f>ROUND(IF(OR(BH$3&lt;$DF39,BH$3&gt;$CW$4),0,
IF(BH$3=$DF39+'Model Setup'!$B$7,SUMIF($BH$3:$CE$3,"="&amp;$DF39+'Model Setup'!$B$7,$AD39:$BA39)+'Model Setup'!$B$8*(SUMIF($BH$3:$CE$3,"&lt;"&amp;$DF39,$AD39:$BA39)+SUMIF($BH$3:$CE$3,"&gt;"&amp;$CW$4,$AD39:$BA39)),
IF(BH$3=$DF39+'Model Setup'!$C$7,SUMIF($BH$3:$CE$3,"="&amp;$DF39+'Model Setup'!$C$7,$AD39:$BA39)+'Model Setup'!$C$8*(SUMIF($BH$3:$CE$3,"&lt;"&amp;$DF39,$AD39:$BA39)+SUMIF($BH$3:$CE$3,"&gt;"&amp;$CW$4,$AD39:$BA39)),
IF(BH$3=$DF39+'Model Setup'!$D$7,SUMIF($BH$3:$CE$3,"="&amp;$DF39+'Model Setup'!$D$7,$AD39:$BA39)+'Model Setup'!$D$8*(SUMIF($BH$3:$CE$3,"&lt;"&amp;$DF39,$AD39:$BA39)+SUMIF($BH$3:$CE$3,"&gt;"&amp;$CW$4,$AD39:$BA39)),
IF(BH$3=$DF39+'Model Setup'!$E$7,SUMIF($BH$3:$CE$3,"="&amp;$DF39+'Model Setup'!$E$7,$AD39:$BA39)+'Model Setup'!$E$8*(SUMIF($BH$3:$CE$3,"&lt;"&amp;$DF39,$AD39:$BA39)+SUMIF($BH$3:$CE$3,"&gt;"&amp;$CW$4,$AD39:$BA39)),
IF(BH$3=$DF39+'Model Setup'!$F$7,SUMIF($BH$3:$CE$3,"="&amp;$DF39+'Model Setup'!$F$7,$AD39:$BA39)+'Model Setup'!$F$8*(SUMIF($BH$3:$CE$3,"&lt;"&amp;$DF39,$AD39:$BA39)+SUMIF($BH$3:$CE$3,"&gt;"&amp;$CW$4,$AD39:$BA39)),
IF(BH$3=$DF39+'Model Setup'!$G$7,SUMIF($BH$3:$CE$3,"="&amp;$DF39+'Model Setup'!$G$7,$AD39:$BA39)+'Model Setup'!$G$8*(SUMIF($BH$3:$CE$3,"&lt;"&amp;$DF39,$AD39:$BA39)+SUMIF($BH$3:$CE$3,"&gt;"&amp;$CW$4,$AD39:$BA39)),
IF(BH$3=$DF39+'Model Setup'!$H$7,SUMIF($BH$3:$CE$3,"="&amp;$DF39+'Model Setup'!$H$7,$AD39:$BA39)+'Model Setup'!$H$8*(SUMIF($BH$3:$CE$3,"&lt;"&amp;$DF39,$AD39:$BA39)+SUMIF($BH$3:$CE$3,"&gt;"&amp;$CW$4,$AD39:$BA39)),
IF(BH$3=$DF39+'Model Setup'!$I$7,SUMIF($BH$3:$CE$3,"="&amp;$DF39+'Model Setup'!$I$7,$AD39:$BA39)+'Model Setup'!$I$8*(SUMIF($BH$3:$CE$3,"&lt;"&amp;$DF39,$AD39:$BA39)+SUMIF($BH$3:$CE$3,"&gt;"&amp;$CW$4,$AD39:$BA39)),
IF(BH$3=$DF39+'Model Setup'!$J$7,SUMIF($BH$3:$CE$3,"="&amp;$DF39+'Model Setup'!$J$7,$AD39:$BA39)+'Model Setup'!$J$8*(SUMIF($BH$3:$CE$3,"&lt;"&amp;$DF39,$AD39:$BA39)+SUMIF($BH$3:$CE$3,"&gt;"&amp;$CW$4,$AD39:$BA39)),
IF(BH$3=$DF39+'Model Setup'!$K$7,SUMIF($BH$3:$CE$3,"="&amp;$DF39+'Model Setup'!$K$7,$AD39:$BA39)+'Model Setup'!$K$8*(SUMIF($BH$3:$CE$3,"&lt;"&amp;$DF39,$AD39:$BA39)+SUMIF($BH$3:$CE$3,"&gt;"&amp;$CW$4,$AD39:$BA39)),
IF(BH$3=$DF39+'Model Setup'!$L$7,SUMIF($BH$3:$CE$3,"="&amp;$DF39+'Model Setup'!$L$7,$AD39:$BA39)+'Model Setup'!$L$8*(SUMIF($BH$3:$CE$3,"&lt;"&amp;$DF39,$AD39:$BA39)+SUMIF($BH$3:$CE$3,"&gt;"&amp;$CW$4,$AD39:$BA39)),
IF(BH$3=$DF39+'Model Setup'!$M$7,SUMIF($BH$3:$CE$3,"="&amp;$DF39+'Model Setup'!$M$7,$AD39:$BA39)+'Model Setup'!$M$8*(SUMIF($BH$3:$CE$3,"&lt;"&amp;$DF39,$AD39:$BA39)+SUMIF($BH$3:$CE$3,"&gt;"&amp;$CW$4,$AD39:$BA39)),
IF(BH$3=$DF39+'Model Setup'!$N$7,SUMIF($BH$3:$CE$3,"="&amp;$DF39+'Model Setup'!$N$7,$AD39:$BA39)+'Model Setup'!$N$8*(SUMIF($BH$3:$CE$3,"&lt;"&amp;$DF39,$AD39:$BA39)+SUMIF($BH$3:$CE$3,"&gt;"&amp;$CW$4,$AD39:$BA39)),
IF(BH$3&lt;$CW$4,B39,0))))))))))))))),0)</f>
        <v>0</v>
      </c>
      <c r="BI39" s="47">
        <f>ROUND(IF(OR(BI$3&lt;$DF39,BI$3&gt;$CW$4),0,
IF(BI$3=$DF39+'Model Setup'!$B$7,SUMIF($BH$3:$CE$3,"="&amp;$DF39+'Model Setup'!$B$7,$AD39:$BA39)+'Model Setup'!$B$8*(SUMIF($BH$3:$CE$3,"&lt;"&amp;$DF39,$AD39:$BA39)+SUMIF($BH$3:$CE$3,"&gt;"&amp;$CW$4,$AD39:$BA39)),
IF(BI$3=$DF39+'Model Setup'!$C$7,SUMIF($BH$3:$CE$3,"="&amp;$DF39+'Model Setup'!$C$7,$AD39:$BA39)+'Model Setup'!$C$8*(SUMIF($BH$3:$CE$3,"&lt;"&amp;$DF39,$AD39:$BA39)+SUMIF($BH$3:$CE$3,"&gt;"&amp;$CW$4,$AD39:$BA39)),
IF(BI$3=$DF39+'Model Setup'!$D$7,SUMIF($BH$3:$CE$3,"="&amp;$DF39+'Model Setup'!$D$7,$AD39:$BA39)+'Model Setup'!$D$8*(SUMIF($BH$3:$CE$3,"&lt;"&amp;$DF39,$AD39:$BA39)+SUMIF($BH$3:$CE$3,"&gt;"&amp;$CW$4,$AD39:$BA39)),
IF(BI$3=$DF39+'Model Setup'!$E$7,SUMIF($BH$3:$CE$3,"="&amp;$DF39+'Model Setup'!$E$7,$AD39:$BA39)+'Model Setup'!$E$8*(SUMIF($BH$3:$CE$3,"&lt;"&amp;$DF39,$AD39:$BA39)+SUMIF($BH$3:$CE$3,"&gt;"&amp;$CW$4,$AD39:$BA39)),
IF(BI$3=$DF39+'Model Setup'!$F$7,SUMIF($BH$3:$CE$3,"="&amp;$DF39+'Model Setup'!$F$7,$AD39:$BA39)+'Model Setup'!$F$8*(SUMIF($BH$3:$CE$3,"&lt;"&amp;$DF39,$AD39:$BA39)+SUMIF($BH$3:$CE$3,"&gt;"&amp;$CW$4,$AD39:$BA39)),
IF(BI$3=$DF39+'Model Setup'!$G$7,SUMIF($BH$3:$CE$3,"="&amp;$DF39+'Model Setup'!$G$7,$AD39:$BA39)+'Model Setup'!$G$8*(SUMIF($BH$3:$CE$3,"&lt;"&amp;$DF39,$AD39:$BA39)+SUMIF($BH$3:$CE$3,"&gt;"&amp;$CW$4,$AD39:$BA39)),
IF(BI$3=$DF39+'Model Setup'!$H$7,SUMIF($BH$3:$CE$3,"="&amp;$DF39+'Model Setup'!$H$7,$AD39:$BA39)+'Model Setup'!$H$8*(SUMIF($BH$3:$CE$3,"&lt;"&amp;$DF39,$AD39:$BA39)+SUMIF($BH$3:$CE$3,"&gt;"&amp;$CW$4,$AD39:$BA39)),
IF(BI$3=$DF39+'Model Setup'!$I$7,SUMIF($BH$3:$CE$3,"="&amp;$DF39+'Model Setup'!$I$7,$AD39:$BA39)+'Model Setup'!$I$8*(SUMIF($BH$3:$CE$3,"&lt;"&amp;$DF39,$AD39:$BA39)+SUMIF($BH$3:$CE$3,"&gt;"&amp;$CW$4,$AD39:$BA39)),
IF(BI$3=$DF39+'Model Setup'!$J$7,SUMIF($BH$3:$CE$3,"="&amp;$DF39+'Model Setup'!$J$7,$AD39:$BA39)+'Model Setup'!$J$8*(SUMIF($BH$3:$CE$3,"&lt;"&amp;$DF39,$AD39:$BA39)+SUMIF($BH$3:$CE$3,"&gt;"&amp;$CW$4,$AD39:$BA39)),
IF(BI$3=$DF39+'Model Setup'!$K$7,SUMIF($BH$3:$CE$3,"="&amp;$DF39+'Model Setup'!$K$7,$AD39:$BA39)+'Model Setup'!$K$8*(SUMIF($BH$3:$CE$3,"&lt;"&amp;$DF39,$AD39:$BA39)+SUMIF($BH$3:$CE$3,"&gt;"&amp;$CW$4,$AD39:$BA39)),
IF(BI$3=$DF39+'Model Setup'!$L$7,SUMIF($BH$3:$CE$3,"="&amp;$DF39+'Model Setup'!$L$7,$AD39:$BA39)+'Model Setup'!$L$8*(SUMIF($BH$3:$CE$3,"&lt;"&amp;$DF39,$AD39:$BA39)+SUMIF($BH$3:$CE$3,"&gt;"&amp;$CW$4,$AD39:$BA39)),
IF(BI$3=$DF39+'Model Setup'!$M$7,SUMIF($BH$3:$CE$3,"="&amp;$DF39+'Model Setup'!$M$7,$AD39:$BA39)+'Model Setup'!$M$8*(SUMIF($BH$3:$CE$3,"&lt;"&amp;$DF39,$AD39:$BA39)+SUMIF($BH$3:$CE$3,"&gt;"&amp;$CW$4,$AD39:$BA39)),
IF(BI$3=$DF39+'Model Setup'!$N$7,SUMIF($BH$3:$CE$3,"="&amp;$DF39+'Model Setup'!$N$7,$AD39:$BA39)+'Model Setup'!$N$8*(SUMIF($BH$3:$CE$3,"&lt;"&amp;$DF39,$AD39:$BA39)+SUMIF($BH$3:$CE$3,"&gt;"&amp;$CW$4,$AD39:$BA39)),
IF(BI$3&lt;$CW$4,C39,0))))))))))))))),0)</f>
        <v>0</v>
      </c>
      <c r="BJ39" s="47">
        <f>ROUND(IF(OR(BJ$3&lt;$DF39,BJ$3&gt;$CW$4),0,
IF(BJ$3=$DF39+'Model Setup'!$B$7,SUMIF($BH$3:$CE$3,"="&amp;$DF39+'Model Setup'!$B$7,$AD39:$BA39)+'Model Setup'!$B$8*(SUMIF($BH$3:$CE$3,"&lt;"&amp;$DF39,$AD39:$BA39)+SUMIF($BH$3:$CE$3,"&gt;"&amp;$CW$4,$AD39:$BA39)),
IF(BJ$3=$DF39+'Model Setup'!$C$7,SUMIF($BH$3:$CE$3,"="&amp;$DF39+'Model Setup'!$C$7,$AD39:$BA39)+'Model Setup'!$C$8*(SUMIF($BH$3:$CE$3,"&lt;"&amp;$DF39,$AD39:$BA39)+SUMIF($BH$3:$CE$3,"&gt;"&amp;$CW$4,$AD39:$BA39)),
IF(BJ$3=$DF39+'Model Setup'!$D$7,SUMIF($BH$3:$CE$3,"="&amp;$DF39+'Model Setup'!$D$7,$AD39:$BA39)+'Model Setup'!$D$8*(SUMIF($BH$3:$CE$3,"&lt;"&amp;$DF39,$AD39:$BA39)+SUMIF($BH$3:$CE$3,"&gt;"&amp;$CW$4,$AD39:$BA39)),
IF(BJ$3=$DF39+'Model Setup'!$E$7,SUMIF($BH$3:$CE$3,"="&amp;$DF39+'Model Setup'!$E$7,$AD39:$BA39)+'Model Setup'!$E$8*(SUMIF($BH$3:$CE$3,"&lt;"&amp;$DF39,$AD39:$BA39)+SUMIF($BH$3:$CE$3,"&gt;"&amp;$CW$4,$AD39:$BA39)),
IF(BJ$3=$DF39+'Model Setup'!$F$7,SUMIF($BH$3:$CE$3,"="&amp;$DF39+'Model Setup'!$F$7,$AD39:$BA39)+'Model Setup'!$F$8*(SUMIF($BH$3:$CE$3,"&lt;"&amp;$DF39,$AD39:$BA39)+SUMIF($BH$3:$CE$3,"&gt;"&amp;$CW$4,$AD39:$BA39)),
IF(BJ$3=$DF39+'Model Setup'!$G$7,SUMIF($BH$3:$CE$3,"="&amp;$DF39+'Model Setup'!$G$7,$AD39:$BA39)+'Model Setup'!$G$8*(SUMIF($BH$3:$CE$3,"&lt;"&amp;$DF39,$AD39:$BA39)+SUMIF($BH$3:$CE$3,"&gt;"&amp;$CW$4,$AD39:$BA39)),
IF(BJ$3=$DF39+'Model Setup'!$H$7,SUMIF($BH$3:$CE$3,"="&amp;$DF39+'Model Setup'!$H$7,$AD39:$BA39)+'Model Setup'!$H$8*(SUMIF($BH$3:$CE$3,"&lt;"&amp;$DF39,$AD39:$BA39)+SUMIF($BH$3:$CE$3,"&gt;"&amp;$CW$4,$AD39:$BA39)),
IF(BJ$3=$DF39+'Model Setup'!$I$7,SUMIF($BH$3:$CE$3,"="&amp;$DF39+'Model Setup'!$I$7,$AD39:$BA39)+'Model Setup'!$I$8*(SUMIF($BH$3:$CE$3,"&lt;"&amp;$DF39,$AD39:$BA39)+SUMIF($BH$3:$CE$3,"&gt;"&amp;$CW$4,$AD39:$BA39)),
IF(BJ$3=$DF39+'Model Setup'!$J$7,SUMIF($BH$3:$CE$3,"="&amp;$DF39+'Model Setup'!$J$7,$AD39:$BA39)+'Model Setup'!$J$8*(SUMIF($BH$3:$CE$3,"&lt;"&amp;$DF39,$AD39:$BA39)+SUMIF($BH$3:$CE$3,"&gt;"&amp;$CW$4,$AD39:$BA39)),
IF(BJ$3=$DF39+'Model Setup'!$K$7,SUMIF($BH$3:$CE$3,"="&amp;$DF39+'Model Setup'!$K$7,$AD39:$BA39)+'Model Setup'!$K$8*(SUMIF($BH$3:$CE$3,"&lt;"&amp;$DF39,$AD39:$BA39)+SUMIF($BH$3:$CE$3,"&gt;"&amp;$CW$4,$AD39:$BA39)),
IF(BJ$3=$DF39+'Model Setup'!$L$7,SUMIF($BH$3:$CE$3,"="&amp;$DF39+'Model Setup'!$L$7,$AD39:$BA39)+'Model Setup'!$L$8*(SUMIF($BH$3:$CE$3,"&lt;"&amp;$DF39,$AD39:$BA39)+SUMIF($BH$3:$CE$3,"&gt;"&amp;$CW$4,$AD39:$BA39)),
IF(BJ$3=$DF39+'Model Setup'!$M$7,SUMIF($BH$3:$CE$3,"="&amp;$DF39+'Model Setup'!$M$7,$AD39:$BA39)+'Model Setup'!$M$8*(SUMIF($BH$3:$CE$3,"&lt;"&amp;$DF39,$AD39:$BA39)+SUMIF($BH$3:$CE$3,"&gt;"&amp;$CW$4,$AD39:$BA39)),
IF(BJ$3=$DF39+'Model Setup'!$N$7,SUMIF($BH$3:$CE$3,"="&amp;$DF39+'Model Setup'!$N$7,$AD39:$BA39)+'Model Setup'!$N$8*(SUMIF($BH$3:$CE$3,"&lt;"&amp;$DF39,$AD39:$BA39)+SUMIF($BH$3:$CE$3,"&gt;"&amp;$CW$4,$AD39:$BA39)),
IF(BJ$3&lt;$CW$4,D39,0))))))))))))))),0)</f>
        <v>0</v>
      </c>
      <c r="BK39" s="47">
        <f>ROUND(IF(OR(BK$3&lt;$DF39,BK$3&gt;$CW$4),0,
IF(BK$3=$DF39+'Model Setup'!$B$7,SUMIF($BH$3:$CE$3,"="&amp;$DF39+'Model Setup'!$B$7,$AD39:$BA39)+'Model Setup'!$B$8*(SUMIF($BH$3:$CE$3,"&lt;"&amp;$DF39,$AD39:$BA39)+SUMIF($BH$3:$CE$3,"&gt;"&amp;$CW$4,$AD39:$BA39)),
IF(BK$3=$DF39+'Model Setup'!$C$7,SUMIF($BH$3:$CE$3,"="&amp;$DF39+'Model Setup'!$C$7,$AD39:$BA39)+'Model Setup'!$C$8*(SUMIF($BH$3:$CE$3,"&lt;"&amp;$DF39,$AD39:$BA39)+SUMIF($BH$3:$CE$3,"&gt;"&amp;$CW$4,$AD39:$BA39)),
IF(BK$3=$DF39+'Model Setup'!$D$7,SUMIF($BH$3:$CE$3,"="&amp;$DF39+'Model Setup'!$D$7,$AD39:$BA39)+'Model Setup'!$D$8*(SUMIF($BH$3:$CE$3,"&lt;"&amp;$DF39,$AD39:$BA39)+SUMIF($BH$3:$CE$3,"&gt;"&amp;$CW$4,$AD39:$BA39)),
IF(BK$3=$DF39+'Model Setup'!$E$7,SUMIF($BH$3:$CE$3,"="&amp;$DF39+'Model Setup'!$E$7,$AD39:$BA39)+'Model Setup'!$E$8*(SUMIF($BH$3:$CE$3,"&lt;"&amp;$DF39,$AD39:$BA39)+SUMIF($BH$3:$CE$3,"&gt;"&amp;$CW$4,$AD39:$BA39)),
IF(BK$3=$DF39+'Model Setup'!$F$7,SUMIF($BH$3:$CE$3,"="&amp;$DF39+'Model Setup'!$F$7,$AD39:$BA39)+'Model Setup'!$F$8*(SUMIF($BH$3:$CE$3,"&lt;"&amp;$DF39,$AD39:$BA39)+SUMIF($BH$3:$CE$3,"&gt;"&amp;$CW$4,$AD39:$BA39)),
IF(BK$3=$DF39+'Model Setup'!$G$7,SUMIF($BH$3:$CE$3,"="&amp;$DF39+'Model Setup'!$G$7,$AD39:$BA39)+'Model Setup'!$G$8*(SUMIF($BH$3:$CE$3,"&lt;"&amp;$DF39,$AD39:$BA39)+SUMIF($BH$3:$CE$3,"&gt;"&amp;$CW$4,$AD39:$BA39)),
IF(BK$3=$DF39+'Model Setup'!$H$7,SUMIF($BH$3:$CE$3,"="&amp;$DF39+'Model Setup'!$H$7,$AD39:$BA39)+'Model Setup'!$H$8*(SUMIF($BH$3:$CE$3,"&lt;"&amp;$DF39,$AD39:$BA39)+SUMIF($BH$3:$CE$3,"&gt;"&amp;$CW$4,$AD39:$BA39)),
IF(BK$3=$DF39+'Model Setup'!$I$7,SUMIF($BH$3:$CE$3,"="&amp;$DF39+'Model Setup'!$I$7,$AD39:$BA39)+'Model Setup'!$I$8*(SUMIF($BH$3:$CE$3,"&lt;"&amp;$DF39,$AD39:$BA39)+SUMIF($BH$3:$CE$3,"&gt;"&amp;$CW$4,$AD39:$BA39)),
IF(BK$3=$DF39+'Model Setup'!$J$7,SUMIF($BH$3:$CE$3,"="&amp;$DF39+'Model Setup'!$J$7,$AD39:$BA39)+'Model Setup'!$J$8*(SUMIF($BH$3:$CE$3,"&lt;"&amp;$DF39,$AD39:$BA39)+SUMIF($BH$3:$CE$3,"&gt;"&amp;$CW$4,$AD39:$BA39)),
IF(BK$3=$DF39+'Model Setup'!$K$7,SUMIF($BH$3:$CE$3,"="&amp;$DF39+'Model Setup'!$K$7,$AD39:$BA39)+'Model Setup'!$K$8*(SUMIF($BH$3:$CE$3,"&lt;"&amp;$DF39,$AD39:$BA39)+SUMIF($BH$3:$CE$3,"&gt;"&amp;$CW$4,$AD39:$BA39)),
IF(BK$3=$DF39+'Model Setup'!$L$7,SUMIF($BH$3:$CE$3,"="&amp;$DF39+'Model Setup'!$L$7,$AD39:$BA39)+'Model Setup'!$L$8*(SUMIF($BH$3:$CE$3,"&lt;"&amp;$DF39,$AD39:$BA39)+SUMIF($BH$3:$CE$3,"&gt;"&amp;$CW$4,$AD39:$BA39)),
IF(BK$3=$DF39+'Model Setup'!$M$7,SUMIF($BH$3:$CE$3,"="&amp;$DF39+'Model Setup'!$M$7,$AD39:$BA39)+'Model Setup'!$M$8*(SUMIF($BH$3:$CE$3,"&lt;"&amp;$DF39,$AD39:$BA39)+SUMIF($BH$3:$CE$3,"&gt;"&amp;$CW$4,$AD39:$BA39)),
IF(BK$3=$DF39+'Model Setup'!$N$7,SUMIF($BH$3:$CE$3,"="&amp;$DF39+'Model Setup'!$N$7,$AD39:$BA39)+'Model Setup'!$N$8*(SUMIF($BH$3:$CE$3,"&lt;"&amp;$DF39,$AD39:$BA39)+SUMIF($BH$3:$CE$3,"&gt;"&amp;$CW$4,$AD39:$BA39)),
IF(BK$3&lt;$CW$4,E39,0))))))))))))))),0)</f>
        <v>0</v>
      </c>
      <c r="BL39" s="47">
        <f>ROUND(IF(OR(BL$3&lt;$DF39,BL$3&gt;$CW$4),0,
IF(BL$3=$DF39+'Model Setup'!$B$7,SUMIF($BH$3:$CE$3,"="&amp;$DF39+'Model Setup'!$B$7,$AD39:$BA39)+'Model Setup'!$B$8*(SUMIF($BH$3:$CE$3,"&lt;"&amp;$DF39,$AD39:$BA39)+SUMIF($BH$3:$CE$3,"&gt;"&amp;$CW$4,$AD39:$BA39)),
IF(BL$3=$DF39+'Model Setup'!$C$7,SUMIF($BH$3:$CE$3,"="&amp;$DF39+'Model Setup'!$C$7,$AD39:$BA39)+'Model Setup'!$C$8*(SUMIF($BH$3:$CE$3,"&lt;"&amp;$DF39,$AD39:$BA39)+SUMIF($BH$3:$CE$3,"&gt;"&amp;$CW$4,$AD39:$BA39)),
IF(BL$3=$DF39+'Model Setup'!$D$7,SUMIF($BH$3:$CE$3,"="&amp;$DF39+'Model Setup'!$D$7,$AD39:$BA39)+'Model Setup'!$D$8*(SUMIF($BH$3:$CE$3,"&lt;"&amp;$DF39,$AD39:$BA39)+SUMIF($BH$3:$CE$3,"&gt;"&amp;$CW$4,$AD39:$BA39)),
IF(BL$3=$DF39+'Model Setup'!$E$7,SUMIF($BH$3:$CE$3,"="&amp;$DF39+'Model Setup'!$E$7,$AD39:$BA39)+'Model Setup'!$E$8*(SUMIF($BH$3:$CE$3,"&lt;"&amp;$DF39,$AD39:$BA39)+SUMIF($BH$3:$CE$3,"&gt;"&amp;$CW$4,$AD39:$BA39)),
IF(BL$3=$DF39+'Model Setup'!$F$7,SUMIF($BH$3:$CE$3,"="&amp;$DF39+'Model Setup'!$F$7,$AD39:$BA39)+'Model Setup'!$F$8*(SUMIF($BH$3:$CE$3,"&lt;"&amp;$DF39,$AD39:$BA39)+SUMIF($BH$3:$CE$3,"&gt;"&amp;$CW$4,$AD39:$BA39)),
IF(BL$3=$DF39+'Model Setup'!$G$7,SUMIF($BH$3:$CE$3,"="&amp;$DF39+'Model Setup'!$G$7,$AD39:$BA39)+'Model Setup'!$G$8*(SUMIF($BH$3:$CE$3,"&lt;"&amp;$DF39,$AD39:$BA39)+SUMIF($BH$3:$CE$3,"&gt;"&amp;$CW$4,$AD39:$BA39)),
IF(BL$3=$DF39+'Model Setup'!$H$7,SUMIF($BH$3:$CE$3,"="&amp;$DF39+'Model Setup'!$H$7,$AD39:$BA39)+'Model Setup'!$H$8*(SUMIF($BH$3:$CE$3,"&lt;"&amp;$DF39,$AD39:$BA39)+SUMIF($BH$3:$CE$3,"&gt;"&amp;$CW$4,$AD39:$BA39)),
IF(BL$3=$DF39+'Model Setup'!$I$7,SUMIF($BH$3:$CE$3,"="&amp;$DF39+'Model Setup'!$I$7,$AD39:$BA39)+'Model Setup'!$I$8*(SUMIF($BH$3:$CE$3,"&lt;"&amp;$DF39,$AD39:$BA39)+SUMIF($BH$3:$CE$3,"&gt;"&amp;$CW$4,$AD39:$BA39)),
IF(BL$3=$DF39+'Model Setup'!$J$7,SUMIF($BH$3:$CE$3,"="&amp;$DF39+'Model Setup'!$J$7,$AD39:$BA39)+'Model Setup'!$J$8*(SUMIF($BH$3:$CE$3,"&lt;"&amp;$DF39,$AD39:$BA39)+SUMIF($BH$3:$CE$3,"&gt;"&amp;$CW$4,$AD39:$BA39)),
IF(BL$3=$DF39+'Model Setup'!$K$7,SUMIF($BH$3:$CE$3,"="&amp;$DF39+'Model Setup'!$K$7,$AD39:$BA39)+'Model Setup'!$K$8*(SUMIF($BH$3:$CE$3,"&lt;"&amp;$DF39,$AD39:$BA39)+SUMIF($BH$3:$CE$3,"&gt;"&amp;$CW$4,$AD39:$BA39)),
IF(BL$3=$DF39+'Model Setup'!$L$7,SUMIF($BH$3:$CE$3,"="&amp;$DF39+'Model Setup'!$L$7,$AD39:$BA39)+'Model Setup'!$L$8*(SUMIF($BH$3:$CE$3,"&lt;"&amp;$DF39,$AD39:$BA39)+SUMIF($BH$3:$CE$3,"&gt;"&amp;$CW$4,$AD39:$BA39)),
IF(BL$3=$DF39+'Model Setup'!$M$7,SUMIF($BH$3:$CE$3,"="&amp;$DF39+'Model Setup'!$M$7,$AD39:$BA39)+'Model Setup'!$M$8*(SUMIF($BH$3:$CE$3,"&lt;"&amp;$DF39,$AD39:$BA39)+SUMIF($BH$3:$CE$3,"&gt;"&amp;$CW$4,$AD39:$BA39)),
IF(BL$3=$DF39+'Model Setup'!$N$7,SUMIF($BH$3:$CE$3,"="&amp;$DF39+'Model Setup'!$N$7,$AD39:$BA39)+'Model Setup'!$N$8*(SUMIF($BH$3:$CE$3,"&lt;"&amp;$DF39,$AD39:$BA39)+SUMIF($BH$3:$CE$3,"&gt;"&amp;$CW$4,$AD39:$BA39)),
IF(BL$3&lt;$CW$4,F39,0))))))))))))))),0)</f>
        <v>0</v>
      </c>
      <c r="BM39" s="47">
        <f>ROUND(IF(OR(BM$3&lt;$DF39,BM$3&gt;$CW$4),0,
IF(BM$3=$DF39+'Model Setup'!$B$7,SUMIF($BH$3:$CE$3,"="&amp;$DF39+'Model Setup'!$B$7,$AD39:$BA39)+'Model Setup'!$B$8*(SUMIF($BH$3:$CE$3,"&lt;"&amp;$DF39,$AD39:$BA39)+SUMIF($BH$3:$CE$3,"&gt;"&amp;$CW$4,$AD39:$BA39)),
IF(BM$3=$DF39+'Model Setup'!$C$7,SUMIF($BH$3:$CE$3,"="&amp;$DF39+'Model Setup'!$C$7,$AD39:$BA39)+'Model Setup'!$C$8*(SUMIF($BH$3:$CE$3,"&lt;"&amp;$DF39,$AD39:$BA39)+SUMIF($BH$3:$CE$3,"&gt;"&amp;$CW$4,$AD39:$BA39)),
IF(BM$3=$DF39+'Model Setup'!$D$7,SUMIF($BH$3:$CE$3,"="&amp;$DF39+'Model Setup'!$D$7,$AD39:$BA39)+'Model Setup'!$D$8*(SUMIF($BH$3:$CE$3,"&lt;"&amp;$DF39,$AD39:$BA39)+SUMIF($BH$3:$CE$3,"&gt;"&amp;$CW$4,$AD39:$BA39)),
IF(BM$3=$DF39+'Model Setup'!$E$7,SUMIF($BH$3:$CE$3,"="&amp;$DF39+'Model Setup'!$E$7,$AD39:$BA39)+'Model Setup'!$E$8*(SUMIF($BH$3:$CE$3,"&lt;"&amp;$DF39,$AD39:$BA39)+SUMIF($BH$3:$CE$3,"&gt;"&amp;$CW$4,$AD39:$BA39)),
IF(BM$3=$DF39+'Model Setup'!$F$7,SUMIF($BH$3:$CE$3,"="&amp;$DF39+'Model Setup'!$F$7,$AD39:$BA39)+'Model Setup'!$F$8*(SUMIF($BH$3:$CE$3,"&lt;"&amp;$DF39,$AD39:$BA39)+SUMIF($BH$3:$CE$3,"&gt;"&amp;$CW$4,$AD39:$BA39)),
IF(BM$3=$DF39+'Model Setup'!$G$7,SUMIF($BH$3:$CE$3,"="&amp;$DF39+'Model Setup'!$G$7,$AD39:$BA39)+'Model Setup'!$G$8*(SUMIF($BH$3:$CE$3,"&lt;"&amp;$DF39,$AD39:$BA39)+SUMIF($BH$3:$CE$3,"&gt;"&amp;$CW$4,$AD39:$BA39)),
IF(BM$3=$DF39+'Model Setup'!$H$7,SUMIF($BH$3:$CE$3,"="&amp;$DF39+'Model Setup'!$H$7,$AD39:$BA39)+'Model Setup'!$H$8*(SUMIF($BH$3:$CE$3,"&lt;"&amp;$DF39,$AD39:$BA39)+SUMIF($BH$3:$CE$3,"&gt;"&amp;$CW$4,$AD39:$BA39)),
IF(BM$3=$DF39+'Model Setup'!$I$7,SUMIF($BH$3:$CE$3,"="&amp;$DF39+'Model Setup'!$I$7,$AD39:$BA39)+'Model Setup'!$I$8*(SUMIF($BH$3:$CE$3,"&lt;"&amp;$DF39,$AD39:$BA39)+SUMIF($BH$3:$CE$3,"&gt;"&amp;$CW$4,$AD39:$BA39)),
IF(BM$3=$DF39+'Model Setup'!$J$7,SUMIF($BH$3:$CE$3,"="&amp;$DF39+'Model Setup'!$J$7,$AD39:$BA39)+'Model Setup'!$J$8*(SUMIF($BH$3:$CE$3,"&lt;"&amp;$DF39,$AD39:$BA39)+SUMIF($BH$3:$CE$3,"&gt;"&amp;$CW$4,$AD39:$BA39)),
IF(BM$3=$DF39+'Model Setup'!$K$7,SUMIF($BH$3:$CE$3,"="&amp;$DF39+'Model Setup'!$K$7,$AD39:$BA39)+'Model Setup'!$K$8*(SUMIF($BH$3:$CE$3,"&lt;"&amp;$DF39,$AD39:$BA39)+SUMIF($BH$3:$CE$3,"&gt;"&amp;$CW$4,$AD39:$BA39)),
IF(BM$3=$DF39+'Model Setup'!$L$7,SUMIF($BH$3:$CE$3,"="&amp;$DF39+'Model Setup'!$L$7,$AD39:$BA39)+'Model Setup'!$L$8*(SUMIF($BH$3:$CE$3,"&lt;"&amp;$DF39,$AD39:$BA39)+SUMIF($BH$3:$CE$3,"&gt;"&amp;$CW$4,$AD39:$BA39)),
IF(BM$3=$DF39+'Model Setup'!$M$7,SUMIF($BH$3:$CE$3,"="&amp;$DF39+'Model Setup'!$M$7,$AD39:$BA39)+'Model Setup'!$M$8*(SUMIF($BH$3:$CE$3,"&lt;"&amp;$DF39,$AD39:$BA39)+SUMIF($BH$3:$CE$3,"&gt;"&amp;$CW$4,$AD39:$BA39)),
IF(BM$3=$DF39+'Model Setup'!$N$7,SUMIF($BH$3:$CE$3,"="&amp;$DF39+'Model Setup'!$N$7,$AD39:$BA39)+'Model Setup'!$N$8*(SUMIF($BH$3:$CE$3,"&lt;"&amp;$DF39,$AD39:$BA39)+SUMIF($BH$3:$CE$3,"&gt;"&amp;$CW$4,$AD39:$BA39)),
IF(BM$3&lt;$CW$4,G39,0))))))))))))))),0)</f>
        <v>73</v>
      </c>
      <c r="BN39" s="47">
        <f>ROUND(IF(OR(BN$3&lt;$DF39,BN$3&gt;$CW$4),0,
IF(BN$3=$DF39+'Model Setup'!$B$7,SUMIF($BH$3:$CE$3,"="&amp;$DF39+'Model Setup'!$B$7,$AD39:$BA39)+'Model Setup'!$B$8*(SUMIF($BH$3:$CE$3,"&lt;"&amp;$DF39,$AD39:$BA39)+SUMIF($BH$3:$CE$3,"&gt;"&amp;$CW$4,$AD39:$BA39)),
IF(BN$3=$DF39+'Model Setup'!$C$7,SUMIF($BH$3:$CE$3,"="&amp;$DF39+'Model Setup'!$C$7,$AD39:$BA39)+'Model Setup'!$C$8*(SUMIF($BH$3:$CE$3,"&lt;"&amp;$DF39,$AD39:$BA39)+SUMIF($BH$3:$CE$3,"&gt;"&amp;$CW$4,$AD39:$BA39)),
IF(BN$3=$DF39+'Model Setup'!$D$7,SUMIF($BH$3:$CE$3,"="&amp;$DF39+'Model Setup'!$D$7,$AD39:$BA39)+'Model Setup'!$D$8*(SUMIF($BH$3:$CE$3,"&lt;"&amp;$DF39,$AD39:$BA39)+SUMIF($BH$3:$CE$3,"&gt;"&amp;$CW$4,$AD39:$BA39)),
IF(BN$3=$DF39+'Model Setup'!$E$7,SUMIF($BH$3:$CE$3,"="&amp;$DF39+'Model Setup'!$E$7,$AD39:$BA39)+'Model Setup'!$E$8*(SUMIF($BH$3:$CE$3,"&lt;"&amp;$DF39,$AD39:$BA39)+SUMIF($BH$3:$CE$3,"&gt;"&amp;$CW$4,$AD39:$BA39)),
IF(BN$3=$DF39+'Model Setup'!$F$7,SUMIF($BH$3:$CE$3,"="&amp;$DF39+'Model Setup'!$F$7,$AD39:$BA39)+'Model Setup'!$F$8*(SUMIF($BH$3:$CE$3,"&lt;"&amp;$DF39,$AD39:$BA39)+SUMIF($BH$3:$CE$3,"&gt;"&amp;$CW$4,$AD39:$BA39)),
IF(BN$3=$DF39+'Model Setup'!$G$7,SUMIF($BH$3:$CE$3,"="&amp;$DF39+'Model Setup'!$G$7,$AD39:$BA39)+'Model Setup'!$G$8*(SUMIF($BH$3:$CE$3,"&lt;"&amp;$DF39,$AD39:$BA39)+SUMIF($BH$3:$CE$3,"&gt;"&amp;$CW$4,$AD39:$BA39)),
IF(BN$3=$DF39+'Model Setup'!$H$7,SUMIF($BH$3:$CE$3,"="&amp;$DF39+'Model Setup'!$H$7,$AD39:$BA39)+'Model Setup'!$H$8*(SUMIF($BH$3:$CE$3,"&lt;"&amp;$DF39,$AD39:$BA39)+SUMIF($BH$3:$CE$3,"&gt;"&amp;$CW$4,$AD39:$BA39)),
IF(BN$3=$DF39+'Model Setup'!$I$7,SUMIF($BH$3:$CE$3,"="&amp;$DF39+'Model Setup'!$I$7,$AD39:$BA39)+'Model Setup'!$I$8*(SUMIF($BH$3:$CE$3,"&lt;"&amp;$DF39,$AD39:$BA39)+SUMIF($BH$3:$CE$3,"&gt;"&amp;$CW$4,$AD39:$BA39)),
IF(BN$3=$DF39+'Model Setup'!$J$7,SUMIF($BH$3:$CE$3,"="&amp;$DF39+'Model Setup'!$J$7,$AD39:$BA39)+'Model Setup'!$J$8*(SUMIF($BH$3:$CE$3,"&lt;"&amp;$DF39,$AD39:$BA39)+SUMIF($BH$3:$CE$3,"&gt;"&amp;$CW$4,$AD39:$BA39)),
IF(BN$3=$DF39+'Model Setup'!$K$7,SUMIF($BH$3:$CE$3,"="&amp;$DF39+'Model Setup'!$K$7,$AD39:$BA39)+'Model Setup'!$K$8*(SUMIF($BH$3:$CE$3,"&lt;"&amp;$DF39,$AD39:$BA39)+SUMIF($BH$3:$CE$3,"&gt;"&amp;$CW$4,$AD39:$BA39)),
IF(BN$3=$DF39+'Model Setup'!$L$7,SUMIF($BH$3:$CE$3,"="&amp;$DF39+'Model Setup'!$L$7,$AD39:$BA39)+'Model Setup'!$L$8*(SUMIF($BH$3:$CE$3,"&lt;"&amp;$DF39,$AD39:$BA39)+SUMIF($BH$3:$CE$3,"&gt;"&amp;$CW$4,$AD39:$BA39)),
IF(BN$3=$DF39+'Model Setup'!$M$7,SUMIF($BH$3:$CE$3,"="&amp;$DF39+'Model Setup'!$M$7,$AD39:$BA39)+'Model Setup'!$M$8*(SUMIF($BH$3:$CE$3,"&lt;"&amp;$DF39,$AD39:$BA39)+SUMIF($BH$3:$CE$3,"&gt;"&amp;$CW$4,$AD39:$BA39)),
IF(BN$3=$DF39+'Model Setup'!$N$7,SUMIF($BH$3:$CE$3,"="&amp;$DF39+'Model Setup'!$N$7,$AD39:$BA39)+'Model Setup'!$N$8*(SUMIF($BH$3:$CE$3,"&lt;"&amp;$DF39,$AD39:$BA39)+SUMIF($BH$3:$CE$3,"&gt;"&amp;$CW$4,$AD39:$BA39)),
IF(BN$3&lt;$CW$4,H39,0))))))))))))))),0)</f>
        <v>288</v>
      </c>
      <c r="BO39" s="47">
        <f>ROUND(IF(OR(BO$3&lt;$DF39,BO$3&gt;$CW$4),0,
IF(BO$3=$DF39+'Model Setup'!$B$7,SUMIF($BH$3:$CE$3,"="&amp;$DF39+'Model Setup'!$B$7,$AD39:$BA39)+'Model Setup'!$B$8*(SUMIF($BH$3:$CE$3,"&lt;"&amp;$DF39,$AD39:$BA39)+SUMIF($BH$3:$CE$3,"&gt;"&amp;$CW$4,$AD39:$BA39)),
IF(BO$3=$DF39+'Model Setup'!$C$7,SUMIF($BH$3:$CE$3,"="&amp;$DF39+'Model Setup'!$C$7,$AD39:$BA39)+'Model Setup'!$C$8*(SUMIF($BH$3:$CE$3,"&lt;"&amp;$DF39,$AD39:$BA39)+SUMIF($BH$3:$CE$3,"&gt;"&amp;$CW$4,$AD39:$BA39)),
IF(BO$3=$DF39+'Model Setup'!$D$7,SUMIF($BH$3:$CE$3,"="&amp;$DF39+'Model Setup'!$D$7,$AD39:$BA39)+'Model Setup'!$D$8*(SUMIF($BH$3:$CE$3,"&lt;"&amp;$DF39,$AD39:$BA39)+SUMIF($BH$3:$CE$3,"&gt;"&amp;$CW$4,$AD39:$BA39)),
IF(BO$3=$DF39+'Model Setup'!$E$7,SUMIF($BH$3:$CE$3,"="&amp;$DF39+'Model Setup'!$E$7,$AD39:$BA39)+'Model Setup'!$E$8*(SUMIF($BH$3:$CE$3,"&lt;"&amp;$DF39,$AD39:$BA39)+SUMIF($BH$3:$CE$3,"&gt;"&amp;$CW$4,$AD39:$BA39)),
IF(BO$3=$DF39+'Model Setup'!$F$7,SUMIF($BH$3:$CE$3,"="&amp;$DF39+'Model Setup'!$F$7,$AD39:$BA39)+'Model Setup'!$F$8*(SUMIF($BH$3:$CE$3,"&lt;"&amp;$DF39,$AD39:$BA39)+SUMIF($BH$3:$CE$3,"&gt;"&amp;$CW$4,$AD39:$BA39)),
IF(BO$3=$DF39+'Model Setup'!$G$7,SUMIF($BH$3:$CE$3,"="&amp;$DF39+'Model Setup'!$G$7,$AD39:$BA39)+'Model Setup'!$G$8*(SUMIF($BH$3:$CE$3,"&lt;"&amp;$DF39,$AD39:$BA39)+SUMIF($BH$3:$CE$3,"&gt;"&amp;$CW$4,$AD39:$BA39)),
IF(BO$3=$DF39+'Model Setup'!$H$7,SUMIF($BH$3:$CE$3,"="&amp;$DF39+'Model Setup'!$H$7,$AD39:$BA39)+'Model Setup'!$H$8*(SUMIF($BH$3:$CE$3,"&lt;"&amp;$DF39,$AD39:$BA39)+SUMIF($BH$3:$CE$3,"&gt;"&amp;$CW$4,$AD39:$BA39)),
IF(BO$3=$DF39+'Model Setup'!$I$7,SUMIF($BH$3:$CE$3,"="&amp;$DF39+'Model Setup'!$I$7,$AD39:$BA39)+'Model Setup'!$I$8*(SUMIF($BH$3:$CE$3,"&lt;"&amp;$DF39,$AD39:$BA39)+SUMIF($BH$3:$CE$3,"&gt;"&amp;$CW$4,$AD39:$BA39)),
IF(BO$3=$DF39+'Model Setup'!$J$7,SUMIF($BH$3:$CE$3,"="&amp;$DF39+'Model Setup'!$J$7,$AD39:$BA39)+'Model Setup'!$J$8*(SUMIF($BH$3:$CE$3,"&lt;"&amp;$DF39,$AD39:$BA39)+SUMIF($BH$3:$CE$3,"&gt;"&amp;$CW$4,$AD39:$BA39)),
IF(BO$3=$DF39+'Model Setup'!$K$7,SUMIF($BH$3:$CE$3,"="&amp;$DF39+'Model Setup'!$K$7,$AD39:$BA39)+'Model Setup'!$K$8*(SUMIF($BH$3:$CE$3,"&lt;"&amp;$DF39,$AD39:$BA39)+SUMIF($BH$3:$CE$3,"&gt;"&amp;$CW$4,$AD39:$BA39)),
IF(BO$3=$DF39+'Model Setup'!$L$7,SUMIF($BH$3:$CE$3,"="&amp;$DF39+'Model Setup'!$L$7,$AD39:$BA39)+'Model Setup'!$L$8*(SUMIF($BH$3:$CE$3,"&lt;"&amp;$DF39,$AD39:$BA39)+SUMIF($BH$3:$CE$3,"&gt;"&amp;$CW$4,$AD39:$BA39)),
IF(BO$3=$DF39+'Model Setup'!$M$7,SUMIF($BH$3:$CE$3,"="&amp;$DF39+'Model Setup'!$M$7,$AD39:$BA39)+'Model Setup'!$M$8*(SUMIF($BH$3:$CE$3,"&lt;"&amp;$DF39,$AD39:$BA39)+SUMIF($BH$3:$CE$3,"&gt;"&amp;$CW$4,$AD39:$BA39)),
IF(BO$3=$DF39+'Model Setup'!$N$7,SUMIF($BH$3:$CE$3,"="&amp;$DF39+'Model Setup'!$N$7,$AD39:$BA39)+'Model Setup'!$N$8*(SUMIF($BH$3:$CE$3,"&lt;"&amp;$DF39,$AD39:$BA39)+SUMIF($BH$3:$CE$3,"&gt;"&amp;$CW$4,$AD39:$BA39)),
IF(BO$3&lt;$CW$4,I39,0))))))))))))))),0)</f>
        <v>278</v>
      </c>
      <c r="BP39" s="47">
        <f>ROUND(IF(OR(BP$3&lt;$DF39,BP$3&gt;$CW$4),0,
IF(BP$3=$DF39+'Model Setup'!$B$7,SUMIF($BH$3:$CE$3,"="&amp;$DF39+'Model Setup'!$B$7,$AD39:$BA39)+'Model Setup'!$B$8*(SUMIF($BH$3:$CE$3,"&lt;"&amp;$DF39,$AD39:$BA39)+SUMIF($BH$3:$CE$3,"&gt;"&amp;$CW$4,$AD39:$BA39)),
IF(BP$3=$DF39+'Model Setup'!$C$7,SUMIF($BH$3:$CE$3,"="&amp;$DF39+'Model Setup'!$C$7,$AD39:$BA39)+'Model Setup'!$C$8*(SUMIF($BH$3:$CE$3,"&lt;"&amp;$DF39,$AD39:$BA39)+SUMIF($BH$3:$CE$3,"&gt;"&amp;$CW$4,$AD39:$BA39)),
IF(BP$3=$DF39+'Model Setup'!$D$7,SUMIF($BH$3:$CE$3,"="&amp;$DF39+'Model Setup'!$D$7,$AD39:$BA39)+'Model Setup'!$D$8*(SUMIF($BH$3:$CE$3,"&lt;"&amp;$DF39,$AD39:$BA39)+SUMIF($BH$3:$CE$3,"&gt;"&amp;$CW$4,$AD39:$BA39)),
IF(BP$3=$DF39+'Model Setup'!$E$7,SUMIF($BH$3:$CE$3,"="&amp;$DF39+'Model Setup'!$E$7,$AD39:$BA39)+'Model Setup'!$E$8*(SUMIF($BH$3:$CE$3,"&lt;"&amp;$DF39,$AD39:$BA39)+SUMIF($BH$3:$CE$3,"&gt;"&amp;$CW$4,$AD39:$BA39)),
IF(BP$3=$DF39+'Model Setup'!$F$7,SUMIF($BH$3:$CE$3,"="&amp;$DF39+'Model Setup'!$F$7,$AD39:$BA39)+'Model Setup'!$F$8*(SUMIF($BH$3:$CE$3,"&lt;"&amp;$DF39,$AD39:$BA39)+SUMIF($BH$3:$CE$3,"&gt;"&amp;$CW$4,$AD39:$BA39)),
IF(BP$3=$DF39+'Model Setup'!$G$7,SUMIF($BH$3:$CE$3,"="&amp;$DF39+'Model Setup'!$G$7,$AD39:$BA39)+'Model Setup'!$G$8*(SUMIF($BH$3:$CE$3,"&lt;"&amp;$DF39,$AD39:$BA39)+SUMIF($BH$3:$CE$3,"&gt;"&amp;$CW$4,$AD39:$BA39)),
IF(BP$3=$DF39+'Model Setup'!$H$7,SUMIF($BH$3:$CE$3,"="&amp;$DF39+'Model Setup'!$H$7,$AD39:$BA39)+'Model Setup'!$H$8*(SUMIF($BH$3:$CE$3,"&lt;"&amp;$DF39,$AD39:$BA39)+SUMIF($BH$3:$CE$3,"&gt;"&amp;$CW$4,$AD39:$BA39)),
IF(BP$3=$DF39+'Model Setup'!$I$7,SUMIF($BH$3:$CE$3,"="&amp;$DF39+'Model Setup'!$I$7,$AD39:$BA39)+'Model Setup'!$I$8*(SUMIF($BH$3:$CE$3,"&lt;"&amp;$DF39,$AD39:$BA39)+SUMIF($BH$3:$CE$3,"&gt;"&amp;$CW$4,$AD39:$BA39)),
IF(BP$3=$DF39+'Model Setup'!$J$7,SUMIF($BH$3:$CE$3,"="&amp;$DF39+'Model Setup'!$J$7,$AD39:$BA39)+'Model Setup'!$J$8*(SUMIF($BH$3:$CE$3,"&lt;"&amp;$DF39,$AD39:$BA39)+SUMIF($BH$3:$CE$3,"&gt;"&amp;$CW$4,$AD39:$BA39)),
IF(BP$3=$DF39+'Model Setup'!$K$7,SUMIF($BH$3:$CE$3,"="&amp;$DF39+'Model Setup'!$K$7,$AD39:$BA39)+'Model Setup'!$K$8*(SUMIF($BH$3:$CE$3,"&lt;"&amp;$DF39,$AD39:$BA39)+SUMIF($BH$3:$CE$3,"&gt;"&amp;$CW$4,$AD39:$BA39)),
IF(BP$3=$DF39+'Model Setup'!$L$7,SUMIF($BH$3:$CE$3,"="&amp;$DF39+'Model Setup'!$L$7,$AD39:$BA39)+'Model Setup'!$L$8*(SUMIF($BH$3:$CE$3,"&lt;"&amp;$DF39,$AD39:$BA39)+SUMIF($BH$3:$CE$3,"&gt;"&amp;$CW$4,$AD39:$BA39)),
IF(BP$3=$DF39+'Model Setup'!$M$7,SUMIF($BH$3:$CE$3,"="&amp;$DF39+'Model Setup'!$M$7,$AD39:$BA39)+'Model Setup'!$M$8*(SUMIF($BH$3:$CE$3,"&lt;"&amp;$DF39,$AD39:$BA39)+SUMIF($BH$3:$CE$3,"&gt;"&amp;$CW$4,$AD39:$BA39)),
IF(BP$3=$DF39+'Model Setup'!$N$7,SUMIF($BH$3:$CE$3,"="&amp;$DF39+'Model Setup'!$N$7,$AD39:$BA39)+'Model Setup'!$N$8*(SUMIF($BH$3:$CE$3,"&lt;"&amp;$DF39,$AD39:$BA39)+SUMIF($BH$3:$CE$3,"&gt;"&amp;$CW$4,$AD39:$BA39)),
IF(BP$3&lt;$CW$4,J39,0))))))))))))))),0)</f>
        <v>285</v>
      </c>
      <c r="BQ39" s="47">
        <f>ROUND(IF(OR(BQ$3&lt;$DF39,BQ$3&gt;$CW$4),0,
IF(BQ$3=$DF39+'Model Setup'!$B$7,SUMIF($BH$3:$CE$3,"="&amp;$DF39+'Model Setup'!$B$7,$AD39:$BA39)+'Model Setup'!$B$8*(SUMIF($BH$3:$CE$3,"&lt;"&amp;$DF39,$AD39:$BA39)+SUMIF($BH$3:$CE$3,"&gt;"&amp;$CW$4,$AD39:$BA39)),
IF(BQ$3=$DF39+'Model Setup'!$C$7,SUMIF($BH$3:$CE$3,"="&amp;$DF39+'Model Setup'!$C$7,$AD39:$BA39)+'Model Setup'!$C$8*(SUMIF($BH$3:$CE$3,"&lt;"&amp;$DF39,$AD39:$BA39)+SUMIF($BH$3:$CE$3,"&gt;"&amp;$CW$4,$AD39:$BA39)),
IF(BQ$3=$DF39+'Model Setup'!$D$7,SUMIF($BH$3:$CE$3,"="&amp;$DF39+'Model Setup'!$D$7,$AD39:$BA39)+'Model Setup'!$D$8*(SUMIF($BH$3:$CE$3,"&lt;"&amp;$DF39,$AD39:$BA39)+SUMIF($BH$3:$CE$3,"&gt;"&amp;$CW$4,$AD39:$BA39)),
IF(BQ$3=$DF39+'Model Setup'!$E$7,SUMIF($BH$3:$CE$3,"="&amp;$DF39+'Model Setup'!$E$7,$AD39:$BA39)+'Model Setup'!$E$8*(SUMIF($BH$3:$CE$3,"&lt;"&amp;$DF39,$AD39:$BA39)+SUMIF($BH$3:$CE$3,"&gt;"&amp;$CW$4,$AD39:$BA39)),
IF(BQ$3=$DF39+'Model Setup'!$F$7,SUMIF($BH$3:$CE$3,"="&amp;$DF39+'Model Setup'!$F$7,$AD39:$BA39)+'Model Setup'!$F$8*(SUMIF($BH$3:$CE$3,"&lt;"&amp;$DF39,$AD39:$BA39)+SUMIF($BH$3:$CE$3,"&gt;"&amp;$CW$4,$AD39:$BA39)),
IF(BQ$3=$DF39+'Model Setup'!$G$7,SUMIF($BH$3:$CE$3,"="&amp;$DF39+'Model Setup'!$G$7,$AD39:$BA39)+'Model Setup'!$G$8*(SUMIF($BH$3:$CE$3,"&lt;"&amp;$DF39,$AD39:$BA39)+SUMIF($BH$3:$CE$3,"&gt;"&amp;$CW$4,$AD39:$BA39)),
IF(BQ$3=$DF39+'Model Setup'!$H$7,SUMIF($BH$3:$CE$3,"="&amp;$DF39+'Model Setup'!$H$7,$AD39:$BA39)+'Model Setup'!$H$8*(SUMIF($BH$3:$CE$3,"&lt;"&amp;$DF39,$AD39:$BA39)+SUMIF($BH$3:$CE$3,"&gt;"&amp;$CW$4,$AD39:$BA39)),
IF(BQ$3=$DF39+'Model Setup'!$I$7,SUMIF($BH$3:$CE$3,"="&amp;$DF39+'Model Setup'!$I$7,$AD39:$BA39)+'Model Setup'!$I$8*(SUMIF($BH$3:$CE$3,"&lt;"&amp;$DF39,$AD39:$BA39)+SUMIF($BH$3:$CE$3,"&gt;"&amp;$CW$4,$AD39:$BA39)),
IF(BQ$3=$DF39+'Model Setup'!$J$7,SUMIF($BH$3:$CE$3,"="&amp;$DF39+'Model Setup'!$J$7,$AD39:$BA39)+'Model Setup'!$J$8*(SUMIF($BH$3:$CE$3,"&lt;"&amp;$DF39,$AD39:$BA39)+SUMIF($BH$3:$CE$3,"&gt;"&amp;$CW$4,$AD39:$BA39)),
IF(BQ$3=$DF39+'Model Setup'!$K$7,SUMIF($BH$3:$CE$3,"="&amp;$DF39+'Model Setup'!$K$7,$AD39:$BA39)+'Model Setup'!$K$8*(SUMIF($BH$3:$CE$3,"&lt;"&amp;$DF39,$AD39:$BA39)+SUMIF($BH$3:$CE$3,"&gt;"&amp;$CW$4,$AD39:$BA39)),
IF(BQ$3=$DF39+'Model Setup'!$L$7,SUMIF($BH$3:$CE$3,"="&amp;$DF39+'Model Setup'!$L$7,$AD39:$BA39)+'Model Setup'!$L$8*(SUMIF($BH$3:$CE$3,"&lt;"&amp;$DF39,$AD39:$BA39)+SUMIF($BH$3:$CE$3,"&gt;"&amp;$CW$4,$AD39:$BA39)),
IF(BQ$3=$DF39+'Model Setup'!$M$7,SUMIF($BH$3:$CE$3,"="&amp;$DF39+'Model Setup'!$M$7,$AD39:$BA39)+'Model Setup'!$M$8*(SUMIF($BH$3:$CE$3,"&lt;"&amp;$DF39,$AD39:$BA39)+SUMIF($BH$3:$CE$3,"&gt;"&amp;$CW$4,$AD39:$BA39)),
IF(BQ$3=$DF39+'Model Setup'!$N$7,SUMIF($BH$3:$CE$3,"="&amp;$DF39+'Model Setup'!$N$7,$AD39:$BA39)+'Model Setup'!$N$8*(SUMIF($BH$3:$CE$3,"&lt;"&amp;$DF39,$AD39:$BA39)+SUMIF($BH$3:$CE$3,"&gt;"&amp;$CW$4,$AD39:$BA39)),
IF(BQ$3&lt;$CW$4,K39,0))))))))))))))),0)</f>
        <v>266</v>
      </c>
      <c r="BR39" s="47">
        <f>ROUND(IF(OR(BR$3&lt;$DF39,BR$3&gt;$CW$4),0,
IF(BR$3=$DF39+'Model Setup'!$B$7,SUMIF($BH$3:$CE$3,"="&amp;$DF39+'Model Setup'!$B$7,$AD39:$BA39)+'Model Setup'!$B$8*(SUMIF($BH$3:$CE$3,"&lt;"&amp;$DF39,$AD39:$BA39)+SUMIF($BH$3:$CE$3,"&gt;"&amp;$CW$4,$AD39:$BA39)),
IF(BR$3=$DF39+'Model Setup'!$C$7,SUMIF($BH$3:$CE$3,"="&amp;$DF39+'Model Setup'!$C$7,$AD39:$BA39)+'Model Setup'!$C$8*(SUMIF($BH$3:$CE$3,"&lt;"&amp;$DF39,$AD39:$BA39)+SUMIF($BH$3:$CE$3,"&gt;"&amp;$CW$4,$AD39:$BA39)),
IF(BR$3=$DF39+'Model Setup'!$D$7,SUMIF($BH$3:$CE$3,"="&amp;$DF39+'Model Setup'!$D$7,$AD39:$BA39)+'Model Setup'!$D$8*(SUMIF($BH$3:$CE$3,"&lt;"&amp;$DF39,$AD39:$BA39)+SUMIF($BH$3:$CE$3,"&gt;"&amp;$CW$4,$AD39:$BA39)),
IF(BR$3=$DF39+'Model Setup'!$E$7,SUMIF($BH$3:$CE$3,"="&amp;$DF39+'Model Setup'!$E$7,$AD39:$BA39)+'Model Setup'!$E$8*(SUMIF($BH$3:$CE$3,"&lt;"&amp;$DF39,$AD39:$BA39)+SUMIF($BH$3:$CE$3,"&gt;"&amp;$CW$4,$AD39:$BA39)),
IF(BR$3=$DF39+'Model Setup'!$F$7,SUMIF($BH$3:$CE$3,"="&amp;$DF39+'Model Setup'!$F$7,$AD39:$BA39)+'Model Setup'!$F$8*(SUMIF($BH$3:$CE$3,"&lt;"&amp;$DF39,$AD39:$BA39)+SUMIF($BH$3:$CE$3,"&gt;"&amp;$CW$4,$AD39:$BA39)),
IF(BR$3=$DF39+'Model Setup'!$G$7,SUMIF($BH$3:$CE$3,"="&amp;$DF39+'Model Setup'!$G$7,$AD39:$BA39)+'Model Setup'!$G$8*(SUMIF($BH$3:$CE$3,"&lt;"&amp;$DF39,$AD39:$BA39)+SUMIF($BH$3:$CE$3,"&gt;"&amp;$CW$4,$AD39:$BA39)),
IF(BR$3=$DF39+'Model Setup'!$H$7,SUMIF($BH$3:$CE$3,"="&amp;$DF39+'Model Setup'!$H$7,$AD39:$BA39)+'Model Setup'!$H$8*(SUMIF($BH$3:$CE$3,"&lt;"&amp;$DF39,$AD39:$BA39)+SUMIF($BH$3:$CE$3,"&gt;"&amp;$CW$4,$AD39:$BA39)),
IF(BR$3=$DF39+'Model Setup'!$I$7,SUMIF($BH$3:$CE$3,"="&amp;$DF39+'Model Setup'!$I$7,$AD39:$BA39)+'Model Setup'!$I$8*(SUMIF($BH$3:$CE$3,"&lt;"&amp;$DF39,$AD39:$BA39)+SUMIF($BH$3:$CE$3,"&gt;"&amp;$CW$4,$AD39:$BA39)),
IF(BR$3=$DF39+'Model Setup'!$J$7,SUMIF($BH$3:$CE$3,"="&amp;$DF39+'Model Setup'!$J$7,$AD39:$BA39)+'Model Setup'!$J$8*(SUMIF($BH$3:$CE$3,"&lt;"&amp;$DF39,$AD39:$BA39)+SUMIF($BH$3:$CE$3,"&gt;"&amp;$CW$4,$AD39:$BA39)),
IF(BR$3=$DF39+'Model Setup'!$K$7,SUMIF($BH$3:$CE$3,"="&amp;$DF39+'Model Setup'!$K$7,$AD39:$BA39)+'Model Setup'!$K$8*(SUMIF($BH$3:$CE$3,"&lt;"&amp;$DF39,$AD39:$BA39)+SUMIF($BH$3:$CE$3,"&gt;"&amp;$CW$4,$AD39:$BA39)),
IF(BR$3=$DF39+'Model Setup'!$L$7,SUMIF($BH$3:$CE$3,"="&amp;$DF39+'Model Setup'!$L$7,$AD39:$BA39)+'Model Setup'!$L$8*(SUMIF($BH$3:$CE$3,"&lt;"&amp;$DF39,$AD39:$BA39)+SUMIF($BH$3:$CE$3,"&gt;"&amp;$CW$4,$AD39:$BA39)),
IF(BR$3=$DF39+'Model Setup'!$M$7,SUMIF($BH$3:$CE$3,"="&amp;$DF39+'Model Setup'!$M$7,$AD39:$BA39)+'Model Setup'!$M$8*(SUMIF($BH$3:$CE$3,"&lt;"&amp;$DF39,$AD39:$BA39)+SUMIF($BH$3:$CE$3,"&gt;"&amp;$CW$4,$AD39:$BA39)),
IF(BR$3=$DF39+'Model Setup'!$N$7,SUMIF($BH$3:$CE$3,"="&amp;$DF39+'Model Setup'!$N$7,$AD39:$BA39)+'Model Setup'!$N$8*(SUMIF($BH$3:$CE$3,"&lt;"&amp;$DF39,$AD39:$BA39)+SUMIF($BH$3:$CE$3,"&gt;"&amp;$CW$4,$AD39:$BA39)),
IF(BR$3&lt;$CW$4,L39,0))))))))))))))),0)</f>
        <v>258</v>
      </c>
      <c r="BS39" s="47">
        <f>ROUND(IF(OR(BS$3&lt;$DF39,BS$3&gt;$CW$4),0,
IF(BS$3=$DF39+'Model Setup'!$B$7,SUMIF($BH$3:$CE$3,"="&amp;$DF39+'Model Setup'!$B$7,$AD39:$BA39)+'Model Setup'!$B$8*(SUMIF($BH$3:$CE$3,"&lt;"&amp;$DF39,$AD39:$BA39)+SUMIF($BH$3:$CE$3,"&gt;"&amp;$CW$4,$AD39:$BA39)),
IF(BS$3=$DF39+'Model Setup'!$C$7,SUMIF($BH$3:$CE$3,"="&amp;$DF39+'Model Setup'!$C$7,$AD39:$BA39)+'Model Setup'!$C$8*(SUMIF($BH$3:$CE$3,"&lt;"&amp;$DF39,$AD39:$BA39)+SUMIF($BH$3:$CE$3,"&gt;"&amp;$CW$4,$AD39:$BA39)),
IF(BS$3=$DF39+'Model Setup'!$D$7,SUMIF($BH$3:$CE$3,"="&amp;$DF39+'Model Setup'!$D$7,$AD39:$BA39)+'Model Setup'!$D$8*(SUMIF($BH$3:$CE$3,"&lt;"&amp;$DF39,$AD39:$BA39)+SUMIF($BH$3:$CE$3,"&gt;"&amp;$CW$4,$AD39:$BA39)),
IF(BS$3=$DF39+'Model Setup'!$E$7,SUMIF($BH$3:$CE$3,"="&amp;$DF39+'Model Setup'!$E$7,$AD39:$BA39)+'Model Setup'!$E$8*(SUMIF($BH$3:$CE$3,"&lt;"&amp;$DF39,$AD39:$BA39)+SUMIF($BH$3:$CE$3,"&gt;"&amp;$CW$4,$AD39:$BA39)),
IF(BS$3=$DF39+'Model Setup'!$F$7,SUMIF($BH$3:$CE$3,"="&amp;$DF39+'Model Setup'!$F$7,$AD39:$BA39)+'Model Setup'!$F$8*(SUMIF($BH$3:$CE$3,"&lt;"&amp;$DF39,$AD39:$BA39)+SUMIF($BH$3:$CE$3,"&gt;"&amp;$CW$4,$AD39:$BA39)),
IF(BS$3=$DF39+'Model Setup'!$G$7,SUMIF($BH$3:$CE$3,"="&amp;$DF39+'Model Setup'!$G$7,$AD39:$BA39)+'Model Setup'!$G$8*(SUMIF($BH$3:$CE$3,"&lt;"&amp;$DF39,$AD39:$BA39)+SUMIF($BH$3:$CE$3,"&gt;"&amp;$CW$4,$AD39:$BA39)),
IF(BS$3=$DF39+'Model Setup'!$H$7,SUMIF($BH$3:$CE$3,"="&amp;$DF39+'Model Setup'!$H$7,$AD39:$BA39)+'Model Setup'!$H$8*(SUMIF($BH$3:$CE$3,"&lt;"&amp;$DF39,$AD39:$BA39)+SUMIF($BH$3:$CE$3,"&gt;"&amp;$CW$4,$AD39:$BA39)),
IF(BS$3=$DF39+'Model Setup'!$I$7,SUMIF($BH$3:$CE$3,"="&amp;$DF39+'Model Setup'!$I$7,$AD39:$BA39)+'Model Setup'!$I$8*(SUMIF($BH$3:$CE$3,"&lt;"&amp;$DF39,$AD39:$BA39)+SUMIF($BH$3:$CE$3,"&gt;"&amp;$CW$4,$AD39:$BA39)),
IF(BS$3=$DF39+'Model Setup'!$J$7,SUMIF($BH$3:$CE$3,"="&amp;$DF39+'Model Setup'!$J$7,$AD39:$BA39)+'Model Setup'!$J$8*(SUMIF($BH$3:$CE$3,"&lt;"&amp;$DF39,$AD39:$BA39)+SUMIF($BH$3:$CE$3,"&gt;"&amp;$CW$4,$AD39:$BA39)),
IF(BS$3=$DF39+'Model Setup'!$K$7,SUMIF($BH$3:$CE$3,"="&amp;$DF39+'Model Setup'!$K$7,$AD39:$BA39)+'Model Setup'!$K$8*(SUMIF($BH$3:$CE$3,"&lt;"&amp;$DF39,$AD39:$BA39)+SUMIF($BH$3:$CE$3,"&gt;"&amp;$CW$4,$AD39:$BA39)),
IF(BS$3=$DF39+'Model Setup'!$L$7,SUMIF($BH$3:$CE$3,"="&amp;$DF39+'Model Setup'!$L$7,$AD39:$BA39)+'Model Setup'!$L$8*(SUMIF($BH$3:$CE$3,"&lt;"&amp;$DF39,$AD39:$BA39)+SUMIF($BH$3:$CE$3,"&gt;"&amp;$CW$4,$AD39:$BA39)),
IF(BS$3=$DF39+'Model Setup'!$M$7,SUMIF($BH$3:$CE$3,"="&amp;$DF39+'Model Setup'!$M$7,$AD39:$BA39)+'Model Setup'!$M$8*(SUMIF($BH$3:$CE$3,"&lt;"&amp;$DF39,$AD39:$BA39)+SUMIF($BH$3:$CE$3,"&gt;"&amp;$CW$4,$AD39:$BA39)),
IF(BS$3=$DF39+'Model Setup'!$N$7,SUMIF($BH$3:$CE$3,"="&amp;$DF39+'Model Setup'!$N$7,$AD39:$BA39)+'Model Setup'!$N$8*(SUMIF($BH$3:$CE$3,"&lt;"&amp;$DF39,$AD39:$BA39)+SUMIF($BH$3:$CE$3,"&gt;"&amp;$CW$4,$AD39:$BA39)),
IF(BS$3&lt;$CW$4,M39,0))))))))))))))),0)</f>
        <v>207</v>
      </c>
      <c r="BT39" s="47">
        <f>ROUND(IF(OR(BT$3&lt;$DF39,BT$3&gt;$CW$4),0,
IF(BT$3=$DF39+'Model Setup'!$B$7,SUMIF($BH$3:$CE$3,"="&amp;$DF39+'Model Setup'!$B$7,$AD39:$BA39)+'Model Setup'!$B$8*(SUMIF($BH$3:$CE$3,"&lt;"&amp;$DF39,$AD39:$BA39)+SUMIF($BH$3:$CE$3,"&gt;"&amp;$CW$4,$AD39:$BA39)),
IF(BT$3=$DF39+'Model Setup'!$C$7,SUMIF($BH$3:$CE$3,"="&amp;$DF39+'Model Setup'!$C$7,$AD39:$BA39)+'Model Setup'!$C$8*(SUMIF($BH$3:$CE$3,"&lt;"&amp;$DF39,$AD39:$BA39)+SUMIF($BH$3:$CE$3,"&gt;"&amp;$CW$4,$AD39:$BA39)),
IF(BT$3=$DF39+'Model Setup'!$D$7,SUMIF($BH$3:$CE$3,"="&amp;$DF39+'Model Setup'!$D$7,$AD39:$BA39)+'Model Setup'!$D$8*(SUMIF($BH$3:$CE$3,"&lt;"&amp;$DF39,$AD39:$BA39)+SUMIF($BH$3:$CE$3,"&gt;"&amp;$CW$4,$AD39:$BA39)),
IF(BT$3=$DF39+'Model Setup'!$E$7,SUMIF($BH$3:$CE$3,"="&amp;$DF39+'Model Setup'!$E$7,$AD39:$BA39)+'Model Setup'!$E$8*(SUMIF($BH$3:$CE$3,"&lt;"&amp;$DF39,$AD39:$BA39)+SUMIF($BH$3:$CE$3,"&gt;"&amp;$CW$4,$AD39:$BA39)),
IF(BT$3=$DF39+'Model Setup'!$F$7,SUMIF($BH$3:$CE$3,"="&amp;$DF39+'Model Setup'!$F$7,$AD39:$BA39)+'Model Setup'!$F$8*(SUMIF($BH$3:$CE$3,"&lt;"&amp;$DF39,$AD39:$BA39)+SUMIF($BH$3:$CE$3,"&gt;"&amp;$CW$4,$AD39:$BA39)),
IF(BT$3=$DF39+'Model Setup'!$G$7,SUMIF($BH$3:$CE$3,"="&amp;$DF39+'Model Setup'!$G$7,$AD39:$BA39)+'Model Setup'!$G$8*(SUMIF($BH$3:$CE$3,"&lt;"&amp;$DF39,$AD39:$BA39)+SUMIF($BH$3:$CE$3,"&gt;"&amp;$CW$4,$AD39:$BA39)),
IF(BT$3=$DF39+'Model Setup'!$H$7,SUMIF($BH$3:$CE$3,"="&amp;$DF39+'Model Setup'!$H$7,$AD39:$BA39)+'Model Setup'!$H$8*(SUMIF($BH$3:$CE$3,"&lt;"&amp;$DF39,$AD39:$BA39)+SUMIF($BH$3:$CE$3,"&gt;"&amp;$CW$4,$AD39:$BA39)),
IF(BT$3=$DF39+'Model Setup'!$I$7,SUMIF($BH$3:$CE$3,"="&amp;$DF39+'Model Setup'!$I$7,$AD39:$BA39)+'Model Setup'!$I$8*(SUMIF($BH$3:$CE$3,"&lt;"&amp;$DF39,$AD39:$BA39)+SUMIF($BH$3:$CE$3,"&gt;"&amp;$CW$4,$AD39:$BA39)),
IF(BT$3=$DF39+'Model Setup'!$J$7,SUMIF($BH$3:$CE$3,"="&amp;$DF39+'Model Setup'!$J$7,$AD39:$BA39)+'Model Setup'!$J$8*(SUMIF($BH$3:$CE$3,"&lt;"&amp;$DF39,$AD39:$BA39)+SUMIF($BH$3:$CE$3,"&gt;"&amp;$CW$4,$AD39:$BA39)),
IF(BT$3=$DF39+'Model Setup'!$K$7,SUMIF($BH$3:$CE$3,"="&amp;$DF39+'Model Setup'!$K$7,$AD39:$BA39)+'Model Setup'!$K$8*(SUMIF($BH$3:$CE$3,"&lt;"&amp;$DF39,$AD39:$BA39)+SUMIF($BH$3:$CE$3,"&gt;"&amp;$CW$4,$AD39:$BA39)),
IF(BT$3=$DF39+'Model Setup'!$L$7,SUMIF($BH$3:$CE$3,"="&amp;$DF39+'Model Setup'!$L$7,$AD39:$BA39)+'Model Setup'!$L$8*(SUMIF($BH$3:$CE$3,"&lt;"&amp;$DF39,$AD39:$BA39)+SUMIF($BH$3:$CE$3,"&gt;"&amp;$CW$4,$AD39:$BA39)),
IF(BT$3=$DF39+'Model Setup'!$M$7,SUMIF($BH$3:$CE$3,"="&amp;$DF39+'Model Setup'!$M$7,$AD39:$BA39)+'Model Setup'!$M$8*(SUMIF($BH$3:$CE$3,"&lt;"&amp;$DF39,$AD39:$BA39)+SUMIF($BH$3:$CE$3,"&gt;"&amp;$CW$4,$AD39:$BA39)),
IF(BT$3=$DF39+'Model Setup'!$N$7,SUMIF($BH$3:$CE$3,"="&amp;$DF39+'Model Setup'!$N$7,$AD39:$BA39)+'Model Setup'!$N$8*(SUMIF($BH$3:$CE$3,"&lt;"&amp;$DF39,$AD39:$BA39)+SUMIF($BH$3:$CE$3,"&gt;"&amp;$CW$4,$AD39:$BA39)),
IF(BT$3&lt;$CW$4,N39,0))))))))))))))),0)</f>
        <v>208</v>
      </c>
      <c r="BU39" s="47">
        <f>ROUND(IF(OR(BU$3&lt;$DF39,BU$3&gt;$CW$4),0,
IF(BU$3=$DF39+'Model Setup'!$B$7,SUMIF($BH$3:$CE$3,"="&amp;$DF39+'Model Setup'!$B$7,$AD39:$BA39)+'Model Setup'!$B$8*(SUMIF($BH$3:$CE$3,"&lt;"&amp;$DF39,$AD39:$BA39)+SUMIF($BH$3:$CE$3,"&gt;"&amp;$CW$4,$AD39:$BA39)),
IF(BU$3=$DF39+'Model Setup'!$C$7,SUMIF($BH$3:$CE$3,"="&amp;$DF39+'Model Setup'!$C$7,$AD39:$BA39)+'Model Setup'!$C$8*(SUMIF($BH$3:$CE$3,"&lt;"&amp;$DF39,$AD39:$BA39)+SUMIF($BH$3:$CE$3,"&gt;"&amp;$CW$4,$AD39:$BA39)),
IF(BU$3=$DF39+'Model Setup'!$D$7,SUMIF($BH$3:$CE$3,"="&amp;$DF39+'Model Setup'!$D$7,$AD39:$BA39)+'Model Setup'!$D$8*(SUMIF($BH$3:$CE$3,"&lt;"&amp;$DF39,$AD39:$BA39)+SUMIF($BH$3:$CE$3,"&gt;"&amp;$CW$4,$AD39:$BA39)),
IF(BU$3=$DF39+'Model Setup'!$E$7,SUMIF($BH$3:$CE$3,"="&amp;$DF39+'Model Setup'!$E$7,$AD39:$BA39)+'Model Setup'!$E$8*(SUMIF($BH$3:$CE$3,"&lt;"&amp;$DF39,$AD39:$BA39)+SUMIF($BH$3:$CE$3,"&gt;"&amp;$CW$4,$AD39:$BA39)),
IF(BU$3=$DF39+'Model Setup'!$F$7,SUMIF($BH$3:$CE$3,"="&amp;$DF39+'Model Setup'!$F$7,$AD39:$BA39)+'Model Setup'!$F$8*(SUMIF($BH$3:$CE$3,"&lt;"&amp;$DF39,$AD39:$BA39)+SUMIF($BH$3:$CE$3,"&gt;"&amp;$CW$4,$AD39:$BA39)),
IF(BU$3=$DF39+'Model Setup'!$G$7,SUMIF($BH$3:$CE$3,"="&amp;$DF39+'Model Setup'!$G$7,$AD39:$BA39)+'Model Setup'!$G$8*(SUMIF($BH$3:$CE$3,"&lt;"&amp;$DF39,$AD39:$BA39)+SUMIF($BH$3:$CE$3,"&gt;"&amp;$CW$4,$AD39:$BA39)),
IF(BU$3=$DF39+'Model Setup'!$H$7,SUMIF($BH$3:$CE$3,"="&amp;$DF39+'Model Setup'!$H$7,$AD39:$BA39)+'Model Setup'!$H$8*(SUMIF($BH$3:$CE$3,"&lt;"&amp;$DF39,$AD39:$BA39)+SUMIF($BH$3:$CE$3,"&gt;"&amp;$CW$4,$AD39:$BA39)),
IF(BU$3=$DF39+'Model Setup'!$I$7,SUMIF($BH$3:$CE$3,"="&amp;$DF39+'Model Setup'!$I$7,$AD39:$BA39)+'Model Setup'!$I$8*(SUMIF($BH$3:$CE$3,"&lt;"&amp;$DF39,$AD39:$BA39)+SUMIF($BH$3:$CE$3,"&gt;"&amp;$CW$4,$AD39:$BA39)),
IF(BU$3=$DF39+'Model Setup'!$J$7,SUMIF($BH$3:$CE$3,"="&amp;$DF39+'Model Setup'!$J$7,$AD39:$BA39)+'Model Setup'!$J$8*(SUMIF($BH$3:$CE$3,"&lt;"&amp;$DF39,$AD39:$BA39)+SUMIF($BH$3:$CE$3,"&gt;"&amp;$CW$4,$AD39:$BA39)),
IF(BU$3=$DF39+'Model Setup'!$K$7,SUMIF($BH$3:$CE$3,"="&amp;$DF39+'Model Setup'!$K$7,$AD39:$BA39)+'Model Setup'!$K$8*(SUMIF($BH$3:$CE$3,"&lt;"&amp;$DF39,$AD39:$BA39)+SUMIF($BH$3:$CE$3,"&gt;"&amp;$CW$4,$AD39:$BA39)),
IF(BU$3=$DF39+'Model Setup'!$L$7,SUMIF($BH$3:$CE$3,"="&amp;$DF39+'Model Setup'!$L$7,$AD39:$BA39)+'Model Setup'!$L$8*(SUMIF($BH$3:$CE$3,"&lt;"&amp;$DF39,$AD39:$BA39)+SUMIF($BH$3:$CE$3,"&gt;"&amp;$CW$4,$AD39:$BA39)),
IF(BU$3=$DF39+'Model Setup'!$M$7,SUMIF($BH$3:$CE$3,"="&amp;$DF39+'Model Setup'!$M$7,$AD39:$BA39)+'Model Setup'!$M$8*(SUMIF($BH$3:$CE$3,"&lt;"&amp;$DF39,$AD39:$BA39)+SUMIF($BH$3:$CE$3,"&gt;"&amp;$CW$4,$AD39:$BA39)),
IF(BU$3=$DF39+'Model Setup'!$N$7,SUMIF($BH$3:$CE$3,"="&amp;$DF39+'Model Setup'!$N$7,$AD39:$BA39)+'Model Setup'!$N$8*(SUMIF($BH$3:$CE$3,"&lt;"&amp;$DF39,$AD39:$BA39)+SUMIF($BH$3:$CE$3,"&gt;"&amp;$CW$4,$AD39:$BA39)),
IF(BU$3&lt;$CW$4,O39,0))))))))))))))),0)</f>
        <v>146</v>
      </c>
      <c r="BV39" s="47">
        <f>ROUND(IF(OR(BV$3&lt;$DF39,BV$3&gt;$CW$4),0,
IF(BV$3=$DF39+'Model Setup'!$B$7,SUMIF($BH$3:$CE$3,"="&amp;$DF39+'Model Setup'!$B$7,$AD39:$BA39)+'Model Setup'!$B$8*(SUMIF($BH$3:$CE$3,"&lt;"&amp;$DF39,$AD39:$BA39)+SUMIF($BH$3:$CE$3,"&gt;"&amp;$CW$4,$AD39:$BA39)),
IF(BV$3=$DF39+'Model Setup'!$C$7,SUMIF($BH$3:$CE$3,"="&amp;$DF39+'Model Setup'!$C$7,$AD39:$BA39)+'Model Setup'!$C$8*(SUMIF($BH$3:$CE$3,"&lt;"&amp;$DF39,$AD39:$BA39)+SUMIF($BH$3:$CE$3,"&gt;"&amp;$CW$4,$AD39:$BA39)),
IF(BV$3=$DF39+'Model Setup'!$D$7,SUMIF($BH$3:$CE$3,"="&amp;$DF39+'Model Setup'!$D$7,$AD39:$BA39)+'Model Setup'!$D$8*(SUMIF($BH$3:$CE$3,"&lt;"&amp;$DF39,$AD39:$BA39)+SUMIF($BH$3:$CE$3,"&gt;"&amp;$CW$4,$AD39:$BA39)),
IF(BV$3=$DF39+'Model Setup'!$E$7,SUMIF($BH$3:$CE$3,"="&amp;$DF39+'Model Setup'!$E$7,$AD39:$BA39)+'Model Setup'!$E$8*(SUMIF($BH$3:$CE$3,"&lt;"&amp;$DF39,$AD39:$BA39)+SUMIF($BH$3:$CE$3,"&gt;"&amp;$CW$4,$AD39:$BA39)),
IF(BV$3=$DF39+'Model Setup'!$F$7,SUMIF($BH$3:$CE$3,"="&amp;$DF39+'Model Setup'!$F$7,$AD39:$BA39)+'Model Setup'!$F$8*(SUMIF($BH$3:$CE$3,"&lt;"&amp;$DF39,$AD39:$BA39)+SUMIF($BH$3:$CE$3,"&gt;"&amp;$CW$4,$AD39:$BA39)),
IF(BV$3=$DF39+'Model Setup'!$G$7,SUMIF($BH$3:$CE$3,"="&amp;$DF39+'Model Setup'!$G$7,$AD39:$BA39)+'Model Setup'!$G$8*(SUMIF($BH$3:$CE$3,"&lt;"&amp;$DF39,$AD39:$BA39)+SUMIF($BH$3:$CE$3,"&gt;"&amp;$CW$4,$AD39:$BA39)),
IF(BV$3=$DF39+'Model Setup'!$H$7,SUMIF($BH$3:$CE$3,"="&amp;$DF39+'Model Setup'!$H$7,$AD39:$BA39)+'Model Setup'!$H$8*(SUMIF($BH$3:$CE$3,"&lt;"&amp;$DF39,$AD39:$BA39)+SUMIF($BH$3:$CE$3,"&gt;"&amp;$CW$4,$AD39:$BA39)),
IF(BV$3=$DF39+'Model Setup'!$I$7,SUMIF($BH$3:$CE$3,"="&amp;$DF39+'Model Setup'!$I$7,$AD39:$BA39)+'Model Setup'!$I$8*(SUMIF($BH$3:$CE$3,"&lt;"&amp;$DF39,$AD39:$BA39)+SUMIF($BH$3:$CE$3,"&gt;"&amp;$CW$4,$AD39:$BA39)),
IF(BV$3=$DF39+'Model Setup'!$J$7,SUMIF($BH$3:$CE$3,"="&amp;$DF39+'Model Setup'!$J$7,$AD39:$BA39)+'Model Setup'!$J$8*(SUMIF($BH$3:$CE$3,"&lt;"&amp;$DF39,$AD39:$BA39)+SUMIF($BH$3:$CE$3,"&gt;"&amp;$CW$4,$AD39:$BA39)),
IF(BV$3=$DF39+'Model Setup'!$K$7,SUMIF($BH$3:$CE$3,"="&amp;$DF39+'Model Setup'!$K$7,$AD39:$BA39)+'Model Setup'!$K$8*(SUMIF($BH$3:$CE$3,"&lt;"&amp;$DF39,$AD39:$BA39)+SUMIF($BH$3:$CE$3,"&gt;"&amp;$CW$4,$AD39:$BA39)),
IF(BV$3=$DF39+'Model Setup'!$L$7,SUMIF($BH$3:$CE$3,"="&amp;$DF39+'Model Setup'!$L$7,$AD39:$BA39)+'Model Setup'!$L$8*(SUMIF($BH$3:$CE$3,"&lt;"&amp;$DF39,$AD39:$BA39)+SUMIF($BH$3:$CE$3,"&gt;"&amp;$CW$4,$AD39:$BA39)),
IF(BV$3=$DF39+'Model Setup'!$M$7,SUMIF($BH$3:$CE$3,"="&amp;$DF39+'Model Setup'!$M$7,$AD39:$BA39)+'Model Setup'!$M$8*(SUMIF($BH$3:$CE$3,"&lt;"&amp;$DF39,$AD39:$BA39)+SUMIF($BH$3:$CE$3,"&gt;"&amp;$CW$4,$AD39:$BA39)),
IF(BV$3=$DF39+'Model Setup'!$N$7,SUMIF($BH$3:$CE$3,"="&amp;$DF39+'Model Setup'!$N$7,$AD39:$BA39)+'Model Setup'!$N$8*(SUMIF($BH$3:$CE$3,"&lt;"&amp;$DF39,$AD39:$BA39)+SUMIF($BH$3:$CE$3,"&gt;"&amp;$CW$4,$AD39:$BA39)),
IF(BV$3&lt;$CW$4,P39,0))))))))))))))),0)</f>
        <v>109</v>
      </c>
      <c r="BW39" s="47">
        <f>ROUND(IF(OR(BW$3&lt;$DF39,BW$3&gt;$CW$4),0,
IF(BW$3=$DF39+'Model Setup'!$B$7,SUMIF($BH$3:$CE$3,"="&amp;$DF39+'Model Setup'!$B$7,$AD39:$BA39)+'Model Setup'!$B$8*(SUMIF($BH$3:$CE$3,"&lt;"&amp;$DF39,$AD39:$BA39)+SUMIF($BH$3:$CE$3,"&gt;"&amp;$CW$4,$AD39:$BA39)),
IF(BW$3=$DF39+'Model Setup'!$C$7,SUMIF($BH$3:$CE$3,"="&amp;$DF39+'Model Setup'!$C$7,$AD39:$BA39)+'Model Setup'!$C$8*(SUMIF($BH$3:$CE$3,"&lt;"&amp;$DF39,$AD39:$BA39)+SUMIF($BH$3:$CE$3,"&gt;"&amp;$CW$4,$AD39:$BA39)),
IF(BW$3=$DF39+'Model Setup'!$D$7,SUMIF($BH$3:$CE$3,"="&amp;$DF39+'Model Setup'!$D$7,$AD39:$BA39)+'Model Setup'!$D$8*(SUMIF($BH$3:$CE$3,"&lt;"&amp;$DF39,$AD39:$BA39)+SUMIF($BH$3:$CE$3,"&gt;"&amp;$CW$4,$AD39:$BA39)),
IF(BW$3=$DF39+'Model Setup'!$E$7,SUMIF($BH$3:$CE$3,"="&amp;$DF39+'Model Setup'!$E$7,$AD39:$BA39)+'Model Setup'!$E$8*(SUMIF($BH$3:$CE$3,"&lt;"&amp;$DF39,$AD39:$BA39)+SUMIF($BH$3:$CE$3,"&gt;"&amp;$CW$4,$AD39:$BA39)),
IF(BW$3=$DF39+'Model Setup'!$F$7,SUMIF($BH$3:$CE$3,"="&amp;$DF39+'Model Setup'!$F$7,$AD39:$BA39)+'Model Setup'!$F$8*(SUMIF($BH$3:$CE$3,"&lt;"&amp;$DF39,$AD39:$BA39)+SUMIF($BH$3:$CE$3,"&gt;"&amp;$CW$4,$AD39:$BA39)),
IF(BW$3=$DF39+'Model Setup'!$G$7,SUMIF($BH$3:$CE$3,"="&amp;$DF39+'Model Setup'!$G$7,$AD39:$BA39)+'Model Setup'!$G$8*(SUMIF($BH$3:$CE$3,"&lt;"&amp;$DF39,$AD39:$BA39)+SUMIF($BH$3:$CE$3,"&gt;"&amp;$CW$4,$AD39:$BA39)),
IF(BW$3=$DF39+'Model Setup'!$H$7,SUMIF($BH$3:$CE$3,"="&amp;$DF39+'Model Setup'!$H$7,$AD39:$BA39)+'Model Setup'!$H$8*(SUMIF($BH$3:$CE$3,"&lt;"&amp;$DF39,$AD39:$BA39)+SUMIF($BH$3:$CE$3,"&gt;"&amp;$CW$4,$AD39:$BA39)),
IF(BW$3=$DF39+'Model Setup'!$I$7,SUMIF($BH$3:$CE$3,"="&amp;$DF39+'Model Setup'!$I$7,$AD39:$BA39)+'Model Setup'!$I$8*(SUMIF($BH$3:$CE$3,"&lt;"&amp;$DF39,$AD39:$BA39)+SUMIF($BH$3:$CE$3,"&gt;"&amp;$CW$4,$AD39:$BA39)),
IF(BW$3=$DF39+'Model Setup'!$J$7,SUMIF($BH$3:$CE$3,"="&amp;$DF39+'Model Setup'!$J$7,$AD39:$BA39)+'Model Setup'!$J$8*(SUMIF($BH$3:$CE$3,"&lt;"&amp;$DF39,$AD39:$BA39)+SUMIF($BH$3:$CE$3,"&gt;"&amp;$CW$4,$AD39:$BA39)),
IF(BW$3=$DF39+'Model Setup'!$K$7,SUMIF($BH$3:$CE$3,"="&amp;$DF39+'Model Setup'!$K$7,$AD39:$BA39)+'Model Setup'!$K$8*(SUMIF($BH$3:$CE$3,"&lt;"&amp;$DF39,$AD39:$BA39)+SUMIF($BH$3:$CE$3,"&gt;"&amp;$CW$4,$AD39:$BA39)),
IF(BW$3=$DF39+'Model Setup'!$L$7,SUMIF($BH$3:$CE$3,"="&amp;$DF39+'Model Setup'!$L$7,$AD39:$BA39)+'Model Setup'!$L$8*(SUMIF($BH$3:$CE$3,"&lt;"&amp;$DF39,$AD39:$BA39)+SUMIF($BH$3:$CE$3,"&gt;"&amp;$CW$4,$AD39:$BA39)),
IF(BW$3=$DF39+'Model Setup'!$M$7,SUMIF($BH$3:$CE$3,"="&amp;$DF39+'Model Setup'!$M$7,$AD39:$BA39)+'Model Setup'!$M$8*(SUMIF($BH$3:$CE$3,"&lt;"&amp;$DF39,$AD39:$BA39)+SUMIF($BH$3:$CE$3,"&gt;"&amp;$CW$4,$AD39:$BA39)),
IF(BW$3=$DF39+'Model Setup'!$N$7,SUMIF($BH$3:$CE$3,"="&amp;$DF39+'Model Setup'!$N$7,$AD39:$BA39)+'Model Setup'!$N$8*(SUMIF($BH$3:$CE$3,"&lt;"&amp;$DF39,$AD39:$BA39)+SUMIF($BH$3:$CE$3,"&gt;"&amp;$CW$4,$AD39:$BA39)),
IF(BW$3&lt;$CW$4,Q39,0))))))))))))))),0)</f>
        <v>144</v>
      </c>
      <c r="BX39" s="47">
        <f>ROUND(IF(OR(BX$3&lt;$DF39,BX$3&gt;$CW$4),0,
IF(BX$3=$DF39+'Model Setup'!$B$7,SUMIF($BH$3:$CE$3,"="&amp;$DF39+'Model Setup'!$B$7,$AD39:$BA39)+'Model Setup'!$B$8*(SUMIF($BH$3:$CE$3,"&lt;"&amp;$DF39,$AD39:$BA39)+SUMIF($BH$3:$CE$3,"&gt;"&amp;$CW$4,$AD39:$BA39)),
IF(BX$3=$DF39+'Model Setup'!$C$7,SUMIF($BH$3:$CE$3,"="&amp;$DF39+'Model Setup'!$C$7,$AD39:$BA39)+'Model Setup'!$C$8*(SUMIF($BH$3:$CE$3,"&lt;"&amp;$DF39,$AD39:$BA39)+SUMIF($BH$3:$CE$3,"&gt;"&amp;$CW$4,$AD39:$BA39)),
IF(BX$3=$DF39+'Model Setup'!$D$7,SUMIF($BH$3:$CE$3,"="&amp;$DF39+'Model Setup'!$D$7,$AD39:$BA39)+'Model Setup'!$D$8*(SUMIF($BH$3:$CE$3,"&lt;"&amp;$DF39,$AD39:$BA39)+SUMIF($BH$3:$CE$3,"&gt;"&amp;$CW$4,$AD39:$BA39)),
IF(BX$3=$DF39+'Model Setup'!$E$7,SUMIF($BH$3:$CE$3,"="&amp;$DF39+'Model Setup'!$E$7,$AD39:$BA39)+'Model Setup'!$E$8*(SUMIF($BH$3:$CE$3,"&lt;"&amp;$DF39,$AD39:$BA39)+SUMIF($BH$3:$CE$3,"&gt;"&amp;$CW$4,$AD39:$BA39)),
IF(BX$3=$DF39+'Model Setup'!$F$7,SUMIF($BH$3:$CE$3,"="&amp;$DF39+'Model Setup'!$F$7,$AD39:$BA39)+'Model Setup'!$F$8*(SUMIF($BH$3:$CE$3,"&lt;"&amp;$DF39,$AD39:$BA39)+SUMIF($BH$3:$CE$3,"&gt;"&amp;$CW$4,$AD39:$BA39)),
IF(BX$3=$DF39+'Model Setup'!$G$7,SUMIF($BH$3:$CE$3,"="&amp;$DF39+'Model Setup'!$G$7,$AD39:$BA39)+'Model Setup'!$G$8*(SUMIF($BH$3:$CE$3,"&lt;"&amp;$DF39,$AD39:$BA39)+SUMIF($BH$3:$CE$3,"&gt;"&amp;$CW$4,$AD39:$BA39)),
IF(BX$3=$DF39+'Model Setup'!$H$7,SUMIF($BH$3:$CE$3,"="&amp;$DF39+'Model Setup'!$H$7,$AD39:$BA39)+'Model Setup'!$H$8*(SUMIF($BH$3:$CE$3,"&lt;"&amp;$DF39,$AD39:$BA39)+SUMIF($BH$3:$CE$3,"&gt;"&amp;$CW$4,$AD39:$BA39)),
IF(BX$3=$DF39+'Model Setup'!$I$7,SUMIF($BH$3:$CE$3,"="&amp;$DF39+'Model Setup'!$I$7,$AD39:$BA39)+'Model Setup'!$I$8*(SUMIF($BH$3:$CE$3,"&lt;"&amp;$DF39,$AD39:$BA39)+SUMIF($BH$3:$CE$3,"&gt;"&amp;$CW$4,$AD39:$BA39)),
IF(BX$3=$DF39+'Model Setup'!$J$7,SUMIF($BH$3:$CE$3,"="&amp;$DF39+'Model Setup'!$J$7,$AD39:$BA39)+'Model Setup'!$J$8*(SUMIF($BH$3:$CE$3,"&lt;"&amp;$DF39,$AD39:$BA39)+SUMIF($BH$3:$CE$3,"&gt;"&amp;$CW$4,$AD39:$BA39)),
IF(BX$3=$DF39+'Model Setup'!$K$7,SUMIF($BH$3:$CE$3,"="&amp;$DF39+'Model Setup'!$K$7,$AD39:$BA39)+'Model Setup'!$K$8*(SUMIF($BH$3:$CE$3,"&lt;"&amp;$DF39,$AD39:$BA39)+SUMIF($BH$3:$CE$3,"&gt;"&amp;$CW$4,$AD39:$BA39)),
IF(BX$3=$DF39+'Model Setup'!$L$7,SUMIF($BH$3:$CE$3,"="&amp;$DF39+'Model Setup'!$L$7,$AD39:$BA39)+'Model Setup'!$L$8*(SUMIF($BH$3:$CE$3,"&lt;"&amp;$DF39,$AD39:$BA39)+SUMIF($BH$3:$CE$3,"&gt;"&amp;$CW$4,$AD39:$BA39)),
IF(BX$3=$DF39+'Model Setup'!$M$7,SUMIF($BH$3:$CE$3,"="&amp;$DF39+'Model Setup'!$M$7,$AD39:$BA39)+'Model Setup'!$M$8*(SUMIF($BH$3:$CE$3,"&lt;"&amp;$DF39,$AD39:$BA39)+SUMIF($BH$3:$CE$3,"&gt;"&amp;$CW$4,$AD39:$BA39)),
IF(BX$3=$DF39+'Model Setup'!$N$7,SUMIF($BH$3:$CE$3,"="&amp;$DF39+'Model Setup'!$N$7,$AD39:$BA39)+'Model Setup'!$N$8*(SUMIF($BH$3:$CE$3,"&lt;"&amp;$DF39,$AD39:$BA39)+SUMIF($BH$3:$CE$3,"&gt;"&amp;$CW$4,$AD39:$BA39)),
IF(BX$3&lt;$CW$4,R39,0))))))))))))))),0)</f>
        <v>151</v>
      </c>
      <c r="BY39" s="47">
        <f>ROUND(IF(OR(BY$3&lt;$DF39,BY$3&gt;$CW$4),0,
IF(BY$3=$DF39+'Model Setup'!$B$7,SUMIF($BH$3:$CE$3,"="&amp;$DF39+'Model Setup'!$B$7,$AD39:$BA39)+'Model Setup'!$B$8*(SUMIF($BH$3:$CE$3,"&lt;"&amp;$DF39,$AD39:$BA39)+SUMIF($BH$3:$CE$3,"&gt;"&amp;$CW$4,$AD39:$BA39)),
IF(BY$3=$DF39+'Model Setup'!$C$7,SUMIF($BH$3:$CE$3,"="&amp;$DF39+'Model Setup'!$C$7,$AD39:$BA39)+'Model Setup'!$C$8*(SUMIF($BH$3:$CE$3,"&lt;"&amp;$DF39,$AD39:$BA39)+SUMIF($BH$3:$CE$3,"&gt;"&amp;$CW$4,$AD39:$BA39)),
IF(BY$3=$DF39+'Model Setup'!$D$7,SUMIF($BH$3:$CE$3,"="&amp;$DF39+'Model Setup'!$D$7,$AD39:$BA39)+'Model Setup'!$D$8*(SUMIF($BH$3:$CE$3,"&lt;"&amp;$DF39,$AD39:$BA39)+SUMIF($BH$3:$CE$3,"&gt;"&amp;$CW$4,$AD39:$BA39)),
IF(BY$3=$DF39+'Model Setup'!$E$7,SUMIF($BH$3:$CE$3,"="&amp;$DF39+'Model Setup'!$E$7,$AD39:$BA39)+'Model Setup'!$E$8*(SUMIF($BH$3:$CE$3,"&lt;"&amp;$DF39,$AD39:$BA39)+SUMIF($BH$3:$CE$3,"&gt;"&amp;$CW$4,$AD39:$BA39)),
IF(BY$3=$DF39+'Model Setup'!$F$7,SUMIF($BH$3:$CE$3,"="&amp;$DF39+'Model Setup'!$F$7,$AD39:$BA39)+'Model Setup'!$F$8*(SUMIF($BH$3:$CE$3,"&lt;"&amp;$DF39,$AD39:$BA39)+SUMIF($BH$3:$CE$3,"&gt;"&amp;$CW$4,$AD39:$BA39)),
IF(BY$3=$DF39+'Model Setup'!$G$7,SUMIF($BH$3:$CE$3,"="&amp;$DF39+'Model Setup'!$G$7,$AD39:$BA39)+'Model Setup'!$G$8*(SUMIF($BH$3:$CE$3,"&lt;"&amp;$DF39,$AD39:$BA39)+SUMIF($BH$3:$CE$3,"&gt;"&amp;$CW$4,$AD39:$BA39)),
IF(BY$3=$DF39+'Model Setup'!$H$7,SUMIF($BH$3:$CE$3,"="&amp;$DF39+'Model Setup'!$H$7,$AD39:$BA39)+'Model Setup'!$H$8*(SUMIF($BH$3:$CE$3,"&lt;"&amp;$DF39,$AD39:$BA39)+SUMIF($BH$3:$CE$3,"&gt;"&amp;$CW$4,$AD39:$BA39)),
IF(BY$3=$DF39+'Model Setup'!$I$7,SUMIF($BH$3:$CE$3,"="&amp;$DF39+'Model Setup'!$I$7,$AD39:$BA39)+'Model Setup'!$I$8*(SUMIF($BH$3:$CE$3,"&lt;"&amp;$DF39,$AD39:$BA39)+SUMIF($BH$3:$CE$3,"&gt;"&amp;$CW$4,$AD39:$BA39)),
IF(BY$3=$DF39+'Model Setup'!$J$7,SUMIF($BH$3:$CE$3,"="&amp;$DF39+'Model Setup'!$J$7,$AD39:$BA39)+'Model Setup'!$J$8*(SUMIF($BH$3:$CE$3,"&lt;"&amp;$DF39,$AD39:$BA39)+SUMIF($BH$3:$CE$3,"&gt;"&amp;$CW$4,$AD39:$BA39)),
IF(BY$3=$DF39+'Model Setup'!$K$7,SUMIF($BH$3:$CE$3,"="&amp;$DF39+'Model Setup'!$K$7,$AD39:$BA39)+'Model Setup'!$K$8*(SUMIF($BH$3:$CE$3,"&lt;"&amp;$DF39,$AD39:$BA39)+SUMIF($BH$3:$CE$3,"&gt;"&amp;$CW$4,$AD39:$BA39)),
IF(BY$3=$DF39+'Model Setup'!$L$7,SUMIF($BH$3:$CE$3,"="&amp;$DF39+'Model Setup'!$L$7,$AD39:$BA39)+'Model Setup'!$L$8*(SUMIF($BH$3:$CE$3,"&lt;"&amp;$DF39,$AD39:$BA39)+SUMIF($BH$3:$CE$3,"&gt;"&amp;$CW$4,$AD39:$BA39)),
IF(BY$3=$DF39+'Model Setup'!$M$7,SUMIF($BH$3:$CE$3,"="&amp;$DF39+'Model Setup'!$M$7,$AD39:$BA39)+'Model Setup'!$M$8*(SUMIF($BH$3:$CE$3,"&lt;"&amp;$DF39,$AD39:$BA39)+SUMIF($BH$3:$CE$3,"&gt;"&amp;$CW$4,$AD39:$BA39)),
IF(BY$3=$DF39+'Model Setup'!$N$7,SUMIF($BH$3:$CE$3,"="&amp;$DF39+'Model Setup'!$N$7,$AD39:$BA39)+'Model Setup'!$N$8*(SUMIF($BH$3:$CE$3,"&lt;"&amp;$DF39,$AD39:$BA39)+SUMIF($BH$3:$CE$3,"&gt;"&amp;$CW$4,$AD39:$BA39)),
IF(BY$3&lt;$CW$4,S39,0))))))))))))))),0)</f>
        <v>120</v>
      </c>
      <c r="BZ39" s="47">
        <f>ROUND(IF(OR(BZ$3&lt;$DF39,BZ$3&gt;$CW$4),0,
IF(BZ$3=$DF39+'Model Setup'!$B$7,SUMIF($BH$3:$CE$3,"="&amp;$DF39+'Model Setup'!$B$7,$AD39:$BA39)+'Model Setup'!$B$8*(SUMIF($BH$3:$CE$3,"&lt;"&amp;$DF39,$AD39:$BA39)+SUMIF($BH$3:$CE$3,"&gt;"&amp;$CW$4,$AD39:$BA39)),
IF(BZ$3=$DF39+'Model Setup'!$C$7,SUMIF($BH$3:$CE$3,"="&amp;$DF39+'Model Setup'!$C$7,$AD39:$BA39)+'Model Setup'!$C$8*(SUMIF($BH$3:$CE$3,"&lt;"&amp;$DF39,$AD39:$BA39)+SUMIF($BH$3:$CE$3,"&gt;"&amp;$CW$4,$AD39:$BA39)),
IF(BZ$3=$DF39+'Model Setup'!$D$7,SUMIF($BH$3:$CE$3,"="&amp;$DF39+'Model Setup'!$D$7,$AD39:$BA39)+'Model Setup'!$D$8*(SUMIF($BH$3:$CE$3,"&lt;"&amp;$DF39,$AD39:$BA39)+SUMIF($BH$3:$CE$3,"&gt;"&amp;$CW$4,$AD39:$BA39)),
IF(BZ$3=$DF39+'Model Setup'!$E$7,SUMIF($BH$3:$CE$3,"="&amp;$DF39+'Model Setup'!$E$7,$AD39:$BA39)+'Model Setup'!$E$8*(SUMIF($BH$3:$CE$3,"&lt;"&amp;$DF39,$AD39:$BA39)+SUMIF($BH$3:$CE$3,"&gt;"&amp;$CW$4,$AD39:$BA39)),
IF(BZ$3=$DF39+'Model Setup'!$F$7,SUMIF($BH$3:$CE$3,"="&amp;$DF39+'Model Setup'!$F$7,$AD39:$BA39)+'Model Setup'!$F$8*(SUMIF($BH$3:$CE$3,"&lt;"&amp;$DF39,$AD39:$BA39)+SUMIF($BH$3:$CE$3,"&gt;"&amp;$CW$4,$AD39:$BA39)),
IF(BZ$3=$DF39+'Model Setup'!$G$7,SUMIF($BH$3:$CE$3,"="&amp;$DF39+'Model Setup'!$G$7,$AD39:$BA39)+'Model Setup'!$G$8*(SUMIF($BH$3:$CE$3,"&lt;"&amp;$DF39,$AD39:$BA39)+SUMIF($BH$3:$CE$3,"&gt;"&amp;$CW$4,$AD39:$BA39)),
IF(BZ$3=$DF39+'Model Setup'!$H$7,SUMIF($BH$3:$CE$3,"="&amp;$DF39+'Model Setup'!$H$7,$AD39:$BA39)+'Model Setup'!$H$8*(SUMIF($BH$3:$CE$3,"&lt;"&amp;$DF39,$AD39:$BA39)+SUMIF($BH$3:$CE$3,"&gt;"&amp;$CW$4,$AD39:$BA39)),
IF(BZ$3=$DF39+'Model Setup'!$I$7,SUMIF($BH$3:$CE$3,"="&amp;$DF39+'Model Setup'!$I$7,$AD39:$BA39)+'Model Setup'!$I$8*(SUMIF($BH$3:$CE$3,"&lt;"&amp;$DF39,$AD39:$BA39)+SUMIF($BH$3:$CE$3,"&gt;"&amp;$CW$4,$AD39:$BA39)),
IF(BZ$3=$DF39+'Model Setup'!$J$7,SUMIF($BH$3:$CE$3,"="&amp;$DF39+'Model Setup'!$J$7,$AD39:$BA39)+'Model Setup'!$J$8*(SUMIF($BH$3:$CE$3,"&lt;"&amp;$DF39,$AD39:$BA39)+SUMIF($BH$3:$CE$3,"&gt;"&amp;$CW$4,$AD39:$BA39)),
IF(BZ$3=$DF39+'Model Setup'!$K$7,SUMIF($BH$3:$CE$3,"="&amp;$DF39+'Model Setup'!$K$7,$AD39:$BA39)+'Model Setup'!$K$8*(SUMIF($BH$3:$CE$3,"&lt;"&amp;$DF39,$AD39:$BA39)+SUMIF($BH$3:$CE$3,"&gt;"&amp;$CW$4,$AD39:$BA39)),
IF(BZ$3=$DF39+'Model Setup'!$L$7,SUMIF($BH$3:$CE$3,"="&amp;$DF39+'Model Setup'!$L$7,$AD39:$BA39)+'Model Setup'!$L$8*(SUMIF($BH$3:$CE$3,"&lt;"&amp;$DF39,$AD39:$BA39)+SUMIF($BH$3:$CE$3,"&gt;"&amp;$CW$4,$AD39:$BA39)),
IF(BZ$3=$DF39+'Model Setup'!$M$7,SUMIF($BH$3:$CE$3,"="&amp;$DF39+'Model Setup'!$M$7,$AD39:$BA39)+'Model Setup'!$M$8*(SUMIF($BH$3:$CE$3,"&lt;"&amp;$DF39,$AD39:$BA39)+SUMIF($BH$3:$CE$3,"&gt;"&amp;$CW$4,$AD39:$BA39)),
IF(BZ$3=$DF39+'Model Setup'!$N$7,SUMIF($BH$3:$CE$3,"="&amp;$DF39+'Model Setup'!$N$7,$AD39:$BA39)+'Model Setup'!$N$8*(SUMIF($BH$3:$CE$3,"&lt;"&amp;$DF39,$AD39:$BA39)+SUMIF($BH$3:$CE$3,"&gt;"&amp;$CW$4,$AD39:$BA39)),
IF(BZ$3&lt;$CW$4,T39,0))))))))))))))),0)</f>
        <v>0</v>
      </c>
      <c r="CA39" s="47">
        <f>ROUND(IF(OR(CA$3&lt;$DF39,CA$3&gt;$CW$4),0,
IF(CA$3=$DF39+'Model Setup'!$B$7,SUMIF($BH$3:$CE$3,"="&amp;$DF39+'Model Setup'!$B$7,$AD39:$BA39)+'Model Setup'!$B$8*(SUMIF($BH$3:$CE$3,"&lt;"&amp;$DF39,$AD39:$BA39)+SUMIF($BH$3:$CE$3,"&gt;"&amp;$CW$4,$AD39:$BA39)),
IF(CA$3=$DF39+'Model Setup'!$C$7,SUMIF($BH$3:$CE$3,"="&amp;$DF39+'Model Setup'!$C$7,$AD39:$BA39)+'Model Setup'!$C$8*(SUMIF($BH$3:$CE$3,"&lt;"&amp;$DF39,$AD39:$BA39)+SUMIF($BH$3:$CE$3,"&gt;"&amp;$CW$4,$AD39:$BA39)),
IF(CA$3=$DF39+'Model Setup'!$D$7,SUMIF($BH$3:$CE$3,"="&amp;$DF39+'Model Setup'!$D$7,$AD39:$BA39)+'Model Setup'!$D$8*(SUMIF($BH$3:$CE$3,"&lt;"&amp;$DF39,$AD39:$BA39)+SUMIF($BH$3:$CE$3,"&gt;"&amp;$CW$4,$AD39:$BA39)),
IF(CA$3=$DF39+'Model Setup'!$E$7,SUMIF($BH$3:$CE$3,"="&amp;$DF39+'Model Setup'!$E$7,$AD39:$BA39)+'Model Setup'!$E$8*(SUMIF($BH$3:$CE$3,"&lt;"&amp;$DF39,$AD39:$BA39)+SUMIF($BH$3:$CE$3,"&gt;"&amp;$CW$4,$AD39:$BA39)),
IF(CA$3=$DF39+'Model Setup'!$F$7,SUMIF($BH$3:$CE$3,"="&amp;$DF39+'Model Setup'!$F$7,$AD39:$BA39)+'Model Setup'!$F$8*(SUMIF($BH$3:$CE$3,"&lt;"&amp;$DF39,$AD39:$BA39)+SUMIF($BH$3:$CE$3,"&gt;"&amp;$CW$4,$AD39:$BA39)),
IF(CA$3=$DF39+'Model Setup'!$G$7,SUMIF($BH$3:$CE$3,"="&amp;$DF39+'Model Setup'!$G$7,$AD39:$BA39)+'Model Setup'!$G$8*(SUMIF($BH$3:$CE$3,"&lt;"&amp;$DF39,$AD39:$BA39)+SUMIF($BH$3:$CE$3,"&gt;"&amp;$CW$4,$AD39:$BA39)),
IF(CA$3=$DF39+'Model Setup'!$H$7,SUMIF($BH$3:$CE$3,"="&amp;$DF39+'Model Setup'!$H$7,$AD39:$BA39)+'Model Setup'!$H$8*(SUMIF($BH$3:$CE$3,"&lt;"&amp;$DF39,$AD39:$BA39)+SUMIF($BH$3:$CE$3,"&gt;"&amp;$CW$4,$AD39:$BA39)),
IF(CA$3=$DF39+'Model Setup'!$I$7,SUMIF($BH$3:$CE$3,"="&amp;$DF39+'Model Setup'!$I$7,$AD39:$BA39)+'Model Setup'!$I$8*(SUMIF($BH$3:$CE$3,"&lt;"&amp;$DF39,$AD39:$BA39)+SUMIF($BH$3:$CE$3,"&gt;"&amp;$CW$4,$AD39:$BA39)),
IF(CA$3=$DF39+'Model Setup'!$J$7,SUMIF($BH$3:$CE$3,"="&amp;$DF39+'Model Setup'!$J$7,$AD39:$BA39)+'Model Setup'!$J$8*(SUMIF($BH$3:$CE$3,"&lt;"&amp;$DF39,$AD39:$BA39)+SUMIF($BH$3:$CE$3,"&gt;"&amp;$CW$4,$AD39:$BA39)),
IF(CA$3=$DF39+'Model Setup'!$K$7,SUMIF($BH$3:$CE$3,"="&amp;$DF39+'Model Setup'!$K$7,$AD39:$BA39)+'Model Setup'!$K$8*(SUMIF($BH$3:$CE$3,"&lt;"&amp;$DF39,$AD39:$BA39)+SUMIF($BH$3:$CE$3,"&gt;"&amp;$CW$4,$AD39:$BA39)),
IF(CA$3=$DF39+'Model Setup'!$L$7,SUMIF($BH$3:$CE$3,"="&amp;$DF39+'Model Setup'!$L$7,$AD39:$BA39)+'Model Setup'!$L$8*(SUMIF($BH$3:$CE$3,"&lt;"&amp;$DF39,$AD39:$BA39)+SUMIF($BH$3:$CE$3,"&gt;"&amp;$CW$4,$AD39:$BA39)),
IF(CA$3=$DF39+'Model Setup'!$M$7,SUMIF($BH$3:$CE$3,"="&amp;$DF39+'Model Setup'!$M$7,$AD39:$BA39)+'Model Setup'!$M$8*(SUMIF($BH$3:$CE$3,"&lt;"&amp;$DF39,$AD39:$BA39)+SUMIF($BH$3:$CE$3,"&gt;"&amp;$CW$4,$AD39:$BA39)),
IF(CA$3=$DF39+'Model Setup'!$N$7,SUMIF($BH$3:$CE$3,"="&amp;$DF39+'Model Setup'!$N$7,$AD39:$BA39)+'Model Setup'!$N$8*(SUMIF($BH$3:$CE$3,"&lt;"&amp;$DF39,$AD39:$BA39)+SUMIF($BH$3:$CE$3,"&gt;"&amp;$CW$4,$AD39:$BA39)),
IF(CA$3&lt;$CW$4,U39,0))))))))))))))),0)</f>
        <v>0</v>
      </c>
      <c r="CB39" s="47">
        <f>ROUND(IF(OR(CB$3&lt;$DF39,CB$3&gt;$CW$4),0,
IF(CB$3=$DF39+'Model Setup'!$B$7,SUMIF($BH$3:$CE$3,"="&amp;$DF39+'Model Setup'!$B$7,$AD39:$BA39)+'Model Setup'!$B$8*(SUMIF($BH$3:$CE$3,"&lt;"&amp;$DF39,$AD39:$BA39)+SUMIF($BH$3:$CE$3,"&gt;"&amp;$CW$4,$AD39:$BA39)),
IF(CB$3=$DF39+'Model Setup'!$C$7,SUMIF($BH$3:$CE$3,"="&amp;$DF39+'Model Setup'!$C$7,$AD39:$BA39)+'Model Setup'!$C$8*(SUMIF($BH$3:$CE$3,"&lt;"&amp;$DF39,$AD39:$BA39)+SUMIF($BH$3:$CE$3,"&gt;"&amp;$CW$4,$AD39:$BA39)),
IF(CB$3=$DF39+'Model Setup'!$D$7,SUMIF($BH$3:$CE$3,"="&amp;$DF39+'Model Setup'!$D$7,$AD39:$BA39)+'Model Setup'!$D$8*(SUMIF($BH$3:$CE$3,"&lt;"&amp;$DF39,$AD39:$BA39)+SUMIF($BH$3:$CE$3,"&gt;"&amp;$CW$4,$AD39:$BA39)),
IF(CB$3=$DF39+'Model Setup'!$E$7,SUMIF($BH$3:$CE$3,"="&amp;$DF39+'Model Setup'!$E$7,$AD39:$BA39)+'Model Setup'!$E$8*(SUMIF($BH$3:$CE$3,"&lt;"&amp;$DF39,$AD39:$BA39)+SUMIF($BH$3:$CE$3,"&gt;"&amp;$CW$4,$AD39:$BA39)),
IF(CB$3=$DF39+'Model Setup'!$F$7,SUMIF($BH$3:$CE$3,"="&amp;$DF39+'Model Setup'!$F$7,$AD39:$BA39)+'Model Setup'!$F$8*(SUMIF($BH$3:$CE$3,"&lt;"&amp;$DF39,$AD39:$BA39)+SUMIF($BH$3:$CE$3,"&gt;"&amp;$CW$4,$AD39:$BA39)),
IF(CB$3=$DF39+'Model Setup'!$G$7,SUMIF($BH$3:$CE$3,"="&amp;$DF39+'Model Setup'!$G$7,$AD39:$BA39)+'Model Setup'!$G$8*(SUMIF($BH$3:$CE$3,"&lt;"&amp;$DF39,$AD39:$BA39)+SUMIF($BH$3:$CE$3,"&gt;"&amp;$CW$4,$AD39:$BA39)),
IF(CB$3=$DF39+'Model Setup'!$H$7,SUMIF($BH$3:$CE$3,"="&amp;$DF39+'Model Setup'!$H$7,$AD39:$BA39)+'Model Setup'!$H$8*(SUMIF($BH$3:$CE$3,"&lt;"&amp;$DF39,$AD39:$BA39)+SUMIF($BH$3:$CE$3,"&gt;"&amp;$CW$4,$AD39:$BA39)),
IF(CB$3=$DF39+'Model Setup'!$I$7,SUMIF($BH$3:$CE$3,"="&amp;$DF39+'Model Setup'!$I$7,$AD39:$BA39)+'Model Setup'!$I$8*(SUMIF($BH$3:$CE$3,"&lt;"&amp;$DF39,$AD39:$BA39)+SUMIF($BH$3:$CE$3,"&gt;"&amp;$CW$4,$AD39:$BA39)),
IF(CB$3=$DF39+'Model Setup'!$J$7,SUMIF($BH$3:$CE$3,"="&amp;$DF39+'Model Setup'!$J$7,$AD39:$BA39)+'Model Setup'!$J$8*(SUMIF($BH$3:$CE$3,"&lt;"&amp;$DF39,$AD39:$BA39)+SUMIF($BH$3:$CE$3,"&gt;"&amp;$CW$4,$AD39:$BA39)),
IF(CB$3=$DF39+'Model Setup'!$K$7,SUMIF($BH$3:$CE$3,"="&amp;$DF39+'Model Setup'!$K$7,$AD39:$BA39)+'Model Setup'!$K$8*(SUMIF($BH$3:$CE$3,"&lt;"&amp;$DF39,$AD39:$BA39)+SUMIF($BH$3:$CE$3,"&gt;"&amp;$CW$4,$AD39:$BA39)),
IF(CB$3=$DF39+'Model Setup'!$L$7,SUMIF($BH$3:$CE$3,"="&amp;$DF39+'Model Setup'!$L$7,$AD39:$BA39)+'Model Setup'!$L$8*(SUMIF($BH$3:$CE$3,"&lt;"&amp;$DF39,$AD39:$BA39)+SUMIF($BH$3:$CE$3,"&gt;"&amp;$CW$4,$AD39:$BA39)),
IF(CB$3=$DF39+'Model Setup'!$M$7,SUMIF($BH$3:$CE$3,"="&amp;$DF39+'Model Setup'!$M$7,$AD39:$BA39)+'Model Setup'!$M$8*(SUMIF($BH$3:$CE$3,"&lt;"&amp;$DF39,$AD39:$BA39)+SUMIF($BH$3:$CE$3,"&gt;"&amp;$CW$4,$AD39:$BA39)),
IF(CB$3=$DF39+'Model Setup'!$N$7,SUMIF($BH$3:$CE$3,"="&amp;$DF39+'Model Setup'!$N$7,$AD39:$BA39)+'Model Setup'!$N$8*(SUMIF($BH$3:$CE$3,"&lt;"&amp;$DF39,$AD39:$BA39)+SUMIF($BH$3:$CE$3,"&gt;"&amp;$CW$4,$AD39:$BA39)),
IF(CB$3&lt;$CW$4,V39,0))))))))))))))),0)</f>
        <v>0</v>
      </c>
      <c r="CC39" s="47">
        <f>ROUND(IF(OR(CC$3&lt;$DF39,CC$3&gt;$CW$4),0,
IF(CC$3=$DF39+'Model Setup'!$B$7,SUMIF($BH$3:$CE$3,"="&amp;$DF39+'Model Setup'!$B$7,$AD39:$BA39)+'Model Setup'!$B$8*(SUMIF($BH$3:$CE$3,"&lt;"&amp;$DF39,$AD39:$BA39)+SUMIF($BH$3:$CE$3,"&gt;"&amp;$CW$4,$AD39:$BA39)),
IF(CC$3=$DF39+'Model Setup'!$C$7,SUMIF($BH$3:$CE$3,"="&amp;$DF39+'Model Setup'!$C$7,$AD39:$BA39)+'Model Setup'!$C$8*(SUMIF($BH$3:$CE$3,"&lt;"&amp;$DF39,$AD39:$BA39)+SUMIF($BH$3:$CE$3,"&gt;"&amp;$CW$4,$AD39:$BA39)),
IF(CC$3=$DF39+'Model Setup'!$D$7,SUMIF($BH$3:$CE$3,"="&amp;$DF39+'Model Setup'!$D$7,$AD39:$BA39)+'Model Setup'!$D$8*(SUMIF($BH$3:$CE$3,"&lt;"&amp;$DF39,$AD39:$BA39)+SUMIF($BH$3:$CE$3,"&gt;"&amp;$CW$4,$AD39:$BA39)),
IF(CC$3=$DF39+'Model Setup'!$E$7,SUMIF($BH$3:$CE$3,"="&amp;$DF39+'Model Setup'!$E$7,$AD39:$BA39)+'Model Setup'!$E$8*(SUMIF($BH$3:$CE$3,"&lt;"&amp;$DF39,$AD39:$BA39)+SUMIF($BH$3:$CE$3,"&gt;"&amp;$CW$4,$AD39:$BA39)),
IF(CC$3=$DF39+'Model Setup'!$F$7,SUMIF($BH$3:$CE$3,"="&amp;$DF39+'Model Setup'!$F$7,$AD39:$BA39)+'Model Setup'!$F$8*(SUMIF($BH$3:$CE$3,"&lt;"&amp;$DF39,$AD39:$BA39)+SUMIF($BH$3:$CE$3,"&gt;"&amp;$CW$4,$AD39:$BA39)),
IF(CC$3=$DF39+'Model Setup'!$G$7,SUMIF($BH$3:$CE$3,"="&amp;$DF39+'Model Setup'!$G$7,$AD39:$BA39)+'Model Setup'!$G$8*(SUMIF($BH$3:$CE$3,"&lt;"&amp;$DF39,$AD39:$BA39)+SUMIF($BH$3:$CE$3,"&gt;"&amp;$CW$4,$AD39:$BA39)),
IF(CC$3=$DF39+'Model Setup'!$H$7,SUMIF($BH$3:$CE$3,"="&amp;$DF39+'Model Setup'!$H$7,$AD39:$BA39)+'Model Setup'!$H$8*(SUMIF($BH$3:$CE$3,"&lt;"&amp;$DF39,$AD39:$BA39)+SUMIF($BH$3:$CE$3,"&gt;"&amp;$CW$4,$AD39:$BA39)),
IF(CC$3=$DF39+'Model Setup'!$I$7,SUMIF($BH$3:$CE$3,"="&amp;$DF39+'Model Setup'!$I$7,$AD39:$BA39)+'Model Setup'!$I$8*(SUMIF($BH$3:$CE$3,"&lt;"&amp;$DF39,$AD39:$BA39)+SUMIF($BH$3:$CE$3,"&gt;"&amp;$CW$4,$AD39:$BA39)),
IF(CC$3=$DF39+'Model Setup'!$J$7,SUMIF($BH$3:$CE$3,"="&amp;$DF39+'Model Setup'!$J$7,$AD39:$BA39)+'Model Setup'!$J$8*(SUMIF($BH$3:$CE$3,"&lt;"&amp;$DF39,$AD39:$BA39)+SUMIF($BH$3:$CE$3,"&gt;"&amp;$CW$4,$AD39:$BA39)),
IF(CC$3=$DF39+'Model Setup'!$K$7,SUMIF($BH$3:$CE$3,"="&amp;$DF39+'Model Setup'!$K$7,$AD39:$BA39)+'Model Setup'!$K$8*(SUMIF($BH$3:$CE$3,"&lt;"&amp;$DF39,$AD39:$BA39)+SUMIF($BH$3:$CE$3,"&gt;"&amp;$CW$4,$AD39:$BA39)),
IF(CC$3=$DF39+'Model Setup'!$L$7,SUMIF($BH$3:$CE$3,"="&amp;$DF39+'Model Setup'!$L$7,$AD39:$BA39)+'Model Setup'!$L$8*(SUMIF($BH$3:$CE$3,"&lt;"&amp;$DF39,$AD39:$BA39)+SUMIF($BH$3:$CE$3,"&gt;"&amp;$CW$4,$AD39:$BA39)),
IF(CC$3=$DF39+'Model Setup'!$M$7,SUMIF($BH$3:$CE$3,"="&amp;$DF39+'Model Setup'!$M$7,$AD39:$BA39)+'Model Setup'!$M$8*(SUMIF($BH$3:$CE$3,"&lt;"&amp;$DF39,$AD39:$BA39)+SUMIF($BH$3:$CE$3,"&gt;"&amp;$CW$4,$AD39:$BA39)),
IF(CC$3=$DF39+'Model Setup'!$N$7,SUMIF($BH$3:$CE$3,"="&amp;$DF39+'Model Setup'!$N$7,$AD39:$BA39)+'Model Setup'!$N$8*(SUMIF($BH$3:$CE$3,"&lt;"&amp;$DF39,$AD39:$BA39)+SUMIF($BH$3:$CE$3,"&gt;"&amp;$CW$4,$AD39:$BA39)),
IF(CC$3&lt;$CW$4,W39,0))))))))))))))),0)</f>
        <v>0</v>
      </c>
      <c r="CD39" s="47">
        <f>ROUND(IF(OR(CD$3&lt;$DF39,CD$3&gt;$CW$4),0,
IF(CD$3=$DF39+'Model Setup'!$B$7,SUMIF($BH$3:$CE$3,"="&amp;$DF39+'Model Setup'!$B$7,$AD39:$BA39)+'Model Setup'!$B$8*(SUMIF($BH$3:$CE$3,"&lt;"&amp;$DF39,$AD39:$BA39)+SUMIF($BH$3:$CE$3,"&gt;"&amp;$CW$4,$AD39:$BA39)),
IF(CD$3=$DF39+'Model Setup'!$C$7,SUMIF($BH$3:$CE$3,"="&amp;$DF39+'Model Setup'!$C$7,$AD39:$BA39)+'Model Setup'!$C$8*(SUMIF($BH$3:$CE$3,"&lt;"&amp;$DF39,$AD39:$BA39)+SUMIF($BH$3:$CE$3,"&gt;"&amp;$CW$4,$AD39:$BA39)),
IF(CD$3=$DF39+'Model Setup'!$D$7,SUMIF($BH$3:$CE$3,"="&amp;$DF39+'Model Setup'!$D$7,$AD39:$BA39)+'Model Setup'!$D$8*(SUMIF($BH$3:$CE$3,"&lt;"&amp;$DF39,$AD39:$BA39)+SUMIF($BH$3:$CE$3,"&gt;"&amp;$CW$4,$AD39:$BA39)),
IF(CD$3=$DF39+'Model Setup'!$E$7,SUMIF($BH$3:$CE$3,"="&amp;$DF39+'Model Setup'!$E$7,$AD39:$BA39)+'Model Setup'!$E$8*(SUMIF($BH$3:$CE$3,"&lt;"&amp;$DF39,$AD39:$BA39)+SUMIF($BH$3:$CE$3,"&gt;"&amp;$CW$4,$AD39:$BA39)),
IF(CD$3=$DF39+'Model Setup'!$F$7,SUMIF($BH$3:$CE$3,"="&amp;$DF39+'Model Setup'!$F$7,$AD39:$BA39)+'Model Setup'!$F$8*(SUMIF($BH$3:$CE$3,"&lt;"&amp;$DF39,$AD39:$BA39)+SUMIF($BH$3:$CE$3,"&gt;"&amp;$CW$4,$AD39:$BA39)),
IF(CD$3=$DF39+'Model Setup'!$G$7,SUMIF($BH$3:$CE$3,"="&amp;$DF39+'Model Setup'!$G$7,$AD39:$BA39)+'Model Setup'!$G$8*(SUMIF($BH$3:$CE$3,"&lt;"&amp;$DF39,$AD39:$BA39)+SUMIF($BH$3:$CE$3,"&gt;"&amp;$CW$4,$AD39:$BA39)),
IF(CD$3=$DF39+'Model Setup'!$H$7,SUMIF($BH$3:$CE$3,"="&amp;$DF39+'Model Setup'!$H$7,$AD39:$BA39)+'Model Setup'!$H$8*(SUMIF($BH$3:$CE$3,"&lt;"&amp;$DF39,$AD39:$BA39)+SUMIF($BH$3:$CE$3,"&gt;"&amp;$CW$4,$AD39:$BA39)),
IF(CD$3=$DF39+'Model Setup'!$I$7,SUMIF($BH$3:$CE$3,"="&amp;$DF39+'Model Setup'!$I$7,$AD39:$BA39)+'Model Setup'!$I$8*(SUMIF($BH$3:$CE$3,"&lt;"&amp;$DF39,$AD39:$BA39)+SUMIF($BH$3:$CE$3,"&gt;"&amp;$CW$4,$AD39:$BA39)),
IF(CD$3=$DF39+'Model Setup'!$J$7,SUMIF($BH$3:$CE$3,"="&amp;$DF39+'Model Setup'!$J$7,$AD39:$BA39)+'Model Setup'!$J$8*(SUMIF($BH$3:$CE$3,"&lt;"&amp;$DF39,$AD39:$BA39)+SUMIF($BH$3:$CE$3,"&gt;"&amp;$CW$4,$AD39:$BA39)),
IF(CD$3=$DF39+'Model Setup'!$K$7,SUMIF($BH$3:$CE$3,"="&amp;$DF39+'Model Setup'!$K$7,$AD39:$BA39)+'Model Setup'!$K$8*(SUMIF($BH$3:$CE$3,"&lt;"&amp;$DF39,$AD39:$BA39)+SUMIF($BH$3:$CE$3,"&gt;"&amp;$CW$4,$AD39:$BA39)),
IF(CD$3=$DF39+'Model Setup'!$L$7,SUMIF($BH$3:$CE$3,"="&amp;$DF39+'Model Setup'!$L$7,$AD39:$BA39)+'Model Setup'!$L$8*(SUMIF($BH$3:$CE$3,"&lt;"&amp;$DF39,$AD39:$BA39)+SUMIF($BH$3:$CE$3,"&gt;"&amp;$CW$4,$AD39:$BA39)),
IF(CD$3=$DF39+'Model Setup'!$M$7,SUMIF($BH$3:$CE$3,"="&amp;$DF39+'Model Setup'!$M$7,$AD39:$BA39)+'Model Setup'!$M$8*(SUMIF($BH$3:$CE$3,"&lt;"&amp;$DF39,$AD39:$BA39)+SUMIF($BH$3:$CE$3,"&gt;"&amp;$CW$4,$AD39:$BA39)),
IF(CD$3=$DF39+'Model Setup'!$N$7,SUMIF($BH$3:$CE$3,"="&amp;$DF39+'Model Setup'!$N$7,$AD39:$BA39)+'Model Setup'!$N$8*(SUMIF($BH$3:$CE$3,"&lt;"&amp;$DF39,$AD39:$BA39)+SUMIF($BH$3:$CE$3,"&gt;"&amp;$CW$4,$AD39:$BA39)),
IF(CD$3&lt;$CW$4,X39,0))))))))))))))),0)</f>
        <v>0</v>
      </c>
      <c r="CE39" s="47">
        <f>ROUND(IF(OR(CE$3&lt;$DF39,CE$3&gt;$CW$4),0,
IF(CE$3=$DF39+'Model Setup'!$B$7,SUMIF($BH$3:$CE$3,"="&amp;$DF39+'Model Setup'!$B$7,$AD39:$BA39)+'Model Setup'!$B$8*(SUMIF($BH$3:$CE$3,"&lt;"&amp;$DF39,$AD39:$BA39)+SUMIF($BH$3:$CE$3,"&gt;"&amp;$CW$4,$AD39:$BA39)),
IF(CE$3=$DF39+'Model Setup'!$C$7,SUMIF($BH$3:$CE$3,"="&amp;$DF39+'Model Setup'!$C$7,$AD39:$BA39)+'Model Setup'!$C$8*(SUMIF($BH$3:$CE$3,"&lt;"&amp;$DF39,$AD39:$BA39)+SUMIF($BH$3:$CE$3,"&gt;"&amp;$CW$4,$AD39:$BA39)),
IF(CE$3=$DF39+'Model Setup'!$D$7,SUMIF($BH$3:$CE$3,"="&amp;$DF39+'Model Setup'!$D$7,$AD39:$BA39)+'Model Setup'!$D$8*(SUMIF($BH$3:$CE$3,"&lt;"&amp;$DF39,$AD39:$BA39)+SUMIF($BH$3:$CE$3,"&gt;"&amp;$CW$4,$AD39:$BA39)),
IF(CE$3=$DF39+'Model Setup'!$E$7,SUMIF($BH$3:$CE$3,"="&amp;$DF39+'Model Setup'!$E$7,$AD39:$BA39)+'Model Setup'!$E$8*(SUMIF($BH$3:$CE$3,"&lt;"&amp;$DF39,$AD39:$BA39)+SUMIF($BH$3:$CE$3,"&gt;"&amp;$CW$4,$AD39:$BA39)),
IF(CE$3=$DF39+'Model Setup'!$F$7,SUMIF($BH$3:$CE$3,"="&amp;$DF39+'Model Setup'!$F$7,$AD39:$BA39)+'Model Setup'!$F$8*(SUMIF($BH$3:$CE$3,"&lt;"&amp;$DF39,$AD39:$BA39)+SUMIF($BH$3:$CE$3,"&gt;"&amp;$CW$4,$AD39:$BA39)),
IF(CE$3=$DF39+'Model Setup'!$G$7,SUMIF($BH$3:$CE$3,"="&amp;$DF39+'Model Setup'!$G$7,$AD39:$BA39)+'Model Setup'!$G$8*(SUMIF($BH$3:$CE$3,"&lt;"&amp;$DF39,$AD39:$BA39)+SUMIF($BH$3:$CE$3,"&gt;"&amp;$CW$4,$AD39:$BA39)),
IF(CE$3=$DF39+'Model Setup'!$H$7,SUMIF($BH$3:$CE$3,"="&amp;$DF39+'Model Setup'!$H$7,$AD39:$BA39)+'Model Setup'!$H$8*(SUMIF($BH$3:$CE$3,"&lt;"&amp;$DF39,$AD39:$BA39)+SUMIF($BH$3:$CE$3,"&gt;"&amp;$CW$4,$AD39:$BA39)),
IF(CE$3=$DF39+'Model Setup'!$I$7,SUMIF($BH$3:$CE$3,"="&amp;$DF39+'Model Setup'!$I$7,$AD39:$BA39)+'Model Setup'!$I$8*(SUMIF($BH$3:$CE$3,"&lt;"&amp;$DF39,$AD39:$BA39)+SUMIF($BH$3:$CE$3,"&gt;"&amp;$CW$4,$AD39:$BA39)),
IF(CE$3=$DF39+'Model Setup'!$J$7,SUMIF($BH$3:$CE$3,"="&amp;$DF39+'Model Setup'!$J$7,$AD39:$BA39)+'Model Setup'!$J$8*(SUMIF($BH$3:$CE$3,"&lt;"&amp;$DF39,$AD39:$BA39)+SUMIF($BH$3:$CE$3,"&gt;"&amp;$CW$4,$AD39:$BA39)),
IF(CE$3=$DF39+'Model Setup'!$K$7,SUMIF($BH$3:$CE$3,"="&amp;$DF39+'Model Setup'!$K$7,$AD39:$BA39)+'Model Setup'!$K$8*(SUMIF($BH$3:$CE$3,"&lt;"&amp;$DF39,$AD39:$BA39)+SUMIF($BH$3:$CE$3,"&gt;"&amp;$CW$4,$AD39:$BA39)),
IF(CE$3=$DF39+'Model Setup'!$L$7,SUMIF($BH$3:$CE$3,"="&amp;$DF39+'Model Setup'!$L$7,$AD39:$BA39)+'Model Setup'!$L$8*(SUMIF($BH$3:$CE$3,"&lt;"&amp;$DF39,$AD39:$BA39)+SUMIF($BH$3:$CE$3,"&gt;"&amp;$CW$4,$AD39:$BA39)),
IF(CE$3=$DF39+'Model Setup'!$M$7,SUMIF($BH$3:$CE$3,"="&amp;$DF39+'Model Setup'!$M$7,$AD39:$BA39)+'Model Setup'!$M$8*(SUMIF($BH$3:$CE$3,"&lt;"&amp;$DF39,$AD39:$BA39)+SUMIF($BH$3:$CE$3,"&gt;"&amp;$CW$4,$AD39:$BA39)),
IF(CE$3=$DF39+'Model Setup'!$N$7,SUMIF($BH$3:$CE$3,"="&amp;$DF39+'Model Setup'!$N$7,$AD39:$BA39)+'Model Setup'!$N$8*(SUMIF($BH$3:$CE$3,"&lt;"&amp;$DF39,$AD39:$BA39)+SUMIF($BH$3:$CE$3,"&gt;"&amp;$CW$4,$AD39:$BA39)),
IF(CE$3&lt;$CW$4,Y39,0))))))))))))))),0)</f>
        <v>0</v>
      </c>
      <c r="CF39" s="47">
        <f t="shared" si="3"/>
        <v>2533</v>
      </c>
      <c r="CG39" s="47">
        <f t="shared" si="4"/>
        <v>0</v>
      </c>
      <c r="CI39" s="10" t="s">
        <v>54</v>
      </c>
      <c r="CJ39" s="126">
        <f t="shared" si="9"/>
        <v>73</v>
      </c>
      <c r="CK39" s="126">
        <f t="shared" si="10"/>
        <v>288</v>
      </c>
      <c r="CL39" s="126">
        <f t="shared" si="11"/>
        <v>278</v>
      </c>
      <c r="CM39" s="126">
        <f t="shared" si="12"/>
        <v>285</v>
      </c>
      <c r="CN39" s="126">
        <f t="shared" si="13"/>
        <v>266</v>
      </c>
      <c r="CO39" s="126">
        <f t="shared" si="14"/>
        <v>258</v>
      </c>
      <c r="CP39" s="126">
        <f t="shared" si="15"/>
        <v>207</v>
      </c>
      <c r="CQ39" s="126">
        <f t="shared" si="16"/>
        <v>208</v>
      </c>
      <c r="CR39" s="126">
        <f t="shared" si="17"/>
        <v>146</v>
      </c>
      <c r="CS39" s="126">
        <f t="shared" si="18"/>
        <v>109</v>
      </c>
      <c r="CT39" s="126">
        <f t="shared" si="19"/>
        <v>144</v>
      </c>
      <c r="CU39" s="126">
        <f t="shared" si="20"/>
        <v>151</v>
      </c>
      <c r="CV39" s="126">
        <f t="shared" si="21"/>
        <v>120</v>
      </c>
      <c r="CW39" s="126">
        <f t="shared" si="22"/>
        <v>0</v>
      </c>
      <c r="CX39" s="126">
        <f t="shared" si="23"/>
        <v>0</v>
      </c>
      <c r="CY39" s="126">
        <f t="shared" si="24"/>
        <v>0</v>
      </c>
      <c r="CZ39" s="47">
        <f t="shared" si="7"/>
        <v>2533</v>
      </c>
      <c r="DC39" s="93" t="s">
        <v>54</v>
      </c>
      <c r="DD39" s="89">
        <f>FTC!E37</f>
        <v>0.20833333333333334</v>
      </c>
      <c r="DE39" s="89">
        <f>FTC!F37</f>
        <v>0.75</v>
      </c>
      <c r="DF39" s="90">
        <f t="shared" si="25"/>
        <v>5</v>
      </c>
      <c r="DG39" s="91">
        <f t="shared" si="26"/>
        <v>18</v>
      </c>
      <c r="DH39" s="91">
        <f t="shared" si="27"/>
        <v>13</v>
      </c>
    </row>
    <row r="40" spans="1:112" x14ac:dyDescent="0.35">
      <c r="A40" s="43" t="s">
        <v>55</v>
      </c>
      <c r="B40" s="47">
        <v>6</v>
      </c>
      <c r="C40" s="47">
        <v>3</v>
      </c>
      <c r="D40" s="47">
        <v>4</v>
      </c>
      <c r="E40" s="47">
        <v>13</v>
      </c>
      <c r="F40" s="47">
        <v>16</v>
      </c>
      <c r="G40" s="47">
        <v>30</v>
      </c>
      <c r="H40" s="47">
        <v>116</v>
      </c>
      <c r="I40" s="47">
        <v>124</v>
      </c>
      <c r="J40" s="47">
        <v>123</v>
      </c>
      <c r="K40" s="47">
        <v>98</v>
      </c>
      <c r="L40" s="47">
        <v>99</v>
      </c>
      <c r="M40" s="47">
        <v>52</v>
      </c>
      <c r="N40" s="47">
        <v>65</v>
      </c>
      <c r="O40" s="47">
        <v>71</v>
      </c>
      <c r="P40" s="47">
        <v>43</v>
      </c>
      <c r="Q40" s="47">
        <v>36</v>
      </c>
      <c r="R40" s="47">
        <v>25</v>
      </c>
      <c r="S40" s="47">
        <v>16</v>
      </c>
      <c r="T40" s="47">
        <v>17</v>
      </c>
      <c r="U40" s="47">
        <v>8</v>
      </c>
      <c r="V40" s="47">
        <v>11</v>
      </c>
      <c r="W40" s="47">
        <v>11</v>
      </c>
      <c r="X40" s="47">
        <v>10</v>
      </c>
      <c r="Y40" s="47">
        <v>4</v>
      </c>
      <c r="Z40" s="47">
        <f t="shared" si="0"/>
        <v>1001</v>
      </c>
      <c r="AC40" s="43" t="s">
        <v>55</v>
      </c>
      <c r="AD40" s="47">
        <f>ROUND(IF(AD$3&lt;$DF40,0,
IF(AD$3=$DF40+'Model Setup'!$B$7,SUMIF($AD$3:$BA$3,"="&amp;$DF40+'Model Setup'!$B$7,$B40:$Y40)+'Model Setup'!$B$8*(SUMIF($AD$3:$BA$3,"&lt;"&amp;$DF40,$B40:$Y40)+SUMIF($AD$3:$BA$3,"&gt;="&amp;$DG40,$B40:$Y40)),
IF(AD$3=$DF40+'Model Setup'!$C$7,SUMIF($AD$3:$BA$3,"="&amp;$DF40+'Model Setup'!$C$7,$B40:$Y40)+'Model Setup'!$C$8*(SUMIF($AD$3:$BA$3,"&lt;"&amp;$DF40,$B40:$Y40)+SUMIF($AD$3:$BA$3,"&gt;="&amp;$DG40,$B40:$Y40)),
IF(AD$3=$DF40+'Model Setup'!$D$7,SUMIF($AD$3:$BA$3,"="&amp;$DF40+'Model Setup'!$D$7,$B40:$Y40)+'Model Setup'!$D$8*(SUMIF($AD$3:$BA$3,"&lt;"&amp;$DF40,$B40:$Y40)+SUMIF($AD$3:$BA$3,"&gt;="&amp;$DG40,$B40:$Y40)),
IF(AD$3=$DF40+'Model Setup'!$E$7,SUMIF($AD$3:$BA$3,"="&amp;$DF40+'Model Setup'!$E$7,$B40:$Y40)+'Model Setup'!$E$8*(SUMIF($AD$3:$BA$3,"&lt;"&amp;$DF40,$B40:$Y40)+SUMIF($AD$3:$BA$3,"&gt;="&amp;$DG40,$B40:$Y40)),
IF(AD$3=$DF40+'Model Setup'!$F$7,SUMIF($AD$3:$BA$3,"="&amp;$DF40+'Model Setup'!$F$7,$B40:$Y40)+'Model Setup'!$F$8*(SUMIF($AD$3:$BA$3,"&lt;"&amp;$DF40,$B40:$Y40)+SUMIF($AD$3:$BA$3,"&gt;="&amp;$DG40,$B40:$Y40)),
IF(AD$3=$DF40+'Model Setup'!$G$7,SUMIF($AD$3:$BA$3,"="&amp;$DF40+'Model Setup'!$G$7,$B40:$Y40)+'Model Setup'!$G$8*(SUMIF($AD$3:$BA$3,"&lt;"&amp;$DF40,$B40:$Y40)+SUMIF($AD$3:$BA$3,"&gt;="&amp;$DG40,$B40:$Y40)),
IF(AD$3=$DF40+'Model Setup'!$H$7,SUMIF($AD$3:$BA$3,"="&amp;$DF40+'Model Setup'!$H$7,$B40:$Y40)+'Model Setup'!$H$8*(SUMIF($AD$3:$BA$3,"&lt;"&amp;$DF40,$B40:$Y40)+SUMIF($AD$3:$BA$3,"&gt;="&amp;$DG40,$B40:$Y40)),
IF(AD$3=$DF40+'Model Setup'!$I$7,SUMIF($AD$3:$BA$3,"="&amp;$DF40+'Model Setup'!$I$7,$B40:$Y40)+'Model Setup'!$I$8*(SUMIF($AD$3:$BA$3,"&lt;"&amp;$DF40,$B40:$Y40)+SUMIF($AD$3:$BA$3,"&gt;="&amp;$DG40,$B40:$Y40)),
IF(AD$3=$DF40+'Model Setup'!$J$7,SUMIF($AD$3:$BA$3,"="&amp;$DF40+'Model Setup'!$J$7,$B40:$Y40)+'Model Setup'!$J$8*(SUMIF($AD$3:$BA$3,"&lt;"&amp;$DF40,$B40:$Y40)+SUMIF($AD$3:$BA$3,"&gt;="&amp;$DG40,$B40:$Y40)),
IF(AD$3=$DF40+'Model Setup'!$K$7,SUMIF($AD$3:$BA$3,"="&amp;$DF40+'Model Setup'!$K$7,$B40:$Y40)+'Model Setup'!$K$8*(SUMIF($AD$3:$BA$3,"&lt;"&amp;$DF40,$B40:$Y40)+SUMIF($AD$3:$BA$3,"&gt;="&amp;$DG40,$B40:$Y40)),
IF(AD$3=$DF40+'Model Setup'!$L$7,SUMIF($AD$3:$BA$3,"="&amp;$DF40+'Model Setup'!$L$7,$B40:$Y40)+'Model Setup'!$L$8*(SUMIF($AD$3:$BA$3,"&lt;"&amp;$DF40,$B40:$Y40)+SUMIF($AD$3:$BA$3,"&gt;="&amp;$DG40,$B40:$Y40)),
IF(AD$3=$DF40+'Model Setup'!$M$7,SUMIF($AD$3:$BA$3,"="&amp;$DF40+'Model Setup'!$M$7,$B40:$Y40)+'Model Setup'!$M$8*(SUMIF($AD$3:$BA$3,"&lt;"&amp;$DF40,$B40:$Y40)+SUMIF($AD$3:$BA$3,"&gt;="&amp;$DG40,$B40:$Y40)),
IF(AD$3=$DF40+'Model Setup'!$N$7,SUMIF($AD$3:$BA$3,"="&amp;$DF40+'Model Setup'!$N$7,$B40:$Y40)+'Model Setup'!$N$8*(SUMIF($AD$3:$BA$3,"&lt;"&amp;$DF40,$B40:$Y40)+SUMIF($AD$3:$BA$3,"&gt;="&amp;$DG40,$B40:$Y40)),
IF(AD$3&lt;$DG40,B40,0))))))))))))))),0)</f>
        <v>0</v>
      </c>
      <c r="AE40" s="47">
        <f>ROUND(IF(AE$3&lt;$DF40,0,
IF(AE$3=$DF40+'Model Setup'!$B$7,SUMIF($AD$3:$BA$3,"="&amp;$DF40+'Model Setup'!$B$7,$B40:$Y40)+'Model Setup'!$B$8*(SUMIF($AD$3:$BA$3,"&lt;"&amp;$DF40,$B40:$Y40)+SUMIF($AD$3:$BA$3,"&gt;="&amp;$DG40,$B40:$Y40)),
IF(AE$3=$DF40+'Model Setup'!$C$7,SUMIF($AD$3:$BA$3,"="&amp;$DF40+'Model Setup'!$C$7,$B40:$Y40)+'Model Setup'!$C$8*(SUMIF($AD$3:$BA$3,"&lt;"&amp;$DF40,$B40:$Y40)+SUMIF($AD$3:$BA$3,"&gt;="&amp;$DG40,$B40:$Y40)),
IF(AE$3=$DF40+'Model Setup'!$D$7,SUMIF($AD$3:$BA$3,"="&amp;$DF40+'Model Setup'!$D$7,$B40:$Y40)+'Model Setup'!$D$8*(SUMIF($AD$3:$BA$3,"&lt;"&amp;$DF40,$B40:$Y40)+SUMIF($AD$3:$BA$3,"&gt;="&amp;$DG40,$B40:$Y40)),
IF(AE$3=$DF40+'Model Setup'!$E$7,SUMIF($AD$3:$BA$3,"="&amp;$DF40+'Model Setup'!$E$7,$B40:$Y40)+'Model Setup'!$E$8*(SUMIF($AD$3:$BA$3,"&lt;"&amp;$DF40,$B40:$Y40)+SUMIF($AD$3:$BA$3,"&gt;="&amp;$DG40,$B40:$Y40)),
IF(AE$3=$DF40+'Model Setup'!$F$7,SUMIF($AD$3:$BA$3,"="&amp;$DF40+'Model Setup'!$F$7,$B40:$Y40)+'Model Setup'!$F$8*(SUMIF($AD$3:$BA$3,"&lt;"&amp;$DF40,$B40:$Y40)+SUMIF($AD$3:$BA$3,"&gt;="&amp;$DG40,$B40:$Y40)),
IF(AE$3=$DF40+'Model Setup'!$G$7,SUMIF($AD$3:$BA$3,"="&amp;$DF40+'Model Setup'!$G$7,$B40:$Y40)+'Model Setup'!$G$8*(SUMIF($AD$3:$BA$3,"&lt;"&amp;$DF40,$B40:$Y40)+SUMIF($AD$3:$BA$3,"&gt;="&amp;$DG40,$B40:$Y40)),
IF(AE$3=$DF40+'Model Setup'!$H$7,SUMIF($AD$3:$BA$3,"="&amp;$DF40+'Model Setup'!$H$7,$B40:$Y40)+'Model Setup'!$H$8*(SUMIF($AD$3:$BA$3,"&lt;"&amp;$DF40,$B40:$Y40)+SUMIF($AD$3:$BA$3,"&gt;="&amp;$DG40,$B40:$Y40)),
IF(AE$3=$DF40+'Model Setup'!$I$7,SUMIF($AD$3:$BA$3,"="&amp;$DF40+'Model Setup'!$I$7,$B40:$Y40)+'Model Setup'!$I$8*(SUMIF($AD$3:$BA$3,"&lt;"&amp;$DF40,$B40:$Y40)+SUMIF($AD$3:$BA$3,"&gt;="&amp;$DG40,$B40:$Y40)),
IF(AE$3=$DF40+'Model Setup'!$J$7,SUMIF($AD$3:$BA$3,"="&amp;$DF40+'Model Setup'!$J$7,$B40:$Y40)+'Model Setup'!$J$8*(SUMIF($AD$3:$BA$3,"&lt;"&amp;$DF40,$B40:$Y40)+SUMIF($AD$3:$BA$3,"&gt;="&amp;$DG40,$B40:$Y40)),
IF(AE$3=$DF40+'Model Setup'!$K$7,SUMIF($AD$3:$BA$3,"="&amp;$DF40+'Model Setup'!$K$7,$B40:$Y40)+'Model Setup'!$K$8*(SUMIF($AD$3:$BA$3,"&lt;"&amp;$DF40,$B40:$Y40)+SUMIF($AD$3:$BA$3,"&gt;="&amp;$DG40,$B40:$Y40)),
IF(AE$3=$DF40+'Model Setup'!$L$7,SUMIF($AD$3:$BA$3,"="&amp;$DF40+'Model Setup'!$L$7,$B40:$Y40)+'Model Setup'!$L$8*(SUMIF($AD$3:$BA$3,"&lt;"&amp;$DF40,$B40:$Y40)+SUMIF($AD$3:$BA$3,"&gt;="&amp;$DG40,$B40:$Y40)),
IF(AE$3=$DF40+'Model Setup'!$M$7,SUMIF($AD$3:$BA$3,"="&amp;$DF40+'Model Setup'!$M$7,$B40:$Y40)+'Model Setup'!$M$8*(SUMIF($AD$3:$BA$3,"&lt;"&amp;$DF40,$B40:$Y40)+SUMIF($AD$3:$BA$3,"&gt;="&amp;$DG40,$B40:$Y40)),
IF(AE$3=$DF40+'Model Setup'!$N$7,SUMIF($AD$3:$BA$3,"="&amp;$DF40+'Model Setup'!$N$7,$B40:$Y40)+'Model Setup'!$N$8*(SUMIF($AD$3:$BA$3,"&lt;"&amp;$DF40,$B40:$Y40)+SUMIF($AD$3:$BA$3,"&gt;="&amp;$DG40,$B40:$Y40)),
IF(AE$3&lt;$DG40,C40,0))))))))))))))),0)</f>
        <v>0</v>
      </c>
      <c r="AF40" s="47">
        <f>ROUND(IF(AF$3&lt;$DF40,0,
IF(AF$3=$DF40+'Model Setup'!$B$7,SUMIF($AD$3:$BA$3,"="&amp;$DF40+'Model Setup'!$B$7,$B40:$Y40)+'Model Setup'!$B$8*(SUMIF($AD$3:$BA$3,"&lt;"&amp;$DF40,$B40:$Y40)+SUMIF($AD$3:$BA$3,"&gt;="&amp;$DG40,$B40:$Y40)),
IF(AF$3=$DF40+'Model Setup'!$C$7,SUMIF($AD$3:$BA$3,"="&amp;$DF40+'Model Setup'!$C$7,$B40:$Y40)+'Model Setup'!$C$8*(SUMIF($AD$3:$BA$3,"&lt;"&amp;$DF40,$B40:$Y40)+SUMIF($AD$3:$BA$3,"&gt;="&amp;$DG40,$B40:$Y40)),
IF(AF$3=$DF40+'Model Setup'!$D$7,SUMIF($AD$3:$BA$3,"="&amp;$DF40+'Model Setup'!$D$7,$B40:$Y40)+'Model Setup'!$D$8*(SUMIF($AD$3:$BA$3,"&lt;"&amp;$DF40,$B40:$Y40)+SUMIF($AD$3:$BA$3,"&gt;="&amp;$DG40,$B40:$Y40)),
IF(AF$3=$DF40+'Model Setup'!$E$7,SUMIF($AD$3:$BA$3,"="&amp;$DF40+'Model Setup'!$E$7,$B40:$Y40)+'Model Setup'!$E$8*(SUMIF($AD$3:$BA$3,"&lt;"&amp;$DF40,$B40:$Y40)+SUMIF($AD$3:$BA$3,"&gt;="&amp;$DG40,$B40:$Y40)),
IF(AF$3=$DF40+'Model Setup'!$F$7,SUMIF($AD$3:$BA$3,"="&amp;$DF40+'Model Setup'!$F$7,$B40:$Y40)+'Model Setup'!$F$8*(SUMIF($AD$3:$BA$3,"&lt;"&amp;$DF40,$B40:$Y40)+SUMIF($AD$3:$BA$3,"&gt;="&amp;$DG40,$B40:$Y40)),
IF(AF$3=$DF40+'Model Setup'!$G$7,SUMIF($AD$3:$BA$3,"="&amp;$DF40+'Model Setup'!$G$7,$B40:$Y40)+'Model Setup'!$G$8*(SUMIF($AD$3:$BA$3,"&lt;"&amp;$DF40,$B40:$Y40)+SUMIF($AD$3:$BA$3,"&gt;="&amp;$DG40,$B40:$Y40)),
IF(AF$3=$DF40+'Model Setup'!$H$7,SUMIF($AD$3:$BA$3,"="&amp;$DF40+'Model Setup'!$H$7,$B40:$Y40)+'Model Setup'!$H$8*(SUMIF($AD$3:$BA$3,"&lt;"&amp;$DF40,$B40:$Y40)+SUMIF($AD$3:$BA$3,"&gt;="&amp;$DG40,$B40:$Y40)),
IF(AF$3=$DF40+'Model Setup'!$I$7,SUMIF($AD$3:$BA$3,"="&amp;$DF40+'Model Setup'!$I$7,$B40:$Y40)+'Model Setup'!$I$8*(SUMIF($AD$3:$BA$3,"&lt;"&amp;$DF40,$B40:$Y40)+SUMIF($AD$3:$BA$3,"&gt;="&amp;$DG40,$B40:$Y40)),
IF(AF$3=$DF40+'Model Setup'!$J$7,SUMIF($AD$3:$BA$3,"="&amp;$DF40+'Model Setup'!$J$7,$B40:$Y40)+'Model Setup'!$J$8*(SUMIF($AD$3:$BA$3,"&lt;"&amp;$DF40,$B40:$Y40)+SUMIF($AD$3:$BA$3,"&gt;="&amp;$DG40,$B40:$Y40)),
IF(AF$3=$DF40+'Model Setup'!$K$7,SUMIF($AD$3:$BA$3,"="&amp;$DF40+'Model Setup'!$K$7,$B40:$Y40)+'Model Setup'!$K$8*(SUMIF($AD$3:$BA$3,"&lt;"&amp;$DF40,$B40:$Y40)+SUMIF($AD$3:$BA$3,"&gt;="&amp;$DG40,$B40:$Y40)),
IF(AF$3=$DF40+'Model Setup'!$L$7,SUMIF($AD$3:$BA$3,"="&amp;$DF40+'Model Setup'!$L$7,$B40:$Y40)+'Model Setup'!$L$8*(SUMIF($AD$3:$BA$3,"&lt;"&amp;$DF40,$B40:$Y40)+SUMIF($AD$3:$BA$3,"&gt;="&amp;$DG40,$B40:$Y40)),
IF(AF$3=$DF40+'Model Setup'!$M$7,SUMIF($AD$3:$BA$3,"="&amp;$DF40+'Model Setup'!$M$7,$B40:$Y40)+'Model Setup'!$M$8*(SUMIF($AD$3:$BA$3,"&lt;"&amp;$DF40,$B40:$Y40)+SUMIF($AD$3:$BA$3,"&gt;="&amp;$DG40,$B40:$Y40)),
IF(AF$3=$DF40+'Model Setup'!$N$7,SUMIF($AD$3:$BA$3,"="&amp;$DF40+'Model Setup'!$N$7,$B40:$Y40)+'Model Setup'!$N$8*(SUMIF($AD$3:$BA$3,"&lt;"&amp;$DF40,$B40:$Y40)+SUMIF($AD$3:$BA$3,"&gt;="&amp;$DG40,$B40:$Y40)),
IF(AF$3&lt;$DG40,D40,0))))))))))))))),0)</f>
        <v>0</v>
      </c>
      <c r="AG40" s="47">
        <f>ROUND(IF(AG$3&lt;$DF40,0,
IF(AG$3=$DF40+'Model Setup'!$B$7,SUMIF($AD$3:$BA$3,"="&amp;$DF40+'Model Setup'!$B$7,$B40:$Y40)+'Model Setup'!$B$8*(SUMIF($AD$3:$BA$3,"&lt;"&amp;$DF40,$B40:$Y40)+SUMIF($AD$3:$BA$3,"&gt;="&amp;$DG40,$B40:$Y40)),
IF(AG$3=$DF40+'Model Setup'!$C$7,SUMIF($AD$3:$BA$3,"="&amp;$DF40+'Model Setup'!$C$7,$B40:$Y40)+'Model Setup'!$C$8*(SUMIF($AD$3:$BA$3,"&lt;"&amp;$DF40,$B40:$Y40)+SUMIF($AD$3:$BA$3,"&gt;="&amp;$DG40,$B40:$Y40)),
IF(AG$3=$DF40+'Model Setup'!$D$7,SUMIF($AD$3:$BA$3,"="&amp;$DF40+'Model Setup'!$D$7,$B40:$Y40)+'Model Setup'!$D$8*(SUMIF($AD$3:$BA$3,"&lt;"&amp;$DF40,$B40:$Y40)+SUMIF($AD$3:$BA$3,"&gt;="&amp;$DG40,$B40:$Y40)),
IF(AG$3=$DF40+'Model Setup'!$E$7,SUMIF($AD$3:$BA$3,"="&amp;$DF40+'Model Setup'!$E$7,$B40:$Y40)+'Model Setup'!$E$8*(SUMIF($AD$3:$BA$3,"&lt;"&amp;$DF40,$B40:$Y40)+SUMIF($AD$3:$BA$3,"&gt;="&amp;$DG40,$B40:$Y40)),
IF(AG$3=$DF40+'Model Setup'!$F$7,SUMIF($AD$3:$BA$3,"="&amp;$DF40+'Model Setup'!$F$7,$B40:$Y40)+'Model Setup'!$F$8*(SUMIF($AD$3:$BA$3,"&lt;"&amp;$DF40,$B40:$Y40)+SUMIF($AD$3:$BA$3,"&gt;="&amp;$DG40,$B40:$Y40)),
IF(AG$3=$DF40+'Model Setup'!$G$7,SUMIF($AD$3:$BA$3,"="&amp;$DF40+'Model Setup'!$G$7,$B40:$Y40)+'Model Setup'!$G$8*(SUMIF($AD$3:$BA$3,"&lt;"&amp;$DF40,$B40:$Y40)+SUMIF($AD$3:$BA$3,"&gt;="&amp;$DG40,$B40:$Y40)),
IF(AG$3=$DF40+'Model Setup'!$H$7,SUMIF($AD$3:$BA$3,"="&amp;$DF40+'Model Setup'!$H$7,$B40:$Y40)+'Model Setup'!$H$8*(SUMIF($AD$3:$BA$3,"&lt;"&amp;$DF40,$B40:$Y40)+SUMIF($AD$3:$BA$3,"&gt;="&amp;$DG40,$B40:$Y40)),
IF(AG$3=$DF40+'Model Setup'!$I$7,SUMIF($AD$3:$BA$3,"="&amp;$DF40+'Model Setup'!$I$7,$B40:$Y40)+'Model Setup'!$I$8*(SUMIF($AD$3:$BA$3,"&lt;"&amp;$DF40,$B40:$Y40)+SUMIF($AD$3:$BA$3,"&gt;="&amp;$DG40,$B40:$Y40)),
IF(AG$3=$DF40+'Model Setup'!$J$7,SUMIF($AD$3:$BA$3,"="&amp;$DF40+'Model Setup'!$J$7,$B40:$Y40)+'Model Setup'!$J$8*(SUMIF($AD$3:$BA$3,"&lt;"&amp;$DF40,$B40:$Y40)+SUMIF($AD$3:$BA$3,"&gt;="&amp;$DG40,$B40:$Y40)),
IF(AG$3=$DF40+'Model Setup'!$K$7,SUMIF($AD$3:$BA$3,"="&amp;$DF40+'Model Setup'!$K$7,$B40:$Y40)+'Model Setup'!$K$8*(SUMIF($AD$3:$BA$3,"&lt;"&amp;$DF40,$B40:$Y40)+SUMIF($AD$3:$BA$3,"&gt;="&amp;$DG40,$B40:$Y40)),
IF(AG$3=$DF40+'Model Setup'!$L$7,SUMIF($AD$3:$BA$3,"="&amp;$DF40+'Model Setup'!$L$7,$B40:$Y40)+'Model Setup'!$L$8*(SUMIF($AD$3:$BA$3,"&lt;"&amp;$DF40,$B40:$Y40)+SUMIF($AD$3:$BA$3,"&gt;="&amp;$DG40,$B40:$Y40)),
IF(AG$3=$DF40+'Model Setup'!$M$7,SUMIF($AD$3:$BA$3,"="&amp;$DF40+'Model Setup'!$M$7,$B40:$Y40)+'Model Setup'!$M$8*(SUMIF($AD$3:$BA$3,"&lt;"&amp;$DF40,$B40:$Y40)+SUMIF($AD$3:$BA$3,"&gt;="&amp;$DG40,$B40:$Y40)),
IF(AG$3=$DF40+'Model Setup'!$N$7,SUMIF($AD$3:$BA$3,"="&amp;$DF40+'Model Setup'!$N$7,$B40:$Y40)+'Model Setup'!$N$8*(SUMIF($AD$3:$BA$3,"&lt;"&amp;$DF40,$B40:$Y40)+SUMIF($AD$3:$BA$3,"&gt;="&amp;$DG40,$B40:$Y40)),
IF(AG$3&lt;$DG40,E40,0))))))))))))))),0)</f>
        <v>0</v>
      </c>
      <c r="AH40" s="47">
        <f>ROUND(IF(AH$3&lt;$DF40,0,
IF(AH$3=$DF40+'Model Setup'!$B$7,SUMIF($AD$3:$BA$3,"="&amp;$DF40+'Model Setup'!$B$7,$B40:$Y40)+'Model Setup'!$B$8*(SUMIF($AD$3:$BA$3,"&lt;"&amp;$DF40,$B40:$Y40)+SUMIF($AD$3:$BA$3,"&gt;="&amp;$DG40,$B40:$Y40)),
IF(AH$3=$DF40+'Model Setup'!$C$7,SUMIF($AD$3:$BA$3,"="&amp;$DF40+'Model Setup'!$C$7,$B40:$Y40)+'Model Setup'!$C$8*(SUMIF($AD$3:$BA$3,"&lt;"&amp;$DF40,$B40:$Y40)+SUMIF($AD$3:$BA$3,"&gt;="&amp;$DG40,$B40:$Y40)),
IF(AH$3=$DF40+'Model Setup'!$D$7,SUMIF($AD$3:$BA$3,"="&amp;$DF40+'Model Setup'!$D$7,$B40:$Y40)+'Model Setup'!$D$8*(SUMIF($AD$3:$BA$3,"&lt;"&amp;$DF40,$B40:$Y40)+SUMIF($AD$3:$BA$3,"&gt;="&amp;$DG40,$B40:$Y40)),
IF(AH$3=$DF40+'Model Setup'!$E$7,SUMIF($AD$3:$BA$3,"="&amp;$DF40+'Model Setup'!$E$7,$B40:$Y40)+'Model Setup'!$E$8*(SUMIF($AD$3:$BA$3,"&lt;"&amp;$DF40,$B40:$Y40)+SUMIF($AD$3:$BA$3,"&gt;="&amp;$DG40,$B40:$Y40)),
IF(AH$3=$DF40+'Model Setup'!$F$7,SUMIF($AD$3:$BA$3,"="&amp;$DF40+'Model Setup'!$F$7,$B40:$Y40)+'Model Setup'!$F$8*(SUMIF($AD$3:$BA$3,"&lt;"&amp;$DF40,$B40:$Y40)+SUMIF($AD$3:$BA$3,"&gt;="&amp;$DG40,$B40:$Y40)),
IF(AH$3=$DF40+'Model Setup'!$G$7,SUMIF($AD$3:$BA$3,"="&amp;$DF40+'Model Setup'!$G$7,$B40:$Y40)+'Model Setup'!$G$8*(SUMIF($AD$3:$BA$3,"&lt;"&amp;$DF40,$B40:$Y40)+SUMIF($AD$3:$BA$3,"&gt;="&amp;$DG40,$B40:$Y40)),
IF(AH$3=$DF40+'Model Setup'!$H$7,SUMIF($AD$3:$BA$3,"="&amp;$DF40+'Model Setup'!$H$7,$B40:$Y40)+'Model Setup'!$H$8*(SUMIF($AD$3:$BA$3,"&lt;"&amp;$DF40,$B40:$Y40)+SUMIF($AD$3:$BA$3,"&gt;="&amp;$DG40,$B40:$Y40)),
IF(AH$3=$DF40+'Model Setup'!$I$7,SUMIF($AD$3:$BA$3,"="&amp;$DF40+'Model Setup'!$I$7,$B40:$Y40)+'Model Setup'!$I$8*(SUMIF($AD$3:$BA$3,"&lt;"&amp;$DF40,$B40:$Y40)+SUMIF($AD$3:$BA$3,"&gt;="&amp;$DG40,$B40:$Y40)),
IF(AH$3=$DF40+'Model Setup'!$J$7,SUMIF($AD$3:$BA$3,"="&amp;$DF40+'Model Setup'!$J$7,$B40:$Y40)+'Model Setup'!$J$8*(SUMIF($AD$3:$BA$3,"&lt;"&amp;$DF40,$B40:$Y40)+SUMIF($AD$3:$BA$3,"&gt;="&amp;$DG40,$B40:$Y40)),
IF(AH$3=$DF40+'Model Setup'!$K$7,SUMIF($AD$3:$BA$3,"="&amp;$DF40+'Model Setup'!$K$7,$B40:$Y40)+'Model Setup'!$K$8*(SUMIF($AD$3:$BA$3,"&lt;"&amp;$DF40,$B40:$Y40)+SUMIF($AD$3:$BA$3,"&gt;="&amp;$DG40,$B40:$Y40)),
IF(AH$3=$DF40+'Model Setup'!$L$7,SUMIF($AD$3:$BA$3,"="&amp;$DF40+'Model Setup'!$L$7,$B40:$Y40)+'Model Setup'!$L$8*(SUMIF($AD$3:$BA$3,"&lt;"&amp;$DF40,$B40:$Y40)+SUMIF($AD$3:$BA$3,"&gt;="&amp;$DG40,$B40:$Y40)),
IF(AH$3=$DF40+'Model Setup'!$M$7,SUMIF($AD$3:$BA$3,"="&amp;$DF40+'Model Setup'!$M$7,$B40:$Y40)+'Model Setup'!$M$8*(SUMIF($AD$3:$BA$3,"&lt;"&amp;$DF40,$B40:$Y40)+SUMIF($AD$3:$BA$3,"&gt;="&amp;$DG40,$B40:$Y40)),
IF(AH$3=$DF40+'Model Setup'!$N$7,SUMIF($AD$3:$BA$3,"="&amp;$DF40+'Model Setup'!$N$7,$B40:$Y40)+'Model Setup'!$N$8*(SUMIF($AD$3:$BA$3,"&lt;"&amp;$DF40,$B40:$Y40)+SUMIF($AD$3:$BA$3,"&gt;="&amp;$DG40,$B40:$Y40)),
IF(AH$3&lt;$DG40,F40,0))))))))))))))),0)</f>
        <v>0</v>
      </c>
      <c r="AI40" s="47">
        <f>ROUND(IF(AI$3&lt;$DF40,0,
IF(AI$3=$DF40+'Model Setup'!$B$7,SUMIF($AD$3:$BA$3,"="&amp;$DF40+'Model Setup'!$B$7,$B40:$Y40)+'Model Setup'!$B$8*(SUMIF($AD$3:$BA$3,"&lt;"&amp;$DF40,$B40:$Y40)+SUMIF($AD$3:$BA$3,"&gt;="&amp;$DG40,$B40:$Y40)),
IF(AI$3=$DF40+'Model Setup'!$C$7,SUMIF($AD$3:$BA$3,"="&amp;$DF40+'Model Setup'!$C$7,$B40:$Y40)+'Model Setup'!$C$8*(SUMIF($AD$3:$BA$3,"&lt;"&amp;$DF40,$B40:$Y40)+SUMIF($AD$3:$BA$3,"&gt;="&amp;$DG40,$B40:$Y40)),
IF(AI$3=$DF40+'Model Setup'!$D$7,SUMIF($AD$3:$BA$3,"="&amp;$DF40+'Model Setup'!$D$7,$B40:$Y40)+'Model Setup'!$D$8*(SUMIF($AD$3:$BA$3,"&lt;"&amp;$DF40,$B40:$Y40)+SUMIF($AD$3:$BA$3,"&gt;="&amp;$DG40,$B40:$Y40)),
IF(AI$3=$DF40+'Model Setup'!$E$7,SUMIF($AD$3:$BA$3,"="&amp;$DF40+'Model Setup'!$E$7,$B40:$Y40)+'Model Setup'!$E$8*(SUMIF($AD$3:$BA$3,"&lt;"&amp;$DF40,$B40:$Y40)+SUMIF($AD$3:$BA$3,"&gt;="&amp;$DG40,$B40:$Y40)),
IF(AI$3=$DF40+'Model Setup'!$F$7,SUMIF($AD$3:$BA$3,"="&amp;$DF40+'Model Setup'!$F$7,$B40:$Y40)+'Model Setup'!$F$8*(SUMIF($AD$3:$BA$3,"&lt;"&amp;$DF40,$B40:$Y40)+SUMIF($AD$3:$BA$3,"&gt;="&amp;$DG40,$B40:$Y40)),
IF(AI$3=$DF40+'Model Setup'!$G$7,SUMIF($AD$3:$BA$3,"="&amp;$DF40+'Model Setup'!$G$7,$B40:$Y40)+'Model Setup'!$G$8*(SUMIF($AD$3:$BA$3,"&lt;"&amp;$DF40,$B40:$Y40)+SUMIF($AD$3:$BA$3,"&gt;="&amp;$DG40,$B40:$Y40)),
IF(AI$3=$DF40+'Model Setup'!$H$7,SUMIF($AD$3:$BA$3,"="&amp;$DF40+'Model Setup'!$H$7,$B40:$Y40)+'Model Setup'!$H$8*(SUMIF($AD$3:$BA$3,"&lt;"&amp;$DF40,$B40:$Y40)+SUMIF($AD$3:$BA$3,"&gt;="&amp;$DG40,$B40:$Y40)),
IF(AI$3=$DF40+'Model Setup'!$I$7,SUMIF($AD$3:$BA$3,"="&amp;$DF40+'Model Setup'!$I$7,$B40:$Y40)+'Model Setup'!$I$8*(SUMIF($AD$3:$BA$3,"&lt;"&amp;$DF40,$B40:$Y40)+SUMIF($AD$3:$BA$3,"&gt;="&amp;$DG40,$B40:$Y40)),
IF(AI$3=$DF40+'Model Setup'!$J$7,SUMIF($AD$3:$BA$3,"="&amp;$DF40+'Model Setup'!$J$7,$B40:$Y40)+'Model Setup'!$J$8*(SUMIF($AD$3:$BA$3,"&lt;"&amp;$DF40,$B40:$Y40)+SUMIF($AD$3:$BA$3,"&gt;="&amp;$DG40,$B40:$Y40)),
IF(AI$3=$DF40+'Model Setup'!$K$7,SUMIF($AD$3:$BA$3,"="&amp;$DF40+'Model Setup'!$K$7,$B40:$Y40)+'Model Setup'!$K$8*(SUMIF($AD$3:$BA$3,"&lt;"&amp;$DF40,$B40:$Y40)+SUMIF($AD$3:$BA$3,"&gt;="&amp;$DG40,$B40:$Y40)),
IF(AI$3=$DF40+'Model Setup'!$L$7,SUMIF($AD$3:$BA$3,"="&amp;$DF40+'Model Setup'!$L$7,$B40:$Y40)+'Model Setup'!$L$8*(SUMIF($AD$3:$BA$3,"&lt;"&amp;$DF40,$B40:$Y40)+SUMIF($AD$3:$BA$3,"&gt;="&amp;$DG40,$B40:$Y40)),
IF(AI$3=$DF40+'Model Setup'!$M$7,SUMIF($AD$3:$BA$3,"="&amp;$DF40+'Model Setup'!$M$7,$B40:$Y40)+'Model Setup'!$M$8*(SUMIF($AD$3:$BA$3,"&lt;"&amp;$DF40,$B40:$Y40)+SUMIF($AD$3:$BA$3,"&gt;="&amp;$DG40,$B40:$Y40)),
IF(AI$3=$DF40+'Model Setup'!$N$7,SUMIF($AD$3:$BA$3,"="&amp;$DF40+'Model Setup'!$N$7,$B40:$Y40)+'Model Setup'!$N$8*(SUMIF($AD$3:$BA$3,"&lt;"&amp;$DF40,$B40:$Y40)+SUMIF($AD$3:$BA$3,"&gt;="&amp;$DG40,$B40:$Y40)),
IF(AI$3&lt;$DG40,G40,0))))))))))))))),0)</f>
        <v>30</v>
      </c>
      <c r="AJ40" s="47">
        <f>ROUND(IF(AJ$3&lt;$DF40,0,
IF(AJ$3=$DF40+'Model Setup'!$B$7,SUMIF($AD$3:$BA$3,"="&amp;$DF40+'Model Setup'!$B$7,$B40:$Y40)+'Model Setup'!$B$8*(SUMIF($AD$3:$BA$3,"&lt;"&amp;$DF40,$B40:$Y40)+SUMIF($AD$3:$BA$3,"&gt;="&amp;$DG40,$B40:$Y40)),
IF(AJ$3=$DF40+'Model Setup'!$C$7,SUMIF($AD$3:$BA$3,"="&amp;$DF40+'Model Setup'!$C$7,$B40:$Y40)+'Model Setup'!$C$8*(SUMIF($AD$3:$BA$3,"&lt;"&amp;$DF40,$B40:$Y40)+SUMIF($AD$3:$BA$3,"&gt;="&amp;$DG40,$B40:$Y40)),
IF(AJ$3=$DF40+'Model Setup'!$D$7,SUMIF($AD$3:$BA$3,"="&amp;$DF40+'Model Setup'!$D$7,$B40:$Y40)+'Model Setup'!$D$8*(SUMIF($AD$3:$BA$3,"&lt;"&amp;$DF40,$B40:$Y40)+SUMIF($AD$3:$BA$3,"&gt;="&amp;$DG40,$B40:$Y40)),
IF(AJ$3=$DF40+'Model Setup'!$E$7,SUMIF($AD$3:$BA$3,"="&amp;$DF40+'Model Setup'!$E$7,$B40:$Y40)+'Model Setup'!$E$8*(SUMIF($AD$3:$BA$3,"&lt;"&amp;$DF40,$B40:$Y40)+SUMIF($AD$3:$BA$3,"&gt;="&amp;$DG40,$B40:$Y40)),
IF(AJ$3=$DF40+'Model Setup'!$F$7,SUMIF($AD$3:$BA$3,"="&amp;$DF40+'Model Setup'!$F$7,$B40:$Y40)+'Model Setup'!$F$8*(SUMIF($AD$3:$BA$3,"&lt;"&amp;$DF40,$B40:$Y40)+SUMIF($AD$3:$BA$3,"&gt;="&amp;$DG40,$B40:$Y40)),
IF(AJ$3=$DF40+'Model Setup'!$G$7,SUMIF($AD$3:$BA$3,"="&amp;$DF40+'Model Setup'!$G$7,$B40:$Y40)+'Model Setup'!$G$8*(SUMIF($AD$3:$BA$3,"&lt;"&amp;$DF40,$B40:$Y40)+SUMIF($AD$3:$BA$3,"&gt;="&amp;$DG40,$B40:$Y40)),
IF(AJ$3=$DF40+'Model Setup'!$H$7,SUMIF($AD$3:$BA$3,"="&amp;$DF40+'Model Setup'!$H$7,$B40:$Y40)+'Model Setup'!$H$8*(SUMIF($AD$3:$BA$3,"&lt;"&amp;$DF40,$B40:$Y40)+SUMIF($AD$3:$BA$3,"&gt;="&amp;$DG40,$B40:$Y40)),
IF(AJ$3=$DF40+'Model Setup'!$I$7,SUMIF($AD$3:$BA$3,"="&amp;$DF40+'Model Setup'!$I$7,$B40:$Y40)+'Model Setup'!$I$8*(SUMIF($AD$3:$BA$3,"&lt;"&amp;$DF40,$B40:$Y40)+SUMIF($AD$3:$BA$3,"&gt;="&amp;$DG40,$B40:$Y40)),
IF(AJ$3=$DF40+'Model Setup'!$J$7,SUMIF($AD$3:$BA$3,"="&amp;$DF40+'Model Setup'!$J$7,$B40:$Y40)+'Model Setup'!$J$8*(SUMIF($AD$3:$BA$3,"&lt;"&amp;$DF40,$B40:$Y40)+SUMIF($AD$3:$BA$3,"&gt;="&amp;$DG40,$B40:$Y40)),
IF(AJ$3=$DF40+'Model Setup'!$K$7,SUMIF($AD$3:$BA$3,"="&amp;$DF40+'Model Setup'!$K$7,$B40:$Y40)+'Model Setup'!$K$8*(SUMIF($AD$3:$BA$3,"&lt;"&amp;$DF40,$B40:$Y40)+SUMIF($AD$3:$BA$3,"&gt;="&amp;$DG40,$B40:$Y40)),
IF(AJ$3=$DF40+'Model Setup'!$L$7,SUMIF($AD$3:$BA$3,"="&amp;$DF40+'Model Setup'!$L$7,$B40:$Y40)+'Model Setup'!$L$8*(SUMIF($AD$3:$BA$3,"&lt;"&amp;$DF40,$B40:$Y40)+SUMIF($AD$3:$BA$3,"&gt;="&amp;$DG40,$B40:$Y40)),
IF(AJ$3=$DF40+'Model Setup'!$M$7,SUMIF($AD$3:$BA$3,"="&amp;$DF40+'Model Setup'!$M$7,$B40:$Y40)+'Model Setup'!$M$8*(SUMIF($AD$3:$BA$3,"&lt;"&amp;$DF40,$B40:$Y40)+SUMIF($AD$3:$BA$3,"&gt;="&amp;$DG40,$B40:$Y40)),
IF(AJ$3=$DF40+'Model Setup'!$N$7,SUMIF($AD$3:$BA$3,"="&amp;$DF40+'Model Setup'!$N$7,$B40:$Y40)+'Model Setup'!$N$8*(SUMIF($AD$3:$BA$3,"&lt;"&amp;$DF40,$B40:$Y40)+SUMIF($AD$3:$BA$3,"&gt;="&amp;$DG40,$B40:$Y40)),
IF(AJ$3&lt;$DG40,H40,0))))))))))))))),0)</f>
        <v>116</v>
      </c>
      <c r="AK40" s="47">
        <f>ROUND(IF(AK$3&lt;$DF40,0,
IF(AK$3=$DF40+'Model Setup'!$B$7,SUMIF($AD$3:$BA$3,"="&amp;$DF40+'Model Setup'!$B$7,$B40:$Y40)+'Model Setup'!$B$8*(SUMIF($AD$3:$BA$3,"&lt;"&amp;$DF40,$B40:$Y40)+SUMIF($AD$3:$BA$3,"&gt;="&amp;$DG40,$B40:$Y40)),
IF(AK$3=$DF40+'Model Setup'!$C$7,SUMIF($AD$3:$BA$3,"="&amp;$DF40+'Model Setup'!$C$7,$B40:$Y40)+'Model Setup'!$C$8*(SUMIF($AD$3:$BA$3,"&lt;"&amp;$DF40,$B40:$Y40)+SUMIF($AD$3:$BA$3,"&gt;="&amp;$DG40,$B40:$Y40)),
IF(AK$3=$DF40+'Model Setup'!$D$7,SUMIF($AD$3:$BA$3,"="&amp;$DF40+'Model Setup'!$D$7,$B40:$Y40)+'Model Setup'!$D$8*(SUMIF($AD$3:$BA$3,"&lt;"&amp;$DF40,$B40:$Y40)+SUMIF($AD$3:$BA$3,"&gt;="&amp;$DG40,$B40:$Y40)),
IF(AK$3=$DF40+'Model Setup'!$E$7,SUMIF($AD$3:$BA$3,"="&amp;$DF40+'Model Setup'!$E$7,$B40:$Y40)+'Model Setup'!$E$8*(SUMIF($AD$3:$BA$3,"&lt;"&amp;$DF40,$B40:$Y40)+SUMIF($AD$3:$BA$3,"&gt;="&amp;$DG40,$B40:$Y40)),
IF(AK$3=$DF40+'Model Setup'!$F$7,SUMIF($AD$3:$BA$3,"="&amp;$DF40+'Model Setup'!$F$7,$B40:$Y40)+'Model Setup'!$F$8*(SUMIF($AD$3:$BA$3,"&lt;"&amp;$DF40,$B40:$Y40)+SUMIF($AD$3:$BA$3,"&gt;="&amp;$DG40,$B40:$Y40)),
IF(AK$3=$DF40+'Model Setup'!$G$7,SUMIF($AD$3:$BA$3,"="&amp;$DF40+'Model Setup'!$G$7,$B40:$Y40)+'Model Setup'!$G$8*(SUMIF($AD$3:$BA$3,"&lt;"&amp;$DF40,$B40:$Y40)+SUMIF($AD$3:$BA$3,"&gt;="&amp;$DG40,$B40:$Y40)),
IF(AK$3=$DF40+'Model Setup'!$H$7,SUMIF($AD$3:$BA$3,"="&amp;$DF40+'Model Setup'!$H$7,$B40:$Y40)+'Model Setup'!$H$8*(SUMIF($AD$3:$BA$3,"&lt;"&amp;$DF40,$B40:$Y40)+SUMIF($AD$3:$BA$3,"&gt;="&amp;$DG40,$B40:$Y40)),
IF(AK$3=$DF40+'Model Setup'!$I$7,SUMIF($AD$3:$BA$3,"="&amp;$DF40+'Model Setup'!$I$7,$B40:$Y40)+'Model Setup'!$I$8*(SUMIF($AD$3:$BA$3,"&lt;"&amp;$DF40,$B40:$Y40)+SUMIF($AD$3:$BA$3,"&gt;="&amp;$DG40,$B40:$Y40)),
IF(AK$3=$DF40+'Model Setup'!$J$7,SUMIF($AD$3:$BA$3,"="&amp;$DF40+'Model Setup'!$J$7,$B40:$Y40)+'Model Setup'!$J$8*(SUMIF($AD$3:$BA$3,"&lt;"&amp;$DF40,$B40:$Y40)+SUMIF($AD$3:$BA$3,"&gt;="&amp;$DG40,$B40:$Y40)),
IF(AK$3=$DF40+'Model Setup'!$K$7,SUMIF($AD$3:$BA$3,"="&amp;$DF40+'Model Setup'!$K$7,$B40:$Y40)+'Model Setup'!$K$8*(SUMIF($AD$3:$BA$3,"&lt;"&amp;$DF40,$B40:$Y40)+SUMIF($AD$3:$BA$3,"&gt;="&amp;$DG40,$B40:$Y40)),
IF(AK$3=$DF40+'Model Setup'!$L$7,SUMIF($AD$3:$BA$3,"="&amp;$DF40+'Model Setup'!$L$7,$B40:$Y40)+'Model Setup'!$L$8*(SUMIF($AD$3:$BA$3,"&lt;"&amp;$DF40,$B40:$Y40)+SUMIF($AD$3:$BA$3,"&gt;="&amp;$DG40,$B40:$Y40)),
IF(AK$3=$DF40+'Model Setup'!$M$7,SUMIF($AD$3:$BA$3,"="&amp;$DF40+'Model Setup'!$M$7,$B40:$Y40)+'Model Setup'!$M$8*(SUMIF($AD$3:$BA$3,"&lt;"&amp;$DF40,$B40:$Y40)+SUMIF($AD$3:$BA$3,"&gt;="&amp;$DG40,$B40:$Y40)),
IF(AK$3=$DF40+'Model Setup'!$N$7,SUMIF($AD$3:$BA$3,"="&amp;$DF40+'Model Setup'!$N$7,$B40:$Y40)+'Model Setup'!$N$8*(SUMIF($AD$3:$BA$3,"&lt;"&amp;$DF40,$B40:$Y40)+SUMIF($AD$3:$BA$3,"&gt;="&amp;$DG40,$B40:$Y40)),
IF(AK$3&lt;$DG40,I40,0))))))))))))))),0)</f>
        <v>124</v>
      </c>
      <c r="AL40" s="47">
        <f>ROUND(IF(AL$3&lt;$DF40,0,
IF(AL$3=$DF40+'Model Setup'!$B$7,SUMIF($AD$3:$BA$3,"="&amp;$DF40+'Model Setup'!$B$7,$B40:$Y40)+'Model Setup'!$B$8*(SUMIF($AD$3:$BA$3,"&lt;"&amp;$DF40,$B40:$Y40)+SUMIF($AD$3:$BA$3,"&gt;="&amp;$DG40,$B40:$Y40)),
IF(AL$3=$DF40+'Model Setup'!$C$7,SUMIF($AD$3:$BA$3,"="&amp;$DF40+'Model Setup'!$C$7,$B40:$Y40)+'Model Setup'!$C$8*(SUMIF($AD$3:$BA$3,"&lt;"&amp;$DF40,$B40:$Y40)+SUMIF($AD$3:$BA$3,"&gt;="&amp;$DG40,$B40:$Y40)),
IF(AL$3=$DF40+'Model Setup'!$D$7,SUMIF($AD$3:$BA$3,"="&amp;$DF40+'Model Setup'!$D$7,$B40:$Y40)+'Model Setup'!$D$8*(SUMIF($AD$3:$BA$3,"&lt;"&amp;$DF40,$B40:$Y40)+SUMIF($AD$3:$BA$3,"&gt;="&amp;$DG40,$B40:$Y40)),
IF(AL$3=$DF40+'Model Setup'!$E$7,SUMIF($AD$3:$BA$3,"="&amp;$DF40+'Model Setup'!$E$7,$B40:$Y40)+'Model Setup'!$E$8*(SUMIF($AD$3:$BA$3,"&lt;"&amp;$DF40,$B40:$Y40)+SUMIF($AD$3:$BA$3,"&gt;="&amp;$DG40,$B40:$Y40)),
IF(AL$3=$DF40+'Model Setup'!$F$7,SUMIF($AD$3:$BA$3,"="&amp;$DF40+'Model Setup'!$F$7,$B40:$Y40)+'Model Setup'!$F$8*(SUMIF($AD$3:$BA$3,"&lt;"&amp;$DF40,$B40:$Y40)+SUMIF($AD$3:$BA$3,"&gt;="&amp;$DG40,$B40:$Y40)),
IF(AL$3=$DF40+'Model Setup'!$G$7,SUMIF($AD$3:$BA$3,"="&amp;$DF40+'Model Setup'!$G$7,$B40:$Y40)+'Model Setup'!$G$8*(SUMIF($AD$3:$BA$3,"&lt;"&amp;$DF40,$B40:$Y40)+SUMIF($AD$3:$BA$3,"&gt;="&amp;$DG40,$B40:$Y40)),
IF(AL$3=$DF40+'Model Setup'!$H$7,SUMIF($AD$3:$BA$3,"="&amp;$DF40+'Model Setup'!$H$7,$B40:$Y40)+'Model Setup'!$H$8*(SUMIF($AD$3:$BA$3,"&lt;"&amp;$DF40,$B40:$Y40)+SUMIF($AD$3:$BA$3,"&gt;="&amp;$DG40,$B40:$Y40)),
IF(AL$3=$DF40+'Model Setup'!$I$7,SUMIF($AD$3:$BA$3,"="&amp;$DF40+'Model Setup'!$I$7,$B40:$Y40)+'Model Setup'!$I$8*(SUMIF($AD$3:$BA$3,"&lt;"&amp;$DF40,$B40:$Y40)+SUMIF($AD$3:$BA$3,"&gt;="&amp;$DG40,$B40:$Y40)),
IF(AL$3=$DF40+'Model Setup'!$J$7,SUMIF($AD$3:$BA$3,"="&amp;$DF40+'Model Setup'!$J$7,$B40:$Y40)+'Model Setup'!$J$8*(SUMIF($AD$3:$BA$3,"&lt;"&amp;$DF40,$B40:$Y40)+SUMIF($AD$3:$BA$3,"&gt;="&amp;$DG40,$B40:$Y40)),
IF(AL$3=$DF40+'Model Setup'!$K$7,SUMIF($AD$3:$BA$3,"="&amp;$DF40+'Model Setup'!$K$7,$B40:$Y40)+'Model Setup'!$K$8*(SUMIF($AD$3:$BA$3,"&lt;"&amp;$DF40,$B40:$Y40)+SUMIF($AD$3:$BA$3,"&gt;="&amp;$DG40,$B40:$Y40)),
IF(AL$3=$DF40+'Model Setup'!$L$7,SUMIF($AD$3:$BA$3,"="&amp;$DF40+'Model Setup'!$L$7,$B40:$Y40)+'Model Setup'!$L$8*(SUMIF($AD$3:$BA$3,"&lt;"&amp;$DF40,$B40:$Y40)+SUMIF($AD$3:$BA$3,"&gt;="&amp;$DG40,$B40:$Y40)),
IF(AL$3=$DF40+'Model Setup'!$M$7,SUMIF($AD$3:$BA$3,"="&amp;$DF40+'Model Setup'!$M$7,$B40:$Y40)+'Model Setup'!$M$8*(SUMIF($AD$3:$BA$3,"&lt;"&amp;$DF40,$B40:$Y40)+SUMIF($AD$3:$BA$3,"&gt;="&amp;$DG40,$B40:$Y40)),
IF(AL$3=$DF40+'Model Setup'!$N$7,SUMIF($AD$3:$BA$3,"="&amp;$DF40+'Model Setup'!$N$7,$B40:$Y40)+'Model Setup'!$N$8*(SUMIF($AD$3:$BA$3,"&lt;"&amp;$DF40,$B40:$Y40)+SUMIF($AD$3:$BA$3,"&gt;="&amp;$DG40,$B40:$Y40)),
IF(AL$3&lt;$DG40,J40,0))))))))))))))),0)</f>
        <v>123</v>
      </c>
      <c r="AM40" s="47">
        <f>ROUND(IF(AM$3&lt;$DF40,0,
IF(AM$3=$DF40+'Model Setup'!$B$7,SUMIF($AD$3:$BA$3,"="&amp;$DF40+'Model Setup'!$B$7,$B40:$Y40)+'Model Setup'!$B$8*(SUMIF($AD$3:$BA$3,"&lt;"&amp;$DF40,$B40:$Y40)+SUMIF($AD$3:$BA$3,"&gt;="&amp;$DG40,$B40:$Y40)),
IF(AM$3=$DF40+'Model Setup'!$C$7,SUMIF($AD$3:$BA$3,"="&amp;$DF40+'Model Setup'!$C$7,$B40:$Y40)+'Model Setup'!$C$8*(SUMIF($AD$3:$BA$3,"&lt;"&amp;$DF40,$B40:$Y40)+SUMIF($AD$3:$BA$3,"&gt;="&amp;$DG40,$B40:$Y40)),
IF(AM$3=$DF40+'Model Setup'!$D$7,SUMIF($AD$3:$BA$3,"="&amp;$DF40+'Model Setup'!$D$7,$B40:$Y40)+'Model Setup'!$D$8*(SUMIF($AD$3:$BA$3,"&lt;"&amp;$DF40,$B40:$Y40)+SUMIF($AD$3:$BA$3,"&gt;="&amp;$DG40,$B40:$Y40)),
IF(AM$3=$DF40+'Model Setup'!$E$7,SUMIF($AD$3:$BA$3,"="&amp;$DF40+'Model Setup'!$E$7,$B40:$Y40)+'Model Setup'!$E$8*(SUMIF($AD$3:$BA$3,"&lt;"&amp;$DF40,$B40:$Y40)+SUMIF($AD$3:$BA$3,"&gt;="&amp;$DG40,$B40:$Y40)),
IF(AM$3=$DF40+'Model Setup'!$F$7,SUMIF($AD$3:$BA$3,"="&amp;$DF40+'Model Setup'!$F$7,$B40:$Y40)+'Model Setup'!$F$8*(SUMIF($AD$3:$BA$3,"&lt;"&amp;$DF40,$B40:$Y40)+SUMIF($AD$3:$BA$3,"&gt;="&amp;$DG40,$B40:$Y40)),
IF(AM$3=$DF40+'Model Setup'!$G$7,SUMIF($AD$3:$BA$3,"="&amp;$DF40+'Model Setup'!$G$7,$B40:$Y40)+'Model Setup'!$G$8*(SUMIF($AD$3:$BA$3,"&lt;"&amp;$DF40,$B40:$Y40)+SUMIF($AD$3:$BA$3,"&gt;="&amp;$DG40,$B40:$Y40)),
IF(AM$3=$DF40+'Model Setup'!$H$7,SUMIF($AD$3:$BA$3,"="&amp;$DF40+'Model Setup'!$H$7,$B40:$Y40)+'Model Setup'!$H$8*(SUMIF($AD$3:$BA$3,"&lt;"&amp;$DF40,$B40:$Y40)+SUMIF($AD$3:$BA$3,"&gt;="&amp;$DG40,$B40:$Y40)),
IF(AM$3=$DF40+'Model Setup'!$I$7,SUMIF($AD$3:$BA$3,"="&amp;$DF40+'Model Setup'!$I$7,$B40:$Y40)+'Model Setup'!$I$8*(SUMIF($AD$3:$BA$3,"&lt;"&amp;$DF40,$B40:$Y40)+SUMIF($AD$3:$BA$3,"&gt;="&amp;$DG40,$B40:$Y40)),
IF(AM$3=$DF40+'Model Setup'!$J$7,SUMIF($AD$3:$BA$3,"="&amp;$DF40+'Model Setup'!$J$7,$B40:$Y40)+'Model Setup'!$J$8*(SUMIF($AD$3:$BA$3,"&lt;"&amp;$DF40,$B40:$Y40)+SUMIF($AD$3:$BA$3,"&gt;="&amp;$DG40,$B40:$Y40)),
IF(AM$3=$DF40+'Model Setup'!$K$7,SUMIF($AD$3:$BA$3,"="&amp;$DF40+'Model Setup'!$K$7,$B40:$Y40)+'Model Setup'!$K$8*(SUMIF($AD$3:$BA$3,"&lt;"&amp;$DF40,$B40:$Y40)+SUMIF($AD$3:$BA$3,"&gt;="&amp;$DG40,$B40:$Y40)),
IF(AM$3=$DF40+'Model Setup'!$L$7,SUMIF($AD$3:$BA$3,"="&amp;$DF40+'Model Setup'!$L$7,$B40:$Y40)+'Model Setup'!$L$8*(SUMIF($AD$3:$BA$3,"&lt;"&amp;$DF40,$B40:$Y40)+SUMIF($AD$3:$BA$3,"&gt;="&amp;$DG40,$B40:$Y40)),
IF(AM$3=$DF40+'Model Setup'!$M$7,SUMIF($AD$3:$BA$3,"="&amp;$DF40+'Model Setup'!$M$7,$B40:$Y40)+'Model Setup'!$M$8*(SUMIF($AD$3:$BA$3,"&lt;"&amp;$DF40,$B40:$Y40)+SUMIF($AD$3:$BA$3,"&gt;="&amp;$DG40,$B40:$Y40)),
IF(AM$3=$DF40+'Model Setup'!$N$7,SUMIF($AD$3:$BA$3,"="&amp;$DF40+'Model Setup'!$N$7,$B40:$Y40)+'Model Setup'!$N$8*(SUMIF($AD$3:$BA$3,"&lt;"&amp;$DF40,$B40:$Y40)+SUMIF($AD$3:$BA$3,"&gt;="&amp;$DG40,$B40:$Y40)),
IF(AM$3&lt;$DG40,K40,0))))))))))))))),0)</f>
        <v>98</v>
      </c>
      <c r="AN40" s="47">
        <f>ROUND(IF(AN$3&lt;$DF40,0,
IF(AN$3=$DF40+'Model Setup'!$B$7,SUMIF($AD$3:$BA$3,"="&amp;$DF40+'Model Setup'!$B$7,$B40:$Y40)+'Model Setup'!$B$8*(SUMIF($AD$3:$BA$3,"&lt;"&amp;$DF40,$B40:$Y40)+SUMIF($AD$3:$BA$3,"&gt;="&amp;$DG40,$B40:$Y40)),
IF(AN$3=$DF40+'Model Setup'!$C$7,SUMIF($AD$3:$BA$3,"="&amp;$DF40+'Model Setup'!$C$7,$B40:$Y40)+'Model Setup'!$C$8*(SUMIF($AD$3:$BA$3,"&lt;"&amp;$DF40,$B40:$Y40)+SUMIF($AD$3:$BA$3,"&gt;="&amp;$DG40,$B40:$Y40)),
IF(AN$3=$DF40+'Model Setup'!$D$7,SUMIF($AD$3:$BA$3,"="&amp;$DF40+'Model Setup'!$D$7,$B40:$Y40)+'Model Setup'!$D$8*(SUMIF($AD$3:$BA$3,"&lt;"&amp;$DF40,$B40:$Y40)+SUMIF($AD$3:$BA$3,"&gt;="&amp;$DG40,$B40:$Y40)),
IF(AN$3=$DF40+'Model Setup'!$E$7,SUMIF($AD$3:$BA$3,"="&amp;$DF40+'Model Setup'!$E$7,$B40:$Y40)+'Model Setup'!$E$8*(SUMIF($AD$3:$BA$3,"&lt;"&amp;$DF40,$B40:$Y40)+SUMIF($AD$3:$BA$3,"&gt;="&amp;$DG40,$B40:$Y40)),
IF(AN$3=$DF40+'Model Setup'!$F$7,SUMIF($AD$3:$BA$3,"="&amp;$DF40+'Model Setup'!$F$7,$B40:$Y40)+'Model Setup'!$F$8*(SUMIF($AD$3:$BA$3,"&lt;"&amp;$DF40,$B40:$Y40)+SUMIF($AD$3:$BA$3,"&gt;="&amp;$DG40,$B40:$Y40)),
IF(AN$3=$DF40+'Model Setup'!$G$7,SUMIF($AD$3:$BA$3,"="&amp;$DF40+'Model Setup'!$G$7,$B40:$Y40)+'Model Setup'!$G$8*(SUMIF($AD$3:$BA$3,"&lt;"&amp;$DF40,$B40:$Y40)+SUMIF($AD$3:$BA$3,"&gt;="&amp;$DG40,$B40:$Y40)),
IF(AN$3=$DF40+'Model Setup'!$H$7,SUMIF($AD$3:$BA$3,"="&amp;$DF40+'Model Setup'!$H$7,$B40:$Y40)+'Model Setup'!$H$8*(SUMIF($AD$3:$BA$3,"&lt;"&amp;$DF40,$B40:$Y40)+SUMIF($AD$3:$BA$3,"&gt;="&amp;$DG40,$B40:$Y40)),
IF(AN$3=$DF40+'Model Setup'!$I$7,SUMIF($AD$3:$BA$3,"="&amp;$DF40+'Model Setup'!$I$7,$B40:$Y40)+'Model Setup'!$I$8*(SUMIF($AD$3:$BA$3,"&lt;"&amp;$DF40,$B40:$Y40)+SUMIF($AD$3:$BA$3,"&gt;="&amp;$DG40,$B40:$Y40)),
IF(AN$3=$DF40+'Model Setup'!$J$7,SUMIF($AD$3:$BA$3,"="&amp;$DF40+'Model Setup'!$J$7,$B40:$Y40)+'Model Setup'!$J$8*(SUMIF($AD$3:$BA$3,"&lt;"&amp;$DF40,$B40:$Y40)+SUMIF($AD$3:$BA$3,"&gt;="&amp;$DG40,$B40:$Y40)),
IF(AN$3=$DF40+'Model Setup'!$K$7,SUMIF($AD$3:$BA$3,"="&amp;$DF40+'Model Setup'!$K$7,$B40:$Y40)+'Model Setup'!$K$8*(SUMIF($AD$3:$BA$3,"&lt;"&amp;$DF40,$B40:$Y40)+SUMIF($AD$3:$BA$3,"&gt;="&amp;$DG40,$B40:$Y40)),
IF(AN$3=$DF40+'Model Setup'!$L$7,SUMIF($AD$3:$BA$3,"="&amp;$DF40+'Model Setup'!$L$7,$B40:$Y40)+'Model Setup'!$L$8*(SUMIF($AD$3:$BA$3,"&lt;"&amp;$DF40,$B40:$Y40)+SUMIF($AD$3:$BA$3,"&gt;="&amp;$DG40,$B40:$Y40)),
IF(AN$3=$DF40+'Model Setup'!$M$7,SUMIF($AD$3:$BA$3,"="&amp;$DF40+'Model Setup'!$M$7,$B40:$Y40)+'Model Setup'!$M$8*(SUMIF($AD$3:$BA$3,"&lt;"&amp;$DF40,$B40:$Y40)+SUMIF($AD$3:$BA$3,"&gt;="&amp;$DG40,$B40:$Y40)),
IF(AN$3=$DF40+'Model Setup'!$N$7,SUMIF($AD$3:$BA$3,"="&amp;$DF40+'Model Setup'!$N$7,$B40:$Y40)+'Model Setup'!$N$8*(SUMIF($AD$3:$BA$3,"&lt;"&amp;$DF40,$B40:$Y40)+SUMIF($AD$3:$BA$3,"&gt;="&amp;$DG40,$B40:$Y40)),
IF(AN$3&lt;$DG40,L40,0))))))))))))))),0)</f>
        <v>99</v>
      </c>
      <c r="AO40" s="47">
        <f>ROUND(IF(AO$3&lt;$DF40,0,
IF(AO$3=$DF40+'Model Setup'!$B$7,SUMIF($AD$3:$BA$3,"="&amp;$DF40+'Model Setup'!$B$7,$B40:$Y40)+'Model Setup'!$B$8*(SUMIF($AD$3:$BA$3,"&lt;"&amp;$DF40,$B40:$Y40)+SUMIF($AD$3:$BA$3,"&gt;="&amp;$DG40,$B40:$Y40)),
IF(AO$3=$DF40+'Model Setup'!$C$7,SUMIF($AD$3:$BA$3,"="&amp;$DF40+'Model Setup'!$C$7,$B40:$Y40)+'Model Setup'!$C$8*(SUMIF($AD$3:$BA$3,"&lt;"&amp;$DF40,$B40:$Y40)+SUMIF($AD$3:$BA$3,"&gt;="&amp;$DG40,$B40:$Y40)),
IF(AO$3=$DF40+'Model Setup'!$D$7,SUMIF($AD$3:$BA$3,"="&amp;$DF40+'Model Setup'!$D$7,$B40:$Y40)+'Model Setup'!$D$8*(SUMIF($AD$3:$BA$3,"&lt;"&amp;$DF40,$B40:$Y40)+SUMIF($AD$3:$BA$3,"&gt;="&amp;$DG40,$B40:$Y40)),
IF(AO$3=$DF40+'Model Setup'!$E$7,SUMIF($AD$3:$BA$3,"="&amp;$DF40+'Model Setup'!$E$7,$B40:$Y40)+'Model Setup'!$E$8*(SUMIF($AD$3:$BA$3,"&lt;"&amp;$DF40,$B40:$Y40)+SUMIF($AD$3:$BA$3,"&gt;="&amp;$DG40,$B40:$Y40)),
IF(AO$3=$DF40+'Model Setup'!$F$7,SUMIF($AD$3:$BA$3,"="&amp;$DF40+'Model Setup'!$F$7,$B40:$Y40)+'Model Setup'!$F$8*(SUMIF($AD$3:$BA$3,"&lt;"&amp;$DF40,$B40:$Y40)+SUMIF($AD$3:$BA$3,"&gt;="&amp;$DG40,$B40:$Y40)),
IF(AO$3=$DF40+'Model Setup'!$G$7,SUMIF($AD$3:$BA$3,"="&amp;$DF40+'Model Setup'!$G$7,$B40:$Y40)+'Model Setup'!$G$8*(SUMIF($AD$3:$BA$3,"&lt;"&amp;$DF40,$B40:$Y40)+SUMIF($AD$3:$BA$3,"&gt;="&amp;$DG40,$B40:$Y40)),
IF(AO$3=$DF40+'Model Setup'!$H$7,SUMIF($AD$3:$BA$3,"="&amp;$DF40+'Model Setup'!$H$7,$B40:$Y40)+'Model Setup'!$H$8*(SUMIF($AD$3:$BA$3,"&lt;"&amp;$DF40,$B40:$Y40)+SUMIF($AD$3:$BA$3,"&gt;="&amp;$DG40,$B40:$Y40)),
IF(AO$3=$DF40+'Model Setup'!$I$7,SUMIF($AD$3:$BA$3,"="&amp;$DF40+'Model Setup'!$I$7,$B40:$Y40)+'Model Setup'!$I$8*(SUMIF($AD$3:$BA$3,"&lt;"&amp;$DF40,$B40:$Y40)+SUMIF($AD$3:$BA$3,"&gt;="&amp;$DG40,$B40:$Y40)),
IF(AO$3=$DF40+'Model Setup'!$J$7,SUMIF($AD$3:$BA$3,"="&amp;$DF40+'Model Setup'!$J$7,$B40:$Y40)+'Model Setup'!$J$8*(SUMIF($AD$3:$BA$3,"&lt;"&amp;$DF40,$B40:$Y40)+SUMIF($AD$3:$BA$3,"&gt;="&amp;$DG40,$B40:$Y40)),
IF(AO$3=$DF40+'Model Setup'!$K$7,SUMIF($AD$3:$BA$3,"="&amp;$DF40+'Model Setup'!$K$7,$B40:$Y40)+'Model Setup'!$K$8*(SUMIF($AD$3:$BA$3,"&lt;"&amp;$DF40,$B40:$Y40)+SUMIF($AD$3:$BA$3,"&gt;="&amp;$DG40,$B40:$Y40)),
IF(AO$3=$DF40+'Model Setup'!$L$7,SUMIF($AD$3:$BA$3,"="&amp;$DF40+'Model Setup'!$L$7,$B40:$Y40)+'Model Setup'!$L$8*(SUMIF($AD$3:$BA$3,"&lt;"&amp;$DF40,$B40:$Y40)+SUMIF($AD$3:$BA$3,"&gt;="&amp;$DG40,$B40:$Y40)),
IF(AO$3=$DF40+'Model Setup'!$M$7,SUMIF($AD$3:$BA$3,"="&amp;$DF40+'Model Setup'!$M$7,$B40:$Y40)+'Model Setup'!$M$8*(SUMIF($AD$3:$BA$3,"&lt;"&amp;$DF40,$B40:$Y40)+SUMIF($AD$3:$BA$3,"&gt;="&amp;$DG40,$B40:$Y40)),
IF(AO$3=$DF40+'Model Setup'!$N$7,SUMIF($AD$3:$BA$3,"="&amp;$DF40+'Model Setup'!$N$7,$B40:$Y40)+'Model Setup'!$N$8*(SUMIF($AD$3:$BA$3,"&lt;"&amp;$DF40,$B40:$Y40)+SUMIF($AD$3:$BA$3,"&gt;="&amp;$DG40,$B40:$Y40)),
IF(AO$3&lt;$DG40,M40,0))))))))))))))),0)</f>
        <v>52</v>
      </c>
      <c r="AP40" s="47">
        <f>ROUND(IF(AP$3&lt;$DF40,0,
IF(AP$3=$DF40+'Model Setup'!$B$7,SUMIF($AD$3:$BA$3,"="&amp;$DF40+'Model Setup'!$B$7,$B40:$Y40)+'Model Setup'!$B$8*(SUMIF($AD$3:$BA$3,"&lt;"&amp;$DF40,$B40:$Y40)+SUMIF($AD$3:$BA$3,"&gt;="&amp;$DG40,$B40:$Y40)),
IF(AP$3=$DF40+'Model Setup'!$C$7,SUMIF($AD$3:$BA$3,"="&amp;$DF40+'Model Setup'!$C$7,$B40:$Y40)+'Model Setup'!$C$8*(SUMIF($AD$3:$BA$3,"&lt;"&amp;$DF40,$B40:$Y40)+SUMIF($AD$3:$BA$3,"&gt;="&amp;$DG40,$B40:$Y40)),
IF(AP$3=$DF40+'Model Setup'!$D$7,SUMIF($AD$3:$BA$3,"="&amp;$DF40+'Model Setup'!$D$7,$B40:$Y40)+'Model Setup'!$D$8*(SUMIF($AD$3:$BA$3,"&lt;"&amp;$DF40,$B40:$Y40)+SUMIF($AD$3:$BA$3,"&gt;="&amp;$DG40,$B40:$Y40)),
IF(AP$3=$DF40+'Model Setup'!$E$7,SUMIF($AD$3:$BA$3,"="&amp;$DF40+'Model Setup'!$E$7,$B40:$Y40)+'Model Setup'!$E$8*(SUMIF($AD$3:$BA$3,"&lt;"&amp;$DF40,$B40:$Y40)+SUMIF($AD$3:$BA$3,"&gt;="&amp;$DG40,$B40:$Y40)),
IF(AP$3=$DF40+'Model Setup'!$F$7,SUMIF($AD$3:$BA$3,"="&amp;$DF40+'Model Setup'!$F$7,$B40:$Y40)+'Model Setup'!$F$8*(SUMIF($AD$3:$BA$3,"&lt;"&amp;$DF40,$B40:$Y40)+SUMIF($AD$3:$BA$3,"&gt;="&amp;$DG40,$B40:$Y40)),
IF(AP$3=$DF40+'Model Setup'!$G$7,SUMIF($AD$3:$BA$3,"="&amp;$DF40+'Model Setup'!$G$7,$B40:$Y40)+'Model Setup'!$G$8*(SUMIF($AD$3:$BA$3,"&lt;"&amp;$DF40,$B40:$Y40)+SUMIF($AD$3:$BA$3,"&gt;="&amp;$DG40,$B40:$Y40)),
IF(AP$3=$DF40+'Model Setup'!$H$7,SUMIF($AD$3:$BA$3,"="&amp;$DF40+'Model Setup'!$H$7,$B40:$Y40)+'Model Setup'!$H$8*(SUMIF($AD$3:$BA$3,"&lt;"&amp;$DF40,$B40:$Y40)+SUMIF($AD$3:$BA$3,"&gt;="&amp;$DG40,$B40:$Y40)),
IF(AP$3=$DF40+'Model Setup'!$I$7,SUMIF($AD$3:$BA$3,"="&amp;$DF40+'Model Setup'!$I$7,$B40:$Y40)+'Model Setup'!$I$8*(SUMIF($AD$3:$BA$3,"&lt;"&amp;$DF40,$B40:$Y40)+SUMIF($AD$3:$BA$3,"&gt;="&amp;$DG40,$B40:$Y40)),
IF(AP$3=$DF40+'Model Setup'!$J$7,SUMIF($AD$3:$BA$3,"="&amp;$DF40+'Model Setup'!$J$7,$B40:$Y40)+'Model Setup'!$J$8*(SUMIF($AD$3:$BA$3,"&lt;"&amp;$DF40,$B40:$Y40)+SUMIF($AD$3:$BA$3,"&gt;="&amp;$DG40,$B40:$Y40)),
IF(AP$3=$DF40+'Model Setup'!$K$7,SUMIF($AD$3:$BA$3,"="&amp;$DF40+'Model Setup'!$K$7,$B40:$Y40)+'Model Setup'!$K$8*(SUMIF($AD$3:$BA$3,"&lt;"&amp;$DF40,$B40:$Y40)+SUMIF($AD$3:$BA$3,"&gt;="&amp;$DG40,$B40:$Y40)),
IF(AP$3=$DF40+'Model Setup'!$L$7,SUMIF($AD$3:$BA$3,"="&amp;$DF40+'Model Setup'!$L$7,$B40:$Y40)+'Model Setup'!$L$8*(SUMIF($AD$3:$BA$3,"&lt;"&amp;$DF40,$B40:$Y40)+SUMIF($AD$3:$BA$3,"&gt;="&amp;$DG40,$B40:$Y40)),
IF(AP$3=$DF40+'Model Setup'!$M$7,SUMIF($AD$3:$BA$3,"="&amp;$DF40+'Model Setup'!$M$7,$B40:$Y40)+'Model Setup'!$M$8*(SUMIF($AD$3:$BA$3,"&lt;"&amp;$DF40,$B40:$Y40)+SUMIF($AD$3:$BA$3,"&gt;="&amp;$DG40,$B40:$Y40)),
IF(AP$3=$DF40+'Model Setup'!$N$7,SUMIF($AD$3:$BA$3,"="&amp;$DF40+'Model Setup'!$N$7,$B40:$Y40)+'Model Setup'!$N$8*(SUMIF($AD$3:$BA$3,"&lt;"&amp;$DF40,$B40:$Y40)+SUMIF($AD$3:$BA$3,"&gt;="&amp;$DG40,$B40:$Y40)),
IF(AP$3&lt;$DG40,N40,0))))))))))))))),0)</f>
        <v>65</v>
      </c>
      <c r="AQ40" s="47">
        <f>ROUND(IF(AQ$3&lt;$DF40,0,
IF(AQ$3=$DF40+'Model Setup'!$B$7,SUMIF($AD$3:$BA$3,"="&amp;$DF40+'Model Setup'!$B$7,$B40:$Y40)+'Model Setup'!$B$8*(SUMIF($AD$3:$BA$3,"&lt;"&amp;$DF40,$B40:$Y40)+SUMIF($AD$3:$BA$3,"&gt;="&amp;$DG40,$B40:$Y40)),
IF(AQ$3=$DF40+'Model Setup'!$C$7,SUMIF($AD$3:$BA$3,"="&amp;$DF40+'Model Setup'!$C$7,$B40:$Y40)+'Model Setup'!$C$8*(SUMIF($AD$3:$BA$3,"&lt;"&amp;$DF40,$B40:$Y40)+SUMIF($AD$3:$BA$3,"&gt;="&amp;$DG40,$B40:$Y40)),
IF(AQ$3=$DF40+'Model Setup'!$D$7,SUMIF($AD$3:$BA$3,"="&amp;$DF40+'Model Setup'!$D$7,$B40:$Y40)+'Model Setup'!$D$8*(SUMIF($AD$3:$BA$3,"&lt;"&amp;$DF40,$B40:$Y40)+SUMIF($AD$3:$BA$3,"&gt;="&amp;$DG40,$B40:$Y40)),
IF(AQ$3=$DF40+'Model Setup'!$E$7,SUMIF($AD$3:$BA$3,"="&amp;$DF40+'Model Setup'!$E$7,$B40:$Y40)+'Model Setup'!$E$8*(SUMIF($AD$3:$BA$3,"&lt;"&amp;$DF40,$B40:$Y40)+SUMIF($AD$3:$BA$3,"&gt;="&amp;$DG40,$B40:$Y40)),
IF(AQ$3=$DF40+'Model Setup'!$F$7,SUMIF($AD$3:$BA$3,"="&amp;$DF40+'Model Setup'!$F$7,$B40:$Y40)+'Model Setup'!$F$8*(SUMIF($AD$3:$BA$3,"&lt;"&amp;$DF40,$B40:$Y40)+SUMIF($AD$3:$BA$3,"&gt;="&amp;$DG40,$B40:$Y40)),
IF(AQ$3=$DF40+'Model Setup'!$G$7,SUMIF($AD$3:$BA$3,"="&amp;$DF40+'Model Setup'!$G$7,$B40:$Y40)+'Model Setup'!$G$8*(SUMIF($AD$3:$BA$3,"&lt;"&amp;$DF40,$B40:$Y40)+SUMIF($AD$3:$BA$3,"&gt;="&amp;$DG40,$B40:$Y40)),
IF(AQ$3=$DF40+'Model Setup'!$H$7,SUMIF($AD$3:$BA$3,"="&amp;$DF40+'Model Setup'!$H$7,$B40:$Y40)+'Model Setup'!$H$8*(SUMIF($AD$3:$BA$3,"&lt;"&amp;$DF40,$B40:$Y40)+SUMIF($AD$3:$BA$3,"&gt;="&amp;$DG40,$B40:$Y40)),
IF(AQ$3=$DF40+'Model Setup'!$I$7,SUMIF($AD$3:$BA$3,"="&amp;$DF40+'Model Setup'!$I$7,$B40:$Y40)+'Model Setup'!$I$8*(SUMIF($AD$3:$BA$3,"&lt;"&amp;$DF40,$B40:$Y40)+SUMIF($AD$3:$BA$3,"&gt;="&amp;$DG40,$B40:$Y40)),
IF(AQ$3=$DF40+'Model Setup'!$J$7,SUMIF($AD$3:$BA$3,"="&amp;$DF40+'Model Setup'!$J$7,$B40:$Y40)+'Model Setup'!$J$8*(SUMIF($AD$3:$BA$3,"&lt;"&amp;$DF40,$B40:$Y40)+SUMIF($AD$3:$BA$3,"&gt;="&amp;$DG40,$B40:$Y40)),
IF(AQ$3=$DF40+'Model Setup'!$K$7,SUMIF($AD$3:$BA$3,"="&amp;$DF40+'Model Setup'!$K$7,$B40:$Y40)+'Model Setup'!$K$8*(SUMIF($AD$3:$BA$3,"&lt;"&amp;$DF40,$B40:$Y40)+SUMIF($AD$3:$BA$3,"&gt;="&amp;$DG40,$B40:$Y40)),
IF(AQ$3=$DF40+'Model Setup'!$L$7,SUMIF($AD$3:$BA$3,"="&amp;$DF40+'Model Setup'!$L$7,$B40:$Y40)+'Model Setup'!$L$8*(SUMIF($AD$3:$BA$3,"&lt;"&amp;$DF40,$B40:$Y40)+SUMIF($AD$3:$BA$3,"&gt;="&amp;$DG40,$B40:$Y40)),
IF(AQ$3=$DF40+'Model Setup'!$M$7,SUMIF($AD$3:$BA$3,"="&amp;$DF40+'Model Setup'!$M$7,$B40:$Y40)+'Model Setup'!$M$8*(SUMIF($AD$3:$BA$3,"&lt;"&amp;$DF40,$B40:$Y40)+SUMIF($AD$3:$BA$3,"&gt;="&amp;$DG40,$B40:$Y40)),
IF(AQ$3=$DF40+'Model Setup'!$N$7,SUMIF($AD$3:$BA$3,"="&amp;$DF40+'Model Setup'!$N$7,$B40:$Y40)+'Model Setup'!$N$8*(SUMIF($AD$3:$BA$3,"&lt;"&amp;$DF40,$B40:$Y40)+SUMIF($AD$3:$BA$3,"&gt;="&amp;$DG40,$B40:$Y40)),
IF(AQ$3&lt;$DG40,O40,0))))))))))))))),0)</f>
        <v>71</v>
      </c>
      <c r="AR40" s="47">
        <f>ROUND(IF(AR$3&lt;$DF40,0,
IF(AR$3=$DF40+'Model Setup'!$B$7,SUMIF($AD$3:$BA$3,"="&amp;$DF40+'Model Setup'!$B$7,$B40:$Y40)+'Model Setup'!$B$8*(SUMIF($AD$3:$BA$3,"&lt;"&amp;$DF40,$B40:$Y40)+SUMIF($AD$3:$BA$3,"&gt;="&amp;$DG40,$B40:$Y40)),
IF(AR$3=$DF40+'Model Setup'!$C$7,SUMIF($AD$3:$BA$3,"="&amp;$DF40+'Model Setup'!$C$7,$B40:$Y40)+'Model Setup'!$C$8*(SUMIF($AD$3:$BA$3,"&lt;"&amp;$DF40,$B40:$Y40)+SUMIF($AD$3:$BA$3,"&gt;="&amp;$DG40,$B40:$Y40)),
IF(AR$3=$DF40+'Model Setup'!$D$7,SUMIF($AD$3:$BA$3,"="&amp;$DF40+'Model Setup'!$D$7,$B40:$Y40)+'Model Setup'!$D$8*(SUMIF($AD$3:$BA$3,"&lt;"&amp;$DF40,$B40:$Y40)+SUMIF($AD$3:$BA$3,"&gt;="&amp;$DG40,$B40:$Y40)),
IF(AR$3=$DF40+'Model Setup'!$E$7,SUMIF($AD$3:$BA$3,"="&amp;$DF40+'Model Setup'!$E$7,$B40:$Y40)+'Model Setup'!$E$8*(SUMIF($AD$3:$BA$3,"&lt;"&amp;$DF40,$B40:$Y40)+SUMIF($AD$3:$BA$3,"&gt;="&amp;$DG40,$B40:$Y40)),
IF(AR$3=$DF40+'Model Setup'!$F$7,SUMIF($AD$3:$BA$3,"="&amp;$DF40+'Model Setup'!$F$7,$B40:$Y40)+'Model Setup'!$F$8*(SUMIF($AD$3:$BA$3,"&lt;"&amp;$DF40,$B40:$Y40)+SUMIF($AD$3:$BA$3,"&gt;="&amp;$DG40,$B40:$Y40)),
IF(AR$3=$DF40+'Model Setup'!$G$7,SUMIF($AD$3:$BA$3,"="&amp;$DF40+'Model Setup'!$G$7,$B40:$Y40)+'Model Setup'!$G$8*(SUMIF($AD$3:$BA$3,"&lt;"&amp;$DF40,$B40:$Y40)+SUMIF($AD$3:$BA$3,"&gt;="&amp;$DG40,$B40:$Y40)),
IF(AR$3=$DF40+'Model Setup'!$H$7,SUMIF($AD$3:$BA$3,"="&amp;$DF40+'Model Setup'!$H$7,$B40:$Y40)+'Model Setup'!$H$8*(SUMIF($AD$3:$BA$3,"&lt;"&amp;$DF40,$B40:$Y40)+SUMIF($AD$3:$BA$3,"&gt;="&amp;$DG40,$B40:$Y40)),
IF(AR$3=$DF40+'Model Setup'!$I$7,SUMIF($AD$3:$BA$3,"="&amp;$DF40+'Model Setup'!$I$7,$B40:$Y40)+'Model Setup'!$I$8*(SUMIF($AD$3:$BA$3,"&lt;"&amp;$DF40,$B40:$Y40)+SUMIF($AD$3:$BA$3,"&gt;="&amp;$DG40,$B40:$Y40)),
IF(AR$3=$DF40+'Model Setup'!$J$7,SUMIF($AD$3:$BA$3,"="&amp;$DF40+'Model Setup'!$J$7,$B40:$Y40)+'Model Setup'!$J$8*(SUMIF($AD$3:$BA$3,"&lt;"&amp;$DF40,$B40:$Y40)+SUMIF($AD$3:$BA$3,"&gt;="&amp;$DG40,$B40:$Y40)),
IF(AR$3=$DF40+'Model Setup'!$K$7,SUMIF($AD$3:$BA$3,"="&amp;$DF40+'Model Setup'!$K$7,$B40:$Y40)+'Model Setup'!$K$8*(SUMIF($AD$3:$BA$3,"&lt;"&amp;$DF40,$B40:$Y40)+SUMIF($AD$3:$BA$3,"&gt;="&amp;$DG40,$B40:$Y40)),
IF(AR$3=$DF40+'Model Setup'!$L$7,SUMIF($AD$3:$BA$3,"="&amp;$DF40+'Model Setup'!$L$7,$B40:$Y40)+'Model Setup'!$L$8*(SUMIF($AD$3:$BA$3,"&lt;"&amp;$DF40,$B40:$Y40)+SUMIF($AD$3:$BA$3,"&gt;="&amp;$DG40,$B40:$Y40)),
IF(AR$3=$DF40+'Model Setup'!$M$7,SUMIF($AD$3:$BA$3,"="&amp;$DF40+'Model Setup'!$M$7,$B40:$Y40)+'Model Setup'!$M$8*(SUMIF($AD$3:$BA$3,"&lt;"&amp;$DF40,$B40:$Y40)+SUMIF($AD$3:$BA$3,"&gt;="&amp;$DG40,$B40:$Y40)),
IF(AR$3=$DF40+'Model Setup'!$N$7,SUMIF($AD$3:$BA$3,"="&amp;$DF40+'Model Setup'!$N$7,$B40:$Y40)+'Model Setup'!$N$8*(SUMIF($AD$3:$BA$3,"&lt;"&amp;$DF40,$B40:$Y40)+SUMIF($AD$3:$BA$3,"&gt;="&amp;$DG40,$B40:$Y40)),
IF(AR$3&lt;$DG40,P40,0))))))))))))))),0)</f>
        <v>43</v>
      </c>
      <c r="AS40" s="47">
        <f>ROUND(IF(AS$3&lt;$DF40,0,
IF(AS$3=$DF40+'Model Setup'!$B$7,SUMIF($AD$3:$BA$3,"="&amp;$DF40+'Model Setup'!$B$7,$B40:$Y40)+'Model Setup'!$B$8*(SUMIF($AD$3:$BA$3,"&lt;"&amp;$DF40,$B40:$Y40)+SUMIF($AD$3:$BA$3,"&gt;="&amp;$DG40,$B40:$Y40)),
IF(AS$3=$DF40+'Model Setup'!$C$7,SUMIF($AD$3:$BA$3,"="&amp;$DF40+'Model Setup'!$C$7,$B40:$Y40)+'Model Setup'!$C$8*(SUMIF($AD$3:$BA$3,"&lt;"&amp;$DF40,$B40:$Y40)+SUMIF($AD$3:$BA$3,"&gt;="&amp;$DG40,$B40:$Y40)),
IF(AS$3=$DF40+'Model Setup'!$D$7,SUMIF($AD$3:$BA$3,"="&amp;$DF40+'Model Setup'!$D$7,$B40:$Y40)+'Model Setup'!$D$8*(SUMIF($AD$3:$BA$3,"&lt;"&amp;$DF40,$B40:$Y40)+SUMIF($AD$3:$BA$3,"&gt;="&amp;$DG40,$B40:$Y40)),
IF(AS$3=$DF40+'Model Setup'!$E$7,SUMIF($AD$3:$BA$3,"="&amp;$DF40+'Model Setup'!$E$7,$B40:$Y40)+'Model Setup'!$E$8*(SUMIF($AD$3:$BA$3,"&lt;"&amp;$DF40,$B40:$Y40)+SUMIF($AD$3:$BA$3,"&gt;="&amp;$DG40,$B40:$Y40)),
IF(AS$3=$DF40+'Model Setup'!$F$7,SUMIF($AD$3:$BA$3,"="&amp;$DF40+'Model Setup'!$F$7,$B40:$Y40)+'Model Setup'!$F$8*(SUMIF($AD$3:$BA$3,"&lt;"&amp;$DF40,$B40:$Y40)+SUMIF($AD$3:$BA$3,"&gt;="&amp;$DG40,$B40:$Y40)),
IF(AS$3=$DF40+'Model Setup'!$G$7,SUMIF($AD$3:$BA$3,"="&amp;$DF40+'Model Setup'!$G$7,$B40:$Y40)+'Model Setup'!$G$8*(SUMIF($AD$3:$BA$3,"&lt;"&amp;$DF40,$B40:$Y40)+SUMIF($AD$3:$BA$3,"&gt;="&amp;$DG40,$B40:$Y40)),
IF(AS$3=$DF40+'Model Setup'!$H$7,SUMIF($AD$3:$BA$3,"="&amp;$DF40+'Model Setup'!$H$7,$B40:$Y40)+'Model Setup'!$H$8*(SUMIF($AD$3:$BA$3,"&lt;"&amp;$DF40,$B40:$Y40)+SUMIF($AD$3:$BA$3,"&gt;="&amp;$DG40,$B40:$Y40)),
IF(AS$3=$DF40+'Model Setup'!$I$7,SUMIF($AD$3:$BA$3,"="&amp;$DF40+'Model Setup'!$I$7,$B40:$Y40)+'Model Setup'!$I$8*(SUMIF($AD$3:$BA$3,"&lt;"&amp;$DF40,$B40:$Y40)+SUMIF($AD$3:$BA$3,"&gt;="&amp;$DG40,$B40:$Y40)),
IF(AS$3=$DF40+'Model Setup'!$J$7,SUMIF($AD$3:$BA$3,"="&amp;$DF40+'Model Setup'!$J$7,$B40:$Y40)+'Model Setup'!$J$8*(SUMIF($AD$3:$BA$3,"&lt;"&amp;$DF40,$B40:$Y40)+SUMIF($AD$3:$BA$3,"&gt;="&amp;$DG40,$B40:$Y40)),
IF(AS$3=$DF40+'Model Setup'!$K$7,SUMIF($AD$3:$BA$3,"="&amp;$DF40+'Model Setup'!$K$7,$B40:$Y40)+'Model Setup'!$K$8*(SUMIF($AD$3:$BA$3,"&lt;"&amp;$DF40,$B40:$Y40)+SUMIF($AD$3:$BA$3,"&gt;="&amp;$DG40,$B40:$Y40)),
IF(AS$3=$DF40+'Model Setup'!$L$7,SUMIF($AD$3:$BA$3,"="&amp;$DF40+'Model Setup'!$L$7,$B40:$Y40)+'Model Setup'!$L$8*(SUMIF($AD$3:$BA$3,"&lt;"&amp;$DF40,$B40:$Y40)+SUMIF($AD$3:$BA$3,"&gt;="&amp;$DG40,$B40:$Y40)),
IF(AS$3=$DF40+'Model Setup'!$M$7,SUMIF($AD$3:$BA$3,"="&amp;$DF40+'Model Setup'!$M$7,$B40:$Y40)+'Model Setup'!$M$8*(SUMIF($AD$3:$BA$3,"&lt;"&amp;$DF40,$B40:$Y40)+SUMIF($AD$3:$BA$3,"&gt;="&amp;$DG40,$B40:$Y40)),
IF(AS$3=$DF40+'Model Setup'!$N$7,SUMIF($AD$3:$BA$3,"="&amp;$DF40+'Model Setup'!$N$7,$B40:$Y40)+'Model Setup'!$N$8*(SUMIF($AD$3:$BA$3,"&lt;"&amp;$DF40,$B40:$Y40)+SUMIF($AD$3:$BA$3,"&gt;="&amp;$DG40,$B40:$Y40)),
IF(AS$3&lt;$DG40,Q40,0))))))))))))))),0)</f>
        <v>67</v>
      </c>
      <c r="AT40" s="47">
        <f>ROUND(IF(AT$3&lt;$DF40,0,
IF(AT$3=$DF40+'Model Setup'!$B$7,SUMIF($AD$3:$BA$3,"="&amp;$DF40+'Model Setup'!$B$7,$B40:$Y40)+'Model Setup'!$B$8*(SUMIF($AD$3:$BA$3,"&lt;"&amp;$DF40,$B40:$Y40)+SUMIF($AD$3:$BA$3,"&gt;="&amp;$DG40,$B40:$Y40)),
IF(AT$3=$DF40+'Model Setup'!$C$7,SUMIF($AD$3:$BA$3,"="&amp;$DF40+'Model Setup'!$C$7,$B40:$Y40)+'Model Setup'!$C$8*(SUMIF($AD$3:$BA$3,"&lt;"&amp;$DF40,$B40:$Y40)+SUMIF($AD$3:$BA$3,"&gt;="&amp;$DG40,$B40:$Y40)),
IF(AT$3=$DF40+'Model Setup'!$D$7,SUMIF($AD$3:$BA$3,"="&amp;$DF40+'Model Setup'!$D$7,$B40:$Y40)+'Model Setup'!$D$8*(SUMIF($AD$3:$BA$3,"&lt;"&amp;$DF40,$B40:$Y40)+SUMIF($AD$3:$BA$3,"&gt;="&amp;$DG40,$B40:$Y40)),
IF(AT$3=$DF40+'Model Setup'!$E$7,SUMIF($AD$3:$BA$3,"="&amp;$DF40+'Model Setup'!$E$7,$B40:$Y40)+'Model Setup'!$E$8*(SUMIF($AD$3:$BA$3,"&lt;"&amp;$DF40,$B40:$Y40)+SUMIF($AD$3:$BA$3,"&gt;="&amp;$DG40,$B40:$Y40)),
IF(AT$3=$DF40+'Model Setup'!$F$7,SUMIF($AD$3:$BA$3,"="&amp;$DF40+'Model Setup'!$F$7,$B40:$Y40)+'Model Setup'!$F$8*(SUMIF($AD$3:$BA$3,"&lt;"&amp;$DF40,$B40:$Y40)+SUMIF($AD$3:$BA$3,"&gt;="&amp;$DG40,$B40:$Y40)),
IF(AT$3=$DF40+'Model Setup'!$G$7,SUMIF($AD$3:$BA$3,"="&amp;$DF40+'Model Setup'!$G$7,$B40:$Y40)+'Model Setup'!$G$8*(SUMIF($AD$3:$BA$3,"&lt;"&amp;$DF40,$B40:$Y40)+SUMIF($AD$3:$BA$3,"&gt;="&amp;$DG40,$B40:$Y40)),
IF(AT$3=$DF40+'Model Setup'!$H$7,SUMIF($AD$3:$BA$3,"="&amp;$DF40+'Model Setup'!$H$7,$B40:$Y40)+'Model Setup'!$H$8*(SUMIF($AD$3:$BA$3,"&lt;"&amp;$DF40,$B40:$Y40)+SUMIF($AD$3:$BA$3,"&gt;="&amp;$DG40,$B40:$Y40)),
IF(AT$3=$DF40+'Model Setup'!$I$7,SUMIF($AD$3:$BA$3,"="&amp;$DF40+'Model Setup'!$I$7,$B40:$Y40)+'Model Setup'!$I$8*(SUMIF($AD$3:$BA$3,"&lt;"&amp;$DF40,$B40:$Y40)+SUMIF($AD$3:$BA$3,"&gt;="&amp;$DG40,$B40:$Y40)),
IF(AT$3=$DF40+'Model Setup'!$J$7,SUMIF($AD$3:$BA$3,"="&amp;$DF40+'Model Setup'!$J$7,$B40:$Y40)+'Model Setup'!$J$8*(SUMIF($AD$3:$BA$3,"&lt;"&amp;$DF40,$B40:$Y40)+SUMIF($AD$3:$BA$3,"&gt;="&amp;$DG40,$B40:$Y40)),
IF(AT$3=$DF40+'Model Setup'!$K$7,SUMIF($AD$3:$BA$3,"="&amp;$DF40+'Model Setup'!$K$7,$B40:$Y40)+'Model Setup'!$K$8*(SUMIF($AD$3:$BA$3,"&lt;"&amp;$DF40,$B40:$Y40)+SUMIF($AD$3:$BA$3,"&gt;="&amp;$DG40,$B40:$Y40)),
IF(AT$3=$DF40+'Model Setup'!$L$7,SUMIF($AD$3:$BA$3,"="&amp;$DF40+'Model Setup'!$L$7,$B40:$Y40)+'Model Setup'!$L$8*(SUMIF($AD$3:$BA$3,"&lt;"&amp;$DF40,$B40:$Y40)+SUMIF($AD$3:$BA$3,"&gt;="&amp;$DG40,$B40:$Y40)),
IF(AT$3=$DF40+'Model Setup'!$M$7,SUMIF($AD$3:$BA$3,"="&amp;$DF40+'Model Setup'!$M$7,$B40:$Y40)+'Model Setup'!$M$8*(SUMIF($AD$3:$BA$3,"&lt;"&amp;$DF40,$B40:$Y40)+SUMIF($AD$3:$BA$3,"&gt;="&amp;$DG40,$B40:$Y40)),
IF(AT$3=$DF40+'Model Setup'!$N$7,SUMIF($AD$3:$BA$3,"="&amp;$DF40+'Model Setup'!$N$7,$B40:$Y40)+'Model Setup'!$N$8*(SUMIF($AD$3:$BA$3,"&lt;"&amp;$DF40,$B40:$Y40)+SUMIF($AD$3:$BA$3,"&gt;="&amp;$DG40,$B40:$Y40)),
IF(AT$3&lt;$DG40,R40,0))))))))))))))),0)</f>
        <v>66</v>
      </c>
      <c r="AU40" s="47">
        <f>ROUND(IF(AU$3&lt;$DF40,0,
IF(AU$3=$DF40+'Model Setup'!$B$7,SUMIF($AD$3:$BA$3,"="&amp;$DF40+'Model Setup'!$B$7,$B40:$Y40)+'Model Setup'!$B$8*(SUMIF($AD$3:$BA$3,"&lt;"&amp;$DF40,$B40:$Y40)+SUMIF($AD$3:$BA$3,"&gt;="&amp;$DG40,$B40:$Y40)),
IF(AU$3=$DF40+'Model Setup'!$C$7,SUMIF($AD$3:$BA$3,"="&amp;$DF40+'Model Setup'!$C$7,$B40:$Y40)+'Model Setup'!$C$8*(SUMIF($AD$3:$BA$3,"&lt;"&amp;$DF40,$B40:$Y40)+SUMIF($AD$3:$BA$3,"&gt;="&amp;$DG40,$B40:$Y40)),
IF(AU$3=$DF40+'Model Setup'!$D$7,SUMIF($AD$3:$BA$3,"="&amp;$DF40+'Model Setup'!$D$7,$B40:$Y40)+'Model Setup'!$D$8*(SUMIF($AD$3:$BA$3,"&lt;"&amp;$DF40,$B40:$Y40)+SUMIF($AD$3:$BA$3,"&gt;="&amp;$DG40,$B40:$Y40)),
IF(AU$3=$DF40+'Model Setup'!$E$7,SUMIF($AD$3:$BA$3,"="&amp;$DF40+'Model Setup'!$E$7,$B40:$Y40)+'Model Setup'!$E$8*(SUMIF($AD$3:$BA$3,"&lt;"&amp;$DF40,$B40:$Y40)+SUMIF($AD$3:$BA$3,"&gt;="&amp;$DG40,$B40:$Y40)),
IF(AU$3=$DF40+'Model Setup'!$F$7,SUMIF($AD$3:$BA$3,"="&amp;$DF40+'Model Setup'!$F$7,$B40:$Y40)+'Model Setup'!$F$8*(SUMIF($AD$3:$BA$3,"&lt;"&amp;$DF40,$B40:$Y40)+SUMIF($AD$3:$BA$3,"&gt;="&amp;$DG40,$B40:$Y40)),
IF(AU$3=$DF40+'Model Setup'!$G$7,SUMIF($AD$3:$BA$3,"="&amp;$DF40+'Model Setup'!$G$7,$B40:$Y40)+'Model Setup'!$G$8*(SUMIF($AD$3:$BA$3,"&lt;"&amp;$DF40,$B40:$Y40)+SUMIF($AD$3:$BA$3,"&gt;="&amp;$DG40,$B40:$Y40)),
IF(AU$3=$DF40+'Model Setup'!$H$7,SUMIF($AD$3:$BA$3,"="&amp;$DF40+'Model Setup'!$H$7,$B40:$Y40)+'Model Setup'!$H$8*(SUMIF($AD$3:$BA$3,"&lt;"&amp;$DF40,$B40:$Y40)+SUMIF($AD$3:$BA$3,"&gt;="&amp;$DG40,$B40:$Y40)),
IF(AU$3=$DF40+'Model Setup'!$I$7,SUMIF($AD$3:$BA$3,"="&amp;$DF40+'Model Setup'!$I$7,$B40:$Y40)+'Model Setup'!$I$8*(SUMIF($AD$3:$BA$3,"&lt;"&amp;$DF40,$B40:$Y40)+SUMIF($AD$3:$BA$3,"&gt;="&amp;$DG40,$B40:$Y40)),
IF(AU$3=$DF40+'Model Setup'!$J$7,SUMIF($AD$3:$BA$3,"="&amp;$DF40+'Model Setup'!$J$7,$B40:$Y40)+'Model Setup'!$J$8*(SUMIF($AD$3:$BA$3,"&lt;"&amp;$DF40,$B40:$Y40)+SUMIF($AD$3:$BA$3,"&gt;="&amp;$DG40,$B40:$Y40)),
IF(AU$3=$DF40+'Model Setup'!$K$7,SUMIF($AD$3:$BA$3,"="&amp;$DF40+'Model Setup'!$K$7,$B40:$Y40)+'Model Setup'!$K$8*(SUMIF($AD$3:$BA$3,"&lt;"&amp;$DF40,$B40:$Y40)+SUMIF($AD$3:$BA$3,"&gt;="&amp;$DG40,$B40:$Y40)),
IF(AU$3=$DF40+'Model Setup'!$L$7,SUMIF($AD$3:$BA$3,"="&amp;$DF40+'Model Setup'!$L$7,$B40:$Y40)+'Model Setup'!$L$8*(SUMIF($AD$3:$BA$3,"&lt;"&amp;$DF40,$B40:$Y40)+SUMIF($AD$3:$BA$3,"&gt;="&amp;$DG40,$B40:$Y40)),
IF(AU$3=$DF40+'Model Setup'!$M$7,SUMIF($AD$3:$BA$3,"="&amp;$DF40+'Model Setup'!$M$7,$B40:$Y40)+'Model Setup'!$M$8*(SUMIF($AD$3:$BA$3,"&lt;"&amp;$DF40,$B40:$Y40)+SUMIF($AD$3:$BA$3,"&gt;="&amp;$DG40,$B40:$Y40)),
IF(AU$3=$DF40+'Model Setup'!$N$7,SUMIF($AD$3:$BA$3,"="&amp;$DF40+'Model Setup'!$N$7,$B40:$Y40)+'Model Setup'!$N$8*(SUMIF($AD$3:$BA$3,"&lt;"&amp;$DF40,$B40:$Y40)+SUMIF($AD$3:$BA$3,"&gt;="&amp;$DG40,$B40:$Y40)),
IF(AU$3&lt;$DG40,S40,0))))))))))))))),0)</f>
        <v>47</v>
      </c>
      <c r="AV40" s="47">
        <f>ROUND(IF(AV$3&lt;$DF40,0,
IF(AV$3=$DF40+'Model Setup'!$B$7,SUMIF($AD$3:$BA$3,"="&amp;$DF40+'Model Setup'!$B$7,$B40:$Y40)+'Model Setup'!$B$8*(SUMIF($AD$3:$BA$3,"&lt;"&amp;$DF40,$B40:$Y40)+SUMIF($AD$3:$BA$3,"&gt;="&amp;$DG40,$B40:$Y40)),
IF(AV$3=$DF40+'Model Setup'!$C$7,SUMIF($AD$3:$BA$3,"="&amp;$DF40+'Model Setup'!$C$7,$B40:$Y40)+'Model Setup'!$C$8*(SUMIF($AD$3:$BA$3,"&lt;"&amp;$DF40,$B40:$Y40)+SUMIF($AD$3:$BA$3,"&gt;="&amp;$DG40,$B40:$Y40)),
IF(AV$3=$DF40+'Model Setup'!$D$7,SUMIF($AD$3:$BA$3,"="&amp;$DF40+'Model Setup'!$D$7,$B40:$Y40)+'Model Setup'!$D$8*(SUMIF($AD$3:$BA$3,"&lt;"&amp;$DF40,$B40:$Y40)+SUMIF($AD$3:$BA$3,"&gt;="&amp;$DG40,$B40:$Y40)),
IF(AV$3=$DF40+'Model Setup'!$E$7,SUMIF($AD$3:$BA$3,"="&amp;$DF40+'Model Setup'!$E$7,$B40:$Y40)+'Model Setup'!$E$8*(SUMIF($AD$3:$BA$3,"&lt;"&amp;$DF40,$B40:$Y40)+SUMIF($AD$3:$BA$3,"&gt;="&amp;$DG40,$B40:$Y40)),
IF(AV$3=$DF40+'Model Setup'!$F$7,SUMIF($AD$3:$BA$3,"="&amp;$DF40+'Model Setup'!$F$7,$B40:$Y40)+'Model Setup'!$F$8*(SUMIF($AD$3:$BA$3,"&lt;"&amp;$DF40,$B40:$Y40)+SUMIF($AD$3:$BA$3,"&gt;="&amp;$DG40,$B40:$Y40)),
IF(AV$3=$DF40+'Model Setup'!$G$7,SUMIF($AD$3:$BA$3,"="&amp;$DF40+'Model Setup'!$G$7,$B40:$Y40)+'Model Setup'!$G$8*(SUMIF($AD$3:$BA$3,"&lt;"&amp;$DF40,$B40:$Y40)+SUMIF($AD$3:$BA$3,"&gt;="&amp;$DG40,$B40:$Y40)),
IF(AV$3=$DF40+'Model Setup'!$H$7,SUMIF($AD$3:$BA$3,"="&amp;$DF40+'Model Setup'!$H$7,$B40:$Y40)+'Model Setup'!$H$8*(SUMIF($AD$3:$BA$3,"&lt;"&amp;$DF40,$B40:$Y40)+SUMIF($AD$3:$BA$3,"&gt;="&amp;$DG40,$B40:$Y40)),
IF(AV$3=$DF40+'Model Setup'!$I$7,SUMIF($AD$3:$BA$3,"="&amp;$DF40+'Model Setup'!$I$7,$B40:$Y40)+'Model Setup'!$I$8*(SUMIF($AD$3:$BA$3,"&lt;"&amp;$DF40,$B40:$Y40)+SUMIF($AD$3:$BA$3,"&gt;="&amp;$DG40,$B40:$Y40)),
IF(AV$3=$DF40+'Model Setup'!$J$7,SUMIF($AD$3:$BA$3,"="&amp;$DF40+'Model Setup'!$J$7,$B40:$Y40)+'Model Setup'!$J$8*(SUMIF($AD$3:$BA$3,"&lt;"&amp;$DF40,$B40:$Y40)+SUMIF($AD$3:$BA$3,"&gt;="&amp;$DG40,$B40:$Y40)),
IF(AV$3=$DF40+'Model Setup'!$K$7,SUMIF($AD$3:$BA$3,"="&amp;$DF40+'Model Setup'!$K$7,$B40:$Y40)+'Model Setup'!$K$8*(SUMIF($AD$3:$BA$3,"&lt;"&amp;$DF40,$B40:$Y40)+SUMIF($AD$3:$BA$3,"&gt;="&amp;$DG40,$B40:$Y40)),
IF(AV$3=$DF40+'Model Setup'!$L$7,SUMIF($AD$3:$BA$3,"="&amp;$DF40+'Model Setup'!$L$7,$B40:$Y40)+'Model Setup'!$L$8*(SUMIF($AD$3:$BA$3,"&lt;"&amp;$DF40,$B40:$Y40)+SUMIF($AD$3:$BA$3,"&gt;="&amp;$DG40,$B40:$Y40)),
IF(AV$3=$DF40+'Model Setup'!$M$7,SUMIF($AD$3:$BA$3,"="&amp;$DF40+'Model Setup'!$M$7,$B40:$Y40)+'Model Setup'!$M$8*(SUMIF($AD$3:$BA$3,"&lt;"&amp;$DF40,$B40:$Y40)+SUMIF($AD$3:$BA$3,"&gt;="&amp;$DG40,$B40:$Y40)),
IF(AV$3=$DF40+'Model Setup'!$N$7,SUMIF($AD$3:$BA$3,"="&amp;$DF40+'Model Setup'!$N$7,$B40:$Y40)+'Model Setup'!$N$8*(SUMIF($AD$3:$BA$3,"&lt;"&amp;$DF40,$B40:$Y40)+SUMIF($AD$3:$BA$3,"&gt;="&amp;$DG40,$B40:$Y40)),
IF(AV$3&lt;$DG40,T40,0))))))))))))))),0)</f>
        <v>0</v>
      </c>
      <c r="AW40" s="47">
        <f>ROUND(IF(AW$3&lt;$DF40,0,
IF(AW$3=$DF40+'Model Setup'!$B$7,SUMIF($AD$3:$BA$3,"="&amp;$DF40+'Model Setup'!$B$7,$B40:$Y40)+'Model Setup'!$B$8*(SUMIF($AD$3:$BA$3,"&lt;"&amp;$DF40,$B40:$Y40)+SUMIF($AD$3:$BA$3,"&gt;="&amp;$DG40,$B40:$Y40)),
IF(AW$3=$DF40+'Model Setup'!$C$7,SUMIF($AD$3:$BA$3,"="&amp;$DF40+'Model Setup'!$C$7,$B40:$Y40)+'Model Setup'!$C$8*(SUMIF($AD$3:$BA$3,"&lt;"&amp;$DF40,$B40:$Y40)+SUMIF($AD$3:$BA$3,"&gt;="&amp;$DG40,$B40:$Y40)),
IF(AW$3=$DF40+'Model Setup'!$D$7,SUMIF($AD$3:$BA$3,"="&amp;$DF40+'Model Setup'!$D$7,$B40:$Y40)+'Model Setup'!$D$8*(SUMIF($AD$3:$BA$3,"&lt;"&amp;$DF40,$B40:$Y40)+SUMIF($AD$3:$BA$3,"&gt;="&amp;$DG40,$B40:$Y40)),
IF(AW$3=$DF40+'Model Setup'!$E$7,SUMIF($AD$3:$BA$3,"="&amp;$DF40+'Model Setup'!$E$7,$B40:$Y40)+'Model Setup'!$E$8*(SUMIF($AD$3:$BA$3,"&lt;"&amp;$DF40,$B40:$Y40)+SUMIF($AD$3:$BA$3,"&gt;="&amp;$DG40,$B40:$Y40)),
IF(AW$3=$DF40+'Model Setup'!$F$7,SUMIF($AD$3:$BA$3,"="&amp;$DF40+'Model Setup'!$F$7,$B40:$Y40)+'Model Setup'!$F$8*(SUMIF($AD$3:$BA$3,"&lt;"&amp;$DF40,$B40:$Y40)+SUMIF($AD$3:$BA$3,"&gt;="&amp;$DG40,$B40:$Y40)),
IF(AW$3=$DF40+'Model Setup'!$G$7,SUMIF($AD$3:$BA$3,"="&amp;$DF40+'Model Setup'!$G$7,$B40:$Y40)+'Model Setup'!$G$8*(SUMIF($AD$3:$BA$3,"&lt;"&amp;$DF40,$B40:$Y40)+SUMIF($AD$3:$BA$3,"&gt;="&amp;$DG40,$B40:$Y40)),
IF(AW$3=$DF40+'Model Setup'!$H$7,SUMIF($AD$3:$BA$3,"="&amp;$DF40+'Model Setup'!$H$7,$B40:$Y40)+'Model Setup'!$H$8*(SUMIF($AD$3:$BA$3,"&lt;"&amp;$DF40,$B40:$Y40)+SUMIF($AD$3:$BA$3,"&gt;="&amp;$DG40,$B40:$Y40)),
IF(AW$3=$DF40+'Model Setup'!$I$7,SUMIF($AD$3:$BA$3,"="&amp;$DF40+'Model Setup'!$I$7,$B40:$Y40)+'Model Setup'!$I$8*(SUMIF($AD$3:$BA$3,"&lt;"&amp;$DF40,$B40:$Y40)+SUMIF($AD$3:$BA$3,"&gt;="&amp;$DG40,$B40:$Y40)),
IF(AW$3=$DF40+'Model Setup'!$J$7,SUMIF($AD$3:$BA$3,"="&amp;$DF40+'Model Setup'!$J$7,$B40:$Y40)+'Model Setup'!$J$8*(SUMIF($AD$3:$BA$3,"&lt;"&amp;$DF40,$B40:$Y40)+SUMIF($AD$3:$BA$3,"&gt;="&amp;$DG40,$B40:$Y40)),
IF(AW$3=$DF40+'Model Setup'!$K$7,SUMIF($AD$3:$BA$3,"="&amp;$DF40+'Model Setup'!$K$7,$B40:$Y40)+'Model Setup'!$K$8*(SUMIF($AD$3:$BA$3,"&lt;"&amp;$DF40,$B40:$Y40)+SUMIF($AD$3:$BA$3,"&gt;="&amp;$DG40,$B40:$Y40)),
IF(AW$3=$DF40+'Model Setup'!$L$7,SUMIF($AD$3:$BA$3,"="&amp;$DF40+'Model Setup'!$L$7,$B40:$Y40)+'Model Setup'!$L$8*(SUMIF($AD$3:$BA$3,"&lt;"&amp;$DF40,$B40:$Y40)+SUMIF($AD$3:$BA$3,"&gt;="&amp;$DG40,$B40:$Y40)),
IF(AW$3=$DF40+'Model Setup'!$M$7,SUMIF($AD$3:$BA$3,"="&amp;$DF40+'Model Setup'!$M$7,$B40:$Y40)+'Model Setup'!$M$8*(SUMIF($AD$3:$BA$3,"&lt;"&amp;$DF40,$B40:$Y40)+SUMIF($AD$3:$BA$3,"&gt;="&amp;$DG40,$B40:$Y40)),
IF(AW$3=$DF40+'Model Setup'!$N$7,SUMIF($AD$3:$BA$3,"="&amp;$DF40+'Model Setup'!$N$7,$B40:$Y40)+'Model Setup'!$N$8*(SUMIF($AD$3:$BA$3,"&lt;"&amp;$DF40,$B40:$Y40)+SUMIF($AD$3:$BA$3,"&gt;="&amp;$DG40,$B40:$Y40)),
IF(AW$3&lt;$DG40,U40,0))))))))))))))),0)</f>
        <v>0</v>
      </c>
      <c r="AX40" s="47">
        <f>ROUND(IF(AX$3&lt;$DF40,0,
IF(AX$3=$DF40+'Model Setup'!$B$7,SUMIF($AD$3:$BA$3,"="&amp;$DF40+'Model Setup'!$B$7,$B40:$Y40)+'Model Setup'!$B$8*(SUMIF($AD$3:$BA$3,"&lt;"&amp;$DF40,$B40:$Y40)+SUMIF($AD$3:$BA$3,"&gt;="&amp;$DG40,$B40:$Y40)),
IF(AX$3=$DF40+'Model Setup'!$C$7,SUMIF($AD$3:$BA$3,"="&amp;$DF40+'Model Setup'!$C$7,$B40:$Y40)+'Model Setup'!$C$8*(SUMIF($AD$3:$BA$3,"&lt;"&amp;$DF40,$B40:$Y40)+SUMIF($AD$3:$BA$3,"&gt;="&amp;$DG40,$B40:$Y40)),
IF(AX$3=$DF40+'Model Setup'!$D$7,SUMIF($AD$3:$BA$3,"="&amp;$DF40+'Model Setup'!$D$7,$B40:$Y40)+'Model Setup'!$D$8*(SUMIF($AD$3:$BA$3,"&lt;"&amp;$DF40,$B40:$Y40)+SUMIF($AD$3:$BA$3,"&gt;="&amp;$DG40,$B40:$Y40)),
IF(AX$3=$DF40+'Model Setup'!$E$7,SUMIF($AD$3:$BA$3,"="&amp;$DF40+'Model Setup'!$E$7,$B40:$Y40)+'Model Setup'!$E$8*(SUMIF($AD$3:$BA$3,"&lt;"&amp;$DF40,$B40:$Y40)+SUMIF($AD$3:$BA$3,"&gt;="&amp;$DG40,$B40:$Y40)),
IF(AX$3=$DF40+'Model Setup'!$F$7,SUMIF($AD$3:$BA$3,"="&amp;$DF40+'Model Setup'!$F$7,$B40:$Y40)+'Model Setup'!$F$8*(SUMIF($AD$3:$BA$3,"&lt;"&amp;$DF40,$B40:$Y40)+SUMIF($AD$3:$BA$3,"&gt;="&amp;$DG40,$B40:$Y40)),
IF(AX$3=$DF40+'Model Setup'!$G$7,SUMIF($AD$3:$BA$3,"="&amp;$DF40+'Model Setup'!$G$7,$B40:$Y40)+'Model Setup'!$G$8*(SUMIF($AD$3:$BA$3,"&lt;"&amp;$DF40,$B40:$Y40)+SUMIF($AD$3:$BA$3,"&gt;="&amp;$DG40,$B40:$Y40)),
IF(AX$3=$DF40+'Model Setup'!$H$7,SUMIF($AD$3:$BA$3,"="&amp;$DF40+'Model Setup'!$H$7,$B40:$Y40)+'Model Setup'!$H$8*(SUMIF($AD$3:$BA$3,"&lt;"&amp;$DF40,$B40:$Y40)+SUMIF($AD$3:$BA$3,"&gt;="&amp;$DG40,$B40:$Y40)),
IF(AX$3=$DF40+'Model Setup'!$I$7,SUMIF($AD$3:$BA$3,"="&amp;$DF40+'Model Setup'!$I$7,$B40:$Y40)+'Model Setup'!$I$8*(SUMIF($AD$3:$BA$3,"&lt;"&amp;$DF40,$B40:$Y40)+SUMIF($AD$3:$BA$3,"&gt;="&amp;$DG40,$B40:$Y40)),
IF(AX$3=$DF40+'Model Setup'!$J$7,SUMIF($AD$3:$BA$3,"="&amp;$DF40+'Model Setup'!$J$7,$B40:$Y40)+'Model Setup'!$J$8*(SUMIF($AD$3:$BA$3,"&lt;"&amp;$DF40,$B40:$Y40)+SUMIF($AD$3:$BA$3,"&gt;="&amp;$DG40,$B40:$Y40)),
IF(AX$3=$DF40+'Model Setup'!$K$7,SUMIF($AD$3:$BA$3,"="&amp;$DF40+'Model Setup'!$K$7,$B40:$Y40)+'Model Setup'!$K$8*(SUMIF($AD$3:$BA$3,"&lt;"&amp;$DF40,$B40:$Y40)+SUMIF($AD$3:$BA$3,"&gt;="&amp;$DG40,$B40:$Y40)),
IF(AX$3=$DF40+'Model Setup'!$L$7,SUMIF($AD$3:$BA$3,"="&amp;$DF40+'Model Setup'!$L$7,$B40:$Y40)+'Model Setup'!$L$8*(SUMIF($AD$3:$BA$3,"&lt;"&amp;$DF40,$B40:$Y40)+SUMIF($AD$3:$BA$3,"&gt;="&amp;$DG40,$B40:$Y40)),
IF(AX$3=$DF40+'Model Setup'!$M$7,SUMIF($AD$3:$BA$3,"="&amp;$DF40+'Model Setup'!$M$7,$B40:$Y40)+'Model Setup'!$M$8*(SUMIF($AD$3:$BA$3,"&lt;"&amp;$DF40,$B40:$Y40)+SUMIF($AD$3:$BA$3,"&gt;="&amp;$DG40,$B40:$Y40)),
IF(AX$3=$DF40+'Model Setup'!$N$7,SUMIF($AD$3:$BA$3,"="&amp;$DF40+'Model Setup'!$N$7,$B40:$Y40)+'Model Setup'!$N$8*(SUMIF($AD$3:$BA$3,"&lt;"&amp;$DF40,$B40:$Y40)+SUMIF($AD$3:$BA$3,"&gt;="&amp;$DG40,$B40:$Y40)),
IF(AX$3&lt;$DG40,V40,0))))))))))))))),0)</f>
        <v>0</v>
      </c>
      <c r="AY40" s="47">
        <f>ROUND(IF(AY$3&lt;$DF40,0,
IF(AY$3=$DF40+'Model Setup'!$B$7,SUMIF($AD$3:$BA$3,"="&amp;$DF40+'Model Setup'!$B$7,$B40:$Y40)+'Model Setup'!$B$8*(SUMIF($AD$3:$BA$3,"&lt;"&amp;$DF40,$B40:$Y40)+SUMIF($AD$3:$BA$3,"&gt;="&amp;$DG40,$B40:$Y40)),
IF(AY$3=$DF40+'Model Setup'!$C$7,SUMIF($AD$3:$BA$3,"="&amp;$DF40+'Model Setup'!$C$7,$B40:$Y40)+'Model Setup'!$C$8*(SUMIF($AD$3:$BA$3,"&lt;"&amp;$DF40,$B40:$Y40)+SUMIF($AD$3:$BA$3,"&gt;="&amp;$DG40,$B40:$Y40)),
IF(AY$3=$DF40+'Model Setup'!$D$7,SUMIF($AD$3:$BA$3,"="&amp;$DF40+'Model Setup'!$D$7,$B40:$Y40)+'Model Setup'!$D$8*(SUMIF($AD$3:$BA$3,"&lt;"&amp;$DF40,$B40:$Y40)+SUMIF($AD$3:$BA$3,"&gt;="&amp;$DG40,$B40:$Y40)),
IF(AY$3=$DF40+'Model Setup'!$E$7,SUMIF($AD$3:$BA$3,"="&amp;$DF40+'Model Setup'!$E$7,$B40:$Y40)+'Model Setup'!$E$8*(SUMIF($AD$3:$BA$3,"&lt;"&amp;$DF40,$B40:$Y40)+SUMIF($AD$3:$BA$3,"&gt;="&amp;$DG40,$B40:$Y40)),
IF(AY$3=$DF40+'Model Setup'!$F$7,SUMIF($AD$3:$BA$3,"="&amp;$DF40+'Model Setup'!$F$7,$B40:$Y40)+'Model Setup'!$F$8*(SUMIF($AD$3:$BA$3,"&lt;"&amp;$DF40,$B40:$Y40)+SUMIF($AD$3:$BA$3,"&gt;="&amp;$DG40,$B40:$Y40)),
IF(AY$3=$DF40+'Model Setup'!$G$7,SUMIF($AD$3:$BA$3,"="&amp;$DF40+'Model Setup'!$G$7,$B40:$Y40)+'Model Setup'!$G$8*(SUMIF($AD$3:$BA$3,"&lt;"&amp;$DF40,$B40:$Y40)+SUMIF($AD$3:$BA$3,"&gt;="&amp;$DG40,$B40:$Y40)),
IF(AY$3=$DF40+'Model Setup'!$H$7,SUMIF($AD$3:$BA$3,"="&amp;$DF40+'Model Setup'!$H$7,$B40:$Y40)+'Model Setup'!$H$8*(SUMIF($AD$3:$BA$3,"&lt;"&amp;$DF40,$B40:$Y40)+SUMIF($AD$3:$BA$3,"&gt;="&amp;$DG40,$B40:$Y40)),
IF(AY$3=$DF40+'Model Setup'!$I$7,SUMIF($AD$3:$BA$3,"="&amp;$DF40+'Model Setup'!$I$7,$B40:$Y40)+'Model Setup'!$I$8*(SUMIF($AD$3:$BA$3,"&lt;"&amp;$DF40,$B40:$Y40)+SUMIF($AD$3:$BA$3,"&gt;="&amp;$DG40,$B40:$Y40)),
IF(AY$3=$DF40+'Model Setup'!$J$7,SUMIF($AD$3:$BA$3,"="&amp;$DF40+'Model Setup'!$J$7,$B40:$Y40)+'Model Setup'!$J$8*(SUMIF($AD$3:$BA$3,"&lt;"&amp;$DF40,$B40:$Y40)+SUMIF($AD$3:$BA$3,"&gt;="&amp;$DG40,$B40:$Y40)),
IF(AY$3=$DF40+'Model Setup'!$K$7,SUMIF($AD$3:$BA$3,"="&amp;$DF40+'Model Setup'!$K$7,$B40:$Y40)+'Model Setup'!$K$8*(SUMIF($AD$3:$BA$3,"&lt;"&amp;$DF40,$B40:$Y40)+SUMIF($AD$3:$BA$3,"&gt;="&amp;$DG40,$B40:$Y40)),
IF(AY$3=$DF40+'Model Setup'!$L$7,SUMIF($AD$3:$BA$3,"="&amp;$DF40+'Model Setup'!$L$7,$B40:$Y40)+'Model Setup'!$L$8*(SUMIF($AD$3:$BA$3,"&lt;"&amp;$DF40,$B40:$Y40)+SUMIF($AD$3:$BA$3,"&gt;="&amp;$DG40,$B40:$Y40)),
IF(AY$3=$DF40+'Model Setup'!$M$7,SUMIF($AD$3:$BA$3,"="&amp;$DF40+'Model Setup'!$M$7,$B40:$Y40)+'Model Setup'!$M$8*(SUMIF($AD$3:$BA$3,"&lt;"&amp;$DF40,$B40:$Y40)+SUMIF($AD$3:$BA$3,"&gt;="&amp;$DG40,$B40:$Y40)),
IF(AY$3=$DF40+'Model Setup'!$N$7,SUMIF($AD$3:$BA$3,"="&amp;$DF40+'Model Setup'!$N$7,$B40:$Y40)+'Model Setup'!$N$8*(SUMIF($AD$3:$BA$3,"&lt;"&amp;$DF40,$B40:$Y40)+SUMIF($AD$3:$BA$3,"&gt;="&amp;$DG40,$B40:$Y40)),
IF(AY$3&lt;$DG40,W40,0))))))))))))))),0)</f>
        <v>0</v>
      </c>
      <c r="AZ40" s="47">
        <f>ROUND(IF(AZ$3&lt;$DF40,0,
IF(AZ$3=$DF40+'Model Setup'!$B$7,SUMIF($AD$3:$BA$3,"="&amp;$DF40+'Model Setup'!$B$7,$B40:$Y40)+'Model Setup'!$B$8*(SUMIF($AD$3:$BA$3,"&lt;"&amp;$DF40,$B40:$Y40)+SUMIF($AD$3:$BA$3,"&gt;="&amp;$DG40,$B40:$Y40)),
IF(AZ$3=$DF40+'Model Setup'!$C$7,SUMIF($AD$3:$BA$3,"="&amp;$DF40+'Model Setup'!$C$7,$B40:$Y40)+'Model Setup'!$C$8*(SUMIF($AD$3:$BA$3,"&lt;"&amp;$DF40,$B40:$Y40)+SUMIF($AD$3:$BA$3,"&gt;="&amp;$DG40,$B40:$Y40)),
IF(AZ$3=$DF40+'Model Setup'!$D$7,SUMIF($AD$3:$BA$3,"="&amp;$DF40+'Model Setup'!$D$7,$B40:$Y40)+'Model Setup'!$D$8*(SUMIF($AD$3:$BA$3,"&lt;"&amp;$DF40,$B40:$Y40)+SUMIF($AD$3:$BA$3,"&gt;="&amp;$DG40,$B40:$Y40)),
IF(AZ$3=$DF40+'Model Setup'!$E$7,SUMIF($AD$3:$BA$3,"="&amp;$DF40+'Model Setup'!$E$7,$B40:$Y40)+'Model Setup'!$E$8*(SUMIF($AD$3:$BA$3,"&lt;"&amp;$DF40,$B40:$Y40)+SUMIF($AD$3:$BA$3,"&gt;="&amp;$DG40,$B40:$Y40)),
IF(AZ$3=$DF40+'Model Setup'!$F$7,SUMIF($AD$3:$BA$3,"="&amp;$DF40+'Model Setup'!$F$7,$B40:$Y40)+'Model Setup'!$F$8*(SUMIF($AD$3:$BA$3,"&lt;"&amp;$DF40,$B40:$Y40)+SUMIF($AD$3:$BA$3,"&gt;="&amp;$DG40,$B40:$Y40)),
IF(AZ$3=$DF40+'Model Setup'!$G$7,SUMIF($AD$3:$BA$3,"="&amp;$DF40+'Model Setup'!$G$7,$B40:$Y40)+'Model Setup'!$G$8*(SUMIF($AD$3:$BA$3,"&lt;"&amp;$DF40,$B40:$Y40)+SUMIF($AD$3:$BA$3,"&gt;="&amp;$DG40,$B40:$Y40)),
IF(AZ$3=$DF40+'Model Setup'!$H$7,SUMIF($AD$3:$BA$3,"="&amp;$DF40+'Model Setup'!$H$7,$B40:$Y40)+'Model Setup'!$H$8*(SUMIF($AD$3:$BA$3,"&lt;"&amp;$DF40,$B40:$Y40)+SUMIF($AD$3:$BA$3,"&gt;="&amp;$DG40,$B40:$Y40)),
IF(AZ$3=$DF40+'Model Setup'!$I$7,SUMIF($AD$3:$BA$3,"="&amp;$DF40+'Model Setup'!$I$7,$B40:$Y40)+'Model Setup'!$I$8*(SUMIF($AD$3:$BA$3,"&lt;"&amp;$DF40,$B40:$Y40)+SUMIF($AD$3:$BA$3,"&gt;="&amp;$DG40,$B40:$Y40)),
IF(AZ$3=$DF40+'Model Setup'!$J$7,SUMIF($AD$3:$BA$3,"="&amp;$DF40+'Model Setup'!$J$7,$B40:$Y40)+'Model Setup'!$J$8*(SUMIF($AD$3:$BA$3,"&lt;"&amp;$DF40,$B40:$Y40)+SUMIF($AD$3:$BA$3,"&gt;="&amp;$DG40,$B40:$Y40)),
IF(AZ$3=$DF40+'Model Setup'!$K$7,SUMIF($AD$3:$BA$3,"="&amp;$DF40+'Model Setup'!$K$7,$B40:$Y40)+'Model Setup'!$K$8*(SUMIF($AD$3:$BA$3,"&lt;"&amp;$DF40,$B40:$Y40)+SUMIF($AD$3:$BA$3,"&gt;="&amp;$DG40,$B40:$Y40)),
IF(AZ$3=$DF40+'Model Setup'!$L$7,SUMIF($AD$3:$BA$3,"="&amp;$DF40+'Model Setup'!$L$7,$B40:$Y40)+'Model Setup'!$L$8*(SUMIF($AD$3:$BA$3,"&lt;"&amp;$DF40,$B40:$Y40)+SUMIF($AD$3:$BA$3,"&gt;="&amp;$DG40,$B40:$Y40)),
IF(AZ$3=$DF40+'Model Setup'!$M$7,SUMIF($AD$3:$BA$3,"="&amp;$DF40+'Model Setup'!$M$7,$B40:$Y40)+'Model Setup'!$M$8*(SUMIF($AD$3:$BA$3,"&lt;"&amp;$DF40,$B40:$Y40)+SUMIF($AD$3:$BA$3,"&gt;="&amp;$DG40,$B40:$Y40)),
IF(AZ$3=$DF40+'Model Setup'!$N$7,SUMIF($AD$3:$BA$3,"="&amp;$DF40+'Model Setup'!$N$7,$B40:$Y40)+'Model Setup'!$N$8*(SUMIF($AD$3:$BA$3,"&lt;"&amp;$DF40,$B40:$Y40)+SUMIF($AD$3:$BA$3,"&gt;="&amp;$DG40,$B40:$Y40)),
IF(AZ$3&lt;$DG40,X40,0))))))))))))))),0)</f>
        <v>0</v>
      </c>
      <c r="BA40" s="47">
        <f>ROUND(IF(BA$3&lt;$DF40,0,
IF(BA$3=$DF40+'Model Setup'!$B$7,SUMIF($AD$3:$BA$3,"="&amp;$DF40+'Model Setup'!$B$7,$B40:$Y40)+'Model Setup'!$B$8*(SUMIF($AD$3:$BA$3,"&lt;"&amp;$DF40,$B40:$Y40)+SUMIF($AD$3:$BA$3,"&gt;="&amp;$DG40,$B40:$Y40)),
IF(BA$3=$DF40+'Model Setup'!$C$7,SUMIF($AD$3:$BA$3,"="&amp;$DF40+'Model Setup'!$C$7,$B40:$Y40)+'Model Setup'!$C$8*(SUMIF($AD$3:$BA$3,"&lt;"&amp;$DF40,$B40:$Y40)+SUMIF($AD$3:$BA$3,"&gt;="&amp;$DG40,$B40:$Y40)),
IF(BA$3=$DF40+'Model Setup'!$D$7,SUMIF($AD$3:$BA$3,"="&amp;$DF40+'Model Setup'!$D$7,$B40:$Y40)+'Model Setup'!$D$8*(SUMIF($AD$3:$BA$3,"&lt;"&amp;$DF40,$B40:$Y40)+SUMIF($AD$3:$BA$3,"&gt;="&amp;$DG40,$B40:$Y40)),
IF(BA$3=$DF40+'Model Setup'!$E$7,SUMIF($AD$3:$BA$3,"="&amp;$DF40+'Model Setup'!$E$7,$B40:$Y40)+'Model Setup'!$E$8*(SUMIF($AD$3:$BA$3,"&lt;"&amp;$DF40,$B40:$Y40)+SUMIF($AD$3:$BA$3,"&gt;="&amp;$DG40,$B40:$Y40)),
IF(BA$3=$DF40+'Model Setup'!$F$7,SUMIF($AD$3:$BA$3,"="&amp;$DF40+'Model Setup'!$F$7,$B40:$Y40)+'Model Setup'!$F$8*(SUMIF($AD$3:$BA$3,"&lt;"&amp;$DF40,$B40:$Y40)+SUMIF($AD$3:$BA$3,"&gt;="&amp;$DG40,$B40:$Y40)),
IF(BA$3=$DF40+'Model Setup'!$G$7,SUMIF($AD$3:$BA$3,"="&amp;$DF40+'Model Setup'!$G$7,$B40:$Y40)+'Model Setup'!$G$8*(SUMIF($AD$3:$BA$3,"&lt;"&amp;$DF40,$B40:$Y40)+SUMIF($AD$3:$BA$3,"&gt;="&amp;$DG40,$B40:$Y40)),
IF(BA$3=$DF40+'Model Setup'!$H$7,SUMIF($AD$3:$BA$3,"="&amp;$DF40+'Model Setup'!$H$7,$B40:$Y40)+'Model Setup'!$H$8*(SUMIF($AD$3:$BA$3,"&lt;"&amp;$DF40,$B40:$Y40)+SUMIF($AD$3:$BA$3,"&gt;="&amp;$DG40,$B40:$Y40)),
IF(BA$3=$DF40+'Model Setup'!$I$7,SUMIF($AD$3:$BA$3,"="&amp;$DF40+'Model Setup'!$I$7,$B40:$Y40)+'Model Setup'!$I$8*(SUMIF($AD$3:$BA$3,"&lt;"&amp;$DF40,$B40:$Y40)+SUMIF($AD$3:$BA$3,"&gt;="&amp;$DG40,$B40:$Y40)),
IF(BA$3=$DF40+'Model Setup'!$J$7,SUMIF($AD$3:$BA$3,"="&amp;$DF40+'Model Setup'!$J$7,$B40:$Y40)+'Model Setup'!$J$8*(SUMIF($AD$3:$BA$3,"&lt;"&amp;$DF40,$B40:$Y40)+SUMIF($AD$3:$BA$3,"&gt;="&amp;$DG40,$B40:$Y40)),
IF(BA$3=$DF40+'Model Setup'!$K$7,SUMIF($AD$3:$BA$3,"="&amp;$DF40+'Model Setup'!$K$7,$B40:$Y40)+'Model Setup'!$K$8*(SUMIF($AD$3:$BA$3,"&lt;"&amp;$DF40,$B40:$Y40)+SUMIF($AD$3:$BA$3,"&gt;="&amp;$DG40,$B40:$Y40)),
IF(BA$3=$DF40+'Model Setup'!$L$7,SUMIF($AD$3:$BA$3,"="&amp;$DF40+'Model Setup'!$L$7,$B40:$Y40)+'Model Setup'!$L$8*(SUMIF($AD$3:$BA$3,"&lt;"&amp;$DF40,$B40:$Y40)+SUMIF($AD$3:$BA$3,"&gt;="&amp;$DG40,$B40:$Y40)),
IF(BA$3=$DF40+'Model Setup'!$M$7,SUMIF($AD$3:$BA$3,"="&amp;$DF40+'Model Setup'!$M$7,$B40:$Y40)+'Model Setup'!$M$8*(SUMIF($AD$3:$BA$3,"&lt;"&amp;$DF40,$B40:$Y40)+SUMIF($AD$3:$BA$3,"&gt;="&amp;$DG40,$B40:$Y40)),
IF(BA$3=$DF40+'Model Setup'!$N$7,SUMIF($AD$3:$BA$3,"="&amp;$DF40+'Model Setup'!$N$7,$B40:$Y40)+'Model Setup'!$N$8*(SUMIF($AD$3:$BA$3,"&lt;"&amp;$DF40,$B40:$Y40)+SUMIF($AD$3:$BA$3,"&gt;="&amp;$DG40,$B40:$Y40)),
IF(BA$3&lt;$DG40,Y40,0))))))))))))))),0)</f>
        <v>0</v>
      </c>
      <c r="BB40" s="47">
        <f t="shared" si="1"/>
        <v>1001</v>
      </c>
      <c r="BD40" t="b">
        <f t="shared" si="2"/>
        <v>1</v>
      </c>
      <c r="BE40">
        <f t="shared" si="8"/>
        <v>0</v>
      </c>
      <c r="BF40">
        <f>(FTC!F38-FTC!E38)*24</f>
        <v>13</v>
      </c>
      <c r="BG40" s="43" t="s">
        <v>55</v>
      </c>
      <c r="BH40" s="47">
        <f>ROUND(IF(OR(BH$3&lt;$DF40,BH$3&gt;$CW$4),0,
IF(BH$3=$DF40+'Model Setup'!$B$7,SUMIF($BH$3:$CE$3,"="&amp;$DF40+'Model Setup'!$B$7,$AD40:$BA40)+'Model Setup'!$B$8*(SUMIF($BH$3:$CE$3,"&lt;"&amp;$DF40,$AD40:$BA40)+SUMIF($BH$3:$CE$3,"&gt;"&amp;$CW$4,$AD40:$BA40)),
IF(BH$3=$DF40+'Model Setup'!$C$7,SUMIF($BH$3:$CE$3,"="&amp;$DF40+'Model Setup'!$C$7,$AD40:$BA40)+'Model Setup'!$C$8*(SUMIF($BH$3:$CE$3,"&lt;"&amp;$DF40,$AD40:$BA40)+SUMIF($BH$3:$CE$3,"&gt;"&amp;$CW$4,$AD40:$BA40)),
IF(BH$3=$DF40+'Model Setup'!$D$7,SUMIF($BH$3:$CE$3,"="&amp;$DF40+'Model Setup'!$D$7,$AD40:$BA40)+'Model Setup'!$D$8*(SUMIF($BH$3:$CE$3,"&lt;"&amp;$DF40,$AD40:$BA40)+SUMIF($BH$3:$CE$3,"&gt;"&amp;$CW$4,$AD40:$BA40)),
IF(BH$3=$DF40+'Model Setup'!$E$7,SUMIF($BH$3:$CE$3,"="&amp;$DF40+'Model Setup'!$E$7,$AD40:$BA40)+'Model Setup'!$E$8*(SUMIF($BH$3:$CE$3,"&lt;"&amp;$DF40,$AD40:$BA40)+SUMIF($BH$3:$CE$3,"&gt;"&amp;$CW$4,$AD40:$BA40)),
IF(BH$3=$DF40+'Model Setup'!$F$7,SUMIF($BH$3:$CE$3,"="&amp;$DF40+'Model Setup'!$F$7,$AD40:$BA40)+'Model Setup'!$F$8*(SUMIF($BH$3:$CE$3,"&lt;"&amp;$DF40,$AD40:$BA40)+SUMIF($BH$3:$CE$3,"&gt;"&amp;$CW$4,$AD40:$BA40)),
IF(BH$3=$DF40+'Model Setup'!$G$7,SUMIF($BH$3:$CE$3,"="&amp;$DF40+'Model Setup'!$G$7,$AD40:$BA40)+'Model Setup'!$G$8*(SUMIF($BH$3:$CE$3,"&lt;"&amp;$DF40,$AD40:$BA40)+SUMIF($BH$3:$CE$3,"&gt;"&amp;$CW$4,$AD40:$BA40)),
IF(BH$3=$DF40+'Model Setup'!$H$7,SUMIF($BH$3:$CE$3,"="&amp;$DF40+'Model Setup'!$H$7,$AD40:$BA40)+'Model Setup'!$H$8*(SUMIF($BH$3:$CE$3,"&lt;"&amp;$DF40,$AD40:$BA40)+SUMIF($BH$3:$CE$3,"&gt;"&amp;$CW$4,$AD40:$BA40)),
IF(BH$3=$DF40+'Model Setup'!$I$7,SUMIF($BH$3:$CE$3,"="&amp;$DF40+'Model Setup'!$I$7,$AD40:$BA40)+'Model Setup'!$I$8*(SUMIF($BH$3:$CE$3,"&lt;"&amp;$DF40,$AD40:$BA40)+SUMIF($BH$3:$CE$3,"&gt;"&amp;$CW$4,$AD40:$BA40)),
IF(BH$3=$DF40+'Model Setup'!$J$7,SUMIF($BH$3:$CE$3,"="&amp;$DF40+'Model Setup'!$J$7,$AD40:$BA40)+'Model Setup'!$J$8*(SUMIF($BH$3:$CE$3,"&lt;"&amp;$DF40,$AD40:$BA40)+SUMIF($BH$3:$CE$3,"&gt;"&amp;$CW$4,$AD40:$BA40)),
IF(BH$3=$DF40+'Model Setup'!$K$7,SUMIF($BH$3:$CE$3,"="&amp;$DF40+'Model Setup'!$K$7,$AD40:$BA40)+'Model Setup'!$K$8*(SUMIF($BH$3:$CE$3,"&lt;"&amp;$DF40,$AD40:$BA40)+SUMIF($BH$3:$CE$3,"&gt;"&amp;$CW$4,$AD40:$BA40)),
IF(BH$3=$DF40+'Model Setup'!$L$7,SUMIF($BH$3:$CE$3,"="&amp;$DF40+'Model Setup'!$L$7,$AD40:$BA40)+'Model Setup'!$L$8*(SUMIF($BH$3:$CE$3,"&lt;"&amp;$DF40,$AD40:$BA40)+SUMIF($BH$3:$CE$3,"&gt;"&amp;$CW$4,$AD40:$BA40)),
IF(BH$3=$DF40+'Model Setup'!$M$7,SUMIF($BH$3:$CE$3,"="&amp;$DF40+'Model Setup'!$M$7,$AD40:$BA40)+'Model Setup'!$M$8*(SUMIF($BH$3:$CE$3,"&lt;"&amp;$DF40,$AD40:$BA40)+SUMIF($BH$3:$CE$3,"&gt;"&amp;$CW$4,$AD40:$BA40)),
IF(BH$3=$DF40+'Model Setup'!$N$7,SUMIF($BH$3:$CE$3,"="&amp;$DF40+'Model Setup'!$N$7,$AD40:$BA40)+'Model Setup'!$N$8*(SUMIF($BH$3:$CE$3,"&lt;"&amp;$DF40,$AD40:$BA40)+SUMIF($BH$3:$CE$3,"&gt;"&amp;$CW$4,$AD40:$BA40)),
IF(BH$3&lt;$CW$4,B40,0))))))))))))))),0)</f>
        <v>0</v>
      </c>
      <c r="BI40" s="47">
        <f>ROUND(IF(OR(BI$3&lt;$DF40,BI$3&gt;$CW$4),0,
IF(BI$3=$DF40+'Model Setup'!$B$7,SUMIF($BH$3:$CE$3,"="&amp;$DF40+'Model Setup'!$B$7,$AD40:$BA40)+'Model Setup'!$B$8*(SUMIF($BH$3:$CE$3,"&lt;"&amp;$DF40,$AD40:$BA40)+SUMIF($BH$3:$CE$3,"&gt;"&amp;$CW$4,$AD40:$BA40)),
IF(BI$3=$DF40+'Model Setup'!$C$7,SUMIF($BH$3:$CE$3,"="&amp;$DF40+'Model Setup'!$C$7,$AD40:$BA40)+'Model Setup'!$C$8*(SUMIF($BH$3:$CE$3,"&lt;"&amp;$DF40,$AD40:$BA40)+SUMIF($BH$3:$CE$3,"&gt;"&amp;$CW$4,$AD40:$BA40)),
IF(BI$3=$DF40+'Model Setup'!$D$7,SUMIF($BH$3:$CE$3,"="&amp;$DF40+'Model Setup'!$D$7,$AD40:$BA40)+'Model Setup'!$D$8*(SUMIF($BH$3:$CE$3,"&lt;"&amp;$DF40,$AD40:$BA40)+SUMIF($BH$3:$CE$3,"&gt;"&amp;$CW$4,$AD40:$BA40)),
IF(BI$3=$DF40+'Model Setup'!$E$7,SUMIF($BH$3:$CE$3,"="&amp;$DF40+'Model Setup'!$E$7,$AD40:$BA40)+'Model Setup'!$E$8*(SUMIF($BH$3:$CE$3,"&lt;"&amp;$DF40,$AD40:$BA40)+SUMIF($BH$3:$CE$3,"&gt;"&amp;$CW$4,$AD40:$BA40)),
IF(BI$3=$DF40+'Model Setup'!$F$7,SUMIF($BH$3:$CE$3,"="&amp;$DF40+'Model Setup'!$F$7,$AD40:$BA40)+'Model Setup'!$F$8*(SUMIF($BH$3:$CE$3,"&lt;"&amp;$DF40,$AD40:$BA40)+SUMIF($BH$3:$CE$3,"&gt;"&amp;$CW$4,$AD40:$BA40)),
IF(BI$3=$DF40+'Model Setup'!$G$7,SUMIF($BH$3:$CE$3,"="&amp;$DF40+'Model Setup'!$G$7,$AD40:$BA40)+'Model Setup'!$G$8*(SUMIF($BH$3:$CE$3,"&lt;"&amp;$DF40,$AD40:$BA40)+SUMIF($BH$3:$CE$3,"&gt;"&amp;$CW$4,$AD40:$BA40)),
IF(BI$3=$DF40+'Model Setup'!$H$7,SUMIF($BH$3:$CE$3,"="&amp;$DF40+'Model Setup'!$H$7,$AD40:$BA40)+'Model Setup'!$H$8*(SUMIF($BH$3:$CE$3,"&lt;"&amp;$DF40,$AD40:$BA40)+SUMIF($BH$3:$CE$3,"&gt;"&amp;$CW$4,$AD40:$BA40)),
IF(BI$3=$DF40+'Model Setup'!$I$7,SUMIF($BH$3:$CE$3,"="&amp;$DF40+'Model Setup'!$I$7,$AD40:$BA40)+'Model Setup'!$I$8*(SUMIF($BH$3:$CE$3,"&lt;"&amp;$DF40,$AD40:$BA40)+SUMIF($BH$3:$CE$3,"&gt;"&amp;$CW$4,$AD40:$BA40)),
IF(BI$3=$DF40+'Model Setup'!$J$7,SUMIF($BH$3:$CE$3,"="&amp;$DF40+'Model Setup'!$J$7,$AD40:$BA40)+'Model Setup'!$J$8*(SUMIF($BH$3:$CE$3,"&lt;"&amp;$DF40,$AD40:$BA40)+SUMIF($BH$3:$CE$3,"&gt;"&amp;$CW$4,$AD40:$BA40)),
IF(BI$3=$DF40+'Model Setup'!$K$7,SUMIF($BH$3:$CE$3,"="&amp;$DF40+'Model Setup'!$K$7,$AD40:$BA40)+'Model Setup'!$K$8*(SUMIF($BH$3:$CE$3,"&lt;"&amp;$DF40,$AD40:$BA40)+SUMIF($BH$3:$CE$3,"&gt;"&amp;$CW$4,$AD40:$BA40)),
IF(BI$3=$DF40+'Model Setup'!$L$7,SUMIF($BH$3:$CE$3,"="&amp;$DF40+'Model Setup'!$L$7,$AD40:$BA40)+'Model Setup'!$L$8*(SUMIF($BH$3:$CE$3,"&lt;"&amp;$DF40,$AD40:$BA40)+SUMIF($BH$3:$CE$3,"&gt;"&amp;$CW$4,$AD40:$BA40)),
IF(BI$3=$DF40+'Model Setup'!$M$7,SUMIF($BH$3:$CE$3,"="&amp;$DF40+'Model Setup'!$M$7,$AD40:$BA40)+'Model Setup'!$M$8*(SUMIF($BH$3:$CE$3,"&lt;"&amp;$DF40,$AD40:$BA40)+SUMIF($BH$3:$CE$3,"&gt;"&amp;$CW$4,$AD40:$BA40)),
IF(BI$3=$DF40+'Model Setup'!$N$7,SUMIF($BH$3:$CE$3,"="&amp;$DF40+'Model Setup'!$N$7,$AD40:$BA40)+'Model Setup'!$N$8*(SUMIF($BH$3:$CE$3,"&lt;"&amp;$DF40,$AD40:$BA40)+SUMIF($BH$3:$CE$3,"&gt;"&amp;$CW$4,$AD40:$BA40)),
IF(BI$3&lt;$CW$4,C40,0))))))))))))))),0)</f>
        <v>0</v>
      </c>
      <c r="BJ40" s="47">
        <f>ROUND(IF(OR(BJ$3&lt;$DF40,BJ$3&gt;$CW$4),0,
IF(BJ$3=$DF40+'Model Setup'!$B$7,SUMIF($BH$3:$CE$3,"="&amp;$DF40+'Model Setup'!$B$7,$AD40:$BA40)+'Model Setup'!$B$8*(SUMIF($BH$3:$CE$3,"&lt;"&amp;$DF40,$AD40:$BA40)+SUMIF($BH$3:$CE$3,"&gt;"&amp;$CW$4,$AD40:$BA40)),
IF(BJ$3=$DF40+'Model Setup'!$C$7,SUMIF($BH$3:$CE$3,"="&amp;$DF40+'Model Setup'!$C$7,$AD40:$BA40)+'Model Setup'!$C$8*(SUMIF($BH$3:$CE$3,"&lt;"&amp;$DF40,$AD40:$BA40)+SUMIF($BH$3:$CE$3,"&gt;"&amp;$CW$4,$AD40:$BA40)),
IF(BJ$3=$DF40+'Model Setup'!$D$7,SUMIF($BH$3:$CE$3,"="&amp;$DF40+'Model Setup'!$D$7,$AD40:$BA40)+'Model Setup'!$D$8*(SUMIF($BH$3:$CE$3,"&lt;"&amp;$DF40,$AD40:$BA40)+SUMIF($BH$3:$CE$3,"&gt;"&amp;$CW$4,$AD40:$BA40)),
IF(BJ$3=$DF40+'Model Setup'!$E$7,SUMIF($BH$3:$CE$3,"="&amp;$DF40+'Model Setup'!$E$7,$AD40:$BA40)+'Model Setup'!$E$8*(SUMIF($BH$3:$CE$3,"&lt;"&amp;$DF40,$AD40:$BA40)+SUMIF($BH$3:$CE$3,"&gt;"&amp;$CW$4,$AD40:$BA40)),
IF(BJ$3=$DF40+'Model Setup'!$F$7,SUMIF($BH$3:$CE$3,"="&amp;$DF40+'Model Setup'!$F$7,$AD40:$BA40)+'Model Setup'!$F$8*(SUMIF($BH$3:$CE$3,"&lt;"&amp;$DF40,$AD40:$BA40)+SUMIF($BH$3:$CE$3,"&gt;"&amp;$CW$4,$AD40:$BA40)),
IF(BJ$3=$DF40+'Model Setup'!$G$7,SUMIF($BH$3:$CE$3,"="&amp;$DF40+'Model Setup'!$G$7,$AD40:$BA40)+'Model Setup'!$G$8*(SUMIF($BH$3:$CE$3,"&lt;"&amp;$DF40,$AD40:$BA40)+SUMIF($BH$3:$CE$3,"&gt;"&amp;$CW$4,$AD40:$BA40)),
IF(BJ$3=$DF40+'Model Setup'!$H$7,SUMIF($BH$3:$CE$3,"="&amp;$DF40+'Model Setup'!$H$7,$AD40:$BA40)+'Model Setup'!$H$8*(SUMIF($BH$3:$CE$3,"&lt;"&amp;$DF40,$AD40:$BA40)+SUMIF($BH$3:$CE$3,"&gt;"&amp;$CW$4,$AD40:$BA40)),
IF(BJ$3=$DF40+'Model Setup'!$I$7,SUMIF($BH$3:$CE$3,"="&amp;$DF40+'Model Setup'!$I$7,$AD40:$BA40)+'Model Setup'!$I$8*(SUMIF($BH$3:$CE$3,"&lt;"&amp;$DF40,$AD40:$BA40)+SUMIF($BH$3:$CE$3,"&gt;"&amp;$CW$4,$AD40:$BA40)),
IF(BJ$3=$DF40+'Model Setup'!$J$7,SUMIF($BH$3:$CE$3,"="&amp;$DF40+'Model Setup'!$J$7,$AD40:$BA40)+'Model Setup'!$J$8*(SUMIF($BH$3:$CE$3,"&lt;"&amp;$DF40,$AD40:$BA40)+SUMIF($BH$3:$CE$3,"&gt;"&amp;$CW$4,$AD40:$BA40)),
IF(BJ$3=$DF40+'Model Setup'!$K$7,SUMIF($BH$3:$CE$3,"="&amp;$DF40+'Model Setup'!$K$7,$AD40:$BA40)+'Model Setup'!$K$8*(SUMIF($BH$3:$CE$3,"&lt;"&amp;$DF40,$AD40:$BA40)+SUMIF($BH$3:$CE$3,"&gt;"&amp;$CW$4,$AD40:$BA40)),
IF(BJ$3=$DF40+'Model Setup'!$L$7,SUMIF($BH$3:$CE$3,"="&amp;$DF40+'Model Setup'!$L$7,$AD40:$BA40)+'Model Setup'!$L$8*(SUMIF($BH$3:$CE$3,"&lt;"&amp;$DF40,$AD40:$BA40)+SUMIF($BH$3:$CE$3,"&gt;"&amp;$CW$4,$AD40:$BA40)),
IF(BJ$3=$DF40+'Model Setup'!$M$7,SUMIF($BH$3:$CE$3,"="&amp;$DF40+'Model Setup'!$M$7,$AD40:$BA40)+'Model Setup'!$M$8*(SUMIF($BH$3:$CE$3,"&lt;"&amp;$DF40,$AD40:$BA40)+SUMIF($BH$3:$CE$3,"&gt;"&amp;$CW$4,$AD40:$BA40)),
IF(BJ$3=$DF40+'Model Setup'!$N$7,SUMIF($BH$3:$CE$3,"="&amp;$DF40+'Model Setup'!$N$7,$AD40:$BA40)+'Model Setup'!$N$8*(SUMIF($BH$3:$CE$3,"&lt;"&amp;$DF40,$AD40:$BA40)+SUMIF($BH$3:$CE$3,"&gt;"&amp;$CW$4,$AD40:$BA40)),
IF(BJ$3&lt;$CW$4,D40,0))))))))))))))),0)</f>
        <v>0</v>
      </c>
      <c r="BK40" s="47">
        <f>ROUND(IF(OR(BK$3&lt;$DF40,BK$3&gt;$CW$4),0,
IF(BK$3=$DF40+'Model Setup'!$B$7,SUMIF($BH$3:$CE$3,"="&amp;$DF40+'Model Setup'!$B$7,$AD40:$BA40)+'Model Setup'!$B$8*(SUMIF($BH$3:$CE$3,"&lt;"&amp;$DF40,$AD40:$BA40)+SUMIF($BH$3:$CE$3,"&gt;"&amp;$CW$4,$AD40:$BA40)),
IF(BK$3=$DF40+'Model Setup'!$C$7,SUMIF($BH$3:$CE$3,"="&amp;$DF40+'Model Setup'!$C$7,$AD40:$BA40)+'Model Setup'!$C$8*(SUMIF($BH$3:$CE$3,"&lt;"&amp;$DF40,$AD40:$BA40)+SUMIF($BH$3:$CE$3,"&gt;"&amp;$CW$4,$AD40:$BA40)),
IF(BK$3=$DF40+'Model Setup'!$D$7,SUMIF($BH$3:$CE$3,"="&amp;$DF40+'Model Setup'!$D$7,$AD40:$BA40)+'Model Setup'!$D$8*(SUMIF($BH$3:$CE$3,"&lt;"&amp;$DF40,$AD40:$BA40)+SUMIF($BH$3:$CE$3,"&gt;"&amp;$CW$4,$AD40:$BA40)),
IF(BK$3=$DF40+'Model Setup'!$E$7,SUMIF($BH$3:$CE$3,"="&amp;$DF40+'Model Setup'!$E$7,$AD40:$BA40)+'Model Setup'!$E$8*(SUMIF($BH$3:$CE$3,"&lt;"&amp;$DF40,$AD40:$BA40)+SUMIF($BH$3:$CE$3,"&gt;"&amp;$CW$4,$AD40:$BA40)),
IF(BK$3=$DF40+'Model Setup'!$F$7,SUMIF($BH$3:$CE$3,"="&amp;$DF40+'Model Setup'!$F$7,$AD40:$BA40)+'Model Setup'!$F$8*(SUMIF($BH$3:$CE$3,"&lt;"&amp;$DF40,$AD40:$BA40)+SUMIF($BH$3:$CE$3,"&gt;"&amp;$CW$4,$AD40:$BA40)),
IF(BK$3=$DF40+'Model Setup'!$G$7,SUMIF($BH$3:$CE$3,"="&amp;$DF40+'Model Setup'!$G$7,$AD40:$BA40)+'Model Setup'!$G$8*(SUMIF($BH$3:$CE$3,"&lt;"&amp;$DF40,$AD40:$BA40)+SUMIF($BH$3:$CE$3,"&gt;"&amp;$CW$4,$AD40:$BA40)),
IF(BK$3=$DF40+'Model Setup'!$H$7,SUMIF($BH$3:$CE$3,"="&amp;$DF40+'Model Setup'!$H$7,$AD40:$BA40)+'Model Setup'!$H$8*(SUMIF($BH$3:$CE$3,"&lt;"&amp;$DF40,$AD40:$BA40)+SUMIF($BH$3:$CE$3,"&gt;"&amp;$CW$4,$AD40:$BA40)),
IF(BK$3=$DF40+'Model Setup'!$I$7,SUMIF($BH$3:$CE$3,"="&amp;$DF40+'Model Setup'!$I$7,$AD40:$BA40)+'Model Setup'!$I$8*(SUMIF($BH$3:$CE$3,"&lt;"&amp;$DF40,$AD40:$BA40)+SUMIF($BH$3:$CE$3,"&gt;"&amp;$CW$4,$AD40:$BA40)),
IF(BK$3=$DF40+'Model Setup'!$J$7,SUMIF($BH$3:$CE$3,"="&amp;$DF40+'Model Setup'!$J$7,$AD40:$BA40)+'Model Setup'!$J$8*(SUMIF($BH$3:$CE$3,"&lt;"&amp;$DF40,$AD40:$BA40)+SUMIF($BH$3:$CE$3,"&gt;"&amp;$CW$4,$AD40:$BA40)),
IF(BK$3=$DF40+'Model Setup'!$K$7,SUMIF($BH$3:$CE$3,"="&amp;$DF40+'Model Setup'!$K$7,$AD40:$BA40)+'Model Setup'!$K$8*(SUMIF($BH$3:$CE$3,"&lt;"&amp;$DF40,$AD40:$BA40)+SUMIF($BH$3:$CE$3,"&gt;"&amp;$CW$4,$AD40:$BA40)),
IF(BK$3=$DF40+'Model Setup'!$L$7,SUMIF($BH$3:$CE$3,"="&amp;$DF40+'Model Setup'!$L$7,$AD40:$BA40)+'Model Setup'!$L$8*(SUMIF($BH$3:$CE$3,"&lt;"&amp;$DF40,$AD40:$BA40)+SUMIF($BH$3:$CE$3,"&gt;"&amp;$CW$4,$AD40:$BA40)),
IF(BK$3=$DF40+'Model Setup'!$M$7,SUMIF($BH$3:$CE$3,"="&amp;$DF40+'Model Setup'!$M$7,$AD40:$BA40)+'Model Setup'!$M$8*(SUMIF($BH$3:$CE$3,"&lt;"&amp;$DF40,$AD40:$BA40)+SUMIF($BH$3:$CE$3,"&gt;"&amp;$CW$4,$AD40:$BA40)),
IF(BK$3=$DF40+'Model Setup'!$N$7,SUMIF($BH$3:$CE$3,"="&amp;$DF40+'Model Setup'!$N$7,$AD40:$BA40)+'Model Setup'!$N$8*(SUMIF($BH$3:$CE$3,"&lt;"&amp;$DF40,$AD40:$BA40)+SUMIF($BH$3:$CE$3,"&gt;"&amp;$CW$4,$AD40:$BA40)),
IF(BK$3&lt;$CW$4,E40,0))))))))))))))),0)</f>
        <v>0</v>
      </c>
      <c r="BL40" s="47">
        <f>ROUND(IF(OR(BL$3&lt;$DF40,BL$3&gt;$CW$4),0,
IF(BL$3=$DF40+'Model Setup'!$B$7,SUMIF($BH$3:$CE$3,"="&amp;$DF40+'Model Setup'!$B$7,$AD40:$BA40)+'Model Setup'!$B$8*(SUMIF($BH$3:$CE$3,"&lt;"&amp;$DF40,$AD40:$BA40)+SUMIF($BH$3:$CE$3,"&gt;"&amp;$CW$4,$AD40:$BA40)),
IF(BL$3=$DF40+'Model Setup'!$C$7,SUMIF($BH$3:$CE$3,"="&amp;$DF40+'Model Setup'!$C$7,$AD40:$BA40)+'Model Setup'!$C$8*(SUMIF($BH$3:$CE$3,"&lt;"&amp;$DF40,$AD40:$BA40)+SUMIF($BH$3:$CE$3,"&gt;"&amp;$CW$4,$AD40:$BA40)),
IF(BL$3=$DF40+'Model Setup'!$D$7,SUMIF($BH$3:$CE$3,"="&amp;$DF40+'Model Setup'!$D$7,$AD40:$BA40)+'Model Setup'!$D$8*(SUMIF($BH$3:$CE$3,"&lt;"&amp;$DF40,$AD40:$BA40)+SUMIF($BH$3:$CE$3,"&gt;"&amp;$CW$4,$AD40:$BA40)),
IF(BL$3=$DF40+'Model Setup'!$E$7,SUMIF($BH$3:$CE$3,"="&amp;$DF40+'Model Setup'!$E$7,$AD40:$BA40)+'Model Setup'!$E$8*(SUMIF($BH$3:$CE$3,"&lt;"&amp;$DF40,$AD40:$BA40)+SUMIF($BH$3:$CE$3,"&gt;"&amp;$CW$4,$AD40:$BA40)),
IF(BL$3=$DF40+'Model Setup'!$F$7,SUMIF($BH$3:$CE$3,"="&amp;$DF40+'Model Setup'!$F$7,$AD40:$BA40)+'Model Setup'!$F$8*(SUMIF($BH$3:$CE$3,"&lt;"&amp;$DF40,$AD40:$BA40)+SUMIF($BH$3:$CE$3,"&gt;"&amp;$CW$4,$AD40:$BA40)),
IF(BL$3=$DF40+'Model Setup'!$G$7,SUMIF($BH$3:$CE$3,"="&amp;$DF40+'Model Setup'!$G$7,$AD40:$BA40)+'Model Setup'!$G$8*(SUMIF($BH$3:$CE$3,"&lt;"&amp;$DF40,$AD40:$BA40)+SUMIF($BH$3:$CE$3,"&gt;"&amp;$CW$4,$AD40:$BA40)),
IF(BL$3=$DF40+'Model Setup'!$H$7,SUMIF($BH$3:$CE$3,"="&amp;$DF40+'Model Setup'!$H$7,$AD40:$BA40)+'Model Setup'!$H$8*(SUMIF($BH$3:$CE$3,"&lt;"&amp;$DF40,$AD40:$BA40)+SUMIF($BH$3:$CE$3,"&gt;"&amp;$CW$4,$AD40:$BA40)),
IF(BL$3=$DF40+'Model Setup'!$I$7,SUMIF($BH$3:$CE$3,"="&amp;$DF40+'Model Setup'!$I$7,$AD40:$BA40)+'Model Setup'!$I$8*(SUMIF($BH$3:$CE$3,"&lt;"&amp;$DF40,$AD40:$BA40)+SUMIF($BH$3:$CE$3,"&gt;"&amp;$CW$4,$AD40:$BA40)),
IF(BL$3=$DF40+'Model Setup'!$J$7,SUMIF($BH$3:$CE$3,"="&amp;$DF40+'Model Setup'!$J$7,$AD40:$BA40)+'Model Setup'!$J$8*(SUMIF($BH$3:$CE$3,"&lt;"&amp;$DF40,$AD40:$BA40)+SUMIF($BH$3:$CE$3,"&gt;"&amp;$CW$4,$AD40:$BA40)),
IF(BL$3=$DF40+'Model Setup'!$K$7,SUMIF($BH$3:$CE$3,"="&amp;$DF40+'Model Setup'!$K$7,$AD40:$BA40)+'Model Setup'!$K$8*(SUMIF($BH$3:$CE$3,"&lt;"&amp;$DF40,$AD40:$BA40)+SUMIF($BH$3:$CE$3,"&gt;"&amp;$CW$4,$AD40:$BA40)),
IF(BL$3=$DF40+'Model Setup'!$L$7,SUMIF($BH$3:$CE$3,"="&amp;$DF40+'Model Setup'!$L$7,$AD40:$BA40)+'Model Setup'!$L$8*(SUMIF($BH$3:$CE$3,"&lt;"&amp;$DF40,$AD40:$BA40)+SUMIF($BH$3:$CE$3,"&gt;"&amp;$CW$4,$AD40:$BA40)),
IF(BL$3=$DF40+'Model Setup'!$M$7,SUMIF($BH$3:$CE$3,"="&amp;$DF40+'Model Setup'!$M$7,$AD40:$BA40)+'Model Setup'!$M$8*(SUMIF($BH$3:$CE$3,"&lt;"&amp;$DF40,$AD40:$BA40)+SUMIF($BH$3:$CE$3,"&gt;"&amp;$CW$4,$AD40:$BA40)),
IF(BL$3=$DF40+'Model Setup'!$N$7,SUMIF($BH$3:$CE$3,"="&amp;$DF40+'Model Setup'!$N$7,$AD40:$BA40)+'Model Setup'!$N$8*(SUMIF($BH$3:$CE$3,"&lt;"&amp;$DF40,$AD40:$BA40)+SUMIF($BH$3:$CE$3,"&gt;"&amp;$CW$4,$AD40:$BA40)),
IF(BL$3&lt;$CW$4,F40,0))))))))))))))),0)</f>
        <v>0</v>
      </c>
      <c r="BM40" s="47">
        <f>ROUND(IF(OR(BM$3&lt;$DF40,BM$3&gt;$CW$4),0,
IF(BM$3=$DF40+'Model Setup'!$B$7,SUMIF($BH$3:$CE$3,"="&amp;$DF40+'Model Setup'!$B$7,$AD40:$BA40)+'Model Setup'!$B$8*(SUMIF($BH$3:$CE$3,"&lt;"&amp;$DF40,$AD40:$BA40)+SUMIF($BH$3:$CE$3,"&gt;"&amp;$CW$4,$AD40:$BA40)),
IF(BM$3=$DF40+'Model Setup'!$C$7,SUMIF($BH$3:$CE$3,"="&amp;$DF40+'Model Setup'!$C$7,$AD40:$BA40)+'Model Setup'!$C$8*(SUMIF($BH$3:$CE$3,"&lt;"&amp;$DF40,$AD40:$BA40)+SUMIF($BH$3:$CE$3,"&gt;"&amp;$CW$4,$AD40:$BA40)),
IF(BM$3=$DF40+'Model Setup'!$D$7,SUMIF($BH$3:$CE$3,"="&amp;$DF40+'Model Setup'!$D$7,$AD40:$BA40)+'Model Setup'!$D$8*(SUMIF($BH$3:$CE$3,"&lt;"&amp;$DF40,$AD40:$BA40)+SUMIF($BH$3:$CE$3,"&gt;"&amp;$CW$4,$AD40:$BA40)),
IF(BM$3=$DF40+'Model Setup'!$E$7,SUMIF($BH$3:$CE$3,"="&amp;$DF40+'Model Setup'!$E$7,$AD40:$BA40)+'Model Setup'!$E$8*(SUMIF($BH$3:$CE$3,"&lt;"&amp;$DF40,$AD40:$BA40)+SUMIF($BH$3:$CE$3,"&gt;"&amp;$CW$4,$AD40:$BA40)),
IF(BM$3=$DF40+'Model Setup'!$F$7,SUMIF($BH$3:$CE$3,"="&amp;$DF40+'Model Setup'!$F$7,$AD40:$BA40)+'Model Setup'!$F$8*(SUMIF($BH$3:$CE$3,"&lt;"&amp;$DF40,$AD40:$BA40)+SUMIF($BH$3:$CE$3,"&gt;"&amp;$CW$4,$AD40:$BA40)),
IF(BM$3=$DF40+'Model Setup'!$G$7,SUMIF($BH$3:$CE$3,"="&amp;$DF40+'Model Setup'!$G$7,$AD40:$BA40)+'Model Setup'!$G$8*(SUMIF($BH$3:$CE$3,"&lt;"&amp;$DF40,$AD40:$BA40)+SUMIF($BH$3:$CE$3,"&gt;"&amp;$CW$4,$AD40:$BA40)),
IF(BM$3=$DF40+'Model Setup'!$H$7,SUMIF($BH$3:$CE$3,"="&amp;$DF40+'Model Setup'!$H$7,$AD40:$BA40)+'Model Setup'!$H$8*(SUMIF($BH$3:$CE$3,"&lt;"&amp;$DF40,$AD40:$BA40)+SUMIF($BH$3:$CE$3,"&gt;"&amp;$CW$4,$AD40:$BA40)),
IF(BM$3=$DF40+'Model Setup'!$I$7,SUMIF($BH$3:$CE$3,"="&amp;$DF40+'Model Setup'!$I$7,$AD40:$BA40)+'Model Setup'!$I$8*(SUMIF($BH$3:$CE$3,"&lt;"&amp;$DF40,$AD40:$BA40)+SUMIF($BH$3:$CE$3,"&gt;"&amp;$CW$4,$AD40:$BA40)),
IF(BM$3=$DF40+'Model Setup'!$J$7,SUMIF($BH$3:$CE$3,"="&amp;$DF40+'Model Setup'!$J$7,$AD40:$BA40)+'Model Setup'!$J$8*(SUMIF($BH$3:$CE$3,"&lt;"&amp;$DF40,$AD40:$BA40)+SUMIF($BH$3:$CE$3,"&gt;"&amp;$CW$4,$AD40:$BA40)),
IF(BM$3=$DF40+'Model Setup'!$K$7,SUMIF($BH$3:$CE$3,"="&amp;$DF40+'Model Setup'!$K$7,$AD40:$BA40)+'Model Setup'!$K$8*(SUMIF($BH$3:$CE$3,"&lt;"&amp;$DF40,$AD40:$BA40)+SUMIF($BH$3:$CE$3,"&gt;"&amp;$CW$4,$AD40:$BA40)),
IF(BM$3=$DF40+'Model Setup'!$L$7,SUMIF($BH$3:$CE$3,"="&amp;$DF40+'Model Setup'!$L$7,$AD40:$BA40)+'Model Setup'!$L$8*(SUMIF($BH$3:$CE$3,"&lt;"&amp;$DF40,$AD40:$BA40)+SUMIF($BH$3:$CE$3,"&gt;"&amp;$CW$4,$AD40:$BA40)),
IF(BM$3=$DF40+'Model Setup'!$M$7,SUMIF($BH$3:$CE$3,"="&amp;$DF40+'Model Setup'!$M$7,$AD40:$BA40)+'Model Setup'!$M$8*(SUMIF($BH$3:$CE$3,"&lt;"&amp;$DF40,$AD40:$BA40)+SUMIF($BH$3:$CE$3,"&gt;"&amp;$CW$4,$AD40:$BA40)),
IF(BM$3=$DF40+'Model Setup'!$N$7,SUMIF($BH$3:$CE$3,"="&amp;$DF40+'Model Setup'!$N$7,$AD40:$BA40)+'Model Setup'!$N$8*(SUMIF($BH$3:$CE$3,"&lt;"&amp;$DF40,$AD40:$BA40)+SUMIF($BH$3:$CE$3,"&gt;"&amp;$CW$4,$AD40:$BA40)),
IF(BM$3&lt;$CW$4,G40,0))))))))))))))),0)</f>
        <v>30</v>
      </c>
      <c r="BN40" s="47">
        <f>ROUND(IF(OR(BN$3&lt;$DF40,BN$3&gt;$CW$4),0,
IF(BN$3=$DF40+'Model Setup'!$B$7,SUMIF($BH$3:$CE$3,"="&amp;$DF40+'Model Setup'!$B$7,$AD40:$BA40)+'Model Setup'!$B$8*(SUMIF($BH$3:$CE$3,"&lt;"&amp;$DF40,$AD40:$BA40)+SUMIF($BH$3:$CE$3,"&gt;"&amp;$CW$4,$AD40:$BA40)),
IF(BN$3=$DF40+'Model Setup'!$C$7,SUMIF($BH$3:$CE$3,"="&amp;$DF40+'Model Setup'!$C$7,$AD40:$BA40)+'Model Setup'!$C$8*(SUMIF($BH$3:$CE$3,"&lt;"&amp;$DF40,$AD40:$BA40)+SUMIF($BH$3:$CE$3,"&gt;"&amp;$CW$4,$AD40:$BA40)),
IF(BN$3=$DF40+'Model Setup'!$D$7,SUMIF($BH$3:$CE$3,"="&amp;$DF40+'Model Setup'!$D$7,$AD40:$BA40)+'Model Setup'!$D$8*(SUMIF($BH$3:$CE$3,"&lt;"&amp;$DF40,$AD40:$BA40)+SUMIF($BH$3:$CE$3,"&gt;"&amp;$CW$4,$AD40:$BA40)),
IF(BN$3=$DF40+'Model Setup'!$E$7,SUMIF($BH$3:$CE$3,"="&amp;$DF40+'Model Setup'!$E$7,$AD40:$BA40)+'Model Setup'!$E$8*(SUMIF($BH$3:$CE$3,"&lt;"&amp;$DF40,$AD40:$BA40)+SUMIF($BH$3:$CE$3,"&gt;"&amp;$CW$4,$AD40:$BA40)),
IF(BN$3=$DF40+'Model Setup'!$F$7,SUMIF($BH$3:$CE$3,"="&amp;$DF40+'Model Setup'!$F$7,$AD40:$BA40)+'Model Setup'!$F$8*(SUMIF($BH$3:$CE$3,"&lt;"&amp;$DF40,$AD40:$BA40)+SUMIF($BH$3:$CE$3,"&gt;"&amp;$CW$4,$AD40:$BA40)),
IF(BN$3=$DF40+'Model Setup'!$G$7,SUMIF($BH$3:$CE$3,"="&amp;$DF40+'Model Setup'!$G$7,$AD40:$BA40)+'Model Setup'!$G$8*(SUMIF($BH$3:$CE$3,"&lt;"&amp;$DF40,$AD40:$BA40)+SUMIF($BH$3:$CE$3,"&gt;"&amp;$CW$4,$AD40:$BA40)),
IF(BN$3=$DF40+'Model Setup'!$H$7,SUMIF($BH$3:$CE$3,"="&amp;$DF40+'Model Setup'!$H$7,$AD40:$BA40)+'Model Setup'!$H$8*(SUMIF($BH$3:$CE$3,"&lt;"&amp;$DF40,$AD40:$BA40)+SUMIF($BH$3:$CE$3,"&gt;"&amp;$CW$4,$AD40:$BA40)),
IF(BN$3=$DF40+'Model Setup'!$I$7,SUMIF($BH$3:$CE$3,"="&amp;$DF40+'Model Setup'!$I$7,$AD40:$BA40)+'Model Setup'!$I$8*(SUMIF($BH$3:$CE$3,"&lt;"&amp;$DF40,$AD40:$BA40)+SUMIF($BH$3:$CE$3,"&gt;"&amp;$CW$4,$AD40:$BA40)),
IF(BN$3=$DF40+'Model Setup'!$J$7,SUMIF($BH$3:$CE$3,"="&amp;$DF40+'Model Setup'!$J$7,$AD40:$BA40)+'Model Setup'!$J$8*(SUMIF($BH$3:$CE$3,"&lt;"&amp;$DF40,$AD40:$BA40)+SUMIF($BH$3:$CE$3,"&gt;"&amp;$CW$4,$AD40:$BA40)),
IF(BN$3=$DF40+'Model Setup'!$K$7,SUMIF($BH$3:$CE$3,"="&amp;$DF40+'Model Setup'!$K$7,$AD40:$BA40)+'Model Setup'!$K$8*(SUMIF($BH$3:$CE$3,"&lt;"&amp;$DF40,$AD40:$BA40)+SUMIF($BH$3:$CE$3,"&gt;"&amp;$CW$4,$AD40:$BA40)),
IF(BN$3=$DF40+'Model Setup'!$L$7,SUMIF($BH$3:$CE$3,"="&amp;$DF40+'Model Setup'!$L$7,$AD40:$BA40)+'Model Setup'!$L$8*(SUMIF($BH$3:$CE$3,"&lt;"&amp;$DF40,$AD40:$BA40)+SUMIF($BH$3:$CE$3,"&gt;"&amp;$CW$4,$AD40:$BA40)),
IF(BN$3=$DF40+'Model Setup'!$M$7,SUMIF($BH$3:$CE$3,"="&amp;$DF40+'Model Setup'!$M$7,$AD40:$BA40)+'Model Setup'!$M$8*(SUMIF($BH$3:$CE$3,"&lt;"&amp;$DF40,$AD40:$BA40)+SUMIF($BH$3:$CE$3,"&gt;"&amp;$CW$4,$AD40:$BA40)),
IF(BN$3=$DF40+'Model Setup'!$N$7,SUMIF($BH$3:$CE$3,"="&amp;$DF40+'Model Setup'!$N$7,$AD40:$BA40)+'Model Setup'!$N$8*(SUMIF($BH$3:$CE$3,"&lt;"&amp;$DF40,$AD40:$BA40)+SUMIF($BH$3:$CE$3,"&gt;"&amp;$CW$4,$AD40:$BA40)),
IF(BN$3&lt;$CW$4,H40,0))))))))))))))),0)</f>
        <v>116</v>
      </c>
      <c r="BO40" s="47">
        <f>ROUND(IF(OR(BO$3&lt;$DF40,BO$3&gt;$CW$4),0,
IF(BO$3=$DF40+'Model Setup'!$B$7,SUMIF($BH$3:$CE$3,"="&amp;$DF40+'Model Setup'!$B$7,$AD40:$BA40)+'Model Setup'!$B$8*(SUMIF($BH$3:$CE$3,"&lt;"&amp;$DF40,$AD40:$BA40)+SUMIF($BH$3:$CE$3,"&gt;"&amp;$CW$4,$AD40:$BA40)),
IF(BO$3=$DF40+'Model Setup'!$C$7,SUMIF($BH$3:$CE$3,"="&amp;$DF40+'Model Setup'!$C$7,$AD40:$BA40)+'Model Setup'!$C$8*(SUMIF($BH$3:$CE$3,"&lt;"&amp;$DF40,$AD40:$BA40)+SUMIF($BH$3:$CE$3,"&gt;"&amp;$CW$4,$AD40:$BA40)),
IF(BO$3=$DF40+'Model Setup'!$D$7,SUMIF($BH$3:$CE$3,"="&amp;$DF40+'Model Setup'!$D$7,$AD40:$BA40)+'Model Setup'!$D$8*(SUMIF($BH$3:$CE$3,"&lt;"&amp;$DF40,$AD40:$BA40)+SUMIF($BH$3:$CE$3,"&gt;"&amp;$CW$4,$AD40:$BA40)),
IF(BO$3=$DF40+'Model Setup'!$E$7,SUMIF($BH$3:$CE$3,"="&amp;$DF40+'Model Setup'!$E$7,$AD40:$BA40)+'Model Setup'!$E$8*(SUMIF($BH$3:$CE$3,"&lt;"&amp;$DF40,$AD40:$BA40)+SUMIF($BH$3:$CE$3,"&gt;"&amp;$CW$4,$AD40:$BA40)),
IF(BO$3=$DF40+'Model Setup'!$F$7,SUMIF($BH$3:$CE$3,"="&amp;$DF40+'Model Setup'!$F$7,$AD40:$BA40)+'Model Setup'!$F$8*(SUMIF($BH$3:$CE$3,"&lt;"&amp;$DF40,$AD40:$BA40)+SUMIF($BH$3:$CE$3,"&gt;"&amp;$CW$4,$AD40:$BA40)),
IF(BO$3=$DF40+'Model Setup'!$G$7,SUMIF($BH$3:$CE$3,"="&amp;$DF40+'Model Setup'!$G$7,$AD40:$BA40)+'Model Setup'!$G$8*(SUMIF($BH$3:$CE$3,"&lt;"&amp;$DF40,$AD40:$BA40)+SUMIF($BH$3:$CE$3,"&gt;"&amp;$CW$4,$AD40:$BA40)),
IF(BO$3=$DF40+'Model Setup'!$H$7,SUMIF($BH$3:$CE$3,"="&amp;$DF40+'Model Setup'!$H$7,$AD40:$BA40)+'Model Setup'!$H$8*(SUMIF($BH$3:$CE$3,"&lt;"&amp;$DF40,$AD40:$BA40)+SUMIF($BH$3:$CE$3,"&gt;"&amp;$CW$4,$AD40:$BA40)),
IF(BO$3=$DF40+'Model Setup'!$I$7,SUMIF($BH$3:$CE$3,"="&amp;$DF40+'Model Setup'!$I$7,$AD40:$BA40)+'Model Setup'!$I$8*(SUMIF($BH$3:$CE$3,"&lt;"&amp;$DF40,$AD40:$BA40)+SUMIF($BH$3:$CE$3,"&gt;"&amp;$CW$4,$AD40:$BA40)),
IF(BO$3=$DF40+'Model Setup'!$J$7,SUMIF($BH$3:$CE$3,"="&amp;$DF40+'Model Setup'!$J$7,$AD40:$BA40)+'Model Setup'!$J$8*(SUMIF($BH$3:$CE$3,"&lt;"&amp;$DF40,$AD40:$BA40)+SUMIF($BH$3:$CE$3,"&gt;"&amp;$CW$4,$AD40:$BA40)),
IF(BO$3=$DF40+'Model Setup'!$K$7,SUMIF($BH$3:$CE$3,"="&amp;$DF40+'Model Setup'!$K$7,$AD40:$BA40)+'Model Setup'!$K$8*(SUMIF($BH$3:$CE$3,"&lt;"&amp;$DF40,$AD40:$BA40)+SUMIF($BH$3:$CE$3,"&gt;"&amp;$CW$4,$AD40:$BA40)),
IF(BO$3=$DF40+'Model Setup'!$L$7,SUMIF($BH$3:$CE$3,"="&amp;$DF40+'Model Setup'!$L$7,$AD40:$BA40)+'Model Setup'!$L$8*(SUMIF($BH$3:$CE$3,"&lt;"&amp;$DF40,$AD40:$BA40)+SUMIF($BH$3:$CE$3,"&gt;"&amp;$CW$4,$AD40:$BA40)),
IF(BO$3=$DF40+'Model Setup'!$M$7,SUMIF($BH$3:$CE$3,"="&amp;$DF40+'Model Setup'!$M$7,$AD40:$BA40)+'Model Setup'!$M$8*(SUMIF($BH$3:$CE$3,"&lt;"&amp;$DF40,$AD40:$BA40)+SUMIF($BH$3:$CE$3,"&gt;"&amp;$CW$4,$AD40:$BA40)),
IF(BO$3=$DF40+'Model Setup'!$N$7,SUMIF($BH$3:$CE$3,"="&amp;$DF40+'Model Setup'!$N$7,$AD40:$BA40)+'Model Setup'!$N$8*(SUMIF($BH$3:$CE$3,"&lt;"&amp;$DF40,$AD40:$BA40)+SUMIF($BH$3:$CE$3,"&gt;"&amp;$CW$4,$AD40:$BA40)),
IF(BO$3&lt;$CW$4,I40,0))))))))))))))),0)</f>
        <v>124</v>
      </c>
      <c r="BP40" s="47">
        <f>ROUND(IF(OR(BP$3&lt;$DF40,BP$3&gt;$CW$4),0,
IF(BP$3=$DF40+'Model Setup'!$B$7,SUMIF($BH$3:$CE$3,"="&amp;$DF40+'Model Setup'!$B$7,$AD40:$BA40)+'Model Setup'!$B$8*(SUMIF($BH$3:$CE$3,"&lt;"&amp;$DF40,$AD40:$BA40)+SUMIF($BH$3:$CE$3,"&gt;"&amp;$CW$4,$AD40:$BA40)),
IF(BP$3=$DF40+'Model Setup'!$C$7,SUMIF($BH$3:$CE$3,"="&amp;$DF40+'Model Setup'!$C$7,$AD40:$BA40)+'Model Setup'!$C$8*(SUMIF($BH$3:$CE$3,"&lt;"&amp;$DF40,$AD40:$BA40)+SUMIF($BH$3:$CE$3,"&gt;"&amp;$CW$4,$AD40:$BA40)),
IF(BP$3=$DF40+'Model Setup'!$D$7,SUMIF($BH$3:$CE$3,"="&amp;$DF40+'Model Setup'!$D$7,$AD40:$BA40)+'Model Setup'!$D$8*(SUMIF($BH$3:$CE$3,"&lt;"&amp;$DF40,$AD40:$BA40)+SUMIF($BH$3:$CE$3,"&gt;"&amp;$CW$4,$AD40:$BA40)),
IF(BP$3=$DF40+'Model Setup'!$E$7,SUMIF($BH$3:$CE$3,"="&amp;$DF40+'Model Setup'!$E$7,$AD40:$BA40)+'Model Setup'!$E$8*(SUMIF($BH$3:$CE$3,"&lt;"&amp;$DF40,$AD40:$BA40)+SUMIF($BH$3:$CE$3,"&gt;"&amp;$CW$4,$AD40:$BA40)),
IF(BP$3=$DF40+'Model Setup'!$F$7,SUMIF($BH$3:$CE$3,"="&amp;$DF40+'Model Setup'!$F$7,$AD40:$BA40)+'Model Setup'!$F$8*(SUMIF($BH$3:$CE$3,"&lt;"&amp;$DF40,$AD40:$BA40)+SUMIF($BH$3:$CE$3,"&gt;"&amp;$CW$4,$AD40:$BA40)),
IF(BP$3=$DF40+'Model Setup'!$G$7,SUMIF($BH$3:$CE$3,"="&amp;$DF40+'Model Setup'!$G$7,$AD40:$BA40)+'Model Setup'!$G$8*(SUMIF($BH$3:$CE$3,"&lt;"&amp;$DF40,$AD40:$BA40)+SUMIF($BH$3:$CE$3,"&gt;"&amp;$CW$4,$AD40:$BA40)),
IF(BP$3=$DF40+'Model Setup'!$H$7,SUMIF($BH$3:$CE$3,"="&amp;$DF40+'Model Setup'!$H$7,$AD40:$BA40)+'Model Setup'!$H$8*(SUMIF($BH$3:$CE$3,"&lt;"&amp;$DF40,$AD40:$BA40)+SUMIF($BH$3:$CE$3,"&gt;"&amp;$CW$4,$AD40:$BA40)),
IF(BP$3=$DF40+'Model Setup'!$I$7,SUMIF($BH$3:$CE$3,"="&amp;$DF40+'Model Setup'!$I$7,$AD40:$BA40)+'Model Setup'!$I$8*(SUMIF($BH$3:$CE$3,"&lt;"&amp;$DF40,$AD40:$BA40)+SUMIF($BH$3:$CE$3,"&gt;"&amp;$CW$4,$AD40:$BA40)),
IF(BP$3=$DF40+'Model Setup'!$J$7,SUMIF($BH$3:$CE$3,"="&amp;$DF40+'Model Setup'!$J$7,$AD40:$BA40)+'Model Setup'!$J$8*(SUMIF($BH$3:$CE$3,"&lt;"&amp;$DF40,$AD40:$BA40)+SUMIF($BH$3:$CE$3,"&gt;"&amp;$CW$4,$AD40:$BA40)),
IF(BP$3=$DF40+'Model Setup'!$K$7,SUMIF($BH$3:$CE$3,"="&amp;$DF40+'Model Setup'!$K$7,$AD40:$BA40)+'Model Setup'!$K$8*(SUMIF($BH$3:$CE$3,"&lt;"&amp;$DF40,$AD40:$BA40)+SUMIF($BH$3:$CE$3,"&gt;"&amp;$CW$4,$AD40:$BA40)),
IF(BP$3=$DF40+'Model Setup'!$L$7,SUMIF($BH$3:$CE$3,"="&amp;$DF40+'Model Setup'!$L$7,$AD40:$BA40)+'Model Setup'!$L$8*(SUMIF($BH$3:$CE$3,"&lt;"&amp;$DF40,$AD40:$BA40)+SUMIF($BH$3:$CE$3,"&gt;"&amp;$CW$4,$AD40:$BA40)),
IF(BP$3=$DF40+'Model Setup'!$M$7,SUMIF($BH$3:$CE$3,"="&amp;$DF40+'Model Setup'!$M$7,$AD40:$BA40)+'Model Setup'!$M$8*(SUMIF($BH$3:$CE$3,"&lt;"&amp;$DF40,$AD40:$BA40)+SUMIF($BH$3:$CE$3,"&gt;"&amp;$CW$4,$AD40:$BA40)),
IF(BP$3=$DF40+'Model Setup'!$N$7,SUMIF($BH$3:$CE$3,"="&amp;$DF40+'Model Setup'!$N$7,$AD40:$BA40)+'Model Setup'!$N$8*(SUMIF($BH$3:$CE$3,"&lt;"&amp;$DF40,$AD40:$BA40)+SUMIF($BH$3:$CE$3,"&gt;"&amp;$CW$4,$AD40:$BA40)),
IF(BP$3&lt;$CW$4,J40,0))))))))))))))),0)</f>
        <v>123</v>
      </c>
      <c r="BQ40" s="47">
        <f>ROUND(IF(OR(BQ$3&lt;$DF40,BQ$3&gt;$CW$4),0,
IF(BQ$3=$DF40+'Model Setup'!$B$7,SUMIF($BH$3:$CE$3,"="&amp;$DF40+'Model Setup'!$B$7,$AD40:$BA40)+'Model Setup'!$B$8*(SUMIF($BH$3:$CE$3,"&lt;"&amp;$DF40,$AD40:$BA40)+SUMIF($BH$3:$CE$3,"&gt;"&amp;$CW$4,$AD40:$BA40)),
IF(BQ$3=$DF40+'Model Setup'!$C$7,SUMIF($BH$3:$CE$3,"="&amp;$DF40+'Model Setup'!$C$7,$AD40:$BA40)+'Model Setup'!$C$8*(SUMIF($BH$3:$CE$3,"&lt;"&amp;$DF40,$AD40:$BA40)+SUMIF($BH$3:$CE$3,"&gt;"&amp;$CW$4,$AD40:$BA40)),
IF(BQ$3=$DF40+'Model Setup'!$D$7,SUMIF($BH$3:$CE$3,"="&amp;$DF40+'Model Setup'!$D$7,$AD40:$BA40)+'Model Setup'!$D$8*(SUMIF($BH$3:$CE$3,"&lt;"&amp;$DF40,$AD40:$BA40)+SUMIF($BH$3:$CE$3,"&gt;"&amp;$CW$4,$AD40:$BA40)),
IF(BQ$3=$DF40+'Model Setup'!$E$7,SUMIF($BH$3:$CE$3,"="&amp;$DF40+'Model Setup'!$E$7,$AD40:$BA40)+'Model Setup'!$E$8*(SUMIF($BH$3:$CE$3,"&lt;"&amp;$DF40,$AD40:$BA40)+SUMIF($BH$3:$CE$3,"&gt;"&amp;$CW$4,$AD40:$BA40)),
IF(BQ$3=$DF40+'Model Setup'!$F$7,SUMIF($BH$3:$CE$3,"="&amp;$DF40+'Model Setup'!$F$7,$AD40:$BA40)+'Model Setup'!$F$8*(SUMIF($BH$3:$CE$3,"&lt;"&amp;$DF40,$AD40:$BA40)+SUMIF($BH$3:$CE$3,"&gt;"&amp;$CW$4,$AD40:$BA40)),
IF(BQ$3=$DF40+'Model Setup'!$G$7,SUMIF($BH$3:$CE$3,"="&amp;$DF40+'Model Setup'!$G$7,$AD40:$BA40)+'Model Setup'!$G$8*(SUMIF($BH$3:$CE$3,"&lt;"&amp;$DF40,$AD40:$BA40)+SUMIF($BH$3:$CE$3,"&gt;"&amp;$CW$4,$AD40:$BA40)),
IF(BQ$3=$DF40+'Model Setup'!$H$7,SUMIF($BH$3:$CE$3,"="&amp;$DF40+'Model Setup'!$H$7,$AD40:$BA40)+'Model Setup'!$H$8*(SUMIF($BH$3:$CE$3,"&lt;"&amp;$DF40,$AD40:$BA40)+SUMIF($BH$3:$CE$3,"&gt;"&amp;$CW$4,$AD40:$BA40)),
IF(BQ$3=$DF40+'Model Setup'!$I$7,SUMIF($BH$3:$CE$3,"="&amp;$DF40+'Model Setup'!$I$7,$AD40:$BA40)+'Model Setup'!$I$8*(SUMIF($BH$3:$CE$3,"&lt;"&amp;$DF40,$AD40:$BA40)+SUMIF($BH$3:$CE$3,"&gt;"&amp;$CW$4,$AD40:$BA40)),
IF(BQ$3=$DF40+'Model Setup'!$J$7,SUMIF($BH$3:$CE$3,"="&amp;$DF40+'Model Setup'!$J$7,$AD40:$BA40)+'Model Setup'!$J$8*(SUMIF($BH$3:$CE$3,"&lt;"&amp;$DF40,$AD40:$BA40)+SUMIF($BH$3:$CE$3,"&gt;"&amp;$CW$4,$AD40:$BA40)),
IF(BQ$3=$DF40+'Model Setup'!$K$7,SUMIF($BH$3:$CE$3,"="&amp;$DF40+'Model Setup'!$K$7,$AD40:$BA40)+'Model Setup'!$K$8*(SUMIF($BH$3:$CE$3,"&lt;"&amp;$DF40,$AD40:$BA40)+SUMIF($BH$3:$CE$3,"&gt;"&amp;$CW$4,$AD40:$BA40)),
IF(BQ$3=$DF40+'Model Setup'!$L$7,SUMIF($BH$3:$CE$3,"="&amp;$DF40+'Model Setup'!$L$7,$AD40:$BA40)+'Model Setup'!$L$8*(SUMIF($BH$3:$CE$3,"&lt;"&amp;$DF40,$AD40:$BA40)+SUMIF($BH$3:$CE$3,"&gt;"&amp;$CW$4,$AD40:$BA40)),
IF(BQ$3=$DF40+'Model Setup'!$M$7,SUMIF($BH$3:$CE$3,"="&amp;$DF40+'Model Setup'!$M$7,$AD40:$BA40)+'Model Setup'!$M$8*(SUMIF($BH$3:$CE$3,"&lt;"&amp;$DF40,$AD40:$BA40)+SUMIF($BH$3:$CE$3,"&gt;"&amp;$CW$4,$AD40:$BA40)),
IF(BQ$3=$DF40+'Model Setup'!$N$7,SUMIF($BH$3:$CE$3,"="&amp;$DF40+'Model Setup'!$N$7,$AD40:$BA40)+'Model Setup'!$N$8*(SUMIF($BH$3:$CE$3,"&lt;"&amp;$DF40,$AD40:$BA40)+SUMIF($BH$3:$CE$3,"&gt;"&amp;$CW$4,$AD40:$BA40)),
IF(BQ$3&lt;$CW$4,K40,0))))))))))))))),0)</f>
        <v>98</v>
      </c>
      <c r="BR40" s="47">
        <f>ROUND(IF(OR(BR$3&lt;$DF40,BR$3&gt;$CW$4),0,
IF(BR$3=$DF40+'Model Setup'!$B$7,SUMIF($BH$3:$CE$3,"="&amp;$DF40+'Model Setup'!$B$7,$AD40:$BA40)+'Model Setup'!$B$8*(SUMIF($BH$3:$CE$3,"&lt;"&amp;$DF40,$AD40:$BA40)+SUMIF($BH$3:$CE$3,"&gt;"&amp;$CW$4,$AD40:$BA40)),
IF(BR$3=$DF40+'Model Setup'!$C$7,SUMIF($BH$3:$CE$3,"="&amp;$DF40+'Model Setup'!$C$7,$AD40:$BA40)+'Model Setup'!$C$8*(SUMIF($BH$3:$CE$3,"&lt;"&amp;$DF40,$AD40:$BA40)+SUMIF($BH$3:$CE$3,"&gt;"&amp;$CW$4,$AD40:$BA40)),
IF(BR$3=$DF40+'Model Setup'!$D$7,SUMIF($BH$3:$CE$3,"="&amp;$DF40+'Model Setup'!$D$7,$AD40:$BA40)+'Model Setup'!$D$8*(SUMIF($BH$3:$CE$3,"&lt;"&amp;$DF40,$AD40:$BA40)+SUMIF($BH$3:$CE$3,"&gt;"&amp;$CW$4,$AD40:$BA40)),
IF(BR$3=$DF40+'Model Setup'!$E$7,SUMIF($BH$3:$CE$3,"="&amp;$DF40+'Model Setup'!$E$7,$AD40:$BA40)+'Model Setup'!$E$8*(SUMIF($BH$3:$CE$3,"&lt;"&amp;$DF40,$AD40:$BA40)+SUMIF($BH$3:$CE$3,"&gt;"&amp;$CW$4,$AD40:$BA40)),
IF(BR$3=$DF40+'Model Setup'!$F$7,SUMIF($BH$3:$CE$3,"="&amp;$DF40+'Model Setup'!$F$7,$AD40:$BA40)+'Model Setup'!$F$8*(SUMIF($BH$3:$CE$3,"&lt;"&amp;$DF40,$AD40:$BA40)+SUMIF($BH$3:$CE$3,"&gt;"&amp;$CW$4,$AD40:$BA40)),
IF(BR$3=$DF40+'Model Setup'!$G$7,SUMIF($BH$3:$CE$3,"="&amp;$DF40+'Model Setup'!$G$7,$AD40:$BA40)+'Model Setup'!$G$8*(SUMIF($BH$3:$CE$3,"&lt;"&amp;$DF40,$AD40:$BA40)+SUMIF($BH$3:$CE$3,"&gt;"&amp;$CW$4,$AD40:$BA40)),
IF(BR$3=$DF40+'Model Setup'!$H$7,SUMIF($BH$3:$CE$3,"="&amp;$DF40+'Model Setup'!$H$7,$AD40:$BA40)+'Model Setup'!$H$8*(SUMIF($BH$3:$CE$3,"&lt;"&amp;$DF40,$AD40:$BA40)+SUMIF($BH$3:$CE$3,"&gt;"&amp;$CW$4,$AD40:$BA40)),
IF(BR$3=$DF40+'Model Setup'!$I$7,SUMIF($BH$3:$CE$3,"="&amp;$DF40+'Model Setup'!$I$7,$AD40:$BA40)+'Model Setup'!$I$8*(SUMIF($BH$3:$CE$3,"&lt;"&amp;$DF40,$AD40:$BA40)+SUMIF($BH$3:$CE$3,"&gt;"&amp;$CW$4,$AD40:$BA40)),
IF(BR$3=$DF40+'Model Setup'!$J$7,SUMIF($BH$3:$CE$3,"="&amp;$DF40+'Model Setup'!$J$7,$AD40:$BA40)+'Model Setup'!$J$8*(SUMIF($BH$3:$CE$3,"&lt;"&amp;$DF40,$AD40:$BA40)+SUMIF($BH$3:$CE$3,"&gt;"&amp;$CW$4,$AD40:$BA40)),
IF(BR$3=$DF40+'Model Setup'!$K$7,SUMIF($BH$3:$CE$3,"="&amp;$DF40+'Model Setup'!$K$7,$AD40:$BA40)+'Model Setup'!$K$8*(SUMIF($BH$3:$CE$3,"&lt;"&amp;$DF40,$AD40:$BA40)+SUMIF($BH$3:$CE$3,"&gt;"&amp;$CW$4,$AD40:$BA40)),
IF(BR$3=$DF40+'Model Setup'!$L$7,SUMIF($BH$3:$CE$3,"="&amp;$DF40+'Model Setup'!$L$7,$AD40:$BA40)+'Model Setup'!$L$8*(SUMIF($BH$3:$CE$3,"&lt;"&amp;$DF40,$AD40:$BA40)+SUMIF($BH$3:$CE$3,"&gt;"&amp;$CW$4,$AD40:$BA40)),
IF(BR$3=$DF40+'Model Setup'!$M$7,SUMIF($BH$3:$CE$3,"="&amp;$DF40+'Model Setup'!$M$7,$AD40:$BA40)+'Model Setup'!$M$8*(SUMIF($BH$3:$CE$3,"&lt;"&amp;$DF40,$AD40:$BA40)+SUMIF($BH$3:$CE$3,"&gt;"&amp;$CW$4,$AD40:$BA40)),
IF(BR$3=$DF40+'Model Setup'!$N$7,SUMIF($BH$3:$CE$3,"="&amp;$DF40+'Model Setup'!$N$7,$AD40:$BA40)+'Model Setup'!$N$8*(SUMIF($BH$3:$CE$3,"&lt;"&amp;$DF40,$AD40:$BA40)+SUMIF($BH$3:$CE$3,"&gt;"&amp;$CW$4,$AD40:$BA40)),
IF(BR$3&lt;$CW$4,L40,0))))))))))))))),0)</f>
        <v>99</v>
      </c>
      <c r="BS40" s="47">
        <f>ROUND(IF(OR(BS$3&lt;$DF40,BS$3&gt;$CW$4),0,
IF(BS$3=$DF40+'Model Setup'!$B$7,SUMIF($BH$3:$CE$3,"="&amp;$DF40+'Model Setup'!$B$7,$AD40:$BA40)+'Model Setup'!$B$8*(SUMIF($BH$3:$CE$3,"&lt;"&amp;$DF40,$AD40:$BA40)+SUMIF($BH$3:$CE$3,"&gt;"&amp;$CW$4,$AD40:$BA40)),
IF(BS$3=$DF40+'Model Setup'!$C$7,SUMIF($BH$3:$CE$3,"="&amp;$DF40+'Model Setup'!$C$7,$AD40:$BA40)+'Model Setup'!$C$8*(SUMIF($BH$3:$CE$3,"&lt;"&amp;$DF40,$AD40:$BA40)+SUMIF($BH$3:$CE$3,"&gt;"&amp;$CW$4,$AD40:$BA40)),
IF(BS$3=$DF40+'Model Setup'!$D$7,SUMIF($BH$3:$CE$3,"="&amp;$DF40+'Model Setup'!$D$7,$AD40:$BA40)+'Model Setup'!$D$8*(SUMIF($BH$3:$CE$3,"&lt;"&amp;$DF40,$AD40:$BA40)+SUMIF($BH$3:$CE$3,"&gt;"&amp;$CW$4,$AD40:$BA40)),
IF(BS$3=$DF40+'Model Setup'!$E$7,SUMIF($BH$3:$CE$3,"="&amp;$DF40+'Model Setup'!$E$7,$AD40:$BA40)+'Model Setup'!$E$8*(SUMIF($BH$3:$CE$3,"&lt;"&amp;$DF40,$AD40:$BA40)+SUMIF($BH$3:$CE$3,"&gt;"&amp;$CW$4,$AD40:$BA40)),
IF(BS$3=$DF40+'Model Setup'!$F$7,SUMIF($BH$3:$CE$3,"="&amp;$DF40+'Model Setup'!$F$7,$AD40:$BA40)+'Model Setup'!$F$8*(SUMIF($BH$3:$CE$3,"&lt;"&amp;$DF40,$AD40:$BA40)+SUMIF($BH$3:$CE$3,"&gt;"&amp;$CW$4,$AD40:$BA40)),
IF(BS$3=$DF40+'Model Setup'!$G$7,SUMIF($BH$3:$CE$3,"="&amp;$DF40+'Model Setup'!$G$7,$AD40:$BA40)+'Model Setup'!$G$8*(SUMIF($BH$3:$CE$3,"&lt;"&amp;$DF40,$AD40:$BA40)+SUMIF($BH$3:$CE$3,"&gt;"&amp;$CW$4,$AD40:$BA40)),
IF(BS$3=$DF40+'Model Setup'!$H$7,SUMIF($BH$3:$CE$3,"="&amp;$DF40+'Model Setup'!$H$7,$AD40:$BA40)+'Model Setup'!$H$8*(SUMIF($BH$3:$CE$3,"&lt;"&amp;$DF40,$AD40:$BA40)+SUMIF($BH$3:$CE$3,"&gt;"&amp;$CW$4,$AD40:$BA40)),
IF(BS$3=$DF40+'Model Setup'!$I$7,SUMIF($BH$3:$CE$3,"="&amp;$DF40+'Model Setup'!$I$7,$AD40:$BA40)+'Model Setup'!$I$8*(SUMIF($BH$3:$CE$3,"&lt;"&amp;$DF40,$AD40:$BA40)+SUMIF($BH$3:$CE$3,"&gt;"&amp;$CW$4,$AD40:$BA40)),
IF(BS$3=$DF40+'Model Setup'!$J$7,SUMIF($BH$3:$CE$3,"="&amp;$DF40+'Model Setup'!$J$7,$AD40:$BA40)+'Model Setup'!$J$8*(SUMIF($BH$3:$CE$3,"&lt;"&amp;$DF40,$AD40:$BA40)+SUMIF($BH$3:$CE$3,"&gt;"&amp;$CW$4,$AD40:$BA40)),
IF(BS$3=$DF40+'Model Setup'!$K$7,SUMIF($BH$3:$CE$3,"="&amp;$DF40+'Model Setup'!$K$7,$AD40:$BA40)+'Model Setup'!$K$8*(SUMIF($BH$3:$CE$3,"&lt;"&amp;$DF40,$AD40:$BA40)+SUMIF($BH$3:$CE$3,"&gt;"&amp;$CW$4,$AD40:$BA40)),
IF(BS$3=$DF40+'Model Setup'!$L$7,SUMIF($BH$3:$CE$3,"="&amp;$DF40+'Model Setup'!$L$7,$AD40:$BA40)+'Model Setup'!$L$8*(SUMIF($BH$3:$CE$3,"&lt;"&amp;$DF40,$AD40:$BA40)+SUMIF($BH$3:$CE$3,"&gt;"&amp;$CW$4,$AD40:$BA40)),
IF(BS$3=$DF40+'Model Setup'!$M$7,SUMIF($BH$3:$CE$3,"="&amp;$DF40+'Model Setup'!$M$7,$AD40:$BA40)+'Model Setup'!$M$8*(SUMIF($BH$3:$CE$3,"&lt;"&amp;$DF40,$AD40:$BA40)+SUMIF($BH$3:$CE$3,"&gt;"&amp;$CW$4,$AD40:$BA40)),
IF(BS$3=$DF40+'Model Setup'!$N$7,SUMIF($BH$3:$CE$3,"="&amp;$DF40+'Model Setup'!$N$7,$AD40:$BA40)+'Model Setup'!$N$8*(SUMIF($BH$3:$CE$3,"&lt;"&amp;$DF40,$AD40:$BA40)+SUMIF($BH$3:$CE$3,"&gt;"&amp;$CW$4,$AD40:$BA40)),
IF(BS$3&lt;$CW$4,M40,0))))))))))))))),0)</f>
        <v>52</v>
      </c>
      <c r="BT40" s="47">
        <f>ROUND(IF(OR(BT$3&lt;$DF40,BT$3&gt;$CW$4),0,
IF(BT$3=$DF40+'Model Setup'!$B$7,SUMIF($BH$3:$CE$3,"="&amp;$DF40+'Model Setup'!$B$7,$AD40:$BA40)+'Model Setup'!$B$8*(SUMIF($BH$3:$CE$3,"&lt;"&amp;$DF40,$AD40:$BA40)+SUMIF($BH$3:$CE$3,"&gt;"&amp;$CW$4,$AD40:$BA40)),
IF(BT$3=$DF40+'Model Setup'!$C$7,SUMIF($BH$3:$CE$3,"="&amp;$DF40+'Model Setup'!$C$7,$AD40:$BA40)+'Model Setup'!$C$8*(SUMIF($BH$3:$CE$3,"&lt;"&amp;$DF40,$AD40:$BA40)+SUMIF($BH$3:$CE$3,"&gt;"&amp;$CW$4,$AD40:$BA40)),
IF(BT$3=$DF40+'Model Setup'!$D$7,SUMIF($BH$3:$CE$3,"="&amp;$DF40+'Model Setup'!$D$7,$AD40:$BA40)+'Model Setup'!$D$8*(SUMIF($BH$3:$CE$3,"&lt;"&amp;$DF40,$AD40:$BA40)+SUMIF($BH$3:$CE$3,"&gt;"&amp;$CW$4,$AD40:$BA40)),
IF(BT$3=$DF40+'Model Setup'!$E$7,SUMIF($BH$3:$CE$3,"="&amp;$DF40+'Model Setup'!$E$7,$AD40:$BA40)+'Model Setup'!$E$8*(SUMIF($BH$3:$CE$3,"&lt;"&amp;$DF40,$AD40:$BA40)+SUMIF($BH$3:$CE$3,"&gt;"&amp;$CW$4,$AD40:$BA40)),
IF(BT$3=$DF40+'Model Setup'!$F$7,SUMIF($BH$3:$CE$3,"="&amp;$DF40+'Model Setup'!$F$7,$AD40:$BA40)+'Model Setup'!$F$8*(SUMIF($BH$3:$CE$3,"&lt;"&amp;$DF40,$AD40:$BA40)+SUMIF($BH$3:$CE$3,"&gt;"&amp;$CW$4,$AD40:$BA40)),
IF(BT$3=$DF40+'Model Setup'!$G$7,SUMIF($BH$3:$CE$3,"="&amp;$DF40+'Model Setup'!$G$7,$AD40:$BA40)+'Model Setup'!$G$8*(SUMIF($BH$3:$CE$3,"&lt;"&amp;$DF40,$AD40:$BA40)+SUMIF($BH$3:$CE$3,"&gt;"&amp;$CW$4,$AD40:$BA40)),
IF(BT$3=$DF40+'Model Setup'!$H$7,SUMIF($BH$3:$CE$3,"="&amp;$DF40+'Model Setup'!$H$7,$AD40:$BA40)+'Model Setup'!$H$8*(SUMIF($BH$3:$CE$3,"&lt;"&amp;$DF40,$AD40:$BA40)+SUMIF($BH$3:$CE$3,"&gt;"&amp;$CW$4,$AD40:$BA40)),
IF(BT$3=$DF40+'Model Setup'!$I$7,SUMIF($BH$3:$CE$3,"="&amp;$DF40+'Model Setup'!$I$7,$AD40:$BA40)+'Model Setup'!$I$8*(SUMIF($BH$3:$CE$3,"&lt;"&amp;$DF40,$AD40:$BA40)+SUMIF($BH$3:$CE$3,"&gt;"&amp;$CW$4,$AD40:$BA40)),
IF(BT$3=$DF40+'Model Setup'!$J$7,SUMIF($BH$3:$CE$3,"="&amp;$DF40+'Model Setup'!$J$7,$AD40:$BA40)+'Model Setup'!$J$8*(SUMIF($BH$3:$CE$3,"&lt;"&amp;$DF40,$AD40:$BA40)+SUMIF($BH$3:$CE$3,"&gt;"&amp;$CW$4,$AD40:$BA40)),
IF(BT$3=$DF40+'Model Setup'!$K$7,SUMIF($BH$3:$CE$3,"="&amp;$DF40+'Model Setup'!$K$7,$AD40:$BA40)+'Model Setup'!$K$8*(SUMIF($BH$3:$CE$3,"&lt;"&amp;$DF40,$AD40:$BA40)+SUMIF($BH$3:$CE$3,"&gt;"&amp;$CW$4,$AD40:$BA40)),
IF(BT$3=$DF40+'Model Setup'!$L$7,SUMIF($BH$3:$CE$3,"="&amp;$DF40+'Model Setup'!$L$7,$AD40:$BA40)+'Model Setup'!$L$8*(SUMIF($BH$3:$CE$3,"&lt;"&amp;$DF40,$AD40:$BA40)+SUMIF($BH$3:$CE$3,"&gt;"&amp;$CW$4,$AD40:$BA40)),
IF(BT$3=$DF40+'Model Setup'!$M$7,SUMIF($BH$3:$CE$3,"="&amp;$DF40+'Model Setup'!$M$7,$AD40:$BA40)+'Model Setup'!$M$8*(SUMIF($BH$3:$CE$3,"&lt;"&amp;$DF40,$AD40:$BA40)+SUMIF($BH$3:$CE$3,"&gt;"&amp;$CW$4,$AD40:$BA40)),
IF(BT$3=$DF40+'Model Setup'!$N$7,SUMIF($BH$3:$CE$3,"="&amp;$DF40+'Model Setup'!$N$7,$AD40:$BA40)+'Model Setup'!$N$8*(SUMIF($BH$3:$CE$3,"&lt;"&amp;$DF40,$AD40:$BA40)+SUMIF($BH$3:$CE$3,"&gt;"&amp;$CW$4,$AD40:$BA40)),
IF(BT$3&lt;$CW$4,N40,0))))))))))))))),0)</f>
        <v>65</v>
      </c>
      <c r="BU40" s="47">
        <f>ROUND(IF(OR(BU$3&lt;$DF40,BU$3&gt;$CW$4),0,
IF(BU$3=$DF40+'Model Setup'!$B$7,SUMIF($BH$3:$CE$3,"="&amp;$DF40+'Model Setup'!$B$7,$AD40:$BA40)+'Model Setup'!$B$8*(SUMIF($BH$3:$CE$3,"&lt;"&amp;$DF40,$AD40:$BA40)+SUMIF($BH$3:$CE$3,"&gt;"&amp;$CW$4,$AD40:$BA40)),
IF(BU$3=$DF40+'Model Setup'!$C$7,SUMIF($BH$3:$CE$3,"="&amp;$DF40+'Model Setup'!$C$7,$AD40:$BA40)+'Model Setup'!$C$8*(SUMIF($BH$3:$CE$3,"&lt;"&amp;$DF40,$AD40:$BA40)+SUMIF($BH$3:$CE$3,"&gt;"&amp;$CW$4,$AD40:$BA40)),
IF(BU$3=$DF40+'Model Setup'!$D$7,SUMIF($BH$3:$CE$3,"="&amp;$DF40+'Model Setup'!$D$7,$AD40:$BA40)+'Model Setup'!$D$8*(SUMIF($BH$3:$CE$3,"&lt;"&amp;$DF40,$AD40:$BA40)+SUMIF($BH$3:$CE$3,"&gt;"&amp;$CW$4,$AD40:$BA40)),
IF(BU$3=$DF40+'Model Setup'!$E$7,SUMIF($BH$3:$CE$3,"="&amp;$DF40+'Model Setup'!$E$7,$AD40:$BA40)+'Model Setup'!$E$8*(SUMIF($BH$3:$CE$3,"&lt;"&amp;$DF40,$AD40:$BA40)+SUMIF($BH$3:$CE$3,"&gt;"&amp;$CW$4,$AD40:$BA40)),
IF(BU$3=$DF40+'Model Setup'!$F$7,SUMIF($BH$3:$CE$3,"="&amp;$DF40+'Model Setup'!$F$7,$AD40:$BA40)+'Model Setup'!$F$8*(SUMIF($BH$3:$CE$3,"&lt;"&amp;$DF40,$AD40:$BA40)+SUMIF($BH$3:$CE$3,"&gt;"&amp;$CW$4,$AD40:$BA40)),
IF(BU$3=$DF40+'Model Setup'!$G$7,SUMIF($BH$3:$CE$3,"="&amp;$DF40+'Model Setup'!$G$7,$AD40:$BA40)+'Model Setup'!$G$8*(SUMIF($BH$3:$CE$3,"&lt;"&amp;$DF40,$AD40:$BA40)+SUMIF($BH$3:$CE$3,"&gt;"&amp;$CW$4,$AD40:$BA40)),
IF(BU$3=$DF40+'Model Setup'!$H$7,SUMIF($BH$3:$CE$3,"="&amp;$DF40+'Model Setup'!$H$7,$AD40:$BA40)+'Model Setup'!$H$8*(SUMIF($BH$3:$CE$3,"&lt;"&amp;$DF40,$AD40:$BA40)+SUMIF($BH$3:$CE$3,"&gt;"&amp;$CW$4,$AD40:$BA40)),
IF(BU$3=$DF40+'Model Setup'!$I$7,SUMIF($BH$3:$CE$3,"="&amp;$DF40+'Model Setup'!$I$7,$AD40:$BA40)+'Model Setup'!$I$8*(SUMIF($BH$3:$CE$3,"&lt;"&amp;$DF40,$AD40:$BA40)+SUMIF($BH$3:$CE$3,"&gt;"&amp;$CW$4,$AD40:$BA40)),
IF(BU$3=$DF40+'Model Setup'!$J$7,SUMIF($BH$3:$CE$3,"="&amp;$DF40+'Model Setup'!$J$7,$AD40:$BA40)+'Model Setup'!$J$8*(SUMIF($BH$3:$CE$3,"&lt;"&amp;$DF40,$AD40:$BA40)+SUMIF($BH$3:$CE$3,"&gt;"&amp;$CW$4,$AD40:$BA40)),
IF(BU$3=$DF40+'Model Setup'!$K$7,SUMIF($BH$3:$CE$3,"="&amp;$DF40+'Model Setup'!$K$7,$AD40:$BA40)+'Model Setup'!$K$8*(SUMIF($BH$3:$CE$3,"&lt;"&amp;$DF40,$AD40:$BA40)+SUMIF($BH$3:$CE$3,"&gt;"&amp;$CW$4,$AD40:$BA40)),
IF(BU$3=$DF40+'Model Setup'!$L$7,SUMIF($BH$3:$CE$3,"="&amp;$DF40+'Model Setup'!$L$7,$AD40:$BA40)+'Model Setup'!$L$8*(SUMIF($BH$3:$CE$3,"&lt;"&amp;$DF40,$AD40:$BA40)+SUMIF($BH$3:$CE$3,"&gt;"&amp;$CW$4,$AD40:$BA40)),
IF(BU$3=$DF40+'Model Setup'!$M$7,SUMIF($BH$3:$CE$3,"="&amp;$DF40+'Model Setup'!$M$7,$AD40:$BA40)+'Model Setup'!$M$8*(SUMIF($BH$3:$CE$3,"&lt;"&amp;$DF40,$AD40:$BA40)+SUMIF($BH$3:$CE$3,"&gt;"&amp;$CW$4,$AD40:$BA40)),
IF(BU$3=$DF40+'Model Setup'!$N$7,SUMIF($BH$3:$CE$3,"="&amp;$DF40+'Model Setup'!$N$7,$AD40:$BA40)+'Model Setup'!$N$8*(SUMIF($BH$3:$CE$3,"&lt;"&amp;$DF40,$AD40:$BA40)+SUMIF($BH$3:$CE$3,"&gt;"&amp;$CW$4,$AD40:$BA40)),
IF(BU$3&lt;$CW$4,O40,0))))))))))))))),0)</f>
        <v>71</v>
      </c>
      <c r="BV40" s="47">
        <f>ROUND(IF(OR(BV$3&lt;$DF40,BV$3&gt;$CW$4),0,
IF(BV$3=$DF40+'Model Setup'!$B$7,SUMIF($BH$3:$CE$3,"="&amp;$DF40+'Model Setup'!$B$7,$AD40:$BA40)+'Model Setup'!$B$8*(SUMIF($BH$3:$CE$3,"&lt;"&amp;$DF40,$AD40:$BA40)+SUMIF($BH$3:$CE$3,"&gt;"&amp;$CW$4,$AD40:$BA40)),
IF(BV$3=$DF40+'Model Setup'!$C$7,SUMIF($BH$3:$CE$3,"="&amp;$DF40+'Model Setup'!$C$7,$AD40:$BA40)+'Model Setup'!$C$8*(SUMIF($BH$3:$CE$3,"&lt;"&amp;$DF40,$AD40:$BA40)+SUMIF($BH$3:$CE$3,"&gt;"&amp;$CW$4,$AD40:$BA40)),
IF(BV$3=$DF40+'Model Setup'!$D$7,SUMIF($BH$3:$CE$3,"="&amp;$DF40+'Model Setup'!$D$7,$AD40:$BA40)+'Model Setup'!$D$8*(SUMIF($BH$3:$CE$3,"&lt;"&amp;$DF40,$AD40:$BA40)+SUMIF($BH$3:$CE$3,"&gt;"&amp;$CW$4,$AD40:$BA40)),
IF(BV$3=$DF40+'Model Setup'!$E$7,SUMIF($BH$3:$CE$3,"="&amp;$DF40+'Model Setup'!$E$7,$AD40:$BA40)+'Model Setup'!$E$8*(SUMIF($BH$3:$CE$3,"&lt;"&amp;$DF40,$AD40:$BA40)+SUMIF($BH$3:$CE$3,"&gt;"&amp;$CW$4,$AD40:$BA40)),
IF(BV$3=$DF40+'Model Setup'!$F$7,SUMIF($BH$3:$CE$3,"="&amp;$DF40+'Model Setup'!$F$7,$AD40:$BA40)+'Model Setup'!$F$8*(SUMIF($BH$3:$CE$3,"&lt;"&amp;$DF40,$AD40:$BA40)+SUMIF($BH$3:$CE$3,"&gt;"&amp;$CW$4,$AD40:$BA40)),
IF(BV$3=$DF40+'Model Setup'!$G$7,SUMIF($BH$3:$CE$3,"="&amp;$DF40+'Model Setup'!$G$7,$AD40:$BA40)+'Model Setup'!$G$8*(SUMIF($BH$3:$CE$3,"&lt;"&amp;$DF40,$AD40:$BA40)+SUMIF($BH$3:$CE$3,"&gt;"&amp;$CW$4,$AD40:$BA40)),
IF(BV$3=$DF40+'Model Setup'!$H$7,SUMIF($BH$3:$CE$3,"="&amp;$DF40+'Model Setup'!$H$7,$AD40:$BA40)+'Model Setup'!$H$8*(SUMIF($BH$3:$CE$3,"&lt;"&amp;$DF40,$AD40:$BA40)+SUMIF($BH$3:$CE$3,"&gt;"&amp;$CW$4,$AD40:$BA40)),
IF(BV$3=$DF40+'Model Setup'!$I$7,SUMIF($BH$3:$CE$3,"="&amp;$DF40+'Model Setup'!$I$7,$AD40:$BA40)+'Model Setup'!$I$8*(SUMIF($BH$3:$CE$3,"&lt;"&amp;$DF40,$AD40:$BA40)+SUMIF($BH$3:$CE$3,"&gt;"&amp;$CW$4,$AD40:$BA40)),
IF(BV$3=$DF40+'Model Setup'!$J$7,SUMIF($BH$3:$CE$3,"="&amp;$DF40+'Model Setup'!$J$7,$AD40:$BA40)+'Model Setup'!$J$8*(SUMIF($BH$3:$CE$3,"&lt;"&amp;$DF40,$AD40:$BA40)+SUMIF($BH$3:$CE$3,"&gt;"&amp;$CW$4,$AD40:$BA40)),
IF(BV$3=$DF40+'Model Setup'!$K$7,SUMIF($BH$3:$CE$3,"="&amp;$DF40+'Model Setup'!$K$7,$AD40:$BA40)+'Model Setup'!$K$8*(SUMIF($BH$3:$CE$3,"&lt;"&amp;$DF40,$AD40:$BA40)+SUMIF($BH$3:$CE$3,"&gt;"&amp;$CW$4,$AD40:$BA40)),
IF(BV$3=$DF40+'Model Setup'!$L$7,SUMIF($BH$3:$CE$3,"="&amp;$DF40+'Model Setup'!$L$7,$AD40:$BA40)+'Model Setup'!$L$8*(SUMIF($BH$3:$CE$3,"&lt;"&amp;$DF40,$AD40:$BA40)+SUMIF($BH$3:$CE$3,"&gt;"&amp;$CW$4,$AD40:$BA40)),
IF(BV$3=$DF40+'Model Setup'!$M$7,SUMIF($BH$3:$CE$3,"="&amp;$DF40+'Model Setup'!$M$7,$AD40:$BA40)+'Model Setup'!$M$8*(SUMIF($BH$3:$CE$3,"&lt;"&amp;$DF40,$AD40:$BA40)+SUMIF($BH$3:$CE$3,"&gt;"&amp;$CW$4,$AD40:$BA40)),
IF(BV$3=$DF40+'Model Setup'!$N$7,SUMIF($BH$3:$CE$3,"="&amp;$DF40+'Model Setup'!$N$7,$AD40:$BA40)+'Model Setup'!$N$8*(SUMIF($BH$3:$CE$3,"&lt;"&amp;$DF40,$AD40:$BA40)+SUMIF($BH$3:$CE$3,"&gt;"&amp;$CW$4,$AD40:$BA40)),
IF(BV$3&lt;$CW$4,P40,0))))))))))))))),0)</f>
        <v>43</v>
      </c>
      <c r="BW40" s="47">
        <f>ROUND(IF(OR(BW$3&lt;$DF40,BW$3&gt;$CW$4),0,
IF(BW$3=$DF40+'Model Setup'!$B$7,SUMIF($BH$3:$CE$3,"="&amp;$DF40+'Model Setup'!$B$7,$AD40:$BA40)+'Model Setup'!$B$8*(SUMIF($BH$3:$CE$3,"&lt;"&amp;$DF40,$AD40:$BA40)+SUMIF($BH$3:$CE$3,"&gt;"&amp;$CW$4,$AD40:$BA40)),
IF(BW$3=$DF40+'Model Setup'!$C$7,SUMIF($BH$3:$CE$3,"="&amp;$DF40+'Model Setup'!$C$7,$AD40:$BA40)+'Model Setup'!$C$8*(SUMIF($BH$3:$CE$3,"&lt;"&amp;$DF40,$AD40:$BA40)+SUMIF($BH$3:$CE$3,"&gt;"&amp;$CW$4,$AD40:$BA40)),
IF(BW$3=$DF40+'Model Setup'!$D$7,SUMIF($BH$3:$CE$3,"="&amp;$DF40+'Model Setup'!$D$7,$AD40:$BA40)+'Model Setup'!$D$8*(SUMIF($BH$3:$CE$3,"&lt;"&amp;$DF40,$AD40:$BA40)+SUMIF($BH$3:$CE$3,"&gt;"&amp;$CW$4,$AD40:$BA40)),
IF(BW$3=$DF40+'Model Setup'!$E$7,SUMIF($BH$3:$CE$3,"="&amp;$DF40+'Model Setup'!$E$7,$AD40:$BA40)+'Model Setup'!$E$8*(SUMIF($BH$3:$CE$3,"&lt;"&amp;$DF40,$AD40:$BA40)+SUMIF($BH$3:$CE$3,"&gt;"&amp;$CW$4,$AD40:$BA40)),
IF(BW$3=$DF40+'Model Setup'!$F$7,SUMIF($BH$3:$CE$3,"="&amp;$DF40+'Model Setup'!$F$7,$AD40:$BA40)+'Model Setup'!$F$8*(SUMIF($BH$3:$CE$3,"&lt;"&amp;$DF40,$AD40:$BA40)+SUMIF($BH$3:$CE$3,"&gt;"&amp;$CW$4,$AD40:$BA40)),
IF(BW$3=$DF40+'Model Setup'!$G$7,SUMIF($BH$3:$CE$3,"="&amp;$DF40+'Model Setup'!$G$7,$AD40:$BA40)+'Model Setup'!$G$8*(SUMIF($BH$3:$CE$3,"&lt;"&amp;$DF40,$AD40:$BA40)+SUMIF($BH$3:$CE$3,"&gt;"&amp;$CW$4,$AD40:$BA40)),
IF(BW$3=$DF40+'Model Setup'!$H$7,SUMIF($BH$3:$CE$3,"="&amp;$DF40+'Model Setup'!$H$7,$AD40:$BA40)+'Model Setup'!$H$8*(SUMIF($BH$3:$CE$3,"&lt;"&amp;$DF40,$AD40:$BA40)+SUMIF($BH$3:$CE$3,"&gt;"&amp;$CW$4,$AD40:$BA40)),
IF(BW$3=$DF40+'Model Setup'!$I$7,SUMIF($BH$3:$CE$3,"="&amp;$DF40+'Model Setup'!$I$7,$AD40:$BA40)+'Model Setup'!$I$8*(SUMIF($BH$3:$CE$3,"&lt;"&amp;$DF40,$AD40:$BA40)+SUMIF($BH$3:$CE$3,"&gt;"&amp;$CW$4,$AD40:$BA40)),
IF(BW$3=$DF40+'Model Setup'!$J$7,SUMIF($BH$3:$CE$3,"="&amp;$DF40+'Model Setup'!$J$7,$AD40:$BA40)+'Model Setup'!$J$8*(SUMIF($BH$3:$CE$3,"&lt;"&amp;$DF40,$AD40:$BA40)+SUMIF($BH$3:$CE$3,"&gt;"&amp;$CW$4,$AD40:$BA40)),
IF(BW$3=$DF40+'Model Setup'!$K$7,SUMIF($BH$3:$CE$3,"="&amp;$DF40+'Model Setup'!$K$7,$AD40:$BA40)+'Model Setup'!$K$8*(SUMIF($BH$3:$CE$3,"&lt;"&amp;$DF40,$AD40:$BA40)+SUMIF($BH$3:$CE$3,"&gt;"&amp;$CW$4,$AD40:$BA40)),
IF(BW$3=$DF40+'Model Setup'!$L$7,SUMIF($BH$3:$CE$3,"="&amp;$DF40+'Model Setup'!$L$7,$AD40:$BA40)+'Model Setup'!$L$8*(SUMIF($BH$3:$CE$3,"&lt;"&amp;$DF40,$AD40:$BA40)+SUMIF($BH$3:$CE$3,"&gt;"&amp;$CW$4,$AD40:$BA40)),
IF(BW$3=$DF40+'Model Setup'!$M$7,SUMIF($BH$3:$CE$3,"="&amp;$DF40+'Model Setup'!$M$7,$AD40:$BA40)+'Model Setup'!$M$8*(SUMIF($BH$3:$CE$3,"&lt;"&amp;$DF40,$AD40:$BA40)+SUMIF($BH$3:$CE$3,"&gt;"&amp;$CW$4,$AD40:$BA40)),
IF(BW$3=$DF40+'Model Setup'!$N$7,SUMIF($BH$3:$CE$3,"="&amp;$DF40+'Model Setup'!$N$7,$AD40:$BA40)+'Model Setup'!$N$8*(SUMIF($BH$3:$CE$3,"&lt;"&amp;$DF40,$AD40:$BA40)+SUMIF($BH$3:$CE$3,"&gt;"&amp;$CW$4,$AD40:$BA40)),
IF(BW$3&lt;$CW$4,Q40,0))))))))))))))),0)</f>
        <v>67</v>
      </c>
      <c r="BX40" s="47">
        <f>ROUND(IF(OR(BX$3&lt;$DF40,BX$3&gt;$CW$4),0,
IF(BX$3=$DF40+'Model Setup'!$B$7,SUMIF($BH$3:$CE$3,"="&amp;$DF40+'Model Setup'!$B$7,$AD40:$BA40)+'Model Setup'!$B$8*(SUMIF($BH$3:$CE$3,"&lt;"&amp;$DF40,$AD40:$BA40)+SUMIF($BH$3:$CE$3,"&gt;"&amp;$CW$4,$AD40:$BA40)),
IF(BX$3=$DF40+'Model Setup'!$C$7,SUMIF($BH$3:$CE$3,"="&amp;$DF40+'Model Setup'!$C$7,$AD40:$BA40)+'Model Setup'!$C$8*(SUMIF($BH$3:$CE$3,"&lt;"&amp;$DF40,$AD40:$BA40)+SUMIF($BH$3:$CE$3,"&gt;"&amp;$CW$4,$AD40:$BA40)),
IF(BX$3=$DF40+'Model Setup'!$D$7,SUMIF($BH$3:$CE$3,"="&amp;$DF40+'Model Setup'!$D$7,$AD40:$BA40)+'Model Setup'!$D$8*(SUMIF($BH$3:$CE$3,"&lt;"&amp;$DF40,$AD40:$BA40)+SUMIF($BH$3:$CE$3,"&gt;"&amp;$CW$4,$AD40:$BA40)),
IF(BX$3=$DF40+'Model Setup'!$E$7,SUMIF($BH$3:$CE$3,"="&amp;$DF40+'Model Setup'!$E$7,$AD40:$BA40)+'Model Setup'!$E$8*(SUMIF($BH$3:$CE$3,"&lt;"&amp;$DF40,$AD40:$BA40)+SUMIF($BH$3:$CE$3,"&gt;"&amp;$CW$4,$AD40:$BA40)),
IF(BX$3=$DF40+'Model Setup'!$F$7,SUMIF($BH$3:$CE$3,"="&amp;$DF40+'Model Setup'!$F$7,$AD40:$BA40)+'Model Setup'!$F$8*(SUMIF($BH$3:$CE$3,"&lt;"&amp;$DF40,$AD40:$BA40)+SUMIF($BH$3:$CE$3,"&gt;"&amp;$CW$4,$AD40:$BA40)),
IF(BX$3=$DF40+'Model Setup'!$G$7,SUMIF($BH$3:$CE$3,"="&amp;$DF40+'Model Setup'!$G$7,$AD40:$BA40)+'Model Setup'!$G$8*(SUMIF($BH$3:$CE$3,"&lt;"&amp;$DF40,$AD40:$BA40)+SUMIF($BH$3:$CE$3,"&gt;"&amp;$CW$4,$AD40:$BA40)),
IF(BX$3=$DF40+'Model Setup'!$H$7,SUMIF($BH$3:$CE$3,"="&amp;$DF40+'Model Setup'!$H$7,$AD40:$BA40)+'Model Setup'!$H$8*(SUMIF($BH$3:$CE$3,"&lt;"&amp;$DF40,$AD40:$BA40)+SUMIF($BH$3:$CE$3,"&gt;"&amp;$CW$4,$AD40:$BA40)),
IF(BX$3=$DF40+'Model Setup'!$I$7,SUMIF($BH$3:$CE$3,"="&amp;$DF40+'Model Setup'!$I$7,$AD40:$BA40)+'Model Setup'!$I$8*(SUMIF($BH$3:$CE$3,"&lt;"&amp;$DF40,$AD40:$BA40)+SUMIF($BH$3:$CE$3,"&gt;"&amp;$CW$4,$AD40:$BA40)),
IF(BX$3=$DF40+'Model Setup'!$J$7,SUMIF($BH$3:$CE$3,"="&amp;$DF40+'Model Setup'!$J$7,$AD40:$BA40)+'Model Setup'!$J$8*(SUMIF($BH$3:$CE$3,"&lt;"&amp;$DF40,$AD40:$BA40)+SUMIF($BH$3:$CE$3,"&gt;"&amp;$CW$4,$AD40:$BA40)),
IF(BX$3=$DF40+'Model Setup'!$K$7,SUMIF($BH$3:$CE$3,"="&amp;$DF40+'Model Setup'!$K$7,$AD40:$BA40)+'Model Setup'!$K$8*(SUMIF($BH$3:$CE$3,"&lt;"&amp;$DF40,$AD40:$BA40)+SUMIF($BH$3:$CE$3,"&gt;"&amp;$CW$4,$AD40:$BA40)),
IF(BX$3=$DF40+'Model Setup'!$L$7,SUMIF($BH$3:$CE$3,"="&amp;$DF40+'Model Setup'!$L$7,$AD40:$BA40)+'Model Setup'!$L$8*(SUMIF($BH$3:$CE$3,"&lt;"&amp;$DF40,$AD40:$BA40)+SUMIF($BH$3:$CE$3,"&gt;"&amp;$CW$4,$AD40:$BA40)),
IF(BX$3=$DF40+'Model Setup'!$M$7,SUMIF($BH$3:$CE$3,"="&amp;$DF40+'Model Setup'!$M$7,$AD40:$BA40)+'Model Setup'!$M$8*(SUMIF($BH$3:$CE$3,"&lt;"&amp;$DF40,$AD40:$BA40)+SUMIF($BH$3:$CE$3,"&gt;"&amp;$CW$4,$AD40:$BA40)),
IF(BX$3=$DF40+'Model Setup'!$N$7,SUMIF($BH$3:$CE$3,"="&amp;$DF40+'Model Setup'!$N$7,$AD40:$BA40)+'Model Setup'!$N$8*(SUMIF($BH$3:$CE$3,"&lt;"&amp;$DF40,$AD40:$BA40)+SUMIF($BH$3:$CE$3,"&gt;"&amp;$CW$4,$AD40:$BA40)),
IF(BX$3&lt;$CW$4,R40,0))))))))))))))),0)</f>
        <v>66</v>
      </c>
      <c r="BY40" s="47">
        <f>ROUND(IF(OR(BY$3&lt;$DF40,BY$3&gt;$CW$4),0,
IF(BY$3=$DF40+'Model Setup'!$B$7,SUMIF($BH$3:$CE$3,"="&amp;$DF40+'Model Setup'!$B$7,$AD40:$BA40)+'Model Setup'!$B$8*(SUMIF($BH$3:$CE$3,"&lt;"&amp;$DF40,$AD40:$BA40)+SUMIF($BH$3:$CE$3,"&gt;"&amp;$CW$4,$AD40:$BA40)),
IF(BY$3=$DF40+'Model Setup'!$C$7,SUMIF($BH$3:$CE$3,"="&amp;$DF40+'Model Setup'!$C$7,$AD40:$BA40)+'Model Setup'!$C$8*(SUMIF($BH$3:$CE$3,"&lt;"&amp;$DF40,$AD40:$BA40)+SUMIF($BH$3:$CE$3,"&gt;"&amp;$CW$4,$AD40:$BA40)),
IF(BY$3=$DF40+'Model Setup'!$D$7,SUMIF($BH$3:$CE$3,"="&amp;$DF40+'Model Setup'!$D$7,$AD40:$BA40)+'Model Setup'!$D$8*(SUMIF($BH$3:$CE$3,"&lt;"&amp;$DF40,$AD40:$BA40)+SUMIF($BH$3:$CE$3,"&gt;"&amp;$CW$4,$AD40:$BA40)),
IF(BY$3=$DF40+'Model Setup'!$E$7,SUMIF($BH$3:$CE$3,"="&amp;$DF40+'Model Setup'!$E$7,$AD40:$BA40)+'Model Setup'!$E$8*(SUMIF($BH$3:$CE$3,"&lt;"&amp;$DF40,$AD40:$BA40)+SUMIF($BH$3:$CE$3,"&gt;"&amp;$CW$4,$AD40:$BA40)),
IF(BY$3=$DF40+'Model Setup'!$F$7,SUMIF($BH$3:$CE$3,"="&amp;$DF40+'Model Setup'!$F$7,$AD40:$BA40)+'Model Setup'!$F$8*(SUMIF($BH$3:$CE$3,"&lt;"&amp;$DF40,$AD40:$BA40)+SUMIF($BH$3:$CE$3,"&gt;"&amp;$CW$4,$AD40:$BA40)),
IF(BY$3=$DF40+'Model Setup'!$G$7,SUMIF($BH$3:$CE$3,"="&amp;$DF40+'Model Setup'!$G$7,$AD40:$BA40)+'Model Setup'!$G$8*(SUMIF($BH$3:$CE$3,"&lt;"&amp;$DF40,$AD40:$BA40)+SUMIF($BH$3:$CE$3,"&gt;"&amp;$CW$4,$AD40:$BA40)),
IF(BY$3=$DF40+'Model Setup'!$H$7,SUMIF($BH$3:$CE$3,"="&amp;$DF40+'Model Setup'!$H$7,$AD40:$BA40)+'Model Setup'!$H$8*(SUMIF($BH$3:$CE$3,"&lt;"&amp;$DF40,$AD40:$BA40)+SUMIF($BH$3:$CE$3,"&gt;"&amp;$CW$4,$AD40:$BA40)),
IF(BY$3=$DF40+'Model Setup'!$I$7,SUMIF($BH$3:$CE$3,"="&amp;$DF40+'Model Setup'!$I$7,$AD40:$BA40)+'Model Setup'!$I$8*(SUMIF($BH$3:$CE$3,"&lt;"&amp;$DF40,$AD40:$BA40)+SUMIF($BH$3:$CE$3,"&gt;"&amp;$CW$4,$AD40:$BA40)),
IF(BY$3=$DF40+'Model Setup'!$J$7,SUMIF($BH$3:$CE$3,"="&amp;$DF40+'Model Setup'!$J$7,$AD40:$BA40)+'Model Setup'!$J$8*(SUMIF($BH$3:$CE$3,"&lt;"&amp;$DF40,$AD40:$BA40)+SUMIF($BH$3:$CE$3,"&gt;"&amp;$CW$4,$AD40:$BA40)),
IF(BY$3=$DF40+'Model Setup'!$K$7,SUMIF($BH$3:$CE$3,"="&amp;$DF40+'Model Setup'!$K$7,$AD40:$BA40)+'Model Setup'!$K$8*(SUMIF($BH$3:$CE$3,"&lt;"&amp;$DF40,$AD40:$BA40)+SUMIF($BH$3:$CE$3,"&gt;"&amp;$CW$4,$AD40:$BA40)),
IF(BY$3=$DF40+'Model Setup'!$L$7,SUMIF($BH$3:$CE$3,"="&amp;$DF40+'Model Setup'!$L$7,$AD40:$BA40)+'Model Setup'!$L$8*(SUMIF($BH$3:$CE$3,"&lt;"&amp;$DF40,$AD40:$BA40)+SUMIF($BH$3:$CE$3,"&gt;"&amp;$CW$4,$AD40:$BA40)),
IF(BY$3=$DF40+'Model Setup'!$M$7,SUMIF($BH$3:$CE$3,"="&amp;$DF40+'Model Setup'!$M$7,$AD40:$BA40)+'Model Setup'!$M$8*(SUMIF($BH$3:$CE$3,"&lt;"&amp;$DF40,$AD40:$BA40)+SUMIF($BH$3:$CE$3,"&gt;"&amp;$CW$4,$AD40:$BA40)),
IF(BY$3=$DF40+'Model Setup'!$N$7,SUMIF($BH$3:$CE$3,"="&amp;$DF40+'Model Setup'!$N$7,$AD40:$BA40)+'Model Setup'!$N$8*(SUMIF($BH$3:$CE$3,"&lt;"&amp;$DF40,$AD40:$BA40)+SUMIF($BH$3:$CE$3,"&gt;"&amp;$CW$4,$AD40:$BA40)),
IF(BY$3&lt;$CW$4,S40,0))))))))))))))),0)</f>
        <v>47</v>
      </c>
      <c r="BZ40" s="47">
        <f>ROUND(IF(OR(BZ$3&lt;$DF40,BZ$3&gt;$CW$4),0,
IF(BZ$3=$DF40+'Model Setup'!$B$7,SUMIF($BH$3:$CE$3,"="&amp;$DF40+'Model Setup'!$B$7,$AD40:$BA40)+'Model Setup'!$B$8*(SUMIF($BH$3:$CE$3,"&lt;"&amp;$DF40,$AD40:$BA40)+SUMIF($BH$3:$CE$3,"&gt;"&amp;$CW$4,$AD40:$BA40)),
IF(BZ$3=$DF40+'Model Setup'!$C$7,SUMIF($BH$3:$CE$3,"="&amp;$DF40+'Model Setup'!$C$7,$AD40:$BA40)+'Model Setup'!$C$8*(SUMIF($BH$3:$CE$3,"&lt;"&amp;$DF40,$AD40:$BA40)+SUMIF($BH$3:$CE$3,"&gt;"&amp;$CW$4,$AD40:$BA40)),
IF(BZ$3=$DF40+'Model Setup'!$D$7,SUMIF($BH$3:$CE$3,"="&amp;$DF40+'Model Setup'!$D$7,$AD40:$BA40)+'Model Setup'!$D$8*(SUMIF($BH$3:$CE$3,"&lt;"&amp;$DF40,$AD40:$BA40)+SUMIF($BH$3:$CE$3,"&gt;"&amp;$CW$4,$AD40:$BA40)),
IF(BZ$3=$DF40+'Model Setup'!$E$7,SUMIF($BH$3:$CE$3,"="&amp;$DF40+'Model Setup'!$E$7,$AD40:$BA40)+'Model Setup'!$E$8*(SUMIF($BH$3:$CE$3,"&lt;"&amp;$DF40,$AD40:$BA40)+SUMIF($BH$3:$CE$3,"&gt;"&amp;$CW$4,$AD40:$BA40)),
IF(BZ$3=$DF40+'Model Setup'!$F$7,SUMIF($BH$3:$CE$3,"="&amp;$DF40+'Model Setup'!$F$7,$AD40:$BA40)+'Model Setup'!$F$8*(SUMIF($BH$3:$CE$3,"&lt;"&amp;$DF40,$AD40:$BA40)+SUMIF($BH$3:$CE$3,"&gt;"&amp;$CW$4,$AD40:$BA40)),
IF(BZ$3=$DF40+'Model Setup'!$G$7,SUMIF($BH$3:$CE$3,"="&amp;$DF40+'Model Setup'!$G$7,$AD40:$BA40)+'Model Setup'!$G$8*(SUMIF($BH$3:$CE$3,"&lt;"&amp;$DF40,$AD40:$BA40)+SUMIF($BH$3:$CE$3,"&gt;"&amp;$CW$4,$AD40:$BA40)),
IF(BZ$3=$DF40+'Model Setup'!$H$7,SUMIF($BH$3:$CE$3,"="&amp;$DF40+'Model Setup'!$H$7,$AD40:$BA40)+'Model Setup'!$H$8*(SUMIF($BH$3:$CE$3,"&lt;"&amp;$DF40,$AD40:$BA40)+SUMIF($BH$3:$CE$3,"&gt;"&amp;$CW$4,$AD40:$BA40)),
IF(BZ$3=$DF40+'Model Setup'!$I$7,SUMIF($BH$3:$CE$3,"="&amp;$DF40+'Model Setup'!$I$7,$AD40:$BA40)+'Model Setup'!$I$8*(SUMIF($BH$3:$CE$3,"&lt;"&amp;$DF40,$AD40:$BA40)+SUMIF($BH$3:$CE$3,"&gt;"&amp;$CW$4,$AD40:$BA40)),
IF(BZ$3=$DF40+'Model Setup'!$J$7,SUMIF($BH$3:$CE$3,"="&amp;$DF40+'Model Setup'!$J$7,$AD40:$BA40)+'Model Setup'!$J$8*(SUMIF($BH$3:$CE$3,"&lt;"&amp;$DF40,$AD40:$BA40)+SUMIF($BH$3:$CE$3,"&gt;"&amp;$CW$4,$AD40:$BA40)),
IF(BZ$3=$DF40+'Model Setup'!$K$7,SUMIF($BH$3:$CE$3,"="&amp;$DF40+'Model Setup'!$K$7,$AD40:$BA40)+'Model Setup'!$K$8*(SUMIF($BH$3:$CE$3,"&lt;"&amp;$DF40,$AD40:$BA40)+SUMIF($BH$3:$CE$3,"&gt;"&amp;$CW$4,$AD40:$BA40)),
IF(BZ$3=$DF40+'Model Setup'!$L$7,SUMIF($BH$3:$CE$3,"="&amp;$DF40+'Model Setup'!$L$7,$AD40:$BA40)+'Model Setup'!$L$8*(SUMIF($BH$3:$CE$3,"&lt;"&amp;$DF40,$AD40:$BA40)+SUMIF($BH$3:$CE$3,"&gt;"&amp;$CW$4,$AD40:$BA40)),
IF(BZ$3=$DF40+'Model Setup'!$M$7,SUMIF($BH$3:$CE$3,"="&amp;$DF40+'Model Setup'!$M$7,$AD40:$BA40)+'Model Setup'!$M$8*(SUMIF($BH$3:$CE$3,"&lt;"&amp;$DF40,$AD40:$BA40)+SUMIF($BH$3:$CE$3,"&gt;"&amp;$CW$4,$AD40:$BA40)),
IF(BZ$3=$DF40+'Model Setup'!$N$7,SUMIF($BH$3:$CE$3,"="&amp;$DF40+'Model Setup'!$N$7,$AD40:$BA40)+'Model Setup'!$N$8*(SUMIF($BH$3:$CE$3,"&lt;"&amp;$DF40,$AD40:$BA40)+SUMIF($BH$3:$CE$3,"&gt;"&amp;$CW$4,$AD40:$BA40)),
IF(BZ$3&lt;$CW$4,T40,0))))))))))))))),0)</f>
        <v>0</v>
      </c>
      <c r="CA40" s="47">
        <f>ROUND(IF(OR(CA$3&lt;$DF40,CA$3&gt;$CW$4),0,
IF(CA$3=$DF40+'Model Setup'!$B$7,SUMIF($BH$3:$CE$3,"="&amp;$DF40+'Model Setup'!$B$7,$AD40:$BA40)+'Model Setup'!$B$8*(SUMIF($BH$3:$CE$3,"&lt;"&amp;$DF40,$AD40:$BA40)+SUMIF($BH$3:$CE$3,"&gt;"&amp;$CW$4,$AD40:$BA40)),
IF(CA$3=$DF40+'Model Setup'!$C$7,SUMIF($BH$3:$CE$3,"="&amp;$DF40+'Model Setup'!$C$7,$AD40:$BA40)+'Model Setup'!$C$8*(SUMIF($BH$3:$CE$3,"&lt;"&amp;$DF40,$AD40:$BA40)+SUMIF($BH$3:$CE$3,"&gt;"&amp;$CW$4,$AD40:$BA40)),
IF(CA$3=$DF40+'Model Setup'!$D$7,SUMIF($BH$3:$CE$3,"="&amp;$DF40+'Model Setup'!$D$7,$AD40:$BA40)+'Model Setup'!$D$8*(SUMIF($BH$3:$CE$3,"&lt;"&amp;$DF40,$AD40:$BA40)+SUMIF($BH$3:$CE$3,"&gt;"&amp;$CW$4,$AD40:$BA40)),
IF(CA$3=$DF40+'Model Setup'!$E$7,SUMIF($BH$3:$CE$3,"="&amp;$DF40+'Model Setup'!$E$7,$AD40:$BA40)+'Model Setup'!$E$8*(SUMIF($BH$3:$CE$3,"&lt;"&amp;$DF40,$AD40:$BA40)+SUMIF($BH$3:$CE$3,"&gt;"&amp;$CW$4,$AD40:$BA40)),
IF(CA$3=$DF40+'Model Setup'!$F$7,SUMIF($BH$3:$CE$3,"="&amp;$DF40+'Model Setup'!$F$7,$AD40:$BA40)+'Model Setup'!$F$8*(SUMIF($BH$3:$CE$3,"&lt;"&amp;$DF40,$AD40:$BA40)+SUMIF($BH$3:$CE$3,"&gt;"&amp;$CW$4,$AD40:$BA40)),
IF(CA$3=$DF40+'Model Setup'!$G$7,SUMIF($BH$3:$CE$3,"="&amp;$DF40+'Model Setup'!$G$7,$AD40:$BA40)+'Model Setup'!$G$8*(SUMIF($BH$3:$CE$3,"&lt;"&amp;$DF40,$AD40:$BA40)+SUMIF($BH$3:$CE$3,"&gt;"&amp;$CW$4,$AD40:$BA40)),
IF(CA$3=$DF40+'Model Setup'!$H$7,SUMIF($BH$3:$CE$3,"="&amp;$DF40+'Model Setup'!$H$7,$AD40:$BA40)+'Model Setup'!$H$8*(SUMIF($BH$3:$CE$3,"&lt;"&amp;$DF40,$AD40:$BA40)+SUMIF($BH$3:$CE$3,"&gt;"&amp;$CW$4,$AD40:$BA40)),
IF(CA$3=$DF40+'Model Setup'!$I$7,SUMIF($BH$3:$CE$3,"="&amp;$DF40+'Model Setup'!$I$7,$AD40:$BA40)+'Model Setup'!$I$8*(SUMIF($BH$3:$CE$3,"&lt;"&amp;$DF40,$AD40:$BA40)+SUMIF($BH$3:$CE$3,"&gt;"&amp;$CW$4,$AD40:$BA40)),
IF(CA$3=$DF40+'Model Setup'!$J$7,SUMIF($BH$3:$CE$3,"="&amp;$DF40+'Model Setup'!$J$7,$AD40:$BA40)+'Model Setup'!$J$8*(SUMIF($BH$3:$CE$3,"&lt;"&amp;$DF40,$AD40:$BA40)+SUMIF($BH$3:$CE$3,"&gt;"&amp;$CW$4,$AD40:$BA40)),
IF(CA$3=$DF40+'Model Setup'!$K$7,SUMIF($BH$3:$CE$3,"="&amp;$DF40+'Model Setup'!$K$7,$AD40:$BA40)+'Model Setup'!$K$8*(SUMIF($BH$3:$CE$3,"&lt;"&amp;$DF40,$AD40:$BA40)+SUMIF($BH$3:$CE$3,"&gt;"&amp;$CW$4,$AD40:$BA40)),
IF(CA$3=$DF40+'Model Setup'!$L$7,SUMIF($BH$3:$CE$3,"="&amp;$DF40+'Model Setup'!$L$7,$AD40:$BA40)+'Model Setup'!$L$8*(SUMIF($BH$3:$CE$3,"&lt;"&amp;$DF40,$AD40:$BA40)+SUMIF($BH$3:$CE$3,"&gt;"&amp;$CW$4,$AD40:$BA40)),
IF(CA$3=$DF40+'Model Setup'!$M$7,SUMIF($BH$3:$CE$3,"="&amp;$DF40+'Model Setup'!$M$7,$AD40:$BA40)+'Model Setup'!$M$8*(SUMIF($BH$3:$CE$3,"&lt;"&amp;$DF40,$AD40:$BA40)+SUMIF($BH$3:$CE$3,"&gt;"&amp;$CW$4,$AD40:$BA40)),
IF(CA$3=$DF40+'Model Setup'!$N$7,SUMIF($BH$3:$CE$3,"="&amp;$DF40+'Model Setup'!$N$7,$AD40:$BA40)+'Model Setup'!$N$8*(SUMIF($BH$3:$CE$3,"&lt;"&amp;$DF40,$AD40:$BA40)+SUMIF($BH$3:$CE$3,"&gt;"&amp;$CW$4,$AD40:$BA40)),
IF(CA$3&lt;$CW$4,U40,0))))))))))))))),0)</f>
        <v>0</v>
      </c>
      <c r="CB40" s="47">
        <f>ROUND(IF(OR(CB$3&lt;$DF40,CB$3&gt;$CW$4),0,
IF(CB$3=$DF40+'Model Setup'!$B$7,SUMIF($BH$3:$CE$3,"="&amp;$DF40+'Model Setup'!$B$7,$AD40:$BA40)+'Model Setup'!$B$8*(SUMIF($BH$3:$CE$3,"&lt;"&amp;$DF40,$AD40:$BA40)+SUMIF($BH$3:$CE$3,"&gt;"&amp;$CW$4,$AD40:$BA40)),
IF(CB$3=$DF40+'Model Setup'!$C$7,SUMIF($BH$3:$CE$3,"="&amp;$DF40+'Model Setup'!$C$7,$AD40:$BA40)+'Model Setup'!$C$8*(SUMIF($BH$3:$CE$3,"&lt;"&amp;$DF40,$AD40:$BA40)+SUMIF($BH$3:$CE$3,"&gt;"&amp;$CW$4,$AD40:$BA40)),
IF(CB$3=$DF40+'Model Setup'!$D$7,SUMIF($BH$3:$CE$3,"="&amp;$DF40+'Model Setup'!$D$7,$AD40:$BA40)+'Model Setup'!$D$8*(SUMIF($BH$3:$CE$3,"&lt;"&amp;$DF40,$AD40:$BA40)+SUMIF($BH$3:$CE$3,"&gt;"&amp;$CW$4,$AD40:$BA40)),
IF(CB$3=$DF40+'Model Setup'!$E$7,SUMIF($BH$3:$CE$3,"="&amp;$DF40+'Model Setup'!$E$7,$AD40:$BA40)+'Model Setup'!$E$8*(SUMIF($BH$3:$CE$3,"&lt;"&amp;$DF40,$AD40:$BA40)+SUMIF($BH$3:$CE$3,"&gt;"&amp;$CW$4,$AD40:$BA40)),
IF(CB$3=$DF40+'Model Setup'!$F$7,SUMIF($BH$3:$CE$3,"="&amp;$DF40+'Model Setup'!$F$7,$AD40:$BA40)+'Model Setup'!$F$8*(SUMIF($BH$3:$CE$3,"&lt;"&amp;$DF40,$AD40:$BA40)+SUMIF($BH$3:$CE$3,"&gt;"&amp;$CW$4,$AD40:$BA40)),
IF(CB$3=$DF40+'Model Setup'!$G$7,SUMIF($BH$3:$CE$3,"="&amp;$DF40+'Model Setup'!$G$7,$AD40:$BA40)+'Model Setup'!$G$8*(SUMIF($BH$3:$CE$3,"&lt;"&amp;$DF40,$AD40:$BA40)+SUMIF($BH$3:$CE$3,"&gt;"&amp;$CW$4,$AD40:$BA40)),
IF(CB$3=$DF40+'Model Setup'!$H$7,SUMIF($BH$3:$CE$3,"="&amp;$DF40+'Model Setup'!$H$7,$AD40:$BA40)+'Model Setup'!$H$8*(SUMIF($BH$3:$CE$3,"&lt;"&amp;$DF40,$AD40:$BA40)+SUMIF($BH$3:$CE$3,"&gt;"&amp;$CW$4,$AD40:$BA40)),
IF(CB$3=$DF40+'Model Setup'!$I$7,SUMIF($BH$3:$CE$3,"="&amp;$DF40+'Model Setup'!$I$7,$AD40:$BA40)+'Model Setup'!$I$8*(SUMIF($BH$3:$CE$3,"&lt;"&amp;$DF40,$AD40:$BA40)+SUMIF($BH$3:$CE$3,"&gt;"&amp;$CW$4,$AD40:$BA40)),
IF(CB$3=$DF40+'Model Setup'!$J$7,SUMIF($BH$3:$CE$3,"="&amp;$DF40+'Model Setup'!$J$7,$AD40:$BA40)+'Model Setup'!$J$8*(SUMIF($BH$3:$CE$3,"&lt;"&amp;$DF40,$AD40:$BA40)+SUMIF($BH$3:$CE$3,"&gt;"&amp;$CW$4,$AD40:$BA40)),
IF(CB$3=$DF40+'Model Setup'!$K$7,SUMIF($BH$3:$CE$3,"="&amp;$DF40+'Model Setup'!$K$7,$AD40:$BA40)+'Model Setup'!$K$8*(SUMIF($BH$3:$CE$3,"&lt;"&amp;$DF40,$AD40:$BA40)+SUMIF($BH$3:$CE$3,"&gt;"&amp;$CW$4,$AD40:$BA40)),
IF(CB$3=$DF40+'Model Setup'!$L$7,SUMIF($BH$3:$CE$3,"="&amp;$DF40+'Model Setup'!$L$7,$AD40:$BA40)+'Model Setup'!$L$8*(SUMIF($BH$3:$CE$3,"&lt;"&amp;$DF40,$AD40:$BA40)+SUMIF($BH$3:$CE$3,"&gt;"&amp;$CW$4,$AD40:$BA40)),
IF(CB$3=$DF40+'Model Setup'!$M$7,SUMIF($BH$3:$CE$3,"="&amp;$DF40+'Model Setup'!$M$7,$AD40:$BA40)+'Model Setup'!$M$8*(SUMIF($BH$3:$CE$3,"&lt;"&amp;$DF40,$AD40:$BA40)+SUMIF($BH$3:$CE$3,"&gt;"&amp;$CW$4,$AD40:$BA40)),
IF(CB$3=$DF40+'Model Setup'!$N$7,SUMIF($BH$3:$CE$3,"="&amp;$DF40+'Model Setup'!$N$7,$AD40:$BA40)+'Model Setup'!$N$8*(SUMIF($BH$3:$CE$3,"&lt;"&amp;$DF40,$AD40:$BA40)+SUMIF($BH$3:$CE$3,"&gt;"&amp;$CW$4,$AD40:$BA40)),
IF(CB$3&lt;$CW$4,V40,0))))))))))))))),0)</f>
        <v>0</v>
      </c>
      <c r="CC40" s="47">
        <f>ROUND(IF(OR(CC$3&lt;$DF40,CC$3&gt;$CW$4),0,
IF(CC$3=$DF40+'Model Setup'!$B$7,SUMIF($BH$3:$CE$3,"="&amp;$DF40+'Model Setup'!$B$7,$AD40:$BA40)+'Model Setup'!$B$8*(SUMIF($BH$3:$CE$3,"&lt;"&amp;$DF40,$AD40:$BA40)+SUMIF($BH$3:$CE$3,"&gt;"&amp;$CW$4,$AD40:$BA40)),
IF(CC$3=$DF40+'Model Setup'!$C$7,SUMIF($BH$3:$CE$3,"="&amp;$DF40+'Model Setup'!$C$7,$AD40:$BA40)+'Model Setup'!$C$8*(SUMIF($BH$3:$CE$3,"&lt;"&amp;$DF40,$AD40:$BA40)+SUMIF($BH$3:$CE$3,"&gt;"&amp;$CW$4,$AD40:$BA40)),
IF(CC$3=$DF40+'Model Setup'!$D$7,SUMIF($BH$3:$CE$3,"="&amp;$DF40+'Model Setup'!$D$7,$AD40:$BA40)+'Model Setup'!$D$8*(SUMIF($BH$3:$CE$3,"&lt;"&amp;$DF40,$AD40:$BA40)+SUMIF($BH$3:$CE$3,"&gt;"&amp;$CW$4,$AD40:$BA40)),
IF(CC$3=$DF40+'Model Setup'!$E$7,SUMIF($BH$3:$CE$3,"="&amp;$DF40+'Model Setup'!$E$7,$AD40:$BA40)+'Model Setup'!$E$8*(SUMIF($BH$3:$CE$3,"&lt;"&amp;$DF40,$AD40:$BA40)+SUMIF($BH$3:$CE$3,"&gt;"&amp;$CW$4,$AD40:$BA40)),
IF(CC$3=$DF40+'Model Setup'!$F$7,SUMIF($BH$3:$CE$3,"="&amp;$DF40+'Model Setup'!$F$7,$AD40:$BA40)+'Model Setup'!$F$8*(SUMIF($BH$3:$CE$3,"&lt;"&amp;$DF40,$AD40:$BA40)+SUMIF($BH$3:$CE$3,"&gt;"&amp;$CW$4,$AD40:$BA40)),
IF(CC$3=$DF40+'Model Setup'!$G$7,SUMIF($BH$3:$CE$3,"="&amp;$DF40+'Model Setup'!$G$7,$AD40:$BA40)+'Model Setup'!$G$8*(SUMIF($BH$3:$CE$3,"&lt;"&amp;$DF40,$AD40:$BA40)+SUMIF($BH$3:$CE$3,"&gt;"&amp;$CW$4,$AD40:$BA40)),
IF(CC$3=$DF40+'Model Setup'!$H$7,SUMIF($BH$3:$CE$3,"="&amp;$DF40+'Model Setup'!$H$7,$AD40:$BA40)+'Model Setup'!$H$8*(SUMIF($BH$3:$CE$3,"&lt;"&amp;$DF40,$AD40:$BA40)+SUMIF($BH$3:$CE$3,"&gt;"&amp;$CW$4,$AD40:$BA40)),
IF(CC$3=$DF40+'Model Setup'!$I$7,SUMIF($BH$3:$CE$3,"="&amp;$DF40+'Model Setup'!$I$7,$AD40:$BA40)+'Model Setup'!$I$8*(SUMIF($BH$3:$CE$3,"&lt;"&amp;$DF40,$AD40:$BA40)+SUMIF($BH$3:$CE$3,"&gt;"&amp;$CW$4,$AD40:$BA40)),
IF(CC$3=$DF40+'Model Setup'!$J$7,SUMIF($BH$3:$CE$3,"="&amp;$DF40+'Model Setup'!$J$7,$AD40:$BA40)+'Model Setup'!$J$8*(SUMIF($BH$3:$CE$3,"&lt;"&amp;$DF40,$AD40:$BA40)+SUMIF($BH$3:$CE$3,"&gt;"&amp;$CW$4,$AD40:$BA40)),
IF(CC$3=$DF40+'Model Setup'!$K$7,SUMIF($BH$3:$CE$3,"="&amp;$DF40+'Model Setup'!$K$7,$AD40:$BA40)+'Model Setup'!$K$8*(SUMIF($BH$3:$CE$3,"&lt;"&amp;$DF40,$AD40:$BA40)+SUMIF($BH$3:$CE$3,"&gt;"&amp;$CW$4,$AD40:$BA40)),
IF(CC$3=$DF40+'Model Setup'!$L$7,SUMIF($BH$3:$CE$3,"="&amp;$DF40+'Model Setup'!$L$7,$AD40:$BA40)+'Model Setup'!$L$8*(SUMIF($BH$3:$CE$3,"&lt;"&amp;$DF40,$AD40:$BA40)+SUMIF($BH$3:$CE$3,"&gt;"&amp;$CW$4,$AD40:$BA40)),
IF(CC$3=$DF40+'Model Setup'!$M$7,SUMIF($BH$3:$CE$3,"="&amp;$DF40+'Model Setup'!$M$7,$AD40:$BA40)+'Model Setup'!$M$8*(SUMIF($BH$3:$CE$3,"&lt;"&amp;$DF40,$AD40:$BA40)+SUMIF($BH$3:$CE$3,"&gt;"&amp;$CW$4,$AD40:$BA40)),
IF(CC$3=$DF40+'Model Setup'!$N$7,SUMIF($BH$3:$CE$3,"="&amp;$DF40+'Model Setup'!$N$7,$AD40:$BA40)+'Model Setup'!$N$8*(SUMIF($BH$3:$CE$3,"&lt;"&amp;$DF40,$AD40:$BA40)+SUMIF($BH$3:$CE$3,"&gt;"&amp;$CW$4,$AD40:$BA40)),
IF(CC$3&lt;$CW$4,W40,0))))))))))))))),0)</f>
        <v>0</v>
      </c>
      <c r="CD40" s="47">
        <f>ROUND(IF(OR(CD$3&lt;$DF40,CD$3&gt;$CW$4),0,
IF(CD$3=$DF40+'Model Setup'!$B$7,SUMIF($BH$3:$CE$3,"="&amp;$DF40+'Model Setup'!$B$7,$AD40:$BA40)+'Model Setup'!$B$8*(SUMIF($BH$3:$CE$3,"&lt;"&amp;$DF40,$AD40:$BA40)+SUMIF($BH$3:$CE$3,"&gt;"&amp;$CW$4,$AD40:$BA40)),
IF(CD$3=$DF40+'Model Setup'!$C$7,SUMIF($BH$3:$CE$3,"="&amp;$DF40+'Model Setup'!$C$7,$AD40:$BA40)+'Model Setup'!$C$8*(SUMIF($BH$3:$CE$3,"&lt;"&amp;$DF40,$AD40:$BA40)+SUMIF($BH$3:$CE$3,"&gt;"&amp;$CW$4,$AD40:$BA40)),
IF(CD$3=$DF40+'Model Setup'!$D$7,SUMIF($BH$3:$CE$3,"="&amp;$DF40+'Model Setup'!$D$7,$AD40:$BA40)+'Model Setup'!$D$8*(SUMIF($BH$3:$CE$3,"&lt;"&amp;$DF40,$AD40:$BA40)+SUMIF($BH$3:$CE$3,"&gt;"&amp;$CW$4,$AD40:$BA40)),
IF(CD$3=$DF40+'Model Setup'!$E$7,SUMIF($BH$3:$CE$3,"="&amp;$DF40+'Model Setup'!$E$7,$AD40:$BA40)+'Model Setup'!$E$8*(SUMIF($BH$3:$CE$3,"&lt;"&amp;$DF40,$AD40:$BA40)+SUMIF($BH$3:$CE$3,"&gt;"&amp;$CW$4,$AD40:$BA40)),
IF(CD$3=$DF40+'Model Setup'!$F$7,SUMIF($BH$3:$CE$3,"="&amp;$DF40+'Model Setup'!$F$7,$AD40:$BA40)+'Model Setup'!$F$8*(SUMIF($BH$3:$CE$3,"&lt;"&amp;$DF40,$AD40:$BA40)+SUMIF($BH$3:$CE$3,"&gt;"&amp;$CW$4,$AD40:$BA40)),
IF(CD$3=$DF40+'Model Setup'!$G$7,SUMIF($BH$3:$CE$3,"="&amp;$DF40+'Model Setup'!$G$7,$AD40:$BA40)+'Model Setup'!$G$8*(SUMIF($BH$3:$CE$3,"&lt;"&amp;$DF40,$AD40:$BA40)+SUMIF($BH$3:$CE$3,"&gt;"&amp;$CW$4,$AD40:$BA40)),
IF(CD$3=$DF40+'Model Setup'!$H$7,SUMIF($BH$3:$CE$3,"="&amp;$DF40+'Model Setup'!$H$7,$AD40:$BA40)+'Model Setup'!$H$8*(SUMIF($BH$3:$CE$3,"&lt;"&amp;$DF40,$AD40:$BA40)+SUMIF($BH$3:$CE$3,"&gt;"&amp;$CW$4,$AD40:$BA40)),
IF(CD$3=$DF40+'Model Setup'!$I$7,SUMIF($BH$3:$CE$3,"="&amp;$DF40+'Model Setup'!$I$7,$AD40:$BA40)+'Model Setup'!$I$8*(SUMIF($BH$3:$CE$3,"&lt;"&amp;$DF40,$AD40:$BA40)+SUMIF($BH$3:$CE$3,"&gt;"&amp;$CW$4,$AD40:$BA40)),
IF(CD$3=$DF40+'Model Setup'!$J$7,SUMIF($BH$3:$CE$3,"="&amp;$DF40+'Model Setup'!$J$7,$AD40:$BA40)+'Model Setup'!$J$8*(SUMIF($BH$3:$CE$3,"&lt;"&amp;$DF40,$AD40:$BA40)+SUMIF($BH$3:$CE$3,"&gt;"&amp;$CW$4,$AD40:$BA40)),
IF(CD$3=$DF40+'Model Setup'!$K$7,SUMIF($BH$3:$CE$3,"="&amp;$DF40+'Model Setup'!$K$7,$AD40:$BA40)+'Model Setup'!$K$8*(SUMIF($BH$3:$CE$3,"&lt;"&amp;$DF40,$AD40:$BA40)+SUMIF($BH$3:$CE$3,"&gt;"&amp;$CW$4,$AD40:$BA40)),
IF(CD$3=$DF40+'Model Setup'!$L$7,SUMIF($BH$3:$CE$3,"="&amp;$DF40+'Model Setup'!$L$7,$AD40:$BA40)+'Model Setup'!$L$8*(SUMIF($BH$3:$CE$3,"&lt;"&amp;$DF40,$AD40:$BA40)+SUMIF($BH$3:$CE$3,"&gt;"&amp;$CW$4,$AD40:$BA40)),
IF(CD$3=$DF40+'Model Setup'!$M$7,SUMIF($BH$3:$CE$3,"="&amp;$DF40+'Model Setup'!$M$7,$AD40:$BA40)+'Model Setup'!$M$8*(SUMIF($BH$3:$CE$3,"&lt;"&amp;$DF40,$AD40:$BA40)+SUMIF($BH$3:$CE$3,"&gt;"&amp;$CW$4,$AD40:$BA40)),
IF(CD$3=$DF40+'Model Setup'!$N$7,SUMIF($BH$3:$CE$3,"="&amp;$DF40+'Model Setup'!$N$7,$AD40:$BA40)+'Model Setup'!$N$8*(SUMIF($BH$3:$CE$3,"&lt;"&amp;$DF40,$AD40:$BA40)+SUMIF($BH$3:$CE$3,"&gt;"&amp;$CW$4,$AD40:$BA40)),
IF(CD$3&lt;$CW$4,X40,0))))))))))))))),0)</f>
        <v>0</v>
      </c>
      <c r="CE40" s="47">
        <f>ROUND(IF(OR(CE$3&lt;$DF40,CE$3&gt;$CW$4),0,
IF(CE$3=$DF40+'Model Setup'!$B$7,SUMIF($BH$3:$CE$3,"="&amp;$DF40+'Model Setup'!$B$7,$AD40:$BA40)+'Model Setup'!$B$8*(SUMIF($BH$3:$CE$3,"&lt;"&amp;$DF40,$AD40:$BA40)+SUMIF($BH$3:$CE$3,"&gt;"&amp;$CW$4,$AD40:$BA40)),
IF(CE$3=$DF40+'Model Setup'!$C$7,SUMIF($BH$3:$CE$3,"="&amp;$DF40+'Model Setup'!$C$7,$AD40:$BA40)+'Model Setup'!$C$8*(SUMIF($BH$3:$CE$3,"&lt;"&amp;$DF40,$AD40:$BA40)+SUMIF($BH$3:$CE$3,"&gt;"&amp;$CW$4,$AD40:$BA40)),
IF(CE$3=$DF40+'Model Setup'!$D$7,SUMIF($BH$3:$CE$3,"="&amp;$DF40+'Model Setup'!$D$7,$AD40:$BA40)+'Model Setup'!$D$8*(SUMIF($BH$3:$CE$3,"&lt;"&amp;$DF40,$AD40:$BA40)+SUMIF($BH$3:$CE$3,"&gt;"&amp;$CW$4,$AD40:$BA40)),
IF(CE$3=$DF40+'Model Setup'!$E$7,SUMIF($BH$3:$CE$3,"="&amp;$DF40+'Model Setup'!$E$7,$AD40:$BA40)+'Model Setup'!$E$8*(SUMIF($BH$3:$CE$3,"&lt;"&amp;$DF40,$AD40:$BA40)+SUMIF($BH$3:$CE$3,"&gt;"&amp;$CW$4,$AD40:$BA40)),
IF(CE$3=$DF40+'Model Setup'!$F$7,SUMIF($BH$3:$CE$3,"="&amp;$DF40+'Model Setup'!$F$7,$AD40:$BA40)+'Model Setup'!$F$8*(SUMIF($BH$3:$CE$3,"&lt;"&amp;$DF40,$AD40:$BA40)+SUMIF($BH$3:$CE$3,"&gt;"&amp;$CW$4,$AD40:$BA40)),
IF(CE$3=$DF40+'Model Setup'!$G$7,SUMIF($BH$3:$CE$3,"="&amp;$DF40+'Model Setup'!$G$7,$AD40:$BA40)+'Model Setup'!$G$8*(SUMIF($BH$3:$CE$3,"&lt;"&amp;$DF40,$AD40:$BA40)+SUMIF($BH$3:$CE$3,"&gt;"&amp;$CW$4,$AD40:$BA40)),
IF(CE$3=$DF40+'Model Setup'!$H$7,SUMIF($BH$3:$CE$3,"="&amp;$DF40+'Model Setup'!$H$7,$AD40:$BA40)+'Model Setup'!$H$8*(SUMIF($BH$3:$CE$3,"&lt;"&amp;$DF40,$AD40:$BA40)+SUMIF($BH$3:$CE$3,"&gt;"&amp;$CW$4,$AD40:$BA40)),
IF(CE$3=$DF40+'Model Setup'!$I$7,SUMIF($BH$3:$CE$3,"="&amp;$DF40+'Model Setup'!$I$7,$AD40:$BA40)+'Model Setup'!$I$8*(SUMIF($BH$3:$CE$3,"&lt;"&amp;$DF40,$AD40:$BA40)+SUMIF($BH$3:$CE$3,"&gt;"&amp;$CW$4,$AD40:$BA40)),
IF(CE$3=$DF40+'Model Setup'!$J$7,SUMIF($BH$3:$CE$3,"="&amp;$DF40+'Model Setup'!$J$7,$AD40:$BA40)+'Model Setup'!$J$8*(SUMIF($BH$3:$CE$3,"&lt;"&amp;$DF40,$AD40:$BA40)+SUMIF($BH$3:$CE$3,"&gt;"&amp;$CW$4,$AD40:$BA40)),
IF(CE$3=$DF40+'Model Setup'!$K$7,SUMIF($BH$3:$CE$3,"="&amp;$DF40+'Model Setup'!$K$7,$AD40:$BA40)+'Model Setup'!$K$8*(SUMIF($BH$3:$CE$3,"&lt;"&amp;$DF40,$AD40:$BA40)+SUMIF($BH$3:$CE$3,"&gt;"&amp;$CW$4,$AD40:$BA40)),
IF(CE$3=$DF40+'Model Setup'!$L$7,SUMIF($BH$3:$CE$3,"="&amp;$DF40+'Model Setup'!$L$7,$AD40:$BA40)+'Model Setup'!$L$8*(SUMIF($BH$3:$CE$3,"&lt;"&amp;$DF40,$AD40:$BA40)+SUMIF($BH$3:$CE$3,"&gt;"&amp;$CW$4,$AD40:$BA40)),
IF(CE$3=$DF40+'Model Setup'!$M$7,SUMIF($BH$3:$CE$3,"="&amp;$DF40+'Model Setup'!$M$7,$AD40:$BA40)+'Model Setup'!$M$8*(SUMIF($BH$3:$CE$3,"&lt;"&amp;$DF40,$AD40:$BA40)+SUMIF($BH$3:$CE$3,"&gt;"&amp;$CW$4,$AD40:$BA40)),
IF(CE$3=$DF40+'Model Setup'!$N$7,SUMIF($BH$3:$CE$3,"="&amp;$DF40+'Model Setup'!$N$7,$AD40:$BA40)+'Model Setup'!$N$8*(SUMIF($BH$3:$CE$3,"&lt;"&amp;$DF40,$AD40:$BA40)+SUMIF($BH$3:$CE$3,"&gt;"&amp;$CW$4,$AD40:$BA40)),
IF(CE$3&lt;$CW$4,Y40,0))))))))))))))),0)</f>
        <v>0</v>
      </c>
      <c r="CF40" s="47">
        <f t="shared" si="3"/>
        <v>1001</v>
      </c>
      <c r="CG40" s="47">
        <f t="shared" si="4"/>
        <v>0</v>
      </c>
      <c r="CI40" s="10" t="s">
        <v>55</v>
      </c>
      <c r="CJ40" s="126">
        <f t="shared" si="9"/>
        <v>30</v>
      </c>
      <c r="CK40" s="126">
        <f t="shared" si="10"/>
        <v>116</v>
      </c>
      <c r="CL40" s="126">
        <f t="shared" si="11"/>
        <v>124</v>
      </c>
      <c r="CM40" s="126">
        <f t="shared" si="12"/>
        <v>123</v>
      </c>
      <c r="CN40" s="126">
        <f t="shared" si="13"/>
        <v>98</v>
      </c>
      <c r="CO40" s="126">
        <f t="shared" si="14"/>
        <v>99</v>
      </c>
      <c r="CP40" s="126">
        <f t="shared" si="15"/>
        <v>52</v>
      </c>
      <c r="CQ40" s="126">
        <f t="shared" si="16"/>
        <v>65</v>
      </c>
      <c r="CR40" s="126">
        <f t="shared" si="17"/>
        <v>71</v>
      </c>
      <c r="CS40" s="126">
        <f t="shared" si="18"/>
        <v>43</v>
      </c>
      <c r="CT40" s="126">
        <f t="shared" si="19"/>
        <v>67</v>
      </c>
      <c r="CU40" s="126">
        <f t="shared" si="20"/>
        <v>66</v>
      </c>
      <c r="CV40" s="126">
        <f t="shared" si="21"/>
        <v>47</v>
      </c>
      <c r="CW40" s="126">
        <f t="shared" si="22"/>
        <v>0</v>
      </c>
      <c r="CX40" s="126">
        <f t="shared" si="23"/>
        <v>0</v>
      </c>
      <c r="CY40" s="126">
        <f t="shared" si="24"/>
        <v>0</v>
      </c>
      <c r="CZ40" s="47">
        <f t="shared" si="7"/>
        <v>1001</v>
      </c>
      <c r="DC40" s="93" t="s">
        <v>55</v>
      </c>
      <c r="DD40" s="89">
        <f>FTC!E38</f>
        <v>0.20833333333333334</v>
      </c>
      <c r="DE40" s="89">
        <f>FTC!F38</f>
        <v>0.75</v>
      </c>
      <c r="DF40" s="90">
        <f t="shared" si="25"/>
        <v>5</v>
      </c>
      <c r="DG40" s="91">
        <f t="shared" si="26"/>
        <v>18</v>
      </c>
      <c r="DH40" s="91">
        <f t="shared" si="27"/>
        <v>13</v>
      </c>
    </row>
    <row r="41" spans="1:112" x14ac:dyDescent="0.35">
      <c r="A41" s="43" t="s">
        <v>56</v>
      </c>
      <c r="B41" s="47">
        <v>3</v>
      </c>
      <c r="C41" s="47">
        <v>1</v>
      </c>
      <c r="D41" s="47">
        <v>1</v>
      </c>
      <c r="E41" s="47">
        <v>5</v>
      </c>
      <c r="F41" s="47">
        <v>2</v>
      </c>
      <c r="G41" s="47">
        <v>5</v>
      </c>
      <c r="H41" s="47">
        <v>44</v>
      </c>
      <c r="I41" s="47">
        <v>43</v>
      </c>
      <c r="J41" s="47">
        <v>31</v>
      </c>
      <c r="K41" s="47">
        <v>43</v>
      </c>
      <c r="L41" s="47">
        <v>43</v>
      </c>
      <c r="M41" s="47">
        <v>30</v>
      </c>
      <c r="N41" s="47">
        <v>23</v>
      </c>
      <c r="O41" s="47">
        <v>15</v>
      </c>
      <c r="P41" s="47">
        <v>13</v>
      </c>
      <c r="Q41" s="47">
        <v>8</v>
      </c>
      <c r="R41" s="47">
        <v>6</v>
      </c>
      <c r="S41" s="47">
        <v>9</v>
      </c>
      <c r="T41" s="47">
        <v>3</v>
      </c>
      <c r="U41" s="47">
        <v>2</v>
      </c>
      <c r="V41" s="47">
        <v>1</v>
      </c>
      <c r="W41" s="47">
        <v>5</v>
      </c>
      <c r="X41" s="47">
        <v>2</v>
      </c>
      <c r="Y41" s="47">
        <v>2</v>
      </c>
      <c r="Z41" s="47">
        <f t="shared" si="0"/>
        <v>340</v>
      </c>
      <c r="AC41" s="43" t="s">
        <v>56</v>
      </c>
      <c r="AD41" s="47">
        <f>ROUND(IF(AD$3&lt;$DF41,0,
IF(AD$3=$DF41+'Model Setup'!$B$7,SUMIF($AD$3:$BA$3,"="&amp;$DF41+'Model Setup'!$B$7,$B41:$Y41)+'Model Setup'!$B$8*(SUMIF($AD$3:$BA$3,"&lt;"&amp;$DF41,$B41:$Y41)+SUMIF($AD$3:$BA$3,"&gt;="&amp;$DG41,$B41:$Y41)),
IF(AD$3=$DF41+'Model Setup'!$C$7,SUMIF($AD$3:$BA$3,"="&amp;$DF41+'Model Setup'!$C$7,$B41:$Y41)+'Model Setup'!$C$8*(SUMIF($AD$3:$BA$3,"&lt;"&amp;$DF41,$B41:$Y41)+SUMIF($AD$3:$BA$3,"&gt;="&amp;$DG41,$B41:$Y41)),
IF(AD$3=$DF41+'Model Setup'!$D$7,SUMIF($AD$3:$BA$3,"="&amp;$DF41+'Model Setup'!$D$7,$B41:$Y41)+'Model Setup'!$D$8*(SUMIF($AD$3:$BA$3,"&lt;"&amp;$DF41,$B41:$Y41)+SUMIF($AD$3:$BA$3,"&gt;="&amp;$DG41,$B41:$Y41)),
IF(AD$3=$DF41+'Model Setup'!$E$7,SUMIF($AD$3:$BA$3,"="&amp;$DF41+'Model Setup'!$E$7,$B41:$Y41)+'Model Setup'!$E$8*(SUMIF($AD$3:$BA$3,"&lt;"&amp;$DF41,$B41:$Y41)+SUMIF($AD$3:$BA$3,"&gt;="&amp;$DG41,$B41:$Y41)),
IF(AD$3=$DF41+'Model Setup'!$F$7,SUMIF($AD$3:$BA$3,"="&amp;$DF41+'Model Setup'!$F$7,$B41:$Y41)+'Model Setup'!$F$8*(SUMIF($AD$3:$BA$3,"&lt;"&amp;$DF41,$B41:$Y41)+SUMIF($AD$3:$BA$3,"&gt;="&amp;$DG41,$B41:$Y41)),
IF(AD$3=$DF41+'Model Setup'!$G$7,SUMIF($AD$3:$BA$3,"="&amp;$DF41+'Model Setup'!$G$7,$B41:$Y41)+'Model Setup'!$G$8*(SUMIF($AD$3:$BA$3,"&lt;"&amp;$DF41,$B41:$Y41)+SUMIF($AD$3:$BA$3,"&gt;="&amp;$DG41,$B41:$Y41)),
IF(AD$3=$DF41+'Model Setup'!$H$7,SUMIF($AD$3:$BA$3,"="&amp;$DF41+'Model Setup'!$H$7,$B41:$Y41)+'Model Setup'!$H$8*(SUMIF($AD$3:$BA$3,"&lt;"&amp;$DF41,$B41:$Y41)+SUMIF($AD$3:$BA$3,"&gt;="&amp;$DG41,$B41:$Y41)),
IF(AD$3=$DF41+'Model Setup'!$I$7,SUMIF($AD$3:$BA$3,"="&amp;$DF41+'Model Setup'!$I$7,$B41:$Y41)+'Model Setup'!$I$8*(SUMIF($AD$3:$BA$3,"&lt;"&amp;$DF41,$B41:$Y41)+SUMIF($AD$3:$BA$3,"&gt;="&amp;$DG41,$B41:$Y41)),
IF(AD$3=$DF41+'Model Setup'!$J$7,SUMIF($AD$3:$BA$3,"="&amp;$DF41+'Model Setup'!$J$7,$B41:$Y41)+'Model Setup'!$J$8*(SUMIF($AD$3:$BA$3,"&lt;"&amp;$DF41,$B41:$Y41)+SUMIF($AD$3:$BA$3,"&gt;="&amp;$DG41,$B41:$Y41)),
IF(AD$3=$DF41+'Model Setup'!$K$7,SUMIF($AD$3:$BA$3,"="&amp;$DF41+'Model Setup'!$K$7,$B41:$Y41)+'Model Setup'!$K$8*(SUMIF($AD$3:$BA$3,"&lt;"&amp;$DF41,$B41:$Y41)+SUMIF($AD$3:$BA$3,"&gt;="&amp;$DG41,$B41:$Y41)),
IF(AD$3=$DF41+'Model Setup'!$L$7,SUMIF($AD$3:$BA$3,"="&amp;$DF41+'Model Setup'!$L$7,$B41:$Y41)+'Model Setup'!$L$8*(SUMIF($AD$3:$BA$3,"&lt;"&amp;$DF41,$B41:$Y41)+SUMIF($AD$3:$BA$3,"&gt;="&amp;$DG41,$B41:$Y41)),
IF(AD$3=$DF41+'Model Setup'!$M$7,SUMIF($AD$3:$BA$3,"="&amp;$DF41+'Model Setup'!$M$7,$B41:$Y41)+'Model Setup'!$M$8*(SUMIF($AD$3:$BA$3,"&lt;"&amp;$DF41,$B41:$Y41)+SUMIF($AD$3:$BA$3,"&gt;="&amp;$DG41,$B41:$Y41)),
IF(AD$3=$DF41+'Model Setup'!$N$7,SUMIF($AD$3:$BA$3,"="&amp;$DF41+'Model Setup'!$N$7,$B41:$Y41)+'Model Setup'!$N$8*(SUMIF($AD$3:$BA$3,"&lt;"&amp;$DF41,$B41:$Y41)+SUMIF($AD$3:$BA$3,"&gt;="&amp;$DG41,$B41:$Y41)),
IF(AD$3&lt;$DG41,B41,0))))))))))))))),0)</f>
        <v>0</v>
      </c>
      <c r="AE41" s="47">
        <f>ROUND(IF(AE$3&lt;$DF41,0,
IF(AE$3=$DF41+'Model Setup'!$B$7,SUMIF($AD$3:$BA$3,"="&amp;$DF41+'Model Setup'!$B$7,$B41:$Y41)+'Model Setup'!$B$8*(SUMIF($AD$3:$BA$3,"&lt;"&amp;$DF41,$B41:$Y41)+SUMIF($AD$3:$BA$3,"&gt;="&amp;$DG41,$B41:$Y41)),
IF(AE$3=$DF41+'Model Setup'!$C$7,SUMIF($AD$3:$BA$3,"="&amp;$DF41+'Model Setup'!$C$7,$B41:$Y41)+'Model Setup'!$C$8*(SUMIF($AD$3:$BA$3,"&lt;"&amp;$DF41,$B41:$Y41)+SUMIF($AD$3:$BA$3,"&gt;="&amp;$DG41,$B41:$Y41)),
IF(AE$3=$DF41+'Model Setup'!$D$7,SUMIF($AD$3:$BA$3,"="&amp;$DF41+'Model Setup'!$D$7,$B41:$Y41)+'Model Setup'!$D$8*(SUMIF($AD$3:$BA$3,"&lt;"&amp;$DF41,$B41:$Y41)+SUMIF($AD$3:$BA$3,"&gt;="&amp;$DG41,$B41:$Y41)),
IF(AE$3=$DF41+'Model Setup'!$E$7,SUMIF($AD$3:$BA$3,"="&amp;$DF41+'Model Setup'!$E$7,$B41:$Y41)+'Model Setup'!$E$8*(SUMIF($AD$3:$BA$3,"&lt;"&amp;$DF41,$B41:$Y41)+SUMIF($AD$3:$BA$3,"&gt;="&amp;$DG41,$B41:$Y41)),
IF(AE$3=$DF41+'Model Setup'!$F$7,SUMIF($AD$3:$BA$3,"="&amp;$DF41+'Model Setup'!$F$7,$B41:$Y41)+'Model Setup'!$F$8*(SUMIF($AD$3:$BA$3,"&lt;"&amp;$DF41,$B41:$Y41)+SUMIF($AD$3:$BA$3,"&gt;="&amp;$DG41,$B41:$Y41)),
IF(AE$3=$DF41+'Model Setup'!$G$7,SUMIF($AD$3:$BA$3,"="&amp;$DF41+'Model Setup'!$G$7,$B41:$Y41)+'Model Setup'!$G$8*(SUMIF($AD$3:$BA$3,"&lt;"&amp;$DF41,$B41:$Y41)+SUMIF($AD$3:$BA$3,"&gt;="&amp;$DG41,$B41:$Y41)),
IF(AE$3=$DF41+'Model Setup'!$H$7,SUMIF($AD$3:$BA$3,"="&amp;$DF41+'Model Setup'!$H$7,$B41:$Y41)+'Model Setup'!$H$8*(SUMIF($AD$3:$BA$3,"&lt;"&amp;$DF41,$B41:$Y41)+SUMIF($AD$3:$BA$3,"&gt;="&amp;$DG41,$B41:$Y41)),
IF(AE$3=$DF41+'Model Setup'!$I$7,SUMIF($AD$3:$BA$3,"="&amp;$DF41+'Model Setup'!$I$7,$B41:$Y41)+'Model Setup'!$I$8*(SUMIF($AD$3:$BA$3,"&lt;"&amp;$DF41,$B41:$Y41)+SUMIF($AD$3:$BA$3,"&gt;="&amp;$DG41,$B41:$Y41)),
IF(AE$3=$DF41+'Model Setup'!$J$7,SUMIF($AD$3:$BA$3,"="&amp;$DF41+'Model Setup'!$J$7,$B41:$Y41)+'Model Setup'!$J$8*(SUMIF($AD$3:$BA$3,"&lt;"&amp;$DF41,$B41:$Y41)+SUMIF($AD$3:$BA$3,"&gt;="&amp;$DG41,$B41:$Y41)),
IF(AE$3=$DF41+'Model Setup'!$K$7,SUMIF($AD$3:$BA$3,"="&amp;$DF41+'Model Setup'!$K$7,$B41:$Y41)+'Model Setup'!$K$8*(SUMIF($AD$3:$BA$3,"&lt;"&amp;$DF41,$B41:$Y41)+SUMIF($AD$3:$BA$3,"&gt;="&amp;$DG41,$B41:$Y41)),
IF(AE$3=$DF41+'Model Setup'!$L$7,SUMIF($AD$3:$BA$3,"="&amp;$DF41+'Model Setup'!$L$7,$B41:$Y41)+'Model Setup'!$L$8*(SUMIF($AD$3:$BA$3,"&lt;"&amp;$DF41,$B41:$Y41)+SUMIF($AD$3:$BA$3,"&gt;="&amp;$DG41,$B41:$Y41)),
IF(AE$3=$DF41+'Model Setup'!$M$7,SUMIF($AD$3:$BA$3,"="&amp;$DF41+'Model Setup'!$M$7,$B41:$Y41)+'Model Setup'!$M$8*(SUMIF($AD$3:$BA$3,"&lt;"&amp;$DF41,$B41:$Y41)+SUMIF($AD$3:$BA$3,"&gt;="&amp;$DG41,$B41:$Y41)),
IF(AE$3=$DF41+'Model Setup'!$N$7,SUMIF($AD$3:$BA$3,"="&amp;$DF41+'Model Setup'!$N$7,$B41:$Y41)+'Model Setup'!$N$8*(SUMIF($AD$3:$BA$3,"&lt;"&amp;$DF41,$B41:$Y41)+SUMIF($AD$3:$BA$3,"&gt;="&amp;$DG41,$B41:$Y41)),
IF(AE$3&lt;$DG41,C41,0))))))))))))))),0)</f>
        <v>0</v>
      </c>
      <c r="AF41" s="47">
        <f>ROUND(IF(AF$3&lt;$DF41,0,
IF(AF$3=$DF41+'Model Setup'!$B$7,SUMIF($AD$3:$BA$3,"="&amp;$DF41+'Model Setup'!$B$7,$B41:$Y41)+'Model Setup'!$B$8*(SUMIF($AD$3:$BA$3,"&lt;"&amp;$DF41,$B41:$Y41)+SUMIF($AD$3:$BA$3,"&gt;="&amp;$DG41,$B41:$Y41)),
IF(AF$3=$DF41+'Model Setup'!$C$7,SUMIF($AD$3:$BA$3,"="&amp;$DF41+'Model Setup'!$C$7,$B41:$Y41)+'Model Setup'!$C$8*(SUMIF($AD$3:$BA$3,"&lt;"&amp;$DF41,$B41:$Y41)+SUMIF($AD$3:$BA$3,"&gt;="&amp;$DG41,$B41:$Y41)),
IF(AF$3=$DF41+'Model Setup'!$D$7,SUMIF($AD$3:$BA$3,"="&amp;$DF41+'Model Setup'!$D$7,$B41:$Y41)+'Model Setup'!$D$8*(SUMIF($AD$3:$BA$3,"&lt;"&amp;$DF41,$B41:$Y41)+SUMIF($AD$3:$BA$3,"&gt;="&amp;$DG41,$B41:$Y41)),
IF(AF$3=$DF41+'Model Setup'!$E$7,SUMIF($AD$3:$BA$3,"="&amp;$DF41+'Model Setup'!$E$7,$B41:$Y41)+'Model Setup'!$E$8*(SUMIF($AD$3:$BA$3,"&lt;"&amp;$DF41,$B41:$Y41)+SUMIF($AD$3:$BA$3,"&gt;="&amp;$DG41,$B41:$Y41)),
IF(AF$3=$DF41+'Model Setup'!$F$7,SUMIF($AD$3:$BA$3,"="&amp;$DF41+'Model Setup'!$F$7,$B41:$Y41)+'Model Setup'!$F$8*(SUMIF($AD$3:$BA$3,"&lt;"&amp;$DF41,$B41:$Y41)+SUMIF($AD$3:$BA$3,"&gt;="&amp;$DG41,$B41:$Y41)),
IF(AF$3=$DF41+'Model Setup'!$G$7,SUMIF($AD$3:$BA$3,"="&amp;$DF41+'Model Setup'!$G$7,$B41:$Y41)+'Model Setup'!$G$8*(SUMIF($AD$3:$BA$3,"&lt;"&amp;$DF41,$B41:$Y41)+SUMIF($AD$3:$BA$3,"&gt;="&amp;$DG41,$B41:$Y41)),
IF(AF$3=$DF41+'Model Setup'!$H$7,SUMIF($AD$3:$BA$3,"="&amp;$DF41+'Model Setup'!$H$7,$B41:$Y41)+'Model Setup'!$H$8*(SUMIF($AD$3:$BA$3,"&lt;"&amp;$DF41,$B41:$Y41)+SUMIF($AD$3:$BA$3,"&gt;="&amp;$DG41,$B41:$Y41)),
IF(AF$3=$DF41+'Model Setup'!$I$7,SUMIF($AD$3:$BA$3,"="&amp;$DF41+'Model Setup'!$I$7,$B41:$Y41)+'Model Setup'!$I$8*(SUMIF($AD$3:$BA$3,"&lt;"&amp;$DF41,$B41:$Y41)+SUMIF($AD$3:$BA$3,"&gt;="&amp;$DG41,$B41:$Y41)),
IF(AF$3=$DF41+'Model Setup'!$J$7,SUMIF($AD$3:$BA$3,"="&amp;$DF41+'Model Setup'!$J$7,$B41:$Y41)+'Model Setup'!$J$8*(SUMIF($AD$3:$BA$3,"&lt;"&amp;$DF41,$B41:$Y41)+SUMIF($AD$3:$BA$3,"&gt;="&amp;$DG41,$B41:$Y41)),
IF(AF$3=$DF41+'Model Setup'!$K$7,SUMIF($AD$3:$BA$3,"="&amp;$DF41+'Model Setup'!$K$7,$B41:$Y41)+'Model Setup'!$K$8*(SUMIF($AD$3:$BA$3,"&lt;"&amp;$DF41,$B41:$Y41)+SUMIF($AD$3:$BA$3,"&gt;="&amp;$DG41,$B41:$Y41)),
IF(AF$3=$DF41+'Model Setup'!$L$7,SUMIF($AD$3:$BA$3,"="&amp;$DF41+'Model Setup'!$L$7,$B41:$Y41)+'Model Setup'!$L$8*(SUMIF($AD$3:$BA$3,"&lt;"&amp;$DF41,$B41:$Y41)+SUMIF($AD$3:$BA$3,"&gt;="&amp;$DG41,$B41:$Y41)),
IF(AF$3=$DF41+'Model Setup'!$M$7,SUMIF($AD$3:$BA$3,"="&amp;$DF41+'Model Setup'!$M$7,$B41:$Y41)+'Model Setup'!$M$8*(SUMIF($AD$3:$BA$3,"&lt;"&amp;$DF41,$B41:$Y41)+SUMIF($AD$3:$BA$3,"&gt;="&amp;$DG41,$B41:$Y41)),
IF(AF$3=$DF41+'Model Setup'!$N$7,SUMIF($AD$3:$BA$3,"="&amp;$DF41+'Model Setup'!$N$7,$B41:$Y41)+'Model Setup'!$N$8*(SUMIF($AD$3:$BA$3,"&lt;"&amp;$DF41,$B41:$Y41)+SUMIF($AD$3:$BA$3,"&gt;="&amp;$DG41,$B41:$Y41)),
IF(AF$3&lt;$DG41,D41,0))))))))))))))),0)</f>
        <v>0</v>
      </c>
      <c r="AG41" s="47">
        <f>ROUND(IF(AG$3&lt;$DF41,0,
IF(AG$3=$DF41+'Model Setup'!$B$7,SUMIF($AD$3:$BA$3,"="&amp;$DF41+'Model Setup'!$B$7,$B41:$Y41)+'Model Setup'!$B$8*(SUMIF($AD$3:$BA$3,"&lt;"&amp;$DF41,$B41:$Y41)+SUMIF($AD$3:$BA$3,"&gt;="&amp;$DG41,$B41:$Y41)),
IF(AG$3=$DF41+'Model Setup'!$C$7,SUMIF($AD$3:$BA$3,"="&amp;$DF41+'Model Setup'!$C$7,$B41:$Y41)+'Model Setup'!$C$8*(SUMIF($AD$3:$BA$3,"&lt;"&amp;$DF41,$B41:$Y41)+SUMIF($AD$3:$BA$3,"&gt;="&amp;$DG41,$B41:$Y41)),
IF(AG$3=$DF41+'Model Setup'!$D$7,SUMIF($AD$3:$BA$3,"="&amp;$DF41+'Model Setup'!$D$7,$B41:$Y41)+'Model Setup'!$D$8*(SUMIF($AD$3:$BA$3,"&lt;"&amp;$DF41,$B41:$Y41)+SUMIF($AD$3:$BA$3,"&gt;="&amp;$DG41,$B41:$Y41)),
IF(AG$3=$DF41+'Model Setup'!$E$7,SUMIF($AD$3:$BA$3,"="&amp;$DF41+'Model Setup'!$E$7,$B41:$Y41)+'Model Setup'!$E$8*(SUMIF($AD$3:$BA$3,"&lt;"&amp;$DF41,$B41:$Y41)+SUMIF($AD$3:$BA$3,"&gt;="&amp;$DG41,$B41:$Y41)),
IF(AG$3=$DF41+'Model Setup'!$F$7,SUMIF($AD$3:$BA$3,"="&amp;$DF41+'Model Setup'!$F$7,$B41:$Y41)+'Model Setup'!$F$8*(SUMIF($AD$3:$BA$3,"&lt;"&amp;$DF41,$B41:$Y41)+SUMIF($AD$3:$BA$3,"&gt;="&amp;$DG41,$B41:$Y41)),
IF(AG$3=$DF41+'Model Setup'!$G$7,SUMIF($AD$3:$BA$3,"="&amp;$DF41+'Model Setup'!$G$7,$B41:$Y41)+'Model Setup'!$G$8*(SUMIF($AD$3:$BA$3,"&lt;"&amp;$DF41,$B41:$Y41)+SUMIF($AD$3:$BA$3,"&gt;="&amp;$DG41,$B41:$Y41)),
IF(AG$3=$DF41+'Model Setup'!$H$7,SUMIF($AD$3:$BA$3,"="&amp;$DF41+'Model Setup'!$H$7,$B41:$Y41)+'Model Setup'!$H$8*(SUMIF($AD$3:$BA$3,"&lt;"&amp;$DF41,$B41:$Y41)+SUMIF($AD$3:$BA$3,"&gt;="&amp;$DG41,$B41:$Y41)),
IF(AG$3=$DF41+'Model Setup'!$I$7,SUMIF($AD$3:$BA$3,"="&amp;$DF41+'Model Setup'!$I$7,$B41:$Y41)+'Model Setup'!$I$8*(SUMIF($AD$3:$BA$3,"&lt;"&amp;$DF41,$B41:$Y41)+SUMIF($AD$3:$BA$3,"&gt;="&amp;$DG41,$B41:$Y41)),
IF(AG$3=$DF41+'Model Setup'!$J$7,SUMIF($AD$3:$BA$3,"="&amp;$DF41+'Model Setup'!$J$7,$B41:$Y41)+'Model Setup'!$J$8*(SUMIF($AD$3:$BA$3,"&lt;"&amp;$DF41,$B41:$Y41)+SUMIF($AD$3:$BA$3,"&gt;="&amp;$DG41,$B41:$Y41)),
IF(AG$3=$DF41+'Model Setup'!$K$7,SUMIF($AD$3:$BA$3,"="&amp;$DF41+'Model Setup'!$K$7,$B41:$Y41)+'Model Setup'!$K$8*(SUMIF($AD$3:$BA$3,"&lt;"&amp;$DF41,$B41:$Y41)+SUMIF($AD$3:$BA$3,"&gt;="&amp;$DG41,$B41:$Y41)),
IF(AG$3=$DF41+'Model Setup'!$L$7,SUMIF($AD$3:$BA$3,"="&amp;$DF41+'Model Setup'!$L$7,$B41:$Y41)+'Model Setup'!$L$8*(SUMIF($AD$3:$BA$3,"&lt;"&amp;$DF41,$B41:$Y41)+SUMIF($AD$3:$BA$3,"&gt;="&amp;$DG41,$B41:$Y41)),
IF(AG$3=$DF41+'Model Setup'!$M$7,SUMIF($AD$3:$BA$3,"="&amp;$DF41+'Model Setup'!$M$7,$B41:$Y41)+'Model Setup'!$M$8*(SUMIF($AD$3:$BA$3,"&lt;"&amp;$DF41,$B41:$Y41)+SUMIF($AD$3:$BA$3,"&gt;="&amp;$DG41,$B41:$Y41)),
IF(AG$3=$DF41+'Model Setup'!$N$7,SUMIF($AD$3:$BA$3,"="&amp;$DF41+'Model Setup'!$N$7,$B41:$Y41)+'Model Setup'!$N$8*(SUMIF($AD$3:$BA$3,"&lt;"&amp;$DF41,$B41:$Y41)+SUMIF($AD$3:$BA$3,"&gt;="&amp;$DG41,$B41:$Y41)),
IF(AG$3&lt;$DG41,E41,0))))))))))))))),0)</f>
        <v>0</v>
      </c>
      <c r="AH41" s="47">
        <f>ROUND(IF(AH$3&lt;$DF41,0,
IF(AH$3=$DF41+'Model Setup'!$B$7,SUMIF($AD$3:$BA$3,"="&amp;$DF41+'Model Setup'!$B$7,$B41:$Y41)+'Model Setup'!$B$8*(SUMIF($AD$3:$BA$3,"&lt;"&amp;$DF41,$B41:$Y41)+SUMIF($AD$3:$BA$3,"&gt;="&amp;$DG41,$B41:$Y41)),
IF(AH$3=$DF41+'Model Setup'!$C$7,SUMIF($AD$3:$BA$3,"="&amp;$DF41+'Model Setup'!$C$7,$B41:$Y41)+'Model Setup'!$C$8*(SUMIF($AD$3:$BA$3,"&lt;"&amp;$DF41,$B41:$Y41)+SUMIF($AD$3:$BA$3,"&gt;="&amp;$DG41,$B41:$Y41)),
IF(AH$3=$DF41+'Model Setup'!$D$7,SUMIF($AD$3:$BA$3,"="&amp;$DF41+'Model Setup'!$D$7,$B41:$Y41)+'Model Setup'!$D$8*(SUMIF($AD$3:$BA$3,"&lt;"&amp;$DF41,$B41:$Y41)+SUMIF($AD$3:$BA$3,"&gt;="&amp;$DG41,$B41:$Y41)),
IF(AH$3=$DF41+'Model Setup'!$E$7,SUMIF($AD$3:$BA$3,"="&amp;$DF41+'Model Setup'!$E$7,$B41:$Y41)+'Model Setup'!$E$8*(SUMIF($AD$3:$BA$3,"&lt;"&amp;$DF41,$B41:$Y41)+SUMIF($AD$3:$BA$3,"&gt;="&amp;$DG41,$B41:$Y41)),
IF(AH$3=$DF41+'Model Setup'!$F$7,SUMIF($AD$3:$BA$3,"="&amp;$DF41+'Model Setup'!$F$7,$B41:$Y41)+'Model Setup'!$F$8*(SUMIF($AD$3:$BA$3,"&lt;"&amp;$DF41,$B41:$Y41)+SUMIF($AD$3:$BA$3,"&gt;="&amp;$DG41,$B41:$Y41)),
IF(AH$3=$DF41+'Model Setup'!$G$7,SUMIF($AD$3:$BA$3,"="&amp;$DF41+'Model Setup'!$G$7,$B41:$Y41)+'Model Setup'!$G$8*(SUMIF($AD$3:$BA$3,"&lt;"&amp;$DF41,$B41:$Y41)+SUMIF($AD$3:$BA$3,"&gt;="&amp;$DG41,$B41:$Y41)),
IF(AH$3=$DF41+'Model Setup'!$H$7,SUMIF($AD$3:$BA$3,"="&amp;$DF41+'Model Setup'!$H$7,$B41:$Y41)+'Model Setup'!$H$8*(SUMIF($AD$3:$BA$3,"&lt;"&amp;$DF41,$B41:$Y41)+SUMIF($AD$3:$BA$3,"&gt;="&amp;$DG41,$B41:$Y41)),
IF(AH$3=$DF41+'Model Setup'!$I$7,SUMIF($AD$3:$BA$3,"="&amp;$DF41+'Model Setup'!$I$7,$B41:$Y41)+'Model Setup'!$I$8*(SUMIF($AD$3:$BA$3,"&lt;"&amp;$DF41,$B41:$Y41)+SUMIF($AD$3:$BA$3,"&gt;="&amp;$DG41,$B41:$Y41)),
IF(AH$3=$DF41+'Model Setup'!$J$7,SUMIF($AD$3:$BA$3,"="&amp;$DF41+'Model Setup'!$J$7,$B41:$Y41)+'Model Setup'!$J$8*(SUMIF($AD$3:$BA$3,"&lt;"&amp;$DF41,$B41:$Y41)+SUMIF($AD$3:$BA$3,"&gt;="&amp;$DG41,$B41:$Y41)),
IF(AH$3=$DF41+'Model Setup'!$K$7,SUMIF($AD$3:$BA$3,"="&amp;$DF41+'Model Setup'!$K$7,$B41:$Y41)+'Model Setup'!$K$8*(SUMIF($AD$3:$BA$3,"&lt;"&amp;$DF41,$B41:$Y41)+SUMIF($AD$3:$BA$3,"&gt;="&amp;$DG41,$B41:$Y41)),
IF(AH$3=$DF41+'Model Setup'!$L$7,SUMIF($AD$3:$BA$3,"="&amp;$DF41+'Model Setup'!$L$7,$B41:$Y41)+'Model Setup'!$L$8*(SUMIF($AD$3:$BA$3,"&lt;"&amp;$DF41,$B41:$Y41)+SUMIF($AD$3:$BA$3,"&gt;="&amp;$DG41,$B41:$Y41)),
IF(AH$3=$DF41+'Model Setup'!$M$7,SUMIF($AD$3:$BA$3,"="&amp;$DF41+'Model Setup'!$M$7,$B41:$Y41)+'Model Setup'!$M$8*(SUMIF($AD$3:$BA$3,"&lt;"&amp;$DF41,$B41:$Y41)+SUMIF($AD$3:$BA$3,"&gt;="&amp;$DG41,$B41:$Y41)),
IF(AH$3=$DF41+'Model Setup'!$N$7,SUMIF($AD$3:$BA$3,"="&amp;$DF41+'Model Setup'!$N$7,$B41:$Y41)+'Model Setup'!$N$8*(SUMIF($AD$3:$BA$3,"&lt;"&amp;$DF41,$B41:$Y41)+SUMIF($AD$3:$BA$3,"&gt;="&amp;$DG41,$B41:$Y41)),
IF(AH$3&lt;$DG41,F41,0))))))))))))))),0)</f>
        <v>0</v>
      </c>
      <c r="AI41" s="47">
        <f>ROUND(IF(AI$3&lt;$DF41,0,
IF(AI$3=$DF41+'Model Setup'!$B$7,SUMIF($AD$3:$BA$3,"="&amp;$DF41+'Model Setup'!$B$7,$B41:$Y41)+'Model Setup'!$B$8*(SUMIF($AD$3:$BA$3,"&lt;"&amp;$DF41,$B41:$Y41)+SUMIF($AD$3:$BA$3,"&gt;="&amp;$DG41,$B41:$Y41)),
IF(AI$3=$DF41+'Model Setup'!$C$7,SUMIF($AD$3:$BA$3,"="&amp;$DF41+'Model Setup'!$C$7,$B41:$Y41)+'Model Setup'!$C$8*(SUMIF($AD$3:$BA$3,"&lt;"&amp;$DF41,$B41:$Y41)+SUMIF($AD$3:$BA$3,"&gt;="&amp;$DG41,$B41:$Y41)),
IF(AI$3=$DF41+'Model Setup'!$D$7,SUMIF($AD$3:$BA$3,"="&amp;$DF41+'Model Setup'!$D$7,$B41:$Y41)+'Model Setup'!$D$8*(SUMIF($AD$3:$BA$3,"&lt;"&amp;$DF41,$B41:$Y41)+SUMIF($AD$3:$BA$3,"&gt;="&amp;$DG41,$B41:$Y41)),
IF(AI$3=$DF41+'Model Setup'!$E$7,SUMIF($AD$3:$BA$3,"="&amp;$DF41+'Model Setup'!$E$7,$B41:$Y41)+'Model Setup'!$E$8*(SUMIF($AD$3:$BA$3,"&lt;"&amp;$DF41,$B41:$Y41)+SUMIF($AD$3:$BA$3,"&gt;="&amp;$DG41,$B41:$Y41)),
IF(AI$3=$DF41+'Model Setup'!$F$7,SUMIF($AD$3:$BA$3,"="&amp;$DF41+'Model Setup'!$F$7,$B41:$Y41)+'Model Setup'!$F$8*(SUMIF($AD$3:$BA$3,"&lt;"&amp;$DF41,$B41:$Y41)+SUMIF($AD$3:$BA$3,"&gt;="&amp;$DG41,$B41:$Y41)),
IF(AI$3=$DF41+'Model Setup'!$G$7,SUMIF($AD$3:$BA$3,"="&amp;$DF41+'Model Setup'!$G$7,$B41:$Y41)+'Model Setup'!$G$8*(SUMIF($AD$3:$BA$3,"&lt;"&amp;$DF41,$B41:$Y41)+SUMIF($AD$3:$BA$3,"&gt;="&amp;$DG41,$B41:$Y41)),
IF(AI$3=$DF41+'Model Setup'!$H$7,SUMIF($AD$3:$BA$3,"="&amp;$DF41+'Model Setup'!$H$7,$B41:$Y41)+'Model Setup'!$H$8*(SUMIF($AD$3:$BA$3,"&lt;"&amp;$DF41,$B41:$Y41)+SUMIF($AD$3:$BA$3,"&gt;="&amp;$DG41,$B41:$Y41)),
IF(AI$3=$DF41+'Model Setup'!$I$7,SUMIF($AD$3:$BA$3,"="&amp;$DF41+'Model Setup'!$I$7,$B41:$Y41)+'Model Setup'!$I$8*(SUMIF($AD$3:$BA$3,"&lt;"&amp;$DF41,$B41:$Y41)+SUMIF($AD$3:$BA$3,"&gt;="&amp;$DG41,$B41:$Y41)),
IF(AI$3=$DF41+'Model Setup'!$J$7,SUMIF($AD$3:$BA$3,"="&amp;$DF41+'Model Setup'!$J$7,$B41:$Y41)+'Model Setup'!$J$8*(SUMIF($AD$3:$BA$3,"&lt;"&amp;$DF41,$B41:$Y41)+SUMIF($AD$3:$BA$3,"&gt;="&amp;$DG41,$B41:$Y41)),
IF(AI$3=$DF41+'Model Setup'!$K$7,SUMIF($AD$3:$BA$3,"="&amp;$DF41+'Model Setup'!$K$7,$B41:$Y41)+'Model Setup'!$K$8*(SUMIF($AD$3:$BA$3,"&lt;"&amp;$DF41,$B41:$Y41)+SUMIF($AD$3:$BA$3,"&gt;="&amp;$DG41,$B41:$Y41)),
IF(AI$3=$DF41+'Model Setup'!$L$7,SUMIF($AD$3:$BA$3,"="&amp;$DF41+'Model Setup'!$L$7,$B41:$Y41)+'Model Setup'!$L$8*(SUMIF($AD$3:$BA$3,"&lt;"&amp;$DF41,$B41:$Y41)+SUMIF($AD$3:$BA$3,"&gt;="&amp;$DG41,$B41:$Y41)),
IF(AI$3=$DF41+'Model Setup'!$M$7,SUMIF($AD$3:$BA$3,"="&amp;$DF41+'Model Setup'!$M$7,$B41:$Y41)+'Model Setup'!$M$8*(SUMIF($AD$3:$BA$3,"&lt;"&amp;$DF41,$B41:$Y41)+SUMIF($AD$3:$BA$3,"&gt;="&amp;$DG41,$B41:$Y41)),
IF(AI$3=$DF41+'Model Setup'!$N$7,SUMIF($AD$3:$BA$3,"="&amp;$DF41+'Model Setup'!$N$7,$B41:$Y41)+'Model Setup'!$N$8*(SUMIF($AD$3:$BA$3,"&lt;"&amp;$DF41,$B41:$Y41)+SUMIF($AD$3:$BA$3,"&gt;="&amp;$DG41,$B41:$Y41)),
IF(AI$3&lt;$DG41,G41,0))))))))))))))),0)</f>
        <v>0</v>
      </c>
      <c r="AJ41" s="47">
        <f>ROUND(IF(AJ$3&lt;$DF41,0,
IF(AJ$3=$DF41+'Model Setup'!$B$7,SUMIF($AD$3:$BA$3,"="&amp;$DF41+'Model Setup'!$B$7,$B41:$Y41)+'Model Setup'!$B$8*(SUMIF($AD$3:$BA$3,"&lt;"&amp;$DF41,$B41:$Y41)+SUMIF($AD$3:$BA$3,"&gt;="&amp;$DG41,$B41:$Y41)),
IF(AJ$3=$DF41+'Model Setup'!$C$7,SUMIF($AD$3:$BA$3,"="&amp;$DF41+'Model Setup'!$C$7,$B41:$Y41)+'Model Setup'!$C$8*(SUMIF($AD$3:$BA$3,"&lt;"&amp;$DF41,$B41:$Y41)+SUMIF($AD$3:$BA$3,"&gt;="&amp;$DG41,$B41:$Y41)),
IF(AJ$3=$DF41+'Model Setup'!$D$7,SUMIF($AD$3:$BA$3,"="&amp;$DF41+'Model Setup'!$D$7,$B41:$Y41)+'Model Setup'!$D$8*(SUMIF($AD$3:$BA$3,"&lt;"&amp;$DF41,$B41:$Y41)+SUMIF($AD$3:$BA$3,"&gt;="&amp;$DG41,$B41:$Y41)),
IF(AJ$3=$DF41+'Model Setup'!$E$7,SUMIF($AD$3:$BA$3,"="&amp;$DF41+'Model Setup'!$E$7,$B41:$Y41)+'Model Setup'!$E$8*(SUMIF($AD$3:$BA$3,"&lt;"&amp;$DF41,$B41:$Y41)+SUMIF($AD$3:$BA$3,"&gt;="&amp;$DG41,$B41:$Y41)),
IF(AJ$3=$DF41+'Model Setup'!$F$7,SUMIF($AD$3:$BA$3,"="&amp;$DF41+'Model Setup'!$F$7,$B41:$Y41)+'Model Setup'!$F$8*(SUMIF($AD$3:$BA$3,"&lt;"&amp;$DF41,$B41:$Y41)+SUMIF($AD$3:$BA$3,"&gt;="&amp;$DG41,$B41:$Y41)),
IF(AJ$3=$DF41+'Model Setup'!$G$7,SUMIF($AD$3:$BA$3,"="&amp;$DF41+'Model Setup'!$G$7,$B41:$Y41)+'Model Setup'!$G$8*(SUMIF($AD$3:$BA$3,"&lt;"&amp;$DF41,$B41:$Y41)+SUMIF($AD$3:$BA$3,"&gt;="&amp;$DG41,$B41:$Y41)),
IF(AJ$3=$DF41+'Model Setup'!$H$7,SUMIF($AD$3:$BA$3,"="&amp;$DF41+'Model Setup'!$H$7,$B41:$Y41)+'Model Setup'!$H$8*(SUMIF($AD$3:$BA$3,"&lt;"&amp;$DF41,$B41:$Y41)+SUMIF($AD$3:$BA$3,"&gt;="&amp;$DG41,$B41:$Y41)),
IF(AJ$3=$DF41+'Model Setup'!$I$7,SUMIF($AD$3:$BA$3,"="&amp;$DF41+'Model Setup'!$I$7,$B41:$Y41)+'Model Setup'!$I$8*(SUMIF($AD$3:$BA$3,"&lt;"&amp;$DF41,$B41:$Y41)+SUMIF($AD$3:$BA$3,"&gt;="&amp;$DG41,$B41:$Y41)),
IF(AJ$3=$DF41+'Model Setup'!$J$7,SUMIF($AD$3:$BA$3,"="&amp;$DF41+'Model Setup'!$J$7,$B41:$Y41)+'Model Setup'!$J$8*(SUMIF($AD$3:$BA$3,"&lt;"&amp;$DF41,$B41:$Y41)+SUMIF($AD$3:$BA$3,"&gt;="&amp;$DG41,$B41:$Y41)),
IF(AJ$3=$DF41+'Model Setup'!$K$7,SUMIF($AD$3:$BA$3,"="&amp;$DF41+'Model Setup'!$K$7,$B41:$Y41)+'Model Setup'!$K$8*(SUMIF($AD$3:$BA$3,"&lt;"&amp;$DF41,$B41:$Y41)+SUMIF($AD$3:$BA$3,"&gt;="&amp;$DG41,$B41:$Y41)),
IF(AJ$3=$DF41+'Model Setup'!$L$7,SUMIF($AD$3:$BA$3,"="&amp;$DF41+'Model Setup'!$L$7,$B41:$Y41)+'Model Setup'!$L$8*(SUMIF($AD$3:$BA$3,"&lt;"&amp;$DF41,$B41:$Y41)+SUMIF($AD$3:$BA$3,"&gt;="&amp;$DG41,$B41:$Y41)),
IF(AJ$3=$DF41+'Model Setup'!$M$7,SUMIF($AD$3:$BA$3,"="&amp;$DF41+'Model Setup'!$M$7,$B41:$Y41)+'Model Setup'!$M$8*(SUMIF($AD$3:$BA$3,"&lt;"&amp;$DF41,$B41:$Y41)+SUMIF($AD$3:$BA$3,"&gt;="&amp;$DG41,$B41:$Y41)),
IF(AJ$3=$DF41+'Model Setup'!$N$7,SUMIF($AD$3:$BA$3,"="&amp;$DF41+'Model Setup'!$N$7,$B41:$Y41)+'Model Setup'!$N$8*(SUMIF($AD$3:$BA$3,"&lt;"&amp;$DF41,$B41:$Y41)+SUMIF($AD$3:$BA$3,"&gt;="&amp;$DG41,$B41:$Y41)),
IF(AJ$3&lt;$DG41,H41,0))))))))))))))),0)</f>
        <v>0</v>
      </c>
      <c r="AK41" s="47">
        <f>ROUND(IF(AK$3&lt;$DF41,0,
IF(AK$3=$DF41+'Model Setup'!$B$7,SUMIF($AD$3:$BA$3,"="&amp;$DF41+'Model Setup'!$B$7,$B41:$Y41)+'Model Setup'!$B$8*(SUMIF($AD$3:$BA$3,"&lt;"&amp;$DF41,$B41:$Y41)+SUMIF($AD$3:$BA$3,"&gt;="&amp;$DG41,$B41:$Y41)),
IF(AK$3=$DF41+'Model Setup'!$C$7,SUMIF($AD$3:$BA$3,"="&amp;$DF41+'Model Setup'!$C$7,$B41:$Y41)+'Model Setup'!$C$8*(SUMIF($AD$3:$BA$3,"&lt;"&amp;$DF41,$B41:$Y41)+SUMIF($AD$3:$BA$3,"&gt;="&amp;$DG41,$B41:$Y41)),
IF(AK$3=$DF41+'Model Setup'!$D$7,SUMIF($AD$3:$BA$3,"="&amp;$DF41+'Model Setup'!$D$7,$B41:$Y41)+'Model Setup'!$D$8*(SUMIF($AD$3:$BA$3,"&lt;"&amp;$DF41,$B41:$Y41)+SUMIF($AD$3:$BA$3,"&gt;="&amp;$DG41,$B41:$Y41)),
IF(AK$3=$DF41+'Model Setup'!$E$7,SUMIF($AD$3:$BA$3,"="&amp;$DF41+'Model Setup'!$E$7,$B41:$Y41)+'Model Setup'!$E$8*(SUMIF($AD$3:$BA$3,"&lt;"&amp;$DF41,$B41:$Y41)+SUMIF($AD$3:$BA$3,"&gt;="&amp;$DG41,$B41:$Y41)),
IF(AK$3=$DF41+'Model Setup'!$F$7,SUMIF($AD$3:$BA$3,"="&amp;$DF41+'Model Setup'!$F$7,$B41:$Y41)+'Model Setup'!$F$8*(SUMIF($AD$3:$BA$3,"&lt;"&amp;$DF41,$B41:$Y41)+SUMIF($AD$3:$BA$3,"&gt;="&amp;$DG41,$B41:$Y41)),
IF(AK$3=$DF41+'Model Setup'!$G$7,SUMIF($AD$3:$BA$3,"="&amp;$DF41+'Model Setup'!$G$7,$B41:$Y41)+'Model Setup'!$G$8*(SUMIF($AD$3:$BA$3,"&lt;"&amp;$DF41,$B41:$Y41)+SUMIF($AD$3:$BA$3,"&gt;="&amp;$DG41,$B41:$Y41)),
IF(AK$3=$DF41+'Model Setup'!$H$7,SUMIF($AD$3:$BA$3,"="&amp;$DF41+'Model Setup'!$H$7,$B41:$Y41)+'Model Setup'!$H$8*(SUMIF($AD$3:$BA$3,"&lt;"&amp;$DF41,$B41:$Y41)+SUMIF($AD$3:$BA$3,"&gt;="&amp;$DG41,$B41:$Y41)),
IF(AK$3=$DF41+'Model Setup'!$I$7,SUMIF($AD$3:$BA$3,"="&amp;$DF41+'Model Setup'!$I$7,$B41:$Y41)+'Model Setup'!$I$8*(SUMIF($AD$3:$BA$3,"&lt;"&amp;$DF41,$B41:$Y41)+SUMIF($AD$3:$BA$3,"&gt;="&amp;$DG41,$B41:$Y41)),
IF(AK$3=$DF41+'Model Setup'!$J$7,SUMIF($AD$3:$BA$3,"="&amp;$DF41+'Model Setup'!$J$7,$B41:$Y41)+'Model Setup'!$J$8*(SUMIF($AD$3:$BA$3,"&lt;"&amp;$DF41,$B41:$Y41)+SUMIF($AD$3:$BA$3,"&gt;="&amp;$DG41,$B41:$Y41)),
IF(AK$3=$DF41+'Model Setup'!$K$7,SUMIF($AD$3:$BA$3,"="&amp;$DF41+'Model Setup'!$K$7,$B41:$Y41)+'Model Setup'!$K$8*(SUMIF($AD$3:$BA$3,"&lt;"&amp;$DF41,$B41:$Y41)+SUMIF($AD$3:$BA$3,"&gt;="&amp;$DG41,$B41:$Y41)),
IF(AK$3=$DF41+'Model Setup'!$L$7,SUMIF($AD$3:$BA$3,"="&amp;$DF41+'Model Setup'!$L$7,$B41:$Y41)+'Model Setup'!$L$8*(SUMIF($AD$3:$BA$3,"&lt;"&amp;$DF41,$B41:$Y41)+SUMIF($AD$3:$BA$3,"&gt;="&amp;$DG41,$B41:$Y41)),
IF(AK$3=$DF41+'Model Setup'!$M$7,SUMIF($AD$3:$BA$3,"="&amp;$DF41+'Model Setup'!$M$7,$B41:$Y41)+'Model Setup'!$M$8*(SUMIF($AD$3:$BA$3,"&lt;"&amp;$DF41,$B41:$Y41)+SUMIF($AD$3:$BA$3,"&gt;="&amp;$DG41,$B41:$Y41)),
IF(AK$3=$DF41+'Model Setup'!$N$7,SUMIF($AD$3:$BA$3,"="&amp;$DF41+'Model Setup'!$N$7,$B41:$Y41)+'Model Setup'!$N$8*(SUMIF($AD$3:$BA$3,"&lt;"&amp;$DF41,$B41:$Y41)+SUMIF($AD$3:$BA$3,"&gt;="&amp;$DG41,$B41:$Y41)),
IF(AK$3&lt;$DG41,I41,0))))))))))))))),0)</f>
        <v>43</v>
      </c>
      <c r="AL41" s="47">
        <f>ROUND(IF(AL$3&lt;$DF41,0,
IF(AL$3=$DF41+'Model Setup'!$B$7,SUMIF($AD$3:$BA$3,"="&amp;$DF41+'Model Setup'!$B$7,$B41:$Y41)+'Model Setup'!$B$8*(SUMIF($AD$3:$BA$3,"&lt;"&amp;$DF41,$B41:$Y41)+SUMIF($AD$3:$BA$3,"&gt;="&amp;$DG41,$B41:$Y41)),
IF(AL$3=$DF41+'Model Setup'!$C$7,SUMIF($AD$3:$BA$3,"="&amp;$DF41+'Model Setup'!$C$7,$B41:$Y41)+'Model Setup'!$C$8*(SUMIF($AD$3:$BA$3,"&lt;"&amp;$DF41,$B41:$Y41)+SUMIF($AD$3:$BA$3,"&gt;="&amp;$DG41,$B41:$Y41)),
IF(AL$3=$DF41+'Model Setup'!$D$7,SUMIF($AD$3:$BA$3,"="&amp;$DF41+'Model Setup'!$D$7,$B41:$Y41)+'Model Setup'!$D$8*(SUMIF($AD$3:$BA$3,"&lt;"&amp;$DF41,$B41:$Y41)+SUMIF($AD$3:$BA$3,"&gt;="&amp;$DG41,$B41:$Y41)),
IF(AL$3=$DF41+'Model Setup'!$E$7,SUMIF($AD$3:$BA$3,"="&amp;$DF41+'Model Setup'!$E$7,$B41:$Y41)+'Model Setup'!$E$8*(SUMIF($AD$3:$BA$3,"&lt;"&amp;$DF41,$B41:$Y41)+SUMIF($AD$3:$BA$3,"&gt;="&amp;$DG41,$B41:$Y41)),
IF(AL$3=$DF41+'Model Setup'!$F$7,SUMIF($AD$3:$BA$3,"="&amp;$DF41+'Model Setup'!$F$7,$B41:$Y41)+'Model Setup'!$F$8*(SUMIF($AD$3:$BA$3,"&lt;"&amp;$DF41,$B41:$Y41)+SUMIF($AD$3:$BA$3,"&gt;="&amp;$DG41,$B41:$Y41)),
IF(AL$3=$DF41+'Model Setup'!$G$7,SUMIF($AD$3:$BA$3,"="&amp;$DF41+'Model Setup'!$G$7,$B41:$Y41)+'Model Setup'!$G$8*(SUMIF($AD$3:$BA$3,"&lt;"&amp;$DF41,$B41:$Y41)+SUMIF($AD$3:$BA$3,"&gt;="&amp;$DG41,$B41:$Y41)),
IF(AL$3=$DF41+'Model Setup'!$H$7,SUMIF($AD$3:$BA$3,"="&amp;$DF41+'Model Setup'!$H$7,$B41:$Y41)+'Model Setup'!$H$8*(SUMIF($AD$3:$BA$3,"&lt;"&amp;$DF41,$B41:$Y41)+SUMIF($AD$3:$BA$3,"&gt;="&amp;$DG41,$B41:$Y41)),
IF(AL$3=$DF41+'Model Setup'!$I$7,SUMIF($AD$3:$BA$3,"="&amp;$DF41+'Model Setup'!$I$7,$B41:$Y41)+'Model Setup'!$I$8*(SUMIF($AD$3:$BA$3,"&lt;"&amp;$DF41,$B41:$Y41)+SUMIF($AD$3:$BA$3,"&gt;="&amp;$DG41,$B41:$Y41)),
IF(AL$3=$DF41+'Model Setup'!$J$7,SUMIF($AD$3:$BA$3,"="&amp;$DF41+'Model Setup'!$J$7,$B41:$Y41)+'Model Setup'!$J$8*(SUMIF($AD$3:$BA$3,"&lt;"&amp;$DF41,$B41:$Y41)+SUMIF($AD$3:$BA$3,"&gt;="&amp;$DG41,$B41:$Y41)),
IF(AL$3=$DF41+'Model Setup'!$K$7,SUMIF($AD$3:$BA$3,"="&amp;$DF41+'Model Setup'!$K$7,$B41:$Y41)+'Model Setup'!$K$8*(SUMIF($AD$3:$BA$3,"&lt;"&amp;$DF41,$B41:$Y41)+SUMIF($AD$3:$BA$3,"&gt;="&amp;$DG41,$B41:$Y41)),
IF(AL$3=$DF41+'Model Setup'!$L$7,SUMIF($AD$3:$BA$3,"="&amp;$DF41+'Model Setup'!$L$7,$B41:$Y41)+'Model Setup'!$L$8*(SUMIF($AD$3:$BA$3,"&lt;"&amp;$DF41,$B41:$Y41)+SUMIF($AD$3:$BA$3,"&gt;="&amp;$DG41,$B41:$Y41)),
IF(AL$3=$DF41+'Model Setup'!$M$7,SUMIF($AD$3:$BA$3,"="&amp;$DF41+'Model Setup'!$M$7,$B41:$Y41)+'Model Setup'!$M$8*(SUMIF($AD$3:$BA$3,"&lt;"&amp;$DF41,$B41:$Y41)+SUMIF($AD$3:$BA$3,"&gt;="&amp;$DG41,$B41:$Y41)),
IF(AL$3=$DF41+'Model Setup'!$N$7,SUMIF($AD$3:$BA$3,"="&amp;$DF41+'Model Setup'!$N$7,$B41:$Y41)+'Model Setup'!$N$8*(SUMIF($AD$3:$BA$3,"&lt;"&amp;$DF41,$B41:$Y41)+SUMIF($AD$3:$BA$3,"&gt;="&amp;$DG41,$B41:$Y41)),
IF(AL$3&lt;$DG41,J41,0))))))))))))))),0)</f>
        <v>31</v>
      </c>
      <c r="AM41" s="47">
        <f>ROUND(IF(AM$3&lt;$DF41,0,
IF(AM$3=$DF41+'Model Setup'!$B$7,SUMIF($AD$3:$BA$3,"="&amp;$DF41+'Model Setup'!$B$7,$B41:$Y41)+'Model Setup'!$B$8*(SUMIF($AD$3:$BA$3,"&lt;"&amp;$DF41,$B41:$Y41)+SUMIF($AD$3:$BA$3,"&gt;="&amp;$DG41,$B41:$Y41)),
IF(AM$3=$DF41+'Model Setup'!$C$7,SUMIF($AD$3:$BA$3,"="&amp;$DF41+'Model Setup'!$C$7,$B41:$Y41)+'Model Setup'!$C$8*(SUMIF($AD$3:$BA$3,"&lt;"&amp;$DF41,$B41:$Y41)+SUMIF($AD$3:$BA$3,"&gt;="&amp;$DG41,$B41:$Y41)),
IF(AM$3=$DF41+'Model Setup'!$D$7,SUMIF($AD$3:$BA$3,"="&amp;$DF41+'Model Setup'!$D$7,$B41:$Y41)+'Model Setup'!$D$8*(SUMIF($AD$3:$BA$3,"&lt;"&amp;$DF41,$B41:$Y41)+SUMIF($AD$3:$BA$3,"&gt;="&amp;$DG41,$B41:$Y41)),
IF(AM$3=$DF41+'Model Setup'!$E$7,SUMIF($AD$3:$BA$3,"="&amp;$DF41+'Model Setup'!$E$7,$B41:$Y41)+'Model Setup'!$E$8*(SUMIF($AD$3:$BA$3,"&lt;"&amp;$DF41,$B41:$Y41)+SUMIF($AD$3:$BA$3,"&gt;="&amp;$DG41,$B41:$Y41)),
IF(AM$3=$DF41+'Model Setup'!$F$7,SUMIF($AD$3:$BA$3,"="&amp;$DF41+'Model Setup'!$F$7,$B41:$Y41)+'Model Setup'!$F$8*(SUMIF($AD$3:$BA$3,"&lt;"&amp;$DF41,$B41:$Y41)+SUMIF($AD$3:$BA$3,"&gt;="&amp;$DG41,$B41:$Y41)),
IF(AM$3=$DF41+'Model Setup'!$G$7,SUMIF($AD$3:$BA$3,"="&amp;$DF41+'Model Setup'!$G$7,$B41:$Y41)+'Model Setup'!$G$8*(SUMIF($AD$3:$BA$3,"&lt;"&amp;$DF41,$B41:$Y41)+SUMIF($AD$3:$BA$3,"&gt;="&amp;$DG41,$B41:$Y41)),
IF(AM$3=$DF41+'Model Setup'!$H$7,SUMIF($AD$3:$BA$3,"="&amp;$DF41+'Model Setup'!$H$7,$B41:$Y41)+'Model Setup'!$H$8*(SUMIF($AD$3:$BA$3,"&lt;"&amp;$DF41,$B41:$Y41)+SUMIF($AD$3:$BA$3,"&gt;="&amp;$DG41,$B41:$Y41)),
IF(AM$3=$DF41+'Model Setup'!$I$7,SUMIF($AD$3:$BA$3,"="&amp;$DF41+'Model Setup'!$I$7,$B41:$Y41)+'Model Setup'!$I$8*(SUMIF($AD$3:$BA$3,"&lt;"&amp;$DF41,$B41:$Y41)+SUMIF($AD$3:$BA$3,"&gt;="&amp;$DG41,$B41:$Y41)),
IF(AM$3=$DF41+'Model Setup'!$J$7,SUMIF($AD$3:$BA$3,"="&amp;$DF41+'Model Setup'!$J$7,$B41:$Y41)+'Model Setup'!$J$8*(SUMIF($AD$3:$BA$3,"&lt;"&amp;$DF41,$B41:$Y41)+SUMIF($AD$3:$BA$3,"&gt;="&amp;$DG41,$B41:$Y41)),
IF(AM$3=$DF41+'Model Setup'!$K$7,SUMIF($AD$3:$BA$3,"="&amp;$DF41+'Model Setup'!$K$7,$B41:$Y41)+'Model Setup'!$K$8*(SUMIF($AD$3:$BA$3,"&lt;"&amp;$DF41,$B41:$Y41)+SUMIF($AD$3:$BA$3,"&gt;="&amp;$DG41,$B41:$Y41)),
IF(AM$3=$DF41+'Model Setup'!$L$7,SUMIF($AD$3:$BA$3,"="&amp;$DF41+'Model Setup'!$L$7,$B41:$Y41)+'Model Setup'!$L$8*(SUMIF($AD$3:$BA$3,"&lt;"&amp;$DF41,$B41:$Y41)+SUMIF($AD$3:$BA$3,"&gt;="&amp;$DG41,$B41:$Y41)),
IF(AM$3=$DF41+'Model Setup'!$M$7,SUMIF($AD$3:$BA$3,"="&amp;$DF41+'Model Setup'!$M$7,$B41:$Y41)+'Model Setup'!$M$8*(SUMIF($AD$3:$BA$3,"&lt;"&amp;$DF41,$B41:$Y41)+SUMIF($AD$3:$BA$3,"&gt;="&amp;$DG41,$B41:$Y41)),
IF(AM$3=$DF41+'Model Setup'!$N$7,SUMIF($AD$3:$BA$3,"="&amp;$DF41+'Model Setup'!$N$7,$B41:$Y41)+'Model Setup'!$N$8*(SUMIF($AD$3:$BA$3,"&lt;"&amp;$DF41,$B41:$Y41)+SUMIF($AD$3:$BA$3,"&gt;="&amp;$DG41,$B41:$Y41)),
IF(AM$3&lt;$DG41,K41,0))))))))))))))),0)</f>
        <v>43</v>
      </c>
      <c r="AN41" s="47">
        <f>ROUND(IF(AN$3&lt;$DF41,0,
IF(AN$3=$DF41+'Model Setup'!$B$7,SUMIF($AD$3:$BA$3,"="&amp;$DF41+'Model Setup'!$B$7,$B41:$Y41)+'Model Setup'!$B$8*(SUMIF($AD$3:$BA$3,"&lt;"&amp;$DF41,$B41:$Y41)+SUMIF($AD$3:$BA$3,"&gt;="&amp;$DG41,$B41:$Y41)),
IF(AN$3=$DF41+'Model Setup'!$C$7,SUMIF($AD$3:$BA$3,"="&amp;$DF41+'Model Setup'!$C$7,$B41:$Y41)+'Model Setup'!$C$8*(SUMIF($AD$3:$BA$3,"&lt;"&amp;$DF41,$B41:$Y41)+SUMIF($AD$3:$BA$3,"&gt;="&amp;$DG41,$B41:$Y41)),
IF(AN$3=$DF41+'Model Setup'!$D$7,SUMIF($AD$3:$BA$3,"="&amp;$DF41+'Model Setup'!$D$7,$B41:$Y41)+'Model Setup'!$D$8*(SUMIF($AD$3:$BA$3,"&lt;"&amp;$DF41,$B41:$Y41)+SUMIF($AD$3:$BA$3,"&gt;="&amp;$DG41,$B41:$Y41)),
IF(AN$3=$DF41+'Model Setup'!$E$7,SUMIF($AD$3:$BA$3,"="&amp;$DF41+'Model Setup'!$E$7,$B41:$Y41)+'Model Setup'!$E$8*(SUMIF($AD$3:$BA$3,"&lt;"&amp;$DF41,$B41:$Y41)+SUMIF($AD$3:$BA$3,"&gt;="&amp;$DG41,$B41:$Y41)),
IF(AN$3=$DF41+'Model Setup'!$F$7,SUMIF($AD$3:$BA$3,"="&amp;$DF41+'Model Setup'!$F$7,$B41:$Y41)+'Model Setup'!$F$8*(SUMIF($AD$3:$BA$3,"&lt;"&amp;$DF41,$B41:$Y41)+SUMIF($AD$3:$BA$3,"&gt;="&amp;$DG41,$B41:$Y41)),
IF(AN$3=$DF41+'Model Setup'!$G$7,SUMIF($AD$3:$BA$3,"="&amp;$DF41+'Model Setup'!$G$7,$B41:$Y41)+'Model Setup'!$G$8*(SUMIF($AD$3:$BA$3,"&lt;"&amp;$DF41,$B41:$Y41)+SUMIF($AD$3:$BA$3,"&gt;="&amp;$DG41,$B41:$Y41)),
IF(AN$3=$DF41+'Model Setup'!$H$7,SUMIF($AD$3:$BA$3,"="&amp;$DF41+'Model Setup'!$H$7,$B41:$Y41)+'Model Setup'!$H$8*(SUMIF($AD$3:$BA$3,"&lt;"&amp;$DF41,$B41:$Y41)+SUMIF($AD$3:$BA$3,"&gt;="&amp;$DG41,$B41:$Y41)),
IF(AN$3=$DF41+'Model Setup'!$I$7,SUMIF($AD$3:$BA$3,"="&amp;$DF41+'Model Setup'!$I$7,$B41:$Y41)+'Model Setup'!$I$8*(SUMIF($AD$3:$BA$3,"&lt;"&amp;$DF41,$B41:$Y41)+SUMIF($AD$3:$BA$3,"&gt;="&amp;$DG41,$B41:$Y41)),
IF(AN$3=$DF41+'Model Setup'!$J$7,SUMIF($AD$3:$BA$3,"="&amp;$DF41+'Model Setup'!$J$7,$B41:$Y41)+'Model Setup'!$J$8*(SUMIF($AD$3:$BA$3,"&lt;"&amp;$DF41,$B41:$Y41)+SUMIF($AD$3:$BA$3,"&gt;="&amp;$DG41,$B41:$Y41)),
IF(AN$3=$DF41+'Model Setup'!$K$7,SUMIF($AD$3:$BA$3,"="&amp;$DF41+'Model Setup'!$K$7,$B41:$Y41)+'Model Setup'!$K$8*(SUMIF($AD$3:$BA$3,"&lt;"&amp;$DF41,$B41:$Y41)+SUMIF($AD$3:$BA$3,"&gt;="&amp;$DG41,$B41:$Y41)),
IF(AN$3=$DF41+'Model Setup'!$L$7,SUMIF($AD$3:$BA$3,"="&amp;$DF41+'Model Setup'!$L$7,$B41:$Y41)+'Model Setup'!$L$8*(SUMIF($AD$3:$BA$3,"&lt;"&amp;$DF41,$B41:$Y41)+SUMIF($AD$3:$BA$3,"&gt;="&amp;$DG41,$B41:$Y41)),
IF(AN$3=$DF41+'Model Setup'!$M$7,SUMIF($AD$3:$BA$3,"="&amp;$DF41+'Model Setup'!$M$7,$B41:$Y41)+'Model Setup'!$M$8*(SUMIF($AD$3:$BA$3,"&lt;"&amp;$DF41,$B41:$Y41)+SUMIF($AD$3:$BA$3,"&gt;="&amp;$DG41,$B41:$Y41)),
IF(AN$3=$DF41+'Model Setup'!$N$7,SUMIF($AD$3:$BA$3,"="&amp;$DF41+'Model Setup'!$N$7,$B41:$Y41)+'Model Setup'!$N$8*(SUMIF($AD$3:$BA$3,"&lt;"&amp;$DF41,$B41:$Y41)+SUMIF($AD$3:$BA$3,"&gt;="&amp;$DG41,$B41:$Y41)),
IF(AN$3&lt;$DG41,L41,0))))))))))))))),0)</f>
        <v>43</v>
      </c>
      <c r="AO41" s="47">
        <f>ROUND(IF(AO$3&lt;$DF41,0,
IF(AO$3=$DF41+'Model Setup'!$B$7,SUMIF($AD$3:$BA$3,"="&amp;$DF41+'Model Setup'!$B$7,$B41:$Y41)+'Model Setup'!$B$8*(SUMIF($AD$3:$BA$3,"&lt;"&amp;$DF41,$B41:$Y41)+SUMIF($AD$3:$BA$3,"&gt;="&amp;$DG41,$B41:$Y41)),
IF(AO$3=$DF41+'Model Setup'!$C$7,SUMIF($AD$3:$BA$3,"="&amp;$DF41+'Model Setup'!$C$7,$B41:$Y41)+'Model Setup'!$C$8*(SUMIF($AD$3:$BA$3,"&lt;"&amp;$DF41,$B41:$Y41)+SUMIF($AD$3:$BA$3,"&gt;="&amp;$DG41,$B41:$Y41)),
IF(AO$3=$DF41+'Model Setup'!$D$7,SUMIF($AD$3:$BA$3,"="&amp;$DF41+'Model Setup'!$D$7,$B41:$Y41)+'Model Setup'!$D$8*(SUMIF($AD$3:$BA$3,"&lt;"&amp;$DF41,$B41:$Y41)+SUMIF($AD$3:$BA$3,"&gt;="&amp;$DG41,$B41:$Y41)),
IF(AO$3=$DF41+'Model Setup'!$E$7,SUMIF($AD$3:$BA$3,"="&amp;$DF41+'Model Setup'!$E$7,$B41:$Y41)+'Model Setup'!$E$8*(SUMIF($AD$3:$BA$3,"&lt;"&amp;$DF41,$B41:$Y41)+SUMIF($AD$3:$BA$3,"&gt;="&amp;$DG41,$B41:$Y41)),
IF(AO$3=$DF41+'Model Setup'!$F$7,SUMIF($AD$3:$BA$3,"="&amp;$DF41+'Model Setup'!$F$7,$B41:$Y41)+'Model Setup'!$F$8*(SUMIF($AD$3:$BA$3,"&lt;"&amp;$DF41,$B41:$Y41)+SUMIF($AD$3:$BA$3,"&gt;="&amp;$DG41,$B41:$Y41)),
IF(AO$3=$DF41+'Model Setup'!$G$7,SUMIF($AD$3:$BA$3,"="&amp;$DF41+'Model Setup'!$G$7,$B41:$Y41)+'Model Setup'!$G$8*(SUMIF($AD$3:$BA$3,"&lt;"&amp;$DF41,$B41:$Y41)+SUMIF($AD$3:$BA$3,"&gt;="&amp;$DG41,$B41:$Y41)),
IF(AO$3=$DF41+'Model Setup'!$H$7,SUMIF($AD$3:$BA$3,"="&amp;$DF41+'Model Setup'!$H$7,$B41:$Y41)+'Model Setup'!$H$8*(SUMIF($AD$3:$BA$3,"&lt;"&amp;$DF41,$B41:$Y41)+SUMIF($AD$3:$BA$3,"&gt;="&amp;$DG41,$B41:$Y41)),
IF(AO$3=$DF41+'Model Setup'!$I$7,SUMIF($AD$3:$BA$3,"="&amp;$DF41+'Model Setup'!$I$7,$B41:$Y41)+'Model Setup'!$I$8*(SUMIF($AD$3:$BA$3,"&lt;"&amp;$DF41,$B41:$Y41)+SUMIF($AD$3:$BA$3,"&gt;="&amp;$DG41,$B41:$Y41)),
IF(AO$3=$DF41+'Model Setup'!$J$7,SUMIF($AD$3:$BA$3,"="&amp;$DF41+'Model Setup'!$J$7,$B41:$Y41)+'Model Setup'!$J$8*(SUMIF($AD$3:$BA$3,"&lt;"&amp;$DF41,$B41:$Y41)+SUMIF($AD$3:$BA$3,"&gt;="&amp;$DG41,$B41:$Y41)),
IF(AO$3=$DF41+'Model Setup'!$K$7,SUMIF($AD$3:$BA$3,"="&amp;$DF41+'Model Setup'!$K$7,$B41:$Y41)+'Model Setup'!$K$8*(SUMIF($AD$3:$BA$3,"&lt;"&amp;$DF41,$B41:$Y41)+SUMIF($AD$3:$BA$3,"&gt;="&amp;$DG41,$B41:$Y41)),
IF(AO$3=$DF41+'Model Setup'!$L$7,SUMIF($AD$3:$BA$3,"="&amp;$DF41+'Model Setup'!$L$7,$B41:$Y41)+'Model Setup'!$L$8*(SUMIF($AD$3:$BA$3,"&lt;"&amp;$DF41,$B41:$Y41)+SUMIF($AD$3:$BA$3,"&gt;="&amp;$DG41,$B41:$Y41)),
IF(AO$3=$DF41+'Model Setup'!$M$7,SUMIF($AD$3:$BA$3,"="&amp;$DF41+'Model Setup'!$M$7,$B41:$Y41)+'Model Setup'!$M$8*(SUMIF($AD$3:$BA$3,"&lt;"&amp;$DF41,$B41:$Y41)+SUMIF($AD$3:$BA$3,"&gt;="&amp;$DG41,$B41:$Y41)),
IF(AO$3=$DF41+'Model Setup'!$N$7,SUMIF($AD$3:$BA$3,"="&amp;$DF41+'Model Setup'!$N$7,$B41:$Y41)+'Model Setup'!$N$8*(SUMIF($AD$3:$BA$3,"&lt;"&amp;$DF41,$B41:$Y41)+SUMIF($AD$3:$BA$3,"&gt;="&amp;$DG41,$B41:$Y41)),
IF(AO$3&lt;$DG41,M41,0))))))))))))))),0)</f>
        <v>30</v>
      </c>
      <c r="AP41" s="47">
        <f>ROUND(IF(AP$3&lt;$DF41,0,
IF(AP$3=$DF41+'Model Setup'!$B$7,SUMIF($AD$3:$BA$3,"="&amp;$DF41+'Model Setup'!$B$7,$B41:$Y41)+'Model Setup'!$B$8*(SUMIF($AD$3:$BA$3,"&lt;"&amp;$DF41,$B41:$Y41)+SUMIF($AD$3:$BA$3,"&gt;="&amp;$DG41,$B41:$Y41)),
IF(AP$3=$DF41+'Model Setup'!$C$7,SUMIF($AD$3:$BA$3,"="&amp;$DF41+'Model Setup'!$C$7,$B41:$Y41)+'Model Setup'!$C$8*(SUMIF($AD$3:$BA$3,"&lt;"&amp;$DF41,$B41:$Y41)+SUMIF($AD$3:$BA$3,"&gt;="&amp;$DG41,$B41:$Y41)),
IF(AP$3=$DF41+'Model Setup'!$D$7,SUMIF($AD$3:$BA$3,"="&amp;$DF41+'Model Setup'!$D$7,$B41:$Y41)+'Model Setup'!$D$8*(SUMIF($AD$3:$BA$3,"&lt;"&amp;$DF41,$B41:$Y41)+SUMIF($AD$3:$BA$3,"&gt;="&amp;$DG41,$B41:$Y41)),
IF(AP$3=$DF41+'Model Setup'!$E$7,SUMIF($AD$3:$BA$3,"="&amp;$DF41+'Model Setup'!$E$7,$B41:$Y41)+'Model Setup'!$E$8*(SUMIF($AD$3:$BA$3,"&lt;"&amp;$DF41,$B41:$Y41)+SUMIF($AD$3:$BA$3,"&gt;="&amp;$DG41,$B41:$Y41)),
IF(AP$3=$DF41+'Model Setup'!$F$7,SUMIF($AD$3:$BA$3,"="&amp;$DF41+'Model Setup'!$F$7,$B41:$Y41)+'Model Setup'!$F$8*(SUMIF($AD$3:$BA$3,"&lt;"&amp;$DF41,$B41:$Y41)+SUMIF($AD$3:$BA$3,"&gt;="&amp;$DG41,$B41:$Y41)),
IF(AP$3=$DF41+'Model Setup'!$G$7,SUMIF($AD$3:$BA$3,"="&amp;$DF41+'Model Setup'!$G$7,$B41:$Y41)+'Model Setup'!$G$8*(SUMIF($AD$3:$BA$3,"&lt;"&amp;$DF41,$B41:$Y41)+SUMIF($AD$3:$BA$3,"&gt;="&amp;$DG41,$B41:$Y41)),
IF(AP$3=$DF41+'Model Setup'!$H$7,SUMIF($AD$3:$BA$3,"="&amp;$DF41+'Model Setup'!$H$7,$B41:$Y41)+'Model Setup'!$H$8*(SUMIF($AD$3:$BA$3,"&lt;"&amp;$DF41,$B41:$Y41)+SUMIF($AD$3:$BA$3,"&gt;="&amp;$DG41,$B41:$Y41)),
IF(AP$3=$DF41+'Model Setup'!$I$7,SUMIF($AD$3:$BA$3,"="&amp;$DF41+'Model Setup'!$I$7,$B41:$Y41)+'Model Setup'!$I$8*(SUMIF($AD$3:$BA$3,"&lt;"&amp;$DF41,$B41:$Y41)+SUMIF($AD$3:$BA$3,"&gt;="&amp;$DG41,$B41:$Y41)),
IF(AP$3=$DF41+'Model Setup'!$J$7,SUMIF($AD$3:$BA$3,"="&amp;$DF41+'Model Setup'!$J$7,$B41:$Y41)+'Model Setup'!$J$8*(SUMIF($AD$3:$BA$3,"&lt;"&amp;$DF41,$B41:$Y41)+SUMIF($AD$3:$BA$3,"&gt;="&amp;$DG41,$B41:$Y41)),
IF(AP$3=$DF41+'Model Setup'!$K$7,SUMIF($AD$3:$BA$3,"="&amp;$DF41+'Model Setup'!$K$7,$B41:$Y41)+'Model Setup'!$K$8*(SUMIF($AD$3:$BA$3,"&lt;"&amp;$DF41,$B41:$Y41)+SUMIF($AD$3:$BA$3,"&gt;="&amp;$DG41,$B41:$Y41)),
IF(AP$3=$DF41+'Model Setup'!$L$7,SUMIF($AD$3:$BA$3,"="&amp;$DF41+'Model Setup'!$L$7,$B41:$Y41)+'Model Setup'!$L$8*(SUMIF($AD$3:$BA$3,"&lt;"&amp;$DF41,$B41:$Y41)+SUMIF($AD$3:$BA$3,"&gt;="&amp;$DG41,$B41:$Y41)),
IF(AP$3=$DF41+'Model Setup'!$M$7,SUMIF($AD$3:$BA$3,"="&amp;$DF41+'Model Setup'!$M$7,$B41:$Y41)+'Model Setup'!$M$8*(SUMIF($AD$3:$BA$3,"&lt;"&amp;$DF41,$B41:$Y41)+SUMIF($AD$3:$BA$3,"&gt;="&amp;$DG41,$B41:$Y41)),
IF(AP$3=$DF41+'Model Setup'!$N$7,SUMIF($AD$3:$BA$3,"="&amp;$DF41+'Model Setup'!$N$7,$B41:$Y41)+'Model Setup'!$N$8*(SUMIF($AD$3:$BA$3,"&lt;"&amp;$DF41,$B41:$Y41)+SUMIF($AD$3:$BA$3,"&gt;="&amp;$DG41,$B41:$Y41)),
IF(AP$3&lt;$DG41,N41,0))))))))))))))),0)</f>
        <v>23</v>
      </c>
      <c r="AQ41" s="47">
        <f>ROUND(IF(AQ$3&lt;$DF41,0,
IF(AQ$3=$DF41+'Model Setup'!$B$7,SUMIF($AD$3:$BA$3,"="&amp;$DF41+'Model Setup'!$B$7,$B41:$Y41)+'Model Setup'!$B$8*(SUMIF($AD$3:$BA$3,"&lt;"&amp;$DF41,$B41:$Y41)+SUMIF($AD$3:$BA$3,"&gt;="&amp;$DG41,$B41:$Y41)),
IF(AQ$3=$DF41+'Model Setup'!$C$7,SUMIF($AD$3:$BA$3,"="&amp;$DF41+'Model Setup'!$C$7,$B41:$Y41)+'Model Setup'!$C$8*(SUMIF($AD$3:$BA$3,"&lt;"&amp;$DF41,$B41:$Y41)+SUMIF($AD$3:$BA$3,"&gt;="&amp;$DG41,$B41:$Y41)),
IF(AQ$3=$DF41+'Model Setup'!$D$7,SUMIF($AD$3:$BA$3,"="&amp;$DF41+'Model Setup'!$D$7,$B41:$Y41)+'Model Setup'!$D$8*(SUMIF($AD$3:$BA$3,"&lt;"&amp;$DF41,$B41:$Y41)+SUMIF($AD$3:$BA$3,"&gt;="&amp;$DG41,$B41:$Y41)),
IF(AQ$3=$DF41+'Model Setup'!$E$7,SUMIF($AD$3:$BA$3,"="&amp;$DF41+'Model Setup'!$E$7,$B41:$Y41)+'Model Setup'!$E$8*(SUMIF($AD$3:$BA$3,"&lt;"&amp;$DF41,$B41:$Y41)+SUMIF($AD$3:$BA$3,"&gt;="&amp;$DG41,$B41:$Y41)),
IF(AQ$3=$DF41+'Model Setup'!$F$7,SUMIF($AD$3:$BA$3,"="&amp;$DF41+'Model Setup'!$F$7,$B41:$Y41)+'Model Setup'!$F$8*(SUMIF($AD$3:$BA$3,"&lt;"&amp;$DF41,$B41:$Y41)+SUMIF($AD$3:$BA$3,"&gt;="&amp;$DG41,$B41:$Y41)),
IF(AQ$3=$DF41+'Model Setup'!$G$7,SUMIF($AD$3:$BA$3,"="&amp;$DF41+'Model Setup'!$G$7,$B41:$Y41)+'Model Setup'!$G$8*(SUMIF($AD$3:$BA$3,"&lt;"&amp;$DF41,$B41:$Y41)+SUMIF($AD$3:$BA$3,"&gt;="&amp;$DG41,$B41:$Y41)),
IF(AQ$3=$DF41+'Model Setup'!$H$7,SUMIF($AD$3:$BA$3,"="&amp;$DF41+'Model Setup'!$H$7,$B41:$Y41)+'Model Setup'!$H$8*(SUMIF($AD$3:$BA$3,"&lt;"&amp;$DF41,$B41:$Y41)+SUMIF($AD$3:$BA$3,"&gt;="&amp;$DG41,$B41:$Y41)),
IF(AQ$3=$DF41+'Model Setup'!$I$7,SUMIF($AD$3:$BA$3,"="&amp;$DF41+'Model Setup'!$I$7,$B41:$Y41)+'Model Setup'!$I$8*(SUMIF($AD$3:$BA$3,"&lt;"&amp;$DF41,$B41:$Y41)+SUMIF($AD$3:$BA$3,"&gt;="&amp;$DG41,$B41:$Y41)),
IF(AQ$3=$DF41+'Model Setup'!$J$7,SUMIF($AD$3:$BA$3,"="&amp;$DF41+'Model Setup'!$J$7,$B41:$Y41)+'Model Setup'!$J$8*(SUMIF($AD$3:$BA$3,"&lt;"&amp;$DF41,$B41:$Y41)+SUMIF($AD$3:$BA$3,"&gt;="&amp;$DG41,$B41:$Y41)),
IF(AQ$3=$DF41+'Model Setup'!$K$7,SUMIF($AD$3:$BA$3,"="&amp;$DF41+'Model Setup'!$K$7,$B41:$Y41)+'Model Setup'!$K$8*(SUMIF($AD$3:$BA$3,"&lt;"&amp;$DF41,$B41:$Y41)+SUMIF($AD$3:$BA$3,"&gt;="&amp;$DG41,$B41:$Y41)),
IF(AQ$3=$DF41+'Model Setup'!$L$7,SUMIF($AD$3:$BA$3,"="&amp;$DF41+'Model Setup'!$L$7,$B41:$Y41)+'Model Setup'!$L$8*(SUMIF($AD$3:$BA$3,"&lt;"&amp;$DF41,$B41:$Y41)+SUMIF($AD$3:$BA$3,"&gt;="&amp;$DG41,$B41:$Y41)),
IF(AQ$3=$DF41+'Model Setup'!$M$7,SUMIF($AD$3:$BA$3,"="&amp;$DF41+'Model Setup'!$M$7,$B41:$Y41)+'Model Setup'!$M$8*(SUMIF($AD$3:$BA$3,"&lt;"&amp;$DF41,$B41:$Y41)+SUMIF($AD$3:$BA$3,"&gt;="&amp;$DG41,$B41:$Y41)),
IF(AQ$3=$DF41+'Model Setup'!$N$7,SUMIF($AD$3:$BA$3,"="&amp;$DF41+'Model Setup'!$N$7,$B41:$Y41)+'Model Setup'!$N$8*(SUMIF($AD$3:$BA$3,"&lt;"&amp;$DF41,$B41:$Y41)+SUMIF($AD$3:$BA$3,"&gt;="&amp;$DG41,$B41:$Y41)),
IF(AQ$3&lt;$DG41,O41,0))))))))))))))),0)</f>
        <v>15</v>
      </c>
      <c r="AR41" s="47">
        <f>ROUND(IF(AR$3&lt;$DF41,0,
IF(AR$3=$DF41+'Model Setup'!$B$7,SUMIF($AD$3:$BA$3,"="&amp;$DF41+'Model Setup'!$B$7,$B41:$Y41)+'Model Setup'!$B$8*(SUMIF($AD$3:$BA$3,"&lt;"&amp;$DF41,$B41:$Y41)+SUMIF($AD$3:$BA$3,"&gt;="&amp;$DG41,$B41:$Y41)),
IF(AR$3=$DF41+'Model Setup'!$C$7,SUMIF($AD$3:$BA$3,"="&amp;$DF41+'Model Setup'!$C$7,$B41:$Y41)+'Model Setup'!$C$8*(SUMIF($AD$3:$BA$3,"&lt;"&amp;$DF41,$B41:$Y41)+SUMIF($AD$3:$BA$3,"&gt;="&amp;$DG41,$B41:$Y41)),
IF(AR$3=$DF41+'Model Setup'!$D$7,SUMIF($AD$3:$BA$3,"="&amp;$DF41+'Model Setup'!$D$7,$B41:$Y41)+'Model Setup'!$D$8*(SUMIF($AD$3:$BA$3,"&lt;"&amp;$DF41,$B41:$Y41)+SUMIF($AD$3:$BA$3,"&gt;="&amp;$DG41,$B41:$Y41)),
IF(AR$3=$DF41+'Model Setup'!$E$7,SUMIF($AD$3:$BA$3,"="&amp;$DF41+'Model Setup'!$E$7,$B41:$Y41)+'Model Setup'!$E$8*(SUMIF($AD$3:$BA$3,"&lt;"&amp;$DF41,$B41:$Y41)+SUMIF($AD$3:$BA$3,"&gt;="&amp;$DG41,$B41:$Y41)),
IF(AR$3=$DF41+'Model Setup'!$F$7,SUMIF($AD$3:$BA$3,"="&amp;$DF41+'Model Setup'!$F$7,$B41:$Y41)+'Model Setup'!$F$8*(SUMIF($AD$3:$BA$3,"&lt;"&amp;$DF41,$B41:$Y41)+SUMIF($AD$3:$BA$3,"&gt;="&amp;$DG41,$B41:$Y41)),
IF(AR$3=$DF41+'Model Setup'!$G$7,SUMIF($AD$3:$BA$3,"="&amp;$DF41+'Model Setup'!$G$7,$B41:$Y41)+'Model Setup'!$G$8*(SUMIF($AD$3:$BA$3,"&lt;"&amp;$DF41,$B41:$Y41)+SUMIF($AD$3:$BA$3,"&gt;="&amp;$DG41,$B41:$Y41)),
IF(AR$3=$DF41+'Model Setup'!$H$7,SUMIF($AD$3:$BA$3,"="&amp;$DF41+'Model Setup'!$H$7,$B41:$Y41)+'Model Setup'!$H$8*(SUMIF($AD$3:$BA$3,"&lt;"&amp;$DF41,$B41:$Y41)+SUMIF($AD$3:$BA$3,"&gt;="&amp;$DG41,$B41:$Y41)),
IF(AR$3=$DF41+'Model Setup'!$I$7,SUMIF($AD$3:$BA$3,"="&amp;$DF41+'Model Setup'!$I$7,$B41:$Y41)+'Model Setup'!$I$8*(SUMIF($AD$3:$BA$3,"&lt;"&amp;$DF41,$B41:$Y41)+SUMIF($AD$3:$BA$3,"&gt;="&amp;$DG41,$B41:$Y41)),
IF(AR$3=$DF41+'Model Setup'!$J$7,SUMIF($AD$3:$BA$3,"="&amp;$DF41+'Model Setup'!$J$7,$B41:$Y41)+'Model Setup'!$J$8*(SUMIF($AD$3:$BA$3,"&lt;"&amp;$DF41,$B41:$Y41)+SUMIF($AD$3:$BA$3,"&gt;="&amp;$DG41,$B41:$Y41)),
IF(AR$3=$DF41+'Model Setup'!$K$7,SUMIF($AD$3:$BA$3,"="&amp;$DF41+'Model Setup'!$K$7,$B41:$Y41)+'Model Setup'!$K$8*(SUMIF($AD$3:$BA$3,"&lt;"&amp;$DF41,$B41:$Y41)+SUMIF($AD$3:$BA$3,"&gt;="&amp;$DG41,$B41:$Y41)),
IF(AR$3=$DF41+'Model Setup'!$L$7,SUMIF($AD$3:$BA$3,"="&amp;$DF41+'Model Setup'!$L$7,$B41:$Y41)+'Model Setup'!$L$8*(SUMIF($AD$3:$BA$3,"&lt;"&amp;$DF41,$B41:$Y41)+SUMIF($AD$3:$BA$3,"&gt;="&amp;$DG41,$B41:$Y41)),
IF(AR$3=$DF41+'Model Setup'!$M$7,SUMIF($AD$3:$BA$3,"="&amp;$DF41+'Model Setup'!$M$7,$B41:$Y41)+'Model Setup'!$M$8*(SUMIF($AD$3:$BA$3,"&lt;"&amp;$DF41,$B41:$Y41)+SUMIF($AD$3:$BA$3,"&gt;="&amp;$DG41,$B41:$Y41)),
IF(AR$3=$DF41+'Model Setup'!$N$7,SUMIF($AD$3:$BA$3,"="&amp;$DF41+'Model Setup'!$N$7,$B41:$Y41)+'Model Setup'!$N$8*(SUMIF($AD$3:$BA$3,"&lt;"&amp;$DF41,$B41:$Y41)+SUMIF($AD$3:$BA$3,"&gt;="&amp;$DG41,$B41:$Y41)),
IF(AR$3&lt;$DG41,P41,0))))))))))))))),0)</f>
        <v>13</v>
      </c>
      <c r="AS41" s="47">
        <f>ROUND(IF(AS$3&lt;$DF41,0,
IF(AS$3=$DF41+'Model Setup'!$B$7,SUMIF($AD$3:$BA$3,"="&amp;$DF41+'Model Setup'!$B$7,$B41:$Y41)+'Model Setup'!$B$8*(SUMIF($AD$3:$BA$3,"&lt;"&amp;$DF41,$B41:$Y41)+SUMIF($AD$3:$BA$3,"&gt;="&amp;$DG41,$B41:$Y41)),
IF(AS$3=$DF41+'Model Setup'!$C$7,SUMIF($AD$3:$BA$3,"="&amp;$DF41+'Model Setup'!$C$7,$B41:$Y41)+'Model Setup'!$C$8*(SUMIF($AD$3:$BA$3,"&lt;"&amp;$DF41,$B41:$Y41)+SUMIF($AD$3:$BA$3,"&gt;="&amp;$DG41,$B41:$Y41)),
IF(AS$3=$DF41+'Model Setup'!$D$7,SUMIF($AD$3:$BA$3,"="&amp;$DF41+'Model Setup'!$D$7,$B41:$Y41)+'Model Setup'!$D$8*(SUMIF($AD$3:$BA$3,"&lt;"&amp;$DF41,$B41:$Y41)+SUMIF($AD$3:$BA$3,"&gt;="&amp;$DG41,$B41:$Y41)),
IF(AS$3=$DF41+'Model Setup'!$E$7,SUMIF($AD$3:$BA$3,"="&amp;$DF41+'Model Setup'!$E$7,$B41:$Y41)+'Model Setup'!$E$8*(SUMIF($AD$3:$BA$3,"&lt;"&amp;$DF41,$B41:$Y41)+SUMIF($AD$3:$BA$3,"&gt;="&amp;$DG41,$B41:$Y41)),
IF(AS$3=$DF41+'Model Setup'!$F$7,SUMIF($AD$3:$BA$3,"="&amp;$DF41+'Model Setup'!$F$7,$B41:$Y41)+'Model Setup'!$F$8*(SUMIF($AD$3:$BA$3,"&lt;"&amp;$DF41,$B41:$Y41)+SUMIF($AD$3:$BA$3,"&gt;="&amp;$DG41,$B41:$Y41)),
IF(AS$3=$DF41+'Model Setup'!$G$7,SUMIF($AD$3:$BA$3,"="&amp;$DF41+'Model Setup'!$G$7,$B41:$Y41)+'Model Setup'!$G$8*(SUMIF($AD$3:$BA$3,"&lt;"&amp;$DF41,$B41:$Y41)+SUMIF($AD$3:$BA$3,"&gt;="&amp;$DG41,$B41:$Y41)),
IF(AS$3=$DF41+'Model Setup'!$H$7,SUMIF($AD$3:$BA$3,"="&amp;$DF41+'Model Setup'!$H$7,$B41:$Y41)+'Model Setup'!$H$8*(SUMIF($AD$3:$BA$3,"&lt;"&amp;$DF41,$B41:$Y41)+SUMIF($AD$3:$BA$3,"&gt;="&amp;$DG41,$B41:$Y41)),
IF(AS$3=$DF41+'Model Setup'!$I$7,SUMIF($AD$3:$BA$3,"="&amp;$DF41+'Model Setup'!$I$7,$B41:$Y41)+'Model Setup'!$I$8*(SUMIF($AD$3:$BA$3,"&lt;"&amp;$DF41,$B41:$Y41)+SUMIF($AD$3:$BA$3,"&gt;="&amp;$DG41,$B41:$Y41)),
IF(AS$3=$DF41+'Model Setup'!$J$7,SUMIF($AD$3:$BA$3,"="&amp;$DF41+'Model Setup'!$J$7,$B41:$Y41)+'Model Setup'!$J$8*(SUMIF($AD$3:$BA$3,"&lt;"&amp;$DF41,$B41:$Y41)+SUMIF($AD$3:$BA$3,"&gt;="&amp;$DG41,$B41:$Y41)),
IF(AS$3=$DF41+'Model Setup'!$K$7,SUMIF($AD$3:$BA$3,"="&amp;$DF41+'Model Setup'!$K$7,$B41:$Y41)+'Model Setup'!$K$8*(SUMIF($AD$3:$BA$3,"&lt;"&amp;$DF41,$B41:$Y41)+SUMIF($AD$3:$BA$3,"&gt;="&amp;$DG41,$B41:$Y41)),
IF(AS$3=$DF41+'Model Setup'!$L$7,SUMIF($AD$3:$BA$3,"="&amp;$DF41+'Model Setup'!$L$7,$B41:$Y41)+'Model Setup'!$L$8*(SUMIF($AD$3:$BA$3,"&lt;"&amp;$DF41,$B41:$Y41)+SUMIF($AD$3:$BA$3,"&gt;="&amp;$DG41,$B41:$Y41)),
IF(AS$3=$DF41+'Model Setup'!$M$7,SUMIF($AD$3:$BA$3,"="&amp;$DF41+'Model Setup'!$M$7,$B41:$Y41)+'Model Setup'!$M$8*(SUMIF($AD$3:$BA$3,"&lt;"&amp;$DF41,$B41:$Y41)+SUMIF($AD$3:$BA$3,"&gt;="&amp;$DG41,$B41:$Y41)),
IF(AS$3=$DF41+'Model Setup'!$N$7,SUMIF($AD$3:$BA$3,"="&amp;$DF41+'Model Setup'!$N$7,$B41:$Y41)+'Model Setup'!$N$8*(SUMIF($AD$3:$BA$3,"&lt;"&amp;$DF41,$B41:$Y41)+SUMIF($AD$3:$BA$3,"&gt;="&amp;$DG41,$B41:$Y41)),
IF(AS$3&lt;$DG41,Q41,0))))))))))))))),0)</f>
        <v>8</v>
      </c>
      <c r="AT41" s="47">
        <f>ROUND(IF(AT$3&lt;$DF41,0,
IF(AT$3=$DF41+'Model Setup'!$B$7,SUMIF($AD$3:$BA$3,"="&amp;$DF41+'Model Setup'!$B$7,$B41:$Y41)+'Model Setup'!$B$8*(SUMIF($AD$3:$BA$3,"&lt;"&amp;$DF41,$B41:$Y41)+SUMIF($AD$3:$BA$3,"&gt;="&amp;$DG41,$B41:$Y41)),
IF(AT$3=$DF41+'Model Setup'!$C$7,SUMIF($AD$3:$BA$3,"="&amp;$DF41+'Model Setup'!$C$7,$B41:$Y41)+'Model Setup'!$C$8*(SUMIF($AD$3:$BA$3,"&lt;"&amp;$DF41,$B41:$Y41)+SUMIF($AD$3:$BA$3,"&gt;="&amp;$DG41,$B41:$Y41)),
IF(AT$3=$DF41+'Model Setup'!$D$7,SUMIF($AD$3:$BA$3,"="&amp;$DF41+'Model Setup'!$D$7,$B41:$Y41)+'Model Setup'!$D$8*(SUMIF($AD$3:$BA$3,"&lt;"&amp;$DF41,$B41:$Y41)+SUMIF($AD$3:$BA$3,"&gt;="&amp;$DG41,$B41:$Y41)),
IF(AT$3=$DF41+'Model Setup'!$E$7,SUMIF($AD$3:$BA$3,"="&amp;$DF41+'Model Setup'!$E$7,$B41:$Y41)+'Model Setup'!$E$8*(SUMIF($AD$3:$BA$3,"&lt;"&amp;$DF41,$B41:$Y41)+SUMIF($AD$3:$BA$3,"&gt;="&amp;$DG41,$B41:$Y41)),
IF(AT$3=$DF41+'Model Setup'!$F$7,SUMIF($AD$3:$BA$3,"="&amp;$DF41+'Model Setup'!$F$7,$B41:$Y41)+'Model Setup'!$F$8*(SUMIF($AD$3:$BA$3,"&lt;"&amp;$DF41,$B41:$Y41)+SUMIF($AD$3:$BA$3,"&gt;="&amp;$DG41,$B41:$Y41)),
IF(AT$3=$DF41+'Model Setup'!$G$7,SUMIF($AD$3:$BA$3,"="&amp;$DF41+'Model Setup'!$G$7,$B41:$Y41)+'Model Setup'!$G$8*(SUMIF($AD$3:$BA$3,"&lt;"&amp;$DF41,$B41:$Y41)+SUMIF($AD$3:$BA$3,"&gt;="&amp;$DG41,$B41:$Y41)),
IF(AT$3=$DF41+'Model Setup'!$H$7,SUMIF($AD$3:$BA$3,"="&amp;$DF41+'Model Setup'!$H$7,$B41:$Y41)+'Model Setup'!$H$8*(SUMIF($AD$3:$BA$3,"&lt;"&amp;$DF41,$B41:$Y41)+SUMIF($AD$3:$BA$3,"&gt;="&amp;$DG41,$B41:$Y41)),
IF(AT$3=$DF41+'Model Setup'!$I$7,SUMIF($AD$3:$BA$3,"="&amp;$DF41+'Model Setup'!$I$7,$B41:$Y41)+'Model Setup'!$I$8*(SUMIF($AD$3:$BA$3,"&lt;"&amp;$DF41,$B41:$Y41)+SUMIF($AD$3:$BA$3,"&gt;="&amp;$DG41,$B41:$Y41)),
IF(AT$3=$DF41+'Model Setup'!$J$7,SUMIF($AD$3:$BA$3,"="&amp;$DF41+'Model Setup'!$J$7,$B41:$Y41)+'Model Setup'!$J$8*(SUMIF($AD$3:$BA$3,"&lt;"&amp;$DF41,$B41:$Y41)+SUMIF($AD$3:$BA$3,"&gt;="&amp;$DG41,$B41:$Y41)),
IF(AT$3=$DF41+'Model Setup'!$K$7,SUMIF($AD$3:$BA$3,"="&amp;$DF41+'Model Setup'!$K$7,$B41:$Y41)+'Model Setup'!$K$8*(SUMIF($AD$3:$BA$3,"&lt;"&amp;$DF41,$B41:$Y41)+SUMIF($AD$3:$BA$3,"&gt;="&amp;$DG41,$B41:$Y41)),
IF(AT$3=$DF41+'Model Setup'!$L$7,SUMIF($AD$3:$BA$3,"="&amp;$DF41+'Model Setup'!$L$7,$B41:$Y41)+'Model Setup'!$L$8*(SUMIF($AD$3:$BA$3,"&lt;"&amp;$DF41,$B41:$Y41)+SUMIF($AD$3:$BA$3,"&gt;="&amp;$DG41,$B41:$Y41)),
IF(AT$3=$DF41+'Model Setup'!$M$7,SUMIF($AD$3:$BA$3,"="&amp;$DF41+'Model Setup'!$M$7,$B41:$Y41)+'Model Setup'!$M$8*(SUMIF($AD$3:$BA$3,"&lt;"&amp;$DF41,$B41:$Y41)+SUMIF($AD$3:$BA$3,"&gt;="&amp;$DG41,$B41:$Y41)),
IF(AT$3=$DF41+'Model Setup'!$N$7,SUMIF($AD$3:$BA$3,"="&amp;$DF41+'Model Setup'!$N$7,$B41:$Y41)+'Model Setup'!$N$8*(SUMIF($AD$3:$BA$3,"&lt;"&amp;$DF41,$B41:$Y41)+SUMIF($AD$3:$BA$3,"&gt;="&amp;$DG41,$B41:$Y41)),
IF(AT$3&lt;$DG41,R41,0))))))))))))))),0)</f>
        <v>6</v>
      </c>
      <c r="AU41" s="47">
        <f>ROUND(IF(AU$3&lt;$DF41,0,
IF(AU$3=$DF41+'Model Setup'!$B$7,SUMIF($AD$3:$BA$3,"="&amp;$DF41+'Model Setup'!$B$7,$B41:$Y41)+'Model Setup'!$B$8*(SUMIF($AD$3:$BA$3,"&lt;"&amp;$DF41,$B41:$Y41)+SUMIF($AD$3:$BA$3,"&gt;="&amp;$DG41,$B41:$Y41)),
IF(AU$3=$DF41+'Model Setup'!$C$7,SUMIF($AD$3:$BA$3,"="&amp;$DF41+'Model Setup'!$C$7,$B41:$Y41)+'Model Setup'!$C$8*(SUMIF($AD$3:$BA$3,"&lt;"&amp;$DF41,$B41:$Y41)+SUMIF($AD$3:$BA$3,"&gt;="&amp;$DG41,$B41:$Y41)),
IF(AU$3=$DF41+'Model Setup'!$D$7,SUMIF($AD$3:$BA$3,"="&amp;$DF41+'Model Setup'!$D$7,$B41:$Y41)+'Model Setup'!$D$8*(SUMIF($AD$3:$BA$3,"&lt;"&amp;$DF41,$B41:$Y41)+SUMIF($AD$3:$BA$3,"&gt;="&amp;$DG41,$B41:$Y41)),
IF(AU$3=$DF41+'Model Setup'!$E$7,SUMIF($AD$3:$BA$3,"="&amp;$DF41+'Model Setup'!$E$7,$B41:$Y41)+'Model Setup'!$E$8*(SUMIF($AD$3:$BA$3,"&lt;"&amp;$DF41,$B41:$Y41)+SUMIF($AD$3:$BA$3,"&gt;="&amp;$DG41,$B41:$Y41)),
IF(AU$3=$DF41+'Model Setup'!$F$7,SUMIF($AD$3:$BA$3,"="&amp;$DF41+'Model Setup'!$F$7,$B41:$Y41)+'Model Setup'!$F$8*(SUMIF($AD$3:$BA$3,"&lt;"&amp;$DF41,$B41:$Y41)+SUMIF($AD$3:$BA$3,"&gt;="&amp;$DG41,$B41:$Y41)),
IF(AU$3=$DF41+'Model Setup'!$G$7,SUMIF($AD$3:$BA$3,"="&amp;$DF41+'Model Setup'!$G$7,$B41:$Y41)+'Model Setup'!$G$8*(SUMIF($AD$3:$BA$3,"&lt;"&amp;$DF41,$B41:$Y41)+SUMIF($AD$3:$BA$3,"&gt;="&amp;$DG41,$B41:$Y41)),
IF(AU$3=$DF41+'Model Setup'!$H$7,SUMIF($AD$3:$BA$3,"="&amp;$DF41+'Model Setup'!$H$7,$B41:$Y41)+'Model Setup'!$H$8*(SUMIF($AD$3:$BA$3,"&lt;"&amp;$DF41,$B41:$Y41)+SUMIF($AD$3:$BA$3,"&gt;="&amp;$DG41,$B41:$Y41)),
IF(AU$3=$DF41+'Model Setup'!$I$7,SUMIF($AD$3:$BA$3,"="&amp;$DF41+'Model Setup'!$I$7,$B41:$Y41)+'Model Setup'!$I$8*(SUMIF($AD$3:$BA$3,"&lt;"&amp;$DF41,$B41:$Y41)+SUMIF($AD$3:$BA$3,"&gt;="&amp;$DG41,$B41:$Y41)),
IF(AU$3=$DF41+'Model Setup'!$J$7,SUMIF($AD$3:$BA$3,"="&amp;$DF41+'Model Setup'!$J$7,$B41:$Y41)+'Model Setup'!$J$8*(SUMIF($AD$3:$BA$3,"&lt;"&amp;$DF41,$B41:$Y41)+SUMIF($AD$3:$BA$3,"&gt;="&amp;$DG41,$B41:$Y41)),
IF(AU$3=$DF41+'Model Setup'!$K$7,SUMIF($AD$3:$BA$3,"="&amp;$DF41+'Model Setup'!$K$7,$B41:$Y41)+'Model Setup'!$K$8*(SUMIF($AD$3:$BA$3,"&lt;"&amp;$DF41,$B41:$Y41)+SUMIF($AD$3:$BA$3,"&gt;="&amp;$DG41,$B41:$Y41)),
IF(AU$3=$DF41+'Model Setup'!$L$7,SUMIF($AD$3:$BA$3,"="&amp;$DF41+'Model Setup'!$L$7,$B41:$Y41)+'Model Setup'!$L$8*(SUMIF($AD$3:$BA$3,"&lt;"&amp;$DF41,$B41:$Y41)+SUMIF($AD$3:$BA$3,"&gt;="&amp;$DG41,$B41:$Y41)),
IF(AU$3=$DF41+'Model Setup'!$M$7,SUMIF($AD$3:$BA$3,"="&amp;$DF41+'Model Setup'!$M$7,$B41:$Y41)+'Model Setup'!$M$8*(SUMIF($AD$3:$BA$3,"&lt;"&amp;$DF41,$B41:$Y41)+SUMIF($AD$3:$BA$3,"&gt;="&amp;$DG41,$B41:$Y41)),
IF(AU$3=$DF41+'Model Setup'!$N$7,SUMIF($AD$3:$BA$3,"="&amp;$DF41+'Model Setup'!$N$7,$B41:$Y41)+'Model Setup'!$N$8*(SUMIF($AD$3:$BA$3,"&lt;"&amp;$DF41,$B41:$Y41)+SUMIF($AD$3:$BA$3,"&gt;="&amp;$DG41,$B41:$Y41)),
IF(AU$3&lt;$DG41,S41,0))))))))))))))),0)</f>
        <v>31</v>
      </c>
      <c r="AV41" s="47">
        <f>ROUND(IF(AV$3&lt;$DF41,0,
IF(AV$3=$DF41+'Model Setup'!$B$7,SUMIF($AD$3:$BA$3,"="&amp;$DF41+'Model Setup'!$B$7,$B41:$Y41)+'Model Setup'!$B$8*(SUMIF($AD$3:$BA$3,"&lt;"&amp;$DF41,$B41:$Y41)+SUMIF($AD$3:$BA$3,"&gt;="&amp;$DG41,$B41:$Y41)),
IF(AV$3=$DF41+'Model Setup'!$C$7,SUMIF($AD$3:$BA$3,"="&amp;$DF41+'Model Setup'!$C$7,$B41:$Y41)+'Model Setup'!$C$8*(SUMIF($AD$3:$BA$3,"&lt;"&amp;$DF41,$B41:$Y41)+SUMIF($AD$3:$BA$3,"&gt;="&amp;$DG41,$B41:$Y41)),
IF(AV$3=$DF41+'Model Setup'!$D$7,SUMIF($AD$3:$BA$3,"="&amp;$DF41+'Model Setup'!$D$7,$B41:$Y41)+'Model Setup'!$D$8*(SUMIF($AD$3:$BA$3,"&lt;"&amp;$DF41,$B41:$Y41)+SUMIF($AD$3:$BA$3,"&gt;="&amp;$DG41,$B41:$Y41)),
IF(AV$3=$DF41+'Model Setup'!$E$7,SUMIF($AD$3:$BA$3,"="&amp;$DF41+'Model Setup'!$E$7,$B41:$Y41)+'Model Setup'!$E$8*(SUMIF($AD$3:$BA$3,"&lt;"&amp;$DF41,$B41:$Y41)+SUMIF($AD$3:$BA$3,"&gt;="&amp;$DG41,$B41:$Y41)),
IF(AV$3=$DF41+'Model Setup'!$F$7,SUMIF($AD$3:$BA$3,"="&amp;$DF41+'Model Setup'!$F$7,$B41:$Y41)+'Model Setup'!$F$8*(SUMIF($AD$3:$BA$3,"&lt;"&amp;$DF41,$B41:$Y41)+SUMIF($AD$3:$BA$3,"&gt;="&amp;$DG41,$B41:$Y41)),
IF(AV$3=$DF41+'Model Setup'!$G$7,SUMIF($AD$3:$BA$3,"="&amp;$DF41+'Model Setup'!$G$7,$B41:$Y41)+'Model Setup'!$G$8*(SUMIF($AD$3:$BA$3,"&lt;"&amp;$DF41,$B41:$Y41)+SUMIF($AD$3:$BA$3,"&gt;="&amp;$DG41,$B41:$Y41)),
IF(AV$3=$DF41+'Model Setup'!$H$7,SUMIF($AD$3:$BA$3,"="&amp;$DF41+'Model Setup'!$H$7,$B41:$Y41)+'Model Setup'!$H$8*(SUMIF($AD$3:$BA$3,"&lt;"&amp;$DF41,$B41:$Y41)+SUMIF($AD$3:$BA$3,"&gt;="&amp;$DG41,$B41:$Y41)),
IF(AV$3=$DF41+'Model Setup'!$I$7,SUMIF($AD$3:$BA$3,"="&amp;$DF41+'Model Setup'!$I$7,$B41:$Y41)+'Model Setup'!$I$8*(SUMIF($AD$3:$BA$3,"&lt;"&amp;$DF41,$B41:$Y41)+SUMIF($AD$3:$BA$3,"&gt;="&amp;$DG41,$B41:$Y41)),
IF(AV$3=$DF41+'Model Setup'!$J$7,SUMIF($AD$3:$BA$3,"="&amp;$DF41+'Model Setup'!$J$7,$B41:$Y41)+'Model Setup'!$J$8*(SUMIF($AD$3:$BA$3,"&lt;"&amp;$DF41,$B41:$Y41)+SUMIF($AD$3:$BA$3,"&gt;="&amp;$DG41,$B41:$Y41)),
IF(AV$3=$DF41+'Model Setup'!$K$7,SUMIF($AD$3:$BA$3,"="&amp;$DF41+'Model Setup'!$K$7,$B41:$Y41)+'Model Setup'!$K$8*(SUMIF($AD$3:$BA$3,"&lt;"&amp;$DF41,$B41:$Y41)+SUMIF($AD$3:$BA$3,"&gt;="&amp;$DG41,$B41:$Y41)),
IF(AV$3=$DF41+'Model Setup'!$L$7,SUMIF($AD$3:$BA$3,"="&amp;$DF41+'Model Setup'!$L$7,$B41:$Y41)+'Model Setup'!$L$8*(SUMIF($AD$3:$BA$3,"&lt;"&amp;$DF41,$B41:$Y41)+SUMIF($AD$3:$BA$3,"&gt;="&amp;$DG41,$B41:$Y41)),
IF(AV$3=$DF41+'Model Setup'!$M$7,SUMIF($AD$3:$BA$3,"="&amp;$DF41+'Model Setup'!$M$7,$B41:$Y41)+'Model Setup'!$M$8*(SUMIF($AD$3:$BA$3,"&lt;"&amp;$DF41,$B41:$Y41)+SUMIF($AD$3:$BA$3,"&gt;="&amp;$DG41,$B41:$Y41)),
IF(AV$3=$DF41+'Model Setup'!$N$7,SUMIF($AD$3:$BA$3,"="&amp;$DF41+'Model Setup'!$N$7,$B41:$Y41)+'Model Setup'!$N$8*(SUMIF($AD$3:$BA$3,"&lt;"&amp;$DF41,$B41:$Y41)+SUMIF($AD$3:$BA$3,"&gt;="&amp;$DG41,$B41:$Y41)),
IF(AV$3&lt;$DG41,T41,0))))))))))))))),0)</f>
        <v>32</v>
      </c>
      <c r="AW41" s="47">
        <f>ROUND(IF(AW$3&lt;$DF41,0,
IF(AW$3=$DF41+'Model Setup'!$B$7,SUMIF($AD$3:$BA$3,"="&amp;$DF41+'Model Setup'!$B$7,$B41:$Y41)+'Model Setup'!$B$8*(SUMIF($AD$3:$BA$3,"&lt;"&amp;$DF41,$B41:$Y41)+SUMIF($AD$3:$BA$3,"&gt;="&amp;$DG41,$B41:$Y41)),
IF(AW$3=$DF41+'Model Setup'!$C$7,SUMIF($AD$3:$BA$3,"="&amp;$DF41+'Model Setup'!$C$7,$B41:$Y41)+'Model Setup'!$C$8*(SUMIF($AD$3:$BA$3,"&lt;"&amp;$DF41,$B41:$Y41)+SUMIF($AD$3:$BA$3,"&gt;="&amp;$DG41,$B41:$Y41)),
IF(AW$3=$DF41+'Model Setup'!$D$7,SUMIF($AD$3:$BA$3,"="&amp;$DF41+'Model Setup'!$D$7,$B41:$Y41)+'Model Setup'!$D$8*(SUMIF($AD$3:$BA$3,"&lt;"&amp;$DF41,$B41:$Y41)+SUMIF($AD$3:$BA$3,"&gt;="&amp;$DG41,$B41:$Y41)),
IF(AW$3=$DF41+'Model Setup'!$E$7,SUMIF($AD$3:$BA$3,"="&amp;$DF41+'Model Setup'!$E$7,$B41:$Y41)+'Model Setup'!$E$8*(SUMIF($AD$3:$BA$3,"&lt;"&amp;$DF41,$B41:$Y41)+SUMIF($AD$3:$BA$3,"&gt;="&amp;$DG41,$B41:$Y41)),
IF(AW$3=$DF41+'Model Setup'!$F$7,SUMIF($AD$3:$BA$3,"="&amp;$DF41+'Model Setup'!$F$7,$B41:$Y41)+'Model Setup'!$F$8*(SUMIF($AD$3:$BA$3,"&lt;"&amp;$DF41,$B41:$Y41)+SUMIF($AD$3:$BA$3,"&gt;="&amp;$DG41,$B41:$Y41)),
IF(AW$3=$DF41+'Model Setup'!$G$7,SUMIF($AD$3:$BA$3,"="&amp;$DF41+'Model Setup'!$G$7,$B41:$Y41)+'Model Setup'!$G$8*(SUMIF($AD$3:$BA$3,"&lt;"&amp;$DF41,$B41:$Y41)+SUMIF($AD$3:$BA$3,"&gt;="&amp;$DG41,$B41:$Y41)),
IF(AW$3=$DF41+'Model Setup'!$H$7,SUMIF($AD$3:$BA$3,"="&amp;$DF41+'Model Setup'!$H$7,$B41:$Y41)+'Model Setup'!$H$8*(SUMIF($AD$3:$BA$3,"&lt;"&amp;$DF41,$B41:$Y41)+SUMIF($AD$3:$BA$3,"&gt;="&amp;$DG41,$B41:$Y41)),
IF(AW$3=$DF41+'Model Setup'!$I$7,SUMIF($AD$3:$BA$3,"="&amp;$DF41+'Model Setup'!$I$7,$B41:$Y41)+'Model Setup'!$I$8*(SUMIF($AD$3:$BA$3,"&lt;"&amp;$DF41,$B41:$Y41)+SUMIF($AD$3:$BA$3,"&gt;="&amp;$DG41,$B41:$Y41)),
IF(AW$3=$DF41+'Model Setup'!$J$7,SUMIF($AD$3:$BA$3,"="&amp;$DF41+'Model Setup'!$J$7,$B41:$Y41)+'Model Setup'!$J$8*(SUMIF($AD$3:$BA$3,"&lt;"&amp;$DF41,$B41:$Y41)+SUMIF($AD$3:$BA$3,"&gt;="&amp;$DG41,$B41:$Y41)),
IF(AW$3=$DF41+'Model Setup'!$K$7,SUMIF($AD$3:$BA$3,"="&amp;$DF41+'Model Setup'!$K$7,$B41:$Y41)+'Model Setup'!$K$8*(SUMIF($AD$3:$BA$3,"&lt;"&amp;$DF41,$B41:$Y41)+SUMIF($AD$3:$BA$3,"&gt;="&amp;$DG41,$B41:$Y41)),
IF(AW$3=$DF41+'Model Setup'!$L$7,SUMIF($AD$3:$BA$3,"="&amp;$DF41+'Model Setup'!$L$7,$B41:$Y41)+'Model Setup'!$L$8*(SUMIF($AD$3:$BA$3,"&lt;"&amp;$DF41,$B41:$Y41)+SUMIF($AD$3:$BA$3,"&gt;="&amp;$DG41,$B41:$Y41)),
IF(AW$3=$DF41+'Model Setup'!$M$7,SUMIF($AD$3:$BA$3,"="&amp;$DF41+'Model Setup'!$M$7,$B41:$Y41)+'Model Setup'!$M$8*(SUMIF($AD$3:$BA$3,"&lt;"&amp;$DF41,$B41:$Y41)+SUMIF($AD$3:$BA$3,"&gt;="&amp;$DG41,$B41:$Y41)),
IF(AW$3=$DF41+'Model Setup'!$N$7,SUMIF($AD$3:$BA$3,"="&amp;$DF41+'Model Setup'!$N$7,$B41:$Y41)+'Model Setup'!$N$8*(SUMIF($AD$3:$BA$3,"&lt;"&amp;$DF41,$B41:$Y41)+SUMIF($AD$3:$BA$3,"&gt;="&amp;$DG41,$B41:$Y41)),
IF(AW$3&lt;$DG41,U41,0))))))))))))))),0)</f>
        <v>24</v>
      </c>
      <c r="AX41" s="47">
        <f>ROUND(IF(AX$3&lt;$DF41,0,
IF(AX$3=$DF41+'Model Setup'!$B$7,SUMIF($AD$3:$BA$3,"="&amp;$DF41+'Model Setup'!$B$7,$B41:$Y41)+'Model Setup'!$B$8*(SUMIF($AD$3:$BA$3,"&lt;"&amp;$DF41,$B41:$Y41)+SUMIF($AD$3:$BA$3,"&gt;="&amp;$DG41,$B41:$Y41)),
IF(AX$3=$DF41+'Model Setup'!$C$7,SUMIF($AD$3:$BA$3,"="&amp;$DF41+'Model Setup'!$C$7,$B41:$Y41)+'Model Setup'!$C$8*(SUMIF($AD$3:$BA$3,"&lt;"&amp;$DF41,$B41:$Y41)+SUMIF($AD$3:$BA$3,"&gt;="&amp;$DG41,$B41:$Y41)),
IF(AX$3=$DF41+'Model Setup'!$D$7,SUMIF($AD$3:$BA$3,"="&amp;$DF41+'Model Setup'!$D$7,$B41:$Y41)+'Model Setup'!$D$8*(SUMIF($AD$3:$BA$3,"&lt;"&amp;$DF41,$B41:$Y41)+SUMIF($AD$3:$BA$3,"&gt;="&amp;$DG41,$B41:$Y41)),
IF(AX$3=$DF41+'Model Setup'!$E$7,SUMIF($AD$3:$BA$3,"="&amp;$DF41+'Model Setup'!$E$7,$B41:$Y41)+'Model Setup'!$E$8*(SUMIF($AD$3:$BA$3,"&lt;"&amp;$DF41,$B41:$Y41)+SUMIF($AD$3:$BA$3,"&gt;="&amp;$DG41,$B41:$Y41)),
IF(AX$3=$DF41+'Model Setup'!$F$7,SUMIF($AD$3:$BA$3,"="&amp;$DF41+'Model Setup'!$F$7,$B41:$Y41)+'Model Setup'!$F$8*(SUMIF($AD$3:$BA$3,"&lt;"&amp;$DF41,$B41:$Y41)+SUMIF($AD$3:$BA$3,"&gt;="&amp;$DG41,$B41:$Y41)),
IF(AX$3=$DF41+'Model Setup'!$G$7,SUMIF($AD$3:$BA$3,"="&amp;$DF41+'Model Setup'!$G$7,$B41:$Y41)+'Model Setup'!$G$8*(SUMIF($AD$3:$BA$3,"&lt;"&amp;$DF41,$B41:$Y41)+SUMIF($AD$3:$BA$3,"&gt;="&amp;$DG41,$B41:$Y41)),
IF(AX$3=$DF41+'Model Setup'!$H$7,SUMIF($AD$3:$BA$3,"="&amp;$DF41+'Model Setup'!$H$7,$B41:$Y41)+'Model Setup'!$H$8*(SUMIF($AD$3:$BA$3,"&lt;"&amp;$DF41,$B41:$Y41)+SUMIF($AD$3:$BA$3,"&gt;="&amp;$DG41,$B41:$Y41)),
IF(AX$3=$DF41+'Model Setup'!$I$7,SUMIF($AD$3:$BA$3,"="&amp;$DF41+'Model Setup'!$I$7,$B41:$Y41)+'Model Setup'!$I$8*(SUMIF($AD$3:$BA$3,"&lt;"&amp;$DF41,$B41:$Y41)+SUMIF($AD$3:$BA$3,"&gt;="&amp;$DG41,$B41:$Y41)),
IF(AX$3=$DF41+'Model Setup'!$J$7,SUMIF($AD$3:$BA$3,"="&amp;$DF41+'Model Setup'!$J$7,$B41:$Y41)+'Model Setup'!$J$8*(SUMIF($AD$3:$BA$3,"&lt;"&amp;$DF41,$B41:$Y41)+SUMIF($AD$3:$BA$3,"&gt;="&amp;$DG41,$B41:$Y41)),
IF(AX$3=$DF41+'Model Setup'!$K$7,SUMIF($AD$3:$BA$3,"="&amp;$DF41+'Model Setup'!$K$7,$B41:$Y41)+'Model Setup'!$K$8*(SUMIF($AD$3:$BA$3,"&lt;"&amp;$DF41,$B41:$Y41)+SUMIF($AD$3:$BA$3,"&gt;="&amp;$DG41,$B41:$Y41)),
IF(AX$3=$DF41+'Model Setup'!$L$7,SUMIF($AD$3:$BA$3,"="&amp;$DF41+'Model Setup'!$L$7,$B41:$Y41)+'Model Setup'!$L$8*(SUMIF($AD$3:$BA$3,"&lt;"&amp;$DF41,$B41:$Y41)+SUMIF($AD$3:$BA$3,"&gt;="&amp;$DG41,$B41:$Y41)),
IF(AX$3=$DF41+'Model Setup'!$M$7,SUMIF($AD$3:$BA$3,"="&amp;$DF41+'Model Setup'!$M$7,$B41:$Y41)+'Model Setup'!$M$8*(SUMIF($AD$3:$BA$3,"&lt;"&amp;$DF41,$B41:$Y41)+SUMIF($AD$3:$BA$3,"&gt;="&amp;$DG41,$B41:$Y41)),
IF(AX$3=$DF41+'Model Setup'!$N$7,SUMIF($AD$3:$BA$3,"="&amp;$DF41+'Model Setup'!$N$7,$B41:$Y41)+'Model Setup'!$N$8*(SUMIF($AD$3:$BA$3,"&lt;"&amp;$DF41,$B41:$Y41)+SUMIF($AD$3:$BA$3,"&gt;="&amp;$DG41,$B41:$Y41)),
IF(AX$3&lt;$DG41,V41,0))))))))))))))),0)</f>
        <v>0</v>
      </c>
      <c r="AY41" s="47">
        <f>ROUND(IF(AY$3&lt;$DF41,0,
IF(AY$3=$DF41+'Model Setup'!$B$7,SUMIF($AD$3:$BA$3,"="&amp;$DF41+'Model Setup'!$B$7,$B41:$Y41)+'Model Setup'!$B$8*(SUMIF($AD$3:$BA$3,"&lt;"&amp;$DF41,$B41:$Y41)+SUMIF($AD$3:$BA$3,"&gt;="&amp;$DG41,$B41:$Y41)),
IF(AY$3=$DF41+'Model Setup'!$C$7,SUMIF($AD$3:$BA$3,"="&amp;$DF41+'Model Setup'!$C$7,$B41:$Y41)+'Model Setup'!$C$8*(SUMIF($AD$3:$BA$3,"&lt;"&amp;$DF41,$B41:$Y41)+SUMIF($AD$3:$BA$3,"&gt;="&amp;$DG41,$B41:$Y41)),
IF(AY$3=$DF41+'Model Setup'!$D$7,SUMIF($AD$3:$BA$3,"="&amp;$DF41+'Model Setup'!$D$7,$B41:$Y41)+'Model Setup'!$D$8*(SUMIF($AD$3:$BA$3,"&lt;"&amp;$DF41,$B41:$Y41)+SUMIF($AD$3:$BA$3,"&gt;="&amp;$DG41,$B41:$Y41)),
IF(AY$3=$DF41+'Model Setup'!$E$7,SUMIF($AD$3:$BA$3,"="&amp;$DF41+'Model Setup'!$E$7,$B41:$Y41)+'Model Setup'!$E$8*(SUMIF($AD$3:$BA$3,"&lt;"&amp;$DF41,$B41:$Y41)+SUMIF($AD$3:$BA$3,"&gt;="&amp;$DG41,$B41:$Y41)),
IF(AY$3=$DF41+'Model Setup'!$F$7,SUMIF($AD$3:$BA$3,"="&amp;$DF41+'Model Setup'!$F$7,$B41:$Y41)+'Model Setup'!$F$8*(SUMIF($AD$3:$BA$3,"&lt;"&amp;$DF41,$B41:$Y41)+SUMIF($AD$3:$BA$3,"&gt;="&amp;$DG41,$B41:$Y41)),
IF(AY$3=$DF41+'Model Setup'!$G$7,SUMIF($AD$3:$BA$3,"="&amp;$DF41+'Model Setup'!$G$7,$B41:$Y41)+'Model Setup'!$G$8*(SUMIF($AD$3:$BA$3,"&lt;"&amp;$DF41,$B41:$Y41)+SUMIF($AD$3:$BA$3,"&gt;="&amp;$DG41,$B41:$Y41)),
IF(AY$3=$DF41+'Model Setup'!$H$7,SUMIF($AD$3:$BA$3,"="&amp;$DF41+'Model Setup'!$H$7,$B41:$Y41)+'Model Setup'!$H$8*(SUMIF($AD$3:$BA$3,"&lt;"&amp;$DF41,$B41:$Y41)+SUMIF($AD$3:$BA$3,"&gt;="&amp;$DG41,$B41:$Y41)),
IF(AY$3=$DF41+'Model Setup'!$I$7,SUMIF($AD$3:$BA$3,"="&amp;$DF41+'Model Setup'!$I$7,$B41:$Y41)+'Model Setup'!$I$8*(SUMIF($AD$3:$BA$3,"&lt;"&amp;$DF41,$B41:$Y41)+SUMIF($AD$3:$BA$3,"&gt;="&amp;$DG41,$B41:$Y41)),
IF(AY$3=$DF41+'Model Setup'!$J$7,SUMIF($AD$3:$BA$3,"="&amp;$DF41+'Model Setup'!$J$7,$B41:$Y41)+'Model Setup'!$J$8*(SUMIF($AD$3:$BA$3,"&lt;"&amp;$DF41,$B41:$Y41)+SUMIF($AD$3:$BA$3,"&gt;="&amp;$DG41,$B41:$Y41)),
IF(AY$3=$DF41+'Model Setup'!$K$7,SUMIF($AD$3:$BA$3,"="&amp;$DF41+'Model Setup'!$K$7,$B41:$Y41)+'Model Setup'!$K$8*(SUMIF($AD$3:$BA$3,"&lt;"&amp;$DF41,$B41:$Y41)+SUMIF($AD$3:$BA$3,"&gt;="&amp;$DG41,$B41:$Y41)),
IF(AY$3=$DF41+'Model Setup'!$L$7,SUMIF($AD$3:$BA$3,"="&amp;$DF41+'Model Setup'!$L$7,$B41:$Y41)+'Model Setup'!$L$8*(SUMIF($AD$3:$BA$3,"&lt;"&amp;$DF41,$B41:$Y41)+SUMIF($AD$3:$BA$3,"&gt;="&amp;$DG41,$B41:$Y41)),
IF(AY$3=$DF41+'Model Setup'!$M$7,SUMIF($AD$3:$BA$3,"="&amp;$DF41+'Model Setup'!$M$7,$B41:$Y41)+'Model Setup'!$M$8*(SUMIF($AD$3:$BA$3,"&lt;"&amp;$DF41,$B41:$Y41)+SUMIF($AD$3:$BA$3,"&gt;="&amp;$DG41,$B41:$Y41)),
IF(AY$3=$DF41+'Model Setup'!$N$7,SUMIF($AD$3:$BA$3,"="&amp;$DF41+'Model Setup'!$N$7,$B41:$Y41)+'Model Setup'!$N$8*(SUMIF($AD$3:$BA$3,"&lt;"&amp;$DF41,$B41:$Y41)+SUMIF($AD$3:$BA$3,"&gt;="&amp;$DG41,$B41:$Y41)),
IF(AY$3&lt;$DG41,W41,0))))))))))))))),0)</f>
        <v>0</v>
      </c>
      <c r="AZ41" s="47">
        <f>ROUND(IF(AZ$3&lt;$DF41,0,
IF(AZ$3=$DF41+'Model Setup'!$B$7,SUMIF($AD$3:$BA$3,"="&amp;$DF41+'Model Setup'!$B$7,$B41:$Y41)+'Model Setup'!$B$8*(SUMIF($AD$3:$BA$3,"&lt;"&amp;$DF41,$B41:$Y41)+SUMIF($AD$3:$BA$3,"&gt;="&amp;$DG41,$B41:$Y41)),
IF(AZ$3=$DF41+'Model Setup'!$C$7,SUMIF($AD$3:$BA$3,"="&amp;$DF41+'Model Setup'!$C$7,$B41:$Y41)+'Model Setup'!$C$8*(SUMIF($AD$3:$BA$3,"&lt;"&amp;$DF41,$B41:$Y41)+SUMIF($AD$3:$BA$3,"&gt;="&amp;$DG41,$B41:$Y41)),
IF(AZ$3=$DF41+'Model Setup'!$D$7,SUMIF($AD$3:$BA$3,"="&amp;$DF41+'Model Setup'!$D$7,$B41:$Y41)+'Model Setup'!$D$8*(SUMIF($AD$3:$BA$3,"&lt;"&amp;$DF41,$B41:$Y41)+SUMIF($AD$3:$BA$3,"&gt;="&amp;$DG41,$B41:$Y41)),
IF(AZ$3=$DF41+'Model Setup'!$E$7,SUMIF($AD$3:$BA$3,"="&amp;$DF41+'Model Setup'!$E$7,$B41:$Y41)+'Model Setup'!$E$8*(SUMIF($AD$3:$BA$3,"&lt;"&amp;$DF41,$B41:$Y41)+SUMIF($AD$3:$BA$3,"&gt;="&amp;$DG41,$B41:$Y41)),
IF(AZ$3=$DF41+'Model Setup'!$F$7,SUMIF($AD$3:$BA$3,"="&amp;$DF41+'Model Setup'!$F$7,$B41:$Y41)+'Model Setup'!$F$8*(SUMIF($AD$3:$BA$3,"&lt;"&amp;$DF41,$B41:$Y41)+SUMIF($AD$3:$BA$3,"&gt;="&amp;$DG41,$B41:$Y41)),
IF(AZ$3=$DF41+'Model Setup'!$G$7,SUMIF($AD$3:$BA$3,"="&amp;$DF41+'Model Setup'!$G$7,$B41:$Y41)+'Model Setup'!$G$8*(SUMIF($AD$3:$BA$3,"&lt;"&amp;$DF41,$B41:$Y41)+SUMIF($AD$3:$BA$3,"&gt;="&amp;$DG41,$B41:$Y41)),
IF(AZ$3=$DF41+'Model Setup'!$H$7,SUMIF($AD$3:$BA$3,"="&amp;$DF41+'Model Setup'!$H$7,$B41:$Y41)+'Model Setup'!$H$8*(SUMIF($AD$3:$BA$3,"&lt;"&amp;$DF41,$B41:$Y41)+SUMIF($AD$3:$BA$3,"&gt;="&amp;$DG41,$B41:$Y41)),
IF(AZ$3=$DF41+'Model Setup'!$I$7,SUMIF($AD$3:$BA$3,"="&amp;$DF41+'Model Setup'!$I$7,$B41:$Y41)+'Model Setup'!$I$8*(SUMIF($AD$3:$BA$3,"&lt;"&amp;$DF41,$B41:$Y41)+SUMIF($AD$3:$BA$3,"&gt;="&amp;$DG41,$B41:$Y41)),
IF(AZ$3=$DF41+'Model Setup'!$J$7,SUMIF($AD$3:$BA$3,"="&amp;$DF41+'Model Setup'!$J$7,$B41:$Y41)+'Model Setup'!$J$8*(SUMIF($AD$3:$BA$3,"&lt;"&amp;$DF41,$B41:$Y41)+SUMIF($AD$3:$BA$3,"&gt;="&amp;$DG41,$B41:$Y41)),
IF(AZ$3=$DF41+'Model Setup'!$K$7,SUMIF($AD$3:$BA$3,"="&amp;$DF41+'Model Setup'!$K$7,$B41:$Y41)+'Model Setup'!$K$8*(SUMIF($AD$3:$BA$3,"&lt;"&amp;$DF41,$B41:$Y41)+SUMIF($AD$3:$BA$3,"&gt;="&amp;$DG41,$B41:$Y41)),
IF(AZ$3=$DF41+'Model Setup'!$L$7,SUMIF($AD$3:$BA$3,"="&amp;$DF41+'Model Setup'!$L$7,$B41:$Y41)+'Model Setup'!$L$8*(SUMIF($AD$3:$BA$3,"&lt;"&amp;$DF41,$B41:$Y41)+SUMIF($AD$3:$BA$3,"&gt;="&amp;$DG41,$B41:$Y41)),
IF(AZ$3=$DF41+'Model Setup'!$M$7,SUMIF($AD$3:$BA$3,"="&amp;$DF41+'Model Setup'!$M$7,$B41:$Y41)+'Model Setup'!$M$8*(SUMIF($AD$3:$BA$3,"&lt;"&amp;$DF41,$B41:$Y41)+SUMIF($AD$3:$BA$3,"&gt;="&amp;$DG41,$B41:$Y41)),
IF(AZ$3=$DF41+'Model Setup'!$N$7,SUMIF($AD$3:$BA$3,"="&amp;$DF41+'Model Setup'!$N$7,$B41:$Y41)+'Model Setup'!$N$8*(SUMIF($AD$3:$BA$3,"&lt;"&amp;$DF41,$B41:$Y41)+SUMIF($AD$3:$BA$3,"&gt;="&amp;$DG41,$B41:$Y41)),
IF(AZ$3&lt;$DG41,X41,0))))))))))))))),0)</f>
        <v>0</v>
      </c>
      <c r="BA41" s="47">
        <f>ROUND(IF(BA$3&lt;$DF41,0,
IF(BA$3=$DF41+'Model Setup'!$B$7,SUMIF($AD$3:$BA$3,"="&amp;$DF41+'Model Setup'!$B$7,$B41:$Y41)+'Model Setup'!$B$8*(SUMIF($AD$3:$BA$3,"&lt;"&amp;$DF41,$B41:$Y41)+SUMIF($AD$3:$BA$3,"&gt;="&amp;$DG41,$B41:$Y41)),
IF(BA$3=$DF41+'Model Setup'!$C$7,SUMIF($AD$3:$BA$3,"="&amp;$DF41+'Model Setup'!$C$7,$B41:$Y41)+'Model Setup'!$C$8*(SUMIF($AD$3:$BA$3,"&lt;"&amp;$DF41,$B41:$Y41)+SUMIF($AD$3:$BA$3,"&gt;="&amp;$DG41,$B41:$Y41)),
IF(BA$3=$DF41+'Model Setup'!$D$7,SUMIF($AD$3:$BA$3,"="&amp;$DF41+'Model Setup'!$D$7,$B41:$Y41)+'Model Setup'!$D$8*(SUMIF($AD$3:$BA$3,"&lt;"&amp;$DF41,$B41:$Y41)+SUMIF($AD$3:$BA$3,"&gt;="&amp;$DG41,$B41:$Y41)),
IF(BA$3=$DF41+'Model Setup'!$E$7,SUMIF($AD$3:$BA$3,"="&amp;$DF41+'Model Setup'!$E$7,$B41:$Y41)+'Model Setup'!$E$8*(SUMIF($AD$3:$BA$3,"&lt;"&amp;$DF41,$B41:$Y41)+SUMIF($AD$3:$BA$3,"&gt;="&amp;$DG41,$B41:$Y41)),
IF(BA$3=$DF41+'Model Setup'!$F$7,SUMIF($AD$3:$BA$3,"="&amp;$DF41+'Model Setup'!$F$7,$B41:$Y41)+'Model Setup'!$F$8*(SUMIF($AD$3:$BA$3,"&lt;"&amp;$DF41,$B41:$Y41)+SUMIF($AD$3:$BA$3,"&gt;="&amp;$DG41,$B41:$Y41)),
IF(BA$3=$DF41+'Model Setup'!$G$7,SUMIF($AD$3:$BA$3,"="&amp;$DF41+'Model Setup'!$G$7,$B41:$Y41)+'Model Setup'!$G$8*(SUMIF($AD$3:$BA$3,"&lt;"&amp;$DF41,$B41:$Y41)+SUMIF($AD$3:$BA$3,"&gt;="&amp;$DG41,$B41:$Y41)),
IF(BA$3=$DF41+'Model Setup'!$H$7,SUMIF($AD$3:$BA$3,"="&amp;$DF41+'Model Setup'!$H$7,$B41:$Y41)+'Model Setup'!$H$8*(SUMIF($AD$3:$BA$3,"&lt;"&amp;$DF41,$B41:$Y41)+SUMIF($AD$3:$BA$3,"&gt;="&amp;$DG41,$B41:$Y41)),
IF(BA$3=$DF41+'Model Setup'!$I$7,SUMIF($AD$3:$BA$3,"="&amp;$DF41+'Model Setup'!$I$7,$B41:$Y41)+'Model Setup'!$I$8*(SUMIF($AD$3:$BA$3,"&lt;"&amp;$DF41,$B41:$Y41)+SUMIF($AD$3:$BA$3,"&gt;="&amp;$DG41,$B41:$Y41)),
IF(BA$3=$DF41+'Model Setup'!$J$7,SUMIF($AD$3:$BA$3,"="&amp;$DF41+'Model Setup'!$J$7,$B41:$Y41)+'Model Setup'!$J$8*(SUMIF($AD$3:$BA$3,"&lt;"&amp;$DF41,$B41:$Y41)+SUMIF($AD$3:$BA$3,"&gt;="&amp;$DG41,$B41:$Y41)),
IF(BA$3=$DF41+'Model Setup'!$K$7,SUMIF($AD$3:$BA$3,"="&amp;$DF41+'Model Setup'!$K$7,$B41:$Y41)+'Model Setup'!$K$8*(SUMIF($AD$3:$BA$3,"&lt;"&amp;$DF41,$B41:$Y41)+SUMIF($AD$3:$BA$3,"&gt;="&amp;$DG41,$B41:$Y41)),
IF(BA$3=$DF41+'Model Setup'!$L$7,SUMIF($AD$3:$BA$3,"="&amp;$DF41+'Model Setup'!$L$7,$B41:$Y41)+'Model Setup'!$L$8*(SUMIF($AD$3:$BA$3,"&lt;"&amp;$DF41,$B41:$Y41)+SUMIF($AD$3:$BA$3,"&gt;="&amp;$DG41,$B41:$Y41)),
IF(BA$3=$DF41+'Model Setup'!$M$7,SUMIF($AD$3:$BA$3,"="&amp;$DF41+'Model Setup'!$M$7,$B41:$Y41)+'Model Setup'!$M$8*(SUMIF($AD$3:$BA$3,"&lt;"&amp;$DF41,$B41:$Y41)+SUMIF($AD$3:$BA$3,"&gt;="&amp;$DG41,$B41:$Y41)),
IF(BA$3=$DF41+'Model Setup'!$N$7,SUMIF($AD$3:$BA$3,"="&amp;$DF41+'Model Setup'!$N$7,$B41:$Y41)+'Model Setup'!$N$8*(SUMIF($AD$3:$BA$3,"&lt;"&amp;$DF41,$B41:$Y41)+SUMIF($AD$3:$BA$3,"&gt;="&amp;$DG41,$B41:$Y41)),
IF(BA$3&lt;$DG41,Y41,0))))))))))))))),0)</f>
        <v>0</v>
      </c>
      <c r="BB41" s="47">
        <f t="shared" si="1"/>
        <v>342</v>
      </c>
      <c r="BD41" t="b">
        <f t="shared" si="2"/>
        <v>0</v>
      </c>
      <c r="BE41">
        <f t="shared" si="8"/>
        <v>2</v>
      </c>
      <c r="BF41">
        <f>(FTC!F39-FTC!E39)*24</f>
        <v>11.999999999999998</v>
      </c>
      <c r="BG41" s="43" t="s">
        <v>56</v>
      </c>
      <c r="BH41" s="47">
        <f>ROUND(IF(OR(BH$3&lt;$DF41,BH$3&gt;$CW$4),0,
IF(BH$3=$DF41+'Model Setup'!$B$7,SUMIF($BH$3:$CE$3,"="&amp;$DF41+'Model Setup'!$B$7,$AD41:$BA41)+'Model Setup'!$B$8*(SUMIF($BH$3:$CE$3,"&lt;"&amp;$DF41,$AD41:$BA41)+SUMIF($BH$3:$CE$3,"&gt;"&amp;$CW$4,$AD41:$BA41)),
IF(BH$3=$DF41+'Model Setup'!$C$7,SUMIF($BH$3:$CE$3,"="&amp;$DF41+'Model Setup'!$C$7,$AD41:$BA41)+'Model Setup'!$C$8*(SUMIF($BH$3:$CE$3,"&lt;"&amp;$DF41,$AD41:$BA41)+SUMIF($BH$3:$CE$3,"&gt;"&amp;$CW$4,$AD41:$BA41)),
IF(BH$3=$DF41+'Model Setup'!$D$7,SUMIF($BH$3:$CE$3,"="&amp;$DF41+'Model Setup'!$D$7,$AD41:$BA41)+'Model Setup'!$D$8*(SUMIF($BH$3:$CE$3,"&lt;"&amp;$DF41,$AD41:$BA41)+SUMIF($BH$3:$CE$3,"&gt;"&amp;$CW$4,$AD41:$BA41)),
IF(BH$3=$DF41+'Model Setup'!$E$7,SUMIF($BH$3:$CE$3,"="&amp;$DF41+'Model Setup'!$E$7,$AD41:$BA41)+'Model Setup'!$E$8*(SUMIF($BH$3:$CE$3,"&lt;"&amp;$DF41,$AD41:$BA41)+SUMIF($BH$3:$CE$3,"&gt;"&amp;$CW$4,$AD41:$BA41)),
IF(BH$3=$DF41+'Model Setup'!$F$7,SUMIF($BH$3:$CE$3,"="&amp;$DF41+'Model Setup'!$F$7,$AD41:$BA41)+'Model Setup'!$F$8*(SUMIF($BH$3:$CE$3,"&lt;"&amp;$DF41,$AD41:$BA41)+SUMIF($BH$3:$CE$3,"&gt;"&amp;$CW$4,$AD41:$BA41)),
IF(BH$3=$DF41+'Model Setup'!$G$7,SUMIF($BH$3:$CE$3,"="&amp;$DF41+'Model Setup'!$G$7,$AD41:$BA41)+'Model Setup'!$G$8*(SUMIF($BH$3:$CE$3,"&lt;"&amp;$DF41,$AD41:$BA41)+SUMIF($BH$3:$CE$3,"&gt;"&amp;$CW$4,$AD41:$BA41)),
IF(BH$3=$DF41+'Model Setup'!$H$7,SUMIF($BH$3:$CE$3,"="&amp;$DF41+'Model Setup'!$H$7,$AD41:$BA41)+'Model Setup'!$H$8*(SUMIF($BH$3:$CE$3,"&lt;"&amp;$DF41,$AD41:$BA41)+SUMIF($BH$3:$CE$3,"&gt;"&amp;$CW$4,$AD41:$BA41)),
IF(BH$3=$DF41+'Model Setup'!$I$7,SUMIF($BH$3:$CE$3,"="&amp;$DF41+'Model Setup'!$I$7,$AD41:$BA41)+'Model Setup'!$I$8*(SUMIF($BH$3:$CE$3,"&lt;"&amp;$DF41,$AD41:$BA41)+SUMIF($BH$3:$CE$3,"&gt;"&amp;$CW$4,$AD41:$BA41)),
IF(BH$3=$DF41+'Model Setup'!$J$7,SUMIF($BH$3:$CE$3,"="&amp;$DF41+'Model Setup'!$J$7,$AD41:$BA41)+'Model Setup'!$J$8*(SUMIF($BH$3:$CE$3,"&lt;"&amp;$DF41,$AD41:$BA41)+SUMIF($BH$3:$CE$3,"&gt;"&amp;$CW$4,$AD41:$BA41)),
IF(BH$3=$DF41+'Model Setup'!$K$7,SUMIF($BH$3:$CE$3,"="&amp;$DF41+'Model Setup'!$K$7,$AD41:$BA41)+'Model Setup'!$K$8*(SUMIF($BH$3:$CE$3,"&lt;"&amp;$DF41,$AD41:$BA41)+SUMIF($BH$3:$CE$3,"&gt;"&amp;$CW$4,$AD41:$BA41)),
IF(BH$3=$DF41+'Model Setup'!$L$7,SUMIF($BH$3:$CE$3,"="&amp;$DF41+'Model Setup'!$L$7,$AD41:$BA41)+'Model Setup'!$L$8*(SUMIF($BH$3:$CE$3,"&lt;"&amp;$DF41,$AD41:$BA41)+SUMIF($BH$3:$CE$3,"&gt;"&amp;$CW$4,$AD41:$BA41)),
IF(BH$3=$DF41+'Model Setup'!$M$7,SUMIF($BH$3:$CE$3,"="&amp;$DF41+'Model Setup'!$M$7,$AD41:$BA41)+'Model Setup'!$M$8*(SUMIF($BH$3:$CE$3,"&lt;"&amp;$DF41,$AD41:$BA41)+SUMIF($BH$3:$CE$3,"&gt;"&amp;$CW$4,$AD41:$BA41)),
IF(BH$3=$DF41+'Model Setup'!$N$7,SUMIF($BH$3:$CE$3,"="&amp;$DF41+'Model Setup'!$N$7,$AD41:$BA41)+'Model Setup'!$N$8*(SUMIF($BH$3:$CE$3,"&lt;"&amp;$DF41,$AD41:$BA41)+SUMIF($BH$3:$CE$3,"&gt;"&amp;$CW$4,$AD41:$BA41)),
IF(BH$3&lt;$CW$4,B41,0))))))))))))))),0)</f>
        <v>0</v>
      </c>
      <c r="BI41" s="47">
        <f>ROUND(IF(OR(BI$3&lt;$DF41,BI$3&gt;$CW$4),0,
IF(BI$3=$DF41+'Model Setup'!$B$7,SUMIF($BH$3:$CE$3,"="&amp;$DF41+'Model Setup'!$B$7,$AD41:$BA41)+'Model Setup'!$B$8*(SUMIF($BH$3:$CE$3,"&lt;"&amp;$DF41,$AD41:$BA41)+SUMIF($BH$3:$CE$3,"&gt;"&amp;$CW$4,$AD41:$BA41)),
IF(BI$3=$DF41+'Model Setup'!$C$7,SUMIF($BH$3:$CE$3,"="&amp;$DF41+'Model Setup'!$C$7,$AD41:$BA41)+'Model Setup'!$C$8*(SUMIF($BH$3:$CE$3,"&lt;"&amp;$DF41,$AD41:$BA41)+SUMIF($BH$3:$CE$3,"&gt;"&amp;$CW$4,$AD41:$BA41)),
IF(BI$3=$DF41+'Model Setup'!$D$7,SUMIF($BH$3:$CE$3,"="&amp;$DF41+'Model Setup'!$D$7,$AD41:$BA41)+'Model Setup'!$D$8*(SUMIF($BH$3:$CE$3,"&lt;"&amp;$DF41,$AD41:$BA41)+SUMIF($BH$3:$CE$3,"&gt;"&amp;$CW$4,$AD41:$BA41)),
IF(BI$3=$DF41+'Model Setup'!$E$7,SUMIF($BH$3:$CE$3,"="&amp;$DF41+'Model Setup'!$E$7,$AD41:$BA41)+'Model Setup'!$E$8*(SUMIF($BH$3:$CE$3,"&lt;"&amp;$DF41,$AD41:$BA41)+SUMIF($BH$3:$CE$3,"&gt;"&amp;$CW$4,$AD41:$BA41)),
IF(BI$3=$DF41+'Model Setup'!$F$7,SUMIF($BH$3:$CE$3,"="&amp;$DF41+'Model Setup'!$F$7,$AD41:$BA41)+'Model Setup'!$F$8*(SUMIF($BH$3:$CE$3,"&lt;"&amp;$DF41,$AD41:$BA41)+SUMIF($BH$3:$CE$3,"&gt;"&amp;$CW$4,$AD41:$BA41)),
IF(BI$3=$DF41+'Model Setup'!$G$7,SUMIF($BH$3:$CE$3,"="&amp;$DF41+'Model Setup'!$G$7,$AD41:$BA41)+'Model Setup'!$G$8*(SUMIF($BH$3:$CE$3,"&lt;"&amp;$DF41,$AD41:$BA41)+SUMIF($BH$3:$CE$3,"&gt;"&amp;$CW$4,$AD41:$BA41)),
IF(BI$3=$DF41+'Model Setup'!$H$7,SUMIF($BH$3:$CE$3,"="&amp;$DF41+'Model Setup'!$H$7,$AD41:$BA41)+'Model Setup'!$H$8*(SUMIF($BH$3:$CE$3,"&lt;"&amp;$DF41,$AD41:$BA41)+SUMIF($BH$3:$CE$3,"&gt;"&amp;$CW$4,$AD41:$BA41)),
IF(BI$3=$DF41+'Model Setup'!$I$7,SUMIF($BH$3:$CE$3,"="&amp;$DF41+'Model Setup'!$I$7,$AD41:$BA41)+'Model Setup'!$I$8*(SUMIF($BH$3:$CE$3,"&lt;"&amp;$DF41,$AD41:$BA41)+SUMIF($BH$3:$CE$3,"&gt;"&amp;$CW$4,$AD41:$BA41)),
IF(BI$3=$DF41+'Model Setup'!$J$7,SUMIF($BH$3:$CE$3,"="&amp;$DF41+'Model Setup'!$J$7,$AD41:$BA41)+'Model Setup'!$J$8*(SUMIF($BH$3:$CE$3,"&lt;"&amp;$DF41,$AD41:$BA41)+SUMIF($BH$3:$CE$3,"&gt;"&amp;$CW$4,$AD41:$BA41)),
IF(BI$3=$DF41+'Model Setup'!$K$7,SUMIF($BH$3:$CE$3,"="&amp;$DF41+'Model Setup'!$K$7,$AD41:$BA41)+'Model Setup'!$K$8*(SUMIF($BH$3:$CE$3,"&lt;"&amp;$DF41,$AD41:$BA41)+SUMIF($BH$3:$CE$3,"&gt;"&amp;$CW$4,$AD41:$BA41)),
IF(BI$3=$DF41+'Model Setup'!$L$7,SUMIF($BH$3:$CE$3,"="&amp;$DF41+'Model Setup'!$L$7,$AD41:$BA41)+'Model Setup'!$L$8*(SUMIF($BH$3:$CE$3,"&lt;"&amp;$DF41,$AD41:$BA41)+SUMIF($BH$3:$CE$3,"&gt;"&amp;$CW$4,$AD41:$BA41)),
IF(BI$3=$DF41+'Model Setup'!$M$7,SUMIF($BH$3:$CE$3,"="&amp;$DF41+'Model Setup'!$M$7,$AD41:$BA41)+'Model Setup'!$M$8*(SUMIF($BH$3:$CE$3,"&lt;"&amp;$DF41,$AD41:$BA41)+SUMIF($BH$3:$CE$3,"&gt;"&amp;$CW$4,$AD41:$BA41)),
IF(BI$3=$DF41+'Model Setup'!$N$7,SUMIF($BH$3:$CE$3,"="&amp;$DF41+'Model Setup'!$N$7,$AD41:$BA41)+'Model Setup'!$N$8*(SUMIF($BH$3:$CE$3,"&lt;"&amp;$DF41,$AD41:$BA41)+SUMIF($BH$3:$CE$3,"&gt;"&amp;$CW$4,$AD41:$BA41)),
IF(BI$3&lt;$CW$4,C41,0))))))))))))))),0)</f>
        <v>0</v>
      </c>
      <c r="BJ41" s="47">
        <f>ROUND(IF(OR(BJ$3&lt;$DF41,BJ$3&gt;$CW$4),0,
IF(BJ$3=$DF41+'Model Setup'!$B$7,SUMIF($BH$3:$CE$3,"="&amp;$DF41+'Model Setup'!$B$7,$AD41:$BA41)+'Model Setup'!$B$8*(SUMIF($BH$3:$CE$3,"&lt;"&amp;$DF41,$AD41:$BA41)+SUMIF($BH$3:$CE$3,"&gt;"&amp;$CW$4,$AD41:$BA41)),
IF(BJ$3=$DF41+'Model Setup'!$C$7,SUMIF($BH$3:$CE$3,"="&amp;$DF41+'Model Setup'!$C$7,$AD41:$BA41)+'Model Setup'!$C$8*(SUMIF($BH$3:$CE$3,"&lt;"&amp;$DF41,$AD41:$BA41)+SUMIF($BH$3:$CE$3,"&gt;"&amp;$CW$4,$AD41:$BA41)),
IF(BJ$3=$DF41+'Model Setup'!$D$7,SUMIF($BH$3:$CE$3,"="&amp;$DF41+'Model Setup'!$D$7,$AD41:$BA41)+'Model Setup'!$D$8*(SUMIF($BH$3:$CE$3,"&lt;"&amp;$DF41,$AD41:$BA41)+SUMIF($BH$3:$CE$3,"&gt;"&amp;$CW$4,$AD41:$BA41)),
IF(BJ$3=$DF41+'Model Setup'!$E$7,SUMIF($BH$3:$CE$3,"="&amp;$DF41+'Model Setup'!$E$7,$AD41:$BA41)+'Model Setup'!$E$8*(SUMIF($BH$3:$CE$3,"&lt;"&amp;$DF41,$AD41:$BA41)+SUMIF($BH$3:$CE$3,"&gt;"&amp;$CW$4,$AD41:$BA41)),
IF(BJ$3=$DF41+'Model Setup'!$F$7,SUMIF($BH$3:$CE$3,"="&amp;$DF41+'Model Setup'!$F$7,$AD41:$BA41)+'Model Setup'!$F$8*(SUMIF($BH$3:$CE$3,"&lt;"&amp;$DF41,$AD41:$BA41)+SUMIF($BH$3:$CE$3,"&gt;"&amp;$CW$4,$AD41:$BA41)),
IF(BJ$3=$DF41+'Model Setup'!$G$7,SUMIF($BH$3:$CE$3,"="&amp;$DF41+'Model Setup'!$G$7,$AD41:$BA41)+'Model Setup'!$G$8*(SUMIF($BH$3:$CE$3,"&lt;"&amp;$DF41,$AD41:$BA41)+SUMIF($BH$3:$CE$3,"&gt;"&amp;$CW$4,$AD41:$BA41)),
IF(BJ$3=$DF41+'Model Setup'!$H$7,SUMIF($BH$3:$CE$3,"="&amp;$DF41+'Model Setup'!$H$7,$AD41:$BA41)+'Model Setup'!$H$8*(SUMIF($BH$3:$CE$3,"&lt;"&amp;$DF41,$AD41:$BA41)+SUMIF($BH$3:$CE$3,"&gt;"&amp;$CW$4,$AD41:$BA41)),
IF(BJ$3=$DF41+'Model Setup'!$I$7,SUMIF($BH$3:$CE$3,"="&amp;$DF41+'Model Setup'!$I$7,$AD41:$BA41)+'Model Setup'!$I$8*(SUMIF($BH$3:$CE$3,"&lt;"&amp;$DF41,$AD41:$BA41)+SUMIF($BH$3:$CE$3,"&gt;"&amp;$CW$4,$AD41:$BA41)),
IF(BJ$3=$DF41+'Model Setup'!$J$7,SUMIF($BH$3:$CE$3,"="&amp;$DF41+'Model Setup'!$J$7,$AD41:$BA41)+'Model Setup'!$J$8*(SUMIF($BH$3:$CE$3,"&lt;"&amp;$DF41,$AD41:$BA41)+SUMIF($BH$3:$CE$3,"&gt;"&amp;$CW$4,$AD41:$BA41)),
IF(BJ$3=$DF41+'Model Setup'!$K$7,SUMIF($BH$3:$CE$3,"="&amp;$DF41+'Model Setup'!$K$7,$AD41:$BA41)+'Model Setup'!$K$8*(SUMIF($BH$3:$CE$3,"&lt;"&amp;$DF41,$AD41:$BA41)+SUMIF($BH$3:$CE$3,"&gt;"&amp;$CW$4,$AD41:$BA41)),
IF(BJ$3=$DF41+'Model Setup'!$L$7,SUMIF($BH$3:$CE$3,"="&amp;$DF41+'Model Setup'!$L$7,$AD41:$BA41)+'Model Setup'!$L$8*(SUMIF($BH$3:$CE$3,"&lt;"&amp;$DF41,$AD41:$BA41)+SUMIF($BH$3:$CE$3,"&gt;"&amp;$CW$4,$AD41:$BA41)),
IF(BJ$3=$DF41+'Model Setup'!$M$7,SUMIF($BH$3:$CE$3,"="&amp;$DF41+'Model Setup'!$M$7,$AD41:$BA41)+'Model Setup'!$M$8*(SUMIF($BH$3:$CE$3,"&lt;"&amp;$DF41,$AD41:$BA41)+SUMIF($BH$3:$CE$3,"&gt;"&amp;$CW$4,$AD41:$BA41)),
IF(BJ$3=$DF41+'Model Setup'!$N$7,SUMIF($BH$3:$CE$3,"="&amp;$DF41+'Model Setup'!$N$7,$AD41:$BA41)+'Model Setup'!$N$8*(SUMIF($BH$3:$CE$3,"&lt;"&amp;$DF41,$AD41:$BA41)+SUMIF($BH$3:$CE$3,"&gt;"&amp;$CW$4,$AD41:$BA41)),
IF(BJ$3&lt;$CW$4,D41,0))))))))))))))),0)</f>
        <v>0</v>
      </c>
      <c r="BK41" s="47">
        <f>ROUND(IF(OR(BK$3&lt;$DF41,BK$3&gt;$CW$4),0,
IF(BK$3=$DF41+'Model Setup'!$B$7,SUMIF($BH$3:$CE$3,"="&amp;$DF41+'Model Setup'!$B$7,$AD41:$BA41)+'Model Setup'!$B$8*(SUMIF($BH$3:$CE$3,"&lt;"&amp;$DF41,$AD41:$BA41)+SUMIF($BH$3:$CE$3,"&gt;"&amp;$CW$4,$AD41:$BA41)),
IF(BK$3=$DF41+'Model Setup'!$C$7,SUMIF($BH$3:$CE$3,"="&amp;$DF41+'Model Setup'!$C$7,$AD41:$BA41)+'Model Setup'!$C$8*(SUMIF($BH$3:$CE$3,"&lt;"&amp;$DF41,$AD41:$BA41)+SUMIF($BH$3:$CE$3,"&gt;"&amp;$CW$4,$AD41:$BA41)),
IF(BK$3=$DF41+'Model Setup'!$D$7,SUMIF($BH$3:$CE$3,"="&amp;$DF41+'Model Setup'!$D$7,$AD41:$BA41)+'Model Setup'!$D$8*(SUMIF($BH$3:$CE$3,"&lt;"&amp;$DF41,$AD41:$BA41)+SUMIF($BH$3:$CE$3,"&gt;"&amp;$CW$4,$AD41:$BA41)),
IF(BK$3=$DF41+'Model Setup'!$E$7,SUMIF($BH$3:$CE$3,"="&amp;$DF41+'Model Setup'!$E$7,$AD41:$BA41)+'Model Setup'!$E$8*(SUMIF($BH$3:$CE$3,"&lt;"&amp;$DF41,$AD41:$BA41)+SUMIF($BH$3:$CE$3,"&gt;"&amp;$CW$4,$AD41:$BA41)),
IF(BK$3=$DF41+'Model Setup'!$F$7,SUMIF($BH$3:$CE$3,"="&amp;$DF41+'Model Setup'!$F$7,$AD41:$BA41)+'Model Setup'!$F$8*(SUMIF($BH$3:$CE$3,"&lt;"&amp;$DF41,$AD41:$BA41)+SUMIF($BH$3:$CE$3,"&gt;"&amp;$CW$4,$AD41:$BA41)),
IF(BK$3=$DF41+'Model Setup'!$G$7,SUMIF($BH$3:$CE$3,"="&amp;$DF41+'Model Setup'!$G$7,$AD41:$BA41)+'Model Setup'!$G$8*(SUMIF($BH$3:$CE$3,"&lt;"&amp;$DF41,$AD41:$BA41)+SUMIF($BH$3:$CE$3,"&gt;"&amp;$CW$4,$AD41:$BA41)),
IF(BK$3=$DF41+'Model Setup'!$H$7,SUMIF($BH$3:$CE$3,"="&amp;$DF41+'Model Setup'!$H$7,$AD41:$BA41)+'Model Setup'!$H$8*(SUMIF($BH$3:$CE$3,"&lt;"&amp;$DF41,$AD41:$BA41)+SUMIF($BH$3:$CE$3,"&gt;"&amp;$CW$4,$AD41:$BA41)),
IF(BK$3=$DF41+'Model Setup'!$I$7,SUMIF($BH$3:$CE$3,"="&amp;$DF41+'Model Setup'!$I$7,$AD41:$BA41)+'Model Setup'!$I$8*(SUMIF($BH$3:$CE$3,"&lt;"&amp;$DF41,$AD41:$BA41)+SUMIF($BH$3:$CE$3,"&gt;"&amp;$CW$4,$AD41:$BA41)),
IF(BK$3=$DF41+'Model Setup'!$J$7,SUMIF($BH$3:$CE$3,"="&amp;$DF41+'Model Setup'!$J$7,$AD41:$BA41)+'Model Setup'!$J$8*(SUMIF($BH$3:$CE$3,"&lt;"&amp;$DF41,$AD41:$BA41)+SUMIF($BH$3:$CE$3,"&gt;"&amp;$CW$4,$AD41:$BA41)),
IF(BK$3=$DF41+'Model Setup'!$K$7,SUMIF($BH$3:$CE$3,"="&amp;$DF41+'Model Setup'!$K$7,$AD41:$BA41)+'Model Setup'!$K$8*(SUMIF($BH$3:$CE$3,"&lt;"&amp;$DF41,$AD41:$BA41)+SUMIF($BH$3:$CE$3,"&gt;"&amp;$CW$4,$AD41:$BA41)),
IF(BK$3=$DF41+'Model Setup'!$L$7,SUMIF($BH$3:$CE$3,"="&amp;$DF41+'Model Setup'!$L$7,$AD41:$BA41)+'Model Setup'!$L$8*(SUMIF($BH$3:$CE$3,"&lt;"&amp;$DF41,$AD41:$BA41)+SUMIF($BH$3:$CE$3,"&gt;"&amp;$CW$4,$AD41:$BA41)),
IF(BK$3=$DF41+'Model Setup'!$M$7,SUMIF($BH$3:$CE$3,"="&amp;$DF41+'Model Setup'!$M$7,$AD41:$BA41)+'Model Setup'!$M$8*(SUMIF($BH$3:$CE$3,"&lt;"&amp;$DF41,$AD41:$BA41)+SUMIF($BH$3:$CE$3,"&gt;"&amp;$CW$4,$AD41:$BA41)),
IF(BK$3=$DF41+'Model Setup'!$N$7,SUMIF($BH$3:$CE$3,"="&amp;$DF41+'Model Setup'!$N$7,$AD41:$BA41)+'Model Setup'!$N$8*(SUMIF($BH$3:$CE$3,"&lt;"&amp;$DF41,$AD41:$BA41)+SUMIF($BH$3:$CE$3,"&gt;"&amp;$CW$4,$AD41:$BA41)),
IF(BK$3&lt;$CW$4,E41,0))))))))))))))),0)</f>
        <v>0</v>
      </c>
      <c r="BL41" s="47">
        <f>ROUND(IF(OR(BL$3&lt;$DF41,BL$3&gt;$CW$4),0,
IF(BL$3=$DF41+'Model Setup'!$B$7,SUMIF($BH$3:$CE$3,"="&amp;$DF41+'Model Setup'!$B$7,$AD41:$BA41)+'Model Setup'!$B$8*(SUMIF($BH$3:$CE$3,"&lt;"&amp;$DF41,$AD41:$BA41)+SUMIF($BH$3:$CE$3,"&gt;"&amp;$CW$4,$AD41:$BA41)),
IF(BL$3=$DF41+'Model Setup'!$C$7,SUMIF($BH$3:$CE$3,"="&amp;$DF41+'Model Setup'!$C$7,$AD41:$BA41)+'Model Setup'!$C$8*(SUMIF($BH$3:$CE$3,"&lt;"&amp;$DF41,$AD41:$BA41)+SUMIF($BH$3:$CE$3,"&gt;"&amp;$CW$4,$AD41:$BA41)),
IF(BL$3=$DF41+'Model Setup'!$D$7,SUMIF($BH$3:$CE$3,"="&amp;$DF41+'Model Setup'!$D$7,$AD41:$BA41)+'Model Setup'!$D$8*(SUMIF($BH$3:$CE$3,"&lt;"&amp;$DF41,$AD41:$BA41)+SUMIF($BH$3:$CE$3,"&gt;"&amp;$CW$4,$AD41:$BA41)),
IF(BL$3=$DF41+'Model Setup'!$E$7,SUMIF($BH$3:$CE$3,"="&amp;$DF41+'Model Setup'!$E$7,$AD41:$BA41)+'Model Setup'!$E$8*(SUMIF($BH$3:$CE$3,"&lt;"&amp;$DF41,$AD41:$BA41)+SUMIF($BH$3:$CE$3,"&gt;"&amp;$CW$4,$AD41:$BA41)),
IF(BL$3=$DF41+'Model Setup'!$F$7,SUMIF($BH$3:$CE$3,"="&amp;$DF41+'Model Setup'!$F$7,$AD41:$BA41)+'Model Setup'!$F$8*(SUMIF($BH$3:$CE$3,"&lt;"&amp;$DF41,$AD41:$BA41)+SUMIF($BH$3:$CE$3,"&gt;"&amp;$CW$4,$AD41:$BA41)),
IF(BL$3=$DF41+'Model Setup'!$G$7,SUMIF($BH$3:$CE$3,"="&amp;$DF41+'Model Setup'!$G$7,$AD41:$BA41)+'Model Setup'!$G$8*(SUMIF($BH$3:$CE$3,"&lt;"&amp;$DF41,$AD41:$BA41)+SUMIF($BH$3:$CE$3,"&gt;"&amp;$CW$4,$AD41:$BA41)),
IF(BL$3=$DF41+'Model Setup'!$H$7,SUMIF($BH$3:$CE$3,"="&amp;$DF41+'Model Setup'!$H$7,$AD41:$BA41)+'Model Setup'!$H$8*(SUMIF($BH$3:$CE$3,"&lt;"&amp;$DF41,$AD41:$BA41)+SUMIF($BH$3:$CE$3,"&gt;"&amp;$CW$4,$AD41:$BA41)),
IF(BL$3=$DF41+'Model Setup'!$I$7,SUMIF($BH$3:$CE$3,"="&amp;$DF41+'Model Setup'!$I$7,$AD41:$BA41)+'Model Setup'!$I$8*(SUMIF($BH$3:$CE$3,"&lt;"&amp;$DF41,$AD41:$BA41)+SUMIF($BH$3:$CE$3,"&gt;"&amp;$CW$4,$AD41:$BA41)),
IF(BL$3=$DF41+'Model Setup'!$J$7,SUMIF($BH$3:$CE$3,"="&amp;$DF41+'Model Setup'!$J$7,$AD41:$BA41)+'Model Setup'!$J$8*(SUMIF($BH$3:$CE$3,"&lt;"&amp;$DF41,$AD41:$BA41)+SUMIF($BH$3:$CE$3,"&gt;"&amp;$CW$4,$AD41:$BA41)),
IF(BL$3=$DF41+'Model Setup'!$K$7,SUMIF($BH$3:$CE$3,"="&amp;$DF41+'Model Setup'!$K$7,$AD41:$BA41)+'Model Setup'!$K$8*(SUMIF($BH$3:$CE$3,"&lt;"&amp;$DF41,$AD41:$BA41)+SUMIF($BH$3:$CE$3,"&gt;"&amp;$CW$4,$AD41:$BA41)),
IF(BL$3=$DF41+'Model Setup'!$L$7,SUMIF($BH$3:$CE$3,"="&amp;$DF41+'Model Setup'!$L$7,$AD41:$BA41)+'Model Setup'!$L$8*(SUMIF($BH$3:$CE$3,"&lt;"&amp;$DF41,$AD41:$BA41)+SUMIF($BH$3:$CE$3,"&gt;"&amp;$CW$4,$AD41:$BA41)),
IF(BL$3=$DF41+'Model Setup'!$M$7,SUMIF($BH$3:$CE$3,"="&amp;$DF41+'Model Setup'!$M$7,$AD41:$BA41)+'Model Setup'!$M$8*(SUMIF($BH$3:$CE$3,"&lt;"&amp;$DF41,$AD41:$BA41)+SUMIF($BH$3:$CE$3,"&gt;"&amp;$CW$4,$AD41:$BA41)),
IF(BL$3=$DF41+'Model Setup'!$N$7,SUMIF($BH$3:$CE$3,"="&amp;$DF41+'Model Setup'!$N$7,$AD41:$BA41)+'Model Setup'!$N$8*(SUMIF($BH$3:$CE$3,"&lt;"&amp;$DF41,$AD41:$BA41)+SUMIF($BH$3:$CE$3,"&gt;"&amp;$CW$4,$AD41:$BA41)),
IF(BL$3&lt;$CW$4,F41,0))))))))))))))),0)</f>
        <v>0</v>
      </c>
      <c r="BM41" s="47">
        <f>ROUND(IF(OR(BM$3&lt;$DF41,BM$3&gt;$CW$4),0,
IF(BM$3=$DF41+'Model Setup'!$B$7,SUMIF($BH$3:$CE$3,"="&amp;$DF41+'Model Setup'!$B$7,$AD41:$BA41)+'Model Setup'!$B$8*(SUMIF($BH$3:$CE$3,"&lt;"&amp;$DF41,$AD41:$BA41)+SUMIF($BH$3:$CE$3,"&gt;"&amp;$CW$4,$AD41:$BA41)),
IF(BM$3=$DF41+'Model Setup'!$C$7,SUMIF($BH$3:$CE$3,"="&amp;$DF41+'Model Setup'!$C$7,$AD41:$BA41)+'Model Setup'!$C$8*(SUMIF($BH$3:$CE$3,"&lt;"&amp;$DF41,$AD41:$BA41)+SUMIF($BH$3:$CE$3,"&gt;"&amp;$CW$4,$AD41:$BA41)),
IF(BM$3=$DF41+'Model Setup'!$D$7,SUMIF($BH$3:$CE$3,"="&amp;$DF41+'Model Setup'!$D$7,$AD41:$BA41)+'Model Setup'!$D$8*(SUMIF($BH$3:$CE$3,"&lt;"&amp;$DF41,$AD41:$BA41)+SUMIF($BH$3:$CE$3,"&gt;"&amp;$CW$4,$AD41:$BA41)),
IF(BM$3=$DF41+'Model Setup'!$E$7,SUMIF($BH$3:$CE$3,"="&amp;$DF41+'Model Setup'!$E$7,$AD41:$BA41)+'Model Setup'!$E$8*(SUMIF($BH$3:$CE$3,"&lt;"&amp;$DF41,$AD41:$BA41)+SUMIF($BH$3:$CE$3,"&gt;"&amp;$CW$4,$AD41:$BA41)),
IF(BM$3=$DF41+'Model Setup'!$F$7,SUMIF($BH$3:$CE$3,"="&amp;$DF41+'Model Setup'!$F$7,$AD41:$BA41)+'Model Setup'!$F$8*(SUMIF($BH$3:$CE$3,"&lt;"&amp;$DF41,$AD41:$BA41)+SUMIF($BH$3:$CE$3,"&gt;"&amp;$CW$4,$AD41:$BA41)),
IF(BM$3=$DF41+'Model Setup'!$G$7,SUMIF($BH$3:$CE$3,"="&amp;$DF41+'Model Setup'!$G$7,$AD41:$BA41)+'Model Setup'!$G$8*(SUMIF($BH$3:$CE$3,"&lt;"&amp;$DF41,$AD41:$BA41)+SUMIF($BH$3:$CE$3,"&gt;"&amp;$CW$4,$AD41:$BA41)),
IF(BM$3=$DF41+'Model Setup'!$H$7,SUMIF($BH$3:$CE$3,"="&amp;$DF41+'Model Setup'!$H$7,$AD41:$BA41)+'Model Setup'!$H$8*(SUMIF($BH$3:$CE$3,"&lt;"&amp;$DF41,$AD41:$BA41)+SUMIF($BH$3:$CE$3,"&gt;"&amp;$CW$4,$AD41:$BA41)),
IF(BM$3=$DF41+'Model Setup'!$I$7,SUMIF($BH$3:$CE$3,"="&amp;$DF41+'Model Setup'!$I$7,$AD41:$BA41)+'Model Setup'!$I$8*(SUMIF($BH$3:$CE$3,"&lt;"&amp;$DF41,$AD41:$BA41)+SUMIF($BH$3:$CE$3,"&gt;"&amp;$CW$4,$AD41:$BA41)),
IF(BM$3=$DF41+'Model Setup'!$J$7,SUMIF($BH$3:$CE$3,"="&amp;$DF41+'Model Setup'!$J$7,$AD41:$BA41)+'Model Setup'!$J$8*(SUMIF($BH$3:$CE$3,"&lt;"&amp;$DF41,$AD41:$BA41)+SUMIF($BH$3:$CE$3,"&gt;"&amp;$CW$4,$AD41:$BA41)),
IF(BM$3=$DF41+'Model Setup'!$K$7,SUMIF($BH$3:$CE$3,"="&amp;$DF41+'Model Setup'!$K$7,$AD41:$BA41)+'Model Setup'!$K$8*(SUMIF($BH$3:$CE$3,"&lt;"&amp;$DF41,$AD41:$BA41)+SUMIF($BH$3:$CE$3,"&gt;"&amp;$CW$4,$AD41:$BA41)),
IF(BM$3=$DF41+'Model Setup'!$L$7,SUMIF($BH$3:$CE$3,"="&amp;$DF41+'Model Setup'!$L$7,$AD41:$BA41)+'Model Setup'!$L$8*(SUMIF($BH$3:$CE$3,"&lt;"&amp;$DF41,$AD41:$BA41)+SUMIF($BH$3:$CE$3,"&gt;"&amp;$CW$4,$AD41:$BA41)),
IF(BM$3=$DF41+'Model Setup'!$M$7,SUMIF($BH$3:$CE$3,"="&amp;$DF41+'Model Setup'!$M$7,$AD41:$BA41)+'Model Setup'!$M$8*(SUMIF($BH$3:$CE$3,"&lt;"&amp;$DF41,$AD41:$BA41)+SUMIF($BH$3:$CE$3,"&gt;"&amp;$CW$4,$AD41:$BA41)),
IF(BM$3=$DF41+'Model Setup'!$N$7,SUMIF($BH$3:$CE$3,"="&amp;$DF41+'Model Setup'!$N$7,$AD41:$BA41)+'Model Setup'!$N$8*(SUMIF($BH$3:$CE$3,"&lt;"&amp;$DF41,$AD41:$BA41)+SUMIF($BH$3:$CE$3,"&gt;"&amp;$CW$4,$AD41:$BA41)),
IF(BM$3&lt;$CW$4,G41,0))))))))))))))),0)</f>
        <v>0</v>
      </c>
      <c r="BN41" s="47">
        <f>ROUND(IF(OR(BN$3&lt;$DF41,BN$3&gt;$CW$4),0,
IF(BN$3=$DF41+'Model Setup'!$B$7,SUMIF($BH$3:$CE$3,"="&amp;$DF41+'Model Setup'!$B$7,$AD41:$BA41)+'Model Setup'!$B$8*(SUMIF($BH$3:$CE$3,"&lt;"&amp;$DF41,$AD41:$BA41)+SUMIF($BH$3:$CE$3,"&gt;"&amp;$CW$4,$AD41:$BA41)),
IF(BN$3=$DF41+'Model Setup'!$C$7,SUMIF($BH$3:$CE$3,"="&amp;$DF41+'Model Setup'!$C$7,$AD41:$BA41)+'Model Setup'!$C$8*(SUMIF($BH$3:$CE$3,"&lt;"&amp;$DF41,$AD41:$BA41)+SUMIF($BH$3:$CE$3,"&gt;"&amp;$CW$4,$AD41:$BA41)),
IF(BN$3=$DF41+'Model Setup'!$D$7,SUMIF($BH$3:$CE$3,"="&amp;$DF41+'Model Setup'!$D$7,$AD41:$BA41)+'Model Setup'!$D$8*(SUMIF($BH$3:$CE$3,"&lt;"&amp;$DF41,$AD41:$BA41)+SUMIF($BH$3:$CE$3,"&gt;"&amp;$CW$4,$AD41:$BA41)),
IF(BN$3=$DF41+'Model Setup'!$E$7,SUMIF($BH$3:$CE$3,"="&amp;$DF41+'Model Setup'!$E$7,$AD41:$BA41)+'Model Setup'!$E$8*(SUMIF($BH$3:$CE$3,"&lt;"&amp;$DF41,$AD41:$BA41)+SUMIF($BH$3:$CE$3,"&gt;"&amp;$CW$4,$AD41:$BA41)),
IF(BN$3=$DF41+'Model Setup'!$F$7,SUMIF($BH$3:$CE$3,"="&amp;$DF41+'Model Setup'!$F$7,$AD41:$BA41)+'Model Setup'!$F$8*(SUMIF($BH$3:$CE$3,"&lt;"&amp;$DF41,$AD41:$BA41)+SUMIF($BH$3:$CE$3,"&gt;"&amp;$CW$4,$AD41:$BA41)),
IF(BN$3=$DF41+'Model Setup'!$G$7,SUMIF($BH$3:$CE$3,"="&amp;$DF41+'Model Setup'!$G$7,$AD41:$BA41)+'Model Setup'!$G$8*(SUMIF($BH$3:$CE$3,"&lt;"&amp;$DF41,$AD41:$BA41)+SUMIF($BH$3:$CE$3,"&gt;"&amp;$CW$4,$AD41:$BA41)),
IF(BN$3=$DF41+'Model Setup'!$H$7,SUMIF($BH$3:$CE$3,"="&amp;$DF41+'Model Setup'!$H$7,$AD41:$BA41)+'Model Setup'!$H$8*(SUMIF($BH$3:$CE$3,"&lt;"&amp;$DF41,$AD41:$BA41)+SUMIF($BH$3:$CE$3,"&gt;"&amp;$CW$4,$AD41:$BA41)),
IF(BN$3=$DF41+'Model Setup'!$I$7,SUMIF($BH$3:$CE$3,"="&amp;$DF41+'Model Setup'!$I$7,$AD41:$BA41)+'Model Setup'!$I$8*(SUMIF($BH$3:$CE$3,"&lt;"&amp;$DF41,$AD41:$BA41)+SUMIF($BH$3:$CE$3,"&gt;"&amp;$CW$4,$AD41:$BA41)),
IF(BN$3=$DF41+'Model Setup'!$J$7,SUMIF($BH$3:$CE$3,"="&amp;$DF41+'Model Setup'!$J$7,$AD41:$BA41)+'Model Setup'!$J$8*(SUMIF($BH$3:$CE$3,"&lt;"&amp;$DF41,$AD41:$BA41)+SUMIF($BH$3:$CE$3,"&gt;"&amp;$CW$4,$AD41:$BA41)),
IF(BN$3=$DF41+'Model Setup'!$K$7,SUMIF($BH$3:$CE$3,"="&amp;$DF41+'Model Setup'!$K$7,$AD41:$BA41)+'Model Setup'!$K$8*(SUMIF($BH$3:$CE$3,"&lt;"&amp;$DF41,$AD41:$BA41)+SUMIF($BH$3:$CE$3,"&gt;"&amp;$CW$4,$AD41:$BA41)),
IF(BN$3=$DF41+'Model Setup'!$L$7,SUMIF($BH$3:$CE$3,"="&amp;$DF41+'Model Setup'!$L$7,$AD41:$BA41)+'Model Setup'!$L$8*(SUMIF($BH$3:$CE$3,"&lt;"&amp;$DF41,$AD41:$BA41)+SUMIF($BH$3:$CE$3,"&gt;"&amp;$CW$4,$AD41:$BA41)),
IF(BN$3=$DF41+'Model Setup'!$M$7,SUMIF($BH$3:$CE$3,"="&amp;$DF41+'Model Setup'!$M$7,$AD41:$BA41)+'Model Setup'!$M$8*(SUMIF($BH$3:$CE$3,"&lt;"&amp;$DF41,$AD41:$BA41)+SUMIF($BH$3:$CE$3,"&gt;"&amp;$CW$4,$AD41:$BA41)),
IF(BN$3=$DF41+'Model Setup'!$N$7,SUMIF($BH$3:$CE$3,"="&amp;$DF41+'Model Setup'!$N$7,$AD41:$BA41)+'Model Setup'!$N$8*(SUMIF($BH$3:$CE$3,"&lt;"&amp;$DF41,$AD41:$BA41)+SUMIF($BH$3:$CE$3,"&gt;"&amp;$CW$4,$AD41:$BA41)),
IF(BN$3&lt;$CW$4,H41,0))))))))))))))),0)</f>
        <v>0</v>
      </c>
      <c r="BO41" s="47">
        <f>ROUND(IF(OR(BO$3&lt;$DF41,BO$3&gt;$CW$4),0,
IF(BO$3=$DF41+'Model Setup'!$B$7,SUMIF($BH$3:$CE$3,"="&amp;$DF41+'Model Setup'!$B$7,$AD41:$BA41)+'Model Setup'!$B$8*(SUMIF($BH$3:$CE$3,"&lt;"&amp;$DF41,$AD41:$BA41)+SUMIF($BH$3:$CE$3,"&gt;"&amp;$CW$4,$AD41:$BA41)),
IF(BO$3=$DF41+'Model Setup'!$C$7,SUMIF($BH$3:$CE$3,"="&amp;$DF41+'Model Setup'!$C$7,$AD41:$BA41)+'Model Setup'!$C$8*(SUMIF($BH$3:$CE$3,"&lt;"&amp;$DF41,$AD41:$BA41)+SUMIF($BH$3:$CE$3,"&gt;"&amp;$CW$4,$AD41:$BA41)),
IF(BO$3=$DF41+'Model Setup'!$D$7,SUMIF($BH$3:$CE$3,"="&amp;$DF41+'Model Setup'!$D$7,$AD41:$BA41)+'Model Setup'!$D$8*(SUMIF($BH$3:$CE$3,"&lt;"&amp;$DF41,$AD41:$BA41)+SUMIF($BH$3:$CE$3,"&gt;"&amp;$CW$4,$AD41:$BA41)),
IF(BO$3=$DF41+'Model Setup'!$E$7,SUMIF($BH$3:$CE$3,"="&amp;$DF41+'Model Setup'!$E$7,$AD41:$BA41)+'Model Setup'!$E$8*(SUMIF($BH$3:$CE$3,"&lt;"&amp;$DF41,$AD41:$BA41)+SUMIF($BH$3:$CE$3,"&gt;"&amp;$CW$4,$AD41:$BA41)),
IF(BO$3=$DF41+'Model Setup'!$F$7,SUMIF($BH$3:$CE$3,"="&amp;$DF41+'Model Setup'!$F$7,$AD41:$BA41)+'Model Setup'!$F$8*(SUMIF($BH$3:$CE$3,"&lt;"&amp;$DF41,$AD41:$BA41)+SUMIF($BH$3:$CE$3,"&gt;"&amp;$CW$4,$AD41:$BA41)),
IF(BO$3=$DF41+'Model Setup'!$G$7,SUMIF($BH$3:$CE$3,"="&amp;$DF41+'Model Setup'!$G$7,$AD41:$BA41)+'Model Setup'!$G$8*(SUMIF($BH$3:$CE$3,"&lt;"&amp;$DF41,$AD41:$BA41)+SUMIF($BH$3:$CE$3,"&gt;"&amp;$CW$4,$AD41:$BA41)),
IF(BO$3=$DF41+'Model Setup'!$H$7,SUMIF($BH$3:$CE$3,"="&amp;$DF41+'Model Setup'!$H$7,$AD41:$BA41)+'Model Setup'!$H$8*(SUMIF($BH$3:$CE$3,"&lt;"&amp;$DF41,$AD41:$BA41)+SUMIF($BH$3:$CE$3,"&gt;"&amp;$CW$4,$AD41:$BA41)),
IF(BO$3=$DF41+'Model Setup'!$I$7,SUMIF($BH$3:$CE$3,"="&amp;$DF41+'Model Setup'!$I$7,$AD41:$BA41)+'Model Setup'!$I$8*(SUMIF($BH$3:$CE$3,"&lt;"&amp;$DF41,$AD41:$BA41)+SUMIF($BH$3:$CE$3,"&gt;"&amp;$CW$4,$AD41:$BA41)),
IF(BO$3=$DF41+'Model Setup'!$J$7,SUMIF($BH$3:$CE$3,"="&amp;$DF41+'Model Setup'!$J$7,$AD41:$BA41)+'Model Setup'!$J$8*(SUMIF($BH$3:$CE$3,"&lt;"&amp;$DF41,$AD41:$BA41)+SUMIF($BH$3:$CE$3,"&gt;"&amp;$CW$4,$AD41:$BA41)),
IF(BO$3=$DF41+'Model Setup'!$K$7,SUMIF($BH$3:$CE$3,"="&amp;$DF41+'Model Setup'!$K$7,$AD41:$BA41)+'Model Setup'!$K$8*(SUMIF($BH$3:$CE$3,"&lt;"&amp;$DF41,$AD41:$BA41)+SUMIF($BH$3:$CE$3,"&gt;"&amp;$CW$4,$AD41:$BA41)),
IF(BO$3=$DF41+'Model Setup'!$L$7,SUMIF($BH$3:$CE$3,"="&amp;$DF41+'Model Setup'!$L$7,$AD41:$BA41)+'Model Setup'!$L$8*(SUMIF($BH$3:$CE$3,"&lt;"&amp;$DF41,$AD41:$BA41)+SUMIF($BH$3:$CE$3,"&gt;"&amp;$CW$4,$AD41:$BA41)),
IF(BO$3=$DF41+'Model Setup'!$M$7,SUMIF($BH$3:$CE$3,"="&amp;$DF41+'Model Setup'!$M$7,$AD41:$BA41)+'Model Setup'!$M$8*(SUMIF($BH$3:$CE$3,"&lt;"&amp;$DF41,$AD41:$BA41)+SUMIF($BH$3:$CE$3,"&gt;"&amp;$CW$4,$AD41:$BA41)),
IF(BO$3=$DF41+'Model Setup'!$N$7,SUMIF($BH$3:$CE$3,"="&amp;$DF41+'Model Setup'!$N$7,$AD41:$BA41)+'Model Setup'!$N$8*(SUMIF($BH$3:$CE$3,"&lt;"&amp;$DF41,$AD41:$BA41)+SUMIF($BH$3:$CE$3,"&gt;"&amp;$CW$4,$AD41:$BA41)),
IF(BO$3&lt;$CW$4,I41,0))))))))))))))),0)</f>
        <v>43</v>
      </c>
      <c r="BP41" s="47">
        <f>ROUND(IF(OR(BP$3&lt;$DF41,BP$3&gt;$CW$4),0,
IF(BP$3=$DF41+'Model Setup'!$B$7,SUMIF($BH$3:$CE$3,"="&amp;$DF41+'Model Setup'!$B$7,$AD41:$BA41)+'Model Setup'!$B$8*(SUMIF($BH$3:$CE$3,"&lt;"&amp;$DF41,$AD41:$BA41)+SUMIF($BH$3:$CE$3,"&gt;"&amp;$CW$4,$AD41:$BA41)),
IF(BP$3=$DF41+'Model Setup'!$C$7,SUMIF($BH$3:$CE$3,"="&amp;$DF41+'Model Setup'!$C$7,$AD41:$BA41)+'Model Setup'!$C$8*(SUMIF($BH$3:$CE$3,"&lt;"&amp;$DF41,$AD41:$BA41)+SUMIF($BH$3:$CE$3,"&gt;"&amp;$CW$4,$AD41:$BA41)),
IF(BP$3=$DF41+'Model Setup'!$D$7,SUMIF($BH$3:$CE$3,"="&amp;$DF41+'Model Setup'!$D$7,$AD41:$BA41)+'Model Setup'!$D$8*(SUMIF($BH$3:$CE$3,"&lt;"&amp;$DF41,$AD41:$BA41)+SUMIF($BH$3:$CE$3,"&gt;"&amp;$CW$4,$AD41:$BA41)),
IF(BP$3=$DF41+'Model Setup'!$E$7,SUMIF($BH$3:$CE$3,"="&amp;$DF41+'Model Setup'!$E$7,$AD41:$BA41)+'Model Setup'!$E$8*(SUMIF($BH$3:$CE$3,"&lt;"&amp;$DF41,$AD41:$BA41)+SUMIF($BH$3:$CE$3,"&gt;"&amp;$CW$4,$AD41:$BA41)),
IF(BP$3=$DF41+'Model Setup'!$F$7,SUMIF($BH$3:$CE$3,"="&amp;$DF41+'Model Setup'!$F$7,$AD41:$BA41)+'Model Setup'!$F$8*(SUMIF($BH$3:$CE$3,"&lt;"&amp;$DF41,$AD41:$BA41)+SUMIF($BH$3:$CE$3,"&gt;"&amp;$CW$4,$AD41:$BA41)),
IF(BP$3=$DF41+'Model Setup'!$G$7,SUMIF($BH$3:$CE$3,"="&amp;$DF41+'Model Setup'!$G$7,$AD41:$BA41)+'Model Setup'!$G$8*(SUMIF($BH$3:$CE$3,"&lt;"&amp;$DF41,$AD41:$BA41)+SUMIF($BH$3:$CE$3,"&gt;"&amp;$CW$4,$AD41:$BA41)),
IF(BP$3=$DF41+'Model Setup'!$H$7,SUMIF($BH$3:$CE$3,"="&amp;$DF41+'Model Setup'!$H$7,$AD41:$BA41)+'Model Setup'!$H$8*(SUMIF($BH$3:$CE$3,"&lt;"&amp;$DF41,$AD41:$BA41)+SUMIF($BH$3:$CE$3,"&gt;"&amp;$CW$4,$AD41:$BA41)),
IF(BP$3=$DF41+'Model Setup'!$I$7,SUMIF($BH$3:$CE$3,"="&amp;$DF41+'Model Setup'!$I$7,$AD41:$BA41)+'Model Setup'!$I$8*(SUMIF($BH$3:$CE$3,"&lt;"&amp;$DF41,$AD41:$BA41)+SUMIF($BH$3:$CE$3,"&gt;"&amp;$CW$4,$AD41:$BA41)),
IF(BP$3=$DF41+'Model Setup'!$J$7,SUMIF($BH$3:$CE$3,"="&amp;$DF41+'Model Setup'!$J$7,$AD41:$BA41)+'Model Setup'!$J$8*(SUMIF($BH$3:$CE$3,"&lt;"&amp;$DF41,$AD41:$BA41)+SUMIF($BH$3:$CE$3,"&gt;"&amp;$CW$4,$AD41:$BA41)),
IF(BP$3=$DF41+'Model Setup'!$K$7,SUMIF($BH$3:$CE$3,"="&amp;$DF41+'Model Setup'!$K$7,$AD41:$BA41)+'Model Setup'!$K$8*(SUMIF($BH$3:$CE$3,"&lt;"&amp;$DF41,$AD41:$BA41)+SUMIF($BH$3:$CE$3,"&gt;"&amp;$CW$4,$AD41:$BA41)),
IF(BP$3=$DF41+'Model Setup'!$L$7,SUMIF($BH$3:$CE$3,"="&amp;$DF41+'Model Setup'!$L$7,$AD41:$BA41)+'Model Setup'!$L$8*(SUMIF($BH$3:$CE$3,"&lt;"&amp;$DF41,$AD41:$BA41)+SUMIF($BH$3:$CE$3,"&gt;"&amp;$CW$4,$AD41:$BA41)),
IF(BP$3=$DF41+'Model Setup'!$M$7,SUMIF($BH$3:$CE$3,"="&amp;$DF41+'Model Setup'!$M$7,$AD41:$BA41)+'Model Setup'!$M$8*(SUMIF($BH$3:$CE$3,"&lt;"&amp;$DF41,$AD41:$BA41)+SUMIF($BH$3:$CE$3,"&gt;"&amp;$CW$4,$AD41:$BA41)),
IF(BP$3=$DF41+'Model Setup'!$N$7,SUMIF($BH$3:$CE$3,"="&amp;$DF41+'Model Setup'!$N$7,$AD41:$BA41)+'Model Setup'!$N$8*(SUMIF($BH$3:$CE$3,"&lt;"&amp;$DF41,$AD41:$BA41)+SUMIF($BH$3:$CE$3,"&gt;"&amp;$CW$4,$AD41:$BA41)),
IF(BP$3&lt;$CW$4,J41,0))))))))))))))),0)</f>
        <v>31</v>
      </c>
      <c r="BQ41" s="47">
        <f>ROUND(IF(OR(BQ$3&lt;$DF41,BQ$3&gt;$CW$4),0,
IF(BQ$3=$DF41+'Model Setup'!$B$7,SUMIF($BH$3:$CE$3,"="&amp;$DF41+'Model Setup'!$B$7,$AD41:$BA41)+'Model Setup'!$B$8*(SUMIF($BH$3:$CE$3,"&lt;"&amp;$DF41,$AD41:$BA41)+SUMIF($BH$3:$CE$3,"&gt;"&amp;$CW$4,$AD41:$BA41)),
IF(BQ$3=$DF41+'Model Setup'!$C$7,SUMIF($BH$3:$CE$3,"="&amp;$DF41+'Model Setup'!$C$7,$AD41:$BA41)+'Model Setup'!$C$8*(SUMIF($BH$3:$CE$3,"&lt;"&amp;$DF41,$AD41:$BA41)+SUMIF($BH$3:$CE$3,"&gt;"&amp;$CW$4,$AD41:$BA41)),
IF(BQ$3=$DF41+'Model Setup'!$D$7,SUMIF($BH$3:$CE$3,"="&amp;$DF41+'Model Setup'!$D$7,$AD41:$BA41)+'Model Setup'!$D$8*(SUMIF($BH$3:$CE$3,"&lt;"&amp;$DF41,$AD41:$BA41)+SUMIF($BH$3:$CE$3,"&gt;"&amp;$CW$4,$AD41:$BA41)),
IF(BQ$3=$DF41+'Model Setup'!$E$7,SUMIF($BH$3:$CE$3,"="&amp;$DF41+'Model Setup'!$E$7,$AD41:$BA41)+'Model Setup'!$E$8*(SUMIF($BH$3:$CE$3,"&lt;"&amp;$DF41,$AD41:$BA41)+SUMIF($BH$3:$CE$3,"&gt;"&amp;$CW$4,$AD41:$BA41)),
IF(BQ$3=$DF41+'Model Setup'!$F$7,SUMIF($BH$3:$CE$3,"="&amp;$DF41+'Model Setup'!$F$7,$AD41:$BA41)+'Model Setup'!$F$8*(SUMIF($BH$3:$CE$3,"&lt;"&amp;$DF41,$AD41:$BA41)+SUMIF($BH$3:$CE$3,"&gt;"&amp;$CW$4,$AD41:$BA41)),
IF(BQ$3=$DF41+'Model Setup'!$G$7,SUMIF($BH$3:$CE$3,"="&amp;$DF41+'Model Setup'!$G$7,$AD41:$BA41)+'Model Setup'!$G$8*(SUMIF($BH$3:$CE$3,"&lt;"&amp;$DF41,$AD41:$BA41)+SUMIF($BH$3:$CE$3,"&gt;"&amp;$CW$4,$AD41:$BA41)),
IF(BQ$3=$DF41+'Model Setup'!$H$7,SUMIF($BH$3:$CE$3,"="&amp;$DF41+'Model Setup'!$H$7,$AD41:$BA41)+'Model Setup'!$H$8*(SUMIF($BH$3:$CE$3,"&lt;"&amp;$DF41,$AD41:$BA41)+SUMIF($BH$3:$CE$3,"&gt;"&amp;$CW$4,$AD41:$BA41)),
IF(BQ$3=$DF41+'Model Setup'!$I$7,SUMIF($BH$3:$CE$3,"="&amp;$DF41+'Model Setup'!$I$7,$AD41:$BA41)+'Model Setup'!$I$8*(SUMIF($BH$3:$CE$3,"&lt;"&amp;$DF41,$AD41:$BA41)+SUMIF($BH$3:$CE$3,"&gt;"&amp;$CW$4,$AD41:$BA41)),
IF(BQ$3=$DF41+'Model Setup'!$J$7,SUMIF($BH$3:$CE$3,"="&amp;$DF41+'Model Setup'!$J$7,$AD41:$BA41)+'Model Setup'!$J$8*(SUMIF($BH$3:$CE$3,"&lt;"&amp;$DF41,$AD41:$BA41)+SUMIF($BH$3:$CE$3,"&gt;"&amp;$CW$4,$AD41:$BA41)),
IF(BQ$3=$DF41+'Model Setup'!$K$7,SUMIF($BH$3:$CE$3,"="&amp;$DF41+'Model Setup'!$K$7,$AD41:$BA41)+'Model Setup'!$K$8*(SUMIF($BH$3:$CE$3,"&lt;"&amp;$DF41,$AD41:$BA41)+SUMIF($BH$3:$CE$3,"&gt;"&amp;$CW$4,$AD41:$BA41)),
IF(BQ$3=$DF41+'Model Setup'!$L$7,SUMIF($BH$3:$CE$3,"="&amp;$DF41+'Model Setup'!$L$7,$AD41:$BA41)+'Model Setup'!$L$8*(SUMIF($BH$3:$CE$3,"&lt;"&amp;$DF41,$AD41:$BA41)+SUMIF($BH$3:$CE$3,"&gt;"&amp;$CW$4,$AD41:$BA41)),
IF(BQ$3=$DF41+'Model Setup'!$M$7,SUMIF($BH$3:$CE$3,"="&amp;$DF41+'Model Setup'!$M$7,$AD41:$BA41)+'Model Setup'!$M$8*(SUMIF($BH$3:$CE$3,"&lt;"&amp;$DF41,$AD41:$BA41)+SUMIF($BH$3:$CE$3,"&gt;"&amp;$CW$4,$AD41:$BA41)),
IF(BQ$3=$DF41+'Model Setup'!$N$7,SUMIF($BH$3:$CE$3,"="&amp;$DF41+'Model Setup'!$N$7,$AD41:$BA41)+'Model Setup'!$N$8*(SUMIF($BH$3:$CE$3,"&lt;"&amp;$DF41,$AD41:$BA41)+SUMIF($BH$3:$CE$3,"&gt;"&amp;$CW$4,$AD41:$BA41)),
IF(BQ$3&lt;$CW$4,K41,0))))))))))))))),0)</f>
        <v>43</v>
      </c>
      <c r="BR41" s="47">
        <f>ROUND(IF(OR(BR$3&lt;$DF41,BR$3&gt;$CW$4),0,
IF(BR$3=$DF41+'Model Setup'!$B$7,SUMIF($BH$3:$CE$3,"="&amp;$DF41+'Model Setup'!$B$7,$AD41:$BA41)+'Model Setup'!$B$8*(SUMIF($BH$3:$CE$3,"&lt;"&amp;$DF41,$AD41:$BA41)+SUMIF($BH$3:$CE$3,"&gt;"&amp;$CW$4,$AD41:$BA41)),
IF(BR$3=$DF41+'Model Setup'!$C$7,SUMIF($BH$3:$CE$3,"="&amp;$DF41+'Model Setup'!$C$7,$AD41:$BA41)+'Model Setup'!$C$8*(SUMIF($BH$3:$CE$3,"&lt;"&amp;$DF41,$AD41:$BA41)+SUMIF($BH$3:$CE$3,"&gt;"&amp;$CW$4,$AD41:$BA41)),
IF(BR$3=$DF41+'Model Setup'!$D$7,SUMIF($BH$3:$CE$3,"="&amp;$DF41+'Model Setup'!$D$7,$AD41:$BA41)+'Model Setup'!$D$8*(SUMIF($BH$3:$CE$3,"&lt;"&amp;$DF41,$AD41:$BA41)+SUMIF($BH$3:$CE$3,"&gt;"&amp;$CW$4,$AD41:$BA41)),
IF(BR$3=$DF41+'Model Setup'!$E$7,SUMIF($BH$3:$CE$3,"="&amp;$DF41+'Model Setup'!$E$7,$AD41:$BA41)+'Model Setup'!$E$8*(SUMIF($BH$3:$CE$3,"&lt;"&amp;$DF41,$AD41:$BA41)+SUMIF($BH$3:$CE$3,"&gt;"&amp;$CW$4,$AD41:$BA41)),
IF(BR$3=$DF41+'Model Setup'!$F$7,SUMIF($BH$3:$CE$3,"="&amp;$DF41+'Model Setup'!$F$7,$AD41:$BA41)+'Model Setup'!$F$8*(SUMIF($BH$3:$CE$3,"&lt;"&amp;$DF41,$AD41:$BA41)+SUMIF($BH$3:$CE$3,"&gt;"&amp;$CW$4,$AD41:$BA41)),
IF(BR$3=$DF41+'Model Setup'!$G$7,SUMIF($BH$3:$CE$3,"="&amp;$DF41+'Model Setup'!$G$7,$AD41:$BA41)+'Model Setup'!$G$8*(SUMIF($BH$3:$CE$3,"&lt;"&amp;$DF41,$AD41:$BA41)+SUMIF($BH$3:$CE$3,"&gt;"&amp;$CW$4,$AD41:$BA41)),
IF(BR$3=$DF41+'Model Setup'!$H$7,SUMIF($BH$3:$CE$3,"="&amp;$DF41+'Model Setup'!$H$7,$AD41:$BA41)+'Model Setup'!$H$8*(SUMIF($BH$3:$CE$3,"&lt;"&amp;$DF41,$AD41:$BA41)+SUMIF($BH$3:$CE$3,"&gt;"&amp;$CW$4,$AD41:$BA41)),
IF(BR$3=$DF41+'Model Setup'!$I$7,SUMIF($BH$3:$CE$3,"="&amp;$DF41+'Model Setup'!$I$7,$AD41:$BA41)+'Model Setup'!$I$8*(SUMIF($BH$3:$CE$3,"&lt;"&amp;$DF41,$AD41:$BA41)+SUMIF($BH$3:$CE$3,"&gt;"&amp;$CW$4,$AD41:$BA41)),
IF(BR$3=$DF41+'Model Setup'!$J$7,SUMIF($BH$3:$CE$3,"="&amp;$DF41+'Model Setup'!$J$7,$AD41:$BA41)+'Model Setup'!$J$8*(SUMIF($BH$3:$CE$3,"&lt;"&amp;$DF41,$AD41:$BA41)+SUMIF($BH$3:$CE$3,"&gt;"&amp;$CW$4,$AD41:$BA41)),
IF(BR$3=$DF41+'Model Setup'!$K$7,SUMIF($BH$3:$CE$3,"="&amp;$DF41+'Model Setup'!$K$7,$AD41:$BA41)+'Model Setup'!$K$8*(SUMIF($BH$3:$CE$3,"&lt;"&amp;$DF41,$AD41:$BA41)+SUMIF($BH$3:$CE$3,"&gt;"&amp;$CW$4,$AD41:$BA41)),
IF(BR$3=$DF41+'Model Setup'!$L$7,SUMIF($BH$3:$CE$3,"="&amp;$DF41+'Model Setup'!$L$7,$AD41:$BA41)+'Model Setup'!$L$8*(SUMIF($BH$3:$CE$3,"&lt;"&amp;$DF41,$AD41:$BA41)+SUMIF($BH$3:$CE$3,"&gt;"&amp;$CW$4,$AD41:$BA41)),
IF(BR$3=$DF41+'Model Setup'!$M$7,SUMIF($BH$3:$CE$3,"="&amp;$DF41+'Model Setup'!$M$7,$AD41:$BA41)+'Model Setup'!$M$8*(SUMIF($BH$3:$CE$3,"&lt;"&amp;$DF41,$AD41:$BA41)+SUMIF($BH$3:$CE$3,"&gt;"&amp;$CW$4,$AD41:$BA41)),
IF(BR$3=$DF41+'Model Setup'!$N$7,SUMIF($BH$3:$CE$3,"="&amp;$DF41+'Model Setup'!$N$7,$AD41:$BA41)+'Model Setup'!$N$8*(SUMIF($BH$3:$CE$3,"&lt;"&amp;$DF41,$AD41:$BA41)+SUMIF($BH$3:$CE$3,"&gt;"&amp;$CW$4,$AD41:$BA41)),
IF(BR$3&lt;$CW$4,L41,0))))))))))))))),0)</f>
        <v>43</v>
      </c>
      <c r="BS41" s="47">
        <f>ROUND(IF(OR(BS$3&lt;$DF41,BS$3&gt;$CW$4),0,
IF(BS$3=$DF41+'Model Setup'!$B$7,SUMIF($BH$3:$CE$3,"="&amp;$DF41+'Model Setup'!$B$7,$AD41:$BA41)+'Model Setup'!$B$8*(SUMIF($BH$3:$CE$3,"&lt;"&amp;$DF41,$AD41:$BA41)+SUMIF($BH$3:$CE$3,"&gt;"&amp;$CW$4,$AD41:$BA41)),
IF(BS$3=$DF41+'Model Setup'!$C$7,SUMIF($BH$3:$CE$3,"="&amp;$DF41+'Model Setup'!$C$7,$AD41:$BA41)+'Model Setup'!$C$8*(SUMIF($BH$3:$CE$3,"&lt;"&amp;$DF41,$AD41:$BA41)+SUMIF($BH$3:$CE$3,"&gt;"&amp;$CW$4,$AD41:$BA41)),
IF(BS$3=$DF41+'Model Setup'!$D$7,SUMIF($BH$3:$CE$3,"="&amp;$DF41+'Model Setup'!$D$7,$AD41:$BA41)+'Model Setup'!$D$8*(SUMIF($BH$3:$CE$3,"&lt;"&amp;$DF41,$AD41:$BA41)+SUMIF($BH$3:$CE$3,"&gt;"&amp;$CW$4,$AD41:$BA41)),
IF(BS$3=$DF41+'Model Setup'!$E$7,SUMIF($BH$3:$CE$3,"="&amp;$DF41+'Model Setup'!$E$7,$AD41:$BA41)+'Model Setup'!$E$8*(SUMIF($BH$3:$CE$3,"&lt;"&amp;$DF41,$AD41:$BA41)+SUMIF($BH$3:$CE$3,"&gt;"&amp;$CW$4,$AD41:$BA41)),
IF(BS$3=$DF41+'Model Setup'!$F$7,SUMIF($BH$3:$CE$3,"="&amp;$DF41+'Model Setup'!$F$7,$AD41:$BA41)+'Model Setup'!$F$8*(SUMIF($BH$3:$CE$3,"&lt;"&amp;$DF41,$AD41:$BA41)+SUMIF($BH$3:$CE$3,"&gt;"&amp;$CW$4,$AD41:$BA41)),
IF(BS$3=$DF41+'Model Setup'!$G$7,SUMIF($BH$3:$CE$3,"="&amp;$DF41+'Model Setup'!$G$7,$AD41:$BA41)+'Model Setup'!$G$8*(SUMIF($BH$3:$CE$3,"&lt;"&amp;$DF41,$AD41:$BA41)+SUMIF($BH$3:$CE$3,"&gt;"&amp;$CW$4,$AD41:$BA41)),
IF(BS$3=$DF41+'Model Setup'!$H$7,SUMIF($BH$3:$CE$3,"="&amp;$DF41+'Model Setup'!$H$7,$AD41:$BA41)+'Model Setup'!$H$8*(SUMIF($BH$3:$CE$3,"&lt;"&amp;$DF41,$AD41:$BA41)+SUMIF($BH$3:$CE$3,"&gt;"&amp;$CW$4,$AD41:$BA41)),
IF(BS$3=$DF41+'Model Setup'!$I$7,SUMIF($BH$3:$CE$3,"="&amp;$DF41+'Model Setup'!$I$7,$AD41:$BA41)+'Model Setup'!$I$8*(SUMIF($BH$3:$CE$3,"&lt;"&amp;$DF41,$AD41:$BA41)+SUMIF($BH$3:$CE$3,"&gt;"&amp;$CW$4,$AD41:$BA41)),
IF(BS$3=$DF41+'Model Setup'!$J$7,SUMIF($BH$3:$CE$3,"="&amp;$DF41+'Model Setup'!$J$7,$AD41:$BA41)+'Model Setup'!$J$8*(SUMIF($BH$3:$CE$3,"&lt;"&amp;$DF41,$AD41:$BA41)+SUMIF($BH$3:$CE$3,"&gt;"&amp;$CW$4,$AD41:$BA41)),
IF(BS$3=$DF41+'Model Setup'!$K$7,SUMIF($BH$3:$CE$3,"="&amp;$DF41+'Model Setup'!$K$7,$AD41:$BA41)+'Model Setup'!$K$8*(SUMIF($BH$3:$CE$3,"&lt;"&amp;$DF41,$AD41:$BA41)+SUMIF($BH$3:$CE$3,"&gt;"&amp;$CW$4,$AD41:$BA41)),
IF(BS$3=$DF41+'Model Setup'!$L$7,SUMIF($BH$3:$CE$3,"="&amp;$DF41+'Model Setup'!$L$7,$AD41:$BA41)+'Model Setup'!$L$8*(SUMIF($BH$3:$CE$3,"&lt;"&amp;$DF41,$AD41:$BA41)+SUMIF($BH$3:$CE$3,"&gt;"&amp;$CW$4,$AD41:$BA41)),
IF(BS$3=$DF41+'Model Setup'!$M$7,SUMIF($BH$3:$CE$3,"="&amp;$DF41+'Model Setup'!$M$7,$AD41:$BA41)+'Model Setup'!$M$8*(SUMIF($BH$3:$CE$3,"&lt;"&amp;$DF41,$AD41:$BA41)+SUMIF($BH$3:$CE$3,"&gt;"&amp;$CW$4,$AD41:$BA41)),
IF(BS$3=$DF41+'Model Setup'!$N$7,SUMIF($BH$3:$CE$3,"="&amp;$DF41+'Model Setup'!$N$7,$AD41:$BA41)+'Model Setup'!$N$8*(SUMIF($BH$3:$CE$3,"&lt;"&amp;$DF41,$AD41:$BA41)+SUMIF($BH$3:$CE$3,"&gt;"&amp;$CW$4,$AD41:$BA41)),
IF(BS$3&lt;$CW$4,M41,0))))))))))))))),0)</f>
        <v>30</v>
      </c>
      <c r="BT41" s="47">
        <f>ROUND(IF(OR(BT$3&lt;$DF41,BT$3&gt;$CW$4),0,
IF(BT$3=$DF41+'Model Setup'!$B$7,SUMIF($BH$3:$CE$3,"="&amp;$DF41+'Model Setup'!$B$7,$AD41:$BA41)+'Model Setup'!$B$8*(SUMIF($BH$3:$CE$3,"&lt;"&amp;$DF41,$AD41:$BA41)+SUMIF($BH$3:$CE$3,"&gt;"&amp;$CW$4,$AD41:$BA41)),
IF(BT$3=$DF41+'Model Setup'!$C$7,SUMIF($BH$3:$CE$3,"="&amp;$DF41+'Model Setup'!$C$7,$AD41:$BA41)+'Model Setup'!$C$8*(SUMIF($BH$3:$CE$3,"&lt;"&amp;$DF41,$AD41:$BA41)+SUMIF($BH$3:$CE$3,"&gt;"&amp;$CW$4,$AD41:$BA41)),
IF(BT$3=$DF41+'Model Setup'!$D$7,SUMIF($BH$3:$CE$3,"="&amp;$DF41+'Model Setup'!$D$7,$AD41:$BA41)+'Model Setup'!$D$8*(SUMIF($BH$3:$CE$3,"&lt;"&amp;$DF41,$AD41:$BA41)+SUMIF($BH$3:$CE$3,"&gt;"&amp;$CW$4,$AD41:$BA41)),
IF(BT$3=$DF41+'Model Setup'!$E$7,SUMIF($BH$3:$CE$3,"="&amp;$DF41+'Model Setup'!$E$7,$AD41:$BA41)+'Model Setup'!$E$8*(SUMIF($BH$3:$CE$3,"&lt;"&amp;$DF41,$AD41:$BA41)+SUMIF($BH$3:$CE$3,"&gt;"&amp;$CW$4,$AD41:$BA41)),
IF(BT$3=$DF41+'Model Setup'!$F$7,SUMIF($BH$3:$CE$3,"="&amp;$DF41+'Model Setup'!$F$7,$AD41:$BA41)+'Model Setup'!$F$8*(SUMIF($BH$3:$CE$3,"&lt;"&amp;$DF41,$AD41:$BA41)+SUMIF($BH$3:$CE$3,"&gt;"&amp;$CW$4,$AD41:$BA41)),
IF(BT$3=$DF41+'Model Setup'!$G$7,SUMIF($BH$3:$CE$3,"="&amp;$DF41+'Model Setup'!$G$7,$AD41:$BA41)+'Model Setup'!$G$8*(SUMIF($BH$3:$CE$3,"&lt;"&amp;$DF41,$AD41:$BA41)+SUMIF($BH$3:$CE$3,"&gt;"&amp;$CW$4,$AD41:$BA41)),
IF(BT$3=$DF41+'Model Setup'!$H$7,SUMIF($BH$3:$CE$3,"="&amp;$DF41+'Model Setup'!$H$7,$AD41:$BA41)+'Model Setup'!$H$8*(SUMIF($BH$3:$CE$3,"&lt;"&amp;$DF41,$AD41:$BA41)+SUMIF($BH$3:$CE$3,"&gt;"&amp;$CW$4,$AD41:$BA41)),
IF(BT$3=$DF41+'Model Setup'!$I$7,SUMIF($BH$3:$CE$3,"="&amp;$DF41+'Model Setup'!$I$7,$AD41:$BA41)+'Model Setup'!$I$8*(SUMIF($BH$3:$CE$3,"&lt;"&amp;$DF41,$AD41:$BA41)+SUMIF($BH$3:$CE$3,"&gt;"&amp;$CW$4,$AD41:$BA41)),
IF(BT$3=$DF41+'Model Setup'!$J$7,SUMIF($BH$3:$CE$3,"="&amp;$DF41+'Model Setup'!$J$7,$AD41:$BA41)+'Model Setup'!$J$8*(SUMIF($BH$3:$CE$3,"&lt;"&amp;$DF41,$AD41:$BA41)+SUMIF($BH$3:$CE$3,"&gt;"&amp;$CW$4,$AD41:$BA41)),
IF(BT$3=$DF41+'Model Setup'!$K$7,SUMIF($BH$3:$CE$3,"="&amp;$DF41+'Model Setup'!$K$7,$AD41:$BA41)+'Model Setup'!$K$8*(SUMIF($BH$3:$CE$3,"&lt;"&amp;$DF41,$AD41:$BA41)+SUMIF($BH$3:$CE$3,"&gt;"&amp;$CW$4,$AD41:$BA41)),
IF(BT$3=$DF41+'Model Setup'!$L$7,SUMIF($BH$3:$CE$3,"="&amp;$DF41+'Model Setup'!$L$7,$AD41:$BA41)+'Model Setup'!$L$8*(SUMIF($BH$3:$CE$3,"&lt;"&amp;$DF41,$AD41:$BA41)+SUMIF($BH$3:$CE$3,"&gt;"&amp;$CW$4,$AD41:$BA41)),
IF(BT$3=$DF41+'Model Setup'!$M$7,SUMIF($BH$3:$CE$3,"="&amp;$DF41+'Model Setup'!$M$7,$AD41:$BA41)+'Model Setup'!$M$8*(SUMIF($BH$3:$CE$3,"&lt;"&amp;$DF41,$AD41:$BA41)+SUMIF($BH$3:$CE$3,"&gt;"&amp;$CW$4,$AD41:$BA41)),
IF(BT$3=$DF41+'Model Setup'!$N$7,SUMIF($BH$3:$CE$3,"="&amp;$DF41+'Model Setup'!$N$7,$AD41:$BA41)+'Model Setup'!$N$8*(SUMIF($BH$3:$CE$3,"&lt;"&amp;$DF41,$AD41:$BA41)+SUMIF($BH$3:$CE$3,"&gt;"&amp;$CW$4,$AD41:$BA41)),
IF(BT$3&lt;$CW$4,N41,0))))))))))))))),0)</f>
        <v>23</v>
      </c>
      <c r="BU41" s="47">
        <f>ROUND(IF(OR(BU$3&lt;$DF41,BU$3&gt;$CW$4),0,
IF(BU$3=$DF41+'Model Setup'!$B$7,SUMIF($BH$3:$CE$3,"="&amp;$DF41+'Model Setup'!$B$7,$AD41:$BA41)+'Model Setup'!$B$8*(SUMIF($BH$3:$CE$3,"&lt;"&amp;$DF41,$AD41:$BA41)+SUMIF($BH$3:$CE$3,"&gt;"&amp;$CW$4,$AD41:$BA41)),
IF(BU$3=$DF41+'Model Setup'!$C$7,SUMIF($BH$3:$CE$3,"="&amp;$DF41+'Model Setup'!$C$7,$AD41:$BA41)+'Model Setup'!$C$8*(SUMIF($BH$3:$CE$3,"&lt;"&amp;$DF41,$AD41:$BA41)+SUMIF($BH$3:$CE$3,"&gt;"&amp;$CW$4,$AD41:$BA41)),
IF(BU$3=$DF41+'Model Setup'!$D$7,SUMIF($BH$3:$CE$3,"="&amp;$DF41+'Model Setup'!$D$7,$AD41:$BA41)+'Model Setup'!$D$8*(SUMIF($BH$3:$CE$3,"&lt;"&amp;$DF41,$AD41:$BA41)+SUMIF($BH$3:$CE$3,"&gt;"&amp;$CW$4,$AD41:$BA41)),
IF(BU$3=$DF41+'Model Setup'!$E$7,SUMIF($BH$3:$CE$3,"="&amp;$DF41+'Model Setup'!$E$7,$AD41:$BA41)+'Model Setup'!$E$8*(SUMIF($BH$3:$CE$3,"&lt;"&amp;$DF41,$AD41:$BA41)+SUMIF($BH$3:$CE$3,"&gt;"&amp;$CW$4,$AD41:$BA41)),
IF(BU$3=$DF41+'Model Setup'!$F$7,SUMIF($BH$3:$CE$3,"="&amp;$DF41+'Model Setup'!$F$7,$AD41:$BA41)+'Model Setup'!$F$8*(SUMIF($BH$3:$CE$3,"&lt;"&amp;$DF41,$AD41:$BA41)+SUMIF($BH$3:$CE$3,"&gt;"&amp;$CW$4,$AD41:$BA41)),
IF(BU$3=$DF41+'Model Setup'!$G$7,SUMIF($BH$3:$CE$3,"="&amp;$DF41+'Model Setup'!$G$7,$AD41:$BA41)+'Model Setup'!$G$8*(SUMIF($BH$3:$CE$3,"&lt;"&amp;$DF41,$AD41:$BA41)+SUMIF($BH$3:$CE$3,"&gt;"&amp;$CW$4,$AD41:$BA41)),
IF(BU$3=$DF41+'Model Setup'!$H$7,SUMIF($BH$3:$CE$3,"="&amp;$DF41+'Model Setup'!$H$7,$AD41:$BA41)+'Model Setup'!$H$8*(SUMIF($BH$3:$CE$3,"&lt;"&amp;$DF41,$AD41:$BA41)+SUMIF($BH$3:$CE$3,"&gt;"&amp;$CW$4,$AD41:$BA41)),
IF(BU$3=$DF41+'Model Setup'!$I$7,SUMIF($BH$3:$CE$3,"="&amp;$DF41+'Model Setup'!$I$7,$AD41:$BA41)+'Model Setup'!$I$8*(SUMIF($BH$3:$CE$3,"&lt;"&amp;$DF41,$AD41:$BA41)+SUMIF($BH$3:$CE$3,"&gt;"&amp;$CW$4,$AD41:$BA41)),
IF(BU$3=$DF41+'Model Setup'!$J$7,SUMIF($BH$3:$CE$3,"="&amp;$DF41+'Model Setup'!$J$7,$AD41:$BA41)+'Model Setup'!$J$8*(SUMIF($BH$3:$CE$3,"&lt;"&amp;$DF41,$AD41:$BA41)+SUMIF($BH$3:$CE$3,"&gt;"&amp;$CW$4,$AD41:$BA41)),
IF(BU$3=$DF41+'Model Setup'!$K$7,SUMIF($BH$3:$CE$3,"="&amp;$DF41+'Model Setup'!$K$7,$AD41:$BA41)+'Model Setup'!$K$8*(SUMIF($BH$3:$CE$3,"&lt;"&amp;$DF41,$AD41:$BA41)+SUMIF($BH$3:$CE$3,"&gt;"&amp;$CW$4,$AD41:$BA41)),
IF(BU$3=$DF41+'Model Setup'!$L$7,SUMIF($BH$3:$CE$3,"="&amp;$DF41+'Model Setup'!$L$7,$AD41:$BA41)+'Model Setup'!$L$8*(SUMIF($BH$3:$CE$3,"&lt;"&amp;$DF41,$AD41:$BA41)+SUMIF($BH$3:$CE$3,"&gt;"&amp;$CW$4,$AD41:$BA41)),
IF(BU$3=$DF41+'Model Setup'!$M$7,SUMIF($BH$3:$CE$3,"="&amp;$DF41+'Model Setup'!$M$7,$AD41:$BA41)+'Model Setup'!$M$8*(SUMIF($BH$3:$CE$3,"&lt;"&amp;$DF41,$AD41:$BA41)+SUMIF($BH$3:$CE$3,"&gt;"&amp;$CW$4,$AD41:$BA41)),
IF(BU$3=$DF41+'Model Setup'!$N$7,SUMIF($BH$3:$CE$3,"="&amp;$DF41+'Model Setup'!$N$7,$AD41:$BA41)+'Model Setup'!$N$8*(SUMIF($BH$3:$CE$3,"&lt;"&amp;$DF41,$AD41:$BA41)+SUMIF($BH$3:$CE$3,"&gt;"&amp;$CW$4,$AD41:$BA41)),
IF(BU$3&lt;$CW$4,O41,0))))))))))))))),0)</f>
        <v>15</v>
      </c>
      <c r="BV41" s="47">
        <f>ROUND(IF(OR(BV$3&lt;$DF41,BV$3&gt;$CW$4),0,
IF(BV$3=$DF41+'Model Setup'!$B$7,SUMIF($BH$3:$CE$3,"="&amp;$DF41+'Model Setup'!$B$7,$AD41:$BA41)+'Model Setup'!$B$8*(SUMIF($BH$3:$CE$3,"&lt;"&amp;$DF41,$AD41:$BA41)+SUMIF($BH$3:$CE$3,"&gt;"&amp;$CW$4,$AD41:$BA41)),
IF(BV$3=$DF41+'Model Setup'!$C$7,SUMIF($BH$3:$CE$3,"="&amp;$DF41+'Model Setup'!$C$7,$AD41:$BA41)+'Model Setup'!$C$8*(SUMIF($BH$3:$CE$3,"&lt;"&amp;$DF41,$AD41:$BA41)+SUMIF($BH$3:$CE$3,"&gt;"&amp;$CW$4,$AD41:$BA41)),
IF(BV$3=$DF41+'Model Setup'!$D$7,SUMIF($BH$3:$CE$3,"="&amp;$DF41+'Model Setup'!$D$7,$AD41:$BA41)+'Model Setup'!$D$8*(SUMIF($BH$3:$CE$3,"&lt;"&amp;$DF41,$AD41:$BA41)+SUMIF($BH$3:$CE$3,"&gt;"&amp;$CW$4,$AD41:$BA41)),
IF(BV$3=$DF41+'Model Setup'!$E$7,SUMIF($BH$3:$CE$3,"="&amp;$DF41+'Model Setup'!$E$7,$AD41:$BA41)+'Model Setup'!$E$8*(SUMIF($BH$3:$CE$3,"&lt;"&amp;$DF41,$AD41:$BA41)+SUMIF($BH$3:$CE$3,"&gt;"&amp;$CW$4,$AD41:$BA41)),
IF(BV$3=$DF41+'Model Setup'!$F$7,SUMIF($BH$3:$CE$3,"="&amp;$DF41+'Model Setup'!$F$7,$AD41:$BA41)+'Model Setup'!$F$8*(SUMIF($BH$3:$CE$3,"&lt;"&amp;$DF41,$AD41:$BA41)+SUMIF($BH$3:$CE$3,"&gt;"&amp;$CW$4,$AD41:$BA41)),
IF(BV$3=$DF41+'Model Setup'!$G$7,SUMIF($BH$3:$CE$3,"="&amp;$DF41+'Model Setup'!$G$7,$AD41:$BA41)+'Model Setup'!$G$8*(SUMIF($BH$3:$CE$3,"&lt;"&amp;$DF41,$AD41:$BA41)+SUMIF($BH$3:$CE$3,"&gt;"&amp;$CW$4,$AD41:$BA41)),
IF(BV$3=$DF41+'Model Setup'!$H$7,SUMIF($BH$3:$CE$3,"="&amp;$DF41+'Model Setup'!$H$7,$AD41:$BA41)+'Model Setup'!$H$8*(SUMIF($BH$3:$CE$3,"&lt;"&amp;$DF41,$AD41:$BA41)+SUMIF($BH$3:$CE$3,"&gt;"&amp;$CW$4,$AD41:$BA41)),
IF(BV$3=$DF41+'Model Setup'!$I$7,SUMIF($BH$3:$CE$3,"="&amp;$DF41+'Model Setup'!$I$7,$AD41:$BA41)+'Model Setup'!$I$8*(SUMIF($BH$3:$CE$3,"&lt;"&amp;$DF41,$AD41:$BA41)+SUMIF($BH$3:$CE$3,"&gt;"&amp;$CW$4,$AD41:$BA41)),
IF(BV$3=$DF41+'Model Setup'!$J$7,SUMIF($BH$3:$CE$3,"="&amp;$DF41+'Model Setup'!$J$7,$AD41:$BA41)+'Model Setup'!$J$8*(SUMIF($BH$3:$CE$3,"&lt;"&amp;$DF41,$AD41:$BA41)+SUMIF($BH$3:$CE$3,"&gt;"&amp;$CW$4,$AD41:$BA41)),
IF(BV$3=$DF41+'Model Setup'!$K$7,SUMIF($BH$3:$CE$3,"="&amp;$DF41+'Model Setup'!$K$7,$AD41:$BA41)+'Model Setup'!$K$8*(SUMIF($BH$3:$CE$3,"&lt;"&amp;$DF41,$AD41:$BA41)+SUMIF($BH$3:$CE$3,"&gt;"&amp;$CW$4,$AD41:$BA41)),
IF(BV$3=$DF41+'Model Setup'!$L$7,SUMIF($BH$3:$CE$3,"="&amp;$DF41+'Model Setup'!$L$7,$AD41:$BA41)+'Model Setup'!$L$8*(SUMIF($BH$3:$CE$3,"&lt;"&amp;$DF41,$AD41:$BA41)+SUMIF($BH$3:$CE$3,"&gt;"&amp;$CW$4,$AD41:$BA41)),
IF(BV$3=$DF41+'Model Setup'!$M$7,SUMIF($BH$3:$CE$3,"="&amp;$DF41+'Model Setup'!$M$7,$AD41:$BA41)+'Model Setup'!$M$8*(SUMIF($BH$3:$CE$3,"&lt;"&amp;$DF41,$AD41:$BA41)+SUMIF($BH$3:$CE$3,"&gt;"&amp;$CW$4,$AD41:$BA41)),
IF(BV$3=$DF41+'Model Setup'!$N$7,SUMIF($BH$3:$CE$3,"="&amp;$DF41+'Model Setup'!$N$7,$AD41:$BA41)+'Model Setup'!$N$8*(SUMIF($BH$3:$CE$3,"&lt;"&amp;$DF41,$AD41:$BA41)+SUMIF($BH$3:$CE$3,"&gt;"&amp;$CW$4,$AD41:$BA41)),
IF(BV$3&lt;$CW$4,P41,0))))))))))))))),0)</f>
        <v>13</v>
      </c>
      <c r="BW41" s="47">
        <f>ROUND(IF(OR(BW$3&lt;$DF41,BW$3&gt;$CW$4),0,
IF(BW$3=$DF41+'Model Setup'!$B$7,SUMIF($BH$3:$CE$3,"="&amp;$DF41+'Model Setup'!$B$7,$AD41:$BA41)+'Model Setup'!$B$8*(SUMIF($BH$3:$CE$3,"&lt;"&amp;$DF41,$AD41:$BA41)+SUMIF($BH$3:$CE$3,"&gt;"&amp;$CW$4,$AD41:$BA41)),
IF(BW$3=$DF41+'Model Setup'!$C$7,SUMIF($BH$3:$CE$3,"="&amp;$DF41+'Model Setup'!$C$7,$AD41:$BA41)+'Model Setup'!$C$8*(SUMIF($BH$3:$CE$3,"&lt;"&amp;$DF41,$AD41:$BA41)+SUMIF($BH$3:$CE$3,"&gt;"&amp;$CW$4,$AD41:$BA41)),
IF(BW$3=$DF41+'Model Setup'!$D$7,SUMIF($BH$3:$CE$3,"="&amp;$DF41+'Model Setup'!$D$7,$AD41:$BA41)+'Model Setup'!$D$8*(SUMIF($BH$3:$CE$3,"&lt;"&amp;$DF41,$AD41:$BA41)+SUMIF($BH$3:$CE$3,"&gt;"&amp;$CW$4,$AD41:$BA41)),
IF(BW$3=$DF41+'Model Setup'!$E$7,SUMIF($BH$3:$CE$3,"="&amp;$DF41+'Model Setup'!$E$7,$AD41:$BA41)+'Model Setup'!$E$8*(SUMIF($BH$3:$CE$3,"&lt;"&amp;$DF41,$AD41:$BA41)+SUMIF($BH$3:$CE$3,"&gt;"&amp;$CW$4,$AD41:$BA41)),
IF(BW$3=$DF41+'Model Setup'!$F$7,SUMIF($BH$3:$CE$3,"="&amp;$DF41+'Model Setup'!$F$7,$AD41:$BA41)+'Model Setup'!$F$8*(SUMIF($BH$3:$CE$3,"&lt;"&amp;$DF41,$AD41:$BA41)+SUMIF($BH$3:$CE$3,"&gt;"&amp;$CW$4,$AD41:$BA41)),
IF(BW$3=$DF41+'Model Setup'!$G$7,SUMIF($BH$3:$CE$3,"="&amp;$DF41+'Model Setup'!$G$7,$AD41:$BA41)+'Model Setup'!$G$8*(SUMIF($BH$3:$CE$3,"&lt;"&amp;$DF41,$AD41:$BA41)+SUMIF($BH$3:$CE$3,"&gt;"&amp;$CW$4,$AD41:$BA41)),
IF(BW$3=$DF41+'Model Setup'!$H$7,SUMIF($BH$3:$CE$3,"="&amp;$DF41+'Model Setup'!$H$7,$AD41:$BA41)+'Model Setup'!$H$8*(SUMIF($BH$3:$CE$3,"&lt;"&amp;$DF41,$AD41:$BA41)+SUMIF($BH$3:$CE$3,"&gt;"&amp;$CW$4,$AD41:$BA41)),
IF(BW$3=$DF41+'Model Setup'!$I$7,SUMIF($BH$3:$CE$3,"="&amp;$DF41+'Model Setup'!$I$7,$AD41:$BA41)+'Model Setup'!$I$8*(SUMIF($BH$3:$CE$3,"&lt;"&amp;$DF41,$AD41:$BA41)+SUMIF($BH$3:$CE$3,"&gt;"&amp;$CW$4,$AD41:$BA41)),
IF(BW$3=$DF41+'Model Setup'!$J$7,SUMIF($BH$3:$CE$3,"="&amp;$DF41+'Model Setup'!$J$7,$AD41:$BA41)+'Model Setup'!$J$8*(SUMIF($BH$3:$CE$3,"&lt;"&amp;$DF41,$AD41:$BA41)+SUMIF($BH$3:$CE$3,"&gt;"&amp;$CW$4,$AD41:$BA41)),
IF(BW$3=$DF41+'Model Setup'!$K$7,SUMIF($BH$3:$CE$3,"="&amp;$DF41+'Model Setup'!$K$7,$AD41:$BA41)+'Model Setup'!$K$8*(SUMIF($BH$3:$CE$3,"&lt;"&amp;$DF41,$AD41:$BA41)+SUMIF($BH$3:$CE$3,"&gt;"&amp;$CW$4,$AD41:$BA41)),
IF(BW$3=$DF41+'Model Setup'!$L$7,SUMIF($BH$3:$CE$3,"="&amp;$DF41+'Model Setup'!$L$7,$AD41:$BA41)+'Model Setup'!$L$8*(SUMIF($BH$3:$CE$3,"&lt;"&amp;$DF41,$AD41:$BA41)+SUMIF($BH$3:$CE$3,"&gt;"&amp;$CW$4,$AD41:$BA41)),
IF(BW$3=$DF41+'Model Setup'!$M$7,SUMIF($BH$3:$CE$3,"="&amp;$DF41+'Model Setup'!$M$7,$AD41:$BA41)+'Model Setup'!$M$8*(SUMIF($BH$3:$CE$3,"&lt;"&amp;$DF41,$AD41:$BA41)+SUMIF($BH$3:$CE$3,"&gt;"&amp;$CW$4,$AD41:$BA41)),
IF(BW$3=$DF41+'Model Setup'!$N$7,SUMIF($BH$3:$CE$3,"="&amp;$DF41+'Model Setup'!$N$7,$AD41:$BA41)+'Model Setup'!$N$8*(SUMIF($BH$3:$CE$3,"&lt;"&amp;$DF41,$AD41:$BA41)+SUMIF($BH$3:$CE$3,"&gt;"&amp;$CW$4,$AD41:$BA41)),
IF(BW$3&lt;$CW$4,Q41,0))))))))))))))),0)</f>
        <v>8</v>
      </c>
      <c r="BX41" s="47">
        <f>ROUND(IF(OR(BX$3&lt;$DF41,BX$3&gt;$CW$4),0,
IF(BX$3=$DF41+'Model Setup'!$B$7,SUMIF($BH$3:$CE$3,"="&amp;$DF41+'Model Setup'!$B$7,$AD41:$BA41)+'Model Setup'!$B$8*(SUMIF($BH$3:$CE$3,"&lt;"&amp;$DF41,$AD41:$BA41)+SUMIF($BH$3:$CE$3,"&gt;"&amp;$CW$4,$AD41:$BA41)),
IF(BX$3=$DF41+'Model Setup'!$C$7,SUMIF($BH$3:$CE$3,"="&amp;$DF41+'Model Setup'!$C$7,$AD41:$BA41)+'Model Setup'!$C$8*(SUMIF($BH$3:$CE$3,"&lt;"&amp;$DF41,$AD41:$BA41)+SUMIF($BH$3:$CE$3,"&gt;"&amp;$CW$4,$AD41:$BA41)),
IF(BX$3=$DF41+'Model Setup'!$D$7,SUMIF($BH$3:$CE$3,"="&amp;$DF41+'Model Setup'!$D$7,$AD41:$BA41)+'Model Setup'!$D$8*(SUMIF($BH$3:$CE$3,"&lt;"&amp;$DF41,$AD41:$BA41)+SUMIF($BH$3:$CE$3,"&gt;"&amp;$CW$4,$AD41:$BA41)),
IF(BX$3=$DF41+'Model Setup'!$E$7,SUMIF($BH$3:$CE$3,"="&amp;$DF41+'Model Setup'!$E$7,$AD41:$BA41)+'Model Setup'!$E$8*(SUMIF($BH$3:$CE$3,"&lt;"&amp;$DF41,$AD41:$BA41)+SUMIF($BH$3:$CE$3,"&gt;"&amp;$CW$4,$AD41:$BA41)),
IF(BX$3=$DF41+'Model Setup'!$F$7,SUMIF($BH$3:$CE$3,"="&amp;$DF41+'Model Setup'!$F$7,$AD41:$BA41)+'Model Setup'!$F$8*(SUMIF($BH$3:$CE$3,"&lt;"&amp;$DF41,$AD41:$BA41)+SUMIF($BH$3:$CE$3,"&gt;"&amp;$CW$4,$AD41:$BA41)),
IF(BX$3=$DF41+'Model Setup'!$G$7,SUMIF($BH$3:$CE$3,"="&amp;$DF41+'Model Setup'!$G$7,$AD41:$BA41)+'Model Setup'!$G$8*(SUMIF($BH$3:$CE$3,"&lt;"&amp;$DF41,$AD41:$BA41)+SUMIF($BH$3:$CE$3,"&gt;"&amp;$CW$4,$AD41:$BA41)),
IF(BX$3=$DF41+'Model Setup'!$H$7,SUMIF($BH$3:$CE$3,"="&amp;$DF41+'Model Setup'!$H$7,$AD41:$BA41)+'Model Setup'!$H$8*(SUMIF($BH$3:$CE$3,"&lt;"&amp;$DF41,$AD41:$BA41)+SUMIF($BH$3:$CE$3,"&gt;"&amp;$CW$4,$AD41:$BA41)),
IF(BX$3=$DF41+'Model Setup'!$I$7,SUMIF($BH$3:$CE$3,"="&amp;$DF41+'Model Setup'!$I$7,$AD41:$BA41)+'Model Setup'!$I$8*(SUMIF($BH$3:$CE$3,"&lt;"&amp;$DF41,$AD41:$BA41)+SUMIF($BH$3:$CE$3,"&gt;"&amp;$CW$4,$AD41:$BA41)),
IF(BX$3=$DF41+'Model Setup'!$J$7,SUMIF($BH$3:$CE$3,"="&amp;$DF41+'Model Setup'!$J$7,$AD41:$BA41)+'Model Setup'!$J$8*(SUMIF($BH$3:$CE$3,"&lt;"&amp;$DF41,$AD41:$BA41)+SUMIF($BH$3:$CE$3,"&gt;"&amp;$CW$4,$AD41:$BA41)),
IF(BX$3=$DF41+'Model Setup'!$K$7,SUMIF($BH$3:$CE$3,"="&amp;$DF41+'Model Setup'!$K$7,$AD41:$BA41)+'Model Setup'!$K$8*(SUMIF($BH$3:$CE$3,"&lt;"&amp;$DF41,$AD41:$BA41)+SUMIF($BH$3:$CE$3,"&gt;"&amp;$CW$4,$AD41:$BA41)),
IF(BX$3=$DF41+'Model Setup'!$L$7,SUMIF($BH$3:$CE$3,"="&amp;$DF41+'Model Setup'!$L$7,$AD41:$BA41)+'Model Setup'!$L$8*(SUMIF($BH$3:$CE$3,"&lt;"&amp;$DF41,$AD41:$BA41)+SUMIF($BH$3:$CE$3,"&gt;"&amp;$CW$4,$AD41:$BA41)),
IF(BX$3=$DF41+'Model Setup'!$M$7,SUMIF($BH$3:$CE$3,"="&amp;$DF41+'Model Setup'!$M$7,$AD41:$BA41)+'Model Setup'!$M$8*(SUMIF($BH$3:$CE$3,"&lt;"&amp;$DF41,$AD41:$BA41)+SUMIF($BH$3:$CE$3,"&gt;"&amp;$CW$4,$AD41:$BA41)),
IF(BX$3=$DF41+'Model Setup'!$N$7,SUMIF($BH$3:$CE$3,"="&amp;$DF41+'Model Setup'!$N$7,$AD41:$BA41)+'Model Setup'!$N$8*(SUMIF($BH$3:$CE$3,"&lt;"&amp;$DF41,$AD41:$BA41)+SUMIF($BH$3:$CE$3,"&gt;"&amp;$CW$4,$AD41:$BA41)),
IF(BX$3&lt;$CW$4,R41,0))))))))))))))),0)</f>
        <v>6</v>
      </c>
      <c r="BY41" s="47">
        <f>ROUND(IF(OR(BY$3&lt;$DF41,BY$3&gt;$CW$4),0,
IF(BY$3=$DF41+'Model Setup'!$B$7,SUMIF($BH$3:$CE$3,"="&amp;$DF41+'Model Setup'!$B$7,$AD41:$BA41)+'Model Setup'!$B$8*(SUMIF($BH$3:$CE$3,"&lt;"&amp;$DF41,$AD41:$BA41)+SUMIF($BH$3:$CE$3,"&gt;"&amp;$CW$4,$AD41:$BA41)),
IF(BY$3=$DF41+'Model Setup'!$C$7,SUMIF($BH$3:$CE$3,"="&amp;$DF41+'Model Setup'!$C$7,$AD41:$BA41)+'Model Setup'!$C$8*(SUMIF($BH$3:$CE$3,"&lt;"&amp;$DF41,$AD41:$BA41)+SUMIF($BH$3:$CE$3,"&gt;"&amp;$CW$4,$AD41:$BA41)),
IF(BY$3=$DF41+'Model Setup'!$D$7,SUMIF($BH$3:$CE$3,"="&amp;$DF41+'Model Setup'!$D$7,$AD41:$BA41)+'Model Setup'!$D$8*(SUMIF($BH$3:$CE$3,"&lt;"&amp;$DF41,$AD41:$BA41)+SUMIF($BH$3:$CE$3,"&gt;"&amp;$CW$4,$AD41:$BA41)),
IF(BY$3=$DF41+'Model Setup'!$E$7,SUMIF($BH$3:$CE$3,"="&amp;$DF41+'Model Setup'!$E$7,$AD41:$BA41)+'Model Setup'!$E$8*(SUMIF($BH$3:$CE$3,"&lt;"&amp;$DF41,$AD41:$BA41)+SUMIF($BH$3:$CE$3,"&gt;"&amp;$CW$4,$AD41:$BA41)),
IF(BY$3=$DF41+'Model Setup'!$F$7,SUMIF($BH$3:$CE$3,"="&amp;$DF41+'Model Setup'!$F$7,$AD41:$BA41)+'Model Setup'!$F$8*(SUMIF($BH$3:$CE$3,"&lt;"&amp;$DF41,$AD41:$BA41)+SUMIF($BH$3:$CE$3,"&gt;"&amp;$CW$4,$AD41:$BA41)),
IF(BY$3=$DF41+'Model Setup'!$G$7,SUMIF($BH$3:$CE$3,"="&amp;$DF41+'Model Setup'!$G$7,$AD41:$BA41)+'Model Setup'!$G$8*(SUMIF($BH$3:$CE$3,"&lt;"&amp;$DF41,$AD41:$BA41)+SUMIF($BH$3:$CE$3,"&gt;"&amp;$CW$4,$AD41:$BA41)),
IF(BY$3=$DF41+'Model Setup'!$H$7,SUMIF($BH$3:$CE$3,"="&amp;$DF41+'Model Setup'!$H$7,$AD41:$BA41)+'Model Setup'!$H$8*(SUMIF($BH$3:$CE$3,"&lt;"&amp;$DF41,$AD41:$BA41)+SUMIF($BH$3:$CE$3,"&gt;"&amp;$CW$4,$AD41:$BA41)),
IF(BY$3=$DF41+'Model Setup'!$I$7,SUMIF($BH$3:$CE$3,"="&amp;$DF41+'Model Setup'!$I$7,$AD41:$BA41)+'Model Setup'!$I$8*(SUMIF($BH$3:$CE$3,"&lt;"&amp;$DF41,$AD41:$BA41)+SUMIF($BH$3:$CE$3,"&gt;"&amp;$CW$4,$AD41:$BA41)),
IF(BY$3=$DF41+'Model Setup'!$J$7,SUMIF($BH$3:$CE$3,"="&amp;$DF41+'Model Setup'!$J$7,$AD41:$BA41)+'Model Setup'!$J$8*(SUMIF($BH$3:$CE$3,"&lt;"&amp;$DF41,$AD41:$BA41)+SUMIF($BH$3:$CE$3,"&gt;"&amp;$CW$4,$AD41:$BA41)),
IF(BY$3=$DF41+'Model Setup'!$K$7,SUMIF($BH$3:$CE$3,"="&amp;$DF41+'Model Setup'!$K$7,$AD41:$BA41)+'Model Setup'!$K$8*(SUMIF($BH$3:$CE$3,"&lt;"&amp;$DF41,$AD41:$BA41)+SUMIF($BH$3:$CE$3,"&gt;"&amp;$CW$4,$AD41:$BA41)),
IF(BY$3=$DF41+'Model Setup'!$L$7,SUMIF($BH$3:$CE$3,"="&amp;$DF41+'Model Setup'!$L$7,$AD41:$BA41)+'Model Setup'!$L$8*(SUMIF($BH$3:$CE$3,"&lt;"&amp;$DF41,$AD41:$BA41)+SUMIF($BH$3:$CE$3,"&gt;"&amp;$CW$4,$AD41:$BA41)),
IF(BY$3=$DF41+'Model Setup'!$M$7,SUMIF($BH$3:$CE$3,"="&amp;$DF41+'Model Setup'!$M$7,$AD41:$BA41)+'Model Setup'!$M$8*(SUMIF($BH$3:$CE$3,"&lt;"&amp;$DF41,$AD41:$BA41)+SUMIF($BH$3:$CE$3,"&gt;"&amp;$CW$4,$AD41:$BA41)),
IF(BY$3=$DF41+'Model Setup'!$N$7,SUMIF($BH$3:$CE$3,"="&amp;$DF41+'Model Setup'!$N$7,$AD41:$BA41)+'Model Setup'!$N$8*(SUMIF($BH$3:$CE$3,"&lt;"&amp;$DF41,$AD41:$BA41)+SUMIF($BH$3:$CE$3,"&gt;"&amp;$CW$4,$AD41:$BA41)),
IF(BY$3&lt;$CW$4,S41,0))))))))))))))),0)</f>
        <v>38</v>
      </c>
      <c r="BZ41" s="47">
        <f>ROUND(IF(OR(BZ$3&lt;$DF41,BZ$3&gt;$CW$4),0,
IF(BZ$3=$DF41+'Model Setup'!$B$7,SUMIF($BH$3:$CE$3,"="&amp;$DF41+'Model Setup'!$B$7,$AD41:$BA41)+'Model Setup'!$B$8*(SUMIF($BH$3:$CE$3,"&lt;"&amp;$DF41,$AD41:$BA41)+SUMIF($BH$3:$CE$3,"&gt;"&amp;$CW$4,$AD41:$BA41)),
IF(BZ$3=$DF41+'Model Setup'!$C$7,SUMIF($BH$3:$CE$3,"="&amp;$DF41+'Model Setup'!$C$7,$AD41:$BA41)+'Model Setup'!$C$8*(SUMIF($BH$3:$CE$3,"&lt;"&amp;$DF41,$AD41:$BA41)+SUMIF($BH$3:$CE$3,"&gt;"&amp;$CW$4,$AD41:$BA41)),
IF(BZ$3=$DF41+'Model Setup'!$D$7,SUMIF($BH$3:$CE$3,"="&amp;$DF41+'Model Setup'!$D$7,$AD41:$BA41)+'Model Setup'!$D$8*(SUMIF($BH$3:$CE$3,"&lt;"&amp;$DF41,$AD41:$BA41)+SUMIF($BH$3:$CE$3,"&gt;"&amp;$CW$4,$AD41:$BA41)),
IF(BZ$3=$DF41+'Model Setup'!$E$7,SUMIF($BH$3:$CE$3,"="&amp;$DF41+'Model Setup'!$E$7,$AD41:$BA41)+'Model Setup'!$E$8*(SUMIF($BH$3:$CE$3,"&lt;"&amp;$DF41,$AD41:$BA41)+SUMIF($BH$3:$CE$3,"&gt;"&amp;$CW$4,$AD41:$BA41)),
IF(BZ$3=$DF41+'Model Setup'!$F$7,SUMIF($BH$3:$CE$3,"="&amp;$DF41+'Model Setup'!$F$7,$AD41:$BA41)+'Model Setup'!$F$8*(SUMIF($BH$3:$CE$3,"&lt;"&amp;$DF41,$AD41:$BA41)+SUMIF($BH$3:$CE$3,"&gt;"&amp;$CW$4,$AD41:$BA41)),
IF(BZ$3=$DF41+'Model Setup'!$G$7,SUMIF($BH$3:$CE$3,"="&amp;$DF41+'Model Setup'!$G$7,$AD41:$BA41)+'Model Setup'!$G$8*(SUMIF($BH$3:$CE$3,"&lt;"&amp;$DF41,$AD41:$BA41)+SUMIF($BH$3:$CE$3,"&gt;"&amp;$CW$4,$AD41:$BA41)),
IF(BZ$3=$DF41+'Model Setup'!$H$7,SUMIF($BH$3:$CE$3,"="&amp;$DF41+'Model Setup'!$H$7,$AD41:$BA41)+'Model Setup'!$H$8*(SUMIF($BH$3:$CE$3,"&lt;"&amp;$DF41,$AD41:$BA41)+SUMIF($BH$3:$CE$3,"&gt;"&amp;$CW$4,$AD41:$BA41)),
IF(BZ$3=$DF41+'Model Setup'!$I$7,SUMIF($BH$3:$CE$3,"="&amp;$DF41+'Model Setup'!$I$7,$AD41:$BA41)+'Model Setup'!$I$8*(SUMIF($BH$3:$CE$3,"&lt;"&amp;$DF41,$AD41:$BA41)+SUMIF($BH$3:$CE$3,"&gt;"&amp;$CW$4,$AD41:$BA41)),
IF(BZ$3=$DF41+'Model Setup'!$J$7,SUMIF($BH$3:$CE$3,"="&amp;$DF41+'Model Setup'!$J$7,$AD41:$BA41)+'Model Setup'!$J$8*(SUMIF($BH$3:$CE$3,"&lt;"&amp;$DF41,$AD41:$BA41)+SUMIF($BH$3:$CE$3,"&gt;"&amp;$CW$4,$AD41:$BA41)),
IF(BZ$3=$DF41+'Model Setup'!$K$7,SUMIF($BH$3:$CE$3,"="&amp;$DF41+'Model Setup'!$K$7,$AD41:$BA41)+'Model Setup'!$K$8*(SUMIF($BH$3:$CE$3,"&lt;"&amp;$DF41,$AD41:$BA41)+SUMIF($BH$3:$CE$3,"&gt;"&amp;$CW$4,$AD41:$BA41)),
IF(BZ$3=$DF41+'Model Setup'!$L$7,SUMIF($BH$3:$CE$3,"="&amp;$DF41+'Model Setup'!$L$7,$AD41:$BA41)+'Model Setup'!$L$8*(SUMIF($BH$3:$CE$3,"&lt;"&amp;$DF41,$AD41:$BA41)+SUMIF($BH$3:$CE$3,"&gt;"&amp;$CW$4,$AD41:$BA41)),
IF(BZ$3=$DF41+'Model Setup'!$M$7,SUMIF($BH$3:$CE$3,"="&amp;$DF41+'Model Setup'!$M$7,$AD41:$BA41)+'Model Setup'!$M$8*(SUMIF($BH$3:$CE$3,"&lt;"&amp;$DF41,$AD41:$BA41)+SUMIF($BH$3:$CE$3,"&gt;"&amp;$CW$4,$AD41:$BA41)),
IF(BZ$3=$DF41+'Model Setup'!$N$7,SUMIF($BH$3:$CE$3,"="&amp;$DF41+'Model Setup'!$N$7,$AD41:$BA41)+'Model Setup'!$N$8*(SUMIF($BH$3:$CE$3,"&lt;"&amp;$DF41,$AD41:$BA41)+SUMIF($BH$3:$CE$3,"&gt;"&amp;$CW$4,$AD41:$BA41)),
IF(BZ$3&lt;$CW$4,T41,0))))))))))))))),0)</f>
        <v>42</v>
      </c>
      <c r="CA41" s="47">
        <f>ROUND(IF(OR(CA$3&lt;$DF41,CA$3&gt;$CW$4),0,
IF(CA$3=$DF41+'Model Setup'!$B$7,SUMIF($BH$3:$CE$3,"="&amp;$DF41+'Model Setup'!$B$7,$AD41:$BA41)+'Model Setup'!$B$8*(SUMIF($BH$3:$CE$3,"&lt;"&amp;$DF41,$AD41:$BA41)+SUMIF($BH$3:$CE$3,"&gt;"&amp;$CW$4,$AD41:$BA41)),
IF(CA$3=$DF41+'Model Setup'!$C$7,SUMIF($BH$3:$CE$3,"="&amp;$DF41+'Model Setup'!$C$7,$AD41:$BA41)+'Model Setup'!$C$8*(SUMIF($BH$3:$CE$3,"&lt;"&amp;$DF41,$AD41:$BA41)+SUMIF($BH$3:$CE$3,"&gt;"&amp;$CW$4,$AD41:$BA41)),
IF(CA$3=$DF41+'Model Setup'!$D$7,SUMIF($BH$3:$CE$3,"="&amp;$DF41+'Model Setup'!$D$7,$AD41:$BA41)+'Model Setup'!$D$8*(SUMIF($BH$3:$CE$3,"&lt;"&amp;$DF41,$AD41:$BA41)+SUMIF($BH$3:$CE$3,"&gt;"&amp;$CW$4,$AD41:$BA41)),
IF(CA$3=$DF41+'Model Setup'!$E$7,SUMIF($BH$3:$CE$3,"="&amp;$DF41+'Model Setup'!$E$7,$AD41:$BA41)+'Model Setup'!$E$8*(SUMIF($BH$3:$CE$3,"&lt;"&amp;$DF41,$AD41:$BA41)+SUMIF($BH$3:$CE$3,"&gt;"&amp;$CW$4,$AD41:$BA41)),
IF(CA$3=$DF41+'Model Setup'!$F$7,SUMIF($BH$3:$CE$3,"="&amp;$DF41+'Model Setup'!$F$7,$AD41:$BA41)+'Model Setup'!$F$8*(SUMIF($BH$3:$CE$3,"&lt;"&amp;$DF41,$AD41:$BA41)+SUMIF($BH$3:$CE$3,"&gt;"&amp;$CW$4,$AD41:$BA41)),
IF(CA$3=$DF41+'Model Setup'!$G$7,SUMIF($BH$3:$CE$3,"="&amp;$DF41+'Model Setup'!$G$7,$AD41:$BA41)+'Model Setup'!$G$8*(SUMIF($BH$3:$CE$3,"&lt;"&amp;$DF41,$AD41:$BA41)+SUMIF($BH$3:$CE$3,"&gt;"&amp;$CW$4,$AD41:$BA41)),
IF(CA$3=$DF41+'Model Setup'!$H$7,SUMIF($BH$3:$CE$3,"="&amp;$DF41+'Model Setup'!$H$7,$AD41:$BA41)+'Model Setup'!$H$8*(SUMIF($BH$3:$CE$3,"&lt;"&amp;$DF41,$AD41:$BA41)+SUMIF($BH$3:$CE$3,"&gt;"&amp;$CW$4,$AD41:$BA41)),
IF(CA$3=$DF41+'Model Setup'!$I$7,SUMIF($BH$3:$CE$3,"="&amp;$DF41+'Model Setup'!$I$7,$AD41:$BA41)+'Model Setup'!$I$8*(SUMIF($BH$3:$CE$3,"&lt;"&amp;$DF41,$AD41:$BA41)+SUMIF($BH$3:$CE$3,"&gt;"&amp;$CW$4,$AD41:$BA41)),
IF(CA$3=$DF41+'Model Setup'!$J$7,SUMIF($BH$3:$CE$3,"="&amp;$DF41+'Model Setup'!$J$7,$AD41:$BA41)+'Model Setup'!$J$8*(SUMIF($BH$3:$CE$3,"&lt;"&amp;$DF41,$AD41:$BA41)+SUMIF($BH$3:$CE$3,"&gt;"&amp;$CW$4,$AD41:$BA41)),
IF(CA$3=$DF41+'Model Setup'!$K$7,SUMIF($BH$3:$CE$3,"="&amp;$DF41+'Model Setup'!$K$7,$AD41:$BA41)+'Model Setup'!$K$8*(SUMIF($BH$3:$CE$3,"&lt;"&amp;$DF41,$AD41:$BA41)+SUMIF($BH$3:$CE$3,"&gt;"&amp;$CW$4,$AD41:$BA41)),
IF(CA$3=$DF41+'Model Setup'!$L$7,SUMIF($BH$3:$CE$3,"="&amp;$DF41+'Model Setup'!$L$7,$AD41:$BA41)+'Model Setup'!$L$8*(SUMIF($BH$3:$CE$3,"&lt;"&amp;$DF41,$AD41:$BA41)+SUMIF($BH$3:$CE$3,"&gt;"&amp;$CW$4,$AD41:$BA41)),
IF(CA$3=$DF41+'Model Setup'!$M$7,SUMIF($BH$3:$CE$3,"="&amp;$DF41+'Model Setup'!$M$7,$AD41:$BA41)+'Model Setup'!$M$8*(SUMIF($BH$3:$CE$3,"&lt;"&amp;$DF41,$AD41:$BA41)+SUMIF($BH$3:$CE$3,"&gt;"&amp;$CW$4,$AD41:$BA41)),
IF(CA$3=$DF41+'Model Setup'!$N$7,SUMIF($BH$3:$CE$3,"="&amp;$DF41+'Model Setup'!$N$7,$AD41:$BA41)+'Model Setup'!$N$8*(SUMIF($BH$3:$CE$3,"&lt;"&amp;$DF41,$AD41:$BA41)+SUMIF($BH$3:$CE$3,"&gt;"&amp;$CW$4,$AD41:$BA41)),
IF(CA$3&lt;$CW$4,U41,0))))))))))))))),0)</f>
        <v>0</v>
      </c>
      <c r="CB41" s="47">
        <f>ROUND(IF(OR(CB$3&lt;$DF41,CB$3&gt;$CW$4),0,
IF(CB$3=$DF41+'Model Setup'!$B$7,SUMIF($BH$3:$CE$3,"="&amp;$DF41+'Model Setup'!$B$7,$AD41:$BA41)+'Model Setup'!$B$8*(SUMIF($BH$3:$CE$3,"&lt;"&amp;$DF41,$AD41:$BA41)+SUMIF($BH$3:$CE$3,"&gt;"&amp;$CW$4,$AD41:$BA41)),
IF(CB$3=$DF41+'Model Setup'!$C$7,SUMIF($BH$3:$CE$3,"="&amp;$DF41+'Model Setup'!$C$7,$AD41:$BA41)+'Model Setup'!$C$8*(SUMIF($BH$3:$CE$3,"&lt;"&amp;$DF41,$AD41:$BA41)+SUMIF($BH$3:$CE$3,"&gt;"&amp;$CW$4,$AD41:$BA41)),
IF(CB$3=$DF41+'Model Setup'!$D$7,SUMIF($BH$3:$CE$3,"="&amp;$DF41+'Model Setup'!$D$7,$AD41:$BA41)+'Model Setup'!$D$8*(SUMIF($BH$3:$CE$3,"&lt;"&amp;$DF41,$AD41:$BA41)+SUMIF($BH$3:$CE$3,"&gt;"&amp;$CW$4,$AD41:$BA41)),
IF(CB$3=$DF41+'Model Setup'!$E$7,SUMIF($BH$3:$CE$3,"="&amp;$DF41+'Model Setup'!$E$7,$AD41:$BA41)+'Model Setup'!$E$8*(SUMIF($BH$3:$CE$3,"&lt;"&amp;$DF41,$AD41:$BA41)+SUMIF($BH$3:$CE$3,"&gt;"&amp;$CW$4,$AD41:$BA41)),
IF(CB$3=$DF41+'Model Setup'!$F$7,SUMIF($BH$3:$CE$3,"="&amp;$DF41+'Model Setup'!$F$7,$AD41:$BA41)+'Model Setup'!$F$8*(SUMIF($BH$3:$CE$3,"&lt;"&amp;$DF41,$AD41:$BA41)+SUMIF($BH$3:$CE$3,"&gt;"&amp;$CW$4,$AD41:$BA41)),
IF(CB$3=$DF41+'Model Setup'!$G$7,SUMIF($BH$3:$CE$3,"="&amp;$DF41+'Model Setup'!$G$7,$AD41:$BA41)+'Model Setup'!$G$8*(SUMIF($BH$3:$CE$3,"&lt;"&amp;$DF41,$AD41:$BA41)+SUMIF($BH$3:$CE$3,"&gt;"&amp;$CW$4,$AD41:$BA41)),
IF(CB$3=$DF41+'Model Setup'!$H$7,SUMIF($BH$3:$CE$3,"="&amp;$DF41+'Model Setup'!$H$7,$AD41:$BA41)+'Model Setup'!$H$8*(SUMIF($BH$3:$CE$3,"&lt;"&amp;$DF41,$AD41:$BA41)+SUMIF($BH$3:$CE$3,"&gt;"&amp;$CW$4,$AD41:$BA41)),
IF(CB$3=$DF41+'Model Setup'!$I$7,SUMIF($BH$3:$CE$3,"="&amp;$DF41+'Model Setup'!$I$7,$AD41:$BA41)+'Model Setup'!$I$8*(SUMIF($BH$3:$CE$3,"&lt;"&amp;$DF41,$AD41:$BA41)+SUMIF($BH$3:$CE$3,"&gt;"&amp;$CW$4,$AD41:$BA41)),
IF(CB$3=$DF41+'Model Setup'!$J$7,SUMIF($BH$3:$CE$3,"="&amp;$DF41+'Model Setup'!$J$7,$AD41:$BA41)+'Model Setup'!$J$8*(SUMIF($BH$3:$CE$3,"&lt;"&amp;$DF41,$AD41:$BA41)+SUMIF($BH$3:$CE$3,"&gt;"&amp;$CW$4,$AD41:$BA41)),
IF(CB$3=$DF41+'Model Setup'!$K$7,SUMIF($BH$3:$CE$3,"="&amp;$DF41+'Model Setup'!$K$7,$AD41:$BA41)+'Model Setup'!$K$8*(SUMIF($BH$3:$CE$3,"&lt;"&amp;$DF41,$AD41:$BA41)+SUMIF($BH$3:$CE$3,"&gt;"&amp;$CW$4,$AD41:$BA41)),
IF(CB$3=$DF41+'Model Setup'!$L$7,SUMIF($BH$3:$CE$3,"="&amp;$DF41+'Model Setup'!$L$7,$AD41:$BA41)+'Model Setup'!$L$8*(SUMIF($BH$3:$CE$3,"&lt;"&amp;$DF41,$AD41:$BA41)+SUMIF($BH$3:$CE$3,"&gt;"&amp;$CW$4,$AD41:$BA41)),
IF(CB$3=$DF41+'Model Setup'!$M$7,SUMIF($BH$3:$CE$3,"="&amp;$DF41+'Model Setup'!$M$7,$AD41:$BA41)+'Model Setup'!$M$8*(SUMIF($BH$3:$CE$3,"&lt;"&amp;$DF41,$AD41:$BA41)+SUMIF($BH$3:$CE$3,"&gt;"&amp;$CW$4,$AD41:$BA41)),
IF(CB$3=$DF41+'Model Setup'!$N$7,SUMIF($BH$3:$CE$3,"="&amp;$DF41+'Model Setup'!$N$7,$AD41:$BA41)+'Model Setup'!$N$8*(SUMIF($BH$3:$CE$3,"&lt;"&amp;$DF41,$AD41:$BA41)+SUMIF($BH$3:$CE$3,"&gt;"&amp;$CW$4,$AD41:$BA41)),
IF(CB$3&lt;$CW$4,V41,0))))))))))))))),0)</f>
        <v>0</v>
      </c>
      <c r="CC41" s="47">
        <f>ROUND(IF(OR(CC$3&lt;$DF41,CC$3&gt;$CW$4),0,
IF(CC$3=$DF41+'Model Setup'!$B$7,SUMIF($BH$3:$CE$3,"="&amp;$DF41+'Model Setup'!$B$7,$AD41:$BA41)+'Model Setup'!$B$8*(SUMIF($BH$3:$CE$3,"&lt;"&amp;$DF41,$AD41:$BA41)+SUMIF($BH$3:$CE$3,"&gt;"&amp;$CW$4,$AD41:$BA41)),
IF(CC$3=$DF41+'Model Setup'!$C$7,SUMIF($BH$3:$CE$3,"="&amp;$DF41+'Model Setup'!$C$7,$AD41:$BA41)+'Model Setup'!$C$8*(SUMIF($BH$3:$CE$3,"&lt;"&amp;$DF41,$AD41:$BA41)+SUMIF($BH$3:$CE$3,"&gt;"&amp;$CW$4,$AD41:$BA41)),
IF(CC$3=$DF41+'Model Setup'!$D$7,SUMIF($BH$3:$CE$3,"="&amp;$DF41+'Model Setup'!$D$7,$AD41:$BA41)+'Model Setup'!$D$8*(SUMIF($BH$3:$CE$3,"&lt;"&amp;$DF41,$AD41:$BA41)+SUMIF($BH$3:$CE$3,"&gt;"&amp;$CW$4,$AD41:$BA41)),
IF(CC$3=$DF41+'Model Setup'!$E$7,SUMIF($BH$3:$CE$3,"="&amp;$DF41+'Model Setup'!$E$7,$AD41:$BA41)+'Model Setup'!$E$8*(SUMIF($BH$3:$CE$3,"&lt;"&amp;$DF41,$AD41:$BA41)+SUMIF($BH$3:$CE$3,"&gt;"&amp;$CW$4,$AD41:$BA41)),
IF(CC$3=$DF41+'Model Setup'!$F$7,SUMIF($BH$3:$CE$3,"="&amp;$DF41+'Model Setup'!$F$7,$AD41:$BA41)+'Model Setup'!$F$8*(SUMIF($BH$3:$CE$3,"&lt;"&amp;$DF41,$AD41:$BA41)+SUMIF($BH$3:$CE$3,"&gt;"&amp;$CW$4,$AD41:$BA41)),
IF(CC$3=$DF41+'Model Setup'!$G$7,SUMIF($BH$3:$CE$3,"="&amp;$DF41+'Model Setup'!$G$7,$AD41:$BA41)+'Model Setup'!$G$8*(SUMIF($BH$3:$CE$3,"&lt;"&amp;$DF41,$AD41:$BA41)+SUMIF($BH$3:$CE$3,"&gt;"&amp;$CW$4,$AD41:$BA41)),
IF(CC$3=$DF41+'Model Setup'!$H$7,SUMIF($BH$3:$CE$3,"="&amp;$DF41+'Model Setup'!$H$7,$AD41:$BA41)+'Model Setup'!$H$8*(SUMIF($BH$3:$CE$3,"&lt;"&amp;$DF41,$AD41:$BA41)+SUMIF($BH$3:$CE$3,"&gt;"&amp;$CW$4,$AD41:$BA41)),
IF(CC$3=$DF41+'Model Setup'!$I$7,SUMIF($BH$3:$CE$3,"="&amp;$DF41+'Model Setup'!$I$7,$AD41:$BA41)+'Model Setup'!$I$8*(SUMIF($BH$3:$CE$3,"&lt;"&amp;$DF41,$AD41:$BA41)+SUMIF($BH$3:$CE$3,"&gt;"&amp;$CW$4,$AD41:$BA41)),
IF(CC$3=$DF41+'Model Setup'!$J$7,SUMIF($BH$3:$CE$3,"="&amp;$DF41+'Model Setup'!$J$7,$AD41:$BA41)+'Model Setup'!$J$8*(SUMIF($BH$3:$CE$3,"&lt;"&amp;$DF41,$AD41:$BA41)+SUMIF($BH$3:$CE$3,"&gt;"&amp;$CW$4,$AD41:$BA41)),
IF(CC$3=$DF41+'Model Setup'!$K$7,SUMIF($BH$3:$CE$3,"="&amp;$DF41+'Model Setup'!$K$7,$AD41:$BA41)+'Model Setup'!$K$8*(SUMIF($BH$3:$CE$3,"&lt;"&amp;$DF41,$AD41:$BA41)+SUMIF($BH$3:$CE$3,"&gt;"&amp;$CW$4,$AD41:$BA41)),
IF(CC$3=$DF41+'Model Setup'!$L$7,SUMIF($BH$3:$CE$3,"="&amp;$DF41+'Model Setup'!$L$7,$AD41:$BA41)+'Model Setup'!$L$8*(SUMIF($BH$3:$CE$3,"&lt;"&amp;$DF41,$AD41:$BA41)+SUMIF($BH$3:$CE$3,"&gt;"&amp;$CW$4,$AD41:$BA41)),
IF(CC$3=$DF41+'Model Setup'!$M$7,SUMIF($BH$3:$CE$3,"="&amp;$DF41+'Model Setup'!$M$7,$AD41:$BA41)+'Model Setup'!$M$8*(SUMIF($BH$3:$CE$3,"&lt;"&amp;$DF41,$AD41:$BA41)+SUMIF($BH$3:$CE$3,"&gt;"&amp;$CW$4,$AD41:$BA41)),
IF(CC$3=$DF41+'Model Setup'!$N$7,SUMIF($BH$3:$CE$3,"="&amp;$DF41+'Model Setup'!$N$7,$AD41:$BA41)+'Model Setup'!$N$8*(SUMIF($BH$3:$CE$3,"&lt;"&amp;$DF41,$AD41:$BA41)+SUMIF($BH$3:$CE$3,"&gt;"&amp;$CW$4,$AD41:$BA41)),
IF(CC$3&lt;$CW$4,W41,0))))))))))))))),0)</f>
        <v>0</v>
      </c>
      <c r="CD41" s="47">
        <f>ROUND(IF(OR(CD$3&lt;$DF41,CD$3&gt;$CW$4),0,
IF(CD$3=$DF41+'Model Setup'!$B$7,SUMIF($BH$3:$CE$3,"="&amp;$DF41+'Model Setup'!$B$7,$AD41:$BA41)+'Model Setup'!$B$8*(SUMIF($BH$3:$CE$3,"&lt;"&amp;$DF41,$AD41:$BA41)+SUMIF($BH$3:$CE$3,"&gt;"&amp;$CW$4,$AD41:$BA41)),
IF(CD$3=$DF41+'Model Setup'!$C$7,SUMIF($BH$3:$CE$3,"="&amp;$DF41+'Model Setup'!$C$7,$AD41:$BA41)+'Model Setup'!$C$8*(SUMIF($BH$3:$CE$3,"&lt;"&amp;$DF41,$AD41:$BA41)+SUMIF($BH$3:$CE$3,"&gt;"&amp;$CW$4,$AD41:$BA41)),
IF(CD$3=$DF41+'Model Setup'!$D$7,SUMIF($BH$3:$CE$3,"="&amp;$DF41+'Model Setup'!$D$7,$AD41:$BA41)+'Model Setup'!$D$8*(SUMIF($BH$3:$CE$3,"&lt;"&amp;$DF41,$AD41:$BA41)+SUMIF($BH$3:$CE$3,"&gt;"&amp;$CW$4,$AD41:$BA41)),
IF(CD$3=$DF41+'Model Setup'!$E$7,SUMIF($BH$3:$CE$3,"="&amp;$DF41+'Model Setup'!$E$7,$AD41:$BA41)+'Model Setup'!$E$8*(SUMIF($BH$3:$CE$3,"&lt;"&amp;$DF41,$AD41:$BA41)+SUMIF($BH$3:$CE$3,"&gt;"&amp;$CW$4,$AD41:$BA41)),
IF(CD$3=$DF41+'Model Setup'!$F$7,SUMIF($BH$3:$CE$3,"="&amp;$DF41+'Model Setup'!$F$7,$AD41:$BA41)+'Model Setup'!$F$8*(SUMIF($BH$3:$CE$3,"&lt;"&amp;$DF41,$AD41:$BA41)+SUMIF($BH$3:$CE$3,"&gt;"&amp;$CW$4,$AD41:$BA41)),
IF(CD$3=$DF41+'Model Setup'!$G$7,SUMIF($BH$3:$CE$3,"="&amp;$DF41+'Model Setup'!$G$7,$AD41:$BA41)+'Model Setup'!$G$8*(SUMIF($BH$3:$CE$3,"&lt;"&amp;$DF41,$AD41:$BA41)+SUMIF($BH$3:$CE$3,"&gt;"&amp;$CW$4,$AD41:$BA41)),
IF(CD$3=$DF41+'Model Setup'!$H$7,SUMIF($BH$3:$CE$3,"="&amp;$DF41+'Model Setup'!$H$7,$AD41:$BA41)+'Model Setup'!$H$8*(SUMIF($BH$3:$CE$3,"&lt;"&amp;$DF41,$AD41:$BA41)+SUMIF($BH$3:$CE$3,"&gt;"&amp;$CW$4,$AD41:$BA41)),
IF(CD$3=$DF41+'Model Setup'!$I$7,SUMIF($BH$3:$CE$3,"="&amp;$DF41+'Model Setup'!$I$7,$AD41:$BA41)+'Model Setup'!$I$8*(SUMIF($BH$3:$CE$3,"&lt;"&amp;$DF41,$AD41:$BA41)+SUMIF($BH$3:$CE$3,"&gt;"&amp;$CW$4,$AD41:$BA41)),
IF(CD$3=$DF41+'Model Setup'!$J$7,SUMIF($BH$3:$CE$3,"="&amp;$DF41+'Model Setup'!$J$7,$AD41:$BA41)+'Model Setup'!$J$8*(SUMIF($BH$3:$CE$3,"&lt;"&amp;$DF41,$AD41:$BA41)+SUMIF($BH$3:$CE$3,"&gt;"&amp;$CW$4,$AD41:$BA41)),
IF(CD$3=$DF41+'Model Setup'!$K$7,SUMIF($BH$3:$CE$3,"="&amp;$DF41+'Model Setup'!$K$7,$AD41:$BA41)+'Model Setup'!$K$8*(SUMIF($BH$3:$CE$3,"&lt;"&amp;$DF41,$AD41:$BA41)+SUMIF($BH$3:$CE$3,"&gt;"&amp;$CW$4,$AD41:$BA41)),
IF(CD$3=$DF41+'Model Setup'!$L$7,SUMIF($BH$3:$CE$3,"="&amp;$DF41+'Model Setup'!$L$7,$AD41:$BA41)+'Model Setup'!$L$8*(SUMIF($BH$3:$CE$3,"&lt;"&amp;$DF41,$AD41:$BA41)+SUMIF($BH$3:$CE$3,"&gt;"&amp;$CW$4,$AD41:$BA41)),
IF(CD$3=$DF41+'Model Setup'!$M$7,SUMIF($BH$3:$CE$3,"="&amp;$DF41+'Model Setup'!$M$7,$AD41:$BA41)+'Model Setup'!$M$8*(SUMIF($BH$3:$CE$3,"&lt;"&amp;$DF41,$AD41:$BA41)+SUMIF($BH$3:$CE$3,"&gt;"&amp;$CW$4,$AD41:$BA41)),
IF(CD$3=$DF41+'Model Setup'!$N$7,SUMIF($BH$3:$CE$3,"="&amp;$DF41+'Model Setup'!$N$7,$AD41:$BA41)+'Model Setup'!$N$8*(SUMIF($BH$3:$CE$3,"&lt;"&amp;$DF41,$AD41:$BA41)+SUMIF($BH$3:$CE$3,"&gt;"&amp;$CW$4,$AD41:$BA41)),
IF(CD$3&lt;$CW$4,X41,0))))))))))))))),0)</f>
        <v>0</v>
      </c>
      <c r="CE41" s="47">
        <f>ROUND(IF(OR(CE$3&lt;$DF41,CE$3&gt;$CW$4),0,
IF(CE$3=$DF41+'Model Setup'!$B$7,SUMIF($BH$3:$CE$3,"="&amp;$DF41+'Model Setup'!$B$7,$AD41:$BA41)+'Model Setup'!$B$8*(SUMIF($BH$3:$CE$3,"&lt;"&amp;$DF41,$AD41:$BA41)+SUMIF($BH$3:$CE$3,"&gt;"&amp;$CW$4,$AD41:$BA41)),
IF(CE$3=$DF41+'Model Setup'!$C$7,SUMIF($BH$3:$CE$3,"="&amp;$DF41+'Model Setup'!$C$7,$AD41:$BA41)+'Model Setup'!$C$8*(SUMIF($BH$3:$CE$3,"&lt;"&amp;$DF41,$AD41:$BA41)+SUMIF($BH$3:$CE$3,"&gt;"&amp;$CW$4,$AD41:$BA41)),
IF(CE$3=$DF41+'Model Setup'!$D$7,SUMIF($BH$3:$CE$3,"="&amp;$DF41+'Model Setup'!$D$7,$AD41:$BA41)+'Model Setup'!$D$8*(SUMIF($BH$3:$CE$3,"&lt;"&amp;$DF41,$AD41:$BA41)+SUMIF($BH$3:$CE$3,"&gt;"&amp;$CW$4,$AD41:$BA41)),
IF(CE$3=$DF41+'Model Setup'!$E$7,SUMIF($BH$3:$CE$3,"="&amp;$DF41+'Model Setup'!$E$7,$AD41:$BA41)+'Model Setup'!$E$8*(SUMIF($BH$3:$CE$3,"&lt;"&amp;$DF41,$AD41:$BA41)+SUMIF($BH$3:$CE$3,"&gt;"&amp;$CW$4,$AD41:$BA41)),
IF(CE$3=$DF41+'Model Setup'!$F$7,SUMIF($BH$3:$CE$3,"="&amp;$DF41+'Model Setup'!$F$7,$AD41:$BA41)+'Model Setup'!$F$8*(SUMIF($BH$3:$CE$3,"&lt;"&amp;$DF41,$AD41:$BA41)+SUMIF($BH$3:$CE$3,"&gt;"&amp;$CW$4,$AD41:$BA41)),
IF(CE$3=$DF41+'Model Setup'!$G$7,SUMIF($BH$3:$CE$3,"="&amp;$DF41+'Model Setup'!$G$7,$AD41:$BA41)+'Model Setup'!$G$8*(SUMIF($BH$3:$CE$3,"&lt;"&amp;$DF41,$AD41:$BA41)+SUMIF($BH$3:$CE$3,"&gt;"&amp;$CW$4,$AD41:$BA41)),
IF(CE$3=$DF41+'Model Setup'!$H$7,SUMIF($BH$3:$CE$3,"="&amp;$DF41+'Model Setup'!$H$7,$AD41:$BA41)+'Model Setup'!$H$8*(SUMIF($BH$3:$CE$3,"&lt;"&amp;$DF41,$AD41:$BA41)+SUMIF($BH$3:$CE$3,"&gt;"&amp;$CW$4,$AD41:$BA41)),
IF(CE$3=$DF41+'Model Setup'!$I$7,SUMIF($BH$3:$CE$3,"="&amp;$DF41+'Model Setup'!$I$7,$AD41:$BA41)+'Model Setup'!$I$8*(SUMIF($BH$3:$CE$3,"&lt;"&amp;$DF41,$AD41:$BA41)+SUMIF($BH$3:$CE$3,"&gt;"&amp;$CW$4,$AD41:$BA41)),
IF(CE$3=$DF41+'Model Setup'!$J$7,SUMIF($BH$3:$CE$3,"="&amp;$DF41+'Model Setup'!$J$7,$AD41:$BA41)+'Model Setup'!$J$8*(SUMIF($BH$3:$CE$3,"&lt;"&amp;$DF41,$AD41:$BA41)+SUMIF($BH$3:$CE$3,"&gt;"&amp;$CW$4,$AD41:$BA41)),
IF(CE$3=$DF41+'Model Setup'!$K$7,SUMIF($BH$3:$CE$3,"="&amp;$DF41+'Model Setup'!$K$7,$AD41:$BA41)+'Model Setup'!$K$8*(SUMIF($BH$3:$CE$3,"&lt;"&amp;$DF41,$AD41:$BA41)+SUMIF($BH$3:$CE$3,"&gt;"&amp;$CW$4,$AD41:$BA41)),
IF(CE$3=$DF41+'Model Setup'!$L$7,SUMIF($BH$3:$CE$3,"="&amp;$DF41+'Model Setup'!$L$7,$AD41:$BA41)+'Model Setup'!$L$8*(SUMIF($BH$3:$CE$3,"&lt;"&amp;$DF41,$AD41:$BA41)+SUMIF($BH$3:$CE$3,"&gt;"&amp;$CW$4,$AD41:$BA41)),
IF(CE$3=$DF41+'Model Setup'!$M$7,SUMIF($BH$3:$CE$3,"="&amp;$DF41+'Model Setup'!$M$7,$AD41:$BA41)+'Model Setup'!$M$8*(SUMIF($BH$3:$CE$3,"&lt;"&amp;$DF41,$AD41:$BA41)+SUMIF($BH$3:$CE$3,"&gt;"&amp;$CW$4,$AD41:$BA41)),
IF(CE$3=$DF41+'Model Setup'!$N$7,SUMIF($BH$3:$CE$3,"="&amp;$DF41+'Model Setup'!$N$7,$AD41:$BA41)+'Model Setup'!$N$8*(SUMIF($BH$3:$CE$3,"&lt;"&amp;$DF41,$AD41:$BA41)+SUMIF($BH$3:$CE$3,"&gt;"&amp;$CW$4,$AD41:$BA41)),
IF(CE$3&lt;$CW$4,Y41,0))))))))))))))),0)</f>
        <v>0</v>
      </c>
      <c r="CF41" s="47">
        <f t="shared" si="3"/>
        <v>335</v>
      </c>
      <c r="CG41" s="47">
        <f t="shared" si="4"/>
        <v>-7</v>
      </c>
      <c r="CI41" s="10" t="s">
        <v>56</v>
      </c>
      <c r="CJ41" s="126">
        <f t="shared" si="9"/>
        <v>0</v>
      </c>
      <c r="CK41" s="126">
        <f t="shared" si="10"/>
        <v>0</v>
      </c>
      <c r="CL41" s="126">
        <f t="shared" si="11"/>
        <v>43</v>
      </c>
      <c r="CM41" s="126">
        <f t="shared" si="12"/>
        <v>31</v>
      </c>
      <c r="CN41" s="126">
        <f t="shared" si="13"/>
        <v>43</v>
      </c>
      <c r="CO41" s="126">
        <f t="shared" si="14"/>
        <v>43</v>
      </c>
      <c r="CP41" s="126">
        <f t="shared" si="15"/>
        <v>30</v>
      </c>
      <c r="CQ41" s="126">
        <f t="shared" si="16"/>
        <v>23</v>
      </c>
      <c r="CR41" s="126">
        <f t="shared" si="17"/>
        <v>15</v>
      </c>
      <c r="CS41" s="126">
        <f t="shared" si="18"/>
        <v>13</v>
      </c>
      <c r="CT41" s="126">
        <f t="shared" si="19"/>
        <v>8</v>
      </c>
      <c r="CU41" s="126">
        <f t="shared" si="20"/>
        <v>6</v>
      </c>
      <c r="CV41" s="126">
        <f t="shared" si="21"/>
        <v>31</v>
      </c>
      <c r="CW41" s="126">
        <f t="shared" si="22"/>
        <v>32</v>
      </c>
      <c r="CX41" s="126">
        <f t="shared" si="23"/>
        <v>24</v>
      </c>
      <c r="CY41" s="126">
        <f t="shared" si="24"/>
        <v>0</v>
      </c>
      <c r="CZ41" s="47">
        <f t="shared" si="7"/>
        <v>318</v>
      </c>
      <c r="DC41" s="93" t="s">
        <v>56</v>
      </c>
      <c r="DD41" s="89">
        <f>FTC!E39</f>
        <v>0.29166666666666669</v>
      </c>
      <c r="DE41" s="89">
        <f>FTC!F39</f>
        <v>0.79166666666666663</v>
      </c>
      <c r="DF41" s="90">
        <f t="shared" si="25"/>
        <v>7</v>
      </c>
      <c r="DG41" s="91">
        <f t="shared" si="26"/>
        <v>19</v>
      </c>
      <c r="DH41" s="91">
        <f t="shared" si="27"/>
        <v>12</v>
      </c>
    </row>
    <row r="42" spans="1:112" x14ac:dyDescent="0.35">
      <c r="A42" s="43" t="s">
        <v>57</v>
      </c>
      <c r="B42" s="47">
        <v>3</v>
      </c>
      <c r="C42" s="47">
        <v>1</v>
      </c>
      <c r="D42" s="47">
        <v>1</v>
      </c>
      <c r="E42" s="47">
        <v>2</v>
      </c>
      <c r="F42" s="47">
        <v>4</v>
      </c>
      <c r="G42" s="47">
        <v>6</v>
      </c>
      <c r="H42" s="47">
        <v>42</v>
      </c>
      <c r="I42" s="47">
        <v>56</v>
      </c>
      <c r="J42" s="47">
        <v>77</v>
      </c>
      <c r="K42" s="47">
        <v>76</v>
      </c>
      <c r="L42" s="47">
        <v>74</v>
      </c>
      <c r="M42" s="47">
        <v>65</v>
      </c>
      <c r="N42" s="47">
        <v>42</v>
      </c>
      <c r="O42" s="47">
        <v>52</v>
      </c>
      <c r="P42" s="47">
        <v>47</v>
      </c>
      <c r="Q42" s="47">
        <v>29</v>
      </c>
      <c r="R42" s="47">
        <v>21</v>
      </c>
      <c r="S42" s="47">
        <v>16</v>
      </c>
      <c r="T42" s="47">
        <v>12</v>
      </c>
      <c r="U42" s="47">
        <v>13</v>
      </c>
      <c r="V42" s="47">
        <v>9</v>
      </c>
      <c r="W42" s="47">
        <v>13</v>
      </c>
      <c r="X42" s="47">
        <v>8</v>
      </c>
      <c r="Y42" s="47">
        <v>5</v>
      </c>
      <c r="Z42" s="47">
        <f t="shared" si="0"/>
        <v>674</v>
      </c>
      <c r="AC42" s="43" t="s">
        <v>57</v>
      </c>
      <c r="AD42" s="47">
        <f>ROUND(IF(AD$3&lt;$DF42,0,
IF(AD$3=$DF42+'Model Setup'!$B$7,SUMIF($AD$3:$BA$3,"="&amp;$DF42+'Model Setup'!$B$7,$B42:$Y42)+'Model Setup'!$B$8*(SUMIF($AD$3:$BA$3,"&lt;"&amp;$DF42,$B42:$Y42)+SUMIF($AD$3:$BA$3,"&gt;="&amp;$DG42,$B42:$Y42)),
IF(AD$3=$DF42+'Model Setup'!$C$7,SUMIF($AD$3:$BA$3,"="&amp;$DF42+'Model Setup'!$C$7,$B42:$Y42)+'Model Setup'!$C$8*(SUMIF($AD$3:$BA$3,"&lt;"&amp;$DF42,$B42:$Y42)+SUMIF($AD$3:$BA$3,"&gt;="&amp;$DG42,$B42:$Y42)),
IF(AD$3=$DF42+'Model Setup'!$D$7,SUMIF($AD$3:$BA$3,"="&amp;$DF42+'Model Setup'!$D$7,$B42:$Y42)+'Model Setup'!$D$8*(SUMIF($AD$3:$BA$3,"&lt;"&amp;$DF42,$B42:$Y42)+SUMIF($AD$3:$BA$3,"&gt;="&amp;$DG42,$B42:$Y42)),
IF(AD$3=$DF42+'Model Setup'!$E$7,SUMIF($AD$3:$BA$3,"="&amp;$DF42+'Model Setup'!$E$7,$B42:$Y42)+'Model Setup'!$E$8*(SUMIF($AD$3:$BA$3,"&lt;"&amp;$DF42,$B42:$Y42)+SUMIF($AD$3:$BA$3,"&gt;="&amp;$DG42,$B42:$Y42)),
IF(AD$3=$DF42+'Model Setup'!$F$7,SUMIF($AD$3:$BA$3,"="&amp;$DF42+'Model Setup'!$F$7,$B42:$Y42)+'Model Setup'!$F$8*(SUMIF($AD$3:$BA$3,"&lt;"&amp;$DF42,$B42:$Y42)+SUMIF($AD$3:$BA$3,"&gt;="&amp;$DG42,$B42:$Y42)),
IF(AD$3=$DF42+'Model Setup'!$G$7,SUMIF($AD$3:$BA$3,"="&amp;$DF42+'Model Setup'!$G$7,$B42:$Y42)+'Model Setup'!$G$8*(SUMIF($AD$3:$BA$3,"&lt;"&amp;$DF42,$B42:$Y42)+SUMIF($AD$3:$BA$3,"&gt;="&amp;$DG42,$B42:$Y42)),
IF(AD$3=$DF42+'Model Setup'!$H$7,SUMIF($AD$3:$BA$3,"="&amp;$DF42+'Model Setup'!$H$7,$B42:$Y42)+'Model Setup'!$H$8*(SUMIF($AD$3:$BA$3,"&lt;"&amp;$DF42,$B42:$Y42)+SUMIF($AD$3:$BA$3,"&gt;="&amp;$DG42,$B42:$Y42)),
IF(AD$3=$DF42+'Model Setup'!$I$7,SUMIF($AD$3:$BA$3,"="&amp;$DF42+'Model Setup'!$I$7,$B42:$Y42)+'Model Setup'!$I$8*(SUMIF($AD$3:$BA$3,"&lt;"&amp;$DF42,$B42:$Y42)+SUMIF($AD$3:$BA$3,"&gt;="&amp;$DG42,$B42:$Y42)),
IF(AD$3=$DF42+'Model Setup'!$J$7,SUMIF($AD$3:$BA$3,"="&amp;$DF42+'Model Setup'!$J$7,$B42:$Y42)+'Model Setup'!$J$8*(SUMIF($AD$3:$BA$3,"&lt;"&amp;$DF42,$B42:$Y42)+SUMIF($AD$3:$BA$3,"&gt;="&amp;$DG42,$B42:$Y42)),
IF(AD$3=$DF42+'Model Setup'!$K$7,SUMIF($AD$3:$BA$3,"="&amp;$DF42+'Model Setup'!$K$7,$B42:$Y42)+'Model Setup'!$K$8*(SUMIF($AD$3:$BA$3,"&lt;"&amp;$DF42,$B42:$Y42)+SUMIF($AD$3:$BA$3,"&gt;="&amp;$DG42,$B42:$Y42)),
IF(AD$3=$DF42+'Model Setup'!$L$7,SUMIF($AD$3:$BA$3,"="&amp;$DF42+'Model Setup'!$L$7,$B42:$Y42)+'Model Setup'!$L$8*(SUMIF($AD$3:$BA$3,"&lt;"&amp;$DF42,$B42:$Y42)+SUMIF($AD$3:$BA$3,"&gt;="&amp;$DG42,$B42:$Y42)),
IF(AD$3=$DF42+'Model Setup'!$M$7,SUMIF($AD$3:$BA$3,"="&amp;$DF42+'Model Setup'!$M$7,$B42:$Y42)+'Model Setup'!$M$8*(SUMIF($AD$3:$BA$3,"&lt;"&amp;$DF42,$B42:$Y42)+SUMIF($AD$3:$BA$3,"&gt;="&amp;$DG42,$B42:$Y42)),
IF(AD$3=$DF42+'Model Setup'!$N$7,SUMIF($AD$3:$BA$3,"="&amp;$DF42+'Model Setup'!$N$7,$B42:$Y42)+'Model Setup'!$N$8*(SUMIF($AD$3:$BA$3,"&lt;"&amp;$DF42,$B42:$Y42)+SUMIF($AD$3:$BA$3,"&gt;="&amp;$DG42,$B42:$Y42)),
IF(AD$3&lt;$DG42,B42,0))))))))))))))),0)</f>
        <v>0</v>
      </c>
      <c r="AE42" s="47">
        <f>ROUND(IF(AE$3&lt;$DF42,0,
IF(AE$3=$DF42+'Model Setup'!$B$7,SUMIF($AD$3:$BA$3,"="&amp;$DF42+'Model Setup'!$B$7,$B42:$Y42)+'Model Setup'!$B$8*(SUMIF($AD$3:$BA$3,"&lt;"&amp;$DF42,$B42:$Y42)+SUMIF($AD$3:$BA$3,"&gt;="&amp;$DG42,$B42:$Y42)),
IF(AE$3=$DF42+'Model Setup'!$C$7,SUMIF($AD$3:$BA$3,"="&amp;$DF42+'Model Setup'!$C$7,$B42:$Y42)+'Model Setup'!$C$8*(SUMIF($AD$3:$BA$3,"&lt;"&amp;$DF42,$B42:$Y42)+SUMIF($AD$3:$BA$3,"&gt;="&amp;$DG42,$B42:$Y42)),
IF(AE$3=$DF42+'Model Setup'!$D$7,SUMIF($AD$3:$BA$3,"="&amp;$DF42+'Model Setup'!$D$7,$B42:$Y42)+'Model Setup'!$D$8*(SUMIF($AD$3:$BA$3,"&lt;"&amp;$DF42,$B42:$Y42)+SUMIF($AD$3:$BA$3,"&gt;="&amp;$DG42,$B42:$Y42)),
IF(AE$3=$DF42+'Model Setup'!$E$7,SUMIF($AD$3:$BA$3,"="&amp;$DF42+'Model Setup'!$E$7,$B42:$Y42)+'Model Setup'!$E$8*(SUMIF($AD$3:$BA$3,"&lt;"&amp;$DF42,$B42:$Y42)+SUMIF($AD$3:$BA$3,"&gt;="&amp;$DG42,$B42:$Y42)),
IF(AE$3=$DF42+'Model Setup'!$F$7,SUMIF($AD$3:$BA$3,"="&amp;$DF42+'Model Setup'!$F$7,$B42:$Y42)+'Model Setup'!$F$8*(SUMIF($AD$3:$BA$3,"&lt;"&amp;$DF42,$B42:$Y42)+SUMIF($AD$3:$BA$3,"&gt;="&amp;$DG42,$B42:$Y42)),
IF(AE$3=$DF42+'Model Setup'!$G$7,SUMIF($AD$3:$BA$3,"="&amp;$DF42+'Model Setup'!$G$7,$B42:$Y42)+'Model Setup'!$G$8*(SUMIF($AD$3:$BA$3,"&lt;"&amp;$DF42,$B42:$Y42)+SUMIF($AD$3:$BA$3,"&gt;="&amp;$DG42,$B42:$Y42)),
IF(AE$3=$DF42+'Model Setup'!$H$7,SUMIF($AD$3:$BA$3,"="&amp;$DF42+'Model Setup'!$H$7,$B42:$Y42)+'Model Setup'!$H$8*(SUMIF($AD$3:$BA$3,"&lt;"&amp;$DF42,$B42:$Y42)+SUMIF($AD$3:$BA$3,"&gt;="&amp;$DG42,$B42:$Y42)),
IF(AE$3=$DF42+'Model Setup'!$I$7,SUMIF($AD$3:$BA$3,"="&amp;$DF42+'Model Setup'!$I$7,$B42:$Y42)+'Model Setup'!$I$8*(SUMIF($AD$3:$BA$3,"&lt;"&amp;$DF42,$B42:$Y42)+SUMIF($AD$3:$BA$3,"&gt;="&amp;$DG42,$B42:$Y42)),
IF(AE$3=$DF42+'Model Setup'!$J$7,SUMIF($AD$3:$BA$3,"="&amp;$DF42+'Model Setup'!$J$7,$B42:$Y42)+'Model Setup'!$J$8*(SUMIF($AD$3:$BA$3,"&lt;"&amp;$DF42,$B42:$Y42)+SUMIF($AD$3:$BA$3,"&gt;="&amp;$DG42,$B42:$Y42)),
IF(AE$3=$DF42+'Model Setup'!$K$7,SUMIF($AD$3:$BA$3,"="&amp;$DF42+'Model Setup'!$K$7,$B42:$Y42)+'Model Setup'!$K$8*(SUMIF($AD$3:$BA$3,"&lt;"&amp;$DF42,$B42:$Y42)+SUMIF($AD$3:$BA$3,"&gt;="&amp;$DG42,$B42:$Y42)),
IF(AE$3=$DF42+'Model Setup'!$L$7,SUMIF($AD$3:$BA$3,"="&amp;$DF42+'Model Setup'!$L$7,$B42:$Y42)+'Model Setup'!$L$8*(SUMIF($AD$3:$BA$3,"&lt;"&amp;$DF42,$B42:$Y42)+SUMIF($AD$3:$BA$3,"&gt;="&amp;$DG42,$B42:$Y42)),
IF(AE$3=$DF42+'Model Setup'!$M$7,SUMIF($AD$3:$BA$3,"="&amp;$DF42+'Model Setup'!$M$7,$B42:$Y42)+'Model Setup'!$M$8*(SUMIF($AD$3:$BA$3,"&lt;"&amp;$DF42,$B42:$Y42)+SUMIF($AD$3:$BA$3,"&gt;="&amp;$DG42,$B42:$Y42)),
IF(AE$3=$DF42+'Model Setup'!$N$7,SUMIF($AD$3:$BA$3,"="&amp;$DF42+'Model Setup'!$N$7,$B42:$Y42)+'Model Setup'!$N$8*(SUMIF($AD$3:$BA$3,"&lt;"&amp;$DF42,$B42:$Y42)+SUMIF($AD$3:$BA$3,"&gt;="&amp;$DG42,$B42:$Y42)),
IF(AE$3&lt;$DG42,C42,0))))))))))))))),0)</f>
        <v>0</v>
      </c>
      <c r="AF42" s="47">
        <f>ROUND(IF(AF$3&lt;$DF42,0,
IF(AF$3=$DF42+'Model Setup'!$B$7,SUMIF($AD$3:$BA$3,"="&amp;$DF42+'Model Setup'!$B$7,$B42:$Y42)+'Model Setup'!$B$8*(SUMIF($AD$3:$BA$3,"&lt;"&amp;$DF42,$B42:$Y42)+SUMIF($AD$3:$BA$3,"&gt;="&amp;$DG42,$B42:$Y42)),
IF(AF$3=$DF42+'Model Setup'!$C$7,SUMIF($AD$3:$BA$3,"="&amp;$DF42+'Model Setup'!$C$7,$B42:$Y42)+'Model Setup'!$C$8*(SUMIF($AD$3:$BA$3,"&lt;"&amp;$DF42,$B42:$Y42)+SUMIF($AD$3:$BA$3,"&gt;="&amp;$DG42,$B42:$Y42)),
IF(AF$3=$DF42+'Model Setup'!$D$7,SUMIF($AD$3:$BA$3,"="&amp;$DF42+'Model Setup'!$D$7,$B42:$Y42)+'Model Setup'!$D$8*(SUMIF($AD$3:$BA$3,"&lt;"&amp;$DF42,$B42:$Y42)+SUMIF($AD$3:$BA$3,"&gt;="&amp;$DG42,$B42:$Y42)),
IF(AF$3=$DF42+'Model Setup'!$E$7,SUMIF($AD$3:$BA$3,"="&amp;$DF42+'Model Setup'!$E$7,$B42:$Y42)+'Model Setup'!$E$8*(SUMIF($AD$3:$BA$3,"&lt;"&amp;$DF42,$B42:$Y42)+SUMIF($AD$3:$BA$3,"&gt;="&amp;$DG42,$B42:$Y42)),
IF(AF$3=$DF42+'Model Setup'!$F$7,SUMIF($AD$3:$BA$3,"="&amp;$DF42+'Model Setup'!$F$7,$B42:$Y42)+'Model Setup'!$F$8*(SUMIF($AD$3:$BA$3,"&lt;"&amp;$DF42,$B42:$Y42)+SUMIF($AD$3:$BA$3,"&gt;="&amp;$DG42,$B42:$Y42)),
IF(AF$3=$DF42+'Model Setup'!$G$7,SUMIF($AD$3:$BA$3,"="&amp;$DF42+'Model Setup'!$G$7,$B42:$Y42)+'Model Setup'!$G$8*(SUMIF($AD$3:$BA$3,"&lt;"&amp;$DF42,$B42:$Y42)+SUMIF($AD$3:$BA$3,"&gt;="&amp;$DG42,$B42:$Y42)),
IF(AF$3=$DF42+'Model Setup'!$H$7,SUMIF($AD$3:$BA$3,"="&amp;$DF42+'Model Setup'!$H$7,$B42:$Y42)+'Model Setup'!$H$8*(SUMIF($AD$3:$BA$3,"&lt;"&amp;$DF42,$B42:$Y42)+SUMIF($AD$3:$BA$3,"&gt;="&amp;$DG42,$B42:$Y42)),
IF(AF$3=$DF42+'Model Setup'!$I$7,SUMIF($AD$3:$BA$3,"="&amp;$DF42+'Model Setup'!$I$7,$B42:$Y42)+'Model Setup'!$I$8*(SUMIF($AD$3:$BA$3,"&lt;"&amp;$DF42,$B42:$Y42)+SUMIF($AD$3:$BA$3,"&gt;="&amp;$DG42,$B42:$Y42)),
IF(AF$3=$DF42+'Model Setup'!$J$7,SUMIF($AD$3:$BA$3,"="&amp;$DF42+'Model Setup'!$J$7,$B42:$Y42)+'Model Setup'!$J$8*(SUMIF($AD$3:$BA$3,"&lt;"&amp;$DF42,$B42:$Y42)+SUMIF($AD$3:$BA$3,"&gt;="&amp;$DG42,$B42:$Y42)),
IF(AF$3=$DF42+'Model Setup'!$K$7,SUMIF($AD$3:$BA$3,"="&amp;$DF42+'Model Setup'!$K$7,$B42:$Y42)+'Model Setup'!$K$8*(SUMIF($AD$3:$BA$3,"&lt;"&amp;$DF42,$B42:$Y42)+SUMIF($AD$3:$BA$3,"&gt;="&amp;$DG42,$B42:$Y42)),
IF(AF$3=$DF42+'Model Setup'!$L$7,SUMIF($AD$3:$BA$3,"="&amp;$DF42+'Model Setup'!$L$7,$B42:$Y42)+'Model Setup'!$L$8*(SUMIF($AD$3:$BA$3,"&lt;"&amp;$DF42,$B42:$Y42)+SUMIF($AD$3:$BA$3,"&gt;="&amp;$DG42,$B42:$Y42)),
IF(AF$3=$DF42+'Model Setup'!$M$7,SUMIF($AD$3:$BA$3,"="&amp;$DF42+'Model Setup'!$M$7,$B42:$Y42)+'Model Setup'!$M$8*(SUMIF($AD$3:$BA$3,"&lt;"&amp;$DF42,$B42:$Y42)+SUMIF($AD$3:$BA$3,"&gt;="&amp;$DG42,$B42:$Y42)),
IF(AF$3=$DF42+'Model Setup'!$N$7,SUMIF($AD$3:$BA$3,"="&amp;$DF42+'Model Setup'!$N$7,$B42:$Y42)+'Model Setup'!$N$8*(SUMIF($AD$3:$BA$3,"&lt;"&amp;$DF42,$B42:$Y42)+SUMIF($AD$3:$BA$3,"&gt;="&amp;$DG42,$B42:$Y42)),
IF(AF$3&lt;$DG42,D42,0))))))))))))))),0)</f>
        <v>0</v>
      </c>
      <c r="AG42" s="47">
        <f>ROUND(IF(AG$3&lt;$DF42,0,
IF(AG$3=$DF42+'Model Setup'!$B$7,SUMIF($AD$3:$BA$3,"="&amp;$DF42+'Model Setup'!$B$7,$B42:$Y42)+'Model Setup'!$B$8*(SUMIF($AD$3:$BA$3,"&lt;"&amp;$DF42,$B42:$Y42)+SUMIF($AD$3:$BA$3,"&gt;="&amp;$DG42,$B42:$Y42)),
IF(AG$3=$DF42+'Model Setup'!$C$7,SUMIF($AD$3:$BA$3,"="&amp;$DF42+'Model Setup'!$C$7,$B42:$Y42)+'Model Setup'!$C$8*(SUMIF($AD$3:$BA$3,"&lt;"&amp;$DF42,$B42:$Y42)+SUMIF($AD$3:$BA$3,"&gt;="&amp;$DG42,$B42:$Y42)),
IF(AG$3=$DF42+'Model Setup'!$D$7,SUMIF($AD$3:$BA$3,"="&amp;$DF42+'Model Setup'!$D$7,$B42:$Y42)+'Model Setup'!$D$8*(SUMIF($AD$3:$BA$3,"&lt;"&amp;$DF42,$B42:$Y42)+SUMIF($AD$3:$BA$3,"&gt;="&amp;$DG42,$B42:$Y42)),
IF(AG$3=$DF42+'Model Setup'!$E$7,SUMIF($AD$3:$BA$3,"="&amp;$DF42+'Model Setup'!$E$7,$B42:$Y42)+'Model Setup'!$E$8*(SUMIF($AD$3:$BA$3,"&lt;"&amp;$DF42,$B42:$Y42)+SUMIF($AD$3:$BA$3,"&gt;="&amp;$DG42,$B42:$Y42)),
IF(AG$3=$DF42+'Model Setup'!$F$7,SUMIF($AD$3:$BA$3,"="&amp;$DF42+'Model Setup'!$F$7,$B42:$Y42)+'Model Setup'!$F$8*(SUMIF($AD$3:$BA$3,"&lt;"&amp;$DF42,$B42:$Y42)+SUMIF($AD$3:$BA$3,"&gt;="&amp;$DG42,$B42:$Y42)),
IF(AG$3=$DF42+'Model Setup'!$G$7,SUMIF($AD$3:$BA$3,"="&amp;$DF42+'Model Setup'!$G$7,$B42:$Y42)+'Model Setup'!$G$8*(SUMIF($AD$3:$BA$3,"&lt;"&amp;$DF42,$B42:$Y42)+SUMIF($AD$3:$BA$3,"&gt;="&amp;$DG42,$B42:$Y42)),
IF(AG$3=$DF42+'Model Setup'!$H$7,SUMIF($AD$3:$BA$3,"="&amp;$DF42+'Model Setup'!$H$7,$B42:$Y42)+'Model Setup'!$H$8*(SUMIF($AD$3:$BA$3,"&lt;"&amp;$DF42,$B42:$Y42)+SUMIF($AD$3:$BA$3,"&gt;="&amp;$DG42,$B42:$Y42)),
IF(AG$3=$DF42+'Model Setup'!$I$7,SUMIF($AD$3:$BA$3,"="&amp;$DF42+'Model Setup'!$I$7,$B42:$Y42)+'Model Setup'!$I$8*(SUMIF($AD$3:$BA$3,"&lt;"&amp;$DF42,$B42:$Y42)+SUMIF($AD$3:$BA$3,"&gt;="&amp;$DG42,$B42:$Y42)),
IF(AG$3=$DF42+'Model Setup'!$J$7,SUMIF($AD$3:$BA$3,"="&amp;$DF42+'Model Setup'!$J$7,$B42:$Y42)+'Model Setup'!$J$8*(SUMIF($AD$3:$BA$3,"&lt;"&amp;$DF42,$B42:$Y42)+SUMIF($AD$3:$BA$3,"&gt;="&amp;$DG42,$B42:$Y42)),
IF(AG$3=$DF42+'Model Setup'!$K$7,SUMIF($AD$3:$BA$3,"="&amp;$DF42+'Model Setup'!$K$7,$B42:$Y42)+'Model Setup'!$K$8*(SUMIF($AD$3:$BA$3,"&lt;"&amp;$DF42,$B42:$Y42)+SUMIF($AD$3:$BA$3,"&gt;="&amp;$DG42,$B42:$Y42)),
IF(AG$3=$DF42+'Model Setup'!$L$7,SUMIF($AD$3:$BA$3,"="&amp;$DF42+'Model Setup'!$L$7,$B42:$Y42)+'Model Setup'!$L$8*(SUMIF($AD$3:$BA$3,"&lt;"&amp;$DF42,$B42:$Y42)+SUMIF($AD$3:$BA$3,"&gt;="&amp;$DG42,$B42:$Y42)),
IF(AG$3=$DF42+'Model Setup'!$M$7,SUMIF($AD$3:$BA$3,"="&amp;$DF42+'Model Setup'!$M$7,$B42:$Y42)+'Model Setup'!$M$8*(SUMIF($AD$3:$BA$3,"&lt;"&amp;$DF42,$B42:$Y42)+SUMIF($AD$3:$BA$3,"&gt;="&amp;$DG42,$B42:$Y42)),
IF(AG$3=$DF42+'Model Setup'!$N$7,SUMIF($AD$3:$BA$3,"="&amp;$DF42+'Model Setup'!$N$7,$B42:$Y42)+'Model Setup'!$N$8*(SUMIF($AD$3:$BA$3,"&lt;"&amp;$DF42,$B42:$Y42)+SUMIF($AD$3:$BA$3,"&gt;="&amp;$DG42,$B42:$Y42)),
IF(AG$3&lt;$DG42,E42,0))))))))))))))),0)</f>
        <v>0</v>
      </c>
      <c r="AH42" s="47">
        <f>ROUND(IF(AH$3&lt;$DF42,0,
IF(AH$3=$DF42+'Model Setup'!$B$7,SUMIF($AD$3:$BA$3,"="&amp;$DF42+'Model Setup'!$B$7,$B42:$Y42)+'Model Setup'!$B$8*(SUMIF($AD$3:$BA$3,"&lt;"&amp;$DF42,$B42:$Y42)+SUMIF($AD$3:$BA$3,"&gt;="&amp;$DG42,$B42:$Y42)),
IF(AH$3=$DF42+'Model Setup'!$C$7,SUMIF($AD$3:$BA$3,"="&amp;$DF42+'Model Setup'!$C$7,$B42:$Y42)+'Model Setup'!$C$8*(SUMIF($AD$3:$BA$3,"&lt;"&amp;$DF42,$B42:$Y42)+SUMIF($AD$3:$BA$3,"&gt;="&amp;$DG42,$B42:$Y42)),
IF(AH$3=$DF42+'Model Setup'!$D$7,SUMIF($AD$3:$BA$3,"="&amp;$DF42+'Model Setup'!$D$7,$B42:$Y42)+'Model Setup'!$D$8*(SUMIF($AD$3:$BA$3,"&lt;"&amp;$DF42,$B42:$Y42)+SUMIF($AD$3:$BA$3,"&gt;="&amp;$DG42,$B42:$Y42)),
IF(AH$3=$DF42+'Model Setup'!$E$7,SUMIF($AD$3:$BA$3,"="&amp;$DF42+'Model Setup'!$E$7,$B42:$Y42)+'Model Setup'!$E$8*(SUMIF($AD$3:$BA$3,"&lt;"&amp;$DF42,$B42:$Y42)+SUMIF($AD$3:$BA$3,"&gt;="&amp;$DG42,$B42:$Y42)),
IF(AH$3=$DF42+'Model Setup'!$F$7,SUMIF($AD$3:$BA$3,"="&amp;$DF42+'Model Setup'!$F$7,$B42:$Y42)+'Model Setup'!$F$8*(SUMIF($AD$3:$BA$3,"&lt;"&amp;$DF42,$B42:$Y42)+SUMIF($AD$3:$BA$3,"&gt;="&amp;$DG42,$B42:$Y42)),
IF(AH$3=$DF42+'Model Setup'!$G$7,SUMIF($AD$3:$BA$3,"="&amp;$DF42+'Model Setup'!$G$7,$B42:$Y42)+'Model Setup'!$G$8*(SUMIF($AD$3:$BA$3,"&lt;"&amp;$DF42,$B42:$Y42)+SUMIF($AD$3:$BA$3,"&gt;="&amp;$DG42,$B42:$Y42)),
IF(AH$3=$DF42+'Model Setup'!$H$7,SUMIF($AD$3:$BA$3,"="&amp;$DF42+'Model Setup'!$H$7,$B42:$Y42)+'Model Setup'!$H$8*(SUMIF($AD$3:$BA$3,"&lt;"&amp;$DF42,$B42:$Y42)+SUMIF($AD$3:$BA$3,"&gt;="&amp;$DG42,$B42:$Y42)),
IF(AH$3=$DF42+'Model Setup'!$I$7,SUMIF($AD$3:$BA$3,"="&amp;$DF42+'Model Setup'!$I$7,$B42:$Y42)+'Model Setup'!$I$8*(SUMIF($AD$3:$BA$3,"&lt;"&amp;$DF42,$B42:$Y42)+SUMIF($AD$3:$BA$3,"&gt;="&amp;$DG42,$B42:$Y42)),
IF(AH$3=$DF42+'Model Setup'!$J$7,SUMIF($AD$3:$BA$3,"="&amp;$DF42+'Model Setup'!$J$7,$B42:$Y42)+'Model Setup'!$J$8*(SUMIF($AD$3:$BA$3,"&lt;"&amp;$DF42,$B42:$Y42)+SUMIF($AD$3:$BA$3,"&gt;="&amp;$DG42,$B42:$Y42)),
IF(AH$3=$DF42+'Model Setup'!$K$7,SUMIF($AD$3:$BA$3,"="&amp;$DF42+'Model Setup'!$K$7,$B42:$Y42)+'Model Setup'!$K$8*(SUMIF($AD$3:$BA$3,"&lt;"&amp;$DF42,$B42:$Y42)+SUMIF($AD$3:$BA$3,"&gt;="&amp;$DG42,$B42:$Y42)),
IF(AH$3=$DF42+'Model Setup'!$L$7,SUMIF($AD$3:$BA$3,"="&amp;$DF42+'Model Setup'!$L$7,$B42:$Y42)+'Model Setup'!$L$8*(SUMIF($AD$3:$BA$3,"&lt;"&amp;$DF42,$B42:$Y42)+SUMIF($AD$3:$BA$3,"&gt;="&amp;$DG42,$B42:$Y42)),
IF(AH$3=$DF42+'Model Setup'!$M$7,SUMIF($AD$3:$BA$3,"="&amp;$DF42+'Model Setup'!$M$7,$B42:$Y42)+'Model Setup'!$M$8*(SUMIF($AD$3:$BA$3,"&lt;"&amp;$DF42,$B42:$Y42)+SUMIF($AD$3:$BA$3,"&gt;="&amp;$DG42,$B42:$Y42)),
IF(AH$3=$DF42+'Model Setup'!$N$7,SUMIF($AD$3:$BA$3,"="&amp;$DF42+'Model Setup'!$N$7,$B42:$Y42)+'Model Setup'!$N$8*(SUMIF($AD$3:$BA$3,"&lt;"&amp;$DF42,$B42:$Y42)+SUMIF($AD$3:$BA$3,"&gt;="&amp;$DG42,$B42:$Y42)),
IF(AH$3&lt;$DG42,F42,0))))))))))))))),0)</f>
        <v>0</v>
      </c>
      <c r="AI42" s="47">
        <f>ROUND(IF(AI$3&lt;$DF42,0,
IF(AI$3=$DF42+'Model Setup'!$B$7,SUMIF($AD$3:$BA$3,"="&amp;$DF42+'Model Setup'!$B$7,$B42:$Y42)+'Model Setup'!$B$8*(SUMIF($AD$3:$BA$3,"&lt;"&amp;$DF42,$B42:$Y42)+SUMIF($AD$3:$BA$3,"&gt;="&amp;$DG42,$B42:$Y42)),
IF(AI$3=$DF42+'Model Setup'!$C$7,SUMIF($AD$3:$BA$3,"="&amp;$DF42+'Model Setup'!$C$7,$B42:$Y42)+'Model Setup'!$C$8*(SUMIF($AD$3:$BA$3,"&lt;"&amp;$DF42,$B42:$Y42)+SUMIF($AD$3:$BA$3,"&gt;="&amp;$DG42,$B42:$Y42)),
IF(AI$3=$DF42+'Model Setup'!$D$7,SUMIF($AD$3:$BA$3,"="&amp;$DF42+'Model Setup'!$D$7,$B42:$Y42)+'Model Setup'!$D$8*(SUMIF($AD$3:$BA$3,"&lt;"&amp;$DF42,$B42:$Y42)+SUMIF($AD$3:$BA$3,"&gt;="&amp;$DG42,$B42:$Y42)),
IF(AI$3=$DF42+'Model Setup'!$E$7,SUMIF($AD$3:$BA$3,"="&amp;$DF42+'Model Setup'!$E$7,$B42:$Y42)+'Model Setup'!$E$8*(SUMIF($AD$3:$BA$3,"&lt;"&amp;$DF42,$B42:$Y42)+SUMIF($AD$3:$BA$3,"&gt;="&amp;$DG42,$B42:$Y42)),
IF(AI$3=$DF42+'Model Setup'!$F$7,SUMIF($AD$3:$BA$3,"="&amp;$DF42+'Model Setup'!$F$7,$B42:$Y42)+'Model Setup'!$F$8*(SUMIF($AD$3:$BA$3,"&lt;"&amp;$DF42,$B42:$Y42)+SUMIF($AD$3:$BA$3,"&gt;="&amp;$DG42,$B42:$Y42)),
IF(AI$3=$DF42+'Model Setup'!$G$7,SUMIF($AD$3:$BA$3,"="&amp;$DF42+'Model Setup'!$G$7,$B42:$Y42)+'Model Setup'!$G$8*(SUMIF($AD$3:$BA$3,"&lt;"&amp;$DF42,$B42:$Y42)+SUMIF($AD$3:$BA$3,"&gt;="&amp;$DG42,$B42:$Y42)),
IF(AI$3=$DF42+'Model Setup'!$H$7,SUMIF($AD$3:$BA$3,"="&amp;$DF42+'Model Setup'!$H$7,$B42:$Y42)+'Model Setup'!$H$8*(SUMIF($AD$3:$BA$3,"&lt;"&amp;$DF42,$B42:$Y42)+SUMIF($AD$3:$BA$3,"&gt;="&amp;$DG42,$B42:$Y42)),
IF(AI$3=$DF42+'Model Setup'!$I$7,SUMIF($AD$3:$BA$3,"="&amp;$DF42+'Model Setup'!$I$7,$B42:$Y42)+'Model Setup'!$I$8*(SUMIF($AD$3:$BA$3,"&lt;"&amp;$DF42,$B42:$Y42)+SUMIF($AD$3:$BA$3,"&gt;="&amp;$DG42,$B42:$Y42)),
IF(AI$3=$DF42+'Model Setup'!$J$7,SUMIF($AD$3:$BA$3,"="&amp;$DF42+'Model Setup'!$J$7,$B42:$Y42)+'Model Setup'!$J$8*(SUMIF($AD$3:$BA$3,"&lt;"&amp;$DF42,$B42:$Y42)+SUMIF($AD$3:$BA$3,"&gt;="&amp;$DG42,$B42:$Y42)),
IF(AI$3=$DF42+'Model Setup'!$K$7,SUMIF($AD$3:$BA$3,"="&amp;$DF42+'Model Setup'!$K$7,$B42:$Y42)+'Model Setup'!$K$8*(SUMIF($AD$3:$BA$3,"&lt;"&amp;$DF42,$B42:$Y42)+SUMIF($AD$3:$BA$3,"&gt;="&amp;$DG42,$B42:$Y42)),
IF(AI$3=$DF42+'Model Setup'!$L$7,SUMIF($AD$3:$BA$3,"="&amp;$DF42+'Model Setup'!$L$7,$B42:$Y42)+'Model Setup'!$L$8*(SUMIF($AD$3:$BA$3,"&lt;"&amp;$DF42,$B42:$Y42)+SUMIF($AD$3:$BA$3,"&gt;="&amp;$DG42,$B42:$Y42)),
IF(AI$3=$DF42+'Model Setup'!$M$7,SUMIF($AD$3:$BA$3,"="&amp;$DF42+'Model Setup'!$M$7,$B42:$Y42)+'Model Setup'!$M$8*(SUMIF($AD$3:$BA$3,"&lt;"&amp;$DF42,$B42:$Y42)+SUMIF($AD$3:$BA$3,"&gt;="&amp;$DG42,$B42:$Y42)),
IF(AI$3=$DF42+'Model Setup'!$N$7,SUMIF($AD$3:$BA$3,"="&amp;$DF42+'Model Setup'!$N$7,$B42:$Y42)+'Model Setup'!$N$8*(SUMIF($AD$3:$BA$3,"&lt;"&amp;$DF42,$B42:$Y42)+SUMIF($AD$3:$BA$3,"&gt;="&amp;$DG42,$B42:$Y42)),
IF(AI$3&lt;$DG42,G42,0))))))))))))))),0)</f>
        <v>0</v>
      </c>
      <c r="AJ42" s="47">
        <f>ROUND(IF(AJ$3&lt;$DF42,0,
IF(AJ$3=$DF42+'Model Setup'!$B$7,SUMIF($AD$3:$BA$3,"="&amp;$DF42+'Model Setup'!$B$7,$B42:$Y42)+'Model Setup'!$B$8*(SUMIF($AD$3:$BA$3,"&lt;"&amp;$DF42,$B42:$Y42)+SUMIF($AD$3:$BA$3,"&gt;="&amp;$DG42,$B42:$Y42)),
IF(AJ$3=$DF42+'Model Setup'!$C$7,SUMIF($AD$3:$BA$3,"="&amp;$DF42+'Model Setup'!$C$7,$B42:$Y42)+'Model Setup'!$C$8*(SUMIF($AD$3:$BA$3,"&lt;"&amp;$DF42,$B42:$Y42)+SUMIF($AD$3:$BA$3,"&gt;="&amp;$DG42,$B42:$Y42)),
IF(AJ$3=$DF42+'Model Setup'!$D$7,SUMIF($AD$3:$BA$3,"="&amp;$DF42+'Model Setup'!$D$7,$B42:$Y42)+'Model Setup'!$D$8*(SUMIF($AD$3:$BA$3,"&lt;"&amp;$DF42,$B42:$Y42)+SUMIF($AD$3:$BA$3,"&gt;="&amp;$DG42,$B42:$Y42)),
IF(AJ$3=$DF42+'Model Setup'!$E$7,SUMIF($AD$3:$BA$3,"="&amp;$DF42+'Model Setup'!$E$7,$B42:$Y42)+'Model Setup'!$E$8*(SUMIF($AD$3:$BA$3,"&lt;"&amp;$DF42,$B42:$Y42)+SUMIF($AD$3:$BA$3,"&gt;="&amp;$DG42,$B42:$Y42)),
IF(AJ$3=$DF42+'Model Setup'!$F$7,SUMIF($AD$3:$BA$3,"="&amp;$DF42+'Model Setup'!$F$7,$B42:$Y42)+'Model Setup'!$F$8*(SUMIF($AD$3:$BA$3,"&lt;"&amp;$DF42,$B42:$Y42)+SUMIF($AD$3:$BA$3,"&gt;="&amp;$DG42,$B42:$Y42)),
IF(AJ$3=$DF42+'Model Setup'!$G$7,SUMIF($AD$3:$BA$3,"="&amp;$DF42+'Model Setup'!$G$7,$B42:$Y42)+'Model Setup'!$G$8*(SUMIF($AD$3:$BA$3,"&lt;"&amp;$DF42,$B42:$Y42)+SUMIF($AD$3:$BA$3,"&gt;="&amp;$DG42,$B42:$Y42)),
IF(AJ$3=$DF42+'Model Setup'!$H$7,SUMIF($AD$3:$BA$3,"="&amp;$DF42+'Model Setup'!$H$7,$B42:$Y42)+'Model Setup'!$H$8*(SUMIF($AD$3:$BA$3,"&lt;"&amp;$DF42,$B42:$Y42)+SUMIF($AD$3:$BA$3,"&gt;="&amp;$DG42,$B42:$Y42)),
IF(AJ$3=$DF42+'Model Setup'!$I$7,SUMIF($AD$3:$BA$3,"="&amp;$DF42+'Model Setup'!$I$7,$B42:$Y42)+'Model Setup'!$I$8*(SUMIF($AD$3:$BA$3,"&lt;"&amp;$DF42,$B42:$Y42)+SUMIF($AD$3:$BA$3,"&gt;="&amp;$DG42,$B42:$Y42)),
IF(AJ$3=$DF42+'Model Setup'!$J$7,SUMIF($AD$3:$BA$3,"="&amp;$DF42+'Model Setup'!$J$7,$B42:$Y42)+'Model Setup'!$J$8*(SUMIF($AD$3:$BA$3,"&lt;"&amp;$DF42,$B42:$Y42)+SUMIF($AD$3:$BA$3,"&gt;="&amp;$DG42,$B42:$Y42)),
IF(AJ$3=$DF42+'Model Setup'!$K$7,SUMIF($AD$3:$BA$3,"="&amp;$DF42+'Model Setup'!$K$7,$B42:$Y42)+'Model Setup'!$K$8*(SUMIF($AD$3:$BA$3,"&lt;"&amp;$DF42,$B42:$Y42)+SUMIF($AD$3:$BA$3,"&gt;="&amp;$DG42,$B42:$Y42)),
IF(AJ$3=$DF42+'Model Setup'!$L$7,SUMIF($AD$3:$BA$3,"="&amp;$DF42+'Model Setup'!$L$7,$B42:$Y42)+'Model Setup'!$L$8*(SUMIF($AD$3:$BA$3,"&lt;"&amp;$DF42,$B42:$Y42)+SUMIF($AD$3:$BA$3,"&gt;="&amp;$DG42,$B42:$Y42)),
IF(AJ$3=$DF42+'Model Setup'!$M$7,SUMIF($AD$3:$BA$3,"="&amp;$DF42+'Model Setup'!$M$7,$B42:$Y42)+'Model Setup'!$M$8*(SUMIF($AD$3:$BA$3,"&lt;"&amp;$DF42,$B42:$Y42)+SUMIF($AD$3:$BA$3,"&gt;="&amp;$DG42,$B42:$Y42)),
IF(AJ$3=$DF42+'Model Setup'!$N$7,SUMIF($AD$3:$BA$3,"="&amp;$DF42+'Model Setup'!$N$7,$B42:$Y42)+'Model Setup'!$N$8*(SUMIF($AD$3:$BA$3,"&lt;"&amp;$DF42,$B42:$Y42)+SUMIF($AD$3:$BA$3,"&gt;="&amp;$DG42,$B42:$Y42)),
IF(AJ$3&lt;$DG42,H42,0))))))))))))))),0)</f>
        <v>0</v>
      </c>
      <c r="AK42" s="47">
        <f>ROUND(IF(AK$3&lt;$DF42,0,
IF(AK$3=$DF42+'Model Setup'!$B$7,SUMIF($AD$3:$BA$3,"="&amp;$DF42+'Model Setup'!$B$7,$B42:$Y42)+'Model Setup'!$B$8*(SUMIF($AD$3:$BA$3,"&lt;"&amp;$DF42,$B42:$Y42)+SUMIF($AD$3:$BA$3,"&gt;="&amp;$DG42,$B42:$Y42)),
IF(AK$3=$DF42+'Model Setup'!$C$7,SUMIF($AD$3:$BA$3,"="&amp;$DF42+'Model Setup'!$C$7,$B42:$Y42)+'Model Setup'!$C$8*(SUMIF($AD$3:$BA$3,"&lt;"&amp;$DF42,$B42:$Y42)+SUMIF($AD$3:$BA$3,"&gt;="&amp;$DG42,$B42:$Y42)),
IF(AK$3=$DF42+'Model Setup'!$D$7,SUMIF($AD$3:$BA$3,"="&amp;$DF42+'Model Setup'!$D$7,$B42:$Y42)+'Model Setup'!$D$8*(SUMIF($AD$3:$BA$3,"&lt;"&amp;$DF42,$B42:$Y42)+SUMIF($AD$3:$BA$3,"&gt;="&amp;$DG42,$B42:$Y42)),
IF(AK$3=$DF42+'Model Setup'!$E$7,SUMIF($AD$3:$BA$3,"="&amp;$DF42+'Model Setup'!$E$7,$B42:$Y42)+'Model Setup'!$E$8*(SUMIF($AD$3:$BA$3,"&lt;"&amp;$DF42,$B42:$Y42)+SUMIF($AD$3:$BA$3,"&gt;="&amp;$DG42,$B42:$Y42)),
IF(AK$3=$DF42+'Model Setup'!$F$7,SUMIF($AD$3:$BA$3,"="&amp;$DF42+'Model Setup'!$F$7,$B42:$Y42)+'Model Setup'!$F$8*(SUMIF($AD$3:$BA$3,"&lt;"&amp;$DF42,$B42:$Y42)+SUMIF($AD$3:$BA$3,"&gt;="&amp;$DG42,$B42:$Y42)),
IF(AK$3=$DF42+'Model Setup'!$G$7,SUMIF($AD$3:$BA$3,"="&amp;$DF42+'Model Setup'!$G$7,$B42:$Y42)+'Model Setup'!$G$8*(SUMIF($AD$3:$BA$3,"&lt;"&amp;$DF42,$B42:$Y42)+SUMIF($AD$3:$BA$3,"&gt;="&amp;$DG42,$B42:$Y42)),
IF(AK$3=$DF42+'Model Setup'!$H$7,SUMIF($AD$3:$BA$3,"="&amp;$DF42+'Model Setup'!$H$7,$B42:$Y42)+'Model Setup'!$H$8*(SUMIF($AD$3:$BA$3,"&lt;"&amp;$DF42,$B42:$Y42)+SUMIF($AD$3:$BA$3,"&gt;="&amp;$DG42,$B42:$Y42)),
IF(AK$3=$DF42+'Model Setup'!$I$7,SUMIF($AD$3:$BA$3,"="&amp;$DF42+'Model Setup'!$I$7,$B42:$Y42)+'Model Setup'!$I$8*(SUMIF($AD$3:$BA$3,"&lt;"&amp;$DF42,$B42:$Y42)+SUMIF($AD$3:$BA$3,"&gt;="&amp;$DG42,$B42:$Y42)),
IF(AK$3=$DF42+'Model Setup'!$J$7,SUMIF($AD$3:$BA$3,"="&amp;$DF42+'Model Setup'!$J$7,$B42:$Y42)+'Model Setup'!$J$8*(SUMIF($AD$3:$BA$3,"&lt;"&amp;$DF42,$B42:$Y42)+SUMIF($AD$3:$BA$3,"&gt;="&amp;$DG42,$B42:$Y42)),
IF(AK$3=$DF42+'Model Setup'!$K$7,SUMIF($AD$3:$BA$3,"="&amp;$DF42+'Model Setup'!$K$7,$B42:$Y42)+'Model Setup'!$K$8*(SUMIF($AD$3:$BA$3,"&lt;"&amp;$DF42,$B42:$Y42)+SUMIF($AD$3:$BA$3,"&gt;="&amp;$DG42,$B42:$Y42)),
IF(AK$3=$DF42+'Model Setup'!$L$7,SUMIF($AD$3:$BA$3,"="&amp;$DF42+'Model Setup'!$L$7,$B42:$Y42)+'Model Setup'!$L$8*(SUMIF($AD$3:$BA$3,"&lt;"&amp;$DF42,$B42:$Y42)+SUMIF($AD$3:$BA$3,"&gt;="&amp;$DG42,$B42:$Y42)),
IF(AK$3=$DF42+'Model Setup'!$M$7,SUMIF($AD$3:$BA$3,"="&amp;$DF42+'Model Setup'!$M$7,$B42:$Y42)+'Model Setup'!$M$8*(SUMIF($AD$3:$BA$3,"&lt;"&amp;$DF42,$B42:$Y42)+SUMIF($AD$3:$BA$3,"&gt;="&amp;$DG42,$B42:$Y42)),
IF(AK$3=$DF42+'Model Setup'!$N$7,SUMIF($AD$3:$BA$3,"="&amp;$DF42+'Model Setup'!$N$7,$B42:$Y42)+'Model Setup'!$N$8*(SUMIF($AD$3:$BA$3,"&lt;"&amp;$DF42,$B42:$Y42)+SUMIF($AD$3:$BA$3,"&gt;="&amp;$DG42,$B42:$Y42)),
IF(AK$3&lt;$DG42,I42,0))))))))))))))),0)</f>
        <v>56</v>
      </c>
      <c r="AL42" s="47">
        <f>ROUND(IF(AL$3&lt;$DF42,0,
IF(AL$3=$DF42+'Model Setup'!$B$7,SUMIF($AD$3:$BA$3,"="&amp;$DF42+'Model Setup'!$B$7,$B42:$Y42)+'Model Setup'!$B$8*(SUMIF($AD$3:$BA$3,"&lt;"&amp;$DF42,$B42:$Y42)+SUMIF($AD$3:$BA$3,"&gt;="&amp;$DG42,$B42:$Y42)),
IF(AL$3=$DF42+'Model Setup'!$C$7,SUMIF($AD$3:$BA$3,"="&amp;$DF42+'Model Setup'!$C$7,$B42:$Y42)+'Model Setup'!$C$8*(SUMIF($AD$3:$BA$3,"&lt;"&amp;$DF42,$B42:$Y42)+SUMIF($AD$3:$BA$3,"&gt;="&amp;$DG42,$B42:$Y42)),
IF(AL$3=$DF42+'Model Setup'!$D$7,SUMIF($AD$3:$BA$3,"="&amp;$DF42+'Model Setup'!$D$7,$B42:$Y42)+'Model Setup'!$D$8*(SUMIF($AD$3:$BA$3,"&lt;"&amp;$DF42,$B42:$Y42)+SUMIF($AD$3:$BA$3,"&gt;="&amp;$DG42,$B42:$Y42)),
IF(AL$3=$DF42+'Model Setup'!$E$7,SUMIF($AD$3:$BA$3,"="&amp;$DF42+'Model Setup'!$E$7,$B42:$Y42)+'Model Setup'!$E$8*(SUMIF($AD$3:$BA$3,"&lt;"&amp;$DF42,$B42:$Y42)+SUMIF($AD$3:$BA$3,"&gt;="&amp;$DG42,$B42:$Y42)),
IF(AL$3=$DF42+'Model Setup'!$F$7,SUMIF($AD$3:$BA$3,"="&amp;$DF42+'Model Setup'!$F$7,$B42:$Y42)+'Model Setup'!$F$8*(SUMIF($AD$3:$BA$3,"&lt;"&amp;$DF42,$B42:$Y42)+SUMIF($AD$3:$BA$3,"&gt;="&amp;$DG42,$B42:$Y42)),
IF(AL$3=$DF42+'Model Setup'!$G$7,SUMIF($AD$3:$BA$3,"="&amp;$DF42+'Model Setup'!$G$7,$B42:$Y42)+'Model Setup'!$G$8*(SUMIF($AD$3:$BA$3,"&lt;"&amp;$DF42,$B42:$Y42)+SUMIF($AD$3:$BA$3,"&gt;="&amp;$DG42,$B42:$Y42)),
IF(AL$3=$DF42+'Model Setup'!$H$7,SUMIF($AD$3:$BA$3,"="&amp;$DF42+'Model Setup'!$H$7,$B42:$Y42)+'Model Setup'!$H$8*(SUMIF($AD$3:$BA$3,"&lt;"&amp;$DF42,$B42:$Y42)+SUMIF($AD$3:$BA$3,"&gt;="&amp;$DG42,$B42:$Y42)),
IF(AL$3=$DF42+'Model Setup'!$I$7,SUMIF($AD$3:$BA$3,"="&amp;$DF42+'Model Setup'!$I$7,$B42:$Y42)+'Model Setup'!$I$8*(SUMIF($AD$3:$BA$3,"&lt;"&amp;$DF42,$B42:$Y42)+SUMIF($AD$3:$BA$3,"&gt;="&amp;$DG42,$B42:$Y42)),
IF(AL$3=$DF42+'Model Setup'!$J$7,SUMIF($AD$3:$BA$3,"="&amp;$DF42+'Model Setup'!$J$7,$B42:$Y42)+'Model Setup'!$J$8*(SUMIF($AD$3:$BA$3,"&lt;"&amp;$DF42,$B42:$Y42)+SUMIF($AD$3:$BA$3,"&gt;="&amp;$DG42,$B42:$Y42)),
IF(AL$3=$DF42+'Model Setup'!$K$7,SUMIF($AD$3:$BA$3,"="&amp;$DF42+'Model Setup'!$K$7,$B42:$Y42)+'Model Setup'!$K$8*(SUMIF($AD$3:$BA$3,"&lt;"&amp;$DF42,$B42:$Y42)+SUMIF($AD$3:$BA$3,"&gt;="&amp;$DG42,$B42:$Y42)),
IF(AL$3=$DF42+'Model Setup'!$L$7,SUMIF($AD$3:$BA$3,"="&amp;$DF42+'Model Setup'!$L$7,$B42:$Y42)+'Model Setup'!$L$8*(SUMIF($AD$3:$BA$3,"&lt;"&amp;$DF42,$B42:$Y42)+SUMIF($AD$3:$BA$3,"&gt;="&amp;$DG42,$B42:$Y42)),
IF(AL$3=$DF42+'Model Setup'!$M$7,SUMIF($AD$3:$BA$3,"="&amp;$DF42+'Model Setup'!$M$7,$B42:$Y42)+'Model Setup'!$M$8*(SUMIF($AD$3:$BA$3,"&lt;"&amp;$DF42,$B42:$Y42)+SUMIF($AD$3:$BA$3,"&gt;="&amp;$DG42,$B42:$Y42)),
IF(AL$3=$DF42+'Model Setup'!$N$7,SUMIF($AD$3:$BA$3,"="&amp;$DF42+'Model Setup'!$N$7,$B42:$Y42)+'Model Setup'!$N$8*(SUMIF($AD$3:$BA$3,"&lt;"&amp;$DF42,$B42:$Y42)+SUMIF($AD$3:$BA$3,"&gt;="&amp;$DG42,$B42:$Y42)),
IF(AL$3&lt;$DG42,J42,0))))))))))))))),0)</f>
        <v>77</v>
      </c>
      <c r="AM42" s="47">
        <f>ROUND(IF(AM$3&lt;$DF42,0,
IF(AM$3=$DF42+'Model Setup'!$B$7,SUMIF($AD$3:$BA$3,"="&amp;$DF42+'Model Setup'!$B$7,$B42:$Y42)+'Model Setup'!$B$8*(SUMIF($AD$3:$BA$3,"&lt;"&amp;$DF42,$B42:$Y42)+SUMIF($AD$3:$BA$3,"&gt;="&amp;$DG42,$B42:$Y42)),
IF(AM$3=$DF42+'Model Setup'!$C$7,SUMIF($AD$3:$BA$3,"="&amp;$DF42+'Model Setup'!$C$7,$B42:$Y42)+'Model Setup'!$C$8*(SUMIF($AD$3:$BA$3,"&lt;"&amp;$DF42,$B42:$Y42)+SUMIF($AD$3:$BA$3,"&gt;="&amp;$DG42,$B42:$Y42)),
IF(AM$3=$DF42+'Model Setup'!$D$7,SUMIF($AD$3:$BA$3,"="&amp;$DF42+'Model Setup'!$D$7,$B42:$Y42)+'Model Setup'!$D$8*(SUMIF($AD$3:$BA$3,"&lt;"&amp;$DF42,$B42:$Y42)+SUMIF($AD$3:$BA$3,"&gt;="&amp;$DG42,$B42:$Y42)),
IF(AM$3=$DF42+'Model Setup'!$E$7,SUMIF($AD$3:$BA$3,"="&amp;$DF42+'Model Setup'!$E$7,$B42:$Y42)+'Model Setup'!$E$8*(SUMIF($AD$3:$BA$3,"&lt;"&amp;$DF42,$B42:$Y42)+SUMIF($AD$3:$BA$3,"&gt;="&amp;$DG42,$B42:$Y42)),
IF(AM$3=$DF42+'Model Setup'!$F$7,SUMIF($AD$3:$BA$3,"="&amp;$DF42+'Model Setup'!$F$7,$B42:$Y42)+'Model Setup'!$F$8*(SUMIF($AD$3:$BA$3,"&lt;"&amp;$DF42,$B42:$Y42)+SUMIF($AD$3:$BA$3,"&gt;="&amp;$DG42,$B42:$Y42)),
IF(AM$3=$DF42+'Model Setup'!$G$7,SUMIF($AD$3:$BA$3,"="&amp;$DF42+'Model Setup'!$G$7,$B42:$Y42)+'Model Setup'!$G$8*(SUMIF($AD$3:$BA$3,"&lt;"&amp;$DF42,$B42:$Y42)+SUMIF($AD$3:$BA$3,"&gt;="&amp;$DG42,$B42:$Y42)),
IF(AM$3=$DF42+'Model Setup'!$H$7,SUMIF($AD$3:$BA$3,"="&amp;$DF42+'Model Setup'!$H$7,$B42:$Y42)+'Model Setup'!$H$8*(SUMIF($AD$3:$BA$3,"&lt;"&amp;$DF42,$B42:$Y42)+SUMIF($AD$3:$BA$3,"&gt;="&amp;$DG42,$B42:$Y42)),
IF(AM$3=$DF42+'Model Setup'!$I$7,SUMIF($AD$3:$BA$3,"="&amp;$DF42+'Model Setup'!$I$7,$B42:$Y42)+'Model Setup'!$I$8*(SUMIF($AD$3:$BA$3,"&lt;"&amp;$DF42,$B42:$Y42)+SUMIF($AD$3:$BA$3,"&gt;="&amp;$DG42,$B42:$Y42)),
IF(AM$3=$DF42+'Model Setup'!$J$7,SUMIF($AD$3:$BA$3,"="&amp;$DF42+'Model Setup'!$J$7,$B42:$Y42)+'Model Setup'!$J$8*(SUMIF($AD$3:$BA$3,"&lt;"&amp;$DF42,$B42:$Y42)+SUMIF($AD$3:$BA$3,"&gt;="&amp;$DG42,$B42:$Y42)),
IF(AM$3=$DF42+'Model Setup'!$K$7,SUMIF($AD$3:$BA$3,"="&amp;$DF42+'Model Setup'!$K$7,$B42:$Y42)+'Model Setup'!$K$8*(SUMIF($AD$3:$BA$3,"&lt;"&amp;$DF42,$B42:$Y42)+SUMIF($AD$3:$BA$3,"&gt;="&amp;$DG42,$B42:$Y42)),
IF(AM$3=$DF42+'Model Setup'!$L$7,SUMIF($AD$3:$BA$3,"="&amp;$DF42+'Model Setup'!$L$7,$B42:$Y42)+'Model Setup'!$L$8*(SUMIF($AD$3:$BA$3,"&lt;"&amp;$DF42,$B42:$Y42)+SUMIF($AD$3:$BA$3,"&gt;="&amp;$DG42,$B42:$Y42)),
IF(AM$3=$DF42+'Model Setup'!$M$7,SUMIF($AD$3:$BA$3,"="&amp;$DF42+'Model Setup'!$M$7,$B42:$Y42)+'Model Setup'!$M$8*(SUMIF($AD$3:$BA$3,"&lt;"&amp;$DF42,$B42:$Y42)+SUMIF($AD$3:$BA$3,"&gt;="&amp;$DG42,$B42:$Y42)),
IF(AM$3=$DF42+'Model Setup'!$N$7,SUMIF($AD$3:$BA$3,"="&amp;$DF42+'Model Setup'!$N$7,$B42:$Y42)+'Model Setup'!$N$8*(SUMIF($AD$3:$BA$3,"&lt;"&amp;$DF42,$B42:$Y42)+SUMIF($AD$3:$BA$3,"&gt;="&amp;$DG42,$B42:$Y42)),
IF(AM$3&lt;$DG42,K42,0))))))))))))))),0)</f>
        <v>76</v>
      </c>
      <c r="AN42" s="47">
        <f>ROUND(IF(AN$3&lt;$DF42,0,
IF(AN$3=$DF42+'Model Setup'!$B$7,SUMIF($AD$3:$BA$3,"="&amp;$DF42+'Model Setup'!$B$7,$B42:$Y42)+'Model Setup'!$B$8*(SUMIF($AD$3:$BA$3,"&lt;"&amp;$DF42,$B42:$Y42)+SUMIF($AD$3:$BA$3,"&gt;="&amp;$DG42,$B42:$Y42)),
IF(AN$3=$DF42+'Model Setup'!$C$7,SUMIF($AD$3:$BA$3,"="&amp;$DF42+'Model Setup'!$C$7,$B42:$Y42)+'Model Setup'!$C$8*(SUMIF($AD$3:$BA$3,"&lt;"&amp;$DF42,$B42:$Y42)+SUMIF($AD$3:$BA$3,"&gt;="&amp;$DG42,$B42:$Y42)),
IF(AN$3=$DF42+'Model Setup'!$D$7,SUMIF($AD$3:$BA$3,"="&amp;$DF42+'Model Setup'!$D$7,$B42:$Y42)+'Model Setup'!$D$8*(SUMIF($AD$3:$BA$3,"&lt;"&amp;$DF42,$B42:$Y42)+SUMIF($AD$3:$BA$3,"&gt;="&amp;$DG42,$B42:$Y42)),
IF(AN$3=$DF42+'Model Setup'!$E$7,SUMIF($AD$3:$BA$3,"="&amp;$DF42+'Model Setup'!$E$7,$B42:$Y42)+'Model Setup'!$E$8*(SUMIF($AD$3:$BA$3,"&lt;"&amp;$DF42,$B42:$Y42)+SUMIF($AD$3:$BA$3,"&gt;="&amp;$DG42,$B42:$Y42)),
IF(AN$3=$DF42+'Model Setup'!$F$7,SUMIF($AD$3:$BA$3,"="&amp;$DF42+'Model Setup'!$F$7,$B42:$Y42)+'Model Setup'!$F$8*(SUMIF($AD$3:$BA$3,"&lt;"&amp;$DF42,$B42:$Y42)+SUMIF($AD$3:$BA$3,"&gt;="&amp;$DG42,$B42:$Y42)),
IF(AN$3=$DF42+'Model Setup'!$G$7,SUMIF($AD$3:$BA$3,"="&amp;$DF42+'Model Setup'!$G$7,$B42:$Y42)+'Model Setup'!$G$8*(SUMIF($AD$3:$BA$3,"&lt;"&amp;$DF42,$B42:$Y42)+SUMIF($AD$3:$BA$3,"&gt;="&amp;$DG42,$B42:$Y42)),
IF(AN$3=$DF42+'Model Setup'!$H$7,SUMIF($AD$3:$BA$3,"="&amp;$DF42+'Model Setup'!$H$7,$B42:$Y42)+'Model Setup'!$H$8*(SUMIF($AD$3:$BA$3,"&lt;"&amp;$DF42,$B42:$Y42)+SUMIF($AD$3:$BA$3,"&gt;="&amp;$DG42,$B42:$Y42)),
IF(AN$3=$DF42+'Model Setup'!$I$7,SUMIF($AD$3:$BA$3,"="&amp;$DF42+'Model Setup'!$I$7,$B42:$Y42)+'Model Setup'!$I$8*(SUMIF($AD$3:$BA$3,"&lt;"&amp;$DF42,$B42:$Y42)+SUMIF($AD$3:$BA$3,"&gt;="&amp;$DG42,$B42:$Y42)),
IF(AN$3=$DF42+'Model Setup'!$J$7,SUMIF($AD$3:$BA$3,"="&amp;$DF42+'Model Setup'!$J$7,$B42:$Y42)+'Model Setup'!$J$8*(SUMIF($AD$3:$BA$3,"&lt;"&amp;$DF42,$B42:$Y42)+SUMIF($AD$3:$BA$3,"&gt;="&amp;$DG42,$B42:$Y42)),
IF(AN$3=$DF42+'Model Setup'!$K$7,SUMIF($AD$3:$BA$3,"="&amp;$DF42+'Model Setup'!$K$7,$B42:$Y42)+'Model Setup'!$K$8*(SUMIF($AD$3:$BA$3,"&lt;"&amp;$DF42,$B42:$Y42)+SUMIF($AD$3:$BA$3,"&gt;="&amp;$DG42,$B42:$Y42)),
IF(AN$3=$DF42+'Model Setup'!$L$7,SUMIF($AD$3:$BA$3,"="&amp;$DF42+'Model Setup'!$L$7,$B42:$Y42)+'Model Setup'!$L$8*(SUMIF($AD$3:$BA$3,"&lt;"&amp;$DF42,$B42:$Y42)+SUMIF($AD$3:$BA$3,"&gt;="&amp;$DG42,$B42:$Y42)),
IF(AN$3=$DF42+'Model Setup'!$M$7,SUMIF($AD$3:$BA$3,"="&amp;$DF42+'Model Setup'!$M$7,$B42:$Y42)+'Model Setup'!$M$8*(SUMIF($AD$3:$BA$3,"&lt;"&amp;$DF42,$B42:$Y42)+SUMIF($AD$3:$BA$3,"&gt;="&amp;$DG42,$B42:$Y42)),
IF(AN$3=$DF42+'Model Setup'!$N$7,SUMIF($AD$3:$BA$3,"="&amp;$DF42+'Model Setup'!$N$7,$B42:$Y42)+'Model Setup'!$N$8*(SUMIF($AD$3:$BA$3,"&lt;"&amp;$DF42,$B42:$Y42)+SUMIF($AD$3:$BA$3,"&gt;="&amp;$DG42,$B42:$Y42)),
IF(AN$3&lt;$DG42,L42,0))))))))))))))),0)</f>
        <v>74</v>
      </c>
      <c r="AO42" s="47">
        <f>ROUND(IF(AO$3&lt;$DF42,0,
IF(AO$3=$DF42+'Model Setup'!$B$7,SUMIF($AD$3:$BA$3,"="&amp;$DF42+'Model Setup'!$B$7,$B42:$Y42)+'Model Setup'!$B$8*(SUMIF($AD$3:$BA$3,"&lt;"&amp;$DF42,$B42:$Y42)+SUMIF($AD$3:$BA$3,"&gt;="&amp;$DG42,$B42:$Y42)),
IF(AO$3=$DF42+'Model Setup'!$C$7,SUMIF($AD$3:$BA$3,"="&amp;$DF42+'Model Setup'!$C$7,$B42:$Y42)+'Model Setup'!$C$8*(SUMIF($AD$3:$BA$3,"&lt;"&amp;$DF42,$B42:$Y42)+SUMIF($AD$3:$BA$3,"&gt;="&amp;$DG42,$B42:$Y42)),
IF(AO$3=$DF42+'Model Setup'!$D$7,SUMIF($AD$3:$BA$3,"="&amp;$DF42+'Model Setup'!$D$7,$B42:$Y42)+'Model Setup'!$D$8*(SUMIF($AD$3:$BA$3,"&lt;"&amp;$DF42,$B42:$Y42)+SUMIF($AD$3:$BA$3,"&gt;="&amp;$DG42,$B42:$Y42)),
IF(AO$3=$DF42+'Model Setup'!$E$7,SUMIF($AD$3:$BA$3,"="&amp;$DF42+'Model Setup'!$E$7,$B42:$Y42)+'Model Setup'!$E$8*(SUMIF($AD$3:$BA$3,"&lt;"&amp;$DF42,$B42:$Y42)+SUMIF($AD$3:$BA$3,"&gt;="&amp;$DG42,$B42:$Y42)),
IF(AO$3=$DF42+'Model Setup'!$F$7,SUMIF($AD$3:$BA$3,"="&amp;$DF42+'Model Setup'!$F$7,$B42:$Y42)+'Model Setup'!$F$8*(SUMIF($AD$3:$BA$3,"&lt;"&amp;$DF42,$B42:$Y42)+SUMIF($AD$3:$BA$3,"&gt;="&amp;$DG42,$B42:$Y42)),
IF(AO$3=$DF42+'Model Setup'!$G$7,SUMIF($AD$3:$BA$3,"="&amp;$DF42+'Model Setup'!$G$7,$B42:$Y42)+'Model Setup'!$G$8*(SUMIF($AD$3:$BA$3,"&lt;"&amp;$DF42,$B42:$Y42)+SUMIF($AD$3:$BA$3,"&gt;="&amp;$DG42,$B42:$Y42)),
IF(AO$3=$DF42+'Model Setup'!$H$7,SUMIF($AD$3:$BA$3,"="&amp;$DF42+'Model Setup'!$H$7,$B42:$Y42)+'Model Setup'!$H$8*(SUMIF($AD$3:$BA$3,"&lt;"&amp;$DF42,$B42:$Y42)+SUMIF($AD$3:$BA$3,"&gt;="&amp;$DG42,$B42:$Y42)),
IF(AO$3=$DF42+'Model Setup'!$I$7,SUMIF($AD$3:$BA$3,"="&amp;$DF42+'Model Setup'!$I$7,$B42:$Y42)+'Model Setup'!$I$8*(SUMIF($AD$3:$BA$3,"&lt;"&amp;$DF42,$B42:$Y42)+SUMIF($AD$3:$BA$3,"&gt;="&amp;$DG42,$B42:$Y42)),
IF(AO$3=$DF42+'Model Setup'!$J$7,SUMIF($AD$3:$BA$3,"="&amp;$DF42+'Model Setup'!$J$7,$B42:$Y42)+'Model Setup'!$J$8*(SUMIF($AD$3:$BA$3,"&lt;"&amp;$DF42,$B42:$Y42)+SUMIF($AD$3:$BA$3,"&gt;="&amp;$DG42,$B42:$Y42)),
IF(AO$3=$DF42+'Model Setup'!$K$7,SUMIF($AD$3:$BA$3,"="&amp;$DF42+'Model Setup'!$K$7,$B42:$Y42)+'Model Setup'!$K$8*(SUMIF($AD$3:$BA$3,"&lt;"&amp;$DF42,$B42:$Y42)+SUMIF($AD$3:$BA$3,"&gt;="&amp;$DG42,$B42:$Y42)),
IF(AO$3=$DF42+'Model Setup'!$L$7,SUMIF($AD$3:$BA$3,"="&amp;$DF42+'Model Setup'!$L$7,$B42:$Y42)+'Model Setup'!$L$8*(SUMIF($AD$3:$BA$3,"&lt;"&amp;$DF42,$B42:$Y42)+SUMIF($AD$3:$BA$3,"&gt;="&amp;$DG42,$B42:$Y42)),
IF(AO$3=$DF42+'Model Setup'!$M$7,SUMIF($AD$3:$BA$3,"="&amp;$DF42+'Model Setup'!$M$7,$B42:$Y42)+'Model Setup'!$M$8*(SUMIF($AD$3:$BA$3,"&lt;"&amp;$DF42,$B42:$Y42)+SUMIF($AD$3:$BA$3,"&gt;="&amp;$DG42,$B42:$Y42)),
IF(AO$3=$DF42+'Model Setup'!$N$7,SUMIF($AD$3:$BA$3,"="&amp;$DF42+'Model Setup'!$N$7,$B42:$Y42)+'Model Setup'!$N$8*(SUMIF($AD$3:$BA$3,"&lt;"&amp;$DF42,$B42:$Y42)+SUMIF($AD$3:$BA$3,"&gt;="&amp;$DG42,$B42:$Y42)),
IF(AO$3&lt;$DG42,M42,0))))))))))))))),0)</f>
        <v>65</v>
      </c>
      <c r="AP42" s="47">
        <f>ROUND(IF(AP$3&lt;$DF42,0,
IF(AP$3=$DF42+'Model Setup'!$B$7,SUMIF($AD$3:$BA$3,"="&amp;$DF42+'Model Setup'!$B$7,$B42:$Y42)+'Model Setup'!$B$8*(SUMIF($AD$3:$BA$3,"&lt;"&amp;$DF42,$B42:$Y42)+SUMIF($AD$3:$BA$3,"&gt;="&amp;$DG42,$B42:$Y42)),
IF(AP$3=$DF42+'Model Setup'!$C$7,SUMIF($AD$3:$BA$3,"="&amp;$DF42+'Model Setup'!$C$7,$B42:$Y42)+'Model Setup'!$C$8*(SUMIF($AD$3:$BA$3,"&lt;"&amp;$DF42,$B42:$Y42)+SUMIF($AD$3:$BA$3,"&gt;="&amp;$DG42,$B42:$Y42)),
IF(AP$3=$DF42+'Model Setup'!$D$7,SUMIF($AD$3:$BA$3,"="&amp;$DF42+'Model Setup'!$D$7,$B42:$Y42)+'Model Setup'!$D$8*(SUMIF($AD$3:$BA$3,"&lt;"&amp;$DF42,$B42:$Y42)+SUMIF($AD$3:$BA$3,"&gt;="&amp;$DG42,$B42:$Y42)),
IF(AP$3=$DF42+'Model Setup'!$E$7,SUMIF($AD$3:$BA$3,"="&amp;$DF42+'Model Setup'!$E$7,$B42:$Y42)+'Model Setup'!$E$8*(SUMIF($AD$3:$BA$3,"&lt;"&amp;$DF42,$B42:$Y42)+SUMIF($AD$3:$BA$3,"&gt;="&amp;$DG42,$B42:$Y42)),
IF(AP$3=$DF42+'Model Setup'!$F$7,SUMIF($AD$3:$BA$3,"="&amp;$DF42+'Model Setup'!$F$7,$B42:$Y42)+'Model Setup'!$F$8*(SUMIF($AD$3:$BA$3,"&lt;"&amp;$DF42,$B42:$Y42)+SUMIF($AD$3:$BA$3,"&gt;="&amp;$DG42,$B42:$Y42)),
IF(AP$3=$DF42+'Model Setup'!$G$7,SUMIF($AD$3:$BA$3,"="&amp;$DF42+'Model Setup'!$G$7,$B42:$Y42)+'Model Setup'!$G$8*(SUMIF($AD$3:$BA$3,"&lt;"&amp;$DF42,$B42:$Y42)+SUMIF($AD$3:$BA$3,"&gt;="&amp;$DG42,$B42:$Y42)),
IF(AP$3=$DF42+'Model Setup'!$H$7,SUMIF($AD$3:$BA$3,"="&amp;$DF42+'Model Setup'!$H$7,$B42:$Y42)+'Model Setup'!$H$8*(SUMIF($AD$3:$BA$3,"&lt;"&amp;$DF42,$B42:$Y42)+SUMIF($AD$3:$BA$3,"&gt;="&amp;$DG42,$B42:$Y42)),
IF(AP$3=$DF42+'Model Setup'!$I$7,SUMIF($AD$3:$BA$3,"="&amp;$DF42+'Model Setup'!$I$7,$B42:$Y42)+'Model Setup'!$I$8*(SUMIF($AD$3:$BA$3,"&lt;"&amp;$DF42,$B42:$Y42)+SUMIF($AD$3:$BA$3,"&gt;="&amp;$DG42,$B42:$Y42)),
IF(AP$3=$DF42+'Model Setup'!$J$7,SUMIF($AD$3:$BA$3,"="&amp;$DF42+'Model Setup'!$J$7,$B42:$Y42)+'Model Setup'!$J$8*(SUMIF($AD$3:$BA$3,"&lt;"&amp;$DF42,$B42:$Y42)+SUMIF($AD$3:$BA$3,"&gt;="&amp;$DG42,$B42:$Y42)),
IF(AP$3=$DF42+'Model Setup'!$K$7,SUMIF($AD$3:$BA$3,"="&amp;$DF42+'Model Setup'!$K$7,$B42:$Y42)+'Model Setup'!$K$8*(SUMIF($AD$3:$BA$3,"&lt;"&amp;$DF42,$B42:$Y42)+SUMIF($AD$3:$BA$3,"&gt;="&amp;$DG42,$B42:$Y42)),
IF(AP$3=$DF42+'Model Setup'!$L$7,SUMIF($AD$3:$BA$3,"="&amp;$DF42+'Model Setup'!$L$7,$B42:$Y42)+'Model Setup'!$L$8*(SUMIF($AD$3:$BA$3,"&lt;"&amp;$DF42,$B42:$Y42)+SUMIF($AD$3:$BA$3,"&gt;="&amp;$DG42,$B42:$Y42)),
IF(AP$3=$DF42+'Model Setup'!$M$7,SUMIF($AD$3:$BA$3,"="&amp;$DF42+'Model Setup'!$M$7,$B42:$Y42)+'Model Setup'!$M$8*(SUMIF($AD$3:$BA$3,"&lt;"&amp;$DF42,$B42:$Y42)+SUMIF($AD$3:$BA$3,"&gt;="&amp;$DG42,$B42:$Y42)),
IF(AP$3=$DF42+'Model Setup'!$N$7,SUMIF($AD$3:$BA$3,"="&amp;$DF42+'Model Setup'!$N$7,$B42:$Y42)+'Model Setup'!$N$8*(SUMIF($AD$3:$BA$3,"&lt;"&amp;$DF42,$B42:$Y42)+SUMIF($AD$3:$BA$3,"&gt;="&amp;$DG42,$B42:$Y42)),
IF(AP$3&lt;$DG42,N42,0))))))))))))))),0)</f>
        <v>42</v>
      </c>
      <c r="AQ42" s="47">
        <f>ROUND(IF(AQ$3&lt;$DF42,0,
IF(AQ$3=$DF42+'Model Setup'!$B$7,SUMIF($AD$3:$BA$3,"="&amp;$DF42+'Model Setup'!$B$7,$B42:$Y42)+'Model Setup'!$B$8*(SUMIF($AD$3:$BA$3,"&lt;"&amp;$DF42,$B42:$Y42)+SUMIF($AD$3:$BA$3,"&gt;="&amp;$DG42,$B42:$Y42)),
IF(AQ$3=$DF42+'Model Setup'!$C$7,SUMIF($AD$3:$BA$3,"="&amp;$DF42+'Model Setup'!$C$7,$B42:$Y42)+'Model Setup'!$C$8*(SUMIF($AD$3:$BA$3,"&lt;"&amp;$DF42,$B42:$Y42)+SUMIF($AD$3:$BA$3,"&gt;="&amp;$DG42,$B42:$Y42)),
IF(AQ$3=$DF42+'Model Setup'!$D$7,SUMIF($AD$3:$BA$3,"="&amp;$DF42+'Model Setup'!$D$7,$B42:$Y42)+'Model Setup'!$D$8*(SUMIF($AD$3:$BA$3,"&lt;"&amp;$DF42,$B42:$Y42)+SUMIF($AD$3:$BA$3,"&gt;="&amp;$DG42,$B42:$Y42)),
IF(AQ$3=$DF42+'Model Setup'!$E$7,SUMIF($AD$3:$BA$3,"="&amp;$DF42+'Model Setup'!$E$7,$B42:$Y42)+'Model Setup'!$E$8*(SUMIF($AD$3:$BA$3,"&lt;"&amp;$DF42,$B42:$Y42)+SUMIF($AD$3:$BA$3,"&gt;="&amp;$DG42,$B42:$Y42)),
IF(AQ$3=$DF42+'Model Setup'!$F$7,SUMIF($AD$3:$BA$3,"="&amp;$DF42+'Model Setup'!$F$7,$B42:$Y42)+'Model Setup'!$F$8*(SUMIF($AD$3:$BA$3,"&lt;"&amp;$DF42,$B42:$Y42)+SUMIF($AD$3:$BA$3,"&gt;="&amp;$DG42,$B42:$Y42)),
IF(AQ$3=$DF42+'Model Setup'!$G$7,SUMIF($AD$3:$BA$3,"="&amp;$DF42+'Model Setup'!$G$7,$B42:$Y42)+'Model Setup'!$G$8*(SUMIF($AD$3:$BA$3,"&lt;"&amp;$DF42,$B42:$Y42)+SUMIF($AD$3:$BA$3,"&gt;="&amp;$DG42,$B42:$Y42)),
IF(AQ$3=$DF42+'Model Setup'!$H$7,SUMIF($AD$3:$BA$3,"="&amp;$DF42+'Model Setup'!$H$7,$B42:$Y42)+'Model Setup'!$H$8*(SUMIF($AD$3:$BA$3,"&lt;"&amp;$DF42,$B42:$Y42)+SUMIF($AD$3:$BA$3,"&gt;="&amp;$DG42,$B42:$Y42)),
IF(AQ$3=$DF42+'Model Setup'!$I$7,SUMIF($AD$3:$BA$3,"="&amp;$DF42+'Model Setup'!$I$7,$B42:$Y42)+'Model Setup'!$I$8*(SUMIF($AD$3:$BA$3,"&lt;"&amp;$DF42,$B42:$Y42)+SUMIF($AD$3:$BA$3,"&gt;="&amp;$DG42,$B42:$Y42)),
IF(AQ$3=$DF42+'Model Setup'!$J$7,SUMIF($AD$3:$BA$3,"="&amp;$DF42+'Model Setup'!$J$7,$B42:$Y42)+'Model Setup'!$J$8*(SUMIF($AD$3:$BA$3,"&lt;"&amp;$DF42,$B42:$Y42)+SUMIF($AD$3:$BA$3,"&gt;="&amp;$DG42,$B42:$Y42)),
IF(AQ$3=$DF42+'Model Setup'!$K$7,SUMIF($AD$3:$BA$3,"="&amp;$DF42+'Model Setup'!$K$7,$B42:$Y42)+'Model Setup'!$K$8*(SUMIF($AD$3:$BA$3,"&lt;"&amp;$DF42,$B42:$Y42)+SUMIF($AD$3:$BA$3,"&gt;="&amp;$DG42,$B42:$Y42)),
IF(AQ$3=$DF42+'Model Setup'!$L$7,SUMIF($AD$3:$BA$3,"="&amp;$DF42+'Model Setup'!$L$7,$B42:$Y42)+'Model Setup'!$L$8*(SUMIF($AD$3:$BA$3,"&lt;"&amp;$DF42,$B42:$Y42)+SUMIF($AD$3:$BA$3,"&gt;="&amp;$DG42,$B42:$Y42)),
IF(AQ$3=$DF42+'Model Setup'!$M$7,SUMIF($AD$3:$BA$3,"="&amp;$DF42+'Model Setup'!$M$7,$B42:$Y42)+'Model Setup'!$M$8*(SUMIF($AD$3:$BA$3,"&lt;"&amp;$DF42,$B42:$Y42)+SUMIF($AD$3:$BA$3,"&gt;="&amp;$DG42,$B42:$Y42)),
IF(AQ$3=$DF42+'Model Setup'!$N$7,SUMIF($AD$3:$BA$3,"="&amp;$DF42+'Model Setup'!$N$7,$B42:$Y42)+'Model Setup'!$N$8*(SUMIF($AD$3:$BA$3,"&lt;"&amp;$DF42,$B42:$Y42)+SUMIF($AD$3:$BA$3,"&gt;="&amp;$DG42,$B42:$Y42)),
IF(AQ$3&lt;$DG42,O42,0))))))))))))))),0)</f>
        <v>52</v>
      </c>
      <c r="AR42" s="47">
        <f>ROUND(IF(AR$3&lt;$DF42,0,
IF(AR$3=$DF42+'Model Setup'!$B$7,SUMIF($AD$3:$BA$3,"="&amp;$DF42+'Model Setup'!$B$7,$B42:$Y42)+'Model Setup'!$B$8*(SUMIF($AD$3:$BA$3,"&lt;"&amp;$DF42,$B42:$Y42)+SUMIF($AD$3:$BA$3,"&gt;="&amp;$DG42,$B42:$Y42)),
IF(AR$3=$DF42+'Model Setup'!$C$7,SUMIF($AD$3:$BA$3,"="&amp;$DF42+'Model Setup'!$C$7,$B42:$Y42)+'Model Setup'!$C$8*(SUMIF($AD$3:$BA$3,"&lt;"&amp;$DF42,$B42:$Y42)+SUMIF($AD$3:$BA$3,"&gt;="&amp;$DG42,$B42:$Y42)),
IF(AR$3=$DF42+'Model Setup'!$D$7,SUMIF($AD$3:$BA$3,"="&amp;$DF42+'Model Setup'!$D$7,$B42:$Y42)+'Model Setup'!$D$8*(SUMIF($AD$3:$BA$3,"&lt;"&amp;$DF42,$B42:$Y42)+SUMIF($AD$3:$BA$3,"&gt;="&amp;$DG42,$B42:$Y42)),
IF(AR$3=$DF42+'Model Setup'!$E$7,SUMIF($AD$3:$BA$3,"="&amp;$DF42+'Model Setup'!$E$7,$B42:$Y42)+'Model Setup'!$E$8*(SUMIF($AD$3:$BA$3,"&lt;"&amp;$DF42,$B42:$Y42)+SUMIF($AD$3:$BA$3,"&gt;="&amp;$DG42,$B42:$Y42)),
IF(AR$3=$DF42+'Model Setup'!$F$7,SUMIF($AD$3:$BA$3,"="&amp;$DF42+'Model Setup'!$F$7,$B42:$Y42)+'Model Setup'!$F$8*(SUMIF($AD$3:$BA$3,"&lt;"&amp;$DF42,$B42:$Y42)+SUMIF($AD$3:$BA$3,"&gt;="&amp;$DG42,$B42:$Y42)),
IF(AR$3=$DF42+'Model Setup'!$G$7,SUMIF($AD$3:$BA$3,"="&amp;$DF42+'Model Setup'!$G$7,$B42:$Y42)+'Model Setup'!$G$8*(SUMIF($AD$3:$BA$3,"&lt;"&amp;$DF42,$B42:$Y42)+SUMIF($AD$3:$BA$3,"&gt;="&amp;$DG42,$B42:$Y42)),
IF(AR$3=$DF42+'Model Setup'!$H$7,SUMIF($AD$3:$BA$3,"="&amp;$DF42+'Model Setup'!$H$7,$B42:$Y42)+'Model Setup'!$H$8*(SUMIF($AD$3:$BA$3,"&lt;"&amp;$DF42,$B42:$Y42)+SUMIF($AD$3:$BA$3,"&gt;="&amp;$DG42,$B42:$Y42)),
IF(AR$3=$DF42+'Model Setup'!$I$7,SUMIF($AD$3:$BA$3,"="&amp;$DF42+'Model Setup'!$I$7,$B42:$Y42)+'Model Setup'!$I$8*(SUMIF($AD$3:$BA$3,"&lt;"&amp;$DF42,$B42:$Y42)+SUMIF($AD$3:$BA$3,"&gt;="&amp;$DG42,$B42:$Y42)),
IF(AR$3=$DF42+'Model Setup'!$J$7,SUMIF($AD$3:$BA$3,"="&amp;$DF42+'Model Setup'!$J$7,$B42:$Y42)+'Model Setup'!$J$8*(SUMIF($AD$3:$BA$3,"&lt;"&amp;$DF42,$B42:$Y42)+SUMIF($AD$3:$BA$3,"&gt;="&amp;$DG42,$B42:$Y42)),
IF(AR$3=$DF42+'Model Setup'!$K$7,SUMIF($AD$3:$BA$3,"="&amp;$DF42+'Model Setup'!$K$7,$B42:$Y42)+'Model Setup'!$K$8*(SUMIF($AD$3:$BA$3,"&lt;"&amp;$DF42,$B42:$Y42)+SUMIF($AD$3:$BA$3,"&gt;="&amp;$DG42,$B42:$Y42)),
IF(AR$3=$DF42+'Model Setup'!$L$7,SUMIF($AD$3:$BA$3,"="&amp;$DF42+'Model Setup'!$L$7,$B42:$Y42)+'Model Setup'!$L$8*(SUMIF($AD$3:$BA$3,"&lt;"&amp;$DF42,$B42:$Y42)+SUMIF($AD$3:$BA$3,"&gt;="&amp;$DG42,$B42:$Y42)),
IF(AR$3=$DF42+'Model Setup'!$M$7,SUMIF($AD$3:$BA$3,"="&amp;$DF42+'Model Setup'!$M$7,$B42:$Y42)+'Model Setup'!$M$8*(SUMIF($AD$3:$BA$3,"&lt;"&amp;$DF42,$B42:$Y42)+SUMIF($AD$3:$BA$3,"&gt;="&amp;$DG42,$B42:$Y42)),
IF(AR$3=$DF42+'Model Setup'!$N$7,SUMIF($AD$3:$BA$3,"="&amp;$DF42+'Model Setup'!$N$7,$B42:$Y42)+'Model Setup'!$N$8*(SUMIF($AD$3:$BA$3,"&lt;"&amp;$DF42,$B42:$Y42)+SUMIF($AD$3:$BA$3,"&gt;="&amp;$DG42,$B42:$Y42)),
IF(AR$3&lt;$DG42,P42,0))))))))))))))),0)</f>
        <v>47</v>
      </c>
      <c r="AS42" s="47">
        <f>ROUND(IF(AS$3&lt;$DF42,0,
IF(AS$3=$DF42+'Model Setup'!$B$7,SUMIF($AD$3:$BA$3,"="&amp;$DF42+'Model Setup'!$B$7,$B42:$Y42)+'Model Setup'!$B$8*(SUMIF($AD$3:$BA$3,"&lt;"&amp;$DF42,$B42:$Y42)+SUMIF($AD$3:$BA$3,"&gt;="&amp;$DG42,$B42:$Y42)),
IF(AS$3=$DF42+'Model Setup'!$C$7,SUMIF($AD$3:$BA$3,"="&amp;$DF42+'Model Setup'!$C$7,$B42:$Y42)+'Model Setup'!$C$8*(SUMIF($AD$3:$BA$3,"&lt;"&amp;$DF42,$B42:$Y42)+SUMIF($AD$3:$BA$3,"&gt;="&amp;$DG42,$B42:$Y42)),
IF(AS$3=$DF42+'Model Setup'!$D$7,SUMIF($AD$3:$BA$3,"="&amp;$DF42+'Model Setup'!$D$7,$B42:$Y42)+'Model Setup'!$D$8*(SUMIF($AD$3:$BA$3,"&lt;"&amp;$DF42,$B42:$Y42)+SUMIF($AD$3:$BA$3,"&gt;="&amp;$DG42,$B42:$Y42)),
IF(AS$3=$DF42+'Model Setup'!$E$7,SUMIF($AD$3:$BA$3,"="&amp;$DF42+'Model Setup'!$E$7,$B42:$Y42)+'Model Setup'!$E$8*(SUMIF($AD$3:$BA$3,"&lt;"&amp;$DF42,$B42:$Y42)+SUMIF($AD$3:$BA$3,"&gt;="&amp;$DG42,$B42:$Y42)),
IF(AS$3=$DF42+'Model Setup'!$F$7,SUMIF($AD$3:$BA$3,"="&amp;$DF42+'Model Setup'!$F$7,$B42:$Y42)+'Model Setup'!$F$8*(SUMIF($AD$3:$BA$3,"&lt;"&amp;$DF42,$B42:$Y42)+SUMIF($AD$3:$BA$3,"&gt;="&amp;$DG42,$B42:$Y42)),
IF(AS$3=$DF42+'Model Setup'!$G$7,SUMIF($AD$3:$BA$3,"="&amp;$DF42+'Model Setup'!$G$7,$B42:$Y42)+'Model Setup'!$G$8*(SUMIF($AD$3:$BA$3,"&lt;"&amp;$DF42,$B42:$Y42)+SUMIF($AD$3:$BA$3,"&gt;="&amp;$DG42,$B42:$Y42)),
IF(AS$3=$DF42+'Model Setup'!$H$7,SUMIF($AD$3:$BA$3,"="&amp;$DF42+'Model Setup'!$H$7,$B42:$Y42)+'Model Setup'!$H$8*(SUMIF($AD$3:$BA$3,"&lt;"&amp;$DF42,$B42:$Y42)+SUMIF($AD$3:$BA$3,"&gt;="&amp;$DG42,$B42:$Y42)),
IF(AS$3=$DF42+'Model Setup'!$I$7,SUMIF($AD$3:$BA$3,"="&amp;$DF42+'Model Setup'!$I$7,$B42:$Y42)+'Model Setup'!$I$8*(SUMIF($AD$3:$BA$3,"&lt;"&amp;$DF42,$B42:$Y42)+SUMIF($AD$3:$BA$3,"&gt;="&amp;$DG42,$B42:$Y42)),
IF(AS$3=$DF42+'Model Setup'!$J$7,SUMIF($AD$3:$BA$3,"="&amp;$DF42+'Model Setup'!$J$7,$B42:$Y42)+'Model Setup'!$J$8*(SUMIF($AD$3:$BA$3,"&lt;"&amp;$DF42,$B42:$Y42)+SUMIF($AD$3:$BA$3,"&gt;="&amp;$DG42,$B42:$Y42)),
IF(AS$3=$DF42+'Model Setup'!$K$7,SUMIF($AD$3:$BA$3,"="&amp;$DF42+'Model Setup'!$K$7,$B42:$Y42)+'Model Setup'!$K$8*(SUMIF($AD$3:$BA$3,"&lt;"&amp;$DF42,$B42:$Y42)+SUMIF($AD$3:$BA$3,"&gt;="&amp;$DG42,$B42:$Y42)),
IF(AS$3=$DF42+'Model Setup'!$L$7,SUMIF($AD$3:$BA$3,"="&amp;$DF42+'Model Setup'!$L$7,$B42:$Y42)+'Model Setup'!$L$8*(SUMIF($AD$3:$BA$3,"&lt;"&amp;$DF42,$B42:$Y42)+SUMIF($AD$3:$BA$3,"&gt;="&amp;$DG42,$B42:$Y42)),
IF(AS$3=$DF42+'Model Setup'!$M$7,SUMIF($AD$3:$BA$3,"="&amp;$DF42+'Model Setup'!$M$7,$B42:$Y42)+'Model Setup'!$M$8*(SUMIF($AD$3:$BA$3,"&lt;"&amp;$DF42,$B42:$Y42)+SUMIF($AD$3:$BA$3,"&gt;="&amp;$DG42,$B42:$Y42)),
IF(AS$3=$DF42+'Model Setup'!$N$7,SUMIF($AD$3:$BA$3,"="&amp;$DF42+'Model Setup'!$N$7,$B42:$Y42)+'Model Setup'!$N$8*(SUMIF($AD$3:$BA$3,"&lt;"&amp;$DF42,$B42:$Y42)+SUMIF($AD$3:$BA$3,"&gt;="&amp;$DG42,$B42:$Y42)),
IF(AS$3&lt;$DG42,Q42,0))))))))))))))),0)</f>
        <v>29</v>
      </c>
      <c r="AT42" s="47">
        <f>ROUND(IF(AT$3&lt;$DF42,0,
IF(AT$3=$DF42+'Model Setup'!$B$7,SUMIF($AD$3:$BA$3,"="&amp;$DF42+'Model Setup'!$B$7,$B42:$Y42)+'Model Setup'!$B$8*(SUMIF($AD$3:$BA$3,"&lt;"&amp;$DF42,$B42:$Y42)+SUMIF($AD$3:$BA$3,"&gt;="&amp;$DG42,$B42:$Y42)),
IF(AT$3=$DF42+'Model Setup'!$C$7,SUMIF($AD$3:$BA$3,"="&amp;$DF42+'Model Setup'!$C$7,$B42:$Y42)+'Model Setup'!$C$8*(SUMIF($AD$3:$BA$3,"&lt;"&amp;$DF42,$B42:$Y42)+SUMIF($AD$3:$BA$3,"&gt;="&amp;$DG42,$B42:$Y42)),
IF(AT$3=$DF42+'Model Setup'!$D$7,SUMIF($AD$3:$BA$3,"="&amp;$DF42+'Model Setup'!$D$7,$B42:$Y42)+'Model Setup'!$D$8*(SUMIF($AD$3:$BA$3,"&lt;"&amp;$DF42,$B42:$Y42)+SUMIF($AD$3:$BA$3,"&gt;="&amp;$DG42,$B42:$Y42)),
IF(AT$3=$DF42+'Model Setup'!$E$7,SUMIF($AD$3:$BA$3,"="&amp;$DF42+'Model Setup'!$E$7,$B42:$Y42)+'Model Setup'!$E$8*(SUMIF($AD$3:$BA$3,"&lt;"&amp;$DF42,$B42:$Y42)+SUMIF($AD$3:$BA$3,"&gt;="&amp;$DG42,$B42:$Y42)),
IF(AT$3=$DF42+'Model Setup'!$F$7,SUMIF($AD$3:$BA$3,"="&amp;$DF42+'Model Setup'!$F$7,$B42:$Y42)+'Model Setup'!$F$8*(SUMIF($AD$3:$BA$3,"&lt;"&amp;$DF42,$B42:$Y42)+SUMIF($AD$3:$BA$3,"&gt;="&amp;$DG42,$B42:$Y42)),
IF(AT$3=$DF42+'Model Setup'!$G$7,SUMIF($AD$3:$BA$3,"="&amp;$DF42+'Model Setup'!$G$7,$B42:$Y42)+'Model Setup'!$G$8*(SUMIF($AD$3:$BA$3,"&lt;"&amp;$DF42,$B42:$Y42)+SUMIF($AD$3:$BA$3,"&gt;="&amp;$DG42,$B42:$Y42)),
IF(AT$3=$DF42+'Model Setup'!$H$7,SUMIF($AD$3:$BA$3,"="&amp;$DF42+'Model Setup'!$H$7,$B42:$Y42)+'Model Setup'!$H$8*(SUMIF($AD$3:$BA$3,"&lt;"&amp;$DF42,$B42:$Y42)+SUMIF($AD$3:$BA$3,"&gt;="&amp;$DG42,$B42:$Y42)),
IF(AT$3=$DF42+'Model Setup'!$I$7,SUMIF($AD$3:$BA$3,"="&amp;$DF42+'Model Setup'!$I$7,$B42:$Y42)+'Model Setup'!$I$8*(SUMIF($AD$3:$BA$3,"&lt;"&amp;$DF42,$B42:$Y42)+SUMIF($AD$3:$BA$3,"&gt;="&amp;$DG42,$B42:$Y42)),
IF(AT$3=$DF42+'Model Setup'!$J$7,SUMIF($AD$3:$BA$3,"="&amp;$DF42+'Model Setup'!$J$7,$B42:$Y42)+'Model Setup'!$J$8*(SUMIF($AD$3:$BA$3,"&lt;"&amp;$DF42,$B42:$Y42)+SUMIF($AD$3:$BA$3,"&gt;="&amp;$DG42,$B42:$Y42)),
IF(AT$3=$DF42+'Model Setup'!$K$7,SUMIF($AD$3:$BA$3,"="&amp;$DF42+'Model Setup'!$K$7,$B42:$Y42)+'Model Setup'!$K$8*(SUMIF($AD$3:$BA$3,"&lt;"&amp;$DF42,$B42:$Y42)+SUMIF($AD$3:$BA$3,"&gt;="&amp;$DG42,$B42:$Y42)),
IF(AT$3=$DF42+'Model Setup'!$L$7,SUMIF($AD$3:$BA$3,"="&amp;$DF42+'Model Setup'!$L$7,$B42:$Y42)+'Model Setup'!$L$8*(SUMIF($AD$3:$BA$3,"&lt;"&amp;$DF42,$B42:$Y42)+SUMIF($AD$3:$BA$3,"&gt;="&amp;$DG42,$B42:$Y42)),
IF(AT$3=$DF42+'Model Setup'!$M$7,SUMIF($AD$3:$BA$3,"="&amp;$DF42+'Model Setup'!$M$7,$B42:$Y42)+'Model Setup'!$M$8*(SUMIF($AD$3:$BA$3,"&lt;"&amp;$DF42,$B42:$Y42)+SUMIF($AD$3:$BA$3,"&gt;="&amp;$DG42,$B42:$Y42)),
IF(AT$3=$DF42+'Model Setup'!$N$7,SUMIF($AD$3:$BA$3,"="&amp;$DF42+'Model Setup'!$N$7,$B42:$Y42)+'Model Setup'!$N$8*(SUMIF($AD$3:$BA$3,"&lt;"&amp;$DF42,$B42:$Y42)+SUMIF($AD$3:$BA$3,"&gt;="&amp;$DG42,$B42:$Y42)),
IF(AT$3&lt;$DG42,R42,0))))))))))))))),0)</f>
        <v>21</v>
      </c>
      <c r="AU42" s="47">
        <f>ROUND(IF(AU$3&lt;$DF42,0,
IF(AU$3=$DF42+'Model Setup'!$B$7,SUMIF($AD$3:$BA$3,"="&amp;$DF42+'Model Setup'!$B$7,$B42:$Y42)+'Model Setup'!$B$8*(SUMIF($AD$3:$BA$3,"&lt;"&amp;$DF42,$B42:$Y42)+SUMIF($AD$3:$BA$3,"&gt;="&amp;$DG42,$B42:$Y42)),
IF(AU$3=$DF42+'Model Setup'!$C$7,SUMIF($AD$3:$BA$3,"="&amp;$DF42+'Model Setup'!$C$7,$B42:$Y42)+'Model Setup'!$C$8*(SUMIF($AD$3:$BA$3,"&lt;"&amp;$DF42,$B42:$Y42)+SUMIF($AD$3:$BA$3,"&gt;="&amp;$DG42,$B42:$Y42)),
IF(AU$3=$DF42+'Model Setup'!$D$7,SUMIF($AD$3:$BA$3,"="&amp;$DF42+'Model Setup'!$D$7,$B42:$Y42)+'Model Setup'!$D$8*(SUMIF($AD$3:$BA$3,"&lt;"&amp;$DF42,$B42:$Y42)+SUMIF($AD$3:$BA$3,"&gt;="&amp;$DG42,$B42:$Y42)),
IF(AU$3=$DF42+'Model Setup'!$E$7,SUMIF($AD$3:$BA$3,"="&amp;$DF42+'Model Setup'!$E$7,$B42:$Y42)+'Model Setup'!$E$8*(SUMIF($AD$3:$BA$3,"&lt;"&amp;$DF42,$B42:$Y42)+SUMIF($AD$3:$BA$3,"&gt;="&amp;$DG42,$B42:$Y42)),
IF(AU$3=$DF42+'Model Setup'!$F$7,SUMIF($AD$3:$BA$3,"="&amp;$DF42+'Model Setup'!$F$7,$B42:$Y42)+'Model Setup'!$F$8*(SUMIF($AD$3:$BA$3,"&lt;"&amp;$DF42,$B42:$Y42)+SUMIF($AD$3:$BA$3,"&gt;="&amp;$DG42,$B42:$Y42)),
IF(AU$3=$DF42+'Model Setup'!$G$7,SUMIF($AD$3:$BA$3,"="&amp;$DF42+'Model Setup'!$G$7,$B42:$Y42)+'Model Setup'!$G$8*(SUMIF($AD$3:$BA$3,"&lt;"&amp;$DF42,$B42:$Y42)+SUMIF($AD$3:$BA$3,"&gt;="&amp;$DG42,$B42:$Y42)),
IF(AU$3=$DF42+'Model Setup'!$H$7,SUMIF($AD$3:$BA$3,"="&amp;$DF42+'Model Setup'!$H$7,$B42:$Y42)+'Model Setup'!$H$8*(SUMIF($AD$3:$BA$3,"&lt;"&amp;$DF42,$B42:$Y42)+SUMIF($AD$3:$BA$3,"&gt;="&amp;$DG42,$B42:$Y42)),
IF(AU$3=$DF42+'Model Setup'!$I$7,SUMIF($AD$3:$BA$3,"="&amp;$DF42+'Model Setup'!$I$7,$B42:$Y42)+'Model Setup'!$I$8*(SUMIF($AD$3:$BA$3,"&lt;"&amp;$DF42,$B42:$Y42)+SUMIF($AD$3:$BA$3,"&gt;="&amp;$DG42,$B42:$Y42)),
IF(AU$3=$DF42+'Model Setup'!$J$7,SUMIF($AD$3:$BA$3,"="&amp;$DF42+'Model Setup'!$J$7,$B42:$Y42)+'Model Setup'!$J$8*(SUMIF($AD$3:$BA$3,"&lt;"&amp;$DF42,$B42:$Y42)+SUMIF($AD$3:$BA$3,"&gt;="&amp;$DG42,$B42:$Y42)),
IF(AU$3=$DF42+'Model Setup'!$K$7,SUMIF($AD$3:$BA$3,"="&amp;$DF42+'Model Setup'!$K$7,$B42:$Y42)+'Model Setup'!$K$8*(SUMIF($AD$3:$BA$3,"&lt;"&amp;$DF42,$B42:$Y42)+SUMIF($AD$3:$BA$3,"&gt;="&amp;$DG42,$B42:$Y42)),
IF(AU$3=$DF42+'Model Setup'!$L$7,SUMIF($AD$3:$BA$3,"="&amp;$DF42+'Model Setup'!$L$7,$B42:$Y42)+'Model Setup'!$L$8*(SUMIF($AD$3:$BA$3,"&lt;"&amp;$DF42,$B42:$Y42)+SUMIF($AD$3:$BA$3,"&gt;="&amp;$DG42,$B42:$Y42)),
IF(AU$3=$DF42+'Model Setup'!$M$7,SUMIF($AD$3:$BA$3,"="&amp;$DF42+'Model Setup'!$M$7,$B42:$Y42)+'Model Setup'!$M$8*(SUMIF($AD$3:$BA$3,"&lt;"&amp;$DF42,$B42:$Y42)+SUMIF($AD$3:$BA$3,"&gt;="&amp;$DG42,$B42:$Y42)),
IF(AU$3=$DF42+'Model Setup'!$N$7,SUMIF($AD$3:$BA$3,"="&amp;$DF42+'Model Setup'!$N$7,$B42:$Y42)+'Model Setup'!$N$8*(SUMIF($AD$3:$BA$3,"&lt;"&amp;$DF42,$B42:$Y42)+SUMIF($AD$3:$BA$3,"&gt;="&amp;$DG42,$B42:$Y42)),
IF(AU$3&lt;$DG42,S42,0))))))))))))))),0)</f>
        <v>44</v>
      </c>
      <c r="AV42" s="47">
        <f>ROUND(IF(AV$3&lt;$DF42,0,
IF(AV$3=$DF42+'Model Setup'!$B$7,SUMIF($AD$3:$BA$3,"="&amp;$DF42+'Model Setup'!$B$7,$B42:$Y42)+'Model Setup'!$B$8*(SUMIF($AD$3:$BA$3,"&lt;"&amp;$DF42,$B42:$Y42)+SUMIF($AD$3:$BA$3,"&gt;="&amp;$DG42,$B42:$Y42)),
IF(AV$3=$DF42+'Model Setup'!$C$7,SUMIF($AD$3:$BA$3,"="&amp;$DF42+'Model Setup'!$C$7,$B42:$Y42)+'Model Setup'!$C$8*(SUMIF($AD$3:$BA$3,"&lt;"&amp;$DF42,$B42:$Y42)+SUMIF($AD$3:$BA$3,"&gt;="&amp;$DG42,$B42:$Y42)),
IF(AV$3=$DF42+'Model Setup'!$D$7,SUMIF($AD$3:$BA$3,"="&amp;$DF42+'Model Setup'!$D$7,$B42:$Y42)+'Model Setup'!$D$8*(SUMIF($AD$3:$BA$3,"&lt;"&amp;$DF42,$B42:$Y42)+SUMIF($AD$3:$BA$3,"&gt;="&amp;$DG42,$B42:$Y42)),
IF(AV$3=$DF42+'Model Setup'!$E$7,SUMIF($AD$3:$BA$3,"="&amp;$DF42+'Model Setup'!$E$7,$B42:$Y42)+'Model Setup'!$E$8*(SUMIF($AD$3:$BA$3,"&lt;"&amp;$DF42,$B42:$Y42)+SUMIF($AD$3:$BA$3,"&gt;="&amp;$DG42,$B42:$Y42)),
IF(AV$3=$DF42+'Model Setup'!$F$7,SUMIF($AD$3:$BA$3,"="&amp;$DF42+'Model Setup'!$F$7,$B42:$Y42)+'Model Setup'!$F$8*(SUMIF($AD$3:$BA$3,"&lt;"&amp;$DF42,$B42:$Y42)+SUMIF($AD$3:$BA$3,"&gt;="&amp;$DG42,$B42:$Y42)),
IF(AV$3=$DF42+'Model Setup'!$G$7,SUMIF($AD$3:$BA$3,"="&amp;$DF42+'Model Setup'!$G$7,$B42:$Y42)+'Model Setup'!$G$8*(SUMIF($AD$3:$BA$3,"&lt;"&amp;$DF42,$B42:$Y42)+SUMIF($AD$3:$BA$3,"&gt;="&amp;$DG42,$B42:$Y42)),
IF(AV$3=$DF42+'Model Setup'!$H$7,SUMIF($AD$3:$BA$3,"="&amp;$DF42+'Model Setup'!$H$7,$B42:$Y42)+'Model Setup'!$H$8*(SUMIF($AD$3:$BA$3,"&lt;"&amp;$DF42,$B42:$Y42)+SUMIF($AD$3:$BA$3,"&gt;="&amp;$DG42,$B42:$Y42)),
IF(AV$3=$DF42+'Model Setup'!$I$7,SUMIF($AD$3:$BA$3,"="&amp;$DF42+'Model Setup'!$I$7,$B42:$Y42)+'Model Setup'!$I$8*(SUMIF($AD$3:$BA$3,"&lt;"&amp;$DF42,$B42:$Y42)+SUMIF($AD$3:$BA$3,"&gt;="&amp;$DG42,$B42:$Y42)),
IF(AV$3=$DF42+'Model Setup'!$J$7,SUMIF($AD$3:$BA$3,"="&amp;$DF42+'Model Setup'!$J$7,$B42:$Y42)+'Model Setup'!$J$8*(SUMIF($AD$3:$BA$3,"&lt;"&amp;$DF42,$B42:$Y42)+SUMIF($AD$3:$BA$3,"&gt;="&amp;$DG42,$B42:$Y42)),
IF(AV$3=$DF42+'Model Setup'!$K$7,SUMIF($AD$3:$BA$3,"="&amp;$DF42+'Model Setup'!$K$7,$B42:$Y42)+'Model Setup'!$K$8*(SUMIF($AD$3:$BA$3,"&lt;"&amp;$DF42,$B42:$Y42)+SUMIF($AD$3:$BA$3,"&gt;="&amp;$DG42,$B42:$Y42)),
IF(AV$3=$DF42+'Model Setup'!$L$7,SUMIF($AD$3:$BA$3,"="&amp;$DF42+'Model Setup'!$L$7,$B42:$Y42)+'Model Setup'!$L$8*(SUMIF($AD$3:$BA$3,"&lt;"&amp;$DF42,$B42:$Y42)+SUMIF($AD$3:$BA$3,"&gt;="&amp;$DG42,$B42:$Y42)),
IF(AV$3=$DF42+'Model Setup'!$M$7,SUMIF($AD$3:$BA$3,"="&amp;$DF42+'Model Setup'!$M$7,$B42:$Y42)+'Model Setup'!$M$8*(SUMIF($AD$3:$BA$3,"&lt;"&amp;$DF42,$B42:$Y42)+SUMIF($AD$3:$BA$3,"&gt;="&amp;$DG42,$B42:$Y42)),
IF(AV$3=$DF42+'Model Setup'!$N$7,SUMIF($AD$3:$BA$3,"="&amp;$DF42+'Model Setup'!$N$7,$B42:$Y42)+'Model Setup'!$N$8*(SUMIF($AD$3:$BA$3,"&lt;"&amp;$DF42,$B42:$Y42)+SUMIF($AD$3:$BA$3,"&gt;="&amp;$DG42,$B42:$Y42)),
IF(AV$3&lt;$DG42,T42,0))))))))))))))),0)</f>
        <v>50</v>
      </c>
      <c r="AW42" s="47">
        <f>ROUND(IF(AW$3&lt;$DF42,0,
IF(AW$3=$DF42+'Model Setup'!$B$7,SUMIF($AD$3:$BA$3,"="&amp;$DF42+'Model Setup'!$B$7,$B42:$Y42)+'Model Setup'!$B$8*(SUMIF($AD$3:$BA$3,"&lt;"&amp;$DF42,$B42:$Y42)+SUMIF($AD$3:$BA$3,"&gt;="&amp;$DG42,$B42:$Y42)),
IF(AW$3=$DF42+'Model Setup'!$C$7,SUMIF($AD$3:$BA$3,"="&amp;$DF42+'Model Setup'!$C$7,$B42:$Y42)+'Model Setup'!$C$8*(SUMIF($AD$3:$BA$3,"&lt;"&amp;$DF42,$B42:$Y42)+SUMIF($AD$3:$BA$3,"&gt;="&amp;$DG42,$B42:$Y42)),
IF(AW$3=$DF42+'Model Setup'!$D$7,SUMIF($AD$3:$BA$3,"="&amp;$DF42+'Model Setup'!$D$7,$B42:$Y42)+'Model Setup'!$D$8*(SUMIF($AD$3:$BA$3,"&lt;"&amp;$DF42,$B42:$Y42)+SUMIF($AD$3:$BA$3,"&gt;="&amp;$DG42,$B42:$Y42)),
IF(AW$3=$DF42+'Model Setup'!$E$7,SUMIF($AD$3:$BA$3,"="&amp;$DF42+'Model Setup'!$E$7,$B42:$Y42)+'Model Setup'!$E$8*(SUMIF($AD$3:$BA$3,"&lt;"&amp;$DF42,$B42:$Y42)+SUMIF($AD$3:$BA$3,"&gt;="&amp;$DG42,$B42:$Y42)),
IF(AW$3=$DF42+'Model Setup'!$F$7,SUMIF($AD$3:$BA$3,"="&amp;$DF42+'Model Setup'!$F$7,$B42:$Y42)+'Model Setup'!$F$8*(SUMIF($AD$3:$BA$3,"&lt;"&amp;$DF42,$B42:$Y42)+SUMIF($AD$3:$BA$3,"&gt;="&amp;$DG42,$B42:$Y42)),
IF(AW$3=$DF42+'Model Setup'!$G$7,SUMIF($AD$3:$BA$3,"="&amp;$DF42+'Model Setup'!$G$7,$B42:$Y42)+'Model Setup'!$G$8*(SUMIF($AD$3:$BA$3,"&lt;"&amp;$DF42,$B42:$Y42)+SUMIF($AD$3:$BA$3,"&gt;="&amp;$DG42,$B42:$Y42)),
IF(AW$3=$DF42+'Model Setup'!$H$7,SUMIF($AD$3:$BA$3,"="&amp;$DF42+'Model Setup'!$H$7,$B42:$Y42)+'Model Setup'!$H$8*(SUMIF($AD$3:$BA$3,"&lt;"&amp;$DF42,$B42:$Y42)+SUMIF($AD$3:$BA$3,"&gt;="&amp;$DG42,$B42:$Y42)),
IF(AW$3=$DF42+'Model Setup'!$I$7,SUMIF($AD$3:$BA$3,"="&amp;$DF42+'Model Setup'!$I$7,$B42:$Y42)+'Model Setup'!$I$8*(SUMIF($AD$3:$BA$3,"&lt;"&amp;$DF42,$B42:$Y42)+SUMIF($AD$3:$BA$3,"&gt;="&amp;$DG42,$B42:$Y42)),
IF(AW$3=$DF42+'Model Setup'!$J$7,SUMIF($AD$3:$BA$3,"="&amp;$DF42+'Model Setup'!$J$7,$B42:$Y42)+'Model Setup'!$J$8*(SUMIF($AD$3:$BA$3,"&lt;"&amp;$DF42,$B42:$Y42)+SUMIF($AD$3:$BA$3,"&gt;="&amp;$DG42,$B42:$Y42)),
IF(AW$3=$DF42+'Model Setup'!$K$7,SUMIF($AD$3:$BA$3,"="&amp;$DF42+'Model Setup'!$K$7,$B42:$Y42)+'Model Setup'!$K$8*(SUMIF($AD$3:$BA$3,"&lt;"&amp;$DF42,$B42:$Y42)+SUMIF($AD$3:$BA$3,"&gt;="&amp;$DG42,$B42:$Y42)),
IF(AW$3=$DF42+'Model Setup'!$L$7,SUMIF($AD$3:$BA$3,"="&amp;$DF42+'Model Setup'!$L$7,$B42:$Y42)+'Model Setup'!$L$8*(SUMIF($AD$3:$BA$3,"&lt;"&amp;$DF42,$B42:$Y42)+SUMIF($AD$3:$BA$3,"&gt;="&amp;$DG42,$B42:$Y42)),
IF(AW$3=$DF42+'Model Setup'!$M$7,SUMIF($AD$3:$BA$3,"="&amp;$DF42+'Model Setup'!$M$7,$B42:$Y42)+'Model Setup'!$M$8*(SUMIF($AD$3:$BA$3,"&lt;"&amp;$DF42,$B42:$Y42)+SUMIF($AD$3:$BA$3,"&gt;="&amp;$DG42,$B42:$Y42)),
IF(AW$3=$DF42+'Model Setup'!$N$7,SUMIF($AD$3:$BA$3,"="&amp;$DF42+'Model Setup'!$N$7,$B42:$Y42)+'Model Setup'!$N$8*(SUMIF($AD$3:$BA$3,"&lt;"&amp;$DF42,$B42:$Y42)+SUMIF($AD$3:$BA$3,"&gt;="&amp;$DG42,$B42:$Y42)),
IF(AW$3&lt;$DG42,U42,0))))))))))))))),0)</f>
        <v>41</v>
      </c>
      <c r="AX42" s="47">
        <f>ROUND(IF(AX$3&lt;$DF42,0,
IF(AX$3=$DF42+'Model Setup'!$B$7,SUMIF($AD$3:$BA$3,"="&amp;$DF42+'Model Setup'!$B$7,$B42:$Y42)+'Model Setup'!$B$8*(SUMIF($AD$3:$BA$3,"&lt;"&amp;$DF42,$B42:$Y42)+SUMIF($AD$3:$BA$3,"&gt;="&amp;$DG42,$B42:$Y42)),
IF(AX$3=$DF42+'Model Setup'!$C$7,SUMIF($AD$3:$BA$3,"="&amp;$DF42+'Model Setup'!$C$7,$B42:$Y42)+'Model Setup'!$C$8*(SUMIF($AD$3:$BA$3,"&lt;"&amp;$DF42,$B42:$Y42)+SUMIF($AD$3:$BA$3,"&gt;="&amp;$DG42,$B42:$Y42)),
IF(AX$3=$DF42+'Model Setup'!$D$7,SUMIF($AD$3:$BA$3,"="&amp;$DF42+'Model Setup'!$D$7,$B42:$Y42)+'Model Setup'!$D$8*(SUMIF($AD$3:$BA$3,"&lt;"&amp;$DF42,$B42:$Y42)+SUMIF($AD$3:$BA$3,"&gt;="&amp;$DG42,$B42:$Y42)),
IF(AX$3=$DF42+'Model Setup'!$E$7,SUMIF($AD$3:$BA$3,"="&amp;$DF42+'Model Setup'!$E$7,$B42:$Y42)+'Model Setup'!$E$8*(SUMIF($AD$3:$BA$3,"&lt;"&amp;$DF42,$B42:$Y42)+SUMIF($AD$3:$BA$3,"&gt;="&amp;$DG42,$B42:$Y42)),
IF(AX$3=$DF42+'Model Setup'!$F$7,SUMIF($AD$3:$BA$3,"="&amp;$DF42+'Model Setup'!$F$7,$B42:$Y42)+'Model Setup'!$F$8*(SUMIF($AD$3:$BA$3,"&lt;"&amp;$DF42,$B42:$Y42)+SUMIF($AD$3:$BA$3,"&gt;="&amp;$DG42,$B42:$Y42)),
IF(AX$3=$DF42+'Model Setup'!$G$7,SUMIF($AD$3:$BA$3,"="&amp;$DF42+'Model Setup'!$G$7,$B42:$Y42)+'Model Setup'!$G$8*(SUMIF($AD$3:$BA$3,"&lt;"&amp;$DF42,$B42:$Y42)+SUMIF($AD$3:$BA$3,"&gt;="&amp;$DG42,$B42:$Y42)),
IF(AX$3=$DF42+'Model Setup'!$H$7,SUMIF($AD$3:$BA$3,"="&amp;$DF42+'Model Setup'!$H$7,$B42:$Y42)+'Model Setup'!$H$8*(SUMIF($AD$3:$BA$3,"&lt;"&amp;$DF42,$B42:$Y42)+SUMIF($AD$3:$BA$3,"&gt;="&amp;$DG42,$B42:$Y42)),
IF(AX$3=$DF42+'Model Setup'!$I$7,SUMIF($AD$3:$BA$3,"="&amp;$DF42+'Model Setup'!$I$7,$B42:$Y42)+'Model Setup'!$I$8*(SUMIF($AD$3:$BA$3,"&lt;"&amp;$DF42,$B42:$Y42)+SUMIF($AD$3:$BA$3,"&gt;="&amp;$DG42,$B42:$Y42)),
IF(AX$3=$DF42+'Model Setup'!$J$7,SUMIF($AD$3:$BA$3,"="&amp;$DF42+'Model Setup'!$J$7,$B42:$Y42)+'Model Setup'!$J$8*(SUMIF($AD$3:$BA$3,"&lt;"&amp;$DF42,$B42:$Y42)+SUMIF($AD$3:$BA$3,"&gt;="&amp;$DG42,$B42:$Y42)),
IF(AX$3=$DF42+'Model Setup'!$K$7,SUMIF($AD$3:$BA$3,"="&amp;$DF42+'Model Setup'!$K$7,$B42:$Y42)+'Model Setup'!$K$8*(SUMIF($AD$3:$BA$3,"&lt;"&amp;$DF42,$B42:$Y42)+SUMIF($AD$3:$BA$3,"&gt;="&amp;$DG42,$B42:$Y42)),
IF(AX$3=$DF42+'Model Setup'!$L$7,SUMIF($AD$3:$BA$3,"="&amp;$DF42+'Model Setup'!$L$7,$B42:$Y42)+'Model Setup'!$L$8*(SUMIF($AD$3:$BA$3,"&lt;"&amp;$DF42,$B42:$Y42)+SUMIF($AD$3:$BA$3,"&gt;="&amp;$DG42,$B42:$Y42)),
IF(AX$3=$DF42+'Model Setup'!$M$7,SUMIF($AD$3:$BA$3,"="&amp;$DF42+'Model Setup'!$M$7,$B42:$Y42)+'Model Setup'!$M$8*(SUMIF($AD$3:$BA$3,"&lt;"&amp;$DF42,$B42:$Y42)+SUMIF($AD$3:$BA$3,"&gt;="&amp;$DG42,$B42:$Y42)),
IF(AX$3=$DF42+'Model Setup'!$N$7,SUMIF($AD$3:$BA$3,"="&amp;$DF42+'Model Setup'!$N$7,$B42:$Y42)+'Model Setup'!$N$8*(SUMIF($AD$3:$BA$3,"&lt;"&amp;$DF42,$B42:$Y42)+SUMIF($AD$3:$BA$3,"&gt;="&amp;$DG42,$B42:$Y42)),
IF(AX$3&lt;$DG42,V42,0))))))))))))))),0)</f>
        <v>0</v>
      </c>
      <c r="AY42" s="47">
        <f>ROUND(IF(AY$3&lt;$DF42,0,
IF(AY$3=$DF42+'Model Setup'!$B$7,SUMIF($AD$3:$BA$3,"="&amp;$DF42+'Model Setup'!$B$7,$B42:$Y42)+'Model Setup'!$B$8*(SUMIF($AD$3:$BA$3,"&lt;"&amp;$DF42,$B42:$Y42)+SUMIF($AD$3:$BA$3,"&gt;="&amp;$DG42,$B42:$Y42)),
IF(AY$3=$DF42+'Model Setup'!$C$7,SUMIF($AD$3:$BA$3,"="&amp;$DF42+'Model Setup'!$C$7,$B42:$Y42)+'Model Setup'!$C$8*(SUMIF($AD$3:$BA$3,"&lt;"&amp;$DF42,$B42:$Y42)+SUMIF($AD$3:$BA$3,"&gt;="&amp;$DG42,$B42:$Y42)),
IF(AY$3=$DF42+'Model Setup'!$D$7,SUMIF($AD$3:$BA$3,"="&amp;$DF42+'Model Setup'!$D$7,$B42:$Y42)+'Model Setup'!$D$8*(SUMIF($AD$3:$BA$3,"&lt;"&amp;$DF42,$B42:$Y42)+SUMIF($AD$3:$BA$3,"&gt;="&amp;$DG42,$B42:$Y42)),
IF(AY$3=$DF42+'Model Setup'!$E$7,SUMIF($AD$3:$BA$3,"="&amp;$DF42+'Model Setup'!$E$7,$B42:$Y42)+'Model Setup'!$E$8*(SUMIF($AD$3:$BA$3,"&lt;"&amp;$DF42,$B42:$Y42)+SUMIF($AD$3:$BA$3,"&gt;="&amp;$DG42,$B42:$Y42)),
IF(AY$3=$DF42+'Model Setup'!$F$7,SUMIF($AD$3:$BA$3,"="&amp;$DF42+'Model Setup'!$F$7,$B42:$Y42)+'Model Setup'!$F$8*(SUMIF($AD$3:$BA$3,"&lt;"&amp;$DF42,$B42:$Y42)+SUMIF($AD$3:$BA$3,"&gt;="&amp;$DG42,$B42:$Y42)),
IF(AY$3=$DF42+'Model Setup'!$G$7,SUMIF($AD$3:$BA$3,"="&amp;$DF42+'Model Setup'!$G$7,$B42:$Y42)+'Model Setup'!$G$8*(SUMIF($AD$3:$BA$3,"&lt;"&amp;$DF42,$B42:$Y42)+SUMIF($AD$3:$BA$3,"&gt;="&amp;$DG42,$B42:$Y42)),
IF(AY$3=$DF42+'Model Setup'!$H$7,SUMIF($AD$3:$BA$3,"="&amp;$DF42+'Model Setup'!$H$7,$B42:$Y42)+'Model Setup'!$H$8*(SUMIF($AD$3:$BA$3,"&lt;"&amp;$DF42,$B42:$Y42)+SUMIF($AD$3:$BA$3,"&gt;="&amp;$DG42,$B42:$Y42)),
IF(AY$3=$DF42+'Model Setup'!$I$7,SUMIF($AD$3:$BA$3,"="&amp;$DF42+'Model Setup'!$I$7,$B42:$Y42)+'Model Setup'!$I$8*(SUMIF($AD$3:$BA$3,"&lt;"&amp;$DF42,$B42:$Y42)+SUMIF($AD$3:$BA$3,"&gt;="&amp;$DG42,$B42:$Y42)),
IF(AY$3=$DF42+'Model Setup'!$J$7,SUMIF($AD$3:$BA$3,"="&amp;$DF42+'Model Setup'!$J$7,$B42:$Y42)+'Model Setup'!$J$8*(SUMIF($AD$3:$BA$3,"&lt;"&amp;$DF42,$B42:$Y42)+SUMIF($AD$3:$BA$3,"&gt;="&amp;$DG42,$B42:$Y42)),
IF(AY$3=$DF42+'Model Setup'!$K$7,SUMIF($AD$3:$BA$3,"="&amp;$DF42+'Model Setup'!$K$7,$B42:$Y42)+'Model Setup'!$K$8*(SUMIF($AD$3:$BA$3,"&lt;"&amp;$DF42,$B42:$Y42)+SUMIF($AD$3:$BA$3,"&gt;="&amp;$DG42,$B42:$Y42)),
IF(AY$3=$DF42+'Model Setup'!$L$7,SUMIF($AD$3:$BA$3,"="&amp;$DF42+'Model Setup'!$L$7,$B42:$Y42)+'Model Setup'!$L$8*(SUMIF($AD$3:$BA$3,"&lt;"&amp;$DF42,$B42:$Y42)+SUMIF($AD$3:$BA$3,"&gt;="&amp;$DG42,$B42:$Y42)),
IF(AY$3=$DF42+'Model Setup'!$M$7,SUMIF($AD$3:$BA$3,"="&amp;$DF42+'Model Setup'!$M$7,$B42:$Y42)+'Model Setup'!$M$8*(SUMIF($AD$3:$BA$3,"&lt;"&amp;$DF42,$B42:$Y42)+SUMIF($AD$3:$BA$3,"&gt;="&amp;$DG42,$B42:$Y42)),
IF(AY$3=$DF42+'Model Setup'!$N$7,SUMIF($AD$3:$BA$3,"="&amp;$DF42+'Model Setup'!$N$7,$B42:$Y42)+'Model Setup'!$N$8*(SUMIF($AD$3:$BA$3,"&lt;"&amp;$DF42,$B42:$Y42)+SUMIF($AD$3:$BA$3,"&gt;="&amp;$DG42,$B42:$Y42)),
IF(AY$3&lt;$DG42,W42,0))))))))))))))),0)</f>
        <v>0</v>
      </c>
      <c r="AZ42" s="47">
        <f>ROUND(IF(AZ$3&lt;$DF42,0,
IF(AZ$3=$DF42+'Model Setup'!$B$7,SUMIF($AD$3:$BA$3,"="&amp;$DF42+'Model Setup'!$B$7,$B42:$Y42)+'Model Setup'!$B$8*(SUMIF($AD$3:$BA$3,"&lt;"&amp;$DF42,$B42:$Y42)+SUMIF($AD$3:$BA$3,"&gt;="&amp;$DG42,$B42:$Y42)),
IF(AZ$3=$DF42+'Model Setup'!$C$7,SUMIF($AD$3:$BA$3,"="&amp;$DF42+'Model Setup'!$C$7,$B42:$Y42)+'Model Setup'!$C$8*(SUMIF($AD$3:$BA$3,"&lt;"&amp;$DF42,$B42:$Y42)+SUMIF($AD$3:$BA$3,"&gt;="&amp;$DG42,$B42:$Y42)),
IF(AZ$3=$DF42+'Model Setup'!$D$7,SUMIF($AD$3:$BA$3,"="&amp;$DF42+'Model Setup'!$D$7,$B42:$Y42)+'Model Setup'!$D$8*(SUMIF($AD$3:$BA$3,"&lt;"&amp;$DF42,$B42:$Y42)+SUMIF($AD$3:$BA$3,"&gt;="&amp;$DG42,$B42:$Y42)),
IF(AZ$3=$DF42+'Model Setup'!$E$7,SUMIF($AD$3:$BA$3,"="&amp;$DF42+'Model Setup'!$E$7,$B42:$Y42)+'Model Setup'!$E$8*(SUMIF($AD$3:$BA$3,"&lt;"&amp;$DF42,$B42:$Y42)+SUMIF($AD$3:$BA$3,"&gt;="&amp;$DG42,$B42:$Y42)),
IF(AZ$3=$DF42+'Model Setup'!$F$7,SUMIF($AD$3:$BA$3,"="&amp;$DF42+'Model Setup'!$F$7,$B42:$Y42)+'Model Setup'!$F$8*(SUMIF($AD$3:$BA$3,"&lt;"&amp;$DF42,$B42:$Y42)+SUMIF($AD$3:$BA$3,"&gt;="&amp;$DG42,$B42:$Y42)),
IF(AZ$3=$DF42+'Model Setup'!$G$7,SUMIF($AD$3:$BA$3,"="&amp;$DF42+'Model Setup'!$G$7,$B42:$Y42)+'Model Setup'!$G$8*(SUMIF($AD$3:$BA$3,"&lt;"&amp;$DF42,$B42:$Y42)+SUMIF($AD$3:$BA$3,"&gt;="&amp;$DG42,$B42:$Y42)),
IF(AZ$3=$DF42+'Model Setup'!$H$7,SUMIF($AD$3:$BA$3,"="&amp;$DF42+'Model Setup'!$H$7,$B42:$Y42)+'Model Setup'!$H$8*(SUMIF($AD$3:$BA$3,"&lt;"&amp;$DF42,$B42:$Y42)+SUMIF($AD$3:$BA$3,"&gt;="&amp;$DG42,$B42:$Y42)),
IF(AZ$3=$DF42+'Model Setup'!$I$7,SUMIF($AD$3:$BA$3,"="&amp;$DF42+'Model Setup'!$I$7,$B42:$Y42)+'Model Setup'!$I$8*(SUMIF($AD$3:$BA$3,"&lt;"&amp;$DF42,$B42:$Y42)+SUMIF($AD$3:$BA$3,"&gt;="&amp;$DG42,$B42:$Y42)),
IF(AZ$3=$DF42+'Model Setup'!$J$7,SUMIF($AD$3:$BA$3,"="&amp;$DF42+'Model Setup'!$J$7,$B42:$Y42)+'Model Setup'!$J$8*(SUMIF($AD$3:$BA$3,"&lt;"&amp;$DF42,$B42:$Y42)+SUMIF($AD$3:$BA$3,"&gt;="&amp;$DG42,$B42:$Y42)),
IF(AZ$3=$DF42+'Model Setup'!$K$7,SUMIF($AD$3:$BA$3,"="&amp;$DF42+'Model Setup'!$K$7,$B42:$Y42)+'Model Setup'!$K$8*(SUMIF($AD$3:$BA$3,"&lt;"&amp;$DF42,$B42:$Y42)+SUMIF($AD$3:$BA$3,"&gt;="&amp;$DG42,$B42:$Y42)),
IF(AZ$3=$DF42+'Model Setup'!$L$7,SUMIF($AD$3:$BA$3,"="&amp;$DF42+'Model Setup'!$L$7,$B42:$Y42)+'Model Setup'!$L$8*(SUMIF($AD$3:$BA$3,"&lt;"&amp;$DF42,$B42:$Y42)+SUMIF($AD$3:$BA$3,"&gt;="&amp;$DG42,$B42:$Y42)),
IF(AZ$3=$DF42+'Model Setup'!$M$7,SUMIF($AD$3:$BA$3,"="&amp;$DF42+'Model Setup'!$M$7,$B42:$Y42)+'Model Setup'!$M$8*(SUMIF($AD$3:$BA$3,"&lt;"&amp;$DF42,$B42:$Y42)+SUMIF($AD$3:$BA$3,"&gt;="&amp;$DG42,$B42:$Y42)),
IF(AZ$3=$DF42+'Model Setup'!$N$7,SUMIF($AD$3:$BA$3,"="&amp;$DF42+'Model Setup'!$N$7,$B42:$Y42)+'Model Setup'!$N$8*(SUMIF($AD$3:$BA$3,"&lt;"&amp;$DF42,$B42:$Y42)+SUMIF($AD$3:$BA$3,"&gt;="&amp;$DG42,$B42:$Y42)),
IF(AZ$3&lt;$DG42,X42,0))))))))))))))),0)</f>
        <v>0</v>
      </c>
      <c r="BA42" s="47">
        <f>ROUND(IF(BA$3&lt;$DF42,0,
IF(BA$3=$DF42+'Model Setup'!$B$7,SUMIF($AD$3:$BA$3,"="&amp;$DF42+'Model Setup'!$B$7,$B42:$Y42)+'Model Setup'!$B$8*(SUMIF($AD$3:$BA$3,"&lt;"&amp;$DF42,$B42:$Y42)+SUMIF($AD$3:$BA$3,"&gt;="&amp;$DG42,$B42:$Y42)),
IF(BA$3=$DF42+'Model Setup'!$C$7,SUMIF($AD$3:$BA$3,"="&amp;$DF42+'Model Setup'!$C$7,$B42:$Y42)+'Model Setup'!$C$8*(SUMIF($AD$3:$BA$3,"&lt;"&amp;$DF42,$B42:$Y42)+SUMIF($AD$3:$BA$3,"&gt;="&amp;$DG42,$B42:$Y42)),
IF(BA$3=$DF42+'Model Setup'!$D$7,SUMIF($AD$3:$BA$3,"="&amp;$DF42+'Model Setup'!$D$7,$B42:$Y42)+'Model Setup'!$D$8*(SUMIF($AD$3:$BA$3,"&lt;"&amp;$DF42,$B42:$Y42)+SUMIF($AD$3:$BA$3,"&gt;="&amp;$DG42,$B42:$Y42)),
IF(BA$3=$DF42+'Model Setup'!$E$7,SUMIF($AD$3:$BA$3,"="&amp;$DF42+'Model Setup'!$E$7,$B42:$Y42)+'Model Setup'!$E$8*(SUMIF($AD$3:$BA$3,"&lt;"&amp;$DF42,$B42:$Y42)+SUMIF($AD$3:$BA$3,"&gt;="&amp;$DG42,$B42:$Y42)),
IF(BA$3=$DF42+'Model Setup'!$F$7,SUMIF($AD$3:$BA$3,"="&amp;$DF42+'Model Setup'!$F$7,$B42:$Y42)+'Model Setup'!$F$8*(SUMIF($AD$3:$BA$3,"&lt;"&amp;$DF42,$B42:$Y42)+SUMIF($AD$3:$BA$3,"&gt;="&amp;$DG42,$B42:$Y42)),
IF(BA$3=$DF42+'Model Setup'!$G$7,SUMIF($AD$3:$BA$3,"="&amp;$DF42+'Model Setup'!$G$7,$B42:$Y42)+'Model Setup'!$G$8*(SUMIF($AD$3:$BA$3,"&lt;"&amp;$DF42,$B42:$Y42)+SUMIF($AD$3:$BA$3,"&gt;="&amp;$DG42,$B42:$Y42)),
IF(BA$3=$DF42+'Model Setup'!$H$7,SUMIF($AD$3:$BA$3,"="&amp;$DF42+'Model Setup'!$H$7,$B42:$Y42)+'Model Setup'!$H$8*(SUMIF($AD$3:$BA$3,"&lt;"&amp;$DF42,$B42:$Y42)+SUMIF($AD$3:$BA$3,"&gt;="&amp;$DG42,$B42:$Y42)),
IF(BA$3=$DF42+'Model Setup'!$I$7,SUMIF($AD$3:$BA$3,"="&amp;$DF42+'Model Setup'!$I$7,$B42:$Y42)+'Model Setup'!$I$8*(SUMIF($AD$3:$BA$3,"&lt;"&amp;$DF42,$B42:$Y42)+SUMIF($AD$3:$BA$3,"&gt;="&amp;$DG42,$B42:$Y42)),
IF(BA$3=$DF42+'Model Setup'!$J$7,SUMIF($AD$3:$BA$3,"="&amp;$DF42+'Model Setup'!$J$7,$B42:$Y42)+'Model Setup'!$J$8*(SUMIF($AD$3:$BA$3,"&lt;"&amp;$DF42,$B42:$Y42)+SUMIF($AD$3:$BA$3,"&gt;="&amp;$DG42,$B42:$Y42)),
IF(BA$3=$DF42+'Model Setup'!$K$7,SUMIF($AD$3:$BA$3,"="&amp;$DF42+'Model Setup'!$K$7,$B42:$Y42)+'Model Setup'!$K$8*(SUMIF($AD$3:$BA$3,"&lt;"&amp;$DF42,$B42:$Y42)+SUMIF($AD$3:$BA$3,"&gt;="&amp;$DG42,$B42:$Y42)),
IF(BA$3=$DF42+'Model Setup'!$L$7,SUMIF($AD$3:$BA$3,"="&amp;$DF42+'Model Setup'!$L$7,$B42:$Y42)+'Model Setup'!$L$8*(SUMIF($AD$3:$BA$3,"&lt;"&amp;$DF42,$B42:$Y42)+SUMIF($AD$3:$BA$3,"&gt;="&amp;$DG42,$B42:$Y42)),
IF(BA$3=$DF42+'Model Setup'!$M$7,SUMIF($AD$3:$BA$3,"="&amp;$DF42+'Model Setup'!$M$7,$B42:$Y42)+'Model Setup'!$M$8*(SUMIF($AD$3:$BA$3,"&lt;"&amp;$DF42,$B42:$Y42)+SUMIF($AD$3:$BA$3,"&gt;="&amp;$DG42,$B42:$Y42)),
IF(BA$3=$DF42+'Model Setup'!$N$7,SUMIF($AD$3:$BA$3,"="&amp;$DF42+'Model Setup'!$N$7,$B42:$Y42)+'Model Setup'!$N$8*(SUMIF($AD$3:$BA$3,"&lt;"&amp;$DF42,$B42:$Y42)+SUMIF($AD$3:$BA$3,"&gt;="&amp;$DG42,$B42:$Y42)),
IF(BA$3&lt;$DG42,Y42,0))))))))))))))),0)</f>
        <v>0</v>
      </c>
      <c r="BB42" s="47">
        <f t="shared" si="1"/>
        <v>674</v>
      </c>
      <c r="BD42" t="b">
        <f t="shared" si="2"/>
        <v>1</v>
      </c>
      <c r="BE42">
        <f t="shared" si="8"/>
        <v>0</v>
      </c>
      <c r="BF42">
        <f>(FTC!F40-FTC!E40)*24</f>
        <v>13.000000000000002</v>
      </c>
      <c r="BG42" s="43" t="s">
        <v>57</v>
      </c>
      <c r="BH42" s="47">
        <f>ROUND(IF(OR(BH$3&lt;$DF42,BH$3&gt;$CW$4),0,
IF(BH$3=$DF42+'Model Setup'!$B$7,SUMIF($BH$3:$CE$3,"="&amp;$DF42+'Model Setup'!$B$7,$AD42:$BA42)+'Model Setup'!$B$8*(SUMIF($BH$3:$CE$3,"&lt;"&amp;$DF42,$AD42:$BA42)+SUMIF($BH$3:$CE$3,"&gt;"&amp;$CW$4,$AD42:$BA42)),
IF(BH$3=$DF42+'Model Setup'!$C$7,SUMIF($BH$3:$CE$3,"="&amp;$DF42+'Model Setup'!$C$7,$AD42:$BA42)+'Model Setup'!$C$8*(SUMIF($BH$3:$CE$3,"&lt;"&amp;$DF42,$AD42:$BA42)+SUMIF($BH$3:$CE$3,"&gt;"&amp;$CW$4,$AD42:$BA42)),
IF(BH$3=$DF42+'Model Setup'!$D$7,SUMIF($BH$3:$CE$3,"="&amp;$DF42+'Model Setup'!$D$7,$AD42:$BA42)+'Model Setup'!$D$8*(SUMIF($BH$3:$CE$3,"&lt;"&amp;$DF42,$AD42:$BA42)+SUMIF($BH$3:$CE$3,"&gt;"&amp;$CW$4,$AD42:$BA42)),
IF(BH$3=$DF42+'Model Setup'!$E$7,SUMIF($BH$3:$CE$3,"="&amp;$DF42+'Model Setup'!$E$7,$AD42:$BA42)+'Model Setup'!$E$8*(SUMIF($BH$3:$CE$3,"&lt;"&amp;$DF42,$AD42:$BA42)+SUMIF($BH$3:$CE$3,"&gt;"&amp;$CW$4,$AD42:$BA42)),
IF(BH$3=$DF42+'Model Setup'!$F$7,SUMIF($BH$3:$CE$3,"="&amp;$DF42+'Model Setup'!$F$7,$AD42:$BA42)+'Model Setup'!$F$8*(SUMIF($BH$3:$CE$3,"&lt;"&amp;$DF42,$AD42:$BA42)+SUMIF($BH$3:$CE$3,"&gt;"&amp;$CW$4,$AD42:$BA42)),
IF(BH$3=$DF42+'Model Setup'!$G$7,SUMIF($BH$3:$CE$3,"="&amp;$DF42+'Model Setup'!$G$7,$AD42:$BA42)+'Model Setup'!$G$8*(SUMIF($BH$3:$CE$3,"&lt;"&amp;$DF42,$AD42:$BA42)+SUMIF($BH$3:$CE$3,"&gt;"&amp;$CW$4,$AD42:$BA42)),
IF(BH$3=$DF42+'Model Setup'!$H$7,SUMIF($BH$3:$CE$3,"="&amp;$DF42+'Model Setup'!$H$7,$AD42:$BA42)+'Model Setup'!$H$8*(SUMIF($BH$3:$CE$3,"&lt;"&amp;$DF42,$AD42:$BA42)+SUMIF($BH$3:$CE$3,"&gt;"&amp;$CW$4,$AD42:$BA42)),
IF(BH$3=$DF42+'Model Setup'!$I$7,SUMIF($BH$3:$CE$3,"="&amp;$DF42+'Model Setup'!$I$7,$AD42:$BA42)+'Model Setup'!$I$8*(SUMIF($BH$3:$CE$3,"&lt;"&amp;$DF42,$AD42:$BA42)+SUMIF($BH$3:$CE$3,"&gt;"&amp;$CW$4,$AD42:$BA42)),
IF(BH$3=$DF42+'Model Setup'!$J$7,SUMIF($BH$3:$CE$3,"="&amp;$DF42+'Model Setup'!$J$7,$AD42:$BA42)+'Model Setup'!$J$8*(SUMIF($BH$3:$CE$3,"&lt;"&amp;$DF42,$AD42:$BA42)+SUMIF($BH$3:$CE$3,"&gt;"&amp;$CW$4,$AD42:$BA42)),
IF(BH$3=$DF42+'Model Setup'!$K$7,SUMIF($BH$3:$CE$3,"="&amp;$DF42+'Model Setup'!$K$7,$AD42:$BA42)+'Model Setup'!$K$8*(SUMIF($BH$3:$CE$3,"&lt;"&amp;$DF42,$AD42:$BA42)+SUMIF($BH$3:$CE$3,"&gt;"&amp;$CW$4,$AD42:$BA42)),
IF(BH$3=$DF42+'Model Setup'!$L$7,SUMIF($BH$3:$CE$3,"="&amp;$DF42+'Model Setup'!$L$7,$AD42:$BA42)+'Model Setup'!$L$8*(SUMIF($BH$3:$CE$3,"&lt;"&amp;$DF42,$AD42:$BA42)+SUMIF($BH$3:$CE$3,"&gt;"&amp;$CW$4,$AD42:$BA42)),
IF(BH$3=$DF42+'Model Setup'!$M$7,SUMIF($BH$3:$CE$3,"="&amp;$DF42+'Model Setup'!$M$7,$AD42:$BA42)+'Model Setup'!$M$8*(SUMIF($BH$3:$CE$3,"&lt;"&amp;$DF42,$AD42:$BA42)+SUMIF($BH$3:$CE$3,"&gt;"&amp;$CW$4,$AD42:$BA42)),
IF(BH$3=$DF42+'Model Setup'!$N$7,SUMIF($BH$3:$CE$3,"="&amp;$DF42+'Model Setup'!$N$7,$AD42:$BA42)+'Model Setup'!$N$8*(SUMIF($BH$3:$CE$3,"&lt;"&amp;$DF42,$AD42:$BA42)+SUMIF($BH$3:$CE$3,"&gt;"&amp;$CW$4,$AD42:$BA42)),
IF(BH$3&lt;$CW$4,B42,0))))))))))))))),0)</f>
        <v>0</v>
      </c>
      <c r="BI42" s="47">
        <f>ROUND(IF(OR(BI$3&lt;$DF42,BI$3&gt;$CW$4),0,
IF(BI$3=$DF42+'Model Setup'!$B$7,SUMIF($BH$3:$CE$3,"="&amp;$DF42+'Model Setup'!$B$7,$AD42:$BA42)+'Model Setup'!$B$8*(SUMIF($BH$3:$CE$3,"&lt;"&amp;$DF42,$AD42:$BA42)+SUMIF($BH$3:$CE$3,"&gt;"&amp;$CW$4,$AD42:$BA42)),
IF(BI$3=$DF42+'Model Setup'!$C$7,SUMIF($BH$3:$CE$3,"="&amp;$DF42+'Model Setup'!$C$7,$AD42:$BA42)+'Model Setup'!$C$8*(SUMIF($BH$3:$CE$3,"&lt;"&amp;$DF42,$AD42:$BA42)+SUMIF($BH$3:$CE$3,"&gt;"&amp;$CW$4,$AD42:$BA42)),
IF(BI$3=$DF42+'Model Setup'!$D$7,SUMIF($BH$3:$CE$3,"="&amp;$DF42+'Model Setup'!$D$7,$AD42:$BA42)+'Model Setup'!$D$8*(SUMIF($BH$3:$CE$3,"&lt;"&amp;$DF42,$AD42:$BA42)+SUMIF($BH$3:$CE$3,"&gt;"&amp;$CW$4,$AD42:$BA42)),
IF(BI$3=$DF42+'Model Setup'!$E$7,SUMIF($BH$3:$CE$3,"="&amp;$DF42+'Model Setup'!$E$7,$AD42:$BA42)+'Model Setup'!$E$8*(SUMIF($BH$3:$CE$3,"&lt;"&amp;$DF42,$AD42:$BA42)+SUMIF($BH$3:$CE$3,"&gt;"&amp;$CW$4,$AD42:$BA42)),
IF(BI$3=$DF42+'Model Setup'!$F$7,SUMIF($BH$3:$CE$3,"="&amp;$DF42+'Model Setup'!$F$7,$AD42:$BA42)+'Model Setup'!$F$8*(SUMIF($BH$3:$CE$3,"&lt;"&amp;$DF42,$AD42:$BA42)+SUMIF($BH$3:$CE$3,"&gt;"&amp;$CW$4,$AD42:$BA42)),
IF(BI$3=$DF42+'Model Setup'!$G$7,SUMIF($BH$3:$CE$3,"="&amp;$DF42+'Model Setup'!$G$7,$AD42:$BA42)+'Model Setup'!$G$8*(SUMIF($BH$3:$CE$3,"&lt;"&amp;$DF42,$AD42:$BA42)+SUMIF($BH$3:$CE$3,"&gt;"&amp;$CW$4,$AD42:$BA42)),
IF(BI$3=$DF42+'Model Setup'!$H$7,SUMIF($BH$3:$CE$3,"="&amp;$DF42+'Model Setup'!$H$7,$AD42:$BA42)+'Model Setup'!$H$8*(SUMIF($BH$3:$CE$3,"&lt;"&amp;$DF42,$AD42:$BA42)+SUMIF($BH$3:$CE$3,"&gt;"&amp;$CW$4,$AD42:$BA42)),
IF(BI$3=$DF42+'Model Setup'!$I$7,SUMIF($BH$3:$CE$3,"="&amp;$DF42+'Model Setup'!$I$7,$AD42:$BA42)+'Model Setup'!$I$8*(SUMIF($BH$3:$CE$3,"&lt;"&amp;$DF42,$AD42:$BA42)+SUMIF($BH$3:$CE$3,"&gt;"&amp;$CW$4,$AD42:$BA42)),
IF(BI$3=$DF42+'Model Setup'!$J$7,SUMIF($BH$3:$CE$3,"="&amp;$DF42+'Model Setup'!$J$7,$AD42:$BA42)+'Model Setup'!$J$8*(SUMIF($BH$3:$CE$3,"&lt;"&amp;$DF42,$AD42:$BA42)+SUMIF($BH$3:$CE$3,"&gt;"&amp;$CW$4,$AD42:$BA42)),
IF(BI$3=$DF42+'Model Setup'!$K$7,SUMIF($BH$3:$CE$3,"="&amp;$DF42+'Model Setup'!$K$7,$AD42:$BA42)+'Model Setup'!$K$8*(SUMIF($BH$3:$CE$3,"&lt;"&amp;$DF42,$AD42:$BA42)+SUMIF($BH$3:$CE$3,"&gt;"&amp;$CW$4,$AD42:$BA42)),
IF(BI$3=$DF42+'Model Setup'!$L$7,SUMIF($BH$3:$CE$3,"="&amp;$DF42+'Model Setup'!$L$7,$AD42:$BA42)+'Model Setup'!$L$8*(SUMIF($BH$3:$CE$3,"&lt;"&amp;$DF42,$AD42:$BA42)+SUMIF($BH$3:$CE$3,"&gt;"&amp;$CW$4,$AD42:$BA42)),
IF(BI$3=$DF42+'Model Setup'!$M$7,SUMIF($BH$3:$CE$3,"="&amp;$DF42+'Model Setup'!$M$7,$AD42:$BA42)+'Model Setup'!$M$8*(SUMIF($BH$3:$CE$3,"&lt;"&amp;$DF42,$AD42:$BA42)+SUMIF($BH$3:$CE$3,"&gt;"&amp;$CW$4,$AD42:$BA42)),
IF(BI$3=$DF42+'Model Setup'!$N$7,SUMIF($BH$3:$CE$3,"="&amp;$DF42+'Model Setup'!$N$7,$AD42:$BA42)+'Model Setup'!$N$8*(SUMIF($BH$3:$CE$3,"&lt;"&amp;$DF42,$AD42:$BA42)+SUMIF($BH$3:$CE$3,"&gt;"&amp;$CW$4,$AD42:$BA42)),
IF(BI$3&lt;$CW$4,C42,0))))))))))))))),0)</f>
        <v>0</v>
      </c>
      <c r="BJ42" s="47">
        <f>ROUND(IF(OR(BJ$3&lt;$DF42,BJ$3&gt;$CW$4),0,
IF(BJ$3=$DF42+'Model Setup'!$B$7,SUMIF($BH$3:$CE$3,"="&amp;$DF42+'Model Setup'!$B$7,$AD42:$BA42)+'Model Setup'!$B$8*(SUMIF($BH$3:$CE$3,"&lt;"&amp;$DF42,$AD42:$BA42)+SUMIF($BH$3:$CE$3,"&gt;"&amp;$CW$4,$AD42:$BA42)),
IF(BJ$3=$DF42+'Model Setup'!$C$7,SUMIF($BH$3:$CE$3,"="&amp;$DF42+'Model Setup'!$C$7,$AD42:$BA42)+'Model Setup'!$C$8*(SUMIF($BH$3:$CE$3,"&lt;"&amp;$DF42,$AD42:$BA42)+SUMIF($BH$3:$CE$3,"&gt;"&amp;$CW$4,$AD42:$BA42)),
IF(BJ$3=$DF42+'Model Setup'!$D$7,SUMIF($BH$3:$CE$3,"="&amp;$DF42+'Model Setup'!$D$7,$AD42:$BA42)+'Model Setup'!$D$8*(SUMIF($BH$3:$CE$3,"&lt;"&amp;$DF42,$AD42:$BA42)+SUMIF($BH$3:$CE$3,"&gt;"&amp;$CW$4,$AD42:$BA42)),
IF(BJ$3=$DF42+'Model Setup'!$E$7,SUMIF($BH$3:$CE$3,"="&amp;$DF42+'Model Setup'!$E$7,$AD42:$BA42)+'Model Setup'!$E$8*(SUMIF($BH$3:$CE$3,"&lt;"&amp;$DF42,$AD42:$BA42)+SUMIF($BH$3:$CE$3,"&gt;"&amp;$CW$4,$AD42:$BA42)),
IF(BJ$3=$DF42+'Model Setup'!$F$7,SUMIF($BH$3:$CE$3,"="&amp;$DF42+'Model Setup'!$F$7,$AD42:$BA42)+'Model Setup'!$F$8*(SUMIF($BH$3:$CE$3,"&lt;"&amp;$DF42,$AD42:$BA42)+SUMIF($BH$3:$CE$3,"&gt;"&amp;$CW$4,$AD42:$BA42)),
IF(BJ$3=$DF42+'Model Setup'!$G$7,SUMIF($BH$3:$CE$3,"="&amp;$DF42+'Model Setup'!$G$7,$AD42:$BA42)+'Model Setup'!$G$8*(SUMIF($BH$3:$CE$3,"&lt;"&amp;$DF42,$AD42:$BA42)+SUMIF($BH$3:$CE$3,"&gt;"&amp;$CW$4,$AD42:$BA42)),
IF(BJ$3=$DF42+'Model Setup'!$H$7,SUMIF($BH$3:$CE$3,"="&amp;$DF42+'Model Setup'!$H$7,$AD42:$BA42)+'Model Setup'!$H$8*(SUMIF($BH$3:$CE$3,"&lt;"&amp;$DF42,$AD42:$BA42)+SUMIF($BH$3:$CE$3,"&gt;"&amp;$CW$4,$AD42:$BA42)),
IF(BJ$3=$DF42+'Model Setup'!$I$7,SUMIF($BH$3:$CE$3,"="&amp;$DF42+'Model Setup'!$I$7,$AD42:$BA42)+'Model Setup'!$I$8*(SUMIF($BH$3:$CE$3,"&lt;"&amp;$DF42,$AD42:$BA42)+SUMIF($BH$3:$CE$3,"&gt;"&amp;$CW$4,$AD42:$BA42)),
IF(BJ$3=$DF42+'Model Setup'!$J$7,SUMIF($BH$3:$CE$3,"="&amp;$DF42+'Model Setup'!$J$7,$AD42:$BA42)+'Model Setup'!$J$8*(SUMIF($BH$3:$CE$3,"&lt;"&amp;$DF42,$AD42:$BA42)+SUMIF($BH$3:$CE$3,"&gt;"&amp;$CW$4,$AD42:$BA42)),
IF(BJ$3=$DF42+'Model Setup'!$K$7,SUMIF($BH$3:$CE$3,"="&amp;$DF42+'Model Setup'!$K$7,$AD42:$BA42)+'Model Setup'!$K$8*(SUMIF($BH$3:$CE$3,"&lt;"&amp;$DF42,$AD42:$BA42)+SUMIF($BH$3:$CE$3,"&gt;"&amp;$CW$4,$AD42:$BA42)),
IF(BJ$3=$DF42+'Model Setup'!$L$7,SUMIF($BH$3:$CE$3,"="&amp;$DF42+'Model Setup'!$L$7,$AD42:$BA42)+'Model Setup'!$L$8*(SUMIF($BH$3:$CE$3,"&lt;"&amp;$DF42,$AD42:$BA42)+SUMIF($BH$3:$CE$3,"&gt;"&amp;$CW$4,$AD42:$BA42)),
IF(BJ$3=$DF42+'Model Setup'!$M$7,SUMIF($BH$3:$CE$3,"="&amp;$DF42+'Model Setup'!$M$7,$AD42:$BA42)+'Model Setup'!$M$8*(SUMIF($BH$3:$CE$3,"&lt;"&amp;$DF42,$AD42:$BA42)+SUMIF($BH$3:$CE$3,"&gt;"&amp;$CW$4,$AD42:$BA42)),
IF(BJ$3=$DF42+'Model Setup'!$N$7,SUMIF($BH$3:$CE$3,"="&amp;$DF42+'Model Setup'!$N$7,$AD42:$BA42)+'Model Setup'!$N$8*(SUMIF($BH$3:$CE$3,"&lt;"&amp;$DF42,$AD42:$BA42)+SUMIF($BH$3:$CE$3,"&gt;"&amp;$CW$4,$AD42:$BA42)),
IF(BJ$3&lt;$CW$4,D42,0))))))))))))))),0)</f>
        <v>0</v>
      </c>
      <c r="BK42" s="47">
        <f>ROUND(IF(OR(BK$3&lt;$DF42,BK$3&gt;$CW$4),0,
IF(BK$3=$DF42+'Model Setup'!$B$7,SUMIF($BH$3:$CE$3,"="&amp;$DF42+'Model Setup'!$B$7,$AD42:$BA42)+'Model Setup'!$B$8*(SUMIF($BH$3:$CE$3,"&lt;"&amp;$DF42,$AD42:$BA42)+SUMIF($BH$3:$CE$3,"&gt;"&amp;$CW$4,$AD42:$BA42)),
IF(BK$3=$DF42+'Model Setup'!$C$7,SUMIF($BH$3:$CE$3,"="&amp;$DF42+'Model Setup'!$C$7,$AD42:$BA42)+'Model Setup'!$C$8*(SUMIF($BH$3:$CE$3,"&lt;"&amp;$DF42,$AD42:$BA42)+SUMIF($BH$3:$CE$3,"&gt;"&amp;$CW$4,$AD42:$BA42)),
IF(BK$3=$DF42+'Model Setup'!$D$7,SUMIF($BH$3:$CE$3,"="&amp;$DF42+'Model Setup'!$D$7,$AD42:$BA42)+'Model Setup'!$D$8*(SUMIF($BH$3:$CE$3,"&lt;"&amp;$DF42,$AD42:$BA42)+SUMIF($BH$3:$CE$3,"&gt;"&amp;$CW$4,$AD42:$BA42)),
IF(BK$3=$DF42+'Model Setup'!$E$7,SUMIF($BH$3:$CE$3,"="&amp;$DF42+'Model Setup'!$E$7,$AD42:$BA42)+'Model Setup'!$E$8*(SUMIF($BH$3:$CE$3,"&lt;"&amp;$DF42,$AD42:$BA42)+SUMIF($BH$3:$CE$3,"&gt;"&amp;$CW$4,$AD42:$BA42)),
IF(BK$3=$DF42+'Model Setup'!$F$7,SUMIF($BH$3:$CE$3,"="&amp;$DF42+'Model Setup'!$F$7,$AD42:$BA42)+'Model Setup'!$F$8*(SUMIF($BH$3:$CE$3,"&lt;"&amp;$DF42,$AD42:$BA42)+SUMIF($BH$3:$CE$3,"&gt;"&amp;$CW$4,$AD42:$BA42)),
IF(BK$3=$DF42+'Model Setup'!$G$7,SUMIF($BH$3:$CE$3,"="&amp;$DF42+'Model Setup'!$G$7,$AD42:$BA42)+'Model Setup'!$G$8*(SUMIF($BH$3:$CE$3,"&lt;"&amp;$DF42,$AD42:$BA42)+SUMIF($BH$3:$CE$3,"&gt;"&amp;$CW$4,$AD42:$BA42)),
IF(BK$3=$DF42+'Model Setup'!$H$7,SUMIF($BH$3:$CE$3,"="&amp;$DF42+'Model Setup'!$H$7,$AD42:$BA42)+'Model Setup'!$H$8*(SUMIF($BH$3:$CE$3,"&lt;"&amp;$DF42,$AD42:$BA42)+SUMIF($BH$3:$CE$3,"&gt;"&amp;$CW$4,$AD42:$BA42)),
IF(BK$3=$DF42+'Model Setup'!$I$7,SUMIF($BH$3:$CE$3,"="&amp;$DF42+'Model Setup'!$I$7,$AD42:$BA42)+'Model Setup'!$I$8*(SUMIF($BH$3:$CE$3,"&lt;"&amp;$DF42,$AD42:$BA42)+SUMIF($BH$3:$CE$3,"&gt;"&amp;$CW$4,$AD42:$BA42)),
IF(BK$3=$DF42+'Model Setup'!$J$7,SUMIF($BH$3:$CE$3,"="&amp;$DF42+'Model Setup'!$J$7,$AD42:$BA42)+'Model Setup'!$J$8*(SUMIF($BH$3:$CE$3,"&lt;"&amp;$DF42,$AD42:$BA42)+SUMIF($BH$3:$CE$3,"&gt;"&amp;$CW$4,$AD42:$BA42)),
IF(BK$3=$DF42+'Model Setup'!$K$7,SUMIF($BH$3:$CE$3,"="&amp;$DF42+'Model Setup'!$K$7,$AD42:$BA42)+'Model Setup'!$K$8*(SUMIF($BH$3:$CE$3,"&lt;"&amp;$DF42,$AD42:$BA42)+SUMIF($BH$3:$CE$3,"&gt;"&amp;$CW$4,$AD42:$BA42)),
IF(BK$3=$DF42+'Model Setup'!$L$7,SUMIF($BH$3:$CE$3,"="&amp;$DF42+'Model Setup'!$L$7,$AD42:$BA42)+'Model Setup'!$L$8*(SUMIF($BH$3:$CE$3,"&lt;"&amp;$DF42,$AD42:$BA42)+SUMIF($BH$3:$CE$3,"&gt;"&amp;$CW$4,$AD42:$BA42)),
IF(BK$3=$DF42+'Model Setup'!$M$7,SUMIF($BH$3:$CE$3,"="&amp;$DF42+'Model Setup'!$M$7,$AD42:$BA42)+'Model Setup'!$M$8*(SUMIF($BH$3:$CE$3,"&lt;"&amp;$DF42,$AD42:$BA42)+SUMIF($BH$3:$CE$3,"&gt;"&amp;$CW$4,$AD42:$BA42)),
IF(BK$3=$DF42+'Model Setup'!$N$7,SUMIF($BH$3:$CE$3,"="&amp;$DF42+'Model Setup'!$N$7,$AD42:$BA42)+'Model Setup'!$N$8*(SUMIF($BH$3:$CE$3,"&lt;"&amp;$DF42,$AD42:$BA42)+SUMIF($BH$3:$CE$3,"&gt;"&amp;$CW$4,$AD42:$BA42)),
IF(BK$3&lt;$CW$4,E42,0))))))))))))))),0)</f>
        <v>0</v>
      </c>
      <c r="BL42" s="47">
        <f>ROUND(IF(OR(BL$3&lt;$DF42,BL$3&gt;$CW$4),0,
IF(BL$3=$DF42+'Model Setup'!$B$7,SUMIF($BH$3:$CE$3,"="&amp;$DF42+'Model Setup'!$B$7,$AD42:$BA42)+'Model Setup'!$B$8*(SUMIF($BH$3:$CE$3,"&lt;"&amp;$DF42,$AD42:$BA42)+SUMIF($BH$3:$CE$3,"&gt;"&amp;$CW$4,$AD42:$BA42)),
IF(BL$3=$DF42+'Model Setup'!$C$7,SUMIF($BH$3:$CE$3,"="&amp;$DF42+'Model Setup'!$C$7,$AD42:$BA42)+'Model Setup'!$C$8*(SUMIF($BH$3:$CE$3,"&lt;"&amp;$DF42,$AD42:$BA42)+SUMIF($BH$3:$CE$3,"&gt;"&amp;$CW$4,$AD42:$BA42)),
IF(BL$3=$DF42+'Model Setup'!$D$7,SUMIF($BH$3:$CE$3,"="&amp;$DF42+'Model Setup'!$D$7,$AD42:$BA42)+'Model Setup'!$D$8*(SUMIF($BH$3:$CE$3,"&lt;"&amp;$DF42,$AD42:$BA42)+SUMIF($BH$3:$CE$3,"&gt;"&amp;$CW$4,$AD42:$BA42)),
IF(BL$3=$DF42+'Model Setup'!$E$7,SUMIF($BH$3:$CE$3,"="&amp;$DF42+'Model Setup'!$E$7,$AD42:$BA42)+'Model Setup'!$E$8*(SUMIF($BH$3:$CE$3,"&lt;"&amp;$DF42,$AD42:$BA42)+SUMIF($BH$3:$CE$3,"&gt;"&amp;$CW$4,$AD42:$BA42)),
IF(BL$3=$DF42+'Model Setup'!$F$7,SUMIF($BH$3:$CE$3,"="&amp;$DF42+'Model Setup'!$F$7,$AD42:$BA42)+'Model Setup'!$F$8*(SUMIF($BH$3:$CE$3,"&lt;"&amp;$DF42,$AD42:$BA42)+SUMIF($BH$3:$CE$3,"&gt;"&amp;$CW$4,$AD42:$BA42)),
IF(BL$3=$DF42+'Model Setup'!$G$7,SUMIF($BH$3:$CE$3,"="&amp;$DF42+'Model Setup'!$G$7,$AD42:$BA42)+'Model Setup'!$G$8*(SUMIF($BH$3:$CE$3,"&lt;"&amp;$DF42,$AD42:$BA42)+SUMIF($BH$3:$CE$3,"&gt;"&amp;$CW$4,$AD42:$BA42)),
IF(BL$3=$DF42+'Model Setup'!$H$7,SUMIF($BH$3:$CE$3,"="&amp;$DF42+'Model Setup'!$H$7,$AD42:$BA42)+'Model Setup'!$H$8*(SUMIF($BH$3:$CE$3,"&lt;"&amp;$DF42,$AD42:$BA42)+SUMIF($BH$3:$CE$3,"&gt;"&amp;$CW$4,$AD42:$BA42)),
IF(BL$3=$DF42+'Model Setup'!$I$7,SUMIF($BH$3:$CE$3,"="&amp;$DF42+'Model Setup'!$I$7,$AD42:$BA42)+'Model Setup'!$I$8*(SUMIF($BH$3:$CE$3,"&lt;"&amp;$DF42,$AD42:$BA42)+SUMIF($BH$3:$CE$3,"&gt;"&amp;$CW$4,$AD42:$BA42)),
IF(BL$3=$DF42+'Model Setup'!$J$7,SUMIF($BH$3:$CE$3,"="&amp;$DF42+'Model Setup'!$J$7,$AD42:$BA42)+'Model Setup'!$J$8*(SUMIF($BH$3:$CE$3,"&lt;"&amp;$DF42,$AD42:$BA42)+SUMIF($BH$3:$CE$3,"&gt;"&amp;$CW$4,$AD42:$BA42)),
IF(BL$3=$DF42+'Model Setup'!$K$7,SUMIF($BH$3:$CE$3,"="&amp;$DF42+'Model Setup'!$K$7,$AD42:$BA42)+'Model Setup'!$K$8*(SUMIF($BH$3:$CE$3,"&lt;"&amp;$DF42,$AD42:$BA42)+SUMIF($BH$3:$CE$3,"&gt;"&amp;$CW$4,$AD42:$BA42)),
IF(BL$3=$DF42+'Model Setup'!$L$7,SUMIF($BH$3:$CE$3,"="&amp;$DF42+'Model Setup'!$L$7,$AD42:$BA42)+'Model Setup'!$L$8*(SUMIF($BH$3:$CE$3,"&lt;"&amp;$DF42,$AD42:$BA42)+SUMIF($BH$3:$CE$3,"&gt;"&amp;$CW$4,$AD42:$BA42)),
IF(BL$3=$DF42+'Model Setup'!$M$7,SUMIF($BH$3:$CE$3,"="&amp;$DF42+'Model Setup'!$M$7,$AD42:$BA42)+'Model Setup'!$M$8*(SUMIF($BH$3:$CE$3,"&lt;"&amp;$DF42,$AD42:$BA42)+SUMIF($BH$3:$CE$3,"&gt;"&amp;$CW$4,$AD42:$BA42)),
IF(BL$3=$DF42+'Model Setup'!$N$7,SUMIF($BH$3:$CE$3,"="&amp;$DF42+'Model Setup'!$N$7,$AD42:$BA42)+'Model Setup'!$N$8*(SUMIF($BH$3:$CE$3,"&lt;"&amp;$DF42,$AD42:$BA42)+SUMIF($BH$3:$CE$3,"&gt;"&amp;$CW$4,$AD42:$BA42)),
IF(BL$3&lt;$CW$4,F42,0))))))))))))))),0)</f>
        <v>0</v>
      </c>
      <c r="BM42" s="47">
        <f>ROUND(IF(OR(BM$3&lt;$DF42,BM$3&gt;$CW$4),0,
IF(BM$3=$DF42+'Model Setup'!$B$7,SUMIF($BH$3:$CE$3,"="&amp;$DF42+'Model Setup'!$B$7,$AD42:$BA42)+'Model Setup'!$B$8*(SUMIF($BH$3:$CE$3,"&lt;"&amp;$DF42,$AD42:$BA42)+SUMIF($BH$3:$CE$3,"&gt;"&amp;$CW$4,$AD42:$BA42)),
IF(BM$3=$DF42+'Model Setup'!$C$7,SUMIF($BH$3:$CE$3,"="&amp;$DF42+'Model Setup'!$C$7,$AD42:$BA42)+'Model Setup'!$C$8*(SUMIF($BH$3:$CE$3,"&lt;"&amp;$DF42,$AD42:$BA42)+SUMIF($BH$3:$CE$3,"&gt;"&amp;$CW$4,$AD42:$BA42)),
IF(BM$3=$DF42+'Model Setup'!$D$7,SUMIF($BH$3:$CE$3,"="&amp;$DF42+'Model Setup'!$D$7,$AD42:$BA42)+'Model Setup'!$D$8*(SUMIF($BH$3:$CE$3,"&lt;"&amp;$DF42,$AD42:$BA42)+SUMIF($BH$3:$CE$3,"&gt;"&amp;$CW$4,$AD42:$BA42)),
IF(BM$3=$DF42+'Model Setup'!$E$7,SUMIF($BH$3:$CE$3,"="&amp;$DF42+'Model Setup'!$E$7,$AD42:$BA42)+'Model Setup'!$E$8*(SUMIF($BH$3:$CE$3,"&lt;"&amp;$DF42,$AD42:$BA42)+SUMIF($BH$3:$CE$3,"&gt;"&amp;$CW$4,$AD42:$BA42)),
IF(BM$3=$DF42+'Model Setup'!$F$7,SUMIF($BH$3:$CE$3,"="&amp;$DF42+'Model Setup'!$F$7,$AD42:$BA42)+'Model Setup'!$F$8*(SUMIF($BH$3:$CE$3,"&lt;"&amp;$DF42,$AD42:$BA42)+SUMIF($BH$3:$CE$3,"&gt;"&amp;$CW$4,$AD42:$BA42)),
IF(BM$3=$DF42+'Model Setup'!$G$7,SUMIF($BH$3:$CE$3,"="&amp;$DF42+'Model Setup'!$G$7,$AD42:$BA42)+'Model Setup'!$G$8*(SUMIF($BH$3:$CE$3,"&lt;"&amp;$DF42,$AD42:$BA42)+SUMIF($BH$3:$CE$3,"&gt;"&amp;$CW$4,$AD42:$BA42)),
IF(BM$3=$DF42+'Model Setup'!$H$7,SUMIF($BH$3:$CE$3,"="&amp;$DF42+'Model Setup'!$H$7,$AD42:$BA42)+'Model Setup'!$H$8*(SUMIF($BH$3:$CE$3,"&lt;"&amp;$DF42,$AD42:$BA42)+SUMIF($BH$3:$CE$3,"&gt;"&amp;$CW$4,$AD42:$BA42)),
IF(BM$3=$DF42+'Model Setup'!$I$7,SUMIF($BH$3:$CE$3,"="&amp;$DF42+'Model Setup'!$I$7,$AD42:$BA42)+'Model Setup'!$I$8*(SUMIF($BH$3:$CE$3,"&lt;"&amp;$DF42,$AD42:$BA42)+SUMIF($BH$3:$CE$3,"&gt;"&amp;$CW$4,$AD42:$BA42)),
IF(BM$3=$DF42+'Model Setup'!$J$7,SUMIF($BH$3:$CE$3,"="&amp;$DF42+'Model Setup'!$J$7,$AD42:$BA42)+'Model Setup'!$J$8*(SUMIF($BH$3:$CE$3,"&lt;"&amp;$DF42,$AD42:$BA42)+SUMIF($BH$3:$CE$3,"&gt;"&amp;$CW$4,$AD42:$BA42)),
IF(BM$3=$DF42+'Model Setup'!$K$7,SUMIF($BH$3:$CE$3,"="&amp;$DF42+'Model Setup'!$K$7,$AD42:$BA42)+'Model Setup'!$K$8*(SUMIF($BH$3:$CE$3,"&lt;"&amp;$DF42,$AD42:$BA42)+SUMIF($BH$3:$CE$3,"&gt;"&amp;$CW$4,$AD42:$BA42)),
IF(BM$3=$DF42+'Model Setup'!$L$7,SUMIF($BH$3:$CE$3,"="&amp;$DF42+'Model Setup'!$L$7,$AD42:$BA42)+'Model Setup'!$L$8*(SUMIF($BH$3:$CE$3,"&lt;"&amp;$DF42,$AD42:$BA42)+SUMIF($BH$3:$CE$3,"&gt;"&amp;$CW$4,$AD42:$BA42)),
IF(BM$3=$DF42+'Model Setup'!$M$7,SUMIF($BH$3:$CE$3,"="&amp;$DF42+'Model Setup'!$M$7,$AD42:$BA42)+'Model Setup'!$M$8*(SUMIF($BH$3:$CE$3,"&lt;"&amp;$DF42,$AD42:$BA42)+SUMIF($BH$3:$CE$3,"&gt;"&amp;$CW$4,$AD42:$BA42)),
IF(BM$3=$DF42+'Model Setup'!$N$7,SUMIF($BH$3:$CE$3,"="&amp;$DF42+'Model Setup'!$N$7,$AD42:$BA42)+'Model Setup'!$N$8*(SUMIF($BH$3:$CE$3,"&lt;"&amp;$DF42,$AD42:$BA42)+SUMIF($BH$3:$CE$3,"&gt;"&amp;$CW$4,$AD42:$BA42)),
IF(BM$3&lt;$CW$4,G42,0))))))))))))))),0)</f>
        <v>0</v>
      </c>
      <c r="BN42" s="47">
        <f>ROUND(IF(OR(BN$3&lt;$DF42,BN$3&gt;$CW$4),0,
IF(BN$3=$DF42+'Model Setup'!$B$7,SUMIF($BH$3:$CE$3,"="&amp;$DF42+'Model Setup'!$B$7,$AD42:$BA42)+'Model Setup'!$B$8*(SUMIF($BH$3:$CE$3,"&lt;"&amp;$DF42,$AD42:$BA42)+SUMIF($BH$3:$CE$3,"&gt;"&amp;$CW$4,$AD42:$BA42)),
IF(BN$3=$DF42+'Model Setup'!$C$7,SUMIF($BH$3:$CE$3,"="&amp;$DF42+'Model Setup'!$C$7,$AD42:$BA42)+'Model Setup'!$C$8*(SUMIF($BH$3:$CE$3,"&lt;"&amp;$DF42,$AD42:$BA42)+SUMIF($BH$3:$CE$3,"&gt;"&amp;$CW$4,$AD42:$BA42)),
IF(BN$3=$DF42+'Model Setup'!$D$7,SUMIF($BH$3:$CE$3,"="&amp;$DF42+'Model Setup'!$D$7,$AD42:$BA42)+'Model Setup'!$D$8*(SUMIF($BH$3:$CE$3,"&lt;"&amp;$DF42,$AD42:$BA42)+SUMIF($BH$3:$CE$3,"&gt;"&amp;$CW$4,$AD42:$BA42)),
IF(BN$3=$DF42+'Model Setup'!$E$7,SUMIF($BH$3:$CE$3,"="&amp;$DF42+'Model Setup'!$E$7,$AD42:$BA42)+'Model Setup'!$E$8*(SUMIF($BH$3:$CE$3,"&lt;"&amp;$DF42,$AD42:$BA42)+SUMIF($BH$3:$CE$3,"&gt;"&amp;$CW$4,$AD42:$BA42)),
IF(BN$3=$DF42+'Model Setup'!$F$7,SUMIF($BH$3:$CE$3,"="&amp;$DF42+'Model Setup'!$F$7,$AD42:$BA42)+'Model Setup'!$F$8*(SUMIF($BH$3:$CE$3,"&lt;"&amp;$DF42,$AD42:$BA42)+SUMIF($BH$3:$CE$3,"&gt;"&amp;$CW$4,$AD42:$BA42)),
IF(BN$3=$DF42+'Model Setup'!$G$7,SUMIF($BH$3:$CE$3,"="&amp;$DF42+'Model Setup'!$G$7,$AD42:$BA42)+'Model Setup'!$G$8*(SUMIF($BH$3:$CE$3,"&lt;"&amp;$DF42,$AD42:$BA42)+SUMIF($BH$3:$CE$3,"&gt;"&amp;$CW$4,$AD42:$BA42)),
IF(BN$3=$DF42+'Model Setup'!$H$7,SUMIF($BH$3:$CE$3,"="&amp;$DF42+'Model Setup'!$H$7,$AD42:$BA42)+'Model Setup'!$H$8*(SUMIF($BH$3:$CE$3,"&lt;"&amp;$DF42,$AD42:$BA42)+SUMIF($BH$3:$CE$3,"&gt;"&amp;$CW$4,$AD42:$BA42)),
IF(BN$3=$DF42+'Model Setup'!$I$7,SUMIF($BH$3:$CE$3,"="&amp;$DF42+'Model Setup'!$I$7,$AD42:$BA42)+'Model Setup'!$I$8*(SUMIF($BH$3:$CE$3,"&lt;"&amp;$DF42,$AD42:$BA42)+SUMIF($BH$3:$CE$3,"&gt;"&amp;$CW$4,$AD42:$BA42)),
IF(BN$3=$DF42+'Model Setup'!$J$7,SUMIF($BH$3:$CE$3,"="&amp;$DF42+'Model Setup'!$J$7,$AD42:$BA42)+'Model Setup'!$J$8*(SUMIF($BH$3:$CE$3,"&lt;"&amp;$DF42,$AD42:$BA42)+SUMIF($BH$3:$CE$3,"&gt;"&amp;$CW$4,$AD42:$BA42)),
IF(BN$3=$DF42+'Model Setup'!$K$7,SUMIF($BH$3:$CE$3,"="&amp;$DF42+'Model Setup'!$K$7,$AD42:$BA42)+'Model Setup'!$K$8*(SUMIF($BH$3:$CE$3,"&lt;"&amp;$DF42,$AD42:$BA42)+SUMIF($BH$3:$CE$3,"&gt;"&amp;$CW$4,$AD42:$BA42)),
IF(BN$3=$DF42+'Model Setup'!$L$7,SUMIF($BH$3:$CE$3,"="&amp;$DF42+'Model Setup'!$L$7,$AD42:$BA42)+'Model Setup'!$L$8*(SUMIF($BH$3:$CE$3,"&lt;"&amp;$DF42,$AD42:$BA42)+SUMIF($BH$3:$CE$3,"&gt;"&amp;$CW$4,$AD42:$BA42)),
IF(BN$3=$DF42+'Model Setup'!$M$7,SUMIF($BH$3:$CE$3,"="&amp;$DF42+'Model Setup'!$M$7,$AD42:$BA42)+'Model Setup'!$M$8*(SUMIF($BH$3:$CE$3,"&lt;"&amp;$DF42,$AD42:$BA42)+SUMIF($BH$3:$CE$3,"&gt;"&amp;$CW$4,$AD42:$BA42)),
IF(BN$3=$DF42+'Model Setup'!$N$7,SUMIF($BH$3:$CE$3,"="&amp;$DF42+'Model Setup'!$N$7,$AD42:$BA42)+'Model Setup'!$N$8*(SUMIF($BH$3:$CE$3,"&lt;"&amp;$DF42,$AD42:$BA42)+SUMIF($BH$3:$CE$3,"&gt;"&amp;$CW$4,$AD42:$BA42)),
IF(BN$3&lt;$CW$4,H42,0))))))))))))))),0)</f>
        <v>0</v>
      </c>
      <c r="BO42" s="47">
        <f>ROUND(IF(OR(BO$3&lt;$DF42,BO$3&gt;$CW$4),0,
IF(BO$3=$DF42+'Model Setup'!$B$7,SUMIF($BH$3:$CE$3,"="&amp;$DF42+'Model Setup'!$B$7,$AD42:$BA42)+'Model Setup'!$B$8*(SUMIF($BH$3:$CE$3,"&lt;"&amp;$DF42,$AD42:$BA42)+SUMIF($BH$3:$CE$3,"&gt;"&amp;$CW$4,$AD42:$BA42)),
IF(BO$3=$DF42+'Model Setup'!$C$7,SUMIF($BH$3:$CE$3,"="&amp;$DF42+'Model Setup'!$C$7,$AD42:$BA42)+'Model Setup'!$C$8*(SUMIF($BH$3:$CE$3,"&lt;"&amp;$DF42,$AD42:$BA42)+SUMIF($BH$3:$CE$3,"&gt;"&amp;$CW$4,$AD42:$BA42)),
IF(BO$3=$DF42+'Model Setup'!$D$7,SUMIF($BH$3:$CE$3,"="&amp;$DF42+'Model Setup'!$D$7,$AD42:$BA42)+'Model Setup'!$D$8*(SUMIF($BH$3:$CE$3,"&lt;"&amp;$DF42,$AD42:$BA42)+SUMIF($BH$3:$CE$3,"&gt;"&amp;$CW$4,$AD42:$BA42)),
IF(BO$3=$DF42+'Model Setup'!$E$7,SUMIF($BH$3:$CE$3,"="&amp;$DF42+'Model Setup'!$E$7,$AD42:$BA42)+'Model Setup'!$E$8*(SUMIF($BH$3:$CE$3,"&lt;"&amp;$DF42,$AD42:$BA42)+SUMIF($BH$3:$CE$3,"&gt;"&amp;$CW$4,$AD42:$BA42)),
IF(BO$3=$DF42+'Model Setup'!$F$7,SUMIF($BH$3:$CE$3,"="&amp;$DF42+'Model Setup'!$F$7,$AD42:$BA42)+'Model Setup'!$F$8*(SUMIF($BH$3:$CE$3,"&lt;"&amp;$DF42,$AD42:$BA42)+SUMIF($BH$3:$CE$3,"&gt;"&amp;$CW$4,$AD42:$BA42)),
IF(BO$3=$DF42+'Model Setup'!$G$7,SUMIF($BH$3:$CE$3,"="&amp;$DF42+'Model Setup'!$G$7,$AD42:$BA42)+'Model Setup'!$G$8*(SUMIF($BH$3:$CE$3,"&lt;"&amp;$DF42,$AD42:$BA42)+SUMIF($BH$3:$CE$3,"&gt;"&amp;$CW$4,$AD42:$BA42)),
IF(BO$3=$DF42+'Model Setup'!$H$7,SUMIF($BH$3:$CE$3,"="&amp;$DF42+'Model Setup'!$H$7,$AD42:$BA42)+'Model Setup'!$H$8*(SUMIF($BH$3:$CE$3,"&lt;"&amp;$DF42,$AD42:$BA42)+SUMIF($BH$3:$CE$3,"&gt;"&amp;$CW$4,$AD42:$BA42)),
IF(BO$3=$DF42+'Model Setup'!$I$7,SUMIF($BH$3:$CE$3,"="&amp;$DF42+'Model Setup'!$I$7,$AD42:$BA42)+'Model Setup'!$I$8*(SUMIF($BH$3:$CE$3,"&lt;"&amp;$DF42,$AD42:$BA42)+SUMIF($BH$3:$CE$3,"&gt;"&amp;$CW$4,$AD42:$BA42)),
IF(BO$3=$DF42+'Model Setup'!$J$7,SUMIF($BH$3:$CE$3,"="&amp;$DF42+'Model Setup'!$J$7,$AD42:$BA42)+'Model Setup'!$J$8*(SUMIF($BH$3:$CE$3,"&lt;"&amp;$DF42,$AD42:$BA42)+SUMIF($BH$3:$CE$3,"&gt;"&amp;$CW$4,$AD42:$BA42)),
IF(BO$3=$DF42+'Model Setup'!$K$7,SUMIF($BH$3:$CE$3,"="&amp;$DF42+'Model Setup'!$K$7,$AD42:$BA42)+'Model Setup'!$K$8*(SUMIF($BH$3:$CE$3,"&lt;"&amp;$DF42,$AD42:$BA42)+SUMIF($BH$3:$CE$3,"&gt;"&amp;$CW$4,$AD42:$BA42)),
IF(BO$3=$DF42+'Model Setup'!$L$7,SUMIF($BH$3:$CE$3,"="&amp;$DF42+'Model Setup'!$L$7,$AD42:$BA42)+'Model Setup'!$L$8*(SUMIF($BH$3:$CE$3,"&lt;"&amp;$DF42,$AD42:$BA42)+SUMIF($BH$3:$CE$3,"&gt;"&amp;$CW$4,$AD42:$BA42)),
IF(BO$3=$DF42+'Model Setup'!$M$7,SUMIF($BH$3:$CE$3,"="&amp;$DF42+'Model Setup'!$M$7,$AD42:$BA42)+'Model Setup'!$M$8*(SUMIF($BH$3:$CE$3,"&lt;"&amp;$DF42,$AD42:$BA42)+SUMIF($BH$3:$CE$3,"&gt;"&amp;$CW$4,$AD42:$BA42)),
IF(BO$3=$DF42+'Model Setup'!$N$7,SUMIF($BH$3:$CE$3,"="&amp;$DF42+'Model Setup'!$N$7,$AD42:$BA42)+'Model Setup'!$N$8*(SUMIF($BH$3:$CE$3,"&lt;"&amp;$DF42,$AD42:$BA42)+SUMIF($BH$3:$CE$3,"&gt;"&amp;$CW$4,$AD42:$BA42)),
IF(BO$3&lt;$CW$4,I42,0))))))))))))))),0)</f>
        <v>56</v>
      </c>
      <c r="BP42" s="47">
        <f>ROUND(IF(OR(BP$3&lt;$DF42,BP$3&gt;$CW$4),0,
IF(BP$3=$DF42+'Model Setup'!$B$7,SUMIF($BH$3:$CE$3,"="&amp;$DF42+'Model Setup'!$B$7,$AD42:$BA42)+'Model Setup'!$B$8*(SUMIF($BH$3:$CE$3,"&lt;"&amp;$DF42,$AD42:$BA42)+SUMIF($BH$3:$CE$3,"&gt;"&amp;$CW$4,$AD42:$BA42)),
IF(BP$3=$DF42+'Model Setup'!$C$7,SUMIF($BH$3:$CE$3,"="&amp;$DF42+'Model Setup'!$C$7,$AD42:$BA42)+'Model Setup'!$C$8*(SUMIF($BH$3:$CE$3,"&lt;"&amp;$DF42,$AD42:$BA42)+SUMIF($BH$3:$CE$3,"&gt;"&amp;$CW$4,$AD42:$BA42)),
IF(BP$3=$DF42+'Model Setup'!$D$7,SUMIF($BH$3:$CE$3,"="&amp;$DF42+'Model Setup'!$D$7,$AD42:$BA42)+'Model Setup'!$D$8*(SUMIF($BH$3:$CE$3,"&lt;"&amp;$DF42,$AD42:$BA42)+SUMIF($BH$3:$CE$3,"&gt;"&amp;$CW$4,$AD42:$BA42)),
IF(BP$3=$DF42+'Model Setup'!$E$7,SUMIF($BH$3:$CE$3,"="&amp;$DF42+'Model Setup'!$E$7,$AD42:$BA42)+'Model Setup'!$E$8*(SUMIF($BH$3:$CE$3,"&lt;"&amp;$DF42,$AD42:$BA42)+SUMIF($BH$3:$CE$3,"&gt;"&amp;$CW$4,$AD42:$BA42)),
IF(BP$3=$DF42+'Model Setup'!$F$7,SUMIF($BH$3:$CE$3,"="&amp;$DF42+'Model Setup'!$F$7,$AD42:$BA42)+'Model Setup'!$F$8*(SUMIF($BH$3:$CE$3,"&lt;"&amp;$DF42,$AD42:$BA42)+SUMIF($BH$3:$CE$3,"&gt;"&amp;$CW$4,$AD42:$BA42)),
IF(BP$3=$DF42+'Model Setup'!$G$7,SUMIF($BH$3:$CE$3,"="&amp;$DF42+'Model Setup'!$G$7,$AD42:$BA42)+'Model Setup'!$G$8*(SUMIF($BH$3:$CE$3,"&lt;"&amp;$DF42,$AD42:$BA42)+SUMIF($BH$3:$CE$3,"&gt;"&amp;$CW$4,$AD42:$BA42)),
IF(BP$3=$DF42+'Model Setup'!$H$7,SUMIF($BH$3:$CE$3,"="&amp;$DF42+'Model Setup'!$H$7,$AD42:$BA42)+'Model Setup'!$H$8*(SUMIF($BH$3:$CE$3,"&lt;"&amp;$DF42,$AD42:$BA42)+SUMIF($BH$3:$CE$3,"&gt;"&amp;$CW$4,$AD42:$BA42)),
IF(BP$3=$DF42+'Model Setup'!$I$7,SUMIF($BH$3:$CE$3,"="&amp;$DF42+'Model Setup'!$I$7,$AD42:$BA42)+'Model Setup'!$I$8*(SUMIF($BH$3:$CE$3,"&lt;"&amp;$DF42,$AD42:$BA42)+SUMIF($BH$3:$CE$3,"&gt;"&amp;$CW$4,$AD42:$BA42)),
IF(BP$3=$DF42+'Model Setup'!$J$7,SUMIF($BH$3:$CE$3,"="&amp;$DF42+'Model Setup'!$J$7,$AD42:$BA42)+'Model Setup'!$J$8*(SUMIF($BH$3:$CE$3,"&lt;"&amp;$DF42,$AD42:$BA42)+SUMIF($BH$3:$CE$3,"&gt;"&amp;$CW$4,$AD42:$BA42)),
IF(BP$3=$DF42+'Model Setup'!$K$7,SUMIF($BH$3:$CE$3,"="&amp;$DF42+'Model Setup'!$K$7,$AD42:$BA42)+'Model Setup'!$K$8*(SUMIF($BH$3:$CE$3,"&lt;"&amp;$DF42,$AD42:$BA42)+SUMIF($BH$3:$CE$3,"&gt;"&amp;$CW$4,$AD42:$BA42)),
IF(BP$3=$DF42+'Model Setup'!$L$7,SUMIF($BH$3:$CE$3,"="&amp;$DF42+'Model Setup'!$L$7,$AD42:$BA42)+'Model Setup'!$L$8*(SUMIF($BH$3:$CE$3,"&lt;"&amp;$DF42,$AD42:$BA42)+SUMIF($BH$3:$CE$3,"&gt;"&amp;$CW$4,$AD42:$BA42)),
IF(BP$3=$DF42+'Model Setup'!$M$7,SUMIF($BH$3:$CE$3,"="&amp;$DF42+'Model Setup'!$M$7,$AD42:$BA42)+'Model Setup'!$M$8*(SUMIF($BH$3:$CE$3,"&lt;"&amp;$DF42,$AD42:$BA42)+SUMIF($BH$3:$CE$3,"&gt;"&amp;$CW$4,$AD42:$BA42)),
IF(BP$3=$DF42+'Model Setup'!$N$7,SUMIF($BH$3:$CE$3,"="&amp;$DF42+'Model Setup'!$N$7,$AD42:$BA42)+'Model Setup'!$N$8*(SUMIF($BH$3:$CE$3,"&lt;"&amp;$DF42,$AD42:$BA42)+SUMIF($BH$3:$CE$3,"&gt;"&amp;$CW$4,$AD42:$BA42)),
IF(BP$3&lt;$CW$4,J42,0))))))))))))))),0)</f>
        <v>77</v>
      </c>
      <c r="BQ42" s="47">
        <f>ROUND(IF(OR(BQ$3&lt;$DF42,BQ$3&gt;$CW$4),0,
IF(BQ$3=$DF42+'Model Setup'!$B$7,SUMIF($BH$3:$CE$3,"="&amp;$DF42+'Model Setup'!$B$7,$AD42:$BA42)+'Model Setup'!$B$8*(SUMIF($BH$3:$CE$3,"&lt;"&amp;$DF42,$AD42:$BA42)+SUMIF($BH$3:$CE$3,"&gt;"&amp;$CW$4,$AD42:$BA42)),
IF(BQ$3=$DF42+'Model Setup'!$C$7,SUMIF($BH$3:$CE$3,"="&amp;$DF42+'Model Setup'!$C$7,$AD42:$BA42)+'Model Setup'!$C$8*(SUMIF($BH$3:$CE$3,"&lt;"&amp;$DF42,$AD42:$BA42)+SUMIF($BH$3:$CE$3,"&gt;"&amp;$CW$4,$AD42:$BA42)),
IF(BQ$3=$DF42+'Model Setup'!$D$7,SUMIF($BH$3:$CE$3,"="&amp;$DF42+'Model Setup'!$D$7,$AD42:$BA42)+'Model Setup'!$D$8*(SUMIF($BH$3:$CE$3,"&lt;"&amp;$DF42,$AD42:$BA42)+SUMIF($BH$3:$CE$3,"&gt;"&amp;$CW$4,$AD42:$BA42)),
IF(BQ$3=$DF42+'Model Setup'!$E$7,SUMIF($BH$3:$CE$3,"="&amp;$DF42+'Model Setup'!$E$7,$AD42:$BA42)+'Model Setup'!$E$8*(SUMIF($BH$3:$CE$3,"&lt;"&amp;$DF42,$AD42:$BA42)+SUMIF($BH$3:$CE$3,"&gt;"&amp;$CW$4,$AD42:$BA42)),
IF(BQ$3=$DF42+'Model Setup'!$F$7,SUMIF($BH$3:$CE$3,"="&amp;$DF42+'Model Setup'!$F$7,$AD42:$BA42)+'Model Setup'!$F$8*(SUMIF($BH$3:$CE$3,"&lt;"&amp;$DF42,$AD42:$BA42)+SUMIF($BH$3:$CE$3,"&gt;"&amp;$CW$4,$AD42:$BA42)),
IF(BQ$3=$DF42+'Model Setup'!$G$7,SUMIF($BH$3:$CE$3,"="&amp;$DF42+'Model Setup'!$G$7,$AD42:$BA42)+'Model Setup'!$G$8*(SUMIF($BH$3:$CE$3,"&lt;"&amp;$DF42,$AD42:$BA42)+SUMIF($BH$3:$CE$3,"&gt;"&amp;$CW$4,$AD42:$BA42)),
IF(BQ$3=$DF42+'Model Setup'!$H$7,SUMIF($BH$3:$CE$3,"="&amp;$DF42+'Model Setup'!$H$7,$AD42:$BA42)+'Model Setup'!$H$8*(SUMIF($BH$3:$CE$3,"&lt;"&amp;$DF42,$AD42:$BA42)+SUMIF($BH$3:$CE$3,"&gt;"&amp;$CW$4,$AD42:$BA42)),
IF(BQ$3=$DF42+'Model Setup'!$I$7,SUMIF($BH$3:$CE$3,"="&amp;$DF42+'Model Setup'!$I$7,$AD42:$BA42)+'Model Setup'!$I$8*(SUMIF($BH$3:$CE$3,"&lt;"&amp;$DF42,$AD42:$BA42)+SUMIF($BH$3:$CE$3,"&gt;"&amp;$CW$4,$AD42:$BA42)),
IF(BQ$3=$DF42+'Model Setup'!$J$7,SUMIF($BH$3:$CE$3,"="&amp;$DF42+'Model Setup'!$J$7,$AD42:$BA42)+'Model Setup'!$J$8*(SUMIF($BH$3:$CE$3,"&lt;"&amp;$DF42,$AD42:$BA42)+SUMIF($BH$3:$CE$3,"&gt;"&amp;$CW$4,$AD42:$BA42)),
IF(BQ$3=$DF42+'Model Setup'!$K$7,SUMIF($BH$3:$CE$3,"="&amp;$DF42+'Model Setup'!$K$7,$AD42:$BA42)+'Model Setup'!$K$8*(SUMIF($BH$3:$CE$3,"&lt;"&amp;$DF42,$AD42:$BA42)+SUMIF($BH$3:$CE$3,"&gt;"&amp;$CW$4,$AD42:$BA42)),
IF(BQ$3=$DF42+'Model Setup'!$L$7,SUMIF($BH$3:$CE$3,"="&amp;$DF42+'Model Setup'!$L$7,$AD42:$BA42)+'Model Setup'!$L$8*(SUMIF($BH$3:$CE$3,"&lt;"&amp;$DF42,$AD42:$BA42)+SUMIF($BH$3:$CE$3,"&gt;"&amp;$CW$4,$AD42:$BA42)),
IF(BQ$3=$DF42+'Model Setup'!$M$7,SUMIF($BH$3:$CE$3,"="&amp;$DF42+'Model Setup'!$M$7,$AD42:$BA42)+'Model Setup'!$M$8*(SUMIF($BH$3:$CE$3,"&lt;"&amp;$DF42,$AD42:$BA42)+SUMIF($BH$3:$CE$3,"&gt;"&amp;$CW$4,$AD42:$BA42)),
IF(BQ$3=$DF42+'Model Setup'!$N$7,SUMIF($BH$3:$CE$3,"="&amp;$DF42+'Model Setup'!$N$7,$AD42:$BA42)+'Model Setup'!$N$8*(SUMIF($BH$3:$CE$3,"&lt;"&amp;$DF42,$AD42:$BA42)+SUMIF($BH$3:$CE$3,"&gt;"&amp;$CW$4,$AD42:$BA42)),
IF(BQ$3&lt;$CW$4,K42,0))))))))))))))),0)</f>
        <v>76</v>
      </c>
      <c r="BR42" s="47">
        <f>ROUND(IF(OR(BR$3&lt;$DF42,BR$3&gt;$CW$4),0,
IF(BR$3=$DF42+'Model Setup'!$B$7,SUMIF($BH$3:$CE$3,"="&amp;$DF42+'Model Setup'!$B$7,$AD42:$BA42)+'Model Setup'!$B$8*(SUMIF($BH$3:$CE$3,"&lt;"&amp;$DF42,$AD42:$BA42)+SUMIF($BH$3:$CE$3,"&gt;"&amp;$CW$4,$AD42:$BA42)),
IF(BR$3=$DF42+'Model Setup'!$C$7,SUMIF($BH$3:$CE$3,"="&amp;$DF42+'Model Setup'!$C$7,$AD42:$BA42)+'Model Setup'!$C$8*(SUMIF($BH$3:$CE$3,"&lt;"&amp;$DF42,$AD42:$BA42)+SUMIF($BH$3:$CE$3,"&gt;"&amp;$CW$4,$AD42:$BA42)),
IF(BR$3=$DF42+'Model Setup'!$D$7,SUMIF($BH$3:$CE$3,"="&amp;$DF42+'Model Setup'!$D$7,$AD42:$BA42)+'Model Setup'!$D$8*(SUMIF($BH$3:$CE$3,"&lt;"&amp;$DF42,$AD42:$BA42)+SUMIF($BH$3:$CE$3,"&gt;"&amp;$CW$4,$AD42:$BA42)),
IF(BR$3=$DF42+'Model Setup'!$E$7,SUMIF($BH$3:$CE$3,"="&amp;$DF42+'Model Setup'!$E$7,$AD42:$BA42)+'Model Setup'!$E$8*(SUMIF($BH$3:$CE$3,"&lt;"&amp;$DF42,$AD42:$BA42)+SUMIF($BH$3:$CE$3,"&gt;"&amp;$CW$4,$AD42:$BA42)),
IF(BR$3=$DF42+'Model Setup'!$F$7,SUMIF($BH$3:$CE$3,"="&amp;$DF42+'Model Setup'!$F$7,$AD42:$BA42)+'Model Setup'!$F$8*(SUMIF($BH$3:$CE$3,"&lt;"&amp;$DF42,$AD42:$BA42)+SUMIF($BH$3:$CE$3,"&gt;"&amp;$CW$4,$AD42:$BA42)),
IF(BR$3=$DF42+'Model Setup'!$G$7,SUMIF($BH$3:$CE$3,"="&amp;$DF42+'Model Setup'!$G$7,$AD42:$BA42)+'Model Setup'!$G$8*(SUMIF($BH$3:$CE$3,"&lt;"&amp;$DF42,$AD42:$BA42)+SUMIF($BH$3:$CE$3,"&gt;"&amp;$CW$4,$AD42:$BA42)),
IF(BR$3=$DF42+'Model Setup'!$H$7,SUMIF($BH$3:$CE$3,"="&amp;$DF42+'Model Setup'!$H$7,$AD42:$BA42)+'Model Setup'!$H$8*(SUMIF($BH$3:$CE$3,"&lt;"&amp;$DF42,$AD42:$BA42)+SUMIF($BH$3:$CE$3,"&gt;"&amp;$CW$4,$AD42:$BA42)),
IF(BR$3=$DF42+'Model Setup'!$I$7,SUMIF($BH$3:$CE$3,"="&amp;$DF42+'Model Setup'!$I$7,$AD42:$BA42)+'Model Setup'!$I$8*(SUMIF($BH$3:$CE$3,"&lt;"&amp;$DF42,$AD42:$BA42)+SUMIF($BH$3:$CE$3,"&gt;"&amp;$CW$4,$AD42:$BA42)),
IF(BR$3=$DF42+'Model Setup'!$J$7,SUMIF($BH$3:$CE$3,"="&amp;$DF42+'Model Setup'!$J$7,$AD42:$BA42)+'Model Setup'!$J$8*(SUMIF($BH$3:$CE$3,"&lt;"&amp;$DF42,$AD42:$BA42)+SUMIF($BH$3:$CE$3,"&gt;"&amp;$CW$4,$AD42:$BA42)),
IF(BR$3=$DF42+'Model Setup'!$K$7,SUMIF($BH$3:$CE$3,"="&amp;$DF42+'Model Setup'!$K$7,$AD42:$BA42)+'Model Setup'!$K$8*(SUMIF($BH$3:$CE$3,"&lt;"&amp;$DF42,$AD42:$BA42)+SUMIF($BH$3:$CE$3,"&gt;"&amp;$CW$4,$AD42:$BA42)),
IF(BR$3=$DF42+'Model Setup'!$L$7,SUMIF($BH$3:$CE$3,"="&amp;$DF42+'Model Setup'!$L$7,$AD42:$BA42)+'Model Setup'!$L$8*(SUMIF($BH$3:$CE$3,"&lt;"&amp;$DF42,$AD42:$BA42)+SUMIF($BH$3:$CE$3,"&gt;"&amp;$CW$4,$AD42:$BA42)),
IF(BR$3=$DF42+'Model Setup'!$M$7,SUMIF($BH$3:$CE$3,"="&amp;$DF42+'Model Setup'!$M$7,$AD42:$BA42)+'Model Setup'!$M$8*(SUMIF($BH$3:$CE$3,"&lt;"&amp;$DF42,$AD42:$BA42)+SUMIF($BH$3:$CE$3,"&gt;"&amp;$CW$4,$AD42:$BA42)),
IF(BR$3=$DF42+'Model Setup'!$N$7,SUMIF($BH$3:$CE$3,"="&amp;$DF42+'Model Setup'!$N$7,$AD42:$BA42)+'Model Setup'!$N$8*(SUMIF($BH$3:$CE$3,"&lt;"&amp;$DF42,$AD42:$BA42)+SUMIF($BH$3:$CE$3,"&gt;"&amp;$CW$4,$AD42:$BA42)),
IF(BR$3&lt;$CW$4,L42,0))))))))))))))),0)</f>
        <v>74</v>
      </c>
      <c r="BS42" s="47">
        <f>ROUND(IF(OR(BS$3&lt;$DF42,BS$3&gt;$CW$4),0,
IF(BS$3=$DF42+'Model Setup'!$B$7,SUMIF($BH$3:$CE$3,"="&amp;$DF42+'Model Setup'!$B$7,$AD42:$BA42)+'Model Setup'!$B$8*(SUMIF($BH$3:$CE$3,"&lt;"&amp;$DF42,$AD42:$BA42)+SUMIF($BH$3:$CE$3,"&gt;"&amp;$CW$4,$AD42:$BA42)),
IF(BS$3=$DF42+'Model Setup'!$C$7,SUMIF($BH$3:$CE$3,"="&amp;$DF42+'Model Setup'!$C$7,$AD42:$BA42)+'Model Setup'!$C$8*(SUMIF($BH$3:$CE$3,"&lt;"&amp;$DF42,$AD42:$BA42)+SUMIF($BH$3:$CE$3,"&gt;"&amp;$CW$4,$AD42:$BA42)),
IF(BS$3=$DF42+'Model Setup'!$D$7,SUMIF($BH$3:$CE$3,"="&amp;$DF42+'Model Setup'!$D$7,$AD42:$BA42)+'Model Setup'!$D$8*(SUMIF($BH$3:$CE$3,"&lt;"&amp;$DF42,$AD42:$BA42)+SUMIF($BH$3:$CE$3,"&gt;"&amp;$CW$4,$AD42:$BA42)),
IF(BS$3=$DF42+'Model Setup'!$E$7,SUMIF($BH$3:$CE$3,"="&amp;$DF42+'Model Setup'!$E$7,$AD42:$BA42)+'Model Setup'!$E$8*(SUMIF($BH$3:$CE$3,"&lt;"&amp;$DF42,$AD42:$BA42)+SUMIF($BH$3:$CE$3,"&gt;"&amp;$CW$4,$AD42:$BA42)),
IF(BS$3=$DF42+'Model Setup'!$F$7,SUMIF($BH$3:$CE$3,"="&amp;$DF42+'Model Setup'!$F$7,$AD42:$BA42)+'Model Setup'!$F$8*(SUMIF($BH$3:$CE$3,"&lt;"&amp;$DF42,$AD42:$BA42)+SUMIF($BH$3:$CE$3,"&gt;"&amp;$CW$4,$AD42:$BA42)),
IF(BS$3=$DF42+'Model Setup'!$G$7,SUMIF($BH$3:$CE$3,"="&amp;$DF42+'Model Setup'!$G$7,$AD42:$BA42)+'Model Setup'!$G$8*(SUMIF($BH$3:$CE$3,"&lt;"&amp;$DF42,$AD42:$BA42)+SUMIF($BH$3:$CE$3,"&gt;"&amp;$CW$4,$AD42:$BA42)),
IF(BS$3=$DF42+'Model Setup'!$H$7,SUMIF($BH$3:$CE$3,"="&amp;$DF42+'Model Setup'!$H$7,$AD42:$BA42)+'Model Setup'!$H$8*(SUMIF($BH$3:$CE$3,"&lt;"&amp;$DF42,$AD42:$BA42)+SUMIF($BH$3:$CE$3,"&gt;"&amp;$CW$4,$AD42:$BA42)),
IF(BS$3=$DF42+'Model Setup'!$I$7,SUMIF($BH$3:$CE$3,"="&amp;$DF42+'Model Setup'!$I$7,$AD42:$BA42)+'Model Setup'!$I$8*(SUMIF($BH$3:$CE$3,"&lt;"&amp;$DF42,$AD42:$BA42)+SUMIF($BH$3:$CE$3,"&gt;"&amp;$CW$4,$AD42:$BA42)),
IF(BS$3=$DF42+'Model Setup'!$J$7,SUMIF($BH$3:$CE$3,"="&amp;$DF42+'Model Setup'!$J$7,$AD42:$BA42)+'Model Setup'!$J$8*(SUMIF($BH$3:$CE$3,"&lt;"&amp;$DF42,$AD42:$BA42)+SUMIF($BH$3:$CE$3,"&gt;"&amp;$CW$4,$AD42:$BA42)),
IF(BS$3=$DF42+'Model Setup'!$K$7,SUMIF($BH$3:$CE$3,"="&amp;$DF42+'Model Setup'!$K$7,$AD42:$BA42)+'Model Setup'!$K$8*(SUMIF($BH$3:$CE$3,"&lt;"&amp;$DF42,$AD42:$BA42)+SUMIF($BH$3:$CE$3,"&gt;"&amp;$CW$4,$AD42:$BA42)),
IF(BS$3=$DF42+'Model Setup'!$L$7,SUMIF($BH$3:$CE$3,"="&amp;$DF42+'Model Setup'!$L$7,$AD42:$BA42)+'Model Setup'!$L$8*(SUMIF($BH$3:$CE$3,"&lt;"&amp;$DF42,$AD42:$BA42)+SUMIF($BH$3:$CE$3,"&gt;"&amp;$CW$4,$AD42:$BA42)),
IF(BS$3=$DF42+'Model Setup'!$M$7,SUMIF($BH$3:$CE$3,"="&amp;$DF42+'Model Setup'!$M$7,$AD42:$BA42)+'Model Setup'!$M$8*(SUMIF($BH$3:$CE$3,"&lt;"&amp;$DF42,$AD42:$BA42)+SUMIF($BH$3:$CE$3,"&gt;"&amp;$CW$4,$AD42:$BA42)),
IF(BS$3=$DF42+'Model Setup'!$N$7,SUMIF($BH$3:$CE$3,"="&amp;$DF42+'Model Setup'!$N$7,$AD42:$BA42)+'Model Setup'!$N$8*(SUMIF($BH$3:$CE$3,"&lt;"&amp;$DF42,$AD42:$BA42)+SUMIF($BH$3:$CE$3,"&gt;"&amp;$CW$4,$AD42:$BA42)),
IF(BS$3&lt;$CW$4,M42,0))))))))))))))),0)</f>
        <v>65</v>
      </c>
      <c r="BT42" s="47">
        <f>ROUND(IF(OR(BT$3&lt;$DF42,BT$3&gt;$CW$4),0,
IF(BT$3=$DF42+'Model Setup'!$B$7,SUMIF($BH$3:$CE$3,"="&amp;$DF42+'Model Setup'!$B$7,$AD42:$BA42)+'Model Setup'!$B$8*(SUMIF($BH$3:$CE$3,"&lt;"&amp;$DF42,$AD42:$BA42)+SUMIF($BH$3:$CE$3,"&gt;"&amp;$CW$4,$AD42:$BA42)),
IF(BT$3=$DF42+'Model Setup'!$C$7,SUMIF($BH$3:$CE$3,"="&amp;$DF42+'Model Setup'!$C$7,$AD42:$BA42)+'Model Setup'!$C$8*(SUMIF($BH$3:$CE$3,"&lt;"&amp;$DF42,$AD42:$BA42)+SUMIF($BH$3:$CE$3,"&gt;"&amp;$CW$4,$AD42:$BA42)),
IF(BT$3=$DF42+'Model Setup'!$D$7,SUMIF($BH$3:$CE$3,"="&amp;$DF42+'Model Setup'!$D$7,$AD42:$BA42)+'Model Setup'!$D$8*(SUMIF($BH$3:$CE$3,"&lt;"&amp;$DF42,$AD42:$BA42)+SUMIF($BH$3:$CE$3,"&gt;"&amp;$CW$4,$AD42:$BA42)),
IF(BT$3=$DF42+'Model Setup'!$E$7,SUMIF($BH$3:$CE$3,"="&amp;$DF42+'Model Setup'!$E$7,$AD42:$BA42)+'Model Setup'!$E$8*(SUMIF($BH$3:$CE$3,"&lt;"&amp;$DF42,$AD42:$BA42)+SUMIF($BH$3:$CE$3,"&gt;"&amp;$CW$4,$AD42:$BA42)),
IF(BT$3=$DF42+'Model Setup'!$F$7,SUMIF($BH$3:$CE$3,"="&amp;$DF42+'Model Setup'!$F$7,$AD42:$BA42)+'Model Setup'!$F$8*(SUMIF($BH$3:$CE$3,"&lt;"&amp;$DF42,$AD42:$BA42)+SUMIF($BH$3:$CE$3,"&gt;"&amp;$CW$4,$AD42:$BA42)),
IF(BT$3=$DF42+'Model Setup'!$G$7,SUMIF($BH$3:$CE$3,"="&amp;$DF42+'Model Setup'!$G$7,$AD42:$BA42)+'Model Setup'!$G$8*(SUMIF($BH$3:$CE$3,"&lt;"&amp;$DF42,$AD42:$BA42)+SUMIF($BH$3:$CE$3,"&gt;"&amp;$CW$4,$AD42:$BA42)),
IF(BT$3=$DF42+'Model Setup'!$H$7,SUMIF($BH$3:$CE$3,"="&amp;$DF42+'Model Setup'!$H$7,$AD42:$BA42)+'Model Setup'!$H$8*(SUMIF($BH$3:$CE$3,"&lt;"&amp;$DF42,$AD42:$BA42)+SUMIF($BH$3:$CE$3,"&gt;"&amp;$CW$4,$AD42:$BA42)),
IF(BT$3=$DF42+'Model Setup'!$I$7,SUMIF($BH$3:$CE$3,"="&amp;$DF42+'Model Setup'!$I$7,$AD42:$BA42)+'Model Setup'!$I$8*(SUMIF($BH$3:$CE$3,"&lt;"&amp;$DF42,$AD42:$BA42)+SUMIF($BH$3:$CE$3,"&gt;"&amp;$CW$4,$AD42:$BA42)),
IF(BT$3=$DF42+'Model Setup'!$J$7,SUMIF($BH$3:$CE$3,"="&amp;$DF42+'Model Setup'!$J$7,$AD42:$BA42)+'Model Setup'!$J$8*(SUMIF($BH$3:$CE$3,"&lt;"&amp;$DF42,$AD42:$BA42)+SUMIF($BH$3:$CE$3,"&gt;"&amp;$CW$4,$AD42:$BA42)),
IF(BT$3=$DF42+'Model Setup'!$K$7,SUMIF($BH$3:$CE$3,"="&amp;$DF42+'Model Setup'!$K$7,$AD42:$BA42)+'Model Setup'!$K$8*(SUMIF($BH$3:$CE$3,"&lt;"&amp;$DF42,$AD42:$BA42)+SUMIF($BH$3:$CE$3,"&gt;"&amp;$CW$4,$AD42:$BA42)),
IF(BT$3=$DF42+'Model Setup'!$L$7,SUMIF($BH$3:$CE$3,"="&amp;$DF42+'Model Setup'!$L$7,$AD42:$BA42)+'Model Setup'!$L$8*(SUMIF($BH$3:$CE$3,"&lt;"&amp;$DF42,$AD42:$BA42)+SUMIF($BH$3:$CE$3,"&gt;"&amp;$CW$4,$AD42:$BA42)),
IF(BT$3=$DF42+'Model Setup'!$M$7,SUMIF($BH$3:$CE$3,"="&amp;$DF42+'Model Setup'!$M$7,$AD42:$BA42)+'Model Setup'!$M$8*(SUMIF($BH$3:$CE$3,"&lt;"&amp;$DF42,$AD42:$BA42)+SUMIF($BH$3:$CE$3,"&gt;"&amp;$CW$4,$AD42:$BA42)),
IF(BT$3=$DF42+'Model Setup'!$N$7,SUMIF($BH$3:$CE$3,"="&amp;$DF42+'Model Setup'!$N$7,$AD42:$BA42)+'Model Setup'!$N$8*(SUMIF($BH$3:$CE$3,"&lt;"&amp;$DF42,$AD42:$BA42)+SUMIF($BH$3:$CE$3,"&gt;"&amp;$CW$4,$AD42:$BA42)),
IF(BT$3&lt;$CW$4,N42,0))))))))))))))),0)</f>
        <v>42</v>
      </c>
      <c r="BU42" s="47">
        <f>ROUND(IF(OR(BU$3&lt;$DF42,BU$3&gt;$CW$4),0,
IF(BU$3=$DF42+'Model Setup'!$B$7,SUMIF($BH$3:$CE$3,"="&amp;$DF42+'Model Setup'!$B$7,$AD42:$BA42)+'Model Setup'!$B$8*(SUMIF($BH$3:$CE$3,"&lt;"&amp;$DF42,$AD42:$BA42)+SUMIF($BH$3:$CE$3,"&gt;"&amp;$CW$4,$AD42:$BA42)),
IF(BU$3=$DF42+'Model Setup'!$C$7,SUMIF($BH$3:$CE$3,"="&amp;$DF42+'Model Setup'!$C$7,$AD42:$BA42)+'Model Setup'!$C$8*(SUMIF($BH$3:$CE$3,"&lt;"&amp;$DF42,$AD42:$BA42)+SUMIF($BH$3:$CE$3,"&gt;"&amp;$CW$4,$AD42:$BA42)),
IF(BU$3=$DF42+'Model Setup'!$D$7,SUMIF($BH$3:$CE$3,"="&amp;$DF42+'Model Setup'!$D$7,$AD42:$BA42)+'Model Setup'!$D$8*(SUMIF($BH$3:$CE$3,"&lt;"&amp;$DF42,$AD42:$BA42)+SUMIF($BH$3:$CE$3,"&gt;"&amp;$CW$4,$AD42:$BA42)),
IF(BU$3=$DF42+'Model Setup'!$E$7,SUMIF($BH$3:$CE$3,"="&amp;$DF42+'Model Setup'!$E$7,$AD42:$BA42)+'Model Setup'!$E$8*(SUMIF($BH$3:$CE$3,"&lt;"&amp;$DF42,$AD42:$BA42)+SUMIF($BH$3:$CE$3,"&gt;"&amp;$CW$4,$AD42:$BA42)),
IF(BU$3=$DF42+'Model Setup'!$F$7,SUMIF($BH$3:$CE$3,"="&amp;$DF42+'Model Setup'!$F$7,$AD42:$BA42)+'Model Setup'!$F$8*(SUMIF($BH$3:$CE$3,"&lt;"&amp;$DF42,$AD42:$BA42)+SUMIF($BH$3:$CE$3,"&gt;"&amp;$CW$4,$AD42:$BA42)),
IF(BU$3=$DF42+'Model Setup'!$G$7,SUMIF($BH$3:$CE$3,"="&amp;$DF42+'Model Setup'!$G$7,$AD42:$BA42)+'Model Setup'!$G$8*(SUMIF($BH$3:$CE$3,"&lt;"&amp;$DF42,$AD42:$BA42)+SUMIF($BH$3:$CE$3,"&gt;"&amp;$CW$4,$AD42:$BA42)),
IF(BU$3=$DF42+'Model Setup'!$H$7,SUMIF($BH$3:$CE$3,"="&amp;$DF42+'Model Setup'!$H$7,$AD42:$BA42)+'Model Setup'!$H$8*(SUMIF($BH$3:$CE$3,"&lt;"&amp;$DF42,$AD42:$BA42)+SUMIF($BH$3:$CE$3,"&gt;"&amp;$CW$4,$AD42:$BA42)),
IF(BU$3=$DF42+'Model Setup'!$I$7,SUMIF($BH$3:$CE$3,"="&amp;$DF42+'Model Setup'!$I$7,$AD42:$BA42)+'Model Setup'!$I$8*(SUMIF($BH$3:$CE$3,"&lt;"&amp;$DF42,$AD42:$BA42)+SUMIF($BH$3:$CE$3,"&gt;"&amp;$CW$4,$AD42:$BA42)),
IF(BU$3=$DF42+'Model Setup'!$J$7,SUMIF($BH$3:$CE$3,"="&amp;$DF42+'Model Setup'!$J$7,$AD42:$BA42)+'Model Setup'!$J$8*(SUMIF($BH$3:$CE$3,"&lt;"&amp;$DF42,$AD42:$BA42)+SUMIF($BH$3:$CE$3,"&gt;"&amp;$CW$4,$AD42:$BA42)),
IF(BU$3=$DF42+'Model Setup'!$K$7,SUMIF($BH$3:$CE$3,"="&amp;$DF42+'Model Setup'!$K$7,$AD42:$BA42)+'Model Setup'!$K$8*(SUMIF($BH$3:$CE$3,"&lt;"&amp;$DF42,$AD42:$BA42)+SUMIF($BH$3:$CE$3,"&gt;"&amp;$CW$4,$AD42:$BA42)),
IF(BU$3=$DF42+'Model Setup'!$L$7,SUMIF($BH$3:$CE$3,"="&amp;$DF42+'Model Setup'!$L$7,$AD42:$BA42)+'Model Setup'!$L$8*(SUMIF($BH$3:$CE$3,"&lt;"&amp;$DF42,$AD42:$BA42)+SUMIF($BH$3:$CE$3,"&gt;"&amp;$CW$4,$AD42:$BA42)),
IF(BU$3=$DF42+'Model Setup'!$M$7,SUMIF($BH$3:$CE$3,"="&amp;$DF42+'Model Setup'!$M$7,$AD42:$BA42)+'Model Setup'!$M$8*(SUMIF($BH$3:$CE$3,"&lt;"&amp;$DF42,$AD42:$BA42)+SUMIF($BH$3:$CE$3,"&gt;"&amp;$CW$4,$AD42:$BA42)),
IF(BU$3=$DF42+'Model Setup'!$N$7,SUMIF($BH$3:$CE$3,"="&amp;$DF42+'Model Setup'!$N$7,$AD42:$BA42)+'Model Setup'!$N$8*(SUMIF($BH$3:$CE$3,"&lt;"&amp;$DF42,$AD42:$BA42)+SUMIF($BH$3:$CE$3,"&gt;"&amp;$CW$4,$AD42:$BA42)),
IF(BU$3&lt;$CW$4,O42,0))))))))))))))),0)</f>
        <v>52</v>
      </c>
      <c r="BV42" s="47">
        <f>ROUND(IF(OR(BV$3&lt;$DF42,BV$3&gt;$CW$4),0,
IF(BV$3=$DF42+'Model Setup'!$B$7,SUMIF($BH$3:$CE$3,"="&amp;$DF42+'Model Setup'!$B$7,$AD42:$BA42)+'Model Setup'!$B$8*(SUMIF($BH$3:$CE$3,"&lt;"&amp;$DF42,$AD42:$BA42)+SUMIF($BH$3:$CE$3,"&gt;"&amp;$CW$4,$AD42:$BA42)),
IF(BV$3=$DF42+'Model Setup'!$C$7,SUMIF($BH$3:$CE$3,"="&amp;$DF42+'Model Setup'!$C$7,$AD42:$BA42)+'Model Setup'!$C$8*(SUMIF($BH$3:$CE$3,"&lt;"&amp;$DF42,$AD42:$BA42)+SUMIF($BH$3:$CE$3,"&gt;"&amp;$CW$4,$AD42:$BA42)),
IF(BV$3=$DF42+'Model Setup'!$D$7,SUMIF($BH$3:$CE$3,"="&amp;$DF42+'Model Setup'!$D$7,$AD42:$BA42)+'Model Setup'!$D$8*(SUMIF($BH$3:$CE$3,"&lt;"&amp;$DF42,$AD42:$BA42)+SUMIF($BH$3:$CE$3,"&gt;"&amp;$CW$4,$AD42:$BA42)),
IF(BV$3=$DF42+'Model Setup'!$E$7,SUMIF($BH$3:$CE$3,"="&amp;$DF42+'Model Setup'!$E$7,$AD42:$BA42)+'Model Setup'!$E$8*(SUMIF($BH$3:$CE$3,"&lt;"&amp;$DF42,$AD42:$BA42)+SUMIF($BH$3:$CE$3,"&gt;"&amp;$CW$4,$AD42:$BA42)),
IF(BV$3=$DF42+'Model Setup'!$F$7,SUMIF($BH$3:$CE$3,"="&amp;$DF42+'Model Setup'!$F$7,$AD42:$BA42)+'Model Setup'!$F$8*(SUMIF($BH$3:$CE$3,"&lt;"&amp;$DF42,$AD42:$BA42)+SUMIF($BH$3:$CE$3,"&gt;"&amp;$CW$4,$AD42:$BA42)),
IF(BV$3=$DF42+'Model Setup'!$G$7,SUMIF($BH$3:$CE$3,"="&amp;$DF42+'Model Setup'!$G$7,$AD42:$BA42)+'Model Setup'!$G$8*(SUMIF($BH$3:$CE$3,"&lt;"&amp;$DF42,$AD42:$BA42)+SUMIF($BH$3:$CE$3,"&gt;"&amp;$CW$4,$AD42:$BA42)),
IF(BV$3=$DF42+'Model Setup'!$H$7,SUMIF($BH$3:$CE$3,"="&amp;$DF42+'Model Setup'!$H$7,$AD42:$BA42)+'Model Setup'!$H$8*(SUMIF($BH$3:$CE$3,"&lt;"&amp;$DF42,$AD42:$BA42)+SUMIF($BH$3:$CE$3,"&gt;"&amp;$CW$4,$AD42:$BA42)),
IF(BV$3=$DF42+'Model Setup'!$I$7,SUMIF($BH$3:$CE$3,"="&amp;$DF42+'Model Setup'!$I$7,$AD42:$BA42)+'Model Setup'!$I$8*(SUMIF($BH$3:$CE$3,"&lt;"&amp;$DF42,$AD42:$BA42)+SUMIF($BH$3:$CE$3,"&gt;"&amp;$CW$4,$AD42:$BA42)),
IF(BV$3=$DF42+'Model Setup'!$J$7,SUMIF($BH$3:$CE$3,"="&amp;$DF42+'Model Setup'!$J$7,$AD42:$BA42)+'Model Setup'!$J$8*(SUMIF($BH$3:$CE$3,"&lt;"&amp;$DF42,$AD42:$BA42)+SUMIF($BH$3:$CE$3,"&gt;"&amp;$CW$4,$AD42:$BA42)),
IF(BV$3=$DF42+'Model Setup'!$K$7,SUMIF($BH$3:$CE$3,"="&amp;$DF42+'Model Setup'!$K$7,$AD42:$BA42)+'Model Setup'!$K$8*(SUMIF($BH$3:$CE$3,"&lt;"&amp;$DF42,$AD42:$BA42)+SUMIF($BH$3:$CE$3,"&gt;"&amp;$CW$4,$AD42:$BA42)),
IF(BV$3=$DF42+'Model Setup'!$L$7,SUMIF($BH$3:$CE$3,"="&amp;$DF42+'Model Setup'!$L$7,$AD42:$BA42)+'Model Setup'!$L$8*(SUMIF($BH$3:$CE$3,"&lt;"&amp;$DF42,$AD42:$BA42)+SUMIF($BH$3:$CE$3,"&gt;"&amp;$CW$4,$AD42:$BA42)),
IF(BV$3=$DF42+'Model Setup'!$M$7,SUMIF($BH$3:$CE$3,"="&amp;$DF42+'Model Setup'!$M$7,$AD42:$BA42)+'Model Setup'!$M$8*(SUMIF($BH$3:$CE$3,"&lt;"&amp;$DF42,$AD42:$BA42)+SUMIF($BH$3:$CE$3,"&gt;"&amp;$CW$4,$AD42:$BA42)),
IF(BV$3=$DF42+'Model Setup'!$N$7,SUMIF($BH$3:$CE$3,"="&amp;$DF42+'Model Setup'!$N$7,$AD42:$BA42)+'Model Setup'!$N$8*(SUMIF($BH$3:$CE$3,"&lt;"&amp;$DF42,$AD42:$BA42)+SUMIF($BH$3:$CE$3,"&gt;"&amp;$CW$4,$AD42:$BA42)),
IF(BV$3&lt;$CW$4,P42,0))))))))))))))),0)</f>
        <v>47</v>
      </c>
      <c r="BW42" s="47">
        <f>ROUND(IF(OR(BW$3&lt;$DF42,BW$3&gt;$CW$4),0,
IF(BW$3=$DF42+'Model Setup'!$B$7,SUMIF($BH$3:$CE$3,"="&amp;$DF42+'Model Setup'!$B$7,$AD42:$BA42)+'Model Setup'!$B$8*(SUMIF($BH$3:$CE$3,"&lt;"&amp;$DF42,$AD42:$BA42)+SUMIF($BH$3:$CE$3,"&gt;"&amp;$CW$4,$AD42:$BA42)),
IF(BW$3=$DF42+'Model Setup'!$C$7,SUMIF($BH$3:$CE$3,"="&amp;$DF42+'Model Setup'!$C$7,$AD42:$BA42)+'Model Setup'!$C$8*(SUMIF($BH$3:$CE$3,"&lt;"&amp;$DF42,$AD42:$BA42)+SUMIF($BH$3:$CE$3,"&gt;"&amp;$CW$4,$AD42:$BA42)),
IF(BW$3=$DF42+'Model Setup'!$D$7,SUMIF($BH$3:$CE$3,"="&amp;$DF42+'Model Setup'!$D$7,$AD42:$BA42)+'Model Setup'!$D$8*(SUMIF($BH$3:$CE$3,"&lt;"&amp;$DF42,$AD42:$BA42)+SUMIF($BH$3:$CE$3,"&gt;"&amp;$CW$4,$AD42:$BA42)),
IF(BW$3=$DF42+'Model Setup'!$E$7,SUMIF($BH$3:$CE$3,"="&amp;$DF42+'Model Setup'!$E$7,$AD42:$BA42)+'Model Setup'!$E$8*(SUMIF($BH$3:$CE$3,"&lt;"&amp;$DF42,$AD42:$BA42)+SUMIF($BH$3:$CE$3,"&gt;"&amp;$CW$4,$AD42:$BA42)),
IF(BW$3=$DF42+'Model Setup'!$F$7,SUMIF($BH$3:$CE$3,"="&amp;$DF42+'Model Setup'!$F$7,$AD42:$BA42)+'Model Setup'!$F$8*(SUMIF($BH$3:$CE$3,"&lt;"&amp;$DF42,$AD42:$BA42)+SUMIF($BH$3:$CE$3,"&gt;"&amp;$CW$4,$AD42:$BA42)),
IF(BW$3=$DF42+'Model Setup'!$G$7,SUMIF($BH$3:$CE$3,"="&amp;$DF42+'Model Setup'!$G$7,$AD42:$BA42)+'Model Setup'!$G$8*(SUMIF($BH$3:$CE$3,"&lt;"&amp;$DF42,$AD42:$BA42)+SUMIF($BH$3:$CE$3,"&gt;"&amp;$CW$4,$AD42:$BA42)),
IF(BW$3=$DF42+'Model Setup'!$H$7,SUMIF($BH$3:$CE$3,"="&amp;$DF42+'Model Setup'!$H$7,$AD42:$BA42)+'Model Setup'!$H$8*(SUMIF($BH$3:$CE$3,"&lt;"&amp;$DF42,$AD42:$BA42)+SUMIF($BH$3:$CE$3,"&gt;"&amp;$CW$4,$AD42:$BA42)),
IF(BW$3=$DF42+'Model Setup'!$I$7,SUMIF($BH$3:$CE$3,"="&amp;$DF42+'Model Setup'!$I$7,$AD42:$BA42)+'Model Setup'!$I$8*(SUMIF($BH$3:$CE$3,"&lt;"&amp;$DF42,$AD42:$BA42)+SUMIF($BH$3:$CE$3,"&gt;"&amp;$CW$4,$AD42:$BA42)),
IF(BW$3=$DF42+'Model Setup'!$J$7,SUMIF($BH$3:$CE$3,"="&amp;$DF42+'Model Setup'!$J$7,$AD42:$BA42)+'Model Setup'!$J$8*(SUMIF($BH$3:$CE$3,"&lt;"&amp;$DF42,$AD42:$BA42)+SUMIF($BH$3:$CE$3,"&gt;"&amp;$CW$4,$AD42:$BA42)),
IF(BW$3=$DF42+'Model Setup'!$K$7,SUMIF($BH$3:$CE$3,"="&amp;$DF42+'Model Setup'!$K$7,$AD42:$BA42)+'Model Setup'!$K$8*(SUMIF($BH$3:$CE$3,"&lt;"&amp;$DF42,$AD42:$BA42)+SUMIF($BH$3:$CE$3,"&gt;"&amp;$CW$4,$AD42:$BA42)),
IF(BW$3=$DF42+'Model Setup'!$L$7,SUMIF($BH$3:$CE$3,"="&amp;$DF42+'Model Setup'!$L$7,$AD42:$BA42)+'Model Setup'!$L$8*(SUMIF($BH$3:$CE$3,"&lt;"&amp;$DF42,$AD42:$BA42)+SUMIF($BH$3:$CE$3,"&gt;"&amp;$CW$4,$AD42:$BA42)),
IF(BW$3=$DF42+'Model Setup'!$M$7,SUMIF($BH$3:$CE$3,"="&amp;$DF42+'Model Setup'!$M$7,$AD42:$BA42)+'Model Setup'!$M$8*(SUMIF($BH$3:$CE$3,"&lt;"&amp;$DF42,$AD42:$BA42)+SUMIF($BH$3:$CE$3,"&gt;"&amp;$CW$4,$AD42:$BA42)),
IF(BW$3=$DF42+'Model Setup'!$N$7,SUMIF($BH$3:$CE$3,"="&amp;$DF42+'Model Setup'!$N$7,$AD42:$BA42)+'Model Setup'!$N$8*(SUMIF($BH$3:$CE$3,"&lt;"&amp;$DF42,$AD42:$BA42)+SUMIF($BH$3:$CE$3,"&gt;"&amp;$CW$4,$AD42:$BA42)),
IF(BW$3&lt;$CW$4,Q42,0))))))))))))))),0)</f>
        <v>29</v>
      </c>
      <c r="BX42" s="47">
        <f>ROUND(IF(OR(BX$3&lt;$DF42,BX$3&gt;$CW$4),0,
IF(BX$3=$DF42+'Model Setup'!$B$7,SUMIF($BH$3:$CE$3,"="&amp;$DF42+'Model Setup'!$B$7,$AD42:$BA42)+'Model Setup'!$B$8*(SUMIF($BH$3:$CE$3,"&lt;"&amp;$DF42,$AD42:$BA42)+SUMIF($BH$3:$CE$3,"&gt;"&amp;$CW$4,$AD42:$BA42)),
IF(BX$3=$DF42+'Model Setup'!$C$7,SUMIF($BH$3:$CE$3,"="&amp;$DF42+'Model Setup'!$C$7,$AD42:$BA42)+'Model Setup'!$C$8*(SUMIF($BH$3:$CE$3,"&lt;"&amp;$DF42,$AD42:$BA42)+SUMIF($BH$3:$CE$3,"&gt;"&amp;$CW$4,$AD42:$BA42)),
IF(BX$3=$DF42+'Model Setup'!$D$7,SUMIF($BH$3:$CE$3,"="&amp;$DF42+'Model Setup'!$D$7,$AD42:$BA42)+'Model Setup'!$D$8*(SUMIF($BH$3:$CE$3,"&lt;"&amp;$DF42,$AD42:$BA42)+SUMIF($BH$3:$CE$3,"&gt;"&amp;$CW$4,$AD42:$BA42)),
IF(BX$3=$DF42+'Model Setup'!$E$7,SUMIF($BH$3:$CE$3,"="&amp;$DF42+'Model Setup'!$E$7,$AD42:$BA42)+'Model Setup'!$E$8*(SUMIF($BH$3:$CE$3,"&lt;"&amp;$DF42,$AD42:$BA42)+SUMIF($BH$3:$CE$3,"&gt;"&amp;$CW$4,$AD42:$BA42)),
IF(BX$3=$DF42+'Model Setup'!$F$7,SUMIF($BH$3:$CE$3,"="&amp;$DF42+'Model Setup'!$F$7,$AD42:$BA42)+'Model Setup'!$F$8*(SUMIF($BH$3:$CE$3,"&lt;"&amp;$DF42,$AD42:$BA42)+SUMIF($BH$3:$CE$3,"&gt;"&amp;$CW$4,$AD42:$BA42)),
IF(BX$3=$DF42+'Model Setup'!$G$7,SUMIF($BH$3:$CE$3,"="&amp;$DF42+'Model Setup'!$G$7,$AD42:$BA42)+'Model Setup'!$G$8*(SUMIF($BH$3:$CE$3,"&lt;"&amp;$DF42,$AD42:$BA42)+SUMIF($BH$3:$CE$3,"&gt;"&amp;$CW$4,$AD42:$BA42)),
IF(BX$3=$DF42+'Model Setup'!$H$7,SUMIF($BH$3:$CE$3,"="&amp;$DF42+'Model Setup'!$H$7,$AD42:$BA42)+'Model Setup'!$H$8*(SUMIF($BH$3:$CE$3,"&lt;"&amp;$DF42,$AD42:$BA42)+SUMIF($BH$3:$CE$3,"&gt;"&amp;$CW$4,$AD42:$BA42)),
IF(BX$3=$DF42+'Model Setup'!$I$7,SUMIF($BH$3:$CE$3,"="&amp;$DF42+'Model Setup'!$I$7,$AD42:$BA42)+'Model Setup'!$I$8*(SUMIF($BH$3:$CE$3,"&lt;"&amp;$DF42,$AD42:$BA42)+SUMIF($BH$3:$CE$3,"&gt;"&amp;$CW$4,$AD42:$BA42)),
IF(BX$3=$DF42+'Model Setup'!$J$7,SUMIF($BH$3:$CE$3,"="&amp;$DF42+'Model Setup'!$J$7,$AD42:$BA42)+'Model Setup'!$J$8*(SUMIF($BH$3:$CE$3,"&lt;"&amp;$DF42,$AD42:$BA42)+SUMIF($BH$3:$CE$3,"&gt;"&amp;$CW$4,$AD42:$BA42)),
IF(BX$3=$DF42+'Model Setup'!$K$7,SUMIF($BH$3:$CE$3,"="&amp;$DF42+'Model Setup'!$K$7,$AD42:$BA42)+'Model Setup'!$K$8*(SUMIF($BH$3:$CE$3,"&lt;"&amp;$DF42,$AD42:$BA42)+SUMIF($BH$3:$CE$3,"&gt;"&amp;$CW$4,$AD42:$BA42)),
IF(BX$3=$DF42+'Model Setup'!$L$7,SUMIF($BH$3:$CE$3,"="&amp;$DF42+'Model Setup'!$L$7,$AD42:$BA42)+'Model Setup'!$L$8*(SUMIF($BH$3:$CE$3,"&lt;"&amp;$DF42,$AD42:$BA42)+SUMIF($BH$3:$CE$3,"&gt;"&amp;$CW$4,$AD42:$BA42)),
IF(BX$3=$DF42+'Model Setup'!$M$7,SUMIF($BH$3:$CE$3,"="&amp;$DF42+'Model Setup'!$M$7,$AD42:$BA42)+'Model Setup'!$M$8*(SUMIF($BH$3:$CE$3,"&lt;"&amp;$DF42,$AD42:$BA42)+SUMIF($BH$3:$CE$3,"&gt;"&amp;$CW$4,$AD42:$BA42)),
IF(BX$3=$DF42+'Model Setup'!$N$7,SUMIF($BH$3:$CE$3,"="&amp;$DF42+'Model Setup'!$N$7,$AD42:$BA42)+'Model Setup'!$N$8*(SUMIF($BH$3:$CE$3,"&lt;"&amp;$DF42,$AD42:$BA42)+SUMIF($BH$3:$CE$3,"&gt;"&amp;$CW$4,$AD42:$BA42)),
IF(BX$3&lt;$CW$4,R42,0))))))))))))))),0)</f>
        <v>21</v>
      </c>
      <c r="BY42" s="47">
        <f>ROUND(IF(OR(BY$3&lt;$DF42,BY$3&gt;$CW$4),0,
IF(BY$3=$DF42+'Model Setup'!$B$7,SUMIF($BH$3:$CE$3,"="&amp;$DF42+'Model Setup'!$B$7,$AD42:$BA42)+'Model Setup'!$B$8*(SUMIF($BH$3:$CE$3,"&lt;"&amp;$DF42,$AD42:$BA42)+SUMIF($BH$3:$CE$3,"&gt;"&amp;$CW$4,$AD42:$BA42)),
IF(BY$3=$DF42+'Model Setup'!$C$7,SUMIF($BH$3:$CE$3,"="&amp;$DF42+'Model Setup'!$C$7,$AD42:$BA42)+'Model Setup'!$C$8*(SUMIF($BH$3:$CE$3,"&lt;"&amp;$DF42,$AD42:$BA42)+SUMIF($BH$3:$CE$3,"&gt;"&amp;$CW$4,$AD42:$BA42)),
IF(BY$3=$DF42+'Model Setup'!$D$7,SUMIF($BH$3:$CE$3,"="&amp;$DF42+'Model Setup'!$D$7,$AD42:$BA42)+'Model Setup'!$D$8*(SUMIF($BH$3:$CE$3,"&lt;"&amp;$DF42,$AD42:$BA42)+SUMIF($BH$3:$CE$3,"&gt;"&amp;$CW$4,$AD42:$BA42)),
IF(BY$3=$DF42+'Model Setup'!$E$7,SUMIF($BH$3:$CE$3,"="&amp;$DF42+'Model Setup'!$E$7,$AD42:$BA42)+'Model Setup'!$E$8*(SUMIF($BH$3:$CE$3,"&lt;"&amp;$DF42,$AD42:$BA42)+SUMIF($BH$3:$CE$3,"&gt;"&amp;$CW$4,$AD42:$BA42)),
IF(BY$3=$DF42+'Model Setup'!$F$7,SUMIF($BH$3:$CE$3,"="&amp;$DF42+'Model Setup'!$F$7,$AD42:$BA42)+'Model Setup'!$F$8*(SUMIF($BH$3:$CE$3,"&lt;"&amp;$DF42,$AD42:$BA42)+SUMIF($BH$3:$CE$3,"&gt;"&amp;$CW$4,$AD42:$BA42)),
IF(BY$3=$DF42+'Model Setup'!$G$7,SUMIF($BH$3:$CE$3,"="&amp;$DF42+'Model Setup'!$G$7,$AD42:$BA42)+'Model Setup'!$G$8*(SUMIF($BH$3:$CE$3,"&lt;"&amp;$DF42,$AD42:$BA42)+SUMIF($BH$3:$CE$3,"&gt;"&amp;$CW$4,$AD42:$BA42)),
IF(BY$3=$DF42+'Model Setup'!$H$7,SUMIF($BH$3:$CE$3,"="&amp;$DF42+'Model Setup'!$H$7,$AD42:$BA42)+'Model Setup'!$H$8*(SUMIF($BH$3:$CE$3,"&lt;"&amp;$DF42,$AD42:$BA42)+SUMIF($BH$3:$CE$3,"&gt;"&amp;$CW$4,$AD42:$BA42)),
IF(BY$3=$DF42+'Model Setup'!$I$7,SUMIF($BH$3:$CE$3,"="&amp;$DF42+'Model Setup'!$I$7,$AD42:$BA42)+'Model Setup'!$I$8*(SUMIF($BH$3:$CE$3,"&lt;"&amp;$DF42,$AD42:$BA42)+SUMIF($BH$3:$CE$3,"&gt;"&amp;$CW$4,$AD42:$BA42)),
IF(BY$3=$DF42+'Model Setup'!$J$7,SUMIF($BH$3:$CE$3,"="&amp;$DF42+'Model Setup'!$J$7,$AD42:$BA42)+'Model Setup'!$J$8*(SUMIF($BH$3:$CE$3,"&lt;"&amp;$DF42,$AD42:$BA42)+SUMIF($BH$3:$CE$3,"&gt;"&amp;$CW$4,$AD42:$BA42)),
IF(BY$3=$DF42+'Model Setup'!$K$7,SUMIF($BH$3:$CE$3,"="&amp;$DF42+'Model Setup'!$K$7,$AD42:$BA42)+'Model Setup'!$K$8*(SUMIF($BH$3:$CE$3,"&lt;"&amp;$DF42,$AD42:$BA42)+SUMIF($BH$3:$CE$3,"&gt;"&amp;$CW$4,$AD42:$BA42)),
IF(BY$3=$DF42+'Model Setup'!$L$7,SUMIF($BH$3:$CE$3,"="&amp;$DF42+'Model Setup'!$L$7,$AD42:$BA42)+'Model Setup'!$L$8*(SUMIF($BH$3:$CE$3,"&lt;"&amp;$DF42,$AD42:$BA42)+SUMIF($BH$3:$CE$3,"&gt;"&amp;$CW$4,$AD42:$BA42)),
IF(BY$3=$DF42+'Model Setup'!$M$7,SUMIF($BH$3:$CE$3,"="&amp;$DF42+'Model Setup'!$M$7,$AD42:$BA42)+'Model Setup'!$M$8*(SUMIF($BH$3:$CE$3,"&lt;"&amp;$DF42,$AD42:$BA42)+SUMIF($BH$3:$CE$3,"&gt;"&amp;$CW$4,$AD42:$BA42)),
IF(BY$3=$DF42+'Model Setup'!$N$7,SUMIF($BH$3:$CE$3,"="&amp;$DF42+'Model Setup'!$N$7,$AD42:$BA42)+'Model Setup'!$N$8*(SUMIF($BH$3:$CE$3,"&lt;"&amp;$DF42,$AD42:$BA42)+SUMIF($BH$3:$CE$3,"&gt;"&amp;$CW$4,$AD42:$BA42)),
IF(BY$3&lt;$CW$4,S42,0))))))))))))))),0)</f>
        <v>56</v>
      </c>
      <c r="BZ42" s="47">
        <f>ROUND(IF(OR(BZ$3&lt;$DF42,BZ$3&gt;$CW$4),0,
IF(BZ$3=$DF42+'Model Setup'!$B$7,SUMIF($BH$3:$CE$3,"="&amp;$DF42+'Model Setup'!$B$7,$AD42:$BA42)+'Model Setup'!$B$8*(SUMIF($BH$3:$CE$3,"&lt;"&amp;$DF42,$AD42:$BA42)+SUMIF($BH$3:$CE$3,"&gt;"&amp;$CW$4,$AD42:$BA42)),
IF(BZ$3=$DF42+'Model Setup'!$C$7,SUMIF($BH$3:$CE$3,"="&amp;$DF42+'Model Setup'!$C$7,$AD42:$BA42)+'Model Setup'!$C$8*(SUMIF($BH$3:$CE$3,"&lt;"&amp;$DF42,$AD42:$BA42)+SUMIF($BH$3:$CE$3,"&gt;"&amp;$CW$4,$AD42:$BA42)),
IF(BZ$3=$DF42+'Model Setup'!$D$7,SUMIF($BH$3:$CE$3,"="&amp;$DF42+'Model Setup'!$D$7,$AD42:$BA42)+'Model Setup'!$D$8*(SUMIF($BH$3:$CE$3,"&lt;"&amp;$DF42,$AD42:$BA42)+SUMIF($BH$3:$CE$3,"&gt;"&amp;$CW$4,$AD42:$BA42)),
IF(BZ$3=$DF42+'Model Setup'!$E$7,SUMIF($BH$3:$CE$3,"="&amp;$DF42+'Model Setup'!$E$7,$AD42:$BA42)+'Model Setup'!$E$8*(SUMIF($BH$3:$CE$3,"&lt;"&amp;$DF42,$AD42:$BA42)+SUMIF($BH$3:$CE$3,"&gt;"&amp;$CW$4,$AD42:$BA42)),
IF(BZ$3=$DF42+'Model Setup'!$F$7,SUMIF($BH$3:$CE$3,"="&amp;$DF42+'Model Setup'!$F$7,$AD42:$BA42)+'Model Setup'!$F$8*(SUMIF($BH$3:$CE$3,"&lt;"&amp;$DF42,$AD42:$BA42)+SUMIF($BH$3:$CE$3,"&gt;"&amp;$CW$4,$AD42:$BA42)),
IF(BZ$3=$DF42+'Model Setup'!$G$7,SUMIF($BH$3:$CE$3,"="&amp;$DF42+'Model Setup'!$G$7,$AD42:$BA42)+'Model Setup'!$G$8*(SUMIF($BH$3:$CE$3,"&lt;"&amp;$DF42,$AD42:$BA42)+SUMIF($BH$3:$CE$3,"&gt;"&amp;$CW$4,$AD42:$BA42)),
IF(BZ$3=$DF42+'Model Setup'!$H$7,SUMIF($BH$3:$CE$3,"="&amp;$DF42+'Model Setup'!$H$7,$AD42:$BA42)+'Model Setup'!$H$8*(SUMIF($BH$3:$CE$3,"&lt;"&amp;$DF42,$AD42:$BA42)+SUMIF($BH$3:$CE$3,"&gt;"&amp;$CW$4,$AD42:$BA42)),
IF(BZ$3=$DF42+'Model Setup'!$I$7,SUMIF($BH$3:$CE$3,"="&amp;$DF42+'Model Setup'!$I$7,$AD42:$BA42)+'Model Setup'!$I$8*(SUMIF($BH$3:$CE$3,"&lt;"&amp;$DF42,$AD42:$BA42)+SUMIF($BH$3:$CE$3,"&gt;"&amp;$CW$4,$AD42:$BA42)),
IF(BZ$3=$DF42+'Model Setup'!$J$7,SUMIF($BH$3:$CE$3,"="&amp;$DF42+'Model Setup'!$J$7,$AD42:$BA42)+'Model Setup'!$J$8*(SUMIF($BH$3:$CE$3,"&lt;"&amp;$DF42,$AD42:$BA42)+SUMIF($BH$3:$CE$3,"&gt;"&amp;$CW$4,$AD42:$BA42)),
IF(BZ$3=$DF42+'Model Setup'!$K$7,SUMIF($BH$3:$CE$3,"="&amp;$DF42+'Model Setup'!$K$7,$AD42:$BA42)+'Model Setup'!$K$8*(SUMIF($BH$3:$CE$3,"&lt;"&amp;$DF42,$AD42:$BA42)+SUMIF($BH$3:$CE$3,"&gt;"&amp;$CW$4,$AD42:$BA42)),
IF(BZ$3=$DF42+'Model Setup'!$L$7,SUMIF($BH$3:$CE$3,"="&amp;$DF42+'Model Setup'!$L$7,$AD42:$BA42)+'Model Setup'!$L$8*(SUMIF($BH$3:$CE$3,"&lt;"&amp;$DF42,$AD42:$BA42)+SUMIF($BH$3:$CE$3,"&gt;"&amp;$CW$4,$AD42:$BA42)),
IF(BZ$3=$DF42+'Model Setup'!$M$7,SUMIF($BH$3:$CE$3,"="&amp;$DF42+'Model Setup'!$M$7,$AD42:$BA42)+'Model Setup'!$M$8*(SUMIF($BH$3:$CE$3,"&lt;"&amp;$DF42,$AD42:$BA42)+SUMIF($BH$3:$CE$3,"&gt;"&amp;$CW$4,$AD42:$BA42)),
IF(BZ$3=$DF42+'Model Setup'!$N$7,SUMIF($BH$3:$CE$3,"="&amp;$DF42+'Model Setup'!$N$7,$AD42:$BA42)+'Model Setup'!$N$8*(SUMIF($BH$3:$CE$3,"&lt;"&amp;$DF42,$AD42:$BA42)+SUMIF($BH$3:$CE$3,"&gt;"&amp;$CW$4,$AD42:$BA42)),
IF(BZ$3&lt;$CW$4,T42,0))))))))))))))),0)</f>
        <v>66</v>
      </c>
      <c r="CA42" s="47">
        <f>ROUND(IF(OR(CA$3&lt;$DF42,CA$3&gt;$CW$4),0,
IF(CA$3=$DF42+'Model Setup'!$B$7,SUMIF($BH$3:$CE$3,"="&amp;$DF42+'Model Setup'!$B$7,$AD42:$BA42)+'Model Setup'!$B$8*(SUMIF($BH$3:$CE$3,"&lt;"&amp;$DF42,$AD42:$BA42)+SUMIF($BH$3:$CE$3,"&gt;"&amp;$CW$4,$AD42:$BA42)),
IF(CA$3=$DF42+'Model Setup'!$C$7,SUMIF($BH$3:$CE$3,"="&amp;$DF42+'Model Setup'!$C$7,$AD42:$BA42)+'Model Setup'!$C$8*(SUMIF($BH$3:$CE$3,"&lt;"&amp;$DF42,$AD42:$BA42)+SUMIF($BH$3:$CE$3,"&gt;"&amp;$CW$4,$AD42:$BA42)),
IF(CA$3=$DF42+'Model Setup'!$D$7,SUMIF($BH$3:$CE$3,"="&amp;$DF42+'Model Setup'!$D$7,$AD42:$BA42)+'Model Setup'!$D$8*(SUMIF($BH$3:$CE$3,"&lt;"&amp;$DF42,$AD42:$BA42)+SUMIF($BH$3:$CE$3,"&gt;"&amp;$CW$4,$AD42:$BA42)),
IF(CA$3=$DF42+'Model Setup'!$E$7,SUMIF($BH$3:$CE$3,"="&amp;$DF42+'Model Setup'!$E$7,$AD42:$BA42)+'Model Setup'!$E$8*(SUMIF($BH$3:$CE$3,"&lt;"&amp;$DF42,$AD42:$BA42)+SUMIF($BH$3:$CE$3,"&gt;"&amp;$CW$4,$AD42:$BA42)),
IF(CA$3=$DF42+'Model Setup'!$F$7,SUMIF($BH$3:$CE$3,"="&amp;$DF42+'Model Setup'!$F$7,$AD42:$BA42)+'Model Setup'!$F$8*(SUMIF($BH$3:$CE$3,"&lt;"&amp;$DF42,$AD42:$BA42)+SUMIF($BH$3:$CE$3,"&gt;"&amp;$CW$4,$AD42:$BA42)),
IF(CA$3=$DF42+'Model Setup'!$G$7,SUMIF($BH$3:$CE$3,"="&amp;$DF42+'Model Setup'!$G$7,$AD42:$BA42)+'Model Setup'!$G$8*(SUMIF($BH$3:$CE$3,"&lt;"&amp;$DF42,$AD42:$BA42)+SUMIF($BH$3:$CE$3,"&gt;"&amp;$CW$4,$AD42:$BA42)),
IF(CA$3=$DF42+'Model Setup'!$H$7,SUMIF($BH$3:$CE$3,"="&amp;$DF42+'Model Setup'!$H$7,$AD42:$BA42)+'Model Setup'!$H$8*(SUMIF($BH$3:$CE$3,"&lt;"&amp;$DF42,$AD42:$BA42)+SUMIF($BH$3:$CE$3,"&gt;"&amp;$CW$4,$AD42:$BA42)),
IF(CA$3=$DF42+'Model Setup'!$I$7,SUMIF($BH$3:$CE$3,"="&amp;$DF42+'Model Setup'!$I$7,$AD42:$BA42)+'Model Setup'!$I$8*(SUMIF($BH$3:$CE$3,"&lt;"&amp;$DF42,$AD42:$BA42)+SUMIF($BH$3:$CE$3,"&gt;"&amp;$CW$4,$AD42:$BA42)),
IF(CA$3=$DF42+'Model Setup'!$J$7,SUMIF($BH$3:$CE$3,"="&amp;$DF42+'Model Setup'!$J$7,$AD42:$BA42)+'Model Setup'!$J$8*(SUMIF($BH$3:$CE$3,"&lt;"&amp;$DF42,$AD42:$BA42)+SUMIF($BH$3:$CE$3,"&gt;"&amp;$CW$4,$AD42:$BA42)),
IF(CA$3=$DF42+'Model Setup'!$K$7,SUMIF($BH$3:$CE$3,"="&amp;$DF42+'Model Setup'!$K$7,$AD42:$BA42)+'Model Setup'!$K$8*(SUMIF($BH$3:$CE$3,"&lt;"&amp;$DF42,$AD42:$BA42)+SUMIF($BH$3:$CE$3,"&gt;"&amp;$CW$4,$AD42:$BA42)),
IF(CA$3=$DF42+'Model Setup'!$L$7,SUMIF($BH$3:$CE$3,"="&amp;$DF42+'Model Setup'!$L$7,$AD42:$BA42)+'Model Setup'!$L$8*(SUMIF($BH$3:$CE$3,"&lt;"&amp;$DF42,$AD42:$BA42)+SUMIF($BH$3:$CE$3,"&gt;"&amp;$CW$4,$AD42:$BA42)),
IF(CA$3=$DF42+'Model Setup'!$M$7,SUMIF($BH$3:$CE$3,"="&amp;$DF42+'Model Setup'!$M$7,$AD42:$BA42)+'Model Setup'!$M$8*(SUMIF($BH$3:$CE$3,"&lt;"&amp;$DF42,$AD42:$BA42)+SUMIF($BH$3:$CE$3,"&gt;"&amp;$CW$4,$AD42:$BA42)),
IF(CA$3=$DF42+'Model Setup'!$N$7,SUMIF($BH$3:$CE$3,"="&amp;$DF42+'Model Setup'!$N$7,$AD42:$BA42)+'Model Setup'!$N$8*(SUMIF($BH$3:$CE$3,"&lt;"&amp;$DF42,$AD42:$BA42)+SUMIF($BH$3:$CE$3,"&gt;"&amp;$CW$4,$AD42:$BA42)),
IF(CA$3&lt;$CW$4,U42,0))))))))))))))),0)</f>
        <v>0</v>
      </c>
      <c r="CB42" s="47">
        <f>ROUND(IF(OR(CB$3&lt;$DF42,CB$3&gt;$CW$4),0,
IF(CB$3=$DF42+'Model Setup'!$B$7,SUMIF($BH$3:$CE$3,"="&amp;$DF42+'Model Setup'!$B$7,$AD42:$BA42)+'Model Setup'!$B$8*(SUMIF($BH$3:$CE$3,"&lt;"&amp;$DF42,$AD42:$BA42)+SUMIF($BH$3:$CE$3,"&gt;"&amp;$CW$4,$AD42:$BA42)),
IF(CB$3=$DF42+'Model Setup'!$C$7,SUMIF($BH$3:$CE$3,"="&amp;$DF42+'Model Setup'!$C$7,$AD42:$BA42)+'Model Setup'!$C$8*(SUMIF($BH$3:$CE$3,"&lt;"&amp;$DF42,$AD42:$BA42)+SUMIF($BH$3:$CE$3,"&gt;"&amp;$CW$4,$AD42:$BA42)),
IF(CB$3=$DF42+'Model Setup'!$D$7,SUMIF($BH$3:$CE$3,"="&amp;$DF42+'Model Setup'!$D$7,$AD42:$BA42)+'Model Setup'!$D$8*(SUMIF($BH$3:$CE$3,"&lt;"&amp;$DF42,$AD42:$BA42)+SUMIF($BH$3:$CE$3,"&gt;"&amp;$CW$4,$AD42:$BA42)),
IF(CB$3=$DF42+'Model Setup'!$E$7,SUMIF($BH$3:$CE$3,"="&amp;$DF42+'Model Setup'!$E$7,$AD42:$BA42)+'Model Setup'!$E$8*(SUMIF($BH$3:$CE$3,"&lt;"&amp;$DF42,$AD42:$BA42)+SUMIF($BH$3:$CE$3,"&gt;"&amp;$CW$4,$AD42:$BA42)),
IF(CB$3=$DF42+'Model Setup'!$F$7,SUMIF($BH$3:$CE$3,"="&amp;$DF42+'Model Setup'!$F$7,$AD42:$BA42)+'Model Setup'!$F$8*(SUMIF($BH$3:$CE$3,"&lt;"&amp;$DF42,$AD42:$BA42)+SUMIF($BH$3:$CE$3,"&gt;"&amp;$CW$4,$AD42:$BA42)),
IF(CB$3=$DF42+'Model Setup'!$G$7,SUMIF($BH$3:$CE$3,"="&amp;$DF42+'Model Setup'!$G$7,$AD42:$BA42)+'Model Setup'!$G$8*(SUMIF($BH$3:$CE$3,"&lt;"&amp;$DF42,$AD42:$BA42)+SUMIF($BH$3:$CE$3,"&gt;"&amp;$CW$4,$AD42:$BA42)),
IF(CB$3=$DF42+'Model Setup'!$H$7,SUMIF($BH$3:$CE$3,"="&amp;$DF42+'Model Setup'!$H$7,$AD42:$BA42)+'Model Setup'!$H$8*(SUMIF($BH$3:$CE$3,"&lt;"&amp;$DF42,$AD42:$BA42)+SUMIF($BH$3:$CE$3,"&gt;"&amp;$CW$4,$AD42:$BA42)),
IF(CB$3=$DF42+'Model Setup'!$I$7,SUMIF($BH$3:$CE$3,"="&amp;$DF42+'Model Setup'!$I$7,$AD42:$BA42)+'Model Setup'!$I$8*(SUMIF($BH$3:$CE$3,"&lt;"&amp;$DF42,$AD42:$BA42)+SUMIF($BH$3:$CE$3,"&gt;"&amp;$CW$4,$AD42:$BA42)),
IF(CB$3=$DF42+'Model Setup'!$J$7,SUMIF($BH$3:$CE$3,"="&amp;$DF42+'Model Setup'!$J$7,$AD42:$BA42)+'Model Setup'!$J$8*(SUMIF($BH$3:$CE$3,"&lt;"&amp;$DF42,$AD42:$BA42)+SUMIF($BH$3:$CE$3,"&gt;"&amp;$CW$4,$AD42:$BA42)),
IF(CB$3=$DF42+'Model Setup'!$K$7,SUMIF($BH$3:$CE$3,"="&amp;$DF42+'Model Setup'!$K$7,$AD42:$BA42)+'Model Setup'!$K$8*(SUMIF($BH$3:$CE$3,"&lt;"&amp;$DF42,$AD42:$BA42)+SUMIF($BH$3:$CE$3,"&gt;"&amp;$CW$4,$AD42:$BA42)),
IF(CB$3=$DF42+'Model Setup'!$L$7,SUMIF($BH$3:$CE$3,"="&amp;$DF42+'Model Setup'!$L$7,$AD42:$BA42)+'Model Setup'!$L$8*(SUMIF($BH$3:$CE$3,"&lt;"&amp;$DF42,$AD42:$BA42)+SUMIF($BH$3:$CE$3,"&gt;"&amp;$CW$4,$AD42:$BA42)),
IF(CB$3=$DF42+'Model Setup'!$M$7,SUMIF($BH$3:$CE$3,"="&amp;$DF42+'Model Setup'!$M$7,$AD42:$BA42)+'Model Setup'!$M$8*(SUMIF($BH$3:$CE$3,"&lt;"&amp;$DF42,$AD42:$BA42)+SUMIF($BH$3:$CE$3,"&gt;"&amp;$CW$4,$AD42:$BA42)),
IF(CB$3=$DF42+'Model Setup'!$N$7,SUMIF($BH$3:$CE$3,"="&amp;$DF42+'Model Setup'!$N$7,$AD42:$BA42)+'Model Setup'!$N$8*(SUMIF($BH$3:$CE$3,"&lt;"&amp;$DF42,$AD42:$BA42)+SUMIF($BH$3:$CE$3,"&gt;"&amp;$CW$4,$AD42:$BA42)),
IF(CB$3&lt;$CW$4,V42,0))))))))))))))),0)</f>
        <v>0</v>
      </c>
      <c r="CC42" s="47">
        <f>ROUND(IF(OR(CC$3&lt;$DF42,CC$3&gt;$CW$4),0,
IF(CC$3=$DF42+'Model Setup'!$B$7,SUMIF($BH$3:$CE$3,"="&amp;$DF42+'Model Setup'!$B$7,$AD42:$BA42)+'Model Setup'!$B$8*(SUMIF($BH$3:$CE$3,"&lt;"&amp;$DF42,$AD42:$BA42)+SUMIF($BH$3:$CE$3,"&gt;"&amp;$CW$4,$AD42:$BA42)),
IF(CC$3=$DF42+'Model Setup'!$C$7,SUMIF($BH$3:$CE$3,"="&amp;$DF42+'Model Setup'!$C$7,$AD42:$BA42)+'Model Setup'!$C$8*(SUMIF($BH$3:$CE$3,"&lt;"&amp;$DF42,$AD42:$BA42)+SUMIF($BH$3:$CE$3,"&gt;"&amp;$CW$4,$AD42:$BA42)),
IF(CC$3=$DF42+'Model Setup'!$D$7,SUMIF($BH$3:$CE$3,"="&amp;$DF42+'Model Setup'!$D$7,$AD42:$BA42)+'Model Setup'!$D$8*(SUMIF($BH$3:$CE$3,"&lt;"&amp;$DF42,$AD42:$BA42)+SUMIF($BH$3:$CE$3,"&gt;"&amp;$CW$4,$AD42:$BA42)),
IF(CC$3=$DF42+'Model Setup'!$E$7,SUMIF($BH$3:$CE$3,"="&amp;$DF42+'Model Setup'!$E$7,$AD42:$BA42)+'Model Setup'!$E$8*(SUMIF($BH$3:$CE$3,"&lt;"&amp;$DF42,$AD42:$BA42)+SUMIF($BH$3:$CE$3,"&gt;"&amp;$CW$4,$AD42:$BA42)),
IF(CC$3=$DF42+'Model Setup'!$F$7,SUMIF($BH$3:$CE$3,"="&amp;$DF42+'Model Setup'!$F$7,$AD42:$BA42)+'Model Setup'!$F$8*(SUMIF($BH$3:$CE$3,"&lt;"&amp;$DF42,$AD42:$BA42)+SUMIF($BH$3:$CE$3,"&gt;"&amp;$CW$4,$AD42:$BA42)),
IF(CC$3=$DF42+'Model Setup'!$G$7,SUMIF($BH$3:$CE$3,"="&amp;$DF42+'Model Setup'!$G$7,$AD42:$BA42)+'Model Setup'!$G$8*(SUMIF($BH$3:$CE$3,"&lt;"&amp;$DF42,$AD42:$BA42)+SUMIF($BH$3:$CE$3,"&gt;"&amp;$CW$4,$AD42:$BA42)),
IF(CC$3=$DF42+'Model Setup'!$H$7,SUMIF($BH$3:$CE$3,"="&amp;$DF42+'Model Setup'!$H$7,$AD42:$BA42)+'Model Setup'!$H$8*(SUMIF($BH$3:$CE$3,"&lt;"&amp;$DF42,$AD42:$BA42)+SUMIF($BH$3:$CE$3,"&gt;"&amp;$CW$4,$AD42:$BA42)),
IF(CC$3=$DF42+'Model Setup'!$I$7,SUMIF($BH$3:$CE$3,"="&amp;$DF42+'Model Setup'!$I$7,$AD42:$BA42)+'Model Setup'!$I$8*(SUMIF($BH$3:$CE$3,"&lt;"&amp;$DF42,$AD42:$BA42)+SUMIF($BH$3:$CE$3,"&gt;"&amp;$CW$4,$AD42:$BA42)),
IF(CC$3=$DF42+'Model Setup'!$J$7,SUMIF($BH$3:$CE$3,"="&amp;$DF42+'Model Setup'!$J$7,$AD42:$BA42)+'Model Setup'!$J$8*(SUMIF($BH$3:$CE$3,"&lt;"&amp;$DF42,$AD42:$BA42)+SUMIF($BH$3:$CE$3,"&gt;"&amp;$CW$4,$AD42:$BA42)),
IF(CC$3=$DF42+'Model Setup'!$K$7,SUMIF($BH$3:$CE$3,"="&amp;$DF42+'Model Setup'!$K$7,$AD42:$BA42)+'Model Setup'!$K$8*(SUMIF($BH$3:$CE$3,"&lt;"&amp;$DF42,$AD42:$BA42)+SUMIF($BH$3:$CE$3,"&gt;"&amp;$CW$4,$AD42:$BA42)),
IF(CC$3=$DF42+'Model Setup'!$L$7,SUMIF($BH$3:$CE$3,"="&amp;$DF42+'Model Setup'!$L$7,$AD42:$BA42)+'Model Setup'!$L$8*(SUMIF($BH$3:$CE$3,"&lt;"&amp;$DF42,$AD42:$BA42)+SUMIF($BH$3:$CE$3,"&gt;"&amp;$CW$4,$AD42:$BA42)),
IF(CC$3=$DF42+'Model Setup'!$M$7,SUMIF($BH$3:$CE$3,"="&amp;$DF42+'Model Setup'!$M$7,$AD42:$BA42)+'Model Setup'!$M$8*(SUMIF($BH$3:$CE$3,"&lt;"&amp;$DF42,$AD42:$BA42)+SUMIF($BH$3:$CE$3,"&gt;"&amp;$CW$4,$AD42:$BA42)),
IF(CC$3=$DF42+'Model Setup'!$N$7,SUMIF($BH$3:$CE$3,"="&amp;$DF42+'Model Setup'!$N$7,$AD42:$BA42)+'Model Setup'!$N$8*(SUMIF($BH$3:$CE$3,"&lt;"&amp;$DF42,$AD42:$BA42)+SUMIF($BH$3:$CE$3,"&gt;"&amp;$CW$4,$AD42:$BA42)),
IF(CC$3&lt;$CW$4,W42,0))))))))))))))),0)</f>
        <v>0</v>
      </c>
      <c r="CD42" s="47">
        <f>ROUND(IF(OR(CD$3&lt;$DF42,CD$3&gt;$CW$4),0,
IF(CD$3=$DF42+'Model Setup'!$B$7,SUMIF($BH$3:$CE$3,"="&amp;$DF42+'Model Setup'!$B$7,$AD42:$BA42)+'Model Setup'!$B$8*(SUMIF($BH$3:$CE$3,"&lt;"&amp;$DF42,$AD42:$BA42)+SUMIF($BH$3:$CE$3,"&gt;"&amp;$CW$4,$AD42:$BA42)),
IF(CD$3=$DF42+'Model Setup'!$C$7,SUMIF($BH$3:$CE$3,"="&amp;$DF42+'Model Setup'!$C$7,$AD42:$BA42)+'Model Setup'!$C$8*(SUMIF($BH$3:$CE$3,"&lt;"&amp;$DF42,$AD42:$BA42)+SUMIF($BH$3:$CE$3,"&gt;"&amp;$CW$4,$AD42:$BA42)),
IF(CD$3=$DF42+'Model Setup'!$D$7,SUMIF($BH$3:$CE$3,"="&amp;$DF42+'Model Setup'!$D$7,$AD42:$BA42)+'Model Setup'!$D$8*(SUMIF($BH$3:$CE$3,"&lt;"&amp;$DF42,$AD42:$BA42)+SUMIF($BH$3:$CE$3,"&gt;"&amp;$CW$4,$AD42:$BA42)),
IF(CD$3=$DF42+'Model Setup'!$E$7,SUMIF($BH$3:$CE$3,"="&amp;$DF42+'Model Setup'!$E$7,$AD42:$BA42)+'Model Setup'!$E$8*(SUMIF($BH$3:$CE$3,"&lt;"&amp;$DF42,$AD42:$BA42)+SUMIF($BH$3:$CE$3,"&gt;"&amp;$CW$4,$AD42:$BA42)),
IF(CD$3=$DF42+'Model Setup'!$F$7,SUMIF($BH$3:$CE$3,"="&amp;$DF42+'Model Setup'!$F$7,$AD42:$BA42)+'Model Setup'!$F$8*(SUMIF($BH$3:$CE$3,"&lt;"&amp;$DF42,$AD42:$BA42)+SUMIF($BH$3:$CE$3,"&gt;"&amp;$CW$4,$AD42:$BA42)),
IF(CD$3=$DF42+'Model Setup'!$G$7,SUMIF($BH$3:$CE$3,"="&amp;$DF42+'Model Setup'!$G$7,$AD42:$BA42)+'Model Setup'!$G$8*(SUMIF($BH$3:$CE$3,"&lt;"&amp;$DF42,$AD42:$BA42)+SUMIF($BH$3:$CE$3,"&gt;"&amp;$CW$4,$AD42:$BA42)),
IF(CD$3=$DF42+'Model Setup'!$H$7,SUMIF($BH$3:$CE$3,"="&amp;$DF42+'Model Setup'!$H$7,$AD42:$BA42)+'Model Setup'!$H$8*(SUMIF($BH$3:$CE$3,"&lt;"&amp;$DF42,$AD42:$BA42)+SUMIF($BH$3:$CE$3,"&gt;"&amp;$CW$4,$AD42:$BA42)),
IF(CD$3=$DF42+'Model Setup'!$I$7,SUMIF($BH$3:$CE$3,"="&amp;$DF42+'Model Setup'!$I$7,$AD42:$BA42)+'Model Setup'!$I$8*(SUMIF($BH$3:$CE$3,"&lt;"&amp;$DF42,$AD42:$BA42)+SUMIF($BH$3:$CE$3,"&gt;"&amp;$CW$4,$AD42:$BA42)),
IF(CD$3=$DF42+'Model Setup'!$J$7,SUMIF($BH$3:$CE$3,"="&amp;$DF42+'Model Setup'!$J$7,$AD42:$BA42)+'Model Setup'!$J$8*(SUMIF($BH$3:$CE$3,"&lt;"&amp;$DF42,$AD42:$BA42)+SUMIF($BH$3:$CE$3,"&gt;"&amp;$CW$4,$AD42:$BA42)),
IF(CD$3=$DF42+'Model Setup'!$K$7,SUMIF($BH$3:$CE$3,"="&amp;$DF42+'Model Setup'!$K$7,$AD42:$BA42)+'Model Setup'!$K$8*(SUMIF($BH$3:$CE$3,"&lt;"&amp;$DF42,$AD42:$BA42)+SUMIF($BH$3:$CE$3,"&gt;"&amp;$CW$4,$AD42:$BA42)),
IF(CD$3=$DF42+'Model Setup'!$L$7,SUMIF($BH$3:$CE$3,"="&amp;$DF42+'Model Setup'!$L$7,$AD42:$BA42)+'Model Setup'!$L$8*(SUMIF($BH$3:$CE$3,"&lt;"&amp;$DF42,$AD42:$BA42)+SUMIF($BH$3:$CE$3,"&gt;"&amp;$CW$4,$AD42:$BA42)),
IF(CD$3=$DF42+'Model Setup'!$M$7,SUMIF($BH$3:$CE$3,"="&amp;$DF42+'Model Setup'!$M$7,$AD42:$BA42)+'Model Setup'!$M$8*(SUMIF($BH$3:$CE$3,"&lt;"&amp;$DF42,$AD42:$BA42)+SUMIF($BH$3:$CE$3,"&gt;"&amp;$CW$4,$AD42:$BA42)),
IF(CD$3=$DF42+'Model Setup'!$N$7,SUMIF($BH$3:$CE$3,"="&amp;$DF42+'Model Setup'!$N$7,$AD42:$BA42)+'Model Setup'!$N$8*(SUMIF($BH$3:$CE$3,"&lt;"&amp;$DF42,$AD42:$BA42)+SUMIF($BH$3:$CE$3,"&gt;"&amp;$CW$4,$AD42:$BA42)),
IF(CD$3&lt;$CW$4,X42,0))))))))))))))),0)</f>
        <v>0</v>
      </c>
      <c r="CE42" s="47">
        <f>ROUND(IF(OR(CE$3&lt;$DF42,CE$3&gt;$CW$4),0,
IF(CE$3=$DF42+'Model Setup'!$B$7,SUMIF($BH$3:$CE$3,"="&amp;$DF42+'Model Setup'!$B$7,$AD42:$BA42)+'Model Setup'!$B$8*(SUMIF($BH$3:$CE$3,"&lt;"&amp;$DF42,$AD42:$BA42)+SUMIF($BH$3:$CE$3,"&gt;"&amp;$CW$4,$AD42:$BA42)),
IF(CE$3=$DF42+'Model Setup'!$C$7,SUMIF($BH$3:$CE$3,"="&amp;$DF42+'Model Setup'!$C$7,$AD42:$BA42)+'Model Setup'!$C$8*(SUMIF($BH$3:$CE$3,"&lt;"&amp;$DF42,$AD42:$BA42)+SUMIF($BH$3:$CE$3,"&gt;"&amp;$CW$4,$AD42:$BA42)),
IF(CE$3=$DF42+'Model Setup'!$D$7,SUMIF($BH$3:$CE$3,"="&amp;$DF42+'Model Setup'!$D$7,$AD42:$BA42)+'Model Setup'!$D$8*(SUMIF($BH$3:$CE$3,"&lt;"&amp;$DF42,$AD42:$BA42)+SUMIF($BH$3:$CE$3,"&gt;"&amp;$CW$4,$AD42:$BA42)),
IF(CE$3=$DF42+'Model Setup'!$E$7,SUMIF($BH$3:$CE$3,"="&amp;$DF42+'Model Setup'!$E$7,$AD42:$BA42)+'Model Setup'!$E$8*(SUMIF($BH$3:$CE$3,"&lt;"&amp;$DF42,$AD42:$BA42)+SUMIF($BH$3:$CE$3,"&gt;"&amp;$CW$4,$AD42:$BA42)),
IF(CE$3=$DF42+'Model Setup'!$F$7,SUMIF($BH$3:$CE$3,"="&amp;$DF42+'Model Setup'!$F$7,$AD42:$BA42)+'Model Setup'!$F$8*(SUMIF($BH$3:$CE$3,"&lt;"&amp;$DF42,$AD42:$BA42)+SUMIF($BH$3:$CE$3,"&gt;"&amp;$CW$4,$AD42:$BA42)),
IF(CE$3=$DF42+'Model Setup'!$G$7,SUMIF($BH$3:$CE$3,"="&amp;$DF42+'Model Setup'!$G$7,$AD42:$BA42)+'Model Setup'!$G$8*(SUMIF($BH$3:$CE$3,"&lt;"&amp;$DF42,$AD42:$BA42)+SUMIF($BH$3:$CE$3,"&gt;"&amp;$CW$4,$AD42:$BA42)),
IF(CE$3=$DF42+'Model Setup'!$H$7,SUMIF($BH$3:$CE$3,"="&amp;$DF42+'Model Setup'!$H$7,$AD42:$BA42)+'Model Setup'!$H$8*(SUMIF($BH$3:$CE$3,"&lt;"&amp;$DF42,$AD42:$BA42)+SUMIF($BH$3:$CE$3,"&gt;"&amp;$CW$4,$AD42:$BA42)),
IF(CE$3=$DF42+'Model Setup'!$I$7,SUMIF($BH$3:$CE$3,"="&amp;$DF42+'Model Setup'!$I$7,$AD42:$BA42)+'Model Setup'!$I$8*(SUMIF($BH$3:$CE$3,"&lt;"&amp;$DF42,$AD42:$BA42)+SUMIF($BH$3:$CE$3,"&gt;"&amp;$CW$4,$AD42:$BA42)),
IF(CE$3=$DF42+'Model Setup'!$J$7,SUMIF($BH$3:$CE$3,"="&amp;$DF42+'Model Setup'!$J$7,$AD42:$BA42)+'Model Setup'!$J$8*(SUMIF($BH$3:$CE$3,"&lt;"&amp;$DF42,$AD42:$BA42)+SUMIF($BH$3:$CE$3,"&gt;"&amp;$CW$4,$AD42:$BA42)),
IF(CE$3=$DF42+'Model Setup'!$K$7,SUMIF($BH$3:$CE$3,"="&amp;$DF42+'Model Setup'!$K$7,$AD42:$BA42)+'Model Setup'!$K$8*(SUMIF($BH$3:$CE$3,"&lt;"&amp;$DF42,$AD42:$BA42)+SUMIF($BH$3:$CE$3,"&gt;"&amp;$CW$4,$AD42:$BA42)),
IF(CE$3=$DF42+'Model Setup'!$L$7,SUMIF($BH$3:$CE$3,"="&amp;$DF42+'Model Setup'!$L$7,$AD42:$BA42)+'Model Setup'!$L$8*(SUMIF($BH$3:$CE$3,"&lt;"&amp;$DF42,$AD42:$BA42)+SUMIF($BH$3:$CE$3,"&gt;"&amp;$CW$4,$AD42:$BA42)),
IF(CE$3=$DF42+'Model Setup'!$M$7,SUMIF($BH$3:$CE$3,"="&amp;$DF42+'Model Setup'!$M$7,$AD42:$BA42)+'Model Setup'!$M$8*(SUMIF($BH$3:$CE$3,"&lt;"&amp;$DF42,$AD42:$BA42)+SUMIF($BH$3:$CE$3,"&gt;"&amp;$CW$4,$AD42:$BA42)),
IF(CE$3=$DF42+'Model Setup'!$N$7,SUMIF($BH$3:$CE$3,"="&amp;$DF42+'Model Setup'!$N$7,$AD42:$BA42)+'Model Setup'!$N$8*(SUMIF($BH$3:$CE$3,"&lt;"&amp;$DF42,$AD42:$BA42)+SUMIF($BH$3:$CE$3,"&gt;"&amp;$CW$4,$AD42:$BA42)),
IF(CE$3&lt;$CW$4,Y42,0))))))))))))))),0)</f>
        <v>0</v>
      </c>
      <c r="CF42" s="47">
        <f t="shared" si="3"/>
        <v>661</v>
      </c>
      <c r="CG42" s="47">
        <f t="shared" si="4"/>
        <v>-13</v>
      </c>
      <c r="CI42" s="10" t="s">
        <v>57</v>
      </c>
      <c r="CJ42" s="126">
        <f t="shared" si="9"/>
        <v>0</v>
      </c>
      <c r="CK42" s="126">
        <f t="shared" si="10"/>
        <v>0</v>
      </c>
      <c r="CL42" s="126">
        <f t="shared" si="11"/>
        <v>56</v>
      </c>
      <c r="CM42" s="126">
        <f t="shared" si="12"/>
        <v>77</v>
      </c>
      <c r="CN42" s="126">
        <f t="shared" si="13"/>
        <v>76</v>
      </c>
      <c r="CO42" s="126">
        <f t="shared" si="14"/>
        <v>74</v>
      </c>
      <c r="CP42" s="126">
        <f t="shared" si="15"/>
        <v>65</v>
      </c>
      <c r="CQ42" s="126">
        <f t="shared" si="16"/>
        <v>42</v>
      </c>
      <c r="CR42" s="126">
        <f t="shared" si="17"/>
        <v>52</v>
      </c>
      <c r="CS42" s="126">
        <f t="shared" si="18"/>
        <v>47</v>
      </c>
      <c r="CT42" s="126">
        <f t="shared" si="19"/>
        <v>29</v>
      </c>
      <c r="CU42" s="126">
        <f t="shared" si="20"/>
        <v>21</v>
      </c>
      <c r="CV42" s="126">
        <f t="shared" si="21"/>
        <v>44</v>
      </c>
      <c r="CW42" s="126">
        <f t="shared" si="22"/>
        <v>50</v>
      </c>
      <c r="CX42" s="126">
        <f t="shared" si="23"/>
        <v>41</v>
      </c>
      <c r="CY42" s="126">
        <f t="shared" si="24"/>
        <v>0</v>
      </c>
      <c r="CZ42" s="47">
        <f t="shared" si="7"/>
        <v>633</v>
      </c>
      <c r="DC42" s="93" t="s">
        <v>57</v>
      </c>
      <c r="DD42" s="89">
        <f>FTC!E40</f>
        <v>0.29166666666666669</v>
      </c>
      <c r="DE42" s="89">
        <f>FTC!F40</f>
        <v>0.83333333333333337</v>
      </c>
      <c r="DF42" s="90">
        <f t="shared" si="25"/>
        <v>7</v>
      </c>
      <c r="DG42" s="91">
        <f t="shared" si="26"/>
        <v>20</v>
      </c>
      <c r="DH42" s="91">
        <f t="shared" si="27"/>
        <v>13</v>
      </c>
    </row>
    <row r="43" spans="1:112" x14ac:dyDescent="0.35">
      <c r="A43" s="43" t="s">
        <v>58</v>
      </c>
      <c r="B43" s="47">
        <v>3</v>
      </c>
      <c r="C43" s="47">
        <v>3</v>
      </c>
      <c r="D43" s="47">
        <v>10</v>
      </c>
      <c r="E43" s="47">
        <v>15</v>
      </c>
      <c r="F43" s="47">
        <v>19</v>
      </c>
      <c r="G43" s="47">
        <v>38</v>
      </c>
      <c r="H43" s="47">
        <v>158</v>
      </c>
      <c r="I43" s="47">
        <v>176</v>
      </c>
      <c r="J43" s="47">
        <v>194</v>
      </c>
      <c r="K43" s="47">
        <v>181</v>
      </c>
      <c r="L43" s="47">
        <v>145</v>
      </c>
      <c r="M43" s="47">
        <v>149</v>
      </c>
      <c r="N43" s="47">
        <v>107</v>
      </c>
      <c r="O43" s="47">
        <v>109</v>
      </c>
      <c r="P43" s="47">
        <v>74</v>
      </c>
      <c r="Q43" s="47">
        <v>54</v>
      </c>
      <c r="R43" s="47">
        <v>45</v>
      </c>
      <c r="S43" s="47">
        <v>32</v>
      </c>
      <c r="T43" s="47">
        <v>15</v>
      </c>
      <c r="U43" s="47">
        <v>14</v>
      </c>
      <c r="V43" s="47">
        <v>10</v>
      </c>
      <c r="W43" s="47">
        <v>6</v>
      </c>
      <c r="X43" s="47">
        <v>6</v>
      </c>
      <c r="Y43" s="47">
        <v>5</v>
      </c>
      <c r="Z43" s="47">
        <f t="shared" si="0"/>
        <v>1568</v>
      </c>
      <c r="AC43" s="43" t="s">
        <v>58</v>
      </c>
      <c r="AD43" s="47">
        <f>ROUND(IF(AD$3&lt;$DF43,0,
IF(AD$3=$DF43+'Model Setup'!$B$7,SUMIF($AD$3:$BA$3,"="&amp;$DF43+'Model Setup'!$B$7,$B43:$Y43)+'Model Setup'!$B$8*(SUMIF($AD$3:$BA$3,"&lt;"&amp;$DF43,$B43:$Y43)+SUMIF($AD$3:$BA$3,"&gt;="&amp;$DG43,$B43:$Y43)),
IF(AD$3=$DF43+'Model Setup'!$C$7,SUMIF($AD$3:$BA$3,"="&amp;$DF43+'Model Setup'!$C$7,$B43:$Y43)+'Model Setup'!$C$8*(SUMIF($AD$3:$BA$3,"&lt;"&amp;$DF43,$B43:$Y43)+SUMIF($AD$3:$BA$3,"&gt;="&amp;$DG43,$B43:$Y43)),
IF(AD$3=$DF43+'Model Setup'!$D$7,SUMIF($AD$3:$BA$3,"="&amp;$DF43+'Model Setup'!$D$7,$B43:$Y43)+'Model Setup'!$D$8*(SUMIF($AD$3:$BA$3,"&lt;"&amp;$DF43,$B43:$Y43)+SUMIF($AD$3:$BA$3,"&gt;="&amp;$DG43,$B43:$Y43)),
IF(AD$3=$DF43+'Model Setup'!$E$7,SUMIF($AD$3:$BA$3,"="&amp;$DF43+'Model Setup'!$E$7,$B43:$Y43)+'Model Setup'!$E$8*(SUMIF($AD$3:$BA$3,"&lt;"&amp;$DF43,$B43:$Y43)+SUMIF($AD$3:$BA$3,"&gt;="&amp;$DG43,$B43:$Y43)),
IF(AD$3=$DF43+'Model Setup'!$F$7,SUMIF($AD$3:$BA$3,"="&amp;$DF43+'Model Setup'!$F$7,$B43:$Y43)+'Model Setup'!$F$8*(SUMIF($AD$3:$BA$3,"&lt;"&amp;$DF43,$B43:$Y43)+SUMIF($AD$3:$BA$3,"&gt;="&amp;$DG43,$B43:$Y43)),
IF(AD$3=$DF43+'Model Setup'!$G$7,SUMIF($AD$3:$BA$3,"="&amp;$DF43+'Model Setup'!$G$7,$B43:$Y43)+'Model Setup'!$G$8*(SUMIF($AD$3:$BA$3,"&lt;"&amp;$DF43,$B43:$Y43)+SUMIF($AD$3:$BA$3,"&gt;="&amp;$DG43,$B43:$Y43)),
IF(AD$3=$DF43+'Model Setup'!$H$7,SUMIF($AD$3:$BA$3,"="&amp;$DF43+'Model Setup'!$H$7,$B43:$Y43)+'Model Setup'!$H$8*(SUMIF($AD$3:$BA$3,"&lt;"&amp;$DF43,$B43:$Y43)+SUMIF($AD$3:$BA$3,"&gt;="&amp;$DG43,$B43:$Y43)),
IF(AD$3=$DF43+'Model Setup'!$I$7,SUMIF($AD$3:$BA$3,"="&amp;$DF43+'Model Setup'!$I$7,$B43:$Y43)+'Model Setup'!$I$8*(SUMIF($AD$3:$BA$3,"&lt;"&amp;$DF43,$B43:$Y43)+SUMIF($AD$3:$BA$3,"&gt;="&amp;$DG43,$B43:$Y43)),
IF(AD$3=$DF43+'Model Setup'!$J$7,SUMIF($AD$3:$BA$3,"="&amp;$DF43+'Model Setup'!$J$7,$B43:$Y43)+'Model Setup'!$J$8*(SUMIF($AD$3:$BA$3,"&lt;"&amp;$DF43,$B43:$Y43)+SUMIF($AD$3:$BA$3,"&gt;="&amp;$DG43,$B43:$Y43)),
IF(AD$3=$DF43+'Model Setup'!$K$7,SUMIF($AD$3:$BA$3,"="&amp;$DF43+'Model Setup'!$K$7,$B43:$Y43)+'Model Setup'!$K$8*(SUMIF($AD$3:$BA$3,"&lt;"&amp;$DF43,$B43:$Y43)+SUMIF($AD$3:$BA$3,"&gt;="&amp;$DG43,$B43:$Y43)),
IF(AD$3=$DF43+'Model Setup'!$L$7,SUMIF($AD$3:$BA$3,"="&amp;$DF43+'Model Setup'!$L$7,$B43:$Y43)+'Model Setup'!$L$8*(SUMIF($AD$3:$BA$3,"&lt;"&amp;$DF43,$B43:$Y43)+SUMIF($AD$3:$BA$3,"&gt;="&amp;$DG43,$B43:$Y43)),
IF(AD$3=$DF43+'Model Setup'!$M$7,SUMIF($AD$3:$BA$3,"="&amp;$DF43+'Model Setup'!$M$7,$B43:$Y43)+'Model Setup'!$M$8*(SUMIF($AD$3:$BA$3,"&lt;"&amp;$DF43,$B43:$Y43)+SUMIF($AD$3:$BA$3,"&gt;="&amp;$DG43,$B43:$Y43)),
IF(AD$3=$DF43+'Model Setup'!$N$7,SUMIF($AD$3:$BA$3,"="&amp;$DF43+'Model Setup'!$N$7,$B43:$Y43)+'Model Setup'!$N$8*(SUMIF($AD$3:$BA$3,"&lt;"&amp;$DF43,$B43:$Y43)+SUMIF($AD$3:$BA$3,"&gt;="&amp;$DG43,$B43:$Y43)),
IF(AD$3&lt;$DG43,B43,0))))))))))))))),0)</f>
        <v>0</v>
      </c>
      <c r="AE43" s="47">
        <f>ROUND(IF(AE$3&lt;$DF43,0,
IF(AE$3=$DF43+'Model Setup'!$B$7,SUMIF($AD$3:$BA$3,"="&amp;$DF43+'Model Setup'!$B$7,$B43:$Y43)+'Model Setup'!$B$8*(SUMIF($AD$3:$BA$3,"&lt;"&amp;$DF43,$B43:$Y43)+SUMIF($AD$3:$BA$3,"&gt;="&amp;$DG43,$B43:$Y43)),
IF(AE$3=$DF43+'Model Setup'!$C$7,SUMIF($AD$3:$BA$3,"="&amp;$DF43+'Model Setup'!$C$7,$B43:$Y43)+'Model Setup'!$C$8*(SUMIF($AD$3:$BA$3,"&lt;"&amp;$DF43,$B43:$Y43)+SUMIF($AD$3:$BA$3,"&gt;="&amp;$DG43,$B43:$Y43)),
IF(AE$3=$DF43+'Model Setup'!$D$7,SUMIF($AD$3:$BA$3,"="&amp;$DF43+'Model Setup'!$D$7,$B43:$Y43)+'Model Setup'!$D$8*(SUMIF($AD$3:$BA$3,"&lt;"&amp;$DF43,$B43:$Y43)+SUMIF($AD$3:$BA$3,"&gt;="&amp;$DG43,$B43:$Y43)),
IF(AE$3=$DF43+'Model Setup'!$E$7,SUMIF($AD$3:$BA$3,"="&amp;$DF43+'Model Setup'!$E$7,$B43:$Y43)+'Model Setup'!$E$8*(SUMIF($AD$3:$BA$3,"&lt;"&amp;$DF43,$B43:$Y43)+SUMIF($AD$3:$BA$3,"&gt;="&amp;$DG43,$B43:$Y43)),
IF(AE$3=$DF43+'Model Setup'!$F$7,SUMIF($AD$3:$BA$3,"="&amp;$DF43+'Model Setup'!$F$7,$B43:$Y43)+'Model Setup'!$F$8*(SUMIF($AD$3:$BA$3,"&lt;"&amp;$DF43,$B43:$Y43)+SUMIF($AD$3:$BA$3,"&gt;="&amp;$DG43,$B43:$Y43)),
IF(AE$3=$DF43+'Model Setup'!$G$7,SUMIF($AD$3:$BA$3,"="&amp;$DF43+'Model Setup'!$G$7,$B43:$Y43)+'Model Setup'!$G$8*(SUMIF($AD$3:$BA$3,"&lt;"&amp;$DF43,$B43:$Y43)+SUMIF($AD$3:$BA$3,"&gt;="&amp;$DG43,$B43:$Y43)),
IF(AE$3=$DF43+'Model Setup'!$H$7,SUMIF($AD$3:$BA$3,"="&amp;$DF43+'Model Setup'!$H$7,$B43:$Y43)+'Model Setup'!$H$8*(SUMIF($AD$3:$BA$3,"&lt;"&amp;$DF43,$B43:$Y43)+SUMIF($AD$3:$BA$3,"&gt;="&amp;$DG43,$B43:$Y43)),
IF(AE$3=$DF43+'Model Setup'!$I$7,SUMIF($AD$3:$BA$3,"="&amp;$DF43+'Model Setup'!$I$7,$B43:$Y43)+'Model Setup'!$I$8*(SUMIF($AD$3:$BA$3,"&lt;"&amp;$DF43,$B43:$Y43)+SUMIF($AD$3:$BA$3,"&gt;="&amp;$DG43,$B43:$Y43)),
IF(AE$3=$DF43+'Model Setup'!$J$7,SUMIF($AD$3:$BA$3,"="&amp;$DF43+'Model Setup'!$J$7,$B43:$Y43)+'Model Setup'!$J$8*(SUMIF($AD$3:$BA$3,"&lt;"&amp;$DF43,$B43:$Y43)+SUMIF($AD$3:$BA$3,"&gt;="&amp;$DG43,$B43:$Y43)),
IF(AE$3=$DF43+'Model Setup'!$K$7,SUMIF($AD$3:$BA$3,"="&amp;$DF43+'Model Setup'!$K$7,$B43:$Y43)+'Model Setup'!$K$8*(SUMIF($AD$3:$BA$3,"&lt;"&amp;$DF43,$B43:$Y43)+SUMIF($AD$3:$BA$3,"&gt;="&amp;$DG43,$B43:$Y43)),
IF(AE$3=$DF43+'Model Setup'!$L$7,SUMIF($AD$3:$BA$3,"="&amp;$DF43+'Model Setup'!$L$7,$B43:$Y43)+'Model Setup'!$L$8*(SUMIF($AD$3:$BA$3,"&lt;"&amp;$DF43,$B43:$Y43)+SUMIF($AD$3:$BA$3,"&gt;="&amp;$DG43,$B43:$Y43)),
IF(AE$3=$DF43+'Model Setup'!$M$7,SUMIF($AD$3:$BA$3,"="&amp;$DF43+'Model Setup'!$M$7,$B43:$Y43)+'Model Setup'!$M$8*(SUMIF($AD$3:$BA$3,"&lt;"&amp;$DF43,$B43:$Y43)+SUMIF($AD$3:$BA$3,"&gt;="&amp;$DG43,$B43:$Y43)),
IF(AE$3=$DF43+'Model Setup'!$N$7,SUMIF($AD$3:$BA$3,"="&amp;$DF43+'Model Setup'!$N$7,$B43:$Y43)+'Model Setup'!$N$8*(SUMIF($AD$3:$BA$3,"&lt;"&amp;$DF43,$B43:$Y43)+SUMIF($AD$3:$BA$3,"&gt;="&amp;$DG43,$B43:$Y43)),
IF(AE$3&lt;$DG43,C43,0))))))))))))))),0)</f>
        <v>0</v>
      </c>
      <c r="AF43" s="47">
        <f>ROUND(IF(AF$3&lt;$DF43,0,
IF(AF$3=$DF43+'Model Setup'!$B$7,SUMIF($AD$3:$BA$3,"="&amp;$DF43+'Model Setup'!$B$7,$B43:$Y43)+'Model Setup'!$B$8*(SUMIF($AD$3:$BA$3,"&lt;"&amp;$DF43,$B43:$Y43)+SUMIF($AD$3:$BA$3,"&gt;="&amp;$DG43,$B43:$Y43)),
IF(AF$3=$DF43+'Model Setup'!$C$7,SUMIF($AD$3:$BA$3,"="&amp;$DF43+'Model Setup'!$C$7,$B43:$Y43)+'Model Setup'!$C$8*(SUMIF($AD$3:$BA$3,"&lt;"&amp;$DF43,$B43:$Y43)+SUMIF($AD$3:$BA$3,"&gt;="&amp;$DG43,$B43:$Y43)),
IF(AF$3=$DF43+'Model Setup'!$D$7,SUMIF($AD$3:$BA$3,"="&amp;$DF43+'Model Setup'!$D$7,$B43:$Y43)+'Model Setup'!$D$8*(SUMIF($AD$3:$BA$3,"&lt;"&amp;$DF43,$B43:$Y43)+SUMIF($AD$3:$BA$3,"&gt;="&amp;$DG43,$B43:$Y43)),
IF(AF$3=$DF43+'Model Setup'!$E$7,SUMIF($AD$3:$BA$3,"="&amp;$DF43+'Model Setup'!$E$7,$B43:$Y43)+'Model Setup'!$E$8*(SUMIF($AD$3:$BA$3,"&lt;"&amp;$DF43,$B43:$Y43)+SUMIF($AD$3:$BA$3,"&gt;="&amp;$DG43,$B43:$Y43)),
IF(AF$3=$DF43+'Model Setup'!$F$7,SUMIF($AD$3:$BA$3,"="&amp;$DF43+'Model Setup'!$F$7,$B43:$Y43)+'Model Setup'!$F$8*(SUMIF($AD$3:$BA$3,"&lt;"&amp;$DF43,$B43:$Y43)+SUMIF($AD$3:$BA$3,"&gt;="&amp;$DG43,$B43:$Y43)),
IF(AF$3=$DF43+'Model Setup'!$G$7,SUMIF($AD$3:$BA$3,"="&amp;$DF43+'Model Setup'!$G$7,$B43:$Y43)+'Model Setup'!$G$8*(SUMIF($AD$3:$BA$3,"&lt;"&amp;$DF43,$B43:$Y43)+SUMIF($AD$3:$BA$3,"&gt;="&amp;$DG43,$B43:$Y43)),
IF(AF$3=$DF43+'Model Setup'!$H$7,SUMIF($AD$3:$BA$3,"="&amp;$DF43+'Model Setup'!$H$7,$B43:$Y43)+'Model Setup'!$H$8*(SUMIF($AD$3:$BA$3,"&lt;"&amp;$DF43,$B43:$Y43)+SUMIF($AD$3:$BA$3,"&gt;="&amp;$DG43,$B43:$Y43)),
IF(AF$3=$DF43+'Model Setup'!$I$7,SUMIF($AD$3:$BA$3,"="&amp;$DF43+'Model Setup'!$I$7,$B43:$Y43)+'Model Setup'!$I$8*(SUMIF($AD$3:$BA$3,"&lt;"&amp;$DF43,$B43:$Y43)+SUMIF($AD$3:$BA$3,"&gt;="&amp;$DG43,$B43:$Y43)),
IF(AF$3=$DF43+'Model Setup'!$J$7,SUMIF($AD$3:$BA$3,"="&amp;$DF43+'Model Setup'!$J$7,$B43:$Y43)+'Model Setup'!$J$8*(SUMIF($AD$3:$BA$3,"&lt;"&amp;$DF43,$B43:$Y43)+SUMIF($AD$3:$BA$3,"&gt;="&amp;$DG43,$B43:$Y43)),
IF(AF$3=$DF43+'Model Setup'!$K$7,SUMIF($AD$3:$BA$3,"="&amp;$DF43+'Model Setup'!$K$7,$B43:$Y43)+'Model Setup'!$K$8*(SUMIF($AD$3:$BA$3,"&lt;"&amp;$DF43,$B43:$Y43)+SUMIF($AD$3:$BA$3,"&gt;="&amp;$DG43,$B43:$Y43)),
IF(AF$3=$DF43+'Model Setup'!$L$7,SUMIF($AD$3:$BA$3,"="&amp;$DF43+'Model Setup'!$L$7,$B43:$Y43)+'Model Setup'!$L$8*(SUMIF($AD$3:$BA$3,"&lt;"&amp;$DF43,$B43:$Y43)+SUMIF($AD$3:$BA$3,"&gt;="&amp;$DG43,$B43:$Y43)),
IF(AF$3=$DF43+'Model Setup'!$M$7,SUMIF($AD$3:$BA$3,"="&amp;$DF43+'Model Setup'!$M$7,$B43:$Y43)+'Model Setup'!$M$8*(SUMIF($AD$3:$BA$3,"&lt;"&amp;$DF43,$B43:$Y43)+SUMIF($AD$3:$BA$3,"&gt;="&amp;$DG43,$B43:$Y43)),
IF(AF$3=$DF43+'Model Setup'!$N$7,SUMIF($AD$3:$BA$3,"="&amp;$DF43+'Model Setup'!$N$7,$B43:$Y43)+'Model Setup'!$N$8*(SUMIF($AD$3:$BA$3,"&lt;"&amp;$DF43,$B43:$Y43)+SUMIF($AD$3:$BA$3,"&gt;="&amp;$DG43,$B43:$Y43)),
IF(AF$3&lt;$DG43,D43,0))))))))))))))),0)</f>
        <v>0</v>
      </c>
      <c r="AG43" s="47">
        <f>ROUND(IF(AG$3&lt;$DF43,0,
IF(AG$3=$DF43+'Model Setup'!$B$7,SUMIF($AD$3:$BA$3,"="&amp;$DF43+'Model Setup'!$B$7,$B43:$Y43)+'Model Setup'!$B$8*(SUMIF($AD$3:$BA$3,"&lt;"&amp;$DF43,$B43:$Y43)+SUMIF($AD$3:$BA$3,"&gt;="&amp;$DG43,$B43:$Y43)),
IF(AG$3=$DF43+'Model Setup'!$C$7,SUMIF($AD$3:$BA$3,"="&amp;$DF43+'Model Setup'!$C$7,$B43:$Y43)+'Model Setup'!$C$8*(SUMIF($AD$3:$BA$3,"&lt;"&amp;$DF43,$B43:$Y43)+SUMIF($AD$3:$BA$3,"&gt;="&amp;$DG43,$B43:$Y43)),
IF(AG$3=$DF43+'Model Setup'!$D$7,SUMIF($AD$3:$BA$3,"="&amp;$DF43+'Model Setup'!$D$7,$B43:$Y43)+'Model Setup'!$D$8*(SUMIF($AD$3:$BA$3,"&lt;"&amp;$DF43,$B43:$Y43)+SUMIF($AD$3:$BA$3,"&gt;="&amp;$DG43,$B43:$Y43)),
IF(AG$3=$DF43+'Model Setup'!$E$7,SUMIF($AD$3:$BA$3,"="&amp;$DF43+'Model Setup'!$E$7,$B43:$Y43)+'Model Setup'!$E$8*(SUMIF($AD$3:$BA$3,"&lt;"&amp;$DF43,$B43:$Y43)+SUMIF($AD$3:$BA$3,"&gt;="&amp;$DG43,$B43:$Y43)),
IF(AG$3=$DF43+'Model Setup'!$F$7,SUMIF($AD$3:$BA$3,"="&amp;$DF43+'Model Setup'!$F$7,$B43:$Y43)+'Model Setup'!$F$8*(SUMIF($AD$3:$BA$3,"&lt;"&amp;$DF43,$B43:$Y43)+SUMIF($AD$3:$BA$3,"&gt;="&amp;$DG43,$B43:$Y43)),
IF(AG$3=$DF43+'Model Setup'!$G$7,SUMIF($AD$3:$BA$3,"="&amp;$DF43+'Model Setup'!$G$7,$B43:$Y43)+'Model Setup'!$G$8*(SUMIF($AD$3:$BA$3,"&lt;"&amp;$DF43,$B43:$Y43)+SUMIF($AD$3:$BA$3,"&gt;="&amp;$DG43,$B43:$Y43)),
IF(AG$3=$DF43+'Model Setup'!$H$7,SUMIF($AD$3:$BA$3,"="&amp;$DF43+'Model Setup'!$H$7,$B43:$Y43)+'Model Setup'!$H$8*(SUMIF($AD$3:$BA$3,"&lt;"&amp;$DF43,$B43:$Y43)+SUMIF($AD$3:$BA$3,"&gt;="&amp;$DG43,$B43:$Y43)),
IF(AG$3=$DF43+'Model Setup'!$I$7,SUMIF($AD$3:$BA$3,"="&amp;$DF43+'Model Setup'!$I$7,$B43:$Y43)+'Model Setup'!$I$8*(SUMIF($AD$3:$BA$3,"&lt;"&amp;$DF43,$B43:$Y43)+SUMIF($AD$3:$BA$3,"&gt;="&amp;$DG43,$B43:$Y43)),
IF(AG$3=$DF43+'Model Setup'!$J$7,SUMIF($AD$3:$BA$3,"="&amp;$DF43+'Model Setup'!$J$7,$B43:$Y43)+'Model Setup'!$J$8*(SUMIF($AD$3:$BA$3,"&lt;"&amp;$DF43,$B43:$Y43)+SUMIF($AD$3:$BA$3,"&gt;="&amp;$DG43,$B43:$Y43)),
IF(AG$3=$DF43+'Model Setup'!$K$7,SUMIF($AD$3:$BA$3,"="&amp;$DF43+'Model Setup'!$K$7,$B43:$Y43)+'Model Setup'!$K$8*(SUMIF($AD$3:$BA$3,"&lt;"&amp;$DF43,$B43:$Y43)+SUMIF($AD$3:$BA$3,"&gt;="&amp;$DG43,$B43:$Y43)),
IF(AG$3=$DF43+'Model Setup'!$L$7,SUMIF($AD$3:$BA$3,"="&amp;$DF43+'Model Setup'!$L$7,$B43:$Y43)+'Model Setup'!$L$8*(SUMIF($AD$3:$BA$3,"&lt;"&amp;$DF43,$B43:$Y43)+SUMIF($AD$3:$BA$3,"&gt;="&amp;$DG43,$B43:$Y43)),
IF(AG$3=$DF43+'Model Setup'!$M$7,SUMIF($AD$3:$BA$3,"="&amp;$DF43+'Model Setup'!$M$7,$B43:$Y43)+'Model Setup'!$M$8*(SUMIF($AD$3:$BA$3,"&lt;"&amp;$DF43,$B43:$Y43)+SUMIF($AD$3:$BA$3,"&gt;="&amp;$DG43,$B43:$Y43)),
IF(AG$3=$DF43+'Model Setup'!$N$7,SUMIF($AD$3:$BA$3,"="&amp;$DF43+'Model Setup'!$N$7,$B43:$Y43)+'Model Setup'!$N$8*(SUMIF($AD$3:$BA$3,"&lt;"&amp;$DF43,$B43:$Y43)+SUMIF($AD$3:$BA$3,"&gt;="&amp;$DG43,$B43:$Y43)),
IF(AG$3&lt;$DG43,E43,0))))))))))))))),0)</f>
        <v>0</v>
      </c>
      <c r="AH43" s="47">
        <f>ROUND(IF(AH$3&lt;$DF43,0,
IF(AH$3=$DF43+'Model Setup'!$B$7,SUMIF($AD$3:$BA$3,"="&amp;$DF43+'Model Setup'!$B$7,$B43:$Y43)+'Model Setup'!$B$8*(SUMIF($AD$3:$BA$3,"&lt;"&amp;$DF43,$B43:$Y43)+SUMIF($AD$3:$BA$3,"&gt;="&amp;$DG43,$B43:$Y43)),
IF(AH$3=$DF43+'Model Setup'!$C$7,SUMIF($AD$3:$BA$3,"="&amp;$DF43+'Model Setup'!$C$7,$B43:$Y43)+'Model Setup'!$C$8*(SUMIF($AD$3:$BA$3,"&lt;"&amp;$DF43,$B43:$Y43)+SUMIF($AD$3:$BA$3,"&gt;="&amp;$DG43,$B43:$Y43)),
IF(AH$3=$DF43+'Model Setup'!$D$7,SUMIF($AD$3:$BA$3,"="&amp;$DF43+'Model Setup'!$D$7,$B43:$Y43)+'Model Setup'!$D$8*(SUMIF($AD$3:$BA$3,"&lt;"&amp;$DF43,$B43:$Y43)+SUMIF($AD$3:$BA$3,"&gt;="&amp;$DG43,$B43:$Y43)),
IF(AH$3=$DF43+'Model Setup'!$E$7,SUMIF($AD$3:$BA$3,"="&amp;$DF43+'Model Setup'!$E$7,$B43:$Y43)+'Model Setup'!$E$8*(SUMIF($AD$3:$BA$3,"&lt;"&amp;$DF43,$B43:$Y43)+SUMIF($AD$3:$BA$3,"&gt;="&amp;$DG43,$B43:$Y43)),
IF(AH$3=$DF43+'Model Setup'!$F$7,SUMIF($AD$3:$BA$3,"="&amp;$DF43+'Model Setup'!$F$7,$B43:$Y43)+'Model Setup'!$F$8*(SUMIF($AD$3:$BA$3,"&lt;"&amp;$DF43,$B43:$Y43)+SUMIF($AD$3:$BA$3,"&gt;="&amp;$DG43,$B43:$Y43)),
IF(AH$3=$DF43+'Model Setup'!$G$7,SUMIF($AD$3:$BA$3,"="&amp;$DF43+'Model Setup'!$G$7,$B43:$Y43)+'Model Setup'!$G$8*(SUMIF($AD$3:$BA$3,"&lt;"&amp;$DF43,$B43:$Y43)+SUMIF($AD$3:$BA$3,"&gt;="&amp;$DG43,$B43:$Y43)),
IF(AH$3=$DF43+'Model Setup'!$H$7,SUMIF($AD$3:$BA$3,"="&amp;$DF43+'Model Setup'!$H$7,$B43:$Y43)+'Model Setup'!$H$8*(SUMIF($AD$3:$BA$3,"&lt;"&amp;$DF43,$B43:$Y43)+SUMIF($AD$3:$BA$3,"&gt;="&amp;$DG43,$B43:$Y43)),
IF(AH$3=$DF43+'Model Setup'!$I$7,SUMIF($AD$3:$BA$3,"="&amp;$DF43+'Model Setup'!$I$7,$B43:$Y43)+'Model Setup'!$I$8*(SUMIF($AD$3:$BA$3,"&lt;"&amp;$DF43,$B43:$Y43)+SUMIF($AD$3:$BA$3,"&gt;="&amp;$DG43,$B43:$Y43)),
IF(AH$3=$DF43+'Model Setup'!$J$7,SUMIF($AD$3:$BA$3,"="&amp;$DF43+'Model Setup'!$J$7,$B43:$Y43)+'Model Setup'!$J$8*(SUMIF($AD$3:$BA$3,"&lt;"&amp;$DF43,$B43:$Y43)+SUMIF($AD$3:$BA$3,"&gt;="&amp;$DG43,$B43:$Y43)),
IF(AH$3=$DF43+'Model Setup'!$K$7,SUMIF($AD$3:$BA$3,"="&amp;$DF43+'Model Setup'!$K$7,$B43:$Y43)+'Model Setup'!$K$8*(SUMIF($AD$3:$BA$3,"&lt;"&amp;$DF43,$B43:$Y43)+SUMIF($AD$3:$BA$3,"&gt;="&amp;$DG43,$B43:$Y43)),
IF(AH$3=$DF43+'Model Setup'!$L$7,SUMIF($AD$3:$BA$3,"="&amp;$DF43+'Model Setup'!$L$7,$B43:$Y43)+'Model Setup'!$L$8*(SUMIF($AD$3:$BA$3,"&lt;"&amp;$DF43,$B43:$Y43)+SUMIF($AD$3:$BA$3,"&gt;="&amp;$DG43,$B43:$Y43)),
IF(AH$3=$DF43+'Model Setup'!$M$7,SUMIF($AD$3:$BA$3,"="&amp;$DF43+'Model Setup'!$M$7,$B43:$Y43)+'Model Setup'!$M$8*(SUMIF($AD$3:$BA$3,"&lt;"&amp;$DF43,$B43:$Y43)+SUMIF($AD$3:$BA$3,"&gt;="&amp;$DG43,$B43:$Y43)),
IF(AH$3=$DF43+'Model Setup'!$N$7,SUMIF($AD$3:$BA$3,"="&amp;$DF43+'Model Setup'!$N$7,$B43:$Y43)+'Model Setup'!$N$8*(SUMIF($AD$3:$BA$3,"&lt;"&amp;$DF43,$B43:$Y43)+SUMIF($AD$3:$BA$3,"&gt;="&amp;$DG43,$B43:$Y43)),
IF(AH$3&lt;$DG43,F43,0))))))))))))))),0)</f>
        <v>0</v>
      </c>
      <c r="AI43" s="47">
        <f>ROUND(IF(AI$3&lt;$DF43,0,
IF(AI$3=$DF43+'Model Setup'!$B$7,SUMIF($AD$3:$BA$3,"="&amp;$DF43+'Model Setup'!$B$7,$B43:$Y43)+'Model Setup'!$B$8*(SUMIF($AD$3:$BA$3,"&lt;"&amp;$DF43,$B43:$Y43)+SUMIF($AD$3:$BA$3,"&gt;="&amp;$DG43,$B43:$Y43)),
IF(AI$3=$DF43+'Model Setup'!$C$7,SUMIF($AD$3:$BA$3,"="&amp;$DF43+'Model Setup'!$C$7,$B43:$Y43)+'Model Setup'!$C$8*(SUMIF($AD$3:$BA$3,"&lt;"&amp;$DF43,$B43:$Y43)+SUMIF($AD$3:$BA$3,"&gt;="&amp;$DG43,$B43:$Y43)),
IF(AI$3=$DF43+'Model Setup'!$D$7,SUMIF($AD$3:$BA$3,"="&amp;$DF43+'Model Setup'!$D$7,$B43:$Y43)+'Model Setup'!$D$8*(SUMIF($AD$3:$BA$3,"&lt;"&amp;$DF43,$B43:$Y43)+SUMIF($AD$3:$BA$3,"&gt;="&amp;$DG43,$B43:$Y43)),
IF(AI$3=$DF43+'Model Setup'!$E$7,SUMIF($AD$3:$BA$3,"="&amp;$DF43+'Model Setup'!$E$7,$B43:$Y43)+'Model Setup'!$E$8*(SUMIF($AD$3:$BA$3,"&lt;"&amp;$DF43,$B43:$Y43)+SUMIF($AD$3:$BA$3,"&gt;="&amp;$DG43,$B43:$Y43)),
IF(AI$3=$DF43+'Model Setup'!$F$7,SUMIF($AD$3:$BA$3,"="&amp;$DF43+'Model Setup'!$F$7,$B43:$Y43)+'Model Setup'!$F$8*(SUMIF($AD$3:$BA$3,"&lt;"&amp;$DF43,$B43:$Y43)+SUMIF($AD$3:$BA$3,"&gt;="&amp;$DG43,$B43:$Y43)),
IF(AI$3=$DF43+'Model Setup'!$G$7,SUMIF($AD$3:$BA$3,"="&amp;$DF43+'Model Setup'!$G$7,$B43:$Y43)+'Model Setup'!$G$8*(SUMIF($AD$3:$BA$3,"&lt;"&amp;$DF43,$B43:$Y43)+SUMIF($AD$3:$BA$3,"&gt;="&amp;$DG43,$B43:$Y43)),
IF(AI$3=$DF43+'Model Setup'!$H$7,SUMIF($AD$3:$BA$3,"="&amp;$DF43+'Model Setup'!$H$7,$B43:$Y43)+'Model Setup'!$H$8*(SUMIF($AD$3:$BA$3,"&lt;"&amp;$DF43,$B43:$Y43)+SUMIF($AD$3:$BA$3,"&gt;="&amp;$DG43,$B43:$Y43)),
IF(AI$3=$DF43+'Model Setup'!$I$7,SUMIF($AD$3:$BA$3,"="&amp;$DF43+'Model Setup'!$I$7,$B43:$Y43)+'Model Setup'!$I$8*(SUMIF($AD$3:$BA$3,"&lt;"&amp;$DF43,$B43:$Y43)+SUMIF($AD$3:$BA$3,"&gt;="&amp;$DG43,$B43:$Y43)),
IF(AI$3=$DF43+'Model Setup'!$J$7,SUMIF($AD$3:$BA$3,"="&amp;$DF43+'Model Setup'!$J$7,$B43:$Y43)+'Model Setup'!$J$8*(SUMIF($AD$3:$BA$3,"&lt;"&amp;$DF43,$B43:$Y43)+SUMIF($AD$3:$BA$3,"&gt;="&amp;$DG43,$B43:$Y43)),
IF(AI$3=$DF43+'Model Setup'!$K$7,SUMIF($AD$3:$BA$3,"="&amp;$DF43+'Model Setup'!$K$7,$B43:$Y43)+'Model Setup'!$K$8*(SUMIF($AD$3:$BA$3,"&lt;"&amp;$DF43,$B43:$Y43)+SUMIF($AD$3:$BA$3,"&gt;="&amp;$DG43,$B43:$Y43)),
IF(AI$3=$DF43+'Model Setup'!$L$7,SUMIF($AD$3:$BA$3,"="&amp;$DF43+'Model Setup'!$L$7,$B43:$Y43)+'Model Setup'!$L$8*(SUMIF($AD$3:$BA$3,"&lt;"&amp;$DF43,$B43:$Y43)+SUMIF($AD$3:$BA$3,"&gt;="&amp;$DG43,$B43:$Y43)),
IF(AI$3=$DF43+'Model Setup'!$M$7,SUMIF($AD$3:$BA$3,"="&amp;$DF43+'Model Setup'!$M$7,$B43:$Y43)+'Model Setup'!$M$8*(SUMIF($AD$3:$BA$3,"&lt;"&amp;$DF43,$B43:$Y43)+SUMIF($AD$3:$BA$3,"&gt;="&amp;$DG43,$B43:$Y43)),
IF(AI$3=$DF43+'Model Setup'!$N$7,SUMIF($AD$3:$BA$3,"="&amp;$DF43+'Model Setup'!$N$7,$B43:$Y43)+'Model Setup'!$N$8*(SUMIF($AD$3:$BA$3,"&lt;"&amp;$DF43,$B43:$Y43)+SUMIF($AD$3:$BA$3,"&gt;="&amp;$DG43,$B43:$Y43)),
IF(AI$3&lt;$DG43,G43,0))))))))))))))),0)</f>
        <v>38</v>
      </c>
      <c r="AJ43" s="47">
        <f>ROUND(IF(AJ$3&lt;$DF43,0,
IF(AJ$3=$DF43+'Model Setup'!$B$7,SUMIF($AD$3:$BA$3,"="&amp;$DF43+'Model Setup'!$B$7,$B43:$Y43)+'Model Setup'!$B$8*(SUMIF($AD$3:$BA$3,"&lt;"&amp;$DF43,$B43:$Y43)+SUMIF($AD$3:$BA$3,"&gt;="&amp;$DG43,$B43:$Y43)),
IF(AJ$3=$DF43+'Model Setup'!$C$7,SUMIF($AD$3:$BA$3,"="&amp;$DF43+'Model Setup'!$C$7,$B43:$Y43)+'Model Setup'!$C$8*(SUMIF($AD$3:$BA$3,"&lt;"&amp;$DF43,$B43:$Y43)+SUMIF($AD$3:$BA$3,"&gt;="&amp;$DG43,$B43:$Y43)),
IF(AJ$3=$DF43+'Model Setup'!$D$7,SUMIF($AD$3:$BA$3,"="&amp;$DF43+'Model Setup'!$D$7,$B43:$Y43)+'Model Setup'!$D$8*(SUMIF($AD$3:$BA$3,"&lt;"&amp;$DF43,$B43:$Y43)+SUMIF($AD$3:$BA$3,"&gt;="&amp;$DG43,$B43:$Y43)),
IF(AJ$3=$DF43+'Model Setup'!$E$7,SUMIF($AD$3:$BA$3,"="&amp;$DF43+'Model Setup'!$E$7,$B43:$Y43)+'Model Setup'!$E$8*(SUMIF($AD$3:$BA$3,"&lt;"&amp;$DF43,$B43:$Y43)+SUMIF($AD$3:$BA$3,"&gt;="&amp;$DG43,$B43:$Y43)),
IF(AJ$3=$DF43+'Model Setup'!$F$7,SUMIF($AD$3:$BA$3,"="&amp;$DF43+'Model Setup'!$F$7,$B43:$Y43)+'Model Setup'!$F$8*(SUMIF($AD$3:$BA$3,"&lt;"&amp;$DF43,$B43:$Y43)+SUMIF($AD$3:$BA$3,"&gt;="&amp;$DG43,$B43:$Y43)),
IF(AJ$3=$DF43+'Model Setup'!$G$7,SUMIF($AD$3:$BA$3,"="&amp;$DF43+'Model Setup'!$G$7,$B43:$Y43)+'Model Setup'!$G$8*(SUMIF($AD$3:$BA$3,"&lt;"&amp;$DF43,$B43:$Y43)+SUMIF($AD$3:$BA$3,"&gt;="&amp;$DG43,$B43:$Y43)),
IF(AJ$3=$DF43+'Model Setup'!$H$7,SUMIF($AD$3:$BA$3,"="&amp;$DF43+'Model Setup'!$H$7,$B43:$Y43)+'Model Setup'!$H$8*(SUMIF($AD$3:$BA$3,"&lt;"&amp;$DF43,$B43:$Y43)+SUMIF($AD$3:$BA$3,"&gt;="&amp;$DG43,$B43:$Y43)),
IF(AJ$3=$DF43+'Model Setup'!$I$7,SUMIF($AD$3:$BA$3,"="&amp;$DF43+'Model Setup'!$I$7,$B43:$Y43)+'Model Setup'!$I$8*(SUMIF($AD$3:$BA$3,"&lt;"&amp;$DF43,$B43:$Y43)+SUMIF($AD$3:$BA$3,"&gt;="&amp;$DG43,$B43:$Y43)),
IF(AJ$3=$DF43+'Model Setup'!$J$7,SUMIF($AD$3:$BA$3,"="&amp;$DF43+'Model Setup'!$J$7,$B43:$Y43)+'Model Setup'!$J$8*(SUMIF($AD$3:$BA$3,"&lt;"&amp;$DF43,$B43:$Y43)+SUMIF($AD$3:$BA$3,"&gt;="&amp;$DG43,$B43:$Y43)),
IF(AJ$3=$DF43+'Model Setup'!$K$7,SUMIF($AD$3:$BA$3,"="&amp;$DF43+'Model Setup'!$K$7,$B43:$Y43)+'Model Setup'!$K$8*(SUMIF($AD$3:$BA$3,"&lt;"&amp;$DF43,$B43:$Y43)+SUMIF($AD$3:$BA$3,"&gt;="&amp;$DG43,$B43:$Y43)),
IF(AJ$3=$DF43+'Model Setup'!$L$7,SUMIF($AD$3:$BA$3,"="&amp;$DF43+'Model Setup'!$L$7,$B43:$Y43)+'Model Setup'!$L$8*(SUMIF($AD$3:$BA$3,"&lt;"&amp;$DF43,$B43:$Y43)+SUMIF($AD$3:$BA$3,"&gt;="&amp;$DG43,$B43:$Y43)),
IF(AJ$3=$DF43+'Model Setup'!$M$7,SUMIF($AD$3:$BA$3,"="&amp;$DF43+'Model Setup'!$M$7,$B43:$Y43)+'Model Setup'!$M$8*(SUMIF($AD$3:$BA$3,"&lt;"&amp;$DF43,$B43:$Y43)+SUMIF($AD$3:$BA$3,"&gt;="&amp;$DG43,$B43:$Y43)),
IF(AJ$3=$DF43+'Model Setup'!$N$7,SUMIF($AD$3:$BA$3,"="&amp;$DF43+'Model Setup'!$N$7,$B43:$Y43)+'Model Setup'!$N$8*(SUMIF($AD$3:$BA$3,"&lt;"&amp;$DF43,$B43:$Y43)+SUMIF($AD$3:$BA$3,"&gt;="&amp;$DG43,$B43:$Y43)),
IF(AJ$3&lt;$DG43,H43,0))))))))))))))),0)</f>
        <v>158</v>
      </c>
      <c r="AK43" s="47">
        <f>ROUND(IF(AK$3&lt;$DF43,0,
IF(AK$3=$DF43+'Model Setup'!$B$7,SUMIF($AD$3:$BA$3,"="&amp;$DF43+'Model Setup'!$B$7,$B43:$Y43)+'Model Setup'!$B$8*(SUMIF($AD$3:$BA$3,"&lt;"&amp;$DF43,$B43:$Y43)+SUMIF($AD$3:$BA$3,"&gt;="&amp;$DG43,$B43:$Y43)),
IF(AK$3=$DF43+'Model Setup'!$C$7,SUMIF($AD$3:$BA$3,"="&amp;$DF43+'Model Setup'!$C$7,$B43:$Y43)+'Model Setup'!$C$8*(SUMIF($AD$3:$BA$3,"&lt;"&amp;$DF43,$B43:$Y43)+SUMIF($AD$3:$BA$3,"&gt;="&amp;$DG43,$B43:$Y43)),
IF(AK$3=$DF43+'Model Setup'!$D$7,SUMIF($AD$3:$BA$3,"="&amp;$DF43+'Model Setup'!$D$7,$B43:$Y43)+'Model Setup'!$D$8*(SUMIF($AD$3:$BA$3,"&lt;"&amp;$DF43,$B43:$Y43)+SUMIF($AD$3:$BA$3,"&gt;="&amp;$DG43,$B43:$Y43)),
IF(AK$3=$DF43+'Model Setup'!$E$7,SUMIF($AD$3:$BA$3,"="&amp;$DF43+'Model Setup'!$E$7,$B43:$Y43)+'Model Setup'!$E$8*(SUMIF($AD$3:$BA$3,"&lt;"&amp;$DF43,$B43:$Y43)+SUMIF($AD$3:$BA$3,"&gt;="&amp;$DG43,$B43:$Y43)),
IF(AK$3=$DF43+'Model Setup'!$F$7,SUMIF($AD$3:$BA$3,"="&amp;$DF43+'Model Setup'!$F$7,$B43:$Y43)+'Model Setup'!$F$8*(SUMIF($AD$3:$BA$3,"&lt;"&amp;$DF43,$B43:$Y43)+SUMIF($AD$3:$BA$3,"&gt;="&amp;$DG43,$B43:$Y43)),
IF(AK$3=$DF43+'Model Setup'!$G$7,SUMIF($AD$3:$BA$3,"="&amp;$DF43+'Model Setup'!$G$7,$B43:$Y43)+'Model Setup'!$G$8*(SUMIF($AD$3:$BA$3,"&lt;"&amp;$DF43,$B43:$Y43)+SUMIF($AD$3:$BA$3,"&gt;="&amp;$DG43,$B43:$Y43)),
IF(AK$3=$DF43+'Model Setup'!$H$7,SUMIF($AD$3:$BA$3,"="&amp;$DF43+'Model Setup'!$H$7,$B43:$Y43)+'Model Setup'!$H$8*(SUMIF($AD$3:$BA$3,"&lt;"&amp;$DF43,$B43:$Y43)+SUMIF($AD$3:$BA$3,"&gt;="&amp;$DG43,$B43:$Y43)),
IF(AK$3=$DF43+'Model Setup'!$I$7,SUMIF($AD$3:$BA$3,"="&amp;$DF43+'Model Setup'!$I$7,$B43:$Y43)+'Model Setup'!$I$8*(SUMIF($AD$3:$BA$3,"&lt;"&amp;$DF43,$B43:$Y43)+SUMIF($AD$3:$BA$3,"&gt;="&amp;$DG43,$B43:$Y43)),
IF(AK$3=$DF43+'Model Setup'!$J$7,SUMIF($AD$3:$BA$3,"="&amp;$DF43+'Model Setup'!$J$7,$B43:$Y43)+'Model Setup'!$J$8*(SUMIF($AD$3:$BA$3,"&lt;"&amp;$DF43,$B43:$Y43)+SUMIF($AD$3:$BA$3,"&gt;="&amp;$DG43,$B43:$Y43)),
IF(AK$3=$DF43+'Model Setup'!$K$7,SUMIF($AD$3:$BA$3,"="&amp;$DF43+'Model Setup'!$K$7,$B43:$Y43)+'Model Setup'!$K$8*(SUMIF($AD$3:$BA$3,"&lt;"&amp;$DF43,$B43:$Y43)+SUMIF($AD$3:$BA$3,"&gt;="&amp;$DG43,$B43:$Y43)),
IF(AK$3=$DF43+'Model Setup'!$L$7,SUMIF($AD$3:$BA$3,"="&amp;$DF43+'Model Setup'!$L$7,$B43:$Y43)+'Model Setup'!$L$8*(SUMIF($AD$3:$BA$3,"&lt;"&amp;$DF43,$B43:$Y43)+SUMIF($AD$3:$BA$3,"&gt;="&amp;$DG43,$B43:$Y43)),
IF(AK$3=$DF43+'Model Setup'!$M$7,SUMIF($AD$3:$BA$3,"="&amp;$DF43+'Model Setup'!$M$7,$B43:$Y43)+'Model Setup'!$M$8*(SUMIF($AD$3:$BA$3,"&lt;"&amp;$DF43,$B43:$Y43)+SUMIF($AD$3:$BA$3,"&gt;="&amp;$DG43,$B43:$Y43)),
IF(AK$3=$DF43+'Model Setup'!$N$7,SUMIF($AD$3:$BA$3,"="&amp;$DF43+'Model Setup'!$N$7,$B43:$Y43)+'Model Setup'!$N$8*(SUMIF($AD$3:$BA$3,"&lt;"&amp;$DF43,$B43:$Y43)+SUMIF($AD$3:$BA$3,"&gt;="&amp;$DG43,$B43:$Y43)),
IF(AK$3&lt;$DG43,I43,0))))))))))))))),0)</f>
        <v>176</v>
      </c>
      <c r="AL43" s="47">
        <f>ROUND(IF(AL$3&lt;$DF43,0,
IF(AL$3=$DF43+'Model Setup'!$B$7,SUMIF($AD$3:$BA$3,"="&amp;$DF43+'Model Setup'!$B$7,$B43:$Y43)+'Model Setup'!$B$8*(SUMIF($AD$3:$BA$3,"&lt;"&amp;$DF43,$B43:$Y43)+SUMIF($AD$3:$BA$3,"&gt;="&amp;$DG43,$B43:$Y43)),
IF(AL$3=$DF43+'Model Setup'!$C$7,SUMIF($AD$3:$BA$3,"="&amp;$DF43+'Model Setup'!$C$7,$B43:$Y43)+'Model Setup'!$C$8*(SUMIF($AD$3:$BA$3,"&lt;"&amp;$DF43,$B43:$Y43)+SUMIF($AD$3:$BA$3,"&gt;="&amp;$DG43,$B43:$Y43)),
IF(AL$3=$DF43+'Model Setup'!$D$7,SUMIF($AD$3:$BA$3,"="&amp;$DF43+'Model Setup'!$D$7,$B43:$Y43)+'Model Setup'!$D$8*(SUMIF($AD$3:$BA$3,"&lt;"&amp;$DF43,$B43:$Y43)+SUMIF($AD$3:$BA$3,"&gt;="&amp;$DG43,$B43:$Y43)),
IF(AL$3=$DF43+'Model Setup'!$E$7,SUMIF($AD$3:$BA$3,"="&amp;$DF43+'Model Setup'!$E$7,$B43:$Y43)+'Model Setup'!$E$8*(SUMIF($AD$3:$BA$3,"&lt;"&amp;$DF43,$B43:$Y43)+SUMIF($AD$3:$BA$3,"&gt;="&amp;$DG43,$B43:$Y43)),
IF(AL$3=$DF43+'Model Setup'!$F$7,SUMIF($AD$3:$BA$3,"="&amp;$DF43+'Model Setup'!$F$7,$B43:$Y43)+'Model Setup'!$F$8*(SUMIF($AD$3:$BA$3,"&lt;"&amp;$DF43,$B43:$Y43)+SUMIF($AD$3:$BA$3,"&gt;="&amp;$DG43,$B43:$Y43)),
IF(AL$3=$DF43+'Model Setup'!$G$7,SUMIF($AD$3:$BA$3,"="&amp;$DF43+'Model Setup'!$G$7,$B43:$Y43)+'Model Setup'!$G$8*(SUMIF($AD$3:$BA$3,"&lt;"&amp;$DF43,$B43:$Y43)+SUMIF($AD$3:$BA$3,"&gt;="&amp;$DG43,$B43:$Y43)),
IF(AL$3=$DF43+'Model Setup'!$H$7,SUMIF($AD$3:$BA$3,"="&amp;$DF43+'Model Setup'!$H$7,$B43:$Y43)+'Model Setup'!$H$8*(SUMIF($AD$3:$BA$3,"&lt;"&amp;$DF43,$B43:$Y43)+SUMIF($AD$3:$BA$3,"&gt;="&amp;$DG43,$B43:$Y43)),
IF(AL$3=$DF43+'Model Setup'!$I$7,SUMIF($AD$3:$BA$3,"="&amp;$DF43+'Model Setup'!$I$7,$B43:$Y43)+'Model Setup'!$I$8*(SUMIF($AD$3:$BA$3,"&lt;"&amp;$DF43,$B43:$Y43)+SUMIF($AD$3:$BA$3,"&gt;="&amp;$DG43,$B43:$Y43)),
IF(AL$3=$DF43+'Model Setup'!$J$7,SUMIF($AD$3:$BA$3,"="&amp;$DF43+'Model Setup'!$J$7,$B43:$Y43)+'Model Setup'!$J$8*(SUMIF($AD$3:$BA$3,"&lt;"&amp;$DF43,$B43:$Y43)+SUMIF($AD$3:$BA$3,"&gt;="&amp;$DG43,$B43:$Y43)),
IF(AL$3=$DF43+'Model Setup'!$K$7,SUMIF($AD$3:$BA$3,"="&amp;$DF43+'Model Setup'!$K$7,$B43:$Y43)+'Model Setup'!$K$8*(SUMIF($AD$3:$BA$3,"&lt;"&amp;$DF43,$B43:$Y43)+SUMIF($AD$3:$BA$3,"&gt;="&amp;$DG43,$B43:$Y43)),
IF(AL$3=$DF43+'Model Setup'!$L$7,SUMIF($AD$3:$BA$3,"="&amp;$DF43+'Model Setup'!$L$7,$B43:$Y43)+'Model Setup'!$L$8*(SUMIF($AD$3:$BA$3,"&lt;"&amp;$DF43,$B43:$Y43)+SUMIF($AD$3:$BA$3,"&gt;="&amp;$DG43,$B43:$Y43)),
IF(AL$3=$DF43+'Model Setup'!$M$7,SUMIF($AD$3:$BA$3,"="&amp;$DF43+'Model Setup'!$M$7,$B43:$Y43)+'Model Setup'!$M$8*(SUMIF($AD$3:$BA$3,"&lt;"&amp;$DF43,$B43:$Y43)+SUMIF($AD$3:$BA$3,"&gt;="&amp;$DG43,$B43:$Y43)),
IF(AL$3=$DF43+'Model Setup'!$N$7,SUMIF($AD$3:$BA$3,"="&amp;$DF43+'Model Setup'!$N$7,$B43:$Y43)+'Model Setup'!$N$8*(SUMIF($AD$3:$BA$3,"&lt;"&amp;$DF43,$B43:$Y43)+SUMIF($AD$3:$BA$3,"&gt;="&amp;$DG43,$B43:$Y43)),
IF(AL$3&lt;$DG43,J43,0))))))))))))))),0)</f>
        <v>194</v>
      </c>
      <c r="AM43" s="47">
        <f>ROUND(IF(AM$3&lt;$DF43,0,
IF(AM$3=$DF43+'Model Setup'!$B$7,SUMIF($AD$3:$BA$3,"="&amp;$DF43+'Model Setup'!$B$7,$B43:$Y43)+'Model Setup'!$B$8*(SUMIF($AD$3:$BA$3,"&lt;"&amp;$DF43,$B43:$Y43)+SUMIF($AD$3:$BA$3,"&gt;="&amp;$DG43,$B43:$Y43)),
IF(AM$3=$DF43+'Model Setup'!$C$7,SUMIF($AD$3:$BA$3,"="&amp;$DF43+'Model Setup'!$C$7,$B43:$Y43)+'Model Setup'!$C$8*(SUMIF($AD$3:$BA$3,"&lt;"&amp;$DF43,$B43:$Y43)+SUMIF($AD$3:$BA$3,"&gt;="&amp;$DG43,$B43:$Y43)),
IF(AM$3=$DF43+'Model Setup'!$D$7,SUMIF($AD$3:$BA$3,"="&amp;$DF43+'Model Setup'!$D$7,$B43:$Y43)+'Model Setup'!$D$8*(SUMIF($AD$3:$BA$3,"&lt;"&amp;$DF43,$B43:$Y43)+SUMIF($AD$3:$BA$3,"&gt;="&amp;$DG43,$B43:$Y43)),
IF(AM$3=$DF43+'Model Setup'!$E$7,SUMIF($AD$3:$BA$3,"="&amp;$DF43+'Model Setup'!$E$7,$B43:$Y43)+'Model Setup'!$E$8*(SUMIF($AD$3:$BA$3,"&lt;"&amp;$DF43,$B43:$Y43)+SUMIF($AD$3:$BA$3,"&gt;="&amp;$DG43,$B43:$Y43)),
IF(AM$3=$DF43+'Model Setup'!$F$7,SUMIF($AD$3:$BA$3,"="&amp;$DF43+'Model Setup'!$F$7,$B43:$Y43)+'Model Setup'!$F$8*(SUMIF($AD$3:$BA$3,"&lt;"&amp;$DF43,$B43:$Y43)+SUMIF($AD$3:$BA$3,"&gt;="&amp;$DG43,$B43:$Y43)),
IF(AM$3=$DF43+'Model Setup'!$G$7,SUMIF($AD$3:$BA$3,"="&amp;$DF43+'Model Setup'!$G$7,$B43:$Y43)+'Model Setup'!$G$8*(SUMIF($AD$3:$BA$3,"&lt;"&amp;$DF43,$B43:$Y43)+SUMIF($AD$3:$BA$3,"&gt;="&amp;$DG43,$B43:$Y43)),
IF(AM$3=$DF43+'Model Setup'!$H$7,SUMIF($AD$3:$BA$3,"="&amp;$DF43+'Model Setup'!$H$7,$B43:$Y43)+'Model Setup'!$H$8*(SUMIF($AD$3:$BA$3,"&lt;"&amp;$DF43,$B43:$Y43)+SUMIF($AD$3:$BA$3,"&gt;="&amp;$DG43,$B43:$Y43)),
IF(AM$3=$DF43+'Model Setup'!$I$7,SUMIF($AD$3:$BA$3,"="&amp;$DF43+'Model Setup'!$I$7,$B43:$Y43)+'Model Setup'!$I$8*(SUMIF($AD$3:$BA$3,"&lt;"&amp;$DF43,$B43:$Y43)+SUMIF($AD$3:$BA$3,"&gt;="&amp;$DG43,$B43:$Y43)),
IF(AM$3=$DF43+'Model Setup'!$J$7,SUMIF($AD$3:$BA$3,"="&amp;$DF43+'Model Setup'!$J$7,$B43:$Y43)+'Model Setup'!$J$8*(SUMIF($AD$3:$BA$3,"&lt;"&amp;$DF43,$B43:$Y43)+SUMIF($AD$3:$BA$3,"&gt;="&amp;$DG43,$B43:$Y43)),
IF(AM$3=$DF43+'Model Setup'!$K$7,SUMIF($AD$3:$BA$3,"="&amp;$DF43+'Model Setup'!$K$7,$B43:$Y43)+'Model Setup'!$K$8*(SUMIF($AD$3:$BA$3,"&lt;"&amp;$DF43,$B43:$Y43)+SUMIF($AD$3:$BA$3,"&gt;="&amp;$DG43,$B43:$Y43)),
IF(AM$3=$DF43+'Model Setup'!$L$7,SUMIF($AD$3:$BA$3,"="&amp;$DF43+'Model Setup'!$L$7,$B43:$Y43)+'Model Setup'!$L$8*(SUMIF($AD$3:$BA$3,"&lt;"&amp;$DF43,$B43:$Y43)+SUMIF($AD$3:$BA$3,"&gt;="&amp;$DG43,$B43:$Y43)),
IF(AM$3=$DF43+'Model Setup'!$M$7,SUMIF($AD$3:$BA$3,"="&amp;$DF43+'Model Setup'!$M$7,$B43:$Y43)+'Model Setup'!$M$8*(SUMIF($AD$3:$BA$3,"&lt;"&amp;$DF43,$B43:$Y43)+SUMIF($AD$3:$BA$3,"&gt;="&amp;$DG43,$B43:$Y43)),
IF(AM$3=$DF43+'Model Setup'!$N$7,SUMIF($AD$3:$BA$3,"="&amp;$DF43+'Model Setup'!$N$7,$B43:$Y43)+'Model Setup'!$N$8*(SUMIF($AD$3:$BA$3,"&lt;"&amp;$DF43,$B43:$Y43)+SUMIF($AD$3:$BA$3,"&gt;="&amp;$DG43,$B43:$Y43)),
IF(AM$3&lt;$DG43,K43,0))))))))))))))),0)</f>
        <v>181</v>
      </c>
      <c r="AN43" s="47">
        <f>ROUND(IF(AN$3&lt;$DF43,0,
IF(AN$3=$DF43+'Model Setup'!$B$7,SUMIF($AD$3:$BA$3,"="&amp;$DF43+'Model Setup'!$B$7,$B43:$Y43)+'Model Setup'!$B$8*(SUMIF($AD$3:$BA$3,"&lt;"&amp;$DF43,$B43:$Y43)+SUMIF($AD$3:$BA$3,"&gt;="&amp;$DG43,$B43:$Y43)),
IF(AN$3=$DF43+'Model Setup'!$C$7,SUMIF($AD$3:$BA$3,"="&amp;$DF43+'Model Setup'!$C$7,$B43:$Y43)+'Model Setup'!$C$8*(SUMIF($AD$3:$BA$3,"&lt;"&amp;$DF43,$B43:$Y43)+SUMIF($AD$3:$BA$3,"&gt;="&amp;$DG43,$B43:$Y43)),
IF(AN$3=$DF43+'Model Setup'!$D$7,SUMIF($AD$3:$BA$3,"="&amp;$DF43+'Model Setup'!$D$7,$B43:$Y43)+'Model Setup'!$D$8*(SUMIF($AD$3:$BA$3,"&lt;"&amp;$DF43,$B43:$Y43)+SUMIF($AD$3:$BA$3,"&gt;="&amp;$DG43,$B43:$Y43)),
IF(AN$3=$DF43+'Model Setup'!$E$7,SUMIF($AD$3:$BA$3,"="&amp;$DF43+'Model Setup'!$E$7,$B43:$Y43)+'Model Setup'!$E$8*(SUMIF($AD$3:$BA$3,"&lt;"&amp;$DF43,$B43:$Y43)+SUMIF($AD$3:$BA$3,"&gt;="&amp;$DG43,$B43:$Y43)),
IF(AN$3=$DF43+'Model Setup'!$F$7,SUMIF($AD$3:$BA$3,"="&amp;$DF43+'Model Setup'!$F$7,$B43:$Y43)+'Model Setup'!$F$8*(SUMIF($AD$3:$BA$3,"&lt;"&amp;$DF43,$B43:$Y43)+SUMIF($AD$3:$BA$3,"&gt;="&amp;$DG43,$B43:$Y43)),
IF(AN$3=$DF43+'Model Setup'!$G$7,SUMIF($AD$3:$BA$3,"="&amp;$DF43+'Model Setup'!$G$7,$B43:$Y43)+'Model Setup'!$G$8*(SUMIF($AD$3:$BA$3,"&lt;"&amp;$DF43,$B43:$Y43)+SUMIF($AD$3:$BA$3,"&gt;="&amp;$DG43,$B43:$Y43)),
IF(AN$3=$DF43+'Model Setup'!$H$7,SUMIF($AD$3:$BA$3,"="&amp;$DF43+'Model Setup'!$H$7,$B43:$Y43)+'Model Setup'!$H$8*(SUMIF($AD$3:$BA$3,"&lt;"&amp;$DF43,$B43:$Y43)+SUMIF($AD$3:$BA$3,"&gt;="&amp;$DG43,$B43:$Y43)),
IF(AN$3=$DF43+'Model Setup'!$I$7,SUMIF($AD$3:$BA$3,"="&amp;$DF43+'Model Setup'!$I$7,$B43:$Y43)+'Model Setup'!$I$8*(SUMIF($AD$3:$BA$3,"&lt;"&amp;$DF43,$B43:$Y43)+SUMIF($AD$3:$BA$3,"&gt;="&amp;$DG43,$B43:$Y43)),
IF(AN$3=$DF43+'Model Setup'!$J$7,SUMIF($AD$3:$BA$3,"="&amp;$DF43+'Model Setup'!$J$7,$B43:$Y43)+'Model Setup'!$J$8*(SUMIF($AD$3:$BA$3,"&lt;"&amp;$DF43,$B43:$Y43)+SUMIF($AD$3:$BA$3,"&gt;="&amp;$DG43,$B43:$Y43)),
IF(AN$3=$DF43+'Model Setup'!$K$7,SUMIF($AD$3:$BA$3,"="&amp;$DF43+'Model Setup'!$K$7,$B43:$Y43)+'Model Setup'!$K$8*(SUMIF($AD$3:$BA$3,"&lt;"&amp;$DF43,$B43:$Y43)+SUMIF($AD$3:$BA$3,"&gt;="&amp;$DG43,$B43:$Y43)),
IF(AN$3=$DF43+'Model Setup'!$L$7,SUMIF($AD$3:$BA$3,"="&amp;$DF43+'Model Setup'!$L$7,$B43:$Y43)+'Model Setup'!$L$8*(SUMIF($AD$3:$BA$3,"&lt;"&amp;$DF43,$B43:$Y43)+SUMIF($AD$3:$BA$3,"&gt;="&amp;$DG43,$B43:$Y43)),
IF(AN$3=$DF43+'Model Setup'!$M$7,SUMIF($AD$3:$BA$3,"="&amp;$DF43+'Model Setup'!$M$7,$B43:$Y43)+'Model Setup'!$M$8*(SUMIF($AD$3:$BA$3,"&lt;"&amp;$DF43,$B43:$Y43)+SUMIF($AD$3:$BA$3,"&gt;="&amp;$DG43,$B43:$Y43)),
IF(AN$3=$DF43+'Model Setup'!$N$7,SUMIF($AD$3:$BA$3,"="&amp;$DF43+'Model Setup'!$N$7,$B43:$Y43)+'Model Setup'!$N$8*(SUMIF($AD$3:$BA$3,"&lt;"&amp;$DF43,$B43:$Y43)+SUMIF($AD$3:$BA$3,"&gt;="&amp;$DG43,$B43:$Y43)),
IF(AN$3&lt;$DG43,L43,0))))))))))))))),0)</f>
        <v>145</v>
      </c>
      <c r="AO43" s="47">
        <f>ROUND(IF(AO$3&lt;$DF43,0,
IF(AO$3=$DF43+'Model Setup'!$B$7,SUMIF($AD$3:$BA$3,"="&amp;$DF43+'Model Setup'!$B$7,$B43:$Y43)+'Model Setup'!$B$8*(SUMIF($AD$3:$BA$3,"&lt;"&amp;$DF43,$B43:$Y43)+SUMIF($AD$3:$BA$3,"&gt;="&amp;$DG43,$B43:$Y43)),
IF(AO$3=$DF43+'Model Setup'!$C$7,SUMIF($AD$3:$BA$3,"="&amp;$DF43+'Model Setup'!$C$7,$B43:$Y43)+'Model Setup'!$C$8*(SUMIF($AD$3:$BA$3,"&lt;"&amp;$DF43,$B43:$Y43)+SUMIF($AD$3:$BA$3,"&gt;="&amp;$DG43,$B43:$Y43)),
IF(AO$3=$DF43+'Model Setup'!$D$7,SUMIF($AD$3:$BA$3,"="&amp;$DF43+'Model Setup'!$D$7,$B43:$Y43)+'Model Setup'!$D$8*(SUMIF($AD$3:$BA$3,"&lt;"&amp;$DF43,$B43:$Y43)+SUMIF($AD$3:$BA$3,"&gt;="&amp;$DG43,$B43:$Y43)),
IF(AO$3=$DF43+'Model Setup'!$E$7,SUMIF($AD$3:$BA$3,"="&amp;$DF43+'Model Setup'!$E$7,$B43:$Y43)+'Model Setup'!$E$8*(SUMIF($AD$3:$BA$3,"&lt;"&amp;$DF43,$B43:$Y43)+SUMIF($AD$3:$BA$3,"&gt;="&amp;$DG43,$B43:$Y43)),
IF(AO$3=$DF43+'Model Setup'!$F$7,SUMIF($AD$3:$BA$3,"="&amp;$DF43+'Model Setup'!$F$7,$B43:$Y43)+'Model Setup'!$F$8*(SUMIF($AD$3:$BA$3,"&lt;"&amp;$DF43,$B43:$Y43)+SUMIF($AD$3:$BA$3,"&gt;="&amp;$DG43,$B43:$Y43)),
IF(AO$3=$DF43+'Model Setup'!$G$7,SUMIF($AD$3:$BA$3,"="&amp;$DF43+'Model Setup'!$G$7,$B43:$Y43)+'Model Setup'!$G$8*(SUMIF($AD$3:$BA$3,"&lt;"&amp;$DF43,$B43:$Y43)+SUMIF($AD$3:$BA$3,"&gt;="&amp;$DG43,$B43:$Y43)),
IF(AO$3=$DF43+'Model Setup'!$H$7,SUMIF($AD$3:$BA$3,"="&amp;$DF43+'Model Setup'!$H$7,$B43:$Y43)+'Model Setup'!$H$8*(SUMIF($AD$3:$BA$3,"&lt;"&amp;$DF43,$B43:$Y43)+SUMIF($AD$3:$BA$3,"&gt;="&amp;$DG43,$B43:$Y43)),
IF(AO$3=$DF43+'Model Setup'!$I$7,SUMIF($AD$3:$BA$3,"="&amp;$DF43+'Model Setup'!$I$7,$B43:$Y43)+'Model Setup'!$I$8*(SUMIF($AD$3:$BA$3,"&lt;"&amp;$DF43,$B43:$Y43)+SUMIF($AD$3:$BA$3,"&gt;="&amp;$DG43,$B43:$Y43)),
IF(AO$3=$DF43+'Model Setup'!$J$7,SUMIF($AD$3:$BA$3,"="&amp;$DF43+'Model Setup'!$J$7,$B43:$Y43)+'Model Setup'!$J$8*(SUMIF($AD$3:$BA$3,"&lt;"&amp;$DF43,$B43:$Y43)+SUMIF($AD$3:$BA$3,"&gt;="&amp;$DG43,$B43:$Y43)),
IF(AO$3=$DF43+'Model Setup'!$K$7,SUMIF($AD$3:$BA$3,"="&amp;$DF43+'Model Setup'!$K$7,$B43:$Y43)+'Model Setup'!$K$8*(SUMIF($AD$3:$BA$3,"&lt;"&amp;$DF43,$B43:$Y43)+SUMIF($AD$3:$BA$3,"&gt;="&amp;$DG43,$B43:$Y43)),
IF(AO$3=$DF43+'Model Setup'!$L$7,SUMIF($AD$3:$BA$3,"="&amp;$DF43+'Model Setup'!$L$7,$B43:$Y43)+'Model Setup'!$L$8*(SUMIF($AD$3:$BA$3,"&lt;"&amp;$DF43,$B43:$Y43)+SUMIF($AD$3:$BA$3,"&gt;="&amp;$DG43,$B43:$Y43)),
IF(AO$3=$DF43+'Model Setup'!$M$7,SUMIF($AD$3:$BA$3,"="&amp;$DF43+'Model Setup'!$M$7,$B43:$Y43)+'Model Setup'!$M$8*(SUMIF($AD$3:$BA$3,"&lt;"&amp;$DF43,$B43:$Y43)+SUMIF($AD$3:$BA$3,"&gt;="&amp;$DG43,$B43:$Y43)),
IF(AO$3=$DF43+'Model Setup'!$N$7,SUMIF($AD$3:$BA$3,"="&amp;$DF43+'Model Setup'!$N$7,$B43:$Y43)+'Model Setup'!$N$8*(SUMIF($AD$3:$BA$3,"&lt;"&amp;$DF43,$B43:$Y43)+SUMIF($AD$3:$BA$3,"&gt;="&amp;$DG43,$B43:$Y43)),
IF(AO$3&lt;$DG43,M43,0))))))))))))))),0)</f>
        <v>149</v>
      </c>
      <c r="AP43" s="47">
        <f>ROUND(IF(AP$3&lt;$DF43,0,
IF(AP$3=$DF43+'Model Setup'!$B$7,SUMIF($AD$3:$BA$3,"="&amp;$DF43+'Model Setup'!$B$7,$B43:$Y43)+'Model Setup'!$B$8*(SUMIF($AD$3:$BA$3,"&lt;"&amp;$DF43,$B43:$Y43)+SUMIF($AD$3:$BA$3,"&gt;="&amp;$DG43,$B43:$Y43)),
IF(AP$3=$DF43+'Model Setup'!$C$7,SUMIF($AD$3:$BA$3,"="&amp;$DF43+'Model Setup'!$C$7,$B43:$Y43)+'Model Setup'!$C$8*(SUMIF($AD$3:$BA$3,"&lt;"&amp;$DF43,$B43:$Y43)+SUMIF($AD$3:$BA$3,"&gt;="&amp;$DG43,$B43:$Y43)),
IF(AP$3=$DF43+'Model Setup'!$D$7,SUMIF($AD$3:$BA$3,"="&amp;$DF43+'Model Setup'!$D$7,$B43:$Y43)+'Model Setup'!$D$8*(SUMIF($AD$3:$BA$3,"&lt;"&amp;$DF43,$B43:$Y43)+SUMIF($AD$3:$BA$3,"&gt;="&amp;$DG43,$B43:$Y43)),
IF(AP$3=$DF43+'Model Setup'!$E$7,SUMIF($AD$3:$BA$3,"="&amp;$DF43+'Model Setup'!$E$7,$B43:$Y43)+'Model Setup'!$E$8*(SUMIF($AD$3:$BA$3,"&lt;"&amp;$DF43,$B43:$Y43)+SUMIF($AD$3:$BA$3,"&gt;="&amp;$DG43,$B43:$Y43)),
IF(AP$3=$DF43+'Model Setup'!$F$7,SUMIF($AD$3:$BA$3,"="&amp;$DF43+'Model Setup'!$F$7,$B43:$Y43)+'Model Setup'!$F$8*(SUMIF($AD$3:$BA$3,"&lt;"&amp;$DF43,$B43:$Y43)+SUMIF($AD$3:$BA$3,"&gt;="&amp;$DG43,$B43:$Y43)),
IF(AP$3=$DF43+'Model Setup'!$G$7,SUMIF($AD$3:$BA$3,"="&amp;$DF43+'Model Setup'!$G$7,$B43:$Y43)+'Model Setup'!$G$8*(SUMIF($AD$3:$BA$3,"&lt;"&amp;$DF43,$B43:$Y43)+SUMIF($AD$3:$BA$3,"&gt;="&amp;$DG43,$B43:$Y43)),
IF(AP$3=$DF43+'Model Setup'!$H$7,SUMIF($AD$3:$BA$3,"="&amp;$DF43+'Model Setup'!$H$7,$B43:$Y43)+'Model Setup'!$H$8*(SUMIF($AD$3:$BA$3,"&lt;"&amp;$DF43,$B43:$Y43)+SUMIF($AD$3:$BA$3,"&gt;="&amp;$DG43,$B43:$Y43)),
IF(AP$3=$DF43+'Model Setup'!$I$7,SUMIF($AD$3:$BA$3,"="&amp;$DF43+'Model Setup'!$I$7,$B43:$Y43)+'Model Setup'!$I$8*(SUMIF($AD$3:$BA$3,"&lt;"&amp;$DF43,$B43:$Y43)+SUMIF($AD$3:$BA$3,"&gt;="&amp;$DG43,$B43:$Y43)),
IF(AP$3=$DF43+'Model Setup'!$J$7,SUMIF($AD$3:$BA$3,"="&amp;$DF43+'Model Setup'!$J$7,$B43:$Y43)+'Model Setup'!$J$8*(SUMIF($AD$3:$BA$3,"&lt;"&amp;$DF43,$B43:$Y43)+SUMIF($AD$3:$BA$3,"&gt;="&amp;$DG43,$B43:$Y43)),
IF(AP$3=$DF43+'Model Setup'!$K$7,SUMIF($AD$3:$BA$3,"="&amp;$DF43+'Model Setup'!$K$7,$B43:$Y43)+'Model Setup'!$K$8*(SUMIF($AD$3:$BA$3,"&lt;"&amp;$DF43,$B43:$Y43)+SUMIF($AD$3:$BA$3,"&gt;="&amp;$DG43,$B43:$Y43)),
IF(AP$3=$DF43+'Model Setup'!$L$7,SUMIF($AD$3:$BA$3,"="&amp;$DF43+'Model Setup'!$L$7,$B43:$Y43)+'Model Setup'!$L$8*(SUMIF($AD$3:$BA$3,"&lt;"&amp;$DF43,$B43:$Y43)+SUMIF($AD$3:$BA$3,"&gt;="&amp;$DG43,$B43:$Y43)),
IF(AP$3=$DF43+'Model Setup'!$M$7,SUMIF($AD$3:$BA$3,"="&amp;$DF43+'Model Setup'!$M$7,$B43:$Y43)+'Model Setup'!$M$8*(SUMIF($AD$3:$BA$3,"&lt;"&amp;$DF43,$B43:$Y43)+SUMIF($AD$3:$BA$3,"&gt;="&amp;$DG43,$B43:$Y43)),
IF(AP$3=$DF43+'Model Setup'!$N$7,SUMIF($AD$3:$BA$3,"="&amp;$DF43+'Model Setup'!$N$7,$B43:$Y43)+'Model Setup'!$N$8*(SUMIF($AD$3:$BA$3,"&lt;"&amp;$DF43,$B43:$Y43)+SUMIF($AD$3:$BA$3,"&gt;="&amp;$DG43,$B43:$Y43)),
IF(AP$3&lt;$DG43,N43,0))))))))))))))),0)</f>
        <v>107</v>
      </c>
      <c r="AQ43" s="47">
        <f>ROUND(IF(AQ$3&lt;$DF43,0,
IF(AQ$3=$DF43+'Model Setup'!$B$7,SUMIF($AD$3:$BA$3,"="&amp;$DF43+'Model Setup'!$B$7,$B43:$Y43)+'Model Setup'!$B$8*(SUMIF($AD$3:$BA$3,"&lt;"&amp;$DF43,$B43:$Y43)+SUMIF($AD$3:$BA$3,"&gt;="&amp;$DG43,$B43:$Y43)),
IF(AQ$3=$DF43+'Model Setup'!$C$7,SUMIF($AD$3:$BA$3,"="&amp;$DF43+'Model Setup'!$C$7,$B43:$Y43)+'Model Setup'!$C$8*(SUMIF($AD$3:$BA$3,"&lt;"&amp;$DF43,$B43:$Y43)+SUMIF($AD$3:$BA$3,"&gt;="&amp;$DG43,$B43:$Y43)),
IF(AQ$3=$DF43+'Model Setup'!$D$7,SUMIF($AD$3:$BA$3,"="&amp;$DF43+'Model Setup'!$D$7,$B43:$Y43)+'Model Setup'!$D$8*(SUMIF($AD$3:$BA$3,"&lt;"&amp;$DF43,$B43:$Y43)+SUMIF($AD$3:$BA$3,"&gt;="&amp;$DG43,$B43:$Y43)),
IF(AQ$3=$DF43+'Model Setup'!$E$7,SUMIF($AD$3:$BA$3,"="&amp;$DF43+'Model Setup'!$E$7,$B43:$Y43)+'Model Setup'!$E$8*(SUMIF($AD$3:$BA$3,"&lt;"&amp;$DF43,$B43:$Y43)+SUMIF($AD$3:$BA$3,"&gt;="&amp;$DG43,$B43:$Y43)),
IF(AQ$3=$DF43+'Model Setup'!$F$7,SUMIF($AD$3:$BA$3,"="&amp;$DF43+'Model Setup'!$F$7,$B43:$Y43)+'Model Setup'!$F$8*(SUMIF($AD$3:$BA$3,"&lt;"&amp;$DF43,$B43:$Y43)+SUMIF($AD$3:$BA$3,"&gt;="&amp;$DG43,$B43:$Y43)),
IF(AQ$3=$DF43+'Model Setup'!$G$7,SUMIF($AD$3:$BA$3,"="&amp;$DF43+'Model Setup'!$G$7,$B43:$Y43)+'Model Setup'!$G$8*(SUMIF($AD$3:$BA$3,"&lt;"&amp;$DF43,$B43:$Y43)+SUMIF($AD$3:$BA$3,"&gt;="&amp;$DG43,$B43:$Y43)),
IF(AQ$3=$DF43+'Model Setup'!$H$7,SUMIF($AD$3:$BA$3,"="&amp;$DF43+'Model Setup'!$H$7,$B43:$Y43)+'Model Setup'!$H$8*(SUMIF($AD$3:$BA$3,"&lt;"&amp;$DF43,$B43:$Y43)+SUMIF($AD$3:$BA$3,"&gt;="&amp;$DG43,$B43:$Y43)),
IF(AQ$3=$DF43+'Model Setup'!$I$7,SUMIF($AD$3:$BA$3,"="&amp;$DF43+'Model Setup'!$I$7,$B43:$Y43)+'Model Setup'!$I$8*(SUMIF($AD$3:$BA$3,"&lt;"&amp;$DF43,$B43:$Y43)+SUMIF($AD$3:$BA$3,"&gt;="&amp;$DG43,$B43:$Y43)),
IF(AQ$3=$DF43+'Model Setup'!$J$7,SUMIF($AD$3:$BA$3,"="&amp;$DF43+'Model Setup'!$J$7,$B43:$Y43)+'Model Setup'!$J$8*(SUMIF($AD$3:$BA$3,"&lt;"&amp;$DF43,$B43:$Y43)+SUMIF($AD$3:$BA$3,"&gt;="&amp;$DG43,$B43:$Y43)),
IF(AQ$3=$DF43+'Model Setup'!$K$7,SUMIF($AD$3:$BA$3,"="&amp;$DF43+'Model Setup'!$K$7,$B43:$Y43)+'Model Setup'!$K$8*(SUMIF($AD$3:$BA$3,"&lt;"&amp;$DF43,$B43:$Y43)+SUMIF($AD$3:$BA$3,"&gt;="&amp;$DG43,$B43:$Y43)),
IF(AQ$3=$DF43+'Model Setup'!$L$7,SUMIF($AD$3:$BA$3,"="&amp;$DF43+'Model Setup'!$L$7,$B43:$Y43)+'Model Setup'!$L$8*(SUMIF($AD$3:$BA$3,"&lt;"&amp;$DF43,$B43:$Y43)+SUMIF($AD$3:$BA$3,"&gt;="&amp;$DG43,$B43:$Y43)),
IF(AQ$3=$DF43+'Model Setup'!$M$7,SUMIF($AD$3:$BA$3,"="&amp;$DF43+'Model Setup'!$M$7,$B43:$Y43)+'Model Setup'!$M$8*(SUMIF($AD$3:$BA$3,"&lt;"&amp;$DF43,$B43:$Y43)+SUMIF($AD$3:$BA$3,"&gt;="&amp;$DG43,$B43:$Y43)),
IF(AQ$3=$DF43+'Model Setup'!$N$7,SUMIF($AD$3:$BA$3,"="&amp;$DF43+'Model Setup'!$N$7,$B43:$Y43)+'Model Setup'!$N$8*(SUMIF($AD$3:$BA$3,"&lt;"&amp;$DF43,$B43:$Y43)+SUMIF($AD$3:$BA$3,"&gt;="&amp;$DG43,$B43:$Y43)),
IF(AQ$3&lt;$DG43,O43,0))))))))))))))),0)</f>
        <v>109</v>
      </c>
      <c r="AR43" s="47">
        <f>ROUND(IF(AR$3&lt;$DF43,0,
IF(AR$3=$DF43+'Model Setup'!$B$7,SUMIF($AD$3:$BA$3,"="&amp;$DF43+'Model Setup'!$B$7,$B43:$Y43)+'Model Setup'!$B$8*(SUMIF($AD$3:$BA$3,"&lt;"&amp;$DF43,$B43:$Y43)+SUMIF($AD$3:$BA$3,"&gt;="&amp;$DG43,$B43:$Y43)),
IF(AR$3=$DF43+'Model Setup'!$C$7,SUMIF($AD$3:$BA$3,"="&amp;$DF43+'Model Setup'!$C$7,$B43:$Y43)+'Model Setup'!$C$8*(SUMIF($AD$3:$BA$3,"&lt;"&amp;$DF43,$B43:$Y43)+SUMIF($AD$3:$BA$3,"&gt;="&amp;$DG43,$B43:$Y43)),
IF(AR$3=$DF43+'Model Setup'!$D$7,SUMIF($AD$3:$BA$3,"="&amp;$DF43+'Model Setup'!$D$7,$B43:$Y43)+'Model Setup'!$D$8*(SUMIF($AD$3:$BA$3,"&lt;"&amp;$DF43,$B43:$Y43)+SUMIF($AD$3:$BA$3,"&gt;="&amp;$DG43,$B43:$Y43)),
IF(AR$3=$DF43+'Model Setup'!$E$7,SUMIF($AD$3:$BA$3,"="&amp;$DF43+'Model Setup'!$E$7,$B43:$Y43)+'Model Setup'!$E$8*(SUMIF($AD$3:$BA$3,"&lt;"&amp;$DF43,$B43:$Y43)+SUMIF($AD$3:$BA$3,"&gt;="&amp;$DG43,$B43:$Y43)),
IF(AR$3=$DF43+'Model Setup'!$F$7,SUMIF($AD$3:$BA$3,"="&amp;$DF43+'Model Setup'!$F$7,$B43:$Y43)+'Model Setup'!$F$8*(SUMIF($AD$3:$BA$3,"&lt;"&amp;$DF43,$B43:$Y43)+SUMIF($AD$3:$BA$3,"&gt;="&amp;$DG43,$B43:$Y43)),
IF(AR$3=$DF43+'Model Setup'!$G$7,SUMIF($AD$3:$BA$3,"="&amp;$DF43+'Model Setup'!$G$7,$B43:$Y43)+'Model Setup'!$G$8*(SUMIF($AD$3:$BA$3,"&lt;"&amp;$DF43,$B43:$Y43)+SUMIF($AD$3:$BA$3,"&gt;="&amp;$DG43,$B43:$Y43)),
IF(AR$3=$DF43+'Model Setup'!$H$7,SUMIF($AD$3:$BA$3,"="&amp;$DF43+'Model Setup'!$H$7,$B43:$Y43)+'Model Setup'!$H$8*(SUMIF($AD$3:$BA$3,"&lt;"&amp;$DF43,$B43:$Y43)+SUMIF($AD$3:$BA$3,"&gt;="&amp;$DG43,$B43:$Y43)),
IF(AR$3=$DF43+'Model Setup'!$I$7,SUMIF($AD$3:$BA$3,"="&amp;$DF43+'Model Setup'!$I$7,$B43:$Y43)+'Model Setup'!$I$8*(SUMIF($AD$3:$BA$3,"&lt;"&amp;$DF43,$B43:$Y43)+SUMIF($AD$3:$BA$3,"&gt;="&amp;$DG43,$B43:$Y43)),
IF(AR$3=$DF43+'Model Setup'!$J$7,SUMIF($AD$3:$BA$3,"="&amp;$DF43+'Model Setup'!$J$7,$B43:$Y43)+'Model Setup'!$J$8*(SUMIF($AD$3:$BA$3,"&lt;"&amp;$DF43,$B43:$Y43)+SUMIF($AD$3:$BA$3,"&gt;="&amp;$DG43,$B43:$Y43)),
IF(AR$3=$DF43+'Model Setup'!$K$7,SUMIF($AD$3:$BA$3,"="&amp;$DF43+'Model Setup'!$K$7,$B43:$Y43)+'Model Setup'!$K$8*(SUMIF($AD$3:$BA$3,"&lt;"&amp;$DF43,$B43:$Y43)+SUMIF($AD$3:$BA$3,"&gt;="&amp;$DG43,$B43:$Y43)),
IF(AR$3=$DF43+'Model Setup'!$L$7,SUMIF($AD$3:$BA$3,"="&amp;$DF43+'Model Setup'!$L$7,$B43:$Y43)+'Model Setup'!$L$8*(SUMIF($AD$3:$BA$3,"&lt;"&amp;$DF43,$B43:$Y43)+SUMIF($AD$3:$BA$3,"&gt;="&amp;$DG43,$B43:$Y43)),
IF(AR$3=$DF43+'Model Setup'!$M$7,SUMIF($AD$3:$BA$3,"="&amp;$DF43+'Model Setup'!$M$7,$B43:$Y43)+'Model Setup'!$M$8*(SUMIF($AD$3:$BA$3,"&lt;"&amp;$DF43,$B43:$Y43)+SUMIF($AD$3:$BA$3,"&gt;="&amp;$DG43,$B43:$Y43)),
IF(AR$3=$DF43+'Model Setup'!$N$7,SUMIF($AD$3:$BA$3,"="&amp;$DF43+'Model Setup'!$N$7,$B43:$Y43)+'Model Setup'!$N$8*(SUMIF($AD$3:$BA$3,"&lt;"&amp;$DF43,$B43:$Y43)+SUMIF($AD$3:$BA$3,"&gt;="&amp;$DG43,$B43:$Y43)),
IF(AR$3&lt;$DG43,P43,0))))))))))))))),0)</f>
        <v>74</v>
      </c>
      <c r="AS43" s="47">
        <f>ROUND(IF(AS$3&lt;$DF43,0,
IF(AS$3=$DF43+'Model Setup'!$B$7,SUMIF($AD$3:$BA$3,"="&amp;$DF43+'Model Setup'!$B$7,$B43:$Y43)+'Model Setup'!$B$8*(SUMIF($AD$3:$BA$3,"&lt;"&amp;$DF43,$B43:$Y43)+SUMIF($AD$3:$BA$3,"&gt;="&amp;$DG43,$B43:$Y43)),
IF(AS$3=$DF43+'Model Setup'!$C$7,SUMIF($AD$3:$BA$3,"="&amp;$DF43+'Model Setup'!$C$7,$B43:$Y43)+'Model Setup'!$C$8*(SUMIF($AD$3:$BA$3,"&lt;"&amp;$DF43,$B43:$Y43)+SUMIF($AD$3:$BA$3,"&gt;="&amp;$DG43,$B43:$Y43)),
IF(AS$3=$DF43+'Model Setup'!$D$7,SUMIF($AD$3:$BA$3,"="&amp;$DF43+'Model Setup'!$D$7,$B43:$Y43)+'Model Setup'!$D$8*(SUMIF($AD$3:$BA$3,"&lt;"&amp;$DF43,$B43:$Y43)+SUMIF($AD$3:$BA$3,"&gt;="&amp;$DG43,$B43:$Y43)),
IF(AS$3=$DF43+'Model Setup'!$E$7,SUMIF($AD$3:$BA$3,"="&amp;$DF43+'Model Setup'!$E$7,$B43:$Y43)+'Model Setup'!$E$8*(SUMIF($AD$3:$BA$3,"&lt;"&amp;$DF43,$B43:$Y43)+SUMIF($AD$3:$BA$3,"&gt;="&amp;$DG43,$B43:$Y43)),
IF(AS$3=$DF43+'Model Setup'!$F$7,SUMIF($AD$3:$BA$3,"="&amp;$DF43+'Model Setup'!$F$7,$B43:$Y43)+'Model Setup'!$F$8*(SUMIF($AD$3:$BA$3,"&lt;"&amp;$DF43,$B43:$Y43)+SUMIF($AD$3:$BA$3,"&gt;="&amp;$DG43,$B43:$Y43)),
IF(AS$3=$DF43+'Model Setup'!$G$7,SUMIF($AD$3:$BA$3,"="&amp;$DF43+'Model Setup'!$G$7,$B43:$Y43)+'Model Setup'!$G$8*(SUMIF($AD$3:$BA$3,"&lt;"&amp;$DF43,$B43:$Y43)+SUMIF($AD$3:$BA$3,"&gt;="&amp;$DG43,$B43:$Y43)),
IF(AS$3=$DF43+'Model Setup'!$H$7,SUMIF($AD$3:$BA$3,"="&amp;$DF43+'Model Setup'!$H$7,$B43:$Y43)+'Model Setup'!$H$8*(SUMIF($AD$3:$BA$3,"&lt;"&amp;$DF43,$B43:$Y43)+SUMIF($AD$3:$BA$3,"&gt;="&amp;$DG43,$B43:$Y43)),
IF(AS$3=$DF43+'Model Setup'!$I$7,SUMIF($AD$3:$BA$3,"="&amp;$DF43+'Model Setup'!$I$7,$B43:$Y43)+'Model Setup'!$I$8*(SUMIF($AD$3:$BA$3,"&lt;"&amp;$DF43,$B43:$Y43)+SUMIF($AD$3:$BA$3,"&gt;="&amp;$DG43,$B43:$Y43)),
IF(AS$3=$DF43+'Model Setup'!$J$7,SUMIF($AD$3:$BA$3,"="&amp;$DF43+'Model Setup'!$J$7,$B43:$Y43)+'Model Setup'!$J$8*(SUMIF($AD$3:$BA$3,"&lt;"&amp;$DF43,$B43:$Y43)+SUMIF($AD$3:$BA$3,"&gt;="&amp;$DG43,$B43:$Y43)),
IF(AS$3=$DF43+'Model Setup'!$K$7,SUMIF($AD$3:$BA$3,"="&amp;$DF43+'Model Setup'!$K$7,$B43:$Y43)+'Model Setup'!$K$8*(SUMIF($AD$3:$BA$3,"&lt;"&amp;$DF43,$B43:$Y43)+SUMIF($AD$3:$BA$3,"&gt;="&amp;$DG43,$B43:$Y43)),
IF(AS$3=$DF43+'Model Setup'!$L$7,SUMIF($AD$3:$BA$3,"="&amp;$DF43+'Model Setup'!$L$7,$B43:$Y43)+'Model Setup'!$L$8*(SUMIF($AD$3:$BA$3,"&lt;"&amp;$DF43,$B43:$Y43)+SUMIF($AD$3:$BA$3,"&gt;="&amp;$DG43,$B43:$Y43)),
IF(AS$3=$DF43+'Model Setup'!$M$7,SUMIF($AD$3:$BA$3,"="&amp;$DF43+'Model Setup'!$M$7,$B43:$Y43)+'Model Setup'!$M$8*(SUMIF($AD$3:$BA$3,"&lt;"&amp;$DF43,$B43:$Y43)+SUMIF($AD$3:$BA$3,"&gt;="&amp;$DG43,$B43:$Y43)),
IF(AS$3=$DF43+'Model Setup'!$N$7,SUMIF($AD$3:$BA$3,"="&amp;$DF43+'Model Setup'!$N$7,$B43:$Y43)+'Model Setup'!$N$8*(SUMIF($AD$3:$BA$3,"&lt;"&amp;$DF43,$B43:$Y43)+SUMIF($AD$3:$BA$3,"&gt;="&amp;$DG43,$B43:$Y43)),
IF(AS$3&lt;$DG43,Q43,0))))))))))))))),0)</f>
        <v>86</v>
      </c>
      <c r="AT43" s="47">
        <f>ROUND(IF(AT$3&lt;$DF43,0,
IF(AT$3=$DF43+'Model Setup'!$B$7,SUMIF($AD$3:$BA$3,"="&amp;$DF43+'Model Setup'!$B$7,$B43:$Y43)+'Model Setup'!$B$8*(SUMIF($AD$3:$BA$3,"&lt;"&amp;$DF43,$B43:$Y43)+SUMIF($AD$3:$BA$3,"&gt;="&amp;$DG43,$B43:$Y43)),
IF(AT$3=$DF43+'Model Setup'!$C$7,SUMIF($AD$3:$BA$3,"="&amp;$DF43+'Model Setup'!$C$7,$B43:$Y43)+'Model Setup'!$C$8*(SUMIF($AD$3:$BA$3,"&lt;"&amp;$DF43,$B43:$Y43)+SUMIF($AD$3:$BA$3,"&gt;="&amp;$DG43,$B43:$Y43)),
IF(AT$3=$DF43+'Model Setup'!$D$7,SUMIF($AD$3:$BA$3,"="&amp;$DF43+'Model Setup'!$D$7,$B43:$Y43)+'Model Setup'!$D$8*(SUMIF($AD$3:$BA$3,"&lt;"&amp;$DF43,$B43:$Y43)+SUMIF($AD$3:$BA$3,"&gt;="&amp;$DG43,$B43:$Y43)),
IF(AT$3=$DF43+'Model Setup'!$E$7,SUMIF($AD$3:$BA$3,"="&amp;$DF43+'Model Setup'!$E$7,$B43:$Y43)+'Model Setup'!$E$8*(SUMIF($AD$3:$BA$3,"&lt;"&amp;$DF43,$B43:$Y43)+SUMIF($AD$3:$BA$3,"&gt;="&amp;$DG43,$B43:$Y43)),
IF(AT$3=$DF43+'Model Setup'!$F$7,SUMIF($AD$3:$BA$3,"="&amp;$DF43+'Model Setup'!$F$7,$B43:$Y43)+'Model Setup'!$F$8*(SUMIF($AD$3:$BA$3,"&lt;"&amp;$DF43,$B43:$Y43)+SUMIF($AD$3:$BA$3,"&gt;="&amp;$DG43,$B43:$Y43)),
IF(AT$3=$DF43+'Model Setup'!$G$7,SUMIF($AD$3:$BA$3,"="&amp;$DF43+'Model Setup'!$G$7,$B43:$Y43)+'Model Setup'!$G$8*(SUMIF($AD$3:$BA$3,"&lt;"&amp;$DF43,$B43:$Y43)+SUMIF($AD$3:$BA$3,"&gt;="&amp;$DG43,$B43:$Y43)),
IF(AT$3=$DF43+'Model Setup'!$H$7,SUMIF($AD$3:$BA$3,"="&amp;$DF43+'Model Setup'!$H$7,$B43:$Y43)+'Model Setup'!$H$8*(SUMIF($AD$3:$BA$3,"&lt;"&amp;$DF43,$B43:$Y43)+SUMIF($AD$3:$BA$3,"&gt;="&amp;$DG43,$B43:$Y43)),
IF(AT$3=$DF43+'Model Setup'!$I$7,SUMIF($AD$3:$BA$3,"="&amp;$DF43+'Model Setup'!$I$7,$B43:$Y43)+'Model Setup'!$I$8*(SUMIF($AD$3:$BA$3,"&lt;"&amp;$DF43,$B43:$Y43)+SUMIF($AD$3:$BA$3,"&gt;="&amp;$DG43,$B43:$Y43)),
IF(AT$3=$DF43+'Model Setup'!$J$7,SUMIF($AD$3:$BA$3,"="&amp;$DF43+'Model Setup'!$J$7,$B43:$Y43)+'Model Setup'!$J$8*(SUMIF($AD$3:$BA$3,"&lt;"&amp;$DF43,$B43:$Y43)+SUMIF($AD$3:$BA$3,"&gt;="&amp;$DG43,$B43:$Y43)),
IF(AT$3=$DF43+'Model Setup'!$K$7,SUMIF($AD$3:$BA$3,"="&amp;$DF43+'Model Setup'!$K$7,$B43:$Y43)+'Model Setup'!$K$8*(SUMIF($AD$3:$BA$3,"&lt;"&amp;$DF43,$B43:$Y43)+SUMIF($AD$3:$BA$3,"&gt;="&amp;$DG43,$B43:$Y43)),
IF(AT$3=$DF43+'Model Setup'!$L$7,SUMIF($AD$3:$BA$3,"="&amp;$DF43+'Model Setup'!$L$7,$B43:$Y43)+'Model Setup'!$L$8*(SUMIF($AD$3:$BA$3,"&lt;"&amp;$DF43,$B43:$Y43)+SUMIF($AD$3:$BA$3,"&gt;="&amp;$DG43,$B43:$Y43)),
IF(AT$3=$DF43+'Model Setup'!$M$7,SUMIF($AD$3:$BA$3,"="&amp;$DF43+'Model Setup'!$M$7,$B43:$Y43)+'Model Setup'!$M$8*(SUMIF($AD$3:$BA$3,"&lt;"&amp;$DF43,$B43:$Y43)+SUMIF($AD$3:$BA$3,"&gt;="&amp;$DG43,$B43:$Y43)),
IF(AT$3=$DF43+'Model Setup'!$N$7,SUMIF($AD$3:$BA$3,"="&amp;$DF43+'Model Setup'!$N$7,$B43:$Y43)+'Model Setup'!$N$8*(SUMIF($AD$3:$BA$3,"&lt;"&amp;$DF43,$B43:$Y43)+SUMIF($AD$3:$BA$3,"&gt;="&amp;$DG43,$B43:$Y43)),
IF(AT$3&lt;$DG43,R43,0))))))))))))))),0)</f>
        <v>87</v>
      </c>
      <c r="AU43" s="47">
        <f>ROUND(IF(AU$3&lt;$DF43,0,
IF(AU$3=$DF43+'Model Setup'!$B$7,SUMIF($AD$3:$BA$3,"="&amp;$DF43+'Model Setup'!$B$7,$B43:$Y43)+'Model Setup'!$B$8*(SUMIF($AD$3:$BA$3,"&lt;"&amp;$DF43,$B43:$Y43)+SUMIF($AD$3:$BA$3,"&gt;="&amp;$DG43,$B43:$Y43)),
IF(AU$3=$DF43+'Model Setup'!$C$7,SUMIF($AD$3:$BA$3,"="&amp;$DF43+'Model Setup'!$C$7,$B43:$Y43)+'Model Setup'!$C$8*(SUMIF($AD$3:$BA$3,"&lt;"&amp;$DF43,$B43:$Y43)+SUMIF($AD$3:$BA$3,"&gt;="&amp;$DG43,$B43:$Y43)),
IF(AU$3=$DF43+'Model Setup'!$D$7,SUMIF($AD$3:$BA$3,"="&amp;$DF43+'Model Setup'!$D$7,$B43:$Y43)+'Model Setup'!$D$8*(SUMIF($AD$3:$BA$3,"&lt;"&amp;$DF43,$B43:$Y43)+SUMIF($AD$3:$BA$3,"&gt;="&amp;$DG43,$B43:$Y43)),
IF(AU$3=$DF43+'Model Setup'!$E$7,SUMIF($AD$3:$BA$3,"="&amp;$DF43+'Model Setup'!$E$7,$B43:$Y43)+'Model Setup'!$E$8*(SUMIF($AD$3:$BA$3,"&lt;"&amp;$DF43,$B43:$Y43)+SUMIF($AD$3:$BA$3,"&gt;="&amp;$DG43,$B43:$Y43)),
IF(AU$3=$DF43+'Model Setup'!$F$7,SUMIF($AD$3:$BA$3,"="&amp;$DF43+'Model Setup'!$F$7,$B43:$Y43)+'Model Setup'!$F$8*(SUMIF($AD$3:$BA$3,"&lt;"&amp;$DF43,$B43:$Y43)+SUMIF($AD$3:$BA$3,"&gt;="&amp;$DG43,$B43:$Y43)),
IF(AU$3=$DF43+'Model Setup'!$G$7,SUMIF($AD$3:$BA$3,"="&amp;$DF43+'Model Setup'!$G$7,$B43:$Y43)+'Model Setup'!$G$8*(SUMIF($AD$3:$BA$3,"&lt;"&amp;$DF43,$B43:$Y43)+SUMIF($AD$3:$BA$3,"&gt;="&amp;$DG43,$B43:$Y43)),
IF(AU$3=$DF43+'Model Setup'!$H$7,SUMIF($AD$3:$BA$3,"="&amp;$DF43+'Model Setup'!$H$7,$B43:$Y43)+'Model Setup'!$H$8*(SUMIF($AD$3:$BA$3,"&lt;"&amp;$DF43,$B43:$Y43)+SUMIF($AD$3:$BA$3,"&gt;="&amp;$DG43,$B43:$Y43)),
IF(AU$3=$DF43+'Model Setup'!$I$7,SUMIF($AD$3:$BA$3,"="&amp;$DF43+'Model Setup'!$I$7,$B43:$Y43)+'Model Setup'!$I$8*(SUMIF($AD$3:$BA$3,"&lt;"&amp;$DF43,$B43:$Y43)+SUMIF($AD$3:$BA$3,"&gt;="&amp;$DG43,$B43:$Y43)),
IF(AU$3=$DF43+'Model Setup'!$J$7,SUMIF($AD$3:$BA$3,"="&amp;$DF43+'Model Setup'!$J$7,$B43:$Y43)+'Model Setup'!$J$8*(SUMIF($AD$3:$BA$3,"&lt;"&amp;$DF43,$B43:$Y43)+SUMIF($AD$3:$BA$3,"&gt;="&amp;$DG43,$B43:$Y43)),
IF(AU$3=$DF43+'Model Setup'!$K$7,SUMIF($AD$3:$BA$3,"="&amp;$DF43+'Model Setup'!$K$7,$B43:$Y43)+'Model Setup'!$K$8*(SUMIF($AD$3:$BA$3,"&lt;"&amp;$DF43,$B43:$Y43)+SUMIF($AD$3:$BA$3,"&gt;="&amp;$DG43,$B43:$Y43)),
IF(AU$3=$DF43+'Model Setup'!$L$7,SUMIF($AD$3:$BA$3,"="&amp;$DF43+'Model Setup'!$L$7,$B43:$Y43)+'Model Setup'!$L$8*(SUMIF($AD$3:$BA$3,"&lt;"&amp;$DF43,$B43:$Y43)+SUMIF($AD$3:$BA$3,"&gt;="&amp;$DG43,$B43:$Y43)),
IF(AU$3=$DF43+'Model Setup'!$M$7,SUMIF($AD$3:$BA$3,"="&amp;$DF43+'Model Setup'!$M$7,$B43:$Y43)+'Model Setup'!$M$8*(SUMIF($AD$3:$BA$3,"&lt;"&amp;$DF43,$B43:$Y43)+SUMIF($AD$3:$BA$3,"&gt;="&amp;$DG43,$B43:$Y43)),
IF(AU$3=$DF43+'Model Setup'!$N$7,SUMIF($AD$3:$BA$3,"="&amp;$DF43+'Model Setup'!$N$7,$B43:$Y43)+'Model Setup'!$N$8*(SUMIF($AD$3:$BA$3,"&lt;"&amp;$DF43,$B43:$Y43)+SUMIF($AD$3:$BA$3,"&gt;="&amp;$DG43,$B43:$Y43)),
IF(AU$3&lt;$DG43,S43,0))))))))))))))),0)</f>
        <v>64</v>
      </c>
      <c r="AV43" s="47">
        <f>ROUND(IF(AV$3&lt;$DF43,0,
IF(AV$3=$DF43+'Model Setup'!$B$7,SUMIF($AD$3:$BA$3,"="&amp;$DF43+'Model Setup'!$B$7,$B43:$Y43)+'Model Setup'!$B$8*(SUMIF($AD$3:$BA$3,"&lt;"&amp;$DF43,$B43:$Y43)+SUMIF($AD$3:$BA$3,"&gt;="&amp;$DG43,$B43:$Y43)),
IF(AV$3=$DF43+'Model Setup'!$C$7,SUMIF($AD$3:$BA$3,"="&amp;$DF43+'Model Setup'!$C$7,$B43:$Y43)+'Model Setup'!$C$8*(SUMIF($AD$3:$BA$3,"&lt;"&amp;$DF43,$B43:$Y43)+SUMIF($AD$3:$BA$3,"&gt;="&amp;$DG43,$B43:$Y43)),
IF(AV$3=$DF43+'Model Setup'!$D$7,SUMIF($AD$3:$BA$3,"="&amp;$DF43+'Model Setup'!$D$7,$B43:$Y43)+'Model Setup'!$D$8*(SUMIF($AD$3:$BA$3,"&lt;"&amp;$DF43,$B43:$Y43)+SUMIF($AD$3:$BA$3,"&gt;="&amp;$DG43,$B43:$Y43)),
IF(AV$3=$DF43+'Model Setup'!$E$7,SUMIF($AD$3:$BA$3,"="&amp;$DF43+'Model Setup'!$E$7,$B43:$Y43)+'Model Setup'!$E$8*(SUMIF($AD$3:$BA$3,"&lt;"&amp;$DF43,$B43:$Y43)+SUMIF($AD$3:$BA$3,"&gt;="&amp;$DG43,$B43:$Y43)),
IF(AV$3=$DF43+'Model Setup'!$F$7,SUMIF($AD$3:$BA$3,"="&amp;$DF43+'Model Setup'!$F$7,$B43:$Y43)+'Model Setup'!$F$8*(SUMIF($AD$3:$BA$3,"&lt;"&amp;$DF43,$B43:$Y43)+SUMIF($AD$3:$BA$3,"&gt;="&amp;$DG43,$B43:$Y43)),
IF(AV$3=$DF43+'Model Setup'!$G$7,SUMIF($AD$3:$BA$3,"="&amp;$DF43+'Model Setup'!$G$7,$B43:$Y43)+'Model Setup'!$G$8*(SUMIF($AD$3:$BA$3,"&lt;"&amp;$DF43,$B43:$Y43)+SUMIF($AD$3:$BA$3,"&gt;="&amp;$DG43,$B43:$Y43)),
IF(AV$3=$DF43+'Model Setup'!$H$7,SUMIF($AD$3:$BA$3,"="&amp;$DF43+'Model Setup'!$H$7,$B43:$Y43)+'Model Setup'!$H$8*(SUMIF($AD$3:$BA$3,"&lt;"&amp;$DF43,$B43:$Y43)+SUMIF($AD$3:$BA$3,"&gt;="&amp;$DG43,$B43:$Y43)),
IF(AV$3=$DF43+'Model Setup'!$I$7,SUMIF($AD$3:$BA$3,"="&amp;$DF43+'Model Setup'!$I$7,$B43:$Y43)+'Model Setup'!$I$8*(SUMIF($AD$3:$BA$3,"&lt;"&amp;$DF43,$B43:$Y43)+SUMIF($AD$3:$BA$3,"&gt;="&amp;$DG43,$B43:$Y43)),
IF(AV$3=$DF43+'Model Setup'!$J$7,SUMIF($AD$3:$BA$3,"="&amp;$DF43+'Model Setup'!$J$7,$B43:$Y43)+'Model Setup'!$J$8*(SUMIF($AD$3:$BA$3,"&lt;"&amp;$DF43,$B43:$Y43)+SUMIF($AD$3:$BA$3,"&gt;="&amp;$DG43,$B43:$Y43)),
IF(AV$3=$DF43+'Model Setup'!$K$7,SUMIF($AD$3:$BA$3,"="&amp;$DF43+'Model Setup'!$K$7,$B43:$Y43)+'Model Setup'!$K$8*(SUMIF($AD$3:$BA$3,"&lt;"&amp;$DF43,$B43:$Y43)+SUMIF($AD$3:$BA$3,"&gt;="&amp;$DG43,$B43:$Y43)),
IF(AV$3=$DF43+'Model Setup'!$L$7,SUMIF($AD$3:$BA$3,"="&amp;$DF43+'Model Setup'!$L$7,$B43:$Y43)+'Model Setup'!$L$8*(SUMIF($AD$3:$BA$3,"&lt;"&amp;$DF43,$B43:$Y43)+SUMIF($AD$3:$BA$3,"&gt;="&amp;$DG43,$B43:$Y43)),
IF(AV$3=$DF43+'Model Setup'!$M$7,SUMIF($AD$3:$BA$3,"="&amp;$DF43+'Model Setup'!$M$7,$B43:$Y43)+'Model Setup'!$M$8*(SUMIF($AD$3:$BA$3,"&lt;"&amp;$DF43,$B43:$Y43)+SUMIF($AD$3:$BA$3,"&gt;="&amp;$DG43,$B43:$Y43)),
IF(AV$3=$DF43+'Model Setup'!$N$7,SUMIF($AD$3:$BA$3,"="&amp;$DF43+'Model Setup'!$N$7,$B43:$Y43)+'Model Setup'!$N$8*(SUMIF($AD$3:$BA$3,"&lt;"&amp;$DF43,$B43:$Y43)+SUMIF($AD$3:$BA$3,"&gt;="&amp;$DG43,$B43:$Y43)),
IF(AV$3&lt;$DG43,T43,0))))))))))))))),0)</f>
        <v>0</v>
      </c>
      <c r="AW43" s="47">
        <f>ROUND(IF(AW$3&lt;$DF43,0,
IF(AW$3=$DF43+'Model Setup'!$B$7,SUMIF($AD$3:$BA$3,"="&amp;$DF43+'Model Setup'!$B$7,$B43:$Y43)+'Model Setup'!$B$8*(SUMIF($AD$3:$BA$3,"&lt;"&amp;$DF43,$B43:$Y43)+SUMIF($AD$3:$BA$3,"&gt;="&amp;$DG43,$B43:$Y43)),
IF(AW$3=$DF43+'Model Setup'!$C$7,SUMIF($AD$3:$BA$3,"="&amp;$DF43+'Model Setup'!$C$7,$B43:$Y43)+'Model Setup'!$C$8*(SUMIF($AD$3:$BA$3,"&lt;"&amp;$DF43,$B43:$Y43)+SUMIF($AD$3:$BA$3,"&gt;="&amp;$DG43,$B43:$Y43)),
IF(AW$3=$DF43+'Model Setup'!$D$7,SUMIF($AD$3:$BA$3,"="&amp;$DF43+'Model Setup'!$D$7,$B43:$Y43)+'Model Setup'!$D$8*(SUMIF($AD$3:$BA$3,"&lt;"&amp;$DF43,$B43:$Y43)+SUMIF($AD$3:$BA$3,"&gt;="&amp;$DG43,$B43:$Y43)),
IF(AW$3=$DF43+'Model Setup'!$E$7,SUMIF($AD$3:$BA$3,"="&amp;$DF43+'Model Setup'!$E$7,$B43:$Y43)+'Model Setup'!$E$8*(SUMIF($AD$3:$BA$3,"&lt;"&amp;$DF43,$B43:$Y43)+SUMIF($AD$3:$BA$3,"&gt;="&amp;$DG43,$B43:$Y43)),
IF(AW$3=$DF43+'Model Setup'!$F$7,SUMIF($AD$3:$BA$3,"="&amp;$DF43+'Model Setup'!$F$7,$B43:$Y43)+'Model Setup'!$F$8*(SUMIF($AD$3:$BA$3,"&lt;"&amp;$DF43,$B43:$Y43)+SUMIF($AD$3:$BA$3,"&gt;="&amp;$DG43,$B43:$Y43)),
IF(AW$3=$DF43+'Model Setup'!$G$7,SUMIF($AD$3:$BA$3,"="&amp;$DF43+'Model Setup'!$G$7,$B43:$Y43)+'Model Setup'!$G$8*(SUMIF($AD$3:$BA$3,"&lt;"&amp;$DF43,$B43:$Y43)+SUMIF($AD$3:$BA$3,"&gt;="&amp;$DG43,$B43:$Y43)),
IF(AW$3=$DF43+'Model Setup'!$H$7,SUMIF($AD$3:$BA$3,"="&amp;$DF43+'Model Setup'!$H$7,$B43:$Y43)+'Model Setup'!$H$8*(SUMIF($AD$3:$BA$3,"&lt;"&amp;$DF43,$B43:$Y43)+SUMIF($AD$3:$BA$3,"&gt;="&amp;$DG43,$B43:$Y43)),
IF(AW$3=$DF43+'Model Setup'!$I$7,SUMIF($AD$3:$BA$3,"="&amp;$DF43+'Model Setup'!$I$7,$B43:$Y43)+'Model Setup'!$I$8*(SUMIF($AD$3:$BA$3,"&lt;"&amp;$DF43,$B43:$Y43)+SUMIF($AD$3:$BA$3,"&gt;="&amp;$DG43,$B43:$Y43)),
IF(AW$3=$DF43+'Model Setup'!$J$7,SUMIF($AD$3:$BA$3,"="&amp;$DF43+'Model Setup'!$J$7,$B43:$Y43)+'Model Setup'!$J$8*(SUMIF($AD$3:$BA$3,"&lt;"&amp;$DF43,$B43:$Y43)+SUMIF($AD$3:$BA$3,"&gt;="&amp;$DG43,$B43:$Y43)),
IF(AW$3=$DF43+'Model Setup'!$K$7,SUMIF($AD$3:$BA$3,"="&amp;$DF43+'Model Setup'!$K$7,$B43:$Y43)+'Model Setup'!$K$8*(SUMIF($AD$3:$BA$3,"&lt;"&amp;$DF43,$B43:$Y43)+SUMIF($AD$3:$BA$3,"&gt;="&amp;$DG43,$B43:$Y43)),
IF(AW$3=$DF43+'Model Setup'!$L$7,SUMIF($AD$3:$BA$3,"="&amp;$DF43+'Model Setup'!$L$7,$B43:$Y43)+'Model Setup'!$L$8*(SUMIF($AD$3:$BA$3,"&lt;"&amp;$DF43,$B43:$Y43)+SUMIF($AD$3:$BA$3,"&gt;="&amp;$DG43,$B43:$Y43)),
IF(AW$3=$DF43+'Model Setup'!$M$7,SUMIF($AD$3:$BA$3,"="&amp;$DF43+'Model Setup'!$M$7,$B43:$Y43)+'Model Setup'!$M$8*(SUMIF($AD$3:$BA$3,"&lt;"&amp;$DF43,$B43:$Y43)+SUMIF($AD$3:$BA$3,"&gt;="&amp;$DG43,$B43:$Y43)),
IF(AW$3=$DF43+'Model Setup'!$N$7,SUMIF($AD$3:$BA$3,"="&amp;$DF43+'Model Setup'!$N$7,$B43:$Y43)+'Model Setup'!$N$8*(SUMIF($AD$3:$BA$3,"&lt;"&amp;$DF43,$B43:$Y43)+SUMIF($AD$3:$BA$3,"&gt;="&amp;$DG43,$B43:$Y43)),
IF(AW$3&lt;$DG43,U43,0))))))))))))))),0)</f>
        <v>0</v>
      </c>
      <c r="AX43" s="47">
        <f>ROUND(IF(AX$3&lt;$DF43,0,
IF(AX$3=$DF43+'Model Setup'!$B$7,SUMIF($AD$3:$BA$3,"="&amp;$DF43+'Model Setup'!$B$7,$B43:$Y43)+'Model Setup'!$B$8*(SUMIF($AD$3:$BA$3,"&lt;"&amp;$DF43,$B43:$Y43)+SUMIF($AD$3:$BA$3,"&gt;="&amp;$DG43,$B43:$Y43)),
IF(AX$3=$DF43+'Model Setup'!$C$7,SUMIF($AD$3:$BA$3,"="&amp;$DF43+'Model Setup'!$C$7,$B43:$Y43)+'Model Setup'!$C$8*(SUMIF($AD$3:$BA$3,"&lt;"&amp;$DF43,$B43:$Y43)+SUMIF($AD$3:$BA$3,"&gt;="&amp;$DG43,$B43:$Y43)),
IF(AX$3=$DF43+'Model Setup'!$D$7,SUMIF($AD$3:$BA$3,"="&amp;$DF43+'Model Setup'!$D$7,$B43:$Y43)+'Model Setup'!$D$8*(SUMIF($AD$3:$BA$3,"&lt;"&amp;$DF43,$B43:$Y43)+SUMIF($AD$3:$BA$3,"&gt;="&amp;$DG43,$B43:$Y43)),
IF(AX$3=$DF43+'Model Setup'!$E$7,SUMIF($AD$3:$BA$3,"="&amp;$DF43+'Model Setup'!$E$7,$B43:$Y43)+'Model Setup'!$E$8*(SUMIF($AD$3:$BA$3,"&lt;"&amp;$DF43,$B43:$Y43)+SUMIF($AD$3:$BA$3,"&gt;="&amp;$DG43,$B43:$Y43)),
IF(AX$3=$DF43+'Model Setup'!$F$7,SUMIF($AD$3:$BA$3,"="&amp;$DF43+'Model Setup'!$F$7,$B43:$Y43)+'Model Setup'!$F$8*(SUMIF($AD$3:$BA$3,"&lt;"&amp;$DF43,$B43:$Y43)+SUMIF($AD$3:$BA$3,"&gt;="&amp;$DG43,$B43:$Y43)),
IF(AX$3=$DF43+'Model Setup'!$G$7,SUMIF($AD$3:$BA$3,"="&amp;$DF43+'Model Setup'!$G$7,$B43:$Y43)+'Model Setup'!$G$8*(SUMIF($AD$3:$BA$3,"&lt;"&amp;$DF43,$B43:$Y43)+SUMIF($AD$3:$BA$3,"&gt;="&amp;$DG43,$B43:$Y43)),
IF(AX$3=$DF43+'Model Setup'!$H$7,SUMIF($AD$3:$BA$3,"="&amp;$DF43+'Model Setup'!$H$7,$B43:$Y43)+'Model Setup'!$H$8*(SUMIF($AD$3:$BA$3,"&lt;"&amp;$DF43,$B43:$Y43)+SUMIF($AD$3:$BA$3,"&gt;="&amp;$DG43,$B43:$Y43)),
IF(AX$3=$DF43+'Model Setup'!$I$7,SUMIF($AD$3:$BA$3,"="&amp;$DF43+'Model Setup'!$I$7,$B43:$Y43)+'Model Setup'!$I$8*(SUMIF($AD$3:$BA$3,"&lt;"&amp;$DF43,$B43:$Y43)+SUMIF($AD$3:$BA$3,"&gt;="&amp;$DG43,$B43:$Y43)),
IF(AX$3=$DF43+'Model Setup'!$J$7,SUMIF($AD$3:$BA$3,"="&amp;$DF43+'Model Setup'!$J$7,$B43:$Y43)+'Model Setup'!$J$8*(SUMIF($AD$3:$BA$3,"&lt;"&amp;$DF43,$B43:$Y43)+SUMIF($AD$3:$BA$3,"&gt;="&amp;$DG43,$B43:$Y43)),
IF(AX$3=$DF43+'Model Setup'!$K$7,SUMIF($AD$3:$BA$3,"="&amp;$DF43+'Model Setup'!$K$7,$B43:$Y43)+'Model Setup'!$K$8*(SUMIF($AD$3:$BA$3,"&lt;"&amp;$DF43,$B43:$Y43)+SUMIF($AD$3:$BA$3,"&gt;="&amp;$DG43,$B43:$Y43)),
IF(AX$3=$DF43+'Model Setup'!$L$7,SUMIF($AD$3:$BA$3,"="&amp;$DF43+'Model Setup'!$L$7,$B43:$Y43)+'Model Setup'!$L$8*(SUMIF($AD$3:$BA$3,"&lt;"&amp;$DF43,$B43:$Y43)+SUMIF($AD$3:$BA$3,"&gt;="&amp;$DG43,$B43:$Y43)),
IF(AX$3=$DF43+'Model Setup'!$M$7,SUMIF($AD$3:$BA$3,"="&amp;$DF43+'Model Setup'!$M$7,$B43:$Y43)+'Model Setup'!$M$8*(SUMIF($AD$3:$BA$3,"&lt;"&amp;$DF43,$B43:$Y43)+SUMIF($AD$3:$BA$3,"&gt;="&amp;$DG43,$B43:$Y43)),
IF(AX$3=$DF43+'Model Setup'!$N$7,SUMIF($AD$3:$BA$3,"="&amp;$DF43+'Model Setup'!$N$7,$B43:$Y43)+'Model Setup'!$N$8*(SUMIF($AD$3:$BA$3,"&lt;"&amp;$DF43,$B43:$Y43)+SUMIF($AD$3:$BA$3,"&gt;="&amp;$DG43,$B43:$Y43)),
IF(AX$3&lt;$DG43,V43,0))))))))))))))),0)</f>
        <v>0</v>
      </c>
      <c r="AY43" s="47">
        <f>ROUND(IF(AY$3&lt;$DF43,0,
IF(AY$3=$DF43+'Model Setup'!$B$7,SUMIF($AD$3:$BA$3,"="&amp;$DF43+'Model Setup'!$B$7,$B43:$Y43)+'Model Setup'!$B$8*(SUMIF($AD$3:$BA$3,"&lt;"&amp;$DF43,$B43:$Y43)+SUMIF($AD$3:$BA$3,"&gt;="&amp;$DG43,$B43:$Y43)),
IF(AY$3=$DF43+'Model Setup'!$C$7,SUMIF($AD$3:$BA$3,"="&amp;$DF43+'Model Setup'!$C$7,$B43:$Y43)+'Model Setup'!$C$8*(SUMIF($AD$3:$BA$3,"&lt;"&amp;$DF43,$B43:$Y43)+SUMIF($AD$3:$BA$3,"&gt;="&amp;$DG43,$B43:$Y43)),
IF(AY$3=$DF43+'Model Setup'!$D$7,SUMIF($AD$3:$BA$3,"="&amp;$DF43+'Model Setup'!$D$7,$B43:$Y43)+'Model Setup'!$D$8*(SUMIF($AD$3:$BA$3,"&lt;"&amp;$DF43,$B43:$Y43)+SUMIF($AD$3:$BA$3,"&gt;="&amp;$DG43,$B43:$Y43)),
IF(AY$3=$DF43+'Model Setup'!$E$7,SUMIF($AD$3:$BA$3,"="&amp;$DF43+'Model Setup'!$E$7,$B43:$Y43)+'Model Setup'!$E$8*(SUMIF($AD$3:$BA$3,"&lt;"&amp;$DF43,$B43:$Y43)+SUMIF($AD$3:$BA$3,"&gt;="&amp;$DG43,$B43:$Y43)),
IF(AY$3=$DF43+'Model Setup'!$F$7,SUMIF($AD$3:$BA$3,"="&amp;$DF43+'Model Setup'!$F$7,$B43:$Y43)+'Model Setup'!$F$8*(SUMIF($AD$3:$BA$3,"&lt;"&amp;$DF43,$B43:$Y43)+SUMIF($AD$3:$BA$3,"&gt;="&amp;$DG43,$B43:$Y43)),
IF(AY$3=$DF43+'Model Setup'!$G$7,SUMIF($AD$3:$BA$3,"="&amp;$DF43+'Model Setup'!$G$7,$B43:$Y43)+'Model Setup'!$G$8*(SUMIF($AD$3:$BA$3,"&lt;"&amp;$DF43,$B43:$Y43)+SUMIF($AD$3:$BA$3,"&gt;="&amp;$DG43,$B43:$Y43)),
IF(AY$3=$DF43+'Model Setup'!$H$7,SUMIF($AD$3:$BA$3,"="&amp;$DF43+'Model Setup'!$H$7,$B43:$Y43)+'Model Setup'!$H$8*(SUMIF($AD$3:$BA$3,"&lt;"&amp;$DF43,$B43:$Y43)+SUMIF($AD$3:$BA$3,"&gt;="&amp;$DG43,$B43:$Y43)),
IF(AY$3=$DF43+'Model Setup'!$I$7,SUMIF($AD$3:$BA$3,"="&amp;$DF43+'Model Setup'!$I$7,$B43:$Y43)+'Model Setup'!$I$8*(SUMIF($AD$3:$BA$3,"&lt;"&amp;$DF43,$B43:$Y43)+SUMIF($AD$3:$BA$3,"&gt;="&amp;$DG43,$B43:$Y43)),
IF(AY$3=$DF43+'Model Setup'!$J$7,SUMIF($AD$3:$BA$3,"="&amp;$DF43+'Model Setup'!$J$7,$B43:$Y43)+'Model Setup'!$J$8*(SUMIF($AD$3:$BA$3,"&lt;"&amp;$DF43,$B43:$Y43)+SUMIF($AD$3:$BA$3,"&gt;="&amp;$DG43,$B43:$Y43)),
IF(AY$3=$DF43+'Model Setup'!$K$7,SUMIF($AD$3:$BA$3,"="&amp;$DF43+'Model Setup'!$K$7,$B43:$Y43)+'Model Setup'!$K$8*(SUMIF($AD$3:$BA$3,"&lt;"&amp;$DF43,$B43:$Y43)+SUMIF($AD$3:$BA$3,"&gt;="&amp;$DG43,$B43:$Y43)),
IF(AY$3=$DF43+'Model Setup'!$L$7,SUMIF($AD$3:$BA$3,"="&amp;$DF43+'Model Setup'!$L$7,$B43:$Y43)+'Model Setup'!$L$8*(SUMIF($AD$3:$BA$3,"&lt;"&amp;$DF43,$B43:$Y43)+SUMIF($AD$3:$BA$3,"&gt;="&amp;$DG43,$B43:$Y43)),
IF(AY$3=$DF43+'Model Setup'!$M$7,SUMIF($AD$3:$BA$3,"="&amp;$DF43+'Model Setup'!$M$7,$B43:$Y43)+'Model Setup'!$M$8*(SUMIF($AD$3:$BA$3,"&lt;"&amp;$DF43,$B43:$Y43)+SUMIF($AD$3:$BA$3,"&gt;="&amp;$DG43,$B43:$Y43)),
IF(AY$3=$DF43+'Model Setup'!$N$7,SUMIF($AD$3:$BA$3,"="&amp;$DF43+'Model Setup'!$N$7,$B43:$Y43)+'Model Setup'!$N$8*(SUMIF($AD$3:$BA$3,"&lt;"&amp;$DF43,$B43:$Y43)+SUMIF($AD$3:$BA$3,"&gt;="&amp;$DG43,$B43:$Y43)),
IF(AY$3&lt;$DG43,W43,0))))))))))))))),0)</f>
        <v>0</v>
      </c>
      <c r="AZ43" s="47">
        <f>ROUND(IF(AZ$3&lt;$DF43,0,
IF(AZ$3=$DF43+'Model Setup'!$B$7,SUMIF($AD$3:$BA$3,"="&amp;$DF43+'Model Setup'!$B$7,$B43:$Y43)+'Model Setup'!$B$8*(SUMIF($AD$3:$BA$3,"&lt;"&amp;$DF43,$B43:$Y43)+SUMIF($AD$3:$BA$3,"&gt;="&amp;$DG43,$B43:$Y43)),
IF(AZ$3=$DF43+'Model Setup'!$C$7,SUMIF($AD$3:$BA$3,"="&amp;$DF43+'Model Setup'!$C$7,$B43:$Y43)+'Model Setup'!$C$8*(SUMIF($AD$3:$BA$3,"&lt;"&amp;$DF43,$B43:$Y43)+SUMIF($AD$3:$BA$3,"&gt;="&amp;$DG43,$B43:$Y43)),
IF(AZ$3=$DF43+'Model Setup'!$D$7,SUMIF($AD$3:$BA$3,"="&amp;$DF43+'Model Setup'!$D$7,$B43:$Y43)+'Model Setup'!$D$8*(SUMIF($AD$3:$BA$3,"&lt;"&amp;$DF43,$B43:$Y43)+SUMIF($AD$3:$BA$3,"&gt;="&amp;$DG43,$B43:$Y43)),
IF(AZ$3=$DF43+'Model Setup'!$E$7,SUMIF($AD$3:$BA$3,"="&amp;$DF43+'Model Setup'!$E$7,$B43:$Y43)+'Model Setup'!$E$8*(SUMIF($AD$3:$BA$3,"&lt;"&amp;$DF43,$B43:$Y43)+SUMIF($AD$3:$BA$3,"&gt;="&amp;$DG43,$B43:$Y43)),
IF(AZ$3=$DF43+'Model Setup'!$F$7,SUMIF($AD$3:$BA$3,"="&amp;$DF43+'Model Setup'!$F$7,$B43:$Y43)+'Model Setup'!$F$8*(SUMIF($AD$3:$BA$3,"&lt;"&amp;$DF43,$B43:$Y43)+SUMIF($AD$3:$BA$3,"&gt;="&amp;$DG43,$B43:$Y43)),
IF(AZ$3=$DF43+'Model Setup'!$G$7,SUMIF($AD$3:$BA$3,"="&amp;$DF43+'Model Setup'!$G$7,$B43:$Y43)+'Model Setup'!$G$8*(SUMIF($AD$3:$BA$3,"&lt;"&amp;$DF43,$B43:$Y43)+SUMIF($AD$3:$BA$3,"&gt;="&amp;$DG43,$B43:$Y43)),
IF(AZ$3=$DF43+'Model Setup'!$H$7,SUMIF($AD$3:$BA$3,"="&amp;$DF43+'Model Setup'!$H$7,$B43:$Y43)+'Model Setup'!$H$8*(SUMIF($AD$3:$BA$3,"&lt;"&amp;$DF43,$B43:$Y43)+SUMIF($AD$3:$BA$3,"&gt;="&amp;$DG43,$B43:$Y43)),
IF(AZ$3=$DF43+'Model Setup'!$I$7,SUMIF($AD$3:$BA$3,"="&amp;$DF43+'Model Setup'!$I$7,$B43:$Y43)+'Model Setup'!$I$8*(SUMIF($AD$3:$BA$3,"&lt;"&amp;$DF43,$B43:$Y43)+SUMIF($AD$3:$BA$3,"&gt;="&amp;$DG43,$B43:$Y43)),
IF(AZ$3=$DF43+'Model Setup'!$J$7,SUMIF($AD$3:$BA$3,"="&amp;$DF43+'Model Setup'!$J$7,$B43:$Y43)+'Model Setup'!$J$8*(SUMIF($AD$3:$BA$3,"&lt;"&amp;$DF43,$B43:$Y43)+SUMIF($AD$3:$BA$3,"&gt;="&amp;$DG43,$B43:$Y43)),
IF(AZ$3=$DF43+'Model Setup'!$K$7,SUMIF($AD$3:$BA$3,"="&amp;$DF43+'Model Setup'!$K$7,$B43:$Y43)+'Model Setup'!$K$8*(SUMIF($AD$3:$BA$3,"&lt;"&amp;$DF43,$B43:$Y43)+SUMIF($AD$3:$BA$3,"&gt;="&amp;$DG43,$B43:$Y43)),
IF(AZ$3=$DF43+'Model Setup'!$L$7,SUMIF($AD$3:$BA$3,"="&amp;$DF43+'Model Setup'!$L$7,$B43:$Y43)+'Model Setup'!$L$8*(SUMIF($AD$3:$BA$3,"&lt;"&amp;$DF43,$B43:$Y43)+SUMIF($AD$3:$BA$3,"&gt;="&amp;$DG43,$B43:$Y43)),
IF(AZ$3=$DF43+'Model Setup'!$M$7,SUMIF($AD$3:$BA$3,"="&amp;$DF43+'Model Setup'!$M$7,$B43:$Y43)+'Model Setup'!$M$8*(SUMIF($AD$3:$BA$3,"&lt;"&amp;$DF43,$B43:$Y43)+SUMIF($AD$3:$BA$3,"&gt;="&amp;$DG43,$B43:$Y43)),
IF(AZ$3=$DF43+'Model Setup'!$N$7,SUMIF($AD$3:$BA$3,"="&amp;$DF43+'Model Setup'!$N$7,$B43:$Y43)+'Model Setup'!$N$8*(SUMIF($AD$3:$BA$3,"&lt;"&amp;$DF43,$B43:$Y43)+SUMIF($AD$3:$BA$3,"&gt;="&amp;$DG43,$B43:$Y43)),
IF(AZ$3&lt;$DG43,X43,0))))))))))))))),0)</f>
        <v>0</v>
      </c>
      <c r="BA43" s="47">
        <f>ROUND(IF(BA$3&lt;$DF43,0,
IF(BA$3=$DF43+'Model Setup'!$B$7,SUMIF($AD$3:$BA$3,"="&amp;$DF43+'Model Setup'!$B$7,$B43:$Y43)+'Model Setup'!$B$8*(SUMIF($AD$3:$BA$3,"&lt;"&amp;$DF43,$B43:$Y43)+SUMIF($AD$3:$BA$3,"&gt;="&amp;$DG43,$B43:$Y43)),
IF(BA$3=$DF43+'Model Setup'!$C$7,SUMIF($AD$3:$BA$3,"="&amp;$DF43+'Model Setup'!$C$7,$B43:$Y43)+'Model Setup'!$C$8*(SUMIF($AD$3:$BA$3,"&lt;"&amp;$DF43,$B43:$Y43)+SUMIF($AD$3:$BA$3,"&gt;="&amp;$DG43,$B43:$Y43)),
IF(BA$3=$DF43+'Model Setup'!$D$7,SUMIF($AD$3:$BA$3,"="&amp;$DF43+'Model Setup'!$D$7,$B43:$Y43)+'Model Setup'!$D$8*(SUMIF($AD$3:$BA$3,"&lt;"&amp;$DF43,$B43:$Y43)+SUMIF($AD$3:$BA$3,"&gt;="&amp;$DG43,$B43:$Y43)),
IF(BA$3=$DF43+'Model Setup'!$E$7,SUMIF($AD$3:$BA$3,"="&amp;$DF43+'Model Setup'!$E$7,$B43:$Y43)+'Model Setup'!$E$8*(SUMIF($AD$3:$BA$3,"&lt;"&amp;$DF43,$B43:$Y43)+SUMIF($AD$3:$BA$3,"&gt;="&amp;$DG43,$B43:$Y43)),
IF(BA$3=$DF43+'Model Setup'!$F$7,SUMIF($AD$3:$BA$3,"="&amp;$DF43+'Model Setup'!$F$7,$B43:$Y43)+'Model Setup'!$F$8*(SUMIF($AD$3:$BA$3,"&lt;"&amp;$DF43,$B43:$Y43)+SUMIF($AD$3:$BA$3,"&gt;="&amp;$DG43,$B43:$Y43)),
IF(BA$3=$DF43+'Model Setup'!$G$7,SUMIF($AD$3:$BA$3,"="&amp;$DF43+'Model Setup'!$G$7,$B43:$Y43)+'Model Setup'!$G$8*(SUMIF($AD$3:$BA$3,"&lt;"&amp;$DF43,$B43:$Y43)+SUMIF($AD$3:$BA$3,"&gt;="&amp;$DG43,$B43:$Y43)),
IF(BA$3=$DF43+'Model Setup'!$H$7,SUMIF($AD$3:$BA$3,"="&amp;$DF43+'Model Setup'!$H$7,$B43:$Y43)+'Model Setup'!$H$8*(SUMIF($AD$3:$BA$3,"&lt;"&amp;$DF43,$B43:$Y43)+SUMIF($AD$3:$BA$3,"&gt;="&amp;$DG43,$B43:$Y43)),
IF(BA$3=$DF43+'Model Setup'!$I$7,SUMIF($AD$3:$BA$3,"="&amp;$DF43+'Model Setup'!$I$7,$B43:$Y43)+'Model Setup'!$I$8*(SUMIF($AD$3:$BA$3,"&lt;"&amp;$DF43,$B43:$Y43)+SUMIF($AD$3:$BA$3,"&gt;="&amp;$DG43,$B43:$Y43)),
IF(BA$3=$DF43+'Model Setup'!$J$7,SUMIF($AD$3:$BA$3,"="&amp;$DF43+'Model Setup'!$J$7,$B43:$Y43)+'Model Setup'!$J$8*(SUMIF($AD$3:$BA$3,"&lt;"&amp;$DF43,$B43:$Y43)+SUMIF($AD$3:$BA$3,"&gt;="&amp;$DG43,$B43:$Y43)),
IF(BA$3=$DF43+'Model Setup'!$K$7,SUMIF($AD$3:$BA$3,"="&amp;$DF43+'Model Setup'!$K$7,$B43:$Y43)+'Model Setup'!$K$8*(SUMIF($AD$3:$BA$3,"&lt;"&amp;$DF43,$B43:$Y43)+SUMIF($AD$3:$BA$3,"&gt;="&amp;$DG43,$B43:$Y43)),
IF(BA$3=$DF43+'Model Setup'!$L$7,SUMIF($AD$3:$BA$3,"="&amp;$DF43+'Model Setup'!$L$7,$B43:$Y43)+'Model Setup'!$L$8*(SUMIF($AD$3:$BA$3,"&lt;"&amp;$DF43,$B43:$Y43)+SUMIF($AD$3:$BA$3,"&gt;="&amp;$DG43,$B43:$Y43)),
IF(BA$3=$DF43+'Model Setup'!$M$7,SUMIF($AD$3:$BA$3,"="&amp;$DF43+'Model Setup'!$M$7,$B43:$Y43)+'Model Setup'!$M$8*(SUMIF($AD$3:$BA$3,"&lt;"&amp;$DF43,$B43:$Y43)+SUMIF($AD$3:$BA$3,"&gt;="&amp;$DG43,$B43:$Y43)),
IF(BA$3=$DF43+'Model Setup'!$N$7,SUMIF($AD$3:$BA$3,"="&amp;$DF43+'Model Setup'!$N$7,$B43:$Y43)+'Model Setup'!$N$8*(SUMIF($AD$3:$BA$3,"&lt;"&amp;$DF43,$B43:$Y43)+SUMIF($AD$3:$BA$3,"&gt;="&amp;$DG43,$B43:$Y43)),
IF(BA$3&lt;$DG43,Y43,0))))))))))))))),0)</f>
        <v>0</v>
      </c>
      <c r="BB43" s="47">
        <f t="shared" si="1"/>
        <v>1568</v>
      </c>
      <c r="BD43" t="b">
        <f t="shared" si="2"/>
        <v>1</v>
      </c>
      <c r="BE43">
        <f t="shared" si="8"/>
        <v>0</v>
      </c>
      <c r="BF43">
        <f>(FTC!F41-FTC!E41)*24</f>
        <v>13</v>
      </c>
      <c r="BG43" s="43" t="s">
        <v>58</v>
      </c>
      <c r="BH43" s="47">
        <f>ROUND(IF(OR(BH$3&lt;$DF43,BH$3&gt;$CW$4),0,
IF(BH$3=$DF43+'Model Setup'!$B$7,SUMIF($BH$3:$CE$3,"="&amp;$DF43+'Model Setup'!$B$7,$AD43:$BA43)+'Model Setup'!$B$8*(SUMIF($BH$3:$CE$3,"&lt;"&amp;$DF43,$AD43:$BA43)+SUMIF($BH$3:$CE$3,"&gt;"&amp;$CW$4,$AD43:$BA43)),
IF(BH$3=$DF43+'Model Setup'!$C$7,SUMIF($BH$3:$CE$3,"="&amp;$DF43+'Model Setup'!$C$7,$AD43:$BA43)+'Model Setup'!$C$8*(SUMIF($BH$3:$CE$3,"&lt;"&amp;$DF43,$AD43:$BA43)+SUMIF($BH$3:$CE$3,"&gt;"&amp;$CW$4,$AD43:$BA43)),
IF(BH$3=$DF43+'Model Setup'!$D$7,SUMIF($BH$3:$CE$3,"="&amp;$DF43+'Model Setup'!$D$7,$AD43:$BA43)+'Model Setup'!$D$8*(SUMIF($BH$3:$CE$3,"&lt;"&amp;$DF43,$AD43:$BA43)+SUMIF($BH$3:$CE$3,"&gt;"&amp;$CW$4,$AD43:$BA43)),
IF(BH$3=$DF43+'Model Setup'!$E$7,SUMIF($BH$3:$CE$3,"="&amp;$DF43+'Model Setup'!$E$7,$AD43:$BA43)+'Model Setup'!$E$8*(SUMIF($BH$3:$CE$3,"&lt;"&amp;$DF43,$AD43:$BA43)+SUMIF($BH$3:$CE$3,"&gt;"&amp;$CW$4,$AD43:$BA43)),
IF(BH$3=$DF43+'Model Setup'!$F$7,SUMIF($BH$3:$CE$3,"="&amp;$DF43+'Model Setup'!$F$7,$AD43:$BA43)+'Model Setup'!$F$8*(SUMIF($BH$3:$CE$3,"&lt;"&amp;$DF43,$AD43:$BA43)+SUMIF($BH$3:$CE$3,"&gt;"&amp;$CW$4,$AD43:$BA43)),
IF(BH$3=$DF43+'Model Setup'!$G$7,SUMIF($BH$3:$CE$3,"="&amp;$DF43+'Model Setup'!$G$7,$AD43:$BA43)+'Model Setup'!$G$8*(SUMIF($BH$3:$CE$3,"&lt;"&amp;$DF43,$AD43:$BA43)+SUMIF($BH$3:$CE$3,"&gt;"&amp;$CW$4,$AD43:$BA43)),
IF(BH$3=$DF43+'Model Setup'!$H$7,SUMIF($BH$3:$CE$3,"="&amp;$DF43+'Model Setup'!$H$7,$AD43:$BA43)+'Model Setup'!$H$8*(SUMIF($BH$3:$CE$3,"&lt;"&amp;$DF43,$AD43:$BA43)+SUMIF($BH$3:$CE$3,"&gt;"&amp;$CW$4,$AD43:$BA43)),
IF(BH$3=$DF43+'Model Setup'!$I$7,SUMIF($BH$3:$CE$3,"="&amp;$DF43+'Model Setup'!$I$7,$AD43:$BA43)+'Model Setup'!$I$8*(SUMIF($BH$3:$CE$3,"&lt;"&amp;$DF43,$AD43:$BA43)+SUMIF($BH$3:$CE$3,"&gt;"&amp;$CW$4,$AD43:$BA43)),
IF(BH$3=$DF43+'Model Setup'!$J$7,SUMIF($BH$3:$CE$3,"="&amp;$DF43+'Model Setup'!$J$7,$AD43:$BA43)+'Model Setup'!$J$8*(SUMIF($BH$3:$CE$3,"&lt;"&amp;$DF43,$AD43:$BA43)+SUMIF($BH$3:$CE$3,"&gt;"&amp;$CW$4,$AD43:$BA43)),
IF(BH$3=$DF43+'Model Setup'!$K$7,SUMIF($BH$3:$CE$3,"="&amp;$DF43+'Model Setup'!$K$7,$AD43:$BA43)+'Model Setup'!$K$8*(SUMIF($BH$3:$CE$3,"&lt;"&amp;$DF43,$AD43:$BA43)+SUMIF($BH$3:$CE$3,"&gt;"&amp;$CW$4,$AD43:$BA43)),
IF(BH$3=$DF43+'Model Setup'!$L$7,SUMIF($BH$3:$CE$3,"="&amp;$DF43+'Model Setup'!$L$7,$AD43:$BA43)+'Model Setup'!$L$8*(SUMIF($BH$3:$CE$3,"&lt;"&amp;$DF43,$AD43:$BA43)+SUMIF($BH$3:$CE$3,"&gt;"&amp;$CW$4,$AD43:$BA43)),
IF(BH$3=$DF43+'Model Setup'!$M$7,SUMIF($BH$3:$CE$3,"="&amp;$DF43+'Model Setup'!$M$7,$AD43:$BA43)+'Model Setup'!$M$8*(SUMIF($BH$3:$CE$3,"&lt;"&amp;$DF43,$AD43:$BA43)+SUMIF($BH$3:$CE$3,"&gt;"&amp;$CW$4,$AD43:$BA43)),
IF(BH$3=$DF43+'Model Setup'!$N$7,SUMIF($BH$3:$CE$3,"="&amp;$DF43+'Model Setup'!$N$7,$AD43:$BA43)+'Model Setup'!$N$8*(SUMIF($BH$3:$CE$3,"&lt;"&amp;$DF43,$AD43:$BA43)+SUMIF($BH$3:$CE$3,"&gt;"&amp;$CW$4,$AD43:$BA43)),
IF(BH$3&lt;$CW$4,B43,0))))))))))))))),0)</f>
        <v>0</v>
      </c>
      <c r="BI43" s="47">
        <f>ROUND(IF(OR(BI$3&lt;$DF43,BI$3&gt;$CW$4),0,
IF(BI$3=$DF43+'Model Setup'!$B$7,SUMIF($BH$3:$CE$3,"="&amp;$DF43+'Model Setup'!$B$7,$AD43:$BA43)+'Model Setup'!$B$8*(SUMIF($BH$3:$CE$3,"&lt;"&amp;$DF43,$AD43:$BA43)+SUMIF($BH$3:$CE$3,"&gt;"&amp;$CW$4,$AD43:$BA43)),
IF(BI$3=$DF43+'Model Setup'!$C$7,SUMIF($BH$3:$CE$3,"="&amp;$DF43+'Model Setup'!$C$7,$AD43:$BA43)+'Model Setup'!$C$8*(SUMIF($BH$3:$CE$3,"&lt;"&amp;$DF43,$AD43:$BA43)+SUMIF($BH$3:$CE$3,"&gt;"&amp;$CW$4,$AD43:$BA43)),
IF(BI$3=$DF43+'Model Setup'!$D$7,SUMIF($BH$3:$CE$3,"="&amp;$DF43+'Model Setup'!$D$7,$AD43:$BA43)+'Model Setup'!$D$8*(SUMIF($BH$3:$CE$3,"&lt;"&amp;$DF43,$AD43:$BA43)+SUMIF($BH$3:$CE$3,"&gt;"&amp;$CW$4,$AD43:$BA43)),
IF(BI$3=$DF43+'Model Setup'!$E$7,SUMIF($BH$3:$CE$3,"="&amp;$DF43+'Model Setup'!$E$7,$AD43:$BA43)+'Model Setup'!$E$8*(SUMIF($BH$3:$CE$3,"&lt;"&amp;$DF43,$AD43:$BA43)+SUMIF($BH$3:$CE$3,"&gt;"&amp;$CW$4,$AD43:$BA43)),
IF(BI$3=$DF43+'Model Setup'!$F$7,SUMIF($BH$3:$CE$3,"="&amp;$DF43+'Model Setup'!$F$7,$AD43:$BA43)+'Model Setup'!$F$8*(SUMIF($BH$3:$CE$3,"&lt;"&amp;$DF43,$AD43:$BA43)+SUMIF($BH$3:$CE$3,"&gt;"&amp;$CW$4,$AD43:$BA43)),
IF(BI$3=$DF43+'Model Setup'!$G$7,SUMIF($BH$3:$CE$3,"="&amp;$DF43+'Model Setup'!$G$7,$AD43:$BA43)+'Model Setup'!$G$8*(SUMIF($BH$3:$CE$3,"&lt;"&amp;$DF43,$AD43:$BA43)+SUMIF($BH$3:$CE$3,"&gt;"&amp;$CW$4,$AD43:$BA43)),
IF(BI$3=$DF43+'Model Setup'!$H$7,SUMIF($BH$3:$CE$3,"="&amp;$DF43+'Model Setup'!$H$7,$AD43:$BA43)+'Model Setup'!$H$8*(SUMIF($BH$3:$CE$3,"&lt;"&amp;$DF43,$AD43:$BA43)+SUMIF($BH$3:$CE$3,"&gt;"&amp;$CW$4,$AD43:$BA43)),
IF(BI$3=$DF43+'Model Setup'!$I$7,SUMIF($BH$3:$CE$3,"="&amp;$DF43+'Model Setup'!$I$7,$AD43:$BA43)+'Model Setup'!$I$8*(SUMIF($BH$3:$CE$3,"&lt;"&amp;$DF43,$AD43:$BA43)+SUMIF($BH$3:$CE$3,"&gt;"&amp;$CW$4,$AD43:$BA43)),
IF(BI$3=$DF43+'Model Setup'!$J$7,SUMIF($BH$3:$CE$3,"="&amp;$DF43+'Model Setup'!$J$7,$AD43:$BA43)+'Model Setup'!$J$8*(SUMIF($BH$3:$CE$3,"&lt;"&amp;$DF43,$AD43:$BA43)+SUMIF($BH$3:$CE$3,"&gt;"&amp;$CW$4,$AD43:$BA43)),
IF(BI$3=$DF43+'Model Setup'!$K$7,SUMIF($BH$3:$CE$3,"="&amp;$DF43+'Model Setup'!$K$7,$AD43:$BA43)+'Model Setup'!$K$8*(SUMIF($BH$3:$CE$3,"&lt;"&amp;$DF43,$AD43:$BA43)+SUMIF($BH$3:$CE$3,"&gt;"&amp;$CW$4,$AD43:$BA43)),
IF(BI$3=$DF43+'Model Setup'!$L$7,SUMIF($BH$3:$CE$3,"="&amp;$DF43+'Model Setup'!$L$7,$AD43:$BA43)+'Model Setup'!$L$8*(SUMIF($BH$3:$CE$3,"&lt;"&amp;$DF43,$AD43:$BA43)+SUMIF($BH$3:$CE$3,"&gt;"&amp;$CW$4,$AD43:$BA43)),
IF(BI$3=$DF43+'Model Setup'!$M$7,SUMIF($BH$3:$CE$3,"="&amp;$DF43+'Model Setup'!$M$7,$AD43:$BA43)+'Model Setup'!$M$8*(SUMIF($BH$3:$CE$3,"&lt;"&amp;$DF43,$AD43:$BA43)+SUMIF($BH$3:$CE$3,"&gt;"&amp;$CW$4,$AD43:$BA43)),
IF(BI$3=$DF43+'Model Setup'!$N$7,SUMIF($BH$3:$CE$3,"="&amp;$DF43+'Model Setup'!$N$7,$AD43:$BA43)+'Model Setup'!$N$8*(SUMIF($BH$3:$CE$3,"&lt;"&amp;$DF43,$AD43:$BA43)+SUMIF($BH$3:$CE$3,"&gt;"&amp;$CW$4,$AD43:$BA43)),
IF(BI$3&lt;$CW$4,C43,0))))))))))))))),0)</f>
        <v>0</v>
      </c>
      <c r="BJ43" s="47">
        <f>ROUND(IF(OR(BJ$3&lt;$DF43,BJ$3&gt;$CW$4),0,
IF(BJ$3=$DF43+'Model Setup'!$B$7,SUMIF($BH$3:$CE$3,"="&amp;$DF43+'Model Setup'!$B$7,$AD43:$BA43)+'Model Setup'!$B$8*(SUMIF($BH$3:$CE$3,"&lt;"&amp;$DF43,$AD43:$BA43)+SUMIF($BH$3:$CE$3,"&gt;"&amp;$CW$4,$AD43:$BA43)),
IF(BJ$3=$DF43+'Model Setup'!$C$7,SUMIF($BH$3:$CE$3,"="&amp;$DF43+'Model Setup'!$C$7,$AD43:$BA43)+'Model Setup'!$C$8*(SUMIF($BH$3:$CE$3,"&lt;"&amp;$DF43,$AD43:$BA43)+SUMIF($BH$3:$CE$3,"&gt;"&amp;$CW$4,$AD43:$BA43)),
IF(BJ$3=$DF43+'Model Setup'!$D$7,SUMIF($BH$3:$CE$3,"="&amp;$DF43+'Model Setup'!$D$7,$AD43:$BA43)+'Model Setup'!$D$8*(SUMIF($BH$3:$CE$3,"&lt;"&amp;$DF43,$AD43:$BA43)+SUMIF($BH$3:$CE$3,"&gt;"&amp;$CW$4,$AD43:$BA43)),
IF(BJ$3=$DF43+'Model Setup'!$E$7,SUMIF($BH$3:$CE$3,"="&amp;$DF43+'Model Setup'!$E$7,$AD43:$BA43)+'Model Setup'!$E$8*(SUMIF($BH$3:$CE$3,"&lt;"&amp;$DF43,$AD43:$BA43)+SUMIF($BH$3:$CE$3,"&gt;"&amp;$CW$4,$AD43:$BA43)),
IF(BJ$3=$DF43+'Model Setup'!$F$7,SUMIF($BH$3:$CE$3,"="&amp;$DF43+'Model Setup'!$F$7,$AD43:$BA43)+'Model Setup'!$F$8*(SUMIF($BH$3:$CE$3,"&lt;"&amp;$DF43,$AD43:$BA43)+SUMIF($BH$3:$CE$3,"&gt;"&amp;$CW$4,$AD43:$BA43)),
IF(BJ$3=$DF43+'Model Setup'!$G$7,SUMIF($BH$3:$CE$3,"="&amp;$DF43+'Model Setup'!$G$7,$AD43:$BA43)+'Model Setup'!$G$8*(SUMIF($BH$3:$CE$3,"&lt;"&amp;$DF43,$AD43:$BA43)+SUMIF($BH$3:$CE$3,"&gt;"&amp;$CW$4,$AD43:$BA43)),
IF(BJ$3=$DF43+'Model Setup'!$H$7,SUMIF($BH$3:$CE$3,"="&amp;$DF43+'Model Setup'!$H$7,$AD43:$BA43)+'Model Setup'!$H$8*(SUMIF($BH$3:$CE$3,"&lt;"&amp;$DF43,$AD43:$BA43)+SUMIF($BH$3:$CE$3,"&gt;"&amp;$CW$4,$AD43:$BA43)),
IF(BJ$3=$DF43+'Model Setup'!$I$7,SUMIF($BH$3:$CE$3,"="&amp;$DF43+'Model Setup'!$I$7,$AD43:$BA43)+'Model Setup'!$I$8*(SUMIF($BH$3:$CE$3,"&lt;"&amp;$DF43,$AD43:$BA43)+SUMIF($BH$3:$CE$3,"&gt;"&amp;$CW$4,$AD43:$BA43)),
IF(BJ$3=$DF43+'Model Setup'!$J$7,SUMIF($BH$3:$CE$3,"="&amp;$DF43+'Model Setup'!$J$7,$AD43:$BA43)+'Model Setup'!$J$8*(SUMIF($BH$3:$CE$3,"&lt;"&amp;$DF43,$AD43:$BA43)+SUMIF($BH$3:$CE$3,"&gt;"&amp;$CW$4,$AD43:$BA43)),
IF(BJ$3=$DF43+'Model Setup'!$K$7,SUMIF($BH$3:$CE$3,"="&amp;$DF43+'Model Setup'!$K$7,$AD43:$BA43)+'Model Setup'!$K$8*(SUMIF($BH$3:$CE$3,"&lt;"&amp;$DF43,$AD43:$BA43)+SUMIF($BH$3:$CE$3,"&gt;"&amp;$CW$4,$AD43:$BA43)),
IF(BJ$3=$DF43+'Model Setup'!$L$7,SUMIF($BH$3:$CE$3,"="&amp;$DF43+'Model Setup'!$L$7,$AD43:$BA43)+'Model Setup'!$L$8*(SUMIF($BH$3:$CE$3,"&lt;"&amp;$DF43,$AD43:$BA43)+SUMIF($BH$3:$CE$3,"&gt;"&amp;$CW$4,$AD43:$BA43)),
IF(BJ$3=$DF43+'Model Setup'!$M$7,SUMIF($BH$3:$CE$3,"="&amp;$DF43+'Model Setup'!$M$7,$AD43:$BA43)+'Model Setup'!$M$8*(SUMIF($BH$3:$CE$3,"&lt;"&amp;$DF43,$AD43:$BA43)+SUMIF($BH$3:$CE$3,"&gt;"&amp;$CW$4,$AD43:$BA43)),
IF(BJ$3=$DF43+'Model Setup'!$N$7,SUMIF($BH$3:$CE$3,"="&amp;$DF43+'Model Setup'!$N$7,$AD43:$BA43)+'Model Setup'!$N$8*(SUMIF($BH$3:$CE$3,"&lt;"&amp;$DF43,$AD43:$BA43)+SUMIF($BH$3:$CE$3,"&gt;"&amp;$CW$4,$AD43:$BA43)),
IF(BJ$3&lt;$CW$4,D43,0))))))))))))))),0)</f>
        <v>0</v>
      </c>
      <c r="BK43" s="47">
        <f>ROUND(IF(OR(BK$3&lt;$DF43,BK$3&gt;$CW$4),0,
IF(BK$3=$DF43+'Model Setup'!$B$7,SUMIF($BH$3:$CE$3,"="&amp;$DF43+'Model Setup'!$B$7,$AD43:$BA43)+'Model Setup'!$B$8*(SUMIF($BH$3:$CE$3,"&lt;"&amp;$DF43,$AD43:$BA43)+SUMIF($BH$3:$CE$3,"&gt;"&amp;$CW$4,$AD43:$BA43)),
IF(BK$3=$DF43+'Model Setup'!$C$7,SUMIF($BH$3:$CE$3,"="&amp;$DF43+'Model Setup'!$C$7,$AD43:$BA43)+'Model Setup'!$C$8*(SUMIF($BH$3:$CE$3,"&lt;"&amp;$DF43,$AD43:$BA43)+SUMIF($BH$3:$CE$3,"&gt;"&amp;$CW$4,$AD43:$BA43)),
IF(BK$3=$DF43+'Model Setup'!$D$7,SUMIF($BH$3:$CE$3,"="&amp;$DF43+'Model Setup'!$D$7,$AD43:$BA43)+'Model Setup'!$D$8*(SUMIF($BH$3:$CE$3,"&lt;"&amp;$DF43,$AD43:$BA43)+SUMIF($BH$3:$CE$3,"&gt;"&amp;$CW$4,$AD43:$BA43)),
IF(BK$3=$DF43+'Model Setup'!$E$7,SUMIF($BH$3:$CE$3,"="&amp;$DF43+'Model Setup'!$E$7,$AD43:$BA43)+'Model Setup'!$E$8*(SUMIF($BH$3:$CE$3,"&lt;"&amp;$DF43,$AD43:$BA43)+SUMIF($BH$3:$CE$3,"&gt;"&amp;$CW$4,$AD43:$BA43)),
IF(BK$3=$DF43+'Model Setup'!$F$7,SUMIF($BH$3:$CE$3,"="&amp;$DF43+'Model Setup'!$F$7,$AD43:$BA43)+'Model Setup'!$F$8*(SUMIF($BH$3:$CE$3,"&lt;"&amp;$DF43,$AD43:$BA43)+SUMIF($BH$3:$CE$3,"&gt;"&amp;$CW$4,$AD43:$BA43)),
IF(BK$3=$DF43+'Model Setup'!$G$7,SUMIF($BH$3:$CE$3,"="&amp;$DF43+'Model Setup'!$G$7,$AD43:$BA43)+'Model Setup'!$G$8*(SUMIF($BH$3:$CE$3,"&lt;"&amp;$DF43,$AD43:$BA43)+SUMIF($BH$3:$CE$3,"&gt;"&amp;$CW$4,$AD43:$BA43)),
IF(BK$3=$DF43+'Model Setup'!$H$7,SUMIF($BH$3:$CE$3,"="&amp;$DF43+'Model Setup'!$H$7,$AD43:$BA43)+'Model Setup'!$H$8*(SUMIF($BH$3:$CE$3,"&lt;"&amp;$DF43,$AD43:$BA43)+SUMIF($BH$3:$CE$3,"&gt;"&amp;$CW$4,$AD43:$BA43)),
IF(BK$3=$DF43+'Model Setup'!$I$7,SUMIF($BH$3:$CE$3,"="&amp;$DF43+'Model Setup'!$I$7,$AD43:$BA43)+'Model Setup'!$I$8*(SUMIF($BH$3:$CE$3,"&lt;"&amp;$DF43,$AD43:$BA43)+SUMIF($BH$3:$CE$3,"&gt;"&amp;$CW$4,$AD43:$BA43)),
IF(BK$3=$DF43+'Model Setup'!$J$7,SUMIF($BH$3:$CE$3,"="&amp;$DF43+'Model Setup'!$J$7,$AD43:$BA43)+'Model Setup'!$J$8*(SUMIF($BH$3:$CE$3,"&lt;"&amp;$DF43,$AD43:$BA43)+SUMIF($BH$3:$CE$3,"&gt;"&amp;$CW$4,$AD43:$BA43)),
IF(BK$3=$DF43+'Model Setup'!$K$7,SUMIF($BH$3:$CE$3,"="&amp;$DF43+'Model Setup'!$K$7,$AD43:$BA43)+'Model Setup'!$K$8*(SUMIF($BH$3:$CE$3,"&lt;"&amp;$DF43,$AD43:$BA43)+SUMIF($BH$3:$CE$3,"&gt;"&amp;$CW$4,$AD43:$BA43)),
IF(BK$3=$DF43+'Model Setup'!$L$7,SUMIF($BH$3:$CE$3,"="&amp;$DF43+'Model Setup'!$L$7,$AD43:$BA43)+'Model Setup'!$L$8*(SUMIF($BH$3:$CE$3,"&lt;"&amp;$DF43,$AD43:$BA43)+SUMIF($BH$3:$CE$3,"&gt;"&amp;$CW$4,$AD43:$BA43)),
IF(BK$3=$DF43+'Model Setup'!$M$7,SUMIF($BH$3:$CE$3,"="&amp;$DF43+'Model Setup'!$M$7,$AD43:$BA43)+'Model Setup'!$M$8*(SUMIF($BH$3:$CE$3,"&lt;"&amp;$DF43,$AD43:$BA43)+SUMIF($BH$3:$CE$3,"&gt;"&amp;$CW$4,$AD43:$BA43)),
IF(BK$3=$DF43+'Model Setup'!$N$7,SUMIF($BH$3:$CE$3,"="&amp;$DF43+'Model Setup'!$N$7,$AD43:$BA43)+'Model Setup'!$N$8*(SUMIF($BH$3:$CE$3,"&lt;"&amp;$DF43,$AD43:$BA43)+SUMIF($BH$3:$CE$3,"&gt;"&amp;$CW$4,$AD43:$BA43)),
IF(BK$3&lt;$CW$4,E43,0))))))))))))))),0)</f>
        <v>0</v>
      </c>
      <c r="BL43" s="47">
        <f>ROUND(IF(OR(BL$3&lt;$DF43,BL$3&gt;$CW$4),0,
IF(BL$3=$DF43+'Model Setup'!$B$7,SUMIF($BH$3:$CE$3,"="&amp;$DF43+'Model Setup'!$B$7,$AD43:$BA43)+'Model Setup'!$B$8*(SUMIF($BH$3:$CE$3,"&lt;"&amp;$DF43,$AD43:$BA43)+SUMIF($BH$3:$CE$3,"&gt;"&amp;$CW$4,$AD43:$BA43)),
IF(BL$3=$DF43+'Model Setup'!$C$7,SUMIF($BH$3:$CE$3,"="&amp;$DF43+'Model Setup'!$C$7,$AD43:$BA43)+'Model Setup'!$C$8*(SUMIF($BH$3:$CE$3,"&lt;"&amp;$DF43,$AD43:$BA43)+SUMIF($BH$3:$CE$3,"&gt;"&amp;$CW$4,$AD43:$BA43)),
IF(BL$3=$DF43+'Model Setup'!$D$7,SUMIF($BH$3:$CE$3,"="&amp;$DF43+'Model Setup'!$D$7,$AD43:$BA43)+'Model Setup'!$D$8*(SUMIF($BH$3:$CE$3,"&lt;"&amp;$DF43,$AD43:$BA43)+SUMIF($BH$3:$CE$3,"&gt;"&amp;$CW$4,$AD43:$BA43)),
IF(BL$3=$DF43+'Model Setup'!$E$7,SUMIF($BH$3:$CE$3,"="&amp;$DF43+'Model Setup'!$E$7,$AD43:$BA43)+'Model Setup'!$E$8*(SUMIF($BH$3:$CE$3,"&lt;"&amp;$DF43,$AD43:$BA43)+SUMIF($BH$3:$CE$3,"&gt;"&amp;$CW$4,$AD43:$BA43)),
IF(BL$3=$DF43+'Model Setup'!$F$7,SUMIF($BH$3:$CE$3,"="&amp;$DF43+'Model Setup'!$F$7,$AD43:$BA43)+'Model Setup'!$F$8*(SUMIF($BH$3:$CE$3,"&lt;"&amp;$DF43,$AD43:$BA43)+SUMIF($BH$3:$CE$3,"&gt;"&amp;$CW$4,$AD43:$BA43)),
IF(BL$3=$DF43+'Model Setup'!$G$7,SUMIF($BH$3:$CE$3,"="&amp;$DF43+'Model Setup'!$G$7,$AD43:$BA43)+'Model Setup'!$G$8*(SUMIF($BH$3:$CE$3,"&lt;"&amp;$DF43,$AD43:$BA43)+SUMIF($BH$3:$CE$3,"&gt;"&amp;$CW$4,$AD43:$BA43)),
IF(BL$3=$DF43+'Model Setup'!$H$7,SUMIF($BH$3:$CE$3,"="&amp;$DF43+'Model Setup'!$H$7,$AD43:$BA43)+'Model Setup'!$H$8*(SUMIF($BH$3:$CE$3,"&lt;"&amp;$DF43,$AD43:$BA43)+SUMIF($BH$3:$CE$3,"&gt;"&amp;$CW$4,$AD43:$BA43)),
IF(BL$3=$DF43+'Model Setup'!$I$7,SUMIF($BH$3:$CE$3,"="&amp;$DF43+'Model Setup'!$I$7,$AD43:$BA43)+'Model Setup'!$I$8*(SUMIF($BH$3:$CE$3,"&lt;"&amp;$DF43,$AD43:$BA43)+SUMIF($BH$3:$CE$3,"&gt;"&amp;$CW$4,$AD43:$BA43)),
IF(BL$3=$DF43+'Model Setup'!$J$7,SUMIF($BH$3:$CE$3,"="&amp;$DF43+'Model Setup'!$J$7,$AD43:$BA43)+'Model Setup'!$J$8*(SUMIF($BH$3:$CE$3,"&lt;"&amp;$DF43,$AD43:$BA43)+SUMIF($BH$3:$CE$3,"&gt;"&amp;$CW$4,$AD43:$BA43)),
IF(BL$3=$DF43+'Model Setup'!$K$7,SUMIF($BH$3:$CE$3,"="&amp;$DF43+'Model Setup'!$K$7,$AD43:$BA43)+'Model Setup'!$K$8*(SUMIF($BH$3:$CE$3,"&lt;"&amp;$DF43,$AD43:$BA43)+SUMIF($BH$3:$CE$3,"&gt;"&amp;$CW$4,$AD43:$BA43)),
IF(BL$3=$DF43+'Model Setup'!$L$7,SUMIF($BH$3:$CE$3,"="&amp;$DF43+'Model Setup'!$L$7,$AD43:$BA43)+'Model Setup'!$L$8*(SUMIF($BH$3:$CE$3,"&lt;"&amp;$DF43,$AD43:$BA43)+SUMIF($BH$3:$CE$3,"&gt;"&amp;$CW$4,$AD43:$BA43)),
IF(BL$3=$DF43+'Model Setup'!$M$7,SUMIF($BH$3:$CE$3,"="&amp;$DF43+'Model Setup'!$M$7,$AD43:$BA43)+'Model Setup'!$M$8*(SUMIF($BH$3:$CE$3,"&lt;"&amp;$DF43,$AD43:$BA43)+SUMIF($BH$3:$CE$3,"&gt;"&amp;$CW$4,$AD43:$BA43)),
IF(BL$3=$DF43+'Model Setup'!$N$7,SUMIF($BH$3:$CE$3,"="&amp;$DF43+'Model Setup'!$N$7,$AD43:$BA43)+'Model Setup'!$N$8*(SUMIF($BH$3:$CE$3,"&lt;"&amp;$DF43,$AD43:$BA43)+SUMIF($BH$3:$CE$3,"&gt;"&amp;$CW$4,$AD43:$BA43)),
IF(BL$3&lt;$CW$4,F43,0))))))))))))))),0)</f>
        <v>0</v>
      </c>
      <c r="BM43" s="47">
        <f>ROUND(IF(OR(BM$3&lt;$DF43,BM$3&gt;$CW$4),0,
IF(BM$3=$DF43+'Model Setup'!$B$7,SUMIF($BH$3:$CE$3,"="&amp;$DF43+'Model Setup'!$B$7,$AD43:$BA43)+'Model Setup'!$B$8*(SUMIF($BH$3:$CE$3,"&lt;"&amp;$DF43,$AD43:$BA43)+SUMIF($BH$3:$CE$3,"&gt;"&amp;$CW$4,$AD43:$BA43)),
IF(BM$3=$DF43+'Model Setup'!$C$7,SUMIF($BH$3:$CE$3,"="&amp;$DF43+'Model Setup'!$C$7,$AD43:$BA43)+'Model Setup'!$C$8*(SUMIF($BH$3:$CE$3,"&lt;"&amp;$DF43,$AD43:$BA43)+SUMIF($BH$3:$CE$3,"&gt;"&amp;$CW$4,$AD43:$BA43)),
IF(BM$3=$DF43+'Model Setup'!$D$7,SUMIF($BH$3:$CE$3,"="&amp;$DF43+'Model Setup'!$D$7,$AD43:$BA43)+'Model Setup'!$D$8*(SUMIF($BH$3:$CE$3,"&lt;"&amp;$DF43,$AD43:$BA43)+SUMIF($BH$3:$CE$3,"&gt;"&amp;$CW$4,$AD43:$BA43)),
IF(BM$3=$DF43+'Model Setup'!$E$7,SUMIF($BH$3:$CE$3,"="&amp;$DF43+'Model Setup'!$E$7,$AD43:$BA43)+'Model Setup'!$E$8*(SUMIF($BH$3:$CE$3,"&lt;"&amp;$DF43,$AD43:$BA43)+SUMIF($BH$3:$CE$3,"&gt;"&amp;$CW$4,$AD43:$BA43)),
IF(BM$3=$DF43+'Model Setup'!$F$7,SUMIF($BH$3:$CE$3,"="&amp;$DF43+'Model Setup'!$F$7,$AD43:$BA43)+'Model Setup'!$F$8*(SUMIF($BH$3:$CE$3,"&lt;"&amp;$DF43,$AD43:$BA43)+SUMIF($BH$3:$CE$3,"&gt;"&amp;$CW$4,$AD43:$BA43)),
IF(BM$3=$DF43+'Model Setup'!$G$7,SUMIF($BH$3:$CE$3,"="&amp;$DF43+'Model Setup'!$G$7,$AD43:$BA43)+'Model Setup'!$G$8*(SUMIF($BH$3:$CE$3,"&lt;"&amp;$DF43,$AD43:$BA43)+SUMIF($BH$3:$CE$3,"&gt;"&amp;$CW$4,$AD43:$BA43)),
IF(BM$3=$DF43+'Model Setup'!$H$7,SUMIF($BH$3:$CE$3,"="&amp;$DF43+'Model Setup'!$H$7,$AD43:$BA43)+'Model Setup'!$H$8*(SUMIF($BH$3:$CE$3,"&lt;"&amp;$DF43,$AD43:$BA43)+SUMIF($BH$3:$CE$3,"&gt;"&amp;$CW$4,$AD43:$BA43)),
IF(BM$3=$DF43+'Model Setup'!$I$7,SUMIF($BH$3:$CE$3,"="&amp;$DF43+'Model Setup'!$I$7,$AD43:$BA43)+'Model Setup'!$I$8*(SUMIF($BH$3:$CE$3,"&lt;"&amp;$DF43,$AD43:$BA43)+SUMIF($BH$3:$CE$3,"&gt;"&amp;$CW$4,$AD43:$BA43)),
IF(BM$3=$DF43+'Model Setup'!$J$7,SUMIF($BH$3:$CE$3,"="&amp;$DF43+'Model Setup'!$J$7,$AD43:$BA43)+'Model Setup'!$J$8*(SUMIF($BH$3:$CE$3,"&lt;"&amp;$DF43,$AD43:$BA43)+SUMIF($BH$3:$CE$3,"&gt;"&amp;$CW$4,$AD43:$BA43)),
IF(BM$3=$DF43+'Model Setup'!$K$7,SUMIF($BH$3:$CE$3,"="&amp;$DF43+'Model Setup'!$K$7,$AD43:$BA43)+'Model Setup'!$K$8*(SUMIF($BH$3:$CE$3,"&lt;"&amp;$DF43,$AD43:$BA43)+SUMIF($BH$3:$CE$3,"&gt;"&amp;$CW$4,$AD43:$BA43)),
IF(BM$3=$DF43+'Model Setup'!$L$7,SUMIF($BH$3:$CE$3,"="&amp;$DF43+'Model Setup'!$L$7,$AD43:$BA43)+'Model Setup'!$L$8*(SUMIF($BH$3:$CE$3,"&lt;"&amp;$DF43,$AD43:$BA43)+SUMIF($BH$3:$CE$3,"&gt;"&amp;$CW$4,$AD43:$BA43)),
IF(BM$3=$DF43+'Model Setup'!$M$7,SUMIF($BH$3:$CE$3,"="&amp;$DF43+'Model Setup'!$M$7,$AD43:$BA43)+'Model Setup'!$M$8*(SUMIF($BH$3:$CE$3,"&lt;"&amp;$DF43,$AD43:$BA43)+SUMIF($BH$3:$CE$3,"&gt;"&amp;$CW$4,$AD43:$BA43)),
IF(BM$3=$DF43+'Model Setup'!$N$7,SUMIF($BH$3:$CE$3,"="&amp;$DF43+'Model Setup'!$N$7,$AD43:$BA43)+'Model Setup'!$N$8*(SUMIF($BH$3:$CE$3,"&lt;"&amp;$DF43,$AD43:$BA43)+SUMIF($BH$3:$CE$3,"&gt;"&amp;$CW$4,$AD43:$BA43)),
IF(BM$3&lt;$CW$4,G43,0))))))))))))))),0)</f>
        <v>38</v>
      </c>
      <c r="BN43" s="47">
        <f>ROUND(IF(OR(BN$3&lt;$DF43,BN$3&gt;$CW$4),0,
IF(BN$3=$DF43+'Model Setup'!$B$7,SUMIF($BH$3:$CE$3,"="&amp;$DF43+'Model Setup'!$B$7,$AD43:$BA43)+'Model Setup'!$B$8*(SUMIF($BH$3:$CE$3,"&lt;"&amp;$DF43,$AD43:$BA43)+SUMIF($BH$3:$CE$3,"&gt;"&amp;$CW$4,$AD43:$BA43)),
IF(BN$3=$DF43+'Model Setup'!$C$7,SUMIF($BH$3:$CE$3,"="&amp;$DF43+'Model Setup'!$C$7,$AD43:$BA43)+'Model Setup'!$C$8*(SUMIF($BH$3:$CE$3,"&lt;"&amp;$DF43,$AD43:$BA43)+SUMIF($BH$3:$CE$3,"&gt;"&amp;$CW$4,$AD43:$BA43)),
IF(BN$3=$DF43+'Model Setup'!$D$7,SUMIF($BH$3:$CE$3,"="&amp;$DF43+'Model Setup'!$D$7,$AD43:$BA43)+'Model Setup'!$D$8*(SUMIF($BH$3:$CE$3,"&lt;"&amp;$DF43,$AD43:$BA43)+SUMIF($BH$3:$CE$3,"&gt;"&amp;$CW$4,$AD43:$BA43)),
IF(BN$3=$DF43+'Model Setup'!$E$7,SUMIF($BH$3:$CE$3,"="&amp;$DF43+'Model Setup'!$E$7,$AD43:$BA43)+'Model Setup'!$E$8*(SUMIF($BH$3:$CE$3,"&lt;"&amp;$DF43,$AD43:$BA43)+SUMIF($BH$3:$CE$3,"&gt;"&amp;$CW$4,$AD43:$BA43)),
IF(BN$3=$DF43+'Model Setup'!$F$7,SUMIF($BH$3:$CE$3,"="&amp;$DF43+'Model Setup'!$F$7,$AD43:$BA43)+'Model Setup'!$F$8*(SUMIF($BH$3:$CE$3,"&lt;"&amp;$DF43,$AD43:$BA43)+SUMIF($BH$3:$CE$3,"&gt;"&amp;$CW$4,$AD43:$BA43)),
IF(BN$3=$DF43+'Model Setup'!$G$7,SUMIF($BH$3:$CE$3,"="&amp;$DF43+'Model Setup'!$G$7,$AD43:$BA43)+'Model Setup'!$G$8*(SUMIF($BH$3:$CE$3,"&lt;"&amp;$DF43,$AD43:$BA43)+SUMIF($BH$3:$CE$3,"&gt;"&amp;$CW$4,$AD43:$BA43)),
IF(BN$3=$DF43+'Model Setup'!$H$7,SUMIF($BH$3:$CE$3,"="&amp;$DF43+'Model Setup'!$H$7,$AD43:$BA43)+'Model Setup'!$H$8*(SUMIF($BH$3:$CE$3,"&lt;"&amp;$DF43,$AD43:$BA43)+SUMIF($BH$3:$CE$3,"&gt;"&amp;$CW$4,$AD43:$BA43)),
IF(BN$3=$DF43+'Model Setup'!$I$7,SUMIF($BH$3:$CE$3,"="&amp;$DF43+'Model Setup'!$I$7,$AD43:$BA43)+'Model Setup'!$I$8*(SUMIF($BH$3:$CE$3,"&lt;"&amp;$DF43,$AD43:$BA43)+SUMIF($BH$3:$CE$3,"&gt;"&amp;$CW$4,$AD43:$BA43)),
IF(BN$3=$DF43+'Model Setup'!$J$7,SUMIF($BH$3:$CE$3,"="&amp;$DF43+'Model Setup'!$J$7,$AD43:$BA43)+'Model Setup'!$J$8*(SUMIF($BH$3:$CE$3,"&lt;"&amp;$DF43,$AD43:$BA43)+SUMIF($BH$3:$CE$3,"&gt;"&amp;$CW$4,$AD43:$BA43)),
IF(BN$3=$DF43+'Model Setup'!$K$7,SUMIF($BH$3:$CE$3,"="&amp;$DF43+'Model Setup'!$K$7,$AD43:$BA43)+'Model Setup'!$K$8*(SUMIF($BH$3:$CE$3,"&lt;"&amp;$DF43,$AD43:$BA43)+SUMIF($BH$3:$CE$3,"&gt;"&amp;$CW$4,$AD43:$BA43)),
IF(BN$3=$DF43+'Model Setup'!$L$7,SUMIF($BH$3:$CE$3,"="&amp;$DF43+'Model Setup'!$L$7,$AD43:$BA43)+'Model Setup'!$L$8*(SUMIF($BH$3:$CE$3,"&lt;"&amp;$DF43,$AD43:$BA43)+SUMIF($BH$3:$CE$3,"&gt;"&amp;$CW$4,$AD43:$BA43)),
IF(BN$3=$DF43+'Model Setup'!$M$7,SUMIF($BH$3:$CE$3,"="&amp;$DF43+'Model Setup'!$M$7,$AD43:$BA43)+'Model Setup'!$M$8*(SUMIF($BH$3:$CE$3,"&lt;"&amp;$DF43,$AD43:$BA43)+SUMIF($BH$3:$CE$3,"&gt;"&amp;$CW$4,$AD43:$BA43)),
IF(BN$3=$DF43+'Model Setup'!$N$7,SUMIF($BH$3:$CE$3,"="&amp;$DF43+'Model Setup'!$N$7,$AD43:$BA43)+'Model Setup'!$N$8*(SUMIF($BH$3:$CE$3,"&lt;"&amp;$DF43,$AD43:$BA43)+SUMIF($BH$3:$CE$3,"&gt;"&amp;$CW$4,$AD43:$BA43)),
IF(BN$3&lt;$CW$4,H43,0))))))))))))))),0)</f>
        <v>158</v>
      </c>
      <c r="BO43" s="47">
        <f>ROUND(IF(OR(BO$3&lt;$DF43,BO$3&gt;$CW$4),0,
IF(BO$3=$DF43+'Model Setup'!$B$7,SUMIF($BH$3:$CE$3,"="&amp;$DF43+'Model Setup'!$B$7,$AD43:$BA43)+'Model Setup'!$B$8*(SUMIF($BH$3:$CE$3,"&lt;"&amp;$DF43,$AD43:$BA43)+SUMIF($BH$3:$CE$3,"&gt;"&amp;$CW$4,$AD43:$BA43)),
IF(BO$3=$DF43+'Model Setup'!$C$7,SUMIF($BH$3:$CE$3,"="&amp;$DF43+'Model Setup'!$C$7,$AD43:$BA43)+'Model Setup'!$C$8*(SUMIF($BH$3:$CE$3,"&lt;"&amp;$DF43,$AD43:$BA43)+SUMIF($BH$3:$CE$3,"&gt;"&amp;$CW$4,$AD43:$BA43)),
IF(BO$3=$DF43+'Model Setup'!$D$7,SUMIF($BH$3:$CE$3,"="&amp;$DF43+'Model Setup'!$D$7,$AD43:$BA43)+'Model Setup'!$D$8*(SUMIF($BH$3:$CE$3,"&lt;"&amp;$DF43,$AD43:$BA43)+SUMIF($BH$3:$CE$3,"&gt;"&amp;$CW$4,$AD43:$BA43)),
IF(BO$3=$DF43+'Model Setup'!$E$7,SUMIF($BH$3:$CE$3,"="&amp;$DF43+'Model Setup'!$E$7,$AD43:$BA43)+'Model Setup'!$E$8*(SUMIF($BH$3:$CE$3,"&lt;"&amp;$DF43,$AD43:$BA43)+SUMIF($BH$3:$CE$3,"&gt;"&amp;$CW$4,$AD43:$BA43)),
IF(BO$3=$DF43+'Model Setup'!$F$7,SUMIF($BH$3:$CE$3,"="&amp;$DF43+'Model Setup'!$F$7,$AD43:$BA43)+'Model Setup'!$F$8*(SUMIF($BH$3:$CE$3,"&lt;"&amp;$DF43,$AD43:$BA43)+SUMIF($BH$3:$CE$3,"&gt;"&amp;$CW$4,$AD43:$BA43)),
IF(BO$3=$DF43+'Model Setup'!$G$7,SUMIF($BH$3:$CE$3,"="&amp;$DF43+'Model Setup'!$G$7,$AD43:$BA43)+'Model Setup'!$G$8*(SUMIF($BH$3:$CE$3,"&lt;"&amp;$DF43,$AD43:$BA43)+SUMIF($BH$3:$CE$3,"&gt;"&amp;$CW$4,$AD43:$BA43)),
IF(BO$3=$DF43+'Model Setup'!$H$7,SUMIF($BH$3:$CE$3,"="&amp;$DF43+'Model Setup'!$H$7,$AD43:$BA43)+'Model Setup'!$H$8*(SUMIF($BH$3:$CE$3,"&lt;"&amp;$DF43,$AD43:$BA43)+SUMIF($BH$3:$CE$3,"&gt;"&amp;$CW$4,$AD43:$BA43)),
IF(BO$3=$DF43+'Model Setup'!$I$7,SUMIF($BH$3:$CE$3,"="&amp;$DF43+'Model Setup'!$I$7,$AD43:$BA43)+'Model Setup'!$I$8*(SUMIF($BH$3:$CE$3,"&lt;"&amp;$DF43,$AD43:$BA43)+SUMIF($BH$3:$CE$3,"&gt;"&amp;$CW$4,$AD43:$BA43)),
IF(BO$3=$DF43+'Model Setup'!$J$7,SUMIF($BH$3:$CE$3,"="&amp;$DF43+'Model Setup'!$J$7,$AD43:$BA43)+'Model Setup'!$J$8*(SUMIF($BH$3:$CE$3,"&lt;"&amp;$DF43,$AD43:$BA43)+SUMIF($BH$3:$CE$3,"&gt;"&amp;$CW$4,$AD43:$BA43)),
IF(BO$3=$DF43+'Model Setup'!$K$7,SUMIF($BH$3:$CE$3,"="&amp;$DF43+'Model Setup'!$K$7,$AD43:$BA43)+'Model Setup'!$K$8*(SUMIF($BH$3:$CE$3,"&lt;"&amp;$DF43,$AD43:$BA43)+SUMIF($BH$3:$CE$3,"&gt;"&amp;$CW$4,$AD43:$BA43)),
IF(BO$3=$DF43+'Model Setup'!$L$7,SUMIF($BH$3:$CE$3,"="&amp;$DF43+'Model Setup'!$L$7,$AD43:$BA43)+'Model Setup'!$L$8*(SUMIF($BH$3:$CE$3,"&lt;"&amp;$DF43,$AD43:$BA43)+SUMIF($BH$3:$CE$3,"&gt;"&amp;$CW$4,$AD43:$BA43)),
IF(BO$3=$DF43+'Model Setup'!$M$7,SUMIF($BH$3:$CE$3,"="&amp;$DF43+'Model Setup'!$M$7,$AD43:$BA43)+'Model Setup'!$M$8*(SUMIF($BH$3:$CE$3,"&lt;"&amp;$DF43,$AD43:$BA43)+SUMIF($BH$3:$CE$3,"&gt;"&amp;$CW$4,$AD43:$BA43)),
IF(BO$3=$DF43+'Model Setup'!$N$7,SUMIF($BH$3:$CE$3,"="&amp;$DF43+'Model Setup'!$N$7,$AD43:$BA43)+'Model Setup'!$N$8*(SUMIF($BH$3:$CE$3,"&lt;"&amp;$DF43,$AD43:$BA43)+SUMIF($BH$3:$CE$3,"&gt;"&amp;$CW$4,$AD43:$BA43)),
IF(BO$3&lt;$CW$4,I43,0))))))))))))))),0)</f>
        <v>176</v>
      </c>
      <c r="BP43" s="47">
        <f>ROUND(IF(OR(BP$3&lt;$DF43,BP$3&gt;$CW$4),0,
IF(BP$3=$DF43+'Model Setup'!$B$7,SUMIF($BH$3:$CE$3,"="&amp;$DF43+'Model Setup'!$B$7,$AD43:$BA43)+'Model Setup'!$B$8*(SUMIF($BH$3:$CE$3,"&lt;"&amp;$DF43,$AD43:$BA43)+SUMIF($BH$3:$CE$3,"&gt;"&amp;$CW$4,$AD43:$BA43)),
IF(BP$3=$DF43+'Model Setup'!$C$7,SUMIF($BH$3:$CE$3,"="&amp;$DF43+'Model Setup'!$C$7,$AD43:$BA43)+'Model Setup'!$C$8*(SUMIF($BH$3:$CE$3,"&lt;"&amp;$DF43,$AD43:$BA43)+SUMIF($BH$3:$CE$3,"&gt;"&amp;$CW$4,$AD43:$BA43)),
IF(BP$3=$DF43+'Model Setup'!$D$7,SUMIF($BH$3:$CE$3,"="&amp;$DF43+'Model Setup'!$D$7,$AD43:$BA43)+'Model Setup'!$D$8*(SUMIF($BH$3:$CE$3,"&lt;"&amp;$DF43,$AD43:$BA43)+SUMIF($BH$3:$CE$3,"&gt;"&amp;$CW$4,$AD43:$BA43)),
IF(BP$3=$DF43+'Model Setup'!$E$7,SUMIF($BH$3:$CE$3,"="&amp;$DF43+'Model Setup'!$E$7,$AD43:$BA43)+'Model Setup'!$E$8*(SUMIF($BH$3:$CE$3,"&lt;"&amp;$DF43,$AD43:$BA43)+SUMIF($BH$3:$CE$3,"&gt;"&amp;$CW$4,$AD43:$BA43)),
IF(BP$3=$DF43+'Model Setup'!$F$7,SUMIF($BH$3:$CE$3,"="&amp;$DF43+'Model Setup'!$F$7,$AD43:$BA43)+'Model Setup'!$F$8*(SUMIF($BH$3:$CE$3,"&lt;"&amp;$DF43,$AD43:$BA43)+SUMIF($BH$3:$CE$3,"&gt;"&amp;$CW$4,$AD43:$BA43)),
IF(BP$3=$DF43+'Model Setup'!$G$7,SUMIF($BH$3:$CE$3,"="&amp;$DF43+'Model Setup'!$G$7,$AD43:$BA43)+'Model Setup'!$G$8*(SUMIF($BH$3:$CE$3,"&lt;"&amp;$DF43,$AD43:$BA43)+SUMIF($BH$3:$CE$3,"&gt;"&amp;$CW$4,$AD43:$BA43)),
IF(BP$3=$DF43+'Model Setup'!$H$7,SUMIF($BH$3:$CE$3,"="&amp;$DF43+'Model Setup'!$H$7,$AD43:$BA43)+'Model Setup'!$H$8*(SUMIF($BH$3:$CE$3,"&lt;"&amp;$DF43,$AD43:$BA43)+SUMIF($BH$3:$CE$3,"&gt;"&amp;$CW$4,$AD43:$BA43)),
IF(BP$3=$DF43+'Model Setup'!$I$7,SUMIF($BH$3:$CE$3,"="&amp;$DF43+'Model Setup'!$I$7,$AD43:$BA43)+'Model Setup'!$I$8*(SUMIF($BH$3:$CE$3,"&lt;"&amp;$DF43,$AD43:$BA43)+SUMIF($BH$3:$CE$3,"&gt;"&amp;$CW$4,$AD43:$BA43)),
IF(BP$3=$DF43+'Model Setup'!$J$7,SUMIF($BH$3:$CE$3,"="&amp;$DF43+'Model Setup'!$J$7,$AD43:$BA43)+'Model Setup'!$J$8*(SUMIF($BH$3:$CE$3,"&lt;"&amp;$DF43,$AD43:$BA43)+SUMIF($BH$3:$CE$3,"&gt;"&amp;$CW$4,$AD43:$BA43)),
IF(BP$3=$DF43+'Model Setup'!$K$7,SUMIF($BH$3:$CE$3,"="&amp;$DF43+'Model Setup'!$K$7,$AD43:$BA43)+'Model Setup'!$K$8*(SUMIF($BH$3:$CE$3,"&lt;"&amp;$DF43,$AD43:$BA43)+SUMIF($BH$3:$CE$3,"&gt;"&amp;$CW$4,$AD43:$BA43)),
IF(BP$3=$DF43+'Model Setup'!$L$7,SUMIF($BH$3:$CE$3,"="&amp;$DF43+'Model Setup'!$L$7,$AD43:$BA43)+'Model Setup'!$L$8*(SUMIF($BH$3:$CE$3,"&lt;"&amp;$DF43,$AD43:$BA43)+SUMIF($BH$3:$CE$3,"&gt;"&amp;$CW$4,$AD43:$BA43)),
IF(BP$3=$DF43+'Model Setup'!$M$7,SUMIF($BH$3:$CE$3,"="&amp;$DF43+'Model Setup'!$M$7,$AD43:$BA43)+'Model Setup'!$M$8*(SUMIF($BH$3:$CE$3,"&lt;"&amp;$DF43,$AD43:$BA43)+SUMIF($BH$3:$CE$3,"&gt;"&amp;$CW$4,$AD43:$BA43)),
IF(BP$3=$DF43+'Model Setup'!$N$7,SUMIF($BH$3:$CE$3,"="&amp;$DF43+'Model Setup'!$N$7,$AD43:$BA43)+'Model Setup'!$N$8*(SUMIF($BH$3:$CE$3,"&lt;"&amp;$DF43,$AD43:$BA43)+SUMIF($BH$3:$CE$3,"&gt;"&amp;$CW$4,$AD43:$BA43)),
IF(BP$3&lt;$CW$4,J43,0))))))))))))))),0)</f>
        <v>194</v>
      </c>
      <c r="BQ43" s="47">
        <f>ROUND(IF(OR(BQ$3&lt;$DF43,BQ$3&gt;$CW$4),0,
IF(BQ$3=$DF43+'Model Setup'!$B$7,SUMIF($BH$3:$CE$3,"="&amp;$DF43+'Model Setup'!$B$7,$AD43:$BA43)+'Model Setup'!$B$8*(SUMIF($BH$3:$CE$3,"&lt;"&amp;$DF43,$AD43:$BA43)+SUMIF($BH$3:$CE$3,"&gt;"&amp;$CW$4,$AD43:$BA43)),
IF(BQ$3=$DF43+'Model Setup'!$C$7,SUMIF($BH$3:$CE$3,"="&amp;$DF43+'Model Setup'!$C$7,$AD43:$BA43)+'Model Setup'!$C$8*(SUMIF($BH$3:$CE$3,"&lt;"&amp;$DF43,$AD43:$BA43)+SUMIF($BH$3:$CE$3,"&gt;"&amp;$CW$4,$AD43:$BA43)),
IF(BQ$3=$DF43+'Model Setup'!$D$7,SUMIF($BH$3:$CE$3,"="&amp;$DF43+'Model Setup'!$D$7,$AD43:$BA43)+'Model Setup'!$D$8*(SUMIF($BH$3:$CE$3,"&lt;"&amp;$DF43,$AD43:$BA43)+SUMIF($BH$3:$CE$3,"&gt;"&amp;$CW$4,$AD43:$BA43)),
IF(BQ$3=$DF43+'Model Setup'!$E$7,SUMIF($BH$3:$CE$3,"="&amp;$DF43+'Model Setup'!$E$7,$AD43:$BA43)+'Model Setup'!$E$8*(SUMIF($BH$3:$CE$3,"&lt;"&amp;$DF43,$AD43:$BA43)+SUMIF($BH$3:$CE$3,"&gt;"&amp;$CW$4,$AD43:$BA43)),
IF(BQ$3=$DF43+'Model Setup'!$F$7,SUMIF($BH$3:$CE$3,"="&amp;$DF43+'Model Setup'!$F$7,$AD43:$BA43)+'Model Setup'!$F$8*(SUMIF($BH$3:$CE$3,"&lt;"&amp;$DF43,$AD43:$BA43)+SUMIF($BH$3:$CE$3,"&gt;"&amp;$CW$4,$AD43:$BA43)),
IF(BQ$3=$DF43+'Model Setup'!$G$7,SUMIF($BH$3:$CE$3,"="&amp;$DF43+'Model Setup'!$G$7,$AD43:$BA43)+'Model Setup'!$G$8*(SUMIF($BH$3:$CE$3,"&lt;"&amp;$DF43,$AD43:$BA43)+SUMIF($BH$3:$CE$3,"&gt;"&amp;$CW$4,$AD43:$BA43)),
IF(BQ$3=$DF43+'Model Setup'!$H$7,SUMIF($BH$3:$CE$3,"="&amp;$DF43+'Model Setup'!$H$7,$AD43:$BA43)+'Model Setup'!$H$8*(SUMIF($BH$3:$CE$3,"&lt;"&amp;$DF43,$AD43:$BA43)+SUMIF($BH$3:$CE$3,"&gt;"&amp;$CW$4,$AD43:$BA43)),
IF(BQ$3=$DF43+'Model Setup'!$I$7,SUMIF($BH$3:$CE$3,"="&amp;$DF43+'Model Setup'!$I$7,$AD43:$BA43)+'Model Setup'!$I$8*(SUMIF($BH$3:$CE$3,"&lt;"&amp;$DF43,$AD43:$BA43)+SUMIF($BH$3:$CE$3,"&gt;"&amp;$CW$4,$AD43:$BA43)),
IF(BQ$3=$DF43+'Model Setup'!$J$7,SUMIF($BH$3:$CE$3,"="&amp;$DF43+'Model Setup'!$J$7,$AD43:$BA43)+'Model Setup'!$J$8*(SUMIF($BH$3:$CE$3,"&lt;"&amp;$DF43,$AD43:$BA43)+SUMIF($BH$3:$CE$3,"&gt;"&amp;$CW$4,$AD43:$BA43)),
IF(BQ$3=$DF43+'Model Setup'!$K$7,SUMIF($BH$3:$CE$3,"="&amp;$DF43+'Model Setup'!$K$7,$AD43:$BA43)+'Model Setup'!$K$8*(SUMIF($BH$3:$CE$3,"&lt;"&amp;$DF43,$AD43:$BA43)+SUMIF($BH$3:$CE$3,"&gt;"&amp;$CW$4,$AD43:$BA43)),
IF(BQ$3=$DF43+'Model Setup'!$L$7,SUMIF($BH$3:$CE$3,"="&amp;$DF43+'Model Setup'!$L$7,$AD43:$BA43)+'Model Setup'!$L$8*(SUMIF($BH$3:$CE$3,"&lt;"&amp;$DF43,$AD43:$BA43)+SUMIF($BH$3:$CE$3,"&gt;"&amp;$CW$4,$AD43:$BA43)),
IF(BQ$3=$DF43+'Model Setup'!$M$7,SUMIF($BH$3:$CE$3,"="&amp;$DF43+'Model Setup'!$M$7,$AD43:$BA43)+'Model Setup'!$M$8*(SUMIF($BH$3:$CE$3,"&lt;"&amp;$DF43,$AD43:$BA43)+SUMIF($BH$3:$CE$3,"&gt;"&amp;$CW$4,$AD43:$BA43)),
IF(BQ$3=$DF43+'Model Setup'!$N$7,SUMIF($BH$3:$CE$3,"="&amp;$DF43+'Model Setup'!$N$7,$AD43:$BA43)+'Model Setup'!$N$8*(SUMIF($BH$3:$CE$3,"&lt;"&amp;$DF43,$AD43:$BA43)+SUMIF($BH$3:$CE$3,"&gt;"&amp;$CW$4,$AD43:$BA43)),
IF(BQ$3&lt;$CW$4,K43,0))))))))))))))),0)</f>
        <v>181</v>
      </c>
      <c r="BR43" s="47">
        <f>ROUND(IF(OR(BR$3&lt;$DF43,BR$3&gt;$CW$4),0,
IF(BR$3=$DF43+'Model Setup'!$B$7,SUMIF($BH$3:$CE$3,"="&amp;$DF43+'Model Setup'!$B$7,$AD43:$BA43)+'Model Setup'!$B$8*(SUMIF($BH$3:$CE$3,"&lt;"&amp;$DF43,$AD43:$BA43)+SUMIF($BH$3:$CE$3,"&gt;"&amp;$CW$4,$AD43:$BA43)),
IF(BR$3=$DF43+'Model Setup'!$C$7,SUMIF($BH$3:$CE$3,"="&amp;$DF43+'Model Setup'!$C$7,$AD43:$BA43)+'Model Setup'!$C$8*(SUMIF($BH$3:$CE$3,"&lt;"&amp;$DF43,$AD43:$BA43)+SUMIF($BH$3:$CE$3,"&gt;"&amp;$CW$4,$AD43:$BA43)),
IF(BR$3=$DF43+'Model Setup'!$D$7,SUMIF($BH$3:$CE$3,"="&amp;$DF43+'Model Setup'!$D$7,$AD43:$BA43)+'Model Setup'!$D$8*(SUMIF($BH$3:$CE$3,"&lt;"&amp;$DF43,$AD43:$BA43)+SUMIF($BH$3:$CE$3,"&gt;"&amp;$CW$4,$AD43:$BA43)),
IF(BR$3=$DF43+'Model Setup'!$E$7,SUMIF($BH$3:$CE$3,"="&amp;$DF43+'Model Setup'!$E$7,$AD43:$BA43)+'Model Setup'!$E$8*(SUMIF($BH$3:$CE$3,"&lt;"&amp;$DF43,$AD43:$BA43)+SUMIF($BH$3:$CE$3,"&gt;"&amp;$CW$4,$AD43:$BA43)),
IF(BR$3=$DF43+'Model Setup'!$F$7,SUMIF($BH$3:$CE$3,"="&amp;$DF43+'Model Setup'!$F$7,$AD43:$BA43)+'Model Setup'!$F$8*(SUMIF($BH$3:$CE$3,"&lt;"&amp;$DF43,$AD43:$BA43)+SUMIF($BH$3:$CE$3,"&gt;"&amp;$CW$4,$AD43:$BA43)),
IF(BR$3=$DF43+'Model Setup'!$G$7,SUMIF($BH$3:$CE$3,"="&amp;$DF43+'Model Setup'!$G$7,$AD43:$BA43)+'Model Setup'!$G$8*(SUMIF($BH$3:$CE$3,"&lt;"&amp;$DF43,$AD43:$BA43)+SUMIF($BH$3:$CE$3,"&gt;"&amp;$CW$4,$AD43:$BA43)),
IF(BR$3=$DF43+'Model Setup'!$H$7,SUMIF($BH$3:$CE$3,"="&amp;$DF43+'Model Setup'!$H$7,$AD43:$BA43)+'Model Setup'!$H$8*(SUMIF($BH$3:$CE$3,"&lt;"&amp;$DF43,$AD43:$BA43)+SUMIF($BH$3:$CE$3,"&gt;"&amp;$CW$4,$AD43:$BA43)),
IF(BR$3=$DF43+'Model Setup'!$I$7,SUMIF($BH$3:$CE$3,"="&amp;$DF43+'Model Setup'!$I$7,$AD43:$BA43)+'Model Setup'!$I$8*(SUMIF($BH$3:$CE$3,"&lt;"&amp;$DF43,$AD43:$BA43)+SUMIF($BH$3:$CE$3,"&gt;"&amp;$CW$4,$AD43:$BA43)),
IF(BR$3=$DF43+'Model Setup'!$J$7,SUMIF($BH$3:$CE$3,"="&amp;$DF43+'Model Setup'!$J$7,$AD43:$BA43)+'Model Setup'!$J$8*(SUMIF($BH$3:$CE$3,"&lt;"&amp;$DF43,$AD43:$BA43)+SUMIF($BH$3:$CE$3,"&gt;"&amp;$CW$4,$AD43:$BA43)),
IF(BR$3=$DF43+'Model Setup'!$K$7,SUMIF($BH$3:$CE$3,"="&amp;$DF43+'Model Setup'!$K$7,$AD43:$BA43)+'Model Setup'!$K$8*(SUMIF($BH$3:$CE$3,"&lt;"&amp;$DF43,$AD43:$BA43)+SUMIF($BH$3:$CE$3,"&gt;"&amp;$CW$4,$AD43:$BA43)),
IF(BR$3=$DF43+'Model Setup'!$L$7,SUMIF($BH$3:$CE$3,"="&amp;$DF43+'Model Setup'!$L$7,$AD43:$BA43)+'Model Setup'!$L$8*(SUMIF($BH$3:$CE$3,"&lt;"&amp;$DF43,$AD43:$BA43)+SUMIF($BH$3:$CE$3,"&gt;"&amp;$CW$4,$AD43:$BA43)),
IF(BR$3=$DF43+'Model Setup'!$M$7,SUMIF($BH$3:$CE$3,"="&amp;$DF43+'Model Setup'!$M$7,$AD43:$BA43)+'Model Setup'!$M$8*(SUMIF($BH$3:$CE$3,"&lt;"&amp;$DF43,$AD43:$BA43)+SUMIF($BH$3:$CE$3,"&gt;"&amp;$CW$4,$AD43:$BA43)),
IF(BR$3=$DF43+'Model Setup'!$N$7,SUMIF($BH$3:$CE$3,"="&amp;$DF43+'Model Setup'!$N$7,$AD43:$BA43)+'Model Setup'!$N$8*(SUMIF($BH$3:$CE$3,"&lt;"&amp;$DF43,$AD43:$BA43)+SUMIF($BH$3:$CE$3,"&gt;"&amp;$CW$4,$AD43:$BA43)),
IF(BR$3&lt;$CW$4,L43,0))))))))))))))),0)</f>
        <v>145</v>
      </c>
      <c r="BS43" s="47">
        <f>ROUND(IF(OR(BS$3&lt;$DF43,BS$3&gt;$CW$4),0,
IF(BS$3=$DF43+'Model Setup'!$B$7,SUMIF($BH$3:$CE$3,"="&amp;$DF43+'Model Setup'!$B$7,$AD43:$BA43)+'Model Setup'!$B$8*(SUMIF($BH$3:$CE$3,"&lt;"&amp;$DF43,$AD43:$BA43)+SUMIF($BH$3:$CE$3,"&gt;"&amp;$CW$4,$AD43:$BA43)),
IF(BS$3=$DF43+'Model Setup'!$C$7,SUMIF($BH$3:$CE$3,"="&amp;$DF43+'Model Setup'!$C$7,$AD43:$BA43)+'Model Setup'!$C$8*(SUMIF($BH$3:$CE$3,"&lt;"&amp;$DF43,$AD43:$BA43)+SUMIF($BH$3:$CE$3,"&gt;"&amp;$CW$4,$AD43:$BA43)),
IF(BS$3=$DF43+'Model Setup'!$D$7,SUMIF($BH$3:$CE$3,"="&amp;$DF43+'Model Setup'!$D$7,$AD43:$BA43)+'Model Setup'!$D$8*(SUMIF($BH$3:$CE$3,"&lt;"&amp;$DF43,$AD43:$BA43)+SUMIF($BH$3:$CE$3,"&gt;"&amp;$CW$4,$AD43:$BA43)),
IF(BS$3=$DF43+'Model Setup'!$E$7,SUMIF($BH$3:$CE$3,"="&amp;$DF43+'Model Setup'!$E$7,$AD43:$BA43)+'Model Setup'!$E$8*(SUMIF($BH$3:$CE$3,"&lt;"&amp;$DF43,$AD43:$BA43)+SUMIF($BH$3:$CE$3,"&gt;"&amp;$CW$4,$AD43:$BA43)),
IF(BS$3=$DF43+'Model Setup'!$F$7,SUMIF($BH$3:$CE$3,"="&amp;$DF43+'Model Setup'!$F$7,$AD43:$BA43)+'Model Setup'!$F$8*(SUMIF($BH$3:$CE$3,"&lt;"&amp;$DF43,$AD43:$BA43)+SUMIF($BH$3:$CE$3,"&gt;"&amp;$CW$4,$AD43:$BA43)),
IF(BS$3=$DF43+'Model Setup'!$G$7,SUMIF($BH$3:$CE$3,"="&amp;$DF43+'Model Setup'!$G$7,$AD43:$BA43)+'Model Setup'!$G$8*(SUMIF($BH$3:$CE$3,"&lt;"&amp;$DF43,$AD43:$BA43)+SUMIF($BH$3:$CE$3,"&gt;"&amp;$CW$4,$AD43:$BA43)),
IF(BS$3=$DF43+'Model Setup'!$H$7,SUMIF($BH$3:$CE$3,"="&amp;$DF43+'Model Setup'!$H$7,$AD43:$BA43)+'Model Setup'!$H$8*(SUMIF($BH$3:$CE$3,"&lt;"&amp;$DF43,$AD43:$BA43)+SUMIF($BH$3:$CE$3,"&gt;"&amp;$CW$4,$AD43:$BA43)),
IF(BS$3=$DF43+'Model Setup'!$I$7,SUMIF($BH$3:$CE$3,"="&amp;$DF43+'Model Setup'!$I$7,$AD43:$BA43)+'Model Setup'!$I$8*(SUMIF($BH$3:$CE$3,"&lt;"&amp;$DF43,$AD43:$BA43)+SUMIF($BH$3:$CE$3,"&gt;"&amp;$CW$4,$AD43:$BA43)),
IF(BS$3=$DF43+'Model Setup'!$J$7,SUMIF($BH$3:$CE$3,"="&amp;$DF43+'Model Setup'!$J$7,$AD43:$BA43)+'Model Setup'!$J$8*(SUMIF($BH$3:$CE$3,"&lt;"&amp;$DF43,$AD43:$BA43)+SUMIF($BH$3:$CE$3,"&gt;"&amp;$CW$4,$AD43:$BA43)),
IF(BS$3=$DF43+'Model Setup'!$K$7,SUMIF($BH$3:$CE$3,"="&amp;$DF43+'Model Setup'!$K$7,$AD43:$BA43)+'Model Setup'!$K$8*(SUMIF($BH$3:$CE$3,"&lt;"&amp;$DF43,$AD43:$BA43)+SUMIF($BH$3:$CE$3,"&gt;"&amp;$CW$4,$AD43:$BA43)),
IF(BS$3=$DF43+'Model Setup'!$L$7,SUMIF($BH$3:$CE$3,"="&amp;$DF43+'Model Setup'!$L$7,$AD43:$BA43)+'Model Setup'!$L$8*(SUMIF($BH$3:$CE$3,"&lt;"&amp;$DF43,$AD43:$BA43)+SUMIF($BH$3:$CE$3,"&gt;"&amp;$CW$4,$AD43:$BA43)),
IF(BS$3=$DF43+'Model Setup'!$M$7,SUMIF($BH$3:$CE$3,"="&amp;$DF43+'Model Setup'!$M$7,$AD43:$BA43)+'Model Setup'!$M$8*(SUMIF($BH$3:$CE$3,"&lt;"&amp;$DF43,$AD43:$BA43)+SUMIF($BH$3:$CE$3,"&gt;"&amp;$CW$4,$AD43:$BA43)),
IF(BS$3=$DF43+'Model Setup'!$N$7,SUMIF($BH$3:$CE$3,"="&amp;$DF43+'Model Setup'!$N$7,$AD43:$BA43)+'Model Setup'!$N$8*(SUMIF($BH$3:$CE$3,"&lt;"&amp;$DF43,$AD43:$BA43)+SUMIF($BH$3:$CE$3,"&gt;"&amp;$CW$4,$AD43:$BA43)),
IF(BS$3&lt;$CW$4,M43,0))))))))))))))),0)</f>
        <v>149</v>
      </c>
      <c r="BT43" s="47">
        <f>ROUND(IF(OR(BT$3&lt;$DF43,BT$3&gt;$CW$4),0,
IF(BT$3=$DF43+'Model Setup'!$B$7,SUMIF($BH$3:$CE$3,"="&amp;$DF43+'Model Setup'!$B$7,$AD43:$BA43)+'Model Setup'!$B$8*(SUMIF($BH$3:$CE$3,"&lt;"&amp;$DF43,$AD43:$BA43)+SUMIF($BH$3:$CE$3,"&gt;"&amp;$CW$4,$AD43:$BA43)),
IF(BT$3=$DF43+'Model Setup'!$C$7,SUMIF($BH$3:$CE$3,"="&amp;$DF43+'Model Setup'!$C$7,$AD43:$BA43)+'Model Setup'!$C$8*(SUMIF($BH$3:$CE$3,"&lt;"&amp;$DF43,$AD43:$BA43)+SUMIF($BH$3:$CE$3,"&gt;"&amp;$CW$4,$AD43:$BA43)),
IF(BT$3=$DF43+'Model Setup'!$D$7,SUMIF($BH$3:$CE$3,"="&amp;$DF43+'Model Setup'!$D$7,$AD43:$BA43)+'Model Setup'!$D$8*(SUMIF($BH$3:$CE$3,"&lt;"&amp;$DF43,$AD43:$BA43)+SUMIF($BH$3:$CE$3,"&gt;"&amp;$CW$4,$AD43:$BA43)),
IF(BT$3=$DF43+'Model Setup'!$E$7,SUMIF($BH$3:$CE$3,"="&amp;$DF43+'Model Setup'!$E$7,$AD43:$BA43)+'Model Setup'!$E$8*(SUMIF($BH$3:$CE$3,"&lt;"&amp;$DF43,$AD43:$BA43)+SUMIF($BH$3:$CE$3,"&gt;"&amp;$CW$4,$AD43:$BA43)),
IF(BT$3=$DF43+'Model Setup'!$F$7,SUMIF($BH$3:$CE$3,"="&amp;$DF43+'Model Setup'!$F$7,$AD43:$BA43)+'Model Setup'!$F$8*(SUMIF($BH$3:$CE$3,"&lt;"&amp;$DF43,$AD43:$BA43)+SUMIF($BH$3:$CE$3,"&gt;"&amp;$CW$4,$AD43:$BA43)),
IF(BT$3=$DF43+'Model Setup'!$G$7,SUMIF($BH$3:$CE$3,"="&amp;$DF43+'Model Setup'!$G$7,$AD43:$BA43)+'Model Setup'!$G$8*(SUMIF($BH$3:$CE$3,"&lt;"&amp;$DF43,$AD43:$BA43)+SUMIF($BH$3:$CE$3,"&gt;"&amp;$CW$4,$AD43:$BA43)),
IF(BT$3=$DF43+'Model Setup'!$H$7,SUMIF($BH$3:$CE$3,"="&amp;$DF43+'Model Setup'!$H$7,$AD43:$BA43)+'Model Setup'!$H$8*(SUMIF($BH$3:$CE$3,"&lt;"&amp;$DF43,$AD43:$BA43)+SUMIF($BH$3:$CE$3,"&gt;"&amp;$CW$4,$AD43:$BA43)),
IF(BT$3=$DF43+'Model Setup'!$I$7,SUMIF($BH$3:$CE$3,"="&amp;$DF43+'Model Setup'!$I$7,$AD43:$BA43)+'Model Setup'!$I$8*(SUMIF($BH$3:$CE$3,"&lt;"&amp;$DF43,$AD43:$BA43)+SUMIF($BH$3:$CE$3,"&gt;"&amp;$CW$4,$AD43:$BA43)),
IF(BT$3=$DF43+'Model Setup'!$J$7,SUMIF($BH$3:$CE$3,"="&amp;$DF43+'Model Setup'!$J$7,$AD43:$BA43)+'Model Setup'!$J$8*(SUMIF($BH$3:$CE$3,"&lt;"&amp;$DF43,$AD43:$BA43)+SUMIF($BH$3:$CE$3,"&gt;"&amp;$CW$4,$AD43:$BA43)),
IF(BT$3=$DF43+'Model Setup'!$K$7,SUMIF($BH$3:$CE$3,"="&amp;$DF43+'Model Setup'!$K$7,$AD43:$BA43)+'Model Setup'!$K$8*(SUMIF($BH$3:$CE$3,"&lt;"&amp;$DF43,$AD43:$BA43)+SUMIF($BH$3:$CE$3,"&gt;"&amp;$CW$4,$AD43:$BA43)),
IF(BT$3=$DF43+'Model Setup'!$L$7,SUMIF($BH$3:$CE$3,"="&amp;$DF43+'Model Setup'!$L$7,$AD43:$BA43)+'Model Setup'!$L$8*(SUMIF($BH$3:$CE$3,"&lt;"&amp;$DF43,$AD43:$BA43)+SUMIF($BH$3:$CE$3,"&gt;"&amp;$CW$4,$AD43:$BA43)),
IF(BT$3=$DF43+'Model Setup'!$M$7,SUMIF($BH$3:$CE$3,"="&amp;$DF43+'Model Setup'!$M$7,$AD43:$BA43)+'Model Setup'!$M$8*(SUMIF($BH$3:$CE$3,"&lt;"&amp;$DF43,$AD43:$BA43)+SUMIF($BH$3:$CE$3,"&gt;"&amp;$CW$4,$AD43:$BA43)),
IF(BT$3=$DF43+'Model Setup'!$N$7,SUMIF($BH$3:$CE$3,"="&amp;$DF43+'Model Setup'!$N$7,$AD43:$BA43)+'Model Setup'!$N$8*(SUMIF($BH$3:$CE$3,"&lt;"&amp;$DF43,$AD43:$BA43)+SUMIF($BH$3:$CE$3,"&gt;"&amp;$CW$4,$AD43:$BA43)),
IF(BT$3&lt;$CW$4,N43,0))))))))))))))),0)</f>
        <v>107</v>
      </c>
      <c r="BU43" s="47">
        <f>ROUND(IF(OR(BU$3&lt;$DF43,BU$3&gt;$CW$4),0,
IF(BU$3=$DF43+'Model Setup'!$B$7,SUMIF($BH$3:$CE$3,"="&amp;$DF43+'Model Setup'!$B$7,$AD43:$BA43)+'Model Setup'!$B$8*(SUMIF($BH$3:$CE$3,"&lt;"&amp;$DF43,$AD43:$BA43)+SUMIF($BH$3:$CE$3,"&gt;"&amp;$CW$4,$AD43:$BA43)),
IF(BU$3=$DF43+'Model Setup'!$C$7,SUMIF($BH$3:$CE$3,"="&amp;$DF43+'Model Setup'!$C$7,$AD43:$BA43)+'Model Setup'!$C$8*(SUMIF($BH$3:$CE$3,"&lt;"&amp;$DF43,$AD43:$BA43)+SUMIF($BH$3:$CE$3,"&gt;"&amp;$CW$4,$AD43:$BA43)),
IF(BU$3=$DF43+'Model Setup'!$D$7,SUMIF($BH$3:$CE$3,"="&amp;$DF43+'Model Setup'!$D$7,$AD43:$BA43)+'Model Setup'!$D$8*(SUMIF($BH$3:$CE$3,"&lt;"&amp;$DF43,$AD43:$BA43)+SUMIF($BH$3:$CE$3,"&gt;"&amp;$CW$4,$AD43:$BA43)),
IF(BU$3=$DF43+'Model Setup'!$E$7,SUMIF($BH$3:$CE$3,"="&amp;$DF43+'Model Setup'!$E$7,$AD43:$BA43)+'Model Setup'!$E$8*(SUMIF($BH$3:$CE$3,"&lt;"&amp;$DF43,$AD43:$BA43)+SUMIF($BH$3:$CE$3,"&gt;"&amp;$CW$4,$AD43:$BA43)),
IF(BU$3=$DF43+'Model Setup'!$F$7,SUMIF($BH$3:$CE$3,"="&amp;$DF43+'Model Setup'!$F$7,$AD43:$BA43)+'Model Setup'!$F$8*(SUMIF($BH$3:$CE$3,"&lt;"&amp;$DF43,$AD43:$BA43)+SUMIF($BH$3:$CE$3,"&gt;"&amp;$CW$4,$AD43:$BA43)),
IF(BU$3=$DF43+'Model Setup'!$G$7,SUMIF($BH$3:$CE$3,"="&amp;$DF43+'Model Setup'!$G$7,$AD43:$BA43)+'Model Setup'!$G$8*(SUMIF($BH$3:$CE$3,"&lt;"&amp;$DF43,$AD43:$BA43)+SUMIF($BH$3:$CE$3,"&gt;"&amp;$CW$4,$AD43:$BA43)),
IF(BU$3=$DF43+'Model Setup'!$H$7,SUMIF($BH$3:$CE$3,"="&amp;$DF43+'Model Setup'!$H$7,$AD43:$BA43)+'Model Setup'!$H$8*(SUMIF($BH$3:$CE$3,"&lt;"&amp;$DF43,$AD43:$BA43)+SUMIF($BH$3:$CE$3,"&gt;"&amp;$CW$4,$AD43:$BA43)),
IF(BU$3=$DF43+'Model Setup'!$I$7,SUMIF($BH$3:$CE$3,"="&amp;$DF43+'Model Setup'!$I$7,$AD43:$BA43)+'Model Setup'!$I$8*(SUMIF($BH$3:$CE$3,"&lt;"&amp;$DF43,$AD43:$BA43)+SUMIF($BH$3:$CE$3,"&gt;"&amp;$CW$4,$AD43:$BA43)),
IF(BU$3=$DF43+'Model Setup'!$J$7,SUMIF($BH$3:$CE$3,"="&amp;$DF43+'Model Setup'!$J$7,$AD43:$BA43)+'Model Setup'!$J$8*(SUMIF($BH$3:$CE$3,"&lt;"&amp;$DF43,$AD43:$BA43)+SUMIF($BH$3:$CE$3,"&gt;"&amp;$CW$4,$AD43:$BA43)),
IF(BU$3=$DF43+'Model Setup'!$K$7,SUMIF($BH$3:$CE$3,"="&amp;$DF43+'Model Setup'!$K$7,$AD43:$BA43)+'Model Setup'!$K$8*(SUMIF($BH$3:$CE$3,"&lt;"&amp;$DF43,$AD43:$BA43)+SUMIF($BH$3:$CE$3,"&gt;"&amp;$CW$4,$AD43:$BA43)),
IF(BU$3=$DF43+'Model Setup'!$L$7,SUMIF($BH$3:$CE$3,"="&amp;$DF43+'Model Setup'!$L$7,$AD43:$BA43)+'Model Setup'!$L$8*(SUMIF($BH$3:$CE$3,"&lt;"&amp;$DF43,$AD43:$BA43)+SUMIF($BH$3:$CE$3,"&gt;"&amp;$CW$4,$AD43:$BA43)),
IF(BU$3=$DF43+'Model Setup'!$M$7,SUMIF($BH$3:$CE$3,"="&amp;$DF43+'Model Setup'!$M$7,$AD43:$BA43)+'Model Setup'!$M$8*(SUMIF($BH$3:$CE$3,"&lt;"&amp;$DF43,$AD43:$BA43)+SUMIF($BH$3:$CE$3,"&gt;"&amp;$CW$4,$AD43:$BA43)),
IF(BU$3=$DF43+'Model Setup'!$N$7,SUMIF($BH$3:$CE$3,"="&amp;$DF43+'Model Setup'!$N$7,$AD43:$BA43)+'Model Setup'!$N$8*(SUMIF($BH$3:$CE$3,"&lt;"&amp;$DF43,$AD43:$BA43)+SUMIF($BH$3:$CE$3,"&gt;"&amp;$CW$4,$AD43:$BA43)),
IF(BU$3&lt;$CW$4,O43,0))))))))))))))),0)</f>
        <v>109</v>
      </c>
      <c r="BV43" s="47">
        <f>ROUND(IF(OR(BV$3&lt;$DF43,BV$3&gt;$CW$4),0,
IF(BV$3=$DF43+'Model Setup'!$B$7,SUMIF($BH$3:$CE$3,"="&amp;$DF43+'Model Setup'!$B$7,$AD43:$BA43)+'Model Setup'!$B$8*(SUMIF($BH$3:$CE$3,"&lt;"&amp;$DF43,$AD43:$BA43)+SUMIF($BH$3:$CE$3,"&gt;"&amp;$CW$4,$AD43:$BA43)),
IF(BV$3=$DF43+'Model Setup'!$C$7,SUMIF($BH$3:$CE$3,"="&amp;$DF43+'Model Setup'!$C$7,$AD43:$BA43)+'Model Setup'!$C$8*(SUMIF($BH$3:$CE$3,"&lt;"&amp;$DF43,$AD43:$BA43)+SUMIF($BH$3:$CE$3,"&gt;"&amp;$CW$4,$AD43:$BA43)),
IF(BV$3=$DF43+'Model Setup'!$D$7,SUMIF($BH$3:$CE$3,"="&amp;$DF43+'Model Setup'!$D$7,$AD43:$BA43)+'Model Setup'!$D$8*(SUMIF($BH$3:$CE$3,"&lt;"&amp;$DF43,$AD43:$BA43)+SUMIF($BH$3:$CE$3,"&gt;"&amp;$CW$4,$AD43:$BA43)),
IF(BV$3=$DF43+'Model Setup'!$E$7,SUMIF($BH$3:$CE$3,"="&amp;$DF43+'Model Setup'!$E$7,$AD43:$BA43)+'Model Setup'!$E$8*(SUMIF($BH$3:$CE$3,"&lt;"&amp;$DF43,$AD43:$BA43)+SUMIF($BH$3:$CE$3,"&gt;"&amp;$CW$4,$AD43:$BA43)),
IF(BV$3=$DF43+'Model Setup'!$F$7,SUMIF($BH$3:$CE$3,"="&amp;$DF43+'Model Setup'!$F$7,$AD43:$BA43)+'Model Setup'!$F$8*(SUMIF($BH$3:$CE$3,"&lt;"&amp;$DF43,$AD43:$BA43)+SUMIF($BH$3:$CE$3,"&gt;"&amp;$CW$4,$AD43:$BA43)),
IF(BV$3=$DF43+'Model Setup'!$G$7,SUMIF($BH$3:$CE$3,"="&amp;$DF43+'Model Setup'!$G$7,$AD43:$BA43)+'Model Setup'!$G$8*(SUMIF($BH$3:$CE$3,"&lt;"&amp;$DF43,$AD43:$BA43)+SUMIF($BH$3:$CE$3,"&gt;"&amp;$CW$4,$AD43:$BA43)),
IF(BV$3=$DF43+'Model Setup'!$H$7,SUMIF($BH$3:$CE$3,"="&amp;$DF43+'Model Setup'!$H$7,$AD43:$BA43)+'Model Setup'!$H$8*(SUMIF($BH$3:$CE$3,"&lt;"&amp;$DF43,$AD43:$BA43)+SUMIF($BH$3:$CE$3,"&gt;"&amp;$CW$4,$AD43:$BA43)),
IF(BV$3=$DF43+'Model Setup'!$I$7,SUMIF($BH$3:$CE$3,"="&amp;$DF43+'Model Setup'!$I$7,$AD43:$BA43)+'Model Setup'!$I$8*(SUMIF($BH$3:$CE$3,"&lt;"&amp;$DF43,$AD43:$BA43)+SUMIF($BH$3:$CE$3,"&gt;"&amp;$CW$4,$AD43:$BA43)),
IF(BV$3=$DF43+'Model Setup'!$J$7,SUMIF($BH$3:$CE$3,"="&amp;$DF43+'Model Setup'!$J$7,$AD43:$BA43)+'Model Setup'!$J$8*(SUMIF($BH$3:$CE$3,"&lt;"&amp;$DF43,$AD43:$BA43)+SUMIF($BH$3:$CE$3,"&gt;"&amp;$CW$4,$AD43:$BA43)),
IF(BV$3=$DF43+'Model Setup'!$K$7,SUMIF($BH$3:$CE$3,"="&amp;$DF43+'Model Setup'!$K$7,$AD43:$BA43)+'Model Setup'!$K$8*(SUMIF($BH$3:$CE$3,"&lt;"&amp;$DF43,$AD43:$BA43)+SUMIF($BH$3:$CE$3,"&gt;"&amp;$CW$4,$AD43:$BA43)),
IF(BV$3=$DF43+'Model Setup'!$L$7,SUMIF($BH$3:$CE$3,"="&amp;$DF43+'Model Setup'!$L$7,$AD43:$BA43)+'Model Setup'!$L$8*(SUMIF($BH$3:$CE$3,"&lt;"&amp;$DF43,$AD43:$BA43)+SUMIF($BH$3:$CE$3,"&gt;"&amp;$CW$4,$AD43:$BA43)),
IF(BV$3=$DF43+'Model Setup'!$M$7,SUMIF($BH$3:$CE$3,"="&amp;$DF43+'Model Setup'!$M$7,$AD43:$BA43)+'Model Setup'!$M$8*(SUMIF($BH$3:$CE$3,"&lt;"&amp;$DF43,$AD43:$BA43)+SUMIF($BH$3:$CE$3,"&gt;"&amp;$CW$4,$AD43:$BA43)),
IF(BV$3=$DF43+'Model Setup'!$N$7,SUMIF($BH$3:$CE$3,"="&amp;$DF43+'Model Setup'!$N$7,$AD43:$BA43)+'Model Setup'!$N$8*(SUMIF($BH$3:$CE$3,"&lt;"&amp;$DF43,$AD43:$BA43)+SUMIF($BH$3:$CE$3,"&gt;"&amp;$CW$4,$AD43:$BA43)),
IF(BV$3&lt;$CW$4,P43,0))))))))))))))),0)</f>
        <v>74</v>
      </c>
      <c r="BW43" s="47">
        <f>ROUND(IF(OR(BW$3&lt;$DF43,BW$3&gt;$CW$4),0,
IF(BW$3=$DF43+'Model Setup'!$B$7,SUMIF($BH$3:$CE$3,"="&amp;$DF43+'Model Setup'!$B$7,$AD43:$BA43)+'Model Setup'!$B$8*(SUMIF($BH$3:$CE$3,"&lt;"&amp;$DF43,$AD43:$BA43)+SUMIF($BH$3:$CE$3,"&gt;"&amp;$CW$4,$AD43:$BA43)),
IF(BW$3=$DF43+'Model Setup'!$C$7,SUMIF($BH$3:$CE$3,"="&amp;$DF43+'Model Setup'!$C$7,$AD43:$BA43)+'Model Setup'!$C$8*(SUMIF($BH$3:$CE$3,"&lt;"&amp;$DF43,$AD43:$BA43)+SUMIF($BH$3:$CE$3,"&gt;"&amp;$CW$4,$AD43:$BA43)),
IF(BW$3=$DF43+'Model Setup'!$D$7,SUMIF($BH$3:$CE$3,"="&amp;$DF43+'Model Setup'!$D$7,$AD43:$BA43)+'Model Setup'!$D$8*(SUMIF($BH$3:$CE$3,"&lt;"&amp;$DF43,$AD43:$BA43)+SUMIF($BH$3:$CE$3,"&gt;"&amp;$CW$4,$AD43:$BA43)),
IF(BW$3=$DF43+'Model Setup'!$E$7,SUMIF($BH$3:$CE$3,"="&amp;$DF43+'Model Setup'!$E$7,$AD43:$BA43)+'Model Setup'!$E$8*(SUMIF($BH$3:$CE$3,"&lt;"&amp;$DF43,$AD43:$BA43)+SUMIF($BH$3:$CE$3,"&gt;"&amp;$CW$4,$AD43:$BA43)),
IF(BW$3=$DF43+'Model Setup'!$F$7,SUMIF($BH$3:$CE$3,"="&amp;$DF43+'Model Setup'!$F$7,$AD43:$BA43)+'Model Setup'!$F$8*(SUMIF($BH$3:$CE$3,"&lt;"&amp;$DF43,$AD43:$BA43)+SUMIF($BH$3:$CE$3,"&gt;"&amp;$CW$4,$AD43:$BA43)),
IF(BW$3=$DF43+'Model Setup'!$G$7,SUMIF($BH$3:$CE$3,"="&amp;$DF43+'Model Setup'!$G$7,$AD43:$BA43)+'Model Setup'!$G$8*(SUMIF($BH$3:$CE$3,"&lt;"&amp;$DF43,$AD43:$BA43)+SUMIF($BH$3:$CE$3,"&gt;"&amp;$CW$4,$AD43:$BA43)),
IF(BW$3=$DF43+'Model Setup'!$H$7,SUMIF($BH$3:$CE$3,"="&amp;$DF43+'Model Setup'!$H$7,$AD43:$BA43)+'Model Setup'!$H$8*(SUMIF($BH$3:$CE$3,"&lt;"&amp;$DF43,$AD43:$BA43)+SUMIF($BH$3:$CE$3,"&gt;"&amp;$CW$4,$AD43:$BA43)),
IF(BW$3=$DF43+'Model Setup'!$I$7,SUMIF($BH$3:$CE$3,"="&amp;$DF43+'Model Setup'!$I$7,$AD43:$BA43)+'Model Setup'!$I$8*(SUMIF($BH$3:$CE$3,"&lt;"&amp;$DF43,$AD43:$BA43)+SUMIF($BH$3:$CE$3,"&gt;"&amp;$CW$4,$AD43:$BA43)),
IF(BW$3=$DF43+'Model Setup'!$J$7,SUMIF($BH$3:$CE$3,"="&amp;$DF43+'Model Setup'!$J$7,$AD43:$BA43)+'Model Setup'!$J$8*(SUMIF($BH$3:$CE$3,"&lt;"&amp;$DF43,$AD43:$BA43)+SUMIF($BH$3:$CE$3,"&gt;"&amp;$CW$4,$AD43:$BA43)),
IF(BW$3=$DF43+'Model Setup'!$K$7,SUMIF($BH$3:$CE$3,"="&amp;$DF43+'Model Setup'!$K$7,$AD43:$BA43)+'Model Setup'!$K$8*(SUMIF($BH$3:$CE$3,"&lt;"&amp;$DF43,$AD43:$BA43)+SUMIF($BH$3:$CE$3,"&gt;"&amp;$CW$4,$AD43:$BA43)),
IF(BW$3=$DF43+'Model Setup'!$L$7,SUMIF($BH$3:$CE$3,"="&amp;$DF43+'Model Setup'!$L$7,$AD43:$BA43)+'Model Setup'!$L$8*(SUMIF($BH$3:$CE$3,"&lt;"&amp;$DF43,$AD43:$BA43)+SUMIF($BH$3:$CE$3,"&gt;"&amp;$CW$4,$AD43:$BA43)),
IF(BW$3=$DF43+'Model Setup'!$M$7,SUMIF($BH$3:$CE$3,"="&amp;$DF43+'Model Setup'!$M$7,$AD43:$BA43)+'Model Setup'!$M$8*(SUMIF($BH$3:$CE$3,"&lt;"&amp;$DF43,$AD43:$BA43)+SUMIF($BH$3:$CE$3,"&gt;"&amp;$CW$4,$AD43:$BA43)),
IF(BW$3=$DF43+'Model Setup'!$N$7,SUMIF($BH$3:$CE$3,"="&amp;$DF43+'Model Setup'!$N$7,$AD43:$BA43)+'Model Setup'!$N$8*(SUMIF($BH$3:$CE$3,"&lt;"&amp;$DF43,$AD43:$BA43)+SUMIF($BH$3:$CE$3,"&gt;"&amp;$CW$4,$AD43:$BA43)),
IF(BW$3&lt;$CW$4,Q43,0))))))))))))))),0)</f>
        <v>86</v>
      </c>
      <c r="BX43" s="47">
        <f>ROUND(IF(OR(BX$3&lt;$DF43,BX$3&gt;$CW$4),0,
IF(BX$3=$DF43+'Model Setup'!$B$7,SUMIF($BH$3:$CE$3,"="&amp;$DF43+'Model Setup'!$B$7,$AD43:$BA43)+'Model Setup'!$B$8*(SUMIF($BH$3:$CE$3,"&lt;"&amp;$DF43,$AD43:$BA43)+SUMIF($BH$3:$CE$3,"&gt;"&amp;$CW$4,$AD43:$BA43)),
IF(BX$3=$DF43+'Model Setup'!$C$7,SUMIF($BH$3:$CE$3,"="&amp;$DF43+'Model Setup'!$C$7,$AD43:$BA43)+'Model Setup'!$C$8*(SUMIF($BH$3:$CE$3,"&lt;"&amp;$DF43,$AD43:$BA43)+SUMIF($BH$3:$CE$3,"&gt;"&amp;$CW$4,$AD43:$BA43)),
IF(BX$3=$DF43+'Model Setup'!$D$7,SUMIF($BH$3:$CE$3,"="&amp;$DF43+'Model Setup'!$D$7,$AD43:$BA43)+'Model Setup'!$D$8*(SUMIF($BH$3:$CE$3,"&lt;"&amp;$DF43,$AD43:$BA43)+SUMIF($BH$3:$CE$3,"&gt;"&amp;$CW$4,$AD43:$BA43)),
IF(BX$3=$DF43+'Model Setup'!$E$7,SUMIF($BH$3:$CE$3,"="&amp;$DF43+'Model Setup'!$E$7,$AD43:$BA43)+'Model Setup'!$E$8*(SUMIF($BH$3:$CE$3,"&lt;"&amp;$DF43,$AD43:$BA43)+SUMIF($BH$3:$CE$3,"&gt;"&amp;$CW$4,$AD43:$BA43)),
IF(BX$3=$DF43+'Model Setup'!$F$7,SUMIF($BH$3:$CE$3,"="&amp;$DF43+'Model Setup'!$F$7,$AD43:$BA43)+'Model Setup'!$F$8*(SUMIF($BH$3:$CE$3,"&lt;"&amp;$DF43,$AD43:$BA43)+SUMIF($BH$3:$CE$3,"&gt;"&amp;$CW$4,$AD43:$BA43)),
IF(BX$3=$DF43+'Model Setup'!$G$7,SUMIF($BH$3:$CE$3,"="&amp;$DF43+'Model Setup'!$G$7,$AD43:$BA43)+'Model Setup'!$G$8*(SUMIF($BH$3:$CE$3,"&lt;"&amp;$DF43,$AD43:$BA43)+SUMIF($BH$3:$CE$3,"&gt;"&amp;$CW$4,$AD43:$BA43)),
IF(BX$3=$DF43+'Model Setup'!$H$7,SUMIF($BH$3:$CE$3,"="&amp;$DF43+'Model Setup'!$H$7,$AD43:$BA43)+'Model Setup'!$H$8*(SUMIF($BH$3:$CE$3,"&lt;"&amp;$DF43,$AD43:$BA43)+SUMIF($BH$3:$CE$3,"&gt;"&amp;$CW$4,$AD43:$BA43)),
IF(BX$3=$DF43+'Model Setup'!$I$7,SUMIF($BH$3:$CE$3,"="&amp;$DF43+'Model Setup'!$I$7,$AD43:$BA43)+'Model Setup'!$I$8*(SUMIF($BH$3:$CE$3,"&lt;"&amp;$DF43,$AD43:$BA43)+SUMIF($BH$3:$CE$3,"&gt;"&amp;$CW$4,$AD43:$BA43)),
IF(BX$3=$DF43+'Model Setup'!$J$7,SUMIF($BH$3:$CE$3,"="&amp;$DF43+'Model Setup'!$J$7,$AD43:$BA43)+'Model Setup'!$J$8*(SUMIF($BH$3:$CE$3,"&lt;"&amp;$DF43,$AD43:$BA43)+SUMIF($BH$3:$CE$3,"&gt;"&amp;$CW$4,$AD43:$BA43)),
IF(BX$3=$DF43+'Model Setup'!$K$7,SUMIF($BH$3:$CE$3,"="&amp;$DF43+'Model Setup'!$K$7,$AD43:$BA43)+'Model Setup'!$K$8*(SUMIF($BH$3:$CE$3,"&lt;"&amp;$DF43,$AD43:$BA43)+SUMIF($BH$3:$CE$3,"&gt;"&amp;$CW$4,$AD43:$BA43)),
IF(BX$3=$DF43+'Model Setup'!$L$7,SUMIF($BH$3:$CE$3,"="&amp;$DF43+'Model Setup'!$L$7,$AD43:$BA43)+'Model Setup'!$L$8*(SUMIF($BH$3:$CE$3,"&lt;"&amp;$DF43,$AD43:$BA43)+SUMIF($BH$3:$CE$3,"&gt;"&amp;$CW$4,$AD43:$BA43)),
IF(BX$3=$DF43+'Model Setup'!$M$7,SUMIF($BH$3:$CE$3,"="&amp;$DF43+'Model Setup'!$M$7,$AD43:$BA43)+'Model Setup'!$M$8*(SUMIF($BH$3:$CE$3,"&lt;"&amp;$DF43,$AD43:$BA43)+SUMIF($BH$3:$CE$3,"&gt;"&amp;$CW$4,$AD43:$BA43)),
IF(BX$3=$DF43+'Model Setup'!$N$7,SUMIF($BH$3:$CE$3,"="&amp;$DF43+'Model Setup'!$N$7,$AD43:$BA43)+'Model Setup'!$N$8*(SUMIF($BH$3:$CE$3,"&lt;"&amp;$DF43,$AD43:$BA43)+SUMIF($BH$3:$CE$3,"&gt;"&amp;$CW$4,$AD43:$BA43)),
IF(BX$3&lt;$CW$4,R43,0))))))))))))))),0)</f>
        <v>87</v>
      </c>
      <c r="BY43" s="47">
        <f>ROUND(IF(OR(BY$3&lt;$DF43,BY$3&gt;$CW$4),0,
IF(BY$3=$DF43+'Model Setup'!$B$7,SUMIF($BH$3:$CE$3,"="&amp;$DF43+'Model Setup'!$B$7,$AD43:$BA43)+'Model Setup'!$B$8*(SUMIF($BH$3:$CE$3,"&lt;"&amp;$DF43,$AD43:$BA43)+SUMIF($BH$3:$CE$3,"&gt;"&amp;$CW$4,$AD43:$BA43)),
IF(BY$3=$DF43+'Model Setup'!$C$7,SUMIF($BH$3:$CE$3,"="&amp;$DF43+'Model Setup'!$C$7,$AD43:$BA43)+'Model Setup'!$C$8*(SUMIF($BH$3:$CE$3,"&lt;"&amp;$DF43,$AD43:$BA43)+SUMIF($BH$3:$CE$3,"&gt;"&amp;$CW$4,$AD43:$BA43)),
IF(BY$3=$DF43+'Model Setup'!$D$7,SUMIF($BH$3:$CE$3,"="&amp;$DF43+'Model Setup'!$D$7,$AD43:$BA43)+'Model Setup'!$D$8*(SUMIF($BH$3:$CE$3,"&lt;"&amp;$DF43,$AD43:$BA43)+SUMIF($BH$3:$CE$3,"&gt;"&amp;$CW$4,$AD43:$BA43)),
IF(BY$3=$DF43+'Model Setup'!$E$7,SUMIF($BH$3:$CE$3,"="&amp;$DF43+'Model Setup'!$E$7,$AD43:$BA43)+'Model Setup'!$E$8*(SUMIF($BH$3:$CE$3,"&lt;"&amp;$DF43,$AD43:$BA43)+SUMIF($BH$3:$CE$3,"&gt;"&amp;$CW$4,$AD43:$BA43)),
IF(BY$3=$DF43+'Model Setup'!$F$7,SUMIF($BH$3:$CE$3,"="&amp;$DF43+'Model Setup'!$F$7,$AD43:$BA43)+'Model Setup'!$F$8*(SUMIF($BH$3:$CE$3,"&lt;"&amp;$DF43,$AD43:$BA43)+SUMIF($BH$3:$CE$3,"&gt;"&amp;$CW$4,$AD43:$BA43)),
IF(BY$3=$DF43+'Model Setup'!$G$7,SUMIF($BH$3:$CE$3,"="&amp;$DF43+'Model Setup'!$G$7,$AD43:$BA43)+'Model Setup'!$G$8*(SUMIF($BH$3:$CE$3,"&lt;"&amp;$DF43,$AD43:$BA43)+SUMIF($BH$3:$CE$3,"&gt;"&amp;$CW$4,$AD43:$BA43)),
IF(BY$3=$DF43+'Model Setup'!$H$7,SUMIF($BH$3:$CE$3,"="&amp;$DF43+'Model Setup'!$H$7,$AD43:$BA43)+'Model Setup'!$H$8*(SUMIF($BH$3:$CE$3,"&lt;"&amp;$DF43,$AD43:$BA43)+SUMIF($BH$3:$CE$3,"&gt;"&amp;$CW$4,$AD43:$BA43)),
IF(BY$3=$DF43+'Model Setup'!$I$7,SUMIF($BH$3:$CE$3,"="&amp;$DF43+'Model Setup'!$I$7,$AD43:$BA43)+'Model Setup'!$I$8*(SUMIF($BH$3:$CE$3,"&lt;"&amp;$DF43,$AD43:$BA43)+SUMIF($BH$3:$CE$3,"&gt;"&amp;$CW$4,$AD43:$BA43)),
IF(BY$3=$DF43+'Model Setup'!$J$7,SUMIF($BH$3:$CE$3,"="&amp;$DF43+'Model Setup'!$J$7,$AD43:$BA43)+'Model Setup'!$J$8*(SUMIF($BH$3:$CE$3,"&lt;"&amp;$DF43,$AD43:$BA43)+SUMIF($BH$3:$CE$3,"&gt;"&amp;$CW$4,$AD43:$BA43)),
IF(BY$3=$DF43+'Model Setup'!$K$7,SUMIF($BH$3:$CE$3,"="&amp;$DF43+'Model Setup'!$K$7,$AD43:$BA43)+'Model Setup'!$K$8*(SUMIF($BH$3:$CE$3,"&lt;"&amp;$DF43,$AD43:$BA43)+SUMIF($BH$3:$CE$3,"&gt;"&amp;$CW$4,$AD43:$BA43)),
IF(BY$3=$DF43+'Model Setup'!$L$7,SUMIF($BH$3:$CE$3,"="&amp;$DF43+'Model Setup'!$L$7,$AD43:$BA43)+'Model Setup'!$L$8*(SUMIF($BH$3:$CE$3,"&lt;"&amp;$DF43,$AD43:$BA43)+SUMIF($BH$3:$CE$3,"&gt;"&amp;$CW$4,$AD43:$BA43)),
IF(BY$3=$DF43+'Model Setup'!$M$7,SUMIF($BH$3:$CE$3,"="&amp;$DF43+'Model Setup'!$M$7,$AD43:$BA43)+'Model Setup'!$M$8*(SUMIF($BH$3:$CE$3,"&lt;"&amp;$DF43,$AD43:$BA43)+SUMIF($BH$3:$CE$3,"&gt;"&amp;$CW$4,$AD43:$BA43)),
IF(BY$3=$DF43+'Model Setup'!$N$7,SUMIF($BH$3:$CE$3,"="&amp;$DF43+'Model Setup'!$N$7,$AD43:$BA43)+'Model Setup'!$N$8*(SUMIF($BH$3:$CE$3,"&lt;"&amp;$DF43,$AD43:$BA43)+SUMIF($BH$3:$CE$3,"&gt;"&amp;$CW$4,$AD43:$BA43)),
IF(BY$3&lt;$CW$4,S43,0))))))))))))))),0)</f>
        <v>64</v>
      </c>
      <c r="BZ43" s="47">
        <f>ROUND(IF(OR(BZ$3&lt;$DF43,BZ$3&gt;$CW$4),0,
IF(BZ$3=$DF43+'Model Setup'!$B$7,SUMIF($BH$3:$CE$3,"="&amp;$DF43+'Model Setup'!$B$7,$AD43:$BA43)+'Model Setup'!$B$8*(SUMIF($BH$3:$CE$3,"&lt;"&amp;$DF43,$AD43:$BA43)+SUMIF($BH$3:$CE$3,"&gt;"&amp;$CW$4,$AD43:$BA43)),
IF(BZ$3=$DF43+'Model Setup'!$C$7,SUMIF($BH$3:$CE$3,"="&amp;$DF43+'Model Setup'!$C$7,$AD43:$BA43)+'Model Setup'!$C$8*(SUMIF($BH$3:$CE$3,"&lt;"&amp;$DF43,$AD43:$BA43)+SUMIF($BH$3:$CE$3,"&gt;"&amp;$CW$4,$AD43:$BA43)),
IF(BZ$3=$DF43+'Model Setup'!$D$7,SUMIF($BH$3:$CE$3,"="&amp;$DF43+'Model Setup'!$D$7,$AD43:$BA43)+'Model Setup'!$D$8*(SUMIF($BH$3:$CE$3,"&lt;"&amp;$DF43,$AD43:$BA43)+SUMIF($BH$3:$CE$3,"&gt;"&amp;$CW$4,$AD43:$BA43)),
IF(BZ$3=$DF43+'Model Setup'!$E$7,SUMIF($BH$3:$CE$3,"="&amp;$DF43+'Model Setup'!$E$7,$AD43:$BA43)+'Model Setup'!$E$8*(SUMIF($BH$3:$CE$3,"&lt;"&amp;$DF43,$AD43:$BA43)+SUMIF($BH$3:$CE$3,"&gt;"&amp;$CW$4,$AD43:$BA43)),
IF(BZ$3=$DF43+'Model Setup'!$F$7,SUMIF($BH$3:$CE$3,"="&amp;$DF43+'Model Setup'!$F$7,$AD43:$BA43)+'Model Setup'!$F$8*(SUMIF($BH$3:$CE$3,"&lt;"&amp;$DF43,$AD43:$BA43)+SUMIF($BH$3:$CE$3,"&gt;"&amp;$CW$4,$AD43:$BA43)),
IF(BZ$3=$DF43+'Model Setup'!$G$7,SUMIF($BH$3:$CE$3,"="&amp;$DF43+'Model Setup'!$G$7,$AD43:$BA43)+'Model Setup'!$G$8*(SUMIF($BH$3:$CE$3,"&lt;"&amp;$DF43,$AD43:$BA43)+SUMIF($BH$3:$CE$3,"&gt;"&amp;$CW$4,$AD43:$BA43)),
IF(BZ$3=$DF43+'Model Setup'!$H$7,SUMIF($BH$3:$CE$3,"="&amp;$DF43+'Model Setup'!$H$7,$AD43:$BA43)+'Model Setup'!$H$8*(SUMIF($BH$3:$CE$3,"&lt;"&amp;$DF43,$AD43:$BA43)+SUMIF($BH$3:$CE$3,"&gt;"&amp;$CW$4,$AD43:$BA43)),
IF(BZ$3=$DF43+'Model Setup'!$I$7,SUMIF($BH$3:$CE$3,"="&amp;$DF43+'Model Setup'!$I$7,$AD43:$BA43)+'Model Setup'!$I$8*(SUMIF($BH$3:$CE$3,"&lt;"&amp;$DF43,$AD43:$BA43)+SUMIF($BH$3:$CE$3,"&gt;"&amp;$CW$4,$AD43:$BA43)),
IF(BZ$3=$DF43+'Model Setup'!$J$7,SUMIF($BH$3:$CE$3,"="&amp;$DF43+'Model Setup'!$J$7,$AD43:$BA43)+'Model Setup'!$J$8*(SUMIF($BH$3:$CE$3,"&lt;"&amp;$DF43,$AD43:$BA43)+SUMIF($BH$3:$CE$3,"&gt;"&amp;$CW$4,$AD43:$BA43)),
IF(BZ$3=$DF43+'Model Setup'!$K$7,SUMIF($BH$3:$CE$3,"="&amp;$DF43+'Model Setup'!$K$7,$AD43:$BA43)+'Model Setup'!$K$8*(SUMIF($BH$3:$CE$3,"&lt;"&amp;$DF43,$AD43:$BA43)+SUMIF($BH$3:$CE$3,"&gt;"&amp;$CW$4,$AD43:$BA43)),
IF(BZ$3=$DF43+'Model Setup'!$L$7,SUMIF($BH$3:$CE$3,"="&amp;$DF43+'Model Setup'!$L$7,$AD43:$BA43)+'Model Setup'!$L$8*(SUMIF($BH$3:$CE$3,"&lt;"&amp;$DF43,$AD43:$BA43)+SUMIF($BH$3:$CE$3,"&gt;"&amp;$CW$4,$AD43:$BA43)),
IF(BZ$3=$DF43+'Model Setup'!$M$7,SUMIF($BH$3:$CE$3,"="&amp;$DF43+'Model Setup'!$M$7,$AD43:$BA43)+'Model Setup'!$M$8*(SUMIF($BH$3:$CE$3,"&lt;"&amp;$DF43,$AD43:$BA43)+SUMIF($BH$3:$CE$3,"&gt;"&amp;$CW$4,$AD43:$BA43)),
IF(BZ$3=$DF43+'Model Setup'!$N$7,SUMIF($BH$3:$CE$3,"="&amp;$DF43+'Model Setup'!$N$7,$AD43:$BA43)+'Model Setup'!$N$8*(SUMIF($BH$3:$CE$3,"&lt;"&amp;$DF43,$AD43:$BA43)+SUMIF($BH$3:$CE$3,"&gt;"&amp;$CW$4,$AD43:$BA43)),
IF(BZ$3&lt;$CW$4,T43,0))))))))))))))),0)</f>
        <v>0</v>
      </c>
      <c r="CA43" s="47">
        <f>ROUND(IF(OR(CA$3&lt;$DF43,CA$3&gt;$CW$4),0,
IF(CA$3=$DF43+'Model Setup'!$B$7,SUMIF($BH$3:$CE$3,"="&amp;$DF43+'Model Setup'!$B$7,$AD43:$BA43)+'Model Setup'!$B$8*(SUMIF($BH$3:$CE$3,"&lt;"&amp;$DF43,$AD43:$BA43)+SUMIF($BH$3:$CE$3,"&gt;"&amp;$CW$4,$AD43:$BA43)),
IF(CA$3=$DF43+'Model Setup'!$C$7,SUMIF($BH$3:$CE$3,"="&amp;$DF43+'Model Setup'!$C$7,$AD43:$BA43)+'Model Setup'!$C$8*(SUMIF($BH$3:$CE$3,"&lt;"&amp;$DF43,$AD43:$BA43)+SUMIF($BH$3:$CE$3,"&gt;"&amp;$CW$4,$AD43:$BA43)),
IF(CA$3=$DF43+'Model Setup'!$D$7,SUMIF($BH$3:$CE$3,"="&amp;$DF43+'Model Setup'!$D$7,$AD43:$BA43)+'Model Setup'!$D$8*(SUMIF($BH$3:$CE$3,"&lt;"&amp;$DF43,$AD43:$BA43)+SUMIF($BH$3:$CE$3,"&gt;"&amp;$CW$4,$AD43:$BA43)),
IF(CA$3=$DF43+'Model Setup'!$E$7,SUMIF($BH$3:$CE$3,"="&amp;$DF43+'Model Setup'!$E$7,$AD43:$BA43)+'Model Setup'!$E$8*(SUMIF($BH$3:$CE$3,"&lt;"&amp;$DF43,$AD43:$BA43)+SUMIF($BH$3:$CE$3,"&gt;"&amp;$CW$4,$AD43:$BA43)),
IF(CA$3=$DF43+'Model Setup'!$F$7,SUMIF($BH$3:$CE$3,"="&amp;$DF43+'Model Setup'!$F$7,$AD43:$BA43)+'Model Setup'!$F$8*(SUMIF($BH$3:$CE$3,"&lt;"&amp;$DF43,$AD43:$BA43)+SUMIF($BH$3:$CE$3,"&gt;"&amp;$CW$4,$AD43:$BA43)),
IF(CA$3=$DF43+'Model Setup'!$G$7,SUMIF($BH$3:$CE$3,"="&amp;$DF43+'Model Setup'!$G$7,$AD43:$BA43)+'Model Setup'!$G$8*(SUMIF($BH$3:$CE$3,"&lt;"&amp;$DF43,$AD43:$BA43)+SUMIF($BH$3:$CE$3,"&gt;"&amp;$CW$4,$AD43:$BA43)),
IF(CA$3=$DF43+'Model Setup'!$H$7,SUMIF($BH$3:$CE$3,"="&amp;$DF43+'Model Setup'!$H$7,$AD43:$BA43)+'Model Setup'!$H$8*(SUMIF($BH$3:$CE$3,"&lt;"&amp;$DF43,$AD43:$BA43)+SUMIF($BH$3:$CE$3,"&gt;"&amp;$CW$4,$AD43:$BA43)),
IF(CA$3=$DF43+'Model Setup'!$I$7,SUMIF($BH$3:$CE$3,"="&amp;$DF43+'Model Setup'!$I$7,$AD43:$BA43)+'Model Setup'!$I$8*(SUMIF($BH$3:$CE$3,"&lt;"&amp;$DF43,$AD43:$BA43)+SUMIF($BH$3:$CE$3,"&gt;"&amp;$CW$4,$AD43:$BA43)),
IF(CA$3=$DF43+'Model Setup'!$J$7,SUMIF($BH$3:$CE$3,"="&amp;$DF43+'Model Setup'!$J$7,$AD43:$BA43)+'Model Setup'!$J$8*(SUMIF($BH$3:$CE$3,"&lt;"&amp;$DF43,$AD43:$BA43)+SUMIF($BH$3:$CE$3,"&gt;"&amp;$CW$4,$AD43:$BA43)),
IF(CA$3=$DF43+'Model Setup'!$K$7,SUMIF($BH$3:$CE$3,"="&amp;$DF43+'Model Setup'!$K$7,$AD43:$BA43)+'Model Setup'!$K$8*(SUMIF($BH$3:$CE$3,"&lt;"&amp;$DF43,$AD43:$BA43)+SUMIF($BH$3:$CE$3,"&gt;"&amp;$CW$4,$AD43:$BA43)),
IF(CA$3=$DF43+'Model Setup'!$L$7,SUMIF($BH$3:$CE$3,"="&amp;$DF43+'Model Setup'!$L$7,$AD43:$BA43)+'Model Setup'!$L$8*(SUMIF($BH$3:$CE$3,"&lt;"&amp;$DF43,$AD43:$BA43)+SUMIF($BH$3:$CE$3,"&gt;"&amp;$CW$4,$AD43:$BA43)),
IF(CA$3=$DF43+'Model Setup'!$M$7,SUMIF($BH$3:$CE$3,"="&amp;$DF43+'Model Setup'!$M$7,$AD43:$BA43)+'Model Setup'!$M$8*(SUMIF($BH$3:$CE$3,"&lt;"&amp;$DF43,$AD43:$BA43)+SUMIF($BH$3:$CE$3,"&gt;"&amp;$CW$4,$AD43:$BA43)),
IF(CA$3=$DF43+'Model Setup'!$N$7,SUMIF($BH$3:$CE$3,"="&amp;$DF43+'Model Setup'!$N$7,$AD43:$BA43)+'Model Setup'!$N$8*(SUMIF($BH$3:$CE$3,"&lt;"&amp;$DF43,$AD43:$BA43)+SUMIF($BH$3:$CE$3,"&gt;"&amp;$CW$4,$AD43:$BA43)),
IF(CA$3&lt;$CW$4,U43,0))))))))))))))),0)</f>
        <v>0</v>
      </c>
      <c r="CB43" s="47">
        <f>ROUND(IF(OR(CB$3&lt;$DF43,CB$3&gt;$CW$4),0,
IF(CB$3=$DF43+'Model Setup'!$B$7,SUMIF($BH$3:$CE$3,"="&amp;$DF43+'Model Setup'!$B$7,$AD43:$BA43)+'Model Setup'!$B$8*(SUMIF($BH$3:$CE$3,"&lt;"&amp;$DF43,$AD43:$BA43)+SUMIF($BH$3:$CE$3,"&gt;"&amp;$CW$4,$AD43:$BA43)),
IF(CB$3=$DF43+'Model Setup'!$C$7,SUMIF($BH$3:$CE$3,"="&amp;$DF43+'Model Setup'!$C$7,$AD43:$BA43)+'Model Setup'!$C$8*(SUMIF($BH$3:$CE$3,"&lt;"&amp;$DF43,$AD43:$BA43)+SUMIF($BH$3:$CE$3,"&gt;"&amp;$CW$4,$AD43:$BA43)),
IF(CB$3=$DF43+'Model Setup'!$D$7,SUMIF($BH$3:$CE$3,"="&amp;$DF43+'Model Setup'!$D$7,$AD43:$BA43)+'Model Setup'!$D$8*(SUMIF($BH$3:$CE$3,"&lt;"&amp;$DF43,$AD43:$BA43)+SUMIF($BH$3:$CE$3,"&gt;"&amp;$CW$4,$AD43:$BA43)),
IF(CB$3=$DF43+'Model Setup'!$E$7,SUMIF($BH$3:$CE$3,"="&amp;$DF43+'Model Setup'!$E$7,$AD43:$BA43)+'Model Setup'!$E$8*(SUMIF($BH$3:$CE$3,"&lt;"&amp;$DF43,$AD43:$BA43)+SUMIF($BH$3:$CE$3,"&gt;"&amp;$CW$4,$AD43:$BA43)),
IF(CB$3=$DF43+'Model Setup'!$F$7,SUMIF($BH$3:$CE$3,"="&amp;$DF43+'Model Setup'!$F$7,$AD43:$BA43)+'Model Setup'!$F$8*(SUMIF($BH$3:$CE$3,"&lt;"&amp;$DF43,$AD43:$BA43)+SUMIF($BH$3:$CE$3,"&gt;"&amp;$CW$4,$AD43:$BA43)),
IF(CB$3=$DF43+'Model Setup'!$G$7,SUMIF($BH$3:$CE$3,"="&amp;$DF43+'Model Setup'!$G$7,$AD43:$BA43)+'Model Setup'!$G$8*(SUMIF($BH$3:$CE$3,"&lt;"&amp;$DF43,$AD43:$BA43)+SUMIF($BH$3:$CE$3,"&gt;"&amp;$CW$4,$AD43:$BA43)),
IF(CB$3=$DF43+'Model Setup'!$H$7,SUMIF($BH$3:$CE$3,"="&amp;$DF43+'Model Setup'!$H$7,$AD43:$BA43)+'Model Setup'!$H$8*(SUMIF($BH$3:$CE$3,"&lt;"&amp;$DF43,$AD43:$BA43)+SUMIF($BH$3:$CE$3,"&gt;"&amp;$CW$4,$AD43:$BA43)),
IF(CB$3=$DF43+'Model Setup'!$I$7,SUMIF($BH$3:$CE$3,"="&amp;$DF43+'Model Setup'!$I$7,$AD43:$BA43)+'Model Setup'!$I$8*(SUMIF($BH$3:$CE$3,"&lt;"&amp;$DF43,$AD43:$BA43)+SUMIF($BH$3:$CE$3,"&gt;"&amp;$CW$4,$AD43:$BA43)),
IF(CB$3=$DF43+'Model Setup'!$J$7,SUMIF($BH$3:$CE$3,"="&amp;$DF43+'Model Setup'!$J$7,$AD43:$BA43)+'Model Setup'!$J$8*(SUMIF($BH$3:$CE$3,"&lt;"&amp;$DF43,$AD43:$BA43)+SUMIF($BH$3:$CE$3,"&gt;"&amp;$CW$4,$AD43:$BA43)),
IF(CB$3=$DF43+'Model Setup'!$K$7,SUMIF($BH$3:$CE$3,"="&amp;$DF43+'Model Setup'!$K$7,$AD43:$BA43)+'Model Setup'!$K$8*(SUMIF($BH$3:$CE$3,"&lt;"&amp;$DF43,$AD43:$BA43)+SUMIF($BH$3:$CE$3,"&gt;"&amp;$CW$4,$AD43:$BA43)),
IF(CB$3=$DF43+'Model Setup'!$L$7,SUMIF($BH$3:$CE$3,"="&amp;$DF43+'Model Setup'!$L$7,$AD43:$BA43)+'Model Setup'!$L$8*(SUMIF($BH$3:$CE$3,"&lt;"&amp;$DF43,$AD43:$BA43)+SUMIF($BH$3:$CE$3,"&gt;"&amp;$CW$4,$AD43:$BA43)),
IF(CB$3=$DF43+'Model Setup'!$M$7,SUMIF($BH$3:$CE$3,"="&amp;$DF43+'Model Setup'!$M$7,$AD43:$BA43)+'Model Setup'!$M$8*(SUMIF($BH$3:$CE$3,"&lt;"&amp;$DF43,$AD43:$BA43)+SUMIF($BH$3:$CE$3,"&gt;"&amp;$CW$4,$AD43:$BA43)),
IF(CB$3=$DF43+'Model Setup'!$N$7,SUMIF($BH$3:$CE$3,"="&amp;$DF43+'Model Setup'!$N$7,$AD43:$BA43)+'Model Setup'!$N$8*(SUMIF($BH$3:$CE$3,"&lt;"&amp;$DF43,$AD43:$BA43)+SUMIF($BH$3:$CE$3,"&gt;"&amp;$CW$4,$AD43:$BA43)),
IF(CB$3&lt;$CW$4,V43,0))))))))))))))),0)</f>
        <v>0</v>
      </c>
      <c r="CC43" s="47">
        <f>ROUND(IF(OR(CC$3&lt;$DF43,CC$3&gt;$CW$4),0,
IF(CC$3=$DF43+'Model Setup'!$B$7,SUMIF($BH$3:$CE$3,"="&amp;$DF43+'Model Setup'!$B$7,$AD43:$BA43)+'Model Setup'!$B$8*(SUMIF($BH$3:$CE$3,"&lt;"&amp;$DF43,$AD43:$BA43)+SUMIF($BH$3:$CE$3,"&gt;"&amp;$CW$4,$AD43:$BA43)),
IF(CC$3=$DF43+'Model Setup'!$C$7,SUMIF($BH$3:$CE$3,"="&amp;$DF43+'Model Setup'!$C$7,$AD43:$BA43)+'Model Setup'!$C$8*(SUMIF($BH$3:$CE$3,"&lt;"&amp;$DF43,$AD43:$BA43)+SUMIF($BH$3:$CE$3,"&gt;"&amp;$CW$4,$AD43:$BA43)),
IF(CC$3=$DF43+'Model Setup'!$D$7,SUMIF($BH$3:$CE$3,"="&amp;$DF43+'Model Setup'!$D$7,$AD43:$BA43)+'Model Setup'!$D$8*(SUMIF($BH$3:$CE$3,"&lt;"&amp;$DF43,$AD43:$BA43)+SUMIF($BH$3:$CE$3,"&gt;"&amp;$CW$4,$AD43:$BA43)),
IF(CC$3=$DF43+'Model Setup'!$E$7,SUMIF($BH$3:$CE$3,"="&amp;$DF43+'Model Setup'!$E$7,$AD43:$BA43)+'Model Setup'!$E$8*(SUMIF($BH$3:$CE$3,"&lt;"&amp;$DF43,$AD43:$BA43)+SUMIF($BH$3:$CE$3,"&gt;"&amp;$CW$4,$AD43:$BA43)),
IF(CC$3=$DF43+'Model Setup'!$F$7,SUMIF($BH$3:$CE$3,"="&amp;$DF43+'Model Setup'!$F$7,$AD43:$BA43)+'Model Setup'!$F$8*(SUMIF($BH$3:$CE$3,"&lt;"&amp;$DF43,$AD43:$BA43)+SUMIF($BH$3:$CE$3,"&gt;"&amp;$CW$4,$AD43:$BA43)),
IF(CC$3=$DF43+'Model Setup'!$G$7,SUMIF($BH$3:$CE$3,"="&amp;$DF43+'Model Setup'!$G$7,$AD43:$BA43)+'Model Setup'!$G$8*(SUMIF($BH$3:$CE$3,"&lt;"&amp;$DF43,$AD43:$BA43)+SUMIF($BH$3:$CE$3,"&gt;"&amp;$CW$4,$AD43:$BA43)),
IF(CC$3=$DF43+'Model Setup'!$H$7,SUMIF($BH$3:$CE$3,"="&amp;$DF43+'Model Setup'!$H$7,$AD43:$BA43)+'Model Setup'!$H$8*(SUMIF($BH$3:$CE$3,"&lt;"&amp;$DF43,$AD43:$BA43)+SUMIF($BH$3:$CE$3,"&gt;"&amp;$CW$4,$AD43:$BA43)),
IF(CC$3=$DF43+'Model Setup'!$I$7,SUMIF($BH$3:$CE$3,"="&amp;$DF43+'Model Setup'!$I$7,$AD43:$BA43)+'Model Setup'!$I$8*(SUMIF($BH$3:$CE$3,"&lt;"&amp;$DF43,$AD43:$BA43)+SUMIF($BH$3:$CE$3,"&gt;"&amp;$CW$4,$AD43:$BA43)),
IF(CC$3=$DF43+'Model Setup'!$J$7,SUMIF($BH$3:$CE$3,"="&amp;$DF43+'Model Setup'!$J$7,$AD43:$BA43)+'Model Setup'!$J$8*(SUMIF($BH$3:$CE$3,"&lt;"&amp;$DF43,$AD43:$BA43)+SUMIF($BH$3:$CE$3,"&gt;"&amp;$CW$4,$AD43:$BA43)),
IF(CC$3=$DF43+'Model Setup'!$K$7,SUMIF($BH$3:$CE$3,"="&amp;$DF43+'Model Setup'!$K$7,$AD43:$BA43)+'Model Setup'!$K$8*(SUMIF($BH$3:$CE$3,"&lt;"&amp;$DF43,$AD43:$BA43)+SUMIF($BH$3:$CE$3,"&gt;"&amp;$CW$4,$AD43:$BA43)),
IF(CC$3=$DF43+'Model Setup'!$L$7,SUMIF($BH$3:$CE$3,"="&amp;$DF43+'Model Setup'!$L$7,$AD43:$BA43)+'Model Setup'!$L$8*(SUMIF($BH$3:$CE$3,"&lt;"&amp;$DF43,$AD43:$BA43)+SUMIF($BH$3:$CE$3,"&gt;"&amp;$CW$4,$AD43:$BA43)),
IF(CC$3=$DF43+'Model Setup'!$M$7,SUMIF($BH$3:$CE$3,"="&amp;$DF43+'Model Setup'!$M$7,$AD43:$BA43)+'Model Setup'!$M$8*(SUMIF($BH$3:$CE$3,"&lt;"&amp;$DF43,$AD43:$BA43)+SUMIF($BH$3:$CE$3,"&gt;"&amp;$CW$4,$AD43:$BA43)),
IF(CC$3=$DF43+'Model Setup'!$N$7,SUMIF($BH$3:$CE$3,"="&amp;$DF43+'Model Setup'!$N$7,$AD43:$BA43)+'Model Setup'!$N$8*(SUMIF($BH$3:$CE$3,"&lt;"&amp;$DF43,$AD43:$BA43)+SUMIF($BH$3:$CE$3,"&gt;"&amp;$CW$4,$AD43:$BA43)),
IF(CC$3&lt;$CW$4,W43,0))))))))))))))),0)</f>
        <v>0</v>
      </c>
      <c r="CD43" s="47">
        <f>ROUND(IF(OR(CD$3&lt;$DF43,CD$3&gt;$CW$4),0,
IF(CD$3=$DF43+'Model Setup'!$B$7,SUMIF($BH$3:$CE$3,"="&amp;$DF43+'Model Setup'!$B$7,$AD43:$BA43)+'Model Setup'!$B$8*(SUMIF($BH$3:$CE$3,"&lt;"&amp;$DF43,$AD43:$BA43)+SUMIF($BH$3:$CE$3,"&gt;"&amp;$CW$4,$AD43:$BA43)),
IF(CD$3=$DF43+'Model Setup'!$C$7,SUMIF($BH$3:$CE$3,"="&amp;$DF43+'Model Setup'!$C$7,$AD43:$BA43)+'Model Setup'!$C$8*(SUMIF($BH$3:$CE$3,"&lt;"&amp;$DF43,$AD43:$BA43)+SUMIF($BH$3:$CE$3,"&gt;"&amp;$CW$4,$AD43:$BA43)),
IF(CD$3=$DF43+'Model Setup'!$D$7,SUMIF($BH$3:$CE$3,"="&amp;$DF43+'Model Setup'!$D$7,$AD43:$BA43)+'Model Setup'!$D$8*(SUMIF($BH$3:$CE$3,"&lt;"&amp;$DF43,$AD43:$BA43)+SUMIF($BH$3:$CE$3,"&gt;"&amp;$CW$4,$AD43:$BA43)),
IF(CD$3=$DF43+'Model Setup'!$E$7,SUMIF($BH$3:$CE$3,"="&amp;$DF43+'Model Setup'!$E$7,$AD43:$BA43)+'Model Setup'!$E$8*(SUMIF($BH$3:$CE$3,"&lt;"&amp;$DF43,$AD43:$BA43)+SUMIF($BH$3:$CE$3,"&gt;"&amp;$CW$4,$AD43:$BA43)),
IF(CD$3=$DF43+'Model Setup'!$F$7,SUMIF($BH$3:$CE$3,"="&amp;$DF43+'Model Setup'!$F$7,$AD43:$BA43)+'Model Setup'!$F$8*(SUMIF($BH$3:$CE$3,"&lt;"&amp;$DF43,$AD43:$BA43)+SUMIF($BH$3:$CE$3,"&gt;"&amp;$CW$4,$AD43:$BA43)),
IF(CD$3=$DF43+'Model Setup'!$G$7,SUMIF($BH$3:$CE$3,"="&amp;$DF43+'Model Setup'!$G$7,$AD43:$BA43)+'Model Setup'!$G$8*(SUMIF($BH$3:$CE$3,"&lt;"&amp;$DF43,$AD43:$BA43)+SUMIF($BH$3:$CE$3,"&gt;"&amp;$CW$4,$AD43:$BA43)),
IF(CD$3=$DF43+'Model Setup'!$H$7,SUMIF($BH$3:$CE$3,"="&amp;$DF43+'Model Setup'!$H$7,$AD43:$BA43)+'Model Setup'!$H$8*(SUMIF($BH$3:$CE$3,"&lt;"&amp;$DF43,$AD43:$BA43)+SUMIF($BH$3:$CE$3,"&gt;"&amp;$CW$4,$AD43:$BA43)),
IF(CD$3=$DF43+'Model Setup'!$I$7,SUMIF($BH$3:$CE$3,"="&amp;$DF43+'Model Setup'!$I$7,$AD43:$BA43)+'Model Setup'!$I$8*(SUMIF($BH$3:$CE$3,"&lt;"&amp;$DF43,$AD43:$BA43)+SUMIF($BH$3:$CE$3,"&gt;"&amp;$CW$4,$AD43:$BA43)),
IF(CD$3=$DF43+'Model Setup'!$J$7,SUMIF($BH$3:$CE$3,"="&amp;$DF43+'Model Setup'!$J$7,$AD43:$BA43)+'Model Setup'!$J$8*(SUMIF($BH$3:$CE$3,"&lt;"&amp;$DF43,$AD43:$BA43)+SUMIF($BH$3:$CE$3,"&gt;"&amp;$CW$4,$AD43:$BA43)),
IF(CD$3=$DF43+'Model Setup'!$K$7,SUMIF($BH$3:$CE$3,"="&amp;$DF43+'Model Setup'!$K$7,$AD43:$BA43)+'Model Setup'!$K$8*(SUMIF($BH$3:$CE$3,"&lt;"&amp;$DF43,$AD43:$BA43)+SUMIF($BH$3:$CE$3,"&gt;"&amp;$CW$4,$AD43:$BA43)),
IF(CD$3=$DF43+'Model Setup'!$L$7,SUMIF($BH$3:$CE$3,"="&amp;$DF43+'Model Setup'!$L$7,$AD43:$BA43)+'Model Setup'!$L$8*(SUMIF($BH$3:$CE$3,"&lt;"&amp;$DF43,$AD43:$BA43)+SUMIF($BH$3:$CE$3,"&gt;"&amp;$CW$4,$AD43:$BA43)),
IF(CD$3=$DF43+'Model Setup'!$M$7,SUMIF($BH$3:$CE$3,"="&amp;$DF43+'Model Setup'!$M$7,$AD43:$BA43)+'Model Setup'!$M$8*(SUMIF($BH$3:$CE$3,"&lt;"&amp;$DF43,$AD43:$BA43)+SUMIF($BH$3:$CE$3,"&gt;"&amp;$CW$4,$AD43:$BA43)),
IF(CD$3=$DF43+'Model Setup'!$N$7,SUMIF($BH$3:$CE$3,"="&amp;$DF43+'Model Setup'!$N$7,$AD43:$BA43)+'Model Setup'!$N$8*(SUMIF($BH$3:$CE$3,"&lt;"&amp;$DF43,$AD43:$BA43)+SUMIF($BH$3:$CE$3,"&gt;"&amp;$CW$4,$AD43:$BA43)),
IF(CD$3&lt;$CW$4,X43,0))))))))))))))),0)</f>
        <v>0</v>
      </c>
      <c r="CE43" s="47">
        <f>ROUND(IF(OR(CE$3&lt;$DF43,CE$3&gt;$CW$4),0,
IF(CE$3=$DF43+'Model Setup'!$B$7,SUMIF($BH$3:$CE$3,"="&amp;$DF43+'Model Setup'!$B$7,$AD43:$BA43)+'Model Setup'!$B$8*(SUMIF($BH$3:$CE$3,"&lt;"&amp;$DF43,$AD43:$BA43)+SUMIF($BH$3:$CE$3,"&gt;"&amp;$CW$4,$AD43:$BA43)),
IF(CE$3=$DF43+'Model Setup'!$C$7,SUMIF($BH$3:$CE$3,"="&amp;$DF43+'Model Setup'!$C$7,$AD43:$BA43)+'Model Setup'!$C$8*(SUMIF($BH$3:$CE$3,"&lt;"&amp;$DF43,$AD43:$BA43)+SUMIF($BH$3:$CE$3,"&gt;"&amp;$CW$4,$AD43:$BA43)),
IF(CE$3=$DF43+'Model Setup'!$D$7,SUMIF($BH$3:$CE$3,"="&amp;$DF43+'Model Setup'!$D$7,$AD43:$BA43)+'Model Setup'!$D$8*(SUMIF($BH$3:$CE$3,"&lt;"&amp;$DF43,$AD43:$BA43)+SUMIF($BH$3:$CE$3,"&gt;"&amp;$CW$4,$AD43:$BA43)),
IF(CE$3=$DF43+'Model Setup'!$E$7,SUMIF($BH$3:$CE$3,"="&amp;$DF43+'Model Setup'!$E$7,$AD43:$BA43)+'Model Setup'!$E$8*(SUMIF($BH$3:$CE$3,"&lt;"&amp;$DF43,$AD43:$BA43)+SUMIF($BH$3:$CE$3,"&gt;"&amp;$CW$4,$AD43:$BA43)),
IF(CE$3=$DF43+'Model Setup'!$F$7,SUMIF($BH$3:$CE$3,"="&amp;$DF43+'Model Setup'!$F$7,$AD43:$BA43)+'Model Setup'!$F$8*(SUMIF($BH$3:$CE$3,"&lt;"&amp;$DF43,$AD43:$BA43)+SUMIF($BH$3:$CE$3,"&gt;"&amp;$CW$4,$AD43:$BA43)),
IF(CE$3=$DF43+'Model Setup'!$G$7,SUMIF($BH$3:$CE$3,"="&amp;$DF43+'Model Setup'!$G$7,$AD43:$BA43)+'Model Setup'!$G$8*(SUMIF($BH$3:$CE$3,"&lt;"&amp;$DF43,$AD43:$BA43)+SUMIF($BH$3:$CE$3,"&gt;"&amp;$CW$4,$AD43:$BA43)),
IF(CE$3=$DF43+'Model Setup'!$H$7,SUMIF($BH$3:$CE$3,"="&amp;$DF43+'Model Setup'!$H$7,$AD43:$BA43)+'Model Setup'!$H$8*(SUMIF($BH$3:$CE$3,"&lt;"&amp;$DF43,$AD43:$BA43)+SUMIF($BH$3:$CE$3,"&gt;"&amp;$CW$4,$AD43:$BA43)),
IF(CE$3=$DF43+'Model Setup'!$I$7,SUMIF($BH$3:$CE$3,"="&amp;$DF43+'Model Setup'!$I$7,$AD43:$BA43)+'Model Setup'!$I$8*(SUMIF($BH$3:$CE$3,"&lt;"&amp;$DF43,$AD43:$BA43)+SUMIF($BH$3:$CE$3,"&gt;"&amp;$CW$4,$AD43:$BA43)),
IF(CE$3=$DF43+'Model Setup'!$J$7,SUMIF($BH$3:$CE$3,"="&amp;$DF43+'Model Setup'!$J$7,$AD43:$BA43)+'Model Setup'!$J$8*(SUMIF($BH$3:$CE$3,"&lt;"&amp;$DF43,$AD43:$BA43)+SUMIF($BH$3:$CE$3,"&gt;"&amp;$CW$4,$AD43:$BA43)),
IF(CE$3=$DF43+'Model Setup'!$K$7,SUMIF($BH$3:$CE$3,"="&amp;$DF43+'Model Setup'!$K$7,$AD43:$BA43)+'Model Setup'!$K$8*(SUMIF($BH$3:$CE$3,"&lt;"&amp;$DF43,$AD43:$BA43)+SUMIF($BH$3:$CE$3,"&gt;"&amp;$CW$4,$AD43:$BA43)),
IF(CE$3=$DF43+'Model Setup'!$L$7,SUMIF($BH$3:$CE$3,"="&amp;$DF43+'Model Setup'!$L$7,$AD43:$BA43)+'Model Setup'!$L$8*(SUMIF($BH$3:$CE$3,"&lt;"&amp;$DF43,$AD43:$BA43)+SUMIF($BH$3:$CE$3,"&gt;"&amp;$CW$4,$AD43:$BA43)),
IF(CE$3=$DF43+'Model Setup'!$M$7,SUMIF($BH$3:$CE$3,"="&amp;$DF43+'Model Setup'!$M$7,$AD43:$BA43)+'Model Setup'!$M$8*(SUMIF($BH$3:$CE$3,"&lt;"&amp;$DF43,$AD43:$BA43)+SUMIF($BH$3:$CE$3,"&gt;"&amp;$CW$4,$AD43:$BA43)),
IF(CE$3=$DF43+'Model Setup'!$N$7,SUMIF($BH$3:$CE$3,"="&amp;$DF43+'Model Setup'!$N$7,$AD43:$BA43)+'Model Setup'!$N$8*(SUMIF($BH$3:$CE$3,"&lt;"&amp;$DF43,$AD43:$BA43)+SUMIF($BH$3:$CE$3,"&gt;"&amp;$CW$4,$AD43:$BA43)),
IF(CE$3&lt;$CW$4,Y43,0))))))))))))))),0)</f>
        <v>0</v>
      </c>
      <c r="CF43" s="47">
        <f t="shared" si="3"/>
        <v>1568</v>
      </c>
      <c r="CG43" s="47">
        <f t="shared" si="4"/>
        <v>0</v>
      </c>
      <c r="CI43" s="10" t="s">
        <v>58</v>
      </c>
      <c r="CJ43" s="126">
        <f t="shared" si="9"/>
        <v>38</v>
      </c>
      <c r="CK43" s="126">
        <f t="shared" si="10"/>
        <v>158</v>
      </c>
      <c r="CL43" s="126">
        <f t="shared" si="11"/>
        <v>176</v>
      </c>
      <c r="CM43" s="126">
        <f t="shared" si="12"/>
        <v>194</v>
      </c>
      <c r="CN43" s="126">
        <f t="shared" si="13"/>
        <v>181</v>
      </c>
      <c r="CO43" s="126">
        <f t="shared" si="14"/>
        <v>145</v>
      </c>
      <c r="CP43" s="126">
        <f t="shared" si="15"/>
        <v>149</v>
      </c>
      <c r="CQ43" s="126">
        <f t="shared" si="16"/>
        <v>107</v>
      </c>
      <c r="CR43" s="126">
        <f t="shared" si="17"/>
        <v>109</v>
      </c>
      <c r="CS43" s="126">
        <f t="shared" si="18"/>
        <v>74</v>
      </c>
      <c r="CT43" s="126">
        <f t="shared" si="19"/>
        <v>86</v>
      </c>
      <c r="CU43" s="126">
        <f t="shared" si="20"/>
        <v>87</v>
      </c>
      <c r="CV43" s="126">
        <f t="shared" si="21"/>
        <v>64</v>
      </c>
      <c r="CW43" s="126">
        <f t="shared" si="22"/>
        <v>0</v>
      </c>
      <c r="CX43" s="126">
        <f t="shared" si="23"/>
        <v>0</v>
      </c>
      <c r="CY43" s="126">
        <f t="shared" si="24"/>
        <v>0</v>
      </c>
      <c r="CZ43" s="47">
        <f t="shared" si="7"/>
        <v>1568</v>
      </c>
      <c r="DC43" s="93" t="s">
        <v>58</v>
      </c>
      <c r="DD43" s="89">
        <f>FTC!E41</f>
        <v>0.20833333333333334</v>
      </c>
      <c r="DE43" s="89">
        <f>FTC!F41</f>
        <v>0.75</v>
      </c>
      <c r="DF43" s="90">
        <f t="shared" si="25"/>
        <v>5</v>
      </c>
      <c r="DG43" s="91">
        <f t="shared" si="26"/>
        <v>18</v>
      </c>
      <c r="DH43" s="91">
        <f t="shared" si="27"/>
        <v>13</v>
      </c>
    </row>
    <row r="44" spans="1:112" x14ac:dyDescent="0.35">
      <c r="A44" s="43" t="s">
        <v>59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47">
        <v>2</v>
      </c>
      <c r="N44" s="47">
        <v>3</v>
      </c>
      <c r="O44" s="6"/>
      <c r="P44" s="47">
        <v>2</v>
      </c>
      <c r="Q44" s="6"/>
      <c r="R44" s="6"/>
      <c r="S44" s="6"/>
      <c r="T44" s="47">
        <v>1</v>
      </c>
      <c r="U44" s="6"/>
      <c r="V44" s="6"/>
      <c r="W44" s="6"/>
      <c r="X44" s="6"/>
      <c r="Y44" s="6"/>
      <c r="Z44" s="47">
        <f t="shared" si="0"/>
        <v>8</v>
      </c>
      <c r="AC44" s="43" t="s">
        <v>59</v>
      </c>
      <c r="AD44" s="47">
        <f>ROUND(IF(AD$3&lt;$DF44,0,
IF(AD$3=$DF44+'Model Setup'!$B$7,SUMIF($AD$3:$BA$3,"="&amp;$DF44+'Model Setup'!$B$7,$B44:$Y44)+'Model Setup'!$B$8*(SUMIF($AD$3:$BA$3,"&lt;"&amp;$DF44,$B44:$Y44)+SUMIF($AD$3:$BA$3,"&gt;="&amp;$DG44,$B44:$Y44)),
IF(AD$3=$DF44+'Model Setup'!$C$7,SUMIF($AD$3:$BA$3,"="&amp;$DF44+'Model Setup'!$C$7,$B44:$Y44)+'Model Setup'!$C$8*(SUMIF($AD$3:$BA$3,"&lt;"&amp;$DF44,$B44:$Y44)+SUMIF($AD$3:$BA$3,"&gt;="&amp;$DG44,$B44:$Y44)),
IF(AD$3=$DF44+'Model Setup'!$D$7,SUMIF($AD$3:$BA$3,"="&amp;$DF44+'Model Setup'!$D$7,$B44:$Y44)+'Model Setup'!$D$8*(SUMIF($AD$3:$BA$3,"&lt;"&amp;$DF44,$B44:$Y44)+SUMIF($AD$3:$BA$3,"&gt;="&amp;$DG44,$B44:$Y44)),
IF(AD$3=$DF44+'Model Setup'!$E$7,SUMIF($AD$3:$BA$3,"="&amp;$DF44+'Model Setup'!$E$7,$B44:$Y44)+'Model Setup'!$E$8*(SUMIF($AD$3:$BA$3,"&lt;"&amp;$DF44,$B44:$Y44)+SUMIF($AD$3:$BA$3,"&gt;="&amp;$DG44,$B44:$Y44)),
IF(AD$3=$DF44+'Model Setup'!$F$7,SUMIF($AD$3:$BA$3,"="&amp;$DF44+'Model Setup'!$F$7,$B44:$Y44)+'Model Setup'!$F$8*(SUMIF($AD$3:$BA$3,"&lt;"&amp;$DF44,$B44:$Y44)+SUMIF($AD$3:$BA$3,"&gt;="&amp;$DG44,$B44:$Y44)),
IF(AD$3=$DF44+'Model Setup'!$G$7,SUMIF($AD$3:$BA$3,"="&amp;$DF44+'Model Setup'!$G$7,$B44:$Y44)+'Model Setup'!$G$8*(SUMIF($AD$3:$BA$3,"&lt;"&amp;$DF44,$B44:$Y44)+SUMIF($AD$3:$BA$3,"&gt;="&amp;$DG44,$B44:$Y44)),
IF(AD$3=$DF44+'Model Setup'!$H$7,SUMIF($AD$3:$BA$3,"="&amp;$DF44+'Model Setup'!$H$7,$B44:$Y44)+'Model Setup'!$H$8*(SUMIF($AD$3:$BA$3,"&lt;"&amp;$DF44,$B44:$Y44)+SUMIF($AD$3:$BA$3,"&gt;="&amp;$DG44,$B44:$Y44)),
IF(AD$3=$DF44+'Model Setup'!$I$7,SUMIF($AD$3:$BA$3,"="&amp;$DF44+'Model Setup'!$I$7,$B44:$Y44)+'Model Setup'!$I$8*(SUMIF($AD$3:$BA$3,"&lt;"&amp;$DF44,$B44:$Y44)+SUMIF($AD$3:$BA$3,"&gt;="&amp;$DG44,$B44:$Y44)),
IF(AD$3=$DF44+'Model Setup'!$J$7,SUMIF($AD$3:$BA$3,"="&amp;$DF44+'Model Setup'!$J$7,$B44:$Y44)+'Model Setup'!$J$8*(SUMIF($AD$3:$BA$3,"&lt;"&amp;$DF44,$B44:$Y44)+SUMIF($AD$3:$BA$3,"&gt;="&amp;$DG44,$B44:$Y44)),
IF(AD$3=$DF44+'Model Setup'!$K$7,SUMIF($AD$3:$BA$3,"="&amp;$DF44+'Model Setup'!$K$7,$B44:$Y44)+'Model Setup'!$K$8*(SUMIF($AD$3:$BA$3,"&lt;"&amp;$DF44,$B44:$Y44)+SUMIF($AD$3:$BA$3,"&gt;="&amp;$DG44,$B44:$Y44)),
IF(AD$3=$DF44+'Model Setup'!$L$7,SUMIF($AD$3:$BA$3,"="&amp;$DF44+'Model Setup'!$L$7,$B44:$Y44)+'Model Setup'!$L$8*(SUMIF($AD$3:$BA$3,"&lt;"&amp;$DF44,$B44:$Y44)+SUMIF($AD$3:$BA$3,"&gt;="&amp;$DG44,$B44:$Y44)),
IF(AD$3=$DF44+'Model Setup'!$M$7,SUMIF($AD$3:$BA$3,"="&amp;$DF44+'Model Setup'!$M$7,$B44:$Y44)+'Model Setup'!$M$8*(SUMIF($AD$3:$BA$3,"&lt;"&amp;$DF44,$B44:$Y44)+SUMIF($AD$3:$BA$3,"&gt;="&amp;$DG44,$B44:$Y44)),
IF(AD$3=$DF44+'Model Setup'!$N$7,SUMIF($AD$3:$BA$3,"="&amp;$DF44+'Model Setup'!$N$7,$B44:$Y44)+'Model Setup'!$N$8*(SUMIF($AD$3:$BA$3,"&lt;"&amp;$DF44,$B44:$Y44)+SUMIF($AD$3:$BA$3,"&gt;="&amp;$DG44,$B44:$Y44)),
IF(AD$3&lt;$DG44,B44,0))))))))))))))),0)</f>
        <v>0</v>
      </c>
      <c r="AE44" s="47">
        <f>ROUND(IF(AE$3&lt;$DF44,0,
IF(AE$3=$DF44+'Model Setup'!$B$7,SUMIF($AD$3:$BA$3,"="&amp;$DF44+'Model Setup'!$B$7,$B44:$Y44)+'Model Setup'!$B$8*(SUMIF($AD$3:$BA$3,"&lt;"&amp;$DF44,$B44:$Y44)+SUMIF($AD$3:$BA$3,"&gt;="&amp;$DG44,$B44:$Y44)),
IF(AE$3=$DF44+'Model Setup'!$C$7,SUMIF($AD$3:$BA$3,"="&amp;$DF44+'Model Setup'!$C$7,$B44:$Y44)+'Model Setup'!$C$8*(SUMIF($AD$3:$BA$3,"&lt;"&amp;$DF44,$B44:$Y44)+SUMIF($AD$3:$BA$3,"&gt;="&amp;$DG44,$B44:$Y44)),
IF(AE$3=$DF44+'Model Setup'!$D$7,SUMIF($AD$3:$BA$3,"="&amp;$DF44+'Model Setup'!$D$7,$B44:$Y44)+'Model Setup'!$D$8*(SUMIF($AD$3:$BA$3,"&lt;"&amp;$DF44,$B44:$Y44)+SUMIF($AD$3:$BA$3,"&gt;="&amp;$DG44,$B44:$Y44)),
IF(AE$3=$DF44+'Model Setup'!$E$7,SUMIF($AD$3:$BA$3,"="&amp;$DF44+'Model Setup'!$E$7,$B44:$Y44)+'Model Setup'!$E$8*(SUMIF($AD$3:$BA$3,"&lt;"&amp;$DF44,$B44:$Y44)+SUMIF($AD$3:$BA$3,"&gt;="&amp;$DG44,$B44:$Y44)),
IF(AE$3=$DF44+'Model Setup'!$F$7,SUMIF($AD$3:$BA$3,"="&amp;$DF44+'Model Setup'!$F$7,$B44:$Y44)+'Model Setup'!$F$8*(SUMIF($AD$3:$BA$3,"&lt;"&amp;$DF44,$B44:$Y44)+SUMIF($AD$3:$BA$3,"&gt;="&amp;$DG44,$B44:$Y44)),
IF(AE$3=$DF44+'Model Setup'!$G$7,SUMIF($AD$3:$BA$3,"="&amp;$DF44+'Model Setup'!$G$7,$B44:$Y44)+'Model Setup'!$G$8*(SUMIF($AD$3:$BA$3,"&lt;"&amp;$DF44,$B44:$Y44)+SUMIF($AD$3:$BA$3,"&gt;="&amp;$DG44,$B44:$Y44)),
IF(AE$3=$DF44+'Model Setup'!$H$7,SUMIF($AD$3:$BA$3,"="&amp;$DF44+'Model Setup'!$H$7,$B44:$Y44)+'Model Setup'!$H$8*(SUMIF($AD$3:$BA$3,"&lt;"&amp;$DF44,$B44:$Y44)+SUMIF($AD$3:$BA$3,"&gt;="&amp;$DG44,$B44:$Y44)),
IF(AE$3=$DF44+'Model Setup'!$I$7,SUMIF($AD$3:$BA$3,"="&amp;$DF44+'Model Setup'!$I$7,$B44:$Y44)+'Model Setup'!$I$8*(SUMIF($AD$3:$BA$3,"&lt;"&amp;$DF44,$B44:$Y44)+SUMIF($AD$3:$BA$3,"&gt;="&amp;$DG44,$B44:$Y44)),
IF(AE$3=$DF44+'Model Setup'!$J$7,SUMIF($AD$3:$BA$3,"="&amp;$DF44+'Model Setup'!$J$7,$B44:$Y44)+'Model Setup'!$J$8*(SUMIF($AD$3:$BA$3,"&lt;"&amp;$DF44,$B44:$Y44)+SUMIF($AD$3:$BA$3,"&gt;="&amp;$DG44,$B44:$Y44)),
IF(AE$3=$DF44+'Model Setup'!$K$7,SUMIF($AD$3:$BA$3,"="&amp;$DF44+'Model Setup'!$K$7,$B44:$Y44)+'Model Setup'!$K$8*(SUMIF($AD$3:$BA$3,"&lt;"&amp;$DF44,$B44:$Y44)+SUMIF($AD$3:$BA$3,"&gt;="&amp;$DG44,$B44:$Y44)),
IF(AE$3=$DF44+'Model Setup'!$L$7,SUMIF($AD$3:$BA$3,"="&amp;$DF44+'Model Setup'!$L$7,$B44:$Y44)+'Model Setup'!$L$8*(SUMIF($AD$3:$BA$3,"&lt;"&amp;$DF44,$B44:$Y44)+SUMIF($AD$3:$BA$3,"&gt;="&amp;$DG44,$B44:$Y44)),
IF(AE$3=$DF44+'Model Setup'!$M$7,SUMIF($AD$3:$BA$3,"="&amp;$DF44+'Model Setup'!$M$7,$B44:$Y44)+'Model Setup'!$M$8*(SUMIF($AD$3:$BA$3,"&lt;"&amp;$DF44,$B44:$Y44)+SUMIF($AD$3:$BA$3,"&gt;="&amp;$DG44,$B44:$Y44)),
IF(AE$3=$DF44+'Model Setup'!$N$7,SUMIF($AD$3:$BA$3,"="&amp;$DF44+'Model Setup'!$N$7,$B44:$Y44)+'Model Setup'!$N$8*(SUMIF($AD$3:$BA$3,"&lt;"&amp;$DF44,$B44:$Y44)+SUMIF($AD$3:$BA$3,"&gt;="&amp;$DG44,$B44:$Y44)),
IF(AE$3&lt;$DG44,C44,0))))))))))))))),0)</f>
        <v>0</v>
      </c>
      <c r="AF44" s="47">
        <f>ROUND(IF(AF$3&lt;$DF44,0,
IF(AF$3=$DF44+'Model Setup'!$B$7,SUMIF($AD$3:$BA$3,"="&amp;$DF44+'Model Setup'!$B$7,$B44:$Y44)+'Model Setup'!$B$8*(SUMIF($AD$3:$BA$3,"&lt;"&amp;$DF44,$B44:$Y44)+SUMIF($AD$3:$BA$3,"&gt;="&amp;$DG44,$B44:$Y44)),
IF(AF$3=$DF44+'Model Setup'!$C$7,SUMIF($AD$3:$BA$3,"="&amp;$DF44+'Model Setup'!$C$7,$B44:$Y44)+'Model Setup'!$C$8*(SUMIF($AD$3:$BA$3,"&lt;"&amp;$DF44,$B44:$Y44)+SUMIF($AD$3:$BA$3,"&gt;="&amp;$DG44,$B44:$Y44)),
IF(AF$3=$DF44+'Model Setup'!$D$7,SUMIF($AD$3:$BA$3,"="&amp;$DF44+'Model Setup'!$D$7,$B44:$Y44)+'Model Setup'!$D$8*(SUMIF($AD$3:$BA$3,"&lt;"&amp;$DF44,$B44:$Y44)+SUMIF($AD$3:$BA$3,"&gt;="&amp;$DG44,$B44:$Y44)),
IF(AF$3=$DF44+'Model Setup'!$E$7,SUMIF($AD$3:$BA$3,"="&amp;$DF44+'Model Setup'!$E$7,$B44:$Y44)+'Model Setup'!$E$8*(SUMIF($AD$3:$BA$3,"&lt;"&amp;$DF44,$B44:$Y44)+SUMIF($AD$3:$BA$3,"&gt;="&amp;$DG44,$B44:$Y44)),
IF(AF$3=$DF44+'Model Setup'!$F$7,SUMIF($AD$3:$BA$3,"="&amp;$DF44+'Model Setup'!$F$7,$B44:$Y44)+'Model Setup'!$F$8*(SUMIF($AD$3:$BA$3,"&lt;"&amp;$DF44,$B44:$Y44)+SUMIF($AD$3:$BA$3,"&gt;="&amp;$DG44,$B44:$Y44)),
IF(AF$3=$DF44+'Model Setup'!$G$7,SUMIF($AD$3:$BA$3,"="&amp;$DF44+'Model Setup'!$G$7,$B44:$Y44)+'Model Setup'!$G$8*(SUMIF($AD$3:$BA$3,"&lt;"&amp;$DF44,$B44:$Y44)+SUMIF($AD$3:$BA$3,"&gt;="&amp;$DG44,$B44:$Y44)),
IF(AF$3=$DF44+'Model Setup'!$H$7,SUMIF($AD$3:$BA$3,"="&amp;$DF44+'Model Setup'!$H$7,$B44:$Y44)+'Model Setup'!$H$8*(SUMIF($AD$3:$BA$3,"&lt;"&amp;$DF44,$B44:$Y44)+SUMIF($AD$3:$BA$3,"&gt;="&amp;$DG44,$B44:$Y44)),
IF(AF$3=$DF44+'Model Setup'!$I$7,SUMIF($AD$3:$BA$3,"="&amp;$DF44+'Model Setup'!$I$7,$B44:$Y44)+'Model Setup'!$I$8*(SUMIF($AD$3:$BA$3,"&lt;"&amp;$DF44,$B44:$Y44)+SUMIF($AD$3:$BA$3,"&gt;="&amp;$DG44,$B44:$Y44)),
IF(AF$3=$DF44+'Model Setup'!$J$7,SUMIF($AD$3:$BA$3,"="&amp;$DF44+'Model Setup'!$J$7,$B44:$Y44)+'Model Setup'!$J$8*(SUMIF($AD$3:$BA$3,"&lt;"&amp;$DF44,$B44:$Y44)+SUMIF($AD$3:$BA$3,"&gt;="&amp;$DG44,$B44:$Y44)),
IF(AF$3=$DF44+'Model Setup'!$K$7,SUMIF($AD$3:$BA$3,"="&amp;$DF44+'Model Setup'!$K$7,$B44:$Y44)+'Model Setup'!$K$8*(SUMIF($AD$3:$BA$3,"&lt;"&amp;$DF44,$B44:$Y44)+SUMIF($AD$3:$BA$3,"&gt;="&amp;$DG44,$B44:$Y44)),
IF(AF$3=$DF44+'Model Setup'!$L$7,SUMIF($AD$3:$BA$3,"="&amp;$DF44+'Model Setup'!$L$7,$B44:$Y44)+'Model Setup'!$L$8*(SUMIF($AD$3:$BA$3,"&lt;"&amp;$DF44,$B44:$Y44)+SUMIF($AD$3:$BA$3,"&gt;="&amp;$DG44,$B44:$Y44)),
IF(AF$3=$DF44+'Model Setup'!$M$7,SUMIF($AD$3:$BA$3,"="&amp;$DF44+'Model Setup'!$M$7,$B44:$Y44)+'Model Setup'!$M$8*(SUMIF($AD$3:$BA$3,"&lt;"&amp;$DF44,$B44:$Y44)+SUMIF($AD$3:$BA$3,"&gt;="&amp;$DG44,$B44:$Y44)),
IF(AF$3=$DF44+'Model Setup'!$N$7,SUMIF($AD$3:$BA$3,"="&amp;$DF44+'Model Setup'!$N$7,$B44:$Y44)+'Model Setup'!$N$8*(SUMIF($AD$3:$BA$3,"&lt;"&amp;$DF44,$B44:$Y44)+SUMIF($AD$3:$BA$3,"&gt;="&amp;$DG44,$B44:$Y44)),
IF(AF$3&lt;$DG44,D44,0))))))))))))))),0)</f>
        <v>0</v>
      </c>
      <c r="AG44" s="47">
        <f>ROUND(IF(AG$3&lt;$DF44,0,
IF(AG$3=$DF44+'Model Setup'!$B$7,SUMIF($AD$3:$BA$3,"="&amp;$DF44+'Model Setup'!$B$7,$B44:$Y44)+'Model Setup'!$B$8*(SUMIF($AD$3:$BA$3,"&lt;"&amp;$DF44,$B44:$Y44)+SUMIF($AD$3:$BA$3,"&gt;="&amp;$DG44,$B44:$Y44)),
IF(AG$3=$DF44+'Model Setup'!$C$7,SUMIF($AD$3:$BA$3,"="&amp;$DF44+'Model Setup'!$C$7,$B44:$Y44)+'Model Setup'!$C$8*(SUMIF($AD$3:$BA$3,"&lt;"&amp;$DF44,$B44:$Y44)+SUMIF($AD$3:$BA$3,"&gt;="&amp;$DG44,$B44:$Y44)),
IF(AG$3=$DF44+'Model Setup'!$D$7,SUMIF($AD$3:$BA$3,"="&amp;$DF44+'Model Setup'!$D$7,$B44:$Y44)+'Model Setup'!$D$8*(SUMIF($AD$3:$BA$3,"&lt;"&amp;$DF44,$B44:$Y44)+SUMIF($AD$3:$BA$3,"&gt;="&amp;$DG44,$B44:$Y44)),
IF(AG$3=$DF44+'Model Setup'!$E$7,SUMIF($AD$3:$BA$3,"="&amp;$DF44+'Model Setup'!$E$7,$B44:$Y44)+'Model Setup'!$E$8*(SUMIF($AD$3:$BA$3,"&lt;"&amp;$DF44,$B44:$Y44)+SUMIF($AD$3:$BA$3,"&gt;="&amp;$DG44,$B44:$Y44)),
IF(AG$3=$DF44+'Model Setup'!$F$7,SUMIF($AD$3:$BA$3,"="&amp;$DF44+'Model Setup'!$F$7,$B44:$Y44)+'Model Setup'!$F$8*(SUMIF($AD$3:$BA$3,"&lt;"&amp;$DF44,$B44:$Y44)+SUMIF($AD$3:$BA$3,"&gt;="&amp;$DG44,$B44:$Y44)),
IF(AG$3=$DF44+'Model Setup'!$G$7,SUMIF($AD$3:$BA$3,"="&amp;$DF44+'Model Setup'!$G$7,$B44:$Y44)+'Model Setup'!$G$8*(SUMIF($AD$3:$BA$3,"&lt;"&amp;$DF44,$B44:$Y44)+SUMIF($AD$3:$BA$3,"&gt;="&amp;$DG44,$B44:$Y44)),
IF(AG$3=$DF44+'Model Setup'!$H$7,SUMIF($AD$3:$BA$3,"="&amp;$DF44+'Model Setup'!$H$7,$B44:$Y44)+'Model Setup'!$H$8*(SUMIF($AD$3:$BA$3,"&lt;"&amp;$DF44,$B44:$Y44)+SUMIF($AD$3:$BA$3,"&gt;="&amp;$DG44,$B44:$Y44)),
IF(AG$3=$DF44+'Model Setup'!$I$7,SUMIF($AD$3:$BA$3,"="&amp;$DF44+'Model Setup'!$I$7,$B44:$Y44)+'Model Setup'!$I$8*(SUMIF($AD$3:$BA$3,"&lt;"&amp;$DF44,$B44:$Y44)+SUMIF($AD$3:$BA$3,"&gt;="&amp;$DG44,$B44:$Y44)),
IF(AG$3=$DF44+'Model Setup'!$J$7,SUMIF($AD$3:$BA$3,"="&amp;$DF44+'Model Setup'!$J$7,$B44:$Y44)+'Model Setup'!$J$8*(SUMIF($AD$3:$BA$3,"&lt;"&amp;$DF44,$B44:$Y44)+SUMIF($AD$3:$BA$3,"&gt;="&amp;$DG44,$B44:$Y44)),
IF(AG$3=$DF44+'Model Setup'!$K$7,SUMIF($AD$3:$BA$3,"="&amp;$DF44+'Model Setup'!$K$7,$B44:$Y44)+'Model Setup'!$K$8*(SUMIF($AD$3:$BA$3,"&lt;"&amp;$DF44,$B44:$Y44)+SUMIF($AD$3:$BA$3,"&gt;="&amp;$DG44,$B44:$Y44)),
IF(AG$3=$DF44+'Model Setup'!$L$7,SUMIF($AD$3:$BA$3,"="&amp;$DF44+'Model Setup'!$L$7,$B44:$Y44)+'Model Setup'!$L$8*(SUMIF($AD$3:$BA$3,"&lt;"&amp;$DF44,$B44:$Y44)+SUMIF($AD$3:$BA$3,"&gt;="&amp;$DG44,$B44:$Y44)),
IF(AG$3=$DF44+'Model Setup'!$M$7,SUMIF($AD$3:$BA$3,"="&amp;$DF44+'Model Setup'!$M$7,$B44:$Y44)+'Model Setup'!$M$8*(SUMIF($AD$3:$BA$3,"&lt;"&amp;$DF44,$B44:$Y44)+SUMIF($AD$3:$BA$3,"&gt;="&amp;$DG44,$B44:$Y44)),
IF(AG$3=$DF44+'Model Setup'!$N$7,SUMIF($AD$3:$BA$3,"="&amp;$DF44+'Model Setup'!$N$7,$B44:$Y44)+'Model Setup'!$N$8*(SUMIF($AD$3:$BA$3,"&lt;"&amp;$DF44,$B44:$Y44)+SUMIF($AD$3:$BA$3,"&gt;="&amp;$DG44,$B44:$Y44)),
IF(AG$3&lt;$DG44,E44,0))))))))))))))),0)</f>
        <v>0</v>
      </c>
      <c r="AH44" s="47">
        <f>ROUND(IF(AH$3&lt;$DF44,0,
IF(AH$3=$DF44+'Model Setup'!$B$7,SUMIF($AD$3:$BA$3,"="&amp;$DF44+'Model Setup'!$B$7,$B44:$Y44)+'Model Setup'!$B$8*(SUMIF($AD$3:$BA$3,"&lt;"&amp;$DF44,$B44:$Y44)+SUMIF($AD$3:$BA$3,"&gt;="&amp;$DG44,$B44:$Y44)),
IF(AH$3=$DF44+'Model Setup'!$C$7,SUMIF($AD$3:$BA$3,"="&amp;$DF44+'Model Setup'!$C$7,$B44:$Y44)+'Model Setup'!$C$8*(SUMIF($AD$3:$BA$3,"&lt;"&amp;$DF44,$B44:$Y44)+SUMIF($AD$3:$BA$3,"&gt;="&amp;$DG44,$B44:$Y44)),
IF(AH$3=$DF44+'Model Setup'!$D$7,SUMIF($AD$3:$BA$3,"="&amp;$DF44+'Model Setup'!$D$7,$B44:$Y44)+'Model Setup'!$D$8*(SUMIF($AD$3:$BA$3,"&lt;"&amp;$DF44,$B44:$Y44)+SUMIF($AD$3:$BA$3,"&gt;="&amp;$DG44,$B44:$Y44)),
IF(AH$3=$DF44+'Model Setup'!$E$7,SUMIF($AD$3:$BA$3,"="&amp;$DF44+'Model Setup'!$E$7,$B44:$Y44)+'Model Setup'!$E$8*(SUMIF($AD$3:$BA$3,"&lt;"&amp;$DF44,$B44:$Y44)+SUMIF($AD$3:$BA$3,"&gt;="&amp;$DG44,$B44:$Y44)),
IF(AH$3=$DF44+'Model Setup'!$F$7,SUMIF($AD$3:$BA$3,"="&amp;$DF44+'Model Setup'!$F$7,$B44:$Y44)+'Model Setup'!$F$8*(SUMIF($AD$3:$BA$3,"&lt;"&amp;$DF44,$B44:$Y44)+SUMIF($AD$3:$BA$3,"&gt;="&amp;$DG44,$B44:$Y44)),
IF(AH$3=$DF44+'Model Setup'!$G$7,SUMIF($AD$3:$BA$3,"="&amp;$DF44+'Model Setup'!$G$7,$B44:$Y44)+'Model Setup'!$G$8*(SUMIF($AD$3:$BA$3,"&lt;"&amp;$DF44,$B44:$Y44)+SUMIF($AD$3:$BA$3,"&gt;="&amp;$DG44,$B44:$Y44)),
IF(AH$3=$DF44+'Model Setup'!$H$7,SUMIF($AD$3:$BA$3,"="&amp;$DF44+'Model Setup'!$H$7,$B44:$Y44)+'Model Setup'!$H$8*(SUMIF($AD$3:$BA$3,"&lt;"&amp;$DF44,$B44:$Y44)+SUMIF($AD$3:$BA$3,"&gt;="&amp;$DG44,$B44:$Y44)),
IF(AH$3=$DF44+'Model Setup'!$I$7,SUMIF($AD$3:$BA$3,"="&amp;$DF44+'Model Setup'!$I$7,$B44:$Y44)+'Model Setup'!$I$8*(SUMIF($AD$3:$BA$3,"&lt;"&amp;$DF44,$B44:$Y44)+SUMIF($AD$3:$BA$3,"&gt;="&amp;$DG44,$B44:$Y44)),
IF(AH$3=$DF44+'Model Setup'!$J$7,SUMIF($AD$3:$BA$3,"="&amp;$DF44+'Model Setup'!$J$7,$B44:$Y44)+'Model Setup'!$J$8*(SUMIF($AD$3:$BA$3,"&lt;"&amp;$DF44,$B44:$Y44)+SUMIF($AD$3:$BA$3,"&gt;="&amp;$DG44,$B44:$Y44)),
IF(AH$3=$DF44+'Model Setup'!$K$7,SUMIF($AD$3:$BA$3,"="&amp;$DF44+'Model Setup'!$K$7,$B44:$Y44)+'Model Setup'!$K$8*(SUMIF($AD$3:$BA$3,"&lt;"&amp;$DF44,$B44:$Y44)+SUMIF($AD$3:$BA$3,"&gt;="&amp;$DG44,$B44:$Y44)),
IF(AH$3=$DF44+'Model Setup'!$L$7,SUMIF($AD$3:$BA$3,"="&amp;$DF44+'Model Setup'!$L$7,$B44:$Y44)+'Model Setup'!$L$8*(SUMIF($AD$3:$BA$3,"&lt;"&amp;$DF44,$B44:$Y44)+SUMIF($AD$3:$BA$3,"&gt;="&amp;$DG44,$B44:$Y44)),
IF(AH$3=$DF44+'Model Setup'!$M$7,SUMIF($AD$3:$BA$3,"="&amp;$DF44+'Model Setup'!$M$7,$B44:$Y44)+'Model Setup'!$M$8*(SUMIF($AD$3:$BA$3,"&lt;"&amp;$DF44,$B44:$Y44)+SUMIF($AD$3:$BA$3,"&gt;="&amp;$DG44,$B44:$Y44)),
IF(AH$3=$DF44+'Model Setup'!$N$7,SUMIF($AD$3:$BA$3,"="&amp;$DF44+'Model Setup'!$N$7,$B44:$Y44)+'Model Setup'!$N$8*(SUMIF($AD$3:$BA$3,"&lt;"&amp;$DF44,$B44:$Y44)+SUMIF($AD$3:$BA$3,"&gt;="&amp;$DG44,$B44:$Y44)),
IF(AH$3&lt;$DG44,F44,0))))))))))))))),0)</f>
        <v>0</v>
      </c>
      <c r="AI44" s="47">
        <f>ROUND(IF(AI$3&lt;$DF44,0,
IF(AI$3=$DF44+'Model Setup'!$B$7,SUMIF($AD$3:$BA$3,"="&amp;$DF44+'Model Setup'!$B$7,$B44:$Y44)+'Model Setup'!$B$8*(SUMIF($AD$3:$BA$3,"&lt;"&amp;$DF44,$B44:$Y44)+SUMIF($AD$3:$BA$3,"&gt;="&amp;$DG44,$B44:$Y44)),
IF(AI$3=$DF44+'Model Setup'!$C$7,SUMIF($AD$3:$BA$3,"="&amp;$DF44+'Model Setup'!$C$7,$B44:$Y44)+'Model Setup'!$C$8*(SUMIF($AD$3:$BA$3,"&lt;"&amp;$DF44,$B44:$Y44)+SUMIF($AD$3:$BA$3,"&gt;="&amp;$DG44,$B44:$Y44)),
IF(AI$3=$DF44+'Model Setup'!$D$7,SUMIF($AD$3:$BA$3,"="&amp;$DF44+'Model Setup'!$D$7,$B44:$Y44)+'Model Setup'!$D$8*(SUMIF($AD$3:$BA$3,"&lt;"&amp;$DF44,$B44:$Y44)+SUMIF($AD$3:$BA$3,"&gt;="&amp;$DG44,$B44:$Y44)),
IF(AI$3=$DF44+'Model Setup'!$E$7,SUMIF($AD$3:$BA$3,"="&amp;$DF44+'Model Setup'!$E$7,$B44:$Y44)+'Model Setup'!$E$8*(SUMIF($AD$3:$BA$3,"&lt;"&amp;$DF44,$B44:$Y44)+SUMIF($AD$3:$BA$3,"&gt;="&amp;$DG44,$B44:$Y44)),
IF(AI$3=$DF44+'Model Setup'!$F$7,SUMIF($AD$3:$BA$3,"="&amp;$DF44+'Model Setup'!$F$7,$B44:$Y44)+'Model Setup'!$F$8*(SUMIF($AD$3:$BA$3,"&lt;"&amp;$DF44,$B44:$Y44)+SUMIF($AD$3:$BA$3,"&gt;="&amp;$DG44,$B44:$Y44)),
IF(AI$3=$DF44+'Model Setup'!$G$7,SUMIF($AD$3:$BA$3,"="&amp;$DF44+'Model Setup'!$G$7,$B44:$Y44)+'Model Setup'!$G$8*(SUMIF($AD$3:$BA$3,"&lt;"&amp;$DF44,$B44:$Y44)+SUMIF($AD$3:$BA$3,"&gt;="&amp;$DG44,$B44:$Y44)),
IF(AI$3=$DF44+'Model Setup'!$H$7,SUMIF($AD$3:$BA$3,"="&amp;$DF44+'Model Setup'!$H$7,$B44:$Y44)+'Model Setup'!$H$8*(SUMIF($AD$3:$BA$3,"&lt;"&amp;$DF44,$B44:$Y44)+SUMIF($AD$3:$BA$3,"&gt;="&amp;$DG44,$B44:$Y44)),
IF(AI$3=$DF44+'Model Setup'!$I$7,SUMIF($AD$3:$BA$3,"="&amp;$DF44+'Model Setup'!$I$7,$B44:$Y44)+'Model Setup'!$I$8*(SUMIF($AD$3:$BA$3,"&lt;"&amp;$DF44,$B44:$Y44)+SUMIF($AD$3:$BA$3,"&gt;="&amp;$DG44,$B44:$Y44)),
IF(AI$3=$DF44+'Model Setup'!$J$7,SUMIF($AD$3:$BA$3,"="&amp;$DF44+'Model Setup'!$J$7,$B44:$Y44)+'Model Setup'!$J$8*(SUMIF($AD$3:$BA$3,"&lt;"&amp;$DF44,$B44:$Y44)+SUMIF($AD$3:$BA$3,"&gt;="&amp;$DG44,$B44:$Y44)),
IF(AI$3=$DF44+'Model Setup'!$K$7,SUMIF($AD$3:$BA$3,"="&amp;$DF44+'Model Setup'!$K$7,$B44:$Y44)+'Model Setup'!$K$8*(SUMIF($AD$3:$BA$3,"&lt;"&amp;$DF44,$B44:$Y44)+SUMIF($AD$3:$BA$3,"&gt;="&amp;$DG44,$B44:$Y44)),
IF(AI$3=$DF44+'Model Setup'!$L$7,SUMIF($AD$3:$BA$3,"="&amp;$DF44+'Model Setup'!$L$7,$B44:$Y44)+'Model Setup'!$L$8*(SUMIF($AD$3:$BA$3,"&lt;"&amp;$DF44,$B44:$Y44)+SUMIF($AD$3:$BA$3,"&gt;="&amp;$DG44,$B44:$Y44)),
IF(AI$3=$DF44+'Model Setup'!$M$7,SUMIF($AD$3:$BA$3,"="&amp;$DF44+'Model Setup'!$M$7,$B44:$Y44)+'Model Setup'!$M$8*(SUMIF($AD$3:$BA$3,"&lt;"&amp;$DF44,$B44:$Y44)+SUMIF($AD$3:$BA$3,"&gt;="&amp;$DG44,$B44:$Y44)),
IF(AI$3=$DF44+'Model Setup'!$N$7,SUMIF($AD$3:$BA$3,"="&amp;$DF44+'Model Setup'!$N$7,$B44:$Y44)+'Model Setup'!$N$8*(SUMIF($AD$3:$BA$3,"&lt;"&amp;$DF44,$B44:$Y44)+SUMIF($AD$3:$BA$3,"&gt;="&amp;$DG44,$B44:$Y44)),
IF(AI$3&lt;$DG44,G44,0))))))))))))))),0)</f>
        <v>0</v>
      </c>
      <c r="AJ44" s="47">
        <f>ROUND(IF(AJ$3&lt;$DF44,0,
IF(AJ$3=$DF44+'Model Setup'!$B$7,SUMIF($AD$3:$BA$3,"="&amp;$DF44+'Model Setup'!$B$7,$B44:$Y44)+'Model Setup'!$B$8*(SUMIF($AD$3:$BA$3,"&lt;"&amp;$DF44,$B44:$Y44)+SUMIF($AD$3:$BA$3,"&gt;="&amp;$DG44,$B44:$Y44)),
IF(AJ$3=$DF44+'Model Setup'!$C$7,SUMIF($AD$3:$BA$3,"="&amp;$DF44+'Model Setup'!$C$7,$B44:$Y44)+'Model Setup'!$C$8*(SUMIF($AD$3:$BA$3,"&lt;"&amp;$DF44,$B44:$Y44)+SUMIF($AD$3:$BA$3,"&gt;="&amp;$DG44,$B44:$Y44)),
IF(AJ$3=$DF44+'Model Setup'!$D$7,SUMIF($AD$3:$BA$3,"="&amp;$DF44+'Model Setup'!$D$7,$B44:$Y44)+'Model Setup'!$D$8*(SUMIF($AD$3:$BA$3,"&lt;"&amp;$DF44,$B44:$Y44)+SUMIF($AD$3:$BA$3,"&gt;="&amp;$DG44,$B44:$Y44)),
IF(AJ$3=$DF44+'Model Setup'!$E$7,SUMIF($AD$3:$BA$3,"="&amp;$DF44+'Model Setup'!$E$7,$B44:$Y44)+'Model Setup'!$E$8*(SUMIF($AD$3:$BA$3,"&lt;"&amp;$DF44,$B44:$Y44)+SUMIF($AD$3:$BA$3,"&gt;="&amp;$DG44,$B44:$Y44)),
IF(AJ$3=$DF44+'Model Setup'!$F$7,SUMIF($AD$3:$BA$3,"="&amp;$DF44+'Model Setup'!$F$7,$B44:$Y44)+'Model Setup'!$F$8*(SUMIF($AD$3:$BA$3,"&lt;"&amp;$DF44,$B44:$Y44)+SUMIF($AD$3:$BA$3,"&gt;="&amp;$DG44,$B44:$Y44)),
IF(AJ$3=$DF44+'Model Setup'!$G$7,SUMIF($AD$3:$BA$3,"="&amp;$DF44+'Model Setup'!$G$7,$B44:$Y44)+'Model Setup'!$G$8*(SUMIF($AD$3:$BA$3,"&lt;"&amp;$DF44,$B44:$Y44)+SUMIF($AD$3:$BA$3,"&gt;="&amp;$DG44,$B44:$Y44)),
IF(AJ$3=$DF44+'Model Setup'!$H$7,SUMIF($AD$3:$BA$3,"="&amp;$DF44+'Model Setup'!$H$7,$B44:$Y44)+'Model Setup'!$H$8*(SUMIF($AD$3:$BA$3,"&lt;"&amp;$DF44,$B44:$Y44)+SUMIF($AD$3:$BA$3,"&gt;="&amp;$DG44,$B44:$Y44)),
IF(AJ$3=$DF44+'Model Setup'!$I$7,SUMIF($AD$3:$BA$3,"="&amp;$DF44+'Model Setup'!$I$7,$B44:$Y44)+'Model Setup'!$I$8*(SUMIF($AD$3:$BA$3,"&lt;"&amp;$DF44,$B44:$Y44)+SUMIF($AD$3:$BA$3,"&gt;="&amp;$DG44,$B44:$Y44)),
IF(AJ$3=$DF44+'Model Setup'!$J$7,SUMIF($AD$3:$BA$3,"="&amp;$DF44+'Model Setup'!$J$7,$B44:$Y44)+'Model Setup'!$J$8*(SUMIF($AD$3:$BA$3,"&lt;"&amp;$DF44,$B44:$Y44)+SUMIF($AD$3:$BA$3,"&gt;="&amp;$DG44,$B44:$Y44)),
IF(AJ$3=$DF44+'Model Setup'!$K$7,SUMIF($AD$3:$BA$3,"="&amp;$DF44+'Model Setup'!$K$7,$B44:$Y44)+'Model Setup'!$K$8*(SUMIF($AD$3:$BA$3,"&lt;"&amp;$DF44,$B44:$Y44)+SUMIF($AD$3:$BA$3,"&gt;="&amp;$DG44,$B44:$Y44)),
IF(AJ$3=$DF44+'Model Setup'!$L$7,SUMIF($AD$3:$BA$3,"="&amp;$DF44+'Model Setup'!$L$7,$B44:$Y44)+'Model Setup'!$L$8*(SUMIF($AD$3:$BA$3,"&lt;"&amp;$DF44,$B44:$Y44)+SUMIF($AD$3:$BA$3,"&gt;="&amp;$DG44,$B44:$Y44)),
IF(AJ$3=$DF44+'Model Setup'!$M$7,SUMIF($AD$3:$BA$3,"="&amp;$DF44+'Model Setup'!$M$7,$B44:$Y44)+'Model Setup'!$M$8*(SUMIF($AD$3:$BA$3,"&lt;"&amp;$DF44,$B44:$Y44)+SUMIF($AD$3:$BA$3,"&gt;="&amp;$DG44,$B44:$Y44)),
IF(AJ$3=$DF44+'Model Setup'!$N$7,SUMIF($AD$3:$BA$3,"="&amp;$DF44+'Model Setup'!$N$7,$B44:$Y44)+'Model Setup'!$N$8*(SUMIF($AD$3:$BA$3,"&lt;"&amp;$DF44,$B44:$Y44)+SUMIF($AD$3:$BA$3,"&gt;="&amp;$DG44,$B44:$Y44)),
IF(AJ$3&lt;$DG44,H44,0))))))))))))))),0)</f>
        <v>0</v>
      </c>
      <c r="AK44" s="47">
        <f>ROUND(IF(AK$3&lt;$DF44,0,
IF(AK$3=$DF44+'Model Setup'!$B$7,SUMIF($AD$3:$BA$3,"="&amp;$DF44+'Model Setup'!$B$7,$B44:$Y44)+'Model Setup'!$B$8*(SUMIF($AD$3:$BA$3,"&lt;"&amp;$DF44,$B44:$Y44)+SUMIF($AD$3:$BA$3,"&gt;="&amp;$DG44,$B44:$Y44)),
IF(AK$3=$DF44+'Model Setup'!$C$7,SUMIF($AD$3:$BA$3,"="&amp;$DF44+'Model Setup'!$C$7,$B44:$Y44)+'Model Setup'!$C$8*(SUMIF($AD$3:$BA$3,"&lt;"&amp;$DF44,$B44:$Y44)+SUMIF($AD$3:$BA$3,"&gt;="&amp;$DG44,$B44:$Y44)),
IF(AK$3=$DF44+'Model Setup'!$D$7,SUMIF($AD$3:$BA$3,"="&amp;$DF44+'Model Setup'!$D$7,$B44:$Y44)+'Model Setup'!$D$8*(SUMIF($AD$3:$BA$3,"&lt;"&amp;$DF44,$B44:$Y44)+SUMIF($AD$3:$BA$3,"&gt;="&amp;$DG44,$B44:$Y44)),
IF(AK$3=$DF44+'Model Setup'!$E$7,SUMIF($AD$3:$BA$3,"="&amp;$DF44+'Model Setup'!$E$7,$B44:$Y44)+'Model Setup'!$E$8*(SUMIF($AD$3:$BA$3,"&lt;"&amp;$DF44,$B44:$Y44)+SUMIF($AD$3:$BA$3,"&gt;="&amp;$DG44,$B44:$Y44)),
IF(AK$3=$DF44+'Model Setup'!$F$7,SUMIF($AD$3:$BA$3,"="&amp;$DF44+'Model Setup'!$F$7,$B44:$Y44)+'Model Setup'!$F$8*(SUMIF($AD$3:$BA$3,"&lt;"&amp;$DF44,$B44:$Y44)+SUMIF($AD$3:$BA$3,"&gt;="&amp;$DG44,$B44:$Y44)),
IF(AK$3=$DF44+'Model Setup'!$G$7,SUMIF($AD$3:$BA$3,"="&amp;$DF44+'Model Setup'!$G$7,$B44:$Y44)+'Model Setup'!$G$8*(SUMIF($AD$3:$BA$3,"&lt;"&amp;$DF44,$B44:$Y44)+SUMIF($AD$3:$BA$3,"&gt;="&amp;$DG44,$B44:$Y44)),
IF(AK$3=$DF44+'Model Setup'!$H$7,SUMIF($AD$3:$BA$3,"="&amp;$DF44+'Model Setup'!$H$7,$B44:$Y44)+'Model Setup'!$H$8*(SUMIF($AD$3:$BA$3,"&lt;"&amp;$DF44,$B44:$Y44)+SUMIF($AD$3:$BA$3,"&gt;="&amp;$DG44,$B44:$Y44)),
IF(AK$3=$DF44+'Model Setup'!$I$7,SUMIF($AD$3:$BA$3,"="&amp;$DF44+'Model Setup'!$I$7,$B44:$Y44)+'Model Setup'!$I$8*(SUMIF($AD$3:$BA$3,"&lt;"&amp;$DF44,$B44:$Y44)+SUMIF($AD$3:$BA$3,"&gt;="&amp;$DG44,$B44:$Y44)),
IF(AK$3=$DF44+'Model Setup'!$J$7,SUMIF($AD$3:$BA$3,"="&amp;$DF44+'Model Setup'!$J$7,$B44:$Y44)+'Model Setup'!$J$8*(SUMIF($AD$3:$BA$3,"&lt;"&amp;$DF44,$B44:$Y44)+SUMIF($AD$3:$BA$3,"&gt;="&amp;$DG44,$B44:$Y44)),
IF(AK$3=$DF44+'Model Setup'!$K$7,SUMIF($AD$3:$BA$3,"="&amp;$DF44+'Model Setup'!$K$7,$B44:$Y44)+'Model Setup'!$K$8*(SUMIF($AD$3:$BA$3,"&lt;"&amp;$DF44,$B44:$Y44)+SUMIF($AD$3:$BA$3,"&gt;="&amp;$DG44,$B44:$Y44)),
IF(AK$3=$DF44+'Model Setup'!$L$7,SUMIF($AD$3:$BA$3,"="&amp;$DF44+'Model Setup'!$L$7,$B44:$Y44)+'Model Setup'!$L$8*(SUMIF($AD$3:$BA$3,"&lt;"&amp;$DF44,$B44:$Y44)+SUMIF($AD$3:$BA$3,"&gt;="&amp;$DG44,$B44:$Y44)),
IF(AK$3=$DF44+'Model Setup'!$M$7,SUMIF($AD$3:$BA$3,"="&amp;$DF44+'Model Setup'!$M$7,$B44:$Y44)+'Model Setup'!$M$8*(SUMIF($AD$3:$BA$3,"&lt;"&amp;$DF44,$B44:$Y44)+SUMIF($AD$3:$BA$3,"&gt;="&amp;$DG44,$B44:$Y44)),
IF(AK$3=$DF44+'Model Setup'!$N$7,SUMIF($AD$3:$BA$3,"="&amp;$DF44+'Model Setup'!$N$7,$B44:$Y44)+'Model Setup'!$N$8*(SUMIF($AD$3:$BA$3,"&lt;"&amp;$DF44,$B44:$Y44)+SUMIF($AD$3:$BA$3,"&gt;="&amp;$DG44,$B44:$Y44)),
IF(AK$3&lt;$DG44,I44,0))))))))))))))),0)</f>
        <v>0</v>
      </c>
      <c r="AL44" s="47">
        <f>ROUND(IF(AL$3&lt;$DF44,0,
IF(AL$3=$DF44+'Model Setup'!$B$7,SUMIF($AD$3:$BA$3,"="&amp;$DF44+'Model Setup'!$B$7,$B44:$Y44)+'Model Setup'!$B$8*(SUMIF($AD$3:$BA$3,"&lt;"&amp;$DF44,$B44:$Y44)+SUMIF($AD$3:$BA$3,"&gt;="&amp;$DG44,$B44:$Y44)),
IF(AL$3=$DF44+'Model Setup'!$C$7,SUMIF($AD$3:$BA$3,"="&amp;$DF44+'Model Setup'!$C$7,$B44:$Y44)+'Model Setup'!$C$8*(SUMIF($AD$3:$BA$3,"&lt;"&amp;$DF44,$B44:$Y44)+SUMIF($AD$3:$BA$3,"&gt;="&amp;$DG44,$B44:$Y44)),
IF(AL$3=$DF44+'Model Setup'!$D$7,SUMIF($AD$3:$BA$3,"="&amp;$DF44+'Model Setup'!$D$7,$B44:$Y44)+'Model Setup'!$D$8*(SUMIF($AD$3:$BA$3,"&lt;"&amp;$DF44,$B44:$Y44)+SUMIF($AD$3:$BA$3,"&gt;="&amp;$DG44,$B44:$Y44)),
IF(AL$3=$DF44+'Model Setup'!$E$7,SUMIF($AD$3:$BA$3,"="&amp;$DF44+'Model Setup'!$E$7,$B44:$Y44)+'Model Setup'!$E$8*(SUMIF($AD$3:$BA$3,"&lt;"&amp;$DF44,$B44:$Y44)+SUMIF($AD$3:$BA$3,"&gt;="&amp;$DG44,$B44:$Y44)),
IF(AL$3=$DF44+'Model Setup'!$F$7,SUMIF($AD$3:$BA$3,"="&amp;$DF44+'Model Setup'!$F$7,$B44:$Y44)+'Model Setup'!$F$8*(SUMIF($AD$3:$BA$3,"&lt;"&amp;$DF44,$B44:$Y44)+SUMIF($AD$3:$BA$3,"&gt;="&amp;$DG44,$B44:$Y44)),
IF(AL$3=$DF44+'Model Setup'!$G$7,SUMIF($AD$3:$BA$3,"="&amp;$DF44+'Model Setup'!$G$7,$B44:$Y44)+'Model Setup'!$G$8*(SUMIF($AD$3:$BA$3,"&lt;"&amp;$DF44,$B44:$Y44)+SUMIF($AD$3:$BA$3,"&gt;="&amp;$DG44,$B44:$Y44)),
IF(AL$3=$DF44+'Model Setup'!$H$7,SUMIF($AD$3:$BA$3,"="&amp;$DF44+'Model Setup'!$H$7,$B44:$Y44)+'Model Setup'!$H$8*(SUMIF($AD$3:$BA$3,"&lt;"&amp;$DF44,$B44:$Y44)+SUMIF($AD$3:$BA$3,"&gt;="&amp;$DG44,$B44:$Y44)),
IF(AL$3=$DF44+'Model Setup'!$I$7,SUMIF($AD$3:$BA$3,"="&amp;$DF44+'Model Setup'!$I$7,$B44:$Y44)+'Model Setup'!$I$8*(SUMIF($AD$3:$BA$3,"&lt;"&amp;$DF44,$B44:$Y44)+SUMIF($AD$3:$BA$3,"&gt;="&amp;$DG44,$B44:$Y44)),
IF(AL$3=$DF44+'Model Setup'!$J$7,SUMIF($AD$3:$BA$3,"="&amp;$DF44+'Model Setup'!$J$7,$B44:$Y44)+'Model Setup'!$J$8*(SUMIF($AD$3:$BA$3,"&lt;"&amp;$DF44,$B44:$Y44)+SUMIF($AD$3:$BA$3,"&gt;="&amp;$DG44,$B44:$Y44)),
IF(AL$3=$DF44+'Model Setup'!$K$7,SUMIF($AD$3:$BA$3,"="&amp;$DF44+'Model Setup'!$K$7,$B44:$Y44)+'Model Setup'!$K$8*(SUMIF($AD$3:$BA$3,"&lt;"&amp;$DF44,$B44:$Y44)+SUMIF($AD$3:$BA$3,"&gt;="&amp;$DG44,$B44:$Y44)),
IF(AL$3=$DF44+'Model Setup'!$L$7,SUMIF($AD$3:$BA$3,"="&amp;$DF44+'Model Setup'!$L$7,$B44:$Y44)+'Model Setup'!$L$8*(SUMIF($AD$3:$BA$3,"&lt;"&amp;$DF44,$B44:$Y44)+SUMIF($AD$3:$BA$3,"&gt;="&amp;$DG44,$B44:$Y44)),
IF(AL$3=$DF44+'Model Setup'!$M$7,SUMIF($AD$3:$BA$3,"="&amp;$DF44+'Model Setup'!$M$7,$B44:$Y44)+'Model Setup'!$M$8*(SUMIF($AD$3:$BA$3,"&lt;"&amp;$DF44,$B44:$Y44)+SUMIF($AD$3:$BA$3,"&gt;="&amp;$DG44,$B44:$Y44)),
IF(AL$3=$DF44+'Model Setup'!$N$7,SUMIF($AD$3:$BA$3,"="&amp;$DF44+'Model Setup'!$N$7,$B44:$Y44)+'Model Setup'!$N$8*(SUMIF($AD$3:$BA$3,"&lt;"&amp;$DF44,$B44:$Y44)+SUMIF($AD$3:$BA$3,"&gt;="&amp;$DG44,$B44:$Y44)),
IF(AL$3&lt;$DG44,J44,0))))))))))))))),0)</f>
        <v>0</v>
      </c>
      <c r="AM44" s="47">
        <f>ROUND(IF(AM$3&lt;$DF44,0,
IF(AM$3=$DF44+'Model Setup'!$B$7,SUMIF($AD$3:$BA$3,"="&amp;$DF44+'Model Setup'!$B$7,$B44:$Y44)+'Model Setup'!$B$8*(SUMIF($AD$3:$BA$3,"&lt;"&amp;$DF44,$B44:$Y44)+SUMIF($AD$3:$BA$3,"&gt;="&amp;$DG44,$B44:$Y44)),
IF(AM$3=$DF44+'Model Setup'!$C$7,SUMIF($AD$3:$BA$3,"="&amp;$DF44+'Model Setup'!$C$7,$B44:$Y44)+'Model Setup'!$C$8*(SUMIF($AD$3:$BA$3,"&lt;"&amp;$DF44,$B44:$Y44)+SUMIF($AD$3:$BA$3,"&gt;="&amp;$DG44,$B44:$Y44)),
IF(AM$3=$DF44+'Model Setup'!$D$7,SUMIF($AD$3:$BA$3,"="&amp;$DF44+'Model Setup'!$D$7,$B44:$Y44)+'Model Setup'!$D$8*(SUMIF($AD$3:$BA$3,"&lt;"&amp;$DF44,$B44:$Y44)+SUMIF($AD$3:$BA$3,"&gt;="&amp;$DG44,$B44:$Y44)),
IF(AM$3=$DF44+'Model Setup'!$E$7,SUMIF($AD$3:$BA$3,"="&amp;$DF44+'Model Setup'!$E$7,$B44:$Y44)+'Model Setup'!$E$8*(SUMIF($AD$3:$BA$3,"&lt;"&amp;$DF44,$B44:$Y44)+SUMIF($AD$3:$BA$3,"&gt;="&amp;$DG44,$B44:$Y44)),
IF(AM$3=$DF44+'Model Setup'!$F$7,SUMIF($AD$3:$BA$3,"="&amp;$DF44+'Model Setup'!$F$7,$B44:$Y44)+'Model Setup'!$F$8*(SUMIF($AD$3:$BA$3,"&lt;"&amp;$DF44,$B44:$Y44)+SUMIF($AD$3:$BA$3,"&gt;="&amp;$DG44,$B44:$Y44)),
IF(AM$3=$DF44+'Model Setup'!$G$7,SUMIF($AD$3:$BA$3,"="&amp;$DF44+'Model Setup'!$G$7,$B44:$Y44)+'Model Setup'!$G$8*(SUMIF($AD$3:$BA$3,"&lt;"&amp;$DF44,$B44:$Y44)+SUMIF($AD$3:$BA$3,"&gt;="&amp;$DG44,$B44:$Y44)),
IF(AM$3=$DF44+'Model Setup'!$H$7,SUMIF($AD$3:$BA$3,"="&amp;$DF44+'Model Setup'!$H$7,$B44:$Y44)+'Model Setup'!$H$8*(SUMIF($AD$3:$BA$3,"&lt;"&amp;$DF44,$B44:$Y44)+SUMIF($AD$3:$BA$3,"&gt;="&amp;$DG44,$B44:$Y44)),
IF(AM$3=$DF44+'Model Setup'!$I$7,SUMIF($AD$3:$BA$3,"="&amp;$DF44+'Model Setup'!$I$7,$B44:$Y44)+'Model Setup'!$I$8*(SUMIF($AD$3:$BA$3,"&lt;"&amp;$DF44,$B44:$Y44)+SUMIF($AD$3:$BA$3,"&gt;="&amp;$DG44,$B44:$Y44)),
IF(AM$3=$DF44+'Model Setup'!$J$7,SUMIF($AD$3:$BA$3,"="&amp;$DF44+'Model Setup'!$J$7,$B44:$Y44)+'Model Setup'!$J$8*(SUMIF($AD$3:$BA$3,"&lt;"&amp;$DF44,$B44:$Y44)+SUMIF($AD$3:$BA$3,"&gt;="&amp;$DG44,$B44:$Y44)),
IF(AM$3=$DF44+'Model Setup'!$K$7,SUMIF($AD$3:$BA$3,"="&amp;$DF44+'Model Setup'!$K$7,$B44:$Y44)+'Model Setup'!$K$8*(SUMIF($AD$3:$BA$3,"&lt;"&amp;$DF44,$B44:$Y44)+SUMIF($AD$3:$BA$3,"&gt;="&amp;$DG44,$B44:$Y44)),
IF(AM$3=$DF44+'Model Setup'!$L$7,SUMIF($AD$3:$BA$3,"="&amp;$DF44+'Model Setup'!$L$7,$B44:$Y44)+'Model Setup'!$L$8*(SUMIF($AD$3:$BA$3,"&lt;"&amp;$DF44,$B44:$Y44)+SUMIF($AD$3:$BA$3,"&gt;="&amp;$DG44,$B44:$Y44)),
IF(AM$3=$DF44+'Model Setup'!$M$7,SUMIF($AD$3:$BA$3,"="&amp;$DF44+'Model Setup'!$M$7,$B44:$Y44)+'Model Setup'!$M$8*(SUMIF($AD$3:$BA$3,"&lt;"&amp;$DF44,$B44:$Y44)+SUMIF($AD$3:$BA$3,"&gt;="&amp;$DG44,$B44:$Y44)),
IF(AM$3=$DF44+'Model Setup'!$N$7,SUMIF($AD$3:$BA$3,"="&amp;$DF44+'Model Setup'!$N$7,$B44:$Y44)+'Model Setup'!$N$8*(SUMIF($AD$3:$BA$3,"&lt;"&amp;$DF44,$B44:$Y44)+SUMIF($AD$3:$BA$3,"&gt;="&amp;$DG44,$B44:$Y44)),
IF(AM$3&lt;$DG44,K44,0))))))))))))))),0)</f>
        <v>0</v>
      </c>
      <c r="AN44" s="47">
        <f>ROUND(IF(AN$3&lt;$DF44,0,
IF(AN$3=$DF44+'Model Setup'!$B$7,SUMIF($AD$3:$BA$3,"="&amp;$DF44+'Model Setup'!$B$7,$B44:$Y44)+'Model Setup'!$B$8*(SUMIF($AD$3:$BA$3,"&lt;"&amp;$DF44,$B44:$Y44)+SUMIF($AD$3:$BA$3,"&gt;="&amp;$DG44,$B44:$Y44)),
IF(AN$3=$DF44+'Model Setup'!$C$7,SUMIF($AD$3:$BA$3,"="&amp;$DF44+'Model Setup'!$C$7,$B44:$Y44)+'Model Setup'!$C$8*(SUMIF($AD$3:$BA$3,"&lt;"&amp;$DF44,$B44:$Y44)+SUMIF($AD$3:$BA$3,"&gt;="&amp;$DG44,$B44:$Y44)),
IF(AN$3=$DF44+'Model Setup'!$D$7,SUMIF($AD$3:$BA$3,"="&amp;$DF44+'Model Setup'!$D$7,$B44:$Y44)+'Model Setup'!$D$8*(SUMIF($AD$3:$BA$3,"&lt;"&amp;$DF44,$B44:$Y44)+SUMIF($AD$3:$BA$3,"&gt;="&amp;$DG44,$B44:$Y44)),
IF(AN$3=$DF44+'Model Setup'!$E$7,SUMIF($AD$3:$BA$3,"="&amp;$DF44+'Model Setup'!$E$7,$B44:$Y44)+'Model Setup'!$E$8*(SUMIF($AD$3:$BA$3,"&lt;"&amp;$DF44,$B44:$Y44)+SUMIF($AD$3:$BA$3,"&gt;="&amp;$DG44,$B44:$Y44)),
IF(AN$3=$DF44+'Model Setup'!$F$7,SUMIF($AD$3:$BA$3,"="&amp;$DF44+'Model Setup'!$F$7,$B44:$Y44)+'Model Setup'!$F$8*(SUMIF($AD$3:$BA$3,"&lt;"&amp;$DF44,$B44:$Y44)+SUMIF($AD$3:$BA$3,"&gt;="&amp;$DG44,$B44:$Y44)),
IF(AN$3=$DF44+'Model Setup'!$G$7,SUMIF($AD$3:$BA$3,"="&amp;$DF44+'Model Setup'!$G$7,$B44:$Y44)+'Model Setup'!$G$8*(SUMIF($AD$3:$BA$3,"&lt;"&amp;$DF44,$B44:$Y44)+SUMIF($AD$3:$BA$3,"&gt;="&amp;$DG44,$B44:$Y44)),
IF(AN$3=$DF44+'Model Setup'!$H$7,SUMIF($AD$3:$BA$3,"="&amp;$DF44+'Model Setup'!$H$7,$B44:$Y44)+'Model Setup'!$H$8*(SUMIF($AD$3:$BA$3,"&lt;"&amp;$DF44,$B44:$Y44)+SUMIF($AD$3:$BA$3,"&gt;="&amp;$DG44,$B44:$Y44)),
IF(AN$3=$DF44+'Model Setup'!$I$7,SUMIF($AD$3:$BA$3,"="&amp;$DF44+'Model Setup'!$I$7,$B44:$Y44)+'Model Setup'!$I$8*(SUMIF($AD$3:$BA$3,"&lt;"&amp;$DF44,$B44:$Y44)+SUMIF($AD$3:$BA$3,"&gt;="&amp;$DG44,$B44:$Y44)),
IF(AN$3=$DF44+'Model Setup'!$J$7,SUMIF($AD$3:$BA$3,"="&amp;$DF44+'Model Setup'!$J$7,$B44:$Y44)+'Model Setup'!$J$8*(SUMIF($AD$3:$BA$3,"&lt;"&amp;$DF44,$B44:$Y44)+SUMIF($AD$3:$BA$3,"&gt;="&amp;$DG44,$B44:$Y44)),
IF(AN$3=$DF44+'Model Setup'!$K$7,SUMIF($AD$3:$BA$3,"="&amp;$DF44+'Model Setup'!$K$7,$B44:$Y44)+'Model Setup'!$K$8*(SUMIF($AD$3:$BA$3,"&lt;"&amp;$DF44,$B44:$Y44)+SUMIF($AD$3:$BA$3,"&gt;="&amp;$DG44,$B44:$Y44)),
IF(AN$3=$DF44+'Model Setup'!$L$7,SUMIF($AD$3:$BA$3,"="&amp;$DF44+'Model Setup'!$L$7,$B44:$Y44)+'Model Setup'!$L$8*(SUMIF($AD$3:$BA$3,"&lt;"&amp;$DF44,$B44:$Y44)+SUMIF($AD$3:$BA$3,"&gt;="&amp;$DG44,$B44:$Y44)),
IF(AN$3=$DF44+'Model Setup'!$M$7,SUMIF($AD$3:$BA$3,"="&amp;$DF44+'Model Setup'!$M$7,$B44:$Y44)+'Model Setup'!$M$8*(SUMIF($AD$3:$BA$3,"&lt;"&amp;$DF44,$B44:$Y44)+SUMIF($AD$3:$BA$3,"&gt;="&amp;$DG44,$B44:$Y44)),
IF(AN$3=$DF44+'Model Setup'!$N$7,SUMIF($AD$3:$BA$3,"="&amp;$DF44+'Model Setup'!$N$7,$B44:$Y44)+'Model Setup'!$N$8*(SUMIF($AD$3:$BA$3,"&lt;"&amp;$DF44,$B44:$Y44)+SUMIF($AD$3:$BA$3,"&gt;="&amp;$DG44,$B44:$Y44)),
IF(AN$3&lt;$DG44,L44,0))))))))))))))),0)</f>
        <v>0</v>
      </c>
      <c r="AO44" s="47">
        <f>ROUND(IF(AO$3&lt;$DF44,0,
IF(AO$3=$DF44+'Model Setup'!$B$7,SUMIF($AD$3:$BA$3,"="&amp;$DF44+'Model Setup'!$B$7,$B44:$Y44)+'Model Setup'!$B$8*(SUMIF($AD$3:$BA$3,"&lt;"&amp;$DF44,$B44:$Y44)+SUMIF($AD$3:$BA$3,"&gt;="&amp;$DG44,$B44:$Y44)),
IF(AO$3=$DF44+'Model Setup'!$C$7,SUMIF($AD$3:$BA$3,"="&amp;$DF44+'Model Setup'!$C$7,$B44:$Y44)+'Model Setup'!$C$8*(SUMIF($AD$3:$BA$3,"&lt;"&amp;$DF44,$B44:$Y44)+SUMIF($AD$3:$BA$3,"&gt;="&amp;$DG44,$B44:$Y44)),
IF(AO$3=$DF44+'Model Setup'!$D$7,SUMIF($AD$3:$BA$3,"="&amp;$DF44+'Model Setup'!$D$7,$B44:$Y44)+'Model Setup'!$D$8*(SUMIF($AD$3:$BA$3,"&lt;"&amp;$DF44,$B44:$Y44)+SUMIF($AD$3:$BA$3,"&gt;="&amp;$DG44,$B44:$Y44)),
IF(AO$3=$DF44+'Model Setup'!$E$7,SUMIF($AD$3:$BA$3,"="&amp;$DF44+'Model Setup'!$E$7,$B44:$Y44)+'Model Setup'!$E$8*(SUMIF($AD$3:$BA$3,"&lt;"&amp;$DF44,$B44:$Y44)+SUMIF($AD$3:$BA$3,"&gt;="&amp;$DG44,$B44:$Y44)),
IF(AO$3=$DF44+'Model Setup'!$F$7,SUMIF($AD$3:$BA$3,"="&amp;$DF44+'Model Setup'!$F$7,$B44:$Y44)+'Model Setup'!$F$8*(SUMIF($AD$3:$BA$3,"&lt;"&amp;$DF44,$B44:$Y44)+SUMIF($AD$3:$BA$3,"&gt;="&amp;$DG44,$B44:$Y44)),
IF(AO$3=$DF44+'Model Setup'!$G$7,SUMIF($AD$3:$BA$3,"="&amp;$DF44+'Model Setup'!$G$7,$B44:$Y44)+'Model Setup'!$G$8*(SUMIF($AD$3:$BA$3,"&lt;"&amp;$DF44,$B44:$Y44)+SUMIF($AD$3:$BA$3,"&gt;="&amp;$DG44,$B44:$Y44)),
IF(AO$3=$DF44+'Model Setup'!$H$7,SUMIF($AD$3:$BA$3,"="&amp;$DF44+'Model Setup'!$H$7,$B44:$Y44)+'Model Setup'!$H$8*(SUMIF($AD$3:$BA$3,"&lt;"&amp;$DF44,$B44:$Y44)+SUMIF($AD$3:$BA$3,"&gt;="&amp;$DG44,$B44:$Y44)),
IF(AO$3=$DF44+'Model Setup'!$I$7,SUMIF($AD$3:$BA$3,"="&amp;$DF44+'Model Setup'!$I$7,$B44:$Y44)+'Model Setup'!$I$8*(SUMIF($AD$3:$BA$3,"&lt;"&amp;$DF44,$B44:$Y44)+SUMIF($AD$3:$BA$3,"&gt;="&amp;$DG44,$B44:$Y44)),
IF(AO$3=$DF44+'Model Setup'!$J$7,SUMIF($AD$3:$BA$3,"="&amp;$DF44+'Model Setup'!$J$7,$B44:$Y44)+'Model Setup'!$J$8*(SUMIF($AD$3:$BA$3,"&lt;"&amp;$DF44,$B44:$Y44)+SUMIF($AD$3:$BA$3,"&gt;="&amp;$DG44,$B44:$Y44)),
IF(AO$3=$DF44+'Model Setup'!$K$7,SUMIF($AD$3:$BA$3,"="&amp;$DF44+'Model Setup'!$K$7,$B44:$Y44)+'Model Setup'!$K$8*(SUMIF($AD$3:$BA$3,"&lt;"&amp;$DF44,$B44:$Y44)+SUMIF($AD$3:$BA$3,"&gt;="&amp;$DG44,$B44:$Y44)),
IF(AO$3=$DF44+'Model Setup'!$L$7,SUMIF($AD$3:$BA$3,"="&amp;$DF44+'Model Setup'!$L$7,$B44:$Y44)+'Model Setup'!$L$8*(SUMIF($AD$3:$BA$3,"&lt;"&amp;$DF44,$B44:$Y44)+SUMIF($AD$3:$BA$3,"&gt;="&amp;$DG44,$B44:$Y44)),
IF(AO$3=$DF44+'Model Setup'!$M$7,SUMIF($AD$3:$BA$3,"="&amp;$DF44+'Model Setup'!$M$7,$B44:$Y44)+'Model Setup'!$M$8*(SUMIF($AD$3:$BA$3,"&lt;"&amp;$DF44,$B44:$Y44)+SUMIF($AD$3:$BA$3,"&gt;="&amp;$DG44,$B44:$Y44)),
IF(AO$3=$DF44+'Model Setup'!$N$7,SUMIF($AD$3:$BA$3,"="&amp;$DF44+'Model Setup'!$N$7,$B44:$Y44)+'Model Setup'!$N$8*(SUMIF($AD$3:$BA$3,"&lt;"&amp;$DF44,$B44:$Y44)+SUMIF($AD$3:$BA$3,"&gt;="&amp;$DG44,$B44:$Y44)),
IF(AO$3&lt;$DG44,M44,0))))))))))))))),0)</f>
        <v>2</v>
      </c>
      <c r="AP44" s="47">
        <f>ROUND(IF(AP$3&lt;$DF44,0,
IF(AP$3=$DF44+'Model Setup'!$B$7,SUMIF($AD$3:$BA$3,"="&amp;$DF44+'Model Setup'!$B$7,$B44:$Y44)+'Model Setup'!$B$8*(SUMIF($AD$3:$BA$3,"&lt;"&amp;$DF44,$B44:$Y44)+SUMIF($AD$3:$BA$3,"&gt;="&amp;$DG44,$B44:$Y44)),
IF(AP$3=$DF44+'Model Setup'!$C$7,SUMIF($AD$3:$BA$3,"="&amp;$DF44+'Model Setup'!$C$7,$B44:$Y44)+'Model Setup'!$C$8*(SUMIF($AD$3:$BA$3,"&lt;"&amp;$DF44,$B44:$Y44)+SUMIF($AD$3:$BA$3,"&gt;="&amp;$DG44,$B44:$Y44)),
IF(AP$3=$DF44+'Model Setup'!$D$7,SUMIF($AD$3:$BA$3,"="&amp;$DF44+'Model Setup'!$D$7,$B44:$Y44)+'Model Setup'!$D$8*(SUMIF($AD$3:$BA$3,"&lt;"&amp;$DF44,$B44:$Y44)+SUMIF($AD$3:$BA$3,"&gt;="&amp;$DG44,$B44:$Y44)),
IF(AP$3=$DF44+'Model Setup'!$E$7,SUMIF($AD$3:$BA$3,"="&amp;$DF44+'Model Setup'!$E$7,$B44:$Y44)+'Model Setup'!$E$8*(SUMIF($AD$3:$BA$3,"&lt;"&amp;$DF44,$B44:$Y44)+SUMIF($AD$3:$BA$3,"&gt;="&amp;$DG44,$B44:$Y44)),
IF(AP$3=$DF44+'Model Setup'!$F$7,SUMIF($AD$3:$BA$3,"="&amp;$DF44+'Model Setup'!$F$7,$B44:$Y44)+'Model Setup'!$F$8*(SUMIF($AD$3:$BA$3,"&lt;"&amp;$DF44,$B44:$Y44)+SUMIF($AD$3:$BA$3,"&gt;="&amp;$DG44,$B44:$Y44)),
IF(AP$3=$DF44+'Model Setup'!$G$7,SUMIF($AD$3:$BA$3,"="&amp;$DF44+'Model Setup'!$G$7,$B44:$Y44)+'Model Setup'!$G$8*(SUMIF($AD$3:$BA$3,"&lt;"&amp;$DF44,$B44:$Y44)+SUMIF($AD$3:$BA$3,"&gt;="&amp;$DG44,$B44:$Y44)),
IF(AP$3=$DF44+'Model Setup'!$H$7,SUMIF($AD$3:$BA$3,"="&amp;$DF44+'Model Setup'!$H$7,$B44:$Y44)+'Model Setup'!$H$8*(SUMIF($AD$3:$BA$3,"&lt;"&amp;$DF44,$B44:$Y44)+SUMIF($AD$3:$BA$3,"&gt;="&amp;$DG44,$B44:$Y44)),
IF(AP$3=$DF44+'Model Setup'!$I$7,SUMIF($AD$3:$BA$3,"="&amp;$DF44+'Model Setup'!$I$7,$B44:$Y44)+'Model Setup'!$I$8*(SUMIF($AD$3:$BA$3,"&lt;"&amp;$DF44,$B44:$Y44)+SUMIF($AD$3:$BA$3,"&gt;="&amp;$DG44,$B44:$Y44)),
IF(AP$3=$DF44+'Model Setup'!$J$7,SUMIF($AD$3:$BA$3,"="&amp;$DF44+'Model Setup'!$J$7,$B44:$Y44)+'Model Setup'!$J$8*(SUMIF($AD$3:$BA$3,"&lt;"&amp;$DF44,$B44:$Y44)+SUMIF($AD$3:$BA$3,"&gt;="&amp;$DG44,$B44:$Y44)),
IF(AP$3=$DF44+'Model Setup'!$K$7,SUMIF($AD$3:$BA$3,"="&amp;$DF44+'Model Setup'!$K$7,$B44:$Y44)+'Model Setup'!$K$8*(SUMIF($AD$3:$BA$3,"&lt;"&amp;$DF44,$B44:$Y44)+SUMIF($AD$3:$BA$3,"&gt;="&amp;$DG44,$B44:$Y44)),
IF(AP$3=$DF44+'Model Setup'!$L$7,SUMIF($AD$3:$BA$3,"="&amp;$DF44+'Model Setup'!$L$7,$B44:$Y44)+'Model Setup'!$L$8*(SUMIF($AD$3:$BA$3,"&lt;"&amp;$DF44,$B44:$Y44)+SUMIF($AD$3:$BA$3,"&gt;="&amp;$DG44,$B44:$Y44)),
IF(AP$3=$DF44+'Model Setup'!$M$7,SUMIF($AD$3:$BA$3,"="&amp;$DF44+'Model Setup'!$M$7,$B44:$Y44)+'Model Setup'!$M$8*(SUMIF($AD$3:$BA$3,"&lt;"&amp;$DF44,$B44:$Y44)+SUMIF($AD$3:$BA$3,"&gt;="&amp;$DG44,$B44:$Y44)),
IF(AP$3=$DF44+'Model Setup'!$N$7,SUMIF($AD$3:$BA$3,"="&amp;$DF44+'Model Setup'!$N$7,$B44:$Y44)+'Model Setup'!$N$8*(SUMIF($AD$3:$BA$3,"&lt;"&amp;$DF44,$B44:$Y44)+SUMIF($AD$3:$BA$3,"&gt;="&amp;$DG44,$B44:$Y44)),
IF(AP$3&lt;$DG44,N44,0))))))))))))))),0)</f>
        <v>3</v>
      </c>
      <c r="AQ44" s="47">
        <f>ROUND(IF(AQ$3&lt;$DF44,0,
IF(AQ$3=$DF44+'Model Setup'!$B$7,SUMIF($AD$3:$BA$3,"="&amp;$DF44+'Model Setup'!$B$7,$B44:$Y44)+'Model Setup'!$B$8*(SUMIF($AD$3:$BA$3,"&lt;"&amp;$DF44,$B44:$Y44)+SUMIF($AD$3:$BA$3,"&gt;="&amp;$DG44,$B44:$Y44)),
IF(AQ$3=$DF44+'Model Setup'!$C$7,SUMIF($AD$3:$BA$3,"="&amp;$DF44+'Model Setup'!$C$7,$B44:$Y44)+'Model Setup'!$C$8*(SUMIF($AD$3:$BA$3,"&lt;"&amp;$DF44,$B44:$Y44)+SUMIF($AD$3:$BA$3,"&gt;="&amp;$DG44,$B44:$Y44)),
IF(AQ$3=$DF44+'Model Setup'!$D$7,SUMIF($AD$3:$BA$3,"="&amp;$DF44+'Model Setup'!$D$7,$B44:$Y44)+'Model Setup'!$D$8*(SUMIF($AD$3:$BA$3,"&lt;"&amp;$DF44,$B44:$Y44)+SUMIF($AD$3:$BA$3,"&gt;="&amp;$DG44,$B44:$Y44)),
IF(AQ$3=$DF44+'Model Setup'!$E$7,SUMIF($AD$3:$BA$3,"="&amp;$DF44+'Model Setup'!$E$7,$B44:$Y44)+'Model Setup'!$E$8*(SUMIF($AD$3:$BA$3,"&lt;"&amp;$DF44,$B44:$Y44)+SUMIF($AD$3:$BA$3,"&gt;="&amp;$DG44,$B44:$Y44)),
IF(AQ$3=$DF44+'Model Setup'!$F$7,SUMIF($AD$3:$BA$3,"="&amp;$DF44+'Model Setup'!$F$7,$B44:$Y44)+'Model Setup'!$F$8*(SUMIF($AD$3:$BA$3,"&lt;"&amp;$DF44,$B44:$Y44)+SUMIF($AD$3:$BA$3,"&gt;="&amp;$DG44,$B44:$Y44)),
IF(AQ$3=$DF44+'Model Setup'!$G$7,SUMIF($AD$3:$BA$3,"="&amp;$DF44+'Model Setup'!$G$7,$B44:$Y44)+'Model Setup'!$G$8*(SUMIF($AD$3:$BA$3,"&lt;"&amp;$DF44,$B44:$Y44)+SUMIF($AD$3:$BA$3,"&gt;="&amp;$DG44,$B44:$Y44)),
IF(AQ$3=$DF44+'Model Setup'!$H$7,SUMIF($AD$3:$BA$3,"="&amp;$DF44+'Model Setup'!$H$7,$B44:$Y44)+'Model Setup'!$H$8*(SUMIF($AD$3:$BA$3,"&lt;"&amp;$DF44,$B44:$Y44)+SUMIF($AD$3:$BA$3,"&gt;="&amp;$DG44,$B44:$Y44)),
IF(AQ$3=$DF44+'Model Setup'!$I$7,SUMIF($AD$3:$BA$3,"="&amp;$DF44+'Model Setup'!$I$7,$B44:$Y44)+'Model Setup'!$I$8*(SUMIF($AD$3:$BA$3,"&lt;"&amp;$DF44,$B44:$Y44)+SUMIF($AD$3:$BA$3,"&gt;="&amp;$DG44,$B44:$Y44)),
IF(AQ$3=$DF44+'Model Setup'!$J$7,SUMIF($AD$3:$BA$3,"="&amp;$DF44+'Model Setup'!$J$7,$B44:$Y44)+'Model Setup'!$J$8*(SUMIF($AD$3:$BA$3,"&lt;"&amp;$DF44,$B44:$Y44)+SUMIF($AD$3:$BA$3,"&gt;="&amp;$DG44,$B44:$Y44)),
IF(AQ$3=$DF44+'Model Setup'!$K$7,SUMIF($AD$3:$BA$3,"="&amp;$DF44+'Model Setup'!$K$7,$B44:$Y44)+'Model Setup'!$K$8*(SUMIF($AD$3:$BA$3,"&lt;"&amp;$DF44,$B44:$Y44)+SUMIF($AD$3:$BA$3,"&gt;="&amp;$DG44,$B44:$Y44)),
IF(AQ$3=$DF44+'Model Setup'!$L$7,SUMIF($AD$3:$BA$3,"="&amp;$DF44+'Model Setup'!$L$7,$B44:$Y44)+'Model Setup'!$L$8*(SUMIF($AD$3:$BA$3,"&lt;"&amp;$DF44,$B44:$Y44)+SUMIF($AD$3:$BA$3,"&gt;="&amp;$DG44,$B44:$Y44)),
IF(AQ$3=$DF44+'Model Setup'!$M$7,SUMIF($AD$3:$BA$3,"="&amp;$DF44+'Model Setup'!$M$7,$B44:$Y44)+'Model Setup'!$M$8*(SUMIF($AD$3:$BA$3,"&lt;"&amp;$DF44,$B44:$Y44)+SUMIF($AD$3:$BA$3,"&gt;="&amp;$DG44,$B44:$Y44)),
IF(AQ$3=$DF44+'Model Setup'!$N$7,SUMIF($AD$3:$BA$3,"="&amp;$DF44+'Model Setup'!$N$7,$B44:$Y44)+'Model Setup'!$N$8*(SUMIF($AD$3:$BA$3,"&lt;"&amp;$DF44,$B44:$Y44)+SUMIF($AD$3:$BA$3,"&gt;="&amp;$DG44,$B44:$Y44)),
IF(AQ$3&lt;$DG44,O44,0))))))))))))))),0)</f>
        <v>0</v>
      </c>
      <c r="AR44" s="47">
        <f>ROUND(IF(AR$3&lt;$DF44,0,
IF(AR$3=$DF44+'Model Setup'!$B$7,SUMIF($AD$3:$BA$3,"="&amp;$DF44+'Model Setup'!$B$7,$B44:$Y44)+'Model Setup'!$B$8*(SUMIF($AD$3:$BA$3,"&lt;"&amp;$DF44,$B44:$Y44)+SUMIF($AD$3:$BA$3,"&gt;="&amp;$DG44,$B44:$Y44)),
IF(AR$3=$DF44+'Model Setup'!$C$7,SUMIF($AD$3:$BA$3,"="&amp;$DF44+'Model Setup'!$C$7,$B44:$Y44)+'Model Setup'!$C$8*(SUMIF($AD$3:$BA$3,"&lt;"&amp;$DF44,$B44:$Y44)+SUMIF($AD$3:$BA$3,"&gt;="&amp;$DG44,$B44:$Y44)),
IF(AR$3=$DF44+'Model Setup'!$D$7,SUMIF($AD$3:$BA$3,"="&amp;$DF44+'Model Setup'!$D$7,$B44:$Y44)+'Model Setup'!$D$8*(SUMIF($AD$3:$BA$3,"&lt;"&amp;$DF44,$B44:$Y44)+SUMIF($AD$3:$BA$3,"&gt;="&amp;$DG44,$B44:$Y44)),
IF(AR$3=$DF44+'Model Setup'!$E$7,SUMIF($AD$3:$BA$3,"="&amp;$DF44+'Model Setup'!$E$7,$B44:$Y44)+'Model Setup'!$E$8*(SUMIF($AD$3:$BA$3,"&lt;"&amp;$DF44,$B44:$Y44)+SUMIF($AD$3:$BA$3,"&gt;="&amp;$DG44,$B44:$Y44)),
IF(AR$3=$DF44+'Model Setup'!$F$7,SUMIF($AD$3:$BA$3,"="&amp;$DF44+'Model Setup'!$F$7,$B44:$Y44)+'Model Setup'!$F$8*(SUMIF($AD$3:$BA$3,"&lt;"&amp;$DF44,$B44:$Y44)+SUMIF($AD$3:$BA$3,"&gt;="&amp;$DG44,$B44:$Y44)),
IF(AR$3=$DF44+'Model Setup'!$G$7,SUMIF($AD$3:$BA$3,"="&amp;$DF44+'Model Setup'!$G$7,$B44:$Y44)+'Model Setup'!$G$8*(SUMIF($AD$3:$BA$3,"&lt;"&amp;$DF44,$B44:$Y44)+SUMIF($AD$3:$BA$3,"&gt;="&amp;$DG44,$B44:$Y44)),
IF(AR$3=$DF44+'Model Setup'!$H$7,SUMIF($AD$3:$BA$3,"="&amp;$DF44+'Model Setup'!$H$7,$B44:$Y44)+'Model Setup'!$H$8*(SUMIF($AD$3:$BA$3,"&lt;"&amp;$DF44,$B44:$Y44)+SUMIF($AD$3:$BA$3,"&gt;="&amp;$DG44,$B44:$Y44)),
IF(AR$3=$DF44+'Model Setup'!$I$7,SUMIF($AD$3:$BA$3,"="&amp;$DF44+'Model Setup'!$I$7,$B44:$Y44)+'Model Setup'!$I$8*(SUMIF($AD$3:$BA$3,"&lt;"&amp;$DF44,$B44:$Y44)+SUMIF($AD$3:$BA$3,"&gt;="&amp;$DG44,$B44:$Y44)),
IF(AR$3=$DF44+'Model Setup'!$J$7,SUMIF($AD$3:$BA$3,"="&amp;$DF44+'Model Setup'!$J$7,$B44:$Y44)+'Model Setup'!$J$8*(SUMIF($AD$3:$BA$3,"&lt;"&amp;$DF44,$B44:$Y44)+SUMIF($AD$3:$BA$3,"&gt;="&amp;$DG44,$B44:$Y44)),
IF(AR$3=$DF44+'Model Setup'!$K$7,SUMIF($AD$3:$BA$3,"="&amp;$DF44+'Model Setup'!$K$7,$B44:$Y44)+'Model Setup'!$K$8*(SUMIF($AD$3:$BA$3,"&lt;"&amp;$DF44,$B44:$Y44)+SUMIF($AD$3:$BA$3,"&gt;="&amp;$DG44,$B44:$Y44)),
IF(AR$3=$DF44+'Model Setup'!$L$7,SUMIF($AD$3:$BA$3,"="&amp;$DF44+'Model Setup'!$L$7,$B44:$Y44)+'Model Setup'!$L$8*(SUMIF($AD$3:$BA$3,"&lt;"&amp;$DF44,$B44:$Y44)+SUMIF($AD$3:$BA$3,"&gt;="&amp;$DG44,$B44:$Y44)),
IF(AR$3=$DF44+'Model Setup'!$M$7,SUMIF($AD$3:$BA$3,"="&amp;$DF44+'Model Setup'!$M$7,$B44:$Y44)+'Model Setup'!$M$8*(SUMIF($AD$3:$BA$3,"&lt;"&amp;$DF44,$B44:$Y44)+SUMIF($AD$3:$BA$3,"&gt;="&amp;$DG44,$B44:$Y44)),
IF(AR$3=$DF44+'Model Setup'!$N$7,SUMIF($AD$3:$BA$3,"="&amp;$DF44+'Model Setup'!$N$7,$B44:$Y44)+'Model Setup'!$N$8*(SUMIF($AD$3:$BA$3,"&lt;"&amp;$DF44,$B44:$Y44)+SUMIF($AD$3:$BA$3,"&gt;="&amp;$DG44,$B44:$Y44)),
IF(AR$3&lt;$DG44,P44,0))))))))))))))),0)</f>
        <v>2</v>
      </c>
      <c r="AS44" s="47">
        <f>ROUND(IF(AS$3&lt;$DF44,0,
IF(AS$3=$DF44+'Model Setup'!$B$7,SUMIF($AD$3:$BA$3,"="&amp;$DF44+'Model Setup'!$B$7,$B44:$Y44)+'Model Setup'!$B$8*(SUMIF($AD$3:$BA$3,"&lt;"&amp;$DF44,$B44:$Y44)+SUMIF($AD$3:$BA$3,"&gt;="&amp;$DG44,$B44:$Y44)),
IF(AS$3=$DF44+'Model Setup'!$C$7,SUMIF($AD$3:$BA$3,"="&amp;$DF44+'Model Setup'!$C$7,$B44:$Y44)+'Model Setup'!$C$8*(SUMIF($AD$3:$BA$3,"&lt;"&amp;$DF44,$B44:$Y44)+SUMIF($AD$3:$BA$3,"&gt;="&amp;$DG44,$B44:$Y44)),
IF(AS$3=$DF44+'Model Setup'!$D$7,SUMIF($AD$3:$BA$3,"="&amp;$DF44+'Model Setup'!$D$7,$B44:$Y44)+'Model Setup'!$D$8*(SUMIF($AD$3:$BA$3,"&lt;"&amp;$DF44,$B44:$Y44)+SUMIF($AD$3:$BA$3,"&gt;="&amp;$DG44,$B44:$Y44)),
IF(AS$3=$DF44+'Model Setup'!$E$7,SUMIF($AD$3:$BA$3,"="&amp;$DF44+'Model Setup'!$E$7,$B44:$Y44)+'Model Setup'!$E$8*(SUMIF($AD$3:$BA$3,"&lt;"&amp;$DF44,$B44:$Y44)+SUMIF($AD$3:$BA$3,"&gt;="&amp;$DG44,$B44:$Y44)),
IF(AS$3=$DF44+'Model Setup'!$F$7,SUMIF($AD$3:$BA$3,"="&amp;$DF44+'Model Setup'!$F$7,$B44:$Y44)+'Model Setup'!$F$8*(SUMIF($AD$3:$BA$3,"&lt;"&amp;$DF44,$B44:$Y44)+SUMIF($AD$3:$BA$3,"&gt;="&amp;$DG44,$B44:$Y44)),
IF(AS$3=$DF44+'Model Setup'!$G$7,SUMIF($AD$3:$BA$3,"="&amp;$DF44+'Model Setup'!$G$7,$B44:$Y44)+'Model Setup'!$G$8*(SUMIF($AD$3:$BA$3,"&lt;"&amp;$DF44,$B44:$Y44)+SUMIF($AD$3:$BA$3,"&gt;="&amp;$DG44,$B44:$Y44)),
IF(AS$3=$DF44+'Model Setup'!$H$7,SUMIF($AD$3:$BA$3,"="&amp;$DF44+'Model Setup'!$H$7,$B44:$Y44)+'Model Setup'!$H$8*(SUMIF($AD$3:$BA$3,"&lt;"&amp;$DF44,$B44:$Y44)+SUMIF($AD$3:$BA$3,"&gt;="&amp;$DG44,$B44:$Y44)),
IF(AS$3=$DF44+'Model Setup'!$I$7,SUMIF($AD$3:$BA$3,"="&amp;$DF44+'Model Setup'!$I$7,$B44:$Y44)+'Model Setup'!$I$8*(SUMIF($AD$3:$BA$3,"&lt;"&amp;$DF44,$B44:$Y44)+SUMIF($AD$3:$BA$3,"&gt;="&amp;$DG44,$B44:$Y44)),
IF(AS$3=$DF44+'Model Setup'!$J$7,SUMIF($AD$3:$BA$3,"="&amp;$DF44+'Model Setup'!$J$7,$B44:$Y44)+'Model Setup'!$J$8*(SUMIF($AD$3:$BA$3,"&lt;"&amp;$DF44,$B44:$Y44)+SUMIF($AD$3:$BA$3,"&gt;="&amp;$DG44,$B44:$Y44)),
IF(AS$3=$DF44+'Model Setup'!$K$7,SUMIF($AD$3:$BA$3,"="&amp;$DF44+'Model Setup'!$K$7,$B44:$Y44)+'Model Setup'!$K$8*(SUMIF($AD$3:$BA$3,"&lt;"&amp;$DF44,$B44:$Y44)+SUMIF($AD$3:$BA$3,"&gt;="&amp;$DG44,$B44:$Y44)),
IF(AS$3=$DF44+'Model Setup'!$L$7,SUMIF($AD$3:$BA$3,"="&amp;$DF44+'Model Setup'!$L$7,$B44:$Y44)+'Model Setup'!$L$8*(SUMIF($AD$3:$BA$3,"&lt;"&amp;$DF44,$B44:$Y44)+SUMIF($AD$3:$BA$3,"&gt;="&amp;$DG44,$B44:$Y44)),
IF(AS$3=$DF44+'Model Setup'!$M$7,SUMIF($AD$3:$BA$3,"="&amp;$DF44+'Model Setup'!$M$7,$B44:$Y44)+'Model Setup'!$M$8*(SUMIF($AD$3:$BA$3,"&lt;"&amp;$DF44,$B44:$Y44)+SUMIF($AD$3:$BA$3,"&gt;="&amp;$DG44,$B44:$Y44)),
IF(AS$3=$DF44+'Model Setup'!$N$7,SUMIF($AD$3:$BA$3,"="&amp;$DF44+'Model Setup'!$N$7,$B44:$Y44)+'Model Setup'!$N$8*(SUMIF($AD$3:$BA$3,"&lt;"&amp;$DF44,$B44:$Y44)+SUMIF($AD$3:$BA$3,"&gt;="&amp;$DG44,$B44:$Y44)),
IF(AS$3&lt;$DG44,Q44,0))))))))))))))),0)</f>
        <v>0</v>
      </c>
      <c r="AT44" s="47">
        <f>ROUND(IF(AT$3&lt;$DF44,0,
IF(AT$3=$DF44+'Model Setup'!$B$7,SUMIF($AD$3:$BA$3,"="&amp;$DF44+'Model Setup'!$B$7,$B44:$Y44)+'Model Setup'!$B$8*(SUMIF($AD$3:$BA$3,"&lt;"&amp;$DF44,$B44:$Y44)+SUMIF($AD$3:$BA$3,"&gt;="&amp;$DG44,$B44:$Y44)),
IF(AT$3=$DF44+'Model Setup'!$C$7,SUMIF($AD$3:$BA$3,"="&amp;$DF44+'Model Setup'!$C$7,$B44:$Y44)+'Model Setup'!$C$8*(SUMIF($AD$3:$BA$3,"&lt;"&amp;$DF44,$B44:$Y44)+SUMIF($AD$3:$BA$3,"&gt;="&amp;$DG44,$B44:$Y44)),
IF(AT$3=$DF44+'Model Setup'!$D$7,SUMIF($AD$3:$BA$3,"="&amp;$DF44+'Model Setup'!$D$7,$B44:$Y44)+'Model Setup'!$D$8*(SUMIF($AD$3:$BA$3,"&lt;"&amp;$DF44,$B44:$Y44)+SUMIF($AD$3:$BA$3,"&gt;="&amp;$DG44,$B44:$Y44)),
IF(AT$3=$DF44+'Model Setup'!$E$7,SUMIF($AD$3:$BA$3,"="&amp;$DF44+'Model Setup'!$E$7,$B44:$Y44)+'Model Setup'!$E$8*(SUMIF($AD$3:$BA$3,"&lt;"&amp;$DF44,$B44:$Y44)+SUMIF($AD$3:$BA$3,"&gt;="&amp;$DG44,$B44:$Y44)),
IF(AT$3=$DF44+'Model Setup'!$F$7,SUMIF($AD$3:$BA$3,"="&amp;$DF44+'Model Setup'!$F$7,$B44:$Y44)+'Model Setup'!$F$8*(SUMIF($AD$3:$BA$3,"&lt;"&amp;$DF44,$B44:$Y44)+SUMIF($AD$3:$BA$3,"&gt;="&amp;$DG44,$B44:$Y44)),
IF(AT$3=$DF44+'Model Setup'!$G$7,SUMIF($AD$3:$BA$3,"="&amp;$DF44+'Model Setup'!$G$7,$B44:$Y44)+'Model Setup'!$G$8*(SUMIF($AD$3:$BA$3,"&lt;"&amp;$DF44,$B44:$Y44)+SUMIF($AD$3:$BA$3,"&gt;="&amp;$DG44,$B44:$Y44)),
IF(AT$3=$DF44+'Model Setup'!$H$7,SUMIF($AD$3:$BA$3,"="&amp;$DF44+'Model Setup'!$H$7,$B44:$Y44)+'Model Setup'!$H$8*(SUMIF($AD$3:$BA$3,"&lt;"&amp;$DF44,$B44:$Y44)+SUMIF($AD$3:$BA$3,"&gt;="&amp;$DG44,$B44:$Y44)),
IF(AT$3=$DF44+'Model Setup'!$I$7,SUMIF($AD$3:$BA$3,"="&amp;$DF44+'Model Setup'!$I$7,$B44:$Y44)+'Model Setup'!$I$8*(SUMIF($AD$3:$BA$3,"&lt;"&amp;$DF44,$B44:$Y44)+SUMIF($AD$3:$BA$3,"&gt;="&amp;$DG44,$B44:$Y44)),
IF(AT$3=$DF44+'Model Setup'!$J$7,SUMIF($AD$3:$BA$3,"="&amp;$DF44+'Model Setup'!$J$7,$B44:$Y44)+'Model Setup'!$J$8*(SUMIF($AD$3:$BA$3,"&lt;"&amp;$DF44,$B44:$Y44)+SUMIF($AD$3:$BA$3,"&gt;="&amp;$DG44,$B44:$Y44)),
IF(AT$3=$DF44+'Model Setup'!$K$7,SUMIF($AD$3:$BA$3,"="&amp;$DF44+'Model Setup'!$K$7,$B44:$Y44)+'Model Setup'!$K$8*(SUMIF($AD$3:$BA$3,"&lt;"&amp;$DF44,$B44:$Y44)+SUMIF($AD$3:$BA$3,"&gt;="&amp;$DG44,$B44:$Y44)),
IF(AT$3=$DF44+'Model Setup'!$L$7,SUMIF($AD$3:$BA$3,"="&amp;$DF44+'Model Setup'!$L$7,$B44:$Y44)+'Model Setup'!$L$8*(SUMIF($AD$3:$BA$3,"&lt;"&amp;$DF44,$B44:$Y44)+SUMIF($AD$3:$BA$3,"&gt;="&amp;$DG44,$B44:$Y44)),
IF(AT$3=$DF44+'Model Setup'!$M$7,SUMIF($AD$3:$BA$3,"="&amp;$DF44+'Model Setup'!$M$7,$B44:$Y44)+'Model Setup'!$M$8*(SUMIF($AD$3:$BA$3,"&lt;"&amp;$DF44,$B44:$Y44)+SUMIF($AD$3:$BA$3,"&gt;="&amp;$DG44,$B44:$Y44)),
IF(AT$3=$DF44+'Model Setup'!$N$7,SUMIF($AD$3:$BA$3,"="&amp;$DF44+'Model Setup'!$N$7,$B44:$Y44)+'Model Setup'!$N$8*(SUMIF($AD$3:$BA$3,"&lt;"&amp;$DF44,$B44:$Y44)+SUMIF($AD$3:$BA$3,"&gt;="&amp;$DG44,$B44:$Y44)),
IF(AT$3&lt;$DG44,R44,0))))))))))))))),0)</f>
        <v>0</v>
      </c>
      <c r="AU44" s="47">
        <f>ROUND(IF(AU$3&lt;$DF44,0,
IF(AU$3=$DF44+'Model Setup'!$B$7,SUMIF($AD$3:$BA$3,"="&amp;$DF44+'Model Setup'!$B$7,$B44:$Y44)+'Model Setup'!$B$8*(SUMIF($AD$3:$BA$3,"&lt;"&amp;$DF44,$B44:$Y44)+SUMIF($AD$3:$BA$3,"&gt;="&amp;$DG44,$B44:$Y44)),
IF(AU$3=$DF44+'Model Setup'!$C$7,SUMIF($AD$3:$BA$3,"="&amp;$DF44+'Model Setup'!$C$7,$B44:$Y44)+'Model Setup'!$C$8*(SUMIF($AD$3:$BA$3,"&lt;"&amp;$DF44,$B44:$Y44)+SUMIF($AD$3:$BA$3,"&gt;="&amp;$DG44,$B44:$Y44)),
IF(AU$3=$DF44+'Model Setup'!$D$7,SUMIF($AD$3:$BA$3,"="&amp;$DF44+'Model Setup'!$D$7,$B44:$Y44)+'Model Setup'!$D$8*(SUMIF($AD$3:$BA$3,"&lt;"&amp;$DF44,$B44:$Y44)+SUMIF($AD$3:$BA$3,"&gt;="&amp;$DG44,$B44:$Y44)),
IF(AU$3=$DF44+'Model Setup'!$E$7,SUMIF($AD$3:$BA$3,"="&amp;$DF44+'Model Setup'!$E$7,$B44:$Y44)+'Model Setup'!$E$8*(SUMIF($AD$3:$BA$3,"&lt;"&amp;$DF44,$B44:$Y44)+SUMIF($AD$3:$BA$3,"&gt;="&amp;$DG44,$B44:$Y44)),
IF(AU$3=$DF44+'Model Setup'!$F$7,SUMIF($AD$3:$BA$3,"="&amp;$DF44+'Model Setup'!$F$7,$B44:$Y44)+'Model Setup'!$F$8*(SUMIF($AD$3:$BA$3,"&lt;"&amp;$DF44,$B44:$Y44)+SUMIF($AD$3:$BA$3,"&gt;="&amp;$DG44,$B44:$Y44)),
IF(AU$3=$DF44+'Model Setup'!$G$7,SUMIF($AD$3:$BA$3,"="&amp;$DF44+'Model Setup'!$G$7,$B44:$Y44)+'Model Setup'!$G$8*(SUMIF($AD$3:$BA$3,"&lt;"&amp;$DF44,$B44:$Y44)+SUMIF($AD$3:$BA$3,"&gt;="&amp;$DG44,$B44:$Y44)),
IF(AU$3=$DF44+'Model Setup'!$H$7,SUMIF($AD$3:$BA$3,"="&amp;$DF44+'Model Setup'!$H$7,$B44:$Y44)+'Model Setup'!$H$8*(SUMIF($AD$3:$BA$3,"&lt;"&amp;$DF44,$B44:$Y44)+SUMIF($AD$3:$BA$3,"&gt;="&amp;$DG44,$B44:$Y44)),
IF(AU$3=$DF44+'Model Setup'!$I$7,SUMIF($AD$3:$BA$3,"="&amp;$DF44+'Model Setup'!$I$7,$B44:$Y44)+'Model Setup'!$I$8*(SUMIF($AD$3:$BA$3,"&lt;"&amp;$DF44,$B44:$Y44)+SUMIF($AD$3:$BA$3,"&gt;="&amp;$DG44,$B44:$Y44)),
IF(AU$3=$DF44+'Model Setup'!$J$7,SUMIF($AD$3:$BA$3,"="&amp;$DF44+'Model Setup'!$J$7,$B44:$Y44)+'Model Setup'!$J$8*(SUMIF($AD$3:$BA$3,"&lt;"&amp;$DF44,$B44:$Y44)+SUMIF($AD$3:$BA$3,"&gt;="&amp;$DG44,$B44:$Y44)),
IF(AU$3=$DF44+'Model Setup'!$K$7,SUMIF($AD$3:$BA$3,"="&amp;$DF44+'Model Setup'!$K$7,$B44:$Y44)+'Model Setup'!$K$8*(SUMIF($AD$3:$BA$3,"&lt;"&amp;$DF44,$B44:$Y44)+SUMIF($AD$3:$BA$3,"&gt;="&amp;$DG44,$B44:$Y44)),
IF(AU$3=$DF44+'Model Setup'!$L$7,SUMIF($AD$3:$BA$3,"="&amp;$DF44+'Model Setup'!$L$7,$B44:$Y44)+'Model Setup'!$L$8*(SUMIF($AD$3:$BA$3,"&lt;"&amp;$DF44,$B44:$Y44)+SUMIF($AD$3:$BA$3,"&gt;="&amp;$DG44,$B44:$Y44)),
IF(AU$3=$DF44+'Model Setup'!$M$7,SUMIF($AD$3:$BA$3,"="&amp;$DF44+'Model Setup'!$M$7,$B44:$Y44)+'Model Setup'!$M$8*(SUMIF($AD$3:$BA$3,"&lt;"&amp;$DF44,$B44:$Y44)+SUMIF($AD$3:$BA$3,"&gt;="&amp;$DG44,$B44:$Y44)),
IF(AU$3=$DF44+'Model Setup'!$N$7,SUMIF($AD$3:$BA$3,"="&amp;$DF44+'Model Setup'!$N$7,$B44:$Y44)+'Model Setup'!$N$8*(SUMIF($AD$3:$BA$3,"&lt;"&amp;$DF44,$B44:$Y44)+SUMIF($AD$3:$BA$3,"&gt;="&amp;$DG44,$B44:$Y44)),
IF(AU$3&lt;$DG44,S44,0))))))))))))))),0)</f>
        <v>0</v>
      </c>
      <c r="AV44" s="47">
        <f>ROUND(IF(AV$3&lt;$DF44,0,
IF(AV$3=$DF44+'Model Setup'!$B$7,SUMIF($AD$3:$BA$3,"="&amp;$DF44+'Model Setup'!$B$7,$B44:$Y44)+'Model Setup'!$B$8*(SUMIF($AD$3:$BA$3,"&lt;"&amp;$DF44,$B44:$Y44)+SUMIF($AD$3:$BA$3,"&gt;="&amp;$DG44,$B44:$Y44)),
IF(AV$3=$DF44+'Model Setup'!$C$7,SUMIF($AD$3:$BA$3,"="&amp;$DF44+'Model Setup'!$C$7,$B44:$Y44)+'Model Setup'!$C$8*(SUMIF($AD$3:$BA$3,"&lt;"&amp;$DF44,$B44:$Y44)+SUMIF($AD$3:$BA$3,"&gt;="&amp;$DG44,$B44:$Y44)),
IF(AV$3=$DF44+'Model Setup'!$D$7,SUMIF($AD$3:$BA$3,"="&amp;$DF44+'Model Setup'!$D$7,$B44:$Y44)+'Model Setup'!$D$8*(SUMIF($AD$3:$BA$3,"&lt;"&amp;$DF44,$B44:$Y44)+SUMIF($AD$3:$BA$3,"&gt;="&amp;$DG44,$B44:$Y44)),
IF(AV$3=$DF44+'Model Setup'!$E$7,SUMIF($AD$3:$BA$3,"="&amp;$DF44+'Model Setup'!$E$7,$B44:$Y44)+'Model Setup'!$E$8*(SUMIF($AD$3:$BA$3,"&lt;"&amp;$DF44,$B44:$Y44)+SUMIF($AD$3:$BA$3,"&gt;="&amp;$DG44,$B44:$Y44)),
IF(AV$3=$DF44+'Model Setup'!$F$7,SUMIF($AD$3:$BA$3,"="&amp;$DF44+'Model Setup'!$F$7,$B44:$Y44)+'Model Setup'!$F$8*(SUMIF($AD$3:$BA$3,"&lt;"&amp;$DF44,$B44:$Y44)+SUMIF($AD$3:$BA$3,"&gt;="&amp;$DG44,$B44:$Y44)),
IF(AV$3=$DF44+'Model Setup'!$G$7,SUMIF($AD$3:$BA$3,"="&amp;$DF44+'Model Setup'!$G$7,$B44:$Y44)+'Model Setup'!$G$8*(SUMIF($AD$3:$BA$3,"&lt;"&amp;$DF44,$B44:$Y44)+SUMIF($AD$3:$BA$3,"&gt;="&amp;$DG44,$B44:$Y44)),
IF(AV$3=$DF44+'Model Setup'!$H$7,SUMIF($AD$3:$BA$3,"="&amp;$DF44+'Model Setup'!$H$7,$B44:$Y44)+'Model Setup'!$H$8*(SUMIF($AD$3:$BA$3,"&lt;"&amp;$DF44,$B44:$Y44)+SUMIF($AD$3:$BA$3,"&gt;="&amp;$DG44,$B44:$Y44)),
IF(AV$3=$DF44+'Model Setup'!$I$7,SUMIF($AD$3:$BA$3,"="&amp;$DF44+'Model Setup'!$I$7,$B44:$Y44)+'Model Setup'!$I$8*(SUMIF($AD$3:$BA$3,"&lt;"&amp;$DF44,$B44:$Y44)+SUMIF($AD$3:$BA$3,"&gt;="&amp;$DG44,$B44:$Y44)),
IF(AV$3=$DF44+'Model Setup'!$J$7,SUMIF($AD$3:$BA$3,"="&amp;$DF44+'Model Setup'!$J$7,$B44:$Y44)+'Model Setup'!$J$8*(SUMIF($AD$3:$BA$3,"&lt;"&amp;$DF44,$B44:$Y44)+SUMIF($AD$3:$BA$3,"&gt;="&amp;$DG44,$B44:$Y44)),
IF(AV$3=$DF44+'Model Setup'!$K$7,SUMIF($AD$3:$BA$3,"="&amp;$DF44+'Model Setup'!$K$7,$B44:$Y44)+'Model Setup'!$K$8*(SUMIF($AD$3:$BA$3,"&lt;"&amp;$DF44,$B44:$Y44)+SUMIF($AD$3:$BA$3,"&gt;="&amp;$DG44,$B44:$Y44)),
IF(AV$3=$DF44+'Model Setup'!$L$7,SUMIF($AD$3:$BA$3,"="&amp;$DF44+'Model Setup'!$L$7,$B44:$Y44)+'Model Setup'!$L$8*(SUMIF($AD$3:$BA$3,"&lt;"&amp;$DF44,$B44:$Y44)+SUMIF($AD$3:$BA$3,"&gt;="&amp;$DG44,$B44:$Y44)),
IF(AV$3=$DF44+'Model Setup'!$M$7,SUMIF($AD$3:$BA$3,"="&amp;$DF44+'Model Setup'!$M$7,$B44:$Y44)+'Model Setup'!$M$8*(SUMIF($AD$3:$BA$3,"&lt;"&amp;$DF44,$B44:$Y44)+SUMIF($AD$3:$BA$3,"&gt;="&amp;$DG44,$B44:$Y44)),
IF(AV$3=$DF44+'Model Setup'!$N$7,SUMIF($AD$3:$BA$3,"="&amp;$DF44+'Model Setup'!$N$7,$B44:$Y44)+'Model Setup'!$N$8*(SUMIF($AD$3:$BA$3,"&lt;"&amp;$DF44,$B44:$Y44)+SUMIF($AD$3:$BA$3,"&gt;="&amp;$DG44,$B44:$Y44)),
IF(AV$3&lt;$DG44,T44,0))))))))))))))),0)</f>
        <v>0</v>
      </c>
      <c r="AW44" s="47">
        <f>ROUND(IF(AW$3&lt;$DF44,0,
IF(AW$3=$DF44+'Model Setup'!$B$7,SUMIF($AD$3:$BA$3,"="&amp;$DF44+'Model Setup'!$B$7,$B44:$Y44)+'Model Setup'!$B$8*(SUMIF($AD$3:$BA$3,"&lt;"&amp;$DF44,$B44:$Y44)+SUMIF($AD$3:$BA$3,"&gt;="&amp;$DG44,$B44:$Y44)),
IF(AW$3=$DF44+'Model Setup'!$C$7,SUMIF($AD$3:$BA$3,"="&amp;$DF44+'Model Setup'!$C$7,$B44:$Y44)+'Model Setup'!$C$8*(SUMIF($AD$3:$BA$3,"&lt;"&amp;$DF44,$B44:$Y44)+SUMIF($AD$3:$BA$3,"&gt;="&amp;$DG44,$B44:$Y44)),
IF(AW$3=$DF44+'Model Setup'!$D$7,SUMIF($AD$3:$BA$3,"="&amp;$DF44+'Model Setup'!$D$7,$B44:$Y44)+'Model Setup'!$D$8*(SUMIF($AD$3:$BA$3,"&lt;"&amp;$DF44,$B44:$Y44)+SUMIF($AD$3:$BA$3,"&gt;="&amp;$DG44,$B44:$Y44)),
IF(AW$3=$DF44+'Model Setup'!$E$7,SUMIF($AD$3:$BA$3,"="&amp;$DF44+'Model Setup'!$E$7,$B44:$Y44)+'Model Setup'!$E$8*(SUMIF($AD$3:$BA$3,"&lt;"&amp;$DF44,$B44:$Y44)+SUMIF($AD$3:$BA$3,"&gt;="&amp;$DG44,$B44:$Y44)),
IF(AW$3=$DF44+'Model Setup'!$F$7,SUMIF($AD$3:$BA$3,"="&amp;$DF44+'Model Setup'!$F$7,$B44:$Y44)+'Model Setup'!$F$8*(SUMIF($AD$3:$BA$3,"&lt;"&amp;$DF44,$B44:$Y44)+SUMIF($AD$3:$BA$3,"&gt;="&amp;$DG44,$B44:$Y44)),
IF(AW$3=$DF44+'Model Setup'!$G$7,SUMIF($AD$3:$BA$3,"="&amp;$DF44+'Model Setup'!$G$7,$B44:$Y44)+'Model Setup'!$G$8*(SUMIF($AD$3:$BA$3,"&lt;"&amp;$DF44,$B44:$Y44)+SUMIF($AD$3:$BA$3,"&gt;="&amp;$DG44,$B44:$Y44)),
IF(AW$3=$DF44+'Model Setup'!$H$7,SUMIF($AD$3:$BA$3,"="&amp;$DF44+'Model Setup'!$H$7,$B44:$Y44)+'Model Setup'!$H$8*(SUMIF($AD$3:$BA$3,"&lt;"&amp;$DF44,$B44:$Y44)+SUMIF($AD$3:$BA$3,"&gt;="&amp;$DG44,$B44:$Y44)),
IF(AW$3=$DF44+'Model Setup'!$I$7,SUMIF($AD$3:$BA$3,"="&amp;$DF44+'Model Setup'!$I$7,$B44:$Y44)+'Model Setup'!$I$8*(SUMIF($AD$3:$BA$3,"&lt;"&amp;$DF44,$B44:$Y44)+SUMIF($AD$3:$BA$3,"&gt;="&amp;$DG44,$B44:$Y44)),
IF(AW$3=$DF44+'Model Setup'!$J$7,SUMIF($AD$3:$BA$3,"="&amp;$DF44+'Model Setup'!$J$7,$B44:$Y44)+'Model Setup'!$J$8*(SUMIF($AD$3:$BA$3,"&lt;"&amp;$DF44,$B44:$Y44)+SUMIF($AD$3:$BA$3,"&gt;="&amp;$DG44,$B44:$Y44)),
IF(AW$3=$DF44+'Model Setup'!$K$7,SUMIF($AD$3:$BA$3,"="&amp;$DF44+'Model Setup'!$K$7,$B44:$Y44)+'Model Setup'!$K$8*(SUMIF($AD$3:$BA$3,"&lt;"&amp;$DF44,$B44:$Y44)+SUMIF($AD$3:$BA$3,"&gt;="&amp;$DG44,$B44:$Y44)),
IF(AW$3=$DF44+'Model Setup'!$L$7,SUMIF($AD$3:$BA$3,"="&amp;$DF44+'Model Setup'!$L$7,$B44:$Y44)+'Model Setup'!$L$8*(SUMIF($AD$3:$BA$3,"&lt;"&amp;$DF44,$B44:$Y44)+SUMIF($AD$3:$BA$3,"&gt;="&amp;$DG44,$B44:$Y44)),
IF(AW$3=$DF44+'Model Setup'!$M$7,SUMIF($AD$3:$BA$3,"="&amp;$DF44+'Model Setup'!$M$7,$B44:$Y44)+'Model Setup'!$M$8*(SUMIF($AD$3:$BA$3,"&lt;"&amp;$DF44,$B44:$Y44)+SUMIF($AD$3:$BA$3,"&gt;="&amp;$DG44,$B44:$Y44)),
IF(AW$3=$DF44+'Model Setup'!$N$7,SUMIF($AD$3:$BA$3,"="&amp;$DF44+'Model Setup'!$N$7,$B44:$Y44)+'Model Setup'!$N$8*(SUMIF($AD$3:$BA$3,"&lt;"&amp;$DF44,$B44:$Y44)+SUMIF($AD$3:$BA$3,"&gt;="&amp;$DG44,$B44:$Y44)),
IF(AW$3&lt;$DG44,U44,0))))))))))))))),0)</f>
        <v>0</v>
      </c>
      <c r="AX44" s="47">
        <f>ROUND(IF(AX$3&lt;$DF44,0,
IF(AX$3=$DF44+'Model Setup'!$B$7,SUMIF($AD$3:$BA$3,"="&amp;$DF44+'Model Setup'!$B$7,$B44:$Y44)+'Model Setup'!$B$8*(SUMIF($AD$3:$BA$3,"&lt;"&amp;$DF44,$B44:$Y44)+SUMIF($AD$3:$BA$3,"&gt;="&amp;$DG44,$B44:$Y44)),
IF(AX$3=$DF44+'Model Setup'!$C$7,SUMIF($AD$3:$BA$3,"="&amp;$DF44+'Model Setup'!$C$7,$B44:$Y44)+'Model Setup'!$C$8*(SUMIF($AD$3:$BA$3,"&lt;"&amp;$DF44,$B44:$Y44)+SUMIF($AD$3:$BA$3,"&gt;="&amp;$DG44,$B44:$Y44)),
IF(AX$3=$DF44+'Model Setup'!$D$7,SUMIF($AD$3:$BA$3,"="&amp;$DF44+'Model Setup'!$D$7,$B44:$Y44)+'Model Setup'!$D$8*(SUMIF($AD$3:$BA$3,"&lt;"&amp;$DF44,$B44:$Y44)+SUMIF($AD$3:$BA$3,"&gt;="&amp;$DG44,$B44:$Y44)),
IF(AX$3=$DF44+'Model Setup'!$E$7,SUMIF($AD$3:$BA$3,"="&amp;$DF44+'Model Setup'!$E$7,$B44:$Y44)+'Model Setup'!$E$8*(SUMIF($AD$3:$BA$3,"&lt;"&amp;$DF44,$B44:$Y44)+SUMIF($AD$3:$BA$3,"&gt;="&amp;$DG44,$B44:$Y44)),
IF(AX$3=$DF44+'Model Setup'!$F$7,SUMIF($AD$3:$BA$3,"="&amp;$DF44+'Model Setup'!$F$7,$B44:$Y44)+'Model Setup'!$F$8*(SUMIF($AD$3:$BA$3,"&lt;"&amp;$DF44,$B44:$Y44)+SUMIF($AD$3:$BA$3,"&gt;="&amp;$DG44,$B44:$Y44)),
IF(AX$3=$DF44+'Model Setup'!$G$7,SUMIF($AD$3:$BA$3,"="&amp;$DF44+'Model Setup'!$G$7,$B44:$Y44)+'Model Setup'!$G$8*(SUMIF($AD$3:$BA$3,"&lt;"&amp;$DF44,$B44:$Y44)+SUMIF($AD$3:$BA$3,"&gt;="&amp;$DG44,$B44:$Y44)),
IF(AX$3=$DF44+'Model Setup'!$H$7,SUMIF($AD$3:$BA$3,"="&amp;$DF44+'Model Setup'!$H$7,$B44:$Y44)+'Model Setup'!$H$8*(SUMIF($AD$3:$BA$3,"&lt;"&amp;$DF44,$B44:$Y44)+SUMIF($AD$3:$BA$3,"&gt;="&amp;$DG44,$B44:$Y44)),
IF(AX$3=$DF44+'Model Setup'!$I$7,SUMIF($AD$3:$BA$3,"="&amp;$DF44+'Model Setup'!$I$7,$B44:$Y44)+'Model Setup'!$I$8*(SUMIF($AD$3:$BA$3,"&lt;"&amp;$DF44,$B44:$Y44)+SUMIF($AD$3:$BA$3,"&gt;="&amp;$DG44,$B44:$Y44)),
IF(AX$3=$DF44+'Model Setup'!$J$7,SUMIF($AD$3:$BA$3,"="&amp;$DF44+'Model Setup'!$J$7,$B44:$Y44)+'Model Setup'!$J$8*(SUMIF($AD$3:$BA$3,"&lt;"&amp;$DF44,$B44:$Y44)+SUMIF($AD$3:$BA$3,"&gt;="&amp;$DG44,$B44:$Y44)),
IF(AX$3=$DF44+'Model Setup'!$K$7,SUMIF($AD$3:$BA$3,"="&amp;$DF44+'Model Setup'!$K$7,$B44:$Y44)+'Model Setup'!$K$8*(SUMIF($AD$3:$BA$3,"&lt;"&amp;$DF44,$B44:$Y44)+SUMIF($AD$3:$BA$3,"&gt;="&amp;$DG44,$B44:$Y44)),
IF(AX$3=$DF44+'Model Setup'!$L$7,SUMIF($AD$3:$BA$3,"="&amp;$DF44+'Model Setup'!$L$7,$B44:$Y44)+'Model Setup'!$L$8*(SUMIF($AD$3:$BA$3,"&lt;"&amp;$DF44,$B44:$Y44)+SUMIF($AD$3:$BA$3,"&gt;="&amp;$DG44,$B44:$Y44)),
IF(AX$3=$DF44+'Model Setup'!$M$7,SUMIF($AD$3:$BA$3,"="&amp;$DF44+'Model Setup'!$M$7,$B44:$Y44)+'Model Setup'!$M$8*(SUMIF($AD$3:$BA$3,"&lt;"&amp;$DF44,$B44:$Y44)+SUMIF($AD$3:$BA$3,"&gt;="&amp;$DG44,$B44:$Y44)),
IF(AX$3=$DF44+'Model Setup'!$N$7,SUMIF($AD$3:$BA$3,"="&amp;$DF44+'Model Setup'!$N$7,$B44:$Y44)+'Model Setup'!$N$8*(SUMIF($AD$3:$BA$3,"&lt;"&amp;$DF44,$B44:$Y44)+SUMIF($AD$3:$BA$3,"&gt;="&amp;$DG44,$B44:$Y44)),
IF(AX$3&lt;$DG44,V44,0))))))))))))))),0)</f>
        <v>0</v>
      </c>
      <c r="AY44" s="47">
        <f>ROUND(IF(AY$3&lt;$DF44,0,
IF(AY$3=$DF44+'Model Setup'!$B$7,SUMIF($AD$3:$BA$3,"="&amp;$DF44+'Model Setup'!$B$7,$B44:$Y44)+'Model Setup'!$B$8*(SUMIF($AD$3:$BA$3,"&lt;"&amp;$DF44,$B44:$Y44)+SUMIF($AD$3:$BA$3,"&gt;="&amp;$DG44,$B44:$Y44)),
IF(AY$3=$DF44+'Model Setup'!$C$7,SUMIF($AD$3:$BA$3,"="&amp;$DF44+'Model Setup'!$C$7,$B44:$Y44)+'Model Setup'!$C$8*(SUMIF($AD$3:$BA$3,"&lt;"&amp;$DF44,$B44:$Y44)+SUMIF($AD$3:$BA$3,"&gt;="&amp;$DG44,$B44:$Y44)),
IF(AY$3=$DF44+'Model Setup'!$D$7,SUMIF($AD$3:$BA$3,"="&amp;$DF44+'Model Setup'!$D$7,$B44:$Y44)+'Model Setup'!$D$8*(SUMIF($AD$3:$BA$3,"&lt;"&amp;$DF44,$B44:$Y44)+SUMIF($AD$3:$BA$3,"&gt;="&amp;$DG44,$B44:$Y44)),
IF(AY$3=$DF44+'Model Setup'!$E$7,SUMIF($AD$3:$BA$3,"="&amp;$DF44+'Model Setup'!$E$7,$B44:$Y44)+'Model Setup'!$E$8*(SUMIF($AD$3:$BA$3,"&lt;"&amp;$DF44,$B44:$Y44)+SUMIF($AD$3:$BA$3,"&gt;="&amp;$DG44,$B44:$Y44)),
IF(AY$3=$DF44+'Model Setup'!$F$7,SUMIF($AD$3:$BA$3,"="&amp;$DF44+'Model Setup'!$F$7,$B44:$Y44)+'Model Setup'!$F$8*(SUMIF($AD$3:$BA$3,"&lt;"&amp;$DF44,$B44:$Y44)+SUMIF($AD$3:$BA$3,"&gt;="&amp;$DG44,$B44:$Y44)),
IF(AY$3=$DF44+'Model Setup'!$G$7,SUMIF($AD$3:$BA$3,"="&amp;$DF44+'Model Setup'!$G$7,$B44:$Y44)+'Model Setup'!$G$8*(SUMIF($AD$3:$BA$3,"&lt;"&amp;$DF44,$B44:$Y44)+SUMIF($AD$3:$BA$3,"&gt;="&amp;$DG44,$B44:$Y44)),
IF(AY$3=$DF44+'Model Setup'!$H$7,SUMIF($AD$3:$BA$3,"="&amp;$DF44+'Model Setup'!$H$7,$B44:$Y44)+'Model Setup'!$H$8*(SUMIF($AD$3:$BA$3,"&lt;"&amp;$DF44,$B44:$Y44)+SUMIF($AD$3:$BA$3,"&gt;="&amp;$DG44,$B44:$Y44)),
IF(AY$3=$DF44+'Model Setup'!$I$7,SUMIF($AD$3:$BA$3,"="&amp;$DF44+'Model Setup'!$I$7,$B44:$Y44)+'Model Setup'!$I$8*(SUMIF($AD$3:$BA$3,"&lt;"&amp;$DF44,$B44:$Y44)+SUMIF($AD$3:$BA$3,"&gt;="&amp;$DG44,$B44:$Y44)),
IF(AY$3=$DF44+'Model Setup'!$J$7,SUMIF($AD$3:$BA$3,"="&amp;$DF44+'Model Setup'!$J$7,$B44:$Y44)+'Model Setup'!$J$8*(SUMIF($AD$3:$BA$3,"&lt;"&amp;$DF44,$B44:$Y44)+SUMIF($AD$3:$BA$3,"&gt;="&amp;$DG44,$B44:$Y44)),
IF(AY$3=$DF44+'Model Setup'!$K$7,SUMIF($AD$3:$BA$3,"="&amp;$DF44+'Model Setup'!$K$7,$B44:$Y44)+'Model Setup'!$K$8*(SUMIF($AD$3:$BA$3,"&lt;"&amp;$DF44,$B44:$Y44)+SUMIF($AD$3:$BA$3,"&gt;="&amp;$DG44,$B44:$Y44)),
IF(AY$3=$DF44+'Model Setup'!$L$7,SUMIF($AD$3:$BA$3,"="&amp;$DF44+'Model Setup'!$L$7,$B44:$Y44)+'Model Setup'!$L$8*(SUMIF($AD$3:$BA$3,"&lt;"&amp;$DF44,$B44:$Y44)+SUMIF($AD$3:$BA$3,"&gt;="&amp;$DG44,$B44:$Y44)),
IF(AY$3=$DF44+'Model Setup'!$M$7,SUMIF($AD$3:$BA$3,"="&amp;$DF44+'Model Setup'!$M$7,$B44:$Y44)+'Model Setup'!$M$8*(SUMIF($AD$3:$BA$3,"&lt;"&amp;$DF44,$B44:$Y44)+SUMIF($AD$3:$BA$3,"&gt;="&amp;$DG44,$B44:$Y44)),
IF(AY$3=$DF44+'Model Setup'!$N$7,SUMIF($AD$3:$BA$3,"="&amp;$DF44+'Model Setup'!$N$7,$B44:$Y44)+'Model Setup'!$N$8*(SUMIF($AD$3:$BA$3,"&lt;"&amp;$DF44,$B44:$Y44)+SUMIF($AD$3:$BA$3,"&gt;="&amp;$DG44,$B44:$Y44)),
IF(AY$3&lt;$DG44,W44,0))))))))))))))),0)</f>
        <v>0</v>
      </c>
      <c r="AZ44" s="47">
        <f>ROUND(IF(AZ$3&lt;$DF44,0,
IF(AZ$3=$DF44+'Model Setup'!$B$7,SUMIF($AD$3:$BA$3,"="&amp;$DF44+'Model Setup'!$B$7,$B44:$Y44)+'Model Setup'!$B$8*(SUMIF($AD$3:$BA$3,"&lt;"&amp;$DF44,$B44:$Y44)+SUMIF($AD$3:$BA$3,"&gt;="&amp;$DG44,$B44:$Y44)),
IF(AZ$3=$DF44+'Model Setup'!$C$7,SUMIF($AD$3:$BA$3,"="&amp;$DF44+'Model Setup'!$C$7,$B44:$Y44)+'Model Setup'!$C$8*(SUMIF($AD$3:$BA$3,"&lt;"&amp;$DF44,$B44:$Y44)+SUMIF($AD$3:$BA$3,"&gt;="&amp;$DG44,$B44:$Y44)),
IF(AZ$3=$DF44+'Model Setup'!$D$7,SUMIF($AD$3:$BA$3,"="&amp;$DF44+'Model Setup'!$D$7,$B44:$Y44)+'Model Setup'!$D$8*(SUMIF($AD$3:$BA$3,"&lt;"&amp;$DF44,$B44:$Y44)+SUMIF($AD$3:$BA$3,"&gt;="&amp;$DG44,$B44:$Y44)),
IF(AZ$3=$DF44+'Model Setup'!$E$7,SUMIF($AD$3:$BA$3,"="&amp;$DF44+'Model Setup'!$E$7,$B44:$Y44)+'Model Setup'!$E$8*(SUMIF($AD$3:$BA$3,"&lt;"&amp;$DF44,$B44:$Y44)+SUMIF($AD$3:$BA$3,"&gt;="&amp;$DG44,$B44:$Y44)),
IF(AZ$3=$DF44+'Model Setup'!$F$7,SUMIF($AD$3:$BA$3,"="&amp;$DF44+'Model Setup'!$F$7,$B44:$Y44)+'Model Setup'!$F$8*(SUMIF($AD$3:$BA$3,"&lt;"&amp;$DF44,$B44:$Y44)+SUMIF($AD$3:$BA$3,"&gt;="&amp;$DG44,$B44:$Y44)),
IF(AZ$3=$DF44+'Model Setup'!$G$7,SUMIF($AD$3:$BA$3,"="&amp;$DF44+'Model Setup'!$G$7,$B44:$Y44)+'Model Setup'!$G$8*(SUMIF($AD$3:$BA$3,"&lt;"&amp;$DF44,$B44:$Y44)+SUMIF($AD$3:$BA$3,"&gt;="&amp;$DG44,$B44:$Y44)),
IF(AZ$3=$DF44+'Model Setup'!$H$7,SUMIF($AD$3:$BA$3,"="&amp;$DF44+'Model Setup'!$H$7,$B44:$Y44)+'Model Setup'!$H$8*(SUMIF($AD$3:$BA$3,"&lt;"&amp;$DF44,$B44:$Y44)+SUMIF($AD$3:$BA$3,"&gt;="&amp;$DG44,$B44:$Y44)),
IF(AZ$3=$DF44+'Model Setup'!$I$7,SUMIF($AD$3:$BA$3,"="&amp;$DF44+'Model Setup'!$I$7,$B44:$Y44)+'Model Setup'!$I$8*(SUMIF($AD$3:$BA$3,"&lt;"&amp;$DF44,$B44:$Y44)+SUMIF($AD$3:$BA$3,"&gt;="&amp;$DG44,$B44:$Y44)),
IF(AZ$3=$DF44+'Model Setup'!$J$7,SUMIF($AD$3:$BA$3,"="&amp;$DF44+'Model Setup'!$J$7,$B44:$Y44)+'Model Setup'!$J$8*(SUMIF($AD$3:$BA$3,"&lt;"&amp;$DF44,$B44:$Y44)+SUMIF($AD$3:$BA$3,"&gt;="&amp;$DG44,$B44:$Y44)),
IF(AZ$3=$DF44+'Model Setup'!$K$7,SUMIF($AD$3:$BA$3,"="&amp;$DF44+'Model Setup'!$K$7,$B44:$Y44)+'Model Setup'!$K$8*(SUMIF($AD$3:$BA$3,"&lt;"&amp;$DF44,$B44:$Y44)+SUMIF($AD$3:$BA$3,"&gt;="&amp;$DG44,$B44:$Y44)),
IF(AZ$3=$DF44+'Model Setup'!$L$7,SUMIF($AD$3:$BA$3,"="&amp;$DF44+'Model Setup'!$L$7,$B44:$Y44)+'Model Setup'!$L$8*(SUMIF($AD$3:$BA$3,"&lt;"&amp;$DF44,$B44:$Y44)+SUMIF($AD$3:$BA$3,"&gt;="&amp;$DG44,$B44:$Y44)),
IF(AZ$3=$DF44+'Model Setup'!$M$7,SUMIF($AD$3:$BA$3,"="&amp;$DF44+'Model Setup'!$M$7,$B44:$Y44)+'Model Setup'!$M$8*(SUMIF($AD$3:$BA$3,"&lt;"&amp;$DF44,$B44:$Y44)+SUMIF($AD$3:$BA$3,"&gt;="&amp;$DG44,$B44:$Y44)),
IF(AZ$3=$DF44+'Model Setup'!$N$7,SUMIF($AD$3:$BA$3,"="&amp;$DF44+'Model Setup'!$N$7,$B44:$Y44)+'Model Setup'!$N$8*(SUMIF($AD$3:$BA$3,"&lt;"&amp;$DF44,$B44:$Y44)+SUMIF($AD$3:$BA$3,"&gt;="&amp;$DG44,$B44:$Y44)),
IF(AZ$3&lt;$DG44,X44,0))))))))))))))),0)</f>
        <v>0</v>
      </c>
      <c r="BA44" s="47">
        <f>ROUND(IF(BA$3&lt;$DF44,0,
IF(BA$3=$DF44+'Model Setup'!$B$7,SUMIF($AD$3:$BA$3,"="&amp;$DF44+'Model Setup'!$B$7,$B44:$Y44)+'Model Setup'!$B$8*(SUMIF($AD$3:$BA$3,"&lt;"&amp;$DF44,$B44:$Y44)+SUMIF($AD$3:$BA$3,"&gt;="&amp;$DG44,$B44:$Y44)),
IF(BA$3=$DF44+'Model Setup'!$C$7,SUMIF($AD$3:$BA$3,"="&amp;$DF44+'Model Setup'!$C$7,$B44:$Y44)+'Model Setup'!$C$8*(SUMIF($AD$3:$BA$3,"&lt;"&amp;$DF44,$B44:$Y44)+SUMIF($AD$3:$BA$3,"&gt;="&amp;$DG44,$B44:$Y44)),
IF(BA$3=$DF44+'Model Setup'!$D$7,SUMIF($AD$3:$BA$3,"="&amp;$DF44+'Model Setup'!$D$7,$B44:$Y44)+'Model Setup'!$D$8*(SUMIF($AD$3:$BA$3,"&lt;"&amp;$DF44,$B44:$Y44)+SUMIF($AD$3:$BA$3,"&gt;="&amp;$DG44,$B44:$Y44)),
IF(BA$3=$DF44+'Model Setup'!$E$7,SUMIF($AD$3:$BA$3,"="&amp;$DF44+'Model Setup'!$E$7,$B44:$Y44)+'Model Setup'!$E$8*(SUMIF($AD$3:$BA$3,"&lt;"&amp;$DF44,$B44:$Y44)+SUMIF($AD$3:$BA$3,"&gt;="&amp;$DG44,$B44:$Y44)),
IF(BA$3=$DF44+'Model Setup'!$F$7,SUMIF($AD$3:$BA$3,"="&amp;$DF44+'Model Setup'!$F$7,$B44:$Y44)+'Model Setup'!$F$8*(SUMIF($AD$3:$BA$3,"&lt;"&amp;$DF44,$B44:$Y44)+SUMIF($AD$3:$BA$3,"&gt;="&amp;$DG44,$B44:$Y44)),
IF(BA$3=$DF44+'Model Setup'!$G$7,SUMIF($AD$3:$BA$3,"="&amp;$DF44+'Model Setup'!$G$7,$B44:$Y44)+'Model Setup'!$G$8*(SUMIF($AD$3:$BA$3,"&lt;"&amp;$DF44,$B44:$Y44)+SUMIF($AD$3:$BA$3,"&gt;="&amp;$DG44,$B44:$Y44)),
IF(BA$3=$DF44+'Model Setup'!$H$7,SUMIF($AD$3:$BA$3,"="&amp;$DF44+'Model Setup'!$H$7,$B44:$Y44)+'Model Setup'!$H$8*(SUMIF($AD$3:$BA$3,"&lt;"&amp;$DF44,$B44:$Y44)+SUMIF($AD$3:$BA$3,"&gt;="&amp;$DG44,$B44:$Y44)),
IF(BA$3=$DF44+'Model Setup'!$I$7,SUMIF($AD$3:$BA$3,"="&amp;$DF44+'Model Setup'!$I$7,$B44:$Y44)+'Model Setup'!$I$8*(SUMIF($AD$3:$BA$3,"&lt;"&amp;$DF44,$B44:$Y44)+SUMIF($AD$3:$BA$3,"&gt;="&amp;$DG44,$B44:$Y44)),
IF(BA$3=$DF44+'Model Setup'!$J$7,SUMIF($AD$3:$BA$3,"="&amp;$DF44+'Model Setup'!$J$7,$B44:$Y44)+'Model Setup'!$J$8*(SUMIF($AD$3:$BA$3,"&lt;"&amp;$DF44,$B44:$Y44)+SUMIF($AD$3:$BA$3,"&gt;="&amp;$DG44,$B44:$Y44)),
IF(BA$3=$DF44+'Model Setup'!$K$7,SUMIF($AD$3:$BA$3,"="&amp;$DF44+'Model Setup'!$K$7,$B44:$Y44)+'Model Setup'!$K$8*(SUMIF($AD$3:$BA$3,"&lt;"&amp;$DF44,$B44:$Y44)+SUMIF($AD$3:$BA$3,"&gt;="&amp;$DG44,$B44:$Y44)),
IF(BA$3=$DF44+'Model Setup'!$L$7,SUMIF($AD$3:$BA$3,"="&amp;$DF44+'Model Setup'!$L$7,$B44:$Y44)+'Model Setup'!$L$8*(SUMIF($AD$3:$BA$3,"&lt;"&amp;$DF44,$B44:$Y44)+SUMIF($AD$3:$BA$3,"&gt;="&amp;$DG44,$B44:$Y44)),
IF(BA$3=$DF44+'Model Setup'!$M$7,SUMIF($AD$3:$BA$3,"="&amp;$DF44+'Model Setup'!$M$7,$B44:$Y44)+'Model Setup'!$M$8*(SUMIF($AD$3:$BA$3,"&lt;"&amp;$DF44,$B44:$Y44)+SUMIF($AD$3:$BA$3,"&gt;="&amp;$DG44,$B44:$Y44)),
IF(BA$3=$DF44+'Model Setup'!$N$7,SUMIF($AD$3:$BA$3,"="&amp;$DF44+'Model Setup'!$N$7,$B44:$Y44)+'Model Setup'!$N$8*(SUMIF($AD$3:$BA$3,"&lt;"&amp;$DF44,$B44:$Y44)+SUMIF($AD$3:$BA$3,"&gt;="&amp;$DG44,$B44:$Y44)),
IF(BA$3&lt;$DG44,Y44,0))))))))))))))),0)</f>
        <v>0</v>
      </c>
      <c r="BB44" s="47">
        <f t="shared" si="1"/>
        <v>7</v>
      </c>
      <c r="BD44" t="b">
        <f t="shared" si="2"/>
        <v>0</v>
      </c>
      <c r="BE44">
        <f t="shared" si="8"/>
        <v>-1</v>
      </c>
      <c r="BF44">
        <f>(FTC!F42-FTC!E42)*24</f>
        <v>13</v>
      </c>
      <c r="BG44" s="43" t="s">
        <v>59</v>
      </c>
      <c r="BH44" s="47">
        <f>ROUND(IF(OR(BH$3&lt;$DF44,BH$3&gt;$CW$4),0,
IF(BH$3=$DF44+'Model Setup'!$B$7,SUMIF($BH$3:$CE$3,"="&amp;$DF44+'Model Setup'!$B$7,$AD44:$BA44)+'Model Setup'!$B$8*(SUMIF($BH$3:$CE$3,"&lt;"&amp;$DF44,$AD44:$BA44)+SUMIF($BH$3:$CE$3,"&gt;"&amp;$CW$4,$AD44:$BA44)),
IF(BH$3=$DF44+'Model Setup'!$C$7,SUMIF($BH$3:$CE$3,"="&amp;$DF44+'Model Setup'!$C$7,$AD44:$BA44)+'Model Setup'!$C$8*(SUMIF($BH$3:$CE$3,"&lt;"&amp;$DF44,$AD44:$BA44)+SUMIF($BH$3:$CE$3,"&gt;"&amp;$CW$4,$AD44:$BA44)),
IF(BH$3=$DF44+'Model Setup'!$D$7,SUMIF($BH$3:$CE$3,"="&amp;$DF44+'Model Setup'!$D$7,$AD44:$BA44)+'Model Setup'!$D$8*(SUMIF($BH$3:$CE$3,"&lt;"&amp;$DF44,$AD44:$BA44)+SUMIF($BH$3:$CE$3,"&gt;"&amp;$CW$4,$AD44:$BA44)),
IF(BH$3=$DF44+'Model Setup'!$E$7,SUMIF($BH$3:$CE$3,"="&amp;$DF44+'Model Setup'!$E$7,$AD44:$BA44)+'Model Setup'!$E$8*(SUMIF($BH$3:$CE$3,"&lt;"&amp;$DF44,$AD44:$BA44)+SUMIF($BH$3:$CE$3,"&gt;"&amp;$CW$4,$AD44:$BA44)),
IF(BH$3=$DF44+'Model Setup'!$F$7,SUMIF($BH$3:$CE$3,"="&amp;$DF44+'Model Setup'!$F$7,$AD44:$BA44)+'Model Setup'!$F$8*(SUMIF($BH$3:$CE$3,"&lt;"&amp;$DF44,$AD44:$BA44)+SUMIF($BH$3:$CE$3,"&gt;"&amp;$CW$4,$AD44:$BA44)),
IF(BH$3=$DF44+'Model Setup'!$G$7,SUMIF($BH$3:$CE$3,"="&amp;$DF44+'Model Setup'!$G$7,$AD44:$BA44)+'Model Setup'!$G$8*(SUMIF($BH$3:$CE$3,"&lt;"&amp;$DF44,$AD44:$BA44)+SUMIF($BH$3:$CE$3,"&gt;"&amp;$CW$4,$AD44:$BA44)),
IF(BH$3=$DF44+'Model Setup'!$H$7,SUMIF($BH$3:$CE$3,"="&amp;$DF44+'Model Setup'!$H$7,$AD44:$BA44)+'Model Setup'!$H$8*(SUMIF($BH$3:$CE$3,"&lt;"&amp;$DF44,$AD44:$BA44)+SUMIF($BH$3:$CE$3,"&gt;"&amp;$CW$4,$AD44:$BA44)),
IF(BH$3=$DF44+'Model Setup'!$I$7,SUMIF($BH$3:$CE$3,"="&amp;$DF44+'Model Setup'!$I$7,$AD44:$BA44)+'Model Setup'!$I$8*(SUMIF($BH$3:$CE$3,"&lt;"&amp;$DF44,$AD44:$BA44)+SUMIF($BH$3:$CE$3,"&gt;"&amp;$CW$4,$AD44:$BA44)),
IF(BH$3=$DF44+'Model Setup'!$J$7,SUMIF($BH$3:$CE$3,"="&amp;$DF44+'Model Setup'!$J$7,$AD44:$BA44)+'Model Setup'!$J$8*(SUMIF($BH$3:$CE$3,"&lt;"&amp;$DF44,$AD44:$BA44)+SUMIF($BH$3:$CE$3,"&gt;"&amp;$CW$4,$AD44:$BA44)),
IF(BH$3=$DF44+'Model Setup'!$K$7,SUMIF($BH$3:$CE$3,"="&amp;$DF44+'Model Setup'!$K$7,$AD44:$BA44)+'Model Setup'!$K$8*(SUMIF($BH$3:$CE$3,"&lt;"&amp;$DF44,$AD44:$BA44)+SUMIF($BH$3:$CE$3,"&gt;"&amp;$CW$4,$AD44:$BA44)),
IF(BH$3=$DF44+'Model Setup'!$L$7,SUMIF($BH$3:$CE$3,"="&amp;$DF44+'Model Setup'!$L$7,$AD44:$BA44)+'Model Setup'!$L$8*(SUMIF($BH$3:$CE$3,"&lt;"&amp;$DF44,$AD44:$BA44)+SUMIF($BH$3:$CE$3,"&gt;"&amp;$CW$4,$AD44:$BA44)),
IF(BH$3=$DF44+'Model Setup'!$M$7,SUMIF($BH$3:$CE$3,"="&amp;$DF44+'Model Setup'!$M$7,$AD44:$BA44)+'Model Setup'!$M$8*(SUMIF($BH$3:$CE$3,"&lt;"&amp;$DF44,$AD44:$BA44)+SUMIF($BH$3:$CE$3,"&gt;"&amp;$CW$4,$AD44:$BA44)),
IF(BH$3=$DF44+'Model Setup'!$N$7,SUMIF($BH$3:$CE$3,"="&amp;$DF44+'Model Setup'!$N$7,$AD44:$BA44)+'Model Setup'!$N$8*(SUMIF($BH$3:$CE$3,"&lt;"&amp;$DF44,$AD44:$BA44)+SUMIF($BH$3:$CE$3,"&gt;"&amp;$CW$4,$AD44:$BA44)),
IF(BH$3&lt;$CW$4,B44,0))))))))))))))),0)</f>
        <v>0</v>
      </c>
      <c r="BI44" s="47">
        <f>ROUND(IF(OR(BI$3&lt;$DF44,BI$3&gt;$CW$4),0,
IF(BI$3=$DF44+'Model Setup'!$B$7,SUMIF($BH$3:$CE$3,"="&amp;$DF44+'Model Setup'!$B$7,$AD44:$BA44)+'Model Setup'!$B$8*(SUMIF($BH$3:$CE$3,"&lt;"&amp;$DF44,$AD44:$BA44)+SUMIF($BH$3:$CE$3,"&gt;"&amp;$CW$4,$AD44:$BA44)),
IF(BI$3=$DF44+'Model Setup'!$C$7,SUMIF($BH$3:$CE$3,"="&amp;$DF44+'Model Setup'!$C$7,$AD44:$BA44)+'Model Setup'!$C$8*(SUMIF($BH$3:$CE$3,"&lt;"&amp;$DF44,$AD44:$BA44)+SUMIF($BH$3:$CE$3,"&gt;"&amp;$CW$4,$AD44:$BA44)),
IF(BI$3=$DF44+'Model Setup'!$D$7,SUMIF($BH$3:$CE$3,"="&amp;$DF44+'Model Setup'!$D$7,$AD44:$BA44)+'Model Setup'!$D$8*(SUMIF($BH$3:$CE$3,"&lt;"&amp;$DF44,$AD44:$BA44)+SUMIF($BH$3:$CE$3,"&gt;"&amp;$CW$4,$AD44:$BA44)),
IF(BI$3=$DF44+'Model Setup'!$E$7,SUMIF($BH$3:$CE$3,"="&amp;$DF44+'Model Setup'!$E$7,$AD44:$BA44)+'Model Setup'!$E$8*(SUMIF($BH$3:$CE$3,"&lt;"&amp;$DF44,$AD44:$BA44)+SUMIF($BH$3:$CE$3,"&gt;"&amp;$CW$4,$AD44:$BA44)),
IF(BI$3=$DF44+'Model Setup'!$F$7,SUMIF($BH$3:$CE$3,"="&amp;$DF44+'Model Setup'!$F$7,$AD44:$BA44)+'Model Setup'!$F$8*(SUMIF($BH$3:$CE$3,"&lt;"&amp;$DF44,$AD44:$BA44)+SUMIF($BH$3:$CE$3,"&gt;"&amp;$CW$4,$AD44:$BA44)),
IF(BI$3=$DF44+'Model Setup'!$G$7,SUMIF($BH$3:$CE$3,"="&amp;$DF44+'Model Setup'!$G$7,$AD44:$BA44)+'Model Setup'!$G$8*(SUMIF($BH$3:$CE$3,"&lt;"&amp;$DF44,$AD44:$BA44)+SUMIF($BH$3:$CE$3,"&gt;"&amp;$CW$4,$AD44:$BA44)),
IF(BI$3=$DF44+'Model Setup'!$H$7,SUMIF($BH$3:$CE$3,"="&amp;$DF44+'Model Setup'!$H$7,$AD44:$BA44)+'Model Setup'!$H$8*(SUMIF($BH$3:$CE$3,"&lt;"&amp;$DF44,$AD44:$BA44)+SUMIF($BH$3:$CE$3,"&gt;"&amp;$CW$4,$AD44:$BA44)),
IF(BI$3=$DF44+'Model Setup'!$I$7,SUMIF($BH$3:$CE$3,"="&amp;$DF44+'Model Setup'!$I$7,$AD44:$BA44)+'Model Setup'!$I$8*(SUMIF($BH$3:$CE$3,"&lt;"&amp;$DF44,$AD44:$BA44)+SUMIF($BH$3:$CE$3,"&gt;"&amp;$CW$4,$AD44:$BA44)),
IF(BI$3=$DF44+'Model Setup'!$J$7,SUMIF($BH$3:$CE$3,"="&amp;$DF44+'Model Setup'!$J$7,$AD44:$BA44)+'Model Setup'!$J$8*(SUMIF($BH$3:$CE$3,"&lt;"&amp;$DF44,$AD44:$BA44)+SUMIF($BH$3:$CE$3,"&gt;"&amp;$CW$4,$AD44:$BA44)),
IF(BI$3=$DF44+'Model Setup'!$K$7,SUMIF($BH$3:$CE$3,"="&amp;$DF44+'Model Setup'!$K$7,$AD44:$BA44)+'Model Setup'!$K$8*(SUMIF($BH$3:$CE$3,"&lt;"&amp;$DF44,$AD44:$BA44)+SUMIF($BH$3:$CE$3,"&gt;"&amp;$CW$4,$AD44:$BA44)),
IF(BI$3=$DF44+'Model Setup'!$L$7,SUMIF($BH$3:$CE$3,"="&amp;$DF44+'Model Setup'!$L$7,$AD44:$BA44)+'Model Setup'!$L$8*(SUMIF($BH$3:$CE$3,"&lt;"&amp;$DF44,$AD44:$BA44)+SUMIF($BH$3:$CE$3,"&gt;"&amp;$CW$4,$AD44:$BA44)),
IF(BI$3=$DF44+'Model Setup'!$M$7,SUMIF($BH$3:$CE$3,"="&amp;$DF44+'Model Setup'!$M$7,$AD44:$BA44)+'Model Setup'!$M$8*(SUMIF($BH$3:$CE$3,"&lt;"&amp;$DF44,$AD44:$BA44)+SUMIF($BH$3:$CE$3,"&gt;"&amp;$CW$4,$AD44:$BA44)),
IF(BI$3=$DF44+'Model Setup'!$N$7,SUMIF($BH$3:$CE$3,"="&amp;$DF44+'Model Setup'!$N$7,$AD44:$BA44)+'Model Setup'!$N$8*(SUMIF($BH$3:$CE$3,"&lt;"&amp;$DF44,$AD44:$BA44)+SUMIF($BH$3:$CE$3,"&gt;"&amp;$CW$4,$AD44:$BA44)),
IF(BI$3&lt;$CW$4,C44,0))))))))))))))),0)</f>
        <v>0</v>
      </c>
      <c r="BJ44" s="47">
        <f>ROUND(IF(OR(BJ$3&lt;$DF44,BJ$3&gt;$CW$4),0,
IF(BJ$3=$DF44+'Model Setup'!$B$7,SUMIF($BH$3:$CE$3,"="&amp;$DF44+'Model Setup'!$B$7,$AD44:$BA44)+'Model Setup'!$B$8*(SUMIF($BH$3:$CE$3,"&lt;"&amp;$DF44,$AD44:$BA44)+SUMIF($BH$3:$CE$3,"&gt;"&amp;$CW$4,$AD44:$BA44)),
IF(BJ$3=$DF44+'Model Setup'!$C$7,SUMIF($BH$3:$CE$3,"="&amp;$DF44+'Model Setup'!$C$7,$AD44:$BA44)+'Model Setup'!$C$8*(SUMIF($BH$3:$CE$3,"&lt;"&amp;$DF44,$AD44:$BA44)+SUMIF($BH$3:$CE$3,"&gt;"&amp;$CW$4,$AD44:$BA44)),
IF(BJ$3=$DF44+'Model Setup'!$D$7,SUMIF($BH$3:$CE$3,"="&amp;$DF44+'Model Setup'!$D$7,$AD44:$BA44)+'Model Setup'!$D$8*(SUMIF($BH$3:$CE$3,"&lt;"&amp;$DF44,$AD44:$BA44)+SUMIF($BH$3:$CE$3,"&gt;"&amp;$CW$4,$AD44:$BA44)),
IF(BJ$3=$DF44+'Model Setup'!$E$7,SUMIF($BH$3:$CE$3,"="&amp;$DF44+'Model Setup'!$E$7,$AD44:$BA44)+'Model Setup'!$E$8*(SUMIF($BH$3:$CE$3,"&lt;"&amp;$DF44,$AD44:$BA44)+SUMIF($BH$3:$CE$3,"&gt;"&amp;$CW$4,$AD44:$BA44)),
IF(BJ$3=$DF44+'Model Setup'!$F$7,SUMIF($BH$3:$CE$3,"="&amp;$DF44+'Model Setup'!$F$7,$AD44:$BA44)+'Model Setup'!$F$8*(SUMIF($BH$3:$CE$3,"&lt;"&amp;$DF44,$AD44:$BA44)+SUMIF($BH$3:$CE$3,"&gt;"&amp;$CW$4,$AD44:$BA44)),
IF(BJ$3=$DF44+'Model Setup'!$G$7,SUMIF($BH$3:$CE$3,"="&amp;$DF44+'Model Setup'!$G$7,$AD44:$BA44)+'Model Setup'!$G$8*(SUMIF($BH$3:$CE$3,"&lt;"&amp;$DF44,$AD44:$BA44)+SUMIF($BH$3:$CE$3,"&gt;"&amp;$CW$4,$AD44:$BA44)),
IF(BJ$3=$DF44+'Model Setup'!$H$7,SUMIF($BH$3:$CE$3,"="&amp;$DF44+'Model Setup'!$H$7,$AD44:$BA44)+'Model Setup'!$H$8*(SUMIF($BH$3:$CE$3,"&lt;"&amp;$DF44,$AD44:$BA44)+SUMIF($BH$3:$CE$3,"&gt;"&amp;$CW$4,$AD44:$BA44)),
IF(BJ$3=$DF44+'Model Setup'!$I$7,SUMIF($BH$3:$CE$3,"="&amp;$DF44+'Model Setup'!$I$7,$AD44:$BA44)+'Model Setup'!$I$8*(SUMIF($BH$3:$CE$3,"&lt;"&amp;$DF44,$AD44:$BA44)+SUMIF($BH$3:$CE$3,"&gt;"&amp;$CW$4,$AD44:$BA44)),
IF(BJ$3=$DF44+'Model Setup'!$J$7,SUMIF($BH$3:$CE$3,"="&amp;$DF44+'Model Setup'!$J$7,$AD44:$BA44)+'Model Setup'!$J$8*(SUMIF($BH$3:$CE$3,"&lt;"&amp;$DF44,$AD44:$BA44)+SUMIF($BH$3:$CE$3,"&gt;"&amp;$CW$4,$AD44:$BA44)),
IF(BJ$3=$DF44+'Model Setup'!$K$7,SUMIF($BH$3:$CE$3,"="&amp;$DF44+'Model Setup'!$K$7,$AD44:$BA44)+'Model Setup'!$K$8*(SUMIF($BH$3:$CE$3,"&lt;"&amp;$DF44,$AD44:$BA44)+SUMIF($BH$3:$CE$3,"&gt;"&amp;$CW$4,$AD44:$BA44)),
IF(BJ$3=$DF44+'Model Setup'!$L$7,SUMIF($BH$3:$CE$3,"="&amp;$DF44+'Model Setup'!$L$7,$AD44:$BA44)+'Model Setup'!$L$8*(SUMIF($BH$3:$CE$3,"&lt;"&amp;$DF44,$AD44:$BA44)+SUMIF($BH$3:$CE$3,"&gt;"&amp;$CW$4,$AD44:$BA44)),
IF(BJ$3=$DF44+'Model Setup'!$M$7,SUMIF($BH$3:$CE$3,"="&amp;$DF44+'Model Setup'!$M$7,$AD44:$BA44)+'Model Setup'!$M$8*(SUMIF($BH$3:$CE$3,"&lt;"&amp;$DF44,$AD44:$BA44)+SUMIF($BH$3:$CE$3,"&gt;"&amp;$CW$4,$AD44:$BA44)),
IF(BJ$3=$DF44+'Model Setup'!$N$7,SUMIF($BH$3:$CE$3,"="&amp;$DF44+'Model Setup'!$N$7,$AD44:$BA44)+'Model Setup'!$N$8*(SUMIF($BH$3:$CE$3,"&lt;"&amp;$DF44,$AD44:$BA44)+SUMIF($BH$3:$CE$3,"&gt;"&amp;$CW$4,$AD44:$BA44)),
IF(BJ$3&lt;$CW$4,D44,0))))))))))))))),0)</f>
        <v>0</v>
      </c>
      <c r="BK44" s="47">
        <f>ROUND(IF(OR(BK$3&lt;$DF44,BK$3&gt;$CW$4),0,
IF(BK$3=$DF44+'Model Setup'!$B$7,SUMIF($BH$3:$CE$3,"="&amp;$DF44+'Model Setup'!$B$7,$AD44:$BA44)+'Model Setup'!$B$8*(SUMIF($BH$3:$CE$3,"&lt;"&amp;$DF44,$AD44:$BA44)+SUMIF($BH$3:$CE$3,"&gt;"&amp;$CW$4,$AD44:$BA44)),
IF(BK$3=$DF44+'Model Setup'!$C$7,SUMIF($BH$3:$CE$3,"="&amp;$DF44+'Model Setup'!$C$7,$AD44:$BA44)+'Model Setup'!$C$8*(SUMIF($BH$3:$CE$3,"&lt;"&amp;$DF44,$AD44:$BA44)+SUMIF($BH$3:$CE$3,"&gt;"&amp;$CW$4,$AD44:$BA44)),
IF(BK$3=$DF44+'Model Setup'!$D$7,SUMIF($BH$3:$CE$3,"="&amp;$DF44+'Model Setup'!$D$7,$AD44:$BA44)+'Model Setup'!$D$8*(SUMIF($BH$3:$CE$3,"&lt;"&amp;$DF44,$AD44:$BA44)+SUMIF($BH$3:$CE$3,"&gt;"&amp;$CW$4,$AD44:$BA44)),
IF(BK$3=$DF44+'Model Setup'!$E$7,SUMIF($BH$3:$CE$3,"="&amp;$DF44+'Model Setup'!$E$7,$AD44:$BA44)+'Model Setup'!$E$8*(SUMIF($BH$3:$CE$3,"&lt;"&amp;$DF44,$AD44:$BA44)+SUMIF($BH$3:$CE$3,"&gt;"&amp;$CW$4,$AD44:$BA44)),
IF(BK$3=$DF44+'Model Setup'!$F$7,SUMIF($BH$3:$CE$3,"="&amp;$DF44+'Model Setup'!$F$7,$AD44:$BA44)+'Model Setup'!$F$8*(SUMIF($BH$3:$CE$3,"&lt;"&amp;$DF44,$AD44:$BA44)+SUMIF($BH$3:$CE$3,"&gt;"&amp;$CW$4,$AD44:$BA44)),
IF(BK$3=$DF44+'Model Setup'!$G$7,SUMIF($BH$3:$CE$3,"="&amp;$DF44+'Model Setup'!$G$7,$AD44:$BA44)+'Model Setup'!$G$8*(SUMIF($BH$3:$CE$3,"&lt;"&amp;$DF44,$AD44:$BA44)+SUMIF($BH$3:$CE$3,"&gt;"&amp;$CW$4,$AD44:$BA44)),
IF(BK$3=$DF44+'Model Setup'!$H$7,SUMIF($BH$3:$CE$3,"="&amp;$DF44+'Model Setup'!$H$7,$AD44:$BA44)+'Model Setup'!$H$8*(SUMIF($BH$3:$CE$3,"&lt;"&amp;$DF44,$AD44:$BA44)+SUMIF($BH$3:$CE$3,"&gt;"&amp;$CW$4,$AD44:$BA44)),
IF(BK$3=$DF44+'Model Setup'!$I$7,SUMIF($BH$3:$CE$3,"="&amp;$DF44+'Model Setup'!$I$7,$AD44:$BA44)+'Model Setup'!$I$8*(SUMIF($BH$3:$CE$3,"&lt;"&amp;$DF44,$AD44:$BA44)+SUMIF($BH$3:$CE$3,"&gt;"&amp;$CW$4,$AD44:$BA44)),
IF(BK$3=$DF44+'Model Setup'!$J$7,SUMIF($BH$3:$CE$3,"="&amp;$DF44+'Model Setup'!$J$7,$AD44:$BA44)+'Model Setup'!$J$8*(SUMIF($BH$3:$CE$3,"&lt;"&amp;$DF44,$AD44:$BA44)+SUMIF($BH$3:$CE$3,"&gt;"&amp;$CW$4,$AD44:$BA44)),
IF(BK$3=$DF44+'Model Setup'!$K$7,SUMIF($BH$3:$CE$3,"="&amp;$DF44+'Model Setup'!$K$7,$AD44:$BA44)+'Model Setup'!$K$8*(SUMIF($BH$3:$CE$3,"&lt;"&amp;$DF44,$AD44:$BA44)+SUMIF($BH$3:$CE$3,"&gt;"&amp;$CW$4,$AD44:$BA44)),
IF(BK$3=$DF44+'Model Setup'!$L$7,SUMIF($BH$3:$CE$3,"="&amp;$DF44+'Model Setup'!$L$7,$AD44:$BA44)+'Model Setup'!$L$8*(SUMIF($BH$3:$CE$3,"&lt;"&amp;$DF44,$AD44:$BA44)+SUMIF($BH$3:$CE$3,"&gt;"&amp;$CW$4,$AD44:$BA44)),
IF(BK$3=$DF44+'Model Setup'!$M$7,SUMIF($BH$3:$CE$3,"="&amp;$DF44+'Model Setup'!$M$7,$AD44:$BA44)+'Model Setup'!$M$8*(SUMIF($BH$3:$CE$3,"&lt;"&amp;$DF44,$AD44:$BA44)+SUMIF($BH$3:$CE$3,"&gt;"&amp;$CW$4,$AD44:$BA44)),
IF(BK$3=$DF44+'Model Setup'!$N$7,SUMIF($BH$3:$CE$3,"="&amp;$DF44+'Model Setup'!$N$7,$AD44:$BA44)+'Model Setup'!$N$8*(SUMIF($BH$3:$CE$3,"&lt;"&amp;$DF44,$AD44:$BA44)+SUMIF($BH$3:$CE$3,"&gt;"&amp;$CW$4,$AD44:$BA44)),
IF(BK$3&lt;$CW$4,E44,0))))))))))))))),0)</f>
        <v>0</v>
      </c>
      <c r="BL44" s="47">
        <f>ROUND(IF(OR(BL$3&lt;$DF44,BL$3&gt;$CW$4),0,
IF(BL$3=$DF44+'Model Setup'!$B$7,SUMIF($BH$3:$CE$3,"="&amp;$DF44+'Model Setup'!$B$7,$AD44:$BA44)+'Model Setup'!$B$8*(SUMIF($BH$3:$CE$3,"&lt;"&amp;$DF44,$AD44:$BA44)+SUMIF($BH$3:$CE$3,"&gt;"&amp;$CW$4,$AD44:$BA44)),
IF(BL$3=$DF44+'Model Setup'!$C$7,SUMIF($BH$3:$CE$3,"="&amp;$DF44+'Model Setup'!$C$7,$AD44:$BA44)+'Model Setup'!$C$8*(SUMIF($BH$3:$CE$3,"&lt;"&amp;$DF44,$AD44:$BA44)+SUMIF($BH$3:$CE$3,"&gt;"&amp;$CW$4,$AD44:$BA44)),
IF(BL$3=$DF44+'Model Setup'!$D$7,SUMIF($BH$3:$CE$3,"="&amp;$DF44+'Model Setup'!$D$7,$AD44:$BA44)+'Model Setup'!$D$8*(SUMIF($BH$3:$CE$3,"&lt;"&amp;$DF44,$AD44:$BA44)+SUMIF($BH$3:$CE$3,"&gt;"&amp;$CW$4,$AD44:$BA44)),
IF(BL$3=$DF44+'Model Setup'!$E$7,SUMIF($BH$3:$CE$3,"="&amp;$DF44+'Model Setup'!$E$7,$AD44:$BA44)+'Model Setup'!$E$8*(SUMIF($BH$3:$CE$3,"&lt;"&amp;$DF44,$AD44:$BA44)+SUMIF($BH$3:$CE$3,"&gt;"&amp;$CW$4,$AD44:$BA44)),
IF(BL$3=$DF44+'Model Setup'!$F$7,SUMIF($BH$3:$CE$3,"="&amp;$DF44+'Model Setup'!$F$7,$AD44:$BA44)+'Model Setup'!$F$8*(SUMIF($BH$3:$CE$3,"&lt;"&amp;$DF44,$AD44:$BA44)+SUMIF($BH$3:$CE$3,"&gt;"&amp;$CW$4,$AD44:$BA44)),
IF(BL$3=$DF44+'Model Setup'!$G$7,SUMIF($BH$3:$CE$3,"="&amp;$DF44+'Model Setup'!$G$7,$AD44:$BA44)+'Model Setup'!$G$8*(SUMIF($BH$3:$CE$3,"&lt;"&amp;$DF44,$AD44:$BA44)+SUMIF($BH$3:$CE$3,"&gt;"&amp;$CW$4,$AD44:$BA44)),
IF(BL$3=$DF44+'Model Setup'!$H$7,SUMIF($BH$3:$CE$3,"="&amp;$DF44+'Model Setup'!$H$7,$AD44:$BA44)+'Model Setup'!$H$8*(SUMIF($BH$3:$CE$3,"&lt;"&amp;$DF44,$AD44:$BA44)+SUMIF($BH$3:$CE$3,"&gt;"&amp;$CW$4,$AD44:$BA44)),
IF(BL$3=$DF44+'Model Setup'!$I$7,SUMIF($BH$3:$CE$3,"="&amp;$DF44+'Model Setup'!$I$7,$AD44:$BA44)+'Model Setup'!$I$8*(SUMIF($BH$3:$CE$3,"&lt;"&amp;$DF44,$AD44:$BA44)+SUMIF($BH$3:$CE$3,"&gt;"&amp;$CW$4,$AD44:$BA44)),
IF(BL$3=$DF44+'Model Setup'!$J$7,SUMIF($BH$3:$CE$3,"="&amp;$DF44+'Model Setup'!$J$7,$AD44:$BA44)+'Model Setup'!$J$8*(SUMIF($BH$3:$CE$3,"&lt;"&amp;$DF44,$AD44:$BA44)+SUMIF($BH$3:$CE$3,"&gt;"&amp;$CW$4,$AD44:$BA44)),
IF(BL$3=$DF44+'Model Setup'!$K$7,SUMIF($BH$3:$CE$3,"="&amp;$DF44+'Model Setup'!$K$7,$AD44:$BA44)+'Model Setup'!$K$8*(SUMIF($BH$3:$CE$3,"&lt;"&amp;$DF44,$AD44:$BA44)+SUMIF($BH$3:$CE$3,"&gt;"&amp;$CW$4,$AD44:$BA44)),
IF(BL$3=$DF44+'Model Setup'!$L$7,SUMIF($BH$3:$CE$3,"="&amp;$DF44+'Model Setup'!$L$7,$AD44:$BA44)+'Model Setup'!$L$8*(SUMIF($BH$3:$CE$3,"&lt;"&amp;$DF44,$AD44:$BA44)+SUMIF($BH$3:$CE$3,"&gt;"&amp;$CW$4,$AD44:$BA44)),
IF(BL$3=$DF44+'Model Setup'!$M$7,SUMIF($BH$3:$CE$3,"="&amp;$DF44+'Model Setup'!$M$7,$AD44:$BA44)+'Model Setup'!$M$8*(SUMIF($BH$3:$CE$3,"&lt;"&amp;$DF44,$AD44:$BA44)+SUMIF($BH$3:$CE$3,"&gt;"&amp;$CW$4,$AD44:$BA44)),
IF(BL$3=$DF44+'Model Setup'!$N$7,SUMIF($BH$3:$CE$3,"="&amp;$DF44+'Model Setup'!$N$7,$AD44:$BA44)+'Model Setup'!$N$8*(SUMIF($BH$3:$CE$3,"&lt;"&amp;$DF44,$AD44:$BA44)+SUMIF($BH$3:$CE$3,"&gt;"&amp;$CW$4,$AD44:$BA44)),
IF(BL$3&lt;$CW$4,F44,0))))))))))))))),0)</f>
        <v>0</v>
      </c>
      <c r="BM44" s="47">
        <f>ROUND(IF(OR(BM$3&lt;$DF44,BM$3&gt;$CW$4),0,
IF(BM$3=$DF44+'Model Setup'!$B$7,SUMIF($BH$3:$CE$3,"="&amp;$DF44+'Model Setup'!$B$7,$AD44:$BA44)+'Model Setup'!$B$8*(SUMIF($BH$3:$CE$3,"&lt;"&amp;$DF44,$AD44:$BA44)+SUMIF($BH$3:$CE$3,"&gt;"&amp;$CW$4,$AD44:$BA44)),
IF(BM$3=$DF44+'Model Setup'!$C$7,SUMIF($BH$3:$CE$3,"="&amp;$DF44+'Model Setup'!$C$7,$AD44:$BA44)+'Model Setup'!$C$8*(SUMIF($BH$3:$CE$3,"&lt;"&amp;$DF44,$AD44:$BA44)+SUMIF($BH$3:$CE$3,"&gt;"&amp;$CW$4,$AD44:$BA44)),
IF(BM$3=$DF44+'Model Setup'!$D$7,SUMIF($BH$3:$CE$3,"="&amp;$DF44+'Model Setup'!$D$7,$AD44:$BA44)+'Model Setup'!$D$8*(SUMIF($BH$3:$CE$3,"&lt;"&amp;$DF44,$AD44:$BA44)+SUMIF($BH$3:$CE$3,"&gt;"&amp;$CW$4,$AD44:$BA44)),
IF(BM$3=$DF44+'Model Setup'!$E$7,SUMIF($BH$3:$CE$3,"="&amp;$DF44+'Model Setup'!$E$7,$AD44:$BA44)+'Model Setup'!$E$8*(SUMIF($BH$3:$CE$3,"&lt;"&amp;$DF44,$AD44:$BA44)+SUMIF($BH$3:$CE$3,"&gt;"&amp;$CW$4,$AD44:$BA44)),
IF(BM$3=$DF44+'Model Setup'!$F$7,SUMIF($BH$3:$CE$3,"="&amp;$DF44+'Model Setup'!$F$7,$AD44:$BA44)+'Model Setup'!$F$8*(SUMIF($BH$3:$CE$3,"&lt;"&amp;$DF44,$AD44:$BA44)+SUMIF($BH$3:$CE$3,"&gt;"&amp;$CW$4,$AD44:$BA44)),
IF(BM$3=$DF44+'Model Setup'!$G$7,SUMIF($BH$3:$CE$3,"="&amp;$DF44+'Model Setup'!$G$7,$AD44:$BA44)+'Model Setup'!$G$8*(SUMIF($BH$3:$CE$3,"&lt;"&amp;$DF44,$AD44:$BA44)+SUMIF($BH$3:$CE$3,"&gt;"&amp;$CW$4,$AD44:$BA44)),
IF(BM$3=$DF44+'Model Setup'!$H$7,SUMIF($BH$3:$CE$3,"="&amp;$DF44+'Model Setup'!$H$7,$AD44:$BA44)+'Model Setup'!$H$8*(SUMIF($BH$3:$CE$3,"&lt;"&amp;$DF44,$AD44:$BA44)+SUMIF($BH$3:$CE$3,"&gt;"&amp;$CW$4,$AD44:$BA44)),
IF(BM$3=$DF44+'Model Setup'!$I$7,SUMIF($BH$3:$CE$3,"="&amp;$DF44+'Model Setup'!$I$7,$AD44:$BA44)+'Model Setup'!$I$8*(SUMIF($BH$3:$CE$3,"&lt;"&amp;$DF44,$AD44:$BA44)+SUMIF($BH$3:$CE$3,"&gt;"&amp;$CW$4,$AD44:$BA44)),
IF(BM$3=$DF44+'Model Setup'!$J$7,SUMIF($BH$3:$CE$3,"="&amp;$DF44+'Model Setup'!$J$7,$AD44:$BA44)+'Model Setup'!$J$8*(SUMIF($BH$3:$CE$3,"&lt;"&amp;$DF44,$AD44:$BA44)+SUMIF($BH$3:$CE$3,"&gt;"&amp;$CW$4,$AD44:$BA44)),
IF(BM$3=$DF44+'Model Setup'!$K$7,SUMIF($BH$3:$CE$3,"="&amp;$DF44+'Model Setup'!$K$7,$AD44:$BA44)+'Model Setup'!$K$8*(SUMIF($BH$3:$CE$3,"&lt;"&amp;$DF44,$AD44:$BA44)+SUMIF($BH$3:$CE$3,"&gt;"&amp;$CW$4,$AD44:$BA44)),
IF(BM$3=$DF44+'Model Setup'!$L$7,SUMIF($BH$3:$CE$3,"="&amp;$DF44+'Model Setup'!$L$7,$AD44:$BA44)+'Model Setup'!$L$8*(SUMIF($BH$3:$CE$3,"&lt;"&amp;$DF44,$AD44:$BA44)+SUMIF($BH$3:$CE$3,"&gt;"&amp;$CW$4,$AD44:$BA44)),
IF(BM$3=$DF44+'Model Setup'!$M$7,SUMIF($BH$3:$CE$3,"="&amp;$DF44+'Model Setup'!$M$7,$AD44:$BA44)+'Model Setup'!$M$8*(SUMIF($BH$3:$CE$3,"&lt;"&amp;$DF44,$AD44:$BA44)+SUMIF($BH$3:$CE$3,"&gt;"&amp;$CW$4,$AD44:$BA44)),
IF(BM$3=$DF44+'Model Setup'!$N$7,SUMIF($BH$3:$CE$3,"="&amp;$DF44+'Model Setup'!$N$7,$AD44:$BA44)+'Model Setup'!$N$8*(SUMIF($BH$3:$CE$3,"&lt;"&amp;$DF44,$AD44:$BA44)+SUMIF($BH$3:$CE$3,"&gt;"&amp;$CW$4,$AD44:$BA44)),
IF(BM$3&lt;$CW$4,G44,0))))))))))))))),0)</f>
        <v>0</v>
      </c>
      <c r="BN44" s="47">
        <f>ROUND(IF(OR(BN$3&lt;$DF44,BN$3&gt;$CW$4),0,
IF(BN$3=$DF44+'Model Setup'!$B$7,SUMIF($BH$3:$CE$3,"="&amp;$DF44+'Model Setup'!$B$7,$AD44:$BA44)+'Model Setup'!$B$8*(SUMIF($BH$3:$CE$3,"&lt;"&amp;$DF44,$AD44:$BA44)+SUMIF($BH$3:$CE$3,"&gt;"&amp;$CW$4,$AD44:$BA44)),
IF(BN$3=$DF44+'Model Setup'!$C$7,SUMIF($BH$3:$CE$3,"="&amp;$DF44+'Model Setup'!$C$7,$AD44:$BA44)+'Model Setup'!$C$8*(SUMIF($BH$3:$CE$3,"&lt;"&amp;$DF44,$AD44:$BA44)+SUMIF($BH$3:$CE$3,"&gt;"&amp;$CW$4,$AD44:$BA44)),
IF(BN$3=$DF44+'Model Setup'!$D$7,SUMIF($BH$3:$CE$3,"="&amp;$DF44+'Model Setup'!$D$7,$AD44:$BA44)+'Model Setup'!$D$8*(SUMIF($BH$3:$CE$3,"&lt;"&amp;$DF44,$AD44:$BA44)+SUMIF($BH$3:$CE$3,"&gt;"&amp;$CW$4,$AD44:$BA44)),
IF(BN$3=$DF44+'Model Setup'!$E$7,SUMIF($BH$3:$CE$3,"="&amp;$DF44+'Model Setup'!$E$7,$AD44:$BA44)+'Model Setup'!$E$8*(SUMIF($BH$3:$CE$3,"&lt;"&amp;$DF44,$AD44:$BA44)+SUMIF($BH$3:$CE$3,"&gt;"&amp;$CW$4,$AD44:$BA44)),
IF(BN$3=$DF44+'Model Setup'!$F$7,SUMIF($BH$3:$CE$3,"="&amp;$DF44+'Model Setup'!$F$7,$AD44:$BA44)+'Model Setup'!$F$8*(SUMIF($BH$3:$CE$3,"&lt;"&amp;$DF44,$AD44:$BA44)+SUMIF($BH$3:$CE$3,"&gt;"&amp;$CW$4,$AD44:$BA44)),
IF(BN$3=$DF44+'Model Setup'!$G$7,SUMIF($BH$3:$CE$3,"="&amp;$DF44+'Model Setup'!$G$7,$AD44:$BA44)+'Model Setup'!$G$8*(SUMIF($BH$3:$CE$3,"&lt;"&amp;$DF44,$AD44:$BA44)+SUMIF($BH$3:$CE$3,"&gt;"&amp;$CW$4,$AD44:$BA44)),
IF(BN$3=$DF44+'Model Setup'!$H$7,SUMIF($BH$3:$CE$3,"="&amp;$DF44+'Model Setup'!$H$7,$AD44:$BA44)+'Model Setup'!$H$8*(SUMIF($BH$3:$CE$3,"&lt;"&amp;$DF44,$AD44:$BA44)+SUMIF($BH$3:$CE$3,"&gt;"&amp;$CW$4,$AD44:$BA44)),
IF(BN$3=$DF44+'Model Setup'!$I$7,SUMIF($BH$3:$CE$3,"="&amp;$DF44+'Model Setup'!$I$7,$AD44:$BA44)+'Model Setup'!$I$8*(SUMIF($BH$3:$CE$3,"&lt;"&amp;$DF44,$AD44:$BA44)+SUMIF($BH$3:$CE$3,"&gt;"&amp;$CW$4,$AD44:$BA44)),
IF(BN$3=$DF44+'Model Setup'!$J$7,SUMIF($BH$3:$CE$3,"="&amp;$DF44+'Model Setup'!$J$7,$AD44:$BA44)+'Model Setup'!$J$8*(SUMIF($BH$3:$CE$3,"&lt;"&amp;$DF44,$AD44:$BA44)+SUMIF($BH$3:$CE$3,"&gt;"&amp;$CW$4,$AD44:$BA44)),
IF(BN$3=$DF44+'Model Setup'!$K$7,SUMIF($BH$3:$CE$3,"="&amp;$DF44+'Model Setup'!$K$7,$AD44:$BA44)+'Model Setup'!$K$8*(SUMIF($BH$3:$CE$3,"&lt;"&amp;$DF44,$AD44:$BA44)+SUMIF($BH$3:$CE$3,"&gt;"&amp;$CW$4,$AD44:$BA44)),
IF(BN$3=$DF44+'Model Setup'!$L$7,SUMIF($BH$3:$CE$3,"="&amp;$DF44+'Model Setup'!$L$7,$AD44:$BA44)+'Model Setup'!$L$8*(SUMIF($BH$3:$CE$3,"&lt;"&amp;$DF44,$AD44:$BA44)+SUMIF($BH$3:$CE$3,"&gt;"&amp;$CW$4,$AD44:$BA44)),
IF(BN$3=$DF44+'Model Setup'!$M$7,SUMIF($BH$3:$CE$3,"="&amp;$DF44+'Model Setup'!$M$7,$AD44:$BA44)+'Model Setup'!$M$8*(SUMIF($BH$3:$CE$3,"&lt;"&amp;$DF44,$AD44:$BA44)+SUMIF($BH$3:$CE$3,"&gt;"&amp;$CW$4,$AD44:$BA44)),
IF(BN$3=$DF44+'Model Setup'!$N$7,SUMIF($BH$3:$CE$3,"="&amp;$DF44+'Model Setup'!$N$7,$AD44:$BA44)+'Model Setup'!$N$8*(SUMIF($BH$3:$CE$3,"&lt;"&amp;$DF44,$AD44:$BA44)+SUMIF($BH$3:$CE$3,"&gt;"&amp;$CW$4,$AD44:$BA44)),
IF(BN$3&lt;$CW$4,H44,0))))))))))))))),0)</f>
        <v>0</v>
      </c>
      <c r="BO44" s="47">
        <f>ROUND(IF(OR(BO$3&lt;$DF44,BO$3&gt;$CW$4),0,
IF(BO$3=$DF44+'Model Setup'!$B$7,SUMIF($BH$3:$CE$3,"="&amp;$DF44+'Model Setup'!$B$7,$AD44:$BA44)+'Model Setup'!$B$8*(SUMIF($BH$3:$CE$3,"&lt;"&amp;$DF44,$AD44:$BA44)+SUMIF($BH$3:$CE$3,"&gt;"&amp;$CW$4,$AD44:$BA44)),
IF(BO$3=$DF44+'Model Setup'!$C$7,SUMIF($BH$3:$CE$3,"="&amp;$DF44+'Model Setup'!$C$7,$AD44:$BA44)+'Model Setup'!$C$8*(SUMIF($BH$3:$CE$3,"&lt;"&amp;$DF44,$AD44:$BA44)+SUMIF($BH$3:$CE$3,"&gt;"&amp;$CW$4,$AD44:$BA44)),
IF(BO$3=$DF44+'Model Setup'!$D$7,SUMIF($BH$3:$CE$3,"="&amp;$DF44+'Model Setup'!$D$7,$AD44:$BA44)+'Model Setup'!$D$8*(SUMIF($BH$3:$CE$3,"&lt;"&amp;$DF44,$AD44:$BA44)+SUMIF($BH$3:$CE$3,"&gt;"&amp;$CW$4,$AD44:$BA44)),
IF(BO$3=$DF44+'Model Setup'!$E$7,SUMIF($BH$3:$CE$3,"="&amp;$DF44+'Model Setup'!$E$7,$AD44:$BA44)+'Model Setup'!$E$8*(SUMIF($BH$3:$CE$3,"&lt;"&amp;$DF44,$AD44:$BA44)+SUMIF($BH$3:$CE$3,"&gt;"&amp;$CW$4,$AD44:$BA44)),
IF(BO$3=$DF44+'Model Setup'!$F$7,SUMIF($BH$3:$CE$3,"="&amp;$DF44+'Model Setup'!$F$7,$AD44:$BA44)+'Model Setup'!$F$8*(SUMIF($BH$3:$CE$3,"&lt;"&amp;$DF44,$AD44:$BA44)+SUMIF($BH$3:$CE$3,"&gt;"&amp;$CW$4,$AD44:$BA44)),
IF(BO$3=$DF44+'Model Setup'!$G$7,SUMIF($BH$3:$CE$3,"="&amp;$DF44+'Model Setup'!$G$7,$AD44:$BA44)+'Model Setup'!$G$8*(SUMIF($BH$3:$CE$3,"&lt;"&amp;$DF44,$AD44:$BA44)+SUMIF($BH$3:$CE$3,"&gt;"&amp;$CW$4,$AD44:$BA44)),
IF(BO$3=$DF44+'Model Setup'!$H$7,SUMIF($BH$3:$CE$3,"="&amp;$DF44+'Model Setup'!$H$7,$AD44:$BA44)+'Model Setup'!$H$8*(SUMIF($BH$3:$CE$3,"&lt;"&amp;$DF44,$AD44:$BA44)+SUMIF($BH$3:$CE$3,"&gt;"&amp;$CW$4,$AD44:$BA44)),
IF(BO$3=$DF44+'Model Setup'!$I$7,SUMIF($BH$3:$CE$3,"="&amp;$DF44+'Model Setup'!$I$7,$AD44:$BA44)+'Model Setup'!$I$8*(SUMIF($BH$3:$CE$3,"&lt;"&amp;$DF44,$AD44:$BA44)+SUMIF($BH$3:$CE$3,"&gt;"&amp;$CW$4,$AD44:$BA44)),
IF(BO$3=$DF44+'Model Setup'!$J$7,SUMIF($BH$3:$CE$3,"="&amp;$DF44+'Model Setup'!$J$7,$AD44:$BA44)+'Model Setup'!$J$8*(SUMIF($BH$3:$CE$3,"&lt;"&amp;$DF44,$AD44:$BA44)+SUMIF($BH$3:$CE$3,"&gt;"&amp;$CW$4,$AD44:$BA44)),
IF(BO$3=$DF44+'Model Setup'!$K$7,SUMIF($BH$3:$CE$3,"="&amp;$DF44+'Model Setup'!$K$7,$AD44:$BA44)+'Model Setup'!$K$8*(SUMIF($BH$3:$CE$3,"&lt;"&amp;$DF44,$AD44:$BA44)+SUMIF($BH$3:$CE$3,"&gt;"&amp;$CW$4,$AD44:$BA44)),
IF(BO$3=$DF44+'Model Setup'!$L$7,SUMIF($BH$3:$CE$3,"="&amp;$DF44+'Model Setup'!$L$7,$AD44:$BA44)+'Model Setup'!$L$8*(SUMIF($BH$3:$CE$3,"&lt;"&amp;$DF44,$AD44:$BA44)+SUMIF($BH$3:$CE$3,"&gt;"&amp;$CW$4,$AD44:$BA44)),
IF(BO$3=$DF44+'Model Setup'!$M$7,SUMIF($BH$3:$CE$3,"="&amp;$DF44+'Model Setup'!$M$7,$AD44:$BA44)+'Model Setup'!$M$8*(SUMIF($BH$3:$CE$3,"&lt;"&amp;$DF44,$AD44:$BA44)+SUMIF($BH$3:$CE$3,"&gt;"&amp;$CW$4,$AD44:$BA44)),
IF(BO$3=$DF44+'Model Setup'!$N$7,SUMIF($BH$3:$CE$3,"="&amp;$DF44+'Model Setup'!$N$7,$AD44:$BA44)+'Model Setup'!$N$8*(SUMIF($BH$3:$CE$3,"&lt;"&amp;$DF44,$AD44:$BA44)+SUMIF($BH$3:$CE$3,"&gt;"&amp;$CW$4,$AD44:$BA44)),
IF(BO$3&lt;$CW$4,I44,0))))))))))))))),0)</f>
        <v>0</v>
      </c>
      <c r="BP44" s="47">
        <f>ROUND(IF(OR(BP$3&lt;$DF44,BP$3&gt;$CW$4),0,
IF(BP$3=$DF44+'Model Setup'!$B$7,SUMIF($BH$3:$CE$3,"="&amp;$DF44+'Model Setup'!$B$7,$AD44:$BA44)+'Model Setup'!$B$8*(SUMIF($BH$3:$CE$3,"&lt;"&amp;$DF44,$AD44:$BA44)+SUMIF($BH$3:$CE$3,"&gt;"&amp;$CW$4,$AD44:$BA44)),
IF(BP$3=$DF44+'Model Setup'!$C$7,SUMIF($BH$3:$CE$3,"="&amp;$DF44+'Model Setup'!$C$7,$AD44:$BA44)+'Model Setup'!$C$8*(SUMIF($BH$3:$CE$3,"&lt;"&amp;$DF44,$AD44:$BA44)+SUMIF($BH$3:$CE$3,"&gt;"&amp;$CW$4,$AD44:$BA44)),
IF(BP$3=$DF44+'Model Setup'!$D$7,SUMIF($BH$3:$CE$3,"="&amp;$DF44+'Model Setup'!$D$7,$AD44:$BA44)+'Model Setup'!$D$8*(SUMIF($BH$3:$CE$3,"&lt;"&amp;$DF44,$AD44:$BA44)+SUMIF($BH$3:$CE$3,"&gt;"&amp;$CW$4,$AD44:$BA44)),
IF(BP$3=$DF44+'Model Setup'!$E$7,SUMIF($BH$3:$CE$3,"="&amp;$DF44+'Model Setup'!$E$7,$AD44:$BA44)+'Model Setup'!$E$8*(SUMIF($BH$3:$CE$3,"&lt;"&amp;$DF44,$AD44:$BA44)+SUMIF($BH$3:$CE$3,"&gt;"&amp;$CW$4,$AD44:$BA44)),
IF(BP$3=$DF44+'Model Setup'!$F$7,SUMIF($BH$3:$CE$3,"="&amp;$DF44+'Model Setup'!$F$7,$AD44:$BA44)+'Model Setup'!$F$8*(SUMIF($BH$3:$CE$3,"&lt;"&amp;$DF44,$AD44:$BA44)+SUMIF($BH$3:$CE$3,"&gt;"&amp;$CW$4,$AD44:$BA44)),
IF(BP$3=$DF44+'Model Setup'!$G$7,SUMIF($BH$3:$CE$3,"="&amp;$DF44+'Model Setup'!$G$7,$AD44:$BA44)+'Model Setup'!$G$8*(SUMIF($BH$3:$CE$3,"&lt;"&amp;$DF44,$AD44:$BA44)+SUMIF($BH$3:$CE$3,"&gt;"&amp;$CW$4,$AD44:$BA44)),
IF(BP$3=$DF44+'Model Setup'!$H$7,SUMIF($BH$3:$CE$3,"="&amp;$DF44+'Model Setup'!$H$7,$AD44:$BA44)+'Model Setup'!$H$8*(SUMIF($BH$3:$CE$3,"&lt;"&amp;$DF44,$AD44:$BA44)+SUMIF($BH$3:$CE$3,"&gt;"&amp;$CW$4,$AD44:$BA44)),
IF(BP$3=$DF44+'Model Setup'!$I$7,SUMIF($BH$3:$CE$3,"="&amp;$DF44+'Model Setup'!$I$7,$AD44:$BA44)+'Model Setup'!$I$8*(SUMIF($BH$3:$CE$3,"&lt;"&amp;$DF44,$AD44:$BA44)+SUMIF($BH$3:$CE$3,"&gt;"&amp;$CW$4,$AD44:$BA44)),
IF(BP$3=$DF44+'Model Setup'!$J$7,SUMIF($BH$3:$CE$3,"="&amp;$DF44+'Model Setup'!$J$7,$AD44:$BA44)+'Model Setup'!$J$8*(SUMIF($BH$3:$CE$3,"&lt;"&amp;$DF44,$AD44:$BA44)+SUMIF($BH$3:$CE$3,"&gt;"&amp;$CW$4,$AD44:$BA44)),
IF(BP$3=$DF44+'Model Setup'!$K$7,SUMIF($BH$3:$CE$3,"="&amp;$DF44+'Model Setup'!$K$7,$AD44:$BA44)+'Model Setup'!$K$8*(SUMIF($BH$3:$CE$3,"&lt;"&amp;$DF44,$AD44:$BA44)+SUMIF($BH$3:$CE$3,"&gt;"&amp;$CW$4,$AD44:$BA44)),
IF(BP$3=$DF44+'Model Setup'!$L$7,SUMIF($BH$3:$CE$3,"="&amp;$DF44+'Model Setup'!$L$7,$AD44:$BA44)+'Model Setup'!$L$8*(SUMIF($BH$3:$CE$3,"&lt;"&amp;$DF44,$AD44:$BA44)+SUMIF($BH$3:$CE$3,"&gt;"&amp;$CW$4,$AD44:$BA44)),
IF(BP$3=$DF44+'Model Setup'!$M$7,SUMIF($BH$3:$CE$3,"="&amp;$DF44+'Model Setup'!$M$7,$AD44:$BA44)+'Model Setup'!$M$8*(SUMIF($BH$3:$CE$3,"&lt;"&amp;$DF44,$AD44:$BA44)+SUMIF($BH$3:$CE$3,"&gt;"&amp;$CW$4,$AD44:$BA44)),
IF(BP$3=$DF44+'Model Setup'!$N$7,SUMIF($BH$3:$CE$3,"="&amp;$DF44+'Model Setup'!$N$7,$AD44:$BA44)+'Model Setup'!$N$8*(SUMIF($BH$3:$CE$3,"&lt;"&amp;$DF44,$AD44:$BA44)+SUMIF($BH$3:$CE$3,"&gt;"&amp;$CW$4,$AD44:$BA44)),
IF(BP$3&lt;$CW$4,J44,0))))))))))))))),0)</f>
        <v>0</v>
      </c>
      <c r="BQ44" s="47">
        <f>ROUND(IF(OR(BQ$3&lt;$DF44,BQ$3&gt;$CW$4),0,
IF(BQ$3=$DF44+'Model Setup'!$B$7,SUMIF($BH$3:$CE$3,"="&amp;$DF44+'Model Setup'!$B$7,$AD44:$BA44)+'Model Setup'!$B$8*(SUMIF($BH$3:$CE$3,"&lt;"&amp;$DF44,$AD44:$BA44)+SUMIF($BH$3:$CE$3,"&gt;"&amp;$CW$4,$AD44:$BA44)),
IF(BQ$3=$DF44+'Model Setup'!$C$7,SUMIF($BH$3:$CE$3,"="&amp;$DF44+'Model Setup'!$C$7,$AD44:$BA44)+'Model Setup'!$C$8*(SUMIF($BH$3:$CE$3,"&lt;"&amp;$DF44,$AD44:$BA44)+SUMIF($BH$3:$CE$3,"&gt;"&amp;$CW$4,$AD44:$BA44)),
IF(BQ$3=$DF44+'Model Setup'!$D$7,SUMIF($BH$3:$CE$3,"="&amp;$DF44+'Model Setup'!$D$7,$AD44:$BA44)+'Model Setup'!$D$8*(SUMIF($BH$3:$CE$3,"&lt;"&amp;$DF44,$AD44:$BA44)+SUMIF($BH$3:$CE$3,"&gt;"&amp;$CW$4,$AD44:$BA44)),
IF(BQ$3=$DF44+'Model Setup'!$E$7,SUMIF($BH$3:$CE$3,"="&amp;$DF44+'Model Setup'!$E$7,$AD44:$BA44)+'Model Setup'!$E$8*(SUMIF($BH$3:$CE$3,"&lt;"&amp;$DF44,$AD44:$BA44)+SUMIF($BH$3:$CE$3,"&gt;"&amp;$CW$4,$AD44:$BA44)),
IF(BQ$3=$DF44+'Model Setup'!$F$7,SUMIF($BH$3:$CE$3,"="&amp;$DF44+'Model Setup'!$F$7,$AD44:$BA44)+'Model Setup'!$F$8*(SUMIF($BH$3:$CE$3,"&lt;"&amp;$DF44,$AD44:$BA44)+SUMIF($BH$3:$CE$3,"&gt;"&amp;$CW$4,$AD44:$BA44)),
IF(BQ$3=$DF44+'Model Setup'!$G$7,SUMIF($BH$3:$CE$3,"="&amp;$DF44+'Model Setup'!$G$7,$AD44:$BA44)+'Model Setup'!$G$8*(SUMIF($BH$3:$CE$3,"&lt;"&amp;$DF44,$AD44:$BA44)+SUMIF($BH$3:$CE$3,"&gt;"&amp;$CW$4,$AD44:$BA44)),
IF(BQ$3=$DF44+'Model Setup'!$H$7,SUMIF($BH$3:$CE$3,"="&amp;$DF44+'Model Setup'!$H$7,$AD44:$BA44)+'Model Setup'!$H$8*(SUMIF($BH$3:$CE$3,"&lt;"&amp;$DF44,$AD44:$BA44)+SUMIF($BH$3:$CE$3,"&gt;"&amp;$CW$4,$AD44:$BA44)),
IF(BQ$3=$DF44+'Model Setup'!$I$7,SUMIF($BH$3:$CE$3,"="&amp;$DF44+'Model Setup'!$I$7,$AD44:$BA44)+'Model Setup'!$I$8*(SUMIF($BH$3:$CE$3,"&lt;"&amp;$DF44,$AD44:$BA44)+SUMIF($BH$3:$CE$3,"&gt;"&amp;$CW$4,$AD44:$BA44)),
IF(BQ$3=$DF44+'Model Setup'!$J$7,SUMIF($BH$3:$CE$3,"="&amp;$DF44+'Model Setup'!$J$7,$AD44:$BA44)+'Model Setup'!$J$8*(SUMIF($BH$3:$CE$3,"&lt;"&amp;$DF44,$AD44:$BA44)+SUMIF($BH$3:$CE$3,"&gt;"&amp;$CW$4,$AD44:$BA44)),
IF(BQ$3=$DF44+'Model Setup'!$K$7,SUMIF($BH$3:$CE$3,"="&amp;$DF44+'Model Setup'!$K$7,$AD44:$BA44)+'Model Setup'!$K$8*(SUMIF($BH$3:$CE$3,"&lt;"&amp;$DF44,$AD44:$BA44)+SUMIF($BH$3:$CE$3,"&gt;"&amp;$CW$4,$AD44:$BA44)),
IF(BQ$3=$DF44+'Model Setup'!$L$7,SUMIF($BH$3:$CE$3,"="&amp;$DF44+'Model Setup'!$L$7,$AD44:$BA44)+'Model Setup'!$L$8*(SUMIF($BH$3:$CE$3,"&lt;"&amp;$DF44,$AD44:$BA44)+SUMIF($BH$3:$CE$3,"&gt;"&amp;$CW$4,$AD44:$BA44)),
IF(BQ$3=$DF44+'Model Setup'!$M$7,SUMIF($BH$3:$CE$3,"="&amp;$DF44+'Model Setup'!$M$7,$AD44:$BA44)+'Model Setup'!$M$8*(SUMIF($BH$3:$CE$3,"&lt;"&amp;$DF44,$AD44:$BA44)+SUMIF($BH$3:$CE$3,"&gt;"&amp;$CW$4,$AD44:$BA44)),
IF(BQ$3=$DF44+'Model Setup'!$N$7,SUMIF($BH$3:$CE$3,"="&amp;$DF44+'Model Setup'!$N$7,$AD44:$BA44)+'Model Setup'!$N$8*(SUMIF($BH$3:$CE$3,"&lt;"&amp;$DF44,$AD44:$BA44)+SUMIF($BH$3:$CE$3,"&gt;"&amp;$CW$4,$AD44:$BA44)),
IF(BQ$3&lt;$CW$4,K44,0))))))))))))))),0)</f>
        <v>0</v>
      </c>
      <c r="BR44" s="47">
        <f>ROUND(IF(OR(BR$3&lt;$DF44,BR$3&gt;$CW$4),0,
IF(BR$3=$DF44+'Model Setup'!$B$7,SUMIF($BH$3:$CE$3,"="&amp;$DF44+'Model Setup'!$B$7,$AD44:$BA44)+'Model Setup'!$B$8*(SUMIF($BH$3:$CE$3,"&lt;"&amp;$DF44,$AD44:$BA44)+SUMIF($BH$3:$CE$3,"&gt;"&amp;$CW$4,$AD44:$BA44)),
IF(BR$3=$DF44+'Model Setup'!$C$7,SUMIF($BH$3:$CE$3,"="&amp;$DF44+'Model Setup'!$C$7,$AD44:$BA44)+'Model Setup'!$C$8*(SUMIF($BH$3:$CE$3,"&lt;"&amp;$DF44,$AD44:$BA44)+SUMIF($BH$3:$CE$3,"&gt;"&amp;$CW$4,$AD44:$BA44)),
IF(BR$3=$DF44+'Model Setup'!$D$7,SUMIF($BH$3:$CE$3,"="&amp;$DF44+'Model Setup'!$D$7,$AD44:$BA44)+'Model Setup'!$D$8*(SUMIF($BH$3:$CE$3,"&lt;"&amp;$DF44,$AD44:$BA44)+SUMIF($BH$3:$CE$3,"&gt;"&amp;$CW$4,$AD44:$BA44)),
IF(BR$3=$DF44+'Model Setup'!$E$7,SUMIF($BH$3:$CE$3,"="&amp;$DF44+'Model Setup'!$E$7,$AD44:$BA44)+'Model Setup'!$E$8*(SUMIF($BH$3:$CE$3,"&lt;"&amp;$DF44,$AD44:$BA44)+SUMIF($BH$3:$CE$3,"&gt;"&amp;$CW$4,$AD44:$BA44)),
IF(BR$3=$DF44+'Model Setup'!$F$7,SUMIF($BH$3:$CE$3,"="&amp;$DF44+'Model Setup'!$F$7,$AD44:$BA44)+'Model Setup'!$F$8*(SUMIF($BH$3:$CE$3,"&lt;"&amp;$DF44,$AD44:$BA44)+SUMIF($BH$3:$CE$3,"&gt;"&amp;$CW$4,$AD44:$BA44)),
IF(BR$3=$DF44+'Model Setup'!$G$7,SUMIF($BH$3:$CE$3,"="&amp;$DF44+'Model Setup'!$G$7,$AD44:$BA44)+'Model Setup'!$G$8*(SUMIF($BH$3:$CE$3,"&lt;"&amp;$DF44,$AD44:$BA44)+SUMIF($BH$3:$CE$3,"&gt;"&amp;$CW$4,$AD44:$BA44)),
IF(BR$3=$DF44+'Model Setup'!$H$7,SUMIF($BH$3:$CE$3,"="&amp;$DF44+'Model Setup'!$H$7,$AD44:$BA44)+'Model Setup'!$H$8*(SUMIF($BH$3:$CE$3,"&lt;"&amp;$DF44,$AD44:$BA44)+SUMIF($BH$3:$CE$3,"&gt;"&amp;$CW$4,$AD44:$BA44)),
IF(BR$3=$DF44+'Model Setup'!$I$7,SUMIF($BH$3:$CE$3,"="&amp;$DF44+'Model Setup'!$I$7,$AD44:$BA44)+'Model Setup'!$I$8*(SUMIF($BH$3:$CE$3,"&lt;"&amp;$DF44,$AD44:$BA44)+SUMIF($BH$3:$CE$3,"&gt;"&amp;$CW$4,$AD44:$BA44)),
IF(BR$3=$DF44+'Model Setup'!$J$7,SUMIF($BH$3:$CE$3,"="&amp;$DF44+'Model Setup'!$J$7,$AD44:$BA44)+'Model Setup'!$J$8*(SUMIF($BH$3:$CE$3,"&lt;"&amp;$DF44,$AD44:$BA44)+SUMIF($BH$3:$CE$3,"&gt;"&amp;$CW$4,$AD44:$BA44)),
IF(BR$3=$DF44+'Model Setup'!$K$7,SUMIF($BH$3:$CE$3,"="&amp;$DF44+'Model Setup'!$K$7,$AD44:$BA44)+'Model Setup'!$K$8*(SUMIF($BH$3:$CE$3,"&lt;"&amp;$DF44,$AD44:$BA44)+SUMIF($BH$3:$CE$3,"&gt;"&amp;$CW$4,$AD44:$BA44)),
IF(BR$3=$DF44+'Model Setup'!$L$7,SUMIF($BH$3:$CE$3,"="&amp;$DF44+'Model Setup'!$L$7,$AD44:$BA44)+'Model Setup'!$L$8*(SUMIF($BH$3:$CE$3,"&lt;"&amp;$DF44,$AD44:$BA44)+SUMIF($BH$3:$CE$3,"&gt;"&amp;$CW$4,$AD44:$BA44)),
IF(BR$3=$DF44+'Model Setup'!$M$7,SUMIF($BH$3:$CE$3,"="&amp;$DF44+'Model Setup'!$M$7,$AD44:$BA44)+'Model Setup'!$M$8*(SUMIF($BH$3:$CE$3,"&lt;"&amp;$DF44,$AD44:$BA44)+SUMIF($BH$3:$CE$3,"&gt;"&amp;$CW$4,$AD44:$BA44)),
IF(BR$3=$DF44+'Model Setup'!$N$7,SUMIF($BH$3:$CE$3,"="&amp;$DF44+'Model Setup'!$N$7,$AD44:$BA44)+'Model Setup'!$N$8*(SUMIF($BH$3:$CE$3,"&lt;"&amp;$DF44,$AD44:$BA44)+SUMIF($BH$3:$CE$3,"&gt;"&amp;$CW$4,$AD44:$BA44)),
IF(BR$3&lt;$CW$4,L44,0))))))))))))))),0)</f>
        <v>0</v>
      </c>
      <c r="BS44" s="47">
        <f>ROUND(IF(OR(BS$3&lt;$DF44,BS$3&gt;$CW$4),0,
IF(BS$3=$DF44+'Model Setup'!$B$7,SUMIF($BH$3:$CE$3,"="&amp;$DF44+'Model Setup'!$B$7,$AD44:$BA44)+'Model Setup'!$B$8*(SUMIF($BH$3:$CE$3,"&lt;"&amp;$DF44,$AD44:$BA44)+SUMIF($BH$3:$CE$3,"&gt;"&amp;$CW$4,$AD44:$BA44)),
IF(BS$3=$DF44+'Model Setup'!$C$7,SUMIF($BH$3:$CE$3,"="&amp;$DF44+'Model Setup'!$C$7,$AD44:$BA44)+'Model Setup'!$C$8*(SUMIF($BH$3:$CE$3,"&lt;"&amp;$DF44,$AD44:$BA44)+SUMIF($BH$3:$CE$3,"&gt;"&amp;$CW$4,$AD44:$BA44)),
IF(BS$3=$DF44+'Model Setup'!$D$7,SUMIF($BH$3:$CE$3,"="&amp;$DF44+'Model Setup'!$D$7,$AD44:$BA44)+'Model Setup'!$D$8*(SUMIF($BH$3:$CE$3,"&lt;"&amp;$DF44,$AD44:$BA44)+SUMIF($BH$3:$CE$3,"&gt;"&amp;$CW$4,$AD44:$BA44)),
IF(BS$3=$DF44+'Model Setup'!$E$7,SUMIF($BH$3:$CE$3,"="&amp;$DF44+'Model Setup'!$E$7,$AD44:$BA44)+'Model Setup'!$E$8*(SUMIF($BH$3:$CE$3,"&lt;"&amp;$DF44,$AD44:$BA44)+SUMIF($BH$3:$CE$3,"&gt;"&amp;$CW$4,$AD44:$BA44)),
IF(BS$3=$DF44+'Model Setup'!$F$7,SUMIF($BH$3:$CE$3,"="&amp;$DF44+'Model Setup'!$F$7,$AD44:$BA44)+'Model Setup'!$F$8*(SUMIF($BH$3:$CE$3,"&lt;"&amp;$DF44,$AD44:$BA44)+SUMIF($BH$3:$CE$3,"&gt;"&amp;$CW$4,$AD44:$BA44)),
IF(BS$3=$DF44+'Model Setup'!$G$7,SUMIF($BH$3:$CE$3,"="&amp;$DF44+'Model Setup'!$G$7,$AD44:$BA44)+'Model Setup'!$G$8*(SUMIF($BH$3:$CE$3,"&lt;"&amp;$DF44,$AD44:$BA44)+SUMIF($BH$3:$CE$3,"&gt;"&amp;$CW$4,$AD44:$BA44)),
IF(BS$3=$DF44+'Model Setup'!$H$7,SUMIF($BH$3:$CE$3,"="&amp;$DF44+'Model Setup'!$H$7,$AD44:$BA44)+'Model Setup'!$H$8*(SUMIF($BH$3:$CE$3,"&lt;"&amp;$DF44,$AD44:$BA44)+SUMIF($BH$3:$CE$3,"&gt;"&amp;$CW$4,$AD44:$BA44)),
IF(BS$3=$DF44+'Model Setup'!$I$7,SUMIF($BH$3:$CE$3,"="&amp;$DF44+'Model Setup'!$I$7,$AD44:$BA44)+'Model Setup'!$I$8*(SUMIF($BH$3:$CE$3,"&lt;"&amp;$DF44,$AD44:$BA44)+SUMIF($BH$3:$CE$3,"&gt;"&amp;$CW$4,$AD44:$BA44)),
IF(BS$3=$DF44+'Model Setup'!$J$7,SUMIF($BH$3:$CE$3,"="&amp;$DF44+'Model Setup'!$J$7,$AD44:$BA44)+'Model Setup'!$J$8*(SUMIF($BH$3:$CE$3,"&lt;"&amp;$DF44,$AD44:$BA44)+SUMIF($BH$3:$CE$3,"&gt;"&amp;$CW$4,$AD44:$BA44)),
IF(BS$3=$DF44+'Model Setup'!$K$7,SUMIF($BH$3:$CE$3,"="&amp;$DF44+'Model Setup'!$K$7,$AD44:$BA44)+'Model Setup'!$K$8*(SUMIF($BH$3:$CE$3,"&lt;"&amp;$DF44,$AD44:$BA44)+SUMIF($BH$3:$CE$3,"&gt;"&amp;$CW$4,$AD44:$BA44)),
IF(BS$3=$DF44+'Model Setup'!$L$7,SUMIF($BH$3:$CE$3,"="&amp;$DF44+'Model Setup'!$L$7,$AD44:$BA44)+'Model Setup'!$L$8*(SUMIF($BH$3:$CE$3,"&lt;"&amp;$DF44,$AD44:$BA44)+SUMIF($BH$3:$CE$3,"&gt;"&amp;$CW$4,$AD44:$BA44)),
IF(BS$3=$DF44+'Model Setup'!$M$7,SUMIF($BH$3:$CE$3,"="&amp;$DF44+'Model Setup'!$M$7,$AD44:$BA44)+'Model Setup'!$M$8*(SUMIF($BH$3:$CE$3,"&lt;"&amp;$DF44,$AD44:$BA44)+SUMIF($BH$3:$CE$3,"&gt;"&amp;$CW$4,$AD44:$BA44)),
IF(BS$3=$DF44+'Model Setup'!$N$7,SUMIF($BH$3:$CE$3,"="&amp;$DF44+'Model Setup'!$N$7,$AD44:$BA44)+'Model Setup'!$N$8*(SUMIF($BH$3:$CE$3,"&lt;"&amp;$DF44,$AD44:$BA44)+SUMIF($BH$3:$CE$3,"&gt;"&amp;$CW$4,$AD44:$BA44)),
IF(BS$3&lt;$CW$4,M44,0))))))))))))))),0)</f>
        <v>2</v>
      </c>
      <c r="BT44" s="47">
        <f>ROUND(IF(OR(BT$3&lt;$DF44,BT$3&gt;$CW$4),0,
IF(BT$3=$DF44+'Model Setup'!$B$7,SUMIF($BH$3:$CE$3,"="&amp;$DF44+'Model Setup'!$B$7,$AD44:$BA44)+'Model Setup'!$B$8*(SUMIF($BH$3:$CE$3,"&lt;"&amp;$DF44,$AD44:$BA44)+SUMIF($BH$3:$CE$3,"&gt;"&amp;$CW$4,$AD44:$BA44)),
IF(BT$3=$DF44+'Model Setup'!$C$7,SUMIF($BH$3:$CE$3,"="&amp;$DF44+'Model Setup'!$C$7,$AD44:$BA44)+'Model Setup'!$C$8*(SUMIF($BH$3:$CE$3,"&lt;"&amp;$DF44,$AD44:$BA44)+SUMIF($BH$3:$CE$3,"&gt;"&amp;$CW$4,$AD44:$BA44)),
IF(BT$3=$DF44+'Model Setup'!$D$7,SUMIF($BH$3:$CE$3,"="&amp;$DF44+'Model Setup'!$D$7,$AD44:$BA44)+'Model Setup'!$D$8*(SUMIF($BH$3:$CE$3,"&lt;"&amp;$DF44,$AD44:$BA44)+SUMIF($BH$3:$CE$3,"&gt;"&amp;$CW$4,$AD44:$BA44)),
IF(BT$3=$DF44+'Model Setup'!$E$7,SUMIF($BH$3:$CE$3,"="&amp;$DF44+'Model Setup'!$E$7,$AD44:$BA44)+'Model Setup'!$E$8*(SUMIF($BH$3:$CE$3,"&lt;"&amp;$DF44,$AD44:$BA44)+SUMIF($BH$3:$CE$3,"&gt;"&amp;$CW$4,$AD44:$BA44)),
IF(BT$3=$DF44+'Model Setup'!$F$7,SUMIF($BH$3:$CE$3,"="&amp;$DF44+'Model Setup'!$F$7,$AD44:$BA44)+'Model Setup'!$F$8*(SUMIF($BH$3:$CE$3,"&lt;"&amp;$DF44,$AD44:$BA44)+SUMIF($BH$3:$CE$3,"&gt;"&amp;$CW$4,$AD44:$BA44)),
IF(BT$3=$DF44+'Model Setup'!$G$7,SUMIF($BH$3:$CE$3,"="&amp;$DF44+'Model Setup'!$G$7,$AD44:$BA44)+'Model Setup'!$G$8*(SUMIF($BH$3:$CE$3,"&lt;"&amp;$DF44,$AD44:$BA44)+SUMIF($BH$3:$CE$3,"&gt;"&amp;$CW$4,$AD44:$BA44)),
IF(BT$3=$DF44+'Model Setup'!$H$7,SUMIF($BH$3:$CE$3,"="&amp;$DF44+'Model Setup'!$H$7,$AD44:$BA44)+'Model Setup'!$H$8*(SUMIF($BH$3:$CE$3,"&lt;"&amp;$DF44,$AD44:$BA44)+SUMIF($BH$3:$CE$3,"&gt;"&amp;$CW$4,$AD44:$BA44)),
IF(BT$3=$DF44+'Model Setup'!$I$7,SUMIF($BH$3:$CE$3,"="&amp;$DF44+'Model Setup'!$I$7,$AD44:$BA44)+'Model Setup'!$I$8*(SUMIF($BH$3:$CE$3,"&lt;"&amp;$DF44,$AD44:$BA44)+SUMIF($BH$3:$CE$3,"&gt;"&amp;$CW$4,$AD44:$BA44)),
IF(BT$3=$DF44+'Model Setup'!$J$7,SUMIF($BH$3:$CE$3,"="&amp;$DF44+'Model Setup'!$J$7,$AD44:$BA44)+'Model Setup'!$J$8*(SUMIF($BH$3:$CE$3,"&lt;"&amp;$DF44,$AD44:$BA44)+SUMIF($BH$3:$CE$3,"&gt;"&amp;$CW$4,$AD44:$BA44)),
IF(BT$3=$DF44+'Model Setup'!$K$7,SUMIF($BH$3:$CE$3,"="&amp;$DF44+'Model Setup'!$K$7,$AD44:$BA44)+'Model Setup'!$K$8*(SUMIF($BH$3:$CE$3,"&lt;"&amp;$DF44,$AD44:$BA44)+SUMIF($BH$3:$CE$3,"&gt;"&amp;$CW$4,$AD44:$BA44)),
IF(BT$3=$DF44+'Model Setup'!$L$7,SUMIF($BH$3:$CE$3,"="&amp;$DF44+'Model Setup'!$L$7,$AD44:$BA44)+'Model Setup'!$L$8*(SUMIF($BH$3:$CE$3,"&lt;"&amp;$DF44,$AD44:$BA44)+SUMIF($BH$3:$CE$3,"&gt;"&amp;$CW$4,$AD44:$BA44)),
IF(BT$3=$DF44+'Model Setup'!$M$7,SUMIF($BH$3:$CE$3,"="&amp;$DF44+'Model Setup'!$M$7,$AD44:$BA44)+'Model Setup'!$M$8*(SUMIF($BH$3:$CE$3,"&lt;"&amp;$DF44,$AD44:$BA44)+SUMIF($BH$3:$CE$3,"&gt;"&amp;$CW$4,$AD44:$BA44)),
IF(BT$3=$DF44+'Model Setup'!$N$7,SUMIF($BH$3:$CE$3,"="&amp;$DF44+'Model Setup'!$N$7,$AD44:$BA44)+'Model Setup'!$N$8*(SUMIF($BH$3:$CE$3,"&lt;"&amp;$DF44,$AD44:$BA44)+SUMIF($BH$3:$CE$3,"&gt;"&amp;$CW$4,$AD44:$BA44)),
IF(BT$3&lt;$CW$4,N44,0))))))))))))))),0)</f>
        <v>3</v>
      </c>
      <c r="BU44" s="47">
        <f>ROUND(IF(OR(BU$3&lt;$DF44,BU$3&gt;$CW$4),0,
IF(BU$3=$DF44+'Model Setup'!$B$7,SUMIF($BH$3:$CE$3,"="&amp;$DF44+'Model Setup'!$B$7,$AD44:$BA44)+'Model Setup'!$B$8*(SUMIF($BH$3:$CE$3,"&lt;"&amp;$DF44,$AD44:$BA44)+SUMIF($BH$3:$CE$3,"&gt;"&amp;$CW$4,$AD44:$BA44)),
IF(BU$3=$DF44+'Model Setup'!$C$7,SUMIF($BH$3:$CE$3,"="&amp;$DF44+'Model Setup'!$C$7,$AD44:$BA44)+'Model Setup'!$C$8*(SUMIF($BH$3:$CE$3,"&lt;"&amp;$DF44,$AD44:$BA44)+SUMIF($BH$3:$CE$3,"&gt;"&amp;$CW$4,$AD44:$BA44)),
IF(BU$3=$DF44+'Model Setup'!$D$7,SUMIF($BH$3:$CE$3,"="&amp;$DF44+'Model Setup'!$D$7,$AD44:$BA44)+'Model Setup'!$D$8*(SUMIF($BH$3:$CE$3,"&lt;"&amp;$DF44,$AD44:$BA44)+SUMIF($BH$3:$CE$3,"&gt;"&amp;$CW$4,$AD44:$BA44)),
IF(BU$3=$DF44+'Model Setup'!$E$7,SUMIF($BH$3:$CE$3,"="&amp;$DF44+'Model Setup'!$E$7,$AD44:$BA44)+'Model Setup'!$E$8*(SUMIF($BH$3:$CE$3,"&lt;"&amp;$DF44,$AD44:$BA44)+SUMIF($BH$3:$CE$3,"&gt;"&amp;$CW$4,$AD44:$BA44)),
IF(BU$3=$DF44+'Model Setup'!$F$7,SUMIF($BH$3:$CE$3,"="&amp;$DF44+'Model Setup'!$F$7,$AD44:$BA44)+'Model Setup'!$F$8*(SUMIF($BH$3:$CE$3,"&lt;"&amp;$DF44,$AD44:$BA44)+SUMIF($BH$3:$CE$3,"&gt;"&amp;$CW$4,$AD44:$BA44)),
IF(BU$3=$DF44+'Model Setup'!$G$7,SUMIF($BH$3:$CE$3,"="&amp;$DF44+'Model Setup'!$G$7,$AD44:$BA44)+'Model Setup'!$G$8*(SUMIF($BH$3:$CE$3,"&lt;"&amp;$DF44,$AD44:$BA44)+SUMIF($BH$3:$CE$3,"&gt;"&amp;$CW$4,$AD44:$BA44)),
IF(BU$3=$DF44+'Model Setup'!$H$7,SUMIF($BH$3:$CE$3,"="&amp;$DF44+'Model Setup'!$H$7,$AD44:$BA44)+'Model Setup'!$H$8*(SUMIF($BH$3:$CE$3,"&lt;"&amp;$DF44,$AD44:$BA44)+SUMIF($BH$3:$CE$3,"&gt;"&amp;$CW$4,$AD44:$BA44)),
IF(BU$3=$DF44+'Model Setup'!$I$7,SUMIF($BH$3:$CE$3,"="&amp;$DF44+'Model Setup'!$I$7,$AD44:$BA44)+'Model Setup'!$I$8*(SUMIF($BH$3:$CE$3,"&lt;"&amp;$DF44,$AD44:$BA44)+SUMIF($BH$3:$CE$3,"&gt;"&amp;$CW$4,$AD44:$BA44)),
IF(BU$3=$DF44+'Model Setup'!$J$7,SUMIF($BH$3:$CE$3,"="&amp;$DF44+'Model Setup'!$J$7,$AD44:$BA44)+'Model Setup'!$J$8*(SUMIF($BH$3:$CE$3,"&lt;"&amp;$DF44,$AD44:$BA44)+SUMIF($BH$3:$CE$3,"&gt;"&amp;$CW$4,$AD44:$BA44)),
IF(BU$3=$DF44+'Model Setup'!$K$7,SUMIF($BH$3:$CE$3,"="&amp;$DF44+'Model Setup'!$K$7,$AD44:$BA44)+'Model Setup'!$K$8*(SUMIF($BH$3:$CE$3,"&lt;"&amp;$DF44,$AD44:$BA44)+SUMIF($BH$3:$CE$3,"&gt;"&amp;$CW$4,$AD44:$BA44)),
IF(BU$3=$DF44+'Model Setup'!$L$7,SUMIF($BH$3:$CE$3,"="&amp;$DF44+'Model Setup'!$L$7,$AD44:$BA44)+'Model Setup'!$L$8*(SUMIF($BH$3:$CE$3,"&lt;"&amp;$DF44,$AD44:$BA44)+SUMIF($BH$3:$CE$3,"&gt;"&amp;$CW$4,$AD44:$BA44)),
IF(BU$3=$DF44+'Model Setup'!$M$7,SUMIF($BH$3:$CE$3,"="&amp;$DF44+'Model Setup'!$M$7,$AD44:$BA44)+'Model Setup'!$M$8*(SUMIF($BH$3:$CE$3,"&lt;"&amp;$DF44,$AD44:$BA44)+SUMIF($BH$3:$CE$3,"&gt;"&amp;$CW$4,$AD44:$BA44)),
IF(BU$3=$DF44+'Model Setup'!$N$7,SUMIF($BH$3:$CE$3,"="&amp;$DF44+'Model Setup'!$N$7,$AD44:$BA44)+'Model Setup'!$N$8*(SUMIF($BH$3:$CE$3,"&lt;"&amp;$DF44,$AD44:$BA44)+SUMIF($BH$3:$CE$3,"&gt;"&amp;$CW$4,$AD44:$BA44)),
IF(BU$3&lt;$CW$4,O44,0))))))))))))))),0)</f>
        <v>0</v>
      </c>
      <c r="BV44" s="47">
        <f>ROUND(IF(OR(BV$3&lt;$DF44,BV$3&gt;$CW$4),0,
IF(BV$3=$DF44+'Model Setup'!$B$7,SUMIF($BH$3:$CE$3,"="&amp;$DF44+'Model Setup'!$B$7,$AD44:$BA44)+'Model Setup'!$B$8*(SUMIF($BH$3:$CE$3,"&lt;"&amp;$DF44,$AD44:$BA44)+SUMIF($BH$3:$CE$3,"&gt;"&amp;$CW$4,$AD44:$BA44)),
IF(BV$3=$DF44+'Model Setup'!$C$7,SUMIF($BH$3:$CE$3,"="&amp;$DF44+'Model Setup'!$C$7,$AD44:$BA44)+'Model Setup'!$C$8*(SUMIF($BH$3:$CE$3,"&lt;"&amp;$DF44,$AD44:$BA44)+SUMIF($BH$3:$CE$3,"&gt;"&amp;$CW$4,$AD44:$BA44)),
IF(BV$3=$DF44+'Model Setup'!$D$7,SUMIF($BH$3:$CE$3,"="&amp;$DF44+'Model Setup'!$D$7,$AD44:$BA44)+'Model Setup'!$D$8*(SUMIF($BH$3:$CE$3,"&lt;"&amp;$DF44,$AD44:$BA44)+SUMIF($BH$3:$CE$3,"&gt;"&amp;$CW$4,$AD44:$BA44)),
IF(BV$3=$DF44+'Model Setup'!$E$7,SUMIF($BH$3:$CE$3,"="&amp;$DF44+'Model Setup'!$E$7,$AD44:$BA44)+'Model Setup'!$E$8*(SUMIF($BH$3:$CE$3,"&lt;"&amp;$DF44,$AD44:$BA44)+SUMIF($BH$3:$CE$3,"&gt;"&amp;$CW$4,$AD44:$BA44)),
IF(BV$3=$DF44+'Model Setup'!$F$7,SUMIF($BH$3:$CE$3,"="&amp;$DF44+'Model Setup'!$F$7,$AD44:$BA44)+'Model Setup'!$F$8*(SUMIF($BH$3:$CE$3,"&lt;"&amp;$DF44,$AD44:$BA44)+SUMIF($BH$3:$CE$3,"&gt;"&amp;$CW$4,$AD44:$BA44)),
IF(BV$3=$DF44+'Model Setup'!$G$7,SUMIF($BH$3:$CE$3,"="&amp;$DF44+'Model Setup'!$G$7,$AD44:$BA44)+'Model Setup'!$G$8*(SUMIF($BH$3:$CE$3,"&lt;"&amp;$DF44,$AD44:$BA44)+SUMIF($BH$3:$CE$3,"&gt;"&amp;$CW$4,$AD44:$BA44)),
IF(BV$3=$DF44+'Model Setup'!$H$7,SUMIF($BH$3:$CE$3,"="&amp;$DF44+'Model Setup'!$H$7,$AD44:$BA44)+'Model Setup'!$H$8*(SUMIF($BH$3:$CE$3,"&lt;"&amp;$DF44,$AD44:$BA44)+SUMIF($BH$3:$CE$3,"&gt;"&amp;$CW$4,$AD44:$BA44)),
IF(BV$3=$DF44+'Model Setup'!$I$7,SUMIF($BH$3:$CE$3,"="&amp;$DF44+'Model Setup'!$I$7,$AD44:$BA44)+'Model Setup'!$I$8*(SUMIF($BH$3:$CE$3,"&lt;"&amp;$DF44,$AD44:$BA44)+SUMIF($BH$3:$CE$3,"&gt;"&amp;$CW$4,$AD44:$BA44)),
IF(BV$3=$DF44+'Model Setup'!$J$7,SUMIF($BH$3:$CE$3,"="&amp;$DF44+'Model Setup'!$J$7,$AD44:$BA44)+'Model Setup'!$J$8*(SUMIF($BH$3:$CE$3,"&lt;"&amp;$DF44,$AD44:$BA44)+SUMIF($BH$3:$CE$3,"&gt;"&amp;$CW$4,$AD44:$BA44)),
IF(BV$3=$DF44+'Model Setup'!$K$7,SUMIF($BH$3:$CE$3,"="&amp;$DF44+'Model Setup'!$K$7,$AD44:$BA44)+'Model Setup'!$K$8*(SUMIF($BH$3:$CE$3,"&lt;"&amp;$DF44,$AD44:$BA44)+SUMIF($BH$3:$CE$3,"&gt;"&amp;$CW$4,$AD44:$BA44)),
IF(BV$3=$DF44+'Model Setup'!$L$7,SUMIF($BH$3:$CE$3,"="&amp;$DF44+'Model Setup'!$L$7,$AD44:$BA44)+'Model Setup'!$L$8*(SUMIF($BH$3:$CE$3,"&lt;"&amp;$DF44,$AD44:$BA44)+SUMIF($BH$3:$CE$3,"&gt;"&amp;$CW$4,$AD44:$BA44)),
IF(BV$3=$DF44+'Model Setup'!$M$7,SUMIF($BH$3:$CE$3,"="&amp;$DF44+'Model Setup'!$M$7,$AD44:$BA44)+'Model Setup'!$M$8*(SUMIF($BH$3:$CE$3,"&lt;"&amp;$DF44,$AD44:$BA44)+SUMIF($BH$3:$CE$3,"&gt;"&amp;$CW$4,$AD44:$BA44)),
IF(BV$3=$DF44+'Model Setup'!$N$7,SUMIF($BH$3:$CE$3,"="&amp;$DF44+'Model Setup'!$N$7,$AD44:$BA44)+'Model Setup'!$N$8*(SUMIF($BH$3:$CE$3,"&lt;"&amp;$DF44,$AD44:$BA44)+SUMIF($BH$3:$CE$3,"&gt;"&amp;$CW$4,$AD44:$BA44)),
IF(BV$3&lt;$CW$4,P44,0))))))))))))))),0)</f>
        <v>2</v>
      </c>
      <c r="BW44" s="47">
        <f>ROUND(IF(OR(BW$3&lt;$DF44,BW$3&gt;$CW$4),0,
IF(BW$3=$DF44+'Model Setup'!$B$7,SUMIF($BH$3:$CE$3,"="&amp;$DF44+'Model Setup'!$B$7,$AD44:$BA44)+'Model Setup'!$B$8*(SUMIF($BH$3:$CE$3,"&lt;"&amp;$DF44,$AD44:$BA44)+SUMIF($BH$3:$CE$3,"&gt;"&amp;$CW$4,$AD44:$BA44)),
IF(BW$3=$DF44+'Model Setup'!$C$7,SUMIF($BH$3:$CE$3,"="&amp;$DF44+'Model Setup'!$C$7,$AD44:$BA44)+'Model Setup'!$C$8*(SUMIF($BH$3:$CE$3,"&lt;"&amp;$DF44,$AD44:$BA44)+SUMIF($BH$3:$CE$3,"&gt;"&amp;$CW$4,$AD44:$BA44)),
IF(BW$3=$DF44+'Model Setup'!$D$7,SUMIF($BH$3:$CE$3,"="&amp;$DF44+'Model Setup'!$D$7,$AD44:$BA44)+'Model Setup'!$D$8*(SUMIF($BH$3:$CE$3,"&lt;"&amp;$DF44,$AD44:$BA44)+SUMIF($BH$3:$CE$3,"&gt;"&amp;$CW$4,$AD44:$BA44)),
IF(BW$3=$DF44+'Model Setup'!$E$7,SUMIF($BH$3:$CE$3,"="&amp;$DF44+'Model Setup'!$E$7,$AD44:$BA44)+'Model Setup'!$E$8*(SUMIF($BH$3:$CE$3,"&lt;"&amp;$DF44,$AD44:$BA44)+SUMIF($BH$3:$CE$3,"&gt;"&amp;$CW$4,$AD44:$BA44)),
IF(BW$3=$DF44+'Model Setup'!$F$7,SUMIF($BH$3:$CE$3,"="&amp;$DF44+'Model Setup'!$F$7,$AD44:$BA44)+'Model Setup'!$F$8*(SUMIF($BH$3:$CE$3,"&lt;"&amp;$DF44,$AD44:$BA44)+SUMIF($BH$3:$CE$3,"&gt;"&amp;$CW$4,$AD44:$BA44)),
IF(BW$3=$DF44+'Model Setup'!$G$7,SUMIF($BH$3:$CE$3,"="&amp;$DF44+'Model Setup'!$G$7,$AD44:$BA44)+'Model Setup'!$G$8*(SUMIF($BH$3:$CE$3,"&lt;"&amp;$DF44,$AD44:$BA44)+SUMIF($BH$3:$CE$3,"&gt;"&amp;$CW$4,$AD44:$BA44)),
IF(BW$3=$DF44+'Model Setup'!$H$7,SUMIF($BH$3:$CE$3,"="&amp;$DF44+'Model Setup'!$H$7,$AD44:$BA44)+'Model Setup'!$H$8*(SUMIF($BH$3:$CE$3,"&lt;"&amp;$DF44,$AD44:$BA44)+SUMIF($BH$3:$CE$3,"&gt;"&amp;$CW$4,$AD44:$BA44)),
IF(BW$3=$DF44+'Model Setup'!$I$7,SUMIF($BH$3:$CE$3,"="&amp;$DF44+'Model Setup'!$I$7,$AD44:$BA44)+'Model Setup'!$I$8*(SUMIF($BH$3:$CE$3,"&lt;"&amp;$DF44,$AD44:$BA44)+SUMIF($BH$3:$CE$3,"&gt;"&amp;$CW$4,$AD44:$BA44)),
IF(BW$3=$DF44+'Model Setup'!$J$7,SUMIF($BH$3:$CE$3,"="&amp;$DF44+'Model Setup'!$J$7,$AD44:$BA44)+'Model Setup'!$J$8*(SUMIF($BH$3:$CE$3,"&lt;"&amp;$DF44,$AD44:$BA44)+SUMIF($BH$3:$CE$3,"&gt;"&amp;$CW$4,$AD44:$BA44)),
IF(BW$3=$DF44+'Model Setup'!$K$7,SUMIF($BH$3:$CE$3,"="&amp;$DF44+'Model Setup'!$K$7,$AD44:$BA44)+'Model Setup'!$K$8*(SUMIF($BH$3:$CE$3,"&lt;"&amp;$DF44,$AD44:$BA44)+SUMIF($BH$3:$CE$3,"&gt;"&amp;$CW$4,$AD44:$BA44)),
IF(BW$3=$DF44+'Model Setup'!$L$7,SUMIF($BH$3:$CE$3,"="&amp;$DF44+'Model Setup'!$L$7,$AD44:$BA44)+'Model Setup'!$L$8*(SUMIF($BH$3:$CE$3,"&lt;"&amp;$DF44,$AD44:$BA44)+SUMIF($BH$3:$CE$3,"&gt;"&amp;$CW$4,$AD44:$BA44)),
IF(BW$3=$DF44+'Model Setup'!$M$7,SUMIF($BH$3:$CE$3,"="&amp;$DF44+'Model Setup'!$M$7,$AD44:$BA44)+'Model Setup'!$M$8*(SUMIF($BH$3:$CE$3,"&lt;"&amp;$DF44,$AD44:$BA44)+SUMIF($BH$3:$CE$3,"&gt;"&amp;$CW$4,$AD44:$BA44)),
IF(BW$3=$DF44+'Model Setup'!$N$7,SUMIF($BH$3:$CE$3,"="&amp;$DF44+'Model Setup'!$N$7,$AD44:$BA44)+'Model Setup'!$N$8*(SUMIF($BH$3:$CE$3,"&lt;"&amp;$DF44,$AD44:$BA44)+SUMIF($BH$3:$CE$3,"&gt;"&amp;$CW$4,$AD44:$BA44)),
IF(BW$3&lt;$CW$4,Q44,0))))))))))))))),0)</f>
        <v>0</v>
      </c>
      <c r="BX44" s="47">
        <f>ROUND(IF(OR(BX$3&lt;$DF44,BX$3&gt;$CW$4),0,
IF(BX$3=$DF44+'Model Setup'!$B$7,SUMIF($BH$3:$CE$3,"="&amp;$DF44+'Model Setup'!$B$7,$AD44:$BA44)+'Model Setup'!$B$8*(SUMIF($BH$3:$CE$3,"&lt;"&amp;$DF44,$AD44:$BA44)+SUMIF($BH$3:$CE$3,"&gt;"&amp;$CW$4,$AD44:$BA44)),
IF(BX$3=$DF44+'Model Setup'!$C$7,SUMIF($BH$3:$CE$3,"="&amp;$DF44+'Model Setup'!$C$7,$AD44:$BA44)+'Model Setup'!$C$8*(SUMIF($BH$3:$CE$3,"&lt;"&amp;$DF44,$AD44:$BA44)+SUMIF($BH$3:$CE$3,"&gt;"&amp;$CW$4,$AD44:$BA44)),
IF(BX$3=$DF44+'Model Setup'!$D$7,SUMIF($BH$3:$CE$3,"="&amp;$DF44+'Model Setup'!$D$7,$AD44:$BA44)+'Model Setup'!$D$8*(SUMIF($BH$3:$CE$3,"&lt;"&amp;$DF44,$AD44:$BA44)+SUMIF($BH$3:$CE$3,"&gt;"&amp;$CW$4,$AD44:$BA44)),
IF(BX$3=$DF44+'Model Setup'!$E$7,SUMIF($BH$3:$CE$3,"="&amp;$DF44+'Model Setup'!$E$7,$AD44:$BA44)+'Model Setup'!$E$8*(SUMIF($BH$3:$CE$3,"&lt;"&amp;$DF44,$AD44:$BA44)+SUMIF($BH$3:$CE$3,"&gt;"&amp;$CW$4,$AD44:$BA44)),
IF(BX$3=$DF44+'Model Setup'!$F$7,SUMIF($BH$3:$CE$3,"="&amp;$DF44+'Model Setup'!$F$7,$AD44:$BA44)+'Model Setup'!$F$8*(SUMIF($BH$3:$CE$3,"&lt;"&amp;$DF44,$AD44:$BA44)+SUMIF($BH$3:$CE$3,"&gt;"&amp;$CW$4,$AD44:$BA44)),
IF(BX$3=$DF44+'Model Setup'!$G$7,SUMIF($BH$3:$CE$3,"="&amp;$DF44+'Model Setup'!$G$7,$AD44:$BA44)+'Model Setup'!$G$8*(SUMIF($BH$3:$CE$3,"&lt;"&amp;$DF44,$AD44:$BA44)+SUMIF($BH$3:$CE$3,"&gt;"&amp;$CW$4,$AD44:$BA44)),
IF(BX$3=$DF44+'Model Setup'!$H$7,SUMIF($BH$3:$CE$3,"="&amp;$DF44+'Model Setup'!$H$7,$AD44:$BA44)+'Model Setup'!$H$8*(SUMIF($BH$3:$CE$3,"&lt;"&amp;$DF44,$AD44:$BA44)+SUMIF($BH$3:$CE$3,"&gt;"&amp;$CW$4,$AD44:$BA44)),
IF(BX$3=$DF44+'Model Setup'!$I$7,SUMIF($BH$3:$CE$3,"="&amp;$DF44+'Model Setup'!$I$7,$AD44:$BA44)+'Model Setup'!$I$8*(SUMIF($BH$3:$CE$3,"&lt;"&amp;$DF44,$AD44:$BA44)+SUMIF($BH$3:$CE$3,"&gt;"&amp;$CW$4,$AD44:$BA44)),
IF(BX$3=$DF44+'Model Setup'!$J$7,SUMIF($BH$3:$CE$3,"="&amp;$DF44+'Model Setup'!$J$7,$AD44:$BA44)+'Model Setup'!$J$8*(SUMIF($BH$3:$CE$3,"&lt;"&amp;$DF44,$AD44:$BA44)+SUMIF($BH$3:$CE$3,"&gt;"&amp;$CW$4,$AD44:$BA44)),
IF(BX$3=$DF44+'Model Setup'!$K$7,SUMIF($BH$3:$CE$3,"="&amp;$DF44+'Model Setup'!$K$7,$AD44:$BA44)+'Model Setup'!$K$8*(SUMIF($BH$3:$CE$3,"&lt;"&amp;$DF44,$AD44:$BA44)+SUMIF($BH$3:$CE$3,"&gt;"&amp;$CW$4,$AD44:$BA44)),
IF(BX$3=$DF44+'Model Setup'!$L$7,SUMIF($BH$3:$CE$3,"="&amp;$DF44+'Model Setup'!$L$7,$AD44:$BA44)+'Model Setup'!$L$8*(SUMIF($BH$3:$CE$3,"&lt;"&amp;$DF44,$AD44:$BA44)+SUMIF($BH$3:$CE$3,"&gt;"&amp;$CW$4,$AD44:$BA44)),
IF(BX$3=$DF44+'Model Setup'!$M$7,SUMIF($BH$3:$CE$3,"="&amp;$DF44+'Model Setup'!$M$7,$AD44:$BA44)+'Model Setup'!$M$8*(SUMIF($BH$3:$CE$3,"&lt;"&amp;$DF44,$AD44:$BA44)+SUMIF($BH$3:$CE$3,"&gt;"&amp;$CW$4,$AD44:$BA44)),
IF(BX$3=$DF44+'Model Setup'!$N$7,SUMIF($BH$3:$CE$3,"="&amp;$DF44+'Model Setup'!$N$7,$AD44:$BA44)+'Model Setup'!$N$8*(SUMIF($BH$3:$CE$3,"&lt;"&amp;$DF44,$AD44:$BA44)+SUMIF($BH$3:$CE$3,"&gt;"&amp;$CW$4,$AD44:$BA44)),
IF(BX$3&lt;$CW$4,R44,0))))))))))))))),0)</f>
        <v>0</v>
      </c>
      <c r="BY44" s="47">
        <f>ROUND(IF(OR(BY$3&lt;$DF44,BY$3&gt;$CW$4),0,
IF(BY$3=$DF44+'Model Setup'!$B$7,SUMIF($BH$3:$CE$3,"="&amp;$DF44+'Model Setup'!$B$7,$AD44:$BA44)+'Model Setup'!$B$8*(SUMIF($BH$3:$CE$3,"&lt;"&amp;$DF44,$AD44:$BA44)+SUMIF($BH$3:$CE$3,"&gt;"&amp;$CW$4,$AD44:$BA44)),
IF(BY$3=$DF44+'Model Setup'!$C$7,SUMIF($BH$3:$CE$3,"="&amp;$DF44+'Model Setup'!$C$7,$AD44:$BA44)+'Model Setup'!$C$8*(SUMIF($BH$3:$CE$3,"&lt;"&amp;$DF44,$AD44:$BA44)+SUMIF($BH$3:$CE$3,"&gt;"&amp;$CW$4,$AD44:$BA44)),
IF(BY$3=$DF44+'Model Setup'!$D$7,SUMIF($BH$3:$CE$3,"="&amp;$DF44+'Model Setup'!$D$7,$AD44:$BA44)+'Model Setup'!$D$8*(SUMIF($BH$3:$CE$3,"&lt;"&amp;$DF44,$AD44:$BA44)+SUMIF($BH$3:$CE$3,"&gt;"&amp;$CW$4,$AD44:$BA44)),
IF(BY$3=$DF44+'Model Setup'!$E$7,SUMIF($BH$3:$CE$3,"="&amp;$DF44+'Model Setup'!$E$7,$AD44:$BA44)+'Model Setup'!$E$8*(SUMIF($BH$3:$CE$3,"&lt;"&amp;$DF44,$AD44:$BA44)+SUMIF($BH$3:$CE$3,"&gt;"&amp;$CW$4,$AD44:$BA44)),
IF(BY$3=$DF44+'Model Setup'!$F$7,SUMIF($BH$3:$CE$3,"="&amp;$DF44+'Model Setup'!$F$7,$AD44:$BA44)+'Model Setup'!$F$8*(SUMIF($BH$3:$CE$3,"&lt;"&amp;$DF44,$AD44:$BA44)+SUMIF($BH$3:$CE$3,"&gt;"&amp;$CW$4,$AD44:$BA44)),
IF(BY$3=$DF44+'Model Setup'!$G$7,SUMIF($BH$3:$CE$3,"="&amp;$DF44+'Model Setup'!$G$7,$AD44:$BA44)+'Model Setup'!$G$8*(SUMIF($BH$3:$CE$3,"&lt;"&amp;$DF44,$AD44:$BA44)+SUMIF($BH$3:$CE$3,"&gt;"&amp;$CW$4,$AD44:$BA44)),
IF(BY$3=$DF44+'Model Setup'!$H$7,SUMIF($BH$3:$CE$3,"="&amp;$DF44+'Model Setup'!$H$7,$AD44:$BA44)+'Model Setup'!$H$8*(SUMIF($BH$3:$CE$3,"&lt;"&amp;$DF44,$AD44:$BA44)+SUMIF($BH$3:$CE$3,"&gt;"&amp;$CW$4,$AD44:$BA44)),
IF(BY$3=$DF44+'Model Setup'!$I$7,SUMIF($BH$3:$CE$3,"="&amp;$DF44+'Model Setup'!$I$7,$AD44:$BA44)+'Model Setup'!$I$8*(SUMIF($BH$3:$CE$3,"&lt;"&amp;$DF44,$AD44:$BA44)+SUMIF($BH$3:$CE$3,"&gt;"&amp;$CW$4,$AD44:$BA44)),
IF(BY$3=$DF44+'Model Setup'!$J$7,SUMIF($BH$3:$CE$3,"="&amp;$DF44+'Model Setup'!$J$7,$AD44:$BA44)+'Model Setup'!$J$8*(SUMIF($BH$3:$CE$3,"&lt;"&amp;$DF44,$AD44:$BA44)+SUMIF($BH$3:$CE$3,"&gt;"&amp;$CW$4,$AD44:$BA44)),
IF(BY$3=$DF44+'Model Setup'!$K$7,SUMIF($BH$3:$CE$3,"="&amp;$DF44+'Model Setup'!$K$7,$AD44:$BA44)+'Model Setup'!$K$8*(SUMIF($BH$3:$CE$3,"&lt;"&amp;$DF44,$AD44:$BA44)+SUMIF($BH$3:$CE$3,"&gt;"&amp;$CW$4,$AD44:$BA44)),
IF(BY$3=$DF44+'Model Setup'!$L$7,SUMIF($BH$3:$CE$3,"="&amp;$DF44+'Model Setup'!$L$7,$AD44:$BA44)+'Model Setup'!$L$8*(SUMIF($BH$3:$CE$3,"&lt;"&amp;$DF44,$AD44:$BA44)+SUMIF($BH$3:$CE$3,"&gt;"&amp;$CW$4,$AD44:$BA44)),
IF(BY$3=$DF44+'Model Setup'!$M$7,SUMIF($BH$3:$CE$3,"="&amp;$DF44+'Model Setup'!$M$7,$AD44:$BA44)+'Model Setup'!$M$8*(SUMIF($BH$3:$CE$3,"&lt;"&amp;$DF44,$AD44:$BA44)+SUMIF($BH$3:$CE$3,"&gt;"&amp;$CW$4,$AD44:$BA44)),
IF(BY$3=$DF44+'Model Setup'!$N$7,SUMIF($BH$3:$CE$3,"="&amp;$DF44+'Model Setup'!$N$7,$AD44:$BA44)+'Model Setup'!$N$8*(SUMIF($BH$3:$CE$3,"&lt;"&amp;$DF44,$AD44:$BA44)+SUMIF($BH$3:$CE$3,"&gt;"&amp;$CW$4,$AD44:$BA44)),
IF(BY$3&lt;$CW$4,S44,0))))))))))))))),0)</f>
        <v>0</v>
      </c>
      <c r="BZ44" s="47">
        <f>ROUND(IF(OR(BZ$3&lt;$DF44,BZ$3&gt;$CW$4),0,
IF(BZ$3=$DF44+'Model Setup'!$B$7,SUMIF($BH$3:$CE$3,"="&amp;$DF44+'Model Setup'!$B$7,$AD44:$BA44)+'Model Setup'!$B$8*(SUMIF($BH$3:$CE$3,"&lt;"&amp;$DF44,$AD44:$BA44)+SUMIF($BH$3:$CE$3,"&gt;"&amp;$CW$4,$AD44:$BA44)),
IF(BZ$3=$DF44+'Model Setup'!$C$7,SUMIF($BH$3:$CE$3,"="&amp;$DF44+'Model Setup'!$C$7,$AD44:$BA44)+'Model Setup'!$C$8*(SUMIF($BH$3:$CE$3,"&lt;"&amp;$DF44,$AD44:$BA44)+SUMIF($BH$3:$CE$3,"&gt;"&amp;$CW$4,$AD44:$BA44)),
IF(BZ$3=$DF44+'Model Setup'!$D$7,SUMIF($BH$3:$CE$3,"="&amp;$DF44+'Model Setup'!$D$7,$AD44:$BA44)+'Model Setup'!$D$8*(SUMIF($BH$3:$CE$3,"&lt;"&amp;$DF44,$AD44:$BA44)+SUMIF($BH$3:$CE$3,"&gt;"&amp;$CW$4,$AD44:$BA44)),
IF(BZ$3=$DF44+'Model Setup'!$E$7,SUMIF($BH$3:$CE$3,"="&amp;$DF44+'Model Setup'!$E$7,$AD44:$BA44)+'Model Setup'!$E$8*(SUMIF($BH$3:$CE$3,"&lt;"&amp;$DF44,$AD44:$BA44)+SUMIF($BH$3:$CE$3,"&gt;"&amp;$CW$4,$AD44:$BA44)),
IF(BZ$3=$DF44+'Model Setup'!$F$7,SUMIF($BH$3:$CE$3,"="&amp;$DF44+'Model Setup'!$F$7,$AD44:$BA44)+'Model Setup'!$F$8*(SUMIF($BH$3:$CE$3,"&lt;"&amp;$DF44,$AD44:$BA44)+SUMIF($BH$3:$CE$3,"&gt;"&amp;$CW$4,$AD44:$BA44)),
IF(BZ$3=$DF44+'Model Setup'!$G$7,SUMIF($BH$3:$CE$3,"="&amp;$DF44+'Model Setup'!$G$7,$AD44:$BA44)+'Model Setup'!$G$8*(SUMIF($BH$3:$CE$3,"&lt;"&amp;$DF44,$AD44:$BA44)+SUMIF($BH$3:$CE$3,"&gt;"&amp;$CW$4,$AD44:$BA44)),
IF(BZ$3=$DF44+'Model Setup'!$H$7,SUMIF($BH$3:$CE$3,"="&amp;$DF44+'Model Setup'!$H$7,$AD44:$BA44)+'Model Setup'!$H$8*(SUMIF($BH$3:$CE$3,"&lt;"&amp;$DF44,$AD44:$BA44)+SUMIF($BH$3:$CE$3,"&gt;"&amp;$CW$4,$AD44:$BA44)),
IF(BZ$3=$DF44+'Model Setup'!$I$7,SUMIF($BH$3:$CE$3,"="&amp;$DF44+'Model Setup'!$I$7,$AD44:$BA44)+'Model Setup'!$I$8*(SUMIF($BH$3:$CE$3,"&lt;"&amp;$DF44,$AD44:$BA44)+SUMIF($BH$3:$CE$3,"&gt;"&amp;$CW$4,$AD44:$BA44)),
IF(BZ$3=$DF44+'Model Setup'!$J$7,SUMIF($BH$3:$CE$3,"="&amp;$DF44+'Model Setup'!$J$7,$AD44:$BA44)+'Model Setup'!$J$8*(SUMIF($BH$3:$CE$3,"&lt;"&amp;$DF44,$AD44:$BA44)+SUMIF($BH$3:$CE$3,"&gt;"&amp;$CW$4,$AD44:$BA44)),
IF(BZ$3=$DF44+'Model Setup'!$K$7,SUMIF($BH$3:$CE$3,"="&amp;$DF44+'Model Setup'!$K$7,$AD44:$BA44)+'Model Setup'!$K$8*(SUMIF($BH$3:$CE$3,"&lt;"&amp;$DF44,$AD44:$BA44)+SUMIF($BH$3:$CE$3,"&gt;"&amp;$CW$4,$AD44:$BA44)),
IF(BZ$3=$DF44+'Model Setup'!$L$7,SUMIF($BH$3:$CE$3,"="&amp;$DF44+'Model Setup'!$L$7,$AD44:$BA44)+'Model Setup'!$L$8*(SUMIF($BH$3:$CE$3,"&lt;"&amp;$DF44,$AD44:$BA44)+SUMIF($BH$3:$CE$3,"&gt;"&amp;$CW$4,$AD44:$BA44)),
IF(BZ$3=$DF44+'Model Setup'!$M$7,SUMIF($BH$3:$CE$3,"="&amp;$DF44+'Model Setup'!$M$7,$AD44:$BA44)+'Model Setup'!$M$8*(SUMIF($BH$3:$CE$3,"&lt;"&amp;$DF44,$AD44:$BA44)+SUMIF($BH$3:$CE$3,"&gt;"&amp;$CW$4,$AD44:$BA44)),
IF(BZ$3=$DF44+'Model Setup'!$N$7,SUMIF($BH$3:$CE$3,"="&amp;$DF44+'Model Setup'!$N$7,$AD44:$BA44)+'Model Setup'!$N$8*(SUMIF($BH$3:$CE$3,"&lt;"&amp;$DF44,$AD44:$BA44)+SUMIF($BH$3:$CE$3,"&gt;"&amp;$CW$4,$AD44:$BA44)),
IF(BZ$3&lt;$CW$4,T44,0))))))))))))))),0)</f>
        <v>0</v>
      </c>
      <c r="CA44" s="47">
        <f>ROUND(IF(OR(CA$3&lt;$DF44,CA$3&gt;$CW$4),0,
IF(CA$3=$DF44+'Model Setup'!$B$7,SUMIF($BH$3:$CE$3,"="&amp;$DF44+'Model Setup'!$B$7,$AD44:$BA44)+'Model Setup'!$B$8*(SUMIF($BH$3:$CE$3,"&lt;"&amp;$DF44,$AD44:$BA44)+SUMIF($BH$3:$CE$3,"&gt;"&amp;$CW$4,$AD44:$BA44)),
IF(CA$3=$DF44+'Model Setup'!$C$7,SUMIF($BH$3:$CE$3,"="&amp;$DF44+'Model Setup'!$C$7,$AD44:$BA44)+'Model Setup'!$C$8*(SUMIF($BH$3:$CE$3,"&lt;"&amp;$DF44,$AD44:$BA44)+SUMIF($BH$3:$CE$3,"&gt;"&amp;$CW$4,$AD44:$BA44)),
IF(CA$3=$DF44+'Model Setup'!$D$7,SUMIF($BH$3:$CE$3,"="&amp;$DF44+'Model Setup'!$D$7,$AD44:$BA44)+'Model Setup'!$D$8*(SUMIF($BH$3:$CE$3,"&lt;"&amp;$DF44,$AD44:$BA44)+SUMIF($BH$3:$CE$3,"&gt;"&amp;$CW$4,$AD44:$BA44)),
IF(CA$3=$DF44+'Model Setup'!$E$7,SUMIF($BH$3:$CE$3,"="&amp;$DF44+'Model Setup'!$E$7,$AD44:$BA44)+'Model Setup'!$E$8*(SUMIF($BH$3:$CE$3,"&lt;"&amp;$DF44,$AD44:$BA44)+SUMIF($BH$3:$CE$3,"&gt;"&amp;$CW$4,$AD44:$BA44)),
IF(CA$3=$DF44+'Model Setup'!$F$7,SUMIF($BH$3:$CE$3,"="&amp;$DF44+'Model Setup'!$F$7,$AD44:$BA44)+'Model Setup'!$F$8*(SUMIF($BH$3:$CE$3,"&lt;"&amp;$DF44,$AD44:$BA44)+SUMIF($BH$3:$CE$3,"&gt;"&amp;$CW$4,$AD44:$BA44)),
IF(CA$3=$DF44+'Model Setup'!$G$7,SUMIF($BH$3:$CE$3,"="&amp;$DF44+'Model Setup'!$G$7,$AD44:$BA44)+'Model Setup'!$G$8*(SUMIF($BH$3:$CE$3,"&lt;"&amp;$DF44,$AD44:$BA44)+SUMIF($BH$3:$CE$3,"&gt;"&amp;$CW$4,$AD44:$BA44)),
IF(CA$3=$DF44+'Model Setup'!$H$7,SUMIF($BH$3:$CE$3,"="&amp;$DF44+'Model Setup'!$H$7,$AD44:$BA44)+'Model Setup'!$H$8*(SUMIF($BH$3:$CE$3,"&lt;"&amp;$DF44,$AD44:$BA44)+SUMIF($BH$3:$CE$3,"&gt;"&amp;$CW$4,$AD44:$BA44)),
IF(CA$3=$DF44+'Model Setup'!$I$7,SUMIF($BH$3:$CE$3,"="&amp;$DF44+'Model Setup'!$I$7,$AD44:$BA44)+'Model Setup'!$I$8*(SUMIF($BH$3:$CE$3,"&lt;"&amp;$DF44,$AD44:$BA44)+SUMIF($BH$3:$CE$3,"&gt;"&amp;$CW$4,$AD44:$BA44)),
IF(CA$3=$DF44+'Model Setup'!$J$7,SUMIF($BH$3:$CE$3,"="&amp;$DF44+'Model Setup'!$J$7,$AD44:$BA44)+'Model Setup'!$J$8*(SUMIF($BH$3:$CE$3,"&lt;"&amp;$DF44,$AD44:$BA44)+SUMIF($BH$3:$CE$3,"&gt;"&amp;$CW$4,$AD44:$BA44)),
IF(CA$3=$DF44+'Model Setup'!$K$7,SUMIF($BH$3:$CE$3,"="&amp;$DF44+'Model Setup'!$K$7,$AD44:$BA44)+'Model Setup'!$K$8*(SUMIF($BH$3:$CE$3,"&lt;"&amp;$DF44,$AD44:$BA44)+SUMIF($BH$3:$CE$3,"&gt;"&amp;$CW$4,$AD44:$BA44)),
IF(CA$3=$DF44+'Model Setup'!$L$7,SUMIF($BH$3:$CE$3,"="&amp;$DF44+'Model Setup'!$L$7,$AD44:$BA44)+'Model Setup'!$L$8*(SUMIF($BH$3:$CE$3,"&lt;"&amp;$DF44,$AD44:$BA44)+SUMIF($BH$3:$CE$3,"&gt;"&amp;$CW$4,$AD44:$BA44)),
IF(CA$3=$DF44+'Model Setup'!$M$7,SUMIF($BH$3:$CE$3,"="&amp;$DF44+'Model Setup'!$M$7,$AD44:$BA44)+'Model Setup'!$M$8*(SUMIF($BH$3:$CE$3,"&lt;"&amp;$DF44,$AD44:$BA44)+SUMIF($BH$3:$CE$3,"&gt;"&amp;$CW$4,$AD44:$BA44)),
IF(CA$3=$DF44+'Model Setup'!$N$7,SUMIF($BH$3:$CE$3,"="&amp;$DF44+'Model Setup'!$N$7,$AD44:$BA44)+'Model Setup'!$N$8*(SUMIF($BH$3:$CE$3,"&lt;"&amp;$DF44,$AD44:$BA44)+SUMIF($BH$3:$CE$3,"&gt;"&amp;$CW$4,$AD44:$BA44)),
IF(CA$3&lt;$CW$4,U44,0))))))))))))))),0)</f>
        <v>0</v>
      </c>
      <c r="CB44" s="47">
        <f>ROUND(IF(OR(CB$3&lt;$DF44,CB$3&gt;$CW$4),0,
IF(CB$3=$DF44+'Model Setup'!$B$7,SUMIF($BH$3:$CE$3,"="&amp;$DF44+'Model Setup'!$B$7,$AD44:$BA44)+'Model Setup'!$B$8*(SUMIF($BH$3:$CE$3,"&lt;"&amp;$DF44,$AD44:$BA44)+SUMIF($BH$3:$CE$3,"&gt;"&amp;$CW$4,$AD44:$BA44)),
IF(CB$3=$DF44+'Model Setup'!$C$7,SUMIF($BH$3:$CE$3,"="&amp;$DF44+'Model Setup'!$C$7,$AD44:$BA44)+'Model Setup'!$C$8*(SUMIF($BH$3:$CE$3,"&lt;"&amp;$DF44,$AD44:$BA44)+SUMIF($BH$3:$CE$3,"&gt;"&amp;$CW$4,$AD44:$BA44)),
IF(CB$3=$DF44+'Model Setup'!$D$7,SUMIF($BH$3:$CE$3,"="&amp;$DF44+'Model Setup'!$D$7,$AD44:$BA44)+'Model Setup'!$D$8*(SUMIF($BH$3:$CE$3,"&lt;"&amp;$DF44,$AD44:$BA44)+SUMIF($BH$3:$CE$3,"&gt;"&amp;$CW$4,$AD44:$BA44)),
IF(CB$3=$DF44+'Model Setup'!$E$7,SUMIF($BH$3:$CE$3,"="&amp;$DF44+'Model Setup'!$E$7,$AD44:$BA44)+'Model Setup'!$E$8*(SUMIF($BH$3:$CE$3,"&lt;"&amp;$DF44,$AD44:$BA44)+SUMIF($BH$3:$CE$3,"&gt;"&amp;$CW$4,$AD44:$BA44)),
IF(CB$3=$DF44+'Model Setup'!$F$7,SUMIF($BH$3:$CE$3,"="&amp;$DF44+'Model Setup'!$F$7,$AD44:$BA44)+'Model Setup'!$F$8*(SUMIF($BH$3:$CE$3,"&lt;"&amp;$DF44,$AD44:$BA44)+SUMIF($BH$3:$CE$3,"&gt;"&amp;$CW$4,$AD44:$BA44)),
IF(CB$3=$DF44+'Model Setup'!$G$7,SUMIF($BH$3:$CE$3,"="&amp;$DF44+'Model Setup'!$G$7,$AD44:$BA44)+'Model Setup'!$G$8*(SUMIF($BH$3:$CE$3,"&lt;"&amp;$DF44,$AD44:$BA44)+SUMIF($BH$3:$CE$3,"&gt;"&amp;$CW$4,$AD44:$BA44)),
IF(CB$3=$DF44+'Model Setup'!$H$7,SUMIF($BH$3:$CE$3,"="&amp;$DF44+'Model Setup'!$H$7,$AD44:$BA44)+'Model Setup'!$H$8*(SUMIF($BH$3:$CE$3,"&lt;"&amp;$DF44,$AD44:$BA44)+SUMIF($BH$3:$CE$3,"&gt;"&amp;$CW$4,$AD44:$BA44)),
IF(CB$3=$DF44+'Model Setup'!$I$7,SUMIF($BH$3:$CE$3,"="&amp;$DF44+'Model Setup'!$I$7,$AD44:$BA44)+'Model Setup'!$I$8*(SUMIF($BH$3:$CE$3,"&lt;"&amp;$DF44,$AD44:$BA44)+SUMIF($BH$3:$CE$3,"&gt;"&amp;$CW$4,$AD44:$BA44)),
IF(CB$3=$DF44+'Model Setup'!$J$7,SUMIF($BH$3:$CE$3,"="&amp;$DF44+'Model Setup'!$J$7,$AD44:$BA44)+'Model Setup'!$J$8*(SUMIF($BH$3:$CE$3,"&lt;"&amp;$DF44,$AD44:$BA44)+SUMIF($BH$3:$CE$3,"&gt;"&amp;$CW$4,$AD44:$BA44)),
IF(CB$3=$DF44+'Model Setup'!$K$7,SUMIF($BH$3:$CE$3,"="&amp;$DF44+'Model Setup'!$K$7,$AD44:$BA44)+'Model Setup'!$K$8*(SUMIF($BH$3:$CE$3,"&lt;"&amp;$DF44,$AD44:$BA44)+SUMIF($BH$3:$CE$3,"&gt;"&amp;$CW$4,$AD44:$BA44)),
IF(CB$3=$DF44+'Model Setup'!$L$7,SUMIF($BH$3:$CE$3,"="&amp;$DF44+'Model Setup'!$L$7,$AD44:$BA44)+'Model Setup'!$L$8*(SUMIF($BH$3:$CE$3,"&lt;"&amp;$DF44,$AD44:$BA44)+SUMIF($BH$3:$CE$3,"&gt;"&amp;$CW$4,$AD44:$BA44)),
IF(CB$3=$DF44+'Model Setup'!$M$7,SUMIF($BH$3:$CE$3,"="&amp;$DF44+'Model Setup'!$M$7,$AD44:$BA44)+'Model Setup'!$M$8*(SUMIF($BH$3:$CE$3,"&lt;"&amp;$DF44,$AD44:$BA44)+SUMIF($BH$3:$CE$3,"&gt;"&amp;$CW$4,$AD44:$BA44)),
IF(CB$3=$DF44+'Model Setup'!$N$7,SUMIF($BH$3:$CE$3,"="&amp;$DF44+'Model Setup'!$N$7,$AD44:$BA44)+'Model Setup'!$N$8*(SUMIF($BH$3:$CE$3,"&lt;"&amp;$DF44,$AD44:$BA44)+SUMIF($BH$3:$CE$3,"&gt;"&amp;$CW$4,$AD44:$BA44)),
IF(CB$3&lt;$CW$4,V44,0))))))))))))))),0)</f>
        <v>0</v>
      </c>
      <c r="CC44" s="47">
        <f>ROUND(IF(OR(CC$3&lt;$DF44,CC$3&gt;$CW$4),0,
IF(CC$3=$DF44+'Model Setup'!$B$7,SUMIF($BH$3:$CE$3,"="&amp;$DF44+'Model Setup'!$B$7,$AD44:$BA44)+'Model Setup'!$B$8*(SUMIF($BH$3:$CE$3,"&lt;"&amp;$DF44,$AD44:$BA44)+SUMIF($BH$3:$CE$3,"&gt;"&amp;$CW$4,$AD44:$BA44)),
IF(CC$3=$DF44+'Model Setup'!$C$7,SUMIF($BH$3:$CE$3,"="&amp;$DF44+'Model Setup'!$C$7,$AD44:$BA44)+'Model Setup'!$C$8*(SUMIF($BH$3:$CE$3,"&lt;"&amp;$DF44,$AD44:$BA44)+SUMIF($BH$3:$CE$3,"&gt;"&amp;$CW$4,$AD44:$BA44)),
IF(CC$3=$DF44+'Model Setup'!$D$7,SUMIF($BH$3:$CE$3,"="&amp;$DF44+'Model Setup'!$D$7,$AD44:$BA44)+'Model Setup'!$D$8*(SUMIF($BH$3:$CE$3,"&lt;"&amp;$DF44,$AD44:$BA44)+SUMIF($BH$3:$CE$3,"&gt;"&amp;$CW$4,$AD44:$BA44)),
IF(CC$3=$DF44+'Model Setup'!$E$7,SUMIF($BH$3:$CE$3,"="&amp;$DF44+'Model Setup'!$E$7,$AD44:$BA44)+'Model Setup'!$E$8*(SUMIF($BH$3:$CE$3,"&lt;"&amp;$DF44,$AD44:$BA44)+SUMIF($BH$3:$CE$3,"&gt;"&amp;$CW$4,$AD44:$BA44)),
IF(CC$3=$DF44+'Model Setup'!$F$7,SUMIF($BH$3:$CE$3,"="&amp;$DF44+'Model Setup'!$F$7,$AD44:$BA44)+'Model Setup'!$F$8*(SUMIF($BH$3:$CE$3,"&lt;"&amp;$DF44,$AD44:$BA44)+SUMIF($BH$3:$CE$3,"&gt;"&amp;$CW$4,$AD44:$BA44)),
IF(CC$3=$DF44+'Model Setup'!$G$7,SUMIF($BH$3:$CE$3,"="&amp;$DF44+'Model Setup'!$G$7,$AD44:$BA44)+'Model Setup'!$G$8*(SUMIF($BH$3:$CE$3,"&lt;"&amp;$DF44,$AD44:$BA44)+SUMIF($BH$3:$CE$3,"&gt;"&amp;$CW$4,$AD44:$BA44)),
IF(CC$3=$DF44+'Model Setup'!$H$7,SUMIF($BH$3:$CE$3,"="&amp;$DF44+'Model Setup'!$H$7,$AD44:$BA44)+'Model Setup'!$H$8*(SUMIF($BH$3:$CE$3,"&lt;"&amp;$DF44,$AD44:$BA44)+SUMIF($BH$3:$CE$3,"&gt;"&amp;$CW$4,$AD44:$BA44)),
IF(CC$3=$DF44+'Model Setup'!$I$7,SUMIF($BH$3:$CE$3,"="&amp;$DF44+'Model Setup'!$I$7,$AD44:$BA44)+'Model Setup'!$I$8*(SUMIF($BH$3:$CE$3,"&lt;"&amp;$DF44,$AD44:$BA44)+SUMIF($BH$3:$CE$3,"&gt;"&amp;$CW$4,$AD44:$BA44)),
IF(CC$3=$DF44+'Model Setup'!$J$7,SUMIF($BH$3:$CE$3,"="&amp;$DF44+'Model Setup'!$J$7,$AD44:$BA44)+'Model Setup'!$J$8*(SUMIF($BH$3:$CE$3,"&lt;"&amp;$DF44,$AD44:$BA44)+SUMIF($BH$3:$CE$3,"&gt;"&amp;$CW$4,$AD44:$BA44)),
IF(CC$3=$DF44+'Model Setup'!$K$7,SUMIF($BH$3:$CE$3,"="&amp;$DF44+'Model Setup'!$K$7,$AD44:$BA44)+'Model Setup'!$K$8*(SUMIF($BH$3:$CE$3,"&lt;"&amp;$DF44,$AD44:$BA44)+SUMIF($BH$3:$CE$3,"&gt;"&amp;$CW$4,$AD44:$BA44)),
IF(CC$3=$DF44+'Model Setup'!$L$7,SUMIF($BH$3:$CE$3,"="&amp;$DF44+'Model Setup'!$L$7,$AD44:$BA44)+'Model Setup'!$L$8*(SUMIF($BH$3:$CE$3,"&lt;"&amp;$DF44,$AD44:$BA44)+SUMIF($BH$3:$CE$3,"&gt;"&amp;$CW$4,$AD44:$BA44)),
IF(CC$3=$DF44+'Model Setup'!$M$7,SUMIF($BH$3:$CE$3,"="&amp;$DF44+'Model Setup'!$M$7,$AD44:$BA44)+'Model Setup'!$M$8*(SUMIF($BH$3:$CE$3,"&lt;"&amp;$DF44,$AD44:$BA44)+SUMIF($BH$3:$CE$3,"&gt;"&amp;$CW$4,$AD44:$BA44)),
IF(CC$3=$DF44+'Model Setup'!$N$7,SUMIF($BH$3:$CE$3,"="&amp;$DF44+'Model Setup'!$N$7,$AD44:$BA44)+'Model Setup'!$N$8*(SUMIF($BH$3:$CE$3,"&lt;"&amp;$DF44,$AD44:$BA44)+SUMIF($BH$3:$CE$3,"&gt;"&amp;$CW$4,$AD44:$BA44)),
IF(CC$3&lt;$CW$4,W44,0))))))))))))))),0)</f>
        <v>0</v>
      </c>
      <c r="CD44" s="47">
        <f>ROUND(IF(OR(CD$3&lt;$DF44,CD$3&gt;$CW$4),0,
IF(CD$3=$DF44+'Model Setup'!$B$7,SUMIF($BH$3:$CE$3,"="&amp;$DF44+'Model Setup'!$B$7,$AD44:$BA44)+'Model Setup'!$B$8*(SUMIF($BH$3:$CE$3,"&lt;"&amp;$DF44,$AD44:$BA44)+SUMIF($BH$3:$CE$3,"&gt;"&amp;$CW$4,$AD44:$BA44)),
IF(CD$3=$DF44+'Model Setup'!$C$7,SUMIF($BH$3:$CE$3,"="&amp;$DF44+'Model Setup'!$C$7,$AD44:$BA44)+'Model Setup'!$C$8*(SUMIF($BH$3:$CE$3,"&lt;"&amp;$DF44,$AD44:$BA44)+SUMIF($BH$3:$CE$3,"&gt;"&amp;$CW$4,$AD44:$BA44)),
IF(CD$3=$DF44+'Model Setup'!$D$7,SUMIF($BH$3:$CE$3,"="&amp;$DF44+'Model Setup'!$D$7,$AD44:$BA44)+'Model Setup'!$D$8*(SUMIF($BH$3:$CE$3,"&lt;"&amp;$DF44,$AD44:$BA44)+SUMIF($BH$3:$CE$3,"&gt;"&amp;$CW$4,$AD44:$BA44)),
IF(CD$3=$DF44+'Model Setup'!$E$7,SUMIF($BH$3:$CE$3,"="&amp;$DF44+'Model Setup'!$E$7,$AD44:$BA44)+'Model Setup'!$E$8*(SUMIF($BH$3:$CE$3,"&lt;"&amp;$DF44,$AD44:$BA44)+SUMIF($BH$3:$CE$3,"&gt;"&amp;$CW$4,$AD44:$BA44)),
IF(CD$3=$DF44+'Model Setup'!$F$7,SUMIF($BH$3:$CE$3,"="&amp;$DF44+'Model Setup'!$F$7,$AD44:$BA44)+'Model Setup'!$F$8*(SUMIF($BH$3:$CE$3,"&lt;"&amp;$DF44,$AD44:$BA44)+SUMIF($BH$3:$CE$3,"&gt;"&amp;$CW$4,$AD44:$BA44)),
IF(CD$3=$DF44+'Model Setup'!$G$7,SUMIF($BH$3:$CE$3,"="&amp;$DF44+'Model Setup'!$G$7,$AD44:$BA44)+'Model Setup'!$G$8*(SUMIF($BH$3:$CE$3,"&lt;"&amp;$DF44,$AD44:$BA44)+SUMIF($BH$3:$CE$3,"&gt;"&amp;$CW$4,$AD44:$BA44)),
IF(CD$3=$DF44+'Model Setup'!$H$7,SUMIF($BH$3:$CE$3,"="&amp;$DF44+'Model Setup'!$H$7,$AD44:$BA44)+'Model Setup'!$H$8*(SUMIF($BH$3:$CE$3,"&lt;"&amp;$DF44,$AD44:$BA44)+SUMIF($BH$3:$CE$3,"&gt;"&amp;$CW$4,$AD44:$BA44)),
IF(CD$3=$DF44+'Model Setup'!$I$7,SUMIF($BH$3:$CE$3,"="&amp;$DF44+'Model Setup'!$I$7,$AD44:$BA44)+'Model Setup'!$I$8*(SUMIF($BH$3:$CE$3,"&lt;"&amp;$DF44,$AD44:$BA44)+SUMIF($BH$3:$CE$3,"&gt;"&amp;$CW$4,$AD44:$BA44)),
IF(CD$3=$DF44+'Model Setup'!$J$7,SUMIF($BH$3:$CE$3,"="&amp;$DF44+'Model Setup'!$J$7,$AD44:$BA44)+'Model Setup'!$J$8*(SUMIF($BH$3:$CE$3,"&lt;"&amp;$DF44,$AD44:$BA44)+SUMIF($BH$3:$CE$3,"&gt;"&amp;$CW$4,$AD44:$BA44)),
IF(CD$3=$DF44+'Model Setup'!$K$7,SUMIF($BH$3:$CE$3,"="&amp;$DF44+'Model Setup'!$K$7,$AD44:$BA44)+'Model Setup'!$K$8*(SUMIF($BH$3:$CE$3,"&lt;"&amp;$DF44,$AD44:$BA44)+SUMIF($BH$3:$CE$3,"&gt;"&amp;$CW$4,$AD44:$BA44)),
IF(CD$3=$DF44+'Model Setup'!$L$7,SUMIF($BH$3:$CE$3,"="&amp;$DF44+'Model Setup'!$L$7,$AD44:$BA44)+'Model Setup'!$L$8*(SUMIF($BH$3:$CE$3,"&lt;"&amp;$DF44,$AD44:$BA44)+SUMIF($BH$3:$CE$3,"&gt;"&amp;$CW$4,$AD44:$BA44)),
IF(CD$3=$DF44+'Model Setup'!$M$7,SUMIF($BH$3:$CE$3,"="&amp;$DF44+'Model Setup'!$M$7,$AD44:$BA44)+'Model Setup'!$M$8*(SUMIF($BH$3:$CE$3,"&lt;"&amp;$DF44,$AD44:$BA44)+SUMIF($BH$3:$CE$3,"&gt;"&amp;$CW$4,$AD44:$BA44)),
IF(CD$3=$DF44+'Model Setup'!$N$7,SUMIF($BH$3:$CE$3,"="&amp;$DF44+'Model Setup'!$N$7,$AD44:$BA44)+'Model Setup'!$N$8*(SUMIF($BH$3:$CE$3,"&lt;"&amp;$DF44,$AD44:$BA44)+SUMIF($BH$3:$CE$3,"&gt;"&amp;$CW$4,$AD44:$BA44)),
IF(CD$3&lt;$CW$4,X44,0))))))))))))))),0)</f>
        <v>0</v>
      </c>
      <c r="CE44" s="47">
        <f>ROUND(IF(OR(CE$3&lt;$DF44,CE$3&gt;$CW$4),0,
IF(CE$3=$DF44+'Model Setup'!$B$7,SUMIF($BH$3:$CE$3,"="&amp;$DF44+'Model Setup'!$B$7,$AD44:$BA44)+'Model Setup'!$B$8*(SUMIF($BH$3:$CE$3,"&lt;"&amp;$DF44,$AD44:$BA44)+SUMIF($BH$3:$CE$3,"&gt;"&amp;$CW$4,$AD44:$BA44)),
IF(CE$3=$DF44+'Model Setup'!$C$7,SUMIF($BH$3:$CE$3,"="&amp;$DF44+'Model Setup'!$C$7,$AD44:$BA44)+'Model Setup'!$C$8*(SUMIF($BH$3:$CE$3,"&lt;"&amp;$DF44,$AD44:$BA44)+SUMIF($BH$3:$CE$3,"&gt;"&amp;$CW$4,$AD44:$BA44)),
IF(CE$3=$DF44+'Model Setup'!$D$7,SUMIF($BH$3:$CE$3,"="&amp;$DF44+'Model Setup'!$D$7,$AD44:$BA44)+'Model Setup'!$D$8*(SUMIF($BH$3:$CE$3,"&lt;"&amp;$DF44,$AD44:$BA44)+SUMIF($BH$3:$CE$3,"&gt;"&amp;$CW$4,$AD44:$BA44)),
IF(CE$3=$DF44+'Model Setup'!$E$7,SUMIF($BH$3:$CE$3,"="&amp;$DF44+'Model Setup'!$E$7,$AD44:$BA44)+'Model Setup'!$E$8*(SUMIF($BH$3:$CE$3,"&lt;"&amp;$DF44,$AD44:$BA44)+SUMIF($BH$3:$CE$3,"&gt;"&amp;$CW$4,$AD44:$BA44)),
IF(CE$3=$DF44+'Model Setup'!$F$7,SUMIF($BH$3:$CE$3,"="&amp;$DF44+'Model Setup'!$F$7,$AD44:$BA44)+'Model Setup'!$F$8*(SUMIF($BH$3:$CE$3,"&lt;"&amp;$DF44,$AD44:$BA44)+SUMIF($BH$3:$CE$3,"&gt;"&amp;$CW$4,$AD44:$BA44)),
IF(CE$3=$DF44+'Model Setup'!$G$7,SUMIF($BH$3:$CE$3,"="&amp;$DF44+'Model Setup'!$G$7,$AD44:$BA44)+'Model Setup'!$G$8*(SUMIF($BH$3:$CE$3,"&lt;"&amp;$DF44,$AD44:$BA44)+SUMIF($BH$3:$CE$3,"&gt;"&amp;$CW$4,$AD44:$BA44)),
IF(CE$3=$DF44+'Model Setup'!$H$7,SUMIF($BH$3:$CE$3,"="&amp;$DF44+'Model Setup'!$H$7,$AD44:$BA44)+'Model Setup'!$H$8*(SUMIF($BH$3:$CE$3,"&lt;"&amp;$DF44,$AD44:$BA44)+SUMIF($BH$3:$CE$3,"&gt;"&amp;$CW$4,$AD44:$BA44)),
IF(CE$3=$DF44+'Model Setup'!$I$7,SUMIF($BH$3:$CE$3,"="&amp;$DF44+'Model Setup'!$I$7,$AD44:$BA44)+'Model Setup'!$I$8*(SUMIF($BH$3:$CE$3,"&lt;"&amp;$DF44,$AD44:$BA44)+SUMIF($BH$3:$CE$3,"&gt;"&amp;$CW$4,$AD44:$BA44)),
IF(CE$3=$DF44+'Model Setup'!$J$7,SUMIF($BH$3:$CE$3,"="&amp;$DF44+'Model Setup'!$J$7,$AD44:$BA44)+'Model Setup'!$J$8*(SUMIF($BH$3:$CE$3,"&lt;"&amp;$DF44,$AD44:$BA44)+SUMIF($BH$3:$CE$3,"&gt;"&amp;$CW$4,$AD44:$BA44)),
IF(CE$3=$DF44+'Model Setup'!$K$7,SUMIF($BH$3:$CE$3,"="&amp;$DF44+'Model Setup'!$K$7,$AD44:$BA44)+'Model Setup'!$K$8*(SUMIF($BH$3:$CE$3,"&lt;"&amp;$DF44,$AD44:$BA44)+SUMIF($BH$3:$CE$3,"&gt;"&amp;$CW$4,$AD44:$BA44)),
IF(CE$3=$DF44+'Model Setup'!$L$7,SUMIF($BH$3:$CE$3,"="&amp;$DF44+'Model Setup'!$L$7,$AD44:$BA44)+'Model Setup'!$L$8*(SUMIF($BH$3:$CE$3,"&lt;"&amp;$DF44,$AD44:$BA44)+SUMIF($BH$3:$CE$3,"&gt;"&amp;$CW$4,$AD44:$BA44)),
IF(CE$3=$DF44+'Model Setup'!$M$7,SUMIF($BH$3:$CE$3,"="&amp;$DF44+'Model Setup'!$M$7,$AD44:$BA44)+'Model Setup'!$M$8*(SUMIF($BH$3:$CE$3,"&lt;"&amp;$DF44,$AD44:$BA44)+SUMIF($BH$3:$CE$3,"&gt;"&amp;$CW$4,$AD44:$BA44)),
IF(CE$3=$DF44+'Model Setup'!$N$7,SUMIF($BH$3:$CE$3,"="&amp;$DF44+'Model Setup'!$N$7,$AD44:$BA44)+'Model Setup'!$N$8*(SUMIF($BH$3:$CE$3,"&lt;"&amp;$DF44,$AD44:$BA44)+SUMIF($BH$3:$CE$3,"&gt;"&amp;$CW$4,$AD44:$BA44)),
IF(CE$3&lt;$CW$4,Y44,0))))))))))))))),0)</f>
        <v>0</v>
      </c>
      <c r="CF44" s="47">
        <f t="shared" si="3"/>
        <v>7</v>
      </c>
      <c r="CG44" s="47">
        <f t="shared" si="4"/>
        <v>0</v>
      </c>
      <c r="CI44" s="10" t="s">
        <v>59</v>
      </c>
      <c r="CJ44" s="126">
        <f t="shared" si="9"/>
        <v>0</v>
      </c>
      <c r="CK44" s="126">
        <f t="shared" si="10"/>
        <v>0</v>
      </c>
      <c r="CL44" s="126">
        <f t="shared" si="11"/>
        <v>0</v>
      </c>
      <c r="CM44" s="126">
        <f t="shared" si="12"/>
        <v>0</v>
      </c>
      <c r="CN44" s="126">
        <f t="shared" si="13"/>
        <v>0</v>
      </c>
      <c r="CO44" s="126">
        <f t="shared" si="14"/>
        <v>0</v>
      </c>
      <c r="CP44" s="126">
        <f t="shared" si="15"/>
        <v>2</v>
      </c>
      <c r="CQ44" s="126">
        <f t="shared" si="16"/>
        <v>3</v>
      </c>
      <c r="CR44" s="126">
        <f t="shared" si="17"/>
        <v>0</v>
      </c>
      <c r="CS44" s="126">
        <f t="shared" si="18"/>
        <v>2</v>
      </c>
      <c r="CT44" s="126">
        <f t="shared" si="19"/>
        <v>0</v>
      </c>
      <c r="CU44" s="126">
        <f t="shared" si="20"/>
        <v>0</v>
      </c>
      <c r="CV44" s="126">
        <f t="shared" si="21"/>
        <v>0</v>
      </c>
      <c r="CW44" s="126">
        <f t="shared" si="22"/>
        <v>0</v>
      </c>
      <c r="CX44" s="126">
        <f t="shared" si="23"/>
        <v>0</v>
      </c>
      <c r="CY44" s="126">
        <f t="shared" si="24"/>
        <v>0</v>
      </c>
      <c r="CZ44" s="47">
        <f t="shared" si="7"/>
        <v>7</v>
      </c>
      <c r="DC44" s="93" t="s">
        <v>59</v>
      </c>
      <c r="DD44" s="89">
        <f>FTC!E42</f>
        <v>0.20833333333333334</v>
      </c>
      <c r="DE44" s="89">
        <f>FTC!F42</f>
        <v>0.75</v>
      </c>
      <c r="DF44" s="90">
        <f t="shared" si="25"/>
        <v>5</v>
      </c>
      <c r="DG44" s="91">
        <f t="shared" si="26"/>
        <v>18</v>
      </c>
      <c r="DH44" s="91">
        <f t="shared" si="27"/>
        <v>13</v>
      </c>
    </row>
    <row r="45" spans="1:112" x14ac:dyDescent="0.35">
      <c r="A45" s="43" t="s">
        <v>60</v>
      </c>
      <c r="B45" s="47">
        <v>1</v>
      </c>
      <c r="C45" s="47">
        <v>1</v>
      </c>
      <c r="D45" s="6"/>
      <c r="E45" s="47">
        <v>2</v>
      </c>
      <c r="F45" s="47">
        <v>2</v>
      </c>
      <c r="G45" s="47">
        <v>9</v>
      </c>
      <c r="H45" s="47">
        <v>11</v>
      </c>
      <c r="I45" s="47">
        <v>9</v>
      </c>
      <c r="J45" s="47">
        <v>16</v>
      </c>
      <c r="K45" s="47">
        <v>18</v>
      </c>
      <c r="L45" s="47">
        <v>7</v>
      </c>
      <c r="M45" s="47">
        <v>10</v>
      </c>
      <c r="N45" s="47">
        <v>13</v>
      </c>
      <c r="O45" s="47">
        <v>3</v>
      </c>
      <c r="P45" s="47">
        <v>5</v>
      </c>
      <c r="Q45" s="47">
        <v>3</v>
      </c>
      <c r="R45" s="47">
        <v>4</v>
      </c>
      <c r="S45" s="47">
        <v>2</v>
      </c>
      <c r="T45" s="47">
        <v>4</v>
      </c>
      <c r="U45" s="47">
        <v>3</v>
      </c>
      <c r="V45" s="6"/>
      <c r="W45" s="47">
        <v>1</v>
      </c>
      <c r="X45" s="6"/>
      <c r="Y45" s="47">
        <v>1</v>
      </c>
      <c r="Z45" s="47">
        <f t="shared" si="0"/>
        <v>125</v>
      </c>
      <c r="AC45" s="43" t="s">
        <v>60</v>
      </c>
      <c r="AD45" s="47">
        <f>ROUND(IF(AD$3&lt;$DF45,0,
IF(AD$3=$DF45+'Model Setup'!$B$7,SUMIF($AD$3:$BA$3,"="&amp;$DF45+'Model Setup'!$B$7,$B45:$Y45)+'Model Setup'!$B$8*(SUMIF($AD$3:$BA$3,"&lt;"&amp;$DF45,$B45:$Y45)+SUMIF($AD$3:$BA$3,"&gt;="&amp;$DG45,$B45:$Y45)),
IF(AD$3=$DF45+'Model Setup'!$C$7,SUMIF($AD$3:$BA$3,"="&amp;$DF45+'Model Setup'!$C$7,$B45:$Y45)+'Model Setup'!$C$8*(SUMIF($AD$3:$BA$3,"&lt;"&amp;$DF45,$B45:$Y45)+SUMIF($AD$3:$BA$3,"&gt;="&amp;$DG45,$B45:$Y45)),
IF(AD$3=$DF45+'Model Setup'!$D$7,SUMIF($AD$3:$BA$3,"="&amp;$DF45+'Model Setup'!$D$7,$B45:$Y45)+'Model Setup'!$D$8*(SUMIF($AD$3:$BA$3,"&lt;"&amp;$DF45,$B45:$Y45)+SUMIF($AD$3:$BA$3,"&gt;="&amp;$DG45,$B45:$Y45)),
IF(AD$3=$DF45+'Model Setup'!$E$7,SUMIF($AD$3:$BA$3,"="&amp;$DF45+'Model Setup'!$E$7,$B45:$Y45)+'Model Setup'!$E$8*(SUMIF($AD$3:$BA$3,"&lt;"&amp;$DF45,$B45:$Y45)+SUMIF($AD$3:$BA$3,"&gt;="&amp;$DG45,$B45:$Y45)),
IF(AD$3=$DF45+'Model Setup'!$F$7,SUMIF($AD$3:$BA$3,"="&amp;$DF45+'Model Setup'!$F$7,$B45:$Y45)+'Model Setup'!$F$8*(SUMIF($AD$3:$BA$3,"&lt;"&amp;$DF45,$B45:$Y45)+SUMIF($AD$3:$BA$3,"&gt;="&amp;$DG45,$B45:$Y45)),
IF(AD$3=$DF45+'Model Setup'!$G$7,SUMIF($AD$3:$BA$3,"="&amp;$DF45+'Model Setup'!$G$7,$B45:$Y45)+'Model Setup'!$G$8*(SUMIF($AD$3:$BA$3,"&lt;"&amp;$DF45,$B45:$Y45)+SUMIF($AD$3:$BA$3,"&gt;="&amp;$DG45,$B45:$Y45)),
IF(AD$3=$DF45+'Model Setup'!$H$7,SUMIF($AD$3:$BA$3,"="&amp;$DF45+'Model Setup'!$H$7,$B45:$Y45)+'Model Setup'!$H$8*(SUMIF($AD$3:$BA$3,"&lt;"&amp;$DF45,$B45:$Y45)+SUMIF($AD$3:$BA$3,"&gt;="&amp;$DG45,$B45:$Y45)),
IF(AD$3=$DF45+'Model Setup'!$I$7,SUMIF($AD$3:$BA$3,"="&amp;$DF45+'Model Setup'!$I$7,$B45:$Y45)+'Model Setup'!$I$8*(SUMIF($AD$3:$BA$3,"&lt;"&amp;$DF45,$B45:$Y45)+SUMIF($AD$3:$BA$3,"&gt;="&amp;$DG45,$B45:$Y45)),
IF(AD$3=$DF45+'Model Setup'!$J$7,SUMIF($AD$3:$BA$3,"="&amp;$DF45+'Model Setup'!$J$7,$B45:$Y45)+'Model Setup'!$J$8*(SUMIF($AD$3:$BA$3,"&lt;"&amp;$DF45,$B45:$Y45)+SUMIF($AD$3:$BA$3,"&gt;="&amp;$DG45,$B45:$Y45)),
IF(AD$3=$DF45+'Model Setup'!$K$7,SUMIF($AD$3:$BA$3,"="&amp;$DF45+'Model Setup'!$K$7,$B45:$Y45)+'Model Setup'!$K$8*(SUMIF($AD$3:$BA$3,"&lt;"&amp;$DF45,$B45:$Y45)+SUMIF($AD$3:$BA$3,"&gt;="&amp;$DG45,$B45:$Y45)),
IF(AD$3=$DF45+'Model Setup'!$L$7,SUMIF($AD$3:$BA$3,"="&amp;$DF45+'Model Setup'!$L$7,$B45:$Y45)+'Model Setup'!$L$8*(SUMIF($AD$3:$BA$3,"&lt;"&amp;$DF45,$B45:$Y45)+SUMIF($AD$3:$BA$3,"&gt;="&amp;$DG45,$B45:$Y45)),
IF(AD$3=$DF45+'Model Setup'!$M$7,SUMIF($AD$3:$BA$3,"="&amp;$DF45+'Model Setup'!$M$7,$B45:$Y45)+'Model Setup'!$M$8*(SUMIF($AD$3:$BA$3,"&lt;"&amp;$DF45,$B45:$Y45)+SUMIF($AD$3:$BA$3,"&gt;="&amp;$DG45,$B45:$Y45)),
IF(AD$3=$DF45+'Model Setup'!$N$7,SUMIF($AD$3:$BA$3,"="&amp;$DF45+'Model Setup'!$N$7,$B45:$Y45)+'Model Setup'!$N$8*(SUMIF($AD$3:$BA$3,"&lt;"&amp;$DF45,$B45:$Y45)+SUMIF($AD$3:$BA$3,"&gt;="&amp;$DG45,$B45:$Y45)),
IF(AD$3&lt;$DG45,B45,0))))))))))))))),0)</f>
        <v>0</v>
      </c>
      <c r="AE45" s="47">
        <f>ROUND(IF(AE$3&lt;$DF45,0,
IF(AE$3=$DF45+'Model Setup'!$B$7,SUMIF($AD$3:$BA$3,"="&amp;$DF45+'Model Setup'!$B$7,$B45:$Y45)+'Model Setup'!$B$8*(SUMIF($AD$3:$BA$3,"&lt;"&amp;$DF45,$B45:$Y45)+SUMIF($AD$3:$BA$3,"&gt;="&amp;$DG45,$B45:$Y45)),
IF(AE$3=$DF45+'Model Setup'!$C$7,SUMIF($AD$3:$BA$3,"="&amp;$DF45+'Model Setup'!$C$7,$B45:$Y45)+'Model Setup'!$C$8*(SUMIF($AD$3:$BA$3,"&lt;"&amp;$DF45,$B45:$Y45)+SUMIF($AD$3:$BA$3,"&gt;="&amp;$DG45,$B45:$Y45)),
IF(AE$3=$DF45+'Model Setup'!$D$7,SUMIF($AD$3:$BA$3,"="&amp;$DF45+'Model Setup'!$D$7,$B45:$Y45)+'Model Setup'!$D$8*(SUMIF($AD$3:$BA$3,"&lt;"&amp;$DF45,$B45:$Y45)+SUMIF($AD$3:$BA$3,"&gt;="&amp;$DG45,$B45:$Y45)),
IF(AE$3=$DF45+'Model Setup'!$E$7,SUMIF($AD$3:$BA$3,"="&amp;$DF45+'Model Setup'!$E$7,$B45:$Y45)+'Model Setup'!$E$8*(SUMIF($AD$3:$BA$3,"&lt;"&amp;$DF45,$B45:$Y45)+SUMIF($AD$3:$BA$3,"&gt;="&amp;$DG45,$B45:$Y45)),
IF(AE$3=$DF45+'Model Setup'!$F$7,SUMIF($AD$3:$BA$3,"="&amp;$DF45+'Model Setup'!$F$7,$B45:$Y45)+'Model Setup'!$F$8*(SUMIF($AD$3:$BA$3,"&lt;"&amp;$DF45,$B45:$Y45)+SUMIF($AD$3:$BA$3,"&gt;="&amp;$DG45,$B45:$Y45)),
IF(AE$3=$DF45+'Model Setup'!$G$7,SUMIF($AD$3:$BA$3,"="&amp;$DF45+'Model Setup'!$G$7,$B45:$Y45)+'Model Setup'!$G$8*(SUMIF($AD$3:$BA$3,"&lt;"&amp;$DF45,$B45:$Y45)+SUMIF($AD$3:$BA$3,"&gt;="&amp;$DG45,$B45:$Y45)),
IF(AE$3=$DF45+'Model Setup'!$H$7,SUMIF($AD$3:$BA$3,"="&amp;$DF45+'Model Setup'!$H$7,$B45:$Y45)+'Model Setup'!$H$8*(SUMIF($AD$3:$BA$3,"&lt;"&amp;$DF45,$B45:$Y45)+SUMIF($AD$3:$BA$3,"&gt;="&amp;$DG45,$B45:$Y45)),
IF(AE$3=$DF45+'Model Setup'!$I$7,SUMIF($AD$3:$BA$3,"="&amp;$DF45+'Model Setup'!$I$7,$B45:$Y45)+'Model Setup'!$I$8*(SUMIF($AD$3:$BA$3,"&lt;"&amp;$DF45,$B45:$Y45)+SUMIF($AD$3:$BA$3,"&gt;="&amp;$DG45,$B45:$Y45)),
IF(AE$3=$DF45+'Model Setup'!$J$7,SUMIF($AD$3:$BA$3,"="&amp;$DF45+'Model Setup'!$J$7,$B45:$Y45)+'Model Setup'!$J$8*(SUMIF($AD$3:$BA$3,"&lt;"&amp;$DF45,$B45:$Y45)+SUMIF($AD$3:$BA$3,"&gt;="&amp;$DG45,$B45:$Y45)),
IF(AE$3=$DF45+'Model Setup'!$K$7,SUMIF($AD$3:$BA$3,"="&amp;$DF45+'Model Setup'!$K$7,$B45:$Y45)+'Model Setup'!$K$8*(SUMIF($AD$3:$BA$3,"&lt;"&amp;$DF45,$B45:$Y45)+SUMIF($AD$3:$BA$3,"&gt;="&amp;$DG45,$B45:$Y45)),
IF(AE$3=$DF45+'Model Setup'!$L$7,SUMIF($AD$3:$BA$3,"="&amp;$DF45+'Model Setup'!$L$7,$B45:$Y45)+'Model Setup'!$L$8*(SUMIF($AD$3:$BA$3,"&lt;"&amp;$DF45,$B45:$Y45)+SUMIF($AD$3:$BA$3,"&gt;="&amp;$DG45,$B45:$Y45)),
IF(AE$3=$DF45+'Model Setup'!$M$7,SUMIF($AD$3:$BA$3,"="&amp;$DF45+'Model Setup'!$M$7,$B45:$Y45)+'Model Setup'!$M$8*(SUMIF($AD$3:$BA$3,"&lt;"&amp;$DF45,$B45:$Y45)+SUMIF($AD$3:$BA$3,"&gt;="&amp;$DG45,$B45:$Y45)),
IF(AE$3=$DF45+'Model Setup'!$N$7,SUMIF($AD$3:$BA$3,"="&amp;$DF45+'Model Setup'!$N$7,$B45:$Y45)+'Model Setup'!$N$8*(SUMIF($AD$3:$BA$3,"&lt;"&amp;$DF45,$B45:$Y45)+SUMIF($AD$3:$BA$3,"&gt;="&amp;$DG45,$B45:$Y45)),
IF(AE$3&lt;$DG45,C45,0))))))))))))))),0)</f>
        <v>0</v>
      </c>
      <c r="AF45" s="47">
        <f>ROUND(IF(AF$3&lt;$DF45,0,
IF(AF$3=$DF45+'Model Setup'!$B$7,SUMIF($AD$3:$BA$3,"="&amp;$DF45+'Model Setup'!$B$7,$B45:$Y45)+'Model Setup'!$B$8*(SUMIF($AD$3:$BA$3,"&lt;"&amp;$DF45,$B45:$Y45)+SUMIF($AD$3:$BA$3,"&gt;="&amp;$DG45,$B45:$Y45)),
IF(AF$3=$DF45+'Model Setup'!$C$7,SUMIF($AD$3:$BA$3,"="&amp;$DF45+'Model Setup'!$C$7,$B45:$Y45)+'Model Setup'!$C$8*(SUMIF($AD$3:$BA$3,"&lt;"&amp;$DF45,$B45:$Y45)+SUMIF($AD$3:$BA$3,"&gt;="&amp;$DG45,$B45:$Y45)),
IF(AF$3=$DF45+'Model Setup'!$D$7,SUMIF($AD$3:$BA$3,"="&amp;$DF45+'Model Setup'!$D$7,$B45:$Y45)+'Model Setup'!$D$8*(SUMIF($AD$3:$BA$3,"&lt;"&amp;$DF45,$B45:$Y45)+SUMIF($AD$3:$BA$3,"&gt;="&amp;$DG45,$B45:$Y45)),
IF(AF$3=$DF45+'Model Setup'!$E$7,SUMIF($AD$3:$BA$3,"="&amp;$DF45+'Model Setup'!$E$7,$B45:$Y45)+'Model Setup'!$E$8*(SUMIF($AD$3:$BA$3,"&lt;"&amp;$DF45,$B45:$Y45)+SUMIF($AD$3:$BA$3,"&gt;="&amp;$DG45,$B45:$Y45)),
IF(AF$3=$DF45+'Model Setup'!$F$7,SUMIF($AD$3:$BA$3,"="&amp;$DF45+'Model Setup'!$F$7,$B45:$Y45)+'Model Setup'!$F$8*(SUMIF($AD$3:$BA$3,"&lt;"&amp;$DF45,$B45:$Y45)+SUMIF($AD$3:$BA$3,"&gt;="&amp;$DG45,$B45:$Y45)),
IF(AF$3=$DF45+'Model Setup'!$G$7,SUMIF($AD$3:$BA$3,"="&amp;$DF45+'Model Setup'!$G$7,$B45:$Y45)+'Model Setup'!$G$8*(SUMIF($AD$3:$BA$3,"&lt;"&amp;$DF45,$B45:$Y45)+SUMIF($AD$3:$BA$3,"&gt;="&amp;$DG45,$B45:$Y45)),
IF(AF$3=$DF45+'Model Setup'!$H$7,SUMIF($AD$3:$BA$3,"="&amp;$DF45+'Model Setup'!$H$7,$B45:$Y45)+'Model Setup'!$H$8*(SUMIF($AD$3:$BA$3,"&lt;"&amp;$DF45,$B45:$Y45)+SUMIF($AD$3:$BA$3,"&gt;="&amp;$DG45,$B45:$Y45)),
IF(AF$3=$DF45+'Model Setup'!$I$7,SUMIF($AD$3:$BA$3,"="&amp;$DF45+'Model Setup'!$I$7,$B45:$Y45)+'Model Setup'!$I$8*(SUMIF($AD$3:$BA$3,"&lt;"&amp;$DF45,$B45:$Y45)+SUMIF($AD$3:$BA$3,"&gt;="&amp;$DG45,$B45:$Y45)),
IF(AF$3=$DF45+'Model Setup'!$J$7,SUMIF($AD$3:$BA$3,"="&amp;$DF45+'Model Setup'!$J$7,$B45:$Y45)+'Model Setup'!$J$8*(SUMIF($AD$3:$BA$3,"&lt;"&amp;$DF45,$B45:$Y45)+SUMIF($AD$3:$BA$3,"&gt;="&amp;$DG45,$B45:$Y45)),
IF(AF$3=$DF45+'Model Setup'!$K$7,SUMIF($AD$3:$BA$3,"="&amp;$DF45+'Model Setup'!$K$7,$B45:$Y45)+'Model Setup'!$K$8*(SUMIF($AD$3:$BA$3,"&lt;"&amp;$DF45,$B45:$Y45)+SUMIF($AD$3:$BA$3,"&gt;="&amp;$DG45,$B45:$Y45)),
IF(AF$3=$DF45+'Model Setup'!$L$7,SUMIF($AD$3:$BA$3,"="&amp;$DF45+'Model Setup'!$L$7,$B45:$Y45)+'Model Setup'!$L$8*(SUMIF($AD$3:$BA$3,"&lt;"&amp;$DF45,$B45:$Y45)+SUMIF($AD$3:$BA$3,"&gt;="&amp;$DG45,$B45:$Y45)),
IF(AF$3=$DF45+'Model Setup'!$M$7,SUMIF($AD$3:$BA$3,"="&amp;$DF45+'Model Setup'!$M$7,$B45:$Y45)+'Model Setup'!$M$8*(SUMIF($AD$3:$BA$3,"&lt;"&amp;$DF45,$B45:$Y45)+SUMIF($AD$3:$BA$3,"&gt;="&amp;$DG45,$B45:$Y45)),
IF(AF$3=$DF45+'Model Setup'!$N$7,SUMIF($AD$3:$BA$3,"="&amp;$DF45+'Model Setup'!$N$7,$B45:$Y45)+'Model Setup'!$N$8*(SUMIF($AD$3:$BA$3,"&lt;"&amp;$DF45,$B45:$Y45)+SUMIF($AD$3:$BA$3,"&gt;="&amp;$DG45,$B45:$Y45)),
IF(AF$3&lt;$DG45,D45,0))))))))))))))),0)</f>
        <v>0</v>
      </c>
      <c r="AG45" s="47">
        <f>ROUND(IF(AG$3&lt;$DF45,0,
IF(AG$3=$DF45+'Model Setup'!$B$7,SUMIF($AD$3:$BA$3,"="&amp;$DF45+'Model Setup'!$B$7,$B45:$Y45)+'Model Setup'!$B$8*(SUMIF($AD$3:$BA$3,"&lt;"&amp;$DF45,$B45:$Y45)+SUMIF($AD$3:$BA$3,"&gt;="&amp;$DG45,$B45:$Y45)),
IF(AG$3=$DF45+'Model Setup'!$C$7,SUMIF($AD$3:$BA$3,"="&amp;$DF45+'Model Setup'!$C$7,$B45:$Y45)+'Model Setup'!$C$8*(SUMIF($AD$3:$BA$3,"&lt;"&amp;$DF45,$B45:$Y45)+SUMIF($AD$3:$BA$3,"&gt;="&amp;$DG45,$B45:$Y45)),
IF(AG$3=$DF45+'Model Setup'!$D$7,SUMIF($AD$3:$BA$3,"="&amp;$DF45+'Model Setup'!$D$7,$B45:$Y45)+'Model Setup'!$D$8*(SUMIF($AD$3:$BA$3,"&lt;"&amp;$DF45,$B45:$Y45)+SUMIF($AD$3:$BA$3,"&gt;="&amp;$DG45,$B45:$Y45)),
IF(AG$3=$DF45+'Model Setup'!$E$7,SUMIF($AD$3:$BA$3,"="&amp;$DF45+'Model Setup'!$E$7,$B45:$Y45)+'Model Setup'!$E$8*(SUMIF($AD$3:$BA$3,"&lt;"&amp;$DF45,$B45:$Y45)+SUMIF($AD$3:$BA$3,"&gt;="&amp;$DG45,$B45:$Y45)),
IF(AG$3=$DF45+'Model Setup'!$F$7,SUMIF($AD$3:$BA$3,"="&amp;$DF45+'Model Setup'!$F$7,$B45:$Y45)+'Model Setup'!$F$8*(SUMIF($AD$3:$BA$3,"&lt;"&amp;$DF45,$B45:$Y45)+SUMIF($AD$3:$BA$3,"&gt;="&amp;$DG45,$B45:$Y45)),
IF(AG$3=$DF45+'Model Setup'!$G$7,SUMIF($AD$3:$BA$3,"="&amp;$DF45+'Model Setup'!$G$7,$B45:$Y45)+'Model Setup'!$G$8*(SUMIF($AD$3:$BA$3,"&lt;"&amp;$DF45,$B45:$Y45)+SUMIF($AD$3:$BA$3,"&gt;="&amp;$DG45,$B45:$Y45)),
IF(AG$3=$DF45+'Model Setup'!$H$7,SUMIF($AD$3:$BA$3,"="&amp;$DF45+'Model Setup'!$H$7,$B45:$Y45)+'Model Setup'!$H$8*(SUMIF($AD$3:$BA$3,"&lt;"&amp;$DF45,$B45:$Y45)+SUMIF($AD$3:$BA$3,"&gt;="&amp;$DG45,$B45:$Y45)),
IF(AG$3=$DF45+'Model Setup'!$I$7,SUMIF($AD$3:$BA$3,"="&amp;$DF45+'Model Setup'!$I$7,$B45:$Y45)+'Model Setup'!$I$8*(SUMIF($AD$3:$BA$3,"&lt;"&amp;$DF45,$B45:$Y45)+SUMIF($AD$3:$BA$3,"&gt;="&amp;$DG45,$B45:$Y45)),
IF(AG$3=$DF45+'Model Setup'!$J$7,SUMIF($AD$3:$BA$3,"="&amp;$DF45+'Model Setup'!$J$7,$B45:$Y45)+'Model Setup'!$J$8*(SUMIF($AD$3:$BA$3,"&lt;"&amp;$DF45,$B45:$Y45)+SUMIF($AD$3:$BA$3,"&gt;="&amp;$DG45,$B45:$Y45)),
IF(AG$3=$DF45+'Model Setup'!$K$7,SUMIF($AD$3:$BA$3,"="&amp;$DF45+'Model Setup'!$K$7,$B45:$Y45)+'Model Setup'!$K$8*(SUMIF($AD$3:$BA$3,"&lt;"&amp;$DF45,$B45:$Y45)+SUMIF($AD$3:$BA$3,"&gt;="&amp;$DG45,$B45:$Y45)),
IF(AG$3=$DF45+'Model Setup'!$L$7,SUMIF($AD$3:$BA$3,"="&amp;$DF45+'Model Setup'!$L$7,$B45:$Y45)+'Model Setup'!$L$8*(SUMIF($AD$3:$BA$3,"&lt;"&amp;$DF45,$B45:$Y45)+SUMIF($AD$3:$BA$3,"&gt;="&amp;$DG45,$B45:$Y45)),
IF(AG$3=$DF45+'Model Setup'!$M$7,SUMIF($AD$3:$BA$3,"="&amp;$DF45+'Model Setup'!$M$7,$B45:$Y45)+'Model Setup'!$M$8*(SUMIF($AD$3:$BA$3,"&lt;"&amp;$DF45,$B45:$Y45)+SUMIF($AD$3:$BA$3,"&gt;="&amp;$DG45,$B45:$Y45)),
IF(AG$3=$DF45+'Model Setup'!$N$7,SUMIF($AD$3:$BA$3,"="&amp;$DF45+'Model Setup'!$N$7,$B45:$Y45)+'Model Setup'!$N$8*(SUMIF($AD$3:$BA$3,"&lt;"&amp;$DF45,$B45:$Y45)+SUMIF($AD$3:$BA$3,"&gt;="&amp;$DG45,$B45:$Y45)),
IF(AG$3&lt;$DG45,E45,0))))))))))))))),0)</f>
        <v>0</v>
      </c>
      <c r="AH45" s="47">
        <f>ROUND(IF(AH$3&lt;$DF45,0,
IF(AH$3=$DF45+'Model Setup'!$B$7,SUMIF($AD$3:$BA$3,"="&amp;$DF45+'Model Setup'!$B$7,$B45:$Y45)+'Model Setup'!$B$8*(SUMIF($AD$3:$BA$3,"&lt;"&amp;$DF45,$B45:$Y45)+SUMIF($AD$3:$BA$3,"&gt;="&amp;$DG45,$B45:$Y45)),
IF(AH$3=$DF45+'Model Setup'!$C$7,SUMIF($AD$3:$BA$3,"="&amp;$DF45+'Model Setup'!$C$7,$B45:$Y45)+'Model Setup'!$C$8*(SUMIF($AD$3:$BA$3,"&lt;"&amp;$DF45,$B45:$Y45)+SUMIF($AD$3:$BA$3,"&gt;="&amp;$DG45,$B45:$Y45)),
IF(AH$3=$DF45+'Model Setup'!$D$7,SUMIF($AD$3:$BA$3,"="&amp;$DF45+'Model Setup'!$D$7,$B45:$Y45)+'Model Setup'!$D$8*(SUMIF($AD$3:$BA$3,"&lt;"&amp;$DF45,$B45:$Y45)+SUMIF($AD$3:$BA$3,"&gt;="&amp;$DG45,$B45:$Y45)),
IF(AH$3=$DF45+'Model Setup'!$E$7,SUMIF($AD$3:$BA$3,"="&amp;$DF45+'Model Setup'!$E$7,$B45:$Y45)+'Model Setup'!$E$8*(SUMIF($AD$3:$BA$3,"&lt;"&amp;$DF45,$B45:$Y45)+SUMIF($AD$3:$BA$3,"&gt;="&amp;$DG45,$B45:$Y45)),
IF(AH$3=$DF45+'Model Setup'!$F$7,SUMIF($AD$3:$BA$3,"="&amp;$DF45+'Model Setup'!$F$7,$B45:$Y45)+'Model Setup'!$F$8*(SUMIF($AD$3:$BA$3,"&lt;"&amp;$DF45,$B45:$Y45)+SUMIF($AD$3:$BA$3,"&gt;="&amp;$DG45,$B45:$Y45)),
IF(AH$3=$DF45+'Model Setup'!$G$7,SUMIF($AD$3:$BA$3,"="&amp;$DF45+'Model Setup'!$G$7,$B45:$Y45)+'Model Setup'!$G$8*(SUMIF($AD$3:$BA$3,"&lt;"&amp;$DF45,$B45:$Y45)+SUMIF($AD$3:$BA$3,"&gt;="&amp;$DG45,$B45:$Y45)),
IF(AH$3=$DF45+'Model Setup'!$H$7,SUMIF($AD$3:$BA$3,"="&amp;$DF45+'Model Setup'!$H$7,$B45:$Y45)+'Model Setup'!$H$8*(SUMIF($AD$3:$BA$3,"&lt;"&amp;$DF45,$B45:$Y45)+SUMIF($AD$3:$BA$3,"&gt;="&amp;$DG45,$B45:$Y45)),
IF(AH$3=$DF45+'Model Setup'!$I$7,SUMIF($AD$3:$BA$3,"="&amp;$DF45+'Model Setup'!$I$7,$B45:$Y45)+'Model Setup'!$I$8*(SUMIF($AD$3:$BA$3,"&lt;"&amp;$DF45,$B45:$Y45)+SUMIF($AD$3:$BA$3,"&gt;="&amp;$DG45,$B45:$Y45)),
IF(AH$3=$DF45+'Model Setup'!$J$7,SUMIF($AD$3:$BA$3,"="&amp;$DF45+'Model Setup'!$J$7,$B45:$Y45)+'Model Setup'!$J$8*(SUMIF($AD$3:$BA$3,"&lt;"&amp;$DF45,$B45:$Y45)+SUMIF($AD$3:$BA$3,"&gt;="&amp;$DG45,$B45:$Y45)),
IF(AH$3=$DF45+'Model Setup'!$K$7,SUMIF($AD$3:$BA$3,"="&amp;$DF45+'Model Setup'!$K$7,$B45:$Y45)+'Model Setup'!$K$8*(SUMIF($AD$3:$BA$3,"&lt;"&amp;$DF45,$B45:$Y45)+SUMIF($AD$3:$BA$3,"&gt;="&amp;$DG45,$B45:$Y45)),
IF(AH$3=$DF45+'Model Setup'!$L$7,SUMIF($AD$3:$BA$3,"="&amp;$DF45+'Model Setup'!$L$7,$B45:$Y45)+'Model Setup'!$L$8*(SUMIF($AD$3:$BA$3,"&lt;"&amp;$DF45,$B45:$Y45)+SUMIF($AD$3:$BA$3,"&gt;="&amp;$DG45,$B45:$Y45)),
IF(AH$3=$DF45+'Model Setup'!$M$7,SUMIF($AD$3:$BA$3,"="&amp;$DF45+'Model Setup'!$M$7,$B45:$Y45)+'Model Setup'!$M$8*(SUMIF($AD$3:$BA$3,"&lt;"&amp;$DF45,$B45:$Y45)+SUMIF($AD$3:$BA$3,"&gt;="&amp;$DG45,$B45:$Y45)),
IF(AH$3=$DF45+'Model Setup'!$N$7,SUMIF($AD$3:$BA$3,"="&amp;$DF45+'Model Setup'!$N$7,$B45:$Y45)+'Model Setup'!$N$8*(SUMIF($AD$3:$BA$3,"&lt;"&amp;$DF45,$B45:$Y45)+SUMIF($AD$3:$BA$3,"&gt;="&amp;$DG45,$B45:$Y45)),
IF(AH$3&lt;$DG45,F45,0))))))))))))))),0)</f>
        <v>0</v>
      </c>
      <c r="AI45" s="47">
        <f>ROUND(IF(AI$3&lt;$DF45,0,
IF(AI$3=$DF45+'Model Setup'!$B$7,SUMIF($AD$3:$BA$3,"="&amp;$DF45+'Model Setup'!$B$7,$B45:$Y45)+'Model Setup'!$B$8*(SUMIF($AD$3:$BA$3,"&lt;"&amp;$DF45,$B45:$Y45)+SUMIF($AD$3:$BA$3,"&gt;="&amp;$DG45,$B45:$Y45)),
IF(AI$3=$DF45+'Model Setup'!$C$7,SUMIF($AD$3:$BA$3,"="&amp;$DF45+'Model Setup'!$C$7,$B45:$Y45)+'Model Setup'!$C$8*(SUMIF($AD$3:$BA$3,"&lt;"&amp;$DF45,$B45:$Y45)+SUMIF($AD$3:$BA$3,"&gt;="&amp;$DG45,$B45:$Y45)),
IF(AI$3=$DF45+'Model Setup'!$D$7,SUMIF($AD$3:$BA$3,"="&amp;$DF45+'Model Setup'!$D$7,$B45:$Y45)+'Model Setup'!$D$8*(SUMIF($AD$3:$BA$3,"&lt;"&amp;$DF45,$B45:$Y45)+SUMIF($AD$3:$BA$3,"&gt;="&amp;$DG45,$B45:$Y45)),
IF(AI$3=$DF45+'Model Setup'!$E$7,SUMIF($AD$3:$BA$3,"="&amp;$DF45+'Model Setup'!$E$7,$B45:$Y45)+'Model Setup'!$E$8*(SUMIF($AD$3:$BA$3,"&lt;"&amp;$DF45,$B45:$Y45)+SUMIF($AD$3:$BA$3,"&gt;="&amp;$DG45,$B45:$Y45)),
IF(AI$3=$DF45+'Model Setup'!$F$7,SUMIF($AD$3:$BA$3,"="&amp;$DF45+'Model Setup'!$F$7,$B45:$Y45)+'Model Setup'!$F$8*(SUMIF($AD$3:$BA$3,"&lt;"&amp;$DF45,$B45:$Y45)+SUMIF($AD$3:$BA$3,"&gt;="&amp;$DG45,$B45:$Y45)),
IF(AI$3=$DF45+'Model Setup'!$G$7,SUMIF($AD$3:$BA$3,"="&amp;$DF45+'Model Setup'!$G$7,$B45:$Y45)+'Model Setup'!$G$8*(SUMIF($AD$3:$BA$3,"&lt;"&amp;$DF45,$B45:$Y45)+SUMIF($AD$3:$BA$3,"&gt;="&amp;$DG45,$B45:$Y45)),
IF(AI$3=$DF45+'Model Setup'!$H$7,SUMIF($AD$3:$BA$3,"="&amp;$DF45+'Model Setup'!$H$7,$B45:$Y45)+'Model Setup'!$H$8*(SUMIF($AD$3:$BA$3,"&lt;"&amp;$DF45,$B45:$Y45)+SUMIF($AD$3:$BA$3,"&gt;="&amp;$DG45,$B45:$Y45)),
IF(AI$3=$DF45+'Model Setup'!$I$7,SUMIF($AD$3:$BA$3,"="&amp;$DF45+'Model Setup'!$I$7,$B45:$Y45)+'Model Setup'!$I$8*(SUMIF($AD$3:$BA$3,"&lt;"&amp;$DF45,$B45:$Y45)+SUMIF($AD$3:$BA$3,"&gt;="&amp;$DG45,$B45:$Y45)),
IF(AI$3=$DF45+'Model Setup'!$J$7,SUMIF($AD$3:$BA$3,"="&amp;$DF45+'Model Setup'!$J$7,$B45:$Y45)+'Model Setup'!$J$8*(SUMIF($AD$3:$BA$3,"&lt;"&amp;$DF45,$B45:$Y45)+SUMIF($AD$3:$BA$3,"&gt;="&amp;$DG45,$B45:$Y45)),
IF(AI$3=$DF45+'Model Setup'!$K$7,SUMIF($AD$3:$BA$3,"="&amp;$DF45+'Model Setup'!$K$7,$B45:$Y45)+'Model Setup'!$K$8*(SUMIF($AD$3:$BA$3,"&lt;"&amp;$DF45,$B45:$Y45)+SUMIF($AD$3:$BA$3,"&gt;="&amp;$DG45,$B45:$Y45)),
IF(AI$3=$DF45+'Model Setup'!$L$7,SUMIF($AD$3:$BA$3,"="&amp;$DF45+'Model Setup'!$L$7,$B45:$Y45)+'Model Setup'!$L$8*(SUMIF($AD$3:$BA$3,"&lt;"&amp;$DF45,$B45:$Y45)+SUMIF($AD$3:$BA$3,"&gt;="&amp;$DG45,$B45:$Y45)),
IF(AI$3=$DF45+'Model Setup'!$M$7,SUMIF($AD$3:$BA$3,"="&amp;$DF45+'Model Setup'!$M$7,$B45:$Y45)+'Model Setup'!$M$8*(SUMIF($AD$3:$BA$3,"&lt;"&amp;$DF45,$B45:$Y45)+SUMIF($AD$3:$BA$3,"&gt;="&amp;$DG45,$B45:$Y45)),
IF(AI$3=$DF45+'Model Setup'!$N$7,SUMIF($AD$3:$BA$3,"="&amp;$DF45+'Model Setup'!$N$7,$B45:$Y45)+'Model Setup'!$N$8*(SUMIF($AD$3:$BA$3,"&lt;"&amp;$DF45,$B45:$Y45)+SUMIF($AD$3:$BA$3,"&gt;="&amp;$DG45,$B45:$Y45)),
IF(AI$3&lt;$DG45,G45,0))))))))))))))),0)</f>
        <v>0</v>
      </c>
      <c r="AJ45" s="47">
        <f>ROUND(IF(AJ$3&lt;$DF45,0,
IF(AJ$3=$DF45+'Model Setup'!$B$7,SUMIF($AD$3:$BA$3,"="&amp;$DF45+'Model Setup'!$B$7,$B45:$Y45)+'Model Setup'!$B$8*(SUMIF($AD$3:$BA$3,"&lt;"&amp;$DF45,$B45:$Y45)+SUMIF($AD$3:$BA$3,"&gt;="&amp;$DG45,$B45:$Y45)),
IF(AJ$3=$DF45+'Model Setup'!$C$7,SUMIF($AD$3:$BA$3,"="&amp;$DF45+'Model Setup'!$C$7,$B45:$Y45)+'Model Setup'!$C$8*(SUMIF($AD$3:$BA$3,"&lt;"&amp;$DF45,$B45:$Y45)+SUMIF($AD$3:$BA$3,"&gt;="&amp;$DG45,$B45:$Y45)),
IF(AJ$3=$DF45+'Model Setup'!$D$7,SUMIF($AD$3:$BA$3,"="&amp;$DF45+'Model Setup'!$D$7,$B45:$Y45)+'Model Setup'!$D$8*(SUMIF($AD$3:$BA$3,"&lt;"&amp;$DF45,$B45:$Y45)+SUMIF($AD$3:$BA$3,"&gt;="&amp;$DG45,$B45:$Y45)),
IF(AJ$3=$DF45+'Model Setup'!$E$7,SUMIF($AD$3:$BA$3,"="&amp;$DF45+'Model Setup'!$E$7,$B45:$Y45)+'Model Setup'!$E$8*(SUMIF($AD$3:$BA$3,"&lt;"&amp;$DF45,$B45:$Y45)+SUMIF($AD$3:$BA$3,"&gt;="&amp;$DG45,$B45:$Y45)),
IF(AJ$3=$DF45+'Model Setup'!$F$7,SUMIF($AD$3:$BA$3,"="&amp;$DF45+'Model Setup'!$F$7,$B45:$Y45)+'Model Setup'!$F$8*(SUMIF($AD$3:$BA$3,"&lt;"&amp;$DF45,$B45:$Y45)+SUMIF($AD$3:$BA$3,"&gt;="&amp;$DG45,$B45:$Y45)),
IF(AJ$3=$DF45+'Model Setup'!$G$7,SUMIF($AD$3:$BA$3,"="&amp;$DF45+'Model Setup'!$G$7,$B45:$Y45)+'Model Setup'!$G$8*(SUMIF($AD$3:$BA$3,"&lt;"&amp;$DF45,$B45:$Y45)+SUMIF($AD$3:$BA$3,"&gt;="&amp;$DG45,$B45:$Y45)),
IF(AJ$3=$DF45+'Model Setup'!$H$7,SUMIF($AD$3:$BA$3,"="&amp;$DF45+'Model Setup'!$H$7,$B45:$Y45)+'Model Setup'!$H$8*(SUMIF($AD$3:$BA$3,"&lt;"&amp;$DF45,$B45:$Y45)+SUMIF($AD$3:$BA$3,"&gt;="&amp;$DG45,$B45:$Y45)),
IF(AJ$3=$DF45+'Model Setup'!$I$7,SUMIF($AD$3:$BA$3,"="&amp;$DF45+'Model Setup'!$I$7,$B45:$Y45)+'Model Setup'!$I$8*(SUMIF($AD$3:$BA$3,"&lt;"&amp;$DF45,$B45:$Y45)+SUMIF($AD$3:$BA$3,"&gt;="&amp;$DG45,$B45:$Y45)),
IF(AJ$3=$DF45+'Model Setup'!$J$7,SUMIF($AD$3:$BA$3,"="&amp;$DF45+'Model Setup'!$J$7,$B45:$Y45)+'Model Setup'!$J$8*(SUMIF($AD$3:$BA$3,"&lt;"&amp;$DF45,$B45:$Y45)+SUMIF($AD$3:$BA$3,"&gt;="&amp;$DG45,$B45:$Y45)),
IF(AJ$3=$DF45+'Model Setup'!$K$7,SUMIF($AD$3:$BA$3,"="&amp;$DF45+'Model Setup'!$K$7,$B45:$Y45)+'Model Setup'!$K$8*(SUMIF($AD$3:$BA$3,"&lt;"&amp;$DF45,$B45:$Y45)+SUMIF($AD$3:$BA$3,"&gt;="&amp;$DG45,$B45:$Y45)),
IF(AJ$3=$DF45+'Model Setup'!$L$7,SUMIF($AD$3:$BA$3,"="&amp;$DF45+'Model Setup'!$L$7,$B45:$Y45)+'Model Setup'!$L$8*(SUMIF($AD$3:$BA$3,"&lt;"&amp;$DF45,$B45:$Y45)+SUMIF($AD$3:$BA$3,"&gt;="&amp;$DG45,$B45:$Y45)),
IF(AJ$3=$DF45+'Model Setup'!$M$7,SUMIF($AD$3:$BA$3,"="&amp;$DF45+'Model Setup'!$M$7,$B45:$Y45)+'Model Setup'!$M$8*(SUMIF($AD$3:$BA$3,"&lt;"&amp;$DF45,$B45:$Y45)+SUMIF($AD$3:$BA$3,"&gt;="&amp;$DG45,$B45:$Y45)),
IF(AJ$3=$DF45+'Model Setup'!$N$7,SUMIF($AD$3:$BA$3,"="&amp;$DF45+'Model Setup'!$N$7,$B45:$Y45)+'Model Setup'!$N$8*(SUMIF($AD$3:$BA$3,"&lt;"&amp;$DF45,$B45:$Y45)+SUMIF($AD$3:$BA$3,"&gt;="&amp;$DG45,$B45:$Y45)),
IF(AJ$3&lt;$DG45,H45,0))))))))))))))),0)</f>
        <v>0</v>
      </c>
      <c r="AK45" s="47">
        <f>ROUND(IF(AK$3&lt;$DF45,0,
IF(AK$3=$DF45+'Model Setup'!$B$7,SUMIF($AD$3:$BA$3,"="&amp;$DF45+'Model Setup'!$B$7,$B45:$Y45)+'Model Setup'!$B$8*(SUMIF($AD$3:$BA$3,"&lt;"&amp;$DF45,$B45:$Y45)+SUMIF($AD$3:$BA$3,"&gt;="&amp;$DG45,$B45:$Y45)),
IF(AK$3=$DF45+'Model Setup'!$C$7,SUMIF($AD$3:$BA$3,"="&amp;$DF45+'Model Setup'!$C$7,$B45:$Y45)+'Model Setup'!$C$8*(SUMIF($AD$3:$BA$3,"&lt;"&amp;$DF45,$B45:$Y45)+SUMIF($AD$3:$BA$3,"&gt;="&amp;$DG45,$B45:$Y45)),
IF(AK$3=$DF45+'Model Setup'!$D$7,SUMIF($AD$3:$BA$3,"="&amp;$DF45+'Model Setup'!$D$7,$B45:$Y45)+'Model Setup'!$D$8*(SUMIF($AD$3:$BA$3,"&lt;"&amp;$DF45,$B45:$Y45)+SUMIF($AD$3:$BA$3,"&gt;="&amp;$DG45,$B45:$Y45)),
IF(AK$3=$DF45+'Model Setup'!$E$7,SUMIF($AD$3:$BA$3,"="&amp;$DF45+'Model Setup'!$E$7,$B45:$Y45)+'Model Setup'!$E$8*(SUMIF($AD$3:$BA$3,"&lt;"&amp;$DF45,$B45:$Y45)+SUMIF($AD$3:$BA$3,"&gt;="&amp;$DG45,$B45:$Y45)),
IF(AK$3=$DF45+'Model Setup'!$F$7,SUMIF($AD$3:$BA$3,"="&amp;$DF45+'Model Setup'!$F$7,$B45:$Y45)+'Model Setup'!$F$8*(SUMIF($AD$3:$BA$3,"&lt;"&amp;$DF45,$B45:$Y45)+SUMIF($AD$3:$BA$3,"&gt;="&amp;$DG45,$B45:$Y45)),
IF(AK$3=$DF45+'Model Setup'!$G$7,SUMIF($AD$3:$BA$3,"="&amp;$DF45+'Model Setup'!$G$7,$B45:$Y45)+'Model Setup'!$G$8*(SUMIF($AD$3:$BA$3,"&lt;"&amp;$DF45,$B45:$Y45)+SUMIF($AD$3:$BA$3,"&gt;="&amp;$DG45,$B45:$Y45)),
IF(AK$3=$DF45+'Model Setup'!$H$7,SUMIF($AD$3:$BA$3,"="&amp;$DF45+'Model Setup'!$H$7,$B45:$Y45)+'Model Setup'!$H$8*(SUMIF($AD$3:$BA$3,"&lt;"&amp;$DF45,$B45:$Y45)+SUMIF($AD$3:$BA$3,"&gt;="&amp;$DG45,$B45:$Y45)),
IF(AK$3=$DF45+'Model Setup'!$I$7,SUMIF($AD$3:$BA$3,"="&amp;$DF45+'Model Setup'!$I$7,$B45:$Y45)+'Model Setup'!$I$8*(SUMIF($AD$3:$BA$3,"&lt;"&amp;$DF45,$B45:$Y45)+SUMIF($AD$3:$BA$3,"&gt;="&amp;$DG45,$B45:$Y45)),
IF(AK$3=$DF45+'Model Setup'!$J$7,SUMIF($AD$3:$BA$3,"="&amp;$DF45+'Model Setup'!$J$7,$B45:$Y45)+'Model Setup'!$J$8*(SUMIF($AD$3:$BA$3,"&lt;"&amp;$DF45,$B45:$Y45)+SUMIF($AD$3:$BA$3,"&gt;="&amp;$DG45,$B45:$Y45)),
IF(AK$3=$DF45+'Model Setup'!$K$7,SUMIF($AD$3:$BA$3,"="&amp;$DF45+'Model Setup'!$K$7,$B45:$Y45)+'Model Setup'!$K$8*(SUMIF($AD$3:$BA$3,"&lt;"&amp;$DF45,$B45:$Y45)+SUMIF($AD$3:$BA$3,"&gt;="&amp;$DG45,$B45:$Y45)),
IF(AK$3=$DF45+'Model Setup'!$L$7,SUMIF($AD$3:$BA$3,"="&amp;$DF45+'Model Setup'!$L$7,$B45:$Y45)+'Model Setup'!$L$8*(SUMIF($AD$3:$BA$3,"&lt;"&amp;$DF45,$B45:$Y45)+SUMIF($AD$3:$BA$3,"&gt;="&amp;$DG45,$B45:$Y45)),
IF(AK$3=$DF45+'Model Setup'!$M$7,SUMIF($AD$3:$BA$3,"="&amp;$DF45+'Model Setup'!$M$7,$B45:$Y45)+'Model Setup'!$M$8*(SUMIF($AD$3:$BA$3,"&lt;"&amp;$DF45,$B45:$Y45)+SUMIF($AD$3:$BA$3,"&gt;="&amp;$DG45,$B45:$Y45)),
IF(AK$3=$DF45+'Model Setup'!$N$7,SUMIF($AD$3:$BA$3,"="&amp;$DF45+'Model Setup'!$N$7,$B45:$Y45)+'Model Setup'!$N$8*(SUMIF($AD$3:$BA$3,"&lt;"&amp;$DF45,$B45:$Y45)+SUMIF($AD$3:$BA$3,"&gt;="&amp;$DG45,$B45:$Y45)),
IF(AK$3&lt;$DG45,I45,0))))))))))))))),0)</f>
        <v>9</v>
      </c>
      <c r="AL45" s="47">
        <f>ROUND(IF(AL$3&lt;$DF45,0,
IF(AL$3=$DF45+'Model Setup'!$B$7,SUMIF($AD$3:$BA$3,"="&amp;$DF45+'Model Setup'!$B$7,$B45:$Y45)+'Model Setup'!$B$8*(SUMIF($AD$3:$BA$3,"&lt;"&amp;$DF45,$B45:$Y45)+SUMIF($AD$3:$BA$3,"&gt;="&amp;$DG45,$B45:$Y45)),
IF(AL$3=$DF45+'Model Setup'!$C$7,SUMIF($AD$3:$BA$3,"="&amp;$DF45+'Model Setup'!$C$7,$B45:$Y45)+'Model Setup'!$C$8*(SUMIF($AD$3:$BA$3,"&lt;"&amp;$DF45,$B45:$Y45)+SUMIF($AD$3:$BA$3,"&gt;="&amp;$DG45,$B45:$Y45)),
IF(AL$3=$DF45+'Model Setup'!$D$7,SUMIF($AD$3:$BA$3,"="&amp;$DF45+'Model Setup'!$D$7,$B45:$Y45)+'Model Setup'!$D$8*(SUMIF($AD$3:$BA$3,"&lt;"&amp;$DF45,$B45:$Y45)+SUMIF($AD$3:$BA$3,"&gt;="&amp;$DG45,$B45:$Y45)),
IF(AL$3=$DF45+'Model Setup'!$E$7,SUMIF($AD$3:$BA$3,"="&amp;$DF45+'Model Setup'!$E$7,$B45:$Y45)+'Model Setup'!$E$8*(SUMIF($AD$3:$BA$3,"&lt;"&amp;$DF45,$B45:$Y45)+SUMIF($AD$3:$BA$3,"&gt;="&amp;$DG45,$B45:$Y45)),
IF(AL$3=$DF45+'Model Setup'!$F$7,SUMIF($AD$3:$BA$3,"="&amp;$DF45+'Model Setup'!$F$7,$B45:$Y45)+'Model Setup'!$F$8*(SUMIF($AD$3:$BA$3,"&lt;"&amp;$DF45,$B45:$Y45)+SUMIF($AD$3:$BA$3,"&gt;="&amp;$DG45,$B45:$Y45)),
IF(AL$3=$DF45+'Model Setup'!$G$7,SUMIF($AD$3:$BA$3,"="&amp;$DF45+'Model Setup'!$G$7,$B45:$Y45)+'Model Setup'!$G$8*(SUMIF($AD$3:$BA$3,"&lt;"&amp;$DF45,$B45:$Y45)+SUMIF($AD$3:$BA$3,"&gt;="&amp;$DG45,$B45:$Y45)),
IF(AL$3=$DF45+'Model Setup'!$H$7,SUMIF($AD$3:$BA$3,"="&amp;$DF45+'Model Setup'!$H$7,$B45:$Y45)+'Model Setup'!$H$8*(SUMIF($AD$3:$BA$3,"&lt;"&amp;$DF45,$B45:$Y45)+SUMIF($AD$3:$BA$3,"&gt;="&amp;$DG45,$B45:$Y45)),
IF(AL$3=$DF45+'Model Setup'!$I$7,SUMIF($AD$3:$BA$3,"="&amp;$DF45+'Model Setup'!$I$7,$B45:$Y45)+'Model Setup'!$I$8*(SUMIF($AD$3:$BA$3,"&lt;"&amp;$DF45,$B45:$Y45)+SUMIF($AD$3:$BA$3,"&gt;="&amp;$DG45,$B45:$Y45)),
IF(AL$3=$DF45+'Model Setup'!$J$7,SUMIF($AD$3:$BA$3,"="&amp;$DF45+'Model Setup'!$J$7,$B45:$Y45)+'Model Setup'!$J$8*(SUMIF($AD$3:$BA$3,"&lt;"&amp;$DF45,$B45:$Y45)+SUMIF($AD$3:$BA$3,"&gt;="&amp;$DG45,$B45:$Y45)),
IF(AL$3=$DF45+'Model Setup'!$K$7,SUMIF($AD$3:$BA$3,"="&amp;$DF45+'Model Setup'!$K$7,$B45:$Y45)+'Model Setup'!$K$8*(SUMIF($AD$3:$BA$3,"&lt;"&amp;$DF45,$B45:$Y45)+SUMIF($AD$3:$BA$3,"&gt;="&amp;$DG45,$B45:$Y45)),
IF(AL$3=$DF45+'Model Setup'!$L$7,SUMIF($AD$3:$BA$3,"="&amp;$DF45+'Model Setup'!$L$7,$B45:$Y45)+'Model Setup'!$L$8*(SUMIF($AD$3:$BA$3,"&lt;"&amp;$DF45,$B45:$Y45)+SUMIF($AD$3:$BA$3,"&gt;="&amp;$DG45,$B45:$Y45)),
IF(AL$3=$DF45+'Model Setup'!$M$7,SUMIF($AD$3:$BA$3,"="&amp;$DF45+'Model Setup'!$M$7,$B45:$Y45)+'Model Setup'!$M$8*(SUMIF($AD$3:$BA$3,"&lt;"&amp;$DF45,$B45:$Y45)+SUMIF($AD$3:$BA$3,"&gt;="&amp;$DG45,$B45:$Y45)),
IF(AL$3=$DF45+'Model Setup'!$N$7,SUMIF($AD$3:$BA$3,"="&amp;$DF45+'Model Setup'!$N$7,$B45:$Y45)+'Model Setup'!$N$8*(SUMIF($AD$3:$BA$3,"&lt;"&amp;$DF45,$B45:$Y45)+SUMIF($AD$3:$BA$3,"&gt;="&amp;$DG45,$B45:$Y45)),
IF(AL$3&lt;$DG45,J45,0))))))))))))))),0)</f>
        <v>16</v>
      </c>
      <c r="AM45" s="47">
        <f>ROUND(IF(AM$3&lt;$DF45,0,
IF(AM$3=$DF45+'Model Setup'!$B$7,SUMIF($AD$3:$BA$3,"="&amp;$DF45+'Model Setup'!$B$7,$B45:$Y45)+'Model Setup'!$B$8*(SUMIF($AD$3:$BA$3,"&lt;"&amp;$DF45,$B45:$Y45)+SUMIF($AD$3:$BA$3,"&gt;="&amp;$DG45,$B45:$Y45)),
IF(AM$3=$DF45+'Model Setup'!$C$7,SUMIF($AD$3:$BA$3,"="&amp;$DF45+'Model Setup'!$C$7,$B45:$Y45)+'Model Setup'!$C$8*(SUMIF($AD$3:$BA$3,"&lt;"&amp;$DF45,$B45:$Y45)+SUMIF($AD$3:$BA$3,"&gt;="&amp;$DG45,$B45:$Y45)),
IF(AM$3=$DF45+'Model Setup'!$D$7,SUMIF($AD$3:$BA$3,"="&amp;$DF45+'Model Setup'!$D$7,$B45:$Y45)+'Model Setup'!$D$8*(SUMIF($AD$3:$BA$3,"&lt;"&amp;$DF45,$B45:$Y45)+SUMIF($AD$3:$BA$3,"&gt;="&amp;$DG45,$B45:$Y45)),
IF(AM$3=$DF45+'Model Setup'!$E$7,SUMIF($AD$3:$BA$3,"="&amp;$DF45+'Model Setup'!$E$7,$B45:$Y45)+'Model Setup'!$E$8*(SUMIF($AD$3:$BA$3,"&lt;"&amp;$DF45,$B45:$Y45)+SUMIF($AD$3:$BA$3,"&gt;="&amp;$DG45,$B45:$Y45)),
IF(AM$3=$DF45+'Model Setup'!$F$7,SUMIF($AD$3:$BA$3,"="&amp;$DF45+'Model Setup'!$F$7,$B45:$Y45)+'Model Setup'!$F$8*(SUMIF($AD$3:$BA$3,"&lt;"&amp;$DF45,$B45:$Y45)+SUMIF($AD$3:$BA$3,"&gt;="&amp;$DG45,$B45:$Y45)),
IF(AM$3=$DF45+'Model Setup'!$G$7,SUMIF($AD$3:$BA$3,"="&amp;$DF45+'Model Setup'!$G$7,$B45:$Y45)+'Model Setup'!$G$8*(SUMIF($AD$3:$BA$3,"&lt;"&amp;$DF45,$B45:$Y45)+SUMIF($AD$3:$BA$3,"&gt;="&amp;$DG45,$B45:$Y45)),
IF(AM$3=$DF45+'Model Setup'!$H$7,SUMIF($AD$3:$BA$3,"="&amp;$DF45+'Model Setup'!$H$7,$B45:$Y45)+'Model Setup'!$H$8*(SUMIF($AD$3:$BA$3,"&lt;"&amp;$DF45,$B45:$Y45)+SUMIF($AD$3:$BA$3,"&gt;="&amp;$DG45,$B45:$Y45)),
IF(AM$3=$DF45+'Model Setup'!$I$7,SUMIF($AD$3:$BA$3,"="&amp;$DF45+'Model Setup'!$I$7,$B45:$Y45)+'Model Setup'!$I$8*(SUMIF($AD$3:$BA$3,"&lt;"&amp;$DF45,$B45:$Y45)+SUMIF($AD$3:$BA$3,"&gt;="&amp;$DG45,$B45:$Y45)),
IF(AM$3=$DF45+'Model Setup'!$J$7,SUMIF($AD$3:$BA$3,"="&amp;$DF45+'Model Setup'!$J$7,$B45:$Y45)+'Model Setup'!$J$8*(SUMIF($AD$3:$BA$3,"&lt;"&amp;$DF45,$B45:$Y45)+SUMIF($AD$3:$BA$3,"&gt;="&amp;$DG45,$B45:$Y45)),
IF(AM$3=$DF45+'Model Setup'!$K$7,SUMIF($AD$3:$BA$3,"="&amp;$DF45+'Model Setup'!$K$7,$B45:$Y45)+'Model Setup'!$K$8*(SUMIF($AD$3:$BA$3,"&lt;"&amp;$DF45,$B45:$Y45)+SUMIF($AD$3:$BA$3,"&gt;="&amp;$DG45,$B45:$Y45)),
IF(AM$3=$DF45+'Model Setup'!$L$7,SUMIF($AD$3:$BA$3,"="&amp;$DF45+'Model Setup'!$L$7,$B45:$Y45)+'Model Setup'!$L$8*(SUMIF($AD$3:$BA$3,"&lt;"&amp;$DF45,$B45:$Y45)+SUMIF($AD$3:$BA$3,"&gt;="&amp;$DG45,$B45:$Y45)),
IF(AM$3=$DF45+'Model Setup'!$M$7,SUMIF($AD$3:$BA$3,"="&amp;$DF45+'Model Setup'!$M$7,$B45:$Y45)+'Model Setup'!$M$8*(SUMIF($AD$3:$BA$3,"&lt;"&amp;$DF45,$B45:$Y45)+SUMIF($AD$3:$BA$3,"&gt;="&amp;$DG45,$B45:$Y45)),
IF(AM$3=$DF45+'Model Setup'!$N$7,SUMIF($AD$3:$BA$3,"="&amp;$DF45+'Model Setup'!$N$7,$B45:$Y45)+'Model Setup'!$N$8*(SUMIF($AD$3:$BA$3,"&lt;"&amp;$DF45,$B45:$Y45)+SUMIF($AD$3:$BA$3,"&gt;="&amp;$DG45,$B45:$Y45)),
IF(AM$3&lt;$DG45,K45,0))))))))))))))),0)</f>
        <v>18</v>
      </c>
      <c r="AN45" s="47">
        <f>ROUND(IF(AN$3&lt;$DF45,0,
IF(AN$3=$DF45+'Model Setup'!$B$7,SUMIF($AD$3:$BA$3,"="&amp;$DF45+'Model Setup'!$B$7,$B45:$Y45)+'Model Setup'!$B$8*(SUMIF($AD$3:$BA$3,"&lt;"&amp;$DF45,$B45:$Y45)+SUMIF($AD$3:$BA$3,"&gt;="&amp;$DG45,$B45:$Y45)),
IF(AN$3=$DF45+'Model Setup'!$C$7,SUMIF($AD$3:$BA$3,"="&amp;$DF45+'Model Setup'!$C$7,$B45:$Y45)+'Model Setup'!$C$8*(SUMIF($AD$3:$BA$3,"&lt;"&amp;$DF45,$B45:$Y45)+SUMIF($AD$3:$BA$3,"&gt;="&amp;$DG45,$B45:$Y45)),
IF(AN$3=$DF45+'Model Setup'!$D$7,SUMIF($AD$3:$BA$3,"="&amp;$DF45+'Model Setup'!$D$7,$B45:$Y45)+'Model Setup'!$D$8*(SUMIF($AD$3:$BA$3,"&lt;"&amp;$DF45,$B45:$Y45)+SUMIF($AD$3:$BA$3,"&gt;="&amp;$DG45,$B45:$Y45)),
IF(AN$3=$DF45+'Model Setup'!$E$7,SUMIF($AD$3:$BA$3,"="&amp;$DF45+'Model Setup'!$E$7,$B45:$Y45)+'Model Setup'!$E$8*(SUMIF($AD$3:$BA$3,"&lt;"&amp;$DF45,$B45:$Y45)+SUMIF($AD$3:$BA$3,"&gt;="&amp;$DG45,$B45:$Y45)),
IF(AN$3=$DF45+'Model Setup'!$F$7,SUMIF($AD$3:$BA$3,"="&amp;$DF45+'Model Setup'!$F$7,$B45:$Y45)+'Model Setup'!$F$8*(SUMIF($AD$3:$BA$3,"&lt;"&amp;$DF45,$B45:$Y45)+SUMIF($AD$3:$BA$3,"&gt;="&amp;$DG45,$B45:$Y45)),
IF(AN$3=$DF45+'Model Setup'!$G$7,SUMIF($AD$3:$BA$3,"="&amp;$DF45+'Model Setup'!$G$7,$B45:$Y45)+'Model Setup'!$G$8*(SUMIF($AD$3:$BA$3,"&lt;"&amp;$DF45,$B45:$Y45)+SUMIF($AD$3:$BA$3,"&gt;="&amp;$DG45,$B45:$Y45)),
IF(AN$3=$DF45+'Model Setup'!$H$7,SUMIF($AD$3:$BA$3,"="&amp;$DF45+'Model Setup'!$H$7,$B45:$Y45)+'Model Setup'!$H$8*(SUMIF($AD$3:$BA$3,"&lt;"&amp;$DF45,$B45:$Y45)+SUMIF($AD$3:$BA$3,"&gt;="&amp;$DG45,$B45:$Y45)),
IF(AN$3=$DF45+'Model Setup'!$I$7,SUMIF($AD$3:$BA$3,"="&amp;$DF45+'Model Setup'!$I$7,$B45:$Y45)+'Model Setup'!$I$8*(SUMIF($AD$3:$BA$3,"&lt;"&amp;$DF45,$B45:$Y45)+SUMIF($AD$3:$BA$3,"&gt;="&amp;$DG45,$B45:$Y45)),
IF(AN$3=$DF45+'Model Setup'!$J$7,SUMIF($AD$3:$BA$3,"="&amp;$DF45+'Model Setup'!$J$7,$B45:$Y45)+'Model Setup'!$J$8*(SUMIF($AD$3:$BA$3,"&lt;"&amp;$DF45,$B45:$Y45)+SUMIF($AD$3:$BA$3,"&gt;="&amp;$DG45,$B45:$Y45)),
IF(AN$3=$DF45+'Model Setup'!$K$7,SUMIF($AD$3:$BA$3,"="&amp;$DF45+'Model Setup'!$K$7,$B45:$Y45)+'Model Setup'!$K$8*(SUMIF($AD$3:$BA$3,"&lt;"&amp;$DF45,$B45:$Y45)+SUMIF($AD$3:$BA$3,"&gt;="&amp;$DG45,$B45:$Y45)),
IF(AN$3=$DF45+'Model Setup'!$L$7,SUMIF($AD$3:$BA$3,"="&amp;$DF45+'Model Setup'!$L$7,$B45:$Y45)+'Model Setup'!$L$8*(SUMIF($AD$3:$BA$3,"&lt;"&amp;$DF45,$B45:$Y45)+SUMIF($AD$3:$BA$3,"&gt;="&amp;$DG45,$B45:$Y45)),
IF(AN$3=$DF45+'Model Setup'!$M$7,SUMIF($AD$3:$BA$3,"="&amp;$DF45+'Model Setup'!$M$7,$B45:$Y45)+'Model Setup'!$M$8*(SUMIF($AD$3:$BA$3,"&lt;"&amp;$DF45,$B45:$Y45)+SUMIF($AD$3:$BA$3,"&gt;="&amp;$DG45,$B45:$Y45)),
IF(AN$3=$DF45+'Model Setup'!$N$7,SUMIF($AD$3:$BA$3,"="&amp;$DF45+'Model Setup'!$N$7,$B45:$Y45)+'Model Setup'!$N$8*(SUMIF($AD$3:$BA$3,"&lt;"&amp;$DF45,$B45:$Y45)+SUMIF($AD$3:$BA$3,"&gt;="&amp;$DG45,$B45:$Y45)),
IF(AN$3&lt;$DG45,L45,0))))))))))))))),0)</f>
        <v>7</v>
      </c>
      <c r="AO45" s="47">
        <f>ROUND(IF(AO$3&lt;$DF45,0,
IF(AO$3=$DF45+'Model Setup'!$B$7,SUMIF($AD$3:$BA$3,"="&amp;$DF45+'Model Setup'!$B$7,$B45:$Y45)+'Model Setup'!$B$8*(SUMIF($AD$3:$BA$3,"&lt;"&amp;$DF45,$B45:$Y45)+SUMIF($AD$3:$BA$3,"&gt;="&amp;$DG45,$B45:$Y45)),
IF(AO$3=$DF45+'Model Setup'!$C$7,SUMIF($AD$3:$BA$3,"="&amp;$DF45+'Model Setup'!$C$7,$B45:$Y45)+'Model Setup'!$C$8*(SUMIF($AD$3:$BA$3,"&lt;"&amp;$DF45,$B45:$Y45)+SUMIF($AD$3:$BA$3,"&gt;="&amp;$DG45,$B45:$Y45)),
IF(AO$3=$DF45+'Model Setup'!$D$7,SUMIF($AD$3:$BA$3,"="&amp;$DF45+'Model Setup'!$D$7,$B45:$Y45)+'Model Setup'!$D$8*(SUMIF($AD$3:$BA$3,"&lt;"&amp;$DF45,$B45:$Y45)+SUMIF($AD$3:$BA$3,"&gt;="&amp;$DG45,$B45:$Y45)),
IF(AO$3=$DF45+'Model Setup'!$E$7,SUMIF($AD$3:$BA$3,"="&amp;$DF45+'Model Setup'!$E$7,$B45:$Y45)+'Model Setup'!$E$8*(SUMIF($AD$3:$BA$3,"&lt;"&amp;$DF45,$B45:$Y45)+SUMIF($AD$3:$BA$3,"&gt;="&amp;$DG45,$B45:$Y45)),
IF(AO$3=$DF45+'Model Setup'!$F$7,SUMIF($AD$3:$BA$3,"="&amp;$DF45+'Model Setup'!$F$7,$B45:$Y45)+'Model Setup'!$F$8*(SUMIF($AD$3:$BA$3,"&lt;"&amp;$DF45,$B45:$Y45)+SUMIF($AD$3:$BA$3,"&gt;="&amp;$DG45,$B45:$Y45)),
IF(AO$3=$DF45+'Model Setup'!$G$7,SUMIF($AD$3:$BA$3,"="&amp;$DF45+'Model Setup'!$G$7,$B45:$Y45)+'Model Setup'!$G$8*(SUMIF($AD$3:$BA$3,"&lt;"&amp;$DF45,$B45:$Y45)+SUMIF($AD$3:$BA$3,"&gt;="&amp;$DG45,$B45:$Y45)),
IF(AO$3=$DF45+'Model Setup'!$H$7,SUMIF($AD$3:$BA$3,"="&amp;$DF45+'Model Setup'!$H$7,$B45:$Y45)+'Model Setup'!$H$8*(SUMIF($AD$3:$BA$3,"&lt;"&amp;$DF45,$B45:$Y45)+SUMIF($AD$3:$BA$3,"&gt;="&amp;$DG45,$B45:$Y45)),
IF(AO$3=$DF45+'Model Setup'!$I$7,SUMIF($AD$3:$BA$3,"="&amp;$DF45+'Model Setup'!$I$7,$B45:$Y45)+'Model Setup'!$I$8*(SUMIF($AD$3:$BA$3,"&lt;"&amp;$DF45,$B45:$Y45)+SUMIF($AD$3:$BA$3,"&gt;="&amp;$DG45,$B45:$Y45)),
IF(AO$3=$DF45+'Model Setup'!$J$7,SUMIF($AD$3:$BA$3,"="&amp;$DF45+'Model Setup'!$J$7,$B45:$Y45)+'Model Setup'!$J$8*(SUMIF($AD$3:$BA$3,"&lt;"&amp;$DF45,$B45:$Y45)+SUMIF($AD$3:$BA$3,"&gt;="&amp;$DG45,$B45:$Y45)),
IF(AO$3=$DF45+'Model Setup'!$K$7,SUMIF($AD$3:$BA$3,"="&amp;$DF45+'Model Setup'!$K$7,$B45:$Y45)+'Model Setup'!$K$8*(SUMIF($AD$3:$BA$3,"&lt;"&amp;$DF45,$B45:$Y45)+SUMIF($AD$3:$BA$3,"&gt;="&amp;$DG45,$B45:$Y45)),
IF(AO$3=$DF45+'Model Setup'!$L$7,SUMIF($AD$3:$BA$3,"="&amp;$DF45+'Model Setup'!$L$7,$B45:$Y45)+'Model Setup'!$L$8*(SUMIF($AD$3:$BA$3,"&lt;"&amp;$DF45,$B45:$Y45)+SUMIF($AD$3:$BA$3,"&gt;="&amp;$DG45,$B45:$Y45)),
IF(AO$3=$DF45+'Model Setup'!$M$7,SUMIF($AD$3:$BA$3,"="&amp;$DF45+'Model Setup'!$M$7,$B45:$Y45)+'Model Setup'!$M$8*(SUMIF($AD$3:$BA$3,"&lt;"&amp;$DF45,$B45:$Y45)+SUMIF($AD$3:$BA$3,"&gt;="&amp;$DG45,$B45:$Y45)),
IF(AO$3=$DF45+'Model Setup'!$N$7,SUMIF($AD$3:$BA$3,"="&amp;$DF45+'Model Setup'!$N$7,$B45:$Y45)+'Model Setup'!$N$8*(SUMIF($AD$3:$BA$3,"&lt;"&amp;$DF45,$B45:$Y45)+SUMIF($AD$3:$BA$3,"&gt;="&amp;$DG45,$B45:$Y45)),
IF(AO$3&lt;$DG45,M45,0))))))))))))))),0)</f>
        <v>10</v>
      </c>
      <c r="AP45" s="47">
        <f>ROUND(IF(AP$3&lt;$DF45,0,
IF(AP$3=$DF45+'Model Setup'!$B$7,SUMIF($AD$3:$BA$3,"="&amp;$DF45+'Model Setup'!$B$7,$B45:$Y45)+'Model Setup'!$B$8*(SUMIF($AD$3:$BA$3,"&lt;"&amp;$DF45,$B45:$Y45)+SUMIF($AD$3:$BA$3,"&gt;="&amp;$DG45,$B45:$Y45)),
IF(AP$3=$DF45+'Model Setup'!$C$7,SUMIF($AD$3:$BA$3,"="&amp;$DF45+'Model Setup'!$C$7,$B45:$Y45)+'Model Setup'!$C$8*(SUMIF($AD$3:$BA$3,"&lt;"&amp;$DF45,$B45:$Y45)+SUMIF($AD$3:$BA$3,"&gt;="&amp;$DG45,$B45:$Y45)),
IF(AP$3=$DF45+'Model Setup'!$D$7,SUMIF($AD$3:$BA$3,"="&amp;$DF45+'Model Setup'!$D$7,$B45:$Y45)+'Model Setup'!$D$8*(SUMIF($AD$3:$BA$3,"&lt;"&amp;$DF45,$B45:$Y45)+SUMIF($AD$3:$BA$3,"&gt;="&amp;$DG45,$B45:$Y45)),
IF(AP$3=$DF45+'Model Setup'!$E$7,SUMIF($AD$3:$BA$3,"="&amp;$DF45+'Model Setup'!$E$7,$B45:$Y45)+'Model Setup'!$E$8*(SUMIF($AD$3:$BA$3,"&lt;"&amp;$DF45,$B45:$Y45)+SUMIF($AD$3:$BA$3,"&gt;="&amp;$DG45,$B45:$Y45)),
IF(AP$3=$DF45+'Model Setup'!$F$7,SUMIF($AD$3:$BA$3,"="&amp;$DF45+'Model Setup'!$F$7,$B45:$Y45)+'Model Setup'!$F$8*(SUMIF($AD$3:$BA$3,"&lt;"&amp;$DF45,$B45:$Y45)+SUMIF($AD$3:$BA$3,"&gt;="&amp;$DG45,$B45:$Y45)),
IF(AP$3=$DF45+'Model Setup'!$G$7,SUMIF($AD$3:$BA$3,"="&amp;$DF45+'Model Setup'!$G$7,$B45:$Y45)+'Model Setup'!$G$8*(SUMIF($AD$3:$BA$3,"&lt;"&amp;$DF45,$B45:$Y45)+SUMIF($AD$3:$BA$3,"&gt;="&amp;$DG45,$B45:$Y45)),
IF(AP$3=$DF45+'Model Setup'!$H$7,SUMIF($AD$3:$BA$3,"="&amp;$DF45+'Model Setup'!$H$7,$B45:$Y45)+'Model Setup'!$H$8*(SUMIF($AD$3:$BA$3,"&lt;"&amp;$DF45,$B45:$Y45)+SUMIF($AD$3:$BA$3,"&gt;="&amp;$DG45,$B45:$Y45)),
IF(AP$3=$DF45+'Model Setup'!$I$7,SUMIF($AD$3:$BA$3,"="&amp;$DF45+'Model Setup'!$I$7,$B45:$Y45)+'Model Setup'!$I$8*(SUMIF($AD$3:$BA$3,"&lt;"&amp;$DF45,$B45:$Y45)+SUMIF($AD$3:$BA$3,"&gt;="&amp;$DG45,$B45:$Y45)),
IF(AP$3=$DF45+'Model Setup'!$J$7,SUMIF($AD$3:$BA$3,"="&amp;$DF45+'Model Setup'!$J$7,$B45:$Y45)+'Model Setup'!$J$8*(SUMIF($AD$3:$BA$3,"&lt;"&amp;$DF45,$B45:$Y45)+SUMIF($AD$3:$BA$3,"&gt;="&amp;$DG45,$B45:$Y45)),
IF(AP$3=$DF45+'Model Setup'!$K$7,SUMIF($AD$3:$BA$3,"="&amp;$DF45+'Model Setup'!$K$7,$B45:$Y45)+'Model Setup'!$K$8*(SUMIF($AD$3:$BA$3,"&lt;"&amp;$DF45,$B45:$Y45)+SUMIF($AD$3:$BA$3,"&gt;="&amp;$DG45,$B45:$Y45)),
IF(AP$3=$DF45+'Model Setup'!$L$7,SUMIF($AD$3:$BA$3,"="&amp;$DF45+'Model Setup'!$L$7,$B45:$Y45)+'Model Setup'!$L$8*(SUMIF($AD$3:$BA$3,"&lt;"&amp;$DF45,$B45:$Y45)+SUMIF($AD$3:$BA$3,"&gt;="&amp;$DG45,$B45:$Y45)),
IF(AP$3=$DF45+'Model Setup'!$M$7,SUMIF($AD$3:$BA$3,"="&amp;$DF45+'Model Setup'!$M$7,$B45:$Y45)+'Model Setup'!$M$8*(SUMIF($AD$3:$BA$3,"&lt;"&amp;$DF45,$B45:$Y45)+SUMIF($AD$3:$BA$3,"&gt;="&amp;$DG45,$B45:$Y45)),
IF(AP$3=$DF45+'Model Setup'!$N$7,SUMIF($AD$3:$BA$3,"="&amp;$DF45+'Model Setup'!$N$7,$B45:$Y45)+'Model Setup'!$N$8*(SUMIF($AD$3:$BA$3,"&lt;"&amp;$DF45,$B45:$Y45)+SUMIF($AD$3:$BA$3,"&gt;="&amp;$DG45,$B45:$Y45)),
IF(AP$3&lt;$DG45,N45,0))))))))))))))),0)</f>
        <v>13</v>
      </c>
      <c r="AQ45" s="47">
        <f>ROUND(IF(AQ$3&lt;$DF45,0,
IF(AQ$3=$DF45+'Model Setup'!$B$7,SUMIF($AD$3:$BA$3,"="&amp;$DF45+'Model Setup'!$B$7,$B45:$Y45)+'Model Setup'!$B$8*(SUMIF($AD$3:$BA$3,"&lt;"&amp;$DF45,$B45:$Y45)+SUMIF($AD$3:$BA$3,"&gt;="&amp;$DG45,$B45:$Y45)),
IF(AQ$3=$DF45+'Model Setup'!$C$7,SUMIF($AD$3:$BA$3,"="&amp;$DF45+'Model Setup'!$C$7,$B45:$Y45)+'Model Setup'!$C$8*(SUMIF($AD$3:$BA$3,"&lt;"&amp;$DF45,$B45:$Y45)+SUMIF($AD$3:$BA$3,"&gt;="&amp;$DG45,$B45:$Y45)),
IF(AQ$3=$DF45+'Model Setup'!$D$7,SUMIF($AD$3:$BA$3,"="&amp;$DF45+'Model Setup'!$D$7,$B45:$Y45)+'Model Setup'!$D$8*(SUMIF($AD$3:$BA$3,"&lt;"&amp;$DF45,$B45:$Y45)+SUMIF($AD$3:$BA$3,"&gt;="&amp;$DG45,$B45:$Y45)),
IF(AQ$3=$DF45+'Model Setup'!$E$7,SUMIF($AD$3:$BA$3,"="&amp;$DF45+'Model Setup'!$E$7,$B45:$Y45)+'Model Setup'!$E$8*(SUMIF($AD$3:$BA$3,"&lt;"&amp;$DF45,$B45:$Y45)+SUMIF($AD$3:$BA$3,"&gt;="&amp;$DG45,$B45:$Y45)),
IF(AQ$3=$DF45+'Model Setup'!$F$7,SUMIF($AD$3:$BA$3,"="&amp;$DF45+'Model Setup'!$F$7,$B45:$Y45)+'Model Setup'!$F$8*(SUMIF($AD$3:$BA$3,"&lt;"&amp;$DF45,$B45:$Y45)+SUMIF($AD$3:$BA$3,"&gt;="&amp;$DG45,$B45:$Y45)),
IF(AQ$3=$DF45+'Model Setup'!$G$7,SUMIF($AD$3:$BA$3,"="&amp;$DF45+'Model Setup'!$G$7,$B45:$Y45)+'Model Setup'!$G$8*(SUMIF($AD$3:$BA$3,"&lt;"&amp;$DF45,$B45:$Y45)+SUMIF($AD$3:$BA$3,"&gt;="&amp;$DG45,$B45:$Y45)),
IF(AQ$3=$DF45+'Model Setup'!$H$7,SUMIF($AD$3:$BA$3,"="&amp;$DF45+'Model Setup'!$H$7,$B45:$Y45)+'Model Setup'!$H$8*(SUMIF($AD$3:$BA$3,"&lt;"&amp;$DF45,$B45:$Y45)+SUMIF($AD$3:$BA$3,"&gt;="&amp;$DG45,$B45:$Y45)),
IF(AQ$3=$DF45+'Model Setup'!$I$7,SUMIF($AD$3:$BA$3,"="&amp;$DF45+'Model Setup'!$I$7,$B45:$Y45)+'Model Setup'!$I$8*(SUMIF($AD$3:$BA$3,"&lt;"&amp;$DF45,$B45:$Y45)+SUMIF($AD$3:$BA$3,"&gt;="&amp;$DG45,$B45:$Y45)),
IF(AQ$3=$DF45+'Model Setup'!$J$7,SUMIF($AD$3:$BA$3,"="&amp;$DF45+'Model Setup'!$J$7,$B45:$Y45)+'Model Setup'!$J$8*(SUMIF($AD$3:$BA$3,"&lt;"&amp;$DF45,$B45:$Y45)+SUMIF($AD$3:$BA$3,"&gt;="&amp;$DG45,$B45:$Y45)),
IF(AQ$3=$DF45+'Model Setup'!$K$7,SUMIF($AD$3:$BA$3,"="&amp;$DF45+'Model Setup'!$K$7,$B45:$Y45)+'Model Setup'!$K$8*(SUMIF($AD$3:$BA$3,"&lt;"&amp;$DF45,$B45:$Y45)+SUMIF($AD$3:$BA$3,"&gt;="&amp;$DG45,$B45:$Y45)),
IF(AQ$3=$DF45+'Model Setup'!$L$7,SUMIF($AD$3:$BA$3,"="&amp;$DF45+'Model Setup'!$L$7,$B45:$Y45)+'Model Setup'!$L$8*(SUMIF($AD$3:$BA$3,"&lt;"&amp;$DF45,$B45:$Y45)+SUMIF($AD$3:$BA$3,"&gt;="&amp;$DG45,$B45:$Y45)),
IF(AQ$3=$DF45+'Model Setup'!$M$7,SUMIF($AD$3:$BA$3,"="&amp;$DF45+'Model Setup'!$M$7,$B45:$Y45)+'Model Setup'!$M$8*(SUMIF($AD$3:$BA$3,"&lt;"&amp;$DF45,$B45:$Y45)+SUMIF($AD$3:$BA$3,"&gt;="&amp;$DG45,$B45:$Y45)),
IF(AQ$3=$DF45+'Model Setup'!$N$7,SUMIF($AD$3:$BA$3,"="&amp;$DF45+'Model Setup'!$N$7,$B45:$Y45)+'Model Setup'!$N$8*(SUMIF($AD$3:$BA$3,"&lt;"&amp;$DF45,$B45:$Y45)+SUMIF($AD$3:$BA$3,"&gt;="&amp;$DG45,$B45:$Y45)),
IF(AQ$3&lt;$DG45,O45,0))))))))))))))),0)</f>
        <v>3</v>
      </c>
      <c r="AR45" s="47">
        <f>ROUND(IF(AR$3&lt;$DF45,0,
IF(AR$3=$DF45+'Model Setup'!$B$7,SUMIF($AD$3:$BA$3,"="&amp;$DF45+'Model Setup'!$B$7,$B45:$Y45)+'Model Setup'!$B$8*(SUMIF($AD$3:$BA$3,"&lt;"&amp;$DF45,$B45:$Y45)+SUMIF($AD$3:$BA$3,"&gt;="&amp;$DG45,$B45:$Y45)),
IF(AR$3=$DF45+'Model Setup'!$C$7,SUMIF($AD$3:$BA$3,"="&amp;$DF45+'Model Setup'!$C$7,$B45:$Y45)+'Model Setup'!$C$8*(SUMIF($AD$3:$BA$3,"&lt;"&amp;$DF45,$B45:$Y45)+SUMIF($AD$3:$BA$3,"&gt;="&amp;$DG45,$B45:$Y45)),
IF(AR$3=$DF45+'Model Setup'!$D$7,SUMIF($AD$3:$BA$3,"="&amp;$DF45+'Model Setup'!$D$7,$B45:$Y45)+'Model Setup'!$D$8*(SUMIF($AD$3:$BA$3,"&lt;"&amp;$DF45,$B45:$Y45)+SUMIF($AD$3:$BA$3,"&gt;="&amp;$DG45,$B45:$Y45)),
IF(AR$3=$DF45+'Model Setup'!$E$7,SUMIF($AD$3:$BA$3,"="&amp;$DF45+'Model Setup'!$E$7,$B45:$Y45)+'Model Setup'!$E$8*(SUMIF($AD$3:$BA$3,"&lt;"&amp;$DF45,$B45:$Y45)+SUMIF($AD$3:$BA$3,"&gt;="&amp;$DG45,$B45:$Y45)),
IF(AR$3=$DF45+'Model Setup'!$F$7,SUMIF($AD$3:$BA$3,"="&amp;$DF45+'Model Setup'!$F$7,$B45:$Y45)+'Model Setup'!$F$8*(SUMIF($AD$3:$BA$3,"&lt;"&amp;$DF45,$B45:$Y45)+SUMIF($AD$3:$BA$3,"&gt;="&amp;$DG45,$B45:$Y45)),
IF(AR$3=$DF45+'Model Setup'!$G$7,SUMIF($AD$3:$BA$3,"="&amp;$DF45+'Model Setup'!$G$7,$B45:$Y45)+'Model Setup'!$G$8*(SUMIF($AD$3:$BA$3,"&lt;"&amp;$DF45,$B45:$Y45)+SUMIF($AD$3:$BA$3,"&gt;="&amp;$DG45,$B45:$Y45)),
IF(AR$3=$DF45+'Model Setup'!$H$7,SUMIF($AD$3:$BA$3,"="&amp;$DF45+'Model Setup'!$H$7,$B45:$Y45)+'Model Setup'!$H$8*(SUMIF($AD$3:$BA$3,"&lt;"&amp;$DF45,$B45:$Y45)+SUMIF($AD$3:$BA$3,"&gt;="&amp;$DG45,$B45:$Y45)),
IF(AR$3=$DF45+'Model Setup'!$I$7,SUMIF($AD$3:$BA$3,"="&amp;$DF45+'Model Setup'!$I$7,$B45:$Y45)+'Model Setup'!$I$8*(SUMIF($AD$3:$BA$3,"&lt;"&amp;$DF45,$B45:$Y45)+SUMIF($AD$3:$BA$3,"&gt;="&amp;$DG45,$B45:$Y45)),
IF(AR$3=$DF45+'Model Setup'!$J$7,SUMIF($AD$3:$BA$3,"="&amp;$DF45+'Model Setup'!$J$7,$B45:$Y45)+'Model Setup'!$J$8*(SUMIF($AD$3:$BA$3,"&lt;"&amp;$DF45,$B45:$Y45)+SUMIF($AD$3:$BA$3,"&gt;="&amp;$DG45,$B45:$Y45)),
IF(AR$3=$DF45+'Model Setup'!$K$7,SUMIF($AD$3:$BA$3,"="&amp;$DF45+'Model Setup'!$K$7,$B45:$Y45)+'Model Setup'!$K$8*(SUMIF($AD$3:$BA$3,"&lt;"&amp;$DF45,$B45:$Y45)+SUMIF($AD$3:$BA$3,"&gt;="&amp;$DG45,$B45:$Y45)),
IF(AR$3=$DF45+'Model Setup'!$L$7,SUMIF($AD$3:$BA$3,"="&amp;$DF45+'Model Setup'!$L$7,$B45:$Y45)+'Model Setup'!$L$8*(SUMIF($AD$3:$BA$3,"&lt;"&amp;$DF45,$B45:$Y45)+SUMIF($AD$3:$BA$3,"&gt;="&amp;$DG45,$B45:$Y45)),
IF(AR$3=$DF45+'Model Setup'!$M$7,SUMIF($AD$3:$BA$3,"="&amp;$DF45+'Model Setup'!$M$7,$B45:$Y45)+'Model Setup'!$M$8*(SUMIF($AD$3:$BA$3,"&lt;"&amp;$DF45,$B45:$Y45)+SUMIF($AD$3:$BA$3,"&gt;="&amp;$DG45,$B45:$Y45)),
IF(AR$3=$DF45+'Model Setup'!$N$7,SUMIF($AD$3:$BA$3,"="&amp;$DF45+'Model Setup'!$N$7,$B45:$Y45)+'Model Setup'!$N$8*(SUMIF($AD$3:$BA$3,"&lt;"&amp;$DF45,$B45:$Y45)+SUMIF($AD$3:$BA$3,"&gt;="&amp;$DG45,$B45:$Y45)),
IF(AR$3&lt;$DG45,P45,0))))))))))))))),0)</f>
        <v>5</v>
      </c>
      <c r="AS45" s="47">
        <f>ROUND(IF(AS$3&lt;$DF45,0,
IF(AS$3=$DF45+'Model Setup'!$B$7,SUMIF($AD$3:$BA$3,"="&amp;$DF45+'Model Setup'!$B$7,$B45:$Y45)+'Model Setup'!$B$8*(SUMIF($AD$3:$BA$3,"&lt;"&amp;$DF45,$B45:$Y45)+SUMIF($AD$3:$BA$3,"&gt;="&amp;$DG45,$B45:$Y45)),
IF(AS$3=$DF45+'Model Setup'!$C$7,SUMIF($AD$3:$BA$3,"="&amp;$DF45+'Model Setup'!$C$7,$B45:$Y45)+'Model Setup'!$C$8*(SUMIF($AD$3:$BA$3,"&lt;"&amp;$DF45,$B45:$Y45)+SUMIF($AD$3:$BA$3,"&gt;="&amp;$DG45,$B45:$Y45)),
IF(AS$3=$DF45+'Model Setup'!$D$7,SUMIF($AD$3:$BA$3,"="&amp;$DF45+'Model Setup'!$D$7,$B45:$Y45)+'Model Setup'!$D$8*(SUMIF($AD$3:$BA$3,"&lt;"&amp;$DF45,$B45:$Y45)+SUMIF($AD$3:$BA$3,"&gt;="&amp;$DG45,$B45:$Y45)),
IF(AS$3=$DF45+'Model Setup'!$E$7,SUMIF($AD$3:$BA$3,"="&amp;$DF45+'Model Setup'!$E$7,$B45:$Y45)+'Model Setup'!$E$8*(SUMIF($AD$3:$BA$3,"&lt;"&amp;$DF45,$B45:$Y45)+SUMIF($AD$3:$BA$3,"&gt;="&amp;$DG45,$B45:$Y45)),
IF(AS$3=$DF45+'Model Setup'!$F$7,SUMIF($AD$3:$BA$3,"="&amp;$DF45+'Model Setup'!$F$7,$B45:$Y45)+'Model Setup'!$F$8*(SUMIF($AD$3:$BA$3,"&lt;"&amp;$DF45,$B45:$Y45)+SUMIF($AD$3:$BA$3,"&gt;="&amp;$DG45,$B45:$Y45)),
IF(AS$3=$DF45+'Model Setup'!$G$7,SUMIF($AD$3:$BA$3,"="&amp;$DF45+'Model Setup'!$G$7,$B45:$Y45)+'Model Setup'!$G$8*(SUMIF($AD$3:$BA$3,"&lt;"&amp;$DF45,$B45:$Y45)+SUMIF($AD$3:$BA$3,"&gt;="&amp;$DG45,$B45:$Y45)),
IF(AS$3=$DF45+'Model Setup'!$H$7,SUMIF($AD$3:$BA$3,"="&amp;$DF45+'Model Setup'!$H$7,$B45:$Y45)+'Model Setup'!$H$8*(SUMIF($AD$3:$BA$3,"&lt;"&amp;$DF45,$B45:$Y45)+SUMIF($AD$3:$BA$3,"&gt;="&amp;$DG45,$B45:$Y45)),
IF(AS$3=$DF45+'Model Setup'!$I$7,SUMIF($AD$3:$BA$3,"="&amp;$DF45+'Model Setup'!$I$7,$B45:$Y45)+'Model Setup'!$I$8*(SUMIF($AD$3:$BA$3,"&lt;"&amp;$DF45,$B45:$Y45)+SUMIF($AD$3:$BA$3,"&gt;="&amp;$DG45,$B45:$Y45)),
IF(AS$3=$DF45+'Model Setup'!$J$7,SUMIF($AD$3:$BA$3,"="&amp;$DF45+'Model Setup'!$J$7,$B45:$Y45)+'Model Setup'!$J$8*(SUMIF($AD$3:$BA$3,"&lt;"&amp;$DF45,$B45:$Y45)+SUMIF($AD$3:$BA$3,"&gt;="&amp;$DG45,$B45:$Y45)),
IF(AS$3=$DF45+'Model Setup'!$K$7,SUMIF($AD$3:$BA$3,"="&amp;$DF45+'Model Setup'!$K$7,$B45:$Y45)+'Model Setup'!$K$8*(SUMIF($AD$3:$BA$3,"&lt;"&amp;$DF45,$B45:$Y45)+SUMIF($AD$3:$BA$3,"&gt;="&amp;$DG45,$B45:$Y45)),
IF(AS$3=$DF45+'Model Setup'!$L$7,SUMIF($AD$3:$BA$3,"="&amp;$DF45+'Model Setup'!$L$7,$B45:$Y45)+'Model Setup'!$L$8*(SUMIF($AD$3:$BA$3,"&lt;"&amp;$DF45,$B45:$Y45)+SUMIF($AD$3:$BA$3,"&gt;="&amp;$DG45,$B45:$Y45)),
IF(AS$3=$DF45+'Model Setup'!$M$7,SUMIF($AD$3:$BA$3,"="&amp;$DF45+'Model Setup'!$M$7,$B45:$Y45)+'Model Setup'!$M$8*(SUMIF($AD$3:$BA$3,"&lt;"&amp;$DF45,$B45:$Y45)+SUMIF($AD$3:$BA$3,"&gt;="&amp;$DG45,$B45:$Y45)),
IF(AS$3=$DF45+'Model Setup'!$N$7,SUMIF($AD$3:$BA$3,"="&amp;$DF45+'Model Setup'!$N$7,$B45:$Y45)+'Model Setup'!$N$8*(SUMIF($AD$3:$BA$3,"&lt;"&amp;$DF45,$B45:$Y45)+SUMIF($AD$3:$BA$3,"&gt;="&amp;$DG45,$B45:$Y45)),
IF(AS$3&lt;$DG45,Q45,0))))))))))))))),0)</f>
        <v>3</v>
      </c>
      <c r="AT45" s="47">
        <f>ROUND(IF(AT$3&lt;$DF45,0,
IF(AT$3=$DF45+'Model Setup'!$B$7,SUMIF($AD$3:$BA$3,"="&amp;$DF45+'Model Setup'!$B$7,$B45:$Y45)+'Model Setup'!$B$8*(SUMIF($AD$3:$BA$3,"&lt;"&amp;$DF45,$B45:$Y45)+SUMIF($AD$3:$BA$3,"&gt;="&amp;$DG45,$B45:$Y45)),
IF(AT$3=$DF45+'Model Setup'!$C$7,SUMIF($AD$3:$BA$3,"="&amp;$DF45+'Model Setup'!$C$7,$B45:$Y45)+'Model Setup'!$C$8*(SUMIF($AD$3:$BA$3,"&lt;"&amp;$DF45,$B45:$Y45)+SUMIF($AD$3:$BA$3,"&gt;="&amp;$DG45,$B45:$Y45)),
IF(AT$3=$DF45+'Model Setup'!$D$7,SUMIF($AD$3:$BA$3,"="&amp;$DF45+'Model Setup'!$D$7,$B45:$Y45)+'Model Setup'!$D$8*(SUMIF($AD$3:$BA$3,"&lt;"&amp;$DF45,$B45:$Y45)+SUMIF($AD$3:$BA$3,"&gt;="&amp;$DG45,$B45:$Y45)),
IF(AT$3=$DF45+'Model Setup'!$E$7,SUMIF($AD$3:$BA$3,"="&amp;$DF45+'Model Setup'!$E$7,$B45:$Y45)+'Model Setup'!$E$8*(SUMIF($AD$3:$BA$3,"&lt;"&amp;$DF45,$B45:$Y45)+SUMIF($AD$3:$BA$3,"&gt;="&amp;$DG45,$B45:$Y45)),
IF(AT$3=$DF45+'Model Setup'!$F$7,SUMIF($AD$3:$BA$3,"="&amp;$DF45+'Model Setup'!$F$7,$B45:$Y45)+'Model Setup'!$F$8*(SUMIF($AD$3:$BA$3,"&lt;"&amp;$DF45,$B45:$Y45)+SUMIF($AD$3:$BA$3,"&gt;="&amp;$DG45,$B45:$Y45)),
IF(AT$3=$DF45+'Model Setup'!$G$7,SUMIF($AD$3:$BA$3,"="&amp;$DF45+'Model Setup'!$G$7,$B45:$Y45)+'Model Setup'!$G$8*(SUMIF($AD$3:$BA$3,"&lt;"&amp;$DF45,$B45:$Y45)+SUMIF($AD$3:$BA$3,"&gt;="&amp;$DG45,$B45:$Y45)),
IF(AT$3=$DF45+'Model Setup'!$H$7,SUMIF($AD$3:$BA$3,"="&amp;$DF45+'Model Setup'!$H$7,$B45:$Y45)+'Model Setup'!$H$8*(SUMIF($AD$3:$BA$3,"&lt;"&amp;$DF45,$B45:$Y45)+SUMIF($AD$3:$BA$3,"&gt;="&amp;$DG45,$B45:$Y45)),
IF(AT$3=$DF45+'Model Setup'!$I$7,SUMIF($AD$3:$BA$3,"="&amp;$DF45+'Model Setup'!$I$7,$B45:$Y45)+'Model Setup'!$I$8*(SUMIF($AD$3:$BA$3,"&lt;"&amp;$DF45,$B45:$Y45)+SUMIF($AD$3:$BA$3,"&gt;="&amp;$DG45,$B45:$Y45)),
IF(AT$3=$DF45+'Model Setup'!$J$7,SUMIF($AD$3:$BA$3,"="&amp;$DF45+'Model Setup'!$J$7,$B45:$Y45)+'Model Setup'!$J$8*(SUMIF($AD$3:$BA$3,"&lt;"&amp;$DF45,$B45:$Y45)+SUMIF($AD$3:$BA$3,"&gt;="&amp;$DG45,$B45:$Y45)),
IF(AT$3=$DF45+'Model Setup'!$K$7,SUMIF($AD$3:$BA$3,"="&amp;$DF45+'Model Setup'!$K$7,$B45:$Y45)+'Model Setup'!$K$8*(SUMIF($AD$3:$BA$3,"&lt;"&amp;$DF45,$B45:$Y45)+SUMIF($AD$3:$BA$3,"&gt;="&amp;$DG45,$B45:$Y45)),
IF(AT$3=$DF45+'Model Setup'!$L$7,SUMIF($AD$3:$BA$3,"="&amp;$DF45+'Model Setup'!$L$7,$B45:$Y45)+'Model Setup'!$L$8*(SUMIF($AD$3:$BA$3,"&lt;"&amp;$DF45,$B45:$Y45)+SUMIF($AD$3:$BA$3,"&gt;="&amp;$DG45,$B45:$Y45)),
IF(AT$3=$DF45+'Model Setup'!$M$7,SUMIF($AD$3:$BA$3,"="&amp;$DF45+'Model Setup'!$M$7,$B45:$Y45)+'Model Setup'!$M$8*(SUMIF($AD$3:$BA$3,"&lt;"&amp;$DF45,$B45:$Y45)+SUMIF($AD$3:$BA$3,"&gt;="&amp;$DG45,$B45:$Y45)),
IF(AT$3=$DF45+'Model Setup'!$N$7,SUMIF($AD$3:$BA$3,"="&amp;$DF45+'Model Setup'!$N$7,$B45:$Y45)+'Model Setup'!$N$8*(SUMIF($AD$3:$BA$3,"&lt;"&amp;$DF45,$B45:$Y45)+SUMIF($AD$3:$BA$3,"&gt;="&amp;$DG45,$B45:$Y45)),
IF(AT$3&lt;$DG45,R45,0))))))))))))))),0)</f>
        <v>4</v>
      </c>
      <c r="AU45" s="47">
        <f>ROUND(IF(AU$3&lt;$DF45,0,
IF(AU$3=$DF45+'Model Setup'!$B$7,SUMIF($AD$3:$BA$3,"="&amp;$DF45+'Model Setup'!$B$7,$B45:$Y45)+'Model Setup'!$B$8*(SUMIF($AD$3:$BA$3,"&lt;"&amp;$DF45,$B45:$Y45)+SUMIF($AD$3:$BA$3,"&gt;="&amp;$DG45,$B45:$Y45)),
IF(AU$3=$DF45+'Model Setup'!$C$7,SUMIF($AD$3:$BA$3,"="&amp;$DF45+'Model Setup'!$C$7,$B45:$Y45)+'Model Setup'!$C$8*(SUMIF($AD$3:$BA$3,"&lt;"&amp;$DF45,$B45:$Y45)+SUMIF($AD$3:$BA$3,"&gt;="&amp;$DG45,$B45:$Y45)),
IF(AU$3=$DF45+'Model Setup'!$D$7,SUMIF($AD$3:$BA$3,"="&amp;$DF45+'Model Setup'!$D$7,$B45:$Y45)+'Model Setup'!$D$8*(SUMIF($AD$3:$BA$3,"&lt;"&amp;$DF45,$B45:$Y45)+SUMIF($AD$3:$BA$3,"&gt;="&amp;$DG45,$B45:$Y45)),
IF(AU$3=$DF45+'Model Setup'!$E$7,SUMIF($AD$3:$BA$3,"="&amp;$DF45+'Model Setup'!$E$7,$B45:$Y45)+'Model Setup'!$E$8*(SUMIF($AD$3:$BA$3,"&lt;"&amp;$DF45,$B45:$Y45)+SUMIF($AD$3:$BA$3,"&gt;="&amp;$DG45,$B45:$Y45)),
IF(AU$3=$DF45+'Model Setup'!$F$7,SUMIF($AD$3:$BA$3,"="&amp;$DF45+'Model Setup'!$F$7,$B45:$Y45)+'Model Setup'!$F$8*(SUMIF($AD$3:$BA$3,"&lt;"&amp;$DF45,$B45:$Y45)+SUMIF($AD$3:$BA$3,"&gt;="&amp;$DG45,$B45:$Y45)),
IF(AU$3=$DF45+'Model Setup'!$G$7,SUMIF($AD$3:$BA$3,"="&amp;$DF45+'Model Setup'!$G$7,$B45:$Y45)+'Model Setup'!$G$8*(SUMIF($AD$3:$BA$3,"&lt;"&amp;$DF45,$B45:$Y45)+SUMIF($AD$3:$BA$3,"&gt;="&amp;$DG45,$B45:$Y45)),
IF(AU$3=$DF45+'Model Setup'!$H$7,SUMIF($AD$3:$BA$3,"="&amp;$DF45+'Model Setup'!$H$7,$B45:$Y45)+'Model Setup'!$H$8*(SUMIF($AD$3:$BA$3,"&lt;"&amp;$DF45,$B45:$Y45)+SUMIF($AD$3:$BA$3,"&gt;="&amp;$DG45,$B45:$Y45)),
IF(AU$3=$DF45+'Model Setup'!$I$7,SUMIF($AD$3:$BA$3,"="&amp;$DF45+'Model Setup'!$I$7,$B45:$Y45)+'Model Setup'!$I$8*(SUMIF($AD$3:$BA$3,"&lt;"&amp;$DF45,$B45:$Y45)+SUMIF($AD$3:$BA$3,"&gt;="&amp;$DG45,$B45:$Y45)),
IF(AU$3=$DF45+'Model Setup'!$J$7,SUMIF($AD$3:$BA$3,"="&amp;$DF45+'Model Setup'!$J$7,$B45:$Y45)+'Model Setup'!$J$8*(SUMIF($AD$3:$BA$3,"&lt;"&amp;$DF45,$B45:$Y45)+SUMIF($AD$3:$BA$3,"&gt;="&amp;$DG45,$B45:$Y45)),
IF(AU$3=$DF45+'Model Setup'!$K$7,SUMIF($AD$3:$BA$3,"="&amp;$DF45+'Model Setup'!$K$7,$B45:$Y45)+'Model Setup'!$K$8*(SUMIF($AD$3:$BA$3,"&lt;"&amp;$DF45,$B45:$Y45)+SUMIF($AD$3:$BA$3,"&gt;="&amp;$DG45,$B45:$Y45)),
IF(AU$3=$DF45+'Model Setup'!$L$7,SUMIF($AD$3:$BA$3,"="&amp;$DF45+'Model Setup'!$L$7,$B45:$Y45)+'Model Setup'!$L$8*(SUMIF($AD$3:$BA$3,"&lt;"&amp;$DF45,$B45:$Y45)+SUMIF($AD$3:$BA$3,"&gt;="&amp;$DG45,$B45:$Y45)),
IF(AU$3=$DF45+'Model Setup'!$M$7,SUMIF($AD$3:$BA$3,"="&amp;$DF45+'Model Setup'!$M$7,$B45:$Y45)+'Model Setup'!$M$8*(SUMIF($AD$3:$BA$3,"&lt;"&amp;$DF45,$B45:$Y45)+SUMIF($AD$3:$BA$3,"&gt;="&amp;$DG45,$B45:$Y45)),
IF(AU$3=$DF45+'Model Setup'!$N$7,SUMIF($AD$3:$BA$3,"="&amp;$DF45+'Model Setup'!$N$7,$B45:$Y45)+'Model Setup'!$N$8*(SUMIF($AD$3:$BA$3,"&lt;"&amp;$DF45,$B45:$Y45)+SUMIF($AD$3:$BA$3,"&gt;="&amp;$DG45,$B45:$Y45)),
IF(AU$3&lt;$DG45,S45,0))))))))))))))),0)</f>
        <v>17</v>
      </c>
      <c r="AV45" s="47">
        <f>ROUND(IF(AV$3&lt;$DF45,0,
IF(AV$3=$DF45+'Model Setup'!$B$7,SUMIF($AD$3:$BA$3,"="&amp;$DF45+'Model Setup'!$B$7,$B45:$Y45)+'Model Setup'!$B$8*(SUMIF($AD$3:$BA$3,"&lt;"&amp;$DF45,$B45:$Y45)+SUMIF($AD$3:$BA$3,"&gt;="&amp;$DG45,$B45:$Y45)),
IF(AV$3=$DF45+'Model Setup'!$C$7,SUMIF($AD$3:$BA$3,"="&amp;$DF45+'Model Setup'!$C$7,$B45:$Y45)+'Model Setup'!$C$8*(SUMIF($AD$3:$BA$3,"&lt;"&amp;$DF45,$B45:$Y45)+SUMIF($AD$3:$BA$3,"&gt;="&amp;$DG45,$B45:$Y45)),
IF(AV$3=$DF45+'Model Setup'!$D$7,SUMIF($AD$3:$BA$3,"="&amp;$DF45+'Model Setup'!$D$7,$B45:$Y45)+'Model Setup'!$D$8*(SUMIF($AD$3:$BA$3,"&lt;"&amp;$DF45,$B45:$Y45)+SUMIF($AD$3:$BA$3,"&gt;="&amp;$DG45,$B45:$Y45)),
IF(AV$3=$DF45+'Model Setup'!$E$7,SUMIF($AD$3:$BA$3,"="&amp;$DF45+'Model Setup'!$E$7,$B45:$Y45)+'Model Setup'!$E$8*(SUMIF($AD$3:$BA$3,"&lt;"&amp;$DF45,$B45:$Y45)+SUMIF($AD$3:$BA$3,"&gt;="&amp;$DG45,$B45:$Y45)),
IF(AV$3=$DF45+'Model Setup'!$F$7,SUMIF($AD$3:$BA$3,"="&amp;$DF45+'Model Setup'!$F$7,$B45:$Y45)+'Model Setup'!$F$8*(SUMIF($AD$3:$BA$3,"&lt;"&amp;$DF45,$B45:$Y45)+SUMIF($AD$3:$BA$3,"&gt;="&amp;$DG45,$B45:$Y45)),
IF(AV$3=$DF45+'Model Setup'!$G$7,SUMIF($AD$3:$BA$3,"="&amp;$DF45+'Model Setup'!$G$7,$B45:$Y45)+'Model Setup'!$G$8*(SUMIF($AD$3:$BA$3,"&lt;"&amp;$DF45,$B45:$Y45)+SUMIF($AD$3:$BA$3,"&gt;="&amp;$DG45,$B45:$Y45)),
IF(AV$3=$DF45+'Model Setup'!$H$7,SUMIF($AD$3:$BA$3,"="&amp;$DF45+'Model Setup'!$H$7,$B45:$Y45)+'Model Setup'!$H$8*(SUMIF($AD$3:$BA$3,"&lt;"&amp;$DF45,$B45:$Y45)+SUMIF($AD$3:$BA$3,"&gt;="&amp;$DG45,$B45:$Y45)),
IF(AV$3=$DF45+'Model Setup'!$I$7,SUMIF($AD$3:$BA$3,"="&amp;$DF45+'Model Setup'!$I$7,$B45:$Y45)+'Model Setup'!$I$8*(SUMIF($AD$3:$BA$3,"&lt;"&amp;$DF45,$B45:$Y45)+SUMIF($AD$3:$BA$3,"&gt;="&amp;$DG45,$B45:$Y45)),
IF(AV$3=$DF45+'Model Setup'!$J$7,SUMIF($AD$3:$BA$3,"="&amp;$DF45+'Model Setup'!$J$7,$B45:$Y45)+'Model Setup'!$J$8*(SUMIF($AD$3:$BA$3,"&lt;"&amp;$DF45,$B45:$Y45)+SUMIF($AD$3:$BA$3,"&gt;="&amp;$DG45,$B45:$Y45)),
IF(AV$3=$DF45+'Model Setup'!$K$7,SUMIF($AD$3:$BA$3,"="&amp;$DF45+'Model Setup'!$K$7,$B45:$Y45)+'Model Setup'!$K$8*(SUMIF($AD$3:$BA$3,"&lt;"&amp;$DF45,$B45:$Y45)+SUMIF($AD$3:$BA$3,"&gt;="&amp;$DG45,$B45:$Y45)),
IF(AV$3=$DF45+'Model Setup'!$L$7,SUMIF($AD$3:$BA$3,"="&amp;$DF45+'Model Setup'!$L$7,$B45:$Y45)+'Model Setup'!$L$8*(SUMIF($AD$3:$BA$3,"&lt;"&amp;$DF45,$B45:$Y45)+SUMIF($AD$3:$BA$3,"&gt;="&amp;$DG45,$B45:$Y45)),
IF(AV$3=$DF45+'Model Setup'!$M$7,SUMIF($AD$3:$BA$3,"="&amp;$DF45+'Model Setup'!$M$7,$B45:$Y45)+'Model Setup'!$M$8*(SUMIF($AD$3:$BA$3,"&lt;"&amp;$DF45,$B45:$Y45)+SUMIF($AD$3:$BA$3,"&gt;="&amp;$DG45,$B45:$Y45)),
IF(AV$3=$DF45+'Model Setup'!$N$7,SUMIF($AD$3:$BA$3,"="&amp;$DF45+'Model Setup'!$N$7,$B45:$Y45)+'Model Setup'!$N$8*(SUMIF($AD$3:$BA$3,"&lt;"&amp;$DF45,$B45:$Y45)+SUMIF($AD$3:$BA$3,"&gt;="&amp;$DG45,$B45:$Y45)),
IF(AV$3&lt;$DG45,T45,0))))))))))))))),0)</f>
        <v>24</v>
      </c>
      <c r="AW45" s="47">
        <f>ROUND(IF(AW$3&lt;$DF45,0,
IF(AW$3=$DF45+'Model Setup'!$B$7,SUMIF($AD$3:$BA$3,"="&amp;$DF45+'Model Setup'!$B$7,$B45:$Y45)+'Model Setup'!$B$8*(SUMIF($AD$3:$BA$3,"&lt;"&amp;$DF45,$B45:$Y45)+SUMIF($AD$3:$BA$3,"&gt;="&amp;$DG45,$B45:$Y45)),
IF(AW$3=$DF45+'Model Setup'!$C$7,SUMIF($AD$3:$BA$3,"="&amp;$DF45+'Model Setup'!$C$7,$B45:$Y45)+'Model Setup'!$C$8*(SUMIF($AD$3:$BA$3,"&lt;"&amp;$DF45,$B45:$Y45)+SUMIF($AD$3:$BA$3,"&gt;="&amp;$DG45,$B45:$Y45)),
IF(AW$3=$DF45+'Model Setup'!$D$7,SUMIF($AD$3:$BA$3,"="&amp;$DF45+'Model Setup'!$D$7,$B45:$Y45)+'Model Setup'!$D$8*(SUMIF($AD$3:$BA$3,"&lt;"&amp;$DF45,$B45:$Y45)+SUMIF($AD$3:$BA$3,"&gt;="&amp;$DG45,$B45:$Y45)),
IF(AW$3=$DF45+'Model Setup'!$E$7,SUMIF($AD$3:$BA$3,"="&amp;$DF45+'Model Setup'!$E$7,$B45:$Y45)+'Model Setup'!$E$8*(SUMIF($AD$3:$BA$3,"&lt;"&amp;$DF45,$B45:$Y45)+SUMIF($AD$3:$BA$3,"&gt;="&amp;$DG45,$B45:$Y45)),
IF(AW$3=$DF45+'Model Setup'!$F$7,SUMIF($AD$3:$BA$3,"="&amp;$DF45+'Model Setup'!$F$7,$B45:$Y45)+'Model Setup'!$F$8*(SUMIF($AD$3:$BA$3,"&lt;"&amp;$DF45,$B45:$Y45)+SUMIF($AD$3:$BA$3,"&gt;="&amp;$DG45,$B45:$Y45)),
IF(AW$3=$DF45+'Model Setup'!$G$7,SUMIF($AD$3:$BA$3,"="&amp;$DF45+'Model Setup'!$G$7,$B45:$Y45)+'Model Setup'!$G$8*(SUMIF($AD$3:$BA$3,"&lt;"&amp;$DF45,$B45:$Y45)+SUMIF($AD$3:$BA$3,"&gt;="&amp;$DG45,$B45:$Y45)),
IF(AW$3=$DF45+'Model Setup'!$H$7,SUMIF($AD$3:$BA$3,"="&amp;$DF45+'Model Setup'!$H$7,$B45:$Y45)+'Model Setup'!$H$8*(SUMIF($AD$3:$BA$3,"&lt;"&amp;$DF45,$B45:$Y45)+SUMIF($AD$3:$BA$3,"&gt;="&amp;$DG45,$B45:$Y45)),
IF(AW$3=$DF45+'Model Setup'!$I$7,SUMIF($AD$3:$BA$3,"="&amp;$DF45+'Model Setup'!$I$7,$B45:$Y45)+'Model Setup'!$I$8*(SUMIF($AD$3:$BA$3,"&lt;"&amp;$DF45,$B45:$Y45)+SUMIF($AD$3:$BA$3,"&gt;="&amp;$DG45,$B45:$Y45)),
IF(AW$3=$DF45+'Model Setup'!$J$7,SUMIF($AD$3:$BA$3,"="&amp;$DF45+'Model Setup'!$J$7,$B45:$Y45)+'Model Setup'!$J$8*(SUMIF($AD$3:$BA$3,"&lt;"&amp;$DF45,$B45:$Y45)+SUMIF($AD$3:$BA$3,"&gt;="&amp;$DG45,$B45:$Y45)),
IF(AW$3=$DF45+'Model Setup'!$K$7,SUMIF($AD$3:$BA$3,"="&amp;$DF45+'Model Setup'!$K$7,$B45:$Y45)+'Model Setup'!$K$8*(SUMIF($AD$3:$BA$3,"&lt;"&amp;$DF45,$B45:$Y45)+SUMIF($AD$3:$BA$3,"&gt;="&amp;$DG45,$B45:$Y45)),
IF(AW$3=$DF45+'Model Setup'!$L$7,SUMIF($AD$3:$BA$3,"="&amp;$DF45+'Model Setup'!$L$7,$B45:$Y45)+'Model Setup'!$L$8*(SUMIF($AD$3:$BA$3,"&lt;"&amp;$DF45,$B45:$Y45)+SUMIF($AD$3:$BA$3,"&gt;="&amp;$DG45,$B45:$Y45)),
IF(AW$3=$DF45+'Model Setup'!$M$7,SUMIF($AD$3:$BA$3,"="&amp;$DF45+'Model Setup'!$M$7,$B45:$Y45)+'Model Setup'!$M$8*(SUMIF($AD$3:$BA$3,"&lt;"&amp;$DF45,$B45:$Y45)+SUMIF($AD$3:$BA$3,"&gt;="&amp;$DG45,$B45:$Y45)),
IF(AW$3=$DF45+'Model Setup'!$N$7,SUMIF($AD$3:$BA$3,"="&amp;$DF45+'Model Setup'!$N$7,$B45:$Y45)+'Model Setup'!$N$8*(SUMIF($AD$3:$BA$3,"&lt;"&amp;$DF45,$B45:$Y45)+SUMIF($AD$3:$BA$3,"&gt;="&amp;$DG45,$B45:$Y45)),
IF(AW$3&lt;$DG45,U45,0))))))))))))))),0)</f>
        <v>18</v>
      </c>
      <c r="AX45" s="47">
        <f>ROUND(IF(AX$3&lt;$DF45,0,
IF(AX$3=$DF45+'Model Setup'!$B$7,SUMIF($AD$3:$BA$3,"="&amp;$DF45+'Model Setup'!$B$7,$B45:$Y45)+'Model Setup'!$B$8*(SUMIF($AD$3:$BA$3,"&lt;"&amp;$DF45,$B45:$Y45)+SUMIF($AD$3:$BA$3,"&gt;="&amp;$DG45,$B45:$Y45)),
IF(AX$3=$DF45+'Model Setup'!$C$7,SUMIF($AD$3:$BA$3,"="&amp;$DF45+'Model Setup'!$C$7,$B45:$Y45)+'Model Setup'!$C$8*(SUMIF($AD$3:$BA$3,"&lt;"&amp;$DF45,$B45:$Y45)+SUMIF($AD$3:$BA$3,"&gt;="&amp;$DG45,$B45:$Y45)),
IF(AX$3=$DF45+'Model Setup'!$D$7,SUMIF($AD$3:$BA$3,"="&amp;$DF45+'Model Setup'!$D$7,$B45:$Y45)+'Model Setup'!$D$8*(SUMIF($AD$3:$BA$3,"&lt;"&amp;$DF45,$B45:$Y45)+SUMIF($AD$3:$BA$3,"&gt;="&amp;$DG45,$B45:$Y45)),
IF(AX$3=$DF45+'Model Setup'!$E$7,SUMIF($AD$3:$BA$3,"="&amp;$DF45+'Model Setup'!$E$7,$B45:$Y45)+'Model Setup'!$E$8*(SUMIF($AD$3:$BA$3,"&lt;"&amp;$DF45,$B45:$Y45)+SUMIF($AD$3:$BA$3,"&gt;="&amp;$DG45,$B45:$Y45)),
IF(AX$3=$DF45+'Model Setup'!$F$7,SUMIF($AD$3:$BA$3,"="&amp;$DF45+'Model Setup'!$F$7,$B45:$Y45)+'Model Setup'!$F$8*(SUMIF($AD$3:$BA$3,"&lt;"&amp;$DF45,$B45:$Y45)+SUMIF($AD$3:$BA$3,"&gt;="&amp;$DG45,$B45:$Y45)),
IF(AX$3=$DF45+'Model Setup'!$G$7,SUMIF($AD$3:$BA$3,"="&amp;$DF45+'Model Setup'!$G$7,$B45:$Y45)+'Model Setup'!$G$8*(SUMIF($AD$3:$BA$3,"&lt;"&amp;$DF45,$B45:$Y45)+SUMIF($AD$3:$BA$3,"&gt;="&amp;$DG45,$B45:$Y45)),
IF(AX$3=$DF45+'Model Setup'!$H$7,SUMIF($AD$3:$BA$3,"="&amp;$DF45+'Model Setup'!$H$7,$B45:$Y45)+'Model Setup'!$H$8*(SUMIF($AD$3:$BA$3,"&lt;"&amp;$DF45,$B45:$Y45)+SUMIF($AD$3:$BA$3,"&gt;="&amp;$DG45,$B45:$Y45)),
IF(AX$3=$DF45+'Model Setup'!$I$7,SUMIF($AD$3:$BA$3,"="&amp;$DF45+'Model Setup'!$I$7,$B45:$Y45)+'Model Setup'!$I$8*(SUMIF($AD$3:$BA$3,"&lt;"&amp;$DF45,$B45:$Y45)+SUMIF($AD$3:$BA$3,"&gt;="&amp;$DG45,$B45:$Y45)),
IF(AX$3=$DF45+'Model Setup'!$J$7,SUMIF($AD$3:$BA$3,"="&amp;$DF45+'Model Setup'!$J$7,$B45:$Y45)+'Model Setup'!$J$8*(SUMIF($AD$3:$BA$3,"&lt;"&amp;$DF45,$B45:$Y45)+SUMIF($AD$3:$BA$3,"&gt;="&amp;$DG45,$B45:$Y45)),
IF(AX$3=$DF45+'Model Setup'!$K$7,SUMIF($AD$3:$BA$3,"="&amp;$DF45+'Model Setup'!$K$7,$B45:$Y45)+'Model Setup'!$K$8*(SUMIF($AD$3:$BA$3,"&lt;"&amp;$DF45,$B45:$Y45)+SUMIF($AD$3:$BA$3,"&gt;="&amp;$DG45,$B45:$Y45)),
IF(AX$3=$DF45+'Model Setup'!$L$7,SUMIF($AD$3:$BA$3,"="&amp;$DF45+'Model Setup'!$L$7,$B45:$Y45)+'Model Setup'!$L$8*(SUMIF($AD$3:$BA$3,"&lt;"&amp;$DF45,$B45:$Y45)+SUMIF($AD$3:$BA$3,"&gt;="&amp;$DG45,$B45:$Y45)),
IF(AX$3=$DF45+'Model Setup'!$M$7,SUMIF($AD$3:$BA$3,"="&amp;$DF45+'Model Setup'!$M$7,$B45:$Y45)+'Model Setup'!$M$8*(SUMIF($AD$3:$BA$3,"&lt;"&amp;$DF45,$B45:$Y45)+SUMIF($AD$3:$BA$3,"&gt;="&amp;$DG45,$B45:$Y45)),
IF(AX$3=$DF45+'Model Setup'!$N$7,SUMIF($AD$3:$BA$3,"="&amp;$DF45+'Model Setup'!$N$7,$B45:$Y45)+'Model Setup'!$N$8*(SUMIF($AD$3:$BA$3,"&lt;"&amp;$DF45,$B45:$Y45)+SUMIF($AD$3:$BA$3,"&gt;="&amp;$DG45,$B45:$Y45)),
IF(AX$3&lt;$DG45,V45,0))))))))))))))),0)</f>
        <v>0</v>
      </c>
      <c r="AY45" s="47">
        <f>ROUND(IF(AY$3&lt;$DF45,0,
IF(AY$3=$DF45+'Model Setup'!$B$7,SUMIF($AD$3:$BA$3,"="&amp;$DF45+'Model Setup'!$B$7,$B45:$Y45)+'Model Setup'!$B$8*(SUMIF($AD$3:$BA$3,"&lt;"&amp;$DF45,$B45:$Y45)+SUMIF($AD$3:$BA$3,"&gt;="&amp;$DG45,$B45:$Y45)),
IF(AY$3=$DF45+'Model Setup'!$C$7,SUMIF($AD$3:$BA$3,"="&amp;$DF45+'Model Setup'!$C$7,$B45:$Y45)+'Model Setup'!$C$8*(SUMIF($AD$3:$BA$3,"&lt;"&amp;$DF45,$B45:$Y45)+SUMIF($AD$3:$BA$3,"&gt;="&amp;$DG45,$B45:$Y45)),
IF(AY$3=$DF45+'Model Setup'!$D$7,SUMIF($AD$3:$BA$3,"="&amp;$DF45+'Model Setup'!$D$7,$B45:$Y45)+'Model Setup'!$D$8*(SUMIF($AD$3:$BA$3,"&lt;"&amp;$DF45,$B45:$Y45)+SUMIF($AD$3:$BA$3,"&gt;="&amp;$DG45,$B45:$Y45)),
IF(AY$3=$DF45+'Model Setup'!$E$7,SUMIF($AD$3:$BA$3,"="&amp;$DF45+'Model Setup'!$E$7,$B45:$Y45)+'Model Setup'!$E$8*(SUMIF($AD$3:$BA$3,"&lt;"&amp;$DF45,$B45:$Y45)+SUMIF($AD$3:$BA$3,"&gt;="&amp;$DG45,$B45:$Y45)),
IF(AY$3=$DF45+'Model Setup'!$F$7,SUMIF($AD$3:$BA$3,"="&amp;$DF45+'Model Setup'!$F$7,$B45:$Y45)+'Model Setup'!$F$8*(SUMIF($AD$3:$BA$3,"&lt;"&amp;$DF45,$B45:$Y45)+SUMIF($AD$3:$BA$3,"&gt;="&amp;$DG45,$B45:$Y45)),
IF(AY$3=$DF45+'Model Setup'!$G$7,SUMIF($AD$3:$BA$3,"="&amp;$DF45+'Model Setup'!$G$7,$B45:$Y45)+'Model Setup'!$G$8*(SUMIF($AD$3:$BA$3,"&lt;"&amp;$DF45,$B45:$Y45)+SUMIF($AD$3:$BA$3,"&gt;="&amp;$DG45,$B45:$Y45)),
IF(AY$3=$DF45+'Model Setup'!$H$7,SUMIF($AD$3:$BA$3,"="&amp;$DF45+'Model Setup'!$H$7,$B45:$Y45)+'Model Setup'!$H$8*(SUMIF($AD$3:$BA$3,"&lt;"&amp;$DF45,$B45:$Y45)+SUMIF($AD$3:$BA$3,"&gt;="&amp;$DG45,$B45:$Y45)),
IF(AY$3=$DF45+'Model Setup'!$I$7,SUMIF($AD$3:$BA$3,"="&amp;$DF45+'Model Setup'!$I$7,$B45:$Y45)+'Model Setup'!$I$8*(SUMIF($AD$3:$BA$3,"&lt;"&amp;$DF45,$B45:$Y45)+SUMIF($AD$3:$BA$3,"&gt;="&amp;$DG45,$B45:$Y45)),
IF(AY$3=$DF45+'Model Setup'!$J$7,SUMIF($AD$3:$BA$3,"="&amp;$DF45+'Model Setup'!$J$7,$B45:$Y45)+'Model Setup'!$J$8*(SUMIF($AD$3:$BA$3,"&lt;"&amp;$DF45,$B45:$Y45)+SUMIF($AD$3:$BA$3,"&gt;="&amp;$DG45,$B45:$Y45)),
IF(AY$3=$DF45+'Model Setup'!$K$7,SUMIF($AD$3:$BA$3,"="&amp;$DF45+'Model Setup'!$K$7,$B45:$Y45)+'Model Setup'!$K$8*(SUMIF($AD$3:$BA$3,"&lt;"&amp;$DF45,$B45:$Y45)+SUMIF($AD$3:$BA$3,"&gt;="&amp;$DG45,$B45:$Y45)),
IF(AY$3=$DF45+'Model Setup'!$L$7,SUMIF($AD$3:$BA$3,"="&amp;$DF45+'Model Setup'!$L$7,$B45:$Y45)+'Model Setup'!$L$8*(SUMIF($AD$3:$BA$3,"&lt;"&amp;$DF45,$B45:$Y45)+SUMIF($AD$3:$BA$3,"&gt;="&amp;$DG45,$B45:$Y45)),
IF(AY$3=$DF45+'Model Setup'!$M$7,SUMIF($AD$3:$BA$3,"="&amp;$DF45+'Model Setup'!$M$7,$B45:$Y45)+'Model Setup'!$M$8*(SUMIF($AD$3:$BA$3,"&lt;"&amp;$DF45,$B45:$Y45)+SUMIF($AD$3:$BA$3,"&gt;="&amp;$DG45,$B45:$Y45)),
IF(AY$3=$DF45+'Model Setup'!$N$7,SUMIF($AD$3:$BA$3,"="&amp;$DF45+'Model Setup'!$N$7,$B45:$Y45)+'Model Setup'!$N$8*(SUMIF($AD$3:$BA$3,"&lt;"&amp;$DF45,$B45:$Y45)+SUMIF($AD$3:$BA$3,"&gt;="&amp;$DG45,$B45:$Y45)),
IF(AY$3&lt;$DG45,W45,0))))))))))))))),0)</f>
        <v>0</v>
      </c>
      <c r="AZ45" s="47">
        <f>ROUND(IF(AZ$3&lt;$DF45,0,
IF(AZ$3=$DF45+'Model Setup'!$B$7,SUMIF($AD$3:$BA$3,"="&amp;$DF45+'Model Setup'!$B$7,$B45:$Y45)+'Model Setup'!$B$8*(SUMIF($AD$3:$BA$3,"&lt;"&amp;$DF45,$B45:$Y45)+SUMIF($AD$3:$BA$3,"&gt;="&amp;$DG45,$B45:$Y45)),
IF(AZ$3=$DF45+'Model Setup'!$C$7,SUMIF($AD$3:$BA$3,"="&amp;$DF45+'Model Setup'!$C$7,$B45:$Y45)+'Model Setup'!$C$8*(SUMIF($AD$3:$BA$3,"&lt;"&amp;$DF45,$B45:$Y45)+SUMIF($AD$3:$BA$3,"&gt;="&amp;$DG45,$B45:$Y45)),
IF(AZ$3=$DF45+'Model Setup'!$D$7,SUMIF($AD$3:$BA$3,"="&amp;$DF45+'Model Setup'!$D$7,$B45:$Y45)+'Model Setup'!$D$8*(SUMIF($AD$3:$BA$3,"&lt;"&amp;$DF45,$B45:$Y45)+SUMIF($AD$3:$BA$3,"&gt;="&amp;$DG45,$B45:$Y45)),
IF(AZ$3=$DF45+'Model Setup'!$E$7,SUMIF($AD$3:$BA$3,"="&amp;$DF45+'Model Setup'!$E$7,$B45:$Y45)+'Model Setup'!$E$8*(SUMIF($AD$3:$BA$3,"&lt;"&amp;$DF45,$B45:$Y45)+SUMIF($AD$3:$BA$3,"&gt;="&amp;$DG45,$B45:$Y45)),
IF(AZ$3=$DF45+'Model Setup'!$F$7,SUMIF($AD$3:$BA$3,"="&amp;$DF45+'Model Setup'!$F$7,$B45:$Y45)+'Model Setup'!$F$8*(SUMIF($AD$3:$BA$3,"&lt;"&amp;$DF45,$B45:$Y45)+SUMIF($AD$3:$BA$3,"&gt;="&amp;$DG45,$B45:$Y45)),
IF(AZ$3=$DF45+'Model Setup'!$G$7,SUMIF($AD$3:$BA$3,"="&amp;$DF45+'Model Setup'!$G$7,$B45:$Y45)+'Model Setup'!$G$8*(SUMIF($AD$3:$BA$3,"&lt;"&amp;$DF45,$B45:$Y45)+SUMIF($AD$3:$BA$3,"&gt;="&amp;$DG45,$B45:$Y45)),
IF(AZ$3=$DF45+'Model Setup'!$H$7,SUMIF($AD$3:$BA$3,"="&amp;$DF45+'Model Setup'!$H$7,$B45:$Y45)+'Model Setup'!$H$8*(SUMIF($AD$3:$BA$3,"&lt;"&amp;$DF45,$B45:$Y45)+SUMIF($AD$3:$BA$3,"&gt;="&amp;$DG45,$B45:$Y45)),
IF(AZ$3=$DF45+'Model Setup'!$I$7,SUMIF($AD$3:$BA$3,"="&amp;$DF45+'Model Setup'!$I$7,$B45:$Y45)+'Model Setup'!$I$8*(SUMIF($AD$3:$BA$3,"&lt;"&amp;$DF45,$B45:$Y45)+SUMIF($AD$3:$BA$3,"&gt;="&amp;$DG45,$B45:$Y45)),
IF(AZ$3=$DF45+'Model Setup'!$J$7,SUMIF($AD$3:$BA$3,"="&amp;$DF45+'Model Setup'!$J$7,$B45:$Y45)+'Model Setup'!$J$8*(SUMIF($AD$3:$BA$3,"&lt;"&amp;$DF45,$B45:$Y45)+SUMIF($AD$3:$BA$3,"&gt;="&amp;$DG45,$B45:$Y45)),
IF(AZ$3=$DF45+'Model Setup'!$K$7,SUMIF($AD$3:$BA$3,"="&amp;$DF45+'Model Setup'!$K$7,$B45:$Y45)+'Model Setup'!$K$8*(SUMIF($AD$3:$BA$3,"&lt;"&amp;$DF45,$B45:$Y45)+SUMIF($AD$3:$BA$3,"&gt;="&amp;$DG45,$B45:$Y45)),
IF(AZ$3=$DF45+'Model Setup'!$L$7,SUMIF($AD$3:$BA$3,"="&amp;$DF45+'Model Setup'!$L$7,$B45:$Y45)+'Model Setup'!$L$8*(SUMIF($AD$3:$BA$3,"&lt;"&amp;$DF45,$B45:$Y45)+SUMIF($AD$3:$BA$3,"&gt;="&amp;$DG45,$B45:$Y45)),
IF(AZ$3=$DF45+'Model Setup'!$M$7,SUMIF($AD$3:$BA$3,"="&amp;$DF45+'Model Setup'!$M$7,$B45:$Y45)+'Model Setup'!$M$8*(SUMIF($AD$3:$BA$3,"&lt;"&amp;$DF45,$B45:$Y45)+SUMIF($AD$3:$BA$3,"&gt;="&amp;$DG45,$B45:$Y45)),
IF(AZ$3=$DF45+'Model Setup'!$N$7,SUMIF($AD$3:$BA$3,"="&amp;$DF45+'Model Setup'!$N$7,$B45:$Y45)+'Model Setup'!$N$8*(SUMIF($AD$3:$BA$3,"&lt;"&amp;$DF45,$B45:$Y45)+SUMIF($AD$3:$BA$3,"&gt;="&amp;$DG45,$B45:$Y45)),
IF(AZ$3&lt;$DG45,X45,0))))))))))))))),0)</f>
        <v>0</v>
      </c>
      <c r="BA45" s="47">
        <f>ROUND(IF(BA$3&lt;$DF45,0,
IF(BA$3=$DF45+'Model Setup'!$B$7,SUMIF($AD$3:$BA$3,"="&amp;$DF45+'Model Setup'!$B$7,$B45:$Y45)+'Model Setup'!$B$8*(SUMIF($AD$3:$BA$3,"&lt;"&amp;$DF45,$B45:$Y45)+SUMIF($AD$3:$BA$3,"&gt;="&amp;$DG45,$B45:$Y45)),
IF(BA$3=$DF45+'Model Setup'!$C$7,SUMIF($AD$3:$BA$3,"="&amp;$DF45+'Model Setup'!$C$7,$B45:$Y45)+'Model Setup'!$C$8*(SUMIF($AD$3:$BA$3,"&lt;"&amp;$DF45,$B45:$Y45)+SUMIF($AD$3:$BA$3,"&gt;="&amp;$DG45,$B45:$Y45)),
IF(BA$3=$DF45+'Model Setup'!$D$7,SUMIF($AD$3:$BA$3,"="&amp;$DF45+'Model Setup'!$D$7,$B45:$Y45)+'Model Setup'!$D$8*(SUMIF($AD$3:$BA$3,"&lt;"&amp;$DF45,$B45:$Y45)+SUMIF($AD$3:$BA$3,"&gt;="&amp;$DG45,$B45:$Y45)),
IF(BA$3=$DF45+'Model Setup'!$E$7,SUMIF($AD$3:$BA$3,"="&amp;$DF45+'Model Setup'!$E$7,$B45:$Y45)+'Model Setup'!$E$8*(SUMIF($AD$3:$BA$3,"&lt;"&amp;$DF45,$B45:$Y45)+SUMIF($AD$3:$BA$3,"&gt;="&amp;$DG45,$B45:$Y45)),
IF(BA$3=$DF45+'Model Setup'!$F$7,SUMIF($AD$3:$BA$3,"="&amp;$DF45+'Model Setup'!$F$7,$B45:$Y45)+'Model Setup'!$F$8*(SUMIF($AD$3:$BA$3,"&lt;"&amp;$DF45,$B45:$Y45)+SUMIF($AD$3:$BA$3,"&gt;="&amp;$DG45,$B45:$Y45)),
IF(BA$3=$DF45+'Model Setup'!$G$7,SUMIF($AD$3:$BA$3,"="&amp;$DF45+'Model Setup'!$G$7,$B45:$Y45)+'Model Setup'!$G$8*(SUMIF($AD$3:$BA$3,"&lt;"&amp;$DF45,$B45:$Y45)+SUMIF($AD$3:$BA$3,"&gt;="&amp;$DG45,$B45:$Y45)),
IF(BA$3=$DF45+'Model Setup'!$H$7,SUMIF($AD$3:$BA$3,"="&amp;$DF45+'Model Setup'!$H$7,$B45:$Y45)+'Model Setup'!$H$8*(SUMIF($AD$3:$BA$3,"&lt;"&amp;$DF45,$B45:$Y45)+SUMIF($AD$3:$BA$3,"&gt;="&amp;$DG45,$B45:$Y45)),
IF(BA$3=$DF45+'Model Setup'!$I$7,SUMIF($AD$3:$BA$3,"="&amp;$DF45+'Model Setup'!$I$7,$B45:$Y45)+'Model Setup'!$I$8*(SUMIF($AD$3:$BA$3,"&lt;"&amp;$DF45,$B45:$Y45)+SUMIF($AD$3:$BA$3,"&gt;="&amp;$DG45,$B45:$Y45)),
IF(BA$3=$DF45+'Model Setup'!$J$7,SUMIF($AD$3:$BA$3,"="&amp;$DF45+'Model Setup'!$J$7,$B45:$Y45)+'Model Setup'!$J$8*(SUMIF($AD$3:$BA$3,"&lt;"&amp;$DF45,$B45:$Y45)+SUMIF($AD$3:$BA$3,"&gt;="&amp;$DG45,$B45:$Y45)),
IF(BA$3=$DF45+'Model Setup'!$K$7,SUMIF($AD$3:$BA$3,"="&amp;$DF45+'Model Setup'!$K$7,$B45:$Y45)+'Model Setup'!$K$8*(SUMIF($AD$3:$BA$3,"&lt;"&amp;$DF45,$B45:$Y45)+SUMIF($AD$3:$BA$3,"&gt;="&amp;$DG45,$B45:$Y45)),
IF(BA$3=$DF45+'Model Setup'!$L$7,SUMIF($AD$3:$BA$3,"="&amp;$DF45+'Model Setup'!$L$7,$B45:$Y45)+'Model Setup'!$L$8*(SUMIF($AD$3:$BA$3,"&lt;"&amp;$DF45,$B45:$Y45)+SUMIF($AD$3:$BA$3,"&gt;="&amp;$DG45,$B45:$Y45)),
IF(BA$3=$DF45+'Model Setup'!$M$7,SUMIF($AD$3:$BA$3,"="&amp;$DF45+'Model Setup'!$M$7,$B45:$Y45)+'Model Setup'!$M$8*(SUMIF($AD$3:$BA$3,"&lt;"&amp;$DF45,$B45:$Y45)+SUMIF($AD$3:$BA$3,"&gt;="&amp;$DG45,$B45:$Y45)),
IF(BA$3=$DF45+'Model Setup'!$N$7,SUMIF($AD$3:$BA$3,"="&amp;$DF45+'Model Setup'!$N$7,$B45:$Y45)+'Model Setup'!$N$8*(SUMIF($AD$3:$BA$3,"&lt;"&amp;$DF45,$B45:$Y45)+SUMIF($AD$3:$BA$3,"&gt;="&amp;$DG45,$B45:$Y45)),
IF(BA$3&lt;$DG45,Y45,0))))))))))))))),0)</f>
        <v>0</v>
      </c>
      <c r="BB45" s="47">
        <f t="shared" si="1"/>
        <v>147</v>
      </c>
      <c r="BD45" t="b">
        <f t="shared" si="2"/>
        <v>0</v>
      </c>
      <c r="BE45">
        <f t="shared" si="8"/>
        <v>22</v>
      </c>
      <c r="BF45">
        <f>(FTC!F43-FTC!E43)*24</f>
        <v>7</v>
      </c>
      <c r="BG45" s="43" t="s">
        <v>60</v>
      </c>
      <c r="BH45" s="47">
        <f>ROUND(IF(OR(BH$3&lt;$DF45,BH$3&gt;$CW$4),0,
IF(BH$3=$DF45+'Model Setup'!$B$7,SUMIF($BH$3:$CE$3,"="&amp;$DF45+'Model Setup'!$B$7,$AD45:$BA45)+'Model Setup'!$B$8*(SUMIF($BH$3:$CE$3,"&lt;"&amp;$DF45,$AD45:$BA45)+SUMIF($BH$3:$CE$3,"&gt;"&amp;$CW$4,$AD45:$BA45)),
IF(BH$3=$DF45+'Model Setup'!$C$7,SUMIF($BH$3:$CE$3,"="&amp;$DF45+'Model Setup'!$C$7,$AD45:$BA45)+'Model Setup'!$C$8*(SUMIF($BH$3:$CE$3,"&lt;"&amp;$DF45,$AD45:$BA45)+SUMIF($BH$3:$CE$3,"&gt;"&amp;$CW$4,$AD45:$BA45)),
IF(BH$3=$DF45+'Model Setup'!$D$7,SUMIF($BH$3:$CE$3,"="&amp;$DF45+'Model Setup'!$D$7,$AD45:$BA45)+'Model Setup'!$D$8*(SUMIF($BH$3:$CE$3,"&lt;"&amp;$DF45,$AD45:$BA45)+SUMIF($BH$3:$CE$3,"&gt;"&amp;$CW$4,$AD45:$BA45)),
IF(BH$3=$DF45+'Model Setup'!$E$7,SUMIF($BH$3:$CE$3,"="&amp;$DF45+'Model Setup'!$E$7,$AD45:$BA45)+'Model Setup'!$E$8*(SUMIF($BH$3:$CE$3,"&lt;"&amp;$DF45,$AD45:$BA45)+SUMIF($BH$3:$CE$3,"&gt;"&amp;$CW$4,$AD45:$BA45)),
IF(BH$3=$DF45+'Model Setup'!$F$7,SUMIF($BH$3:$CE$3,"="&amp;$DF45+'Model Setup'!$F$7,$AD45:$BA45)+'Model Setup'!$F$8*(SUMIF($BH$3:$CE$3,"&lt;"&amp;$DF45,$AD45:$BA45)+SUMIF($BH$3:$CE$3,"&gt;"&amp;$CW$4,$AD45:$BA45)),
IF(BH$3=$DF45+'Model Setup'!$G$7,SUMIF($BH$3:$CE$3,"="&amp;$DF45+'Model Setup'!$G$7,$AD45:$BA45)+'Model Setup'!$G$8*(SUMIF($BH$3:$CE$3,"&lt;"&amp;$DF45,$AD45:$BA45)+SUMIF($BH$3:$CE$3,"&gt;"&amp;$CW$4,$AD45:$BA45)),
IF(BH$3=$DF45+'Model Setup'!$H$7,SUMIF($BH$3:$CE$3,"="&amp;$DF45+'Model Setup'!$H$7,$AD45:$BA45)+'Model Setup'!$H$8*(SUMIF($BH$3:$CE$3,"&lt;"&amp;$DF45,$AD45:$BA45)+SUMIF($BH$3:$CE$3,"&gt;"&amp;$CW$4,$AD45:$BA45)),
IF(BH$3=$DF45+'Model Setup'!$I$7,SUMIF($BH$3:$CE$3,"="&amp;$DF45+'Model Setup'!$I$7,$AD45:$BA45)+'Model Setup'!$I$8*(SUMIF($BH$3:$CE$3,"&lt;"&amp;$DF45,$AD45:$BA45)+SUMIF($BH$3:$CE$3,"&gt;"&amp;$CW$4,$AD45:$BA45)),
IF(BH$3=$DF45+'Model Setup'!$J$7,SUMIF($BH$3:$CE$3,"="&amp;$DF45+'Model Setup'!$J$7,$AD45:$BA45)+'Model Setup'!$J$8*(SUMIF($BH$3:$CE$3,"&lt;"&amp;$DF45,$AD45:$BA45)+SUMIF($BH$3:$CE$3,"&gt;"&amp;$CW$4,$AD45:$BA45)),
IF(BH$3=$DF45+'Model Setup'!$K$7,SUMIF($BH$3:$CE$3,"="&amp;$DF45+'Model Setup'!$K$7,$AD45:$BA45)+'Model Setup'!$K$8*(SUMIF($BH$3:$CE$3,"&lt;"&amp;$DF45,$AD45:$BA45)+SUMIF($BH$3:$CE$3,"&gt;"&amp;$CW$4,$AD45:$BA45)),
IF(BH$3=$DF45+'Model Setup'!$L$7,SUMIF($BH$3:$CE$3,"="&amp;$DF45+'Model Setup'!$L$7,$AD45:$BA45)+'Model Setup'!$L$8*(SUMIF($BH$3:$CE$3,"&lt;"&amp;$DF45,$AD45:$BA45)+SUMIF($BH$3:$CE$3,"&gt;"&amp;$CW$4,$AD45:$BA45)),
IF(BH$3=$DF45+'Model Setup'!$M$7,SUMIF($BH$3:$CE$3,"="&amp;$DF45+'Model Setup'!$M$7,$AD45:$BA45)+'Model Setup'!$M$8*(SUMIF($BH$3:$CE$3,"&lt;"&amp;$DF45,$AD45:$BA45)+SUMIF($BH$3:$CE$3,"&gt;"&amp;$CW$4,$AD45:$BA45)),
IF(BH$3=$DF45+'Model Setup'!$N$7,SUMIF($BH$3:$CE$3,"="&amp;$DF45+'Model Setup'!$N$7,$AD45:$BA45)+'Model Setup'!$N$8*(SUMIF($BH$3:$CE$3,"&lt;"&amp;$DF45,$AD45:$BA45)+SUMIF($BH$3:$CE$3,"&gt;"&amp;$CW$4,$AD45:$BA45)),
IF(BH$3&lt;$CW$4,B45,0))))))))))))))),0)</f>
        <v>0</v>
      </c>
      <c r="BI45" s="47">
        <f>ROUND(IF(OR(BI$3&lt;$DF45,BI$3&gt;$CW$4),0,
IF(BI$3=$DF45+'Model Setup'!$B$7,SUMIF($BH$3:$CE$3,"="&amp;$DF45+'Model Setup'!$B$7,$AD45:$BA45)+'Model Setup'!$B$8*(SUMIF($BH$3:$CE$3,"&lt;"&amp;$DF45,$AD45:$BA45)+SUMIF($BH$3:$CE$3,"&gt;"&amp;$CW$4,$AD45:$BA45)),
IF(BI$3=$DF45+'Model Setup'!$C$7,SUMIF($BH$3:$CE$3,"="&amp;$DF45+'Model Setup'!$C$7,$AD45:$BA45)+'Model Setup'!$C$8*(SUMIF($BH$3:$CE$3,"&lt;"&amp;$DF45,$AD45:$BA45)+SUMIF($BH$3:$CE$3,"&gt;"&amp;$CW$4,$AD45:$BA45)),
IF(BI$3=$DF45+'Model Setup'!$D$7,SUMIF($BH$3:$CE$3,"="&amp;$DF45+'Model Setup'!$D$7,$AD45:$BA45)+'Model Setup'!$D$8*(SUMIF($BH$3:$CE$3,"&lt;"&amp;$DF45,$AD45:$BA45)+SUMIF($BH$3:$CE$3,"&gt;"&amp;$CW$4,$AD45:$BA45)),
IF(BI$3=$DF45+'Model Setup'!$E$7,SUMIF($BH$3:$CE$3,"="&amp;$DF45+'Model Setup'!$E$7,$AD45:$BA45)+'Model Setup'!$E$8*(SUMIF($BH$3:$CE$3,"&lt;"&amp;$DF45,$AD45:$BA45)+SUMIF($BH$3:$CE$3,"&gt;"&amp;$CW$4,$AD45:$BA45)),
IF(BI$3=$DF45+'Model Setup'!$F$7,SUMIF($BH$3:$CE$3,"="&amp;$DF45+'Model Setup'!$F$7,$AD45:$BA45)+'Model Setup'!$F$8*(SUMIF($BH$3:$CE$3,"&lt;"&amp;$DF45,$AD45:$BA45)+SUMIF($BH$3:$CE$3,"&gt;"&amp;$CW$4,$AD45:$BA45)),
IF(BI$3=$DF45+'Model Setup'!$G$7,SUMIF($BH$3:$CE$3,"="&amp;$DF45+'Model Setup'!$G$7,$AD45:$BA45)+'Model Setup'!$G$8*(SUMIF($BH$3:$CE$3,"&lt;"&amp;$DF45,$AD45:$BA45)+SUMIF($BH$3:$CE$3,"&gt;"&amp;$CW$4,$AD45:$BA45)),
IF(BI$3=$DF45+'Model Setup'!$H$7,SUMIF($BH$3:$CE$3,"="&amp;$DF45+'Model Setup'!$H$7,$AD45:$BA45)+'Model Setup'!$H$8*(SUMIF($BH$3:$CE$3,"&lt;"&amp;$DF45,$AD45:$BA45)+SUMIF($BH$3:$CE$3,"&gt;"&amp;$CW$4,$AD45:$BA45)),
IF(BI$3=$DF45+'Model Setup'!$I$7,SUMIF($BH$3:$CE$3,"="&amp;$DF45+'Model Setup'!$I$7,$AD45:$BA45)+'Model Setup'!$I$8*(SUMIF($BH$3:$CE$3,"&lt;"&amp;$DF45,$AD45:$BA45)+SUMIF($BH$3:$CE$3,"&gt;"&amp;$CW$4,$AD45:$BA45)),
IF(BI$3=$DF45+'Model Setup'!$J$7,SUMIF($BH$3:$CE$3,"="&amp;$DF45+'Model Setup'!$J$7,$AD45:$BA45)+'Model Setup'!$J$8*(SUMIF($BH$3:$CE$3,"&lt;"&amp;$DF45,$AD45:$BA45)+SUMIF($BH$3:$CE$3,"&gt;"&amp;$CW$4,$AD45:$BA45)),
IF(BI$3=$DF45+'Model Setup'!$K$7,SUMIF($BH$3:$CE$3,"="&amp;$DF45+'Model Setup'!$K$7,$AD45:$BA45)+'Model Setup'!$K$8*(SUMIF($BH$3:$CE$3,"&lt;"&amp;$DF45,$AD45:$BA45)+SUMIF($BH$3:$CE$3,"&gt;"&amp;$CW$4,$AD45:$BA45)),
IF(BI$3=$DF45+'Model Setup'!$L$7,SUMIF($BH$3:$CE$3,"="&amp;$DF45+'Model Setup'!$L$7,$AD45:$BA45)+'Model Setup'!$L$8*(SUMIF($BH$3:$CE$3,"&lt;"&amp;$DF45,$AD45:$BA45)+SUMIF($BH$3:$CE$3,"&gt;"&amp;$CW$4,$AD45:$BA45)),
IF(BI$3=$DF45+'Model Setup'!$M$7,SUMIF($BH$3:$CE$3,"="&amp;$DF45+'Model Setup'!$M$7,$AD45:$BA45)+'Model Setup'!$M$8*(SUMIF($BH$3:$CE$3,"&lt;"&amp;$DF45,$AD45:$BA45)+SUMIF($BH$3:$CE$3,"&gt;"&amp;$CW$4,$AD45:$BA45)),
IF(BI$3=$DF45+'Model Setup'!$N$7,SUMIF($BH$3:$CE$3,"="&amp;$DF45+'Model Setup'!$N$7,$AD45:$BA45)+'Model Setup'!$N$8*(SUMIF($BH$3:$CE$3,"&lt;"&amp;$DF45,$AD45:$BA45)+SUMIF($BH$3:$CE$3,"&gt;"&amp;$CW$4,$AD45:$BA45)),
IF(BI$3&lt;$CW$4,C45,0))))))))))))))),0)</f>
        <v>0</v>
      </c>
      <c r="BJ45" s="47">
        <f>ROUND(IF(OR(BJ$3&lt;$DF45,BJ$3&gt;$CW$4),0,
IF(BJ$3=$DF45+'Model Setup'!$B$7,SUMIF($BH$3:$CE$3,"="&amp;$DF45+'Model Setup'!$B$7,$AD45:$BA45)+'Model Setup'!$B$8*(SUMIF($BH$3:$CE$3,"&lt;"&amp;$DF45,$AD45:$BA45)+SUMIF($BH$3:$CE$3,"&gt;"&amp;$CW$4,$AD45:$BA45)),
IF(BJ$3=$DF45+'Model Setup'!$C$7,SUMIF($BH$3:$CE$3,"="&amp;$DF45+'Model Setup'!$C$7,$AD45:$BA45)+'Model Setup'!$C$8*(SUMIF($BH$3:$CE$3,"&lt;"&amp;$DF45,$AD45:$BA45)+SUMIF($BH$3:$CE$3,"&gt;"&amp;$CW$4,$AD45:$BA45)),
IF(BJ$3=$DF45+'Model Setup'!$D$7,SUMIF($BH$3:$CE$3,"="&amp;$DF45+'Model Setup'!$D$7,$AD45:$BA45)+'Model Setup'!$D$8*(SUMIF($BH$3:$CE$3,"&lt;"&amp;$DF45,$AD45:$BA45)+SUMIF($BH$3:$CE$3,"&gt;"&amp;$CW$4,$AD45:$BA45)),
IF(BJ$3=$DF45+'Model Setup'!$E$7,SUMIF($BH$3:$CE$3,"="&amp;$DF45+'Model Setup'!$E$7,$AD45:$BA45)+'Model Setup'!$E$8*(SUMIF($BH$3:$CE$3,"&lt;"&amp;$DF45,$AD45:$BA45)+SUMIF($BH$3:$CE$3,"&gt;"&amp;$CW$4,$AD45:$BA45)),
IF(BJ$3=$DF45+'Model Setup'!$F$7,SUMIF($BH$3:$CE$3,"="&amp;$DF45+'Model Setup'!$F$7,$AD45:$BA45)+'Model Setup'!$F$8*(SUMIF($BH$3:$CE$3,"&lt;"&amp;$DF45,$AD45:$BA45)+SUMIF($BH$3:$CE$3,"&gt;"&amp;$CW$4,$AD45:$BA45)),
IF(BJ$3=$DF45+'Model Setup'!$G$7,SUMIF($BH$3:$CE$3,"="&amp;$DF45+'Model Setup'!$G$7,$AD45:$BA45)+'Model Setup'!$G$8*(SUMIF($BH$3:$CE$3,"&lt;"&amp;$DF45,$AD45:$BA45)+SUMIF($BH$3:$CE$3,"&gt;"&amp;$CW$4,$AD45:$BA45)),
IF(BJ$3=$DF45+'Model Setup'!$H$7,SUMIF($BH$3:$CE$3,"="&amp;$DF45+'Model Setup'!$H$7,$AD45:$BA45)+'Model Setup'!$H$8*(SUMIF($BH$3:$CE$3,"&lt;"&amp;$DF45,$AD45:$BA45)+SUMIF($BH$3:$CE$3,"&gt;"&amp;$CW$4,$AD45:$BA45)),
IF(BJ$3=$DF45+'Model Setup'!$I$7,SUMIF($BH$3:$CE$3,"="&amp;$DF45+'Model Setup'!$I$7,$AD45:$BA45)+'Model Setup'!$I$8*(SUMIF($BH$3:$CE$3,"&lt;"&amp;$DF45,$AD45:$BA45)+SUMIF($BH$3:$CE$3,"&gt;"&amp;$CW$4,$AD45:$BA45)),
IF(BJ$3=$DF45+'Model Setup'!$J$7,SUMIF($BH$3:$CE$3,"="&amp;$DF45+'Model Setup'!$J$7,$AD45:$BA45)+'Model Setup'!$J$8*(SUMIF($BH$3:$CE$3,"&lt;"&amp;$DF45,$AD45:$BA45)+SUMIF($BH$3:$CE$3,"&gt;"&amp;$CW$4,$AD45:$BA45)),
IF(BJ$3=$DF45+'Model Setup'!$K$7,SUMIF($BH$3:$CE$3,"="&amp;$DF45+'Model Setup'!$K$7,$AD45:$BA45)+'Model Setup'!$K$8*(SUMIF($BH$3:$CE$3,"&lt;"&amp;$DF45,$AD45:$BA45)+SUMIF($BH$3:$CE$3,"&gt;"&amp;$CW$4,$AD45:$BA45)),
IF(BJ$3=$DF45+'Model Setup'!$L$7,SUMIF($BH$3:$CE$3,"="&amp;$DF45+'Model Setup'!$L$7,$AD45:$BA45)+'Model Setup'!$L$8*(SUMIF($BH$3:$CE$3,"&lt;"&amp;$DF45,$AD45:$BA45)+SUMIF($BH$3:$CE$3,"&gt;"&amp;$CW$4,$AD45:$BA45)),
IF(BJ$3=$DF45+'Model Setup'!$M$7,SUMIF($BH$3:$CE$3,"="&amp;$DF45+'Model Setup'!$M$7,$AD45:$BA45)+'Model Setup'!$M$8*(SUMIF($BH$3:$CE$3,"&lt;"&amp;$DF45,$AD45:$BA45)+SUMIF($BH$3:$CE$3,"&gt;"&amp;$CW$4,$AD45:$BA45)),
IF(BJ$3=$DF45+'Model Setup'!$N$7,SUMIF($BH$3:$CE$3,"="&amp;$DF45+'Model Setup'!$N$7,$AD45:$BA45)+'Model Setup'!$N$8*(SUMIF($BH$3:$CE$3,"&lt;"&amp;$DF45,$AD45:$BA45)+SUMIF($BH$3:$CE$3,"&gt;"&amp;$CW$4,$AD45:$BA45)),
IF(BJ$3&lt;$CW$4,D45,0))))))))))))))),0)</f>
        <v>0</v>
      </c>
      <c r="BK45" s="47">
        <f>ROUND(IF(OR(BK$3&lt;$DF45,BK$3&gt;$CW$4),0,
IF(BK$3=$DF45+'Model Setup'!$B$7,SUMIF($BH$3:$CE$3,"="&amp;$DF45+'Model Setup'!$B$7,$AD45:$BA45)+'Model Setup'!$B$8*(SUMIF($BH$3:$CE$3,"&lt;"&amp;$DF45,$AD45:$BA45)+SUMIF($BH$3:$CE$3,"&gt;"&amp;$CW$4,$AD45:$BA45)),
IF(BK$3=$DF45+'Model Setup'!$C$7,SUMIF($BH$3:$CE$3,"="&amp;$DF45+'Model Setup'!$C$7,$AD45:$BA45)+'Model Setup'!$C$8*(SUMIF($BH$3:$CE$3,"&lt;"&amp;$DF45,$AD45:$BA45)+SUMIF($BH$3:$CE$3,"&gt;"&amp;$CW$4,$AD45:$BA45)),
IF(BK$3=$DF45+'Model Setup'!$D$7,SUMIF($BH$3:$CE$3,"="&amp;$DF45+'Model Setup'!$D$7,$AD45:$BA45)+'Model Setup'!$D$8*(SUMIF($BH$3:$CE$3,"&lt;"&amp;$DF45,$AD45:$BA45)+SUMIF($BH$3:$CE$3,"&gt;"&amp;$CW$4,$AD45:$BA45)),
IF(BK$3=$DF45+'Model Setup'!$E$7,SUMIF($BH$3:$CE$3,"="&amp;$DF45+'Model Setup'!$E$7,$AD45:$BA45)+'Model Setup'!$E$8*(SUMIF($BH$3:$CE$3,"&lt;"&amp;$DF45,$AD45:$BA45)+SUMIF($BH$3:$CE$3,"&gt;"&amp;$CW$4,$AD45:$BA45)),
IF(BK$3=$DF45+'Model Setup'!$F$7,SUMIF($BH$3:$CE$3,"="&amp;$DF45+'Model Setup'!$F$7,$AD45:$BA45)+'Model Setup'!$F$8*(SUMIF($BH$3:$CE$3,"&lt;"&amp;$DF45,$AD45:$BA45)+SUMIF($BH$3:$CE$3,"&gt;"&amp;$CW$4,$AD45:$BA45)),
IF(BK$3=$DF45+'Model Setup'!$G$7,SUMIF($BH$3:$CE$3,"="&amp;$DF45+'Model Setup'!$G$7,$AD45:$BA45)+'Model Setup'!$G$8*(SUMIF($BH$3:$CE$3,"&lt;"&amp;$DF45,$AD45:$BA45)+SUMIF($BH$3:$CE$3,"&gt;"&amp;$CW$4,$AD45:$BA45)),
IF(BK$3=$DF45+'Model Setup'!$H$7,SUMIF($BH$3:$CE$3,"="&amp;$DF45+'Model Setup'!$H$7,$AD45:$BA45)+'Model Setup'!$H$8*(SUMIF($BH$3:$CE$3,"&lt;"&amp;$DF45,$AD45:$BA45)+SUMIF($BH$3:$CE$3,"&gt;"&amp;$CW$4,$AD45:$BA45)),
IF(BK$3=$DF45+'Model Setup'!$I$7,SUMIF($BH$3:$CE$3,"="&amp;$DF45+'Model Setup'!$I$7,$AD45:$BA45)+'Model Setup'!$I$8*(SUMIF($BH$3:$CE$3,"&lt;"&amp;$DF45,$AD45:$BA45)+SUMIF($BH$3:$CE$3,"&gt;"&amp;$CW$4,$AD45:$BA45)),
IF(BK$3=$DF45+'Model Setup'!$J$7,SUMIF($BH$3:$CE$3,"="&amp;$DF45+'Model Setup'!$J$7,$AD45:$BA45)+'Model Setup'!$J$8*(SUMIF($BH$3:$CE$3,"&lt;"&amp;$DF45,$AD45:$BA45)+SUMIF($BH$3:$CE$3,"&gt;"&amp;$CW$4,$AD45:$BA45)),
IF(BK$3=$DF45+'Model Setup'!$K$7,SUMIF($BH$3:$CE$3,"="&amp;$DF45+'Model Setup'!$K$7,$AD45:$BA45)+'Model Setup'!$K$8*(SUMIF($BH$3:$CE$3,"&lt;"&amp;$DF45,$AD45:$BA45)+SUMIF($BH$3:$CE$3,"&gt;"&amp;$CW$4,$AD45:$BA45)),
IF(BK$3=$DF45+'Model Setup'!$L$7,SUMIF($BH$3:$CE$3,"="&amp;$DF45+'Model Setup'!$L$7,$AD45:$BA45)+'Model Setup'!$L$8*(SUMIF($BH$3:$CE$3,"&lt;"&amp;$DF45,$AD45:$BA45)+SUMIF($BH$3:$CE$3,"&gt;"&amp;$CW$4,$AD45:$BA45)),
IF(BK$3=$DF45+'Model Setup'!$M$7,SUMIF($BH$3:$CE$3,"="&amp;$DF45+'Model Setup'!$M$7,$AD45:$BA45)+'Model Setup'!$M$8*(SUMIF($BH$3:$CE$3,"&lt;"&amp;$DF45,$AD45:$BA45)+SUMIF($BH$3:$CE$3,"&gt;"&amp;$CW$4,$AD45:$BA45)),
IF(BK$3=$DF45+'Model Setup'!$N$7,SUMIF($BH$3:$CE$3,"="&amp;$DF45+'Model Setup'!$N$7,$AD45:$BA45)+'Model Setup'!$N$8*(SUMIF($BH$3:$CE$3,"&lt;"&amp;$DF45,$AD45:$BA45)+SUMIF($BH$3:$CE$3,"&gt;"&amp;$CW$4,$AD45:$BA45)),
IF(BK$3&lt;$CW$4,E45,0))))))))))))))),0)</f>
        <v>0</v>
      </c>
      <c r="BL45" s="47">
        <f>ROUND(IF(OR(BL$3&lt;$DF45,BL$3&gt;$CW$4),0,
IF(BL$3=$DF45+'Model Setup'!$B$7,SUMIF($BH$3:$CE$3,"="&amp;$DF45+'Model Setup'!$B$7,$AD45:$BA45)+'Model Setup'!$B$8*(SUMIF($BH$3:$CE$3,"&lt;"&amp;$DF45,$AD45:$BA45)+SUMIF($BH$3:$CE$3,"&gt;"&amp;$CW$4,$AD45:$BA45)),
IF(BL$3=$DF45+'Model Setup'!$C$7,SUMIF($BH$3:$CE$3,"="&amp;$DF45+'Model Setup'!$C$7,$AD45:$BA45)+'Model Setup'!$C$8*(SUMIF($BH$3:$CE$3,"&lt;"&amp;$DF45,$AD45:$BA45)+SUMIF($BH$3:$CE$3,"&gt;"&amp;$CW$4,$AD45:$BA45)),
IF(BL$3=$DF45+'Model Setup'!$D$7,SUMIF($BH$3:$CE$3,"="&amp;$DF45+'Model Setup'!$D$7,$AD45:$BA45)+'Model Setup'!$D$8*(SUMIF($BH$3:$CE$3,"&lt;"&amp;$DF45,$AD45:$BA45)+SUMIF($BH$3:$CE$3,"&gt;"&amp;$CW$4,$AD45:$BA45)),
IF(BL$3=$DF45+'Model Setup'!$E$7,SUMIF($BH$3:$CE$3,"="&amp;$DF45+'Model Setup'!$E$7,$AD45:$BA45)+'Model Setup'!$E$8*(SUMIF($BH$3:$CE$3,"&lt;"&amp;$DF45,$AD45:$BA45)+SUMIF($BH$3:$CE$3,"&gt;"&amp;$CW$4,$AD45:$BA45)),
IF(BL$3=$DF45+'Model Setup'!$F$7,SUMIF($BH$3:$CE$3,"="&amp;$DF45+'Model Setup'!$F$7,$AD45:$BA45)+'Model Setup'!$F$8*(SUMIF($BH$3:$CE$3,"&lt;"&amp;$DF45,$AD45:$BA45)+SUMIF($BH$3:$CE$3,"&gt;"&amp;$CW$4,$AD45:$BA45)),
IF(BL$3=$DF45+'Model Setup'!$G$7,SUMIF($BH$3:$CE$3,"="&amp;$DF45+'Model Setup'!$G$7,$AD45:$BA45)+'Model Setup'!$G$8*(SUMIF($BH$3:$CE$3,"&lt;"&amp;$DF45,$AD45:$BA45)+SUMIF($BH$3:$CE$3,"&gt;"&amp;$CW$4,$AD45:$BA45)),
IF(BL$3=$DF45+'Model Setup'!$H$7,SUMIF($BH$3:$CE$3,"="&amp;$DF45+'Model Setup'!$H$7,$AD45:$BA45)+'Model Setup'!$H$8*(SUMIF($BH$3:$CE$3,"&lt;"&amp;$DF45,$AD45:$BA45)+SUMIF($BH$3:$CE$3,"&gt;"&amp;$CW$4,$AD45:$BA45)),
IF(BL$3=$DF45+'Model Setup'!$I$7,SUMIF($BH$3:$CE$3,"="&amp;$DF45+'Model Setup'!$I$7,$AD45:$BA45)+'Model Setup'!$I$8*(SUMIF($BH$3:$CE$3,"&lt;"&amp;$DF45,$AD45:$BA45)+SUMIF($BH$3:$CE$3,"&gt;"&amp;$CW$4,$AD45:$BA45)),
IF(BL$3=$DF45+'Model Setup'!$J$7,SUMIF($BH$3:$CE$3,"="&amp;$DF45+'Model Setup'!$J$7,$AD45:$BA45)+'Model Setup'!$J$8*(SUMIF($BH$3:$CE$3,"&lt;"&amp;$DF45,$AD45:$BA45)+SUMIF($BH$3:$CE$3,"&gt;"&amp;$CW$4,$AD45:$BA45)),
IF(BL$3=$DF45+'Model Setup'!$K$7,SUMIF($BH$3:$CE$3,"="&amp;$DF45+'Model Setup'!$K$7,$AD45:$BA45)+'Model Setup'!$K$8*(SUMIF($BH$3:$CE$3,"&lt;"&amp;$DF45,$AD45:$BA45)+SUMIF($BH$3:$CE$3,"&gt;"&amp;$CW$4,$AD45:$BA45)),
IF(BL$3=$DF45+'Model Setup'!$L$7,SUMIF($BH$3:$CE$3,"="&amp;$DF45+'Model Setup'!$L$7,$AD45:$BA45)+'Model Setup'!$L$8*(SUMIF($BH$3:$CE$3,"&lt;"&amp;$DF45,$AD45:$BA45)+SUMIF($BH$3:$CE$3,"&gt;"&amp;$CW$4,$AD45:$BA45)),
IF(BL$3=$DF45+'Model Setup'!$M$7,SUMIF($BH$3:$CE$3,"="&amp;$DF45+'Model Setup'!$M$7,$AD45:$BA45)+'Model Setup'!$M$8*(SUMIF($BH$3:$CE$3,"&lt;"&amp;$DF45,$AD45:$BA45)+SUMIF($BH$3:$CE$3,"&gt;"&amp;$CW$4,$AD45:$BA45)),
IF(BL$3=$DF45+'Model Setup'!$N$7,SUMIF($BH$3:$CE$3,"="&amp;$DF45+'Model Setup'!$N$7,$AD45:$BA45)+'Model Setup'!$N$8*(SUMIF($BH$3:$CE$3,"&lt;"&amp;$DF45,$AD45:$BA45)+SUMIF($BH$3:$CE$3,"&gt;"&amp;$CW$4,$AD45:$BA45)),
IF(BL$3&lt;$CW$4,F45,0))))))))))))))),0)</f>
        <v>0</v>
      </c>
      <c r="BM45" s="47">
        <f>ROUND(IF(OR(BM$3&lt;$DF45,BM$3&gt;$CW$4),0,
IF(BM$3=$DF45+'Model Setup'!$B$7,SUMIF($BH$3:$CE$3,"="&amp;$DF45+'Model Setup'!$B$7,$AD45:$BA45)+'Model Setup'!$B$8*(SUMIF($BH$3:$CE$3,"&lt;"&amp;$DF45,$AD45:$BA45)+SUMIF($BH$3:$CE$3,"&gt;"&amp;$CW$4,$AD45:$BA45)),
IF(BM$3=$DF45+'Model Setup'!$C$7,SUMIF($BH$3:$CE$3,"="&amp;$DF45+'Model Setup'!$C$7,$AD45:$BA45)+'Model Setup'!$C$8*(SUMIF($BH$3:$CE$3,"&lt;"&amp;$DF45,$AD45:$BA45)+SUMIF($BH$3:$CE$3,"&gt;"&amp;$CW$4,$AD45:$BA45)),
IF(BM$3=$DF45+'Model Setup'!$D$7,SUMIF($BH$3:$CE$3,"="&amp;$DF45+'Model Setup'!$D$7,$AD45:$BA45)+'Model Setup'!$D$8*(SUMIF($BH$3:$CE$3,"&lt;"&amp;$DF45,$AD45:$BA45)+SUMIF($BH$3:$CE$3,"&gt;"&amp;$CW$4,$AD45:$BA45)),
IF(BM$3=$DF45+'Model Setup'!$E$7,SUMIF($BH$3:$CE$3,"="&amp;$DF45+'Model Setup'!$E$7,$AD45:$BA45)+'Model Setup'!$E$8*(SUMIF($BH$3:$CE$3,"&lt;"&amp;$DF45,$AD45:$BA45)+SUMIF($BH$3:$CE$3,"&gt;"&amp;$CW$4,$AD45:$BA45)),
IF(BM$3=$DF45+'Model Setup'!$F$7,SUMIF($BH$3:$CE$3,"="&amp;$DF45+'Model Setup'!$F$7,$AD45:$BA45)+'Model Setup'!$F$8*(SUMIF($BH$3:$CE$3,"&lt;"&amp;$DF45,$AD45:$BA45)+SUMIF($BH$3:$CE$3,"&gt;"&amp;$CW$4,$AD45:$BA45)),
IF(BM$3=$DF45+'Model Setup'!$G$7,SUMIF($BH$3:$CE$3,"="&amp;$DF45+'Model Setup'!$G$7,$AD45:$BA45)+'Model Setup'!$G$8*(SUMIF($BH$3:$CE$3,"&lt;"&amp;$DF45,$AD45:$BA45)+SUMIF($BH$3:$CE$3,"&gt;"&amp;$CW$4,$AD45:$BA45)),
IF(BM$3=$DF45+'Model Setup'!$H$7,SUMIF($BH$3:$CE$3,"="&amp;$DF45+'Model Setup'!$H$7,$AD45:$BA45)+'Model Setup'!$H$8*(SUMIF($BH$3:$CE$3,"&lt;"&amp;$DF45,$AD45:$BA45)+SUMIF($BH$3:$CE$3,"&gt;"&amp;$CW$4,$AD45:$BA45)),
IF(BM$3=$DF45+'Model Setup'!$I$7,SUMIF($BH$3:$CE$3,"="&amp;$DF45+'Model Setup'!$I$7,$AD45:$BA45)+'Model Setup'!$I$8*(SUMIF($BH$3:$CE$3,"&lt;"&amp;$DF45,$AD45:$BA45)+SUMIF($BH$3:$CE$3,"&gt;"&amp;$CW$4,$AD45:$BA45)),
IF(BM$3=$DF45+'Model Setup'!$J$7,SUMIF($BH$3:$CE$3,"="&amp;$DF45+'Model Setup'!$J$7,$AD45:$BA45)+'Model Setup'!$J$8*(SUMIF($BH$3:$CE$3,"&lt;"&amp;$DF45,$AD45:$BA45)+SUMIF($BH$3:$CE$3,"&gt;"&amp;$CW$4,$AD45:$BA45)),
IF(BM$3=$DF45+'Model Setup'!$K$7,SUMIF($BH$3:$CE$3,"="&amp;$DF45+'Model Setup'!$K$7,$AD45:$BA45)+'Model Setup'!$K$8*(SUMIF($BH$3:$CE$3,"&lt;"&amp;$DF45,$AD45:$BA45)+SUMIF($BH$3:$CE$3,"&gt;"&amp;$CW$4,$AD45:$BA45)),
IF(BM$3=$DF45+'Model Setup'!$L$7,SUMIF($BH$3:$CE$3,"="&amp;$DF45+'Model Setup'!$L$7,$AD45:$BA45)+'Model Setup'!$L$8*(SUMIF($BH$3:$CE$3,"&lt;"&amp;$DF45,$AD45:$BA45)+SUMIF($BH$3:$CE$3,"&gt;"&amp;$CW$4,$AD45:$BA45)),
IF(BM$3=$DF45+'Model Setup'!$M$7,SUMIF($BH$3:$CE$3,"="&amp;$DF45+'Model Setup'!$M$7,$AD45:$BA45)+'Model Setup'!$M$8*(SUMIF($BH$3:$CE$3,"&lt;"&amp;$DF45,$AD45:$BA45)+SUMIF($BH$3:$CE$3,"&gt;"&amp;$CW$4,$AD45:$BA45)),
IF(BM$3=$DF45+'Model Setup'!$N$7,SUMIF($BH$3:$CE$3,"="&amp;$DF45+'Model Setup'!$N$7,$AD45:$BA45)+'Model Setup'!$N$8*(SUMIF($BH$3:$CE$3,"&lt;"&amp;$DF45,$AD45:$BA45)+SUMIF($BH$3:$CE$3,"&gt;"&amp;$CW$4,$AD45:$BA45)),
IF(BM$3&lt;$CW$4,G45,0))))))))))))))),0)</f>
        <v>0</v>
      </c>
      <c r="BN45" s="47">
        <f>ROUND(IF(OR(BN$3&lt;$DF45,BN$3&gt;$CW$4),0,
IF(BN$3=$DF45+'Model Setup'!$B$7,SUMIF($BH$3:$CE$3,"="&amp;$DF45+'Model Setup'!$B$7,$AD45:$BA45)+'Model Setup'!$B$8*(SUMIF($BH$3:$CE$3,"&lt;"&amp;$DF45,$AD45:$BA45)+SUMIF($BH$3:$CE$3,"&gt;"&amp;$CW$4,$AD45:$BA45)),
IF(BN$3=$DF45+'Model Setup'!$C$7,SUMIF($BH$3:$CE$3,"="&amp;$DF45+'Model Setup'!$C$7,$AD45:$BA45)+'Model Setup'!$C$8*(SUMIF($BH$3:$CE$3,"&lt;"&amp;$DF45,$AD45:$BA45)+SUMIF($BH$3:$CE$3,"&gt;"&amp;$CW$4,$AD45:$BA45)),
IF(BN$3=$DF45+'Model Setup'!$D$7,SUMIF($BH$3:$CE$3,"="&amp;$DF45+'Model Setup'!$D$7,$AD45:$BA45)+'Model Setup'!$D$8*(SUMIF($BH$3:$CE$3,"&lt;"&amp;$DF45,$AD45:$BA45)+SUMIF($BH$3:$CE$3,"&gt;"&amp;$CW$4,$AD45:$BA45)),
IF(BN$3=$DF45+'Model Setup'!$E$7,SUMIF($BH$3:$CE$3,"="&amp;$DF45+'Model Setup'!$E$7,$AD45:$BA45)+'Model Setup'!$E$8*(SUMIF($BH$3:$CE$3,"&lt;"&amp;$DF45,$AD45:$BA45)+SUMIF($BH$3:$CE$3,"&gt;"&amp;$CW$4,$AD45:$BA45)),
IF(BN$3=$DF45+'Model Setup'!$F$7,SUMIF($BH$3:$CE$3,"="&amp;$DF45+'Model Setup'!$F$7,$AD45:$BA45)+'Model Setup'!$F$8*(SUMIF($BH$3:$CE$3,"&lt;"&amp;$DF45,$AD45:$BA45)+SUMIF($BH$3:$CE$3,"&gt;"&amp;$CW$4,$AD45:$BA45)),
IF(BN$3=$DF45+'Model Setup'!$G$7,SUMIF($BH$3:$CE$3,"="&amp;$DF45+'Model Setup'!$G$7,$AD45:$BA45)+'Model Setup'!$G$8*(SUMIF($BH$3:$CE$3,"&lt;"&amp;$DF45,$AD45:$BA45)+SUMIF($BH$3:$CE$3,"&gt;"&amp;$CW$4,$AD45:$BA45)),
IF(BN$3=$DF45+'Model Setup'!$H$7,SUMIF($BH$3:$CE$3,"="&amp;$DF45+'Model Setup'!$H$7,$AD45:$BA45)+'Model Setup'!$H$8*(SUMIF($BH$3:$CE$3,"&lt;"&amp;$DF45,$AD45:$BA45)+SUMIF($BH$3:$CE$3,"&gt;"&amp;$CW$4,$AD45:$BA45)),
IF(BN$3=$DF45+'Model Setup'!$I$7,SUMIF($BH$3:$CE$3,"="&amp;$DF45+'Model Setup'!$I$7,$AD45:$BA45)+'Model Setup'!$I$8*(SUMIF($BH$3:$CE$3,"&lt;"&amp;$DF45,$AD45:$BA45)+SUMIF($BH$3:$CE$3,"&gt;"&amp;$CW$4,$AD45:$BA45)),
IF(BN$3=$DF45+'Model Setup'!$J$7,SUMIF($BH$3:$CE$3,"="&amp;$DF45+'Model Setup'!$J$7,$AD45:$BA45)+'Model Setup'!$J$8*(SUMIF($BH$3:$CE$3,"&lt;"&amp;$DF45,$AD45:$BA45)+SUMIF($BH$3:$CE$3,"&gt;"&amp;$CW$4,$AD45:$BA45)),
IF(BN$3=$DF45+'Model Setup'!$K$7,SUMIF($BH$3:$CE$3,"="&amp;$DF45+'Model Setup'!$K$7,$AD45:$BA45)+'Model Setup'!$K$8*(SUMIF($BH$3:$CE$3,"&lt;"&amp;$DF45,$AD45:$BA45)+SUMIF($BH$3:$CE$3,"&gt;"&amp;$CW$4,$AD45:$BA45)),
IF(BN$3=$DF45+'Model Setup'!$L$7,SUMIF($BH$3:$CE$3,"="&amp;$DF45+'Model Setup'!$L$7,$AD45:$BA45)+'Model Setup'!$L$8*(SUMIF($BH$3:$CE$3,"&lt;"&amp;$DF45,$AD45:$BA45)+SUMIF($BH$3:$CE$3,"&gt;"&amp;$CW$4,$AD45:$BA45)),
IF(BN$3=$DF45+'Model Setup'!$M$7,SUMIF($BH$3:$CE$3,"="&amp;$DF45+'Model Setup'!$M$7,$AD45:$BA45)+'Model Setup'!$M$8*(SUMIF($BH$3:$CE$3,"&lt;"&amp;$DF45,$AD45:$BA45)+SUMIF($BH$3:$CE$3,"&gt;"&amp;$CW$4,$AD45:$BA45)),
IF(BN$3=$DF45+'Model Setup'!$N$7,SUMIF($BH$3:$CE$3,"="&amp;$DF45+'Model Setup'!$N$7,$AD45:$BA45)+'Model Setup'!$N$8*(SUMIF($BH$3:$CE$3,"&lt;"&amp;$DF45,$AD45:$BA45)+SUMIF($BH$3:$CE$3,"&gt;"&amp;$CW$4,$AD45:$BA45)),
IF(BN$3&lt;$CW$4,H45,0))))))))))))))),0)</f>
        <v>0</v>
      </c>
      <c r="BO45" s="47">
        <f>ROUND(IF(OR(BO$3&lt;$DF45,BO$3&gt;$CW$4),0,
IF(BO$3=$DF45+'Model Setup'!$B$7,SUMIF($BH$3:$CE$3,"="&amp;$DF45+'Model Setup'!$B$7,$AD45:$BA45)+'Model Setup'!$B$8*(SUMIF($BH$3:$CE$3,"&lt;"&amp;$DF45,$AD45:$BA45)+SUMIF($BH$3:$CE$3,"&gt;"&amp;$CW$4,$AD45:$BA45)),
IF(BO$3=$DF45+'Model Setup'!$C$7,SUMIF($BH$3:$CE$3,"="&amp;$DF45+'Model Setup'!$C$7,$AD45:$BA45)+'Model Setup'!$C$8*(SUMIF($BH$3:$CE$3,"&lt;"&amp;$DF45,$AD45:$BA45)+SUMIF($BH$3:$CE$3,"&gt;"&amp;$CW$4,$AD45:$BA45)),
IF(BO$3=$DF45+'Model Setup'!$D$7,SUMIF($BH$3:$CE$3,"="&amp;$DF45+'Model Setup'!$D$7,$AD45:$BA45)+'Model Setup'!$D$8*(SUMIF($BH$3:$CE$3,"&lt;"&amp;$DF45,$AD45:$BA45)+SUMIF($BH$3:$CE$3,"&gt;"&amp;$CW$4,$AD45:$BA45)),
IF(BO$3=$DF45+'Model Setup'!$E$7,SUMIF($BH$3:$CE$3,"="&amp;$DF45+'Model Setup'!$E$7,$AD45:$BA45)+'Model Setup'!$E$8*(SUMIF($BH$3:$CE$3,"&lt;"&amp;$DF45,$AD45:$BA45)+SUMIF($BH$3:$CE$3,"&gt;"&amp;$CW$4,$AD45:$BA45)),
IF(BO$3=$DF45+'Model Setup'!$F$7,SUMIF($BH$3:$CE$3,"="&amp;$DF45+'Model Setup'!$F$7,$AD45:$BA45)+'Model Setup'!$F$8*(SUMIF($BH$3:$CE$3,"&lt;"&amp;$DF45,$AD45:$BA45)+SUMIF($BH$3:$CE$3,"&gt;"&amp;$CW$4,$AD45:$BA45)),
IF(BO$3=$DF45+'Model Setup'!$G$7,SUMIF($BH$3:$CE$3,"="&amp;$DF45+'Model Setup'!$G$7,$AD45:$BA45)+'Model Setup'!$G$8*(SUMIF($BH$3:$CE$3,"&lt;"&amp;$DF45,$AD45:$BA45)+SUMIF($BH$3:$CE$3,"&gt;"&amp;$CW$4,$AD45:$BA45)),
IF(BO$3=$DF45+'Model Setup'!$H$7,SUMIF($BH$3:$CE$3,"="&amp;$DF45+'Model Setup'!$H$7,$AD45:$BA45)+'Model Setup'!$H$8*(SUMIF($BH$3:$CE$3,"&lt;"&amp;$DF45,$AD45:$BA45)+SUMIF($BH$3:$CE$3,"&gt;"&amp;$CW$4,$AD45:$BA45)),
IF(BO$3=$DF45+'Model Setup'!$I$7,SUMIF($BH$3:$CE$3,"="&amp;$DF45+'Model Setup'!$I$7,$AD45:$BA45)+'Model Setup'!$I$8*(SUMIF($BH$3:$CE$3,"&lt;"&amp;$DF45,$AD45:$BA45)+SUMIF($BH$3:$CE$3,"&gt;"&amp;$CW$4,$AD45:$BA45)),
IF(BO$3=$DF45+'Model Setup'!$J$7,SUMIF($BH$3:$CE$3,"="&amp;$DF45+'Model Setup'!$J$7,$AD45:$BA45)+'Model Setup'!$J$8*(SUMIF($BH$3:$CE$3,"&lt;"&amp;$DF45,$AD45:$BA45)+SUMIF($BH$3:$CE$3,"&gt;"&amp;$CW$4,$AD45:$BA45)),
IF(BO$3=$DF45+'Model Setup'!$K$7,SUMIF($BH$3:$CE$3,"="&amp;$DF45+'Model Setup'!$K$7,$AD45:$BA45)+'Model Setup'!$K$8*(SUMIF($BH$3:$CE$3,"&lt;"&amp;$DF45,$AD45:$BA45)+SUMIF($BH$3:$CE$3,"&gt;"&amp;$CW$4,$AD45:$BA45)),
IF(BO$3=$DF45+'Model Setup'!$L$7,SUMIF($BH$3:$CE$3,"="&amp;$DF45+'Model Setup'!$L$7,$AD45:$BA45)+'Model Setup'!$L$8*(SUMIF($BH$3:$CE$3,"&lt;"&amp;$DF45,$AD45:$BA45)+SUMIF($BH$3:$CE$3,"&gt;"&amp;$CW$4,$AD45:$BA45)),
IF(BO$3=$DF45+'Model Setup'!$M$7,SUMIF($BH$3:$CE$3,"="&amp;$DF45+'Model Setup'!$M$7,$AD45:$BA45)+'Model Setup'!$M$8*(SUMIF($BH$3:$CE$3,"&lt;"&amp;$DF45,$AD45:$BA45)+SUMIF($BH$3:$CE$3,"&gt;"&amp;$CW$4,$AD45:$BA45)),
IF(BO$3=$DF45+'Model Setup'!$N$7,SUMIF($BH$3:$CE$3,"="&amp;$DF45+'Model Setup'!$N$7,$AD45:$BA45)+'Model Setup'!$N$8*(SUMIF($BH$3:$CE$3,"&lt;"&amp;$DF45,$AD45:$BA45)+SUMIF($BH$3:$CE$3,"&gt;"&amp;$CW$4,$AD45:$BA45)),
IF(BO$3&lt;$CW$4,I45,0))))))))))))))),0)</f>
        <v>9</v>
      </c>
      <c r="BP45" s="47">
        <f>ROUND(IF(OR(BP$3&lt;$DF45,BP$3&gt;$CW$4),0,
IF(BP$3=$DF45+'Model Setup'!$B$7,SUMIF($BH$3:$CE$3,"="&amp;$DF45+'Model Setup'!$B$7,$AD45:$BA45)+'Model Setup'!$B$8*(SUMIF($BH$3:$CE$3,"&lt;"&amp;$DF45,$AD45:$BA45)+SUMIF($BH$3:$CE$3,"&gt;"&amp;$CW$4,$AD45:$BA45)),
IF(BP$3=$DF45+'Model Setup'!$C$7,SUMIF($BH$3:$CE$3,"="&amp;$DF45+'Model Setup'!$C$7,$AD45:$BA45)+'Model Setup'!$C$8*(SUMIF($BH$3:$CE$3,"&lt;"&amp;$DF45,$AD45:$BA45)+SUMIF($BH$3:$CE$3,"&gt;"&amp;$CW$4,$AD45:$BA45)),
IF(BP$3=$DF45+'Model Setup'!$D$7,SUMIF($BH$3:$CE$3,"="&amp;$DF45+'Model Setup'!$D$7,$AD45:$BA45)+'Model Setup'!$D$8*(SUMIF($BH$3:$CE$3,"&lt;"&amp;$DF45,$AD45:$BA45)+SUMIF($BH$3:$CE$3,"&gt;"&amp;$CW$4,$AD45:$BA45)),
IF(BP$3=$DF45+'Model Setup'!$E$7,SUMIF($BH$3:$CE$3,"="&amp;$DF45+'Model Setup'!$E$7,$AD45:$BA45)+'Model Setup'!$E$8*(SUMIF($BH$3:$CE$3,"&lt;"&amp;$DF45,$AD45:$BA45)+SUMIF($BH$3:$CE$3,"&gt;"&amp;$CW$4,$AD45:$BA45)),
IF(BP$3=$DF45+'Model Setup'!$F$7,SUMIF($BH$3:$CE$3,"="&amp;$DF45+'Model Setup'!$F$7,$AD45:$BA45)+'Model Setup'!$F$8*(SUMIF($BH$3:$CE$3,"&lt;"&amp;$DF45,$AD45:$BA45)+SUMIF($BH$3:$CE$3,"&gt;"&amp;$CW$4,$AD45:$BA45)),
IF(BP$3=$DF45+'Model Setup'!$G$7,SUMIF($BH$3:$CE$3,"="&amp;$DF45+'Model Setup'!$G$7,$AD45:$BA45)+'Model Setup'!$G$8*(SUMIF($BH$3:$CE$3,"&lt;"&amp;$DF45,$AD45:$BA45)+SUMIF($BH$3:$CE$3,"&gt;"&amp;$CW$4,$AD45:$BA45)),
IF(BP$3=$DF45+'Model Setup'!$H$7,SUMIF($BH$3:$CE$3,"="&amp;$DF45+'Model Setup'!$H$7,$AD45:$BA45)+'Model Setup'!$H$8*(SUMIF($BH$3:$CE$3,"&lt;"&amp;$DF45,$AD45:$BA45)+SUMIF($BH$3:$CE$3,"&gt;"&amp;$CW$4,$AD45:$BA45)),
IF(BP$3=$DF45+'Model Setup'!$I$7,SUMIF($BH$3:$CE$3,"="&amp;$DF45+'Model Setup'!$I$7,$AD45:$BA45)+'Model Setup'!$I$8*(SUMIF($BH$3:$CE$3,"&lt;"&amp;$DF45,$AD45:$BA45)+SUMIF($BH$3:$CE$3,"&gt;"&amp;$CW$4,$AD45:$BA45)),
IF(BP$3=$DF45+'Model Setup'!$J$7,SUMIF($BH$3:$CE$3,"="&amp;$DF45+'Model Setup'!$J$7,$AD45:$BA45)+'Model Setup'!$J$8*(SUMIF($BH$3:$CE$3,"&lt;"&amp;$DF45,$AD45:$BA45)+SUMIF($BH$3:$CE$3,"&gt;"&amp;$CW$4,$AD45:$BA45)),
IF(BP$3=$DF45+'Model Setup'!$K$7,SUMIF($BH$3:$CE$3,"="&amp;$DF45+'Model Setup'!$K$7,$AD45:$BA45)+'Model Setup'!$K$8*(SUMIF($BH$3:$CE$3,"&lt;"&amp;$DF45,$AD45:$BA45)+SUMIF($BH$3:$CE$3,"&gt;"&amp;$CW$4,$AD45:$BA45)),
IF(BP$3=$DF45+'Model Setup'!$L$7,SUMIF($BH$3:$CE$3,"="&amp;$DF45+'Model Setup'!$L$7,$AD45:$BA45)+'Model Setup'!$L$8*(SUMIF($BH$3:$CE$3,"&lt;"&amp;$DF45,$AD45:$BA45)+SUMIF($BH$3:$CE$3,"&gt;"&amp;$CW$4,$AD45:$BA45)),
IF(BP$3=$DF45+'Model Setup'!$M$7,SUMIF($BH$3:$CE$3,"="&amp;$DF45+'Model Setup'!$M$7,$AD45:$BA45)+'Model Setup'!$M$8*(SUMIF($BH$3:$CE$3,"&lt;"&amp;$DF45,$AD45:$BA45)+SUMIF($BH$3:$CE$3,"&gt;"&amp;$CW$4,$AD45:$BA45)),
IF(BP$3=$DF45+'Model Setup'!$N$7,SUMIF($BH$3:$CE$3,"="&amp;$DF45+'Model Setup'!$N$7,$AD45:$BA45)+'Model Setup'!$N$8*(SUMIF($BH$3:$CE$3,"&lt;"&amp;$DF45,$AD45:$BA45)+SUMIF($BH$3:$CE$3,"&gt;"&amp;$CW$4,$AD45:$BA45)),
IF(BP$3&lt;$CW$4,J45,0))))))))))))))),0)</f>
        <v>16</v>
      </c>
      <c r="BQ45" s="47">
        <f>ROUND(IF(OR(BQ$3&lt;$DF45,BQ$3&gt;$CW$4),0,
IF(BQ$3=$DF45+'Model Setup'!$B$7,SUMIF($BH$3:$CE$3,"="&amp;$DF45+'Model Setup'!$B$7,$AD45:$BA45)+'Model Setup'!$B$8*(SUMIF($BH$3:$CE$3,"&lt;"&amp;$DF45,$AD45:$BA45)+SUMIF($BH$3:$CE$3,"&gt;"&amp;$CW$4,$AD45:$BA45)),
IF(BQ$3=$DF45+'Model Setup'!$C$7,SUMIF($BH$3:$CE$3,"="&amp;$DF45+'Model Setup'!$C$7,$AD45:$BA45)+'Model Setup'!$C$8*(SUMIF($BH$3:$CE$3,"&lt;"&amp;$DF45,$AD45:$BA45)+SUMIF($BH$3:$CE$3,"&gt;"&amp;$CW$4,$AD45:$BA45)),
IF(BQ$3=$DF45+'Model Setup'!$D$7,SUMIF($BH$3:$CE$3,"="&amp;$DF45+'Model Setup'!$D$7,$AD45:$BA45)+'Model Setup'!$D$8*(SUMIF($BH$3:$CE$3,"&lt;"&amp;$DF45,$AD45:$BA45)+SUMIF($BH$3:$CE$3,"&gt;"&amp;$CW$4,$AD45:$BA45)),
IF(BQ$3=$DF45+'Model Setup'!$E$7,SUMIF($BH$3:$CE$3,"="&amp;$DF45+'Model Setup'!$E$7,$AD45:$BA45)+'Model Setup'!$E$8*(SUMIF($BH$3:$CE$3,"&lt;"&amp;$DF45,$AD45:$BA45)+SUMIF($BH$3:$CE$3,"&gt;"&amp;$CW$4,$AD45:$BA45)),
IF(BQ$3=$DF45+'Model Setup'!$F$7,SUMIF($BH$3:$CE$3,"="&amp;$DF45+'Model Setup'!$F$7,$AD45:$BA45)+'Model Setup'!$F$8*(SUMIF($BH$3:$CE$3,"&lt;"&amp;$DF45,$AD45:$BA45)+SUMIF($BH$3:$CE$3,"&gt;"&amp;$CW$4,$AD45:$BA45)),
IF(BQ$3=$DF45+'Model Setup'!$G$7,SUMIF($BH$3:$CE$3,"="&amp;$DF45+'Model Setup'!$G$7,$AD45:$BA45)+'Model Setup'!$G$8*(SUMIF($BH$3:$CE$3,"&lt;"&amp;$DF45,$AD45:$BA45)+SUMIF($BH$3:$CE$3,"&gt;"&amp;$CW$4,$AD45:$BA45)),
IF(BQ$3=$DF45+'Model Setup'!$H$7,SUMIF($BH$3:$CE$3,"="&amp;$DF45+'Model Setup'!$H$7,$AD45:$BA45)+'Model Setup'!$H$8*(SUMIF($BH$3:$CE$3,"&lt;"&amp;$DF45,$AD45:$BA45)+SUMIF($BH$3:$CE$3,"&gt;"&amp;$CW$4,$AD45:$BA45)),
IF(BQ$3=$DF45+'Model Setup'!$I$7,SUMIF($BH$3:$CE$3,"="&amp;$DF45+'Model Setup'!$I$7,$AD45:$BA45)+'Model Setup'!$I$8*(SUMIF($BH$3:$CE$3,"&lt;"&amp;$DF45,$AD45:$BA45)+SUMIF($BH$3:$CE$3,"&gt;"&amp;$CW$4,$AD45:$BA45)),
IF(BQ$3=$DF45+'Model Setup'!$J$7,SUMIF($BH$3:$CE$3,"="&amp;$DF45+'Model Setup'!$J$7,$AD45:$BA45)+'Model Setup'!$J$8*(SUMIF($BH$3:$CE$3,"&lt;"&amp;$DF45,$AD45:$BA45)+SUMIF($BH$3:$CE$3,"&gt;"&amp;$CW$4,$AD45:$BA45)),
IF(BQ$3=$DF45+'Model Setup'!$K$7,SUMIF($BH$3:$CE$3,"="&amp;$DF45+'Model Setup'!$K$7,$AD45:$BA45)+'Model Setup'!$K$8*(SUMIF($BH$3:$CE$3,"&lt;"&amp;$DF45,$AD45:$BA45)+SUMIF($BH$3:$CE$3,"&gt;"&amp;$CW$4,$AD45:$BA45)),
IF(BQ$3=$DF45+'Model Setup'!$L$7,SUMIF($BH$3:$CE$3,"="&amp;$DF45+'Model Setup'!$L$7,$AD45:$BA45)+'Model Setup'!$L$8*(SUMIF($BH$3:$CE$3,"&lt;"&amp;$DF45,$AD45:$BA45)+SUMIF($BH$3:$CE$3,"&gt;"&amp;$CW$4,$AD45:$BA45)),
IF(BQ$3=$DF45+'Model Setup'!$M$7,SUMIF($BH$3:$CE$3,"="&amp;$DF45+'Model Setup'!$M$7,$AD45:$BA45)+'Model Setup'!$M$8*(SUMIF($BH$3:$CE$3,"&lt;"&amp;$DF45,$AD45:$BA45)+SUMIF($BH$3:$CE$3,"&gt;"&amp;$CW$4,$AD45:$BA45)),
IF(BQ$3=$DF45+'Model Setup'!$N$7,SUMIF($BH$3:$CE$3,"="&amp;$DF45+'Model Setup'!$N$7,$AD45:$BA45)+'Model Setup'!$N$8*(SUMIF($BH$3:$CE$3,"&lt;"&amp;$DF45,$AD45:$BA45)+SUMIF($BH$3:$CE$3,"&gt;"&amp;$CW$4,$AD45:$BA45)),
IF(BQ$3&lt;$CW$4,K45,0))))))))))))))),0)</f>
        <v>18</v>
      </c>
      <c r="BR45" s="47">
        <f>ROUND(IF(OR(BR$3&lt;$DF45,BR$3&gt;$CW$4),0,
IF(BR$3=$DF45+'Model Setup'!$B$7,SUMIF($BH$3:$CE$3,"="&amp;$DF45+'Model Setup'!$B$7,$AD45:$BA45)+'Model Setup'!$B$8*(SUMIF($BH$3:$CE$3,"&lt;"&amp;$DF45,$AD45:$BA45)+SUMIF($BH$3:$CE$3,"&gt;"&amp;$CW$4,$AD45:$BA45)),
IF(BR$3=$DF45+'Model Setup'!$C$7,SUMIF($BH$3:$CE$3,"="&amp;$DF45+'Model Setup'!$C$7,$AD45:$BA45)+'Model Setup'!$C$8*(SUMIF($BH$3:$CE$3,"&lt;"&amp;$DF45,$AD45:$BA45)+SUMIF($BH$3:$CE$3,"&gt;"&amp;$CW$4,$AD45:$BA45)),
IF(BR$3=$DF45+'Model Setup'!$D$7,SUMIF($BH$3:$CE$3,"="&amp;$DF45+'Model Setup'!$D$7,$AD45:$BA45)+'Model Setup'!$D$8*(SUMIF($BH$3:$CE$3,"&lt;"&amp;$DF45,$AD45:$BA45)+SUMIF($BH$3:$CE$3,"&gt;"&amp;$CW$4,$AD45:$BA45)),
IF(BR$3=$DF45+'Model Setup'!$E$7,SUMIF($BH$3:$CE$3,"="&amp;$DF45+'Model Setup'!$E$7,$AD45:$BA45)+'Model Setup'!$E$8*(SUMIF($BH$3:$CE$3,"&lt;"&amp;$DF45,$AD45:$BA45)+SUMIF($BH$3:$CE$3,"&gt;"&amp;$CW$4,$AD45:$BA45)),
IF(BR$3=$DF45+'Model Setup'!$F$7,SUMIF($BH$3:$CE$3,"="&amp;$DF45+'Model Setup'!$F$7,$AD45:$BA45)+'Model Setup'!$F$8*(SUMIF($BH$3:$CE$3,"&lt;"&amp;$DF45,$AD45:$BA45)+SUMIF($BH$3:$CE$3,"&gt;"&amp;$CW$4,$AD45:$BA45)),
IF(BR$3=$DF45+'Model Setup'!$G$7,SUMIF($BH$3:$CE$3,"="&amp;$DF45+'Model Setup'!$G$7,$AD45:$BA45)+'Model Setup'!$G$8*(SUMIF($BH$3:$CE$3,"&lt;"&amp;$DF45,$AD45:$BA45)+SUMIF($BH$3:$CE$3,"&gt;"&amp;$CW$4,$AD45:$BA45)),
IF(BR$3=$DF45+'Model Setup'!$H$7,SUMIF($BH$3:$CE$3,"="&amp;$DF45+'Model Setup'!$H$7,$AD45:$BA45)+'Model Setup'!$H$8*(SUMIF($BH$3:$CE$3,"&lt;"&amp;$DF45,$AD45:$BA45)+SUMIF($BH$3:$CE$3,"&gt;"&amp;$CW$4,$AD45:$BA45)),
IF(BR$3=$DF45+'Model Setup'!$I$7,SUMIF($BH$3:$CE$3,"="&amp;$DF45+'Model Setup'!$I$7,$AD45:$BA45)+'Model Setup'!$I$8*(SUMIF($BH$3:$CE$3,"&lt;"&amp;$DF45,$AD45:$BA45)+SUMIF($BH$3:$CE$3,"&gt;"&amp;$CW$4,$AD45:$BA45)),
IF(BR$3=$DF45+'Model Setup'!$J$7,SUMIF($BH$3:$CE$3,"="&amp;$DF45+'Model Setup'!$J$7,$AD45:$BA45)+'Model Setup'!$J$8*(SUMIF($BH$3:$CE$3,"&lt;"&amp;$DF45,$AD45:$BA45)+SUMIF($BH$3:$CE$3,"&gt;"&amp;$CW$4,$AD45:$BA45)),
IF(BR$3=$DF45+'Model Setup'!$K$7,SUMIF($BH$3:$CE$3,"="&amp;$DF45+'Model Setup'!$K$7,$AD45:$BA45)+'Model Setup'!$K$8*(SUMIF($BH$3:$CE$3,"&lt;"&amp;$DF45,$AD45:$BA45)+SUMIF($BH$3:$CE$3,"&gt;"&amp;$CW$4,$AD45:$BA45)),
IF(BR$3=$DF45+'Model Setup'!$L$7,SUMIF($BH$3:$CE$3,"="&amp;$DF45+'Model Setup'!$L$7,$AD45:$BA45)+'Model Setup'!$L$8*(SUMIF($BH$3:$CE$3,"&lt;"&amp;$DF45,$AD45:$BA45)+SUMIF($BH$3:$CE$3,"&gt;"&amp;$CW$4,$AD45:$BA45)),
IF(BR$3=$DF45+'Model Setup'!$M$7,SUMIF($BH$3:$CE$3,"="&amp;$DF45+'Model Setup'!$M$7,$AD45:$BA45)+'Model Setup'!$M$8*(SUMIF($BH$3:$CE$3,"&lt;"&amp;$DF45,$AD45:$BA45)+SUMIF($BH$3:$CE$3,"&gt;"&amp;$CW$4,$AD45:$BA45)),
IF(BR$3=$DF45+'Model Setup'!$N$7,SUMIF($BH$3:$CE$3,"="&amp;$DF45+'Model Setup'!$N$7,$AD45:$BA45)+'Model Setup'!$N$8*(SUMIF($BH$3:$CE$3,"&lt;"&amp;$DF45,$AD45:$BA45)+SUMIF($BH$3:$CE$3,"&gt;"&amp;$CW$4,$AD45:$BA45)),
IF(BR$3&lt;$CW$4,L45,0))))))))))))))),0)</f>
        <v>7</v>
      </c>
      <c r="BS45" s="47">
        <f>ROUND(IF(OR(BS$3&lt;$DF45,BS$3&gt;$CW$4),0,
IF(BS$3=$DF45+'Model Setup'!$B$7,SUMIF($BH$3:$CE$3,"="&amp;$DF45+'Model Setup'!$B$7,$AD45:$BA45)+'Model Setup'!$B$8*(SUMIF($BH$3:$CE$3,"&lt;"&amp;$DF45,$AD45:$BA45)+SUMIF($BH$3:$CE$3,"&gt;"&amp;$CW$4,$AD45:$BA45)),
IF(BS$3=$DF45+'Model Setup'!$C$7,SUMIF($BH$3:$CE$3,"="&amp;$DF45+'Model Setup'!$C$7,$AD45:$BA45)+'Model Setup'!$C$8*(SUMIF($BH$3:$CE$3,"&lt;"&amp;$DF45,$AD45:$BA45)+SUMIF($BH$3:$CE$3,"&gt;"&amp;$CW$4,$AD45:$BA45)),
IF(BS$3=$DF45+'Model Setup'!$D$7,SUMIF($BH$3:$CE$3,"="&amp;$DF45+'Model Setup'!$D$7,$AD45:$BA45)+'Model Setup'!$D$8*(SUMIF($BH$3:$CE$3,"&lt;"&amp;$DF45,$AD45:$BA45)+SUMIF($BH$3:$CE$3,"&gt;"&amp;$CW$4,$AD45:$BA45)),
IF(BS$3=$DF45+'Model Setup'!$E$7,SUMIF($BH$3:$CE$3,"="&amp;$DF45+'Model Setup'!$E$7,$AD45:$BA45)+'Model Setup'!$E$8*(SUMIF($BH$3:$CE$3,"&lt;"&amp;$DF45,$AD45:$BA45)+SUMIF($BH$3:$CE$3,"&gt;"&amp;$CW$4,$AD45:$BA45)),
IF(BS$3=$DF45+'Model Setup'!$F$7,SUMIF($BH$3:$CE$3,"="&amp;$DF45+'Model Setup'!$F$7,$AD45:$BA45)+'Model Setup'!$F$8*(SUMIF($BH$3:$CE$3,"&lt;"&amp;$DF45,$AD45:$BA45)+SUMIF($BH$3:$CE$3,"&gt;"&amp;$CW$4,$AD45:$BA45)),
IF(BS$3=$DF45+'Model Setup'!$G$7,SUMIF($BH$3:$CE$3,"="&amp;$DF45+'Model Setup'!$G$7,$AD45:$BA45)+'Model Setup'!$G$8*(SUMIF($BH$3:$CE$3,"&lt;"&amp;$DF45,$AD45:$BA45)+SUMIF($BH$3:$CE$3,"&gt;"&amp;$CW$4,$AD45:$BA45)),
IF(BS$3=$DF45+'Model Setup'!$H$7,SUMIF($BH$3:$CE$3,"="&amp;$DF45+'Model Setup'!$H$7,$AD45:$BA45)+'Model Setup'!$H$8*(SUMIF($BH$3:$CE$3,"&lt;"&amp;$DF45,$AD45:$BA45)+SUMIF($BH$3:$CE$3,"&gt;"&amp;$CW$4,$AD45:$BA45)),
IF(BS$3=$DF45+'Model Setup'!$I$7,SUMIF($BH$3:$CE$3,"="&amp;$DF45+'Model Setup'!$I$7,$AD45:$BA45)+'Model Setup'!$I$8*(SUMIF($BH$3:$CE$3,"&lt;"&amp;$DF45,$AD45:$BA45)+SUMIF($BH$3:$CE$3,"&gt;"&amp;$CW$4,$AD45:$BA45)),
IF(BS$3=$DF45+'Model Setup'!$J$7,SUMIF($BH$3:$CE$3,"="&amp;$DF45+'Model Setup'!$J$7,$AD45:$BA45)+'Model Setup'!$J$8*(SUMIF($BH$3:$CE$3,"&lt;"&amp;$DF45,$AD45:$BA45)+SUMIF($BH$3:$CE$3,"&gt;"&amp;$CW$4,$AD45:$BA45)),
IF(BS$3=$DF45+'Model Setup'!$K$7,SUMIF($BH$3:$CE$3,"="&amp;$DF45+'Model Setup'!$K$7,$AD45:$BA45)+'Model Setup'!$K$8*(SUMIF($BH$3:$CE$3,"&lt;"&amp;$DF45,$AD45:$BA45)+SUMIF($BH$3:$CE$3,"&gt;"&amp;$CW$4,$AD45:$BA45)),
IF(BS$3=$DF45+'Model Setup'!$L$7,SUMIF($BH$3:$CE$3,"="&amp;$DF45+'Model Setup'!$L$7,$AD45:$BA45)+'Model Setup'!$L$8*(SUMIF($BH$3:$CE$3,"&lt;"&amp;$DF45,$AD45:$BA45)+SUMIF($BH$3:$CE$3,"&gt;"&amp;$CW$4,$AD45:$BA45)),
IF(BS$3=$DF45+'Model Setup'!$M$7,SUMIF($BH$3:$CE$3,"="&amp;$DF45+'Model Setup'!$M$7,$AD45:$BA45)+'Model Setup'!$M$8*(SUMIF($BH$3:$CE$3,"&lt;"&amp;$DF45,$AD45:$BA45)+SUMIF($BH$3:$CE$3,"&gt;"&amp;$CW$4,$AD45:$BA45)),
IF(BS$3=$DF45+'Model Setup'!$N$7,SUMIF($BH$3:$CE$3,"="&amp;$DF45+'Model Setup'!$N$7,$AD45:$BA45)+'Model Setup'!$N$8*(SUMIF($BH$3:$CE$3,"&lt;"&amp;$DF45,$AD45:$BA45)+SUMIF($BH$3:$CE$3,"&gt;"&amp;$CW$4,$AD45:$BA45)),
IF(BS$3&lt;$CW$4,M45,0))))))))))))))),0)</f>
        <v>10</v>
      </c>
      <c r="BT45" s="47">
        <f>ROUND(IF(OR(BT$3&lt;$DF45,BT$3&gt;$CW$4),0,
IF(BT$3=$DF45+'Model Setup'!$B$7,SUMIF($BH$3:$CE$3,"="&amp;$DF45+'Model Setup'!$B$7,$AD45:$BA45)+'Model Setup'!$B$8*(SUMIF($BH$3:$CE$3,"&lt;"&amp;$DF45,$AD45:$BA45)+SUMIF($BH$3:$CE$3,"&gt;"&amp;$CW$4,$AD45:$BA45)),
IF(BT$3=$DF45+'Model Setup'!$C$7,SUMIF($BH$3:$CE$3,"="&amp;$DF45+'Model Setup'!$C$7,$AD45:$BA45)+'Model Setup'!$C$8*(SUMIF($BH$3:$CE$3,"&lt;"&amp;$DF45,$AD45:$BA45)+SUMIF($BH$3:$CE$3,"&gt;"&amp;$CW$4,$AD45:$BA45)),
IF(BT$3=$DF45+'Model Setup'!$D$7,SUMIF($BH$3:$CE$3,"="&amp;$DF45+'Model Setup'!$D$7,$AD45:$BA45)+'Model Setup'!$D$8*(SUMIF($BH$3:$CE$3,"&lt;"&amp;$DF45,$AD45:$BA45)+SUMIF($BH$3:$CE$3,"&gt;"&amp;$CW$4,$AD45:$BA45)),
IF(BT$3=$DF45+'Model Setup'!$E$7,SUMIF($BH$3:$CE$3,"="&amp;$DF45+'Model Setup'!$E$7,$AD45:$BA45)+'Model Setup'!$E$8*(SUMIF($BH$3:$CE$3,"&lt;"&amp;$DF45,$AD45:$BA45)+SUMIF($BH$3:$CE$3,"&gt;"&amp;$CW$4,$AD45:$BA45)),
IF(BT$3=$DF45+'Model Setup'!$F$7,SUMIF($BH$3:$CE$3,"="&amp;$DF45+'Model Setup'!$F$7,$AD45:$BA45)+'Model Setup'!$F$8*(SUMIF($BH$3:$CE$3,"&lt;"&amp;$DF45,$AD45:$BA45)+SUMIF($BH$3:$CE$3,"&gt;"&amp;$CW$4,$AD45:$BA45)),
IF(BT$3=$DF45+'Model Setup'!$G$7,SUMIF($BH$3:$CE$3,"="&amp;$DF45+'Model Setup'!$G$7,$AD45:$BA45)+'Model Setup'!$G$8*(SUMIF($BH$3:$CE$3,"&lt;"&amp;$DF45,$AD45:$BA45)+SUMIF($BH$3:$CE$3,"&gt;"&amp;$CW$4,$AD45:$BA45)),
IF(BT$3=$DF45+'Model Setup'!$H$7,SUMIF($BH$3:$CE$3,"="&amp;$DF45+'Model Setup'!$H$7,$AD45:$BA45)+'Model Setup'!$H$8*(SUMIF($BH$3:$CE$3,"&lt;"&amp;$DF45,$AD45:$BA45)+SUMIF($BH$3:$CE$3,"&gt;"&amp;$CW$4,$AD45:$BA45)),
IF(BT$3=$DF45+'Model Setup'!$I$7,SUMIF($BH$3:$CE$3,"="&amp;$DF45+'Model Setup'!$I$7,$AD45:$BA45)+'Model Setup'!$I$8*(SUMIF($BH$3:$CE$3,"&lt;"&amp;$DF45,$AD45:$BA45)+SUMIF($BH$3:$CE$3,"&gt;"&amp;$CW$4,$AD45:$BA45)),
IF(BT$3=$DF45+'Model Setup'!$J$7,SUMIF($BH$3:$CE$3,"="&amp;$DF45+'Model Setup'!$J$7,$AD45:$BA45)+'Model Setup'!$J$8*(SUMIF($BH$3:$CE$3,"&lt;"&amp;$DF45,$AD45:$BA45)+SUMIF($BH$3:$CE$3,"&gt;"&amp;$CW$4,$AD45:$BA45)),
IF(BT$3=$DF45+'Model Setup'!$K$7,SUMIF($BH$3:$CE$3,"="&amp;$DF45+'Model Setup'!$K$7,$AD45:$BA45)+'Model Setup'!$K$8*(SUMIF($BH$3:$CE$3,"&lt;"&amp;$DF45,$AD45:$BA45)+SUMIF($BH$3:$CE$3,"&gt;"&amp;$CW$4,$AD45:$BA45)),
IF(BT$3=$DF45+'Model Setup'!$L$7,SUMIF($BH$3:$CE$3,"="&amp;$DF45+'Model Setup'!$L$7,$AD45:$BA45)+'Model Setup'!$L$8*(SUMIF($BH$3:$CE$3,"&lt;"&amp;$DF45,$AD45:$BA45)+SUMIF($BH$3:$CE$3,"&gt;"&amp;$CW$4,$AD45:$BA45)),
IF(BT$3=$DF45+'Model Setup'!$M$7,SUMIF($BH$3:$CE$3,"="&amp;$DF45+'Model Setup'!$M$7,$AD45:$BA45)+'Model Setup'!$M$8*(SUMIF($BH$3:$CE$3,"&lt;"&amp;$DF45,$AD45:$BA45)+SUMIF($BH$3:$CE$3,"&gt;"&amp;$CW$4,$AD45:$BA45)),
IF(BT$3=$DF45+'Model Setup'!$N$7,SUMIF($BH$3:$CE$3,"="&amp;$DF45+'Model Setup'!$N$7,$AD45:$BA45)+'Model Setup'!$N$8*(SUMIF($BH$3:$CE$3,"&lt;"&amp;$DF45,$AD45:$BA45)+SUMIF($BH$3:$CE$3,"&gt;"&amp;$CW$4,$AD45:$BA45)),
IF(BT$3&lt;$CW$4,N45,0))))))))))))))),0)</f>
        <v>13</v>
      </c>
      <c r="BU45" s="47">
        <f>ROUND(IF(OR(BU$3&lt;$DF45,BU$3&gt;$CW$4),0,
IF(BU$3=$DF45+'Model Setup'!$B$7,SUMIF($BH$3:$CE$3,"="&amp;$DF45+'Model Setup'!$B$7,$AD45:$BA45)+'Model Setup'!$B$8*(SUMIF($BH$3:$CE$3,"&lt;"&amp;$DF45,$AD45:$BA45)+SUMIF($BH$3:$CE$3,"&gt;"&amp;$CW$4,$AD45:$BA45)),
IF(BU$3=$DF45+'Model Setup'!$C$7,SUMIF($BH$3:$CE$3,"="&amp;$DF45+'Model Setup'!$C$7,$AD45:$BA45)+'Model Setup'!$C$8*(SUMIF($BH$3:$CE$3,"&lt;"&amp;$DF45,$AD45:$BA45)+SUMIF($BH$3:$CE$3,"&gt;"&amp;$CW$4,$AD45:$BA45)),
IF(BU$3=$DF45+'Model Setup'!$D$7,SUMIF($BH$3:$CE$3,"="&amp;$DF45+'Model Setup'!$D$7,$AD45:$BA45)+'Model Setup'!$D$8*(SUMIF($BH$3:$CE$3,"&lt;"&amp;$DF45,$AD45:$BA45)+SUMIF($BH$3:$CE$3,"&gt;"&amp;$CW$4,$AD45:$BA45)),
IF(BU$3=$DF45+'Model Setup'!$E$7,SUMIF($BH$3:$CE$3,"="&amp;$DF45+'Model Setup'!$E$7,$AD45:$BA45)+'Model Setup'!$E$8*(SUMIF($BH$3:$CE$3,"&lt;"&amp;$DF45,$AD45:$BA45)+SUMIF($BH$3:$CE$3,"&gt;"&amp;$CW$4,$AD45:$BA45)),
IF(BU$3=$DF45+'Model Setup'!$F$7,SUMIF($BH$3:$CE$3,"="&amp;$DF45+'Model Setup'!$F$7,$AD45:$BA45)+'Model Setup'!$F$8*(SUMIF($BH$3:$CE$3,"&lt;"&amp;$DF45,$AD45:$BA45)+SUMIF($BH$3:$CE$3,"&gt;"&amp;$CW$4,$AD45:$BA45)),
IF(BU$3=$DF45+'Model Setup'!$G$7,SUMIF($BH$3:$CE$3,"="&amp;$DF45+'Model Setup'!$G$7,$AD45:$BA45)+'Model Setup'!$G$8*(SUMIF($BH$3:$CE$3,"&lt;"&amp;$DF45,$AD45:$BA45)+SUMIF($BH$3:$CE$3,"&gt;"&amp;$CW$4,$AD45:$BA45)),
IF(BU$3=$DF45+'Model Setup'!$H$7,SUMIF($BH$3:$CE$3,"="&amp;$DF45+'Model Setup'!$H$7,$AD45:$BA45)+'Model Setup'!$H$8*(SUMIF($BH$3:$CE$3,"&lt;"&amp;$DF45,$AD45:$BA45)+SUMIF($BH$3:$CE$3,"&gt;"&amp;$CW$4,$AD45:$BA45)),
IF(BU$3=$DF45+'Model Setup'!$I$7,SUMIF($BH$3:$CE$3,"="&amp;$DF45+'Model Setup'!$I$7,$AD45:$BA45)+'Model Setup'!$I$8*(SUMIF($BH$3:$CE$3,"&lt;"&amp;$DF45,$AD45:$BA45)+SUMIF($BH$3:$CE$3,"&gt;"&amp;$CW$4,$AD45:$BA45)),
IF(BU$3=$DF45+'Model Setup'!$J$7,SUMIF($BH$3:$CE$3,"="&amp;$DF45+'Model Setup'!$J$7,$AD45:$BA45)+'Model Setup'!$J$8*(SUMIF($BH$3:$CE$3,"&lt;"&amp;$DF45,$AD45:$BA45)+SUMIF($BH$3:$CE$3,"&gt;"&amp;$CW$4,$AD45:$BA45)),
IF(BU$3=$DF45+'Model Setup'!$K$7,SUMIF($BH$3:$CE$3,"="&amp;$DF45+'Model Setup'!$K$7,$AD45:$BA45)+'Model Setup'!$K$8*(SUMIF($BH$3:$CE$3,"&lt;"&amp;$DF45,$AD45:$BA45)+SUMIF($BH$3:$CE$3,"&gt;"&amp;$CW$4,$AD45:$BA45)),
IF(BU$3=$DF45+'Model Setup'!$L$7,SUMIF($BH$3:$CE$3,"="&amp;$DF45+'Model Setup'!$L$7,$AD45:$BA45)+'Model Setup'!$L$8*(SUMIF($BH$3:$CE$3,"&lt;"&amp;$DF45,$AD45:$BA45)+SUMIF($BH$3:$CE$3,"&gt;"&amp;$CW$4,$AD45:$BA45)),
IF(BU$3=$DF45+'Model Setup'!$M$7,SUMIF($BH$3:$CE$3,"="&amp;$DF45+'Model Setup'!$M$7,$AD45:$BA45)+'Model Setup'!$M$8*(SUMIF($BH$3:$CE$3,"&lt;"&amp;$DF45,$AD45:$BA45)+SUMIF($BH$3:$CE$3,"&gt;"&amp;$CW$4,$AD45:$BA45)),
IF(BU$3=$DF45+'Model Setup'!$N$7,SUMIF($BH$3:$CE$3,"="&amp;$DF45+'Model Setup'!$N$7,$AD45:$BA45)+'Model Setup'!$N$8*(SUMIF($BH$3:$CE$3,"&lt;"&amp;$DF45,$AD45:$BA45)+SUMIF($BH$3:$CE$3,"&gt;"&amp;$CW$4,$AD45:$BA45)),
IF(BU$3&lt;$CW$4,O45,0))))))))))))))),0)</f>
        <v>3</v>
      </c>
      <c r="BV45" s="47">
        <f>ROUND(IF(OR(BV$3&lt;$DF45,BV$3&gt;$CW$4),0,
IF(BV$3=$DF45+'Model Setup'!$B$7,SUMIF($BH$3:$CE$3,"="&amp;$DF45+'Model Setup'!$B$7,$AD45:$BA45)+'Model Setup'!$B$8*(SUMIF($BH$3:$CE$3,"&lt;"&amp;$DF45,$AD45:$BA45)+SUMIF($BH$3:$CE$3,"&gt;"&amp;$CW$4,$AD45:$BA45)),
IF(BV$3=$DF45+'Model Setup'!$C$7,SUMIF($BH$3:$CE$3,"="&amp;$DF45+'Model Setup'!$C$7,$AD45:$BA45)+'Model Setup'!$C$8*(SUMIF($BH$3:$CE$3,"&lt;"&amp;$DF45,$AD45:$BA45)+SUMIF($BH$3:$CE$3,"&gt;"&amp;$CW$4,$AD45:$BA45)),
IF(BV$3=$DF45+'Model Setup'!$D$7,SUMIF($BH$3:$CE$3,"="&amp;$DF45+'Model Setup'!$D$7,$AD45:$BA45)+'Model Setup'!$D$8*(SUMIF($BH$3:$CE$3,"&lt;"&amp;$DF45,$AD45:$BA45)+SUMIF($BH$3:$CE$3,"&gt;"&amp;$CW$4,$AD45:$BA45)),
IF(BV$3=$DF45+'Model Setup'!$E$7,SUMIF($BH$3:$CE$3,"="&amp;$DF45+'Model Setup'!$E$7,$AD45:$BA45)+'Model Setup'!$E$8*(SUMIF($BH$3:$CE$3,"&lt;"&amp;$DF45,$AD45:$BA45)+SUMIF($BH$3:$CE$3,"&gt;"&amp;$CW$4,$AD45:$BA45)),
IF(BV$3=$DF45+'Model Setup'!$F$7,SUMIF($BH$3:$CE$3,"="&amp;$DF45+'Model Setup'!$F$7,$AD45:$BA45)+'Model Setup'!$F$8*(SUMIF($BH$3:$CE$3,"&lt;"&amp;$DF45,$AD45:$BA45)+SUMIF($BH$3:$CE$3,"&gt;"&amp;$CW$4,$AD45:$BA45)),
IF(BV$3=$DF45+'Model Setup'!$G$7,SUMIF($BH$3:$CE$3,"="&amp;$DF45+'Model Setup'!$G$7,$AD45:$BA45)+'Model Setup'!$G$8*(SUMIF($BH$3:$CE$3,"&lt;"&amp;$DF45,$AD45:$BA45)+SUMIF($BH$3:$CE$3,"&gt;"&amp;$CW$4,$AD45:$BA45)),
IF(BV$3=$DF45+'Model Setup'!$H$7,SUMIF($BH$3:$CE$3,"="&amp;$DF45+'Model Setup'!$H$7,$AD45:$BA45)+'Model Setup'!$H$8*(SUMIF($BH$3:$CE$3,"&lt;"&amp;$DF45,$AD45:$BA45)+SUMIF($BH$3:$CE$3,"&gt;"&amp;$CW$4,$AD45:$BA45)),
IF(BV$3=$DF45+'Model Setup'!$I$7,SUMIF($BH$3:$CE$3,"="&amp;$DF45+'Model Setup'!$I$7,$AD45:$BA45)+'Model Setup'!$I$8*(SUMIF($BH$3:$CE$3,"&lt;"&amp;$DF45,$AD45:$BA45)+SUMIF($BH$3:$CE$3,"&gt;"&amp;$CW$4,$AD45:$BA45)),
IF(BV$3=$DF45+'Model Setup'!$J$7,SUMIF($BH$3:$CE$3,"="&amp;$DF45+'Model Setup'!$J$7,$AD45:$BA45)+'Model Setup'!$J$8*(SUMIF($BH$3:$CE$3,"&lt;"&amp;$DF45,$AD45:$BA45)+SUMIF($BH$3:$CE$3,"&gt;"&amp;$CW$4,$AD45:$BA45)),
IF(BV$3=$DF45+'Model Setup'!$K$7,SUMIF($BH$3:$CE$3,"="&amp;$DF45+'Model Setup'!$K$7,$AD45:$BA45)+'Model Setup'!$K$8*(SUMIF($BH$3:$CE$3,"&lt;"&amp;$DF45,$AD45:$BA45)+SUMIF($BH$3:$CE$3,"&gt;"&amp;$CW$4,$AD45:$BA45)),
IF(BV$3=$DF45+'Model Setup'!$L$7,SUMIF($BH$3:$CE$3,"="&amp;$DF45+'Model Setup'!$L$7,$AD45:$BA45)+'Model Setup'!$L$8*(SUMIF($BH$3:$CE$3,"&lt;"&amp;$DF45,$AD45:$BA45)+SUMIF($BH$3:$CE$3,"&gt;"&amp;$CW$4,$AD45:$BA45)),
IF(BV$3=$DF45+'Model Setup'!$M$7,SUMIF($BH$3:$CE$3,"="&amp;$DF45+'Model Setup'!$M$7,$AD45:$BA45)+'Model Setup'!$M$8*(SUMIF($BH$3:$CE$3,"&lt;"&amp;$DF45,$AD45:$BA45)+SUMIF($BH$3:$CE$3,"&gt;"&amp;$CW$4,$AD45:$BA45)),
IF(BV$3=$DF45+'Model Setup'!$N$7,SUMIF($BH$3:$CE$3,"="&amp;$DF45+'Model Setup'!$N$7,$AD45:$BA45)+'Model Setup'!$N$8*(SUMIF($BH$3:$CE$3,"&lt;"&amp;$DF45,$AD45:$BA45)+SUMIF($BH$3:$CE$3,"&gt;"&amp;$CW$4,$AD45:$BA45)),
IF(BV$3&lt;$CW$4,P45,0))))))))))))))),0)</f>
        <v>5</v>
      </c>
      <c r="BW45" s="47">
        <f>ROUND(IF(OR(BW$3&lt;$DF45,BW$3&gt;$CW$4),0,
IF(BW$3=$DF45+'Model Setup'!$B$7,SUMIF($BH$3:$CE$3,"="&amp;$DF45+'Model Setup'!$B$7,$AD45:$BA45)+'Model Setup'!$B$8*(SUMIF($BH$3:$CE$3,"&lt;"&amp;$DF45,$AD45:$BA45)+SUMIF($BH$3:$CE$3,"&gt;"&amp;$CW$4,$AD45:$BA45)),
IF(BW$3=$DF45+'Model Setup'!$C$7,SUMIF($BH$3:$CE$3,"="&amp;$DF45+'Model Setup'!$C$7,$AD45:$BA45)+'Model Setup'!$C$8*(SUMIF($BH$3:$CE$3,"&lt;"&amp;$DF45,$AD45:$BA45)+SUMIF($BH$3:$CE$3,"&gt;"&amp;$CW$4,$AD45:$BA45)),
IF(BW$3=$DF45+'Model Setup'!$D$7,SUMIF($BH$3:$CE$3,"="&amp;$DF45+'Model Setup'!$D$7,$AD45:$BA45)+'Model Setup'!$D$8*(SUMIF($BH$3:$CE$3,"&lt;"&amp;$DF45,$AD45:$BA45)+SUMIF($BH$3:$CE$3,"&gt;"&amp;$CW$4,$AD45:$BA45)),
IF(BW$3=$DF45+'Model Setup'!$E$7,SUMIF($BH$3:$CE$3,"="&amp;$DF45+'Model Setup'!$E$7,$AD45:$BA45)+'Model Setup'!$E$8*(SUMIF($BH$3:$CE$3,"&lt;"&amp;$DF45,$AD45:$BA45)+SUMIF($BH$3:$CE$3,"&gt;"&amp;$CW$4,$AD45:$BA45)),
IF(BW$3=$DF45+'Model Setup'!$F$7,SUMIF($BH$3:$CE$3,"="&amp;$DF45+'Model Setup'!$F$7,$AD45:$BA45)+'Model Setup'!$F$8*(SUMIF($BH$3:$CE$3,"&lt;"&amp;$DF45,$AD45:$BA45)+SUMIF($BH$3:$CE$3,"&gt;"&amp;$CW$4,$AD45:$BA45)),
IF(BW$3=$DF45+'Model Setup'!$G$7,SUMIF($BH$3:$CE$3,"="&amp;$DF45+'Model Setup'!$G$7,$AD45:$BA45)+'Model Setup'!$G$8*(SUMIF($BH$3:$CE$3,"&lt;"&amp;$DF45,$AD45:$BA45)+SUMIF($BH$3:$CE$3,"&gt;"&amp;$CW$4,$AD45:$BA45)),
IF(BW$3=$DF45+'Model Setup'!$H$7,SUMIF($BH$3:$CE$3,"="&amp;$DF45+'Model Setup'!$H$7,$AD45:$BA45)+'Model Setup'!$H$8*(SUMIF($BH$3:$CE$3,"&lt;"&amp;$DF45,$AD45:$BA45)+SUMIF($BH$3:$CE$3,"&gt;"&amp;$CW$4,$AD45:$BA45)),
IF(BW$3=$DF45+'Model Setup'!$I$7,SUMIF($BH$3:$CE$3,"="&amp;$DF45+'Model Setup'!$I$7,$AD45:$BA45)+'Model Setup'!$I$8*(SUMIF($BH$3:$CE$3,"&lt;"&amp;$DF45,$AD45:$BA45)+SUMIF($BH$3:$CE$3,"&gt;"&amp;$CW$4,$AD45:$BA45)),
IF(BW$3=$DF45+'Model Setup'!$J$7,SUMIF($BH$3:$CE$3,"="&amp;$DF45+'Model Setup'!$J$7,$AD45:$BA45)+'Model Setup'!$J$8*(SUMIF($BH$3:$CE$3,"&lt;"&amp;$DF45,$AD45:$BA45)+SUMIF($BH$3:$CE$3,"&gt;"&amp;$CW$4,$AD45:$BA45)),
IF(BW$3=$DF45+'Model Setup'!$K$7,SUMIF($BH$3:$CE$3,"="&amp;$DF45+'Model Setup'!$K$7,$AD45:$BA45)+'Model Setup'!$K$8*(SUMIF($BH$3:$CE$3,"&lt;"&amp;$DF45,$AD45:$BA45)+SUMIF($BH$3:$CE$3,"&gt;"&amp;$CW$4,$AD45:$BA45)),
IF(BW$3=$DF45+'Model Setup'!$L$7,SUMIF($BH$3:$CE$3,"="&amp;$DF45+'Model Setup'!$L$7,$AD45:$BA45)+'Model Setup'!$L$8*(SUMIF($BH$3:$CE$3,"&lt;"&amp;$DF45,$AD45:$BA45)+SUMIF($BH$3:$CE$3,"&gt;"&amp;$CW$4,$AD45:$BA45)),
IF(BW$3=$DF45+'Model Setup'!$M$7,SUMIF($BH$3:$CE$3,"="&amp;$DF45+'Model Setup'!$M$7,$AD45:$BA45)+'Model Setup'!$M$8*(SUMIF($BH$3:$CE$3,"&lt;"&amp;$DF45,$AD45:$BA45)+SUMIF($BH$3:$CE$3,"&gt;"&amp;$CW$4,$AD45:$BA45)),
IF(BW$3=$DF45+'Model Setup'!$N$7,SUMIF($BH$3:$CE$3,"="&amp;$DF45+'Model Setup'!$N$7,$AD45:$BA45)+'Model Setup'!$N$8*(SUMIF($BH$3:$CE$3,"&lt;"&amp;$DF45,$AD45:$BA45)+SUMIF($BH$3:$CE$3,"&gt;"&amp;$CW$4,$AD45:$BA45)),
IF(BW$3&lt;$CW$4,Q45,0))))))))))))))),0)</f>
        <v>3</v>
      </c>
      <c r="BX45" s="47">
        <f>ROUND(IF(OR(BX$3&lt;$DF45,BX$3&gt;$CW$4),0,
IF(BX$3=$DF45+'Model Setup'!$B$7,SUMIF($BH$3:$CE$3,"="&amp;$DF45+'Model Setup'!$B$7,$AD45:$BA45)+'Model Setup'!$B$8*(SUMIF($BH$3:$CE$3,"&lt;"&amp;$DF45,$AD45:$BA45)+SUMIF($BH$3:$CE$3,"&gt;"&amp;$CW$4,$AD45:$BA45)),
IF(BX$3=$DF45+'Model Setup'!$C$7,SUMIF($BH$3:$CE$3,"="&amp;$DF45+'Model Setup'!$C$7,$AD45:$BA45)+'Model Setup'!$C$8*(SUMIF($BH$3:$CE$3,"&lt;"&amp;$DF45,$AD45:$BA45)+SUMIF($BH$3:$CE$3,"&gt;"&amp;$CW$4,$AD45:$BA45)),
IF(BX$3=$DF45+'Model Setup'!$D$7,SUMIF($BH$3:$CE$3,"="&amp;$DF45+'Model Setup'!$D$7,$AD45:$BA45)+'Model Setup'!$D$8*(SUMIF($BH$3:$CE$3,"&lt;"&amp;$DF45,$AD45:$BA45)+SUMIF($BH$3:$CE$3,"&gt;"&amp;$CW$4,$AD45:$BA45)),
IF(BX$3=$DF45+'Model Setup'!$E$7,SUMIF($BH$3:$CE$3,"="&amp;$DF45+'Model Setup'!$E$7,$AD45:$BA45)+'Model Setup'!$E$8*(SUMIF($BH$3:$CE$3,"&lt;"&amp;$DF45,$AD45:$BA45)+SUMIF($BH$3:$CE$3,"&gt;"&amp;$CW$4,$AD45:$BA45)),
IF(BX$3=$DF45+'Model Setup'!$F$7,SUMIF($BH$3:$CE$3,"="&amp;$DF45+'Model Setup'!$F$7,$AD45:$BA45)+'Model Setup'!$F$8*(SUMIF($BH$3:$CE$3,"&lt;"&amp;$DF45,$AD45:$BA45)+SUMIF($BH$3:$CE$3,"&gt;"&amp;$CW$4,$AD45:$BA45)),
IF(BX$3=$DF45+'Model Setup'!$G$7,SUMIF($BH$3:$CE$3,"="&amp;$DF45+'Model Setup'!$G$7,$AD45:$BA45)+'Model Setup'!$G$8*(SUMIF($BH$3:$CE$3,"&lt;"&amp;$DF45,$AD45:$BA45)+SUMIF($BH$3:$CE$3,"&gt;"&amp;$CW$4,$AD45:$BA45)),
IF(BX$3=$DF45+'Model Setup'!$H$7,SUMIF($BH$3:$CE$3,"="&amp;$DF45+'Model Setup'!$H$7,$AD45:$BA45)+'Model Setup'!$H$8*(SUMIF($BH$3:$CE$3,"&lt;"&amp;$DF45,$AD45:$BA45)+SUMIF($BH$3:$CE$3,"&gt;"&amp;$CW$4,$AD45:$BA45)),
IF(BX$3=$DF45+'Model Setup'!$I$7,SUMIF($BH$3:$CE$3,"="&amp;$DF45+'Model Setup'!$I$7,$AD45:$BA45)+'Model Setup'!$I$8*(SUMIF($BH$3:$CE$3,"&lt;"&amp;$DF45,$AD45:$BA45)+SUMIF($BH$3:$CE$3,"&gt;"&amp;$CW$4,$AD45:$BA45)),
IF(BX$3=$DF45+'Model Setup'!$J$7,SUMIF($BH$3:$CE$3,"="&amp;$DF45+'Model Setup'!$J$7,$AD45:$BA45)+'Model Setup'!$J$8*(SUMIF($BH$3:$CE$3,"&lt;"&amp;$DF45,$AD45:$BA45)+SUMIF($BH$3:$CE$3,"&gt;"&amp;$CW$4,$AD45:$BA45)),
IF(BX$3=$DF45+'Model Setup'!$K$7,SUMIF($BH$3:$CE$3,"="&amp;$DF45+'Model Setup'!$K$7,$AD45:$BA45)+'Model Setup'!$K$8*(SUMIF($BH$3:$CE$3,"&lt;"&amp;$DF45,$AD45:$BA45)+SUMIF($BH$3:$CE$3,"&gt;"&amp;$CW$4,$AD45:$BA45)),
IF(BX$3=$DF45+'Model Setup'!$L$7,SUMIF($BH$3:$CE$3,"="&amp;$DF45+'Model Setup'!$L$7,$AD45:$BA45)+'Model Setup'!$L$8*(SUMIF($BH$3:$CE$3,"&lt;"&amp;$DF45,$AD45:$BA45)+SUMIF($BH$3:$CE$3,"&gt;"&amp;$CW$4,$AD45:$BA45)),
IF(BX$3=$DF45+'Model Setup'!$M$7,SUMIF($BH$3:$CE$3,"="&amp;$DF45+'Model Setup'!$M$7,$AD45:$BA45)+'Model Setup'!$M$8*(SUMIF($BH$3:$CE$3,"&lt;"&amp;$DF45,$AD45:$BA45)+SUMIF($BH$3:$CE$3,"&gt;"&amp;$CW$4,$AD45:$BA45)),
IF(BX$3=$DF45+'Model Setup'!$N$7,SUMIF($BH$3:$CE$3,"="&amp;$DF45+'Model Setup'!$N$7,$AD45:$BA45)+'Model Setup'!$N$8*(SUMIF($BH$3:$CE$3,"&lt;"&amp;$DF45,$AD45:$BA45)+SUMIF($BH$3:$CE$3,"&gt;"&amp;$CW$4,$AD45:$BA45)),
IF(BX$3&lt;$CW$4,R45,0))))))))))))))),0)</f>
        <v>4</v>
      </c>
      <c r="BY45" s="47">
        <f>ROUND(IF(OR(BY$3&lt;$DF45,BY$3&gt;$CW$4),0,
IF(BY$3=$DF45+'Model Setup'!$B$7,SUMIF($BH$3:$CE$3,"="&amp;$DF45+'Model Setup'!$B$7,$AD45:$BA45)+'Model Setup'!$B$8*(SUMIF($BH$3:$CE$3,"&lt;"&amp;$DF45,$AD45:$BA45)+SUMIF($BH$3:$CE$3,"&gt;"&amp;$CW$4,$AD45:$BA45)),
IF(BY$3=$DF45+'Model Setup'!$C$7,SUMIF($BH$3:$CE$3,"="&amp;$DF45+'Model Setup'!$C$7,$AD45:$BA45)+'Model Setup'!$C$8*(SUMIF($BH$3:$CE$3,"&lt;"&amp;$DF45,$AD45:$BA45)+SUMIF($BH$3:$CE$3,"&gt;"&amp;$CW$4,$AD45:$BA45)),
IF(BY$3=$DF45+'Model Setup'!$D$7,SUMIF($BH$3:$CE$3,"="&amp;$DF45+'Model Setup'!$D$7,$AD45:$BA45)+'Model Setup'!$D$8*(SUMIF($BH$3:$CE$3,"&lt;"&amp;$DF45,$AD45:$BA45)+SUMIF($BH$3:$CE$3,"&gt;"&amp;$CW$4,$AD45:$BA45)),
IF(BY$3=$DF45+'Model Setup'!$E$7,SUMIF($BH$3:$CE$3,"="&amp;$DF45+'Model Setup'!$E$7,$AD45:$BA45)+'Model Setup'!$E$8*(SUMIF($BH$3:$CE$3,"&lt;"&amp;$DF45,$AD45:$BA45)+SUMIF($BH$3:$CE$3,"&gt;"&amp;$CW$4,$AD45:$BA45)),
IF(BY$3=$DF45+'Model Setup'!$F$7,SUMIF($BH$3:$CE$3,"="&amp;$DF45+'Model Setup'!$F$7,$AD45:$BA45)+'Model Setup'!$F$8*(SUMIF($BH$3:$CE$3,"&lt;"&amp;$DF45,$AD45:$BA45)+SUMIF($BH$3:$CE$3,"&gt;"&amp;$CW$4,$AD45:$BA45)),
IF(BY$3=$DF45+'Model Setup'!$G$7,SUMIF($BH$3:$CE$3,"="&amp;$DF45+'Model Setup'!$G$7,$AD45:$BA45)+'Model Setup'!$G$8*(SUMIF($BH$3:$CE$3,"&lt;"&amp;$DF45,$AD45:$BA45)+SUMIF($BH$3:$CE$3,"&gt;"&amp;$CW$4,$AD45:$BA45)),
IF(BY$3=$DF45+'Model Setup'!$H$7,SUMIF($BH$3:$CE$3,"="&amp;$DF45+'Model Setup'!$H$7,$AD45:$BA45)+'Model Setup'!$H$8*(SUMIF($BH$3:$CE$3,"&lt;"&amp;$DF45,$AD45:$BA45)+SUMIF($BH$3:$CE$3,"&gt;"&amp;$CW$4,$AD45:$BA45)),
IF(BY$3=$DF45+'Model Setup'!$I$7,SUMIF($BH$3:$CE$3,"="&amp;$DF45+'Model Setup'!$I$7,$AD45:$BA45)+'Model Setup'!$I$8*(SUMIF($BH$3:$CE$3,"&lt;"&amp;$DF45,$AD45:$BA45)+SUMIF($BH$3:$CE$3,"&gt;"&amp;$CW$4,$AD45:$BA45)),
IF(BY$3=$DF45+'Model Setup'!$J$7,SUMIF($BH$3:$CE$3,"="&amp;$DF45+'Model Setup'!$J$7,$AD45:$BA45)+'Model Setup'!$J$8*(SUMIF($BH$3:$CE$3,"&lt;"&amp;$DF45,$AD45:$BA45)+SUMIF($BH$3:$CE$3,"&gt;"&amp;$CW$4,$AD45:$BA45)),
IF(BY$3=$DF45+'Model Setup'!$K$7,SUMIF($BH$3:$CE$3,"="&amp;$DF45+'Model Setup'!$K$7,$AD45:$BA45)+'Model Setup'!$K$8*(SUMIF($BH$3:$CE$3,"&lt;"&amp;$DF45,$AD45:$BA45)+SUMIF($BH$3:$CE$3,"&gt;"&amp;$CW$4,$AD45:$BA45)),
IF(BY$3=$DF45+'Model Setup'!$L$7,SUMIF($BH$3:$CE$3,"="&amp;$DF45+'Model Setup'!$L$7,$AD45:$BA45)+'Model Setup'!$L$8*(SUMIF($BH$3:$CE$3,"&lt;"&amp;$DF45,$AD45:$BA45)+SUMIF($BH$3:$CE$3,"&gt;"&amp;$CW$4,$AD45:$BA45)),
IF(BY$3=$DF45+'Model Setup'!$M$7,SUMIF($BH$3:$CE$3,"="&amp;$DF45+'Model Setup'!$M$7,$AD45:$BA45)+'Model Setup'!$M$8*(SUMIF($BH$3:$CE$3,"&lt;"&amp;$DF45,$AD45:$BA45)+SUMIF($BH$3:$CE$3,"&gt;"&amp;$CW$4,$AD45:$BA45)),
IF(BY$3=$DF45+'Model Setup'!$N$7,SUMIF($BH$3:$CE$3,"="&amp;$DF45+'Model Setup'!$N$7,$AD45:$BA45)+'Model Setup'!$N$8*(SUMIF($BH$3:$CE$3,"&lt;"&amp;$DF45,$AD45:$BA45)+SUMIF($BH$3:$CE$3,"&gt;"&amp;$CW$4,$AD45:$BA45)),
IF(BY$3&lt;$CW$4,S45,0))))))))))))))),0)</f>
        <v>22</v>
      </c>
      <c r="BZ45" s="47">
        <f>ROUND(IF(OR(BZ$3&lt;$DF45,BZ$3&gt;$CW$4),0,
IF(BZ$3=$DF45+'Model Setup'!$B$7,SUMIF($BH$3:$CE$3,"="&amp;$DF45+'Model Setup'!$B$7,$AD45:$BA45)+'Model Setup'!$B$8*(SUMIF($BH$3:$CE$3,"&lt;"&amp;$DF45,$AD45:$BA45)+SUMIF($BH$3:$CE$3,"&gt;"&amp;$CW$4,$AD45:$BA45)),
IF(BZ$3=$DF45+'Model Setup'!$C$7,SUMIF($BH$3:$CE$3,"="&amp;$DF45+'Model Setup'!$C$7,$AD45:$BA45)+'Model Setup'!$C$8*(SUMIF($BH$3:$CE$3,"&lt;"&amp;$DF45,$AD45:$BA45)+SUMIF($BH$3:$CE$3,"&gt;"&amp;$CW$4,$AD45:$BA45)),
IF(BZ$3=$DF45+'Model Setup'!$D$7,SUMIF($BH$3:$CE$3,"="&amp;$DF45+'Model Setup'!$D$7,$AD45:$BA45)+'Model Setup'!$D$8*(SUMIF($BH$3:$CE$3,"&lt;"&amp;$DF45,$AD45:$BA45)+SUMIF($BH$3:$CE$3,"&gt;"&amp;$CW$4,$AD45:$BA45)),
IF(BZ$3=$DF45+'Model Setup'!$E$7,SUMIF($BH$3:$CE$3,"="&amp;$DF45+'Model Setup'!$E$7,$AD45:$BA45)+'Model Setup'!$E$8*(SUMIF($BH$3:$CE$3,"&lt;"&amp;$DF45,$AD45:$BA45)+SUMIF($BH$3:$CE$3,"&gt;"&amp;$CW$4,$AD45:$BA45)),
IF(BZ$3=$DF45+'Model Setup'!$F$7,SUMIF($BH$3:$CE$3,"="&amp;$DF45+'Model Setup'!$F$7,$AD45:$BA45)+'Model Setup'!$F$8*(SUMIF($BH$3:$CE$3,"&lt;"&amp;$DF45,$AD45:$BA45)+SUMIF($BH$3:$CE$3,"&gt;"&amp;$CW$4,$AD45:$BA45)),
IF(BZ$3=$DF45+'Model Setup'!$G$7,SUMIF($BH$3:$CE$3,"="&amp;$DF45+'Model Setup'!$G$7,$AD45:$BA45)+'Model Setup'!$G$8*(SUMIF($BH$3:$CE$3,"&lt;"&amp;$DF45,$AD45:$BA45)+SUMIF($BH$3:$CE$3,"&gt;"&amp;$CW$4,$AD45:$BA45)),
IF(BZ$3=$DF45+'Model Setup'!$H$7,SUMIF($BH$3:$CE$3,"="&amp;$DF45+'Model Setup'!$H$7,$AD45:$BA45)+'Model Setup'!$H$8*(SUMIF($BH$3:$CE$3,"&lt;"&amp;$DF45,$AD45:$BA45)+SUMIF($BH$3:$CE$3,"&gt;"&amp;$CW$4,$AD45:$BA45)),
IF(BZ$3=$DF45+'Model Setup'!$I$7,SUMIF($BH$3:$CE$3,"="&amp;$DF45+'Model Setup'!$I$7,$AD45:$BA45)+'Model Setup'!$I$8*(SUMIF($BH$3:$CE$3,"&lt;"&amp;$DF45,$AD45:$BA45)+SUMIF($BH$3:$CE$3,"&gt;"&amp;$CW$4,$AD45:$BA45)),
IF(BZ$3=$DF45+'Model Setup'!$J$7,SUMIF($BH$3:$CE$3,"="&amp;$DF45+'Model Setup'!$J$7,$AD45:$BA45)+'Model Setup'!$J$8*(SUMIF($BH$3:$CE$3,"&lt;"&amp;$DF45,$AD45:$BA45)+SUMIF($BH$3:$CE$3,"&gt;"&amp;$CW$4,$AD45:$BA45)),
IF(BZ$3=$DF45+'Model Setup'!$K$7,SUMIF($BH$3:$CE$3,"="&amp;$DF45+'Model Setup'!$K$7,$AD45:$BA45)+'Model Setup'!$K$8*(SUMIF($BH$3:$CE$3,"&lt;"&amp;$DF45,$AD45:$BA45)+SUMIF($BH$3:$CE$3,"&gt;"&amp;$CW$4,$AD45:$BA45)),
IF(BZ$3=$DF45+'Model Setup'!$L$7,SUMIF($BH$3:$CE$3,"="&amp;$DF45+'Model Setup'!$L$7,$AD45:$BA45)+'Model Setup'!$L$8*(SUMIF($BH$3:$CE$3,"&lt;"&amp;$DF45,$AD45:$BA45)+SUMIF($BH$3:$CE$3,"&gt;"&amp;$CW$4,$AD45:$BA45)),
IF(BZ$3=$DF45+'Model Setup'!$M$7,SUMIF($BH$3:$CE$3,"="&amp;$DF45+'Model Setup'!$M$7,$AD45:$BA45)+'Model Setup'!$M$8*(SUMIF($BH$3:$CE$3,"&lt;"&amp;$DF45,$AD45:$BA45)+SUMIF($BH$3:$CE$3,"&gt;"&amp;$CW$4,$AD45:$BA45)),
IF(BZ$3=$DF45+'Model Setup'!$N$7,SUMIF($BH$3:$CE$3,"="&amp;$DF45+'Model Setup'!$N$7,$AD45:$BA45)+'Model Setup'!$N$8*(SUMIF($BH$3:$CE$3,"&lt;"&amp;$DF45,$AD45:$BA45)+SUMIF($BH$3:$CE$3,"&gt;"&amp;$CW$4,$AD45:$BA45)),
IF(BZ$3&lt;$CW$4,T45,0))))))))))))))),0)</f>
        <v>31</v>
      </c>
      <c r="CA45" s="47">
        <f>ROUND(IF(OR(CA$3&lt;$DF45,CA$3&gt;$CW$4),0,
IF(CA$3=$DF45+'Model Setup'!$B$7,SUMIF($BH$3:$CE$3,"="&amp;$DF45+'Model Setup'!$B$7,$AD45:$BA45)+'Model Setup'!$B$8*(SUMIF($BH$3:$CE$3,"&lt;"&amp;$DF45,$AD45:$BA45)+SUMIF($BH$3:$CE$3,"&gt;"&amp;$CW$4,$AD45:$BA45)),
IF(CA$3=$DF45+'Model Setup'!$C$7,SUMIF($BH$3:$CE$3,"="&amp;$DF45+'Model Setup'!$C$7,$AD45:$BA45)+'Model Setup'!$C$8*(SUMIF($BH$3:$CE$3,"&lt;"&amp;$DF45,$AD45:$BA45)+SUMIF($BH$3:$CE$3,"&gt;"&amp;$CW$4,$AD45:$BA45)),
IF(CA$3=$DF45+'Model Setup'!$D$7,SUMIF($BH$3:$CE$3,"="&amp;$DF45+'Model Setup'!$D$7,$AD45:$BA45)+'Model Setup'!$D$8*(SUMIF($BH$3:$CE$3,"&lt;"&amp;$DF45,$AD45:$BA45)+SUMIF($BH$3:$CE$3,"&gt;"&amp;$CW$4,$AD45:$BA45)),
IF(CA$3=$DF45+'Model Setup'!$E$7,SUMIF($BH$3:$CE$3,"="&amp;$DF45+'Model Setup'!$E$7,$AD45:$BA45)+'Model Setup'!$E$8*(SUMIF($BH$3:$CE$3,"&lt;"&amp;$DF45,$AD45:$BA45)+SUMIF($BH$3:$CE$3,"&gt;"&amp;$CW$4,$AD45:$BA45)),
IF(CA$3=$DF45+'Model Setup'!$F$7,SUMIF($BH$3:$CE$3,"="&amp;$DF45+'Model Setup'!$F$7,$AD45:$BA45)+'Model Setup'!$F$8*(SUMIF($BH$3:$CE$3,"&lt;"&amp;$DF45,$AD45:$BA45)+SUMIF($BH$3:$CE$3,"&gt;"&amp;$CW$4,$AD45:$BA45)),
IF(CA$3=$DF45+'Model Setup'!$G$7,SUMIF($BH$3:$CE$3,"="&amp;$DF45+'Model Setup'!$G$7,$AD45:$BA45)+'Model Setup'!$G$8*(SUMIF($BH$3:$CE$3,"&lt;"&amp;$DF45,$AD45:$BA45)+SUMIF($BH$3:$CE$3,"&gt;"&amp;$CW$4,$AD45:$BA45)),
IF(CA$3=$DF45+'Model Setup'!$H$7,SUMIF($BH$3:$CE$3,"="&amp;$DF45+'Model Setup'!$H$7,$AD45:$BA45)+'Model Setup'!$H$8*(SUMIF($BH$3:$CE$3,"&lt;"&amp;$DF45,$AD45:$BA45)+SUMIF($BH$3:$CE$3,"&gt;"&amp;$CW$4,$AD45:$BA45)),
IF(CA$3=$DF45+'Model Setup'!$I$7,SUMIF($BH$3:$CE$3,"="&amp;$DF45+'Model Setup'!$I$7,$AD45:$BA45)+'Model Setup'!$I$8*(SUMIF($BH$3:$CE$3,"&lt;"&amp;$DF45,$AD45:$BA45)+SUMIF($BH$3:$CE$3,"&gt;"&amp;$CW$4,$AD45:$BA45)),
IF(CA$3=$DF45+'Model Setup'!$J$7,SUMIF($BH$3:$CE$3,"="&amp;$DF45+'Model Setup'!$J$7,$AD45:$BA45)+'Model Setup'!$J$8*(SUMIF($BH$3:$CE$3,"&lt;"&amp;$DF45,$AD45:$BA45)+SUMIF($BH$3:$CE$3,"&gt;"&amp;$CW$4,$AD45:$BA45)),
IF(CA$3=$DF45+'Model Setup'!$K$7,SUMIF($BH$3:$CE$3,"="&amp;$DF45+'Model Setup'!$K$7,$AD45:$BA45)+'Model Setup'!$K$8*(SUMIF($BH$3:$CE$3,"&lt;"&amp;$DF45,$AD45:$BA45)+SUMIF($BH$3:$CE$3,"&gt;"&amp;$CW$4,$AD45:$BA45)),
IF(CA$3=$DF45+'Model Setup'!$L$7,SUMIF($BH$3:$CE$3,"="&amp;$DF45+'Model Setup'!$L$7,$AD45:$BA45)+'Model Setup'!$L$8*(SUMIF($BH$3:$CE$3,"&lt;"&amp;$DF45,$AD45:$BA45)+SUMIF($BH$3:$CE$3,"&gt;"&amp;$CW$4,$AD45:$BA45)),
IF(CA$3=$DF45+'Model Setup'!$M$7,SUMIF($BH$3:$CE$3,"="&amp;$DF45+'Model Setup'!$M$7,$AD45:$BA45)+'Model Setup'!$M$8*(SUMIF($BH$3:$CE$3,"&lt;"&amp;$DF45,$AD45:$BA45)+SUMIF($BH$3:$CE$3,"&gt;"&amp;$CW$4,$AD45:$BA45)),
IF(CA$3=$DF45+'Model Setup'!$N$7,SUMIF($BH$3:$CE$3,"="&amp;$DF45+'Model Setup'!$N$7,$AD45:$BA45)+'Model Setup'!$N$8*(SUMIF($BH$3:$CE$3,"&lt;"&amp;$DF45,$AD45:$BA45)+SUMIF($BH$3:$CE$3,"&gt;"&amp;$CW$4,$AD45:$BA45)),
IF(CA$3&lt;$CW$4,U45,0))))))))))))))),0)</f>
        <v>0</v>
      </c>
      <c r="CB45" s="47">
        <f>ROUND(IF(OR(CB$3&lt;$DF45,CB$3&gt;$CW$4),0,
IF(CB$3=$DF45+'Model Setup'!$B$7,SUMIF($BH$3:$CE$3,"="&amp;$DF45+'Model Setup'!$B$7,$AD45:$BA45)+'Model Setup'!$B$8*(SUMIF($BH$3:$CE$3,"&lt;"&amp;$DF45,$AD45:$BA45)+SUMIF($BH$3:$CE$3,"&gt;"&amp;$CW$4,$AD45:$BA45)),
IF(CB$3=$DF45+'Model Setup'!$C$7,SUMIF($BH$3:$CE$3,"="&amp;$DF45+'Model Setup'!$C$7,$AD45:$BA45)+'Model Setup'!$C$8*(SUMIF($BH$3:$CE$3,"&lt;"&amp;$DF45,$AD45:$BA45)+SUMIF($BH$3:$CE$3,"&gt;"&amp;$CW$4,$AD45:$BA45)),
IF(CB$3=$DF45+'Model Setup'!$D$7,SUMIF($BH$3:$CE$3,"="&amp;$DF45+'Model Setup'!$D$7,$AD45:$BA45)+'Model Setup'!$D$8*(SUMIF($BH$3:$CE$3,"&lt;"&amp;$DF45,$AD45:$BA45)+SUMIF($BH$3:$CE$3,"&gt;"&amp;$CW$4,$AD45:$BA45)),
IF(CB$3=$DF45+'Model Setup'!$E$7,SUMIF($BH$3:$CE$3,"="&amp;$DF45+'Model Setup'!$E$7,$AD45:$BA45)+'Model Setup'!$E$8*(SUMIF($BH$3:$CE$3,"&lt;"&amp;$DF45,$AD45:$BA45)+SUMIF($BH$3:$CE$3,"&gt;"&amp;$CW$4,$AD45:$BA45)),
IF(CB$3=$DF45+'Model Setup'!$F$7,SUMIF($BH$3:$CE$3,"="&amp;$DF45+'Model Setup'!$F$7,$AD45:$BA45)+'Model Setup'!$F$8*(SUMIF($BH$3:$CE$3,"&lt;"&amp;$DF45,$AD45:$BA45)+SUMIF($BH$3:$CE$3,"&gt;"&amp;$CW$4,$AD45:$BA45)),
IF(CB$3=$DF45+'Model Setup'!$G$7,SUMIF($BH$3:$CE$3,"="&amp;$DF45+'Model Setup'!$G$7,$AD45:$BA45)+'Model Setup'!$G$8*(SUMIF($BH$3:$CE$3,"&lt;"&amp;$DF45,$AD45:$BA45)+SUMIF($BH$3:$CE$3,"&gt;"&amp;$CW$4,$AD45:$BA45)),
IF(CB$3=$DF45+'Model Setup'!$H$7,SUMIF($BH$3:$CE$3,"="&amp;$DF45+'Model Setup'!$H$7,$AD45:$BA45)+'Model Setup'!$H$8*(SUMIF($BH$3:$CE$3,"&lt;"&amp;$DF45,$AD45:$BA45)+SUMIF($BH$3:$CE$3,"&gt;"&amp;$CW$4,$AD45:$BA45)),
IF(CB$3=$DF45+'Model Setup'!$I$7,SUMIF($BH$3:$CE$3,"="&amp;$DF45+'Model Setup'!$I$7,$AD45:$BA45)+'Model Setup'!$I$8*(SUMIF($BH$3:$CE$3,"&lt;"&amp;$DF45,$AD45:$BA45)+SUMIF($BH$3:$CE$3,"&gt;"&amp;$CW$4,$AD45:$BA45)),
IF(CB$3=$DF45+'Model Setup'!$J$7,SUMIF($BH$3:$CE$3,"="&amp;$DF45+'Model Setup'!$J$7,$AD45:$BA45)+'Model Setup'!$J$8*(SUMIF($BH$3:$CE$3,"&lt;"&amp;$DF45,$AD45:$BA45)+SUMIF($BH$3:$CE$3,"&gt;"&amp;$CW$4,$AD45:$BA45)),
IF(CB$3=$DF45+'Model Setup'!$K$7,SUMIF($BH$3:$CE$3,"="&amp;$DF45+'Model Setup'!$K$7,$AD45:$BA45)+'Model Setup'!$K$8*(SUMIF($BH$3:$CE$3,"&lt;"&amp;$DF45,$AD45:$BA45)+SUMIF($BH$3:$CE$3,"&gt;"&amp;$CW$4,$AD45:$BA45)),
IF(CB$3=$DF45+'Model Setup'!$L$7,SUMIF($BH$3:$CE$3,"="&amp;$DF45+'Model Setup'!$L$7,$AD45:$BA45)+'Model Setup'!$L$8*(SUMIF($BH$3:$CE$3,"&lt;"&amp;$DF45,$AD45:$BA45)+SUMIF($BH$3:$CE$3,"&gt;"&amp;$CW$4,$AD45:$BA45)),
IF(CB$3=$DF45+'Model Setup'!$M$7,SUMIF($BH$3:$CE$3,"="&amp;$DF45+'Model Setup'!$M$7,$AD45:$BA45)+'Model Setup'!$M$8*(SUMIF($BH$3:$CE$3,"&lt;"&amp;$DF45,$AD45:$BA45)+SUMIF($BH$3:$CE$3,"&gt;"&amp;$CW$4,$AD45:$BA45)),
IF(CB$3=$DF45+'Model Setup'!$N$7,SUMIF($BH$3:$CE$3,"="&amp;$DF45+'Model Setup'!$N$7,$AD45:$BA45)+'Model Setup'!$N$8*(SUMIF($BH$3:$CE$3,"&lt;"&amp;$DF45,$AD45:$BA45)+SUMIF($BH$3:$CE$3,"&gt;"&amp;$CW$4,$AD45:$BA45)),
IF(CB$3&lt;$CW$4,V45,0))))))))))))))),0)</f>
        <v>0</v>
      </c>
      <c r="CC45" s="47">
        <f>ROUND(IF(OR(CC$3&lt;$DF45,CC$3&gt;$CW$4),0,
IF(CC$3=$DF45+'Model Setup'!$B$7,SUMIF($BH$3:$CE$3,"="&amp;$DF45+'Model Setup'!$B$7,$AD45:$BA45)+'Model Setup'!$B$8*(SUMIF($BH$3:$CE$3,"&lt;"&amp;$DF45,$AD45:$BA45)+SUMIF($BH$3:$CE$3,"&gt;"&amp;$CW$4,$AD45:$BA45)),
IF(CC$3=$DF45+'Model Setup'!$C$7,SUMIF($BH$3:$CE$3,"="&amp;$DF45+'Model Setup'!$C$7,$AD45:$BA45)+'Model Setup'!$C$8*(SUMIF($BH$3:$CE$3,"&lt;"&amp;$DF45,$AD45:$BA45)+SUMIF($BH$3:$CE$3,"&gt;"&amp;$CW$4,$AD45:$BA45)),
IF(CC$3=$DF45+'Model Setup'!$D$7,SUMIF($BH$3:$CE$3,"="&amp;$DF45+'Model Setup'!$D$7,$AD45:$BA45)+'Model Setup'!$D$8*(SUMIF($BH$3:$CE$3,"&lt;"&amp;$DF45,$AD45:$BA45)+SUMIF($BH$3:$CE$3,"&gt;"&amp;$CW$4,$AD45:$BA45)),
IF(CC$3=$DF45+'Model Setup'!$E$7,SUMIF($BH$3:$CE$3,"="&amp;$DF45+'Model Setup'!$E$7,$AD45:$BA45)+'Model Setup'!$E$8*(SUMIF($BH$3:$CE$3,"&lt;"&amp;$DF45,$AD45:$BA45)+SUMIF($BH$3:$CE$3,"&gt;"&amp;$CW$4,$AD45:$BA45)),
IF(CC$3=$DF45+'Model Setup'!$F$7,SUMIF($BH$3:$CE$3,"="&amp;$DF45+'Model Setup'!$F$7,$AD45:$BA45)+'Model Setup'!$F$8*(SUMIF($BH$3:$CE$3,"&lt;"&amp;$DF45,$AD45:$BA45)+SUMIF($BH$3:$CE$3,"&gt;"&amp;$CW$4,$AD45:$BA45)),
IF(CC$3=$DF45+'Model Setup'!$G$7,SUMIF($BH$3:$CE$3,"="&amp;$DF45+'Model Setup'!$G$7,$AD45:$BA45)+'Model Setup'!$G$8*(SUMIF($BH$3:$CE$3,"&lt;"&amp;$DF45,$AD45:$BA45)+SUMIF($BH$3:$CE$3,"&gt;"&amp;$CW$4,$AD45:$BA45)),
IF(CC$3=$DF45+'Model Setup'!$H$7,SUMIF($BH$3:$CE$3,"="&amp;$DF45+'Model Setup'!$H$7,$AD45:$BA45)+'Model Setup'!$H$8*(SUMIF($BH$3:$CE$3,"&lt;"&amp;$DF45,$AD45:$BA45)+SUMIF($BH$3:$CE$3,"&gt;"&amp;$CW$4,$AD45:$BA45)),
IF(CC$3=$DF45+'Model Setup'!$I$7,SUMIF($BH$3:$CE$3,"="&amp;$DF45+'Model Setup'!$I$7,$AD45:$BA45)+'Model Setup'!$I$8*(SUMIF($BH$3:$CE$3,"&lt;"&amp;$DF45,$AD45:$BA45)+SUMIF($BH$3:$CE$3,"&gt;"&amp;$CW$4,$AD45:$BA45)),
IF(CC$3=$DF45+'Model Setup'!$J$7,SUMIF($BH$3:$CE$3,"="&amp;$DF45+'Model Setup'!$J$7,$AD45:$BA45)+'Model Setup'!$J$8*(SUMIF($BH$3:$CE$3,"&lt;"&amp;$DF45,$AD45:$BA45)+SUMIF($BH$3:$CE$3,"&gt;"&amp;$CW$4,$AD45:$BA45)),
IF(CC$3=$DF45+'Model Setup'!$K$7,SUMIF($BH$3:$CE$3,"="&amp;$DF45+'Model Setup'!$K$7,$AD45:$BA45)+'Model Setup'!$K$8*(SUMIF($BH$3:$CE$3,"&lt;"&amp;$DF45,$AD45:$BA45)+SUMIF($BH$3:$CE$3,"&gt;"&amp;$CW$4,$AD45:$BA45)),
IF(CC$3=$DF45+'Model Setup'!$L$7,SUMIF($BH$3:$CE$3,"="&amp;$DF45+'Model Setup'!$L$7,$AD45:$BA45)+'Model Setup'!$L$8*(SUMIF($BH$3:$CE$3,"&lt;"&amp;$DF45,$AD45:$BA45)+SUMIF($BH$3:$CE$3,"&gt;"&amp;$CW$4,$AD45:$BA45)),
IF(CC$3=$DF45+'Model Setup'!$M$7,SUMIF($BH$3:$CE$3,"="&amp;$DF45+'Model Setup'!$M$7,$AD45:$BA45)+'Model Setup'!$M$8*(SUMIF($BH$3:$CE$3,"&lt;"&amp;$DF45,$AD45:$BA45)+SUMIF($BH$3:$CE$3,"&gt;"&amp;$CW$4,$AD45:$BA45)),
IF(CC$3=$DF45+'Model Setup'!$N$7,SUMIF($BH$3:$CE$3,"="&amp;$DF45+'Model Setup'!$N$7,$AD45:$BA45)+'Model Setup'!$N$8*(SUMIF($BH$3:$CE$3,"&lt;"&amp;$DF45,$AD45:$BA45)+SUMIF($BH$3:$CE$3,"&gt;"&amp;$CW$4,$AD45:$BA45)),
IF(CC$3&lt;$CW$4,W45,0))))))))))))))),0)</f>
        <v>0</v>
      </c>
      <c r="CD45" s="47">
        <f>ROUND(IF(OR(CD$3&lt;$DF45,CD$3&gt;$CW$4),0,
IF(CD$3=$DF45+'Model Setup'!$B$7,SUMIF($BH$3:$CE$3,"="&amp;$DF45+'Model Setup'!$B$7,$AD45:$BA45)+'Model Setup'!$B$8*(SUMIF($BH$3:$CE$3,"&lt;"&amp;$DF45,$AD45:$BA45)+SUMIF($BH$3:$CE$3,"&gt;"&amp;$CW$4,$AD45:$BA45)),
IF(CD$3=$DF45+'Model Setup'!$C$7,SUMIF($BH$3:$CE$3,"="&amp;$DF45+'Model Setup'!$C$7,$AD45:$BA45)+'Model Setup'!$C$8*(SUMIF($BH$3:$CE$3,"&lt;"&amp;$DF45,$AD45:$BA45)+SUMIF($BH$3:$CE$3,"&gt;"&amp;$CW$4,$AD45:$BA45)),
IF(CD$3=$DF45+'Model Setup'!$D$7,SUMIF($BH$3:$CE$3,"="&amp;$DF45+'Model Setup'!$D$7,$AD45:$BA45)+'Model Setup'!$D$8*(SUMIF($BH$3:$CE$3,"&lt;"&amp;$DF45,$AD45:$BA45)+SUMIF($BH$3:$CE$3,"&gt;"&amp;$CW$4,$AD45:$BA45)),
IF(CD$3=$DF45+'Model Setup'!$E$7,SUMIF($BH$3:$CE$3,"="&amp;$DF45+'Model Setup'!$E$7,$AD45:$BA45)+'Model Setup'!$E$8*(SUMIF($BH$3:$CE$3,"&lt;"&amp;$DF45,$AD45:$BA45)+SUMIF($BH$3:$CE$3,"&gt;"&amp;$CW$4,$AD45:$BA45)),
IF(CD$3=$DF45+'Model Setup'!$F$7,SUMIF($BH$3:$CE$3,"="&amp;$DF45+'Model Setup'!$F$7,$AD45:$BA45)+'Model Setup'!$F$8*(SUMIF($BH$3:$CE$3,"&lt;"&amp;$DF45,$AD45:$BA45)+SUMIF($BH$3:$CE$3,"&gt;"&amp;$CW$4,$AD45:$BA45)),
IF(CD$3=$DF45+'Model Setup'!$G$7,SUMIF($BH$3:$CE$3,"="&amp;$DF45+'Model Setup'!$G$7,$AD45:$BA45)+'Model Setup'!$G$8*(SUMIF($BH$3:$CE$3,"&lt;"&amp;$DF45,$AD45:$BA45)+SUMIF($BH$3:$CE$3,"&gt;"&amp;$CW$4,$AD45:$BA45)),
IF(CD$3=$DF45+'Model Setup'!$H$7,SUMIF($BH$3:$CE$3,"="&amp;$DF45+'Model Setup'!$H$7,$AD45:$BA45)+'Model Setup'!$H$8*(SUMIF($BH$3:$CE$3,"&lt;"&amp;$DF45,$AD45:$BA45)+SUMIF($BH$3:$CE$3,"&gt;"&amp;$CW$4,$AD45:$BA45)),
IF(CD$3=$DF45+'Model Setup'!$I$7,SUMIF($BH$3:$CE$3,"="&amp;$DF45+'Model Setup'!$I$7,$AD45:$BA45)+'Model Setup'!$I$8*(SUMIF($BH$3:$CE$3,"&lt;"&amp;$DF45,$AD45:$BA45)+SUMIF($BH$3:$CE$3,"&gt;"&amp;$CW$4,$AD45:$BA45)),
IF(CD$3=$DF45+'Model Setup'!$J$7,SUMIF($BH$3:$CE$3,"="&amp;$DF45+'Model Setup'!$J$7,$AD45:$BA45)+'Model Setup'!$J$8*(SUMIF($BH$3:$CE$3,"&lt;"&amp;$DF45,$AD45:$BA45)+SUMIF($BH$3:$CE$3,"&gt;"&amp;$CW$4,$AD45:$BA45)),
IF(CD$3=$DF45+'Model Setup'!$K$7,SUMIF($BH$3:$CE$3,"="&amp;$DF45+'Model Setup'!$K$7,$AD45:$BA45)+'Model Setup'!$K$8*(SUMIF($BH$3:$CE$3,"&lt;"&amp;$DF45,$AD45:$BA45)+SUMIF($BH$3:$CE$3,"&gt;"&amp;$CW$4,$AD45:$BA45)),
IF(CD$3=$DF45+'Model Setup'!$L$7,SUMIF($BH$3:$CE$3,"="&amp;$DF45+'Model Setup'!$L$7,$AD45:$BA45)+'Model Setup'!$L$8*(SUMIF($BH$3:$CE$3,"&lt;"&amp;$DF45,$AD45:$BA45)+SUMIF($BH$3:$CE$3,"&gt;"&amp;$CW$4,$AD45:$BA45)),
IF(CD$3=$DF45+'Model Setup'!$M$7,SUMIF($BH$3:$CE$3,"="&amp;$DF45+'Model Setup'!$M$7,$AD45:$BA45)+'Model Setup'!$M$8*(SUMIF($BH$3:$CE$3,"&lt;"&amp;$DF45,$AD45:$BA45)+SUMIF($BH$3:$CE$3,"&gt;"&amp;$CW$4,$AD45:$BA45)),
IF(CD$3=$DF45+'Model Setup'!$N$7,SUMIF($BH$3:$CE$3,"="&amp;$DF45+'Model Setup'!$N$7,$AD45:$BA45)+'Model Setup'!$N$8*(SUMIF($BH$3:$CE$3,"&lt;"&amp;$DF45,$AD45:$BA45)+SUMIF($BH$3:$CE$3,"&gt;"&amp;$CW$4,$AD45:$BA45)),
IF(CD$3&lt;$CW$4,X45,0))))))))))))))),0)</f>
        <v>0</v>
      </c>
      <c r="CE45" s="47">
        <f>ROUND(IF(OR(CE$3&lt;$DF45,CE$3&gt;$CW$4),0,
IF(CE$3=$DF45+'Model Setup'!$B$7,SUMIF($BH$3:$CE$3,"="&amp;$DF45+'Model Setup'!$B$7,$AD45:$BA45)+'Model Setup'!$B$8*(SUMIF($BH$3:$CE$3,"&lt;"&amp;$DF45,$AD45:$BA45)+SUMIF($BH$3:$CE$3,"&gt;"&amp;$CW$4,$AD45:$BA45)),
IF(CE$3=$DF45+'Model Setup'!$C$7,SUMIF($BH$3:$CE$3,"="&amp;$DF45+'Model Setup'!$C$7,$AD45:$BA45)+'Model Setup'!$C$8*(SUMIF($BH$3:$CE$3,"&lt;"&amp;$DF45,$AD45:$BA45)+SUMIF($BH$3:$CE$3,"&gt;"&amp;$CW$4,$AD45:$BA45)),
IF(CE$3=$DF45+'Model Setup'!$D$7,SUMIF($BH$3:$CE$3,"="&amp;$DF45+'Model Setup'!$D$7,$AD45:$BA45)+'Model Setup'!$D$8*(SUMIF($BH$3:$CE$3,"&lt;"&amp;$DF45,$AD45:$BA45)+SUMIF($BH$3:$CE$3,"&gt;"&amp;$CW$4,$AD45:$BA45)),
IF(CE$3=$DF45+'Model Setup'!$E$7,SUMIF($BH$3:$CE$3,"="&amp;$DF45+'Model Setup'!$E$7,$AD45:$BA45)+'Model Setup'!$E$8*(SUMIF($BH$3:$CE$3,"&lt;"&amp;$DF45,$AD45:$BA45)+SUMIF($BH$3:$CE$3,"&gt;"&amp;$CW$4,$AD45:$BA45)),
IF(CE$3=$DF45+'Model Setup'!$F$7,SUMIF($BH$3:$CE$3,"="&amp;$DF45+'Model Setup'!$F$7,$AD45:$BA45)+'Model Setup'!$F$8*(SUMIF($BH$3:$CE$3,"&lt;"&amp;$DF45,$AD45:$BA45)+SUMIF($BH$3:$CE$3,"&gt;"&amp;$CW$4,$AD45:$BA45)),
IF(CE$3=$DF45+'Model Setup'!$G$7,SUMIF($BH$3:$CE$3,"="&amp;$DF45+'Model Setup'!$G$7,$AD45:$BA45)+'Model Setup'!$G$8*(SUMIF($BH$3:$CE$3,"&lt;"&amp;$DF45,$AD45:$BA45)+SUMIF($BH$3:$CE$3,"&gt;"&amp;$CW$4,$AD45:$BA45)),
IF(CE$3=$DF45+'Model Setup'!$H$7,SUMIF($BH$3:$CE$3,"="&amp;$DF45+'Model Setup'!$H$7,$AD45:$BA45)+'Model Setup'!$H$8*(SUMIF($BH$3:$CE$3,"&lt;"&amp;$DF45,$AD45:$BA45)+SUMIF($BH$3:$CE$3,"&gt;"&amp;$CW$4,$AD45:$BA45)),
IF(CE$3=$DF45+'Model Setup'!$I$7,SUMIF($BH$3:$CE$3,"="&amp;$DF45+'Model Setup'!$I$7,$AD45:$BA45)+'Model Setup'!$I$8*(SUMIF($BH$3:$CE$3,"&lt;"&amp;$DF45,$AD45:$BA45)+SUMIF($BH$3:$CE$3,"&gt;"&amp;$CW$4,$AD45:$BA45)),
IF(CE$3=$DF45+'Model Setup'!$J$7,SUMIF($BH$3:$CE$3,"="&amp;$DF45+'Model Setup'!$J$7,$AD45:$BA45)+'Model Setup'!$J$8*(SUMIF($BH$3:$CE$3,"&lt;"&amp;$DF45,$AD45:$BA45)+SUMIF($BH$3:$CE$3,"&gt;"&amp;$CW$4,$AD45:$BA45)),
IF(CE$3=$DF45+'Model Setup'!$K$7,SUMIF($BH$3:$CE$3,"="&amp;$DF45+'Model Setup'!$K$7,$AD45:$BA45)+'Model Setup'!$K$8*(SUMIF($BH$3:$CE$3,"&lt;"&amp;$DF45,$AD45:$BA45)+SUMIF($BH$3:$CE$3,"&gt;"&amp;$CW$4,$AD45:$BA45)),
IF(CE$3=$DF45+'Model Setup'!$L$7,SUMIF($BH$3:$CE$3,"="&amp;$DF45+'Model Setup'!$L$7,$AD45:$BA45)+'Model Setup'!$L$8*(SUMIF($BH$3:$CE$3,"&lt;"&amp;$DF45,$AD45:$BA45)+SUMIF($BH$3:$CE$3,"&gt;"&amp;$CW$4,$AD45:$BA45)),
IF(CE$3=$DF45+'Model Setup'!$M$7,SUMIF($BH$3:$CE$3,"="&amp;$DF45+'Model Setup'!$M$7,$AD45:$BA45)+'Model Setup'!$M$8*(SUMIF($BH$3:$CE$3,"&lt;"&amp;$DF45,$AD45:$BA45)+SUMIF($BH$3:$CE$3,"&gt;"&amp;$CW$4,$AD45:$BA45)),
IF(CE$3=$DF45+'Model Setup'!$N$7,SUMIF($BH$3:$CE$3,"="&amp;$DF45+'Model Setup'!$N$7,$AD45:$BA45)+'Model Setup'!$N$8*(SUMIF($BH$3:$CE$3,"&lt;"&amp;$DF45,$AD45:$BA45)+SUMIF($BH$3:$CE$3,"&gt;"&amp;$CW$4,$AD45:$BA45)),
IF(CE$3&lt;$CW$4,Y45,0))))))))))))))),0)</f>
        <v>0</v>
      </c>
      <c r="CF45" s="47">
        <f t="shared" si="3"/>
        <v>141</v>
      </c>
      <c r="CG45" s="47">
        <f t="shared" si="4"/>
        <v>-6</v>
      </c>
      <c r="CI45" s="10" t="s">
        <v>60</v>
      </c>
      <c r="CJ45" s="126">
        <f t="shared" si="9"/>
        <v>0</v>
      </c>
      <c r="CK45" s="126">
        <f t="shared" si="10"/>
        <v>0</v>
      </c>
      <c r="CL45" s="126">
        <f t="shared" si="11"/>
        <v>9</v>
      </c>
      <c r="CM45" s="126">
        <f t="shared" si="12"/>
        <v>16</v>
      </c>
      <c r="CN45" s="126">
        <f t="shared" si="13"/>
        <v>18</v>
      </c>
      <c r="CO45" s="126">
        <f t="shared" si="14"/>
        <v>7</v>
      </c>
      <c r="CP45" s="126">
        <f t="shared" si="15"/>
        <v>10</v>
      </c>
      <c r="CQ45" s="126">
        <f t="shared" si="16"/>
        <v>13</v>
      </c>
      <c r="CR45" s="126">
        <f t="shared" si="17"/>
        <v>3</v>
      </c>
      <c r="CS45" s="126">
        <f t="shared" si="18"/>
        <v>5</v>
      </c>
      <c r="CT45" s="126">
        <f t="shared" si="19"/>
        <v>3</v>
      </c>
      <c r="CU45" s="126">
        <f t="shared" si="20"/>
        <v>4</v>
      </c>
      <c r="CV45" s="126">
        <f t="shared" si="21"/>
        <v>17</v>
      </c>
      <c r="CW45" s="126">
        <f t="shared" si="22"/>
        <v>24</v>
      </c>
      <c r="CX45" s="126">
        <f t="shared" si="23"/>
        <v>18</v>
      </c>
      <c r="CY45" s="126">
        <f t="shared" si="24"/>
        <v>0</v>
      </c>
      <c r="CZ45" s="47">
        <f t="shared" si="7"/>
        <v>129</v>
      </c>
      <c r="DC45" s="93" t="s">
        <v>60</v>
      </c>
      <c r="DD45" s="89">
        <f>FTC!E43</f>
        <v>0.29166666666666669</v>
      </c>
      <c r="DE45" s="89">
        <f>FTC!F43</f>
        <v>0.58333333333333337</v>
      </c>
      <c r="DF45" s="90">
        <f t="shared" si="25"/>
        <v>7</v>
      </c>
      <c r="DG45" s="91">
        <f t="shared" si="26"/>
        <v>14</v>
      </c>
      <c r="DH45" s="91">
        <f t="shared" si="27"/>
        <v>7</v>
      </c>
    </row>
    <row r="46" spans="1:112" x14ac:dyDescent="0.35">
      <c r="A46" s="43" t="s">
        <v>61</v>
      </c>
      <c r="B46" s="47">
        <v>4</v>
      </c>
      <c r="C46" s="47">
        <v>2</v>
      </c>
      <c r="D46" s="47">
        <v>5</v>
      </c>
      <c r="E46" s="47">
        <v>5</v>
      </c>
      <c r="F46" s="47">
        <v>7</v>
      </c>
      <c r="G46" s="47">
        <v>20</v>
      </c>
      <c r="H46" s="47">
        <v>55</v>
      </c>
      <c r="I46" s="47">
        <v>59</v>
      </c>
      <c r="J46" s="47">
        <v>58</v>
      </c>
      <c r="K46" s="47">
        <v>76</v>
      </c>
      <c r="L46" s="47">
        <v>51</v>
      </c>
      <c r="M46" s="47">
        <v>31</v>
      </c>
      <c r="N46" s="47">
        <v>26</v>
      </c>
      <c r="O46" s="47">
        <v>20</v>
      </c>
      <c r="P46" s="47">
        <v>20</v>
      </c>
      <c r="Q46" s="47">
        <v>22</v>
      </c>
      <c r="R46" s="47">
        <v>13</v>
      </c>
      <c r="S46" s="47">
        <v>11</v>
      </c>
      <c r="T46" s="47">
        <v>7</v>
      </c>
      <c r="U46" s="47">
        <v>3</v>
      </c>
      <c r="V46" s="47">
        <v>4</v>
      </c>
      <c r="W46" s="47">
        <v>2</v>
      </c>
      <c r="X46" s="6"/>
      <c r="Y46" s="47">
        <v>1</v>
      </c>
      <c r="Z46" s="47">
        <f t="shared" si="0"/>
        <v>502</v>
      </c>
      <c r="AC46" s="43" t="s">
        <v>61</v>
      </c>
      <c r="AD46" s="47">
        <f>ROUND(IF(AD$3&lt;$DF46,0,
IF(AD$3=$DF46+'Model Setup'!$B$7,SUMIF($AD$3:$BA$3,"="&amp;$DF46+'Model Setup'!$B$7,$B46:$Y46)+'Model Setup'!$B$8*(SUMIF($AD$3:$BA$3,"&lt;"&amp;$DF46,$B46:$Y46)+SUMIF($AD$3:$BA$3,"&gt;="&amp;$DG46,$B46:$Y46)),
IF(AD$3=$DF46+'Model Setup'!$C$7,SUMIF($AD$3:$BA$3,"="&amp;$DF46+'Model Setup'!$C$7,$B46:$Y46)+'Model Setup'!$C$8*(SUMIF($AD$3:$BA$3,"&lt;"&amp;$DF46,$B46:$Y46)+SUMIF($AD$3:$BA$3,"&gt;="&amp;$DG46,$B46:$Y46)),
IF(AD$3=$DF46+'Model Setup'!$D$7,SUMIF($AD$3:$BA$3,"="&amp;$DF46+'Model Setup'!$D$7,$B46:$Y46)+'Model Setup'!$D$8*(SUMIF($AD$3:$BA$3,"&lt;"&amp;$DF46,$B46:$Y46)+SUMIF($AD$3:$BA$3,"&gt;="&amp;$DG46,$B46:$Y46)),
IF(AD$3=$DF46+'Model Setup'!$E$7,SUMIF($AD$3:$BA$3,"="&amp;$DF46+'Model Setup'!$E$7,$B46:$Y46)+'Model Setup'!$E$8*(SUMIF($AD$3:$BA$3,"&lt;"&amp;$DF46,$B46:$Y46)+SUMIF($AD$3:$BA$3,"&gt;="&amp;$DG46,$B46:$Y46)),
IF(AD$3=$DF46+'Model Setup'!$F$7,SUMIF($AD$3:$BA$3,"="&amp;$DF46+'Model Setup'!$F$7,$B46:$Y46)+'Model Setup'!$F$8*(SUMIF($AD$3:$BA$3,"&lt;"&amp;$DF46,$B46:$Y46)+SUMIF($AD$3:$BA$3,"&gt;="&amp;$DG46,$B46:$Y46)),
IF(AD$3=$DF46+'Model Setup'!$G$7,SUMIF($AD$3:$BA$3,"="&amp;$DF46+'Model Setup'!$G$7,$B46:$Y46)+'Model Setup'!$G$8*(SUMIF($AD$3:$BA$3,"&lt;"&amp;$DF46,$B46:$Y46)+SUMIF($AD$3:$BA$3,"&gt;="&amp;$DG46,$B46:$Y46)),
IF(AD$3=$DF46+'Model Setup'!$H$7,SUMIF($AD$3:$BA$3,"="&amp;$DF46+'Model Setup'!$H$7,$B46:$Y46)+'Model Setup'!$H$8*(SUMIF($AD$3:$BA$3,"&lt;"&amp;$DF46,$B46:$Y46)+SUMIF($AD$3:$BA$3,"&gt;="&amp;$DG46,$B46:$Y46)),
IF(AD$3=$DF46+'Model Setup'!$I$7,SUMIF($AD$3:$BA$3,"="&amp;$DF46+'Model Setup'!$I$7,$B46:$Y46)+'Model Setup'!$I$8*(SUMIF($AD$3:$BA$3,"&lt;"&amp;$DF46,$B46:$Y46)+SUMIF($AD$3:$BA$3,"&gt;="&amp;$DG46,$B46:$Y46)),
IF(AD$3=$DF46+'Model Setup'!$J$7,SUMIF($AD$3:$BA$3,"="&amp;$DF46+'Model Setup'!$J$7,$B46:$Y46)+'Model Setup'!$J$8*(SUMIF($AD$3:$BA$3,"&lt;"&amp;$DF46,$B46:$Y46)+SUMIF($AD$3:$BA$3,"&gt;="&amp;$DG46,$B46:$Y46)),
IF(AD$3=$DF46+'Model Setup'!$K$7,SUMIF($AD$3:$BA$3,"="&amp;$DF46+'Model Setup'!$K$7,$B46:$Y46)+'Model Setup'!$K$8*(SUMIF($AD$3:$BA$3,"&lt;"&amp;$DF46,$B46:$Y46)+SUMIF($AD$3:$BA$3,"&gt;="&amp;$DG46,$B46:$Y46)),
IF(AD$3=$DF46+'Model Setup'!$L$7,SUMIF($AD$3:$BA$3,"="&amp;$DF46+'Model Setup'!$L$7,$B46:$Y46)+'Model Setup'!$L$8*(SUMIF($AD$3:$BA$3,"&lt;"&amp;$DF46,$B46:$Y46)+SUMIF($AD$3:$BA$3,"&gt;="&amp;$DG46,$B46:$Y46)),
IF(AD$3=$DF46+'Model Setup'!$M$7,SUMIF($AD$3:$BA$3,"="&amp;$DF46+'Model Setup'!$M$7,$B46:$Y46)+'Model Setup'!$M$8*(SUMIF($AD$3:$BA$3,"&lt;"&amp;$DF46,$B46:$Y46)+SUMIF($AD$3:$BA$3,"&gt;="&amp;$DG46,$B46:$Y46)),
IF(AD$3=$DF46+'Model Setup'!$N$7,SUMIF($AD$3:$BA$3,"="&amp;$DF46+'Model Setup'!$N$7,$B46:$Y46)+'Model Setup'!$N$8*(SUMIF($AD$3:$BA$3,"&lt;"&amp;$DF46,$B46:$Y46)+SUMIF($AD$3:$BA$3,"&gt;="&amp;$DG46,$B46:$Y46)),
IF(AD$3&lt;$DG46,B46,0))))))))))))))),0)</f>
        <v>0</v>
      </c>
      <c r="AE46" s="47">
        <f>ROUND(IF(AE$3&lt;$DF46,0,
IF(AE$3=$DF46+'Model Setup'!$B$7,SUMIF($AD$3:$BA$3,"="&amp;$DF46+'Model Setup'!$B$7,$B46:$Y46)+'Model Setup'!$B$8*(SUMIF($AD$3:$BA$3,"&lt;"&amp;$DF46,$B46:$Y46)+SUMIF($AD$3:$BA$3,"&gt;="&amp;$DG46,$B46:$Y46)),
IF(AE$3=$DF46+'Model Setup'!$C$7,SUMIF($AD$3:$BA$3,"="&amp;$DF46+'Model Setup'!$C$7,$B46:$Y46)+'Model Setup'!$C$8*(SUMIF($AD$3:$BA$3,"&lt;"&amp;$DF46,$B46:$Y46)+SUMIF($AD$3:$BA$3,"&gt;="&amp;$DG46,$B46:$Y46)),
IF(AE$3=$DF46+'Model Setup'!$D$7,SUMIF($AD$3:$BA$3,"="&amp;$DF46+'Model Setup'!$D$7,$B46:$Y46)+'Model Setup'!$D$8*(SUMIF($AD$3:$BA$3,"&lt;"&amp;$DF46,$B46:$Y46)+SUMIF($AD$3:$BA$3,"&gt;="&amp;$DG46,$B46:$Y46)),
IF(AE$3=$DF46+'Model Setup'!$E$7,SUMIF($AD$3:$BA$3,"="&amp;$DF46+'Model Setup'!$E$7,$B46:$Y46)+'Model Setup'!$E$8*(SUMIF($AD$3:$BA$3,"&lt;"&amp;$DF46,$B46:$Y46)+SUMIF($AD$3:$BA$3,"&gt;="&amp;$DG46,$B46:$Y46)),
IF(AE$3=$DF46+'Model Setup'!$F$7,SUMIF($AD$3:$BA$3,"="&amp;$DF46+'Model Setup'!$F$7,$B46:$Y46)+'Model Setup'!$F$8*(SUMIF($AD$3:$BA$3,"&lt;"&amp;$DF46,$B46:$Y46)+SUMIF($AD$3:$BA$3,"&gt;="&amp;$DG46,$B46:$Y46)),
IF(AE$3=$DF46+'Model Setup'!$G$7,SUMIF($AD$3:$BA$3,"="&amp;$DF46+'Model Setup'!$G$7,$B46:$Y46)+'Model Setup'!$G$8*(SUMIF($AD$3:$BA$3,"&lt;"&amp;$DF46,$B46:$Y46)+SUMIF($AD$3:$BA$3,"&gt;="&amp;$DG46,$B46:$Y46)),
IF(AE$3=$DF46+'Model Setup'!$H$7,SUMIF($AD$3:$BA$3,"="&amp;$DF46+'Model Setup'!$H$7,$B46:$Y46)+'Model Setup'!$H$8*(SUMIF($AD$3:$BA$3,"&lt;"&amp;$DF46,$B46:$Y46)+SUMIF($AD$3:$BA$3,"&gt;="&amp;$DG46,$B46:$Y46)),
IF(AE$3=$DF46+'Model Setup'!$I$7,SUMIF($AD$3:$BA$3,"="&amp;$DF46+'Model Setup'!$I$7,$B46:$Y46)+'Model Setup'!$I$8*(SUMIF($AD$3:$BA$3,"&lt;"&amp;$DF46,$B46:$Y46)+SUMIF($AD$3:$BA$3,"&gt;="&amp;$DG46,$B46:$Y46)),
IF(AE$3=$DF46+'Model Setup'!$J$7,SUMIF($AD$3:$BA$3,"="&amp;$DF46+'Model Setup'!$J$7,$B46:$Y46)+'Model Setup'!$J$8*(SUMIF($AD$3:$BA$3,"&lt;"&amp;$DF46,$B46:$Y46)+SUMIF($AD$3:$BA$3,"&gt;="&amp;$DG46,$B46:$Y46)),
IF(AE$3=$DF46+'Model Setup'!$K$7,SUMIF($AD$3:$BA$3,"="&amp;$DF46+'Model Setup'!$K$7,$B46:$Y46)+'Model Setup'!$K$8*(SUMIF($AD$3:$BA$3,"&lt;"&amp;$DF46,$B46:$Y46)+SUMIF($AD$3:$BA$3,"&gt;="&amp;$DG46,$B46:$Y46)),
IF(AE$3=$DF46+'Model Setup'!$L$7,SUMIF($AD$3:$BA$3,"="&amp;$DF46+'Model Setup'!$L$7,$B46:$Y46)+'Model Setup'!$L$8*(SUMIF($AD$3:$BA$3,"&lt;"&amp;$DF46,$B46:$Y46)+SUMIF($AD$3:$BA$3,"&gt;="&amp;$DG46,$B46:$Y46)),
IF(AE$3=$DF46+'Model Setup'!$M$7,SUMIF($AD$3:$BA$3,"="&amp;$DF46+'Model Setup'!$M$7,$B46:$Y46)+'Model Setup'!$M$8*(SUMIF($AD$3:$BA$3,"&lt;"&amp;$DF46,$B46:$Y46)+SUMIF($AD$3:$BA$3,"&gt;="&amp;$DG46,$B46:$Y46)),
IF(AE$3=$DF46+'Model Setup'!$N$7,SUMIF($AD$3:$BA$3,"="&amp;$DF46+'Model Setup'!$N$7,$B46:$Y46)+'Model Setup'!$N$8*(SUMIF($AD$3:$BA$3,"&lt;"&amp;$DF46,$B46:$Y46)+SUMIF($AD$3:$BA$3,"&gt;="&amp;$DG46,$B46:$Y46)),
IF(AE$3&lt;$DG46,C46,0))))))))))))))),0)</f>
        <v>0</v>
      </c>
      <c r="AF46" s="47">
        <f>ROUND(IF(AF$3&lt;$DF46,0,
IF(AF$3=$DF46+'Model Setup'!$B$7,SUMIF($AD$3:$BA$3,"="&amp;$DF46+'Model Setup'!$B$7,$B46:$Y46)+'Model Setup'!$B$8*(SUMIF($AD$3:$BA$3,"&lt;"&amp;$DF46,$B46:$Y46)+SUMIF($AD$3:$BA$3,"&gt;="&amp;$DG46,$B46:$Y46)),
IF(AF$3=$DF46+'Model Setup'!$C$7,SUMIF($AD$3:$BA$3,"="&amp;$DF46+'Model Setup'!$C$7,$B46:$Y46)+'Model Setup'!$C$8*(SUMIF($AD$3:$BA$3,"&lt;"&amp;$DF46,$B46:$Y46)+SUMIF($AD$3:$BA$3,"&gt;="&amp;$DG46,$B46:$Y46)),
IF(AF$3=$DF46+'Model Setup'!$D$7,SUMIF($AD$3:$BA$3,"="&amp;$DF46+'Model Setup'!$D$7,$B46:$Y46)+'Model Setup'!$D$8*(SUMIF($AD$3:$BA$3,"&lt;"&amp;$DF46,$B46:$Y46)+SUMIF($AD$3:$BA$3,"&gt;="&amp;$DG46,$B46:$Y46)),
IF(AF$3=$DF46+'Model Setup'!$E$7,SUMIF($AD$3:$BA$3,"="&amp;$DF46+'Model Setup'!$E$7,$B46:$Y46)+'Model Setup'!$E$8*(SUMIF($AD$3:$BA$3,"&lt;"&amp;$DF46,$B46:$Y46)+SUMIF($AD$3:$BA$3,"&gt;="&amp;$DG46,$B46:$Y46)),
IF(AF$3=$DF46+'Model Setup'!$F$7,SUMIF($AD$3:$BA$3,"="&amp;$DF46+'Model Setup'!$F$7,$B46:$Y46)+'Model Setup'!$F$8*(SUMIF($AD$3:$BA$3,"&lt;"&amp;$DF46,$B46:$Y46)+SUMIF($AD$3:$BA$3,"&gt;="&amp;$DG46,$B46:$Y46)),
IF(AF$3=$DF46+'Model Setup'!$G$7,SUMIF($AD$3:$BA$3,"="&amp;$DF46+'Model Setup'!$G$7,$B46:$Y46)+'Model Setup'!$G$8*(SUMIF($AD$3:$BA$3,"&lt;"&amp;$DF46,$B46:$Y46)+SUMIF($AD$3:$BA$3,"&gt;="&amp;$DG46,$B46:$Y46)),
IF(AF$3=$DF46+'Model Setup'!$H$7,SUMIF($AD$3:$BA$3,"="&amp;$DF46+'Model Setup'!$H$7,$B46:$Y46)+'Model Setup'!$H$8*(SUMIF($AD$3:$BA$3,"&lt;"&amp;$DF46,$B46:$Y46)+SUMIF($AD$3:$BA$3,"&gt;="&amp;$DG46,$B46:$Y46)),
IF(AF$3=$DF46+'Model Setup'!$I$7,SUMIF($AD$3:$BA$3,"="&amp;$DF46+'Model Setup'!$I$7,$B46:$Y46)+'Model Setup'!$I$8*(SUMIF($AD$3:$BA$3,"&lt;"&amp;$DF46,$B46:$Y46)+SUMIF($AD$3:$BA$3,"&gt;="&amp;$DG46,$B46:$Y46)),
IF(AF$3=$DF46+'Model Setup'!$J$7,SUMIF($AD$3:$BA$3,"="&amp;$DF46+'Model Setup'!$J$7,$B46:$Y46)+'Model Setup'!$J$8*(SUMIF($AD$3:$BA$3,"&lt;"&amp;$DF46,$B46:$Y46)+SUMIF($AD$3:$BA$3,"&gt;="&amp;$DG46,$B46:$Y46)),
IF(AF$3=$DF46+'Model Setup'!$K$7,SUMIF($AD$3:$BA$3,"="&amp;$DF46+'Model Setup'!$K$7,$B46:$Y46)+'Model Setup'!$K$8*(SUMIF($AD$3:$BA$3,"&lt;"&amp;$DF46,$B46:$Y46)+SUMIF($AD$3:$BA$3,"&gt;="&amp;$DG46,$B46:$Y46)),
IF(AF$3=$DF46+'Model Setup'!$L$7,SUMIF($AD$3:$BA$3,"="&amp;$DF46+'Model Setup'!$L$7,$B46:$Y46)+'Model Setup'!$L$8*(SUMIF($AD$3:$BA$3,"&lt;"&amp;$DF46,$B46:$Y46)+SUMIF($AD$3:$BA$3,"&gt;="&amp;$DG46,$B46:$Y46)),
IF(AF$3=$DF46+'Model Setup'!$M$7,SUMIF($AD$3:$BA$3,"="&amp;$DF46+'Model Setup'!$M$7,$B46:$Y46)+'Model Setup'!$M$8*(SUMIF($AD$3:$BA$3,"&lt;"&amp;$DF46,$B46:$Y46)+SUMIF($AD$3:$BA$3,"&gt;="&amp;$DG46,$B46:$Y46)),
IF(AF$3=$DF46+'Model Setup'!$N$7,SUMIF($AD$3:$BA$3,"="&amp;$DF46+'Model Setup'!$N$7,$B46:$Y46)+'Model Setup'!$N$8*(SUMIF($AD$3:$BA$3,"&lt;"&amp;$DF46,$B46:$Y46)+SUMIF($AD$3:$BA$3,"&gt;="&amp;$DG46,$B46:$Y46)),
IF(AF$3&lt;$DG46,D46,0))))))))))))))),0)</f>
        <v>0</v>
      </c>
      <c r="AG46" s="47">
        <f>ROUND(IF(AG$3&lt;$DF46,0,
IF(AG$3=$DF46+'Model Setup'!$B$7,SUMIF($AD$3:$BA$3,"="&amp;$DF46+'Model Setup'!$B$7,$B46:$Y46)+'Model Setup'!$B$8*(SUMIF($AD$3:$BA$3,"&lt;"&amp;$DF46,$B46:$Y46)+SUMIF($AD$3:$BA$3,"&gt;="&amp;$DG46,$B46:$Y46)),
IF(AG$3=$DF46+'Model Setup'!$C$7,SUMIF($AD$3:$BA$3,"="&amp;$DF46+'Model Setup'!$C$7,$B46:$Y46)+'Model Setup'!$C$8*(SUMIF($AD$3:$BA$3,"&lt;"&amp;$DF46,$B46:$Y46)+SUMIF($AD$3:$BA$3,"&gt;="&amp;$DG46,$B46:$Y46)),
IF(AG$3=$DF46+'Model Setup'!$D$7,SUMIF($AD$3:$BA$3,"="&amp;$DF46+'Model Setup'!$D$7,$B46:$Y46)+'Model Setup'!$D$8*(SUMIF($AD$3:$BA$3,"&lt;"&amp;$DF46,$B46:$Y46)+SUMIF($AD$3:$BA$3,"&gt;="&amp;$DG46,$B46:$Y46)),
IF(AG$3=$DF46+'Model Setup'!$E$7,SUMIF($AD$3:$BA$3,"="&amp;$DF46+'Model Setup'!$E$7,$B46:$Y46)+'Model Setup'!$E$8*(SUMIF($AD$3:$BA$3,"&lt;"&amp;$DF46,$B46:$Y46)+SUMIF($AD$3:$BA$3,"&gt;="&amp;$DG46,$B46:$Y46)),
IF(AG$3=$DF46+'Model Setup'!$F$7,SUMIF($AD$3:$BA$3,"="&amp;$DF46+'Model Setup'!$F$7,$B46:$Y46)+'Model Setup'!$F$8*(SUMIF($AD$3:$BA$3,"&lt;"&amp;$DF46,$B46:$Y46)+SUMIF($AD$3:$BA$3,"&gt;="&amp;$DG46,$B46:$Y46)),
IF(AG$3=$DF46+'Model Setup'!$G$7,SUMIF($AD$3:$BA$3,"="&amp;$DF46+'Model Setup'!$G$7,$B46:$Y46)+'Model Setup'!$G$8*(SUMIF($AD$3:$BA$3,"&lt;"&amp;$DF46,$B46:$Y46)+SUMIF($AD$3:$BA$3,"&gt;="&amp;$DG46,$B46:$Y46)),
IF(AG$3=$DF46+'Model Setup'!$H$7,SUMIF($AD$3:$BA$3,"="&amp;$DF46+'Model Setup'!$H$7,$B46:$Y46)+'Model Setup'!$H$8*(SUMIF($AD$3:$BA$3,"&lt;"&amp;$DF46,$B46:$Y46)+SUMIF($AD$3:$BA$3,"&gt;="&amp;$DG46,$B46:$Y46)),
IF(AG$3=$DF46+'Model Setup'!$I$7,SUMIF($AD$3:$BA$3,"="&amp;$DF46+'Model Setup'!$I$7,$B46:$Y46)+'Model Setup'!$I$8*(SUMIF($AD$3:$BA$3,"&lt;"&amp;$DF46,$B46:$Y46)+SUMIF($AD$3:$BA$3,"&gt;="&amp;$DG46,$B46:$Y46)),
IF(AG$3=$DF46+'Model Setup'!$J$7,SUMIF($AD$3:$BA$3,"="&amp;$DF46+'Model Setup'!$J$7,$B46:$Y46)+'Model Setup'!$J$8*(SUMIF($AD$3:$BA$3,"&lt;"&amp;$DF46,$B46:$Y46)+SUMIF($AD$3:$BA$3,"&gt;="&amp;$DG46,$B46:$Y46)),
IF(AG$3=$DF46+'Model Setup'!$K$7,SUMIF($AD$3:$BA$3,"="&amp;$DF46+'Model Setup'!$K$7,$B46:$Y46)+'Model Setup'!$K$8*(SUMIF($AD$3:$BA$3,"&lt;"&amp;$DF46,$B46:$Y46)+SUMIF($AD$3:$BA$3,"&gt;="&amp;$DG46,$B46:$Y46)),
IF(AG$3=$DF46+'Model Setup'!$L$7,SUMIF($AD$3:$BA$3,"="&amp;$DF46+'Model Setup'!$L$7,$B46:$Y46)+'Model Setup'!$L$8*(SUMIF($AD$3:$BA$3,"&lt;"&amp;$DF46,$B46:$Y46)+SUMIF($AD$3:$BA$3,"&gt;="&amp;$DG46,$B46:$Y46)),
IF(AG$3=$DF46+'Model Setup'!$M$7,SUMIF($AD$3:$BA$3,"="&amp;$DF46+'Model Setup'!$M$7,$B46:$Y46)+'Model Setup'!$M$8*(SUMIF($AD$3:$BA$3,"&lt;"&amp;$DF46,$B46:$Y46)+SUMIF($AD$3:$BA$3,"&gt;="&amp;$DG46,$B46:$Y46)),
IF(AG$3=$DF46+'Model Setup'!$N$7,SUMIF($AD$3:$BA$3,"="&amp;$DF46+'Model Setup'!$N$7,$B46:$Y46)+'Model Setup'!$N$8*(SUMIF($AD$3:$BA$3,"&lt;"&amp;$DF46,$B46:$Y46)+SUMIF($AD$3:$BA$3,"&gt;="&amp;$DG46,$B46:$Y46)),
IF(AG$3&lt;$DG46,E46,0))))))))))))))),0)</f>
        <v>0</v>
      </c>
      <c r="AH46" s="47">
        <f>ROUND(IF(AH$3&lt;$DF46,0,
IF(AH$3=$DF46+'Model Setup'!$B$7,SUMIF($AD$3:$BA$3,"="&amp;$DF46+'Model Setup'!$B$7,$B46:$Y46)+'Model Setup'!$B$8*(SUMIF($AD$3:$BA$3,"&lt;"&amp;$DF46,$B46:$Y46)+SUMIF($AD$3:$BA$3,"&gt;="&amp;$DG46,$B46:$Y46)),
IF(AH$3=$DF46+'Model Setup'!$C$7,SUMIF($AD$3:$BA$3,"="&amp;$DF46+'Model Setup'!$C$7,$B46:$Y46)+'Model Setup'!$C$8*(SUMIF($AD$3:$BA$3,"&lt;"&amp;$DF46,$B46:$Y46)+SUMIF($AD$3:$BA$3,"&gt;="&amp;$DG46,$B46:$Y46)),
IF(AH$3=$DF46+'Model Setup'!$D$7,SUMIF($AD$3:$BA$3,"="&amp;$DF46+'Model Setup'!$D$7,$B46:$Y46)+'Model Setup'!$D$8*(SUMIF($AD$3:$BA$3,"&lt;"&amp;$DF46,$B46:$Y46)+SUMIF($AD$3:$BA$3,"&gt;="&amp;$DG46,$B46:$Y46)),
IF(AH$3=$DF46+'Model Setup'!$E$7,SUMIF($AD$3:$BA$3,"="&amp;$DF46+'Model Setup'!$E$7,$B46:$Y46)+'Model Setup'!$E$8*(SUMIF($AD$3:$BA$3,"&lt;"&amp;$DF46,$B46:$Y46)+SUMIF($AD$3:$BA$3,"&gt;="&amp;$DG46,$B46:$Y46)),
IF(AH$3=$DF46+'Model Setup'!$F$7,SUMIF($AD$3:$BA$3,"="&amp;$DF46+'Model Setup'!$F$7,$B46:$Y46)+'Model Setup'!$F$8*(SUMIF($AD$3:$BA$3,"&lt;"&amp;$DF46,$B46:$Y46)+SUMIF($AD$3:$BA$3,"&gt;="&amp;$DG46,$B46:$Y46)),
IF(AH$3=$DF46+'Model Setup'!$G$7,SUMIF($AD$3:$BA$3,"="&amp;$DF46+'Model Setup'!$G$7,$B46:$Y46)+'Model Setup'!$G$8*(SUMIF($AD$3:$BA$3,"&lt;"&amp;$DF46,$B46:$Y46)+SUMIF($AD$3:$BA$3,"&gt;="&amp;$DG46,$B46:$Y46)),
IF(AH$3=$DF46+'Model Setup'!$H$7,SUMIF($AD$3:$BA$3,"="&amp;$DF46+'Model Setup'!$H$7,$B46:$Y46)+'Model Setup'!$H$8*(SUMIF($AD$3:$BA$3,"&lt;"&amp;$DF46,$B46:$Y46)+SUMIF($AD$3:$BA$3,"&gt;="&amp;$DG46,$B46:$Y46)),
IF(AH$3=$DF46+'Model Setup'!$I$7,SUMIF($AD$3:$BA$3,"="&amp;$DF46+'Model Setup'!$I$7,$B46:$Y46)+'Model Setup'!$I$8*(SUMIF($AD$3:$BA$3,"&lt;"&amp;$DF46,$B46:$Y46)+SUMIF($AD$3:$BA$3,"&gt;="&amp;$DG46,$B46:$Y46)),
IF(AH$3=$DF46+'Model Setup'!$J$7,SUMIF($AD$3:$BA$3,"="&amp;$DF46+'Model Setup'!$J$7,$B46:$Y46)+'Model Setup'!$J$8*(SUMIF($AD$3:$BA$3,"&lt;"&amp;$DF46,$B46:$Y46)+SUMIF($AD$3:$BA$3,"&gt;="&amp;$DG46,$B46:$Y46)),
IF(AH$3=$DF46+'Model Setup'!$K$7,SUMIF($AD$3:$BA$3,"="&amp;$DF46+'Model Setup'!$K$7,$B46:$Y46)+'Model Setup'!$K$8*(SUMIF($AD$3:$BA$3,"&lt;"&amp;$DF46,$B46:$Y46)+SUMIF($AD$3:$BA$3,"&gt;="&amp;$DG46,$B46:$Y46)),
IF(AH$3=$DF46+'Model Setup'!$L$7,SUMIF($AD$3:$BA$3,"="&amp;$DF46+'Model Setup'!$L$7,$B46:$Y46)+'Model Setup'!$L$8*(SUMIF($AD$3:$BA$3,"&lt;"&amp;$DF46,$B46:$Y46)+SUMIF($AD$3:$BA$3,"&gt;="&amp;$DG46,$B46:$Y46)),
IF(AH$3=$DF46+'Model Setup'!$M$7,SUMIF($AD$3:$BA$3,"="&amp;$DF46+'Model Setup'!$M$7,$B46:$Y46)+'Model Setup'!$M$8*(SUMIF($AD$3:$BA$3,"&lt;"&amp;$DF46,$B46:$Y46)+SUMIF($AD$3:$BA$3,"&gt;="&amp;$DG46,$B46:$Y46)),
IF(AH$3=$DF46+'Model Setup'!$N$7,SUMIF($AD$3:$BA$3,"="&amp;$DF46+'Model Setup'!$N$7,$B46:$Y46)+'Model Setup'!$N$8*(SUMIF($AD$3:$BA$3,"&lt;"&amp;$DF46,$B46:$Y46)+SUMIF($AD$3:$BA$3,"&gt;="&amp;$DG46,$B46:$Y46)),
IF(AH$3&lt;$DG46,F46,0))))))))))))))),0)</f>
        <v>0</v>
      </c>
      <c r="AI46" s="47">
        <f>ROUND(IF(AI$3&lt;$DF46,0,
IF(AI$3=$DF46+'Model Setup'!$B$7,SUMIF($AD$3:$BA$3,"="&amp;$DF46+'Model Setup'!$B$7,$B46:$Y46)+'Model Setup'!$B$8*(SUMIF($AD$3:$BA$3,"&lt;"&amp;$DF46,$B46:$Y46)+SUMIF($AD$3:$BA$3,"&gt;="&amp;$DG46,$B46:$Y46)),
IF(AI$3=$DF46+'Model Setup'!$C$7,SUMIF($AD$3:$BA$3,"="&amp;$DF46+'Model Setup'!$C$7,$B46:$Y46)+'Model Setup'!$C$8*(SUMIF($AD$3:$BA$3,"&lt;"&amp;$DF46,$B46:$Y46)+SUMIF($AD$3:$BA$3,"&gt;="&amp;$DG46,$B46:$Y46)),
IF(AI$3=$DF46+'Model Setup'!$D$7,SUMIF($AD$3:$BA$3,"="&amp;$DF46+'Model Setup'!$D$7,$B46:$Y46)+'Model Setup'!$D$8*(SUMIF($AD$3:$BA$3,"&lt;"&amp;$DF46,$B46:$Y46)+SUMIF($AD$3:$BA$3,"&gt;="&amp;$DG46,$B46:$Y46)),
IF(AI$3=$DF46+'Model Setup'!$E$7,SUMIF($AD$3:$BA$3,"="&amp;$DF46+'Model Setup'!$E$7,$B46:$Y46)+'Model Setup'!$E$8*(SUMIF($AD$3:$BA$3,"&lt;"&amp;$DF46,$B46:$Y46)+SUMIF($AD$3:$BA$3,"&gt;="&amp;$DG46,$B46:$Y46)),
IF(AI$3=$DF46+'Model Setup'!$F$7,SUMIF($AD$3:$BA$3,"="&amp;$DF46+'Model Setup'!$F$7,$B46:$Y46)+'Model Setup'!$F$8*(SUMIF($AD$3:$BA$3,"&lt;"&amp;$DF46,$B46:$Y46)+SUMIF($AD$3:$BA$3,"&gt;="&amp;$DG46,$B46:$Y46)),
IF(AI$3=$DF46+'Model Setup'!$G$7,SUMIF($AD$3:$BA$3,"="&amp;$DF46+'Model Setup'!$G$7,$B46:$Y46)+'Model Setup'!$G$8*(SUMIF($AD$3:$BA$3,"&lt;"&amp;$DF46,$B46:$Y46)+SUMIF($AD$3:$BA$3,"&gt;="&amp;$DG46,$B46:$Y46)),
IF(AI$3=$DF46+'Model Setup'!$H$7,SUMIF($AD$3:$BA$3,"="&amp;$DF46+'Model Setup'!$H$7,$B46:$Y46)+'Model Setup'!$H$8*(SUMIF($AD$3:$BA$3,"&lt;"&amp;$DF46,$B46:$Y46)+SUMIF($AD$3:$BA$3,"&gt;="&amp;$DG46,$B46:$Y46)),
IF(AI$3=$DF46+'Model Setup'!$I$7,SUMIF($AD$3:$BA$3,"="&amp;$DF46+'Model Setup'!$I$7,$B46:$Y46)+'Model Setup'!$I$8*(SUMIF($AD$3:$BA$3,"&lt;"&amp;$DF46,$B46:$Y46)+SUMIF($AD$3:$BA$3,"&gt;="&amp;$DG46,$B46:$Y46)),
IF(AI$3=$DF46+'Model Setup'!$J$7,SUMIF($AD$3:$BA$3,"="&amp;$DF46+'Model Setup'!$J$7,$B46:$Y46)+'Model Setup'!$J$8*(SUMIF($AD$3:$BA$3,"&lt;"&amp;$DF46,$B46:$Y46)+SUMIF($AD$3:$BA$3,"&gt;="&amp;$DG46,$B46:$Y46)),
IF(AI$3=$DF46+'Model Setup'!$K$7,SUMIF($AD$3:$BA$3,"="&amp;$DF46+'Model Setup'!$K$7,$B46:$Y46)+'Model Setup'!$K$8*(SUMIF($AD$3:$BA$3,"&lt;"&amp;$DF46,$B46:$Y46)+SUMIF($AD$3:$BA$3,"&gt;="&amp;$DG46,$B46:$Y46)),
IF(AI$3=$DF46+'Model Setup'!$L$7,SUMIF($AD$3:$BA$3,"="&amp;$DF46+'Model Setup'!$L$7,$B46:$Y46)+'Model Setup'!$L$8*(SUMIF($AD$3:$BA$3,"&lt;"&amp;$DF46,$B46:$Y46)+SUMIF($AD$3:$BA$3,"&gt;="&amp;$DG46,$B46:$Y46)),
IF(AI$3=$DF46+'Model Setup'!$M$7,SUMIF($AD$3:$BA$3,"="&amp;$DF46+'Model Setup'!$M$7,$B46:$Y46)+'Model Setup'!$M$8*(SUMIF($AD$3:$BA$3,"&lt;"&amp;$DF46,$B46:$Y46)+SUMIF($AD$3:$BA$3,"&gt;="&amp;$DG46,$B46:$Y46)),
IF(AI$3=$DF46+'Model Setup'!$N$7,SUMIF($AD$3:$BA$3,"="&amp;$DF46+'Model Setup'!$N$7,$B46:$Y46)+'Model Setup'!$N$8*(SUMIF($AD$3:$BA$3,"&lt;"&amp;$DF46,$B46:$Y46)+SUMIF($AD$3:$BA$3,"&gt;="&amp;$DG46,$B46:$Y46)),
IF(AI$3&lt;$DG46,G46,0))))))))))))))),0)</f>
        <v>20</v>
      </c>
      <c r="AJ46" s="47">
        <f>ROUND(IF(AJ$3&lt;$DF46,0,
IF(AJ$3=$DF46+'Model Setup'!$B$7,SUMIF($AD$3:$BA$3,"="&amp;$DF46+'Model Setup'!$B$7,$B46:$Y46)+'Model Setup'!$B$8*(SUMIF($AD$3:$BA$3,"&lt;"&amp;$DF46,$B46:$Y46)+SUMIF($AD$3:$BA$3,"&gt;="&amp;$DG46,$B46:$Y46)),
IF(AJ$3=$DF46+'Model Setup'!$C$7,SUMIF($AD$3:$BA$3,"="&amp;$DF46+'Model Setup'!$C$7,$B46:$Y46)+'Model Setup'!$C$8*(SUMIF($AD$3:$BA$3,"&lt;"&amp;$DF46,$B46:$Y46)+SUMIF($AD$3:$BA$3,"&gt;="&amp;$DG46,$B46:$Y46)),
IF(AJ$3=$DF46+'Model Setup'!$D$7,SUMIF($AD$3:$BA$3,"="&amp;$DF46+'Model Setup'!$D$7,$B46:$Y46)+'Model Setup'!$D$8*(SUMIF($AD$3:$BA$3,"&lt;"&amp;$DF46,$B46:$Y46)+SUMIF($AD$3:$BA$3,"&gt;="&amp;$DG46,$B46:$Y46)),
IF(AJ$3=$DF46+'Model Setup'!$E$7,SUMIF($AD$3:$BA$3,"="&amp;$DF46+'Model Setup'!$E$7,$B46:$Y46)+'Model Setup'!$E$8*(SUMIF($AD$3:$BA$3,"&lt;"&amp;$DF46,$B46:$Y46)+SUMIF($AD$3:$BA$3,"&gt;="&amp;$DG46,$B46:$Y46)),
IF(AJ$3=$DF46+'Model Setup'!$F$7,SUMIF($AD$3:$BA$3,"="&amp;$DF46+'Model Setup'!$F$7,$B46:$Y46)+'Model Setup'!$F$8*(SUMIF($AD$3:$BA$3,"&lt;"&amp;$DF46,$B46:$Y46)+SUMIF($AD$3:$BA$3,"&gt;="&amp;$DG46,$B46:$Y46)),
IF(AJ$3=$DF46+'Model Setup'!$G$7,SUMIF($AD$3:$BA$3,"="&amp;$DF46+'Model Setup'!$G$7,$B46:$Y46)+'Model Setup'!$G$8*(SUMIF($AD$3:$BA$3,"&lt;"&amp;$DF46,$B46:$Y46)+SUMIF($AD$3:$BA$3,"&gt;="&amp;$DG46,$B46:$Y46)),
IF(AJ$3=$DF46+'Model Setup'!$H$7,SUMIF($AD$3:$BA$3,"="&amp;$DF46+'Model Setup'!$H$7,$B46:$Y46)+'Model Setup'!$H$8*(SUMIF($AD$3:$BA$3,"&lt;"&amp;$DF46,$B46:$Y46)+SUMIF($AD$3:$BA$3,"&gt;="&amp;$DG46,$B46:$Y46)),
IF(AJ$3=$DF46+'Model Setup'!$I$7,SUMIF($AD$3:$BA$3,"="&amp;$DF46+'Model Setup'!$I$7,$B46:$Y46)+'Model Setup'!$I$8*(SUMIF($AD$3:$BA$3,"&lt;"&amp;$DF46,$B46:$Y46)+SUMIF($AD$3:$BA$3,"&gt;="&amp;$DG46,$B46:$Y46)),
IF(AJ$3=$DF46+'Model Setup'!$J$7,SUMIF($AD$3:$BA$3,"="&amp;$DF46+'Model Setup'!$J$7,$B46:$Y46)+'Model Setup'!$J$8*(SUMIF($AD$3:$BA$3,"&lt;"&amp;$DF46,$B46:$Y46)+SUMIF($AD$3:$BA$3,"&gt;="&amp;$DG46,$B46:$Y46)),
IF(AJ$3=$DF46+'Model Setup'!$K$7,SUMIF($AD$3:$BA$3,"="&amp;$DF46+'Model Setup'!$K$7,$B46:$Y46)+'Model Setup'!$K$8*(SUMIF($AD$3:$BA$3,"&lt;"&amp;$DF46,$B46:$Y46)+SUMIF($AD$3:$BA$3,"&gt;="&amp;$DG46,$B46:$Y46)),
IF(AJ$3=$DF46+'Model Setup'!$L$7,SUMIF($AD$3:$BA$3,"="&amp;$DF46+'Model Setup'!$L$7,$B46:$Y46)+'Model Setup'!$L$8*(SUMIF($AD$3:$BA$3,"&lt;"&amp;$DF46,$B46:$Y46)+SUMIF($AD$3:$BA$3,"&gt;="&amp;$DG46,$B46:$Y46)),
IF(AJ$3=$DF46+'Model Setup'!$M$7,SUMIF($AD$3:$BA$3,"="&amp;$DF46+'Model Setup'!$M$7,$B46:$Y46)+'Model Setup'!$M$8*(SUMIF($AD$3:$BA$3,"&lt;"&amp;$DF46,$B46:$Y46)+SUMIF($AD$3:$BA$3,"&gt;="&amp;$DG46,$B46:$Y46)),
IF(AJ$3=$DF46+'Model Setup'!$N$7,SUMIF($AD$3:$BA$3,"="&amp;$DF46+'Model Setup'!$N$7,$B46:$Y46)+'Model Setup'!$N$8*(SUMIF($AD$3:$BA$3,"&lt;"&amp;$DF46,$B46:$Y46)+SUMIF($AD$3:$BA$3,"&gt;="&amp;$DG46,$B46:$Y46)),
IF(AJ$3&lt;$DG46,H46,0))))))))))))))),0)</f>
        <v>55</v>
      </c>
      <c r="AK46" s="47">
        <f>ROUND(IF(AK$3&lt;$DF46,0,
IF(AK$3=$DF46+'Model Setup'!$B$7,SUMIF($AD$3:$BA$3,"="&amp;$DF46+'Model Setup'!$B$7,$B46:$Y46)+'Model Setup'!$B$8*(SUMIF($AD$3:$BA$3,"&lt;"&amp;$DF46,$B46:$Y46)+SUMIF($AD$3:$BA$3,"&gt;="&amp;$DG46,$B46:$Y46)),
IF(AK$3=$DF46+'Model Setup'!$C$7,SUMIF($AD$3:$BA$3,"="&amp;$DF46+'Model Setup'!$C$7,$B46:$Y46)+'Model Setup'!$C$8*(SUMIF($AD$3:$BA$3,"&lt;"&amp;$DF46,$B46:$Y46)+SUMIF($AD$3:$BA$3,"&gt;="&amp;$DG46,$B46:$Y46)),
IF(AK$3=$DF46+'Model Setup'!$D$7,SUMIF($AD$3:$BA$3,"="&amp;$DF46+'Model Setup'!$D$7,$B46:$Y46)+'Model Setup'!$D$8*(SUMIF($AD$3:$BA$3,"&lt;"&amp;$DF46,$B46:$Y46)+SUMIF($AD$3:$BA$3,"&gt;="&amp;$DG46,$B46:$Y46)),
IF(AK$3=$DF46+'Model Setup'!$E$7,SUMIF($AD$3:$BA$3,"="&amp;$DF46+'Model Setup'!$E$7,$B46:$Y46)+'Model Setup'!$E$8*(SUMIF($AD$3:$BA$3,"&lt;"&amp;$DF46,$B46:$Y46)+SUMIF($AD$3:$BA$3,"&gt;="&amp;$DG46,$B46:$Y46)),
IF(AK$3=$DF46+'Model Setup'!$F$7,SUMIF($AD$3:$BA$3,"="&amp;$DF46+'Model Setup'!$F$7,$B46:$Y46)+'Model Setup'!$F$8*(SUMIF($AD$3:$BA$3,"&lt;"&amp;$DF46,$B46:$Y46)+SUMIF($AD$3:$BA$3,"&gt;="&amp;$DG46,$B46:$Y46)),
IF(AK$3=$DF46+'Model Setup'!$G$7,SUMIF($AD$3:$BA$3,"="&amp;$DF46+'Model Setup'!$G$7,$B46:$Y46)+'Model Setup'!$G$8*(SUMIF($AD$3:$BA$3,"&lt;"&amp;$DF46,$B46:$Y46)+SUMIF($AD$3:$BA$3,"&gt;="&amp;$DG46,$B46:$Y46)),
IF(AK$3=$DF46+'Model Setup'!$H$7,SUMIF($AD$3:$BA$3,"="&amp;$DF46+'Model Setup'!$H$7,$B46:$Y46)+'Model Setup'!$H$8*(SUMIF($AD$3:$BA$3,"&lt;"&amp;$DF46,$B46:$Y46)+SUMIF($AD$3:$BA$3,"&gt;="&amp;$DG46,$B46:$Y46)),
IF(AK$3=$DF46+'Model Setup'!$I$7,SUMIF($AD$3:$BA$3,"="&amp;$DF46+'Model Setup'!$I$7,$B46:$Y46)+'Model Setup'!$I$8*(SUMIF($AD$3:$BA$3,"&lt;"&amp;$DF46,$B46:$Y46)+SUMIF($AD$3:$BA$3,"&gt;="&amp;$DG46,$B46:$Y46)),
IF(AK$3=$DF46+'Model Setup'!$J$7,SUMIF($AD$3:$BA$3,"="&amp;$DF46+'Model Setup'!$J$7,$B46:$Y46)+'Model Setup'!$J$8*(SUMIF($AD$3:$BA$3,"&lt;"&amp;$DF46,$B46:$Y46)+SUMIF($AD$3:$BA$3,"&gt;="&amp;$DG46,$B46:$Y46)),
IF(AK$3=$DF46+'Model Setup'!$K$7,SUMIF($AD$3:$BA$3,"="&amp;$DF46+'Model Setup'!$K$7,$B46:$Y46)+'Model Setup'!$K$8*(SUMIF($AD$3:$BA$3,"&lt;"&amp;$DF46,$B46:$Y46)+SUMIF($AD$3:$BA$3,"&gt;="&amp;$DG46,$B46:$Y46)),
IF(AK$3=$DF46+'Model Setup'!$L$7,SUMIF($AD$3:$BA$3,"="&amp;$DF46+'Model Setup'!$L$7,$B46:$Y46)+'Model Setup'!$L$8*(SUMIF($AD$3:$BA$3,"&lt;"&amp;$DF46,$B46:$Y46)+SUMIF($AD$3:$BA$3,"&gt;="&amp;$DG46,$B46:$Y46)),
IF(AK$3=$DF46+'Model Setup'!$M$7,SUMIF($AD$3:$BA$3,"="&amp;$DF46+'Model Setup'!$M$7,$B46:$Y46)+'Model Setup'!$M$8*(SUMIF($AD$3:$BA$3,"&lt;"&amp;$DF46,$B46:$Y46)+SUMIF($AD$3:$BA$3,"&gt;="&amp;$DG46,$B46:$Y46)),
IF(AK$3=$DF46+'Model Setup'!$N$7,SUMIF($AD$3:$BA$3,"="&amp;$DF46+'Model Setup'!$N$7,$B46:$Y46)+'Model Setup'!$N$8*(SUMIF($AD$3:$BA$3,"&lt;"&amp;$DF46,$B46:$Y46)+SUMIF($AD$3:$BA$3,"&gt;="&amp;$DG46,$B46:$Y46)),
IF(AK$3&lt;$DG46,I46,0))))))))))))))),0)</f>
        <v>59</v>
      </c>
      <c r="AL46" s="47">
        <f>ROUND(IF(AL$3&lt;$DF46,0,
IF(AL$3=$DF46+'Model Setup'!$B$7,SUMIF($AD$3:$BA$3,"="&amp;$DF46+'Model Setup'!$B$7,$B46:$Y46)+'Model Setup'!$B$8*(SUMIF($AD$3:$BA$3,"&lt;"&amp;$DF46,$B46:$Y46)+SUMIF($AD$3:$BA$3,"&gt;="&amp;$DG46,$B46:$Y46)),
IF(AL$3=$DF46+'Model Setup'!$C$7,SUMIF($AD$3:$BA$3,"="&amp;$DF46+'Model Setup'!$C$7,$B46:$Y46)+'Model Setup'!$C$8*(SUMIF($AD$3:$BA$3,"&lt;"&amp;$DF46,$B46:$Y46)+SUMIF($AD$3:$BA$3,"&gt;="&amp;$DG46,$B46:$Y46)),
IF(AL$3=$DF46+'Model Setup'!$D$7,SUMIF($AD$3:$BA$3,"="&amp;$DF46+'Model Setup'!$D$7,$B46:$Y46)+'Model Setup'!$D$8*(SUMIF($AD$3:$BA$3,"&lt;"&amp;$DF46,$B46:$Y46)+SUMIF($AD$3:$BA$3,"&gt;="&amp;$DG46,$B46:$Y46)),
IF(AL$3=$DF46+'Model Setup'!$E$7,SUMIF($AD$3:$BA$3,"="&amp;$DF46+'Model Setup'!$E$7,$B46:$Y46)+'Model Setup'!$E$8*(SUMIF($AD$3:$BA$3,"&lt;"&amp;$DF46,$B46:$Y46)+SUMIF($AD$3:$BA$3,"&gt;="&amp;$DG46,$B46:$Y46)),
IF(AL$3=$DF46+'Model Setup'!$F$7,SUMIF($AD$3:$BA$3,"="&amp;$DF46+'Model Setup'!$F$7,$B46:$Y46)+'Model Setup'!$F$8*(SUMIF($AD$3:$BA$3,"&lt;"&amp;$DF46,$B46:$Y46)+SUMIF($AD$3:$BA$3,"&gt;="&amp;$DG46,$B46:$Y46)),
IF(AL$3=$DF46+'Model Setup'!$G$7,SUMIF($AD$3:$BA$3,"="&amp;$DF46+'Model Setup'!$G$7,$B46:$Y46)+'Model Setup'!$G$8*(SUMIF($AD$3:$BA$3,"&lt;"&amp;$DF46,$B46:$Y46)+SUMIF($AD$3:$BA$3,"&gt;="&amp;$DG46,$B46:$Y46)),
IF(AL$3=$DF46+'Model Setup'!$H$7,SUMIF($AD$3:$BA$3,"="&amp;$DF46+'Model Setup'!$H$7,$B46:$Y46)+'Model Setup'!$H$8*(SUMIF($AD$3:$BA$3,"&lt;"&amp;$DF46,$B46:$Y46)+SUMIF($AD$3:$BA$3,"&gt;="&amp;$DG46,$B46:$Y46)),
IF(AL$3=$DF46+'Model Setup'!$I$7,SUMIF($AD$3:$BA$3,"="&amp;$DF46+'Model Setup'!$I$7,$B46:$Y46)+'Model Setup'!$I$8*(SUMIF($AD$3:$BA$3,"&lt;"&amp;$DF46,$B46:$Y46)+SUMIF($AD$3:$BA$3,"&gt;="&amp;$DG46,$B46:$Y46)),
IF(AL$3=$DF46+'Model Setup'!$J$7,SUMIF($AD$3:$BA$3,"="&amp;$DF46+'Model Setup'!$J$7,$B46:$Y46)+'Model Setup'!$J$8*(SUMIF($AD$3:$BA$3,"&lt;"&amp;$DF46,$B46:$Y46)+SUMIF($AD$3:$BA$3,"&gt;="&amp;$DG46,$B46:$Y46)),
IF(AL$3=$DF46+'Model Setup'!$K$7,SUMIF($AD$3:$BA$3,"="&amp;$DF46+'Model Setup'!$K$7,$B46:$Y46)+'Model Setup'!$K$8*(SUMIF($AD$3:$BA$3,"&lt;"&amp;$DF46,$B46:$Y46)+SUMIF($AD$3:$BA$3,"&gt;="&amp;$DG46,$B46:$Y46)),
IF(AL$3=$DF46+'Model Setup'!$L$7,SUMIF($AD$3:$BA$3,"="&amp;$DF46+'Model Setup'!$L$7,$B46:$Y46)+'Model Setup'!$L$8*(SUMIF($AD$3:$BA$3,"&lt;"&amp;$DF46,$B46:$Y46)+SUMIF($AD$3:$BA$3,"&gt;="&amp;$DG46,$B46:$Y46)),
IF(AL$3=$DF46+'Model Setup'!$M$7,SUMIF($AD$3:$BA$3,"="&amp;$DF46+'Model Setup'!$M$7,$B46:$Y46)+'Model Setup'!$M$8*(SUMIF($AD$3:$BA$3,"&lt;"&amp;$DF46,$B46:$Y46)+SUMIF($AD$3:$BA$3,"&gt;="&amp;$DG46,$B46:$Y46)),
IF(AL$3=$DF46+'Model Setup'!$N$7,SUMIF($AD$3:$BA$3,"="&amp;$DF46+'Model Setup'!$N$7,$B46:$Y46)+'Model Setup'!$N$8*(SUMIF($AD$3:$BA$3,"&lt;"&amp;$DF46,$B46:$Y46)+SUMIF($AD$3:$BA$3,"&gt;="&amp;$DG46,$B46:$Y46)),
IF(AL$3&lt;$DG46,J46,0))))))))))))))),0)</f>
        <v>58</v>
      </c>
      <c r="AM46" s="47">
        <f>ROUND(IF(AM$3&lt;$DF46,0,
IF(AM$3=$DF46+'Model Setup'!$B$7,SUMIF($AD$3:$BA$3,"="&amp;$DF46+'Model Setup'!$B$7,$B46:$Y46)+'Model Setup'!$B$8*(SUMIF($AD$3:$BA$3,"&lt;"&amp;$DF46,$B46:$Y46)+SUMIF($AD$3:$BA$3,"&gt;="&amp;$DG46,$B46:$Y46)),
IF(AM$3=$DF46+'Model Setup'!$C$7,SUMIF($AD$3:$BA$3,"="&amp;$DF46+'Model Setup'!$C$7,$B46:$Y46)+'Model Setup'!$C$8*(SUMIF($AD$3:$BA$3,"&lt;"&amp;$DF46,$B46:$Y46)+SUMIF($AD$3:$BA$3,"&gt;="&amp;$DG46,$B46:$Y46)),
IF(AM$3=$DF46+'Model Setup'!$D$7,SUMIF($AD$3:$BA$3,"="&amp;$DF46+'Model Setup'!$D$7,$B46:$Y46)+'Model Setup'!$D$8*(SUMIF($AD$3:$BA$3,"&lt;"&amp;$DF46,$B46:$Y46)+SUMIF($AD$3:$BA$3,"&gt;="&amp;$DG46,$B46:$Y46)),
IF(AM$3=$DF46+'Model Setup'!$E$7,SUMIF($AD$3:$BA$3,"="&amp;$DF46+'Model Setup'!$E$7,$B46:$Y46)+'Model Setup'!$E$8*(SUMIF($AD$3:$BA$3,"&lt;"&amp;$DF46,$B46:$Y46)+SUMIF($AD$3:$BA$3,"&gt;="&amp;$DG46,$B46:$Y46)),
IF(AM$3=$DF46+'Model Setup'!$F$7,SUMIF($AD$3:$BA$3,"="&amp;$DF46+'Model Setup'!$F$7,$B46:$Y46)+'Model Setup'!$F$8*(SUMIF($AD$3:$BA$3,"&lt;"&amp;$DF46,$B46:$Y46)+SUMIF($AD$3:$BA$3,"&gt;="&amp;$DG46,$B46:$Y46)),
IF(AM$3=$DF46+'Model Setup'!$G$7,SUMIF($AD$3:$BA$3,"="&amp;$DF46+'Model Setup'!$G$7,$B46:$Y46)+'Model Setup'!$G$8*(SUMIF($AD$3:$BA$3,"&lt;"&amp;$DF46,$B46:$Y46)+SUMIF($AD$3:$BA$3,"&gt;="&amp;$DG46,$B46:$Y46)),
IF(AM$3=$DF46+'Model Setup'!$H$7,SUMIF($AD$3:$BA$3,"="&amp;$DF46+'Model Setup'!$H$7,$B46:$Y46)+'Model Setup'!$H$8*(SUMIF($AD$3:$BA$3,"&lt;"&amp;$DF46,$B46:$Y46)+SUMIF($AD$3:$BA$3,"&gt;="&amp;$DG46,$B46:$Y46)),
IF(AM$3=$DF46+'Model Setup'!$I$7,SUMIF($AD$3:$BA$3,"="&amp;$DF46+'Model Setup'!$I$7,$B46:$Y46)+'Model Setup'!$I$8*(SUMIF($AD$3:$BA$3,"&lt;"&amp;$DF46,$B46:$Y46)+SUMIF($AD$3:$BA$3,"&gt;="&amp;$DG46,$B46:$Y46)),
IF(AM$3=$DF46+'Model Setup'!$J$7,SUMIF($AD$3:$BA$3,"="&amp;$DF46+'Model Setup'!$J$7,$B46:$Y46)+'Model Setup'!$J$8*(SUMIF($AD$3:$BA$3,"&lt;"&amp;$DF46,$B46:$Y46)+SUMIF($AD$3:$BA$3,"&gt;="&amp;$DG46,$B46:$Y46)),
IF(AM$3=$DF46+'Model Setup'!$K$7,SUMIF($AD$3:$BA$3,"="&amp;$DF46+'Model Setup'!$K$7,$B46:$Y46)+'Model Setup'!$K$8*(SUMIF($AD$3:$BA$3,"&lt;"&amp;$DF46,$B46:$Y46)+SUMIF($AD$3:$BA$3,"&gt;="&amp;$DG46,$B46:$Y46)),
IF(AM$3=$DF46+'Model Setup'!$L$7,SUMIF($AD$3:$BA$3,"="&amp;$DF46+'Model Setup'!$L$7,$B46:$Y46)+'Model Setup'!$L$8*(SUMIF($AD$3:$BA$3,"&lt;"&amp;$DF46,$B46:$Y46)+SUMIF($AD$3:$BA$3,"&gt;="&amp;$DG46,$B46:$Y46)),
IF(AM$3=$DF46+'Model Setup'!$M$7,SUMIF($AD$3:$BA$3,"="&amp;$DF46+'Model Setup'!$M$7,$B46:$Y46)+'Model Setup'!$M$8*(SUMIF($AD$3:$BA$3,"&lt;"&amp;$DF46,$B46:$Y46)+SUMIF($AD$3:$BA$3,"&gt;="&amp;$DG46,$B46:$Y46)),
IF(AM$3=$DF46+'Model Setup'!$N$7,SUMIF($AD$3:$BA$3,"="&amp;$DF46+'Model Setup'!$N$7,$B46:$Y46)+'Model Setup'!$N$8*(SUMIF($AD$3:$BA$3,"&lt;"&amp;$DF46,$B46:$Y46)+SUMIF($AD$3:$BA$3,"&gt;="&amp;$DG46,$B46:$Y46)),
IF(AM$3&lt;$DG46,K46,0))))))))))))))),0)</f>
        <v>76</v>
      </c>
      <c r="AN46" s="47">
        <f>ROUND(IF(AN$3&lt;$DF46,0,
IF(AN$3=$DF46+'Model Setup'!$B$7,SUMIF($AD$3:$BA$3,"="&amp;$DF46+'Model Setup'!$B$7,$B46:$Y46)+'Model Setup'!$B$8*(SUMIF($AD$3:$BA$3,"&lt;"&amp;$DF46,$B46:$Y46)+SUMIF($AD$3:$BA$3,"&gt;="&amp;$DG46,$B46:$Y46)),
IF(AN$3=$DF46+'Model Setup'!$C$7,SUMIF($AD$3:$BA$3,"="&amp;$DF46+'Model Setup'!$C$7,$B46:$Y46)+'Model Setup'!$C$8*(SUMIF($AD$3:$BA$3,"&lt;"&amp;$DF46,$B46:$Y46)+SUMIF($AD$3:$BA$3,"&gt;="&amp;$DG46,$B46:$Y46)),
IF(AN$3=$DF46+'Model Setup'!$D$7,SUMIF($AD$3:$BA$3,"="&amp;$DF46+'Model Setup'!$D$7,$B46:$Y46)+'Model Setup'!$D$8*(SUMIF($AD$3:$BA$3,"&lt;"&amp;$DF46,$B46:$Y46)+SUMIF($AD$3:$BA$3,"&gt;="&amp;$DG46,$B46:$Y46)),
IF(AN$3=$DF46+'Model Setup'!$E$7,SUMIF($AD$3:$BA$3,"="&amp;$DF46+'Model Setup'!$E$7,$B46:$Y46)+'Model Setup'!$E$8*(SUMIF($AD$3:$BA$3,"&lt;"&amp;$DF46,$B46:$Y46)+SUMIF($AD$3:$BA$3,"&gt;="&amp;$DG46,$B46:$Y46)),
IF(AN$3=$DF46+'Model Setup'!$F$7,SUMIF($AD$3:$BA$3,"="&amp;$DF46+'Model Setup'!$F$7,$B46:$Y46)+'Model Setup'!$F$8*(SUMIF($AD$3:$BA$3,"&lt;"&amp;$DF46,$B46:$Y46)+SUMIF($AD$3:$BA$3,"&gt;="&amp;$DG46,$B46:$Y46)),
IF(AN$3=$DF46+'Model Setup'!$G$7,SUMIF($AD$3:$BA$3,"="&amp;$DF46+'Model Setup'!$G$7,$B46:$Y46)+'Model Setup'!$G$8*(SUMIF($AD$3:$BA$3,"&lt;"&amp;$DF46,$B46:$Y46)+SUMIF($AD$3:$BA$3,"&gt;="&amp;$DG46,$B46:$Y46)),
IF(AN$3=$DF46+'Model Setup'!$H$7,SUMIF($AD$3:$BA$3,"="&amp;$DF46+'Model Setup'!$H$7,$B46:$Y46)+'Model Setup'!$H$8*(SUMIF($AD$3:$BA$3,"&lt;"&amp;$DF46,$B46:$Y46)+SUMIF($AD$3:$BA$3,"&gt;="&amp;$DG46,$B46:$Y46)),
IF(AN$3=$DF46+'Model Setup'!$I$7,SUMIF($AD$3:$BA$3,"="&amp;$DF46+'Model Setup'!$I$7,$B46:$Y46)+'Model Setup'!$I$8*(SUMIF($AD$3:$BA$3,"&lt;"&amp;$DF46,$B46:$Y46)+SUMIF($AD$3:$BA$3,"&gt;="&amp;$DG46,$B46:$Y46)),
IF(AN$3=$DF46+'Model Setup'!$J$7,SUMIF($AD$3:$BA$3,"="&amp;$DF46+'Model Setup'!$J$7,$B46:$Y46)+'Model Setup'!$J$8*(SUMIF($AD$3:$BA$3,"&lt;"&amp;$DF46,$B46:$Y46)+SUMIF($AD$3:$BA$3,"&gt;="&amp;$DG46,$B46:$Y46)),
IF(AN$3=$DF46+'Model Setup'!$K$7,SUMIF($AD$3:$BA$3,"="&amp;$DF46+'Model Setup'!$K$7,$B46:$Y46)+'Model Setup'!$K$8*(SUMIF($AD$3:$BA$3,"&lt;"&amp;$DF46,$B46:$Y46)+SUMIF($AD$3:$BA$3,"&gt;="&amp;$DG46,$B46:$Y46)),
IF(AN$3=$DF46+'Model Setup'!$L$7,SUMIF($AD$3:$BA$3,"="&amp;$DF46+'Model Setup'!$L$7,$B46:$Y46)+'Model Setup'!$L$8*(SUMIF($AD$3:$BA$3,"&lt;"&amp;$DF46,$B46:$Y46)+SUMIF($AD$3:$BA$3,"&gt;="&amp;$DG46,$B46:$Y46)),
IF(AN$3=$DF46+'Model Setup'!$M$7,SUMIF($AD$3:$BA$3,"="&amp;$DF46+'Model Setup'!$M$7,$B46:$Y46)+'Model Setup'!$M$8*(SUMIF($AD$3:$BA$3,"&lt;"&amp;$DF46,$B46:$Y46)+SUMIF($AD$3:$BA$3,"&gt;="&amp;$DG46,$B46:$Y46)),
IF(AN$3=$DF46+'Model Setup'!$N$7,SUMIF($AD$3:$BA$3,"="&amp;$DF46+'Model Setup'!$N$7,$B46:$Y46)+'Model Setup'!$N$8*(SUMIF($AD$3:$BA$3,"&lt;"&amp;$DF46,$B46:$Y46)+SUMIF($AD$3:$BA$3,"&gt;="&amp;$DG46,$B46:$Y46)),
IF(AN$3&lt;$DG46,L46,0))))))))))))))),0)</f>
        <v>51</v>
      </c>
      <c r="AO46" s="47">
        <f>ROUND(IF(AO$3&lt;$DF46,0,
IF(AO$3=$DF46+'Model Setup'!$B$7,SUMIF($AD$3:$BA$3,"="&amp;$DF46+'Model Setup'!$B$7,$B46:$Y46)+'Model Setup'!$B$8*(SUMIF($AD$3:$BA$3,"&lt;"&amp;$DF46,$B46:$Y46)+SUMIF($AD$3:$BA$3,"&gt;="&amp;$DG46,$B46:$Y46)),
IF(AO$3=$DF46+'Model Setup'!$C$7,SUMIF($AD$3:$BA$3,"="&amp;$DF46+'Model Setup'!$C$7,$B46:$Y46)+'Model Setup'!$C$8*(SUMIF($AD$3:$BA$3,"&lt;"&amp;$DF46,$B46:$Y46)+SUMIF($AD$3:$BA$3,"&gt;="&amp;$DG46,$B46:$Y46)),
IF(AO$3=$DF46+'Model Setup'!$D$7,SUMIF($AD$3:$BA$3,"="&amp;$DF46+'Model Setup'!$D$7,$B46:$Y46)+'Model Setup'!$D$8*(SUMIF($AD$3:$BA$3,"&lt;"&amp;$DF46,$B46:$Y46)+SUMIF($AD$3:$BA$3,"&gt;="&amp;$DG46,$B46:$Y46)),
IF(AO$3=$DF46+'Model Setup'!$E$7,SUMIF($AD$3:$BA$3,"="&amp;$DF46+'Model Setup'!$E$7,$B46:$Y46)+'Model Setup'!$E$8*(SUMIF($AD$3:$BA$3,"&lt;"&amp;$DF46,$B46:$Y46)+SUMIF($AD$3:$BA$3,"&gt;="&amp;$DG46,$B46:$Y46)),
IF(AO$3=$DF46+'Model Setup'!$F$7,SUMIF($AD$3:$BA$3,"="&amp;$DF46+'Model Setup'!$F$7,$B46:$Y46)+'Model Setup'!$F$8*(SUMIF($AD$3:$BA$3,"&lt;"&amp;$DF46,$B46:$Y46)+SUMIF($AD$3:$BA$3,"&gt;="&amp;$DG46,$B46:$Y46)),
IF(AO$3=$DF46+'Model Setup'!$G$7,SUMIF($AD$3:$BA$3,"="&amp;$DF46+'Model Setup'!$G$7,$B46:$Y46)+'Model Setup'!$G$8*(SUMIF($AD$3:$BA$3,"&lt;"&amp;$DF46,$B46:$Y46)+SUMIF($AD$3:$BA$3,"&gt;="&amp;$DG46,$B46:$Y46)),
IF(AO$3=$DF46+'Model Setup'!$H$7,SUMIF($AD$3:$BA$3,"="&amp;$DF46+'Model Setup'!$H$7,$B46:$Y46)+'Model Setup'!$H$8*(SUMIF($AD$3:$BA$3,"&lt;"&amp;$DF46,$B46:$Y46)+SUMIF($AD$3:$BA$3,"&gt;="&amp;$DG46,$B46:$Y46)),
IF(AO$3=$DF46+'Model Setup'!$I$7,SUMIF($AD$3:$BA$3,"="&amp;$DF46+'Model Setup'!$I$7,$B46:$Y46)+'Model Setup'!$I$8*(SUMIF($AD$3:$BA$3,"&lt;"&amp;$DF46,$B46:$Y46)+SUMIF($AD$3:$BA$3,"&gt;="&amp;$DG46,$B46:$Y46)),
IF(AO$3=$DF46+'Model Setup'!$J$7,SUMIF($AD$3:$BA$3,"="&amp;$DF46+'Model Setup'!$J$7,$B46:$Y46)+'Model Setup'!$J$8*(SUMIF($AD$3:$BA$3,"&lt;"&amp;$DF46,$B46:$Y46)+SUMIF($AD$3:$BA$3,"&gt;="&amp;$DG46,$B46:$Y46)),
IF(AO$3=$DF46+'Model Setup'!$K$7,SUMIF($AD$3:$BA$3,"="&amp;$DF46+'Model Setup'!$K$7,$B46:$Y46)+'Model Setup'!$K$8*(SUMIF($AD$3:$BA$3,"&lt;"&amp;$DF46,$B46:$Y46)+SUMIF($AD$3:$BA$3,"&gt;="&amp;$DG46,$B46:$Y46)),
IF(AO$3=$DF46+'Model Setup'!$L$7,SUMIF($AD$3:$BA$3,"="&amp;$DF46+'Model Setup'!$L$7,$B46:$Y46)+'Model Setup'!$L$8*(SUMIF($AD$3:$BA$3,"&lt;"&amp;$DF46,$B46:$Y46)+SUMIF($AD$3:$BA$3,"&gt;="&amp;$DG46,$B46:$Y46)),
IF(AO$3=$DF46+'Model Setup'!$M$7,SUMIF($AD$3:$BA$3,"="&amp;$DF46+'Model Setup'!$M$7,$B46:$Y46)+'Model Setup'!$M$8*(SUMIF($AD$3:$BA$3,"&lt;"&amp;$DF46,$B46:$Y46)+SUMIF($AD$3:$BA$3,"&gt;="&amp;$DG46,$B46:$Y46)),
IF(AO$3=$DF46+'Model Setup'!$N$7,SUMIF($AD$3:$BA$3,"="&amp;$DF46+'Model Setup'!$N$7,$B46:$Y46)+'Model Setup'!$N$8*(SUMIF($AD$3:$BA$3,"&lt;"&amp;$DF46,$B46:$Y46)+SUMIF($AD$3:$BA$3,"&gt;="&amp;$DG46,$B46:$Y46)),
IF(AO$3&lt;$DG46,M46,0))))))))))))))),0)</f>
        <v>31</v>
      </c>
      <c r="AP46" s="47">
        <f>ROUND(IF(AP$3&lt;$DF46,0,
IF(AP$3=$DF46+'Model Setup'!$B$7,SUMIF($AD$3:$BA$3,"="&amp;$DF46+'Model Setup'!$B$7,$B46:$Y46)+'Model Setup'!$B$8*(SUMIF($AD$3:$BA$3,"&lt;"&amp;$DF46,$B46:$Y46)+SUMIF($AD$3:$BA$3,"&gt;="&amp;$DG46,$B46:$Y46)),
IF(AP$3=$DF46+'Model Setup'!$C$7,SUMIF($AD$3:$BA$3,"="&amp;$DF46+'Model Setup'!$C$7,$B46:$Y46)+'Model Setup'!$C$8*(SUMIF($AD$3:$BA$3,"&lt;"&amp;$DF46,$B46:$Y46)+SUMIF($AD$3:$BA$3,"&gt;="&amp;$DG46,$B46:$Y46)),
IF(AP$3=$DF46+'Model Setup'!$D$7,SUMIF($AD$3:$BA$3,"="&amp;$DF46+'Model Setup'!$D$7,$B46:$Y46)+'Model Setup'!$D$8*(SUMIF($AD$3:$BA$3,"&lt;"&amp;$DF46,$B46:$Y46)+SUMIF($AD$3:$BA$3,"&gt;="&amp;$DG46,$B46:$Y46)),
IF(AP$3=$DF46+'Model Setup'!$E$7,SUMIF($AD$3:$BA$3,"="&amp;$DF46+'Model Setup'!$E$7,$B46:$Y46)+'Model Setup'!$E$8*(SUMIF($AD$3:$BA$3,"&lt;"&amp;$DF46,$B46:$Y46)+SUMIF($AD$3:$BA$3,"&gt;="&amp;$DG46,$B46:$Y46)),
IF(AP$3=$DF46+'Model Setup'!$F$7,SUMIF($AD$3:$BA$3,"="&amp;$DF46+'Model Setup'!$F$7,$B46:$Y46)+'Model Setup'!$F$8*(SUMIF($AD$3:$BA$3,"&lt;"&amp;$DF46,$B46:$Y46)+SUMIF($AD$3:$BA$3,"&gt;="&amp;$DG46,$B46:$Y46)),
IF(AP$3=$DF46+'Model Setup'!$G$7,SUMIF($AD$3:$BA$3,"="&amp;$DF46+'Model Setup'!$G$7,$B46:$Y46)+'Model Setup'!$G$8*(SUMIF($AD$3:$BA$3,"&lt;"&amp;$DF46,$B46:$Y46)+SUMIF($AD$3:$BA$3,"&gt;="&amp;$DG46,$B46:$Y46)),
IF(AP$3=$DF46+'Model Setup'!$H$7,SUMIF($AD$3:$BA$3,"="&amp;$DF46+'Model Setup'!$H$7,$B46:$Y46)+'Model Setup'!$H$8*(SUMIF($AD$3:$BA$3,"&lt;"&amp;$DF46,$B46:$Y46)+SUMIF($AD$3:$BA$3,"&gt;="&amp;$DG46,$B46:$Y46)),
IF(AP$3=$DF46+'Model Setup'!$I$7,SUMIF($AD$3:$BA$3,"="&amp;$DF46+'Model Setup'!$I$7,$B46:$Y46)+'Model Setup'!$I$8*(SUMIF($AD$3:$BA$3,"&lt;"&amp;$DF46,$B46:$Y46)+SUMIF($AD$3:$BA$3,"&gt;="&amp;$DG46,$B46:$Y46)),
IF(AP$3=$DF46+'Model Setup'!$J$7,SUMIF($AD$3:$BA$3,"="&amp;$DF46+'Model Setup'!$J$7,$B46:$Y46)+'Model Setup'!$J$8*(SUMIF($AD$3:$BA$3,"&lt;"&amp;$DF46,$B46:$Y46)+SUMIF($AD$3:$BA$3,"&gt;="&amp;$DG46,$B46:$Y46)),
IF(AP$3=$DF46+'Model Setup'!$K$7,SUMIF($AD$3:$BA$3,"="&amp;$DF46+'Model Setup'!$K$7,$B46:$Y46)+'Model Setup'!$K$8*(SUMIF($AD$3:$BA$3,"&lt;"&amp;$DF46,$B46:$Y46)+SUMIF($AD$3:$BA$3,"&gt;="&amp;$DG46,$B46:$Y46)),
IF(AP$3=$DF46+'Model Setup'!$L$7,SUMIF($AD$3:$BA$3,"="&amp;$DF46+'Model Setup'!$L$7,$B46:$Y46)+'Model Setup'!$L$8*(SUMIF($AD$3:$BA$3,"&lt;"&amp;$DF46,$B46:$Y46)+SUMIF($AD$3:$BA$3,"&gt;="&amp;$DG46,$B46:$Y46)),
IF(AP$3=$DF46+'Model Setup'!$M$7,SUMIF($AD$3:$BA$3,"="&amp;$DF46+'Model Setup'!$M$7,$B46:$Y46)+'Model Setup'!$M$8*(SUMIF($AD$3:$BA$3,"&lt;"&amp;$DF46,$B46:$Y46)+SUMIF($AD$3:$BA$3,"&gt;="&amp;$DG46,$B46:$Y46)),
IF(AP$3=$DF46+'Model Setup'!$N$7,SUMIF($AD$3:$BA$3,"="&amp;$DF46+'Model Setup'!$N$7,$B46:$Y46)+'Model Setup'!$N$8*(SUMIF($AD$3:$BA$3,"&lt;"&amp;$DF46,$B46:$Y46)+SUMIF($AD$3:$BA$3,"&gt;="&amp;$DG46,$B46:$Y46)),
IF(AP$3&lt;$DG46,N46,0))))))))))))))),0)</f>
        <v>26</v>
      </c>
      <c r="AQ46" s="47">
        <f>ROUND(IF(AQ$3&lt;$DF46,0,
IF(AQ$3=$DF46+'Model Setup'!$B$7,SUMIF($AD$3:$BA$3,"="&amp;$DF46+'Model Setup'!$B$7,$B46:$Y46)+'Model Setup'!$B$8*(SUMIF($AD$3:$BA$3,"&lt;"&amp;$DF46,$B46:$Y46)+SUMIF($AD$3:$BA$3,"&gt;="&amp;$DG46,$B46:$Y46)),
IF(AQ$3=$DF46+'Model Setup'!$C$7,SUMIF($AD$3:$BA$3,"="&amp;$DF46+'Model Setup'!$C$7,$B46:$Y46)+'Model Setup'!$C$8*(SUMIF($AD$3:$BA$3,"&lt;"&amp;$DF46,$B46:$Y46)+SUMIF($AD$3:$BA$3,"&gt;="&amp;$DG46,$B46:$Y46)),
IF(AQ$3=$DF46+'Model Setup'!$D$7,SUMIF($AD$3:$BA$3,"="&amp;$DF46+'Model Setup'!$D$7,$B46:$Y46)+'Model Setup'!$D$8*(SUMIF($AD$3:$BA$3,"&lt;"&amp;$DF46,$B46:$Y46)+SUMIF($AD$3:$BA$3,"&gt;="&amp;$DG46,$B46:$Y46)),
IF(AQ$3=$DF46+'Model Setup'!$E$7,SUMIF($AD$3:$BA$3,"="&amp;$DF46+'Model Setup'!$E$7,$B46:$Y46)+'Model Setup'!$E$8*(SUMIF($AD$3:$BA$3,"&lt;"&amp;$DF46,$B46:$Y46)+SUMIF($AD$3:$BA$3,"&gt;="&amp;$DG46,$B46:$Y46)),
IF(AQ$3=$DF46+'Model Setup'!$F$7,SUMIF($AD$3:$BA$3,"="&amp;$DF46+'Model Setup'!$F$7,$B46:$Y46)+'Model Setup'!$F$8*(SUMIF($AD$3:$BA$3,"&lt;"&amp;$DF46,$B46:$Y46)+SUMIF($AD$3:$BA$3,"&gt;="&amp;$DG46,$B46:$Y46)),
IF(AQ$3=$DF46+'Model Setup'!$G$7,SUMIF($AD$3:$BA$3,"="&amp;$DF46+'Model Setup'!$G$7,$B46:$Y46)+'Model Setup'!$G$8*(SUMIF($AD$3:$BA$3,"&lt;"&amp;$DF46,$B46:$Y46)+SUMIF($AD$3:$BA$3,"&gt;="&amp;$DG46,$B46:$Y46)),
IF(AQ$3=$DF46+'Model Setup'!$H$7,SUMIF($AD$3:$BA$3,"="&amp;$DF46+'Model Setup'!$H$7,$B46:$Y46)+'Model Setup'!$H$8*(SUMIF($AD$3:$BA$3,"&lt;"&amp;$DF46,$B46:$Y46)+SUMIF($AD$3:$BA$3,"&gt;="&amp;$DG46,$B46:$Y46)),
IF(AQ$3=$DF46+'Model Setup'!$I$7,SUMIF($AD$3:$BA$3,"="&amp;$DF46+'Model Setup'!$I$7,$B46:$Y46)+'Model Setup'!$I$8*(SUMIF($AD$3:$BA$3,"&lt;"&amp;$DF46,$B46:$Y46)+SUMIF($AD$3:$BA$3,"&gt;="&amp;$DG46,$B46:$Y46)),
IF(AQ$3=$DF46+'Model Setup'!$J$7,SUMIF($AD$3:$BA$3,"="&amp;$DF46+'Model Setup'!$J$7,$B46:$Y46)+'Model Setup'!$J$8*(SUMIF($AD$3:$BA$3,"&lt;"&amp;$DF46,$B46:$Y46)+SUMIF($AD$3:$BA$3,"&gt;="&amp;$DG46,$B46:$Y46)),
IF(AQ$3=$DF46+'Model Setup'!$K$7,SUMIF($AD$3:$BA$3,"="&amp;$DF46+'Model Setup'!$K$7,$B46:$Y46)+'Model Setup'!$K$8*(SUMIF($AD$3:$BA$3,"&lt;"&amp;$DF46,$B46:$Y46)+SUMIF($AD$3:$BA$3,"&gt;="&amp;$DG46,$B46:$Y46)),
IF(AQ$3=$DF46+'Model Setup'!$L$7,SUMIF($AD$3:$BA$3,"="&amp;$DF46+'Model Setup'!$L$7,$B46:$Y46)+'Model Setup'!$L$8*(SUMIF($AD$3:$BA$3,"&lt;"&amp;$DF46,$B46:$Y46)+SUMIF($AD$3:$BA$3,"&gt;="&amp;$DG46,$B46:$Y46)),
IF(AQ$3=$DF46+'Model Setup'!$M$7,SUMIF($AD$3:$BA$3,"="&amp;$DF46+'Model Setup'!$M$7,$B46:$Y46)+'Model Setup'!$M$8*(SUMIF($AD$3:$BA$3,"&lt;"&amp;$DF46,$B46:$Y46)+SUMIF($AD$3:$BA$3,"&gt;="&amp;$DG46,$B46:$Y46)),
IF(AQ$3=$DF46+'Model Setup'!$N$7,SUMIF($AD$3:$BA$3,"="&amp;$DF46+'Model Setup'!$N$7,$B46:$Y46)+'Model Setup'!$N$8*(SUMIF($AD$3:$BA$3,"&lt;"&amp;$DF46,$B46:$Y46)+SUMIF($AD$3:$BA$3,"&gt;="&amp;$DG46,$B46:$Y46)),
IF(AQ$3&lt;$DG46,O46,0))))))))))))))),0)</f>
        <v>20</v>
      </c>
      <c r="AR46" s="47">
        <f>ROUND(IF(AR$3&lt;$DF46,0,
IF(AR$3=$DF46+'Model Setup'!$B$7,SUMIF($AD$3:$BA$3,"="&amp;$DF46+'Model Setup'!$B$7,$B46:$Y46)+'Model Setup'!$B$8*(SUMIF($AD$3:$BA$3,"&lt;"&amp;$DF46,$B46:$Y46)+SUMIF($AD$3:$BA$3,"&gt;="&amp;$DG46,$B46:$Y46)),
IF(AR$3=$DF46+'Model Setup'!$C$7,SUMIF($AD$3:$BA$3,"="&amp;$DF46+'Model Setup'!$C$7,$B46:$Y46)+'Model Setup'!$C$8*(SUMIF($AD$3:$BA$3,"&lt;"&amp;$DF46,$B46:$Y46)+SUMIF($AD$3:$BA$3,"&gt;="&amp;$DG46,$B46:$Y46)),
IF(AR$3=$DF46+'Model Setup'!$D$7,SUMIF($AD$3:$BA$3,"="&amp;$DF46+'Model Setup'!$D$7,$B46:$Y46)+'Model Setup'!$D$8*(SUMIF($AD$3:$BA$3,"&lt;"&amp;$DF46,$B46:$Y46)+SUMIF($AD$3:$BA$3,"&gt;="&amp;$DG46,$B46:$Y46)),
IF(AR$3=$DF46+'Model Setup'!$E$7,SUMIF($AD$3:$BA$3,"="&amp;$DF46+'Model Setup'!$E$7,$B46:$Y46)+'Model Setup'!$E$8*(SUMIF($AD$3:$BA$3,"&lt;"&amp;$DF46,$B46:$Y46)+SUMIF($AD$3:$BA$3,"&gt;="&amp;$DG46,$B46:$Y46)),
IF(AR$3=$DF46+'Model Setup'!$F$7,SUMIF($AD$3:$BA$3,"="&amp;$DF46+'Model Setup'!$F$7,$B46:$Y46)+'Model Setup'!$F$8*(SUMIF($AD$3:$BA$3,"&lt;"&amp;$DF46,$B46:$Y46)+SUMIF($AD$3:$BA$3,"&gt;="&amp;$DG46,$B46:$Y46)),
IF(AR$3=$DF46+'Model Setup'!$G$7,SUMIF($AD$3:$BA$3,"="&amp;$DF46+'Model Setup'!$G$7,$B46:$Y46)+'Model Setup'!$G$8*(SUMIF($AD$3:$BA$3,"&lt;"&amp;$DF46,$B46:$Y46)+SUMIF($AD$3:$BA$3,"&gt;="&amp;$DG46,$B46:$Y46)),
IF(AR$3=$DF46+'Model Setup'!$H$7,SUMIF($AD$3:$BA$3,"="&amp;$DF46+'Model Setup'!$H$7,$B46:$Y46)+'Model Setup'!$H$8*(SUMIF($AD$3:$BA$3,"&lt;"&amp;$DF46,$B46:$Y46)+SUMIF($AD$3:$BA$3,"&gt;="&amp;$DG46,$B46:$Y46)),
IF(AR$3=$DF46+'Model Setup'!$I$7,SUMIF($AD$3:$BA$3,"="&amp;$DF46+'Model Setup'!$I$7,$B46:$Y46)+'Model Setup'!$I$8*(SUMIF($AD$3:$BA$3,"&lt;"&amp;$DF46,$B46:$Y46)+SUMIF($AD$3:$BA$3,"&gt;="&amp;$DG46,$B46:$Y46)),
IF(AR$3=$DF46+'Model Setup'!$J$7,SUMIF($AD$3:$BA$3,"="&amp;$DF46+'Model Setup'!$J$7,$B46:$Y46)+'Model Setup'!$J$8*(SUMIF($AD$3:$BA$3,"&lt;"&amp;$DF46,$B46:$Y46)+SUMIF($AD$3:$BA$3,"&gt;="&amp;$DG46,$B46:$Y46)),
IF(AR$3=$DF46+'Model Setup'!$K$7,SUMIF($AD$3:$BA$3,"="&amp;$DF46+'Model Setup'!$K$7,$B46:$Y46)+'Model Setup'!$K$8*(SUMIF($AD$3:$BA$3,"&lt;"&amp;$DF46,$B46:$Y46)+SUMIF($AD$3:$BA$3,"&gt;="&amp;$DG46,$B46:$Y46)),
IF(AR$3=$DF46+'Model Setup'!$L$7,SUMIF($AD$3:$BA$3,"="&amp;$DF46+'Model Setup'!$L$7,$B46:$Y46)+'Model Setup'!$L$8*(SUMIF($AD$3:$BA$3,"&lt;"&amp;$DF46,$B46:$Y46)+SUMIF($AD$3:$BA$3,"&gt;="&amp;$DG46,$B46:$Y46)),
IF(AR$3=$DF46+'Model Setup'!$M$7,SUMIF($AD$3:$BA$3,"="&amp;$DF46+'Model Setup'!$M$7,$B46:$Y46)+'Model Setup'!$M$8*(SUMIF($AD$3:$BA$3,"&lt;"&amp;$DF46,$B46:$Y46)+SUMIF($AD$3:$BA$3,"&gt;="&amp;$DG46,$B46:$Y46)),
IF(AR$3=$DF46+'Model Setup'!$N$7,SUMIF($AD$3:$BA$3,"="&amp;$DF46+'Model Setup'!$N$7,$B46:$Y46)+'Model Setup'!$N$8*(SUMIF($AD$3:$BA$3,"&lt;"&amp;$DF46,$B46:$Y46)+SUMIF($AD$3:$BA$3,"&gt;="&amp;$DG46,$B46:$Y46)),
IF(AR$3&lt;$DG46,P46,0))))))))))))))),0)</f>
        <v>20</v>
      </c>
      <c r="AS46" s="47">
        <f>ROUND(IF(AS$3&lt;$DF46,0,
IF(AS$3=$DF46+'Model Setup'!$B$7,SUMIF($AD$3:$BA$3,"="&amp;$DF46+'Model Setup'!$B$7,$B46:$Y46)+'Model Setup'!$B$8*(SUMIF($AD$3:$BA$3,"&lt;"&amp;$DF46,$B46:$Y46)+SUMIF($AD$3:$BA$3,"&gt;="&amp;$DG46,$B46:$Y46)),
IF(AS$3=$DF46+'Model Setup'!$C$7,SUMIF($AD$3:$BA$3,"="&amp;$DF46+'Model Setup'!$C$7,$B46:$Y46)+'Model Setup'!$C$8*(SUMIF($AD$3:$BA$3,"&lt;"&amp;$DF46,$B46:$Y46)+SUMIF($AD$3:$BA$3,"&gt;="&amp;$DG46,$B46:$Y46)),
IF(AS$3=$DF46+'Model Setup'!$D$7,SUMIF($AD$3:$BA$3,"="&amp;$DF46+'Model Setup'!$D$7,$B46:$Y46)+'Model Setup'!$D$8*(SUMIF($AD$3:$BA$3,"&lt;"&amp;$DF46,$B46:$Y46)+SUMIF($AD$3:$BA$3,"&gt;="&amp;$DG46,$B46:$Y46)),
IF(AS$3=$DF46+'Model Setup'!$E$7,SUMIF($AD$3:$BA$3,"="&amp;$DF46+'Model Setup'!$E$7,$B46:$Y46)+'Model Setup'!$E$8*(SUMIF($AD$3:$BA$3,"&lt;"&amp;$DF46,$B46:$Y46)+SUMIF($AD$3:$BA$3,"&gt;="&amp;$DG46,$B46:$Y46)),
IF(AS$3=$DF46+'Model Setup'!$F$7,SUMIF($AD$3:$BA$3,"="&amp;$DF46+'Model Setup'!$F$7,$B46:$Y46)+'Model Setup'!$F$8*(SUMIF($AD$3:$BA$3,"&lt;"&amp;$DF46,$B46:$Y46)+SUMIF($AD$3:$BA$3,"&gt;="&amp;$DG46,$B46:$Y46)),
IF(AS$3=$DF46+'Model Setup'!$G$7,SUMIF($AD$3:$BA$3,"="&amp;$DF46+'Model Setup'!$G$7,$B46:$Y46)+'Model Setup'!$G$8*(SUMIF($AD$3:$BA$3,"&lt;"&amp;$DF46,$B46:$Y46)+SUMIF($AD$3:$BA$3,"&gt;="&amp;$DG46,$B46:$Y46)),
IF(AS$3=$DF46+'Model Setup'!$H$7,SUMIF($AD$3:$BA$3,"="&amp;$DF46+'Model Setup'!$H$7,$B46:$Y46)+'Model Setup'!$H$8*(SUMIF($AD$3:$BA$3,"&lt;"&amp;$DF46,$B46:$Y46)+SUMIF($AD$3:$BA$3,"&gt;="&amp;$DG46,$B46:$Y46)),
IF(AS$3=$DF46+'Model Setup'!$I$7,SUMIF($AD$3:$BA$3,"="&amp;$DF46+'Model Setup'!$I$7,$B46:$Y46)+'Model Setup'!$I$8*(SUMIF($AD$3:$BA$3,"&lt;"&amp;$DF46,$B46:$Y46)+SUMIF($AD$3:$BA$3,"&gt;="&amp;$DG46,$B46:$Y46)),
IF(AS$3=$DF46+'Model Setup'!$J$7,SUMIF($AD$3:$BA$3,"="&amp;$DF46+'Model Setup'!$J$7,$B46:$Y46)+'Model Setup'!$J$8*(SUMIF($AD$3:$BA$3,"&lt;"&amp;$DF46,$B46:$Y46)+SUMIF($AD$3:$BA$3,"&gt;="&amp;$DG46,$B46:$Y46)),
IF(AS$3=$DF46+'Model Setup'!$K$7,SUMIF($AD$3:$BA$3,"="&amp;$DF46+'Model Setup'!$K$7,$B46:$Y46)+'Model Setup'!$K$8*(SUMIF($AD$3:$BA$3,"&lt;"&amp;$DF46,$B46:$Y46)+SUMIF($AD$3:$BA$3,"&gt;="&amp;$DG46,$B46:$Y46)),
IF(AS$3=$DF46+'Model Setup'!$L$7,SUMIF($AD$3:$BA$3,"="&amp;$DF46+'Model Setup'!$L$7,$B46:$Y46)+'Model Setup'!$L$8*(SUMIF($AD$3:$BA$3,"&lt;"&amp;$DF46,$B46:$Y46)+SUMIF($AD$3:$BA$3,"&gt;="&amp;$DG46,$B46:$Y46)),
IF(AS$3=$DF46+'Model Setup'!$M$7,SUMIF($AD$3:$BA$3,"="&amp;$DF46+'Model Setup'!$M$7,$B46:$Y46)+'Model Setup'!$M$8*(SUMIF($AD$3:$BA$3,"&lt;"&amp;$DF46,$B46:$Y46)+SUMIF($AD$3:$BA$3,"&gt;="&amp;$DG46,$B46:$Y46)),
IF(AS$3=$DF46+'Model Setup'!$N$7,SUMIF($AD$3:$BA$3,"="&amp;$DF46+'Model Setup'!$N$7,$B46:$Y46)+'Model Setup'!$N$8*(SUMIF($AD$3:$BA$3,"&lt;"&amp;$DF46,$B46:$Y46)+SUMIF($AD$3:$BA$3,"&gt;="&amp;$DG46,$B46:$Y46)),
IF(AS$3&lt;$DG46,Q46,0))))))))))))))),0)</f>
        <v>34</v>
      </c>
      <c r="AT46" s="47">
        <f>ROUND(IF(AT$3&lt;$DF46,0,
IF(AT$3=$DF46+'Model Setup'!$B$7,SUMIF($AD$3:$BA$3,"="&amp;$DF46+'Model Setup'!$B$7,$B46:$Y46)+'Model Setup'!$B$8*(SUMIF($AD$3:$BA$3,"&lt;"&amp;$DF46,$B46:$Y46)+SUMIF($AD$3:$BA$3,"&gt;="&amp;$DG46,$B46:$Y46)),
IF(AT$3=$DF46+'Model Setup'!$C$7,SUMIF($AD$3:$BA$3,"="&amp;$DF46+'Model Setup'!$C$7,$B46:$Y46)+'Model Setup'!$C$8*(SUMIF($AD$3:$BA$3,"&lt;"&amp;$DF46,$B46:$Y46)+SUMIF($AD$3:$BA$3,"&gt;="&amp;$DG46,$B46:$Y46)),
IF(AT$3=$DF46+'Model Setup'!$D$7,SUMIF($AD$3:$BA$3,"="&amp;$DF46+'Model Setup'!$D$7,$B46:$Y46)+'Model Setup'!$D$8*(SUMIF($AD$3:$BA$3,"&lt;"&amp;$DF46,$B46:$Y46)+SUMIF($AD$3:$BA$3,"&gt;="&amp;$DG46,$B46:$Y46)),
IF(AT$3=$DF46+'Model Setup'!$E$7,SUMIF($AD$3:$BA$3,"="&amp;$DF46+'Model Setup'!$E$7,$B46:$Y46)+'Model Setup'!$E$8*(SUMIF($AD$3:$BA$3,"&lt;"&amp;$DF46,$B46:$Y46)+SUMIF($AD$3:$BA$3,"&gt;="&amp;$DG46,$B46:$Y46)),
IF(AT$3=$DF46+'Model Setup'!$F$7,SUMIF($AD$3:$BA$3,"="&amp;$DF46+'Model Setup'!$F$7,$B46:$Y46)+'Model Setup'!$F$8*(SUMIF($AD$3:$BA$3,"&lt;"&amp;$DF46,$B46:$Y46)+SUMIF($AD$3:$BA$3,"&gt;="&amp;$DG46,$B46:$Y46)),
IF(AT$3=$DF46+'Model Setup'!$G$7,SUMIF($AD$3:$BA$3,"="&amp;$DF46+'Model Setup'!$G$7,$B46:$Y46)+'Model Setup'!$G$8*(SUMIF($AD$3:$BA$3,"&lt;"&amp;$DF46,$B46:$Y46)+SUMIF($AD$3:$BA$3,"&gt;="&amp;$DG46,$B46:$Y46)),
IF(AT$3=$DF46+'Model Setup'!$H$7,SUMIF($AD$3:$BA$3,"="&amp;$DF46+'Model Setup'!$H$7,$B46:$Y46)+'Model Setup'!$H$8*(SUMIF($AD$3:$BA$3,"&lt;"&amp;$DF46,$B46:$Y46)+SUMIF($AD$3:$BA$3,"&gt;="&amp;$DG46,$B46:$Y46)),
IF(AT$3=$DF46+'Model Setup'!$I$7,SUMIF($AD$3:$BA$3,"="&amp;$DF46+'Model Setup'!$I$7,$B46:$Y46)+'Model Setup'!$I$8*(SUMIF($AD$3:$BA$3,"&lt;"&amp;$DF46,$B46:$Y46)+SUMIF($AD$3:$BA$3,"&gt;="&amp;$DG46,$B46:$Y46)),
IF(AT$3=$DF46+'Model Setup'!$J$7,SUMIF($AD$3:$BA$3,"="&amp;$DF46+'Model Setup'!$J$7,$B46:$Y46)+'Model Setup'!$J$8*(SUMIF($AD$3:$BA$3,"&lt;"&amp;$DF46,$B46:$Y46)+SUMIF($AD$3:$BA$3,"&gt;="&amp;$DG46,$B46:$Y46)),
IF(AT$3=$DF46+'Model Setup'!$K$7,SUMIF($AD$3:$BA$3,"="&amp;$DF46+'Model Setup'!$K$7,$B46:$Y46)+'Model Setup'!$K$8*(SUMIF($AD$3:$BA$3,"&lt;"&amp;$DF46,$B46:$Y46)+SUMIF($AD$3:$BA$3,"&gt;="&amp;$DG46,$B46:$Y46)),
IF(AT$3=$DF46+'Model Setup'!$L$7,SUMIF($AD$3:$BA$3,"="&amp;$DF46+'Model Setup'!$L$7,$B46:$Y46)+'Model Setup'!$L$8*(SUMIF($AD$3:$BA$3,"&lt;"&amp;$DF46,$B46:$Y46)+SUMIF($AD$3:$BA$3,"&gt;="&amp;$DG46,$B46:$Y46)),
IF(AT$3=$DF46+'Model Setup'!$M$7,SUMIF($AD$3:$BA$3,"="&amp;$DF46+'Model Setup'!$M$7,$B46:$Y46)+'Model Setup'!$M$8*(SUMIF($AD$3:$BA$3,"&lt;"&amp;$DF46,$B46:$Y46)+SUMIF($AD$3:$BA$3,"&gt;="&amp;$DG46,$B46:$Y46)),
IF(AT$3=$DF46+'Model Setup'!$N$7,SUMIF($AD$3:$BA$3,"="&amp;$DF46+'Model Setup'!$N$7,$B46:$Y46)+'Model Setup'!$N$8*(SUMIF($AD$3:$BA$3,"&lt;"&amp;$DF46,$B46:$Y46)+SUMIF($AD$3:$BA$3,"&gt;="&amp;$DG46,$B46:$Y46)),
IF(AT$3&lt;$DG46,R46,0))))))))))))))),0)</f>
        <v>29</v>
      </c>
      <c r="AU46" s="47">
        <f>ROUND(IF(AU$3&lt;$DF46,0,
IF(AU$3=$DF46+'Model Setup'!$B$7,SUMIF($AD$3:$BA$3,"="&amp;$DF46+'Model Setup'!$B$7,$B46:$Y46)+'Model Setup'!$B$8*(SUMIF($AD$3:$BA$3,"&lt;"&amp;$DF46,$B46:$Y46)+SUMIF($AD$3:$BA$3,"&gt;="&amp;$DG46,$B46:$Y46)),
IF(AU$3=$DF46+'Model Setup'!$C$7,SUMIF($AD$3:$BA$3,"="&amp;$DF46+'Model Setup'!$C$7,$B46:$Y46)+'Model Setup'!$C$8*(SUMIF($AD$3:$BA$3,"&lt;"&amp;$DF46,$B46:$Y46)+SUMIF($AD$3:$BA$3,"&gt;="&amp;$DG46,$B46:$Y46)),
IF(AU$3=$DF46+'Model Setup'!$D$7,SUMIF($AD$3:$BA$3,"="&amp;$DF46+'Model Setup'!$D$7,$B46:$Y46)+'Model Setup'!$D$8*(SUMIF($AD$3:$BA$3,"&lt;"&amp;$DF46,$B46:$Y46)+SUMIF($AD$3:$BA$3,"&gt;="&amp;$DG46,$B46:$Y46)),
IF(AU$3=$DF46+'Model Setup'!$E$7,SUMIF($AD$3:$BA$3,"="&amp;$DF46+'Model Setup'!$E$7,$B46:$Y46)+'Model Setup'!$E$8*(SUMIF($AD$3:$BA$3,"&lt;"&amp;$DF46,$B46:$Y46)+SUMIF($AD$3:$BA$3,"&gt;="&amp;$DG46,$B46:$Y46)),
IF(AU$3=$DF46+'Model Setup'!$F$7,SUMIF($AD$3:$BA$3,"="&amp;$DF46+'Model Setup'!$F$7,$B46:$Y46)+'Model Setup'!$F$8*(SUMIF($AD$3:$BA$3,"&lt;"&amp;$DF46,$B46:$Y46)+SUMIF($AD$3:$BA$3,"&gt;="&amp;$DG46,$B46:$Y46)),
IF(AU$3=$DF46+'Model Setup'!$G$7,SUMIF($AD$3:$BA$3,"="&amp;$DF46+'Model Setup'!$G$7,$B46:$Y46)+'Model Setup'!$G$8*(SUMIF($AD$3:$BA$3,"&lt;"&amp;$DF46,$B46:$Y46)+SUMIF($AD$3:$BA$3,"&gt;="&amp;$DG46,$B46:$Y46)),
IF(AU$3=$DF46+'Model Setup'!$H$7,SUMIF($AD$3:$BA$3,"="&amp;$DF46+'Model Setup'!$H$7,$B46:$Y46)+'Model Setup'!$H$8*(SUMIF($AD$3:$BA$3,"&lt;"&amp;$DF46,$B46:$Y46)+SUMIF($AD$3:$BA$3,"&gt;="&amp;$DG46,$B46:$Y46)),
IF(AU$3=$DF46+'Model Setup'!$I$7,SUMIF($AD$3:$BA$3,"="&amp;$DF46+'Model Setup'!$I$7,$B46:$Y46)+'Model Setup'!$I$8*(SUMIF($AD$3:$BA$3,"&lt;"&amp;$DF46,$B46:$Y46)+SUMIF($AD$3:$BA$3,"&gt;="&amp;$DG46,$B46:$Y46)),
IF(AU$3=$DF46+'Model Setup'!$J$7,SUMIF($AD$3:$BA$3,"="&amp;$DF46+'Model Setup'!$J$7,$B46:$Y46)+'Model Setup'!$J$8*(SUMIF($AD$3:$BA$3,"&lt;"&amp;$DF46,$B46:$Y46)+SUMIF($AD$3:$BA$3,"&gt;="&amp;$DG46,$B46:$Y46)),
IF(AU$3=$DF46+'Model Setup'!$K$7,SUMIF($AD$3:$BA$3,"="&amp;$DF46+'Model Setup'!$K$7,$B46:$Y46)+'Model Setup'!$K$8*(SUMIF($AD$3:$BA$3,"&lt;"&amp;$DF46,$B46:$Y46)+SUMIF($AD$3:$BA$3,"&gt;="&amp;$DG46,$B46:$Y46)),
IF(AU$3=$DF46+'Model Setup'!$L$7,SUMIF($AD$3:$BA$3,"="&amp;$DF46+'Model Setup'!$L$7,$B46:$Y46)+'Model Setup'!$L$8*(SUMIF($AD$3:$BA$3,"&lt;"&amp;$DF46,$B46:$Y46)+SUMIF($AD$3:$BA$3,"&gt;="&amp;$DG46,$B46:$Y46)),
IF(AU$3=$DF46+'Model Setup'!$M$7,SUMIF($AD$3:$BA$3,"="&amp;$DF46+'Model Setup'!$M$7,$B46:$Y46)+'Model Setup'!$M$8*(SUMIF($AD$3:$BA$3,"&lt;"&amp;$DF46,$B46:$Y46)+SUMIF($AD$3:$BA$3,"&gt;="&amp;$DG46,$B46:$Y46)),
IF(AU$3=$DF46+'Model Setup'!$N$7,SUMIF($AD$3:$BA$3,"="&amp;$DF46+'Model Setup'!$N$7,$B46:$Y46)+'Model Setup'!$N$8*(SUMIF($AD$3:$BA$3,"&lt;"&amp;$DF46,$B46:$Y46)+SUMIF($AD$3:$BA$3,"&gt;="&amp;$DG46,$B46:$Y46)),
IF(AU$3&lt;$DG46,S46,0))))))))))))))),0)</f>
        <v>23</v>
      </c>
      <c r="AV46" s="47">
        <f>ROUND(IF(AV$3&lt;$DF46,0,
IF(AV$3=$DF46+'Model Setup'!$B$7,SUMIF($AD$3:$BA$3,"="&amp;$DF46+'Model Setup'!$B$7,$B46:$Y46)+'Model Setup'!$B$8*(SUMIF($AD$3:$BA$3,"&lt;"&amp;$DF46,$B46:$Y46)+SUMIF($AD$3:$BA$3,"&gt;="&amp;$DG46,$B46:$Y46)),
IF(AV$3=$DF46+'Model Setup'!$C$7,SUMIF($AD$3:$BA$3,"="&amp;$DF46+'Model Setup'!$C$7,$B46:$Y46)+'Model Setup'!$C$8*(SUMIF($AD$3:$BA$3,"&lt;"&amp;$DF46,$B46:$Y46)+SUMIF($AD$3:$BA$3,"&gt;="&amp;$DG46,$B46:$Y46)),
IF(AV$3=$DF46+'Model Setup'!$D$7,SUMIF($AD$3:$BA$3,"="&amp;$DF46+'Model Setup'!$D$7,$B46:$Y46)+'Model Setup'!$D$8*(SUMIF($AD$3:$BA$3,"&lt;"&amp;$DF46,$B46:$Y46)+SUMIF($AD$3:$BA$3,"&gt;="&amp;$DG46,$B46:$Y46)),
IF(AV$3=$DF46+'Model Setup'!$E$7,SUMIF($AD$3:$BA$3,"="&amp;$DF46+'Model Setup'!$E$7,$B46:$Y46)+'Model Setup'!$E$8*(SUMIF($AD$3:$BA$3,"&lt;"&amp;$DF46,$B46:$Y46)+SUMIF($AD$3:$BA$3,"&gt;="&amp;$DG46,$B46:$Y46)),
IF(AV$3=$DF46+'Model Setup'!$F$7,SUMIF($AD$3:$BA$3,"="&amp;$DF46+'Model Setup'!$F$7,$B46:$Y46)+'Model Setup'!$F$8*(SUMIF($AD$3:$BA$3,"&lt;"&amp;$DF46,$B46:$Y46)+SUMIF($AD$3:$BA$3,"&gt;="&amp;$DG46,$B46:$Y46)),
IF(AV$3=$DF46+'Model Setup'!$G$7,SUMIF($AD$3:$BA$3,"="&amp;$DF46+'Model Setup'!$G$7,$B46:$Y46)+'Model Setup'!$G$8*(SUMIF($AD$3:$BA$3,"&lt;"&amp;$DF46,$B46:$Y46)+SUMIF($AD$3:$BA$3,"&gt;="&amp;$DG46,$B46:$Y46)),
IF(AV$3=$DF46+'Model Setup'!$H$7,SUMIF($AD$3:$BA$3,"="&amp;$DF46+'Model Setup'!$H$7,$B46:$Y46)+'Model Setup'!$H$8*(SUMIF($AD$3:$BA$3,"&lt;"&amp;$DF46,$B46:$Y46)+SUMIF($AD$3:$BA$3,"&gt;="&amp;$DG46,$B46:$Y46)),
IF(AV$3=$DF46+'Model Setup'!$I$7,SUMIF($AD$3:$BA$3,"="&amp;$DF46+'Model Setup'!$I$7,$B46:$Y46)+'Model Setup'!$I$8*(SUMIF($AD$3:$BA$3,"&lt;"&amp;$DF46,$B46:$Y46)+SUMIF($AD$3:$BA$3,"&gt;="&amp;$DG46,$B46:$Y46)),
IF(AV$3=$DF46+'Model Setup'!$J$7,SUMIF($AD$3:$BA$3,"="&amp;$DF46+'Model Setup'!$J$7,$B46:$Y46)+'Model Setup'!$J$8*(SUMIF($AD$3:$BA$3,"&lt;"&amp;$DF46,$B46:$Y46)+SUMIF($AD$3:$BA$3,"&gt;="&amp;$DG46,$B46:$Y46)),
IF(AV$3=$DF46+'Model Setup'!$K$7,SUMIF($AD$3:$BA$3,"="&amp;$DF46+'Model Setup'!$K$7,$B46:$Y46)+'Model Setup'!$K$8*(SUMIF($AD$3:$BA$3,"&lt;"&amp;$DF46,$B46:$Y46)+SUMIF($AD$3:$BA$3,"&gt;="&amp;$DG46,$B46:$Y46)),
IF(AV$3=$DF46+'Model Setup'!$L$7,SUMIF($AD$3:$BA$3,"="&amp;$DF46+'Model Setup'!$L$7,$B46:$Y46)+'Model Setup'!$L$8*(SUMIF($AD$3:$BA$3,"&lt;"&amp;$DF46,$B46:$Y46)+SUMIF($AD$3:$BA$3,"&gt;="&amp;$DG46,$B46:$Y46)),
IF(AV$3=$DF46+'Model Setup'!$M$7,SUMIF($AD$3:$BA$3,"="&amp;$DF46+'Model Setup'!$M$7,$B46:$Y46)+'Model Setup'!$M$8*(SUMIF($AD$3:$BA$3,"&lt;"&amp;$DF46,$B46:$Y46)+SUMIF($AD$3:$BA$3,"&gt;="&amp;$DG46,$B46:$Y46)),
IF(AV$3=$DF46+'Model Setup'!$N$7,SUMIF($AD$3:$BA$3,"="&amp;$DF46+'Model Setup'!$N$7,$B46:$Y46)+'Model Setup'!$N$8*(SUMIF($AD$3:$BA$3,"&lt;"&amp;$DF46,$B46:$Y46)+SUMIF($AD$3:$BA$3,"&gt;="&amp;$DG46,$B46:$Y46)),
IF(AV$3&lt;$DG46,T46,0))))))))))))))),0)</f>
        <v>0</v>
      </c>
      <c r="AW46" s="47">
        <f>ROUND(IF(AW$3&lt;$DF46,0,
IF(AW$3=$DF46+'Model Setup'!$B$7,SUMIF($AD$3:$BA$3,"="&amp;$DF46+'Model Setup'!$B$7,$B46:$Y46)+'Model Setup'!$B$8*(SUMIF($AD$3:$BA$3,"&lt;"&amp;$DF46,$B46:$Y46)+SUMIF($AD$3:$BA$3,"&gt;="&amp;$DG46,$B46:$Y46)),
IF(AW$3=$DF46+'Model Setup'!$C$7,SUMIF($AD$3:$BA$3,"="&amp;$DF46+'Model Setup'!$C$7,$B46:$Y46)+'Model Setup'!$C$8*(SUMIF($AD$3:$BA$3,"&lt;"&amp;$DF46,$B46:$Y46)+SUMIF($AD$3:$BA$3,"&gt;="&amp;$DG46,$B46:$Y46)),
IF(AW$3=$DF46+'Model Setup'!$D$7,SUMIF($AD$3:$BA$3,"="&amp;$DF46+'Model Setup'!$D$7,$B46:$Y46)+'Model Setup'!$D$8*(SUMIF($AD$3:$BA$3,"&lt;"&amp;$DF46,$B46:$Y46)+SUMIF($AD$3:$BA$3,"&gt;="&amp;$DG46,$B46:$Y46)),
IF(AW$3=$DF46+'Model Setup'!$E$7,SUMIF($AD$3:$BA$3,"="&amp;$DF46+'Model Setup'!$E$7,$B46:$Y46)+'Model Setup'!$E$8*(SUMIF($AD$3:$BA$3,"&lt;"&amp;$DF46,$B46:$Y46)+SUMIF($AD$3:$BA$3,"&gt;="&amp;$DG46,$B46:$Y46)),
IF(AW$3=$DF46+'Model Setup'!$F$7,SUMIF($AD$3:$BA$3,"="&amp;$DF46+'Model Setup'!$F$7,$B46:$Y46)+'Model Setup'!$F$8*(SUMIF($AD$3:$BA$3,"&lt;"&amp;$DF46,$B46:$Y46)+SUMIF($AD$3:$BA$3,"&gt;="&amp;$DG46,$B46:$Y46)),
IF(AW$3=$DF46+'Model Setup'!$G$7,SUMIF($AD$3:$BA$3,"="&amp;$DF46+'Model Setup'!$G$7,$B46:$Y46)+'Model Setup'!$G$8*(SUMIF($AD$3:$BA$3,"&lt;"&amp;$DF46,$B46:$Y46)+SUMIF($AD$3:$BA$3,"&gt;="&amp;$DG46,$B46:$Y46)),
IF(AW$3=$DF46+'Model Setup'!$H$7,SUMIF($AD$3:$BA$3,"="&amp;$DF46+'Model Setup'!$H$7,$B46:$Y46)+'Model Setup'!$H$8*(SUMIF($AD$3:$BA$3,"&lt;"&amp;$DF46,$B46:$Y46)+SUMIF($AD$3:$BA$3,"&gt;="&amp;$DG46,$B46:$Y46)),
IF(AW$3=$DF46+'Model Setup'!$I$7,SUMIF($AD$3:$BA$3,"="&amp;$DF46+'Model Setup'!$I$7,$B46:$Y46)+'Model Setup'!$I$8*(SUMIF($AD$3:$BA$3,"&lt;"&amp;$DF46,$B46:$Y46)+SUMIF($AD$3:$BA$3,"&gt;="&amp;$DG46,$B46:$Y46)),
IF(AW$3=$DF46+'Model Setup'!$J$7,SUMIF($AD$3:$BA$3,"="&amp;$DF46+'Model Setup'!$J$7,$B46:$Y46)+'Model Setup'!$J$8*(SUMIF($AD$3:$BA$3,"&lt;"&amp;$DF46,$B46:$Y46)+SUMIF($AD$3:$BA$3,"&gt;="&amp;$DG46,$B46:$Y46)),
IF(AW$3=$DF46+'Model Setup'!$K$7,SUMIF($AD$3:$BA$3,"="&amp;$DF46+'Model Setup'!$K$7,$B46:$Y46)+'Model Setup'!$K$8*(SUMIF($AD$3:$BA$3,"&lt;"&amp;$DF46,$B46:$Y46)+SUMIF($AD$3:$BA$3,"&gt;="&amp;$DG46,$B46:$Y46)),
IF(AW$3=$DF46+'Model Setup'!$L$7,SUMIF($AD$3:$BA$3,"="&amp;$DF46+'Model Setup'!$L$7,$B46:$Y46)+'Model Setup'!$L$8*(SUMIF($AD$3:$BA$3,"&lt;"&amp;$DF46,$B46:$Y46)+SUMIF($AD$3:$BA$3,"&gt;="&amp;$DG46,$B46:$Y46)),
IF(AW$3=$DF46+'Model Setup'!$M$7,SUMIF($AD$3:$BA$3,"="&amp;$DF46+'Model Setup'!$M$7,$B46:$Y46)+'Model Setup'!$M$8*(SUMIF($AD$3:$BA$3,"&lt;"&amp;$DF46,$B46:$Y46)+SUMIF($AD$3:$BA$3,"&gt;="&amp;$DG46,$B46:$Y46)),
IF(AW$3=$DF46+'Model Setup'!$N$7,SUMIF($AD$3:$BA$3,"="&amp;$DF46+'Model Setup'!$N$7,$B46:$Y46)+'Model Setup'!$N$8*(SUMIF($AD$3:$BA$3,"&lt;"&amp;$DF46,$B46:$Y46)+SUMIF($AD$3:$BA$3,"&gt;="&amp;$DG46,$B46:$Y46)),
IF(AW$3&lt;$DG46,U46,0))))))))))))))),0)</f>
        <v>0</v>
      </c>
      <c r="AX46" s="47">
        <f>ROUND(IF(AX$3&lt;$DF46,0,
IF(AX$3=$DF46+'Model Setup'!$B$7,SUMIF($AD$3:$BA$3,"="&amp;$DF46+'Model Setup'!$B$7,$B46:$Y46)+'Model Setup'!$B$8*(SUMIF($AD$3:$BA$3,"&lt;"&amp;$DF46,$B46:$Y46)+SUMIF($AD$3:$BA$3,"&gt;="&amp;$DG46,$B46:$Y46)),
IF(AX$3=$DF46+'Model Setup'!$C$7,SUMIF($AD$3:$BA$3,"="&amp;$DF46+'Model Setup'!$C$7,$B46:$Y46)+'Model Setup'!$C$8*(SUMIF($AD$3:$BA$3,"&lt;"&amp;$DF46,$B46:$Y46)+SUMIF($AD$3:$BA$3,"&gt;="&amp;$DG46,$B46:$Y46)),
IF(AX$3=$DF46+'Model Setup'!$D$7,SUMIF($AD$3:$BA$3,"="&amp;$DF46+'Model Setup'!$D$7,$B46:$Y46)+'Model Setup'!$D$8*(SUMIF($AD$3:$BA$3,"&lt;"&amp;$DF46,$B46:$Y46)+SUMIF($AD$3:$BA$3,"&gt;="&amp;$DG46,$B46:$Y46)),
IF(AX$3=$DF46+'Model Setup'!$E$7,SUMIF($AD$3:$BA$3,"="&amp;$DF46+'Model Setup'!$E$7,$B46:$Y46)+'Model Setup'!$E$8*(SUMIF($AD$3:$BA$3,"&lt;"&amp;$DF46,$B46:$Y46)+SUMIF($AD$3:$BA$3,"&gt;="&amp;$DG46,$B46:$Y46)),
IF(AX$3=$DF46+'Model Setup'!$F$7,SUMIF($AD$3:$BA$3,"="&amp;$DF46+'Model Setup'!$F$7,$B46:$Y46)+'Model Setup'!$F$8*(SUMIF($AD$3:$BA$3,"&lt;"&amp;$DF46,$B46:$Y46)+SUMIF($AD$3:$BA$3,"&gt;="&amp;$DG46,$B46:$Y46)),
IF(AX$3=$DF46+'Model Setup'!$G$7,SUMIF($AD$3:$BA$3,"="&amp;$DF46+'Model Setup'!$G$7,$B46:$Y46)+'Model Setup'!$G$8*(SUMIF($AD$3:$BA$3,"&lt;"&amp;$DF46,$B46:$Y46)+SUMIF($AD$3:$BA$3,"&gt;="&amp;$DG46,$B46:$Y46)),
IF(AX$3=$DF46+'Model Setup'!$H$7,SUMIF($AD$3:$BA$3,"="&amp;$DF46+'Model Setup'!$H$7,$B46:$Y46)+'Model Setup'!$H$8*(SUMIF($AD$3:$BA$3,"&lt;"&amp;$DF46,$B46:$Y46)+SUMIF($AD$3:$BA$3,"&gt;="&amp;$DG46,$B46:$Y46)),
IF(AX$3=$DF46+'Model Setup'!$I$7,SUMIF($AD$3:$BA$3,"="&amp;$DF46+'Model Setup'!$I$7,$B46:$Y46)+'Model Setup'!$I$8*(SUMIF($AD$3:$BA$3,"&lt;"&amp;$DF46,$B46:$Y46)+SUMIF($AD$3:$BA$3,"&gt;="&amp;$DG46,$B46:$Y46)),
IF(AX$3=$DF46+'Model Setup'!$J$7,SUMIF($AD$3:$BA$3,"="&amp;$DF46+'Model Setup'!$J$7,$B46:$Y46)+'Model Setup'!$J$8*(SUMIF($AD$3:$BA$3,"&lt;"&amp;$DF46,$B46:$Y46)+SUMIF($AD$3:$BA$3,"&gt;="&amp;$DG46,$B46:$Y46)),
IF(AX$3=$DF46+'Model Setup'!$K$7,SUMIF($AD$3:$BA$3,"="&amp;$DF46+'Model Setup'!$K$7,$B46:$Y46)+'Model Setup'!$K$8*(SUMIF($AD$3:$BA$3,"&lt;"&amp;$DF46,$B46:$Y46)+SUMIF($AD$3:$BA$3,"&gt;="&amp;$DG46,$B46:$Y46)),
IF(AX$3=$DF46+'Model Setup'!$L$7,SUMIF($AD$3:$BA$3,"="&amp;$DF46+'Model Setup'!$L$7,$B46:$Y46)+'Model Setup'!$L$8*(SUMIF($AD$3:$BA$3,"&lt;"&amp;$DF46,$B46:$Y46)+SUMIF($AD$3:$BA$3,"&gt;="&amp;$DG46,$B46:$Y46)),
IF(AX$3=$DF46+'Model Setup'!$M$7,SUMIF($AD$3:$BA$3,"="&amp;$DF46+'Model Setup'!$M$7,$B46:$Y46)+'Model Setup'!$M$8*(SUMIF($AD$3:$BA$3,"&lt;"&amp;$DF46,$B46:$Y46)+SUMIF($AD$3:$BA$3,"&gt;="&amp;$DG46,$B46:$Y46)),
IF(AX$3=$DF46+'Model Setup'!$N$7,SUMIF($AD$3:$BA$3,"="&amp;$DF46+'Model Setup'!$N$7,$B46:$Y46)+'Model Setup'!$N$8*(SUMIF($AD$3:$BA$3,"&lt;"&amp;$DF46,$B46:$Y46)+SUMIF($AD$3:$BA$3,"&gt;="&amp;$DG46,$B46:$Y46)),
IF(AX$3&lt;$DG46,V46,0))))))))))))))),0)</f>
        <v>0</v>
      </c>
      <c r="AY46" s="47">
        <f>ROUND(IF(AY$3&lt;$DF46,0,
IF(AY$3=$DF46+'Model Setup'!$B$7,SUMIF($AD$3:$BA$3,"="&amp;$DF46+'Model Setup'!$B$7,$B46:$Y46)+'Model Setup'!$B$8*(SUMIF($AD$3:$BA$3,"&lt;"&amp;$DF46,$B46:$Y46)+SUMIF($AD$3:$BA$3,"&gt;="&amp;$DG46,$B46:$Y46)),
IF(AY$3=$DF46+'Model Setup'!$C$7,SUMIF($AD$3:$BA$3,"="&amp;$DF46+'Model Setup'!$C$7,$B46:$Y46)+'Model Setup'!$C$8*(SUMIF($AD$3:$BA$3,"&lt;"&amp;$DF46,$B46:$Y46)+SUMIF($AD$3:$BA$3,"&gt;="&amp;$DG46,$B46:$Y46)),
IF(AY$3=$DF46+'Model Setup'!$D$7,SUMIF($AD$3:$BA$3,"="&amp;$DF46+'Model Setup'!$D$7,$B46:$Y46)+'Model Setup'!$D$8*(SUMIF($AD$3:$BA$3,"&lt;"&amp;$DF46,$B46:$Y46)+SUMIF($AD$3:$BA$3,"&gt;="&amp;$DG46,$B46:$Y46)),
IF(AY$3=$DF46+'Model Setup'!$E$7,SUMIF($AD$3:$BA$3,"="&amp;$DF46+'Model Setup'!$E$7,$B46:$Y46)+'Model Setup'!$E$8*(SUMIF($AD$3:$BA$3,"&lt;"&amp;$DF46,$B46:$Y46)+SUMIF($AD$3:$BA$3,"&gt;="&amp;$DG46,$B46:$Y46)),
IF(AY$3=$DF46+'Model Setup'!$F$7,SUMIF($AD$3:$BA$3,"="&amp;$DF46+'Model Setup'!$F$7,$B46:$Y46)+'Model Setup'!$F$8*(SUMIF($AD$3:$BA$3,"&lt;"&amp;$DF46,$B46:$Y46)+SUMIF($AD$3:$BA$3,"&gt;="&amp;$DG46,$B46:$Y46)),
IF(AY$3=$DF46+'Model Setup'!$G$7,SUMIF($AD$3:$BA$3,"="&amp;$DF46+'Model Setup'!$G$7,$B46:$Y46)+'Model Setup'!$G$8*(SUMIF($AD$3:$BA$3,"&lt;"&amp;$DF46,$B46:$Y46)+SUMIF($AD$3:$BA$3,"&gt;="&amp;$DG46,$B46:$Y46)),
IF(AY$3=$DF46+'Model Setup'!$H$7,SUMIF($AD$3:$BA$3,"="&amp;$DF46+'Model Setup'!$H$7,$B46:$Y46)+'Model Setup'!$H$8*(SUMIF($AD$3:$BA$3,"&lt;"&amp;$DF46,$B46:$Y46)+SUMIF($AD$3:$BA$3,"&gt;="&amp;$DG46,$B46:$Y46)),
IF(AY$3=$DF46+'Model Setup'!$I$7,SUMIF($AD$3:$BA$3,"="&amp;$DF46+'Model Setup'!$I$7,$B46:$Y46)+'Model Setup'!$I$8*(SUMIF($AD$3:$BA$3,"&lt;"&amp;$DF46,$B46:$Y46)+SUMIF($AD$3:$BA$3,"&gt;="&amp;$DG46,$B46:$Y46)),
IF(AY$3=$DF46+'Model Setup'!$J$7,SUMIF($AD$3:$BA$3,"="&amp;$DF46+'Model Setup'!$J$7,$B46:$Y46)+'Model Setup'!$J$8*(SUMIF($AD$3:$BA$3,"&lt;"&amp;$DF46,$B46:$Y46)+SUMIF($AD$3:$BA$3,"&gt;="&amp;$DG46,$B46:$Y46)),
IF(AY$3=$DF46+'Model Setup'!$K$7,SUMIF($AD$3:$BA$3,"="&amp;$DF46+'Model Setup'!$K$7,$B46:$Y46)+'Model Setup'!$K$8*(SUMIF($AD$3:$BA$3,"&lt;"&amp;$DF46,$B46:$Y46)+SUMIF($AD$3:$BA$3,"&gt;="&amp;$DG46,$B46:$Y46)),
IF(AY$3=$DF46+'Model Setup'!$L$7,SUMIF($AD$3:$BA$3,"="&amp;$DF46+'Model Setup'!$L$7,$B46:$Y46)+'Model Setup'!$L$8*(SUMIF($AD$3:$BA$3,"&lt;"&amp;$DF46,$B46:$Y46)+SUMIF($AD$3:$BA$3,"&gt;="&amp;$DG46,$B46:$Y46)),
IF(AY$3=$DF46+'Model Setup'!$M$7,SUMIF($AD$3:$BA$3,"="&amp;$DF46+'Model Setup'!$M$7,$B46:$Y46)+'Model Setup'!$M$8*(SUMIF($AD$3:$BA$3,"&lt;"&amp;$DF46,$B46:$Y46)+SUMIF($AD$3:$BA$3,"&gt;="&amp;$DG46,$B46:$Y46)),
IF(AY$3=$DF46+'Model Setup'!$N$7,SUMIF($AD$3:$BA$3,"="&amp;$DF46+'Model Setup'!$N$7,$B46:$Y46)+'Model Setup'!$N$8*(SUMIF($AD$3:$BA$3,"&lt;"&amp;$DF46,$B46:$Y46)+SUMIF($AD$3:$BA$3,"&gt;="&amp;$DG46,$B46:$Y46)),
IF(AY$3&lt;$DG46,W46,0))))))))))))))),0)</f>
        <v>0</v>
      </c>
      <c r="AZ46" s="47">
        <f>ROUND(IF(AZ$3&lt;$DF46,0,
IF(AZ$3=$DF46+'Model Setup'!$B$7,SUMIF($AD$3:$BA$3,"="&amp;$DF46+'Model Setup'!$B$7,$B46:$Y46)+'Model Setup'!$B$8*(SUMIF($AD$3:$BA$3,"&lt;"&amp;$DF46,$B46:$Y46)+SUMIF($AD$3:$BA$3,"&gt;="&amp;$DG46,$B46:$Y46)),
IF(AZ$3=$DF46+'Model Setup'!$C$7,SUMIF($AD$3:$BA$3,"="&amp;$DF46+'Model Setup'!$C$7,$B46:$Y46)+'Model Setup'!$C$8*(SUMIF($AD$3:$BA$3,"&lt;"&amp;$DF46,$B46:$Y46)+SUMIF($AD$3:$BA$3,"&gt;="&amp;$DG46,$B46:$Y46)),
IF(AZ$3=$DF46+'Model Setup'!$D$7,SUMIF($AD$3:$BA$3,"="&amp;$DF46+'Model Setup'!$D$7,$B46:$Y46)+'Model Setup'!$D$8*(SUMIF($AD$3:$BA$3,"&lt;"&amp;$DF46,$B46:$Y46)+SUMIF($AD$3:$BA$3,"&gt;="&amp;$DG46,$B46:$Y46)),
IF(AZ$3=$DF46+'Model Setup'!$E$7,SUMIF($AD$3:$BA$3,"="&amp;$DF46+'Model Setup'!$E$7,$B46:$Y46)+'Model Setup'!$E$8*(SUMIF($AD$3:$BA$3,"&lt;"&amp;$DF46,$B46:$Y46)+SUMIF($AD$3:$BA$3,"&gt;="&amp;$DG46,$B46:$Y46)),
IF(AZ$3=$DF46+'Model Setup'!$F$7,SUMIF($AD$3:$BA$3,"="&amp;$DF46+'Model Setup'!$F$7,$B46:$Y46)+'Model Setup'!$F$8*(SUMIF($AD$3:$BA$3,"&lt;"&amp;$DF46,$B46:$Y46)+SUMIF($AD$3:$BA$3,"&gt;="&amp;$DG46,$B46:$Y46)),
IF(AZ$3=$DF46+'Model Setup'!$G$7,SUMIF($AD$3:$BA$3,"="&amp;$DF46+'Model Setup'!$G$7,$B46:$Y46)+'Model Setup'!$G$8*(SUMIF($AD$3:$BA$3,"&lt;"&amp;$DF46,$B46:$Y46)+SUMIF($AD$3:$BA$3,"&gt;="&amp;$DG46,$B46:$Y46)),
IF(AZ$3=$DF46+'Model Setup'!$H$7,SUMIF($AD$3:$BA$3,"="&amp;$DF46+'Model Setup'!$H$7,$B46:$Y46)+'Model Setup'!$H$8*(SUMIF($AD$3:$BA$3,"&lt;"&amp;$DF46,$B46:$Y46)+SUMIF($AD$3:$BA$3,"&gt;="&amp;$DG46,$B46:$Y46)),
IF(AZ$3=$DF46+'Model Setup'!$I$7,SUMIF($AD$3:$BA$3,"="&amp;$DF46+'Model Setup'!$I$7,$B46:$Y46)+'Model Setup'!$I$8*(SUMIF($AD$3:$BA$3,"&lt;"&amp;$DF46,$B46:$Y46)+SUMIF($AD$3:$BA$3,"&gt;="&amp;$DG46,$B46:$Y46)),
IF(AZ$3=$DF46+'Model Setup'!$J$7,SUMIF($AD$3:$BA$3,"="&amp;$DF46+'Model Setup'!$J$7,$B46:$Y46)+'Model Setup'!$J$8*(SUMIF($AD$3:$BA$3,"&lt;"&amp;$DF46,$B46:$Y46)+SUMIF($AD$3:$BA$3,"&gt;="&amp;$DG46,$B46:$Y46)),
IF(AZ$3=$DF46+'Model Setup'!$K$7,SUMIF($AD$3:$BA$3,"="&amp;$DF46+'Model Setup'!$K$7,$B46:$Y46)+'Model Setup'!$K$8*(SUMIF($AD$3:$BA$3,"&lt;"&amp;$DF46,$B46:$Y46)+SUMIF($AD$3:$BA$3,"&gt;="&amp;$DG46,$B46:$Y46)),
IF(AZ$3=$DF46+'Model Setup'!$L$7,SUMIF($AD$3:$BA$3,"="&amp;$DF46+'Model Setup'!$L$7,$B46:$Y46)+'Model Setup'!$L$8*(SUMIF($AD$3:$BA$3,"&lt;"&amp;$DF46,$B46:$Y46)+SUMIF($AD$3:$BA$3,"&gt;="&amp;$DG46,$B46:$Y46)),
IF(AZ$3=$DF46+'Model Setup'!$M$7,SUMIF($AD$3:$BA$3,"="&amp;$DF46+'Model Setup'!$M$7,$B46:$Y46)+'Model Setup'!$M$8*(SUMIF($AD$3:$BA$3,"&lt;"&amp;$DF46,$B46:$Y46)+SUMIF($AD$3:$BA$3,"&gt;="&amp;$DG46,$B46:$Y46)),
IF(AZ$3=$DF46+'Model Setup'!$N$7,SUMIF($AD$3:$BA$3,"="&amp;$DF46+'Model Setup'!$N$7,$B46:$Y46)+'Model Setup'!$N$8*(SUMIF($AD$3:$BA$3,"&lt;"&amp;$DF46,$B46:$Y46)+SUMIF($AD$3:$BA$3,"&gt;="&amp;$DG46,$B46:$Y46)),
IF(AZ$3&lt;$DG46,X46,0))))))))))))))),0)</f>
        <v>0</v>
      </c>
      <c r="BA46" s="47">
        <f>ROUND(IF(BA$3&lt;$DF46,0,
IF(BA$3=$DF46+'Model Setup'!$B$7,SUMIF($AD$3:$BA$3,"="&amp;$DF46+'Model Setup'!$B$7,$B46:$Y46)+'Model Setup'!$B$8*(SUMIF($AD$3:$BA$3,"&lt;"&amp;$DF46,$B46:$Y46)+SUMIF($AD$3:$BA$3,"&gt;="&amp;$DG46,$B46:$Y46)),
IF(BA$3=$DF46+'Model Setup'!$C$7,SUMIF($AD$3:$BA$3,"="&amp;$DF46+'Model Setup'!$C$7,$B46:$Y46)+'Model Setup'!$C$8*(SUMIF($AD$3:$BA$3,"&lt;"&amp;$DF46,$B46:$Y46)+SUMIF($AD$3:$BA$3,"&gt;="&amp;$DG46,$B46:$Y46)),
IF(BA$3=$DF46+'Model Setup'!$D$7,SUMIF($AD$3:$BA$3,"="&amp;$DF46+'Model Setup'!$D$7,$B46:$Y46)+'Model Setup'!$D$8*(SUMIF($AD$3:$BA$3,"&lt;"&amp;$DF46,$B46:$Y46)+SUMIF($AD$3:$BA$3,"&gt;="&amp;$DG46,$B46:$Y46)),
IF(BA$3=$DF46+'Model Setup'!$E$7,SUMIF($AD$3:$BA$3,"="&amp;$DF46+'Model Setup'!$E$7,$B46:$Y46)+'Model Setup'!$E$8*(SUMIF($AD$3:$BA$3,"&lt;"&amp;$DF46,$B46:$Y46)+SUMIF($AD$3:$BA$3,"&gt;="&amp;$DG46,$B46:$Y46)),
IF(BA$3=$DF46+'Model Setup'!$F$7,SUMIF($AD$3:$BA$3,"="&amp;$DF46+'Model Setup'!$F$7,$B46:$Y46)+'Model Setup'!$F$8*(SUMIF($AD$3:$BA$3,"&lt;"&amp;$DF46,$B46:$Y46)+SUMIF($AD$3:$BA$3,"&gt;="&amp;$DG46,$B46:$Y46)),
IF(BA$3=$DF46+'Model Setup'!$G$7,SUMIF($AD$3:$BA$3,"="&amp;$DF46+'Model Setup'!$G$7,$B46:$Y46)+'Model Setup'!$G$8*(SUMIF($AD$3:$BA$3,"&lt;"&amp;$DF46,$B46:$Y46)+SUMIF($AD$3:$BA$3,"&gt;="&amp;$DG46,$B46:$Y46)),
IF(BA$3=$DF46+'Model Setup'!$H$7,SUMIF($AD$3:$BA$3,"="&amp;$DF46+'Model Setup'!$H$7,$B46:$Y46)+'Model Setup'!$H$8*(SUMIF($AD$3:$BA$3,"&lt;"&amp;$DF46,$B46:$Y46)+SUMIF($AD$3:$BA$3,"&gt;="&amp;$DG46,$B46:$Y46)),
IF(BA$3=$DF46+'Model Setup'!$I$7,SUMIF($AD$3:$BA$3,"="&amp;$DF46+'Model Setup'!$I$7,$B46:$Y46)+'Model Setup'!$I$8*(SUMIF($AD$3:$BA$3,"&lt;"&amp;$DF46,$B46:$Y46)+SUMIF($AD$3:$BA$3,"&gt;="&amp;$DG46,$B46:$Y46)),
IF(BA$3=$DF46+'Model Setup'!$J$7,SUMIF($AD$3:$BA$3,"="&amp;$DF46+'Model Setup'!$J$7,$B46:$Y46)+'Model Setup'!$J$8*(SUMIF($AD$3:$BA$3,"&lt;"&amp;$DF46,$B46:$Y46)+SUMIF($AD$3:$BA$3,"&gt;="&amp;$DG46,$B46:$Y46)),
IF(BA$3=$DF46+'Model Setup'!$K$7,SUMIF($AD$3:$BA$3,"="&amp;$DF46+'Model Setup'!$K$7,$B46:$Y46)+'Model Setup'!$K$8*(SUMIF($AD$3:$BA$3,"&lt;"&amp;$DF46,$B46:$Y46)+SUMIF($AD$3:$BA$3,"&gt;="&amp;$DG46,$B46:$Y46)),
IF(BA$3=$DF46+'Model Setup'!$L$7,SUMIF($AD$3:$BA$3,"="&amp;$DF46+'Model Setup'!$L$7,$B46:$Y46)+'Model Setup'!$L$8*(SUMIF($AD$3:$BA$3,"&lt;"&amp;$DF46,$B46:$Y46)+SUMIF($AD$3:$BA$3,"&gt;="&amp;$DG46,$B46:$Y46)),
IF(BA$3=$DF46+'Model Setup'!$M$7,SUMIF($AD$3:$BA$3,"="&amp;$DF46+'Model Setup'!$M$7,$B46:$Y46)+'Model Setup'!$M$8*(SUMIF($AD$3:$BA$3,"&lt;"&amp;$DF46,$B46:$Y46)+SUMIF($AD$3:$BA$3,"&gt;="&amp;$DG46,$B46:$Y46)),
IF(BA$3=$DF46+'Model Setup'!$N$7,SUMIF($AD$3:$BA$3,"="&amp;$DF46+'Model Setup'!$N$7,$B46:$Y46)+'Model Setup'!$N$8*(SUMIF($AD$3:$BA$3,"&lt;"&amp;$DF46,$B46:$Y46)+SUMIF($AD$3:$BA$3,"&gt;="&amp;$DG46,$B46:$Y46)),
IF(BA$3&lt;$DG46,Y46,0))))))))))))))),0)</f>
        <v>0</v>
      </c>
      <c r="BB46" s="47">
        <f t="shared" si="1"/>
        <v>502</v>
      </c>
      <c r="BD46" t="b">
        <f t="shared" si="2"/>
        <v>1</v>
      </c>
      <c r="BE46">
        <f t="shared" si="8"/>
        <v>0</v>
      </c>
      <c r="BF46">
        <f>(FTC!F44-FTC!E44)*24</f>
        <v>13</v>
      </c>
      <c r="BG46" s="43" t="s">
        <v>61</v>
      </c>
      <c r="BH46" s="47">
        <f>ROUND(IF(OR(BH$3&lt;$DF46,BH$3&gt;$CW$4),0,
IF(BH$3=$DF46+'Model Setup'!$B$7,SUMIF($BH$3:$CE$3,"="&amp;$DF46+'Model Setup'!$B$7,$AD46:$BA46)+'Model Setup'!$B$8*(SUMIF($BH$3:$CE$3,"&lt;"&amp;$DF46,$AD46:$BA46)+SUMIF($BH$3:$CE$3,"&gt;"&amp;$CW$4,$AD46:$BA46)),
IF(BH$3=$DF46+'Model Setup'!$C$7,SUMIF($BH$3:$CE$3,"="&amp;$DF46+'Model Setup'!$C$7,$AD46:$BA46)+'Model Setup'!$C$8*(SUMIF($BH$3:$CE$3,"&lt;"&amp;$DF46,$AD46:$BA46)+SUMIF($BH$3:$CE$3,"&gt;"&amp;$CW$4,$AD46:$BA46)),
IF(BH$3=$DF46+'Model Setup'!$D$7,SUMIF($BH$3:$CE$3,"="&amp;$DF46+'Model Setup'!$D$7,$AD46:$BA46)+'Model Setup'!$D$8*(SUMIF($BH$3:$CE$3,"&lt;"&amp;$DF46,$AD46:$BA46)+SUMIF($BH$3:$CE$3,"&gt;"&amp;$CW$4,$AD46:$BA46)),
IF(BH$3=$DF46+'Model Setup'!$E$7,SUMIF($BH$3:$CE$3,"="&amp;$DF46+'Model Setup'!$E$7,$AD46:$BA46)+'Model Setup'!$E$8*(SUMIF($BH$3:$CE$3,"&lt;"&amp;$DF46,$AD46:$BA46)+SUMIF($BH$3:$CE$3,"&gt;"&amp;$CW$4,$AD46:$BA46)),
IF(BH$3=$DF46+'Model Setup'!$F$7,SUMIF($BH$3:$CE$3,"="&amp;$DF46+'Model Setup'!$F$7,$AD46:$BA46)+'Model Setup'!$F$8*(SUMIF($BH$3:$CE$3,"&lt;"&amp;$DF46,$AD46:$BA46)+SUMIF($BH$3:$CE$3,"&gt;"&amp;$CW$4,$AD46:$BA46)),
IF(BH$3=$DF46+'Model Setup'!$G$7,SUMIF($BH$3:$CE$3,"="&amp;$DF46+'Model Setup'!$G$7,$AD46:$BA46)+'Model Setup'!$G$8*(SUMIF($BH$3:$CE$3,"&lt;"&amp;$DF46,$AD46:$BA46)+SUMIF($BH$3:$CE$3,"&gt;"&amp;$CW$4,$AD46:$BA46)),
IF(BH$3=$DF46+'Model Setup'!$H$7,SUMIF($BH$3:$CE$3,"="&amp;$DF46+'Model Setup'!$H$7,$AD46:$BA46)+'Model Setup'!$H$8*(SUMIF($BH$3:$CE$3,"&lt;"&amp;$DF46,$AD46:$BA46)+SUMIF($BH$3:$CE$3,"&gt;"&amp;$CW$4,$AD46:$BA46)),
IF(BH$3=$DF46+'Model Setup'!$I$7,SUMIF($BH$3:$CE$3,"="&amp;$DF46+'Model Setup'!$I$7,$AD46:$BA46)+'Model Setup'!$I$8*(SUMIF($BH$3:$CE$3,"&lt;"&amp;$DF46,$AD46:$BA46)+SUMIF($BH$3:$CE$3,"&gt;"&amp;$CW$4,$AD46:$BA46)),
IF(BH$3=$DF46+'Model Setup'!$J$7,SUMIF($BH$3:$CE$3,"="&amp;$DF46+'Model Setup'!$J$7,$AD46:$BA46)+'Model Setup'!$J$8*(SUMIF($BH$3:$CE$3,"&lt;"&amp;$DF46,$AD46:$BA46)+SUMIF($BH$3:$CE$3,"&gt;"&amp;$CW$4,$AD46:$BA46)),
IF(BH$3=$DF46+'Model Setup'!$K$7,SUMIF($BH$3:$CE$3,"="&amp;$DF46+'Model Setup'!$K$7,$AD46:$BA46)+'Model Setup'!$K$8*(SUMIF($BH$3:$CE$3,"&lt;"&amp;$DF46,$AD46:$BA46)+SUMIF($BH$3:$CE$3,"&gt;"&amp;$CW$4,$AD46:$BA46)),
IF(BH$3=$DF46+'Model Setup'!$L$7,SUMIF($BH$3:$CE$3,"="&amp;$DF46+'Model Setup'!$L$7,$AD46:$BA46)+'Model Setup'!$L$8*(SUMIF($BH$3:$CE$3,"&lt;"&amp;$DF46,$AD46:$BA46)+SUMIF($BH$3:$CE$3,"&gt;"&amp;$CW$4,$AD46:$BA46)),
IF(BH$3=$DF46+'Model Setup'!$M$7,SUMIF($BH$3:$CE$3,"="&amp;$DF46+'Model Setup'!$M$7,$AD46:$BA46)+'Model Setup'!$M$8*(SUMIF($BH$3:$CE$3,"&lt;"&amp;$DF46,$AD46:$BA46)+SUMIF($BH$3:$CE$3,"&gt;"&amp;$CW$4,$AD46:$BA46)),
IF(BH$3=$DF46+'Model Setup'!$N$7,SUMIF($BH$3:$CE$3,"="&amp;$DF46+'Model Setup'!$N$7,$AD46:$BA46)+'Model Setup'!$N$8*(SUMIF($BH$3:$CE$3,"&lt;"&amp;$DF46,$AD46:$BA46)+SUMIF($BH$3:$CE$3,"&gt;"&amp;$CW$4,$AD46:$BA46)),
IF(BH$3&lt;$CW$4,B46,0))))))))))))))),0)</f>
        <v>0</v>
      </c>
      <c r="BI46" s="47">
        <f>ROUND(IF(OR(BI$3&lt;$DF46,BI$3&gt;$CW$4),0,
IF(BI$3=$DF46+'Model Setup'!$B$7,SUMIF($BH$3:$CE$3,"="&amp;$DF46+'Model Setup'!$B$7,$AD46:$BA46)+'Model Setup'!$B$8*(SUMIF($BH$3:$CE$3,"&lt;"&amp;$DF46,$AD46:$BA46)+SUMIF($BH$3:$CE$3,"&gt;"&amp;$CW$4,$AD46:$BA46)),
IF(BI$3=$DF46+'Model Setup'!$C$7,SUMIF($BH$3:$CE$3,"="&amp;$DF46+'Model Setup'!$C$7,$AD46:$BA46)+'Model Setup'!$C$8*(SUMIF($BH$3:$CE$3,"&lt;"&amp;$DF46,$AD46:$BA46)+SUMIF($BH$3:$CE$3,"&gt;"&amp;$CW$4,$AD46:$BA46)),
IF(BI$3=$DF46+'Model Setup'!$D$7,SUMIF($BH$3:$CE$3,"="&amp;$DF46+'Model Setup'!$D$7,$AD46:$BA46)+'Model Setup'!$D$8*(SUMIF($BH$3:$CE$3,"&lt;"&amp;$DF46,$AD46:$BA46)+SUMIF($BH$3:$CE$3,"&gt;"&amp;$CW$4,$AD46:$BA46)),
IF(BI$3=$DF46+'Model Setup'!$E$7,SUMIF($BH$3:$CE$3,"="&amp;$DF46+'Model Setup'!$E$7,$AD46:$BA46)+'Model Setup'!$E$8*(SUMIF($BH$3:$CE$3,"&lt;"&amp;$DF46,$AD46:$BA46)+SUMIF($BH$3:$CE$3,"&gt;"&amp;$CW$4,$AD46:$BA46)),
IF(BI$3=$DF46+'Model Setup'!$F$7,SUMIF($BH$3:$CE$3,"="&amp;$DF46+'Model Setup'!$F$7,$AD46:$BA46)+'Model Setup'!$F$8*(SUMIF($BH$3:$CE$3,"&lt;"&amp;$DF46,$AD46:$BA46)+SUMIF($BH$3:$CE$3,"&gt;"&amp;$CW$4,$AD46:$BA46)),
IF(BI$3=$DF46+'Model Setup'!$G$7,SUMIF($BH$3:$CE$3,"="&amp;$DF46+'Model Setup'!$G$7,$AD46:$BA46)+'Model Setup'!$G$8*(SUMIF($BH$3:$CE$3,"&lt;"&amp;$DF46,$AD46:$BA46)+SUMIF($BH$3:$CE$3,"&gt;"&amp;$CW$4,$AD46:$BA46)),
IF(BI$3=$DF46+'Model Setup'!$H$7,SUMIF($BH$3:$CE$3,"="&amp;$DF46+'Model Setup'!$H$7,$AD46:$BA46)+'Model Setup'!$H$8*(SUMIF($BH$3:$CE$3,"&lt;"&amp;$DF46,$AD46:$BA46)+SUMIF($BH$3:$CE$3,"&gt;"&amp;$CW$4,$AD46:$BA46)),
IF(BI$3=$DF46+'Model Setup'!$I$7,SUMIF($BH$3:$CE$3,"="&amp;$DF46+'Model Setup'!$I$7,$AD46:$BA46)+'Model Setup'!$I$8*(SUMIF($BH$3:$CE$3,"&lt;"&amp;$DF46,$AD46:$BA46)+SUMIF($BH$3:$CE$3,"&gt;"&amp;$CW$4,$AD46:$BA46)),
IF(BI$3=$DF46+'Model Setup'!$J$7,SUMIF($BH$3:$CE$3,"="&amp;$DF46+'Model Setup'!$J$7,$AD46:$BA46)+'Model Setup'!$J$8*(SUMIF($BH$3:$CE$3,"&lt;"&amp;$DF46,$AD46:$BA46)+SUMIF($BH$3:$CE$3,"&gt;"&amp;$CW$4,$AD46:$BA46)),
IF(BI$3=$DF46+'Model Setup'!$K$7,SUMIF($BH$3:$CE$3,"="&amp;$DF46+'Model Setup'!$K$7,$AD46:$BA46)+'Model Setup'!$K$8*(SUMIF($BH$3:$CE$3,"&lt;"&amp;$DF46,$AD46:$BA46)+SUMIF($BH$3:$CE$3,"&gt;"&amp;$CW$4,$AD46:$BA46)),
IF(BI$3=$DF46+'Model Setup'!$L$7,SUMIF($BH$3:$CE$3,"="&amp;$DF46+'Model Setup'!$L$7,$AD46:$BA46)+'Model Setup'!$L$8*(SUMIF($BH$3:$CE$3,"&lt;"&amp;$DF46,$AD46:$BA46)+SUMIF($BH$3:$CE$3,"&gt;"&amp;$CW$4,$AD46:$BA46)),
IF(BI$3=$DF46+'Model Setup'!$M$7,SUMIF($BH$3:$CE$3,"="&amp;$DF46+'Model Setup'!$M$7,$AD46:$BA46)+'Model Setup'!$M$8*(SUMIF($BH$3:$CE$3,"&lt;"&amp;$DF46,$AD46:$BA46)+SUMIF($BH$3:$CE$3,"&gt;"&amp;$CW$4,$AD46:$BA46)),
IF(BI$3=$DF46+'Model Setup'!$N$7,SUMIF($BH$3:$CE$3,"="&amp;$DF46+'Model Setup'!$N$7,$AD46:$BA46)+'Model Setup'!$N$8*(SUMIF($BH$3:$CE$3,"&lt;"&amp;$DF46,$AD46:$BA46)+SUMIF($BH$3:$CE$3,"&gt;"&amp;$CW$4,$AD46:$BA46)),
IF(BI$3&lt;$CW$4,C46,0))))))))))))))),0)</f>
        <v>0</v>
      </c>
      <c r="BJ46" s="47">
        <f>ROUND(IF(OR(BJ$3&lt;$DF46,BJ$3&gt;$CW$4),0,
IF(BJ$3=$DF46+'Model Setup'!$B$7,SUMIF($BH$3:$CE$3,"="&amp;$DF46+'Model Setup'!$B$7,$AD46:$BA46)+'Model Setup'!$B$8*(SUMIF($BH$3:$CE$3,"&lt;"&amp;$DF46,$AD46:$BA46)+SUMIF($BH$3:$CE$3,"&gt;"&amp;$CW$4,$AD46:$BA46)),
IF(BJ$3=$DF46+'Model Setup'!$C$7,SUMIF($BH$3:$CE$3,"="&amp;$DF46+'Model Setup'!$C$7,$AD46:$BA46)+'Model Setup'!$C$8*(SUMIF($BH$3:$CE$3,"&lt;"&amp;$DF46,$AD46:$BA46)+SUMIF($BH$3:$CE$3,"&gt;"&amp;$CW$4,$AD46:$BA46)),
IF(BJ$3=$DF46+'Model Setup'!$D$7,SUMIF($BH$3:$CE$3,"="&amp;$DF46+'Model Setup'!$D$7,$AD46:$BA46)+'Model Setup'!$D$8*(SUMIF($BH$3:$CE$3,"&lt;"&amp;$DF46,$AD46:$BA46)+SUMIF($BH$3:$CE$3,"&gt;"&amp;$CW$4,$AD46:$BA46)),
IF(BJ$3=$DF46+'Model Setup'!$E$7,SUMIF($BH$3:$CE$3,"="&amp;$DF46+'Model Setup'!$E$7,$AD46:$BA46)+'Model Setup'!$E$8*(SUMIF($BH$3:$CE$3,"&lt;"&amp;$DF46,$AD46:$BA46)+SUMIF($BH$3:$CE$3,"&gt;"&amp;$CW$4,$AD46:$BA46)),
IF(BJ$3=$DF46+'Model Setup'!$F$7,SUMIF($BH$3:$CE$3,"="&amp;$DF46+'Model Setup'!$F$7,$AD46:$BA46)+'Model Setup'!$F$8*(SUMIF($BH$3:$CE$3,"&lt;"&amp;$DF46,$AD46:$BA46)+SUMIF($BH$3:$CE$3,"&gt;"&amp;$CW$4,$AD46:$BA46)),
IF(BJ$3=$DF46+'Model Setup'!$G$7,SUMIF($BH$3:$CE$3,"="&amp;$DF46+'Model Setup'!$G$7,$AD46:$BA46)+'Model Setup'!$G$8*(SUMIF($BH$3:$CE$3,"&lt;"&amp;$DF46,$AD46:$BA46)+SUMIF($BH$3:$CE$3,"&gt;"&amp;$CW$4,$AD46:$BA46)),
IF(BJ$3=$DF46+'Model Setup'!$H$7,SUMIF($BH$3:$CE$3,"="&amp;$DF46+'Model Setup'!$H$7,$AD46:$BA46)+'Model Setup'!$H$8*(SUMIF($BH$3:$CE$3,"&lt;"&amp;$DF46,$AD46:$BA46)+SUMIF($BH$3:$CE$3,"&gt;"&amp;$CW$4,$AD46:$BA46)),
IF(BJ$3=$DF46+'Model Setup'!$I$7,SUMIF($BH$3:$CE$3,"="&amp;$DF46+'Model Setup'!$I$7,$AD46:$BA46)+'Model Setup'!$I$8*(SUMIF($BH$3:$CE$3,"&lt;"&amp;$DF46,$AD46:$BA46)+SUMIF($BH$3:$CE$3,"&gt;"&amp;$CW$4,$AD46:$BA46)),
IF(BJ$3=$DF46+'Model Setup'!$J$7,SUMIF($BH$3:$CE$3,"="&amp;$DF46+'Model Setup'!$J$7,$AD46:$BA46)+'Model Setup'!$J$8*(SUMIF($BH$3:$CE$3,"&lt;"&amp;$DF46,$AD46:$BA46)+SUMIF($BH$3:$CE$3,"&gt;"&amp;$CW$4,$AD46:$BA46)),
IF(BJ$3=$DF46+'Model Setup'!$K$7,SUMIF($BH$3:$CE$3,"="&amp;$DF46+'Model Setup'!$K$7,$AD46:$BA46)+'Model Setup'!$K$8*(SUMIF($BH$3:$CE$3,"&lt;"&amp;$DF46,$AD46:$BA46)+SUMIF($BH$3:$CE$3,"&gt;"&amp;$CW$4,$AD46:$BA46)),
IF(BJ$3=$DF46+'Model Setup'!$L$7,SUMIF($BH$3:$CE$3,"="&amp;$DF46+'Model Setup'!$L$7,$AD46:$BA46)+'Model Setup'!$L$8*(SUMIF($BH$3:$CE$3,"&lt;"&amp;$DF46,$AD46:$BA46)+SUMIF($BH$3:$CE$3,"&gt;"&amp;$CW$4,$AD46:$BA46)),
IF(BJ$3=$DF46+'Model Setup'!$M$7,SUMIF($BH$3:$CE$3,"="&amp;$DF46+'Model Setup'!$M$7,$AD46:$BA46)+'Model Setup'!$M$8*(SUMIF($BH$3:$CE$3,"&lt;"&amp;$DF46,$AD46:$BA46)+SUMIF($BH$3:$CE$3,"&gt;"&amp;$CW$4,$AD46:$BA46)),
IF(BJ$3=$DF46+'Model Setup'!$N$7,SUMIF($BH$3:$CE$3,"="&amp;$DF46+'Model Setup'!$N$7,$AD46:$BA46)+'Model Setup'!$N$8*(SUMIF($BH$3:$CE$3,"&lt;"&amp;$DF46,$AD46:$BA46)+SUMIF($BH$3:$CE$3,"&gt;"&amp;$CW$4,$AD46:$BA46)),
IF(BJ$3&lt;$CW$4,D46,0))))))))))))))),0)</f>
        <v>0</v>
      </c>
      <c r="BK46" s="47">
        <f>ROUND(IF(OR(BK$3&lt;$DF46,BK$3&gt;$CW$4),0,
IF(BK$3=$DF46+'Model Setup'!$B$7,SUMIF($BH$3:$CE$3,"="&amp;$DF46+'Model Setup'!$B$7,$AD46:$BA46)+'Model Setup'!$B$8*(SUMIF($BH$3:$CE$3,"&lt;"&amp;$DF46,$AD46:$BA46)+SUMIF($BH$3:$CE$3,"&gt;"&amp;$CW$4,$AD46:$BA46)),
IF(BK$3=$DF46+'Model Setup'!$C$7,SUMIF($BH$3:$CE$3,"="&amp;$DF46+'Model Setup'!$C$7,$AD46:$BA46)+'Model Setup'!$C$8*(SUMIF($BH$3:$CE$3,"&lt;"&amp;$DF46,$AD46:$BA46)+SUMIF($BH$3:$CE$3,"&gt;"&amp;$CW$4,$AD46:$BA46)),
IF(BK$3=$DF46+'Model Setup'!$D$7,SUMIF($BH$3:$CE$3,"="&amp;$DF46+'Model Setup'!$D$7,$AD46:$BA46)+'Model Setup'!$D$8*(SUMIF($BH$3:$CE$3,"&lt;"&amp;$DF46,$AD46:$BA46)+SUMIF($BH$3:$CE$3,"&gt;"&amp;$CW$4,$AD46:$BA46)),
IF(BK$3=$DF46+'Model Setup'!$E$7,SUMIF($BH$3:$CE$3,"="&amp;$DF46+'Model Setup'!$E$7,$AD46:$BA46)+'Model Setup'!$E$8*(SUMIF($BH$3:$CE$3,"&lt;"&amp;$DF46,$AD46:$BA46)+SUMIF($BH$3:$CE$3,"&gt;"&amp;$CW$4,$AD46:$BA46)),
IF(BK$3=$DF46+'Model Setup'!$F$7,SUMIF($BH$3:$CE$3,"="&amp;$DF46+'Model Setup'!$F$7,$AD46:$BA46)+'Model Setup'!$F$8*(SUMIF($BH$3:$CE$3,"&lt;"&amp;$DF46,$AD46:$BA46)+SUMIF($BH$3:$CE$3,"&gt;"&amp;$CW$4,$AD46:$BA46)),
IF(BK$3=$DF46+'Model Setup'!$G$7,SUMIF($BH$3:$CE$3,"="&amp;$DF46+'Model Setup'!$G$7,$AD46:$BA46)+'Model Setup'!$G$8*(SUMIF($BH$3:$CE$3,"&lt;"&amp;$DF46,$AD46:$BA46)+SUMIF($BH$3:$CE$3,"&gt;"&amp;$CW$4,$AD46:$BA46)),
IF(BK$3=$DF46+'Model Setup'!$H$7,SUMIF($BH$3:$CE$3,"="&amp;$DF46+'Model Setup'!$H$7,$AD46:$BA46)+'Model Setup'!$H$8*(SUMIF($BH$3:$CE$3,"&lt;"&amp;$DF46,$AD46:$BA46)+SUMIF($BH$3:$CE$3,"&gt;"&amp;$CW$4,$AD46:$BA46)),
IF(BK$3=$DF46+'Model Setup'!$I$7,SUMIF($BH$3:$CE$3,"="&amp;$DF46+'Model Setup'!$I$7,$AD46:$BA46)+'Model Setup'!$I$8*(SUMIF($BH$3:$CE$3,"&lt;"&amp;$DF46,$AD46:$BA46)+SUMIF($BH$3:$CE$3,"&gt;"&amp;$CW$4,$AD46:$BA46)),
IF(BK$3=$DF46+'Model Setup'!$J$7,SUMIF($BH$3:$CE$3,"="&amp;$DF46+'Model Setup'!$J$7,$AD46:$BA46)+'Model Setup'!$J$8*(SUMIF($BH$3:$CE$3,"&lt;"&amp;$DF46,$AD46:$BA46)+SUMIF($BH$3:$CE$3,"&gt;"&amp;$CW$4,$AD46:$BA46)),
IF(BK$3=$DF46+'Model Setup'!$K$7,SUMIF($BH$3:$CE$3,"="&amp;$DF46+'Model Setup'!$K$7,$AD46:$BA46)+'Model Setup'!$K$8*(SUMIF($BH$3:$CE$3,"&lt;"&amp;$DF46,$AD46:$BA46)+SUMIF($BH$3:$CE$3,"&gt;"&amp;$CW$4,$AD46:$BA46)),
IF(BK$3=$DF46+'Model Setup'!$L$7,SUMIF($BH$3:$CE$3,"="&amp;$DF46+'Model Setup'!$L$7,$AD46:$BA46)+'Model Setup'!$L$8*(SUMIF($BH$3:$CE$3,"&lt;"&amp;$DF46,$AD46:$BA46)+SUMIF($BH$3:$CE$3,"&gt;"&amp;$CW$4,$AD46:$BA46)),
IF(BK$3=$DF46+'Model Setup'!$M$7,SUMIF($BH$3:$CE$3,"="&amp;$DF46+'Model Setup'!$M$7,$AD46:$BA46)+'Model Setup'!$M$8*(SUMIF($BH$3:$CE$3,"&lt;"&amp;$DF46,$AD46:$BA46)+SUMIF($BH$3:$CE$3,"&gt;"&amp;$CW$4,$AD46:$BA46)),
IF(BK$3=$DF46+'Model Setup'!$N$7,SUMIF($BH$3:$CE$3,"="&amp;$DF46+'Model Setup'!$N$7,$AD46:$BA46)+'Model Setup'!$N$8*(SUMIF($BH$3:$CE$3,"&lt;"&amp;$DF46,$AD46:$BA46)+SUMIF($BH$3:$CE$3,"&gt;"&amp;$CW$4,$AD46:$BA46)),
IF(BK$3&lt;$CW$4,E46,0))))))))))))))),0)</f>
        <v>0</v>
      </c>
      <c r="BL46" s="47">
        <f>ROUND(IF(OR(BL$3&lt;$DF46,BL$3&gt;$CW$4),0,
IF(BL$3=$DF46+'Model Setup'!$B$7,SUMIF($BH$3:$CE$3,"="&amp;$DF46+'Model Setup'!$B$7,$AD46:$BA46)+'Model Setup'!$B$8*(SUMIF($BH$3:$CE$3,"&lt;"&amp;$DF46,$AD46:$BA46)+SUMIF($BH$3:$CE$3,"&gt;"&amp;$CW$4,$AD46:$BA46)),
IF(BL$3=$DF46+'Model Setup'!$C$7,SUMIF($BH$3:$CE$3,"="&amp;$DF46+'Model Setup'!$C$7,$AD46:$BA46)+'Model Setup'!$C$8*(SUMIF($BH$3:$CE$3,"&lt;"&amp;$DF46,$AD46:$BA46)+SUMIF($BH$3:$CE$3,"&gt;"&amp;$CW$4,$AD46:$BA46)),
IF(BL$3=$DF46+'Model Setup'!$D$7,SUMIF($BH$3:$CE$3,"="&amp;$DF46+'Model Setup'!$D$7,$AD46:$BA46)+'Model Setup'!$D$8*(SUMIF($BH$3:$CE$3,"&lt;"&amp;$DF46,$AD46:$BA46)+SUMIF($BH$3:$CE$3,"&gt;"&amp;$CW$4,$AD46:$BA46)),
IF(BL$3=$DF46+'Model Setup'!$E$7,SUMIF($BH$3:$CE$3,"="&amp;$DF46+'Model Setup'!$E$7,$AD46:$BA46)+'Model Setup'!$E$8*(SUMIF($BH$3:$CE$3,"&lt;"&amp;$DF46,$AD46:$BA46)+SUMIF($BH$3:$CE$3,"&gt;"&amp;$CW$4,$AD46:$BA46)),
IF(BL$3=$DF46+'Model Setup'!$F$7,SUMIF($BH$3:$CE$3,"="&amp;$DF46+'Model Setup'!$F$7,$AD46:$BA46)+'Model Setup'!$F$8*(SUMIF($BH$3:$CE$3,"&lt;"&amp;$DF46,$AD46:$BA46)+SUMIF($BH$3:$CE$3,"&gt;"&amp;$CW$4,$AD46:$BA46)),
IF(BL$3=$DF46+'Model Setup'!$G$7,SUMIF($BH$3:$CE$3,"="&amp;$DF46+'Model Setup'!$G$7,$AD46:$BA46)+'Model Setup'!$G$8*(SUMIF($BH$3:$CE$3,"&lt;"&amp;$DF46,$AD46:$BA46)+SUMIF($BH$3:$CE$3,"&gt;"&amp;$CW$4,$AD46:$BA46)),
IF(BL$3=$DF46+'Model Setup'!$H$7,SUMIF($BH$3:$CE$3,"="&amp;$DF46+'Model Setup'!$H$7,$AD46:$BA46)+'Model Setup'!$H$8*(SUMIF($BH$3:$CE$3,"&lt;"&amp;$DF46,$AD46:$BA46)+SUMIF($BH$3:$CE$3,"&gt;"&amp;$CW$4,$AD46:$BA46)),
IF(BL$3=$DF46+'Model Setup'!$I$7,SUMIF($BH$3:$CE$3,"="&amp;$DF46+'Model Setup'!$I$7,$AD46:$BA46)+'Model Setup'!$I$8*(SUMIF($BH$3:$CE$3,"&lt;"&amp;$DF46,$AD46:$BA46)+SUMIF($BH$3:$CE$3,"&gt;"&amp;$CW$4,$AD46:$BA46)),
IF(BL$3=$DF46+'Model Setup'!$J$7,SUMIF($BH$3:$CE$3,"="&amp;$DF46+'Model Setup'!$J$7,$AD46:$BA46)+'Model Setup'!$J$8*(SUMIF($BH$3:$CE$3,"&lt;"&amp;$DF46,$AD46:$BA46)+SUMIF($BH$3:$CE$3,"&gt;"&amp;$CW$4,$AD46:$BA46)),
IF(BL$3=$DF46+'Model Setup'!$K$7,SUMIF($BH$3:$CE$3,"="&amp;$DF46+'Model Setup'!$K$7,$AD46:$BA46)+'Model Setup'!$K$8*(SUMIF($BH$3:$CE$3,"&lt;"&amp;$DF46,$AD46:$BA46)+SUMIF($BH$3:$CE$3,"&gt;"&amp;$CW$4,$AD46:$BA46)),
IF(BL$3=$DF46+'Model Setup'!$L$7,SUMIF($BH$3:$CE$3,"="&amp;$DF46+'Model Setup'!$L$7,$AD46:$BA46)+'Model Setup'!$L$8*(SUMIF($BH$3:$CE$3,"&lt;"&amp;$DF46,$AD46:$BA46)+SUMIF($BH$3:$CE$3,"&gt;"&amp;$CW$4,$AD46:$BA46)),
IF(BL$3=$DF46+'Model Setup'!$M$7,SUMIF($BH$3:$CE$3,"="&amp;$DF46+'Model Setup'!$M$7,$AD46:$BA46)+'Model Setup'!$M$8*(SUMIF($BH$3:$CE$3,"&lt;"&amp;$DF46,$AD46:$BA46)+SUMIF($BH$3:$CE$3,"&gt;"&amp;$CW$4,$AD46:$BA46)),
IF(BL$3=$DF46+'Model Setup'!$N$7,SUMIF($BH$3:$CE$3,"="&amp;$DF46+'Model Setup'!$N$7,$AD46:$BA46)+'Model Setup'!$N$8*(SUMIF($BH$3:$CE$3,"&lt;"&amp;$DF46,$AD46:$BA46)+SUMIF($BH$3:$CE$3,"&gt;"&amp;$CW$4,$AD46:$BA46)),
IF(BL$3&lt;$CW$4,F46,0))))))))))))))),0)</f>
        <v>0</v>
      </c>
      <c r="BM46" s="47">
        <f>ROUND(IF(OR(BM$3&lt;$DF46,BM$3&gt;$CW$4),0,
IF(BM$3=$DF46+'Model Setup'!$B$7,SUMIF($BH$3:$CE$3,"="&amp;$DF46+'Model Setup'!$B$7,$AD46:$BA46)+'Model Setup'!$B$8*(SUMIF($BH$3:$CE$3,"&lt;"&amp;$DF46,$AD46:$BA46)+SUMIF($BH$3:$CE$3,"&gt;"&amp;$CW$4,$AD46:$BA46)),
IF(BM$3=$DF46+'Model Setup'!$C$7,SUMIF($BH$3:$CE$3,"="&amp;$DF46+'Model Setup'!$C$7,$AD46:$BA46)+'Model Setup'!$C$8*(SUMIF($BH$3:$CE$3,"&lt;"&amp;$DF46,$AD46:$BA46)+SUMIF($BH$3:$CE$3,"&gt;"&amp;$CW$4,$AD46:$BA46)),
IF(BM$3=$DF46+'Model Setup'!$D$7,SUMIF($BH$3:$CE$3,"="&amp;$DF46+'Model Setup'!$D$7,$AD46:$BA46)+'Model Setup'!$D$8*(SUMIF($BH$3:$CE$3,"&lt;"&amp;$DF46,$AD46:$BA46)+SUMIF($BH$3:$CE$3,"&gt;"&amp;$CW$4,$AD46:$BA46)),
IF(BM$3=$DF46+'Model Setup'!$E$7,SUMIF($BH$3:$CE$3,"="&amp;$DF46+'Model Setup'!$E$7,$AD46:$BA46)+'Model Setup'!$E$8*(SUMIF($BH$3:$CE$3,"&lt;"&amp;$DF46,$AD46:$BA46)+SUMIF($BH$3:$CE$3,"&gt;"&amp;$CW$4,$AD46:$BA46)),
IF(BM$3=$DF46+'Model Setup'!$F$7,SUMIF($BH$3:$CE$3,"="&amp;$DF46+'Model Setup'!$F$7,$AD46:$BA46)+'Model Setup'!$F$8*(SUMIF($BH$3:$CE$3,"&lt;"&amp;$DF46,$AD46:$BA46)+SUMIF($BH$3:$CE$3,"&gt;"&amp;$CW$4,$AD46:$BA46)),
IF(BM$3=$DF46+'Model Setup'!$G$7,SUMIF($BH$3:$CE$3,"="&amp;$DF46+'Model Setup'!$G$7,$AD46:$BA46)+'Model Setup'!$G$8*(SUMIF($BH$3:$CE$3,"&lt;"&amp;$DF46,$AD46:$BA46)+SUMIF($BH$3:$CE$3,"&gt;"&amp;$CW$4,$AD46:$BA46)),
IF(BM$3=$DF46+'Model Setup'!$H$7,SUMIF($BH$3:$CE$3,"="&amp;$DF46+'Model Setup'!$H$7,$AD46:$BA46)+'Model Setup'!$H$8*(SUMIF($BH$3:$CE$3,"&lt;"&amp;$DF46,$AD46:$BA46)+SUMIF($BH$3:$CE$3,"&gt;"&amp;$CW$4,$AD46:$BA46)),
IF(BM$3=$DF46+'Model Setup'!$I$7,SUMIF($BH$3:$CE$3,"="&amp;$DF46+'Model Setup'!$I$7,$AD46:$BA46)+'Model Setup'!$I$8*(SUMIF($BH$3:$CE$3,"&lt;"&amp;$DF46,$AD46:$BA46)+SUMIF($BH$3:$CE$3,"&gt;"&amp;$CW$4,$AD46:$BA46)),
IF(BM$3=$DF46+'Model Setup'!$J$7,SUMIF($BH$3:$CE$3,"="&amp;$DF46+'Model Setup'!$J$7,$AD46:$BA46)+'Model Setup'!$J$8*(SUMIF($BH$3:$CE$3,"&lt;"&amp;$DF46,$AD46:$BA46)+SUMIF($BH$3:$CE$3,"&gt;"&amp;$CW$4,$AD46:$BA46)),
IF(BM$3=$DF46+'Model Setup'!$K$7,SUMIF($BH$3:$CE$3,"="&amp;$DF46+'Model Setup'!$K$7,$AD46:$BA46)+'Model Setup'!$K$8*(SUMIF($BH$3:$CE$3,"&lt;"&amp;$DF46,$AD46:$BA46)+SUMIF($BH$3:$CE$3,"&gt;"&amp;$CW$4,$AD46:$BA46)),
IF(BM$3=$DF46+'Model Setup'!$L$7,SUMIF($BH$3:$CE$3,"="&amp;$DF46+'Model Setup'!$L$7,$AD46:$BA46)+'Model Setup'!$L$8*(SUMIF($BH$3:$CE$3,"&lt;"&amp;$DF46,$AD46:$BA46)+SUMIF($BH$3:$CE$3,"&gt;"&amp;$CW$4,$AD46:$BA46)),
IF(BM$3=$DF46+'Model Setup'!$M$7,SUMIF($BH$3:$CE$3,"="&amp;$DF46+'Model Setup'!$M$7,$AD46:$BA46)+'Model Setup'!$M$8*(SUMIF($BH$3:$CE$3,"&lt;"&amp;$DF46,$AD46:$BA46)+SUMIF($BH$3:$CE$3,"&gt;"&amp;$CW$4,$AD46:$BA46)),
IF(BM$3=$DF46+'Model Setup'!$N$7,SUMIF($BH$3:$CE$3,"="&amp;$DF46+'Model Setup'!$N$7,$AD46:$BA46)+'Model Setup'!$N$8*(SUMIF($BH$3:$CE$3,"&lt;"&amp;$DF46,$AD46:$BA46)+SUMIF($BH$3:$CE$3,"&gt;"&amp;$CW$4,$AD46:$BA46)),
IF(BM$3&lt;$CW$4,G46,0))))))))))))))),0)</f>
        <v>20</v>
      </c>
      <c r="BN46" s="47">
        <f>ROUND(IF(OR(BN$3&lt;$DF46,BN$3&gt;$CW$4),0,
IF(BN$3=$DF46+'Model Setup'!$B$7,SUMIF($BH$3:$CE$3,"="&amp;$DF46+'Model Setup'!$B$7,$AD46:$BA46)+'Model Setup'!$B$8*(SUMIF($BH$3:$CE$3,"&lt;"&amp;$DF46,$AD46:$BA46)+SUMIF($BH$3:$CE$3,"&gt;"&amp;$CW$4,$AD46:$BA46)),
IF(BN$3=$DF46+'Model Setup'!$C$7,SUMIF($BH$3:$CE$3,"="&amp;$DF46+'Model Setup'!$C$7,$AD46:$BA46)+'Model Setup'!$C$8*(SUMIF($BH$3:$CE$3,"&lt;"&amp;$DF46,$AD46:$BA46)+SUMIF($BH$3:$CE$3,"&gt;"&amp;$CW$4,$AD46:$BA46)),
IF(BN$3=$DF46+'Model Setup'!$D$7,SUMIF($BH$3:$CE$3,"="&amp;$DF46+'Model Setup'!$D$7,$AD46:$BA46)+'Model Setup'!$D$8*(SUMIF($BH$3:$CE$3,"&lt;"&amp;$DF46,$AD46:$BA46)+SUMIF($BH$3:$CE$3,"&gt;"&amp;$CW$4,$AD46:$BA46)),
IF(BN$3=$DF46+'Model Setup'!$E$7,SUMIF($BH$3:$CE$3,"="&amp;$DF46+'Model Setup'!$E$7,$AD46:$BA46)+'Model Setup'!$E$8*(SUMIF($BH$3:$CE$3,"&lt;"&amp;$DF46,$AD46:$BA46)+SUMIF($BH$3:$CE$3,"&gt;"&amp;$CW$4,$AD46:$BA46)),
IF(BN$3=$DF46+'Model Setup'!$F$7,SUMIF($BH$3:$CE$3,"="&amp;$DF46+'Model Setup'!$F$7,$AD46:$BA46)+'Model Setup'!$F$8*(SUMIF($BH$3:$CE$3,"&lt;"&amp;$DF46,$AD46:$BA46)+SUMIF($BH$3:$CE$3,"&gt;"&amp;$CW$4,$AD46:$BA46)),
IF(BN$3=$DF46+'Model Setup'!$G$7,SUMIF($BH$3:$CE$3,"="&amp;$DF46+'Model Setup'!$G$7,$AD46:$BA46)+'Model Setup'!$G$8*(SUMIF($BH$3:$CE$3,"&lt;"&amp;$DF46,$AD46:$BA46)+SUMIF($BH$3:$CE$3,"&gt;"&amp;$CW$4,$AD46:$BA46)),
IF(BN$3=$DF46+'Model Setup'!$H$7,SUMIF($BH$3:$CE$3,"="&amp;$DF46+'Model Setup'!$H$7,$AD46:$BA46)+'Model Setup'!$H$8*(SUMIF($BH$3:$CE$3,"&lt;"&amp;$DF46,$AD46:$BA46)+SUMIF($BH$3:$CE$3,"&gt;"&amp;$CW$4,$AD46:$BA46)),
IF(BN$3=$DF46+'Model Setup'!$I$7,SUMIF($BH$3:$CE$3,"="&amp;$DF46+'Model Setup'!$I$7,$AD46:$BA46)+'Model Setup'!$I$8*(SUMIF($BH$3:$CE$3,"&lt;"&amp;$DF46,$AD46:$BA46)+SUMIF($BH$3:$CE$3,"&gt;"&amp;$CW$4,$AD46:$BA46)),
IF(BN$3=$DF46+'Model Setup'!$J$7,SUMIF($BH$3:$CE$3,"="&amp;$DF46+'Model Setup'!$J$7,$AD46:$BA46)+'Model Setup'!$J$8*(SUMIF($BH$3:$CE$3,"&lt;"&amp;$DF46,$AD46:$BA46)+SUMIF($BH$3:$CE$3,"&gt;"&amp;$CW$4,$AD46:$BA46)),
IF(BN$3=$DF46+'Model Setup'!$K$7,SUMIF($BH$3:$CE$3,"="&amp;$DF46+'Model Setup'!$K$7,$AD46:$BA46)+'Model Setup'!$K$8*(SUMIF($BH$3:$CE$3,"&lt;"&amp;$DF46,$AD46:$BA46)+SUMIF($BH$3:$CE$3,"&gt;"&amp;$CW$4,$AD46:$BA46)),
IF(BN$3=$DF46+'Model Setup'!$L$7,SUMIF($BH$3:$CE$3,"="&amp;$DF46+'Model Setup'!$L$7,$AD46:$BA46)+'Model Setup'!$L$8*(SUMIF($BH$3:$CE$3,"&lt;"&amp;$DF46,$AD46:$BA46)+SUMIF($BH$3:$CE$3,"&gt;"&amp;$CW$4,$AD46:$BA46)),
IF(BN$3=$DF46+'Model Setup'!$M$7,SUMIF($BH$3:$CE$3,"="&amp;$DF46+'Model Setup'!$M$7,$AD46:$BA46)+'Model Setup'!$M$8*(SUMIF($BH$3:$CE$3,"&lt;"&amp;$DF46,$AD46:$BA46)+SUMIF($BH$3:$CE$3,"&gt;"&amp;$CW$4,$AD46:$BA46)),
IF(BN$3=$DF46+'Model Setup'!$N$7,SUMIF($BH$3:$CE$3,"="&amp;$DF46+'Model Setup'!$N$7,$AD46:$BA46)+'Model Setup'!$N$8*(SUMIF($BH$3:$CE$3,"&lt;"&amp;$DF46,$AD46:$BA46)+SUMIF($BH$3:$CE$3,"&gt;"&amp;$CW$4,$AD46:$BA46)),
IF(BN$3&lt;$CW$4,H46,0))))))))))))))),0)</f>
        <v>55</v>
      </c>
      <c r="BO46" s="47">
        <f>ROUND(IF(OR(BO$3&lt;$DF46,BO$3&gt;$CW$4),0,
IF(BO$3=$DF46+'Model Setup'!$B$7,SUMIF($BH$3:$CE$3,"="&amp;$DF46+'Model Setup'!$B$7,$AD46:$BA46)+'Model Setup'!$B$8*(SUMIF($BH$3:$CE$3,"&lt;"&amp;$DF46,$AD46:$BA46)+SUMIF($BH$3:$CE$3,"&gt;"&amp;$CW$4,$AD46:$BA46)),
IF(BO$3=$DF46+'Model Setup'!$C$7,SUMIF($BH$3:$CE$3,"="&amp;$DF46+'Model Setup'!$C$7,$AD46:$BA46)+'Model Setup'!$C$8*(SUMIF($BH$3:$CE$3,"&lt;"&amp;$DF46,$AD46:$BA46)+SUMIF($BH$3:$CE$3,"&gt;"&amp;$CW$4,$AD46:$BA46)),
IF(BO$3=$DF46+'Model Setup'!$D$7,SUMIF($BH$3:$CE$3,"="&amp;$DF46+'Model Setup'!$D$7,$AD46:$BA46)+'Model Setup'!$D$8*(SUMIF($BH$3:$CE$3,"&lt;"&amp;$DF46,$AD46:$BA46)+SUMIF($BH$3:$CE$3,"&gt;"&amp;$CW$4,$AD46:$BA46)),
IF(BO$3=$DF46+'Model Setup'!$E$7,SUMIF($BH$3:$CE$3,"="&amp;$DF46+'Model Setup'!$E$7,$AD46:$BA46)+'Model Setup'!$E$8*(SUMIF($BH$3:$CE$3,"&lt;"&amp;$DF46,$AD46:$BA46)+SUMIF($BH$3:$CE$3,"&gt;"&amp;$CW$4,$AD46:$BA46)),
IF(BO$3=$DF46+'Model Setup'!$F$7,SUMIF($BH$3:$CE$3,"="&amp;$DF46+'Model Setup'!$F$7,$AD46:$BA46)+'Model Setup'!$F$8*(SUMIF($BH$3:$CE$3,"&lt;"&amp;$DF46,$AD46:$BA46)+SUMIF($BH$3:$CE$3,"&gt;"&amp;$CW$4,$AD46:$BA46)),
IF(BO$3=$DF46+'Model Setup'!$G$7,SUMIF($BH$3:$CE$3,"="&amp;$DF46+'Model Setup'!$G$7,$AD46:$BA46)+'Model Setup'!$G$8*(SUMIF($BH$3:$CE$3,"&lt;"&amp;$DF46,$AD46:$BA46)+SUMIF($BH$3:$CE$3,"&gt;"&amp;$CW$4,$AD46:$BA46)),
IF(BO$3=$DF46+'Model Setup'!$H$7,SUMIF($BH$3:$CE$3,"="&amp;$DF46+'Model Setup'!$H$7,$AD46:$BA46)+'Model Setup'!$H$8*(SUMIF($BH$3:$CE$3,"&lt;"&amp;$DF46,$AD46:$BA46)+SUMIF($BH$3:$CE$3,"&gt;"&amp;$CW$4,$AD46:$BA46)),
IF(BO$3=$DF46+'Model Setup'!$I$7,SUMIF($BH$3:$CE$3,"="&amp;$DF46+'Model Setup'!$I$7,$AD46:$BA46)+'Model Setup'!$I$8*(SUMIF($BH$3:$CE$3,"&lt;"&amp;$DF46,$AD46:$BA46)+SUMIF($BH$3:$CE$3,"&gt;"&amp;$CW$4,$AD46:$BA46)),
IF(BO$3=$DF46+'Model Setup'!$J$7,SUMIF($BH$3:$CE$3,"="&amp;$DF46+'Model Setup'!$J$7,$AD46:$BA46)+'Model Setup'!$J$8*(SUMIF($BH$3:$CE$3,"&lt;"&amp;$DF46,$AD46:$BA46)+SUMIF($BH$3:$CE$3,"&gt;"&amp;$CW$4,$AD46:$BA46)),
IF(BO$3=$DF46+'Model Setup'!$K$7,SUMIF($BH$3:$CE$3,"="&amp;$DF46+'Model Setup'!$K$7,$AD46:$BA46)+'Model Setup'!$K$8*(SUMIF($BH$3:$CE$3,"&lt;"&amp;$DF46,$AD46:$BA46)+SUMIF($BH$3:$CE$3,"&gt;"&amp;$CW$4,$AD46:$BA46)),
IF(BO$3=$DF46+'Model Setup'!$L$7,SUMIF($BH$3:$CE$3,"="&amp;$DF46+'Model Setup'!$L$7,$AD46:$BA46)+'Model Setup'!$L$8*(SUMIF($BH$3:$CE$3,"&lt;"&amp;$DF46,$AD46:$BA46)+SUMIF($BH$3:$CE$3,"&gt;"&amp;$CW$4,$AD46:$BA46)),
IF(BO$3=$DF46+'Model Setup'!$M$7,SUMIF($BH$3:$CE$3,"="&amp;$DF46+'Model Setup'!$M$7,$AD46:$BA46)+'Model Setup'!$M$8*(SUMIF($BH$3:$CE$3,"&lt;"&amp;$DF46,$AD46:$BA46)+SUMIF($BH$3:$CE$3,"&gt;"&amp;$CW$4,$AD46:$BA46)),
IF(BO$3=$DF46+'Model Setup'!$N$7,SUMIF($BH$3:$CE$3,"="&amp;$DF46+'Model Setup'!$N$7,$AD46:$BA46)+'Model Setup'!$N$8*(SUMIF($BH$3:$CE$3,"&lt;"&amp;$DF46,$AD46:$BA46)+SUMIF($BH$3:$CE$3,"&gt;"&amp;$CW$4,$AD46:$BA46)),
IF(BO$3&lt;$CW$4,I46,0))))))))))))))),0)</f>
        <v>59</v>
      </c>
      <c r="BP46" s="47">
        <f>ROUND(IF(OR(BP$3&lt;$DF46,BP$3&gt;$CW$4),0,
IF(BP$3=$DF46+'Model Setup'!$B$7,SUMIF($BH$3:$CE$3,"="&amp;$DF46+'Model Setup'!$B$7,$AD46:$BA46)+'Model Setup'!$B$8*(SUMIF($BH$3:$CE$3,"&lt;"&amp;$DF46,$AD46:$BA46)+SUMIF($BH$3:$CE$3,"&gt;"&amp;$CW$4,$AD46:$BA46)),
IF(BP$3=$DF46+'Model Setup'!$C$7,SUMIF($BH$3:$CE$3,"="&amp;$DF46+'Model Setup'!$C$7,$AD46:$BA46)+'Model Setup'!$C$8*(SUMIF($BH$3:$CE$3,"&lt;"&amp;$DF46,$AD46:$BA46)+SUMIF($BH$3:$CE$3,"&gt;"&amp;$CW$4,$AD46:$BA46)),
IF(BP$3=$DF46+'Model Setup'!$D$7,SUMIF($BH$3:$CE$3,"="&amp;$DF46+'Model Setup'!$D$7,$AD46:$BA46)+'Model Setup'!$D$8*(SUMIF($BH$3:$CE$3,"&lt;"&amp;$DF46,$AD46:$BA46)+SUMIF($BH$3:$CE$3,"&gt;"&amp;$CW$4,$AD46:$BA46)),
IF(BP$3=$DF46+'Model Setup'!$E$7,SUMIF($BH$3:$CE$3,"="&amp;$DF46+'Model Setup'!$E$7,$AD46:$BA46)+'Model Setup'!$E$8*(SUMIF($BH$3:$CE$3,"&lt;"&amp;$DF46,$AD46:$BA46)+SUMIF($BH$3:$CE$3,"&gt;"&amp;$CW$4,$AD46:$BA46)),
IF(BP$3=$DF46+'Model Setup'!$F$7,SUMIF($BH$3:$CE$3,"="&amp;$DF46+'Model Setup'!$F$7,$AD46:$BA46)+'Model Setup'!$F$8*(SUMIF($BH$3:$CE$3,"&lt;"&amp;$DF46,$AD46:$BA46)+SUMIF($BH$3:$CE$3,"&gt;"&amp;$CW$4,$AD46:$BA46)),
IF(BP$3=$DF46+'Model Setup'!$G$7,SUMIF($BH$3:$CE$3,"="&amp;$DF46+'Model Setup'!$G$7,$AD46:$BA46)+'Model Setup'!$G$8*(SUMIF($BH$3:$CE$3,"&lt;"&amp;$DF46,$AD46:$BA46)+SUMIF($BH$3:$CE$3,"&gt;"&amp;$CW$4,$AD46:$BA46)),
IF(BP$3=$DF46+'Model Setup'!$H$7,SUMIF($BH$3:$CE$3,"="&amp;$DF46+'Model Setup'!$H$7,$AD46:$BA46)+'Model Setup'!$H$8*(SUMIF($BH$3:$CE$3,"&lt;"&amp;$DF46,$AD46:$BA46)+SUMIF($BH$3:$CE$3,"&gt;"&amp;$CW$4,$AD46:$BA46)),
IF(BP$3=$DF46+'Model Setup'!$I$7,SUMIF($BH$3:$CE$3,"="&amp;$DF46+'Model Setup'!$I$7,$AD46:$BA46)+'Model Setup'!$I$8*(SUMIF($BH$3:$CE$3,"&lt;"&amp;$DF46,$AD46:$BA46)+SUMIF($BH$3:$CE$3,"&gt;"&amp;$CW$4,$AD46:$BA46)),
IF(BP$3=$DF46+'Model Setup'!$J$7,SUMIF($BH$3:$CE$3,"="&amp;$DF46+'Model Setup'!$J$7,$AD46:$BA46)+'Model Setup'!$J$8*(SUMIF($BH$3:$CE$3,"&lt;"&amp;$DF46,$AD46:$BA46)+SUMIF($BH$3:$CE$3,"&gt;"&amp;$CW$4,$AD46:$BA46)),
IF(BP$3=$DF46+'Model Setup'!$K$7,SUMIF($BH$3:$CE$3,"="&amp;$DF46+'Model Setup'!$K$7,$AD46:$BA46)+'Model Setup'!$K$8*(SUMIF($BH$3:$CE$3,"&lt;"&amp;$DF46,$AD46:$BA46)+SUMIF($BH$3:$CE$3,"&gt;"&amp;$CW$4,$AD46:$BA46)),
IF(BP$3=$DF46+'Model Setup'!$L$7,SUMIF($BH$3:$CE$3,"="&amp;$DF46+'Model Setup'!$L$7,$AD46:$BA46)+'Model Setup'!$L$8*(SUMIF($BH$3:$CE$3,"&lt;"&amp;$DF46,$AD46:$BA46)+SUMIF($BH$3:$CE$3,"&gt;"&amp;$CW$4,$AD46:$BA46)),
IF(BP$3=$DF46+'Model Setup'!$M$7,SUMIF($BH$3:$CE$3,"="&amp;$DF46+'Model Setup'!$M$7,$AD46:$BA46)+'Model Setup'!$M$8*(SUMIF($BH$3:$CE$3,"&lt;"&amp;$DF46,$AD46:$BA46)+SUMIF($BH$3:$CE$3,"&gt;"&amp;$CW$4,$AD46:$BA46)),
IF(BP$3=$DF46+'Model Setup'!$N$7,SUMIF($BH$3:$CE$3,"="&amp;$DF46+'Model Setup'!$N$7,$AD46:$BA46)+'Model Setup'!$N$8*(SUMIF($BH$3:$CE$3,"&lt;"&amp;$DF46,$AD46:$BA46)+SUMIF($BH$3:$CE$3,"&gt;"&amp;$CW$4,$AD46:$BA46)),
IF(BP$3&lt;$CW$4,J46,0))))))))))))))),0)</f>
        <v>58</v>
      </c>
      <c r="BQ46" s="47">
        <f>ROUND(IF(OR(BQ$3&lt;$DF46,BQ$3&gt;$CW$4),0,
IF(BQ$3=$DF46+'Model Setup'!$B$7,SUMIF($BH$3:$CE$3,"="&amp;$DF46+'Model Setup'!$B$7,$AD46:$BA46)+'Model Setup'!$B$8*(SUMIF($BH$3:$CE$3,"&lt;"&amp;$DF46,$AD46:$BA46)+SUMIF($BH$3:$CE$3,"&gt;"&amp;$CW$4,$AD46:$BA46)),
IF(BQ$3=$DF46+'Model Setup'!$C$7,SUMIF($BH$3:$CE$3,"="&amp;$DF46+'Model Setup'!$C$7,$AD46:$BA46)+'Model Setup'!$C$8*(SUMIF($BH$3:$CE$3,"&lt;"&amp;$DF46,$AD46:$BA46)+SUMIF($BH$3:$CE$3,"&gt;"&amp;$CW$4,$AD46:$BA46)),
IF(BQ$3=$DF46+'Model Setup'!$D$7,SUMIF($BH$3:$CE$3,"="&amp;$DF46+'Model Setup'!$D$7,$AD46:$BA46)+'Model Setup'!$D$8*(SUMIF($BH$3:$CE$3,"&lt;"&amp;$DF46,$AD46:$BA46)+SUMIF($BH$3:$CE$3,"&gt;"&amp;$CW$4,$AD46:$BA46)),
IF(BQ$3=$DF46+'Model Setup'!$E$7,SUMIF($BH$3:$CE$3,"="&amp;$DF46+'Model Setup'!$E$7,$AD46:$BA46)+'Model Setup'!$E$8*(SUMIF($BH$3:$CE$3,"&lt;"&amp;$DF46,$AD46:$BA46)+SUMIF($BH$3:$CE$3,"&gt;"&amp;$CW$4,$AD46:$BA46)),
IF(BQ$3=$DF46+'Model Setup'!$F$7,SUMIF($BH$3:$CE$3,"="&amp;$DF46+'Model Setup'!$F$7,$AD46:$BA46)+'Model Setup'!$F$8*(SUMIF($BH$3:$CE$3,"&lt;"&amp;$DF46,$AD46:$BA46)+SUMIF($BH$3:$CE$3,"&gt;"&amp;$CW$4,$AD46:$BA46)),
IF(BQ$3=$DF46+'Model Setup'!$G$7,SUMIF($BH$3:$CE$3,"="&amp;$DF46+'Model Setup'!$G$7,$AD46:$BA46)+'Model Setup'!$G$8*(SUMIF($BH$3:$CE$3,"&lt;"&amp;$DF46,$AD46:$BA46)+SUMIF($BH$3:$CE$3,"&gt;"&amp;$CW$4,$AD46:$BA46)),
IF(BQ$3=$DF46+'Model Setup'!$H$7,SUMIF($BH$3:$CE$3,"="&amp;$DF46+'Model Setup'!$H$7,$AD46:$BA46)+'Model Setup'!$H$8*(SUMIF($BH$3:$CE$3,"&lt;"&amp;$DF46,$AD46:$BA46)+SUMIF($BH$3:$CE$3,"&gt;"&amp;$CW$4,$AD46:$BA46)),
IF(BQ$3=$DF46+'Model Setup'!$I$7,SUMIF($BH$3:$CE$3,"="&amp;$DF46+'Model Setup'!$I$7,$AD46:$BA46)+'Model Setup'!$I$8*(SUMIF($BH$3:$CE$3,"&lt;"&amp;$DF46,$AD46:$BA46)+SUMIF($BH$3:$CE$3,"&gt;"&amp;$CW$4,$AD46:$BA46)),
IF(BQ$3=$DF46+'Model Setup'!$J$7,SUMIF($BH$3:$CE$3,"="&amp;$DF46+'Model Setup'!$J$7,$AD46:$BA46)+'Model Setup'!$J$8*(SUMIF($BH$3:$CE$3,"&lt;"&amp;$DF46,$AD46:$BA46)+SUMIF($BH$3:$CE$3,"&gt;"&amp;$CW$4,$AD46:$BA46)),
IF(BQ$3=$DF46+'Model Setup'!$K$7,SUMIF($BH$3:$CE$3,"="&amp;$DF46+'Model Setup'!$K$7,$AD46:$BA46)+'Model Setup'!$K$8*(SUMIF($BH$3:$CE$3,"&lt;"&amp;$DF46,$AD46:$BA46)+SUMIF($BH$3:$CE$3,"&gt;"&amp;$CW$4,$AD46:$BA46)),
IF(BQ$3=$DF46+'Model Setup'!$L$7,SUMIF($BH$3:$CE$3,"="&amp;$DF46+'Model Setup'!$L$7,$AD46:$BA46)+'Model Setup'!$L$8*(SUMIF($BH$3:$CE$3,"&lt;"&amp;$DF46,$AD46:$BA46)+SUMIF($BH$3:$CE$3,"&gt;"&amp;$CW$4,$AD46:$BA46)),
IF(BQ$3=$DF46+'Model Setup'!$M$7,SUMIF($BH$3:$CE$3,"="&amp;$DF46+'Model Setup'!$M$7,$AD46:$BA46)+'Model Setup'!$M$8*(SUMIF($BH$3:$CE$3,"&lt;"&amp;$DF46,$AD46:$BA46)+SUMIF($BH$3:$CE$3,"&gt;"&amp;$CW$4,$AD46:$BA46)),
IF(BQ$3=$DF46+'Model Setup'!$N$7,SUMIF($BH$3:$CE$3,"="&amp;$DF46+'Model Setup'!$N$7,$AD46:$BA46)+'Model Setup'!$N$8*(SUMIF($BH$3:$CE$3,"&lt;"&amp;$DF46,$AD46:$BA46)+SUMIF($BH$3:$CE$3,"&gt;"&amp;$CW$4,$AD46:$BA46)),
IF(BQ$3&lt;$CW$4,K46,0))))))))))))))),0)</f>
        <v>76</v>
      </c>
      <c r="BR46" s="47">
        <f>ROUND(IF(OR(BR$3&lt;$DF46,BR$3&gt;$CW$4),0,
IF(BR$3=$DF46+'Model Setup'!$B$7,SUMIF($BH$3:$CE$3,"="&amp;$DF46+'Model Setup'!$B$7,$AD46:$BA46)+'Model Setup'!$B$8*(SUMIF($BH$3:$CE$3,"&lt;"&amp;$DF46,$AD46:$BA46)+SUMIF($BH$3:$CE$3,"&gt;"&amp;$CW$4,$AD46:$BA46)),
IF(BR$3=$DF46+'Model Setup'!$C$7,SUMIF($BH$3:$CE$3,"="&amp;$DF46+'Model Setup'!$C$7,$AD46:$BA46)+'Model Setup'!$C$8*(SUMIF($BH$3:$CE$3,"&lt;"&amp;$DF46,$AD46:$BA46)+SUMIF($BH$3:$CE$3,"&gt;"&amp;$CW$4,$AD46:$BA46)),
IF(BR$3=$DF46+'Model Setup'!$D$7,SUMIF($BH$3:$CE$3,"="&amp;$DF46+'Model Setup'!$D$7,$AD46:$BA46)+'Model Setup'!$D$8*(SUMIF($BH$3:$CE$3,"&lt;"&amp;$DF46,$AD46:$BA46)+SUMIF($BH$3:$CE$3,"&gt;"&amp;$CW$4,$AD46:$BA46)),
IF(BR$3=$DF46+'Model Setup'!$E$7,SUMIF($BH$3:$CE$3,"="&amp;$DF46+'Model Setup'!$E$7,$AD46:$BA46)+'Model Setup'!$E$8*(SUMIF($BH$3:$CE$3,"&lt;"&amp;$DF46,$AD46:$BA46)+SUMIF($BH$3:$CE$3,"&gt;"&amp;$CW$4,$AD46:$BA46)),
IF(BR$3=$DF46+'Model Setup'!$F$7,SUMIF($BH$3:$CE$3,"="&amp;$DF46+'Model Setup'!$F$7,$AD46:$BA46)+'Model Setup'!$F$8*(SUMIF($BH$3:$CE$3,"&lt;"&amp;$DF46,$AD46:$BA46)+SUMIF($BH$3:$CE$3,"&gt;"&amp;$CW$4,$AD46:$BA46)),
IF(BR$3=$DF46+'Model Setup'!$G$7,SUMIF($BH$3:$CE$3,"="&amp;$DF46+'Model Setup'!$G$7,$AD46:$BA46)+'Model Setup'!$G$8*(SUMIF($BH$3:$CE$3,"&lt;"&amp;$DF46,$AD46:$BA46)+SUMIF($BH$3:$CE$3,"&gt;"&amp;$CW$4,$AD46:$BA46)),
IF(BR$3=$DF46+'Model Setup'!$H$7,SUMIF($BH$3:$CE$3,"="&amp;$DF46+'Model Setup'!$H$7,$AD46:$BA46)+'Model Setup'!$H$8*(SUMIF($BH$3:$CE$3,"&lt;"&amp;$DF46,$AD46:$BA46)+SUMIF($BH$3:$CE$3,"&gt;"&amp;$CW$4,$AD46:$BA46)),
IF(BR$3=$DF46+'Model Setup'!$I$7,SUMIF($BH$3:$CE$3,"="&amp;$DF46+'Model Setup'!$I$7,$AD46:$BA46)+'Model Setup'!$I$8*(SUMIF($BH$3:$CE$3,"&lt;"&amp;$DF46,$AD46:$BA46)+SUMIF($BH$3:$CE$3,"&gt;"&amp;$CW$4,$AD46:$BA46)),
IF(BR$3=$DF46+'Model Setup'!$J$7,SUMIF($BH$3:$CE$3,"="&amp;$DF46+'Model Setup'!$J$7,$AD46:$BA46)+'Model Setup'!$J$8*(SUMIF($BH$3:$CE$3,"&lt;"&amp;$DF46,$AD46:$BA46)+SUMIF($BH$3:$CE$3,"&gt;"&amp;$CW$4,$AD46:$BA46)),
IF(BR$3=$DF46+'Model Setup'!$K$7,SUMIF($BH$3:$CE$3,"="&amp;$DF46+'Model Setup'!$K$7,$AD46:$BA46)+'Model Setup'!$K$8*(SUMIF($BH$3:$CE$3,"&lt;"&amp;$DF46,$AD46:$BA46)+SUMIF($BH$3:$CE$3,"&gt;"&amp;$CW$4,$AD46:$BA46)),
IF(BR$3=$DF46+'Model Setup'!$L$7,SUMIF($BH$3:$CE$3,"="&amp;$DF46+'Model Setup'!$L$7,$AD46:$BA46)+'Model Setup'!$L$8*(SUMIF($BH$3:$CE$3,"&lt;"&amp;$DF46,$AD46:$BA46)+SUMIF($BH$3:$CE$3,"&gt;"&amp;$CW$4,$AD46:$BA46)),
IF(BR$3=$DF46+'Model Setup'!$M$7,SUMIF($BH$3:$CE$3,"="&amp;$DF46+'Model Setup'!$M$7,$AD46:$BA46)+'Model Setup'!$M$8*(SUMIF($BH$3:$CE$3,"&lt;"&amp;$DF46,$AD46:$BA46)+SUMIF($BH$3:$CE$3,"&gt;"&amp;$CW$4,$AD46:$BA46)),
IF(BR$3=$DF46+'Model Setup'!$N$7,SUMIF($BH$3:$CE$3,"="&amp;$DF46+'Model Setup'!$N$7,$AD46:$BA46)+'Model Setup'!$N$8*(SUMIF($BH$3:$CE$3,"&lt;"&amp;$DF46,$AD46:$BA46)+SUMIF($BH$3:$CE$3,"&gt;"&amp;$CW$4,$AD46:$BA46)),
IF(BR$3&lt;$CW$4,L46,0))))))))))))))),0)</f>
        <v>51</v>
      </c>
      <c r="BS46" s="47">
        <f>ROUND(IF(OR(BS$3&lt;$DF46,BS$3&gt;$CW$4),0,
IF(BS$3=$DF46+'Model Setup'!$B$7,SUMIF($BH$3:$CE$3,"="&amp;$DF46+'Model Setup'!$B$7,$AD46:$BA46)+'Model Setup'!$B$8*(SUMIF($BH$3:$CE$3,"&lt;"&amp;$DF46,$AD46:$BA46)+SUMIF($BH$3:$CE$3,"&gt;"&amp;$CW$4,$AD46:$BA46)),
IF(BS$3=$DF46+'Model Setup'!$C$7,SUMIF($BH$3:$CE$3,"="&amp;$DF46+'Model Setup'!$C$7,$AD46:$BA46)+'Model Setup'!$C$8*(SUMIF($BH$3:$CE$3,"&lt;"&amp;$DF46,$AD46:$BA46)+SUMIF($BH$3:$CE$3,"&gt;"&amp;$CW$4,$AD46:$BA46)),
IF(BS$3=$DF46+'Model Setup'!$D$7,SUMIF($BH$3:$CE$3,"="&amp;$DF46+'Model Setup'!$D$7,$AD46:$BA46)+'Model Setup'!$D$8*(SUMIF($BH$3:$CE$3,"&lt;"&amp;$DF46,$AD46:$BA46)+SUMIF($BH$3:$CE$3,"&gt;"&amp;$CW$4,$AD46:$BA46)),
IF(BS$3=$DF46+'Model Setup'!$E$7,SUMIF($BH$3:$CE$3,"="&amp;$DF46+'Model Setup'!$E$7,$AD46:$BA46)+'Model Setup'!$E$8*(SUMIF($BH$3:$CE$3,"&lt;"&amp;$DF46,$AD46:$BA46)+SUMIF($BH$3:$CE$3,"&gt;"&amp;$CW$4,$AD46:$BA46)),
IF(BS$3=$DF46+'Model Setup'!$F$7,SUMIF($BH$3:$CE$3,"="&amp;$DF46+'Model Setup'!$F$7,$AD46:$BA46)+'Model Setup'!$F$8*(SUMIF($BH$3:$CE$3,"&lt;"&amp;$DF46,$AD46:$BA46)+SUMIF($BH$3:$CE$3,"&gt;"&amp;$CW$4,$AD46:$BA46)),
IF(BS$3=$DF46+'Model Setup'!$G$7,SUMIF($BH$3:$CE$3,"="&amp;$DF46+'Model Setup'!$G$7,$AD46:$BA46)+'Model Setup'!$G$8*(SUMIF($BH$3:$CE$3,"&lt;"&amp;$DF46,$AD46:$BA46)+SUMIF($BH$3:$CE$3,"&gt;"&amp;$CW$4,$AD46:$BA46)),
IF(BS$3=$DF46+'Model Setup'!$H$7,SUMIF($BH$3:$CE$3,"="&amp;$DF46+'Model Setup'!$H$7,$AD46:$BA46)+'Model Setup'!$H$8*(SUMIF($BH$3:$CE$3,"&lt;"&amp;$DF46,$AD46:$BA46)+SUMIF($BH$3:$CE$3,"&gt;"&amp;$CW$4,$AD46:$BA46)),
IF(BS$3=$DF46+'Model Setup'!$I$7,SUMIF($BH$3:$CE$3,"="&amp;$DF46+'Model Setup'!$I$7,$AD46:$BA46)+'Model Setup'!$I$8*(SUMIF($BH$3:$CE$3,"&lt;"&amp;$DF46,$AD46:$BA46)+SUMIF($BH$3:$CE$3,"&gt;"&amp;$CW$4,$AD46:$BA46)),
IF(BS$3=$DF46+'Model Setup'!$J$7,SUMIF($BH$3:$CE$3,"="&amp;$DF46+'Model Setup'!$J$7,$AD46:$BA46)+'Model Setup'!$J$8*(SUMIF($BH$3:$CE$3,"&lt;"&amp;$DF46,$AD46:$BA46)+SUMIF($BH$3:$CE$3,"&gt;"&amp;$CW$4,$AD46:$BA46)),
IF(BS$3=$DF46+'Model Setup'!$K$7,SUMIF($BH$3:$CE$3,"="&amp;$DF46+'Model Setup'!$K$7,$AD46:$BA46)+'Model Setup'!$K$8*(SUMIF($BH$3:$CE$3,"&lt;"&amp;$DF46,$AD46:$BA46)+SUMIF($BH$3:$CE$3,"&gt;"&amp;$CW$4,$AD46:$BA46)),
IF(BS$3=$DF46+'Model Setup'!$L$7,SUMIF($BH$3:$CE$3,"="&amp;$DF46+'Model Setup'!$L$7,$AD46:$BA46)+'Model Setup'!$L$8*(SUMIF($BH$3:$CE$3,"&lt;"&amp;$DF46,$AD46:$BA46)+SUMIF($BH$3:$CE$3,"&gt;"&amp;$CW$4,$AD46:$BA46)),
IF(BS$3=$DF46+'Model Setup'!$M$7,SUMIF($BH$3:$CE$3,"="&amp;$DF46+'Model Setup'!$M$7,$AD46:$BA46)+'Model Setup'!$M$8*(SUMIF($BH$3:$CE$3,"&lt;"&amp;$DF46,$AD46:$BA46)+SUMIF($BH$3:$CE$3,"&gt;"&amp;$CW$4,$AD46:$BA46)),
IF(BS$3=$DF46+'Model Setup'!$N$7,SUMIF($BH$3:$CE$3,"="&amp;$DF46+'Model Setup'!$N$7,$AD46:$BA46)+'Model Setup'!$N$8*(SUMIF($BH$3:$CE$3,"&lt;"&amp;$DF46,$AD46:$BA46)+SUMIF($BH$3:$CE$3,"&gt;"&amp;$CW$4,$AD46:$BA46)),
IF(BS$3&lt;$CW$4,M46,0))))))))))))))),0)</f>
        <v>31</v>
      </c>
      <c r="BT46" s="47">
        <f>ROUND(IF(OR(BT$3&lt;$DF46,BT$3&gt;$CW$4),0,
IF(BT$3=$DF46+'Model Setup'!$B$7,SUMIF($BH$3:$CE$3,"="&amp;$DF46+'Model Setup'!$B$7,$AD46:$BA46)+'Model Setup'!$B$8*(SUMIF($BH$3:$CE$3,"&lt;"&amp;$DF46,$AD46:$BA46)+SUMIF($BH$3:$CE$3,"&gt;"&amp;$CW$4,$AD46:$BA46)),
IF(BT$3=$DF46+'Model Setup'!$C$7,SUMIF($BH$3:$CE$3,"="&amp;$DF46+'Model Setup'!$C$7,$AD46:$BA46)+'Model Setup'!$C$8*(SUMIF($BH$3:$CE$3,"&lt;"&amp;$DF46,$AD46:$BA46)+SUMIF($BH$3:$CE$3,"&gt;"&amp;$CW$4,$AD46:$BA46)),
IF(BT$3=$DF46+'Model Setup'!$D$7,SUMIF($BH$3:$CE$3,"="&amp;$DF46+'Model Setup'!$D$7,$AD46:$BA46)+'Model Setup'!$D$8*(SUMIF($BH$3:$CE$3,"&lt;"&amp;$DF46,$AD46:$BA46)+SUMIF($BH$3:$CE$3,"&gt;"&amp;$CW$4,$AD46:$BA46)),
IF(BT$3=$DF46+'Model Setup'!$E$7,SUMIF($BH$3:$CE$3,"="&amp;$DF46+'Model Setup'!$E$7,$AD46:$BA46)+'Model Setup'!$E$8*(SUMIF($BH$3:$CE$3,"&lt;"&amp;$DF46,$AD46:$BA46)+SUMIF($BH$3:$CE$3,"&gt;"&amp;$CW$4,$AD46:$BA46)),
IF(BT$3=$DF46+'Model Setup'!$F$7,SUMIF($BH$3:$CE$3,"="&amp;$DF46+'Model Setup'!$F$7,$AD46:$BA46)+'Model Setup'!$F$8*(SUMIF($BH$3:$CE$3,"&lt;"&amp;$DF46,$AD46:$BA46)+SUMIF($BH$3:$CE$3,"&gt;"&amp;$CW$4,$AD46:$BA46)),
IF(BT$3=$DF46+'Model Setup'!$G$7,SUMIF($BH$3:$CE$3,"="&amp;$DF46+'Model Setup'!$G$7,$AD46:$BA46)+'Model Setup'!$G$8*(SUMIF($BH$3:$CE$3,"&lt;"&amp;$DF46,$AD46:$BA46)+SUMIF($BH$3:$CE$3,"&gt;"&amp;$CW$4,$AD46:$BA46)),
IF(BT$3=$DF46+'Model Setup'!$H$7,SUMIF($BH$3:$CE$3,"="&amp;$DF46+'Model Setup'!$H$7,$AD46:$BA46)+'Model Setup'!$H$8*(SUMIF($BH$3:$CE$3,"&lt;"&amp;$DF46,$AD46:$BA46)+SUMIF($BH$3:$CE$3,"&gt;"&amp;$CW$4,$AD46:$BA46)),
IF(BT$3=$DF46+'Model Setup'!$I$7,SUMIF($BH$3:$CE$3,"="&amp;$DF46+'Model Setup'!$I$7,$AD46:$BA46)+'Model Setup'!$I$8*(SUMIF($BH$3:$CE$3,"&lt;"&amp;$DF46,$AD46:$BA46)+SUMIF($BH$3:$CE$3,"&gt;"&amp;$CW$4,$AD46:$BA46)),
IF(BT$3=$DF46+'Model Setup'!$J$7,SUMIF($BH$3:$CE$3,"="&amp;$DF46+'Model Setup'!$J$7,$AD46:$BA46)+'Model Setup'!$J$8*(SUMIF($BH$3:$CE$3,"&lt;"&amp;$DF46,$AD46:$BA46)+SUMIF($BH$3:$CE$3,"&gt;"&amp;$CW$4,$AD46:$BA46)),
IF(BT$3=$DF46+'Model Setup'!$K$7,SUMIF($BH$3:$CE$3,"="&amp;$DF46+'Model Setup'!$K$7,$AD46:$BA46)+'Model Setup'!$K$8*(SUMIF($BH$3:$CE$3,"&lt;"&amp;$DF46,$AD46:$BA46)+SUMIF($BH$3:$CE$3,"&gt;"&amp;$CW$4,$AD46:$BA46)),
IF(BT$3=$DF46+'Model Setup'!$L$7,SUMIF($BH$3:$CE$3,"="&amp;$DF46+'Model Setup'!$L$7,$AD46:$BA46)+'Model Setup'!$L$8*(SUMIF($BH$3:$CE$3,"&lt;"&amp;$DF46,$AD46:$BA46)+SUMIF($BH$3:$CE$3,"&gt;"&amp;$CW$4,$AD46:$BA46)),
IF(BT$3=$DF46+'Model Setup'!$M$7,SUMIF($BH$3:$CE$3,"="&amp;$DF46+'Model Setup'!$M$7,$AD46:$BA46)+'Model Setup'!$M$8*(SUMIF($BH$3:$CE$3,"&lt;"&amp;$DF46,$AD46:$BA46)+SUMIF($BH$3:$CE$3,"&gt;"&amp;$CW$4,$AD46:$BA46)),
IF(BT$3=$DF46+'Model Setup'!$N$7,SUMIF($BH$3:$CE$3,"="&amp;$DF46+'Model Setup'!$N$7,$AD46:$BA46)+'Model Setup'!$N$8*(SUMIF($BH$3:$CE$3,"&lt;"&amp;$DF46,$AD46:$BA46)+SUMIF($BH$3:$CE$3,"&gt;"&amp;$CW$4,$AD46:$BA46)),
IF(BT$3&lt;$CW$4,N46,0))))))))))))))),0)</f>
        <v>26</v>
      </c>
      <c r="BU46" s="47">
        <f>ROUND(IF(OR(BU$3&lt;$DF46,BU$3&gt;$CW$4),0,
IF(BU$3=$DF46+'Model Setup'!$B$7,SUMIF($BH$3:$CE$3,"="&amp;$DF46+'Model Setup'!$B$7,$AD46:$BA46)+'Model Setup'!$B$8*(SUMIF($BH$3:$CE$3,"&lt;"&amp;$DF46,$AD46:$BA46)+SUMIF($BH$3:$CE$3,"&gt;"&amp;$CW$4,$AD46:$BA46)),
IF(BU$3=$DF46+'Model Setup'!$C$7,SUMIF($BH$3:$CE$3,"="&amp;$DF46+'Model Setup'!$C$7,$AD46:$BA46)+'Model Setup'!$C$8*(SUMIF($BH$3:$CE$3,"&lt;"&amp;$DF46,$AD46:$BA46)+SUMIF($BH$3:$CE$3,"&gt;"&amp;$CW$4,$AD46:$BA46)),
IF(BU$3=$DF46+'Model Setup'!$D$7,SUMIF($BH$3:$CE$3,"="&amp;$DF46+'Model Setup'!$D$7,$AD46:$BA46)+'Model Setup'!$D$8*(SUMIF($BH$3:$CE$3,"&lt;"&amp;$DF46,$AD46:$BA46)+SUMIF($BH$3:$CE$3,"&gt;"&amp;$CW$4,$AD46:$BA46)),
IF(BU$3=$DF46+'Model Setup'!$E$7,SUMIF($BH$3:$CE$3,"="&amp;$DF46+'Model Setup'!$E$7,$AD46:$BA46)+'Model Setup'!$E$8*(SUMIF($BH$3:$CE$3,"&lt;"&amp;$DF46,$AD46:$BA46)+SUMIF($BH$3:$CE$3,"&gt;"&amp;$CW$4,$AD46:$BA46)),
IF(BU$3=$DF46+'Model Setup'!$F$7,SUMIF($BH$3:$CE$3,"="&amp;$DF46+'Model Setup'!$F$7,$AD46:$BA46)+'Model Setup'!$F$8*(SUMIF($BH$3:$CE$3,"&lt;"&amp;$DF46,$AD46:$BA46)+SUMIF($BH$3:$CE$3,"&gt;"&amp;$CW$4,$AD46:$BA46)),
IF(BU$3=$DF46+'Model Setup'!$G$7,SUMIF($BH$3:$CE$3,"="&amp;$DF46+'Model Setup'!$G$7,$AD46:$BA46)+'Model Setup'!$G$8*(SUMIF($BH$3:$CE$3,"&lt;"&amp;$DF46,$AD46:$BA46)+SUMIF($BH$3:$CE$3,"&gt;"&amp;$CW$4,$AD46:$BA46)),
IF(BU$3=$DF46+'Model Setup'!$H$7,SUMIF($BH$3:$CE$3,"="&amp;$DF46+'Model Setup'!$H$7,$AD46:$BA46)+'Model Setup'!$H$8*(SUMIF($BH$3:$CE$3,"&lt;"&amp;$DF46,$AD46:$BA46)+SUMIF($BH$3:$CE$3,"&gt;"&amp;$CW$4,$AD46:$BA46)),
IF(BU$3=$DF46+'Model Setup'!$I$7,SUMIF($BH$3:$CE$3,"="&amp;$DF46+'Model Setup'!$I$7,$AD46:$BA46)+'Model Setup'!$I$8*(SUMIF($BH$3:$CE$3,"&lt;"&amp;$DF46,$AD46:$BA46)+SUMIF($BH$3:$CE$3,"&gt;"&amp;$CW$4,$AD46:$BA46)),
IF(BU$3=$DF46+'Model Setup'!$J$7,SUMIF($BH$3:$CE$3,"="&amp;$DF46+'Model Setup'!$J$7,$AD46:$BA46)+'Model Setup'!$J$8*(SUMIF($BH$3:$CE$3,"&lt;"&amp;$DF46,$AD46:$BA46)+SUMIF($BH$3:$CE$3,"&gt;"&amp;$CW$4,$AD46:$BA46)),
IF(BU$3=$DF46+'Model Setup'!$K$7,SUMIF($BH$3:$CE$3,"="&amp;$DF46+'Model Setup'!$K$7,$AD46:$BA46)+'Model Setup'!$K$8*(SUMIF($BH$3:$CE$3,"&lt;"&amp;$DF46,$AD46:$BA46)+SUMIF($BH$3:$CE$3,"&gt;"&amp;$CW$4,$AD46:$BA46)),
IF(BU$3=$DF46+'Model Setup'!$L$7,SUMIF($BH$3:$CE$3,"="&amp;$DF46+'Model Setup'!$L$7,$AD46:$BA46)+'Model Setup'!$L$8*(SUMIF($BH$3:$CE$3,"&lt;"&amp;$DF46,$AD46:$BA46)+SUMIF($BH$3:$CE$3,"&gt;"&amp;$CW$4,$AD46:$BA46)),
IF(BU$3=$DF46+'Model Setup'!$M$7,SUMIF($BH$3:$CE$3,"="&amp;$DF46+'Model Setup'!$M$7,$AD46:$BA46)+'Model Setup'!$M$8*(SUMIF($BH$3:$CE$3,"&lt;"&amp;$DF46,$AD46:$BA46)+SUMIF($BH$3:$CE$3,"&gt;"&amp;$CW$4,$AD46:$BA46)),
IF(BU$3=$DF46+'Model Setup'!$N$7,SUMIF($BH$3:$CE$3,"="&amp;$DF46+'Model Setup'!$N$7,$AD46:$BA46)+'Model Setup'!$N$8*(SUMIF($BH$3:$CE$3,"&lt;"&amp;$DF46,$AD46:$BA46)+SUMIF($BH$3:$CE$3,"&gt;"&amp;$CW$4,$AD46:$BA46)),
IF(BU$3&lt;$CW$4,O46,0))))))))))))))),0)</f>
        <v>20</v>
      </c>
      <c r="BV46" s="47">
        <f>ROUND(IF(OR(BV$3&lt;$DF46,BV$3&gt;$CW$4),0,
IF(BV$3=$DF46+'Model Setup'!$B$7,SUMIF($BH$3:$CE$3,"="&amp;$DF46+'Model Setup'!$B$7,$AD46:$BA46)+'Model Setup'!$B$8*(SUMIF($BH$3:$CE$3,"&lt;"&amp;$DF46,$AD46:$BA46)+SUMIF($BH$3:$CE$3,"&gt;"&amp;$CW$4,$AD46:$BA46)),
IF(BV$3=$DF46+'Model Setup'!$C$7,SUMIF($BH$3:$CE$3,"="&amp;$DF46+'Model Setup'!$C$7,$AD46:$BA46)+'Model Setup'!$C$8*(SUMIF($BH$3:$CE$3,"&lt;"&amp;$DF46,$AD46:$BA46)+SUMIF($BH$3:$CE$3,"&gt;"&amp;$CW$4,$AD46:$BA46)),
IF(BV$3=$DF46+'Model Setup'!$D$7,SUMIF($BH$3:$CE$3,"="&amp;$DF46+'Model Setup'!$D$7,$AD46:$BA46)+'Model Setup'!$D$8*(SUMIF($BH$3:$CE$3,"&lt;"&amp;$DF46,$AD46:$BA46)+SUMIF($BH$3:$CE$3,"&gt;"&amp;$CW$4,$AD46:$BA46)),
IF(BV$3=$DF46+'Model Setup'!$E$7,SUMIF($BH$3:$CE$3,"="&amp;$DF46+'Model Setup'!$E$7,$AD46:$BA46)+'Model Setup'!$E$8*(SUMIF($BH$3:$CE$3,"&lt;"&amp;$DF46,$AD46:$BA46)+SUMIF($BH$3:$CE$3,"&gt;"&amp;$CW$4,$AD46:$BA46)),
IF(BV$3=$DF46+'Model Setup'!$F$7,SUMIF($BH$3:$CE$3,"="&amp;$DF46+'Model Setup'!$F$7,$AD46:$BA46)+'Model Setup'!$F$8*(SUMIF($BH$3:$CE$3,"&lt;"&amp;$DF46,$AD46:$BA46)+SUMIF($BH$3:$CE$3,"&gt;"&amp;$CW$4,$AD46:$BA46)),
IF(BV$3=$DF46+'Model Setup'!$G$7,SUMIF($BH$3:$CE$3,"="&amp;$DF46+'Model Setup'!$G$7,$AD46:$BA46)+'Model Setup'!$G$8*(SUMIF($BH$3:$CE$3,"&lt;"&amp;$DF46,$AD46:$BA46)+SUMIF($BH$3:$CE$3,"&gt;"&amp;$CW$4,$AD46:$BA46)),
IF(BV$3=$DF46+'Model Setup'!$H$7,SUMIF($BH$3:$CE$3,"="&amp;$DF46+'Model Setup'!$H$7,$AD46:$BA46)+'Model Setup'!$H$8*(SUMIF($BH$3:$CE$3,"&lt;"&amp;$DF46,$AD46:$BA46)+SUMIF($BH$3:$CE$3,"&gt;"&amp;$CW$4,$AD46:$BA46)),
IF(BV$3=$DF46+'Model Setup'!$I$7,SUMIF($BH$3:$CE$3,"="&amp;$DF46+'Model Setup'!$I$7,$AD46:$BA46)+'Model Setup'!$I$8*(SUMIF($BH$3:$CE$3,"&lt;"&amp;$DF46,$AD46:$BA46)+SUMIF($BH$3:$CE$3,"&gt;"&amp;$CW$4,$AD46:$BA46)),
IF(BV$3=$DF46+'Model Setup'!$J$7,SUMIF($BH$3:$CE$3,"="&amp;$DF46+'Model Setup'!$J$7,$AD46:$BA46)+'Model Setup'!$J$8*(SUMIF($BH$3:$CE$3,"&lt;"&amp;$DF46,$AD46:$BA46)+SUMIF($BH$3:$CE$3,"&gt;"&amp;$CW$4,$AD46:$BA46)),
IF(BV$3=$DF46+'Model Setup'!$K$7,SUMIF($BH$3:$CE$3,"="&amp;$DF46+'Model Setup'!$K$7,$AD46:$BA46)+'Model Setup'!$K$8*(SUMIF($BH$3:$CE$3,"&lt;"&amp;$DF46,$AD46:$BA46)+SUMIF($BH$3:$CE$3,"&gt;"&amp;$CW$4,$AD46:$BA46)),
IF(BV$3=$DF46+'Model Setup'!$L$7,SUMIF($BH$3:$CE$3,"="&amp;$DF46+'Model Setup'!$L$7,$AD46:$BA46)+'Model Setup'!$L$8*(SUMIF($BH$3:$CE$3,"&lt;"&amp;$DF46,$AD46:$BA46)+SUMIF($BH$3:$CE$3,"&gt;"&amp;$CW$4,$AD46:$BA46)),
IF(BV$3=$DF46+'Model Setup'!$M$7,SUMIF($BH$3:$CE$3,"="&amp;$DF46+'Model Setup'!$M$7,$AD46:$BA46)+'Model Setup'!$M$8*(SUMIF($BH$3:$CE$3,"&lt;"&amp;$DF46,$AD46:$BA46)+SUMIF($BH$3:$CE$3,"&gt;"&amp;$CW$4,$AD46:$BA46)),
IF(BV$3=$DF46+'Model Setup'!$N$7,SUMIF($BH$3:$CE$3,"="&amp;$DF46+'Model Setup'!$N$7,$AD46:$BA46)+'Model Setup'!$N$8*(SUMIF($BH$3:$CE$3,"&lt;"&amp;$DF46,$AD46:$BA46)+SUMIF($BH$3:$CE$3,"&gt;"&amp;$CW$4,$AD46:$BA46)),
IF(BV$3&lt;$CW$4,P46,0))))))))))))))),0)</f>
        <v>20</v>
      </c>
      <c r="BW46" s="47">
        <f>ROUND(IF(OR(BW$3&lt;$DF46,BW$3&gt;$CW$4),0,
IF(BW$3=$DF46+'Model Setup'!$B$7,SUMIF($BH$3:$CE$3,"="&amp;$DF46+'Model Setup'!$B$7,$AD46:$BA46)+'Model Setup'!$B$8*(SUMIF($BH$3:$CE$3,"&lt;"&amp;$DF46,$AD46:$BA46)+SUMIF($BH$3:$CE$3,"&gt;"&amp;$CW$4,$AD46:$BA46)),
IF(BW$3=$DF46+'Model Setup'!$C$7,SUMIF($BH$3:$CE$3,"="&amp;$DF46+'Model Setup'!$C$7,$AD46:$BA46)+'Model Setup'!$C$8*(SUMIF($BH$3:$CE$3,"&lt;"&amp;$DF46,$AD46:$BA46)+SUMIF($BH$3:$CE$3,"&gt;"&amp;$CW$4,$AD46:$BA46)),
IF(BW$3=$DF46+'Model Setup'!$D$7,SUMIF($BH$3:$CE$3,"="&amp;$DF46+'Model Setup'!$D$7,$AD46:$BA46)+'Model Setup'!$D$8*(SUMIF($BH$3:$CE$3,"&lt;"&amp;$DF46,$AD46:$BA46)+SUMIF($BH$3:$CE$3,"&gt;"&amp;$CW$4,$AD46:$BA46)),
IF(BW$3=$DF46+'Model Setup'!$E$7,SUMIF($BH$3:$CE$3,"="&amp;$DF46+'Model Setup'!$E$7,$AD46:$BA46)+'Model Setup'!$E$8*(SUMIF($BH$3:$CE$3,"&lt;"&amp;$DF46,$AD46:$BA46)+SUMIF($BH$3:$CE$3,"&gt;"&amp;$CW$4,$AD46:$BA46)),
IF(BW$3=$DF46+'Model Setup'!$F$7,SUMIF($BH$3:$CE$3,"="&amp;$DF46+'Model Setup'!$F$7,$AD46:$BA46)+'Model Setup'!$F$8*(SUMIF($BH$3:$CE$3,"&lt;"&amp;$DF46,$AD46:$BA46)+SUMIF($BH$3:$CE$3,"&gt;"&amp;$CW$4,$AD46:$BA46)),
IF(BW$3=$DF46+'Model Setup'!$G$7,SUMIF($BH$3:$CE$3,"="&amp;$DF46+'Model Setup'!$G$7,$AD46:$BA46)+'Model Setup'!$G$8*(SUMIF($BH$3:$CE$3,"&lt;"&amp;$DF46,$AD46:$BA46)+SUMIF($BH$3:$CE$3,"&gt;"&amp;$CW$4,$AD46:$BA46)),
IF(BW$3=$DF46+'Model Setup'!$H$7,SUMIF($BH$3:$CE$3,"="&amp;$DF46+'Model Setup'!$H$7,$AD46:$BA46)+'Model Setup'!$H$8*(SUMIF($BH$3:$CE$3,"&lt;"&amp;$DF46,$AD46:$BA46)+SUMIF($BH$3:$CE$3,"&gt;"&amp;$CW$4,$AD46:$BA46)),
IF(BW$3=$DF46+'Model Setup'!$I$7,SUMIF($BH$3:$CE$3,"="&amp;$DF46+'Model Setup'!$I$7,$AD46:$BA46)+'Model Setup'!$I$8*(SUMIF($BH$3:$CE$3,"&lt;"&amp;$DF46,$AD46:$BA46)+SUMIF($BH$3:$CE$3,"&gt;"&amp;$CW$4,$AD46:$BA46)),
IF(BW$3=$DF46+'Model Setup'!$J$7,SUMIF($BH$3:$CE$3,"="&amp;$DF46+'Model Setup'!$J$7,$AD46:$BA46)+'Model Setup'!$J$8*(SUMIF($BH$3:$CE$3,"&lt;"&amp;$DF46,$AD46:$BA46)+SUMIF($BH$3:$CE$3,"&gt;"&amp;$CW$4,$AD46:$BA46)),
IF(BW$3=$DF46+'Model Setup'!$K$7,SUMIF($BH$3:$CE$3,"="&amp;$DF46+'Model Setup'!$K$7,$AD46:$BA46)+'Model Setup'!$K$8*(SUMIF($BH$3:$CE$3,"&lt;"&amp;$DF46,$AD46:$BA46)+SUMIF($BH$3:$CE$3,"&gt;"&amp;$CW$4,$AD46:$BA46)),
IF(BW$3=$DF46+'Model Setup'!$L$7,SUMIF($BH$3:$CE$3,"="&amp;$DF46+'Model Setup'!$L$7,$AD46:$BA46)+'Model Setup'!$L$8*(SUMIF($BH$3:$CE$3,"&lt;"&amp;$DF46,$AD46:$BA46)+SUMIF($BH$3:$CE$3,"&gt;"&amp;$CW$4,$AD46:$BA46)),
IF(BW$3=$DF46+'Model Setup'!$M$7,SUMIF($BH$3:$CE$3,"="&amp;$DF46+'Model Setup'!$M$7,$AD46:$BA46)+'Model Setup'!$M$8*(SUMIF($BH$3:$CE$3,"&lt;"&amp;$DF46,$AD46:$BA46)+SUMIF($BH$3:$CE$3,"&gt;"&amp;$CW$4,$AD46:$BA46)),
IF(BW$3=$DF46+'Model Setup'!$N$7,SUMIF($BH$3:$CE$3,"="&amp;$DF46+'Model Setup'!$N$7,$AD46:$BA46)+'Model Setup'!$N$8*(SUMIF($BH$3:$CE$3,"&lt;"&amp;$DF46,$AD46:$BA46)+SUMIF($BH$3:$CE$3,"&gt;"&amp;$CW$4,$AD46:$BA46)),
IF(BW$3&lt;$CW$4,Q46,0))))))))))))))),0)</f>
        <v>34</v>
      </c>
      <c r="BX46" s="47">
        <f>ROUND(IF(OR(BX$3&lt;$DF46,BX$3&gt;$CW$4),0,
IF(BX$3=$DF46+'Model Setup'!$B$7,SUMIF($BH$3:$CE$3,"="&amp;$DF46+'Model Setup'!$B$7,$AD46:$BA46)+'Model Setup'!$B$8*(SUMIF($BH$3:$CE$3,"&lt;"&amp;$DF46,$AD46:$BA46)+SUMIF($BH$3:$CE$3,"&gt;"&amp;$CW$4,$AD46:$BA46)),
IF(BX$3=$DF46+'Model Setup'!$C$7,SUMIF($BH$3:$CE$3,"="&amp;$DF46+'Model Setup'!$C$7,$AD46:$BA46)+'Model Setup'!$C$8*(SUMIF($BH$3:$CE$3,"&lt;"&amp;$DF46,$AD46:$BA46)+SUMIF($BH$3:$CE$3,"&gt;"&amp;$CW$4,$AD46:$BA46)),
IF(BX$3=$DF46+'Model Setup'!$D$7,SUMIF($BH$3:$CE$3,"="&amp;$DF46+'Model Setup'!$D$7,$AD46:$BA46)+'Model Setup'!$D$8*(SUMIF($BH$3:$CE$3,"&lt;"&amp;$DF46,$AD46:$BA46)+SUMIF($BH$3:$CE$3,"&gt;"&amp;$CW$4,$AD46:$BA46)),
IF(BX$3=$DF46+'Model Setup'!$E$7,SUMIF($BH$3:$CE$3,"="&amp;$DF46+'Model Setup'!$E$7,$AD46:$BA46)+'Model Setup'!$E$8*(SUMIF($BH$3:$CE$3,"&lt;"&amp;$DF46,$AD46:$BA46)+SUMIF($BH$3:$CE$3,"&gt;"&amp;$CW$4,$AD46:$BA46)),
IF(BX$3=$DF46+'Model Setup'!$F$7,SUMIF($BH$3:$CE$3,"="&amp;$DF46+'Model Setup'!$F$7,$AD46:$BA46)+'Model Setup'!$F$8*(SUMIF($BH$3:$CE$3,"&lt;"&amp;$DF46,$AD46:$BA46)+SUMIF($BH$3:$CE$3,"&gt;"&amp;$CW$4,$AD46:$BA46)),
IF(BX$3=$DF46+'Model Setup'!$G$7,SUMIF($BH$3:$CE$3,"="&amp;$DF46+'Model Setup'!$G$7,$AD46:$BA46)+'Model Setup'!$G$8*(SUMIF($BH$3:$CE$3,"&lt;"&amp;$DF46,$AD46:$BA46)+SUMIF($BH$3:$CE$3,"&gt;"&amp;$CW$4,$AD46:$BA46)),
IF(BX$3=$DF46+'Model Setup'!$H$7,SUMIF($BH$3:$CE$3,"="&amp;$DF46+'Model Setup'!$H$7,$AD46:$BA46)+'Model Setup'!$H$8*(SUMIF($BH$3:$CE$3,"&lt;"&amp;$DF46,$AD46:$BA46)+SUMIF($BH$3:$CE$3,"&gt;"&amp;$CW$4,$AD46:$BA46)),
IF(BX$3=$DF46+'Model Setup'!$I$7,SUMIF($BH$3:$CE$3,"="&amp;$DF46+'Model Setup'!$I$7,$AD46:$BA46)+'Model Setup'!$I$8*(SUMIF($BH$3:$CE$3,"&lt;"&amp;$DF46,$AD46:$BA46)+SUMIF($BH$3:$CE$3,"&gt;"&amp;$CW$4,$AD46:$BA46)),
IF(BX$3=$DF46+'Model Setup'!$J$7,SUMIF($BH$3:$CE$3,"="&amp;$DF46+'Model Setup'!$J$7,$AD46:$BA46)+'Model Setup'!$J$8*(SUMIF($BH$3:$CE$3,"&lt;"&amp;$DF46,$AD46:$BA46)+SUMIF($BH$3:$CE$3,"&gt;"&amp;$CW$4,$AD46:$BA46)),
IF(BX$3=$DF46+'Model Setup'!$K$7,SUMIF($BH$3:$CE$3,"="&amp;$DF46+'Model Setup'!$K$7,$AD46:$BA46)+'Model Setup'!$K$8*(SUMIF($BH$3:$CE$3,"&lt;"&amp;$DF46,$AD46:$BA46)+SUMIF($BH$3:$CE$3,"&gt;"&amp;$CW$4,$AD46:$BA46)),
IF(BX$3=$DF46+'Model Setup'!$L$7,SUMIF($BH$3:$CE$3,"="&amp;$DF46+'Model Setup'!$L$7,$AD46:$BA46)+'Model Setup'!$L$8*(SUMIF($BH$3:$CE$3,"&lt;"&amp;$DF46,$AD46:$BA46)+SUMIF($BH$3:$CE$3,"&gt;"&amp;$CW$4,$AD46:$BA46)),
IF(BX$3=$DF46+'Model Setup'!$M$7,SUMIF($BH$3:$CE$3,"="&amp;$DF46+'Model Setup'!$M$7,$AD46:$BA46)+'Model Setup'!$M$8*(SUMIF($BH$3:$CE$3,"&lt;"&amp;$DF46,$AD46:$BA46)+SUMIF($BH$3:$CE$3,"&gt;"&amp;$CW$4,$AD46:$BA46)),
IF(BX$3=$DF46+'Model Setup'!$N$7,SUMIF($BH$3:$CE$3,"="&amp;$DF46+'Model Setup'!$N$7,$AD46:$BA46)+'Model Setup'!$N$8*(SUMIF($BH$3:$CE$3,"&lt;"&amp;$DF46,$AD46:$BA46)+SUMIF($BH$3:$CE$3,"&gt;"&amp;$CW$4,$AD46:$BA46)),
IF(BX$3&lt;$CW$4,R46,0))))))))))))))),0)</f>
        <v>29</v>
      </c>
      <c r="BY46" s="47">
        <f>ROUND(IF(OR(BY$3&lt;$DF46,BY$3&gt;$CW$4),0,
IF(BY$3=$DF46+'Model Setup'!$B$7,SUMIF($BH$3:$CE$3,"="&amp;$DF46+'Model Setup'!$B$7,$AD46:$BA46)+'Model Setup'!$B$8*(SUMIF($BH$3:$CE$3,"&lt;"&amp;$DF46,$AD46:$BA46)+SUMIF($BH$3:$CE$3,"&gt;"&amp;$CW$4,$AD46:$BA46)),
IF(BY$3=$DF46+'Model Setup'!$C$7,SUMIF($BH$3:$CE$3,"="&amp;$DF46+'Model Setup'!$C$7,$AD46:$BA46)+'Model Setup'!$C$8*(SUMIF($BH$3:$CE$3,"&lt;"&amp;$DF46,$AD46:$BA46)+SUMIF($BH$3:$CE$3,"&gt;"&amp;$CW$4,$AD46:$BA46)),
IF(BY$3=$DF46+'Model Setup'!$D$7,SUMIF($BH$3:$CE$3,"="&amp;$DF46+'Model Setup'!$D$7,$AD46:$BA46)+'Model Setup'!$D$8*(SUMIF($BH$3:$CE$3,"&lt;"&amp;$DF46,$AD46:$BA46)+SUMIF($BH$3:$CE$3,"&gt;"&amp;$CW$4,$AD46:$BA46)),
IF(BY$3=$DF46+'Model Setup'!$E$7,SUMIF($BH$3:$CE$3,"="&amp;$DF46+'Model Setup'!$E$7,$AD46:$BA46)+'Model Setup'!$E$8*(SUMIF($BH$3:$CE$3,"&lt;"&amp;$DF46,$AD46:$BA46)+SUMIF($BH$3:$CE$3,"&gt;"&amp;$CW$4,$AD46:$BA46)),
IF(BY$3=$DF46+'Model Setup'!$F$7,SUMIF($BH$3:$CE$3,"="&amp;$DF46+'Model Setup'!$F$7,$AD46:$BA46)+'Model Setup'!$F$8*(SUMIF($BH$3:$CE$3,"&lt;"&amp;$DF46,$AD46:$BA46)+SUMIF($BH$3:$CE$3,"&gt;"&amp;$CW$4,$AD46:$BA46)),
IF(BY$3=$DF46+'Model Setup'!$G$7,SUMIF($BH$3:$CE$3,"="&amp;$DF46+'Model Setup'!$G$7,$AD46:$BA46)+'Model Setup'!$G$8*(SUMIF($BH$3:$CE$3,"&lt;"&amp;$DF46,$AD46:$BA46)+SUMIF($BH$3:$CE$3,"&gt;"&amp;$CW$4,$AD46:$BA46)),
IF(BY$3=$DF46+'Model Setup'!$H$7,SUMIF($BH$3:$CE$3,"="&amp;$DF46+'Model Setup'!$H$7,$AD46:$BA46)+'Model Setup'!$H$8*(SUMIF($BH$3:$CE$3,"&lt;"&amp;$DF46,$AD46:$BA46)+SUMIF($BH$3:$CE$3,"&gt;"&amp;$CW$4,$AD46:$BA46)),
IF(BY$3=$DF46+'Model Setup'!$I$7,SUMIF($BH$3:$CE$3,"="&amp;$DF46+'Model Setup'!$I$7,$AD46:$BA46)+'Model Setup'!$I$8*(SUMIF($BH$3:$CE$3,"&lt;"&amp;$DF46,$AD46:$BA46)+SUMIF($BH$3:$CE$3,"&gt;"&amp;$CW$4,$AD46:$BA46)),
IF(BY$3=$DF46+'Model Setup'!$J$7,SUMIF($BH$3:$CE$3,"="&amp;$DF46+'Model Setup'!$J$7,$AD46:$BA46)+'Model Setup'!$J$8*(SUMIF($BH$3:$CE$3,"&lt;"&amp;$DF46,$AD46:$BA46)+SUMIF($BH$3:$CE$3,"&gt;"&amp;$CW$4,$AD46:$BA46)),
IF(BY$3=$DF46+'Model Setup'!$K$7,SUMIF($BH$3:$CE$3,"="&amp;$DF46+'Model Setup'!$K$7,$AD46:$BA46)+'Model Setup'!$K$8*(SUMIF($BH$3:$CE$3,"&lt;"&amp;$DF46,$AD46:$BA46)+SUMIF($BH$3:$CE$3,"&gt;"&amp;$CW$4,$AD46:$BA46)),
IF(BY$3=$DF46+'Model Setup'!$L$7,SUMIF($BH$3:$CE$3,"="&amp;$DF46+'Model Setup'!$L$7,$AD46:$BA46)+'Model Setup'!$L$8*(SUMIF($BH$3:$CE$3,"&lt;"&amp;$DF46,$AD46:$BA46)+SUMIF($BH$3:$CE$3,"&gt;"&amp;$CW$4,$AD46:$BA46)),
IF(BY$3=$DF46+'Model Setup'!$M$7,SUMIF($BH$3:$CE$3,"="&amp;$DF46+'Model Setup'!$M$7,$AD46:$BA46)+'Model Setup'!$M$8*(SUMIF($BH$3:$CE$3,"&lt;"&amp;$DF46,$AD46:$BA46)+SUMIF($BH$3:$CE$3,"&gt;"&amp;$CW$4,$AD46:$BA46)),
IF(BY$3=$DF46+'Model Setup'!$N$7,SUMIF($BH$3:$CE$3,"="&amp;$DF46+'Model Setup'!$N$7,$AD46:$BA46)+'Model Setup'!$N$8*(SUMIF($BH$3:$CE$3,"&lt;"&amp;$DF46,$AD46:$BA46)+SUMIF($BH$3:$CE$3,"&gt;"&amp;$CW$4,$AD46:$BA46)),
IF(BY$3&lt;$CW$4,S46,0))))))))))))))),0)</f>
        <v>23</v>
      </c>
      <c r="BZ46" s="47">
        <f>ROUND(IF(OR(BZ$3&lt;$DF46,BZ$3&gt;$CW$4),0,
IF(BZ$3=$DF46+'Model Setup'!$B$7,SUMIF($BH$3:$CE$3,"="&amp;$DF46+'Model Setup'!$B$7,$AD46:$BA46)+'Model Setup'!$B$8*(SUMIF($BH$3:$CE$3,"&lt;"&amp;$DF46,$AD46:$BA46)+SUMIF($BH$3:$CE$3,"&gt;"&amp;$CW$4,$AD46:$BA46)),
IF(BZ$3=$DF46+'Model Setup'!$C$7,SUMIF($BH$3:$CE$3,"="&amp;$DF46+'Model Setup'!$C$7,$AD46:$BA46)+'Model Setup'!$C$8*(SUMIF($BH$3:$CE$3,"&lt;"&amp;$DF46,$AD46:$BA46)+SUMIF($BH$3:$CE$3,"&gt;"&amp;$CW$4,$AD46:$BA46)),
IF(BZ$3=$DF46+'Model Setup'!$D$7,SUMIF($BH$3:$CE$3,"="&amp;$DF46+'Model Setup'!$D$7,$AD46:$BA46)+'Model Setup'!$D$8*(SUMIF($BH$3:$CE$3,"&lt;"&amp;$DF46,$AD46:$BA46)+SUMIF($BH$3:$CE$3,"&gt;"&amp;$CW$4,$AD46:$BA46)),
IF(BZ$3=$DF46+'Model Setup'!$E$7,SUMIF($BH$3:$CE$3,"="&amp;$DF46+'Model Setup'!$E$7,$AD46:$BA46)+'Model Setup'!$E$8*(SUMIF($BH$3:$CE$3,"&lt;"&amp;$DF46,$AD46:$BA46)+SUMIF($BH$3:$CE$3,"&gt;"&amp;$CW$4,$AD46:$BA46)),
IF(BZ$3=$DF46+'Model Setup'!$F$7,SUMIF($BH$3:$CE$3,"="&amp;$DF46+'Model Setup'!$F$7,$AD46:$BA46)+'Model Setup'!$F$8*(SUMIF($BH$3:$CE$3,"&lt;"&amp;$DF46,$AD46:$BA46)+SUMIF($BH$3:$CE$3,"&gt;"&amp;$CW$4,$AD46:$BA46)),
IF(BZ$3=$DF46+'Model Setup'!$G$7,SUMIF($BH$3:$CE$3,"="&amp;$DF46+'Model Setup'!$G$7,$AD46:$BA46)+'Model Setup'!$G$8*(SUMIF($BH$3:$CE$3,"&lt;"&amp;$DF46,$AD46:$BA46)+SUMIF($BH$3:$CE$3,"&gt;"&amp;$CW$4,$AD46:$BA46)),
IF(BZ$3=$DF46+'Model Setup'!$H$7,SUMIF($BH$3:$CE$3,"="&amp;$DF46+'Model Setup'!$H$7,$AD46:$BA46)+'Model Setup'!$H$8*(SUMIF($BH$3:$CE$3,"&lt;"&amp;$DF46,$AD46:$BA46)+SUMIF($BH$3:$CE$3,"&gt;"&amp;$CW$4,$AD46:$BA46)),
IF(BZ$3=$DF46+'Model Setup'!$I$7,SUMIF($BH$3:$CE$3,"="&amp;$DF46+'Model Setup'!$I$7,$AD46:$BA46)+'Model Setup'!$I$8*(SUMIF($BH$3:$CE$3,"&lt;"&amp;$DF46,$AD46:$BA46)+SUMIF($BH$3:$CE$3,"&gt;"&amp;$CW$4,$AD46:$BA46)),
IF(BZ$3=$DF46+'Model Setup'!$J$7,SUMIF($BH$3:$CE$3,"="&amp;$DF46+'Model Setup'!$J$7,$AD46:$BA46)+'Model Setup'!$J$8*(SUMIF($BH$3:$CE$3,"&lt;"&amp;$DF46,$AD46:$BA46)+SUMIF($BH$3:$CE$3,"&gt;"&amp;$CW$4,$AD46:$BA46)),
IF(BZ$3=$DF46+'Model Setup'!$K$7,SUMIF($BH$3:$CE$3,"="&amp;$DF46+'Model Setup'!$K$7,$AD46:$BA46)+'Model Setup'!$K$8*(SUMIF($BH$3:$CE$3,"&lt;"&amp;$DF46,$AD46:$BA46)+SUMIF($BH$3:$CE$3,"&gt;"&amp;$CW$4,$AD46:$BA46)),
IF(BZ$3=$DF46+'Model Setup'!$L$7,SUMIF($BH$3:$CE$3,"="&amp;$DF46+'Model Setup'!$L$7,$AD46:$BA46)+'Model Setup'!$L$8*(SUMIF($BH$3:$CE$3,"&lt;"&amp;$DF46,$AD46:$BA46)+SUMIF($BH$3:$CE$3,"&gt;"&amp;$CW$4,$AD46:$BA46)),
IF(BZ$3=$DF46+'Model Setup'!$M$7,SUMIF($BH$3:$CE$3,"="&amp;$DF46+'Model Setup'!$M$7,$AD46:$BA46)+'Model Setup'!$M$8*(SUMIF($BH$3:$CE$3,"&lt;"&amp;$DF46,$AD46:$BA46)+SUMIF($BH$3:$CE$3,"&gt;"&amp;$CW$4,$AD46:$BA46)),
IF(BZ$3=$DF46+'Model Setup'!$N$7,SUMIF($BH$3:$CE$3,"="&amp;$DF46+'Model Setup'!$N$7,$AD46:$BA46)+'Model Setup'!$N$8*(SUMIF($BH$3:$CE$3,"&lt;"&amp;$DF46,$AD46:$BA46)+SUMIF($BH$3:$CE$3,"&gt;"&amp;$CW$4,$AD46:$BA46)),
IF(BZ$3&lt;$CW$4,T46,0))))))))))))))),0)</f>
        <v>0</v>
      </c>
      <c r="CA46" s="47">
        <f>ROUND(IF(OR(CA$3&lt;$DF46,CA$3&gt;$CW$4),0,
IF(CA$3=$DF46+'Model Setup'!$B$7,SUMIF($BH$3:$CE$3,"="&amp;$DF46+'Model Setup'!$B$7,$AD46:$BA46)+'Model Setup'!$B$8*(SUMIF($BH$3:$CE$3,"&lt;"&amp;$DF46,$AD46:$BA46)+SUMIF($BH$3:$CE$3,"&gt;"&amp;$CW$4,$AD46:$BA46)),
IF(CA$3=$DF46+'Model Setup'!$C$7,SUMIF($BH$3:$CE$3,"="&amp;$DF46+'Model Setup'!$C$7,$AD46:$BA46)+'Model Setup'!$C$8*(SUMIF($BH$3:$CE$3,"&lt;"&amp;$DF46,$AD46:$BA46)+SUMIF($BH$3:$CE$3,"&gt;"&amp;$CW$4,$AD46:$BA46)),
IF(CA$3=$DF46+'Model Setup'!$D$7,SUMIF($BH$3:$CE$3,"="&amp;$DF46+'Model Setup'!$D$7,$AD46:$BA46)+'Model Setup'!$D$8*(SUMIF($BH$3:$CE$3,"&lt;"&amp;$DF46,$AD46:$BA46)+SUMIF($BH$3:$CE$3,"&gt;"&amp;$CW$4,$AD46:$BA46)),
IF(CA$3=$DF46+'Model Setup'!$E$7,SUMIF($BH$3:$CE$3,"="&amp;$DF46+'Model Setup'!$E$7,$AD46:$BA46)+'Model Setup'!$E$8*(SUMIF($BH$3:$CE$3,"&lt;"&amp;$DF46,$AD46:$BA46)+SUMIF($BH$3:$CE$3,"&gt;"&amp;$CW$4,$AD46:$BA46)),
IF(CA$3=$DF46+'Model Setup'!$F$7,SUMIF($BH$3:$CE$3,"="&amp;$DF46+'Model Setup'!$F$7,$AD46:$BA46)+'Model Setup'!$F$8*(SUMIF($BH$3:$CE$3,"&lt;"&amp;$DF46,$AD46:$BA46)+SUMIF($BH$3:$CE$3,"&gt;"&amp;$CW$4,$AD46:$BA46)),
IF(CA$3=$DF46+'Model Setup'!$G$7,SUMIF($BH$3:$CE$3,"="&amp;$DF46+'Model Setup'!$G$7,$AD46:$BA46)+'Model Setup'!$G$8*(SUMIF($BH$3:$CE$3,"&lt;"&amp;$DF46,$AD46:$BA46)+SUMIF($BH$3:$CE$3,"&gt;"&amp;$CW$4,$AD46:$BA46)),
IF(CA$3=$DF46+'Model Setup'!$H$7,SUMIF($BH$3:$CE$3,"="&amp;$DF46+'Model Setup'!$H$7,$AD46:$BA46)+'Model Setup'!$H$8*(SUMIF($BH$3:$CE$3,"&lt;"&amp;$DF46,$AD46:$BA46)+SUMIF($BH$3:$CE$3,"&gt;"&amp;$CW$4,$AD46:$BA46)),
IF(CA$3=$DF46+'Model Setup'!$I$7,SUMIF($BH$3:$CE$3,"="&amp;$DF46+'Model Setup'!$I$7,$AD46:$BA46)+'Model Setup'!$I$8*(SUMIF($BH$3:$CE$3,"&lt;"&amp;$DF46,$AD46:$BA46)+SUMIF($BH$3:$CE$3,"&gt;"&amp;$CW$4,$AD46:$BA46)),
IF(CA$3=$DF46+'Model Setup'!$J$7,SUMIF($BH$3:$CE$3,"="&amp;$DF46+'Model Setup'!$J$7,$AD46:$BA46)+'Model Setup'!$J$8*(SUMIF($BH$3:$CE$3,"&lt;"&amp;$DF46,$AD46:$BA46)+SUMIF($BH$3:$CE$3,"&gt;"&amp;$CW$4,$AD46:$BA46)),
IF(CA$3=$DF46+'Model Setup'!$K$7,SUMIF($BH$3:$CE$3,"="&amp;$DF46+'Model Setup'!$K$7,$AD46:$BA46)+'Model Setup'!$K$8*(SUMIF($BH$3:$CE$3,"&lt;"&amp;$DF46,$AD46:$BA46)+SUMIF($BH$3:$CE$3,"&gt;"&amp;$CW$4,$AD46:$BA46)),
IF(CA$3=$DF46+'Model Setup'!$L$7,SUMIF($BH$3:$CE$3,"="&amp;$DF46+'Model Setup'!$L$7,$AD46:$BA46)+'Model Setup'!$L$8*(SUMIF($BH$3:$CE$3,"&lt;"&amp;$DF46,$AD46:$BA46)+SUMIF($BH$3:$CE$3,"&gt;"&amp;$CW$4,$AD46:$BA46)),
IF(CA$3=$DF46+'Model Setup'!$M$7,SUMIF($BH$3:$CE$3,"="&amp;$DF46+'Model Setup'!$M$7,$AD46:$BA46)+'Model Setup'!$M$8*(SUMIF($BH$3:$CE$3,"&lt;"&amp;$DF46,$AD46:$BA46)+SUMIF($BH$3:$CE$3,"&gt;"&amp;$CW$4,$AD46:$BA46)),
IF(CA$3=$DF46+'Model Setup'!$N$7,SUMIF($BH$3:$CE$3,"="&amp;$DF46+'Model Setup'!$N$7,$AD46:$BA46)+'Model Setup'!$N$8*(SUMIF($BH$3:$CE$3,"&lt;"&amp;$DF46,$AD46:$BA46)+SUMIF($BH$3:$CE$3,"&gt;"&amp;$CW$4,$AD46:$BA46)),
IF(CA$3&lt;$CW$4,U46,0))))))))))))))),0)</f>
        <v>0</v>
      </c>
      <c r="CB46" s="47">
        <f>ROUND(IF(OR(CB$3&lt;$DF46,CB$3&gt;$CW$4),0,
IF(CB$3=$DF46+'Model Setup'!$B$7,SUMIF($BH$3:$CE$3,"="&amp;$DF46+'Model Setup'!$B$7,$AD46:$BA46)+'Model Setup'!$B$8*(SUMIF($BH$3:$CE$3,"&lt;"&amp;$DF46,$AD46:$BA46)+SUMIF($BH$3:$CE$3,"&gt;"&amp;$CW$4,$AD46:$BA46)),
IF(CB$3=$DF46+'Model Setup'!$C$7,SUMIF($BH$3:$CE$3,"="&amp;$DF46+'Model Setup'!$C$7,$AD46:$BA46)+'Model Setup'!$C$8*(SUMIF($BH$3:$CE$3,"&lt;"&amp;$DF46,$AD46:$BA46)+SUMIF($BH$3:$CE$3,"&gt;"&amp;$CW$4,$AD46:$BA46)),
IF(CB$3=$DF46+'Model Setup'!$D$7,SUMIF($BH$3:$CE$3,"="&amp;$DF46+'Model Setup'!$D$7,$AD46:$BA46)+'Model Setup'!$D$8*(SUMIF($BH$3:$CE$3,"&lt;"&amp;$DF46,$AD46:$BA46)+SUMIF($BH$3:$CE$3,"&gt;"&amp;$CW$4,$AD46:$BA46)),
IF(CB$3=$DF46+'Model Setup'!$E$7,SUMIF($BH$3:$CE$3,"="&amp;$DF46+'Model Setup'!$E$7,$AD46:$BA46)+'Model Setup'!$E$8*(SUMIF($BH$3:$CE$3,"&lt;"&amp;$DF46,$AD46:$BA46)+SUMIF($BH$3:$CE$3,"&gt;"&amp;$CW$4,$AD46:$BA46)),
IF(CB$3=$DF46+'Model Setup'!$F$7,SUMIF($BH$3:$CE$3,"="&amp;$DF46+'Model Setup'!$F$7,$AD46:$BA46)+'Model Setup'!$F$8*(SUMIF($BH$3:$CE$3,"&lt;"&amp;$DF46,$AD46:$BA46)+SUMIF($BH$3:$CE$3,"&gt;"&amp;$CW$4,$AD46:$BA46)),
IF(CB$3=$DF46+'Model Setup'!$G$7,SUMIF($BH$3:$CE$3,"="&amp;$DF46+'Model Setup'!$G$7,$AD46:$BA46)+'Model Setup'!$G$8*(SUMIF($BH$3:$CE$3,"&lt;"&amp;$DF46,$AD46:$BA46)+SUMIF($BH$3:$CE$3,"&gt;"&amp;$CW$4,$AD46:$BA46)),
IF(CB$3=$DF46+'Model Setup'!$H$7,SUMIF($BH$3:$CE$3,"="&amp;$DF46+'Model Setup'!$H$7,$AD46:$BA46)+'Model Setup'!$H$8*(SUMIF($BH$3:$CE$3,"&lt;"&amp;$DF46,$AD46:$BA46)+SUMIF($BH$3:$CE$3,"&gt;"&amp;$CW$4,$AD46:$BA46)),
IF(CB$3=$DF46+'Model Setup'!$I$7,SUMIF($BH$3:$CE$3,"="&amp;$DF46+'Model Setup'!$I$7,$AD46:$BA46)+'Model Setup'!$I$8*(SUMIF($BH$3:$CE$3,"&lt;"&amp;$DF46,$AD46:$BA46)+SUMIF($BH$3:$CE$3,"&gt;"&amp;$CW$4,$AD46:$BA46)),
IF(CB$3=$DF46+'Model Setup'!$J$7,SUMIF($BH$3:$CE$3,"="&amp;$DF46+'Model Setup'!$J$7,$AD46:$BA46)+'Model Setup'!$J$8*(SUMIF($BH$3:$CE$3,"&lt;"&amp;$DF46,$AD46:$BA46)+SUMIF($BH$3:$CE$3,"&gt;"&amp;$CW$4,$AD46:$BA46)),
IF(CB$3=$DF46+'Model Setup'!$K$7,SUMIF($BH$3:$CE$3,"="&amp;$DF46+'Model Setup'!$K$7,$AD46:$BA46)+'Model Setup'!$K$8*(SUMIF($BH$3:$CE$3,"&lt;"&amp;$DF46,$AD46:$BA46)+SUMIF($BH$3:$CE$3,"&gt;"&amp;$CW$4,$AD46:$BA46)),
IF(CB$3=$DF46+'Model Setup'!$L$7,SUMIF($BH$3:$CE$3,"="&amp;$DF46+'Model Setup'!$L$7,$AD46:$BA46)+'Model Setup'!$L$8*(SUMIF($BH$3:$CE$3,"&lt;"&amp;$DF46,$AD46:$BA46)+SUMIF($BH$3:$CE$3,"&gt;"&amp;$CW$4,$AD46:$BA46)),
IF(CB$3=$DF46+'Model Setup'!$M$7,SUMIF($BH$3:$CE$3,"="&amp;$DF46+'Model Setup'!$M$7,$AD46:$BA46)+'Model Setup'!$M$8*(SUMIF($BH$3:$CE$3,"&lt;"&amp;$DF46,$AD46:$BA46)+SUMIF($BH$3:$CE$3,"&gt;"&amp;$CW$4,$AD46:$BA46)),
IF(CB$3=$DF46+'Model Setup'!$N$7,SUMIF($BH$3:$CE$3,"="&amp;$DF46+'Model Setup'!$N$7,$AD46:$BA46)+'Model Setup'!$N$8*(SUMIF($BH$3:$CE$3,"&lt;"&amp;$DF46,$AD46:$BA46)+SUMIF($BH$3:$CE$3,"&gt;"&amp;$CW$4,$AD46:$BA46)),
IF(CB$3&lt;$CW$4,V46,0))))))))))))))),0)</f>
        <v>0</v>
      </c>
      <c r="CC46" s="47">
        <f>ROUND(IF(OR(CC$3&lt;$DF46,CC$3&gt;$CW$4),0,
IF(CC$3=$DF46+'Model Setup'!$B$7,SUMIF($BH$3:$CE$3,"="&amp;$DF46+'Model Setup'!$B$7,$AD46:$BA46)+'Model Setup'!$B$8*(SUMIF($BH$3:$CE$3,"&lt;"&amp;$DF46,$AD46:$BA46)+SUMIF($BH$3:$CE$3,"&gt;"&amp;$CW$4,$AD46:$BA46)),
IF(CC$3=$DF46+'Model Setup'!$C$7,SUMIF($BH$3:$CE$3,"="&amp;$DF46+'Model Setup'!$C$7,$AD46:$BA46)+'Model Setup'!$C$8*(SUMIF($BH$3:$CE$3,"&lt;"&amp;$DF46,$AD46:$BA46)+SUMIF($BH$3:$CE$3,"&gt;"&amp;$CW$4,$AD46:$BA46)),
IF(CC$3=$DF46+'Model Setup'!$D$7,SUMIF($BH$3:$CE$3,"="&amp;$DF46+'Model Setup'!$D$7,$AD46:$BA46)+'Model Setup'!$D$8*(SUMIF($BH$3:$CE$3,"&lt;"&amp;$DF46,$AD46:$BA46)+SUMIF($BH$3:$CE$3,"&gt;"&amp;$CW$4,$AD46:$BA46)),
IF(CC$3=$DF46+'Model Setup'!$E$7,SUMIF($BH$3:$CE$3,"="&amp;$DF46+'Model Setup'!$E$7,$AD46:$BA46)+'Model Setup'!$E$8*(SUMIF($BH$3:$CE$3,"&lt;"&amp;$DF46,$AD46:$BA46)+SUMIF($BH$3:$CE$3,"&gt;"&amp;$CW$4,$AD46:$BA46)),
IF(CC$3=$DF46+'Model Setup'!$F$7,SUMIF($BH$3:$CE$3,"="&amp;$DF46+'Model Setup'!$F$7,$AD46:$BA46)+'Model Setup'!$F$8*(SUMIF($BH$3:$CE$3,"&lt;"&amp;$DF46,$AD46:$BA46)+SUMIF($BH$3:$CE$3,"&gt;"&amp;$CW$4,$AD46:$BA46)),
IF(CC$3=$DF46+'Model Setup'!$G$7,SUMIF($BH$3:$CE$3,"="&amp;$DF46+'Model Setup'!$G$7,$AD46:$BA46)+'Model Setup'!$G$8*(SUMIF($BH$3:$CE$3,"&lt;"&amp;$DF46,$AD46:$BA46)+SUMIF($BH$3:$CE$3,"&gt;"&amp;$CW$4,$AD46:$BA46)),
IF(CC$3=$DF46+'Model Setup'!$H$7,SUMIF($BH$3:$CE$3,"="&amp;$DF46+'Model Setup'!$H$7,$AD46:$BA46)+'Model Setup'!$H$8*(SUMIF($BH$3:$CE$3,"&lt;"&amp;$DF46,$AD46:$BA46)+SUMIF($BH$3:$CE$3,"&gt;"&amp;$CW$4,$AD46:$BA46)),
IF(CC$3=$DF46+'Model Setup'!$I$7,SUMIF($BH$3:$CE$3,"="&amp;$DF46+'Model Setup'!$I$7,$AD46:$BA46)+'Model Setup'!$I$8*(SUMIF($BH$3:$CE$3,"&lt;"&amp;$DF46,$AD46:$BA46)+SUMIF($BH$3:$CE$3,"&gt;"&amp;$CW$4,$AD46:$BA46)),
IF(CC$3=$DF46+'Model Setup'!$J$7,SUMIF($BH$3:$CE$3,"="&amp;$DF46+'Model Setup'!$J$7,$AD46:$BA46)+'Model Setup'!$J$8*(SUMIF($BH$3:$CE$3,"&lt;"&amp;$DF46,$AD46:$BA46)+SUMIF($BH$3:$CE$3,"&gt;"&amp;$CW$4,$AD46:$BA46)),
IF(CC$3=$DF46+'Model Setup'!$K$7,SUMIF($BH$3:$CE$3,"="&amp;$DF46+'Model Setup'!$K$7,$AD46:$BA46)+'Model Setup'!$K$8*(SUMIF($BH$3:$CE$3,"&lt;"&amp;$DF46,$AD46:$BA46)+SUMIF($BH$3:$CE$3,"&gt;"&amp;$CW$4,$AD46:$BA46)),
IF(CC$3=$DF46+'Model Setup'!$L$7,SUMIF($BH$3:$CE$3,"="&amp;$DF46+'Model Setup'!$L$7,$AD46:$BA46)+'Model Setup'!$L$8*(SUMIF($BH$3:$CE$3,"&lt;"&amp;$DF46,$AD46:$BA46)+SUMIF($BH$3:$CE$3,"&gt;"&amp;$CW$4,$AD46:$BA46)),
IF(CC$3=$DF46+'Model Setup'!$M$7,SUMIF($BH$3:$CE$3,"="&amp;$DF46+'Model Setup'!$M$7,$AD46:$BA46)+'Model Setup'!$M$8*(SUMIF($BH$3:$CE$3,"&lt;"&amp;$DF46,$AD46:$BA46)+SUMIF($BH$3:$CE$3,"&gt;"&amp;$CW$4,$AD46:$BA46)),
IF(CC$3=$DF46+'Model Setup'!$N$7,SUMIF($BH$3:$CE$3,"="&amp;$DF46+'Model Setup'!$N$7,$AD46:$BA46)+'Model Setup'!$N$8*(SUMIF($BH$3:$CE$3,"&lt;"&amp;$DF46,$AD46:$BA46)+SUMIF($BH$3:$CE$3,"&gt;"&amp;$CW$4,$AD46:$BA46)),
IF(CC$3&lt;$CW$4,W46,0))))))))))))))),0)</f>
        <v>0</v>
      </c>
      <c r="CD46" s="47">
        <f>ROUND(IF(OR(CD$3&lt;$DF46,CD$3&gt;$CW$4),0,
IF(CD$3=$DF46+'Model Setup'!$B$7,SUMIF($BH$3:$CE$3,"="&amp;$DF46+'Model Setup'!$B$7,$AD46:$BA46)+'Model Setup'!$B$8*(SUMIF($BH$3:$CE$3,"&lt;"&amp;$DF46,$AD46:$BA46)+SUMIF($BH$3:$CE$3,"&gt;"&amp;$CW$4,$AD46:$BA46)),
IF(CD$3=$DF46+'Model Setup'!$C$7,SUMIF($BH$3:$CE$3,"="&amp;$DF46+'Model Setup'!$C$7,$AD46:$BA46)+'Model Setup'!$C$8*(SUMIF($BH$3:$CE$3,"&lt;"&amp;$DF46,$AD46:$BA46)+SUMIF($BH$3:$CE$3,"&gt;"&amp;$CW$4,$AD46:$BA46)),
IF(CD$3=$DF46+'Model Setup'!$D$7,SUMIF($BH$3:$CE$3,"="&amp;$DF46+'Model Setup'!$D$7,$AD46:$BA46)+'Model Setup'!$D$8*(SUMIF($BH$3:$CE$3,"&lt;"&amp;$DF46,$AD46:$BA46)+SUMIF($BH$3:$CE$3,"&gt;"&amp;$CW$4,$AD46:$BA46)),
IF(CD$3=$DF46+'Model Setup'!$E$7,SUMIF($BH$3:$CE$3,"="&amp;$DF46+'Model Setup'!$E$7,$AD46:$BA46)+'Model Setup'!$E$8*(SUMIF($BH$3:$CE$3,"&lt;"&amp;$DF46,$AD46:$BA46)+SUMIF($BH$3:$CE$3,"&gt;"&amp;$CW$4,$AD46:$BA46)),
IF(CD$3=$DF46+'Model Setup'!$F$7,SUMIF($BH$3:$CE$3,"="&amp;$DF46+'Model Setup'!$F$7,$AD46:$BA46)+'Model Setup'!$F$8*(SUMIF($BH$3:$CE$3,"&lt;"&amp;$DF46,$AD46:$BA46)+SUMIF($BH$3:$CE$3,"&gt;"&amp;$CW$4,$AD46:$BA46)),
IF(CD$3=$DF46+'Model Setup'!$G$7,SUMIF($BH$3:$CE$3,"="&amp;$DF46+'Model Setup'!$G$7,$AD46:$BA46)+'Model Setup'!$G$8*(SUMIF($BH$3:$CE$3,"&lt;"&amp;$DF46,$AD46:$BA46)+SUMIF($BH$3:$CE$3,"&gt;"&amp;$CW$4,$AD46:$BA46)),
IF(CD$3=$DF46+'Model Setup'!$H$7,SUMIF($BH$3:$CE$3,"="&amp;$DF46+'Model Setup'!$H$7,$AD46:$BA46)+'Model Setup'!$H$8*(SUMIF($BH$3:$CE$3,"&lt;"&amp;$DF46,$AD46:$BA46)+SUMIF($BH$3:$CE$3,"&gt;"&amp;$CW$4,$AD46:$BA46)),
IF(CD$3=$DF46+'Model Setup'!$I$7,SUMIF($BH$3:$CE$3,"="&amp;$DF46+'Model Setup'!$I$7,$AD46:$BA46)+'Model Setup'!$I$8*(SUMIF($BH$3:$CE$3,"&lt;"&amp;$DF46,$AD46:$BA46)+SUMIF($BH$3:$CE$3,"&gt;"&amp;$CW$4,$AD46:$BA46)),
IF(CD$3=$DF46+'Model Setup'!$J$7,SUMIF($BH$3:$CE$3,"="&amp;$DF46+'Model Setup'!$J$7,$AD46:$BA46)+'Model Setup'!$J$8*(SUMIF($BH$3:$CE$3,"&lt;"&amp;$DF46,$AD46:$BA46)+SUMIF($BH$3:$CE$3,"&gt;"&amp;$CW$4,$AD46:$BA46)),
IF(CD$3=$DF46+'Model Setup'!$K$7,SUMIF($BH$3:$CE$3,"="&amp;$DF46+'Model Setup'!$K$7,$AD46:$BA46)+'Model Setup'!$K$8*(SUMIF($BH$3:$CE$3,"&lt;"&amp;$DF46,$AD46:$BA46)+SUMIF($BH$3:$CE$3,"&gt;"&amp;$CW$4,$AD46:$BA46)),
IF(CD$3=$DF46+'Model Setup'!$L$7,SUMIF($BH$3:$CE$3,"="&amp;$DF46+'Model Setup'!$L$7,$AD46:$BA46)+'Model Setup'!$L$8*(SUMIF($BH$3:$CE$3,"&lt;"&amp;$DF46,$AD46:$BA46)+SUMIF($BH$3:$CE$3,"&gt;"&amp;$CW$4,$AD46:$BA46)),
IF(CD$3=$DF46+'Model Setup'!$M$7,SUMIF($BH$3:$CE$3,"="&amp;$DF46+'Model Setup'!$M$7,$AD46:$BA46)+'Model Setup'!$M$8*(SUMIF($BH$3:$CE$3,"&lt;"&amp;$DF46,$AD46:$BA46)+SUMIF($BH$3:$CE$3,"&gt;"&amp;$CW$4,$AD46:$BA46)),
IF(CD$3=$DF46+'Model Setup'!$N$7,SUMIF($BH$3:$CE$3,"="&amp;$DF46+'Model Setup'!$N$7,$AD46:$BA46)+'Model Setup'!$N$8*(SUMIF($BH$3:$CE$3,"&lt;"&amp;$DF46,$AD46:$BA46)+SUMIF($BH$3:$CE$3,"&gt;"&amp;$CW$4,$AD46:$BA46)),
IF(CD$3&lt;$CW$4,X46,0))))))))))))))),0)</f>
        <v>0</v>
      </c>
      <c r="CE46" s="47">
        <f>ROUND(IF(OR(CE$3&lt;$DF46,CE$3&gt;$CW$4),0,
IF(CE$3=$DF46+'Model Setup'!$B$7,SUMIF($BH$3:$CE$3,"="&amp;$DF46+'Model Setup'!$B$7,$AD46:$BA46)+'Model Setup'!$B$8*(SUMIF($BH$3:$CE$3,"&lt;"&amp;$DF46,$AD46:$BA46)+SUMIF($BH$3:$CE$3,"&gt;"&amp;$CW$4,$AD46:$BA46)),
IF(CE$3=$DF46+'Model Setup'!$C$7,SUMIF($BH$3:$CE$3,"="&amp;$DF46+'Model Setup'!$C$7,$AD46:$BA46)+'Model Setup'!$C$8*(SUMIF($BH$3:$CE$3,"&lt;"&amp;$DF46,$AD46:$BA46)+SUMIF($BH$3:$CE$3,"&gt;"&amp;$CW$4,$AD46:$BA46)),
IF(CE$3=$DF46+'Model Setup'!$D$7,SUMIF($BH$3:$CE$3,"="&amp;$DF46+'Model Setup'!$D$7,$AD46:$BA46)+'Model Setup'!$D$8*(SUMIF($BH$3:$CE$3,"&lt;"&amp;$DF46,$AD46:$BA46)+SUMIF($BH$3:$CE$3,"&gt;"&amp;$CW$4,$AD46:$BA46)),
IF(CE$3=$DF46+'Model Setup'!$E$7,SUMIF($BH$3:$CE$3,"="&amp;$DF46+'Model Setup'!$E$7,$AD46:$BA46)+'Model Setup'!$E$8*(SUMIF($BH$3:$CE$3,"&lt;"&amp;$DF46,$AD46:$BA46)+SUMIF($BH$3:$CE$3,"&gt;"&amp;$CW$4,$AD46:$BA46)),
IF(CE$3=$DF46+'Model Setup'!$F$7,SUMIF($BH$3:$CE$3,"="&amp;$DF46+'Model Setup'!$F$7,$AD46:$BA46)+'Model Setup'!$F$8*(SUMIF($BH$3:$CE$3,"&lt;"&amp;$DF46,$AD46:$BA46)+SUMIF($BH$3:$CE$3,"&gt;"&amp;$CW$4,$AD46:$BA46)),
IF(CE$3=$DF46+'Model Setup'!$G$7,SUMIF($BH$3:$CE$3,"="&amp;$DF46+'Model Setup'!$G$7,$AD46:$BA46)+'Model Setup'!$G$8*(SUMIF($BH$3:$CE$3,"&lt;"&amp;$DF46,$AD46:$BA46)+SUMIF($BH$3:$CE$3,"&gt;"&amp;$CW$4,$AD46:$BA46)),
IF(CE$3=$DF46+'Model Setup'!$H$7,SUMIF($BH$3:$CE$3,"="&amp;$DF46+'Model Setup'!$H$7,$AD46:$BA46)+'Model Setup'!$H$8*(SUMIF($BH$3:$CE$3,"&lt;"&amp;$DF46,$AD46:$BA46)+SUMIF($BH$3:$CE$3,"&gt;"&amp;$CW$4,$AD46:$BA46)),
IF(CE$3=$DF46+'Model Setup'!$I$7,SUMIF($BH$3:$CE$3,"="&amp;$DF46+'Model Setup'!$I$7,$AD46:$BA46)+'Model Setup'!$I$8*(SUMIF($BH$3:$CE$3,"&lt;"&amp;$DF46,$AD46:$BA46)+SUMIF($BH$3:$CE$3,"&gt;"&amp;$CW$4,$AD46:$BA46)),
IF(CE$3=$DF46+'Model Setup'!$J$7,SUMIF($BH$3:$CE$3,"="&amp;$DF46+'Model Setup'!$J$7,$AD46:$BA46)+'Model Setup'!$J$8*(SUMIF($BH$3:$CE$3,"&lt;"&amp;$DF46,$AD46:$BA46)+SUMIF($BH$3:$CE$3,"&gt;"&amp;$CW$4,$AD46:$BA46)),
IF(CE$3=$DF46+'Model Setup'!$K$7,SUMIF($BH$3:$CE$3,"="&amp;$DF46+'Model Setup'!$K$7,$AD46:$BA46)+'Model Setup'!$K$8*(SUMIF($BH$3:$CE$3,"&lt;"&amp;$DF46,$AD46:$BA46)+SUMIF($BH$3:$CE$3,"&gt;"&amp;$CW$4,$AD46:$BA46)),
IF(CE$3=$DF46+'Model Setup'!$L$7,SUMIF($BH$3:$CE$3,"="&amp;$DF46+'Model Setup'!$L$7,$AD46:$BA46)+'Model Setup'!$L$8*(SUMIF($BH$3:$CE$3,"&lt;"&amp;$DF46,$AD46:$BA46)+SUMIF($BH$3:$CE$3,"&gt;"&amp;$CW$4,$AD46:$BA46)),
IF(CE$3=$DF46+'Model Setup'!$M$7,SUMIF($BH$3:$CE$3,"="&amp;$DF46+'Model Setup'!$M$7,$AD46:$BA46)+'Model Setup'!$M$8*(SUMIF($BH$3:$CE$3,"&lt;"&amp;$DF46,$AD46:$BA46)+SUMIF($BH$3:$CE$3,"&gt;"&amp;$CW$4,$AD46:$BA46)),
IF(CE$3=$DF46+'Model Setup'!$N$7,SUMIF($BH$3:$CE$3,"="&amp;$DF46+'Model Setup'!$N$7,$AD46:$BA46)+'Model Setup'!$N$8*(SUMIF($BH$3:$CE$3,"&lt;"&amp;$DF46,$AD46:$BA46)+SUMIF($BH$3:$CE$3,"&gt;"&amp;$CW$4,$AD46:$BA46)),
IF(CE$3&lt;$CW$4,Y46,0))))))))))))))),0)</f>
        <v>0</v>
      </c>
      <c r="CF46" s="47">
        <f t="shared" si="3"/>
        <v>502</v>
      </c>
      <c r="CG46" s="47">
        <f t="shared" si="4"/>
        <v>0</v>
      </c>
      <c r="CI46" s="10" t="s">
        <v>61</v>
      </c>
      <c r="CJ46" s="126">
        <f t="shared" si="9"/>
        <v>20</v>
      </c>
      <c r="CK46" s="126">
        <f t="shared" si="10"/>
        <v>55</v>
      </c>
      <c r="CL46" s="126">
        <f t="shared" si="11"/>
        <v>59</v>
      </c>
      <c r="CM46" s="126">
        <f t="shared" si="12"/>
        <v>58</v>
      </c>
      <c r="CN46" s="126">
        <f t="shared" si="13"/>
        <v>76</v>
      </c>
      <c r="CO46" s="126">
        <f t="shared" si="14"/>
        <v>51</v>
      </c>
      <c r="CP46" s="126">
        <f t="shared" si="15"/>
        <v>31</v>
      </c>
      <c r="CQ46" s="126">
        <f t="shared" si="16"/>
        <v>26</v>
      </c>
      <c r="CR46" s="126">
        <f t="shared" si="17"/>
        <v>20</v>
      </c>
      <c r="CS46" s="126">
        <f t="shared" si="18"/>
        <v>20</v>
      </c>
      <c r="CT46" s="126">
        <f t="shared" si="19"/>
        <v>34</v>
      </c>
      <c r="CU46" s="126">
        <f t="shared" si="20"/>
        <v>29</v>
      </c>
      <c r="CV46" s="126">
        <f t="shared" si="21"/>
        <v>23</v>
      </c>
      <c r="CW46" s="126">
        <f t="shared" si="22"/>
        <v>0</v>
      </c>
      <c r="CX46" s="126">
        <f t="shared" si="23"/>
        <v>0</v>
      </c>
      <c r="CY46" s="126">
        <f t="shared" si="24"/>
        <v>0</v>
      </c>
      <c r="CZ46" s="47">
        <f t="shared" si="7"/>
        <v>502</v>
      </c>
      <c r="DC46" s="93" t="s">
        <v>61</v>
      </c>
      <c r="DD46" s="89">
        <f>FTC!E44</f>
        <v>0.20833333333333334</v>
      </c>
      <c r="DE46" s="89">
        <f>FTC!F44</f>
        <v>0.75</v>
      </c>
      <c r="DF46" s="90">
        <f t="shared" si="25"/>
        <v>5</v>
      </c>
      <c r="DG46" s="91">
        <f t="shared" si="26"/>
        <v>18</v>
      </c>
      <c r="DH46" s="91">
        <f t="shared" si="27"/>
        <v>13</v>
      </c>
    </row>
    <row r="47" spans="1:112" x14ac:dyDescent="0.35">
      <c r="A47" s="43" t="s">
        <v>62</v>
      </c>
      <c r="B47" s="6"/>
      <c r="C47" s="47">
        <v>1</v>
      </c>
      <c r="D47" s="47">
        <v>1</v>
      </c>
      <c r="E47" s="47">
        <v>1</v>
      </c>
      <c r="F47" s="6"/>
      <c r="G47" s="47">
        <v>1</v>
      </c>
      <c r="H47" s="47">
        <v>12</v>
      </c>
      <c r="I47" s="47">
        <v>7</v>
      </c>
      <c r="J47" s="47">
        <v>12</v>
      </c>
      <c r="K47" s="47">
        <v>7</v>
      </c>
      <c r="L47" s="47">
        <v>3</v>
      </c>
      <c r="M47" s="47">
        <v>6</v>
      </c>
      <c r="N47" s="47">
        <v>4</v>
      </c>
      <c r="O47" s="47">
        <v>3</v>
      </c>
      <c r="P47" s="47">
        <v>5</v>
      </c>
      <c r="Q47" s="47">
        <v>2</v>
      </c>
      <c r="R47" s="47">
        <v>1</v>
      </c>
      <c r="S47" s="47">
        <v>1</v>
      </c>
      <c r="T47" s="47">
        <v>1</v>
      </c>
      <c r="U47" s="47">
        <v>1</v>
      </c>
      <c r="V47" s="47">
        <v>2</v>
      </c>
      <c r="W47" s="6"/>
      <c r="X47" s="47">
        <v>1</v>
      </c>
      <c r="Y47" s="47">
        <v>1</v>
      </c>
      <c r="Z47" s="47">
        <f t="shared" si="0"/>
        <v>73</v>
      </c>
      <c r="AC47" s="43" t="s">
        <v>62</v>
      </c>
      <c r="AD47" s="47">
        <f>ROUND(IF(AD$3&lt;$DF47,0,
IF(AD$3=$DF47+'Model Setup'!$B$7,SUMIF($AD$3:$BA$3,"="&amp;$DF47+'Model Setup'!$B$7,$B47:$Y47)+'Model Setup'!$B$8*(SUMIF($AD$3:$BA$3,"&lt;"&amp;$DF47,$B47:$Y47)+SUMIF($AD$3:$BA$3,"&gt;="&amp;$DG47,$B47:$Y47)),
IF(AD$3=$DF47+'Model Setup'!$C$7,SUMIF($AD$3:$BA$3,"="&amp;$DF47+'Model Setup'!$C$7,$B47:$Y47)+'Model Setup'!$C$8*(SUMIF($AD$3:$BA$3,"&lt;"&amp;$DF47,$B47:$Y47)+SUMIF($AD$3:$BA$3,"&gt;="&amp;$DG47,$B47:$Y47)),
IF(AD$3=$DF47+'Model Setup'!$D$7,SUMIF($AD$3:$BA$3,"="&amp;$DF47+'Model Setup'!$D$7,$B47:$Y47)+'Model Setup'!$D$8*(SUMIF($AD$3:$BA$3,"&lt;"&amp;$DF47,$B47:$Y47)+SUMIF($AD$3:$BA$3,"&gt;="&amp;$DG47,$B47:$Y47)),
IF(AD$3=$DF47+'Model Setup'!$E$7,SUMIF($AD$3:$BA$3,"="&amp;$DF47+'Model Setup'!$E$7,$B47:$Y47)+'Model Setup'!$E$8*(SUMIF($AD$3:$BA$3,"&lt;"&amp;$DF47,$B47:$Y47)+SUMIF($AD$3:$BA$3,"&gt;="&amp;$DG47,$B47:$Y47)),
IF(AD$3=$DF47+'Model Setup'!$F$7,SUMIF($AD$3:$BA$3,"="&amp;$DF47+'Model Setup'!$F$7,$B47:$Y47)+'Model Setup'!$F$8*(SUMIF($AD$3:$BA$3,"&lt;"&amp;$DF47,$B47:$Y47)+SUMIF($AD$3:$BA$3,"&gt;="&amp;$DG47,$B47:$Y47)),
IF(AD$3=$DF47+'Model Setup'!$G$7,SUMIF($AD$3:$BA$3,"="&amp;$DF47+'Model Setup'!$G$7,$B47:$Y47)+'Model Setup'!$G$8*(SUMIF($AD$3:$BA$3,"&lt;"&amp;$DF47,$B47:$Y47)+SUMIF($AD$3:$BA$3,"&gt;="&amp;$DG47,$B47:$Y47)),
IF(AD$3=$DF47+'Model Setup'!$H$7,SUMIF($AD$3:$BA$3,"="&amp;$DF47+'Model Setup'!$H$7,$B47:$Y47)+'Model Setup'!$H$8*(SUMIF($AD$3:$BA$3,"&lt;"&amp;$DF47,$B47:$Y47)+SUMIF($AD$3:$BA$3,"&gt;="&amp;$DG47,$B47:$Y47)),
IF(AD$3=$DF47+'Model Setup'!$I$7,SUMIF($AD$3:$BA$3,"="&amp;$DF47+'Model Setup'!$I$7,$B47:$Y47)+'Model Setup'!$I$8*(SUMIF($AD$3:$BA$3,"&lt;"&amp;$DF47,$B47:$Y47)+SUMIF($AD$3:$BA$3,"&gt;="&amp;$DG47,$B47:$Y47)),
IF(AD$3=$DF47+'Model Setup'!$J$7,SUMIF($AD$3:$BA$3,"="&amp;$DF47+'Model Setup'!$J$7,$B47:$Y47)+'Model Setup'!$J$8*(SUMIF($AD$3:$BA$3,"&lt;"&amp;$DF47,$B47:$Y47)+SUMIF($AD$3:$BA$3,"&gt;="&amp;$DG47,$B47:$Y47)),
IF(AD$3=$DF47+'Model Setup'!$K$7,SUMIF($AD$3:$BA$3,"="&amp;$DF47+'Model Setup'!$K$7,$B47:$Y47)+'Model Setup'!$K$8*(SUMIF($AD$3:$BA$3,"&lt;"&amp;$DF47,$B47:$Y47)+SUMIF($AD$3:$BA$3,"&gt;="&amp;$DG47,$B47:$Y47)),
IF(AD$3=$DF47+'Model Setup'!$L$7,SUMIF($AD$3:$BA$3,"="&amp;$DF47+'Model Setup'!$L$7,$B47:$Y47)+'Model Setup'!$L$8*(SUMIF($AD$3:$BA$3,"&lt;"&amp;$DF47,$B47:$Y47)+SUMIF($AD$3:$BA$3,"&gt;="&amp;$DG47,$B47:$Y47)),
IF(AD$3=$DF47+'Model Setup'!$M$7,SUMIF($AD$3:$BA$3,"="&amp;$DF47+'Model Setup'!$M$7,$B47:$Y47)+'Model Setup'!$M$8*(SUMIF($AD$3:$BA$3,"&lt;"&amp;$DF47,$B47:$Y47)+SUMIF($AD$3:$BA$3,"&gt;="&amp;$DG47,$B47:$Y47)),
IF(AD$3=$DF47+'Model Setup'!$N$7,SUMIF($AD$3:$BA$3,"="&amp;$DF47+'Model Setup'!$N$7,$B47:$Y47)+'Model Setup'!$N$8*(SUMIF($AD$3:$BA$3,"&lt;"&amp;$DF47,$B47:$Y47)+SUMIF($AD$3:$BA$3,"&gt;="&amp;$DG47,$B47:$Y47)),
IF(AD$3&lt;$DG47,B47,0))))))))))))))),0)</f>
        <v>0</v>
      </c>
      <c r="AE47" s="47">
        <f>ROUND(IF(AE$3&lt;$DF47,0,
IF(AE$3=$DF47+'Model Setup'!$B$7,SUMIF($AD$3:$BA$3,"="&amp;$DF47+'Model Setup'!$B$7,$B47:$Y47)+'Model Setup'!$B$8*(SUMIF($AD$3:$BA$3,"&lt;"&amp;$DF47,$B47:$Y47)+SUMIF($AD$3:$BA$3,"&gt;="&amp;$DG47,$B47:$Y47)),
IF(AE$3=$DF47+'Model Setup'!$C$7,SUMIF($AD$3:$BA$3,"="&amp;$DF47+'Model Setup'!$C$7,$B47:$Y47)+'Model Setup'!$C$8*(SUMIF($AD$3:$BA$3,"&lt;"&amp;$DF47,$B47:$Y47)+SUMIF($AD$3:$BA$3,"&gt;="&amp;$DG47,$B47:$Y47)),
IF(AE$3=$DF47+'Model Setup'!$D$7,SUMIF($AD$3:$BA$3,"="&amp;$DF47+'Model Setup'!$D$7,$B47:$Y47)+'Model Setup'!$D$8*(SUMIF($AD$3:$BA$3,"&lt;"&amp;$DF47,$B47:$Y47)+SUMIF($AD$3:$BA$3,"&gt;="&amp;$DG47,$B47:$Y47)),
IF(AE$3=$DF47+'Model Setup'!$E$7,SUMIF($AD$3:$BA$3,"="&amp;$DF47+'Model Setup'!$E$7,$B47:$Y47)+'Model Setup'!$E$8*(SUMIF($AD$3:$BA$3,"&lt;"&amp;$DF47,$B47:$Y47)+SUMIF($AD$3:$BA$3,"&gt;="&amp;$DG47,$B47:$Y47)),
IF(AE$3=$DF47+'Model Setup'!$F$7,SUMIF($AD$3:$BA$3,"="&amp;$DF47+'Model Setup'!$F$7,$B47:$Y47)+'Model Setup'!$F$8*(SUMIF($AD$3:$BA$3,"&lt;"&amp;$DF47,$B47:$Y47)+SUMIF($AD$3:$BA$3,"&gt;="&amp;$DG47,$B47:$Y47)),
IF(AE$3=$DF47+'Model Setup'!$G$7,SUMIF($AD$3:$BA$3,"="&amp;$DF47+'Model Setup'!$G$7,$B47:$Y47)+'Model Setup'!$G$8*(SUMIF($AD$3:$BA$3,"&lt;"&amp;$DF47,$B47:$Y47)+SUMIF($AD$3:$BA$3,"&gt;="&amp;$DG47,$B47:$Y47)),
IF(AE$3=$DF47+'Model Setup'!$H$7,SUMIF($AD$3:$BA$3,"="&amp;$DF47+'Model Setup'!$H$7,$B47:$Y47)+'Model Setup'!$H$8*(SUMIF($AD$3:$BA$3,"&lt;"&amp;$DF47,$B47:$Y47)+SUMIF($AD$3:$BA$3,"&gt;="&amp;$DG47,$B47:$Y47)),
IF(AE$3=$DF47+'Model Setup'!$I$7,SUMIF($AD$3:$BA$3,"="&amp;$DF47+'Model Setup'!$I$7,$B47:$Y47)+'Model Setup'!$I$8*(SUMIF($AD$3:$BA$3,"&lt;"&amp;$DF47,$B47:$Y47)+SUMIF($AD$3:$BA$3,"&gt;="&amp;$DG47,$B47:$Y47)),
IF(AE$3=$DF47+'Model Setup'!$J$7,SUMIF($AD$3:$BA$3,"="&amp;$DF47+'Model Setup'!$J$7,$B47:$Y47)+'Model Setup'!$J$8*(SUMIF($AD$3:$BA$3,"&lt;"&amp;$DF47,$B47:$Y47)+SUMIF($AD$3:$BA$3,"&gt;="&amp;$DG47,$B47:$Y47)),
IF(AE$3=$DF47+'Model Setup'!$K$7,SUMIF($AD$3:$BA$3,"="&amp;$DF47+'Model Setup'!$K$7,$B47:$Y47)+'Model Setup'!$K$8*(SUMIF($AD$3:$BA$3,"&lt;"&amp;$DF47,$B47:$Y47)+SUMIF($AD$3:$BA$3,"&gt;="&amp;$DG47,$B47:$Y47)),
IF(AE$3=$DF47+'Model Setup'!$L$7,SUMIF($AD$3:$BA$3,"="&amp;$DF47+'Model Setup'!$L$7,$B47:$Y47)+'Model Setup'!$L$8*(SUMIF($AD$3:$BA$3,"&lt;"&amp;$DF47,$B47:$Y47)+SUMIF($AD$3:$BA$3,"&gt;="&amp;$DG47,$B47:$Y47)),
IF(AE$3=$DF47+'Model Setup'!$M$7,SUMIF($AD$3:$BA$3,"="&amp;$DF47+'Model Setup'!$M$7,$B47:$Y47)+'Model Setup'!$M$8*(SUMIF($AD$3:$BA$3,"&lt;"&amp;$DF47,$B47:$Y47)+SUMIF($AD$3:$BA$3,"&gt;="&amp;$DG47,$B47:$Y47)),
IF(AE$3=$DF47+'Model Setup'!$N$7,SUMIF($AD$3:$BA$3,"="&amp;$DF47+'Model Setup'!$N$7,$B47:$Y47)+'Model Setup'!$N$8*(SUMIF($AD$3:$BA$3,"&lt;"&amp;$DF47,$B47:$Y47)+SUMIF($AD$3:$BA$3,"&gt;="&amp;$DG47,$B47:$Y47)),
IF(AE$3&lt;$DG47,C47,0))))))))))))))),0)</f>
        <v>0</v>
      </c>
      <c r="AF47" s="47">
        <f>ROUND(IF(AF$3&lt;$DF47,0,
IF(AF$3=$DF47+'Model Setup'!$B$7,SUMIF($AD$3:$BA$3,"="&amp;$DF47+'Model Setup'!$B$7,$B47:$Y47)+'Model Setup'!$B$8*(SUMIF($AD$3:$BA$3,"&lt;"&amp;$DF47,$B47:$Y47)+SUMIF($AD$3:$BA$3,"&gt;="&amp;$DG47,$B47:$Y47)),
IF(AF$3=$DF47+'Model Setup'!$C$7,SUMIF($AD$3:$BA$3,"="&amp;$DF47+'Model Setup'!$C$7,$B47:$Y47)+'Model Setup'!$C$8*(SUMIF($AD$3:$BA$3,"&lt;"&amp;$DF47,$B47:$Y47)+SUMIF($AD$3:$BA$3,"&gt;="&amp;$DG47,$B47:$Y47)),
IF(AF$3=$DF47+'Model Setup'!$D$7,SUMIF($AD$3:$BA$3,"="&amp;$DF47+'Model Setup'!$D$7,$B47:$Y47)+'Model Setup'!$D$8*(SUMIF($AD$3:$BA$3,"&lt;"&amp;$DF47,$B47:$Y47)+SUMIF($AD$3:$BA$3,"&gt;="&amp;$DG47,$B47:$Y47)),
IF(AF$3=$DF47+'Model Setup'!$E$7,SUMIF($AD$3:$BA$3,"="&amp;$DF47+'Model Setup'!$E$7,$B47:$Y47)+'Model Setup'!$E$8*(SUMIF($AD$3:$BA$3,"&lt;"&amp;$DF47,$B47:$Y47)+SUMIF($AD$3:$BA$3,"&gt;="&amp;$DG47,$B47:$Y47)),
IF(AF$3=$DF47+'Model Setup'!$F$7,SUMIF($AD$3:$BA$3,"="&amp;$DF47+'Model Setup'!$F$7,$B47:$Y47)+'Model Setup'!$F$8*(SUMIF($AD$3:$BA$3,"&lt;"&amp;$DF47,$B47:$Y47)+SUMIF($AD$3:$BA$3,"&gt;="&amp;$DG47,$B47:$Y47)),
IF(AF$3=$DF47+'Model Setup'!$G$7,SUMIF($AD$3:$BA$3,"="&amp;$DF47+'Model Setup'!$G$7,$B47:$Y47)+'Model Setup'!$G$8*(SUMIF($AD$3:$BA$3,"&lt;"&amp;$DF47,$B47:$Y47)+SUMIF($AD$3:$BA$3,"&gt;="&amp;$DG47,$B47:$Y47)),
IF(AF$3=$DF47+'Model Setup'!$H$7,SUMIF($AD$3:$BA$3,"="&amp;$DF47+'Model Setup'!$H$7,$B47:$Y47)+'Model Setup'!$H$8*(SUMIF($AD$3:$BA$3,"&lt;"&amp;$DF47,$B47:$Y47)+SUMIF($AD$3:$BA$3,"&gt;="&amp;$DG47,$B47:$Y47)),
IF(AF$3=$DF47+'Model Setup'!$I$7,SUMIF($AD$3:$BA$3,"="&amp;$DF47+'Model Setup'!$I$7,$B47:$Y47)+'Model Setup'!$I$8*(SUMIF($AD$3:$BA$3,"&lt;"&amp;$DF47,$B47:$Y47)+SUMIF($AD$3:$BA$3,"&gt;="&amp;$DG47,$B47:$Y47)),
IF(AF$3=$DF47+'Model Setup'!$J$7,SUMIF($AD$3:$BA$3,"="&amp;$DF47+'Model Setup'!$J$7,$B47:$Y47)+'Model Setup'!$J$8*(SUMIF($AD$3:$BA$3,"&lt;"&amp;$DF47,$B47:$Y47)+SUMIF($AD$3:$BA$3,"&gt;="&amp;$DG47,$B47:$Y47)),
IF(AF$3=$DF47+'Model Setup'!$K$7,SUMIF($AD$3:$BA$3,"="&amp;$DF47+'Model Setup'!$K$7,$B47:$Y47)+'Model Setup'!$K$8*(SUMIF($AD$3:$BA$3,"&lt;"&amp;$DF47,$B47:$Y47)+SUMIF($AD$3:$BA$3,"&gt;="&amp;$DG47,$B47:$Y47)),
IF(AF$3=$DF47+'Model Setup'!$L$7,SUMIF($AD$3:$BA$3,"="&amp;$DF47+'Model Setup'!$L$7,$B47:$Y47)+'Model Setup'!$L$8*(SUMIF($AD$3:$BA$3,"&lt;"&amp;$DF47,$B47:$Y47)+SUMIF($AD$3:$BA$3,"&gt;="&amp;$DG47,$B47:$Y47)),
IF(AF$3=$DF47+'Model Setup'!$M$7,SUMIF($AD$3:$BA$3,"="&amp;$DF47+'Model Setup'!$M$7,$B47:$Y47)+'Model Setup'!$M$8*(SUMIF($AD$3:$BA$3,"&lt;"&amp;$DF47,$B47:$Y47)+SUMIF($AD$3:$BA$3,"&gt;="&amp;$DG47,$B47:$Y47)),
IF(AF$3=$DF47+'Model Setup'!$N$7,SUMIF($AD$3:$BA$3,"="&amp;$DF47+'Model Setup'!$N$7,$B47:$Y47)+'Model Setup'!$N$8*(SUMIF($AD$3:$BA$3,"&lt;"&amp;$DF47,$B47:$Y47)+SUMIF($AD$3:$BA$3,"&gt;="&amp;$DG47,$B47:$Y47)),
IF(AF$3&lt;$DG47,D47,0))))))))))))))),0)</f>
        <v>0</v>
      </c>
      <c r="AG47" s="47">
        <f>ROUND(IF(AG$3&lt;$DF47,0,
IF(AG$3=$DF47+'Model Setup'!$B$7,SUMIF($AD$3:$BA$3,"="&amp;$DF47+'Model Setup'!$B$7,$B47:$Y47)+'Model Setup'!$B$8*(SUMIF($AD$3:$BA$3,"&lt;"&amp;$DF47,$B47:$Y47)+SUMIF($AD$3:$BA$3,"&gt;="&amp;$DG47,$B47:$Y47)),
IF(AG$3=$DF47+'Model Setup'!$C$7,SUMIF($AD$3:$BA$3,"="&amp;$DF47+'Model Setup'!$C$7,$B47:$Y47)+'Model Setup'!$C$8*(SUMIF($AD$3:$BA$3,"&lt;"&amp;$DF47,$B47:$Y47)+SUMIF($AD$3:$BA$3,"&gt;="&amp;$DG47,$B47:$Y47)),
IF(AG$3=$DF47+'Model Setup'!$D$7,SUMIF($AD$3:$BA$3,"="&amp;$DF47+'Model Setup'!$D$7,$B47:$Y47)+'Model Setup'!$D$8*(SUMIF($AD$3:$BA$3,"&lt;"&amp;$DF47,$B47:$Y47)+SUMIF($AD$3:$BA$3,"&gt;="&amp;$DG47,$B47:$Y47)),
IF(AG$3=$DF47+'Model Setup'!$E$7,SUMIF($AD$3:$BA$3,"="&amp;$DF47+'Model Setup'!$E$7,$B47:$Y47)+'Model Setup'!$E$8*(SUMIF($AD$3:$BA$3,"&lt;"&amp;$DF47,$B47:$Y47)+SUMIF($AD$3:$BA$3,"&gt;="&amp;$DG47,$B47:$Y47)),
IF(AG$3=$DF47+'Model Setup'!$F$7,SUMIF($AD$3:$BA$3,"="&amp;$DF47+'Model Setup'!$F$7,$B47:$Y47)+'Model Setup'!$F$8*(SUMIF($AD$3:$BA$3,"&lt;"&amp;$DF47,$B47:$Y47)+SUMIF($AD$3:$BA$3,"&gt;="&amp;$DG47,$B47:$Y47)),
IF(AG$3=$DF47+'Model Setup'!$G$7,SUMIF($AD$3:$BA$3,"="&amp;$DF47+'Model Setup'!$G$7,$B47:$Y47)+'Model Setup'!$G$8*(SUMIF($AD$3:$BA$3,"&lt;"&amp;$DF47,$B47:$Y47)+SUMIF($AD$3:$BA$3,"&gt;="&amp;$DG47,$B47:$Y47)),
IF(AG$3=$DF47+'Model Setup'!$H$7,SUMIF($AD$3:$BA$3,"="&amp;$DF47+'Model Setup'!$H$7,$B47:$Y47)+'Model Setup'!$H$8*(SUMIF($AD$3:$BA$3,"&lt;"&amp;$DF47,$B47:$Y47)+SUMIF($AD$3:$BA$3,"&gt;="&amp;$DG47,$B47:$Y47)),
IF(AG$3=$DF47+'Model Setup'!$I$7,SUMIF($AD$3:$BA$3,"="&amp;$DF47+'Model Setup'!$I$7,$B47:$Y47)+'Model Setup'!$I$8*(SUMIF($AD$3:$BA$3,"&lt;"&amp;$DF47,$B47:$Y47)+SUMIF($AD$3:$BA$3,"&gt;="&amp;$DG47,$B47:$Y47)),
IF(AG$3=$DF47+'Model Setup'!$J$7,SUMIF($AD$3:$BA$3,"="&amp;$DF47+'Model Setup'!$J$7,$B47:$Y47)+'Model Setup'!$J$8*(SUMIF($AD$3:$BA$3,"&lt;"&amp;$DF47,$B47:$Y47)+SUMIF($AD$3:$BA$3,"&gt;="&amp;$DG47,$B47:$Y47)),
IF(AG$3=$DF47+'Model Setup'!$K$7,SUMIF($AD$3:$BA$3,"="&amp;$DF47+'Model Setup'!$K$7,$B47:$Y47)+'Model Setup'!$K$8*(SUMIF($AD$3:$BA$3,"&lt;"&amp;$DF47,$B47:$Y47)+SUMIF($AD$3:$BA$3,"&gt;="&amp;$DG47,$B47:$Y47)),
IF(AG$3=$DF47+'Model Setup'!$L$7,SUMIF($AD$3:$BA$3,"="&amp;$DF47+'Model Setup'!$L$7,$B47:$Y47)+'Model Setup'!$L$8*(SUMIF($AD$3:$BA$3,"&lt;"&amp;$DF47,$B47:$Y47)+SUMIF($AD$3:$BA$3,"&gt;="&amp;$DG47,$B47:$Y47)),
IF(AG$3=$DF47+'Model Setup'!$M$7,SUMIF($AD$3:$BA$3,"="&amp;$DF47+'Model Setup'!$M$7,$B47:$Y47)+'Model Setup'!$M$8*(SUMIF($AD$3:$BA$3,"&lt;"&amp;$DF47,$B47:$Y47)+SUMIF($AD$3:$BA$3,"&gt;="&amp;$DG47,$B47:$Y47)),
IF(AG$3=$DF47+'Model Setup'!$N$7,SUMIF($AD$3:$BA$3,"="&amp;$DF47+'Model Setup'!$N$7,$B47:$Y47)+'Model Setup'!$N$8*(SUMIF($AD$3:$BA$3,"&lt;"&amp;$DF47,$B47:$Y47)+SUMIF($AD$3:$BA$3,"&gt;="&amp;$DG47,$B47:$Y47)),
IF(AG$3&lt;$DG47,E47,0))))))))))))))),0)</f>
        <v>0</v>
      </c>
      <c r="AH47" s="47">
        <f>ROUND(IF(AH$3&lt;$DF47,0,
IF(AH$3=$DF47+'Model Setup'!$B$7,SUMIF($AD$3:$BA$3,"="&amp;$DF47+'Model Setup'!$B$7,$B47:$Y47)+'Model Setup'!$B$8*(SUMIF($AD$3:$BA$3,"&lt;"&amp;$DF47,$B47:$Y47)+SUMIF($AD$3:$BA$3,"&gt;="&amp;$DG47,$B47:$Y47)),
IF(AH$3=$DF47+'Model Setup'!$C$7,SUMIF($AD$3:$BA$3,"="&amp;$DF47+'Model Setup'!$C$7,$B47:$Y47)+'Model Setup'!$C$8*(SUMIF($AD$3:$BA$3,"&lt;"&amp;$DF47,$B47:$Y47)+SUMIF($AD$3:$BA$3,"&gt;="&amp;$DG47,$B47:$Y47)),
IF(AH$3=$DF47+'Model Setup'!$D$7,SUMIF($AD$3:$BA$3,"="&amp;$DF47+'Model Setup'!$D$7,$B47:$Y47)+'Model Setup'!$D$8*(SUMIF($AD$3:$BA$3,"&lt;"&amp;$DF47,$B47:$Y47)+SUMIF($AD$3:$BA$3,"&gt;="&amp;$DG47,$B47:$Y47)),
IF(AH$3=$DF47+'Model Setup'!$E$7,SUMIF($AD$3:$BA$3,"="&amp;$DF47+'Model Setup'!$E$7,$B47:$Y47)+'Model Setup'!$E$8*(SUMIF($AD$3:$BA$3,"&lt;"&amp;$DF47,$B47:$Y47)+SUMIF($AD$3:$BA$3,"&gt;="&amp;$DG47,$B47:$Y47)),
IF(AH$3=$DF47+'Model Setup'!$F$7,SUMIF($AD$3:$BA$3,"="&amp;$DF47+'Model Setup'!$F$7,$B47:$Y47)+'Model Setup'!$F$8*(SUMIF($AD$3:$BA$3,"&lt;"&amp;$DF47,$B47:$Y47)+SUMIF($AD$3:$BA$3,"&gt;="&amp;$DG47,$B47:$Y47)),
IF(AH$3=$DF47+'Model Setup'!$G$7,SUMIF($AD$3:$BA$3,"="&amp;$DF47+'Model Setup'!$G$7,$B47:$Y47)+'Model Setup'!$G$8*(SUMIF($AD$3:$BA$3,"&lt;"&amp;$DF47,$B47:$Y47)+SUMIF($AD$3:$BA$3,"&gt;="&amp;$DG47,$B47:$Y47)),
IF(AH$3=$DF47+'Model Setup'!$H$7,SUMIF($AD$3:$BA$3,"="&amp;$DF47+'Model Setup'!$H$7,$B47:$Y47)+'Model Setup'!$H$8*(SUMIF($AD$3:$BA$3,"&lt;"&amp;$DF47,$B47:$Y47)+SUMIF($AD$3:$BA$3,"&gt;="&amp;$DG47,$B47:$Y47)),
IF(AH$3=$DF47+'Model Setup'!$I$7,SUMIF($AD$3:$BA$3,"="&amp;$DF47+'Model Setup'!$I$7,$B47:$Y47)+'Model Setup'!$I$8*(SUMIF($AD$3:$BA$3,"&lt;"&amp;$DF47,$B47:$Y47)+SUMIF($AD$3:$BA$3,"&gt;="&amp;$DG47,$B47:$Y47)),
IF(AH$3=$DF47+'Model Setup'!$J$7,SUMIF($AD$3:$BA$3,"="&amp;$DF47+'Model Setup'!$J$7,$B47:$Y47)+'Model Setup'!$J$8*(SUMIF($AD$3:$BA$3,"&lt;"&amp;$DF47,$B47:$Y47)+SUMIF($AD$3:$BA$3,"&gt;="&amp;$DG47,$B47:$Y47)),
IF(AH$3=$DF47+'Model Setup'!$K$7,SUMIF($AD$3:$BA$3,"="&amp;$DF47+'Model Setup'!$K$7,$B47:$Y47)+'Model Setup'!$K$8*(SUMIF($AD$3:$BA$3,"&lt;"&amp;$DF47,$B47:$Y47)+SUMIF($AD$3:$BA$3,"&gt;="&amp;$DG47,$B47:$Y47)),
IF(AH$3=$DF47+'Model Setup'!$L$7,SUMIF($AD$3:$BA$3,"="&amp;$DF47+'Model Setup'!$L$7,$B47:$Y47)+'Model Setup'!$L$8*(SUMIF($AD$3:$BA$3,"&lt;"&amp;$DF47,$B47:$Y47)+SUMIF($AD$3:$BA$3,"&gt;="&amp;$DG47,$B47:$Y47)),
IF(AH$3=$DF47+'Model Setup'!$M$7,SUMIF($AD$3:$BA$3,"="&amp;$DF47+'Model Setup'!$M$7,$B47:$Y47)+'Model Setup'!$M$8*(SUMIF($AD$3:$BA$3,"&lt;"&amp;$DF47,$B47:$Y47)+SUMIF($AD$3:$BA$3,"&gt;="&amp;$DG47,$B47:$Y47)),
IF(AH$3=$DF47+'Model Setup'!$N$7,SUMIF($AD$3:$BA$3,"="&amp;$DF47+'Model Setup'!$N$7,$B47:$Y47)+'Model Setup'!$N$8*(SUMIF($AD$3:$BA$3,"&lt;"&amp;$DF47,$B47:$Y47)+SUMIF($AD$3:$BA$3,"&gt;="&amp;$DG47,$B47:$Y47)),
IF(AH$3&lt;$DG47,F47,0))))))))))))))),0)</f>
        <v>0</v>
      </c>
      <c r="AI47" s="47">
        <f>ROUND(IF(AI$3&lt;$DF47,0,
IF(AI$3=$DF47+'Model Setup'!$B$7,SUMIF($AD$3:$BA$3,"="&amp;$DF47+'Model Setup'!$B$7,$B47:$Y47)+'Model Setup'!$B$8*(SUMIF($AD$3:$BA$3,"&lt;"&amp;$DF47,$B47:$Y47)+SUMIF($AD$3:$BA$3,"&gt;="&amp;$DG47,$B47:$Y47)),
IF(AI$3=$DF47+'Model Setup'!$C$7,SUMIF($AD$3:$BA$3,"="&amp;$DF47+'Model Setup'!$C$7,$B47:$Y47)+'Model Setup'!$C$8*(SUMIF($AD$3:$BA$3,"&lt;"&amp;$DF47,$B47:$Y47)+SUMIF($AD$3:$BA$3,"&gt;="&amp;$DG47,$B47:$Y47)),
IF(AI$3=$DF47+'Model Setup'!$D$7,SUMIF($AD$3:$BA$3,"="&amp;$DF47+'Model Setup'!$D$7,$B47:$Y47)+'Model Setup'!$D$8*(SUMIF($AD$3:$BA$3,"&lt;"&amp;$DF47,$B47:$Y47)+SUMIF($AD$3:$BA$3,"&gt;="&amp;$DG47,$B47:$Y47)),
IF(AI$3=$DF47+'Model Setup'!$E$7,SUMIF($AD$3:$BA$3,"="&amp;$DF47+'Model Setup'!$E$7,$B47:$Y47)+'Model Setup'!$E$8*(SUMIF($AD$3:$BA$3,"&lt;"&amp;$DF47,$B47:$Y47)+SUMIF($AD$3:$BA$3,"&gt;="&amp;$DG47,$B47:$Y47)),
IF(AI$3=$DF47+'Model Setup'!$F$7,SUMIF($AD$3:$BA$3,"="&amp;$DF47+'Model Setup'!$F$7,$B47:$Y47)+'Model Setup'!$F$8*(SUMIF($AD$3:$BA$3,"&lt;"&amp;$DF47,$B47:$Y47)+SUMIF($AD$3:$BA$3,"&gt;="&amp;$DG47,$B47:$Y47)),
IF(AI$3=$DF47+'Model Setup'!$G$7,SUMIF($AD$3:$BA$3,"="&amp;$DF47+'Model Setup'!$G$7,$B47:$Y47)+'Model Setup'!$G$8*(SUMIF($AD$3:$BA$3,"&lt;"&amp;$DF47,$B47:$Y47)+SUMIF($AD$3:$BA$3,"&gt;="&amp;$DG47,$B47:$Y47)),
IF(AI$3=$DF47+'Model Setup'!$H$7,SUMIF($AD$3:$BA$3,"="&amp;$DF47+'Model Setup'!$H$7,$B47:$Y47)+'Model Setup'!$H$8*(SUMIF($AD$3:$BA$3,"&lt;"&amp;$DF47,$B47:$Y47)+SUMIF($AD$3:$BA$3,"&gt;="&amp;$DG47,$B47:$Y47)),
IF(AI$3=$DF47+'Model Setup'!$I$7,SUMIF($AD$3:$BA$3,"="&amp;$DF47+'Model Setup'!$I$7,$B47:$Y47)+'Model Setup'!$I$8*(SUMIF($AD$3:$BA$3,"&lt;"&amp;$DF47,$B47:$Y47)+SUMIF($AD$3:$BA$3,"&gt;="&amp;$DG47,$B47:$Y47)),
IF(AI$3=$DF47+'Model Setup'!$J$7,SUMIF($AD$3:$BA$3,"="&amp;$DF47+'Model Setup'!$J$7,$B47:$Y47)+'Model Setup'!$J$8*(SUMIF($AD$3:$BA$3,"&lt;"&amp;$DF47,$B47:$Y47)+SUMIF($AD$3:$BA$3,"&gt;="&amp;$DG47,$B47:$Y47)),
IF(AI$3=$DF47+'Model Setup'!$K$7,SUMIF($AD$3:$BA$3,"="&amp;$DF47+'Model Setup'!$K$7,$B47:$Y47)+'Model Setup'!$K$8*(SUMIF($AD$3:$BA$3,"&lt;"&amp;$DF47,$B47:$Y47)+SUMIF($AD$3:$BA$3,"&gt;="&amp;$DG47,$B47:$Y47)),
IF(AI$3=$DF47+'Model Setup'!$L$7,SUMIF($AD$3:$BA$3,"="&amp;$DF47+'Model Setup'!$L$7,$B47:$Y47)+'Model Setup'!$L$8*(SUMIF($AD$3:$BA$3,"&lt;"&amp;$DF47,$B47:$Y47)+SUMIF($AD$3:$BA$3,"&gt;="&amp;$DG47,$B47:$Y47)),
IF(AI$3=$DF47+'Model Setup'!$M$7,SUMIF($AD$3:$BA$3,"="&amp;$DF47+'Model Setup'!$M$7,$B47:$Y47)+'Model Setup'!$M$8*(SUMIF($AD$3:$BA$3,"&lt;"&amp;$DF47,$B47:$Y47)+SUMIF($AD$3:$BA$3,"&gt;="&amp;$DG47,$B47:$Y47)),
IF(AI$3=$DF47+'Model Setup'!$N$7,SUMIF($AD$3:$BA$3,"="&amp;$DF47+'Model Setup'!$N$7,$B47:$Y47)+'Model Setup'!$N$8*(SUMIF($AD$3:$BA$3,"&lt;"&amp;$DF47,$B47:$Y47)+SUMIF($AD$3:$BA$3,"&gt;="&amp;$DG47,$B47:$Y47)),
IF(AI$3&lt;$DG47,G47,0))))))))))))))),0)</f>
        <v>0</v>
      </c>
      <c r="AJ47" s="47">
        <f>ROUND(IF(AJ$3&lt;$DF47,0,
IF(AJ$3=$DF47+'Model Setup'!$B$7,SUMIF($AD$3:$BA$3,"="&amp;$DF47+'Model Setup'!$B$7,$B47:$Y47)+'Model Setup'!$B$8*(SUMIF($AD$3:$BA$3,"&lt;"&amp;$DF47,$B47:$Y47)+SUMIF($AD$3:$BA$3,"&gt;="&amp;$DG47,$B47:$Y47)),
IF(AJ$3=$DF47+'Model Setup'!$C$7,SUMIF($AD$3:$BA$3,"="&amp;$DF47+'Model Setup'!$C$7,$B47:$Y47)+'Model Setup'!$C$8*(SUMIF($AD$3:$BA$3,"&lt;"&amp;$DF47,$B47:$Y47)+SUMIF($AD$3:$BA$3,"&gt;="&amp;$DG47,$B47:$Y47)),
IF(AJ$3=$DF47+'Model Setup'!$D$7,SUMIF($AD$3:$BA$3,"="&amp;$DF47+'Model Setup'!$D$7,$B47:$Y47)+'Model Setup'!$D$8*(SUMIF($AD$3:$BA$3,"&lt;"&amp;$DF47,$B47:$Y47)+SUMIF($AD$3:$BA$3,"&gt;="&amp;$DG47,$B47:$Y47)),
IF(AJ$3=$DF47+'Model Setup'!$E$7,SUMIF($AD$3:$BA$3,"="&amp;$DF47+'Model Setup'!$E$7,$B47:$Y47)+'Model Setup'!$E$8*(SUMIF($AD$3:$BA$3,"&lt;"&amp;$DF47,$B47:$Y47)+SUMIF($AD$3:$BA$3,"&gt;="&amp;$DG47,$B47:$Y47)),
IF(AJ$3=$DF47+'Model Setup'!$F$7,SUMIF($AD$3:$BA$3,"="&amp;$DF47+'Model Setup'!$F$7,$B47:$Y47)+'Model Setup'!$F$8*(SUMIF($AD$3:$BA$3,"&lt;"&amp;$DF47,$B47:$Y47)+SUMIF($AD$3:$BA$3,"&gt;="&amp;$DG47,$B47:$Y47)),
IF(AJ$3=$DF47+'Model Setup'!$G$7,SUMIF($AD$3:$BA$3,"="&amp;$DF47+'Model Setup'!$G$7,$B47:$Y47)+'Model Setup'!$G$8*(SUMIF($AD$3:$BA$3,"&lt;"&amp;$DF47,$B47:$Y47)+SUMIF($AD$3:$BA$3,"&gt;="&amp;$DG47,$B47:$Y47)),
IF(AJ$3=$DF47+'Model Setup'!$H$7,SUMIF($AD$3:$BA$3,"="&amp;$DF47+'Model Setup'!$H$7,$B47:$Y47)+'Model Setup'!$H$8*(SUMIF($AD$3:$BA$3,"&lt;"&amp;$DF47,$B47:$Y47)+SUMIF($AD$3:$BA$3,"&gt;="&amp;$DG47,$B47:$Y47)),
IF(AJ$3=$DF47+'Model Setup'!$I$7,SUMIF($AD$3:$BA$3,"="&amp;$DF47+'Model Setup'!$I$7,$B47:$Y47)+'Model Setup'!$I$8*(SUMIF($AD$3:$BA$3,"&lt;"&amp;$DF47,$B47:$Y47)+SUMIF($AD$3:$BA$3,"&gt;="&amp;$DG47,$B47:$Y47)),
IF(AJ$3=$DF47+'Model Setup'!$J$7,SUMIF($AD$3:$BA$3,"="&amp;$DF47+'Model Setup'!$J$7,$B47:$Y47)+'Model Setup'!$J$8*(SUMIF($AD$3:$BA$3,"&lt;"&amp;$DF47,$B47:$Y47)+SUMIF($AD$3:$BA$3,"&gt;="&amp;$DG47,$B47:$Y47)),
IF(AJ$3=$DF47+'Model Setup'!$K$7,SUMIF($AD$3:$BA$3,"="&amp;$DF47+'Model Setup'!$K$7,$B47:$Y47)+'Model Setup'!$K$8*(SUMIF($AD$3:$BA$3,"&lt;"&amp;$DF47,$B47:$Y47)+SUMIF($AD$3:$BA$3,"&gt;="&amp;$DG47,$B47:$Y47)),
IF(AJ$3=$DF47+'Model Setup'!$L$7,SUMIF($AD$3:$BA$3,"="&amp;$DF47+'Model Setup'!$L$7,$B47:$Y47)+'Model Setup'!$L$8*(SUMIF($AD$3:$BA$3,"&lt;"&amp;$DF47,$B47:$Y47)+SUMIF($AD$3:$BA$3,"&gt;="&amp;$DG47,$B47:$Y47)),
IF(AJ$3=$DF47+'Model Setup'!$M$7,SUMIF($AD$3:$BA$3,"="&amp;$DF47+'Model Setup'!$M$7,$B47:$Y47)+'Model Setup'!$M$8*(SUMIF($AD$3:$BA$3,"&lt;"&amp;$DF47,$B47:$Y47)+SUMIF($AD$3:$BA$3,"&gt;="&amp;$DG47,$B47:$Y47)),
IF(AJ$3=$DF47+'Model Setup'!$N$7,SUMIF($AD$3:$BA$3,"="&amp;$DF47+'Model Setup'!$N$7,$B47:$Y47)+'Model Setup'!$N$8*(SUMIF($AD$3:$BA$3,"&lt;"&amp;$DF47,$B47:$Y47)+SUMIF($AD$3:$BA$3,"&gt;="&amp;$DG47,$B47:$Y47)),
IF(AJ$3&lt;$DG47,H47,0))))))))))))))),0)</f>
        <v>0</v>
      </c>
      <c r="AK47" s="47">
        <f>ROUND(IF(AK$3&lt;$DF47,0,
IF(AK$3=$DF47+'Model Setup'!$B$7,SUMIF($AD$3:$BA$3,"="&amp;$DF47+'Model Setup'!$B$7,$B47:$Y47)+'Model Setup'!$B$8*(SUMIF($AD$3:$BA$3,"&lt;"&amp;$DF47,$B47:$Y47)+SUMIF($AD$3:$BA$3,"&gt;="&amp;$DG47,$B47:$Y47)),
IF(AK$3=$DF47+'Model Setup'!$C$7,SUMIF($AD$3:$BA$3,"="&amp;$DF47+'Model Setup'!$C$7,$B47:$Y47)+'Model Setup'!$C$8*(SUMIF($AD$3:$BA$3,"&lt;"&amp;$DF47,$B47:$Y47)+SUMIF($AD$3:$BA$3,"&gt;="&amp;$DG47,$B47:$Y47)),
IF(AK$3=$DF47+'Model Setup'!$D$7,SUMIF($AD$3:$BA$3,"="&amp;$DF47+'Model Setup'!$D$7,$B47:$Y47)+'Model Setup'!$D$8*(SUMIF($AD$3:$BA$3,"&lt;"&amp;$DF47,$B47:$Y47)+SUMIF($AD$3:$BA$3,"&gt;="&amp;$DG47,$B47:$Y47)),
IF(AK$3=$DF47+'Model Setup'!$E$7,SUMIF($AD$3:$BA$3,"="&amp;$DF47+'Model Setup'!$E$7,$B47:$Y47)+'Model Setup'!$E$8*(SUMIF($AD$3:$BA$3,"&lt;"&amp;$DF47,$B47:$Y47)+SUMIF($AD$3:$BA$3,"&gt;="&amp;$DG47,$B47:$Y47)),
IF(AK$3=$DF47+'Model Setup'!$F$7,SUMIF($AD$3:$BA$3,"="&amp;$DF47+'Model Setup'!$F$7,$B47:$Y47)+'Model Setup'!$F$8*(SUMIF($AD$3:$BA$3,"&lt;"&amp;$DF47,$B47:$Y47)+SUMIF($AD$3:$BA$3,"&gt;="&amp;$DG47,$B47:$Y47)),
IF(AK$3=$DF47+'Model Setup'!$G$7,SUMIF($AD$3:$BA$3,"="&amp;$DF47+'Model Setup'!$G$7,$B47:$Y47)+'Model Setup'!$G$8*(SUMIF($AD$3:$BA$3,"&lt;"&amp;$DF47,$B47:$Y47)+SUMIF($AD$3:$BA$3,"&gt;="&amp;$DG47,$B47:$Y47)),
IF(AK$3=$DF47+'Model Setup'!$H$7,SUMIF($AD$3:$BA$3,"="&amp;$DF47+'Model Setup'!$H$7,$B47:$Y47)+'Model Setup'!$H$8*(SUMIF($AD$3:$BA$3,"&lt;"&amp;$DF47,$B47:$Y47)+SUMIF($AD$3:$BA$3,"&gt;="&amp;$DG47,$B47:$Y47)),
IF(AK$3=$DF47+'Model Setup'!$I$7,SUMIF($AD$3:$BA$3,"="&amp;$DF47+'Model Setup'!$I$7,$B47:$Y47)+'Model Setup'!$I$8*(SUMIF($AD$3:$BA$3,"&lt;"&amp;$DF47,$B47:$Y47)+SUMIF($AD$3:$BA$3,"&gt;="&amp;$DG47,$B47:$Y47)),
IF(AK$3=$DF47+'Model Setup'!$J$7,SUMIF($AD$3:$BA$3,"="&amp;$DF47+'Model Setup'!$J$7,$B47:$Y47)+'Model Setup'!$J$8*(SUMIF($AD$3:$BA$3,"&lt;"&amp;$DF47,$B47:$Y47)+SUMIF($AD$3:$BA$3,"&gt;="&amp;$DG47,$B47:$Y47)),
IF(AK$3=$DF47+'Model Setup'!$K$7,SUMIF($AD$3:$BA$3,"="&amp;$DF47+'Model Setup'!$K$7,$B47:$Y47)+'Model Setup'!$K$8*(SUMIF($AD$3:$BA$3,"&lt;"&amp;$DF47,$B47:$Y47)+SUMIF($AD$3:$BA$3,"&gt;="&amp;$DG47,$B47:$Y47)),
IF(AK$3=$DF47+'Model Setup'!$L$7,SUMIF($AD$3:$BA$3,"="&amp;$DF47+'Model Setup'!$L$7,$B47:$Y47)+'Model Setup'!$L$8*(SUMIF($AD$3:$BA$3,"&lt;"&amp;$DF47,$B47:$Y47)+SUMIF($AD$3:$BA$3,"&gt;="&amp;$DG47,$B47:$Y47)),
IF(AK$3=$DF47+'Model Setup'!$M$7,SUMIF($AD$3:$BA$3,"="&amp;$DF47+'Model Setup'!$M$7,$B47:$Y47)+'Model Setup'!$M$8*(SUMIF($AD$3:$BA$3,"&lt;"&amp;$DF47,$B47:$Y47)+SUMIF($AD$3:$BA$3,"&gt;="&amp;$DG47,$B47:$Y47)),
IF(AK$3=$DF47+'Model Setup'!$N$7,SUMIF($AD$3:$BA$3,"="&amp;$DF47+'Model Setup'!$N$7,$B47:$Y47)+'Model Setup'!$N$8*(SUMIF($AD$3:$BA$3,"&lt;"&amp;$DF47,$B47:$Y47)+SUMIF($AD$3:$BA$3,"&gt;="&amp;$DG47,$B47:$Y47)),
IF(AK$3&lt;$DG47,I47,0))))))))))))))),0)</f>
        <v>7</v>
      </c>
      <c r="AL47" s="47">
        <f>ROUND(IF(AL$3&lt;$DF47,0,
IF(AL$3=$DF47+'Model Setup'!$B$7,SUMIF($AD$3:$BA$3,"="&amp;$DF47+'Model Setup'!$B$7,$B47:$Y47)+'Model Setup'!$B$8*(SUMIF($AD$3:$BA$3,"&lt;"&amp;$DF47,$B47:$Y47)+SUMIF($AD$3:$BA$3,"&gt;="&amp;$DG47,$B47:$Y47)),
IF(AL$3=$DF47+'Model Setup'!$C$7,SUMIF($AD$3:$BA$3,"="&amp;$DF47+'Model Setup'!$C$7,$B47:$Y47)+'Model Setup'!$C$8*(SUMIF($AD$3:$BA$3,"&lt;"&amp;$DF47,$B47:$Y47)+SUMIF($AD$3:$BA$3,"&gt;="&amp;$DG47,$B47:$Y47)),
IF(AL$3=$DF47+'Model Setup'!$D$7,SUMIF($AD$3:$BA$3,"="&amp;$DF47+'Model Setup'!$D$7,$B47:$Y47)+'Model Setup'!$D$8*(SUMIF($AD$3:$BA$3,"&lt;"&amp;$DF47,$B47:$Y47)+SUMIF($AD$3:$BA$3,"&gt;="&amp;$DG47,$B47:$Y47)),
IF(AL$3=$DF47+'Model Setup'!$E$7,SUMIF($AD$3:$BA$3,"="&amp;$DF47+'Model Setup'!$E$7,$B47:$Y47)+'Model Setup'!$E$8*(SUMIF($AD$3:$BA$3,"&lt;"&amp;$DF47,$B47:$Y47)+SUMIF($AD$3:$BA$3,"&gt;="&amp;$DG47,$B47:$Y47)),
IF(AL$3=$DF47+'Model Setup'!$F$7,SUMIF($AD$3:$BA$3,"="&amp;$DF47+'Model Setup'!$F$7,$B47:$Y47)+'Model Setup'!$F$8*(SUMIF($AD$3:$BA$3,"&lt;"&amp;$DF47,$B47:$Y47)+SUMIF($AD$3:$BA$3,"&gt;="&amp;$DG47,$B47:$Y47)),
IF(AL$3=$DF47+'Model Setup'!$G$7,SUMIF($AD$3:$BA$3,"="&amp;$DF47+'Model Setup'!$G$7,$B47:$Y47)+'Model Setup'!$G$8*(SUMIF($AD$3:$BA$3,"&lt;"&amp;$DF47,$B47:$Y47)+SUMIF($AD$3:$BA$3,"&gt;="&amp;$DG47,$B47:$Y47)),
IF(AL$3=$DF47+'Model Setup'!$H$7,SUMIF($AD$3:$BA$3,"="&amp;$DF47+'Model Setup'!$H$7,$B47:$Y47)+'Model Setup'!$H$8*(SUMIF($AD$3:$BA$3,"&lt;"&amp;$DF47,$B47:$Y47)+SUMIF($AD$3:$BA$3,"&gt;="&amp;$DG47,$B47:$Y47)),
IF(AL$3=$DF47+'Model Setup'!$I$7,SUMIF($AD$3:$BA$3,"="&amp;$DF47+'Model Setup'!$I$7,$B47:$Y47)+'Model Setup'!$I$8*(SUMIF($AD$3:$BA$3,"&lt;"&amp;$DF47,$B47:$Y47)+SUMIF($AD$3:$BA$3,"&gt;="&amp;$DG47,$B47:$Y47)),
IF(AL$3=$DF47+'Model Setup'!$J$7,SUMIF($AD$3:$BA$3,"="&amp;$DF47+'Model Setup'!$J$7,$B47:$Y47)+'Model Setup'!$J$8*(SUMIF($AD$3:$BA$3,"&lt;"&amp;$DF47,$B47:$Y47)+SUMIF($AD$3:$BA$3,"&gt;="&amp;$DG47,$B47:$Y47)),
IF(AL$3=$DF47+'Model Setup'!$K$7,SUMIF($AD$3:$BA$3,"="&amp;$DF47+'Model Setup'!$K$7,$B47:$Y47)+'Model Setup'!$K$8*(SUMIF($AD$3:$BA$3,"&lt;"&amp;$DF47,$B47:$Y47)+SUMIF($AD$3:$BA$3,"&gt;="&amp;$DG47,$B47:$Y47)),
IF(AL$3=$DF47+'Model Setup'!$L$7,SUMIF($AD$3:$BA$3,"="&amp;$DF47+'Model Setup'!$L$7,$B47:$Y47)+'Model Setup'!$L$8*(SUMIF($AD$3:$BA$3,"&lt;"&amp;$DF47,$B47:$Y47)+SUMIF($AD$3:$BA$3,"&gt;="&amp;$DG47,$B47:$Y47)),
IF(AL$3=$DF47+'Model Setup'!$M$7,SUMIF($AD$3:$BA$3,"="&amp;$DF47+'Model Setup'!$M$7,$B47:$Y47)+'Model Setup'!$M$8*(SUMIF($AD$3:$BA$3,"&lt;"&amp;$DF47,$B47:$Y47)+SUMIF($AD$3:$BA$3,"&gt;="&amp;$DG47,$B47:$Y47)),
IF(AL$3=$DF47+'Model Setup'!$N$7,SUMIF($AD$3:$BA$3,"="&amp;$DF47+'Model Setup'!$N$7,$B47:$Y47)+'Model Setup'!$N$8*(SUMIF($AD$3:$BA$3,"&lt;"&amp;$DF47,$B47:$Y47)+SUMIF($AD$3:$BA$3,"&gt;="&amp;$DG47,$B47:$Y47)),
IF(AL$3&lt;$DG47,J47,0))))))))))))))),0)</f>
        <v>12</v>
      </c>
      <c r="AM47" s="47">
        <f>ROUND(IF(AM$3&lt;$DF47,0,
IF(AM$3=$DF47+'Model Setup'!$B$7,SUMIF($AD$3:$BA$3,"="&amp;$DF47+'Model Setup'!$B$7,$B47:$Y47)+'Model Setup'!$B$8*(SUMIF($AD$3:$BA$3,"&lt;"&amp;$DF47,$B47:$Y47)+SUMIF($AD$3:$BA$3,"&gt;="&amp;$DG47,$B47:$Y47)),
IF(AM$3=$DF47+'Model Setup'!$C$7,SUMIF($AD$3:$BA$3,"="&amp;$DF47+'Model Setup'!$C$7,$B47:$Y47)+'Model Setup'!$C$8*(SUMIF($AD$3:$BA$3,"&lt;"&amp;$DF47,$B47:$Y47)+SUMIF($AD$3:$BA$3,"&gt;="&amp;$DG47,$B47:$Y47)),
IF(AM$3=$DF47+'Model Setup'!$D$7,SUMIF($AD$3:$BA$3,"="&amp;$DF47+'Model Setup'!$D$7,$B47:$Y47)+'Model Setup'!$D$8*(SUMIF($AD$3:$BA$3,"&lt;"&amp;$DF47,$B47:$Y47)+SUMIF($AD$3:$BA$3,"&gt;="&amp;$DG47,$B47:$Y47)),
IF(AM$3=$DF47+'Model Setup'!$E$7,SUMIF($AD$3:$BA$3,"="&amp;$DF47+'Model Setup'!$E$7,$B47:$Y47)+'Model Setup'!$E$8*(SUMIF($AD$3:$BA$3,"&lt;"&amp;$DF47,$B47:$Y47)+SUMIF($AD$3:$BA$3,"&gt;="&amp;$DG47,$B47:$Y47)),
IF(AM$3=$DF47+'Model Setup'!$F$7,SUMIF($AD$3:$BA$3,"="&amp;$DF47+'Model Setup'!$F$7,$B47:$Y47)+'Model Setup'!$F$8*(SUMIF($AD$3:$BA$3,"&lt;"&amp;$DF47,$B47:$Y47)+SUMIF($AD$3:$BA$3,"&gt;="&amp;$DG47,$B47:$Y47)),
IF(AM$3=$DF47+'Model Setup'!$G$7,SUMIF($AD$3:$BA$3,"="&amp;$DF47+'Model Setup'!$G$7,$B47:$Y47)+'Model Setup'!$G$8*(SUMIF($AD$3:$BA$3,"&lt;"&amp;$DF47,$B47:$Y47)+SUMIF($AD$3:$BA$3,"&gt;="&amp;$DG47,$B47:$Y47)),
IF(AM$3=$DF47+'Model Setup'!$H$7,SUMIF($AD$3:$BA$3,"="&amp;$DF47+'Model Setup'!$H$7,$B47:$Y47)+'Model Setup'!$H$8*(SUMIF($AD$3:$BA$3,"&lt;"&amp;$DF47,$B47:$Y47)+SUMIF($AD$3:$BA$3,"&gt;="&amp;$DG47,$B47:$Y47)),
IF(AM$3=$DF47+'Model Setup'!$I$7,SUMIF($AD$3:$BA$3,"="&amp;$DF47+'Model Setup'!$I$7,$B47:$Y47)+'Model Setup'!$I$8*(SUMIF($AD$3:$BA$3,"&lt;"&amp;$DF47,$B47:$Y47)+SUMIF($AD$3:$BA$3,"&gt;="&amp;$DG47,$B47:$Y47)),
IF(AM$3=$DF47+'Model Setup'!$J$7,SUMIF($AD$3:$BA$3,"="&amp;$DF47+'Model Setup'!$J$7,$B47:$Y47)+'Model Setup'!$J$8*(SUMIF($AD$3:$BA$3,"&lt;"&amp;$DF47,$B47:$Y47)+SUMIF($AD$3:$BA$3,"&gt;="&amp;$DG47,$B47:$Y47)),
IF(AM$3=$DF47+'Model Setup'!$K$7,SUMIF($AD$3:$BA$3,"="&amp;$DF47+'Model Setup'!$K$7,$B47:$Y47)+'Model Setup'!$K$8*(SUMIF($AD$3:$BA$3,"&lt;"&amp;$DF47,$B47:$Y47)+SUMIF($AD$3:$BA$3,"&gt;="&amp;$DG47,$B47:$Y47)),
IF(AM$3=$DF47+'Model Setup'!$L$7,SUMIF($AD$3:$BA$3,"="&amp;$DF47+'Model Setup'!$L$7,$B47:$Y47)+'Model Setup'!$L$8*(SUMIF($AD$3:$BA$3,"&lt;"&amp;$DF47,$B47:$Y47)+SUMIF($AD$3:$BA$3,"&gt;="&amp;$DG47,$B47:$Y47)),
IF(AM$3=$DF47+'Model Setup'!$M$7,SUMIF($AD$3:$BA$3,"="&amp;$DF47+'Model Setup'!$M$7,$B47:$Y47)+'Model Setup'!$M$8*(SUMIF($AD$3:$BA$3,"&lt;"&amp;$DF47,$B47:$Y47)+SUMIF($AD$3:$BA$3,"&gt;="&amp;$DG47,$B47:$Y47)),
IF(AM$3=$DF47+'Model Setup'!$N$7,SUMIF($AD$3:$BA$3,"="&amp;$DF47+'Model Setup'!$N$7,$B47:$Y47)+'Model Setup'!$N$8*(SUMIF($AD$3:$BA$3,"&lt;"&amp;$DF47,$B47:$Y47)+SUMIF($AD$3:$BA$3,"&gt;="&amp;$DG47,$B47:$Y47)),
IF(AM$3&lt;$DG47,K47,0))))))))))))))),0)</f>
        <v>7</v>
      </c>
      <c r="AN47" s="47">
        <f>ROUND(IF(AN$3&lt;$DF47,0,
IF(AN$3=$DF47+'Model Setup'!$B$7,SUMIF($AD$3:$BA$3,"="&amp;$DF47+'Model Setup'!$B$7,$B47:$Y47)+'Model Setup'!$B$8*(SUMIF($AD$3:$BA$3,"&lt;"&amp;$DF47,$B47:$Y47)+SUMIF($AD$3:$BA$3,"&gt;="&amp;$DG47,$B47:$Y47)),
IF(AN$3=$DF47+'Model Setup'!$C$7,SUMIF($AD$3:$BA$3,"="&amp;$DF47+'Model Setup'!$C$7,$B47:$Y47)+'Model Setup'!$C$8*(SUMIF($AD$3:$BA$3,"&lt;"&amp;$DF47,$B47:$Y47)+SUMIF($AD$3:$BA$3,"&gt;="&amp;$DG47,$B47:$Y47)),
IF(AN$3=$DF47+'Model Setup'!$D$7,SUMIF($AD$3:$BA$3,"="&amp;$DF47+'Model Setup'!$D$7,$B47:$Y47)+'Model Setup'!$D$8*(SUMIF($AD$3:$BA$3,"&lt;"&amp;$DF47,$B47:$Y47)+SUMIF($AD$3:$BA$3,"&gt;="&amp;$DG47,$B47:$Y47)),
IF(AN$3=$DF47+'Model Setup'!$E$7,SUMIF($AD$3:$BA$3,"="&amp;$DF47+'Model Setup'!$E$7,$B47:$Y47)+'Model Setup'!$E$8*(SUMIF($AD$3:$BA$3,"&lt;"&amp;$DF47,$B47:$Y47)+SUMIF($AD$3:$BA$3,"&gt;="&amp;$DG47,$B47:$Y47)),
IF(AN$3=$DF47+'Model Setup'!$F$7,SUMIF($AD$3:$BA$3,"="&amp;$DF47+'Model Setup'!$F$7,$B47:$Y47)+'Model Setup'!$F$8*(SUMIF($AD$3:$BA$3,"&lt;"&amp;$DF47,$B47:$Y47)+SUMIF($AD$3:$BA$3,"&gt;="&amp;$DG47,$B47:$Y47)),
IF(AN$3=$DF47+'Model Setup'!$G$7,SUMIF($AD$3:$BA$3,"="&amp;$DF47+'Model Setup'!$G$7,$B47:$Y47)+'Model Setup'!$G$8*(SUMIF($AD$3:$BA$3,"&lt;"&amp;$DF47,$B47:$Y47)+SUMIF($AD$3:$BA$3,"&gt;="&amp;$DG47,$B47:$Y47)),
IF(AN$3=$DF47+'Model Setup'!$H$7,SUMIF($AD$3:$BA$3,"="&amp;$DF47+'Model Setup'!$H$7,$B47:$Y47)+'Model Setup'!$H$8*(SUMIF($AD$3:$BA$3,"&lt;"&amp;$DF47,$B47:$Y47)+SUMIF($AD$3:$BA$3,"&gt;="&amp;$DG47,$B47:$Y47)),
IF(AN$3=$DF47+'Model Setup'!$I$7,SUMIF($AD$3:$BA$3,"="&amp;$DF47+'Model Setup'!$I$7,$B47:$Y47)+'Model Setup'!$I$8*(SUMIF($AD$3:$BA$3,"&lt;"&amp;$DF47,$B47:$Y47)+SUMIF($AD$3:$BA$3,"&gt;="&amp;$DG47,$B47:$Y47)),
IF(AN$3=$DF47+'Model Setup'!$J$7,SUMIF($AD$3:$BA$3,"="&amp;$DF47+'Model Setup'!$J$7,$B47:$Y47)+'Model Setup'!$J$8*(SUMIF($AD$3:$BA$3,"&lt;"&amp;$DF47,$B47:$Y47)+SUMIF($AD$3:$BA$3,"&gt;="&amp;$DG47,$B47:$Y47)),
IF(AN$3=$DF47+'Model Setup'!$K$7,SUMIF($AD$3:$BA$3,"="&amp;$DF47+'Model Setup'!$K$7,$B47:$Y47)+'Model Setup'!$K$8*(SUMIF($AD$3:$BA$3,"&lt;"&amp;$DF47,$B47:$Y47)+SUMIF($AD$3:$BA$3,"&gt;="&amp;$DG47,$B47:$Y47)),
IF(AN$3=$DF47+'Model Setup'!$L$7,SUMIF($AD$3:$BA$3,"="&amp;$DF47+'Model Setup'!$L$7,$B47:$Y47)+'Model Setup'!$L$8*(SUMIF($AD$3:$BA$3,"&lt;"&amp;$DF47,$B47:$Y47)+SUMIF($AD$3:$BA$3,"&gt;="&amp;$DG47,$B47:$Y47)),
IF(AN$3=$DF47+'Model Setup'!$M$7,SUMIF($AD$3:$BA$3,"="&amp;$DF47+'Model Setup'!$M$7,$B47:$Y47)+'Model Setup'!$M$8*(SUMIF($AD$3:$BA$3,"&lt;"&amp;$DF47,$B47:$Y47)+SUMIF($AD$3:$BA$3,"&gt;="&amp;$DG47,$B47:$Y47)),
IF(AN$3=$DF47+'Model Setup'!$N$7,SUMIF($AD$3:$BA$3,"="&amp;$DF47+'Model Setup'!$N$7,$B47:$Y47)+'Model Setup'!$N$8*(SUMIF($AD$3:$BA$3,"&lt;"&amp;$DF47,$B47:$Y47)+SUMIF($AD$3:$BA$3,"&gt;="&amp;$DG47,$B47:$Y47)),
IF(AN$3&lt;$DG47,L47,0))))))))))))))),0)</f>
        <v>3</v>
      </c>
      <c r="AO47" s="47">
        <f>ROUND(IF(AO$3&lt;$DF47,0,
IF(AO$3=$DF47+'Model Setup'!$B$7,SUMIF($AD$3:$BA$3,"="&amp;$DF47+'Model Setup'!$B$7,$B47:$Y47)+'Model Setup'!$B$8*(SUMIF($AD$3:$BA$3,"&lt;"&amp;$DF47,$B47:$Y47)+SUMIF($AD$3:$BA$3,"&gt;="&amp;$DG47,$B47:$Y47)),
IF(AO$3=$DF47+'Model Setup'!$C$7,SUMIF($AD$3:$BA$3,"="&amp;$DF47+'Model Setup'!$C$7,$B47:$Y47)+'Model Setup'!$C$8*(SUMIF($AD$3:$BA$3,"&lt;"&amp;$DF47,$B47:$Y47)+SUMIF($AD$3:$BA$3,"&gt;="&amp;$DG47,$B47:$Y47)),
IF(AO$3=$DF47+'Model Setup'!$D$7,SUMIF($AD$3:$BA$3,"="&amp;$DF47+'Model Setup'!$D$7,$B47:$Y47)+'Model Setup'!$D$8*(SUMIF($AD$3:$BA$3,"&lt;"&amp;$DF47,$B47:$Y47)+SUMIF($AD$3:$BA$3,"&gt;="&amp;$DG47,$B47:$Y47)),
IF(AO$3=$DF47+'Model Setup'!$E$7,SUMIF($AD$3:$BA$3,"="&amp;$DF47+'Model Setup'!$E$7,$B47:$Y47)+'Model Setup'!$E$8*(SUMIF($AD$3:$BA$3,"&lt;"&amp;$DF47,$B47:$Y47)+SUMIF($AD$3:$BA$3,"&gt;="&amp;$DG47,$B47:$Y47)),
IF(AO$3=$DF47+'Model Setup'!$F$7,SUMIF($AD$3:$BA$3,"="&amp;$DF47+'Model Setup'!$F$7,$B47:$Y47)+'Model Setup'!$F$8*(SUMIF($AD$3:$BA$3,"&lt;"&amp;$DF47,$B47:$Y47)+SUMIF($AD$3:$BA$3,"&gt;="&amp;$DG47,$B47:$Y47)),
IF(AO$3=$DF47+'Model Setup'!$G$7,SUMIF($AD$3:$BA$3,"="&amp;$DF47+'Model Setup'!$G$7,$B47:$Y47)+'Model Setup'!$G$8*(SUMIF($AD$3:$BA$3,"&lt;"&amp;$DF47,$B47:$Y47)+SUMIF($AD$3:$BA$3,"&gt;="&amp;$DG47,$B47:$Y47)),
IF(AO$3=$DF47+'Model Setup'!$H$7,SUMIF($AD$3:$BA$3,"="&amp;$DF47+'Model Setup'!$H$7,$B47:$Y47)+'Model Setup'!$H$8*(SUMIF($AD$3:$BA$3,"&lt;"&amp;$DF47,$B47:$Y47)+SUMIF($AD$3:$BA$3,"&gt;="&amp;$DG47,$B47:$Y47)),
IF(AO$3=$DF47+'Model Setup'!$I$7,SUMIF($AD$3:$BA$3,"="&amp;$DF47+'Model Setup'!$I$7,$B47:$Y47)+'Model Setup'!$I$8*(SUMIF($AD$3:$BA$3,"&lt;"&amp;$DF47,$B47:$Y47)+SUMIF($AD$3:$BA$3,"&gt;="&amp;$DG47,$B47:$Y47)),
IF(AO$3=$DF47+'Model Setup'!$J$7,SUMIF($AD$3:$BA$3,"="&amp;$DF47+'Model Setup'!$J$7,$B47:$Y47)+'Model Setup'!$J$8*(SUMIF($AD$3:$BA$3,"&lt;"&amp;$DF47,$B47:$Y47)+SUMIF($AD$3:$BA$3,"&gt;="&amp;$DG47,$B47:$Y47)),
IF(AO$3=$DF47+'Model Setup'!$K$7,SUMIF($AD$3:$BA$3,"="&amp;$DF47+'Model Setup'!$K$7,$B47:$Y47)+'Model Setup'!$K$8*(SUMIF($AD$3:$BA$3,"&lt;"&amp;$DF47,$B47:$Y47)+SUMIF($AD$3:$BA$3,"&gt;="&amp;$DG47,$B47:$Y47)),
IF(AO$3=$DF47+'Model Setup'!$L$7,SUMIF($AD$3:$BA$3,"="&amp;$DF47+'Model Setup'!$L$7,$B47:$Y47)+'Model Setup'!$L$8*(SUMIF($AD$3:$BA$3,"&lt;"&amp;$DF47,$B47:$Y47)+SUMIF($AD$3:$BA$3,"&gt;="&amp;$DG47,$B47:$Y47)),
IF(AO$3=$DF47+'Model Setup'!$M$7,SUMIF($AD$3:$BA$3,"="&amp;$DF47+'Model Setup'!$M$7,$B47:$Y47)+'Model Setup'!$M$8*(SUMIF($AD$3:$BA$3,"&lt;"&amp;$DF47,$B47:$Y47)+SUMIF($AD$3:$BA$3,"&gt;="&amp;$DG47,$B47:$Y47)),
IF(AO$3=$DF47+'Model Setup'!$N$7,SUMIF($AD$3:$BA$3,"="&amp;$DF47+'Model Setup'!$N$7,$B47:$Y47)+'Model Setup'!$N$8*(SUMIF($AD$3:$BA$3,"&lt;"&amp;$DF47,$B47:$Y47)+SUMIF($AD$3:$BA$3,"&gt;="&amp;$DG47,$B47:$Y47)),
IF(AO$3&lt;$DG47,M47,0))))))))))))))),0)</f>
        <v>6</v>
      </c>
      <c r="AP47" s="47">
        <f>ROUND(IF(AP$3&lt;$DF47,0,
IF(AP$3=$DF47+'Model Setup'!$B$7,SUMIF($AD$3:$BA$3,"="&amp;$DF47+'Model Setup'!$B$7,$B47:$Y47)+'Model Setup'!$B$8*(SUMIF($AD$3:$BA$3,"&lt;"&amp;$DF47,$B47:$Y47)+SUMIF($AD$3:$BA$3,"&gt;="&amp;$DG47,$B47:$Y47)),
IF(AP$3=$DF47+'Model Setup'!$C$7,SUMIF($AD$3:$BA$3,"="&amp;$DF47+'Model Setup'!$C$7,$B47:$Y47)+'Model Setup'!$C$8*(SUMIF($AD$3:$BA$3,"&lt;"&amp;$DF47,$B47:$Y47)+SUMIF($AD$3:$BA$3,"&gt;="&amp;$DG47,$B47:$Y47)),
IF(AP$3=$DF47+'Model Setup'!$D$7,SUMIF($AD$3:$BA$3,"="&amp;$DF47+'Model Setup'!$D$7,$B47:$Y47)+'Model Setup'!$D$8*(SUMIF($AD$3:$BA$3,"&lt;"&amp;$DF47,$B47:$Y47)+SUMIF($AD$3:$BA$3,"&gt;="&amp;$DG47,$B47:$Y47)),
IF(AP$3=$DF47+'Model Setup'!$E$7,SUMIF($AD$3:$BA$3,"="&amp;$DF47+'Model Setup'!$E$7,$B47:$Y47)+'Model Setup'!$E$8*(SUMIF($AD$3:$BA$3,"&lt;"&amp;$DF47,$B47:$Y47)+SUMIF($AD$3:$BA$3,"&gt;="&amp;$DG47,$B47:$Y47)),
IF(AP$3=$DF47+'Model Setup'!$F$7,SUMIF($AD$3:$BA$3,"="&amp;$DF47+'Model Setup'!$F$7,$B47:$Y47)+'Model Setup'!$F$8*(SUMIF($AD$3:$BA$3,"&lt;"&amp;$DF47,$B47:$Y47)+SUMIF($AD$3:$BA$3,"&gt;="&amp;$DG47,$B47:$Y47)),
IF(AP$3=$DF47+'Model Setup'!$G$7,SUMIF($AD$3:$BA$3,"="&amp;$DF47+'Model Setup'!$G$7,$B47:$Y47)+'Model Setup'!$G$8*(SUMIF($AD$3:$BA$3,"&lt;"&amp;$DF47,$B47:$Y47)+SUMIF($AD$3:$BA$3,"&gt;="&amp;$DG47,$B47:$Y47)),
IF(AP$3=$DF47+'Model Setup'!$H$7,SUMIF($AD$3:$BA$3,"="&amp;$DF47+'Model Setup'!$H$7,$B47:$Y47)+'Model Setup'!$H$8*(SUMIF($AD$3:$BA$3,"&lt;"&amp;$DF47,$B47:$Y47)+SUMIF($AD$3:$BA$3,"&gt;="&amp;$DG47,$B47:$Y47)),
IF(AP$3=$DF47+'Model Setup'!$I$7,SUMIF($AD$3:$BA$3,"="&amp;$DF47+'Model Setup'!$I$7,$B47:$Y47)+'Model Setup'!$I$8*(SUMIF($AD$3:$BA$3,"&lt;"&amp;$DF47,$B47:$Y47)+SUMIF($AD$3:$BA$3,"&gt;="&amp;$DG47,$B47:$Y47)),
IF(AP$3=$DF47+'Model Setup'!$J$7,SUMIF($AD$3:$BA$3,"="&amp;$DF47+'Model Setup'!$J$7,$B47:$Y47)+'Model Setup'!$J$8*(SUMIF($AD$3:$BA$3,"&lt;"&amp;$DF47,$B47:$Y47)+SUMIF($AD$3:$BA$3,"&gt;="&amp;$DG47,$B47:$Y47)),
IF(AP$3=$DF47+'Model Setup'!$K$7,SUMIF($AD$3:$BA$3,"="&amp;$DF47+'Model Setup'!$K$7,$B47:$Y47)+'Model Setup'!$K$8*(SUMIF($AD$3:$BA$3,"&lt;"&amp;$DF47,$B47:$Y47)+SUMIF($AD$3:$BA$3,"&gt;="&amp;$DG47,$B47:$Y47)),
IF(AP$3=$DF47+'Model Setup'!$L$7,SUMIF($AD$3:$BA$3,"="&amp;$DF47+'Model Setup'!$L$7,$B47:$Y47)+'Model Setup'!$L$8*(SUMIF($AD$3:$BA$3,"&lt;"&amp;$DF47,$B47:$Y47)+SUMIF($AD$3:$BA$3,"&gt;="&amp;$DG47,$B47:$Y47)),
IF(AP$3=$DF47+'Model Setup'!$M$7,SUMIF($AD$3:$BA$3,"="&amp;$DF47+'Model Setup'!$M$7,$B47:$Y47)+'Model Setup'!$M$8*(SUMIF($AD$3:$BA$3,"&lt;"&amp;$DF47,$B47:$Y47)+SUMIF($AD$3:$BA$3,"&gt;="&amp;$DG47,$B47:$Y47)),
IF(AP$3=$DF47+'Model Setup'!$N$7,SUMIF($AD$3:$BA$3,"="&amp;$DF47+'Model Setup'!$N$7,$B47:$Y47)+'Model Setup'!$N$8*(SUMIF($AD$3:$BA$3,"&lt;"&amp;$DF47,$B47:$Y47)+SUMIF($AD$3:$BA$3,"&gt;="&amp;$DG47,$B47:$Y47)),
IF(AP$3&lt;$DG47,N47,0))))))))))))))),0)</f>
        <v>4</v>
      </c>
      <c r="AQ47" s="47">
        <f>ROUND(IF(AQ$3&lt;$DF47,0,
IF(AQ$3=$DF47+'Model Setup'!$B$7,SUMIF($AD$3:$BA$3,"="&amp;$DF47+'Model Setup'!$B$7,$B47:$Y47)+'Model Setup'!$B$8*(SUMIF($AD$3:$BA$3,"&lt;"&amp;$DF47,$B47:$Y47)+SUMIF($AD$3:$BA$3,"&gt;="&amp;$DG47,$B47:$Y47)),
IF(AQ$3=$DF47+'Model Setup'!$C$7,SUMIF($AD$3:$BA$3,"="&amp;$DF47+'Model Setup'!$C$7,$B47:$Y47)+'Model Setup'!$C$8*(SUMIF($AD$3:$BA$3,"&lt;"&amp;$DF47,$B47:$Y47)+SUMIF($AD$3:$BA$3,"&gt;="&amp;$DG47,$B47:$Y47)),
IF(AQ$3=$DF47+'Model Setup'!$D$7,SUMIF($AD$3:$BA$3,"="&amp;$DF47+'Model Setup'!$D$7,$B47:$Y47)+'Model Setup'!$D$8*(SUMIF($AD$3:$BA$3,"&lt;"&amp;$DF47,$B47:$Y47)+SUMIF($AD$3:$BA$3,"&gt;="&amp;$DG47,$B47:$Y47)),
IF(AQ$3=$DF47+'Model Setup'!$E$7,SUMIF($AD$3:$BA$3,"="&amp;$DF47+'Model Setup'!$E$7,$B47:$Y47)+'Model Setup'!$E$8*(SUMIF($AD$3:$BA$3,"&lt;"&amp;$DF47,$B47:$Y47)+SUMIF($AD$3:$BA$3,"&gt;="&amp;$DG47,$B47:$Y47)),
IF(AQ$3=$DF47+'Model Setup'!$F$7,SUMIF($AD$3:$BA$3,"="&amp;$DF47+'Model Setup'!$F$7,$B47:$Y47)+'Model Setup'!$F$8*(SUMIF($AD$3:$BA$3,"&lt;"&amp;$DF47,$B47:$Y47)+SUMIF($AD$3:$BA$3,"&gt;="&amp;$DG47,$B47:$Y47)),
IF(AQ$3=$DF47+'Model Setup'!$G$7,SUMIF($AD$3:$BA$3,"="&amp;$DF47+'Model Setup'!$G$7,$B47:$Y47)+'Model Setup'!$G$8*(SUMIF($AD$3:$BA$3,"&lt;"&amp;$DF47,$B47:$Y47)+SUMIF($AD$3:$BA$3,"&gt;="&amp;$DG47,$B47:$Y47)),
IF(AQ$3=$DF47+'Model Setup'!$H$7,SUMIF($AD$3:$BA$3,"="&amp;$DF47+'Model Setup'!$H$7,$B47:$Y47)+'Model Setup'!$H$8*(SUMIF($AD$3:$BA$3,"&lt;"&amp;$DF47,$B47:$Y47)+SUMIF($AD$3:$BA$3,"&gt;="&amp;$DG47,$B47:$Y47)),
IF(AQ$3=$DF47+'Model Setup'!$I$7,SUMIF($AD$3:$BA$3,"="&amp;$DF47+'Model Setup'!$I$7,$B47:$Y47)+'Model Setup'!$I$8*(SUMIF($AD$3:$BA$3,"&lt;"&amp;$DF47,$B47:$Y47)+SUMIF($AD$3:$BA$3,"&gt;="&amp;$DG47,$B47:$Y47)),
IF(AQ$3=$DF47+'Model Setup'!$J$7,SUMIF($AD$3:$BA$3,"="&amp;$DF47+'Model Setup'!$J$7,$B47:$Y47)+'Model Setup'!$J$8*(SUMIF($AD$3:$BA$3,"&lt;"&amp;$DF47,$B47:$Y47)+SUMIF($AD$3:$BA$3,"&gt;="&amp;$DG47,$B47:$Y47)),
IF(AQ$3=$DF47+'Model Setup'!$K$7,SUMIF($AD$3:$BA$3,"="&amp;$DF47+'Model Setup'!$K$7,$B47:$Y47)+'Model Setup'!$K$8*(SUMIF($AD$3:$BA$3,"&lt;"&amp;$DF47,$B47:$Y47)+SUMIF($AD$3:$BA$3,"&gt;="&amp;$DG47,$B47:$Y47)),
IF(AQ$3=$DF47+'Model Setup'!$L$7,SUMIF($AD$3:$BA$3,"="&amp;$DF47+'Model Setup'!$L$7,$B47:$Y47)+'Model Setup'!$L$8*(SUMIF($AD$3:$BA$3,"&lt;"&amp;$DF47,$B47:$Y47)+SUMIF($AD$3:$BA$3,"&gt;="&amp;$DG47,$B47:$Y47)),
IF(AQ$3=$DF47+'Model Setup'!$M$7,SUMIF($AD$3:$BA$3,"="&amp;$DF47+'Model Setup'!$M$7,$B47:$Y47)+'Model Setup'!$M$8*(SUMIF($AD$3:$BA$3,"&lt;"&amp;$DF47,$B47:$Y47)+SUMIF($AD$3:$BA$3,"&gt;="&amp;$DG47,$B47:$Y47)),
IF(AQ$3=$DF47+'Model Setup'!$N$7,SUMIF($AD$3:$BA$3,"="&amp;$DF47+'Model Setup'!$N$7,$B47:$Y47)+'Model Setup'!$N$8*(SUMIF($AD$3:$BA$3,"&lt;"&amp;$DF47,$B47:$Y47)+SUMIF($AD$3:$BA$3,"&gt;="&amp;$DG47,$B47:$Y47)),
IF(AQ$3&lt;$DG47,O47,0))))))))))))))),0)</f>
        <v>3</v>
      </c>
      <c r="AR47" s="47">
        <f>ROUND(IF(AR$3&lt;$DF47,0,
IF(AR$3=$DF47+'Model Setup'!$B$7,SUMIF($AD$3:$BA$3,"="&amp;$DF47+'Model Setup'!$B$7,$B47:$Y47)+'Model Setup'!$B$8*(SUMIF($AD$3:$BA$3,"&lt;"&amp;$DF47,$B47:$Y47)+SUMIF($AD$3:$BA$3,"&gt;="&amp;$DG47,$B47:$Y47)),
IF(AR$3=$DF47+'Model Setup'!$C$7,SUMIF($AD$3:$BA$3,"="&amp;$DF47+'Model Setup'!$C$7,$B47:$Y47)+'Model Setup'!$C$8*(SUMIF($AD$3:$BA$3,"&lt;"&amp;$DF47,$B47:$Y47)+SUMIF($AD$3:$BA$3,"&gt;="&amp;$DG47,$B47:$Y47)),
IF(AR$3=$DF47+'Model Setup'!$D$7,SUMIF($AD$3:$BA$3,"="&amp;$DF47+'Model Setup'!$D$7,$B47:$Y47)+'Model Setup'!$D$8*(SUMIF($AD$3:$BA$3,"&lt;"&amp;$DF47,$B47:$Y47)+SUMIF($AD$3:$BA$3,"&gt;="&amp;$DG47,$B47:$Y47)),
IF(AR$3=$DF47+'Model Setup'!$E$7,SUMIF($AD$3:$BA$3,"="&amp;$DF47+'Model Setup'!$E$7,$B47:$Y47)+'Model Setup'!$E$8*(SUMIF($AD$3:$BA$3,"&lt;"&amp;$DF47,$B47:$Y47)+SUMIF($AD$3:$BA$3,"&gt;="&amp;$DG47,$B47:$Y47)),
IF(AR$3=$DF47+'Model Setup'!$F$7,SUMIF($AD$3:$BA$3,"="&amp;$DF47+'Model Setup'!$F$7,$B47:$Y47)+'Model Setup'!$F$8*(SUMIF($AD$3:$BA$3,"&lt;"&amp;$DF47,$B47:$Y47)+SUMIF($AD$3:$BA$3,"&gt;="&amp;$DG47,$B47:$Y47)),
IF(AR$3=$DF47+'Model Setup'!$G$7,SUMIF($AD$3:$BA$3,"="&amp;$DF47+'Model Setup'!$G$7,$B47:$Y47)+'Model Setup'!$G$8*(SUMIF($AD$3:$BA$3,"&lt;"&amp;$DF47,$B47:$Y47)+SUMIF($AD$3:$BA$3,"&gt;="&amp;$DG47,$B47:$Y47)),
IF(AR$3=$DF47+'Model Setup'!$H$7,SUMIF($AD$3:$BA$3,"="&amp;$DF47+'Model Setup'!$H$7,$B47:$Y47)+'Model Setup'!$H$8*(SUMIF($AD$3:$BA$3,"&lt;"&amp;$DF47,$B47:$Y47)+SUMIF($AD$3:$BA$3,"&gt;="&amp;$DG47,$B47:$Y47)),
IF(AR$3=$DF47+'Model Setup'!$I$7,SUMIF($AD$3:$BA$3,"="&amp;$DF47+'Model Setup'!$I$7,$B47:$Y47)+'Model Setup'!$I$8*(SUMIF($AD$3:$BA$3,"&lt;"&amp;$DF47,$B47:$Y47)+SUMIF($AD$3:$BA$3,"&gt;="&amp;$DG47,$B47:$Y47)),
IF(AR$3=$DF47+'Model Setup'!$J$7,SUMIF($AD$3:$BA$3,"="&amp;$DF47+'Model Setup'!$J$7,$B47:$Y47)+'Model Setup'!$J$8*(SUMIF($AD$3:$BA$3,"&lt;"&amp;$DF47,$B47:$Y47)+SUMIF($AD$3:$BA$3,"&gt;="&amp;$DG47,$B47:$Y47)),
IF(AR$3=$DF47+'Model Setup'!$K$7,SUMIF($AD$3:$BA$3,"="&amp;$DF47+'Model Setup'!$K$7,$B47:$Y47)+'Model Setup'!$K$8*(SUMIF($AD$3:$BA$3,"&lt;"&amp;$DF47,$B47:$Y47)+SUMIF($AD$3:$BA$3,"&gt;="&amp;$DG47,$B47:$Y47)),
IF(AR$3=$DF47+'Model Setup'!$L$7,SUMIF($AD$3:$BA$3,"="&amp;$DF47+'Model Setup'!$L$7,$B47:$Y47)+'Model Setup'!$L$8*(SUMIF($AD$3:$BA$3,"&lt;"&amp;$DF47,$B47:$Y47)+SUMIF($AD$3:$BA$3,"&gt;="&amp;$DG47,$B47:$Y47)),
IF(AR$3=$DF47+'Model Setup'!$M$7,SUMIF($AD$3:$BA$3,"="&amp;$DF47+'Model Setup'!$M$7,$B47:$Y47)+'Model Setup'!$M$8*(SUMIF($AD$3:$BA$3,"&lt;"&amp;$DF47,$B47:$Y47)+SUMIF($AD$3:$BA$3,"&gt;="&amp;$DG47,$B47:$Y47)),
IF(AR$3=$DF47+'Model Setup'!$N$7,SUMIF($AD$3:$BA$3,"="&amp;$DF47+'Model Setup'!$N$7,$B47:$Y47)+'Model Setup'!$N$8*(SUMIF($AD$3:$BA$3,"&lt;"&amp;$DF47,$B47:$Y47)+SUMIF($AD$3:$BA$3,"&gt;="&amp;$DG47,$B47:$Y47)),
IF(AR$3&lt;$DG47,P47,0))))))))))))))),0)</f>
        <v>5</v>
      </c>
      <c r="AS47" s="47">
        <f>ROUND(IF(AS$3&lt;$DF47,0,
IF(AS$3=$DF47+'Model Setup'!$B$7,SUMIF($AD$3:$BA$3,"="&amp;$DF47+'Model Setup'!$B$7,$B47:$Y47)+'Model Setup'!$B$8*(SUMIF($AD$3:$BA$3,"&lt;"&amp;$DF47,$B47:$Y47)+SUMIF($AD$3:$BA$3,"&gt;="&amp;$DG47,$B47:$Y47)),
IF(AS$3=$DF47+'Model Setup'!$C$7,SUMIF($AD$3:$BA$3,"="&amp;$DF47+'Model Setup'!$C$7,$B47:$Y47)+'Model Setup'!$C$8*(SUMIF($AD$3:$BA$3,"&lt;"&amp;$DF47,$B47:$Y47)+SUMIF($AD$3:$BA$3,"&gt;="&amp;$DG47,$B47:$Y47)),
IF(AS$3=$DF47+'Model Setup'!$D$7,SUMIF($AD$3:$BA$3,"="&amp;$DF47+'Model Setup'!$D$7,$B47:$Y47)+'Model Setup'!$D$8*(SUMIF($AD$3:$BA$3,"&lt;"&amp;$DF47,$B47:$Y47)+SUMIF($AD$3:$BA$3,"&gt;="&amp;$DG47,$B47:$Y47)),
IF(AS$3=$DF47+'Model Setup'!$E$7,SUMIF($AD$3:$BA$3,"="&amp;$DF47+'Model Setup'!$E$7,$B47:$Y47)+'Model Setup'!$E$8*(SUMIF($AD$3:$BA$3,"&lt;"&amp;$DF47,$B47:$Y47)+SUMIF($AD$3:$BA$3,"&gt;="&amp;$DG47,$B47:$Y47)),
IF(AS$3=$DF47+'Model Setup'!$F$7,SUMIF($AD$3:$BA$3,"="&amp;$DF47+'Model Setup'!$F$7,$B47:$Y47)+'Model Setup'!$F$8*(SUMIF($AD$3:$BA$3,"&lt;"&amp;$DF47,$B47:$Y47)+SUMIF($AD$3:$BA$3,"&gt;="&amp;$DG47,$B47:$Y47)),
IF(AS$3=$DF47+'Model Setup'!$G$7,SUMIF($AD$3:$BA$3,"="&amp;$DF47+'Model Setup'!$G$7,$B47:$Y47)+'Model Setup'!$G$8*(SUMIF($AD$3:$BA$3,"&lt;"&amp;$DF47,$B47:$Y47)+SUMIF($AD$3:$BA$3,"&gt;="&amp;$DG47,$B47:$Y47)),
IF(AS$3=$DF47+'Model Setup'!$H$7,SUMIF($AD$3:$BA$3,"="&amp;$DF47+'Model Setup'!$H$7,$B47:$Y47)+'Model Setup'!$H$8*(SUMIF($AD$3:$BA$3,"&lt;"&amp;$DF47,$B47:$Y47)+SUMIF($AD$3:$BA$3,"&gt;="&amp;$DG47,$B47:$Y47)),
IF(AS$3=$DF47+'Model Setup'!$I$7,SUMIF($AD$3:$BA$3,"="&amp;$DF47+'Model Setup'!$I$7,$B47:$Y47)+'Model Setup'!$I$8*(SUMIF($AD$3:$BA$3,"&lt;"&amp;$DF47,$B47:$Y47)+SUMIF($AD$3:$BA$3,"&gt;="&amp;$DG47,$B47:$Y47)),
IF(AS$3=$DF47+'Model Setup'!$J$7,SUMIF($AD$3:$BA$3,"="&amp;$DF47+'Model Setup'!$J$7,$B47:$Y47)+'Model Setup'!$J$8*(SUMIF($AD$3:$BA$3,"&lt;"&amp;$DF47,$B47:$Y47)+SUMIF($AD$3:$BA$3,"&gt;="&amp;$DG47,$B47:$Y47)),
IF(AS$3=$DF47+'Model Setup'!$K$7,SUMIF($AD$3:$BA$3,"="&amp;$DF47+'Model Setup'!$K$7,$B47:$Y47)+'Model Setup'!$K$8*(SUMIF($AD$3:$BA$3,"&lt;"&amp;$DF47,$B47:$Y47)+SUMIF($AD$3:$BA$3,"&gt;="&amp;$DG47,$B47:$Y47)),
IF(AS$3=$DF47+'Model Setup'!$L$7,SUMIF($AD$3:$BA$3,"="&amp;$DF47+'Model Setup'!$L$7,$B47:$Y47)+'Model Setup'!$L$8*(SUMIF($AD$3:$BA$3,"&lt;"&amp;$DF47,$B47:$Y47)+SUMIF($AD$3:$BA$3,"&gt;="&amp;$DG47,$B47:$Y47)),
IF(AS$3=$DF47+'Model Setup'!$M$7,SUMIF($AD$3:$BA$3,"="&amp;$DF47+'Model Setup'!$M$7,$B47:$Y47)+'Model Setup'!$M$8*(SUMIF($AD$3:$BA$3,"&lt;"&amp;$DF47,$B47:$Y47)+SUMIF($AD$3:$BA$3,"&gt;="&amp;$DG47,$B47:$Y47)),
IF(AS$3=$DF47+'Model Setup'!$N$7,SUMIF($AD$3:$BA$3,"="&amp;$DF47+'Model Setup'!$N$7,$B47:$Y47)+'Model Setup'!$N$8*(SUMIF($AD$3:$BA$3,"&lt;"&amp;$DF47,$B47:$Y47)+SUMIF($AD$3:$BA$3,"&gt;="&amp;$DG47,$B47:$Y47)),
IF(AS$3&lt;$DG47,Q47,0))))))))))))))),0)</f>
        <v>2</v>
      </c>
      <c r="AT47" s="47">
        <f>ROUND(IF(AT$3&lt;$DF47,0,
IF(AT$3=$DF47+'Model Setup'!$B$7,SUMIF($AD$3:$BA$3,"="&amp;$DF47+'Model Setup'!$B$7,$B47:$Y47)+'Model Setup'!$B$8*(SUMIF($AD$3:$BA$3,"&lt;"&amp;$DF47,$B47:$Y47)+SUMIF($AD$3:$BA$3,"&gt;="&amp;$DG47,$B47:$Y47)),
IF(AT$3=$DF47+'Model Setup'!$C$7,SUMIF($AD$3:$BA$3,"="&amp;$DF47+'Model Setup'!$C$7,$B47:$Y47)+'Model Setup'!$C$8*(SUMIF($AD$3:$BA$3,"&lt;"&amp;$DF47,$B47:$Y47)+SUMIF($AD$3:$BA$3,"&gt;="&amp;$DG47,$B47:$Y47)),
IF(AT$3=$DF47+'Model Setup'!$D$7,SUMIF($AD$3:$BA$3,"="&amp;$DF47+'Model Setup'!$D$7,$B47:$Y47)+'Model Setup'!$D$8*(SUMIF($AD$3:$BA$3,"&lt;"&amp;$DF47,$B47:$Y47)+SUMIF($AD$3:$BA$3,"&gt;="&amp;$DG47,$B47:$Y47)),
IF(AT$3=$DF47+'Model Setup'!$E$7,SUMIF($AD$3:$BA$3,"="&amp;$DF47+'Model Setup'!$E$7,$B47:$Y47)+'Model Setup'!$E$8*(SUMIF($AD$3:$BA$3,"&lt;"&amp;$DF47,$B47:$Y47)+SUMIF($AD$3:$BA$3,"&gt;="&amp;$DG47,$B47:$Y47)),
IF(AT$3=$DF47+'Model Setup'!$F$7,SUMIF($AD$3:$BA$3,"="&amp;$DF47+'Model Setup'!$F$7,$B47:$Y47)+'Model Setup'!$F$8*(SUMIF($AD$3:$BA$3,"&lt;"&amp;$DF47,$B47:$Y47)+SUMIF($AD$3:$BA$3,"&gt;="&amp;$DG47,$B47:$Y47)),
IF(AT$3=$DF47+'Model Setup'!$G$7,SUMIF($AD$3:$BA$3,"="&amp;$DF47+'Model Setup'!$G$7,$B47:$Y47)+'Model Setup'!$G$8*(SUMIF($AD$3:$BA$3,"&lt;"&amp;$DF47,$B47:$Y47)+SUMIF($AD$3:$BA$3,"&gt;="&amp;$DG47,$B47:$Y47)),
IF(AT$3=$DF47+'Model Setup'!$H$7,SUMIF($AD$3:$BA$3,"="&amp;$DF47+'Model Setup'!$H$7,$B47:$Y47)+'Model Setup'!$H$8*(SUMIF($AD$3:$BA$3,"&lt;"&amp;$DF47,$B47:$Y47)+SUMIF($AD$3:$BA$3,"&gt;="&amp;$DG47,$B47:$Y47)),
IF(AT$3=$DF47+'Model Setup'!$I$7,SUMIF($AD$3:$BA$3,"="&amp;$DF47+'Model Setup'!$I$7,$B47:$Y47)+'Model Setup'!$I$8*(SUMIF($AD$3:$BA$3,"&lt;"&amp;$DF47,$B47:$Y47)+SUMIF($AD$3:$BA$3,"&gt;="&amp;$DG47,$B47:$Y47)),
IF(AT$3=$DF47+'Model Setup'!$J$7,SUMIF($AD$3:$BA$3,"="&amp;$DF47+'Model Setup'!$J$7,$B47:$Y47)+'Model Setup'!$J$8*(SUMIF($AD$3:$BA$3,"&lt;"&amp;$DF47,$B47:$Y47)+SUMIF($AD$3:$BA$3,"&gt;="&amp;$DG47,$B47:$Y47)),
IF(AT$3=$DF47+'Model Setup'!$K$7,SUMIF($AD$3:$BA$3,"="&amp;$DF47+'Model Setup'!$K$7,$B47:$Y47)+'Model Setup'!$K$8*(SUMIF($AD$3:$BA$3,"&lt;"&amp;$DF47,$B47:$Y47)+SUMIF($AD$3:$BA$3,"&gt;="&amp;$DG47,$B47:$Y47)),
IF(AT$3=$DF47+'Model Setup'!$L$7,SUMIF($AD$3:$BA$3,"="&amp;$DF47+'Model Setup'!$L$7,$B47:$Y47)+'Model Setup'!$L$8*(SUMIF($AD$3:$BA$3,"&lt;"&amp;$DF47,$B47:$Y47)+SUMIF($AD$3:$BA$3,"&gt;="&amp;$DG47,$B47:$Y47)),
IF(AT$3=$DF47+'Model Setup'!$M$7,SUMIF($AD$3:$BA$3,"="&amp;$DF47+'Model Setup'!$M$7,$B47:$Y47)+'Model Setup'!$M$8*(SUMIF($AD$3:$BA$3,"&lt;"&amp;$DF47,$B47:$Y47)+SUMIF($AD$3:$BA$3,"&gt;="&amp;$DG47,$B47:$Y47)),
IF(AT$3=$DF47+'Model Setup'!$N$7,SUMIF($AD$3:$BA$3,"="&amp;$DF47+'Model Setup'!$N$7,$B47:$Y47)+'Model Setup'!$N$8*(SUMIF($AD$3:$BA$3,"&lt;"&amp;$DF47,$B47:$Y47)+SUMIF($AD$3:$BA$3,"&gt;="&amp;$DG47,$B47:$Y47)),
IF(AT$3&lt;$DG47,R47,0))))))))))))))),0)</f>
        <v>1</v>
      </c>
      <c r="AU47" s="47">
        <f>ROUND(IF(AU$3&lt;$DF47,0,
IF(AU$3=$DF47+'Model Setup'!$B$7,SUMIF($AD$3:$BA$3,"="&amp;$DF47+'Model Setup'!$B$7,$B47:$Y47)+'Model Setup'!$B$8*(SUMIF($AD$3:$BA$3,"&lt;"&amp;$DF47,$B47:$Y47)+SUMIF($AD$3:$BA$3,"&gt;="&amp;$DG47,$B47:$Y47)),
IF(AU$3=$DF47+'Model Setup'!$C$7,SUMIF($AD$3:$BA$3,"="&amp;$DF47+'Model Setup'!$C$7,$B47:$Y47)+'Model Setup'!$C$8*(SUMIF($AD$3:$BA$3,"&lt;"&amp;$DF47,$B47:$Y47)+SUMIF($AD$3:$BA$3,"&gt;="&amp;$DG47,$B47:$Y47)),
IF(AU$3=$DF47+'Model Setup'!$D$7,SUMIF($AD$3:$BA$3,"="&amp;$DF47+'Model Setup'!$D$7,$B47:$Y47)+'Model Setup'!$D$8*(SUMIF($AD$3:$BA$3,"&lt;"&amp;$DF47,$B47:$Y47)+SUMIF($AD$3:$BA$3,"&gt;="&amp;$DG47,$B47:$Y47)),
IF(AU$3=$DF47+'Model Setup'!$E$7,SUMIF($AD$3:$BA$3,"="&amp;$DF47+'Model Setup'!$E$7,$B47:$Y47)+'Model Setup'!$E$8*(SUMIF($AD$3:$BA$3,"&lt;"&amp;$DF47,$B47:$Y47)+SUMIF($AD$3:$BA$3,"&gt;="&amp;$DG47,$B47:$Y47)),
IF(AU$3=$DF47+'Model Setup'!$F$7,SUMIF($AD$3:$BA$3,"="&amp;$DF47+'Model Setup'!$F$7,$B47:$Y47)+'Model Setup'!$F$8*(SUMIF($AD$3:$BA$3,"&lt;"&amp;$DF47,$B47:$Y47)+SUMIF($AD$3:$BA$3,"&gt;="&amp;$DG47,$B47:$Y47)),
IF(AU$3=$DF47+'Model Setup'!$G$7,SUMIF($AD$3:$BA$3,"="&amp;$DF47+'Model Setup'!$G$7,$B47:$Y47)+'Model Setup'!$G$8*(SUMIF($AD$3:$BA$3,"&lt;"&amp;$DF47,$B47:$Y47)+SUMIF($AD$3:$BA$3,"&gt;="&amp;$DG47,$B47:$Y47)),
IF(AU$3=$DF47+'Model Setup'!$H$7,SUMIF($AD$3:$BA$3,"="&amp;$DF47+'Model Setup'!$H$7,$B47:$Y47)+'Model Setup'!$H$8*(SUMIF($AD$3:$BA$3,"&lt;"&amp;$DF47,$B47:$Y47)+SUMIF($AD$3:$BA$3,"&gt;="&amp;$DG47,$B47:$Y47)),
IF(AU$3=$DF47+'Model Setup'!$I$7,SUMIF($AD$3:$BA$3,"="&amp;$DF47+'Model Setup'!$I$7,$B47:$Y47)+'Model Setup'!$I$8*(SUMIF($AD$3:$BA$3,"&lt;"&amp;$DF47,$B47:$Y47)+SUMIF($AD$3:$BA$3,"&gt;="&amp;$DG47,$B47:$Y47)),
IF(AU$3=$DF47+'Model Setup'!$J$7,SUMIF($AD$3:$BA$3,"="&amp;$DF47+'Model Setup'!$J$7,$B47:$Y47)+'Model Setup'!$J$8*(SUMIF($AD$3:$BA$3,"&lt;"&amp;$DF47,$B47:$Y47)+SUMIF($AD$3:$BA$3,"&gt;="&amp;$DG47,$B47:$Y47)),
IF(AU$3=$DF47+'Model Setup'!$K$7,SUMIF($AD$3:$BA$3,"="&amp;$DF47+'Model Setup'!$K$7,$B47:$Y47)+'Model Setup'!$K$8*(SUMIF($AD$3:$BA$3,"&lt;"&amp;$DF47,$B47:$Y47)+SUMIF($AD$3:$BA$3,"&gt;="&amp;$DG47,$B47:$Y47)),
IF(AU$3=$DF47+'Model Setup'!$L$7,SUMIF($AD$3:$BA$3,"="&amp;$DF47+'Model Setup'!$L$7,$B47:$Y47)+'Model Setup'!$L$8*(SUMIF($AD$3:$BA$3,"&lt;"&amp;$DF47,$B47:$Y47)+SUMIF($AD$3:$BA$3,"&gt;="&amp;$DG47,$B47:$Y47)),
IF(AU$3=$DF47+'Model Setup'!$M$7,SUMIF($AD$3:$BA$3,"="&amp;$DF47+'Model Setup'!$M$7,$B47:$Y47)+'Model Setup'!$M$8*(SUMIF($AD$3:$BA$3,"&lt;"&amp;$DF47,$B47:$Y47)+SUMIF($AD$3:$BA$3,"&gt;="&amp;$DG47,$B47:$Y47)),
IF(AU$3=$DF47+'Model Setup'!$N$7,SUMIF($AD$3:$BA$3,"="&amp;$DF47+'Model Setup'!$N$7,$B47:$Y47)+'Model Setup'!$N$8*(SUMIF($AD$3:$BA$3,"&lt;"&amp;$DF47,$B47:$Y47)+SUMIF($AD$3:$BA$3,"&gt;="&amp;$DG47,$B47:$Y47)),
IF(AU$3&lt;$DG47,S47,0))))))))))))))),0)</f>
        <v>7</v>
      </c>
      <c r="AV47" s="47">
        <f>ROUND(IF(AV$3&lt;$DF47,0,
IF(AV$3=$DF47+'Model Setup'!$B$7,SUMIF($AD$3:$BA$3,"="&amp;$DF47+'Model Setup'!$B$7,$B47:$Y47)+'Model Setup'!$B$8*(SUMIF($AD$3:$BA$3,"&lt;"&amp;$DF47,$B47:$Y47)+SUMIF($AD$3:$BA$3,"&gt;="&amp;$DG47,$B47:$Y47)),
IF(AV$3=$DF47+'Model Setup'!$C$7,SUMIF($AD$3:$BA$3,"="&amp;$DF47+'Model Setup'!$C$7,$B47:$Y47)+'Model Setup'!$C$8*(SUMIF($AD$3:$BA$3,"&lt;"&amp;$DF47,$B47:$Y47)+SUMIF($AD$3:$BA$3,"&gt;="&amp;$DG47,$B47:$Y47)),
IF(AV$3=$DF47+'Model Setup'!$D$7,SUMIF($AD$3:$BA$3,"="&amp;$DF47+'Model Setup'!$D$7,$B47:$Y47)+'Model Setup'!$D$8*(SUMIF($AD$3:$BA$3,"&lt;"&amp;$DF47,$B47:$Y47)+SUMIF($AD$3:$BA$3,"&gt;="&amp;$DG47,$B47:$Y47)),
IF(AV$3=$DF47+'Model Setup'!$E$7,SUMIF($AD$3:$BA$3,"="&amp;$DF47+'Model Setup'!$E$7,$B47:$Y47)+'Model Setup'!$E$8*(SUMIF($AD$3:$BA$3,"&lt;"&amp;$DF47,$B47:$Y47)+SUMIF($AD$3:$BA$3,"&gt;="&amp;$DG47,$B47:$Y47)),
IF(AV$3=$DF47+'Model Setup'!$F$7,SUMIF($AD$3:$BA$3,"="&amp;$DF47+'Model Setup'!$F$7,$B47:$Y47)+'Model Setup'!$F$8*(SUMIF($AD$3:$BA$3,"&lt;"&amp;$DF47,$B47:$Y47)+SUMIF($AD$3:$BA$3,"&gt;="&amp;$DG47,$B47:$Y47)),
IF(AV$3=$DF47+'Model Setup'!$G$7,SUMIF($AD$3:$BA$3,"="&amp;$DF47+'Model Setup'!$G$7,$B47:$Y47)+'Model Setup'!$G$8*(SUMIF($AD$3:$BA$3,"&lt;"&amp;$DF47,$B47:$Y47)+SUMIF($AD$3:$BA$3,"&gt;="&amp;$DG47,$B47:$Y47)),
IF(AV$3=$DF47+'Model Setup'!$H$7,SUMIF($AD$3:$BA$3,"="&amp;$DF47+'Model Setup'!$H$7,$B47:$Y47)+'Model Setup'!$H$8*(SUMIF($AD$3:$BA$3,"&lt;"&amp;$DF47,$B47:$Y47)+SUMIF($AD$3:$BA$3,"&gt;="&amp;$DG47,$B47:$Y47)),
IF(AV$3=$DF47+'Model Setup'!$I$7,SUMIF($AD$3:$BA$3,"="&amp;$DF47+'Model Setup'!$I$7,$B47:$Y47)+'Model Setup'!$I$8*(SUMIF($AD$3:$BA$3,"&lt;"&amp;$DF47,$B47:$Y47)+SUMIF($AD$3:$BA$3,"&gt;="&amp;$DG47,$B47:$Y47)),
IF(AV$3=$DF47+'Model Setup'!$J$7,SUMIF($AD$3:$BA$3,"="&amp;$DF47+'Model Setup'!$J$7,$B47:$Y47)+'Model Setup'!$J$8*(SUMIF($AD$3:$BA$3,"&lt;"&amp;$DF47,$B47:$Y47)+SUMIF($AD$3:$BA$3,"&gt;="&amp;$DG47,$B47:$Y47)),
IF(AV$3=$DF47+'Model Setup'!$K$7,SUMIF($AD$3:$BA$3,"="&amp;$DF47+'Model Setup'!$K$7,$B47:$Y47)+'Model Setup'!$K$8*(SUMIF($AD$3:$BA$3,"&lt;"&amp;$DF47,$B47:$Y47)+SUMIF($AD$3:$BA$3,"&gt;="&amp;$DG47,$B47:$Y47)),
IF(AV$3=$DF47+'Model Setup'!$L$7,SUMIF($AD$3:$BA$3,"="&amp;$DF47+'Model Setup'!$L$7,$B47:$Y47)+'Model Setup'!$L$8*(SUMIF($AD$3:$BA$3,"&lt;"&amp;$DF47,$B47:$Y47)+SUMIF($AD$3:$BA$3,"&gt;="&amp;$DG47,$B47:$Y47)),
IF(AV$3=$DF47+'Model Setup'!$M$7,SUMIF($AD$3:$BA$3,"="&amp;$DF47+'Model Setup'!$M$7,$B47:$Y47)+'Model Setup'!$M$8*(SUMIF($AD$3:$BA$3,"&lt;"&amp;$DF47,$B47:$Y47)+SUMIF($AD$3:$BA$3,"&gt;="&amp;$DG47,$B47:$Y47)),
IF(AV$3=$DF47+'Model Setup'!$N$7,SUMIF($AD$3:$BA$3,"="&amp;$DF47+'Model Setup'!$N$7,$B47:$Y47)+'Model Setup'!$N$8*(SUMIF($AD$3:$BA$3,"&lt;"&amp;$DF47,$B47:$Y47)+SUMIF($AD$3:$BA$3,"&gt;="&amp;$DG47,$B47:$Y47)),
IF(AV$3&lt;$DG47,T47,0))))))))))))))),0)</f>
        <v>9</v>
      </c>
      <c r="AW47" s="47">
        <f>ROUND(IF(AW$3&lt;$DF47,0,
IF(AW$3=$DF47+'Model Setup'!$B$7,SUMIF($AD$3:$BA$3,"="&amp;$DF47+'Model Setup'!$B$7,$B47:$Y47)+'Model Setup'!$B$8*(SUMIF($AD$3:$BA$3,"&lt;"&amp;$DF47,$B47:$Y47)+SUMIF($AD$3:$BA$3,"&gt;="&amp;$DG47,$B47:$Y47)),
IF(AW$3=$DF47+'Model Setup'!$C$7,SUMIF($AD$3:$BA$3,"="&amp;$DF47+'Model Setup'!$C$7,$B47:$Y47)+'Model Setup'!$C$8*(SUMIF($AD$3:$BA$3,"&lt;"&amp;$DF47,$B47:$Y47)+SUMIF($AD$3:$BA$3,"&gt;="&amp;$DG47,$B47:$Y47)),
IF(AW$3=$DF47+'Model Setup'!$D$7,SUMIF($AD$3:$BA$3,"="&amp;$DF47+'Model Setup'!$D$7,$B47:$Y47)+'Model Setup'!$D$8*(SUMIF($AD$3:$BA$3,"&lt;"&amp;$DF47,$B47:$Y47)+SUMIF($AD$3:$BA$3,"&gt;="&amp;$DG47,$B47:$Y47)),
IF(AW$3=$DF47+'Model Setup'!$E$7,SUMIF($AD$3:$BA$3,"="&amp;$DF47+'Model Setup'!$E$7,$B47:$Y47)+'Model Setup'!$E$8*(SUMIF($AD$3:$BA$3,"&lt;"&amp;$DF47,$B47:$Y47)+SUMIF($AD$3:$BA$3,"&gt;="&amp;$DG47,$B47:$Y47)),
IF(AW$3=$DF47+'Model Setup'!$F$7,SUMIF($AD$3:$BA$3,"="&amp;$DF47+'Model Setup'!$F$7,$B47:$Y47)+'Model Setup'!$F$8*(SUMIF($AD$3:$BA$3,"&lt;"&amp;$DF47,$B47:$Y47)+SUMIF($AD$3:$BA$3,"&gt;="&amp;$DG47,$B47:$Y47)),
IF(AW$3=$DF47+'Model Setup'!$G$7,SUMIF($AD$3:$BA$3,"="&amp;$DF47+'Model Setup'!$G$7,$B47:$Y47)+'Model Setup'!$G$8*(SUMIF($AD$3:$BA$3,"&lt;"&amp;$DF47,$B47:$Y47)+SUMIF($AD$3:$BA$3,"&gt;="&amp;$DG47,$B47:$Y47)),
IF(AW$3=$DF47+'Model Setup'!$H$7,SUMIF($AD$3:$BA$3,"="&amp;$DF47+'Model Setup'!$H$7,$B47:$Y47)+'Model Setup'!$H$8*(SUMIF($AD$3:$BA$3,"&lt;"&amp;$DF47,$B47:$Y47)+SUMIF($AD$3:$BA$3,"&gt;="&amp;$DG47,$B47:$Y47)),
IF(AW$3=$DF47+'Model Setup'!$I$7,SUMIF($AD$3:$BA$3,"="&amp;$DF47+'Model Setup'!$I$7,$B47:$Y47)+'Model Setup'!$I$8*(SUMIF($AD$3:$BA$3,"&lt;"&amp;$DF47,$B47:$Y47)+SUMIF($AD$3:$BA$3,"&gt;="&amp;$DG47,$B47:$Y47)),
IF(AW$3=$DF47+'Model Setup'!$J$7,SUMIF($AD$3:$BA$3,"="&amp;$DF47+'Model Setup'!$J$7,$B47:$Y47)+'Model Setup'!$J$8*(SUMIF($AD$3:$BA$3,"&lt;"&amp;$DF47,$B47:$Y47)+SUMIF($AD$3:$BA$3,"&gt;="&amp;$DG47,$B47:$Y47)),
IF(AW$3=$DF47+'Model Setup'!$K$7,SUMIF($AD$3:$BA$3,"="&amp;$DF47+'Model Setup'!$K$7,$B47:$Y47)+'Model Setup'!$K$8*(SUMIF($AD$3:$BA$3,"&lt;"&amp;$DF47,$B47:$Y47)+SUMIF($AD$3:$BA$3,"&gt;="&amp;$DG47,$B47:$Y47)),
IF(AW$3=$DF47+'Model Setup'!$L$7,SUMIF($AD$3:$BA$3,"="&amp;$DF47+'Model Setup'!$L$7,$B47:$Y47)+'Model Setup'!$L$8*(SUMIF($AD$3:$BA$3,"&lt;"&amp;$DF47,$B47:$Y47)+SUMIF($AD$3:$BA$3,"&gt;="&amp;$DG47,$B47:$Y47)),
IF(AW$3=$DF47+'Model Setup'!$M$7,SUMIF($AD$3:$BA$3,"="&amp;$DF47+'Model Setup'!$M$7,$B47:$Y47)+'Model Setup'!$M$8*(SUMIF($AD$3:$BA$3,"&lt;"&amp;$DF47,$B47:$Y47)+SUMIF($AD$3:$BA$3,"&gt;="&amp;$DG47,$B47:$Y47)),
IF(AW$3=$DF47+'Model Setup'!$N$7,SUMIF($AD$3:$BA$3,"="&amp;$DF47+'Model Setup'!$N$7,$B47:$Y47)+'Model Setup'!$N$8*(SUMIF($AD$3:$BA$3,"&lt;"&amp;$DF47,$B47:$Y47)+SUMIF($AD$3:$BA$3,"&gt;="&amp;$DG47,$B47:$Y47)),
IF(AW$3&lt;$DG47,U47,0))))))))))))))),0)</f>
        <v>7</v>
      </c>
      <c r="AX47" s="47">
        <f>ROUND(IF(AX$3&lt;$DF47,0,
IF(AX$3=$DF47+'Model Setup'!$B$7,SUMIF($AD$3:$BA$3,"="&amp;$DF47+'Model Setup'!$B$7,$B47:$Y47)+'Model Setup'!$B$8*(SUMIF($AD$3:$BA$3,"&lt;"&amp;$DF47,$B47:$Y47)+SUMIF($AD$3:$BA$3,"&gt;="&amp;$DG47,$B47:$Y47)),
IF(AX$3=$DF47+'Model Setup'!$C$7,SUMIF($AD$3:$BA$3,"="&amp;$DF47+'Model Setup'!$C$7,$B47:$Y47)+'Model Setup'!$C$8*(SUMIF($AD$3:$BA$3,"&lt;"&amp;$DF47,$B47:$Y47)+SUMIF($AD$3:$BA$3,"&gt;="&amp;$DG47,$B47:$Y47)),
IF(AX$3=$DF47+'Model Setup'!$D$7,SUMIF($AD$3:$BA$3,"="&amp;$DF47+'Model Setup'!$D$7,$B47:$Y47)+'Model Setup'!$D$8*(SUMIF($AD$3:$BA$3,"&lt;"&amp;$DF47,$B47:$Y47)+SUMIF($AD$3:$BA$3,"&gt;="&amp;$DG47,$B47:$Y47)),
IF(AX$3=$DF47+'Model Setup'!$E$7,SUMIF($AD$3:$BA$3,"="&amp;$DF47+'Model Setup'!$E$7,$B47:$Y47)+'Model Setup'!$E$8*(SUMIF($AD$3:$BA$3,"&lt;"&amp;$DF47,$B47:$Y47)+SUMIF($AD$3:$BA$3,"&gt;="&amp;$DG47,$B47:$Y47)),
IF(AX$3=$DF47+'Model Setup'!$F$7,SUMIF($AD$3:$BA$3,"="&amp;$DF47+'Model Setup'!$F$7,$B47:$Y47)+'Model Setup'!$F$8*(SUMIF($AD$3:$BA$3,"&lt;"&amp;$DF47,$B47:$Y47)+SUMIF($AD$3:$BA$3,"&gt;="&amp;$DG47,$B47:$Y47)),
IF(AX$3=$DF47+'Model Setup'!$G$7,SUMIF($AD$3:$BA$3,"="&amp;$DF47+'Model Setup'!$G$7,$B47:$Y47)+'Model Setup'!$G$8*(SUMIF($AD$3:$BA$3,"&lt;"&amp;$DF47,$B47:$Y47)+SUMIF($AD$3:$BA$3,"&gt;="&amp;$DG47,$B47:$Y47)),
IF(AX$3=$DF47+'Model Setup'!$H$7,SUMIF($AD$3:$BA$3,"="&amp;$DF47+'Model Setup'!$H$7,$B47:$Y47)+'Model Setup'!$H$8*(SUMIF($AD$3:$BA$3,"&lt;"&amp;$DF47,$B47:$Y47)+SUMIF($AD$3:$BA$3,"&gt;="&amp;$DG47,$B47:$Y47)),
IF(AX$3=$DF47+'Model Setup'!$I$7,SUMIF($AD$3:$BA$3,"="&amp;$DF47+'Model Setup'!$I$7,$B47:$Y47)+'Model Setup'!$I$8*(SUMIF($AD$3:$BA$3,"&lt;"&amp;$DF47,$B47:$Y47)+SUMIF($AD$3:$BA$3,"&gt;="&amp;$DG47,$B47:$Y47)),
IF(AX$3=$DF47+'Model Setup'!$J$7,SUMIF($AD$3:$BA$3,"="&amp;$DF47+'Model Setup'!$J$7,$B47:$Y47)+'Model Setup'!$J$8*(SUMIF($AD$3:$BA$3,"&lt;"&amp;$DF47,$B47:$Y47)+SUMIF($AD$3:$BA$3,"&gt;="&amp;$DG47,$B47:$Y47)),
IF(AX$3=$DF47+'Model Setup'!$K$7,SUMIF($AD$3:$BA$3,"="&amp;$DF47+'Model Setup'!$K$7,$B47:$Y47)+'Model Setup'!$K$8*(SUMIF($AD$3:$BA$3,"&lt;"&amp;$DF47,$B47:$Y47)+SUMIF($AD$3:$BA$3,"&gt;="&amp;$DG47,$B47:$Y47)),
IF(AX$3=$DF47+'Model Setup'!$L$7,SUMIF($AD$3:$BA$3,"="&amp;$DF47+'Model Setup'!$L$7,$B47:$Y47)+'Model Setup'!$L$8*(SUMIF($AD$3:$BA$3,"&lt;"&amp;$DF47,$B47:$Y47)+SUMIF($AD$3:$BA$3,"&gt;="&amp;$DG47,$B47:$Y47)),
IF(AX$3=$DF47+'Model Setup'!$M$7,SUMIF($AD$3:$BA$3,"="&amp;$DF47+'Model Setup'!$M$7,$B47:$Y47)+'Model Setup'!$M$8*(SUMIF($AD$3:$BA$3,"&lt;"&amp;$DF47,$B47:$Y47)+SUMIF($AD$3:$BA$3,"&gt;="&amp;$DG47,$B47:$Y47)),
IF(AX$3=$DF47+'Model Setup'!$N$7,SUMIF($AD$3:$BA$3,"="&amp;$DF47+'Model Setup'!$N$7,$B47:$Y47)+'Model Setup'!$N$8*(SUMIF($AD$3:$BA$3,"&lt;"&amp;$DF47,$B47:$Y47)+SUMIF($AD$3:$BA$3,"&gt;="&amp;$DG47,$B47:$Y47)),
IF(AX$3&lt;$DG47,V47,0))))))))))))))),0)</f>
        <v>0</v>
      </c>
      <c r="AY47" s="47">
        <f>ROUND(IF(AY$3&lt;$DF47,0,
IF(AY$3=$DF47+'Model Setup'!$B$7,SUMIF($AD$3:$BA$3,"="&amp;$DF47+'Model Setup'!$B$7,$B47:$Y47)+'Model Setup'!$B$8*(SUMIF($AD$3:$BA$3,"&lt;"&amp;$DF47,$B47:$Y47)+SUMIF($AD$3:$BA$3,"&gt;="&amp;$DG47,$B47:$Y47)),
IF(AY$3=$DF47+'Model Setup'!$C$7,SUMIF($AD$3:$BA$3,"="&amp;$DF47+'Model Setup'!$C$7,$B47:$Y47)+'Model Setup'!$C$8*(SUMIF($AD$3:$BA$3,"&lt;"&amp;$DF47,$B47:$Y47)+SUMIF($AD$3:$BA$3,"&gt;="&amp;$DG47,$B47:$Y47)),
IF(AY$3=$DF47+'Model Setup'!$D$7,SUMIF($AD$3:$BA$3,"="&amp;$DF47+'Model Setup'!$D$7,$B47:$Y47)+'Model Setup'!$D$8*(SUMIF($AD$3:$BA$3,"&lt;"&amp;$DF47,$B47:$Y47)+SUMIF($AD$3:$BA$3,"&gt;="&amp;$DG47,$B47:$Y47)),
IF(AY$3=$DF47+'Model Setup'!$E$7,SUMIF($AD$3:$BA$3,"="&amp;$DF47+'Model Setup'!$E$7,$B47:$Y47)+'Model Setup'!$E$8*(SUMIF($AD$3:$BA$3,"&lt;"&amp;$DF47,$B47:$Y47)+SUMIF($AD$3:$BA$3,"&gt;="&amp;$DG47,$B47:$Y47)),
IF(AY$3=$DF47+'Model Setup'!$F$7,SUMIF($AD$3:$BA$3,"="&amp;$DF47+'Model Setup'!$F$7,$B47:$Y47)+'Model Setup'!$F$8*(SUMIF($AD$3:$BA$3,"&lt;"&amp;$DF47,$B47:$Y47)+SUMIF($AD$3:$BA$3,"&gt;="&amp;$DG47,$B47:$Y47)),
IF(AY$3=$DF47+'Model Setup'!$G$7,SUMIF($AD$3:$BA$3,"="&amp;$DF47+'Model Setup'!$G$7,$B47:$Y47)+'Model Setup'!$G$8*(SUMIF($AD$3:$BA$3,"&lt;"&amp;$DF47,$B47:$Y47)+SUMIF($AD$3:$BA$3,"&gt;="&amp;$DG47,$B47:$Y47)),
IF(AY$3=$DF47+'Model Setup'!$H$7,SUMIF($AD$3:$BA$3,"="&amp;$DF47+'Model Setup'!$H$7,$B47:$Y47)+'Model Setup'!$H$8*(SUMIF($AD$3:$BA$3,"&lt;"&amp;$DF47,$B47:$Y47)+SUMIF($AD$3:$BA$3,"&gt;="&amp;$DG47,$B47:$Y47)),
IF(AY$3=$DF47+'Model Setup'!$I$7,SUMIF($AD$3:$BA$3,"="&amp;$DF47+'Model Setup'!$I$7,$B47:$Y47)+'Model Setup'!$I$8*(SUMIF($AD$3:$BA$3,"&lt;"&amp;$DF47,$B47:$Y47)+SUMIF($AD$3:$BA$3,"&gt;="&amp;$DG47,$B47:$Y47)),
IF(AY$3=$DF47+'Model Setup'!$J$7,SUMIF($AD$3:$BA$3,"="&amp;$DF47+'Model Setup'!$J$7,$B47:$Y47)+'Model Setup'!$J$8*(SUMIF($AD$3:$BA$3,"&lt;"&amp;$DF47,$B47:$Y47)+SUMIF($AD$3:$BA$3,"&gt;="&amp;$DG47,$B47:$Y47)),
IF(AY$3=$DF47+'Model Setup'!$K$7,SUMIF($AD$3:$BA$3,"="&amp;$DF47+'Model Setup'!$K$7,$B47:$Y47)+'Model Setup'!$K$8*(SUMIF($AD$3:$BA$3,"&lt;"&amp;$DF47,$B47:$Y47)+SUMIF($AD$3:$BA$3,"&gt;="&amp;$DG47,$B47:$Y47)),
IF(AY$3=$DF47+'Model Setup'!$L$7,SUMIF($AD$3:$BA$3,"="&amp;$DF47+'Model Setup'!$L$7,$B47:$Y47)+'Model Setup'!$L$8*(SUMIF($AD$3:$BA$3,"&lt;"&amp;$DF47,$B47:$Y47)+SUMIF($AD$3:$BA$3,"&gt;="&amp;$DG47,$B47:$Y47)),
IF(AY$3=$DF47+'Model Setup'!$M$7,SUMIF($AD$3:$BA$3,"="&amp;$DF47+'Model Setup'!$M$7,$B47:$Y47)+'Model Setup'!$M$8*(SUMIF($AD$3:$BA$3,"&lt;"&amp;$DF47,$B47:$Y47)+SUMIF($AD$3:$BA$3,"&gt;="&amp;$DG47,$B47:$Y47)),
IF(AY$3=$DF47+'Model Setup'!$N$7,SUMIF($AD$3:$BA$3,"="&amp;$DF47+'Model Setup'!$N$7,$B47:$Y47)+'Model Setup'!$N$8*(SUMIF($AD$3:$BA$3,"&lt;"&amp;$DF47,$B47:$Y47)+SUMIF($AD$3:$BA$3,"&gt;="&amp;$DG47,$B47:$Y47)),
IF(AY$3&lt;$DG47,W47,0))))))))))))))),0)</f>
        <v>0</v>
      </c>
      <c r="AZ47" s="47">
        <f>ROUND(IF(AZ$3&lt;$DF47,0,
IF(AZ$3=$DF47+'Model Setup'!$B$7,SUMIF($AD$3:$BA$3,"="&amp;$DF47+'Model Setup'!$B$7,$B47:$Y47)+'Model Setup'!$B$8*(SUMIF($AD$3:$BA$3,"&lt;"&amp;$DF47,$B47:$Y47)+SUMIF($AD$3:$BA$3,"&gt;="&amp;$DG47,$B47:$Y47)),
IF(AZ$3=$DF47+'Model Setup'!$C$7,SUMIF($AD$3:$BA$3,"="&amp;$DF47+'Model Setup'!$C$7,$B47:$Y47)+'Model Setup'!$C$8*(SUMIF($AD$3:$BA$3,"&lt;"&amp;$DF47,$B47:$Y47)+SUMIF($AD$3:$BA$3,"&gt;="&amp;$DG47,$B47:$Y47)),
IF(AZ$3=$DF47+'Model Setup'!$D$7,SUMIF($AD$3:$BA$3,"="&amp;$DF47+'Model Setup'!$D$7,$B47:$Y47)+'Model Setup'!$D$8*(SUMIF($AD$3:$BA$3,"&lt;"&amp;$DF47,$B47:$Y47)+SUMIF($AD$3:$BA$3,"&gt;="&amp;$DG47,$B47:$Y47)),
IF(AZ$3=$DF47+'Model Setup'!$E$7,SUMIF($AD$3:$BA$3,"="&amp;$DF47+'Model Setup'!$E$7,$B47:$Y47)+'Model Setup'!$E$8*(SUMIF($AD$3:$BA$3,"&lt;"&amp;$DF47,$B47:$Y47)+SUMIF($AD$3:$BA$3,"&gt;="&amp;$DG47,$B47:$Y47)),
IF(AZ$3=$DF47+'Model Setup'!$F$7,SUMIF($AD$3:$BA$3,"="&amp;$DF47+'Model Setup'!$F$7,$B47:$Y47)+'Model Setup'!$F$8*(SUMIF($AD$3:$BA$3,"&lt;"&amp;$DF47,$B47:$Y47)+SUMIF($AD$3:$BA$3,"&gt;="&amp;$DG47,$B47:$Y47)),
IF(AZ$3=$DF47+'Model Setup'!$G$7,SUMIF($AD$3:$BA$3,"="&amp;$DF47+'Model Setup'!$G$7,$B47:$Y47)+'Model Setup'!$G$8*(SUMIF($AD$3:$BA$3,"&lt;"&amp;$DF47,$B47:$Y47)+SUMIF($AD$3:$BA$3,"&gt;="&amp;$DG47,$B47:$Y47)),
IF(AZ$3=$DF47+'Model Setup'!$H$7,SUMIF($AD$3:$BA$3,"="&amp;$DF47+'Model Setup'!$H$7,$B47:$Y47)+'Model Setup'!$H$8*(SUMIF($AD$3:$BA$3,"&lt;"&amp;$DF47,$B47:$Y47)+SUMIF($AD$3:$BA$3,"&gt;="&amp;$DG47,$B47:$Y47)),
IF(AZ$3=$DF47+'Model Setup'!$I$7,SUMIF($AD$3:$BA$3,"="&amp;$DF47+'Model Setup'!$I$7,$B47:$Y47)+'Model Setup'!$I$8*(SUMIF($AD$3:$BA$3,"&lt;"&amp;$DF47,$B47:$Y47)+SUMIF($AD$3:$BA$3,"&gt;="&amp;$DG47,$B47:$Y47)),
IF(AZ$3=$DF47+'Model Setup'!$J$7,SUMIF($AD$3:$BA$3,"="&amp;$DF47+'Model Setup'!$J$7,$B47:$Y47)+'Model Setup'!$J$8*(SUMIF($AD$3:$BA$3,"&lt;"&amp;$DF47,$B47:$Y47)+SUMIF($AD$3:$BA$3,"&gt;="&amp;$DG47,$B47:$Y47)),
IF(AZ$3=$DF47+'Model Setup'!$K$7,SUMIF($AD$3:$BA$3,"="&amp;$DF47+'Model Setup'!$K$7,$B47:$Y47)+'Model Setup'!$K$8*(SUMIF($AD$3:$BA$3,"&lt;"&amp;$DF47,$B47:$Y47)+SUMIF($AD$3:$BA$3,"&gt;="&amp;$DG47,$B47:$Y47)),
IF(AZ$3=$DF47+'Model Setup'!$L$7,SUMIF($AD$3:$BA$3,"="&amp;$DF47+'Model Setup'!$L$7,$B47:$Y47)+'Model Setup'!$L$8*(SUMIF($AD$3:$BA$3,"&lt;"&amp;$DF47,$B47:$Y47)+SUMIF($AD$3:$BA$3,"&gt;="&amp;$DG47,$B47:$Y47)),
IF(AZ$3=$DF47+'Model Setup'!$M$7,SUMIF($AD$3:$BA$3,"="&amp;$DF47+'Model Setup'!$M$7,$B47:$Y47)+'Model Setup'!$M$8*(SUMIF($AD$3:$BA$3,"&lt;"&amp;$DF47,$B47:$Y47)+SUMIF($AD$3:$BA$3,"&gt;="&amp;$DG47,$B47:$Y47)),
IF(AZ$3=$DF47+'Model Setup'!$N$7,SUMIF($AD$3:$BA$3,"="&amp;$DF47+'Model Setup'!$N$7,$B47:$Y47)+'Model Setup'!$N$8*(SUMIF($AD$3:$BA$3,"&lt;"&amp;$DF47,$B47:$Y47)+SUMIF($AD$3:$BA$3,"&gt;="&amp;$DG47,$B47:$Y47)),
IF(AZ$3&lt;$DG47,X47,0))))))))))))))),0)</f>
        <v>0</v>
      </c>
      <c r="BA47" s="47">
        <f>ROUND(IF(BA$3&lt;$DF47,0,
IF(BA$3=$DF47+'Model Setup'!$B$7,SUMIF($AD$3:$BA$3,"="&amp;$DF47+'Model Setup'!$B$7,$B47:$Y47)+'Model Setup'!$B$8*(SUMIF($AD$3:$BA$3,"&lt;"&amp;$DF47,$B47:$Y47)+SUMIF($AD$3:$BA$3,"&gt;="&amp;$DG47,$B47:$Y47)),
IF(BA$3=$DF47+'Model Setup'!$C$7,SUMIF($AD$3:$BA$3,"="&amp;$DF47+'Model Setup'!$C$7,$B47:$Y47)+'Model Setup'!$C$8*(SUMIF($AD$3:$BA$3,"&lt;"&amp;$DF47,$B47:$Y47)+SUMIF($AD$3:$BA$3,"&gt;="&amp;$DG47,$B47:$Y47)),
IF(BA$3=$DF47+'Model Setup'!$D$7,SUMIF($AD$3:$BA$3,"="&amp;$DF47+'Model Setup'!$D$7,$B47:$Y47)+'Model Setup'!$D$8*(SUMIF($AD$3:$BA$3,"&lt;"&amp;$DF47,$B47:$Y47)+SUMIF($AD$3:$BA$3,"&gt;="&amp;$DG47,$B47:$Y47)),
IF(BA$3=$DF47+'Model Setup'!$E$7,SUMIF($AD$3:$BA$3,"="&amp;$DF47+'Model Setup'!$E$7,$B47:$Y47)+'Model Setup'!$E$8*(SUMIF($AD$3:$BA$3,"&lt;"&amp;$DF47,$B47:$Y47)+SUMIF($AD$3:$BA$3,"&gt;="&amp;$DG47,$B47:$Y47)),
IF(BA$3=$DF47+'Model Setup'!$F$7,SUMIF($AD$3:$BA$3,"="&amp;$DF47+'Model Setup'!$F$7,$B47:$Y47)+'Model Setup'!$F$8*(SUMIF($AD$3:$BA$3,"&lt;"&amp;$DF47,$B47:$Y47)+SUMIF($AD$3:$BA$3,"&gt;="&amp;$DG47,$B47:$Y47)),
IF(BA$3=$DF47+'Model Setup'!$G$7,SUMIF($AD$3:$BA$3,"="&amp;$DF47+'Model Setup'!$G$7,$B47:$Y47)+'Model Setup'!$G$8*(SUMIF($AD$3:$BA$3,"&lt;"&amp;$DF47,$B47:$Y47)+SUMIF($AD$3:$BA$3,"&gt;="&amp;$DG47,$B47:$Y47)),
IF(BA$3=$DF47+'Model Setup'!$H$7,SUMIF($AD$3:$BA$3,"="&amp;$DF47+'Model Setup'!$H$7,$B47:$Y47)+'Model Setup'!$H$8*(SUMIF($AD$3:$BA$3,"&lt;"&amp;$DF47,$B47:$Y47)+SUMIF($AD$3:$BA$3,"&gt;="&amp;$DG47,$B47:$Y47)),
IF(BA$3=$DF47+'Model Setup'!$I$7,SUMIF($AD$3:$BA$3,"="&amp;$DF47+'Model Setup'!$I$7,$B47:$Y47)+'Model Setup'!$I$8*(SUMIF($AD$3:$BA$3,"&lt;"&amp;$DF47,$B47:$Y47)+SUMIF($AD$3:$BA$3,"&gt;="&amp;$DG47,$B47:$Y47)),
IF(BA$3=$DF47+'Model Setup'!$J$7,SUMIF($AD$3:$BA$3,"="&amp;$DF47+'Model Setup'!$J$7,$B47:$Y47)+'Model Setup'!$J$8*(SUMIF($AD$3:$BA$3,"&lt;"&amp;$DF47,$B47:$Y47)+SUMIF($AD$3:$BA$3,"&gt;="&amp;$DG47,$B47:$Y47)),
IF(BA$3=$DF47+'Model Setup'!$K$7,SUMIF($AD$3:$BA$3,"="&amp;$DF47+'Model Setup'!$K$7,$B47:$Y47)+'Model Setup'!$K$8*(SUMIF($AD$3:$BA$3,"&lt;"&amp;$DF47,$B47:$Y47)+SUMIF($AD$3:$BA$3,"&gt;="&amp;$DG47,$B47:$Y47)),
IF(BA$3=$DF47+'Model Setup'!$L$7,SUMIF($AD$3:$BA$3,"="&amp;$DF47+'Model Setup'!$L$7,$B47:$Y47)+'Model Setup'!$L$8*(SUMIF($AD$3:$BA$3,"&lt;"&amp;$DF47,$B47:$Y47)+SUMIF($AD$3:$BA$3,"&gt;="&amp;$DG47,$B47:$Y47)),
IF(BA$3=$DF47+'Model Setup'!$M$7,SUMIF($AD$3:$BA$3,"="&amp;$DF47+'Model Setup'!$M$7,$B47:$Y47)+'Model Setup'!$M$8*(SUMIF($AD$3:$BA$3,"&lt;"&amp;$DF47,$B47:$Y47)+SUMIF($AD$3:$BA$3,"&gt;="&amp;$DG47,$B47:$Y47)),
IF(BA$3=$DF47+'Model Setup'!$N$7,SUMIF($AD$3:$BA$3,"="&amp;$DF47+'Model Setup'!$N$7,$B47:$Y47)+'Model Setup'!$N$8*(SUMIF($AD$3:$BA$3,"&lt;"&amp;$DF47,$B47:$Y47)+SUMIF($AD$3:$BA$3,"&gt;="&amp;$DG47,$B47:$Y47)),
IF(BA$3&lt;$DG47,Y47,0))))))))))))))),0)</f>
        <v>0</v>
      </c>
      <c r="BB47" s="47">
        <f t="shared" si="1"/>
        <v>73</v>
      </c>
      <c r="BD47" t="b">
        <f t="shared" si="2"/>
        <v>1</v>
      </c>
      <c r="BE47">
        <f t="shared" si="8"/>
        <v>0</v>
      </c>
      <c r="BF47">
        <f>(FTC!F45-FTC!E45)*24</f>
        <v>11.999999999999998</v>
      </c>
      <c r="BG47" s="43" t="s">
        <v>62</v>
      </c>
      <c r="BH47" s="47">
        <f>ROUND(IF(OR(BH$3&lt;$DF47,BH$3&gt;$CW$4),0,
IF(BH$3=$DF47+'Model Setup'!$B$7,SUMIF($BH$3:$CE$3,"="&amp;$DF47+'Model Setup'!$B$7,$AD47:$BA47)+'Model Setup'!$B$8*(SUMIF($BH$3:$CE$3,"&lt;"&amp;$DF47,$AD47:$BA47)+SUMIF($BH$3:$CE$3,"&gt;"&amp;$CW$4,$AD47:$BA47)),
IF(BH$3=$DF47+'Model Setup'!$C$7,SUMIF($BH$3:$CE$3,"="&amp;$DF47+'Model Setup'!$C$7,$AD47:$BA47)+'Model Setup'!$C$8*(SUMIF($BH$3:$CE$3,"&lt;"&amp;$DF47,$AD47:$BA47)+SUMIF($BH$3:$CE$3,"&gt;"&amp;$CW$4,$AD47:$BA47)),
IF(BH$3=$DF47+'Model Setup'!$D$7,SUMIF($BH$3:$CE$3,"="&amp;$DF47+'Model Setup'!$D$7,$AD47:$BA47)+'Model Setup'!$D$8*(SUMIF($BH$3:$CE$3,"&lt;"&amp;$DF47,$AD47:$BA47)+SUMIF($BH$3:$CE$3,"&gt;"&amp;$CW$4,$AD47:$BA47)),
IF(BH$3=$DF47+'Model Setup'!$E$7,SUMIF($BH$3:$CE$3,"="&amp;$DF47+'Model Setup'!$E$7,$AD47:$BA47)+'Model Setup'!$E$8*(SUMIF($BH$3:$CE$3,"&lt;"&amp;$DF47,$AD47:$BA47)+SUMIF($BH$3:$CE$3,"&gt;"&amp;$CW$4,$AD47:$BA47)),
IF(BH$3=$DF47+'Model Setup'!$F$7,SUMIF($BH$3:$CE$3,"="&amp;$DF47+'Model Setup'!$F$7,$AD47:$BA47)+'Model Setup'!$F$8*(SUMIF($BH$3:$CE$3,"&lt;"&amp;$DF47,$AD47:$BA47)+SUMIF($BH$3:$CE$3,"&gt;"&amp;$CW$4,$AD47:$BA47)),
IF(BH$3=$DF47+'Model Setup'!$G$7,SUMIF($BH$3:$CE$3,"="&amp;$DF47+'Model Setup'!$G$7,$AD47:$BA47)+'Model Setup'!$G$8*(SUMIF($BH$3:$CE$3,"&lt;"&amp;$DF47,$AD47:$BA47)+SUMIF($BH$3:$CE$3,"&gt;"&amp;$CW$4,$AD47:$BA47)),
IF(BH$3=$DF47+'Model Setup'!$H$7,SUMIF($BH$3:$CE$3,"="&amp;$DF47+'Model Setup'!$H$7,$AD47:$BA47)+'Model Setup'!$H$8*(SUMIF($BH$3:$CE$3,"&lt;"&amp;$DF47,$AD47:$BA47)+SUMIF($BH$3:$CE$3,"&gt;"&amp;$CW$4,$AD47:$BA47)),
IF(BH$3=$DF47+'Model Setup'!$I$7,SUMIF($BH$3:$CE$3,"="&amp;$DF47+'Model Setup'!$I$7,$AD47:$BA47)+'Model Setup'!$I$8*(SUMIF($BH$3:$CE$3,"&lt;"&amp;$DF47,$AD47:$BA47)+SUMIF($BH$3:$CE$3,"&gt;"&amp;$CW$4,$AD47:$BA47)),
IF(BH$3=$DF47+'Model Setup'!$J$7,SUMIF($BH$3:$CE$3,"="&amp;$DF47+'Model Setup'!$J$7,$AD47:$BA47)+'Model Setup'!$J$8*(SUMIF($BH$3:$CE$3,"&lt;"&amp;$DF47,$AD47:$BA47)+SUMIF($BH$3:$CE$3,"&gt;"&amp;$CW$4,$AD47:$BA47)),
IF(BH$3=$DF47+'Model Setup'!$K$7,SUMIF($BH$3:$CE$3,"="&amp;$DF47+'Model Setup'!$K$7,$AD47:$BA47)+'Model Setup'!$K$8*(SUMIF($BH$3:$CE$3,"&lt;"&amp;$DF47,$AD47:$BA47)+SUMIF($BH$3:$CE$3,"&gt;"&amp;$CW$4,$AD47:$BA47)),
IF(BH$3=$DF47+'Model Setup'!$L$7,SUMIF($BH$3:$CE$3,"="&amp;$DF47+'Model Setup'!$L$7,$AD47:$BA47)+'Model Setup'!$L$8*(SUMIF($BH$3:$CE$3,"&lt;"&amp;$DF47,$AD47:$BA47)+SUMIF($BH$3:$CE$3,"&gt;"&amp;$CW$4,$AD47:$BA47)),
IF(BH$3=$DF47+'Model Setup'!$M$7,SUMIF($BH$3:$CE$3,"="&amp;$DF47+'Model Setup'!$M$7,$AD47:$BA47)+'Model Setup'!$M$8*(SUMIF($BH$3:$CE$3,"&lt;"&amp;$DF47,$AD47:$BA47)+SUMIF($BH$3:$CE$3,"&gt;"&amp;$CW$4,$AD47:$BA47)),
IF(BH$3=$DF47+'Model Setup'!$N$7,SUMIF($BH$3:$CE$3,"="&amp;$DF47+'Model Setup'!$N$7,$AD47:$BA47)+'Model Setup'!$N$8*(SUMIF($BH$3:$CE$3,"&lt;"&amp;$DF47,$AD47:$BA47)+SUMIF($BH$3:$CE$3,"&gt;"&amp;$CW$4,$AD47:$BA47)),
IF(BH$3&lt;$CW$4,B47,0))))))))))))))),0)</f>
        <v>0</v>
      </c>
      <c r="BI47" s="47">
        <f>ROUND(IF(OR(BI$3&lt;$DF47,BI$3&gt;$CW$4),0,
IF(BI$3=$DF47+'Model Setup'!$B$7,SUMIF($BH$3:$CE$3,"="&amp;$DF47+'Model Setup'!$B$7,$AD47:$BA47)+'Model Setup'!$B$8*(SUMIF($BH$3:$CE$3,"&lt;"&amp;$DF47,$AD47:$BA47)+SUMIF($BH$3:$CE$3,"&gt;"&amp;$CW$4,$AD47:$BA47)),
IF(BI$3=$DF47+'Model Setup'!$C$7,SUMIF($BH$3:$CE$3,"="&amp;$DF47+'Model Setup'!$C$7,$AD47:$BA47)+'Model Setup'!$C$8*(SUMIF($BH$3:$CE$3,"&lt;"&amp;$DF47,$AD47:$BA47)+SUMIF($BH$3:$CE$3,"&gt;"&amp;$CW$4,$AD47:$BA47)),
IF(BI$3=$DF47+'Model Setup'!$D$7,SUMIF($BH$3:$CE$3,"="&amp;$DF47+'Model Setup'!$D$7,$AD47:$BA47)+'Model Setup'!$D$8*(SUMIF($BH$3:$CE$3,"&lt;"&amp;$DF47,$AD47:$BA47)+SUMIF($BH$3:$CE$3,"&gt;"&amp;$CW$4,$AD47:$BA47)),
IF(BI$3=$DF47+'Model Setup'!$E$7,SUMIF($BH$3:$CE$3,"="&amp;$DF47+'Model Setup'!$E$7,$AD47:$BA47)+'Model Setup'!$E$8*(SUMIF($BH$3:$CE$3,"&lt;"&amp;$DF47,$AD47:$BA47)+SUMIF($BH$3:$CE$3,"&gt;"&amp;$CW$4,$AD47:$BA47)),
IF(BI$3=$DF47+'Model Setup'!$F$7,SUMIF($BH$3:$CE$3,"="&amp;$DF47+'Model Setup'!$F$7,$AD47:$BA47)+'Model Setup'!$F$8*(SUMIF($BH$3:$CE$3,"&lt;"&amp;$DF47,$AD47:$BA47)+SUMIF($BH$3:$CE$3,"&gt;"&amp;$CW$4,$AD47:$BA47)),
IF(BI$3=$DF47+'Model Setup'!$G$7,SUMIF($BH$3:$CE$3,"="&amp;$DF47+'Model Setup'!$G$7,$AD47:$BA47)+'Model Setup'!$G$8*(SUMIF($BH$3:$CE$3,"&lt;"&amp;$DF47,$AD47:$BA47)+SUMIF($BH$3:$CE$3,"&gt;"&amp;$CW$4,$AD47:$BA47)),
IF(BI$3=$DF47+'Model Setup'!$H$7,SUMIF($BH$3:$CE$3,"="&amp;$DF47+'Model Setup'!$H$7,$AD47:$BA47)+'Model Setup'!$H$8*(SUMIF($BH$3:$CE$3,"&lt;"&amp;$DF47,$AD47:$BA47)+SUMIF($BH$3:$CE$3,"&gt;"&amp;$CW$4,$AD47:$BA47)),
IF(BI$3=$DF47+'Model Setup'!$I$7,SUMIF($BH$3:$CE$3,"="&amp;$DF47+'Model Setup'!$I$7,$AD47:$BA47)+'Model Setup'!$I$8*(SUMIF($BH$3:$CE$3,"&lt;"&amp;$DF47,$AD47:$BA47)+SUMIF($BH$3:$CE$3,"&gt;"&amp;$CW$4,$AD47:$BA47)),
IF(BI$3=$DF47+'Model Setup'!$J$7,SUMIF($BH$3:$CE$3,"="&amp;$DF47+'Model Setup'!$J$7,$AD47:$BA47)+'Model Setup'!$J$8*(SUMIF($BH$3:$CE$3,"&lt;"&amp;$DF47,$AD47:$BA47)+SUMIF($BH$3:$CE$3,"&gt;"&amp;$CW$4,$AD47:$BA47)),
IF(BI$3=$DF47+'Model Setup'!$K$7,SUMIF($BH$3:$CE$3,"="&amp;$DF47+'Model Setup'!$K$7,$AD47:$BA47)+'Model Setup'!$K$8*(SUMIF($BH$3:$CE$3,"&lt;"&amp;$DF47,$AD47:$BA47)+SUMIF($BH$3:$CE$3,"&gt;"&amp;$CW$4,$AD47:$BA47)),
IF(BI$3=$DF47+'Model Setup'!$L$7,SUMIF($BH$3:$CE$3,"="&amp;$DF47+'Model Setup'!$L$7,$AD47:$BA47)+'Model Setup'!$L$8*(SUMIF($BH$3:$CE$3,"&lt;"&amp;$DF47,$AD47:$BA47)+SUMIF($BH$3:$CE$3,"&gt;"&amp;$CW$4,$AD47:$BA47)),
IF(BI$3=$DF47+'Model Setup'!$M$7,SUMIF($BH$3:$CE$3,"="&amp;$DF47+'Model Setup'!$M$7,$AD47:$BA47)+'Model Setup'!$M$8*(SUMIF($BH$3:$CE$3,"&lt;"&amp;$DF47,$AD47:$BA47)+SUMIF($BH$3:$CE$3,"&gt;"&amp;$CW$4,$AD47:$BA47)),
IF(BI$3=$DF47+'Model Setup'!$N$7,SUMIF($BH$3:$CE$3,"="&amp;$DF47+'Model Setup'!$N$7,$AD47:$BA47)+'Model Setup'!$N$8*(SUMIF($BH$3:$CE$3,"&lt;"&amp;$DF47,$AD47:$BA47)+SUMIF($BH$3:$CE$3,"&gt;"&amp;$CW$4,$AD47:$BA47)),
IF(BI$3&lt;$CW$4,C47,0))))))))))))))),0)</f>
        <v>0</v>
      </c>
      <c r="BJ47" s="47">
        <f>ROUND(IF(OR(BJ$3&lt;$DF47,BJ$3&gt;$CW$4),0,
IF(BJ$3=$DF47+'Model Setup'!$B$7,SUMIF($BH$3:$CE$3,"="&amp;$DF47+'Model Setup'!$B$7,$AD47:$BA47)+'Model Setup'!$B$8*(SUMIF($BH$3:$CE$3,"&lt;"&amp;$DF47,$AD47:$BA47)+SUMIF($BH$3:$CE$3,"&gt;"&amp;$CW$4,$AD47:$BA47)),
IF(BJ$3=$DF47+'Model Setup'!$C$7,SUMIF($BH$3:$CE$3,"="&amp;$DF47+'Model Setup'!$C$7,$AD47:$BA47)+'Model Setup'!$C$8*(SUMIF($BH$3:$CE$3,"&lt;"&amp;$DF47,$AD47:$BA47)+SUMIF($BH$3:$CE$3,"&gt;"&amp;$CW$4,$AD47:$BA47)),
IF(BJ$3=$DF47+'Model Setup'!$D$7,SUMIF($BH$3:$CE$3,"="&amp;$DF47+'Model Setup'!$D$7,$AD47:$BA47)+'Model Setup'!$D$8*(SUMIF($BH$3:$CE$3,"&lt;"&amp;$DF47,$AD47:$BA47)+SUMIF($BH$3:$CE$3,"&gt;"&amp;$CW$4,$AD47:$BA47)),
IF(BJ$3=$DF47+'Model Setup'!$E$7,SUMIF($BH$3:$CE$3,"="&amp;$DF47+'Model Setup'!$E$7,$AD47:$BA47)+'Model Setup'!$E$8*(SUMIF($BH$3:$CE$3,"&lt;"&amp;$DF47,$AD47:$BA47)+SUMIF($BH$3:$CE$3,"&gt;"&amp;$CW$4,$AD47:$BA47)),
IF(BJ$3=$DF47+'Model Setup'!$F$7,SUMIF($BH$3:$CE$3,"="&amp;$DF47+'Model Setup'!$F$7,$AD47:$BA47)+'Model Setup'!$F$8*(SUMIF($BH$3:$CE$3,"&lt;"&amp;$DF47,$AD47:$BA47)+SUMIF($BH$3:$CE$3,"&gt;"&amp;$CW$4,$AD47:$BA47)),
IF(BJ$3=$DF47+'Model Setup'!$G$7,SUMIF($BH$3:$CE$3,"="&amp;$DF47+'Model Setup'!$G$7,$AD47:$BA47)+'Model Setup'!$G$8*(SUMIF($BH$3:$CE$3,"&lt;"&amp;$DF47,$AD47:$BA47)+SUMIF($BH$3:$CE$3,"&gt;"&amp;$CW$4,$AD47:$BA47)),
IF(BJ$3=$DF47+'Model Setup'!$H$7,SUMIF($BH$3:$CE$3,"="&amp;$DF47+'Model Setup'!$H$7,$AD47:$BA47)+'Model Setup'!$H$8*(SUMIF($BH$3:$CE$3,"&lt;"&amp;$DF47,$AD47:$BA47)+SUMIF($BH$3:$CE$3,"&gt;"&amp;$CW$4,$AD47:$BA47)),
IF(BJ$3=$DF47+'Model Setup'!$I$7,SUMIF($BH$3:$CE$3,"="&amp;$DF47+'Model Setup'!$I$7,$AD47:$BA47)+'Model Setup'!$I$8*(SUMIF($BH$3:$CE$3,"&lt;"&amp;$DF47,$AD47:$BA47)+SUMIF($BH$3:$CE$3,"&gt;"&amp;$CW$4,$AD47:$BA47)),
IF(BJ$3=$DF47+'Model Setup'!$J$7,SUMIF($BH$3:$CE$3,"="&amp;$DF47+'Model Setup'!$J$7,$AD47:$BA47)+'Model Setup'!$J$8*(SUMIF($BH$3:$CE$3,"&lt;"&amp;$DF47,$AD47:$BA47)+SUMIF($BH$3:$CE$3,"&gt;"&amp;$CW$4,$AD47:$BA47)),
IF(BJ$3=$DF47+'Model Setup'!$K$7,SUMIF($BH$3:$CE$3,"="&amp;$DF47+'Model Setup'!$K$7,$AD47:$BA47)+'Model Setup'!$K$8*(SUMIF($BH$3:$CE$3,"&lt;"&amp;$DF47,$AD47:$BA47)+SUMIF($BH$3:$CE$3,"&gt;"&amp;$CW$4,$AD47:$BA47)),
IF(BJ$3=$DF47+'Model Setup'!$L$7,SUMIF($BH$3:$CE$3,"="&amp;$DF47+'Model Setup'!$L$7,$AD47:$BA47)+'Model Setup'!$L$8*(SUMIF($BH$3:$CE$3,"&lt;"&amp;$DF47,$AD47:$BA47)+SUMIF($BH$3:$CE$3,"&gt;"&amp;$CW$4,$AD47:$BA47)),
IF(BJ$3=$DF47+'Model Setup'!$M$7,SUMIF($BH$3:$CE$3,"="&amp;$DF47+'Model Setup'!$M$7,$AD47:$BA47)+'Model Setup'!$M$8*(SUMIF($BH$3:$CE$3,"&lt;"&amp;$DF47,$AD47:$BA47)+SUMIF($BH$3:$CE$3,"&gt;"&amp;$CW$4,$AD47:$BA47)),
IF(BJ$3=$DF47+'Model Setup'!$N$7,SUMIF($BH$3:$CE$3,"="&amp;$DF47+'Model Setup'!$N$7,$AD47:$BA47)+'Model Setup'!$N$8*(SUMIF($BH$3:$CE$3,"&lt;"&amp;$DF47,$AD47:$BA47)+SUMIF($BH$3:$CE$3,"&gt;"&amp;$CW$4,$AD47:$BA47)),
IF(BJ$3&lt;$CW$4,D47,0))))))))))))))),0)</f>
        <v>0</v>
      </c>
      <c r="BK47" s="47">
        <f>ROUND(IF(OR(BK$3&lt;$DF47,BK$3&gt;$CW$4),0,
IF(BK$3=$DF47+'Model Setup'!$B$7,SUMIF($BH$3:$CE$3,"="&amp;$DF47+'Model Setup'!$B$7,$AD47:$BA47)+'Model Setup'!$B$8*(SUMIF($BH$3:$CE$3,"&lt;"&amp;$DF47,$AD47:$BA47)+SUMIF($BH$3:$CE$3,"&gt;"&amp;$CW$4,$AD47:$BA47)),
IF(BK$3=$DF47+'Model Setup'!$C$7,SUMIF($BH$3:$CE$3,"="&amp;$DF47+'Model Setup'!$C$7,$AD47:$BA47)+'Model Setup'!$C$8*(SUMIF($BH$3:$CE$3,"&lt;"&amp;$DF47,$AD47:$BA47)+SUMIF($BH$3:$CE$3,"&gt;"&amp;$CW$4,$AD47:$BA47)),
IF(BK$3=$DF47+'Model Setup'!$D$7,SUMIF($BH$3:$CE$3,"="&amp;$DF47+'Model Setup'!$D$7,$AD47:$BA47)+'Model Setup'!$D$8*(SUMIF($BH$3:$CE$3,"&lt;"&amp;$DF47,$AD47:$BA47)+SUMIF($BH$3:$CE$3,"&gt;"&amp;$CW$4,$AD47:$BA47)),
IF(BK$3=$DF47+'Model Setup'!$E$7,SUMIF($BH$3:$CE$3,"="&amp;$DF47+'Model Setup'!$E$7,$AD47:$BA47)+'Model Setup'!$E$8*(SUMIF($BH$3:$CE$3,"&lt;"&amp;$DF47,$AD47:$BA47)+SUMIF($BH$3:$CE$3,"&gt;"&amp;$CW$4,$AD47:$BA47)),
IF(BK$3=$DF47+'Model Setup'!$F$7,SUMIF($BH$3:$CE$3,"="&amp;$DF47+'Model Setup'!$F$7,$AD47:$BA47)+'Model Setup'!$F$8*(SUMIF($BH$3:$CE$3,"&lt;"&amp;$DF47,$AD47:$BA47)+SUMIF($BH$3:$CE$3,"&gt;"&amp;$CW$4,$AD47:$BA47)),
IF(BK$3=$DF47+'Model Setup'!$G$7,SUMIF($BH$3:$CE$3,"="&amp;$DF47+'Model Setup'!$G$7,$AD47:$BA47)+'Model Setup'!$G$8*(SUMIF($BH$3:$CE$3,"&lt;"&amp;$DF47,$AD47:$BA47)+SUMIF($BH$3:$CE$3,"&gt;"&amp;$CW$4,$AD47:$BA47)),
IF(BK$3=$DF47+'Model Setup'!$H$7,SUMIF($BH$3:$CE$3,"="&amp;$DF47+'Model Setup'!$H$7,$AD47:$BA47)+'Model Setup'!$H$8*(SUMIF($BH$3:$CE$3,"&lt;"&amp;$DF47,$AD47:$BA47)+SUMIF($BH$3:$CE$3,"&gt;"&amp;$CW$4,$AD47:$BA47)),
IF(BK$3=$DF47+'Model Setup'!$I$7,SUMIF($BH$3:$CE$3,"="&amp;$DF47+'Model Setup'!$I$7,$AD47:$BA47)+'Model Setup'!$I$8*(SUMIF($BH$3:$CE$3,"&lt;"&amp;$DF47,$AD47:$BA47)+SUMIF($BH$3:$CE$3,"&gt;"&amp;$CW$4,$AD47:$BA47)),
IF(BK$3=$DF47+'Model Setup'!$J$7,SUMIF($BH$3:$CE$3,"="&amp;$DF47+'Model Setup'!$J$7,$AD47:$BA47)+'Model Setup'!$J$8*(SUMIF($BH$3:$CE$3,"&lt;"&amp;$DF47,$AD47:$BA47)+SUMIF($BH$3:$CE$3,"&gt;"&amp;$CW$4,$AD47:$BA47)),
IF(BK$3=$DF47+'Model Setup'!$K$7,SUMIF($BH$3:$CE$3,"="&amp;$DF47+'Model Setup'!$K$7,$AD47:$BA47)+'Model Setup'!$K$8*(SUMIF($BH$3:$CE$3,"&lt;"&amp;$DF47,$AD47:$BA47)+SUMIF($BH$3:$CE$3,"&gt;"&amp;$CW$4,$AD47:$BA47)),
IF(BK$3=$DF47+'Model Setup'!$L$7,SUMIF($BH$3:$CE$3,"="&amp;$DF47+'Model Setup'!$L$7,$AD47:$BA47)+'Model Setup'!$L$8*(SUMIF($BH$3:$CE$3,"&lt;"&amp;$DF47,$AD47:$BA47)+SUMIF($BH$3:$CE$3,"&gt;"&amp;$CW$4,$AD47:$BA47)),
IF(BK$3=$DF47+'Model Setup'!$M$7,SUMIF($BH$3:$CE$3,"="&amp;$DF47+'Model Setup'!$M$7,$AD47:$BA47)+'Model Setup'!$M$8*(SUMIF($BH$3:$CE$3,"&lt;"&amp;$DF47,$AD47:$BA47)+SUMIF($BH$3:$CE$3,"&gt;"&amp;$CW$4,$AD47:$BA47)),
IF(BK$3=$DF47+'Model Setup'!$N$7,SUMIF($BH$3:$CE$3,"="&amp;$DF47+'Model Setup'!$N$7,$AD47:$BA47)+'Model Setup'!$N$8*(SUMIF($BH$3:$CE$3,"&lt;"&amp;$DF47,$AD47:$BA47)+SUMIF($BH$3:$CE$3,"&gt;"&amp;$CW$4,$AD47:$BA47)),
IF(BK$3&lt;$CW$4,E47,0))))))))))))))),0)</f>
        <v>0</v>
      </c>
      <c r="BL47" s="47">
        <f>ROUND(IF(OR(BL$3&lt;$DF47,BL$3&gt;$CW$4),0,
IF(BL$3=$DF47+'Model Setup'!$B$7,SUMIF($BH$3:$CE$3,"="&amp;$DF47+'Model Setup'!$B$7,$AD47:$BA47)+'Model Setup'!$B$8*(SUMIF($BH$3:$CE$3,"&lt;"&amp;$DF47,$AD47:$BA47)+SUMIF($BH$3:$CE$3,"&gt;"&amp;$CW$4,$AD47:$BA47)),
IF(BL$3=$DF47+'Model Setup'!$C$7,SUMIF($BH$3:$CE$3,"="&amp;$DF47+'Model Setup'!$C$7,$AD47:$BA47)+'Model Setup'!$C$8*(SUMIF($BH$3:$CE$3,"&lt;"&amp;$DF47,$AD47:$BA47)+SUMIF($BH$3:$CE$3,"&gt;"&amp;$CW$4,$AD47:$BA47)),
IF(BL$3=$DF47+'Model Setup'!$D$7,SUMIF($BH$3:$CE$3,"="&amp;$DF47+'Model Setup'!$D$7,$AD47:$BA47)+'Model Setup'!$D$8*(SUMIF($BH$3:$CE$3,"&lt;"&amp;$DF47,$AD47:$BA47)+SUMIF($BH$3:$CE$3,"&gt;"&amp;$CW$4,$AD47:$BA47)),
IF(BL$3=$DF47+'Model Setup'!$E$7,SUMIF($BH$3:$CE$3,"="&amp;$DF47+'Model Setup'!$E$7,$AD47:$BA47)+'Model Setup'!$E$8*(SUMIF($BH$3:$CE$3,"&lt;"&amp;$DF47,$AD47:$BA47)+SUMIF($BH$3:$CE$3,"&gt;"&amp;$CW$4,$AD47:$BA47)),
IF(BL$3=$DF47+'Model Setup'!$F$7,SUMIF($BH$3:$CE$3,"="&amp;$DF47+'Model Setup'!$F$7,$AD47:$BA47)+'Model Setup'!$F$8*(SUMIF($BH$3:$CE$3,"&lt;"&amp;$DF47,$AD47:$BA47)+SUMIF($BH$3:$CE$3,"&gt;"&amp;$CW$4,$AD47:$BA47)),
IF(BL$3=$DF47+'Model Setup'!$G$7,SUMIF($BH$3:$CE$3,"="&amp;$DF47+'Model Setup'!$G$7,$AD47:$BA47)+'Model Setup'!$G$8*(SUMIF($BH$3:$CE$3,"&lt;"&amp;$DF47,$AD47:$BA47)+SUMIF($BH$3:$CE$3,"&gt;"&amp;$CW$4,$AD47:$BA47)),
IF(BL$3=$DF47+'Model Setup'!$H$7,SUMIF($BH$3:$CE$3,"="&amp;$DF47+'Model Setup'!$H$7,$AD47:$BA47)+'Model Setup'!$H$8*(SUMIF($BH$3:$CE$3,"&lt;"&amp;$DF47,$AD47:$BA47)+SUMIF($BH$3:$CE$3,"&gt;"&amp;$CW$4,$AD47:$BA47)),
IF(BL$3=$DF47+'Model Setup'!$I$7,SUMIF($BH$3:$CE$3,"="&amp;$DF47+'Model Setup'!$I$7,$AD47:$BA47)+'Model Setup'!$I$8*(SUMIF($BH$3:$CE$3,"&lt;"&amp;$DF47,$AD47:$BA47)+SUMIF($BH$3:$CE$3,"&gt;"&amp;$CW$4,$AD47:$BA47)),
IF(BL$3=$DF47+'Model Setup'!$J$7,SUMIF($BH$3:$CE$3,"="&amp;$DF47+'Model Setup'!$J$7,$AD47:$BA47)+'Model Setup'!$J$8*(SUMIF($BH$3:$CE$3,"&lt;"&amp;$DF47,$AD47:$BA47)+SUMIF($BH$3:$CE$3,"&gt;"&amp;$CW$4,$AD47:$BA47)),
IF(BL$3=$DF47+'Model Setup'!$K$7,SUMIF($BH$3:$CE$3,"="&amp;$DF47+'Model Setup'!$K$7,$AD47:$BA47)+'Model Setup'!$K$8*(SUMIF($BH$3:$CE$3,"&lt;"&amp;$DF47,$AD47:$BA47)+SUMIF($BH$3:$CE$3,"&gt;"&amp;$CW$4,$AD47:$BA47)),
IF(BL$3=$DF47+'Model Setup'!$L$7,SUMIF($BH$3:$CE$3,"="&amp;$DF47+'Model Setup'!$L$7,$AD47:$BA47)+'Model Setup'!$L$8*(SUMIF($BH$3:$CE$3,"&lt;"&amp;$DF47,$AD47:$BA47)+SUMIF($BH$3:$CE$3,"&gt;"&amp;$CW$4,$AD47:$BA47)),
IF(BL$3=$DF47+'Model Setup'!$M$7,SUMIF($BH$3:$CE$3,"="&amp;$DF47+'Model Setup'!$M$7,$AD47:$BA47)+'Model Setup'!$M$8*(SUMIF($BH$3:$CE$3,"&lt;"&amp;$DF47,$AD47:$BA47)+SUMIF($BH$3:$CE$3,"&gt;"&amp;$CW$4,$AD47:$BA47)),
IF(BL$3=$DF47+'Model Setup'!$N$7,SUMIF($BH$3:$CE$3,"="&amp;$DF47+'Model Setup'!$N$7,$AD47:$BA47)+'Model Setup'!$N$8*(SUMIF($BH$3:$CE$3,"&lt;"&amp;$DF47,$AD47:$BA47)+SUMIF($BH$3:$CE$3,"&gt;"&amp;$CW$4,$AD47:$BA47)),
IF(BL$3&lt;$CW$4,F47,0))))))))))))))),0)</f>
        <v>0</v>
      </c>
      <c r="BM47" s="47">
        <f>ROUND(IF(OR(BM$3&lt;$DF47,BM$3&gt;$CW$4),0,
IF(BM$3=$DF47+'Model Setup'!$B$7,SUMIF($BH$3:$CE$3,"="&amp;$DF47+'Model Setup'!$B$7,$AD47:$BA47)+'Model Setup'!$B$8*(SUMIF($BH$3:$CE$3,"&lt;"&amp;$DF47,$AD47:$BA47)+SUMIF($BH$3:$CE$3,"&gt;"&amp;$CW$4,$AD47:$BA47)),
IF(BM$3=$DF47+'Model Setup'!$C$7,SUMIF($BH$3:$CE$3,"="&amp;$DF47+'Model Setup'!$C$7,$AD47:$BA47)+'Model Setup'!$C$8*(SUMIF($BH$3:$CE$3,"&lt;"&amp;$DF47,$AD47:$BA47)+SUMIF($BH$3:$CE$3,"&gt;"&amp;$CW$4,$AD47:$BA47)),
IF(BM$3=$DF47+'Model Setup'!$D$7,SUMIF($BH$3:$CE$3,"="&amp;$DF47+'Model Setup'!$D$7,$AD47:$BA47)+'Model Setup'!$D$8*(SUMIF($BH$3:$CE$3,"&lt;"&amp;$DF47,$AD47:$BA47)+SUMIF($BH$3:$CE$3,"&gt;"&amp;$CW$4,$AD47:$BA47)),
IF(BM$3=$DF47+'Model Setup'!$E$7,SUMIF($BH$3:$CE$3,"="&amp;$DF47+'Model Setup'!$E$7,$AD47:$BA47)+'Model Setup'!$E$8*(SUMIF($BH$3:$CE$3,"&lt;"&amp;$DF47,$AD47:$BA47)+SUMIF($BH$3:$CE$3,"&gt;"&amp;$CW$4,$AD47:$BA47)),
IF(BM$3=$DF47+'Model Setup'!$F$7,SUMIF($BH$3:$CE$3,"="&amp;$DF47+'Model Setup'!$F$7,$AD47:$BA47)+'Model Setup'!$F$8*(SUMIF($BH$3:$CE$3,"&lt;"&amp;$DF47,$AD47:$BA47)+SUMIF($BH$3:$CE$3,"&gt;"&amp;$CW$4,$AD47:$BA47)),
IF(BM$3=$DF47+'Model Setup'!$G$7,SUMIF($BH$3:$CE$3,"="&amp;$DF47+'Model Setup'!$G$7,$AD47:$BA47)+'Model Setup'!$G$8*(SUMIF($BH$3:$CE$3,"&lt;"&amp;$DF47,$AD47:$BA47)+SUMIF($BH$3:$CE$3,"&gt;"&amp;$CW$4,$AD47:$BA47)),
IF(BM$3=$DF47+'Model Setup'!$H$7,SUMIF($BH$3:$CE$3,"="&amp;$DF47+'Model Setup'!$H$7,$AD47:$BA47)+'Model Setup'!$H$8*(SUMIF($BH$3:$CE$3,"&lt;"&amp;$DF47,$AD47:$BA47)+SUMIF($BH$3:$CE$3,"&gt;"&amp;$CW$4,$AD47:$BA47)),
IF(BM$3=$DF47+'Model Setup'!$I$7,SUMIF($BH$3:$CE$3,"="&amp;$DF47+'Model Setup'!$I$7,$AD47:$BA47)+'Model Setup'!$I$8*(SUMIF($BH$3:$CE$3,"&lt;"&amp;$DF47,$AD47:$BA47)+SUMIF($BH$3:$CE$3,"&gt;"&amp;$CW$4,$AD47:$BA47)),
IF(BM$3=$DF47+'Model Setup'!$J$7,SUMIF($BH$3:$CE$3,"="&amp;$DF47+'Model Setup'!$J$7,$AD47:$BA47)+'Model Setup'!$J$8*(SUMIF($BH$3:$CE$3,"&lt;"&amp;$DF47,$AD47:$BA47)+SUMIF($BH$3:$CE$3,"&gt;"&amp;$CW$4,$AD47:$BA47)),
IF(BM$3=$DF47+'Model Setup'!$K$7,SUMIF($BH$3:$CE$3,"="&amp;$DF47+'Model Setup'!$K$7,$AD47:$BA47)+'Model Setup'!$K$8*(SUMIF($BH$3:$CE$3,"&lt;"&amp;$DF47,$AD47:$BA47)+SUMIF($BH$3:$CE$3,"&gt;"&amp;$CW$4,$AD47:$BA47)),
IF(BM$3=$DF47+'Model Setup'!$L$7,SUMIF($BH$3:$CE$3,"="&amp;$DF47+'Model Setup'!$L$7,$AD47:$BA47)+'Model Setup'!$L$8*(SUMIF($BH$3:$CE$3,"&lt;"&amp;$DF47,$AD47:$BA47)+SUMIF($BH$3:$CE$3,"&gt;"&amp;$CW$4,$AD47:$BA47)),
IF(BM$3=$DF47+'Model Setup'!$M$7,SUMIF($BH$3:$CE$3,"="&amp;$DF47+'Model Setup'!$M$7,$AD47:$BA47)+'Model Setup'!$M$8*(SUMIF($BH$3:$CE$3,"&lt;"&amp;$DF47,$AD47:$BA47)+SUMIF($BH$3:$CE$3,"&gt;"&amp;$CW$4,$AD47:$BA47)),
IF(BM$3=$DF47+'Model Setup'!$N$7,SUMIF($BH$3:$CE$3,"="&amp;$DF47+'Model Setup'!$N$7,$AD47:$BA47)+'Model Setup'!$N$8*(SUMIF($BH$3:$CE$3,"&lt;"&amp;$DF47,$AD47:$BA47)+SUMIF($BH$3:$CE$3,"&gt;"&amp;$CW$4,$AD47:$BA47)),
IF(BM$3&lt;$CW$4,G47,0))))))))))))))),0)</f>
        <v>0</v>
      </c>
      <c r="BN47" s="47">
        <f>ROUND(IF(OR(BN$3&lt;$DF47,BN$3&gt;$CW$4),0,
IF(BN$3=$DF47+'Model Setup'!$B$7,SUMIF($BH$3:$CE$3,"="&amp;$DF47+'Model Setup'!$B$7,$AD47:$BA47)+'Model Setup'!$B$8*(SUMIF($BH$3:$CE$3,"&lt;"&amp;$DF47,$AD47:$BA47)+SUMIF($BH$3:$CE$3,"&gt;"&amp;$CW$4,$AD47:$BA47)),
IF(BN$3=$DF47+'Model Setup'!$C$7,SUMIF($BH$3:$CE$3,"="&amp;$DF47+'Model Setup'!$C$7,$AD47:$BA47)+'Model Setup'!$C$8*(SUMIF($BH$3:$CE$3,"&lt;"&amp;$DF47,$AD47:$BA47)+SUMIF($BH$3:$CE$3,"&gt;"&amp;$CW$4,$AD47:$BA47)),
IF(BN$3=$DF47+'Model Setup'!$D$7,SUMIF($BH$3:$CE$3,"="&amp;$DF47+'Model Setup'!$D$7,$AD47:$BA47)+'Model Setup'!$D$8*(SUMIF($BH$3:$CE$3,"&lt;"&amp;$DF47,$AD47:$BA47)+SUMIF($BH$3:$CE$3,"&gt;"&amp;$CW$4,$AD47:$BA47)),
IF(BN$3=$DF47+'Model Setup'!$E$7,SUMIF($BH$3:$CE$3,"="&amp;$DF47+'Model Setup'!$E$7,$AD47:$BA47)+'Model Setup'!$E$8*(SUMIF($BH$3:$CE$3,"&lt;"&amp;$DF47,$AD47:$BA47)+SUMIF($BH$3:$CE$3,"&gt;"&amp;$CW$4,$AD47:$BA47)),
IF(BN$3=$DF47+'Model Setup'!$F$7,SUMIF($BH$3:$CE$3,"="&amp;$DF47+'Model Setup'!$F$7,$AD47:$BA47)+'Model Setup'!$F$8*(SUMIF($BH$3:$CE$3,"&lt;"&amp;$DF47,$AD47:$BA47)+SUMIF($BH$3:$CE$3,"&gt;"&amp;$CW$4,$AD47:$BA47)),
IF(BN$3=$DF47+'Model Setup'!$G$7,SUMIF($BH$3:$CE$3,"="&amp;$DF47+'Model Setup'!$G$7,$AD47:$BA47)+'Model Setup'!$G$8*(SUMIF($BH$3:$CE$3,"&lt;"&amp;$DF47,$AD47:$BA47)+SUMIF($BH$3:$CE$3,"&gt;"&amp;$CW$4,$AD47:$BA47)),
IF(BN$3=$DF47+'Model Setup'!$H$7,SUMIF($BH$3:$CE$3,"="&amp;$DF47+'Model Setup'!$H$7,$AD47:$BA47)+'Model Setup'!$H$8*(SUMIF($BH$3:$CE$3,"&lt;"&amp;$DF47,$AD47:$BA47)+SUMIF($BH$3:$CE$3,"&gt;"&amp;$CW$4,$AD47:$BA47)),
IF(BN$3=$DF47+'Model Setup'!$I$7,SUMIF($BH$3:$CE$3,"="&amp;$DF47+'Model Setup'!$I$7,$AD47:$BA47)+'Model Setup'!$I$8*(SUMIF($BH$3:$CE$3,"&lt;"&amp;$DF47,$AD47:$BA47)+SUMIF($BH$3:$CE$3,"&gt;"&amp;$CW$4,$AD47:$BA47)),
IF(BN$3=$DF47+'Model Setup'!$J$7,SUMIF($BH$3:$CE$3,"="&amp;$DF47+'Model Setup'!$J$7,$AD47:$BA47)+'Model Setup'!$J$8*(SUMIF($BH$3:$CE$3,"&lt;"&amp;$DF47,$AD47:$BA47)+SUMIF($BH$3:$CE$3,"&gt;"&amp;$CW$4,$AD47:$BA47)),
IF(BN$3=$DF47+'Model Setup'!$K$7,SUMIF($BH$3:$CE$3,"="&amp;$DF47+'Model Setup'!$K$7,$AD47:$BA47)+'Model Setup'!$K$8*(SUMIF($BH$3:$CE$3,"&lt;"&amp;$DF47,$AD47:$BA47)+SUMIF($BH$3:$CE$3,"&gt;"&amp;$CW$4,$AD47:$BA47)),
IF(BN$3=$DF47+'Model Setup'!$L$7,SUMIF($BH$3:$CE$3,"="&amp;$DF47+'Model Setup'!$L$7,$AD47:$BA47)+'Model Setup'!$L$8*(SUMIF($BH$3:$CE$3,"&lt;"&amp;$DF47,$AD47:$BA47)+SUMIF($BH$3:$CE$3,"&gt;"&amp;$CW$4,$AD47:$BA47)),
IF(BN$3=$DF47+'Model Setup'!$M$7,SUMIF($BH$3:$CE$3,"="&amp;$DF47+'Model Setup'!$M$7,$AD47:$BA47)+'Model Setup'!$M$8*(SUMIF($BH$3:$CE$3,"&lt;"&amp;$DF47,$AD47:$BA47)+SUMIF($BH$3:$CE$3,"&gt;"&amp;$CW$4,$AD47:$BA47)),
IF(BN$3=$DF47+'Model Setup'!$N$7,SUMIF($BH$3:$CE$3,"="&amp;$DF47+'Model Setup'!$N$7,$AD47:$BA47)+'Model Setup'!$N$8*(SUMIF($BH$3:$CE$3,"&lt;"&amp;$DF47,$AD47:$BA47)+SUMIF($BH$3:$CE$3,"&gt;"&amp;$CW$4,$AD47:$BA47)),
IF(BN$3&lt;$CW$4,H47,0))))))))))))))),0)</f>
        <v>0</v>
      </c>
      <c r="BO47" s="47">
        <f>ROUND(IF(OR(BO$3&lt;$DF47,BO$3&gt;$CW$4),0,
IF(BO$3=$DF47+'Model Setup'!$B$7,SUMIF($BH$3:$CE$3,"="&amp;$DF47+'Model Setup'!$B$7,$AD47:$BA47)+'Model Setup'!$B$8*(SUMIF($BH$3:$CE$3,"&lt;"&amp;$DF47,$AD47:$BA47)+SUMIF($BH$3:$CE$3,"&gt;"&amp;$CW$4,$AD47:$BA47)),
IF(BO$3=$DF47+'Model Setup'!$C$7,SUMIF($BH$3:$CE$3,"="&amp;$DF47+'Model Setup'!$C$7,$AD47:$BA47)+'Model Setup'!$C$8*(SUMIF($BH$3:$CE$3,"&lt;"&amp;$DF47,$AD47:$BA47)+SUMIF($BH$3:$CE$3,"&gt;"&amp;$CW$4,$AD47:$BA47)),
IF(BO$3=$DF47+'Model Setup'!$D$7,SUMIF($BH$3:$CE$3,"="&amp;$DF47+'Model Setup'!$D$7,$AD47:$BA47)+'Model Setup'!$D$8*(SUMIF($BH$3:$CE$3,"&lt;"&amp;$DF47,$AD47:$BA47)+SUMIF($BH$3:$CE$3,"&gt;"&amp;$CW$4,$AD47:$BA47)),
IF(BO$3=$DF47+'Model Setup'!$E$7,SUMIF($BH$3:$CE$3,"="&amp;$DF47+'Model Setup'!$E$7,$AD47:$BA47)+'Model Setup'!$E$8*(SUMIF($BH$3:$CE$3,"&lt;"&amp;$DF47,$AD47:$BA47)+SUMIF($BH$3:$CE$3,"&gt;"&amp;$CW$4,$AD47:$BA47)),
IF(BO$3=$DF47+'Model Setup'!$F$7,SUMIF($BH$3:$CE$3,"="&amp;$DF47+'Model Setup'!$F$7,$AD47:$BA47)+'Model Setup'!$F$8*(SUMIF($BH$3:$CE$3,"&lt;"&amp;$DF47,$AD47:$BA47)+SUMIF($BH$3:$CE$3,"&gt;"&amp;$CW$4,$AD47:$BA47)),
IF(BO$3=$DF47+'Model Setup'!$G$7,SUMIF($BH$3:$CE$3,"="&amp;$DF47+'Model Setup'!$G$7,$AD47:$BA47)+'Model Setup'!$G$8*(SUMIF($BH$3:$CE$3,"&lt;"&amp;$DF47,$AD47:$BA47)+SUMIF($BH$3:$CE$3,"&gt;"&amp;$CW$4,$AD47:$BA47)),
IF(BO$3=$DF47+'Model Setup'!$H$7,SUMIF($BH$3:$CE$3,"="&amp;$DF47+'Model Setup'!$H$7,$AD47:$BA47)+'Model Setup'!$H$8*(SUMIF($BH$3:$CE$3,"&lt;"&amp;$DF47,$AD47:$BA47)+SUMIF($BH$3:$CE$3,"&gt;"&amp;$CW$4,$AD47:$BA47)),
IF(BO$3=$DF47+'Model Setup'!$I$7,SUMIF($BH$3:$CE$3,"="&amp;$DF47+'Model Setup'!$I$7,$AD47:$BA47)+'Model Setup'!$I$8*(SUMIF($BH$3:$CE$3,"&lt;"&amp;$DF47,$AD47:$BA47)+SUMIF($BH$3:$CE$3,"&gt;"&amp;$CW$4,$AD47:$BA47)),
IF(BO$3=$DF47+'Model Setup'!$J$7,SUMIF($BH$3:$CE$3,"="&amp;$DF47+'Model Setup'!$J$7,$AD47:$BA47)+'Model Setup'!$J$8*(SUMIF($BH$3:$CE$3,"&lt;"&amp;$DF47,$AD47:$BA47)+SUMIF($BH$3:$CE$3,"&gt;"&amp;$CW$4,$AD47:$BA47)),
IF(BO$3=$DF47+'Model Setup'!$K$7,SUMIF($BH$3:$CE$3,"="&amp;$DF47+'Model Setup'!$K$7,$AD47:$BA47)+'Model Setup'!$K$8*(SUMIF($BH$3:$CE$3,"&lt;"&amp;$DF47,$AD47:$BA47)+SUMIF($BH$3:$CE$3,"&gt;"&amp;$CW$4,$AD47:$BA47)),
IF(BO$3=$DF47+'Model Setup'!$L$7,SUMIF($BH$3:$CE$3,"="&amp;$DF47+'Model Setup'!$L$7,$AD47:$BA47)+'Model Setup'!$L$8*(SUMIF($BH$3:$CE$3,"&lt;"&amp;$DF47,$AD47:$BA47)+SUMIF($BH$3:$CE$3,"&gt;"&amp;$CW$4,$AD47:$BA47)),
IF(BO$3=$DF47+'Model Setup'!$M$7,SUMIF($BH$3:$CE$3,"="&amp;$DF47+'Model Setup'!$M$7,$AD47:$BA47)+'Model Setup'!$M$8*(SUMIF($BH$3:$CE$3,"&lt;"&amp;$DF47,$AD47:$BA47)+SUMIF($BH$3:$CE$3,"&gt;"&amp;$CW$4,$AD47:$BA47)),
IF(BO$3=$DF47+'Model Setup'!$N$7,SUMIF($BH$3:$CE$3,"="&amp;$DF47+'Model Setup'!$N$7,$AD47:$BA47)+'Model Setup'!$N$8*(SUMIF($BH$3:$CE$3,"&lt;"&amp;$DF47,$AD47:$BA47)+SUMIF($BH$3:$CE$3,"&gt;"&amp;$CW$4,$AD47:$BA47)),
IF(BO$3&lt;$CW$4,I47,0))))))))))))))),0)</f>
        <v>7</v>
      </c>
      <c r="BP47" s="47">
        <f>ROUND(IF(OR(BP$3&lt;$DF47,BP$3&gt;$CW$4),0,
IF(BP$3=$DF47+'Model Setup'!$B$7,SUMIF($BH$3:$CE$3,"="&amp;$DF47+'Model Setup'!$B$7,$AD47:$BA47)+'Model Setup'!$B$8*(SUMIF($BH$3:$CE$3,"&lt;"&amp;$DF47,$AD47:$BA47)+SUMIF($BH$3:$CE$3,"&gt;"&amp;$CW$4,$AD47:$BA47)),
IF(BP$3=$DF47+'Model Setup'!$C$7,SUMIF($BH$3:$CE$3,"="&amp;$DF47+'Model Setup'!$C$7,$AD47:$BA47)+'Model Setup'!$C$8*(SUMIF($BH$3:$CE$3,"&lt;"&amp;$DF47,$AD47:$BA47)+SUMIF($BH$3:$CE$3,"&gt;"&amp;$CW$4,$AD47:$BA47)),
IF(BP$3=$DF47+'Model Setup'!$D$7,SUMIF($BH$3:$CE$3,"="&amp;$DF47+'Model Setup'!$D$7,$AD47:$BA47)+'Model Setup'!$D$8*(SUMIF($BH$3:$CE$3,"&lt;"&amp;$DF47,$AD47:$BA47)+SUMIF($BH$3:$CE$3,"&gt;"&amp;$CW$4,$AD47:$BA47)),
IF(BP$3=$DF47+'Model Setup'!$E$7,SUMIF($BH$3:$CE$3,"="&amp;$DF47+'Model Setup'!$E$7,$AD47:$BA47)+'Model Setup'!$E$8*(SUMIF($BH$3:$CE$3,"&lt;"&amp;$DF47,$AD47:$BA47)+SUMIF($BH$3:$CE$3,"&gt;"&amp;$CW$4,$AD47:$BA47)),
IF(BP$3=$DF47+'Model Setup'!$F$7,SUMIF($BH$3:$CE$3,"="&amp;$DF47+'Model Setup'!$F$7,$AD47:$BA47)+'Model Setup'!$F$8*(SUMIF($BH$3:$CE$3,"&lt;"&amp;$DF47,$AD47:$BA47)+SUMIF($BH$3:$CE$3,"&gt;"&amp;$CW$4,$AD47:$BA47)),
IF(BP$3=$DF47+'Model Setup'!$G$7,SUMIF($BH$3:$CE$3,"="&amp;$DF47+'Model Setup'!$G$7,$AD47:$BA47)+'Model Setup'!$G$8*(SUMIF($BH$3:$CE$3,"&lt;"&amp;$DF47,$AD47:$BA47)+SUMIF($BH$3:$CE$3,"&gt;"&amp;$CW$4,$AD47:$BA47)),
IF(BP$3=$DF47+'Model Setup'!$H$7,SUMIF($BH$3:$CE$3,"="&amp;$DF47+'Model Setup'!$H$7,$AD47:$BA47)+'Model Setup'!$H$8*(SUMIF($BH$3:$CE$3,"&lt;"&amp;$DF47,$AD47:$BA47)+SUMIF($BH$3:$CE$3,"&gt;"&amp;$CW$4,$AD47:$BA47)),
IF(BP$3=$DF47+'Model Setup'!$I$7,SUMIF($BH$3:$CE$3,"="&amp;$DF47+'Model Setup'!$I$7,$AD47:$BA47)+'Model Setup'!$I$8*(SUMIF($BH$3:$CE$3,"&lt;"&amp;$DF47,$AD47:$BA47)+SUMIF($BH$3:$CE$3,"&gt;"&amp;$CW$4,$AD47:$BA47)),
IF(BP$3=$DF47+'Model Setup'!$J$7,SUMIF($BH$3:$CE$3,"="&amp;$DF47+'Model Setup'!$J$7,$AD47:$BA47)+'Model Setup'!$J$8*(SUMIF($BH$3:$CE$3,"&lt;"&amp;$DF47,$AD47:$BA47)+SUMIF($BH$3:$CE$3,"&gt;"&amp;$CW$4,$AD47:$BA47)),
IF(BP$3=$DF47+'Model Setup'!$K$7,SUMIF($BH$3:$CE$3,"="&amp;$DF47+'Model Setup'!$K$7,$AD47:$BA47)+'Model Setup'!$K$8*(SUMIF($BH$3:$CE$3,"&lt;"&amp;$DF47,$AD47:$BA47)+SUMIF($BH$3:$CE$3,"&gt;"&amp;$CW$4,$AD47:$BA47)),
IF(BP$3=$DF47+'Model Setup'!$L$7,SUMIF($BH$3:$CE$3,"="&amp;$DF47+'Model Setup'!$L$7,$AD47:$BA47)+'Model Setup'!$L$8*(SUMIF($BH$3:$CE$3,"&lt;"&amp;$DF47,$AD47:$BA47)+SUMIF($BH$3:$CE$3,"&gt;"&amp;$CW$4,$AD47:$BA47)),
IF(BP$3=$DF47+'Model Setup'!$M$7,SUMIF($BH$3:$CE$3,"="&amp;$DF47+'Model Setup'!$M$7,$AD47:$BA47)+'Model Setup'!$M$8*(SUMIF($BH$3:$CE$3,"&lt;"&amp;$DF47,$AD47:$BA47)+SUMIF($BH$3:$CE$3,"&gt;"&amp;$CW$4,$AD47:$BA47)),
IF(BP$3=$DF47+'Model Setup'!$N$7,SUMIF($BH$3:$CE$3,"="&amp;$DF47+'Model Setup'!$N$7,$AD47:$BA47)+'Model Setup'!$N$8*(SUMIF($BH$3:$CE$3,"&lt;"&amp;$DF47,$AD47:$BA47)+SUMIF($BH$3:$CE$3,"&gt;"&amp;$CW$4,$AD47:$BA47)),
IF(BP$3&lt;$CW$4,J47,0))))))))))))))),0)</f>
        <v>12</v>
      </c>
      <c r="BQ47" s="47">
        <f>ROUND(IF(OR(BQ$3&lt;$DF47,BQ$3&gt;$CW$4),0,
IF(BQ$3=$DF47+'Model Setup'!$B$7,SUMIF($BH$3:$CE$3,"="&amp;$DF47+'Model Setup'!$B$7,$AD47:$BA47)+'Model Setup'!$B$8*(SUMIF($BH$3:$CE$3,"&lt;"&amp;$DF47,$AD47:$BA47)+SUMIF($BH$3:$CE$3,"&gt;"&amp;$CW$4,$AD47:$BA47)),
IF(BQ$3=$DF47+'Model Setup'!$C$7,SUMIF($BH$3:$CE$3,"="&amp;$DF47+'Model Setup'!$C$7,$AD47:$BA47)+'Model Setup'!$C$8*(SUMIF($BH$3:$CE$3,"&lt;"&amp;$DF47,$AD47:$BA47)+SUMIF($BH$3:$CE$3,"&gt;"&amp;$CW$4,$AD47:$BA47)),
IF(BQ$3=$DF47+'Model Setup'!$D$7,SUMIF($BH$3:$CE$3,"="&amp;$DF47+'Model Setup'!$D$7,$AD47:$BA47)+'Model Setup'!$D$8*(SUMIF($BH$3:$CE$3,"&lt;"&amp;$DF47,$AD47:$BA47)+SUMIF($BH$3:$CE$3,"&gt;"&amp;$CW$4,$AD47:$BA47)),
IF(BQ$3=$DF47+'Model Setup'!$E$7,SUMIF($BH$3:$CE$3,"="&amp;$DF47+'Model Setup'!$E$7,$AD47:$BA47)+'Model Setup'!$E$8*(SUMIF($BH$3:$CE$3,"&lt;"&amp;$DF47,$AD47:$BA47)+SUMIF($BH$3:$CE$3,"&gt;"&amp;$CW$4,$AD47:$BA47)),
IF(BQ$3=$DF47+'Model Setup'!$F$7,SUMIF($BH$3:$CE$3,"="&amp;$DF47+'Model Setup'!$F$7,$AD47:$BA47)+'Model Setup'!$F$8*(SUMIF($BH$3:$CE$3,"&lt;"&amp;$DF47,$AD47:$BA47)+SUMIF($BH$3:$CE$3,"&gt;"&amp;$CW$4,$AD47:$BA47)),
IF(BQ$3=$DF47+'Model Setup'!$G$7,SUMIF($BH$3:$CE$3,"="&amp;$DF47+'Model Setup'!$G$7,$AD47:$BA47)+'Model Setup'!$G$8*(SUMIF($BH$3:$CE$3,"&lt;"&amp;$DF47,$AD47:$BA47)+SUMIF($BH$3:$CE$3,"&gt;"&amp;$CW$4,$AD47:$BA47)),
IF(BQ$3=$DF47+'Model Setup'!$H$7,SUMIF($BH$3:$CE$3,"="&amp;$DF47+'Model Setup'!$H$7,$AD47:$BA47)+'Model Setup'!$H$8*(SUMIF($BH$3:$CE$3,"&lt;"&amp;$DF47,$AD47:$BA47)+SUMIF($BH$3:$CE$3,"&gt;"&amp;$CW$4,$AD47:$BA47)),
IF(BQ$3=$DF47+'Model Setup'!$I$7,SUMIF($BH$3:$CE$3,"="&amp;$DF47+'Model Setup'!$I$7,$AD47:$BA47)+'Model Setup'!$I$8*(SUMIF($BH$3:$CE$3,"&lt;"&amp;$DF47,$AD47:$BA47)+SUMIF($BH$3:$CE$3,"&gt;"&amp;$CW$4,$AD47:$BA47)),
IF(BQ$3=$DF47+'Model Setup'!$J$7,SUMIF($BH$3:$CE$3,"="&amp;$DF47+'Model Setup'!$J$7,$AD47:$BA47)+'Model Setup'!$J$8*(SUMIF($BH$3:$CE$3,"&lt;"&amp;$DF47,$AD47:$BA47)+SUMIF($BH$3:$CE$3,"&gt;"&amp;$CW$4,$AD47:$BA47)),
IF(BQ$3=$DF47+'Model Setup'!$K$7,SUMIF($BH$3:$CE$3,"="&amp;$DF47+'Model Setup'!$K$7,$AD47:$BA47)+'Model Setup'!$K$8*(SUMIF($BH$3:$CE$3,"&lt;"&amp;$DF47,$AD47:$BA47)+SUMIF($BH$3:$CE$3,"&gt;"&amp;$CW$4,$AD47:$BA47)),
IF(BQ$3=$DF47+'Model Setup'!$L$7,SUMIF($BH$3:$CE$3,"="&amp;$DF47+'Model Setup'!$L$7,$AD47:$BA47)+'Model Setup'!$L$8*(SUMIF($BH$3:$CE$3,"&lt;"&amp;$DF47,$AD47:$BA47)+SUMIF($BH$3:$CE$3,"&gt;"&amp;$CW$4,$AD47:$BA47)),
IF(BQ$3=$DF47+'Model Setup'!$M$7,SUMIF($BH$3:$CE$3,"="&amp;$DF47+'Model Setup'!$M$7,$AD47:$BA47)+'Model Setup'!$M$8*(SUMIF($BH$3:$CE$3,"&lt;"&amp;$DF47,$AD47:$BA47)+SUMIF($BH$3:$CE$3,"&gt;"&amp;$CW$4,$AD47:$BA47)),
IF(BQ$3=$DF47+'Model Setup'!$N$7,SUMIF($BH$3:$CE$3,"="&amp;$DF47+'Model Setup'!$N$7,$AD47:$BA47)+'Model Setup'!$N$8*(SUMIF($BH$3:$CE$3,"&lt;"&amp;$DF47,$AD47:$BA47)+SUMIF($BH$3:$CE$3,"&gt;"&amp;$CW$4,$AD47:$BA47)),
IF(BQ$3&lt;$CW$4,K47,0))))))))))))))),0)</f>
        <v>7</v>
      </c>
      <c r="BR47" s="47">
        <f>ROUND(IF(OR(BR$3&lt;$DF47,BR$3&gt;$CW$4),0,
IF(BR$3=$DF47+'Model Setup'!$B$7,SUMIF($BH$3:$CE$3,"="&amp;$DF47+'Model Setup'!$B$7,$AD47:$BA47)+'Model Setup'!$B$8*(SUMIF($BH$3:$CE$3,"&lt;"&amp;$DF47,$AD47:$BA47)+SUMIF($BH$3:$CE$3,"&gt;"&amp;$CW$4,$AD47:$BA47)),
IF(BR$3=$DF47+'Model Setup'!$C$7,SUMIF($BH$3:$CE$3,"="&amp;$DF47+'Model Setup'!$C$7,$AD47:$BA47)+'Model Setup'!$C$8*(SUMIF($BH$3:$CE$3,"&lt;"&amp;$DF47,$AD47:$BA47)+SUMIF($BH$3:$CE$3,"&gt;"&amp;$CW$4,$AD47:$BA47)),
IF(BR$3=$DF47+'Model Setup'!$D$7,SUMIF($BH$3:$CE$3,"="&amp;$DF47+'Model Setup'!$D$7,$AD47:$BA47)+'Model Setup'!$D$8*(SUMIF($BH$3:$CE$3,"&lt;"&amp;$DF47,$AD47:$BA47)+SUMIF($BH$3:$CE$3,"&gt;"&amp;$CW$4,$AD47:$BA47)),
IF(BR$3=$DF47+'Model Setup'!$E$7,SUMIF($BH$3:$CE$3,"="&amp;$DF47+'Model Setup'!$E$7,$AD47:$BA47)+'Model Setup'!$E$8*(SUMIF($BH$3:$CE$3,"&lt;"&amp;$DF47,$AD47:$BA47)+SUMIF($BH$3:$CE$3,"&gt;"&amp;$CW$4,$AD47:$BA47)),
IF(BR$3=$DF47+'Model Setup'!$F$7,SUMIF($BH$3:$CE$3,"="&amp;$DF47+'Model Setup'!$F$7,$AD47:$BA47)+'Model Setup'!$F$8*(SUMIF($BH$3:$CE$3,"&lt;"&amp;$DF47,$AD47:$BA47)+SUMIF($BH$3:$CE$3,"&gt;"&amp;$CW$4,$AD47:$BA47)),
IF(BR$3=$DF47+'Model Setup'!$G$7,SUMIF($BH$3:$CE$3,"="&amp;$DF47+'Model Setup'!$G$7,$AD47:$BA47)+'Model Setup'!$G$8*(SUMIF($BH$3:$CE$3,"&lt;"&amp;$DF47,$AD47:$BA47)+SUMIF($BH$3:$CE$3,"&gt;"&amp;$CW$4,$AD47:$BA47)),
IF(BR$3=$DF47+'Model Setup'!$H$7,SUMIF($BH$3:$CE$3,"="&amp;$DF47+'Model Setup'!$H$7,$AD47:$BA47)+'Model Setup'!$H$8*(SUMIF($BH$3:$CE$3,"&lt;"&amp;$DF47,$AD47:$BA47)+SUMIF($BH$3:$CE$3,"&gt;"&amp;$CW$4,$AD47:$BA47)),
IF(BR$3=$DF47+'Model Setup'!$I$7,SUMIF($BH$3:$CE$3,"="&amp;$DF47+'Model Setup'!$I$7,$AD47:$BA47)+'Model Setup'!$I$8*(SUMIF($BH$3:$CE$3,"&lt;"&amp;$DF47,$AD47:$BA47)+SUMIF($BH$3:$CE$3,"&gt;"&amp;$CW$4,$AD47:$BA47)),
IF(BR$3=$DF47+'Model Setup'!$J$7,SUMIF($BH$3:$CE$3,"="&amp;$DF47+'Model Setup'!$J$7,$AD47:$BA47)+'Model Setup'!$J$8*(SUMIF($BH$3:$CE$3,"&lt;"&amp;$DF47,$AD47:$BA47)+SUMIF($BH$3:$CE$3,"&gt;"&amp;$CW$4,$AD47:$BA47)),
IF(BR$3=$DF47+'Model Setup'!$K$7,SUMIF($BH$3:$CE$3,"="&amp;$DF47+'Model Setup'!$K$7,$AD47:$BA47)+'Model Setup'!$K$8*(SUMIF($BH$3:$CE$3,"&lt;"&amp;$DF47,$AD47:$BA47)+SUMIF($BH$3:$CE$3,"&gt;"&amp;$CW$4,$AD47:$BA47)),
IF(BR$3=$DF47+'Model Setup'!$L$7,SUMIF($BH$3:$CE$3,"="&amp;$DF47+'Model Setup'!$L$7,$AD47:$BA47)+'Model Setup'!$L$8*(SUMIF($BH$3:$CE$3,"&lt;"&amp;$DF47,$AD47:$BA47)+SUMIF($BH$3:$CE$3,"&gt;"&amp;$CW$4,$AD47:$BA47)),
IF(BR$3=$DF47+'Model Setup'!$M$7,SUMIF($BH$3:$CE$3,"="&amp;$DF47+'Model Setup'!$M$7,$AD47:$BA47)+'Model Setup'!$M$8*(SUMIF($BH$3:$CE$3,"&lt;"&amp;$DF47,$AD47:$BA47)+SUMIF($BH$3:$CE$3,"&gt;"&amp;$CW$4,$AD47:$BA47)),
IF(BR$3=$DF47+'Model Setup'!$N$7,SUMIF($BH$3:$CE$3,"="&amp;$DF47+'Model Setup'!$N$7,$AD47:$BA47)+'Model Setup'!$N$8*(SUMIF($BH$3:$CE$3,"&lt;"&amp;$DF47,$AD47:$BA47)+SUMIF($BH$3:$CE$3,"&gt;"&amp;$CW$4,$AD47:$BA47)),
IF(BR$3&lt;$CW$4,L47,0))))))))))))))),0)</f>
        <v>3</v>
      </c>
      <c r="BS47" s="47">
        <f>ROUND(IF(OR(BS$3&lt;$DF47,BS$3&gt;$CW$4),0,
IF(BS$3=$DF47+'Model Setup'!$B$7,SUMIF($BH$3:$CE$3,"="&amp;$DF47+'Model Setup'!$B$7,$AD47:$BA47)+'Model Setup'!$B$8*(SUMIF($BH$3:$CE$3,"&lt;"&amp;$DF47,$AD47:$BA47)+SUMIF($BH$3:$CE$3,"&gt;"&amp;$CW$4,$AD47:$BA47)),
IF(BS$3=$DF47+'Model Setup'!$C$7,SUMIF($BH$3:$CE$3,"="&amp;$DF47+'Model Setup'!$C$7,$AD47:$BA47)+'Model Setup'!$C$8*(SUMIF($BH$3:$CE$3,"&lt;"&amp;$DF47,$AD47:$BA47)+SUMIF($BH$3:$CE$3,"&gt;"&amp;$CW$4,$AD47:$BA47)),
IF(BS$3=$DF47+'Model Setup'!$D$7,SUMIF($BH$3:$CE$3,"="&amp;$DF47+'Model Setup'!$D$7,$AD47:$BA47)+'Model Setup'!$D$8*(SUMIF($BH$3:$CE$3,"&lt;"&amp;$DF47,$AD47:$BA47)+SUMIF($BH$3:$CE$3,"&gt;"&amp;$CW$4,$AD47:$BA47)),
IF(BS$3=$DF47+'Model Setup'!$E$7,SUMIF($BH$3:$CE$3,"="&amp;$DF47+'Model Setup'!$E$7,$AD47:$BA47)+'Model Setup'!$E$8*(SUMIF($BH$3:$CE$3,"&lt;"&amp;$DF47,$AD47:$BA47)+SUMIF($BH$3:$CE$3,"&gt;"&amp;$CW$4,$AD47:$BA47)),
IF(BS$3=$DF47+'Model Setup'!$F$7,SUMIF($BH$3:$CE$3,"="&amp;$DF47+'Model Setup'!$F$7,$AD47:$BA47)+'Model Setup'!$F$8*(SUMIF($BH$3:$CE$3,"&lt;"&amp;$DF47,$AD47:$BA47)+SUMIF($BH$3:$CE$3,"&gt;"&amp;$CW$4,$AD47:$BA47)),
IF(BS$3=$DF47+'Model Setup'!$G$7,SUMIF($BH$3:$CE$3,"="&amp;$DF47+'Model Setup'!$G$7,$AD47:$BA47)+'Model Setup'!$G$8*(SUMIF($BH$3:$CE$3,"&lt;"&amp;$DF47,$AD47:$BA47)+SUMIF($BH$3:$CE$3,"&gt;"&amp;$CW$4,$AD47:$BA47)),
IF(BS$3=$DF47+'Model Setup'!$H$7,SUMIF($BH$3:$CE$3,"="&amp;$DF47+'Model Setup'!$H$7,$AD47:$BA47)+'Model Setup'!$H$8*(SUMIF($BH$3:$CE$3,"&lt;"&amp;$DF47,$AD47:$BA47)+SUMIF($BH$3:$CE$3,"&gt;"&amp;$CW$4,$AD47:$BA47)),
IF(BS$3=$DF47+'Model Setup'!$I$7,SUMIF($BH$3:$CE$3,"="&amp;$DF47+'Model Setup'!$I$7,$AD47:$BA47)+'Model Setup'!$I$8*(SUMIF($BH$3:$CE$3,"&lt;"&amp;$DF47,$AD47:$BA47)+SUMIF($BH$3:$CE$3,"&gt;"&amp;$CW$4,$AD47:$BA47)),
IF(BS$3=$DF47+'Model Setup'!$J$7,SUMIF($BH$3:$CE$3,"="&amp;$DF47+'Model Setup'!$J$7,$AD47:$BA47)+'Model Setup'!$J$8*(SUMIF($BH$3:$CE$3,"&lt;"&amp;$DF47,$AD47:$BA47)+SUMIF($BH$3:$CE$3,"&gt;"&amp;$CW$4,$AD47:$BA47)),
IF(BS$3=$DF47+'Model Setup'!$K$7,SUMIF($BH$3:$CE$3,"="&amp;$DF47+'Model Setup'!$K$7,$AD47:$BA47)+'Model Setup'!$K$8*(SUMIF($BH$3:$CE$3,"&lt;"&amp;$DF47,$AD47:$BA47)+SUMIF($BH$3:$CE$3,"&gt;"&amp;$CW$4,$AD47:$BA47)),
IF(BS$3=$DF47+'Model Setup'!$L$7,SUMIF($BH$3:$CE$3,"="&amp;$DF47+'Model Setup'!$L$7,$AD47:$BA47)+'Model Setup'!$L$8*(SUMIF($BH$3:$CE$3,"&lt;"&amp;$DF47,$AD47:$BA47)+SUMIF($BH$3:$CE$3,"&gt;"&amp;$CW$4,$AD47:$BA47)),
IF(BS$3=$DF47+'Model Setup'!$M$7,SUMIF($BH$3:$CE$3,"="&amp;$DF47+'Model Setup'!$M$7,$AD47:$BA47)+'Model Setup'!$M$8*(SUMIF($BH$3:$CE$3,"&lt;"&amp;$DF47,$AD47:$BA47)+SUMIF($BH$3:$CE$3,"&gt;"&amp;$CW$4,$AD47:$BA47)),
IF(BS$3=$DF47+'Model Setup'!$N$7,SUMIF($BH$3:$CE$3,"="&amp;$DF47+'Model Setup'!$N$7,$AD47:$BA47)+'Model Setup'!$N$8*(SUMIF($BH$3:$CE$3,"&lt;"&amp;$DF47,$AD47:$BA47)+SUMIF($BH$3:$CE$3,"&gt;"&amp;$CW$4,$AD47:$BA47)),
IF(BS$3&lt;$CW$4,M47,0))))))))))))))),0)</f>
        <v>6</v>
      </c>
      <c r="BT47" s="47">
        <f>ROUND(IF(OR(BT$3&lt;$DF47,BT$3&gt;$CW$4),0,
IF(BT$3=$DF47+'Model Setup'!$B$7,SUMIF($BH$3:$CE$3,"="&amp;$DF47+'Model Setup'!$B$7,$AD47:$BA47)+'Model Setup'!$B$8*(SUMIF($BH$3:$CE$3,"&lt;"&amp;$DF47,$AD47:$BA47)+SUMIF($BH$3:$CE$3,"&gt;"&amp;$CW$4,$AD47:$BA47)),
IF(BT$3=$DF47+'Model Setup'!$C$7,SUMIF($BH$3:$CE$3,"="&amp;$DF47+'Model Setup'!$C$7,$AD47:$BA47)+'Model Setup'!$C$8*(SUMIF($BH$3:$CE$3,"&lt;"&amp;$DF47,$AD47:$BA47)+SUMIF($BH$3:$CE$3,"&gt;"&amp;$CW$4,$AD47:$BA47)),
IF(BT$3=$DF47+'Model Setup'!$D$7,SUMIF($BH$3:$CE$3,"="&amp;$DF47+'Model Setup'!$D$7,$AD47:$BA47)+'Model Setup'!$D$8*(SUMIF($BH$3:$CE$3,"&lt;"&amp;$DF47,$AD47:$BA47)+SUMIF($BH$3:$CE$3,"&gt;"&amp;$CW$4,$AD47:$BA47)),
IF(BT$3=$DF47+'Model Setup'!$E$7,SUMIF($BH$3:$CE$3,"="&amp;$DF47+'Model Setup'!$E$7,$AD47:$BA47)+'Model Setup'!$E$8*(SUMIF($BH$3:$CE$3,"&lt;"&amp;$DF47,$AD47:$BA47)+SUMIF($BH$3:$CE$3,"&gt;"&amp;$CW$4,$AD47:$BA47)),
IF(BT$3=$DF47+'Model Setup'!$F$7,SUMIF($BH$3:$CE$3,"="&amp;$DF47+'Model Setup'!$F$7,$AD47:$BA47)+'Model Setup'!$F$8*(SUMIF($BH$3:$CE$3,"&lt;"&amp;$DF47,$AD47:$BA47)+SUMIF($BH$3:$CE$3,"&gt;"&amp;$CW$4,$AD47:$BA47)),
IF(BT$3=$DF47+'Model Setup'!$G$7,SUMIF($BH$3:$CE$3,"="&amp;$DF47+'Model Setup'!$G$7,$AD47:$BA47)+'Model Setup'!$G$8*(SUMIF($BH$3:$CE$3,"&lt;"&amp;$DF47,$AD47:$BA47)+SUMIF($BH$3:$CE$3,"&gt;"&amp;$CW$4,$AD47:$BA47)),
IF(BT$3=$DF47+'Model Setup'!$H$7,SUMIF($BH$3:$CE$3,"="&amp;$DF47+'Model Setup'!$H$7,$AD47:$BA47)+'Model Setup'!$H$8*(SUMIF($BH$3:$CE$3,"&lt;"&amp;$DF47,$AD47:$BA47)+SUMIF($BH$3:$CE$3,"&gt;"&amp;$CW$4,$AD47:$BA47)),
IF(BT$3=$DF47+'Model Setup'!$I$7,SUMIF($BH$3:$CE$3,"="&amp;$DF47+'Model Setup'!$I$7,$AD47:$BA47)+'Model Setup'!$I$8*(SUMIF($BH$3:$CE$3,"&lt;"&amp;$DF47,$AD47:$BA47)+SUMIF($BH$3:$CE$3,"&gt;"&amp;$CW$4,$AD47:$BA47)),
IF(BT$3=$DF47+'Model Setup'!$J$7,SUMIF($BH$3:$CE$3,"="&amp;$DF47+'Model Setup'!$J$7,$AD47:$BA47)+'Model Setup'!$J$8*(SUMIF($BH$3:$CE$3,"&lt;"&amp;$DF47,$AD47:$BA47)+SUMIF($BH$3:$CE$3,"&gt;"&amp;$CW$4,$AD47:$BA47)),
IF(BT$3=$DF47+'Model Setup'!$K$7,SUMIF($BH$3:$CE$3,"="&amp;$DF47+'Model Setup'!$K$7,$AD47:$BA47)+'Model Setup'!$K$8*(SUMIF($BH$3:$CE$3,"&lt;"&amp;$DF47,$AD47:$BA47)+SUMIF($BH$3:$CE$3,"&gt;"&amp;$CW$4,$AD47:$BA47)),
IF(BT$3=$DF47+'Model Setup'!$L$7,SUMIF($BH$3:$CE$3,"="&amp;$DF47+'Model Setup'!$L$7,$AD47:$BA47)+'Model Setup'!$L$8*(SUMIF($BH$3:$CE$3,"&lt;"&amp;$DF47,$AD47:$BA47)+SUMIF($BH$3:$CE$3,"&gt;"&amp;$CW$4,$AD47:$BA47)),
IF(BT$3=$DF47+'Model Setup'!$M$7,SUMIF($BH$3:$CE$3,"="&amp;$DF47+'Model Setup'!$M$7,$AD47:$BA47)+'Model Setup'!$M$8*(SUMIF($BH$3:$CE$3,"&lt;"&amp;$DF47,$AD47:$BA47)+SUMIF($BH$3:$CE$3,"&gt;"&amp;$CW$4,$AD47:$BA47)),
IF(BT$3=$DF47+'Model Setup'!$N$7,SUMIF($BH$3:$CE$3,"="&amp;$DF47+'Model Setup'!$N$7,$AD47:$BA47)+'Model Setup'!$N$8*(SUMIF($BH$3:$CE$3,"&lt;"&amp;$DF47,$AD47:$BA47)+SUMIF($BH$3:$CE$3,"&gt;"&amp;$CW$4,$AD47:$BA47)),
IF(BT$3&lt;$CW$4,N47,0))))))))))))))),0)</f>
        <v>4</v>
      </c>
      <c r="BU47" s="47">
        <f>ROUND(IF(OR(BU$3&lt;$DF47,BU$3&gt;$CW$4),0,
IF(BU$3=$DF47+'Model Setup'!$B$7,SUMIF($BH$3:$CE$3,"="&amp;$DF47+'Model Setup'!$B$7,$AD47:$BA47)+'Model Setup'!$B$8*(SUMIF($BH$3:$CE$3,"&lt;"&amp;$DF47,$AD47:$BA47)+SUMIF($BH$3:$CE$3,"&gt;"&amp;$CW$4,$AD47:$BA47)),
IF(BU$3=$DF47+'Model Setup'!$C$7,SUMIF($BH$3:$CE$3,"="&amp;$DF47+'Model Setup'!$C$7,$AD47:$BA47)+'Model Setup'!$C$8*(SUMIF($BH$3:$CE$3,"&lt;"&amp;$DF47,$AD47:$BA47)+SUMIF($BH$3:$CE$3,"&gt;"&amp;$CW$4,$AD47:$BA47)),
IF(BU$3=$DF47+'Model Setup'!$D$7,SUMIF($BH$3:$CE$3,"="&amp;$DF47+'Model Setup'!$D$7,$AD47:$BA47)+'Model Setup'!$D$8*(SUMIF($BH$3:$CE$3,"&lt;"&amp;$DF47,$AD47:$BA47)+SUMIF($BH$3:$CE$3,"&gt;"&amp;$CW$4,$AD47:$BA47)),
IF(BU$3=$DF47+'Model Setup'!$E$7,SUMIF($BH$3:$CE$3,"="&amp;$DF47+'Model Setup'!$E$7,$AD47:$BA47)+'Model Setup'!$E$8*(SUMIF($BH$3:$CE$3,"&lt;"&amp;$DF47,$AD47:$BA47)+SUMIF($BH$3:$CE$3,"&gt;"&amp;$CW$4,$AD47:$BA47)),
IF(BU$3=$DF47+'Model Setup'!$F$7,SUMIF($BH$3:$CE$3,"="&amp;$DF47+'Model Setup'!$F$7,$AD47:$BA47)+'Model Setup'!$F$8*(SUMIF($BH$3:$CE$3,"&lt;"&amp;$DF47,$AD47:$BA47)+SUMIF($BH$3:$CE$3,"&gt;"&amp;$CW$4,$AD47:$BA47)),
IF(BU$3=$DF47+'Model Setup'!$G$7,SUMIF($BH$3:$CE$3,"="&amp;$DF47+'Model Setup'!$G$7,$AD47:$BA47)+'Model Setup'!$G$8*(SUMIF($BH$3:$CE$3,"&lt;"&amp;$DF47,$AD47:$BA47)+SUMIF($BH$3:$CE$3,"&gt;"&amp;$CW$4,$AD47:$BA47)),
IF(BU$3=$DF47+'Model Setup'!$H$7,SUMIF($BH$3:$CE$3,"="&amp;$DF47+'Model Setup'!$H$7,$AD47:$BA47)+'Model Setup'!$H$8*(SUMIF($BH$3:$CE$3,"&lt;"&amp;$DF47,$AD47:$BA47)+SUMIF($BH$3:$CE$3,"&gt;"&amp;$CW$4,$AD47:$BA47)),
IF(BU$3=$DF47+'Model Setup'!$I$7,SUMIF($BH$3:$CE$3,"="&amp;$DF47+'Model Setup'!$I$7,$AD47:$BA47)+'Model Setup'!$I$8*(SUMIF($BH$3:$CE$3,"&lt;"&amp;$DF47,$AD47:$BA47)+SUMIF($BH$3:$CE$3,"&gt;"&amp;$CW$4,$AD47:$BA47)),
IF(BU$3=$DF47+'Model Setup'!$J$7,SUMIF($BH$3:$CE$3,"="&amp;$DF47+'Model Setup'!$J$7,$AD47:$BA47)+'Model Setup'!$J$8*(SUMIF($BH$3:$CE$3,"&lt;"&amp;$DF47,$AD47:$BA47)+SUMIF($BH$3:$CE$3,"&gt;"&amp;$CW$4,$AD47:$BA47)),
IF(BU$3=$DF47+'Model Setup'!$K$7,SUMIF($BH$3:$CE$3,"="&amp;$DF47+'Model Setup'!$K$7,$AD47:$BA47)+'Model Setup'!$K$8*(SUMIF($BH$3:$CE$3,"&lt;"&amp;$DF47,$AD47:$BA47)+SUMIF($BH$3:$CE$3,"&gt;"&amp;$CW$4,$AD47:$BA47)),
IF(BU$3=$DF47+'Model Setup'!$L$7,SUMIF($BH$3:$CE$3,"="&amp;$DF47+'Model Setup'!$L$7,$AD47:$BA47)+'Model Setup'!$L$8*(SUMIF($BH$3:$CE$3,"&lt;"&amp;$DF47,$AD47:$BA47)+SUMIF($BH$3:$CE$3,"&gt;"&amp;$CW$4,$AD47:$BA47)),
IF(BU$3=$DF47+'Model Setup'!$M$7,SUMIF($BH$3:$CE$3,"="&amp;$DF47+'Model Setup'!$M$7,$AD47:$BA47)+'Model Setup'!$M$8*(SUMIF($BH$3:$CE$3,"&lt;"&amp;$DF47,$AD47:$BA47)+SUMIF($BH$3:$CE$3,"&gt;"&amp;$CW$4,$AD47:$BA47)),
IF(BU$3=$DF47+'Model Setup'!$N$7,SUMIF($BH$3:$CE$3,"="&amp;$DF47+'Model Setup'!$N$7,$AD47:$BA47)+'Model Setup'!$N$8*(SUMIF($BH$3:$CE$3,"&lt;"&amp;$DF47,$AD47:$BA47)+SUMIF($BH$3:$CE$3,"&gt;"&amp;$CW$4,$AD47:$BA47)),
IF(BU$3&lt;$CW$4,O47,0))))))))))))))),0)</f>
        <v>3</v>
      </c>
      <c r="BV47" s="47">
        <f>ROUND(IF(OR(BV$3&lt;$DF47,BV$3&gt;$CW$4),0,
IF(BV$3=$DF47+'Model Setup'!$B$7,SUMIF($BH$3:$CE$3,"="&amp;$DF47+'Model Setup'!$B$7,$AD47:$BA47)+'Model Setup'!$B$8*(SUMIF($BH$3:$CE$3,"&lt;"&amp;$DF47,$AD47:$BA47)+SUMIF($BH$3:$CE$3,"&gt;"&amp;$CW$4,$AD47:$BA47)),
IF(BV$3=$DF47+'Model Setup'!$C$7,SUMIF($BH$3:$CE$3,"="&amp;$DF47+'Model Setup'!$C$7,$AD47:$BA47)+'Model Setup'!$C$8*(SUMIF($BH$3:$CE$3,"&lt;"&amp;$DF47,$AD47:$BA47)+SUMIF($BH$3:$CE$3,"&gt;"&amp;$CW$4,$AD47:$BA47)),
IF(BV$3=$DF47+'Model Setup'!$D$7,SUMIF($BH$3:$CE$3,"="&amp;$DF47+'Model Setup'!$D$7,$AD47:$BA47)+'Model Setup'!$D$8*(SUMIF($BH$3:$CE$3,"&lt;"&amp;$DF47,$AD47:$BA47)+SUMIF($BH$3:$CE$3,"&gt;"&amp;$CW$4,$AD47:$BA47)),
IF(BV$3=$DF47+'Model Setup'!$E$7,SUMIF($BH$3:$CE$3,"="&amp;$DF47+'Model Setup'!$E$7,$AD47:$BA47)+'Model Setup'!$E$8*(SUMIF($BH$3:$CE$3,"&lt;"&amp;$DF47,$AD47:$BA47)+SUMIF($BH$3:$CE$3,"&gt;"&amp;$CW$4,$AD47:$BA47)),
IF(BV$3=$DF47+'Model Setup'!$F$7,SUMIF($BH$3:$CE$3,"="&amp;$DF47+'Model Setup'!$F$7,$AD47:$BA47)+'Model Setup'!$F$8*(SUMIF($BH$3:$CE$3,"&lt;"&amp;$DF47,$AD47:$BA47)+SUMIF($BH$3:$CE$3,"&gt;"&amp;$CW$4,$AD47:$BA47)),
IF(BV$3=$DF47+'Model Setup'!$G$7,SUMIF($BH$3:$CE$3,"="&amp;$DF47+'Model Setup'!$G$7,$AD47:$BA47)+'Model Setup'!$G$8*(SUMIF($BH$3:$CE$3,"&lt;"&amp;$DF47,$AD47:$BA47)+SUMIF($BH$3:$CE$3,"&gt;"&amp;$CW$4,$AD47:$BA47)),
IF(BV$3=$DF47+'Model Setup'!$H$7,SUMIF($BH$3:$CE$3,"="&amp;$DF47+'Model Setup'!$H$7,$AD47:$BA47)+'Model Setup'!$H$8*(SUMIF($BH$3:$CE$3,"&lt;"&amp;$DF47,$AD47:$BA47)+SUMIF($BH$3:$CE$3,"&gt;"&amp;$CW$4,$AD47:$BA47)),
IF(BV$3=$DF47+'Model Setup'!$I$7,SUMIF($BH$3:$CE$3,"="&amp;$DF47+'Model Setup'!$I$7,$AD47:$BA47)+'Model Setup'!$I$8*(SUMIF($BH$3:$CE$3,"&lt;"&amp;$DF47,$AD47:$BA47)+SUMIF($BH$3:$CE$3,"&gt;"&amp;$CW$4,$AD47:$BA47)),
IF(BV$3=$DF47+'Model Setup'!$J$7,SUMIF($BH$3:$CE$3,"="&amp;$DF47+'Model Setup'!$J$7,$AD47:$BA47)+'Model Setup'!$J$8*(SUMIF($BH$3:$CE$3,"&lt;"&amp;$DF47,$AD47:$BA47)+SUMIF($BH$3:$CE$3,"&gt;"&amp;$CW$4,$AD47:$BA47)),
IF(BV$3=$DF47+'Model Setup'!$K$7,SUMIF($BH$3:$CE$3,"="&amp;$DF47+'Model Setup'!$K$7,$AD47:$BA47)+'Model Setup'!$K$8*(SUMIF($BH$3:$CE$3,"&lt;"&amp;$DF47,$AD47:$BA47)+SUMIF($BH$3:$CE$3,"&gt;"&amp;$CW$4,$AD47:$BA47)),
IF(BV$3=$DF47+'Model Setup'!$L$7,SUMIF($BH$3:$CE$3,"="&amp;$DF47+'Model Setup'!$L$7,$AD47:$BA47)+'Model Setup'!$L$8*(SUMIF($BH$3:$CE$3,"&lt;"&amp;$DF47,$AD47:$BA47)+SUMIF($BH$3:$CE$3,"&gt;"&amp;$CW$4,$AD47:$BA47)),
IF(BV$3=$DF47+'Model Setup'!$M$7,SUMIF($BH$3:$CE$3,"="&amp;$DF47+'Model Setup'!$M$7,$AD47:$BA47)+'Model Setup'!$M$8*(SUMIF($BH$3:$CE$3,"&lt;"&amp;$DF47,$AD47:$BA47)+SUMIF($BH$3:$CE$3,"&gt;"&amp;$CW$4,$AD47:$BA47)),
IF(BV$3=$DF47+'Model Setup'!$N$7,SUMIF($BH$3:$CE$3,"="&amp;$DF47+'Model Setup'!$N$7,$AD47:$BA47)+'Model Setup'!$N$8*(SUMIF($BH$3:$CE$3,"&lt;"&amp;$DF47,$AD47:$BA47)+SUMIF($BH$3:$CE$3,"&gt;"&amp;$CW$4,$AD47:$BA47)),
IF(BV$3&lt;$CW$4,P47,0))))))))))))))),0)</f>
        <v>5</v>
      </c>
      <c r="BW47" s="47">
        <f>ROUND(IF(OR(BW$3&lt;$DF47,BW$3&gt;$CW$4),0,
IF(BW$3=$DF47+'Model Setup'!$B$7,SUMIF($BH$3:$CE$3,"="&amp;$DF47+'Model Setup'!$B$7,$AD47:$BA47)+'Model Setup'!$B$8*(SUMIF($BH$3:$CE$3,"&lt;"&amp;$DF47,$AD47:$BA47)+SUMIF($BH$3:$CE$3,"&gt;"&amp;$CW$4,$AD47:$BA47)),
IF(BW$3=$DF47+'Model Setup'!$C$7,SUMIF($BH$3:$CE$3,"="&amp;$DF47+'Model Setup'!$C$7,$AD47:$BA47)+'Model Setup'!$C$8*(SUMIF($BH$3:$CE$3,"&lt;"&amp;$DF47,$AD47:$BA47)+SUMIF($BH$3:$CE$3,"&gt;"&amp;$CW$4,$AD47:$BA47)),
IF(BW$3=$DF47+'Model Setup'!$D$7,SUMIF($BH$3:$CE$3,"="&amp;$DF47+'Model Setup'!$D$7,$AD47:$BA47)+'Model Setup'!$D$8*(SUMIF($BH$3:$CE$3,"&lt;"&amp;$DF47,$AD47:$BA47)+SUMIF($BH$3:$CE$3,"&gt;"&amp;$CW$4,$AD47:$BA47)),
IF(BW$3=$DF47+'Model Setup'!$E$7,SUMIF($BH$3:$CE$3,"="&amp;$DF47+'Model Setup'!$E$7,$AD47:$BA47)+'Model Setup'!$E$8*(SUMIF($BH$3:$CE$3,"&lt;"&amp;$DF47,$AD47:$BA47)+SUMIF($BH$3:$CE$3,"&gt;"&amp;$CW$4,$AD47:$BA47)),
IF(BW$3=$DF47+'Model Setup'!$F$7,SUMIF($BH$3:$CE$3,"="&amp;$DF47+'Model Setup'!$F$7,$AD47:$BA47)+'Model Setup'!$F$8*(SUMIF($BH$3:$CE$3,"&lt;"&amp;$DF47,$AD47:$BA47)+SUMIF($BH$3:$CE$3,"&gt;"&amp;$CW$4,$AD47:$BA47)),
IF(BW$3=$DF47+'Model Setup'!$G$7,SUMIF($BH$3:$CE$3,"="&amp;$DF47+'Model Setup'!$G$7,$AD47:$BA47)+'Model Setup'!$G$8*(SUMIF($BH$3:$CE$3,"&lt;"&amp;$DF47,$AD47:$BA47)+SUMIF($BH$3:$CE$3,"&gt;"&amp;$CW$4,$AD47:$BA47)),
IF(BW$3=$DF47+'Model Setup'!$H$7,SUMIF($BH$3:$CE$3,"="&amp;$DF47+'Model Setup'!$H$7,$AD47:$BA47)+'Model Setup'!$H$8*(SUMIF($BH$3:$CE$3,"&lt;"&amp;$DF47,$AD47:$BA47)+SUMIF($BH$3:$CE$3,"&gt;"&amp;$CW$4,$AD47:$BA47)),
IF(BW$3=$DF47+'Model Setup'!$I$7,SUMIF($BH$3:$CE$3,"="&amp;$DF47+'Model Setup'!$I$7,$AD47:$BA47)+'Model Setup'!$I$8*(SUMIF($BH$3:$CE$3,"&lt;"&amp;$DF47,$AD47:$BA47)+SUMIF($BH$3:$CE$3,"&gt;"&amp;$CW$4,$AD47:$BA47)),
IF(BW$3=$DF47+'Model Setup'!$J$7,SUMIF($BH$3:$CE$3,"="&amp;$DF47+'Model Setup'!$J$7,$AD47:$BA47)+'Model Setup'!$J$8*(SUMIF($BH$3:$CE$3,"&lt;"&amp;$DF47,$AD47:$BA47)+SUMIF($BH$3:$CE$3,"&gt;"&amp;$CW$4,$AD47:$BA47)),
IF(BW$3=$DF47+'Model Setup'!$K$7,SUMIF($BH$3:$CE$3,"="&amp;$DF47+'Model Setup'!$K$7,$AD47:$BA47)+'Model Setup'!$K$8*(SUMIF($BH$3:$CE$3,"&lt;"&amp;$DF47,$AD47:$BA47)+SUMIF($BH$3:$CE$3,"&gt;"&amp;$CW$4,$AD47:$BA47)),
IF(BW$3=$DF47+'Model Setup'!$L$7,SUMIF($BH$3:$CE$3,"="&amp;$DF47+'Model Setup'!$L$7,$AD47:$BA47)+'Model Setup'!$L$8*(SUMIF($BH$3:$CE$3,"&lt;"&amp;$DF47,$AD47:$BA47)+SUMIF($BH$3:$CE$3,"&gt;"&amp;$CW$4,$AD47:$BA47)),
IF(BW$3=$DF47+'Model Setup'!$M$7,SUMIF($BH$3:$CE$3,"="&amp;$DF47+'Model Setup'!$M$7,$AD47:$BA47)+'Model Setup'!$M$8*(SUMIF($BH$3:$CE$3,"&lt;"&amp;$DF47,$AD47:$BA47)+SUMIF($BH$3:$CE$3,"&gt;"&amp;$CW$4,$AD47:$BA47)),
IF(BW$3=$DF47+'Model Setup'!$N$7,SUMIF($BH$3:$CE$3,"="&amp;$DF47+'Model Setup'!$N$7,$AD47:$BA47)+'Model Setup'!$N$8*(SUMIF($BH$3:$CE$3,"&lt;"&amp;$DF47,$AD47:$BA47)+SUMIF($BH$3:$CE$3,"&gt;"&amp;$CW$4,$AD47:$BA47)),
IF(BW$3&lt;$CW$4,Q47,0))))))))))))))),0)</f>
        <v>2</v>
      </c>
      <c r="BX47" s="47">
        <f>ROUND(IF(OR(BX$3&lt;$DF47,BX$3&gt;$CW$4),0,
IF(BX$3=$DF47+'Model Setup'!$B$7,SUMIF($BH$3:$CE$3,"="&amp;$DF47+'Model Setup'!$B$7,$AD47:$BA47)+'Model Setup'!$B$8*(SUMIF($BH$3:$CE$3,"&lt;"&amp;$DF47,$AD47:$BA47)+SUMIF($BH$3:$CE$3,"&gt;"&amp;$CW$4,$AD47:$BA47)),
IF(BX$3=$DF47+'Model Setup'!$C$7,SUMIF($BH$3:$CE$3,"="&amp;$DF47+'Model Setup'!$C$7,$AD47:$BA47)+'Model Setup'!$C$8*(SUMIF($BH$3:$CE$3,"&lt;"&amp;$DF47,$AD47:$BA47)+SUMIF($BH$3:$CE$3,"&gt;"&amp;$CW$4,$AD47:$BA47)),
IF(BX$3=$DF47+'Model Setup'!$D$7,SUMIF($BH$3:$CE$3,"="&amp;$DF47+'Model Setup'!$D$7,$AD47:$BA47)+'Model Setup'!$D$8*(SUMIF($BH$3:$CE$3,"&lt;"&amp;$DF47,$AD47:$BA47)+SUMIF($BH$3:$CE$3,"&gt;"&amp;$CW$4,$AD47:$BA47)),
IF(BX$3=$DF47+'Model Setup'!$E$7,SUMIF($BH$3:$CE$3,"="&amp;$DF47+'Model Setup'!$E$7,$AD47:$BA47)+'Model Setup'!$E$8*(SUMIF($BH$3:$CE$3,"&lt;"&amp;$DF47,$AD47:$BA47)+SUMIF($BH$3:$CE$3,"&gt;"&amp;$CW$4,$AD47:$BA47)),
IF(BX$3=$DF47+'Model Setup'!$F$7,SUMIF($BH$3:$CE$3,"="&amp;$DF47+'Model Setup'!$F$7,$AD47:$BA47)+'Model Setup'!$F$8*(SUMIF($BH$3:$CE$3,"&lt;"&amp;$DF47,$AD47:$BA47)+SUMIF($BH$3:$CE$3,"&gt;"&amp;$CW$4,$AD47:$BA47)),
IF(BX$3=$DF47+'Model Setup'!$G$7,SUMIF($BH$3:$CE$3,"="&amp;$DF47+'Model Setup'!$G$7,$AD47:$BA47)+'Model Setup'!$G$8*(SUMIF($BH$3:$CE$3,"&lt;"&amp;$DF47,$AD47:$BA47)+SUMIF($BH$3:$CE$3,"&gt;"&amp;$CW$4,$AD47:$BA47)),
IF(BX$3=$DF47+'Model Setup'!$H$7,SUMIF($BH$3:$CE$3,"="&amp;$DF47+'Model Setup'!$H$7,$AD47:$BA47)+'Model Setup'!$H$8*(SUMIF($BH$3:$CE$3,"&lt;"&amp;$DF47,$AD47:$BA47)+SUMIF($BH$3:$CE$3,"&gt;"&amp;$CW$4,$AD47:$BA47)),
IF(BX$3=$DF47+'Model Setup'!$I$7,SUMIF($BH$3:$CE$3,"="&amp;$DF47+'Model Setup'!$I$7,$AD47:$BA47)+'Model Setup'!$I$8*(SUMIF($BH$3:$CE$3,"&lt;"&amp;$DF47,$AD47:$BA47)+SUMIF($BH$3:$CE$3,"&gt;"&amp;$CW$4,$AD47:$BA47)),
IF(BX$3=$DF47+'Model Setup'!$J$7,SUMIF($BH$3:$CE$3,"="&amp;$DF47+'Model Setup'!$J$7,$AD47:$BA47)+'Model Setup'!$J$8*(SUMIF($BH$3:$CE$3,"&lt;"&amp;$DF47,$AD47:$BA47)+SUMIF($BH$3:$CE$3,"&gt;"&amp;$CW$4,$AD47:$BA47)),
IF(BX$3=$DF47+'Model Setup'!$K$7,SUMIF($BH$3:$CE$3,"="&amp;$DF47+'Model Setup'!$K$7,$AD47:$BA47)+'Model Setup'!$K$8*(SUMIF($BH$3:$CE$3,"&lt;"&amp;$DF47,$AD47:$BA47)+SUMIF($BH$3:$CE$3,"&gt;"&amp;$CW$4,$AD47:$BA47)),
IF(BX$3=$DF47+'Model Setup'!$L$7,SUMIF($BH$3:$CE$3,"="&amp;$DF47+'Model Setup'!$L$7,$AD47:$BA47)+'Model Setup'!$L$8*(SUMIF($BH$3:$CE$3,"&lt;"&amp;$DF47,$AD47:$BA47)+SUMIF($BH$3:$CE$3,"&gt;"&amp;$CW$4,$AD47:$BA47)),
IF(BX$3=$DF47+'Model Setup'!$M$7,SUMIF($BH$3:$CE$3,"="&amp;$DF47+'Model Setup'!$M$7,$AD47:$BA47)+'Model Setup'!$M$8*(SUMIF($BH$3:$CE$3,"&lt;"&amp;$DF47,$AD47:$BA47)+SUMIF($BH$3:$CE$3,"&gt;"&amp;$CW$4,$AD47:$BA47)),
IF(BX$3=$DF47+'Model Setup'!$N$7,SUMIF($BH$3:$CE$3,"="&amp;$DF47+'Model Setup'!$N$7,$AD47:$BA47)+'Model Setup'!$N$8*(SUMIF($BH$3:$CE$3,"&lt;"&amp;$DF47,$AD47:$BA47)+SUMIF($BH$3:$CE$3,"&gt;"&amp;$CW$4,$AD47:$BA47)),
IF(BX$3&lt;$CW$4,R47,0))))))))))))))),0)</f>
        <v>1</v>
      </c>
      <c r="BY47" s="47">
        <f>ROUND(IF(OR(BY$3&lt;$DF47,BY$3&gt;$CW$4),0,
IF(BY$3=$DF47+'Model Setup'!$B$7,SUMIF($BH$3:$CE$3,"="&amp;$DF47+'Model Setup'!$B$7,$AD47:$BA47)+'Model Setup'!$B$8*(SUMIF($BH$3:$CE$3,"&lt;"&amp;$DF47,$AD47:$BA47)+SUMIF($BH$3:$CE$3,"&gt;"&amp;$CW$4,$AD47:$BA47)),
IF(BY$3=$DF47+'Model Setup'!$C$7,SUMIF($BH$3:$CE$3,"="&amp;$DF47+'Model Setup'!$C$7,$AD47:$BA47)+'Model Setup'!$C$8*(SUMIF($BH$3:$CE$3,"&lt;"&amp;$DF47,$AD47:$BA47)+SUMIF($BH$3:$CE$3,"&gt;"&amp;$CW$4,$AD47:$BA47)),
IF(BY$3=$DF47+'Model Setup'!$D$7,SUMIF($BH$3:$CE$3,"="&amp;$DF47+'Model Setup'!$D$7,$AD47:$BA47)+'Model Setup'!$D$8*(SUMIF($BH$3:$CE$3,"&lt;"&amp;$DF47,$AD47:$BA47)+SUMIF($BH$3:$CE$3,"&gt;"&amp;$CW$4,$AD47:$BA47)),
IF(BY$3=$DF47+'Model Setup'!$E$7,SUMIF($BH$3:$CE$3,"="&amp;$DF47+'Model Setup'!$E$7,$AD47:$BA47)+'Model Setup'!$E$8*(SUMIF($BH$3:$CE$3,"&lt;"&amp;$DF47,$AD47:$BA47)+SUMIF($BH$3:$CE$3,"&gt;"&amp;$CW$4,$AD47:$BA47)),
IF(BY$3=$DF47+'Model Setup'!$F$7,SUMIF($BH$3:$CE$3,"="&amp;$DF47+'Model Setup'!$F$7,$AD47:$BA47)+'Model Setup'!$F$8*(SUMIF($BH$3:$CE$3,"&lt;"&amp;$DF47,$AD47:$BA47)+SUMIF($BH$3:$CE$3,"&gt;"&amp;$CW$4,$AD47:$BA47)),
IF(BY$3=$DF47+'Model Setup'!$G$7,SUMIF($BH$3:$CE$3,"="&amp;$DF47+'Model Setup'!$G$7,$AD47:$BA47)+'Model Setup'!$G$8*(SUMIF($BH$3:$CE$3,"&lt;"&amp;$DF47,$AD47:$BA47)+SUMIF($BH$3:$CE$3,"&gt;"&amp;$CW$4,$AD47:$BA47)),
IF(BY$3=$DF47+'Model Setup'!$H$7,SUMIF($BH$3:$CE$3,"="&amp;$DF47+'Model Setup'!$H$7,$AD47:$BA47)+'Model Setup'!$H$8*(SUMIF($BH$3:$CE$3,"&lt;"&amp;$DF47,$AD47:$BA47)+SUMIF($BH$3:$CE$3,"&gt;"&amp;$CW$4,$AD47:$BA47)),
IF(BY$3=$DF47+'Model Setup'!$I$7,SUMIF($BH$3:$CE$3,"="&amp;$DF47+'Model Setup'!$I$7,$AD47:$BA47)+'Model Setup'!$I$8*(SUMIF($BH$3:$CE$3,"&lt;"&amp;$DF47,$AD47:$BA47)+SUMIF($BH$3:$CE$3,"&gt;"&amp;$CW$4,$AD47:$BA47)),
IF(BY$3=$DF47+'Model Setup'!$J$7,SUMIF($BH$3:$CE$3,"="&amp;$DF47+'Model Setup'!$J$7,$AD47:$BA47)+'Model Setup'!$J$8*(SUMIF($BH$3:$CE$3,"&lt;"&amp;$DF47,$AD47:$BA47)+SUMIF($BH$3:$CE$3,"&gt;"&amp;$CW$4,$AD47:$BA47)),
IF(BY$3=$DF47+'Model Setup'!$K$7,SUMIF($BH$3:$CE$3,"="&amp;$DF47+'Model Setup'!$K$7,$AD47:$BA47)+'Model Setup'!$K$8*(SUMIF($BH$3:$CE$3,"&lt;"&amp;$DF47,$AD47:$BA47)+SUMIF($BH$3:$CE$3,"&gt;"&amp;$CW$4,$AD47:$BA47)),
IF(BY$3=$DF47+'Model Setup'!$L$7,SUMIF($BH$3:$CE$3,"="&amp;$DF47+'Model Setup'!$L$7,$AD47:$BA47)+'Model Setup'!$L$8*(SUMIF($BH$3:$CE$3,"&lt;"&amp;$DF47,$AD47:$BA47)+SUMIF($BH$3:$CE$3,"&gt;"&amp;$CW$4,$AD47:$BA47)),
IF(BY$3=$DF47+'Model Setup'!$M$7,SUMIF($BH$3:$CE$3,"="&amp;$DF47+'Model Setup'!$M$7,$AD47:$BA47)+'Model Setup'!$M$8*(SUMIF($BH$3:$CE$3,"&lt;"&amp;$DF47,$AD47:$BA47)+SUMIF($BH$3:$CE$3,"&gt;"&amp;$CW$4,$AD47:$BA47)),
IF(BY$3=$DF47+'Model Setup'!$N$7,SUMIF($BH$3:$CE$3,"="&amp;$DF47+'Model Setup'!$N$7,$AD47:$BA47)+'Model Setup'!$N$8*(SUMIF($BH$3:$CE$3,"&lt;"&amp;$DF47,$AD47:$BA47)+SUMIF($BH$3:$CE$3,"&gt;"&amp;$CW$4,$AD47:$BA47)),
IF(BY$3&lt;$CW$4,S47,0))))))))))))))),0)</f>
        <v>9</v>
      </c>
      <c r="BZ47" s="47">
        <f>ROUND(IF(OR(BZ$3&lt;$DF47,BZ$3&gt;$CW$4),0,
IF(BZ$3=$DF47+'Model Setup'!$B$7,SUMIF($BH$3:$CE$3,"="&amp;$DF47+'Model Setup'!$B$7,$AD47:$BA47)+'Model Setup'!$B$8*(SUMIF($BH$3:$CE$3,"&lt;"&amp;$DF47,$AD47:$BA47)+SUMIF($BH$3:$CE$3,"&gt;"&amp;$CW$4,$AD47:$BA47)),
IF(BZ$3=$DF47+'Model Setup'!$C$7,SUMIF($BH$3:$CE$3,"="&amp;$DF47+'Model Setup'!$C$7,$AD47:$BA47)+'Model Setup'!$C$8*(SUMIF($BH$3:$CE$3,"&lt;"&amp;$DF47,$AD47:$BA47)+SUMIF($BH$3:$CE$3,"&gt;"&amp;$CW$4,$AD47:$BA47)),
IF(BZ$3=$DF47+'Model Setup'!$D$7,SUMIF($BH$3:$CE$3,"="&amp;$DF47+'Model Setup'!$D$7,$AD47:$BA47)+'Model Setup'!$D$8*(SUMIF($BH$3:$CE$3,"&lt;"&amp;$DF47,$AD47:$BA47)+SUMIF($BH$3:$CE$3,"&gt;"&amp;$CW$4,$AD47:$BA47)),
IF(BZ$3=$DF47+'Model Setup'!$E$7,SUMIF($BH$3:$CE$3,"="&amp;$DF47+'Model Setup'!$E$7,$AD47:$BA47)+'Model Setup'!$E$8*(SUMIF($BH$3:$CE$3,"&lt;"&amp;$DF47,$AD47:$BA47)+SUMIF($BH$3:$CE$3,"&gt;"&amp;$CW$4,$AD47:$BA47)),
IF(BZ$3=$DF47+'Model Setup'!$F$7,SUMIF($BH$3:$CE$3,"="&amp;$DF47+'Model Setup'!$F$7,$AD47:$BA47)+'Model Setup'!$F$8*(SUMIF($BH$3:$CE$3,"&lt;"&amp;$DF47,$AD47:$BA47)+SUMIF($BH$3:$CE$3,"&gt;"&amp;$CW$4,$AD47:$BA47)),
IF(BZ$3=$DF47+'Model Setup'!$G$7,SUMIF($BH$3:$CE$3,"="&amp;$DF47+'Model Setup'!$G$7,$AD47:$BA47)+'Model Setup'!$G$8*(SUMIF($BH$3:$CE$3,"&lt;"&amp;$DF47,$AD47:$BA47)+SUMIF($BH$3:$CE$3,"&gt;"&amp;$CW$4,$AD47:$BA47)),
IF(BZ$3=$DF47+'Model Setup'!$H$7,SUMIF($BH$3:$CE$3,"="&amp;$DF47+'Model Setup'!$H$7,$AD47:$BA47)+'Model Setup'!$H$8*(SUMIF($BH$3:$CE$3,"&lt;"&amp;$DF47,$AD47:$BA47)+SUMIF($BH$3:$CE$3,"&gt;"&amp;$CW$4,$AD47:$BA47)),
IF(BZ$3=$DF47+'Model Setup'!$I$7,SUMIF($BH$3:$CE$3,"="&amp;$DF47+'Model Setup'!$I$7,$AD47:$BA47)+'Model Setup'!$I$8*(SUMIF($BH$3:$CE$3,"&lt;"&amp;$DF47,$AD47:$BA47)+SUMIF($BH$3:$CE$3,"&gt;"&amp;$CW$4,$AD47:$BA47)),
IF(BZ$3=$DF47+'Model Setup'!$J$7,SUMIF($BH$3:$CE$3,"="&amp;$DF47+'Model Setup'!$J$7,$AD47:$BA47)+'Model Setup'!$J$8*(SUMIF($BH$3:$CE$3,"&lt;"&amp;$DF47,$AD47:$BA47)+SUMIF($BH$3:$CE$3,"&gt;"&amp;$CW$4,$AD47:$BA47)),
IF(BZ$3=$DF47+'Model Setup'!$K$7,SUMIF($BH$3:$CE$3,"="&amp;$DF47+'Model Setup'!$K$7,$AD47:$BA47)+'Model Setup'!$K$8*(SUMIF($BH$3:$CE$3,"&lt;"&amp;$DF47,$AD47:$BA47)+SUMIF($BH$3:$CE$3,"&gt;"&amp;$CW$4,$AD47:$BA47)),
IF(BZ$3=$DF47+'Model Setup'!$L$7,SUMIF($BH$3:$CE$3,"="&amp;$DF47+'Model Setup'!$L$7,$AD47:$BA47)+'Model Setup'!$L$8*(SUMIF($BH$3:$CE$3,"&lt;"&amp;$DF47,$AD47:$BA47)+SUMIF($BH$3:$CE$3,"&gt;"&amp;$CW$4,$AD47:$BA47)),
IF(BZ$3=$DF47+'Model Setup'!$M$7,SUMIF($BH$3:$CE$3,"="&amp;$DF47+'Model Setup'!$M$7,$AD47:$BA47)+'Model Setup'!$M$8*(SUMIF($BH$3:$CE$3,"&lt;"&amp;$DF47,$AD47:$BA47)+SUMIF($BH$3:$CE$3,"&gt;"&amp;$CW$4,$AD47:$BA47)),
IF(BZ$3=$DF47+'Model Setup'!$N$7,SUMIF($BH$3:$CE$3,"="&amp;$DF47+'Model Setup'!$N$7,$AD47:$BA47)+'Model Setup'!$N$8*(SUMIF($BH$3:$CE$3,"&lt;"&amp;$DF47,$AD47:$BA47)+SUMIF($BH$3:$CE$3,"&gt;"&amp;$CW$4,$AD47:$BA47)),
IF(BZ$3&lt;$CW$4,T47,0))))))))))))))),0)</f>
        <v>12</v>
      </c>
      <c r="CA47" s="47">
        <f>ROUND(IF(OR(CA$3&lt;$DF47,CA$3&gt;$CW$4),0,
IF(CA$3=$DF47+'Model Setup'!$B$7,SUMIF($BH$3:$CE$3,"="&amp;$DF47+'Model Setup'!$B$7,$AD47:$BA47)+'Model Setup'!$B$8*(SUMIF($BH$3:$CE$3,"&lt;"&amp;$DF47,$AD47:$BA47)+SUMIF($BH$3:$CE$3,"&gt;"&amp;$CW$4,$AD47:$BA47)),
IF(CA$3=$DF47+'Model Setup'!$C$7,SUMIF($BH$3:$CE$3,"="&amp;$DF47+'Model Setup'!$C$7,$AD47:$BA47)+'Model Setup'!$C$8*(SUMIF($BH$3:$CE$3,"&lt;"&amp;$DF47,$AD47:$BA47)+SUMIF($BH$3:$CE$3,"&gt;"&amp;$CW$4,$AD47:$BA47)),
IF(CA$3=$DF47+'Model Setup'!$D$7,SUMIF($BH$3:$CE$3,"="&amp;$DF47+'Model Setup'!$D$7,$AD47:$BA47)+'Model Setup'!$D$8*(SUMIF($BH$3:$CE$3,"&lt;"&amp;$DF47,$AD47:$BA47)+SUMIF($BH$3:$CE$3,"&gt;"&amp;$CW$4,$AD47:$BA47)),
IF(CA$3=$DF47+'Model Setup'!$E$7,SUMIF($BH$3:$CE$3,"="&amp;$DF47+'Model Setup'!$E$7,$AD47:$BA47)+'Model Setup'!$E$8*(SUMIF($BH$3:$CE$3,"&lt;"&amp;$DF47,$AD47:$BA47)+SUMIF($BH$3:$CE$3,"&gt;"&amp;$CW$4,$AD47:$BA47)),
IF(CA$3=$DF47+'Model Setup'!$F$7,SUMIF($BH$3:$CE$3,"="&amp;$DF47+'Model Setup'!$F$7,$AD47:$BA47)+'Model Setup'!$F$8*(SUMIF($BH$3:$CE$3,"&lt;"&amp;$DF47,$AD47:$BA47)+SUMIF($BH$3:$CE$3,"&gt;"&amp;$CW$4,$AD47:$BA47)),
IF(CA$3=$DF47+'Model Setup'!$G$7,SUMIF($BH$3:$CE$3,"="&amp;$DF47+'Model Setup'!$G$7,$AD47:$BA47)+'Model Setup'!$G$8*(SUMIF($BH$3:$CE$3,"&lt;"&amp;$DF47,$AD47:$BA47)+SUMIF($BH$3:$CE$3,"&gt;"&amp;$CW$4,$AD47:$BA47)),
IF(CA$3=$DF47+'Model Setup'!$H$7,SUMIF($BH$3:$CE$3,"="&amp;$DF47+'Model Setup'!$H$7,$AD47:$BA47)+'Model Setup'!$H$8*(SUMIF($BH$3:$CE$3,"&lt;"&amp;$DF47,$AD47:$BA47)+SUMIF($BH$3:$CE$3,"&gt;"&amp;$CW$4,$AD47:$BA47)),
IF(CA$3=$DF47+'Model Setup'!$I$7,SUMIF($BH$3:$CE$3,"="&amp;$DF47+'Model Setup'!$I$7,$AD47:$BA47)+'Model Setup'!$I$8*(SUMIF($BH$3:$CE$3,"&lt;"&amp;$DF47,$AD47:$BA47)+SUMIF($BH$3:$CE$3,"&gt;"&amp;$CW$4,$AD47:$BA47)),
IF(CA$3=$DF47+'Model Setup'!$J$7,SUMIF($BH$3:$CE$3,"="&amp;$DF47+'Model Setup'!$J$7,$AD47:$BA47)+'Model Setup'!$J$8*(SUMIF($BH$3:$CE$3,"&lt;"&amp;$DF47,$AD47:$BA47)+SUMIF($BH$3:$CE$3,"&gt;"&amp;$CW$4,$AD47:$BA47)),
IF(CA$3=$DF47+'Model Setup'!$K$7,SUMIF($BH$3:$CE$3,"="&amp;$DF47+'Model Setup'!$K$7,$AD47:$BA47)+'Model Setup'!$K$8*(SUMIF($BH$3:$CE$3,"&lt;"&amp;$DF47,$AD47:$BA47)+SUMIF($BH$3:$CE$3,"&gt;"&amp;$CW$4,$AD47:$BA47)),
IF(CA$3=$DF47+'Model Setup'!$L$7,SUMIF($BH$3:$CE$3,"="&amp;$DF47+'Model Setup'!$L$7,$AD47:$BA47)+'Model Setup'!$L$8*(SUMIF($BH$3:$CE$3,"&lt;"&amp;$DF47,$AD47:$BA47)+SUMIF($BH$3:$CE$3,"&gt;"&amp;$CW$4,$AD47:$BA47)),
IF(CA$3=$DF47+'Model Setup'!$M$7,SUMIF($BH$3:$CE$3,"="&amp;$DF47+'Model Setup'!$M$7,$AD47:$BA47)+'Model Setup'!$M$8*(SUMIF($BH$3:$CE$3,"&lt;"&amp;$DF47,$AD47:$BA47)+SUMIF($BH$3:$CE$3,"&gt;"&amp;$CW$4,$AD47:$BA47)),
IF(CA$3=$DF47+'Model Setup'!$N$7,SUMIF($BH$3:$CE$3,"="&amp;$DF47+'Model Setup'!$N$7,$AD47:$BA47)+'Model Setup'!$N$8*(SUMIF($BH$3:$CE$3,"&lt;"&amp;$DF47,$AD47:$BA47)+SUMIF($BH$3:$CE$3,"&gt;"&amp;$CW$4,$AD47:$BA47)),
IF(CA$3&lt;$CW$4,U47,0))))))))))))))),0)</f>
        <v>0</v>
      </c>
      <c r="CB47" s="47">
        <f>ROUND(IF(OR(CB$3&lt;$DF47,CB$3&gt;$CW$4),0,
IF(CB$3=$DF47+'Model Setup'!$B$7,SUMIF($BH$3:$CE$3,"="&amp;$DF47+'Model Setup'!$B$7,$AD47:$BA47)+'Model Setup'!$B$8*(SUMIF($BH$3:$CE$3,"&lt;"&amp;$DF47,$AD47:$BA47)+SUMIF($BH$3:$CE$3,"&gt;"&amp;$CW$4,$AD47:$BA47)),
IF(CB$3=$DF47+'Model Setup'!$C$7,SUMIF($BH$3:$CE$3,"="&amp;$DF47+'Model Setup'!$C$7,$AD47:$BA47)+'Model Setup'!$C$8*(SUMIF($BH$3:$CE$3,"&lt;"&amp;$DF47,$AD47:$BA47)+SUMIF($BH$3:$CE$3,"&gt;"&amp;$CW$4,$AD47:$BA47)),
IF(CB$3=$DF47+'Model Setup'!$D$7,SUMIF($BH$3:$CE$3,"="&amp;$DF47+'Model Setup'!$D$7,$AD47:$BA47)+'Model Setup'!$D$8*(SUMIF($BH$3:$CE$3,"&lt;"&amp;$DF47,$AD47:$BA47)+SUMIF($BH$3:$CE$3,"&gt;"&amp;$CW$4,$AD47:$BA47)),
IF(CB$3=$DF47+'Model Setup'!$E$7,SUMIF($BH$3:$CE$3,"="&amp;$DF47+'Model Setup'!$E$7,$AD47:$BA47)+'Model Setup'!$E$8*(SUMIF($BH$3:$CE$3,"&lt;"&amp;$DF47,$AD47:$BA47)+SUMIF($BH$3:$CE$3,"&gt;"&amp;$CW$4,$AD47:$BA47)),
IF(CB$3=$DF47+'Model Setup'!$F$7,SUMIF($BH$3:$CE$3,"="&amp;$DF47+'Model Setup'!$F$7,$AD47:$BA47)+'Model Setup'!$F$8*(SUMIF($BH$3:$CE$3,"&lt;"&amp;$DF47,$AD47:$BA47)+SUMIF($BH$3:$CE$3,"&gt;"&amp;$CW$4,$AD47:$BA47)),
IF(CB$3=$DF47+'Model Setup'!$G$7,SUMIF($BH$3:$CE$3,"="&amp;$DF47+'Model Setup'!$G$7,$AD47:$BA47)+'Model Setup'!$G$8*(SUMIF($BH$3:$CE$3,"&lt;"&amp;$DF47,$AD47:$BA47)+SUMIF($BH$3:$CE$3,"&gt;"&amp;$CW$4,$AD47:$BA47)),
IF(CB$3=$DF47+'Model Setup'!$H$7,SUMIF($BH$3:$CE$3,"="&amp;$DF47+'Model Setup'!$H$7,$AD47:$BA47)+'Model Setup'!$H$8*(SUMIF($BH$3:$CE$3,"&lt;"&amp;$DF47,$AD47:$BA47)+SUMIF($BH$3:$CE$3,"&gt;"&amp;$CW$4,$AD47:$BA47)),
IF(CB$3=$DF47+'Model Setup'!$I$7,SUMIF($BH$3:$CE$3,"="&amp;$DF47+'Model Setup'!$I$7,$AD47:$BA47)+'Model Setup'!$I$8*(SUMIF($BH$3:$CE$3,"&lt;"&amp;$DF47,$AD47:$BA47)+SUMIF($BH$3:$CE$3,"&gt;"&amp;$CW$4,$AD47:$BA47)),
IF(CB$3=$DF47+'Model Setup'!$J$7,SUMIF($BH$3:$CE$3,"="&amp;$DF47+'Model Setup'!$J$7,$AD47:$BA47)+'Model Setup'!$J$8*(SUMIF($BH$3:$CE$3,"&lt;"&amp;$DF47,$AD47:$BA47)+SUMIF($BH$3:$CE$3,"&gt;"&amp;$CW$4,$AD47:$BA47)),
IF(CB$3=$DF47+'Model Setup'!$K$7,SUMIF($BH$3:$CE$3,"="&amp;$DF47+'Model Setup'!$K$7,$AD47:$BA47)+'Model Setup'!$K$8*(SUMIF($BH$3:$CE$3,"&lt;"&amp;$DF47,$AD47:$BA47)+SUMIF($BH$3:$CE$3,"&gt;"&amp;$CW$4,$AD47:$BA47)),
IF(CB$3=$DF47+'Model Setup'!$L$7,SUMIF($BH$3:$CE$3,"="&amp;$DF47+'Model Setup'!$L$7,$AD47:$BA47)+'Model Setup'!$L$8*(SUMIF($BH$3:$CE$3,"&lt;"&amp;$DF47,$AD47:$BA47)+SUMIF($BH$3:$CE$3,"&gt;"&amp;$CW$4,$AD47:$BA47)),
IF(CB$3=$DF47+'Model Setup'!$M$7,SUMIF($BH$3:$CE$3,"="&amp;$DF47+'Model Setup'!$M$7,$AD47:$BA47)+'Model Setup'!$M$8*(SUMIF($BH$3:$CE$3,"&lt;"&amp;$DF47,$AD47:$BA47)+SUMIF($BH$3:$CE$3,"&gt;"&amp;$CW$4,$AD47:$BA47)),
IF(CB$3=$DF47+'Model Setup'!$N$7,SUMIF($BH$3:$CE$3,"="&amp;$DF47+'Model Setup'!$N$7,$AD47:$BA47)+'Model Setup'!$N$8*(SUMIF($BH$3:$CE$3,"&lt;"&amp;$DF47,$AD47:$BA47)+SUMIF($BH$3:$CE$3,"&gt;"&amp;$CW$4,$AD47:$BA47)),
IF(CB$3&lt;$CW$4,V47,0))))))))))))))),0)</f>
        <v>0</v>
      </c>
      <c r="CC47" s="47">
        <f>ROUND(IF(OR(CC$3&lt;$DF47,CC$3&gt;$CW$4),0,
IF(CC$3=$DF47+'Model Setup'!$B$7,SUMIF($BH$3:$CE$3,"="&amp;$DF47+'Model Setup'!$B$7,$AD47:$BA47)+'Model Setup'!$B$8*(SUMIF($BH$3:$CE$3,"&lt;"&amp;$DF47,$AD47:$BA47)+SUMIF($BH$3:$CE$3,"&gt;"&amp;$CW$4,$AD47:$BA47)),
IF(CC$3=$DF47+'Model Setup'!$C$7,SUMIF($BH$3:$CE$3,"="&amp;$DF47+'Model Setup'!$C$7,$AD47:$BA47)+'Model Setup'!$C$8*(SUMIF($BH$3:$CE$3,"&lt;"&amp;$DF47,$AD47:$BA47)+SUMIF($BH$3:$CE$3,"&gt;"&amp;$CW$4,$AD47:$BA47)),
IF(CC$3=$DF47+'Model Setup'!$D$7,SUMIF($BH$3:$CE$3,"="&amp;$DF47+'Model Setup'!$D$7,$AD47:$BA47)+'Model Setup'!$D$8*(SUMIF($BH$3:$CE$3,"&lt;"&amp;$DF47,$AD47:$BA47)+SUMIF($BH$3:$CE$3,"&gt;"&amp;$CW$4,$AD47:$BA47)),
IF(CC$3=$DF47+'Model Setup'!$E$7,SUMIF($BH$3:$CE$3,"="&amp;$DF47+'Model Setup'!$E$7,$AD47:$BA47)+'Model Setup'!$E$8*(SUMIF($BH$3:$CE$3,"&lt;"&amp;$DF47,$AD47:$BA47)+SUMIF($BH$3:$CE$3,"&gt;"&amp;$CW$4,$AD47:$BA47)),
IF(CC$3=$DF47+'Model Setup'!$F$7,SUMIF($BH$3:$CE$3,"="&amp;$DF47+'Model Setup'!$F$7,$AD47:$BA47)+'Model Setup'!$F$8*(SUMIF($BH$3:$CE$3,"&lt;"&amp;$DF47,$AD47:$BA47)+SUMIF($BH$3:$CE$3,"&gt;"&amp;$CW$4,$AD47:$BA47)),
IF(CC$3=$DF47+'Model Setup'!$G$7,SUMIF($BH$3:$CE$3,"="&amp;$DF47+'Model Setup'!$G$7,$AD47:$BA47)+'Model Setup'!$G$8*(SUMIF($BH$3:$CE$3,"&lt;"&amp;$DF47,$AD47:$BA47)+SUMIF($BH$3:$CE$3,"&gt;"&amp;$CW$4,$AD47:$BA47)),
IF(CC$3=$DF47+'Model Setup'!$H$7,SUMIF($BH$3:$CE$3,"="&amp;$DF47+'Model Setup'!$H$7,$AD47:$BA47)+'Model Setup'!$H$8*(SUMIF($BH$3:$CE$3,"&lt;"&amp;$DF47,$AD47:$BA47)+SUMIF($BH$3:$CE$3,"&gt;"&amp;$CW$4,$AD47:$BA47)),
IF(CC$3=$DF47+'Model Setup'!$I$7,SUMIF($BH$3:$CE$3,"="&amp;$DF47+'Model Setup'!$I$7,$AD47:$BA47)+'Model Setup'!$I$8*(SUMIF($BH$3:$CE$3,"&lt;"&amp;$DF47,$AD47:$BA47)+SUMIF($BH$3:$CE$3,"&gt;"&amp;$CW$4,$AD47:$BA47)),
IF(CC$3=$DF47+'Model Setup'!$J$7,SUMIF($BH$3:$CE$3,"="&amp;$DF47+'Model Setup'!$J$7,$AD47:$BA47)+'Model Setup'!$J$8*(SUMIF($BH$3:$CE$3,"&lt;"&amp;$DF47,$AD47:$BA47)+SUMIF($BH$3:$CE$3,"&gt;"&amp;$CW$4,$AD47:$BA47)),
IF(CC$3=$DF47+'Model Setup'!$K$7,SUMIF($BH$3:$CE$3,"="&amp;$DF47+'Model Setup'!$K$7,$AD47:$BA47)+'Model Setup'!$K$8*(SUMIF($BH$3:$CE$3,"&lt;"&amp;$DF47,$AD47:$BA47)+SUMIF($BH$3:$CE$3,"&gt;"&amp;$CW$4,$AD47:$BA47)),
IF(CC$3=$DF47+'Model Setup'!$L$7,SUMIF($BH$3:$CE$3,"="&amp;$DF47+'Model Setup'!$L$7,$AD47:$BA47)+'Model Setup'!$L$8*(SUMIF($BH$3:$CE$3,"&lt;"&amp;$DF47,$AD47:$BA47)+SUMIF($BH$3:$CE$3,"&gt;"&amp;$CW$4,$AD47:$BA47)),
IF(CC$3=$DF47+'Model Setup'!$M$7,SUMIF($BH$3:$CE$3,"="&amp;$DF47+'Model Setup'!$M$7,$AD47:$BA47)+'Model Setup'!$M$8*(SUMIF($BH$3:$CE$3,"&lt;"&amp;$DF47,$AD47:$BA47)+SUMIF($BH$3:$CE$3,"&gt;"&amp;$CW$4,$AD47:$BA47)),
IF(CC$3=$DF47+'Model Setup'!$N$7,SUMIF($BH$3:$CE$3,"="&amp;$DF47+'Model Setup'!$N$7,$AD47:$BA47)+'Model Setup'!$N$8*(SUMIF($BH$3:$CE$3,"&lt;"&amp;$DF47,$AD47:$BA47)+SUMIF($BH$3:$CE$3,"&gt;"&amp;$CW$4,$AD47:$BA47)),
IF(CC$3&lt;$CW$4,W47,0))))))))))))))),0)</f>
        <v>0</v>
      </c>
      <c r="CD47" s="47">
        <f>ROUND(IF(OR(CD$3&lt;$DF47,CD$3&gt;$CW$4),0,
IF(CD$3=$DF47+'Model Setup'!$B$7,SUMIF($BH$3:$CE$3,"="&amp;$DF47+'Model Setup'!$B$7,$AD47:$BA47)+'Model Setup'!$B$8*(SUMIF($BH$3:$CE$3,"&lt;"&amp;$DF47,$AD47:$BA47)+SUMIF($BH$3:$CE$3,"&gt;"&amp;$CW$4,$AD47:$BA47)),
IF(CD$3=$DF47+'Model Setup'!$C$7,SUMIF($BH$3:$CE$3,"="&amp;$DF47+'Model Setup'!$C$7,$AD47:$BA47)+'Model Setup'!$C$8*(SUMIF($BH$3:$CE$3,"&lt;"&amp;$DF47,$AD47:$BA47)+SUMIF($BH$3:$CE$3,"&gt;"&amp;$CW$4,$AD47:$BA47)),
IF(CD$3=$DF47+'Model Setup'!$D$7,SUMIF($BH$3:$CE$3,"="&amp;$DF47+'Model Setup'!$D$7,$AD47:$BA47)+'Model Setup'!$D$8*(SUMIF($BH$3:$CE$3,"&lt;"&amp;$DF47,$AD47:$BA47)+SUMIF($BH$3:$CE$3,"&gt;"&amp;$CW$4,$AD47:$BA47)),
IF(CD$3=$DF47+'Model Setup'!$E$7,SUMIF($BH$3:$CE$3,"="&amp;$DF47+'Model Setup'!$E$7,$AD47:$BA47)+'Model Setup'!$E$8*(SUMIF($BH$3:$CE$3,"&lt;"&amp;$DF47,$AD47:$BA47)+SUMIF($BH$3:$CE$3,"&gt;"&amp;$CW$4,$AD47:$BA47)),
IF(CD$3=$DF47+'Model Setup'!$F$7,SUMIF($BH$3:$CE$3,"="&amp;$DF47+'Model Setup'!$F$7,$AD47:$BA47)+'Model Setup'!$F$8*(SUMIF($BH$3:$CE$3,"&lt;"&amp;$DF47,$AD47:$BA47)+SUMIF($BH$3:$CE$3,"&gt;"&amp;$CW$4,$AD47:$BA47)),
IF(CD$3=$DF47+'Model Setup'!$G$7,SUMIF($BH$3:$CE$3,"="&amp;$DF47+'Model Setup'!$G$7,$AD47:$BA47)+'Model Setup'!$G$8*(SUMIF($BH$3:$CE$3,"&lt;"&amp;$DF47,$AD47:$BA47)+SUMIF($BH$3:$CE$3,"&gt;"&amp;$CW$4,$AD47:$BA47)),
IF(CD$3=$DF47+'Model Setup'!$H$7,SUMIF($BH$3:$CE$3,"="&amp;$DF47+'Model Setup'!$H$7,$AD47:$BA47)+'Model Setup'!$H$8*(SUMIF($BH$3:$CE$3,"&lt;"&amp;$DF47,$AD47:$BA47)+SUMIF($BH$3:$CE$3,"&gt;"&amp;$CW$4,$AD47:$BA47)),
IF(CD$3=$DF47+'Model Setup'!$I$7,SUMIF($BH$3:$CE$3,"="&amp;$DF47+'Model Setup'!$I$7,$AD47:$BA47)+'Model Setup'!$I$8*(SUMIF($BH$3:$CE$3,"&lt;"&amp;$DF47,$AD47:$BA47)+SUMIF($BH$3:$CE$3,"&gt;"&amp;$CW$4,$AD47:$BA47)),
IF(CD$3=$DF47+'Model Setup'!$J$7,SUMIF($BH$3:$CE$3,"="&amp;$DF47+'Model Setup'!$J$7,$AD47:$BA47)+'Model Setup'!$J$8*(SUMIF($BH$3:$CE$3,"&lt;"&amp;$DF47,$AD47:$BA47)+SUMIF($BH$3:$CE$3,"&gt;"&amp;$CW$4,$AD47:$BA47)),
IF(CD$3=$DF47+'Model Setup'!$K$7,SUMIF($BH$3:$CE$3,"="&amp;$DF47+'Model Setup'!$K$7,$AD47:$BA47)+'Model Setup'!$K$8*(SUMIF($BH$3:$CE$3,"&lt;"&amp;$DF47,$AD47:$BA47)+SUMIF($BH$3:$CE$3,"&gt;"&amp;$CW$4,$AD47:$BA47)),
IF(CD$3=$DF47+'Model Setup'!$L$7,SUMIF($BH$3:$CE$3,"="&amp;$DF47+'Model Setup'!$L$7,$AD47:$BA47)+'Model Setup'!$L$8*(SUMIF($BH$3:$CE$3,"&lt;"&amp;$DF47,$AD47:$BA47)+SUMIF($BH$3:$CE$3,"&gt;"&amp;$CW$4,$AD47:$BA47)),
IF(CD$3=$DF47+'Model Setup'!$M$7,SUMIF($BH$3:$CE$3,"="&amp;$DF47+'Model Setup'!$M$7,$AD47:$BA47)+'Model Setup'!$M$8*(SUMIF($BH$3:$CE$3,"&lt;"&amp;$DF47,$AD47:$BA47)+SUMIF($BH$3:$CE$3,"&gt;"&amp;$CW$4,$AD47:$BA47)),
IF(CD$3=$DF47+'Model Setup'!$N$7,SUMIF($BH$3:$CE$3,"="&amp;$DF47+'Model Setup'!$N$7,$AD47:$BA47)+'Model Setup'!$N$8*(SUMIF($BH$3:$CE$3,"&lt;"&amp;$DF47,$AD47:$BA47)+SUMIF($BH$3:$CE$3,"&gt;"&amp;$CW$4,$AD47:$BA47)),
IF(CD$3&lt;$CW$4,X47,0))))))))))))))),0)</f>
        <v>0</v>
      </c>
      <c r="CE47" s="47">
        <f>ROUND(IF(OR(CE$3&lt;$DF47,CE$3&gt;$CW$4),0,
IF(CE$3=$DF47+'Model Setup'!$B$7,SUMIF($BH$3:$CE$3,"="&amp;$DF47+'Model Setup'!$B$7,$AD47:$BA47)+'Model Setup'!$B$8*(SUMIF($BH$3:$CE$3,"&lt;"&amp;$DF47,$AD47:$BA47)+SUMIF($BH$3:$CE$3,"&gt;"&amp;$CW$4,$AD47:$BA47)),
IF(CE$3=$DF47+'Model Setup'!$C$7,SUMIF($BH$3:$CE$3,"="&amp;$DF47+'Model Setup'!$C$7,$AD47:$BA47)+'Model Setup'!$C$8*(SUMIF($BH$3:$CE$3,"&lt;"&amp;$DF47,$AD47:$BA47)+SUMIF($BH$3:$CE$3,"&gt;"&amp;$CW$4,$AD47:$BA47)),
IF(CE$3=$DF47+'Model Setup'!$D$7,SUMIF($BH$3:$CE$3,"="&amp;$DF47+'Model Setup'!$D$7,$AD47:$BA47)+'Model Setup'!$D$8*(SUMIF($BH$3:$CE$3,"&lt;"&amp;$DF47,$AD47:$BA47)+SUMIF($BH$3:$CE$3,"&gt;"&amp;$CW$4,$AD47:$BA47)),
IF(CE$3=$DF47+'Model Setup'!$E$7,SUMIF($BH$3:$CE$3,"="&amp;$DF47+'Model Setup'!$E$7,$AD47:$BA47)+'Model Setup'!$E$8*(SUMIF($BH$3:$CE$3,"&lt;"&amp;$DF47,$AD47:$BA47)+SUMIF($BH$3:$CE$3,"&gt;"&amp;$CW$4,$AD47:$BA47)),
IF(CE$3=$DF47+'Model Setup'!$F$7,SUMIF($BH$3:$CE$3,"="&amp;$DF47+'Model Setup'!$F$7,$AD47:$BA47)+'Model Setup'!$F$8*(SUMIF($BH$3:$CE$3,"&lt;"&amp;$DF47,$AD47:$BA47)+SUMIF($BH$3:$CE$3,"&gt;"&amp;$CW$4,$AD47:$BA47)),
IF(CE$3=$DF47+'Model Setup'!$G$7,SUMIF($BH$3:$CE$3,"="&amp;$DF47+'Model Setup'!$G$7,$AD47:$BA47)+'Model Setup'!$G$8*(SUMIF($BH$3:$CE$3,"&lt;"&amp;$DF47,$AD47:$BA47)+SUMIF($BH$3:$CE$3,"&gt;"&amp;$CW$4,$AD47:$BA47)),
IF(CE$3=$DF47+'Model Setup'!$H$7,SUMIF($BH$3:$CE$3,"="&amp;$DF47+'Model Setup'!$H$7,$AD47:$BA47)+'Model Setup'!$H$8*(SUMIF($BH$3:$CE$3,"&lt;"&amp;$DF47,$AD47:$BA47)+SUMIF($BH$3:$CE$3,"&gt;"&amp;$CW$4,$AD47:$BA47)),
IF(CE$3=$DF47+'Model Setup'!$I$7,SUMIF($BH$3:$CE$3,"="&amp;$DF47+'Model Setup'!$I$7,$AD47:$BA47)+'Model Setup'!$I$8*(SUMIF($BH$3:$CE$3,"&lt;"&amp;$DF47,$AD47:$BA47)+SUMIF($BH$3:$CE$3,"&gt;"&amp;$CW$4,$AD47:$BA47)),
IF(CE$3=$DF47+'Model Setup'!$J$7,SUMIF($BH$3:$CE$3,"="&amp;$DF47+'Model Setup'!$J$7,$AD47:$BA47)+'Model Setup'!$J$8*(SUMIF($BH$3:$CE$3,"&lt;"&amp;$DF47,$AD47:$BA47)+SUMIF($BH$3:$CE$3,"&gt;"&amp;$CW$4,$AD47:$BA47)),
IF(CE$3=$DF47+'Model Setup'!$K$7,SUMIF($BH$3:$CE$3,"="&amp;$DF47+'Model Setup'!$K$7,$AD47:$BA47)+'Model Setup'!$K$8*(SUMIF($BH$3:$CE$3,"&lt;"&amp;$DF47,$AD47:$BA47)+SUMIF($BH$3:$CE$3,"&gt;"&amp;$CW$4,$AD47:$BA47)),
IF(CE$3=$DF47+'Model Setup'!$L$7,SUMIF($BH$3:$CE$3,"="&amp;$DF47+'Model Setup'!$L$7,$AD47:$BA47)+'Model Setup'!$L$8*(SUMIF($BH$3:$CE$3,"&lt;"&amp;$DF47,$AD47:$BA47)+SUMIF($BH$3:$CE$3,"&gt;"&amp;$CW$4,$AD47:$BA47)),
IF(CE$3=$DF47+'Model Setup'!$M$7,SUMIF($BH$3:$CE$3,"="&amp;$DF47+'Model Setup'!$M$7,$AD47:$BA47)+'Model Setup'!$M$8*(SUMIF($BH$3:$CE$3,"&lt;"&amp;$DF47,$AD47:$BA47)+SUMIF($BH$3:$CE$3,"&gt;"&amp;$CW$4,$AD47:$BA47)),
IF(CE$3=$DF47+'Model Setup'!$N$7,SUMIF($BH$3:$CE$3,"="&amp;$DF47+'Model Setup'!$N$7,$AD47:$BA47)+'Model Setup'!$N$8*(SUMIF($BH$3:$CE$3,"&lt;"&amp;$DF47,$AD47:$BA47)+SUMIF($BH$3:$CE$3,"&gt;"&amp;$CW$4,$AD47:$BA47)),
IF(CE$3&lt;$CW$4,Y47,0))))))))))))))),0)</f>
        <v>0</v>
      </c>
      <c r="CF47" s="47">
        <f t="shared" si="3"/>
        <v>71</v>
      </c>
      <c r="CG47" s="47">
        <f t="shared" si="4"/>
        <v>-2</v>
      </c>
      <c r="CI47" s="10" t="s">
        <v>62</v>
      </c>
      <c r="CJ47" s="126">
        <f t="shared" si="9"/>
        <v>0</v>
      </c>
      <c r="CK47" s="126">
        <f t="shared" si="10"/>
        <v>0</v>
      </c>
      <c r="CL47" s="126">
        <f t="shared" si="11"/>
        <v>7</v>
      </c>
      <c r="CM47" s="126">
        <f t="shared" si="12"/>
        <v>12</v>
      </c>
      <c r="CN47" s="126">
        <f t="shared" si="13"/>
        <v>7</v>
      </c>
      <c r="CO47" s="126">
        <f t="shared" si="14"/>
        <v>3</v>
      </c>
      <c r="CP47" s="126">
        <f t="shared" si="15"/>
        <v>6</v>
      </c>
      <c r="CQ47" s="126">
        <f t="shared" si="16"/>
        <v>4</v>
      </c>
      <c r="CR47" s="126">
        <f t="shared" si="17"/>
        <v>3</v>
      </c>
      <c r="CS47" s="126">
        <f t="shared" si="18"/>
        <v>5</v>
      </c>
      <c r="CT47" s="126">
        <f t="shared" si="19"/>
        <v>2</v>
      </c>
      <c r="CU47" s="126">
        <f t="shared" si="20"/>
        <v>1</v>
      </c>
      <c r="CV47" s="126">
        <f t="shared" si="21"/>
        <v>7</v>
      </c>
      <c r="CW47" s="126">
        <f t="shared" si="22"/>
        <v>9</v>
      </c>
      <c r="CX47" s="126">
        <f t="shared" si="23"/>
        <v>7</v>
      </c>
      <c r="CY47" s="126">
        <f t="shared" si="24"/>
        <v>0</v>
      </c>
      <c r="CZ47" s="47">
        <f t="shared" si="7"/>
        <v>66</v>
      </c>
      <c r="DC47" s="93" t="s">
        <v>62</v>
      </c>
      <c r="DD47" s="89">
        <f>FTC!E45</f>
        <v>0.29166666666666669</v>
      </c>
      <c r="DE47" s="89">
        <f>FTC!F45</f>
        <v>0.79166666666666663</v>
      </c>
      <c r="DF47" s="90">
        <f t="shared" si="25"/>
        <v>7</v>
      </c>
      <c r="DG47" s="91">
        <f t="shared" si="26"/>
        <v>19</v>
      </c>
      <c r="DH47" s="91">
        <f t="shared" si="27"/>
        <v>12</v>
      </c>
    </row>
    <row r="48" spans="1:112" x14ac:dyDescent="0.35">
      <c r="A48" s="43" t="s">
        <v>63</v>
      </c>
      <c r="B48" s="6"/>
      <c r="C48" s="47">
        <v>1</v>
      </c>
      <c r="D48" s="47">
        <v>2</v>
      </c>
      <c r="E48" s="47">
        <v>7</v>
      </c>
      <c r="F48" s="47">
        <v>13</v>
      </c>
      <c r="G48" s="47">
        <v>21</v>
      </c>
      <c r="H48" s="47">
        <v>74</v>
      </c>
      <c r="I48" s="47">
        <v>87</v>
      </c>
      <c r="J48" s="47">
        <v>79</v>
      </c>
      <c r="K48" s="47">
        <v>92</v>
      </c>
      <c r="L48" s="47">
        <v>95</v>
      </c>
      <c r="M48" s="47">
        <v>56</v>
      </c>
      <c r="N48" s="47">
        <v>53</v>
      </c>
      <c r="O48" s="47">
        <v>45</v>
      </c>
      <c r="P48" s="47">
        <v>20</v>
      </c>
      <c r="Q48" s="47">
        <v>21</v>
      </c>
      <c r="R48" s="47">
        <v>24</v>
      </c>
      <c r="S48" s="47">
        <v>12</v>
      </c>
      <c r="T48" s="47">
        <v>12</v>
      </c>
      <c r="U48" s="47">
        <v>6</v>
      </c>
      <c r="V48" s="47">
        <v>3</v>
      </c>
      <c r="W48" s="47">
        <v>6</v>
      </c>
      <c r="X48" s="47">
        <v>2</v>
      </c>
      <c r="Y48" s="47">
        <v>1</v>
      </c>
      <c r="Z48" s="47">
        <f t="shared" si="0"/>
        <v>732</v>
      </c>
      <c r="AC48" s="43" t="s">
        <v>63</v>
      </c>
      <c r="AD48" s="47">
        <f>ROUND(IF(AD$3&lt;$DF48,0,
IF(AD$3=$DF48+'Model Setup'!$B$7,SUMIF($AD$3:$BA$3,"="&amp;$DF48+'Model Setup'!$B$7,$B48:$Y48)+'Model Setup'!$B$8*(SUMIF($AD$3:$BA$3,"&lt;"&amp;$DF48,$B48:$Y48)+SUMIF($AD$3:$BA$3,"&gt;="&amp;$DG48,$B48:$Y48)),
IF(AD$3=$DF48+'Model Setup'!$C$7,SUMIF($AD$3:$BA$3,"="&amp;$DF48+'Model Setup'!$C$7,$B48:$Y48)+'Model Setup'!$C$8*(SUMIF($AD$3:$BA$3,"&lt;"&amp;$DF48,$B48:$Y48)+SUMIF($AD$3:$BA$3,"&gt;="&amp;$DG48,$B48:$Y48)),
IF(AD$3=$DF48+'Model Setup'!$D$7,SUMIF($AD$3:$BA$3,"="&amp;$DF48+'Model Setup'!$D$7,$B48:$Y48)+'Model Setup'!$D$8*(SUMIF($AD$3:$BA$3,"&lt;"&amp;$DF48,$B48:$Y48)+SUMIF($AD$3:$BA$3,"&gt;="&amp;$DG48,$B48:$Y48)),
IF(AD$3=$DF48+'Model Setup'!$E$7,SUMIF($AD$3:$BA$3,"="&amp;$DF48+'Model Setup'!$E$7,$B48:$Y48)+'Model Setup'!$E$8*(SUMIF($AD$3:$BA$3,"&lt;"&amp;$DF48,$B48:$Y48)+SUMIF($AD$3:$BA$3,"&gt;="&amp;$DG48,$B48:$Y48)),
IF(AD$3=$DF48+'Model Setup'!$F$7,SUMIF($AD$3:$BA$3,"="&amp;$DF48+'Model Setup'!$F$7,$B48:$Y48)+'Model Setup'!$F$8*(SUMIF($AD$3:$BA$3,"&lt;"&amp;$DF48,$B48:$Y48)+SUMIF($AD$3:$BA$3,"&gt;="&amp;$DG48,$B48:$Y48)),
IF(AD$3=$DF48+'Model Setup'!$G$7,SUMIF($AD$3:$BA$3,"="&amp;$DF48+'Model Setup'!$G$7,$B48:$Y48)+'Model Setup'!$G$8*(SUMIF($AD$3:$BA$3,"&lt;"&amp;$DF48,$B48:$Y48)+SUMIF($AD$3:$BA$3,"&gt;="&amp;$DG48,$B48:$Y48)),
IF(AD$3=$DF48+'Model Setup'!$H$7,SUMIF($AD$3:$BA$3,"="&amp;$DF48+'Model Setup'!$H$7,$B48:$Y48)+'Model Setup'!$H$8*(SUMIF($AD$3:$BA$3,"&lt;"&amp;$DF48,$B48:$Y48)+SUMIF($AD$3:$BA$3,"&gt;="&amp;$DG48,$B48:$Y48)),
IF(AD$3=$DF48+'Model Setup'!$I$7,SUMIF($AD$3:$BA$3,"="&amp;$DF48+'Model Setup'!$I$7,$B48:$Y48)+'Model Setup'!$I$8*(SUMIF($AD$3:$BA$3,"&lt;"&amp;$DF48,$B48:$Y48)+SUMIF($AD$3:$BA$3,"&gt;="&amp;$DG48,$B48:$Y48)),
IF(AD$3=$DF48+'Model Setup'!$J$7,SUMIF($AD$3:$BA$3,"="&amp;$DF48+'Model Setup'!$J$7,$B48:$Y48)+'Model Setup'!$J$8*(SUMIF($AD$3:$BA$3,"&lt;"&amp;$DF48,$B48:$Y48)+SUMIF($AD$3:$BA$3,"&gt;="&amp;$DG48,$B48:$Y48)),
IF(AD$3=$DF48+'Model Setup'!$K$7,SUMIF($AD$3:$BA$3,"="&amp;$DF48+'Model Setup'!$K$7,$B48:$Y48)+'Model Setup'!$K$8*(SUMIF($AD$3:$BA$3,"&lt;"&amp;$DF48,$B48:$Y48)+SUMIF($AD$3:$BA$3,"&gt;="&amp;$DG48,$B48:$Y48)),
IF(AD$3=$DF48+'Model Setup'!$L$7,SUMIF($AD$3:$BA$3,"="&amp;$DF48+'Model Setup'!$L$7,$B48:$Y48)+'Model Setup'!$L$8*(SUMIF($AD$3:$BA$3,"&lt;"&amp;$DF48,$B48:$Y48)+SUMIF($AD$3:$BA$3,"&gt;="&amp;$DG48,$B48:$Y48)),
IF(AD$3=$DF48+'Model Setup'!$M$7,SUMIF($AD$3:$BA$3,"="&amp;$DF48+'Model Setup'!$M$7,$B48:$Y48)+'Model Setup'!$M$8*(SUMIF($AD$3:$BA$3,"&lt;"&amp;$DF48,$B48:$Y48)+SUMIF($AD$3:$BA$3,"&gt;="&amp;$DG48,$B48:$Y48)),
IF(AD$3=$DF48+'Model Setup'!$N$7,SUMIF($AD$3:$BA$3,"="&amp;$DF48+'Model Setup'!$N$7,$B48:$Y48)+'Model Setup'!$N$8*(SUMIF($AD$3:$BA$3,"&lt;"&amp;$DF48,$B48:$Y48)+SUMIF($AD$3:$BA$3,"&gt;="&amp;$DG48,$B48:$Y48)),
IF(AD$3&lt;$DG48,B48,0))))))))))))))),0)</f>
        <v>0</v>
      </c>
      <c r="AE48" s="47">
        <f>ROUND(IF(AE$3&lt;$DF48,0,
IF(AE$3=$DF48+'Model Setup'!$B$7,SUMIF($AD$3:$BA$3,"="&amp;$DF48+'Model Setup'!$B$7,$B48:$Y48)+'Model Setup'!$B$8*(SUMIF($AD$3:$BA$3,"&lt;"&amp;$DF48,$B48:$Y48)+SUMIF($AD$3:$BA$3,"&gt;="&amp;$DG48,$B48:$Y48)),
IF(AE$3=$DF48+'Model Setup'!$C$7,SUMIF($AD$3:$BA$3,"="&amp;$DF48+'Model Setup'!$C$7,$B48:$Y48)+'Model Setup'!$C$8*(SUMIF($AD$3:$BA$3,"&lt;"&amp;$DF48,$B48:$Y48)+SUMIF($AD$3:$BA$3,"&gt;="&amp;$DG48,$B48:$Y48)),
IF(AE$3=$DF48+'Model Setup'!$D$7,SUMIF($AD$3:$BA$3,"="&amp;$DF48+'Model Setup'!$D$7,$B48:$Y48)+'Model Setup'!$D$8*(SUMIF($AD$3:$BA$3,"&lt;"&amp;$DF48,$B48:$Y48)+SUMIF($AD$3:$BA$3,"&gt;="&amp;$DG48,$B48:$Y48)),
IF(AE$3=$DF48+'Model Setup'!$E$7,SUMIF($AD$3:$BA$3,"="&amp;$DF48+'Model Setup'!$E$7,$B48:$Y48)+'Model Setup'!$E$8*(SUMIF($AD$3:$BA$3,"&lt;"&amp;$DF48,$B48:$Y48)+SUMIF($AD$3:$BA$3,"&gt;="&amp;$DG48,$B48:$Y48)),
IF(AE$3=$DF48+'Model Setup'!$F$7,SUMIF($AD$3:$BA$3,"="&amp;$DF48+'Model Setup'!$F$7,$B48:$Y48)+'Model Setup'!$F$8*(SUMIF($AD$3:$BA$3,"&lt;"&amp;$DF48,$B48:$Y48)+SUMIF($AD$3:$BA$3,"&gt;="&amp;$DG48,$B48:$Y48)),
IF(AE$3=$DF48+'Model Setup'!$G$7,SUMIF($AD$3:$BA$3,"="&amp;$DF48+'Model Setup'!$G$7,$B48:$Y48)+'Model Setup'!$G$8*(SUMIF($AD$3:$BA$3,"&lt;"&amp;$DF48,$B48:$Y48)+SUMIF($AD$3:$BA$3,"&gt;="&amp;$DG48,$B48:$Y48)),
IF(AE$3=$DF48+'Model Setup'!$H$7,SUMIF($AD$3:$BA$3,"="&amp;$DF48+'Model Setup'!$H$7,$B48:$Y48)+'Model Setup'!$H$8*(SUMIF($AD$3:$BA$3,"&lt;"&amp;$DF48,$B48:$Y48)+SUMIF($AD$3:$BA$3,"&gt;="&amp;$DG48,$B48:$Y48)),
IF(AE$3=$DF48+'Model Setup'!$I$7,SUMIF($AD$3:$BA$3,"="&amp;$DF48+'Model Setup'!$I$7,$B48:$Y48)+'Model Setup'!$I$8*(SUMIF($AD$3:$BA$3,"&lt;"&amp;$DF48,$B48:$Y48)+SUMIF($AD$3:$BA$3,"&gt;="&amp;$DG48,$B48:$Y48)),
IF(AE$3=$DF48+'Model Setup'!$J$7,SUMIF($AD$3:$BA$3,"="&amp;$DF48+'Model Setup'!$J$7,$B48:$Y48)+'Model Setup'!$J$8*(SUMIF($AD$3:$BA$3,"&lt;"&amp;$DF48,$B48:$Y48)+SUMIF($AD$3:$BA$3,"&gt;="&amp;$DG48,$B48:$Y48)),
IF(AE$3=$DF48+'Model Setup'!$K$7,SUMIF($AD$3:$BA$3,"="&amp;$DF48+'Model Setup'!$K$7,$B48:$Y48)+'Model Setup'!$K$8*(SUMIF($AD$3:$BA$3,"&lt;"&amp;$DF48,$B48:$Y48)+SUMIF($AD$3:$BA$3,"&gt;="&amp;$DG48,$B48:$Y48)),
IF(AE$3=$DF48+'Model Setup'!$L$7,SUMIF($AD$3:$BA$3,"="&amp;$DF48+'Model Setup'!$L$7,$B48:$Y48)+'Model Setup'!$L$8*(SUMIF($AD$3:$BA$3,"&lt;"&amp;$DF48,$B48:$Y48)+SUMIF($AD$3:$BA$3,"&gt;="&amp;$DG48,$B48:$Y48)),
IF(AE$3=$DF48+'Model Setup'!$M$7,SUMIF($AD$3:$BA$3,"="&amp;$DF48+'Model Setup'!$M$7,$B48:$Y48)+'Model Setup'!$M$8*(SUMIF($AD$3:$BA$3,"&lt;"&amp;$DF48,$B48:$Y48)+SUMIF($AD$3:$BA$3,"&gt;="&amp;$DG48,$B48:$Y48)),
IF(AE$3=$DF48+'Model Setup'!$N$7,SUMIF($AD$3:$BA$3,"="&amp;$DF48+'Model Setup'!$N$7,$B48:$Y48)+'Model Setup'!$N$8*(SUMIF($AD$3:$BA$3,"&lt;"&amp;$DF48,$B48:$Y48)+SUMIF($AD$3:$BA$3,"&gt;="&amp;$DG48,$B48:$Y48)),
IF(AE$3&lt;$DG48,C48,0))))))))))))))),0)</f>
        <v>0</v>
      </c>
      <c r="AF48" s="47">
        <f>ROUND(IF(AF$3&lt;$DF48,0,
IF(AF$3=$DF48+'Model Setup'!$B$7,SUMIF($AD$3:$BA$3,"="&amp;$DF48+'Model Setup'!$B$7,$B48:$Y48)+'Model Setup'!$B$8*(SUMIF($AD$3:$BA$3,"&lt;"&amp;$DF48,$B48:$Y48)+SUMIF($AD$3:$BA$3,"&gt;="&amp;$DG48,$B48:$Y48)),
IF(AF$3=$DF48+'Model Setup'!$C$7,SUMIF($AD$3:$BA$3,"="&amp;$DF48+'Model Setup'!$C$7,$B48:$Y48)+'Model Setup'!$C$8*(SUMIF($AD$3:$BA$3,"&lt;"&amp;$DF48,$B48:$Y48)+SUMIF($AD$3:$BA$3,"&gt;="&amp;$DG48,$B48:$Y48)),
IF(AF$3=$DF48+'Model Setup'!$D$7,SUMIF($AD$3:$BA$3,"="&amp;$DF48+'Model Setup'!$D$7,$B48:$Y48)+'Model Setup'!$D$8*(SUMIF($AD$3:$BA$3,"&lt;"&amp;$DF48,$B48:$Y48)+SUMIF($AD$3:$BA$3,"&gt;="&amp;$DG48,$B48:$Y48)),
IF(AF$3=$DF48+'Model Setup'!$E$7,SUMIF($AD$3:$BA$3,"="&amp;$DF48+'Model Setup'!$E$7,$B48:$Y48)+'Model Setup'!$E$8*(SUMIF($AD$3:$BA$3,"&lt;"&amp;$DF48,$B48:$Y48)+SUMIF($AD$3:$BA$3,"&gt;="&amp;$DG48,$B48:$Y48)),
IF(AF$3=$DF48+'Model Setup'!$F$7,SUMIF($AD$3:$BA$3,"="&amp;$DF48+'Model Setup'!$F$7,$B48:$Y48)+'Model Setup'!$F$8*(SUMIF($AD$3:$BA$3,"&lt;"&amp;$DF48,$B48:$Y48)+SUMIF($AD$3:$BA$3,"&gt;="&amp;$DG48,$B48:$Y48)),
IF(AF$3=$DF48+'Model Setup'!$G$7,SUMIF($AD$3:$BA$3,"="&amp;$DF48+'Model Setup'!$G$7,$B48:$Y48)+'Model Setup'!$G$8*(SUMIF($AD$3:$BA$3,"&lt;"&amp;$DF48,$B48:$Y48)+SUMIF($AD$3:$BA$3,"&gt;="&amp;$DG48,$B48:$Y48)),
IF(AF$3=$DF48+'Model Setup'!$H$7,SUMIF($AD$3:$BA$3,"="&amp;$DF48+'Model Setup'!$H$7,$B48:$Y48)+'Model Setup'!$H$8*(SUMIF($AD$3:$BA$3,"&lt;"&amp;$DF48,$B48:$Y48)+SUMIF($AD$3:$BA$3,"&gt;="&amp;$DG48,$B48:$Y48)),
IF(AF$3=$DF48+'Model Setup'!$I$7,SUMIF($AD$3:$BA$3,"="&amp;$DF48+'Model Setup'!$I$7,$B48:$Y48)+'Model Setup'!$I$8*(SUMIF($AD$3:$BA$3,"&lt;"&amp;$DF48,$B48:$Y48)+SUMIF($AD$3:$BA$3,"&gt;="&amp;$DG48,$B48:$Y48)),
IF(AF$3=$DF48+'Model Setup'!$J$7,SUMIF($AD$3:$BA$3,"="&amp;$DF48+'Model Setup'!$J$7,$B48:$Y48)+'Model Setup'!$J$8*(SUMIF($AD$3:$BA$3,"&lt;"&amp;$DF48,$B48:$Y48)+SUMIF($AD$3:$BA$3,"&gt;="&amp;$DG48,$B48:$Y48)),
IF(AF$3=$DF48+'Model Setup'!$K$7,SUMIF($AD$3:$BA$3,"="&amp;$DF48+'Model Setup'!$K$7,$B48:$Y48)+'Model Setup'!$K$8*(SUMIF($AD$3:$BA$3,"&lt;"&amp;$DF48,$B48:$Y48)+SUMIF($AD$3:$BA$3,"&gt;="&amp;$DG48,$B48:$Y48)),
IF(AF$3=$DF48+'Model Setup'!$L$7,SUMIF($AD$3:$BA$3,"="&amp;$DF48+'Model Setup'!$L$7,$B48:$Y48)+'Model Setup'!$L$8*(SUMIF($AD$3:$BA$3,"&lt;"&amp;$DF48,$B48:$Y48)+SUMIF($AD$3:$BA$3,"&gt;="&amp;$DG48,$B48:$Y48)),
IF(AF$3=$DF48+'Model Setup'!$M$7,SUMIF($AD$3:$BA$3,"="&amp;$DF48+'Model Setup'!$M$7,$B48:$Y48)+'Model Setup'!$M$8*(SUMIF($AD$3:$BA$3,"&lt;"&amp;$DF48,$B48:$Y48)+SUMIF($AD$3:$BA$3,"&gt;="&amp;$DG48,$B48:$Y48)),
IF(AF$3=$DF48+'Model Setup'!$N$7,SUMIF($AD$3:$BA$3,"="&amp;$DF48+'Model Setup'!$N$7,$B48:$Y48)+'Model Setup'!$N$8*(SUMIF($AD$3:$BA$3,"&lt;"&amp;$DF48,$B48:$Y48)+SUMIF($AD$3:$BA$3,"&gt;="&amp;$DG48,$B48:$Y48)),
IF(AF$3&lt;$DG48,D48,0))))))))))))))),0)</f>
        <v>0</v>
      </c>
      <c r="AG48" s="47">
        <f>ROUND(IF(AG$3&lt;$DF48,0,
IF(AG$3=$DF48+'Model Setup'!$B$7,SUMIF($AD$3:$BA$3,"="&amp;$DF48+'Model Setup'!$B$7,$B48:$Y48)+'Model Setup'!$B$8*(SUMIF($AD$3:$BA$3,"&lt;"&amp;$DF48,$B48:$Y48)+SUMIF($AD$3:$BA$3,"&gt;="&amp;$DG48,$B48:$Y48)),
IF(AG$3=$DF48+'Model Setup'!$C$7,SUMIF($AD$3:$BA$3,"="&amp;$DF48+'Model Setup'!$C$7,$B48:$Y48)+'Model Setup'!$C$8*(SUMIF($AD$3:$BA$3,"&lt;"&amp;$DF48,$B48:$Y48)+SUMIF($AD$3:$BA$3,"&gt;="&amp;$DG48,$B48:$Y48)),
IF(AG$3=$DF48+'Model Setup'!$D$7,SUMIF($AD$3:$BA$3,"="&amp;$DF48+'Model Setup'!$D$7,$B48:$Y48)+'Model Setup'!$D$8*(SUMIF($AD$3:$BA$3,"&lt;"&amp;$DF48,$B48:$Y48)+SUMIF($AD$3:$BA$3,"&gt;="&amp;$DG48,$B48:$Y48)),
IF(AG$3=$DF48+'Model Setup'!$E$7,SUMIF($AD$3:$BA$3,"="&amp;$DF48+'Model Setup'!$E$7,$B48:$Y48)+'Model Setup'!$E$8*(SUMIF($AD$3:$BA$3,"&lt;"&amp;$DF48,$B48:$Y48)+SUMIF($AD$3:$BA$3,"&gt;="&amp;$DG48,$B48:$Y48)),
IF(AG$3=$DF48+'Model Setup'!$F$7,SUMIF($AD$3:$BA$3,"="&amp;$DF48+'Model Setup'!$F$7,$B48:$Y48)+'Model Setup'!$F$8*(SUMIF($AD$3:$BA$3,"&lt;"&amp;$DF48,$B48:$Y48)+SUMIF($AD$3:$BA$3,"&gt;="&amp;$DG48,$B48:$Y48)),
IF(AG$3=$DF48+'Model Setup'!$G$7,SUMIF($AD$3:$BA$3,"="&amp;$DF48+'Model Setup'!$G$7,$B48:$Y48)+'Model Setup'!$G$8*(SUMIF($AD$3:$BA$3,"&lt;"&amp;$DF48,$B48:$Y48)+SUMIF($AD$3:$BA$3,"&gt;="&amp;$DG48,$B48:$Y48)),
IF(AG$3=$DF48+'Model Setup'!$H$7,SUMIF($AD$3:$BA$3,"="&amp;$DF48+'Model Setup'!$H$7,$B48:$Y48)+'Model Setup'!$H$8*(SUMIF($AD$3:$BA$3,"&lt;"&amp;$DF48,$B48:$Y48)+SUMIF($AD$3:$BA$3,"&gt;="&amp;$DG48,$B48:$Y48)),
IF(AG$3=$DF48+'Model Setup'!$I$7,SUMIF($AD$3:$BA$3,"="&amp;$DF48+'Model Setup'!$I$7,$B48:$Y48)+'Model Setup'!$I$8*(SUMIF($AD$3:$BA$3,"&lt;"&amp;$DF48,$B48:$Y48)+SUMIF($AD$3:$BA$3,"&gt;="&amp;$DG48,$B48:$Y48)),
IF(AG$3=$DF48+'Model Setup'!$J$7,SUMIF($AD$3:$BA$3,"="&amp;$DF48+'Model Setup'!$J$7,$B48:$Y48)+'Model Setup'!$J$8*(SUMIF($AD$3:$BA$3,"&lt;"&amp;$DF48,$B48:$Y48)+SUMIF($AD$3:$BA$3,"&gt;="&amp;$DG48,$B48:$Y48)),
IF(AG$3=$DF48+'Model Setup'!$K$7,SUMIF($AD$3:$BA$3,"="&amp;$DF48+'Model Setup'!$K$7,$B48:$Y48)+'Model Setup'!$K$8*(SUMIF($AD$3:$BA$3,"&lt;"&amp;$DF48,$B48:$Y48)+SUMIF($AD$3:$BA$3,"&gt;="&amp;$DG48,$B48:$Y48)),
IF(AG$3=$DF48+'Model Setup'!$L$7,SUMIF($AD$3:$BA$3,"="&amp;$DF48+'Model Setup'!$L$7,$B48:$Y48)+'Model Setup'!$L$8*(SUMIF($AD$3:$BA$3,"&lt;"&amp;$DF48,$B48:$Y48)+SUMIF($AD$3:$BA$3,"&gt;="&amp;$DG48,$B48:$Y48)),
IF(AG$3=$DF48+'Model Setup'!$M$7,SUMIF($AD$3:$BA$3,"="&amp;$DF48+'Model Setup'!$M$7,$B48:$Y48)+'Model Setup'!$M$8*(SUMIF($AD$3:$BA$3,"&lt;"&amp;$DF48,$B48:$Y48)+SUMIF($AD$3:$BA$3,"&gt;="&amp;$DG48,$B48:$Y48)),
IF(AG$3=$DF48+'Model Setup'!$N$7,SUMIF($AD$3:$BA$3,"="&amp;$DF48+'Model Setup'!$N$7,$B48:$Y48)+'Model Setup'!$N$8*(SUMIF($AD$3:$BA$3,"&lt;"&amp;$DF48,$B48:$Y48)+SUMIF($AD$3:$BA$3,"&gt;="&amp;$DG48,$B48:$Y48)),
IF(AG$3&lt;$DG48,E48,0))))))))))))))),0)</f>
        <v>0</v>
      </c>
      <c r="AH48" s="47">
        <f>ROUND(IF(AH$3&lt;$DF48,0,
IF(AH$3=$DF48+'Model Setup'!$B$7,SUMIF($AD$3:$BA$3,"="&amp;$DF48+'Model Setup'!$B$7,$B48:$Y48)+'Model Setup'!$B$8*(SUMIF($AD$3:$BA$3,"&lt;"&amp;$DF48,$B48:$Y48)+SUMIF($AD$3:$BA$3,"&gt;="&amp;$DG48,$B48:$Y48)),
IF(AH$3=$DF48+'Model Setup'!$C$7,SUMIF($AD$3:$BA$3,"="&amp;$DF48+'Model Setup'!$C$7,$B48:$Y48)+'Model Setup'!$C$8*(SUMIF($AD$3:$BA$3,"&lt;"&amp;$DF48,$B48:$Y48)+SUMIF($AD$3:$BA$3,"&gt;="&amp;$DG48,$B48:$Y48)),
IF(AH$3=$DF48+'Model Setup'!$D$7,SUMIF($AD$3:$BA$3,"="&amp;$DF48+'Model Setup'!$D$7,$B48:$Y48)+'Model Setup'!$D$8*(SUMIF($AD$3:$BA$3,"&lt;"&amp;$DF48,$B48:$Y48)+SUMIF($AD$3:$BA$3,"&gt;="&amp;$DG48,$B48:$Y48)),
IF(AH$3=$DF48+'Model Setup'!$E$7,SUMIF($AD$3:$BA$3,"="&amp;$DF48+'Model Setup'!$E$7,$B48:$Y48)+'Model Setup'!$E$8*(SUMIF($AD$3:$BA$3,"&lt;"&amp;$DF48,$B48:$Y48)+SUMIF($AD$3:$BA$3,"&gt;="&amp;$DG48,$B48:$Y48)),
IF(AH$3=$DF48+'Model Setup'!$F$7,SUMIF($AD$3:$BA$3,"="&amp;$DF48+'Model Setup'!$F$7,$B48:$Y48)+'Model Setup'!$F$8*(SUMIF($AD$3:$BA$3,"&lt;"&amp;$DF48,$B48:$Y48)+SUMIF($AD$3:$BA$3,"&gt;="&amp;$DG48,$B48:$Y48)),
IF(AH$3=$DF48+'Model Setup'!$G$7,SUMIF($AD$3:$BA$3,"="&amp;$DF48+'Model Setup'!$G$7,$B48:$Y48)+'Model Setup'!$G$8*(SUMIF($AD$3:$BA$3,"&lt;"&amp;$DF48,$B48:$Y48)+SUMIF($AD$3:$BA$3,"&gt;="&amp;$DG48,$B48:$Y48)),
IF(AH$3=$DF48+'Model Setup'!$H$7,SUMIF($AD$3:$BA$3,"="&amp;$DF48+'Model Setup'!$H$7,$B48:$Y48)+'Model Setup'!$H$8*(SUMIF($AD$3:$BA$3,"&lt;"&amp;$DF48,$B48:$Y48)+SUMIF($AD$3:$BA$3,"&gt;="&amp;$DG48,$B48:$Y48)),
IF(AH$3=$DF48+'Model Setup'!$I$7,SUMIF($AD$3:$BA$3,"="&amp;$DF48+'Model Setup'!$I$7,$B48:$Y48)+'Model Setup'!$I$8*(SUMIF($AD$3:$BA$3,"&lt;"&amp;$DF48,$B48:$Y48)+SUMIF($AD$3:$BA$3,"&gt;="&amp;$DG48,$B48:$Y48)),
IF(AH$3=$DF48+'Model Setup'!$J$7,SUMIF($AD$3:$BA$3,"="&amp;$DF48+'Model Setup'!$J$7,$B48:$Y48)+'Model Setup'!$J$8*(SUMIF($AD$3:$BA$3,"&lt;"&amp;$DF48,$B48:$Y48)+SUMIF($AD$3:$BA$3,"&gt;="&amp;$DG48,$B48:$Y48)),
IF(AH$3=$DF48+'Model Setup'!$K$7,SUMIF($AD$3:$BA$3,"="&amp;$DF48+'Model Setup'!$K$7,$B48:$Y48)+'Model Setup'!$K$8*(SUMIF($AD$3:$BA$3,"&lt;"&amp;$DF48,$B48:$Y48)+SUMIF($AD$3:$BA$3,"&gt;="&amp;$DG48,$B48:$Y48)),
IF(AH$3=$DF48+'Model Setup'!$L$7,SUMIF($AD$3:$BA$3,"="&amp;$DF48+'Model Setup'!$L$7,$B48:$Y48)+'Model Setup'!$L$8*(SUMIF($AD$3:$BA$3,"&lt;"&amp;$DF48,$B48:$Y48)+SUMIF($AD$3:$BA$3,"&gt;="&amp;$DG48,$B48:$Y48)),
IF(AH$3=$DF48+'Model Setup'!$M$7,SUMIF($AD$3:$BA$3,"="&amp;$DF48+'Model Setup'!$M$7,$B48:$Y48)+'Model Setup'!$M$8*(SUMIF($AD$3:$BA$3,"&lt;"&amp;$DF48,$B48:$Y48)+SUMIF($AD$3:$BA$3,"&gt;="&amp;$DG48,$B48:$Y48)),
IF(AH$3=$DF48+'Model Setup'!$N$7,SUMIF($AD$3:$BA$3,"="&amp;$DF48+'Model Setup'!$N$7,$B48:$Y48)+'Model Setup'!$N$8*(SUMIF($AD$3:$BA$3,"&lt;"&amp;$DF48,$B48:$Y48)+SUMIF($AD$3:$BA$3,"&gt;="&amp;$DG48,$B48:$Y48)),
IF(AH$3&lt;$DG48,F48,0))))))))))))))),0)</f>
        <v>0</v>
      </c>
      <c r="AI48" s="47">
        <f>ROUND(IF(AI$3&lt;$DF48,0,
IF(AI$3=$DF48+'Model Setup'!$B$7,SUMIF($AD$3:$BA$3,"="&amp;$DF48+'Model Setup'!$B$7,$B48:$Y48)+'Model Setup'!$B$8*(SUMIF($AD$3:$BA$3,"&lt;"&amp;$DF48,$B48:$Y48)+SUMIF($AD$3:$BA$3,"&gt;="&amp;$DG48,$B48:$Y48)),
IF(AI$3=$DF48+'Model Setup'!$C$7,SUMIF($AD$3:$BA$3,"="&amp;$DF48+'Model Setup'!$C$7,$B48:$Y48)+'Model Setup'!$C$8*(SUMIF($AD$3:$BA$3,"&lt;"&amp;$DF48,$B48:$Y48)+SUMIF($AD$3:$BA$3,"&gt;="&amp;$DG48,$B48:$Y48)),
IF(AI$3=$DF48+'Model Setup'!$D$7,SUMIF($AD$3:$BA$3,"="&amp;$DF48+'Model Setup'!$D$7,$B48:$Y48)+'Model Setup'!$D$8*(SUMIF($AD$3:$BA$3,"&lt;"&amp;$DF48,$B48:$Y48)+SUMIF($AD$3:$BA$3,"&gt;="&amp;$DG48,$B48:$Y48)),
IF(AI$3=$DF48+'Model Setup'!$E$7,SUMIF($AD$3:$BA$3,"="&amp;$DF48+'Model Setup'!$E$7,$B48:$Y48)+'Model Setup'!$E$8*(SUMIF($AD$3:$BA$3,"&lt;"&amp;$DF48,$B48:$Y48)+SUMIF($AD$3:$BA$3,"&gt;="&amp;$DG48,$B48:$Y48)),
IF(AI$3=$DF48+'Model Setup'!$F$7,SUMIF($AD$3:$BA$3,"="&amp;$DF48+'Model Setup'!$F$7,$B48:$Y48)+'Model Setup'!$F$8*(SUMIF($AD$3:$BA$3,"&lt;"&amp;$DF48,$B48:$Y48)+SUMIF($AD$3:$BA$3,"&gt;="&amp;$DG48,$B48:$Y48)),
IF(AI$3=$DF48+'Model Setup'!$G$7,SUMIF($AD$3:$BA$3,"="&amp;$DF48+'Model Setup'!$G$7,$B48:$Y48)+'Model Setup'!$G$8*(SUMIF($AD$3:$BA$3,"&lt;"&amp;$DF48,$B48:$Y48)+SUMIF($AD$3:$BA$3,"&gt;="&amp;$DG48,$B48:$Y48)),
IF(AI$3=$DF48+'Model Setup'!$H$7,SUMIF($AD$3:$BA$3,"="&amp;$DF48+'Model Setup'!$H$7,$B48:$Y48)+'Model Setup'!$H$8*(SUMIF($AD$3:$BA$3,"&lt;"&amp;$DF48,$B48:$Y48)+SUMIF($AD$3:$BA$3,"&gt;="&amp;$DG48,$B48:$Y48)),
IF(AI$3=$DF48+'Model Setup'!$I$7,SUMIF($AD$3:$BA$3,"="&amp;$DF48+'Model Setup'!$I$7,$B48:$Y48)+'Model Setup'!$I$8*(SUMIF($AD$3:$BA$3,"&lt;"&amp;$DF48,$B48:$Y48)+SUMIF($AD$3:$BA$3,"&gt;="&amp;$DG48,$B48:$Y48)),
IF(AI$3=$DF48+'Model Setup'!$J$7,SUMIF($AD$3:$BA$3,"="&amp;$DF48+'Model Setup'!$J$7,$B48:$Y48)+'Model Setup'!$J$8*(SUMIF($AD$3:$BA$3,"&lt;"&amp;$DF48,$B48:$Y48)+SUMIF($AD$3:$BA$3,"&gt;="&amp;$DG48,$B48:$Y48)),
IF(AI$3=$DF48+'Model Setup'!$K$7,SUMIF($AD$3:$BA$3,"="&amp;$DF48+'Model Setup'!$K$7,$B48:$Y48)+'Model Setup'!$K$8*(SUMIF($AD$3:$BA$3,"&lt;"&amp;$DF48,$B48:$Y48)+SUMIF($AD$3:$BA$3,"&gt;="&amp;$DG48,$B48:$Y48)),
IF(AI$3=$DF48+'Model Setup'!$L$7,SUMIF($AD$3:$BA$3,"="&amp;$DF48+'Model Setup'!$L$7,$B48:$Y48)+'Model Setup'!$L$8*(SUMIF($AD$3:$BA$3,"&lt;"&amp;$DF48,$B48:$Y48)+SUMIF($AD$3:$BA$3,"&gt;="&amp;$DG48,$B48:$Y48)),
IF(AI$3=$DF48+'Model Setup'!$M$7,SUMIF($AD$3:$BA$3,"="&amp;$DF48+'Model Setup'!$M$7,$B48:$Y48)+'Model Setup'!$M$8*(SUMIF($AD$3:$BA$3,"&lt;"&amp;$DF48,$B48:$Y48)+SUMIF($AD$3:$BA$3,"&gt;="&amp;$DG48,$B48:$Y48)),
IF(AI$3=$DF48+'Model Setup'!$N$7,SUMIF($AD$3:$BA$3,"="&amp;$DF48+'Model Setup'!$N$7,$B48:$Y48)+'Model Setup'!$N$8*(SUMIF($AD$3:$BA$3,"&lt;"&amp;$DF48,$B48:$Y48)+SUMIF($AD$3:$BA$3,"&gt;="&amp;$DG48,$B48:$Y48)),
IF(AI$3&lt;$DG48,G48,0))))))))))))))),0)</f>
        <v>21</v>
      </c>
      <c r="AJ48" s="47">
        <f>ROUND(IF(AJ$3&lt;$DF48,0,
IF(AJ$3=$DF48+'Model Setup'!$B$7,SUMIF($AD$3:$BA$3,"="&amp;$DF48+'Model Setup'!$B$7,$B48:$Y48)+'Model Setup'!$B$8*(SUMIF($AD$3:$BA$3,"&lt;"&amp;$DF48,$B48:$Y48)+SUMIF($AD$3:$BA$3,"&gt;="&amp;$DG48,$B48:$Y48)),
IF(AJ$3=$DF48+'Model Setup'!$C$7,SUMIF($AD$3:$BA$3,"="&amp;$DF48+'Model Setup'!$C$7,$B48:$Y48)+'Model Setup'!$C$8*(SUMIF($AD$3:$BA$3,"&lt;"&amp;$DF48,$B48:$Y48)+SUMIF($AD$3:$BA$3,"&gt;="&amp;$DG48,$B48:$Y48)),
IF(AJ$3=$DF48+'Model Setup'!$D$7,SUMIF($AD$3:$BA$3,"="&amp;$DF48+'Model Setup'!$D$7,$B48:$Y48)+'Model Setup'!$D$8*(SUMIF($AD$3:$BA$3,"&lt;"&amp;$DF48,$B48:$Y48)+SUMIF($AD$3:$BA$3,"&gt;="&amp;$DG48,$B48:$Y48)),
IF(AJ$3=$DF48+'Model Setup'!$E$7,SUMIF($AD$3:$BA$3,"="&amp;$DF48+'Model Setup'!$E$7,$B48:$Y48)+'Model Setup'!$E$8*(SUMIF($AD$3:$BA$3,"&lt;"&amp;$DF48,$B48:$Y48)+SUMIF($AD$3:$BA$3,"&gt;="&amp;$DG48,$B48:$Y48)),
IF(AJ$3=$DF48+'Model Setup'!$F$7,SUMIF($AD$3:$BA$3,"="&amp;$DF48+'Model Setup'!$F$7,$B48:$Y48)+'Model Setup'!$F$8*(SUMIF($AD$3:$BA$3,"&lt;"&amp;$DF48,$B48:$Y48)+SUMIF($AD$3:$BA$3,"&gt;="&amp;$DG48,$B48:$Y48)),
IF(AJ$3=$DF48+'Model Setup'!$G$7,SUMIF($AD$3:$BA$3,"="&amp;$DF48+'Model Setup'!$G$7,$B48:$Y48)+'Model Setup'!$G$8*(SUMIF($AD$3:$BA$3,"&lt;"&amp;$DF48,$B48:$Y48)+SUMIF($AD$3:$BA$3,"&gt;="&amp;$DG48,$B48:$Y48)),
IF(AJ$3=$DF48+'Model Setup'!$H$7,SUMIF($AD$3:$BA$3,"="&amp;$DF48+'Model Setup'!$H$7,$B48:$Y48)+'Model Setup'!$H$8*(SUMIF($AD$3:$BA$3,"&lt;"&amp;$DF48,$B48:$Y48)+SUMIF($AD$3:$BA$3,"&gt;="&amp;$DG48,$B48:$Y48)),
IF(AJ$3=$DF48+'Model Setup'!$I$7,SUMIF($AD$3:$BA$3,"="&amp;$DF48+'Model Setup'!$I$7,$B48:$Y48)+'Model Setup'!$I$8*(SUMIF($AD$3:$BA$3,"&lt;"&amp;$DF48,$B48:$Y48)+SUMIF($AD$3:$BA$3,"&gt;="&amp;$DG48,$B48:$Y48)),
IF(AJ$3=$DF48+'Model Setup'!$J$7,SUMIF($AD$3:$BA$3,"="&amp;$DF48+'Model Setup'!$J$7,$B48:$Y48)+'Model Setup'!$J$8*(SUMIF($AD$3:$BA$3,"&lt;"&amp;$DF48,$B48:$Y48)+SUMIF($AD$3:$BA$3,"&gt;="&amp;$DG48,$B48:$Y48)),
IF(AJ$3=$DF48+'Model Setup'!$K$7,SUMIF($AD$3:$BA$3,"="&amp;$DF48+'Model Setup'!$K$7,$B48:$Y48)+'Model Setup'!$K$8*(SUMIF($AD$3:$BA$3,"&lt;"&amp;$DF48,$B48:$Y48)+SUMIF($AD$3:$BA$3,"&gt;="&amp;$DG48,$B48:$Y48)),
IF(AJ$3=$DF48+'Model Setup'!$L$7,SUMIF($AD$3:$BA$3,"="&amp;$DF48+'Model Setup'!$L$7,$B48:$Y48)+'Model Setup'!$L$8*(SUMIF($AD$3:$BA$3,"&lt;"&amp;$DF48,$B48:$Y48)+SUMIF($AD$3:$BA$3,"&gt;="&amp;$DG48,$B48:$Y48)),
IF(AJ$3=$DF48+'Model Setup'!$M$7,SUMIF($AD$3:$BA$3,"="&amp;$DF48+'Model Setup'!$M$7,$B48:$Y48)+'Model Setup'!$M$8*(SUMIF($AD$3:$BA$3,"&lt;"&amp;$DF48,$B48:$Y48)+SUMIF($AD$3:$BA$3,"&gt;="&amp;$DG48,$B48:$Y48)),
IF(AJ$3=$DF48+'Model Setup'!$N$7,SUMIF($AD$3:$BA$3,"="&amp;$DF48+'Model Setup'!$N$7,$B48:$Y48)+'Model Setup'!$N$8*(SUMIF($AD$3:$BA$3,"&lt;"&amp;$DF48,$B48:$Y48)+SUMIF($AD$3:$BA$3,"&gt;="&amp;$DG48,$B48:$Y48)),
IF(AJ$3&lt;$DG48,H48,0))))))))))))))),0)</f>
        <v>74</v>
      </c>
      <c r="AK48" s="47">
        <f>ROUND(IF(AK$3&lt;$DF48,0,
IF(AK$3=$DF48+'Model Setup'!$B$7,SUMIF($AD$3:$BA$3,"="&amp;$DF48+'Model Setup'!$B$7,$B48:$Y48)+'Model Setup'!$B$8*(SUMIF($AD$3:$BA$3,"&lt;"&amp;$DF48,$B48:$Y48)+SUMIF($AD$3:$BA$3,"&gt;="&amp;$DG48,$B48:$Y48)),
IF(AK$3=$DF48+'Model Setup'!$C$7,SUMIF($AD$3:$BA$3,"="&amp;$DF48+'Model Setup'!$C$7,$B48:$Y48)+'Model Setup'!$C$8*(SUMIF($AD$3:$BA$3,"&lt;"&amp;$DF48,$B48:$Y48)+SUMIF($AD$3:$BA$3,"&gt;="&amp;$DG48,$B48:$Y48)),
IF(AK$3=$DF48+'Model Setup'!$D$7,SUMIF($AD$3:$BA$3,"="&amp;$DF48+'Model Setup'!$D$7,$B48:$Y48)+'Model Setup'!$D$8*(SUMIF($AD$3:$BA$3,"&lt;"&amp;$DF48,$B48:$Y48)+SUMIF($AD$3:$BA$3,"&gt;="&amp;$DG48,$B48:$Y48)),
IF(AK$3=$DF48+'Model Setup'!$E$7,SUMIF($AD$3:$BA$3,"="&amp;$DF48+'Model Setup'!$E$7,$B48:$Y48)+'Model Setup'!$E$8*(SUMIF($AD$3:$BA$3,"&lt;"&amp;$DF48,$B48:$Y48)+SUMIF($AD$3:$BA$3,"&gt;="&amp;$DG48,$B48:$Y48)),
IF(AK$3=$DF48+'Model Setup'!$F$7,SUMIF($AD$3:$BA$3,"="&amp;$DF48+'Model Setup'!$F$7,$B48:$Y48)+'Model Setup'!$F$8*(SUMIF($AD$3:$BA$3,"&lt;"&amp;$DF48,$B48:$Y48)+SUMIF($AD$3:$BA$3,"&gt;="&amp;$DG48,$B48:$Y48)),
IF(AK$3=$DF48+'Model Setup'!$G$7,SUMIF($AD$3:$BA$3,"="&amp;$DF48+'Model Setup'!$G$7,$B48:$Y48)+'Model Setup'!$G$8*(SUMIF($AD$3:$BA$3,"&lt;"&amp;$DF48,$B48:$Y48)+SUMIF($AD$3:$BA$3,"&gt;="&amp;$DG48,$B48:$Y48)),
IF(AK$3=$DF48+'Model Setup'!$H$7,SUMIF($AD$3:$BA$3,"="&amp;$DF48+'Model Setup'!$H$7,$B48:$Y48)+'Model Setup'!$H$8*(SUMIF($AD$3:$BA$3,"&lt;"&amp;$DF48,$B48:$Y48)+SUMIF($AD$3:$BA$3,"&gt;="&amp;$DG48,$B48:$Y48)),
IF(AK$3=$DF48+'Model Setup'!$I$7,SUMIF($AD$3:$BA$3,"="&amp;$DF48+'Model Setup'!$I$7,$B48:$Y48)+'Model Setup'!$I$8*(SUMIF($AD$3:$BA$3,"&lt;"&amp;$DF48,$B48:$Y48)+SUMIF($AD$3:$BA$3,"&gt;="&amp;$DG48,$B48:$Y48)),
IF(AK$3=$DF48+'Model Setup'!$J$7,SUMIF($AD$3:$BA$3,"="&amp;$DF48+'Model Setup'!$J$7,$B48:$Y48)+'Model Setup'!$J$8*(SUMIF($AD$3:$BA$3,"&lt;"&amp;$DF48,$B48:$Y48)+SUMIF($AD$3:$BA$3,"&gt;="&amp;$DG48,$B48:$Y48)),
IF(AK$3=$DF48+'Model Setup'!$K$7,SUMIF($AD$3:$BA$3,"="&amp;$DF48+'Model Setup'!$K$7,$B48:$Y48)+'Model Setup'!$K$8*(SUMIF($AD$3:$BA$3,"&lt;"&amp;$DF48,$B48:$Y48)+SUMIF($AD$3:$BA$3,"&gt;="&amp;$DG48,$B48:$Y48)),
IF(AK$3=$DF48+'Model Setup'!$L$7,SUMIF($AD$3:$BA$3,"="&amp;$DF48+'Model Setup'!$L$7,$B48:$Y48)+'Model Setup'!$L$8*(SUMIF($AD$3:$BA$3,"&lt;"&amp;$DF48,$B48:$Y48)+SUMIF($AD$3:$BA$3,"&gt;="&amp;$DG48,$B48:$Y48)),
IF(AK$3=$DF48+'Model Setup'!$M$7,SUMIF($AD$3:$BA$3,"="&amp;$DF48+'Model Setup'!$M$7,$B48:$Y48)+'Model Setup'!$M$8*(SUMIF($AD$3:$BA$3,"&lt;"&amp;$DF48,$B48:$Y48)+SUMIF($AD$3:$BA$3,"&gt;="&amp;$DG48,$B48:$Y48)),
IF(AK$3=$DF48+'Model Setup'!$N$7,SUMIF($AD$3:$BA$3,"="&amp;$DF48+'Model Setup'!$N$7,$B48:$Y48)+'Model Setup'!$N$8*(SUMIF($AD$3:$BA$3,"&lt;"&amp;$DF48,$B48:$Y48)+SUMIF($AD$3:$BA$3,"&gt;="&amp;$DG48,$B48:$Y48)),
IF(AK$3&lt;$DG48,I48,0))))))))))))))),0)</f>
        <v>87</v>
      </c>
      <c r="AL48" s="47">
        <f>ROUND(IF(AL$3&lt;$DF48,0,
IF(AL$3=$DF48+'Model Setup'!$B$7,SUMIF($AD$3:$BA$3,"="&amp;$DF48+'Model Setup'!$B$7,$B48:$Y48)+'Model Setup'!$B$8*(SUMIF($AD$3:$BA$3,"&lt;"&amp;$DF48,$B48:$Y48)+SUMIF($AD$3:$BA$3,"&gt;="&amp;$DG48,$B48:$Y48)),
IF(AL$3=$DF48+'Model Setup'!$C$7,SUMIF($AD$3:$BA$3,"="&amp;$DF48+'Model Setup'!$C$7,$B48:$Y48)+'Model Setup'!$C$8*(SUMIF($AD$3:$BA$3,"&lt;"&amp;$DF48,$B48:$Y48)+SUMIF($AD$3:$BA$3,"&gt;="&amp;$DG48,$B48:$Y48)),
IF(AL$3=$DF48+'Model Setup'!$D$7,SUMIF($AD$3:$BA$3,"="&amp;$DF48+'Model Setup'!$D$7,$B48:$Y48)+'Model Setup'!$D$8*(SUMIF($AD$3:$BA$3,"&lt;"&amp;$DF48,$B48:$Y48)+SUMIF($AD$3:$BA$3,"&gt;="&amp;$DG48,$B48:$Y48)),
IF(AL$3=$DF48+'Model Setup'!$E$7,SUMIF($AD$3:$BA$3,"="&amp;$DF48+'Model Setup'!$E$7,$B48:$Y48)+'Model Setup'!$E$8*(SUMIF($AD$3:$BA$3,"&lt;"&amp;$DF48,$B48:$Y48)+SUMIF($AD$3:$BA$3,"&gt;="&amp;$DG48,$B48:$Y48)),
IF(AL$3=$DF48+'Model Setup'!$F$7,SUMIF($AD$3:$BA$3,"="&amp;$DF48+'Model Setup'!$F$7,$B48:$Y48)+'Model Setup'!$F$8*(SUMIF($AD$3:$BA$3,"&lt;"&amp;$DF48,$B48:$Y48)+SUMIF($AD$3:$BA$3,"&gt;="&amp;$DG48,$B48:$Y48)),
IF(AL$3=$DF48+'Model Setup'!$G$7,SUMIF($AD$3:$BA$3,"="&amp;$DF48+'Model Setup'!$G$7,$B48:$Y48)+'Model Setup'!$G$8*(SUMIF($AD$3:$BA$3,"&lt;"&amp;$DF48,$B48:$Y48)+SUMIF($AD$3:$BA$3,"&gt;="&amp;$DG48,$B48:$Y48)),
IF(AL$3=$DF48+'Model Setup'!$H$7,SUMIF($AD$3:$BA$3,"="&amp;$DF48+'Model Setup'!$H$7,$B48:$Y48)+'Model Setup'!$H$8*(SUMIF($AD$3:$BA$3,"&lt;"&amp;$DF48,$B48:$Y48)+SUMIF($AD$3:$BA$3,"&gt;="&amp;$DG48,$B48:$Y48)),
IF(AL$3=$DF48+'Model Setup'!$I$7,SUMIF($AD$3:$BA$3,"="&amp;$DF48+'Model Setup'!$I$7,$B48:$Y48)+'Model Setup'!$I$8*(SUMIF($AD$3:$BA$3,"&lt;"&amp;$DF48,$B48:$Y48)+SUMIF($AD$3:$BA$3,"&gt;="&amp;$DG48,$B48:$Y48)),
IF(AL$3=$DF48+'Model Setup'!$J$7,SUMIF($AD$3:$BA$3,"="&amp;$DF48+'Model Setup'!$J$7,$B48:$Y48)+'Model Setup'!$J$8*(SUMIF($AD$3:$BA$3,"&lt;"&amp;$DF48,$B48:$Y48)+SUMIF($AD$3:$BA$3,"&gt;="&amp;$DG48,$B48:$Y48)),
IF(AL$3=$DF48+'Model Setup'!$K$7,SUMIF($AD$3:$BA$3,"="&amp;$DF48+'Model Setup'!$K$7,$B48:$Y48)+'Model Setup'!$K$8*(SUMIF($AD$3:$BA$3,"&lt;"&amp;$DF48,$B48:$Y48)+SUMIF($AD$3:$BA$3,"&gt;="&amp;$DG48,$B48:$Y48)),
IF(AL$3=$DF48+'Model Setup'!$L$7,SUMIF($AD$3:$BA$3,"="&amp;$DF48+'Model Setup'!$L$7,$B48:$Y48)+'Model Setup'!$L$8*(SUMIF($AD$3:$BA$3,"&lt;"&amp;$DF48,$B48:$Y48)+SUMIF($AD$3:$BA$3,"&gt;="&amp;$DG48,$B48:$Y48)),
IF(AL$3=$DF48+'Model Setup'!$M$7,SUMIF($AD$3:$BA$3,"="&amp;$DF48+'Model Setup'!$M$7,$B48:$Y48)+'Model Setup'!$M$8*(SUMIF($AD$3:$BA$3,"&lt;"&amp;$DF48,$B48:$Y48)+SUMIF($AD$3:$BA$3,"&gt;="&amp;$DG48,$B48:$Y48)),
IF(AL$3=$DF48+'Model Setup'!$N$7,SUMIF($AD$3:$BA$3,"="&amp;$DF48+'Model Setup'!$N$7,$B48:$Y48)+'Model Setup'!$N$8*(SUMIF($AD$3:$BA$3,"&lt;"&amp;$DF48,$B48:$Y48)+SUMIF($AD$3:$BA$3,"&gt;="&amp;$DG48,$B48:$Y48)),
IF(AL$3&lt;$DG48,J48,0))))))))))))))),0)</f>
        <v>79</v>
      </c>
      <c r="AM48" s="47">
        <f>ROUND(IF(AM$3&lt;$DF48,0,
IF(AM$3=$DF48+'Model Setup'!$B$7,SUMIF($AD$3:$BA$3,"="&amp;$DF48+'Model Setup'!$B$7,$B48:$Y48)+'Model Setup'!$B$8*(SUMIF($AD$3:$BA$3,"&lt;"&amp;$DF48,$B48:$Y48)+SUMIF($AD$3:$BA$3,"&gt;="&amp;$DG48,$B48:$Y48)),
IF(AM$3=$DF48+'Model Setup'!$C$7,SUMIF($AD$3:$BA$3,"="&amp;$DF48+'Model Setup'!$C$7,$B48:$Y48)+'Model Setup'!$C$8*(SUMIF($AD$3:$BA$3,"&lt;"&amp;$DF48,$B48:$Y48)+SUMIF($AD$3:$BA$3,"&gt;="&amp;$DG48,$B48:$Y48)),
IF(AM$3=$DF48+'Model Setup'!$D$7,SUMIF($AD$3:$BA$3,"="&amp;$DF48+'Model Setup'!$D$7,$B48:$Y48)+'Model Setup'!$D$8*(SUMIF($AD$3:$BA$3,"&lt;"&amp;$DF48,$B48:$Y48)+SUMIF($AD$3:$BA$3,"&gt;="&amp;$DG48,$B48:$Y48)),
IF(AM$3=$DF48+'Model Setup'!$E$7,SUMIF($AD$3:$BA$3,"="&amp;$DF48+'Model Setup'!$E$7,$B48:$Y48)+'Model Setup'!$E$8*(SUMIF($AD$3:$BA$3,"&lt;"&amp;$DF48,$B48:$Y48)+SUMIF($AD$3:$BA$3,"&gt;="&amp;$DG48,$B48:$Y48)),
IF(AM$3=$DF48+'Model Setup'!$F$7,SUMIF($AD$3:$BA$3,"="&amp;$DF48+'Model Setup'!$F$7,$B48:$Y48)+'Model Setup'!$F$8*(SUMIF($AD$3:$BA$3,"&lt;"&amp;$DF48,$B48:$Y48)+SUMIF($AD$3:$BA$3,"&gt;="&amp;$DG48,$B48:$Y48)),
IF(AM$3=$DF48+'Model Setup'!$G$7,SUMIF($AD$3:$BA$3,"="&amp;$DF48+'Model Setup'!$G$7,$B48:$Y48)+'Model Setup'!$G$8*(SUMIF($AD$3:$BA$3,"&lt;"&amp;$DF48,$B48:$Y48)+SUMIF($AD$3:$BA$3,"&gt;="&amp;$DG48,$B48:$Y48)),
IF(AM$3=$DF48+'Model Setup'!$H$7,SUMIF($AD$3:$BA$3,"="&amp;$DF48+'Model Setup'!$H$7,$B48:$Y48)+'Model Setup'!$H$8*(SUMIF($AD$3:$BA$3,"&lt;"&amp;$DF48,$B48:$Y48)+SUMIF($AD$3:$BA$3,"&gt;="&amp;$DG48,$B48:$Y48)),
IF(AM$3=$DF48+'Model Setup'!$I$7,SUMIF($AD$3:$BA$3,"="&amp;$DF48+'Model Setup'!$I$7,$B48:$Y48)+'Model Setup'!$I$8*(SUMIF($AD$3:$BA$3,"&lt;"&amp;$DF48,$B48:$Y48)+SUMIF($AD$3:$BA$3,"&gt;="&amp;$DG48,$B48:$Y48)),
IF(AM$3=$DF48+'Model Setup'!$J$7,SUMIF($AD$3:$BA$3,"="&amp;$DF48+'Model Setup'!$J$7,$B48:$Y48)+'Model Setup'!$J$8*(SUMIF($AD$3:$BA$3,"&lt;"&amp;$DF48,$B48:$Y48)+SUMIF($AD$3:$BA$3,"&gt;="&amp;$DG48,$B48:$Y48)),
IF(AM$3=$DF48+'Model Setup'!$K$7,SUMIF($AD$3:$BA$3,"="&amp;$DF48+'Model Setup'!$K$7,$B48:$Y48)+'Model Setup'!$K$8*(SUMIF($AD$3:$BA$3,"&lt;"&amp;$DF48,$B48:$Y48)+SUMIF($AD$3:$BA$3,"&gt;="&amp;$DG48,$B48:$Y48)),
IF(AM$3=$DF48+'Model Setup'!$L$7,SUMIF($AD$3:$BA$3,"="&amp;$DF48+'Model Setup'!$L$7,$B48:$Y48)+'Model Setup'!$L$8*(SUMIF($AD$3:$BA$3,"&lt;"&amp;$DF48,$B48:$Y48)+SUMIF($AD$3:$BA$3,"&gt;="&amp;$DG48,$B48:$Y48)),
IF(AM$3=$DF48+'Model Setup'!$M$7,SUMIF($AD$3:$BA$3,"="&amp;$DF48+'Model Setup'!$M$7,$B48:$Y48)+'Model Setup'!$M$8*(SUMIF($AD$3:$BA$3,"&lt;"&amp;$DF48,$B48:$Y48)+SUMIF($AD$3:$BA$3,"&gt;="&amp;$DG48,$B48:$Y48)),
IF(AM$3=$DF48+'Model Setup'!$N$7,SUMIF($AD$3:$BA$3,"="&amp;$DF48+'Model Setup'!$N$7,$B48:$Y48)+'Model Setup'!$N$8*(SUMIF($AD$3:$BA$3,"&lt;"&amp;$DF48,$B48:$Y48)+SUMIF($AD$3:$BA$3,"&gt;="&amp;$DG48,$B48:$Y48)),
IF(AM$3&lt;$DG48,K48,0))))))))))))))),0)</f>
        <v>92</v>
      </c>
      <c r="AN48" s="47">
        <f>ROUND(IF(AN$3&lt;$DF48,0,
IF(AN$3=$DF48+'Model Setup'!$B$7,SUMIF($AD$3:$BA$3,"="&amp;$DF48+'Model Setup'!$B$7,$B48:$Y48)+'Model Setup'!$B$8*(SUMIF($AD$3:$BA$3,"&lt;"&amp;$DF48,$B48:$Y48)+SUMIF($AD$3:$BA$3,"&gt;="&amp;$DG48,$B48:$Y48)),
IF(AN$3=$DF48+'Model Setup'!$C$7,SUMIF($AD$3:$BA$3,"="&amp;$DF48+'Model Setup'!$C$7,$B48:$Y48)+'Model Setup'!$C$8*(SUMIF($AD$3:$BA$3,"&lt;"&amp;$DF48,$B48:$Y48)+SUMIF($AD$3:$BA$3,"&gt;="&amp;$DG48,$B48:$Y48)),
IF(AN$3=$DF48+'Model Setup'!$D$7,SUMIF($AD$3:$BA$3,"="&amp;$DF48+'Model Setup'!$D$7,$B48:$Y48)+'Model Setup'!$D$8*(SUMIF($AD$3:$BA$3,"&lt;"&amp;$DF48,$B48:$Y48)+SUMIF($AD$3:$BA$3,"&gt;="&amp;$DG48,$B48:$Y48)),
IF(AN$3=$DF48+'Model Setup'!$E$7,SUMIF($AD$3:$BA$3,"="&amp;$DF48+'Model Setup'!$E$7,$B48:$Y48)+'Model Setup'!$E$8*(SUMIF($AD$3:$BA$3,"&lt;"&amp;$DF48,$B48:$Y48)+SUMIF($AD$3:$BA$3,"&gt;="&amp;$DG48,$B48:$Y48)),
IF(AN$3=$DF48+'Model Setup'!$F$7,SUMIF($AD$3:$BA$3,"="&amp;$DF48+'Model Setup'!$F$7,$B48:$Y48)+'Model Setup'!$F$8*(SUMIF($AD$3:$BA$3,"&lt;"&amp;$DF48,$B48:$Y48)+SUMIF($AD$3:$BA$3,"&gt;="&amp;$DG48,$B48:$Y48)),
IF(AN$3=$DF48+'Model Setup'!$G$7,SUMIF($AD$3:$BA$3,"="&amp;$DF48+'Model Setup'!$G$7,$B48:$Y48)+'Model Setup'!$G$8*(SUMIF($AD$3:$BA$3,"&lt;"&amp;$DF48,$B48:$Y48)+SUMIF($AD$3:$BA$3,"&gt;="&amp;$DG48,$B48:$Y48)),
IF(AN$3=$DF48+'Model Setup'!$H$7,SUMIF($AD$3:$BA$3,"="&amp;$DF48+'Model Setup'!$H$7,$B48:$Y48)+'Model Setup'!$H$8*(SUMIF($AD$3:$BA$3,"&lt;"&amp;$DF48,$B48:$Y48)+SUMIF($AD$3:$BA$3,"&gt;="&amp;$DG48,$B48:$Y48)),
IF(AN$3=$DF48+'Model Setup'!$I$7,SUMIF($AD$3:$BA$3,"="&amp;$DF48+'Model Setup'!$I$7,$B48:$Y48)+'Model Setup'!$I$8*(SUMIF($AD$3:$BA$3,"&lt;"&amp;$DF48,$B48:$Y48)+SUMIF($AD$3:$BA$3,"&gt;="&amp;$DG48,$B48:$Y48)),
IF(AN$3=$DF48+'Model Setup'!$J$7,SUMIF($AD$3:$BA$3,"="&amp;$DF48+'Model Setup'!$J$7,$B48:$Y48)+'Model Setup'!$J$8*(SUMIF($AD$3:$BA$3,"&lt;"&amp;$DF48,$B48:$Y48)+SUMIF($AD$3:$BA$3,"&gt;="&amp;$DG48,$B48:$Y48)),
IF(AN$3=$DF48+'Model Setup'!$K$7,SUMIF($AD$3:$BA$3,"="&amp;$DF48+'Model Setup'!$K$7,$B48:$Y48)+'Model Setup'!$K$8*(SUMIF($AD$3:$BA$3,"&lt;"&amp;$DF48,$B48:$Y48)+SUMIF($AD$3:$BA$3,"&gt;="&amp;$DG48,$B48:$Y48)),
IF(AN$3=$DF48+'Model Setup'!$L$7,SUMIF($AD$3:$BA$3,"="&amp;$DF48+'Model Setup'!$L$7,$B48:$Y48)+'Model Setup'!$L$8*(SUMIF($AD$3:$BA$3,"&lt;"&amp;$DF48,$B48:$Y48)+SUMIF($AD$3:$BA$3,"&gt;="&amp;$DG48,$B48:$Y48)),
IF(AN$3=$DF48+'Model Setup'!$M$7,SUMIF($AD$3:$BA$3,"="&amp;$DF48+'Model Setup'!$M$7,$B48:$Y48)+'Model Setup'!$M$8*(SUMIF($AD$3:$BA$3,"&lt;"&amp;$DF48,$B48:$Y48)+SUMIF($AD$3:$BA$3,"&gt;="&amp;$DG48,$B48:$Y48)),
IF(AN$3=$DF48+'Model Setup'!$N$7,SUMIF($AD$3:$BA$3,"="&amp;$DF48+'Model Setup'!$N$7,$B48:$Y48)+'Model Setup'!$N$8*(SUMIF($AD$3:$BA$3,"&lt;"&amp;$DF48,$B48:$Y48)+SUMIF($AD$3:$BA$3,"&gt;="&amp;$DG48,$B48:$Y48)),
IF(AN$3&lt;$DG48,L48,0))))))))))))))),0)</f>
        <v>95</v>
      </c>
      <c r="AO48" s="47">
        <f>ROUND(IF(AO$3&lt;$DF48,0,
IF(AO$3=$DF48+'Model Setup'!$B$7,SUMIF($AD$3:$BA$3,"="&amp;$DF48+'Model Setup'!$B$7,$B48:$Y48)+'Model Setup'!$B$8*(SUMIF($AD$3:$BA$3,"&lt;"&amp;$DF48,$B48:$Y48)+SUMIF($AD$3:$BA$3,"&gt;="&amp;$DG48,$B48:$Y48)),
IF(AO$3=$DF48+'Model Setup'!$C$7,SUMIF($AD$3:$BA$3,"="&amp;$DF48+'Model Setup'!$C$7,$B48:$Y48)+'Model Setup'!$C$8*(SUMIF($AD$3:$BA$3,"&lt;"&amp;$DF48,$B48:$Y48)+SUMIF($AD$3:$BA$3,"&gt;="&amp;$DG48,$B48:$Y48)),
IF(AO$3=$DF48+'Model Setup'!$D$7,SUMIF($AD$3:$BA$3,"="&amp;$DF48+'Model Setup'!$D$7,$B48:$Y48)+'Model Setup'!$D$8*(SUMIF($AD$3:$BA$3,"&lt;"&amp;$DF48,$B48:$Y48)+SUMIF($AD$3:$BA$3,"&gt;="&amp;$DG48,$B48:$Y48)),
IF(AO$3=$DF48+'Model Setup'!$E$7,SUMIF($AD$3:$BA$3,"="&amp;$DF48+'Model Setup'!$E$7,$B48:$Y48)+'Model Setup'!$E$8*(SUMIF($AD$3:$BA$3,"&lt;"&amp;$DF48,$B48:$Y48)+SUMIF($AD$3:$BA$3,"&gt;="&amp;$DG48,$B48:$Y48)),
IF(AO$3=$DF48+'Model Setup'!$F$7,SUMIF($AD$3:$BA$3,"="&amp;$DF48+'Model Setup'!$F$7,$B48:$Y48)+'Model Setup'!$F$8*(SUMIF($AD$3:$BA$3,"&lt;"&amp;$DF48,$B48:$Y48)+SUMIF($AD$3:$BA$3,"&gt;="&amp;$DG48,$B48:$Y48)),
IF(AO$3=$DF48+'Model Setup'!$G$7,SUMIF($AD$3:$BA$3,"="&amp;$DF48+'Model Setup'!$G$7,$B48:$Y48)+'Model Setup'!$G$8*(SUMIF($AD$3:$BA$3,"&lt;"&amp;$DF48,$B48:$Y48)+SUMIF($AD$3:$BA$3,"&gt;="&amp;$DG48,$B48:$Y48)),
IF(AO$3=$DF48+'Model Setup'!$H$7,SUMIF($AD$3:$BA$3,"="&amp;$DF48+'Model Setup'!$H$7,$B48:$Y48)+'Model Setup'!$H$8*(SUMIF($AD$3:$BA$3,"&lt;"&amp;$DF48,$B48:$Y48)+SUMIF($AD$3:$BA$3,"&gt;="&amp;$DG48,$B48:$Y48)),
IF(AO$3=$DF48+'Model Setup'!$I$7,SUMIF($AD$3:$BA$3,"="&amp;$DF48+'Model Setup'!$I$7,$B48:$Y48)+'Model Setup'!$I$8*(SUMIF($AD$3:$BA$3,"&lt;"&amp;$DF48,$B48:$Y48)+SUMIF($AD$3:$BA$3,"&gt;="&amp;$DG48,$B48:$Y48)),
IF(AO$3=$DF48+'Model Setup'!$J$7,SUMIF($AD$3:$BA$3,"="&amp;$DF48+'Model Setup'!$J$7,$B48:$Y48)+'Model Setup'!$J$8*(SUMIF($AD$3:$BA$3,"&lt;"&amp;$DF48,$B48:$Y48)+SUMIF($AD$3:$BA$3,"&gt;="&amp;$DG48,$B48:$Y48)),
IF(AO$3=$DF48+'Model Setup'!$K$7,SUMIF($AD$3:$BA$3,"="&amp;$DF48+'Model Setup'!$K$7,$B48:$Y48)+'Model Setup'!$K$8*(SUMIF($AD$3:$BA$3,"&lt;"&amp;$DF48,$B48:$Y48)+SUMIF($AD$3:$BA$3,"&gt;="&amp;$DG48,$B48:$Y48)),
IF(AO$3=$DF48+'Model Setup'!$L$7,SUMIF($AD$3:$BA$3,"="&amp;$DF48+'Model Setup'!$L$7,$B48:$Y48)+'Model Setup'!$L$8*(SUMIF($AD$3:$BA$3,"&lt;"&amp;$DF48,$B48:$Y48)+SUMIF($AD$3:$BA$3,"&gt;="&amp;$DG48,$B48:$Y48)),
IF(AO$3=$DF48+'Model Setup'!$M$7,SUMIF($AD$3:$BA$3,"="&amp;$DF48+'Model Setup'!$M$7,$B48:$Y48)+'Model Setup'!$M$8*(SUMIF($AD$3:$BA$3,"&lt;"&amp;$DF48,$B48:$Y48)+SUMIF($AD$3:$BA$3,"&gt;="&amp;$DG48,$B48:$Y48)),
IF(AO$3=$DF48+'Model Setup'!$N$7,SUMIF($AD$3:$BA$3,"="&amp;$DF48+'Model Setup'!$N$7,$B48:$Y48)+'Model Setup'!$N$8*(SUMIF($AD$3:$BA$3,"&lt;"&amp;$DF48,$B48:$Y48)+SUMIF($AD$3:$BA$3,"&gt;="&amp;$DG48,$B48:$Y48)),
IF(AO$3&lt;$DG48,M48,0))))))))))))))),0)</f>
        <v>56</v>
      </c>
      <c r="AP48" s="47">
        <f>ROUND(IF(AP$3&lt;$DF48,0,
IF(AP$3=$DF48+'Model Setup'!$B$7,SUMIF($AD$3:$BA$3,"="&amp;$DF48+'Model Setup'!$B$7,$B48:$Y48)+'Model Setup'!$B$8*(SUMIF($AD$3:$BA$3,"&lt;"&amp;$DF48,$B48:$Y48)+SUMIF($AD$3:$BA$3,"&gt;="&amp;$DG48,$B48:$Y48)),
IF(AP$3=$DF48+'Model Setup'!$C$7,SUMIF($AD$3:$BA$3,"="&amp;$DF48+'Model Setup'!$C$7,$B48:$Y48)+'Model Setup'!$C$8*(SUMIF($AD$3:$BA$3,"&lt;"&amp;$DF48,$B48:$Y48)+SUMIF($AD$3:$BA$3,"&gt;="&amp;$DG48,$B48:$Y48)),
IF(AP$3=$DF48+'Model Setup'!$D$7,SUMIF($AD$3:$BA$3,"="&amp;$DF48+'Model Setup'!$D$7,$B48:$Y48)+'Model Setup'!$D$8*(SUMIF($AD$3:$BA$3,"&lt;"&amp;$DF48,$B48:$Y48)+SUMIF($AD$3:$BA$3,"&gt;="&amp;$DG48,$B48:$Y48)),
IF(AP$3=$DF48+'Model Setup'!$E$7,SUMIF($AD$3:$BA$3,"="&amp;$DF48+'Model Setup'!$E$7,$B48:$Y48)+'Model Setup'!$E$8*(SUMIF($AD$3:$BA$3,"&lt;"&amp;$DF48,$B48:$Y48)+SUMIF($AD$3:$BA$3,"&gt;="&amp;$DG48,$B48:$Y48)),
IF(AP$3=$DF48+'Model Setup'!$F$7,SUMIF($AD$3:$BA$3,"="&amp;$DF48+'Model Setup'!$F$7,$B48:$Y48)+'Model Setup'!$F$8*(SUMIF($AD$3:$BA$3,"&lt;"&amp;$DF48,$B48:$Y48)+SUMIF($AD$3:$BA$3,"&gt;="&amp;$DG48,$B48:$Y48)),
IF(AP$3=$DF48+'Model Setup'!$G$7,SUMIF($AD$3:$BA$3,"="&amp;$DF48+'Model Setup'!$G$7,$B48:$Y48)+'Model Setup'!$G$8*(SUMIF($AD$3:$BA$3,"&lt;"&amp;$DF48,$B48:$Y48)+SUMIF($AD$3:$BA$3,"&gt;="&amp;$DG48,$B48:$Y48)),
IF(AP$3=$DF48+'Model Setup'!$H$7,SUMIF($AD$3:$BA$3,"="&amp;$DF48+'Model Setup'!$H$7,$B48:$Y48)+'Model Setup'!$H$8*(SUMIF($AD$3:$BA$3,"&lt;"&amp;$DF48,$B48:$Y48)+SUMIF($AD$3:$BA$3,"&gt;="&amp;$DG48,$B48:$Y48)),
IF(AP$3=$DF48+'Model Setup'!$I$7,SUMIF($AD$3:$BA$3,"="&amp;$DF48+'Model Setup'!$I$7,$B48:$Y48)+'Model Setup'!$I$8*(SUMIF($AD$3:$BA$3,"&lt;"&amp;$DF48,$B48:$Y48)+SUMIF($AD$3:$BA$3,"&gt;="&amp;$DG48,$B48:$Y48)),
IF(AP$3=$DF48+'Model Setup'!$J$7,SUMIF($AD$3:$BA$3,"="&amp;$DF48+'Model Setup'!$J$7,$B48:$Y48)+'Model Setup'!$J$8*(SUMIF($AD$3:$BA$3,"&lt;"&amp;$DF48,$B48:$Y48)+SUMIF($AD$3:$BA$3,"&gt;="&amp;$DG48,$B48:$Y48)),
IF(AP$3=$DF48+'Model Setup'!$K$7,SUMIF($AD$3:$BA$3,"="&amp;$DF48+'Model Setup'!$K$7,$B48:$Y48)+'Model Setup'!$K$8*(SUMIF($AD$3:$BA$3,"&lt;"&amp;$DF48,$B48:$Y48)+SUMIF($AD$3:$BA$3,"&gt;="&amp;$DG48,$B48:$Y48)),
IF(AP$3=$DF48+'Model Setup'!$L$7,SUMIF($AD$3:$BA$3,"="&amp;$DF48+'Model Setup'!$L$7,$B48:$Y48)+'Model Setup'!$L$8*(SUMIF($AD$3:$BA$3,"&lt;"&amp;$DF48,$B48:$Y48)+SUMIF($AD$3:$BA$3,"&gt;="&amp;$DG48,$B48:$Y48)),
IF(AP$3=$DF48+'Model Setup'!$M$7,SUMIF($AD$3:$BA$3,"="&amp;$DF48+'Model Setup'!$M$7,$B48:$Y48)+'Model Setup'!$M$8*(SUMIF($AD$3:$BA$3,"&lt;"&amp;$DF48,$B48:$Y48)+SUMIF($AD$3:$BA$3,"&gt;="&amp;$DG48,$B48:$Y48)),
IF(AP$3=$DF48+'Model Setup'!$N$7,SUMIF($AD$3:$BA$3,"="&amp;$DF48+'Model Setup'!$N$7,$B48:$Y48)+'Model Setup'!$N$8*(SUMIF($AD$3:$BA$3,"&lt;"&amp;$DF48,$B48:$Y48)+SUMIF($AD$3:$BA$3,"&gt;="&amp;$DG48,$B48:$Y48)),
IF(AP$3&lt;$DG48,N48,0))))))))))))))),0)</f>
        <v>53</v>
      </c>
      <c r="AQ48" s="47">
        <f>ROUND(IF(AQ$3&lt;$DF48,0,
IF(AQ$3=$DF48+'Model Setup'!$B$7,SUMIF($AD$3:$BA$3,"="&amp;$DF48+'Model Setup'!$B$7,$B48:$Y48)+'Model Setup'!$B$8*(SUMIF($AD$3:$BA$3,"&lt;"&amp;$DF48,$B48:$Y48)+SUMIF($AD$3:$BA$3,"&gt;="&amp;$DG48,$B48:$Y48)),
IF(AQ$3=$DF48+'Model Setup'!$C$7,SUMIF($AD$3:$BA$3,"="&amp;$DF48+'Model Setup'!$C$7,$B48:$Y48)+'Model Setup'!$C$8*(SUMIF($AD$3:$BA$3,"&lt;"&amp;$DF48,$B48:$Y48)+SUMIF($AD$3:$BA$3,"&gt;="&amp;$DG48,$B48:$Y48)),
IF(AQ$3=$DF48+'Model Setup'!$D$7,SUMIF($AD$3:$BA$3,"="&amp;$DF48+'Model Setup'!$D$7,$B48:$Y48)+'Model Setup'!$D$8*(SUMIF($AD$3:$BA$3,"&lt;"&amp;$DF48,$B48:$Y48)+SUMIF($AD$3:$BA$3,"&gt;="&amp;$DG48,$B48:$Y48)),
IF(AQ$3=$DF48+'Model Setup'!$E$7,SUMIF($AD$3:$BA$3,"="&amp;$DF48+'Model Setup'!$E$7,$B48:$Y48)+'Model Setup'!$E$8*(SUMIF($AD$3:$BA$3,"&lt;"&amp;$DF48,$B48:$Y48)+SUMIF($AD$3:$BA$3,"&gt;="&amp;$DG48,$B48:$Y48)),
IF(AQ$3=$DF48+'Model Setup'!$F$7,SUMIF($AD$3:$BA$3,"="&amp;$DF48+'Model Setup'!$F$7,$B48:$Y48)+'Model Setup'!$F$8*(SUMIF($AD$3:$BA$3,"&lt;"&amp;$DF48,$B48:$Y48)+SUMIF($AD$3:$BA$3,"&gt;="&amp;$DG48,$B48:$Y48)),
IF(AQ$3=$DF48+'Model Setup'!$G$7,SUMIF($AD$3:$BA$3,"="&amp;$DF48+'Model Setup'!$G$7,$B48:$Y48)+'Model Setup'!$G$8*(SUMIF($AD$3:$BA$3,"&lt;"&amp;$DF48,$B48:$Y48)+SUMIF($AD$3:$BA$3,"&gt;="&amp;$DG48,$B48:$Y48)),
IF(AQ$3=$DF48+'Model Setup'!$H$7,SUMIF($AD$3:$BA$3,"="&amp;$DF48+'Model Setup'!$H$7,$B48:$Y48)+'Model Setup'!$H$8*(SUMIF($AD$3:$BA$3,"&lt;"&amp;$DF48,$B48:$Y48)+SUMIF($AD$3:$BA$3,"&gt;="&amp;$DG48,$B48:$Y48)),
IF(AQ$3=$DF48+'Model Setup'!$I$7,SUMIF($AD$3:$BA$3,"="&amp;$DF48+'Model Setup'!$I$7,$B48:$Y48)+'Model Setup'!$I$8*(SUMIF($AD$3:$BA$3,"&lt;"&amp;$DF48,$B48:$Y48)+SUMIF($AD$3:$BA$3,"&gt;="&amp;$DG48,$B48:$Y48)),
IF(AQ$3=$DF48+'Model Setup'!$J$7,SUMIF($AD$3:$BA$3,"="&amp;$DF48+'Model Setup'!$J$7,$B48:$Y48)+'Model Setup'!$J$8*(SUMIF($AD$3:$BA$3,"&lt;"&amp;$DF48,$B48:$Y48)+SUMIF($AD$3:$BA$3,"&gt;="&amp;$DG48,$B48:$Y48)),
IF(AQ$3=$DF48+'Model Setup'!$K$7,SUMIF($AD$3:$BA$3,"="&amp;$DF48+'Model Setup'!$K$7,$B48:$Y48)+'Model Setup'!$K$8*(SUMIF($AD$3:$BA$3,"&lt;"&amp;$DF48,$B48:$Y48)+SUMIF($AD$3:$BA$3,"&gt;="&amp;$DG48,$B48:$Y48)),
IF(AQ$3=$DF48+'Model Setup'!$L$7,SUMIF($AD$3:$BA$3,"="&amp;$DF48+'Model Setup'!$L$7,$B48:$Y48)+'Model Setup'!$L$8*(SUMIF($AD$3:$BA$3,"&lt;"&amp;$DF48,$B48:$Y48)+SUMIF($AD$3:$BA$3,"&gt;="&amp;$DG48,$B48:$Y48)),
IF(AQ$3=$DF48+'Model Setup'!$M$7,SUMIF($AD$3:$BA$3,"="&amp;$DF48+'Model Setup'!$M$7,$B48:$Y48)+'Model Setup'!$M$8*(SUMIF($AD$3:$BA$3,"&lt;"&amp;$DF48,$B48:$Y48)+SUMIF($AD$3:$BA$3,"&gt;="&amp;$DG48,$B48:$Y48)),
IF(AQ$3=$DF48+'Model Setup'!$N$7,SUMIF($AD$3:$BA$3,"="&amp;$DF48+'Model Setup'!$N$7,$B48:$Y48)+'Model Setup'!$N$8*(SUMIF($AD$3:$BA$3,"&lt;"&amp;$DF48,$B48:$Y48)+SUMIF($AD$3:$BA$3,"&gt;="&amp;$DG48,$B48:$Y48)),
IF(AQ$3&lt;$DG48,O48,0))))))))))))))),0)</f>
        <v>45</v>
      </c>
      <c r="AR48" s="47">
        <f>ROUND(IF(AR$3&lt;$DF48,0,
IF(AR$3=$DF48+'Model Setup'!$B$7,SUMIF($AD$3:$BA$3,"="&amp;$DF48+'Model Setup'!$B$7,$B48:$Y48)+'Model Setup'!$B$8*(SUMIF($AD$3:$BA$3,"&lt;"&amp;$DF48,$B48:$Y48)+SUMIF($AD$3:$BA$3,"&gt;="&amp;$DG48,$B48:$Y48)),
IF(AR$3=$DF48+'Model Setup'!$C$7,SUMIF($AD$3:$BA$3,"="&amp;$DF48+'Model Setup'!$C$7,$B48:$Y48)+'Model Setup'!$C$8*(SUMIF($AD$3:$BA$3,"&lt;"&amp;$DF48,$B48:$Y48)+SUMIF($AD$3:$BA$3,"&gt;="&amp;$DG48,$B48:$Y48)),
IF(AR$3=$DF48+'Model Setup'!$D$7,SUMIF($AD$3:$BA$3,"="&amp;$DF48+'Model Setup'!$D$7,$B48:$Y48)+'Model Setup'!$D$8*(SUMIF($AD$3:$BA$3,"&lt;"&amp;$DF48,$B48:$Y48)+SUMIF($AD$3:$BA$3,"&gt;="&amp;$DG48,$B48:$Y48)),
IF(AR$3=$DF48+'Model Setup'!$E$7,SUMIF($AD$3:$BA$3,"="&amp;$DF48+'Model Setup'!$E$7,$B48:$Y48)+'Model Setup'!$E$8*(SUMIF($AD$3:$BA$3,"&lt;"&amp;$DF48,$B48:$Y48)+SUMIF($AD$3:$BA$3,"&gt;="&amp;$DG48,$B48:$Y48)),
IF(AR$3=$DF48+'Model Setup'!$F$7,SUMIF($AD$3:$BA$3,"="&amp;$DF48+'Model Setup'!$F$7,$B48:$Y48)+'Model Setup'!$F$8*(SUMIF($AD$3:$BA$3,"&lt;"&amp;$DF48,$B48:$Y48)+SUMIF($AD$3:$BA$3,"&gt;="&amp;$DG48,$B48:$Y48)),
IF(AR$3=$DF48+'Model Setup'!$G$7,SUMIF($AD$3:$BA$3,"="&amp;$DF48+'Model Setup'!$G$7,$B48:$Y48)+'Model Setup'!$G$8*(SUMIF($AD$3:$BA$3,"&lt;"&amp;$DF48,$B48:$Y48)+SUMIF($AD$3:$BA$3,"&gt;="&amp;$DG48,$B48:$Y48)),
IF(AR$3=$DF48+'Model Setup'!$H$7,SUMIF($AD$3:$BA$3,"="&amp;$DF48+'Model Setup'!$H$7,$B48:$Y48)+'Model Setup'!$H$8*(SUMIF($AD$3:$BA$3,"&lt;"&amp;$DF48,$B48:$Y48)+SUMIF($AD$3:$BA$3,"&gt;="&amp;$DG48,$B48:$Y48)),
IF(AR$3=$DF48+'Model Setup'!$I$7,SUMIF($AD$3:$BA$3,"="&amp;$DF48+'Model Setup'!$I$7,$B48:$Y48)+'Model Setup'!$I$8*(SUMIF($AD$3:$BA$3,"&lt;"&amp;$DF48,$B48:$Y48)+SUMIF($AD$3:$BA$3,"&gt;="&amp;$DG48,$B48:$Y48)),
IF(AR$3=$DF48+'Model Setup'!$J$7,SUMIF($AD$3:$BA$3,"="&amp;$DF48+'Model Setup'!$J$7,$B48:$Y48)+'Model Setup'!$J$8*(SUMIF($AD$3:$BA$3,"&lt;"&amp;$DF48,$B48:$Y48)+SUMIF($AD$3:$BA$3,"&gt;="&amp;$DG48,$B48:$Y48)),
IF(AR$3=$DF48+'Model Setup'!$K$7,SUMIF($AD$3:$BA$3,"="&amp;$DF48+'Model Setup'!$K$7,$B48:$Y48)+'Model Setup'!$K$8*(SUMIF($AD$3:$BA$3,"&lt;"&amp;$DF48,$B48:$Y48)+SUMIF($AD$3:$BA$3,"&gt;="&amp;$DG48,$B48:$Y48)),
IF(AR$3=$DF48+'Model Setup'!$L$7,SUMIF($AD$3:$BA$3,"="&amp;$DF48+'Model Setup'!$L$7,$B48:$Y48)+'Model Setup'!$L$8*(SUMIF($AD$3:$BA$3,"&lt;"&amp;$DF48,$B48:$Y48)+SUMIF($AD$3:$BA$3,"&gt;="&amp;$DG48,$B48:$Y48)),
IF(AR$3=$DF48+'Model Setup'!$M$7,SUMIF($AD$3:$BA$3,"="&amp;$DF48+'Model Setup'!$M$7,$B48:$Y48)+'Model Setup'!$M$8*(SUMIF($AD$3:$BA$3,"&lt;"&amp;$DF48,$B48:$Y48)+SUMIF($AD$3:$BA$3,"&gt;="&amp;$DG48,$B48:$Y48)),
IF(AR$3=$DF48+'Model Setup'!$N$7,SUMIF($AD$3:$BA$3,"="&amp;$DF48+'Model Setup'!$N$7,$B48:$Y48)+'Model Setup'!$N$8*(SUMIF($AD$3:$BA$3,"&lt;"&amp;$DF48,$B48:$Y48)+SUMIF($AD$3:$BA$3,"&gt;="&amp;$DG48,$B48:$Y48)),
IF(AR$3&lt;$DG48,P48,0))))))))))))))),0)</f>
        <v>20</v>
      </c>
      <c r="AS48" s="47">
        <f>ROUND(IF(AS$3&lt;$DF48,0,
IF(AS$3=$DF48+'Model Setup'!$B$7,SUMIF($AD$3:$BA$3,"="&amp;$DF48+'Model Setup'!$B$7,$B48:$Y48)+'Model Setup'!$B$8*(SUMIF($AD$3:$BA$3,"&lt;"&amp;$DF48,$B48:$Y48)+SUMIF($AD$3:$BA$3,"&gt;="&amp;$DG48,$B48:$Y48)),
IF(AS$3=$DF48+'Model Setup'!$C$7,SUMIF($AD$3:$BA$3,"="&amp;$DF48+'Model Setup'!$C$7,$B48:$Y48)+'Model Setup'!$C$8*(SUMIF($AD$3:$BA$3,"&lt;"&amp;$DF48,$B48:$Y48)+SUMIF($AD$3:$BA$3,"&gt;="&amp;$DG48,$B48:$Y48)),
IF(AS$3=$DF48+'Model Setup'!$D$7,SUMIF($AD$3:$BA$3,"="&amp;$DF48+'Model Setup'!$D$7,$B48:$Y48)+'Model Setup'!$D$8*(SUMIF($AD$3:$BA$3,"&lt;"&amp;$DF48,$B48:$Y48)+SUMIF($AD$3:$BA$3,"&gt;="&amp;$DG48,$B48:$Y48)),
IF(AS$3=$DF48+'Model Setup'!$E$7,SUMIF($AD$3:$BA$3,"="&amp;$DF48+'Model Setup'!$E$7,$B48:$Y48)+'Model Setup'!$E$8*(SUMIF($AD$3:$BA$3,"&lt;"&amp;$DF48,$B48:$Y48)+SUMIF($AD$3:$BA$3,"&gt;="&amp;$DG48,$B48:$Y48)),
IF(AS$3=$DF48+'Model Setup'!$F$7,SUMIF($AD$3:$BA$3,"="&amp;$DF48+'Model Setup'!$F$7,$B48:$Y48)+'Model Setup'!$F$8*(SUMIF($AD$3:$BA$3,"&lt;"&amp;$DF48,$B48:$Y48)+SUMIF($AD$3:$BA$3,"&gt;="&amp;$DG48,$B48:$Y48)),
IF(AS$3=$DF48+'Model Setup'!$G$7,SUMIF($AD$3:$BA$3,"="&amp;$DF48+'Model Setup'!$G$7,$B48:$Y48)+'Model Setup'!$G$8*(SUMIF($AD$3:$BA$3,"&lt;"&amp;$DF48,$B48:$Y48)+SUMIF($AD$3:$BA$3,"&gt;="&amp;$DG48,$B48:$Y48)),
IF(AS$3=$DF48+'Model Setup'!$H$7,SUMIF($AD$3:$BA$3,"="&amp;$DF48+'Model Setup'!$H$7,$B48:$Y48)+'Model Setup'!$H$8*(SUMIF($AD$3:$BA$3,"&lt;"&amp;$DF48,$B48:$Y48)+SUMIF($AD$3:$BA$3,"&gt;="&amp;$DG48,$B48:$Y48)),
IF(AS$3=$DF48+'Model Setup'!$I$7,SUMIF($AD$3:$BA$3,"="&amp;$DF48+'Model Setup'!$I$7,$B48:$Y48)+'Model Setup'!$I$8*(SUMIF($AD$3:$BA$3,"&lt;"&amp;$DF48,$B48:$Y48)+SUMIF($AD$3:$BA$3,"&gt;="&amp;$DG48,$B48:$Y48)),
IF(AS$3=$DF48+'Model Setup'!$J$7,SUMIF($AD$3:$BA$3,"="&amp;$DF48+'Model Setup'!$J$7,$B48:$Y48)+'Model Setup'!$J$8*(SUMIF($AD$3:$BA$3,"&lt;"&amp;$DF48,$B48:$Y48)+SUMIF($AD$3:$BA$3,"&gt;="&amp;$DG48,$B48:$Y48)),
IF(AS$3=$DF48+'Model Setup'!$K$7,SUMIF($AD$3:$BA$3,"="&amp;$DF48+'Model Setup'!$K$7,$B48:$Y48)+'Model Setup'!$K$8*(SUMIF($AD$3:$BA$3,"&lt;"&amp;$DF48,$B48:$Y48)+SUMIF($AD$3:$BA$3,"&gt;="&amp;$DG48,$B48:$Y48)),
IF(AS$3=$DF48+'Model Setup'!$L$7,SUMIF($AD$3:$BA$3,"="&amp;$DF48+'Model Setup'!$L$7,$B48:$Y48)+'Model Setup'!$L$8*(SUMIF($AD$3:$BA$3,"&lt;"&amp;$DF48,$B48:$Y48)+SUMIF($AD$3:$BA$3,"&gt;="&amp;$DG48,$B48:$Y48)),
IF(AS$3=$DF48+'Model Setup'!$M$7,SUMIF($AD$3:$BA$3,"="&amp;$DF48+'Model Setup'!$M$7,$B48:$Y48)+'Model Setup'!$M$8*(SUMIF($AD$3:$BA$3,"&lt;"&amp;$DF48,$B48:$Y48)+SUMIF($AD$3:$BA$3,"&gt;="&amp;$DG48,$B48:$Y48)),
IF(AS$3=$DF48+'Model Setup'!$N$7,SUMIF($AD$3:$BA$3,"="&amp;$DF48+'Model Setup'!$N$7,$B48:$Y48)+'Model Setup'!$N$8*(SUMIF($AD$3:$BA$3,"&lt;"&amp;$DF48,$B48:$Y48)+SUMIF($AD$3:$BA$3,"&gt;="&amp;$DG48,$B48:$Y48)),
IF(AS$3&lt;$DG48,Q48,0))))))))))))))),0)</f>
        <v>37</v>
      </c>
      <c r="AT48" s="47">
        <f>ROUND(IF(AT$3&lt;$DF48,0,
IF(AT$3=$DF48+'Model Setup'!$B$7,SUMIF($AD$3:$BA$3,"="&amp;$DF48+'Model Setup'!$B$7,$B48:$Y48)+'Model Setup'!$B$8*(SUMIF($AD$3:$BA$3,"&lt;"&amp;$DF48,$B48:$Y48)+SUMIF($AD$3:$BA$3,"&gt;="&amp;$DG48,$B48:$Y48)),
IF(AT$3=$DF48+'Model Setup'!$C$7,SUMIF($AD$3:$BA$3,"="&amp;$DF48+'Model Setup'!$C$7,$B48:$Y48)+'Model Setup'!$C$8*(SUMIF($AD$3:$BA$3,"&lt;"&amp;$DF48,$B48:$Y48)+SUMIF($AD$3:$BA$3,"&gt;="&amp;$DG48,$B48:$Y48)),
IF(AT$3=$DF48+'Model Setup'!$D$7,SUMIF($AD$3:$BA$3,"="&amp;$DF48+'Model Setup'!$D$7,$B48:$Y48)+'Model Setup'!$D$8*(SUMIF($AD$3:$BA$3,"&lt;"&amp;$DF48,$B48:$Y48)+SUMIF($AD$3:$BA$3,"&gt;="&amp;$DG48,$B48:$Y48)),
IF(AT$3=$DF48+'Model Setup'!$E$7,SUMIF($AD$3:$BA$3,"="&amp;$DF48+'Model Setup'!$E$7,$B48:$Y48)+'Model Setup'!$E$8*(SUMIF($AD$3:$BA$3,"&lt;"&amp;$DF48,$B48:$Y48)+SUMIF($AD$3:$BA$3,"&gt;="&amp;$DG48,$B48:$Y48)),
IF(AT$3=$DF48+'Model Setup'!$F$7,SUMIF($AD$3:$BA$3,"="&amp;$DF48+'Model Setup'!$F$7,$B48:$Y48)+'Model Setup'!$F$8*(SUMIF($AD$3:$BA$3,"&lt;"&amp;$DF48,$B48:$Y48)+SUMIF($AD$3:$BA$3,"&gt;="&amp;$DG48,$B48:$Y48)),
IF(AT$3=$DF48+'Model Setup'!$G$7,SUMIF($AD$3:$BA$3,"="&amp;$DF48+'Model Setup'!$G$7,$B48:$Y48)+'Model Setup'!$G$8*(SUMIF($AD$3:$BA$3,"&lt;"&amp;$DF48,$B48:$Y48)+SUMIF($AD$3:$BA$3,"&gt;="&amp;$DG48,$B48:$Y48)),
IF(AT$3=$DF48+'Model Setup'!$H$7,SUMIF($AD$3:$BA$3,"="&amp;$DF48+'Model Setup'!$H$7,$B48:$Y48)+'Model Setup'!$H$8*(SUMIF($AD$3:$BA$3,"&lt;"&amp;$DF48,$B48:$Y48)+SUMIF($AD$3:$BA$3,"&gt;="&amp;$DG48,$B48:$Y48)),
IF(AT$3=$DF48+'Model Setup'!$I$7,SUMIF($AD$3:$BA$3,"="&amp;$DF48+'Model Setup'!$I$7,$B48:$Y48)+'Model Setup'!$I$8*(SUMIF($AD$3:$BA$3,"&lt;"&amp;$DF48,$B48:$Y48)+SUMIF($AD$3:$BA$3,"&gt;="&amp;$DG48,$B48:$Y48)),
IF(AT$3=$DF48+'Model Setup'!$J$7,SUMIF($AD$3:$BA$3,"="&amp;$DF48+'Model Setup'!$J$7,$B48:$Y48)+'Model Setup'!$J$8*(SUMIF($AD$3:$BA$3,"&lt;"&amp;$DF48,$B48:$Y48)+SUMIF($AD$3:$BA$3,"&gt;="&amp;$DG48,$B48:$Y48)),
IF(AT$3=$DF48+'Model Setup'!$K$7,SUMIF($AD$3:$BA$3,"="&amp;$DF48+'Model Setup'!$K$7,$B48:$Y48)+'Model Setup'!$K$8*(SUMIF($AD$3:$BA$3,"&lt;"&amp;$DF48,$B48:$Y48)+SUMIF($AD$3:$BA$3,"&gt;="&amp;$DG48,$B48:$Y48)),
IF(AT$3=$DF48+'Model Setup'!$L$7,SUMIF($AD$3:$BA$3,"="&amp;$DF48+'Model Setup'!$L$7,$B48:$Y48)+'Model Setup'!$L$8*(SUMIF($AD$3:$BA$3,"&lt;"&amp;$DF48,$B48:$Y48)+SUMIF($AD$3:$BA$3,"&gt;="&amp;$DG48,$B48:$Y48)),
IF(AT$3=$DF48+'Model Setup'!$M$7,SUMIF($AD$3:$BA$3,"="&amp;$DF48+'Model Setup'!$M$7,$B48:$Y48)+'Model Setup'!$M$8*(SUMIF($AD$3:$BA$3,"&lt;"&amp;$DF48,$B48:$Y48)+SUMIF($AD$3:$BA$3,"&gt;="&amp;$DG48,$B48:$Y48)),
IF(AT$3=$DF48+'Model Setup'!$N$7,SUMIF($AD$3:$BA$3,"="&amp;$DF48+'Model Setup'!$N$7,$B48:$Y48)+'Model Setup'!$N$8*(SUMIF($AD$3:$BA$3,"&lt;"&amp;$DF48,$B48:$Y48)+SUMIF($AD$3:$BA$3,"&gt;="&amp;$DG48,$B48:$Y48)),
IF(AT$3&lt;$DG48,R48,0))))))))))))))),0)</f>
        <v>45</v>
      </c>
      <c r="AU48" s="47">
        <f>ROUND(IF(AU$3&lt;$DF48,0,
IF(AU$3=$DF48+'Model Setup'!$B$7,SUMIF($AD$3:$BA$3,"="&amp;$DF48+'Model Setup'!$B$7,$B48:$Y48)+'Model Setup'!$B$8*(SUMIF($AD$3:$BA$3,"&lt;"&amp;$DF48,$B48:$Y48)+SUMIF($AD$3:$BA$3,"&gt;="&amp;$DG48,$B48:$Y48)),
IF(AU$3=$DF48+'Model Setup'!$C$7,SUMIF($AD$3:$BA$3,"="&amp;$DF48+'Model Setup'!$C$7,$B48:$Y48)+'Model Setup'!$C$8*(SUMIF($AD$3:$BA$3,"&lt;"&amp;$DF48,$B48:$Y48)+SUMIF($AD$3:$BA$3,"&gt;="&amp;$DG48,$B48:$Y48)),
IF(AU$3=$DF48+'Model Setup'!$D$7,SUMIF($AD$3:$BA$3,"="&amp;$DF48+'Model Setup'!$D$7,$B48:$Y48)+'Model Setup'!$D$8*(SUMIF($AD$3:$BA$3,"&lt;"&amp;$DF48,$B48:$Y48)+SUMIF($AD$3:$BA$3,"&gt;="&amp;$DG48,$B48:$Y48)),
IF(AU$3=$DF48+'Model Setup'!$E$7,SUMIF($AD$3:$BA$3,"="&amp;$DF48+'Model Setup'!$E$7,$B48:$Y48)+'Model Setup'!$E$8*(SUMIF($AD$3:$BA$3,"&lt;"&amp;$DF48,$B48:$Y48)+SUMIF($AD$3:$BA$3,"&gt;="&amp;$DG48,$B48:$Y48)),
IF(AU$3=$DF48+'Model Setup'!$F$7,SUMIF($AD$3:$BA$3,"="&amp;$DF48+'Model Setup'!$F$7,$B48:$Y48)+'Model Setup'!$F$8*(SUMIF($AD$3:$BA$3,"&lt;"&amp;$DF48,$B48:$Y48)+SUMIF($AD$3:$BA$3,"&gt;="&amp;$DG48,$B48:$Y48)),
IF(AU$3=$DF48+'Model Setup'!$G$7,SUMIF($AD$3:$BA$3,"="&amp;$DF48+'Model Setup'!$G$7,$B48:$Y48)+'Model Setup'!$G$8*(SUMIF($AD$3:$BA$3,"&lt;"&amp;$DF48,$B48:$Y48)+SUMIF($AD$3:$BA$3,"&gt;="&amp;$DG48,$B48:$Y48)),
IF(AU$3=$DF48+'Model Setup'!$H$7,SUMIF($AD$3:$BA$3,"="&amp;$DF48+'Model Setup'!$H$7,$B48:$Y48)+'Model Setup'!$H$8*(SUMIF($AD$3:$BA$3,"&lt;"&amp;$DF48,$B48:$Y48)+SUMIF($AD$3:$BA$3,"&gt;="&amp;$DG48,$B48:$Y48)),
IF(AU$3=$DF48+'Model Setup'!$I$7,SUMIF($AD$3:$BA$3,"="&amp;$DF48+'Model Setup'!$I$7,$B48:$Y48)+'Model Setup'!$I$8*(SUMIF($AD$3:$BA$3,"&lt;"&amp;$DF48,$B48:$Y48)+SUMIF($AD$3:$BA$3,"&gt;="&amp;$DG48,$B48:$Y48)),
IF(AU$3=$DF48+'Model Setup'!$J$7,SUMIF($AD$3:$BA$3,"="&amp;$DF48+'Model Setup'!$J$7,$B48:$Y48)+'Model Setup'!$J$8*(SUMIF($AD$3:$BA$3,"&lt;"&amp;$DF48,$B48:$Y48)+SUMIF($AD$3:$BA$3,"&gt;="&amp;$DG48,$B48:$Y48)),
IF(AU$3=$DF48+'Model Setup'!$K$7,SUMIF($AD$3:$BA$3,"="&amp;$DF48+'Model Setup'!$K$7,$B48:$Y48)+'Model Setup'!$K$8*(SUMIF($AD$3:$BA$3,"&lt;"&amp;$DF48,$B48:$Y48)+SUMIF($AD$3:$BA$3,"&gt;="&amp;$DG48,$B48:$Y48)),
IF(AU$3=$DF48+'Model Setup'!$L$7,SUMIF($AD$3:$BA$3,"="&amp;$DF48+'Model Setup'!$L$7,$B48:$Y48)+'Model Setup'!$L$8*(SUMIF($AD$3:$BA$3,"&lt;"&amp;$DF48,$B48:$Y48)+SUMIF($AD$3:$BA$3,"&gt;="&amp;$DG48,$B48:$Y48)),
IF(AU$3=$DF48+'Model Setup'!$M$7,SUMIF($AD$3:$BA$3,"="&amp;$DF48+'Model Setup'!$M$7,$B48:$Y48)+'Model Setup'!$M$8*(SUMIF($AD$3:$BA$3,"&lt;"&amp;$DF48,$B48:$Y48)+SUMIF($AD$3:$BA$3,"&gt;="&amp;$DG48,$B48:$Y48)),
IF(AU$3=$DF48+'Model Setup'!$N$7,SUMIF($AD$3:$BA$3,"="&amp;$DF48+'Model Setup'!$N$7,$B48:$Y48)+'Model Setup'!$N$8*(SUMIF($AD$3:$BA$3,"&lt;"&amp;$DF48,$B48:$Y48)+SUMIF($AD$3:$BA$3,"&gt;="&amp;$DG48,$B48:$Y48)),
IF(AU$3&lt;$DG48,S48,0))))))))))))))),0)</f>
        <v>28</v>
      </c>
      <c r="AV48" s="47">
        <f>ROUND(IF(AV$3&lt;$DF48,0,
IF(AV$3=$DF48+'Model Setup'!$B$7,SUMIF($AD$3:$BA$3,"="&amp;$DF48+'Model Setup'!$B$7,$B48:$Y48)+'Model Setup'!$B$8*(SUMIF($AD$3:$BA$3,"&lt;"&amp;$DF48,$B48:$Y48)+SUMIF($AD$3:$BA$3,"&gt;="&amp;$DG48,$B48:$Y48)),
IF(AV$3=$DF48+'Model Setup'!$C$7,SUMIF($AD$3:$BA$3,"="&amp;$DF48+'Model Setup'!$C$7,$B48:$Y48)+'Model Setup'!$C$8*(SUMIF($AD$3:$BA$3,"&lt;"&amp;$DF48,$B48:$Y48)+SUMIF($AD$3:$BA$3,"&gt;="&amp;$DG48,$B48:$Y48)),
IF(AV$3=$DF48+'Model Setup'!$D$7,SUMIF($AD$3:$BA$3,"="&amp;$DF48+'Model Setup'!$D$7,$B48:$Y48)+'Model Setup'!$D$8*(SUMIF($AD$3:$BA$3,"&lt;"&amp;$DF48,$B48:$Y48)+SUMIF($AD$3:$BA$3,"&gt;="&amp;$DG48,$B48:$Y48)),
IF(AV$3=$DF48+'Model Setup'!$E$7,SUMIF($AD$3:$BA$3,"="&amp;$DF48+'Model Setup'!$E$7,$B48:$Y48)+'Model Setup'!$E$8*(SUMIF($AD$3:$BA$3,"&lt;"&amp;$DF48,$B48:$Y48)+SUMIF($AD$3:$BA$3,"&gt;="&amp;$DG48,$B48:$Y48)),
IF(AV$3=$DF48+'Model Setup'!$F$7,SUMIF($AD$3:$BA$3,"="&amp;$DF48+'Model Setup'!$F$7,$B48:$Y48)+'Model Setup'!$F$8*(SUMIF($AD$3:$BA$3,"&lt;"&amp;$DF48,$B48:$Y48)+SUMIF($AD$3:$BA$3,"&gt;="&amp;$DG48,$B48:$Y48)),
IF(AV$3=$DF48+'Model Setup'!$G$7,SUMIF($AD$3:$BA$3,"="&amp;$DF48+'Model Setup'!$G$7,$B48:$Y48)+'Model Setup'!$G$8*(SUMIF($AD$3:$BA$3,"&lt;"&amp;$DF48,$B48:$Y48)+SUMIF($AD$3:$BA$3,"&gt;="&amp;$DG48,$B48:$Y48)),
IF(AV$3=$DF48+'Model Setup'!$H$7,SUMIF($AD$3:$BA$3,"="&amp;$DF48+'Model Setup'!$H$7,$B48:$Y48)+'Model Setup'!$H$8*(SUMIF($AD$3:$BA$3,"&lt;"&amp;$DF48,$B48:$Y48)+SUMIF($AD$3:$BA$3,"&gt;="&amp;$DG48,$B48:$Y48)),
IF(AV$3=$DF48+'Model Setup'!$I$7,SUMIF($AD$3:$BA$3,"="&amp;$DF48+'Model Setup'!$I$7,$B48:$Y48)+'Model Setup'!$I$8*(SUMIF($AD$3:$BA$3,"&lt;"&amp;$DF48,$B48:$Y48)+SUMIF($AD$3:$BA$3,"&gt;="&amp;$DG48,$B48:$Y48)),
IF(AV$3=$DF48+'Model Setup'!$J$7,SUMIF($AD$3:$BA$3,"="&amp;$DF48+'Model Setup'!$J$7,$B48:$Y48)+'Model Setup'!$J$8*(SUMIF($AD$3:$BA$3,"&lt;"&amp;$DF48,$B48:$Y48)+SUMIF($AD$3:$BA$3,"&gt;="&amp;$DG48,$B48:$Y48)),
IF(AV$3=$DF48+'Model Setup'!$K$7,SUMIF($AD$3:$BA$3,"="&amp;$DF48+'Model Setup'!$K$7,$B48:$Y48)+'Model Setup'!$K$8*(SUMIF($AD$3:$BA$3,"&lt;"&amp;$DF48,$B48:$Y48)+SUMIF($AD$3:$BA$3,"&gt;="&amp;$DG48,$B48:$Y48)),
IF(AV$3=$DF48+'Model Setup'!$L$7,SUMIF($AD$3:$BA$3,"="&amp;$DF48+'Model Setup'!$L$7,$B48:$Y48)+'Model Setup'!$L$8*(SUMIF($AD$3:$BA$3,"&lt;"&amp;$DF48,$B48:$Y48)+SUMIF($AD$3:$BA$3,"&gt;="&amp;$DG48,$B48:$Y48)),
IF(AV$3=$DF48+'Model Setup'!$M$7,SUMIF($AD$3:$BA$3,"="&amp;$DF48+'Model Setup'!$M$7,$B48:$Y48)+'Model Setup'!$M$8*(SUMIF($AD$3:$BA$3,"&lt;"&amp;$DF48,$B48:$Y48)+SUMIF($AD$3:$BA$3,"&gt;="&amp;$DG48,$B48:$Y48)),
IF(AV$3=$DF48+'Model Setup'!$N$7,SUMIF($AD$3:$BA$3,"="&amp;$DF48+'Model Setup'!$N$7,$B48:$Y48)+'Model Setup'!$N$8*(SUMIF($AD$3:$BA$3,"&lt;"&amp;$DF48,$B48:$Y48)+SUMIF($AD$3:$BA$3,"&gt;="&amp;$DG48,$B48:$Y48)),
IF(AV$3&lt;$DG48,T48,0))))))))))))))),0)</f>
        <v>0</v>
      </c>
      <c r="AW48" s="47">
        <f>ROUND(IF(AW$3&lt;$DF48,0,
IF(AW$3=$DF48+'Model Setup'!$B$7,SUMIF($AD$3:$BA$3,"="&amp;$DF48+'Model Setup'!$B$7,$B48:$Y48)+'Model Setup'!$B$8*(SUMIF($AD$3:$BA$3,"&lt;"&amp;$DF48,$B48:$Y48)+SUMIF($AD$3:$BA$3,"&gt;="&amp;$DG48,$B48:$Y48)),
IF(AW$3=$DF48+'Model Setup'!$C$7,SUMIF($AD$3:$BA$3,"="&amp;$DF48+'Model Setup'!$C$7,$B48:$Y48)+'Model Setup'!$C$8*(SUMIF($AD$3:$BA$3,"&lt;"&amp;$DF48,$B48:$Y48)+SUMIF($AD$3:$BA$3,"&gt;="&amp;$DG48,$B48:$Y48)),
IF(AW$3=$DF48+'Model Setup'!$D$7,SUMIF($AD$3:$BA$3,"="&amp;$DF48+'Model Setup'!$D$7,$B48:$Y48)+'Model Setup'!$D$8*(SUMIF($AD$3:$BA$3,"&lt;"&amp;$DF48,$B48:$Y48)+SUMIF($AD$3:$BA$3,"&gt;="&amp;$DG48,$B48:$Y48)),
IF(AW$3=$DF48+'Model Setup'!$E$7,SUMIF($AD$3:$BA$3,"="&amp;$DF48+'Model Setup'!$E$7,$B48:$Y48)+'Model Setup'!$E$8*(SUMIF($AD$3:$BA$3,"&lt;"&amp;$DF48,$B48:$Y48)+SUMIF($AD$3:$BA$3,"&gt;="&amp;$DG48,$B48:$Y48)),
IF(AW$3=$DF48+'Model Setup'!$F$7,SUMIF($AD$3:$BA$3,"="&amp;$DF48+'Model Setup'!$F$7,$B48:$Y48)+'Model Setup'!$F$8*(SUMIF($AD$3:$BA$3,"&lt;"&amp;$DF48,$B48:$Y48)+SUMIF($AD$3:$BA$3,"&gt;="&amp;$DG48,$B48:$Y48)),
IF(AW$3=$DF48+'Model Setup'!$G$7,SUMIF($AD$3:$BA$3,"="&amp;$DF48+'Model Setup'!$G$7,$B48:$Y48)+'Model Setup'!$G$8*(SUMIF($AD$3:$BA$3,"&lt;"&amp;$DF48,$B48:$Y48)+SUMIF($AD$3:$BA$3,"&gt;="&amp;$DG48,$B48:$Y48)),
IF(AW$3=$DF48+'Model Setup'!$H$7,SUMIF($AD$3:$BA$3,"="&amp;$DF48+'Model Setup'!$H$7,$B48:$Y48)+'Model Setup'!$H$8*(SUMIF($AD$3:$BA$3,"&lt;"&amp;$DF48,$B48:$Y48)+SUMIF($AD$3:$BA$3,"&gt;="&amp;$DG48,$B48:$Y48)),
IF(AW$3=$DF48+'Model Setup'!$I$7,SUMIF($AD$3:$BA$3,"="&amp;$DF48+'Model Setup'!$I$7,$B48:$Y48)+'Model Setup'!$I$8*(SUMIF($AD$3:$BA$3,"&lt;"&amp;$DF48,$B48:$Y48)+SUMIF($AD$3:$BA$3,"&gt;="&amp;$DG48,$B48:$Y48)),
IF(AW$3=$DF48+'Model Setup'!$J$7,SUMIF($AD$3:$BA$3,"="&amp;$DF48+'Model Setup'!$J$7,$B48:$Y48)+'Model Setup'!$J$8*(SUMIF($AD$3:$BA$3,"&lt;"&amp;$DF48,$B48:$Y48)+SUMIF($AD$3:$BA$3,"&gt;="&amp;$DG48,$B48:$Y48)),
IF(AW$3=$DF48+'Model Setup'!$K$7,SUMIF($AD$3:$BA$3,"="&amp;$DF48+'Model Setup'!$K$7,$B48:$Y48)+'Model Setup'!$K$8*(SUMIF($AD$3:$BA$3,"&lt;"&amp;$DF48,$B48:$Y48)+SUMIF($AD$3:$BA$3,"&gt;="&amp;$DG48,$B48:$Y48)),
IF(AW$3=$DF48+'Model Setup'!$L$7,SUMIF($AD$3:$BA$3,"="&amp;$DF48+'Model Setup'!$L$7,$B48:$Y48)+'Model Setup'!$L$8*(SUMIF($AD$3:$BA$3,"&lt;"&amp;$DF48,$B48:$Y48)+SUMIF($AD$3:$BA$3,"&gt;="&amp;$DG48,$B48:$Y48)),
IF(AW$3=$DF48+'Model Setup'!$M$7,SUMIF($AD$3:$BA$3,"="&amp;$DF48+'Model Setup'!$M$7,$B48:$Y48)+'Model Setup'!$M$8*(SUMIF($AD$3:$BA$3,"&lt;"&amp;$DF48,$B48:$Y48)+SUMIF($AD$3:$BA$3,"&gt;="&amp;$DG48,$B48:$Y48)),
IF(AW$3=$DF48+'Model Setup'!$N$7,SUMIF($AD$3:$BA$3,"="&amp;$DF48+'Model Setup'!$N$7,$B48:$Y48)+'Model Setup'!$N$8*(SUMIF($AD$3:$BA$3,"&lt;"&amp;$DF48,$B48:$Y48)+SUMIF($AD$3:$BA$3,"&gt;="&amp;$DG48,$B48:$Y48)),
IF(AW$3&lt;$DG48,U48,0))))))))))))))),0)</f>
        <v>0</v>
      </c>
      <c r="AX48" s="47">
        <f>ROUND(IF(AX$3&lt;$DF48,0,
IF(AX$3=$DF48+'Model Setup'!$B$7,SUMIF($AD$3:$BA$3,"="&amp;$DF48+'Model Setup'!$B$7,$B48:$Y48)+'Model Setup'!$B$8*(SUMIF($AD$3:$BA$3,"&lt;"&amp;$DF48,$B48:$Y48)+SUMIF($AD$3:$BA$3,"&gt;="&amp;$DG48,$B48:$Y48)),
IF(AX$3=$DF48+'Model Setup'!$C$7,SUMIF($AD$3:$BA$3,"="&amp;$DF48+'Model Setup'!$C$7,$B48:$Y48)+'Model Setup'!$C$8*(SUMIF($AD$3:$BA$3,"&lt;"&amp;$DF48,$B48:$Y48)+SUMIF($AD$3:$BA$3,"&gt;="&amp;$DG48,$B48:$Y48)),
IF(AX$3=$DF48+'Model Setup'!$D$7,SUMIF($AD$3:$BA$3,"="&amp;$DF48+'Model Setup'!$D$7,$B48:$Y48)+'Model Setup'!$D$8*(SUMIF($AD$3:$BA$3,"&lt;"&amp;$DF48,$B48:$Y48)+SUMIF($AD$3:$BA$3,"&gt;="&amp;$DG48,$B48:$Y48)),
IF(AX$3=$DF48+'Model Setup'!$E$7,SUMIF($AD$3:$BA$3,"="&amp;$DF48+'Model Setup'!$E$7,$B48:$Y48)+'Model Setup'!$E$8*(SUMIF($AD$3:$BA$3,"&lt;"&amp;$DF48,$B48:$Y48)+SUMIF($AD$3:$BA$3,"&gt;="&amp;$DG48,$B48:$Y48)),
IF(AX$3=$DF48+'Model Setup'!$F$7,SUMIF($AD$3:$BA$3,"="&amp;$DF48+'Model Setup'!$F$7,$B48:$Y48)+'Model Setup'!$F$8*(SUMIF($AD$3:$BA$3,"&lt;"&amp;$DF48,$B48:$Y48)+SUMIF($AD$3:$BA$3,"&gt;="&amp;$DG48,$B48:$Y48)),
IF(AX$3=$DF48+'Model Setup'!$G$7,SUMIF($AD$3:$BA$3,"="&amp;$DF48+'Model Setup'!$G$7,$B48:$Y48)+'Model Setup'!$G$8*(SUMIF($AD$3:$BA$3,"&lt;"&amp;$DF48,$B48:$Y48)+SUMIF($AD$3:$BA$3,"&gt;="&amp;$DG48,$B48:$Y48)),
IF(AX$3=$DF48+'Model Setup'!$H$7,SUMIF($AD$3:$BA$3,"="&amp;$DF48+'Model Setup'!$H$7,$B48:$Y48)+'Model Setup'!$H$8*(SUMIF($AD$3:$BA$3,"&lt;"&amp;$DF48,$B48:$Y48)+SUMIF($AD$3:$BA$3,"&gt;="&amp;$DG48,$B48:$Y48)),
IF(AX$3=$DF48+'Model Setup'!$I$7,SUMIF($AD$3:$BA$3,"="&amp;$DF48+'Model Setup'!$I$7,$B48:$Y48)+'Model Setup'!$I$8*(SUMIF($AD$3:$BA$3,"&lt;"&amp;$DF48,$B48:$Y48)+SUMIF($AD$3:$BA$3,"&gt;="&amp;$DG48,$B48:$Y48)),
IF(AX$3=$DF48+'Model Setup'!$J$7,SUMIF($AD$3:$BA$3,"="&amp;$DF48+'Model Setup'!$J$7,$B48:$Y48)+'Model Setup'!$J$8*(SUMIF($AD$3:$BA$3,"&lt;"&amp;$DF48,$B48:$Y48)+SUMIF($AD$3:$BA$3,"&gt;="&amp;$DG48,$B48:$Y48)),
IF(AX$3=$DF48+'Model Setup'!$K$7,SUMIF($AD$3:$BA$3,"="&amp;$DF48+'Model Setup'!$K$7,$B48:$Y48)+'Model Setup'!$K$8*(SUMIF($AD$3:$BA$3,"&lt;"&amp;$DF48,$B48:$Y48)+SUMIF($AD$3:$BA$3,"&gt;="&amp;$DG48,$B48:$Y48)),
IF(AX$3=$DF48+'Model Setup'!$L$7,SUMIF($AD$3:$BA$3,"="&amp;$DF48+'Model Setup'!$L$7,$B48:$Y48)+'Model Setup'!$L$8*(SUMIF($AD$3:$BA$3,"&lt;"&amp;$DF48,$B48:$Y48)+SUMIF($AD$3:$BA$3,"&gt;="&amp;$DG48,$B48:$Y48)),
IF(AX$3=$DF48+'Model Setup'!$M$7,SUMIF($AD$3:$BA$3,"="&amp;$DF48+'Model Setup'!$M$7,$B48:$Y48)+'Model Setup'!$M$8*(SUMIF($AD$3:$BA$3,"&lt;"&amp;$DF48,$B48:$Y48)+SUMIF($AD$3:$BA$3,"&gt;="&amp;$DG48,$B48:$Y48)),
IF(AX$3=$DF48+'Model Setup'!$N$7,SUMIF($AD$3:$BA$3,"="&amp;$DF48+'Model Setup'!$N$7,$B48:$Y48)+'Model Setup'!$N$8*(SUMIF($AD$3:$BA$3,"&lt;"&amp;$DF48,$B48:$Y48)+SUMIF($AD$3:$BA$3,"&gt;="&amp;$DG48,$B48:$Y48)),
IF(AX$3&lt;$DG48,V48,0))))))))))))))),0)</f>
        <v>0</v>
      </c>
      <c r="AY48" s="47">
        <f>ROUND(IF(AY$3&lt;$DF48,0,
IF(AY$3=$DF48+'Model Setup'!$B$7,SUMIF($AD$3:$BA$3,"="&amp;$DF48+'Model Setup'!$B$7,$B48:$Y48)+'Model Setup'!$B$8*(SUMIF($AD$3:$BA$3,"&lt;"&amp;$DF48,$B48:$Y48)+SUMIF($AD$3:$BA$3,"&gt;="&amp;$DG48,$B48:$Y48)),
IF(AY$3=$DF48+'Model Setup'!$C$7,SUMIF($AD$3:$BA$3,"="&amp;$DF48+'Model Setup'!$C$7,$B48:$Y48)+'Model Setup'!$C$8*(SUMIF($AD$3:$BA$3,"&lt;"&amp;$DF48,$B48:$Y48)+SUMIF($AD$3:$BA$3,"&gt;="&amp;$DG48,$B48:$Y48)),
IF(AY$3=$DF48+'Model Setup'!$D$7,SUMIF($AD$3:$BA$3,"="&amp;$DF48+'Model Setup'!$D$7,$B48:$Y48)+'Model Setup'!$D$8*(SUMIF($AD$3:$BA$3,"&lt;"&amp;$DF48,$B48:$Y48)+SUMIF($AD$3:$BA$3,"&gt;="&amp;$DG48,$B48:$Y48)),
IF(AY$3=$DF48+'Model Setup'!$E$7,SUMIF($AD$3:$BA$3,"="&amp;$DF48+'Model Setup'!$E$7,$B48:$Y48)+'Model Setup'!$E$8*(SUMIF($AD$3:$BA$3,"&lt;"&amp;$DF48,$B48:$Y48)+SUMIF($AD$3:$BA$3,"&gt;="&amp;$DG48,$B48:$Y48)),
IF(AY$3=$DF48+'Model Setup'!$F$7,SUMIF($AD$3:$BA$3,"="&amp;$DF48+'Model Setup'!$F$7,$B48:$Y48)+'Model Setup'!$F$8*(SUMIF($AD$3:$BA$3,"&lt;"&amp;$DF48,$B48:$Y48)+SUMIF($AD$3:$BA$3,"&gt;="&amp;$DG48,$B48:$Y48)),
IF(AY$3=$DF48+'Model Setup'!$G$7,SUMIF($AD$3:$BA$3,"="&amp;$DF48+'Model Setup'!$G$7,$B48:$Y48)+'Model Setup'!$G$8*(SUMIF($AD$3:$BA$3,"&lt;"&amp;$DF48,$B48:$Y48)+SUMIF($AD$3:$BA$3,"&gt;="&amp;$DG48,$B48:$Y48)),
IF(AY$3=$DF48+'Model Setup'!$H$7,SUMIF($AD$3:$BA$3,"="&amp;$DF48+'Model Setup'!$H$7,$B48:$Y48)+'Model Setup'!$H$8*(SUMIF($AD$3:$BA$3,"&lt;"&amp;$DF48,$B48:$Y48)+SUMIF($AD$3:$BA$3,"&gt;="&amp;$DG48,$B48:$Y48)),
IF(AY$3=$DF48+'Model Setup'!$I$7,SUMIF($AD$3:$BA$3,"="&amp;$DF48+'Model Setup'!$I$7,$B48:$Y48)+'Model Setup'!$I$8*(SUMIF($AD$3:$BA$3,"&lt;"&amp;$DF48,$B48:$Y48)+SUMIF($AD$3:$BA$3,"&gt;="&amp;$DG48,$B48:$Y48)),
IF(AY$3=$DF48+'Model Setup'!$J$7,SUMIF($AD$3:$BA$3,"="&amp;$DF48+'Model Setup'!$J$7,$B48:$Y48)+'Model Setup'!$J$8*(SUMIF($AD$3:$BA$3,"&lt;"&amp;$DF48,$B48:$Y48)+SUMIF($AD$3:$BA$3,"&gt;="&amp;$DG48,$B48:$Y48)),
IF(AY$3=$DF48+'Model Setup'!$K$7,SUMIF($AD$3:$BA$3,"="&amp;$DF48+'Model Setup'!$K$7,$B48:$Y48)+'Model Setup'!$K$8*(SUMIF($AD$3:$BA$3,"&lt;"&amp;$DF48,$B48:$Y48)+SUMIF($AD$3:$BA$3,"&gt;="&amp;$DG48,$B48:$Y48)),
IF(AY$3=$DF48+'Model Setup'!$L$7,SUMIF($AD$3:$BA$3,"="&amp;$DF48+'Model Setup'!$L$7,$B48:$Y48)+'Model Setup'!$L$8*(SUMIF($AD$3:$BA$3,"&lt;"&amp;$DF48,$B48:$Y48)+SUMIF($AD$3:$BA$3,"&gt;="&amp;$DG48,$B48:$Y48)),
IF(AY$3=$DF48+'Model Setup'!$M$7,SUMIF($AD$3:$BA$3,"="&amp;$DF48+'Model Setup'!$M$7,$B48:$Y48)+'Model Setup'!$M$8*(SUMIF($AD$3:$BA$3,"&lt;"&amp;$DF48,$B48:$Y48)+SUMIF($AD$3:$BA$3,"&gt;="&amp;$DG48,$B48:$Y48)),
IF(AY$3=$DF48+'Model Setup'!$N$7,SUMIF($AD$3:$BA$3,"="&amp;$DF48+'Model Setup'!$N$7,$B48:$Y48)+'Model Setup'!$N$8*(SUMIF($AD$3:$BA$3,"&lt;"&amp;$DF48,$B48:$Y48)+SUMIF($AD$3:$BA$3,"&gt;="&amp;$DG48,$B48:$Y48)),
IF(AY$3&lt;$DG48,W48,0))))))))))))))),0)</f>
        <v>0</v>
      </c>
      <c r="AZ48" s="47">
        <f>ROUND(IF(AZ$3&lt;$DF48,0,
IF(AZ$3=$DF48+'Model Setup'!$B$7,SUMIF($AD$3:$BA$3,"="&amp;$DF48+'Model Setup'!$B$7,$B48:$Y48)+'Model Setup'!$B$8*(SUMIF($AD$3:$BA$3,"&lt;"&amp;$DF48,$B48:$Y48)+SUMIF($AD$3:$BA$3,"&gt;="&amp;$DG48,$B48:$Y48)),
IF(AZ$3=$DF48+'Model Setup'!$C$7,SUMIF($AD$3:$BA$3,"="&amp;$DF48+'Model Setup'!$C$7,$B48:$Y48)+'Model Setup'!$C$8*(SUMIF($AD$3:$BA$3,"&lt;"&amp;$DF48,$B48:$Y48)+SUMIF($AD$3:$BA$3,"&gt;="&amp;$DG48,$B48:$Y48)),
IF(AZ$3=$DF48+'Model Setup'!$D$7,SUMIF($AD$3:$BA$3,"="&amp;$DF48+'Model Setup'!$D$7,$B48:$Y48)+'Model Setup'!$D$8*(SUMIF($AD$3:$BA$3,"&lt;"&amp;$DF48,$B48:$Y48)+SUMIF($AD$3:$BA$3,"&gt;="&amp;$DG48,$B48:$Y48)),
IF(AZ$3=$DF48+'Model Setup'!$E$7,SUMIF($AD$3:$BA$3,"="&amp;$DF48+'Model Setup'!$E$7,$B48:$Y48)+'Model Setup'!$E$8*(SUMIF($AD$3:$BA$3,"&lt;"&amp;$DF48,$B48:$Y48)+SUMIF($AD$3:$BA$3,"&gt;="&amp;$DG48,$B48:$Y48)),
IF(AZ$3=$DF48+'Model Setup'!$F$7,SUMIF($AD$3:$BA$3,"="&amp;$DF48+'Model Setup'!$F$7,$B48:$Y48)+'Model Setup'!$F$8*(SUMIF($AD$3:$BA$3,"&lt;"&amp;$DF48,$B48:$Y48)+SUMIF($AD$3:$BA$3,"&gt;="&amp;$DG48,$B48:$Y48)),
IF(AZ$3=$DF48+'Model Setup'!$G$7,SUMIF($AD$3:$BA$3,"="&amp;$DF48+'Model Setup'!$G$7,$B48:$Y48)+'Model Setup'!$G$8*(SUMIF($AD$3:$BA$3,"&lt;"&amp;$DF48,$B48:$Y48)+SUMIF($AD$3:$BA$3,"&gt;="&amp;$DG48,$B48:$Y48)),
IF(AZ$3=$DF48+'Model Setup'!$H$7,SUMIF($AD$3:$BA$3,"="&amp;$DF48+'Model Setup'!$H$7,$B48:$Y48)+'Model Setup'!$H$8*(SUMIF($AD$3:$BA$3,"&lt;"&amp;$DF48,$B48:$Y48)+SUMIF($AD$3:$BA$3,"&gt;="&amp;$DG48,$B48:$Y48)),
IF(AZ$3=$DF48+'Model Setup'!$I$7,SUMIF($AD$3:$BA$3,"="&amp;$DF48+'Model Setup'!$I$7,$B48:$Y48)+'Model Setup'!$I$8*(SUMIF($AD$3:$BA$3,"&lt;"&amp;$DF48,$B48:$Y48)+SUMIF($AD$3:$BA$3,"&gt;="&amp;$DG48,$B48:$Y48)),
IF(AZ$3=$DF48+'Model Setup'!$J$7,SUMIF($AD$3:$BA$3,"="&amp;$DF48+'Model Setup'!$J$7,$B48:$Y48)+'Model Setup'!$J$8*(SUMIF($AD$3:$BA$3,"&lt;"&amp;$DF48,$B48:$Y48)+SUMIF($AD$3:$BA$3,"&gt;="&amp;$DG48,$B48:$Y48)),
IF(AZ$3=$DF48+'Model Setup'!$K$7,SUMIF($AD$3:$BA$3,"="&amp;$DF48+'Model Setup'!$K$7,$B48:$Y48)+'Model Setup'!$K$8*(SUMIF($AD$3:$BA$3,"&lt;"&amp;$DF48,$B48:$Y48)+SUMIF($AD$3:$BA$3,"&gt;="&amp;$DG48,$B48:$Y48)),
IF(AZ$3=$DF48+'Model Setup'!$L$7,SUMIF($AD$3:$BA$3,"="&amp;$DF48+'Model Setup'!$L$7,$B48:$Y48)+'Model Setup'!$L$8*(SUMIF($AD$3:$BA$3,"&lt;"&amp;$DF48,$B48:$Y48)+SUMIF($AD$3:$BA$3,"&gt;="&amp;$DG48,$B48:$Y48)),
IF(AZ$3=$DF48+'Model Setup'!$M$7,SUMIF($AD$3:$BA$3,"="&amp;$DF48+'Model Setup'!$M$7,$B48:$Y48)+'Model Setup'!$M$8*(SUMIF($AD$3:$BA$3,"&lt;"&amp;$DF48,$B48:$Y48)+SUMIF($AD$3:$BA$3,"&gt;="&amp;$DG48,$B48:$Y48)),
IF(AZ$3=$DF48+'Model Setup'!$N$7,SUMIF($AD$3:$BA$3,"="&amp;$DF48+'Model Setup'!$N$7,$B48:$Y48)+'Model Setup'!$N$8*(SUMIF($AD$3:$BA$3,"&lt;"&amp;$DF48,$B48:$Y48)+SUMIF($AD$3:$BA$3,"&gt;="&amp;$DG48,$B48:$Y48)),
IF(AZ$3&lt;$DG48,X48,0))))))))))))))),0)</f>
        <v>0</v>
      </c>
      <c r="BA48" s="47">
        <f>ROUND(IF(BA$3&lt;$DF48,0,
IF(BA$3=$DF48+'Model Setup'!$B$7,SUMIF($AD$3:$BA$3,"="&amp;$DF48+'Model Setup'!$B$7,$B48:$Y48)+'Model Setup'!$B$8*(SUMIF($AD$3:$BA$3,"&lt;"&amp;$DF48,$B48:$Y48)+SUMIF($AD$3:$BA$3,"&gt;="&amp;$DG48,$B48:$Y48)),
IF(BA$3=$DF48+'Model Setup'!$C$7,SUMIF($AD$3:$BA$3,"="&amp;$DF48+'Model Setup'!$C$7,$B48:$Y48)+'Model Setup'!$C$8*(SUMIF($AD$3:$BA$3,"&lt;"&amp;$DF48,$B48:$Y48)+SUMIF($AD$3:$BA$3,"&gt;="&amp;$DG48,$B48:$Y48)),
IF(BA$3=$DF48+'Model Setup'!$D$7,SUMIF($AD$3:$BA$3,"="&amp;$DF48+'Model Setup'!$D$7,$B48:$Y48)+'Model Setup'!$D$8*(SUMIF($AD$3:$BA$3,"&lt;"&amp;$DF48,$B48:$Y48)+SUMIF($AD$3:$BA$3,"&gt;="&amp;$DG48,$B48:$Y48)),
IF(BA$3=$DF48+'Model Setup'!$E$7,SUMIF($AD$3:$BA$3,"="&amp;$DF48+'Model Setup'!$E$7,$B48:$Y48)+'Model Setup'!$E$8*(SUMIF($AD$3:$BA$3,"&lt;"&amp;$DF48,$B48:$Y48)+SUMIF($AD$3:$BA$3,"&gt;="&amp;$DG48,$B48:$Y48)),
IF(BA$3=$DF48+'Model Setup'!$F$7,SUMIF($AD$3:$BA$3,"="&amp;$DF48+'Model Setup'!$F$7,$B48:$Y48)+'Model Setup'!$F$8*(SUMIF($AD$3:$BA$3,"&lt;"&amp;$DF48,$B48:$Y48)+SUMIF($AD$3:$BA$3,"&gt;="&amp;$DG48,$B48:$Y48)),
IF(BA$3=$DF48+'Model Setup'!$G$7,SUMIF($AD$3:$BA$3,"="&amp;$DF48+'Model Setup'!$G$7,$B48:$Y48)+'Model Setup'!$G$8*(SUMIF($AD$3:$BA$3,"&lt;"&amp;$DF48,$B48:$Y48)+SUMIF($AD$3:$BA$3,"&gt;="&amp;$DG48,$B48:$Y48)),
IF(BA$3=$DF48+'Model Setup'!$H$7,SUMIF($AD$3:$BA$3,"="&amp;$DF48+'Model Setup'!$H$7,$B48:$Y48)+'Model Setup'!$H$8*(SUMIF($AD$3:$BA$3,"&lt;"&amp;$DF48,$B48:$Y48)+SUMIF($AD$3:$BA$3,"&gt;="&amp;$DG48,$B48:$Y48)),
IF(BA$3=$DF48+'Model Setup'!$I$7,SUMIF($AD$3:$BA$3,"="&amp;$DF48+'Model Setup'!$I$7,$B48:$Y48)+'Model Setup'!$I$8*(SUMIF($AD$3:$BA$3,"&lt;"&amp;$DF48,$B48:$Y48)+SUMIF($AD$3:$BA$3,"&gt;="&amp;$DG48,$B48:$Y48)),
IF(BA$3=$DF48+'Model Setup'!$J$7,SUMIF($AD$3:$BA$3,"="&amp;$DF48+'Model Setup'!$J$7,$B48:$Y48)+'Model Setup'!$J$8*(SUMIF($AD$3:$BA$3,"&lt;"&amp;$DF48,$B48:$Y48)+SUMIF($AD$3:$BA$3,"&gt;="&amp;$DG48,$B48:$Y48)),
IF(BA$3=$DF48+'Model Setup'!$K$7,SUMIF($AD$3:$BA$3,"="&amp;$DF48+'Model Setup'!$K$7,$B48:$Y48)+'Model Setup'!$K$8*(SUMIF($AD$3:$BA$3,"&lt;"&amp;$DF48,$B48:$Y48)+SUMIF($AD$3:$BA$3,"&gt;="&amp;$DG48,$B48:$Y48)),
IF(BA$3=$DF48+'Model Setup'!$L$7,SUMIF($AD$3:$BA$3,"="&amp;$DF48+'Model Setup'!$L$7,$B48:$Y48)+'Model Setup'!$L$8*(SUMIF($AD$3:$BA$3,"&lt;"&amp;$DF48,$B48:$Y48)+SUMIF($AD$3:$BA$3,"&gt;="&amp;$DG48,$B48:$Y48)),
IF(BA$3=$DF48+'Model Setup'!$M$7,SUMIF($AD$3:$BA$3,"="&amp;$DF48+'Model Setup'!$M$7,$B48:$Y48)+'Model Setup'!$M$8*(SUMIF($AD$3:$BA$3,"&lt;"&amp;$DF48,$B48:$Y48)+SUMIF($AD$3:$BA$3,"&gt;="&amp;$DG48,$B48:$Y48)),
IF(BA$3=$DF48+'Model Setup'!$N$7,SUMIF($AD$3:$BA$3,"="&amp;$DF48+'Model Setup'!$N$7,$B48:$Y48)+'Model Setup'!$N$8*(SUMIF($AD$3:$BA$3,"&lt;"&amp;$DF48,$B48:$Y48)+SUMIF($AD$3:$BA$3,"&gt;="&amp;$DG48,$B48:$Y48)),
IF(BA$3&lt;$DG48,Y48,0))))))))))))))),0)</f>
        <v>0</v>
      </c>
      <c r="BB48" s="47">
        <f t="shared" si="1"/>
        <v>732</v>
      </c>
      <c r="BD48" t="b">
        <f t="shared" si="2"/>
        <v>1</v>
      </c>
      <c r="BE48">
        <f t="shared" si="8"/>
        <v>0</v>
      </c>
      <c r="BF48">
        <f>(FTC!F46-FTC!E46)*24</f>
        <v>13</v>
      </c>
      <c r="BG48" s="43" t="s">
        <v>63</v>
      </c>
      <c r="BH48" s="47">
        <f>ROUND(IF(OR(BH$3&lt;$DF48,BH$3&gt;$CW$4),0,
IF(BH$3=$DF48+'Model Setup'!$B$7,SUMIF($BH$3:$CE$3,"="&amp;$DF48+'Model Setup'!$B$7,$AD48:$BA48)+'Model Setup'!$B$8*(SUMIF($BH$3:$CE$3,"&lt;"&amp;$DF48,$AD48:$BA48)+SUMIF($BH$3:$CE$3,"&gt;"&amp;$CW$4,$AD48:$BA48)),
IF(BH$3=$DF48+'Model Setup'!$C$7,SUMIF($BH$3:$CE$3,"="&amp;$DF48+'Model Setup'!$C$7,$AD48:$BA48)+'Model Setup'!$C$8*(SUMIF($BH$3:$CE$3,"&lt;"&amp;$DF48,$AD48:$BA48)+SUMIF($BH$3:$CE$3,"&gt;"&amp;$CW$4,$AD48:$BA48)),
IF(BH$3=$DF48+'Model Setup'!$D$7,SUMIF($BH$3:$CE$3,"="&amp;$DF48+'Model Setup'!$D$7,$AD48:$BA48)+'Model Setup'!$D$8*(SUMIF($BH$3:$CE$3,"&lt;"&amp;$DF48,$AD48:$BA48)+SUMIF($BH$3:$CE$3,"&gt;"&amp;$CW$4,$AD48:$BA48)),
IF(BH$3=$DF48+'Model Setup'!$E$7,SUMIF($BH$3:$CE$3,"="&amp;$DF48+'Model Setup'!$E$7,$AD48:$BA48)+'Model Setup'!$E$8*(SUMIF($BH$3:$CE$3,"&lt;"&amp;$DF48,$AD48:$BA48)+SUMIF($BH$3:$CE$3,"&gt;"&amp;$CW$4,$AD48:$BA48)),
IF(BH$3=$DF48+'Model Setup'!$F$7,SUMIF($BH$3:$CE$3,"="&amp;$DF48+'Model Setup'!$F$7,$AD48:$BA48)+'Model Setup'!$F$8*(SUMIF($BH$3:$CE$3,"&lt;"&amp;$DF48,$AD48:$BA48)+SUMIF($BH$3:$CE$3,"&gt;"&amp;$CW$4,$AD48:$BA48)),
IF(BH$3=$DF48+'Model Setup'!$G$7,SUMIF($BH$3:$CE$3,"="&amp;$DF48+'Model Setup'!$G$7,$AD48:$BA48)+'Model Setup'!$G$8*(SUMIF($BH$3:$CE$3,"&lt;"&amp;$DF48,$AD48:$BA48)+SUMIF($BH$3:$CE$3,"&gt;"&amp;$CW$4,$AD48:$BA48)),
IF(BH$3=$DF48+'Model Setup'!$H$7,SUMIF($BH$3:$CE$3,"="&amp;$DF48+'Model Setup'!$H$7,$AD48:$BA48)+'Model Setup'!$H$8*(SUMIF($BH$3:$CE$3,"&lt;"&amp;$DF48,$AD48:$BA48)+SUMIF($BH$3:$CE$3,"&gt;"&amp;$CW$4,$AD48:$BA48)),
IF(BH$3=$DF48+'Model Setup'!$I$7,SUMIF($BH$3:$CE$3,"="&amp;$DF48+'Model Setup'!$I$7,$AD48:$BA48)+'Model Setup'!$I$8*(SUMIF($BH$3:$CE$3,"&lt;"&amp;$DF48,$AD48:$BA48)+SUMIF($BH$3:$CE$3,"&gt;"&amp;$CW$4,$AD48:$BA48)),
IF(BH$3=$DF48+'Model Setup'!$J$7,SUMIF($BH$3:$CE$3,"="&amp;$DF48+'Model Setup'!$J$7,$AD48:$BA48)+'Model Setup'!$J$8*(SUMIF($BH$3:$CE$3,"&lt;"&amp;$DF48,$AD48:$BA48)+SUMIF($BH$3:$CE$3,"&gt;"&amp;$CW$4,$AD48:$BA48)),
IF(BH$3=$DF48+'Model Setup'!$K$7,SUMIF($BH$3:$CE$3,"="&amp;$DF48+'Model Setup'!$K$7,$AD48:$BA48)+'Model Setup'!$K$8*(SUMIF($BH$3:$CE$3,"&lt;"&amp;$DF48,$AD48:$BA48)+SUMIF($BH$3:$CE$3,"&gt;"&amp;$CW$4,$AD48:$BA48)),
IF(BH$3=$DF48+'Model Setup'!$L$7,SUMIF($BH$3:$CE$3,"="&amp;$DF48+'Model Setup'!$L$7,$AD48:$BA48)+'Model Setup'!$L$8*(SUMIF($BH$3:$CE$3,"&lt;"&amp;$DF48,$AD48:$BA48)+SUMIF($BH$3:$CE$3,"&gt;"&amp;$CW$4,$AD48:$BA48)),
IF(BH$3=$DF48+'Model Setup'!$M$7,SUMIF($BH$3:$CE$3,"="&amp;$DF48+'Model Setup'!$M$7,$AD48:$BA48)+'Model Setup'!$M$8*(SUMIF($BH$3:$CE$3,"&lt;"&amp;$DF48,$AD48:$BA48)+SUMIF($BH$3:$CE$3,"&gt;"&amp;$CW$4,$AD48:$BA48)),
IF(BH$3=$DF48+'Model Setup'!$N$7,SUMIF($BH$3:$CE$3,"="&amp;$DF48+'Model Setup'!$N$7,$AD48:$BA48)+'Model Setup'!$N$8*(SUMIF($BH$3:$CE$3,"&lt;"&amp;$DF48,$AD48:$BA48)+SUMIF($BH$3:$CE$3,"&gt;"&amp;$CW$4,$AD48:$BA48)),
IF(BH$3&lt;$CW$4,B48,0))))))))))))))),0)</f>
        <v>0</v>
      </c>
      <c r="BI48" s="47">
        <f>ROUND(IF(OR(BI$3&lt;$DF48,BI$3&gt;$CW$4),0,
IF(BI$3=$DF48+'Model Setup'!$B$7,SUMIF($BH$3:$CE$3,"="&amp;$DF48+'Model Setup'!$B$7,$AD48:$BA48)+'Model Setup'!$B$8*(SUMIF($BH$3:$CE$3,"&lt;"&amp;$DF48,$AD48:$BA48)+SUMIF($BH$3:$CE$3,"&gt;"&amp;$CW$4,$AD48:$BA48)),
IF(BI$3=$DF48+'Model Setup'!$C$7,SUMIF($BH$3:$CE$3,"="&amp;$DF48+'Model Setup'!$C$7,$AD48:$BA48)+'Model Setup'!$C$8*(SUMIF($BH$3:$CE$3,"&lt;"&amp;$DF48,$AD48:$BA48)+SUMIF($BH$3:$CE$3,"&gt;"&amp;$CW$4,$AD48:$BA48)),
IF(BI$3=$DF48+'Model Setup'!$D$7,SUMIF($BH$3:$CE$3,"="&amp;$DF48+'Model Setup'!$D$7,$AD48:$BA48)+'Model Setup'!$D$8*(SUMIF($BH$3:$CE$3,"&lt;"&amp;$DF48,$AD48:$BA48)+SUMIF($BH$3:$CE$3,"&gt;"&amp;$CW$4,$AD48:$BA48)),
IF(BI$3=$DF48+'Model Setup'!$E$7,SUMIF($BH$3:$CE$3,"="&amp;$DF48+'Model Setup'!$E$7,$AD48:$BA48)+'Model Setup'!$E$8*(SUMIF($BH$3:$CE$3,"&lt;"&amp;$DF48,$AD48:$BA48)+SUMIF($BH$3:$CE$3,"&gt;"&amp;$CW$4,$AD48:$BA48)),
IF(BI$3=$DF48+'Model Setup'!$F$7,SUMIF($BH$3:$CE$3,"="&amp;$DF48+'Model Setup'!$F$7,$AD48:$BA48)+'Model Setup'!$F$8*(SUMIF($BH$3:$CE$3,"&lt;"&amp;$DF48,$AD48:$BA48)+SUMIF($BH$3:$CE$3,"&gt;"&amp;$CW$4,$AD48:$BA48)),
IF(BI$3=$DF48+'Model Setup'!$G$7,SUMIF($BH$3:$CE$3,"="&amp;$DF48+'Model Setup'!$G$7,$AD48:$BA48)+'Model Setup'!$G$8*(SUMIF($BH$3:$CE$3,"&lt;"&amp;$DF48,$AD48:$BA48)+SUMIF($BH$3:$CE$3,"&gt;"&amp;$CW$4,$AD48:$BA48)),
IF(BI$3=$DF48+'Model Setup'!$H$7,SUMIF($BH$3:$CE$3,"="&amp;$DF48+'Model Setup'!$H$7,$AD48:$BA48)+'Model Setup'!$H$8*(SUMIF($BH$3:$CE$3,"&lt;"&amp;$DF48,$AD48:$BA48)+SUMIF($BH$3:$CE$3,"&gt;"&amp;$CW$4,$AD48:$BA48)),
IF(BI$3=$DF48+'Model Setup'!$I$7,SUMIF($BH$3:$CE$3,"="&amp;$DF48+'Model Setup'!$I$7,$AD48:$BA48)+'Model Setup'!$I$8*(SUMIF($BH$3:$CE$3,"&lt;"&amp;$DF48,$AD48:$BA48)+SUMIF($BH$3:$CE$3,"&gt;"&amp;$CW$4,$AD48:$BA48)),
IF(BI$3=$DF48+'Model Setup'!$J$7,SUMIF($BH$3:$CE$3,"="&amp;$DF48+'Model Setup'!$J$7,$AD48:$BA48)+'Model Setup'!$J$8*(SUMIF($BH$3:$CE$3,"&lt;"&amp;$DF48,$AD48:$BA48)+SUMIF($BH$3:$CE$3,"&gt;"&amp;$CW$4,$AD48:$BA48)),
IF(BI$3=$DF48+'Model Setup'!$K$7,SUMIF($BH$3:$CE$3,"="&amp;$DF48+'Model Setup'!$K$7,$AD48:$BA48)+'Model Setup'!$K$8*(SUMIF($BH$3:$CE$3,"&lt;"&amp;$DF48,$AD48:$BA48)+SUMIF($BH$3:$CE$3,"&gt;"&amp;$CW$4,$AD48:$BA48)),
IF(BI$3=$DF48+'Model Setup'!$L$7,SUMIF($BH$3:$CE$3,"="&amp;$DF48+'Model Setup'!$L$7,$AD48:$BA48)+'Model Setup'!$L$8*(SUMIF($BH$3:$CE$3,"&lt;"&amp;$DF48,$AD48:$BA48)+SUMIF($BH$3:$CE$3,"&gt;"&amp;$CW$4,$AD48:$BA48)),
IF(BI$3=$DF48+'Model Setup'!$M$7,SUMIF($BH$3:$CE$3,"="&amp;$DF48+'Model Setup'!$M$7,$AD48:$BA48)+'Model Setup'!$M$8*(SUMIF($BH$3:$CE$3,"&lt;"&amp;$DF48,$AD48:$BA48)+SUMIF($BH$3:$CE$3,"&gt;"&amp;$CW$4,$AD48:$BA48)),
IF(BI$3=$DF48+'Model Setup'!$N$7,SUMIF($BH$3:$CE$3,"="&amp;$DF48+'Model Setup'!$N$7,$AD48:$BA48)+'Model Setup'!$N$8*(SUMIF($BH$3:$CE$3,"&lt;"&amp;$DF48,$AD48:$BA48)+SUMIF($BH$3:$CE$3,"&gt;"&amp;$CW$4,$AD48:$BA48)),
IF(BI$3&lt;$CW$4,C48,0))))))))))))))),0)</f>
        <v>0</v>
      </c>
      <c r="BJ48" s="47">
        <f>ROUND(IF(OR(BJ$3&lt;$DF48,BJ$3&gt;$CW$4),0,
IF(BJ$3=$DF48+'Model Setup'!$B$7,SUMIF($BH$3:$CE$3,"="&amp;$DF48+'Model Setup'!$B$7,$AD48:$BA48)+'Model Setup'!$B$8*(SUMIF($BH$3:$CE$3,"&lt;"&amp;$DF48,$AD48:$BA48)+SUMIF($BH$3:$CE$3,"&gt;"&amp;$CW$4,$AD48:$BA48)),
IF(BJ$3=$DF48+'Model Setup'!$C$7,SUMIF($BH$3:$CE$3,"="&amp;$DF48+'Model Setup'!$C$7,$AD48:$BA48)+'Model Setup'!$C$8*(SUMIF($BH$3:$CE$3,"&lt;"&amp;$DF48,$AD48:$BA48)+SUMIF($BH$3:$CE$3,"&gt;"&amp;$CW$4,$AD48:$BA48)),
IF(BJ$3=$DF48+'Model Setup'!$D$7,SUMIF($BH$3:$CE$3,"="&amp;$DF48+'Model Setup'!$D$7,$AD48:$BA48)+'Model Setup'!$D$8*(SUMIF($BH$3:$CE$3,"&lt;"&amp;$DF48,$AD48:$BA48)+SUMIF($BH$3:$CE$3,"&gt;"&amp;$CW$4,$AD48:$BA48)),
IF(BJ$3=$DF48+'Model Setup'!$E$7,SUMIF($BH$3:$CE$3,"="&amp;$DF48+'Model Setup'!$E$7,$AD48:$BA48)+'Model Setup'!$E$8*(SUMIF($BH$3:$CE$3,"&lt;"&amp;$DF48,$AD48:$BA48)+SUMIF($BH$3:$CE$3,"&gt;"&amp;$CW$4,$AD48:$BA48)),
IF(BJ$3=$DF48+'Model Setup'!$F$7,SUMIF($BH$3:$CE$3,"="&amp;$DF48+'Model Setup'!$F$7,$AD48:$BA48)+'Model Setup'!$F$8*(SUMIF($BH$3:$CE$3,"&lt;"&amp;$DF48,$AD48:$BA48)+SUMIF($BH$3:$CE$3,"&gt;"&amp;$CW$4,$AD48:$BA48)),
IF(BJ$3=$DF48+'Model Setup'!$G$7,SUMIF($BH$3:$CE$3,"="&amp;$DF48+'Model Setup'!$G$7,$AD48:$BA48)+'Model Setup'!$G$8*(SUMIF($BH$3:$CE$3,"&lt;"&amp;$DF48,$AD48:$BA48)+SUMIF($BH$3:$CE$3,"&gt;"&amp;$CW$4,$AD48:$BA48)),
IF(BJ$3=$DF48+'Model Setup'!$H$7,SUMIF($BH$3:$CE$3,"="&amp;$DF48+'Model Setup'!$H$7,$AD48:$BA48)+'Model Setup'!$H$8*(SUMIF($BH$3:$CE$3,"&lt;"&amp;$DF48,$AD48:$BA48)+SUMIF($BH$3:$CE$3,"&gt;"&amp;$CW$4,$AD48:$BA48)),
IF(BJ$3=$DF48+'Model Setup'!$I$7,SUMIF($BH$3:$CE$3,"="&amp;$DF48+'Model Setup'!$I$7,$AD48:$BA48)+'Model Setup'!$I$8*(SUMIF($BH$3:$CE$3,"&lt;"&amp;$DF48,$AD48:$BA48)+SUMIF($BH$3:$CE$3,"&gt;"&amp;$CW$4,$AD48:$BA48)),
IF(BJ$3=$DF48+'Model Setup'!$J$7,SUMIF($BH$3:$CE$3,"="&amp;$DF48+'Model Setup'!$J$7,$AD48:$BA48)+'Model Setup'!$J$8*(SUMIF($BH$3:$CE$3,"&lt;"&amp;$DF48,$AD48:$BA48)+SUMIF($BH$3:$CE$3,"&gt;"&amp;$CW$4,$AD48:$BA48)),
IF(BJ$3=$DF48+'Model Setup'!$K$7,SUMIF($BH$3:$CE$3,"="&amp;$DF48+'Model Setup'!$K$7,$AD48:$BA48)+'Model Setup'!$K$8*(SUMIF($BH$3:$CE$3,"&lt;"&amp;$DF48,$AD48:$BA48)+SUMIF($BH$3:$CE$3,"&gt;"&amp;$CW$4,$AD48:$BA48)),
IF(BJ$3=$DF48+'Model Setup'!$L$7,SUMIF($BH$3:$CE$3,"="&amp;$DF48+'Model Setup'!$L$7,$AD48:$BA48)+'Model Setup'!$L$8*(SUMIF($BH$3:$CE$3,"&lt;"&amp;$DF48,$AD48:$BA48)+SUMIF($BH$3:$CE$3,"&gt;"&amp;$CW$4,$AD48:$BA48)),
IF(BJ$3=$DF48+'Model Setup'!$M$7,SUMIF($BH$3:$CE$3,"="&amp;$DF48+'Model Setup'!$M$7,$AD48:$BA48)+'Model Setup'!$M$8*(SUMIF($BH$3:$CE$3,"&lt;"&amp;$DF48,$AD48:$BA48)+SUMIF($BH$3:$CE$3,"&gt;"&amp;$CW$4,$AD48:$BA48)),
IF(BJ$3=$DF48+'Model Setup'!$N$7,SUMIF($BH$3:$CE$3,"="&amp;$DF48+'Model Setup'!$N$7,$AD48:$BA48)+'Model Setup'!$N$8*(SUMIF($BH$3:$CE$3,"&lt;"&amp;$DF48,$AD48:$BA48)+SUMIF($BH$3:$CE$3,"&gt;"&amp;$CW$4,$AD48:$BA48)),
IF(BJ$3&lt;$CW$4,D48,0))))))))))))))),0)</f>
        <v>0</v>
      </c>
      <c r="BK48" s="47">
        <f>ROUND(IF(OR(BK$3&lt;$DF48,BK$3&gt;$CW$4),0,
IF(BK$3=$DF48+'Model Setup'!$B$7,SUMIF($BH$3:$CE$3,"="&amp;$DF48+'Model Setup'!$B$7,$AD48:$BA48)+'Model Setup'!$B$8*(SUMIF($BH$3:$CE$3,"&lt;"&amp;$DF48,$AD48:$BA48)+SUMIF($BH$3:$CE$3,"&gt;"&amp;$CW$4,$AD48:$BA48)),
IF(BK$3=$DF48+'Model Setup'!$C$7,SUMIF($BH$3:$CE$3,"="&amp;$DF48+'Model Setup'!$C$7,$AD48:$BA48)+'Model Setup'!$C$8*(SUMIF($BH$3:$CE$3,"&lt;"&amp;$DF48,$AD48:$BA48)+SUMIF($BH$3:$CE$3,"&gt;"&amp;$CW$4,$AD48:$BA48)),
IF(BK$3=$DF48+'Model Setup'!$D$7,SUMIF($BH$3:$CE$3,"="&amp;$DF48+'Model Setup'!$D$7,$AD48:$BA48)+'Model Setup'!$D$8*(SUMIF($BH$3:$CE$3,"&lt;"&amp;$DF48,$AD48:$BA48)+SUMIF($BH$3:$CE$3,"&gt;"&amp;$CW$4,$AD48:$BA48)),
IF(BK$3=$DF48+'Model Setup'!$E$7,SUMIF($BH$3:$CE$3,"="&amp;$DF48+'Model Setup'!$E$7,$AD48:$BA48)+'Model Setup'!$E$8*(SUMIF($BH$3:$CE$3,"&lt;"&amp;$DF48,$AD48:$BA48)+SUMIF($BH$3:$CE$3,"&gt;"&amp;$CW$4,$AD48:$BA48)),
IF(BK$3=$DF48+'Model Setup'!$F$7,SUMIF($BH$3:$CE$3,"="&amp;$DF48+'Model Setup'!$F$7,$AD48:$BA48)+'Model Setup'!$F$8*(SUMIF($BH$3:$CE$3,"&lt;"&amp;$DF48,$AD48:$BA48)+SUMIF($BH$3:$CE$3,"&gt;"&amp;$CW$4,$AD48:$BA48)),
IF(BK$3=$DF48+'Model Setup'!$G$7,SUMIF($BH$3:$CE$3,"="&amp;$DF48+'Model Setup'!$G$7,$AD48:$BA48)+'Model Setup'!$G$8*(SUMIF($BH$3:$CE$3,"&lt;"&amp;$DF48,$AD48:$BA48)+SUMIF($BH$3:$CE$3,"&gt;"&amp;$CW$4,$AD48:$BA48)),
IF(BK$3=$DF48+'Model Setup'!$H$7,SUMIF($BH$3:$CE$3,"="&amp;$DF48+'Model Setup'!$H$7,$AD48:$BA48)+'Model Setup'!$H$8*(SUMIF($BH$3:$CE$3,"&lt;"&amp;$DF48,$AD48:$BA48)+SUMIF($BH$3:$CE$3,"&gt;"&amp;$CW$4,$AD48:$BA48)),
IF(BK$3=$DF48+'Model Setup'!$I$7,SUMIF($BH$3:$CE$3,"="&amp;$DF48+'Model Setup'!$I$7,$AD48:$BA48)+'Model Setup'!$I$8*(SUMIF($BH$3:$CE$3,"&lt;"&amp;$DF48,$AD48:$BA48)+SUMIF($BH$3:$CE$3,"&gt;"&amp;$CW$4,$AD48:$BA48)),
IF(BK$3=$DF48+'Model Setup'!$J$7,SUMIF($BH$3:$CE$3,"="&amp;$DF48+'Model Setup'!$J$7,$AD48:$BA48)+'Model Setup'!$J$8*(SUMIF($BH$3:$CE$3,"&lt;"&amp;$DF48,$AD48:$BA48)+SUMIF($BH$3:$CE$3,"&gt;"&amp;$CW$4,$AD48:$BA48)),
IF(BK$3=$DF48+'Model Setup'!$K$7,SUMIF($BH$3:$CE$3,"="&amp;$DF48+'Model Setup'!$K$7,$AD48:$BA48)+'Model Setup'!$K$8*(SUMIF($BH$3:$CE$3,"&lt;"&amp;$DF48,$AD48:$BA48)+SUMIF($BH$3:$CE$3,"&gt;"&amp;$CW$4,$AD48:$BA48)),
IF(BK$3=$DF48+'Model Setup'!$L$7,SUMIF($BH$3:$CE$3,"="&amp;$DF48+'Model Setup'!$L$7,$AD48:$BA48)+'Model Setup'!$L$8*(SUMIF($BH$3:$CE$3,"&lt;"&amp;$DF48,$AD48:$BA48)+SUMIF($BH$3:$CE$3,"&gt;"&amp;$CW$4,$AD48:$BA48)),
IF(BK$3=$DF48+'Model Setup'!$M$7,SUMIF($BH$3:$CE$3,"="&amp;$DF48+'Model Setup'!$M$7,$AD48:$BA48)+'Model Setup'!$M$8*(SUMIF($BH$3:$CE$3,"&lt;"&amp;$DF48,$AD48:$BA48)+SUMIF($BH$3:$CE$3,"&gt;"&amp;$CW$4,$AD48:$BA48)),
IF(BK$3=$DF48+'Model Setup'!$N$7,SUMIF($BH$3:$CE$3,"="&amp;$DF48+'Model Setup'!$N$7,$AD48:$BA48)+'Model Setup'!$N$8*(SUMIF($BH$3:$CE$3,"&lt;"&amp;$DF48,$AD48:$BA48)+SUMIF($BH$3:$CE$3,"&gt;"&amp;$CW$4,$AD48:$BA48)),
IF(BK$3&lt;$CW$4,E48,0))))))))))))))),0)</f>
        <v>0</v>
      </c>
      <c r="BL48" s="47">
        <f>ROUND(IF(OR(BL$3&lt;$DF48,BL$3&gt;$CW$4),0,
IF(BL$3=$DF48+'Model Setup'!$B$7,SUMIF($BH$3:$CE$3,"="&amp;$DF48+'Model Setup'!$B$7,$AD48:$BA48)+'Model Setup'!$B$8*(SUMIF($BH$3:$CE$3,"&lt;"&amp;$DF48,$AD48:$BA48)+SUMIF($BH$3:$CE$3,"&gt;"&amp;$CW$4,$AD48:$BA48)),
IF(BL$3=$DF48+'Model Setup'!$C$7,SUMIF($BH$3:$CE$3,"="&amp;$DF48+'Model Setup'!$C$7,$AD48:$BA48)+'Model Setup'!$C$8*(SUMIF($BH$3:$CE$3,"&lt;"&amp;$DF48,$AD48:$BA48)+SUMIF($BH$3:$CE$3,"&gt;"&amp;$CW$4,$AD48:$BA48)),
IF(BL$3=$DF48+'Model Setup'!$D$7,SUMIF($BH$3:$CE$3,"="&amp;$DF48+'Model Setup'!$D$7,$AD48:$BA48)+'Model Setup'!$D$8*(SUMIF($BH$3:$CE$3,"&lt;"&amp;$DF48,$AD48:$BA48)+SUMIF($BH$3:$CE$3,"&gt;"&amp;$CW$4,$AD48:$BA48)),
IF(BL$3=$DF48+'Model Setup'!$E$7,SUMIF($BH$3:$CE$3,"="&amp;$DF48+'Model Setup'!$E$7,$AD48:$BA48)+'Model Setup'!$E$8*(SUMIF($BH$3:$CE$3,"&lt;"&amp;$DF48,$AD48:$BA48)+SUMIF($BH$3:$CE$3,"&gt;"&amp;$CW$4,$AD48:$BA48)),
IF(BL$3=$DF48+'Model Setup'!$F$7,SUMIF($BH$3:$CE$3,"="&amp;$DF48+'Model Setup'!$F$7,$AD48:$BA48)+'Model Setup'!$F$8*(SUMIF($BH$3:$CE$3,"&lt;"&amp;$DF48,$AD48:$BA48)+SUMIF($BH$3:$CE$3,"&gt;"&amp;$CW$4,$AD48:$BA48)),
IF(BL$3=$DF48+'Model Setup'!$G$7,SUMIF($BH$3:$CE$3,"="&amp;$DF48+'Model Setup'!$G$7,$AD48:$BA48)+'Model Setup'!$G$8*(SUMIF($BH$3:$CE$3,"&lt;"&amp;$DF48,$AD48:$BA48)+SUMIF($BH$3:$CE$3,"&gt;"&amp;$CW$4,$AD48:$BA48)),
IF(BL$3=$DF48+'Model Setup'!$H$7,SUMIF($BH$3:$CE$3,"="&amp;$DF48+'Model Setup'!$H$7,$AD48:$BA48)+'Model Setup'!$H$8*(SUMIF($BH$3:$CE$3,"&lt;"&amp;$DF48,$AD48:$BA48)+SUMIF($BH$3:$CE$3,"&gt;"&amp;$CW$4,$AD48:$BA48)),
IF(BL$3=$DF48+'Model Setup'!$I$7,SUMIF($BH$3:$CE$3,"="&amp;$DF48+'Model Setup'!$I$7,$AD48:$BA48)+'Model Setup'!$I$8*(SUMIF($BH$3:$CE$3,"&lt;"&amp;$DF48,$AD48:$BA48)+SUMIF($BH$3:$CE$3,"&gt;"&amp;$CW$4,$AD48:$BA48)),
IF(BL$3=$DF48+'Model Setup'!$J$7,SUMIF($BH$3:$CE$3,"="&amp;$DF48+'Model Setup'!$J$7,$AD48:$BA48)+'Model Setup'!$J$8*(SUMIF($BH$3:$CE$3,"&lt;"&amp;$DF48,$AD48:$BA48)+SUMIF($BH$3:$CE$3,"&gt;"&amp;$CW$4,$AD48:$BA48)),
IF(BL$3=$DF48+'Model Setup'!$K$7,SUMIF($BH$3:$CE$3,"="&amp;$DF48+'Model Setup'!$K$7,$AD48:$BA48)+'Model Setup'!$K$8*(SUMIF($BH$3:$CE$3,"&lt;"&amp;$DF48,$AD48:$BA48)+SUMIF($BH$3:$CE$3,"&gt;"&amp;$CW$4,$AD48:$BA48)),
IF(BL$3=$DF48+'Model Setup'!$L$7,SUMIF($BH$3:$CE$3,"="&amp;$DF48+'Model Setup'!$L$7,$AD48:$BA48)+'Model Setup'!$L$8*(SUMIF($BH$3:$CE$3,"&lt;"&amp;$DF48,$AD48:$BA48)+SUMIF($BH$3:$CE$3,"&gt;"&amp;$CW$4,$AD48:$BA48)),
IF(BL$3=$DF48+'Model Setup'!$M$7,SUMIF($BH$3:$CE$3,"="&amp;$DF48+'Model Setup'!$M$7,$AD48:$BA48)+'Model Setup'!$M$8*(SUMIF($BH$3:$CE$3,"&lt;"&amp;$DF48,$AD48:$BA48)+SUMIF($BH$3:$CE$3,"&gt;"&amp;$CW$4,$AD48:$BA48)),
IF(BL$3=$DF48+'Model Setup'!$N$7,SUMIF($BH$3:$CE$3,"="&amp;$DF48+'Model Setup'!$N$7,$AD48:$BA48)+'Model Setup'!$N$8*(SUMIF($BH$3:$CE$3,"&lt;"&amp;$DF48,$AD48:$BA48)+SUMIF($BH$3:$CE$3,"&gt;"&amp;$CW$4,$AD48:$BA48)),
IF(BL$3&lt;$CW$4,F48,0))))))))))))))),0)</f>
        <v>0</v>
      </c>
      <c r="BM48" s="47">
        <f>ROUND(IF(OR(BM$3&lt;$DF48,BM$3&gt;$CW$4),0,
IF(BM$3=$DF48+'Model Setup'!$B$7,SUMIF($BH$3:$CE$3,"="&amp;$DF48+'Model Setup'!$B$7,$AD48:$BA48)+'Model Setup'!$B$8*(SUMIF($BH$3:$CE$3,"&lt;"&amp;$DF48,$AD48:$BA48)+SUMIF($BH$3:$CE$3,"&gt;"&amp;$CW$4,$AD48:$BA48)),
IF(BM$3=$DF48+'Model Setup'!$C$7,SUMIF($BH$3:$CE$3,"="&amp;$DF48+'Model Setup'!$C$7,$AD48:$BA48)+'Model Setup'!$C$8*(SUMIF($BH$3:$CE$3,"&lt;"&amp;$DF48,$AD48:$BA48)+SUMIF($BH$3:$CE$3,"&gt;"&amp;$CW$4,$AD48:$BA48)),
IF(BM$3=$DF48+'Model Setup'!$D$7,SUMIF($BH$3:$CE$3,"="&amp;$DF48+'Model Setup'!$D$7,$AD48:$BA48)+'Model Setup'!$D$8*(SUMIF($BH$3:$CE$3,"&lt;"&amp;$DF48,$AD48:$BA48)+SUMIF($BH$3:$CE$3,"&gt;"&amp;$CW$4,$AD48:$BA48)),
IF(BM$3=$DF48+'Model Setup'!$E$7,SUMIF($BH$3:$CE$3,"="&amp;$DF48+'Model Setup'!$E$7,$AD48:$BA48)+'Model Setup'!$E$8*(SUMIF($BH$3:$CE$3,"&lt;"&amp;$DF48,$AD48:$BA48)+SUMIF($BH$3:$CE$3,"&gt;"&amp;$CW$4,$AD48:$BA48)),
IF(BM$3=$DF48+'Model Setup'!$F$7,SUMIF($BH$3:$CE$3,"="&amp;$DF48+'Model Setup'!$F$7,$AD48:$BA48)+'Model Setup'!$F$8*(SUMIF($BH$3:$CE$3,"&lt;"&amp;$DF48,$AD48:$BA48)+SUMIF($BH$3:$CE$3,"&gt;"&amp;$CW$4,$AD48:$BA48)),
IF(BM$3=$DF48+'Model Setup'!$G$7,SUMIF($BH$3:$CE$3,"="&amp;$DF48+'Model Setup'!$G$7,$AD48:$BA48)+'Model Setup'!$G$8*(SUMIF($BH$3:$CE$3,"&lt;"&amp;$DF48,$AD48:$BA48)+SUMIF($BH$3:$CE$3,"&gt;"&amp;$CW$4,$AD48:$BA48)),
IF(BM$3=$DF48+'Model Setup'!$H$7,SUMIF($BH$3:$CE$3,"="&amp;$DF48+'Model Setup'!$H$7,$AD48:$BA48)+'Model Setup'!$H$8*(SUMIF($BH$3:$CE$3,"&lt;"&amp;$DF48,$AD48:$BA48)+SUMIF($BH$3:$CE$3,"&gt;"&amp;$CW$4,$AD48:$BA48)),
IF(BM$3=$DF48+'Model Setup'!$I$7,SUMIF($BH$3:$CE$3,"="&amp;$DF48+'Model Setup'!$I$7,$AD48:$BA48)+'Model Setup'!$I$8*(SUMIF($BH$3:$CE$3,"&lt;"&amp;$DF48,$AD48:$BA48)+SUMIF($BH$3:$CE$3,"&gt;"&amp;$CW$4,$AD48:$BA48)),
IF(BM$3=$DF48+'Model Setup'!$J$7,SUMIF($BH$3:$CE$3,"="&amp;$DF48+'Model Setup'!$J$7,$AD48:$BA48)+'Model Setup'!$J$8*(SUMIF($BH$3:$CE$3,"&lt;"&amp;$DF48,$AD48:$BA48)+SUMIF($BH$3:$CE$3,"&gt;"&amp;$CW$4,$AD48:$BA48)),
IF(BM$3=$DF48+'Model Setup'!$K$7,SUMIF($BH$3:$CE$3,"="&amp;$DF48+'Model Setup'!$K$7,$AD48:$BA48)+'Model Setup'!$K$8*(SUMIF($BH$3:$CE$3,"&lt;"&amp;$DF48,$AD48:$BA48)+SUMIF($BH$3:$CE$3,"&gt;"&amp;$CW$4,$AD48:$BA48)),
IF(BM$3=$DF48+'Model Setup'!$L$7,SUMIF($BH$3:$CE$3,"="&amp;$DF48+'Model Setup'!$L$7,$AD48:$BA48)+'Model Setup'!$L$8*(SUMIF($BH$3:$CE$3,"&lt;"&amp;$DF48,$AD48:$BA48)+SUMIF($BH$3:$CE$3,"&gt;"&amp;$CW$4,$AD48:$BA48)),
IF(BM$3=$DF48+'Model Setup'!$M$7,SUMIF($BH$3:$CE$3,"="&amp;$DF48+'Model Setup'!$M$7,$AD48:$BA48)+'Model Setup'!$M$8*(SUMIF($BH$3:$CE$3,"&lt;"&amp;$DF48,$AD48:$BA48)+SUMIF($BH$3:$CE$3,"&gt;"&amp;$CW$4,$AD48:$BA48)),
IF(BM$3=$DF48+'Model Setup'!$N$7,SUMIF($BH$3:$CE$3,"="&amp;$DF48+'Model Setup'!$N$7,$AD48:$BA48)+'Model Setup'!$N$8*(SUMIF($BH$3:$CE$3,"&lt;"&amp;$DF48,$AD48:$BA48)+SUMIF($BH$3:$CE$3,"&gt;"&amp;$CW$4,$AD48:$BA48)),
IF(BM$3&lt;$CW$4,G48,0))))))))))))))),0)</f>
        <v>21</v>
      </c>
      <c r="BN48" s="47">
        <f>ROUND(IF(OR(BN$3&lt;$DF48,BN$3&gt;$CW$4),0,
IF(BN$3=$DF48+'Model Setup'!$B$7,SUMIF($BH$3:$CE$3,"="&amp;$DF48+'Model Setup'!$B$7,$AD48:$BA48)+'Model Setup'!$B$8*(SUMIF($BH$3:$CE$3,"&lt;"&amp;$DF48,$AD48:$BA48)+SUMIF($BH$3:$CE$3,"&gt;"&amp;$CW$4,$AD48:$BA48)),
IF(BN$3=$DF48+'Model Setup'!$C$7,SUMIF($BH$3:$CE$3,"="&amp;$DF48+'Model Setup'!$C$7,$AD48:$BA48)+'Model Setup'!$C$8*(SUMIF($BH$3:$CE$3,"&lt;"&amp;$DF48,$AD48:$BA48)+SUMIF($BH$3:$CE$3,"&gt;"&amp;$CW$4,$AD48:$BA48)),
IF(BN$3=$DF48+'Model Setup'!$D$7,SUMIF($BH$3:$CE$3,"="&amp;$DF48+'Model Setup'!$D$7,$AD48:$BA48)+'Model Setup'!$D$8*(SUMIF($BH$3:$CE$3,"&lt;"&amp;$DF48,$AD48:$BA48)+SUMIF($BH$3:$CE$3,"&gt;"&amp;$CW$4,$AD48:$BA48)),
IF(BN$3=$DF48+'Model Setup'!$E$7,SUMIF($BH$3:$CE$3,"="&amp;$DF48+'Model Setup'!$E$7,$AD48:$BA48)+'Model Setup'!$E$8*(SUMIF($BH$3:$CE$3,"&lt;"&amp;$DF48,$AD48:$BA48)+SUMIF($BH$3:$CE$3,"&gt;"&amp;$CW$4,$AD48:$BA48)),
IF(BN$3=$DF48+'Model Setup'!$F$7,SUMIF($BH$3:$CE$3,"="&amp;$DF48+'Model Setup'!$F$7,$AD48:$BA48)+'Model Setup'!$F$8*(SUMIF($BH$3:$CE$3,"&lt;"&amp;$DF48,$AD48:$BA48)+SUMIF($BH$3:$CE$3,"&gt;"&amp;$CW$4,$AD48:$BA48)),
IF(BN$3=$DF48+'Model Setup'!$G$7,SUMIF($BH$3:$CE$3,"="&amp;$DF48+'Model Setup'!$G$7,$AD48:$BA48)+'Model Setup'!$G$8*(SUMIF($BH$3:$CE$3,"&lt;"&amp;$DF48,$AD48:$BA48)+SUMIF($BH$3:$CE$3,"&gt;"&amp;$CW$4,$AD48:$BA48)),
IF(BN$3=$DF48+'Model Setup'!$H$7,SUMIF($BH$3:$CE$3,"="&amp;$DF48+'Model Setup'!$H$7,$AD48:$BA48)+'Model Setup'!$H$8*(SUMIF($BH$3:$CE$3,"&lt;"&amp;$DF48,$AD48:$BA48)+SUMIF($BH$3:$CE$3,"&gt;"&amp;$CW$4,$AD48:$BA48)),
IF(BN$3=$DF48+'Model Setup'!$I$7,SUMIF($BH$3:$CE$3,"="&amp;$DF48+'Model Setup'!$I$7,$AD48:$BA48)+'Model Setup'!$I$8*(SUMIF($BH$3:$CE$3,"&lt;"&amp;$DF48,$AD48:$BA48)+SUMIF($BH$3:$CE$3,"&gt;"&amp;$CW$4,$AD48:$BA48)),
IF(BN$3=$DF48+'Model Setup'!$J$7,SUMIF($BH$3:$CE$3,"="&amp;$DF48+'Model Setup'!$J$7,$AD48:$BA48)+'Model Setup'!$J$8*(SUMIF($BH$3:$CE$3,"&lt;"&amp;$DF48,$AD48:$BA48)+SUMIF($BH$3:$CE$3,"&gt;"&amp;$CW$4,$AD48:$BA48)),
IF(BN$3=$DF48+'Model Setup'!$K$7,SUMIF($BH$3:$CE$3,"="&amp;$DF48+'Model Setup'!$K$7,$AD48:$BA48)+'Model Setup'!$K$8*(SUMIF($BH$3:$CE$3,"&lt;"&amp;$DF48,$AD48:$BA48)+SUMIF($BH$3:$CE$3,"&gt;"&amp;$CW$4,$AD48:$BA48)),
IF(BN$3=$DF48+'Model Setup'!$L$7,SUMIF($BH$3:$CE$3,"="&amp;$DF48+'Model Setup'!$L$7,$AD48:$BA48)+'Model Setup'!$L$8*(SUMIF($BH$3:$CE$3,"&lt;"&amp;$DF48,$AD48:$BA48)+SUMIF($BH$3:$CE$3,"&gt;"&amp;$CW$4,$AD48:$BA48)),
IF(BN$3=$DF48+'Model Setup'!$M$7,SUMIF($BH$3:$CE$3,"="&amp;$DF48+'Model Setup'!$M$7,$AD48:$BA48)+'Model Setup'!$M$8*(SUMIF($BH$3:$CE$3,"&lt;"&amp;$DF48,$AD48:$BA48)+SUMIF($BH$3:$CE$3,"&gt;"&amp;$CW$4,$AD48:$BA48)),
IF(BN$3=$DF48+'Model Setup'!$N$7,SUMIF($BH$3:$CE$3,"="&amp;$DF48+'Model Setup'!$N$7,$AD48:$BA48)+'Model Setup'!$N$8*(SUMIF($BH$3:$CE$3,"&lt;"&amp;$DF48,$AD48:$BA48)+SUMIF($BH$3:$CE$3,"&gt;"&amp;$CW$4,$AD48:$BA48)),
IF(BN$3&lt;$CW$4,H48,0))))))))))))))),0)</f>
        <v>74</v>
      </c>
      <c r="BO48" s="47">
        <f>ROUND(IF(OR(BO$3&lt;$DF48,BO$3&gt;$CW$4),0,
IF(BO$3=$DF48+'Model Setup'!$B$7,SUMIF($BH$3:$CE$3,"="&amp;$DF48+'Model Setup'!$B$7,$AD48:$BA48)+'Model Setup'!$B$8*(SUMIF($BH$3:$CE$3,"&lt;"&amp;$DF48,$AD48:$BA48)+SUMIF($BH$3:$CE$3,"&gt;"&amp;$CW$4,$AD48:$BA48)),
IF(BO$3=$DF48+'Model Setup'!$C$7,SUMIF($BH$3:$CE$3,"="&amp;$DF48+'Model Setup'!$C$7,$AD48:$BA48)+'Model Setup'!$C$8*(SUMIF($BH$3:$CE$3,"&lt;"&amp;$DF48,$AD48:$BA48)+SUMIF($BH$3:$CE$3,"&gt;"&amp;$CW$4,$AD48:$BA48)),
IF(BO$3=$DF48+'Model Setup'!$D$7,SUMIF($BH$3:$CE$3,"="&amp;$DF48+'Model Setup'!$D$7,$AD48:$BA48)+'Model Setup'!$D$8*(SUMIF($BH$3:$CE$3,"&lt;"&amp;$DF48,$AD48:$BA48)+SUMIF($BH$3:$CE$3,"&gt;"&amp;$CW$4,$AD48:$BA48)),
IF(BO$3=$DF48+'Model Setup'!$E$7,SUMIF($BH$3:$CE$3,"="&amp;$DF48+'Model Setup'!$E$7,$AD48:$BA48)+'Model Setup'!$E$8*(SUMIF($BH$3:$CE$3,"&lt;"&amp;$DF48,$AD48:$BA48)+SUMIF($BH$3:$CE$3,"&gt;"&amp;$CW$4,$AD48:$BA48)),
IF(BO$3=$DF48+'Model Setup'!$F$7,SUMIF($BH$3:$CE$3,"="&amp;$DF48+'Model Setup'!$F$7,$AD48:$BA48)+'Model Setup'!$F$8*(SUMIF($BH$3:$CE$3,"&lt;"&amp;$DF48,$AD48:$BA48)+SUMIF($BH$3:$CE$3,"&gt;"&amp;$CW$4,$AD48:$BA48)),
IF(BO$3=$DF48+'Model Setup'!$G$7,SUMIF($BH$3:$CE$3,"="&amp;$DF48+'Model Setup'!$G$7,$AD48:$BA48)+'Model Setup'!$G$8*(SUMIF($BH$3:$CE$3,"&lt;"&amp;$DF48,$AD48:$BA48)+SUMIF($BH$3:$CE$3,"&gt;"&amp;$CW$4,$AD48:$BA48)),
IF(BO$3=$DF48+'Model Setup'!$H$7,SUMIF($BH$3:$CE$3,"="&amp;$DF48+'Model Setup'!$H$7,$AD48:$BA48)+'Model Setup'!$H$8*(SUMIF($BH$3:$CE$3,"&lt;"&amp;$DF48,$AD48:$BA48)+SUMIF($BH$3:$CE$3,"&gt;"&amp;$CW$4,$AD48:$BA48)),
IF(BO$3=$DF48+'Model Setup'!$I$7,SUMIF($BH$3:$CE$3,"="&amp;$DF48+'Model Setup'!$I$7,$AD48:$BA48)+'Model Setup'!$I$8*(SUMIF($BH$3:$CE$3,"&lt;"&amp;$DF48,$AD48:$BA48)+SUMIF($BH$3:$CE$3,"&gt;"&amp;$CW$4,$AD48:$BA48)),
IF(BO$3=$DF48+'Model Setup'!$J$7,SUMIF($BH$3:$CE$3,"="&amp;$DF48+'Model Setup'!$J$7,$AD48:$BA48)+'Model Setup'!$J$8*(SUMIF($BH$3:$CE$3,"&lt;"&amp;$DF48,$AD48:$BA48)+SUMIF($BH$3:$CE$3,"&gt;"&amp;$CW$4,$AD48:$BA48)),
IF(BO$3=$DF48+'Model Setup'!$K$7,SUMIF($BH$3:$CE$3,"="&amp;$DF48+'Model Setup'!$K$7,$AD48:$BA48)+'Model Setup'!$K$8*(SUMIF($BH$3:$CE$3,"&lt;"&amp;$DF48,$AD48:$BA48)+SUMIF($BH$3:$CE$3,"&gt;"&amp;$CW$4,$AD48:$BA48)),
IF(BO$3=$DF48+'Model Setup'!$L$7,SUMIF($BH$3:$CE$3,"="&amp;$DF48+'Model Setup'!$L$7,$AD48:$BA48)+'Model Setup'!$L$8*(SUMIF($BH$3:$CE$3,"&lt;"&amp;$DF48,$AD48:$BA48)+SUMIF($BH$3:$CE$3,"&gt;"&amp;$CW$4,$AD48:$BA48)),
IF(BO$3=$DF48+'Model Setup'!$M$7,SUMIF($BH$3:$CE$3,"="&amp;$DF48+'Model Setup'!$M$7,$AD48:$BA48)+'Model Setup'!$M$8*(SUMIF($BH$3:$CE$3,"&lt;"&amp;$DF48,$AD48:$BA48)+SUMIF($BH$3:$CE$3,"&gt;"&amp;$CW$4,$AD48:$BA48)),
IF(BO$3=$DF48+'Model Setup'!$N$7,SUMIF($BH$3:$CE$3,"="&amp;$DF48+'Model Setup'!$N$7,$AD48:$BA48)+'Model Setup'!$N$8*(SUMIF($BH$3:$CE$3,"&lt;"&amp;$DF48,$AD48:$BA48)+SUMIF($BH$3:$CE$3,"&gt;"&amp;$CW$4,$AD48:$BA48)),
IF(BO$3&lt;$CW$4,I48,0))))))))))))))),0)</f>
        <v>87</v>
      </c>
      <c r="BP48" s="47">
        <f>ROUND(IF(OR(BP$3&lt;$DF48,BP$3&gt;$CW$4),0,
IF(BP$3=$DF48+'Model Setup'!$B$7,SUMIF($BH$3:$CE$3,"="&amp;$DF48+'Model Setup'!$B$7,$AD48:$BA48)+'Model Setup'!$B$8*(SUMIF($BH$3:$CE$3,"&lt;"&amp;$DF48,$AD48:$BA48)+SUMIF($BH$3:$CE$3,"&gt;"&amp;$CW$4,$AD48:$BA48)),
IF(BP$3=$DF48+'Model Setup'!$C$7,SUMIF($BH$3:$CE$3,"="&amp;$DF48+'Model Setup'!$C$7,$AD48:$BA48)+'Model Setup'!$C$8*(SUMIF($BH$3:$CE$3,"&lt;"&amp;$DF48,$AD48:$BA48)+SUMIF($BH$3:$CE$3,"&gt;"&amp;$CW$4,$AD48:$BA48)),
IF(BP$3=$DF48+'Model Setup'!$D$7,SUMIF($BH$3:$CE$3,"="&amp;$DF48+'Model Setup'!$D$7,$AD48:$BA48)+'Model Setup'!$D$8*(SUMIF($BH$3:$CE$3,"&lt;"&amp;$DF48,$AD48:$BA48)+SUMIF($BH$3:$CE$3,"&gt;"&amp;$CW$4,$AD48:$BA48)),
IF(BP$3=$DF48+'Model Setup'!$E$7,SUMIF($BH$3:$CE$3,"="&amp;$DF48+'Model Setup'!$E$7,$AD48:$BA48)+'Model Setup'!$E$8*(SUMIF($BH$3:$CE$3,"&lt;"&amp;$DF48,$AD48:$BA48)+SUMIF($BH$3:$CE$3,"&gt;"&amp;$CW$4,$AD48:$BA48)),
IF(BP$3=$DF48+'Model Setup'!$F$7,SUMIF($BH$3:$CE$3,"="&amp;$DF48+'Model Setup'!$F$7,$AD48:$BA48)+'Model Setup'!$F$8*(SUMIF($BH$3:$CE$3,"&lt;"&amp;$DF48,$AD48:$BA48)+SUMIF($BH$3:$CE$3,"&gt;"&amp;$CW$4,$AD48:$BA48)),
IF(BP$3=$DF48+'Model Setup'!$G$7,SUMIF($BH$3:$CE$3,"="&amp;$DF48+'Model Setup'!$G$7,$AD48:$BA48)+'Model Setup'!$G$8*(SUMIF($BH$3:$CE$3,"&lt;"&amp;$DF48,$AD48:$BA48)+SUMIF($BH$3:$CE$3,"&gt;"&amp;$CW$4,$AD48:$BA48)),
IF(BP$3=$DF48+'Model Setup'!$H$7,SUMIF($BH$3:$CE$3,"="&amp;$DF48+'Model Setup'!$H$7,$AD48:$BA48)+'Model Setup'!$H$8*(SUMIF($BH$3:$CE$3,"&lt;"&amp;$DF48,$AD48:$BA48)+SUMIF($BH$3:$CE$3,"&gt;"&amp;$CW$4,$AD48:$BA48)),
IF(BP$3=$DF48+'Model Setup'!$I$7,SUMIF($BH$3:$CE$3,"="&amp;$DF48+'Model Setup'!$I$7,$AD48:$BA48)+'Model Setup'!$I$8*(SUMIF($BH$3:$CE$3,"&lt;"&amp;$DF48,$AD48:$BA48)+SUMIF($BH$3:$CE$3,"&gt;"&amp;$CW$4,$AD48:$BA48)),
IF(BP$3=$DF48+'Model Setup'!$J$7,SUMIF($BH$3:$CE$3,"="&amp;$DF48+'Model Setup'!$J$7,$AD48:$BA48)+'Model Setup'!$J$8*(SUMIF($BH$3:$CE$3,"&lt;"&amp;$DF48,$AD48:$BA48)+SUMIF($BH$3:$CE$3,"&gt;"&amp;$CW$4,$AD48:$BA48)),
IF(BP$3=$DF48+'Model Setup'!$K$7,SUMIF($BH$3:$CE$3,"="&amp;$DF48+'Model Setup'!$K$7,$AD48:$BA48)+'Model Setup'!$K$8*(SUMIF($BH$3:$CE$3,"&lt;"&amp;$DF48,$AD48:$BA48)+SUMIF($BH$3:$CE$3,"&gt;"&amp;$CW$4,$AD48:$BA48)),
IF(BP$3=$DF48+'Model Setup'!$L$7,SUMIF($BH$3:$CE$3,"="&amp;$DF48+'Model Setup'!$L$7,$AD48:$BA48)+'Model Setup'!$L$8*(SUMIF($BH$3:$CE$3,"&lt;"&amp;$DF48,$AD48:$BA48)+SUMIF($BH$3:$CE$3,"&gt;"&amp;$CW$4,$AD48:$BA48)),
IF(BP$3=$DF48+'Model Setup'!$M$7,SUMIF($BH$3:$CE$3,"="&amp;$DF48+'Model Setup'!$M$7,$AD48:$BA48)+'Model Setup'!$M$8*(SUMIF($BH$3:$CE$3,"&lt;"&amp;$DF48,$AD48:$BA48)+SUMIF($BH$3:$CE$3,"&gt;"&amp;$CW$4,$AD48:$BA48)),
IF(BP$3=$DF48+'Model Setup'!$N$7,SUMIF($BH$3:$CE$3,"="&amp;$DF48+'Model Setup'!$N$7,$AD48:$BA48)+'Model Setup'!$N$8*(SUMIF($BH$3:$CE$3,"&lt;"&amp;$DF48,$AD48:$BA48)+SUMIF($BH$3:$CE$3,"&gt;"&amp;$CW$4,$AD48:$BA48)),
IF(BP$3&lt;$CW$4,J48,0))))))))))))))),0)</f>
        <v>79</v>
      </c>
      <c r="BQ48" s="47">
        <f>ROUND(IF(OR(BQ$3&lt;$DF48,BQ$3&gt;$CW$4),0,
IF(BQ$3=$DF48+'Model Setup'!$B$7,SUMIF($BH$3:$CE$3,"="&amp;$DF48+'Model Setup'!$B$7,$AD48:$BA48)+'Model Setup'!$B$8*(SUMIF($BH$3:$CE$3,"&lt;"&amp;$DF48,$AD48:$BA48)+SUMIF($BH$3:$CE$3,"&gt;"&amp;$CW$4,$AD48:$BA48)),
IF(BQ$3=$DF48+'Model Setup'!$C$7,SUMIF($BH$3:$CE$3,"="&amp;$DF48+'Model Setup'!$C$7,$AD48:$BA48)+'Model Setup'!$C$8*(SUMIF($BH$3:$CE$3,"&lt;"&amp;$DF48,$AD48:$BA48)+SUMIF($BH$3:$CE$3,"&gt;"&amp;$CW$4,$AD48:$BA48)),
IF(BQ$3=$DF48+'Model Setup'!$D$7,SUMIF($BH$3:$CE$3,"="&amp;$DF48+'Model Setup'!$D$7,$AD48:$BA48)+'Model Setup'!$D$8*(SUMIF($BH$3:$CE$3,"&lt;"&amp;$DF48,$AD48:$BA48)+SUMIF($BH$3:$CE$3,"&gt;"&amp;$CW$4,$AD48:$BA48)),
IF(BQ$3=$DF48+'Model Setup'!$E$7,SUMIF($BH$3:$CE$3,"="&amp;$DF48+'Model Setup'!$E$7,$AD48:$BA48)+'Model Setup'!$E$8*(SUMIF($BH$3:$CE$3,"&lt;"&amp;$DF48,$AD48:$BA48)+SUMIF($BH$3:$CE$3,"&gt;"&amp;$CW$4,$AD48:$BA48)),
IF(BQ$3=$DF48+'Model Setup'!$F$7,SUMIF($BH$3:$CE$3,"="&amp;$DF48+'Model Setup'!$F$7,$AD48:$BA48)+'Model Setup'!$F$8*(SUMIF($BH$3:$CE$3,"&lt;"&amp;$DF48,$AD48:$BA48)+SUMIF($BH$3:$CE$3,"&gt;"&amp;$CW$4,$AD48:$BA48)),
IF(BQ$3=$DF48+'Model Setup'!$G$7,SUMIF($BH$3:$CE$3,"="&amp;$DF48+'Model Setup'!$G$7,$AD48:$BA48)+'Model Setup'!$G$8*(SUMIF($BH$3:$CE$3,"&lt;"&amp;$DF48,$AD48:$BA48)+SUMIF($BH$3:$CE$3,"&gt;"&amp;$CW$4,$AD48:$BA48)),
IF(BQ$3=$DF48+'Model Setup'!$H$7,SUMIF($BH$3:$CE$3,"="&amp;$DF48+'Model Setup'!$H$7,$AD48:$BA48)+'Model Setup'!$H$8*(SUMIF($BH$3:$CE$3,"&lt;"&amp;$DF48,$AD48:$BA48)+SUMIF($BH$3:$CE$3,"&gt;"&amp;$CW$4,$AD48:$BA48)),
IF(BQ$3=$DF48+'Model Setup'!$I$7,SUMIF($BH$3:$CE$3,"="&amp;$DF48+'Model Setup'!$I$7,$AD48:$BA48)+'Model Setup'!$I$8*(SUMIF($BH$3:$CE$3,"&lt;"&amp;$DF48,$AD48:$BA48)+SUMIF($BH$3:$CE$3,"&gt;"&amp;$CW$4,$AD48:$BA48)),
IF(BQ$3=$DF48+'Model Setup'!$J$7,SUMIF($BH$3:$CE$3,"="&amp;$DF48+'Model Setup'!$J$7,$AD48:$BA48)+'Model Setup'!$J$8*(SUMIF($BH$3:$CE$3,"&lt;"&amp;$DF48,$AD48:$BA48)+SUMIF($BH$3:$CE$3,"&gt;"&amp;$CW$4,$AD48:$BA48)),
IF(BQ$3=$DF48+'Model Setup'!$K$7,SUMIF($BH$3:$CE$3,"="&amp;$DF48+'Model Setup'!$K$7,$AD48:$BA48)+'Model Setup'!$K$8*(SUMIF($BH$3:$CE$3,"&lt;"&amp;$DF48,$AD48:$BA48)+SUMIF($BH$3:$CE$3,"&gt;"&amp;$CW$4,$AD48:$BA48)),
IF(BQ$3=$DF48+'Model Setup'!$L$7,SUMIF($BH$3:$CE$3,"="&amp;$DF48+'Model Setup'!$L$7,$AD48:$BA48)+'Model Setup'!$L$8*(SUMIF($BH$3:$CE$3,"&lt;"&amp;$DF48,$AD48:$BA48)+SUMIF($BH$3:$CE$3,"&gt;"&amp;$CW$4,$AD48:$BA48)),
IF(BQ$3=$DF48+'Model Setup'!$M$7,SUMIF($BH$3:$CE$3,"="&amp;$DF48+'Model Setup'!$M$7,$AD48:$BA48)+'Model Setup'!$M$8*(SUMIF($BH$3:$CE$3,"&lt;"&amp;$DF48,$AD48:$BA48)+SUMIF($BH$3:$CE$3,"&gt;"&amp;$CW$4,$AD48:$BA48)),
IF(BQ$3=$DF48+'Model Setup'!$N$7,SUMIF($BH$3:$CE$3,"="&amp;$DF48+'Model Setup'!$N$7,$AD48:$BA48)+'Model Setup'!$N$8*(SUMIF($BH$3:$CE$3,"&lt;"&amp;$DF48,$AD48:$BA48)+SUMIF($BH$3:$CE$3,"&gt;"&amp;$CW$4,$AD48:$BA48)),
IF(BQ$3&lt;$CW$4,K48,0))))))))))))))),0)</f>
        <v>92</v>
      </c>
      <c r="BR48" s="47">
        <f>ROUND(IF(OR(BR$3&lt;$DF48,BR$3&gt;$CW$4),0,
IF(BR$3=$DF48+'Model Setup'!$B$7,SUMIF($BH$3:$CE$3,"="&amp;$DF48+'Model Setup'!$B$7,$AD48:$BA48)+'Model Setup'!$B$8*(SUMIF($BH$3:$CE$3,"&lt;"&amp;$DF48,$AD48:$BA48)+SUMIF($BH$3:$CE$3,"&gt;"&amp;$CW$4,$AD48:$BA48)),
IF(BR$3=$DF48+'Model Setup'!$C$7,SUMIF($BH$3:$CE$3,"="&amp;$DF48+'Model Setup'!$C$7,$AD48:$BA48)+'Model Setup'!$C$8*(SUMIF($BH$3:$CE$3,"&lt;"&amp;$DF48,$AD48:$BA48)+SUMIF($BH$3:$CE$3,"&gt;"&amp;$CW$4,$AD48:$BA48)),
IF(BR$3=$DF48+'Model Setup'!$D$7,SUMIF($BH$3:$CE$3,"="&amp;$DF48+'Model Setup'!$D$7,$AD48:$BA48)+'Model Setup'!$D$8*(SUMIF($BH$3:$CE$3,"&lt;"&amp;$DF48,$AD48:$BA48)+SUMIF($BH$3:$CE$3,"&gt;"&amp;$CW$4,$AD48:$BA48)),
IF(BR$3=$DF48+'Model Setup'!$E$7,SUMIF($BH$3:$CE$3,"="&amp;$DF48+'Model Setup'!$E$7,$AD48:$BA48)+'Model Setup'!$E$8*(SUMIF($BH$3:$CE$3,"&lt;"&amp;$DF48,$AD48:$BA48)+SUMIF($BH$3:$CE$3,"&gt;"&amp;$CW$4,$AD48:$BA48)),
IF(BR$3=$DF48+'Model Setup'!$F$7,SUMIF($BH$3:$CE$3,"="&amp;$DF48+'Model Setup'!$F$7,$AD48:$BA48)+'Model Setup'!$F$8*(SUMIF($BH$3:$CE$3,"&lt;"&amp;$DF48,$AD48:$BA48)+SUMIF($BH$3:$CE$3,"&gt;"&amp;$CW$4,$AD48:$BA48)),
IF(BR$3=$DF48+'Model Setup'!$G$7,SUMIF($BH$3:$CE$3,"="&amp;$DF48+'Model Setup'!$G$7,$AD48:$BA48)+'Model Setup'!$G$8*(SUMIF($BH$3:$CE$3,"&lt;"&amp;$DF48,$AD48:$BA48)+SUMIF($BH$3:$CE$3,"&gt;"&amp;$CW$4,$AD48:$BA48)),
IF(BR$3=$DF48+'Model Setup'!$H$7,SUMIF($BH$3:$CE$3,"="&amp;$DF48+'Model Setup'!$H$7,$AD48:$BA48)+'Model Setup'!$H$8*(SUMIF($BH$3:$CE$3,"&lt;"&amp;$DF48,$AD48:$BA48)+SUMIF($BH$3:$CE$3,"&gt;"&amp;$CW$4,$AD48:$BA48)),
IF(BR$3=$DF48+'Model Setup'!$I$7,SUMIF($BH$3:$CE$3,"="&amp;$DF48+'Model Setup'!$I$7,$AD48:$BA48)+'Model Setup'!$I$8*(SUMIF($BH$3:$CE$3,"&lt;"&amp;$DF48,$AD48:$BA48)+SUMIF($BH$3:$CE$3,"&gt;"&amp;$CW$4,$AD48:$BA48)),
IF(BR$3=$DF48+'Model Setup'!$J$7,SUMIF($BH$3:$CE$3,"="&amp;$DF48+'Model Setup'!$J$7,$AD48:$BA48)+'Model Setup'!$J$8*(SUMIF($BH$3:$CE$3,"&lt;"&amp;$DF48,$AD48:$BA48)+SUMIF($BH$3:$CE$3,"&gt;"&amp;$CW$4,$AD48:$BA48)),
IF(BR$3=$DF48+'Model Setup'!$K$7,SUMIF($BH$3:$CE$3,"="&amp;$DF48+'Model Setup'!$K$7,$AD48:$BA48)+'Model Setup'!$K$8*(SUMIF($BH$3:$CE$3,"&lt;"&amp;$DF48,$AD48:$BA48)+SUMIF($BH$3:$CE$3,"&gt;"&amp;$CW$4,$AD48:$BA48)),
IF(BR$3=$DF48+'Model Setup'!$L$7,SUMIF($BH$3:$CE$3,"="&amp;$DF48+'Model Setup'!$L$7,$AD48:$BA48)+'Model Setup'!$L$8*(SUMIF($BH$3:$CE$3,"&lt;"&amp;$DF48,$AD48:$BA48)+SUMIF($BH$3:$CE$3,"&gt;"&amp;$CW$4,$AD48:$BA48)),
IF(BR$3=$DF48+'Model Setup'!$M$7,SUMIF($BH$3:$CE$3,"="&amp;$DF48+'Model Setup'!$M$7,$AD48:$BA48)+'Model Setup'!$M$8*(SUMIF($BH$3:$CE$3,"&lt;"&amp;$DF48,$AD48:$BA48)+SUMIF($BH$3:$CE$3,"&gt;"&amp;$CW$4,$AD48:$BA48)),
IF(BR$3=$DF48+'Model Setup'!$N$7,SUMIF($BH$3:$CE$3,"="&amp;$DF48+'Model Setup'!$N$7,$AD48:$BA48)+'Model Setup'!$N$8*(SUMIF($BH$3:$CE$3,"&lt;"&amp;$DF48,$AD48:$BA48)+SUMIF($BH$3:$CE$3,"&gt;"&amp;$CW$4,$AD48:$BA48)),
IF(BR$3&lt;$CW$4,L48,0))))))))))))))),0)</f>
        <v>95</v>
      </c>
      <c r="BS48" s="47">
        <f>ROUND(IF(OR(BS$3&lt;$DF48,BS$3&gt;$CW$4),0,
IF(BS$3=$DF48+'Model Setup'!$B$7,SUMIF($BH$3:$CE$3,"="&amp;$DF48+'Model Setup'!$B$7,$AD48:$BA48)+'Model Setup'!$B$8*(SUMIF($BH$3:$CE$3,"&lt;"&amp;$DF48,$AD48:$BA48)+SUMIF($BH$3:$CE$3,"&gt;"&amp;$CW$4,$AD48:$BA48)),
IF(BS$3=$DF48+'Model Setup'!$C$7,SUMIF($BH$3:$CE$3,"="&amp;$DF48+'Model Setup'!$C$7,$AD48:$BA48)+'Model Setup'!$C$8*(SUMIF($BH$3:$CE$3,"&lt;"&amp;$DF48,$AD48:$BA48)+SUMIF($BH$3:$CE$3,"&gt;"&amp;$CW$4,$AD48:$BA48)),
IF(BS$3=$DF48+'Model Setup'!$D$7,SUMIF($BH$3:$CE$3,"="&amp;$DF48+'Model Setup'!$D$7,$AD48:$BA48)+'Model Setup'!$D$8*(SUMIF($BH$3:$CE$3,"&lt;"&amp;$DF48,$AD48:$BA48)+SUMIF($BH$3:$CE$3,"&gt;"&amp;$CW$4,$AD48:$BA48)),
IF(BS$3=$DF48+'Model Setup'!$E$7,SUMIF($BH$3:$CE$3,"="&amp;$DF48+'Model Setup'!$E$7,$AD48:$BA48)+'Model Setup'!$E$8*(SUMIF($BH$3:$CE$3,"&lt;"&amp;$DF48,$AD48:$BA48)+SUMIF($BH$3:$CE$3,"&gt;"&amp;$CW$4,$AD48:$BA48)),
IF(BS$3=$DF48+'Model Setup'!$F$7,SUMIF($BH$3:$CE$3,"="&amp;$DF48+'Model Setup'!$F$7,$AD48:$BA48)+'Model Setup'!$F$8*(SUMIF($BH$3:$CE$3,"&lt;"&amp;$DF48,$AD48:$BA48)+SUMIF($BH$3:$CE$3,"&gt;"&amp;$CW$4,$AD48:$BA48)),
IF(BS$3=$DF48+'Model Setup'!$G$7,SUMIF($BH$3:$CE$3,"="&amp;$DF48+'Model Setup'!$G$7,$AD48:$BA48)+'Model Setup'!$G$8*(SUMIF($BH$3:$CE$3,"&lt;"&amp;$DF48,$AD48:$BA48)+SUMIF($BH$3:$CE$3,"&gt;"&amp;$CW$4,$AD48:$BA48)),
IF(BS$3=$DF48+'Model Setup'!$H$7,SUMIF($BH$3:$CE$3,"="&amp;$DF48+'Model Setup'!$H$7,$AD48:$BA48)+'Model Setup'!$H$8*(SUMIF($BH$3:$CE$3,"&lt;"&amp;$DF48,$AD48:$BA48)+SUMIF($BH$3:$CE$3,"&gt;"&amp;$CW$4,$AD48:$BA48)),
IF(BS$3=$DF48+'Model Setup'!$I$7,SUMIF($BH$3:$CE$3,"="&amp;$DF48+'Model Setup'!$I$7,$AD48:$BA48)+'Model Setup'!$I$8*(SUMIF($BH$3:$CE$3,"&lt;"&amp;$DF48,$AD48:$BA48)+SUMIF($BH$3:$CE$3,"&gt;"&amp;$CW$4,$AD48:$BA48)),
IF(BS$3=$DF48+'Model Setup'!$J$7,SUMIF($BH$3:$CE$3,"="&amp;$DF48+'Model Setup'!$J$7,$AD48:$BA48)+'Model Setup'!$J$8*(SUMIF($BH$3:$CE$3,"&lt;"&amp;$DF48,$AD48:$BA48)+SUMIF($BH$3:$CE$3,"&gt;"&amp;$CW$4,$AD48:$BA48)),
IF(BS$3=$DF48+'Model Setup'!$K$7,SUMIF($BH$3:$CE$3,"="&amp;$DF48+'Model Setup'!$K$7,$AD48:$BA48)+'Model Setup'!$K$8*(SUMIF($BH$3:$CE$3,"&lt;"&amp;$DF48,$AD48:$BA48)+SUMIF($BH$3:$CE$3,"&gt;"&amp;$CW$4,$AD48:$BA48)),
IF(BS$3=$DF48+'Model Setup'!$L$7,SUMIF($BH$3:$CE$3,"="&amp;$DF48+'Model Setup'!$L$7,$AD48:$BA48)+'Model Setup'!$L$8*(SUMIF($BH$3:$CE$3,"&lt;"&amp;$DF48,$AD48:$BA48)+SUMIF($BH$3:$CE$3,"&gt;"&amp;$CW$4,$AD48:$BA48)),
IF(BS$3=$DF48+'Model Setup'!$M$7,SUMIF($BH$3:$CE$3,"="&amp;$DF48+'Model Setup'!$M$7,$AD48:$BA48)+'Model Setup'!$M$8*(SUMIF($BH$3:$CE$3,"&lt;"&amp;$DF48,$AD48:$BA48)+SUMIF($BH$3:$CE$3,"&gt;"&amp;$CW$4,$AD48:$BA48)),
IF(BS$3=$DF48+'Model Setup'!$N$7,SUMIF($BH$3:$CE$3,"="&amp;$DF48+'Model Setup'!$N$7,$AD48:$BA48)+'Model Setup'!$N$8*(SUMIF($BH$3:$CE$3,"&lt;"&amp;$DF48,$AD48:$BA48)+SUMIF($BH$3:$CE$3,"&gt;"&amp;$CW$4,$AD48:$BA48)),
IF(BS$3&lt;$CW$4,M48,0))))))))))))))),0)</f>
        <v>56</v>
      </c>
      <c r="BT48" s="47">
        <f>ROUND(IF(OR(BT$3&lt;$DF48,BT$3&gt;$CW$4),0,
IF(BT$3=$DF48+'Model Setup'!$B$7,SUMIF($BH$3:$CE$3,"="&amp;$DF48+'Model Setup'!$B$7,$AD48:$BA48)+'Model Setup'!$B$8*(SUMIF($BH$3:$CE$3,"&lt;"&amp;$DF48,$AD48:$BA48)+SUMIF($BH$3:$CE$3,"&gt;"&amp;$CW$4,$AD48:$BA48)),
IF(BT$3=$DF48+'Model Setup'!$C$7,SUMIF($BH$3:$CE$3,"="&amp;$DF48+'Model Setup'!$C$7,$AD48:$BA48)+'Model Setup'!$C$8*(SUMIF($BH$3:$CE$3,"&lt;"&amp;$DF48,$AD48:$BA48)+SUMIF($BH$3:$CE$3,"&gt;"&amp;$CW$4,$AD48:$BA48)),
IF(BT$3=$DF48+'Model Setup'!$D$7,SUMIF($BH$3:$CE$3,"="&amp;$DF48+'Model Setup'!$D$7,$AD48:$BA48)+'Model Setup'!$D$8*(SUMIF($BH$3:$CE$3,"&lt;"&amp;$DF48,$AD48:$BA48)+SUMIF($BH$3:$CE$3,"&gt;"&amp;$CW$4,$AD48:$BA48)),
IF(BT$3=$DF48+'Model Setup'!$E$7,SUMIF($BH$3:$CE$3,"="&amp;$DF48+'Model Setup'!$E$7,$AD48:$BA48)+'Model Setup'!$E$8*(SUMIF($BH$3:$CE$3,"&lt;"&amp;$DF48,$AD48:$BA48)+SUMIF($BH$3:$CE$3,"&gt;"&amp;$CW$4,$AD48:$BA48)),
IF(BT$3=$DF48+'Model Setup'!$F$7,SUMIF($BH$3:$CE$3,"="&amp;$DF48+'Model Setup'!$F$7,$AD48:$BA48)+'Model Setup'!$F$8*(SUMIF($BH$3:$CE$3,"&lt;"&amp;$DF48,$AD48:$BA48)+SUMIF($BH$3:$CE$3,"&gt;"&amp;$CW$4,$AD48:$BA48)),
IF(BT$3=$DF48+'Model Setup'!$G$7,SUMIF($BH$3:$CE$3,"="&amp;$DF48+'Model Setup'!$G$7,$AD48:$BA48)+'Model Setup'!$G$8*(SUMIF($BH$3:$CE$3,"&lt;"&amp;$DF48,$AD48:$BA48)+SUMIF($BH$3:$CE$3,"&gt;"&amp;$CW$4,$AD48:$BA48)),
IF(BT$3=$DF48+'Model Setup'!$H$7,SUMIF($BH$3:$CE$3,"="&amp;$DF48+'Model Setup'!$H$7,$AD48:$BA48)+'Model Setup'!$H$8*(SUMIF($BH$3:$CE$3,"&lt;"&amp;$DF48,$AD48:$BA48)+SUMIF($BH$3:$CE$3,"&gt;"&amp;$CW$4,$AD48:$BA48)),
IF(BT$3=$DF48+'Model Setup'!$I$7,SUMIF($BH$3:$CE$3,"="&amp;$DF48+'Model Setup'!$I$7,$AD48:$BA48)+'Model Setup'!$I$8*(SUMIF($BH$3:$CE$3,"&lt;"&amp;$DF48,$AD48:$BA48)+SUMIF($BH$3:$CE$3,"&gt;"&amp;$CW$4,$AD48:$BA48)),
IF(BT$3=$DF48+'Model Setup'!$J$7,SUMIF($BH$3:$CE$3,"="&amp;$DF48+'Model Setup'!$J$7,$AD48:$BA48)+'Model Setup'!$J$8*(SUMIF($BH$3:$CE$3,"&lt;"&amp;$DF48,$AD48:$BA48)+SUMIF($BH$3:$CE$3,"&gt;"&amp;$CW$4,$AD48:$BA48)),
IF(BT$3=$DF48+'Model Setup'!$K$7,SUMIF($BH$3:$CE$3,"="&amp;$DF48+'Model Setup'!$K$7,$AD48:$BA48)+'Model Setup'!$K$8*(SUMIF($BH$3:$CE$3,"&lt;"&amp;$DF48,$AD48:$BA48)+SUMIF($BH$3:$CE$3,"&gt;"&amp;$CW$4,$AD48:$BA48)),
IF(BT$3=$DF48+'Model Setup'!$L$7,SUMIF($BH$3:$CE$3,"="&amp;$DF48+'Model Setup'!$L$7,$AD48:$BA48)+'Model Setup'!$L$8*(SUMIF($BH$3:$CE$3,"&lt;"&amp;$DF48,$AD48:$BA48)+SUMIF($BH$3:$CE$3,"&gt;"&amp;$CW$4,$AD48:$BA48)),
IF(BT$3=$DF48+'Model Setup'!$M$7,SUMIF($BH$3:$CE$3,"="&amp;$DF48+'Model Setup'!$M$7,$AD48:$BA48)+'Model Setup'!$M$8*(SUMIF($BH$3:$CE$3,"&lt;"&amp;$DF48,$AD48:$BA48)+SUMIF($BH$3:$CE$3,"&gt;"&amp;$CW$4,$AD48:$BA48)),
IF(BT$3=$DF48+'Model Setup'!$N$7,SUMIF($BH$3:$CE$3,"="&amp;$DF48+'Model Setup'!$N$7,$AD48:$BA48)+'Model Setup'!$N$8*(SUMIF($BH$3:$CE$3,"&lt;"&amp;$DF48,$AD48:$BA48)+SUMIF($BH$3:$CE$3,"&gt;"&amp;$CW$4,$AD48:$BA48)),
IF(BT$3&lt;$CW$4,N48,0))))))))))))))),0)</f>
        <v>53</v>
      </c>
      <c r="BU48" s="47">
        <f>ROUND(IF(OR(BU$3&lt;$DF48,BU$3&gt;$CW$4),0,
IF(BU$3=$DF48+'Model Setup'!$B$7,SUMIF($BH$3:$CE$3,"="&amp;$DF48+'Model Setup'!$B$7,$AD48:$BA48)+'Model Setup'!$B$8*(SUMIF($BH$3:$CE$3,"&lt;"&amp;$DF48,$AD48:$BA48)+SUMIF($BH$3:$CE$3,"&gt;"&amp;$CW$4,$AD48:$BA48)),
IF(BU$3=$DF48+'Model Setup'!$C$7,SUMIF($BH$3:$CE$3,"="&amp;$DF48+'Model Setup'!$C$7,$AD48:$BA48)+'Model Setup'!$C$8*(SUMIF($BH$3:$CE$3,"&lt;"&amp;$DF48,$AD48:$BA48)+SUMIF($BH$3:$CE$3,"&gt;"&amp;$CW$4,$AD48:$BA48)),
IF(BU$3=$DF48+'Model Setup'!$D$7,SUMIF($BH$3:$CE$3,"="&amp;$DF48+'Model Setup'!$D$7,$AD48:$BA48)+'Model Setup'!$D$8*(SUMIF($BH$3:$CE$3,"&lt;"&amp;$DF48,$AD48:$BA48)+SUMIF($BH$3:$CE$3,"&gt;"&amp;$CW$4,$AD48:$BA48)),
IF(BU$3=$DF48+'Model Setup'!$E$7,SUMIF($BH$3:$CE$3,"="&amp;$DF48+'Model Setup'!$E$7,$AD48:$BA48)+'Model Setup'!$E$8*(SUMIF($BH$3:$CE$3,"&lt;"&amp;$DF48,$AD48:$BA48)+SUMIF($BH$3:$CE$3,"&gt;"&amp;$CW$4,$AD48:$BA48)),
IF(BU$3=$DF48+'Model Setup'!$F$7,SUMIF($BH$3:$CE$3,"="&amp;$DF48+'Model Setup'!$F$7,$AD48:$BA48)+'Model Setup'!$F$8*(SUMIF($BH$3:$CE$3,"&lt;"&amp;$DF48,$AD48:$BA48)+SUMIF($BH$3:$CE$3,"&gt;"&amp;$CW$4,$AD48:$BA48)),
IF(BU$3=$DF48+'Model Setup'!$G$7,SUMIF($BH$3:$CE$3,"="&amp;$DF48+'Model Setup'!$G$7,$AD48:$BA48)+'Model Setup'!$G$8*(SUMIF($BH$3:$CE$3,"&lt;"&amp;$DF48,$AD48:$BA48)+SUMIF($BH$3:$CE$3,"&gt;"&amp;$CW$4,$AD48:$BA48)),
IF(BU$3=$DF48+'Model Setup'!$H$7,SUMIF($BH$3:$CE$3,"="&amp;$DF48+'Model Setup'!$H$7,$AD48:$BA48)+'Model Setup'!$H$8*(SUMIF($BH$3:$CE$3,"&lt;"&amp;$DF48,$AD48:$BA48)+SUMIF($BH$3:$CE$3,"&gt;"&amp;$CW$4,$AD48:$BA48)),
IF(BU$3=$DF48+'Model Setup'!$I$7,SUMIF($BH$3:$CE$3,"="&amp;$DF48+'Model Setup'!$I$7,$AD48:$BA48)+'Model Setup'!$I$8*(SUMIF($BH$3:$CE$3,"&lt;"&amp;$DF48,$AD48:$BA48)+SUMIF($BH$3:$CE$3,"&gt;"&amp;$CW$4,$AD48:$BA48)),
IF(BU$3=$DF48+'Model Setup'!$J$7,SUMIF($BH$3:$CE$3,"="&amp;$DF48+'Model Setup'!$J$7,$AD48:$BA48)+'Model Setup'!$J$8*(SUMIF($BH$3:$CE$3,"&lt;"&amp;$DF48,$AD48:$BA48)+SUMIF($BH$3:$CE$3,"&gt;"&amp;$CW$4,$AD48:$BA48)),
IF(BU$3=$DF48+'Model Setup'!$K$7,SUMIF($BH$3:$CE$3,"="&amp;$DF48+'Model Setup'!$K$7,$AD48:$BA48)+'Model Setup'!$K$8*(SUMIF($BH$3:$CE$3,"&lt;"&amp;$DF48,$AD48:$BA48)+SUMIF($BH$3:$CE$3,"&gt;"&amp;$CW$4,$AD48:$BA48)),
IF(BU$3=$DF48+'Model Setup'!$L$7,SUMIF($BH$3:$CE$3,"="&amp;$DF48+'Model Setup'!$L$7,$AD48:$BA48)+'Model Setup'!$L$8*(SUMIF($BH$3:$CE$3,"&lt;"&amp;$DF48,$AD48:$BA48)+SUMIF($BH$3:$CE$3,"&gt;"&amp;$CW$4,$AD48:$BA48)),
IF(BU$3=$DF48+'Model Setup'!$M$7,SUMIF($BH$3:$CE$3,"="&amp;$DF48+'Model Setup'!$M$7,$AD48:$BA48)+'Model Setup'!$M$8*(SUMIF($BH$3:$CE$3,"&lt;"&amp;$DF48,$AD48:$BA48)+SUMIF($BH$3:$CE$3,"&gt;"&amp;$CW$4,$AD48:$BA48)),
IF(BU$3=$DF48+'Model Setup'!$N$7,SUMIF($BH$3:$CE$3,"="&amp;$DF48+'Model Setup'!$N$7,$AD48:$BA48)+'Model Setup'!$N$8*(SUMIF($BH$3:$CE$3,"&lt;"&amp;$DF48,$AD48:$BA48)+SUMIF($BH$3:$CE$3,"&gt;"&amp;$CW$4,$AD48:$BA48)),
IF(BU$3&lt;$CW$4,O48,0))))))))))))))),0)</f>
        <v>45</v>
      </c>
      <c r="BV48" s="47">
        <f>ROUND(IF(OR(BV$3&lt;$DF48,BV$3&gt;$CW$4),0,
IF(BV$3=$DF48+'Model Setup'!$B$7,SUMIF($BH$3:$CE$3,"="&amp;$DF48+'Model Setup'!$B$7,$AD48:$BA48)+'Model Setup'!$B$8*(SUMIF($BH$3:$CE$3,"&lt;"&amp;$DF48,$AD48:$BA48)+SUMIF($BH$3:$CE$3,"&gt;"&amp;$CW$4,$AD48:$BA48)),
IF(BV$3=$DF48+'Model Setup'!$C$7,SUMIF($BH$3:$CE$3,"="&amp;$DF48+'Model Setup'!$C$7,$AD48:$BA48)+'Model Setup'!$C$8*(SUMIF($BH$3:$CE$3,"&lt;"&amp;$DF48,$AD48:$BA48)+SUMIF($BH$3:$CE$3,"&gt;"&amp;$CW$4,$AD48:$BA48)),
IF(BV$3=$DF48+'Model Setup'!$D$7,SUMIF($BH$3:$CE$3,"="&amp;$DF48+'Model Setup'!$D$7,$AD48:$BA48)+'Model Setup'!$D$8*(SUMIF($BH$3:$CE$3,"&lt;"&amp;$DF48,$AD48:$BA48)+SUMIF($BH$3:$CE$3,"&gt;"&amp;$CW$4,$AD48:$BA48)),
IF(BV$3=$DF48+'Model Setup'!$E$7,SUMIF($BH$3:$CE$3,"="&amp;$DF48+'Model Setup'!$E$7,$AD48:$BA48)+'Model Setup'!$E$8*(SUMIF($BH$3:$CE$3,"&lt;"&amp;$DF48,$AD48:$BA48)+SUMIF($BH$3:$CE$3,"&gt;"&amp;$CW$4,$AD48:$BA48)),
IF(BV$3=$DF48+'Model Setup'!$F$7,SUMIF($BH$3:$CE$3,"="&amp;$DF48+'Model Setup'!$F$7,$AD48:$BA48)+'Model Setup'!$F$8*(SUMIF($BH$3:$CE$3,"&lt;"&amp;$DF48,$AD48:$BA48)+SUMIF($BH$3:$CE$3,"&gt;"&amp;$CW$4,$AD48:$BA48)),
IF(BV$3=$DF48+'Model Setup'!$G$7,SUMIF($BH$3:$CE$3,"="&amp;$DF48+'Model Setup'!$G$7,$AD48:$BA48)+'Model Setup'!$G$8*(SUMIF($BH$3:$CE$3,"&lt;"&amp;$DF48,$AD48:$BA48)+SUMIF($BH$3:$CE$3,"&gt;"&amp;$CW$4,$AD48:$BA48)),
IF(BV$3=$DF48+'Model Setup'!$H$7,SUMIF($BH$3:$CE$3,"="&amp;$DF48+'Model Setup'!$H$7,$AD48:$BA48)+'Model Setup'!$H$8*(SUMIF($BH$3:$CE$3,"&lt;"&amp;$DF48,$AD48:$BA48)+SUMIF($BH$3:$CE$3,"&gt;"&amp;$CW$4,$AD48:$BA48)),
IF(BV$3=$DF48+'Model Setup'!$I$7,SUMIF($BH$3:$CE$3,"="&amp;$DF48+'Model Setup'!$I$7,$AD48:$BA48)+'Model Setup'!$I$8*(SUMIF($BH$3:$CE$3,"&lt;"&amp;$DF48,$AD48:$BA48)+SUMIF($BH$3:$CE$3,"&gt;"&amp;$CW$4,$AD48:$BA48)),
IF(BV$3=$DF48+'Model Setup'!$J$7,SUMIF($BH$3:$CE$3,"="&amp;$DF48+'Model Setup'!$J$7,$AD48:$BA48)+'Model Setup'!$J$8*(SUMIF($BH$3:$CE$3,"&lt;"&amp;$DF48,$AD48:$BA48)+SUMIF($BH$3:$CE$3,"&gt;"&amp;$CW$4,$AD48:$BA48)),
IF(BV$3=$DF48+'Model Setup'!$K$7,SUMIF($BH$3:$CE$3,"="&amp;$DF48+'Model Setup'!$K$7,$AD48:$BA48)+'Model Setup'!$K$8*(SUMIF($BH$3:$CE$3,"&lt;"&amp;$DF48,$AD48:$BA48)+SUMIF($BH$3:$CE$3,"&gt;"&amp;$CW$4,$AD48:$BA48)),
IF(BV$3=$DF48+'Model Setup'!$L$7,SUMIF($BH$3:$CE$3,"="&amp;$DF48+'Model Setup'!$L$7,$AD48:$BA48)+'Model Setup'!$L$8*(SUMIF($BH$3:$CE$3,"&lt;"&amp;$DF48,$AD48:$BA48)+SUMIF($BH$3:$CE$3,"&gt;"&amp;$CW$4,$AD48:$BA48)),
IF(BV$3=$DF48+'Model Setup'!$M$7,SUMIF($BH$3:$CE$3,"="&amp;$DF48+'Model Setup'!$M$7,$AD48:$BA48)+'Model Setup'!$M$8*(SUMIF($BH$3:$CE$3,"&lt;"&amp;$DF48,$AD48:$BA48)+SUMIF($BH$3:$CE$3,"&gt;"&amp;$CW$4,$AD48:$BA48)),
IF(BV$3=$DF48+'Model Setup'!$N$7,SUMIF($BH$3:$CE$3,"="&amp;$DF48+'Model Setup'!$N$7,$AD48:$BA48)+'Model Setup'!$N$8*(SUMIF($BH$3:$CE$3,"&lt;"&amp;$DF48,$AD48:$BA48)+SUMIF($BH$3:$CE$3,"&gt;"&amp;$CW$4,$AD48:$BA48)),
IF(BV$3&lt;$CW$4,P48,0))))))))))))))),0)</f>
        <v>20</v>
      </c>
      <c r="BW48" s="47">
        <f>ROUND(IF(OR(BW$3&lt;$DF48,BW$3&gt;$CW$4),0,
IF(BW$3=$DF48+'Model Setup'!$B$7,SUMIF($BH$3:$CE$3,"="&amp;$DF48+'Model Setup'!$B$7,$AD48:$BA48)+'Model Setup'!$B$8*(SUMIF($BH$3:$CE$3,"&lt;"&amp;$DF48,$AD48:$BA48)+SUMIF($BH$3:$CE$3,"&gt;"&amp;$CW$4,$AD48:$BA48)),
IF(BW$3=$DF48+'Model Setup'!$C$7,SUMIF($BH$3:$CE$3,"="&amp;$DF48+'Model Setup'!$C$7,$AD48:$BA48)+'Model Setup'!$C$8*(SUMIF($BH$3:$CE$3,"&lt;"&amp;$DF48,$AD48:$BA48)+SUMIF($BH$3:$CE$3,"&gt;"&amp;$CW$4,$AD48:$BA48)),
IF(BW$3=$DF48+'Model Setup'!$D$7,SUMIF($BH$3:$CE$3,"="&amp;$DF48+'Model Setup'!$D$7,$AD48:$BA48)+'Model Setup'!$D$8*(SUMIF($BH$3:$CE$3,"&lt;"&amp;$DF48,$AD48:$BA48)+SUMIF($BH$3:$CE$3,"&gt;"&amp;$CW$4,$AD48:$BA48)),
IF(BW$3=$DF48+'Model Setup'!$E$7,SUMIF($BH$3:$CE$3,"="&amp;$DF48+'Model Setup'!$E$7,$AD48:$BA48)+'Model Setup'!$E$8*(SUMIF($BH$3:$CE$3,"&lt;"&amp;$DF48,$AD48:$BA48)+SUMIF($BH$3:$CE$3,"&gt;"&amp;$CW$4,$AD48:$BA48)),
IF(BW$3=$DF48+'Model Setup'!$F$7,SUMIF($BH$3:$CE$3,"="&amp;$DF48+'Model Setup'!$F$7,$AD48:$BA48)+'Model Setup'!$F$8*(SUMIF($BH$3:$CE$3,"&lt;"&amp;$DF48,$AD48:$BA48)+SUMIF($BH$3:$CE$3,"&gt;"&amp;$CW$4,$AD48:$BA48)),
IF(BW$3=$DF48+'Model Setup'!$G$7,SUMIF($BH$3:$CE$3,"="&amp;$DF48+'Model Setup'!$G$7,$AD48:$BA48)+'Model Setup'!$G$8*(SUMIF($BH$3:$CE$3,"&lt;"&amp;$DF48,$AD48:$BA48)+SUMIF($BH$3:$CE$3,"&gt;"&amp;$CW$4,$AD48:$BA48)),
IF(BW$3=$DF48+'Model Setup'!$H$7,SUMIF($BH$3:$CE$3,"="&amp;$DF48+'Model Setup'!$H$7,$AD48:$BA48)+'Model Setup'!$H$8*(SUMIF($BH$3:$CE$3,"&lt;"&amp;$DF48,$AD48:$BA48)+SUMIF($BH$3:$CE$3,"&gt;"&amp;$CW$4,$AD48:$BA48)),
IF(BW$3=$DF48+'Model Setup'!$I$7,SUMIF($BH$3:$CE$3,"="&amp;$DF48+'Model Setup'!$I$7,$AD48:$BA48)+'Model Setup'!$I$8*(SUMIF($BH$3:$CE$3,"&lt;"&amp;$DF48,$AD48:$BA48)+SUMIF($BH$3:$CE$3,"&gt;"&amp;$CW$4,$AD48:$BA48)),
IF(BW$3=$DF48+'Model Setup'!$J$7,SUMIF($BH$3:$CE$3,"="&amp;$DF48+'Model Setup'!$J$7,$AD48:$BA48)+'Model Setup'!$J$8*(SUMIF($BH$3:$CE$3,"&lt;"&amp;$DF48,$AD48:$BA48)+SUMIF($BH$3:$CE$3,"&gt;"&amp;$CW$4,$AD48:$BA48)),
IF(BW$3=$DF48+'Model Setup'!$K$7,SUMIF($BH$3:$CE$3,"="&amp;$DF48+'Model Setup'!$K$7,$AD48:$BA48)+'Model Setup'!$K$8*(SUMIF($BH$3:$CE$3,"&lt;"&amp;$DF48,$AD48:$BA48)+SUMIF($BH$3:$CE$3,"&gt;"&amp;$CW$4,$AD48:$BA48)),
IF(BW$3=$DF48+'Model Setup'!$L$7,SUMIF($BH$3:$CE$3,"="&amp;$DF48+'Model Setup'!$L$7,$AD48:$BA48)+'Model Setup'!$L$8*(SUMIF($BH$3:$CE$3,"&lt;"&amp;$DF48,$AD48:$BA48)+SUMIF($BH$3:$CE$3,"&gt;"&amp;$CW$4,$AD48:$BA48)),
IF(BW$3=$DF48+'Model Setup'!$M$7,SUMIF($BH$3:$CE$3,"="&amp;$DF48+'Model Setup'!$M$7,$AD48:$BA48)+'Model Setup'!$M$8*(SUMIF($BH$3:$CE$3,"&lt;"&amp;$DF48,$AD48:$BA48)+SUMIF($BH$3:$CE$3,"&gt;"&amp;$CW$4,$AD48:$BA48)),
IF(BW$3=$DF48+'Model Setup'!$N$7,SUMIF($BH$3:$CE$3,"="&amp;$DF48+'Model Setup'!$N$7,$AD48:$BA48)+'Model Setup'!$N$8*(SUMIF($BH$3:$CE$3,"&lt;"&amp;$DF48,$AD48:$BA48)+SUMIF($BH$3:$CE$3,"&gt;"&amp;$CW$4,$AD48:$BA48)),
IF(BW$3&lt;$CW$4,Q48,0))))))))))))))),0)</f>
        <v>37</v>
      </c>
      <c r="BX48" s="47">
        <f>ROUND(IF(OR(BX$3&lt;$DF48,BX$3&gt;$CW$4),0,
IF(BX$3=$DF48+'Model Setup'!$B$7,SUMIF($BH$3:$CE$3,"="&amp;$DF48+'Model Setup'!$B$7,$AD48:$BA48)+'Model Setup'!$B$8*(SUMIF($BH$3:$CE$3,"&lt;"&amp;$DF48,$AD48:$BA48)+SUMIF($BH$3:$CE$3,"&gt;"&amp;$CW$4,$AD48:$BA48)),
IF(BX$3=$DF48+'Model Setup'!$C$7,SUMIF($BH$3:$CE$3,"="&amp;$DF48+'Model Setup'!$C$7,$AD48:$BA48)+'Model Setup'!$C$8*(SUMIF($BH$3:$CE$3,"&lt;"&amp;$DF48,$AD48:$BA48)+SUMIF($BH$3:$CE$3,"&gt;"&amp;$CW$4,$AD48:$BA48)),
IF(BX$3=$DF48+'Model Setup'!$D$7,SUMIF($BH$3:$CE$3,"="&amp;$DF48+'Model Setup'!$D$7,$AD48:$BA48)+'Model Setup'!$D$8*(SUMIF($BH$3:$CE$3,"&lt;"&amp;$DF48,$AD48:$BA48)+SUMIF($BH$3:$CE$3,"&gt;"&amp;$CW$4,$AD48:$BA48)),
IF(BX$3=$DF48+'Model Setup'!$E$7,SUMIF($BH$3:$CE$3,"="&amp;$DF48+'Model Setup'!$E$7,$AD48:$BA48)+'Model Setup'!$E$8*(SUMIF($BH$3:$CE$3,"&lt;"&amp;$DF48,$AD48:$BA48)+SUMIF($BH$3:$CE$3,"&gt;"&amp;$CW$4,$AD48:$BA48)),
IF(BX$3=$DF48+'Model Setup'!$F$7,SUMIF($BH$3:$CE$3,"="&amp;$DF48+'Model Setup'!$F$7,$AD48:$BA48)+'Model Setup'!$F$8*(SUMIF($BH$3:$CE$3,"&lt;"&amp;$DF48,$AD48:$BA48)+SUMIF($BH$3:$CE$3,"&gt;"&amp;$CW$4,$AD48:$BA48)),
IF(BX$3=$DF48+'Model Setup'!$G$7,SUMIF($BH$3:$CE$3,"="&amp;$DF48+'Model Setup'!$G$7,$AD48:$BA48)+'Model Setup'!$G$8*(SUMIF($BH$3:$CE$3,"&lt;"&amp;$DF48,$AD48:$BA48)+SUMIF($BH$3:$CE$3,"&gt;"&amp;$CW$4,$AD48:$BA48)),
IF(BX$3=$DF48+'Model Setup'!$H$7,SUMIF($BH$3:$CE$3,"="&amp;$DF48+'Model Setup'!$H$7,$AD48:$BA48)+'Model Setup'!$H$8*(SUMIF($BH$3:$CE$3,"&lt;"&amp;$DF48,$AD48:$BA48)+SUMIF($BH$3:$CE$3,"&gt;"&amp;$CW$4,$AD48:$BA48)),
IF(BX$3=$DF48+'Model Setup'!$I$7,SUMIF($BH$3:$CE$3,"="&amp;$DF48+'Model Setup'!$I$7,$AD48:$BA48)+'Model Setup'!$I$8*(SUMIF($BH$3:$CE$3,"&lt;"&amp;$DF48,$AD48:$BA48)+SUMIF($BH$3:$CE$3,"&gt;"&amp;$CW$4,$AD48:$BA48)),
IF(BX$3=$DF48+'Model Setup'!$J$7,SUMIF($BH$3:$CE$3,"="&amp;$DF48+'Model Setup'!$J$7,$AD48:$BA48)+'Model Setup'!$J$8*(SUMIF($BH$3:$CE$3,"&lt;"&amp;$DF48,$AD48:$BA48)+SUMIF($BH$3:$CE$3,"&gt;"&amp;$CW$4,$AD48:$BA48)),
IF(BX$3=$DF48+'Model Setup'!$K$7,SUMIF($BH$3:$CE$3,"="&amp;$DF48+'Model Setup'!$K$7,$AD48:$BA48)+'Model Setup'!$K$8*(SUMIF($BH$3:$CE$3,"&lt;"&amp;$DF48,$AD48:$BA48)+SUMIF($BH$3:$CE$3,"&gt;"&amp;$CW$4,$AD48:$BA48)),
IF(BX$3=$DF48+'Model Setup'!$L$7,SUMIF($BH$3:$CE$3,"="&amp;$DF48+'Model Setup'!$L$7,$AD48:$BA48)+'Model Setup'!$L$8*(SUMIF($BH$3:$CE$3,"&lt;"&amp;$DF48,$AD48:$BA48)+SUMIF($BH$3:$CE$3,"&gt;"&amp;$CW$4,$AD48:$BA48)),
IF(BX$3=$DF48+'Model Setup'!$M$7,SUMIF($BH$3:$CE$3,"="&amp;$DF48+'Model Setup'!$M$7,$AD48:$BA48)+'Model Setup'!$M$8*(SUMIF($BH$3:$CE$3,"&lt;"&amp;$DF48,$AD48:$BA48)+SUMIF($BH$3:$CE$3,"&gt;"&amp;$CW$4,$AD48:$BA48)),
IF(BX$3=$DF48+'Model Setup'!$N$7,SUMIF($BH$3:$CE$3,"="&amp;$DF48+'Model Setup'!$N$7,$AD48:$BA48)+'Model Setup'!$N$8*(SUMIF($BH$3:$CE$3,"&lt;"&amp;$DF48,$AD48:$BA48)+SUMIF($BH$3:$CE$3,"&gt;"&amp;$CW$4,$AD48:$BA48)),
IF(BX$3&lt;$CW$4,R48,0))))))))))))))),0)</f>
        <v>45</v>
      </c>
      <c r="BY48" s="47">
        <f>ROUND(IF(OR(BY$3&lt;$DF48,BY$3&gt;$CW$4),0,
IF(BY$3=$DF48+'Model Setup'!$B$7,SUMIF($BH$3:$CE$3,"="&amp;$DF48+'Model Setup'!$B$7,$AD48:$BA48)+'Model Setup'!$B$8*(SUMIF($BH$3:$CE$3,"&lt;"&amp;$DF48,$AD48:$BA48)+SUMIF($BH$3:$CE$3,"&gt;"&amp;$CW$4,$AD48:$BA48)),
IF(BY$3=$DF48+'Model Setup'!$C$7,SUMIF($BH$3:$CE$3,"="&amp;$DF48+'Model Setup'!$C$7,$AD48:$BA48)+'Model Setup'!$C$8*(SUMIF($BH$3:$CE$3,"&lt;"&amp;$DF48,$AD48:$BA48)+SUMIF($BH$3:$CE$3,"&gt;"&amp;$CW$4,$AD48:$BA48)),
IF(BY$3=$DF48+'Model Setup'!$D$7,SUMIF($BH$3:$CE$3,"="&amp;$DF48+'Model Setup'!$D$7,$AD48:$BA48)+'Model Setup'!$D$8*(SUMIF($BH$3:$CE$3,"&lt;"&amp;$DF48,$AD48:$BA48)+SUMIF($BH$3:$CE$3,"&gt;"&amp;$CW$4,$AD48:$BA48)),
IF(BY$3=$DF48+'Model Setup'!$E$7,SUMIF($BH$3:$CE$3,"="&amp;$DF48+'Model Setup'!$E$7,$AD48:$BA48)+'Model Setup'!$E$8*(SUMIF($BH$3:$CE$3,"&lt;"&amp;$DF48,$AD48:$BA48)+SUMIF($BH$3:$CE$3,"&gt;"&amp;$CW$4,$AD48:$BA48)),
IF(BY$3=$DF48+'Model Setup'!$F$7,SUMIF($BH$3:$CE$3,"="&amp;$DF48+'Model Setup'!$F$7,$AD48:$BA48)+'Model Setup'!$F$8*(SUMIF($BH$3:$CE$3,"&lt;"&amp;$DF48,$AD48:$BA48)+SUMIF($BH$3:$CE$3,"&gt;"&amp;$CW$4,$AD48:$BA48)),
IF(BY$3=$DF48+'Model Setup'!$G$7,SUMIF($BH$3:$CE$3,"="&amp;$DF48+'Model Setup'!$G$7,$AD48:$BA48)+'Model Setup'!$G$8*(SUMIF($BH$3:$CE$3,"&lt;"&amp;$DF48,$AD48:$BA48)+SUMIF($BH$3:$CE$3,"&gt;"&amp;$CW$4,$AD48:$BA48)),
IF(BY$3=$DF48+'Model Setup'!$H$7,SUMIF($BH$3:$CE$3,"="&amp;$DF48+'Model Setup'!$H$7,$AD48:$BA48)+'Model Setup'!$H$8*(SUMIF($BH$3:$CE$3,"&lt;"&amp;$DF48,$AD48:$BA48)+SUMIF($BH$3:$CE$3,"&gt;"&amp;$CW$4,$AD48:$BA48)),
IF(BY$3=$DF48+'Model Setup'!$I$7,SUMIF($BH$3:$CE$3,"="&amp;$DF48+'Model Setup'!$I$7,$AD48:$BA48)+'Model Setup'!$I$8*(SUMIF($BH$3:$CE$3,"&lt;"&amp;$DF48,$AD48:$BA48)+SUMIF($BH$3:$CE$3,"&gt;"&amp;$CW$4,$AD48:$BA48)),
IF(BY$3=$DF48+'Model Setup'!$J$7,SUMIF($BH$3:$CE$3,"="&amp;$DF48+'Model Setup'!$J$7,$AD48:$BA48)+'Model Setup'!$J$8*(SUMIF($BH$3:$CE$3,"&lt;"&amp;$DF48,$AD48:$BA48)+SUMIF($BH$3:$CE$3,"&gt;"&amp;$CW$4,$AD48:$BA48)),
IF(BY$3=$DF48+'Model Setup'!$K$7,SUMIF($BH$3:$CE$3,"="&amp;$DF48+'Model Setup'!$K$7,$AD48:$BA48)+'Model Setup'!$K$8*(SUMIF($BH$3:$CE$3,"&lt;"&amp;$DF48,$AD48:$BA48)+SUMIF($BH$3:$CE$3,"&gt;"&amp;$CW$4,$AD48:$BA48)),
IF(BY$3=$DF48+'Model Setup'!$L$7,SUMIF($BH$3:$CE$3,"="&amp;$DF48+'Model Setup'!$L$7,$AD48:$BA48)+'Model Setup'!$L$8*(SUMIF($BH$3:$CE$3,"&lt;"&amp;$DF48,$AD48:$BA48)+SUMIF($BH$3:$CE$3,"&gt;"&amp;$CW$4,$AD48:$BA48)),
IF(BY$3=$DF48+'Model Setup'!$M$7,SUMIF($BH$3:$CE$3,"="&amp;$DF48+'Model Setup'!$M$7,$AD48:$BA48)+'Model Setup'!$M$8*(SUMIF($BH$3:$CE$3,"&lt;"&amp;$DF48,$AD48:$BA48)+SUMIF($BH$3:$CE$3,"&gt;"&amp;$CW$4,$AD48:$BA48)),
IF(BY$3=$DF48+'Model Setup'!$N$7,SUMIF($BH$3:$CE$3,"="&amp;$DF48+'Model Setup'!$N$7,$AD48:$BA48)+'Model Setup'!$N$8*(SUMIF($BH$3:$CE$3,"&lt;"&amp;$DF48,$AD48:$BA48)+SUMIF($BH$3:$CE$3,"&gt;"&amp;$CW$4,$AD48:$BA48)),
IF(BY$3&lt;$CW$4,S48,0))))))))))))))),0)</f>
        <v>28</v>
      </c>
      <c r="BZ48" s="47">
        <f>ROUND(IF(OR(BZ$3&lt;$DF48,BZ$3&gt;$CW$4),0,
IF(BZ$3=$DF48+'Model Setup'!$B$7,SUMIF($BH$3:$CE$3,"="&amp;$DF48+'Model Setup'!$B$7,$AD48:$BA48)+'Model Setup'!$B$8*(SUMIF($BH$3:$CE$3,"&lt;"&amp;$DF48,$AD48:$BA48)+SUMIF($BH$3:$CE$3,"&gt;"&amp;$CW$4,$AD48:$BA48)),
IF(BZ$3=$DF48+'Model Setup'!$C$7,SUMIF($BH$3:$CE$3,"="&amp;$DF48+'Model Setup'!$C$7,$AD48:$BA48)+'Model Setup'!$C$8*(SUMIF($BH$3:$CE$3,"&lt;"&amp;$DF48,$AD48:$BA48)+SUMIF($BH$3:$CE$3,"&gt;"&amp;$CW$4,$AD48:$BA48)),
IF(BZ$3=$DF48+'Model Setup'!$D$7,SUMIF($BH$3:$CE$3,"="&amp;$DF48+'Model Setup'!$D$7,$AD48:$BA48)+'Model Setup'!$D$8*(SUMIF($BH$3:$CE$3,"&lt;"&amp;$DF48,$AD48:$BA48)+SUMIF($BH$3:$CE$3,"&gt;"&amp;$CW$4,$AD48:$BA48)),
IF(BZ$3=$DF48+'Model Setup'!$E$7,SUMIF($BH$3:$CE$3,"="&amp;$DF48+'Model Setup'!$E$7,$AD48:$BA48)+'Model Setup'!$E$8*(SUMIF($BH$3:$CE$3,"&lt;"&amp;$DF48,$AD48:$BA48)+SUMIF($BH$3:$CE$3,"&gt;"&amp;$CW$4,$AD48:$BA48)),
IF(BZ$3=$DF48+'Model Setup'!$F$7,SUMIF($BH$3:$CE$3,"="&amp;$DF48+'Model Setup'!$F$7,$AD48:$BA48)+'Model Setup'!$F$8*(SUMIF($BH$3:$CE$3,"&lt;"&amp;$DF48,$AD48:$BA48)+SUMIF($BH$3:$CE$3,"&gt;"&amp;$CW$4,$AD48:$BA48)),
IF(BZ$3=$DF48+'Model Setup'!$G$7,SUMIF($BH$3:$CE$3,"="&amp;$DF48+'Model Setup'!$G$7,$AD48:$BA48)+'Model Setup'!$G$8*(SUMIF($BH$3:$CE$3,"&lt;"&amp;$DF48,$AD48:$BA48)+SUMIF($BH$3:$CE$3,"&gt;"&amp;$CW$4,$AD48:$BA48)),
IF(BZ$3=$DF48+'Model Setup'!$H$7,SUMIF($BH$3:$CE$3,"="&amp;$DF48+'Model Setup'!$H$7,$AD48:$BA48)+'Model Setup'!$H$8*(SUMIF($BH$3:$CE$3,"&lt;"&amp;$DF48,$AD48:$BA48)+SUMIF($BH$3:$CE$3,"&gt;"&amp;$CW$4,$AD48:$BA48)),
IF(BZ$3=$DF48+'Model Setup'!$I$7,SUMIF($BH$3:$CE$3,"="&amp;$DF48+'Model Setup'!$I$7,$AD48:$BA48)+'Model Setup'!$I$8*(SUMIF($BH$3:$CE$3,"&lt;"&amp;$DF48,$AD48:$BA48)+SUMIF($BH$3:$CE$3,"&gt;"&amp;$CW$4,$AD48:$BA48)),
IF(BZ$3=$DF48+'Model Setup'!$J$7,SUMIF($BH$3:$CE$3,"="&amp;$DF48+'Model Setup'!$J$7,$AD48:$BA48)+'Model Setup'!$J$8*(SUMIF($BH$3:$CE$3,"&lt;"&amp;$DF48,$AD48:$BA48)+SUMIF($BH$3:$CE$3,"&gt;"&amp;$CW$4,$AD48:$BA48)),
IF(BZ$3=$DF48+'Model Setup'!$K$7,SUMIF($BH$3:$CE$3,"="&amp;$DF48+'Model Setup'!$K$7,$AD48:$BA48)+'Model Setup'!$K$8*(SUMIF($BH$3:$CE$3,"&lt;"&amp;$DF48,$AD48:$BA48)+SUMIF($BH$3:$CE$3,"&gt;"&amp;$CW$4,$AD48:$BA48)),
IF(BZ$3=$DF48+'Model Setup'!$L$7,SUMIF($BH$3:$CE$3,"="&amp;$DF48+'Model Setup'!$L$7,$AD48:$BA48)+'Model Setup'!$L$8*(SUMIF($BH$3:$CE$3,"&lt;"&amp;$DF48,$AD48:$BA48)+SUMIF($BH$3:$CE$3,"&gt;"&amp;$CW$4,$AD48:$BA48)),
IF(BZ$3=$DF48+'Model Setup'!$M$7,SUMIF($BH$3:$CE$3,"="&amp;$DF48+'Model Setup'!$M$7,$AD48:$BA48)+'Model Setup'!$M$8*(SUMIF($BH$3:$CE$3,"&lt;"&amp;$DF48,$AD48:$BA48)+SUMIF($BH$3:$CE$3,"&gt;"&amp;$CW$4,$AD48:$BA48)),
IF(BZ$3=$DF48+'Model Setup'!$N$7,SUMIF($BH$3:$CE$3,"="&amp;$DF48+'Model Setup'!$N$7,$AD48:$BA48)+'Model Setup'!$N$8*(SUMIF($BH$3:$CE$3,"&lt;"&amp;$DF48,$AD48:$BA48)+SUMIF($BH$3:$CE$3,"&gt;"&amp;$CW$4,$AD48:$BA48)),
IF(BZ$3&lt;$CW$4,T48,0))))))))))))))),0)</f>
        <v>0</v>
      </c>
      <c r="CA48" s="47">
        <f>ROUND(IF(OR(CA$3&lt;$DF48,CA$3&gt;$CW$4),0,
IF(CA$3=$DF48+'Model Setup'!$B$7,SUMIF($BH$3:$CE$3,"="&amp;$DF48+'Model Setup'!$B$7,$AD48:$BA48)+'Model Setup'!$B$8*(SUMIF($BH$3:$CE$3,"&lt;"&amp;$DF48,$AD48:$BA48)+SUMIF($BH$3:$CE$3,"&gt;"&amp;$CW$4,$AD48:$BA48)),
IF(CA$3=$DF48+'Model Setup'!$C$7,SUMIF($BH$3:$CE$3,"="&amp;$DF48+'Model Setup'!$C$7,$AD48:$BA48)+'Model Setup'!$C$8*(SUMIF($BH$3:$CE$3,"&lt;"&amp;$DF48,$AD48:$BA48)+SUMIF($BH$3:$CE$3,"&gt;"&amp;$CW$4,$AD48:$BA48)),
IF(CA$3=$DF48+'Model Setup'!$D$7,SUMIF($BH$3:$CE$3,"="&amp;$DF48+'Model Setup'!$D$7,$AD48:$BA48)+'Model Setup'!$D$8*(SUMIF($BH$3:$CE$3,"&lt;"&amp;$DF48,$AD48:$BA48)+SUMIF($BH$3:$CE$3,"&gt;"&amp;$CW$4,$AD48:$BA48)),
IF(CA$3=$DF48+'Model Setup'!$E$7,SUMIF($BH$3:$CE$3,"="&amp;$DF48+'Model Setup'!$E$7,$AD48:$BA48)+'Model Setup'!$E$8*(SUMIF($BH$3:$CE$3,"&lt;"&amp;$DF48,$AD48:$BA48)+SUMIF($BH$3:$CE$3,"&gt;"&amp;$CW$4,$AD48:$BA48)),
IF(CA$3=$DF48+'Model Setup'!$F$7,SUMIF($BH$3:$CE$3,"="&amp;$DF48+'Model Setup'!$F$7,$AD48:$BA48)+'Model Setup'!$F$8*(SUMIF($BH$3:$CE$3,"&lt;"&amp;$DF48,$AD48:$BA48)+SUMIF($BH$3:$CE$3,"&gt;"&amp;$CW$4,$AD48:$BA48)),
IF(CA$3=$DF48+'Model Setup'!$G$7,SUMIF($BH$3:$CE$3,"="&amp;$DF48+'Model Setup'!$G$7,$AD48:$BA48)+'Model Setup'!$G$8*(SUMIF($BH$3:$CE$3,"&lt;"&amp;$DF48,$AD48:$BA48)+SUMIF($BH$3:$CE$3,"&gt;"&amp;$CW$4,$AD48:$BA48)),
IF(CA$3=$DF48+'Model Setup'!$H$7,SUMIF($BH$3:$CE$3,"="&amp;$DF48+'Model Setup'!$H$7,$AD48:$BA48)+'Model Setup'!$H$8*(SUMIF($BH$3:$CE$3,"&lt;"&amp;$DF48,$AD48:$BA48)+SUMIF($BH$3:$CE$3,"&gt;"&amp;$CW$4,$AD48:$BA48)),
IF(CA$3=$DF48+'Model Setup'!$I$7,SUMIF($BH$3:$CE$3,"="&amp;$DF48+'Model Setup'!$I$7,$AD48:$BA48)+'Model Setup'!$I$8*(SUMIF($BH$3:$CE$3,"&lt;"&amp;$DF48,$AD48:$BA48)+SUMIF($BH$3:$CE$3,"&gt;"&amp;$CW$4,$AD48:$BA48)),
IF(CA$3=$DF48+'Model Setup'!$J$7,SUMIF($BH$3:$CE$3,"="&amp;$DF48+'Model Setup'!$J$7,$AD48:$BA48)+'Model Setup'!$J$8*(SUMIF($BH$3:$CE$3,"&lt;"&amp;$DF48,$AD48:$BA48)+SUMIF($BH$3:$CE$3,"&gt;"&amp;$CW$4,$AD48:$BA48)),
IF(CA$3=$DF48+'Model Setup'!$K$7,SUMIF($BH$3:$CE$3,"="&amp;$DF48+'Model Setup'!$K$7,$AD48:$BA48)+'Model Setup'!$K$8*(SUMIF($BH$3:$CE$3,"&lt;"&amp;$DF48,$AD48:$BA48)+SUMIF($BH$3:$CE$3,"&gt;"&amp;$CW$4,$AD48:$BA48)),
IF(CA$3=$DF48+'Model Setup'!$L$7,SUMIF($BH$3:$CE$3,"="&amp;$DF48+'Model Setup'!$L$7,$AD48:$BA48)+'Model Setup'!$L$8*(SUMIF($BH$3:$CE$3,"&lt;"&amp;$DF48,$AD48:$BA48)+SUMIF($BH$3:$CE$3,"&gt;"&amp;$CW$4,$AD48:$BA48)),
IF(CA$3=$DF48+'Model Setup'!$M$7,SUMIF($BH$3:$CE$3,"="&amp;$DF48+'Model Setup'!$M$7,$AD48:$BA48)+'Model Setup'!$M$8*(SUMIF($BH$3:$CE$3,"&lt;"&amp;$DF48,$AD48:$BA48)+SUMIF($BH$3:$CE$3,"&gt;"&amp;$CW$4,$AD48:$BA48)),
IF(CA$3=$DF48+'Model Setup'!$N$7,SUMIF($BH$3:$CE$3,"="&amp;$DF48+'Model Setup'!$N$7,$AD48:$BA48)+'Model Setup'!$N$8*(SUMIF($BH$3:$CE$3,"&lt;"&amp;$DF48,$AD48:$BA48)+SUMIF($BH$3:$CE$3,"&gt;"&amp;$CW$4,$AD48:$BA48)),
IF(CA$3&lt;$CW$4,U48,0))))))))))))))),0)</f>
        <v>0</v>
      </c>
      <c r="CB48" s="47">
        <f>ROUND(IF(OR(CB$3&lt;$DF48,CB$3&gt;$CW$4),0,
IF(CB$3=$DF48+'Model Setup'!$B$7,SUMIF($BH$3:$CE$3,"="&amp;$DF48+'Model Setup'!$B$7,$AD48:$BA48)+'Model Setup'!$B$8*(SUMIF($BH$3:$CE$3,"&lt;"&amp;$DF48,$AD48:$BA48)+SUMIF($BH$3:$CE$3,"&gt;"&amp;$CW$4,$AD48:$BA48)),
IF(CB$3=$DF48+'Model Setup'!$C$7,SUMIF($BH$3:$CE$3,"="&amp;$DF48+'Model Setup'!$C$7,$AD48:$BA48)+'Model Setup'!$C$8*(SUMIF($BH$3:$CE$3,"&lt;"&amp;$DF48,$AD48:$BA48)+SUMIF($BH$3:$CE$3,"&gt;"&amp;$CW$4,$AD48:$BA48)),
IF(CB$3=$DF48+'Model Setup'!$D$7,SUMIF($BH$3:$CE$3,"="&amp;$DF48+'Model Setup'!$D$7,$AD48:$BA48)+'Model Setup'!$D$8*(SUMIF($BH$3:$CE$3,"&lt;"&amp;$DF48,$AD48:$BA48)+SUMIF($BH$3:$CE$3,"&gt;"&amp;$CW$4,$AD48:$BA48)),
IF(CB$3=$DF48+'Model Setup'!$E$7,SUMIF($BH$3:$CE$3,"="&amp;$DF48+'Model Setup'!$E$7,$AD48:$BA48)+'Model Setup'!$E$8*(SUMIF($BH$3:$CE$3,"&lt;"&amp;$DF48,$AD48:$BA48)+SUMIF($BH$3:$CE$3,"&gt;"&amp;$CW$4,$AD48:$BA48)),
IF(CB$3=$DF48+'Model Setup'!$F$7,SUMIF($BH$3:$CE$3,"="&amp;$DF48+'Model Setup'!$F$7,$AD48:$BA48)+'Model Setup'!$F$8*(SUMIF($BH$3:$CE$3,"&lt;"&amp;$DF48,$AD48:$BA48)+SUMIF($BH$3:$CE$3,"&gt;"&amp;$CW$4,$AD48:$BA48)),
IF(CB$3=$DF48+'Model Setup'!$G$7,SUMIF($BH$3:$CE$3,"="&amp;$DF48+'Model Setup'!$G$7,$AD48:$BA48)+'Model Setup'!$G$8*(SUMIF($BH$3:$CE$3,"&lt;"&amp;$DF48,$AD48:$BA48)+SUMIF($BH$3:$CE$3,"&gt;"&amp;$CW$4,$AD48:$BA48)),
IF(CB$3=$DF48+'Model Setup'!$H$7,SUMIF($BH$3:$CE$3,"="&amp;$DF48+'Model Setup'!$H$7,$AD48:$BA48)+'Model Setup'!$H$8*(SUMIF($BH$3:$CE$3,"&lt;"&amp;$DF48,$AD48:$BA48)+SUMIF($BH$3:$CE$3,"&gt;"&amp;$CW$4,$AD48:$BA48)),
IF(CB$3=$DF48+'Model Setup'!$I$7,SUMIF($BH$3:$CE$3,"="&amp;$DF48+'Model Setup'!$I$7,$AD48:$BA48)+'Model Setup'!$I$8*(SUMIF($BH$3:$CE$3,"&lt;"&amp;$DF48,$AD48:$BA48)+SUMIF($BH$3:$CE$3,"&gt;"&amp;$CW$4,$AD48:$BA48)),
IF(CB$3=$DF48+'Model Setup'!$J$7,SUMIF($BH$3:$CE$3,"="&amp;$DF48+'Model Setup'!$J$7,$AD48:$BA48)+'Model Setup'!$J$8*(SUMIF($BH$3:$CE$3,"&lt;"&amp;$DF48,$AD48:$BA48)+SUMIF($BH$3:$CE$3,"&gt;"&amp;$CW$4,$AD48:$BA48)),
IF(CB$3=$DF48+'Model Setup'!$K$7,SUMIF($BH$3:$CE$3,"="&amp;$DF48+'Model Setup'!$K$7,$AD48:$BA48)+'Model Setup'!$K$8*(SUMIF($BH$3:$CE$3,"&lt;"&amp;$DF48,$AD48:$BA48)+SUMIF($BH$3:$CE$3,"&gt;"&amp;$CW$4,$AD48:$BA48)),
IF(CB$3=$DF48+'Model Setup'!$L$7,SUMIF($BH$3:$CE$3,"="&amp;$DF48+'Model Setup'!$L$7,$AD48:$BA48)+'Model Setup'!$L$8*(SUMIF($BH$3:$CE$3,"&lt;"&amp;$DF48,$AD48:$BA48)+SUMIF($BH$3:$CE$3,"&gt;"&amp;$CW$4,$AD48:$BA48)),
IF(CB$3=$DF48+'Model Setup'!$M$7,SUMIF($BH$3:$CE$3,"="&amp;$DF48+'Model Setup'!$M$7,$AD48:$BA48)+'Model Setup'!$M$8*(SUMIF($BH$3:$CE$3,"&lt;"&amp;$DF48,$AD48:$BA48)+SUMIF($BH$3:$CE$3,"&gt;"&amp;$CW$4,$AD48:$BA48)),
IF(CB$3=$DF48+'Model Setup'!$N$7,SUMIF($BH$3:$CE$3,"="&amp;$DF48+'Model Setup'!$N$7,$AD48:$BA48)+'Model Setup'!$N$8*(SUMIF($BH$3:$CE$3,"&lt;"&amp;$DF48,$AD48:$BA48)+SUMIF($BH$3:$CE$3,"&gt;"&amp;$CW$4,$AD48:$BA48)),
IF(CB$3&lt;$CW$4,V48,0))))))))))))))),0)</f>
        <v>0</v>
      </c>
      <c r="CC48" s="47">
        <f>ROUND(IF(OR(CC$3&lt;$DF48,CC$3&gt;$CW$4),0,
IF(CC$3=$DF48+'Model Setup'!$B$7,SUMIF($BH$3:$CE$3,"="&amp;$DF48+'Model Setup'!$B$7,$AD48:$BA48)+'Model Setup'!$B$8*(SUMIF($BH$3:$CE$3,"&lt;"&amp;$DF48,$AD48:$BA48)+SUMIF($BH$3:$CE$3,"&gt;"&amp;$CW$4,$AD48:$BA48)),
IF(CC$3=$DF48+'Model Setup'!$C$7,SUMIF($BH$3:$CE$3,"="&amp;$DF48+'Model Setup'!$C$7,$AD48:$BA48)+'Model Setup'!$C$8*(SUMIF($BH$3:$CE$3,"&lt;"&amp;$DF48,$AD48:$BA48)+SUMIF($BH$3:$CE$3,"&gt;"&amp;$CW$4,$AD48:$BA48)),
IF(CC$3=$DF48+'Model Setup'!$D$7,SUMIF($BH$3:$CE$3,"="&amp;$DF48+'Model Setup'!$D$7,$AD48:$BA48)+'Model Setup'!$D$8*(SUMIF($BH$3:$CE$3,"&lt;"&amp;$DF48,$AD48:$BA48)+SUMIF($BH$3:$CE$3,"&gt;"&amp;$CW$4,$AD48:$BA48)),
IF(CC$3=$DF48+'Model Setup'!$E$7,SUMIF($BH$3:$CE$3,"="&amp;$DF48+'Model Setup'!$E$7,$AD48:$BA48)+'Model Setup'!$E$8*(SUMIF($BH$3:$CE$3,"&lt;"&amp;$DF48,$AD48:$BA48)+SUMIF($BH$3:$CE$3,"&gt;"&amp;$CW$4,$AD48:$BA48)),
IF(CC$3=$DF48+'Model Setup'!$F$7,SUMIF($BH$3:$CE$3,"="&amp;$DF48+'Model Setup'!$F$7,$AD48:$BA48)+'Model Setup'!$F$8*(SUMIF($BH$3:$CE$3,"&lt;"&amp;$DF48,$AD48:$BA48)+SUMIF($BH$3:$CE$3,"&gt;"&amp;$CW$4,$AD48:$BA48)),
IF(CC$3=$DF48+'Model Setup'!$G$7,SUMIF($BH$3:$CE$3,"="&amp;$DF48+'Model Setup'!$G$7,$AD48:$BA48)+'Model Setup'!$G$8*(SUMIF($BH$3:$CE$3,"&lt;"&amp;$DF48,$AD48:$BA48)+SUMIF($BH$3:$CE$3,"&gt;"&amp;$CW$4,$AD48:$BA48)),
IF(CC$3=$DF48+'Model Setup'!$H$7,SUMIF($BH$3:$CE$3,"="&amp;$DF48+'Model Setup'!$H$7,$AD48:$BA48)+'Model Setup'!$H$8*(SUMIF($BH$3:$CE$3,"&lt;"&amp;$DF48,$AD48:$BA48)+SUMIF($BH$3:$CE$3,"&gt;"&amp;$CW$4,$AD48:$BA48)),
IF(CC$3=$DF48+'Model Setup'!$I$7,SUMIF($BH$3:$CE$3,"="&amp;$DF48+'Model Setup'!$I$7,$AD48:$BA48)+'Model Setup'!$I$8*(SUMIF($BH$3:$CE$3,"&lt;"&amp;$DF48,$AD48:$BA48)+SUMIF($BH$3:$CE$3,"&gt;"&amp;$CW$4,$AD48:$BA48)),
IF(CC$3=$DF48+'Model Setup'!$J$7,SUMIF($BH$3:$CE$3,"="&amp;$DF48+'Model Setup'!$J$7,$AD48:$BA48)+'Model Setup'!$J$8*(SUMIF($BH$3:$CE$3,"&lt;"&amp;$DF48,$AD48:$BA48)+SUMIF($BH$3:$CE$3,"&gt;"&amp;$CW$4,$AD48:$BA48)),
IF(CC$3=$DF48+'Model Setup'!$K$7,SUMIF($BH$3:$CE$3,"="&amp;$DF48+'Model Setup'!$K$7,$AD48:$BA48)+'Model Setup'!$K$8*(SUMIF($BH$3:$CE$3,"&lt;"&amp;$DF48,$AD48:$BA48)+SUMIF($BH$3:$CE$3,"&gt;"&amp;$CW$4,$AD48:$BA48)),
IF(CC$3=$DF48+'Model Setup'!$L$7,SUMIF($BH$3:$CE$3,"="&amp;$DF48+'Model Setup'!$L$7,$AD48:$BA48)+'Model Setup'!$L$8*(SUMIF($BH$3:$CE$3,"&lt;"&amp;$DF48,$AD48:$BA48)+SUMIF($BH$3:$CE$3,"&gt;"&amp;$CW$4,$AD48:$BA48)),
IF(CC$3=$DF48+'Model Setup'!$M$7,SUMIF($BH$3:$CE$3,"="&amp;$DF48+'Model Setup'!$M$7,$AD48:$BA48)+'Model Setup'!$M$8*(SUMIF($BH$3:$CE$3,"&lt;"&amp;$DF48,$AD48:$BA48)+SUMIF($BH$3:$CE$3,"&gt;"&amp;$CW$4,$AD48:$BA48)),
IF(CC$3=$DF48+'Model Setup'!$N$7,SUMIF($BH$3:$CE$3,"="&amp;$DF48+'Model Setup'!$N$7,$AD48:$BA48)+'Model Setup'!$N$8*(SUMIF($BH$3:$CE$3,"&lt;"&amp;$DF48,$AD48:$BA48)+SUMIF($BH$3:$CE$3,"&gt;"&amp;$CW$4,$AD48:$BA48)),
IF(CC$3&lt;$CW$4,W48,0))))))))))))))),0)</f>
        <v>0</v>
      </c>
      <c r="CD48" s="47">
        <f>ROUND(IF(OR(CD$3&lt;$DF48,CD$3&gt;$CW$4),0,
IF(CD$3=$DF48+'Model Setup'!$B$7,SUMIF($BH$3:$CE$3,"="&amp;$DF48+'Model Setup'!$B$7,$AD48:$BA48)+'Model Setup'!$B$8*(SUMIF($BH$3:$CE$3,"&lt;"&amp;$DF48,$AD48:$BA48)+SUMIF($BH$3:$CE$3,"&gt;"&amp;$CW$4,$AD48:$BA48)),
IF(CD$3=$DF48+'Model Setup'!$C$7,SUMIF($BH$3:$CE$3,"="&amp;$DF48+'Model Setup'!$C$7,$AD48:$BA48)+'Model Setup'!$C$8*(SUMIF($BH$3:$CE$3,"&lt;"&amp;$DF48,$AD48:$BA48)+SUMIF($BH$3:$CE$3,"&gt;"&amp;$CW$4,$AD48:$BA48)),
IF(CD$3=$DF48+'Model Setup'!$D$7,SUMIF($BH$3:$CE$3,"="&amp;$DF48+'Model Setup'!$D$7,$AD48:$BA48)+'Model Setup'!$D$8*(SUMIF($BH$3:$CE$3,"&lt;"&amp;$DF48,$AD48:$BA48)+SUMIF($BH$3:$CE$3,"&gt;"&amp;$CW$4,$AD48:$BA48)),
IF(CD$3=$DF48+'Model Setup'!$E$7,SUMIF($BH$3:$CE$3,"="&amp;$DF48+'Model Setup'!$E$7,$AD48:$BA48)+'Model Setup'!$E$8*(SUMIF($BH$3:$CE$3,"&lt;"&amp;$DF48,$AD48:$BA48)+SUMIF($BH$3:$CE$3,"&gt;"&amp;$CW$4,$AD48:$BA48)),
IF(CD$3=$DF48+'Model Setup'!$F$7,SUMIF($BH$3:$CE$3,"="&amp;$DF48+'Model Setup'!$F$7,$AD48:$BA48)+'Model Setup'!$F$8*(SUMIF($BH$3:$CE$3,"&lt;"&amp;$DF48,$AD48:$BA48)+SUMIF($BH$3:$CE$3,"&gt;"&amp;$CW$4,$AD48:$BA48)),
IF(CD$3=$DF48+'Model Setup'!$G$7,SUMIF($BH$3:$CE$3,"="&amp;$DF48+'Model Setup'!$G$7,$AD48:$BA48)+'Model Setup'!$G$8*(SUMIF($BH$3:$CE$3,"&lt;"&amp;$DF48,$AD48:$BA48)+SUMIF($BH$3:$CE$3,"&gt;"&amp;$CW$4,$AD48:$BA48)),
IF(CD$3=$DF48+'Model Setup'!$H$7,SUMIF($BH$3:$CE$3,"="&amp;$DF48+'Model Setup'!$H$7,$AD48:$BA48)+'Model Setup'!$H$8*(SUMIF($BH$3:$CE$3,"&lt;"&amp;$DF48,$AD48:$BA48)+SUMIF($BH$3:$CE$3,"&gt;"&amp;$CW$4,$AD48:$BA48)),
IF(CD$3=$DF48+'Model Setup'!$I$7,SUMIF($BH$3:$CE$3,"="&amp;$DF48+'Model Setup'!$I$7,$AD48:$BA48)+'Model Setup'!$I$8*(SUMIF($BH$3:$CE$3,"&lt;"&amp;$DF48,$AD48:$BA48)+SUMIF($BH$3:$CE$3,"&gt;"&amp;$CW$4,$AD48:$BA48)),
IF(CD$3=$DF48+'Model Setup'!$J$7,SUMIF($BH$3:$CE$3,"="&amp;$DF48+'Model Setup'!$J$7,$AD48:$BA48)+'Model Setup'!$J$8*(SUMIF($BH$3:$CE$3,"&lt;"&amp;$DF48,$AD48:$BA48)+SUMIF($BH$3:$CE$3,"&gt;"&amp;$CW$4,$AD48:$BA48)),
IF(CD$3=$DF48+'Model Setup'!$K$7,SUMIF($BH$3:$CE$3,"="&amp;$DF48+'Model Setup'!$K$7,$AD48:$BA48)+'Model Setup'!$K$8*(SUMIF($BH$3:$CE$3,"&lt;"&amp;$DF48,$AD48:$BA48)+SUMIF($BH$3:$CE$3,"&gt;"&amp;$CW$4,$AD48:$BA48)),
IF(CD$3=$DF48+'Model Setup'!$L$7,SUMIF($BH$3:$CE$3,"="&amp;$DF48+'Model Setup'!$L$7,$AD48:$BA48)+'Model Setup'!$L$8*(SUMIF($BH$3:$CE$3,"&lt;"&amp;$DF48,$AD48:$BA48)+SUMIF($BH$3:$CE$3,"&gt;"&amp;$CW$4,$AD48:$BA48)),
IF(CD$3=$DF48+'Model Setup'!$M$7,SUMIF($BH$3:$CE$3,"="&amp;$DF48+'Model Setup'!$M$7,$AD48:$BA48)+'Model Setup'!$M$8*(SUMIF($BH$3:$CE$3,"&lt;"&amp;$DF48,$AD48:$BA48)+SUMIF($BH$3:$CE$3,"&gt;"&amp;$CW$4,$AD48:$BA48)),
IF(CD$3=$DF48+'Model Setup'!$N$7,SUMIF($BH$3:$CE$3,"="&amp;$DF48+'Model Setup'!$N$7,$AD48:$BA48)+'Model Setup'!$N$8*(SUMIF($BH$3:$CE$3,"&lt;"&amp;$DF48,$AD48:$BA48)+SUMIF($BH$3:$CE$3,"&gt;"&amp;$CW$4,$AD48:$BA48)),
IF(CD$3&lt;$CW$4,X48,0))))))))))))))),0)</f>
        <v>0</v>
      </c>
      <c r="CE48" s="47">
        <f>ROUND(IF(OR(CE$3&lt;$DF48,CE$3&gt;$CW$4),0,
IF(CE$3=$DF48+'Model Setup'!$B$7,SUMIF($BH$3:$CE$3,"="&amp;$DF48+'Model Setup'!$B$7,$AD48:$BA48)+'Model Setup'!$B$8*(SUMIF($BH$3:$CE$3,"&lt;"&amp;$DF48,$AD48:$BA48)+SUMIF($BH$3:$CE$3,"&gt;"&amp;$CW$4,$AD48:$BA48)),
IF(CE$3=$DF48+'Model Setup'!$C$7,SUMIF($BH$3:$CE$3,"="&amp;$DF48+'Model Setup'!$C$7,$AD48:$BA48)+'Model Setup'!$C$8*(SUMIF($BH$3:$CE$3,"&lt;"&amp;$DF48,$AD48:$BA48)+SUMIF($BH$3:$CE$3,"&gt;"&amp;$CW$4,$AD48:$BA48)),
IF(CE$3=$DF48+'Model Setup'!$D$7,SUMIF($BH$3:$CE$3,"="&amp;$DF48+'Model Setup'!$D$7,$AD48:$BA48)+'Model Setup'!$D$8*(SUMIF($BH$3:$CE$3,"&lt;"&amp;$DF48,$AD48:$BA48)+SUMIF($BH$3:$CE$3,"&gt;"&amp;$CW$4,$AD48:$BA48)),
IF(CE$3=$DF48+'Model Setup'!$E$7,SUMIF($BH$3:$CE$3,"="&amp;$DF48+'Model Setup'!$E$7,$AD48:$BA48)+'Model Setup'!$E$8*(SUMIF($BH$3:$CE$3,"&lt;"&amp;$DF48,$AD48:$BA48)+SUMIF($BH$3:$CE$3,"&gt;"&amp;$CW$4,$AD48:$BA48)),
IF(CE$3=$DF48+'Model Setup'!$F$7,SUMIF($BH$3:$CE$3,"="&amp;$DF48+'Model Setup'!$F$7,$AD48:$BA48)+'Model Setup'!$F$8*(SUMIF($BH$3:$CE$3,"&lt;"&amp;$DF48,$AD48:$BA48)+SUMIF($BH$3:$CE$3,"&gt;"&amp;$CW$4,$AD48:$BA48)),
IF(CE$3=$DF48+'Model Setup'!$G$7,SUMIF($BH$3:$CE$3,"="&amp;$DF48+'Model Setup'!$G$7,$AD48:$BA48)+'Model Setup'!$G$8*(SUMIF($BH$3:$CE$3,"&lt;"&amp;$DF48,$AD48:$BA48)+SUMIF($BH$3:$CE$3,"&gt;"&amp;$CW$4,$AD48:$BA48)),
IF(CE$3=$DF48+'Model Setup'!$H$7,SUMIF($BH$3:$CE$3,"="&amp;$DF48+'Model Setup'!$H$7,$AD48:$BA48)+'Model Setup'!$H$8*(SUMIF($BH$3:$CE$3,"&lt;"&amp;$DF48,$AD48:$BA48)+SUMIF($BH$3:$CE$3,"&gt;"&amp;$CW$4,$AD48:$BA48)),
IF(CE$3=$DF48+'Model Setup'!$I$7,SUMIF($BH$3:$CE$3,"="&amp;$DF48+'Model Setup'!$I$7,$AD48:$BA48)+'Model Setup'!$I$8*(SUMIF($BH$3:$CE$3,"&lt;"&amp;$DF48,$AD48:$BA48)+SUMIF($BH$3:$CE$3,"&gt;"&amp;$CW$4,$AD48:$BA48)),
IF(CE$3=$DF48+'Model Setup'!$J$7,SUMIF($BH$3:$CE$3,"="&amp;$DF48+'Model Setup'!$J$7,$AD48:$BA48)+'Model Setup'!$J$8*(SUMIF($BH$3:$CE$3,"&lt;"&amp;$DF48,$AD48:$BA48)+SUMIF($BH$3:$CE$3,"&gt;"&amp;$CW$4,$AD48:$BA48)),
IF(CE$3=$DF48+'Model Setup'!$K$7,SUMIF($BH$3:$CE$3,"="&amp;$DF48+'Model Setup'!$K$7,$AD48:$BA48)+'Model Setup'!$K$8*(SUMIF($BH$3:$CE$3,"&lt;"&amp;$DF48,$AD48:$BA48)+SUMIF($BH$3:$CE$3,"&gt;"&amp;$CW$4,$AD48:$BA48)),
IF(CE$3=$DF48+'Model Setup'!$L$7,SUMIF($BH$3:$CE$3,"="&amp;$DF48+'Model Setup'!$L$7,$AD48:$BA48)+'Model Setup'!$L$8*(SUMIF($BH$3:$CE$3,"&lt;"&amp;$DF48,$AD48:$BA48)+SUMIF($BH$3:$CE$3,"&gt;"&amp;$CW$4,$AD48:$BA48)),
IF(CE$3=$DF48+'Model Setup'!$M$7,SUMIF($BH$3:$CE$3,"="&amp;$DF48+'Model Setup'!$M$7,$AD48:$BA48)+'Model Setup'!$M$8*(SUMIF($BH$3:$CE$3,"&lt;"&amp;$DF48,$AD48:$BA48)+SUMIF($BH$3:$CE$3,"&gt;"&amp;$CW$4,$AD48:$BA48)),
IF(CE$3=$DF48+'Model Setup'!$N$7,SUMIF($BH$3:$CE$3,"="&amp;$DF48+'Model Setup'!$N$7,$AD48:$BA48)+'Model Setup'!$N$8*(SUMIF($BH$3:$CE$3,"&lt;"&amp;$DF48,$AD48:$BA48)+SUMIF($BH$3:$CE$3,"&gt;"&amp;$CW$4,$AD48:$BA48)),
IF(CE$3&lt;$CW$4,Y48,0))))))))))))))),0)</f>
        <v>0</v>
      </c>
      <c r="CF48" s="47">
        <f t="shared" si="3"/>
        <v>732</v>
      </c>
      <c r="CG48" s="47">
        <f t="shared" si="4"/>
        <v>0</v>
      </c>
      <c r="CI48" s="10" t="s">
        <v>63</v>
      </c>
      <c r="CJ48" s="126">
        <f t="shared" si="9"/>
        <v>21</v>
      </c>
      <c r="CK48" s="126">
        <f t="shared" si="10"/>
        <v>74</v>
      </c>
      <c r="CL48" s="126">
        <f t="shared" si="11"/>
        <v>87</v>
      </c>
      <c r="CM48" s="126">
        <f t="shared" si="12"/>
        <v>79</v>
      </c>
      <c r="CN48" s="126">
        <f t="shared" si="13"/>
        <v>92</v>
      </c>
      <c r="CO48" s="126">
        <f t="shared" si="14"/>
        <v>95</v>
      </c>
      <c r="CP48" s="126">
        <f t="shared" si="15"/>
        <v>56</v>
      </c>
      <c r="CQ48" s="126">
        <f t="shared" si="16"/>
        <v>53</v>
      </c>
      <c r="CR48" s="126">
        <f t="shared" si="17"/>
        <v>45</v>
      </c>
      <c r="CS48" s="126">
        <f t="shared" si="18"/>
        <v>20</v>
      </c>
      <c r="CT48" s="126">
        <f t="shared" si="19"/>
        <v>37</v>
      </c>
      <c r="CU48" s="126">
        <f t="shared" si="20"/>
        <v>45</v>
      </c>
      <c r="CV48" s="126">
        <f t="shared" si="21"/>
        <v>28</v>
      </c>
      <c r="CW48" s="126">
        <f t="shared" si="22"/>
        <v>0</v>
      </c>
      <c r="CX48" s="126">
        <f t="shared" si="23"/>
        <v>0</v>
      </c>
      <c r="CY48" s="126">
        <f t="shared" si="24"/>
        <v>0</v>
      </c>
      <c r="CZ48" s="47">
        <f t="shared" si="7"/>
        <v>732</v>
      </c>
      <c r="DC48" s="93" t="s">
        <v>63</v>
      </c>
      <c r="DD48" s="89">
        <f>FTC!E46</f>
        <v>0.20833333333333334</v>
      </c>
      <c r="DE48" s="89">
        <f>FTC!F46</f>
        <v>0.75</v>
      </c>
      <c r="DF48" s="90">
        <f t="shared" si="25"/>
        <v>5</v>
      </c>
      <c r="DG48" s="91">
        <f t="shared" si="26"/>
        <v>18</v>
      </c>
      <c r="DH48" s="91">
        <f t="shared" si="27"/>
        <v>13</v>
      </c>
    </row>
    <row r="49" spans="1:112" x14ac:dyDescent="0.35">
      <c r="A49" s="43" t="s">
        <v>64</v>
      </c>
      <c r="B49" s="47">
        <v>5</v>
      </c>
      <c r="C49" s="47">
        <v>7</v>
      </c>
      <c r="D49" s="47">
        <v>4</v>
      </c>
      <c r="E49" s="47">
        <v>12</v>
      </c>
      <c r="F49" s="47">
        <v>20</v>
      </c>
      <c r="G49" s="47">
        <v>31</v>
      </c>
      <c r="H49" s="47">
        <v>138</v>
      </c>
      <c r="I49" s="47">
        <v>169</v>
      </c>
      <c r="J49" s="47">
        <v>243</v>
      </c>
      <c r="K49" s="47">
        <v>199</v>
      </c>
      <c r="L49" s="47">
        <v>187</v>
      </c>
      <c r="M49" s="47">
        <v>150</v>
      </c>
      <c r="N49" s="47">
        <v>152</v>
      </c>
      <c r="O49" s="47">
        <v>146</v>
      </c>
      <c r="P49" s="47">
        <v>128</v>
      </c>
      <c r="Q49" s="47">
        <v>81</v>
      </c>
      <c r="R49" s="47">
        <v>72</v>
      </c>
      <c r="S49" s="47">
        <v>47</v>
      </c>
      <c r="T49" s="47">
        <v>44</v>
      </c>
      <c r="U49" s="47">
        <v>30</v>
      </c>
      <c r="V49" s="47">
        <v>13</v>
      </c>
      <c r="W49" s="47">
        <v>23</v>
      </c>
      <c r="X49" s="47">
        <v>5</v>
      </c>
      <c r="Y49" s="47">
        <v>3</v>
      </c>
      <c r="Z49" s="47">
        <f t="shared" si="0"/>
        <v>1909</v>
      </c>
      <c r="AC49" s="43" t="s">
        <v>64</v>
      </c>
      <c r="AD49" s="47">
        <f>ROUND(IF(AD$3&lt;$DF49,0,
IF(AD$3=$DF49+'Model Setup'!$B$7,SUMIF($AD$3:$BA$3,"="&amp;$DF49+'Model Setup'!$B$7,$B49:$Y49)+'Model Setup'!$B$8*(SUMIF($AD$3:$BA$3,"&lt;"&amp;$DF49,$B49:$Y49)+SUMIF($AD$3:$BA$3,"&gt;="&amp;$DG49,$B49:$Y49)),
IF(AD$3=$DF49+'Model Setup'!$C$7,SUMIF($AD$3:$BA$3,"="&amp;$DF49+'Model Setup'!$C$7,$B49:$Y49)+'Model Setup'!$C$8*(SUMIF($AD$3:$BA$3,"&lt;"&amp;$DF49,$B49:$Y49)+SUMIF($AD$3:$BA$3,"&gt;="&amp;$DG49,$B49:$Y49)),
IF(AD$3=$DF49+'Model Setup'!$D$7,SUMIF($AD$3:$BA$3,"="&amp;$DF49+'Model Setup'!$D$7,$B49:$Y49)+'Model Setup'!$D$8*(SUMIF($AD$3:$BA$3,"&lt;"&amp;$DF49,$B49:$Y49)+SUMIF($AD$3:$BA$3,"&gt;="&amp;$DG49,$B49:$Y49)),
IF(AD$3=$DF49+'Model Setup'!$E$7,SUMIF($AD$3:$BA$3,"="&amp;$DF49+'Model Setup'!$E$7,$B49:$Y49)+'Model Setup'!$E$8*(SUMIF($AD$3:$BA$3,"&lt;"&amp;$DF49,$B49:$Y49)+SUMIF($AD$3:$BA$3,"&gt;="&amp;$DG49,$B49:$Y49)),
IF(AD$3=$DF49+'Model Setup'!$F$7,SUMIF($AD$3:$BA$3,"="&amp;$DF49+'Model Setup'!$F$7,$B49:$Y49)+'Model Setup'!$F$8*(SUMIF($AD$3:$BA$3,"&lt;"&amp;$DF49,$B49:$Y49)+SUMIF($AD$3:$BA$3,"&gt;="&amp;$DG49,$B49:$Y49)),
IF(AD$3=$DF49+'Model Setup'!$G$7,SUMIF($AD$3:$BA$3,"="&amp;$DF49+'Model Setup'!$G$7,$B49:$Y49)+'Model Setup'!$G$8*(SUMIF($AD$3:$BA$3,"&lt;"&amp;$DF49,$B49:$Y49)+SUMIF($AD$3:$BA$3,"&gt;="&amp;$DG49,$B49:$Y49)),
IF(AD$3=$DF49+'Model Setup'!$H$7,SUMIF($AD$3:$BA$3,"="&amp;$DF49+'Model Setup'!$H$7,$B49:$Y49)+'Model Setup'!$H$8*(SUMIF($AD$3:$BA$3,"&lt;"&amp;$DF49,$B49:$Y49)+SUMIF($AD$3:$BA$3,"&gt;="&amp;$DG49,$B49:$Y49)),
IF(AD$3=$DF49+'Model Setup'!$I$7,SUMIF($AD$3:$BA$3,"="&amp;$DF49+'Model Setup'!$I$7,$B49:$Y49)+'Model Setup'!$I$8*(SUMIF($AD$3:$BA$3,"&lt;"&amp;$DF49,$B49:$Y49)+SUMIF($AD$3:$BA$3,"&gt;="&amp;$DG49,$B49:$Y49)),
IF(AD$3=$DF49+'Model Setup'!$J$7,SUMIF($AD$3:$BA$3,"="&amp;$DF49+'Model Setup'!$J$7,$B49:$Y49)+'Model Setup'!$J$8*(SUMIF($AD$3:$BA$3,"&lt;"&amp;$DF49,$B49:$Y49)+SUMIF($AD$3:$BA$3,"&gt;="&amp;$DG49,$B49:$Y49)),
IF(AD$3=$DF49+'Model Setup'!$K$7,SUMIF($AD$3:$BA$3,"="&amp;$DF49+'Model Setup'!$K$7,$B49:$Y49)+'Model Setup'!$K$8*(SUMIF($AD$3:$BA$3,"&lt;"&amp;$DF49,$B49:$Y49)+SUMIF($AD$3:$BA$3,"&gt;="&amp;$DG49,$B49:$Y49)),
IF(AD$3=$DF49+'Model Setup'!$L$7,SUMIF($AD$3:$BA$3,"="&amp;$DF49+'Model Setup'!$L$7,$B49:$Y49)+'Model Setup'!$L$8*(SUMIF($AD$3:$BA$3,"&lt;"&amp;$DF49,$B49:$Y49)+SUMIF($AD$3:$BA$3,"&gt;="&amp;$DG49,$B49:$Y49)),
IF(AD$3=$DF49+'Model Setup'!$M$7,SUMIF($AD$3:$BA$3,"="&amp;$DF49+'Model Setup'!$M$7,$B49:$Y49)+'Model Setup'!$M$8*(SUMIF($AD$3:$BA$3,"&lt;"&amp;$DF49,$B49:$Y49)+SUMIF($AD$3:$BA$3,"&gt;="&amp;$DG49,$B49:$Y49)),
IF(AD$3=$DF49+'Model Setup'!$N$7,SUMIF($AD$3:$BA$3,"="&amp;$DF49+'Model Setup'!$N$7,$B49:$Y49)+'Model Setup'!$N$8*(SUMIF($AD$3:$BA$3,"&lt;"&amp;$DF49,$B49:$Y49)+SUMIF($AD$3:$BA$3,"&gt;="&amp;$DG49,$B49:$Y49)),
IF(AD$3&lt;$DG49,B49,0))))))))))))))),0)</f>
        <v>0</v>
      </c>
      <c r="AE49" s="47">
        <f>ROUND(IF(AE$3&lt;$DF49,0,
IF(AE$3=$DF49+'Model Setup'!$B$7,SUMIF($AD$3:$BA$3,"="&amp;$DF49+'Model Setup'!$B$7,$B49:$Y49)+'Model Setup'!$B$8*(SUMIF($AD$3:$BA$3,"&lt;"&amp;$DF49,$B49:$Y49)+SUMIF($AD$3:$BA$3,"&gt;="&amp;$DG49,$B49:$Y49)),
IF(AE$3=$DF49+'Model Setup'!$C$7,SUMIF($AD$3:$BA$3,"="&amp;$DF49+'Model Setup'!$C$7,$B49:$Y49)+'Model Setup'!$C$8*(SUMIF($AD$3:$BA$3,"&lt;"&amp;$DF49,$B49:$Y49)+SUMIF($AD$3:$BA$3,"&gt;="&amp;$DG49,$B49:$Y49)),
IF(AE$3=$DF49+'Model Setup'!$D$7,SUMIF($AD$3:$BA$3,"="&amp;$DF49+'Model Setup'!$D$7,$B49:$Y49)+'Model Setup'!$D$8*(SUMIF($AD$3:$BA$3,"&lt;"&amp;$DF49,$B49:$Y49)+SUMIF($AD$3:$BA$3,"&gt;="&amp;$DG49,$B49:$Y49)),
IF(AE$3=$DF49+'Model Setup'!$E$7,SUMIF($AD$3:$BA$3,"="&amp;$DF49+'Model Setup'!$E$7,$B49:$Y49)+'Model Setup'!$E$8*(SUMIF($AD$3:$BA$3,"&lt;"&amp;$DF49,$B49:$Y49)+SUMIF($AD$3:$BA$3,"&gt;="&amp;$DG49,$B49:$Y49)),
IF(AE$3=$DF49+'Model Setup'!$F$7,SUMIF($AD$3:$BA$3,"="&amp;$DF49+'Model Setup'!$F$7,$B49:$Y49)+'Model Setup'!$F$8*(SUMIF($AD$3:$BA$3,"&lt;"&amp;$DF49,$B49:$Y49)+SUMIF($AD$3:$BA$3,"&gt;="&amp;$DG49,$B49:$Y49)),
IF(AE$3=$DF49+'Model Setup'!$G$7,SUMIF($AD$3:$BA$3,"="&amp;$DF49+'Model Setup'!$G$7,$B49:$Y49)+'Model Setup'!$G$8*(SUMIF($AD$3:$BA$3,"&lt;"&amp;$DF49,$B49:$Y49)+SUMIF($AD$3:$BA$3,"&gt;="&amp;$DG49,$B49:$Y49)),
IF(AE$3=$DF49+'Model Setup'!$H$7,SUMIF($AD$3:$BA$3,"="&amp;$DF49+'Model Setup'!$H$7,$B49:$Y49)+'Model Setup'!$H$8*(SUMIF($AD$3:$BA$3,"&lt;"&amp;$DF49,$B49:$Y49)+SUMIF($AD$3:$BA$3,"&gt;="&amp;$DG49,$B49:$Y49)),
IF(AE$3=$DF49+'Model Setup'!$I$7,SUMIF($AD$3:$BA$3,"="&amp;$DF49+'Model Setup'!$I$7,$B49:$Y49)+'Model Setup'!$I$8*(SUMIF($AD$3:$BA$3,"&lt;"&amp;$DF49,$B49:$Y49)+SUMIF($AD$3:$BA$3,"&gt;="&amp;$DG49,$B49:$Y49)),
IF(AE$3=$DF49+'Model Setup'!$J$7,SUMIF($AD$3:$BA$3,"="&amp;$DF49+'Model Setup'!$J$7,$B49:$Y49)+'Model Setup'!$J$8*(SUMIF($AD$3:$BA$3,"&lt;"&amp;$DF49,$B49:$Y49)+SUMIF($AD$3:$BA$3,"&gt;="&amp;$DG49,$B49:$Y49)),
IF(AE$3=$DF49+'Model Setup'!$K$7,SUMIF($AD$3:$BA$3,"="&amp;$DF49+'Model Setup'!$K$7,$B49:$Y49)+'Model Setup'!$K$8*(SUMIF($AD$3:$BA$3,"&lt;"&amp;$DF49,$B49:$Y49)+SUMIF($AD$3:$BA$3,"&gt;="&amp;$DG49,$B49:$Y49)),
IF(AE$3=$DF49+'Model Setup'!$L$7,SUMIF($AD$3:$BA$3,"="&amp;$DF49+'Model Setup'!$L$7,$B49:$Y49)+'Model Setup'!$L$8*(SUMIF($AD$3:$BA$3,"&lt;"&amp;$DF49,$B49:$Y49)+SUMIF($AD$3:$BA$3,"&gt;="&amp;$DG49,$B49:$Y49)),
IF(AE$3=$DF49+'Model Setup'!$M$7,SUMIF($AD$3:$BA$3,"="&amp;$DF49+'Model Setup'!$M$7,$B49:$Y49)+'Model Setup'!$M$8*(SUMIF($AD$3:$BA$3,"&lt;"&amp;$DF49,$B49:$Y49)+SUMIF($AD$3:$BA$3,"&gt;="&amp;$DG49,$B49:$Y49)),
IF(AE$3=$DF49+'Model Setup'!$N$7,SUMIF($AD$3:$BA$3,"="&amp;$DF49+'Model Setup'!$N$7,$B49:$Y49)+'Model Setup'!$N$8*(SUMIF($AD$3:$BA$3,"&lt;"&amp;$DF49,$B49:$Y49)+SUMIF($AD$3:$BA$3,"&gt;="&amp;$DG49,$B49:$Y49)),
IF(AE$3&lt;$DG49,C49,0))))))))))))))),0)</f>
        <v>0</v>
      </c>
      <c r="AF49" s="47">
        <f>ROUND(IF(AF$3&lt;$DF49,0,
IF(AF$3=$DF49+'Model Setup'!$B$7,SUMIF($AD$3:$BA$3,"="&amp;$DF49+'Model Setup'!$B$7,$B49:$Y49)+'Model Setup'!$B$8*(SUMIF($AD$3:$BA$3,"&lt;"&amp;$DF49,$B49:$Y49)+SUMIF($AD$3:$BA$3,"&gt;="&amp;$DG49,$B49:$Y49)),
IF(AF$3=$DF49+'Model Setup'!$C$7,SUMIF($AD$3:$BA$3,"="&amp;$DF49+'Model Setup'!$C$7,$B49:$Y49)+'Model Setup'!$C$8*(SUMIF($AD$3:$BA$3,"&lt;"&amp;$DF49,$B49:$Y49)+SUMIF($AD$3:$BA$3,"&gt;="&amp;$DG49,$B49:$Y49)),
IF(AF$3=$DF49+'Model Setup'!$D$7,SUMIF($AD$3:$BA$3,"="&amp;$DF49+'Model Setup'!$D$7,$B49:$Y49)+'Model Setup'!$D$8*(SUMIF($AD$3:$BA$3,"&lt;"&amp;$DF49,$B49:$Y49)+SUMIF($AD$3:$BA$3,"&gt;="&amp;$DG49,$B49:$Y49)),
IF(AF$3=$DF49+'Model Setup'!$E$7,SUMIF($AD$3:$BA$3,"="&amp;$DF49+'Model Setup'!$E$7,$B49:$Y49)+'Model Setup'!$E$8*(SUMIF($AD$3:$BA$3,"&lt;"&amp;$DF49,$B49:$Y49)+SUMIF($AD$3:$BA$3,"&gt;="&amp;$DG49,$B49:$Y49)),
IF(AF$3=$DF49+'Model Setup'!$F$7,SUMIF($AD$3:$BA$3,"="&amp;$DF49+'Model Setup'!$F$7,$B49:$Y49)+'Model Setup'!$F$8*(SUMIF($AD$3:$BA$3,"&lt;"&amp;$DF49,$B49:$Y49)+SUMIF($AD$3:$BA$3,"&gt;="&amp;$DG49,$B49:$Y49)),
IF(AF$3=$DF49+'Model Setup'!$G$7,SUMIF($AD$3:$BA$3,"="&amp;$DF49+'Model Setup'!$G$7,$B49:$Y49)+'Model Setup'!$G$8*(SUMIF($AD$3:$BA$3,"&lt;"&amp;$DF49,$B49:$Y49)+SUMIF($AD$3:$BA$3,"&gt;="&amp;$DG49,$B49:$Y49)),
IF(AF$3=$DF49+'Model Setup'!$H$7,SUMIF($AD$3:$BA$3,"="&amp;$DF49+'Model Setup'!$H$7,$B49:$Y49)+'Model Setup'!$H$8*(SUMIF($AD$3:$BA$3,"&lt;"&amp;$DF49,$B49:$Y49)+SUMIF($AD$3:$BA$3,"&gt;="&amp;$DG49,$B49:$Y49)),
IF(AF$3=$DF49+'Model Setup'!$I$7,SUMIF($AD$3:$BA$3,"="&amp;$DF49+'Model Setup'!$I$7,$B49:$Y49)+'Model Setup'!$I$8*(SUMIF($AD$3:$BA$3,"&lt;"&amp;$DF49,$B49:$Y49)+SUMIF($AD$3:$BA$3,"&gt;="&amp;$DG49,$B49:$Y49)),
IF(AF$3=$DF49+'Model Setup'!$J$7,SUMIF($AD$3:$BA$3,"="&amp;$DF49+'Model Setup'!$J$7,$B49:$Y49)+'Model Setup'!$J$8*(SUMIF($AD$3:$BA$3,"&lt;"&amp;$DF49,$B49:$Y49)+SUMIF($AD$3:$BA$3,"&gt;="&amp;$DG49,$B49:$Y49)),
IF(AF$3=$DF49+'Model Setup'!$K$7,SUMIF($AD$3:$BA$3,"="&amp;$DF49+'Model Setup'!$K$7,$B49:$Y49)+'Model Setup'!$K$8*(SUMIF($AD$3:$BA$3,"&lt;"&amp;$DF49,$B49:$Y49)+SUMIF($AD$3:$BA$3,"&gt;="&amp;$DG49,$B49:$Y49)),
IF(AF$3=$DF49+'Model Setup'!$L$7,SUMIF($AD$3:$BA$3,"="&amp;$DF49+'Model Setup'!$L$7,$B49:$Y49)+'Model Setup'!$L$8*(SUMIF($AD$3:$BA$3,"&lt;"&amp;$DF49,$B49:$Y49)+SUMIF($AD$3:$BA$3,"&gt;="&amp;$DG49,$B49:$Y49)),
IF(AF$3=$DF49+'Model Setup'!$M$7,SUMIF($AD$3:$BA$3,"="&amp;$DF49+'Model Setup'!$M$7,$B49:$Y49)+'Model Setup'!$M$8*(SUMIF($AD$3:$BA$3,"&lt;"&amp;$DF49,$B49:$Y49)+SUMIF($AD$3:$BA$3,"&gt;="&amp;$DG49,$B49:$Y49)),
IF(AF$3=$DF49+'Model Setup'!$N$7,SUMIF($AD$3:$BA$3,"="&amp;$DF49+'Model Setup'!$N$7,$B49:$Y49)+'Model Setup'!$N$8*(SUMIF($AD$3:$BA$3,"&lt;"&amp;$DF49,$B49:$Y49)+SUMIF($AD$3:$BA$3,"&gt;="&amp;$DG49,$B49:$Y49)),
IF(AF$3&lt;$DG49,D49,0))))))))))))))),0)</f>
        <v>0</v>
      </c>
      <c r="AG49" s="47">
        <f>ROUND(IF(AG$3&lt;$DF49,0,
IF(AG$3=$DF49+'Model Setup'!$B$7,SUMIF($AD$3:$BA$3,"="&amp;$DF49+'Model Setup'!$B$7,$B49:$Y49)+'Model Setup'!$B$8*(SUMIF($AD$3:$BA$3,"&lt;"&amp;$DF49,$B49:$Y49)+SUMIF($AD$3:$BA$3,"&gt;="&amp;$DG49,$B49:$Y49)),
IF(AG$3=$DF49+'Model Setup'!$C$7,SUMIF($AD$3:$BA$3,"="&amp;$DF49+'Model Setup'!$C$7,$B49:$Y49)+'Model Setup'!$C$8*(SUMIF($AD$3:$BA$3,"&lt;"&amp;$DF49,$B49:$Y49)+SUMIF($AD$3:$BA$3,"&gt;="&amp;$DG49,$B49:$Y49)),
IF(AG$3=$DF49+'Model Setup'!$D$7,SUMIF($AD$3:$BA$3,"="&amp;$DF49+'Model Setup'!$D$7,$B49:$Y49)+'Model Setup'!$D$8*(SUMIF($AD$3:$BA$3,"&lt;"&amp;$DF49,$B49:$Y49)+SUMIF($AD$3:$BA$3,"&gt;="&amp;$DG49,$B49:$Y49)),
IF(AG$3=$DF49+'Model Setup'!$E$7,SUMIF($AD$3:$BA$3,"="&amp;$DF49+'Model Setup'!$E$7,$B49:$Y49)+'Model Setup'!$E$8*(SUMIF($AD$3:$BA$3,"&lt;"&amp;$DF49,$B49:$Y49)+SUMIF($AD$3:$BA$3,"&gt;="&amp;$DG49,$B49:$Y49)),
IF(AG$3=$DF49+'Model Setup'!$F$7,SUMIF($AD$3:$BA$3,"="&amp;$DF49+'Model Setup'!$F$7,$B49:$Y49)+'Model Setup'!$F$8*(SUMIF($AD$3:$BA$3,"&lt;"&amp;$DF49,$B49:$Y49)+SUMIF($AD$3:$BA$3,"&gt;="&amp;$DG49,$B49:$Y49)),
IF(AG$3=$DF49+'Model Setup'!$G$7,SUMIF($AD$3:$BA$3,"="&amp;$DF49+'Model Setup'!$G$7,$B49:$Y49)+'Model Setup'!$G$8*(SUMIF($AD$3:$BA$3,"&lt;"&amp;$DF49,$B49:$Y49)+SUMIF($AD$3:$BA$3,"&gt;="&amp;$DG49,$B49:$Y49)),
IF(AG$3=$DF49+'Model Setup'!$H$7,SUMIF($AD$3:$BA$3,"="&amp;$DF49+'Model Setup'!$H$7,$B49:$Y49)+'Model Setup'!$H$8*(SUMIF($AD$3:$BA$3,"&lt;"&amp;$DF49,$B49:$Y49)+SUMIF($AD$3:$BA$3,"&gt;="&amp;$DG49,$B49:$Y49)),
IF(AG$3=$DF49+'Model Setup'!$I$7,SUMIF($AD$3:$BA$3,"="&amp;$DF49+'Model Setup'!$I$7,$B49:$Y49)+'Model Setup'!$I$8*(SUMIF($AD$3:$BA$3,"&lt;"&amp;$DF49,$B49:$Y49)+SUMIF($AD$3:$BA$3,"&gt;="&amp;$DG49,$B49:$Y49)),
IF(AG$3=$DF49+'Model Setup'!$J$7,SUMIF($AD$3:$BA$3,"="&amp;$DF49+'Model Setup'!$J$7,$B49:$Y49)+'Model Setup'!$J$8*(SUMIF($AD$3:$BA$3,"&lt;"&amp;$DF49,$B49:$Y49)+SUMIF($AD$3:$BA$3,"&gt;="&amp;$DG49,$B49:$Y49)),
IF(AG$3=$DF49+'Model Setup'!$K$7,SUMIF($AD$3:$BA$3,"="&amp;$DF49+'Model Setup'!$K$7,$B49:$Y49)+'Model Setup'!$K$8*(SUMIF($AD$3:$BA$3,"&lt;"&amp;$DF49,$B49:$Y49)+SUMIF($AD$3:$BA$3,"&gt;="&amp;$DG49,$B49:$Y49)),
IF(AG$3=$DF49+'Model Setup'!$L$7,SUMIF($AD$3:$BA$3,"="&amp;$DF49+'Model Setup'!$L$7,$B49:$Y49)+'Model Setup'!$L$8*(SUMIF($AD$3:$BA$3,"&lt;"&amp;$DF49,$B49:$Y49)+SUMIF($AD$3:$BA$3,"&gt;="&amp;$DG49,$B49:$Y49)),
IF(AG$3=$DF49+'Model Setup'!$M$7,SUMIF($AD$3:$BA$3,"="&amp;$DF49+'Model Setup'!$M$7,$B49:$Y49)+'Model Setup'!$M$8*(SUMIF($AD$3:$BA$3,"&lt;"&amp;$DF49,$B49:$Y49)+SUMIF($AD$3:$BA$3,"&gt;="&amp;$DG49,$B49:$Y49)),
IF(AG$3=$DF49+'Model Setup'!$N$7,SUMIF($AD$3:$BA$3,"="&amp;$DF49+'Model Setup'!$N$7,$B49:$Y49)+'Model Setup'!$N$8*(SUMIF($AD$3:$BA$3,"&lt;"&amp;$DF49,$B49:$Y49)+SUMIF($AD$3:$BA$3,"&gt;="&amp;$DG49,$B49:$Y49)),
IF(AG$3&lt;$DG49,E49,0))))))))))))))),0)</f>
        <v>0</v>
      </c>
      <c r="AH49" s="47">
        <f>ROUND(IF(AH$3&lt;$DF49,0,
IF(AH$3=$DF49+'Model Setup'!$B$7,SUMIF($AD$3:$BA$3,"="&amp;$DF49+'Model Setup'!$B$7,$B49:$Y49)+'Model Setup'!$B$8*(SUMIF($AD$3:$BA$3,"&lt;"&amp;$DF49,$B49:$Y49)+SUMIF($AD$3:$BA$3,"&gt;="&amp;$DG49,$B49:$Y49)),
IF(AH$3=$DF49+'Model Setup'!$C$7,SUMIF($AD$3:$BA$3,"="&amp;$DF49+'Model Setup'!$C$7,$B49:$Y49)+'Model Setup'!$C$8*(SUMIF($AD$3:$BA$3,"&lt;"&amp;$DF49,$B49:$Y49)+SUMIF($AD$3:$BA$3,"&gt;="&amp;$DG49,$B49:$Y49)),
IF(AH$3=$DF49+'Model Setup'!$D$7,SUMIF($AD$3:$BA$3,"="&amp;$DF49+'Model Setup'!$D$7,$B49:$Y49)+'Model Setup'!$D$8*(SUMIF($AD$3:$BA$3,"&lt;"&amp;$DF49,$B49:$Y49)+SUMIF($AD$3:$BA$3,"&gt;="&amp;$DG49,$B49:$Y49)),
IF(AH$3=$DF49+'Model Setup'!$E$7,SUMIF($AD$3:$BA$3,"="&amp;$DF49+'Model Setup'!$E$7,$B49:$Y49)+'Model Setup'!$E$8*(SUMIF($AD$3:$BA$3,"&lt;"&amp;$DF49,$B49:$Y49)+SUMIF($AD$3:$BA$3,"&gt;="&amp;$DG49,$B49:$Y49)),
IF(AH$3=$DF49+'Model Setup'!$F$7,SUMIF($AD$3:$BA$3,"="&amp;$DF49+'Model Setup'!$F$7,$B49:$Y49)+'Model Setup'!$F$8*(SUMIF($AD$3:$BA$3,"&lt;"&amp;$DF49,$B49:$Y49)+SUMIF($AD$3:$BA$3,"&gt;="&amp;$DG49,$B49:$Y49)),
IF(AH$3=$DF49+'Model Setup'!$G$7,SUMIF($AD$3:$BA$3,"="&amp;$DF49+'Model Setup'!$G$7,$B49:$Y49)+'Model Setup'!$G$8*(SUMIF($AD$3:$BA$3,"&lt;"&amp;$DF49,$B49:$Y49)+SUMIF($AD$3:$BA$3,"&gt;="&amp;$DG49,$B49:$Y49)),
IF(AH$3=$DF49+'Model Setup'!$H$7,SUMIF($AD$3:$BA$3,"="&amp;$DF49+'Model Setup'!$H$7,$B49:$Y49)+'Model Setup'!$H$8*(SUMIF($AD$3:$BA$3,"&lt;"&amp;$DF49,$B49:$Y49)+SUMIF($AD$3:$BA$3,"&gt;="&amp;$DG49,$B49:$Y49)),
IF(AH$3=$DF49+'Model Setup'!$I$7,SUMIF($AD$3:$BA$3,"="&amp;$DF49+'Model Setup'!$I$7,$B49:$Y49)+'Model Setup'!$I$8*(SUMIF($AD$3:$BA$3,"&lt;"&amp;$DF49,$B49:$Y49)+SUMIF($AD$3:$BA$3,"&gt;="&amp;$DG49,$B49:$Y49)),
IF(AH$3=$DF49+'Model Setup'!$J$7,SUMIF($AD$3:$BA$3,"="&amp;$DF49+'Model Setup'!$J$7,$B49:$Y49)+'Model Setup'!$J$8*(SUMIF($AD$3:$BA$3,"&lt;"&amp;$DF49,$B49:$Y49)+SUMIF($AD$3:$BA$3,"&gt;="&amp;$DG49,$B49:$Y49)),
IF(AH$3=$DF49+'Model Setup'!$K$7,SUMIF($AD$3:$BA$3,"="&amp;$DF49+'Model Setup'!$K$7,$B49:$Y49)+'Model Setup'!$K$8*(SUMIF($AD$3:$BA$3,"&lt;"&amp;$DF49,$B49:$Y49)+SUMIF($AD$3:$BA$3,"&gt;="&amp;$DG49,$B49:$Y49)),
IF(AH$3=$DF49+'Model Setup'!$L$7,SUMIF($AD$3:$BA$3,"="&amp;$DF49+'Model Setup'!$L$7,$B49:$Y49)+'Model Setup'!$L$8*(SUMIF($AD$3:$BA$3,"&lt;"&amp;$DF49,$B49:$Y49)+SUMIF($AD$3:$BA$3,"&gt;="&amp;$DG49,$B49:$Y49)),
IF(AH$3=$DF49+'Model Setup'!$M$7,SUMIF($AD$3:$BA$3,"="&amp;$DF49+'Model Setup'!$M$7,$B49:$Y49)+'Model Setup'!$M$8*(SUMIF($AD$3:$BA$3,"&lt;"&amp;$DF49,$B49:$Y49)+SUMIF($AD$3:$BA$3,"&gt;="&amp;$DG49,$B49:$Y49)),
IF(AH$3=$DF49+'Model Setup'!$N$7,SUMIF($AD$3:$BA$3,"="&amp;$DF49+'Model Setup'!$N$7,$B49:$Y49)+'Model Setup'!$N$8*(SUMIF($AD$3:$BA$3,"&lt;"&amp;$DF49,$B49:$Y49)+SUMIF($AD$3:$BA$3,"&gt;="&amp;$DG49,$B49:$Y49)),
IF(AH$3&lt;$DG49,F49,0))))))))))))))),0)</f>
        <v>0</v>
      </c>
      <c r="AI49" s="47">
        <f>ROUND(IF(AI$3&lt;$DF49,0,
IF(AI$3=$DF49+'Model Setup'!$B$7,SUMIF($AD$3:$BA$3,"="&amp;$DF49+'Model Setup'!$B$7,$B49:$Y49)+'Model Setup'!$B$8*(SUMIF($AD$3:$BA$3,"&lt;"&amp;$DF49,$B49:$Y49)+SUMIF($AD$3:$BA$3,"&gt;="&amp;$DG49,$B49:$Y49)),
IF(AI$3=$DF49+'Model Setup'!$C$7,SUMIF($AD$3:$BA$3,"="&amp;$DF49+'Model Setup'!$C$7,$B49:$Y49)+'Model Setup'!$C$8*(SUMIF($AD$3:$BA$3,"&lt;"&amp;$DF49,$B49:$Y49)+SUMIF($AD$3:$BA$3,"&gt;="&amp;$DG49,$B49:$Y49)),
IF(AI$3=$DF49+'Model Setup'!$D$7,SUMIF($AD$3:$BA$3,"="&amp;$DF49+'Model Setup'!$D$7,$B49:$Y49)+'Model Setup'!$D$8*(SUMIF($AD$3:$BA$3,"&lt;"&amp;$DF49,$B49:$Y49)+SUMIF($AD$3:$BA$3,"&gt;="&amp;$DG49,$B49:$Y49)),
IF(AI$3=$DF49+'Model Setup'!$E$7,SUMIF($AD$3:$BA$3,"="&amp;$DF49+'Model Setup'!$E$7,$B49:$Y49)+'Model Setup'!$E$8*(SUMIF($AD$3:$BA$3,"&lt;"&amp;$DF49,$B49:$Y49)+SUMIF($AD$3:$BA$3,"&gt;="&amp;$DG49,$B49:$Y49)),
IF(AI$3=$DF49+'Model Setup'!$F$7,SUMIF($AD$3:$BA$3,"="&amp;$DF49+'Model Setup'!$F$7,$B49:$Y49)+'Model Setup'!$F$8*(SUMIF($AD$3:$BA$3,"&lt;"&amp;$DF49,$B49:$Y49)+SUMIF($AD$3:$BA$3,"&gt;="&amp;$DG49,$B49:$Y49)),
IF(AI$3=$DF49+'Model Setup'!$G$7,SUMIF($AD$3:$BA$3,"="&amp;$DF49+'Model Setup'!$G$7,$B49:$Y49)+'Model Setup'!$G$8*(SUMIF($AD$3:$BA$3,"&lt;"&amp;$DF49,$B49:$Y49)+SUMIF($AD$3:$BA$3,"&gt;="&amp;$DG49,$B49:$Y49)),
IF(AI$3=$DF49+'Model Setup'!$H$7,SUMIF($AD$3:$BA$3,"="&amp;$DF49+'Model Setup'!$H$7,$B49:$Y49)+'Model Setup'!$H$8*(SUMIF($AD$3:$BA$3,"&lt;"&amp;$DF49,$B49:$Y49)+SUMIF($AD$3:$BA$3,"&gt;="&amp;$DG49,$B49:$Y49)),
IF(AI$3=$DF49+'Model Setup'!$I$7,SUMIF($AD$3:$BA$3,"="&amp;$DF49+'Model Setup'!$I$7,$B49:$Y49)+'Model Setup'!$I$8*(SUMIF($AD$3:$BA$3,"&lt;"&amp;$DF49,$B49:$Y49)+SUMIF($AD$3:$BA$3,"&gt;="&amp;$DG49,$B49:$Y49)),
IF(AI$3=$DF49+'Model Setup'!$J$7,SUMIF($AD$3:$BA$3,"="&amp;$DF49+'Model Setup'!$J$7,$B49:$Y49)+'Model Setup'!$J$8*(SUMIF($AD$3:$BA$3,"&lt;"&amp;$DF49,$B49:$Y49)+SUMIF($AD$3:$BA$3,"&gt;="&amp;$DG49,$B49:$Y49)),
IF(AI$3=$DF49+'Model Setup'!$K$7,SUMIF($AD$3:$BA$3,"="&amp;$DF49+'Model Setup'!$K$7,$B49:$Y49)+'Model Setup'!$K$8*(SUMIF($AD$3:$BA$3,"&lt;"&amp;$DF49,$B49:$Y49)+SUMIF($AD$3:$BA$3,"&gt;="&amp;$DG49,$B49:$Y49)),
IF(AI$3=$DF49+'Model Setup'!$L$7,SUMIF($AD$3:$BA$3,"="&amp;$DF49+'Model Setup'!$L$7,$B49:$Y49)+'Model Setup'!$L$8*(SUMIF($AD$3:$BA$3,"&lt;"&amp;$DF49,$B49:$Y49)+SUMIF($AD$3:$BA$3,"&gt;="&amp;$DG49,$B49:$Y49)),
IF(AI$3=$DF49+'Model Setup'!$M$7,SUMIF($AD$3:$BA$3,"="&amp;$DF49+'Model Setup'!$M$7,$B49:$Y49)+'Model Setup'!$M$8*(SUMIF($AD$3:$BA$3,"&lt;"&amp;$DF49,$B49:$Y49)+SUMIF($AD$3:$BA$3,"&gt;="&amp;$DG49,$B49:$Y49)),
IF(AI$3=$DF49+'Model Setup'!$N$7,SUMIF($AD$3:$BA$3,"="&amp;$DF49+'Model Setup'!$N$7,$B49:$Y49)+'Model Setup'!$N$8*(SUMIF($AD$3:$BA$3,"&lt;"&amp;$DF49,$B49:$Y49)+SUMIF($AD$3:$BA$3,"&gt;="&amp;$DG49,$B49:$Y49)),
IF(AI$3&lt;$DG49,G49,0))))))))))))))),0)</f>
        <v>0</v>
      </c>
      <c r="AJ49" s="47">
        <f>ROUND(IF(AJ$3&lt;$DF49,0,
IF(AJ$3=$DF49+'Model Setup'!$B$7,SUMIF($AD$3:$BA$3,"="&amp;$DF49+'Model Setup'!$B$7,$B49:$Y49)+'Model Setup'!$B$8*(SUMIF($AD$3:$BA$3,"&lt;"&amp;$DF49,$B49:$Y49)+SUMIF($AD$3:$BA$3,"&gt;="&amp;$DG49,$B49:$Y49)),
IF(AJ$3=$DF49+'Model Setup'!$C$7,SUMIF($AD$3:$BA$3,"="&amp;$DF49+'Model Setup'!$C$7,$B49:$Y49)+'Model Setup'!$C$8*(SUMIF($AD$3:$BA$3,"&lt;"&amp;$DF49,$B49:$Y49)+SUMIF($AD$3:$BA$3,"&gt;="&amp;$DG49,$B49:$Y49)),
IF(AJ$3=$DF49+'Model Setup'!$D$7,SUMIF($AD$3:$BA$3,"="&amp;$DF49+'Model Setup'!$D$7,$B49:$Y49)+'Model Setup'!$D$8*(SUMIF($AD$3:$BA$3,"&lt;"&amp;$DF49,$B49:$Y49)+SUMIF($AD$3:$BA$3,"&gt;="&amp;$DG49,$B49:$Y49)),
IF(AJ$3=$DF49+'Model Setup'!$E$7,SUMIF($AD$3:$BA$3,"="&amp;$DF49+'Model Setup'!$E$7,$B49:$Y49)+'Model Setup'!$E$8*(SUMIF($AD$3:$BA$3,"&lt;"&amp;$DF49,$B49:$Y49)+SUMIF($AD$3:$BA$3,"&gt;="&amp;$DG49,$B49:$Y49)),
IF(AJ$3=$DF49+'Model Setup'!$F$7,SUMIF($AD$3:$BA$3,"="&amp;$DF49+'Model Setup'!$F$7,$B49:$Y49)+'Model Setup'!$F$8*(SUMIF($AD$3:$BA$3,"&lt;"&amp;$DF49,$B49:$Y49)+SUMIF($AD$3:$BA$3,"&gt;="&amp;$DG49,$B49:$Y49)),
IF(AJ$3=$DF49+'Model Setup'!$G$7,SUMIF($AD$3:$BA$3,"="&amp;$DF49+'Model Setup'!$G$7,$B49:$Y49)+'Model Setup'!$G$8*(SUMIF($AD$3:$BA$3,"&lt;"&amp;$DF49,$B49:$Y49)+SUMIF($AD$3:$BA$3,"&gt;="&amp;$DG49,$B49:$Y49)),
IF(AJ$3=$DF49+'Model Setup'!$H$7,SUMIF($AD$3:$BA$3,"="&amp;$DF49+'Model Setup'!$H$7,$B49:$Y49)+'Model Setup'!$H$8*(SUMIF($AD$3:$BA$3,"&lt;"&amp;$DF49,$B49:$Y49)+SUMIF($AD$3:$BA$3,"&gt;="&amp;$DG49,$B49:$Y49)),
IF(AJ$3=$DF49+'Model Setup'!$I$7,SUMIF($AD$3:$BA$3,"="&amp;$DF49+'Model Setup'!$I$7,$B49:$Y49)+'Model Setup'!$I$8*(SUMIF($AD$3:$BA$3,"&lt;"&amp;$DF49,$B49:$Y49)+SUMIF($AD$3:$BA$3,"&gt;="&amp;$DG49,$B49:$Y49)),
IF(AJ$3=$DF49+'Model Setup'!$J$7,SUMIF($AD$3:$BA$3,"="&amp;$DF49+'Model Setup'!$J$7,$B49:$Y49)+'Model Setup'!$J$8*(SUMIF($AD$3:$BA$3,"&lt;"&amp;$DF49,$B49:$Y49)+SUMIF($AD$3:$BA$3,"&gt;="&amp;$DG49,$B49:$Y49)),
IF(AJ$3=$DF49+'Model Setup'!$K$7,SUMIF($AD$3:$BA$3,"="&amp;$DF49+'Model Setup'!$K$7,$B49:$Y49)+'Model Setup'!$K$8*(SUMIF($AD$3:$BA$3,"&lt;"&amp;$DF49,$B49:$Y49)+SUMIF($AD$3:$BA$3,"&gt;="&amp;$DG49,$B49:$Y49)),
IF(AJ$3=$DF49+'Model Setup'!$L$7,SUMIF($AD$3:$BA$3,"="&amp;$DF49+'Model Setup'!$L$7,$B49:$Y49)+'Model Setup'!$L$8*(SUMIF($AD$3:$BA$3,"&lt;"&amp;$DF49,$B49:$Y49)+SUMIF($AD$3:$BA$3,"&gt;="&amp;$DG49,$B49:$Y49)),
IF(AJ$3=$DF49+'Model Setup'!$M$7,SUMIF($AD$3:$BA$3,"="&amp;$DF49+'Model Setup'!$M$7,$B49:$Y49)+'Model Setup'!$M$8*(SUMIF($AD$3:$BA$3,"&lt;"&amp;$DF49,$B49:$Y49)+SUMIF($AD$3:$BA$3,"&gt;="&amp;$DG49,$B49:$Y49)),
IF(AJ$3=$DF49+'Model Setup'!$N$7,SUMIF($AD$3:$BA$3,"="&amp;$DF49+'Model Setup'!$N$7,$B49:$Y49)+'Model Setup'!$N$8*(SUMIF($AD$3:$BA$3,"&lt;"&amp;$DF49,$B49:$Y49)+SUMIF($AD$3:$BA$3,"&gt;="&amp;$DG49,$B49:$Y49)),
IF(AJ$3&lt;$DG49,H49,0))))))))))))))),0)</f>
        <v>0</v>
      </c>
      <c r="AK49" s="47">
        <f>ROUND(IF(AK$3&lt;$DF49,0,
IF(AK$3=$DF49+'Model Setup'!$B$7,SUMIF($AD$3:$BA$3,"="&amp;$DF49+'Model Setup'!$B$7,$B49:$Y49)+'Model Setup'!$B$8*(SUMIF($AD$3:$BA$3,"&lt;"&amp;$DF49,$B49:$Y49)+SUMIF($AD$3:$BA$3,"&gt;="&amp;$DG49,$B49:$Y49)),
IF(AK$3=$DF49+'Model Setup'!$C$7,SUMIF($AD$3:$BA$3,"="&amp;$DF49+'Model Setup'!$C$7,$B49:$Y49)+'Model Setup'!$C$8*(SUMIF($AD$3:$BA$3,"&lt;"&amp;$DF49,$B49:$Y49)+SUMIF($AD$3:$BA$3,"&gt;="&amp;$DG49,$B49:$Y49)),
IF(AK$3=$DF49+'Model Setup'!$D$7,SUMIF($AD$3:$BA$3,"="&amp;$DF49+'Model Setup'!$D$7,$B49:$Y49)+'Model Setup'!$D$8*(SUMIF($AD$3:$BA$3,"&lt;"&amp;$DF49,$B49:$Y49)+SUMIF($AD$3:$BA$3,"&gt;="&amp;$DG49,$B49:$Y49)),
IF(AK$3=$DF49+'Model Setup'!$E$7,SUMIF($AD$3:$BA$3,"="&amp;$DF49+'Model Setup'!$E$7,$B49:$Y49)+'Model Setup'!$E$8*(SUMIF($AD$3:$BA$3,"&lt;"&amp;$DF49,$B49:$Y49)+SUMIF($AD$3:$BA$3,"&gt;="&amp;$DG49,$B49:$Y49)),
IF(AK$3=$DF49+'Model Setup'!$F$7,SUMIF($AD$3:$BA$3,"="&amp;$DF49+'Model Setup'!$F$7,$B49:$Y49)+'Model Setup'!$F$8*(SUMIF($AD$3:$BA$3,"&lt;"&amp;$DF49,$B49:$Y49)+SUMIF($AD$3:$BA$3,"&gt;="&amp;$DG49,$B49:$Y49)),
IF(AK$3=$DF49+'Model Setup'!$G$7,SUMIF($AD$3:$BA$3,"="&amp;$DF49+'Model Setup'!$G$7,$B49:$Y49)+'Model Setup'!$G$8*(SUMIF($AD$3:$BA$3,"&lt;"&amp;$DF49,$B49:$Y49)+SUMIF($AD$3:$BA$3,"&gt;="&amp;$DG49,$B49:$Y49)),
IF(AK$3=$DF49+'Model Setup'!$H$7,SUMIF($AD$3:$BA$3,"="&amp;$DF49+'Model Setup'!$H$7,$B49:$Y49)+'Model Setup'!$H$8*(SUMIF($AD$3:$BA$3,"&lt;"&amp;$DF49,$B49:$Y49)+SUMIF($AD$3:$BA$3,"&gt;="&amp;$DG49,$B49:$Y49)),
IF(AK$3=$DF49+'Model Setup'!$I$7,SUMIF($AD$3:$BA$3,"="&amp;$DF49+'Model Setup'!$I$7,$B49:$Y49)+'Model Setup'!$I$8*(SUMIF($AD$3:$BA$3,"&lt;"&amp;$DF49,$B49:$Y49)+SUMIF($AD$3:$BA$3,"&gt;="&amp;$DG49,$B49:$Y49)),
IF(AK$3=$DF49+'Model Setup'!$J$7,SUMIF($AD$3:$BA$3,"="&amp;$DF49+'Model Setup'!$J$7,$B49:$Y49)+'Model Setup'!$J$8*(SUMIF($AD$3:$BA$3,"&lt;"&amp;$DF49,$B49:$Y49)+SUMIF($AD$3:$BA$3,"&gt;="&amp;$DG49,$B49:$Y49)),
IF(AK$3=$DF49+'Model Setup'!$K$7,SUMIF($AD$3:$BA$3,"="&amp;$DF49+'Model Setup'!$K$7,$B49:$Y49)+'Model Setup'!$K$8*(SUMIF($AD$3:$BA$3,"&lt;"&amp;$DF49,$B49:$Y49)+SUMIF($AD$3:$BA$3,"&gt;="&amp;$DG49,$B49:$Y49)),
IF(AK$3=$DF49+'Model Setup'!$L$7,SUMIF($AD$3:$BA$3,"="&amp;$DF49+'Model Setup'!$L$7,$B49:$Y49)+'Model Setup'!$L$8*(SUMIF($AD$3:$BA$3,"&lt;"&amp;$DF49,$B49:$Y49)+SUMIF($AD$3:$BA$3,"&gt;="&amp;$DG49,$B49:$Y49)),
IF(AK$3=$DF49+'Model Setup'!$M$7,SUMIF($AD$3:$BA$3,"="&amp;$DF49+'Model Setup'!$M$7,$B49:$Y49)+'Model Setup'!$M$8*(SUMIF($AD$3:$BA$3,"&lt;"&amp;$DF49,$B49:$Y49)+SUMIF($AD$3:$BA$3,"&gt;="&amp;$DG49,$B49:$Y49)),
IF(AK$3=$DF49+'Model Setup'!$N$7,SUMIF($AD$3:$BA$3,"="&amp;$DF49+'Model Setup'!$N$7,$B49:$Y49)+'Model Setup'!$N$8*(SUMIF($AD$3:$BA$3,"&lt;"&amp;$DF49,$B49:$Y49)+SUMIF($AD$3:$BA$3,"&gt;="&amp;$DG49,$B49:$Y49)),
IF(AK$3&lt;$DG49,I49,0))))))))))))))),0)</f>
        <v>169</v>
      </c>
      <c r="AL49" s="47">
        <f>ROUND(IF(AL$3&lt;$DF49,0,
IF(AL$3=$DF49+'Model Setup'!$B$7,SUMIF($AD$3:$BA$3,"="&amp;$DF49+'Model Setup'!$B$7,$B49:$Y49)+'Model Setup'!$B$8*(SUMIF($AD$3:$BA$3,"&lt;"&amp;$DF49,$B49:$Y49)+SUMIF($AD$3:$BA$3,"&gt;="&amp;$DG49,$B49:$Y49)),
IF(AL$3=$DF49+'Model Setup'!$C$7,SUMIF($AD$3:$BA$3,"="&amp;$DF49+'Model Setup'!$C$7,$B49:$Y49)+'Model Setup'!$C$8*(SUMIF($AD$3:$BA$3,"&lt;"&amp;$DF49,$B49:$Y49)+SUMIF($AD$3:$BA$3,"&gt;="&amp;$DG49,$B49:$Y49)),
IF(AL$3=$DF49+'Model Setup'!$D$7,SUMIF($AD$3:$BA$3,"="&amp;$DF49+'Model Setup'!$D$7,$B49:$Y49)+'Model Setup'!$D$8*(SUMIF($AD$3:$BA$3,"&lt;"&amp;$DF49,$B49:$Y49)+SUMIF($AD$3:$BA$3,"&gt;="&amp;$DG49,$B49:$Y49)),
IF(AL$3=$DF49+'Model Setup'!$E$7,SUMIF($AD$3:$BA$3,"="&amp;$DF49+'Model Setup'!$E$7,$B49:$Y49)+'Model Setup'!$E$8*(SUMIF($AD$3:$BA$3,"&lt;"&amp;$DF49,$B49:$Y49)+SUMIF($AD$3:$BA$3,"&gt;="&amp;$DG49,$B49:$Y49)),
IF(AL$3=$DF49+'Model Setup'!$F$7,SUMIF($AD$3:$BA$3,"="&amp;$DF49+'Model Setup'!$F$7,$B49:$Y49)+'Model Setup'!$F$8*(SUMIF($AD$3:$BA$3,"&lt;"&amp;$DF49,$B49:$Y49)+SUMIF($AD$3:$BA$3,"&gt;="&amp;$DG49,$B49:$Y49)),
IF(AL$3=$DF49+'Model Setup'!$G$7,SUMIF($AD$3:$BA$3,"="&amp;$DF49+'Model Setup'!$G$7,$B49:$Y49)+'Model Setup'!$G$8*(SUMIF($AD$3:$BA$3,"&lt;"&amp;$DF49,$B49:$Y49)+SUMIF($AD$3:$BA$3,"&gt;="&amp;$DG49,$B49:$Y49)),
IF(AL$3=$DF49+'Model Setup'!$H$7,SUMIF($AD$3:$BA$3,"="&amp;$DF49+'Model Setup'!$H$7,$B49:$Y49)+'Model Setup'!$H$8*(SUMIF($AD$3:$BA$3,"&lt;"&amp;$DF49,$B49:$Y49)+SUMIF($AD$3:$BA$3,"&gt;="&amp;$DG49,$B49:$Y49)),
IF(AL$3=$DF49+'Model Setup'!$I$7,SUMIF($AD$3:$BA$3,"="&amp;$DF49+'Model Setup'!$I$7,$B49:$Y49)+'Model Setup'!$I$8*(SUMIF($AD$3:$BA$3,"&lt;"&amp;$DF49,$B49:$Y49)+SUMIF($AD$3:$BA$3,"&gt;="&amp;$DG49,$B49:$Y49)),
IF(AL$3=$DF49+'Model Setup'!$J$7,SUMIF($AD$3:$BA$3,"="&amp;$DF49+'Model Setup'!$J$7,$B49:$Y49)+'Model Setup'!$J$8*(SUMIF($AD$3:$BA$3,"&lt;"&amp;$DF49,$B49:$Y49)+SUMIF($AD$3:$BA$3,"&gt;="&amp;$DG49,$B49:$Y49)),
IF(AL$3=$DF49+'Model Setup'!$K$7,SUMIF($AD$3:$BA$3,"="&amp;$DF49+'Model Setup'!$K$7,$B49:$Y49)+'Model Setup'!$K$8*(SUMIF($AD$3:$BA$3,"&lt;"&amp;$DF49,$B49:$Y49)+SUMIF($AD$3:$BA$3,"&gt;="&amp;$DG49,$B49:$Y49)),
IF(AL$3=$DF49+'Model Setup'!$L$7,SUMIF($AD$3:$BA$3,"="&amp;$DF49+'Model Setup'!$L$7,$B49:$Y49)+'Model Setup'!$L$8*(SUMIF($AD$3:$BA$3,"&lt;"&amp;$DF49,$B49:$Y49)+SUMIF($AD$3:$BA$3,"&gt;="&amp;$DG49,$B49:$Y49)),
IF(AL$3=$DF49+'Model Setup'!$M$7,SUMIF($AD$3:$BA$3,"="&amp;$DF49+'Model Setup'!$M$7,$B49:$Y49)+'Model Setup'!$M$8*(SUMIF($AD$3:$BA$3,"&lt;"&amp;$DF49,$B49:$Y49)+SUMIF($AD$3:$BA$3,"&gt;="&amp;$DG49,$B49:$Y49)),
IF(AL$3=$DF49+'Model Setup'!$N$7,SUMIF($AD$3:$BA$3,"="&amp;$DF49+'Model Setup'!$N$7,$B49:$Y49)+'Model Setup'!$N$8*(SUMIF($AD$3:$BA$3,"&lt;"&amp;$DF49,$B49:$Y49)+SUMIF($AD$3:$BA$3,"&gt;="&amp;$DG49,$B49:$Y49)),
IF(AL$3&lt;$DG49,J49,0))))))))))))))),0)</f>
        <v>243</v>
      </c>
      <c r="AM49" s="47">
        <f>ROUND(IF(AM$3&lt;$DF49,0,
IF(AM$3=$DF49+'Model Setup'!$B$7,SUMIF($AD$3:$BA$3,"="&amp;$DF49+'Model Setup'!$B$7,$B49:$Y49)+'Model Setup'!$B$8*(SUMIF($AD$3:$BA$3,"&lt;"&amp;$DF49,$B49:$Y49)+SUMIF($AD$3:$BA$3,"&gt;="&amp;$DG49,$B49:$Y49)),
IF(AM$3=$DF49+'Model Setup'!$C$7,SUMIF($AD$3:$BA$3,"="&amp;$DF49+'Model Setup'!$C$7,$B49:$Y49)+'Model Setup'!$C$8*(SUMIF($AD$3:$BA$3,"&lt;"&amp;$DF49,$B49:$Y49)+SUMIF($AD$3:$BA$3,"&gt;="&amp;$DG49,$B49:$Y49)),
IF(AM$3=$DF49+'Model Setup'!$D$7,SUMIF($AD$3:$BA$3,"="&amp;$DF49+'Model Setup'!$D$7,$B49:$Y49)+'Model Setup'!$D$8*(SUMIF($AD$3:$BA$3,"&lt;"&amp;$DF49,$B49:$Y49)+SUMIF($AD$3:$BA$3,"&gt;="&amp;$DG49,$B49:$Y49)),
IF(AM$3=$DF49+'Model Setup'!$E$7,SUMIF($AD$3:$BA$3,"="&amp;$DF49+'Model Setup'!$E$7,$B49:$Y49)+'Model Setup'!$E$8*(SUMIF($AD$3:$BA$3,"&lt;"&amp;$DF49,$B49:$Y49)+SUMIF($AD$3:$BA$3,"&gt;="&amp;$DG49,$B49:$Y49)),
IF(AM$3=$DF49+'Model Setup'!$F$7,SUMIF($AD$3:$BA$3,"="&amp;$DF49+'Model Setup'!$F$7,$B49:$Y49)+'Model Setup'!$F$8*(SUMIF($AD$3:$BA$3,"&lt;"&amp;$DF49,$B49:$Y49)+SUMIF($AD$3:$BA$3,"&gt;="&amp;$DG49,$B49:$Y49)),
IF(AM$3=$DF49+'Model Setup'!$G$7,SUMIF($AD$3:$BA$3,"="&amp;$DF49+'Model Setup'!$G$7,$B49:$Y49)+'Model Setup'!$G$8*(SUMIF($AD$3:$BA$3,"&lt;"&amp;$DF49,$B49:$Y49)+SUMIF($AD$3:$BA$3,"&gt;="&amp;$DG49,$B49:$Y49)),
IF(AM$3=$DF49+'Model Setup'!$H$7,SUMIF($AD$3:$BA$3,"="&amp;$DF49+'Model Setup'!$H$7,$B49:$Y49)+'Model Setup'!$H$8*(SUMIF($AD$3:$BA$3,"&lt;"&amp;$DF49,$B49:$Y49)+SUMIF($AD$3:$BA$3,"&gt;="&amp;$DG49,$B49:$Y49)),
IF(AM$3=$DF49+'Model Setup'!$I$7,SUMIF($AD$3:$BA$3,"="&amp;$DF49+'Model Setup'!$I$7,$B49:$Y49)+'Model Setup'!$I$8*(SUMIF($AD$3:$BA$3,"&lt;"&amp;$DF49,$B49:$Y49)+SUMIF($AD$3:$BA$3,"&gt;="&amp;$DG49,$B49:$Y49)),
IF(AM$3=$DF49+'Model Setup'!$J$7,SUMIF($AD$3:$BA$3,"="&amp;$DF49+'Model Setup'!$J$7,$B49:$Y49)+'Model Setup'!$J$8*(SUMIF($AD$3:$BA$3,"&lt;"&amp;$DF49,$B49:$Y49)+SUMIF($AD$3:$BA$3,"&gt;="&amp;$DG49,$B49:$Y49)),
IF(AM$3=$DF49+'Model Setup'!$K$7,SUMIF($AD$3:$BA$3,"="&amp;$DF49+'Model Setup'!$K$7,$B49:$Y49)+'Model Setup'!$K$8*(SUMIF($AD$3:$BA$3,"&lt;"&amp;$DF49,$B49:$Y49)+SUMIF($AD$3:$BA$3,"&gt;="&amp;$DG49,$B49:$Y49)),
IF(AM$3=$DF49+'Model Setup'!$L$7,SUMIF($AD$3:$BA$3,"="&amp;$DF49+'Model Setup'!$L$7,$B49:$Y49)+'Model Setup'!$L$8*(SUMIF($AD$3:$BA$3,"&lt;"&amp;$DF49,$B49:$Y49)+SUMIF($AD$3:$BA$3,"&gt;="&amp;$DG49,$B49:$Y49)),
IF(AM$3=$DF49+'Model Setup'!$M$7,SUMIF($AD$3:$BA$3,"="&amp;$DF49+'Model Setup'!$M$7,$B49:$Y49)+'Model Setup'!$M$8*(SUMIF($AD$3:$BA$3,"&lt;"&amp;$DF49,$B49:$Y49)+SUMIF($AD$3:$BA$3,"&gt;="&amp;$DG49,$B49:$Y49)),
IF(AM$3=$DF49+'Model Setup'!$N$7,SUMIF($AD$3:$BA$3,"="&amp;$DF49+'Model Setup'!$N$7,$B49:$Y49)+'Model Setup'!$N$8*(SUMIF($AD$3:$BA$3,"&lt;"&amp;$DF49,$B49:$Y49)+SUMIF($AD$3:$BA$3,"&gt;="&amp;$DG49,$B49:$Y49)),
IF(AM$3&lt;$DG49,K49,0))))))))))))))),0)</f>
        <v>199</v>
      </c>
      <c r="AN49" s="47">
        <f>ROUND(IF(AN$3&lt;$DF49,0,
IF(AN$3=$DF49+'Model Setup'!$B$7,SUMIF($AD$3:$BA$3,"="&amp;$DF49+'Model Setup'!$B$7,$B49:$Y49)+'Model Setup'!$B$8*(SUMIF($AD$3:$BA$3,"&lt;"&amp;$DF49,$B49:$Y49)+SUMIF($AD$3:$BA$3,"&gt;="&amp;$DG49,$B49:$Y49)),
IF(AN$3=$DF49+'Model Setup'!$C$7,SUMIF($AD$3:$BA$3,"="&amp;$DF49+'Model Setup'!$C$7,$B49:$Y49)+'Model Setup'!$C$8*(SUMIF($AD$3:$BA$3,"&lt;"&amp;$DF49,$B49:$Y49)+SUMIF($AD$3:$BA$3,"&gt;="&amp;$DG49,$B49:$Y49)),
IF(AN$3=$DF49+'Model Setup'!$D$7,SUMIF($AD$3:$BA$3,"="&amp;$DF49+'Model Setup'!$D$7,$B49:$Y49)+'Model Setup'!$D$8*(SUMIF($AD$3:$BA$3,"&lt;"&amp;$DF49,$B49:$Y49)+SUMIF($AD$3:$BA$3,"&gt;="&amp;$DG49,$B49:$Y49)),
IF(AN$3=$DF49+'Model Setup'!$E$7,SUMIF($AD$3:$BA$3,"="&amp;$DF49+'Model Setup'!$E$7,$B49:$Y49)+'Model Setup'!$E$8*(SUMIF($AD$3:$BA$3,"&lt;"&amp;$DF49,$B49:$Y49)+SUMIF($AD$3:$BA$3,"&gt;="&amp;$DG49,$B49:$Y49)),
IF(AN$3=$DF49+'Model Setup'!$F$7,SUMIF($AD$3:$BA$3,"="&amp;$DF49+'Model Setup'!$F$7,$B49:$Y49)+'Model Setup'!$F$8*(SUMIF($AD$3:$BA$3,"&lt;"&amp;$DF49,$B49:$Y49)+SUMIF($AD$3:$BA$3,"&gt;="&amp;$DG49,$B49:$Y49)),
IF(AN$3=$DF49+'Model Setup'!$G$7,SUMIF($AD$3:$BA$3,"="&amp;$DF49+'Model Setup'!$G$7,$B49:$Y49)+'Model Setup'!$G$8*(SUMIF($AD$3:$BA$3,"&lt;"&amp;$DF49,$B49:$Y49)+SUMIF($AD$3:$BA$3,"&gt;="&amp;$DG49,$B49:$Y49)),
IF(AN$3=$DF49+'Model Setup'!$H$7,SUMIF($AD$3:$BA$3,"="&amp;$DF49+'Model Setup'!$H$7,$B49:$Y49)+'Model Setup'!$H$8*(SUMIF($AD$3:$BA$3,"&lt;"&amp;$DF49,$B49:$Y49)+SUMIF($AD$3:$BA$3,"&gt;="&amp;$DG49,$B49:$Y49)),
IF(AN$3=$DF49+'Model Setup'!$I$7,SUMIF($AD$3:$BA$3,"="&amp;$DF49+'Model Setup'!$I$7,$B49:$Y49)+'Model Setup'!$I$8*(SUMIF($AD$3:$BA$3,"&lt;"&amp;$DF49,$B49:$Y49)+SUMIF($AD$3:$BA$3,"&gt;="&amp;$DG49,$B49:$Y49)),
IF(AN$3=$DF49+'Model Setup'!$J$7,SUMIF($AD$3:$BA$3,"="&amp;$DF49+'Model Setup'!$J$7,$B49:$Y49)+'Model Setup'!$J$8*(SUMIF($AD$3:$BA$3,"&lt;"&amp;$DF49,$B49:$Y49)+SUMIF($AD$3:$BA$3,"&gt;="&amp;$DG49,$B49:$Y49)),
IF(AN$3=$DF49+'Model Setup'!$K$7,SUMIF($AD$3:$BA$3,"="&amp;$DF49+'Model Setup'!$K$7,$B49:$Y49)+'Model Setup'!$K$8*(SUMIF($AD$3:$BA$3,"&lt;"&amp;$DF49,$B49:$Y49)+SUMIF($AD$3:$BA$3,"&gt;="&amp;$DG49,$B49:$Y49)),
IF(AN$3=$DF49+'Model Setup'!$L$7,SUMIF($AD$3:$BA$3,"="&amp;$DF49+'Model Setup'!$L$7,$B49:$Y49)+'Model Setup'!$L$8*(SUMIF($AD$3:$BA$3,"&lt;"&amp;$DF49,$B49:$Y49)+SUMIF($AD$3:$BA$3,"&gt;="&amp;$DG49,$B49:$Y49)),
IF(AN$3=$DF49+'Model Setup'!$M$7,SUMIF($AD$3:$BA$3,"="&amp;$DF49+'Model Setup'!$M$7,$B49:$Y49)+'Model Setup'!$M$8*(SUMIF($AD$3:$BA$3,"&lt;"&amp;$DF49,$B49:$Y49)+SUMIF($AD$3:$BA$3,"&gt;="&amp;$DG49,$B49:$Y49)),
IF(AN$3=$DF49+'Model Setup'!$N$7,SUMIF($AD$3:$BA$3,"="&amp;$DF49+'Model Setup'!$N$7,$B49:$Y49)+'Model Setup'!$N$8*(SUMIF($AD$3:$BA$3,"&lt;"&amp;$DF49,$B49:$Y49)+SUMIF($AD$3:$BA$3,"&gt;="&amp;$DG49,$B49:$Y49)),
IF(AN$3&lt;$DG49,L49,0))))))))))))))),0)</f>
        <v>187</v>
      </c>
      <c r="AO49" s="47">
        <f>ROUND(IF(AO$3&lt;$DF49,0,
IF(AO$3=$DF49+'Model Setup'!$B$7,SUMIF($AD$3:$BA$3,"="&amp;$DF49+'Model Setup'!$B$7,$B49:$Y49)+'Model Setup'!$B$8*(SUMIF($AD$3:$BA$3,"&lt;"&amp;$DF49,$B49:$Y49)+SUMIF($AD$3:$BA$3,"&gt;="&amp;$DG49,$B49:$Y49)),
IF(AO$3=$DF49+'Model Setup'!$C$7,SUMIF($AD$3:$BA$3,"="&amp;$DF49+'Model Setup'!$C$7,$B49:$Y49)+'Model Setup'!$C$8*(SUMIF($AD$3:$BA$3,"&lt;"&amp;$DF49,$B49:$Y49)+SUMIF($AD$3:$BA$3,"&gt;="&amp;$DG49,$B49:$Y49)),
IF(AO$3=$DF49+'Model Setup'!$D$7,SUMIF($AD$3:$BA$3,"="&amp;$DF49+'Model Setup'!$D$7,$B49:$Y49)+'Model Setup'!$D$8*(SUMIF($AD$3:$BA$3,"&lt;"&amp;$DF49,$B49:$Y49)+SUMIF($AD$3:$BA$3,"&gt;="&amp;$DG49,$B49:$Y49)),
IF(AO$3=$DF49+'Model Setup'!$E$7,SUMIF($AD$3:$BA$3,"="&amp;$DF49+'Model Setup'!$E$7,$B49:$Y49)+'Model Setup'!$E$8*(SUMIF($AD$3:$BA$3,"&lt;"&amp;$DF49,$B49:$Y49)+SUMIF($AD$3:$BA$3,"&gt;="&amp;$DG49,$B49:$Y49)),
IF(AO$3=$DF49+'Model Setup'!$F$7,SUMIF($AD$3:$BA$3,"="&amp;$DF49+'Model Setup'!$F$7,$B49:$Y49)+'Model Setup'!$F$8*(SUMIF($AD$3:$BA$3,"&lt;"&amp;$DF49,$B49:$Y49)+SUMIF($AD$3:$BA$3,"&gt;="&amp;$DG49,$B49:$Y49)),
IF(AO$3=$DF49+'Model Setup'!$G$7,SUMIF($AD$3:$BA$3,"="&amp;$DF49+'Model Setup'!$G$7,$B49:$Y49)+'Model Setup'!$G$8*(SUMIF($AD$3:$BA$3,"&lt;"&amp;$DF49,$B49:$Y49)+SUMIF($AD$3:$BA$3,"&gt;="&amp;$DG49,$B49:$Y49)),
IF(AO$3=$DF49+'Model Setup'!$H$7,SUMIF($AD$3:$BA$3,"="&amp;$DF49+'Model Setup'!$H$7,$B49:$Y49)+'Model Setup'!$H$8*(SUMIF($AD$3:$BA$3,"&lt;"&amp;$DF49,$B49:$Y49)+SUMIF($AD$3:$BA$3,"&gt;="&amp;$DG49,$B49:$Y49)),
IF(AO$3=$DF49+'Model Setup'!$I$7,SUMIF($AD$3:$BA$3,"="&amp;$DF49+'Model Setup'!$I$7,$B49:$Y49)+'Model Setup'!$I$8*(SUMIF($AD$3:$BA$3,"&lt;"&amp;$DF49,$B49:$Y49)+SUMIF($AD$3:$BA$3,"&gt;="&amp;$DG49,$B49:$Y49)),
IF(AO$3=$DF49+'Model Setup'!$J$7,SUMIF($AD$3:$BA$3,"="&amp;$DF49+'Model Setup'!$J$7,$B49:$Y49)+'Model Setup'!$J$8*(SUMIF($AD$3:$BA$3,"&lt;"&amp;$DF49,$B49:$Y49)+SUMIF($AD$3:$BA$3,"&gt;="&amp;$DG49,$B49:$Y49)),
IF(AO$3=$DF49+'Model Setup'!$K$7,SUMIF($AD$3:$BA$3,"="&amp;$DF49+'Model Setup'!$K$7,$B49:$Y49)+'Model Setup'!$K$8*(SUMIF($AD$3:$BA$3,"&lt;"&amp;$DF49,$B49:$Y49)+SUMIF($AD$3:$BA$3,"&gt;="&amp;$DG49,$B49:$Y49)),
IF(AO$3=$DF49+'Model Setup'!$L$7,SUMIF($AD$3:$BA$3,"="&amp;$DF49+'Model Setup'!$L$7,$B49:$Y49)+'Model Setup'!$L$8*(SUMIF($AD$3:$BA$3,"&lt;"&amp;$DF49,$B49:$Y49)+SUMIF($AD$3:$BA$3,"&gt;="&amp;$DG49,$B49:$Y49)),
IF(AO$3=$DF49+'Model Setup'!$M$7,SUMIF($AD$3:$BA$3,"="&amp;$DF49+'Model Setup'!$M$7,$B49:$Y49)+'Model Setup'!$M$8*(SUMIF($AD$3:$BA$3,"&lt;"&amp;$DF49,$B49:$Y49)+SUMIF($AD$3:$BA$3,"&gt;="&amp;$DG49,$B49:$Y49)),
IF(AO$3=$DF49+'Model Setup'!$N$7,SUMIF($AD$3:$BA$3,"="&amp;$DF49+'Model Setup'!$N$7,$B49:$Y49)+'Model Setup'!$N$8*(SUMIF($AD$3:$BA$3,"&lt;"&amp;$DF49,$B49:$Y49)+SUMIF($AD$3:$BA$3,"&gt;="&amp;$DG49,$B49:$Y49)),
IF(AO$3&lt;$DG49,M49,0))))))))))))))),0)</f>
        <v>150</v>
      </c>
      <c r="AP49" s="47">
        <f>ROUND(IF(AP$3&lt;$DF49,0,
IF(AP$3=$DF49+'Model Setup'!$B$7,SUMIF($AD$3:$BA$3,"="&amp;$DF49+'Model Setup'!$B$7,$B49:$Y49)+'Model Setup'!$B$8*(SUMIF($AD$3:$BA$3,"&lt;"&amp;$DF49,$B49:$Y49)+SUMIF($AD$3:$BA$3,"&gt;="&amp;$DG49,$B49:$Y49)),
IF(AP$3=$DF49+'Model Setup'!$C$7,SUMIF($AD$3:$BA$3,"="&amp;$DF49+'Model Setup'!$C$7,$B49:$Y49)+'Model Setup'!$C$8*(SUMIF($AD$3:$BA$3,"&lt;"&amp;$DF49,$B49:$Y49)+SUMIF($AD$3:$BA$3,"&gt;="&amp;$DG49,$B49:$Y49)),
IF(AP$3=$DF49+'Model Setup'!$D$7,SUMIF($AD$3:$BA$3,"="&amp;$DF49+'Model Setup'!$D$7,$B49:$Y49)+'Model Setup'!$D$8*(SUMIF($AD$3:$BA$3,"&lt;"&amp;$DF49,$B49:$Y49)+SUMIF($AD$3:$BA$3,"&gt;="&amp;$DG49,$B49:$Y49)),
IF(AP$3=$DF49+'Model Setup'!$E$7,SUMIF($AD$3:$BA$3,"="&amp;$DF49+'Model Setup'!$E$7,$B49:$Y49)+'Model Setup'!$E$8*(SUMIF($AD$3:$BA$3,"&lt;"&amp;$DF49,$B49:$Y49)+SUMIF($AD$3:$BA$3,"&gt;="&amp;$DG49,$B49:$Y49)),
IF(AP$3=$DF49+'Model Setup'!$F$7,SUMIF($AD$3:$BA$3,"="&amp;$DF49+'Model Setup'!$F$7,$B49:$Y49)+'Model Setup'!$F$8*(SUMIF($AD$3:$BA$3,"&lt;"&amp;$DF49,$B49:$Y49)+SUMIF($AD$3:$BA$3,"&gt;="&amp;$DG49,$B49:$Y49)),
IF(AP$3=$DF49+'Model Setup'!$G$7,SUMIF($AD$3:$BA$3,"="&amp;$DF49+'Model Setup'!$G$7,$B49:$Y49)+'Model Setup'!$G$8*(SUMIF($AD$3:$BA$3,"&lt;"&amp;$DF49,$B49:$Y49)+SUMIF($AD$3:$BA$3,"&gt;="&amp;$DG49,$B49:$Y49)),
IF(AP$3=$DF49+'Model Setup'!$H$7,SUMIF($AD$3:$BA$3,"="&amp;$DF49+'Model Setup'!$H$7,$B49:$Y49)+'Model Setup'!$H$8*(SUMIF($AD$3:$BA$3,"&lt;"&amp;$DF49,$B49:$Y49)+SUMIF($AD$3:$BA$3,"&gt;="&amp;$DG49,$B49:$Y49)),
IF(AP$3=$DF49+'Model Setup'!$I$7,SUMIF($AD$3:$BA$3,"="&amp;$DF49+'Model Setup'!$I$7,$B49:$Y49)+'Model Setup'!$I$8*(SUMIF($AD$3:$BA$3,"&lt;"&amp;$DF49,$B49:$Y49)+SUMIF($AD$3:$BA$3,"&gt;="&amp;$DG49,$B49:$Y49)),
IF(AP$3=$DF49+'Model Setup'!$J$7,SUMIF($AD$3:$BA$3,"="&amp;$DF49+'Model Setup'!$J$7,$B49:$Y49)+'Model Setup'!$J$8*(SUMIF($AD$3:$BA$3,"&lt;"&amp;$DF49,$B49:$Y49)+SUMIF($AD$3:$BA$3,"&gt;="&amp;$DG49,$B49:$Y49)),
IF(AP$3=$DF49+'Model Setup'!$K$7,SUMIF($AD$3:$BA$3,"="&amp;$DF49+'Model Setup'!$K$7,$B49:$Y49)+'Model Setup'!$K$8*(SUMIF($AD$3:$BA$3,"&lt;"&amp;$DF49,$B49:$Y49)+SUMIF($AD$3:$BA$3,"&gt;="&amp;$DG49,$B49:$Y49)),
IF(AP$3=$DF49+'Model Setup'!$L$7,SUMIF($AD$3:$BA$3,"="&amp;$DF49+'Model Setup'!$L$7,$B49:$Y49)+'Model Setup'!$L$8*(SUMIF($AD$3:$BA$3,"&lt;"&amp;$DF49,$B49:$Y49)+SUMIF($AD$3:$BA$3,"&gt;="&amp;$DG49,$B49:$Y49)),
IF(AP$3=$DF49+'Model Setup'!$M$7,SUMIF($AD$3:$BA$3,"="&amp;$DF49+'Model Setup'!$M$7,$B49:$Y49)+'Model Setup'!$M$8*(SUMIF($AD$3:$BA$3,"&lt;"&amp;$DF49,$B49:$Y49)+SUMIF($AD$3:$BA$3,"&gt;="&amp;$DG49,$B49:$Y49)),
IF(AP$3=$DF49+'Model Setup'!$N$7,SUMIF($AD$3:$BA$3,"="&amp;$DF49+'Model Setup'!$N$7,$B49:$Y49)+'Model Setup'!$N$8*(SUMIF($AD$3:$BA$3,"&lt;"&amp;$DF49,$B49:$Y49)+SUMIF($AD$3:$BA$3,"&gt;="&amp;$DG49,$B49:$Y49)),
IF(AP$3&lt;$DG49,N49,0))))))))))))))),0)</f>
        <v>152</v>
      </c>
      <c r="AQ49" s="47">
        <f>ROUND(IF(AQ$3&lt;$DF49,0,
IF(AQ$3=$DF49+'Model Setup'!$B$7,SUMIF($AD$3:$BA$3,"="&amp;$DF49+'Model Setup'!$B$7,$B49:$Y49)+'Model Setup'!$B$8*(SUMIF($AD$3:$BA$3,"&lt;"&amp;$DF49,$B49:$Y49)+SUMIF($AD$3:$BA$3,"&gt;="&amp;$DG49,$B49:$Y49)),
IF(AQ$3=$DF49+'Model Setup'!$C$7,SUMIF($AD$3:$BA$3,"="&amp;$DF49+'Model Setup'!$C$7,$B49:$Y49)+'Model Setup'!$C$8*(SUMIF($AD$3:$BA$3,"&lt;"&amp;$DF49,$B49:$Y49)+SUMIF($AD$3:$BA$3,"&gt;="&amp;$DG49,$B49:$Y49)),
IF(AQ$3=$DF49+'Model Setup'!$D$7,SUMIF($AD$3:$BA$3,"="&amp;$DF49+'Model Setup'!$D$7,$B49:$Y49)+'Model Setup'!$D$8*(SUMIF($AD$3:$BA$3,"&lt;"&amp;$DF49,$B49:$Y49)+SUMIF($AD$3:$BA$3,"&gt;="&amp;$DG49,$B49:$Y49)),
IF(AQ$3=$DF49+'Model Setup'!$E$7,SUMIF($AD$3:$BA$3,"="&amp;$DF49+'Model Setup'!$E$7,$B49:$Y49)+'Model Setup'!$E$8*(SUMIF($AD$3:$BA$3,"&lt;"&amp;$DF49,$B49:$Y49)+SUMIF($AD$3:$BA$3,"&gt;="&amp;$DG49,$B49:$Y49)),
IF(AQ$3=$DF49+'Model Setup'!$F$7,SUMIF($AD$3:$BA$3,"="&amp;$DF49+'Model Setup'!$F$7,$B49:$Y49)+'Model Setup'!$F$8*(SUMIF($AD$3:$BA$3,"&lt;"&amp;$DF49,$B49:$Y49)+SUMIF($AD$3:$BA$3,"&gt;="&amp;$DG49,$B49:$Y49)),
IF(AQ$3=$DF49+'Model Setup'!$G$7,SUMIF($AD$3:$BA$3,"="&amp;$DF49+'Model Setup'!$G$7,$B49:$Y49)+'Model Setup'!$G$8*(SUMIF($AD$3:$BA$3,"&lt;"&amp;$DF49,$B49:$Y49)+SUMIF($AD$3:$BA$3,"&gt;="&amp;$DG49,$B49:$Y49)),
IF(AQ$3=$DF49+'Model Setup'!$H$7,SUMIF($AD$3:$BA$3,"="&amp;$DF49+'Model Setup'!$H$7,$B49:$Y49)+'Model Setup'!$H$8*(SUMIF($AD$3:$BA$3,"&lt;"&amp;$DF49,$B49:$Y49)+SUMIF($AD$3:$BA$3,"&gt;="&amp;$DG49,$B49:$Y49)),
IF(AQ$3=$DF49+'Model Setup'!$I$7,SUMIF($AD$3:$BA$3,"="&amp;$DF49+'Model Setup'!$I$7,$B49:$Y49)+'Model Setup'!$I$8*(SUMIF($AD$3:$BA$3,"&lt;"&amp;$DF49,$B49:$Y49)+SUMIF($AD$3:$BA$3,"&gt;="&amp;$DG49,$B49:$Y49)),
IF(AQ$3=$DF49+'Model Setup'!$J$7,SUMIF($AD$3:$BA$3,"="&amp;$DF49+'Model Setup'!$J$7,$B49:$Y49)+'Model Setup'!$J$8*(SUMIF($AD$3:$BA$3,"&lt;"&amp;$DF49,$B49:$Y49)+SUMIF($AD$3:$BA$3,"&gt;="&amp;$DG49,$B49:$Y49)),
IF(AQ$3=$DF49+'Model Setup'!$K$7,SUMIF($AD$3:$BA$3,"="&amp;$DF49+'Model Setup'!$K$7,$B49:$Y49)+'Model Setup'!$K$8*(SUMIF($AD$3:$BA$3,"&lt;"&amp;$DF49,$B49:$Y49)+SUMIF($AD$3:$BA$3,"&gt;="&amp;$DG49,$B49:$Y49)),
IF(AQ$3=$DF49+'Model Setup'!$L$7,SUMIF($AD$3:$BA$3,"="&amp;$DF49+'Model Setup'!$L$7,$B49:$Y49)+'Model Setup'!$L$8*(SUMIF($AD$3:$BA$3,"&lt;"&amp;$DF49,$B49:$Y49)+SUMIF($AD$3:$BA$3,"&gt;="&amp;$DG49,$B49:$Y49)),
IF(AQ$3=$DF49+'Model Setup'!$M$7,SUMIF($AD$3:$BA$3,"="&amp;$DF49+'Model Setup'!$M$7,$B49:$Y49)+'Model Setup'!$M$8*(SUMIF($AD$3:$BA$3,"&lt;"&amp;$DF49,$B49:$Y49)+SUMIF($AD$3:$BA$3,"&gt;="&amp;$DG49,$B49:$Y49)),
IF(AQ$3=$DF49+'Model Setup'!$N$7,SUMIF($AD$3:$BA$3,"="&amp;$DF49+'Model Setup'!$N$7,$B49:$Y49)+'Model Setup'!$N$8*(SUMIF($AD$3:$BA$3,"&lt;"&amp;$DF49,$B49:$Y49)+SUMIF($AD$3:$BA$3,"&gt;="&amp;$DG49,$B49:$Y49)),
IF(AQ$3&lt;$DG49,O49,0))))))))))))))),0)</f>
        <v>146</v>
      </c>
      <c r="AR49" s="47">
        <f>ROUND(IF(AR$3&lt;$DF49,0,
IF(AR$3=$DF49+'Model Setup'!$B$7,SUMIF($AD$3:$BA$3,"="&amp;$DF49+'Model Setup'!$B$7,$B49:$Y49)+'Model Setup'!$B$8*(SUMIF($AD$3:$BA$3,"&lt;"&amp;$DF49,$B49:$Y49)+SUMIF($AD$3:$BA$3,"&gt;="&amp;$DG49,$B49:$Y49)),
IF(AR$3=$DF49+'Model Setup'!$C$7,SUMIF($AD$3:$BA$3,"="&amp;$DF49+'Model Setup'!$C$7,$B49:$Y49)+'Model Setup'!$C$8*(SUMIF($AD$3:$BA$3,"&lt;"&amp;$DF49,$B49:$Y49)+SUMIF($AD$3:$BA$3,"&gt;="&amp;$DG49,$B49:$Y49)),
IF(AR$3=$DF49+'Model Setup'!$D$7,SUMIF($AD$3:$BA$3,"="&amp;$DF49+'Model Setup'!$D$7,$B49:$Y49)+'Model Setup'!$D$8*(SUMIF($AD$3:$BA$3,"&lt;"&amp;$DF49,$B49:$Y49)+SUMIF($AD$3:$BA$3,"&gt;="&amp;$DG49,$B49:$Y49)),
IF(AR$3=$DF49+'Model Setup'!$E$7,SUMIF($AD$3:$BA$3,"="&amp;$DF49+'Model Setup'!$E$7,$B49:$Y49)+'Model Setup'!$E$8*(SUMIF($AD$3:$BA$3,"&lt;"&amp;$DF49,$B49:$Y49)+SUMIF($AD$3:$BA$3,"&gt;="&amp;$DG49,$B49:$Y49)),
IF(AR$3=$DF49+'Model Setup'!$F$7,SUMIF($AD$3:$BA$3,"="&amp;$DF49+'Model Setup'!$F$7,$B49:$Y49)+'Model Setup'!$F$8*(SUMIF($AD$3:$BA$3,"&lt;"&amp;$DF49,$B49:$Y49)+SUMIF($AD$3:$BA$3,"&gt;="&amp;$DG49,$B49:$Y49)),
IF(AR$3=$DF49+'Model Setup'!$G$7,SUMIF($AD$3:$BA$3,"="&amp;$DF49+'Model Setup'!$G$7,$B49:$Y49)+'Model Setup'!$G$8*(SUMIF($AD$3:$BA$3,"&lt;"&amp;$DF49,$B49:$Y49)+SUMIF($AD$3:$BA$3,"&gt;="&amp;$DG49,$B49:$Y49)),
IF(AR$3=$DF49+'Model Setup'!$H$7,SUMIF($AD$3:$BA$3,"="&amp;$DF49+'Model Setup'!$H$7,$B49:$Y49)+'Model Setup'!$H$8*(SUMIF($AD$3:$BA$3,"&lt;"&amp;$DF49,$B49:$Y49)+SUMIF($AD$3:$BA$3,"&gt;="&amp;$DG49,$B49:$Y49)),
IF(AR$3=$DF49+'Model Setup'!$I$7,SUMIF($AD$3:$BA$3,"="&amp;$DF49+'Model Setup'!$I$7,$B49:$Y49)+'Model Setup'!$I$8*(SUMIF($AD$3:$BA$3,"&lt;"&amp;$DF49,$B49:$Y49)+SUMIF($AD$3:$BA$3,"&gt;="&amp;$DG49,$B49:$Y49)),
IF(AR$3=$DF49+'Model Setup'!$J$7,SUMIF($AD$3:$BA$3,"="&amp;$DF49+'Model Setup'!$J$7,$B49:$Y49)+'Model Setup'!$J$8*(SUMIF($AD$3:$BA$3,"&lt;"&amp;$DF49,$B49:$Y49)+SUMIF($AD$3:$BA$3,"&gt;="&amp;$DG49,$B49:$Y49)),
IF(AR$3=$DF49+'Model Setup'!$K$7,SUMIF($AD$3:$BA$3,"="&amp;$DF49+'Model Setup'!$K$7,$B49:$Y49)+'Model Setup'!$K$8*(SUMIF($AD$3:$BA$3,"&lt;"&amp;$DF49,$B49:$Y49)+SUMIF($AD$3:$BA$3,"&gt;="&amp;$DG49,$B49:$Y49)),
IF(AR$3=$DF49+'Model Setup'!$L$7,SUMIF($AD$3:$BA$3,"="&amp;$DF49+'Model Setup'!$L$7,$B49:$Y49)+'Model Setup'!$L$8*(SUMIF($AD$3:$BA$3,"&lt;"&amp;$DF49,$B49:$Y49)+SUMIF($AD$3:$BA$3,"&gt;="&amp;$DG49,$B49:$Y49)),
IF(AR$3=$DF49+'Model Setup'!$M$7,SUMIF($AD$3:$BA$3,"="&amp;$DF49+'Model Setup'!$M$7,$B49:$Y49)+'Model Setup'!$M$8*(SUMIF($AD$3:$BA$3,"&lt;"&amp;$DF49,$B49:$Y49)+SUMIF($AD$3:$BA$3,"&gt;="&amp;$DG49,$B49:$Y49)),
IF(AR$3=$DF49+'Model Setup'!$N$7,SUMIF($AD$3:$BA$3,"="&amp;$DF49+'Model Setup'!$N$7,$B49:$Y49)+'Model Setup'!$N$8*(SUMIF($AD$3:$BA$3,"&lt;"&amp;$DF49,$B49:$Y49)+SUMIF($AD$3:$BA$3,"&gt;="&amp;$DG49,$B49:$Y49)),
IF(AR$3&lt;$DG49,P49,0))))))))))))))),0)</f>
        <v>128</v>
      </c>
      <c r="AS49" s="47">
        <f>ROUND(IF(AS$3&lt;$DF49,0,
IF(AS$3=$DF49+'Model Setup'!$B$7,SUMIF($AD$3:$BA$3,"="&amp;$DF49+'Model Setup'!$B$7,$B49:$Y49)+'Model Setup'!$B$8*(SUMIF($AD$3:$BA$3,"&lt;"&amp;$DF49,$B49:$Y49)+SUMIF($AD$3:$BA$3,"&gt;="&amp;$DG49,$B49:$Y49)),
IF(AS$3=$DF49+'Model Setup'!$C$7,SUMIF($AD$3:$BA$3,"="&amp;$DF49+'Model Setup'!$C$7,$B49:$Y49)+'Model Setup'!$C$8*(SUMIF($AD$3:$BA$3,"&lt;"&amp;$DF49,$B49:$Y49)+SUMIF($AD$3:$BA$3,"&gt;="&amp;$DG49,$B49:$Y49)),
IF(AS$3=$DF49+'Model Setup'!$D$7,SUMIF($AD$3:$BA$3,"="&amp;$DF49+'Model Setup'!$D$7,$B49:$Y49)+'Model Setup'!$D$8*(SUMIF($AD$3:$BA$3,"&lt;"&amp;$DF49,$B49:$Y49)+SUMIF($AD$3:$BA$3,"&gt;="&amp;$DG49,$B49:$Y49)),
IF(AS$3=$DF49+'Model Setup'!$E$7,SUMIF($AD$3:$BA$3,"="&amp;$DF49+'Model Setup'!$E$7,$B49:$Y49)+'Model Setup'!$E$8*(SUMIF($AD$3:$BA$3,"&lt;"&amp;$DF49,$B49:$Y49)+SUMIF($AD$3:$BA$3,"&gt;="&amp;$DG49,$B49:$Y49)),
IF(AS$3=$DF49+'Model Setup'!$F$7,SUMIF($AD$3:$BA$3,"="&amp;$DF49+'Model Setup'!$F$7,$B49:$Y49)+'Model Setup'!$F$8*(SUMIF($AD$3:$BA$3,"&lt;"&amp;$DF49,$B49:$Y49)+SUMIF($AD$3:$BA$3,"&gt;="&amp;$DG49,$B49:$Y49)),
IF(AS$3=$DF49+'Model Setup'!$G$7,SUMIF($AD$3:$BA$3,"="&amp;$DF49+'Model Setup'!$G$7,$B49:$Y49)+'Model Setup'!$G$8*(SUMIF($AD$3:$BA$3,"&lt;"&amp;$DF49,$B49:$Y49)+SUMIF($AD$3:$BA$3,"&gt;="&amp;$DG49,$B49:$Y49)),
IF(AS$3=$DF49+'Model Setup'!$H$7,SUMIF($AD$3:$BA$3,"="&amp;$DF49+'Model Setup'!$H$7,$B49:$Y49)+'Model Setup'!$H$8*(SUMIF($AD$3:$BA$3,"&lt;"&amp;$DF49,$B49:$Y49)+SUMIF($AD$3:$BA$3,"&gt;="&amp;$DG49,$B49:$Y49)),
IF(AS$3=$DF49+'Model Setup'!$I$7,SUMIF($AD$3:$BA$3,"="&amp;$DF49+'Model Setup'!$I$7,$B49:$Y49)+'Model Setup'!$I$8*(SUMIF($AD$3:$BA$3,"&lt;"&amp;$DF49,$B49:$Y49)+SUMIF($AD$3:$BA$3,"&gt;="&amp;$DG49,$B49:$Y49)),
IF(AS$3=$DF49+'Model Setup'!$J$7,SUMIF($AD$3:$BA$3,"="&amp;$DF49+'Model Setup'!$J$7,$B49:$Y49)+'Model Setup'!$J$8*(SUMIF($AD$3:$BA$3,"&lt;"&amp;$DF49,$B49:$Y49)+SUMIF($AD$3:$BA$3,"&gt;="&amp;$DG49,$B49:$Y49)),
IF(AS$3=$DF49+'Model Setup'!$K$7,SUMIF($AD$3:$BA$3,"="&amp;$DF49+'Model Setup'!$K$7,$B49:$Y49)+'Model Setup'!$K$8*(SUMIF($AD$3:$BA$3,"&lt;"&amp;$DF49,$B49:$Y49)+SUMIF($AD$3:$BA$3,"&gt;="&amp;$DG49,$B49:$Y49)),
IF(AS$3=$DF49+'Model Setup'!$L$7,SUMIF($AD$3:$BA$3,"="&amp;$DF49+'Model Setup'!$L$7,$B49:$Y49)+'Model Setup'!$L$8*(SUMIF($AD$3:$BA$3,"&lt;"&amp;$DF49,$B49:$Y49)+SUMIF($AD$3:$BA$3,"&gt;="&amp;$DG49,$B49:$Y49)),
IF(AS$3=$DF49+'Model Setup'!$M$7,SUMIF($AD$3:$BA$3,"="&amp;$DF49+'Model Setup'!$M$7,$B49:$Y49)+'Model Setup'!$M$8*(SUMIF($AD$3:$BA$3,"&lt;"&amp;$DF49,$B49:$Y49)+SUMIF($AD$3:$BA$3,"&gt;="&amp;$DG49,$B49:$Y49)),
IF(AS$3=$DF49+'Model Setup'!$N$7,SUMIF($AD$3:$BA$3,"="&amp;$DF49+'Model Setup'!$N$7,$B49:$Y49)+'Model Setup'!$N$8*(SUMIF($AD$3:$BA$3,"&lt;"&amp;$DF49,$B49:$Y49)+SUMIF($AD$3:$BA$3,"&gt;="&amp;$DG49,$B49:$Y49)),
IF(AS$3&lt;$DG49,Q49,0))))))))))))))),0)</f>
        <v>81</v>
      </c>
      <c r="AT49" s="47">
        <f>ROUND(IF(AT$3&lt;$DF49,0,
IF(AT$3=$DF49+'Model Setup'!$B$7,SUMIF($AD$3:$BA$3,"="&amp;$DF49+'Model Setup'!$B$7,$B49:$Y49)+'Model Setup'!$B$8*(SUMIF($AD$3:$BA$3,"&lt;"&amp;$DF49,$B49:$Y49)+SUMIF($AD$3:$BA$3,"&gt;="&amp;$DG49,$B49:$Y49)),
IF(AT$3=$DF49+'Model Setup'!$C$7,SUMIF($AD$3:$BA$3,"="&amp;$DF49+'Model Setup'!$C$7,$B49:$Y49)+'Model Setup'!$C$8*(SUMIF($AD$3:$BA$3,"&lt;"&amp;$DF49,$B49:$Y49)+SUMIF($AD$3:$BA$3,"&gt;="&amp;$DG49,$B49:$Y49)),
IF(AT$3=$DF49+'Model Setup'!$D$7,SUMIF($AD$3:$BA$3,"="&amp;$DF49+'Model Setup'!$D$7,$B49:$Y49)+'Model Setup'!$D$8*(SUMIF($AD$3:$BA$3,"&lt;"&amp;$DF49,$B49:$Y49)+SUMIF($AD$3:$BA$3,"&gt;="&amp;$DG49,$B49:$Y49)),
IF(AT$3=$DF49+'Model Setup'!$E$7,SUMIF($AD$3:$BA$3,"="&amp;$DF49+'Model Setup'!$E$7,$B49:$Y49)+'Model Setup'!$E$8*(SUMIF($AD$3:$BA$3,"&lt;"&amp;$DF49,$B49:$Y49)+SUMIF($AD$3:$BA$3,"&gt;="&amp;$DG49,$B49:$Y49)),
IF(AT$3=$DF49+'Model Setup'!$F$7,SUMIF($AD$3:$BA$3,"="&amp;$DF49+'Model Setup'!$F$7,$B49:$Y49)+'Model Setup'!$F$8*(SUMIF($AD$3:$BA$3,"&lt;"&amp;$DF49,$B49:$Y49)+SUMIF($AD$3:$BA$3,"&gt;="&amp;$DG49,$B49:$Y49)),
IF(AT$3=$DF49+'Model Setup'!$G$7,SUMIF($AD$3:$BA$3,"="&amp;$DF49+'Model Setup'!$G$7,$B49:$Y49)+'Model Setup'!$G$8*(SUMIF($AD$3:$BA$3,"&lt;"&amp;$DF49,$B49:$Y49)+SUMIF($AD$3:$BA$3,"&gt;="&amp;$DG49,$B49:$Y49)),
IF(AT$3=$DF49+'Model Setup'!$H$7,SUMIF($AD$3:$BA$3,"="&amp;$DF49+'Model Setup'!$H$7,$B49:$Y49)+'Model Setup'!$H$8*(SUMIF($AD$3:$BA$3,"&lt;"&amp;$DF49,$B49:$Y49)+SUMIF($AD$3:$BA$3,"&gt;="&amp;$DG49,$B49:$Y49)),
IF(AT$3=$DF49+'Model Setup'!$I$7,SUMIF($AD$3:$BA$3,"="&amp;$DF49+'Model Setup'!$I$7,$B49:$Y49)+'Model Setup'!$I$8*(SUMIF($AD$3:$BA$3,"&lt;"&amp;$DF49,$B49:$Y49)+SUMIF($AD$3:$BA$3,"&gt;="&amp;$DG49,$B49:$Y49)),
IF(AT$3=$DF49+'Model Setup'!$J$7,SUMIF($AD$3:$BA$3,"="&amp;$DF49+'Model Setup'!$J$7,$B49:$Y49)+'Model Setup'!$J$8*(SUMIF($AD$3:$BA$3,"&lt;"&amp;$DF49,$B49:$Y49)+SUMIF($AD$3:$BA$3,"&gt;="&amp;$DG49,$B49:$Y49)),
IF(AT$3=$DF49+'Model Setup'!$K$7,SUMIF($AD$3:$BA$3,"="&amp;$DF49+'Model Setup'!$K$7,$B49:$Y49)+'Model Setup'!$K$8*(SUMIF($AD$3:$BA$3,"&lt;"&amp;$DF49,$B49:$Y49)+SUMIF($AD$3:$BA$3,"&gt;="&amp;$DG49,$B49:$Y49)),
IF(AT$3=$DF49+'Model Setup'!$L$7,SUMIF($AD$3:$BA$3,"="&amp;$DF49+'Model Setup'!$L$7,$B49:$Y49)+'Model Setup'!$L$8*(SUMIF($AD$3:$BA$3,"&lt;"&amp;$DF49,$B49:$Y49)+SUMIF($AD$3:$BA$3,"&gt;="&amp;$DG49,$B49:$Y49)),
IF(AT$3=$DF49+'Model Setup'!$M$7,SUMIF($AD$3:$BA$3,"="&amp;$DF49+'Model Setup'!$M$7,$B49:$Y49)+'Model Setup'!$M$8*(SUMIF($AD$3:$BA$3,"&lt;"&amp;$DF49,$B49:$Y49)+SUMIF($AD$3:$BA$3,"&gt;="&amp;$DG49,$B49:$Y49)),
IF(AT$3=$DF49+'Model Setup'!$N$7,SUMIF($AD$3:$BA$3,"="&amp;$DF49+'Model Setup'!$N$7,$B49:$Y49)+'Model Setup'!$N$8*(SUMIF($AD$3:$BA$3,"&lt;"&amp;$DF49,$B49:$Y49)+SUMIF($AD$3:$BA$3,"&gt;="&amp;$DG49,$B49:$Y49)),
IF(AT$3&lt;$DG49,R49,0))))))))))))))),0)</f>
        <v>72</v>
      </c>
      <c r="AU49" s="47">
        <f>ROUND(IF(AU$3&lt;$DF49,0,
IF(AU$3=$DF49+'Model Setup'!$B$7,SUMIF($AD$3:$BA$3,"="&amp;$DF49+'Model Setup'!$B$7,$B49:$Y49)+'Model Setup'!$B$8*(SUMIF($AD$3:$BA$3,"&lt;"&amp;$DF49,$B49:$Y49)+SUMIF($AD$3:$BA$3,"&gt;="&amp;$DG49,$B49:$Y49)),
IF(AU$3=$DF49+'Model Setup'!$C$7,SUMIF($AD$3:$BA$3,"="&amp;$DF49+'Model Setup'!$C$7,$B49:$Y49)+'Model Setup'!$C$8*(SUMIF($AD$3:$BA$3,"&lt;"&amp;$DF49,$B49:$Y49)+SUMIF($AD$3:$BA$3,"&gt;="&amp;$DG49,$B49:$Y49)),
IF(AU$3=$DF49+'Model Setup'!$D$7,SUMIF($AD$3:$BA$3,"="&amp;$DF49+'Model Setup'!$D$7,$B49:$Y49)+'Model Setup'!$D$8*(SUMIF($AD$3:$BA$3,"&lt;"&amp;$DF49,$B49:$Y49)+SUMIF($AD$3:$BA$3,"&gt;="&amp;$DG49,$B49:$Y49)),
IF(AU$3=$DF49+'Model Setup'!$E$7,SUMIF($AD$3:$BA$3,"="&amp;$DF49+'Model Setup'!$E$7,$B49:$Y49)+'Model Setup'!$E$8*(SUMIF($AD$3:$BA$3,"&lt;"&amp;$DF49,$B49:$Y49)+SUMIF($AD$3:$BA$3,"&gt;="&amp;$DG49,$B49:$Y49)),
IF(AU$3=$DF49+'Model Setup'!$F$7,SUMIF($AD$3:$BA$3,"="&amp;$DF49+'Model Setup'!$F$7,$B49:$Y49)+'Model Setup'!$F$8*(SUMIF($AD$3:$BA$3,"&lt;"&amp;$DF49,$B49:$Y49)+SUMIF($AD$3:$BA$3,"&gt;="&amp;$DG49,$B49:$Y49)),
IF(AU$3=$DF49+'Model Setup'!$G$7,SUMIF($AD$3:$BA$3,"="&amp;$DF49+'Model Setup'!$G$7,$B49:$Y49)+'Model Setup'!$G$8*(SUMIF($AD$3:$BA$3,"&lt;"&amp;$DF49,$B49:$Y49)+SUMIF($AD$3:$BA$3,"&gt;="&amp;$DG49,$B49:$Y49)),
IF(AU$3=$DF49+'Model Setup'!$H$7,SUMIF($AD$3:$BA$3,"="&amp;$DF49+'Model Setup'!$H$7,$B49:$Y49)+'Model Setup'!$H$8*(SUMIF($AD$3:$BA$3,"&lt;"&amp;$DF49,$B49:$Y49)+SUMIF($AD$3:$BA$3,"&gt;="&amp;$DG49,$B49:$Y49)),
IF(AU$3=$DF49+'Model Setup'!$I$7,SUMIF($AD$3:$BA$3,"="&amp;$DF49+'Model Setup'!$I$7,$B49:$Y49)+'Model Setup'!$I$8*(SUMIF($AD$3:$BA$3,"&lt;"&amp;$DF49,$B49:$Y49)+SUMIF($AD$3:$BA$3,"&gt;="&amp;$DG49,$B49:$Y49)),
IF(AU$3=$DF49+'Model Setup'!$J$7,SUMIF($AD$3:$BA$3,"="&amp;$DF49+'Model Setup'!$J$7,$B49:$Y49)+'Model Setup'!$J$8*(SUMIF($AD$3:$BA$3,"&lt;"&amp;$DF49,$B49:$Y49)+SUMIF($AD$3:$BA$3,"&gt;="&amp;$DG49,$B49:$Y49)),
IF(AU$3=$DF49+'Model Setup'!$K$7,SUMIF($AD$3:$BA$3,"="&amp;$DF49+'Model Setup'!$K$7,$B49:$Y49)+'Model Setup'!$K$8*(SUMIF($AD$3:$BA$3,"&lt;"&amp;$DF49,$B49:$Y49)+SUMIF($AD$3:$BA$3,"&gt;="&amp;$DG49,$B49:$Y49)),
IF(AU$3=$DF49+'Model Setup'!$L$7,SUMIF($AD$3:$BA$3,"="&amp;$DF49+'Model Setup'!$L$7,$B49:$Y49)+'Model Setup'!$L$8*(SUMIF($AD$3:$BA$3,"&lt;"&amp;$DF49,$B49:$Y49)+SUMIF($AD$3:$BA$3,"&gt;="&amp;$DG49,$B49:$Y49)),
IF(AU$3=$DF49+'Model Setup'!$M$7,SUMIF($AD$3:$BA$3,"="&amp;$DF49+'Model Setup'!$M$7,$B49:$Y49)+'Model Setup'!$M$8*(SUMIF($AD$3:$BA$3,"&lt;"&amp;$DF49,$B49:$Y49)+SUMIF($AD$3:$BA$3,"&gt;="&amp;$DG49,$B49:$Y49)),
IF(AU$3=$DF49+'Model Setup'!$N$7,SUMIF($AD$3:$BA$3,"="&amp;$DF49+'Model Setup'!$N$7,$B49:$Y49)+'Model Setup'!$N$8*(SUMIF($AD$3:$BA$3,"&lt;"&amp;$DF49,$B49:$Y49)+SUMIF($AD$3:$BA$3,"&gt;="&amp;$DG49,$B49:$Y49)),
IF(AU$3&lt;$DG49,S49,0))))))))))))))),0)</f>
        <v>134</v>
      </c>
      <c r="AV49" s="47">
        <f>ROUND(IF(AV$3&lt;$DF49,0,
IF(AV$3=$DF49+'Model Setup'!$B$7,SUMIF($AD$3:$BA$3,"="&amp;$DF49+'Model Setup'!$B$7,$B49:$Y49)+'Model Setup'!$B$8*(SUMIF($AD$3:$BA$3,"&lt;"&amp;$DF49,$B49:$Y49)+SUMIF($AD$3:$BA$3,"&gt;="&amp;$DG49,$B49:$Y49)),
IF(AV$3=$DF49+'Model Setup'!$C$7,SUMIF($AD$3:$BA$3,"="&amp;$DF49+'Model Setup'!$C$7,$B49:$Y49)+'Model Setup'!$C$8*(SUMIF($AD$3:$BA$3,"&lt;"&amp;$DF49,$B49:$Y49)+SUMIF($AD$3:$BA$3,"&gt;="&amp;$DG49,$B49:$Y49)),
IF(AV$3=$DF49+'Model Setup'!$D$7,SUMIF($AD$3:$BA$3,"="&amp;$DF49+'Model Setup'!$D$7,$B49:$Y49)+'Model Setup'!$D$8*(SUMIF($AD$3:$BA$3,"&lt;"&amp;$DF49,$B49:$Y49)+SUMIF($AD$3:$BA$3,"&gt;="&amp;$DG49,$B49:$Y49)),
IF(AV$3=$DF49+'Model Setup'!$E$7,SUMIF($AD$3:$BA$3,"="&amp;$DF49+'Model Setup'!$E$7,$B49:$Y49)+'Model Setup'!$E$8*(SUMIF($AD$3:$BA$3,"&lt;"&amp;$DF49,$B49:$Y49)+SUMIF($AD$3:$BA$3,"&gt;="&amp;$DG49,$B49:$Y49)),
IF(AV$3=$DF49+'Model Setup'!$F$7,SUMIF($AD$3:$BA$3,"="&amp;$DF49+'Model Setup'!$F$7,$B49:$Y49)+'Model Setup'!$F$8*(SUMIF($AD$3:$BA$3,"&lt;"&amp;$DF49,$B49:$Y49)+SUMIF($AD$3:$BA$3,"&gt;="&amp;$DG49,$B49:$Y49)),
IF(AV$3=$DF49+'Model Setup'!$G$7,SUMIF($AD$3:$BA$3,"="&amp;$DF49+'Model Setup'!$G$7,$B49:$Y49)+'Model Setup'!$G$8*(SUMIF($AD$3:$BA$3,"&lt;"&amp;$DF49,$B49:$Y49)+SUMIF($AD$3:$BA$3,"&gt;="&amp;$DG49,$B49:$Y49)),
IF(AV$3=$DF49+'Model Setup'!$H$7,SUMIF($AD$3:$BA$3,"="&amp;$DF49+'Model Setup'!$H$7,$B49:$Y49)+'Model Setup'!$H$8*(SUMIF($AD$3:$BA$3,"&lt;"&amp;$DF49,$B49:$Y49)+SUMIF($AD$3:$BA$3,"&gt;="&amp;$DG49,$B49:$Y49)),
IF(AV$3=$DF49+'Model Setup'!$I$7,SUMIF($AD$3:$BA$3,"="&amp;$DF49+'Model Setup'!$I$7,$B49:$Y49)+'Model Setup'!$I$8*(SUMIF($AD$3:$BA$3,"&lt;"&amp;$DF49,$B49:$Y49)+SUMIF($AD$3:$BA$3,"&gt;="&amp;$DG49,$B49:$Y49)),
IF(AV$3=$DF49+'Model Setup'!$J$7,SUMIF($AD$3:$BA$3,"="&amp;$DF49+'Model Setup'!$J$7,$B49:$Y49)+'Model Setup'!$J$8*(SUMIF($AD$3:$BA$3,"&lt;"&amp;$DF49,$B49:$Y49)+SUMIF($AD$3:$BA$3,"&gt;="&amp;$DG49,$B49:$Y49)),
IF(AV$3=$DF49+'Model Setup'!$K$7,SUMIF($AD$3:$BA$3,"="&amp;$DF49+'Model Setup'!$K$7,$B49:$Y49)+'Model Setup'!$K$8*(SUMIF($AD$3:$BA$3,"&lt;"&amp;$DF49,$B49:$Y49)+SUMIF($AD$3:$BA$3,"&gt;="&amp;$DG49,$B49:$Y49)),
IF(AV$3=$DF49+'Model Setup'!$L$7,SUMIF($AD$3:$BA$3,"="&amp;$DF49+'Model Setup'!$L$7,$B49:$Y49)+'Model Setup'!$L$8*(SUMIF($AD$3:$BA$3,"&lt;"&amp;$DF49,$B49:$Y49)+SUMIF($AD$3:$BA$3,"&gt;="&amp;$DG49,$B49:$Y49)),
IF(AV$3=$DF49+'Model Setup'!$M$7,SUMIF($AD$3:$BA$3,"="&amp;$DF49+'Model Setup'!$M$7,$B49:$Y49)+'Model Setup'!$M$8*(SUMIF($AD$3:$BA$3,"&lt;"&amp;$DF49,$B49:$Y49)+SUMIF($AD$3:$BA$3,"&gt;="&amp;$DG49,$B49:$Y49)),
IF(AV$3=$DF49+'Model Setup'!$N$7,SUMIF($AD$3:$BA$3,"="&amp;$DF49+'Model Setup'!$N$7,$B49:$Y49)+'Model Setup'!$N$8*(SUMIF($AD$3:$BA$3,"&lt;"&amp;$DF49,$B49:$Y49)+SUMIF($AD$3:$BA$3,"&gt;="&amp;$DG49,$B49:$Y49)),
IF(AV$3&lt;$DG49,T49,0))))))))))))))),0)</f>
        <v>160</v>
      </c>
      <c r="AW49" s="47">
        <f>ROUND(IF(AW$3&lt;$DF49,0,
IF(AW$3=$DF49+'Model Setup'!$B$7,SUMIF($AD$3:$BA$3,"="&amp;$DF49+'Model Setup'!$B$7,$B49:$Y49)+'Model Setup'!$B$8*(SUMIF($AD$3:$BA$3,"&lt;"&amp;$DF49,$B49:$Y49)+SUMIF($AD$3:$BA$3,"&gt;="&amp;$DG49,$B49:$Y49)),
IF(AW$3=$DF49+'Model Setup'!$C$7,SUMIF($AD$3:$BA$3,"="&amp;$DF49+'Model Setup'!$C$7,$B49:$Y49)+'Model Setup'!$C$8*(SUMIF($AD$3:$BA$3,"&lt;"&amp;$DF49,$B49:$Y49)+SUMIF($AD$3:$BA$3,"&gt;="&amp;$DG49,$B49:$Y49)),
IF(AW$3=$DF49+'Model Setup'!$D$7,SUMIF($AD$3:$BA$3,"="&amp;$DF49+'Model Setup'!$D$7,$B49:$Y49)+'Model Setup'!$D$8*(SUMIF($AD$3:$BA$3,"&lt;"&amp;$DF49,$B49:$Y49)+SUMIF($AD$3:$BA$3,"&gt;="&amp;$DG49,$B49:$Y49)),
IF(AW$3=$DF49+'Model Setup'!$E$7,SUMIF($AD$3:$BA$3,"="&amp;$DF49+'Model Setup'!$E$7,$B49:$Y49)+'Model Setup'!$E$8*(SUMIF($AD$3:$BA$3,"&lt;"&amp;$DF49,$B49:$Y49)+SUMIF($AD$3:$BA$3,"&gt;="&amp;$DG49,$B49:$Y49)),
IF(AW$3=$DF49+'Model Setup'!$F$7,SUMIF($AD$3:$BA$3,"="&amp;$DF49+'Model Setup'!$F$7,$B49:$Y49)+'Model Setup'!$F$8*(SUMIF($AD$3:$BA$3,"&lt;"&amp;$DF49,$B49:$Y49)+SUMIF($AD$3:$BA$3,"&gt;="&amp;$DG49,$B49:$Y49)),
IF(AW$3=$DF49+'Model Setup'!$G$7,SUMIF($AD$3:$BA$3,"="&amp;$DF49+'Model Setup'!$G$7,$B49:$Y49)+'Model Setup'!$G$8*(SUMIF($AD$3:$BA$3,"&lt;"&amp;$DF49,$B49:$Y49)+SUMIF($AD$3:$BA$3,"&gt;="&amp;$DG49,$B49:$Y49)),
IF(AW$3=$DF49+'Model Setup'!$H$7,SUMIF($AD$3:$BA$3,"="&amp;$DF49+'Model Setup'!$H$7,$B49:$Y49)+'Model Setup'!$H$8*(SUMIF($AD$3:$BA$3,"&lt;"&amp;$DF49,$B49:$Y49)+SUMIF($AD$3:$BA$3,"&gt;="&amp;$DG49,$B49:$Y49)),
IF(AW$3=$DF49+'Model Setup'!$I$7,SUMIF($AD$3:$BA$3,"="&amp;$DF49+'Model Setup'!$I$7,$B49:$Y49)+'Model Setup'!$I$8*(SUMIF($AD$3:$BA$3,"&lt;"&amp;$DF49,$B49:$Y49)+SUMIF($AD$3:$BA$3,"&gt;="&amp;$DG49,$B49:$Y49)),
IF(AW$3=$DF49+'Model Setup'!$J$7,SUMIF($AD$3:$BA$3,"="&amp;$DF49+'Model Setup'!$J$7,$B49:$Y49)+'Model Setup'!$J$8*(SUMIF($AD$3:$BA$3,"&lt;"&amp;$DF49,$B49:$Y49)+SUMIF($AD$3:$BA$3,"&gt;="&amp;$DG49,$B49:$Y49)),
IF(AW$3=$DF49+'Model Setup'!$K$7,SUMIF($AD$3:$BA$3,"="&amp;$DF49+'Model Setup'!$K$7,$B49:$Y49)+'Model Setup'!$K$8*(SUMIF($AD$3:$BA$3,"&lt;"&amp;$DF49,$B49:$Y49)+SUMIF($AD$3:$BA$3,"&gt;="&amp;$DG49,$B49:$Y49)),
IF(AW$3=$DF49+'Model Setup'!$L$7,SUMIF($AD$3:$BA$3,"="&amp;$DF49+'Model Setup'!$L$7,$B49:$Y49)+'Model Setup'!$L$8*(SUMIF($AD$3:$BA$3,"&lt;"&amp;$DF49,$B49:$Y49)+SUMIF($AD$3:$BA$3,"&gt;="&amp;$DG49,$B49:$Y49)),
IF(AW$3=$DF49+'Model Setup'!$M$7,SUMIF($AD$3:$BA$3,"="&amp;$DF49+'Model Setup'!$M$7,$B49:$Y49)+'Model Setup'!$M$8*(SUMIF($AD$3:$BA$3,"&lt;"&amp;$DF49,$B49:$Y49)+SUMIF($AD$3:$BA$3,"&gt;="&amp;$DG49,$B49:$Y49)),
IF(AW$3=$DF49+'Model Setup'!$N$7,SUMIF($AD$3:$BA$3,"="&amp;$DF49+'Model Setup'!$N$7,$B49:$Y49)+'Model Setup'!$N$8*(SUMIF($AD$3:$BA$3,"&lt;"&amp;$DF49,$B49:$Y49)+SUMIF($AD$3:$BA$3,"&gt;="&amp;$DG49,$B49:$Y49)),
IF(AW$3&lt;$DG49,U49,0))))))))))))))),0)</f>
        <v>117</v>
      </c>
      <c r="AX49" s="47">
        <f>ROUND(IF(AX$3&lt;$DF49,0,
IF(AX$3=$DF49+'Model Setup'!$B$7,SUMIF($AD$3:$BA$3,"="&amp;$DF49+'Model Setup'!$B$7,$B49:$Y49)+'Model Setup'!$B$8*(SUMIF($AD$3:$BA$3,"&lt;"&amp;$DF49,$B49:$Y49)+SUMIF($AD$3:$BA$3,"&gt;="&amp;$DG49,$B49:$Y49)),
IF(AX$3=$DF49+'Model Setup'!$C$7,SUMIF($AD$3:$BA$3,"="&amp;$DF49+'Model Setup'!$C$7,$B49:$Y49)+'Model Setup'!$C$8*(SUMIF($AD$3:$BA$3,"&lt;"&amp;$DF49,$B49:$Y49)+SUMIF($AD$3:$BA$3,"&gt;="&amp;$DG49,$B49:$Y49)),
IF(AX$3=$DF49+'Model Setup'!$D$7,SUMIF($AD$3:$BA$3,"="&amp;$DF49+'Model Setup'!$D$7,$B49:$Y49)+'Model Setup'!$D$8*(SUMIF($AD$3:$BA$3,"&lt;"&amp;$DF49,$B49:$Y49)+SUMIF($AD$3:$BA$3,"&gt;="&amp;$DG49,$B49:$Y49)),
IF(AX$3=$DF49+'Model Setup'!$E$7,SUMIF($AD$3:$BA$3,"="&amp;$DF49+'Model Setup'!$E$7,$B49:$Y49)+'Model Setup'!$E$8*(SUMIF($AD$3:$BA$3,"&lt;"&amp;$DF49,$B49:$Y49)+SUMIF($AD$3:$BA$3,"&gt;="&amp;$DG49,$B49:$Y49)),
IF(AX$3=$DF49+'Model Setup'!$F$7,SUMIF($AD$3:$BA$3,"="&amp;$DF49+'Model Setup'!$F$7,$B49:$Y49)+'Model Setup'!$F$8*(SUMIF($AD$3:$BA$3,"&lt;"&amp;$DF49,$B49:$Y49)+SUMIF($AD$3:$BA$3,"&gt;="&amp;$DG49,$B49:$Y49)),
IF(AX$3=$DF49+'Model Setup'!$G$7,SUMIF($AD$3:$BA$3,"="&amp;$DF49+'Model Setup'!$G$7,$B49:$Y49)+'Model Setup'!$G$8*(SUMIF($AD$3:$BA$3,"&lt;"&amp;$DF49,$B49:$Y49)+SUMIF($AD$3:$BA$3,"&gt;="&amp;$DG49,$B49:$Y49)),
IF(AX$3=$DF49+'Model Setup'!$H$7,SUMIF($AD$3:$BA$3,"="&amp;$DF49+'Model Setup'!$H$7,$B49:$Y49)+'Model Setup'!$H$8*(SUMIF($AD$3:$BA$3,"&lt;"&amp;$DF49,$B49:$Y49)+SUMIF($AD$3:$BA$3,"&gt;="&amp;$DG49,$B49:$Y49)),
IF(AX$3=$DF49+'Model Setup'!$I$7,SUMIF($AD$3:$BA$3,"="&amp;$DF49+'Model Setup'!$I$7,$B49:$Y49)+'Model Setup'!$I$8*(SUMIF($AD$3:$BA$3,"&lt;"&amp;$DF49,$B49:$Y49)+SUMIF($AD$3:$BA$3,"&gt;="&amp;$DG49,$B49:$Y49)),
IF(AX$3=$DF49+'Model Setup'!$J$7,SUMIF($AD$3:$BA$3,"="&amp;$DF49+'Model Setup'!$J$7,$B49:$Y49)+'Model Setup'!$J$8*(SUMIF($AD$3:$BA$3,"&lt;"&amp;$DF49,$B49:$Y49)+SUMIF($AD$3:$BA$3,"&gt;="&amp;$DG49,$B49:$Y49)),
IF(AX$3=$DF49+'Model Setup'!$K$7,SUMIF($AD$3:$BA$3,"="&amp;$DF49+'Model Setup'!$K$7,$B49:$Y49)+'Model Setup'!$K$8*(SUMIF($AD$3:$BA$3,"&lt;"&amp;$DF49,$B49:$Y49)+SUMIF($AD$3:$BA$3,"&gt;="&amp;$DG49,$B49:$Y49)),
IF(AX$3=$DF49+'Model Setup'!$L$7,SUMIF($AD$3:$BA$3,"="&amp;$DF49+'Model Setup'!$L$7,$B49:$Y49)+'Model Setup'!$L$8*(SUMIF($AD$3:$BA$3,"&lt;"&amp;$DF49,$B49:$Y49)+SUMIF($AD$3:$BA$3,"&gt;="&amp;$DG49,$B49:$Y49)),
IF(AX$3=$DF49+'Model Setup'!$M$7,SUMIF($AD$3:$BA$3,"="&amp;$DF49+'Model Setup'!$M$7,$B49:$Y49)+'Model Setup'!$M$8*(SUMIF($AD$3:$BA$3,"&lt;"&amp;$DF49,$B49:$Y49)+SUMIF($AD$3:$BA$3,"&gt;="&amp;$DG49,$B49:$Y49)),
IF(AX$3=$DF49+'Model Setup'!$N$7,SUMIF($AD$3:$BA$3,"="&amp;$DF49+'Model Setup'!$N$7,$B49:$Y49)+'Model Setup'!$N$8*(SUMIF($AD$3:$BA$3,"&lt;"&amp;$DF49,$B49:$Y49)+SUMIF($AD$3:$BA$3,"&gt;="&amp;$DG49,$B49:$Y49)),
IF(AX$3&lt;$DG49,V49,0))))))))))))))),0)</f>
        <v>0</v>
      </c>
      <c r="AY49" s="47">
        <f>ROUND(IF(AY$3&lt;$DF49,0,
IF(AY$3=$DF49+'Model Setup'!$B$7,SUMIF($AD$3:$BA$3,"="&amp;$DF49+'Model Setup'!$B$7,$B49:$Y49)+'Model Setup'!$B$8*(SUMIF($AD$3:$BA$3,"&lt;"&amp;$DF49,$B49:$Y49)+SUMIF($AD$3:$BA$3,"&gt;="&amp;$DG49,$B49:$Y49)),
IF(AY$3=$DF49+'Model Setup'!$C$7,SUMIF($AD$3:$BA$3,"="&amp;$DF49+'Model Setup'!$C$7,$B49:$Y49)+'Model Setup'!$C$8*(SUMIF($AD$3:$BA$3,"&lt;"&amp;$DF49,$B49:$Y49)+SUMIF($AD$3:$BA$3,"&gt;="&amp;$DG49,$B49:$Y49)),
IF(AY$3=$DF49+'Model Setup'!$D$7,SUMIF($AD$3:$BA$3,"="&amp;$DF49+'Model Setup'!$D$7,$B49:$Y49)+'Model Setup'!$D$8*(SUMIF($AD$3:$BA$3,"&lt;"&amp;$DF49,$B49:$Y49)+SUMIF($AD$3:$BA$3,"&gt;="&amp;$DG49,$B49:$Y49)),
IF(AY$3=$DF49+'Model Setup'!$E$7,SUMIF($AD$3:$BA$3,"="&amp;$DF49+'Model Setup'!$E$7,$B49:$Y49)+'Model Setup'!$E$8*(SUMIF($AD$3:$BA$3,"&lt;"&amp;$DF49,$B49:$Y49)+SUMIF($AD$3:$BA$3,"&gt;="&amp;$DG49,$B49:$Y49)),
IF(AY$3=$DF49+'Model Setup'!$F$7,SUMIF($AD$3:$BA$3,"="&amp;$DF49+'Model Setup'!$F$7,$B49:$Y49)+'Model Setup'!$F$8*(SUMIF($AD$3:$BA$3,"&lt;"&amp;$DF49,$B49:$Y49)+SUMIF($AD$3:$BA$3,"&gt;="&amp;$DG49,$B49:$Y49)),
IF(AY$3=$DF49+'Model Setup'!$G$7,SUMIF($AD$3:$BA$3,"="&amp;$DF49+'Model Setup'!$G$7,$B49:$Y49)+'Model Setup'!$G$8*(SUMIF($AD$3:$BA$3,"&lt;"&amp;$DF49,$B49:$Y49)+SUMIF($AD$3:$BA$3,"&gt;="&amp;$DG49,$B49:$Y49)),
IF(AY$3=$DF49+'Model Setup'!$H$7,SUMIF($AD$3:$BA$3,"="&amp;$DF49+'Model Setup'!$H$7,$B49:$Y49)+'Model Setup'!$H$8*(SUMIF($AD$3:$BA$3,"&lt;"&amp;$DF49,$B49:$Y49)+SUMIF($AD$3:$BA$3,"&gt;="&amp;$DG49,$B49:$Y49)),
IF(AY$3=$DF49+'Model Setup'!$I$7,SUMIF($AD$3:$BA$3,"="&amp;$DF49+'Model Setup'!$I$7,$B49:$Y49)+'Model Setup'!$I$8*(SUMIF($AD$3:$BA$3,"&lt;"&amp;$DF49,$B49:$Y49)+SUMIF($AD$3:$BA$3,"&gt;="&amp;$DG49,$B49:$Y49)),
IF(AY$3=$DF49+'Model Setup'!$J$7,SUMIF($AD$3:$BA$3,"="&amp;$DF49+'Model Setup'!$J$7,$B49:$Y49)+'Model Setup'!$J$8*(SUMIF($AD$3:$BA$3,"&lt;"&amp;$DF49,$B49:$Y49)+SUMIF($AD$3:$BA$3,"&gt;="&amp;$DG49,$B49:$Y49)),
IF(AY$3=$DF49+'Model Setup'!$K$7,SUMIF($AD$3:$BA$3,"="&amp;$DF49+'Model Setup'!$K$7,$B49:$Y49)+'Model Setup'!$K$8*(SUMIF($AD$3:$BA$3,"&lt;"&amp;$DF49,$B49:$Y49)+SUMIF($AD$3:$BA$3,"&gt;="&amp;$DG49,$B49:$Y49)),
IF(AY$3=$DF49+'Model Setup'!$L$7,SUMIF($AD$3:$BA$3,"="&amp;$DF49+'Model Setup'!$L$7,$B49:$Y49)+'Model Setup'!$L$8*(SUMIF($AD$3:$BA$3,"&lt;"&amp;$DF49,$B49:$Y49)+SUMIF($AD$3:$BA$3,"&gt;="&amp;$DG49,$B49:$Y49)),
IF(AY$3=$DF49+'Model Setup'!$M$7,SUMIF($AD$3:$BA$3,"="&amp;$DF49+'Model Setup'!$M$7,$B49:$Y49)+'Model Setup'!$M$8*(SUMIF($AD$3:$BA$3,"&lt;"&amp;$DF49,$B49:$Y49)+SUMIF($AD$3:$BA$3,"&gt;="&amp;$DG49,$B49:$Y49)),
IF(AY$3=$DF49+'Model Setup'!$N$7,SUMIF($AD$3:$BA$3,"="&amp;$DF49+'Model Setup'!$N$7,$B49:$Y49)+'Model Setup'!$N$8*(SUMIF($AD$3:$BA$3,"&lt;"&amp;$DF49,$B49:$Y49)+SUMIF($AD$3:$BA$3,"&gt;="&amp;$DG49,$B49:$Y49)),
IF(AY$3&lt;$DG49,W49,0))))))))))))))),0)</f>
        <v>0</v>
      </c>
      <c r="AZ49" s="47">
        <f>ROUND(IF(AZ$3&lt;$DF49,0,
IF(AZ$3=$DF49+'Model Setup'!$B$7,SUMIF($AD$3:$BA$3,"="&amp;$DF49+'Model Setup'!$B$7,$B49:$Y49)+'Model Setup'!$B$8*(SUMIF($AD$3:$BA$3,"&lt;"&amp;$DF49,$B49:$Y49)+SUMIF($AD$3:$BA$3,"&gt;="&amp;$DG49,$B49:$Y49)),
IF(AZ$3=$DF49+'Model Setup'!$C$7,SUMIF($AD$3:$BA$3,"="&amp;$DF49+'Model Setup'!$C$7,$B49:$Y49)+'Model Setup'!$C$8*(SUMIF($AD$3:$BA$3,"&lt;"&amp;$DF49,$B49:$Y49)+SUMIF($AD$3:$BA$3,"&gt;="&amp;$DG49,$B49:$Y49)),
IF(AZ$3=$DF49+'Model Setup'!$D$7,SUMIF($AD$3:$BA$3,"="&amp;$DF49+'Model Setup'!$D$7,$B49:$Y49)+'Model Setup'!$D$8*(SUMIF($AD$3:$BA$3,"&lt;"&amp;$DF49,$B49:$Y49)+SUMIF($AD$3:$BA$3,"&gt;="&amp;$DG49,$B49:$Y49)),
IF(AZ$3=$DF49+'Model Setup'!$E$7,SUMIF($AD$3:$BA$3,"="&amp;$DF49+'Model Setup'!$E$7,$B49:$Y49)+'Model Setup'!$E$8*(SUMIF($AD$3:$BA$3,"&lt;"&amp;$DF49,$B49:$Y49)+SUMIF($AD$3:$BA$3,"&gt;="&amp;$DG49,$B49:$Y49)),
IF(AZ$3=$DF49+'Model Setup'!$F$7,SUMIF($AD$3:$BA$3,"="&amp;$DF49+'Model Setup'!$F$7,$B49:$Y49)+'Model Setup'!$F$8*(SUMIF($AD$3:$BA$3,"&lt;"&amp;$DF49,$B49:$Y49)+SUMIF($AD$3:$BA$3,"&gt;="&amp;$DG49,$B49:$Y49)),
IF(AZ$3=$DF49+'Model Setup'!$G$7,SUMIF($AD$3:$BA$3,"="&amp;$DF49+'Model Setup'!$G$7,$B49:$Y49)+'Model Setup'!$G$8*(SUMIF($AD$3:$BA$3,"&lt;"&amp;$DF49,$B49:$Y49)+SUMIF($AD$3:$BA$3,"&gt;="&amp;$DG49,$B49:$Y49)),
IF(AZ$3=$DF49+'Model Setup'!$H$7,SUMIF($AD$3:$BA$3,"="&amp;$DF49+'Model Setup'!$H$7,$B49:$Y49)+'Model Setup'!$H$8*(SUMIF($AD$3:$BA$3,"&lt;"&amp;$DF49,$B49:$Y49)+SUMIF($AD$3:$BA$3,"&gt;="&amp;$DG49,$B49:$Y49)),
IF(AZ$3=$DF49+'Model Setup'!$I$7,SUMIF($AD$3:$BA$3,"="&amp;$DF49+'Model Setup'!$I$7,$B49:$Y49)+'Model Setup'!$I$8*(SUMIF($AD$3:$BA$3,"&lt;"&amp;$DF49,$B49:$Y49)+SUMIF($AD$3:$BA$3,"&gt;="&amp;$DG49,$B49:$Y49)),
IF(AZ$3=$DF49+'Model Setup'!$J$7,SUMIF($AD$3:$BA$3,"="&amp;$DF49+'Model Setup'!$J$7,$B49:$Y49)+'Model Setup'!$J$8*(SUMIF($AD$3:$BA$3,"&lt;"&amp;$DF49,$B49:$Y49)+SUMIF($AD$3:$BA$3,"&gt;="&amp;$DG49,$B49:$Y49)),
IF(AZ$3=$DF49+'Model Setup'!$K$7,SUMIF($AD$3:$BA$3,"="&amp;$DF49+'Model Setup'!$K$7,$B49:$Y49)+'Model Setup'!$K$8*(SUMIF($AD$3:$BA$3,"&lt;"&amp;$DF49,$B49:$Y49)+SUMIF($AD$3:$BA$3,"&gt;="&amp;$DG49,$B49:$Y49)),
IF(AZ$3=$DF49+'Model Setup'!$L$7,SUMIF($AD$3:$BA$3,"="&amp;$DF49+'Model Setup'!$L$7,$B49:$Y49)+'Model Setup'!$L$8*(SUMIF($AD$3:$BA$3,"&lt;"&amp;$DF49,$B49:$Y49)+SUMIF($AD$3:$BA$3,"&gt;="&amp;$DG49,$B49:$Y49)),
IF(AZ$3=$DF49+'Model Setup'!$M$7,SUMIF($AD$3:$BA$3,"="&amp;$DF49+'Model Setup'!$M$7,$B49:$Y49)+'Model Setup'!$M$8*(SUMIF($AD$3:$BA$3,"&lt;"&amp;$DF49,$B49:$Y49)+SUMIF($AD$3:$BA$3,"&gt;="&amp;$DG49,$B49:$Y49)),
IF(AZ$3=$DF49+'Model Setup'!$N$7,SUMIF($AD$3:$BA$3,"="&amp;$DF49+'Model Setup'!$N$7,$B49:$Y49)+'Model Setup'!$N$8*(SUMIF($AD$3:$BA$3,"&lt;"&amp;$DF49,$B49:$Y49)+SUMIF($AD$3:$BA$3,"&gt;="&amp;$DG49,$B49:$Y49)),
IF(AZ$3&lt;$DG49,X49,0))))))))))))))),0)</f>
        <v>0</v>
      </c>
      <c r="BA49" s="47">
        <f>ROUND(IF(BA$3&lt;$DF49,0,
IF(BA$3=$DF49+'Model Setup'!$B$7,SUMIF($AD$3:$BA$3,"="&amp;$DF49+'Model Setup'!$B$7,$B49:$Y49)+'Model Setup'!$B$8*(SUMIF($AD$3:$BA$3,"&lt;"&amp;$DF49,$B49:$Y49)+SUMIF($AD$3:$BA$3,"&gt;="&amp;$DG49,$B49:$Y49)),
IF(BA$3=$DF49+'Model Setup'!$C$7,SUMIF($AD$3:$BA$3,"="&amp;$DF49+'Model Setup'!$C$7,$B49:$Y49)+'Model Setup'!$C$8*(SUMIF($AD$3:$BA$3,"&lt;"&amp;$DF49,$B49:$Y49)+SUMIF($AD$3:$BA$3,"&gt;="&amp;$DG49,$B49:$Y49)),
IF(BA$3=$DF49+'Model Setup'!$D$7,SUMIF($AD$3:$BA$3,"="&amp;$DF49+'Model Setup'!$D$7,$B49:$Y49)+'Model Setup'!$D$8*(SUMIF($AD$3:$BA$3,"&lt;"&amp;$DF49,$B49:$Y49)+SUMIF($AD$3:$BA$3,"&gt;="&amp;$DG49,$B49:$Y49)),
IF(BA$3=$DF49+'Model Setup'!$E$7,SUMIF($AD$3:$BA$3,"="&amp;$DF49+'Model Setup'!$E$7,$B49:$Y49)+'Model Setup'!$E$8*(SUMIF($AD$3:$BA$3,"&lt;"&amp;$DF49,$B49:$Y49)+SUMIF($AD$3:$BA$3,"&gt;="&amp;$DG49,$B49:$Y49)),
IF(BA$3=$DF49+'Model Setup'!$F$7,SUMIF($AD$3:$BA$3,"="&amp;$DF49+'Model Setup'!$F$7,$B49:$Y49)+'Model Setup'!$F$8*(SUMIF($AD$3:$BA$3,"&lt;"&amp;$DF49,$B49:$Y49)+SUMIF($AD$3:$BA$3,"&gt;="&amp;$DG49,$B49:$Y49)),
IF(BA$3=$DF49+'Model Setup'!$G$7,SUMIF($AD$3:$BA$3,"="&amp;$DF49+'Model Setup'!$G$7,$B49:$Y49)+'Model Setup'!$G$8*(SUMIF($AD$3:$BA$3,"&lt;"&amp;$DF49,$B49:$Y49)+SUMIF($AD$3:$BA$3,"&gt;="&amp;$DG49,$B49:$Y49)),
IF(BA$3=$DF49+'Model Setup'!$H$7,SUMIF($AD$3:$BA$3,"="&amp;$DF49+'Model Setup'!$H$7,$B49:$Y49)+'Model Setup'!$H$8*(SUMIF($AD$3:$BA$3,"&lt;"&amp;$DF49,$B49:$Y49)+SUMIF($AD$3:$BA$3,"&gt;="&amp;$DG49,$B49:$Y49)),
IF(BA$3=$DF49+'Model Setup'!$I$7,SUMIF($AD$3:$BA$3,"="&amp;$DF49+'Model Setup'!$I$7,$B49:$Y49)+'Model Setup'!$I$8*(SUMIF($AD$3:$BA$3,"&lt;"&amp;$DF49,$B49:$Y49)+SUMIF($AD$3:$BA$3,"&gt;="&amp;$DG49,$B49:$Y49)),
IF(BA$3=$DF49+'Model Setup'!$J$7,SUMIF($AD$3:$BA$3,"="&amp;$DF49+'Model Setup'!$J$7,$B49:$Y49)+'Model Setup'!$J$8*(SUMIF($AD$3:$BA$3,"&lt;"&amp;$DF49,$B49:$Y49)+SUMIF($AD$3:$BA$3,"&gt;="&amp;$DG49,$B49:$Y49)),
IF(BA$3=$DF49+'Model Setup'!$K$7,SUMIF($AD$3:$BA$3,"="&amp;$DF49+'Model Setup'!$K$7,$B49:$Y49)+'Model Setup'!$K$8*(SUMIF($AD$3:$BA$3,"&lt;"&amp;$DF49,$B49:$Y49)+SUMIF($AD$3:$BA$3,"&gt;="&amp;$DG49,$B49:$Y49)),
IF(BA$3=$DF49+'Model Setup'!$L$7,SUMIF($AD$3:$BA$3,"="&amp;$DF49+'Model Setup'!$L$7,$B49:$Y49)+'Model Setup'!$L$8*(SUMIF($AD$3:$BA$3,"&lt;"&amp;$DF49,$B49:$Y49)+SUMIF($AD$3:$BA$3,"&gt;="&amp;$DG49,$B49:$Y49)),
IF(BA$3=$DF49+'Model Setup'!$M$7,SUMIF($AD$3:$BA$3,"="&amp;$DF49+'Model Setup'!$M$7,$B49:$Y49)+'Model Setup'!$M$8*(SUMIF($AD$3:$BA$3,"&lt;"&amp;$DF49,$B49:$Y49)+SUMIF($AD$3:$BA$3,"&gt;="&amp;$DG49,$B49:$Y49)),
IF(BA$3=$DF49+'Model Setup'!$N$7,SUMIF($AD$3:$BA$3,"="&amp;$DF49+'Model Setup'!$N$7,$B49:$Y49)+'Model Setup'!$N$8*(SUMIF($AD$3:$BA$3,"&lt;"&amp;$DF49,$B49:$Y49)+SUMIF($AD$3:$BA$3,"&gt;="&amp;$DG49,$B49:$Y49)),
IF(BA$3&lt;$DG49,Y49,0))))))))))))))),0)</f>
        <v>0</v>
      </c>
      <c r="BB49" s="47">
        <f t="shared" si="1"/>
        <v>1938</v>
      </c>
      <c r="BD49" t="b">
        <f t="shared" si="2"/>
        <v>0</v>
      </c>
      <c r="BE49">
        <f t="shared" si="8"/>
        <v>29</v>
      </c>
      <c r="BF49">
        <f>(FTC!F47-FTC!E47)*24</f>
        <v>11.999999999999998</v>
      </c>
      <c r="BG49" s="43" t="s">
        <v>64</v>
      </c>
      <c r="BH49" s="47">
        <f>ROUND(IF(OR(BH$3&lt;$DF49,BH$3&gt;$CW$4),0,
IF(BH$3=$DF49+'Model Setup'!$B$7,SUMIF($BH$3:$CE$3,"="&amp;$DF49+'Model Setup'!$B$7,$AD49:$BA49)+'Model Setup'!$B$8*(SUMIF($BH$3:$CE$3,"&lt;"&amp;$DF49,$AD49:$BA49)+SUMIF($BH$3:$CE$3,"&gt;"&amp;$CW$4,$AD49:$BA49)),
IF(BH$3=$DF49+'Model Setup'!$C$7,SUMIF($BH$3:$CE$3,"="&amp;$DF49+'Model Setup'!$C$7,$AD49:$BA49)+'Model Setup'!$C$8*(SUMIF($BH$3:$CE$3,"&lt;"&amp;$DF49,$AD49:$BA49)+SUMIF($BH$3:$CE$3,"&gt;"&amp;$CW$4,$AD49:$BA49)),
IF(BH$3=$DF49+'Model Setup'!$D$7,SUMIF($BH$3:$CE$3,"="&amp;$DF49+'Model Setup'!$D$7,$AD49:$BA49)+'Model Setup'!$D$8*(SUMIF($BH$3:$CE$3,"&lt;"&amp;$DF49,$AD49:$BA49)+SUMIF($BH$3:$CE$3,"&gt;"&amp;$CW$4,$AD49:$BA49)),
IF(BH$3=$DF49+'Model Setup'!$E$7,SUMIF($BH$3:$CE$3,"="&amp;$DF49+'Model Setup'!$E$7,$AD49:$BA49)+'Model Setup'!$E$8*(SUMIF($BH$3:$CE$3,"&lt;"&amp;$DF49,$AD49:$BA49)+SUMIF($BH$3:$CE$3,"&gt;"&amp;$CW$4,$AD49:$BA49)),
IF(BH$3=$DF49+'Model Setup'!$F$7,SUMIF($BH$3:$CE$3,"="&amp;$DF49+'Model Setup'!$F$7,$AD49:$BA49)+'Model Setup'!$F$8*(SUMIF($BH$3:$CE$3,"&lt;"&amp;$DF49,$AD49:$BA49)+SUMIF($BH$3:$CE$3,"&gt;"&amp;$CW$4,$AD49:$BA49)),
IF(BH$3=$DF49+'Model Setup'!$G$7,SUMIF($BH$3:$CE$3,"="&amp;$DF49+'Model Setup'!$G$7,$AD49:$BA49)+'Model Setup'!$G$8*(SUMIF($BH$3:$CE$3,"&lt;"&amp;$DF49,$AD49:$BA49)+SUMIF($BH$3:$CE$3,"&gt;"&amp;$CW$4,$AD49:$BA49)),
IF(BH$3=$DF49+'Model Setup'!$H$7,SUMIF($BH$3:$CE$3,"="&amp;$DF49+'Model Setup'!$H$7,$AD49:$BA49)+'Model Setup'!$H$8*(SUMIF($BH$3:$CE$3,"&lt;"&amp;$DF49,$AD49:$BA49)+SUMIF($BH$3:$CE$3,"&gt;"&amp;$CW$4,$AD49:$BA49)),
IF(BH$3=$DF49+'Model Setup'!$I$7,SUMIF($BH$3:$CE$3,"="&amp;$DF49+'Model Setup'!$I$7,$AD49:$BA49)+'Model Setup'!$I$8*(SUMIF($BH$3:$CE$3,"&lt;"&amp;$DF49,$AD49:$BA49)+SUMIF($BH$3:$CE$3,"&gt;"&amp;$CW$4,$AD49:$BA49)),
IF(BH$3=$DF49+'Model Setup'!$J$7,SUMIF($BH$3:$CE$3,"="&amp;$DF49+'Model Setup'!$J$7,$AD49:$BA49)+'Model Setup'!$J$8*(SUMIF($BH$3:$CE$3,"&lt;"&amp;$DF49,$AD49:$BA49)+SUMIF($BH$3:$CE$3,"&gt;"&amp;$CW$4,$AD49:$BA49)),
IF(BH$3=$DF49+'Model Setup'!$K$7,SUMIF($BH$3:$CE$3,"="&amp;$DF49+'Model Setup'!$K$7,$AD49:$BA49)+'Model Setup'!$K$8*(SUMIF($BH$3:$CE$3,"&lt;"&amp;$DF49,$AD49:$BA49)+SUMIF($BH$3:$CE$3,"&gt;"&amp;$CW$4,$AD49:$BA49)),
IF(BH$3=$DF49+'Model Setup'!$L$7,SUMIF($BH$3:$CE$3,"="&amp;$DF49+'Model Setup'!$L$7,$AD49:$BA49)+'Model Setup'!$L$8*(SUMIF($BH$3:$CE$3,"&lt;"&amp;$DF49,$AD49:$BA49)+SUMIF($BH$3:$CE$3,"&gt;"&amp;$CW$4,$AD49:$BA49)),
IF(BH$3=$DF49+'Model Setup'!$M$7,SUMIF($BH$3:$CE$3,"="&amp;$DF49+'Model Setup'!$M$7,$AD49:$BA49)+'Model Setup'!$M$8*(SUMIF($BH$3:$CE$3,"&lt;"&amp;$DF49,$AD49:$BA49)+SUMIF($BH$3:$CE$3,"&gt;"&amp;$CW$4,$AD49:$BA49)),
IF(BH$3=$DF49+'Model Setup'!$N$7,SUMIF($BH$3:$CE$3,"="&amp;$DF49+'Model Setup'!$N$7,$AD49:$BA49)+'Model Setup'!$N$8*(SUMIF($BH$3:$CE$3,"&lt;"&amp;$DF49,$AD49:$BA49)+SUMIF($BH$3:$CE$3,"&gt;"&amp;$CW$4,$AD49:$BA49)),
IF(BH$3&lt;$CW$4,B49,0))))))))))))))),0)</f>
        <v>0</v>
      </c>
      <c r="BI49" s="47">
        <f>ROUND(IF(OR(BI$3&lt;$DF49,BI$3&gt;$CW$4),0,
IF(BI$3=$DF49+'Model Setup'!$B$7,SUMIF($BH$3:$CE$3,"="&amp;$DF49+'Model Setup'!$B$7,$AD49:$BA49)+'Model Setup'!$B$8*(SUMIF($BH$3:$CE$3,"&lt;"&amp;$DF49,$AD49:$BA49)+SUMIF($BH$3:$CE$3,"&gt;"&amp;$CW$4,$AD49:$BA49)),
IF(BI$3=$DF49+'Model Setup'!$C$7,SUMIF($BH$3:$CE$3,"="&amp;$DF49+'Model Setup'!$C$7,$AD49:$BA49)+'Model Setup'!$C$8*(SUMIF($BH$3:$CE$3,"&lt;"&amp;$DF49,$AD49:$BA49)+SUMIF($BH$3:$CE$3,"&gt;"&amp;$CW$4,$AD49:$BA49)),
IF(BI$3=$DF49+'Model Setup'!$D$7,SUMIF($BH$3:$CE$3,"="&amp;$DF49+'Model Setup'!$D$7,$AD49:$BA49)+'Model Setup'!$D$8*(SUMIF($BH$3:$CE$3,"&lt;"&amp;$DF49,$AD49:$BA49)+SUMIF($BH$3:$CE$3,"&gt;"&amp;$CW$4,$AD49:$BA49)),
IF(BI$3=$DF49+'Model Setup'!$E$7,SUMIF($BH$3:$CE$3,"="&amp;$DF49+'Model Setup'!$E$7,$AD49:$BA49)+'Model Setup'!$E$8*(SUMIF($BH$3:$CE$3,"&lt;"&amp;$DF49,$AD49:$BA49)+SUMIF($BH$3:$CE$3,"&gt;"&amp;$CW$4,$AD49:$BA49)),
IF(BI$3=$DF49+'Model Setup'!$F$7,SUMIF($BH$3:$CE$3,"="&amp;$DF49+'Model Setup'!$F$7,$AD49:$BA49)+'Model Setup'!$F$8*(SUMIF($BH$3:$CE$3,"&lt;"&amp;$DF49,$AD49:$BA49)+SUMIF($BH$3:$CE$3,"&gt;"&amp;$CW$4,$AD49:$BA49)),
IF(BI$3=$DF49+'Model Setup'!$G$7,SUMIF($BH$3:$CE$3,"="&amp;$DF49+'Model Setup'!$G$7,$AD49:$BA49)+'Model Setup'!$G$8*(SUMIF($BH$3:$CE$3,"&lt;"&amp;$DF49,$AD49:$BA49)+SUMIF($BH$3:$CE$3,"&gt;"&amp;$CW$4,$AD49:$BA49)),
IF(BI$3=$DF49+'Model Setup'!$H$7,SUMIF($BH$3:$CE$3,"="&amp;$DF49+'Model Setup'!$H$7,$AD49:$BA49)+'Model Setup'!$H$8*(SUMIF($BH$3:$CE$3,"&lt;"&amp;$DF49,$AD49:$BA49)+SUMIF($BH$3:$CE$3,"&gt;"&amp;$CW$4,$AD49:$BA49)),
IF(BI$3=$DF49+'Model Setup'!$I$7,SUMIF($BH$3:$CE$3,"="&amp;$DF49+'Model Setup'!$I$7,$AD49:$BA49)+'Model Setup'!$I$8*(SUMIF($BH$3:$CE$3,"&lt;"&amp;$DF49,$AD49:$BA49)+SUMIF($BH$3:$CE$3,"&gt;"&amp;$CW$4,$AD49:$BA49)),
IF(BI$3=$DF49+'Model Setup'!$J$7,SUMIF($BH$3:$CE$3,"="&amp;$DF49+'Model Setup'!$J$7,$AD49:$BA49)+'Model Setup'!$J$8*(SUMIF($BH$3:$CE$3,"&lt;"&amp;$DF49,$AD49:$BA49)+SUMIF($BH$3:$CE$3,"&gt;"&amp;$CW$4,$AD49:$BA49)),
IF(BI$3=$DF49+'Model Setup'!$K$7,SUMIF($BH$3:$CE$3,"="&amp;$DF49+'Model Setup'!$K$7,$AD49:$BA49)+'Model Setup'!$K$8*(SUMIF($BH$3:$CE$3,"&lt;"&amp;$DF49,$AD49:$BA49)+SUMIF($BH$3:$CE$3,"&gt;"&amp;$CW$4,$AD49:$BA49)),
IF(BI$3=$DF49+'Model Setup'!$L$7,SUMIF($BH$3:$CE$3,"="&amp;$DF49+'Model Setup'!$L$7,$AD49:$BA49)+'Model Setup'!$L$8*(SUMIF($BH$3:$CE$3,"&lt;"&amp;$DF49,$AD49:$BA49)+SUMIF($BH$3:$CE$3,"&gt;"&amp;$CW$4,$AD49:$BA49)),
IF(BI$3=$DF49+'Model Setup'!$M$7,SUMIF($BH$3:$CE$3,"="&amp;$DF49+'Model Setup'!$M$7,$AD49:$BA49)+'Model Setup'!$M$8*(SUMIF($BH$3:$CE$3,"&lt;"&amp;$DF49,$AD49:$BA49)+SUMIF($BH$3:$CE$3,"&gt;"&amp;$CW$4,$AD49:$BA49)),
IF(BI$3=$DF49+'Model Setup'!$N$7,SUMIF($BH$3:$CE$3,"="&amp;$DF49+'Model Setup'!$N$7,$AD49:$BA49)+'Model Setup'!$N$8*(SUMIF($BH$3:$CE$3,"&lt;"&amp;$DF49,$AD49:$BA49)+SUMIF($BH$3:$CE$3,"&gt;"&amp;$CW$4,$AD49:$BA49)),
IF(BI$3&lt;$CW$4,C49,0))))))))))))))),0)</f>
        <v>0</v>
      </c>
      <c r="BJ49" s="47">
        <f>ROUND(IF(OR(BJ$3&lt;$DF49,BJ$3&gt;$CW$4),0,
IF(BJ$3=$DF49+'Model Setup'!$B$7,SUMIF($BH$3:$CE$3,"="&amp;$DF49+'Model Setup'!$B$7,$AD49:$BA49)+'Model Setup'!$B$8*(SUMIF($BH$3:$CE$3,"&lt;"&amp;$DF49,$AD49:$BA49)+SUMIF($BH$3:$CE$3,"&gt;"&amp;$CW$4,$AD49:$BA49)),
IF(BJ$3=$DF49+'Model Setup'!$C$7,SUMIF($BH$3:$CE$3,"="&amp;$DF49+'Model Setup'!$C$7,$AD49:$BA49)+'Model Setup'!$C$8*(SUMIF($BH$3:$CE$3,"&lt;"&amp;$DF49,$AD49:$BA49)+SUMIF($BH$3:$CE$3,"&gt;"&amp;$CW$4,$AD49:$BA49)),
IF(BJ$3=$DF49+'Model Setup'!$D$7,SUMIF($BH$3:$CE$3,"="&amp;$DF49+'Model Setup'!$D$7,$AD49:$BA49)+'Model Setup'!$D$8*(SUMIF($BH$3:$CE$3,"&lt;"&amp;$DF49,$AD49:$BA49)+SUMIF($BH$3:$CE$3,"&gt;"&amp;$CW$4,$AD49:$BA49)),
IF(BJ$3=$DF49+'Model Setup'!$E$7,SUMIF($BH$3:$CE$3,"="&amp;$DF49+'Model Setup'!$E$7,$AD49:$BA49)+'Model Setup'!$E$8*(SUMIF($BH$3:$CE$3,"&lt;"&amp;$DF49,$AD49:$BA49)+SUMIF($BH$3:$CE$3,"&gt;"&amp;$CW$4,$AD49:$BA49)),
IF(BJ$3=$DF49+'Model Setup'!$F$7,SUMIF($BH$3:$CE$3,"="&amp;$DF49+'Model Setup'!$F$7,$AD49:$BA49)+'Model Setup'!$F$8*(SUMIF($BH$3:$CE$3,"&lt;"&amp;$DF49,$AD49:$BA49)+SUMIF($BH$3:$CE$3,"&gt;"&amp;$CW$4,$AD49:$BA49)),
IF(BJ$3=$DF49+'Model Setup'!$G$7,SUMIF($BH$3:$CE$3,"="&amp;$DF49+'Model Setup'!$G$7,$AD49:$BA49)+'Model Setup'!$G$8*(SUMIF($BH$3:$CE$3,"&lt;"&amp;$DF49,$AD49:$BA49)+SUMIF($BH$3:$CE$3,"&gt;"&amp;$CW$4,$AD49:$BA49)),
IF(BJ$3=$DF49+'Model Setup'!$H$7,SUMIF($BH$3:$CE$3,"="&amp;$DF49+'Model Setup'!$H$7,$AD49:$BA49)+'Model Setup'!$H$8*(SUMIF($BH$3:$CE$3,"&lt;"&amp;$DF49,$AD49:$BA49)+SUMIF($BH$3:$CE$3,"&gt;"&amp;$CW$4,$AD49:$BA49)),
IF(BJ$3=$DF49+'Model Setup'!$I$7,SUMIF($BH$3:$CE$3,"="&amp;$DF49+'Model Setup'!$I$7,$AD49:$BA49)+'Model Setup'!$I$8*(SUMIF($BH$3:$CE$3,"&lt;"&amp;$DF49,$AD49:$BA49)+SUMIF($BH$3:$CE$3,"&gt;"&amp;$CW$4,$AD49:$BA49)),
IF(BJ$3=$DF49+'Model Setup'!$J$7,SUMIF($BH$3:$CE$3,"="&amp;$DF49+'Model Setup'!$J$7,$AD49:$BA49)+'Model Setup'!$J$8*(SUMIF($BH$3:$CE$3,"&lt;"&amp;$DF49,$AD49:$BA49)+SUMIF($BH$3:$CE$3,"&gt;"&amp;$CW$4,$AD49:$BA49)),
IF(BJ$3=$DF49+'Model Setup'!$K$7,SUMIF($BH$3:$CE$3,"="&amp;$DF49+'Model Setup'!$K$7,$AD49:$BA49)+'Model Setup'!$K$8*(SUMIF($BH$3:$CE$3,"&lt;"&amp;$DF49,$AD49:$BA49)+SUMIF($BH$3:$CE$3,"&gt;"&amp;$CW$4,$AD49:$BA49)),
IF(BJ$3=$DF49+'Model Setup'!$L$7,SUMIF($BH$3:$CE$3,"="&amp;$DF49+'Model Setup'!$L$7,$AD49:$BA49)+'Model Setup'!$L$8*(SUMIF($BH$3:$CE$3,"&lt;"&amp;$DF49,$AD49:$BA49)+SUMIF($BH$3:$CE$3,"&gt;"&amp;$CW$4,$AD49:$BA49)),
IF(BJ$3=$DF49+'Model Setup'!$M$7,SUMIF($BH$3:$CE$3,"="&amp;$DF49+'Model Setup'!$M$7,$AD49:$BA49)+'Model Setup'!$M$8*(SUMIF($BH$3:$CE$3,"&lt;"&amp;$DF49,$AD49:$BA49)+SUMIF($BH$3:$CE$3,"&gt;"&amp;$CW$4,$AD49:$BA49)),
IF(BJ$3=$DF49+'Model Setup'!$N$7,SUMIF($BH$3:$CE$3,"="&amp;$DF49+'Model Setup'!$N$7,$AD49:$BA49)+'Model Setup'!$N$8*(SUMIF($BH$3:$CE$3,"&lt;"&amp;$DF49,$AD49:$BA49)+SUMIF($BH$3:$CE$3,"&gt;"&amp;$CW$4,$AD49:$BA49)),
IF(BJ$3&lt;$CW$4,D49,0))))))))))))))),0)</f>
        <v>0</v>
      </c>
      <c r="BK49" s="47">
        <f>ROUND(IF(OR(BK$3&lt;$DF49,BK$3&gt;$CW$4),0,
IF(BK$3=$DF49+'Model Setup'!$B$7,SUMIF($BH$3:$CE$3,"="&amp;$DF49+'Model Setup'!$B$7,$AD49:$BA49)+'Model Setup'!$B$8*(SUMIF($BH$3:$CE$3,"&lt;"&amp;$DF49,$AD49:$BA49)+SUMIF($BH$3:$CE$3,"&gt;"&amp;$CW$4,$AD49:$BA49)),
IF(BK$3=$DF49+'Model Setup'!$C$7,SUMIF($BH$3:$CE$3,"="&amp;$DF49+'Model Setup'!$C$7,$AD49:$BA49)+'Model Setup'!$C$8*(SUMIF($BH$3:$CE$3,"&lt;"&amp;$DF49,$AD49:$BA49)+SUMIF($BH$3:$CE$3,"&gt;"&amp;$CW$4,$AD49:$BA49)),
IF(BK$3=$DF49+'Model Setup'!$D$7,SUMIF($BH$3:$CE$3,"="&amp;$DF49+'Model Setup'!$D$7,$AD49:$BA49)+'Model Setup'!$D$8*(SUMIF($BH$3:$CE$3,"&lt;"&amp;$DF49,$AD49:$BA49)+SUMIF($BH$3:$CE$3,"&gt;"&amp;$CW$4,$AD49:$BA49)),
IF(BK$3=$DF49+'Model Setup'!$E$7,SUMIF($BH$3:$CE$3,"="&amp;$DF49+'Model Setup'!$E$7,$AD49:$BA49)+'Model Setup'!$E$8*(SUMIF($BH$3:$CE$3,"&lt;"&amp;$DF49,$AD49:$BA49)+SUMIF($BH$3:$CE$3,"&gt;"&amp;$CW$4,$AD49:$BA49)),
IF(BK$3=$DF49+'Model Setup'!$F$7,SUMIF($BH$3:$CE$3,"="&amp;$DF49+'Model Setup'!$F$7,$AD49:$BA49)+'Model Setup'!$F$8*(SUMIF($BH$3:$CE$3,"&lt;"&amp;$DF49,$AD49:$BA49)+SUMIF($BH$3:$CE$3,"&gt;"&amp;$CW$4,$AD49:$BA49)),
IF(BK$3=$DF49+'Model Setup'!$G$7,SUMIF($BH$3:$CE$3,"="&amp;$DF49+'Model Setup'!$G$7,$AD49:$BA49)+'Model Setup'!$G$8*(SUMIF($BH$3:$CE$3,"&lt;"&amp;$DF49,$AD49:$BA49)+SUMIF($BH$3:$CE$3,"&gt;"&amp;$CW$4,$AD49:$BA49)),
IF(BK$3=$DF49+'Model Setup'!$H$7,SUMIF($BH$3:$CE$3,"="&amp;$DF49+'Model Setup'!$H$7,$AD49:$BA49)+'Model Setup'!$H$8*(SUMIF($BH$3:$CE$3,"&lt;"&amp;$DF49,$AD49:$BA49)+SUMIF($BH$3:$CE$3,"&gt;"&amp;$CW$4,$AD49:$BA49)),
IF(BK$3=$DF49+'Model Setup'!$I$7,SUMIF($BH$3:$CE$3,"="&amp;$DF49+'Model Setup'!$I$7,$AD49:$BA49)+'Model Setup'!$I$8*(SUMIF($BH$3:$CE$3,"&lt;"&amp;$DF49,$AD49:$BA49)+SUMIF($BH$3:$CE$3,"&gt;"&amp;$CW$4,$AD49:$BA49)),
IF(BK$3=$DF49+'Model Setup'!$J$7,SUMIF($BH$3:$CE$3,"="&amp;$DF49+'Model Setup'!$J$7,$AD49:$BA49)+'Model Setup'!$J$8*(SUMIF($BH$3:$CE$3,"&lt;"&amp;$DF49,$AD49:$BA49)+SUMIF($BH$3:$CE$3,"&gt;"&amp;$CW$4,$AD49:$BA49)),
IF(BK$3=$DF49+'Model Setup'!$K$7,SUMIF($BH$3:$CE$3,"="&amp;$DF49+'Model Setup'!$K$7,$AD49:$BA49)+'Model Setup'!$K$8*(SUMIF($BH$3:$CE$3,"&lt;"&amp;$DF49,$AD49:$BA49)+SUMIF($BH$3:$CE$3,"&gt;"&amp;$CW$4,$AD49:$BA49)),
IF(BK$3=$DF49+'Model Setup'!$L$7,SUMIF($BH$3:$CE$3,"="&amp;$DF49+'Model Setup'!$L$7,$AD49:$BA49)+'Model Setup'!$L$8*(SUMIF($BH$3:$CE$3,"&lt;"&amp;$DF49,$AD49:$BA49)+SUMIF($BH$3:$CE$3,"&gt;"&amp;$CW$4,$AD49:$BA49)),
IF(BK$3=$DF49+'Model Setup'!$M$7,SUMIF($BH$3:$CE$3,"="&amp;$DF49+'Model Setup'!$M$7,$AD49:$BA49)+'Model Setup'!$M$8*(SUMIF($BH$3:$CE$3,"&lt;"&amp;$DF49,$AD49:$BA49)+SUMIF($BH$3:$CE$3,"&gt;"&amp;$CW$4,$AD49:$BA49)),
IF(BK$3=$DF49+'Model Setup'!$N$7,SUMIF($BH$3:$CE$3,"="&amp;$DF49+'Model Setup'!$N$7,$AD49:$BA49)+'Model Setup'!$N$8*(SUMIF($BH$3:$CE$3,"&lt;"&amp;$DF49,$AD49:$BA49)+SUMIF($BH$3:$CE$3,"&gt;"&amp;$CW$4,$AD49:$BA49)),
IF(BK$3&lt;$CW$4,E49,0))))))))))))))),0)</f>
        <v>0</v>
      </c>
      <c r="BL49" s="47">
        <f>ROUND(IF(OR(BL$3&lt;$DF49,BL$3&gt;$CW$4),0,
IF(BL$3=$DF49+'Model Setup'!$B$7,SUMIF($BH$3:$CE$3,"="&amp;$DF49+'Model Setup'!$B$7,$AD49:$BA49)+'Model Setup'!$B$8*(SUMIF($BH$3:$CE$3,"&lt;"&amp;$DF49,$AD49:$BA49)+SUMIF($BH$3:$CE$3,"&gt;"&amp;$CW$4,$AD49:$BA49)),
IF(BL$3=$DF49+'Model Setup'!$C$7,SUMIF($BH$3:$CE$3,"="&amp;$DF49+'Model Setup'!$C$7,$AD49:$BA49)+'Model Setup'!$C$8*(SUMIF($BH$3:$CE$3,"&lt;"&amp;$DF49,$AD49:$BA49)+SUMIF($BH$3:$CE$3,"&gt;"&amp;$CW$4,$AD49:$BA49)),
IF(BL$3=$DF49+'Model Setup'!$D$7,SUMIF($BH$3:$CE$3,"="&amp;$DF49+'Model Setup'!$D$7,$AD49:$BA49)+'Model Setup'!$D$8*(SUMIF($BH$3:$CE$3,"&lt;"&amp;$DF49,$AD49:$BA49)+SUMIF($BH$3:$CE$3,"&gt;"&amp;$CW$4,$AD49:$BA49)),
IF(BL$3=$DF49+'Model Setup'!$E$7,SUMIF($BH$3:$CE$3,"="&amp;$DF49+'Model Setup'!$E$7,$AD49:$BA49)+'Model Setup'!$E$8*(SUMIF($BH$3:$CE$3,"&lt;"&amp;$DF49,$AD49:$BA49)+SUMIF($BH$3:$CE$3,"&gt;"&amp;$CW$4,$AD49:$BA49)),
IF(BL$3=$DF49+'Model Setup'!$F$7,SUMIF($BH$3:$CE$3,"="&amp;$DF49+'Model Setup'!$F$7,$AD49:$BA49)+'Model Setup'!$F$8*(SUMIF($BH$3:$CE$3,"&lt;"&amp;$DF49,$AD49:$BA49)+SUMIF($BH$3:$CE$3,"&gt;"&amp;$CW$4,$AD49:$BA49)),
IF(BL$3=$DF49+'Model Setup'!$G$7,SUMIF($BH$3:$CE$3,"="&amp;$DF49+'Model Setup'!$G$7,$AD49:$BA49)+'Model Setup'!$G$8*(SUMIF($BH$3:$CE$3,"&lt;"&amp;$DF49,$AD49:$BA49)+SUMIF($BH$3:$CE$3,"&gt;"&amp;$CW$4,$AD49:$BA49)),
IF(BL$3=$DF49+'Model Setup'!$H$7,SUMIF($BH$3:$CE$3,"="&amp;$DF49+'Model Setup'!$H$7,$AD49:$BA49)+'Model Setup'!$H$8*(SUMIF($BH$3:$CE$3,"&lt;"&amp;$DF49,$AD49:$BA49)+SUMIF($BH$3:$CE$3,"&gt;"&amp;$CW$4,$AD49:$BA49)),
IF(BL$3=$DF49+'Model Setup'!$I$7,SUMIF($BH$3:$CE$3,"="&amp;$DF49+'Model Setup'!$I$7,$AD49:$BA49)+'Model Setup'!$I$8*(SUMIF($BH$3:$CE$3,"&lt;"&amp;$DF49,$AD49:$BA49)+SUMIF($BH$3:$CE$3,"&gt;"&amp;$CW$4,$AD49:$BA49)),
IF(BL$3=$DF49+'Model Setup'!$J$7,SUMIF($BH$3:$CE$3,"="&amp;$DF49+'Model Setup'!$J$7,$AD49:$BA49)+'Model Setup'!$J$8*(SUMIF($BH$3:$CE$3,"&lt;"&amp;$DF49,$AD49:$BA49)+SUMIF($BH$3:$CE$3,"&gt;"&amp;$CW$4,$AD49:$BA49)),
IF(BL$3=$DF49+'Model Setup'!$K$7,SUMIF($BH$3:$CE$3,"="&amp;$DF49+'Model Setup'!$K$7,$AD49:$BA49)+'Model Setup'!$K$8*(SUMIF($BH$3:$CE$3,"&lt;"&amp;$DF49,$AD49:$BA49)+SUMIF($BH$3:$CE$3,"&gt;"&amp;$CW$4,$AD49:$BA49)),
IF(BL$3=$DF49+'Model Setup'!$L$7,SUMIF($BH$3:$CE$3,"="&amp;$DF49+'Model Setup'!$L$7,$AD49:$BA49)+'Model Setup'!$L$8*(SUMIF($BH$3:$CE$3,"&lt;"&amp;$DF49,$AD49:$BA49)+SUMIF($BH$3:$CE$3,"&gt;"&amp;$CW$4,$AD49:$BA49)),
IF(BL$3=$DF49+'Model Setup'!$M$7,SUMIF($BH$3:$CE$3,"="&amp;$DF49+'Model Setup'!$M$7,$AD49:$BA49)+'Model Setup'!$M$8*(SUMIF($BH$3:$CE$3,"&lt;"&amp;$DF49,$AD49:$BA49)+SUMIF($BH$3:$CE$3,"&gt;"&amp;$CW$4,$AD49:$BA49)),
IF(BL$3=$DF49+'Model Setup'!$N$7,SUMIF($BH$3:$CE$3,"="&amp;$DF49+'Model Setup'!$N$7,$AD49:$BA49)+'Model Setup'!$N$8*(SUMIF($BH$3:$CE$3,"&lt;"&amp;$DF49,$AD49:$BA49)+SUMIF($BH$3:$CE$3,"&gt;"&amp;$CW$4,$AD49:$BA49)),
IF(BL$3&lt;$CW$4,F49,0))))))))))))))),0)</f>
        <v>0</v>
      </c>
      <c r="BM49" s="47">
        <f>ROUND(IF(OR(BM$3&lt;$DF49,BM$3&gt;$CW$4),0,
IF(BM$3=$DF49+'Model Setup'!$B$7,SUMIF($BH$3:$CE$3,"="&amp;$DF49+'Model Setup'!$B$7,$AD49:$BA49)+'Model Setup'!$B$8*(SUMIF($BH$3:$CE$3,"&lt;"&amp;$DF49,$AD49:$BA49)+SUMIF($BH$3:$CE$3,"&gt;"&amp;$CW$4,$AD49:$BA49)),
IF(BM$3=$DF49+'Model Setup'!$C$7,SUMIF($BH$3:$CE$3,"="&amp;$DF49+'Model Setup'!$C$7,$AD49:$BA49)+'Model Setup'!$C$8*(SUMIF($BH$3:$CE$3,"&lt;"&amp;$DF49,$AD49:$BA49)+SUMIF($BH$3:$CE$3,"&gt;"&amp;$CW$4,$AD49:$BA49)),
IF(BM$3=$DF49+'Model Setup'!$D$7,SUMIF($BH$3:$CE$3,"="&amp;$DF49+'Model Setup'!$D$7,$AD49:$BA49)+'Model Setup'!$D$8*(SUMIF($BH$3:$CE$3,"&lt;"&amp;$DF49,$AD49:$BA49)+SUMIF($BH$3:$CE$3,"&gt;"&amp;$CW$4,$AD49:$BA49)),
IF(BM$3=$DF49+'Model Setup'!$E$7,SUMIF($BH$3:$CE$3,"="&amp;$DF49+'Model Setup'!$E$7,$AD49:$BA49)+'Model Setup'!$E$8*(SUMIF($BH$3:$CE$3,"&lt;"&amp;$DF49,$AD49:$BA49)+SUMIF($BH$3:$CE$3,"&gt;"&amp;$CW$4,$AD49:$BA49)),
IF(BM$3=$DF49+'Model Setup'!$F$7,SUMIF($BH$3:$CE$3,"="&amp;$DF49+'Model Setup'!$F$7,$AD49:$BA49)+'Model Setup'!$F$8*(SUMIF($BH$3:$CE$3,"&lt;"&amp;$DF49,$AD49:$BA49)+SUMIF($BH$3:$CE$3,"&gt;"&amp;$CW$4,$AD49:$BA49)),
IF(BM$3=$DF49+'Model Setup'!$G$7,SUMIF($BH$3:$CE$3,"="&amp;$DF49+'Model Setup'!$G$7,$AD49:$BA49)+'Model Setup'!$G$8*(SUMIF($BH$3:$CE$3,"&lt;"&amp;$DF49,$AD49:$BA49)+SUMIF($BH$3:$CE$3,"&gt;"&amp;$CW$4,$AD49:$BA49)),
IF(BM$3=$DF49+'Model Setup'!$H$7,SUMIF($BH$3:$CE$3,"="&amp;$DF49+'Model Setup'!$H$7,$AD49:$BA49)+'Model Setup'!$H$8*(SUMIF($BH$3:$CE$3,"&lt;"&amp;$DF49,$AD49:$BA49)+SUMIF($BH$3:$CE$3,"&gt;"&amp;$CW$4,$AD49:$BA49)),
IF(BM$3=$DF49+'Model Setup'!$I$7,SUMIF($BH$3:$CE$3,"="&amp;$DF49+'Model Setup'!$I$7,$AD49:$BA49)+'Model Setup'!$I$8*(SUMIF($BH$3:$CE$3,"&lt;"&amp;$DF49,$AD49:$BA49)+SUMIF($BH$3:$CE$3,"&gt;"&amp;$CW$4,$AD49:$BA49)),
IF(BM$3=$DF49+'Model Setup'!$J$7,SUMIF($BH$3:$CE$3,"="&amp;$DF49+'Model Setup'!$J$7,$AD49:$BA49)+'Model Setup'!$J$8*(SUMIF($BH$3:$CE$3,"&lt;"&amp;$DF49,$AD49:$BA49)+SUMIF($BH$3:$CE$3,"&gt;"&amp;$CW$4,$AD49:$BA49)),
IF(BM$3=$DF49+'Model Setup'!$K$7,SUMIF($BH$3:$CE$3,"="&amp;$DF49+'Model Setup'!$K$7,$AD49:$BA49)+'Model Setup'!$K$8*(SUMIF($BH$3:$CE$3,"&lt;"&amp;$DF49,$AD49:$BA49)+SUMIF($BH$3:$CE$3,"&gt;"&amp;$CW$4,$AD49:$BA49)),
IF(BM$3=$DF49+'Model Setup'!$L$7,SUMIF($BH$3:$CE$3,"="&amp;$DF49+'Model Setup'!$L$7,$AD49:$BA49)+'Model Setup'!$L$8*(SUMIF($BH$3:$CE$3,"&lt;"&amp;$DF49,$AD49:$BA49)+SUMIF($BH$3:$CE$3,"&gt;"&amp;$CW$4,$AD49:$BA49)),
IF(BM$3=$DF49+'Model Setup'!$M$7,SUMIF($BH$3:$CE$3,"="&amp;$DF49+'Model Setup'!$M$7,$AD49:$BA49)+'Model Setup'!$M$8*(SUMIF($BH$3:$CE$3,"&lt;"&amp;$DF49,$AD49:$BA49)+SUMIF($BH$3:$CE$3,"&gt;"&amp;$CW$4,$AD49:$BA49)),
IF(BM$3=$DF49+'Model Setup'!$N$7,SUMIF($BH$3:$CE$3,"="&amp;$DF49+'Model Setup'!$N$7,$AD49:$BA49)+'Model Setup'!$N$8*(SUMIF($BH$3:$CE$3,"&lt;"&amp;$DF49,$AD49:$BA49)+SUMIF($BH$3:$CE$3,"&gt;"&amp;$CW$4,$AD49:$BA49)),
IF(BM$3&lt;$CW$4,G49,0))))))))))))))),0)</f>
        <v>0</v>
      </c>
      <c r="BN49" s="47">
        <f>ROUND(IF(OR(BN$3&lt;$DF49,BN$3&gt;$CW$4),0,
IF(BN$3=$DF49+'Model Setup'!$B$7,SUMIF($BH$3:$CE$3,"="&amp;$DF49+'Model Setup'!$B$7,$AD49:$BA49)+'Model Setup'!$B$8*(SUMIF($BH$3:$CE$3,"&lt;"&amp;$DF49,$AD49:$BA49)+SUMIF($BH$3:$CE$3,"&gt;"&amp;$CW$4,$AD49:$BA49)),
IF(BN$3=$DF49+'Model Setup'!$C$7,SUMIF($BH$3:$CE$3,"="&amp;$DF49+'Model Setup'!$C$7,$AD49:$BA49)+'Model Setup'!$C$8*(SUMIF($BH$3:$CE$3,"&lt;"&amp;$DF49,$AD49:$BA49)+SUMIF($BH$3:$CE$3,"&gt;"&amp;$CW$4,$AD49:$BA49)),
IF(BN$3=$DF49+'Model Setup'!$D$7,SUMIF($BH$3:$CE$3,"="&amp;$DF49+'Model Setup'!$D$7,$AD49:$BA49)+'Model Setup'!$D$8*(SUMIF($BH$3:$CE$3,"&lt;"&amp;$DF49,$AD49:$BA49)+SUMIF($BH$3:$CE$3,"&gt;"&amp;$CW$4,$AD49:$BA49)),
IF(BN$3=$DF49+'Model Setup'!$E$7,SUMIF($BH$3:$CE$3,"="&amp;$DF49+'Model Setup'!$E$7,$AD49:$BA49)+'Model Setup'!$E$8*(SUMIF($BH$3:$CE$3,"&lt;"&amp;$DF49,$AD49:$BA49)+SUMIF($BH$3:$CE$3,"&gt;"&amp;$CW$4,$AD49:$BA49)),
IF(BN$3=$DF49+'Model Setup'!$F$7,SUMIF($BH$3:$CE$3,"="&amp;$DF49+'Model Setup'!$F$7,$AD49:$BA49)+'Model Setup'!$F$8*(SUMIF($BH$3:$CE$3,"&lt;"&amp;$DF49,$AD49:$BA49)+SUMIF($BH$3:$CE$3,"&gt;"&amp;$CW$4,$AD49:$BA49)),
IF(BN$3=$DF49+'Model Setup'!$G$7,SUMIF($BH$3:$CE$3,"="&amp;$DF49+'Model Setup'!$G$7,$AD49:$BA49)+'Model Setup'!$G$8*(SUMIF($BH$3:$CE$3,"&lt;"&amp;$DF49,$AD49:$BA49)+SUMIF($BH$3:$CE$3,"&gt;"&amp;$CW$4,$AD49:$BA49)),
IF(BN$3=$DF49+'Model Setup'!$H$7,SUMIF($BH$3:$CE$3,"="&amp;$DF49+'Model Setup'!$H$7,$AD49:$BA49)+'Model Setup'!$H$8*(SUMIF($BH$3:$CE$3,"&lt;"&amp;$DF49,$AD49:$BA49)+SUMIF($BH$3:$CE$3,"&gt;"&amp;$CW$4,$AD49:$BA49)),
IF(BN$3=$DF49+'Model Setup'!$I$7,SUMIF($BH$3:$CE$3,"="&amp;$DF49+'Model Setup'!$I$7,$AD49:$BA49)+'Model Setup'!$I$8*(SUMIF($BH$3:$CE$3,"&lt;"&amp;$DF49,$AD49:$BA49)+SUMIF($BH$3:$CE$3,"&gt;"&amp;$CW$4,$AD49:$BA49)),
IF(BN$3=$DF49+'Model Setup'!$J$7,SUMIF($BH$3:$CE$3,"="&amp;$DF49+'Model Setup'!$J$7,$AD49:$BA49)+'Model Setup'!$J$8*(SUMIF($BH$3:$CE$3,"&lt;"&amp;$DF49,$AD49:$BA49)+SUMIF($BH$3:$CE$3,"&gt;"&amp;$CW$4,$AD49:$BA49)),
IF(BN$3=$DF49+'Model Setup'!$K$7,SUMIF($BH$3:$CE$3,"="&amp;$DF49+'Model Setup'!$K$7,$AD49:$BA49)+'Model Setup'!$K$8*(SUMIF($BH$3:$CE$3,"&lt;"&amp;$DF49,$AD49:$BA49)+SUMIF($BH$3:$CE$3,"&gt;"&amp;$CW$4,$AD49:$BA49)),
IF(BN$3=$DF49+'Model Setup'!$L$7,SUMIF($BH$3:$CE$3,"="&amp;$DF49+'Model Setup'!$L$7,$AD49:$BA49)+'Model Setup'!$L$8*(SUMIF($BH$3:$CE$3,"&lt;"&amp;$DF49,$AD49:$BA49)+SUMIF($BH$3:$CE$3,"&gt;"&amp;$CW$4,$AD49:$BA49)),
IF(BN$3=$DF49+'Model Setup'!$M$7,SUMIF($BH$3:$CE$3,"="&amp;$DF49+'Model Setup'!$M$7,$AD49:$BA49)+'Model Setup'!$M$8*(SUMIF($BH$3:$CE$3,"&lt;"&amp;$DF49,$AD49:$BA49)+SUMIF($BH$3:$CE$3,"&gt;"&amp;$CW$4,$AD49:$BA49)),
IF(BN$3=$DF49+'Model Setup'!$N$7,SUMIF($BH$3:$CE$3,"="&amp;$DF49+'Model Setup'!$N$7,$AD49:$BA49)+'Model Setup'!$N$8*(SUMIF($BH$3:$CE$3,"&lt;"&amp;$DF49,$AD49:$BA49)+SUMIF($BH$3:$CE$3,"&gt;"&amp;$CW$4,$AD49:$BA49)),
IF(BN$3&lt;$CW$4,H49,0))))))))))))))),0)</f>
        <v>0</v>
      </c>
      <c r="BO49" s="47">
        <f>ROUND(IF(OR(BO$3&lt;$DF49,BO$3&gt;$CW$4),0,
IF(BO$3=$DF49+'Model Setup'!$B$7,SUMIF($BH$3:$CE$3,"="&amp;$DF49+'Model Setup'!$B$7,$AD49:$BA49)+'Model Setup'!$B$8*(SUMIF($BH$3:$CE$3,"&lt;"&amp;$DF49,$AD49:$BA49)+SUMIF($BH$3:$CE$3,"&gt;"&amp;$CW$4,$AD49:$BA49)),
IF(BO$3=$DF49+'Model Setup'!$C$7,SUMIF($BH$3:$CE$3,"="&amp;$DF49+'Model Setup'!$C$7,$AD49:$BA49)+'Model Setup'!$C$8*(SUMIF($BH$3:$CE$3,"&lt;"&amp;$DF49,$AD49:$BA49)+SUMIF($BH$3:$CE$3,"&gt;"&amp;$CW$4,$AD49:$BA49)),
IF(BO$3=$DF49+'Model Setup'!$D$7,SUMIF($BH$3:$CE$3,"="&amp;$DF49+'Model Setup'!$D$7,$AD49:$BA49)+'Model Setup'!$D$8*(SUMIF($BH$3:$CE$3,"&lt;"&amp;$DF49,$AD49:$BA49)+SUMIF($BH$3:$CE$3,"&gt;"&amp;$CW$4,$AD49:$BA49)),
IF(BO$3=$DF49+'Model Setup'!$E$7,SUMIF($BH$3:$CE$3,"="&amp;$DF49+'Model Setup'!$E$7,$AD49:$BA49)+'Model Setup'!$E$8*(SUMIF($BH$3:$CE$3,"&lt;"&amp;$DF49,$AD49:$BA49)+SUMIF($BH$3:$CE$3,"&gt;"&amp;$CW$4,$AD49:$BA49)),
IF(BO$3=$DF49+'Model Setup'!$F$7,SUMIF($BH$3:$CE$3,"="&amp;$DF49+'Model Setup'!$F$7,$AD49:$BA49)+'Model Setup'!$F$8*(SUMIF($BH$3:$CE$3,"&lt;"&amp;$DF49,$AD49:$BA49)+SUMIF($BH$3:$CE$3,"&gt;"&amp;$CW$4,$AD49:$BA49)),
IF(BO$3=$DF49+'Model Setup'!$G$7,SUMIF($BH$3:$CE$3,"="&amp;$DF49+'Model Setup'!$G$7,$AD49:$BA49)+'Model Setup'!$G$8*(SUMIF($BH$3:$CE$3,"&lt;"&amp;$DF49,$AD49:$BA49)+SUMIF($BH$3:$CE$3,"&gt;"&amp;$CW$4,$AD49:$BA49)),
IF(BO$3=$DF49+'Model Setup'!$H$7,SUMIF($BH$3:$CE$3,"="&amp;$DF49+'Model Setup'!$H$7,$AD49:$BA49)+'Model Setup'!$H$8*(SUMIF($BH$3:$CE$3,"&lt;"&amp;$DF49,$AD49:$BA49)+SUMIF($BH$3:$CE$3,"&gt;"&amp;$CW$4,$AD49:$BA49)),
IF(BO$3=$DF49+'Model Setup'!$I$7,SUMIF($BH$3:$CE$3,"="&amp;$DF49+'Model Setup'!$I$7,$AD49:$BA49)+'Model Setup'!$I$8*(SUMIF($BH$3:$CE$3,"&lt;"&amp;$DF49,$AD49:$BA49)+SUMIF($BH$3:$CE$3,"&gt;"&amp;$CW$4,$AD49:$BA49)),
IF(BO$3=$DF49+'Model Setup'!$J$7,SUMIF($BH$3:$CE$3,"="&amp;$DF49+'Model Setup'!$J$7,$AD49:$BA49)+'Model Setup'!$J$8*(SUMIF($BH$3:$CE$3,"&lt;"&amp;$DF49,$AD49:$BA49)+SUMIF($BH$3:$CE$3,"&gt;"&amp;$CW$4,$AD49:$BA49)),
IF(BO$3=$DF49+'Model Setup'!$K$7,SUMIF($BH$3:$CE$3,"="&amp;$DF49+'Model Setup'!$K$7,$AD49:$BA49)+'Model Setup'!$K$8*(SUMIF($BH$3:$CE$3,"&lt;"&amp;$DF49,$AD49:$BA49)+SUMIF($BH$3:$CE$3,"&gt;"&amp;$CW$4,$AD49:$BA49)),
IF(BO$3=$DF49+'Model Setup'!$L$7,SUMIF($BH$3:$CE$3,"="&amp;$DF49+'Model Setup'!$L$7,$AD49:$BA49)+'Model Setup'!$L$8*(SUMIF($BH$3:$CE$3,"&lt;"&amp;$DF49,$AD49:$BA49)+SUMIF($BH$3:$CE$3,"&gt;"&amp;$CW$4,$AD49:$BA49)),
IF(BO$3=$DF49+'Model Setup'!$M$7,SUMIF($BH$3:$CE$3,"="&amp;$DF49+'Model Setup'!$M$7,$AD49:$BA49)+'Model Setup'!$M$8*(SUMIF($BH$3:$CE$3,"&lt;"&amp;$DF49,$AD49:$BA49)+SUMIF($BH$3:$CE$3,"&gt;"&amp;$CW$4,$AD49:$BA49)),
IF(BO$3=$DF49+'Model Setup'!$N$7,SUMIF($BH$3:$CE$3,"="&amp;$DF49+'Model Setup'!$N$7,$AD49:$BA49)+'Model Setup'!$N$8*(SUMIF($BH$3:$CE$3,"&lt;"&amp;$DF49,$AD49:$BA49)+SUMIF($BH$3:$CE$3,"&gt;"&amp;$CW$4,$AD49:$BA49)),
IF(BO$3&lt;$CW$4,I49,0))))))))))))))),0)</f>
        <v>169</v>
      </c>
      <c r="BP49" s="47">
        <f>ROUND(IF(OR(BP$3&lt;$DF49,BP$3&gt;$CW$4),0,
IF(BP$3=$DF49+'Model Setup'!$B$7,SUMIF($BH$3:$CE$3,"="&amp;$DF49+'Model Setup'!$B$7,$AD49:$BA49)+'Model Setup'!$B$8*(SUMIF($BH$3:$CE$3,"&lt;"&amp;$DF49,$AD49:$BA49)+SUMIF($BH$3:$CE$3,"&gt;"&amp;$CW$4,$AD49:$BA49)),
IF(BP$3=$DF49+'Model Setup'!$C$7,SUMIF($BH$3:$CE$3,"="&amp;$DF49+'Model Setup'!$C$7,$AD49:$BA49)+'Model Setup'!$C$8*(SUMIF($BH$3:$CE$3,"&lt;"&amp;$DF49,$AD49:$BA49)+SUMIF($BH$3:$CE$3,"&gt;"&amp;$CW$4,$AD49:$BA49)),
IF(BP$3=$DF49+'Model Setup'!$D$7,SUMIF($BH$3:$CE$3,"="&amp;$DF49+'Model Setup'!$D$7,$AD49:$BA49)+'Model Setup'!$D$8*(SUMIF($BH$3:$CE$3,"&lt;"&amp;$DF49,$AD49:$BA49)+SUMIF($BH$3:$CE$3,"&gt;"&amp;$CW$4,$AD49:$BA49)),
IF(BP$3=$DF49+'Model Setup'!$E$7,SUMIF($BH$3:$CE$3,"="&amp;$DF49+'Model Setup'!$E$7,$AD49:$BA49)+'Model Setup'!$E$8*(SUMIF($BH$3:$CE$3,"&lt;"&amp;$DF49,$AD49:$BA49)+SUMIF($BH$3:$CE$3,"&gt;"&amp;$CW$4,$AD49:$BA49)),
IF(BP$3=$DF49+'Model Setup'!$F$7,SUMIF($BH$3:$CE$3,"="&amp;$DF49+'Model Setup'!$F$7,$AD49:$BA49)+'Model Setup'!$F$8*(SUMIF($BH$3:$CE$3,"&lt;"&amp;$DF49,$AD49:$BA49)+SUMIF($BH$3:$CE$3,"&gt;"&amp;$CW$4,$AD49:$BA49)),
IF(BP$3=$DF49+'Model Setup'!$G$7,SUMIF($BH$3:$CE$3,"="&amp;$DF49+'Model Setup'!$G$7,$AD49:$BA49)+'Model Setup'!$G$8*(SUMIF($BH$3:$CE$3,"&lt;"&amp;$DF49,$AD49:$BA49)+SUMIF($BH$3:$CE$3,"&gt;"&amp;$CW$4,$AD49:$BA49)),
IF(BP$3=$DF49+'Model Setup'!$H$7,SUMIF($BH$3:$CE$3,"="&amp;$DF49+'Model Setup'!$H$7,$AD49:$BA49)+'Model Setup'!$H$8*(SUMIF($BH$3:$CE$3,"&lt;"&amp;$DF49,$AD49:$BA49)+SUMIF($BH$3:$CE$3,"&gt;"&amp;$CW$4,$AD49:$BA49)),
IF(BP$3=$DF49+'Model Setup'!$I$7,SUMIF($BH$3:$CE$3,"="&amp;$DF49+'Model Setup'!$I$7,$AD49:$BA49)+'Model Setup'!$I$8*(SUMIF($BH$3:$CE$3,"&lt;"&amp;$DF49,$AD49:$BA49)+SUMIF($BH$3:$CE$3,"&gt;"&amp;$CW$4,$AD49:$BA49)),
IF(BP$3=$DF49+'Model Setup'!$J$7,SUMIF($BH$3:$CE$3,"="&amp;$DF49+'Model Setup'!$J$7,$AD49:$BA49)+'Model Setup'!$J$8*(SUMIF($BH$3:$CE$3,"&lt;"&amp;$DF49,$AD49:$BA49)+SUMIF($BH$3:$CE$3,"&gt;"&amp;$CW$4,$AD49:$BA49)),
IF(BP$3=$DF49+'Model Setup'!$K$7,SUMIF($BH$3:$CE$3,"="&amp;$DF49+'Model Setup'!$K$7,$AD49:$BA49)+'Model Setup'!$K$8*(SUMIF($BH$3:$CE$3,"&lt;"&amp;$DF49,$AD49:$BA49)+SUMIF($BH$3:$CE$3,"&gt;"&amp;$CW$4,$AD49:$BA49)),
IF(BP$3=$DF49+'Model Setup'!$L$7,SUMIF($BH$3:$CE$3,"="&amp;$DF49+'Model Setup'!$L$7,$AD49:$BA49)+'Model Setup'!$L$8*(SUMIF($BH$3:$CE$3,"&lt;"&amp;$DF49,$AD49:$BA49)+SUMIF($BH$3:$CE$3,"&gt;"&amp;$CW$4,$AD49:$BA49)),
IF(BP$3=$DF49+'Model Setup'!$M$7,SUMIF($BH$3:$CE$3,"="&amp;$DF49+'Model Setup'!$M$7,$AD49:$BA49)+'Model Setup'!$M$8*(SUMIF($BH$3:$CE$3,"&lt;"&amp;$DF49,$AD49:$BA49)+SUMIF($BH$3:$CE$3,"&gt;"&amp;$CW$4,$AD49:$BA49)),
IF(BP$3=$DF49+'Model Setup'!$N$7,SUMIF($BH$3:$CE$3,"="&amp;$DF49+'Model Setup'!$N$7,$AD49:$BA49)+'Model Setup'!$N$8*(SUMIF($BH$3:$CE$3,"&lt;"&amp;$DF49,$AD49:$BA49)+SUMIF($BH$3:$CE$3,"&gt;"&amp;$CW$4,$AD49:$BA49)),
IF(BP$3&lt;$CW$4,J49,0))))))))))))))),0)</f>
        <v>243</v>
      </c>
      <c r="BQ49" s="47">
        <f>ROUND(IF(OR(BQ$3&lt;$DF49,BQ$3&gt;$CW$4),0,
IF(BQ$3=$DF49+'Model Setup'!$B$7,SUMIF($BH$3:$CE$3,"="&amp;$DF49+'Model Setup'!$B$7,$AD49:$BA49)+'Model Setup'!$B$8*(SUMIF($BH$3:$CE$3,"&lt;"&amp;$DF49,$AD49:$BA49)+SUMIF($BH$3:$CE$3,"&gt;"&amp;$CW$4,$AD49:$BA49)),
IF(BQ$3=$DF49+'Model Setup'!$C$7,SUMIF($BH$3:$CE$3,"="&amp;$DF49+'Model Setup'!$C$7,$AD49:$BA49)+'Model Setup'!$C$8*(SUMIF($BH$3:$CE$3,"&lt;"&amp;$DF49,$AD49:$BA49)+SUMIF($BH$3:$CE$3,"&gt;"&amp;$CW$4,$AD49:$BA49)),
IF(BQ$3=$DF49+'Model Setup'!$D$7,SUMIF($BH$3:$CE$3,"="&amp;$DF49+'Model Setup'!$D$7,$AD49:$BA49)+'Model Setup'!$D$8*(SUMIF($BH$3:$CE$3,"&lt;"&amp;$DF49,$AD49:$BA49)+SUMIF($BH$3:$CE$3,"&gt;"&amp;$CW$4,$AD49:$BA49)),
IF(BQ$3=$DF49+'Model Setup'!$E$7,SUMIF($BH$3:$CE$3,"="&amp;$DF49+'Model Setup'!$E$7,$AD49:$BA49)+'Model Setup'!$E$8*(SUMIF($BH$3:$CE$3,"&lt;"&amp;$DF49,$AD49:$BA49)+SUMIF($BH$3:$CE$3,"&gt;"&amp;$CW$4,$AD49:$BA49)),
IF(BQ$3=$DF49+'Model Setup'!$F$7,SUMIF($BH$3:$CE$3,"="&amp;$DF49+'Model Setup'!$F$7,$AD49:$BA49)+'Model Setup'!$F$8*(SUMIF($BH$3:$CE$3,"&lt;"&amp;$DF49,$AD49:$BA49)+SUMIF($BH$3:$CE$3,"&gt;"&amp;$CW$4,$AD49:$BA49)),
IF(BQ$3=$DF49+'Model Setup'!$G$7,SUMIF($BH$3:$CE$3,"="&amp;$DF49+'Model Setup'!$G$7,$AD49:$BA49)+'Model Setup'!$G$8*(SUMIF($BH$3:$CE$3,"&lt;"&amp;$DF49,$AD49:$BA49)+SUMIF($BH$3:$CE$3,"&gt;"&amp;$CW$4,$AD49:$BA49)),
IF(BQ$3=$DF49+'Model Setup'!$H$7,SUMIF($BH$3:$CE$3,"="&amp;$DF49+'Model Setup'!$H$7,$AD49:$BA49)+'Model Setup'!$H$8*(SUMIF($BH$3:$CE$3,"&lt;"&amp;$DF49,$AD49:$BA49)+SUMIF($BH$3:$CE$3,"&gt;"&amp;$CW$4,$AD49:$BA49)),
IF(BQ$3=$DF49+'Model Setup'!$I$7,SUMIF($BH$3:$CE$3,"="&amp;$DF49+'Model Setup'!$I$7,$AD49:$BA49)+'Model Setup'!$I$8*(SUMIF($BH$3:$CE$3,"&lt;"&amp;$DF49,$AD49:$BA49)+SUMIF($BH$3:$CE$3,"&gt;"&amp;$CW$4,$AD49:$BA49)),
IF(BQ$3=$DF49+'Model Setup'!$J$7,SUMIF($BH$3:$CE$3,"="&amp;$DF49+'Model Setup'!$J$7,$AD49:$BA49)+'Model Setup'!$J$8*(SUMIF($BH$3:$CE$3,"&lt;"&amp;$DF49,$AD49:$BA49)+SUMIF($BH$3:$CE$3,"&gt;"&amp;$CW$4,$AD49:$BA49)),
IF(BQ$3=$DF49+'Model Setup'!$K$7,SUMIF($BH$3:$CE$3,"="&amp;$DF49+'Model Setup'!$K$7,$AD49:$BA49)+'Model Setup'!$K$8*(SUMIF($BH$3:$CE$3,"&lt;"&amp;$DF49,$AD49:$BA49)+SUMIF($BH$3:$CE$3,"&gt;"&amp;$CW$4,$AD49:$BA49)),
IF(BQ$3=$DF49+'Model Setup'!$L$7,SUMIF($BH$3:$CE$3,"="&amp;$DF49+'Model Setup'!$L$7,$AD49:$BA49)+'Model Setup'!$L$8*(SUMIF($BH$3:$CE$3,"&lt;"&amp;$DF49,$AD49:$BA49)+SUMIF($BH$3:$CE$3,"&gt;"&amp;$CW$4,$AD49:$BA49)),
IF(BQ$3=$DF49+'Model Setup'!$M$7,SUMIF($BH$3:$CE$3,"="&amp;$DF49+'Model Setup'!$M$7,$AD49:$BA49)+'Model Setup'!$M$8*(SUMIF($BH$3:$CE$3,"&lt;"&amp;$DF49,$AD49:$BA49)+SUMIF($BH$3:$CE$3,"&gt;"&amp;$CW$4,$AD49:$BA49)),
IF(BQ$3=$DF49+'Model Setup'!$N$7,SUMIF($BH$3:$CE$3,"="&amp;$DF49+'Model Setup'!$N$7,$AD49:$BA49)+'Model Setup'!$N$8*(SUMIF($BH$3:$CE$3,"&lt;"&amp;$DF49,$AD49:$BA49)+SUMIF($BH$3:$CE$3,"&gt;"&amp;$CW$4,$AD49:$BA49)),
IF(BQ$3&lt;$CW$4,K49,0))))))))))))))),0)</f>
        <v>199</v>
      </c>
      <c r="BR49" s="47">
        <f>ROUND(IF(OR(BR$3&lt;$DF49,BR$3&gt;$CW$4),0,
IF(BR$3=$DF49+'Model Setup'!$B$7,SUMIF($BH$3:$CE$3,"="&amp;$DF49+'Model Setup'!$B$7,$AD49:$BA49)+'Model Setup'!$B$8*(SUMIF($BH$3:$CE$3,"&lt;"&amp;$DF49,$AD49:$BA49)+SUMIF($BH$3:$CE$3,"&gt;"&amp;$CW$4,$AD49:$BA49)),
IF(BR$3=$DF49+'Model Setup'!$C$7,SUMIF($BH$3:$CE$3,"="&amp;$DF49+'Model Setup'!$C$7,$AD49:$BA49)+'Model Setup'!$C$8*(SUMIF($BH$3:$CE$3,"&lt;"&amp;$DF49,$AD49:$BA49)+SUMIF($BH$3:$CE$3,"&gt;"&amp;$CW$4,$AD49:$BA49)),
IF(BR$3=$DF49+'Model Setup'!$D$7,SUMIF($BH$3:$CE$3,"="&amp;$DF49+'Model Setup'!$D$7,$AD49:$BA49)+'Model Setup'!$D$8*(SUMIF($BH$3:$CE$3,"&lt;"&amp;$DF49,$AD49:$BA49)+SUMIF($BH$3:$CE$3,"&gt;"&amp;$CW$4,$AD49:$BA49)),
IF(BR$3=$DF49+'Model Setup'!$E$7,SUMIF($BH$3:$CE$3,"="&amp;$DF49+'Model Setup'!$E$7,$AD49:$BA49)+'Model Setup'!$E$8*(SUMIF($BH$3:$CE$3,"&lt;"&amp;$DF49,$AD49:$BA49)+SUMIF($BH$3:$CE$3,"&gt;"&amp;$CW$4,$AD49:$BA49)),
IF(BR$3=$DF49+'Model Setup'!$F$7,SUMIF($BH$3:$CE$3,"="&amp;$DF49+'Model Setup'!$F$7,$AD49:$BA49)+'Model Setup'!$F$8*(SUMIF($BH$3:$CE$3,"&lt;"&amp;$DF49,$AD49:$BA49)+SUMIF($BH$3:$CE$3,"&gt;"&amp;$CW$4,$AD49:$BA49)),
IF(BR$3=$DF49+'Model Setup'!$G$7,SUMIF($BH$3:$CE$3,"="&amp;$DF49+'Model Setup'!$G$7,$AD49:$BA49)+'Model Setup'!$G$8*(SUMIF($BH$3:$CE$3,"&lt;"&amp;$DF49,$AD49:$BA49)+SUMIF($BH$3:$CE$3,"&gt;"&amp;$CW$4,$AD49:$BA49)),
IF(BR$3=$DF49+'Model Setup'!$H$7,SUMIF($BH$3:$CE$3,"="&amp;$DF49+'Model Setup'!$H$7,$AD49:$BA49)+'Model Setup'!$H$8*(SUMIF($BH$3:$CE$3,"&lt;"&amp;$DF49,$AD49:$BA49)+SUMIF($BH$3:$CE$3,"&gt;"&amp;$CW$4,$AD49:$BA49)),
IF(BR$3=$DF49+'Model Setup'!$I$7,SUMIF($BH$3:$CE$3,"="&amp;$DF49+'Model Setup'!$I$7,$AD49:$BA49)+'Model Setup'!$I$8*(SUMIF($BH$3:$CE$3,"&lt;"&amp;$DF49,$AD49:$BA49)+SUMIF($BH$3:$CE$3,"&gt;"&amp;$CW$4,$AD49:$BA49)),
IF(BR$3=$DF49+'Model Setup'!$J$7,SUMIF($BH$3:$CE$3,"="&amp;$DF49+'Model Setup'!$J$7,$AD49:$BA49)+'Model Setup'!$J$8*(SUMIF($BH$3:$CE$3,"&lt;"&amp;$DF49,$AD49:$BA49)+SUMIF($BH$3:$CE$3,"&gt;"&amp;$CW$4,$AD49:$BA49)),
IF(BR$3=$DF49+'Model Setup'!$K$7,SUMIF($BH$3:$CE$3,"="&amp;$DF49+'Model Setup'!$K$7,$AD49:$BA49)+'Model Setup'!$K$8*(SUMIF($BH$3:$CE$3,"&lt;"&amp;$DF49,$AD49:$BA49)+SUMIF($BH$3:$CE$3,"&gt;"&amp;$CW$4,$AD49:$BA49)),
IF(BR$3=$DF49+'Model Setup'!$L$7,SUMIF($BH$3:$CE$3,"="&amp;$DF49+'Model Setup'!$L$7,$AD49:$BA49)+'Model Setup'!$L$8*(SUMIF($BH$3:$CE$3,"&lt;"&amp;$DF49,$AD49:$BA49)+SUMIF($BH$3:$CE$3,"&gt;"&amp;$CW$4,$AD49:$BA49)),
IF(BR$3=$DF49+'Model Setup'!$M$7,SUMIF($BH$3:$CE$3,"="&amp;$DF49+'Model Setup'!$M$7,$AD49:$BA49)+'Model Setup'!$M$8*(SUMIF($BH$3:$CE$3,"&lt;"&amp;$DF49,$AD49:$BA49)+SUMIF($BH$3:$CE$3,"&gt;"&amp;$CW$4,$AD49:$BA49)),
IF(BR$3=$DF49+'Model Setup'!$N$7,SUMIF($BH$3:$CE$3,"="&amp;$DF49+'Model Setup'!$N$7,$AD49:$BA49)+'Model Setup'!$N$8*(SUMIF($BH$3:$CE$3,"&lt;"&amp;$DF49,$AD49:$BA49)+SUMIF($BH$3:$CE$3,"&gt;"&amp;$CW$4,$AD49:$BA49)),
IF(BR$3&lt;$CW$4,L49,0))))))))))))))),0)</f>
        <v>187</v>
      </c>
      <c r="BS49" s="47">
        <f>ROUND(IF(OR(BS$3&lt;$DF49,BS$3&gt;$CW$4),0,
IF(BS$3=$DF49+'Model Setup'!$B$7,SUMIF($BH$3:$CE$3,"="&amp;$DF49+'Model Setup'!$B$7,$AD49:$BA49)+'Model Setup'!$B$8*(SUMIF($BH$3:$CE$3,"&lt;"&amp;$DF49,$AD49:$BA49)+SUMIF($BH$3:$CE$3,"&gt;"&amp;$CW$4,$AD49:$BA49)),
IF(BS$3=$DF49+'Model Setup'!$C$7,SUMIF($BH$3:$CE$3,"="&amp;$DF49+'Model Setup'!$C$7,$AD49:$BA49)+'Model Setup'!$C$8*(SUMIF($BH$3:$CE$3,"&lt;"&amp;$DF49,$AD49:$BA49)+SUMIF($BH$3:$CE$3,"&gt;"&amp;$CW$4,$AD49:$BA49)),
IF(BS$3=$DF49+'Model Setup'!$D$7,SUMIF($BH$3:$CE$3,"="&amp;$DF49+'Model Setup'!$D$7,$AD49:$BA49)+'Model Setup'!$D$8*(SUMIF($BH$3:$CE$3,"&lt;"&amp;$DF49,$AD49:$BA49)+SUMIF($BH$3:$CE$3,"&gt;"&amp;$CW$4,$AD49:$BA49)),
IF(BS$3=$DF49+'Model Setup'!$E$7,SUMIF($BH$3:$CE$3,"="&amp;$DF49+'Model Setup'!$E$7,$AD49:$BA49)+'Model Setup'!$E$8*(SUMIF($BH$3:$CE$3,"&lt;"&amp;$DF49,$AD49:$BA49)+SUMIF($BH$3:$CE$3,"&gt;"&amp;$CW$4,$AD49:$BA49)),
IF(BS$3=$DF49+'Model Setup'!$F$7,SUMIF($BH$3:$CE$3,"="&amp;$DF49+'Model Setup'!$F$7,$AD49:$BA49)+'Model Setup'!$F$8*(SUMIF($BH$3:$CE$3,"&lt;"&amp;$DF49,$AD49:$BA49)+SUMIF($BH$3:$CE$3,"&gt;"&amp;$CW$4,$AD49:$BA49)),
IF(BS$3=$DF49+'Model Setup'!$G$7,SUMIF($BH$3:$CE$3,"="&amp;$DF49+'Model Setup'!$G$7,$AD49:$BA49)+'Model Setup'!$G$8*(SUMIF($BH$3:$CE$3,"&lt;"&amp;$DF49,$AD49:$BA49)+SUMIF($BH$3:$CE$3,"&gt;"&amp;$CW$4,$AD49:$BA49)),
IF(BS$3=$DF49+'Model Setup'!$H$7,SUMIF($BH$3:$CE$3,"="&amp;$DF49+'Model Setup'!$H$7,$AD49:$BA49)+'Model Setup'!$H$8*(SUMIF($BH$3:$CE$3,"&lt;"&amp;$DF49,$AD49:$BA49)+SUMIF($BH$3:$CE$3,"&gt;"&amp;$CW$4,$AD49:$BA49)),
IF(BS$3=$DF49+'Model Setup'!$I$7,SUMIF($BH$3:$CE$3,"="&amp;$DF49+'Model Setup'!$I$7,$AD49:$BA49)+'Model Setup'!$I$8*(SUMIF($BH$3:$CE$3,"&lt;"&amp;$DF49,$AD49:$BA49)+SUMIF($BH$3:$CE$3,"&gt;"&amp;$CW$4,$AD49:$BA49)),
IF(BS$3=$DF49+'Model Setup'!$J$7,SUMIF($BH$3:$CE$3,"="&amp;$DF49+'Model Setup'!$J$7,$AD49:$BA49)+'Model Setup'!$J$8*(SUMIF($BH$3:$CE$3,"&lt;"&amp;$DF49,$AD49:$BA49)+SUMIF($BH$3:$CE$3,"&gt;"&amp;$CW$4,$AD49:$BA49)),
IF(BS$3=$DF49+'Model Setup'!$K$7,SUMIF($BH$3:$CE$3,"="&amp;$DF49+'Model Setup'!$K$7,$AD49:$BA49)+'Model Setup'!$K$8*(SUMIF($BH$3:$CE$3,"&lt;"&amp;$DF49,$AD49:$BA49)+SUMIF($BH$3:$CE$3,"&gt;"&amp;$CW$4,$AD49:$BA49)),
IF(BS$3=$DF49+'Model Setup'!$L$7,SUMIF($BH$3:$CE$3,"="&amp;$DF49+'Model Setup'!$L$7,$AD49:$BA49)+'Model Setup'!$L$8*(SUMIF($BH$3:$CE$3,"&lt;"&amp;$DF49,$AD49:$BA49)+SUMIF($BH$3:$CE$3,"&gt;"&amp;$CW$4,$AD49:$BA49)),
IF(BS$3=$DF49+'Model Setup'!$M$7,SUMIF($BH$3:$CE$3,"="&amp;$DF49+'Model Setup'!$M$7,$AD49:$BA49)+'Model Setup'!$M$8*(SUMIF($BH$3:$CE$3,"&lt;"&amp;$DF49,$AD49:$BA49)+SUMIF($BH$3:$CE$3,"&gt;"&amp;$CW$4,$AD49:$BA49)),
IF(BS$3=$DF49+'Model Setup'!$N$7,SUMIF($BH$3:$CE$3,"="&amp;$DF49+'Model Setup'!$N$7,$AD49:$BA49)+'Model Setup'!$N$8*(SUMIF($BH$3:$CE$3,"&lt;"&amp;$DF49,$AD49:$BA49)+SUMIF($BH$3:$CE$3,"&gt;"&amp;$CW$4,$AD49:$BA49)),
IF(BS$3&lt;$CW$4,M49,0))))))))))))))),0)</f>
        <v>150</v>
      </c>
      <c r="BT49" s="47">
        <f>ROUND(IF(OR(BT$3&lt;$DF49,BT$3&gt;$CW$4),0,
IF(BT$3=$DF49+'Model Setup'!$B$7,SUMIF($BH$3:$CE$3,"="&amp;$DF49+'Model Setup'!$B$7,$AD49:$BA49)+'Model Setup'!$B$8*(SUMIF($BH$3:$CE$3,"&lt;"&amp;$DF49,$AD49:$BA49)+SUMIF($BH$3:$CE$3,"&gt;"&amp;$CW$4,$AD49:$BA49)),
IF(BT$3=$DF49+'Model Setup'!$C$7,SUMIF($BH$3:$CE$3,"="&amp;$DF49+'Model Setup'!$C$7,$AD49:$BA49)+'Model Setup'!$C$8*(SUMIF($BH$3:$CE$3,"&lt;"&amp;$DF49,$AD49:$BA49)+SUMIF($BH$3:$CE$3,"&gt;"&amp;$CW$4,$AD49:$BA49)),
IF(BT$3=$DF49+'Model Setup'!$D$7,SUMIF($BH$3:$CE$3,"="&amp;$DF49+'Model Setup'!$D$7,$AD49:$BA49)+'Model Setup'!$D$8*(SUMIF($BH$3:$CE$3,"&lt;"&amp;$DF49,$AD49:$BA49)+SUMIF($BH$3:$CE$3,"&gt;"&amp;$CW$4,$AD49:$BA49)),
IF(BT$3=$DF49+'Model Setup'!$E$7,SUMIF($BH$3:$CE$3,"="&amp;$DF49+'Model Setup'!$E$7,$AD49:$BA49)+'Model Setup'!$E$8*(SUMIF($BH$3:$CE$3,"&lt;"&amp;$DF49,$AD49:$BA49)+SUMIF($BH$3:$CE$3,"&gt;"&amp;$CW$4,$AD49:$BA49)),
IF(BT$3=$DF49+'Model Setup'!$F$7,SUMIF($BH$3:$CE$3,"="&amp;$DF49+'Model Setup'!$F$7,$AD49:$BA49)+'Model Setup'!$F$8*(SUMIF($BH$3:$CE$3,"&lt;"&amp;$DF49,$AD49:$BA49)+SUMIF($BH$3:$CE$3,"&gt;"&amp;$CW$4,$AD49:$BA49)),
IF(BT$3=$DF49+'Model Setup'!$G$7,SUMIF($BH$3:$CE$3,"="&amp;$DF49+'Model Setup'!$G$7,$AD49:$BA49)+'Model Setup'!$G$8*(SUMIF($BH$3:$CE$3,"&lt;"&amp;$DF49,$AD49:$BA49)+SUMIF($BH$3:$CE$3,"&gt;"&amp;$CW$4,$AD49:$BA49)),
IF(BT$3=$DF49+'Model Setup'!$H$7,SUMIF($BH$3:$CE$3,"="&amp;$DF49+'Model Setup'!$H$7,$AD49:$BA49)+'Model Setup'!$H$8*(SUMIF($BH$3:$CE$3,"&lt;"&amp;$DF49,$AD49:$BA49)+SUMIF($BH$3:$CE$3,"&gt;"&amp;$CW$4,$AD49:$BA49)),
IF(BT$3=$DF49+'Model Setup'!$I$7,SUMIF($BH$3:$CE$3,"="&amp;$DF49+'Model Setup'!$I$7,$AD49:$BA49)+'Model Setup'!$I$8*(SUMIF($BH$3:$CE$3,"&lt;"&amp;$DF49,$AD49:$BA49)+SUMIF($BH$3:$CE$3,"&gt;"&amp;$CW$4,$AD49:$BA49)),
IF(BT$3=$DF49+'Model Setup'!$J$7,SUMIF($BH$3:$CE$3,"="&amp;$DF49+'Model Setup'!$J$7,$AD49:$BA49)+'Model Setup'!$J$8*(SUMIF($BH$3:$CE$3,"&lt;"&amp;$DF49,$AD49:$BA49)+SUMIF($BH$3:$CE$3,"&gt;"&amp;$CW$4,$AD49:$BA49)),
IF(BT$3=$DF49+'Model Setup'!$K$7,SUMIF($BH$3:$CE$3,"="&amp;$DF49+'Model Setup'!$K$7,$AD49:$BA49)+'Model Setup'!$K$8*(SUMIF($BH$3:$CE$3,"&lt;"&amp;$DF49,$AD49:$BA49)+SUMIF($BH$3:$CE$3,"&gt;"&amp;$CW$4,$AD49:$BA49)),
IF(BT$3=$DF49+'Model Setup'!$L$7,SUMIF($BH$3:$CE$3,"="&amp;$DF49+'Model Setup'!$L$7,$AD49:$BA49)+'Model Setup'!$L$8*(SUMIF($BH$3:$CE$3,"&lt;"&amp;$DF49,$AD49:$BA49)+SUMIF($BH$3:$CE$3,"&gt;"&amp;$CW$4,$AD49:$BA49)),
IF(BT$3=$DF49+'Model Setup'!$M$7,SUMIF($BH$3:$CE$3,"="&amp;$DF49+'Model Setup'!$M$7,$AD49:$BA49)+'Model Setup'!$M$8*(SUMIF($BH$3:$CE$3,"&lt;"&amp;$DF49,$AD49:$BA49)+SUMIF($BH$3:$CE$3,"&gt;"&amp;$CW$4,$AD49:$BA49)),
IF(BT$3=$DF49+'Model Setup'!$N$7,SUMIF($BH$3:$CE$3,"="&amp;$DF49+'Model Setup'!$N$7,$AD49:$BA49)+'Model Setup'!$N$8*(SUMIF($BH$3:$CE$3,"&lt;"&amp;$DF49,$AD49:$BA49)+SUMIF($BH$3:$CE$3,"&gt;"&amp;$CW$4,$AD49:$BA49)),
IF(BT$3&lt;$CW$4,N49,0))))))))))))))),0)</f>
        <v>152</v>
      </c>
      <c r="BU49" s="47">
        <f>ROUND(IF(OR(BU$3&lt;$DF49,BU$3&gt;$CW$4),0,
IF(BU$3=$DF49+'Model Setup'!$B$7,SUMIF($BH$3:$CE$3,"="&amp;$DF49+'Model Setup'!$B$7,$AD49:$BA49)+'Model Setup'!$B$8*(SUMIF($BH$3:$CE$3,"&lt;"&amp;$DF49,$AD49:$BA49)+SUMIF($BH$3:$CE$3,"&gt;"&amp;$CW$4,$AD49:$BA49)),
IF(BU$3=$DF49+'Model Setup'!$C$7,SUMIF($BH$3:$CE$3,"="&amp;$DF49+'Model Setup'!$C$7,$AD49:$BA49)+'Model Setup'!$C$8*(SUMIF($BH$3:$CE$3,"&lt;"&amp;$DF49,$AD49:$BA49)+SUMIF($BH$3:$CE$3,"&gt;"&amp;$CW$4,$AD49:$BA49)),
IF(BU$3=$DF49+'Model Setup'!$D$7,SUMIF($BH$3:$CE$3,"="&amp;$DF49+'Model Setup'!$D$7,$AD49:$BA49)+'Model Setup'!$D$8*(SUMIF($BH$3:$CE$3,"&lt;"&amp;$DF49,$AD49:$BA49)+SUMIF($BH$3:$CE$3,"&gt;"&amp;$CW$4,$AD49:$BA49)),
IF(BU$3=$DF49+'Model Setup'!$E$7,SUMIF($BH$3:$CE$3,"="&amp;$DF49+'Model Setup'!$E$7,$AD49:$BA49)+'Model Setup'!$E$8*(SUMIF($BH$3:$CE$3,"&lt;"&amp;$DF49,$AD49:$BA49)+SUMIF($BH$3:$CE$3,"&gt;"&amp;$CW$4,$AD49:$BA49)),
IF(BU$3=$DF49+'Model Setup'!$F$7,SUMIF($BH$3:$CE$3,"="&amp;$DF49+'Model Setup'!$F$7,$AD49:$BA49)+'Model Setup'!$F$8*(SUMIF($BH$3:$CE$3,"&lt;"&amp;$DF49,$AD49:$BA49)+SUMIF($BH$3:$CE$3,"&gt;"&amp;$CW$4,$AD49:$BA49)),
IF(BU$3=$DF49+'Model Setup'!$G$7,SUMIF($BH$3:$CE$3,"="&amp;$DF49+'Model Setup'!$G$7,$AD49:$BA49)+'Model Setup'!$G$8*(SUMIF($BH$3:$CE$3,"&lt;"&amp;$DF49,$AD49:$BA49)+SUMIF($BH$3:$CE$3,"&gt;"&amp;$CW$4,$AD49:$BA49)),
IF(BU$3=$DF49+'Model Setup'!$H$7,SUMIF($BH$3:$CE$3,"="&amp;$DF49+'Model Setup'!$H$7,$AD49:$BA49)+'Model Setup'!$H$8*(SUMIF($BH$3:$CE$3,"&lt;"&amp;$DF49,$AD49:$BA49)+SUMIF($BH$3:$CE$3,"&gt;"&amp;$CW$4,$AD49:$BA49)),
IF(BU$3=$DF49+'Model Setup'!$I$7,SUMIF($BH$3:$CE$3,"="&amp;$DF49+'Model Setup'!$I$7,$AD49:$BA49)+'Model Setup'!$I$8*(SUMIF($BH$3:$CE$3,"&lt;"&amp;$DF49,$AD49:$BA49)+SUMIF($BH$3:$CE$3,"&gt;"&amp;$CW$4,$AD49:$BA49)),
IF(BU$3=$DF49+'Model Setup'!$J$7,SUMIF($BH$3:$CE$3,"="&amp;$DF49+'Model Setup'!$J$7,$AD49:$BA49)+'Model Setup'!$J$8*(SUMIF($BH$3:$CE$3,"&lt;"&amp;$DF49,$AD49:$BA49)+SUMIF($BH$3:$CE$3,"&gt;"&amp;$CW$4,$AD49:$BA49)),
IF(BU$3=$DF49+'Model Setup'!$K$7,SUMIF($BH$3:$CE$3,"="&amp;$DF49+'Model Setup'!$K$7,$AD49:$BA49)+'Model Setup'!$K$8*(SUMIF($BH$3:$CE$3,"&lt;"&amp;$DF49,$AD49:$BA49)+SUMIF($BH$3:$CE$3,"&gt;"&amp;$CW$4,$AD49:$BA49)),
IF(BU$3=$DF49+'Model Setup'!$L$7,SUMIF($BH$3:$CE$3,"="&amp;$DF49+'Model Setup'!$L$7,$AD49:$BA49)+'Model Setup'!$L$8*(SUMIF($BH$3:$CE$3,"&lt;"&amp;$DF49,$AD49:$BA49)+SUMIF($BH$3:$CE$3,"&gt;"&amp;$CW$4,$AD49:$BA49)),
IF(BU$3=$DF49+'Model Setup'!$M$7,SUMIF($BH$3:$CE$3,"="&amp;$DF49+'Model Setup'!$M$7,$AD49:$BA49)+'Model Setup'!$M$8*(SUMIF($BH$3:$CE$3,"&lt;"&amp;$DF49,$AD49:$BA49)+SUMIF($BH$3:$CE$3,"&gt;"&amp;$CW$4,$AD49:$BA49)),
IF(BU$3=$DF49+'Model Setup'!$N$7,SUMIF($BH$3:$CE$3,"="&amp;$DF49+'Model Setup'!$N$7,$AD49:$BA49)+'Model Setup'!$N$8*(SUMIF($BH$3:$CE$3,"&lt;"&amp;$DF49,$AD49:$BA49)+SUMIF($BH$3:$CE$3,"&gt;"&amp;$CW$4,$AD49:$BA49)),
IF(BU$3&lt;$CW$4,O49,0))))))))))))))),0)</f>
        <v>146</v>
      </c>
      <c r="BV49" s="47">
        <f>ROUND(IF(OR(BV$3&lt;$DF49,BV$3&gt;$CW$4),0,
IF(BV$3=$DF49+'Model Setup'!$B$7,SUMIF($BH$3:$CE$3,"="&amp;$DF49+'Model Setup'!$B$7,$AD49:$BA49)+'Model Setup'!$B$8*(SUMIF($BH$3:$CE$3,"&lt;"&amp;$DF49,$AD49:$BA49)+SUMIF($BH$3:$CE$3,"&gt;"&amp;$CW$4,$AD49:$BA49)),
IF(BV$3=$DF49+'Model Setup'!$C$7,SUMIF($BH$3:$CE$3,"="&amp;$DF49+'Model Setup'!$C$7,$AD49:$BA49)+'Model Setup'!$C$8*(SUMIF($BH$3:$CE$3,"&lt;"&amp;$DF49,$AD49:$BA49)+SUMIF($BH$3:$CE$3,"&gt;"&amp;$CW$4,$AD49:$BA49)),
IF(BV$3=$DF49+'Model Setup'!$D$7,SUMIF($BH$3:$CE$3,"="&amp;$DF49+'Model Setup'!$D$7,$AD49:$BA49)+'Model Setup'!$D$8*(SUMIF($BH$3:$CE$3,"&lt;"&amp;$DF49,$AD49:$BA49)+SUMIF($BH$3:$CE$3,"&gt;"&amp;$CW$4,$AD49:$BA49)),
IF(BV$3=$DF49+'Model Setup'!$E$7,SUMIF($BH$3:$CE$3,"="&amp;$DF49+'Model Setup'!$E$7,$AD49:$BA49)+'Model Setup'!$E$8*(SUMIF($BH$3:$CE$3,"&lt;"&amp;$DF49,$AD49:$BA49)+SUMIF($BH$3:$CE$3,"&gt;"&amp;$CW$4,$AD49:$BA49)),
IF(BV$3=$DF49+'Model Setup'!$F$7,SUMIF($BH$3:$CE$3,"="&amp;$DF49+'Model Setup'!$F$7,$AD49:$BA49)+'Model Setup'!$F$8*(SUMIF($BH$3:$CE$3,"&lt;"&amp;$DF49,$AD49:$BA49)+SUMIF($BH$3:$CE$3,"&gt;"&amp;$CW$4,$AD49:$BA49)),
IF(BV$3=$DF49+'Model Setup'!$G$7,SUMIF($BH$3:$CE$3,"="&amp;$DF49+'Model Setup'!$G$7,$AD49:$BA49)+'Model Setup'!$G$8*(SUMIF($BH$3:$CE$3,"&lt;"&amp;$DF49,$AD49:$BA49)+SUMIF($BH$3:$CE$3,"&gt;"&amp;$CW$4,$AD49:$BA49)),
IF(BV$3=$DF49+'Model Setup'!$H$7,SUMIF($BH$3:$CE$3,"="&amp;$DF49+'Model Setup'!$H$7,$AD49:$BA49)+'Model Setup'!$H$8*(SUMIF($BH$3:$CE$3,"&lt;"&amp;$DF49,$AD49:$BA49)+SUMIF($BH$3:$CE$3,"&gt;"&amp;$CW$4,$AD49:$BA49)),
IF(BV$3=$DF49+'Model Setup'!$I$7,SUMIF($BH$3:$CE$3,"="&amp;$DF49+'Model Setup'!$I$7,$AD49:$BA49)+'Model Setup'!$I$8*(SUMIF($BH$3:$CE$3,"&lt;"&amp;$DF49,$AD49:$BA49)+SUMIF($BH$3:$CE$3,"&gt;"&amp;$CW$4,$AD49:$BA49)),
IF(BV$3=$DF49+'Model Setup'!$J$7,SUMIF($BH$3:$CE$3,"="&amp;$DF49+'Model Setup'!$J$7,$AD49:$BA49)+'Model Setup'!$J$8*(SUMIF($BH$3:$CE$3,"&lt;"&amp;$DF49,$AD49:$BA49)+SUMIF($BH$3:$CE$3,"&gt;"&amp;$CW$4,$AD49:$BA49)),
IF(BV$3=$DF49+'Model Setup'!$K$7,SUMIF($BH$3:$CE$3,"="&amp;$DF49+'Model Setup'!$K$7,$AD49:$BA49)+'Model Setup'!$K$8*(SUMIF($BH$3:$CE$3,"&lt;"&amp;$DF49,$AD49:$BA49)+SUMIF($BH$3:$CE$3,"&gt;"&amp;$CW$4,$AD49:$BA49)),
IF(BV$3=$DF49+'Model Setup'!$L$7,SUMIF($BH$3:$CE$3,"="&amp;$DF49+'Model Setup'!$L$7,$AD49:$BA49)+'Model Setup'!$L$8*(SUMIF($BH$3:$CE$3,"&lt;"&amp;$DF49,$AD49:$BA49)+SUMIF($BH$3:$CE$3,"&gt;"&amp;$CW$4,$AD49:$BA49)),
IF(BV$3=$DF49+'Model Setup'!$M$7,SUMIF($BH$3:$CE$3,"="&amp;$DF49+'Model Setup'!$M$7,$AD49:$BA49)+'Model Setup'!$M$8*(SUMIF($BH$3:$CE$3,"&lt;"&amp;$DF49,$AD49:$BA49)+SUMIF($BH$3:$CE$3,"&gt;"&amp;$CW$4,$AD49:$BA49)),
IF(BV$3=$DF49+'Model Setup'!$N$7,SUMIF($BH$3:$CE$3,"="&amp;$DF49+'Model Setup'!$N$7,$AD49:$BA49)+'Model Setup'!$N$8*(SUMIF($BH$3:$CE$3,"&lt;"&amp;$DF49,$AD49:$BA49)+SUMIF($BH$3:$CE$3,"&gt;"&amp;$CW$4,$AD49:$BA49)),
IF(BV$3&lt;$CW$4,P49,0))))))))))))))),0)</f>
        <v>128</v>
      </c>
      <c r="BW49" s="47">
        <f>ROUND(IF(OR(BW$3&lt;$DF49,BW$3&gt;$CW$4),0,
IF(BW$3=$DF49+'Model Setup'!$B$7,SUMIF($BH$3:$CE$3,"="&amp;$DF49+'Model Setup'!$B$7,$AD49:$BA49)+'Model Setup'!$B$8*(SUMIF($BH$3:$CE$3,"&lt;"&amp;$DF49,$AD49:$BA49)+SUMIF($BH$3:$CE$3,"&gt;"&amp;$CW$4,$AD49:$BA49)),
IF(BW$3=$DF49+'Model Setup'!$C$7,SUMIF($BH$3:$CE$3,"="&amp;$DF49+'Model Setup'!$C$7,$AD49:$BA49)+'Model Setup'!$C$8*(SUMIF($BH$3:$CE$3,"&lt;"&amp;$DF49,$AD49:$BA49)+SUMIF($BH$3:$CE$3,"&gt;"&amp;$CW$4,$AD49:$BA49)),
IF(BW$3=$DF49+'Model Setup'!$D$7,SUMIF($BH$3:$CE$3,"="&amp;$DF49+'Model Setup'!$D$7,$AD49:$BA49)+'Model Setup'!$D$8*(SUMIF($BH$3:$CE$3,"&lt;"&amp;$DF49,$AD49:$BA49)+SUMIF($BH$3:$CE$3,"&gt;"&amp;$CW$4,$AD49:$BA49)),
IF(BW$3=$DF49+'Model Setup'!$E$7,SUMIF($BH$3:$CE$3,"="&amp;$DF49+'Model Setup'!$E$7,$AD49:$BA49)+'Model Setup'!$E$8*(SUMIF($BH$3:$CE$3,"&lt;"&amp;$DF49,$AD49:$BA49)+SUMIF($BH$3:$CE$3,"&gt;"&amp;$CW$4,$AD49:$BA49)),
IF(BW$3=$DF49+'Model Setup'!$F$7,SUMIF($BH$3:$CE$3,"="&amp;$DF49+'Model Setup'!$F$7,$AD49:$BA49)+'Model Setup'!$F$8*(SUMIF($BH$3:$CE$3,"&lt;"&amp;$DF49,$AD49:$BA49)+SUMIF($BH$3:$CE$3,"&gt;"&amp;$CW$4,$AD49:$BA49)),
IF(BW$3=$DF49+'Model Setup'!$G$7,SUMIF($BH$3:$CE$3,"="&amp;$DF49+'Model Setup'!$G$7,$AD49:$BA49)+'Model Setup'!$G$8*(SUMIF($BH$3:$CE$3,"&lt;"&amp;$DF49,$AD49:$BA49)+SUMIF($BH$3:$CE$3,"&gt;"&amp;$CW$4,$AD49:$BA49)),
IF(BW$3=$DF49+'Model Setup'!$H$7,SUMIF($BH$3:$CE$3,"="&amp;$DF49+'Model Setup'!$H$7,$AD49:$BA49)+'Model Setup'!$H$8*(SUMIF($BH$3:$CE$3,"&lt;"&amp;$DF49,$AD49:$BA49)+SUMIF($BH$3:$CE$3,"&gt;"&amp;$CW$4,$AD49:$BA49)),
IF(BW$3=$DF49+'Model Setup'!$I$7,SUMIF($BH$3:$CE$3,"="&amp;$DF49+'Model Setup'!$I$7,$AD49:$BA49)+'Model Setup'!$I$8*(SUMIF($BH$3:$CE$3,"&lt;"&amp;$DF49,$AD49:$BA49)+SUMIF($BH$3:$CE$3,"&gt;"&amp;$CW$4,$AD49:$BA49)),
IF(BW$3=$DF49+'Model Setup'!$J$7,SUMIF($BH$3:$CE$3,"="&amp;$DF49+'Model Setup'!$J$7,$AD49:$BA49)+'Model Setup'!$J$8*(SUMIF($BH$3:$CE$3,"&lt;"&amp;$DF49,$AD49:$BA49)+SUMIF($BH$3:$CE$3,"&gt;"&amp;$CW$4,$AD49:$BA49)),
IF(BW$3=$DF49+'Model Setup'!$K$7,SUMIF($BH$3:$CE$3,"="&amp;$DF49+'Model Setup'!$K$7,$AD49:$BA49)+'Model Setup'!$K$8*(SUMIF($BH$3:$CE$3,"&lt;"&amp;$DF49,$AD49:$BA49)+SUMIF($BH$3:$CE$3,"&gt;"&amp;$CW$4,$AD49:$BA49)),
IF(BW$3=$DF49+'Model Setup'!$L$7,SUMIF($BH$3:$CE$3,"="&amp;$DF49+'Model Setup'!$L$7,$AD49:$BA49)+'Model Setup'!$L$8*(SUMIF($BH$3:$CE$3,"&lt;"&amp;$DF49,$AD49:$BA49)+SUMIF($BH$3:$CE$3,"&gt;"&amp;$CW$4,$AD49:$BA49)),
IF(BW$3=$DF49+'Model Setup'!$M$7,SUMIF($BH$3:$CE$3,"="&amp;$DF49+'Model Setup'!$M$7,$AD49:$BA49)+'Model Setup'!$M$8*(SUMIF($BH$3:$CE$3,"&lt;"&amp;$DF49,$AD49:$BA49)+SUMIF($BH$3:$CE$3,"&gt;"&amp;$CW$4,$AD49:$BA49)),
IF(BW$3=$DF49+'Model Setup'!$N$7,SUMIF($BH$3:$CE$3,"="&amp;$DF49+'Model Setup'!$N$7,$AD49:$BA49)+'Model Setup'!$N$8*(SUMIF($BH$3:$CE$3,"&lt;"&amp;$DF49,$AD49:$BA49)+SUMIF($BH$3:$CE$3,"&gt;"&amp;$CW$4,$AD49:$BA49)),
IF(BW$3&lt;$CW$4,Q49,0))))))))))))))),0)</f>
        <v>81</v>
      </c>
      <c r="BX49" s="47">
        <f>ROUND(IF(OR(BX$3&lt;$DF49,BX$3&gt;$CW$4),0,
IF(BX$3=$DF49+'Model Setup'!$B$7,SUMIF($BH$3:$CE$3,"="&amp;$DF49+'Model Setup'!$B$7,$AD49:$BA49)+'Model Setup'!$B$8*(SUMIF($BH$3:$CE$3,"&lt;"&amp;$DF49,$AD49:$BA49)+SUMIF($BH$3:$CE$3,"&gt;"&amp;$CW$4,$AD49:$BA49)),
IF(BX$3=$DF49+'Model Setup'!$C$7,SUMIF($BH$3:$CE$3,"="&amp;$DF49+'Model Setup'!$C$7,$AD49:$BA49)+'Model Setup'!$C$8*(SUMIF($BH$3:$CE$3,"&lt;"&amp;$DF49,$AD49:$BA49)+SUMIF($BH$3:$CE$3,"&gt;"&amp;$CW$4,$AD49:$BA49)),
IF(BX$3=$DF49+'Model Setup'!$D$7,SUMIF($BH$3:$CE$3,"="&amp;$DF49+'Model Setup'!$D$7,$AD49:$BA49)+'Model Setup'!$D$8*(SUMIF($BH$3:$CE$3,"&lt;"&amp;$DF49,$AD49:$BA49)+SUMIF($BH$3:$CE$3,"&gt;"&amp;$CW$4,$AD49:$BA49)),
IF(BX$3=$DF49+'Model Setup'!$E$7,SUMIF($BH$3:$CE$3,"="&amp;$DF49+'Model Setup'!$E$7,$AD49:$BA49)+'Model Setup'!$E$8*(SUMIF($BH$3:$CE$3,"&lt;"&amp;$DF49,$AD49:$BA49)+SUMIF($BH$3:$CE$3,"&gt;"&amp;$CW$4,$AD49:$BA49)),
IF(BX$3=$DF49+'Model Setup'!$F$7,SUMIF($BH$3:$CE$3,"="&amp;$DF49+'Model Setup'!$F$7,$AD49:$BA49)+'Model Setup'!$F$8*(SUMIF($BH$3:$CE$3,"&lt;"&amp;$DF49,$AD49:$BA49)+SUMIF($BH$3:$CE$3,"&gt;"&amp;$CW$4,$AD49:$BA49)),
IF(BX$3=$DF49+'Model Setup'!$G$7,SUMIF($BH$3:$CE$3,"="&amp;$DF49+'Model Setup'!$G$7,$AD49:$BA49)+'Model Setup'!$G$8*(SUMIF($BH$3:$CE$3,"&lt;"&amp;$DF49,$AD49:$BA49)+SUMIF($BH$3:$CE$3,"&gt;"&amp;$CW$4,$AD49:$BA49)),
IF(BX$3=$DF49+'Model Setup'!$H$7,SUMIF($BH$3:$CE$3,"="&amp;$DF49+'Model Setup'!$H$7,$AD49:$BA49)+'Model Setup'!$H$8*(SUMIF($BH$3:$CE$3,"&lt;"&amp;$DF49,$AD49:$BA49)+SUMIF($BH$3:$CE$3,"&gt;"&amp;$CW$4,$AD49:$BA49)),
IF(BX$3=$DF49+'Model Setup'!$I$7,SUMIF($BH$3:$CE$3,"="&amp;$DF49+'Model Setup'!$I$7,$AD49:$BA49)+'Model Setup'!$I$8*(SUMIF($BH$3:$CE$3,"&lt;"&amp;$DF49,$AD49:$BA49)+SUMIF($BH$3:$CE$3,"&gt;"&amp;$CW$4,$AD49:$BA49)),
IF(BX$3=$DF49+'Model Setup'!$J$7,SUMIF($BH$3:$CE$3,"="&amp;$DF49+'Model Setup'!$J$7,$AD49:$BA49)+'Model Setup'!$J$8*(SUMIF($BH$3:$CE$3,"&lt;"&amp;$DF49,$AD49:$BA49)+SUMIF($BH$3:$CE$3,"&gt;"&amp;$CW$4,$AD49:$BA49)),
IF(BX$3=$DF49+'Model Setup'!$K$7,SUMIF($BH$3:$CE$3,"="&amp;$DF49+'Model Setup'!$K$7,$AD49:$BA49)+'Model Setup'!$K$8*(SUMIF($BH$3:$CE$3,"&lt;"&amp;$DF49,$AD49:$BA49)+SUMIF($BH$3:$CE$3,"&gt;"&amp;$CW$4,$AD49:$BA49)),
IF(BX$3=$DF49+'Model Setup'!$L$7,SUMIF($BH$3:$CE$3,"="&amp;$DF49+'Model Setup'!$L$7,$AD49:$BA49)+'Model Setup'!$L$8*(SUMIF($BH$3:$CE$3,"&lt;"&amp;$DF49,$AD49:$BA49)+SUMIF($BH$3:$CE$3,"&gt;"&amp;$CW$4,$AD49:$BA49)),
IF(BX$3=$DF49+'Model Setup'!$M$7,SUMIF($BH$3:$CE$3,"="&amp;$DF49+'Model Setup'!$M$7,$AD49:$BA49)+'Model Setup'!$M$8*(SUMIF($BH$3:$CE$3,"&lt;"&amp;$DF49,$AD49:$BA49)+SUMIF($BH$3:$CE$3,"&gt;"&amp;$CW$4,$AD49:$BA49)),
IF(BX$3=$DF49+'Model Setup'!$N$7,SUMIF($BH$3:$CE$3,"="&amp;$DF49+'Model Setup'!$N$7,$AD49:$BA49)+'Model Setup'!$N$8*(SUMIF($BH$3:$CE$3,"&lt;"&amp;$DF49,$AD49:$BA49)+SUMIF($BH$3:$CE$3,"&gt;"&amp;$CW$4,$AD49:$BA49)),
IF(BX$3&lt;$CW$4,R49,0))))))))))))))),0)</f>
        <v>72</v>
      </c>
      <c r="BY49" s="47">
        <f>ROUND(IF(OR(BY$3&lt;$DF49,BY$3&gt;$CW$4),0,
IF(BY$3=$DF49+'Model Setup'!$B$7,SUMIF($BH$3:$CE$3,"="&amp;$DF49+'Model Setup'!$B$7,$AD49:$BA49)+'Model Setup'!$B$8*(SUMIF($BH$3:$CE$3,"&lt;"&amp;$DF49,$AD49:$BA49)+SUMIF($BH$3:$CE$3,"&gt;"&amp;$CW$4,$AD49:$BA49)),
IF(BY$3=$DF49+'Model Setup'!$C$7,SUMIF($BH$3:$CE$3,"="&amp;$DF49+'Model Setup'!$C$7,$AD49:$BA49)+'Model Setup'!$C$8*(SUMIF($BH$3:$CE$3,"&lt;"&amp;$DF49,$AD49:$BA49)+SUMIF($BH$3:$CE$3,"&gt;"&amp;$CW$4,$AD49:$BA49)),
IF(BY$3=$DF49+'Model Setup'!$D$7,SUMIF($BH$3:$CE$3,"="&amp;$DF49+'Model Setup'!$D$7,$AD49:$BA49)+'Model Setup'!$D$8*(SUMIF($BH$3:$CE$3,"&lt;"&amp;$DF49,$AD49:$BA49)+SUMIF($BH$3:$CE$3,"&gt;"&amp;$CW$4,$AD49:$BA49)),
IF(BY$3=$DF49+'Model Setup'!$E$7,SUMIF($BH$3:$CE$3,"="&amp;$DF49+'Model Setup'!$E$7,$AD49:$BA49)+'Model Setup'!$E$8*(SUMIF($BH$3:$CE$3,"&lt;"&amp;$DF49,$AD49:$BA49)+SUMIF($BH$3:$CE$3,"&gt;"&amp;$CW$4,$AD49:$BA49)),
IF(BY$3=$DF49+'Model Setup'!$F$7,SUMIF($BH$3:$CE$3,"="&amp;$DF49+'Model Setup'!$F$7,$AD49:$BA49)+'Model Setup'!$F$8*(SUMIF($BH$3:$CE$3,"&lt;"&amp;$DF49,$AD49:$BA49)+SUMIF($BH$3:$CE$3,"&gt;"&amp;$CW$4,$AD49:$BA49)),
IF(BY$3=$DF49+'Model Setup'!$G$7,SUMIF($BH$3:$CE$3,"="&amp;$DF49+'Model Setup'!$G$7,$AD49:$BA49)+'Model Setup'!$G$8*(SUMIF($BH$3:$CE$3,"&lt;"&amp;$DF49,$AD49:$BA49)+SUMIF($BH$3:$CE$3,"&gt;"&amp;$CW$4,$AD49:$BA49)),
IF(BY$3=$DF49+'Model Setup'!$H$7,SUMIF($BH$3:$CE$3,"="&amp;$DF49+'Model Setup'!$H$7,$AD49:$BA49)+'Model Setup'!$H$8*(SUMIF($BH$3:$CE$3,"&lt;"&amp;$DF49,$AD49:$BA49)+SUMIF($BH$3:$CE$3,"&gt;"&amp;$CW$4,$AD49:$BA49)),
IF(BY$3=$DF49+'Model Setup'!$I$7,SUMIF($BH$3:$CE$3,"="&amp;$DF49+'Model Setup'!$I$7,$AD49:$BA49)+'Model Setup'!$I$8*(SUMIF($BH$3:$CE$3,"&lt;"&amp;$DF49,$AD49:$BA49)+SUMIF($BH$3:$CE$3,"&gt;"&amp;$CW$4,$AD49:$BA49)),
IF(BY$3=$DF49+'Model Setup'!$J$7,SUMIF($BH$3:$CE$3,"="&amp;$DF49+'Model Setup'!$J$7,$AD49:$BA49)+'Model Setup'!$J$8*(SUMIF($BH$3:$CE$3,"&lt;"&amp;$DF49,$AD49:$BA49)+SUMIF($BH$3:$CE$3,"&gt;"&amp;$CW$4,$AD49:$BA49)),
IF(BY$3=$DF49+'Model Setup'!$K$7,SUMIF($BH$3:$CE$3,"="&amp;$DF49+'Model Setup'!$K$7,$AD49:$BA49)+'Model Setup'!$K$8*(SUMIF($BH$3:$CE$3,"&lt;"&amp;$DF49,$AD49:$BA49)+SUMIF($BH$3:$CE$3,"&gt;"&amp;$CW$4,$AD49:$BA49)),
IF(BY$3=$DF49+'Model Setup'!$L$7,SUMIF($BH$3:$CE$3,"="&amp;$DF49+'Model Setup'!$L$7,$AD49:$BA49)+'Model Setup'!$L$8*(SUMIF($BH$3:$CE$3,"&lt;"&amp;$DF49,$AD49:$BA49)+SUMIF($BH$3:$CE$3,"&gt;"&amp;$CW$4,$AD49:$BA49)),
IF(BY$3=$DF49+'Model Setup'!$M$7,SUMIF($BH$3:$CE$3,"="&amp;$DF49+'Model Setup'!$M$7,$AD49:$BA49)+'Model Setup'!$M$8*(SUMIF($BH$3:$CE$3,"&lt;"&amp;$DF49,$AD49:$BA49)+SUMIF($BH$3:$CE$3,"&gt;"&amp;$CW$4,$AD49:$BA49)),
IF(BY$3=$DF49+'Model Setup'!$N$7,SUMIF($BH$3:$CE$3,"="&amp;$DF49+'Model Setup'!$N$7,$AD49:$BA49)+'Model Setup'!$N$8*(SUMIF($BH$3:$CE$3,"&lt;"&amp;$DF49,$AD49:$BA49)+SUMIF($BH$3:$CE$3,"&gt;"&amp;$CW$4,$AD49:$BA49)),
IF(BY$3&lt;$CW$4,S49,0))))))))))))))),0)</f>
        <v>169</v>
      </c>
      <c r="BZ49" s="47">
        <f>ROUND(IF(OR(BZ$3&lt;$DF49,BZ$3&gt;$CW$4),0,
IF(BZ$3=$DF49+'Model Setup'!$B$7,SUMIF($BH$3:$CE$3,"="&amp;$DF49+'Model Setup'!$B$7,$AD49:$BA49)+'Model Setup'!$B$8*(SUMIF($BH$3:$CE$3,"&lt;"&amp;$DF49,$AD49:$BA49)+SUMIF($BH$3:$CE$3,"&gt;"&amp;$CW$4,$AD49:$BA49)),
IF(BZ$3=$DF49+'Model Setup'!$C$7,SUMIF($BH$3:$CE$3,"="&amp;$DF49+'Model Setup'!$C$7,$AD49:$BA49)+'Model Setup'!$C$8*(SUMIF($BH$3:$CE$3,"&lt;"&amp;$DF49,$AD49:$BA49)+SUMIF($BH$3:$CE$3,"&gt;"&amp;$CW$4,$AD49:$BA49)),
IF(BZ$3=$DF49+'Model Setup'!$D$7,SUMIF($BH$3:$CE$3,"="&amp;$DF49+'Model Setup'!$D$7,$AD49:$BA49)+'Model Setup'!$D$8*(SUMIF($BH$3:$CE$3,"&lt;"&amp;$DF49,$AD49:$BA49)+SUMIF($BH$3:$CE$3,"&gt;"&amp;$CW$4,$AD49:$BA49)),
IF(BZ$3=$DF49+'Model Setup'!$E$7,SUMIF($BH$3:$CE$3,"="&amp;$DF49+'Model Setup'!$E$7,$AD49:$BA49)+'Model Setup'!$E$8*(SUMIF($BH$3:$CE$3,"&lt;"&amp;$DF49,$AD49:$BA49)+SUMIF($BH$3:$CE$3,"&gt;"&amp;$CW$4,$AD49:$BA49)),
IF(BZ$3=$DF49+'Model Setup'!$F$7,SUMIF($BH$3:$CE$3,"="&amp;$DF49+'Model Setup'!$F$7,$AD49:$BA49)+'Model Setup'!$F$8*(SUMIF($BH$3:$CE$3,"&lt;"&amp;$DF49,$AD49:$BA49)+SUMIF($BH$3:$CE$3,"&gt;"&amp;$CW$4,$AD49:$BA49)),
IF(BZ$3=$DF49+'Model Setup'!$G$7,SUMIF($BH$3:$CE$3,"="&amp;$DF49+'Model Setup'!$G$7,$AD49:$BA49)+'Model Setup'!$G$8*(SUMIF($BH$3:$CE$3,"&lt;"&amp;$DF49,$AD49:$BA49)+SUMIF($BH$3:$CE$3,"&gt;"&amp;$CW$4,$AD49:$BA49)),
IF(BZ$3=$DF49+'Model Setup'!$H$7,SUMIF($BH$3:$CE$3,"="&amp;$DF49+'Model Setup'!$H$7,$AD49:$BA49)+'Model Setup'!$H$8*(SUMIF($BH$3:$CE$3,"&lt;"&amp;$DF49,$AD49:$BA49)+SUMIF($BH$3:$CE$3,"&gt;"&amp;$CW$4,$AD49:$BA49)),
IF(BZ$3=$DF49+'Model Setup'!$I$7,SUMIF($BH$3:$CE$3,"="&amp;$DF49+'Model Setup'!$I$7,$AD49:$BA49)+'Model Setup'!$I$8*(SUMIF($BH$3:$CE$3,"&lt;"&amp;$DF49,$AD49:$BA49)+SUMIF($BH$3:$CE$3,"&gt;"&amp;$CW$4,$AD49:$BA49)),
IF(BZ$3=$DF49+'Model Setup'!$J$7,SUMIF($BH$3:$CE$3,"="&amp;$DF49+'Model Setup'!$J$7,$AD49:$BA49)+'Model Setup'!$J$8*(SUMIF($BH$3:$CE$3,"&lt;"&amp;$DF49,$AD49:$BA49)+SUMIF($BH$3:$CE$3,"&gt;"&amp;$CW$4,$AD49:$BA49)),
IF(BZ$3=$DF49+'Model Setup'!$K$7,SUMIF($BH$3:$CE$3,"="&amp;$DF49+'Model Setup'!$K$7,$AD49:$BA49)+'Model Setup'!$K$8*(SUMIF($BH$3:$CE$3,"&lt;"&amp;$DF49,$AD49:$BA49)+SUMIF($BH$3:$CE$3,"&gt;"&amp;$CW$4,$AD49:$BA49)),
IF(BZ$3=$DF49+'Model Setup'!$L$7,SUMIF($BH$3:$CE$3,"="&amp;$DF49+'Model Setup'!$L$7,$AD49:$BA49)+'Model Setup'!$L$8*(SUMIF($BH$3:$CE$3,"&lt;"&amp;$DF49,$AD49:$BA49)+SUMIF($BH$3:$CE$3,"&gt;"&amp;$CW$4,$AD49:$BA49)),
IF(BZ$3=$DF49+'Model Setup'!$M$7,SUMIF($BH$3:$CE$3,"="&amp;$DF49+'Model Setup'!$M$7,$AD49:$BA49)+'Model Setup'!$M$8*(SUMIF($BH$3:$CE$3,"&lt;"&amp;$DF49,$AD49:$BA49)+SUMIF($BH$3:$CE$3,"&gt;"&amp;$CW$4,$AD49:$BA49)),
IF(BZ$3=$DF49+'Model Setup'!$N$7,SUMIF($BH$3:$CE$3,"="&amp;$DF49+'Model Setup'!$N$7,$AD49:$BA49)+'Model Setup'!$N$8*(SUMIF($BH$3:$CE$3,"&lt;"&amp;$DF49,$AD49:$BA49)+SUMIF($BH$3:$CE$3,"&gt;"&amp;$CW$4,$AD49:$BA49)),
IF(BZ$3&lt;$CW$4,T49,0))))))))))))))),0)</f>
        <v>207</v>
      </c>
      <c r="CA49" s="47">
        <f>ROUND(IF(OR(CA$3&lt;$DF49,CA$3&gt;$CW$4),0,
IF(CA$3=$DF49+'Model Setup'!$B$7,SUMIF($BH$3:$CE$3,"="&amp;$DF49+'Model Setup'!$B$7,$AD49:$BA49)+'Model Setup'!$B$8*(SUMIF($BH$3:$CE$3,"&lt;"&amp;$DF49,$AD49:$BA49)+SUMIF($BH$3:$CE$3,"&gt;"&amp;$CW$4,$AD49:$BA49)),
IF(CA$3=$DF49+'Model Setup'!$C$7,SUMIF($BH$3:$CE$3,"="&amp;$DF49+'Model Setup'!$C$7,$AD49:$BA49)+'Model Setup'!$C$8*(SUMIF($BH$3:$CE$3,"&lt;"&amp;$DF49,$AD49:$BA49)+SUMIF($BH$3:$CE$3,"&gt;"&amp;$CW$4,$AD49:$BA49)),
IF(CA$3=$DF49+'Model Setup'!$D$7,SUMIF($BH$3:$CE$3,"="&amp;$DF49+'Model Setup'!$D$7,$AD49:$BA49)+'Model Setup'!$D$8*(SUMIF($BH$3:$CE$3,"&lt;"&amp;$DF49,$AD49:$BA49)+SUMIF($BH$3:$CE$3,"&gt;"&amp;$CW$4,$AD49:$BA49)),
IF(CA$3=$DF49+'Model Setup'!$E$7,SUMIF($BH$3:$CE$3,"="&amp;$DF49+'Model Setup'!$E$7,$AD49:$BA49)+'Model Setup'!$E$8*(SUMIF($BH$3:$CE$3,"&lt;"&amp;$DF49,$AD49:$BA49)+SUMIF($BH$3:$CE$3,"&gt;"&amp;$CW$4,$AD49:$BA49)),
IF(CA$3=$DF49+'Model Setup'!$F$7,SUMIF($BH$3:$CE$3,"="&amp;$DF49+'Model Setup'!$F$7,$AD49:$BA49)+'Model Setup'!$F$8*(SUMIF($BH$3:$CE$3,"&lt;"&amp;$DF49,$AD49:$BA49)+SUMIF($BH$3:$CE$3,"&gt;"&amp;$CW$4,$AD49:$BA49)),
IF(CA$3=$DF49+'Model Setup'!$G$7,SUMIF($BH$3:$CE$3,"="&amp;$DF49+'Model Setup'!$G$7,$AD49:$BA49)+'Model Setup'!$G$8*(SUMIF($BH$3:$CE$3,"&lt;"&amp;$DF49,$AD49:$BA49)+SUMIF($BH$3:$CE$3,"&gt;"&amp;$CW$4,$AD49:$BA49)),
IF(CA$3=$DF49+'Model Setup'!$H$7,SUMIF($BH$3:$CE$3,"="&amp;$DF49+'Model Setup'!$H$7,$AD49:$BA49)+'Model Setup'!$H$8*(SUMIF($BH$3:$CE$3,"&lt;"&amp;$DF49,$AD49:$BA49)+SUMIF($BH$3:$CE$3,"&gt;"&amp;$CW$4,$AD49:$BA49)),
IF(CA$3=$DF49+'Model Setup'!$I$7,SUMIF($BH$3:$CE$3,"="&amp;$DF49+'Model Setup'!$I$7,$AD49:$BA49)+'Model Setup'!$I$8*(SUMIF($BH$3:$CE$3,"&lt;"&amp;$DF49,$AD49:$BA49)+SUMIF($BH$3:$CE$3,"&gt;"&amp;$CW$4,$AD49:$BA49)),
IF(CA$3=$DF49+'Model Setup'!$J$7,SUMIF($BH$3:$CE$3,"="&amp;$DF49+'Model Setup'!$J$7,$AD49:$BA49)+'Model Setup'!$J$8*(SUMIF($BH$3:$CE$3,"&lt;"&amp;$DF49,$AD49:$BA49)+SUMIF($BH$3:$CE$3,"&gt;"&amp;$CW$4,$AD49:$BA49)),
IF(CA$3=$DF49+'Model Setup'!$K$7,SUMIF($BH$3:$CE$3,"="&amp;$DF49+'Model Setup'!$K$7,$AD49:$BA49)+'Model Setup'!$K$8*(SUMIF($BH$3:$CE$3,"&lt;"&amp;$DF49,$AD49:$BA49)+SUMIF($BH$3:$CE$3,"&gt;"&amp;$CW$4,$AD49:$BA49)),
IF(CA$3=$DF49+'Model Setup'!$L$7,SUMIF($BH$3:$CE$3,"="&amp;$DF49+'Model Setup'!$L$7,$AD49:$BA49)+'Model Setup'!$L$8*(SUMIF($BH$3:$CE$3,"&lt;"&amp;$DF49,$AD49:$BA49)+SUMIF($BH$3:$CE$3,"&gt;"&amp;$CW$4,$AD49:$BA49)),
IF(CA$3=$DF49+'Model Setup'!$M$7,SUMIF($BH$3:$CE$3,"="&amp;$DF49+'Model Setup'!$M$7,$AD49:$BA49)+'Model Setup'!$M$8*(SUMIF($BH$3:$CE$3,"&lt;"&amp;$DF49,$AD49:$BA49)+SUMIF($BH$3:$CE$3,"&gt;"&amp;$CW$4,$AD49:$BA49)),
IF(CA$3=$DF49+'Model Setup'!$N$7,SUMIF($BH$3:$CE$3,"="&amp;$DF49+'Model Setup'!$N$7,$AD49:$BA49)+'Model Setup'!$N$8*(SUMIF($BH$3:$CE$3,"&lt;"&amp;$DF49,$AD49:$BA49)+SUMIF($BH$3:$CE$3,"&gt;"&amp;$CW$4,$AD49:$BA49)),
IF(CA$3&lt;$CW$4,U49,0))))))))))))))),0)</f>
        <v>0</v>
      </c>
      <c r="CB49" s="47">
        <f>ROUND(IF(OR(CB$3&lt;$DF49,CB$3&gt;$CW$4),0,
IF(CB$3=$DF49+'Model Setup'!$B$7,SUMIF($BH$3:$CE$3,"="&amp;$DF49+'Model Setup'!$B$7,$AD49:$BA49)+'Model Setup'!$B$8*(SUMIF($BH$3:$CE$3,"&lt;"&amp;$DF49,$AD49:$BA49)+SUMIF($BH$3:$CE$3,"&gt;"&amp;$CW$4,$AD49:$BA49)),
IF(CB$3=$DF49+'Model Setup'!$C$7,SUMIF($BH$3:$CE$3,"="&amp;$DF49+'Model Setup'!$C$7,$AD49:$BA49)+'Model Setup'!$C$8*(SUMIF($BH$3:$CE$3,"&lt;"&amp;$DF49,$AD49:$BA49)+SUMIF($BH$3:$CE$3,"&gt;"&amp;$CW$4,$AD49:$BA49)),
IF(CB$3=$DF49+'Model Setup'!$D$7,SUMIF($BH$3:$CE$3,"="&amp;$DF49+'Model Setup'!$D$7,$AD49:$BA49)+'Model Setup'!$D$8*(SUMIF($BH$3:$CE$3,"&lt;"&amp;$DF49,$AD49:$BA49)+SUMIF($BH$3:$CE$3,"&gt;"&amp;$CW$4,$AD49:$BA49)),
IF(CB$3=$DF49+'Model Setup'!$E$7,SUMIF($BH$3:$CE$3,"="&amp;$DF49+'Model Setup'!$E$7,$AD49:$BA49)+'Model Setup'!$E$8*(SUMIF($BH$3:$CE$3,"&lt;"&amp;$DF49,$AD49:$BA49)+SUMIF($BH$3:$CE$3,"&gt;"&amp;$CW$4,$AD49:$BA49)),
IF(CB$3=$DF49+'Model Setup'!$F$7,SUMIF($BH$3:$CE$3,"="&amp;$DF49+'Model Setup'!$F$7,$AD49:$BA49)+'Model Setup'!$F$8*(SUMIF($BH$3:$CE$3,"&lt;"&amp;$DF49,$AD49:$BA49)+SUMIF($BH$3:$CE$3,"&gt;"&amp;$CW$4,$AD49:$BA49)),
IF(CB$3=$DF49+'Model Setup'!$G$7,SUMIF($BH$3:$CE$3,"="&amp;$DF49+'Model Setup'!$G$7,$AD49:$BA49)+'Model Setup'!$G$8*(SUMIF($BH$3:$CE$3,"&lt;"&amp;$DF49,$AD49:$BA49)+SUMIF($BH$3:$CE$3,"&gt;"&amp;$CW$4,$AD49:$BA49)),
IF(CB$3=$DF49+'Model Setup'!$H$7,SUMIF($BH$3:$CE$3,"="&amp;$DF49+'Model Setup'!$H$7,$AD49:$BA49)+'Model Setup'!$H$8*(SUMIF($BH$3:$CE$3,"&lt;"&amp;$DF49,$AD49:$BA49)+SUMIF($BH$3:$CE$3,"&gt;"&amp;$CW$4,$AD49:$BA49)),
IF(CB$3=$DF49+'Model Setup'!$I$7,SUMIF($BH$3:$CE$3,"="&amp;$DF49+'Model Setup'!$I$7,$AD49:$BA49)+'Model Setup'!$I$8*(SUMIF($BH$3:$CE$3,"&lt;"&amp;$DF49,$AD49:$BA49)+SUMIF($BH$3:$CE$3,"&gt;"&amp;$CW$4,$AD49:$BA49)),
IF(CB$3=$DF49+'Model Setup'!$J$7,SUMIF($BH$3:$CE$3,"="&amp;$DF49+'Model Setup'!$J$7,$AD49:$BA49)+'Model Setup'!$J$8*(SUMIF($BH$3:$CE$3,"&lt;"&amp;$DF49,$AD49:$BA49)+SUMIF($BH$3:$CE$3,"&gt;"&amp;$CW$4,$AD49:$BA49)),
IF(CB$3=$DF49+'Model Setup'!$K$7,SUMIF($BH$3:$CE$3,"="&amp;$DF49+'Model Setup'!$K$7,$AD49:$BA49)+'Model Setup'!$K$8*(SUMIF($BH$3:$CE$3,"&lt;"&amp;$DF49,$AD49:$BA49)+SUMIF($BH$3:$CE$3,"&gt;"&amp;$CW$4,$AD49:$BA49)),
IF(CB$3=$DF49+'Model Setup'!$L$7,SUMIF($BH$3:$CE$3,"="&amp;$DF49+'Model Setup'!$L$7,$AD49:$BA49)+'Model Setup'!$L$8*(SUMIF($BH$3:$CE$3,"&lt;"&amp;$DF49,$AD49:$BA49)+SUMIF($BH$3:$CE$3,"&gt;"&amp;$CW$4,$AD49:$BA49)),
IF(CB$3=$DF49+'Model Setup'!$M$7,SUMIF($BH$3:$CE$3,"="&amp;$DF49+'Model Setup'!$M$7,$AD49:$BA49)+'Model Setup'!$M$8*(SUMIF($BH$3:$CE$3,"&lt;"&amp;$DF49,$AD49:$BA49)+SUMIF($BH$3:$CE$3,"&gt;"&amp;$CW$4,$AD49:$BA49)),
IF(CB$3=$DF49+'Model Setup'!$N$7,SUMIF($BH$3:$CE$3,"="&amp;$DF49+'Model Setup'!$N$7,$AD49:$BA49)+'Model Setup'!$N$8*(SUMIF($BH$3:$CE$3,"&lt;"&amp;$DF49,$AD49:$BA49)+SUMIF($BH$3:$CE$3,"&gt;"&amp;$CW$4,$AD49:$BA49)),
IF(CB$3&lt;$CW$4,V49,0))))))))))))))),0)</f>
        <v>0</v>
      </c>
      <c r="CC49" s="47">
        <f>ROUND(IF(OR(CC$3&lt;$DF49,CC$3&gt;$CW$4),0,
IF(CC$3=$DF49+'Model Setup'!$B$7,SUMIF($BH$3:$CE$3,"="&amp;$DF49+'Model Setup'!$B$7,$AD49:$BA49)+'Model Setup'!$B$8*(SUMIF($BH$3:$CE$3,"&lt;"&amp;$DF49,$AD49:$BA49)+SUMIF($BH$3:$CE$3,"&gt;"&amp;$CW$4,$AD49:$BA49)),
IF(CC$3=$DF49+'Model Setup'!$C$7,SUMIF($BH$3:$CE$3,"="&amp;$DF49+'Model Setup'!$C$7,$AD49:$BA49)+'Model Setup'!$C$8*(SUMIF($BH$3:$CE$3,"&lt;"&amp;$DF49,$AD49:$BA49)+SUMIF($BH$3:$CE$3,"&gt;"&amp;$CW$4,$AD49:$BA49)),
IF(CC$3=$DF49+'Model Setup'!$D$7,SUMIF($BH$3:$CE$3,"="&amp;$DF49+'Model Setup'!$D$7,$AD49:$BA49)+'Model Setup'!$D$8*(SUMIF($BH$3:$CE$3,"&lt;"&amp;$DF49,$AD49:$BA49)+SUMIF($BH$3:$CE$3,"&gt;"&amp;$CW$4,$AD49:$BA49)),
IF(CC$3=$DF49+'Model Setup'!$E$7,SUMIF($BH$3:$CE$3,"="&amp;$DF49+'Model Setup'!$E$7,$AD49:$BA49)+'Model Setup'!$E$8*(SUMIF($BH$3:$CE$3,"&lt;"&amp;$DF49,$AD49:$BA49)+SUMIF($BH$3:$CE$3,"&gt;"&amp;$CW$4,$AD49:$BA49)),
IF(CC$3=$DF49+'Model Setup'!$F$7,SUMIF($BH$3:$CE$3,"="&amp;$DF49+'Model Setup'!$F$7,$AD49:$BA49)+'Model Setup'!$F$8*(SUMIF($BH$3:$CE$3,"&lt;"&amp;$DF49,$AD49:$BA49)+SUMIF($BH$3:$CE$3,"&gt;"&amp;$CW$4,$AD49:$BA49)),
IF(CC$3=$DF49+'Model Setup'!$G$7,SUMIF($BH$3:$CE$3,"="&amp;$DF49+'Model Setup'!$G$7,$AD49:$BA49)+'Model Setup'!$G$8*(SUMIF($BH$3:$CE$3,"&lt;"&amp;$DF49,$AD49:$BA49)+SUMIF($BH$3:$CE$3,"&gt;"&amp;$CW$4,$AD49:$BA49)),
IF(CC$3=$DF49+'Model Setup'!$H$7,SUMIF($BH$3:$CE$3,"="&amp;$DF49+'Model Setup'!$H$7,$AD49:$BA49)+'Model Setup'!$H$8*(SUMIF($BH$3:$CE$3,"&lt;"&amp;$DF49,$AD49:$BA49)+SUMIF($BH$3:$CE$3,"&gt;"&amp;$CW$4,$AD49:$BA49)),
IF(CC$3=$DF49+'Model Setup'!$I$7,SUMIF($BH$3:$CE$3,"="&amp;$DF49+'Model Setup'!$I$7,$AD49:$BA49)+'Model Setup'!$I$8*(SUMIF($BH$3:$CE$3,"&lt;"&amp;$DF49,$AD49:$BA49)+SUMIF($BH$3:$CE$3,"&gt;"&amp;$CW$4,$AD49:$BA49)),
IF(CC$3=$DF49+'Model Setup'!$J$7,SUMIF($BH$3:$CE$3,"="&amp;$DF49+'Model Setup'!$J$7,$AD49:$BA49)+'Model Setup'!$J$8*(SUMIF($BH$3:$CE$3,"&lt;"&amp;$DF49,$AD49:$BA49)+SUMIF($BH$3:$CE$3,"&gt;"&amp;$CW$4,$AD49:$BA49)),
IF(CC$3=$DF49+'Model Setup'!$K$7,SUMIF($BH$3:$CE$3,"="&amp;$DF49+'Model Setup'!$K$7,$AD49:$BA49)+'Model Setup'!$K$8*(SUMIF($BH$3:$CE$3,"&lt;"&amp;$DF49,$AD49:$BA49)+SUMIF($BH$3:$CE$3,"&gt;"&amp;$CW$4,$AD49:$BA49)),
IF(CC$3=$DF49+'Model Setup'!$L$7,SUMIF($BH$3:$CE$3,"="&amp;$DF49+'Model Setup'!$L$7,$AD49:$BA49)+'Model Setup'!$L$8*(SUMIF($BH$3:$CE$3,"&lt;"&amp;$DF49,$AD49:$BA49)+SUMIF($BH$3:$CE$3,"&gt;"&amp;$CW$4,$AD49:$BA49)),
IF(CC$3=$DF49+'Model Setup'!$M$7,SUMIF($BH$3:$CE$3,"="&amp;$DF49+'Model Setup'!$M$7,$AD49:$BA49)+'Model Setup'!$M$8*(SUMIF($BH$3:$CE$3,"&lt;"&amp;$DF49,$AD49:$BA49)+SUMIF($BH$3:$CE$3,"&gt;"&amp;$CW$4,$AD49:$BA49)),
IF(CC$3=$DF49+'Model Setup'!$N$7,SUMIF($BH$3:$CE$3,"="&amp;$DF49+'Model Setup'!$N$7,$AD49:$BA49)+'Model Setup'!$N$8*(SUMIF($BH$3:$CE$3,"&lt;"&amp;$DF49,$AD49:$BA49)+SUMIF($BH$3:$CE$3,"&gt;"&amp;$CW$4,$AD49:$BA49)),
IF(CC$3&lt;$CW$4,W49,0))))))))))))))),0)</f>
        <v>0</v>
      </c>
      <c r="CD49" s="47">
        <f>ROUND(IF(OR(CD$3&lt;$DF49,CD$3&gt;$CW$4),0,
IF(CD$3=$DF49+'Model Setup'!$B$7,SUMIF($BH$3:$CE$3,"="&amp;$DF49+'Model Setup'!$B$7,$AD49:$BA49)+'Model Setup'!$B$8*(SUMIF($BH$3:$CE$3,"&lt;"&amp;$DF49,$AD49:$BA49)+SUMIF($BH$3:$CE$3,"&gt;"&amp;$CW$4,$AD49:$BA49)),
IF(CD$3=$DF49+'Model Setup'!$C$7,SUMIF($BH$3:$CE$3,"="&amp;$DF49+'Model Setup'!$C$7,$AD49:$BA49)+'Model Setup'!$C$8*(SUMIF($BH$3:$CE$3,"&lt;"&amp;$DF49,$AD49:$BA49)+SUMIF($BH$3:$CE$3,"&gt;"&amp;$CW$4,$AD49:$BA49)),
IF(CD$3=$DF49+'Model Setup'!$D$7,SUMIF($BH$3:$CE$3,"="&amp;$DF49+'Model Setup'!$D$7,$AD49:$BA49)+'Model Setup'!$D$8*(SUMIF($BH$3:$CE$3,"&lt;"&amp;$DF49,$AD49:$BA49)+SUMIF($BH$3:$CE$3,"&gt;"&amp;$CW$4,$AD49:$BA49)),
IF(CD$3=$DF49+'Model Setup'!$E$7,SUMIF($BH$3:$CE$3,"="&amp;$DF49+'Model Setup'!$E$7,$AD49:$BA49)+'Model Setup'!$E$8*(SUMIF($BH$3:$CE$3,"&lt;"&amp;$DF49,$AD49:$BA49)+SUMIF($BH$3:$CE$3,"&gt;"&amp;$CW$4,$AD49:$BA49)),
IF(CD$3=$DF49+'Model Setup'!$F$7,SUMIF($BH$3:$CE$3,"="&amp;$DF49+'Model Setup'!$F$7,$AD49:$BA49)+'Model Setup'!$F$8*(SUMIF($BH$3:$CE$3,"&lt;"&amp;$DF49,$AD49:$BA49)+SUMIF($BH$3:$CE$3,"&gt;"&amp;$CW$4,$AD49:$BA49)),
IF(CD$3=$DF49+'Model Setup'!$G$7,SUMIF($BH$3:$CE$3,"="&amp;$DF49+'Model Setup'!$G$7,$AD49:$BA49)+'Model Setup'!$G$8*(SUMIF($BH$3:$CE$3,"&lt;"&amp;$DF49,$AD49:$BA49)+SUMIF($BH$3:$CE$3,"&gt;"&amp;$CW$4,$AD49:$BA49)),
IF(CD$3=$DF49+'Model Setup'!$H$7,SUMIF($BH$3:$CE$3,"="&amp;$DF49+'Model Setup'!$H$7,$AD49:$BA49)+'Model Setup'!$H$8*(SUMIF($BH$3:$CE$3,"&lt;"&amp;$DF49,$AD49:$BA49)+SUMIF($BH$3:$CE$3,"&gt;"&amp;$CW$4,$AD49:$BA49)),
IF(CD$3=$DF49+'Model Setup'!$I$7,SUMIF($BH$3:$CE$3,"="&amp;$DF49+'Model Setup'!$I$7,$AD49:$BA49)+'Model Setup'!$I$8*(SUMIF($BH$3:$CE$3,"&lt;"&amp;$DF49,$AD49:$BA49)+SUMIF($BH$3:$CE$3,"&gt;"&amp;$CW$4,$AD49:$BA49)),
IF(CD$3=$DF49+'Model Setup'!$J$7,SUMIF($BH$3:$CE$3,"="&amp;$DF49+'Model Setup'!$J$7,$AD49:$BA49)+'Model Setup'!$J$8*(SUMIF($BH$3:$CE$3,"&lt;"&amp;$DF49,$AD49:$BA49)+SUMIF($BH$3:$CE$3,"&gt;"&amp;$CW$4,$AD49:$BA49)),
IF(CD$3=$DF49+'Model Setup'!$K$7,SUMIF($BH$3:$CE$3,"="&amp;$DF49+'Model Setup'!$K$7,$AD49:$BA49)+'Model Setup'!$K$8*(SUMIF($BH$3:$CE$3,"&lt;"&amp;$DF49,$AD49:$BA49)+SUMIF($BH$3:$CE$3,"&gt;"&amp;$CW$4,$AD49:$BA49)),
IF(CD$3=$DF49+'Model Setup'!$L$7,SUMIF($BH$3:$CE$3,"="&amp;$DF49+'Model Setup'!$L$7,$AD49:$BA49)+'Model Setup'!$L$8*(SUMIF($BH$3:$CE$3,"&lt;"&amp;$DF49,$AD49:$BA49)+SUMIF($BH$3:$CE$3,"&gt;"&amp;$CW$4,$AD49:$BA49)),
IF(CD$3=$DF49+'Model Setup'!$M$7,SUMIF($BH$3:$CE$3,"="&amp;$DF49+'Model Setup'!$M$7,$AD49:$BA49)+'Model Setup'!$M$8*(SUMIF($BH$3:$CE$3,"&lt;"&amp;$DF49,$AD49:$BA49)+SUMIF($BH$3:$CE$3,"&gt;"&amp;$CW$4,$AD49:$BA49)),
IF(CD$3=$DF49+'Model Setup'!$N$7,SUMIF($BH$3:$CE$3,"="&amp;$DF49+'Model Setup'!$N$7,$AD49:$BA49)+'Model Setup'!$N$8*(SUMIF($BH$3:$CE$3,"&lt;"&amp;$DF49,$AD49:$BA49)+SUMIF($BH$3:$CE$3,"&gt;"&amp;$CW$4,$AD49:$BA49)),
IF(CD$3&lt;$CW$4,X49,0))))))))))))))),0)</f>
        <v>0</v>
      </c>
      <c r="CE49" s="47">
        <f>ROUND(IF(OR(CE$3&lt;$DF49,CE$3&gt;$CW$4),0,
IF(CE$3=$DF49+'Model Setup'!$B$7,SUMIF($BH$3:$CE$3,"="&amp;$DF49+'Model Setup'!$B$7,$AD49:$BA49)+'Model Setup'!$B$8*(SUMIF($BH$3:$CE$3,"&lt;"&amp;$DF49,$AD49:$BA49)+SUMIF($BH$3:$CE$3,"&gt;"&amp;$CW$4,$AD49:$BA49)),
IF(CE$3=$DF49+'Model Setup'!$C$7,SUMIF($BH$3:$CE$3,"="&amp;$DF49+'Model Setup'!$C$7,$AD49:$BA49)+'Model Setup'!$C$8*(SUMIF($BH$3:$CE$3,"&lt;"&amp;$DF49,$AD49:$BA49)+SUMIF($BH$3:$CE$3,"&gt;"&amp;$CW$4,$AD49:$BA49)),
IF(CE$3=$DF49+'Model Setup'!$D$7,SUMIF($BH$3:$CE$3,"="&amp;$DF49+'Model Setup'!$D$7,$AD49:$BA49)+'Model Setup'!$D$8*(SUMIF($BH$3:$CE$3,"&lt;"&amp;$DF49,$AD49:$BA49)+SUMIF($BH$3:$CE$3,"&gt;"&amp;$CW$4,$AD49:$BA49)),
IF(CE$3=$DF49+'Model Setup'!$E$7,SUMIF($BH$3:$CE$3,"="&amp;$DF49+'Model Setup'!$E$7,$AD49:$BA49)+'Model Setup'!$E$8*(SUMIF($BH$3:$CE$3,"&lt;"&amp;$DF49,$AD49:$BA49)+SUMIF($BH$3:$CE$3,"&gt;"&amp;$CW$4,$AD49:$BA49)),
IF(CE$3=$DF49+'Model Setup'!$F$7,SUMIF($BH$3:$CE$3,"="&amp;$DF49+'Model Setup'!$F$7,$AD49:$BA49)+'Model Setup'!$F$8*(SUMIF($BH$3:$CE$3,"&lt;"&amp;$DF49,$AD49:$BA49)+SUMIF($BH$3:$CE$3,"&gt;"&amp;$CW$4,$AD49:$BA49)),
IF(CE$3=$DF49+'Model Setup'!$G$7,SUMIF($BH$3:$CE$3,"="&amp;$DF49+'Model Setup'!$G$7,$AD49:$BA49)+'Model Setup'!$G$8*(SUMIF($BH$3:$CE$3,"&lt;"&amp;$DF49,$AD49:$BA49)+SUMIF($BH$3:$CE$3,"&gt;"&amp;$CW$4,$AD49:$BA49)),
IF(CE$3=$DF49+'Model Setup'!$H$7,SUMIF($BH$3:$CE$3,"="&amp;$DF49+'Model Setup'!$H$7,$AD49:$BA49)+'Model Setup'!$H$8*(SUMIF($BH$3:$CE$3,"&lt;"&amp;$DF49,$AD49:$BA49)+SUMIF($BH$3:$CE$3,"&gt;"&amp;$CW$4,$AD49:$BA49)),
IF(CE$3=$DF49+'Model Setup'!$I$7,SUMIF($BH$3:$CE$3,"="&amp;$DF49+'Model Setup'!$I$7,$AD49:$BA49)+'Model Setup'!$I$8*(SUMIF($BH$3:$CE$3,"&lt;"&amp;$DF49,$AD49:$BA49)+SUMIF($BH$3:$CE$3,"&gt;"&amp;$CW$4,$AD49:$BA49)),
IF(CE$3=$DF49+'Model Setup'!$J$7,SUMIF($BH$3:$CE$3,"="&amp;$DF49+'Model Setup'!$J$7,$AD49:$BA49)+'Model Setup'!$J$8*(SUMIF($BH$3:$CE$3,"&lt;"&amp;$DF49,$AD49:$BA49)+SUMIF($BH$3:$CE$3,"&gt;"&amp;$CW$4,$AD49:$BA49)),
IF(CE$3=$DF49+'Model Setup'!$K$7,SUMIF($BH$3:$CE$3,"="&amp;$DF49+'Model Setup'!$K$7,$AD49:$BA49)+'Model Setup'!$K$8*(SUMIF($BH$3:$CE$3,"&lt;"&amp;$DF49,$AD49:$BA49)+SUMIF($BH$3:$CE$3,"&gt;"&amp;$CW$4,$AD49:$BA49)),
IF(CE$3=$DF49+'Model Setup'!$L$7,SUMIF($BH$3:$CE$3,"="&amp;$DF49+'Model Setup'!$L$7,$AD49:$BA49)+'Model Setup'!$L$8*(SUMIF($BH$3:$CE$3,"&lt;"&amp;$DF49,$AD49:$BA49)+SUMIF($BH$3:$CE$3,"&gt;"&amp;$CW$4,$AD49:$BA49)),
IF(CE$3=$DF49+'Model Setup'!$M$7,SUMIF($BH$3:$CE$3,"="&amp;$DF49+'Model Setup'!$M$7,$AD49:$BA49)+'Model Setup'!$M$8*(SUMIF($BH$3:$CE$3,"&lt;"&amp;$DF49,$AD49:$BA49)+SUMIF($BH$3:$CE$3,"&gt;"&amp;$CW$4,$AD49:$BA49)),
IF(CE$3=$DF49+'Model Setup'!$N$7,SUMIF($BH$3:$CE$3,"="&amp;$DF49+'Model Setup'!$N$7,$AD49:$BA49)+'Model Setup'!$N$8*(SUMIF($BH$3:$CE$3,"&lt;"&amp;$DF49,$AD49:$BA49)+SUMIF($BH$3:$CE$3,"&gt;"&amp;$CW$4,$AD49:$BA49)),
IF(CE$3&lt;$CW$4,Y49,0))))))))))))))),0)</f>
        <v>0</v>
      </c>
      <c r="CF49" s="47">
        <f t="shared" si="3"/>
        <v>1903</v>
      </c>
      <c r="CG49" s="47">
        <f t="shared" si="4"/>
        <v>-35</v>
      </c>
      <c r="CI49" s="10" t="s">
        <v>64</v>
      </c>
      <c r="CJ49" s="126">
        <f t="shared" si="9"/>
        <v>0</v>
      </c>
      <c r="CK49" s="126">
        <f t="shared" si="10"/>
        <v>0</v>
      </c>
      <c r="CL49" s="126">
        <f t="shared" si="11"/>
        <v>169</v>
      </c>
      <c r="CM49" s="126">
        <f t="shared" si="12"/>
        <v>243</v>
      </c>
      <c r="CN49" s="126">
        <f t="shared" si="13"/>
        <v>199</v>
      </c>
      <c r="CO49" s="126">
        <f t="shared" si="14"/>
        <v>187</v>
      </c>
      <c r="CP49" s="126">
        <f t="shared" si="15"/>
        <v>150</v>
      </c>
      <c r="CQ49" s="126">
        <f t="shared" si="16"/>
        <v>152</v>
      </c>
      <c r="CR49" s="126">
        <f t="shared" si="17"/>
        <v>146</v>
      </c>
      <c r="CS49" s="126">
        <f t="shared" si="18"/>
        <v>128</v>
      </c>
      <c r="CT49" s="126">
        <f t="shared" si="19"/>
        <v>81</v>
      </c>
      <c r="CU49" s="126">
        <f t="shared" si="20"/>
        <v>72</v>
      </c>
      <c r="CV49" s="126">
        <f t="shared" si="21"/>
        <v>134</v>
      </c>
      <c r="CW49" s="126">
        <f t="shared" si="22"/>
        <v>160</v>
      </c>
      <c r="CX49" s="126">
        <f t="shared" si="23"/>
        <v>117</v>
      </c>
      <c r="CY49" s="126">
        <f t="shared" si="24"/>
        <v>0</v>
      </c>
      <c r="CZ49" s="47">
        <f t="shared" si="7"/>
        <v>1821</v>
      </c>
      <c r="DC49" s="93" t="s">
        <v>64</v>
      </c>
      <c r="DD49" s="89">
        <f>FTC!E47</f>
        <v>0.29166666666666669</v>
      </c>
      <c r="DE49" s="89">
        <f>FTC!F47</f>
        <v>0.79166666666666663</v>
      </c>
      <c r="DF49" s="90">
        <f t="shared" si="25"/>
        <v>7</v>
      </c>
      <c r="DG49" s="91">
        <f t="shared" si="26"/>
        <v>19</v>
      </c>
      <c r="DH49" s="91">
        <f t="shared" si="27"/>
        <v>12</v>
      </c>
    </row>
    <row r="50" spans="1:112" x14ac:dyDescent="0.35">
      <c r="A50" s="43" t="s">
        <v>65</v>
      </c>
      <c r="B50" s="47">
        <v>1</v>
      </c>
      <c r="C50" s="6"/>
      <c r="D50" s="6"/>
      <c r="E50" s="6"/>
      <c r="F50" s="47">
        <v>3</v>
      </c>
      <c r="G50" s="47">
        <v>4</v>
      </c>
      <c r="H50" s="47">
        <v>40</v>
      </c>
      <c r="I50" s="47">
        <v>37</v>
      </c>
      <c r="J50" s="47">
        <v>39</v>
      </c>
      <c r="K50" s="47">
        <v>53</v>
      </c>
      <c r="L50" s="47">
        <v>45</v>
      </c>
      <c r="M50" s="47">
        <v>41</v>
      </c>
      <c r="N50" s="47">
        <v>13</v>
      </c>
      <c r="O50" s="47">
        <v>10</v>
      </c>
      <c r="P50" s="47">
        <v>12</v>
      </c>
      <c r="Q50" s="47">
        <v>6</v>
      </c>
      <c r="R50" s="47">
        <v>5</v>
      </c>
      <c r="S50" s="47">
        <v>7</v>
      </c>
      <c r="T50" s="47">
        <v>3</v>
      </c>
      <c r="U50" s="6"/>
      <c r="V50" s="47">
        <v>2</v>
      </c>
      <c r="W50" s="47">
        <v>4</v>
      </c>
      <c r="X50" s="47">
        <v>3</v>
      </c>
      <c r="Y50" s="47">
        <v>3</v>
      </c>
      <c r="Z50" s="47">
        <f t="shared" si="0"/>
        <v>331</v>
      </c>
      <c r="AC50" s="43" t="s">
        <v>65</v>
      </c>
      <c r="AD50" s="47">
        <f>ROUND(IF(AD$3&lt;$DF50,0,
IF(AD$3=$DF50+'Model Setup'!$B$7,SUMIF($AD$3:$BA$3,"="&amp;$DF50+'Model Setup'!$B$7,$B50:$Y50)+'Model Setup'!$B$8*(SUMIF($AD$3:$BA$3,"&lt;"&amp;$DF50,$B50:$Y50)+SUMIF($AD$3:$BA$3,"&gt;="&amp;$DG50,$B50:$Y50)),
IF(AD$3=$DF50+'Model Setup'!$C$7,SUMIF($AD$3:$BA$3,"="&amp;$DF50+'Model Setup'!$C$7,$B50:$Y50)+'Model Setup'!$C$8*(SUMIF($AD$3:$BA$3,"&lt;"&amp;$DF50,$B50:$Y50)+SUMIF($AD$3:$BA$3,"&gt;="&amp;$DG50,$B50:$Y50)),
IF(AD$3=$DF50+'Model Setup'!$D$7,SUMIF($AD$3:$BA$3,"="&amp;$DF50+'Model Setup'!$D$7,$B50:$Y50)+'Model Setup'!$D$8*(SUMIF($AD$3:$BA$3,"&lt;"&amp;$DF50,$B50:$Y50)+SUMIF($AD$3:$BA$3,"&gt;="&amp;$DG50,$B50:$Y50)),
IF(AD$3=$DF50+'Model Setup'!$E$7,SUMIF($AD$3:$BA$3,"="&amp;$DF50+'Model Setup'!$E$7,$B50:$Y50)+'Model Setup'!$E$8*(SUMIF($AD$3:$BA$3,"&lt;"&amp;$DF50,$B50:$Y50)+SUMIF($AD$3:$BA$3,"&gt;="&amp;$DG50,$B50:$Y50)),
IF(AD$3=$DF50+'Model Setup'!$F$7,SUMIF($AD$3:$BA$3,"="&amp;$DF50+'Model Setup'!$F$7,$B50:$Y50)+'Model Setup'!$F$8*(SUMIF($AD$3:$BA$3,"&lt;"&amp;$DF50,$B50:$Y50)+SUMIF($AD$3:$BA$3,"&gt;="&amp;$DG50,$B50:$Y50)),
IF(AD$3=$DF50+'Model Setup'!$G$7,SUMIF($AD$3:$BA$3,"="&amp;$DF50+'Model Setup'!$G$7,$B50:$Y50)+'Model Setup'!$G$8*(SUMIF($AD$3:$BA$3,"&lt;"&amp;$DF50,$B50:$Y50)+SUMIF($AD$3:$BA$3,"&gt;="&amp;$DG50,$B50:$Y50)),
IF(AD$3=$DF50+'Model Setup'!$H$7,SUMIF($AD$3:$BA$3,"="&amp;$DF50+'Model Setup'!$H$7,$B50:$Y50)+'Model Setup'!$H$8*(SUMIF($AD$3:$BA$3,"&lt;"&amp;$DF50,$B50:$Y50)+SUMIF($AD$3:$BA$3,"&gt;="&amp;$DG50,$B50:$Y50)),
IF(AD$3=$DF50+'Model Setup'!$I$7,SUMIF($AD$3:$BA$3,"="&amp;$DF50+'Model Setup'!$I$7,$B50:$Y50)+'Model Setup'!$I$8*(SUMIF($AD$3:$BA$3,"&lt;"&amp;$DF50,$B50:$Y50)+SUMIF($AD$3:$BA$3,"&gt;="&amp;$DG50,$B50:$Y50)),
IF(AD$3=$DF50+'Model Setup'!$J$7,SUMIF($AD$3:$BA$3,"="&amp;$DF50+'Model Setup'!$J$7,$B50:$Y50)+'Model Setup'!$J$8*(SUMIF($AD$3:$BA$3,"&lt;"&amp;$DF50,$B50:$Y50)+SUMIF($AD$3:$BA$3,"&gt;="&amp;$DG50,$B50:$Y50)),
IF(AD$3=$DF50+'Model Setup'!$K$7,SUMIF($AD$3:$BA$3,"="&amp;$DF50+'Model Setup'!$K$7,$B50:$Y50)+'Model Setup'!$K$8*(SUMIF($AD$3:$BA$3,"&lt;"&amp;$DF50,$B50:$Y50)+SUMIF($AD$3:$BA$3,"&gt;="&amp;$DG50,$B50:$Y50)),
IF(AD$3=$DF50+'Model Setup'!$L$7,SUMIF($AD$3:$BA$3,"="&amp;$DF50+'Model Setup'!$L$7,$B50:$Y50)+'Model Setup'!$L$8*(SUMIF($AD$3:$BA$3,"&lt;"&amp;$DF50,$B50:$Y50)+SUMIF($AD$3:$BA$3,"&gt;="&amp;$DG50,$B50:$Y50)),
IF(AD$3=$DF50+'Model Setup'!$M$7,SUMIF($AD$3:$BA$3,"="&amp;$DF50+'Model Setup'!$M$7,$B50:$Y50)+'Model Setup'!$M$8*(SUMIF($AD$3:$BA$3,"&lt;"&amp;$DF50,$B50:$Y50)+SUMIF($AD$3:$BA$3,"&gt;="&amp;$DG50,$B50:$Y50)),
IF(AD$3=$DF50+'Model Setup'!$N$7,SUMIF($AD$3:$BA$3,"="&amp;$DF50+'Model Setup'!$N$7,$B50:$Y50)+'Model Setup'!$N$8*(SUMIF($AD$3:$BA$3,"&lt;"&amp;$DF50,$B50:$Y50)+SUMIF($AD$3:$BA$3,"&gt;="&amp;$DG50,$B50:$Y50)),
IF(AD$3&lt;$DG50,B50,0))))))))))))))),0)</f>
        <v>0</v>
      </c>
      <c r="AE50" s="47">
        <f>ROUND(IF(AE$3&lt;$DF50,0,
IF(AE$3=$DF50+'Model Setup'!$B$7,SUMIF($AD$3:$BA$3,"="&amp;$DF50+'Model Setup'!$B$7,$B50:$Y50)+'Model Setup'!$B$8*(SUMIF($AD$3:$BA$3,"&lt;"&amp;$DF50,$B50:$Y50)+SUMIF($AD$3:$BA$3,"&gt;="&amp;$DG50,$B50:$Y50)),
IF(AE$3=$DF50+'Model Setup'!$C$7,SUMIF($AD$3:$BA$3,"="&amp;$DF50+'Model Setup'!$C$7,$B50:$Y50)+'Model Setup'!$C$8*(SUMIF($AD$3:$BA$3,"&lt;"&amp;$DF50,$B50:$Y50)+SUMIF($AD$3:$BA$3,"&gt;="&amp;$DG50,$B50:$Y50)),
IF(AE$3=$DF50+'Model Setup'!$D$7,SUMIF($AD$3:$BA$3,"="&amp;$DF50+'Model Setup'!$D$7,$B50:$Y50)+'Model Setup'!$D$8*(SUMIF($AD$3:$BA$3,"&lt;"&amp;$DF50,$B50:$Y50)+SUMIF($AD$3:$BA$3,"&gt;="&amp;$DG50,$B50:$Y50)),
IF(AE$3=$DF50+'Model Setup'!$E$7,SUMIF($AD$3:$BA$3,"="&amp;$DF50+'Model Setup'!$E$7,$B50:$Y50)+'Model Setup'!$E$8*(SUMIF($AD$3:$BA$3,"&lt;"&amp;$DF50,$B50:$Y50)+SUMIF($AD$3:$BA$3,"&gt;="&amp;$DG50,$B50:$Y50)),
IF(AE$3=$DF50+'Model Setup'!$F$7,SUMIF($AD$3:$BA$3,"="&amp;$DF50+'Model Setup'!$F$7,$B50:$Y50)+'Model Setup'!$F$8*(SUMIF($AD$3:$BA$3,"&lt;"&amp;$DF50,$B50:$Y50)+SUMIF($AD$3:$BA$3,"&gt;="&amp;$DG50,$B50:$Y50)),
IF(AE$3=$DF50+'Model Setup'!$G$7,SUMIF($AD$3:$BA$3,"="&amp;$DF50+'Model Setup'!$G$7,$B50:$Y50)+'Model Setup'!$G$8*(SUMIF($AD$3:$BA$3,"&lt;"&amp;$DF50,$B50:$Y50)+SUMIF($AD$3:$BA$3,"&gt;="&amp;$DG50,$B50:$Y50)),
IF(AE$3=$DF50+'Model Setup'!$H$7,SUMIF($AD$3:$BA$3,"="&amp;$DF50+'Model Setup'!$H$7,$B50:$Y50)+'Model Setup'!$H$8*(SUMIF($AD$3:$BA$3,"&lt;"&amp;$DF50,$B50:$Y50)+SUMIF($AD$3:$BA$3,"&gt;="&amp;$DG50,$B50:$Y50)),
IF(AE$3=$DF50+'Model Setup'!$I$7,SUMIF($AD$3:$BA$3,"="&amp;$DF50+'Model Setup'!$I$7,$B50:$Y50)+'Model Setup'!$I$8*(SUMIF($AD$3:$BA$3,"&lt;"&amp;$DF50,$B50:$Y50)+SUMIF($AD$3:$BA$3,"&gt;="&amp;$DG50,$B50:$Y50)),
IF(AE$3=$DF50+'Model Setup'!$J$7,SUMIF($AD$3:$BA$3,"="&amp;$DF50+'Model Setup'!$J$7,$B50:$Y50)+'Model Setup'!$J$8*(SUMIF($AD$3:$BA$3,"&lt;"&amp;$DF50,$B50:$Y50)+SUMIF($AD$3:$BA$3,"&gt;="&amp;$DG50,$B50:$Y50)),
IF(AE$3=$DF50+'Model Setup'!$K$7,SUMIF($AD$3:$BA$3,"="&amp;$DF50+'Model Setup'!$K$7,$B50:$Y50)+'Model Setup'!$K$8*(SUMIF($AD$3:$BA$3,"&lt;"&amp;$DF50,$B50:$Y50)+SUMIF($AD$3:$BA$3,"&gt;="&amp;$DG50,$B50:$Y50)),
IF(AE$3=$DF50+'Model Setup'!$L$7,SUMIF($AD$3:$BA$3,"="&amp;$DF50+'Model Setup'!$L$7,$B50:$Y50)+'Model Setup'!$L$8*(SUMIF($AD$3:$BA$3,"&lt;"&amp;$DF50,$B50:$Y50)+SUMIF($AD$3:$BA$3,"&gt;="&amp;$DG50,$B50:$Y50)),
IF(AE$3=$DF50+'Model Setup'!$M$7,SUMIF($AD$3:$BA$3,"="&amp;$DF50+'Model Setup'!$M$7,$B50:$Y50)+'Model Setup'!$M$8*(SUMIF($AD$3:$BA$3,"&lt;"&amp;$DF50,$B50:$Y50)+SUMIF($AD$3:$BA$3,"&gt;="&amp;$DG50,$B50:$Y50)),
IF(AE$3=$DF50+'Model Setup'!$N$7,SUMIF($AD$3:$BA$3,"="&amp;$DF50+'Model Setup'!$N$7,$B50:$Y50)+'Model Setup'!$N$8*(SUMIF($AD$3:$BA$3,"&lt;"&amp;$DF50,$B50:$Y50)+SUMIF($AD$3:$BA$3,"&gt;="&amp;$DG50,$B50:$Y50)),
IF(AE$3&lt;$DG50,C50,0))))))))))))))),0)</f>
        <v>0</v>
      </c>
      <c r="AF50" s="47">
        <f>ROUND(IF(AF$3&lt;$DF50,0,
IF(AF$3=$DF50+'Model Setup'!$B$7,SUMIF($AD$3:$BA$3,"="&amp;$DF50+'Model Setup'!$B$7,$B50:$Y50)+'Model Setup'!$B$8*(SUMIF($AD$3:$BA$3,"&lt;"&amp;$DF50,$B50:$Y50)+SUMIF($AD$3:$BA$3,"&gt;="&amp;$DG50,$B50:$Y50)),
IF(AF$3=$DF50+'Model Setup'!$C$7,SUMIF($AD$3:$BA$3,"="&amp;$DF50+'Model Setup'!$C$7,$B50:$Y50)+'Model Setup'!$C$8*(SUMIF($AD$3:$BA$3,"&lt;"&amp;$DF50,$B50:$Y50)+SUMIF($AD$3:$BA$3,"&gt;="&amp;$DG50,$B50:$Y50)),
IF(AF$3=$DF50+'Model Setup'!$D$7,SUMIF($AD$3:$BA$3,"="&amp;$DF50+'Model Setup'!$D$7,$B50:$Y50)+'Model Setup'!$D$8*(SUMIF($AD$3:$BA$3,"&lt;"&amp;$DF50,$B50:$Y50)+SUMIF($AD$3:$BA$3,"&gt;="&amp;$DG50,$B50:$Y50)),
IF(AF$3=$DF50+'Model Setup'!$E$7,SUMIF($AD$3:$BA$3,"="&amp;$DF50+'Model Setup'!$E$7,$B50:$Y50)+'Model Setup'!$E$8*(SUMIF($AD$3:$BA$3,"&lt;"&amp;$DF50,$B50:$Y50)+SUMIF($AD$3:$BA$3,"&gt;="&amp;$DG50,$B50:$Y50)),
IF(AF$3=$DF50+'Model Setup'!$F$7,SUMIF($AD$3:$BA$3,"="&amp;$DF50+'Model Setup'!$F$7,$B50:$Y50)+'Model Setup'!$F$8*(SUMIF($AD$3:$BA$3,"&lt;"&amp;$DF50,$B50:$Y50)+SUMIF($AD$3:$BA$3,"&gt;="&amp;$DG50,$B50:$Y50)),
IF(AF$3=$DF50+'Model Setup'!$G$7,SUMIF($AD$3:$BA$3,"="&amp;$DF50+'Model Setup'!$G$7,$B50:$Y50)+'Model Setup'!$G$8*(SUMIF($AD$3:$BA$3,"&lt;"&amp;$DF50,$B50:$Y50)+SUMIF($AD$3:$BA$3,"&gt;="&amp;$DG50,$B50:$Y50)),
IF(AF$3=$DF50+'Model Setup'!$H$7,SUMIF($AD$3:$BA$3,"="&amp;$DF50+'Model Setup'!$H$7,$B50:$Y50)+'Model Setup'!$H$8*(SUMIF($AD$3:$BA$3,"&lt;"&amp;$DF50,$B50:$Y50)+SUMIF($AD$3:$BA$3,"&gt;="&amp;$DG50,$B50:$Y50)),
IF(AF$3=$DF50+'Model Setup'!$I$7,SUMIF($AD$3:$BA$3,"="&amp;$DF50+'Model Setup'!$I$7,$B50:$Y50)+'Model Setup'!$I$8*(SUMIF($AD$3:$BA$3,"&lt;"&amp;$DF50,$B50:$Y50)+SUMIF($AD$3:$BA$3,"&gt;="&amp;$DG50,$B50:$Y50)),
IF(AF$3=$DF50+'Model Setup'!$J$7,SUMIF($AD$3:$BA$3,"="&amp;$DF50+'Model Setup'!$J$7,$B50:$Y50)+'Model Setup'!$J$8*(SUMIF($AD$3:$BA$3,"&lt;"&amp;$DF50,$B50:$Y50)+SUMIF($AD$3:$BA$3,"&gt;="&amp;$DG50,$B50:$Y50)),
IF(AF$3=$DF50+'Model Setup'!$K$7,SUMIF($AD$3:$BA$3,"="&amp;$DF50+'Model Setup'!$K$7,$B50:$Y50)+'Model Setup'!$K$8*(SUMIF($AD$3:$BA$3,"&lt;"&amp;$DF50,$B50:$Y50)+SUMIF($AD$3:$BA$3,"&gt;="&amp;$DG50,$B50:$Y50)),
IF(AF$3=$DF50+'Model Setup'!$L$7,SUMIF($AD$3:$BA$3,"="&amp;$DF50+'Model Setup'!$L$7,$B50:$Y50)+'Model Setup'!$L$8*(SUMIF($AD$3:$BA$3,"&lt;"&amp;$DF50,$B50:$Y50)+SUMIF($AD$3:$BA$3,"&gt;="&amp;$DG50,$B50:$Y50)),
IF(AF$3=$DF50+'Model Setup'!$M$7,SUMIF($AD$3:$BA$3,"="&amp;$DF50+'Model Setup'!$M$7,$B50:$Y50)+'Model Setup'!$M$8*(SUMIF($AD$3:$BA$3,"&lt;"&amp;$DF50,$B50:$Y50)+SUMIF($AD$3:$BA$3,"&gt;="&amp;$DG50,$B50:$Y50)),
IF(AF$3=$DF50+'Model Setup'!$N$7,SUMIF($AD$3:$BA$3,"="&amp;$DF50+'Model Setup'!$N$7,$B50:$Y50)+'Model Setup'!$N$8*(SUMIF($AD$3:$BA$3,"&lt;"&amp;$DF50,$B50:$Y50)+SUMIF($AD$3:$BA$3,"&gt;="&amp;$DG50,$B50:$Y50)),
IF(AF$3&lt;$DG50,D50,0))))))))))))))),0)</f>
        <v>0</v>
      </c>
      <c r="AG50" s="47">
        <f>ROUND(IF(AG$3&lt;$DF50,0,
IF(AG$3=$DF50+'Model Setup'!$B$7,SUMIF($AD$3:$BA$3,"="&amp;$DF50+'Model Setup'!$B$7,$B50:$Y50)+'Model Setup'!$B$8*(SUMIF($AD$3:$BA$3,"&lt;"&amp;$DF50,$B50:$Y50)+SUMIF($AD$3:$BA$3,"&gt;="&amp;$DG50,$B50:$Y50)),
IF(AG$3=$DF50+'Model Setup'!$C$7,SUMIF($AD$3:$BA$3,"="&amp;$DF50+'Model Setup'!$C$7,$B50:$Y50)+'Model Setup'!$C$8*(SUMIF($AD$3:$BA$3,"&lt;"&amp;$DF50,$B50:$Y50)+SUMIF($AD$3:$BA$3,"&gt;="&amp;$DG50,$B50:$Y50)),
IF(AG$3=$DF50+'Model Setup'!$D$7,SUMIF($AD$3:$BA$3,"="&amp;$DF50+'Model Setup'!$D$7,$B50:$Y50)+'Model Setup'!$D$8*(SUMIF($AD$3:$BA$3,"&lt;"&amp;$DF50,$B50:$Y50)+SUMIF($AD$3:$BA$3,"&gt;="&amp;$DG50,$B50:$Y50)),
IF(AG$3=$DF50+'Model Setup'!$E$7,SUMIF($AD$3:$BA$3,"="&amp;$DF50+'Model Setup'!$E$7,$B50:$Y50)+'Model Setup'!$E$8*(SUMIF($AD$3:$BA$3,"&lt;"&amp;$DF50,$B50:$Y50)+SUMIF($AD$3:$BA$3,"&gt;="&amp;$DG50,$B50:$Y50)),
IF(AG$3=$DF50+'Model Setup'!$F$7,SUMIF($AD$3:$BA$3,"="&amp;$DF50+'Model Setup'!$F$7,$B50:$Y50)+'Model Setup'!$F$8*(SUMIF($AD$3:$BA$3,"&lt;"&amp;$DF50,$B50:$Y50)+SUMIF($AD$3:$BA$3,"&gt;="&amp;$DG50,$B50:$Y50)),
IF(AG$3=$DF50+'Model Setup'!$G$7,SUMIF($AD$3:$BA$3,"="&amp;$DF50+'Model Setup'!$G$7,$B50:$Y50)+'Model Setup'!$G$8*(SUMIF($AD$3:$BA$3,"&lt;"&amp;$DF50,$B50:$Y50)+SUMIF($AD$3:$BA$3,"&gt;="&amp;$DG50,$B50:$Y50)),
IF(AG$3=$DF50+'Model Setup'!$H$7,SUMIF($AD$3:$BA$3,"="&amp;$DF50+'Model Setup'!$H$7,$B50:$Y50)+'Model Setup'!$H$8*(SUMIF($AD$3:$BA$3,"&lt;"&amp;$DF50,$B50:$Y50)+SUMIF($AD$3:$BA$3,"&gt;="&amp;$DG50,$B50:$Y50)),
IF(AG$3=$DF50+'Model Setup'!$I$7,SUMIF($AD$3:$BA$3,"="&amp;$DF50+'Model Setup'!$I$7,$B50:$Y50)+'Model Setup'!$I$8*(SUMIF($AD$3:$BA$3,"&lt;"&amp;$DF50,$B50:$Y50)+SUMIF($AD$3:$BA$3,"&gt;="&amp;$DG50,$B50:$Y50)),
IF(AG$3=$DF50+'Model Setup'!$J$7,SUMIF($AD$3:$BA$3,"="&amp;$DF50+'Model Setup'!$J$7,$B50:$Y50)+'Model Setup'!$J$8*(SUMIF($AD$3:$BA$3,"&lt;"&amp;$DF50,$B50:$Y50)+SUMIF($AD$3:$BA$3,"&gt;="&amp;$DG50,$B50:$Y50)),
IF(AG$3=$DF50+'Model Setup'!$K$7,SUMIF($AD$3:$BA$3,"="&amp;$DF50+'Model Setup'!$K$7,$B50:$Y50)+'Model Setup'!$K$8*(SUMIF($AD$3:$BA$3,"&lt;"&amp;$DF50,$B50:$Y50)+SUMIF($AD$3:$BA$3,"&gt;="&amp;$DG50,$B50:$Y50)),
IF(AG$3=$DF50+'Model Setup'!$L$7,SUMIF($AD$3:$BA$3,"="&amp;$DF50+'Model Setup'!$L$7,$B50:$Y50)+'Model Setup'!$L$8*(SUMIF($AD$3:$BA$3,"&lt;"&amp;$DF50,$B50:$Y50)+SUMIF($AD$3:$BA$3,"&gt;="&amp;$DG50,$B50:$Y50)),
IF(AG$3=$DF50+'Model Setup'!$M$7,SUMIF($AD$3:$BA$3,"="&amp;$DF50+'Model Setup'!$M$7,$B50:$Y50)+'Model Setup'!$M$8*(SUMIF($AD$3:$BA$3,"&lt;"&amp;$DF50,$B50:$Y50)+SUMIF($AD$3:$BA$3,"&gt;="&amp;$DG50,$B50:$Y50)),
IF(AG$3=$DF50+'Model Setup'!$N$7,SUMIF($AD$3:$BA$3,"="&amp;$DF50+'Model Setup'!$N$7,$B50:$Y50)+'Model Setup'!$N$8*(SUMIF($AD$3:$BA$3,"&lt;"&amp;$DF50,$B50:$Y50)+SUMIF($AD$3:$BA$3,"&gt;="&amp;$DG50,$B50:$Y50)),
IF(AG$3&lt;$DG50,E50,0))))))))))))))),0)</f>
        <v>0</v>
      </c>
      <c r="AH50" s="47">
        <f>ROUND(IF(AH$3&lt;$DF50,0,
IF(AH$3=$DF50+'Model Setup'!$B$7,SUMIF($AD$3:$BA$3,"="&amp;$DF50+'Model Setup'!$B$7,$B50:$Y50)+'Model Setup'!$B$8*(SUMIF($AD$3:$BA$3,"&lt;"&amp;$DF50,$B50:$Y50)+SUMIF($AD$3:$BA$3,"&gt;="&amp;$DG50,$B50:$Y50)),
IF(AH$3=$DF50+'Model Setup'!$C$7,SUMIF($AD$3:$BA$3,"="&amp;$DF50+'Model Setup'!$C$7,$B50:$Y50)+'Model Setup'!$C$8*(SUMIF($AD$3:$BA$3,"&lt;"&amp;$DF50,$B50:$Y50)+SUMIF($AD$3:$BA$3,"&gt;="&amp;$DG50,$B50:$Y50)),
IF(AH$3=$DF50+'Model Setup'!$D$7,SUMIF($AD$3:$BA$3,"="&amp;$DF50+'Model Setup'!$D$7,$B50:$Y50)+'Model Setup'!$D$8*(SUMIF($AD$3:$BA$3,"&lt;"&amp;$DF50,$B50:$Y50)+SUMIF($AD$3:$BA$3,"&gt;="&amp;$DG50,$B50:$Y50)),
IF(AH$3=$DF50+'Model Setup'!$E$7,SUMIF($AD$3:$BA$3,"="&amp;$DF50+'Model Setup'!$E$7,$B50:$Y50)+'Model Setup'!$E$8*(SUMIF($AD$3:$BA$3,"&lt;"&amp;$DF50,$B50:$Y50)+SUMIF($AD$3:$BA$3,"&gt;="&amp;$DG50,$B50:$Y50)),
IF(AH$3=$DF50+'Model Setup'!$F$7,SUMIF($AD$3:$BA$3,"="&amp;$DF50+'Model Setup'!$F$7,$B50:$Y50)+'Model Setup'!$F$8*(SUMIF($AD$3:$BA$3,"&lt;"&amp;$DF50,$B50:$Y50)+SUMIF($AD$3:$BA$3,"&gt;="&amp;$DG50,$B50:$Y50)),
IF(AH$3=$DF50+'Model Setup'!$G$7,SUMIF($AD$3:$BA$3,"="&amp;$DF50+'Model Setup'!$G$7,$B50:$Y50)+'Model Setup'!$G$8*(SUMIF($AD$3:$BA$3,"&lt;"&amp;$DF50,$B50:$Y50)+SUMIF($AD$3:$BA$3,"&gt;="&amp;$DG50,$B50:$Y50)),
IF(AH$3=$DF50+'Model Setup'!$H$7,SUMIF($AD$3:$BA$3,"="&amp;$DF50+'Model Setup'!$H$7,$B50:$Y50)+'Model Setup'!$H$8*(SUMIF($AD$3:$BA$3,"&lt;"&amp;$DF50,$B50:$Y50)+SUMIF($AD$3:$BA$3,"&gt;="&amp;$DG50,$B50:$Y50)),
IF(AH$3=$DF50+'Model Setup'!$I$7,SUMIF($AD$3:$BA$3,"="&amp;$DF50+'Model Setup'!$I$7,$B50:$Y50)+'Model Setup'!$I$8*(SUMIF($AD$3:$BA$3,"&lt;"&amp;$DF50,$B50:$Y50)+SUMIF($AD$3:$BA$3,"&gt;="&amp;$DG50,$B50:$Y50)),
IF(AH$3=$DF50+'Model Setup'!$J$7,SUMIF($AD$3:$BA$3,"="&amp;$DF50+'Model Setup'!$J$7,$B50:$Y50)+'Model Setup'!$J$8*(SUMIF($AD$3:$BA$3,"&lt;"&amp;$DF50,$B50:$Y50)+SUMIF($AD$3:$BA$3,"&gt;="&amp;$DG50,$B50:$Y50)),
IF(AH$3=$DF50+'Model Setup'!$K$7,SUMIF($AD$3:$BA$3,"="&amp;$DF50+'Model Setup'!$K$7,$B50:$Y50)+'Model Setup'!$K$8*(SUMIF($AD$3:$BA$3,"&lt;"&amp;$DF50,$B50:$Y50)+SUMIF($AD$3:$BA$3,"&gt;="&amp;$DG50,$B50:$Y50)),
IF(AH$3=$DF50+'Model Setup'!$L$7,SUMIF($AD$3:$BA$3,"="&amp;$DF50+'Model Setup'!$L$7,$B50:$Y50)+'Model Setup'!$L$8*(SUMIF($AD$3:$BA$3,"&lt;"&amp;$DF50,$B50:$Y50)+SUMIF($AD$3:$BA$3,"&gt;="&amp;$DG50,$B50:$Y50)),
IF(AH$3=$DF50+'Model Setup'!$M$7,SUMIF($AD$3:$BA$3,"="&amp;$DF50+'Model Setup'!$M$7,$B50:$Y50)+'Model Setup'!$M$8*(SUMIF($AD$3:$BA$3,"&lt;"&amp;$DF50,$B50:$Y50)+SUMIF($AD$3:$BA$3,"&gt;="&amp;$DG50,$B50:$Y50)),
IF(AH$3=$DF50+'Model Setup'!$N$7,SUMIF($AD$3:$BA$3,"="&amp;$DF50+'Model Setup'!$N$7,$B50:$Y50)+'Model Setup'!$N$8*(SUMIF($AD$3:$BA$3,"&lt;"&amp;$DF50,$B50:$Y50)+SUMIF($AD$3:$BA$3,"&gt;="&amp;$DG50,$B50:$Y50)),
IF(AH$3&lt;$DG50,F50,0))))))))))))))),0)</f>
        <v>0</v>
      </c>
      <c r="AI50" s="47">
        <f>ROUND(IF(AI$3&lt;$DF50,0,
IF(AI$3=$DF50+'Model Setup'!$B$7,SUMIF($AD$3:$BA$3,"="&amp;$DF50+'Model Setup'!$B$7,$B50:$Y50)+'Model Setup'!$B$8*(SUMIF($AD$3:$BA$3,"&lt;"&amp;$DF50,$B50:$Y50)+SUMIF($AD$3:$BA$3,"&gt;="&amp;$DG50,$B50:$Y50)),
IF(AI$3=$DF50+'Model Setup'!$C$7,SUMIF($AD$3:$BA$3,"="&amp;$DF50+'Model Setup'!$C$7,$B50:$Y50)+'Model Setup'!$C$8*(SUMIF($AD$3:$BA$3,"&lt;"&amp;$DF50,$B50:$Y50)+SUMIF($AD$3:$BA$3,"&gt;="&amp;$DG50,$B50:$Y50)),
IF(AI$3=$DF50+'Model Setup'!$D$7,SUMIF($AD$3:$BA$3,"="&amp;$DF50+'Model Setup'!$D$7,$B50:$Y50)+'Model Setup'!$D$8*(SUMIF($AD$3:$BA$3,"&lt;"&amp;$DF50,$B50:$Y50)+SUMIF($AD$3:$BA$3,"&gt;="&amp;$DG50,$B50:$Y50)),
IF(AI$3=$DF50+'Model Setup'!$E$7,SUMIF($AD$3:$BA$3,"="&amp;$DF50+'Model Setup'!$E$7,$B50:$Y50)+'Model Setup'!$E$8*(SUMIF($AD$3:$BA$3,"&lt;"&amp;$DF50,$B50:$Y50)+SUMIF($AD$3:$BA$3,"&gt;="&amp;$DG50,$B50:$Y50)),
IF(AI$3=$DF50+'Model Setup'!$F$7,SUMIF($AD$3:$BA$3,"="&amp;$DF50+'Model Setup'!$F$7,$B50:$Y50)+'Model Setup'!$F$8*(SUMIF($AD$3:$BA$3,"&lt;"&amp;$DF50,$B50:$Y50)+SUMIF($AD$3:$BA$3,"&gt;="&amp;$DG50,$B50:$Y50)),
IF(AI$3=$DF50+'Model Setup'!$G$7,SUMIF($AD$3:$BA$3,"="&amp;$DF50+'Model Setup'!$G$7,$B50:$Y50)+'Model Setup'!$G$8*(SUMIF($AD$3:$BA$3,"&lt;"&amp;$DF50,$B50:$Y50)+SUMIF($AD$3:$BA$3,"&gt;="&amp;$DG50,$B50:$Y50)),
IF(AI$3=$DF50+'Model Setup'!$H$7,SUMIF($AD$3:$BA$3,"="&amp;$DF50+'Model Setup'!$H$7,$B50:$Y50)+'Model Setup'!$H$8*(SUMIF($AD$3:$BA$3,"&lt;"&amp;$DF50,$B50:$Y50)+SUMIF($AD$3:$BA$3,"&gt;="&amp;$DG50,$B50:$Y50)),
IF(AI$3=$DF50+'Model Setup'!$I$7,SUMIF($AD$3:$BA$3,"="&amp;$DF50+'Model Setup'!$I$7,$B50:$Y50)+'Model Setup'!$I$8*(SUMIF($AD$3:$BA$3,"&lt;"&amp;$DF50,$B50:$Y50)+SUMIF($AD$3:$BA$3,"&gt;="&amp;$DG50,$B50:$Y50)),
IF(AI$3=$DF50+'Model Setup'!$J$7,SUMIF($AD$3:$BA$3,"="&amp;$DF50+'Model Setup'!$J$7,$B50:$Y50)+'Model Setup'!$J$8*(SUMIF($AD$3:$BA$3,"&lt;"&amp;$DF50,$B50:$Y50)+SUMIF($AD$3:$BA$3,"&gt;="&amp;$DG50,$B50:$Y50)),
IF(AI$3=$DF50+'Model Setup'!$K$7,SUMIF($AD$3:$BA$3,"="&amp;$DF50+'Model Setup'!$K$7,$B50:$Y50)+'Model Setup'!$K$8*(SUMIF($AD$3:$BA$3,"&lt;"&amp;$DF50,$B50:$Y50)+SUMIF($AD$3:$BA$3,"&gt;="&amp;$DG50,$B50:$Y50)),
IF(AI$3=$DF50+'Model Setup'!$L$7,SUMIF($AD$3:$BA$3,"="&amp;$DF50+'Model Setup'!$L$7,$B50:$Y50)+'Model Setup'!$L$8*(SUMIF($AD$3:$BA$3,"&lt;"&amp;$DF50,$B50:$Y50)+SUMIF($AD$3:$BA$3,"&gt;="&amp;$DG50,$B50:$Y50)),
IF(AI$3=$DF50+'Model Setup'!$M$7,SUMIF($AD$3:$BA$3,"="&amp;$DF50+'Model Setup'!$M$7,$B50:$Y50)+'Model Setup'!$M$8*(SUMIF($AD$3:$BA$3,"&lt;"&amp;$DF50,$B50:$Y50)+SUMIF($AD$3:$BA$3,"&gt;="&amp;$DG50,$B50:$Y50)),
IF(AI$3=$DF50+'Model Setup'!$N$7,SUMIF($AD$3:$BA$3,"="&amp;$DF50+'Model Setup'!$N$7,$B50:$Y50)+'Model Setup'!$N$8*(SUMIF($AD$3:$BA$3,"&lt;"&amp;$DF50,$B50:$Y50)+SUMIF($AD$3:$BA$3,"&gt;="&amp;$DG50,$B50:$Y50)),
IF(AI$3&lt;$DG50,G50,0))))))))))))))),0)</f>
        <v>0</v>
      </c>
      <c r="AJ50" s="47">
        <f>ROUND(IF(AJ$3&lt;$DF50,0,
IF(AJ$3=$DF50+'Model Setup'!$B$7,SUMIF($AD$3:$BA$3,"="&amp;$DF50+'Model Setup'!$B$7,$B50:$Y50)+'Model Setup'!$B$8*(SUMIF($AD$3:$BA$3,"&lt;"&amp;$DF50,$B50:$Y50)+SUMIF($AD$3:$BA$3,"&gt;="&amp;$DG50,$B50:$Y50)),
IF(AJ$3=$DF50+'Model Setup'!$C$7,SUMIF($AD$3:$BA$3,"="&amp;$DF50+'Model Setup'!$C$7,$B50:$Y50)+'Model Setup'!$C$8*(SUMIF($AD$3:$BA$3,"&lt;"&amp;$DF50,$B50:$Y50)+SUMIF($AD$3:$BA$3,"&gt;="&amp;$DG50,$B50:$Y50)),
IF(AJ$3=$DF50+'Model Setup'!$D$7,SUMIF($AD$3:$BA$3,"="&amp;$DF50+'Model Setup'!$D$7,$B50:$Y50)+'Model Setup'!$D$8*(SUMIF($AD$3:$BA$3,"&lt;"&amp;$DF50,$B50:$Y50)+SUMIF($AD$3:$BA$3,"&gt;="&amp;$DG50,$B50:$Y50)),
IF(AJ$3=$DF50+'Model Setup'!$E$7,SUMIF($AD$3:$BA$3,"="&amp;$DF50+'Model Setup'!$E$7,$B50:$Y50)+'Model Setup'!$E$8*(SUMIF($AD$3:$BA$3,"&lt;"&amp;$DF50,$B50:$Y50)+SUMIF($AD$3:$BA$3,"&gt;="&amp;$DG50,$B50:$Y50)),
IF(AJ$3=$DF50+'Model Setup'!$F$7,SUMIF($AD$3:$BA$3,"="&amp;$DF50+'Model Setup'!$F$7,$B50:$Y50)+'Model Setup'!$F$8*(SUMIF($AD$3:$BA$3,"&lt;"&amp;$DF50,$B50:$Y50)+SUMIF($AD$3:$BA$3,"&gt;="&amp;$DG50,$B50:$Y50)),
IF(AJ$3=$DF50+'Model Setup'!$G$7,SUMIF($AD$3:$BA$3,"="&amp;$DF50+'Model Setup'!$G$7,$B50:$Y50)+'Model Setup'!$G$8*(SUMIF($AD$3:$BA$3,"&lt;"&amp;$DF50,$B50:$Y50)+SUMIF($AD$3:$BA$3,"&gt;="&amp;$DG50,$B50:$Y50)),
IF(AJ$3=$DF50+'Model Setup'!$H$7,SUMIF($AD$3:$BA$3,"="&amp;$DF50+'Model Setup'!$H$7,$B50:$Y50)+'Model Setup'!$H$8*(SUMIF($AD$3:$BA$3,"&lt;"&amp;$DF50,$B50:$Y50)+SUMIF($AD$3:$BA$3,"&gt;="&amp;$DG50,$B50:$Y50)),
IF(AJ$3=$DF50+'Model Setup'!$I$7,SUMIF($AD$3:$BA$3,"="&amp;$DF50+'Model Setup'!$I$7,$B50:$Y50)+'Model Setup'!$I$8*(SUMIF($AD$3:$BA$3,"&lt;"&amp;$DF50,$B50:$Y50)+SUMIF($AD$3:$BA$3,"&gt;="&amp;$DG50,$B50:$Y50)),
IF(AJ$3=$DF50+'Model Setup'!$J$7,SUMIF($AD$3:$BA$3,"="&amp;$DF50+'Model Setup'!$J$7,$B50:$Y50)+'Model Setup'!$J$8*(SUMIF($AD$3:$BA$3,"&lt;"&amp;$DF50,$B50:$Y50)+SUMIF($AD$3:$BA$3,"&gt;="&amp;$DG50,$B50:$Y50)),
IF(AJ$3=$DF50+'Model Setup'!$K$7,SUMIF($AD$3:$BA$3,"="&amp;$DF50+'Model Setup'!$K$7,$B50:$Y50)+'Model Setup'!$K$8*(SUMIF($AD$3:$BA$3,"&lt;"&amp;$DF50,$B50:$Y50)+SUMIF($AD$3:$BA$3,"&gt;="&amp;$DG50,$B50:$Y50)),
IF(AJ$3=$DF50+'Model Setup'!$L$7,SUMIF($AD$3:$BA$3,"="&amp;$DF50+'Model Setup'!$L$7,$B50:$Y50)+'Model Setup'!$L$8*(SUMIF($AD$3:$BA$3,"&lt;"&amp;$DF50,$B50:$Y50)+SUMIF($AD$3:$BA$3,"&gt;="&amp;$DG50,$B50:$Y50)),
IF(AJ$3=$DF50+'Model Setup'!$M$7,SUMIF($AD$3:$BA$3,"="&amp;$DF50+'Model Setup'!$M$7,$B50:$Y50)+'Model Setup'!$M$8*(SUMIF($AD$3:$BA$3,"&lt;"&amp;$DF50,$B50:$Y50)+SUMIF($AD$3:$BA$3,"&gt;="&amp;$DG50,$B50:$Y50)),
IF(AJ$3=$DF50+'Model Setup'!$N$7,SUMIF($AD$3:$BA$3,"="&amp;$DF50+'Model Setup'!$N$7,$B50:$Y50)+'Model Setup'!$N$8*(SUMIF($AD$3:$BA$3,"&lt;"&amp;$DF50,$B50:$Y50)+SUMIF($AD$3:$BA$3,"&gt;="&amp;$DG50,$B50:$Y50)),
IF(AJ$3&lt;$DG50,H50,0))))))))))))))),0)</f>
        <v>0</v>
      </c>
      <c r="AK50" s="47">
        <f>ROUND(IF(AK$3&lt;$DF50,0,
IF(AK$3=$DF50+'Model Setup'!$B$7,SUMIF($AD$3:$BA$3,"="&amp;$DF50+'Model Setup'!$B$7,$B50:$Y50)+'Model Setup'!$B$8*(SUMIF($AD$3:$BA$3,"&lt;"&amp;$DF50,$B50:$Y50)+SUMIF($AD$3:$BA$3,"&gt;="&amp;$DG50,$B50:$Y50)),
IF(AK$3=$DF50+'Model Setup'!$C$7,SUMIF($AD$3:$BA$3,"="&amp;$DF50+'Model Setup'!$C$7,$B50:$Y50)+'Model Setup'!$C$8*(SUMIF($AD$3:$BA$3,"&lt;"&amp;$DF50,$B50:$Y50)+SUMIF($AD$3:$BA$3,"&gt;="&amp;$DG50,$B50:$Y50)),
IF(AK$3=$DF50+'Model Setup'!$D$7,SUMIF($AD$3:$BA$3,"="&amp;$DF50+'Model Setup'!$D$7,$B50:$Y50)+'Model Setup'!$D$8*(SUMIF($AD$3:$BA$3,"&lt;"&amp;$DF50,$B50:$Y50)+SUMIF($AD$3:$BA$3,"&gt;="&amp;$DG50,$B50:$Y50)),
IF(AK$3=$DF50+'Model Setup'!$E$7,SUMIF($AD$3:$BA$3,"="&amp;$DF50+'Model Setup'!$E$7,$B50:$Y50)+'Model Setup'!$E$8*(SUMIF($AD$3:$BA$3,"&lt;"&amp;$DF50,$B50:$Y50)+SUMIF($AD$3:$BA$3,"&gt;="&amp;$DG50,$B50:$Y50)),
IF(AK$3=$DF50+'Model Setup'!$F$7,SUMIF($AD$3:$BA$3,"="&amp;$DF50+'Model Setup'!$F$7,$B50:$Y50)+'Model Setup'!$F$8*(SUMIF($AD$3:$BA$3,"&lt;"&amp;$DF50,$B50:$Y50)+SUMIF($AD$3:$BA$3,"&gt;="&amp;$DG50,$B50:$Y50)),
IF(AK$3=$DF50+'Model Setup'!$G$7,SUMIF($AD$3:$BA$3,"="&amp;$DF50+'Model Setup'!$G$7,$B50:$Y50)+'Model Setup'!$G$8*(SUMIF($AD$3:$BA$3,"&lt;"&amp;$DF50,$B50:$Y50)+SUMIF($AD$3:$BA$3,"&gt;="&amp;$DG50,$B50:$Y50)),
IF(AK$3=$DF50+'Model Setup'!$H$7,SUMIF($AD$3:$BA$3,"="&amp;$DF50+'Model Setup'!$H$7,$B50:$Y50)+'Model Setup'!$H$8*(SUMIF($AD$3:$BA$3,"&lt;"&amp;$DF50,$B50:$Y50)+SUMIF($AD$3:$BA$3,"&gt;="&amp;$DG50,$B50:$Y50)),
IF(AK$3=$DF50+'Model Setup'!$I$7,SUMIF($AD$3:$BA$3,"="&amp;$DF50+'Model Setup'!$I$7,$B50:$Y50)+'Model Setup'!$I$8*(SUMIF($AD$3:$BA$3,"&lt;"&amp;$DF50,$B50:$Y50)+SUMIF($AD$3:$BA$3,"&gt;="&amp;$DG50,$B50:$Y50)),
IF(AK$3=$DF50+'Model Setup'!$J$7,SUMIF($AD$3:$BA$3,"="&amp;$DF50+'Model Setup'!$J$7,$B50:$Y50)+'Model Setup'!$J$8*(SUMIF($AD$3:$BA$3,"&lt;"&amp;$DF50,$B50:$Y50)+SUMIF($AD$3:$BA$3,"&gt;="&amp;$DG50,$B50:$Y50)),
IF(AK$3=$DF50+'Model Setup'!$K$7,SUMIF($AD$3:$BA$3,"="&amp;$DF50+'Model Setup'!$K$7,$B50:$Y50)+'Model Setup'!$K$8*(SUMIF($AD$3:$BA$3,"&lt;"&amp;$DF50,$B50:$Y50)+SUMIF($AD$3:$BA$3,"&gt;="&amp;$DG50,$B50:$Y50)),
IF(AK$3=$DF50+'Model Setup'!$L$7,SUMIF($AD$3:$BA$3,"="&amp;$DF50+'Model Setup'!$L$7,$B50:$Y50)+'Model Setup'!$L$8*(SUMIF($AD$3:$BA$3,"&lt;"&amp;$DF50,$B50:$Y50)+SUMIF($AD$3:$BA$3,"&gt;="&amp;$DG50,$B50:$Y50)),
IF(AK$3=$DF50+'Model Setup'!$M$7,SUMIF($AD$3:$BA$3,"="&amp;$DF50+'Model Setup'!$M$7,$B50:$Y50)+'Model Setup'!$M$8*(SUMIF($AD$3:$BA$3,"&lt;"&amp;$DF50,$B50:$Y50)+SUMIF($AD$3:$BA$3,"&gt;="&amp;$DG50,$B50:$Y50)),
IF(AK$3=$DF50+'Model Setup'!$N$7,SUMIF($AD$3:$BA$3,"="&amp;$DF50+'Model Setup'!$N$7,$B50:$Y50)+'Model Setup'!$N$8*(SUMIF($AD$3:$BA$3,"&lt;"&amp;$DF50,$B50:$Y50)+SUMIF($AD$3:$BA$3,"&gt;="&amp;$DG50,$B50:$Y50)),
IF(AK$3&lt;$DG50,I50,0))))))))))))))),0)</f>
        <v>37</v>
      </c>
      <c r="AL50" s="47">
        <f>ROUND(IF(AL$3&lt;$DF50,0,
IF(AL$3=$DF50+'Model Setup'!$B$7,SUMIF($AD$3:$BA$3,"="&amp;$DF50+'Model Setup'!$B$7,$B50:$Y50)+'Model Setup'!$B$8*(SUMIF($AD$3:$BA$3,"&lt;"&amp;$DF50,$B50:$Y50)+SUMIF($AD$3:$BA$3,"&gt;="&amp;$DG50,$B50:$Y50)),
IF(AL$3=$DF50+'Model Setup'!$C$7,SUMIF($AD$3:$BA$3,"="&amp;$DF50+'Model Setup'!$C$7,$B50:$Y50)+'Model Setup'!$C$8*(SUMIF($AD$3:$BA$3,"&lt;"&amp;$DF50,$B50:$Y50)+SUMIF($AD$3:$BA$3,"&gt;="&amp;$DG50,$B50:$Y50)),
IF(AL$3=$DF50+'Model Setup'!$D$7,SUMIF($AD$3:$BA$3,"="&amp;$DF50+'Model Setup'!$D$7,$B50:$Y50)+'Model Setup'!$D$8*(SUMIF($AD$3:$BA$3,"&lt;"&amp;$DF50,$B50:$Y50)+SUMIF($AD$3:$BA$3,"&gt;="&amp;$DG50,$B50:$Y50)),
IF(AL$3=$DF50+'Model Setup'!$E$7,SUMIF($AD$3:$BA$3,"="&amp;$DF50+'Model Setup'!$E$7,$B50:$Y50)+'Model Setup'!$E$8*(SUMIF($AD$3:$BA$3,"&lt;"&amp;$DF50,$B50:$Y50)+SUMIF($AD$3:$BA$3,"&gt;="&amp;$DG50,$B50:$Y50)),
IF(AL$3=$DF50+'Model Setup'!$F$7,SUMIF($AD$3:$BA$3,"="&amp;$DF50+'Model Setup'!$F$7,$B50:$Y50)+'Model Setup'!$F$8*(SUMIF($AD$3:$BA$3,"&lt;"&amp;$DF50,$B50:$Y50)+SUMIF($AD$3:$BA$3,"&gt;="&amp;$DG50,$B50:$Y50)),
IF(AL$3=$DF50+'Model Setup'!$G$7,SUMIF($AD$3:$BA$3,"="&amp;$DF50+'Model Setup'!$G$7,$B50:$Y50)+'Model Setup'!$G$8*(SUMIF($AD$3:$BA$3,"&lt;"&amp;$DF50,$B50:$Y50)+SUMIF($AD$3:$BA$3,"&gt;="&amp;$DG50,$B50:$Y50)),
IF(AL$3=$DF50+'Model Setup'!$H$7,SUMIF($AD$3:$BA$3,"="&amp;$DF50+'Model Setup'!$H$7,$B50:$Y50)+'Model Setup'!$H$8*(SUMIF($AD$3:$BA$3,"&lt;"&amp;$DF50,$B50:$Y50)+SUMIF($AD$3:$BA$3,"&gt;="&amp;$DG50,$B50:$Y50)),
IF(AL$3=$DF50+'Model Setup'!$I$7,SUMIF($AD$3:$BA$3,"="&amp;$DF50+'Model Setup'!$I$7,$B50:$Y50)+'Model Setup'!$I$8*(SUMIF($AD$3:$BA$3,"&lt;"&amp;$DF50,$B50:$Y50)+SUMIF($AD$3:$BA$3,"&gt;="&amp;$DG50,$B50:$Y50)),
IF(AL$3=$DF50+'Model Setup'!$J$7,SUMIF($AD$3:$BA$3,"="&amp;$DF50+'Model Setup'!$J$7,$B50:$Y50)+'Model Setup'!$J$8*(SUMIF($AD$3:$BA$3,"&lt;"&amp;$DF50,$B50:$Y50)+SUMIF($AD$3:$BA$3,"&gt;="&amp;$DG50,$B50:$Y50)),
IF(AL$3=$DF50+'Model Setup'!$K$7,SUMIF($AD$3:$BA$3,"="&amp;$DF50+'Model Setup'!$K$7,$B50:$Y50)+'Model Setup'!$K$8*(SUMIF($AD$3:$BA$3,"&lt;"&amp;$DF50,$B50:$Y50)+SUMIF($AD$3:$BA$3,"&gt;="&amp;$DG50,$B50:$Y50)),
IF(AL$3=$DF50+'Model Setup'!$L$7,SUMIF($AD$3:$BA$3,"="&amp;$DF50+'Model Setup'!$L$7,$B50:$Y50)+'Model Setup'!$L$8*(SUMIF($AD$3:$BA$3,"&lt;"&amp;$DF50,$B50:$Y50)+SUMIF($AD$3:$BA$3,"&gt;="&amp;$DG50,$B50:$Y50)),
IF(AL$3=$DF50+'Model Setup'!$M$7,SUMIF($AD$3:$BA$3,"="&amp;$DF50+'Model Setup'!$M$7,$B50:$Y50)+'Model Setup'!$M$8*(SUMIF($AD$3:$BA$3,"&lt;"&amp;$DF50,$B50:$Y50)+SUMIF($AD$3:$BA$3,"&gt;="&amp;$DG50,$B50:$Y50)),
IF(AL$3=$DF50+'Model Setup'!$N$7,SUMIF($AD$3:$BA$3,"="&amp;$DF50+'Model Setup'!$N$7,$B50:$Y50)+'Model Setup'!$N$8*(SUMIF($AD$3:$BA$3,"&lt;"&amp;$DF50,$B50:$Y50)+SUMIF($AD$3:$BA$3,"&gt;="&amp;$DG50,$B50:$Y50)),
IF(AL$3&lt;$DG50,J50,0))))))))))))))),0)</f>
        <v>39</v>
      </c>
      <c r="AM50" s="47">
        <f>ROUND(IF(AM$3&lt;$DF50,0,
IF(AM$3=$DF50+'Model Setup'!$B$7,SUMIF($AD$3:$BA$3,"="&amp;$DF50+'Model Setup'!$B$7,$B50:$Y50)+'Model Setup'!$B$8*(SUMIF($AD$3:$BA$3,"&lt;"&amp;$DF50,$B50:$Y50)+SUMIF($AD$3:$BA$3,"&gt;="&amp;$DG50,$B50:$Y50)),
IF(AM$3=$DF50+'Model Setup'!$C$7,SUMIF($AD$3:$BA$3,"="&amp;$DF50+'Model Setup'!$C$7,$B50:$Y50)+'Model Setup'!$C$8*(SUMIF($AD$3:$BA$3,"&lt;"&amp;$DF50,$B50:$Y50)+SUMIF($AD$3:$BA$3,"&gt;="&amp;$DG50,$B50:$Y50)),
IF(AM$3=$DF50+'Model Setup'!$D$7,SUMIF($AD$3:$BA$3,"="&amp;$DF50+'Model Setup'!$D$7,$B50:$Y50)+'Model Setup'!$D$8*(SUMIF($AD$3:$BA$3,"&lt;"&amp;$DF50,$B50:$Y50)+SUMIF($AD$3:$BA$3,"&gt;="&amp;$DG50,$B50:$Y50)),
IF(AM$3=$DF50+'Model Setup'!$E$7,SUMIF($AD$3:$BA$3,"="&amp;$DF50+'Model Setup'!$E$7,$B50:$Y50)+'Model Setup'!$E$8*(SUMIF($AD$3:$BA$3,"&lt;"&amp;$DF50,$B50:$Y50)+SUMIF($AD$3:$BA$3,"&gt;="&amp;$DG50,$B50:$Y50)),
IF(AM$3=$DF50+'Model Setup'!$F$7,SUMIF($AD$3:$BA$3,"="&amp;$DF50+'Model Setup'!$F$7,$B50:$Y50)+'Model Setup'!$F$8*(SUMIF($AD$3:$BA$3,"&lt;"&amp;$DF50,$B50:$Y50)+SUMIF($AD$3:$BA$3,"&gt;="&amp;$DG50,$B50:$Y50)),
IF(AM$3=$DF50+'Model Setup'!$G$7,SUMIF($AD$3:$BA$3,"="&amp;$DF50+'Model Setup'!$G$7,$B50:$Y50)+'Model Setup'!$G$8*(SUMIF($AD$3:$BA$3,"&lt;"&amp;$DF50,$B50:$Y50)+SUMIF($AD$3:$BA$3,"&gt;="&amp;$DG50,$B50:$Y50)),
IF(AM$3=$DF50+'Model Setup'!$H$7,SUMIF($AD$3:$BA$3,"="&amp;$DF50+'Model Setup'!$H$7,$B50:$Y50)+'Model Setup'!$H$8*(SUMIF($AD$3:$BA$3,"&lt;"&amp;$DF50,$B50:$Y50)+SUMIF($AD$3:$BA$3,"&gt;="&amp;$DG50,$B50:$Y50)),
IF(AM$3=$DF50+'Model Setup'!$I$7,SUMIF($AD$3:$BA$3,"="&amp;$DF50+'Model Setup'!$I$7,$B50:$Y50)+'Model Setup'!$I$8*(SUMIF($AD$3:$BA$3,"&lt;"&amp;$DF50,$B50:$Y50)+SUMIF($AD$3:$BA$3,"&gt;="&amp;$DG50,$B50:$Y50)),
IF(AM$3=$DF50+'Model Setup'!$J$7,SUMIF($AD$3:$BA$3,"="&amp;$DF50+'Model Setup'!$J$7,$B50:$Y50)+'Model Setup'!$J$8*(SUMIF($AD$3:$BA$3,"&lt;"&amp;$DF50,$B50:$Y50)+SUMIF($AD$3:$BA$3,"&gt;="&amp;$DG50,$B50:$Y50)),
IF(AM$3=$DF50+'Model Setup'!$K$7,SUMIF($AD$3:$BA$3,"="&amp;$DF50+'Model Setup'!$K$7,$B50:$Y50)+'Model Setup'!$K$8*(SUMIF($AD$3:$BA$3,"&lt;"&amp;$DF50,$B50:$Y50)+SUMIF($AD$3:$BA$3,"&gt;="&amp;$DG50,$B50:$Y50)),
IF(AM$3=$DF50+'Model Setup'!$L$7,SUMIF($AD$3:$BA$3,"="&amp;$DF50+'Model Setup'!$L$7,$B50:$Y50)+'Model Setup'!$L$8*(SUMIF($AD$3:$BA$3,"&lt;"&amp;$DF50,$B50:$Y50)+SUMIF($AD$3:$BA$3,"&gt;="&amp;$DG50,$B50:$Y50)),
IF(AM$3=$DF50+'Model Setup'!$M$7,SUMIF($AD$3:$BA$3,"="&amp;$DF50+'Model Setup'!$M$7,$B50:$Y50)+'Model Setup'!$M$8*(SUMIF($AD$3:$BA$3,"&lt;"&amp;$DF50,$B50:$Y50)+SUMIF($AD$3:$BA$3,"&gt;="&amp;$DG50,$B50:$Y50)),
IF(AM$3=$DF50+'Model Setup'!$N$7,SUMIF($AD$3:$BA$3,"="&amp;$DF50+'Model Setup'!$N$7,$B50:$Y50)+'Model Setup'!$N$8*(SUMIF($AD$3:$BA$3,"&lt;"&amp;$DF50,$B50:$Y50)+SUMIF($AD$3:$BA$3,"&gt;="&amp;$DG50,$B50:$Y50)),
IF(AM$3&lt;$DG50,K50,0))))))))))))))),0)</f>
        <v>53</v>
      </c>
      <c r="AN50" s="47">
        <f>ROUND(IF(AN$3&lt;$DF50,0,
IF(AN$3=$DF50+'Model Setup'!$B$7,SUMIF($AD$3:$BA$3,"="&amp;$DF50+'Model Setup'!$B$7,$B50:$Y50)+'Model Setup'!$B$8*(SUMIF($AD$3:$BA$3,"&lt;"&amp;$DF50,$B50:$Y50)+SUMIF($AD$3:$BA$3,"&gt;="&amp;$DG50,$B50:$Y50)),
IF(AN$3=$DF50+'Model Setup'!$C$7,SUMIF($AD$3:$BA$3,"="&amp;$DF50+'Model Setup'!$C$7,$B50:$Y50)+'Model Setup'!$C$8*(SUMIF($AD$3:$BA$3,"&lt;"&amp;$DF50,$B50:$Y50)+SUMIF($AD$3:$BA$3,"&gt;="&amp;$DG50,$B50:$Y50)),
IF(AN$3=$DF50+'Model Setup'!$D$7,SUMIF($AD$3:$BA$3,"="&amp;$DF50+'Model Setup'!$D$7,$B50:$Y50)+'Model Setup'!$D$8*(SUMIF($AD$3:$BA$3,"&lt;"&amp;$DF50,$B50:$Y50)+SUMIF($AD$3:$BA$3,"&gt;="&amp;$DG50,$B50:$Y50)),
IF(AN$3=$DF50+'Model Setup'!$E$7,SUMIF($AD$3:$BA$3,"="&amp;$DF50+'Model Setup'!$E$7,$B50:$Y50)+'Model Setup'!$E$8*(SUMIF($AD$3:$BA$3,"&lt;"&amp;$DF50,$B50:$Y50)+SUMIF($AD$3:$BA$3,"&gt;="&amp;$DG50,$B50:$Y50)),
IF(AN$3=$DF50+'Model Setup'!$F$7,SUMIF($AD$3:$BA$3,"="&amp;$DF50+'Model Setup'!$F$7,$B50:$Y50)+'Model Setup'!$F$8*(SUMIF($AD$3:$BA$3,"&lt;"&amp;$DF50,$B50:$Y50)+SUMIF($AD$3:$BA$3,"&gt;="&amp;$DG50,$B50:$Y50)),
IF(AN$3=$DF50+'Model Setup'!$G$7,SUMIF($AD$3:$BA$3,"="&amp;$DF50+'Model Setup'!$G$7,$B50:$Y50)+'Model Setup'!$G$8*(SUMIF($AD$3:$BA$3,"&lt;"&amp;$DF50,$B50:$Y50)+SUMIF($AD$3:$BA$3,"&gt;="&amp;$DG50,$B50:$Y50)),
IF(AN$3=$DF50+'Model Setup'!$H$7,SUMIF($AD$3:$BA$3,"="&amp;$DF50+'Model Setup'!$H$7,$B50:$Y50)+'Model Setup'!$H$8*(SUMIF($AD$3:$BA$3,"&lt;"&amp;$DF50,$B50:$Y50)+SUMIF($AD$3:$BA$3,"&gt;="&amp;$DG50,$B50:$Y50)),
IF(AN$3=$DF50+'Model Setup'!$I$7,SUMIF($AD$3:$BA$3,"="&amp;$DF50+'Model Setup'!$I$7,$B50:$Y50)+'Model Setup'!$I$8*(SUMIF($AD$3:$BA$3,"&lt;"&amp;$DF50,$B50:$Y50)+SUMIF($AD$3:$BA$3,"&gt;="&amp;$DG50,$B50:$Y50)),
IF(AN$3=$DF50+'Model Setup'!$J$7,SUMIF($AD$3:$BA$3,"="&amp;$DF50+'Model Setup'!$J$7,$B50:$Y50)+'Model Setup'!$J$8*(SUMIF($AD$3:$BA$3,"&lt;"&amp;$DF50,$B50:$Y50)+SUMIF($AD$3:$BA$3,"&gt;="&amp;$DG50,$B50:$Y50)),
IF(AN$3=$DF50+'Model Setup'!$K$7,SUMIF($AD$3:$BA$3,"="&amp;$DF50+'Model Setup'!$K$7,$B50:$Y50)+'Model Setup'!$K$8*(SUMIF($AD$3:$BA$3,"&lt;"&amp;$DF50,$B50:$Y50)+SUMIF($AD$3:$BA$3,"&gt;="&amp;$DG50,$B50:$Y50)),
IF(AN$3=$DF50+'Model Setup'!$L$7,SUMIF($AD$3:$BA$3,"="&amp;$DF50+'Model Setup'!$L$7,$B50:$Y50)+'Model Setup'!$L$8*(SUMIF($AD$3:$BA$3,"&lt;"&amp;$DF50,$B50:$Y50)+SUMIF($AD$3:$BA$3,"&gt;="&amp;$DG50,$B50:$Y50)),
IF(AN$3=$DF50+'Model Setup'!$M$7,SUMIF($AD$3:$BA$3,"="&amp;$DF50+'Model Setup'!$M$7,$B50:$Y50)+'Model Setup'!$M$8*(SUMIF($AD$3:$BA$3,"&lt;"&amp;$DF50,$B50:$Y50)+SUMIF($AD$3:$BA$3,"&gt;="&amp;$DG50,$B50:$Y50)),
IF(AN$3=$DF50+'Model Setup'!$N$7,SUMIF($AD$3:$BA$3,"="&amp;$DF50+'Model Setup'!$N$7,$B50:$Y50)+'Model Setup'!$N$8*(SUMIF($AD$3:$BA$3,"&lt;"&amp;$DF50,$B50:$Y50)+SUMIF($AD$3:$BA$3,"&gt;="&amp;$DG50,$B50:$Y50)),
IF(AN$3&lt;$DG50,L50,0))))))))))))))),0)</f>
        <v>45</v>
      </c>
      <c r="AO50" s="47">
        <f>ROUND(IF(AO$3&lt;$DF50,0,
IF(AO$3=$DF50+'Model Setup'!$B$7,SUMIF($AD$3:$BA$3,"="&amp;$DF50+'Model Setup'!$B$7,$B50:$Y50)+'Model Setup'!$B$8*(SUMIF($AD$3:$BA$3,"&lt;"&amp;$DF50,$B50:$Y50)+SUMIF($AD$3:$BA$3,"&gt;="&amp;$DG50,$B50:$Y50)),
IF(AO$3=$DF50+'Model Setup'!$C$7,SUMIF($AD$3:$BA$3,"="&amp;$DF50+'Model Setup'!$C$7,$B50:$Y50)+'Model Setup'!$C$8*(SUMIF($AD$3:$BA$3,"&lt;"&amp;$DF50,$B50:$Y50)+SUMIF($AD$3:$BA$3,"&gt;="&amp;$DG50,$B50:$Y50)),
IF(AO$3=$DF50+'Model Setup'!$D$7,SUMIF($AD$3:$BA$3,"="&amp;$DF50+'Model Setup'!$D$7,$B50:$Y50)+'Model Setup'!$D$8*(SUMIF($AD$3:$BA$3,"&lt;"&amp;$DF50,$B50:$Y50)+SUMIF($AD$3:$BA$3,"&gt;="&amp;$DG50,$B50:$Y50)),
IF(AO$3=$DF50+'Model Setup'!$E$7,SUMIF($AD$3:$BA$3,"="&amp;$DF50+'Model Setup'!$E$7,$B50:$Y50)+'Model Setup'!$E$8*(SUMIF($AD$3:$BA$3,"&lt;"&amp;$DF50,$B50:$Y50)+SUMIF($AD$3:$BA$3,"&gt;="&amp;$DG50,$B50:$Y50)),
IF(AO$3=$DF50+'Model Setup'!$F$7,SUMIF($AD$3:$BA$3,"="&amp;$DF50+'Model Setup'!$F$7,$B50:$Y50)+'Model Setup'!$F$8*(SUMIF($AD$3:$BA$3,"&lt;"&amp;$DF50,$B50:$Y50)+SUMIF($AD$3:$BA$3,"&gt;="&amp;$DG50,$B50:$Y50)),
IF(AO$3=$DF50+'Model Setup'!$G$7,SUMIF($AD$3:$BA$3,"="&amp;$DF50+'Model Setup'!$G$7,$B50:$Y50)+'Model Setup'!$G$8*(SUMIF($AD$3:$BA$3,"&lt;"&amp;$DF50,$B50:$Y50)+SUMIF($AD$3:$BA$3,"&gt;="&amp;$DG50,$B50:$Y50)),
IF(AO$3=$DF50+'Model Setup'!$H$7,SUMIF($AD$3:$BA$3,"="&amp;$DF50+'Model Setup'!$H$7,$B50:$Y50)+'Model Setup'!$H$8*(SUMIF($AD$3:$BA$3,"&lt;"&amp;$DF50,$B50:$Y50)+SUMIF($AD$3:$BA$3,"&gt;="&amp;$DG50,$B50:$Y50)),
IF(AO$3=$DF50+'Model Setup'!$I$7,SUMIF($AD$3:$BA$3,"="&amp;$DF50+'Model Setup'!$I$7,$B50:$Y50)+'Model Setup'!$I$8*(SUMIF($AD$3:$BA$3,"&lt;"&amp;$DF50,$B50:$Y50)+SUMIF($AD$3:$BA$3,"&gt;="&amp;$DG50,$B50:$Y50)),
IF(AO$3=$DF50+'Model Setup'!$J$7,SUMIF($AD$3:$BA$3,"="&amp;$DF50+'Model Setup'!$J$7,$B50:$Y50)+'Model Setup'!$J$8*(SUMIF($AD$3:$BA$3,"&lt;"&amp;$DF50,$B50:$Y50)+SUMIF($AD$3:$BA$3,"&gt;="&amp;$DG50,$B50:$Y50)),
IF(AO$3=$DF50+'Model Setup'!$K$7,SUMIF($AD$3:$BA$3,"="&amp;$DF50+'Model Setup'!$K$7,$B50:$Y50)+'Model Setup'!$K$8*(SUMIF($AD$3:$BA$3,"&lt;"&amp;$DF50,$B50:$Y50)+SUMIF($AD$3:$BA$3,"&gt;="&amp;$DG50,$B50:$Y50)),
IF(AO$3=$DF50+'Model Setup'!$L$7,SUMIF($AD$3:$BA$3,"="&amp;$DF50+'Model Setup'!$L$7,$B50:$Y50)+'Model Setup'!$L$8*(SUMIF($AD$3:$BA$3,"&lt;"&amp;$DF50,$B50:$Y50)+SUMIF($AD$3:$BA$3,"&gt;="&amp;$DG50,$B50:$Y50)),
IF(AO$3=$DF50+'Model Setup'!$M$7,SUMIF($AD$3:$BA$3,"="&amp;$DF50+'Model Setup'!$M$7,$B50:$Y50)+'Model Setup'!$M$8*(SUMIF($AD$3:$BA$3,"&lt;"&amp;$DF50,$B50:$Y50)+SUMIF($AD$3:$BA$3,"&gt;="&amp;$DG50,$B50:$Y50)),
IF(AO$3=$DF50+'Model Setup'!$N$7,SUMIF($AD$3:$BA$3,"="&amp;$DF50+'Model Setup'!$N$7,$B50:$Y50)+'Model Setup'!$N$8*(SUMIF($AD$3:$BA$3,"&lt;"&amp;$DF50,$B50:$Y50)+SUMIF($AD$3:$BA$3,"&gt;="&amp;$DG50,$B50:$Y50)),
IF(AO$3&lt;$DG50,M50,0))))))))))))))),0)</f>
        <v>41</v>
      </c>
      <c r="AP50" s="47">
        <f>ROUND(IF(AP$3&lt;$DF50,0,
IF(AP$3=$DF50+'Model Setup'!$B$7,SUMIF($AD$3:$BA$3,"="&amp;$DF50+'Model Setup'!$B$7,$B50:$Y50)+'Model Setup'!$B$8*(SUMIF($AD$3:$BA$3,"&lt;"&amp;$DF50,$B50:$Y50)+SUMIF($AD$3:$BA$3,"&gt;="&amp;$DG50,$B50:$Y50)),
IF(AP$3=$DF50+'Model Setup'!$C$7,SUMIF($AD$3:$BA$3,"="&amp;$DF50+'Model Setup'!$C$7,$B50:$Y50)+'Model Setup'!$C$8*(SUMIF($AD$3:$BA$3,"&lt;"&amp;$DF50,$B50:$Y50)+SUMIF($AD$3:$BA$3,"&gt;="&amp;$DG50,$B50:$Y50)),
IF(AP$3=$DF50+'Model Setup'!$D$7,SUMIF($AD$3:$BA$3,"="&amp;$DF50+'Model Setup'!$D$7,$B50:$Y50)+'Model Setup'!$D$8*(SUMIF($AD$3:$BA$3,"&lt;"&amp;$DF50,$B50:$Y50)+SUMIF($AD$3:$BA$3,"&gt;="&amp;$DG50,$B50:$Y50)),
IF(AP$3=$DF50+'Model Setup'!$E$7,SUMIF($AD$3:$BA$3,"="&amp;$DF50+'Model Setup'!$E$7,$B50:$Y50)+'Model Setup'!$E$8*(SUMIF($AD$3:$BA$3,"&lt;"&amp;$DF50,$B50:$Y50)+SUMIF($AD$3:$BA$3,"&gt;="&amp;$DG50,$B50:$Y50)),
IF(AP$3=$DF50+'Model Setup'!$F$7,SUMIF($AD$3:$BA$3,"="&amp;$DF50+'Model Setup'!$F$7,$B50:$Y50)+'Model Setup'!$F$8*(SUMIF($AD$3:$BA$3,"&lt;"&amp;$DF50,$B50:$Y50)+SUMIF($AD$3:$BA$3,"&gt;="&amp;$DG50,$B50:$Y50)),
IF(AP$3=$DF50+'Model Setup'!$G$7,SUMIF($AD$3:$BA$3,"="&amp;$DF50+'Model Setup'!$G$7,$B50:$Y50)+'Model Setup'!$G$8*(SUMIF($AD$3:$BA$3,"&lt;"&amp;$DF50,$B50:$Y50)+SUMIF($AD$3:$BA$3,"&gt;="&amp;$DG50,$B50:$Y50)),
IF(AP$3=$DF50+'Model Setup'!$H$7,SUMIF($AD$3:$BA$3,"="&amp;$DF50+'Model Setup'!$H$7,$B50:$Y50)+'Model Setup'!$H$8*(SUMIF($AD$3:$BA$3,"&lt;"&amp;$DF50,$B50:$Y50)+SUMIF($AD$3:$BA$3,"&gt;="&amp;$DG50,$B50:$Y50)),
IF(AP$3=$DF50+'Model Setup'!$I$7,SUMIF($AD$3:$BA$3,"="&amp;$DF50+'Model Setup'!$I$7,$B50:$Y50)+'Model Setup'!$I$8*(SUMIF($AD$3:$BA$3,"&lt;"&amp;$DF50,$B50:$Y50)+SUMIF($AD$3:$BA$3,"&gt;="&amp;$DG50,$B50:$Y50)),
IF(AP$3=$DF50+'Model Setup'!$J$7,SUMIF($AD$3:$BA$3,"="&amp;$DF50+'Model Setup'!$J$7,$B50:$Y50)+'Model Setup'!$J$8*(SUMIF($AD$3:$BA$3,"&lt;"&amp;$DF50,$B50:$Y50)+SUMIF($AD$3:$BA$3,"&gt;="&amp;$DG50,$B50:$Y50)),
IF(AP$3=$DF50+'Model Setup'!$K$7,SUMIF($AD$3:$BA$3,"="&amp;$DF50+'Model Setup'!$K$7,$B50:$Y50)+'Model Setup'!$K$8*(SUMIF($AD$3:$BA$3,"&lt;"&amp;$DF50,$B50:$Y50)+SUMIF($AD$3:$BA$3,"&gt;="&amp;$DG50,$B50:$Y50)),
IF(AP$3=$DF50+'Model Setup'!$L$7,SUMIF($AD$3:$BA$3,"="&amp;$DF50+'Model Setup'!$L$7,$B50:$Y50)+'Model Setup'!$L$8*(SUMIF($AD$3:$BA$3,"&lt;"&amp;$DF50,$B50:$Y50)+SUMIF($AD$3:$BA$3,"&gt;="&amp;$DG50,$B50:$Y50)),
IF(AP$3=$DF50+'Model Setup'!$M$7,SUMIF($AD$3:$BA$3,"="&amp;$DF50+'Model Setup'!$M$7,$B50:$Y50)+'Model Setup'!$M$8*(SUMIF($AD$3:$BA$3,"&lt;"&amp;$DF50,$B50:$Y50)+SUMIF($AD$3:$BA$3,"&gt;="&amp;$DG50,$B50:$Y50)),
IF(AP$3=$DF50+'Model Setup'!$N$7,SUMIF($AD$3:$BA$3,"="&amp;$DF50+'Model Setup'!$N$7,$B50:$Y50)+'Model Setup'!$N$8*(SUMIF($AD$3:$BA$3,"&lt;"&amp;$DF50,$B50:$Y50)+SUMIF($AD$3:$BA$3,"&gt;="&amp;$DG50,$B50:$Y50)),
IF(AP$3&lt;$DG50,N50,0))))))))))))))),0)</f>
        <v>13</v>
      </c>
      <c r="AQ50" s="47">
        <f>ROUND(IF(AQ$3&lt;$DF50,0,
IF(AQ$3=$DF50+'Model Setup'!$B$7,SUMIF($AD$3:$BA$3,"="&amp;$DF50+'Model Setup'!$B$7,$B50:$Y50)+'Model Setup'!$B$8*(SUMIF($AD$3:$BA$3,"&lt;"&amp;$DF50,$B50:$Y50)+SUMIF($AD$3:$BA$3,"&gt;="&amp;$DG50,$B50:$Y50)),
IF(AQ$3=$DF50+'Model Setup'!$C$7,SUMIF($AD$3:$BA$3,"="&amp;$DF50+'Model Setup'!$C$7,$B50:$Y50)+'Model Setup'!$C$8*(SUMIF($AD$3:$BA$3,"&lt;"&amp;$DF50,$B50:$Y50)+SUMIF($AD$3:$BA$3,"&gt;="&amp;$DG50,$B50:$Y50)),
IF(AQ$3=$DF50+'Model Setup'!$D$7,SUMIF($AD$3:$BA$3,"="&amp;$DF50+'Model Setup'!$D$7,$B50:$Y50)+'Model Setup'!$D$8*(SUMIF($AD$3:$BA$3,"&lt;"&amp;$DF50,$B50:$Y50)+SUMIF($AD$3:$BA$3,"&gt;="&amp;$DG50,$B50:$Y50)),
IF(AQ$3=$DF50+'Model Setup'!$E$7,SUMIF($AD$3:$BA$3,"="&amp;$DF50+'Model Setup'!$E$7,$B50:$Y50)+'Model Setup'!$E$8*(SUMIF($AD$3:$BA$3,"&lt;"&amp;$DF50,$B50:$Y50)+SUMIF($AD$3:$BA$3,"&gt;="&amp;$DG50,$B50:$Y50)),
IF(AQ$3=$DF50+'Model Setup'!$F$7,SUMIF($AD$3:$BA$3,"="&amp;$DF50+'Model Setup'!$F$7,$B50:$Y50)+'Model Setup'!$F$8*(SUMIF($AD$3:$BA$3,"&lt;"&amp;$DF50,$B50:$Y50)+SUMIF($AD$3:$BA$3,"&gt;="&amp;$DG50,$B50:$Y50)),
IF(AQ$3=$DF50+'Model Setup'!$G$7,SUMIF($AD$3:$BA$3,"="&amp;$DF50+'Model Setup'!$G$7,$B50:$Y50)+'Model Setup'!$G$8*(SUMIF($AD$3:$BA$3,"&lt;"&amp;$DF50,$B50:$Y50)+SUMIF($AD$3:$BA$3,"&gt;="&amp;$DG50,$B50:$Y50)),
IF(AQ$3=$DF50+'Model Setup'!$H$7,SUMIF($AD$3:$BA$3,"="&amp;$DF50+'Model Setup'!$H$7,$B50:$Y50)+'Model Setup'!$H$8*(SUMIF($AD$3:$BA$3,"&lt;"&amp;$DF50,$B50:$Y50)+SUMIF($AD$3:$BA$3,"&gt;="&amp;$DG50,$B50:$Y50)),
IF(AQ$3=$DF50+'Model Setup'!$I$7,SUMIF($AD$3:$BA$3,"="&amp;$DF50+'Model Setup'!$I$7,$B50:$Y50)+'Model Setup'!$I$8*(SUMIF($AD$3:$BA$3,"&lt;"&amp;$DF50,$B50:$Y50)+SUMIF($AD$3:$BA$3,"&gt;="&amp;$DG50,$B50:$Y50)),
IF(AQ$3=$DF50+'Model Setup'!$J$7,SUMIF($AD$3:$BA$3,"="&amp;$DF50+'Model Setup'!$J$7,$B50:$Y50)+'Model Setup'!$J$8*(SUMIF($AD$3:$BA$3,"&lt;"&amp;$DF50,$B50:$Y50)+SUMIF($AD$3:$BA$3,"&gt;="&amp;$DG50,$B50:$Y50)),
IF(AQ$3=$DF50+'Model Setup'!$K$7,SUMIF($AD$3:$BA$3,"="&amp;$DF50+'Model Setup'!$K$7,$B50:$Y50)+'Model Setup'!$K$8*(SUMIF($AD$3:$BA$3,"&lt;"&amp;$DF50,$B50:$Y50)+SUMIF($AD$3:$BA$3,"&gt;="&amp;$DG50,$B50:$Y50)),
IF(AQ$3=$DF50+'Model Setup'!$L$7,SUMIF($AD$3:$BA$3,"="&amp;$DF50+'Model Setup'!$L$7,$B50:$Y50)+'Model Setup'!$L$8*(SUMIF($AD$3:$BA$3,"&lt;"&amp;$DF50,$B50:$Y50)+SUMIF($AD$3:$BA$3,"&gt;="&amp;$DG50,$B50:$Y50)),
IF(AQ$3=$DF50+'Model Setup'!$M$7,SUMIF($AD$3:$BA$3,"="&amp;$DF50+'Model Setup'!$M$7,$B50:$Y50)+'Model Setup'!$M$8*(SUMIF($AD$3:$BA$3,"&lt;"&amp;$DF50,$B50:$Y50)+SUMIF($AD$3:$BA$3,"&gt;="&amp;$DG50,$B50:$Y50)),
IF(AQ$3=$DF50+'Model Setup'!$N$7,SUMIF($AD$3:$BA$3,"="&amp;$DF50+'Model Setup'!$N$7,$B50:$Y50)+'Model Setup'!$N$8*(SUMIF($AD$3:$BA$3,"&lt;"&amp;$DF50,$B50:$Y50)+SUMIF($AD$3:$BA$3,"&gt;="&amp;$DG50,$B50:$Y50)),
IF(AQ$3&lt;$DG50,O50,0))))))))))))))),0)</f>
        <v>10</v>
      </c>
      <c r="AR50" s="47">
        <f>ROUND(IF(AR$3&lt;$DF50,0,
IF(AR$3=$DF50+'Model Setup'!$B$7,SUMIF($AD$3:$BA$3,"="&amp;$DF50+'Model Setup'!$B$7,$B50:$Y50)+'Model Setup'!$B$8*(SUMIF($AD$3:$BA$3,"&lt;"&amp;$DF50,$B50:$Y50)+SUMIF($AD$3:$BA$3,"&gt;="&amp;$DG50,$B50:$Y50)),
IF(AR$3=$DF50+'Model Setup'!$C$7,SUMIF($AD$3:$BA$3,"="&amp;$DF50+'Model Setup'!$C$7,$B50:$Y50)+'Model Setup'!$C$8*(SUMIF($AD$3:$BA$3,"&lt;"&amp;$DF50,$B50:$Y50)+SUMIF($AD$3:$BA$3,"&gt;="&amp;$DG50,$B50:$Y50)),
IF(AR$3=$DF50+'Model Setup'!$D$7,SUMIF($AD$3:$BA$3,"="&amp;$DF50+'Model Setup'!$D$7,$B50:$Y50)+'Model Setup'!$D$8*(SUMIF($AD$3:$BA$3,"&lt;"&amp;$DF50,$B50:$Y50)+SUMIF($AD$3:$BA$3,"&gt;="&amp;$DG50,$B50:$Y50)),
IF(AR$3=$DF50+'Model Setup'!$E$7,SUMIF($AD$3:$BA$3,"="&amp;$DF50+'Model Setup'!$E$7,$B50:$Y50)+'Model Setup'!$E$8*(SUMIF($AD$3:$BA$3,"&lt;"&amp;$DF50,$B50:$Y50)+SUMIF($AD$3:$BA$3,"&gt;="&amp;$DG50,$B50:$Y50)),
IF(AR$3=$DF50+'Model Setup'!$F$7,SUMIF($AD$3:$BA$3,"="&amp;$DF50+'Model Setup'!$F$7,$B50:$Y50)+'Model Setup'!$F$8*(SUMIF($AD$3:$BA$3,"&lt;"&amp;$DF50,$B50:$Y50)+SUMIF($AD$3:$BA$3,"&gt;="&amp;$DG50,$B50:$Y50)),
IF(AR$3=$DF50+'Model Setup'!$G$7,SUMIF($AD$3:$BA$3,"="&amp;$DF50+'Model Setup'!$G$7,$B50:$Y50)+'Model Setup'!$G$8*(SUMIF($AD$3:$BA$3,"&lt;"&amp;$DF50,$B50:$Y50)+SUMIF($AD$3:$BA$3,"&gt;="&amp;$DG50,$B50:$Y50)),
IF(AR$3=$DF50+'Model Setup'!$H$7,SUMIF($AD$3:$BA$3,"="&amp;$DF50+'Model Setup'!$H$7,$B50:$Y50)+'Model Setup'!$H$8*(SUMIF($AD$3:$BA$3,"&lt;"&amp;$DF50,$B50:$Y50)+SUMIF($AD$3:$BA$3,"&gt;="&amp;$DG50,$B50:$Y50)),
IF(AR$3=$DF50+'Model Setup'!$I$7,SUMIF($AD$3:$BA$3,"="&amp;$DF50+'Model Setup'!$I$7,$B50:$Y50)+'Model Setup'!$I$8*(SUMIF($AD$3:$BA$3,"&lt;"&amp;$DF50,$B50:$Y50)+SUMIF($AD$3:$BA$3,"&gt;="&amp;$DG50,$B50:$Y50)),
IF(AR$3=$DF50+'Model Setup'!$J$7,SUMIF($AD$3:$BA$3,"="&amp;$DF50+'Model Setup'!$J$7,$B50:$Y50)+'Model Setup'!$J$8*(SUMIF($AD$3:$BA$3,"&lt;"&amp;$DF50,$B50:$Y50)+SUMIF($AD$3:$BA$3,"&gt;="&amp;$DG50,$B50:$Y50)),
IF(AR$3=$DF50+'Model Setup'!$K$7,SUMIF($AD$3:$BA$3,"="&amp;$DF50+'Model Setup'!$K$7,$B50:$Y50)+'Model Setup'!$K$8*(SUMIF($AD$3:$BA$3,"&lt;"&amp;$DF50,$B50:$Y50)+SUMIF($AD$3:$BA$3,"&gt;="&amp;$DG50,$B50:$Y50)),
IF(AR$3=$DF50+'Model Setup'!$L$7,SUMIF($AD$3:$BA$3,"="&amp;$DF50+'Model Setup'!$L$7,$B50:$Y50)+'Model Setup'!$L$8*(SUMIF($AD$3:$BA$3,"&lt;"&amp;$DF50,$B50:$Y50)+SUMIF($AD$3:$BA$3,"&gt;="&amp;$DG50,$B50:$Y50)),
IF(AR$3=$DF50+'Model Setup'!$M$7,SUMIF($AD$3:$BA$3,"="&amp;$DF50+'Model Setup'!$M$7,$B50:$Y50)+'Model Setup'!$M$8*(SUMIF($AD$3:$BA$3,"&lt;"&amp;$DF50,$B50:$Y50)+SUMIF($AD$3:$BA$3,"&gt;="&amp;$DG50,$B50:$Y50)),
IF(AR$3=$DF50+'Model Setup'!$N$7,SUMIF($AD$3:$BA$3,"="&amp;$DF50+'Model Setup'!$N$7,$B50:$Y50)+'Model Setup'!$N$8*(SUMIF($AD$3:$BA$3,"&lt;"&amp;$DF50,$B50:$Y50)+SUMIF($AD$3:$BA$3,"&gt;="&amp;$DG50,$B50:$Y50)),
IF(AR$3&lt;$DG50,P50,0))))))))))))))),0)</f>
        <v>12</v>
      </c>
      <c r="AS50" s="47">
        <f>ROUND(IF(AS$3&lt;$DF50,0,
IF(AS$3=$DF50+'Model Setup'!$B$7,SUMIF($AD$3:$BA$3,"="&amp;$DF50+'Model Setup'!$B$7,$B50:$Y50)+'Model Setup'!$B$8*(SUMIF($AD$3:$BA$3,"&lt;"&amp;$DF50,$B50:$Y50)+SUMIF($AD$3:$BA$3,"&gt;="&amp;$DG50,$B50:$Y50)),
IF(AS$3=$DF50+'Model Setup'!$C$7,SUMIF($AD$3:$BA$3,"="&amp;$DF50+'Model Setup'!$C$7,$B50:$Y50)+'Model Setup'!$C$8*(SUMIF($AD$3:$BA$3,"&lt;"&amp;$DF50,$B50:$Y50)+SUMIF($AD$3:$BA$3,"&gt;="&amp;$DG50,$B50:$Y50)),
IF(AS$3=$DF50+'Model Setup'!$D$7,SUMIF($AD$3:$BA$3,"="&amp;$DF50+'Model Setup'!$D$7,$B50:$Y50)+'Model Setup'!$D$8*(SUMIF($AD$3:$BA$3,"&lt;"&amp;$DF50,$B50:$Y50)+SUMIF($AD$3:$BA$3,"&gt;="&amp;$DG50,$B50:$Y50)),
IF(AS$3=$DF50+'Model Setup'!$E$7,SUMIF($AD$3:$BA$3,"="&amp;$DF50+'Model Setup'!$E$7,$B50:$Y50)+'Model Setup'!$E$8*(SUMIF($AD$3:$BA$3,"&lt;"&amp;$DF50,$B50:$Y50)+SUMIF($AD$3:$BA$3,"&gt;="&amp;$DG50,$B50:$Y50)),
IF(AS$3=$DF50+'Model Setup'!$F$7,SUMIF($AD$3:$BA$3,"="&amp;$DF50+'Model Setup'!$F$7,$B50:$Y50)+'Model Setup'!$F$8*(SUMIF($AD$3:$BA$3,"&lt;"&amp;$DF50,$B50:$Y50)+SUMIF($AD$3:$BA$3,"&gt;="&amp;$DG50,$B50:$Y50)),
IF(AS$3=$DF50+'Model Setup'!$G$7,SUMIF($AD$3:$BA$3,"="&amp;$DF50+'Model Setup'!$G$7,$B50:$Y50)+'Model Setup'!$G$8*(SUMIF($AD$3:$BA$3,"&lt;"&amp;$DF50,$B50:$Y50)+SUMIF($AD$3:$BA$3,"&gt;="&amp;$DG50,$B50:$Y50)),
IF(AS$3=$DF50+'Model Setup'!$H$7,SUMIF($AD$3:$BA$3,"="&amp;$DF50+'Model Setup'!$H$7,$B50:$Y50)+'Model Setup'!$H$8*(SUMIF($AD$3:$BA$3,"&lt;"&amp;$DF50,$B50:$Y50)+SUMIF($AD$3:$BA$3,"&gt;="&amp;$DG50,$B50:$Y50)),
IF(AS$3=$DF50+'Model Setup'!$I$7,SUMIF($AD$3:$BA$3,"="&amp;$DF50+'Model Setup'!$I$7,$B50:$Y50)+'Model Setup'!$I$8*(SUMIF($AD$3:$BA$3,"&lt;"&amp;$DF50,$B50:$Y50)+SUMIF($AD$3:$BA$3,"&gt;="&amp;$DG50,$B50:$Y50)),
IF(AS$3=$DF50+'Model Setup'!$J$7,SUMIF($AD$3:$BA$3,"="&amp;$DF50+'Model Setup'!$J$7,$B50:$Y50)+'Model Setup'!$J$8*(SUMIF($AD$3:$BA$3,"&lt;"&amp;$DF50,$B50:$Y50)+SUMIF($AD$3:$BA$3,"&gt;="&amp;$DG50,$B50:$Y50)),
IF(AS$3=$DF50+'Model Setup'!$K$7,SUMIF($AD$3:$BA$3,"="&amp;$DF50+'Model Setup'!$K$7,$B50:$Y50)+'Model Setup'!$K$8*(SUMIF($AD$3:$BA$3,"&lt;"&amp;$DF50,$B50:$Y50)+SUMIF($AD$3:$BA$3,"&gt;="&amp;$DG50,$B50:$Y50)),
IF(AS$3=$DF50+'Model Setup'!$L$7,SUMIF($AD$3:$BA$3,"="&amp;$DF50+'Model Setup'!$L$7,$B50:$Y50)+'Model Setup'!$L$8*(SUMIF($AD$3:$BA$3,"&lt;"&amp;$DF50,$B50:$Y50)+SUMIF($AD$3:$BA$3,"&gt;="&amp;$DG50,$B50:$Y50)),
IF(AS$3=$DF50+'Model Setup'!$M$7,SUMIF($AD$3:$BA$3,"="&amp;$DF50+'Model Setup'!$M$7,$B50:$Y50)+'Model Setup'!$M$8*(SUMIF($AD$3:$BA$3,"&lt;"&amp;$DF50,$B50:$Y50)+SUMIF($AD$3:$BA$3,"&gt;="&amp;$DG50,$B50:$Y50)),
IF(AS$3=$DF50+'Model Setup'!$N$7,SUMIF($AD$3:$BA$3,"="&amp;$DF50+'Model Setup'!$N$7,$B50:$Y50)+'Model Setup'!$N$8*(SUMIF($AD$3:$BA$3,"&lt;"&amp;$DF50,$B50:$Y50)+SUMIF($AD$3:$BA$3,"&gt;="&amp;$DG50,$B50:$Y50)),
IF(AS$3&lt;$DG50,Q50,0))))))))))))))),0)</f>
        <v>6</v>
      </c>
      <c r="AT50" s="47">
        <f>ROUND(IF(AT$3&lt;$DF50,0,
IF(AT$3=$DF50+'Model Setup'!$B$7,SUMIF($AD$3:$BA$3,"="&amp;$DF50+'Model Setup'!$B$7,$B50:$Y50)+'Model Setup'!$B$8*(SUMIF($AD$3:$BA$3,"&lt;"&amp;$DF50,$B50:$Y50)+SUMIF($AD$3:$BA$3,"&gt;="&amp;$DG50,$B50:$Y50)),
IF(AT$3=$DF50+'Model Setup'!$C$7,SUMIF($AD$3:$BA$3,"="&amp;$DF50+'Model Setup'!$C$7,$B50:$Y50)+'Model Setup'!$C$8*(SUMIF($AD$3:$BA$3,"&lt;"&amp;$DF50,$B50:$Y50)+SUMIF($AD$3:$BA$3,"&gt;="&amp;$DG50,$B50:$Y50)),
IF(AT$3=$DF50+'Model Setup'!$D$7,SUMIF($AD$3:$BA$3,"="&amp;$DF50+'Model Setup'!$D$7,$B50:$Y50)+'Model Setup'!$D$8*(SUMIF($AD$3:$BA$3,"&lt;"&amp;$DF50,$B50:$Y50)+SUMIF($AD$3:$BA$3,"&gt;="&amp;$DG50,$B50:$Y50)),
IF(AT$3=$DF50+'Model Setup'!$E$7,SUMIF($AD$3:$BA$3,"="&amp;$DF50+'Model Setup'!$E$7,$B50:$Y50)+'Model Setup'!$E$8*(SUMIF($AD$3:$BA$3,"&lt;"&amp;$DF50,$B50:$Y50)+SUMIF($AD$3:$BA$3,"&gt;="&amp;$DG50,$B50:$Y50)),
IF(AT$3=$DF50+'Model Setup'!$F$7,SUMIF($AD$3:$BA$3,"="&amp;$DF50+'Model Setup'!$F$7,$B50:$Y50)+'Model Setup'!$F$8*(SUMIF($AD$3:$BA$3,"&lt;"&amp;$DF50,$B50:$Y50)+SUMIF($AD$3:$BA$3,"&gt;="&amp;$DG50,$B50:$Y50)),
IF(AT$3=$DF50+'Model Setup'!$G$7,SUMIF($AD$3:$BA$3,"="&amp;$DF50+'Model Setup'!$G$7,$B50:$Y50)+'Model Setup'!$G$8*(SUMIF($AD$3:$BA$3,"&lt;"&amp;$DF50,$B50:$Y50)+SUMIF($AD$3:$BA$3,"&gt;="&amp;$DG50,$B50:$Y50)),
IF(AT$3=$DF50+'Model Setup'!$H$7,SUMIF($AD$3:$BA$3,"="&amp;$DF50+'Model Setup'!$H$7,$B50:$Y50)+'Model Setup'!$H$8*(SUMIF($AD$3:$BA$3,"&lt;"&amp;$DF50,$B50:$Y50)+SUMIF($AD$3:$BA$3,"&gt;="&amp;$DG50,$B50:$Y50)),
IF(AT$3=$DF50+'Model Setup'!$I$7,SUMIF($AD$3:$BA$3,"="&amp;$DF50+'Model Setup'!$I$7,$B50:$Y50)+'Model Setup'!$I$8*(SUMIF($AD$3:$BA$3,"&lt;"&amp;$DF50,$B50:$Y50)+SUMIF($AD$3:$BA$3,"&gt;="&amp;$DG50,$B50:$Y50)),
IF(AT$3=$DF50+'Model Setup'!$J$7,SUMIF($AD$3:$BA$3,"="&amp;$DF50+'Model Setup'!$J$7,$B50:$Y50)+'Model Setup'!$J$8*(SUMIF($AD$3:$BA$3,"&lt;"&amp;$DF50,$B50:$Y50)+SUMIF($AD$3:$BA$3,"&gt;="&amp;$DG50,$B50:$Y50)),
IF(AT$3=$DF50+'Model Setup'!$K$7,SUMIF($AD$3:$BA$3,"="&amp;$DF50+'Model Setup'!$K$7,$B50:$Y50)+'Model Setup'!$K$8*(SUMIF($AD$3:$BA$3,"&lt;"&amp;$DF50,$B50:$Y50)+SUMIF($AD$3:$BA$3,"&gt;="&amp;$DG50,$B50:$Y50)),
IF(AT$3=$DF50+'Model Setup'!$L$7,SUMIF($AD$3:$BA$3,"="&amp;$DF50+'Model Setup'!$L$7,$B50:$Y50)+'Model Setup'!$L$8*(SUMIF($AD$3:$BA$3,"&lt;"&amp;$DF50,$B50:$Y50)+SUMIF($AD$3:$BA$3,"&gt;="&amp;$DG50,$B50:$Y50)),
IF(AT$3=$DF50+'Model Setup'!$M$7,SUMIF($AD$3:$BA$3,"="&amp;$DF50+'Model Setup'!$M$7,$B50:$Y50)+'Model Setup'!$M$8*(SUMIF($AD$3:$BA$3,"&lt;"&amp;$DF50,$B50:$Y50)+SUMIF($AD$3:$BA$3,"&gt;="&amp;$DG50,$B50:$Y50)),
IF(AT$3=$DF50+'Model Setup'!$N$7,SUMIF($AD$3:$BA$3,"="&amp;$DF50+'Model Setup'!$N$7,$B50:$Y50)+'Model Setup'!$N$8*(SUMIF($AD$3:$BA$3,"&lt;"&amp;$DF50,$B50:$Y50)+SUMIF($AD$3:$BA$3,"&gt;="&amp;$DG50,$B50:$Y50)),
IF(AT$3&lt;$DG50,R50,0))))))))))))))),0)</f>
        <v>5</v>
      </c>
      <c r="AU50" s="47">
        <f>ROUND(IF(AU$3&lt;$DF50,0,
IF(AU$3=$DF50+'Model Setup'!$B$7,SUMIF($AD$3:$BA$3,"="&amp;$DF50+'Model Setup'!$B$7,$B50:$Y50)+'Model Setup'!$B$8*(SUMIF($AD$3:$BA$3,"&lt;"&amp;$DF50,$B50:$Y50)+SUMIF($AD$3:$BA$3,"&gt;="&amp;$DG50,$B50:$Y50)),
IF(AU$3=$DF50+'Model Setup'!$C$7,SUMIF($AD$3:$BA$3,"="&amp;$DF50+'Model Setup'!$C$7,$B50:$Y50)+'Model Setup'!$C$8*(SUMIF($AD$3:$BA$3,"&lt;"&amp;$DF50,$B50:$Y50)+SUMIF($AD$3:$BA$3,"&gt;="&amp;$DG50,$B50:$Y50)),
IF(AU$3=$DF50+'Model Setup'!$D$7,SUMIF($AD$3:$BA$3,"="&amp;$DF50+'Model Setup'!$D$7,$B50:$Y50)+'Model Setup'!$D$8*(SUMIF($AD$3:$BA$3,"&lt;"&amp;$DF50,$B50:$Y50)+SUMIF($AD$3:$BA$3,"&gt;="&amp;$DG50,$B50:$Y50)),
IF(AU$3=$DF50+'Model Setup'!$E$7,SUMIF($AD$3:$BA$3,"="&amp;$DF50+'Model Setup'!$E$7,$B50:$Y50)+'Model Setup'!$E$8*(SUMIF($AD$3:$BA$3,"&lt;"&amp;$DF50,$B50:$Y50)+SUMIF($AD$3:$BA$3,"&gt;="&amp;$DG50,$B50:$Y50)),
IF(AU$3=$DF50+'Model Setup'!$F$7,SUMIF($AD$3:$BA$3,"="&amp;$DF50+'Model Setup'!$F$7,$B50:$Y50)+'Model Setup'!$F$8*(SUMIF($AD$3:$BA$3,"&lt;"&amp;$DF50,$B50:$Y50)+SUMIF($AD$3:$BA$3,"&gt;="&amp;$DG50,$B50:$Y50)),
IF(AU$3=$DF50+'Model Setup'!$G$7,SUMIF($AD$3:$BA$3,"="&amp;$DF50+'Model Setup'!$G$7,$B50:$Y50)+'Model Setup'!$G$8*(SUMIF($AD$3:$BA$3,"&lt;"&amp;$DF50,$B50:$Y50)+SUMIF($AD$3:$BA$3,"&gt;="&amp;$DG50,$B50:$Y50)),
IF(AU$3=$DF50+'Model Setup'!$H$7,SUMIF($AD$3:$BA$3,"="&amp;$DF50+'Model Setup'!$H$7,$B50:$Y50)+'Model Setup'!$H$8*(SUMIF($AD$3:$BA$3,"&lt;"&amp;$DF50,$B50:$Y50)+SUMIF($AD$3:$BA$3,"&gt;="&amp;$DG50,$B50:$Y50)),
IF(AU$3=$DF50+'Model Setup'!$I$7,SUMIF($AD$3:$BA$3,"="&amp;$DF50+'Model Setup'!$I$7,$B50:$Y50)+'Model Setup'!$I$8*(SUMIF($AD$3:$BA$3,"&lt;"&amp;$DF50,$B50:$Y50)+SUMIF($AD$3:$BA$3,"&gt;="&amp;$DG50,$B50:$Y50)),
IF(AU$3=$DF50+'Model Setup'!$J$7,SUMIF($AD$3:$BA$3,"="&amp;$DF50+'Model Setup'!$J$7,$B50:$Y50)+'Model Setup'!$J$8*(SUMIF($AD$3:$BA$3,"&lt;"&amp;$DF50,$B50:$Y50)+SUMIF($AD$3:$BA$3,"&gt;="&amp;$DG50,$B50:$Y50)),
IF(AU$3=$DF50+'Model Setup'!$K$7,SUMIF($AD$3:$BA$3,"="&amp;$DF50+'Model Setup'!$K$7,$B50:$Y50)+'Model Setup'!$K$8*(SUMIF($AD$3:$BA$3,"&lt;"&amp;$DF50,$B50:$Y50)+SUMIF($AD$3:$BA$3,"&gt;="&amp;$DG50,$B50:$Y50)),
IF(AU$3=$DF50+'Model Setup'!$L$7,SUMIF($AD$3:$BA$3,"="&amp;$DF50+'Model Setup'!$L$7,$B50:$Y50)+'Model Setup'!$L$8*(SUMIF($AD$3:$BA$3,"&lt;"&amp;$DF50,$B50:$Y50)+SUMIF($AD$3:$BA$3,"&gt;="&amp;$DG50,$B50:$Y50)),
IF(AU$3=$DF50+'Model Setup'!$M$7,SUMIF($AD$3:$BA$3,"="&amp;$DF50+'Model Setup'!$M$7,$B50:$Y50)+'Model Setup'!$M$8*(SUMIF($AD$3:$BA$3,"&lt;"&amp;$DF50,$B50:$Y50)+SUMIF($AD$3:$BA$3,"&gt;="&amp;$DG50,$B50:$Y50)),
IF(AU$3=$DF50+'Model Setup'!$N$7,SUMIF($AD$3:$BA$3,"="&amp;$DF50+'Model Setup'!$N$7,$B50:$Y50)+'Model Setup'!$N$8*(SUMIF($AD$3:$BA$3,"&lt;"&amp;$DF50,$B50:$Y50)+SUMIF($AD$3:$BA$3,"&gt;="&amp;$DG50,$B50:$Y50)),
IF(AU$3&lt;$DG50,S50,0))))))))))))))),0)</f>
        <v>25</v>
      </c>
      <c r="AV50" s="47">
        <f>ROUND(IF(AV$3&lt;$DF50,0,
IF(AV$3=$DF50+'Model Setup'!$B$7,SUMIF($AD$3:$BA$3,"="&amp;$DF50+'Model Setup'!$B$7,$B50:$Y50)+'Model Setup'!$B$8*(SUMIF($AD$3:$BA$3,"&lt;"&amp;$DF50,$B50:$Y50)+SUMIF($AD$3:$BA$3,"&gt;="&amp;$DG50,$B50:$Y50)),
IF(AV$3=$DF50+'Model Setup'!$C$7,SUMIF($AD$3:$BA$3,"="&amp;$DF50+'Model Setup'!$C$7,$B50:$Y50)+'Model Setup'!$C$8*(SUMIF($AD$3:$BA$3,"&lt;"&amp;$DF50,$B50:$Y50)+SUMIF($AD$3:$BA$3,"&gt;="&amp;$DG50,$B50:$Y50)),
IF(AV$3=$DF50+'Model Setup'!$D$7,SUMIF($AD$3:$BA$3,"="&amp;$DF50+'Model Setup'!$D$7,$B50:$Y50)+'Model Setup'!$D$8*(SUMIF($AD$3:$BA$3,"&lt;"&amp;$DF50,$B50:$Y50)+SUMIF($AD$3:$BA$3,"&gt;="&amp;$DG50,$B50:$Y50)),
IF(AV$3=$DF50+'Model Setup'!$E$7,SUMIF($AD$3:$BA$3,"="&amp;$DF50+'Model Setup'!$E$7,$B50:$Y50)+'Model Setup'!$E$8*(SUMIF($AD$3:$BA$3,"&lt;"&amp;$DF50,$B50:$Y50)+SUMIF($AD$3:$BA$3,"&gt;="&amp;$DG50,$B50:$Y50)),
IF(AV$3=$DF50+'Model Setup'!$F$7,SUMIF($AD$3:$BA$3,"="&amp;$DF50+'Model Setup'!$F$7,$B50:$Y50)+'Model Setup'!$F$8*(SUMIF($AD$3:$BA$3,"&lt;"&amp;$DF50,$B50:$Y50)+SUMIF($AD$3:$BA$3,"&gt;="&amp;$DG50,$B50:$Y50)),
IF(AV$3=$DF50+'Model Setup'!$G$7,SUMIF($AD$3:$BA$3,"="&amp;$DF50+'Model Setup'!$G$7,$B50:$Y50)+'Model Setup'!$G$8*(SUMIF($AD$3:$BA$3,"&lt;"&amp;$DF50,$B50:$Y50)+SUMIF($AD$3:$BA$3,"&gt;="&amp;$DG50,$B50:$Y50)),
IF(AV$3=$DF50+'Model Setup'!$H$7,SUMIF($AD$3:$BA$3,"="&amp;$DF50+'Model Setup'!$H$7,$B50:$Y50)+'Model Setup'!$H$8*(SUMIF($AD$3:$BA$3,"&lt;"&amp;$DF50,$B50:$Y50)+SUMIF($AD$3:$BA$3,"&gt;="&amp;$DG50,$B50:$Y50)),
IF(AV$3=$DF50+'Model Setup'!$I$7,SUMIF($AD$3:$BA$3,"="&amp;$DF50+'Model Setup'!$I$7,$B50:$Y50)+'Model Setup'!$I$8*(SUMIF($AD$3:$BA$3,"&lt;"&amp;$DF50,$B50:$Y50)+SUMIF($AD$3:$BA$3,"&gt;="&amp;$DG50,$B50:$Y50)),
IF(AV$3=$DF50+'Model Setup'!$J$7,SUMIF($AD$3:$BA$3,"="&amp;$DF50+'Model Setup'!$J$7,$B50:$Y50)+'Model Setup'!$J$8*(SUMIF($AD$3:$BA$3,"&lt;"&amp;$DF50,$B50:$Y50)+SUMIF($AD$3:$BA$3,"&gt;="&amp;$DG50,$B50:$Y50)),
IF(AV$3=$DF50+'Model Setup'!$K$7,SUMIF($AD$3:$BA$3,"="&amp;$DF50+'Model Setup'!$K$7,$B50:$Y50)+'Model Setup'!$K$8*(SUMIF($AD$3:$BA$3,"&lt;"&amp;$DF50,$B50:$Y50)+SUMIF($AD$3:$BA$3,"&gt;="&amp;$DG50,$B50:$Y50)),
IF(AV$3=$DF50+'Model Setup'!$L$7,SUMIF($AD$3:$BA$3,"="&amp;$DF50+'Model Setup'!$L$7,$B50:$Y50)+'Model Setup'!$L$8*(SUMIF($AD$3:$BA$3,"&lt;"&amp;$DF50,$B50:$Y50)+SUMIF($AD$3:$BA$3,"&gt;="&amp;$DG50,$B50:$Y50)),
IF(AV$3=$DF50+'Model Setup'!$M$7,SUMIF($AD$3:$BA$3,"="&amp;$DF50+'Model Setup'!$M$7,$B50:$Y50)+'Model Setup'!$M$8*(SUMIF($AD$3:$BA$3,"&lt;"&amp;$DF50,$B50:$Y50)+SUMIF($AD$3:$BA$3,"&gt;="&amp;$DG50,$B50:$Y50)),
IF(AV$3=$DF50+'Model Setup'!$N$7,SUMIF($AD$3:$BA$3,"="&amp;$DF50+'Model Setup'!$N$7,$B50:$Y50)+'Model Setup'!$N$8*(SUMIF($AD$3:$BA$3,"&lt;"&amp;$DF50,$B50:$Y50)+SUMIF($AD$3:$BA$3,"&gt;="&amp;$DG50,$B50:$Y50)),
IF(AV$3&lt;$DG50,T50,0))))))))))))))),0)</f>
        <v>27</v>
      </c>
      <c r="AW50" s="47">
        <f>ROUND(IF(AW$3&lt;$DF50,0,
IF(AW$3=$DF50+'Model Setup'!$B$7,SUMIF($AD$3:$BA$3,"="&amp;$DF50+'Model Setup'!$B$7,$B50:$Y50)+'Model Setup'!$B$8*(SUMIF($AD$3:$BA$3,"&lt;"&amp;$DF50,$B50:$Y50)+SUMIF($AD$3:$BA$3,"&gt;="&amp;$DG50,$B50:$Y50)),
IF(AW$3=$DF50+'Model Setup'!$C$7,SUMIF($AD$3:$BA$3,"="&amp;$DF50+'Model Setup'!$C$7,$B50:$Y50)+'Model Setup'!$C$8*(SUMIF($AD$3:$BA$3,"&lt;"&amp;$DF50,$B50:$Y50)+SUMIF($AD$3:$BA$3,"&gt;="&amp;$DG50,$B50:$Y50)),
IF(AW$3=$DF50+'Model Setup'!$D$7,SUMIF($AD$3:$BA$3,"="&amp;$DF50+'Model Setup'!$D$7,$B50:$Y50)+'Model Setup'!$D$8*(SUMIF($AD$3:$BA$3,"&lt;"&amp;$DF50,$B50:$Y50)+SUMIF($AD$3:$BA$3,"&gt;="&amp;$DG50,$B50:$Y50)),
IF(AW$3=$DF50+'Model Setup'!$E$7,SUMIF($AD$3:$BA$3,"="&amp;$DF50+'Model Setup'!$E$7,$B50:$Y50)+'Model Setup'!$E$8*(SUMIF($AD$3:$BA$3,"&lt;"&amp;$DF50,$B50:$Y50)+SUMIF($AD$3:$BA$3,"&gt;="&amp;$DG50,$B50:$Y50)),
IF(AW$3=$DF50+'Model Setup'!$F$7,SUMIF($AD$3:$BA$3,"="&amp;$DF50+'Model Setup'!$F$7,$B50:$Y50)+'Model Setup'!$F$8*(SUMIF($AD$3:$BA$3,"&lt;"&amp;$DF50,$B50:$Y50)+SUMIF($AD$3:$BA$3,"&gt;="&amp;$DG50,$B50:$Y50)),
IF(AW$3=$DF50+'Model Setup'!$G$7,SUMIF($AD$3:$BA$3,"="&amp;$DF50+'Model Setup'!$G$7,$B50:$Y50)+'Model Setup'!$G$8*(SUMIF($AD$3:$BA$3,"&lt;"&amp;$DF50,$B50:$Y50)+SUMIF($AD$3:$BA$3,"&gt;="&amp;$DG50,$B50:$Y50)),
IF(AW$3=$DF50+'Model Setup'!$H$7,SUMIF($AD$3:$BA$3,"="&amp;$DF50+'Model Setup'!$H$7,$B50:$Y50)+'Model Setup'!$H$8*(SUMIF($AD$3:$BA$3,"&lt;"&amp;$DF50,$B50:$Y50)+SUMIF($AD$3:$BA$3,"&gt;="&amp;$DG50,$B50:$Y50)),
IF(AW$3=$DF50+'Model Setup'!$I$7,SUMIF($AD$3:$BA$3,"="&amp;$DF50+'Model Setup'!$I$7,$B50:$Y50)+'Model Setup'!$I$8*(SUMIF($AD$3:$BA$3,"&lt;"&amp;$DF50,$B50:$Y50)+SUMIF($AD$3:$BA$3,"&gt;="&amp;$DG50,$B50:$Y50)),
IF(AW$3=$DF50+'Model Setup'!$J$7,SUMIF($AD$3:$BA$3,"="&amp;$DF50+'Model Setup'!$J$7,$B50:$Y50)+'Model Setup'!$J$8*(SUMIF($AD$3:$BA$3,"&lt;"&amp;$DF50,$B50:$Y50)+SUMIF($AD$3:$BA$3,"&gt;="&amp;$DG50,$B50:$Y50)),
IF(AW$3=$DF50+'Model Setup'!$K$7,SUMIF($AD$3:$BA$3,"="&amp;$DF50+'Model Setup'!$K$7,$B50:$Y50)+'Model Setup'!$K$8*(SUMIF($AD$3:$BA$3,"&lt;"&amp;$DF50,$B50:$Y50)+SUMIF($AD$3:$BA$3,"&gt;="&amp;$DG50,$B50:$Y50)),
IF(AW$3=$DF50+'Model Setup'!$L$7,SUMIF($AD$3:$BA$3,"="&amp;$DF50+'Model Setup'!$L$7,$B50:$Y50)+'Model Setup'!$L$8*(SUMIF($AD$3:$BA$3,"&lt;"&amp;$DF50,$B50:$Y50)+SUMIF($AD$3:$BA$3,"&gt;="&amp;$DG50,$B50:$Y50)),
IF(AW$3=$DF50+'Model Setup'!$M$7,SUMIF($AD$3:$BA$3,"="&amp;$DF50+'Model Setup'!$M$7,$B50:$Y50)+'Model Setup'!$M$8*(SUMIF($AD$3:$BA$3,"&lt;"&amp;$DF50,$B50:$Y50)+SUMIF($AD$3:$BA$3,"&gt;="&amp;$DG50,$B50:$Y50)),
IF(AW$3=$DF50+'Model Setup'!$N$7,SUMIF($AD$3:$BA$3,"="&amp;$DF50+'Model Setup'!$N$7,$B50:$Y50)+'Model Setup'!$N$8*(SUMIF($AD$3:$BA$3,"&lt;"&amp;$DF50,$B50:$Y50)+SUMIF($AD$3:$BA$3,"&gt;="&amp;$DG50,$B50:$Y50)),
IF(AW$3&lt;$DG50,U50,0))))))))))))))),0)</f>
        <v>18</v>
      </c>
      <c r="AX50" s="47">
        <f>ROUND(IF(AX$3&lt;$DF50,0,
IF(AX$3=$DF50+'Model Setup'!$B$7,SUMIF($AD$3:$BA$3,"="&amp;$DF50+'Model Setup'!$B$7,$B50:$Y50)+'Model Setup'!$B$8*(SUMIF($AD$3:$BA$3,"&lt;"&amp;$DF50,$B50:$Y50)+SUMIF($AD$3:$BA$3,"&gt;="&amp;$DG50,$B50:$Y50)),
IF(AX$3=$DF50+'Model Setup'!$C$7,SUMIF($AD$3:$BA$3,"="&amp;$DF50+'Model Setup'!$C$7,$B50:$Y50)+'Model Setup'!$C$8*(SUMIF($AD$3:$BA$3,"&lt;"&amp;$DF50,$B50:$Y50)+SUMIF($AD$3:$BA$3,"&gt;="&amp;$DG50,$B50:$Y50)),
IF(AX$3=$DF50+'Model Setup'!$D$7,SUMIF($AD$3:$BA$3,"="&amp;$DF50+'Model Setup'!$D$7,$B50:$Y50)+'Model Setup'!$D$8*(SUMIF($AD$3:$BA$3,"&lt;"&amp;$DF50,$B50:$Y50)+SUMIF($AD$3:$BA$3,"&gt;="&amp;$DG50,$B50:$Y50)),
IF(AX$3=$DF50+'Model Setup'!$E$7,SUMIF($AD$3:$BA$3,"="&amp;$DF50+'Model Setup'!$E$7,$B50:$Y50)+'Model Setup'!$E$8*(SUMIF($AD$3:$BA$3,"&lt;"&amp;$DF50,$B50:$Y50)+SUMIF($AD$3:$BA$3,"&gt;="&amp;$DG50,$B50:$Y50)),
IF(AX$3=$DF50+'Model Setup'!$F$7,SUMIF($AD$3:$BA$3,"="&amp;$DF50+'Model Setup'!$F$7,$B50:$Y50)+'Model Setup'!$F$8*(SUMIF($AD$3:$BA$3,"&lt;"&amp;$DF50,$B50:$Y50)+SUMIF($AD$3:$BA$3,"&gt;="&amp;$DG50,$B50:$Y50)),
IF(AX$3=$DF50+'Model Setup'!$G$7,SUMIF($AD$3:$BA$3,"="&amp;$DF50+'Model Setup'!$G$7,$B50:$Y50)+'Model Setup'!$G$8*(SUMIF($AD$3:$BA$3,"&lt;"&amp;$DF50,$B50:$Y50)+SUMIF($AD$3:$BA$3,"&gt;="&amp;$DG50,$B50:$Y50)),
IF(AX$3=$DF50+'Model Setup'!$H$7,SUMIF($AD$3:$BA$3,"="&amp;$DF50+'Model Setup'!$H$7,$B50:$Y50)+'Model Setup'!$H$8*(SUMIF($AD$3:$BA$3,"&lt;"&amp;$DF50,$B50:$Y50)+SUMIF($AD$3:$BA$3,"&gt;="&amp;$DG50,$B50:$Y50)),
IF(AX$3=$DF50+'Model Setup'!$I$7,SUMIF($AD$3:$BA$3,"="&amp;$DF50+'Model Setup'!$I$7,$B50:$Y50)+'Model Setup'!$I$8*(SUMIF($AD$3:$BA$3,"&lt;"&amp;$DF50,$B50:$Y50)+SUMIF($AD$3:$BA$3,"&gt;="&amp;$DG50,$B50:$Y50)),
IF(AX$3=$DF50+'Model Setup'!$J$7,SUMIF($AD$3:$BA$3,"="&amp;$DF50+'Model Setup'!$J$7,$B50:$Y50)+'Model Setup'!$J$8*(SUMIF($AD$3:$BA$3,"&lt;"&amp;$DF50,$B50:$Y50)+SUMIF($AD$3:$BA$3,"&gt;="&amp;$DG50,$B50:$Y50)),
IF(AX$3=$DF50+'Model Setup'!$K$7,SUMIF($AD$3:$BA$3,"="&amp;$DF50+'Model Setup'!$K$7,$B50:$Y50)+'Model Setup'!$K$8*(SUMIF($AD$3:$BA$3,"&lt;"&amp;$DF50,$B50:$Y50)+SUMIF($AD$3:$BA$3,"&gt;="&amp;$DG50,$B50:$Y50)),
IF(AX$3=$DF50+'Model Setup'!$L$7,SUMIF($AD$3:$BA$3,"="&amp;$DF50+'Model Setup'!$L$7,$B50:$Y50)+'Model Setup'!$L$8*(SUMIF($AD$3:$BA$3,"&lt;"&amp;$DF50,$B50:$Y50)+SUMIF($AD$3:$BA$3,"&gt;="&amp;$DG50,$B50:$Y50)),
IF(AX$3=$DF50+'Model Setup'!$M$7,SUMIF($AD$3:$BA$3,"="&amp;$DF50+'Model Setup'!$M$7,$B50:$Y50)+'Model Setup'!$M$8*(SUMIF($AD$3:$BA$3,"&lt;"&amp;$DF50,$B50:$Y50)+SUMIF($AD$3:$BA$3,"&gt;="&amp;$DG50,$B50:$Y50)),
IF(AX$3=$DF50+'Model Setup'!$N$7,SUMIF($AD$3:$BA$3,"="&amp;$DF50+'Model Setup'!$N$7,$B50:$Y50)+'Model Setup'!$N$8*(SUMIF($AD$3:$BA$3,"&lt;"&amp;$DF50,$B50:$Y50)+SUMIF($AD$3:$BA$3,"&gt;="&amp;$DG50,$B50:$Y50)),
IF(AX$3&lt;$DG50,V50,0))))))))))))))),0)</f>
        <v>0</v>
      </c>
      <c r="AY50" s="47">
        <f>ROUND(IF(AY$3&lt;$DF50,0,
IF(AY$3=$DF50+'Model Setup'!$B$7,SUMIF($AD$3:$BA$3,"="&amp;$DF50+'Model Setup'!$B$7,$B50:$Y50)+'Model Setup'!$B$8*(SUMIF($AD$3:$BA$3,"&lt;"&amp;$DF50,$B50:$Y50)+SUMIF($AD$3:$BA$3,"&gt;="&amp;$DG50,$B50:$Y50)),
IF(AY$3=$DF50+'Model Setup'!$C$7,SUMIF($AD$3:$BA$3,"="&amp;$DF50+'Model Setup'!$C$7,$B50:$Y50)+'Model Setup'!$C$8*(SUMIF($AD$3:$BA$3,"&lt;"&amp;$DF50,$B50:$Y50)+SUMIF($AD$3:$BA$3,"&gt;="&amp;$DG50,$B50:$Y50)),
IF(AY$3=$DF50+'Model Setup'!$D$7,SUMIF($AD$3:$BA$3,"="&amp;$DF50+'Model Setup'!$D$7,$B50:$Y50)+'Model Setup'!$D$8*(SUMIF($AD$3:$BA$3,"&lt;"&amp;$DF50,$B50:$Y50)+SUMIF($AD$3:$BA$3,"&gt;="&amp;$DG50,$B50:$Y50)),
IF(AY$3=$DF50+'Model Setup'!$E$7,SUMIF($AD$3:$BA$3,"="&amp;$DF50+'Model Setup'!$E$7,$B50:$Y50)+'Model Setup'!$E$8*(SUMIF($AD$3:$BA$3,"&lt;"&amp;$DF50,$B50:$Y50)+SUMIF($AD$3:$BA$3,"&gt;="&amp;$DG50,$B50:$Y50)),
IF(AY$3=$DF50+'Model Setup'!$F$7,SUMIF($AD$3:$BA$3,"="&amp;$DF50+'Model Setup'!$F$7,$B50:$Y50)+'Model Setup'!$F$8*(SUMIF($AD$3:$BA$3,"&lt;"&amp;$DF50,$B50:$Y50)+SUMIF($AD$3:$BA$3,"&gt;="&amp;$DG50,$B50:$Y50)),
IF(AY$3=$DF50+'Model Setup'!$G$7,SUMIF($AD$3:$BA$3,"="&amp;$DF50+'Model Setup'!$G$7,$B50:$Y50)+'Model Setup'!$G$8*(SUMIF($AD$3:$BA$3,"&lt;"&amp;$DF50,$B50:$Y50)+SUMIF($AD$3:$BA$3,"&gt;="&amp;$DG50,$B50:$Y50)),
IF(AY$3=$DF50+'Model Setup'!$H$7,SUMIF($AD$3:$BA$3,"="&amp;$DF50+'Model Setup'!$H$7,$B50:$Y50)+'Model Setup'!$H$8*(SUMIF($AD$3:$BA$3,"&lt;"&amp;$DF50,$B50:$Y50)+SUMIF($AD$3:$BA$3,"&gt;="&amp;$DG50,$B50:$Y50)),
IF(AY$3=$DF50+'Model Setup'!$I$7,SUMIF($AD$3:$BA$3,"="&amp;$DF50+'Model Setup'!$I$7,$B50:$Y50)+'Model Setup'!$I$8*(SUMIF($AD$3:$BA$3,"&lt;"&amp;$DF50,$B50:$Y50)+SUMIF($AD$3:$BA$3,"&gt;="&amp;$DG50,$B50:$Y50)),
IF(AY$3=$DF50+'Model Setup'!$J$7,SUMIF($AD$3:$BA$3,"="&amp;$DF50+'Model Setup'!$J$7,$B50:$Y50)+'Model Setup'!$J$8*(SUMIF($AD$3:$BA$3,"&lt;"&amp;$DF50,$B50:$Y50)+SUMIF($AD$3:$BA$3,"&gt;="&amp;$DG50,$B50:$Y50)),
IF(AY$3=$DF50+'Model Setup'!$K$7,SUMIF($AD$3:$BA$3,"="&amp;$DF50+'Model Setup'!$K$7,$B50:$Y50)+'Model Setup'!$K$8*(SUMIF($AD$3:$BA$3,"&lt;"&amp;$DF50,$B50:$Y50)+SUMIF($AD$3:$BA$3,"&gt;="&amp;$DG50,$B50:$Y50)),
IF(AY$3=$DF50+'Model Setup'!$L$7,SUMIF($AD$3:$BA$3,"="&amp;$DF50+'Model Setup'!$L$7,$B50:$Y50)+'Model Setup'!$L$8*(SUMIF($AD$3:$BA$3,"&lt;"&amp;$DF50,$B50:$Y50)+SUMIF($AD$3:$BA$3,"&gt;="&amp;$DG50,$B50:$Y50)),
IF(AY$3=$DF50+'Model Setup'!$M$7,SUMIF($AD$3:$BA$3,"="&amp;$DF50+'Model Setup'!$M$7,$B50:$Y50)+'Model Setup'!$M$8*(SUMIF($AD$3:$BA$3,"&lt;"&amp;$DF50,$B50:$Y50)+SUMIF($AD$3:$BA$3,"&gt;="&amp;$DG50,$B50:$Y50)),
IF(AY$3=$DF50+'Model Setup'!$N$7,SUMIF($AD$3:$BA$3,"="&amp;$DF50+'Model Setup'!$N$7,$B50:$Y50)+'Model Setup'!$N$8*(SUMIF($AD$3:$BA$3,"&lt;"&amp;$DF50,$B50:$Y50)+SUMIF($AD$3:$BA$3,"&gt;="&amp;$DG50,$B50:$Y50)),
IF(AY$3&lt;$DG50,W50,0))))))))))))))),0)</f>
        <v>0</v>
      </c>
      <c r="AZ50" s="47">
        <f>ROUND(IF(AZ$3&lt;$DF50,0,
IF(AZ$3=$DF50+'Model Setup'!$B$7,SUMIF($AD$3:$BA$3,"="&amp;$DF50+'Model Setup'!$B$7,$B50:$Y50)+'Model Setup'!$B$8*(SUMIF($AD$3:$BA$3,"&lt;"&amp;$DF50,$B50:$Y50)+SUMIF($AD$3:$BA$3,"&gt;="&amp;$DG50,$B50:$Y50)),
IF(AZ$3=$DF50+'Model Setup'!$C$7,SUMIF($AD$3:$BA$3,"="&amp;$DF50+'Model Setup'!$C$7,$B50:$Y50)+'Model Setup'!$C$8*(SUMIF($AD$3:$BA$3,"&lt;"&amp;$DF50,$B50:$Y50)+SUMIF($AD$3:$BA$3,"&gt;="&amp;$DG50,$B50:$Y50)),
IF(AZ$3=$DF50+'Model Setup'!$D$7,SUMIF($AD$3:$BA$3,"="&amp;$DF50+'Model Setup'!$D$7,$B50:$Y50)+'Model Setup'!$D$8*(SUMIF($AD$3:$BA$3,"&lt;"&amp;$DF50,$B50:$Y50)+SUMIF($AD$3:$BA$3,"&gt;="&amp;$DG50,$B50:$Y50)),
IF(AZ$3=$DF50+'Model Setup'!$E$7,SUMIF($AD$3:$BA$3,"="&amp;$DF50+'Model Setup'!$E$7,$B50:$Y50)+'Model Setup'!$E$8*(SUMIF($AD$3:$BA$3,"&lt;"&amp;$DF50,$B50:$Y50)+SUMIF($AD$3:$BA$3,"&gt;="&amp;$DG50,$B50:$Y50)),
IF(AZ$3=$DF50+'Model Setup'!$F$7,SUMIF($AD$3:$BA$3,"="&amp;$DF50+'Model Setup'!$F$7,$B50:$Y50)+'Model Setup'!$F$8*(SUMIF($AD$3:$BA$3,"&lt;"&amp;$DF50,$B50:$Y50)+SUMIF($AD$3:$BA$3,"&gt;="&amp;$DG50,$B50:$Y50)),
IF(AZ$3=$DF50+'Model Setup'!$G$7,SUMIF($AD$3:$BA$3,"="&amp;$DF50+'Model Setup'!$G$7,$B50:$Y50)+'Model Setup'!$G$8*(SUMIF($AD$3:$BA$3,"&lt;"&amp;$DF50,$B50:$Y50)+SUMIF($AD$3:$BA$3,"&gt;="&amp;$DG50,$B50:$Y50)),
IF(AZ$3=$DF50+'Model Setup'!$H$7,SUMIF($AD$3:$BA$3,"="&amp;$DF50+'Model Setup'!$H$7,$B50:$Y50)+'Model Setup'!$H$8*(SUMIF($AD$3:$BA$3,"&lt;"&amp;$DF50,$B50:$Y50)+SUMIF($AD$3:$BA$3,"&gt;="&amp;$DG50,$B50:$Y50)),
IF(AZ$3=$DF50+'Model Setup'!$I$7,SUMIF($AD$3:$BA$3,"="&amp;$DF50+'Model Setup'!$I$7,$B50:$Y50)+'Model Setup'!$I$8*(SUMIF($AD$3:$BA$3,"&lt;"&amp;$DF50,$B50:$Y50)+SUMIF($AD$3:$BA$3,"&gt;="&amp;$DG50,$B50:$Y50)),
IF(AZ$3=$DF50+'Model Setup'!$J$7,SUMIF($AD$3:$BA$3,"="&amp;$DF50+'Model Setup'!$J$7,$B50:$Y50)+'Model Setup'!$J$8*(SUMIF($AD$3:$BA$3,"&lt;"&amp;$DF50,$B50:$Y50)+SUMIF($AD$3:$BA$3,"&gt;="&amp;$DG50,$B50:$Y50)),
IF(AZ$3=$DF50+'Model Setup'!$K$7,SUMIF($AD$3:$BA$3,"="&amp;$DF50+'Model Setup'!$K$7,$B50:$Y50)+'Model Setup'!$K$8*(SUMIF($AD$3:$BA$3,"&lt;"&amp;$DF50,$B50:$Y50)+SUMIF($AD$3:$BA$3,"&gt;="&amp;$DG50,$B50:$Y50)),
IF(AZ$3=$DF50+'Model Setup'!$L$7,SUMIF($AD$3:$BA$3,"="&amp;$DF50+'Model Setup'!$L$7,$B50:$Y50)+'Model Setup'!$L$8*(SUMIF($AD$3:$BA$3,"&lt;"&amp;$DF50,$B50:$Y50)+SUMIF($AD$3:$BA$3,"&gt;="&amp;$DG50,$B50:$Y50)),
IF(AZ$3=$DF50+'Model Setup'!$M$7,SUMIF($AD$3:$BA$3,"="&amp;$DF50+'Model Setup'!$M$7,$B50:$Y50)+'Model Setup'!$M$8*(SUMIF($AD$3:$BA$3,"&lt;"&amp;$DF50,$B50:$Y50)+SUMIF($AD$3:$BA$3,"&gt;="&amp;$DG50,$B50:$Y50)),
IF(AZ$3=$DF50+'Model Setup'!$N$7,SUMIF($AD$3:$BA$3,"="&amp;$DF50+'Model Setup'!$N$7,$B50:$Y50)+'Model Setup'!$N$8*(SUMIF($AD$3:$BA$3,"&lt;"&amp;$DF50,$B50:$Y50)+SUMIF($AD$3:$BA$3,"&gt;="&amp;$DG50,$B50:$Y50)),
IF(AZ$3&lt;$DG50,X50,0))))))))))))))),0)</f>
        <v>0</v>
      </c>
      <c r="BA50" s="47">
        <f>ROUND(IF(BA$3&lt;$DF50,0,
IF(BA$3=$DF50+'Model Setup'!$B$7,SUMIF($AD$3:$BA$3,"="&amp;$DF50+'Model Setup'!$B$7,$B50:$Y50)+'Model Setup'!$B$8*(SUMIF($AD$3:$BA$3,"&lt;"&amp;$DF50,$B50:$Y50)+SUMIF($AD$3:$BA$3,"&gt;="&amp;$DG50,$B50:$Y50)),
IF(BA$3=$DF50+'Model Setup'!$C$7,SUMIF($AD$3:$BA$3,"="&amp;$DF50+'Model Setup'!$C$7,$B50:$Y50)+'Model Setup'!$C$8*(SUMIF($AD$3:$BA$3,"&lt;"&amp;$DF50,$B50:$Y50)+SUMIF($AD$3:$BA$3,"&gt;="&amp;$DG50,$B50:$Y50)),
IF(BA$3=$DF50+'Model Setup'!$D$7,SUMIF($AD$3:$BA$3,"="&amp;$DF50+'Model Setup'!$D$7,$B50:$Y50)+'Model Setup'!$D$8*(SUMIF($AD$3:$BA$3,"&lt;"&amp;$DF50,$B50:$Y50)+SUMIF($AD$3:$BA$3,"&gt;="&amp;$DG50,$B50:$Y50)),
IF(BA$3=$DF50+'Model Setup'!$E$7,SUMIF($AD$3:$BA$3,"="&amp;$DF50+'Model Setup'!$E$7,$B50:$Y50)+'Model Setup'!$E$8*(SUMIF($AD$3:$BA$3,"&lt;"&amp;$DF50,$B50:$Y50)+SUMIF($AD$3:$BA$3,"&gt;="&amp;$DG50,$B50:$Y50)),
IF(BA$3=$DF50+'Model Setup'!$F$7,SUMIF($AD$3:$BA$3,"="&amp;$DF50+'Model Setup'!$F$7,$B50:$Y50)+'Model Setup'!$F$8*(SUMIF($AD$3:$BA$3,"&lt;"&amp;$DF50,$B50:$Y50)+SUMIF($AD$3:$BA$3,"&gt;="&amp;$DG50,$B50:$Y50)),
IF(BA$3=$DF50+'Model Setup'!$G$7,SUMIF($AD$3:$BA$3,"="&amp;$DF50+'Model Setup'!$G$7,$B50:$Y50)+'Model Setup'!$G$8*(SUMIF($AD$3:$BA$3,"&lt;"&amp;$DF50,$B50:$Y50)+SUMIF($AD$3:$BA$3,"&gt;="&amp;$DG50,$B50:$Y50)),
IF(BA$3=$DF50+'Model Setup'!$H$7,SUMIF($AD$3:$BA$3,"="&amp;$DF50+'Model Setup'!$H$7,$B50:$Y50)+'Model Setup'!$H$8*(SUMIF($AD$3:$BA$3,"&lt;"&amp;$DF50,$B50:$Y50)+SUMIF($AD$3:$BA$3,"&gt;="&amp;$DG50,$B50:$Y50)),
IF(BA$3=$DF50+'Model Setup'!$I$7,SUMIF($AD$3:$BA$3,"="&amp;$DF50+'Model Setup'!$I$7,$B50:$Y50)+'Model Setup'!$I$8*(SUMIF($AD$3:$BA$3,"&lt;"&amp;$DF50,$B50:$Y50)+SUMIF($AD$3:$BA$3,"&gt;="&amp;$DG50,$B50:$Y50)),
IF(BA$3=$DF50+'Model Setup'!$J$7,SUMIF($AD$3:$BA$3,"="&amp;$DF50+'Model Setup'!$J$7,$B50:$Y50)+'Model Setup'!$J$8*(SUMIF($AD$3:$BA$3,"&lt;"&amp;$DF50,$B50:$Y50)+SUMIF($AD$3:$BA$3,"&gt;="&amp;$DG50,$B50:$Y50)),
IF(BA$3=$DF50+'Model Setup'!$K$7,SUMIF($AD$3:$BA$3,"="&amp;$DF50+'Model Setup'!$K$7,$B50:$Y50)+'Model Setup'!$K$8*(SUMIF($AD$3:$BA$3,"&lt;"&amp;$DF50,$B50:$Y50)+SUMIF($AD$3:$BA$3,"&gt;="&amp;$DG50,$B50:$Y50)),
IF(BA$3=$DF50+'Model Setup'!$L$7,SUMIF($AD$3:$BA$3,"="&amp;$DF50+'Model Setup'!$L$7,$B50:$Y50)+'Model Setup'!$L$8*(SUMIF($AD$3:$BA$3,"&lt;"&amp;$DF50,$B50:$Y50)+SUMIF($AD$3:$BA$3,"&gt;="&amp;$DG50,$B50:$Y50)),
IF(BA$3=$DF50+'Model Setup'!$M$7,SUMIF($AD$3:$BA$3,"="&amp;$DF50+'Model Setup'!$M$7,$B50:$Y50)+'Model Setup'!$M$8*(SUMIF($AD$3:$BA$3,"&lt;"&amp;$DF50,$B50:$Y50)+SUMIF($AD$3:$BA$3,"&gt;="&amp;$DG50,$B50:$Y50)),
IF(BA$3=$DF50+'Model Setup'!$N$7,SUMIF($AD$3:$BA$3,"="&amp;$DF50+'Model Setup'!$N$7,$B50:$Y50)+'Model Setup'!$N$8*(SUMIF($AD$3:$BA$3,"&lt;"&amp;$DF50,$B50:$Y50)+SUMIF($AD$3:$BA$3,"&gt;="&amp;$DG50,$B50:$Y50)),
IF(BA$3&lt;$DG50,Y50,0))))))))))))))),0)</f>
        <v>0</v>
      </c>
      <c r="BB50" s="47">
        <f t="shared" si="1"/>
        <v>331</v>
      </c>
      <c r="BD50" t="b">
        <f t="shared" si="2"/>
        <v>1</v>
      </c>
      <c r="BE50">
        <f t="shared" si="8"/>
        <v>0</v>
      </c>
      <c r="BF50">
        <f>(FTC!F48-FTC!E48)*24</f>
        <v>13.000000000000002</v>
      </c>
      <c r="BG50" s="43" t="s">
        <v>65</v>
      </c>
      <c r="BH50" s="47">
        <f>ROUND(IF(OR(BH$3&lt;$DF50,BH$3&gt;$CW$4),0,
IF(BH$3=$DF50+'Model Setup'!$B$7,SUMIF($BH$3:$CE$3,"="&amp;$DF50+'Model Setup'!$B$7,$AD50:$BA50)+'Model Setup'!$B$8*(SUMIF($BH$3:$CE$3,"&lt;"&amp;$DF50,$AD50:$BA50)+SUMIF($BH$3:$CE$3,"&gt;"&amp;$CW$4,$AD50:$BA50)),
IF(BH$3=$DF50+'Model Setup'!$C$7,SUMIF($BH$3:$CE$3,"="&amp;$DF50+'Model Setup'!$C$7,$AD50:$BA50)+'Model Setup'!$C$8*(SUMIF($BH$3:$CE$3,"&lt;"&amp;$DF50,$AD50:$BA50)+SUMIF($BH$3:$CE$3,"&gt;"&amp;$CW$4,$AD50:$BA50)),
IF(BH$3=$DF50+'Model Setup'!$D$7,SUMIF($BH$3:$CE$3,"="&amp;$DF50+'Model Setup'!$D$7,$AD50:$BA50)+'Model Setup'!$D$8*(SUMIF($BH$3:$CE$3,"&lt;"&amp;$DF50,$AD50:$BA50)+SUMIF($BH$3:$CE$3,"&gt;"&amp;$CW$4,$AD50:$BA50)),
IF(BH$3=$DF50+'Model Setup'!$E$7,SUMIF($BH$3:$CE$3,"="&amp;$DF50+'Model Setup'!$E$7,$AD50:$BA50)+'Model Setup'!$E$8*(SUMIF($BH$3:$CE$3,"&lt;"&amp;$DF50,$AD50:$BA50)+SUMIF($BH$3:$CE$3,"&gt;"&amp;$CW$4,$AD50:$BA50)),
IF(BH$3=$DF50+'Model Setup'!$F$7,SUMIF($BH$3:$CE$3,"="&amp;$DF50+'Model Setup'!$F$7,$AD50:$BA50)+'Model Setup'!$F$8*(SUMIF($BH$3:$CE$3,"&lt;"&amp;$DF50,$AD50:$BA50)+SUMIF($BH$3:$CE$3,"&gt;"&amp;$CW$4,$AD50:$BA50)),
IF(BH$3=$DF50+'Model Setup'!$G$7,SUMIF($BH$3:$CE$3,"="&amp;$DF50+'Model Setup'!$G$7,$AD50:$BA50)+'Model Setup'!$G$8*(SUMIF($BH$3:$CE$3,"&lt;"&amp;$DF50,$AD50:$BA50)+SUMIF($BH$3:$CE$3,"&gt;"&amp;$CW$4,$AD50:$BA50)),
IF(BH$3=$DF50+'Model Setup'!$H$7,SUMIF($BH$3:$CE$3,"="&amp;$DF50+'Model Setup'!$H$7,$AD50:$BA50)+'Model Setup'!$H$8*(SUMIF($BH$3:$CE$3,"&lt;"&amp;$DF50,$AD50:$BA50)+SUMIF($BH$3:$CE$3,"&gt;"&amp;$CW$4,$AD50:$BA50)),
IF(BH$3=$DF50+'Model Setup'!$I$7,SUMIF($BH$3:$CE$3,"="&amp;$DF50+'Model Setup'!$I$7,$AD50:$BA50)+'Model Setup'!$I$8*(SUMIF($BH$3:$CE$3,"&lt;"&amp;$DF50,$AD50:$BA50)+SUMIF($BH$3:$CE$3,"&gt;"&amp;$CW$4,$AD50:$BA50)),
IF(BH$3=$DF50+'Model Setup'!$J$7,SUMIF($BH$3:$CE$3,"="&amp;$DF50+'Model Setup'!$J$7,$AD50:$BA50)+'Model Setup'!$J$8*(SUMIF($BH$3:$CE$3,"&lt;"&amp;$DF50,$AD50:$BA50)+SUMIF($BH$3:$CE$3,"&gt;"&amp;$CW$4,$AD50:$BA50)),
IF(BH$3=$DF50+'Model Setup'!$K$7,SUMIF($BH$3:$CE$3,"="&amp;$DF50+'Model Setup'!$K$7,$AD50:$BA50)+'Model Setup'!$K$8*(SUMIF($BH$3:$CE$3,"&lt;"&amp;$DF50,$AD50:$BA50)+SUMIF($BH$3:$CE$3,"&gt;"&amp;$CW$4,$AD50:$BA50)),
IF(BH$3=$DF50+'Model Setup'!$L$7,SUMIF($BH$3:$CE$3,"="&amp;$DF50+'Model Setup'!$L$7,$AD50:$BA50)+'Model Setup'!$L$8*(SUMIF($BH$3:$CE$3,"&lt;"&amp;$DF50,$AD50:$BA50)+SUMIF($BH$3:$CE$3,"&gt;"&amp;$CW$4,$AD50:$BA50)),
IF(BH$3=$DF50+'Model Setup'!$M$7,SUMIF($BH$3:$CE$3,"="&amp;$DF50+'Model Setup'!$M$7,$AD50:$BA50)+'Model Setup'!$M$8*(SUMIF($BH$3:$CE$3,"&lt;"&amp;$DF50,$AD50:$BA50)+SUMIF($BH$3:$CE$3,"&gt;"&amp;$CW$4,$AD50:$BA50)),
IF(BH$3=$DF50+'Model Setup'!$N$7,SUMIF($BH$3:$CE$3,"="&amp;$DF50+'Model Setup'!$N$7,$AD50:$BA50)+'Model Setup'!$N$8*(SUMIF($BH$3:$CE$3,"&lt;"&amp;$DF50,$AD50:$BA50)+SUMIF($BH$3:$CE$3,"&gt;"&amp;$CW$4,$AD50:$BA50)),
IF(BH$3&lt;$CW$4,B50,0))))))))))))))),0)</f>
        <v>0</v>
      </c>
      <c r="BI50" s="47">
        <f>ROUND(IF(OR(BI$3&lt;$DF50,BI$3&gt;$CW$4),0,
IF(BI$3=$DF50+'Model Setup'!$B$7,SUMIF($BH$3:$CE$3,"="&amp;$DF50+'Model Setup'!$B$7,$AD50:$BA50)+'Model Setup'!$B$8*(SUMIF($BH$3:$CE$3,"&lt;"&amp;$DF50,$AD50:$BA50)+SUMIF($BH$3:$CE$3,"&gt;"&amp;$CW$4,$AD50:$BA50)),
IF(BI$3=$DF50+'Model Setup'!$C$7,SUMIF($BH$3:$CE$3,"="&amp;$DF50+'Model Setup'!$C$7,$AD50:$BA50)+'Model Setup'!$C$8*(SUMIF($BH$3:$CE$3,"&lt;"&amp;$DF50,$AD50:$BA50)+SUMIF($BH$3:$CE$3,"&gt;"&amp;$CW$4,$AD50:$BA50)),
IF(BI$3=$DF50+'Model Setup'!$D$7,SUMIF($BH$3:$CE$3,"="&amp;$DF50+'Model Setup'!$D$7,$AD50:$BA50)+'Model Setup'!$D$8*(SUMIF($BH$3:$CE$3,"&lt;"&amp;$DF50,$AD50:$BA50)+SUMIF($BH$3:$CE$3,"&gt;"&amp;$CW$4,$AD50:$BA50)),
IF(BI$3=$DF50+'Model Setup'!$E$7,SUMIF($BH$3:$CE$3,"="&amp;$DF50+'Model Setup'!$E$7,$AD50:$BA50)+'Model Setup'!$E$8*(SUMIF($BH$3:$CE$3,"&lt;"&amp;$DF50,$AD50:$BA50)+SUMIF($BH$3:$CE$3,"&gt;"&amp;$CW$4,$AD50:$BA50)),
IF(BI$3=$DF50+'Model Setup'!$F$7,SUMIF($BH$3:$CE$3,"="&amp;$DF50+'Model Setup'!$F$7,$AD50:$BA50)+'Model Setup'!$F$8*(SUMIF($BH$3:$CE$3,"&lt;"&amp;$DF50,$AD50:$BA50)+SUMIF($BH$3:$CE$3,"&gt;"&amp;$CW$4,$AD50:$BA50)),
IF(BI$3=$DF50+'Model Setup'!$G$7,SUMIF($BH$3:$CE$3,"="&amp;$DF50+'Model Setup'!$G$7,$AD50:$BA50)+'Model Setup'!$G$8*(SUMIF($BH$3:$CE$3,"&lt;"&amp;$DF50,$AD50:$BA50)+SUMIF($BH$3:$CE$3,"&gt;"&amp;$CW$4,$AD50:$BA50)),
IF(BI$3=$DF50+'Model Setup'!$H$7,SUMIF($BH$3:$CE$3,"="&amp;$DF50+'Model Setup'!$H$7,$AD50:$BA50)+'Model Setup'!$H$8*(SUMIF($BH$3:$CE$3,"&lt;"&amp;$DF50,$AD50:$BA50)+SUMIF($BH$3:$CE$3,"&gt;"&amp;$CW$4,$AD50:$BA50)),
IF(BI$3=$DF50+'Model Setup'!$I$7,SUMIF($BH$3:$CE$3,"="&amp;$DF50+'Model Setup'!$I$7,$AD50:$BA50)+'Model Setup'!$I$8*(SUMIF($BH$3:$CE$3,"&lt;"&amp;$DF50,$AD50:$BA50)+SUMIF($BH$3:$CE$3,"&gt;"&amp;$CW$4,$AD50:$BA50)),
IF(BI$3=$DF50+'Model Setup'!$J$7,SUMIF($BH$3:$CE$3,"="&amp;$DF50+'Model Setup'!$J$7,$AD50:$BA50)+'Model Setup'!$J$8*(SUMIF($BH$3:$CE$3,"&lt;"&amp;$DF50,$AD50:$BA50)+SUMIF($BH$3:$CE$3,"&gt;"&amp;$CW$4,$AD50:$BA50)),
IF(BI$3=$DF50+'Model Setup'!$K$7,SUMIF($BH$3:$CE$3,"="&amp;$DF50+'Model Setup'!$K$7,$AD50:$BA50)+'Model Setup'!$K$8*(SUMIF($BH$3:$CE$3,"&lt;"&amp;$DF50,$AD50:$BA50)+SUMIF($BH$3:$CE$3,"&gt;"&amp;$CW$4,$AD50:$BA50)),
IF(BI$3=$DF50+'Model Setup'!$L$7,SUMIF($BH$3:$CE$3,"="&amp;$DF50+'Model Setup'!$L$7,$AD50:$BA50)+'Model Setup'!$L$8*(SUMIF($BH$3:$CE$3,"&lt;"&amp;$DF50,$AD50:$BA50)+SUMIF($BH$3:$CE$3,"&gt;"&amp;$CW$4,$AD50:$BA50)),
IF(BI$3=$DF50+'Model Setup'!$M$7,SUMIF($BH$3:$CE$3,"="&amp;$DF50+'Model Setup'!$M$7,$AD50:$BA50)+'Model Setup'!$M$8*(SUMIF($BH$3:$CE$3,"&lt;"&amp;$DF50,$AD50:$BA50)+SUMIF($BH$3:$CE$3,"&gt;"&amp;$CW$4,$AD50:$BA50)),
IF(BI$3=$DF50+'Model Setup'!$N$7,SUMIF($BH$3:$CE$3,"="&amp;$DF50+'Model Setup'!$N$7,$AD50:$BA50)+'Model Setup'!$N$8*(SUMIF($BH$3:$CE$3,"&lt;"&amp;$DF50,$AD50:$BA50)+SUMIF($BH$3:$CE$3,"&gt;"&amp;$CW$4,$AD50:$BA50)),
IF(BI$3&lt;$CW$4,C50,0))))))))))))))),0)</f>
        <v>0</v>
      </c>
      <c r="BJ50" s="47">
        <f>ROUND(IF(OR(BJ$3&lt;$DF50,BJ$3&gt;$CW$4),0,
IF(BJ$3=$DF50+'Model Setup'!$B$7,SUMIF($BH$3:$CE$3,"="&amp;$DF50+'Model Setup'!$B$7,$AD50:$BA50)+'Model Setup'!$B$8*(SUMIF($BH$3:$CE$3,"&lt;"&amp;$DF50,$AD50:$BA50)+SUMIF($BH$3:$CE$3,"&gt;"&amp;$CW$4,$AD50:$BA50)),
IF(BJ$3=$DF50+'Model Setup'!$C$7,SUMIF($BH$3:$CE$3,"="&amp;$DF50+'Model Setup'!$C$7,$AD50:$BA50)+'Model Setup'!$C$8*(SUMIF($BH$3:$CE$3,"&lt;"&amp;$DF50,$AD50:$BA50)+SUMIF($BH$3:$CE$3,"&gt;"&amp;$CW$4,$AD50:$BA50)),
IF(BJ$3=$DF50+'Model Setup'!$D$7,SUMIF($BH$3:$CE$3,"="&amp;$DF50+'Model Setup'!$D$7,$AD50:$BA50)+'Model Setup'!$D$8*(SUMIF($BH$3:$CE$3,"&lt;"&amp;$DF50,$AD50:$BA50)+SUMIF($BH$3:$CE$3,"&gt;"&amp;$CW$4,$AD50:$BA50)),
IF(BJ$3=$DF50+'Model Setup'!$E$7,SUMIF($BH$3:$CE$3,"="&amp;$DF50+'Model Setup'!$E$7,$AD50:$BA50)+'Model Setup'!$E$8*(SUMIF($BH$3:$CE$3,"&lt;"&amp;$DF50,$AD50:$BA50)+SUMIF($BH$3:$CE$3,"&gt;"&amp;$CW$4,$AD50:$BA50)),
IF(BJ$3=$DF50+'Model Setup'!$F$7,SUMIF($BH$3:$CE$3,"="&amp;$DF50+'Model Setup'!$F$7,$AD50:$BA50)+'Model Setup'!$F$8*(SUMIF($BH$3:$CE$3,"&lt;"&amp;$DF50,$AD50:$BA50)+SUMIF($BH$3:$CE$3,"&gt;"&amp;$CW$4,$AD50:$BA50)),
IF(BJ$3=$DF50+'Model Setup'!$G$7,SUMIF($BH$3:$CE$3,"="&amp;$DF50+'Model Setup'!$G$7,$AD50:$BA50)+'Model Setup'!$G$8*(SUMIF($BH$3:$CE$3,"&lt;"&amp;$DF50,$AD50:$BA50)+SUMIF($BH$3:$CE$3,"&gt;"&amp;$CW$4,$AD50:$BA50)),
IF(BJ$3=$DF50+'Model Setup'!$H$7,SUMIF($BH$3:$CE$3,"="&amp;$DF50+'Model Setup'!$H$7,$AD50:$BA50)+'Model Setup'!$H$8*(SUMIF($BH$3:$CE$3,"&lt;"&amp;$DF50,$AD50:$BA50)+SUMIF($BH$3:$CE$3,"&gt;"&amp;$CW$4,$AD50:$BA50)),
IF(BJ$3=$DF50+'Model Setup'!$I$7,SUMIF($BH$3:$CE$3,"="&amp;$DF50+'Model Setup'!$I$7,$AD50:$BA50)+'Model Setup'!$I$8*(SUMIF($BH$3:$CE$3,"&lt;"&amp;$DF50,$AD50:$BA50)+SUMIF($BH$3:$CE$3,"&gt;"&amp;$CW$4,$AD50:$BA50)),
IF(BJ$3=$DF50+'Model Setup'!$J$7,SUMIF($BH$3:$CE$3,"="&amp;$DF50+'Model Setup'!$J$7,$AD50:$BA50)+'Model Setup'!$J$8*(SUMIF($BH$3:$CE$3,"&lt;"&amp;$DF50,$AD50:$BA50)+SUMIF($BH$3:$CE$3,"&gt;"&amp;$CW$4,$AD50:$BA50)),
IF(BJ$3=$DF50+'Model Setup'!$K$7,SUMIF($BH$3:$CE$3,"="&amp;$DF50+'Model Setup'!$K$7,$AD50:$BA50)+'Model Setup'!$K$8*(SUMIF($BH$3:$CE$3,"&lt;"&amp;$DF50,$AD50:$BA50)+SUMIF($BH$3:$CE$3,"&gt;"&amp;$CW$4,$AD50:$BA50)),
IF(BJ$3=$DF50+'Model Setup'!$L$7,SUMIF($BH$3:$CE$3,"="&amp;$DF50+'Model Setup'!$L$7,$AD50:$BA50)+'Model Setup'!$L$8*(SUMIF($BH$3:$CE$3,"&lt;"&amp;$DF50,$AD50:$BA50)+SUMIF($BH$3:$CE$3,"&gt;"&amp;$CW$4,$AD50:$BA50)),
IF(BJ$3=$DF50+'Model Setup'!$M$7,SUMIF($BH$3:$CE$3,"="&amp;$DF50+'Model Setup'!$M$7,$AD50:$BA50)+'Model Setup'!$M$8*(SUMIF($BH$3:$CE$3,"&lt;"&amp;$DF50,$AD50:$BA50)+SUMIF($BH$3:$CE$3,"&gt;"&amp;$CW$4,$AD50:$BA50)),
IF(BJ$3=$DF50+'Model Setup'!$N$7,SUMIF($BH$3:$CE$3,"="&amp;$DF50+'Model Setup'!$N$7,$AD50:$BA50)+'Model Setup'!$N$8*(SUMIF($BH$3:$CE$3,"&lt;"&amp;$DF50,$AD50:$BA50)+SUMIF($BH$3:$CE$3,"&gt;"&amp;$CW$4,$AD50:$BA50)),
IF(BJ$3&lt;$CW$4,D50,0))))))))))))))),0)</f>
        <v>0</v>
      </c>
      <c r="BK50" s="47">
        <f>ROUND(IF(OR(BK$3&lt;$DF50,BK$3&gt;$CW$4),0,
IF(BK$3=$DF50+'Model Setup'!$B$7,SUMIF($BH$3:$CE$3,"="&amp;$DF50+'Model Setup'!$B$7,$AD50:$BA50)+'Model Setup'!$B$8*(SUMIF($BH$3:$CE$3,"&lt;"&amp;$DF50,$AD50:$BA50)+SUMIF($BH$3:$CE$3,"&gt;"&amp;$CW$4,$AD50:$BA50)),
IF(BK$3=$DF50+'Model Setup'!$C$7,SUMIF($BH$3:$CE$3,"="&amp;$DF50+'Model Setup'!$C$7,$AD50:$BA50)+'Model Setup'!$C$8*(SUMIF($BH$3:$CE$3,"&lt;"&amp;$DF50,$AD50:$BA50)+SUMIF($BH$3:$CE$3,"&gt;"&amp;$CW$4,$AD50:$BA50)),
IF(BK$3=$DF50+'Model Setup'!$D$7,SUMIF($BH$3:$CE$3,"="&amp;$DF50+'Model Setup'!$D$7,$AD50:$BA50)+'Model Setup'!$D$8*(SUMIF($BH$3:$CE$3,"&lt;"&amp;$DF50,$AD50:$BA50)+SUMIF($BH$3:$CE$3,"&gt;"&amp;$CW$4,$AD50:$BA50)),
IF(BK$3=$DF50+'Model Setup'!$E$7,SUMIF($BH$3:$CE$3,"="&amp;$DF50+'Model Setup'!$E$7,$AD50:$BA50)+'Model Setup'!$E$8*(SUMIF($BH$3:$CE$3,"&lt;"&amp;$DF50,$AD50:$BA50)+SUMIF($BH$3:$CE$3,"&gt;"&amp;$CW$4,$AD50:$BA50)),
IF(BK$3=$DF50+'Model Setup'!$F$7,SUMIF($BH$3:$CE$3,"="&amp;$DF50+'Model Setup'!$F$7,$AD50:$BA50)+'Model Setup'!$F$8*(SUMIF($BH$3:$CE$3,"&lt;"&amp;$DF50,$AD50:$BA50)+SUMIF($BH$3:$CE$3,"&gt;"&amp;$CW$4,$AD50:$BA50)),
IF(BK$3=$DF50+'Model Setup'!$G$7,SUMIF($BH$3:$CE$3,"="&amp;$DF50+'Model Setup'!$G$7,$AD50:$BA50)+'Model Setup'!$G$8*(SUMIF($BH$3:$CE$3,"&lt;"&amp;$DF50,$AD50:$BA50)+SUMIF($BH$3:$CE$3,"&gt;"&amp;$CW$4,$AD50:$BA50)),
IF(BK$3=$DF50+'Model Setup'!$H$7,SUMIF($BH$3:$CE$3,"="&amp;$DF50+'Model Setup'!$H$7,$AD50:$BA50)+'Model Setup'!$H$8*(SUMIF($BH$3:$CE$3,"&lt;"&amp;$DF50,$AD50:$BA50)+SUMIF($BH$3:$CE$3,"&gt;"&amp;$CW$4,$AD50:$BA50)),
IF(BK$3=$DF50+'Model Setup'!$I$7,SUMIF($BH$3:$CE$3,"="&amp;$DF50+'Model Setup'!$I$7,$AD50:$BA50)+'Model Setup'!$I$8*(SUMIF($BH$3:$CE$3,"&lt;"&amp;$DF50,$AD50:$BA50)+SUMIF($BH$3:$CE$3,"&gt;"&amp;$CW$4,$AD50:$BA50)),
IF(BK$3=$DF50+'Model Setup'!$J$7,SUMIF($BH$3:$CE$3,"="&amp;$DF50+'Model Setup'!$J$7,$AD50:$BA50)+'Model Setup'!$J$8*(SUMIF($BH$3:$CE$3,"&lt;"&amp;$DF50,$AD50:$BA50)+SUMIF($BH$3:$CE$3,"&gt;"&amp;$CW$4,$AD50:$BA50)),
IF(BK$3=$DF50+'Model Setup'!$K$7,SUMIF($BH$3:$CE$3,"="&amp;$DF50+'Model Setup'!$K$7,$AD50:$BA50)+'Model Setup'!$K$8*(SUMIF($BH$3:$CE$3,"&lt;"&amp;$DF50,$AD50:$BA50)+SUMIF($BH$3:$CE$3,"&gt;"&amp;$CW$4,$AD50:$BA50)),
IF(BK$3=$DF50+'Model Setup'!$L$7,SUMIF($BH$3:$CE$3,"="&amp;$DF50+'Model Setup'!$L$7,$AD50:$BA50)+'Model Setup'!$L$8*(SUMIF($BH$3:$CE$3,"&lt;"&amp;$DF50,$AD50:$BA50)+SUMIF($BH$3:$CE$3,"&gt;"&amp;$CW$4,$AD50:$BA50)),
IF(BK$3=$DF50+'Model Setup'!$M$7,SUMIF($BH$3:$CE$3,"="&amp;$DF50+'Model Setup'!$M$7,$AD50:$BA50)+'Model Setup'!$M$8*(SUMIF($BH$3:$CE$3,"&lt;"&amp;$DF50,$AD50:$BA50)+SUMIF($BH$3:$CE$3,"&gt;"&amp;$CW$4,$AD50:$BA50)),
IF(BK$3=$DF50+'Model Setup'!$N$7,SUMIF($BH$3:$CE$3,"="&amp;$DF50+'Model Setup'!$N$7,$AD50:$BA50)+'Model Setup'!$N$8*(SUMIF($BH$3:$CE$3,"&lt;"&amp;$DF50,$AD50:$BA50)+SUMIF($BH$3:$CE$3,"&gt;"&amp;$CW$4,$AD50:$BA50)),
IF(BK$3&lt;$CW$4,E50,0))))))))))))))),0)</f>
        <v>0</v>
      </c>
      <c r="BL50" s="47">
        <f>ROUND(IF(OR(BL$3&lt;$DF50,BL$3&gt;$CW$4),0,
IF(BL$3=$DF50+'Model Setup'!$B$7,SUMIF($BH$3:$CE$3,"="&amp;$DF50+'Model Setup'!$B$7,$AD50:$BA50)+'Model Setup'!$B$8*(SUMIF($BH$3:$CE$3,"&lt;"&amp;$DF50,$AD50:$BA50)+SUMIF($BH$3:$CE$3,"&gt;"&amp;$CW$4,$AD50:$BA50)),
IF(BL$3=$DF50+'Model Setup'!$C$7,SUMIF($BH$3:$CE$3,"="&amp;$DF50+'Model Setup'!$C$7,$AD50:$BA50)+'Model Setup'!$C$8*(SUMIF($BH$3:$CE$3,"&lt;"&amp;$DF50,$AD50:$BA50)+SUMIF($BH$3:$CE$3,"&gt;"&amp;$CW$4,$AD50:$BA50)),
IF(BL$3=$DF50+'Model Setup'!$D$7,SUMIF($BH$3:$CE$3,"="&amp;$DF50+'Model Setup'!$D$7,$AD50:$BA50)+'Model Setup'!$D$8*(SUMIF($BH$3:$CE$3,"&lt;"&amp;$DF50,$AD50:$BA50)+SUMIF($BH$3:$CE$3,"&gt;"&amp;$CW$4,$AD50:$BA50)),
IF(BL$3=$DF50+'Model Setup'!$E$7,SUMIF($BH$3:$CE$3,"="&amp;$DF50+'Model Setup'!$E$7,$AD50:$BA50)+'Model Setup'!$E$8*(SUMIF($BH$3:$CE$3,"&lt;"&amp;$DF50,$AD50:$BA50)+SUMIF($BH$3:$CE$3,"&gt;"&amp;$CW$4,$AD50:$BA50)),
IF(BL$3=$DF50+'Model Setup'!$F$7,SUMIF($BH$3:$CE$3,"="&amp;$DF50+'Model Setup'!$F$7,$AD50:$BA50)+'Model Setup'!$F$8*(SUMIF($BH$3:$CE$3,"&lt;"&amp;$DF50,$AD50:$BA50)+SUMIF($BH$3:$CE$3,"&gt;"&amp;$CW$4,$AD50:$BA50)),
IF(BL$3=$DF50+'Model Setup'!$G$7,SUMIF($BH$3:$CE$3,"="&amp;$DF50+'Model Setup'!$G$7,$AD50:$BA50)+'Model Setup'!$G$8*(SUMIF($BH$3:$CE$3,"&lt;"&amp;$DF50,$AD50:$BA50)+SUMIF($BH$3:$CE$3,"&gt;"&amp;$CW$4,$AD50:$BA50)),
IF(BL$3=$DF50+'Model Setup'!$H$7,SUMIF($BH$3:$CE$3,"="&amp;$DF50+'Model Setup'!$H$7,$AD50:$BA50)+'Model Setup'!$H$8*(SUMIF($BH$3:$CE$3,"&lt;"&amp;$DF50,$AD50:$BA50)+SUMIF($BH$3:$CE$3,"&gt;"&amp;$CW$4,$AD50:$BA50)),
IF(BL$3=$DF50+'Model Setup'!$I$7,SUMIF($BH$3:$CE$3,"="&amp;$DF50+'Model Setup'!$I$7,$AD50:$BA50)+'Model Setup'!$I$8*(SUMIF($BH$3:$CE$3,"&lt;"&amp;$DF50,$AD50:$BA50)+SUMIF($BH$3:$CE$3,"&gt;"&amp;$CW$4,$AD50:$BA50)),
IF(BL$3=$DF50+'Model Setup'!$J$7,SUMIF($BH$3:$CE$3,"="&amp;$DF50+'Model Setup'!$J$7,$AD50:$BA50)+'Model Setup'!$J$8*(SUMIF($BH$3:$CE$3,"&lt;"&amp;$DF50,$AD50:$BA50)+SUMIF($BH$3:$CE$3,"&gt;"&amp;$CW$4,$AD50:$BA50)),
IF(BL$3=$DF50+'Model Setup'!$K$7,SUMIF($BH$3:$CE$3,"="&amp;$DF50+'Model Setup'!$K$7,$AD50:$BA50)+'Model Setup'!$K$8*(SUMIF($BH$3:$CE$3,"&lt;"&amp;$DF50,$AD50:$BA50)+SUMIF($BH$3:$CE$3,"&gt;"&amp;$CW$4,$AD50:$BA50)),
IF(BL$3=$DF50+'Model Setup'!$L$7,SUMIF($BH$3:$CE$3,"="&amp;$DF50+'Model Setup'!$L$7,$AD50:$BA50)+'Model Setup'!$L$8*(SUMIF($BH$3:$CE$3,"&lt;"&amp;$DF50,$AD50:$BA50)+SUMIF($BH$3:$CE$3,"&gt;"&amp;$CW$4,$AD50:$BA50)),
IF(BL$3=$DF50+'Model Setup'!$M$7,SUMIF($BH$3:$CE$3,"="&amp;$DF50+'Model Setup'!$M$7,$AD50:$BA50)+'Model Setup'!$M$8*(SUMIF($BH$3:$CE$3,"&lt;"&amp;$DF50,$AD50:$BA50)+SUMIF($BH$3:$CE$3,"&gt;"&amp;$CW$4,$AD50:$BA50)),
IF(BL$3=$DF50+'Model Setup'!$N$7,SUMIF($BH$3:$CE$3,"="&amp;$DF50+'Model Setup'!$N$7,$AD50:$BA50)+'Model Setup'!$N$8*(SUMIF($BH$3:$CE$3,"&lt;"&amp;$DF50,$AD50:$BA50)+SUMIF($BH$3:$CE$3,"&gt;"&amp;$CW$4,$AD50:$BA50)),
IF(BL$3&lt;$CW$4,F50,0))))))))))))))),0)</f>
        <v>0</v>
      </c>
      <c r="BM50" s="47">
        <f>ROUND(IF(OR(BM$3&lt;$DF50,BM$3&gt;$CW$4),0,
IF(BM$3=$DF50+'Model Setup'!$B$7,SUMIF($BH$3:$CE$3,"="&amp;$DF50+'Model Setup'!$B$7,$AD50:$BA50)+'Model Setup'!$B$8*(SUMIF($BH$3:$CE$3,"&lt;"&amp;$DF50,$AD50:$BA50)+SUMIF($BH$3:$CE$3,"&gt;"&amp;$CW$4,$AD50:$BA50)),
IF(BM$3=$DF50+'Model Setup'!$C$7,SUMIF($BH$3:$CE$3,"="&amp;$DF50+'Model Setup'!$C$7,$AD50:$BA50)+'Model Setup'!$C$8*(SUMIF($BH$3:$CE$3,"&lt;"&amp;$DF50,$AD50:$BA50)+SUMIF($BH$3:$CE$3,"&gt;"&amp;$CW$4,$AD50:$BA50)),
IF(BM$3=$DF50+'Model Setup'!$D$7,SUMIF($BH$3:$CE$3,"="&amp;$DF50+'Model Setup'!$D$7,$AD50:$BA50)+'Model Setup'!$D$8*(SUMIF($BH$3:$CE$3,"&lt;"&amp;$DF50,$AD50:$BA50)+SUMIF($BH$3:$CE$3,"&gt;"&amp;$CW$4,$AD50:$BA50)),
IF(BM$3=$DF50+'Model Setup'!$E$7,SUMIF($BH$3:$CE$3,"="&amp;$DF50+'Model Setup'!$E$7,$AD50:$BA50)+'Model Setup'!$E$8*(SUMIF($BH$3:$CE$3,"&lt;"&amp;$DF50,$AD50:$BA50)+SUMIF($BH$3:$CE$3,"&gt;"&amp;$CW$4,$AD50:$BA50)),
IF(BM$3=$DF50+'Model Setup'!$F$7,SUMIF($BH$3:$CE$3,"="&amp;$DF50+'Model Setup'!$F$7,$AD50:$BA50)+'Model Setup'!$F$8*(SUMIF($BH$3:$CE$3,"&lt;"&amp;$DF50,$AD50:$BA50)+SUMIF($BH$3:$CE$3,"&gt;"&amp;$CW$4,$AD50:$BA50)),
IF(BM$3=$DF50+'Model Setup'!$G$7,SUMIF($BH$3:$CE$3,"="&amp;$DF50+'Model Setup'!$G$7,$AD50:$BA50)+'Model Setup'!$G$8*(SUMIF($BH$3:$CE$3,"&lt;"&amp;$DF50,$AD50:$BA50)+SUMIF($BH$3:$CE$3,"&gt;"&amp;$CW$4,$AD50:$BA50)),
IF(BM$3=$DF50+'Model Setup'!$H$7,SUMIF($BH$3:$CE$3,"="&amp;$DF50+'Model Setup'!$H$7,$AD50:$BA50)+'Model Setup'!$H$8*(SUMIF($BH$3:$CE$3,"&lt;"&amp;$DF50,$AD50:$BA50)+SUMIF($BH$3:$CE$3,"&gt;"&amp;$CW$4,$AD50:$BA50)),
IF(BM$3=$DF50+'Model Setup'!$I$7,SUMIF($BH$3:$CE$3,"="&amp;$DF50+'Model Setup'!$I$7,$AD50:$BA50)+'Model Setup'!$I$8*(SUMIF($BH$3:$CE$3,"&lt;"&amp;$DF50,$AD50:$BA50)+SUMIF($BH$3:$CE$3,"&gt;"&amp;$CW$4,$AD50:$BA50)),
IF(BM$3=$DF50+'Model Setup'!$J$7,SUMIF($BH$3:$CE$3,"="&amp;$DF50+'Model Setup'!$J$7,$AD50:$BA50)+'Model Setup'!$J$8*(SUMIF($BH$3:$CE$3,"&lt;"&amp;$DF50,$AD50:$BA50)+SUMIF($BH$3:$CE$3,"&gt;"&amp;$CW$4,$AD50:$BA50)),
IF(BM$3=$DF50+'Model Setup'!$K$7,SUMIF($BH$3:$CE$3,"="&amp;$DF50+'Model Setup'!$K$7,$AD50:$BA50)+'Model Setup'!$K$8*(SUMIF($BH$3:$CE$3,"&lt;"&amp;$DF50,$AD50:$BA50)+SUMIF($BH$3:$CE$3,"&gt;"&amp;$CW$4,$AD50:$BA50)),
IF(BM$3=$DF50+'Model Setup'!$L$7,SUMIF($BH$3:$CE$3,"="&amp;$DF50+'Model Setup'!$L$7,$AD50:$BA50)+'Model Setup'!$L$8*(SUMIF($BH$3:$CE$3,"&lt;"&amp;$DF50,$AD50:$BA50)+SUMIF($BH$3:$CE$3,"&gt;"&amp;$CW$4,$AD50:$BA50)),
IF(BM$3=$DF50+'Model Setup'!$M$7,SUMIF($BH$3:$CE$3,"="&amp;$DF50+'Model Setup'!$M$7,$AD50:$BA50)+'Model Setup'!$M$8*(SUMIF($BH$3:$CE$3,"&lt;"&amp;$DF50,$AD50:$BA50)+SUMIF($BH$3:$CE$3,"&gt;"&amp;$CW$4,$AD50:$BA50)),
IF(BM$3=$DF50+'Model Setup'!$N$7,SUMIF($BH$3:$CE$3,"="&amp;$DF50+'Model Setup'!$N$7,$AD50:$BA50)+'Model Setup'!$N$8*(SUMIF($BH$3:$CE$3,"&lt;"&amp;$DF50,$AD50:$BA50)+SUMIF($BH$3:$CE$3,"&gt;"&amp;$CW$4,$AD50:$BA50)),
IF(BM$3&lt;$CW$4,G50,0))))))))))))))),0)</f>
        <v>0</v>
      </c>
      <c r="BN50" s="47">
        <f>ROUND(IF(OR(BN$3&lt;$DF50,BN$3&gt;$CW$4),0,
IF(BN$3=$DF50+'Model Setup'!$B$7,SUMIF($BH$3:$CE$3,"="&amp;$DF50+'Model Setup'!$B$7,$AD50:$BA50)+'Model Setup'!$B$8*(SUMIF($BH$3:$CE$3,"&lt;"&amp;$DF50,$AD50:$BA50)+SUMIF($BH$3:$CE$3,"&gt;"&amp;$CW$4,$AD50:$BA50)),
IF(BN$3=$DF50+'Model Setup'!$C$7,SUMIF($BH$3:$CE$3,"="&amp;$DF50+'Model Setup'!$C$7,$AD50:$BA50)+'Model Setup'!$C$8*(SUMIF($BH$3:$CE$3,"&lt;"&amp;$DF50,$AD50:$BA50)+SUMIF($BH$3:$CE$3,"&gt;"&amp;$CW$4,$AD50:$BA50)),
IF(BN$3=$DF50+'Model Setup'!$D$7,SUMIF($BH$3:$CE$3,"="&amp;$DF50+'Model Setup'!$D$7,$AD50:$BA50)+'Model Setup'!$D$8*(SUMIF($BH$3:$CE$3,"&lt;"&amp;$DF50,$AD50:$BA50)+SUMIF($BH$3:$CE$3,"&gt;"&amp;$CW$4,$AD50:$BA50)),
IF(BN$3=$DF50+'Model Setup'!$E$7,SUMIF($BH$3:$CE$3,"="&amp;$DF50+'Model Setup'!$E$7,$AD50:$BA50)+'Model Setup'!$E$8*(SUMIF($BH$3:$CE$3,"&lt;"&amp;$DF50,$AD50:$BA50)+SUMIF($BH$3:$CE$3,"&gt;"&amp;$CW$4,$AD50:$BA50)),
IF(BN$3=$DF50+'Model Setup'!$F$7,SUMIF($BH$3:$CE$3,"="&amp;$DF50+'Model Setup'!$F$7,$AD50:$BA50)+'Model Setup'!$F$8*(SUMIF($BH$3:$CE$3,"&lt;"&amp;$DF50,$AD50:$BA50)+SUMIF($BH$3:$CE$3,"&gt;"&amp;$CW$4,$AD50:$BA50)),
IF(BN$3=$DF50+'Model Setup'!$G$7,SUMIF($BH$3:$CE$3,"="&amp;$DF50+'Model Setup'!$G$7,$AD50:$BA50)+'Model Setup'!$G$8*(SUMIF($BH$3:$CE$3,"&lt;"&amp;$DF50,$AD50:$BA50)+SUMIF($BH$3:$CE$3,"&gt;"&amp;$CW$4,$AD50:$BA50)),
IF(BN$3=$DF50+'Model Setup'!$H$7,SUMIF($BH$3:$CE$3,"="&amp;$DF50+'Model Setup'!$H$7,$AD50:$BA50)+'Model Setup'!$H$8*(SUMIF($BH$3:$CE$3,"&lt;"&amp;$DF50,$AD50:$BA50)+SUMIF($BH$3:$CE$3,"&gt;"&amp;$CW$4,$AD50:$BA50)),
IF(BN$3=$DF50+'Model Setup'!$I$7,SUMIF($BH$3:$CE$3,"="&amp;$DF50+'Model Setup'!$I$7,$AD50:$BA50)+'Model Setup'!$I$8*(SUMIF($BH$3:$CE$3,"&lt;"&amp;$DF50,$AD50:$BA50)+SUMIF($BH$3:$CE$3,"&gt;"&amp;$CW$4,$AD50:$BA50)),
IF(BN$3=$DF50+'Model Setup'!$J$7,SUMIF($BH$3:$CE$3,"="&amp;$DF50+'Model Setup'!$J$7,$AD50:$BA50)+'Model Setup'!$J$8*(SUMIF($BH$3:$CE$3,"&lt;"&amp;$DF50,$AD50:$BA50)+SUMIF($BH$3:$CE$3,"&gt;"&amp;$CW$4,$AD50:$BA50)),
IF(BN$3=$DF50+'Model Setup'!$K$7,SUMIF($BH$3:$CE$3,"="&amp;$DF50+'Model Setup'!$K$7,$AD50:$BA50)+'Model Setup'!$K$8*(SUMIF($BH$3:$CE$3,"&lt;"&amp;$DF50,$AD50:$BA50)+SUMIF($BH$3:$CE$3,"&gt;"&amp;$CW$4,$AD50:$BA50)),
IF(BN$3=$DF50+'Model Setup'!$L$7,SUMIF($BH$3:$CE$3,"="&amp;$DF50+'Model Setup'!$L$7,$AD50:$BA50)+'Model Setup'!$L$8*(SUMIF($BH$3:$CE$3,"&lt;"&amp;$DF50,$AD50:$BA50)+SUMIF($BH$3:$CE$3,"&gt;"&amp;$CW$4,$AD50:$BA50)),
IF(BN$3=$DF50+'Model Setup'!$M$7,SUMIF($BH$3:$CE$3,"="&amp;$DF50+'Model Setup'!$M$7,$AD50:$BA50)+'Model Setup'!$M$8*(SUMIF($BH$3:$CE$3,"&lt;"&amp;$DF50,$AD50:$BA50)+SUMIF($BH$3:$CE$3,"&gt;"&amp;$CW$4,$AD50:$BA50)),
IF(BN$3=$DF50+'Model Setup'!$N$7,SUMIF($BH$3:$CE$3,"="&amp;$DF50+'Model Setup'!$N$7,$AD50:$BA50)+'Model Setup'!$N$8*(SUMIF($BH$3:$CE$3,"&lt;"&amp;$DF50,$AD50:$BA50)+SUMIF($BH$3:$CE$3,"&gt;"&amp;$CW$4,$AD50:$BA50)),
IF(BN$3&lt;$CW$4,H50,0))))))))))))))),0)</f>
        <v>0</v>
      </c>
      <c r="BO50" s="47">
        <f>ROUND(IF(OR(BO$3&lt;$DF50,BO$3&gt;$CW$4),0,
IF(BO$3=$DF50+'Model Setup'!$B$7,SUMIF($BH$3:$CE$3,"="&amp;$DF50+'Model Setup'!$B$7,$AD50:$BA50)+'Model Setup'!$B$8*(SUMIF($BH$3:$CE$3,"&lt;"&amp;$DF50,$AD50:$BA50)+SUMIF($BH$3:$CE$3,"&gt;"&amp;$CW$4,$AD50:$BA50)),
IF(BO$3=$DF50+'Model Setup'!$C$7,SUMIF($BH$3:$CE$3,"="&amp;$DF50+'Model Setup'!$C$7,$AD50:$BA50)+'Model Setup'!$C$8*(SUMIF($BH$3:$CE$3,"&lt;"&amp;$DF50,$AD50:$BA50)+SUMIF($BH$3:$CE$3,"&gt;"&amp;$CW$4,$AD50:$BA50)),
IF(BO$3=$DF50+'Model Setup'!$D$7,SUMIF($BH$3:$CE$3,"="&amp;$DF50+'Model Setup'!$D$7,$AD50:$BA50)+'Model Setup'!$D$8*(SUMIF($BH$3:$CE$3,"&lt;"&amp;$DF50,$AD50:$BA50)+SUMIF($BH$3:$CE$3,"&gt;"&amp;$CW$4,$AD50:$BA50)),
IF(BO$3=$DF50+'Model Setup'!$E$7,SUMIF($BH$3:$CE$3,"="&amp;$DF50+'Model Setup'!$E$7,$AD50:$BA50)+'Model Setup'!$E$8*(SUMIF($BH$3:$CE$3,"&lt;"&amp;$DF50,$AD50:$BA50)+SUMIF($BH$3:$CE$3,"&gt;"&amp;$CW$4,$AD50:$BA50)),
IF(BO$3=$DF50+'Model Setup'!$F$7,SUMIF($BH$3:$CE$3,"="&amp;$DF50+'Model Setup'!$F$7,$AD50:$BA50)+'Model Setup'!$F$8*(SUMIF($BH$3:$CE$3,"&lt;"&amp;$DF50,$AD50:$BA50)+SUMIF($BH$3:$CE$3,"&gt;"&amp;$CW$4,$AD50:$BA50)),
IF(BO$3=$DF50+'Model Setup'!$G$7,SUMIF($BH$3:$CE$3,"="&amp;$DF50+'Model Setup'!$G$7,$AD50:$BA50)+'Model Setup'!$G$8*(SUMIF($BH$3:$CE$3,"&lt;"&amp;$DF50,$AD50:$BA50)+SUMIF($BH$3:$CE$3,"&gt;"&amp;$CW$4,$AD50:$BA50)),
IF(BO$3=$DF50+'Model Setup'!$H$7,SUMIF($BH$3:$CE$3,"="&amp;$DF50+'Model Setup'!$H$7,$AD50:$BA50)+'Model Setup'!$H$8*(SUMIF($BH$3:$CE$3,"&lt;"&amp;$DF50,$AD50:$BA50)+SUMIF($BH$3:$CE$3,"&gt;"&amp;$CW$4,$AD50:$BA50)),
IF(BO$3=$DF50+'Model Setup'!$I$7,SUMIF($BH$3:$CE$3,"="&amp;$DF50+'Model Setup'!$I$7,$AD50:$BA50)+'Model Setup'!$I$8*(SUMIF($BH$3:$CE$3,"&lt;"&amp;$DF50,$AD50:$BA50)+SUMIF($BH$3:$CE$3,"&gt;"&amp;$CW$4,$AD50:$BA50)),
IF(BO$3=$DF50+'Model Setup'!$J$7,SUMIF($BH$3:$CE$3,"="&amp;$DF50+'Model Setup'!$J$7,$AD50:$BA50)+'Model Setup'!$J$8*(SUMIF($BH$3:$CE$3,"&lt;"&amp;$DF50,$AD50:$BA50)+SUMIF($BH$3:$CE$3,"&gt;"&amp;$CW$4,$AD50:$BA50)),
IF(BO$3=$DF50+'Model Setup'!$K$7,SUMIF($BH$3:$CE$3,"="&amp;$DF50+'Model Setup'!$K$7,$AD50:$BA50)+'Model Setup'!$K$8*(SUMIF($BH$3:$CE$3,"&lt;"&amp;$DF50,$AD50:$BA50)+SUMIF($BH$3:$CE$3,"&gt;"&amp;$CW$4,$AD50:$BA50)),
IF(BO$3=$DF50+'Model Setup'!$L$7,SUMIF($BH$3:$CE$3,"="&amp;$DF50+'Model Setup'!$L$7,$AD50:$BA50)+'Model Setup'!$L$8*(SUMIF($BH$3:$CE$3,"&lt;"&amp;$DF50,$AD50:$BA50)+SUMIF($BH$3:$CE$3,"&gt;"&amp;$CW$4,$AD50:$BA50)),
IF(BO$3=$DF50+'Model Setup'!$M$7,SUMIF($BH$3:$CE$3,"="&amp;$DF50+'Model Setup'!$M$7,$AD50:$BA50)+'Model Setup'!$M$8*(SUMIF($BH$3:$CE$3,"&lt;"&amp;$DF50,$AD50:$BA50)+SUMIF($BH$3:$CE$3,"&gt;"&amp;$CW$4,$AD50:$BA50)),
IF(BO$3=$DF50+'Model Setup'!$N$7,SUMIF($BH$3:$CE$3,"="&amp;$DF50+'Model Setup'!$N$7,$AD50:$BA50)+'Model Setup'!$N$8*(SUMIF($BH$3:$CE$3,"&lt;"&amp;$DF50,$AD50:$BA50)+SUMIF($BH$3:$CE$3,"&gt;"&amp;$CW$4,$AD50:$BA50)),
IF(BO$3&lt;$CW$4,I50,0))))))))))))))),0)</f>
        <v>37</v>
      </c>
      <c r="BP50" s="47">
        <f>ROUND(IF(OR(BP$3&lt;$DF50,BP$3&gt;$CW$4),0,
IF(BP$3=$DF50+'Model Setup'!$B$7,SUMIF($BH$3:$CE$3,"="&amp;$DF50+'Model Setup'!$B$7,$AD50:$BA50)+'Model Setup'!$B$8*(SUMIF($BH$3:$CE$3,"&lt;"&amp;$DF50,$AD50:$BA50)+SUMIF($BH$3:$CE$3,"&gt;"&amp;$CW$4,$AD50:$BA50)),
IF(BP$3=$DF50+'Model Setup'!$C$7,SUMIF($BH$3:$CE$3,"="&amp;$DF50+'Model Setup'!$C$7,$AD50:$BA50)+'Model Setup'!$C$8*(SUMIF($BH$3:$CE$3,"&lt;"&amp;$DF50,$AD50:$BA50)+SUMIF($BH$3:$CE$3,"&gt;"&amp;$CW$4,$AD50:$BA50)),
IF(BP$3=$DF50+'Model Setup'!$D$7,SUMIF($BH$3:$CE$3,"="&amp;$DF50+'Model Setup'!$D$7,$AD50:$BA50)+'Model Setup'!$D$8*(SUMIF($BH$3:$CE$3,"&lt;"&amp;$DF50,$AD50:$BA50)+SUMIF($BH$3:$CE$3,"&gt;"&amp;$CW$4,$AD50:$BA50)),
IF(BP$3=$DF50+'Model Setup'!$E$7,SUMIF($BH$3:$CE$3,"="&amp;$DF50+'Model Setup'!$E$7,$AD50:$BA50)+'Model Setup'!$E$8*(SUMIF($BH$3:$CE$3,"&lt;"&amp;$DF50,$AD50:$BA50)+SUMIF($BH$3:$CE$3,"&gt;"&amp;$CW$4,$AD50:$BA50)),
IF(BP$3=$DF50+'Model Setup'!$F$7,SUMIF($BH$3:$CE$3,"="&amp;$DF50+'Model Setup'!$F$7,$AD50:$BA50)+'Model Setup'!$F$8*(SUMIF($BH$3:$CE$3,"&lt;"&amp;$DF50,$AD50:$BA50)+SUMIF($BH$3:$CE$3,"&gt;"&amp;$CW$4,$AD50:$BA50)),
IF(BP$3=$DF50+'Model Setup'!$G$7,SUMIF($BH$3:$CE$3,"="&amp;$DF50+'Model Setup'!$G$7,$AD50:$BA50)+'Model Setup'!$G$8*(SUMIF($BH$3:$CE$3,"&lt;"&amp;$DF50,$AD50:$BA50)+SUMIF($BH$3:$CE$3,"&gt;"&amp;$CW$4,$AD50:$BA50)),
IF(BP$3=$DF50+'Model Setup'!$H$7,SUMIF($BH$3:$CE$3,"="&amp;$DF50+'Model Setup'!$H$7,$AD50:$BA50)+'Model Setup'!$H$8*(SUMIF($BH$3:$CE$3,"&lt;"&amp;$DF50,$AD50:$BA50)+SUMIF($BH$3:$CE$3,"&gt;"&amp;$CW$4,$AD50:$BA50)),
IF(BP$3=$DF50+'Model Setup'!$I$7,SUMIF($BH$3:$CE$3,"="&amp;$DF50+'Model Setup'!$I$7,$AD50:$BA50)+'Model Setup'!$I$8*(SUMIF($BH$3:$CE$3,"&lt;"&amp;$DF50,$AD50:$BA50)+SUMIF($BH$3:$CE$3,"&gt;"&amp;$CW$4,$AD50:$BA50)),
IF(BP$3=$DF50+'Model Setup'!$J$7,SUMIF($BH$3:$CE$3,"="&amp;$DF50+'Model Setup'!$J$7,$AD50:$BA50)+'Model Setup'!$J$8*(SUMIF($BH$3:$CE$3,"&lt;"&amp;$DF50,$AD50:$BA50)+SUMIF($BH$3:$CE$3,"&gt;"&amp;$CW$4,$AD50:$BA50)),
IF(BP$3=$DF50+'Model Setup'!$K$7,SUMIF($BH$3:$CE$3,"="&amp;$DF50+'Model Setup'!$K$7,$AD50:$BA50)+'Model Setup'!$K$8*(SUMIF($BH$3:$CE$3,"&lt;"&amp;$DF50,$AD50:$BA50)+SUMIF($BH$3:$CE$3,"&gt;"&amp;$CW$4,$AD50:$BA50)),
IF(BP$3=$DF50+'Model Setup'!$L$7,SUMIF($BH$3:$CE$3,"="&amp;$DF50+'Model Setup'!$L$7,$AD50:$BA50)+'Model Setup'!$L$8*(SUMIF($BH$3:$CE$3,"&lt;"&amp;$DF50,$AD50:$BA50)+SUMIF($BH$3:$CE$3,"&gt;"&amp;$CW$4,$AD50:$BA50)),
IF(BP$3=$DF50+'Model Setup'!$M$7,SUMIF($BH$3:$CE$3,"="&amp;$DF50+'Model Setup'!$M$7,$AD50:$BA50)+'Model Setup'!$M$8*(SUMIF($BH$3:$CE$3,"&lt;"&amp;$DF50,$AD50:$BA50)+SUMIF($BH$3:$CE$3,"&gt;"&amp;$CW$4,$AD50:$BA50)),
IF(BP$3=$DF50+'Model Setup'!$N$7,SUMIF($BH$3:$CE$3,"="&amp;$DF50+'Model Setup'!$N$7,$AD50:$BA50)+'Model Setup'!$N$8*(SUMIF($BH$3:$CE$3,"&lt;"&amp;$DF50,$AD50:$BA50)+SUMIF($BH$3:$CE$3,"&gt;"&amp;$CW$4,$AD50:$BA50)),
IF(BP$3&lt;$CW$4,J50,0))))))))))))))),0)</f>
        <v>39</v>
      </c>
      <c r="BQ50" s="47">
        <f>ROUND(IF(OR(BQ$3&lt;$DF50,BQ$3&gt;$CW$4),0,
IF(BQ$3=$DF50+'Model Setup'!$B$7,SUMIF($BH$3:$CE$3,"="&amp;$DF50+'Model Setup'!$B$7,$AD50:$BA50)+'Model Setup'!$B$8*(SUMIF($BH$3:$CE$3,"&lt;"&amp;$DF50,$AD50:$BA50)+SUMIF($BH$3:$CE$3,"&gt;"&amp;$CW$4,$AD50:$BA50)),
IF(BQ$3=$DF50+'Model Setup'!$C$7,SUMIF($BH$3:$CE$3,"="&amp;$DF50+'Model Setup'!$C$7,$AD50:$BA50)+'Model Setup'!$C$8*(SUMIF($BH$3:$CE$3,"&lt;"&amp;$DF50,$AD50:$BA50)+SUMIF($BH$3:$CE$3,"&gt;"&amp;$CW$4,$AD50:$BA50)),
IF(BQ$3=$DF50+'Model Setup'!$D$7,SUMIF($BH$3:$CE$3,"="&amp;$DF50+'Model Setup'!$D$7,$AD50:$BA50)+'Model Setup'!$D$8*(SUMIF($BH$3:$CE$3,"&lt;"&amp;$DF50,$AD50:$BA50)+SUMIF($BH$3:$CE$3,"&gt;"&amp;$CW$4,$AD50:$BA50)),
IF(BQ$3=$DF50+'Model Setup'!$E$7,SUMIF($BH$3:$CE$3,"="&amp;$DF50+'Model Setup'!$E$7,$AD50:$BA50)+'Model Setup'!$E$8*(SUMIF($BH$3:$CE$3,"&lt;"&amp;$DF50,$AD50:$BA50)+SUMIF($BH$3:$CE$3,"&gt;"&amp;$CW$4,$AD50:$BA50)),
IF(BQ$3=$DF50+'Model Setup'!$F$7,SUMIF($BH$3:$CE$3,"="&amp;$DF50+'Model Setup'!$F$7,$AD50:$BA50)+'Model Setup'!$F$8*(SUMIF($BH$3:$CE$3,"&lt;"&amp;$DF50,$AD50:$BA50)+SUMIF($BH$3:$CE$3,"&gt;"&amp;$CW$4,$AD50:$BA50)),
IF(BQ$3=$DF50+'Model Setup'!$G$7,SUMIF($BH$3:$CE$3,"="&amp;$DF50+'Model Setup'!$G$7,$AD50:$BA50)+'Model Setup'!$G$8*(SUMIF($BH$3:$CE$3,"&lt;"&amp;$DF50,$AD50:$BA50)+SUMIF($BH$3:$CE$3,"&gt;"&amp;$CW$4,$AD50:$BA50)),
IF(BQ$3=$DF50+'Model Setup'!$H$7,SUMIF($BH$3:$CE$3,"="&amp;$DF50+'Model Setup'!$H$7,$AD50:$BA50)+'Model Setup'!$H$8*(SUMIF($BH$3:$CE$3,"&lt;"&amp;$DF50,$AD50:$BA50)+SUMIF($BH$3:$CE$3,"&gt;"&amp;$CW$4,$AD50:$BA50)),
IF(BQ$3=$DF50+'Model Setup'!$I$7,SUMIF($BH$3:$CE$3,"="&amp;$DF50+'Model Setup'!$I$7,$AD50:$BA50)+'Model Setup'!$I$8*(SUMIF($BH$3:$CE$3,"&lt;"&amp;$DF50,$AD50:$BA50)+SUMIF($BH$3:$CE$3,"&gt;"&amp;$CW$4,$AD50:$BA50)),
IF(BQ$3=$DF50+'Model Setup'!$J$7,SUMIF($BH$3:$CE$3,"="&amp;$DF50+'Model Setup'!$J$7,$AD50:$BA50)+'Model Setup'!$J$8*(SUMIF($BH$3:$CE$3,"&lt;"&amp;$DF50,$AD50:$BA50)+SUMIF($BH$3:$CE$3,"&gt;"&amp;$CW$4,$AD50:$BA50)),
IF(BQ$3=$DF50+'Model Setup'!$K$7,SUMIF($BH$3:$CE$3,"="&amp;$DF50+'Model Setup'!$K$7,$AD50:$BA50)+'Model Setup'!$K$8*(SUMIF($BH$3:$CE$3,"&lt;"&amp;$DF50,$AD50:$BA50)+SUMIF($BH$3:$CE$3,"&gt;"&amp;$CW$4,$AD50:$BA50)),
IF(BQ$3=$DF50+'Model Setup'!$L$7,SUMIF($BH$3:$CE$3,"="&amp;$DF50+'Model Setup'!$L$7,$AD50:$BA50)+'Model Setup'!$L$8*(SUMIF($BH$3:$CE$3,"&lt;"&amp;$DF50,$AD50:$BA50)+SUMIF($BH$3:$CE$3,"&gt;"&amp;$CW$4,$AD50:$BA50)),
IF(BQ$3=$DF50+'Model Setup'!$M$7,SUMIF($BH$3:$CE$3,"="&amp;$DF50+'Model Setup'!$M$7,$AD50:$BA50)+'Model Setup'!$M$8*(SUMIF($BH$3:$CE$3,"&lt;"&amp;$DF50,$AD50:$BA50)+SUMIF($BH$3:$CE$3,"&gt;"&amp;$CW$4,$AD50:$BA50)),
IF(BQ$3=$DF50+'Model Setup'!$N$7,SUMIF($BH$3:$CE$3,"="&amp;$DF50+'Model Setup'!$N$7,$AD50:$BA50)+'Model Setup'!$N$8*(SUMIF($BH$3:$CE$3,"&lt;"&amp;$DF50,$AD50:$BA50)+SUMIF($BH$3:$CE$3,"&gt;"&amp;$CW$4,$AD50:$BA50)),
IF(BQ$3&lt;$CW$4,K50,0))))))))))))))),0)</f>
        <v>53</v>
      </c>
      <c r="BR50" s="47">
        <f>ROUND(IF(OR(BR$3&lt;$DF50,BR$3&gt;$CW$4),0,
IF(BR$3=$DF50+'Model Setup'!$B$7,SUMIF($BH$3:$CE$3,"="&amp;$DF50+'Model Setup'!$B$7,$AD50:$BA50)+'Model Setup'!$B$8*(SUMIF($BH$3:$CE$3,"&lt;"&amp;$DF50,$AD50:$BA50)+SUMIF($BH$3:$CE$3,"&gt;"&amp;$CW$4,$AD50:$BA50)),
IF(BR$3=$DF50+'Model Setup'!$C$7,SUMIF($BH$3:$CE$3,"="&amp;$DF50+'Model Setup'!$C$7,$AD50:$BA50)+'Model Setup'!$C$8*(SUMIF($BH$3:$CE$3,"&lt;"&amp;$DF50,$AD50:$BA50)+SUMIF($BH$3:$CE$3,"&gt;"&amp;$CW$4,$AD50:$BA50)),
IF(BR$3=$DF50+'Model Setup'!$D$7,SUMIF($BH$3:$CE$3,"="&amp;$DF50+'Model Setup'!$D$7,$AD50:$BA50)+'Model Setup'!$D$8*(SUMIF($BH$3:$CE$3,"&lt;"&amp;$DF50,$AD50:$BA50)+SUMIF($BH$3:$CE$3,"&gt;"&amp;$CW$4,$AD50:$BA50)),
IF(BR$3=$DF50+'Model Setup'!$E$7,SUMIF($BH$3:$CE$3,"="&amp;$DF50+'Model Setup'!$E$7,$AD50:$BA50)+'Model Setup'!$E$8*(SUMIF($BH$3:$CE$3,"&lt;"&amp;$DF50,$AD50:$BA50)+SUMIF($BH$3:$CE$3,"&gt;"&amp;$CW$4,$AD50:$BA50)),
IF(BR$3=$DF50+'Model Setup'!$F$7,SUMIF($BH$3:$CE$3,"="&amp;$DF50+'Model Setup'!$F$7,$AD50:$BA50)+'Model Setup'!$F$8*(SUMIF($BH$3:$CE$3,"&lt;"&amp;$DF50,$AD50:$BA50)+SUMIF($BH$3:$CE$3,"&gt;"&amp;$CW$4,$AD50:$BA50)),
IF(BR$3=$DF50+'Model Setup'!$G$7,SUMIF($BH$3:$CE$3,"="&amp;$DF50+'Model Setup'!$G$7,$AD50:$BA50)+'Model Setup'!$G$8*(SUMIF($BH$3:$CE$3,"&lt;"&amp;$DF50,$AD50:$BA50)+SUMIF($BH$3:$CE$3,"&gt;"&amp;$CW$4,$AD50:$BA50)),
IF(BR$3=$DF50+'Model Setup'!$H$7,SUMIF($BH$3:$CE$3,"="&amp;$DF50+'Model Setup'!$H$7,$AD50:$BA50)+'Model Setup'!$H$8*(SUMIF($BH$3:$CE$3,"&lt;"&amp;$DF50,$AD50:$BA50)+SUMIF($BH$3:$CE$3,"&gt;"&amp;$CW$4,$AD50:$BA50)),
IF(BR$3=$DF50+'Model Setup'!$I$7,SUMIF($BH$3:$CE$3,"="&amp;$DF50+'Model Setup'!$I$7,$AD50:$BA50)+'Model Setup'!$I$8*(SUMIF($BH$3:$CE$3,"&lt;"&amp;$DF50,$AD50:$BA50)+SUMIF($BH$3:$CE$3,"&gt;"&amp;$CW$4,$AD50:$BA50)),
IF(BR$3=$DF50+'Model Setup'!$J$7,SUMIF($BH$3:$CE$3,"="&amp;$DF50+'Model Setup'!$J$7,$AD50:$BA50)+'Model Setup'!$J$8*(SUMIF($BH$3:$CE$3,"&lt;"&amp;$DF50,$AD50:$BA50)+SUMIF($BH$3:$CE$3,"&gt;"&amp;$CW$4,$AD50:$BA50)),
IF(BR$3=$DF50+'Model Setup'!$K$7,SUMIF($BH$3:$CE$3,"="&amp;$DF50+'Model Setup'!$K$7,$AD50:$BA50)+'Model Setup'!$K$8*(SUMIF($BH$3:$CE$3,"&lt;"&amp;$DF50,$AD50:$BA50)+SUMIF($BH$3:$CE$3,"&gt;"&amp;$CW$4,$AD50:$BA50)),
IF(BR$3=$DF50+'Model Setup'!$L$7,SUMIF($BH$3:$CE$3,"="&amp;$DF50+'Model Setup'!$L$7,$AD50:$BA50)+'Model Setup'!$L$8*(SUMIF($BH$3:$CE$3,"&lt;"&amp;$DF50,$AD50:$BA50)+SUMIF($BH$3:$CE$3,"&gt;"&amp;$CW$4,$AD50:$BA50)),
IF(BR$3=$DF50+'Model Setup'!$M$7,SUMIF($BH$3:$CE$3,"="&amp;$DF50+'Model Setup'!$M$7,$AD50:$BA50)+'Model Setup'!$M$8*(SUMIF($BH$3:$CE$3,"&lt;"&amp;$DF50,$AD50:$BA50)+SUMIF($BH$3:$CE$3,"&gt;"&amp;$CW$4,$AD50:$BA50)),
IF(BR$3=$DF50+'Model Setup'!$N$7,SUMIF($BH$3:$CE$3,"="&amp;$DF50+'Model Setup'!$N$7,$AD50:$BA50)+'Model Setup'!$N$8*(SUMIF($BH$3:$CE$3,"&lt;"&amp;$DF50,$AD50:$BA50)+SUMIF($BH$3:$CE$3,"&gt;"&amp;$CW$4,$AD50:$BA50)),
IF(BR$3&lt;$CW$4,L50,0))))))))))))))),0)</f>
        <v>45</v>
      </c>
      <c r="BS50" s="47">
        <f>ROUND(IF(OR(BS$3&lt;$DF50,BS$3&gt;$CW$4),0,
IF(BS$3=$DF50+'Model Setup'!$B$7,SUMIF($BH$3:$CE$3,"="&amp;$DF50+'Model Setup'!$B$7,$AD50:$BA50)+'Model Setup'!$B$8*(SUMIF($BH$3:$CE$3,"&lt;"&amp;$DF50,$AD50:$BA50)+SUMIF($BH$3:$CE$3,"&gt;"&amp;$CW$4,$AD50:$BA50)),
IF(BS$3=$DF50+'Model Setup'!$C$7,SUMIF($BH$3:$CE$3,"="&amp;$DF50+'Model Setup'!$C$7,$AD50:$BA50)+'Model Setup'!$C$8*(SUMIF($BH$3:$CE$3,"&lt;"&amp;$DF50,$AD50:$BA50)+SUMIF($BH$3:$CE$3,"&gt;"&amp;$CW$4,$AD50:$BA50)),
IF(BS$3=$DF50+'Model Setup'!$D$7,SUMIF($BH$3:$CE$3,"="&amp;$DF50+'Model Setup'!$D$7,$AD50:$BA50)+'Model Setup'!$D$8*(SUMIF($BH$3:$CE$3,"&lt;"&amp;$DF50,$AD50:$BA50)+SUMIF($BH$3:$CE$3,"&gt;"&amp;$CW$4,$AD50:$BA50)),
IF(BS$3=$DF50+'Model Setup'!$E$7,SUMIF($BH$3:$CE$3,"="&amp;$DF50+'Model Setup'!$E$7,$AD50:$BA50)+'Model Setup'!$E$8*(SUMIF($BH$3:$CE$3,"&lt;"&amp;$DF50,$AD50:$BA50)+SUMIF($BH$3:$CE$3,"&gt;"&amp;$CW$4,$AD50:$BA50)),
IF(BS$3=$DF50+'Model Setup'!$F$7,SUMIF($BH$3:$CE$3,"="&amp;$DF50+'Model Setup'!$F$7,$AD50:$BA50)+'Model Setup'!$F$8*(SUMIF($BH$3:$CE$3,"&lt;"&amp;$DF50,$AD50:$BA50)+SUMIF($BH$3:$CE$3,"&gt;"&amp;$CW$4,$AD50:$BA50)),
IF(BS$3=$DF50+'Model Setup'!$G$7,SUMIF($BH$3:$CE$3,"="&amp;$DF50+'Model Setup'!$G$7,$AD50:$BA50)+'Model Setup'!$G$8*(SUMIF($BH$3:$CE$3,"&lt;"&amp;$DF50,$AD50:$BA50)+SUMIF($BH$3:$CE$3,"&gt;"&amp;$CW$4,$AD50:$BA50)),
IF(BS$3=$DF50+'Model Setup'!$H$7,SUMIF($BH$3:$CE$3,"="&amp;$DF50+'Model Setup'!$H$7,$AD50:$BA50)+'Model Setup'!$H$8*(SUMIF($BH$3:$CE$3,"&lt;"&amp;$DF50,$AD50:$BA50)+SUMIF($BH$3:$CE$3,"&gt;"&amp;$CW$4,$AD50:$BA50)),
IF(BS$3=$DF50+'Model Setup'!$I$7,SUMIF($BH$3:$CE$3,"="&amp;$DF50+'Model Setup'!$I$7,$AD50:$BA50)+'Model Setup'!$I$8*(SUMIF($BH$3:$CE$3,"&lt;"&amp;$DF50,$AD50:$BA50)+SUMIF($BH$3:$CE$3,"&gt;"&amp;$CW$4,$AD50:$BA50)),
IF(BS$3=$DF50+'Model Setup'!$J$7,SUMIF($BH$3:$CE$3,"="&amp;$DF50+'Model Setup'!$J$7,$AD50:$BA50)+'Model Setup'!$J$8*(SUMIF($BH$3:$CE$3,"&lt;"&amp;$DF50,$AD50:$BA50)+SUMIF($BH$3:$CE$3,"&gt;"&amp;$CW$4,$AD50:$BA50)),
IF(BS$3=$DF50+'Model Setup'!$K$7,SUMIF($BH$3:$CE$3,"="&amp;$DF50+'Model Setup'!$K$7,$AD50:$BA50)+'Model Setup'!$K$8*(SUMIF($BH$3:$CE$3,"&lt;"&amp;$DF50,$AD50:$BA50)+SUMIF($BH$3:$CE$3,"&gt;"&amp;$CW$4,$AD50:$BA50)),
IF(BS$3=$DF50+'Model Setup'!$L$7,SUMIF($BH$3:$CE$3,"="&amp;$DF50+'Model Setup'!$L$7,$AD50:$BA50)+'Model Setup'!$L$8*(SUMIF($BH$3:$CE$3,"&lt;"&amp;$DF50,$AD50:$BA50)+SUMIF($BH$3:$CE$3,"&gt;"&amp;$CW$4,$AD50:$BA50)),
IF(BS$3=$DF50+'Model Setup'!$M$7,SUMIF($BH$3:$CE$3,"="&amp;$DF50+'Model Setup'!$M$7,$AD50:$BA50)+'Model Setup'!$M$8*(SUMIF($BH$3:$CE$3,"&lt;"&amp;$DF50,$AD50:$BA50)+SUMIF($BH$3:$CE$3,"&gt;"&amp;$CW$4,$AD50:$BA50)),
IF(BS$3=$DF50+'Model Setup'!$N$7,SUMIF($BH$3:$CE$3,"="&amp;$DF50+'Model Setup'!$N$7,$AD50:$BA50)+'Model Setup'!$N$8*(SUMIF($BH$3:$CE$3,"&lt;"&amp;$DF50,$AD50:$BA50)+SUMIF($BH$3:$CE$3,"&gt;"&amp;$CW$4,$AD50:$BA50)),
IF(BS$3&lt;$CW$4,M50,0))))))))))))))),0)</f>
        <v>41</v>
      </c>
      <c r="BT50" s="47">
        <f>ROUND(IF(OR(BT$3&lt;$DF50,BT$3&gt;$CW$4),0,
IF(BT$3=$DF50+'Model Setup'!$B$7,SUMIF($BH$3:$CE$3,"="&amp;$DF50+'Model Setup'!$B$7,$AD50:$BA50)+'Model Setup'!$B$8*(SUMIF($BH$3:$CE$3,"&lt;"&amp;$DF50,$AD50:$BA50)+SUMIF($BH$3:$CE$3,"&gt;"&amp;$CW$4,$AD50:$BA50)),
IF(BT$3=$DF50+'Model Setup'!$C$7,SUMIF($BH$3:$CE$3,"="&amp;$DF50+'Model Setup'!$C$7,$AD50:$BA50)+'Model Setup'!$C$8*(SUMIF($BH$3:$CE$3,"&lt;"&amp;$DF50,$AD50:$BA50)+SUMIF($BH$3:$CE$3,"&gt;"&amp;$CW$4,$AD50:$BA50)),
IF(BT$3=$DF50+'Model Setup'!$D$7,SUMIF($BH$3:$CE$3,"="&amp;$DF50+'Model Setup'!$D$7,$AD50:$BA50)+'Model Setup'!$D$8*(SUMIF($BH$3:$CE$3,"&lt;"&amp;$DF50,$AD50:$BA50)+SUMIF($BH$3:$CE$3,"&gt;"&amp;$CW$4,$AD50:$BA50)),
IF(BT$3=$DF50+'Model Setup'!$E$7,SUMIF($BH$3:$CE$3,"="&amp;$DF50+'Model Setup'!$E$7,$AD50:$BA50)+'Model Setup'!$E$8*(SUMIF($BH$3:$CE$3,"&lt;"&amp;$DF50,$AD50:$BA50)+SUMIF($BH$3:$CE$3,"&gt;"&amp;$CW$4,$AD50:$BA50)),
IF(BT$3=$DF50+'Model Setup'!$F$7,SUMIF($BH$3:$CE$3,"="&amp;$DF50+'Model Setup'!$F$7,$AD50:$BA50)+'Model Setup'!$F$8*(SUMIF($BH$3:$CE$3,"&lt;"&amp;$DF50,$AD50:$BA50)+SUMIF($BH$3:$CE$3,"&gt;"&amp;$CW$4,$AD50:$BA50)),
IF(BT$3=$DF50+'Model Setup'!$G$7,SUMIF($BH$3:$CE$3,"="&amp;$DF50+'Model Setup'!$G$7,$AD50:$BA50)+'Model Setup'!$G$8*(SUMIF($BH$3:$CE$3,"&lt;"&amp;$DF50,$AD50:$BA50)+SUMIF($BH$3:$CE$3,"&gt;"&amp;$CW$4,$AD50:$BA50)),
IF(BT$3=$DF50+'Model Setup'!$H$7,SUMIF($BH$3:$CE$3,"="&amp;$DF50+'Model Setup'!$H$7,$AD50:$BA50)+'Model Setup'!$H$8*(SUMIF($BH$3:$CE$3,"&lt;"&amp;$DF50,$AD50:$BA50)+SUMIF($BH$3:$CE$3,"&gt;"&amp;$CW$4,$AD50:$BA50)),
IF(BT$3=$DF50+'Model Setup'!$I$7,SUMIF($BH$3:$CE$3,"="&amp;$DF50+'Model Setup'!$I$7,$AD50:$BA50)+'Model Setup'!$I$8*(SUMIF($BH$3:$CE$3,"&lt;"&amp;$DF50,$AD50:$BA50)+SUMIF($BH$3:$CE$3,"&gt;"&amp;$CW$4,$AD50:$BA50)),
IF(BT$3=$DF50+'Model Setup'!$J$7,SUMIF($BH$3:$CE$3,"="&amp;$DF50+'Model Setup'!$J$7,$AD50:$BA50)+'Model Setup'!$J$8*(SUMIF($BH$3:$CE$3,"&lt;"&amp;$DF50,$AD50:$BA50)+SUMIF($BH$3:$CE$3,"&gt;"&amp;$CW$4,$AD50:$BA50)),
IF(BT$3=$DF50+'Model Setup'!$K$7,SUMIF($BH$3:$CE$3,"="&amp;$DF50+'Model Setup'!$K$7,$AD50:$BA50)+'Model Setup'!$K$8*(SUMIF($BH$3:$CE$3,"&lt;"&amp;$DF50,$AD50:$BA50)+SUMIF($BH$3:$CE$3,"&gt;"&amp;$CW$4,$AD50:$BA50)),
IF(BT$3=$DF50+'Model Setup'!$L$7,SUMIF($BH$3:$CE$3,"="&amp;$DF50+'Model Setup'!$L$7,$AD50:$BA50)+'Model Setup'!$L$8*(SUMIF($BH$3:$CE$3,"&lt;"&amp;$DF50,$AD50:$BA50)+SUMIF($BH$3:$CE$3,"&gt;"&amp;$CW$4,$AD50:$BA50)),
IF(BT$3=$DF50+'Model Setup'!$M$7,SUMIF($BH$3:$CE$3,"="&amp;$DF50+'Model Setup'!$M$7,$AD50:$BA50)+'Model Setup'!$M$8*(SUMIF($BH$3:$CE$3,"&lt;"&amp;$DF50,$AD50:$BA50)+SUMIF($BH$3:$CE$3,"&gt;"&amp;$CW$4,$AD50:$BA50)),
IF(BT$3=$DF50+'Model Setup'!$N$7,SUMIF($BH$3:$CE$3,"="&amp;$DF50+'Model Setup'!$N$7,$AD50:$BA50)+'Model Setup'!$N$8*(SUMIF($BH$3:$CE$3,"&lt;"&amp;$DF50,$AD50:$BA50)+SUMIF($BH$3:$CE$3,"&gt;"&amp;$CW$4,$AD50:$BA50)),
IF(BT$3&lt;$CW$4,N50,0))))))))))))))),0)</f>
        <v>13</v>
      </c>
      <c r="BU50" s="47">
        <f>ROUND(IF(OR(BU$3&lt;$DF50,BU$3&gt;$CW$4),0,
IF(BU$3=$DF50+'Model Setup'!$B$7,SUMIF($BH$3:$CE$3,"="&amp;$DF50+'Model Setup'!$B$7,$AD50:$BA50)+'Model Setup'!$B$8*(SUMIF($BH$3:$CE$3,"&lt;"&amp;$DF50,$AD50:$BA50)+SUMIF($BH$3:$CE$3,"&gt;"&amp;$CW$4,$AD50:$BA50)),
IF(BU$3=$DF50+'Model Setup'!$C$7,SUMIF($BH$3:$CE$3,"="&amp;$DF50+'Model Setup'!$C$7,$AD50:$BA50)+'Model Setup'!$C$8*(SUMIF($BH$3:$CE$3,"&lt;"&amp;$DF50,$AD50:$BA50)+SUMIF($BH$3:$CE$3,"&gt;"&amp;$CW$4,$AD50:$BA50)),
IF(BU$3=$DF50+'Model Setup'!$D$7,SUMIF($BH$3:$CE$3,"="&amp;$DF50+'Model Setup'!$D$7,$AD50:$BA50)+'Model Setup'!$D$8*(SUMIF($BH$3:$CE$3,"&lt;"&amp;$DF50,$AD50:$BA50)+SUMIF($BH$3:$CE$3,"&gt;"&amp;$CW$4,$AD50:$BA50)),
IF(BU$3=$DF50+'Model Setup'!$E$7,SUMIF($BH$3:$CE$3,"="&amp;$DF50+'Model Setup'!$E$7,$AD50:$BA50)+'Model Setup'!$E$8*(SUMIF($BH$3:$CE$3,"&lt;"&amp;$DF50,$AD50:$BA50)+SUMIF($BH$3:$CE$3,"&gt;"&amp;$CW$4,$AD50:$BA50)),
IF(BU$3=$DF50+'Model Setup'!$F$7,SUMIF($BH$3:$CE$3,"="&amp;$DF50+'Model Setup'!$F$7,$AD50:$BA50)+'Model Setup'!$F$8*(SUMIF($BH$3:$CE$3,"&lt;"&amp;$DF50,$AD50:$BA50)+SUMIF($BH$3:$CE$3,"&gt;"&amp;$CW$4,$AD50:$BA50)),
IF(BU$3=$DF50+'Model Setup'!$G$7,SUMIF($BH$3:$CE$3,"="&amp;$DF50+'Model Setup'!$G$7,$AD50:$BA50)+'Model Setup'!$G$8*(SUMIF($BH$3:$CE$3,"&lt;"&amp;$DF50,$AD50:$BA50)+SUMIF($BH$3:$CE$3,"&gt;"&amp;$CW$4,$AD50:$BA50)),
IF(BU$3=$DF50+'Model Setup'!$H$7,SUMIF($BH$3:$CE$3,"="&amp;$DF50+'Model Setup'!$H$7,$AD50:$BA50)+'Model Setup'!$H$8*(SUMIF($BH$3:$CE$3,"&lt;"&amp;$DF50,$AD50:$BA50)+SUMIF($BH$3:$CE$3,"&gt;"&amp;$CW$4,$AD50:$BA50)),
IF(BU$3=$DF50+'Model Setup'!$I$7,SUMIF($BH$3:$CE$3,"="&amp;$DF50+'Model Setup'!$I$7,$AD50:$BA50)+'Model Setup'!$I$8*(SUMIF($BH$3:$CE$3,"&lt;"&amp;$DF50,$AD50:$BA50)+SUMIF($BH$3:$CE$3,"&gt;"&amp;$CW$4,$AD50:$BA50)),
IF(BU$3=$DF50+'Model Setup'!$J$7,SUMIF($BH$3:$CE$3,"="&amp;$DF50+'Model Setup'!$J$7,$AD50:$BA50)+'Model Setup'!$J$8*(SUMIF($BH$3:$CE$3,"&lt;"&amp;$DF50,$AD50:$BA50)+SUMIF($BH$3:$CE$3,"&gt;"&amp;$CW$4,$AD50:$BA50)),
IF(BU$3=$DF50+'Model Setup'!$K$7,SUMIF($BH$3:$CE$3,"="&amp;$DF50+'Model Setup'!$K$7,$AD50:$BA50)+'Model Setup'!$K$8*(SUMIF($BH$3:$CE$3,"&lt;"&amp;$DF50,$AD50:$BA50)+SUMIF($BH$3:$CE$3,"&gt;"&amp;$CW$4,$AD50:$BA50)),
IF(BU$3=$DF50+'Model Setup'!$L$7,SUMIF($BH$3:$CE$3,"="&amp;$DF50+'Model Setup'!$L$7,$AD50:$BA50)+'Model Setup'!$L$8*(SUMIF($BH$3:$CE$3,"&lt;"&amp;$DF50,$AD50:$BA50)+SUMIF($BH$3:$CE$3,"&gt;"&amp;$CW$4,$AD50:$BA50)),
IF(BU$3=$DF50+'Model Setup'!$M$7,SUMIF($BH$3:$CE$3,"="&amp;$DF50+'Model Setup'!$M$7,$AD50:$BA50)+'Model Setup'!$M$8*(SUMIF($BH$3:$CE$3,"&lt;"&amp;$DF50,$AD50:$BA50)+SUMIF($BH$3:$CE$3,"&gt;"&amp;$CW$4,$AD50:$BA50)),
IF(BU$3=$DF50+'Model Setup'!$N$7,SUMIF($BH$3:$CE$3,"="&amp;$DF50+'Model Setup'!$N$7,$AD50:$BA50)+'Model Setup'!$N$8*(SUMIF($BH$3:$CE$3,"&lt;"&amp;$DF50,$AD50:$BA50)+SUMIF($BH$3:$CE$3,"&gt;"&amp;$CW$4,$AD50:$BA50)),
IF(BU$3&lt;$CW$4,O50,0))))))))))))))),0)</f>
        <v>10</v>
      </c>
      <c r="BV50" s="47">
        <f>ROUND(IF(OR(BV$3&lt;$DF50,BV$3&gt;$CW$4),0,
IF(BV$3=$DF50+'Model Setup'!$B$7,SUMIF($BH$3:$CE$3,"="&amp;$DF50+'Model Setup'!$B$7,$AD50:$BA50)+'Model Setup'!$B$8*(SUMIF($BH$3:$CE$3,"&lt;"&amp;$DF50,$AD50:$BA50)+SUMIF($BH$3:$CE$3,"&gt;"&amp;$CW$4,$AD50:$BA50)),
IF(BV$3=$DF50+'Model Setup'!$C$7,SUMIF($BH$3:$CE$3,"="&amp;$DF50+'Model Setup'!$C$7,$AD50:$BA50)+'Model Setup'!$C$8*(SUMIF($BH$3:$CE$3,"&lt;"&amp;$DF50,$AD50:$BA50)+SUMIF($BH$3:$CE$3,"&gt;"&amp;$CW$4,$AD50:$BA50)),
IF(BV$3=$DF50+'Model Setup'!$D$7,SUMIF($BH$3:$CE$3,"="&amp;$DF50+'Model Setup'!$D$7,$AD50:$BA50)+'Model Setup'!$D$8*(SUMIF($BH$3:$CE$3,"&lt;"&amp;$DF50,$AD50:$BA50)+SUMIF($BH$3:$CE$3,"&gt;"&amp;$CW$4,$AD50:$BA50)),
IF(BV$3=$DF50+'Model Setup'!$E$7,SUMIF($BH$3:$CE$3,"="&amp;$DF50+'Model Setup'!$E$7,$AD50:$BA50)+'Model Setup'!$E$8*(SUMIF($BH$3:$CE$3,"&lt;"&amp;$DF50,$AD50:$BA50)+SUMIF($BH$3:$CE$3,"&gt;"&amp;$CW$4,$AD50:$BA50)),
IF(BV$3=$DF50+'Model Setup'!$F$7,SUMIF($BH$3:$CE$3,"="&amp;$DF50+'Model Setup'!$F$7,$AD50:$BA50)+'Model Setup'!$F$8*(SUMIF($BH$3:$CE$3,"&lt;"&amp;$DF50,$AD50:$BA50)+SUMIF($BH$3:$CE$3,"&gt;"&amp;$CW$4,$AD50:$BA50)),
IF(BV$3=$DF50+'Model Setup'!$G$7,SUMIF($BH$3:$CE$3,"="&amp;$DF50+'Model Setup'!$G$7,$AD50:$BA50)+'Model Setup'!$G$8*(SUMIF($BH$3:$CE$3,"&lt;"&amp;$DF50,$AD50:$BA50)+SUMIF($BH$3:$CE$3,"&gt;"&amp;$CW$4,$AD50:$BA50)),
IF(BV$3=$DF50+'Model Setup'!$H$7,SUMIF($BH$3:$CE$3,"="&amp;$DF50+'Model Setup'!$H$7,$AD50:$BA50)+'Model Setup'!$H$8*(SUMIF($BH$3:$CE$3,"&lt;"&amp;$DF50,$AD50:$BA50)+SUMIF($BH$3:$CE$3,"&gt;"&amp;$CW$4,$AD50:$BA50)),
IF(BV$3=$DF50+'Model Setup'!$I$7,SUMIF($BH$3:$CE$3,"="&amp;$DF50+'Model Setup'!$I$7,$AD50:$BA50)+'Model Setup'!$I$8*(SUMIF($BH$3:$CE$3,"&lt;"&amp;$DF50,$AD50:$BA50)+SUMIF($BH$3:$CE$3,"&gt;"&amp;$CW$4,$AD50:$BA50)),
IF(BV$3=$DF50+'Model Setup'!$J$7,SUMIF($BH$3:$CE$3,"="&amp;$DF50+'Model Setup'!$J$7,$AD50:$BA50)+'Model Setup'!$J$8*(SUMIF($BH$3:$CE$3,"&lt;"&amp;$DF50,$AD50:$BA50)+SUMIF($BH$3:$CE$3,"&gt;"&amp;$CW$4,$AD50:$BA50)),
IF(BV$3=$DF50+'Model Setup'!$K$7,SUMIF($BH$3:$CE$3,"="&amp;$DF50+'Model Setup'!$K$7,$AD50:$BA50)+'Model Setup'!$K$8*(SUMIF($BH$3:$CE$3,"&lt;"&amp;$DF50,$AD50:$BA50)+SUMIF($BH$3:$CE$3,"&gt;"&amp;$CW$4,$AD50:$BA50)),
IF(BV$3=$DF50+'Model Setup'!$L$7,SUMIF($BH$3:$CE$3,"="&amp;$DF50+'Model Setup'!$L$7,$AD50:$BA50)+'Model Setup'!$L$8*(SUMIF($BH$3:$CE$3,"&lt;"&amp;$DF50,$AD50:$BA50)+SUMIF($BH$3:$CE$3,"&gt;"&amp;$CW$4,$AD50:$BA50)),
IF(BV$3=$DF50+'Model Setup'!$M$7,SUMIF($BH$3:$CE$3,"="&amp;$DF50+'Model Setup'!$M$7,$AD50:$BA50)+'Model Setup'!$M$8*(SUMIF($BH$3:$CE$3,"&lt;"&amp;$DF50,$AD50:$BA50)+SUMIF($BH$3:$CE$3,"&gt;"&amp;$CW$4,$AD50:$BA50)),
IF(BV$3=$DF50+'Model Setup'!$N$7,SUMIF($BH$3:$CE$3,"="&amp;$DF50+'Model Setup'!$N$7,$AD50:$BA50)+'Model Setup'!$N$8*(SUMIF($BH$3:$CE$3,"&lt;"&amp;$DF50,$AD50:$BA50)+SUMIF($BH$3:$CE$3,"&gt;"&amp;$CW$4,$AD50:$BA50)),
IF(BV$3&lt;$CW$4,P50,0))))))))))))))),0)</f>
        <v>12</v>
      </c>
      <c r="BW50" s="47">
        <f>ROUND(IF(OR(BW$3&lt;$DF50,BW$3&gt;$CW$4),0,
IF(BW$3=$DF50+'Model Setup'!$B$7,SUMIF($BH$3:$CE$3,"="&amp;$DF50+'Model Setup'!$B$7,$AD50:$BA50)+'Model Setup'!$B$8*(SUMIF($BH$3:$CE$3,"&lt;"&amp;$DF50,$AD50:$BA50)+SUMIF($BH$3:$CE$3,"&gt;"&amp;$CW$4,$AD50:$BA50)),
IF(BW$3=$DF50+'Model Setup'!$C$7,SUMIF($BH$3:$CE$3,"="&amp;$DF50+'Model Setup'!$C$7,$AD50:$BA50)+'Model Setup'!$C$8*(SUMIF($BH$3:$CE$3,"&lt;"&amp;$DF50,$AD50:$BA50)+SUMIF($BH$3:$CE$3,"&gt;"&amp;$CW$4,$AD50:$BA50)),
IF(BW$3=$DF50+'Model Setup'!$D$7,SUMIF($BH$3:$CE$3,"="&amp;$DF50+'Model Setup'!$D$7,$AD50:$BA50)+'Model Setup'!$D$8*(SUMIF($BH$3:$CE$3,"&lt;"&amp;$DF50,$AD50:$BA50)+SUMIF($BH$3:$CE$3,"&gt;"&amp;$CW$4,$AD50:$BA50)),
IF(BW$3=$DF50+'Model Setup'!$E$7,SUMIF($BH$3:$CE$3,"="&amp;$DF50+'Model Setup'!$E$7,$AD50:$BA50)+'Model Setup'!$E$8*(SUMIF($BH$3:$CE$3,"&lt;"&amp;$DF50,$AD50:$BA50)+SUMIF($BH$3:$CE$3,"&gt;"&amp;$CW$4,$AD50:$BA50)),
IF(BW$3=$DF50+'Model Setup'!$F$7,SUMIF($BH$3:$CE$3,"="&amp;$DF50+'Model Setup'!$F$7,$AD50:$BA50)+'Model Setup'!$F$8*(SUMIF($BH$3:$CE$3,"&lt;"&amp;$DF50,$AD50:$BA50)+SUMIF($BH$3:$CE$3,"&gt;"&amp;$CW$4,$AD50:$BA50)),
IF(BW$3=$DF50+'Model Setup'!$G$7,SUMIF($BH$3:$CE$3,"="&amp;$DF50+'Model Setup'!$G$7,$AD50:$BA50)+'Model Setup'!$G$8*(SUMIF($BH$3:$CE$3,"&lt;"&amp;$DF50,$AD50:$BA50)+SUMIF($BH$3:$CE$3,"&gt;"&amp;$CW$4,$AD50:$BA50)),
IF(BW$3=$DF50+'Model Setup'!$H$7,SUMIF($BH$3:$CE$3,"="&amp;$DF50+'Model Setup'!$H$7,$AD50:$BA50)+'Model Setup'!$H$8*(SUMIF($BH$3:$CE$3,"&lt;"&amp;$DF50,$AD50:$BA50)+SUMIF($BH$3:$CE$3,"&gt;"&amp;$CW$4,$AD50:$BA50)),
IF(BW$3=$DF50+'Model Setup'!$I$7,SUMIF($BH$3:$CE$3,"="&amp;$DF50+'Model Setup'!$I$7,$AD50:$BA50)+'Model Setup'!$I$8*(SUMIF($BH$3:$CE$3,"&lt;"&amp;$DF50,$AD50:$BA50)+SUMIF($BH$3:$CE$3,"&gt;"&amp;$CW$4,$AD50:$BA50)),
IF(BW$3=$DF50+'Model Setup'!$J$7,SUMIF($BH$3:$CE$3,"="&amp;$DF50+'Model Setup'!$J$7,$AD50:$BA50)+'Model Setup'!$J$8*(SUMIF($BH$3:$CE$3,"&lt;"&amp;$DF50,$AD50:$BA50)+SUMIF($BH$3:$CE$3,"&gt;"&amp;$CW$4,$AD50:$BA50)),
IF(BW$3=$DF50+'Model Setup'!$K$7,SUMIF($BH$3:$CE$3,"="&amp;$DF50+'Model Setup'!$K$7,$AD50:$BA50)+'Model Setup'!$K$8*(SUMIF($BH$3:$CE$3,"&lt;"&amp;$DF50,$AD50:$BA50)+SUMIF($BH$3:$CE$3,"&gt;"&amp;$CW$4,$AD50:$BA50)),
IF(BW$3=$DF50+'Model Setup'!$L$7,SUMIF($BH$3:$CE$3,"="&amp;$DF50+'Model Setup'!$L$7,$AD50:$BA50)+'Model Setup'!$L$8*(SUMIF($BH$3:$CE$3,"&lt;"&amp;$DF50,$AD50:$BA50)+SUMIF($BH$3:$CE$3,"&gt;"&amp;$CW$4,$AD50:$BA50)),
IF(BW$3=$DF50+'Model Setup'!$M$7,SUMIF($BH$3:$CE$3,"="&amp;$DF50+'Model Setup'!$M$7,$AD50:$BA50)+'Model Setup'!$M$8*(SUMIF($BH$3:$CE$3,"&lt;"&amp;$DF50,$AD50:$BA50)+SUMIF($BH$3:$CE$3,"&gt;"&amp;$CW$4,$AD50:$BA50)),
IF(BW$3=$DF50+'Model Setup'!$N$7,SUMIF($BH$3:$CE$3,"="&amp;$DF50+'Model Setup'!$N$7,$AD50:$BA50)+'Model Setup'!$N$8*(SUMIF($BH$3:$CE$3,"&lt;"&amp;$DF50,$AD50:$BA50)+SUMIF($BH$3:$CE$3,"&gt;"&amp;$CW$4,$AD50:$BA50)),
IF(BW$3&lt;$CW$4,Q50,0))))))))))))))),0)</f>
        <v>6</v>
      </c>
      <c r="BX50" s="47">
        <f>ROUND(IF(OR(BX$3&lt;$DF50,BX$3&gt;$CW$4),0,
IF(BX$3=$DF50+'Model Setup'!$B$7,SUMIF($BH$3:$CE$3,"="&amp;$DF50+'Model Setup'!$B$7,$AD50:$BA50)+'Model Setup'!$B$8*(SUMIF($BH$3:$CE$3,"&lt;"&amp;$DF50,$AD50:$BA50)+SUMIF($BH$3:$CE$3,"&gt;"&amp;$CW$4,$AD50:$BA50)),
IF(BX$3=$DF50+'Model Setup'!$C$7,SUMIF($BH$3:$CE$3,"="&amp;$DF50+'Model Setup'!$C$7,$AD50:$BA50)+'Model Setup'!$C$8*(SUMIF($BH$3:$CE$3,"&lt;"&amp;$DF50,$AD50:$BA50)+SUMIF($BH$3:$CE$3,"&gt;"&amp;$CW$4,$AD50:$BA50)),
IF(BX$3=$DF50+'Model Setup'!$D$7,SUMIF($BH$3:$CE$3,"="&amp;$DF50+'Model Setup'!$D$7,$AD50:$BA50)+'Model Setup'!$D$8*(SUMIF($BH$3:$CE$3,"&lt;"&amp;$DF50,$AD50:$BA50)+SUMIF($BH$3:$CE$3,"&gt;"&amp;$CW$4,$AD50:$BA50)),
IF(BX$3=$DF50+'Model Setup'!$E$7,SUMIF($BH$3:$CE$3,"="&amp;$DF50+'Model Setup'!$E$7,$AD50:$BA50)+'Model Setup'!$E$8*(SUMIF($BH$3:$CE$3,"&lt;"&amp;$DF50,$AD50:$BA50)+SUMIF($BH$3:$CE$3,"&gt;"&amp;$CW$4,$AD50:$BA50)),
IF(BX$3=$DF50+'Model Setup'!$F$7,SUMIF($BH$3:$CE$3,"="&amp;$DF50+'Model Setup'!$F$7,$AD50:$BA50)+'Model Setup'!$F$8*(SUMIF($BH$3:$CE$3,"&lt;"&amp;$DF50,$AD50:$BA50)+SUMIF($BH$3:$CE$3,"&gt;"&amp;$CW$4,$AD50:$BA50)),
IF(BX$3=$DF50+'Model Setup'!$G$7,SUMIF($BH$3:$CE$3,"="&amp;$DF50+'Model Setup'!$G$7,$AD50:$BA50)+'Model Setup'!$G$8*(SUMIF($BH$3:$CE$3,"&lt;"&amp;$DF50,$AD50:$BA50)+SUMIF($BH$3:$CE$3,"&gt;"&amp;$CW$4,$AD50:$BA50)),
IF(BX$3=$DF50+'Model Setup'!$H$7,SUMIF($BH$3:$CE$3,"="&amp;$DF50+'Model Setup'!$H$7,$AD50:$BA50)+'Model Setup'!$H$8*(SUMIF($BH$3:$CE$3,"&lt;"&amp;$DF50,$AD50:$BA50)+SUMIF($BH$3:$CE$3,"&gt;"&amp;$CW$4,$AD50:$BA50)),
IF(BX$3=$DF50+'Model Setup'!$I$7,SUMIF($BH$3:$CE$3,"="&amp;$DF50+'Model Setup'!$I$7,$AD50:$BA50)+'Model Setup'!$I$8*(SUMIF($BH$3:$CE$3,"&lt;"&amp;$DF50,$AD50:$BA50)+SUMIF($BH$3:$CE$3,"&gt;"&amp;$CW$4,$AD50:$BA50)),
IF(BX$3=$DF50+'Model Setup'!$J$7,SUMIF($BH$3:$CE$3,"="&amp;$DF50+'Model Setup'!$J$7,$AD50:$BA50)+'Model Setup'!$J$8*(SUMIF($BH$3:$CE$3,"&lt;"&amp;$DF50,$AD50:$BA50)+SUMIF($BH$3:$CE$3,"&gt;"&amp;$CW$4,$AD50:$BA50)),
IF(BX$3=$DF50+'Model Setup'!$K$7,SUMIF($BH$3:$CE$3,"="&amp;$DF50+'Model Setup'!$K$7,$AD50:$BA50)+'Model Setup'!$K$8*(SUMIF($BH$3:$CE$3,"&lt;"&amp;$DF50,$AD50:$BA50)+SUMIF($BH$3:$CE$3,"&gt;"&amp;$CW$4,$AD50:$BA50)),
IF(BX$3=$DF50+'Model Setup'!$L$7,SUMIF($BH$3:$CE$3,"="&amp;$DF50+'Model Setup'!$L$7,$AD50:$BA50)+'Model Setup'!$L$8*(SUMIF($BH$3:$CE$3,"&lt;"&amp;$DF50,$AD50:$BA50)+SUMIF($BH$3:$CE$3,"&gt;"&amp;$CW$4,$AD50:$BA50)),
IF(BX$3=$DF50+'Model Setup'!$M$7,SUMIF($BH$3:$CE$3,"="&amp;$DF50+'Model Setup'!$M$7,$AD50:$BA50)+'Model Setup'!$M$8*(SUMIF($BH$3:$CE$3,"&lt;"&amp;$DF50,$AD50:$BA50)+SUMIF($BH$3:$CE$3,"&gt;"&amp;$CW$4,$AD50:$BA50)),
IF(BX$3=$DF50+'Model Setup'!$N$7,SUMIF($BH$3:$CE$3,"="&amp;$DF50+'Model Setup'!$N$7,$AD50:$BA50)+'Model Setup'!$N$8*(SUMIF($BH$3:$CE$3,"&lt;"&amp;$DF50,$AD50:$BA50)+SUMIF($BH$3:$CE$3,"&gt;"&amp;$CW$4,$AD50:$BA50)),
IF(BX$3&lt;$CW$4,R50,0))))))))))))))),0)</f>
        <v>5</v>
      </c>
      <c r="BY50" s="47">
        <f>ROUND(IF(OR(BY$3&lt;$DF50,BY$3&gt;$CW$4),0,
IF(BY$3=$DF50+'Model Setup'!$B$7,SUMIF($BH$3:$CE$3,"="&amp;$DF50+'Model Setup'!$B$7,$AD50:$BA50)+'Model Setup'!$B$8*(SUMIF($BH$3:$CE$3,"&lt;"&amp;$DF50,$AD50:$BA50)+SUMIF($BH$3:$CE$3,"&gt;"&amp;$CW$4,$AD50:$BA50)),
IF(BY$3=$DF50+'Model Setup'!$C$7,SUMIF($BH$3:$CE$3,"="&amp;$DF50+'Model Setup'!$C$7,$AD50:$BA50)+'Model Setup'!$C$8*(SUMIF($BH$3:$CE$3,"&lt;"&amp;$DF50,$AD50:$BA50)+SUMIF($BH$3:$CE$3,"&gt;"&amp;$CW$4,$AD50:$BA50)),
IF(BY$3=$DF50+'Model Setup'!$D$7,SUMIF($BH$3:$CE$3,"="&amp;$DF50+'Model Setup'!$D$7,$AD50:$BA50)+'Model Setup'!$D$8*(SUMIF($BH$3:$CE$3,"&lt;"&amp;$DF50,$AD50:$BA50)+SUMIF($BH$3:$CE$3,"&gt;"&amp;$CW$4,$AD50:$BA50)),
IF(BY$3=$DF50+'Model Setup'!$E$7,SUMIF($BH$3:$CE$3,"="&amp;$DF50+'Model Setup'!$E$7,$AD50:$BA50)+'Model Setup'!$E$8*(SUMIF($BH$3:$CE$3,"&lt;"&amp;$DF50,$AD50:$BA50)+SUMIF($BH$3:$CE$3,"&gt;"&amp;$CW$4,$AD50:$BA50)),
IF(BY$3=$DF50+'Model Setup'!$F$7,SUMIF($BH$3:$CE$3,"="&amp;$DF50+'Model Setup'!$F$7,$AD50:$BA50)+'Model Setup'!$F$8*(SUMIF($BH$3:$CE$3,"&lt;"&amp;$DF50,$AD50:$BA50)+SUMIF($BH$3:$CE$3,"&gt;"&amp;$CW$4,$AD50:$BA50)),
IF(BY$3=$DF50+'Model Setup'!$G$7,SUMIF($BH$3:$CE$3,"="&amp;$DF50+'Model Setup'!$G$7,$AD50:$BA50)+'Model Setup'!$G$8*(SUMIF($BH$3:$CE$3,"&lt;"&amp;$DF50,$AD50:$BA50)+SUMIF($BH$3:$CE$3,"&gt;"&amp;$CW$4,$AD50:$BA50)),
IF(BY$3=$DF50+'Model Setup'!$H$7,SUMIF($BH$3:$CE$3,"="&amp;$DF50+'Model Setup'!$H$7,$AD50:$BA50)+'Model Setup'!$H$8*(SUMIF($BH$3:$CE$3,"&lt;"&amp;$DF50,$AD50:$BA50)+SUMIF($BH$3:$CE$3,"&gt;"&amp;$CW$4,$AD50:$BA50)),
IF(BY$3=$DF50+'Model Setup'!$I$7,SUMIF($BH$3:$CE$3,"="&amp;$DF50+'Model Setup'!$I$7,$AD50:$BA50)+'Model Setup'!$I$8*(SUMIF($BH$3:$CE$3,"&lt;"&amp;$DF50,$AD50:$BA50)+SUMIF($BH$3:$CE$3,"&gt;"&amp;$CW$4,$AD50:$BA50)),
IF(BY$3=$DF50+'Model Setup'!$J$7,SUMIF($BH$3:$CE$3,"="&amp;$DF50+'Model Setup'!$J$7,$AD50:$BA50)+'Model Setup'!$J$8*(SUMIF($BH$3:$CE$3,"&lt;"&amp;$DF50,$AD50:$BA50)+SUMIF($BH$3:$CE$3,"&gt;"&amp;$CW$4,$AD50:$BA50)),
IF(BY$3=$DF50+'Model Setup'!$K$7,SUMIF($BH$3:$CE$3,"="&amp;$DF50+'Model Setup'!$K$7,$AD50:$BA50)+'Model Setup'!$K$8*(SUMIF($BH$3:$CE$3,"&lt;"&amp;$DF50,$AD50:$BA50)+SUMIF($BH$3:$CE$3,"&gt;"&amp;$CW$4,$AD50:$BA50)),
IF(BY$3=$DF50+'Model Setup'!$L$7,SUMIF($BH$3:$CE$3,"="&amp;$DF50+'Model Setup'!$L$7,$AD50:$BA50)+'Model Setup'!$L$8*(SUMIF($BH$3:$CE$3,"&lt;"&amp;$DF50,$AD50:$BA50)+SUMIF($BH$3:$CE$3,"&gt;"&amp;$CW$4,$AD50:$BA50)),
IF(BY$3=$DF50+'Model Setup'!$M$7,SUMIF($BH$3:$CE$3,"="&amp;$DF50+'Model Setup'!$M$7,$AD50:$BA50)+'Model Setup'!$M$8*(SUMIF($BH$3:$CE$3,"&lt;"&amp;$DF50,$AD50:$BA50)+SUMIF($BH$3:$CE$3,"&gt;"&amp;$CW$4,$AD50:$BA50)),
IF(BY$3=$DF50+'Model Setup'!$N$7,SUMIF($BH$3:$CE$3,"="&amp;$DF50+'Model Setup'!$N$7,$AD50:$BA50)+'Model Setup'!$N$8*(SUMIF($BH$3:$CE$3,"&lt;"&amp;$DF50,$AD50:$BA50)+SUMIF($BH$3:$CE$3,"&gt;"&amp;$CW$4,$AD50:$BA50)),
IF(BY$3&lt;$CW$4,S50,0))))))))))))))),0)</f>
        <v>30</v>
      </c>
      <c r="BZ50" s="47">
        <f>ROUND(IF(OR(BZ$3&lt;$DF50,BZ$3&gt;$CW$4),0,
IF(BZ$3=$DF50+'Model Setup'!$B$7,SUMIF($BH$3:$CE$3,"="&amp;$DF50+'Model Setup'!$B$7,$AD50:$BA50)+'Model Setup'!$B$8*(SUMIF($BH$3:$CE$3,"&lt;"&amp;$DF50,$AD50:$BA50)+SUMIF($BH$3:$CE$3,"&gt;"&amp;$CW$4,$AD50:$BA50)),
IF(BZ$3=$DF50+'Model Setup'!$C$7,SUMIF($BH$3:$CE$3,"="&amp;$DF50+'Model Setup'!$C$7,$AD50:$BA50)+'Model Setup'!$C$8*(SUMIF($BH$3:$CE$3,"&lt;"&amp;$DF50,$AD50:$BA50)+SUMIF($BH$3:$CE$3,"&gt;"&amp;$CW$4,$AD50:$BA50)),
IF(BZ$3=$DF50+'Model Setup'!$D$7,SUMIF($BH$3:$CE$3,"="&amp;$DF50+'Model Setup'!$D$7,$AD50:$BA50)+'Model Setup'!$D$8*(SUMIF($BH$3:$CE$3,"&lt;"&amp;$DF50,$AD50:$BA50)+SUMIF($BH$3:$CE$3,"&gt;"&amp;$CW$4,$AD50:$BA50)),
IF(BZ$3=$DF50+'Model Setup'!$E$7,SUMIF($BH$3:$CE$3,"="&amp;$DF50+'Model Setup'!$E$7,$AD50:$BA50)+'Model Setup'!$E$8*(SUMIF($BH$3:$CE$3,"&lt;"&amp;$DF50,$AD50:$BA50)+SUMIF($BH$3:$CE$3,"&gt;"&amp;$CW$4,$AD50:$BA50)),
IF(BZ$3=$DF50+'Model Setup'!$F$7,SUMIF($BH$3:$CE$3,"="&amp;$DF50+'Model Setup'!$F$7,$AD50:$BA50)+'Model Setup'!$F$8*(SUMIF($BH$3:$CE$3,"&lt;"&amp;$DF50,$AD50:$BA50)+SUMIF($BH$3:$CE$3,"&gt;"&amp;$CW$4,$AD50:$BA50)),
IF(BZ$3=$DF50+'Model Setup'!$G$7,SUMIF($BH$3:$CE$3,"="&amp;$DF50+'Model Setup'!$G$7,$AD50:$BA50)+'Model Setup'!$G$8*(SUMIF($BH$3:$CE$3,"&lt;"&amp;$DF50,$AD50:$BA50)+SUMIF($BH$3:$CE$3,"&gt;"&amp;$CW$4,$AD50:$BA50)),
IF(BZ$3=$DF50+'Model Setup'!$H$7,SUMIF($BH$3:$CE$3,"="&amp;$DF50+'Model Setup'!$H$7,$AD50:$BA50)+'Model Setup'!$H$8*(SUMIF($BH$3:$CE$3,"&lt;"&amp;$DF50,$AD50:$BA50)+SUMIF($BH$3:$CE$3,"&gt;"&amp;$CW$4,$AD50:$BA50)),
IF(BZ$3=$DF50+'Model Setup'!$I$7,SUMIF($BH$3:$CE$3,"="&amp;$DF50+'Model Setup'!$I$7,$AD50:$BA50)+'Model Setup'!$I$8*(SUMIF($BH$3:$CE$3,"&lt;"&amp;$DF50,$AD50:$BA50)+SUMIF($BH$3:$CE$3,"&gt;"&amp;$CW$4,$AD50:$BA50)),
IF(BZ$3=$DF50+'Model Setup'!$J$7,SUMIF($BH$3:$CE$3,"="&amp;$DF50+'Model Setup'!$J$7,$AD50:$BA50)+'Model Setup'!$J$8*(SUMIF($BH$3:$CE$3,"&lt;"&amp;$DF50,$AD50:$BA50)+SUMIF($BH$3:$CE$3,"&gt;"&amp;$CW$4,$AD50:$BA50)),
IF(BZ$3=$DF50+'Model Setup'!$K$7,SUMIF($BH$3:$CE$3,"="&amp;$DF50+'Model Setup'!$K$7,$AD50:$BA50)+'Model Setup'!$K$8*(SUMIF($BH$3:$CE$3,"&lt;"&amp;$DF50,$AD50:$BA50)+SUMIF($BH$3:$CE$3,"&gt;"&amp;$CW$4,$AD50:$BA50)),
IF(BZ$3=$DF50+'Model Setup'!$L$7,SUMIF($BH$3:$CE$3,"="&amp;$DF50+'Model Setup'!$L$7,$AD50:$BA50)+'Model Setup'!$L$8*(SUMIF($BH$3:$CE$3,"&lt;"&amp;$DF50,$AD50:$BA50)+SUMIF($BH$3:$CE$3,"&gt;"&amp;$CW$4,$AD50:$BA50)),
IF(BZ$3=$DF50+'Model Setup'!$M$7,SUMIF($BH$3:$CE$3,"="&amp;$DF50+'Model Setup'!$M$7,$AD50:$BA50)+'Model Setup'!$M$8*(SUMIF($BH$3:$CE$3,"&lt;"&amp;$DF50,$AD50:$BA50)+SUMIF($BH$3:$CE$3,"&gt;"&amp;$CW$4,$AD50:$BA50)),
IF(BZ$3=$DF50+'Model Setup'!$N$7,SUMIF($BH$3:$CE$3,"="&amp;$DF50+'Model Setup'!$N$7,$AD50:$BA50)+'Model Setup'!$N$8*(SUMIF($BH$3:$CE$3,"&lt;"&amp;$DF50,$AD50:$BA50)+SUMIF($BH$3:$CE$3,"&gt;"&amp;$CW$4,$AD50:$BA50)),
IF(BZ$3&lt;$CW$4,T50,0))))))))))))))),0)</f>
        <v>34</v>
      </c>
      <c r="CA50" s="47">
        <f>ROUND(IF(OR(CA$3&lt;$DF50,CA$3&gt;$CW$4),0,
IF(CA$3=$DF50+'Model Setup'!$B$7,SUMIF($BH$3:$CE$3,"="&amp;$DF50+'Model Setup'!$B$7,$AD50:$BA50)+'Model Setup'!$B$8*(SUMIF($BH$3:$CE$3,"&lt;"&amp;$DF50,$AD50:$BA50)+SUMIF($BH$3:$CE$3,"&gt;"&amp;$CW$4,$AD50:$BA50)),
IF(CA$3=$DF50+'Model Setup'!$C$7,SUMIF($BH$3:$CE$3,"="&amp;$DF50+'Model Setup'!$C$7,$AD50:$BA50)+'Model Setup'!$C$8*(SUMIF($BH$3:$CE$3,"&lt;"&amp;$DF50,$AD50:$BA50)+SUMIF($BH$3:$CE$3,"&gt;"&amp;$CW$4,$AD50:$BA50)),
IF(CA$3=$DF50+'Model Setup'!$D$7,SUMIF($BH$3:$CE$3,"="&amp;$DF50+'Model Setup'!$D$7,$AD50:$BA50)+'Model Setup'!$D$8*(SUMIF($BH$3:$CE$3,"&lt;"&amp;$DF50,$AD50:$BA50)+SUMIF($BH$3:$CE$3,"&gt;"&amp;$CW$4,$AD50:$BA50)),
IF(CA$3=$DF50+'Model Setup'!$E$7,SUMIF($BH$3:$CE$3,"="&amp;$DF50+'Model Setup'!$E$7,$AD50:$BA50)+'Model Setup'!$E$8*(SUMIF($BH$3:$CE$3,"&lt;"&amp;$DF50,$AD50:$BA50)+SUMIF($BH$3:$CE$3,"&gt;"&amp;$CW$4,$AD50:$BA50)),
IF(CA$3=$DF50+'Model Setup'!$F$7,SUMIF($BH$3:$CE$3,"="&amp;$DF50+'Model Setup'!$F$7,$AD50:$BA50)+'Model Setup'!$F$8*(SUMIF($BH$3:$CE$3,"&lt;"&amp;$DF50,$AD50:$BA50)+SUMIF($BH$3:$CE$3,"&gt;"&amp;$CW$4,$AD50:$BA50)),
IF(CA$3=$DF50+'Model Setup'!$G$7,SUMIF($BH$3:$CE$3,"="&amp;$DF50+'Model Setup'!$G$7,$AD50:$BA50)+'Model Setup'!$G$8*(SUMIF($BH$3:$CE$3,"&lt;"&amp;$DF50,$AD50:$BA50)+SUMIF($BH$3:$CE$3,"&gt;"&amp;$CW$4,$AD50:$BA50)),
IF(CA$3=$DF50+'Model Setup'!$H$7,SUMIF($BH$3:$CE$3,"="&amp;$DF50+'Model Setup'!$H$7,$AD50:$BA50)+'Model Setup'!$H$8*(SUMIF($BH$3:$CE$3,"&lt;"&amp;$DF50,$AD50:$BA50)+SUMIF($BH$3:$CE$3,"&gt;"&amp;$CW$4,$AD50:$BA50)),
IF(CA$3=$DF50+'Model Setup'!$I$7,SUMIF($BH$3:$CE$3,"="&amp;$DF50+'Model Setup'!$I$7,$AD50:$BA50)+'Model Setup'!$I$8*(SUMIF($BH$3:$CE$3,"&lt;"&amp;$DF50,$AD50:$BA50)+SUMIF($BH$3:$CE$3,"&gt;"&amp;$CW$4,$AD50:$BA50)),
IF(CA$3=$DF50+'Model Setup'!$J$7,SUMIF($BH$3:$CE$3,"="&amp;$DF50+'Model Setup'!$J$7,$AD50:$BA50)+'Model Setup'!$J$8*(SUMIF($BH$3:$CE$3,"&lt;"&amp;$DF50,$AD50:$BA50)+SUMIF($BH$3:$CE$3,"&gt;"&amp;$CW$4,$AD50:$BA50)),
IF(CA$3=$DF50+'Model Setup'!$K$7,SUMIF($BH$3:$CE$3,"="&amp;$DF50+'Model Setup'!$K$7,$AD50:$BA50)+'Model Setup'!$K$8*(SUMIF($BH$3:$CE$3,"&lt;"&amp;$DF50,$AD50:$BA50)+SUMIF($BH$3:$CE$3,"&gt;"&amp;$CW$4,$AD50:$BA50)),
IF(CA$3=$DF50+'Model Setup'!$L$7,SUMIF($BH$3:$CE$3,"="&amp;$DF50+'Model Setup'!$L$7,$AD50:$BA50)+'Model Setup'!$L$8*(SUMIF($BH$3:$CE$3,"&lt;"&amp;$DF50,$AD50:$BA50)+SUMIF($BH$3:$CE$3,"&gt;"&amp;$CW$4,$AD50:$BA50)),
IF(CA$3=$DF50+'Model Setup'!$M$7,SUMIF($BH$3:$CE$3,"="&amp;$DF50+'Model Setup'!$M$7,$AD50:$BA50)+'Model Setup'!$M$8*(SUMIF($BH$3:$CE$3,"&lt;"&amp;$DF50,$AD50:$BA50)+SUMIF($BH$3:$CE$3,"&gt;"&amp;$CW$4,$AD50:$BA50)),
IF(CA$3=$DF50+'Model Setup'!$N$7,SUMIF($BH$3:$CE$3,"="&amp;$DF50+'Model Setup'!$N$7,$AD50:$BA50)+'Model Setup'!$N$8*(SUMIF($BH$3:$CE$3,"&lt;"&amp;$DF50,$AD50:$BA50)+SUMIF($BH$3:$CE$3,"&gt;"&amp;$CW$4,$AD50:$BA50)),
IF(CA$3&lt;$CW$4,U50,0))))))))))))))),0)</f>
        <v>0</v>
      </c>
      <c r="CB50" s="47">
        <f>ROUND(IF(OR(CB$3&lt;$DF50,CB$3&gt;$CW$4),0,
IF(CB$3=$DF50+'Model Setup'!$B$7,SUMIF($BH$3:$CE$3,"="&amp;$DF50+'Model Setup'!$B$7,$AD50:$BA50)+'Model Setup'!$B$8*(SUMIF($BH$3:$CE$3,"&lt;"&amp;$DF50,$AD50:$BA50)+SUMIF($BH$3:$CE$3,"&gt;"&amp;$CW$4,$AD50:$BA50)),
IF(CB$3=$DF50+'Model Setup'!$C$7,SUMIF($BH$3:$CE$3,"="&amp;$DF50+'Model Setup'!$C$7,$AD50:$BA50)+'Model Setup'!$C$8*(SUMIF($BH$3:$CE$3,"&lt;"&amp;$DF50,$AD50:$BA50)+SUMIF($BH$3:$CE$3,"&gt;"&amp;$CW$4,$AD50:$BA50)),
IF(CB$3=$DF50+'Model Setup'!$D$7,SUMIF($BH$3:$CE$3,"="&amp;$DF50+'Model Setup'!$D$7,$AD50:$BA50)+'Model Setup'!$D$8*(SUMIF($BH$3:$CE$3,"&lt;"&amp;$DF50,$AD50:$BA50)+SUMIF($BH$3:$CE$3,"&gt;"&amp;$CW$4,$AD50:$BA50)),
IF(CB$3=$DF50+'Model Setup'!$E$7,SUMIF($BH$3:$CE$3,"="&amp;$DF50+'Model Setup'!$E$7,$AD50:$BA50)+'Model Setup'!$E$8*(SUMIF($BH$3:$CE$3,"&lt;"&amp;$DF50,$AD50:$BA50)+SUMIF($BH$3:$CE$3,"&gt;"&amp;$CW$4,$AD50:$BA50)),
IF(CB$3=$DF50+'Model Setup'!$F$7,SUMIF($BH$3:$CE$3,"="&amp;$DF50+'Model Setup'!$F$7,$AD50:$BA50)+'Model Setup'!$F$8*(SUMIF($BH$3:$CE$3,"&lt;"&amp;$DF50,$AD50:$BA50)+SUMIF($BH$3:$CE$3,"&gt;"&amp;$CW$4,$AD50:$BA50)),
IF(CB$3=$DF50+'Model Setup'!$G$7,SUMIF($BH$3:$CE$3,"="&amp;$DF50+'Model Setup'!$G$7,$AD50:$BA50)+'Model Setup'!$G$8*(SUMIF($BH$3:$CE$3,"&lt;"&amp;$DF50,$AD50:$BA50)+SUMIF($BH$3:$CE$3,"&gt;"&amp;$CW$4,$AD50:$BA50)),
IF(CB$3=$DF50+'Model Setup'!$H$7,SUMIF($BH$3:$CE$3,"="&amp;$DF50+'Model Setup'!$H$7,$AD50:$BA50)+'Model Setup'!$H$8*(SUMIF($BH$3:$CE$3,"&lt;"&amp;$DF50,$AD50:$BA50)+SUMIF($BH$3:$CE$3,"&gt;"&amp;$CW$4,$AD50:$BA50)),
IF(CB$3=$DF50+'Model Setup'!$I$7,SUMIF($BH$3:$CE$3,"="&amp;$DF50+'Model Setup'!$I$7,$AD50:$BA50)+'Model Setup'!$I$8*(SUMIF($BH$3:$CE$3,"&lt;"&amp;$DF50,$AD50:$BA50)+SUMIF($BH$3:$CE$3,"&gt;"&amp;$CW$4,$AD50:$BA50)),
IF(CB$3=$DF50+'Model Setup'!$J$7,SUMIF($BH$3:$CE$3,"="&amp;$DF50+'Model Setup'!$J$7,$AD50:$BA50)+'Model Setup'!$J$8*(SUMIF($BH$3:$CE$3,"&lt;"&amp;$DF50,$AD50:$BA50)+SUMIF($BH$3:$CE$3,"&gt;"&amp;$CW$4,$AD50:$BA50)),
IF(CB$3=$DF50+'Model Setup'!$K$7,SUMIF($BH$3:$CE$3,"="&amp;$DF50+'Model Setup'!$K$7,$AD50:$BA50)+'Model Setup'!$K$8*(SUMIF($BH$3:$CE$3,"&lt;"&amp;$DF50,$AD50:$BA50)+SUMIF($BH$3:$CE$3,"&gt;"&amp;$CW$4,$AD50:$BA50)),
IF(CB$3=$DF50+'Model Setup'!$L$7,SUMIF($BH$3:$CE$3,"="&amp;$DF50+'Model Setup'!$L$7,$AD50:$BA50)+'Model Setup'!$L$8*(SUMIF($BH$3:$CE$3,"&lt;"&amp;$DF50,$AD50:$BA50)+SUMIF($BH$3:$CE$3,"&gt;"&amp;$CW$4,$AD50:$BA50)),
IF(CB$3=$DF50+'Model Setup'!$M$7,SUMIF($BH$3:$CE$3,"="&amp;$DF50+'Model Setup'!$M$7,$AD50:$BA50)+'Model Setup'!$M$8*(SUMIF($BH$3:$CE$3,"&lt;"&amp;$DF50,$AD50:$BA50)+SUMIF($BH$3:$CE$3,"&gt;"&amp;$CW$4,$AD50:$BA50)),
IF(CB$3=$DF50+'Model Setup'!$N$7,SUMIF($BH$3:$CE$3,"="&amp;$DF50+'Model Setup'!$N$7,$AD50:$BA50)+'Model Setup'!$N$8*(SUMIF($BH$3:$CE$3,"&lt;"&amp;$DF50,$AD50:$BA50)+SUMIF($BH$3:$CE$3,"&gt;"&amp;$CW$4,$AD50:$BA50)),
IF(CB$3&lt;$CW$4,V50,0))))))))))))))),0)</f>
        <v>0</v>
      </c>
      <c r="CC50" s="47">
        <f>ROUND(IF(OR(CC$3&lt;$DF50,CC$3&gt;$CW$4),0,
IF(CC$3=$DF50+'Model Setup'!$B$7,SUMIF($BH$3:$CE$3,"="&amp;$DF50+'Model Setup'!$B$7,$AD50:$BA50)+'Model Setup'!$B$8*(SUMIF($BH$3:$CE$3,"&lt;"&amp;$DF50,$AD50:$BA50)+SUMIF($BH$3:$CE$3,"&gt;"&amp;$CW$4,$AD50:$BA50)),
IF(CC$3=$DF50+'Model Setup'!$C$7,SUMIF($BH$3:$CE$3,"="&amp;$DF50+'Model Setup'!$C$7,$AD50:$BA50)+'Model Setup'!$C$8*(SUMIF($BH$3:$CE$3,"&lt;"&amp;$DF50,$AD50:$BA50)+SUMIF($BH$3:$CE$3,"&gt;"&amp;$CW$4,$AD50:$BA50)),
IF(CC$3=$DF50+'Model Setup'!$D$7,SUMIF($BH$3:$CE$3,"="&amp;$DF50+'Model Setup'!$D$7,$AD50:$BA50)+'Model Setup'!$D$8*(SUMIF($BH$3:$CE$3,"&lt;"&amp;$DF50,$AD50:$BA50)+SUMIF($BH$3:$CE$3,"&gt;"&amp;$CW$4,$AD50:$BA50)),
IF(CC$3=$DF50+'Model Setup'!$E$7,SUMIF($BH$3:$CE$3,"="&amp;$DF50+'Model Setup'!$E$7,$AD50:$BA50)+'Model Setup'!$E$8*(SUMIF($BH$3:$CE$3,"&lt;"&amp;$DF50,$AD50:$BA50)+SUMIF($BH$3:$CE$3,"&gt;"&amp;$CW$4,$AD50:$BA50)),
IF(CC$3=$DF50+'Model Setup'!$F$7,SUMIF($BH$3:$CE$3,"="&amp;$DF50+'Model Setup'!$F$7,$AD50:$BA50)+'Model Setup'!$F$8*(SUMIF($BH$3:$CE$3,"&lt;"&amp;$DF50,$AD50:$BA50)+SUMIF($BH$3:$CE$3,"&gt;"&amp;$CW$4,$AD50:$BA50)),
IF(CC$3=$DF50+'Model Setup'!$G$7,SUMIF($BH$3:$CE$3,"="&amp;$DF50+'Model Setup'!$G$7,$AD50:$BA50)+'Model Setup'!$G$8*(SUMIF($BH$3:$CE$3,"&lt;"&amp;$DF50,$AD50:$BA50)+SUMIF($BH$3:$CE$3,"&gt;"&amp;$CW$4,$AD50:$BA50)),
IF(CC$3=$DF50+'Model Setup'!$H$7,SUMIF($BH$3:$CE$3,"="&amp;$DF50+'Model Setup'!$H$7,$AD50:$BA50)+'Model Setup'!$H$8*(SUMIF($BH$3:$CE$3,"&lt;"&amp;$DF50,$AD50:$BA50)+SUMIF($BH$3:$CE$3,"&gt;"&amp;$CW$4,$AD50:$BA50)),
IF(CC$3=$DF50+'Model Setup'!$I$7,SUMIF($BH$3:$CE$3,"="&amp;$DF50+'Model Setup'!$I$7,$AD50:$BA50)+'Model Setup'!$I$8*(SUMIF($BH$3:$CE$3,"&lt;"&amp;$DF50,$AD50:$BA50)+SUMIF($BH$3:$CE$3,"&gt;"&amp;$CW$4,$AD50:$BA50)),
IF(CC$3=$DF50+'Model Setup'!$J$7,SUMIF($BH$3:$CE$3,"="&amp;$DF50+'Model Setup'!$J$7,$AD50:$BA50)+'Model Setup'!$J$8*(SUMIF($BH$3:$CE$3,"&lt;"&amp;$DF50,$AD50:$BA50)+SUMIF($BH$3:$CE$3,"&gt;"&amp;$CW$4,$AD50:$BA50)),
IF(CC$3=$DF50+'Model Setup'!$K$7,SUMIF($BH$3:$CE$3,"="&amp;$DF50+'Model Setup'!$K$7,$AD50:$BA50)+'Model Setup'!$K$8*(SUMIF($BH$3:$CE$3,"&lt;"&amp;$DF50,$AD50:$BA50)+SUMIF($BH$3:$CE$3,"&gt;"&amp;$CW$4,$AD50:$BA50)),
IF(CC$3=$DF50+'Model Setup'!$L$7,SUMIF($BH$3:$CE$3,"="&amp;$DF50+'Model Setup'!$L$7,$AD50:$BA50)+'Model Setup'!$L$8*(SUMIF($BH$3:$CE$3,"&lt;"&amp;$DF50,$AD50:$BA50)+SUMIF($BH$3:$CE$3,"&gt;"&amp;$CW$4,$AD50:$BA50)),
IF(CC$3=$DF50+'Model Setup'!$M$7,SUMIF($BH$3:$CE$3,"="&amp;$DF50+'Model Setup'!$M$7,$AD50:$BA50)+'Model Setup'!$M$8*(SUMIF($BH$3:$CE$3,"&lt;"&amp;$DF50,$AD50:$BA50)+SUMIF($BH$3:$CE$3,"&gt;"&amp;$CW$4,$AD50:$BA50)),
IF(CC$3=$DF50+'Model Setup'!$N$7,SUMIF($BH$3:$CE$3,"="&amp;$DF50+'Model Setup'!$N$7,$AD50:$BA50)+'Model Setup'!$N$8*(SUMIF($BH$3:$CE$3,"&lt;"&amp;$DF50,$AD50:$BA50)+SUMIF($BH$3:$CE$3,"&gt;"&amp;$CW$4,$AD50:$BA50)),
IF(CC$3&lt;$CW$4,W50,0))))))))))))))),0)</f>
        <v>0</v>
      </c>
      <c r="CD50" s="47">
        <f>ROUND(IF(OR(CD$3&lt;$DF50,CD$3&gt;$CW$4),0,
IF(CD$3=$DF50+'Model Setup'!$B$7,SUMIF($BH$3:$CE$3,"="&amp;$DF50+'Model Setup'!$B$7,$AD50:$BA50)+'Model Setup'!$B$8*(SUMIF($BH$3:$CE$3,"&lt;"&amp;$DF50,$AD50:$BA50)+SUMIF($BH$3:$CE$3,"&gt;"&amp;$CW$4,$AD50:$BA50)),
IF(CD$3=$DF50+'Model Setup'!$C$7,SUMIF($BH$3:$CE$3,"="&amp;$DF50+'Model Setup'!$C$7,$AD50:$BA50)+'Model Setup'!$C$8*(SUMIF($BH$3:$CE$3,"&lt;"&amp;$DF50,$AD50:$BA50)+SUMIF($BH$3:$CE$3,"&gt;"&amp;$CW$4,$AD50:$BA50)),
IF(CD$3=$DF50+'Model Setup'!$D$7,SUMIF($BH$3:$CE$3,"="&amp;$DF50+'Model Setup'!$D$7,$AD50:$BA50)+'Model Setup'!$D$8*(SUMIF($BH$3:$CE$3,"&lt;"&amp;$DF50,$AD50:$BA50)+SUMIF($BH$3:$CE$3,"&gt;"&amp;$CW$4,$AD50:$BA50)),
IF(CD$3=$DF50+'Model Setup'!$E$7,SUMIF($BH$3:$CE$3,"="&amp;$DF50+'Model Setup'!$E$7,$AD50:$BA50)+'Model Setup'!$E$8*(SUMIF($BH$3:$CE$3,"&lt;"&amp;$DF50,$AD50:$BA50)+SUMIF($BH$3:$CE$3,"&gt;"&amp;$CW$4,$AD50:$BA50)),
IF(CD$3=$DF50+'Model Setup'!$F$7,SUMIF($BH$3:$CE$3,"="&amp;$DF50+'Model Setup'!$F$7,$AD50:$BA50)+'Model Setup'!$F$8*(SUMIF($BH$3:$CE$3,"&lt;"&amp;$DF50,$AD50:$BA50)+SUMIF($BH$3:$CE$3,"&gt;"&amp;$CW$4,$AD50:$BA50)),
IF(CD$3=$DF50+'Model Setup'!$G$7,SUMIF($BH$3:$CE$3,"="&amp;$DF50+'Model Setup'!$G$7,$AD50:$BA50)+'Model Setup'!$G$8*(SUMIF($BH$3:$CE$3,"&lt;"&amp;$DF50,$AD50:$BA50)+SUMIF($BH$3:$CE$3,"&gt;"&amp;$CW$4,$AD50:$BA50)),
IF(CD$3=$DF50+'Model Setup'!$H$7,SUMIF($BH$3:$CE$3,"="&amp;$DF50+'Model Setup'!$H$7,$AD50:$BA50)+'Model Setup'!$H$8*(SUMIF($BH$3:$CE$3,"&lt;"&amp;$DF50,$AD50:$BA50)+SUMIF($BH$3:$CE$3,"&gt;"&amp;$CW$4,$AD50:$BA50)),
IF(CD$3=$DF50+'Model Setup'!$I$7,SUMIF($BH$3:$CE$3,"="&amp;$DF50+'Model Setup'!$I$7,$AD50:$BA50)+'Model Setup'!$I$8*(SUMIF($BH$3:$CE$3,"&lt;"&amp;$DF50,$AD50:$BA50)+SUMIF($BH$3:$CE$3,"&gt;"&amp;$CW$4,$AD50:$BA50)),
IF(CD$3=$DF50+'Model Setup'!$J$7,SUMIF($BH$3:$CE$3,"="&amp;$DF50+'Model Setup'!$J$7,$AD50:$BA50)+'Model Setup'!$J$8*(SUMIF($BH$3:$CE$3,"&lt;"&amp;$DF50,$AD50:$BA50)+SUMIF($BH$3:$CE$3,"&gt;"&amp;$CW$4,$AD50:$BA50)),
IF(CD$3=$DF50+'Model Setup'!$K$7,SUMIF($BH$3:$CE$3,"="&amp;$DF50+'Model Setup'!$K$7,$AD50:$BA50)+'Model Setup'!$K$8*(SUMIF($BH$3:$CE$3,"&lt;"&amp;$DF50,$AD50:$BA50)+SUMIF($BH$3:$CE$3,"&gt;"&amp;$CW$4,$AD50:$BA50)),
IF(CD$3=$DF50+'Model Setup'!$L$7,SUMIF($BH$3:$CE$3,"="&amp;$DF50+'Model Setup'!$L$7,$AD50:$BA50)+'Model Setup'!$L$8*(SUMIF($BH$3:$CE$3,"&lt;"&amp;$DF50,$AD50:$BA50)+SUMIF($BH$3:$CE$3,"&gt;"&amp;$CW$4,$AD50:$BA50)),
IF(CD$3=$DF50+'Model Setup'!$M$7,SUMIF($BH$3:$CE$3,"="&amp;$DF50+'Model Setup'!$M$7,$AD50:$BA50)+'Model Setup'!$M$8*(SUMIF($BH$3:$CE$3,"&lt;"&amp;$DF50,$AD50:$BA50)+SUMIF($BH$3:$CE$3,"&gt;"&amp;$CW$4,$AD50:$BA50)),
IF(CD$3=$DF50+'Model Setup'!$N$7,SUMIF($BH$3:$CE$3,"="&amp;$DF50+'Model Setup'!$N$7,$AD50:$BA50)+'Model Setup'!$N$8*(SUMIF($BH$3:$CE$3,"&lt;"&amp;$DF50,$AD50:$BA50)+SUMIF($BH$3:$CE$3,"&gt;"&amp;$CW$4,$AD50:$BA50)),
IF(CD$3&lt;$CW$4,X50,0))))))))))))))),0)</f>
        <v>0</v>
      </c>
      <c r="CE50" s="47">
        <f>ROUND(IF(OR(CE$3&lt;$DF50,CE$3&gt;$CW$4),0,
IF(CE$3=$DF50+'Model Setup'!$B$7,SUMIF($BH$3:$CE$3,"="&amp;$DF50+'Model Setup'!$B$7,$AD50:$BA50)+'Model Setup'!$B$8*(SUMIF($BH$3:$CE$3,"&lt;"&amp;$DF50,$AD50:$BA50)+SUMIF($BH$3:$CE$3,"&gt;"&amp;$CW$4,$AD50:$BA50)),
IF(CE$3=$DF50+'Model Setup'!$C$7,SUMIF($BH$3:$CE$3,"="&amp;$DF50+'Model Setup'!$C$7,$AD50:$BA50)+'Model Setup'!$C$8*(SUMIF($BH$3:$CE$3,"&lt;"&amp;$DF50,$AD50:$BA50)+SUMIF($BH$3:$CE$3,"&gt;"&amp;$CW$4,$AD50:$BA50)),
IF(CE$3=$DF50+'Model Setup'!$D$7,SUMIF($BH$3:$CE$3,"="&amp;$DF50+'Model Setup'!$D$7,$AD50:$BA50)+'Model Setup'!$D$8*(SUMIF($BH$3:$CE$3,"&lt;"&amp;$DF50,$AD50:$BA50)+SUMIF($BH$3:$CE$3,"&gt;"&amp;$CW$4,$AD50:$BA50)),
IF(CE$3=$DF50+'Model Setup'!$E$7,SUMIF($BH$3:$CE$3,"="&amp;$DF50+'Model Setup'!$E$7,$AD50:$BA50)+'Model Setup'!$E$8*(SUMIF($BH$3:$CE$3,"&lt;"&amp;$DF50,$AD50:$BA50)+SUMIF($BH$3:$CE$3,"&gt;"&amp;$CW$4,$AD50:$BA50)),
IF(CE$3=$DF50+'Model Setup'!$F$7,SUMIF($BH$3:$CE$3,"="&amp;$DF50+'Model Setup'!$F$7,$AD50:$BA50)+'Model Setup'!$F$8*(SUMIF($BH$3:$CE$3,"&lt;"&amp;$DF50,$AD50:$BA50)+SUMIF($BH$3:$CE$3,"&gt;"&amp;$CW$4,$AD50:$BA50)),
IF(CE$3=$DF50+'Model Setup'!$G$7,SUMIF($BH$3:$CE$3,"="&amp;$DF50+'Model Setup'!$G$7,$AD50:$BA50)+'Model Setup'!$G$8*(SUMIF($BH$3:$CE$3,"&lt;"&amp;$DF50,$AD50:$BA50)+SUMIF($BH$3:$CE$3,"&gt;"&amp;$CW$4,$AD50:$BA50)),
IF(CE$3=$DF50+'Model Setup'!$H$7,SUMIF($BH$3:$CE$3,"="&amp;$DF50+'Model Setup'!$H$7,$AD50:$BA50)+'Model Setup'!$H$8*(SUMIF($BH$3:$CE$3,"&lt;"&amp;$DF50,$AD50:$BA50)+SUMIF($BH$3:$CE$3,"&gt;"&amp;$CW$4,$AD50:$BA50)),
IF(CE$3=$DF50+'Model Setup'!$I$7,SUMIF($BH$3:$CE$3,"="&amp;$DF50+'Model Setup'!$I$7,$AD50:$BA50)+'Model Setup'!$I$8*(SUMIF($BH$3:$CE$3,"&lt;"&amp;$DF50,$AD50:$BA50)+SUMIF($BH$3:$CE$3,"&gt;"&amp;$CW$4,$AD50:$BA50)),
IF(CE$3=$DF50+'Model Setup'!$J$7,SUMIF($BH$3:$CE$3,"="&amp;$DF50+'Model Setup'!$J$7,$AD50:$BA50)+'Model Setup'!$J$8*(SUMIF($BH$3:$CE$3,"&lt;"&amp;$DF50,$AD50:$BA50)+SUMIF($BH$3:$CE$3,"&gt;"&amp;$CW$4,$AD50:$BA50)),
IF(CE$3=$DF50+'Model Setup'!$K$7,SUMIF($BH$3:$CE$3,"="&amp;$DF50+'Model Setup'!$K$7,$AD50:$BA50)+'Model Setup'!$K$8*(SUMIF($BH$3:$CE$3,"&lt;"&amp;$DF50,$AD50:$BA50)+SUMIF($BH$3:$CE$3,"&gt;"&amp;$CW$4,$AD50:$BA50)),
IF(CE$3=$DF50+'Model Setup'!$L$7,SUMIF($BH$3:$CE$3,"="&amp;$DF50+'Model Setup'!$L$7,$AD50:$BA50)+'Model Setup'!$L$8*(SUMIF($BH$3:$CE$3,"&lt;"&amp;$DF50,$AD50:$BA50)+SUMIF($BH$3:$CE$3,"&gt;"&amp;$CW$4,$AD50:$BA50)),
IF(CE$3=$DF50+'Model Setup'!$M$7,SUMIF($BH$3:$CE$3,"="&amp;$DF50+'Model Setup'!$M$7,$AD50:$BA50)+'Model Setup'!$M$8*(SUMIF($BH$3:$CE$3,"&lt;"&amp;$DF50,$AD50:$BA50)+SUMIF($BH$3:$CE$3,"&gt;"&amp;$CW$4,$AD50:$BA50)),
IF(CE$3=$DF50+'Model Setup'!$N$7,SUMIF($BH$3:$CE$3,"="&amp;$DF50+'Model Setup'!$N$7,$AD50:$BA50)+'Model Setup'!$N$8*(SUMIF($BH$3:$CE$3,"&lt;"&amp;$DF50,$AD50:$BA50)+SUMIF($BH$3:$CE$3,"&gt;"&amp;$CW$4,$AD50:$BA50)),
IF(CE$3&lt;$CW$4,Y50,0))))))))))))))),0)</f>
        <v>0</v>
      </c>
      <c r="CF50" s="47">
        <f t="shared" si="3"/>
        <v>325</v>
      </c>
      <c r="CG50" s="47">
        <f t="shared" si="4"/>
        <v>-6</v>
      </c>
      <c r="CI50" s="10" t="s">
        <v>65</v>
      </c>
      <c r="CJ50" s="126">
        <f t="shared" si="9"/>
        <v>0</v>
      </c>
      <c r="CK50" s="126">
        <f t="shared" si="10"/>
        <v>0</v>
      </c>
      <c r="CL50" s="126">
        <f t="shared" si="11"/>
        <v>37</v>
      </c>
      <c r="CM50" s="126">
        <f t="shared" si="12"/>
        <v>39</v>
      </c>
      <c r="CN50" s="126">
        <f t="shared" si="13"/>
        <v>53</v>
      </c>
      <c r="CO50" s="126">
        <f t="shared" si="14"/>
        <v>45</v>
      </c>
      <c r="CP50" s="126">
        <f t="shared" si="15"/>
        <v>41</v>
      </c>
      <c r="CQ50" s="126">
        <f t="shared" si="16"/>
        <v>13</v>
      </c>
      <c r="CR50" s="126">
        <f t="shared" si="17"/>
        <v>10</v>
      </c>
      <c r="CS50" s="126">
        <f t="shared" si="18"/>
        <v>12</v>
      </c>
      <c r="CT50" s="126">
        <f t="shared" si="19"/>
        <v>6</v>
      </c>
      <c r="CU50" s="126">
        <f t="shared" si="20"/>
        <v>5</v>
      </c>
      <c r="CV50" s="126">
        <f t="shared" si="21"/>
        <v>25</v>
      </c>
      <c r="CW50" s="126">
        <f t="shared" si="22"/>
        <v>27</v>
      </c>
      <c r="CX50" s="126">
        <f t="shared" si="23"/>
        <v>18</v>
      </c>
      <c r="CY50" s="126">
        <f t="shared" si="24"/>
        <v>0</v>
      </c>
      <c r="CZ50" s="47">
        <f t="shared" si="7"/>
        <v>313</v>
      </c>
      <c r="DC50" s="93" t="s">
        <v>65</v>
      </c>
      <c r="DD50" s="89">
        <f>FTC!E48</f>
        <v>0.29166666666666669</v>
      </c>
      <c r="DE50" s="89">
        <f>FTC!F48</f>
        <v>0.83333333333333337</v>
      </c>
      <c r="DF50" s="90">
        <f t="shared" si="25"/>
        <v>7</v>
      </c>
      <c r="DG50" s="91">
        <f t="shared" si="26"/>
        <v>20</v>
      </c>
      <c r="DH50" s="91">
        <f t="shared" si="27"/>
        <v>13</v>
      </c>
    </row>
    <row r="51" spans="1:112" x14ac:dyDescent="0.35">
      <c r="A51" s="43" t="s">
        <v>66</v>
      </c>
      <c r="B51" s="47">
        <v>7</v>
      </c>
      <c r="C51" s="47">
        <v>5</v>
      </c>
      <c r="D51" s="47">
        <v>6</v>
      </c>
      <c r="E51" s="47">
        <v>5</v>
      </c>
      <c r="F51" s="47">
        <v>28</v>
      </c>
      <c r="G51" s="47">
        <v>41</v>
      </c>
      <c r="H51" s="47">
        <v>92</v>
      </c>
      <c r="I51" s="47">
        <v>131</v>
      </c>
      <c r="J51" s="47">
        <v>170</v>
      </c>
      <c r="K51" s="47">
        <v>167</v>
      </c>
      <c r="L51" s="47">
        <v>141</v>
      </c>
      <c r="M51" s="47">
        <v>107</v>
      </c>
      <c r="N51" s="47">
        <v>80</v>
      </c>
      <c r="O51" s="47">
        <v>92</v>
      </c>
      <c r="P51" s="47">
        <v>60</v>
      </c>
      <c r="Q51" s="47">
        <v>35</v>
      </c>
      <c r="R51" s="47">
        <v>33</v>
      </c>
      <c r="S51" s="47">
        <v>26</v>
      </c>
      <c r="T51" s="47">
        <v>21</v>
      </c>
      <c r="U51" s="47">
        <v>9</v>
      </c>
      <c r="V51" s="47">
        <v>4</v>
      </c>
      <c r="W51" s="47">
        <v>17</v>
      </c>
      <c r="X51" s="47">
        <v>6</v>
      </c>
      <c r="Y51" s="47">
        <v>3</v>
      </c>
      <c r="Z51" s="47">
        <f t="shared" si="0"/>
        <v>1286</v>
      </c>
      <c r="AC51" s="43" t="s">
        <v>66</v>
      </c>
      <c r="AD51" s="47">
        <f>ROUND(IF(AD$3&lt;$DF51,0,
IF(AD$3=$DF51+'Model Setup'!$B$7,SUMIF($AD$3:$BA$3,"="&amp;$DF51+'Model Setup'!$B$7,$B51:$Y51)+'Model Setup'!$B$8*(SUMIF($AD$3:$BA$3,"&lt;"&amp;$DF51,$B51:$Y51)+SUMIF($AD$3:$BA$3,"&gt;="&amp;$DG51,$B51:$Y51)),
IF(AD$3=$DF51+'Model Setup'!$C$7,SUMIF($AD$3:$BA$3,"="&amp;$DF51+'Model Setup'!$C$7,$B51:$Y51)+'Model Setup'!$C$8*(SUMIF($AD$3:$BA$3,"&lt;"&amp;$DF51,$B51:$Y51)+SUMIF($AD$3:$BA$3,"&gt;="&amp;$DG51,$B51:$Y51)),
IF(AD$3=$DF51+'Model Setup'!$D$7,SUMIF($AD$3:$BA$3,"="&amp;$DF51+'Model Setup'!$D$7,$B51:$Y51)+'Model Setup'!$D$8*(SUMIF($AD$3:$BA$3,"&lt;"&amp;$DF51,$B51:$Y51)+SUMIF($AD$3:$BA$3,"&gt;="&amp;$DG51,$B51:$Y51)),
IF(AD$3=$DF51+'Model Setup'!$E$7,SUMIF($AD$3:$BA$3,"="&amp;$DF51+'Model Setup'!$E$7,$B51:$Y51)+'Model Setup'!$E$8*(SUMIF($AD$3:$BA$3,"&lt;"&amp;$DF51,$B51:$Y51)+SUMIF($AD$3:$BA$3,"&gt;="&amp;$DG51,$B51:$Y51)),
IF(AD$3=$DF51+'Model Setup'!$F$7,SUMIF($AD$3:$BA$3,"="&amp;$DF51+'Model Setup'!$F$7,$B51:$Y51)+'Model Setup'!$F$8*(SUMIF($AD$3:$BA$3,"&lt;"&amp;$DF51,$B51:$Y51)+SUMIF($AD$3:$BA$3,"&gt;="&amp;$DG51,$B51:$Y51)),
IF(AD$3=$DF51+'Model Setup'!$G$7,SUMIF($AD$3:$BA$3,"="&amp;$DF51+'Model Setup'!$G$7,$B51:$Y51)+'Model Setup'!$G$8*(SUMIF($AD$3:$BA$3,"&lt;"&amp;$DF51,$B51:$Y51)+SUMIF($AD$3:$BA$3,"&gt;="&amp;$DG51,$B51:$Y51)),
IF(AD$3=$DF51+'Model Setup'!$H$7,SUMIF($AD$3:$BA$3,"="&amp;$DF51+'Model Setup'!$H$7,$B51:$Y51)+'Model Setup'!$H$8*(SUMIF($AD$3:$BA$3,"&lt;"&amp;$DF51,$B51:$Y51)+SUMIF($AD$3:$BA$3,"&gt;="&amp;$DG51,$B51:$Y51)),
IF(AD$3=$DF51+'Model Setup'!$I$7,SUMIF($AD$3:$BA$3,"="&amp;$DF51+'Model Setup'!$I$7,$B51:$Y51)+'Model Setup'!$I$8*(SUMIF($AD$3:$BA$3,"&lt;"&amp;$DF51,$B51:$Y51)+SUMIF($AD$3:$BA$3,"&gt;="&amp;$DG51,$B51:$Y51)),
IF(AD$3=$DF51+'Model Setup'!$J$7,SUMIF($AD$3:$BA$3,"="&amp;$DF51+'Model Setup'!$J$7,$B51:$Y51)+'Model Setup'!$J$8*(SUMIF($AD$3:$BA$3,"&lt;"&amp;$DF51,$B51:$Y51)+SUMIF($AD$3:$BA$3,"&gt;="&amp;$DG51,$B51:$Y51)),
IF(AD$3=$DF51+'Model Setup'!$K$7,SUMIF($AD$3:$BA$3,"="&amp;$DF51+'Model Setup'!$K$7,$B51:$Y51)+'Model Setup'!$K$8*(SUMIF($AD$3:$BA$3,"&lt;"&amp;$DF51,$B51:$Y51)+SUMIF($AD$3:$BA$3,"&gt;="&amp;$DG51,$B51:$Y51)),
IF(AD$3=$DF51+'Model Setup'!$L$7,SUMIF($AD$3:$BA$3,"="&amp;$DF51+'Model Setup'!$L$7,$B51:$Y51)+'Model Setup'!$L$8*(SUMIF($AD$3:$BA$3,"&lt;"&amp;$DF51,$B51:$Y51)+SUMIF($AD$3:$BA$3,"&gt;="&amp;$DG51,$B51:$Y51)),
IF(AD$3=$DF51+'Model Setup'!$M$7,SUMIF($AD$3:$BA$3,"="&amp;$DF51+'Model Setup'!$M$7,$B51:$Y51)+'Model Setup'!$M$8*(SUMIF($AD$3:$BA$3,"&lt;"&amp;$DF51,$B51:$Y51)+SUMIF($AD$3:$BA$3,"&gt;="&amp;$DG51,$B51:$Y51)),
IF(AD$3=$DF51+'Model Setup'!$N$7,SUMIF($AD$3:$BA$3,"="&amp;$DF51+'Model Setup'!$N$7,$B51:$Y51)+'Model Setup'!$N$8*(SUMIF($AD$3:$BA$3,"&lt;"&amp;$DF51,$B51:$Y51)+SUMIF($AD$3:$BA$3,"&gt;="&amp;$DG51,$B51:$Y51)),
IF(AD$3&lt;$DG51,B51,0))))))))))))))),0)</f>
        <v>0</v>
      </c>
      <c r="AE51" s="47">
        <f>ROUND(IF(AE$3&lt;$DF51,0,
IF(AE$3=$DF51+'Model Setup'!$B$7,SUMIF($AD$3:$BA$3,"="&amp;$DF51+'Model Setup'!$B$7,$B51:$Y51)+'Model Setup'!$B$8*(SUMIF($AD$3:$BA$3,"&lt;"&amp;$DF51,$B51:$Y51)+SUMIF($AD$3:$BA$3,"&gt;="&amp;$DG51,$B51:$Y51)),
IF(AE$3=$DF51+'Model Setup'!$C$7,SUMIF($AD$3:$BA$3,"="&amp;$DF51+'Model Setup'!$C$7,$B51:$Y51)+'Model Setup'!$C$8*(SUMIF($AD$3:$BA$3,"&lt;"&amp;$DF51,$B51:$Y51)+SUMIF($AD$3:$BA$3,"&gt;="&amp;$DG51,$B51:$Y51)),
IF(AE$3=$DF51+'Model Setup'!$D$7,SUMIF($AD$3:$BA$3,"="&amp;$DF51+'Model Setup'!$D$7,$B51:$Y51)+'Model Setup'!$D$8*(SUMIF($AD$3:$BA$3,"&lt;"&amp;$DF51,$B51:$Y51)+SUMIF($AD$3:$BA$3,"&gt;="&amp;$DG51,$B51:$Y51)),
IF(AE$3=$DF51+'Model Setup'!$E$7,SUMIF($AD$3:$BA$3,"="&amp;$DF51+'Model Setup'!$E$7,$B51:$Y51)+'Model Setup'!$E$8*(SUMIF($AD$3:$BA$3,"&lt;"&amp;$DF51,$B51:$Y51)+SUMIF($AD$3:$BA$3,"&gt;="&amp;$DG51,$B51:$Y51)),
IF(AE$3=$DF51+'Model Setup'!$F$7,SUMIF($AD$3:$BA$3,"="&amp;$DF51+'Model Setup'!$F$7,$B51:$Y51)+'Model Setup'!$F$8*(SUMIF($AD$3:$BA$3,"&lt;"&amp;$DF51,$B51:$Y51)+SUMIF($AD$3:$BA$3,"&gt;="&amp;$DG51,$B51:$Y51)),
IF(AE$3=$DF51+'Model Setup'!$G$7,SUMIF($AD$3:$BA$3,"="&amp;$DF51+'Model Setup'!$G$7,$B51:$Y51)+'Model Setup'!$G$8*(SUMIF($AD$3:$BA$3,"&lt;"&amp;$DF51,$B51:$Y51)+SUMIF($AD$3:$BA$3,"&gt;="&amp;$DG51,$B51:$Y51)),
IF(AE$3=$DF51+'Model Setup'!$H$7,SUMIF($AD$3:$BA$3,"="&amp;$DF51+'Model Setup'!$H$7,$B51:$Y51)+'Model Setup'!$H$8*(SUMIF($AD$3:$BA$3,"&lt;"&amp;$DF51,$B51:$Y51)+SUMIF($AD$3:$BA$3,"&gt;="&amp;$DG51,$B51:$Y51)),
IF(AE$3=$DF51+'Model Setup'!$I$7,SUMIF($AD$3:$BA$3,"="&amp;$DF51+'Model Setup'!$I$7,$B51:$Y51)+'Model Setup'!$I$8*(SUMIF($AD$3:$BA$3,"&lt;"&amp;$DF51,$B51:$Y51)+SUMIF($AD$3:$BA$3,"&gt;="&amp;$DG51,$B51:$Y51)),
IF(AE$3=$DF51+'Model Setup'!$J$7,SUMIF($AD$3:$BA$3,"="&amp;$DF51+'Model Setup'!$J$7,$B51:$Y51)+'Model Setup'!$J$8*(SUMIF($AD$3:$BA$3,"&lt;"&amp;$DF51,$B51:$Y51)+SUMIF($AD$3:$BA$3,"&gt;="&amp;$DG51,$B51:$Y51)),
IF(AE$3=$DF51+'Model Setup'!$K$7,SUMIF($AD$3:$BA$3,"="&amp;$DF51+'Model Setup'!$K$7,$B51:$Y51)+'Model Setup'!$K$8*(SUMIF($AD$3:$BA$3,"&lt;"&amp;$DF51,$B51:$Y51)+SUMIF($AD$3:$BA$3,"&gt;="&amp;$DG51,$B51:$Y51)),
IF(AE$3=$DF51+'Model Setup'!$L$7,SUMIF($AD$3:$BA$3,"="&amp;$DF51+'Model Setup'!$L$7,$B51:$Y51)+'Model Setup'!$L$8*(SUMIF($AD$3:$BA$3,"&lt;"&amp;$DF51,$B51:$Y51)+SUMIF($AD$3:$BA$3,"&gt;="&amp;$DG51,$B51:$Y51)),
IF(AE$3=$DF51+'Model Setup'!$M$7,SUMIF($AD$3:$BA$3,"="&amp;$DF51+'Model Setup'!$M$7,$B51:$Y51)+'Model Setup'!$M$8*(SUMIF($AD$3:$BA$3,"&lt;"&amp;$DF51,$B51:$Y51)+SUMIF($AD$3:$BA$3,"&gt;="&amp;$DG51,$B51:$Y51)),
IF(AE$3=$DF51+'Model Setup'!$N$7,SUMIF($AD$3:$BA$3,"="&amp;$DF51+'Model Setup'!$N$7,$B51:$Y51)+'Model Setup'!$N$8*(SUMIF($AD$3:$BA$3,"&lt;"&amp;$DF51,$B51:$Y51)+SUMIF($AD$3:$BA$3,"&gt;="&amp;$DG51,$B51:$Y51)),
IF(AE$3&lt;$DG51,C51,0))))))))))))))),0)</f>
        <v>0</v>
      </c>
      <c r="AF51" s="47">
        <f>ROUND(IF(AF$3&lt;$DF51,0,
IF(AF$3=$DF51+'Model Setup'!$B$7,SUMIF($AD$3:$BA$3,"="&amp;$DF51+'Model Setup'!$B$7,$B51:$Y51)+'Model Setup'!$B$8*(SUMIF($AD$3:$BA$3,"&lt;"&amp;$DF51,$B51:$Y51)+SUMIF($AD$3:$BA$3,"&gt;="&amp;$DG51,$B51:$Y51)),
IF(AF$3=$DF51+'Model Setup'!$C$7,SUMIF($AD$3:$BA$3,"="&amp;$DF51+'Model Setup'!$C$7,$B51:$Y51)+'Model Setup'!$C$8*(SUMIF($AD$3:$BA$3,"&lt;"&amp;$DF51,$B51:$Y51)+SUMIF($AD$3:$BA$3,"&gt;="&amp;$DG51,$B51:$Y51)),
IF(AF$3=$DF51+'Model Setup'!$D$7,SUMIF($AD$3:$BA$3,"="&amp;$DF51+'Model Setup'!$D$7,$B51:$Y51)+'Model Setup'!$D$8*(SUMIF($AD$3:$BA$3,"&lt;"&amp;$DF51,$B51:$Y51)+SUMIF($AD$3:$BA$3,"&gt;="&amp;$DG51,$B51:$Y51)),
IF(AF$3=$DF51+'Model Setup'!$E$7,SUMIF($AD$3:$BA$3,"="&amp;$DF51+'Model Setup'!$E$7,$B51:$Y51)+'Model Setup'!$E$8*(SUMIF($AD$3:$BA$3,"&lt;"&amp;$DF51,$B51:$Y51)+SUMIF($AD$3:$BA$3,"&gt;="&amp;$DG51,$B51:$Y51)),
IF(AF$3=$DF51+'Model Setup'!$F$7,SUMIF($AD$3:$BA$3,"="&amp;$DF51+'Model Setup'!$F$7,$B51:$Y51)+'Model Setup'!$F$8*(SUMIF($AD$3:$BA$3,"&lt;"&amp;$DF51,$B51:$Y51)+SUMIF($AD$3:$BA$3,"&gt;="&amp;$DG51,$B51:$Y51)),
IF(AF$3=$DF51+'Model Setup'!$G$7,SUMIF($AD$3:$BA$3,"="&amp;$DF51+'Model Setup'!$G$7,$B51:$Y51)+'Model Setup'!$G$8*(SUMIF($AD$3:$BA$3,"&lt;"&amp;$DF51,$B51:$Y51)+SUMIF($AD$3:$BA$3,"&gt;="&amp;$DG51,$B51:$Y51)),
IF(AF$3=$DF51+'Model Setup'!$H$7,SUMIF($AD$3:$BA$3,"="&amp;$DF51+'Model Setup'!$H$7,$B51:$Y51)+'Model Setup'!$H$8*(SUMIF($AD$3:$BA$3,"&lt;"&amp;$DF51,$B51:$Y51)+SUMIF($AD$3:$BA$3,"&gt;="&amp;$DG51,$B51:$Y51)),
IF(AF$3=$DF51+'Model Setup'!$I$7,SUMIF($AD$3:$BA$3,"="&amp;$DF51+'Model Setup'!$I$7,$B51:$Y51)+'Model Setup'!$I$8*(SUMIF($AD$3:$BA$3,"&lt;"&amp;$DF51,$B51:$Y51)+SUMIF($AD$3:$BA$3,"&gt;="&amp;$DG51,$B51:$Y51)),
IF(AF$3=$DF51+'Model Setup'!$J$7,SUMIF($AD$3:$BA$3,"="&amp;$DF51+'Model Setup'!$J$7,$B51:$Y51)+'Model Setup'!$J$8*(SUMIF($AD$3:$BA$3,"&lt;"&amp;$DF51,$B51:$Y51)+SUMIF($AD$3:$BA$3,"&gt;="&amp;$DG51,$B51:$Y51)),
IF(AF$3=$DF51+'Model Setup'!$K$7,SUMIF($AD$3:$BA$3,"="&amp;$DF51+'Model Setup'!$K$7,$B51:$Y51)+'Model Setup'!$K$8*(SUMIF($AD$3:$BA$3,"&lt;"&amp;$DF51,$B51:$Y51)+SUMIF($AD$3:$BA$3,"&gt;="&amp;$DG51,$B51:$Y51)),
IF(AF$3=$DF51+'Model Setup'!$L$7,SUMIF($AD$3:$BA$3,"="&amp;$DF51+'Model Setup'!$L$7,$B51:$Y51)+'Model Setup'!$L$8*(SUMIF($AD$3:$BA$3,"&lt;"&amp;$DF51,$B51:$Y51)+SUMIF($AD$3:$BA$3,"&gt;="&amp;$DG51,$B51:$Y51)),
IF(AF$3=$DF51+'Model Setup'!$M$7,SUMIF($AD$3:$BA$3,"="&amp;$DF51+'Model Setup'!$M$7,$B51:$Y51)+'Model Setup'!$M$8*(SUMIF($AD$3:$BA$3,"&lt;"&amp;$DF51,$B51:$Y51)+SUMIF($AD$3:$BA$3,"&gt;="&amp;$DG51,$B51:$Y51)),
IF(AF$3=$DF51+'Model Setup'!$N$7,SUMIF($AD$3:$BA$3,"="&amp;$DF51+'Model Setup'!$N$7,$B51:$Y51)+'Model Setup'!$N$8*(SUMIF($AD$3:$BA$3,"&lt;"&amp;$DF51,$B51:$Y51)+SUMIF($AD$3:$BA$3,"&gt;="&amp;$DG51,$B51:$Y51)),
IF(AF$3&lt;$DG51,D51,0))))))))))))))),0)</f>
        <v>0</v>
      </c>
      <c r="AG51" s="47">
        <f>ROUND(IF(AG$3&lt;$DF51,0,
IF(AG$3=$DF51+'Model Setup'!$B$7,SUMIF($AD$3:$BA$3,"="&amp;$DF51+'Model Setup'!$B$7,$B51:$Y51)+'Model Setup'!$B$8*(SUMIF($AD$3:$BA$3,"&lt;"&amp;$DF51,$B51:$Y51)+SUMIF($AD$3:$BA$3,"&gt;="&amp;$DG51,$B51:$Y51)),
IF(AG$3=$DF51+'Model Setup'!$C$7,SUMIF($AD$3:$BA$3,"="&amp;$DF51+'Model Setup'!$C$7,$B51:$Y51)+'Model Setup'!$C$8*(SUMIF($AD$3:$BA$3,"&lt;"&amp;$DF51,$B51:$Y51)+SUMIF($AD$3:$BA$3,"&gt;="&amp;$DG51,$B51:$Y51)),
IF(AG$3=$DF51+'Model Setup'!$D$7,SUMIF($AD$3:$BA$3,"="&amp;$DF51+'Model Setup'!$D$7,$B51:$Y51)+'Model Setup'!$D$8*(SUMIF($AD$3:$BA$3,"&lt;"&amp;$DF51,$B51:$Y51)+SUMIF($AD$3:$BA$3,"&gt;="&amp;$DG51,$B51:$Y51)),
IF(AG$3=$DF51+'Model Setup'!$E$7,SUMIF($AD$3:$BA$3,"="&amp;$DF51+'Model Setup'!$E$7,$B51:$Y51)+'Model Setup'!$E$8*(SUMIF($AD$3:$BA$3,"&lt;"&amp;$DF51,$B51:$Y51)+SUMIF($AD$3:$BA$3,"&gt;="&amp;$DG51,$B51:$Y51)),
IF(AG$3=$DF51+'Model Setup'!$F$7,SUMIF($AD$3:$BA$3,"="&amp;$DF51+'Model Setup'!$F$7,$B51:$Y51)+'Model Setup'!$F$8*(SUMIF($AD$3:$BA$3,"&lt;"&amp;$DF51,$B51:$Y51)+SUMIF($AD$3:$BA$3,"&gt;="&amp;$DG51,$B51:$Y51)),
IF(AG$3=$DF51+'Model Setup'!$G$7,SUMIF($AD$3:$BA$3,"="&amp;$DF51+'Model Setup'!$G$7,$B51:$Y51)+'Model Setup'!$G$8*(SUMIF($AD$3:$BA$3,"&lt;"&amp;$DF51,$B51:$Y51)+SUMIF($AD$3:$BA$3,"&gt;="&amp;$DG51,$B51:$Y51)),
IF(AG$3=$DF51+'Model Setup'!$H$7,SUMIF($AD$3:$BA$3,"="&amp;$DF51+'Model Setup'!$H$7,$B51:$Y51)+'Model Setup'!$H$8*(SUMIF($AD$3:$BA$3,"&lt;"&amp;$DF51,$B51:$Y51)+SUMIF($AD$3:$BA$3,"&gt;="&amp;$DG51,$B51:$Y51)),
IF(AG$3=$DF51+'Model Setup'!$I$7,SUMIF($AD$3:$BA$3,"="&amp;$DF51+'Model Setup'!$I$7,$B51:$Y51)+'Model Setup'!$I$8*(SUMIF($AD$3:$BA$3,"&lt;"&amp;$DF51,$B51:$Y51)+SUMIF($AD$3:$BA$3,"&gt;="&amp;$DG51,$B51:$Y51)),
IF(AG$3=$DF51+'Model Setup'!$J$7,SUMIF($AD$3:$BA$3,"="&amp;$DF51+'Model Setup'!$J$7,$B51:$Y51)+'Model Setup'!$J$8*(SUMIF($AD$3:$BA$3,"&lt;"&amp;$DF51,$B51:$Y51)+SUMIF($AD$3:$BA$3,"&gt;="&amp;$DG51,$B51:$Y51)),
IF(AG$3=$DF51+'Model Setup'!$K$7,SUMIF($AD$3:$BA$3,"="&amp;$DF51+'Model Setup'!$K$7,$B51:$Y51)+'Model Setup'!$K$8*(SUMIF($AD$3:$BA$3,"&lt;"&amp;$DF51,$B51:$Y51)+SUMIF($AD$3:$BA$3,"&gt;="&amp;$DG51,$B51:$Y51)),
IF(AG$3=$DF51+'Model Setup'!$L$7,SUMIF($AD$3:$BA$3,"="&amp;$DF51+'Model Setup'!$L$7,$B51:$Y51)+'Model Setup'!$L$8*(SUMIF($AD$3:$BA$3,"&lt;"&amp;$DF51,$B51:$Y51)+SUMIF($AD$3:$BA$3,"&gt;="&amp;$DG51,$B51:$Y51)),
IF(AG$3=$DF51+'Model Setup'!$M$7,SUMIF($AD$3:$BA$3,"="&amp;$DF51+'Model Setup'!$M$7,$B51:$Y51)+'Model Setup'!$M$8*(SUMIF($AD$3:$BA$3,"&lt;"&amp;$DF51,$B51:$Y51)+SUMIF($AD$3:$BA$3,"&gt;="&amp;$DG51,$B51:$Y51)),
IF(AG$3=$DF51+'Model Setup'!$N$7,SUMIF($AD$3:$BA$3,"="&amp;$DF51+'Model Setup'!$N$7,$B51:$Y51)+'Model Setup'!$N$8*(SUMIF($AD$3:$BA$3,"&lt;"&amp;$DF51,$B51:$Y51)+SUMIF($AD$3:$BA$3,"&gt;="&amp;$DG51,$B51:$Y51)),
IF(AG$3&lt;$DG51,E51,0))))))))))))))),0)</f>
        <v>0</v>
      </c>
      <c r="AH51" s="47">
        <f>ROUND(IF(AH$3&lt;$DF51,0,
IF(AH$3=$DF51+'Model Setup'!$B$7,SUMIF($AD$3:$BA$3,"="&amp;$DF51+'Model Setup'!$B$7,$B51:$Y51)+'Model Setup'!$B$8*(SUMIF($AD$3:$BA$3,"&lt;"&amp;$DF51,$B51:$Y51)+SUMIF($AD$3:$BA$3,"&gt;="&amp;$DG51,$B51:$Y51)),
IF(AH$3=$DF51+'Model Setup'!$C$7,SUMIF($AD$3:$BA$3,"="&amp;$DF51+'Model Setup'!$C$7,$B51:$Y51)+'Model Setup'!$C$8*(SUMIF($AD$3:$BA$3,"&lt;"&amp;$DF51,$B51:$Y51)+SUMIF($AD$3:$BA$3,"&gt;="&amp;$DG51,$B51:$Y51)),
IF(AH$3=$DF51+'Model Setup'!$D$7,SUMIF($AD$3:$BA$3,"="&amp;$DF51+'Model Setup'!$D$7,$B51:$Y51)+'Model Setup'!$D$8*(SUMIF($AD$3:$BA$3,"&lt;"&amp;$DF51,$B51:$Y51)+SUMIF($AD$3:$BA$3,"&gt;="&amp;$DG51,$B51:$Y51)),
IF(AH$3=$DF51+'Model Setup'!$E$7,SUMIF($AD$3:$BA$3,"="&amp;$DF51+'Model Setup'!$E$7,$B51:$Y51)+'Model Setup'!$E$8*(SUMIF($AD$3:$BA$3,"&lt;"&amp;$DF51,$B51:$Y51)+SUMIF($AD$3:$BA$3,"&gt;="&amp;$DG51,$B51:$Y51)),
IF(AH$3=$DF51+'Model Setup'!$F$7,SUMIF($AD$3:$BA$3,"="&amp;$DF51+'Model Setup'!$F$7,$B51:$Y51)+'Model Setup'!$F$8*(SUMIF($AD$3:$BA$3,"&lt;"&amp;$DF51,$B51:$Y51)+SUMIF($AD$3:$BA$3,"&gt;="&amp;$DG51,$B51:$Y51)),
IF(AH$3=$DF51+'Model Setup'!$G$7,SUMIF($AD$3:$BA$3,"="&amp;$DF51+'Model Setup'!$G$7,$B51:$Y51)+'Model Setup'!$G$8*(SUMIF($AD$3:$BA$3,"&lt;"&amp;$DF51,$B51:$Y51)+SUMIF($AD$3:$BA$3,"&gt;="&amp;$DG51,$B51:$Y51)),
IF(AH$3=$DF51+'Model Setup'!$H$7,SUMIF($AD$3:$BA$3,"="&amp;$DF51+'Model Setup'!$H$7,$B51:$Y51)+'Model Setup'!$H$8*(SUMIF($AD$3:$BA$3,"&lt;"&amp;$DF51,$B51:$Y51)+SUMIF($AD$3:$BA$3,"&gt;="&amp;$DG51,$B51:$Y51)),
IF(AH$3=$DF51+'Model Setup'!$I$7,SUMIF($AD$3:$BA$3,"="&amp;$DF51+'Model Setup'!$I$7,$B51:$Y51)+'Model Setup'!$I$8*(SUMIF($AD$3:$BA$3,"&lt;"&amp;$DF51,$B51:$Y51)+SUMIF($AD$3:$BA$3,"&gt;="&amp;$DG51,$B51:$Y51)),
IF(AH$3=$DF51+'Model Setup'!$J$7,SUMIF($AD$3:$BA$3,"="&amp;$DF51+'Model Setup'!$J$7,$B51:$Y51)+'Model Setup'!$J$8*(SUMIF($AD$3:$BA$3,"&lt;"&amp;$DF51,$B51:$Y51)+SUMIF($AD$3:$BA$3,"&gt;="&amp;$DG51,$B51:$Y51)),
IF(AH$3=$DF51+'Model Setup'!$K$7,SUMIF($AD$3:$BA$3,"="&amp;$DF51+'Model Setup'!$K$7,$B51:$Y51)+'Model Setup'!$K$8*(SUMIF($AD$3:$BA$3,"&lt;"&amp;$DF51,$B51:$Y51)+SUMIF($AD$3:$BA$3,"&gt;="&amp;$DG51,$B51:$Y51)),
IF(AH$3=$DF51+'Model Setup'!$L$7,SUMIF($AD$3:$BA$3,"="&amp;$DF51+'Model Setup'!$L$7,$B51:$Y51)+'Model Setup'!$L$8*(SUMIF($AD$3:$BA$3,"&lt;"&amp;$DF51,$B51:$Y51)+SUMIF($AD$3:$BA$3,"&gt;="&amp;$DG51,$B51:$Y51)),
IF(AH$3=$DF51+'Model Setup'!$M$7,SUMIF($AD$3:$BA$3,"="&amp;$DF51+'Model Setup'!$M$7,$B51:$Y51)+'Model Setup'!$M$8*(SUMIF($AD$3:$BA$3,"&lt;"&amp;$DF51,$B51:$Y51)+SUMIF($AD$3:$BA$3,"&gt;="&amp;$DG51,$B51:$Y51)),
IF(AH$3=$DF51+'Model Setup'!$N$7,SUMIF($AD$3:$BA$3,"="&amp;$DF51+'Model Setup'!$N$7,$B51:$Y51)+'Model Setup'!$N$8*(SUMIF($AD$3:$BA$3,"&lt;"&amp;$DF51,$B51:$Y51)+SUMIF($AD$3:$BA$3,"&gt;="&amp;$DG51,$B51:$Y51)),
IF(AH$3&lt;$DG51,F51,0))))))))))))))),0)</f>
        <v>0</v>
      </c>
      <c r="AI51" s="47">
        <f>ROUND(IF(AI$3&lt;$DF51,0,
IF(AI$3=$DF51+'Model Setup'!$B$7,SUMIF($AD$3:$BA$3,"="&amp;$DF51+'Model Setup'!$B$7,$B51:$Y51)+'Model Setup'!$B$8*(SUMIF($AD$3:$BA$3,"&lt;"&amp;$DF51,$B51:$Y51)+SUMIF($AD$3:$BA$3,"&gt;="&amp;$DG51,$B51:$Y51)),
IF(AI$3=$DF51+'Model Setup'!$C$7,SUMIF($AD$3:$BA$3,"="&amp;$DF51+'Model Setup'!$C$7,$B51:$Y51)+'Model Setup'!$C$8*(SUMIF($AD$3:$BA$3,"&lt;"&amp;$DF51,$B51:$Y51)+SUMIF($AD$3:$BA$3,"&gt;="&amp;$DG51,$B51:$Y51)),
IF(AI$3=$DF51+'Model Setup'!$D$7,SUMIF($AD$3:$BA$3,"="&amp;$DF51+'Model Setup'!$D$7,$B51:$Y51)+'Model Setup'!$D$8*(SUMIF($AD$3:$BA$3,"&lt;"&amp;$DF51,$B51:$Y51)+SUMIF($AD$3:$BA$3,"&gt;="&amp;$DG51,$B51:$Y51)),
IF(AI$3=$DF51+'Model Setup'!$E$7,SUMIF($AD$3:$BA$3,"="&amp;$DF51+'Model Setup'!$E$7,$B51:$Y51)+'Model Setup'!$E$8*(SUMIF($AD$3:$BA$3,"&lt;"&amp;$DF51,$B51:$Y51)+SUMIF($AD$3:$BA$3,"&gt;="&amp;$DG51,$B51:$Y51)),
IF(AI$3=$DF51+'Model Setup'!$F$7,SUMIF($AD$3:$BA$3,"="&amp;$DF51+'Model Setup'!$F$7,$B51:$Y51)+'Model Setup'!$F$8*(SUMIF($AD$3:$BA$3,"&lt;"&amp;$DF51,$B51:$Y51)+SUMIF($AD$3:$BA$3,"&gt;="&amp;$DG51,$B51:$Y51)),
IF(AI$3=$DF51+'Model Setup'!$G$7,SUMIF($AD$3:$BA$3,"="&amp;$DF51+'Model Setup'!$G$7,$B51:$Y51)+'Model Setup'!$G$8*(SUMIF($AD$3:$BA$3,"&lt;"&amp;$DF51,$B51:$Y51)+SUMIF($AD$3:$BA$3,"&gt;="&amp;$DG51,$B51:$Y51)),
IF(AI$3=$DF51+'Model Setup'!$H$7,SUMIF($AD$3:$BA$3,"="&amp;$DF51+'Model Setup'!$H$7,$B51:$Y51)+'Model Setup'!$H$8*(SUMIF($AD$3:$BA$3,"&lt;"&amp;$DF51,$B51:$Y51)+SUMIF($AD$3:$BA$3,"&gt;="&amp;$DG51,$B51:$Y51)),
IF(AI$3=$DF51+'Model Setup'!$I$7,SUMIF($AD$3:$BA$3,"="&amp;$DF51+'Model Setup'!$I$7,$B51:$Y51)+'Model Setup'!$I$8*(SUMIF($AD$3:$BA$3,"&lt;"&amp;$DF51,$B51:$Y51)+SUMIF($AD$3:$BA$3,"&gt;="&amp;$DG51,$B51:$Y51)),
IF(AI$3=$DF51+'Model Setup'!$J$7,SUMIF($AD$3:$BA$3,"="&amp;$DF51+'Model Setup'!$J$7,$B51:$Y51)+'Model Setup'!$J$8*(SUMIF($AD$3:$BA$3,"&lt;"&amp;$DF51,$B51:$Y51)+SUMIF($AD$3:$BA$3,"&gt;="&amp;$DG51,$B51:$Y51)),
IF(AI$3=$DF51+'Model Setup'!$K$7,SUMIF($AD$3:$BA$3,"="&amp;$DF51+'Model Setup'!$K$7,$B51:$Y51)+'Model Setup'!$K$8*(SUMIF($AD$3:$BA$3,"&lt;"&amp;$DF51,$B51:$Y51)+SUMIF($AD$3:$BA$3,"&gt;="&amp;$DG51,$B51:$Y51)),
IF(AI$3=$DF51+'Model Setup'!$L$7,SUMIF($AD$3:$BA$3,"="&amp;$DF51+'Model Setup'!$L$7,$B51:$Y51)+'Model Setup'!$L$8*(SUMIF($AD$3:$BA$3,"&lt;"&amp;$DF51,$B51:$Y51)+SUMIF($AD$3:$BA$3,"&gt;="&amp;$DG51,$B51:$Y51)),
IF(AI$3=$DF51+'Model Setup'!$M$7,SUMIF($AD$3:$BA$3,"="&amp;$DF51+'Model Setup'!$M$7,$B51:$Y51)+'Model Setup'!$M$8*(SUMIF($AD$3:$BA$3,"&lt;"&amp;$DF51,$B51:$Y51)+SUMIF($AD$3:$BA$3,"&gt;="&amp;$DG51,$B51:$Y51)),
IF(AI$3=$DF51+'Model Setup'!$N$7,SUMIF($AD$3:$BA$3,"="&amp;$DF51+'Model Setup'!$N$7,$B51:$Y51)+'Model Setup'!$N$8*(SUMIF($AD$3:$BA$3,"&lt;"&amp;$DF51,$B51:$Y51)+SUMIF($AD$3:$BA$3,"&gt;="&amp;$DG51,$B51:$Y51)),
IF(AI$3&lt;$DG51,G51,0))))))))))))))),0)</f>
        <v>41</v>
      </c>
      <c r="AJ51" s="47">
        <f>ROUND(IF(AJ$3&lt;$DF51,0,
IF(AJ$3=$DF51+'Model Setup'!$B$7,SUMIF($AD$3:$BA$3,"="&amp;$DF51+'Model Setup'!$B$7,$B51:$Y51)+'Model Setup'!$B$8*(SUMIF($AD$3:$BA$3,"&lt;"&amp;$DF51,$B51:$Y51)+SUMIF($AD$3:$BA$3,"&gt;="&amp;$DG51,$B51:$Y51)),
IF(AJ$3=$DF51+'Model Setup'!$C$7,SUMIF($AD$3:$BA$3,"="&amp;$DF51+'Model Setup'!$C$7,$B51:$Y51)+'Model Setup'!$C$8*(SUMIF($AD$3:$BA$3,"&lt;"&amp;$DF51,$B51:$Y51)+SUMIF($AD$3:$BA$3,"&gt;="&amp;$DG51,$B51:$Y51)),
IF(AJ$3=$DF51+'Model Setup'!$D$7,SUMIF($AD$3:$BA$3,"="&amp;$DF51+'Model Setup'!$D$7,$B51:$Y51)+'Model Setup'!$D$8*(SUMIF($AD$3:$BA$3,"&lt;"&amp;$DF51,$B51:$Y51)+SUMIF($AD$3:$BA$3,"&gt;="&amp;$DG51,$B51:$Y51)),
IF(AJ$3=$DF51+'Model Setup'!$E$7,SUMIF($AD$3:$BA$3,"="&amp;$DF51+'Model Setup'!$E$7,$B51:$Y51)+'Model Setup'!$E$8*(SUMIF($AD$3:$BA$3,"&lt;"&amp;$DF51,$B51:$Y51)+SUMIF($AD$3:$BA$3,"&gt;="&amp;$DG51,$B51:$Y51)),
IF(AJ$3=$DF51+'Model Setup'!$F$7,SUMIF($AD$3:$BA$3,"="&amp;$DF51+'Model Setup'!$F$7,$B51:$Y51)+'Model Setup'!$F$8*(SUMIF($AD$3:$BA$3,"&lt;"&amp;$DF51,$B51:$Y51)+SUMIF($AD$3:$BA$3,"&gt;="&amp;$DG51,$B51:$Y51)),
IF(AJ$3=$DF51+'Model Setup'!$G$7,SUMIF($AD$3:$BA$3,"="&amp;$DF51+'Model Setup'!$G$7,$B51:$Y51)+'Model Setup'!$G$8*(SUMIF($AD$3:$BA$3,"&lt;"&amp;$DF51,$B51:$Y51)+SUMIF($AD$3:$BA$3,"&gt;="&amp;$DG51,$B51:$Y51)),
IF(AJ$3=$DF51+'Model Setup'!$H$7,SUMIF($AD$3:$BA$3,"="&amp;$DF51+'Model Setup'!$H$7,$B51:$Y51)+'Model Setup'!$H$8*(SUMIF($AD$3:$BA$3,"&lt;"&amp;$DF51,$B51:$Y51)+SUMIF($AD$3:$BA$3,"&gt;="&amp;$DG51,$B51:$Y51)),
IF(AJ$3=$DF51+'Model Setup'!$I$7,SUMIF($AD$3:$BA$3,"="&amp;$DF51+'Model Setup'!$I$7,$B51:$Y51)+'Model Setup'!$I$8*(SUMIF($AD$3:$BA$3,"&lt;"&amp;$DF51,$B51:$Y51)+SUMIF($AD$3:$BA$3,"&gt;="&amp;$DG51,$B51:$Y51)),
IF(AJ$3=$DF51+'Model Setup'!$J$7,SUMIF($AD$3:$BA$3,"="&amp;$DF51+'Model Setup'!$J$7,$B51:$Y51)+'Model Setup'!$J$8*(SUMIF($AD$3:$BA$3,"&lt;"&amp;$DF51,$B51:$Y51)+SUMIF($AD$3:$BA$3,"&gt;="&amp;$DG51,$B51:$Y51)),
IF(AJ$3=$DF51+'Model Setup'!$K$7,SUMIF($AD$3:$BA$3,"="&amp;$DF51+'Model Setup'!$K$7,$B51:$Y51)+'Model Setup'!$K$8*(SUMIF($AD$3:$BA$3,"&lt;"&amp;$DF51,$B51:$Y51)+SUMIF($AD$3:$BA$3,"&gt;="&amp;$DG51,$B51:$Y51)),
IF(AJ$3=$DF51+'Model Setup'!$L$7,SUMIF($AD$3:$BA$3,"="&amp;$DF51+'Model Setup'!$L$7,$B51:$Y51)+'Model Setup'!$L$8*(SUMIF($AD$3:$BA$3,"&lt;"&amp;$DF51,$B51:$Y51)+SUMIF($AD$3:$BA$3,"&gt;="&amp;$DG51,$B51:$Y51)),
IF(AJ$3=$DF51+'Model Setup'!$M$7,SUMIF($AD$3:$BA$3,"="&amp;$DF51+'Model Setup'!$M$7,$B51:$Y51)+'Model Setup'!$M$8*(SUMIF($AD$3:$BA$3,"&lt;"&amp;$DF51,$B51:$Y51)+SUMIF($AD$3:$BA$3,"&gt;="&amp;$DG51,$B51:$Y51)),
IF(AJ$3=$DF51+'Model Setup'!$N$7,SUMIF($AD$3:$BA$3,"="&amp;$DF51+'Model Setup'!$N$7,$B51:$Y51)+'Model Setup'!$N$8*(SUMIF($AD$3:$BA$3,"&lt;"&amp;$DF51,$B51:$Y51)+SUMIF($AD$3:$BA$3,"&gt;="&amp;$DG51,$B51:$Y51)),
IF(AJ$3&lt;$DG51,H51,0))))))))))))))),0)</f>
        <v>92</v>
      </c>
      <c r="AK51" s="47">
        <f>ROUND(IF(AK$3&lt;$DF51,0,
IF(AK$3=$DF51+'Model Setup'!$B$7,SUMIF($AD$3:$BA$3,"="&amp;$DF51+'Model Setup'!$B$7,$B51:$Y51)+'Model Setup'!$B$8*(SUMIF($AD$3:$BA$3,"&lt;"&amp;$DF51,$B51:$Y51)+SUMIF($AD$3:$BA$3,"&gt;="&amp;$DG51,$B51:$Y51)),
IF(AK$3=$DF51+'Model Setup'!$C$7,SUMIF($AD$3:$BA$3,"="&amp;$DF51+'Model Setup'!$C$7,$B51:$Y51)+'Model Setup'!$C$8*(SUMIF($AD$3:$BA$3,"&lt;"&amp;$DF51,$B51:$Y51)+SUMIF($AD$3:$BA$3,"&gt;="&amp;$DG51,$B51:$Y51)),
IF(AK$3=$DF51+'Model Setup'!$D$7,SUMIF($AD$3:$BA$3,"="&amp;$DF51+'Model Setup'!$D$7,$B51:$Y51)+'Model Setup'!$D$8*(SUMIF($AD$3:$BA$3,"&lt;"&amp;$DF51,$B51:$Y51)+SUMIF($AD$3:$BA$3,"&gt;="&amp;$DG51,$B51:$Y51)),
IF(AK$3=$DF51+'Model Setup'!$E$7,SUMIF($AD$3:$BA$3,"="&amp;$DF51+'Model Setup'!$E$7,$B51:$Y51)+'Model Setup'!$E$8*(SUMIF($AD$3:$BA$3,"&lt;"&amp;$DF51,$B51:$Y51)+SUMIF($AD$3:$BA$3,"&gt;="&amp;$DG51,$B51:$Y51)),
IF(AK$3=$DF51+'Model Setup'!$F$7,SUMIF($AD$3:$BA$3,"="&amp;$DF51+'Model Setup'!$F$7,$B51:$Y51)+'Model Setup'!$F$8*(SUMIF($AD$3:$BA$3,"&lt;"&amp;$DF51,$B51:$Y51)+SUMIF($AD$3:$BA$3,"&gt;="&amp;$DG51,$B51:$Y51)),
IF(AK$3=$DF51+'Model Setup'!$G$7,SUMIF($AD$3:$BA$3,"="&amp;$DF51+'Model Setup'!$G$7,$B51:$Y51)+'Model Setup'!$G$8*(SUMIF($AD$3:$BA$3,"&lt;"&amp;$DF51,$B51:$Y51)+SUMIF($AD$3:$BA$3,"&gt;="&amp;$DG51,$B51:$Y51)),
IF(AK$3=$DF51+'Model Setup'!$H$7,SUMIF($AD$3:$BA$3,"="&amp;$DF51+'Model Setup'!$H$7,$B51:$Y51)+'Model Setup'!$H$8*(SUMIF($AD$3:$BA$3,"&lt;"&amp;$DF51,$B51:$Y51)+SUMIF($AD$3:$BA$3,"&gt;="&amp;$DG51,$B51:$Y51)),
IF(AK$3=$DF51+'Model Setup'!$I$7,SUMIF($AD$3:$BA$3,"="&amp;$DF51+'Model Setup'!$I$7,$B51:$Y51)+'Model Setup'!$I$8*(SUMIF($AD$3:$BA$3,"&lt;"&amp;$DF51,$B51:$Y51)+SUMIF($AD$3:$BA$3,"&gt;="&amp;$DG51,$B51:$Y51)),
IF(AK$3=$DF51+'Model Setup'!$J$7,SUMIF($AD$3:$BA$3,"="&amp;$DF51+'Model Setup'!$J$7,$B51:$Y51)+'Model Setup'!$J$8*(SUMIF($AD$3:$BA$3,"&lt;"&amp;$DF51,$B51:$Y51)+SUMIF($AD$3:$BA$3,"&gt;="&amp;$DG51,$B51:$Y51)),
IF(AK$3=$DF51+'Model Setup'!$K$7,SUMIF($AD$3:$BA$3,"="&amp;$DF51+'Model Setup'!$K$7,$B51:$Y51)+'Model Setup'!$K$8*(SUMIF($AD$3:$BA$3,"&lt;"&amp;$DF51,$B51:$Y51)+SUMIF($AD$3:$BA$3,"&gt;="&amp;$DG51,$B51:$Y51)),
IF(AK$3=$DF51+'Model Setup'!$L$7,SUMIF($AD$3:$BA$3,"="&amp;$DF51+'Model Setup'!$L$7,$B51:$Y51)+'Model Setup'!$L$8*(SUMIF($AD$3:$BA$3,"&lt;"&amp;$DF51,$B51:$Y51)+SUMIF($AD$3:$BA$3,"&gt;="&amp;$DG51,$B51:$Y51)),
IF(AK$3=$DF51+'Model Setup'!$M$7,SUMIF($AD$3:$BA$3,"="&amp;$DF51+'Model Setup'!$M$7,$B51:$Y51)+'Model Setup'!$M$8*(SUMIF($AD$3:$BA$3,"&lt;"&amp;$DF51,$B51:$Y51)+SUMIF($AD$3:$BA$3,"&gt;="&amp;$DG51,$B51:$Y51)),
IF(AK$3=$DF51+'Model Setup'!$N$7,SUMIF($AD$3:$BA$3,"="&amp;$DF51+'Model Setup'!$N$7,$B51:$Y51)+'Model Setup'!$N$8*(SUMIF($AD$3:$BA$3,"&lt;"&amp;$DF51,$B51:$Y51)+SUMIF($AD$3:$BA$3,"&gt;="&amp;$DG51,$B51:$Y51)),
IF(AK$3&lt;$DG51,I51,0))))))))))))))),0)</f>
        <v>131</v>
      </c>
      <c r="AL51" s="47">
        <f>ROUND(IF(AL$3&lt;$DF51,0,
IF(AL$3=$DF51+'Model Setup'!$B$7,SUMIF($AD$3:$BA$3,"="&amp;$DF51+'Model Setup'!$B$7,$B51:$Y51)+'Model Setup'!$B$8*(SUMIF($AD$3:$BA$3,"&lt;"&amp;$DF51,$B51:$Y51)+SUMIF($AD$3:$BA$3,"&gt;="&amp;$DG51,$B51:$Y51)),
IF(AL$3=$DF51+'Model Setup'!$C$7,SUMIF($AD$3:$BA$3,"="&amp;$DF51+'Model Setup'!$C$7,$B51:$Y51)+'Model Setup'!$C$8*(SUMIF($AD$3:$BA$3,"&lt;"&amp;$DF51,$B51:$Y51)+SUMIF($AD$3:$BA$3,"&gt;="&amp;$DG51,$B51:$Y51)),
IF(AL$3=$DF51+'Model Setup'!$D$7,SUMIF($AD$3:$BA$3,"="&amp;$DF51+'Model Setup'!$D$7,$B51:$Y51)+'Model Setup'!$D$8*(SUMIF($AD$3:$BA$3,"&lt;"&amp;$DF51,$B51:$Y51)+SUMIF($AD$3:$BA$3,"&gt;="&amp;$DG51,$B51:$Y51)),
IF(AL$3=$DF51+'Model Setup'!$E$7,SUMIF($AD$3:$BA$3,"="&amp;$DF51+'Model Setup'!$E$7,$B51:$Y51)+'Model Setup'!$E$8*(SUMIF($AD$3:$BA$3,"&lt;"&amp;$DF51,$B51:$Y51)+SUMIF($AD$3:$BA$3,"&gt;="&amp;$DG51,$B51:$Y51)),
IF(AL$3=$DF51+'Model Setup'!$F$7,SUMIF($AD$3:$BA$3,"="&amp;$DF51+'Model Setup'!$F$7,$B51:$Y51)+'Model Setup'!$F$8*(SUMIF($AD$3:$BA$3,"&lt;"&amp;$DF51,$B51:$Y51)+SUMIF($AD$3:$BA$3,"&gt;="&amp;$DG51,$B51:$Y51)),
IF(AL$3=$DF51+'Model Setup'!$G$7,SUMIF($AD$3:$BA$3,"="&amp;$DF51+'Model Setup'!$G$7,$B51:$Y51)+'Model Setup'!$G$8*(SUMIF($AD$3:$BA$3,"&lt;"&amp;$DF51,$B51:$Y51)+SUMIF($AD$3:$BA$3,"&gt;="&amp;$DG51,$B51:$Y51)),
IF(AL$3=$DF51+'Model Setup'!$H$7,SUMIF($AD$3:$BA$3,"="&amp;$DF51+'Model Setup'!$H$7,$B51:$Y51)+'Model Setup'!$H$8*(SUMIF($AD$3:$BA$3,"&lt;"&amp;$DF51,$B51:$Y51)+SUMIF($AD$3:$BA$3,"&gt;="&amp;$DG51,$B51:$Y51)),
IF(AL$3=$DF51+'Model Setup'!$I$7,SUMIF($AD$3:$BA$3,"="&amp;$DF51+'Model Setup'!$I$7,$B51:$Y51)+'Model Setup'!$I$8*(SUMIF($AD$3:$BA$3,"&lt;"&amp;$DF51,$B51:$Y51)+SUMIF($AD$3:$BA$3,"&gt;="&amp;$DG51,$B51:$Y51)),
IF(AL$3=$DF51+'Model Setup'!$J$7,SUMIF($AD$3:$BA$3,"="&amp;$DF51+'Model Setup'!$J$7,$B51:$Y51)+'Model Setup'!$J$8*(SUMIF($AD$3:$BA$3,"&lt;"&amp;$DF51,$B51:$Y51)+SUMIF($AD$3:$BA$3,"&gt;="&amp;$DG51,$B51:$Y51)),
IF(AL$3=$DF51+'Model Setup'!$K$7,SUMIF($AD$3:$BA$3,"="&amp;$DF51+'Model Setup'!$K$7,$B51:$Y51)+'Model Setup'!$K$8*(SUMIF($AD$3:$BA$3,"&lt;"&amp;$DF51,$B51:$Y51)+SUMIF($AD$3:$BA$3,"&gt;="&amp;$DG51,$B51:$Y51)),
IF(AL$3=$DF51+'Model Setup'!$L$7,SUMIF($AD$3:$BA$3,"="&amp;$DF51+'Model Setup'!$L$7,$B51:$Y51)+'Model Setup'!$L$8*(SUMIF($AD$3:$BA$3,"&lt;"&amp;$DF51,$B51:$Y51)+SUMIF($AD$3:$BA$3,"&gt;="&amp;$DG51,$B51:$Y51)),
IF(AL$3=$DF51+'Model Setup'!$M$7,SUMIF($AD$3:$BA$3,"="&amp;$DF51+'Model Setup'!$M$7,$B51:$Y51)+'Model Setup'!$M$8*(SUMIF($AD$3:$BA$3,"&lt;"&amp;$DF51,$B51:$Y51)+SUMIF($AD$3:$BA$3,"&gt;="&amp;$DG51,$B51:$Y51)),
IF(AL$3=$DF51+'Model Setup'!$N$7,SUMIF($AD$3:$BA$3,"="&amp;$DF51+'Model Setup'!$N$7,$B51:$Y51)+'Model Setup'!$N$8*(SUMIF($AD$3:$BA$3,"&lt;"&amp;$DF51,$B51:$Y51)+SUMIF($AD$3:$BA$3,"&gt;="&amp;$DG51,$B51:$Y51)),
IF(AL$3&lt;$DG51,J51,0))))))))))))))),0)</f>
        <v>170</v>
      </c>
      <c r="AM51" s="47">
        <f>ROUND(IF(AM$3&lt;$DF51,0,
IF(AM$3=$DF51+'Model Setup'!$B$7,SUMIF($AD$3:$BA$3,"="&amp;$DF51+'Model Setup'!$B$7,$B51:$Y51)+'Model Setup'!$B$8*(SUMIF($AD$3:$BA$3,"&lt;"&amp;$DF51,$B51:$Y51)+SUMIF($AD$3:$BA$3,"&gt;="&amp;$DG51,$B51:$Y51)),
IF(AM$3=$DF51+'Model Setup'!$C$7,SUMIF($AD$3:$BA$3,"="&amp;$DF51+'Model Setup'!$C$7,$B51:$Y51)+'Model Setup'!$C$8*(SUMIF($AD$3:$BA$3,"&lt;"&amp;$DF51,$B51:$Y51)+SUMIF($AD$3:$BA$3,"&gt;="&amp;$DG51,$B51:$Y51)),
IF(AM$3=$DF51+'Model Setup'!$D$7,SUMIF($AD$3:$BA$3,"="&amp;$DF51+'Model Setup'!$D$7,$B51:$Y51)+'Model Setup'!$D$8*(SUMIF($AD$3:$BA$3,"&lt;"&amp;$DF51,$B51:$Y51)+SUMIF($AD$3:$BA$3,"&gt;="&amp;$DG51,$B51:$Y51)),
IF(AM$3=$DF51+'Model Setup'!$E$7,SUMIF($AD$3:$BA$3,"="&amp;$DF51+'Model Setup'!$E$7,$B51:$Y51)+'Model Setup'!$E$8*(SUMIF($AD$3:$BA$3,"&lt;"&amp;$DF51,$B51:$Y51)+SUMIF($AD$3:$BA$3,"&gt;="&amp;$DG51,$B51:$Y51)),
IF(AM$3=$DF51+'Model Setup'!$F$7,SUMIF($AD$3:$BA$3,"="&amp;$DF51+'Model Setup'!$F$7,$B51:$Y51)+'Model Setup'!$F$8*(SUMIF($AD$3:$BA$3,"&lt;"&amp;$DF51,$B51:$Y51)+SUMIF($AD$3:$BA$3,"&gt;="&amp;$DG51,$B51:$Y51)),
IF(AM$3=$DF51+'Model Setup'!$G$7,SUMIF($AD$3:$BA$3,"="&amp;$DF51+'Model Setup'!$G$7,$B51:$Y51)+'Model Setup'!$G$8*(SUMIF($AD$3:$BA$3,"&lt;"&amp;$DF51,$B51:$Y51)+SUMIF($AD$3:$BA$3,"&gt;="&amp;$DG51,$B51:$Y51)),
IF(AM$3=$DF51+'Model Setup'!$H$7,SUMIF($AD$3:$BA$3,"="&amp;$DF51+'Model Setup'!$H$7,$B51:$Y51)+'Model Setup'!$H$8*(SUMIF($AD$3:$BA$3,"&lt;"&amp;$DF51,$B51:$Y51)+SUMIF($AD$3:$BA$3,"&gt;="&amp;$DG51,$B51:$Y51)),
IF(AM$3=$DF51+'Model Setup'!$I$7,SUMIF($AD$3:$BA$3,"="&amp;$DF51+'Model Setup'!$I$7,$B51:$Y51)+'Model Setup'!$I$8*(SUMIF($AD$3:$BA$3,"&lt;"&amp;$DF51,$B51:$Y51)+SUMIF($AD$3:$BA$3,"&gt;="&amp;$DG51,$B51:$Y51)),
IF(AM$3=$DF51+'Model Setup'!$J$7,SUMIF($AD$3:$BA$3,"="&amp;$DF51+'Model Setup'!$J$7,$B51:$Y51)+'Model Setup'!$J$8*(SUMIF($AD$3:$BA$3,"&lt;"&amp;$DF51,$B51:$Y51)+SUMIF($AD$3:$BA$3,"&gt;="&amp;$DG51,$B51:$Y51)),
IF(AM$3=$DF51+'Model Setup'!$K$7,SUMIF($AD$3:$BA$3,"="&amp;$DF51+'Model Setup'!$K$7,$B51:$Y51)+'Model Setup'!$K$8*(SUMIF($AD$3:$BA$3,"&lt;"&amp;$DF51,$B51:$Y51)+SUMIF($AD$3:$BA$3,"&gt;="&amp;$DG51,$B51:$Y51)),
IF(AM$3=$DF51+'Model Setup'!$L$7,SUMIF($AD$3:$BA$3,"="&amp;$DF51+'Model Setup'!$L$7,$B51:$Y51)+'Model Setup'!$L$8*(SUMIF($AD$3:$BA$3,"&lt;"&amp;$DF51,$B51:$Y51)+SUMIF($AD$3:$BA$3,"&gt;="&amp;$DG51,$B51:$Y51)),
IF(AM$3=$DF51+'Model Setup'!$M$7,SUMIF($AD$3:$BA$3,"="&amp;$DF51+'Model Setup'!$M$7,$B51:$Y51)+'Model Setup'!$M$8*(SUMIF($AD$3:$BA$3,"&lt;"&amp;$DF51,$B51:$Y51)+SUMIF($AD$3:$BA$3,"&gt;="&amp;$DG51,$B51:$Y51)),
IF(AM$3=$DF51+'Model Setup'!$N$7,SUMIF($AD$3:$BA$3,"="&amp;$DF51+'Model Setup'!$N$7,$B51:$Y51)+'Model Setup'!$N$8*(SUMIF($AD$3:$BA$3,"&lt;"&amp;$DF51,$B51:$Y51)+SUMIF($AD$3:$BA$3,"&gt;="&amp;$DG51,$B51:$Y51)),
IF(AM$3&lt;$DG51,K51,0))))))))))))))),0)</f>
        <v>167</v>
      </c>
      <c r="AN51" s="47">
        <f>ROUND(IF(AN$3&lt;$DF51,0,
IF(AN$3=$DF51+'Model Setup'!$B$7,SUMIF($AD$3:$BA$3,"="&amp;$DF51+'Model Setup'!$B$7,$B51:$Y51)+'Model Setup'!$B$8*(SUMIF($AD$3:$BA$3,"&lt;"&amp;$DF51,$B51:$Y51)+SUMIF($AD$3:$BA$3,"&gt;="&amp;$DG51,$B51:$Y51)),
IF(AN$3=$DF51+'Model Setup'!$C$7,SUMIF($AD$3:$BA$3,"="&amp;$DF51+'Model Setup'!$C$7,$B51:$Y51)+'Model Setup'!$C$8*(SUMIF($AD$3:$BA$3,"&lt;"&amp;$DF51,$B51:$Y51)+SUMIF($AD$3:$BA$3,"&gt;="&amp;$DG51,$B51:$Y51)),
IF(AN$3=$DF51+'Model Setup'!$D$7,SUMIF($AD$3:$BA$3,"="&amp;$DF51+'Model Setup'!$D$7,$B51:$Y51)+'Model Setup'!$D$8*(SUMIF($AD$3:$BA$3,"&lt;"&amp;$DF51,$B51:$Y51)+SUMIF($AD$3:$BA$3,"&gt;="&amp;$DG51,$B51:$Y51)),
IF(AN$3=$DF51+'Model Setup'!$E$7,SUMIF($AD$3:$BA$3,"="&amp;$DF51+'Model Setup'!$E$7,$B51:$Y51)+'Model Setup'!$E$8*(SUMIF($AD$3:$BA$3,"&lt;"&amp;$DF51,$B51:$Y51)+SUMIF($AD$3:$BA$3,"&gt;="&amp;$DG51,$B51:$Y51)),
IF(AN$3=$DF51+'Model Setup'!$F$7,SUMIF($AD$3:$BA$3,"="&amp;$DF51+'Model Setup'!$F$7,$B51:$Y51)+'Model Setup'!$F$8*(SUMIF($AD$3:$BA$3,"&lt;"&amp;$DF51,$B51:$Y51)+SUMIF($AD$3:$BA$3,"&gt;="&amp;$DG51,$B51:$Y51)),
IF(AN$3=$DF51+'Model Setup'!$G$7,SUMIF($AD$3:$BA$3,"="&amp;$DF51+'Model Setup'!$G$7,$B51:$Y51)+'Model Setup'!$G$8*(SUMIF($AD$3:$BA$3,"&lt;"&amp;$DF51,$B51:$Y51)+SUMIF($AD$3:$BA$3,"&gt;="&amp;$DG51,$B51:$Y51)),
IF(AN$3=$DF51+'Model Setup'!$H$7,SUMIF($AD$3:$BA$3,"="&amp;$DF51+'Model Setup'!$H$7,$B51:$Y51)+'Model Setup'!$H$8*(SUMIF($AD$3:$BA$3,"&lt;"&amp;$DF51,$B51:$Y51)+SUMIF($AD$3:$BA$3,"&gt;="&amp;$DG51,$B51:$Y51)),
IF(AN$3=$DF51+'Model Setup'!$I$7,SUMIF($AD$3:$BA$3,"="&amp;$DF51+'Model Setup'!$I$7,$B51:$Y51)+'Model Setup'!$I$8*(SUMIF($AD$3:$BA$3,"&lt;"&amp;$DF51,$B51:$Y51)+SUMIF($AD$3:$BA$3,"&gt;="&amp;$DG51,$B51:$Y51)),
IF(AN$3=$DF51+'Model Setup'!$J$7,SUMIF($AD$3:$BA$3,"="&amp;$DF51+'Model Setup'!$J$7,$B51:$Y51)+'Model Setup'!$J$8*(SUMIF($AD$3:$BA$3,"&lt;"&amp;$DF51,$B51:$Y51)+SUMIF($AD$3:$BA$3,"&gt;="&amp;$DG51,$B51:$Y51)),
IF(AN$3=$DF51+'Model Setup'!$K$7,SUMIF($AD$3:$BA$3,"="&amp;$DF51+'Model Setup'!$K$7,$B51:$Y51)+'Model Setup'!$K$8*(SUMIF($AD$3:$BA$3,"&lt;"&amp;$DF51,$B51:$Y51)+SUMIF($AD$3:$BA$3,"&gt;="&amp;$DG51,$B51:$Y51)),
IF(AN$3=$DF51+'Model Setup'!$L$7,SUMIF($AD$3:$BA$3,"="&amp;$DF51+'Model Setup'!$L$7,$B51:$Y51)+'Model Setup'!$L$8*(SUMIF($AD$3:$BA$3,"&lt;"&amp;$DF51,$B51:$Y51)+SUMIF($AD$3:$BA$3,"&gt;="&amp;$DG51,$B51:$Y51)),
IF(AN$3=$DF51+'Model Setup'!$M$7,SUMIF($AD$3:$BA$3,"="&amp;$DF51+'Model Setup'!$M$7,$B51:$Y51)+'Model Setup'!$M$8*(SUMIF($AD$3:$BA$3,"&lt;"&amp;$DF51,$B51:$Y51)+SUMIF($AD$3:$BA$3,"&gt;="&amp;$DG51,$B51:$Y51)),
IF(AN$3=$DF51+'Model Setup'!$N$7,SUMIF($AD$3:$BA$3,"="&amp;$DF51+'Model Setup'!$N$7,$B51:$Y51)+'Model Setup'!$N$8*(SUMIF($AD$3:$BA$3,"&lt;"&amp;$DF51,$B51:$Y51)+SUMIF($AD$3:$BA$3,"&gt;="&amp;$DG51,$B51:$Y51)),
IF(AN$3&lt;$DG51,L51,0))))))))))))))),0)</f>
        <v>141</v>
      </c>
      <c r="AO51" s="47">
        <f>ROUND(IF(AO$3&lt;$DF51,0,
IF(AO$3=$DF51+'Model Setup'!$B$7,SUMIF($AD$3:$BA$3,"="&amp;$DF51+'Model Setup'!$B$7,$B51:$Y51)+'Model Setup'!$B$8*(SUMIF($AD$3:$BA$3,"&lt;"&amp;$DF51,$B51:$Y51)+SUMIF($AD$3:$BA$3,"&gt;="&amp;$DG51,$B51:$Y51)),
IF(AO$3=$DF51+'Model Setup'!$C$7,SUMIF($AD$3:$BA$3,"="&amp;$DF51+'Model Setup'!$C$7,$B51:$Y51)+'Model Setup'!$C$8*(SUMIF($AD$3:$BA$3,"&lt;"&amp;$DF51,$B51:$Y51)+SUMIF($AD$3:$BA$3,"&gt;="&amp;$DG51,$B51:$Y51)),
IF(AO$3=$DF51+'Model Setup'!$D$7,SUMIF($AD$3:$BA$3,"="&amp;$DF51+'Model Setup'!$D$7,$B51:$Y51)+'Model Setup'!$D$8*(SUMIF($AD$3:$BA$3,"&lt;"&amp;$DF51,$B51:$Y51)+SUMIF($AD$3:$BA$3,"&gt;="&amp;$DG51,$B51:$Y51)),
IF(AO$3=$DF51+'Model Setup'!$E$7,SUMIF($AD$3:$BA$3,"="&amp;$DF51+'Model Setup'!$E$7,$B51:$Y51)+'Model Setup'!$E$8*(SUMIF($AD$3:$BA$3,"&lt;"&amp;$DF51,$B51:$Y51)+SUMIF($AD$3:$BA$3,"&gt;="&amp;$DG51,$B51:$Y51)),
IF(AO$3=$DF51+'Model Setup'!$F$7,SUMIF($AD$3:$BA$3,"="&amp;$DF51+'Model Setup'!$F$7,$B51:$Y51)+'Model Setup'!$F$8*(SUMIF($AD$3:$BA$3,"&lt;"&amp;$DF51,$B51:$Y51)+SUMIF($AD$3:$BA$3,"&gt;="&amp;$DG51,$B51:$Y51)),
IF(AO$3=$DF51+'Model Setup'!$G$7,SUMIF($AD$3:$BA$3,"="&amp;$DF51+'Model Setup'!$G$7,$B51:$Y51)+'Model Setup'!$G$8*(SUMIF($AD$3:$BA$3,"&lt;"&amp;$DF51,$B51:$Y51)+SUMIF($AD$3:$BA$3,"&gt;="&amp;$DG51,$B51:$Y51)),
IF(AO$3=$DF51+'Model Setup'!$H$7,SUMIF($AD$3:$BA$3,"="&amp;$DF51+'Model Setup'!$H$7,$B51:$Y51)+'Model Setup'!$H$8*(SUMIF($AD$3:$BA$3,"&lt;"&amp;$DF51,$B51:$Y51)+SUMIF($AD$3:$BA$3,"&gt;="&amp;$DG51,$B51:$Y51)),
IF(AO$3=$DF51+'Model Setup'!$I$7,SUMIF($AD$3:$BA$3,"="&amp;$DF51+'Model Setup'!$I$7,$B51:$Y51)+'Model Setup'!$I$8*(SUMIF($AD$3:$BA$3,"&lt;"&amp;$DF51,$B51:$Y51)+SUMIF($AD$3:$BA$3,"&gt;="&amp;$DG51,$B51:$Y51)),
IF(AO$3=$DF51+'Model Setup'!$J$7,SUMIF($AD$3:$BA$3,"="&amp;$DF51+'Model Setup'!$J$7,$B51:$Y51)+'Model Setup'!$J$8*(SUMIF($AD$3:$BA$3,"&lt;"&amp;$DF51,$B51:$Y51)+SUMIF($AD$3:$BA$3,"&gt;="&amp;$DG51,$B51:$Y51)),
IF(AO$3=$DF51+'Model Setup'!$K$7,SUMIF($AD$3:$BA$3,"="&amp;$DF51+'Model Setup'!$K$7,$B51:$Y51)+'Model Setup'!$K$8*(SUMIF($AD$3:$BA$3,"&lt;"&amp;$DF51,$B51:$Y51)+SUMIF($AD$3:$BA$3,"&gt;="&amp;$DG51,$B51:$Y51)),
IF(AO$3=$DF51+'Model Setup'!$L$7,SUMIF($AD$3:$BA$3,"="&amp;$DF51+'Model Setup'!$L$7,$B51:$Y51)+'Model Setup'!$L$8*(SUMIF($AD$3:$BA$3,"&lt;"&amp;$DF51,$B51:$Y51)+SUMIF($AD$3:$BA$3,"&gt;="&amp;$DG51,$B51:$Y51)),
IF(AO$3=$DF51+'Model Setup'!$M$7,SUMIF($AD$3:$BA$3,"="&amp;$DF51+'Model Setup'!$M$7,$B51:$Y51)+'Model Setup'!$M$8*(SUMIF($AD$3:$BA$3,"&lt;"&amp;$DF51,$B51:$Y51)+SUMIF($AD$3:$BA$3,"&gt;="&amp;$DG51,$B51:$Y51)),
IF(AO$3=$DF51+'Model Setup'!$N$7,SUMIF($AD$3:$BA$3,"="&amp;$DF51+'Model Setup'!$N$7,$B51:$Y51)+'Model Setup'!$N$8*(SUMIF($AD$3:$BA$3,"&lt;"&amp;$DF51,$B51:$Y51)+SUMIF($AD$3:$BA$3,"&gt;="&amp;$DG51,$B51:$Y51)),
IF(AO$3&lt;$DG51,M51,0))))))))))))))),0)</f>
        <v>107</v>
      </c>
      <c r="AP51" s="47">
        <f>ROUND(IF(AP$3&lt;$DF51,0,
IF(AP$3=$DF51+'Model Setup'!$B$7,SUMIF($AD$3:$BA$3,"="&amp;$DF51+'Model Setup'!$B$7,$B51:$Y51)+'Model Setup'!$B$8*(SUMIF($AD$3:$BA$3,"&lt;"&amp;$DF51,$B51:$Y51)+SUMIF($AD$3:$BA$3,"&gt;="&amp;$DG51,$B51:$Y51)),
IF(AP$3=$DF51+'Model Setup'!$C$7,SUMIF($AD$3:$BA$3,"="&amp;$DF51+'Model Setup'!$C$7,$B51:$Y51)+'Model Setup'!$C$8*(SUMIF($AD$3:$BA$3,"&lt;"&amp;$DF51,$B51:$Y51)+SUMIF($AD$3:$BA$3,"&gt;="&amp;$DG51,$B51:$Y51)),
IF(AP$3=$DF51+'Model Setup'!$D$7,SUMIF($AD$3:$BA$3,"="&amp;$DF51+'Model Setup'!$D$7,$B51:$Y51)+'Model Setup'!$D$8*(SUMIF($AD$3:$BA$3,"&lt;"&amp;$DF51,$B51:$Y51)+SUMIF($AD$3:$BA$3,"&gt;="&amp;$DG51,$B51:$Y51)),
IF(AP$3=$DF51+'Model Setup'!$E$7,SUMIF($AD$3:$BA$3,"="&amp;$DF51+'Model Setup'!$E$7,$B51:$Y51)+'Model Setup'!$E$8*(SUMIF($AD$3:$BA$3,"&lt;"&amp;$DF51,$B51:$Y51)+SUMIF($AD$3:$BA$3,"&gt;="&amp;$DG51,$B51:$Y51)),
IF(AP$3=$DF51+'Model Setup'!$F$7,SUMIF($AD$3:$BA$3,"="&amp;$DF51+'Model Setup'!$F$7,$B51:$Y51)+'Model Setup'!$F$8*(SUMIF($AD$3:$BA$3,"&lt;"&amp;$DF51,$B51:$Y51)+SUMIF($AD$3:$BA$3,"&gt;="&amp;$DG51,$B51:$Y51)),
IF(AP$3=$DF51+'Model Setup'!$G$7,SUMIF($AD$3:$BA$3,"="&amp;$DF51+'Model Setup'!$G$7,$B51:$Y51)+'Model Setup'!$G$8*(SUMIF($AD$3:$BA$3,"&lt;"&amp;$DF51,$B51:$Y51)+SUMIF($AD$3:$BA$3,"&gt;="&amp;$DG51,$B51:$Y51)),
IF(AP$3=$DF51+'Model Setup'!$H$7,SUMIF($AD$3:$BA$3,"="&amp;$DF51+'Model Setup'!$H$7,$B51:$Y51)+'Model Setup'!$H$8*(SUMIF($AD$3:$BA$3,"&lt;"&amp;$DF51,$B51:$Y51)+SUMIF($AD$3:$BA$3,"&gt;="&amp;$DG51,$B51:$Y51)),
IF(AP$3=$DF51+'Model Setup'!$I$7,SUMIF($AD$3:$BA$3,"="&amp;$DF51+'Model Setup'!$I$7,$B51:$Y51)+'Model Setup'!$I$8*(SUMIF($AD$3:$BA$3,"&lt;"&amp;$DF51,$B51:$Y51)+SUMIF($AD$3:$BA$3,"&gt;="&amp;$DG51,$B51:$Y51)),
IF(AP$3=$DF51+'Model Setup'!$J$7,SUMIF($AD$3:$BA$3,"="&amp;$DF51+'Model Setup'!$J$7,$B51:$Y51)+'Model Setup'!$J$8*(SUMIF($AD$3:$BA$3,"&lt;"&amp;$DF51,$B51:$Y51)+SUMIF($AD$3:$BA$3,"&gt;="&amp;$DG51,$B51:$Y51)),
IF(AP$3=$DF51+'Model Setup'!$K$7,SUMIF($AD$3:$BA$3,"="&amp;$DF51+'Model Setup'!$K$7,$B51:$Y51)+'Model Setup'!$K$8*(SUMIF($AD$3:$BA$3,"&lt;"&amp;$DF51,$B51:$Y51)+SUMIF($AD$3:$BA$3,"&gt;="&amp;$DG51,$B51:$Y51)),
IF(AP$3=$DF51+'Model Setup'!$L$7,SUMIF($AD$3:$BA$3,"="&amp;$DF51+'Model Setup'!$L$7,$B51:$Y51)+'Model Setup'!$L$8*(SUMIF($AD$3:$BA$3,"&lt;"&amp;$DF51,$B51:$Y51)+SUMIF($AD$3:$BA$3,"&gt;="&amp;$DG51,$B51:$Y51)),
IF(AP$3=$DF51+'Model Setup'!$M$7,SUMIF($AD$3:$BA$3,"="&amp;$DF51+'Model Setup'!$M$7,$B51:$Y51)+'Model Setup'!$M$8*(SUMIF($AD$3:$BA$3,"&lt;"&amp;$DF51,$B51:$Y51)+SUMIF($AD$3:$BA$3,"&gt;="&amp;$DG51,$B51:$Y51)),
IF(AP$3=$DF51+'Model Setup'!$N$7,SUMIF($AD$3:$BA$3,"="&amp;$DF51+'Model Setup'!$N$7,$B51:$Y51)+'Model Setup'!$N$8*(SUMIF($AD$3:$BA$3,"&lt;"&amp;$DF51,$B51:$Y51)+SUMIF($AD$3:$BA$3,"&gt;="&amp;$DG51,$B51:$Y51)),
IF(AP$3&lt;$DG51,N51,0))))))))))))))),0)</f>
        <v>80</v>
      </c>
      <c r="AQ51" s="47">
        <f>ROUND(IF(AQ$3&lt;$DF51,0,
IF(AQ$3=$DF51+'Model Setup'!$B$7,SUMIF($AD$3:$BA$3,"="&amp;$DF51+'Model Setup'!$B$7,$B51:$Y51)+'Model Setup'!$B$8*(SUMIF($AD$3:$BA$3,"&lt;"&amp;$DF51,$B51:$Y51)+SUMIF($AD$3:$BA$3,"&gt;="&amp;$DG51,$B51:$Y51)),
IF(AQ$3=$DF51+'Model Setup'!$C$7,SUMIF($AD$3:$BA$3,"="&amp;$DF51+'Model Setup'!$C$7,$B51:$Y51)+'Model Setup'!$C$8*(SUMIF($AD$3:$BA$3,"&lt;"&amp;$DF51,$B51:$Y51)+SUMIF($AD$3:$BA$3,"&gt;="&amp;$DG51,$B51:$Y51)),
IF(AQ$3=$DF51+'Model Setup'!$D$7,SUMIF($AD$3:$BA$3,"="&amp;$DF51+'Model Setup'!$D$7,$B51:$Y51)+'Model Setup'!$D$8*(SUMIF($AD$3:$BA$3,"&lt;"&amp;$DF51,$B51:$Y51)+SUMIF($AD$3:$BA$3,"&gt;="&amp;$DG51,$B51:$Y51)),
IF(AQ$3=$DF51+'Model Setup'!$E$7,SUMIF($AD$3:$BA$3,"="&amp;$DF51+'Model Setup'!$E$7,$B51:$Y51)+'Model Setup'!$E$8*(SUMIF($AD$3:$BA$3,"&lt;"&amp;$DF51,$B51:$Y51)+SUMIF($AD$3:$BA$3,"&gt;="&amp;$DG51,$B51:$Y51)),
IF(AQ$3=$DF51+'Model Setup'!$F$7,SUMIF($AD$3:$BA$3,"="&amp;$DF51+'Model Setup'!$F$7,$B51:$Y51)+'Model Setup'!$F$8*(SUMIF($AD$3:$BA$3,"&lt;"&amp;$DF51,$B51:$Y51)+SUMIF($AD$3:$BA$3,"&gt;="&amp;$DG51,$B51:$Y51)),
IF(AQ$3=$DF51+'Model Setup'!$G$7,SUMIF($AD$3:$BA$3,"="&amp;$DF51+'Model Setup'!$G$7,$B51:$Y51)+'Model Setup'!$G$8*(SUMIF($AD$3:$BA$3,"&lt;"&amp;$DF51,$B51:$Y51)+SUMIF($AD$3:$BA$3,"&gt;="&amp;$DG51,$B51:$Y51)),
IF(AQ$3=$DF51+'Model Setup'!$H$7,SUMIF($AD$3:$BA$3,"="&amp;$DF51+'Model Setup'!$H$7,$B51:$Y51)+'Model Setup'!$H$8*(SUMIF($AD$3:$BA$3,"&lt;"&amp;$DF51,$B51:$Y51)+SUMIF($AD$3:$BA$3,"&gt;="&amp;$DG51,$B51:$Y51)),
IF(AQ$3=$DF51+'Model Setup'!$I$7,SUMIF($AD$3:$BA$3,"="&amp;$DF51+'Model Setup'!$I$7,$B51:$Y51)+'Model Setup'!$I$8*(SUMIF($AD$3:$BA$3,"&lt;"&amp;$DF51,$B51:$Y51)+SUMIF($AD$3:$BA$3,"&gt;="&amp;$DG51,$B51:$Y51)),
IF(AQ$3=$DF51+'Model Setup'!$J$7,SUMIF($AD$3:$BA$3,"="&amp;$DF51+'Model Setup'!$J$7,$B51:$Y51)+'Model Setup'!$J$8*(SUMIF($AD$3:$BA$3,"&lt;"&amp;$DF51,$B51:$Y51)+SUMIF($AD$3:$BA$3,"&gt;="&amp;$DG51,$B51:$Y51)),
IF(AQ$3=$DF51+'Model Setup'!$K$7,SUMIF($AD$3:$BA$3,"="&amp;$DF51+'Model Setup'!$K$7,$B51:$Y51)+'Model Setup'!$K$8*(SUMIF($AD$3:$BA$3,"&lt;"&amp;$DF51,$B51:$Y51)+SUMIF($AD$3:$BA$3,"&gt;="&amp;$DG51,$B51:$Y51)),
IF(AQ$3=$DF51+'Model Setup'!$L$7,SUMIF($AD$3:$BA$3,"="&amp;$DF51+'Model Setup'!$L$7,$B51:$Y51)+'Model Setup'!$L$8*(SUMIF($AD$3:$BA$3,"&lt;"&amp;$DF51,$B51:$Y51)+SUMIF($AD$3:$BA$3,"&gt;="&amp;$DG51,$B51:$Y51)),
IF(AQ$3=$DF51+'Model Setup'!$M$7,SUMIF($AD$3:$BA$3,"="&amp;$DF51+'Model Setup'!$M$7,$B51:$Y51)+'Model Setup'!$M$8*(SUMIF($AD$3:$BA$3,"&lt;"&amp;$DF51,$B51:$Y51)+SUMIF($AD$3:$BA$3,"&gt;="&amp;$DG51,$B51:$Y51)),
IF(AQ$3=$DF51+'Model Setup'!$N$7,SUMIF($AD$3:$BA$3,"="&amp;$DF51+'Model Setup'!$N$7,$B51:$Y51)+'Model Setup'!$N$8*(SUMIF($AD$3:$BA$3,"&lt;"&amp;$DF51,$B51:$Y51)+SUMIF($AD$3:$BA$3,"&gt;="&amp;$DG51,$B51:$Y51)),
IF(AQ$3&lt;$DG51,O51,0))))))))))))))),0)</f>
        <v>92</v>
      </c>
      <c r="AR51" s="47">
        <f>ROUND(IF(AR$3&lt;$DF51,0,
IF(AR$3=$DF51+'Model Setup'!$B$7,SUMIF($AD$3:$BA$3,"="&amp;$DF51+'Model Setup'!$B$7,$B51:$Y51)+'Model Setup'!$B$8*(SUMIF($AD$3:$BA$3,"&lt;"&amp;$DF51,$B51:$Y51)+SUMIF($AD$3:$BA$3,"&gt;="&amp;$DG51,$B51:$Y51)),
IF(AR$3=$DF51+'Model Setup'!$C$7,SUMIF($AD$3:$BA$3,"="&amp;$DF51+'Model Setup'!$C$7,$B51:$Y51)+'Model Setup'!$C$8*(SUMIF($AD$3:$BA$3,"&lt;"&amp;$DF51,$B51:$Y51)+SUMIF($AD$3:$BA$3,"&gt;="&amp;$DG51,$B51:$Y51)),
IF(AR$3=$DF51+'Model Setup'!$D$7,SUMIF($AD$3:$BA$3,"="&amp;$DF51+'Model Setup'!$D$7,$B51:$Y51)+'Model Setup'!$D$8*(SUMIF($AD$3:$BA$3,"&lt;"&amp;$DF51,$B51:$Y51)+SUMIF($AD$3:$BA$3,"&gt;="&amp;$DG51,$B51:$Y51)),
IF(AR$3=$DF51+'Model Setup'!$E$7,SUMIF($AD$3:$BA$3,"="&amp;$DF51+'Model Setup'!$E$7,$B51:$Y51)+'Model Setup'!$E$8*(SUMIF($AD$3:$BA$3,"&lt;"&amp;$DF51,$B51:$Y51)+SUMIF($AD$3:$BA$3,"&gt;="&amp;$DG51,$B51:$Y51)),
IF(AR$3=$DF51+'Model Setup'!$F$7,SUMIF($AD$3:$BA$3,"="&amp;$DF51+'Model Setup'!$F$7,$B51:$Y51)+'Model Setup'!$F$8*(SUMIF($AD$3:$BA$3,"&lt;"&amp;$DF51,$B51:$Y51)+SUMIF($AD$3:$BA$3,"&gt;="&amp;$DG51,$B51:$Y51)),
IF(AR$3=$DF51+'Model Setup'!$G$7,SUMIF($AD$3:$BA$3,"="&amp;$DF51+'Model Setup'!$G$7,$B51:$Y51)+'Model Setup'!$G$8*(SUMIF($AD$3:$BA$3,"&lt;"&amp;$DF51,$B51:$Y51)+SUMIF($AD$3:$BA$3,"&gt;="&amp;$DG51,$B51:$Y51)),
IF(AR$3=$DF51+'Model Setup'!$H$7,SUMIF($AD$3:$BA$3,"="&amp;$DF51+'Model Setup'!$H$7,$B51:$Y51)+'Model Setup'!$H$8*(SUMIF($AD$3:$BA$3,"&lt;"&amp;$DF51,$B51:$Y51)+SUMIF($AD$3:$BA$3,"&gt;="&amp;$DG51,$B51:$Y51)),
IF(AR$3=$DF51+'Model Setup'!$I$7,SUMIF($AD$3:$BA$3,"="&amp;$DF51+'Model Setup'!$I$7,$B51:$Y51)+'Model Setup'!$I$8*(SUMIF($AD$3:$BA$3,"&lt;"&amp;$DF51,$B51:$Y51)+SUMIF($AD$3:$BA$3,"&gt;="&amp;$DG51,$B51:$Y51)),
IF(AR$3=$DF51+'Model Setup'!$J$7,SUMIF($AD$3:$BA$3,"="&amp;$DF51+'Model Setup'!$J$7,$B51:$Y51)+'Model Setup'!$J$8*(SUMIF($AD$3:$BA$3,"&lt;"&amp;$DF51,$B51:$Y51)+SUMIF($AD$3:$BA$3,"&gt;="&amp;$DG51,$B51:$Y51)),
IF(AR$3=$DF51+'Model Setup'!$K$7,SUMIF($AD$3:$BA$3,"="&amp;$DF51+'Model Setup'!$K$7,$B51:$Y51)+'Model Setup'!$K$8*(SUMIF($AD$3:$BA$3,"&lt;"&amp;$DF51,$B51:$Y51)+SUMIF($AD$3:$BA$3,"&gt;="&amp;$DG51,$B51:$Y51)),
IF(AR$3=$DF51+'Model Setup'!$L$7,SUMIF($AD$3:$BA$3,"="&amp;$DF51+'Model Setup'!$L$7,$B51:$Y51)+'Model Setup'!$L$8*(SUMIF($AD$3:$BA$3,"&lt;"&amp;$DF51,$B51:$Y51)+SUMIF($AD$3:$BA$3,"&gt;="&amp;$DG51,$B51:$Y51)),
IF(AR$3=$DF51+'Model Setup'!$M$7,SUMIF($AD$3:$BA$3,"="&amp;$DF51+'Model Setup'!$M$7,$B51:$Y51)+'Model Setup'!$M$8*(SUMIF($AD$3:$BA$3,"&lt;"&amp;$DF51,$B51:$Y51)+SUMIF($AD$3:$BA$3,"&gt;="&amp;$DG51,$B51:$Y51)),
IF(AR$3=$DF51+'Model Setup'!$N$7,SUMIF($AD$3:$BA$3,"="&amp;$DF51+'Model Setup'!$N$7,$B51:$Y51)+'Model Setup'!$N$8*(SUMIF($AD$3:$BA$3,"&lt;"&amp;$DF51,$B51:$Y51)+SUMIF($AD$3:$BA$3,"&gt;="&amp;$DG51,$B51:$Y51)),
IF(AR$3&lt;$DG51,P51,0))))))))))))))),0)</f>
        <v>60</v>
      </c>
      <c r="AS51" s="47">
        <f>ROUND(IF(AS$3&lt;$DF51,0,
IF(AS$3=$DF51+'Model Setup'!$B$7,SUMIF($AD$3:$BA$3,"="&amp;$DF51+'Model Setup'!$B$7,$B51:$Y51)+'Model Setup'!$B$8*(SUMIF($AD$3:$BA$3,"&lt;"&amp;$DF51,$B51:$Y51)+SUMIF($AD$3:$BA$3,"&gt;="&amp;$DG51,$B51:$Y51)),
IF(AS$3=$DF51+'Model Setup'!$C$7,SUMIF($AD$3:$BA$3,"="&amp;$DF51+'Model Setup'!$C$7,$B51:$Y51)+'Model Setup'!$C$8*(SUMIF($AD$3:$BA$3,"&lt;"&amp;$DF51,$B51:$Y51)+SUMIF($AD$3:$BA$3,"&gt;="&amp;$DG51,$B51:$Y51)),
IF(AS$3=$DF51+'Model Setup'!$D$7,SUMIF($AD$3:$BA$3,"="&amp;$DF51+'Model Setup'!$D$7,$B51:$Y51)+'Model Setup'!$D$8*(SUMIF($AD$3:$BA$3,"&lt;"&amp;$DF51,$B51:$Y51)+SUMIF($AD$3:$BA$3,"&gt;="&amp;$DG51,$B51:$Y51)),
IF(AS$3=$DF51+'Model Setup'!$E$7,SUMIF($AD$3:$BA$3,"="&amp;$DF51+'Model Setup'!$E$7,$B51:$Y51)+'Model Setup'!$E$8*(SUMIF($AD$3:$BA$3,"&lt;"&amp;$DF51,$B51:$Y51)+SUMIF($AD$3:$BA$3,"&gt;="&amp;$DG51,$B51:$Y51)),
IF(AS$3=$DF51+'Model Setup'!$F$7,SUMIF($AD$3:$BA$3,"="&amp;$DF51+'Model Setup'!$F$7,$B51:$Y51)+'Model Setup'!$F$8*(SUMIF($AD$3:$BA$3,"&lt;"&amp;$DF51,$B51:$Y51)+SUMIF($AD$3:$BA$3,"&gt;="&amp;$DG51,$B51:$Y51)),
IF(AS$3=$DF51+'Model Setup'!$G$7,SUMIF($AD$3:$BA$3,"="&amp;$DF51+'Model Setup'!$G$7,$B51:$Y51)+'Model Setup'!$G$8*(SUMIF($AD$3:$BA$3,"&lt;"&amp;$DF51,$B51:$Y51)+SUMIF($AD$3:$BA$3,"&gt;="&amp;$DG51,$B51:$Y51)),
IF(AS$3=$DF51+'Model Setup'!$H$7,SUMIF($AD$3:$BA$3,"="&amp;$DF51+'Model Setup'!$H$7,$B51:$Y51)+'Model Setup'!$H$8*(SUMIF($AD$3:$BA$3,"&lt;"&amp;$DF51,$B51:$Y51)+SUMIF($AD$3:$BA$3,"&gt;="&amp;$DG51,$B51:$Y51)),
IF(AS$3=$DF51+'Model Setup'!$I$7,SUMIF($AD$3:$BA$3,"="&amp;$DF51+'Model Setup'!$I$7,$B51:$Y51)+'Model Setup'!$I$8*(SUMIF($AD$3:$BA$3,"&lt;"&amp;$DF51,$B51:$Y51)+SUMIF($AD$3:$BA$3,"&gt;="&amp;$DG51,$B51:$Y51)),
IF(AS$3=$DF51+'Model Setup'!$J$7,SUMIF($AD$3:$BA$3,"="&amp;$DF51+'Model Setup'!$J$7,$B51:$Y51)+'Model Setup'!$J$8*(SUMIF($AD$3:$BA$3,"&lt;"&amp;$DF51,$B51:$Y51)+SUMIF($AD$3:$BA$3,"&gt;="&amp;$DG51,$B51:$Y51)),
IF(AS$3=$DF51+'Model Setup'!$K$7,SUMIF($AD$3:$BA$3,"="&amp;$DF51+'Model Setup'!$K$7,$B51:$Y51)+'Model Setup'!$K$8*(SUMIF($AD$3:$BA$3,"&lt;"&amp;$DF51,$B51:$Y51)+SUMIF($AD$3:$BA$3,"&gt;="&amp;$DG51,$B51:$Y51)),
IF(AS$3=$DF51+'Model Setup'!$L$7,SUMIF($AD$3:$BA$3,"="&amp;$DF51+'Model Setup'!$L$7,$B51:$Y51)+'Model Setup'!$L$8*(SUMIF($AD$3:$BA$3,"&lt;"&amp;$DF51,$B51:$Y51)+SUMIF($AD$3:$BA$3,"&gt;="&amp;$DG51,$B51:$Y51)),
IF(AS$3=$DF51+'Model Setup'!$M$7,SUMIF($AD$3:$BA$3,"="&amp;$DF51+'Model Setup'!$M$7,$B51:$Y51)+'Model Setup'!$M$8*(SUMIF($AD$3:$BA$3,"&lt;"&amp;$DF51,$B51:$Y51)+SUMIF($AD$3:$BA$3,"&gt;="&amp;$DG51,$B51:$Y51)),
IF(AS$3=$DF51+'Model Setup'!$N$7,SUMIF($AD$3:$BA$3,"="&amp;$DF51+'Model Setup'!$N$7,$B51:$Y51)+'Model Setup'!$N$8*(SUMIF($AD$3:$BA$3,"&lt;"&amp;$DF51,$B51:$Y51)+SUMIF($AD$3:$BA$3,"&gt;="&amp;$DG51,$B51:$Y51)),
IF(AS$3&lt;$DG51,Q51,0))))))))))))))),0)</f>
        <v>68</v>
      </c>
      <c r="AT51" s="47">
        <f>ROUND(IF(AT$3&lt;$DF51,0,
IF(AT$3=$DF51+'Model Setup'!$B$7,SUMIF($AD$3:$BA$3,"="&amp;$DF51+'Model Setup'!$B$7,$B51:$Y51)+'Model Setup'!$B$8*(SUMIF($AD$3:$BA$3,"&lt;"&amp;$DF51,$B51:$Y51)+SUMIF($AD$3:$BA$3,"&gt;="&amp;$DG51,$B51:$Y51)),
IF(AT$3=$DF51+'Model Setup'!$C$7,SUMIF($AD$3:$BA$3,"="&amp;$DF51+'Model Setup'!$C$7,$B51:$Y51)+'Model Setup'!$C$8*(SUMIF($AD$3:$BA$3,"&lt;"&amp;$DF51,$B51:$Y51)+SUMIF($AD$3:$BA$3,"&gt;="&amp;$DG51,$B51:$Y51)),
IF(AT$3=$DF51+'Model Setup'!$D$7,SUMIF($AD$3:$BA$3,"="&amp;$DF51+'Model Setup'!$D$7,$B51:$Y51)+'Model Setup'!$D$8*(SUMIF($AD$3:$BA$3,"&lt;"&amp;$DF51,$B51:$Y51)+SUMIF($AD$3:$BA$3,"&gt;="&amp;$DG51,$B51:$Y51)),
IF(AT$3=$DF51+'Model Setup'!$E$7,SUMIF($AD$3:$BA$3,"="&amp;$DF51+'Model Setup'!$E$7,$B51:$Y51)+'Model Setup'!$E$8*(SUMIF($AD$3:$BA$3,"&lt;"&amp;$DF51,$B51:$Y51)+SUMIF($AD$3:$BA$3,"&gt;="&amp;$DG51,$B51:$Y51)),
IF(AT$3=$DF51+'Model Setup'!$F$7,SUMIF($AD$3:$BA$3,"="&amp;$DF51+'Model Setup'!$F$7,$B51:$Y51)+'Model Setup'!$F$8*(SUMIF($AD$3:$BA$3,"&lt;"&amp;$DF51,$B51:$Y51)+SUMIF($AD$3:$BA$3,"&gt;="&amp;$DG51,$B51:$Y51)),
IF(AT$3=$DF51+'Model Setup'!$G$7,SUMIF($AD$3:$BA$3,"="&amp;$DF51+'Model Setup'!$G$7,$B51:$Y51)+'Model Setup'!$G$8*(SUMIF($AD$3:$BA$3,"&lt;"&amp;$DF51,$B51:$Y51)+SUMIF($AD$3:$BA$3,"&gt;="&amp;$DG51,$B51:$Y51)),
IF(AT$3=$DF51+'Model Setup'!$H$7,SUMIF($AD$3:$BA$3,"="&amp;$DF51+'Model Setup'!$H$7,$B51:$Y51)+'Model Setup'!$H$8*(SUMIF($AD$3:$BA$3,"&lt;"&amp;$DF51,$B51:$Y51)+SUMIF($AD$3:$BA$3,"&gt;="&amp;$DG51,$B51:$Y51)),
IF(AT$3=$DF51+'Model Setup'!$I$7,SUMIF($AD$3:$BA$3,"="&amp;$DF51+'Model Setup'!$I$7,$B51:$Y51)+'Model Setup'!$I$8*(SUMIF($AD$3:$BA$3,"&lt;"&amp;$DF51,$B51:$Y51)+SUMIF($AD$3:$BA$3,"&gt;="&amp;$DG51,$B51:$Y51)),
IF(AT$3=$DF51+'Model Setup'!$J$7,SUMIF($AD$3:$BA$3,"="&amp;$DF51+'Model Setup'!$J$7,$B51:$Y51)+'Model Setup'!$J$8*(SUMIF($AD$3:$BA$3,"&lt;"&amp;$DF51,$B51:$Y51)+SUMIF($AD$3:$BA$3,"&gt;="&amp;$DG51,$B51:$Y51)),
IF(AT$3=$DF51+'Model Setup'!$K$7,SUMIF($AD$3:$BA$3,"="&amp;$DF51+'Model Setup'!$K$7,$B51:$Y51)+'Model Setup'!$K$8*(SUMIF($AD$3:$BA$3,"&lt;"&amp;$DF51,$B51:$Y51)+SUMIF($AD$3:$BA$3,"&gt;="&amp;$DG51,$B51:$Y51)),
IF(AT$3=$DF51+'Model Setup'!$L$7,SUMIF($AD$3:$BA$3,"="&amp;$DF51+'Model Setup'!$L$7,$B51:$Y51)+'Model Setup'!$L$8*(SUMIF($AD$3:$BA$3,"&lt;"&amp;$DF51,$B51:$Y51)+SUMIF($AD$3:$BA$3,"&gt;="&amp;$DG51,$B51:$Y51)),
IF(AT$3=$DF51+'Model Setup'!$M$7,SUMIF($AD$3:$BA$3,"="&amp;$DF51+'Model Setup'!$M$7,$B51:$Y51)+'Model Setup'!$M$8*(SUMIF($AD$3:$BA$3,"&lt;"&amp;$DF51,$B51:$Y51)+SUMIF($AD$3:$BA$3,"&gt;="&amp;$DG51,$B51:$Y51)),
IF(AT$3=$DF51+'Model Setup'!$N$7,SUMIF($AD$3:$BA$3,"="&amp;$DF51+'Model Setup'!$N$7,$B51:$Y51)+'Model Setup'!$N$8*(SUMIF($AD$3:$BA$3,"&lt;"&amp;$DF51,$B51:$Y51)+SUMIF($AD$3:$BA$3,"&gt;="&amp;$DG51,$B51:$Y51)),
IF(AT$3&lt;$DG51,R51,0))))))))))))))),0)</f>
        <v>77</v>
      </c>
      <c r="AU51" s="47">
        <f>ROUND(IF(AU$3&lt;$DF51,0,
IF(AU$3=$DF51+'Model Setup'!$B$7,SUMIF($AD$3:$BA$3,"="&amp;$DF51+'Model Setup'!$B$7,$B51:$Y51)+'Model Setup'!$B$8*(SUMIF($AD$3:$BA$3,"&lt;"&amp;$DF51,$B51:$Y51)+SUMIF($AD$3:$BA$3,"&gt;="&amp;$DG51,$B51:$Y51)),
IF(AU$3=$DF51+'Model Setup'!$C$7,SUMIF($AD$3:$BA$3,"="&amp;$DF51+'Model Setup'!$C$7,$B51:$Y51)+'Model Setup'!$C$8*(SUMIF($AD$3:$BA$3,"&lt;"&amp;$DF51,$B51:$Y51)+SUMIF($AD$3:$BA$3,"&gt;="&amp;$DG51,$B51:$Y51)),
IF(AU$3=$DF51+'Model Setup'!$D$7,SUMIF($AD$3:$BA$3,"="&amp;$DF51+'Model Setup'!$D$7,$B51:$Y51)+'Model Setup'!$D$8*(SUMIF($AD$3:$BA$3,"&lt;"&amp;$DF51,$B51:$Y51)+SUMIF($AD$3:$BA$3,"&gt;="&amp;$DG51,$B51:$Y51)),
IF(AU$3=$DF51+'Model Setup'!$E$7,SUMIF($AD$3:$BA$3,"="&amp;$DF51+'Model Setup'!$E$7,$B51:$Y51)+'Model Setup'!$E$8*(SUMIF($AD$3:$BA$3,"&lt;"&amp;$DF51,$B51:$Y51)+SUMIF($AD$3:$BA$3,"&gt;="&amp;$DG51,$B51:$Y51)),
IF(AU$3=$DF51+'Model Setup'!$F$7,SUMIF($AD$3:$BA$3,"="&amp;$DF51+'Model Setup'!$F$7,$B51:$Y51)+'Model Setup'!$F$8*(SUMIF($AD$3:$BA$3,"&lt;"&amp;$DF51,$B51:$Y51)+SUMIF($AD$3:$BA$3,"&gt;="&amp;$DG51,$B51:$Y51)),
IF(AU$3=$DF51+'Model Setup'!$G$7,SUMIF($AD$3:$BA$3,"="&amp;$DF51+'Model Setup'!$G$7,$B51:$Y51)+'Model Setup'!$G$8*(SUMIF($AD$3:$BA$3,"&lt;"&amp;$DF51,$B51:$Y51)+SUMIF($AD$3:$BA$3,"&gt;="&amp;$DG51,$B51:$Y51)),
IF(AU$3=$DF51+'Model Setup'!$H$7,SUMIF($AD$3:$BA$3,"="&amp;$DF51+'Model Setup'!$H$7,$B51:$Y51)+'Model Setup'!$H$8*(SUMIF($AD$3:$BA$3,"&lt;"&amp;$DF51,$B51:$Y51)+SUMIF($AD$3:$BA$3,"&gt;="&amp;$DG51,$B51:$Y51)),
IF(AU$3=$DF51+'Model Setup'!$I$7,SUMIF($AD$3:$BA$3,"="&amp;$DF51+'Model Setup'!$I$7,$B51:$Y51)+'Model Setup'!$I$8*(SUMIF($AD$3:$BA$3,"&lt;"&amp;$DF51,$B51:$Y51)+SUMIF($AD$3:$BA$3,"&gt;="&amp;$DG51,$B51:$Y51)),
IF(AU$3=$DF51+'Model Setup'!$J$7,SUMIF($AD$3:$BA$3,"="&amp;$DF51+'Model Setup'!$J$7,$B51:$Y51)+'Model Setup'!$J$8*(SUMIF($AD$3:$BA$3,"&lt;"&amp;$DF51,$B51:$Y51)+SUMIF($AD$3:$BA$3,"&gt;="&amp;$DG51,$B51:$Y51)),
IF(AU$3=$DF51+'Model Setup'!$K$7,SUMIF($AD$3:$BA$3,"="&amp;$DF51+'Model Setup'!$K$7,$B51:$Y51)+'Model Setup'!$K$8*(SUMIF($AD$3:$BA$3,"&lt;"&amp;$DF51,$B51:$Y51)+SUMIF($AD$3:$BA$3,"&gt;="&amp;$DG51,$B51:$Y51)),
IF(AU$3=$DF51+'Model Setup'!$L$7,SUMIF($AD$3:$BA$3,"="&amp;$DF51+'Model Setup'!$L$7,$B51:$Y51)+'Model Setup'!$L$8*(SUMIF($AD$3:$BA$3,"&lt;"&amp;$DF51,$B51:$Y51)+SUMIF($AD$3:$BA$3,"&gt;="&amp;$DG51,$B51:$Y51)),
IF(AU$3=$DF51+'Model Setup'!$M$7,SUMIF($AD$3:$BA$3,"="&amp;$DF51+'Model Setup'!$M$7,$B51:$Y51)+'Model Setup'!$M$8*(SUMIF($AD$3:$BA$3,"&lt;"&amp;$DF51,$B51:$Y51)+SUMIF($AD$3:$BA$3,"&gt;="&amp;$DG51,$B51:$Y51)),
IF(AU$3=$DF51+'Model Setup'!$N$7,SUMIF($AD$3:$BA$3,"="&amp;$DF51+'Model Setup'!$N$7,$B51:$Y51)+'Model Setup'!$N$8*(SUMIF($AD$3:$BA$3,"&lt;"&amp;$DF51,$B51:$Y51)+SUMIF($AD$3:$BA$3,"&gt;="&amp;$DG51,$B51:$Y51)),
IF(AU$3&lt;$DG51,S51,0))))))))))))))),0)</f>
        <v>59</v>
      </c>
      <c r="AV51" s="47">
        <f>ROUND(IF(AV$3&lt;$DF51,0,
IF(AV$3=$DF51+'Model Setup'!$B$7,SUMIF($AD$3:$BA$3,"="&amp;$DF51+'Model Setup'!$B$7,$B51:$Y51)+'Model Setup'!$B$8*(SUMIF($AD$3:$BA$3,"&lt;"&amp;$DF51,$B51:$Y51)+SUMIF($AD$3:$BA$3,"&gt;="&amp;$DG51,$B51:$Y51)),
IF(AV$3=$DF51+'Model Setup'!$C$7,SUMIF($AD$3:$BA$3,"="&amp;$DF51+'Model Setup'!$C$7,$B51:$Y51)+'Model Setup'!$C$8*(SUMIF($AD$3:$BA$3,"&lt;"&amp;$DF51,$B51:$Y51)+SUMIF($AD$3:$BA$3,"&gt;="&amp;$DG51,$B51:$Y51)),
IF(AV$3=$DF51+'Model Setup'!$D$7,SUMIF($AD$3:$BA$3,"="&amp;$DF51+'Model Setup'!$D$7,$B51:$Y51)+'Model Setup'!$D$8*(SUMIF($AD$3:$BA$3,"&lt;"&amp;$DF51,$B51:$Y51)+SUMIF($AD$3:$BA$3,"&gt;="&amp;$DG51,$B51:$Y51)),
IF(AV$3=$DF51+'Model Setup'!$E$7,SUMIF($AD$3:$BA$3,"="&amp;$DF51+'Model Setup'!$E$7,$B51:$Y51)+'Model Setup'!$E$8*(SUMIF($AD$3:$BA$3,"&lt;"&amp;$DF51,$B51:$Y51)+SUMIF($AD$3:$BA$3,"&gt;="&amp;$DG51,$B51:$Y51)),
IF(AV$3=$DF51+'Model Setup'!$F$7,SUMIF($AD$3:$BA$3,"="&amp;$DF51+'Model Setup'!$F$7,$B51:$Y51)+'Model Setup'!$F$8*(SUMIF($AD$3:$BA$3,"&lt;"&amp;$DF51,$B51:$Y51)+SUMIF($AD$3:$BA$3,"&gt;="&amp;$DG51,$B51:$Y51)),
IF(AV$3=$DF51+'Model Setup'!$G$7,SUMIF($AD$3:$BA$3,"="&amp;$DF51+'Model Setup'!$G$7,$B51:$Y51)+'Model Setup'!$G$8*(SUMIF($AD$3:$BA$3,"&lt;"&amp;$DF51,$B51:$Y51)+SUMIF($AD$3:$BA$3,"&gt;="&amp;$DG51,$B51:$Y51)),
IF(AV$3=$DF51+'Model Setup'!$H$7,SUMIF($AD$3:$BA$3,"="&amp;$DF51+'Model Setup'!$H$7,$B51:$Y51)+'Model Setup'!$H$8*(SUMIF($AD$3:$BA$3,"&lt;"&amp;$DF51,$B51:$Y51)+SUMIF($AD$3:$BA$3,"&gt;="&amp;$DG51,$B51:$Y51)),
IF(AV$3=$DF51+'Model Setup'!$I$7,SUMIF($AD$3:$BA$3,"="&amp;$DF51+'Model Setup'!$I$7,$B51:$Y51)+'Model Setup'!$I$8*(SUMIF($AD$3:$BA$3,"&lt;"&amp;$DF51,$B51:$Y51)+SUMIF($AD$3:$BA$3,"&gt;="&amp;$DG51,$B51:$Y51)),
IF(AV$3=$DF51+'Model Setup'!$J$7,SUMIF($AD$3:$BA$3,"="&amp;$DF51+'Model Setup'!$J$7,$B51:$Y51)+'Model Setup'!$J$8*(SUMIF($AD$3:$BA$3,"&lt;"&amp;$DF51,$B51:$Y51)+SUMIF($AD$3:$BA$3,"&gt;="&amp;$DG51,$B51:$Y51)),
IF(AV$3=$DF51+'Model Setup'!$K$7,SUMIF($AD$3:$BA$3,"="&amp;$DF51+'Model Setup'!$K$7,$B51:$Y51)+'Model Setup'!$K$8*(SUMIF($AD$3:$BA$3,"&lt;"&amp;$DF51,$B51:$Y51)+SUMIF($AD$3:$BA$3,"&gt;="&amp;$DG51,$B51:$Y51)),
IF(AV$3=$DF51+'Model Setup'!$L$7,SUMIF($AD$3:$BA$3,"="&amp;$DF51+'Model Setup'!$L$7,$B51:$Y51)+'Model Setup'!$L$8*(SUMIF($AD$3:$BA$3,"&lt;"&amp;$DF51,$B51:$Y51)+SUMIF($AD$3:$BA$3,"&gt;="&amp;$DG51,$B51:$Y51)),
IF(AV$3=$DF51+'Model Setup'!$M$7,SUMIF($AD$3:$BA$3,"="&amp;$DF51+'Model Setup'!$M$7,$B51:$Y51)+'Model Setup'!$M$8*(SUMIF($AD$3:$BA$3,"&lt;"&amp;$DF51,$B51:$Y51)+SUMIF($AD$3:$BA$3,"&gt;="&amp;$DG51,$B51:$Y51)),
IF(AV$3=$DF51+'Model Setup'!$N$7,SUMIF($AD$3:$BA$3,"="&amp;$DF51+'Model Setup'!$N$7,$B51:$Y51)+'Model Setup'!$N$8*(SUMIF($AD$3:$BA$3,"&lt;"&amp;$DF51,$B51:$Y51)+SUMIF($AD$3:$BA$3,"&gt;="&amp;$DG51,$B51:$Y51)),
IF(AV$3&lt;$DG51,T51,0))))))))))))))),0)</f>
        <v>0</v>
      </c>
      <c r="AW51" s="47">
        <f>ROUND(IF(AW$3&lt;$DF51,0,
IF(AW$3=$DF51+'Model Setup'!$B$7,SUMIF($AD$3:$BA$3,"="&amp;$DF51+'Model Setup'!$B$7,$B51:$Y51)+'Model Setup'!$B$8*(SUMIF($AD$3:$BA$3,"&lt;"&amp;$DF51,$B51:$Y51)+SUMIF($AD$3:$BA$3,"&gt;="&amp;$DG51,$B51:$Y51)),
IF(AW$3=$DF51+'Model Setup'!$C$7,SUMIF($AD$3:$BA$3,"="&amp;$DF51+'Model Setup'!$C$7,$B51:$Y51)+'Model Setup'!$C$8*(SUMIF($AD$3:$BA$3,"&lt;"&amp;$DF51,$B51:$Y51)+SUMIF($AD$3:$BA$3,"&gt;="&amp;$DG51,$B51:$Y51)),
IF(AW$3=$DF51+'Model Setup'!$D$7,SUMIF($AD$3:$BA$3,"="&amp;$DF51+'Model Setup'!$D$7,$B51:$Y51)+'Model Setup'!$D$8*(SUMIF($AD$3:$BA$3,"&lt;"&amp;$DF51,$B51:$Y51)+SUMIF($AD$3:$BA$3,"&gt;="&amp;$DG51,$B51:$Y51)),
IF(AW$3=$DF51+'Model Setup'!$E$7,SUMIF($AD$3:$BA$3,"="&amp;$DF51+'Model Setup'!$E$7,$B51:$Y51)+'Model Setup'!$E$8*(SUMIF($AD$3:$BA$3,"&lt;"&amp;$DF51,$B51:$Y51)+SUMIF($AD$3:$BA$3,"&gt;="&amp;$DG51,$B51:$Y51)),
IF(AW$3=$DF51+'Model Setup'!$F$7,SUMIF($AD$3:$BA$3,"="&amp;$DF51+'Model Setup'!$F$7,$B51:$Y51)+'Model Setup'!$F$8*(SUMIF($AD$3:$BA$3,"&lt;"&amp;$DF51,$B51:$Y51)+SUMIF($AD$3:$BA$3,"&gt;="&amp;$DG51,$B51:$Y51)),
IF(AW$3=$DF51+'Model Setup'!$G$7,SUMIF($AD$3:$BA$3,"="&amp;$DF51+'Model Setup'!$G$7,$B51:$Y51)+'Model Setup'!$G$8*(SUMIF($AD$3:$BA$3,"&lt;"&amp;$DF51,$B51:$Y51)+SUMIF($AD$3:$BA$3,"&gt;="&amp;$DG51,$B51:$Y51)),
IF(AW$3=$DF51+'Model Setup'!$H$7,SUMIF($AD$3:$BA$3,"="&amp;$DF51+'Model Setup'!$H$7,$B51:$Y51)+'Model Setup'!$H$8*(SUMIF($AD$3:$BA$3,"&lt;"&amp;$DF51,$B51:$Y51)+SUMIF($AD$3:$BA$3,"&gt;="&amp;$DG51,$B51:$Y51)),
IF(AW$3=$DF51+'Model Setup'!$I$7,SUMIF($AD$3:$BA$3,"="&amp;$DF51+'Model Setup'!$I$7,$B51:$Y51)+'Model Setup'!$I$8*(SUMIF($AD$3:$BA$3,"&lt;"&amp;$DF51,$B51:$Y51)+SUMIF($AD$3:$BA$3,"&gt;="&amp;$DG51,$B51:$Y51)),
IF(AW$3=$DF51+'Model Setup'!$J$7,SUMIF($AD$3:$BA$3,"="&amp;$DF51+'Model Setup'!$J$7,$B51:$Y51)+'Model Setup'!$J$8*(SUMIF($AD$3:$BA$3,"&lt;"&amp;$DF51,$B51:$Y51)+SUMIF($AD$3:$BA$3,"&gt;="&amp;$DG51,$B51:$Y51)),
IF(AW$3=$DF51+'Model Setup'!$K$7,SUMIF($AD$3:$BA$3,"="&amp;$DF51+'Model Setup'!$K$7,$B51:$Y51)+'Model Setup'!$K$8*(SUMIF($AD$3:$BA$3,"&lt;"&amp;$DF51,$B51:$Y51)+SUMIF($AD$3:$BA$3,"&gt;="&amp;$DG51,$B51:$Y51)),
IF(AW$3=$DF51+'Model Setup'!$L$7,SUMIF($AD$3:$BA$3,"="&amp;$DF51+'Model Setup'!$L$7,$B51:$Y51)+'Model Setup'!$L$8*(SUMIF($AD$3:$BA$3,"&lt;"&amp;$DF51,$B51:$Y51)+SUMIF($AD$3:$BA$3,"&gt;="&amp;$DG51,$B51:$Y51)),
IF(AW$3=$DF51+'Model Setup'!$M$7,SUMIF($AD$3:$BA$3,"="&amp;$DF51+'Model Setup'!$M$7,$B51:$Y51)+'Model Setup'!$M$8*(SUMIF($AD$3:$BA$3,"&lt;"&amp;$DF51,$B51:$Y51)+SUMIF($AD$3:$BA$3,"&gt;="&amp;$DG51,$B51:$Y51)),
IF(AW$3=$DF51+'Model Setup'!$N$7,SUMIF($AD$3:$BA$3,"="&amp;$DF51+'Model Setup'!$N$7,$B51:$Y51)+'Model Setup'!$N$8*(SUMIF($AD$3:$BA$3,"&lt;"&amp;$DF51,$B51:$Y51)+SUMIF($AD$3:$BA$3,"&gt;="&amp;$DG51,$B51:$Y51)),
IF(AW$3&lt;$DG51,U51,0))))))))))))))),0)</f>
        <v>0</v>
      </c>
      <c r="AX51" s="47">
        <f>ROUND(IF(AX$3&lt;$DF51,0,
IF(AX$3=$DF51+'Model Setup'!$B$7,SUMIF($AD$3:$BA$3,"="&amp;$DF51+'Model Setup'!$B$7,$B51:$Y51)+'Model Setup'!$B$8*(SUMIF($AD$3:$BA$3,"&lt;"&amp;$DF51,$B51:$Y51)+SUMIF($AD$3:$BA$3,"&gt;="&amp;$DG51,$B51:$Y51)),
IF(AX$3=$DF51+'Model Setup'!$C$7,SUMIF($AD$3:$BA$3,"="&amp;$DF51+'Model Setup'!$C$7,$B51:$Y51)+'Model Setup'!$C$8*(SUMIF($AD$3:$BA$3,"&lt;"&amp;$DF51,$B51:$Y51)+SUMIF($AD$3:$BA$3,"&gt;="&amp;$DG51,$B51:$Y51)),
IF(AX$3=$DF51+'Model Setup'!$D$7,SUMIF($AD$3:$BA$3,"="&amp;$DF51+'Model Setup'!$D$7,$B51:$Y51)+'Model Setup'!$D$8*(SUMIF($AD$3:$BA$3,"&lt;"&amp;$DF51,$B51:$Y51)+SUMIF($AD$3:$BA$3,"&gt;="&amp;$DG51,$B51:$Y51)),
IF(AX$3=$DF51+'Model Setup'!$E$7,SUMIF($AD$3:$BA$3,"="&amp;$DF51+'Model Setup'!$E$7,$B51:$Y51)+'Model Setup'!$E$8*(SUMIF($AD$3:$BA$3,"&lt;"&amp;$DF51,$B51:$Y51)+SUMIF($AD$3:$BA$3,"&gt;="&amp;$DG51,$B51:$Y51)),
IF(AX$3=$DF51+'Model Setup'!$F$7,SUMIF($AD$3:$BA$3,"="&amp;$DF51+'Model Setup'!$F$7,$B51:$Y51)+'Model Setup'!$F$8*(SUMIF($AD$3:$BA$3,"&lt;"&amp;$DF51,$B51:$Y51)+SUMIF($AD$3:$BA$3,"&gt;="&amp;$DG51,$B51:$Y51)),
IF(AX$3=$DF51+'Model Setup'!$G$7,SUMIF($AD$3:$BA$3,"="&amp;$DF51+'Model Setup'!$G$7,$B51:$Y51)+'Model Setup'!$G$8*(SUMIF($AD$3:$BA$3,"&lt;"&amp;$DF51,$B51:$Y51)+SUMIF($AD$3:$BA$3,"&gt;="&amp;$DG51,$B51:$Y51)),
IF(AX$3=$DF51+'Model Setup'!$H$7,SUMIF($AD$3:$BA$3,"="&amp;$DF51+'Model Setup'!$H$7,$B51:$Y51)+'Model Setup'!$H$8*(SUMIF($AD$3:$BA$3,"&lt;"&amp;$DF51,$B51:$Y51)+SUMIF($AD$3:$BA$3,"&gt;="&amp;$DG51,$B51:$Y51)),
IF(AX$3=$DF51+'Model Setup'!$I$7,SUMIF($AD$3:$BA$3,"="&amp;$DF51+'Model Setup'!$I$7,$B51:$Y51)+'Model Setup'!$I$8*(SUMIF($AD$3:$BA$3,"&lt;"&amp;$DF51,$B51:$Y51)+SUMIF($AD$3:$BA$3,"&gt;="&amp;$DG51,$B51:$Y51)),
IF(AX$3=$DF51+'Model Setup'!$J$7,SUMIF($AD$3:$BA$3,"="&amp;$DF51+'Model Setup'!$J$7,$B51:$Y51)+'Model Setup'!$J$8*(SUMIF($AD$3:$BA$3,"&lt;"&amp;$DF51,$B51:$Y51)+SUMIF($AD$3:$BA$3,"&gt;="&amp;$DG51,$B51:$Y51)),
IF(AX$3=$DF51+'Model Setup'!$K$7,SUMIF($AD$3:$BA$3,"="&amp;$DF51+'Model Setup'!$K$7,$B51:$Y51)+'Model Setup'!$K$8*(SUMIF($AD$3:$BA$3,"&lt;"&amp;$DF51,$B51:$Y51)+SUMIF($AD$3:$BA$3,"&gt;="&amp;$DG51,$B51:$Y51)),
IF(AX$3=$DF51+'Model Setup'!$L$7,SUMIF($AD$3:$BA$3,"="&amp;$DF51+'Model Setup'!$L$7,$B51:$Y51)+'Model Setup'!$L$8*(SUMIF($AD$3:$BA$3,"&lt;"&amp;$DF51,$B51:$Y51)+SUMIF($AD$3:$BA$3,"&gt;="&amp;$DG51,$B51:$Y51)),
IF(AX$3=$DF51+'Model Setup'!$M$7,SUMIF($AD$3:$BA$3,"="&amp;$DF51+'Model Setup'!$M$7,$B51:$Y51)+'Model Setup'!$M$8*(SUMIF($AD$3:$BA$3,"&lt;"&amp;$DF51,$B51:$Y51)+SUMIF($AD$3:$BA$3,"&gt;="&amp;$DG51,$B51:$Y51)),
IF(AX$3=$DF51+'Model Setup'!$N$7,SUMIF($AD$3:$BA$3,"="&amp;$DF51+'Model Setup'!$N$7,$B51:$Y51)+'Model Setup'!$N$8*(SUMIF($AD$3:$BA$3,"&lt;"&amp;$DF51,$B51:$Y51)+SUMIF($AD$3:$BA$3,"&gt;="&amp;$DG51,$B51:$Y51)),
IF(AX$3&lt;$DG51,V51,0))))))))))))))),0)</f>
        <v>0</v>
      </c>
      <c r="AY51" s="47">
        <f>ROUND(IF(AY$3&lt;$DF51,0,
IF(AY$3=$DF51+'Model Setup'!$B$7,SUMIF($AD$3:$BA$3,"="&amp;$DF51+'Model Setup'!$B$7,$B51:$Y51)+'Model Setup'!$B$8*(SUMIF($AD$3:$BA$3,"&lt;"&amp;$DF51,$B51:$Y51)+SUMIF($AD$3:$BA$3,"&gt;="&amp;$DG51,$B51:$Y51)),
IF(AY$3=$DF51+'Model Setup'!$C$7,SUMIF($AD$3:$BA$3,"="&amp;$DF51+'Model Setup'!$C$7,$B51:$Y51)+'Model Setup'!$C$8*(SUMIF($AD$3:$BA$3,"&lt;"&amp;$DF51,$B51:$Y51)+SUMIF($AD$3:$BA$3,"&gt;="&amp;$DG51,$B51:$Y51)),
IF(AY$3=$DF51+'Model Setup'!$D$7,SUMIF($AD$3:$BA$3,"="&amp;$DF51+'Model Setup'!$D$7,$B51:$Y51)+'Model Setup'!$D$8*(SUMIF($AD$3:$BA$3,"&lt;"&amp;$DF51,$B51:$Y51)+SUMIF($AD$3:$BA$3,"&gt;="&amp;$DG51,$B51:$Y51)),
IF(AY$3=$DF51+'Model Setup'!$E$7,SUMIF($AD$3:$BA$3,"="&amp;$DF51+'Model Setup'!$E$7,$B51:$Y51)+'Model Setup'!$E$8*(SUMIF($AD$3:$BA$3,"&lt;"&amp;$DF51,$B51:$Y51)+SUMIF($AD$3:$BA$3,"&gt;="&amp;$DG51,$B51:$Y51)),
IF(AY$3=$DF51+'Model Setup'!$F$7,SUMIF($AD$3:$BA$3,"="&amp;$DF51+'Model Setup'!$F$7,$B51:$Y51)+'Model Setup'!$F$8*(SUMIF($AD$3:$BA$3,"&lt;"&amp;$DF51,$B51:$Y51)+SUMIF($AD$3:$BA$3,"&gt;="&amp;$DG51,$B51:$Y51)),
IF(AY$3=$DF51+'Model Setup'!$G$7,SUMIF($AD$3:$BA$3,"="&amp;$DF51+'Model Setup'!$G$7,$B51:$Y51)+'Model Setup'!$G$8*(SUMIF($AD$3:$BA$3,"&lt;"&amp;$DF51,$B51:$Y51)+SUMIF($AD$3:$BA$3,"&gt;="&amp;$DG51,$B51:$Y51)),
IF(AY$3=$DF51+'Model Setup'!$H$7,SUMIF($AD$3:$BA$3,"="&amp;$DF51+'Model Setup'!$H$7,$B51:$Y51)+'Model Setup'!$H$8*(SUMIF($AD$3:$BA$3,"&lt;"&amp;$DF51,$B51:$Y51)+SUMIF($AD$3:$BA$3,"&gt;="&amp;$DG51,$B51:$Y51)),
IF(AY$3=$DF51+'Model Setup'!$I$7,SUMIF($AD$3:$BA$3,"="&amp;$DF51+'Model Setup'!$I$7,$B51:$Y51)+'Model Setup'!$I$8*(SUMIF($AD$3:$BA$3,"&lt;"&amp;$DF51,$B51:$Y51)+SUMIF($AD$3:$BA$3,"&gt;="&amp;$DG51,$B51:$Y51)),
IF(AY$3=$DF51+'Model Setup'!$J$7,SUMIF($AD$3:$BA$3,"="&amp;$DF51+'Model Setup'!$J$7,$B51:$Y51)+'Model Setup'!$J$8*(SUMIF($AD$3:$BA$3,"&lt;"&amp;$DF51,$B51:$Y51)+SUMIF($AD$3:$BA$3,"&gt;="&amp;$DG51,$B51:$Y51)),
IF(AY$3=$DF51+'Model Setup'!$K$7,SUMIF($AD$3:$BA$3,"="&amp;$DF51+'Model Setup'!$K$7,$B51:$Y51)+'Model Setup'!$K$8*(SUMIF($AD$3:$BA$3,"&lt;"&amp;$DF51,$B51:$Y51)+SUMIF($AD$3:$BA$3,"&gt;="&amp;$DG51,$B51:$Y51)),
IF(AY$3=$DF51+'Model Setup'!$L$7,SUMIF($AD$3:$BA$3,"="&amp;$DF51+'Model Setup'!$L$7,$B51:$Y51)+'Model Setup'!$L$8*(SUMIF($AD$3:$BA$3,"&lt;"&amp;$DF51,$B51:$Y51)+SUMIF($AD$3:$BA$3,"&gt;="&amp;$DG51,$B51:$Y51)),
IF(AY$3=$DF51+'Model Setup'!$M$7,SUMIF($AD$3:$BA$3,"="&amp;$DF51+'Model Setup'!$M$7,$B51:$Y51)+'Model Setup'!$M$8*(SUMIF($AD$3:$BA$3,"&lt;"&amp;$DF51,$B51:$Y51)+SUMIF($AD$3:$BA$3,"&gt;="&amp;$DG51,$B51:$Y51)),
IF(AY$3=$DF51+'Model Setup'!$N$7,SUMIF($AD$3:$BA$3,"="&amp;$DF51+'Model Setup'!$N$7,$B51:$Y51)+'Model Setup'!$N$8*(SUMIF($AD$3:$BA$3,"&lt;"&amp;$DF51,$B51:$Y51)+SUMIF($AD$3:$BA$3,"&gt;="&amp;$DG51,$B51:$Y51)),
IF(AY$3&lt;$DG51,W51,0))))))))))))))),0)</f>
        <v>0</v>
      </c>
      <c r="AZ51" s="47">
        <f>ROUND(IF(AZ$3&lt;$DF51,0,
IF(AZ$3=$DF51+'Model Setup'!$B$7,SUMIF($AD$3:$BA$3,"="&amp;$DF51+'Model Setup'!$B$7,$B51:$Y51)+'Model Setup'!$B$8*(SUMIF($AD$3:$BA$3,"&lt;"&amp;$DF51,$B51:$Y51)+SUMIF($AD$3:$BA$3,"&gt;="&amp;$DG51,$B51:$Y51)),
IF(AZ$3=$DF51+'Model Setup'!$C$7,SUMIF($AD$3:$BA$3,"="&amp;$DF51+'Model Setup'!$C$7,$B51:$Y51)+'Model Setup'!$C$8*(SUMIF($AD$3:$BA$3,"&lt;"&amp;$DF51,$B51:$Y51)+SUMIF($AD$3:$BA$3,"&gt;="&amp;$DG51,$B51:$Y51)),
IF(AZ$3=$DF51+'Model Setup'!$D$7,SUMIF($AD$3:$BA$3,"="&amp;$DF51+'Model Setup'!$D$7,$B51:$Y51)+'Model Setup'!$D$8*(SUMIF($AD$3:$BA$3,"&lt;"&amp;$DF51,$B51:$Y51)+SUMIF($AD$3:$BA$3,"&gt;="&amp;$DG51,$B51:$Y51)),
IF(AZ$3=$DF51+'Model Setup'!$E$7,SUMIF($AD$3:$BA$3,"="&amp;$DF51+'Model Setup'!$E$7,$B51:$Y51)+'Model Setup'!$E$8*(SUMIF($AD$3:$BA$3,"&lt;"&amp;$DF51,$B51:$Y51)+SUMIF($AD$3:$BA$3,"&gt;="&amp;$DG51,$B51:$Y51)),
IF(AZ$3=$DF51+'Model Setup'!$F$7,SUMIF($AD$3:$BA$3,"="&amp;$DF51+'Model Setup'!$F$7,$B51:$Y51)+'Model Setup'!$F$8*(SUMIF($AD$3:$BA$3,"&lt;"&amp;$DF51,$B51:$Y51)+SUMIF($AD$3:$BA$3,"&gt;="&amp;$DG51,$B51:$Y51)),
IF(AZ$3=$DF51+'Model Setup'!$G$7,SUMIF($AD$3:$BA$3,"="&amp;$DF51+'Model Setup'!$G$7,$B51:$Y51)+'Model Setup'!$G$8*(SUMIF($AD$3:$BA$3,"&lt;"&amp;$DF51,$B51:$Y51)+SUMIF($AD$3:$BA$3,"&gt;="&amp;$DG51,$B51:$Y51)),
IF(AZ$3=$DF51+'Model Setup'!$H$7,SUMIF($AD$3:$BA$3,"="&amp;$DF51+'Model Setup'!$H$7,$B51:$Y51)+'Model Setup'!$H$8*(SUMIF($AD$3:$BA$3,"&lt;"&amp;$DF51,$B51:$Y51)+SUMIF($AD$3:$BA$3,"&gt;="&amp;$DG51,$B51:$Y51)),
IF(AZ$3=$DF51+'Model Setup'!$I$7,SUMIF($AD$3:$BA$3,"="&amp;$DF51+'Model Setup'!$I$7,$B51:$Y51)+'Model Setup'!$I$8*(SUMIF($AD$3:$BA$3,"&lt;"&amp;$DF51,$B51:$Y51)+SUMIF($AD$3:$BA$3,"&gt;="&amp;$DG51,$B51:$Y51)),
IF(AZ$3=$DF51+'Model Setup'!$J$7,SUMIF($AD$3:$BA$3,"="&amp;$DF51+'Model Setup'!$J$7,$B51:$Y51)+'Model Setup'!$J$8*(SUMIF($AD$3:$BA$3,"&lt;"&amp;$DF51,$B51:$Y51)+SUMIF($AD$3:$BA$3,"&gt;="&amp;$DG51,$B51:$Y51)),
IF(AZ$3=$DF51+'Model Setup'!$K$7,SUMIF($AD$3:$BA$3,"="&amp;$DF51+'Model Setup'!$K$7,$B51:$Y51)+'Model Setup'!$K$8*(SUMIF($AD$3:$BA$3,"&lt;"&amp;$DF51,$B51:$Y51)+SUMIF($AD$3:$BA$3,"&gt;="&amp;$DG51,$B51:$Y51)),
IF(AZ$3=$DF51+'Model Setup'!$L$7,SUMIF($AD$3:$BA$3,"="&amp;$DF51+'Model Setup'!$L$7,$B51:$Y51)+'Model Setup'!$L$8*(SUMIF($AD$3:$BA$3,"&lt;"&amp;$DF51,$B51:$Y51)+SUMIF($AD$3:$BA$3,"&gt;="&amp;$DG51,$B51:$Y51)),
IF(AZ$3=$DF51+'Model Setup'!$M$7,SUMIF($AD$3:$BA$3,"="&amp;$DF51+'Model Setup'!$M$7,$B51:$Y51)+'Model Setup'!$M$8*(SUMIF($AD$3:$BA$3,"&lt;"&amp;$DF51,$B51:$Y51)+SUMIF($AD$3:$BA$3,"&gt;="&amp;$DG51,$B51:$Y51)),
IF(AZ$3=$DF51+'Model Setup'!$N$7,SUMIF($AD$3:$BA$3,"="&amp;$DF51+'Model Setup'!$N$7,$B51:$Y51)+'Model Setup'!$N$8*(SUMIF($AD$3:$BA$3,"&lt;"&amp;$DF51,$B51:$Y51)+SUMIF($AD$3:$BA$3,"&gt;="&amp;$DG51,$B51:$Y51)),
IF(AZ$3&lt;$DG51,X51,0))))))))))))))),0)</f>
        <v>0</v>
      </c>
      <c r="BA51" s="47">
        <f>ROUND(IF(BA$3&lt;$DF51,0,
IF(BA$3=$DF51+'Model Setup'!$B$7,SUMIF($AD$3:$BA$3,"="&amp;$DF51+'Model Setup'!$B$7,$B51:$Y51)+'Model Setup'!$B$8*(SUMIF($AD$3:$BA$3,"&lt;"&amp;$DF51,$B51:$Y51)+SUMIF($AD$3:$BA$3,"&gt;="&amp;$DG51,$B51:$Y51)),
IF(BA$3=$DF51+'Model Setup'!$C$7,SUMIF($AD$3:$BA$3,"="&amp;$DF51+'Model Setup'!$C$7,$B51:$Y51)+'Model Setup'!$C$8*(SUMIF($AD$3:$BA$3,"&lt;"&amp;$DF51,$B51:$Y51)+SUMIF($AD$3:$BA$3,"&gt;="&amp;$DG51,$B51:$Y51)),
IF(BA$3=$DF51+'Model Setup'!$D$7,SUMIF($AD$3:$BA$3,"="&amp;$DF51+'Model Setup'!$D$7,$B51:$Y51)+'Model Setup'!$D$8*(SUMIF($AD$3:$BA$3,"&lt;"&amp;$DF51,$B51:$Y51)+SUMIF($AD$3:$BA$3,"&gt;="&amp;$DG51,$B51:$Y51)),
IF(BA$3=$DF51+'Model Setup'!$E$7,SUMIF($AD$3:$BA$3,"="&amp;$DF51+'Model Setup'!$E$7,$B51:$Y51)+'Model Setup'!$E$8*(SUMIF($AD$3:$BA$3,"&lt;"&amp;$DF51,$B51:$Y51)+SUMIF($AD$3:$BA$3,"&gt;="&amp;$DG51,$B51:$Y51)),
IF(BA$3=$DF51+'Model Setup'!$F$7,SUMIF($AD$3:$BA$3,"="&amp;$DF51+'Model Setup'!$F$7,$B51:$Y51)+'Model Setup'!$F$8*(SUMIF($AD$3:$BA$3,"&lt;"&amp;$DF51,$B51:$Y51)+SUMIF($AD$3:$BA$3,"&gt;="&amp;$DG51,$B51:$Y51)),
IF(BA$3=$DF51+'Model Setup'!$G$7,SUMIF($AD$3:$BA$3,"="&amp;$DF51+'Model Setup'!$G$7,$B51:$Y51)+'Model Setup'!$G$8*(SUMIF($AD$3:$BA$3,"&lt;"&amp;$DF51,$B51:$Y51)+SUMIF($AD$3:$BA$3,"&gt;="&amp;$DG51,$B51:$Y51)),
IF(BA$3=$DF51+'Model Setup'!$H$7,SUMIF($AD$3:$BA$3,"="&amp;$DF51+'Model Setup'!$H$7,$B51:$Y51)+'Model Setup'!$H$8*(SUMIF($AD$3:$BA$3,"&lt;"&amp;$DF51,$B51:$Y51)+SUMIF($AD$3:$BA$3,"&gt;="&amp;$DG51,$B51:$Y51)),
IF(BA$3=$DF51+'Model Setup'!$I$7,SUMIF($AD$3:$BA$3,"="&amp;$DF51+'Model Setup'!$I$7,$B51:$Y51)+'Model Setup'!$I$8*(SUMIF($AD$3:$BA$3,"&lt;"&amp;$DF51,$B51:$Y51)+SUMIF($AD$3:$BA$3,"&gt;="&amp;$DG51,$B51:$Y51)),
IF(BA$3=$DF51+'Model Setup'!$J$7,SUMIF($AD$3:$BA$3,"="&amp;$DF51+'Model Setup'!$J$7,$B51:$Y51)+'Model Setup'!$J$8*(SUMIF($AD$3:$BA$3,"&lt;"&amp;$DF51,$B51:$Y51)+SUMIF($AD$3:$BA$3,"&gt;="&amp;$DG51,$B51:$Y51)),
IF(BA$3=$DF51+'Model Setup'!$K$7,SUMIF($AD$3:$BA$3,"="&amp;$DF51+'Model Setup'!$K$7,$B51:$Y51)+'Model Setup'!$K$8*(SUMIF($AD$3:$BA$3,"&lt;"&amp;$DF51,$B51:$Y51)+SUMIF($AD$3:$BA$3,"&gt;="&amp;$DG51,$B51:$Y51)),
IF(BA$3=$DF51+'Model Setup'!$L$7,SUMIF($AD$3:$BA$3,"="&amp;$DF51+'Model Setup'!$L$7,$B51:$Y51)+'Model Setup'!$L$8*(SUMIF($AD$3:$BA$3,"&lt;"&amp;$DF51,$B51:$Y51)+SUMIF($AD$3:$BA$3,"&gt;="&amp;$DG51,$B51:$Y51)),
IF(BA$3=$DF51+'Model Setup'!$M$7,SUMIF($AD$3:$BA$3,"="&amp;$DF51+'Model Setup'!$M$7,$B51:$Y51)+'Model Setup'!$M$8*(SUMIF($AD$3:$BA$3,"&lt;"&amp;$DF51,$B51:$Y51)+SUMIF($AD$3:$BA$3,"&gt;="&amp;$DG51,$B51:$Y51)),
IF(BA$3=$DF51+'Model Setup'!$N$7,SUMIF($AD$3:$BA$3,"="&amp;$DF51+'Model Setup'!$N$7,$B51:$Y51)+'Model Setup'!$N$8*(SUMIF($AD$3:$BA$3,"&lt;"&amp;$DF51,$B51:$Y51)+SUMIF($AD$3:$BA$3,"&gt;="&amp;$DG51,$B51:$Y51)),
IF(BA$3&lt;$DG51,Y51,0))))))))))))))),0)</f>
        <v>0</v>
      </c>
      <c r="BB51" s="47">
        <f t="shared" si="1"/>
        <v>1285</v>
      </c>
      <c r="BD51" t="b">
        <f t="shared" si="2"/>
        <v>0</v>
      </c>
      <c r="BE51">
        <f t="shared" si="8"/>
        <v>-1</v>
      </c>
      <c r="BF51">
        <f>(FTC!F49-FTC!E49)*24</f>
        <v>13</v>
      </c>
      <c r="BG51" s="43" t="s">
        <v>66</v>
      </c>
      <c r="BH51" s="47">
        <f>ROUND(IF(OR(BH$3&lt;$DF51,BH$3&gt;$CW$4),0,
IF(BH$3=$DF51+'Model Setup'!$B$7,SUMIF($BH$3:$CE$3,"="&amp;$DF51+'Model Setup'!$B$7,$AD51:$BA51)+'Model Setup'!$B$8*(SUMIF($BH$3:$CE$3,"&lt;"&amp;$DF51,$AD51:$BA51)+SUMIF($BH$3:$CE$3,"&gt;"&amp;$CW$4,$AD51:$BA51)),
IF(BH$3=$DF51+'Model Setup'!$C$7,SUMIF($BH$3:$CE$3,"="&amp;$DF51+'Model Setup'!$C$7,$AD51:$BA51)+'Model Setup'!$C$8*(SUMIF($BH$3:$CE$3,"&lt;"&amp;$DF51,$AD51:$BA51)+SUMIF($BH$3:$CE$3,"&gt;"&amp;$CW$4,$AD51:$BA51)),
IF(BH$3=$DF51+'Model Setup'!$D$7,SUMIF($BH$3:$CE$3,"="&amp;$DF51+'Model Setup'!$D$7,$AD51:$BA51)+'Model Setup'!$D$8*(SUMIF($BH$3:$CE$3,"&lt;"&amp;$DF51,$AD51:$BA51)+SUMIF($BH$3:$CE$3,"&gt;"&amp;$CW$4,$AD51:$BA51)),
IF(BH$3=$DF51+'Model Setup'!$E$7,SUMIF($BH$3:$CE$3,"="&amp;$DF51+'Model Setup'!$E$7,$AD51:$BA51)+'Model Setup'!$E$8*(SUMIF($BH$3:$CE$3,"&lt;"&amp;$DF51,$AD51:$BA51)+SUMIF($BH$3:$CE$3,"&gt;"&amp;$CW$4,$AD51:$BA51)),
IF(BH$3=$DF51+'Model Setup'!$F$7,SUMIF($BH$3:$CE$3,"="&amp;$DF51+'Model Setup'!$F$7,$AD51:$BA51)+'Model Setup'!$F$8*(SUMIF($BH$3:$CE$3,"&lt;"&amp;$DF51,$AD51:$BA51)+SUMIF($BH$3:$CE$3,"&gt;"&amp;$CW$4,$AD51:$BA51)),
IF(BH$3=$DF51+'Model Setup'!$G$7,SUMIF($BH$3:$CE$3,"="&amp;$DF51+'Model Setup'!$G$7,$AD51:$BA51)+'Model Setup'!$G$8*(SUMIF($BH$3:$CE$3,"&lt;"&amp;$DF51,$AD51:$BA51)+SUMIF($BH$3:$CE$3,"&gt;"&amp;$CW$4,$AD51:$BA51)),
IF(BH$3=$DF51+'Model Setup'!$H$7,SUMIF($BH$3:$CE$3,"="&amp;$DF51+'Model Setup'!$H$7,$AD51:$BA51)+'Model Setup'!$H$8*(SUMIF($BH$3:$CE$3,"&lt;"&amp;$DF51,$AD51:$BA51)+SUMIF($BH$3:$CE$3,"&gt;"&amp;$CW$4,$AD51:$BA51)),
IF(BH$3=$DF51+'Model Setup'!$I$7,SUMIF($BH$3:$CE$3,"="&amp;$DF51+'Model Setup'!$I$7,$AD51:$BA51)+'Model Setup'!$I$8*(SUMIF($BH$3:$CE$3,"&lt;"&amp;$DF51,$AD51:$BA51)+SUMIF($BH$3:$CE$3,"&gt;"&amp;$CW$4,$AD51:$BA51)),
IF(BH$3=$DF51+'Model Setup'!$J$7,SUMIF($BH$3:$CE$3,"="&amp;$DF51+'Model Setup'!$J$7,$AD51:$BA51)+'Model Setup'!$J$8*(SUMIF($BH$3:$CE$3,"&lt;"&amp;$DF51,$AD51:$BA51)+SUMIF($BH$3:$CE$3,"&gt;"&amp;$CW$4,$AD51:$BA51)),
IF(BH$3=$DF51+'Model Setup'!$K$7,SUMIF($BH$3:$CE$3,"="&amp;$DF51+'Model Setup'!$K$7,$AD51:$BA51)+'Model Setup'!$K$8*(SUMIF($BH$3:$CE$3,"&lt;"&amp;$DF51,$AD51:$BA51)+SUMIF($BH$3:$CE$3,"&gt;"&amp;$CW$4,$AD51:$BA51)),
IF(BH$3=$DF51+'Model Setup'!$L$7,SUMIF($BH$3:$CE$3,"="&amp;$DF51+'Model Setup'!$L$7,$AD51:$BA51)+'Model Setup'!$L$8*(SUMIF($BH$3:$CE$3,"&lt;"&amp;$DF51,$AD51:$BA51)+SUMIF($BH$3:$CE$3,"&gt;"&amp;$CW$4,$AD51:$BA51)),
IF(BH$3=$DF51+'Model Setup'!$M$7,SUMIF($BH$3:$CE$3,"="&amp;$DF51+'Model Setup'!$M$7,$AD51:$BA51)+'Model Setup'!$M$8*(SUMIF($BH$3:$CE$3,"&lt;"&amp;$DF51,$AD51:$BA51)+SUMIF($BH$3:$CE$3,"&gt;"&amp;$CW$4,$AD51:$BA51)),
IF(BH$3=$DF51+'Model Setup'!$N$7,SUMIF($BH$3:$CE$3,"="&amp;$DF51+'Model Setup'!$N$7,$AD51:$BA51)+'Model Setup'!$N$8*(SUMIF($BH$3:$CE$3,"&lt;"&amp;$DF51,$AD51:$BA51)+SUMIF($BH$3:$CE$3,"&gt;"&amp;$CW$4,$AD51:$BA51)),
IF(BH$3&lt;$CW$4,B51,0))))))))))))))),0)</f>
        <v>0</v>
      </c>
      <c r="BI51" s="47">
        <f>ROUND(IF(OR(BI$3&lt;$DF51,BI$3&gt;$CW$4),0,
IF(BI$3=$DF51+'Model Setup'!$B$7,SUMIF($BH$3:$CE$3,"="&amp;$DF51+'Model Setup'!$B$7,$AD51:$BA51)+'Model Setup'!$B$8*(SUMIF($BH$3:$CE$3,"&lt;"&amp;$DF51,$AD51:$BA51)+SUMIF($BH$3:$CE$3,"&gt;"&amp;$CW$4,$AD51:$BA51)),
IF(BI$3=$DF51+'Model Setup'!$C$7,SUMIF($BH$3:$CE$3,"="&amp;$DF51+'Model Setup'!$C$7,$AD51:$BA51)+'Model Setup'!$C$8*(SUMIF($BH$3:$CE$3,"&lt;"&amp;$DF51,$AD51:$BA51)+SUMIF($BH$3:$CE$3,"&gt;"&amp;$CW$4,$AD51:$BA51)),
IF(BI$3=$DF51+'Model Setup'!$D$7,SUMIF($BH$3:$CE$3,"="&amp;$DF51+'Model Setup'!$D$7,$AD51:$BA51)+'Model Setup'!$D$8*(SUMIF($BH$3:$CE$3,"&lt;"&amp;$DF51,$AD51:$BA51)+SUMIF($BH$3:$CE$3,"&gt;"&amp;$CW$4,$AD51:$BA51)),
IF(BI$3=$DF51+'Model Setup'!$E$7,SUMIF($BH$3:$CE$3,"="&amp;$DF51+'Model Setup'!$E$7,$AD51:$BA51)+'Model Setup'!$E$8*(SUMIF($BH$3:$CE$3,"&lt;"&amp;$DF51,$AD51:$BA51)+SUMIF($BH$3:$CE$3,"&gt;"&amp;$CW$4,$AD51:$BA51)),
IF(BI$3=$DF51+'Model Setup'!$F$7,SUMIF($BH$3:$CE$3,"="&amp;$DF51+'Model Setup'!$F$7,$AD51:$BA51)+'Model Setup'!$F$8*(SUMIF($BH$3:$CE$3,"&lt;"&amp;$DF51,$AD51:$BA51)+SUMIF($BH$3:$CE$3,"&gt;"&amp;$CW$4,$AD51:$BA51)),
IF(BI$3=$DF51+'Model Setup'!$G$7,SUMIF($BH$3:$CE$3,"="&amp;$DF51+'Model Setup'!$G$7,$AD51:$BA51)+'Model Setup'!$G$8*(SUMIF($BH$3:$CE$3,"&lt;"&amp;$DF51,$AD51:$BA51)+SUMIF($BH$3:$CE$3,"&gt;"&amp;$CW$4,$AD51:$BA51)),
IF(BI$3=$DF51+'Model Setup'!$H$7,SUMIF($BH$3:$CE$3,"="&amp;$DF51+'Model Setup'!$H$7,$AD51:$BA51)+'Model Setup'!$H$8*(SUMIF($BH$3:$CE$3,"&lt;"&amp;$DF51,$AD51:$BA51)+SUMIF($BH$3:$CE$3,"&gt;"&amp;$CW$4,$AD51:$BA51)),
IF(BI$3=$DF51+'Model Setup'!$I$7,SUMIF($BH$3:$CE$3,"="&amp;$DF51+'Model Setup'!$I$7,$AD51:$BA51)+'Model Setup'!$I$8*(SUMIF($BH$3:$CE$3,"&lt;"&amp;$DF51,$AD51:$BA51)+SUMIF($BH$3:$CE$3,"&gt;"&amp;$CW$4,$AD51:$BA51)),
IF(BI$3=$DF51+'Model Setup'!$J$7,SUMIF($BH$3:$CE$3,"="&amp;$DF51+'Model Setup'!$J$7,$AD51:$BA51)+'Model Setup'!$J$8*(SUMIF($BH$3:$CE$3,"&lt;"&amp;$DF51,$AD51:$BA51)+SUMIF($BH$3:$CE$3,"&gt;"&amp;$CW$4,$AD51:$BA51)),
IF(BI$3=$DF51+'Model Setup'!$K$7,SUMIF($BH$3:$CE$3,"="&amp;$DF51+'Model Setup'!$K$7,$AD51:$BA51)+'Model Setup'!$K$8*(SUMIF($BH$3:$CE$3,"&lt;"&amp;$DF51,$AD51:$BA51)+SUMIF($BH$3:$CE$3,"&gt;"&amp;$CW$4,$AD51:$BA51)),
IF(BI$3=$DF51+'Model Setup'!$L$7,SUMIF($BH$3:$CE$3,"="&amp;$DF51+'Model Setup'!$L$7,$AD51:$BA51)+'Model Setup'!$L$8*(SUMIF($BH$3:$CE$3,"&lt;"&amp;$DF51,$AD51:$BA51)+SUMIF($BH$3:$CE$3,"&gt;"&amp;$CW$4,$AD51:$BA51)),
IF(BI$3=$DF51+'Model Setup'!$M$7,SUMIF($BH$3:$CE$3,"="&amp;$DF51+'Model Setup'!$M$7,$AD51:$BA51)+'Model Setup'!$M$8*(SUMIF($BH$3:$CE$3,"&lt;"&amp;$DF51,$AD51:$BA51)+SUMIF($BH$3:$CE$3,"&gt;"&amp;$CW$4,$AD51:$BA51)),
IF(BI$3=$DF51+'Model Setup'!$N$7,SUMIF($BH$3:$CE$3,"="&amp;$DF51+'Model Setup'!$N$7,$AD51:$BA51)+'Model Setup'!$N$8*(SUMIF($BH$3:$CE$3,"&lt;"&amp;$DF51,$AD51:$BA51)+SUMIF($BH$3:$CE$3,"&gt;"&amp;$CW$4,$AD51:$BA51)),
IF(BI$3&lt;$CW$4,C51,0))))))))))))))),0)</f>
        <v>0</v>
      </c>
      <c r="BJ51" s="47">
        <f>ROUND(IF(OR(BJ$3&lt;$DF51,BJ$3&gt;$CW$4),0,
IF(BJ$3=$DF51+'Model Setup'!$B$7,SUMIF($BH$3:$CE$3,"="&amp;$DF51+'Model Setup'!$B$7,$AD51:$BA51)+'Model Setup'!$B$8*(SUMIF($BH$3:$CE$3,"&lt;"&amp;$DF51,$AD51:$BA51)+SUMIF($BH$3:$CE$3,"&gt;"&amp;$CW$4,$AD51:$BA51)),
IF(BJ$3=$DF51+'Model Setup'!$C$7,SUMIF($BH$3:$CE$3,"="&amp;$DF51+'Model Setup'!$C$7,$AD51:$BA51)+'Model Setup'!$C$8*(SUMIF($BH$3:$CE$3,"&lt;"&amp;$DF51,$AD51:$BA51)+SUMIF($BH$3:$CE$3,"&gt;"&amp;$CW$4,$AD51:$BA51)),
IF(BJ$3=$DF51+'Model Setup'!$D$7,SUMIF($BH$3:$CE$3,"="&amp;$DF51+'Model Setup'!$D$7,$AD51:$BA51)+'Model Setup'!$D$8*(SUMIF($BH$3:$CE$3,"&lt;"&amp;$DF51,$AD51:$BA51)+SUMIF($BH$3:$CE$3,"&gt;"&amp;$CW$4,$AD51:$BA51)),
IF(BJ$3=$DF51+'Model Setup'!$E$7,SUMIF($BH$3:$CE$3,"="&amp;$DF51+'Model Setup'!$E$7,$AD51:$BA51)+'Model Setup'!$E$8*(SUMIF($BH$3:$CE$3,"&lt;"&amp;$DF51,$AD51:$BA51)+SUMIF($BH$3:$CE$3,"&gt;"&amp;$CW$4,$AD51:$BA51)),
IF(BJ$3=$DF51+'Model Setup'!$F$7,SUMIF($BH$3:$CE$3,"="&amp;$DF51+'Model Setup'!$F$7,$AD51:$BA51)+'Model Setup'!$F$8*(SUMIF($BH$3:$CE$3,"&lt;"&amp;$DF51,$AD51:$BA51)+SUMIF($BH$3:$CE$3,"&gt;"&amp;$CW$4,$AD51:$BA51)),
IF(BJ$3=$DF51+'Model Setup'!$G$7,SUMIF($BH$3:$CE$3,"="&amp;$DF51+'Model Setup'!$G$7,$AD51:$BA51)+'Model Setup'!$G$8*(SUMIF($BH$3:$CE$3,"&lt;"&amp;$DF51,$AD51:$BA51)+SUMIF($BH$3:$CE$3,"&gt;"&amp;$CW$4,$AD51:$BA51)),
IF(BJ$3=$DF51+'Model Setup'!$H$7,SUMIF($BH$3:$CE$3,"="&amp;$DF51+'Model Setup'!$H$7,$AD51:$BA51)+'Model Setup'!$H$8*(SUMIF($BH$3:$CE$3,"&lt;"&amp;$DF51,$AD51:$BA51)+SUMIF($BH$3:$CE$3,"&gt;"&amp;$CW$4,$AD51:$BA51)),
IF(BJ$3=$DF51+'Model Setup'!$I$7,SUMIF($BH$3:$CE$3,"="&amp;$DF51+'Model Setup'!$I$7,$AD51:$BA51)+'Model Setup'!$I$8*(SUMIF($BH$3:$CE$3,"&lt;"&amp;$DF51,$AD51:$BA51)+SUMIF($BH$3:$CE$3,"&gt;"&amp;$CW$4,$AD51:$BA51)),
IF(BJ$3=$DF51+'Model Setup'!$J$7,SUMIF($BH$3:$CE$3,"="&amp;$DF51+'Model Setup'!$J$7,$AD51:$BA51)+'Model Setup'!$J$8*(SUMIF($BH$3:$CE$3,"&lt;"&amp;$DF51,$AD51:$BA51)+SUMIF($BH$3:$CE$3,"&gt;"&amp;$CW$4,$AD51:$BA51)),
IF(BJ$3=$DF51+'Model Setup'!$K$7,SUMIF($BH$3:$CE$3,"="&amp;$DF51+'Model Setup'!$K$7,$AD51:$BA51)+'Model Setup'!$K$8*(SUMIF($BH$3:$CE$3,"&lt;"&amp;$DF51,$AD51:$BA51)+SUMIF($BH$3:$CE$3,"&gt;"&amp;$CW$4,$AD51:$BA51)),
IF(BJ$3=$DF51+'Model Setup'!$L$7,SUMIF($BH$3:$CE$3,"="&amp;$DF51+'Model Setup'!$L$7,$AD51:$BA51)+'Model Setup'!$L$8*(SUMIF($BH$3:$CE$3,"&lt;"&amp;$DF51,$AD51:$BA51)+SUMIF($BH$3:$CE$3,"&gt;"&amp;$CW$4,$AD51:$BA51)),
IF(BJ$3=$DF51+'Model Setup'!$M$7,SUMIF($BH$3:$CE$3,"="&amp;$DF51+'Model Setup'!$M$7,$AD51:$BA51)+'Model Setup'!$M$8*(SUMIF($BH$3:$CE$3,"&lt;"&amp;$DF51,$AD51:$BA51)+SUMIF($BH$3:$CE$3,"&gt;"&amp;$CW$4,$AD51:$BA51)),
IF(BJ$3=$DF51+'Model Setup'!$N$7,SUMIF($BH$3:$CE$3,"="&amp;$DF51+'Model Setup'!$N$7,$AD51:$BA51)+'Model Setup'!$N$8*(SUMIF($BH$3:$CE$3,"&lt;"&amp;$DF51,$AD51:$BA51)+SUMIF($BH$3:$CE$3,"&gt;"&amp;$CW$4,$AD51:$BA51)),
IF(BJ$3&lt;$CW$4,D51,0))))))))))))))),0)</f>
        <v>0</v>
      </c>
      <c r="BK51" s="47">
        <f>ROUND(IF(OR(BK$3&lt;$DF51,BK$3&gt;$CW$4),0,
IF(BK$3=$DF51+'Model Setup'!$B$7,SUMIF($BH$3:$CE$3,"="&amp;$DF51+'Model Setup'!$B$7,$AD51:$BA51)+'Model Setup'!$B$8*(SUMIF($BH$3:$CE$3,"&lt;"&amp;$DF51,$AD51:$BA51)+SUMIF($BH$3:$CE$3,"&gt;"&amp;$CW$4,$AD51:$BA51)),
IF(BK$3=$DF51+'Model Setup'!$C$7,SUMIF($BH$3:$CE$3,"="&amp;$DF51+'Model Setup'!$C$7,$AD51:$BA51)+'Model Setup'!$C$8*(SUMIF($BH$3:$CE$3,"&lt;"&amp;$DF51,$AD51:$BA51)+SUMIF($BH$3:$CE$3,"&gt;"&amp;$CW$4,$AD51:$BA51)),
IF(BK$3=$DF51+'Model Setup'!$D$7,SUMIF($BH$3:$CE$3,"="&amp;$DF51+'Model Setup'!$D$7,$AD51:$BA51)+'Model Setup'!$D$8*(SUMIF($BH$3:$CE$3,"&lt;"&amp;$DF51,$AD51:$BA51)+SUMIF($BH$3:$CE$3,"&gt;"&amp;$CW$4,$AD51:$BA51)),
IF(BK$3=$DF51+'Model Setup'!$E$7,SUMIF($BH$3:$CE$3,"="&amp;$DF51+'Model Setup'!$E$7,$AD51:$BA51)+'Model Setup'!$E$8*(SUMIF($BH$3:$CE$3,"&lt;"&amp;$DF51,$AD51:$BA51)+SUMIF($BH$3:$CE$3,"&gt;"&amp;$CW$4,$AD51:$BA51)),
IF(BK$3=$DF51+'Model Setup'!$F$7,SUMIF($BH$3:$CE$3,"="&amp;$DF51+'Model Setup'!$F$7,$AD51:$BA51)+'Model Setup'!$F$8*(SUMIF($BH$3:$CE$3,"&lt;"&amp;$DF51,$AD51:$BA51)+SUMIF($BH$3:$CE$3,"&gt;"&amp;$CW$4,$AD51:$BA51)),
IF(BK$3=$DF51+'Model Setup'!$G$7,SUMIF($BH$3:$CE$3,"="&amp;$DF51+'Model Setup'!$G$7,$AD51:$BA51)+'Model Setup'!$G$8*(SUMIF($BH$3:$CE$3,"&lt;"&amp;$DF51,$AD51:$BA51)+SUMIF($BH$3:$CE$3,"&gt;"&amp;$CW$4,$AD51:$BA51)),
IF(BK$3=$DF51+'Model Setup'!$H$7,SUMIF($BH$3:$CE$3,"="&amp;$DF51+'Model Setup'!$H$7,$AD51:$BA51)+'Model Setup'!$H$8*(SUMIF($BH$3:$CE$3,"&lt;"&amp;$DF51,$AD51:$BA51)+SUMIF($BH$3:$CE$3,"&gt;"&amp;$CW$4,$AD51:$BA51)),
IF(BK$3=$DF51+'Model Setup'!$I$7,SUMIF($BH$3:$CE$3,"="&amp;$DF51+'Model Setup'!$I$7,$AD51:$BA51)+'Model Setup'!$I$8*(SUMIF($BH$3:$CE$3,"&lt;"&amp;$DF51,$AD51:$BA51)+SUMIF($BH$3:$CE$3,"&gt;"&amp;$CW$4,$AD51:$BA51)),
IF(BK$3=$DF51+'Model Setup'!$J$7,SUMIF($BH$3:$CE$3,"="&amp;$DF51+'Model Setup'!$J$7,$AD51:$BA51)+'Model Setup'!$J$8*(SUMIF($BH$3:$CE$3,"&lt;"&amp;$DF51,$AD51:$BA51)+SUMIF($BH$3:$CE$3,"&gt;"&amp;$CW$4,$AD51:$BA51)),
IF(BK$3=$DF51+'Model Setup'!$K$7,SUMIF($BH$3:$CE$3,"="&amp;$DF51+'Model Setup'!$K$7,$AD51:$BA51)+'Model Setup'!$K$8*(SUMIF($BH$3:$CE$3,"&lt;"&amp;$DF51,$AD51:$BA51)+SUMIF($BH$3:$CE$3,"&gt;"&amp;$CW$4,$AD51:$BA51)),
IF(BK$3=$DF51+'Model Setup'!$L$7,SUMIF($BH$3:$CE$3,"="&amp;$DF51+'Model Setup'!$L$7,$AD51:$BA51)+'Model Setup'!$L$8*(SUMIF($BH$3:$CE$3,"&lt;"&amp;$DF51,$AD51:$BA51)+SUMIF($BH$3:$CE$3,"&gt;"&amp;$CW$4,$AD51:$BA51)),
IF(BK$3=$DF51+'Model Setup'!$M$7,SUMIF($BH$3:$CE$3,"="&amp;$DF51+'Model Setup'!$M$7,$AD51:$BA51)+'Model Setup'!$M$8*(SUMIF($BH$3:$CE$3,"&lt;"&amp;$DF51,$AD51:$BA51)+SUMIF($BH$3:$CE$3,"&gt;"&amp;$CW$4,$AD51:$BA51)),
IF(BK$3=$DF51+'Model Setup'!$N$7,SUMIF($BH$3:$CE$3,"="&amp;$DF51+'Model Setup'!$N$7,$AD51:$BA51)+'Model Setup'!$N$8*(SUMIF($BH$3:$CE$3,"&lt;"&amp;$DF51,$AD51:$BA51)+SUMIF($BH$3:$CE$3,"&gt;"&amp;$CW$4,$AD51:$BA51)),
IF(BK$3&lt;$CW$4,E51,0))))))))))))))),0)</f>
        <v>0</v>
      </c>
      <c r="BL51" s="47">
        <f>ROUND(IF(OR(BL$3&lt;$DF51,BL$3&gt;$CW$4),0,
IF(BL$3=$DF51+'Model Setup'!$B$7,SUMIF($BH$3:$CE$3,"="&amp;$DF51+'Model Setup'!$B$7,$AD51:$BA51)+'Model Setup'!$B$8*(SUMIF($BH$3:$CE$3,"&lt;"&amp;$DF51,$AD51:$BA51)+SUMIF($BH$3:$CE$3,"&gt;"&amp;$CW$4,$AD51:$BA51)),
IF(BL$3=$DF51+'Model Setup'!$C$7,SUMIF($BH$3:$CE$3,"="&amp;$DF51+'Model Setup'!$C$7,$AD51:$BA51)+'Model Setup'!$C$8*(SUMIF($BH$3:$CE$3,"&lt;"&amp;$DF51,$AD51:$BA51)+SUMIF($BH$3:$CE$3,"&gt;"&amp;$CW$4,$AD51:$BA51)),
IF(BL$3=$DF51+'Model Setup'!$D$7,SUMIF($BH$3:$CE$3,"="&amp;$DF51+'Model Setup'!$D$7,$AD51:$BA51)+'Model Setup'!$D$8*(SUMIF($BH$3:$CE$3,"&lt;"&amp;$DF51,$AD51:$BA51)+SUMIF($BH$3:$CE$3,"&gt;"&amp;$CW$4,$AD51:$BA51)),
IF(BL$3=$DF51+'Model Setup'!$E$7,SUMIF($BH$3:$CE$3,"="&amp;$DF51+'Model Setup'!$E$7,$AD51:$BA51)+'Model Setup'!$E$8*(SUMIF($BH$3:$CE$3,"&lt;"&amp;$DF51,$AD51:$BA51)+SUMIF($BH$3:$CE$3,"&gt;"&amp;$CW$4,$AD51:$BA51)),
IF(BL$3=$DF51+'Model Setup'!$F$7,SUMIF($BH$3:$CE$3,"="&amp;$DF51+'Model Setup'!$F$7,$AD51:$BA51)+'Model Setup'!$F$8*(SUMIF($BH$3:$CE$3,"&lt;"&amp;$DF51,$AD51:$BA51)+SUMIF($BH$3:$CE$3,"&gt;"&amp;$CW$4,$AD51:$BA51)),
IF(BL$3=$DF51+'Model Setup'!$G$7,SUMIF($BH$3:$CE$3,"="&amp;$DF51+'Model Setup'!$G$7,$AD51:$BA51)+'Model Setup'!$G$8*(SUMIF($BH$3:$CE$3,"&lt;"&amp;$DF51,$AD51:$BA51)+SUMIF($BH$3:$CE$3,"&gt;"&amp;$CW$4,$AD51:$BA51)),
IF(BL$3=$DF51+'Model Setup'!$H$7,SUMIF($BH$3:$CE$3,"="&amp;$DF51+'Model Setup'!$H$7,$AD51:$BA51)+'Model Setup'!$H$8*(SUMIF($BH$3:$CE$3,"&lt;"&amp;$DF51,$AD51:$BA51)+SUMIF($BH$3:$CE$3,"&gt;"&amp;$CW$4,$AD51:$BA51)),
IF(BL$3=$DF51+'Model Setup'!$I$7,SUMIF($BH$3:$CE$3,"="&amp;$DF51+'Model Setup'!$I$7,$AD51:$BA51)+'Model Setup'!$I$8*(SUMIF($BH$3:$CE$3,"&lt;"&amp;$DF51,$AD51:$BA51)+SUMIF($BH$3:$CE$3,"&gt;"&amp;$CW$4,$AD51:$BA51)),
IF(BL$3=$DF51+'Model Setup'!$J$7,SUMIF($BH$3:$CE$3,"="&amp;$DF51+'Model Setup'!$J$7,$AD51:$BA51)+'Model Setup'!$J$8*(SUMIF($BH$3:$CE$3,"&lt;"&amp;$DF51,$AD51:$BA51)+SUMIF($BH$3:$CE$3,"&gt;"&amp;$CW$4,$AD51:$BA51)),
IF(BL$3=$DF51+'Model Setup'!$K$7,SUMIF($BH$3:$CE$3,"="&amp;$DF51+'Model Setup'!$K$7,$AD51:$BA51)+'Model Setup'!$K$8*(SUMIF($BH$3:$CE$3,"&lt;"&amp;$DF51,$AD51:$BA51)+SUMIF($BH$3:$CE$3,"&gt;"&amp;$CW$4,$AD51:$BA51)),
IF(BL$3=$DF51+'Model Setup'!$L$7,SUMIF($BH$3:$CE$3,"="&amp;$DF51+'Model Setup'!$L$7,$AD51:$BA51)+'Model Setup'!$L$8*(SUMIF($BH$3:$CE$3,"&lt;"&amp;$DF51,$AD51:$BA51)+SUMIF($BH$3:$CE$3,"&gt;"&amp;$CW$4,$AD51:$BA51)),
IF(BL$3=$DF51+'Model Setup'!$M$7,SUMIF($BH$3:$CE$3,"="&amp;$DF51+'Model Setup'!$M$7,$AD51:$BA51)+'Model Setup'!$M$8*(SUMIF($BH$3:$CE$3,"&lt;"&amp;$DF51,$AD51:$BA51)+SUMIF($BH$3:$CE$3,"&gt;"&amp;$CW$4,$AD51:$BA51)),
IF(BL$3=$DF51+'Model Setup'!$N$7,SUMIF($BH$3:$CE$3,"="&amp;$DF51+'Model Setup'!$N$7,$AD51:$BA51)+'Model Setup'!$N$8*(SUMIF($BH$3:$CE$3,"&lt;"&amp;$DF51,$AD51:$BA51)+SUMIF($BH$3:$CE$3,"&gt;"&amp;$CW$4,$AD51:$BA51)),
IF(BL$3&lt;$CW$4,F51,0))))))))))))))),0)</f>
        <v>0</v>
      </c>
      <c r="BM51" s="47">
        <f>ROUND(IF(OR(BM$3&lt;$DF51,BM$3&gt;$CW$4),0,
IF(BM$3=$DF51+'Model Setup'!$B$7,SUMIF($BH$3:$CE$3,"="&amp;$DF51+'Model Setup'!$B$7,$AD51:$BA51)+'Model Setup'!$B$8*(SUMIF($BH$3:$CE$3,"&lt;"&amp;$DF51,$AD51:$BA51)+SUMIF($BH$3:$CE$3,"&gt;"&amp;$CW$4,$AD51:$BA51)),
IF(BM$3=$DF51+'Model Setup'!$C$7,SUMIF($BH$3:$CE$3,"="&amp;$DF51+'Model Setup'!$C$7,$AD51:$BA51)+'Model Setup'!$C$8*(SUMIF($BH$3:$CE$3,"&lt;"&amp;$DF51,$AD51:$BA51)+SUMIF($BH$3:$CE$3,"&gt;"&amp;$CW$4,$AD51:$BA51)),
IF(BM$3=$DF51+'Model Setup'!$D$7,SUMIF($BH$3:$CE$3,"="&amp;$DF51+'Model Setup'!$D$7,$AD51:$BA51)+'Model Setup'!$D$8*(SUMIF($BH$3:$CE$3,"&lt;"&amp;$DF51,$AD51:$BA51)+SUMIF($BH$3:$CE$3,"&gt;"&amp;$CW$4,$AD51:$BA51)),
IF(BM$3=$DF51+'Model Setup'!$E$7,SUMIF($BH$3:$CE$3,"="&amp;$DF51+'Model Setup'!$E$7,$AD51:$BA51)+'Model Setup'!$E$8*(SUMIF($BH$3:$CE$3,"&lt;"&amp;$DF51,$AD51:$BA51)+SUMIF($BH$3:$CE$3,"&gt;"&amp;$CW$4,$AD51:$BA51)),
IF(BM$3=$DF51+'Model Setup'!$F$7,SUMIF($BH$3:$CE$3,"="&amp;$DF51+'Model Setup'!$F$7,$AD51:$BA51)+'Model Setup'!$F$8*(SUMIF($BH$3:$CE$3,"&lt;"&amp;$DF51,$AD51:$BA51)+SUMIF($BH$3:$CE$3,"&gt;"&amp;$CW$4,$AD51:$BA51)),
IF(BM$3=$DF51+'Model Setup'!$G$7,SUMIF($BH$3:$CE$3,"="&amp;$DF51+'Model Setup'!$G$7,$AD51:$BA51)+'Model Setup'!$G$8*(SUMIF($BH$3:$CE$3,"&lt;"&amp;$DF51,$AD51:$BA51)+SUMIF($BH$3:$CE$3,"&gt;"&amp;$CW$4,$AD51:$BA51)),
IF(BM$3=$DF51+'Model Setup'!$H$7,SUMIF($BH$3:$CE$3,"="&amp;$DF51+'Model Setup'!$H$7,$AD51:$BA51)+'Model Setup'!$H$8*(SUMIF($BH$3:$CE$3,"&lt;"&amp;$DF51,$AD51:$BA51)+SUMIF($BH$3:$CE$3,"&gt;"&amp;$CW$4,$AD51:$BA51)),
IF(BM$3=$DF51+'Model Setup'!$I$7,SUMIF($BH$3:$CE$3,"="&amp;$DF51+'Model Setup'!$I$7,$AD51:$BA51)+'Model Setup'!$I$8*(SUMIF($BH$3:$CE$3,"&lt;"&amp;$DF51,$AD51:$BA51)+SUMIF($BH$3:$CE$3,"&gt;"&amp;$CW$4,$AD51:$BA51)),
IF(BM$3=$DF51+'Model Setup'!$J$7,SUMIF($BH$3:$CE$3,"="&amp;$DF51+'Model Setup'!$J$7,$AD51:$BA51)+'Model Setup'!$J$8*(SUMIF($BH$3:$CE$3,"&lt;"&amp;$DF51,$AD51:$BA51)+SUMIF($BH$3:$CE$3,"&gt;"&amp;$CW$4,$AD51:$BA51)),
IF(BM$3=$DF51+'Model Setup'!$K$7,SUMIF($BH$3:$CE$3,"="&amp;$DF51+'Model Setup'!$K$7,$AD51:$BA51)+'Model Setup'!$K$8*(SUMIF($BH$3:$CE$3,"&lt;"&amp;$DF51,$AD51:$BA51)+SUMIF($BH$3:$CE$3,"&gt;"&amp;$CW$4,$AD51:$BA51)),
IF(BM$3=$DF51+'Model Setup'!$L$7,SUMIF($BH$3:$CE$3,"="&amp;$DF51+'Model Setup'!$L$7,$AD51:$BA51)+'Model Setup'!$L$8*(SUMIF($BH$3:$CE$3,"&lt;"&amp;$DF51,$AD51:$BA51)+SUMIF($BH$3:$CE$3,"&gt;"&amp;$CW$4,$AD51:$BA51)),
IF(BM$3=$DF51+'Model Setup'!$M$7,SUMIF($BH$3:$CE$3,"="&amp;$DF51+'Model Setup'!$M$7,$AD51:$BA51)+'Model Setup'!$M$8*(SUMIF($BH$3:$CE$3,"&lt;"&amp;$DF51,$AD51:$BA51)+SUMIF($BH$3:$CE$3,"&gt;"&amp;$CW$4,$AD51:$BA51)),
IF(BM$3=$DF51+'Model Setup'!$N$7,SUMIF($BH$3:$CE$3,"="&amp;$DF51+'Model Setup'!$N$7,$AD51:$BA51)+'Model Setup'!$N$8*(SUMIF($BH$3:$CE$3,"&lt;"&amp;$DF51,$AD51:$BA51)+SUMIF($BH$3:$CE$3,"&gt;"&amp;$CW$4,$AD51:$BA51)),
IF(BM$3&lt;$CW$4,G51,0))))))))))))))),0)</f>
        <v>41</v>
      </c>
      <c r="BN51" s="47">
        <f>ROUND(IF(OR(BN$3&lt;$DF51,BN$3&gt;$CW$4),0,
IF(BN$3=$DF51+'Model Setup'!$B$7,SUMIF($BH$3:$CE$3,"="&amp;$DF51+'Model Setup'!$B$7,$AD51:$BA51)+'Model Setup'!$B$8*(SUMIF($BH$3:$CE$3,"&lt;"&amp;$DF51,$AD51:$BA51)+SUMIF($BH$3:$CE$3,"&gt;"&amp;$CW$4,$AD51:$BA51)),
IF(BN$3=$DF51+'Model Setup'!$C$7,SUMIF($BH$3:$CE$3,"="&amp;$DF51+'Model Setup'!$C$7,$AD51:$BA51)+'Model Setup'!$C$8*(SUMIF($BH$3:$CE$3,"&lt;"&amp;$DF51,$AD51:$BA51)+SUMIF($BH$3:$CE$3,"&gt;"&amp;$CW$4,$AD51:$BA51)),
IF(BN$3=$DF51+'Model Setup'!$D$7,SUMIF($BH$3:$CE$3,"="&amp;$DF51+'Model Setup'!$D$7,$AD51:$BA51)+'Model Setup'!$D$8*(SUMIF($BH$3:$CE$3,"&lt;"&amp;$DF51,$AD51:$BA51)+SUMIF($BH$3:$CE$3,"&gt;"&amp;$CW$4,$AD51:$BA51)),
IF(BN$3=$DF51+'Model Setup'!$E$7,SUMIF($BH$3:$CE$3,"="&amp;$DF51+'Model Setup'!$E$7,$AD51:$BA51)+'Model Setup'!$E$8*(SUMIF($BH$3:$CE$3,"&lt;"&amp;$DF51,$AD51:$BA51)+SUMIF($BH$3:$CE$3,"&gt;"&amp;$CW$4,$AD51:$BA51)),
IF(BN$3=$DF51+'Model Setup'!$F$7,SUMIF($BH$3:$CE$3,"="&amp;$DF51+'Model Setup'!$F$7,$AD51:$BA51)+'Model Setup'!$F$8*(SUMIF($BH$3:$CE$3,"&lt;"&amp;$DF51,$AD51:$BA51)+SUMIF($BH$3:$CE$3,"&gt;"&amp;$CW$4,$AD51:$BA51)),
IF(BN$3=$DF51+'Model Setup'!$G$7,SUMIF($BH$3:$CE$3,"="&amp;$DF51+'Model Setup'!$G$7,$AD51:$BA51)+'Model Setup'!$G$8*(SUMIF($BH$3:$CE$3,"&lt;"&amp;$DF51,$AD51:$BA51)+SUMIF($BH$3:$CE$3,"&gt;"&amp;$CW$4,$AD51:$BA51)),
IF(BN$3=$DF51+'Model Setup'!$H$7,SUMIF($BH$3:$CE$3,"="&amp;$DF51+'Model Setup'!$H$7,$AD51:$BA51)+'Model Setup'!$H$8*(SUMIF($BH$3:$CE$3,"&lt;"&amp;$DF51,$AD51:$BA51)+SUMIF($BH$3:$CE$3,"&gt;"&amp;$CW$4,$AD51:$BA51)),
IF(BN$3=$DF51+'Model Setup'!$I$7,SUMIF($BH$3:$CE$3,"="&amp;$DF51+'Model Setup'!$I$7,$AD51:$BA51)+'Model Setup'!$I$8*(SUMIF($BH$3:$CE$3,"&lt;"&amp;$DF51,$AD51:$BA51)+SUMIF($BH$3:$CE$3,"&gt;"&amp;$CW$4,$AD51:$BA51)),
IF(BN$3=$DF51+'Model Setup'!$J$7,SUMIF($BH$3:$CE$3,"="&amp;$DF51+'Model Setup'!$J$7,$AD51:$BA51)+'Model Setup'!$J$8*(SUMIF($BH$3:$CE$3,"&lt;"&amp;$DF51,$AD51:$BA51)+SUMIF($BH$3:$CE$3,"&gt;"&amp;$CW$4,$AD51:$BA51)),
IF(BN$3=$DF51+'Model Setup'!$K$7,SUMIF($BH$3:$CE$3,"="&amp;$DF51+'Model Setup'!$K$7,$AD51:$BA51)+'Model Setup'!$K$8*(SUMIF($BH$3:$CE$3,"&lt;"&amp;$DF51,$AD51:$BA51)+SUMIF($BH$3:$CE$3,"&gt;"&amp;$CW$4,$AD51:$BA51)),
IF(BN$3=$DF51+'Model Setup'!$L$7,SUMIF($BH$3:$CE$3,"="&amp;$DF51+'Model Setup'!$L$7,$AD51:$BA51)+'Model Setup'!$L$8*(SUMIF($BH$3:$CE$3,"&lt;"&amp;$DF51,$AD51:$BA51)+SUMIF($BH$3:$CE$3,"&gt;"&amp;$CW$4,$AD51:$BA51)),
IF(BN$3=$DF51+'Model Setup'!$M$7,SUMIF($BH$3:$CE$3,"="&amp;$DF51+'Model Setup'!$M$7,$AD51:$BA51)+'Model Setup'!$M$8*(SUMIF($BH$3:$CE$3,"&lt;"&amp;$DF51,$AD51:$BA51)+SUMIF($BH$3:$CE$3,"&gt;"&amp;$CW$4,$AD51:$BA51)),
IF(BN$3=$DF51+'Model Setup'!$N$7,SUMIF($BH$3:$CE$3,"="&amp;$DF51+'Model Setup'!$N$7,$AD51:$BA51)+'Model Setup'!$N$8*(SUMIF($BH$3:$CE$3,"&lt;"&amp;$DF51,$AD51:$BA51)+SUMIF($BH$3:$CE$3,"&gt;"&amp;$CW$4,$AD51:$BA51)),
IF(BN$3&lt;$CW$4,H51,0))))))))))))))),0)</f>
        <v>92</v>
      </c>
      <c r="BO51" s="47">
        <f>ROUND(IF(OR(BO$3&lt;$DF51,BO$3&gt;$CW$4),0,
IF(BO$3=$DF51+'Model Setup'!$B$7,SUMIF($BH$3:$CE$3,"="&amp;$DF51+'Model Setup'!$B$7,$AD51:$BA51)+'Model Setup'!$B$8*(SUMIF($BH$3:$CE$3,"&lt;"&amp;$DF51,$AD51:$BA51)+SUMIF($BH$3:$CE$3,"&gt;"&amp;$CW$4,$AD51:$BA51)),
IF(BO$3=$DF51+'Model Setup'!$C$7,SUMIF($BH$3:$CE$3,"="&amp;$DF51+'Model Setup'!$C$7,$AD51:$BA51)+'Model Setup'!$C$8*(SUMIF($BH$3:$CE$3,"&lt;"&amp;$DF51,$AD51:$BA51)+SUMIF($BH$3:$CE$3,"&gt;"&amp;$CW$4,$AD51:$BA51)),
IF(BO$3=$DF51+'Model Setup'!$D$7,SUMIF($BH$3:$CE$3,"="&amp;$DF51+'Model Setup'!$D$7,$AD51:$BA51)+'Model Setup'!$D$8*(SUMIF($BH$3:$CE$3,"&lt;"&amp;$DF51,$AD51:$BA51)+SUMIF($BH$3:$CE$3,"&gt;"&amp;$CW$4,$AD51:$BA51)),
IF(BO$3=$DF51+'Model Setup'!$E$7,SUMIF($BH$3:$CE$3,"="&amp;$DF51+'Model Setup'!$E$7,$AD51:$BA51)+'Model Setup'!$E$8*(SUMIF($BH$3:$CE$3,"&lt;"&amp;$DF51,$AD51:$BA51)+SUMIF($BH$3:$CE$3,"&gt;"&amp;$CW$4,$AD51:$BA51)),
IF(BO$3=$DF51+'Model Setup'!$F$7,SUMIF($BH$3:$CE$3,"="&amp;$DF51+'Model Setup'!$F$7,$AD51:$BA51)+'Model Setup'!$F$8*(SUMIF($BH$3:$CE$3,"&lt;"&amp;$DF51,$AD51:$BA51)+SUMIF($BH$3:$CE$3,"&gt;"&amp;$CW$4,$AD51:$BA51)),
IF(BO$3=$DF51+'Model Setup'!$G$7,SUMIF($BH$3:$CE$3,"="&amp;$DF51+'Model Setup'!$G$7,$AD51:$BA51)+'Model Setup'!$G$8*(SUMIF($BH$3:$CE$3,"&lt;"&amp;$DF51,$AD51:$BA51)+SUMIF($BH$3:$CE$3,"&gt;"&amp;$CW$4,$AD51:$BA51)),
IF(BO$3=$DF51+'Model Setup'!$H$7,SUMIF($BH$3:$CE$3,"="&amp;$DF51+'Model Setup'!$H$7,$AD51:$BA51)+'Model Setup'!$H$8*(SUMIF($BH$3:$CE$3,"&lt;"&amp;$DF51,$AD51:$BA51)+SUMIF($BH$3:$CE$3,"&gt;"&amp;$CW$4,$AD51:$BA51)),
IF(BO$3=$DF51+'Model Setup'!$I$7,SUMIF($BH$3:$CE$3,"="&amp;$DF51+'Model Setup'!$I$7,$AD51:$BA51)+'Model Setup'!$I$8*(SUMIF($BH$3:$CE$3,"&lt;"&amp;$DF51,$AD51:$BA51)+SUMIF($BH$3:$CE$3,"&gt;"&amp;$CW$4,$AD51:$BA51)),
IF(BO$3=$DF51+'Model Setup'!$J$7,SUMIF($BH$3:$CE$3,"="&amp;$DF51+'Model Setup'!$J$7,$AD51:$BA51)+'Model Setup'!$J$8*(SUMIF($BH$3:$CE$3,"&lt;"&amp;$DF51,$AD51:$BA51)+SUMIF($BH$3:$CE$3,"&gt;"&amp;$CW$4,$AD51:$BA51)),
IF(BO$3=$DF51+'Model Setup'!$K$7,SUMIF($BH$3:$CE$3,"="&amp;$DF51+'Model Setup'!$K$7,$AD51:$BA51)+'Model Setup'!$K$8*(SUMIF($BH$3:$CE$3,"&lt;"&amp;$DF51,$AD51:$BA51)+SUMIF($BH$3:$CE$3,"&gt;"&amp;$CW$4,$AD51:$BA51)),
IF(BO$3=$DF51+'Model Setup'!$L$7,SUMIF($BH$3:$CE$3,"="&amp;$DF51+'Model Setup'!$L$7,$AD51:$BA51)+'Model Setup'!$L$8*(SUMIF($BH$3:$CE$3,"&lt;"&amp;$DF51,$AD51:$BA51)+SUMIF($BH$3:$CE$3,"&gt;"&amp;$CW$4,$AD51:$BA51)),
IF(BO$3=$DF51+'Model Setup'!$M$7,SUMIF($BH$3:$CE$3,"="&amp;$DF51+'Model Setup'!$M$7,$AD51:$BA51)+'Model Setup'!$M$8*(SUMIF($BH$3:$CE$3,"&lt;"&amp;$DF51,$AD51:$BA51)+SUMIF($BH$3:$CE$3,"&gt;"&amp;$CW$4,$AD51:$BA51)),
IF(BO$3=$DF51+'Model Setup'!$N$7,SUMIF($BH$3:$CE$3,"="&amp;$DF51+'Model Setup'!$N$7,$AD51:$BA51)+'Model Setup'!$N$8*(SUMIF($BH$3:$CE$3,"&lt;"&amp;$DF51,$AD51:$BA51)+SUMIF($BH$3:$CE$3,"&gt;"&amp;$CW$4,$AD51:$BA51)),
IF(BO$3&lt;$CW$4,I51,0))))))))))))))),0)</f>
        <v>131</v>
      </c>
      <c r="BP51" s="47">
        <f>ROUND(IF(OR(BP$3&lt;$DF51,BP$3&gt;$CW$4),0,
IF(BP$3=$DF51+'Model Setup'!$B$7,SUMIF($BH$3:$CE$3,"="&amp;$DF51+'Model Setup'!$B$7,$AD51:$BA51)+'Model Setup'!$B$8*(SUMIF($BH$3:$CE$3,"&lt;"&amp;$DF51,$AD51:$BA51)+SUMIF($BH$3:$CE$3,"&gt;"&amp;$CW$4,$AD51:$BA51)),
IF(BP$3=$DF51+'Model Setup'!$C$7,SUMIF($BH$3:$CE$3,"="&amp;$DF51+'Model Setup'!$C$7,$AD51:$BA51)+'Model Setup'!$C$8*(SUMIF($BH$3:$CE$3,"&lt;"&amp;$DF51,$AD51:$BA51)+SUMIF($BH$3:$CE$3,"&gt;"&amp;$CW$4,$AD51:$BA51)),
IF(BP$3=$DF51+'Model Setup'!$D$7,SUMIF($BH$3:$CE$3,"="&amp;$DF51+'Model Setup'!$D$7,$AD51:$BA51)+'Model Setup'!$D$8*(SUMIF($BH$3:$CE$3,"&lt;"&amp;$DF51,$AD51:$BA51)+SUMIF($BH$3:$CE$3,"&gt;"&amp;$CW$4,$AD51:$BA51)),
IF(BP$3=$DF51+'Model Setup'!$E$7,SUMIF($BH$3:$CE$3,"="&amp;$DF51+'Model Setup'!$E$7,$AD51:$BA51)+'Model Setup'!$E$8*(SUMIF($BH$3:$CE$3,"&lt;"&amp;$DF51,$AD51:$BA51)+SUMIF($BH$3:$CE$3,"&gt;"&amp;$CW$4,$AD51:$BA51)),
IF(BP$3=$DF51+'Model Setup'!$F$7,SUMIF($BH$3:$CE$3,"="&amp;$DF51+'Model Setup'!$F$7,$AD51:$BA51)+'Model Setup'!$F$8*(SUMIF($BH$3:$CE$3,"&lt;"&amp;$DF51,$AD51:$BA51)+SUMIF($BH$3:$CE$3,"&gt;"&amp;$CW$4,$AD51:$BA51)),
IF(BP$3=$DF51+'Model Setup'!$G$7,SUMIF($BH$3:$CE$3,"="&amp;$DF51+'Model Setup'!$G$7,$AD51:$BA51)+'Model Setup'!$G$8*(SUMIF($BH$3:$CE$3,"&lt;"&amp;$DF51,$AD51:$BA51)+SUMIF($BH$3:$CE$3,"&gt;"&amp;$CW$4,$AD51:$BA51)),
IF(BP$3=$DF51+'Model Setup'!$H$7,SUMIF($BH$3:$CE$3,"="&amp;$DF51+'Model Setup'!$H$7,$AD51:$BA51)+'Model Setup'!$H$8*(SUMIF($BH$3:$CE$3,"&lt;"&amp;$DF51,$AD51:$BA51)+SUMIF($BH$3:$CE$3,"&gt;"&amp;$CW$4,$AD51:$BA51)),
IF(BP$3=$DF51+'Model Setup'!$I$7,SUMIF($BH$3:$CE$3,"="&amp;$DF51+'Model Setup'!$I$7,$AD51:$BA51)+'Model Setup'!$I$8*(SUMIF($BH$3:$CE$3,"&lt;"&amp;$DF51,$AD51:$BA51)+SUMIF($BH$3:$CE$3,"&gt;"&amp;$CW$4,$AD51:$BA51)),
IF(BP$3=$DF51+'Model Setup'!$J$7,SUMIF($BH$3:$CE$3,"="&amp;$DF51+'Model Setup'!$J$7,$AD51:$BA51)+'Model Setup'!$J$8*(SUMIF($BH$3:$CE$3,"&lt;"&amp;$DF51,$AD51:$BA51)+SUMIF($BH$3:$CE$3,"&gt;"&amp;$CW$4,$AD51:$BA51)),
IF(BP$3=$DF51+'Model Setup'!$K$7,SUMIF($BH$3:$CE$3,"="&amp;$DF51+'Model Setup'!$K$7,$AD51:$BA51)+'Model Setup'!$K$8*(SUMIF($BH$3:$CE$3,"&lt;"&amp;$DF51,$AD51:$BA51)+SUMIF($BH$3:$CE$3,"&gt;"&amp;$CW$4,$AD51:$BA51)),
IF(BP$3=$DF51+'Model Setup'!$L$7,SUMIF($BH$3:$CE$3,"="&amp;$DF51+'Model Setup'!$L$7,$AD51:$BA51)+'Model Setup'!$L$8*(SUMIF($BH$3:$CE$3,"&lt;"&amp;$DF51,$AD51:$BA51)+SUMIF($BH$3:$CE$3,"&gt;"&amp;$CW$4,$AD51:$BA51)),
IF(BP$3=$DF51+'Model Setup'!$M$7,SUMIF($BH$3:$CE$3,"="&amp;$DF51+'Model Setup'!$M$7,$AD51:$BA51)+'Model Setup'!$M$8*(SUMIF($BH$3:$CE$3,"&lt;"&amp;$DF51,$AD51:$BA51)+SUMIF($BH$3:$CE$3,"&gt;"&amp;$CW$4,$AD51:$BA51)),
IF(BP$3=$DF51+'Model Setup'!$N$7,SUMIF($BH$3:$CE$3,"="&amp;$DF51+'Model Setup'!$N$7,$AD51:$BA51)+'Model Setup'!$N$8*(SUMIF($BH$3:$CE$3,"&lt;"&amp;$DF51,$AD51:$BA51)+SUMIF($BH$3:$CE$3,"&gt;"&amp;$CW$4,$AD51:$BA51)),
IF(BP$3&lt;$CW$4,J51,0))))))))))))))),0)</f>
        <v>170</v>
      </c>
      <c r="BQ51" s="47">
        <f>ROUND(IF(OR(BQ$3&lt;$DF51,BQ$3&gt;$CW$4),0,
IF(BQ$3=$DF51+'Model Setup'!$B$7,SUMIF($BH$3:$CE$3,"="&amp;$DF51+'Model Setup'!$B$7,$AD51:$BA51)+'Model Setup'!$B$8*(SUMIF($BH$3:$CE$3,"&lt;"&amp;$DF51,$AD51:$BA51)+SUMIF($BH$3:$CE$3,"&gt;"&amp;$CW$4,$AD51:$BA51)),
IF(BQ$3=$DF51+'Model Setup'!$C$7,SUMIF($BH$3:$CE$3,"="&amp;$DF51+'Model Setup'!$C$7,$AD51:$BA51)+'Model Setup'!$C$8*(SUMIF($BH$3:$CE$3,"&lt;"&amp;$DF51,$AD51:$BA51)+SUMIF($BH$3:$CE$3,"&gt;"&amp;$CW$4,$AD51:$BA51)),
IF(BQ$3=$DF51+'Model Setup'!$D$7,SUMIF($BH$3:$CE$3,"="&amp;$DF51+'Model Setup'!$D$7,$AD51:$BA51)+'Model Setup'!$D$8*(SUMIF($BH$3:$CE$3,"&lt;"&amp;$DF51,$AD51:$BA51)+SUMIF($BH$3:$CE$3,"&gt;"&amp;$CW$4,$AD51:$BA51)),
IF(BQ$3=$DF51+'Model Setup'!$E$7,SUMIF($BH$3:$CE$3,"="&amp;$DF51+'Model Setup'!$E$7,$AD51:$BA51)+'Model Setup'!$E$8*(SUMIF($BH$3:$CE$3,"&lt;"&amp;$DF51,$AD51:$BA51)+SUMIF($BH$3:$CE$3,"&gt;"&amp;$CW$4,$AD51:$BA51)),
IF(BQ$3=$DF51+'Model Setup'!$F$7,SUMIF($BH$3:$CE$3,"="&amp;$DF51+'Model Setup'!$F$7,$AD51:$BA51)+'Model Setup'!$F$8*(SUMIF($BH$3:$CE$3,"&lt;"&amp;$DF51,$AD51:$BA51)+SUMIF($BH$3:$CE$3,"&gt;"&amp;$CW$4,$AD51:$BA51)),
IF(BQ$3=$DF51+'Model Setup'!$G$7,SUMIF($BH$3:$CE$3,"="&amp;$DF51+'Model Setup'!$G$7,$AD51:$BA51)+'Model Setup'!$G$8*(SUMIF($BH$3:$CE$3,"&lt;"&amp;$DF51,$AD51:$BA51)+SUMIF($BH$3:$CE$3,"&gt;"&amp;$CW$4,$AD51:$BA51)),
IF(BQ$3=$DF51+'Model Setup'!$H$7,SUMIF($BH$3:$CE$3,"="&amp;$DF51+'Model Setup'!$H$7,$AD51:$BA51)+'Model Setup'!$H$8*(SUMIF($BH$3:$CE$3,"&lt;"&amp;$DF51,$AD51:$BA51)+SUMIF($BH$3:$CE$3,"&gt;"&amp;$CW$4,$AD51:$BA51)),
IF(BQ$3=$DF51+'Model Setup'!$I$7,SUMIF($BH$3:$CE$3,"="&amp;$DF51+'Model Setup'!$I$7,$AD51:$BA51)+'Model Setup'!$I$8*(SUMIF($BH$3:$CE$3,"&lt;"&amp;$DF51,$AD51:$BA51)+SUMIF($BH$3:$CE$3,"&gt;"&amp;$CW$4,$AD51:$BA51)),
IF(BQ$3=$DF51+'Model Setup'!$J$7,SUMIF($BH$3:$CE$3,"="&amp;$DF51+'Model Setup'!$J$7,$AD51:$BA51)+'Model Setup'!$J$8*(SUMIF($BH$3:$CE$3,"&lt;"&amp;$DF51,$AD51:$BA51)+SUMIF($BH$3:$CE$3,"&gt;"&amp;$CW$4,$AD51:$BA51)),
IF(BQ$3=$DF51+'Model Setup'!$K$7,SUMIF($BH$3:$CE$3,"="&amp;$DF51+'Model Setup'!$K$7,$AD51:$BA51)+'Model Setup'!$K$8*(SUMIF($BH$3:$CE$3,"&lt;"&amp;$DF51,$AD51:$BA51)+SUMIF($BH$3:$CE$3,"&gt;"&amp;$CW$4,$AD51:$BA51)),
IF(BQ$3=$DF51+'Model Setup'!$L$7,SUMIF($BH$3:$CE$3,"="&amp;$DF51+'Model Setup'!$L$7,$AD51:$BA51)+'Model Setup'!$L$8*(SUMIF($BH$3:$CE$3,"&lt;"&amp;$DF51,$AD51:$BA51)+SUMIF($BH$3:$CE$3,"&gt;"&amp;$CW$4,$AD51:$BA51)),
IF(BQ$3=$DF51+'Model Setup'!$M$7,SUMIF($BH$3:$CE$3,"="&amp;$DF51+'Model Setup'!$M$7,$AD51:$BA51)+'Model Setup'!$M$8*(SUMIF($BH$3:$CE$3,"&lt;"&amp;$DF51,$AD51:$BA51)+SUMIF($BH$3:$CE$3,"&gt;"&amp;$CW$4,$AD51:$BA51)),
IF(BQ$3=$DF51+'Model Setup'!$N$7,SUMIF($BH$3:$CE$3,"="&amp;$DF51+'Model Setup'!$N$7,$AD51:$BA51)+'Model Setup'!$N$8*(SUMIF($BH$3:$CE$3,"&lt;"&amp;$DF51,$AD51:$BA51)+SUMIF($BH$3:$CE$3,"&gt;"&amp;$CW$4,$AD51:$BA51)),
IF(BQ$3&lt;$CW$4,K51,0))))))))))))))),0)</f>
        <v>167</v>
      </c>
      <c r="BR51" s="47">
        <f>ROUND(IF(OR(BR$3&lt;$DF51,BR$3&gt;$CW$4),0,
IF(BR$3=$DF51+'Model Setup'!$B$7,SUMIF($BH$3:$CE$3,"="&amp;$DF51+'Model Setup'!$B$7,$AD51:$BA51)+'Model Setup'!$B$8*(SUMIF($BH$3:$CE$3,"&lt;"&amp;$DF51,$AD51:$BA51)+SUMIF($BH$3:$CE$3,"&gt;"&amp;$CW$4,$AD51:$BA51)),
IF(BR$3=$DF51+'Model Setup'!$C$7,SUMIF($BH$3:$CE$3,"="&amp;$DF51+'Model Setup'!$C$7,$AD51:$BA51)+'Model Setup'!$C$8*(SUMIF($BH$3:$CE$3,"&lt;"&amp;$DF51,$AD51:$BA51)+SUMIF($BH$3:$CE$3,"&gt;"&amp;$CW$4,$AD51:$BA51)),
IF(BR$3=$DF51+'Model Setup'!$D$7,SUMIF($BH$3:$CE$3,"="&amp;$DF51+'Model Setup'!$D$7,$AD51:$BA51)+'Model Setup'!$D$8*(SUMIF($BH$3:$CE$3,"&lt;"&amp;$DF51,$AD51:$BA51)+SUMIF($BH$3:$CE$3,"&gt;"&amp;$CW$4,$AD51:$BA51)),
IF(BR$3=$DF51+'Model Setup'!$E$7,SUMIF($BH$3:$CE$3,"="&amp;$DF51+'Model Setup'!$E$7,$AD51:$BA51)+'Model Setup'!$E$8*(SUMIF($BH$3:$CE$3,"&lt;"&amp;$DF51,$AD51:$BA51)+SUMIF($BH$3:$CE$3,"&gt;"&amp;$CW$4,$AD51:$BA51)),
IF(BR$3=$DF51+'Model Setup'!$F$7,SUMIF($BH$3:$CE$3,"="&amp;$DF51+'Model Setup'!$F$7,$AD51:$BA51)+'Model Setup'!$F$8*(SUMIF($BH$3:$CE$3,"&lt;"&amp;$DF51,$AD51:$BA51)+SUMIF($BH$3:$CE$3,"&gt;"&amp;$CW$4,$AD51:$BA51)),
IF(BR$3=$DF51+'Model Setup'!$G$7,SUMIF($BH$3:$CE$3,"="&amp;$DF51+'Model Setup'!$G$7,$AD51:$BA51)+'Model Setup'!$G$8*(SUMIF($BH$3:$CE$3,"&lt;"&amp;$DF51,$AD51:$BA51)+SUMIF($BH$3:$CE$3,"&gt;"&amp;$CW$4,$AD51:$BA51)),
IF(BR$3=$DF51+'Model Setup'!$H$7,SUMIF($BH$3:$CE$3,"="&amp;$DF51+'Model Setup'!$H$7,$AD51:$BA51)+'Model Setup'!$H$8*(SUMIF($BH$3:$CE$3,"&lt;"&amp;$DF51,$AD51:$BA51)+SUMIF($BH$3:$CE$3,"&gt;"&amp;$CW$4,$AD51:$BA51)),
IF(BR$3=$DF51+'Model Setup'!$I$7,SUMIF($BH$3:$CE$3,"="&amp;$DF51+'Model Setup'!$I$7,$AD51:$BA51)+'Model Setup'!$I$8*(SUMIF($BH$3:$CE$3,"&lt;"&amp;$DF51,$AD51:$BA51)+SUMIF($BH$3:$CE$3,"&gt;"&amp;$CW$4,$AD51:$BA51)),
IF(BR$3=$DF51+'Model Setup'!$J$7,SUMIF($BH$3:$CE$3,"="&amp;$DF51+'Model Setup'!$J$7,$AD51:$BA51)+'Model Setup'!$J$8*(SUMIF($BH$3:$CE$3,"&lt;"&amp;$DF51,$AD51:$BA51)+SUMIF($BH$3:$CE$3,"&gt;"&amp;$CW$4,$AD51:$BA51)),
IF(BR$3=$DF51+'Model Setup'!$K$7,SUMIF($BH$3:$CE$3,"="&amp;$DF51+'Model Setup'!$K$7,$AD51:$BA51)+'Model Setup'!$K$8*(SUMIF($BH$3:$CE$3,"&lt;"&amp;$DF51,$AD51:$BA51)+SUMIF($BH$3:$CE$3,"&gt;"&amp;$CW$4,$AD51:$BA51)),
IF(BR$3=$DF51+'Model Setup'!$L$7,SUMIF($BH$3:$CE$3,"="&amp;$DF51+'Model Setup'!$L$7,$AD51:$BA51)+'Model Setup'!$L$8*(SUMIF($BH$3:$CE$3,"&lt;"&amp;$DF51,$AD51:$BA51)+SUMIF($BH$3:$CE$3,"&gt;"&amp;$CW$4,$AD51:$BA51)),
IF(BR$3=$DF51+'Model Setup'!$M$7,SUMIF($BH$3:$CE$3,"="&amp;$DF51+'Model Setup'!$M$7,$AD51:$BA51)+'Model Setup'!$M$8*(SUMIF($BH$3:$CE$3,"&lt;"&amp;$DF51,$AD51:$BA51)+SUMIF($BH$3:$CE$3,"&gt;"&amp;$CW$4,$AD51:$BA51)),
IF(BR$3=$DF51+'Model Setup'!$N$7,SUMIF($BH$3:$CE$3,"="&amp;$DF51+'Model Setup'!$N$7,$AD51:$BA51)+'Model Setup'!$N$8*(SUMIF($BH$3:$CE$3,"&lt;"&amp;$DF51,$AD51:$BA51)+SUMIF($BH$3:$CE$3,"&gt;"&amp;$CW$4,$AD51:$BA51)),
IF(BR$3&lt;$CW$4,L51,0))))))))))))))),0)</f>
        <v>141</v>
      </c>
      <c r="BS51" s="47">
        <f>ROUND(IF(OR(BS$3&lt;$DF51,BS$3&gt;$CW$4),0,
IF(BS$3=$DF51+'Model Setup'!$B$7,SUMIF($BH$3:$CE$3,"="&amp;$DF51+'Model Setup'!$B$7,$AD51:$BA51)+'Model Setup'!$B$8*(SUMIF($BH$3:$CE$3,"&lt;"&amp;$DF51,$AD51:$BA51)+SUMIF($BH$3:$CE$3,"&gt;"&amp;$CW$4,$AD51:$BA51)),
IF(BS$3=$DF51+'Model Setup'!$C$7,SUMIF($BH$3:$CE$3,"="&amp;$DF51+'Model Setup'!$C$7,$AD51:$BA51)+'Model Setup'!$C$8*(SUMIF($BH$3:$CE$3,"&lt;"&amp;$DF51,$AD51:$BA51)+SUMIF($BH$3:$CE$3,"&gt;"&amp;$CW$4,$AD51:$BA51)),
IF(BS$3=$DF51+'Model Setup'!$D$7,SUMIF($BH$3:$CE$3,"="&amp;$DF51+'Model Setup'!$D$7,$AD51:$BA51)+'Model Setup'!$D$8*(SUMIF($BH$3:$CE$3,"&lt;"&amp;$DF51,$AD51:$BA51)+SUMIF($BH$3:$CE$3,"&gt;"&amp;$CW$4,$AD51:$BA51)),
IF(BS$3=$DF51+'Model Setup'!$E$7,SUMIF($BH$3:$CE$3,"="&amp;$DF51+'Model Setup'!$E$7,$AD51:$BA51)+'Model Setup'!$E$8*(SUMIF($BH$3:$CE$3,"&lt;"&amp;$DF51,$AD51:$BA51)+SUMIF($BH$3:$CE$3,"&gt;"&amp;$CW$4,$AD51:$BA51)),
IF(BS$3=$DF51+'Model Setup'!$F$7,SUMIF($BH$3:$CE$3,"="&amp;$DF51+'Model Setup'!$F$7,$AD51:$BA51)+'Model Setup'!$F$8*(SUMIF($BH$3:$CE$3,"&lt;"&amp;$DF51,$AD51:$BA51)+SUMIF($BH$3:$CE$3,"&gt;"&amp;$CW$4,$AD51:$BA51)),
IF(BS$3=$DF51+'Model Setup'!$G$7,SUMIF($BH$3:$CE$3,"="&amp;$DF51+'Model Setup'!$G$7,$AD51:$BA51)+'Model Setup'!$G$8*(SUMIF($BH$3:$CE$3,"&lt;"&amp;$DF51,$AD51:$BA51)+SUMIF($BH$3:$CE$3,"&gt;"&amp;$CW$4,$AD51:$BA51)),
IF(BS$3=$DF51+'Model Setup'!$H$7,SUMIF($BH$3:$CE$3,"="&amp;$DF51+'Model Setup'!$H$7,$AD51:$BA51)+'Model Setup'!$H$8*(SUMIF($BH$3:$CE$3,"&lt;"&amp;$DF51,$AD51:$BA51)+SUMIF($BH$3:$CE$3,"&gt;"&amp;$CW$4,$AD51:$BA51)),
IF(BS$3=$DF51+'Model Setup'!$I$7,SUMIF($BH$3:$CE$3,"="&amp;$DF51+'Model Setup'!$I$7,$AD51:$BA51)+'Model Setup'!$I$8*(SUMIF($BH$3:$CE$3,"&lt;"&amp;$DF51,$AD51:$BA51)+SUMIF($BH$3:$CE$3,"&gt;"&amp;$CW$4,$AD51:$BA51)),
IF(BS$3=$DF51+'Model Setup'!$J$7,SUMIF($BH$3:$CE$3,"="&amp;$DF51+'Model Setup'!$J$7,$AD51:$BA51)+'Model Setup'!$J$8*(SUMIF($BH$3:$CE$3,"&lt;"&amp;$DF51,$AD51:$BA51)+SUMIF($BH$3:$CE$3,"&gt;"&amp;$CW$4,$AD51:$BA51)),
IF(BS$3=$DF51+'Model Setup'!$K$7,SUMIF($BH$3:$CE$3,"="&amp;$DF51+'Model Setup'!$K$7,$AD51:$BA51)+'Model Setup'!$K$8*(SUMIF($BH$3:$CE$3,"&lt;"&amp;$DF51,$AD51:$BA51)+SUMIF($BH$3:$CE$3,"&gt;"&amp;$CW$4,$AD51:$BA51)),
IF(BS$3=$DF51+'Model Setup'!$L$7,SUMIF($BH$3:$CE$3,"="&amp;$DF51+'Model Setup'!$L$7,$AD51:$BA51)+'Model Setup'!$L$8*(SUMIF($BH$3:$CE$3,"&lt;"&amp;$DF51,$AD51:$BA51)+SUMIF($BH$3:$CE$3,"&gt;"&amp;$CW$4,$AD51:$BA51)),
IF(BS$3=$DF51+'Model Setup'!$M$7,SUMIF($BH$3:$CE$3,"="&amp;$DF51+'Model Setup'!$M$7,$AD51:$BA51)+'Model Setup'!$M$8*(SUMIF($BH$3:$CE$3,"&lt;"&amp;$DF51,$AD51:$BA51)+SUMIF($BH$3:$CE$3,"&gt;"&amp;$CW$4,$AD51:$BA51)),
IF(BS$3=$DF51+'Model Setup'!$N$7,SUMIF($BH$3:$CE$3,"="&amp;$DF51+'Model Setup'!$N$7,$AD51:$BA51)+'Model Setup'!$N$8*(SUMIF($BH$3:$CE$3,"&lt;"&amp;$DF51,$AD51:$BA51)+SUMIF($BH$3:$CE$3,"&gt;"&amp;$CW$4,$AD51:$BA51)),
IF(BS$3&lt;$CW$4,M51,0))))))))))))))),0)</f>
        <v>107</v>
      </c>
      <c r="BT51" s="47">
        <f>ROUND(IF(OR(BT$3&lt;$DF51,BT$3&gt;$CW$4),0,
IF(BT$3=$DF51+'Model Setup'!$B$7,SUMIF($BH$3:$CE$3,"="&amp;$DF51+'Model Setup'!$B$7,$AD51:$BA51)+'Model Setup'!$B$8*(SUMIF($BH$3:$CE$3,"&lt;"&amp;$DF51,$AD51:$BA51)+SUMIF($BH$3:$CE$3,"&gt;"&amp;$CW$4,$AD51:$BA51)),
IF(BT$3=$DF51+'Model Setup'!$C$7,SUMIF($BH$3:$CE$3,"="&amp;$DF51+'Model Setup'!$C$7,$AD51:$BA51)+'Model Setup'!$C$8*(SUMIF($BH$3:$CE$3,"&lt;"&amp;$DF51,$AD51:$BA51)+SUMIF($BH$3:$CE$3,"&gt;"&amp;$CW$4,$AD51:$BA51)),
IF(BT$3=$DF51+'Model Setup'!$D$7,SUMIF($BH$3:$CE$3,"="&amp;$DF51+'Model Setup'!$D$7,$AD51:$BA51)+'Model Setup'!$D$8*(SUMIF($BH$3:$CE$3,"&lt;"&amp;$DF51,$AD51:$BA51)+SUMIF($BH$3:$CE$3,"&gt;"&amp;$CW$4,$AD51:$BA51)),
IF(BT$3=$DF51+'Model Setup'!$E$7,SUMIF($BH$3:$CE$3,"="&amp;$DF51+'Model Setup'!$E$7,$AD51:$BA51)+'Model Setup'!$E$8*(SUMIF($BH$3:$CE$3,"&lt;"&amp;$DF51,$AD51:$BA51)+SUMIF($BH$3:$CE$3,"&gt;"&amp;$CW$4,$AD51:$BA51)),
IF(BT$3=$DF51+'Model Setup'!$F$7,SUMIF($BH$3:$CE$3,"="&amp;$DF51+'Model Setup'!$F$7,$AD51:$BA51)+'Model Setup'!$F$8*(SUMIF($BH$3:$CE$3,"&lt;"&amp;$DF51,$AD51:$BA51)+SUMIF($BH$3:$CE$3,"&gt;"&amp;$CW$4,$AD51:$BA51)),
IF(BT$3=$DF51+'Model Setup'!$G$7,SUMIF($BH$3:$CE$3,"="&amp;$DF51+'Model Setup'!$G$7,$AD51:$BA51)+'Model Setup'!$G$8*(SUMIF($BH$3:$CE$3,"&lt;"&amp;$DF51,$AD51:$BA51)+SUMIF($BH$3:$CE$3,"&gt;"&amp;$CW$4,$AD51:$BA51)),
IF(BT$3=$DF51+'Model Setup'!$H$7,SUMIF($BH$3:$CE$3,"="&amp;$DF51+'Model Setup'!$H$7,$AD51:$BA51)+'Model Setup'!$H$8*(SUMIF($BH$3:$CE$3,"&lt;"&amp;$DF51,$AD51:$BA51)+SUMIF($BH$3:$CE$3,"&gt;"&amp;$CW$4,$AD51:$BA51)),
IF(BT$3=$DF51+'Model Setup'!$I$7,SUMIF($BH$3:$CE$3,"="&amp;$DF51+'Model Setup'!$I$7,$AD51:$BA51)+'Model Setup'!$I$8*(SUMIF($BH$3:$CE$3,"&lt;"&amp;$DF51,$AD51:$BA51)+SUMIF($BH$3:$CE$3,"&gt;"&amp;$CW$4,$AD51:$BA51)),
IF(BT$3=$DF51+'Model Setup'!$J$7,SUMIF($BH$3:$CE$3,"="&amp;$DF51+'Model Setup'!$J$7,$AD51:$BA51)+'Model Setup'!$J$8*(SUMIF($BH$3:$CE$3,"&lt;"&amp;$DF51,$AD51:$BA51)+SUMIF($BH$3:$CE$3,"&gt;"&amp;$CW$4,$AD51:$BA51)),
IF(BT$3=$DF51+'Model Setup'!$K$7,SUMIF($BH$3:$CE$3,"="&amp;$DF51+'Model Setup'!$K$7,$AD51:$BA51)+'Model Setup'!$K$8*(SUMIF($BH$3:$CE$3,"&lt;"&amp;$DF51,$AD51:$BA51)+SUMIF($BH$3:$CE$3,"&gt;"&amp;$CW$4,$AD51:$BA51)),
IF(BT$3=$DF51+'Model Setup'!$L$7,SUMIF($BH$3:$CE$3,"="&amp;$DF51+'Model Setup'!$L$7,$AD51:$BA51)+'Model Setup'!$L$8*(SUMIF($BH$3:$CE$3,"&lt;"&amp;$DF51,$AD51:$BA51)+SUMIF($BH$3:$CE$3,"&gt;"&amp;$CW$4,$AD51:$BA51)),
IF(BT$3=$DF51+'Model Setup'!$M$7,SUMIF($BH$3:$CE$3,"="&amp;$DF51+'Model Setup'!$M$7,$AD51:$BA51)+'Model Setup'!$M$8*(SUMIF($BH$3:$CE$3,"&lt;"&amp;$DF51,$AD51:$BA51)+SUMIF($BH$3:$CE$3,"&gt;"&amp;$CW$4,$AD51:$BA51)),
IF(BT$3=$DF51+'Model Setup'!$N$7,SUMIF($BH$3:$CE$3,"="&amp;$DF51+'Model Setup'!$N$7,$AD51:$BA51)+'Model Setup'!$N$8*(SUMIF($BH$3:$CE$3,"&lt;"&amp;$DF51,$AD51:$BA51)+SUMIF($BH$3:$CE$3,"&gt;"&amp;$CW$4,$AD51:$BA51)),
IF(BT$3&lt;$CW$4,N51,0))))))))))))))),0)</f>
        <v>80</v>
      </c>
      <c r="BU51" s="47">
        <f>ROUND(IF(OR(BU$3&lt;$DF51,BU$3&gt;$CW$4),0,
IF(BU$3=$DF51+'Model Setup'!$B$7,SUMIF($BH$3:$CE$3,"="&amp;$DF51+'Model Setup'!$B$7,$AD51:$BA51)+'Model Setup'!$B$8*(SUMIF($BH$3:$CE$3,"&lt;"&amp;$DF51,$AD51:$BA51)+SUMIF($BH$3:$CE$3,"&gt;"&amp;$CW$4,$AD51:$BA51)),
IF(BU$3=$DF51+'Model Setup'!$C$7,SUMIF($BH$3:$CE$3,"="&amp;$DF51+'Model Setup'!$C$7,$AD51:$BA51)+'Model Setup'!$C$8*(SUMIF($BH$3:$CE$3,"&lt;"&amp;$DF51,$AD51:$BA51)+SUMIF($BH$3:$CE$3,"&gt;"&amp;$CW$4,$AD51:$BA51)),
IF(BU$3=$DF51+'Model Setup'!$D$7,SUMIF($BH$3:$CE$3,"="&amp;$DF51+'Model Setup'!$D$7,$AD51:$BA51)+'Model Setup'!$D$8*(SUMIF($BH$3:$CE$3,"&lt;"&amp;$DF51,$AD51:$BA51)+SUMIF($BH$3:$CE$3,"&gt;"&amp;$CW$4,$AD51:$BA51)),
IF(BU$3=$DF51+'Model Setup'!$E$7,SUMIF($BH$3:$CE$3,"="&amp;$DF51+'Model Setup'!$E$7,$AD51:$BA51)+'Model Setup'!$E$8*(SUMIF($BH$3:$CE$3,"&lt;"&amp;$DF51,$AD51:$BA51)+SUMIF($BH$3:$CE$3,"&gt;"&amp;$CW$4,$AD51:$BA51)),
IF(BU$3=$DF51+'Model Setup'!$F$7,SUMIF($BH$3:$CE$3,"="&amp;$DF51+'Model Setup'!$F$7,$AD51:$BA51)+'Model Setup'!$F$8*(SUMIF($BH$3:$CE$3,"&lt;"&amp;$DF51,$AD51:$BA51)+SUMIF($BH$3:$CE$3,"&gt;"&amp;$CW$4,$AD51:$BA51)),
IF(BU$3=$DF51+'Model Setup'!$G$7,SUMIF($BH$3:$CE$3,"="&amp;$DF51+'Model Setup'!$G$7,$AD51:$BA51)+'Model Setup'!$G$8*(SUMIF($BH$3:$CE$3,"&lt;"&amp;$DF51,$AD51:$BA51)+SUMIF($BH$3:$CE$3,"&gt;"&amp;$CW$4,$AD51:$BA51)),
IF(BU$3=$DF51+'Model Setup'!$H$7,SUMIF($BH$3:$CE$3,"="&amp;$DF51+'Model Setup'!$H$7,$AD51:$BA51)+'Model Setup'!$H$8*(SUMIF($BH$3:$CE$3,"&lt;"&amp;$DF51,$AD51:$BA51)+SUMIF($BH$3:$CE$3,"&gt;"&amp;$CW$4,$AD51:$BA51)),
IF(BU$3=$DF51+'Model Setup'!$I$7,SUMIF($BH$3:$CE$3,"="&amp;$DF51+'Model Setup'!$I$7,$AD51:$BA51)+'Model Setup'!$I$8*(SUMIF($BH$3:$CE$3,"&lt;"&amp;$DF51,$AD51:$BA51)+SUMIF($BH$3:$CE$3,"&gt;"&amp;$CW$4,$AD51:$BA51)),
IF(BU$3=$DF51+'Model Setup'!$J$7,SUMIF($BH$3:$CE$3,"="&amp;$DF51+'Model Setup'!$J$7,$AD51:$BA51)+'Model Setup'!$J$8*(SUMIF($BH$3:$CE$3,"&lt;"&amp;$DF51,$AD51:$BA51)+SUMIF($BH$3:$CE$3,"&gt;"&amp;$CW$4,$AD51:$BA51)),
IF(BU$3=$DF51+'Model Setup'!$K$7,SUMIF($BH$3:$CE$3,"="&amp;$DF51+'Model Setup'!$K$7,$AD51:$BA51)+'Model Setup'!$K$8*(SUMIF($BH$3:$CE$3,"&lt;"&amp;$DF51,$AD51:$BA51)+SUMIF($BH$3:$CE$3,"&gt;"&amp;$CW$4,$AD51:$BA51)),
IF(BU$3=$DF51+'Model Setup'!$L$7,SUMIF($BH$3:$CE$3,"="&amp;$DF51+'Model Setup'!$L$7,$AD51:$BA51)+'Model Setup'!$L$8*(SUMIF($BH$3:$CE$3,"&lt;"&amp;$DF51,$AD51:$BA51)+SUMIF($BH$3:$CE$3,"&gt;"&amp;$CW$4,$AD51:$BA51)),
IF(BU$3=$DF51+'Model Setup'!$M$7,SUMIF($BH$3:$CE$3,"="&amp;$DF51+'Model Setup'!$M$7,$AD51:$BA51)+'Model Setup'!$M$8*(SUMIF($BH$3:$CE$3,"&lt;"&amp;$DF51,$AD51:$BA51)+SUMIF($BH$3:$CE$3,"&gt;"&amp;$CW$4,$AD51:$BA51)),
IF(BU$3=$DF51+'Model Setup'!$N$7,SUMIF($BH$3:$CE$3,"="&amp;$DF51+'Model Setup'!$N$7,$AD51:$BA51)+'Model Setup'!$N$8*(SUMIF($BH$3:$CE$3,"&lt;"&amp;$DF51,$AD51:$BA51)+SUMIF($BH$3:$CE$3,"&gt;"&amp;$CW$4,$AD51:$BA51)),
IF(BU$3&lt;$CW$4,O51,0))))))))))))))),0)</f>
        <v>92</v>
      </c>
      <c r="BV51" s="47">
        <f>ROUND(IF(OR(BV$3&lt;$DF51,BV$3&gt;$CW$4),0,
IF(BV$3=$DF51+'Model Setup'!$B$7,SUMIF($BH$3:$CE$3,"="&amp;$DF51+'Model Setup'!$B$7,$AD51:$BA51)+'Model Setup'!$B$8*(SUMIF($BH$3:$CE$3,"&lt;"&amp;$DF51,$AD51:$BA51)+SUMIF($BH$3:$CE$3,"&gt;"&amp;$CW$4,$AD51:$BA51)),
IF(BV$3=$DF51+'Model Setup'!$C$7,SUMIF($BH$3:$CE$3,"="&amp;$DF51+'Model Setup'!$C$7,$AD51:$BA51)+'Model Setup'!$C$8*(SUMIF($BH$3:$CE$3,"&lt;"&amp;$DF51,$AD51:$BA51)+SUMIF($BH$3:$CE$3,"&gt;"&amp;$CW$4,$AD51:$BA51)),
IF(BV$3=$DF51+'Model Setup'!$D$7,SUMIF($BH$3:$CE$3,"="&amp;$DF51+'Model Setup'!$D$7,$AD51:$BA51)+'Model Setup'!$D$8*(SUMIF($BH$3:$CE$3,"&lt;"&amp;$DF51,$AD51:$BA51)+SUMIF($BH$3:$CE$3,"&gt;"&amp;$CW$4,$AD51:$BA51)),
IF(BV$3=$DF51+'Model Setup'!$E$7,SUMIF($BH$3:$CE$3,"="&amp;$DF51+'Model Setup'!$E$7,$AD51:$BA51)+'Model Setup'!$E$8*(SUMIF($BH$3:$CE$3,"&lt;"&amp;$DF51,$AD51:$BA51)+SUMIF($BH$3:$CE$3,"&gt;"&amp;$CW$4,$AD51:$BA51)),
IF(BV$3=$DF51+'Model Setup'!$F$7,SUMIF($BH$3:$CE$3,"="&amp;$DF51+'Model Setup'!$F$7,$AD51:$BA51)+'Model Setup'!$F$8*(SUMIF($BH$3:$CE$3,"&lt;"&amp;$DF51,$AD51:$BA51)+SUMIF($BH$3:$CE$3,"&gt;"&amp;$CW$4,$AD51:$BA51)),
IF(BV$3=$DF51+'Model Setup'!$G$7,SUMIF($BH$3:$CE$3,"="&amp;$DF51+'Model Setup'!$G$7,$AD51:$BA51)+'Model Setup'!$G$8*(SUMIF($BH$3:$CE$3,"&lt;"&amp;$DF51,$AD51:$BA51)+SUMIF($BH$3:$CE$3,"&gt;"&amp;$CW$4,$AD51:$BA51)),
IF(BV$3=$DF51+'Model Setup'!$H$7,SUMIF($BH$3:$CE$3,"="&amp;$DF51+'Model Setup'!$H$7,$AD51:$BA51)+'Model Setup'!$H$8*(SUMIF($BH$3:$CE$3,"&lt;"&amp;$DF51,$AD51:$BA51)+SUMIF($BH$3:$CE$3,"&gt;"&amp;$CW$4,$AD51:$BA51)),
IF(BV$3=$DF51+'Model Setup'!$I$7,SUMIF($BH$3:$CE$3,"="&amp;$DF51+'Model Setup'!$I$7,$AD51:$BA51)+'Model Setup'!$I$8*(SUMIF($BH$3:$CE$3,"&lt;"&amp;$DF51,$AD51:$BA51)+SUMIF($BH$3:$CE$3,"&gt;"&amp;$CW$4,$AD51:$BA51)),
IF(BV$3=$DF51+'Model Setup'!$J$7,SUMIF($BH$3:$CE$3,"="&amp;$DF51+'Model Setup'!$J$7,$AD51:$BA51)+'Model Setup'!$J$8*(SUMIF($BH$3:$CE$3,"&lt;"&amp;$DF51,$AD51:$BA51)+SUMIF($BH$3:$CE$3,"&gt;"&amp;$CW$4,$AD51:$BA51)),
IF(BV$3=$DF51+'Model Setup'!$K$7,SUMIF($BH$3:$CE$3,"="&amp;$DF51+'Model Setup'!$K$7,$AD51:$BA51)+'Model Setup'!$K$8*(SUMIF($BH$3:$CE$3,"&lt;"&amp;$DF51,$AD51:$BA51)+SUMIF($BH$3:$CE$3,"&gt;"&amp;$CW$4,$AD51:$BA51)),
IF(BV$3=$DF51+'Model Setup'!$L$7,SUMIF($BH$3:$CE$3,"="&amp;$DF51+'Model Setup'!$L$7,$AD51:$BA51)+'Model Setup'!$L$8*(SUMIF($BH$3:$CE$3,"&lt;"&amp;$DF51,$AD51:$BA51)+SUMIF($BH$3:$CE$3,"&gt;"&amp;$CW$4,$AD51:$BA51)),
IF(BV$3=$DF51+'Model Setup'!$M$7,SUMIF($BH$3:$CE$3,"="&amp;$DF51+'Model Setup'!$M$7,$AD51:$BA51)+'Model Setup'!$M$8*(SUMIF($BH$3:$CE$3,"&lt;"&amp;$DF51,$AD51:$BA51)+SUMIF($BH$3:$CE$3,"&gt;"&amp;$CW$4,$AD51:$BA51)),
IF(BV$3=$DF51+'Model Setup'!$N$7,SUMIF($BH$3:$CE$3,"="&amp;$DF51+'Model Setup'!$N$7,$AD51:$BA51)+'Model Setup'!$N$8*(SUMIF($BH$3:$CE$3,"&lt;"&amp;$DF51,$AD51:$BA51)+SUMIF($BH$3:$CE$3,"&gt;"&amp;$CW$4,$AD51:$BA51)),
IF(BV$3&lt;$CW$4,P51,0))))))))))))))),0)</f>
        <v>60</v>
      </c>
      <c r="BW51" s="47">
        <f>ROUND(IF(OR(BW$3&lt;$DF51,BW$3&gt;$CW$4),0,
IF(BW$3=$DF51+'Model Setup'!$B$7,SUMIF($BH$3:$CE$3,"="&amp;$DF51+'Model Setup'!$B$7,$AD51:$BA51)+'Model Setup'!$B$8*(SUMIF($BH$3:$CE$3,"&lt;"&amp;$DF51,$AD51:$BA51)+SUMIF($BH$3:$CE$3,"&gt;"&amp;$CW$4,$AD51:$BA51)),
IF(BW$3=$DF51+'Model Setup'!$C$7,SUMIF($BH$3:$CE$3,"="&amp;$DF51+'Model Setup'!$C$7,$AD51:$BA51)+'Model Setup'!$C$8*(SUMIF($BH$3:$CE$3,"&lt;"&amp;$DF51,$AD51:$BA51)+SUMIF($BH$3:$CE$3,"&gt;"&amp;$CW$4,$AD51:$BA51)),
IF(BW$3=$DF51+'Model Setup'!$D$7,SUMIF($BH$3:$CE$3,"="&amp;$DF51+'Model Setup'!$D$7,$AD51:$BA51)+'Model Setup'!$D$8*(SUMIF($BH$3:$CE$3,"&lt;"&amp;$DF51,$AD51:$BA51)+SUMIF($BH$3:$CE$3,"&gt;"&amp;$CW$4,$AD51:$BA51)),
IF(BW$3=$DF51+'Model Setup'!$E$7,SUMIF($BH$3:$CE$3,"="&amp;$DF51+'Model Setup'!$E$7,$AD51:$BA51)+'Model Setup'!$E$8*(SUMIF($BH$3:$CE$3,"&lt;"&amp;$DF51,$AD51:$BA51)+SUMIF($BH$3:$CE$3,"&gt;"&amp;$CW$4,$AD51:$BA51)),
IF(BW$3=$DF51+'Model Setup'!$F$7,SUMIF($BH$3:$CE$3,"="&amp;$DF51+'Model Setup'!$F$7,$AD51:$BA51)+'Model Setup'!$F$8*(SUMIF($BH$3:$CE$3,"&lt;"&amp;$DF51,$AD51:$BA51)+SUMIF($BH$3:$CE$3,"&gt;"&amp;$CW$4,$AD51:$BA51)),
IF(BW$3=$DF51+'Model Setup'!$G$7,SUMIF($BH$3:$CE$3,"="&amp;$DF51+'Model Setup'!$G$7,$AD51:$BA51)+'Model Setup'!$G$8*(SUMIF($BH$3:$CE$3,"&lt;"&amp;$DF51,$AD51:$BA51)+SUMIF($BH$3:$CE$3,"&gt;"&amp;$CW$4,$AD51:$BA51)),
IF(BW$3=$DF51+'Model Setup'!$H$7,SUMIF($BH$3:$CE$3,"="&amp;$DF51+'Model Setup'!$H$7,$AD51:$BA51)+'Model Setup'!$H$8*(SUMIF($BH$3:$CE$3,"&lt;"&amp;$DF51,$AD51:$BA51)+SUMIF($BH$3:$CE$3,"&gt;"&amp;$CW$4,$AD51:$BA51)),
IF(BW$3=$DF51+'Model Setup'!$I$7,SUMIF($BH$3:$CE$3,"="&amp;$DF51+'Model Setup'!$I$7,$AD51:$BA51)+'Model Setup'!$I$8*(SUMIF($BH$3:$CE$3,"&lt;"&amp;$DF51,$AD51:$BA51)+SUMIF($BH$3:$CE$3,"&gt;"&amp;$CW$4,$AD51:$BA51)),
IF(BW$3=$DF51+'Model Setup'!$J$7,SUMIF($BH$3:$CE$3,"="&amp;$DF51+'Model Setup'!$J$7,$AD51:$BA51)+'Model Setup'!$J$8*(SUMIF($BH$3:$CE$3,"&lt;"&amp;$DF51,$AD51:$BA51)+SUMIF($BH$3:$CE$3,"&gt;"&amp;$CW$4,$AD51:$BA51)),
IF(BW$3=$DF51+'Model Setup'!$K$7,SUMIF($BH$3:$CE$3,"="&amp;$DF51+'Model Setup'!$K$7,$AD51:$BA51)+'Model Setup'!$K$8*(SUMIF($BH$3:$CE$3,"&lt;"&amp;$DF51,$AD51:$BA51)+SUMIF($BH$3:$CE$3,"&gt;"&amp;$CW$4,$AD51:$BA51)),
IF(BW$3=$DF51+'Model Setup'!$L$7,SUMIF($BH$3:$CE$3,"="&amp;$DF51+'Model Setup'!$L$7,$AD51:$BA51)+'Model Setup'!$L$8*(SUMIF($BH$3:$CE$3,"&lt;"&amp;$DF51,$AD51:$BA51)+SUMIF($BH$3:$CE$3,"&gt;"&amp;$CW$4,$AD51:$BA51)),
IF(BW$3=$DF51+'Model Setup'!$M$7,SUMIF($BH$3:$CE$3,"="&amp;$DF51+'Model Setup'!$M$7,$AD51:$BA51)+'Model Setup'!$M$8*(SUMIF($BH$3:$CE$3,"&lt;"&amp;$DF51,$AD51:$BA51)+SUMIF($BH$3:$CE$3,"&gt;"&amp;$CW$4,$AD51:$BA51)),
IF(BW$3=$DF51+'Model Setup'!$N$7,SUMIF($BH$3:$CE$3,"="&amp;$DF51+'Model Setup'!$N$7,$AD51:$BA51)+'Model Setup'!$N$8*(SUMIF($BH$3:$CE$3,"&lt;"&amp;$DF51,$AD51:$BA51)+SUMIF($BH$3:$CE$3,"&gt;"&amp;$CW$4,$AD51:$BA51)),
IF(BW$3&lt;$CW$4,Q51,0))))))))))))))),0)</f>
        <v>68</v>
      </c>
      <c r="BX51" s="47">
        <f>ROUND(IF(OR(BX$3&lt;$DF51,BX$3&gt;$CW$4),0,
IF(BX$3=$DF51+'Model Setup'!$B$7,SUMIF($BH$3:$CE$3,"="&amp;$DF51+'Model Setup'!$B$7,$AD51:$BA51)+'Model Setup'!$B$8*(SUMIF($BH$3:$CE$3,"&lt;"&amp;$DF51,$AD51:$BA51)+SUMIF($BH$3:$CE$3,"&gt;"&amp;$CW$4,$AD51:$BA51)),
IF(BX$3=$DF51+'Model Setup'!$C$7,SUMIF($BH$3:$CE$3,"="&amp;$DF51+'Model Setup'!$C$7,$AD51:$BA51)+'Model Setup'!$C$8*(SUMIF($BH$3:$CE$3,"&lt;"&amp;$DF51,$AD51:$BA51)+SUMIF($BH$3:$CE$3,"&gt;"&amp;$CW$4,$AD51:$BA51)),
IF(BX$3=$DF51+'Model Setup'!$D$7,SUMIF($BH$3:$CE$3,"="&amp;$DF51+'Model Setup'!$D$7,$AD51:$BA51)+'Model Setup'!$D$8*(SUMIF($BH$3:$CE$3,"&lt;"&amp;$DF51,$AD51:$BA51)+SUMIF($BH$3:$CE$3,"&gt;"&amp;$CW$4,$AD51:$BA51)),
IF(BX$3=$DF51+'Model Setup'!$E$7,SUMIF($BH$3:$CE$3,"="&amp;$DF51+'Model Setup'!$E$7,$AD51:$BA51)+'Model Setup'!$E$8*(SUMIF($BH$3:$CE$3,"&lt;"&amp;$DF51,$AD51:$BA51)+SUMIF($BH$3:$CE$3,"&gt;"&amp;$CW$4,$AD51:$BA51)),
IF(BX$3=$DF51+'Model Setup'!$F$7,SUMIF($BH$3:$CE$3,"="&amp;$DF51+'Model Setup'!$F$7,$AD51:$BA51)+'Model Setup'!$F$8*(SUMIF($BH$3:$CE$3,"&lt;"&amp;$DF51,$AD51:$BA51)+SUMIF($BH$3:$CE$3,"&gt;"&amp;$CW$4,$AD51:$BA51)),
IF(BX$3=$DF51+'Model Setup'!$G$7,SUMIF($BH$3:$CE$3,"="&amp;$DF51+'Model Setup'!$G$7,$AD51:$BA51)+'Model Setup'!$G$8*(SUMIF($BH$3:$CE$3,"&lt;"&amp;$DF51,$AD51:$BA51)+SUMIF($BH$3:$CE$3,"&gt;"&amp;$CW$4,$AD51:$BA51)),
IF(BX$3=$DF51+'Model Setup'!$H$7,SUMIF($BH$3:$CE$3,"="&amp;$DF51+'Model Setup'!$H$7,$AD51:$BA51)+'Model Setup'!$H$8*(SUMIF($BH$3:$CE$3,"&lt;"&amp;$DF51,$AD51:$BA51)+SUMIF($BH$3:$CE$3,"&gt;"&amp;$CW$4,$AD51:$BA51)),
IF(BX$3=$DF51+'Model Setup'!$I$7,SUMIF($BH$3:$CE$3,"="&amp;$DF51+'Model Setup'!$I$7,$AD51:$BA51)+'Model Setup'!$I$8*(SUMIF($BH$3:$CE$3,"&lt;"&amp;$DF51,$AD51:$BA51)+SUMIF($BH$3:$CE$3,"&gt;"&amp;$CW$4,$AD51:$BA51)),
IF(BX$3=$DF51+'Model Setup'!$J$7,SUMIF($BH$3:$CE$3,"="&amp;$DF51+'Model Setup'!$J$7,$AD51:$BA51)+'Model Setup'!$J$8*(SUMIF($BH$3:$CE$3,"&lt;"&amp;$DF51,$AD51:$BA51)+SUMIF($BH$3:$CE$3,"&gt;"&amp;$CW$4,$AD51:$BA51)),
IF(BX$3=$DF51+'Model Setup'!$K$7,SUMIF($BH$3:$CE$3,"="&amp;$DF51+'Model Setup'!$K$7,$AD51:$BA51)+'Model Setup'!$K$8*(SUMIF($BH$3:$CE$3,"&lt;"&amp;$DF51,$AD51:$BA51)+SUMIF($BH$3:$CE$3,"&gt;"&amp;$CW$4,$AD51:$BA51)),
IF(BX$3=$DF51+'Model Setup'!$L$7,SUMIF($BH$3:$CE$3,"="&amp;$DF51+'Model Setup'!$L$7,$AD51:$BA51)+'Model Setup'!$L$8*(SUMIF($BH$3:$CE$3,"&lt;"&amp;$DF51,$AD51:$BA51)+SUMIF($BH$3:$CE$3,"&gt;"&amp;$CW$4,$AD51:$BA51)),
IF(BX$3=$DF51+'Model Setup'!$M$7,SUMIF($BH$3:$CE$3,"="&amp;$DF51+'Model Setup'!$M$7,$AD51:$BA51)+'Model Setup'!$M$8*(SUMIF($BH$3:$CE$3,"&lt;"&amp;$DF51,$AD51:$BA51)+SUMIF($BH$3:$CE$3,"&gt;"&amp;$CW$4,$AD51:$BA51)),
IF(BX$3=$DF51+'Model Setup'!$N$7,SUMIF($BH$3:$CE$3,"="&amp;$DF51+'Model Setup'!$N$7,$AD51:$BA51)+'Model Setup'!$N$8*(SUMIF($BH$3:$CE$3,"&lt;"&amp;$DF51,$AD51:$BA51)+SUMIF($BH$3:$CE$3,"&gt;"&amp;$CW$4,$AD51:$BA51)),
IF(BX$3&lt;$CW$4,R51,0))))))))))))))),0)</f>
        <v>77</v>
      </c>
      <c r="BY51" s="47">
        <f>ROUND(IF(OR(BY$3&lt;$DF51,BY$3&gt;$CW$4),0,
IF(BY$3=$DF51+'Model Setup'!$B$7,SUMIF($BH$3:$CE$3,"="&amp;$DF51+'Model Setup'!$B$7,$AD51:$BA51)+'Model Setup'!$B$8*(SUMIF($BH$3:$CE$3,"&lt;"&amp;$DF51,$AD51:$BA51)+SUMIF($BH$3:$CE$3,"&gt;"&amp;$CW$4,$AD51:$BA51)),
IF(BY$3=$DF51+'Model Setup'!$C$7,SUMIF($BH$3:$CE$3,"="&amp;$DF51+'Model Setup'!$C$7,$AD51:$BA51)+'Model Setup'!$C$8*(SUMIF($BH$3:$CE$3,"&lt;"&amp;$DF51,$AD51:$BA51)+SUMIF($BH$3:$CE$3,"&gt;"&amp;$CW$4,$AD51:$BA51)),
IF(BY$3=$DF51+'Model Setup'!$D$7,SUMIF($BH$3:$CE$3,"="&amp;$DF51+'Model Setup'!$D$7,$AD51:$BA51)+'Model Setup'!$D$8*(SUMIF($BH$3:$CE$3,"&lt;"&amp;$DF51,$AD51:$BA51)+SUMIF($BH$3:$CE$3,"&gt;"&amp;$CW$4,$AD51:$BA51)),
IF(BY$3=$DF51+'Model Setup'!$E$7,SUMIF($BH$3:$CE$3,"="&amp;$DF51+'Model Setup'!$E$7,$AD51:$BA51)+'Model Setup'!$E$8*(SUMIF($BH$3:$CE$3,"&lt;"&amp;$DF51,$AD51:$BA51)+SUMIF($BH$3:$CE$3,"&gt;"&amp;$CW$4,$AD51:$BA51)),
IF(BY$3=$DF51+'Model Setup'!$F$7,SUMIF($BH$3:$CE$3,"="&amp;$DF51+'Model Setup'!$F$7,$AD51:$BA51)+'Model Setup'!$F$8*(SUMIF($BH$3:$CE$3,"&lt;"&amp;$DF51,$AD51:$BA51)+SUMIF($BH$3:$CE$3,"&gt;"&amp;$CW$4,$AD51:$BA51)),
IF(BY$3=$DF51+'Model Setup'!$G$7,SUMIF($BH$3:$CE$3,"="&amp;$DF51+'Model Setup'!$G$7,$AD51:$BA51)+'Model Setup'!$G$8*(SUMIF($BH$3:$CE$3,"&lt;"&amp;$DF51,$AD51:$BA51)+SUMIF($BH$3:$CE$3,"&gt;"&amp;$CW$4,$AD51:$BA51)),
IF(BY$3=$DF51+'Model Setup'!$H$7,SUMIF($BH$3:$CE$3,"="&amp;$DF51+'Model Setup'!$H$7,$AD51:$BA51)+'Model Setup'!$H$8*(SUMIF($BH$3:$CE$3,"&lt;"&amp;$DF51,$AD51:$BA51)+SUMIF($BH$3:$CE$3,"&gt;"&amp;$CW$4,$AD51:$BA51)),
IF(BY$3=$DF51+'Model Setup'!$I$7,SUMIF($BH$3:$CE$3,"="&amp;$DF51+'Model Setup'!$I$7,$AD51:$BA51)+'Model Setup'!$I$8*(SUMIF($BH$3:$CE$3,"&lt;"&amp;$DF51,$AD51:$BA51)+SUMIF($BH$3:$CE$3,"&gt;"&amp;$CW$4,$AD51:$BA51)),
IF(BY$3=$DF51+'Model Setup'!$J$7,SUMIF($BH$3:$CE$3,"="&amp;$DF51+'Model Setup'!$J$7,$AD51:$BA51)+'Model Setup'!$J$8*(SUMIF($BH$3:$CE$3,"&lt;"&amp;$DF51,$AD51:$BA51)+SUMIF($BH$3:$CE$3,"&gt;"&amp;$CW$4,$AD51:$BA51)),
IF(BY$3=$DF51+'Model Setup'!$K$7,SUMIF($BH$3:$CE$3,"="&amp;$DF51+'Model Setup'!$K$7,$AD51:$BA51)+'Model Setup'!$K$8*(SUMIF($BH$3:$CE$3,"&lt;"&amp;$DF51,$AD51:$BA51)+SUMIF($BH$3:$CE$3,"&gt;"&amp;$CW$4,$AD51:$BA51)),
IF(BY$3=$DF51+'Model Setup'!$L$7,SUMIF($BH$3:$CE$3,"="&amp;$DF51+'Model Setup'!$L$7,$AD51:$BA51)+'Model Setup'!$L$8*(SUMIF($BH$3:$CE$3,"&lt;"&amp;$DF51,$AD51:$BA51)+SUMIF($BH$3:$CE$3,"&gt;"&amp;$CW$4,$AD51:$BA51)),
IF(BY$3=$DF51+'Model Setup'!$M$7,SUMIF($BH$3:$CE$3,"="&amp;$DF51+'Model Setup'!$M$7,$AD51:$BA51)+'Model Setup'!$M$8*(SUMIF($BH$3:$CE$3,"&lt;"&amp;$DF51,$AD51:$BA51)+SUMIF($BH$3:$CE$3,"&gt;"&amp;$CW$4,$AD51:$BA51)),
IF(BY$3=$DF51+'Model Setup'!$N$7,SUMIF($BH$3:$CE$3,"="&amp;$DF51+'Model Setup'!$N$7,$AD51:$BA51)+'Model Setup'!$N$8*(SUMIF($BH$3:$CE$3,"&lt;"&amp;$DF51,$AD51:$BA51)+SUMIF($BH$3:$CE$3,"&gt;"&amp;$CW$4,$AD51:$BA51)),
IF(BY$3&lt;$CW$4,S51,0))))))))))))))),0)</f>
        <v>59</v>
      </c>
      <c r="BZ51" s="47">
        <f>ROUND(IF(OR(BZ$3&lt;$DF51,BZ$3&gt;$CW$4),0,
IF(BZ$3=$DF51+'Model Setup'!$B$7,SUMIF($BH$3:$CE$3,"="&amp;$DF51+'Model Setup'!$B$7,$AD51:$BA51)+'Model Setup'!$B$8*(SUMIF($BH$3:$CE$3,"&lt;"&amp;$DF51,$AD51:$BA51)+SUMIF($BH$3:$CE$3,"&gt;"&amp;$CW$4,$AD51:$BA51)),
IF(BZ$3=$DF51+'Model Setup'!$C$7,SUMIF($BH$3:$CE$3,"="&amp;$DF51+'Model Setup'!$C$7,$AD51:$BA51)+'Model Setup'!$C$8*(SUMIF($BH$3:$CE$3,"&lt;"&amp;$DF51,$AD51:$BA51)+SUMIF($BH$3:$CE$3,"&gt;"&amp;$CW$4,$AD51:$BA51)),
IF(BZ$3=$DF51+'Model Setup'!$D$7,SUMIF($BH$3:$CE$3,"="&amp;$DF51+'Model Setup'!$D$7,$AD51:$BA51)+'Model Setup'!$D$8*(SUMIF($BH$3:$CE$3,"&lt;"&amp;$DF51,$AD51:$BA51)+SUMIF($BH$3:$CE$3,"&gt;"&amp;$CW$4,$AD51:$BA51)),
IF(BZ$3=$DF51+'Model Setup'!$E$7,SUMIF($BH$3:$CE$3,"="&amp;$DF51+'Model Setup'!$E$7,$AD51:$BA51)+'Model Setup'!$E$8*(SUMIF($BH$3:$CE$3,"&lt;"&amp;$DF51,$AD51:$BA51)+SUMIF($BH$3:$CE$3,"&gt;"&amp;$CW$4,$AD51:$BA51)),
IF(BZ$3=$DF51+'Model Setup'!$F$7,SUMIF($BH$3:$CE$3,"="&amp;$DF51+'Model Setup'!$F$7,$AD51:$BA51)+'Model Setup'!$F$8*(SUMIF($BH$3:$CE$3,"&lt;"&amp;$DF51,$AD51:$BA51)+SUMIF($BH$3:$CE$3,"&gt;"&amp;$CW$4,$AD51:$BA51)),
IF(BZ$3=$DF51+'Model Setup'!$G$7,SUMIF($BH$3:$CE$3,"="&amp;$DF51+'Model Setup'!$G$7,$AD51:$BA51)+'Model Setup'!$G$8*(SUMIF($BH$3:$CE$3,"&lt;"&amp;$DF51,$AD51:$BA51)+SUMIF($BH$3:$CE$3,"&gt;"&amp;$CW$4,$AD51:$BA51)),
IF(BZ$3=$DF51+'Model Setup'!$H$7,SUMIF($BH$3:$CE$3,"="&amp;$DF51+'Model Setup'!$H$7,$AD51:$BA51)+'Model Setup'!$H$8*(SUMIF($BH$3:$CE$3,"&lt;"&amp;$DF51,$AD51:$BA51)+SUMIF($BH$3:$CE$3,"&gt;"&amp;$CW$4,$AD51:$BA51)),
IF(BZ$3=$DF51+'Model Setup'!$I$7,SUMIF($BH$3:$CE$3,"="&amp;$DF51+'Model Setup'!$I$7,$AD51:$BA51)+'Model Setup'!$I$8*(SUMIF($BH$3:$CE$3,"&lt;"&amp;$DF51,$AD51:$BA51)+SUMIF($BH$3:$CE$3,"&gt;"&amp;$CW$4,$AD51:$BA51)),
IF(BZ$3=$DF51+'Model Setup'!$J$7,SUMIF($BH$3:$CE$3,"="&amp;$DF51+'Model Setup'!$J$7,$AD51:$BA51)+'Model Setup'!$J$8*(SUMIF($BH$3:$CE$3,"&lt;"&amp;$DF51,$AD51:$BA51)+SUMIF($BH$3:$CE$3,"&gt;"&amp;$CW$4,$AD51:$BA51)),
IF(BZ$3=$DF51+'Model Setup'!$K$7,SUMIF($BH$3:$CE$3,"="&amp;$DF51+'Model Setup'!$K$7,$AD51:$BA51)+'Model Setup'!$K$8*(SUMIF($BH$3:$CE$3,"&lt;"&amp;$DF51,$AD51:$BA51)+SUMIF($BH$3:$CE$3,"&gt;"&amp;$CW$4,$AD51:$BA51)),
IF(BZ$3=$DF51+'Model Setup'!$L$7,SUMIF($BH$3:$CE$3,"="&amp;$DF51+'Model Setup'!$L$7,$AD51:$BA51)+'Model Setup'!$L$8*(SUMIF($BH$3:$CE$3,"&lt;"&amp;$DF51,$AD51:$BA51)+SUMIF($BH$3:$CE$3,"&gt;"&amp;$CW$4,$AD51:$BA51)),
IF(BZ$3=$DF51+'Model Setup'!$M$7,SUMIF($BH$3:$CE$3,"="&amp;$DF51+'Model Setup'!$M$7,$AD51:$BA51)+'Model Setup'!$M$8*(SUMIF($BH$3:$CE$3,"&lt;"&amp;$DF51,$AD51:$BA51)+SUMIF($BH$3:$CE$3,"&gt;"&amp;$CW$4,$AD51:$BA51)),
IF(BZ$3=$DF51+'Model Setup'!$N$7,SUMIF($BH$3:$CE$3,"="&amp;$DF51+'Model Setup'!$N$7,$AD51:$BA51)+'Model Setup'!$N$8*(SUMIF($BH$3:$CE$3,"&lt;"&amp;$DF51,$AD51:$BA51)+SUMIF($BH$3:$CE$3,"&gt;"&amp;$CW$4,$AD51:$BA51)),
IF(BZ$3&lt;$CW$4,T51,0))))))))))))))),0)</f>
        <v>0</v>
      </c>
      <c r="CA51" s="47">
        <f>ROUND(IF(OR(CA$3&lt;$DF51,CA$3&gt;$CW$4),0,
IF(CA$3=$DF51+'Model Setup'!$B$7,SUMIF($BH$3:$CE$3,"="&amp;$DF51+'Model Setup'!$B$7,$AD51:$BA51)+'Model Setup'!$B$8*(SUMIF($BH$3:$CE$3,"&lt;"&amp;$DF51,$AD51:$BA51)+SUMIF($BH$3:$CE$3,"&gt;"&amp;$CW$4,$AD51:$BA51)),
IF(CA$3=$DF51+'Model Setup'!$C$7,SUMIF($BH$3:$CE$3,"="&amp;$DF51+'Model Setup'!$C$7,$AD51:$BA51)+'Model Setup'!$C$8*(SUMIF($BH$3:$CE$3,"&lt;"&amp;$DF51,$AD51:$BA51)+SUMIF($BH$3:$CE$3,"&gt;"&amp;$CW$4,$AD51:$BA51)),
IF(CA$3=$DF51+'Model Setup'!$D$7,SUMIF($BH$3:$CE$3,"="&amp;$DF51+'Model Setup'!$D$7,$AD51:$BA51)+'Model Setup'!$D$8*(SUMIF($BH$3:$CE$3,"&lt;"&amp;$DF51,$AD51:$BA51)+SUMIF($BH$3:$CE$3,"&gt;"&amp;$CW$4,$AD51:$BA51)),
IF(CA$3=$DF51+'Model Setup'!$E$7,SUMIF($BH$3:$CE$3,"="&amp;$DF51+'Model Setup'!$E$7,$AD51:$BA51)+'Model Setup'!$E$8*(SUMIF($BH$3:$CE$3,"&lt;"&amp;$DF51,$AD51:$BA51)+SUMIF($BH$3:$CE$3,"&gt;"&amp;$CW$4,$AD51:$BA51)),
IF(CA$3=$DF51+'Model Setup'!$F$7,SUMIF($BH$3:$CE$3,"="&amp;$DF51+'Model Setup'!$F$7,$AD51:$BA51)+'Model Setup'!$F$8*(SUMIF($BH$3:$CE$3,"&lt;"&amp;$DF51,$AD51:$BA51)+SUMIF($BH$3:$CE$3,"&gt;"&amp;$CW$4,$AD51:$BA51)),
IF(CA$3=$DF51+'Model Setup'!$G$7,SUMIF($BH$3:$CE$3,"="&amp;$DF51+'Model Setup'!$G$7,$AD51:$BA51)+'Model Setup'!$G$8*(SUMIF($BH$3:$CE$3,"&lt;"&amp;$DF51,$AD51:$BA51)+SUMIF($BH$3:$CE$3,"&gt;"&amp;$CW$4,$AD51:$BA51)),
IF(CA$3=$DF51+'Model Setup'!$H$7,SUMIF($BH$3:$CE$3,"="&amp;$DF51+'Model Setup'!$H$7,$AD51:$BA51)+'Model Setup'!$H$8*(SUMIF($BH$3:$CE$3,"&lt;"&amp;$DF51,$AD51:$BA51)+SUMIF($BH$3:$CE$3,"&gt;"&amp;$CW$4,$AD51:$BA51)),
IF(CA$3=$DF51+'Model Setup'!$I$7,SUMIF($BH$3:$CE$3,"="&amp;$DF51+'Model Setup'!$I$7,$AD51:$BA51)+'Model Setup'!$I$8*(SUMIF($BH$3:$CE$3,"&lt;"&amp;$DF51,$AD51:$BA51)+SUMIF($BH$3:$CE$3,"&gt;"&amp;$CW$4,$AD51:$BA51)),
IF(CA$3=$DF51+'Model Setup'!$J$7,SUMIF($BH$3:$CE$3,"="&amp;$DF51+'Model Setup'!$J$7,$AD51:$BA51)+'Model Setup'!$J$8*(SUMIF($BH$3:$CE$3,"&lt;"&amp;$DF51,$AD51:$BA51)+SUMIF($BH$3:$CE$3,"&gt;"&amp;$CW$4,$AD51:$BA51)),
IF(CA$3=$DF51+'Model Setup'!$K$7,SUMIF($BH$3:$CE$3,"="&amp;$DF51+'Model Setup'!$K$7,$AD51:$BA51)+'Model Setup'!$K$8*(SUMIF($BH$3:$CE$3,"&lt;"&amp;$DF51,$AD51:$BA51)+SUMIF($BH$3:$CE$3,"&gt;"&amp;$CW$4,$AD51:$BA51)),
IF(CA$3=$DF51+'Model Setup'!$L$7,SUMIF($BH$3:$CE$3,"="&amp;$DF51+'Model Setup'!$L$7,$AD51:$BA51)+'Model Setup'!$L$8*(SUMIF($BH$3:$CE$3,"&lt;"&amp;$DF51,$AD51:$BA51)+SUMIF($BH$3:$CE$3,"&gt;"&amp;$CW$4,$AD51:$BA51)),
IF(CA$3=$DF51+'Model Setup'!$M$7,SUMIF($BH$3:$CE$3,"="&amp;$DF51+'Model Setup'!$M$7,$AD51:$BA51)+'Model Setup'!$M$8*(SUMIF($BH$3:$CE$3,"&lt;"&amp;$DF51,$AD51:$BA51)+SUMIF($BH$3:$CE$3,"&gt;"&amp;$CW$4,$AD51:$BA51)),
IF(CA$3=$DF51+'Model Setup'!$N$7,SUMIF($BH$3:$CE$3,"="&amp;$DF51+'Model Setup'!$N$7,$AD51:$BA51)+'Model Setup'!$N$8*(SUMIF($BH$3:$CE$3,"&lt;"&amp;$DF51,$AD51:$BA51)+SUMIF($BH$3:$CE$3,"&gt;"&amp;$CW$4,$AD51:$BA51)),
IF(CA$3&lt;$CW$4,U51,0))))))))))))))),0)</f>
        <v>0</v>
      </c>
      <c r="CB51" s="47">
        <f>ROUND(IF(OR(CB$3&lt;$DF51,CB$3&gt;$CW$4),0,
IF(CB$3=$DF51+'Model Setup'!$B$7,SUMIF($BH$3:$CE$3,"="&amp;$DF51+'Model Setup'!$B$7,$AD51:$BA51)+'Model Setup'!$B$8*(SUMIF($BH$3:$CE$3,"&lt;"&amp;$DF51,$AD51:$BA51)+SUMIF($BH$3:$CE$3,"&gt;"&amp;$CW$4,$AD51:$BA51)),
IF(CB$3=$DF51+'Model Setup'!$C$7,SUMIF($BH$3:$CE$3,"="&amp;$DF51+'Model Setup'!$C$7,$AD51:$BA51)+'Model Setup'!$C$8*(SUMIF($BH$3:$CE$3,"&lt;"&amp;$DF51,$AD51:$BA51)+SUMIF($BH$3:$CE$3,"&gt;"&amp;$CW$4,$AD51:$BA51)),
IF(CB$3=$DF51+'Model Setup'!$D$7,SUMIF($BH$3:$CE$3,"="&amp;$DF51+'Model Setup'!$D$7,$AD51:$BA51)+'Model Setup'!$D$8*(SUMIF($BH$3:$CE$3,"&lt;"&amp;$DF51,$AD51:$BA51)+SUMIF($BH$3:$CE$3,"&gt;"&amp;$CW$4,$AD51:$BA51)),
IF(CB$3=$DF51+'Model Setup'!$E$7,SUMIF($BH$3:$CE$3,"="&amp;$DF51+'Model Setup'!$E$7,$AD51:$BA51)+'Model Setup'!$E$8*(SUMIF($BH$3:$CE$3,"&lt;"&amp;$DF51,$AD51:$BA51)+SUMIF($BH$3:$CE$3,"&gt;"&amp;$CW$4,$AD51:$BA51)),
IF(CB$3=$DF51+'Model Setup'!$F$7,SUMIF($BH$3:$CE$3,"="&amp;$DF51+'Model Setup'!$F$7,$AD51:$BA51)+'Model Setup'!$F$8*(SUMIF($BH$3:$CE$3,"&lt;"&amp;$DF51,$AD51:$BA51)+SUMIF($BH$3:$CE$3,"&gt;"&amp;$CW$4,$AD51:$BA51)),
IF(CB$3=$DF51+'Model Setup'!$G$7,SUMIF($BH$3:$CE$3,"="&amp;$DF51+'Model Setup'!$G$7,$AD51:$BA51)+'Model Setup'!$G$8*(SUMIF($BH$3:$CE$3,"&lt;"&amp;$DF51,$AD51:$BA51)+SUMIF($BH$3:$CE$3,"&gt;"&amp;$CW$4,$AD51:$BA51)),
IF(CB$3=$DF51+'Model Setup'!$H$7,SUMIF($BH$3:$CE$3,"="&amp;$DF51+'Model Setup'!$H$7,$AD51:$BA51)+'Model Setup'!$H$8*(SUMIF($BH$3:$CE$3,"&lt;"&amp;$DF51,$AD51:$BA51)+SUMIF($BH$3:$CE$3,"&gt;"&amp;$CW$4,$AD51:$BA51)),
IF(CB$3=$DF51+'Model Setup'!$I$7,SUMIF($BH$3:$CE$3,"="&amp;$DF51+'Model Setup'!$I$7,$AD51:$BA51)+'Model Setup'!$I$8*(SUMIF($BH$3:$CE$3,"&lt;"&amp;$DF51,$AD51:$BA51)+SUMIF($BH$3:$CE$3,"&gt;"&amp;$CW$4,$AD51:$BA51)),
IF(CB$3=$DF51+'Model Setup'!$J$7,SUMIF($BH$3:$CE$3,"="&amp;$DF51+'Model Setup'!$J$7,$AD51:$BA51)+'Model Setup'!$J$8*(SUMIF($BH$3:$CE$3,"&lt;"&amp;$DF51,$AD51:$BA51)+SUMIF($BH$3:$CE$3,"&gt;"&amp;$CW$4,$AD51:$BA51)),
IF(CB$3=$DF51+'Model Setup'!$K$7,SUMIF($BH$3:$CE$3,"="&amp;$DF51+'Model Setup'!$K$7,$AD51:$BA51)+'Model Setup'!$K$8*(SUMIF($BH$3:$CE$3,"&lt;"&amp;$DF51,$AD51:$BA51)+SUMIF($BH$3:$CE$3,"&gt;"&amp;$CW$4,$AD51:$BA51)),
IF(CB$3=$DF51+'Model Setup'!$L$7,SUMIF($BH$3:$CE$3,"="&amp;$DF51+'Model Setup'!$L$7,$AD51:$BA51)+'Model Setup'!$L$8*(SUMIF($BH$3:$CE$3,"&lt;"&amp;$DF51,$AD51:$BA51)+SUMIF($BH$3:$CE$3,"&gt;"&amp;$CW$4,$AD51:$BA51)),
IF(CB$3=$DF51+'Model Setup'!$M$7,SUMIF($BH$3:$CE$3,"="&amp;$DF51+'Model Setup'!$M$7,$AD51:$BA51)+'Model Setup'!$M$8*(SUMIF($BH$3:$CE$3,"&lt;"&amp;$DF51,$AD51:$BA51)+SUMIF($BH$3:$CE$3,"&gt;"&amp;$CW$4,$AD51:$BA51)),
IF(CB$3=$DF51+'Model Setup'!$N$7,SUMIF($BH$3:$CE$3,"="&amp;$DF51+'Model Setup'!$N$7,$AD51:$BA51)+'Model Setup'!$N$8*(SUMIF($BH$3:$CE$3,"&lt;"&amp;$DF51,$AD51:$BA51)+SUMIF($BH$3:$CE$3,"&gt;"&amp;$CW$4,$AD51:$BA51)),
IF(CB$3&lt;$CW$4,V51,0))))))))))))))),0)</f>
        <v>0</v>
      </c>
      <c r="CC51" s="47">
        <f>ROUND(IF(OR(CC$3&lt;$DF51,CC$3&gt;$CW$4),0,
IF(CC$3=$DF51+'Model Setup'!$B$7,SUMIF($BH$3:$CE$3,"="&amp;$DF51+'Model Setup'!$B$7,$AD51:$BA51)+'Model Setup'!$B$8*(SUMIF($BH$3:$CE$3,"&lt;"&amp;$DF51,$AD51:$BA51)+SUMIF($BH$3:$CE$3,"&gt;"&amp;$CW$4,$AD51:$BA51)),
IF(CC$3=$DF51+'Model Setup'!$C$7,SUMIF($BH$3:$CE$3,"="&amp;$DF51+'Model Setup'!$C$7,$AD51:$BA51)+'Model Setup'!$C$8*(SUMIF($BH$3:$CE$3,"&lt;"&amp;$DF51,$AD51:$BA51)+SUMIF($BH$3:$CE$3,"&gt;"&amp;$CW$4,$AD51:$BA51)),
IF(CC$3=$DF51+'Model Setup'!$D$7,SUMIF($BH$3:$CE$3,"="&amp;$DF51+'Model Setup'!$D$7,$AD51:$BA51)+'Model Setup'!$D$8*(SUMIF($BH$3:$CE$3,"&lt;"&amp;$DF51,$AD51:$BA51)+SUMIF($BH$3:$CE$3,"&gt;"&amp;$CW$4,$AD51:$BA51)),
IF(CC$3=$DF51+'Model Setup'!$E$7,SUMIF($BH$3:$CE$3,"="&amp;$DF51+'Model Setup'!$E$7,$AD51:$BA51)+'Model Setup'!$E$8*(SUMIF($BH$3:$CE$3,"&lt;"&amp;$DF51,$AD51:$BA51)+SUMIF($BH$3:$CE$3,"&gt;"&amp;$CW$4,$AD51:$BA51)),
IF(CC$3=$DF51+'Model Setup'!$F$7,SUMIF($BH$3:$CE$3,"="&amp;$DF51+'Model Setup'!$F$7,$AD51:$BA51)+'Model Setup'!$F$8*(SUMIF($BH$3:$CE$3,"&lt;"&amp;$DF51,$AD51:$BA51)+SUMIF($BH$3:$CE$3,"&gt;"&amp;$CW$4,$AD51:$BA51)),
IF(CC$3=$DF51+'Model Setup'!$G$7,SUMIF($BH$3:$CE$3,"="&amp;$DF51+'Model Setup'!$G$7,$AD51:$BA51)+'Model Setup'!$G$8*(SUMIF($BH$3:$CE$3,"&lt;"&amp;$DF51,$AD51:$BA51)+SUMIF($BH$3:$CE$3,"&gt;"&amp;$CW$4,$AD51:$BA51)),
IF(CC$3=$DF51+'Model Setup'!$H$7,SUMIF($BH$3:$CE$3,"="&amp;$DF51+'Model Setup'!$H$7,$AD51:$BA51)+'Model Setup'!$H$8*(SUMIF($BH$3:$CE$3,"&lt;"&amp;$DF51,$AD51:$BA51)+SUMIF($BH$3:$CE$3,"&gt;"&amp;$CW$4,$AD51:$BA51)),
IF(CC$3=$DF51+'Model Setup'!$I$7,SUMIF($BH$3:$CE$3,"="&amp;$DF51+'Model Setup'!$I$7,$AD51:$BA51)+'Model Setup'!$I$8*(SUMIF($BH$3:$CE$3,"&lt;"&amp;$DF51,$AD51:$BA51)+SUMIF($BH$3:$CE$3,"&gt;"&amp;$CW$4,$AD51:$BA51)),
IF(CC$3=$DF51+'Model Setup'!$J$7,SUMIF($BH$3:$CE$3,"="&amp;$DF51+'Model Setup'!$J$7,$AD51:$BA51)+'Model Setup'!$J$8*(SUMIF($BH$3:$CE$3,"&lt;"&amp;$DF51,$AD51:$BA51)+SUMIF($BH$3:$CE$3,"&gt;"&amp;$CW$4,$AD51:$BA51)),
IF(CC$3=$DF51+'Model Setup'!$K$7,SUMIF($BH$3:$CE$3,"="&amp;$DF51+'Model Setup'!$K$7,$AD51:$BA51)+'Model Setup'!$K$8*(SUMIF($BH$3:$CE$3,"&lt;"&amp;$DF51,$AD51:$BA51)+SUMIF($BH$3:$CE$3,"&gt;"&amp;$CW$4,$AD51:$BA51)),
IF(CC$3=$DF51+'Model Setup'!$L$7,SUMIF($BH$3:$CE$3,"="&amp;$DF51+'Model Setup'!$L$7,$AD51:$BA51)+'Model Setup'!$L$8*(SUMIF($BH$3:$CE$3,"&lt;"&amp;$DF51,$AD51:$BA51)+SUMIF($BH$3:$CE$3,"&gt;"&amp;$CW$4,$AD51:$BA51)),
IF(CC$3=$DF51+'Model Setup'!$M$7,SUMIF($BH$3:$CE$3,"="&amp;$DF51+'Model Setup'!$M$7,$AD51:$BA51)+'Model Setup'!$M$8*(SUMIF($BH$3:$CE$3,"&lt;"&amp;$DF51,$AD51:$BA51)+SUMIF($BH$3:$CE$3,"&gt;"&amp;$CW$4,$AD51:$BA51)),
IF(CC$3=$DF51+'Model Setup'!$N$7,SUMIF($BH$3:$CE$3,"="&amp;$DF51+'Model Setup'!$N$7,$AD51:$BA51)+'Model Setup'!$N$8*(SUMIF($BH$3:$CE$3,"&lt;"&amp;$DF51,$AD51:$BA51)+SUMIF($BH$3:$CE$3,"&gt;"&amp;$CW$4,$AD51:$BA51)),
IF(CC$3&lt;$CW$4,W51,0))))))))))))))),0)</f>
        <v>0</v>
      </c>
      <c r="CD51" s="47">
        <f>ROUND(IF(OR(CD$3&lt;$DF51,CD$3&gt;$CW$4),0,
IF(CD$3=$DF51+'Model Setup'!$B$7,SUMIF($BH$3:$CE$3,"="&amp;$DF51+'Model Setup'!$B$7,$AD51:$BA51)+'Model Setup'!$B$8*(SUMIF($BH$3:$CE$3,"&lt;"&amp;$DF51,$AD51:$BA51)+SUMIF($BH$3:$CE$3,"&gt;"&amp;$CW$4,$AD51:$BA51)),
IF(CD$3=$DF51+'Model Setup'!$C$7,SUMIF($BH$3:$CE$3,"="&amp;$DF51+'Model Setup'!$C$7,$AD51:$BA51)+'Model Setup'!$C$8*(SUMIF($BH$3:$CE$3,"&lt;"&amp;$DF51,$AD51:$BA51)+SUMIF($BH$3:$CE$3,"&gt;"&amp;$CW$4,$AD51:$BA51)),
IF(CD$3=$DF51+'Model Setup'!$D$7,SUMIF($BH$3:$CE$3,"="&amp;$DF51+'Model Setup'!$D$7,$AD51:$BA51)+'Model Setup'!$D$8*(SUMIF($BH$3:$CE$3,"&lt;"&amp;$DF51,$AD51:$BA51)+SUMIF($BH$3:$CE$3,"&gt;"&amp;$CW$4,$AD51:$BA51)),
IF(CD$3=$DF51+'Model Setup'!$E$7,SUMIF($BH$3:$CE$3,"="&amp;$DF51+'Model Setup'!$E$7,$AD51:$BA51)+'Model Setup'!$E$8*(SUMIF($BH$3:$CE$3,"&lt;"&amp;$DF51,$AD51:$BA51)+SUMIF($BH$3:$CE$3,"&gt;"&amp;$CW$4,$AD51:$BA51)),
IF(CD$3=$DF51+'Model Setup'!$F$7,SUMIF($BH$3:$CE$3,"="&amp;$DF51+'Model Setup'!$F$7,$AD51:$BA51)+'Model Setup'!$F$8*(SUMIF($BH$3:$CE$3,"&lt;"&amp;$DF51,$AD51:$BA51)+SUMIF($BH$3:$CE$3,"&gt;"&amp;$CW$4,$AD51:$BA51)),
IF(CD$3=$DF51+'Model Setup'!$G$7,SUMIF($BH$3:$CE$3,"="&amp;$DF51+'Model Setup'!$G$7,$AD51:$BA51)+'Model Setup'!$G$8*(SUMIF($BH$3:$CE$3,"&lt;"&amp;$DF51,$AD51:$BA51)+SUMIF($BH$3:$CE$3,"&gt;"&amp;$CW$4,$AD51:$BA51)),
IF(CD$3=$DF51+'Model Setup'!$H$7,SUMIF($BH$3:$CE$3,"="&amp;$DF51+'Model Setup'!$H$7,$AD51:$BA51)+'Model Setup'!$H$8*(SUMIF($BH$3:$CE$3,"&lt;"&amp;$DF51,$AD51:$BA51)+SUMIF($BH$3:$CE$3,"&gt;"&amp;$CW$4,$AD51:$BA51)),
IF(CD$3=$DF51+'Model Setup'!$I$7,SUMIF($BH$3:$CE$3,"="&amp;$DF51+'Model Setup'!$I$7,$AD51:$BA51)+'Model Setup'!$I$8*(SUMIF($BH$3:$CE$3,"&lt;"&amp;$DF51,$AD51:$BA51)+SUMIF($BH$3:$CE$3,"&gt;"&amp;$CW$4,$AD51:$BA51)),
IF(CD$3=$DF51+'Model Setup'!$J$7,SUMIF($BH$3:$CE$3,"="&amp;$DF51+'Model Setup'!$J$7,$AD51:$BA51)+'Model Setup'!$J$8*(SUMIF($BH$3:$CE$3,"&lt;"&amp;$DF51,$AD51:$BA51)+SUMIF($BH$3:$CE$3,"&gt;"&amp;$CW$4,$AD51:$BA51)),
IF(CD$3=$DF51+'Model Setup'!$K$7,SUMIF($BH$3:$CE$3,"="&amp;$DF51+'Model Setup'!$K$7,$AD51:$BA51)+'Model Setup'!$K$8*(SUMIF($BH$3:$CE$3,"&lt;"&amp;$DF51,$AD51:$BA51)+SUMIF($BH$3:$CE$3,"&gt;"&amp;$CW$4,$AD51:$BA51)),
IF(CD$3=$DF51+'Model Setup'!$L$7,SUMIF($BH$3:$CE$3,"="&amp;$DF51+'Model Setup'!$L$7,$AD51:$BA51)+'Model Setup'!$L$8*(SUMIF($BH$3:$CE$3,"&lt;"&amp;$DF51,$AD51:$BA51)+SUMIF($BH$3:$CE$3,"&gt;"&amp;$CW$4,$AD51:$BA51)),
IF(CD$3=$DF51+'Model Setup'!$M$7,SUMIF($BH$3:$CE$3,"="&amp;$DF51+'Model Setup'!$M$7,$AD51:$BA51)+'Model Setup'!$M$8*(SUMIF($BH$3:$CE$3,"&lt;"&amp;$DF51,$AD51:$BA51)+SUMIF($BH$3:$CE$3,"&gt;"&amp;$CW$4,$AD51:$BA51)),
IF(CD$3=$DF51+'Model Setup'!$N$7,SUMIF($BH$3:$CE$3,"="&amp;$DF51+'Model Setup'!$N$7,$AD51:$BA51)+'Model Setup'!$N$8*(SUMIF($BH$3:$CE$3,"&lt;"&amp;$DF51,$AD51:$BA51)+SUMIF($BH$3:$CE$3,"&gt;"&amp;$CW$4,$AD51:$BA51)),
IF(CD$3&lt;$CW$4,X51,0))))))))))))))),0)</f>
        <v>0</v>
      </c>
      <c r="CE51" s="47">
        <f>ROUND(IF(OR(CE$3&lt;$DF51,CE$3&gt;$CW$4),0,
IF(CE$3=$DF51+'Model Setup'!$B$7,SUMIF($BH$3:$CE$3,"="&amp;$DF51+'Model Setup'!$B$7,$AD51:$BA51)+'Model Setup'!$B$8*(SUMIF($BH$3:$CE$3,"&lt;"&amp;$DF51,$AD51:$BA51)+SUMIF($BH$3:$CE$3,"&gt;"&amp;$CW$4,$AD51:$BA51)),
IF(CE$3=$DF51+'Model Setup'!$C$7,SUMIF($BH$3:$CE$3,"="&amp;$DF51+'Model Setup'!$C$7,$AD51:$BA51)+'Model Setup'!$C$8*(SUMIF($BH$3:$CE$3,"&lt;"&amp;$DF51,$AD51:$BA51)+SUMIF($BH$3:$CE$3,"&gt;"&amp;$CW$4,$AD51:$BA51)),
IF(CE$3=$DF51+'Model Setup'!$D$7,SUMIF($BH$3:$CE$3,"="&amp;$DF51+'Model Setup'!$D$7,$AD51:$BA51)+'Model Setup'!$D$8*(SUMIF($BH$3:$CE$3,"&lt;"&amp;$DF51,$AD51:$BA51)+SUMIF($BH$3:$CE$3,"&gt;"&amp;$CW$4,$AD51:$BA51)),
IF(CE$3=$DF51+'Model Setup'!$E$7,SUMIF($BH$3:$CE$3,"="&amp;$DF51+'Model Setup'!$E$7,$AD51:$BA51)+'Model Setup'!$E$8*(SUMIF($BH$3:$CE$3,"&lt;"&amp;$DF51,$AD51:$BA51)+SUMIF($BH$3:$CE$3,"&gt;"&amp;$CW$4,$AD51:$BA51)),
IF(CE$3=$DF51+'Model Setup'!$F$7,SUMIF($BH$3:$CE$3,"="&amp;$DF51+'Model Setup'!$F$7,$AD51:$BA51)+'Model Setup'!$F$8*(SUMIF($BH$3:$CE$3,"&lt;"&amp;$DF51,$AD51:$BA51)+SUMIF($BH$3:$CE$3,"&gt;"&amp;$CW$4,$AD51:$BA51)),
IF(CE$3=$DF51+'Model Setup'!$G$7,SUMIF($BH$3:$CE$3,"="&amp;$DF51+'Model Setup'!$G$7,$AD51:$BA51)+'Model Setup'!$G$8*(SUMIF($BH$3:$CE$3,"&lt;"&amp;$DF51,$AD51:$BA51)+SUMIF($BH$3:$CE$3,"&gt;"&amp;$CW$4,$AD51:$BA51)),
IF(CE$3=$DF51+'Model Setup'!$H$7,SUMIF($BH$3:$CE$3,"="&amp;$DF51+'Model Setup'!$H$7,$AD51:$BA51)+'Model Setup'!$H$8*(SUMIF($BH$3:$CE$3,"&lt;"&amp;$DF51,$AD51:$BA51)+SUMIF($BH$3:$CE$3,"&gt;"&amp;$CW$4,$AD51:$BA51)),
IF(CE$3=$DF51+'Model Setup'!$I$7,SUMIF($BH$3:$CE$3,"="&amp;$DF51+'Model Setup'!$I$7,$AD51:$BA51)+'Model Setup'!$I$8*(SUMIF($BH$3:$CE$3,"&lt;"&amp;$DF51,$AD51:$BA51)+SUMIF($BH$3:$CE$3,"&gt;"&amp;$CW$4,$AD51:$BA51)),
IF(CE$3=$DF51+'Model Setup'!$J$7,SUMIF($BH$3:$CE$3,"="&amp;$DF51+'Model Setup'!$J$7,$AD51:$BA51)+'Model Setup'!$J$8*(SUMIF($BH$3:$CE$3,"&lt;"&amp;$DF51,$AD51:$BA51)+SUMIF($BH$3:$CE$3,"&gt;"&amp;$CW$4,$AD51:$BA51)),
IF(CE$3=$DF51+'Model Setup'!$K$7,SUMIF($BH$3:$CE$3,"="&amp;$DF51+'Model Setup'!$K$7,$AD51:$BA51)+'Model Setup'!$K$8*(SUMIF($BH$3:$CE$3,"&lt;"&amp;$DF51,$AD51:$BA51)+SUMIF($BH$3:$CE$3,"&gt;"&amp;$CW$4,$AD51:$BA51)),
IF(CE$3=$DF51+'Model Setup'!$L$7,SUMIF($BH$3:$CE$3,"="&amp;$DF51+'Model Setup'!$L$7,$AD51:$BA51)+'Model Setup'!$L$8*(SUMIF($BH$3:$CE$3,"&lt;"&amp;$DF51,$AD51:$BA51)+SUMIF($BH$3:$CE$3,"&gt;"&amp;$CW$4,$AD51:$BA51)),
IF(CE$3=$DF51+'Model Setup'!$M$7,SUMIF($BH$3:$CE$3,"="&amp;$DF51+'Model Setup'!$M$7,$AD51:$BA51)+'Model Setup'!$M$8*(SUMIF($BH$3:$CE$3,"&lt;"&amp;$DF51,$AD51:$BA51)+SUMIF($BH$3:$CE$3,"&gt;"&amp;$CW$4,$AD51:$BA51)),
IF(CE$3=$DF51+'Model Setup'!$N$7,SUMIF($BH$3:$CE$3,"="&amp;$DF51+'Model Setup'!$N$7,$AD51:$BA51)+'Model Setup'!$N$8*(SUMIF($BH$3:$CE$3,"&lt;"&amp;$DF51,$AD51:$BA51)+SUMIF($BH$3:$CE$3,"&gt;"&amp;$CW$4,$AD51:$BA51)),
IF(CE$3&lt;$CW$4,Y51,0))))))))))))))),0)</f>
        <v>0</v>
      </c>
      <c r="CF51" s="47">
        <f t="shared" si="3"/>
        <v>1285</v>
      </c>
      <c r="CG51" s="47">
        <f t="shared" si="4"/>
        <v>0</v>
      </c>
      <c r="CI51" s="10" t="s">
        <v>66</v>
      </c>
      <c r="CJ51" s="126">
        <f t="shared" si="9"/>
        <v>41</v>
      </c>
      <c r="CK51" s="126">
        <f t="shared" si="10"/>
        <v>92</v>
      </c>
      <c r="CL51" s="126">
        <f t="shared" si="11"/>
        <v>131</v>
      </c>
      <c r="CM51" s="126">
        <f t="shared" si="12"/>
        <v>170</v>
      </c>
      <c r="CN51" s="126">
        <f t="shared" si="13"/>
        <v>167</v>
      </c>
      <c r="CO51" s="126">
        <f t="shared" si="14"/>
        <v>141</v>
      </c>
      <c r="CP51" s="126">
        <f t="shared" si="15"/>
        <v>107</v>
      </c>
      <c r="CQ51" s="126">
        <f t="shared" si="16"/>
        <v>80</v>
      </c>
      <c r="CR51" s="126">
        <f t="shared" si="17"/>
        <v>92</v>
      </c>
      <c r="CS51" s="126">
        <f t="shared" si="18"/>
        <v>60</v>
      </c>
      <c r="CT51" s="126">
        <f t="shared" si="19"/>
        <v>68</v>
      </c>
      <c r="CU51" s="126">
        <f t="shared" si="20"/>
        <v>77</v>
      </c>
      <c r="CV51" s="126">
        <f t="shared" si="21"/>
        <v>59</v>
      </c>
      <c r="CW51" s="126">
        <f t="shared" si="22"/>
        <v>0</v>
      </c>
      <c r="CX51" s="126">
        <f t="shared" si="23"/>
        <v>0</v>
      </c>
      <c r="CY51" s="126">
        <f t="shared" si="24"/>
        <v>0</v>
      </c>
      <c r="CZ51" s="47">
        <f t="shared" si="7"/>
        <v>1285</v>
      </c>
      <c r="DC51" s="93" t="s">
        <v>66</v>
      </c>
      <c r="DD51" s="89">
        <f>FTC!E49</f>
        <v>0.20833333333333334</v>
      </c>
      <c r="DE51" s="89">
        <f>FTC!F49</f>
        <v>0.75</v>
      </c>
      <c r="DF51" s="90">
        <f t="shared" si="25"/>
        <v>5</v>
      </c>
      <c r="DG51" s="91">
        <f t="shared" si="26"/>
        <v>18</v>
      </c>
      <c r="DH51" s="91">
        <f t="shared" si="27"/>
        <v>13</v>
      </c>
    </row>
    <row r="52" spans="1:112" x14ac:dyDescent="0.35">
      <c r="A52" s="43" t="s">
        <v>67</v>
      </c>
      <c r="B52" s="6"/>
      <c r="C52" s="47">
        <v>1</v>
      </c>
      <c r="D52" s="47">
        <v>1</v>
      </c>
      <c r="E52" s="47">
        <v>1</v>
      </c>
      <c r="F52" s="6"/>
      <c r="G52" s="6"/>
      <c r="H52" s="47">
        <v>19</v>
      </c>
      <c r="I52" s="47">
        <v>17</v>
      </c>
      <c r="J52" s="47">
        <v>12</v>
      </c>
      <c r="K52" s="47">
        <v>13</v>
      </c>
      <c r="L52" s="47">
        <v>15</v>
      </c>
      <c r="M52" s="47">
        <v>16</v>
      </c>
      <c r="N52" s="47">
        <v>7</v>
      </c>
      <c r="O52" s="47">
        <v>4</v>
      </c>
      <c r="P52" s="47">
        <v>6</v>
      </c>
      <c r="Q52" s="47">
        <v>6</v>
      </c>
      <c r="R52" s="47">
        <v>3</v>
      </c>
      <c r="S52" s="47">
        <v>3</v>
      </c>
      <c r="T52" s="47">
        <v>1</v>
      </c>
      <c r="U52" s="6"/>
      <c r="V52" s="6"/>
      <c r="W52" s="6"/>
      <c r="X52" s="6"/>
      <c r="Y52" s="47">
        <v>1</v>
      </c>
      <c r="Z52" s="47">
        <f t="shared" si="0"/>
        <v>126</v>
      </c>
      <c r="AC52" s="43" t="s">
        <v>67</v>
      </c>
      <c r="AD52" s="47">
        <f>ROUND(IF(AD$3&lt;$DF52,0,
IF(AD$3=$DF52+'Model Setup'!$B$7,SUMIF($AD$3:$BA$3,"="&amp;$DF52+'Model Setup'!$B$7,$B52:$Y52)+'Model Setup'!$B$8*(SUMIF($AD$3:$BA$3,"&lt;"&amp;$DF52,$B52:$Y52)+SUMIF($AD$3:$BA$3,"&gt;="&amp;$DG52,$B52:$Y52)),
IF(AD$3=$DF52+'Model Setup'!$C$7,SUMIF($AD$3:$BA$3,"="&amp;$DF52+'Model Setup'!$C$7,$B52:$Y52)+'Model Setup'!$C$8*(SUMIF($AD$3:$BA$3,"&lt;"&amp;$DF52,$B52:$Y52)+SUMIF($AD$3:$BA$3,"&gt;="&amp;$DG52,$B52:$Y52)),
IF(AD$3=$DF52+'Model Setup'!$D$7,SUMIF($AD$3:$BA$3,"="&amp;$DF52+'Model Setup'!$D$7,$B52:$Y52)+'Model Setup'!$D$8*(SUMIF($AD$3:$BA$3,"&lt;"&amp;$DF52,$B52:$Y52)+SUMIF($AD$3:$BA$3,"&gt;="&amp;$DG52,$B52:$Y52)),
IF(AD$3=$DF52+'Model Setup'!$E$7,SUMIF($AD$3:$BA$3,"="&amp;$DF52+'Model Setup'!$E$7,$B52:$Y52)+'Model Setup'!$E$8*(SUMIF($AD$3:$BA$3,"&lt;"&amp;$DF52,$B52:$Y52)+SUMIF($AD$3:$BA$3,"&gt;="&amp;$DG52,$B52:$Y52)),
IF(AD$3=$DF52+'Model Setup'!$F$7,SUMIF($AD$3:$BA$3,"="&amp;$DF52+'Model Setup'!$F$7,$B52:$Y52)+'Model Setup'!$F$8*(SUMIF($AD$3:$BA$3,"&lt;"&amp;$DF52,$B52:$Y52)+SUMIF($AD$3:$BA$3,"&gt;="&amp;$DG52,$B52:$Y52)),
IF(AD$3=$DF52+'Model Setup'!$G$7,SUMIF($AD$3:$BA$3,"="&amp;$DF52+'Model Setup'!$G$7,$B52:$Y52)+'Model Setup'!$G$8*(SUMIF($AD$3:$BA$3,"&lt;"&amp;$DF52,$B52:$Y52)+SUMIF($AD$3:$BA$3,"&gt;="&amp;$DG52,$B52:$Y52)),
IF(AD$3=$DF52+'Model Setup'!$H$7,SUMIF($AD$3:$BA$3,"="&amp;$DF52+'Model Setup'!$H$7,$B52:$Y52)+'Model Setup'!$H$8*(SUMIF($AD$3:$BA$3,"&lt;"&amp;$DF52,$B52:$Y52)+SUMIF($AD$3:$BA$3,"&gt;="&amp;$DG52,$B52:$Y52)),
IF(AD$3=$DF52+'Model Setup'!$I$7,SUMIF($AD$3:$BA$3,"="&amp;$DF52+'Model Setup'!$I$7,$B52:$Y52)+'Model Setup'!$I$8*(SUMIF($AD$3:$BA$3,"&lt;"&amp;$DF52,$B52:$Y52)+SUMIF($AD$3:$BA$3,"&gt;="&amp;$DG52,$B52:$Y52)),
IF(AD$3=$DF52+'Model Setup'!$J$7,SUMIF($AD$3:$BA$3,"="&amp;$DF52+'Model Setup'!$J$7,$B52:$Y52)+'Model Setup'!$J$8*(SUMIF($AD$3:$BA$3,"&lt;"&amp;$DF52,$B52:$Y52)+SUMIF($AD$3:$BA$3,"&gt;="&amp;$DG52,$B52:$Y52)),
IF(AD$3=$DF52+'Model Setup'!$K$7,SUMIF($AD$3:$BA$3,"="&amp;$DF52+'Model Setup'!$K$7,$B52:$Y52)+'Model Setup'!$K$8*(SUMIF($AD$3:$BA$3,"&lt;"&amp;$DF52,$B52:$Y52)+SUMIF($AD$3:$BA$3,"&gt;="&amp;$DG52,$B52:$Y52)),
IF(AD$3=$DF52+'Model Setup'!$L$7,SUMIF($AD$3:$BA$3,"="&amp;$DF52+'Model Setup'!$L$7,$B52:$Y52)+'Model Setup'!$L$8*(SUMIF($AD$3:$BA$3,"&lt;"&amp;$DF52,$B52:$Y52)+SUMIF($AD$3:$BA$3,"&gt;="&amp;$DG52,$B52:$Y52)),
IF(AD$3=$DF52+'Model Setup'!$M$7,SUMIF($AD$3:$BA$3,"="&amp;$DF52+'Model Setup'!$M$7,$B52:$Y52)+'Model Setup'!$M$8*(SUMIF($AD$3:$BA$3,"&lt;"&amp;$DF52,$B52:$Y52)+SUMIF($AD$3:$BA$3,"&gt;="&amp;$DG52,$B52:$Y52)),
IF(AD$3=$DF52+'Model Setup'!$N$7,SUMIF($AD$3:$BA$3,"="&amp;$DF52+'Model Setup'!$N$7,$B52:$Y52)+'Model Setup'!$N$8*(SUMIF($AD$3:$BA$3,"&lt;"&amp;$DF52,$B52:$Y52)+SUMIF($AD$3:$BA$3,"&gt;="&amp;$DG52,$B52:$Y52)),
IF(AD$3&lt;$DG52,B52,0))))))))))))))),0)</f>
        <v>0</v>
      </c>
      <c r="AE52" s="47">
        <f>ROUND(IF(AE$3&lt;$DF52,0,
IF(AE$3=$DF52+'Model Setup'!$B$7,SUMIF($AD$3:$BA$3,"="&amp;$DF52+'Model Setup'!$B$7,$B52:$Y52)+'Model Setup'!$B$8*(SUMIF($AD$3:$BA$3,"&lt;"&amp;$DF52,$B52:$Y52)+SUMIF($AD$3:$BA$3,"&gt;="&amp;$DG52,$B52:$Y52)),
IF(AE$3=$DF52+'Model Setup'!$C$7,SUMIF($AD$3:$BA$3,"="&amp;$DF52+'Model Setup'!$C$7,$B52:$Y52)+'Model Setup'!$C$8*(SUMIF($AD$3:$BA$3,"&lt;"&amp;$DF52,$B52:$Y52)+SUMIF($AD$3:$BA$3,"&gt;="&amp;$DG52,$B52:$Y52)),
IF(AE$3=$DF52+'Model Setup'!$D$7,SUMIF($AD$3:$BA$3,"="&amp;$DF52+'Model Setup'!$D$7,$B52:$Y52)+'Model Setup'!$D$8*(SUMIF($AD$3:$BA$3,"&lt;"&amp;$DF52,$B52:$Y52)+SUMIF($AD$3:$BA$3,"&gt;="&amp;$DG52,$B52:$Y52)),
IF(AE$3=$DF52+'Model Setup'!$E$7,SUMIF($AD$3:$BA$3,"="&amp;$DF52+'Model Setup'!$E$7,$B52:$Y52)+'Model Setup'!$E$8*(SUMIF($AD$3:$BA$3,"&lt;"&amp;$DF52,$B52:$Y52)+SUMIF($AD$3:$BA$3,"&gt;="&amp;$DG52,$B52:$Y52)),
IF(AE$3=$DF52+'Model Setup'!$F$7,SUMIF($AD$3:$BA$3,"="&amp;$DF52+'Model Setup'!$F$7,$B52:$Y52)+'Model Setup'!$F$8*(SUMIF($AD$3:$BA$3,"&lt;"&amp;$DF52,$B52:$Y52)+SUMIF($AD$3:$BA$3,"&gt;="&amp;$DG52,$B52:$Y52)),
IF(AE$3=$DF52+'Model Setup'!$G$7,SUMIF($AD$3:$BA$3,"="&amp;$DF52+'Model Setup'!$G$7,$B52:$Y52)+'Model Setup'!$G$8*(SUMIF($AD$3:$BA$3,"&lt;"&amp;$DF52,$B52:$Y52)+SUMIF($AD$3:$BA$3,"&gt;="&amp;$DG52,$B52:$Y52)),
IF(AE$3=$DF52+'Model Setup'!$H$7,SUMIF($AD$3:$BA$3,"="&amp;$DF52+'Model Setup'!$H$7,$B52:$Y52)+'Model Setup'!$H$8*(SUMIF($AD$3:$BA$3,"&lt;"&amp;$DF52,$B52:$Y52)+SUMIF($AD$3:$BA$3,"&gt;="&amp;$DG52,$B52:$Y52)),
IF(AE$3=$DF52+'Model Setup'!$I$7,SUMIF($AD$3:$BA$3,"="&amp;$DF52+'Model Setup'!$I$7,$B52:$Y52)+'Model Setup'!$I$8*(SUMIF($AD$3:$BA$3,"&lt;"&amp;$DF52,$B52:$Y52)+SUMIF($AD$3:$BA$3,"&gt;="&amp;$DG52,$B52:$Y52)),
IF(AE$3=$DF52+'Model Setup'!$J$7,SUMIF($AD$3:$BA$3,"="&amp;$DF52+'Model Setup'!$J$7,$B52:$Y52)+'Model Setup'!$J$8*(SUMIF($AD$3:$BA$3,"&lt;"&amp;$DF52,$B52:$Y52)+SUMIF($AD$3:$BA$3,"&gt;="&amp;$DG52,$B52:$Y52)),
IF(AE$3=$DF52+'Model Setup'!$K$7,SUMIF($AD$3:$BA$3,"="&amp;$DF52+'Model Setup'!$K$7,$B52:$Y52)+'Model Setup'!$K$8*(SUMIF($AD$3:$BA$3,"&lt;"&amp;$DF52,$B52:$Y52)+SUMIF($AD$3:$BA$3,"&gt;="&amp;$DG52,$B52:$Y52)),
IF(AE$3=$DF52+'Model Setup'!$L$7,SUMIF($AD$3:$BA$3,"="&amp;$DF52+'Model Setup'!$L$7,$B52:$Y52)+'Model Setup'!$L$8*(SUMIF($AD$3:$BA$3,"&lt;"&amp;$DF52,$B52:$Y52)+SUMIF($AD$3:$BA$3,"&gt;="&amp;$DG52,$B52:$Y52)),
IF(AE$3=$DF52+'Model Setup'!$M$7,SUMIF($AD$3:$BA$3,"="&amp;$DF52+'Model Setup'!$M$7,$B52:$Y52)+'Model Setup'!$M$8*(SUMIF($AD$3:$BA$3,"&lt;"&amp;$DF52,$B52:$Y52)+SUMIF($AD$3:$BA$3,"&gt;="&amp;$DG52,$B52:$Y52)),
IF(AE$3=$DF52+'Model Setup'!$N$7,SUMIF($AD$3:$BA$3,"="&amp;$DF52+'Model Setup'!$N$7,$B52:$Y52)+'Model Setup'!$N$8*(SUMIF($AD$3:$BA$3,"&lt;"&amp;$DF52,$B52:$Y52)+SUMIF($AD$3:$BA$3,"&gt;="&amp;$DG52,$B52:$Y52)),
IF(AE$3&lt;$DG52,C52,0))))))))))))))),0)</f>
        <v>0</v>
      </c>
      <c r="AF52" s="47">
        <f>ROUND(IF(AF$3&lt;$DF52,0,
IF(AF$3=$DF52+'Model Setup'!$B$7,SUMIF($AD$3:$BA$3,"="&amp;$DF52+'Model Setup'!$B$7,$B52:$Y52)+'Model Setup'!$B$8*(SUMIF($AD$3:$BA$3,"&lt;"&amp;$DF52,$B52:$Y52)+SUMIF($AD$3:$BA$3,"&gt;="&amp;$DG52,$B52:$Y52)),
IF(AF$3=$DF52+'Model Setup'!$C$7,SUMIF($AD$3:$BA$3,"="&amp;$DF52+'Model Setup'!$C$7,$B52:$Y52)+'Model Setup'!$C$8*(SUMIF($AD$3:$BA$3,"&lt;"&amp;$DF52,$B52:$Y52)+SUMIF($AD$3:$BA$3,"&gt;="&amp;$DG52,$B52:$Y52)),
IF(AF$3=$DF52+'Model Setup'!$D$7,SUMIF($AD$3:$BA$3,"="&amp;$DF52+'Model Setup'!$D$7,$B52:$Y52)+'Model Setup'!$D$8*(SUMIF($AD$3:$BA$3,"&lt;"&amp;$DF52,$B52:$Y52)+SUMIF($AD$3:$BA$3,"&gt;="&amp;$DG52,$B52:$Y52)),
IF(AF$3=$DF52+'Model Setup'!$E$7,SUMIF($AD$3:$BA$3,"="&amp;$DF52+'Model Setup'!$E$7,$B52:$Y52)+'Model Setup'!$E$8*(SUMIF($AD$3:$BA$3,"&lt;"&amp;$DF52,$B52:$Y52)+SUMIF($AD$3:$BA$3,"&gt;="&amp;$DG52,$B52:$Y52)),
IF(AF$3=$DF52+'Model Setup'!$F$7,SUMIF($AD$3:$BA$3,"="&amp;$DF52+'Model Setup'!$F$7,$B52:$Y52)+'Model Setup'!$F$8*(SUMIF($AD$3:$BA$3,"&lt;"&amp;$DF52,$B52:$Y52)+SUMIF($AD$3:$BA$3,"&gt;="&amp;$DG52,$B52:$Y52)),
IF(AF$3=$DF52+'Model Setup'!$G$7,SUMIF($AD$3:$BA$3,"="&amp;$DF52+'Model Setup'!$G$7,$B52:$Y52)+'Model Setup'!$G$8*(SUMIF($AD$3:$BA$3,"&lt;"&amp;$DF52,$B52:$Y52)+SUMIF($AD$3:$BA$3,"&gt;="&amp;$DG52,$B52:$Y52)),
IF(AF$3=$DF52+'Model Setup'!$H$7,SUMIF($AD$3:$BA$3,"="&amp;$DF52+'Model Setup'!$H$7,$B52:$Y52)+'Model Setup'!$H$8*(SUMIF($AD$3:$BA$3,"&lt;"&amp;$DF52,$B52:$Y52)+SUMIF($AD$3:$BA$3,"&gt;="&amp;$DG52,$B52:$Y52)),
IF(AF$3=$DF52+'Model Setup'!$I$7,SUMIF($AD$3:$BA$3,"="&amp;$DF52+'Model Setup'!$I$7,$B52:$Y52)+'Model Setup'!$I$8*(SUMIF($AD$3:$BA$3,"&lt;"&amp;$DF52,$B52:$Y52)+SUMIF($AD$3:$BA$3,"&gt;="&amp;$DG52,$B52:$Y52)),
IF(AF$3=$DF52+'Model Setup'!$J$7,SUMIF($AD$3:$BA$3,"="&amp;$DF52+'Model Setup'!$J$7,$B52:$Y52)+'Model Setup'!$J$8*(SUMIF($AD$3:$BA$3,"&lt;"&amp;$DF52,$B52:$Y52)+SUMIF($AD$3:$BA$3,"&gt;="&amp;$DG52,$B52:$Y52)),
IF(AF$3=$DF52+'Model Setup'!$K$7,SUMIF($AD$3:$BA$3,"="&amp;$DF52+'Model Setup'!$K$7,$B52:$Y52)+'Model Setup'!$K$8*(SUMIF($AD$3:$BA$3,"&lt;"&amp;$DF52,$B52:$Y52)+SUMIF($AD$3:$BA$3,"&gt;="&amp;$DG52,$B52:$Y52)),
IF(AF$3=$DF52+'Model Setup'!$L$7,SUMIF($AD$3:$BA$3,"="&amp;$DF52+'Model Setup'!$L$7,$B52:$Y52)+'Model Setup'!$L$8*(SUMIF($AD$3:$BA$3,"&lt;"&amp;$DF52,$B52:$Y52)+SUMIF($AD$3:$BA$3,"&gt;="&amp;$DG52,$B52:$Y52)),
IF(AF$3=$DF52+'Model Setup'!$M$7,SUMIF($AD$3:$BA$3,"="&amp;$DF52+'Model Setup'!$M$7,$B52:$Y52)+'Model Setup'!$M$8*(SUMIF($AD$3:$BA$3,"&lt;"&amp;$DF52,$B52:$Y52)+SUMIF($AD$3:$BA$3,"&gt;="&amp;$DG52,$B52:$Y52)),
IF(AF$3=$DF52+'Model Setup'!$N$7,SUMIF($AD$3:$BA$3,"="&amp;$DF52+'Model Setup'!$N$7,$B52:$Y52)+'Model Setup'!$N$8*(SUMIF($AD$3:$BA$3,"&lt;"&amp;$DF52,$B52:$Y52)+SUMIF($AD$3:$BA$3,"&gt;="&amp;$DG52,$B52:$Y52)),
IF(AF$3&lt;$DG52,D52,0))))))))))))))),0)</f>
        <v>0</v>
      </c>
      <c r="AG52" s="47">
        <f>ROUND(IF(AG$3&lt;$DF52,0,
IF(AG$3=$DF52+'Model Setup'!$B$7,SUMIF($AD$3:$BA$3,"="&amp;$DF52+'Model Setup'!$B$7,$B52:$Y52)+'Model Setup'!$B$8*(SUMIF($AD$3:$BA$3,"&lt;"&amp;$DF52,$B52:$Y52)+SUMIF($AD$3:$BA$3,"&gt;="&amp;$DG52,$B52:$Y52)),
IF(AG$3=$DF52+'Model Setup'!$C$7,SUMIF($AD$3:$BA$3,"="&amp;$DF52+'Model Setup'!$C$7,$B52:$Y52)+'Model Setup'!$C$8*(SUMIF($AD$3:$BA$3,"&lt;"&amp;$DF52,$B52:$Y52)+SUMIF($AD$3:$BA$3,"&gt;="&amp;$DG52,$B52:$Y52)),
IF(AG$3=$DF52+'Model Setup'!$D$7,SUMIF($AD$3:$BA$3,"="&amp;$DF52+'Model Setup'!$D$7,$B52:$Y52)+'Model Setup'!$D$8*(SUMIF($AD$3:$BA$3,"&lt;"&amp;$DF52,$B52:$Y52)+SUMIF($AD$3:$BA$3,"&gt;="&amp;$DG52,$B52:$Y52)),
IF(AG$3=$DF52+'Model Setup'!$E$7,SUMIF($AD$3:$BA$3,"="&amp;$DF52+'Model Setup'!$E$7,$B52:$Y52)+'Model Setup'!$E$8*(SUMIF($AD$3:$BA$3,"&lt;"&amp;$DF52,$B52:$Y52)+SUMIF($AD$3:$BA$3,"&gt;="&amp;$DG52,$B52:$Y52)),
IF(AG$3=$DF52+'Model Setup'!$F$7,SUMIF($AD$3:$BA$3,"="&amp;$DF52+'Model Setup'!$F$7,$B52:$Y52)+'Model Setup'!$F$8*(SUMIF($AD$3:$BA$3,"&lt;"&amp;$DF52,$B52:$Y52)+SUMIF($AD$3:$BA$3,"&gt;="&amp;$DG52,$B52:$Y52)),
IF(AG$3=$DF52+'Model Setup'!$G$7,SUMIF($AD$3:$BA$3,"="&amp;$DF52+'Model Setup'!$G$7,$B52:$Y52)+'Model Setup'!$G$8*(SUMIF($AD$3:$BA$3,"&lt;"&amp;$DF52,$B52:$Y52)+SUMIF($AD$3:$BA$3,"&gt;="&amp;$DG52,$B52:$Y52)),
IF(AG$3=$DF52+'Model Setup'!$H$7,SUMIF($AD$3:$BA$3,"="&amp;$DF52+'Model Setup'!$H$7,$B52:$Y52)+'Model Setup'!$H$8*(SUMIF($AD$3:$BA$3,"&lt;"&amp;$DF52,$B52:$Y52)+SUMIF($AD$3:$BA$3,"&gt;="&amp;$DG52,$B52:$Y52)),
IF(AG$3=$DF52+'Model Setup'!$I$7,SUMIF($AD$3:$BA$3,"="&amp;$DF52+'Model Setup'!$I$7,$B52:$Y52)+'Model Setup'!$I$8*(SUMIF($AD$3:$BA$3,"&lt;"&amp;$DF52,$B52:$Y52)+SUMIF($AD$3:$BA$3,"&gt;="&amp;$DG52,$B52:$Y52)),
IF(AG$3=$DF52+'Model Setup'!$J$7,SUMIF($AD$3:$BA$3,"="&amp;$DF52+'Model Setup'!$J$7,$B52:$Y52)+'Model Setup'!$J$8*(SUMIF($AD$3:$BA$3,"&lt;"&amp;$DF52,$B52:$Y52)+SUMIF($AD$3:$BA$3,"&gt;="&amp;$DG52,$B52:$Y52)),
IF(AG$3=$DF52+'Model Setup'!$K$7,SUMIF($AD$3:$BA$3,"="&amp;$DF52+'Model Setup'!$K$7,$B52:$Y52)+'Model Setup'!$K$8*(SUMIF($AD$3:$BA$3,"&lt;"&amp;$DF52,$B52:$Y52)+SUMIF($AD$3:$BA$3,"&gt;="&amp;$DG52,$B52:$Y52)),
IF(AG$3=$DF52+'Model Setup'!$L$7,SUMIF($AD$3:$BA$3,"="&amp;$DF52+'Model Setup'!$L$7,$B52:$Y52)+'Model Setup'!$L$8*(SUMIF($AD$3:$BA$3,"&lt;"&amp;$DF52,$B52:$Y52)+SUMIF($AD$3:$BA$3,"&gt;="&amp;$DG52,$B52:$Y52)),
IF(AG$3=$DF52+'Model Setup'!$M$7,SUMIF($AD$3:$BA$3,"="&amp;$DF52+'Model Setup'!$M$7,$B52:$Y52)+'Model Setup'!$M$8*(SUMIF($AD$3:$BA$3,"&lt;"&amp;$DF52,$B52:$Y52)+SUMIF($AD$3:$BA$3,"&gt;="&amp;$DG52,$B52:$Y52)),
IF(AG$3=$DF52+'Model Setup'!$N$7,SUMIF($AD$3:$BA$3,"="&amp;$DF52+'Model Setup'!$N$7,$B52:$Y52)+'Model Setup'!$N$8*(SUMIF($AD$3:$BA$3,"&lt;"&amp;$DF52,$B52:$Y52)+SUMIF($AD$3:$BA$3,"&gt;="&amp;$DG52,$B52:$Y52)),
IF(AG$3&lt;$DG52,E52,0))))))))))))))),0)</f>
        <v>0</v>
      </c>
      <c r="AH52" s="47">
        <f>ROUND(IF(AH$3&lt;$DF52,0,
IF(AH$3=$DF52+'Model Setup'!$B$7,SUMIF($AD$3:$BA$3,"="&amp;$DF52+'Model Setup'!$B$7,$B52:$Y52)+'Model Setup'!$B$8*(SUMIF($AD$3:$BA$3,"&lt;"&amp;$DF52,$B52:$Y52)+SUMIF($AD$3:$BA$3,"&gt;="&amp;$DG52,$B52:$Y52)),
IF(AH$3=$DF52+'Model Setup'!$C$7,SUMIF($AD$3:$BA$3,"="&amp;$DF52+'Model Setup'!$C$7,$B52:$Y52)+'Model Setup'!$C$8*(SUMIF($AD$3:$BA$3,"&lt;"&amp;$DF52,$B52:$Y52)+SUMIF($AD$3:$BA$3,"&gt;="&amp;$DG52,$B52:$Y52)),
IF(AH$3=$DF52+'Model Setup'!$D$7,SUMIF($AD$3:$BA$3,"="&amp;$DF52+'Model Setup'!$D$7,$B52:$Y52)+'Model Setup'!$D$8*(SUMIF($AD$3:$BA$3,"&lt;"&amp;$DF52,$B52:$Y52)+SUMIF($AD$3:$BA$3,"&gt;="&amp;$DG52,$B52:$Y52)),
IF(AH$3=$DF52+'Model Setup'!$E$7,SUMIF($AD$3:$BA$3,"="&amp;$DF52+'Model Setup'!$E$7,$B52:$Y52)+'Model Setup'!$E$8*(SUMIF($AD$3:$BA$3,"&lt;"&amp;$DF52,$B52:$Y52)+SUMIF($AD$3:$BA$3,"&gt;="&amp;$DG52,$B52:$Y52)),
IF(AH$3=$DF52+'Model Setup'!$F$7,SUMIF($AD$3:$BA$3,"="&amp;$DF52+'Model Setup'!$F$7,$B52:$Y52)+'Model Setup'!$F$8*(SUMIF($AD$3:$BA$3,"&lt;"&amp;$DF52,$B52:$Y52)+SUMIF($AD$3:$BA$3,"&gt;="&amp;$DG52,$B52:$Y52)),
IF(AH$3=$DF52+'Model Setup'!$G$7,SUMIF($AD$3:$BA$3,"="&amp;$DF52+'Model Setup'!$G$7,$B52:$Y52)+'Model Setup'!$G$8*(SUMIF($AD$3:$BA$3,"&lt;"&amp;$DF52,$B52:$Y52)+SUMIF($AD$3:$BA$3,"&gt;="&amp;$DG52,$B52:$Y52)),
IF(AH$3=$DF52+'Model Setup'!$H$7,SUMIF($AD$3:$BA$3,"="&amp;$DF52+'Model Setup'!$H$7,$B52:$Y52)+'Model Setup'!$H$8*(SUMIF($AD$3:$BA$3,"&lt;"&amp;$DF52,$B52:$Y52)+SUMIF($AD$3:$BA$3,"&gt;="&amp;$DG52,$B52:$Y52)),
IF(AH$3=$DF52+'Model Setup'!$I$7,SUMIF($AD$3:$BA$3,"="&amp;$DF52+'Model Setup'!$I$7,$B52:$Y52)+'Model Setup'!$I$8*(SUMIF($AD$3:$BA$3,"&lt;"&amp;$DF52,$B52:$Y52)+SUMIF($AD$3:$BA$3,"&gt;="&amp;$DG52,$B52:$Y52)),
IF(AH$3=$DF52+'Model Setup'!$J$7,SUMIF($AD$3:$BA$3,"="&amp;$DF52+'Model Setup'!$J$7,$B52:$Y52)+'Model Setup'!$J$8*(SUMIF($AD$3:$BA$3,"&lt;"&amp;$DF52,$B52:$Y52)+SUMIF($AD$3:$BA$3,"&gt;="&amp;$DG52,$B52:$Y52)),
IF(AH$3=$DF52+'Model Setup'!$K$7,SUMIF($AD$3:$BA$3,"="&amp;$DF52+'Model Setup'!$K$7,$B52:$Y52)+'Model Setup'!$K$8*(SUMIF($AD$3:$BA$3,"&lt;"&amp;$DF52,$B52:$Y52)+SUMIF($AD$3:$BA$3,"&gt;="&amp;$DG52,$B52:$Y52)),
IF(AH$3=$DF52+'Model Setup'!$L$7,SUMIF($AD$3:$BA$3,"="&amp;$DF52+'Model Setup'!$L$7,$B52:$Y52)+'Model Setup'!$L$8*(SUMIF($AD$3:$BA$3,"&lt;"&amp;$DF52,$B52:$Y52)+SUMIF($AD$3:$BA$3,"&gt;="&amp;$DG52,$B52:$Y52)),
IF(AH$3=$DF52+'Model Setup'!$M$7,SUMIF($AD$3:$BA$3,"="&amp;$DF52+'Model Setup'!$M$7,$B52:$Y52)+'Model Setup'!$M$8*(SUMIF($AD$3:$BA$3,"&lt;"&amp;$DF52,$B52:$Y52)+SUMIF($AD$3:$BA$3,"&gt;="&amp;$DG52,$B52:$Y52)),
IF(AH$3=$DF52+'Model Setup'!$N$7,SUMIF($AD$3:$BA$3,"="&amp;$DF52+'Model Setup'!$N$7,$B52:$Y52)+'Model Setup'!$N$8*(SUMIF($AD$3:$BA$3,"&lt;"&amp;$DF52,$B52:$Y52)+SUMIF($AD$3:$BA$3,"&gt;="&amp;$DG52,$B52:$Y52)),
IF(AH$3&lt;$DG52,F52,0))))))))))))))),0)</f>
        <v>0</v>
      </c>
      <c r="AI52" s="47">
        <f>ROUND(IF(AI$3&lt;$DF52,0,
IF(AI$3=$DF52+'Model Setup'!$B$7,SUMIF($AD$3:$BA$3,"="&amp;$DF52+'Model Setup'!$B$7,$B52:$Y52)+'Model Setup'!$B$8*(SUMIF($AD$3:$BA$3,"&lt;"&amp;$DF52,$B52:$Y52)+SUMIF($AD$3:$BA$3,"&gt;="&amp;$DG52,$B52:$Y52)),
IF(AI$3=$DF52+'Model Setup'!$C$7,SUMIF($AD$3:$BA$3,"="&amp;$DF52+'Model Setup'!$C$7,$B52:$Y52)+'Model Setup'!$C$8*(SUMIF($AD$3:$BA$3,"&lt;"&amp;$DF52,$B52:$Y52)+SUMIF($AD$3:$BA$3,"&gt;="&amp;$DG52,$B52:$Y52)),
IF(AI$3=$DF52+'Model Setup'!$D$7,SUMIF($AD$3:$BA$3,"="&amp;$DF52+'Model Setup'!$D$7,$B52:$Y52)+'Model Setup'!$D$8*(SUMIF($AD$3:$BA$3,"&lt;"&amp;$DF52,$B52:$Y52)+SUMIF($AD$3:$BA$3,"&gt;="&amp;$DG52,$B52:$Y52)),
IF(AI$3=$DF52+'Model Setup'!$E$7,SUMIF($AD$3:$BA$3,"="&amp;$DF52+'Model Setup'!$E$7,$B52:$Y52)+'Model Setup'!$E$8*(SUMIF($AD$3:$BA$3,"&lt;"&amp;$DF52,$B52:$Y52)+SUMIF($AD$3:$BA$3,"&gt;="&amp;$DG52,$B52:$Y52)),
IF(AI$3=$DF52+'Model Setup'!$F$7,SUMIF($AD$3:$BA$3,"="&amp;$DF52+'Model Setup'!$F$7,$B52:$Y52)+'Model Setup'!$F$8*(SUMIF($AD$3:$BA$3,"&lt;"&amp;$DF52,$B52:$Y52)+SUMIF($AD$3:$BA$3,"&gt;="&amp;$DG52,$B52:$Y52)),
IF(AI$3=$DF52+'Model Setup'!$G$7,SUMIF($AD$3:$BA$3,"="&amp;$DF52+'Model Setup'!$G$7,$B52:$Y52)+'Model Setup'!$G$8*(SUMIF($AD$3:$BA$3,"&lt;"&amp;$DF52,$B52:$Y52)+SUMIF($AD$3:$BA$3,"&gt;="&amp;$DG52,$B52:$Y52)),
IF(AI$3=$DF52+'Model Setup'!$H$7,SUMIF($AD$3:$BA$3,"="&amp;$DF52+'Model Setup'!$H$7,$B52:$Y52)+'Model Setup'!$H$8*(SUMIF($AD$3:$BA$3,"&lt;"&amp;$DF52,$B52:$Y52)+SUMIF($AD$3:$BA$3,"&gt;="&amp;$DG52,$B52:$Y52)),
IF(AI$3=$DF52+'Model Setup'!$I$7,SUMIF($AD$3:$BA$3,"="&amp;$DF52+'Model Setup'!$I$7,$B52:$Y52)+'Model Setup'!$I$8*(SUMIF($AD$3:$BA$3,"&lt;"&amp;$DF52,$B52:$Y52)+SUMIF($AD$3:$BA$3,"&gt;="&amp;$DG52,$B52:$Y52)),
IF(AI$3=$DF52+'Model Setup'!$J$7,SUMIF($AD$3:$BA$3,"="&amp;$DF52+'Model Setup'!$J$7,$B52:$Y52)+'Model Setup'!$J$8*(SUMIF($AD$3:$BA$3,"&lt;"&amp;$DF52,$B52:$Y52)+SUMIF($AD$3:$BA$3,"&gt;="&amp;$DG52,$B52:$Y52)),
IF(AI$3=$DF52+'Model Setup'!$K$7,SUMIF($AD$3:$BA$3,"="&amp;$DF52+'Model Setup'!$K$7,$B52:$Y52)+'Model Setup'!$K$8*(SUMIF($AD$3:$BA$3,"&lt;"&amp;$DF52,$B52:$Y52)+SUMIF($AD$3:$BA$3,"&gt;="&amp;$DG52,$B52:$Y52)),
IF(AI$3=$DF52+'Model Setup'!$L$7,SUMIF($AD$3:$BA$3,"="&amp;$DF52+'Model Setup'!$L$7,$B52:$Y52)+'Model Setup'!$L$8*(SUMIF($AD$3:$BA$3,"&lt;"&amp;$DF52,$B52:$Y52)+SUMIF($AD$3:$BA$3,"&gt;="&amp;$DG52,$B52:$Y52)),
IF(AI$3=$DF52+'Model Setup'!$M$7,SUMIF($AD$3:$BA$3,"="&amp;$DF52+'Model Setup'!$M$7,$B52:$Y52)+'Model Setup'!$M$8*(SUMIF($AD$3:$BA$3,"&lt;"&amp;$DF52,$B52:$Y52)+SUMIF($AD$3:$BA$3,"&gt;="&amp;$DG52,$B52:$Y52)),
IF(AI$3=$DF52+'Model Setup'!$N$7,SUMIF($AD$3:$BA$3,"="&amp;$DF52+'Model Setup'!$N$7,$B52:$Y52)+'Model Setup'!$N$8*(SUMIF($AD$3:$BA$3,"&lt;"&amp;$DF52,$B52:$Y52)+SUMIF($AD$3:$BA$3,"&gt;="&amp;$DG52,$B52:$Y52)),
IF(AI$3&lt;$DG52,G52,0))))))))))))))),0)</f>
        <v>0</v>
      </c>
      <c r="AJ52" s="47">
        <f>ROUND(IF(AJ$3&lt;$DF52,0,
IF(AJ$3=$DF52+'Model Setup'!$B$7,SUMIF($AD$3:$BA$3,"="&amp;$DF52+'Model Setup'!$B$7,$B52:$Y52)+'Model Setup'!$B$8*(SUMIF($AD$3:$BA$3,"&lt;"&amp;$DF52,$B52:$Y52)+SUMIF($AD$3:$BA$3,"&gt;="&amp;$DG52,$B52:$Y52)),
IF(AJ$3=$DF52+'Model Setup'!$C$7,SUMIF($AD$3:$BA$3,"="&amp;$DF52+'Model Setup'!$C$7,$B52:$Y52)+'Model Setup'!$C$8*(SUMIF($AD$3:$BA$3,"&lt;"&amp;$DF52,$B52:$Y52)+SUMIF($AD$3:$BA$3,"&gt;="&amp;$DG52,$B52:$Y52)),
IF(AJ$3=$DF52+'Model Setup'!$D$7,SUMIF($AD$3:$BA$3,"="&amp;$DF52+'Model Setup'!$D$7,$B52:$Y52)+'Model Setup'!$D$8*(SUMIF($AD$3:$BA$3,"&lt;"&amp;$DF52,$B52:$Y52)+SUMIF($AD$3:$BA$3,"&gt;="&amp;$DG52,$B52:$Y52)),
IF(AJ$3=$DF52+'Model Setup'!$E$7,SUMIF($AD$3:$BA$3,"="&amp;$DF52+'Model Setup'!$E$7,$B52:$Y52)+'Model Setup'!$E$8*(SUMIF($AD$3:$BA$3,"&lt;"&amp;$DF52,$B52:$Y52)+SUMIF($AD$3:$BA$3,"&gt;="&amp;$DG52,$B52:$Y52)),
IF(AJ$3=$DF52+'Model Setup'!$F$7,SUMIF($AD$3:$BA$3,"="&amp;$DF52+'Model Setup'!$F$7,$B52:$Y52)+'Model Setup'!$F$8*(SUMIF($AD$3:$BA$3,"&lt;"&amp;$DF52,$B52:$Y52)+SUMIF($AD$3:$BA$3,"&gt;="&amp;$DG52,$B52:$Y52)),
IF(AJ$3=$DF52+'Model Setup'!$G$7,SUMIF($AD$3:$BA$3,"="&amp;$DF52+'Model Setup'!$G$7,$B52:$Y52)+'Model Setup'!$G$8*(SUMIF($AD$3:$BA$3,"&lt;"&amp;$DF52,$B52:$Y52)+SUMIF($AD$3:$BA$3,"&gt;="&amp;$DG52,$B52:$Y52)),
IF(AJ$3=$DF52+'Model Setup'!$H$7,SUMIF($AD$3:$BA$3,"="&amp;$DF52+'Model Setup'!$H$7,$B52:$Y52)+'Model Setup'!$H$8*(SUMIF($AD$3:$BA$3,"&lt;"&amp;$DF52,$B52:$Y52)+SUMIF($AD$3:$BA$3,"&gt;="&amp;$DG52,$B52:$Y52)),
IF(AJ$3=$DF52+'Model Setup'!$I$7,SUMIF($AD$3:$BA$3,"="&amp;$DF52+'Model Setup'!$I$7,$B52:$Y52)+'Model Setup'!$I$8*(SUMIF($AD$3:$BA$3,"&lt;"&amp;$DF52,$B52:$Y52)+SUMIF($AD$3:$BA$3,"&gt;="&amp;$DG52,$B52:$Y52)),
IF(AJ$3=$DF52+'Model Setup'!$J$7,SUMIF($AD$3:$BA$3,"="&amp;$DF52+'Model Setup'!$J$7,$B52:$Y52)+'Model Setup'!$J$8*(SUMIF($AD$3:$BA$3,"&lt;"&amp;$DF52,$B52:$Y52)+SUMIF($AD$3:$BA$3,"&gt;="&amp;$DG52,$B52:$Y52)),
IF(AJ$3=$DF52+'Model Setup'!$K$7,SUMIF($AD$3:$BA$3,"="&amp;$DF52+'Model Setup'!$K$7,$B52:$Y52)+'Model Setup'!$K$8*(SUMIF($AD$3:$BA$3,"&lt;"&amp;$DF52,$B52:$Y52)+SUMIF($AD$3:$BA$3,"&gt;="&amp;$DG52,$B52:$Y52)),
IF(AJ$3=$DF52+'Model Setup'!$L$7,SUMIF($AD$3:$BA$3,"="&amp;$DF52+'Model Setup'!$L$7,$B52:$Y52)+'Model Setup'!$L$8*(SUMIF($AD$3:$BA$3,"&lt;"&amp;$DF52,$B52:$Y52)+SUMIF($AD$3:$BA$3,"&gt;="&amp;$DG52,$B52:$Y52)),
IF(AJ$3=$DF52+'Model Setup'!$M$7,SUMIF($AD$3:$BA$3,"="&amp;$DF52+'Model Setup'!$M$7,$B52:$Y52)+'Model Setup'!$M$8*(SUMIF($AD$3:$BA$3,"&lt;"&amp;$DF52,$B52:$Y52)+SUMIF($AD$3:$BA$3,"&gt;="&amp;$DG52,$B52:$Y52)),
IF(AJ$3=$DF52+'Model Setup'!$N$7,SUMIF($AD$3:$BA$3,"="&amp;$DF52+'Model Setup'!$N$7,$B52:$Y52)+'Model Setup'!$N$8*(SUMIF($AD$3:$BA$3,"&lt;"&amp;$DF52,$B52:$Y52)+SUMIF($AD$3:$BA$3,"&gt;="&amp;$DG52,$B52:$Y52)),
IF(AJ$3&lt;$DG52,H52,0))))))))))))))),0)</f>
        <v>19</v>
      </c>
      <c r="AK52" s="47">
        <f>ROUND(IF(AK$3&lt;$DF52,0,
IF(AK$3=$DF52+'Model Setup'!$B$7,SUMIF($AD$3:$BA$3,"="&amp;$DF52+'Model Setup'!$B$7,$B52:$Y52)+'Model Setup'!$B$8*(SUMIF($AD$3:$BA$3,"&lt;"&amp;$DF52,$B52:$Y52)+SUMIF($AD$3:$BA$3,"&gt;="&amp;$DG52,$B52:$Y52)),
IF(AK$3=$DF52+'Model Setup'!$C$7,SUMIF($AD$3:$BA$3,"="&amp;$DF52+'Model Setup'!$C$7,$B52:$Y52)+'Model Setup'!$C$8*(SUMIF($AD$3:$BA$3,"&lt;"&amp;$DF52,$B52:$Y52)+SUMIF($AD$3:$BA$3,"&gt;="&amp;$DG52,$B52:$Y52)),
IF(AK$3=$DF52+'Model Setup'!$D$7,SUMIF($AD$3:$BA$3,"="&amp;$DF52+'Model Setup'!$D$7,$B52:$Y52)+'Model Setup'!$D$8*(SUMIF($AD$3:$BA$3,"&lt;"&amp;$DF52,$B52:$Y52)+SUMIF($AD$3:$BA$3,"&gt;="&amp;$DG52,$B52:$Y52)),
IF(AK$3=$DF52+'Model Setup'!$E$7,SUMIF($AD$3:$BA$3,"="&amp;$DF52+'Model Setup'!$E$7,$B52:$Y52)+'Model Setup'!$E$8*(SUMIF($AD$3:$BA$3,"&lt;"&amp;$DF52,$B52:$Y52)+SUMIF($AD$3:$BA$3,"&gt;="&amp;$DG52,$B52:$Y52)),
IF(AK$3=$DF52+'Model Setup'!$F$7,SUMIF($AD$3:$BA$3,"="&amp;$DF52+'Model Setup'!$F$7,$B52:$Y52)+'Model Setup'!$F$8*(SUMIF($AD$3:$BA$3,"&lt;"&amp;$DF52,$B52:$Y52)+SUMIF($AD$3:$BA$3,"&gt;="&amp;$DG52,$B52:$Y52)),
IF(AK$3=$DF52+'Model Setup'!$G$7,SUMIF($AD$3:$BA$3,"="&amp;$DF52+'Model Setup'!$G$7,$B52:$Y52)+'Model Setup'!$G$8*(SUMIF($AD$3:$BA$3,"&lt;"&amp;$DF52,$B52:$Y52)+SUMIF($AD$3:$BA$3,"&gt;="&amp;$DG52,$B52:$Y52)),
IF(AK$3=$DF52+'Model Setup'!$H$7,SUMIF($AD$3:$BA$3,"="&amp;$DF52+'Model Setup'!$H$7,$B52:$Y52)+'Model Setup'!$H$8*(SUMIF($AD$3:$BA$3,"&lt;"&amp;$DF52,$B52:$Y52)+SUMIF($AD$3:$BA$3,"&gt;="&amp;$DG52,$B52:$Y52)),
IF(AK$3=$DF52+'Model Setup'!$I$7,SUMIF($AD$3:$BA$3,"="&amp;$DF52+'Model Setup'!$I$7,$B52:$Y52)+'Model Setup'!$I$8*(SUMIF($AD$3:$BA$3,"&lt;"&amp;$DF52,$B52:$Y52)+SUMIF($AD$3:$BA$3,"&gt;="&amp;$DG52,$B52:$Y52)),
IF(AK$3=$DF52+'Model Setup'!$J$7,SUMIF($AD$3:$BA$3,"="&amp;$DF52+'Model Setup'!$J$7,$B52:$Y52)+'Model Setup'!$J$8*(SUMIF($AD$3:$BA$3,"&lt;"&amp;$DF52,$B52:$Y52)+SUMIF($AD$3:$BA$3,"&gt;="&amp;$DG52,$B52:$Y52)),
IF(AK$3=$DF52+'Model Setup'!$K$7,SUMIF($AD$3:$BA$3,"="&amp;$DF52+'Model Setup'!$K$7,$B52:$Y52)+'Model Setup'!$K$8*(SUMIF($AD$3:$BA$3,"&lt;"&amp;$DF52,$B52:$Y52)+SUMIF($AD$3:$BA$3,"&gt;="&amp;$DG52,$B52:$Y52)),
IF(AK$3=$DF52+'Model Setup'!$L$7,SUMIF($AD$3:$BA$3,"="&amp;$DF52+'Model Setup'!$L$7,$B52:$Y52)+'Model Setup'!$L$8*(SUMIF($AD$3:$BA$3,"&lt;"&amp;$DF52,$B52:$Y52)+SUMIF($AD$3:$BA$3,"&gt;="&amp;$DG52,$B52:$Y52)),
IF(AK$3=$DF52+'Model Setup'!$M$7,SUMIF($AD$3:$BA$3,"="&amp;$DF52+'Model Setup'!$M$7,$B52:$Y52)+'Model Setup'!$M$8*(SUMIF($AD$3:$BA$3,"&lt;"&amp;$DF52,$B52:$Y52)+SUMIF($AD$3:$BA$3,"&gt;="&amp;$DG52,$B52:$Y52)),
IF(AK$3=$DF52+'Model Setup'!$N$7,SUMIF($AD$3:$BA$3,"="&amp;$DF52+'Model Setup'!$N$7,$B52:$Y52)+'Model Setup'!$N$8*(SUMIF($AD$3:$BA$3,"&lt;"&amp;$DF52,$B52:$Y52)+SUMIF($AD$3:$BA$3,"&gt;="&amp;$DG52,$B52:$Y52)),
IF(AK$3&lt;$DG52,I52,0))))))))))))))),0)</f>
        <v>17</v>
      </c>
      <c r="AL52" s="47">
        <f>ROUND(IF(AL$3&lt;$DF52,0,
IF(AL$3=$DF52+'Model Setup'!$B$7,SUMIF($AD$3:$BA$3,"="&amp;$DF52+'Model Setup'!$B$7,$B52:$Y52)+'Model Setup'!$B$8*(SUMIF($AD$3:$BA$3,"&lt;"&amp;$DF52,$B52:$Y52)+SUMIF($AD$3:$BA$3,"&gt;="&amp;$DG52,$B52:$Y52)),
IF(AL$3=$DF52+'Model Setup'!$C$7,SUMIF($AD$3:$BA$3,"="&amp;$DF52+'Model Setup'!$C$7,$B52:$Y52)+'Model Setup'!$C$8*(SUMIF($AD$3:$BA$3,"&lt;"&amp;$DF52,$B52:$Y52)+SUMIF($AD$3:$BA$3,"&gt;="&amp;$DG52,$B52:$Y52)),
IF(AL$3=$DF52+'Model Setup'!$D$7,SUMIF($AD$3:$BA$3,"="&amp;$DF52+'Model Setup'!$D$7,$B52:$Y52)+'Model Setup'!$D$8*(SUMIF($AD$3:$BA$3,"&lt;"&amp;$DF52,$B52:$Y52)+SUMIF($AD$3:$BA$3,"&gt;="&amp;$DG52,$B52:$Y52)),
IF(AL$3=$DF52+'Model Setup'!$E$7,SUMIF($AD$3:$BA$3,"="&amp;$DF52+'Model Setup'!$E$7,$B52:$Y52)+'Model Setup'!$E$8*(SUMIF($AD$3:$BA$3,"&lt;"&amp;$DF52,$B52:$Y52)+SUMIF($AD$3:$BA$3,"&gt;="&amp;$DG52,$B52:$Y52)),
IF(AL$3=$DF52+'Model Setup'!$F$7,SUMIF($AD$3:$BA$3,"="&amp;$DF52+'Model Setup'!$F$7,$B52:$Y52)+'Model Setup'!$F$8*(SUMIF($AD$3:$BA$3,"&lt;"&amp;$DF52,$B52:$Y52)+SUMIF($AD$3:$BA$3,"&gt;="&amp;$DG52,$B52:$Y52)),
IF(AL$3=$DF52+'Model Setup'!$G$7,SUMIF($AD$3:$BA$3,"="&amp;$DF52+'Model Setup'!$G$7,$B52:$Y52)+'Model Setup'!$G$8*(SUMIF($AD$3:$BA$3,"&lt;"&amp;$DF52,$B52:$Y52)+SUMIF($AD$3:$BA$3,"&gt;="&amp;$DG52,$B52:$Y52)),
IF(AL$3=$DF52+'Model Setup'!$H$7,SUMIF($AD$3:$BA$3,"="&amp;$DF52+'Model Setup'!$H$7,$B52:$Y52)+'Model Setup'!$H$8*(SUMIF($AD$3:$BA$3,"&lt;"&amp;$DF52,$B52:$Y52)+SUMIF($AD$3:$BA$3,"&gt;="&amp;$DG52,$B52:$Y52)),
IF(AL$3=$DF52+'Model Setup'!$I$7,SUMIF($AD$3:$BA$3,"="&amp;$DF52+'Model Setup'!$I$7,$B52:$Y52)+'Model Setup'!$I$8*(SUMIF($AD$3:$BA$3,"&lt;"&amp;$DF52,$B52:$Y52)+SUMIF($AD$3:$BA$3,"&gt;="&amp;$DG52,$B52:$Y52)),
IF(AL$3=$DF52+'Model Setup'!$J$7,SUMIF($AD$3:$BA$3,"="&amp;$DF52+'Model Setup'!$J$7,$B52:$Y52)+'Model Setup'!$J$8*(SUMIF($AD$3:$BA$3,"&lt;"&amp;$DF52,$B52:$Y52)+SUMIF($AD$3:$BA$3,"&gt;="&amp;$DG52,$B52:$Y52)),
IF(AL$3=$DF52+'Model Setup'!$K$7,SUMIF($AD$3:$BA$3,"="&amp;$DF52+'Model Setup'!$K$7,$B52:$Y52)+'Model Setup'!$K$8*(SUMIF($AD$3:$BA$3,"&lt;"&amp;$DF52,$B52:$Y52)+SUMIF($AD$3:$BA$3,"&gt;="&amp;$DG52,$B52:$Y52)),
IF(AL$3=$DF52+'Model Setup'!$L$7,SUMIF($AD$3:$BA$3,"="&amp;$DF52+'Model Setup'!$L$7,$B52:$Y52)+'Model Setup'!$L$8*(SUMIF($AD$3:$BA$3,"&lt;"&amp;$DF52,$B52:$Y52)+SUMIF($AD$3:$BA$3,"&gt;="&amp;$DG52,$B52:$Y52)),
IF(AL$3=$DF52+'Model Setup'!$M$7,SUMIF($AD$3:$BA$3,"="&amp;$DF52+'Model Setup'!$M$7,$B52:$Y52)+'Model Setup'!$M$8*(SUMIF($AD$3:$BA$3,"&lt;"&amp;$DF52,$B52:$Y52)+SUMIF($AD$3:$BA$3,"&gt;="&amp;$DG52,$B52:$Y52)),
IF(AL$3=$DF52+'Model Setup'!$N$7,SUMIF($AD$3:$BA$3,"="&amp;$DF52+'Model Setup'!$N$7,$B52:$Y52)+'Model Setup'!$N$8*(SUMIF($AD$3:$BA$3,"&lt;"&amp;$DF52,$B52:$Y52)+SUMIF($AD$3:$BA$3,"&gt;="&amp;$DG52,$B52:$Y52)),
IF(AL$3&lt;$DG52,J52,0))))))))))))))),0)</f>
        <v>12</v>
      </c>
      <c r="AM52" s="47">
        <f>ROUND(IF(AM$3&lt;$DF52,0,
IF(AM$3=$DF52+'Model Setup'!$B$7,SUMIF($AD$3:$BA$3,"="&amp;$DF52+'Model Setup'!$B$7,$B52:$Y52)+'Model Setup'!$B$8*(SUMIF($AD$3:$BA$3,"&lt;"&amp;$DF52,$B52:$Y52)+SUMIF($AD$3:$BA$3,"&gt;="&amp;$DG52,$B52:$Y52)),
IF(AM$3=$DF52+'Model Setup'!$C$7,SUMIF($AD$3:$BA$3,"="&amp;$DF52+'Model Setup'!$C$7,$B52:$Y52)+'Model Setup'!$C$8*(SUMIF($AD$3:$BA$3,"&lt;"&amp;$DF52,$B52:$Y52)+SUMIF($AD$3:$BA$3,"&gt;="&amp;$DG52,$B52:$Y52)),
IF(AM$3=$DF52+'Model Setup'!$D$7,SUMIF($AD$3:$BA$3,"="&amp;$DF52+'Model Setup'!$D$7,$B52:$Y52)+'Model Setup'!$D$8*(SUMIF($AD$3:$BA$3,"&lt;"&amp;$DF52,$B52:$Y52)+SUMIF($AD$3:$BA$3,"&gt;="&amp;$DG52,$B52:$Y52)),
IF(AM$3=$DF52+'Model Setup'!$E$7,SUMIF($AD$3:$BA$3,"="&amp;$DF52+'Model Setup'!$E$7,$B52:$Y52)+'Model Setup'!$E$8*(SUMIF($AD$3:$BA$3,"&lt;"&amp;$DF52,$B52:$Y52)+SUMIF($AD$3:$BA$3,"&gt;="&amp;$DG52,$B52:$Y52)),
IF(AM$3=$DF52+'Model Setup'!$F$7,SUMIF($AD$3:$BA$3,"="&amp;$DF52+'Model Setup'!$F$7,$B52:$Y52)+'Model Setup'!$F$8*(SUMIF($AD$3:$BA$3,"&lt;"&amp;$DF52,$B52:$Y52)+SUMIF($AD$3:$BA$3,"&gt;="&amp;$DG52,$B52:$Y52)),
IF(AM$3=$DF52+'Model Setup'!$G$7,SUMIF($AD$3:$BA$3,"="&amp;$DF52+'Model Setup'!$G$7,$B52:$Y52)+'Model Setup'!$G$8*(SUMIF($AD$3:$BA$3,"&lt;"&amp;$DF52,$B52:$Y52)+SUMIF($AD$3:$BA$3,"&gt;="&amp;$DG52,$B52:$Y52)),
IF(AM$3=$DF52+'Model Setup'!$H$7,SUMIF($AD$3:$BA$3,"="&amp;$DF52+'Model Setup'!$H$7,$B52:$Y52)+'Model Setup'!$H$8*(SUMIF($AD$3:$BA$3,"&lt;"&amp;$DF52,$B52:$Y52)+SUMIF($AD$3:$BA$3,"&gt;="&amp;$DG52,$B52:$Y52)),
IF(AM$3=$DF52+'Model Setup'!$I$7,SUMIF($AD$3:$BA$3,"="&amp;$DF52+'Model Setup'!$I$7,$B52:$Y52)+'Model Setup'!$I$8*(SUMIF($AD$3:$BA$3,"&lt;"&amp;$DF52,$B52:$Y52)+SUMIF($AD$3:$BA$3,"&gt;="&amp;$DG52,$B52:$Y52)),
IF(AM$3=$DF52+'Model Setup'!$J$7,SUMIF($AD$3:$BA$3,"="&amp;$DF52+'Model Setup'!$J$7,$B52:$Y52)+'Model Setup'!$J$8*(SUMIF($AD$3:$BA$3,"&lt;"&amp;$DF52,$B52:$Y52)+SUMIF($AD$3:$BA$3,"&gt;="&amp;$DG52,$B52:$Y52)),
IF(AM$3=$DF52+'Model Setup'!$K$7,SUMIF($AD$3:$BA$3,"="&amp;$DF52+'Model Setup'!$K$7,$B52:$Y52)+'Model Setup'!$K$8*(SUMIF($AD$3:$BA$3,"&lt;"&amp;$DF52,$B52:$Y52)+SUMIF($AD$3:$BA$3,"&gt;="&amp;$DG52,$B52:$Y52)),
IF(AM$3=$DF52+'Model Setup'!$L$7,SUMIF($AD$3:$BA$3,"="&amp;$DF52+'Model Setup'!$L$7,$B52:$Y52)+'Model Setup'!$L$8*(SUMIF($AD$3:$BA$3,"&lt;"&amp;$DF52,$B52:$Y52)+SUMIF($AD$3:$BA$3,"&gt;="&amp;$DG52,$B52:$Y52)),
IF(AM$3=$DF52+'Model Setup'!$M$7,SUMIF($AD$3:$BA$3,"="&amp;$DF52+'Model Setup'!$M$7,$B52:$Y52)+'Model Setup'!$M$8*(SUMIF($AD$3:$BA$3,"&lt;"&amp;$DF52,$B52:$Y52)+SUMIF($AD$3:$BA$3,"&gt;="&amp;$DG52,$B52:$Y52)),
IF(AM$3=$DF52+'Model Setup'!$N$7,SUMIF($AD$3:$BA$3,"="&amp;$DF52+'Model Setup'!$N$7,$B52:$Y52)+'Model Setup'!$N$8*(SUMIF($AD$3:$BA$3,"&lt;"&amp;$DF52,$B52:$Y52)+SUMIF($AD$3:$BA$3,"&gt;="&amp;$DG52,$B52:$Y52)),
IF(AM$3&lt;$DG52,K52,0))))))))))))))),0)</f>
        <v>13</v>
      </c>
      <c r="AN52" s="47">
        <f>ROUND(IF(AN$3&lt;$DF52,0,
IF(AN$3=$DF52+'Model Setup'!$B$7,SUMIF($AD$3:$BA$3,"="&amp;$DF52+'Model Setup'!$B$7,$B52:$Y52)+'Model Setup'!$B$8*(SUMIF($AD$3:$BA$3,"&lt;"&amp;$DF52,$B52:$Y52)+SUMIF($AD$3:$BA$3,"&gt;="&amp;$DG52,$B52:$Y52)),
IF(AN$3=$DF52+'Model Setup'!$C$7,SUMIF($AD$3:$BA$3,"="&amp;$DF52+'Model Setup'!$C$7,$B52:$Y52)+'Model Setup'!$C$8*(SUMIF($AD$3:$BA$3,"&lt;"&amp;$DF52,$B52:$Y52)+SUMIF($AD$3:$BA$3,"&gt;="&amp;$DG52,$B52:$Y52)),
IF(AN$3=$DF52+'Model Setup'!$D$7,SUMIF($AD$3:$BA$3,"="&amp;$DF52+'Model Setup'!$D$7,$B52:$Y52)+'Model Setup'!$D$8*(SUMIF($AD$3:$BA$3,"&lt;"&amp;$DF52,$B52:$Y52)+SUMIF($AD$3:$BA$3,"&gt;="&amp;$DG52,$B52:$Y52)),
IF(AN$3=$DF52+'Model Setup'!$E$7,SUMIF($AD$3:$BA$3,"="&amp;$DF52+'Model Setup'!$E$7,$B52:$Y52)+'Model Setup'!$E$8*(SUMIF($AD$3:$BA$3,"&lt;"&amp;$DF52,$B52:$Y52)+SUMIF($AD$3:$BA$3,"&gt;="&amp;$DG52,$B52:$Y52)),
IF(AN$3=$DF52+'Model Setup'!$F$7,SUMIF($AD$3:$BA$3,"="&amp;$DF52+'Model Setup'!$F$7,$B52:$Y52)+'Model Setup'!$F$8*(SUMIF($AD$3:$BA$3,"&lt;"&amp;$DF52,$B52:$Y52)+SUMIF($AD$3:$BA$3,"&gt;="&amp;$DG52,$B52:$Y52)),
IF(AN$3=$DF52+'Model Setup'!$G$7,SUMIF($AD$3:$BA$3,"="&amp;$DF52+'Model Setup'!$G$7,$B52:$Y52)+'Model Setup'!$G$8*(SUMIF($AD$3:$BA$3,"&lt;"&amp;$DF52,$B52:$Y52)+SUMIF($AD$3:$BA$3,"&gt;="&amp;$DG52,$B52:$Y52)),
IF(AN$3=$DF52+'Model Setup'!$H$7,SUMIF($AD$3:$BA$3,"="&amp;$DF52+'Model Setup'!$H$7,$B52:$Y52)+'Model Setup'!$H$8*(SUMIF($AD$3:$BA$3,"&lt;"&amp;$DF52,$B52:$Y52)+SUMIF($AD$3:$BA$3,"&gt;="&amp;$DG52,$B52:$Y52)),
IF(AN$3=$DF52+'Model Setup'!$I$7,SUMIF($AD$3:$BA$3,"="&amp;$DF52+'Model Setup'!$I$7,$B52:$Y52)+'Model Setup'!$I$8*(SUMIF($AD$3:$BA$3,"&lt;"&amp;$DF52,$B52:$Y52)+SUMIF($AD$3:$BA$3,"&gt;="&amp;$DG52,$B52:$Y52)),
IF(AN$3=$DF52+'Model Setup'!$J$7,SUMIF($AD$3:$BA$3,"="&amp;$DF52+'Model Setup'!$J$7,$B52:$Y52)+'Model Setup'!$J$8*(SUMIF($AD$3:$BA$3,"&lt;"&amp;$DF52,$B52:$Y52)+SUMIF($AD$3:$BA$3,"&gt;="&amp;$DG52,$B52:$Y52)),
IF(AN$3=$DF52+'Model Setup'!$K$7,SUMIF($AD$3:$BA$3,"="&amp;$DF52+'Model Setup'!$K$7,$B52:$Y52)+'Model Setup'!$K$8*(SUMIF($AD$3:$BA$3,"&lt;"&amp;$DF52,$B52:$Y52)+SUMIF($AD$3:$BA$3,"&gt;="&amp;$DG52,$B52:$Y52)),
IF(AN$3=$DF52+'Model Setup'!$L$7,SUMIF($AD$3:$BA$3,"="&amp;$DF52+'Model Setup'!$L$7,$B52:$Y52)+'Model Setup'!$L$8*(SUMIF($AD$3:$BA$3,"&lt;"&amp;$DF52,$B52:$Y52)+SUMIF($AD$3:$BA$3,"&gt;="&amp;$DG52,$B52:$Y52)),
IF(AN$3=$DF52+'Model Setup'!$M$7,SUMIF($AD$3:$BA$3,"="&amp;$DF52+'Model Setup'!$M$7,$B52:$Y52)+'Model Setup'!$M$8*(SUMIF($AD$3:$BA$3,"&lt;"&amp;$DF52,$B52:$Y52)+SUMIF($AD$3:$BA$3,"&gt;="&amp;$DG52,$B52:$Y52)),
IF(AN$3=$DF52+'Model Setup'!$N$7,SUMIF($AD$3:$BA$3,"="&amp;$DF52+'Model Setup'!$N$7,$B52:$Y52)+'Model Setup'!$N$8*(SUMIF($AD$3:$BA$3,"&lt;"&amp;$DF52,$B52:$Y52)+SUMIF($AD$3:$BA$3,"&gt;="&amp;$DG52,$B52:$Y52)),
IF(AN$3&lt;$DG52,L52,0))))))))))))))),0)</f>
        <v>15</v>
      </c>
      <c r="AO52" s="47">
        <f>ROUND(IF(AO$3&lt;$DF52,0,
IF(AO$3=$DF52+'Model Setup'!$B$7,SUMIF($AD$3:$BA$3,"="&amp;$DF52+'Model Setup'!$B$7,$B52:$Y52)+'Model Setup'!$B$8*(SUMIF($AD$3:$BA$3,"&lt;"&amp;$DF52,$B52:$Y52)+SUMIF($AD$3:$BA$3,"&gt;="&amp;$DG52,$B52:$Y52)),
IF(AO$3=$DF52+'Model Setup'!$C$7,SUMIF($AD$3:$BA$3,"="&amp;$DF52+'Model Setup'!$C$7,$B52:$Y52)+'Model Setup'!$C$8*(SUMIF($AD$3:$BA$3,"&lt;"&amp;$DF52,$B52:$Y52)+SUMIF($AD$3:$BA$3,"&gt;="&amp;$DG52,$B52:$Y52)),
IF(AO$3=$DF52+'Model Setup'!$D$7,SUMIF($AD$3:$BA$3,"="&amp;$DF52+'Model Setup'!$D$7,$B52:$Y52)+'Model Setup'!$D$8*(SUMIF($AD$3:$BA$3,"&lt;"&amp;$DF52,$B52:$Y52)+SUMIF($AD$3:$BA$3,"&gt;="&amp;$DG52,$B52:$Y52)),
IF(AO$3=$DF52+'Model Setup'!$E$7,SUMIF($AD$3:$BA$3,"="&amp;$DF52+'Model Setup'!$E$7,$B52:$Y52)+'Model Setup'!$E$8*(SUMIF($AD$3:$BA$3,"&lt;"&amp;$DF52,$B52:$Y52)+SUMIF($AD$3:$BA$3,"&gt;="&amp;$DG52,$B52:$Y52)),
IF(AO$3=$DF52+'Model Setup'!$F$7,SUMIF($AD$3:$BA$3,"="&amp;$DF52+'Model Setup'!$F$7,$B52:$Y52)+'Model Setup'!$F$8*(SUMIF($AD$3:$BA$3,"&lt;"&amp;$DF52,$B52:$Y52)+SUMIF($AD$3:$BA$3,"&gt;="&amp;$DG52,$B52:$Y52)),
IF(AO$3=$DF52+'Model Setup'!$G$7,SUMIF($AD$3:$BA$3,"="&amp;$DF52+'Model Setup'!$G$7,$B52:$Y52)+'Model Setup'!$G$8*(SUMIF($AD$3:$BA$3,"&lt;"&amp;$DF52,$B52:$Y52)+SUMIF($AD$3:$BA$3,"&gt;="&amp;$DG52,$B52:$Y52)),
IF(AO$3=$DF52+'Model Setup'!$H$7,SUMIF($AD$3:$BA$3,"="&amp;$DF52+'Model Setup'!$H$7,$B52:$Y52)+'Model Setup'!$H$8*(SUMIF($AD$3:$BA$3,"&lt;"&amp;$DF52,$B52:$Y52)+SUMIF($AD$3:$BA$3,"&gt;="&amp;$DG52,$B52:$Y52)),
IF(AO$3=$DF52+'Model Setup'!$I$7,SUMIF($AD$3:$BA$3,"="&amp;$DF52+'Model Setup'!$I$7,$B52:$Y52)+'Model Setup'!$I$8*(SUMIF($AD$3:$BA$3,"&lt;"&amp;$DF52,$B52:$Y52)+SUMIF($AD$3:$BA$3,"&gt;="&amp;$DG52,$B52:$Y52)),
IF(AO$3=$DF52+'Model Setup'!$J$7,SUMIF($AD$3:$BA$3,"="&amp;$DF52+'Model Setup'!$J$7,$B52:$Y52)+'Model Setup'!$J$8*(SUMIF($AD$3:$BA$3,"&lt;"&amp;$DF52,$B52:$Y52)+SUMIF($AD$3:$BA$3,"&gt;="&amp;$DG52,$B52:$Y52)),
IF(AO$3=$DF52+'Model Setup'!$K$7,SUMIF($AD$3:$BA$3,"="&amp;$DF52+'Model Setup'!$K$7,$B52:$Y52)+'Model Setup'!$K$8*(SUMIF($AD$3:$BA$3,"&lt;"&amp;$DF52,$B52:$Y52)+SUMIF($AD$3:$BA$3,"&gt;="&amp;$DG52,$B52:$Y52)),
IF(AO$3=$DF52+'Model Setup'!$L$7,SUMIF($AD$3:$BA$3,"="&amp;$DF52+'Model Setup'!$L$7,$B52:$Y52)+'Model Setup'!$L$8*(SUMIF($AD$3:$BA$3,"&lt;"&amp;$DF52,$B52:$Y52)+SUMIF($AD$3:$BA$3,"&gt;="&amp;$DG52,$B52:$Y52)),
IF(AO$3=$DF52+'Model Setup'!$M$7,SUMIF($AD$3:$BA$3,"="&amp;$DF52+'Model Setup'!$M$7,$B52:$Y52)+'Model Setup'!$M$8*(SUMIF($AD$3:$BA$3,"&lt;"&amp;$DF52,$B52:$Y52)+SUMIF($AD$3:$BA$3,"&gt;="&amp;$DG52,$B52:$Y52)),
IF(AO$3=$DF52+'Model Setup'!$N$7,SUMIF($AD$3:$BA$3,"="&amp;$DF52+'Model Setup'!$N$7,$B52:$Y52)+'Model Setup'!$N$8*(SUMIF($AD$3:$BA$3,"&lt;"&amp;$DF52,$B52:$Y52)+SUMIF($AD$3:$BA$3,"&gt;="&amp;$DG52,$B52:$Y52)),
IF(AO$3&lt;$DG52,M52,0))))))))))))))),0)</f>
        <v>16</v>
      </c>
      <c r="AP52" s="47">
        <f>ROUND(IF(AP$3&lt;$DF52,0,
IF(AP$3=$DF52+'Model Setup'!$B$7,SUMIF($AD$3:$BA$3,"="&amp;$DF52+'Model Setup'!$B$7,$B52:$Y52)+'Model Setup'!$B$8*(SUMIF($AD$3:$BA$3,"&lt;"&amp;$DF52,$B52:$Y52)+SUMIF($AD$3:$BA$3,"&gt;="&amp;$DG52,$B52:$Y52)),
IF(AP$3=$DF52+'Model Setup'!$C$7,SUMIF($AD$3:$BA$3,"="&amp;$DF52+'Model Setup'!$C$7,$B52:$Y52)+'Model Setup'!$C$8*(SUMIF($AD$3:$BA$3,"&lt;"&amp;$DF52,$B52:$Y52)+SUMIF($AD$3:$BA$3,"&gt;="&amp;$DG52,$B52:$Y52)),
IF(AP$3=$DF52+'Model Setup'!$D$7,SUMIF($AD$3:$BA$3,"="&amp;$DF52+'Model Setup'!$D$7,$B52:$Y52)+'Model Setup'!$D$8*(SUMIF($AD$3:$BA$3,"&lt;"&amp;$DF52,$B52:$Y52)+SUMIF($AD$3:$BA$3,"&gt;="&amp;$DG52,$B52:$Y52)),
IF(AP$3=$DF52+'Model Setup'!$E$7,SUMIF($AD$3:$BA$3,"="&amp;$DF52+'Model Setup'!$E$7,$B52:$Y52)+'Model Setup'!$E$8*(SUMIF($AD$3:$BA$3,"&lt;"&amp;$DF52,$B52:$Y52)+SUMIF($AD$3:$BA$3,"&gt;="&amp;$DG52,$B52:$Y52)),
IF(AP$3=$DF52+'Model Setup'!$F$7,SUMIF($AD$3:$BA$3,"="&amp;$DF52+'Model Setup'!$F$7,$B52:$Y52)+'Model Setup'!$F$8*(SUMIF($AD$3:$BA$3,"&lt;"&amp;$DF52,$B52:$Y52)+SUMIF($AD$3:$BA$3,"&gt;="&amp;$DG52,$B52:$Y52)),
IF(AP$3=$DF52+'Model Setup'!$G$7,SUMIF($AD$3:$BA$3,"="&amp;$DF52+'Model Setup'!$G$7,$B52:$Y52)+'Model Setup'!$G$8*(SUMIF($AD$3:$BA$3,"&lt;"&amp;$DF52,$B52:$Y52)+SUMIF($AD$3:$BA$3,"&gt;="&amp;$DG52,$B52:$Y52)),
IF(AP$3=$DF52+'Model Setup'!$H$7,SUMIF($AD$3:$BA$3,"="&amp;$DF52+'Model Setup'!$H$7,$B52:$Y52)+'Model Setup'!$H$8*(SUMIF($AD$3:$BA$3,"&lt;"&amp;$DF52,$B52:$Y52)+SUMIF($AD$3:$BA$3,"&gt;="&amp;$DG52,$B52:$Y52)),
IF(AP$3=$DF52+'Model Setup'!$I$7,SUMIF($AD$3:$BA$3,"="&amp;$DF52+'Model Setup'!$I$7,$B52:$Y52)+'Model Setup'!$I$8*(SUMIF($AD$3:$BA$3,"&lt;"&amp;$DF52,$B52:$Y52)+SUMIF($AD$3:$BA$3,"&gt;="&amp;$DG52,$B52:$Y52)),
IF(AP$3=$DF52+'Model Setup'!$J$7,SUMIF($AD$3:$BA$3,"="&amp;$DF52+'Model Setup'!$J$7,$B52:$Y52)+'Model Setup'!$J$8*(SUMIF($AD$3:$BA$3,"&lt;"&amp;$DF52,$B52:$Y52)+SUMIF($AD$3:$BA$3,"&gt;="&amp;$DG52,$B52:$Y52)),
IF(AP$3=$DF52+'Model Setup'!$K$7,SUMIF($AD$3:$BA$3,"="&amp;$DF52+'Model Setup'!$K$7,$B52:$Y52)+'Model Setup'!$K$8*(SUMIF($AD$3:$BA$3,"&lt;"&amp;$DF52,$B52:$Y52)+SUMIF($AD$3:$BA$3,"&gt;="&amp;$DG52,$B52:$Y52)),
IF(AP$3=$DF52+'Model Setup'!$L$7,SUMIF($AD$3:$BA$3,"="&amp;$DF52+'Model Setup'!$L$7,$B52:$Y52)+'Model Setup'!$L$8*(SUMIF($AD$3:$BA$3,"&lt;"&amp;$DF52,$B52:$Y52)+SUMIF($AD$3:$BA$3,"&gt;="&amp;$DG52,$B52:$Y52)),
IF(AP$3=$DF52+'Model Setup'!$M$7,SUMIF($AD$3:$BA$3,"="&amp;$DF52+'Model Setup'!$M$7,$B52:$Y52)+'Model Setup'!$M$8*(SUMIF($AD$3:$BA$3,"&lt;"&amp;$DF52,$B52:$Y52)+SUMIF($AD$3:$BA$3,"&gt;="&amp;$DG52,$B52:$Y52)),
IF(AP$3=$DF52+'Model Setup'!$N$7,SUMIF($AD$3:$BA$3,"="&amp;$DF52+'Model Setup'!$N$7,$B52:$Y52)+'Model Setup'!$N$8*(SUMIF($AD$3:$BA$3,"&lt;"&amp;$DF52,$B52:$Y52)+SUMIF($AD$3:$BA$3,"&gt;="&amp;$DG52,$B52:$Y52)),
IF(AP$3&lt;$DG52,N52,0))))))))))))))),0)</f>
        <v>7</v>
      </c>
      <c r="AQ52" s="47">
        <f>ROUND(IF(AQ$3&lt;$DF52,0,
IF(AQ$3=$DF52+'Model Setup'!$B$7,SUMIF($AD$3:$BA$3,"="&amp;$DF52+'Model Setup'!$B$7,$B52:$Y52)+'Model Setup'!$B$8*(SUMIF($AD$3:$BA$3,"&lt;"&amp;$DF52,$B52:$Y52)+SUMIF($AD$3:$BA$3,"&gt;="&amp;$DG52,$B52:$Y52)),
IF(AQ$3=$DF52+'Model Setup'!$C$7,SUMIF($AD$3:$BA$3,"="&amp;$DF52+'Model Setup'!$C$7,$B52:$Y52)+'Model Setup'!$C$8*(SUMIF($AD$3:$BA$3,"&lt;"&amp;$DF52,$B52:$Y52)+SUMIF($AD$3:$BA$3,"&gt;="&amp;$DG52,$B52:$Y52)),
IF(AQ$3=$DF52+'Model Setup'!$D$7,SUMIF($AD$3:$BA$3,"="&amp;$DF52+'Model Setup'!$D$7,$B52:$Y52)+'Model Setup'!$D$8*(SUMIF($AD$3:$BA$3,"&lt;"&amp;$DF52,$B52:$Y52)+SUMIF($AD$3:$BA$3,"&gt;="&amp;$DG52,$B52:$Y52)),
IF(AQ$3=$DF52+'Model Setup'!$E$7,SUMIF($AD$3:$BA$3,"="&amp;$DF52+'Model Setup'!$E$7,$B52:$Y52)+'Model Setup'!$E$8*(SUMIF($AD$3:$BA$3,"&lt;"&amp;$DF52,$B52:$Y52)+SUMIF($AD$3:$BA$3,"&gt;="&amp;$DG52,$B52:$Y52)),
IF(AQ$3=$DF52+'Model Setup'!$F$7,SUMIF($AD$3:$BA$3,"="&amp;$DF52+'Model Setup'!$F$7,$B52:$Y52)+'Model Setup'!$F$8*(SUMIF($AD$3:$BA$3,"&lt;"&amp;$DF52,$B52:$Y52)+SUMIF($AD$3:$BA$3,"&gt;="&amp;$DG52,$B52:$Y52)),
IF(AQ$3=$DF52+'Model Setup'!$G$7,SUMIF($AD$3:$BA$3,"="&amp;$DF52+'Model Setup'!$G$7,$B52:$Y52)+'Model Setup'!$G$8*(SUMIF($AD$3:$BA$3,"&lt;"&amp;$DF52,$B52:$Y52)+SUMIF($AD$3:$BA$3,"&gt;="&amp;$DG52,$B52:$Y52)),
IF(AQ$3=$DF52+'Model Setup'!$H$7,SUMIF($AD$3:$BA$3,"="&amp;$DF52+'Model Setup'!$H$7,$B52:$Y52)+'Model Setup'!$H$8*(SUMIF($AD$3:$BA$3,"&lt;"&amp;$DF52,$B52:$Y52)+SUMIF($AD$3:$BA$3,"&gt;="&amp;$DG52,$B52:$Y52)),
IF(AQ$3=$DF52+'Model Setup'!$I$7,SUMIF($AD$3:$BA$3,"="&amp;$DF52+'Model Setup'!$I$7,$B52:$Y52)+'Model Setup'!$I$8*(SUMIF($AD$3:$BA$3,"&lt;"&amp;$DF52,$B52:$Y52)+SUMIF($AD$3:$BA$3,"&gt;="&amp;$DG52,$B52:$Y52)),
IF(AQ$3=$DF52+'Model Setup'!$J$7,SUMIF($AD$3:$BA$3,"="&amp;$DF52+'Model Setup'!$J$7,$B52:$Y52)+'Model Setup'!$J$8*(SUMIF($AD$3:$BA$3,"&lt;"&amp;$DF52,$B52:$Y52)+SUMIF($AD$3:$BA$3,"&gt;="&amp;$DG52,$B52:$Y52)),
IF(AQ$3=$DF52+'Model Setup'!$K$7,SUMIF($AD$3:$BA$3,"="&amp;$DF52+'Model Setup'!$K$7,$B52:$Y52)+'Model Setup'!$K$8*(SUMIF($AD$3:$BA$3,"&lt;"&amp;$DF52,$B52:$Y52)+SUMIF($AD$3:$BA$3,"&gt;="&amp;$DG52,$B52:$Y52)),
IF(AQ$3=$DF52+'Model Setup'!$L$7,SUMIF($AD$3:$BA$3,"="&amp;$DF52+'Model Setup'!$L$7,$B52:$Y52)+'Model Setup'!$L$8*(SUMIF($AD$3:$BA$3,"&lt;"&amp;$DF52,$B52:$Y52)+SUMIF($AD$3:$BA$3,"&gt;="&amp;$DG52,$B52:$Y52)),
IF(AQ$3=$DF52+'Model Setup'!$M$7,SUMIF($AD$3:$BA$3,"="&amp;$DF52+'Model Setup'!$M$7,$B52:$Y52)+'Model Setup'!$M$8*(SUMIF($AD$3:$BA$3,"&lt;"&amp;$DF52,$B52:$Y52)+SUMIF($AD$3:$BA$3,"&gt;="&amp;$DG52,$B52:$Y52)),
IF(AQ$3=$DF52+'Model Setup'!$N$7,SUMIF($AD$3:$BA$3,"="&amp;$DF52+'Model Setup'!$N$7,$B52:$Y52)+'Model Setup'!$N$8*(SUMIF($AD$3:$BA$3,"&lt;"&amp;$DF52,$B52:$Y52)+SUMIF($AD$3:$BA$3,"&gt;="&amp;$DG52,$B52:$Y52)),
IF(AQ$3&lt;$DG52,O52,0))))))))))))))),0)</f>
        <v>4</v>
      </c>
      <c r="AR52" s="47">
        <f>ROUND(IF(AR$3&lt;$DF52,0,
IF(AR$3=$DF52+'Model Setup'!$B$7,SUMIF($AD$3:$BA$3,"="&amp;$DF52+'Model Setup'!$B$7,$B52:$Y52)+'Model Setup'!$B$8*(SUMIF($AD$3:$BA$3,"&lt;"&amp;$DF52,$B52:$Y52)+SUMIF($AD$3:$BA$3,"&gt;="&amp;$DG52,$B52:$Y52)),
IF(AR$3=$DF52+'Model Setup'!$C$7,SUMIF($AD$3:$BA$3,"="&amp;$DF52+'Model Setup'!$C$7,$B52:$Y52)+'Model Setup'!$C$8*(SUMIF($AD$3:$BA$3,"&lt;"&amp;$DF52,$B52:$Y52)+SUMIF($AD$3:$BA$3,"&gt;="&amp;$DG52,$B52:$Y52)),
IF(AR$3=$DF52+'Model Setup'!$D$7,SUMIF($AD$3:$BA$3,"="&amp;$DF52+'Model Setup'!$D$7,$B52:$Y52)+'Model Setup'!$D$8*(SUMIF($AD$3:$BA$3,"&lt;"&amp;$DF52,$B52:$Y52)+SUMIF($AD$3:$BA$3,"&gt;="&amp;$DG52,$B52:$Y52)),
IF(AR$3=$DF52+'Model Setup'!$E$7,SUMIF($AD$3:$BA$3,"="&amp;$DF52+'Model Setup'!$E$7,$B52:$Y52)+'Model Setup'!$E$8*(SUMIF($AD$3:$BA$3,"&lt;"&amp;$DF52,$B52:$Y52)+SUMIF($AD$3:$BA$3,"&gt;="&amp;$DG52,$B52:$Y52)),
IF(AR$3=$DF52+'Model Setup'!$F$7,SUMIF($AD$3:$BA$3,"="&amp;$DF52+'Model Setup'!$F$7,$B52:$Y52)+'Model Setup'!$F$8*(SUMIF($AD$3:$BA$3,"&lt;"&amp;$DF52,$B52:$Y52)+SUMIF($AD$3:$BA$3,"&gt;="&amp;$DG52,$B52:$Y52)),
IF(AR$3=$DF52+'Model Setup'!$G$7,SUMIF($AD$3:$BA$3,"="&amp;$DF52+'Model Setup'!$G$7,$B52:$Y52)+'Model Setup'!$G$8*(SUMIF($AD$3:$BA$3,"&lt;"&amp;$DF52,$B52:$Y52)+SUMIF($AD$3:$BA$3,"&gt;="&amp;$DG52,$B52:$Y52)),
IF(AR$3=$DF52+'Model Setup'!$H$7,SUMIF($AD$3:$BA$3,"="&amp;$DF52+'Model Setup'!$H$7,$B52:$Y52)+'Model Setup'!$H$8*(SUMIF($AD$3:$BA$3,"&lt;"&amp;$DF52,$B52:$Y52)+SUMIF($AD$3:$BA$3,"&gt;="&amp;$DG52,$B52:$Y52)),
IF(AR$3=$DF52+'Model Setup'!$I$7,SUMIF($AD$3:$BA$3,"="&amp;$DF52+'Model Setup'!$I$7,$B52:$Y52)+'Model Setup'!$I$8*(SUMIF($AD$3:$BA$3,"&lt;"&amp;$DF52,$B52:$Y52)+SUMIF($AD$3:$BA$3,"&gt;="&amp;$DG52,$B52:$Y52)),
IF(AR$3=$DF52+'Model Setup'!$J$7,SUMIF($AD$3:$BA$3,"="&amp;$DF52+'Model Setup'!$J$7,$B52:$Y52)+'Model Setup'!$J$8*(SUMIF($AD$3:$BA$3,"&lt;"&amp;$DF52,$B52:$Y52)+SUMIF($AD$3:$BA$3,"&gt;="&amp;$DG52,$B52:$Y52)),
IF(AR$3=$DF52+'Model Setup'!$K$7,SUMIF($AD$3:$BA$3,"="&amp;$DF52+'Model Setup'!$K$7,$B52:$Y52)+'Model Setup'!$K$8*(SUMIF($AD$3:$BA$3,"&lt;"&amp;$DF52,$B52:$Y52)+SUMIF($AD$3:$BA$3,"&gt;="&amp;$DG52,$B52:$Y52)),
IF(AR$3=$DF52+'Model Setup'!$L$7,SUMIF($AD$3:$BA$3,"="&amp;$DF52+'Model Setup'!$L$7,$B52:$Y52)+'Model Setup'!$L$8*(SUMIF($AD$3:$BA$3,"&lt;"&amp;$DF52,$B52:$Y52)+SUMIF($AD$3:$BA$3,"&gt;="&amp;$DG52,$B52:$Y52)),
IF(AR$3=$DF52+'Model Setup'!$M$7,SUMIF($AD$3:$BA$3,"="&amp;$DF52+'Model Setup'!$M$7,$B52:$Y52)+'Model Setup'!$M$8*(SUMIF($AD$3:$BA$3,"&lt;"&amp;$DF52,$B52:$Y52)+SUMIF($AD$3:$BA$3,"&gt;="&amp;$DG52,$B52:$Y52)),
IF(AR$3=$DF52+'Model Setup'!$N$7,SUMIF($AD$3:$BA$3,"="&amp;$DF52+'Model Setup'!$N$7,$B52:$Y52)+'Model Setup'!$N$8*(SUMIF($AD$3:$BA$3,"&lt;"&amp;$DF52,$B52:$Y52)+SUMIF($AD$3:$BA$3,"&gt;="&amp;$DG52,$B52:$Y52)),
IF(AR$3&lt;$DG52,P52,0))))))))))))))),0)</f>
        <v>6</v>
      </c>
      <c r="AS52" s="47">
        <f>ROUND(IF(AS$3&lt;$DF52,0,
IF(AS$3=$DF52+'Model Setup'!$B$7,SUMIF($AD$3:$BA$3,"="&amp;$DF52+'Model Setup'!$B$7,$B52:$Y52)+'Model Setup'!$B$8*(SUMIF($AD$3:$BA$3,"&lt;"&amp;$DF52,$B52:$Y52)+SUMIF($AD$3:$BA$3,"&gt;="&amp;$DG52,$B52:$Y52)),
IF(AS$3=$DF52+'Model Setup'!$C$7,SUMIF($AD$3:$BA$3,"="&amp;$DF52+'Model Setup'!$C$7,$B52:$Y52)+'Model Setup'!$C$8*(SUMIF($AD$3:$BA$3,"&lt;"&amp;$DF52,$B52:$Y52)+SUMIF($AD$3:$BA$3,"&gt;="&amp;$DG52,$B52:$Y52)),
IF(AS$3=$DF52+'Model Setup'!$D$7,SUMIF($AD$3:$BA$3,"="&amp;$DF52+'Model Setup'!$D$7,$B52:$Y52)+'Model Setup'!$D$8*(SUMIF($AD$3:$BA$3,"&lt;"&amp;$DF52,$B52:$Y52)+SUMIF($AD$3:$BA$3,"&gt;="&amp;$DG52,$B52:$Y52)),
IF(AS$3=$DF52+'Model Setup'!$E$7,SUMIF($AD$3:$BA$3,"="&amp;$DF52+'Model Setup'!$E$7,$B52:$Y52)+'Model Setup'!$E$8*(SUMIF($AD$3:$BA$3,"&lt;"&amp;$DF52,$B52:$Y52)+SUMIF($AD$3:$BA$3,"&gt;="&amp;$DG52,$B52:$Y52)),
IF(AS$3=$DF52+'Model Setup'!$F$7,SUMIF($AD$3:$BA$3,"="&amp;$DF52+'Model Setup'!$F$7,$B52:$Y52)+'Model Setup'!$F$8*(SUMIF($AD$3:$BA$3,"&lt;"&amp;$DF52,$B52:$Y52)+SUMIF($AD$3:$BA$3,"&gt;="&amp;$DG52,$B52:$Y52)),
IF(AS$3=$DF52+'Model Setup'!$G$7,SUMIF($AD$3:$BA$3,"="&amp;$DF52+'Model Setup'!$G$7,$B52:$Y52)+'Model Setup'!$G$8*(SUMIF($AD$3:$BA$3,"&lt;"&amp;$DF52,$B52:$Y52)+SUMIF($AD$3:$BA$3,"&gt;="&amp;$DG52,$B52:$Y52)),
IF(AS$3=$DF52+'Model Setup'!$H$7,SUMIF($AD$3:$BA$3,"="&amp;$DF52+'Model Setup'!$H$7,$B52:$Y52)+'Model Setup'!$H$8*(SUMIF($AD$3:$BA$3,"&lt;"&amp;$DF52,$B52:$Y52)+SUMIF($AD$3:$BA$3,"&gt;="&amp;$DG52,$B52:$Y52)),
IF(AS$3=$DF52+'Model Setup'!$I$7,SUMIF($AD$3:$BA$3,"="&amp;$DF52+'Model Setup'!$I$7,$B52:$Y52)+'Model Setup'!$I$8*(SUMIF($AD$3:$BA$3,"&lt;"&amp;$DF52,$B52:$Y52)+SUMIF($AD$3:$BA$3,"&gt;="&amp;$DG52,$B52:$Y52)),
IF(AS$3=$DF52+'Model Setup'!$J$7,SUMIF($AD$3:$BA$3,"="&amp;$DF52+'Model Setup'!$J$7,$B52:$Y52)+'Model Setup'!$J$8*(SUMIF($AD$3:$BA$3,"&lt;"&amp;$DF52,$B52:$Y52)+SUMIF($AD$3:$BA$3,"&gt;="&amp;$DG52,$B52:$Y52)),
IF(AS$3=$DF52+'Model Setup'!$K$7,SUMIF($AD$3:$BA$3,"="&amp;$DF52+'Model Setup'!$K$7,$B52:$Y52)+'Model Setup'!$K$8*(SUMIF($AD$3:$BA$3,"&lt;"&amp;$DF52,$B52:$Y52)+SUMIF($AD$3:$BA$3,"&gt;="&amp;$DG52,$B52:$Y52)),
IF(AS$3=$DF52+'Model Setup'!$L$7,SUMIF($AD$3:$BA$3,"="&amp;$DF52+'Model Setup'!$L$7,$B52:$Y52)+'Model Setup'!$L$8*(SUMIF($AD$3:$BA$3,"&lt;"&amp;$DF52,$B52:$Y52)+SUMIF($AD$3:$BA$3,"&gt;="&amp;$DG52,$B52:$Y52)),
IF(AS$3=$DF52+'Model Setup'!$M$7,SUMIF($AD$3:$BA$3,"="&amp;$DF52+'Model Setup'!$M$7,$B52:$Y52)+'Model Setup'!$M$8*(SUMIF($AD$3:$BA$3,"&lt;"&amp;$DF52,$B52:$Y52)+SUMIF($AD$3:$BA$3,"&gt;="&amp;$DG52,$B52:$Y52)),
IF(AS$3=$DF52+'Model Setup'!$N$7,SUMIF($AD$3:$BA$3,"="&amp;$DF52+'Model Setup'!$N$7,$B52:$Y52)+'Model Setup'!$N$8*(SUMIF($AD$3:$BA$3,"&lt;"&amp;$DF52,$B52:$Y52)+SUMIF($AD$3:$BA$3,"&gt;="&amp;$DG52,$B52:$Y52)),
IF(AS$3&lt;$DG52,Q52,0))))))))))))))),0)</f>
        <v>8</v>
      </c>
      <c r="AT52" s="47">
        <f>ROUND(IF(AT$3&lt;$DF52,0,
IF(AT$3=$DF52+'Model Setup'!$B$7,SUMIF($AD$3:$BA$3,"="&amp;$DF52+'Model Setup'!$B$7,$B52:$Y52)+'Model Setup'!$B$8*(SUMIF($AD$3:$BA$3,"&lt;"&amp;$DF52,$B52:$Y52)+SUMIF($AD$3:$BA$3,"&gt;="&amp;$DG52,$B52:$Y52)),
IF(AT$3=$DF52+'Model Setup'!$C$7,SUMIF($AD$3:$BA$3,"="&amp;$DF52+'Model Setup'!$C$7,$B52:$Y52)+'Model Setup'!$C$8*(SUMIF($AD$3:$BA$3,"&lt;"&amp;$DF52,$B52:$Y52)+SUMIF($AD$3:$BA$3,"&gt;="&amp;$DG52,$B52:$Y52)),
IF(AT$3=$DF52+'Model Setup'!$D$7,SUMIF($AD$3:$BA$3,"="&amp;$DF52+'Model Setup'!$D$7,$B52:$Y52)+'Model Setup'!$D$8*(SUMIF($AD$3:$BA$3,"&lt;"&amp;$DF52,$B52:$Y52)+SUMIF($AD$3:$BA$3,"&gt;="&amp;$DG52,$B52:$Y52)),
IF(AT$3=$DF52+'Model Setup'!$E$7,SUMIF($AD$3:$BA$3,"="&amp;$DF52+'Model Setup'!$E$7,$B52:$Y52)+'Model Setup'!$E$8*(SUMIF($AD$3:$BA$3,"&lt;"&amp;$DF52,$B52:$Y52)+SUMIF($AD$3:$BA$3,"&gt;="&amp;$DG52,$B52:$Y52)),
IF(AT$3=$DF52+'Model Setup'!$F$7,SUMIF($AD$3:$BA$3,"="&amp;$DF52+'Model Setup'!$F$7,$B52:$Y52)+'Model Setup'!$F$8*(SUMIF($AD$3:$BA$3,"&lt;"&amp;$DF52,$B52:$Y52)+SUMIF($AD$3:$BA$3,"&gt;="&amp;$DG52,$B52:$Y52)),
IF(AT$3=$DF52+'Model Setup'!$G$7,SUMIF($AD$3:$BA$3,"="&amp;$DF52+'Model Setup'!$G$7,$B52:$Y52)+'Model Setup'!$G$8*(SUMIF($AD$3:$BA$3,"&lt;"&amp;$DF52,$B52:$Y52)+SUMIF($AD$3:$BA$3,"&gt;="&amp;$DG52,$B52:$Y52)),
IF(AT$3=$DF52+'Model Setup'!$H$7,SUMIF($AD$3:$BA$3,"="&amp;$DF52+'Model Setup'!$H$7,$B52:$Y52)+'Model Setup'!$H$8*(SUMIF($AD$3:$BA$3,"&lt;"&amp;$DF52,$B52:$Y52)+SUMIF($AD$3:$BA$3,"&gt;="&amp;$DG52,$B52:$Y52)),
IF(AT$3=$DF52+'Model Setup'!$I$7,SUMIF($AD$3:$BA$3,"="&amp;$DF52+'Model Setup'!$I$7,$B52:$Y52)+'Model Setup'!$I$8*(SUMIF($AD$3:$BA$3,"&lt;"&amp;$DF52,$B52:$Y52)+SUMIF($AD$3:$BA$3,"&gt;="&amp;$DG52,$B52:$Y52)),
IF(AT$3=$DF52+'Model Setup'!$J$7,SUMIF($AD$3:$BA$3,"="&amp;$DF52+'Model Setup'!$J$7,$B52:$Y52)+'Model Setup'!$J$8*(SUMIF($AD$3:$BA$3,"&lt;"&amp;$DF52,$B52:$Y52)+SUMIF($AD$3:$BA$3,"&gt;="&amp;$DG52,$B52:$Y52)),
IF(AT$3=$DF52+'Model Setup'!$K$7,SUMIF($AD$3:$BA$3,"="&amp;$DF52+'Model Setup'!$K$7,$B52:$Y52)+'Model Setup'!$K$8*(SUMIF($AD$3:$BA$3,"&lt;"&amp;$DF52,$B52:$Y52)+SUMIF($AD$3:$BA$3,"&gt;="&amp;$DG52,$B52:$Y52)),
IF(AT$3=$DF52+'Model Setup'!$L$7,SUMIF($AD$3:$BA$3,"="&amp;$DF52+'Model Setup'!$L$7,$B52:$Y52)+'Model Setup'!$L$8*(SUMIF($AD$3:$BA$3,"&lt;"&amp;$DF52,$B52:$Y52)+SUMIF($AD$3:$BA$3,"&gt;="&amp;$DG52,$B52:$Y52)),
IF(AT$3=$DF52+'Model Setup'!$M$7,SUMIF($AD$3:$BA$3,"="&amp;$DF52+'Model Setup'!$M$7,$B52:$Y52)+'Model Setup'!$M$8*(SUMIF($AD$3:$BA$3,"&lt;"&amp;$DF52,$B52:$Y52)+SUMIF($AD$3:$BA$3,"&gt;="&amp;$DG52,$B52:$Y52)),
IF(AT$3=$DF52+'Model Setup'!$N$7,SUMIF($AD$3:$BA$3,"="&amp;$DF52+'Model Setup'!$N$7,$B52:$Y52)+'Model Setup'!$N$8*(SUMIF($AD$3:$BA$3,"&lt;"&amp;$DF52,$B52:$Y52)+SUMIF($AD$3:$BA$3,"&gt;="&amp;$DG52,$B52:$Y52)),
IF(AT$3&lt;$DG52,R52,0))))))))))))))),0)</f>
        <v>5</v>
      </c>
      <c r="AU52" s="47">
        <f>ROUND(IF(AU$3&lt;$DF52,0,
IF(AU$3=$DF52+'Model Setup'!$B$7,SUMIF($AD$3:$BA$3,"="&amp;$DF52+'Model Setup'!$B$7,$B52:$Y52)+'Model Setup'!$B$8*(SUMIF($AD$3:$BA$3,"&lt;"&amp;$DF52,$B52:$Y52)+SUMIF($AD$3:$BA$3,"&gt;="&amp;$DG52,$B52:$Y52)),
IF(AU$3=$DF52+'Model Setup'!$C$7,SUMIF($AD$3:$BA$3,"="&amp;$DF52+'Model Setup'!$C$7,$B52:$Y52)+'Model Setup'!$C$8*(SUMIF($AD$3:$BA$3,"&lt;"&amp;$DF52,$B52:$Y52)+SUMIF($AD$3:$BA$3,"&gt;="&amp;$DG52,$B52:$Y52)),
IF(AU$3=$DF52+'Model Setup'!$D$7,SUMIF($AD$3:$BA$3,"="&amp;$DF52+'Model Setup'!$D$7,$B52:$Y52)+'Model Setup'!$D$8*(SUMIF($AD$3:$BA$3,"&lt;"&amp;$DF52,$B52:$Y52)+SUMIF($AD$3:$BA$3,"&gt;="&amp;$DG52,$B52:$Y52)),
IF(AU$3=$DF52+'Model Setup'!$E$7,SUMIF($AD$3:$BA$3,"="&amp;$DF52+'Model Setup'!$E$7,$B52:$Y52)+'Model Setup'!$E$8*(SUMIF($AD$3:$BA$3,"&lt;"&amp;$DF52,$B52:$Y52)+SUMIF($AD$3:$BA$3,"&gt;="&amp;$DG52,$B52:$Y52)),
IF(AU$3=$DF52+'Model Setup'!$F$7,SUMIF($AD$3:$BA$3,"="&amp;$DF52+'Model Setup'!$F$7,$B52:$Y52)+'Model Setup'!$F$8*(SUMIF($AD$3:$BA$3,"&lt;"&amp;$DF52,$B52:$Y52)+SUMIF($AD$3:$BA$3,"&gt;="&amp;$DG52,$B52:$Y52)),
IF(AU$3=$DF52+'Model Setup'!$G$7,SUMIF($AD$3:$BA$3,"="&amp;$DF52+'Model Setup'!$G$7,$B52:$Y52)+'Model Setup'!$G$8*(SUMIF($AD$3:$BA$3,"&lt;"&amp;$DF52,$B52:$Y52)+SUMIF($AD$3:$BA$3,"&gt;="&amp;$DG52,$B52:$Y52)),
IF(AU$3=$DF52+'Model Setup'!$H$7,SUMIF($AD$3:$BA$3,"="&amp;$DF52+'Model Setup'!$H$7,$B52:$Y52)+'Model Setup'!$H$8*(SUMIF($AD$3:$BA$3,"&lt;"&amp;$DF52,$B52:$Y52)+SUMIF($AD$3:$BA$3,"&gt;="&amp;$DG52,$B52:$Y52)),
IF(AU$3=$DF52+'Model Setup'!$I$7,SUMIF($AD$3:$BA$3,"="&amp;$DF52+'Model Setup'!$I$7,$B52:$Y52)+'Model Setup'!$I$8*(SUMIF($AD$3:$BA$3,"&lt;"&amp;$DF52,$B52:$Y52)+SUMIF($AD$3:$BA$3,"&gt;="&amp;$DG52,$B52:$Y52)),
IF(AU$3=$DF52+'Model Setup'!$J$7,SUMIF($AD$3:$BA$3,"="&amp;$DF52+'Model Setup'!$J$7,$B52:$Y52)+'Model Setup'!$J$8*(SUMIF($AD$3:$BA$3,"&lt;"&amp;$DF52,$B52:$Y52)+SUMIF($AD$3:$BA$3,"&gt;="&amp;$DG52,$B52:$Y52)),
IF(AU$3=$DF52+'Model Setup'!$K$7,SUMIF($AD$3:$BA$3,"="&amp;$DF52+'Model Setup'!$K$7,$B52:$Y52)+'Model Setup'!$K$8*(SUMIF($AD$3:$BA$3,"&lt;"&amp;$DF52,$B52:$Y52)+SUMIF($AD$3:$BA$3,"&gt;="&amp;$DG52,$B52:$Y52)),
IF(AU$3=$DF52+'Model Setup'!$L$7,SUMIF($AD$3:$BA$3,"="&amp;$DF52+'Model Setup'!$L$7,$B52:$Y52)+'Model Setup'!$L$8*(SUMIF($AD$3:$BA$3,"&lt;"&amp;$DF52,$B52:$Y52)+SUMIF($AD$3:$BA$3,"&gt;="&amp;$DG52,$B52:$Y52)),
IF(AU$3=$DF52+'Model Setup'!$M$7,SUMIF($AD$3:$BA$3,"="&amp;$DF52+'Model Setup'!$M$7,$B52:$Y52)+'Model Setup'!$M$8*(SUMIF($AD$3:$BA$3,"&lt;"&amp;$DF52,$B52:$Y52)+SUMIF($AD$3:$BA$3,"&gt;="&amp;$DG52,$B52:$Y52)),
IF(AU$3=$DF52+'Model Setup'!$N$7,SUMIF($AD$3:$BA$3,"="&amp;$DF52+'Model Setup'!$N$7,$B52:$Y52)+'Model Setup'!$N$8*(SUMIF($AD$3:$BA$3,"&lt;"&amp;$DF52,$B52:$Y52)+SUMIF($AD$3:$BA$3,"&gt;="&amp;$DG52,$B52:$Y52)),
IF(AU$3&lt;$DG52,S52,0))))))))))))))),0)</f>
        <v>5</v>
      </c>
      <c r="AV52" s="47">
        <f>ROUND(IF(AV$3&lt;$DF52,0,
IF(AV$3=$DF52+'Model Setup'!$B$7,SUMIF($AD$3:$BA$3,"="&amp;$DF52+'Model Setup'!$B$7,$B52:$Y52)+'Model Setup'!$B$8*(SUMIF($AD$3:$BA$3,"&lt;"&amp;$DF52,$B52:$Y52)+SUMIF($AD$3:$BA$3,"&gt;="&amp;$DG52,$B52:$Y52)),
IF(AV$3=$DF52+'Model Setup'!$C$7,SUMIF($AD$3:$BA$3,"="&amp;$DF52+'Model Setup'!$C$7,$B52:$Y52)+'Model Setup'!$C$8*(SUMIF($AD$3:$BA$3,"&lt;"&amp;$DF52,$B52:$Y52)+SUMIF($AD$3:$BA$3,"&gt;="&amp;$DG52,$B52:$Y52)),
IF(AV$3=$DF52+'Model Setup'!$D$7,SUMIF($AD$3:$BA$3,"="&amp;$DF52+'Model Setup'!$D$7,$B52:$Y52)+'Model Setup'!$D$8*(SUMIF($AD$3:$BA$3,"&lt;"&amp;$DF52,$B52:$Y52)+SUMIF($AD$3:$BA$3,"&gt;="&amp;$DG52,$B52:$Y52)),
IF(AV$3=$DF52+'Model Setup'!$E$7,SUMIF($AD$3:$BA$3,"="&amp;$DF52+'Model Setup'!$E$7,$B52:$Y52)+'Model Setup'!$E$8*(SUMIF($AD$3:$BA$3,"&lt;"&amp;$DF52,$B52:$Y52)+SUMIF($AD$3:$BA$3,"&gt;="&amp;$DG52,$B52:$Y52)),
IF(AV$3=$DF52+'Model Setup'!$F$7,SUMIF($AD$3:$BA$3,"="&amp;$DF52+'Model Setup'!$F$7,$B52:$Y52)+'Model Setup'!$F$8*(SUMIF($AD$3:$BA$3,"&lt;"&amp;$DF52,$B52:$Y52)+SUMIF($AD$3:$BA$3,"&gt;="&amp;$DG52,$B52:$Y52)),
IF(AV$3=$DF52+'Model Setup'!$G$7,SUMIF($AD$3:$BA$3,"="&amp;$DF52+'Model Setup'!$G$7,$B52:$Y52)+'Model Setup'!$G$8*(SUMIF($AD$3:$BA$3,"&lt;"&amp;$DF52,$B52:$Y52)+SUMIF($AD$3:$BA$3,"&gt;="&amp;$DG52,$B52:$Y52)),
IF(AV$3=$DF52+'Model Setup'!$H$7,SUMIF($AD$3:$BA$3,"="&amp;$DF52+'Model Setup'!$H$7,$B52:$Y52)+'Model Setup'!$H$8*(SUMIF($AD$3:$BA$3,"&lt;"&amp;$DF52,$B52:$Y52)+SUMIF($AD$3:$BA$3,"&gt;="&amp;$DG52,$B52:$Y52)),
IF(AV$3=$DF52+'Model Setup'!$I$7,SUMIF($AD$3:$BA$3,"="&amp;$DF52+'Model Setup'!$I$7,$B52:$Y52)+'Model Setup'!$I$8*(SUMIF($AD$3:$BA$3,"&lt;"&amp;$DF52,$B52:$Y52)+SUMIF($AD$3:$BA$3,"&gt;="&amp;$DG52,$B52:$Y52)),
IF(AV$3=$DF52+'Model Setup'!$J$7,SUMIF($AD$3:$BA$3,"="&amp;$DF52+'Model Setup'!$J$7,$B52:$Y52)+'Model Setup'!$J$8*(SUMIF($AD$3:$BA$3,"&lt;"&amp;$DF52,$B52:$Y52)+SUMIF($AD$3:$BA$3,"&gt;="&amp;$DG52,$B52:$Y52)),
IF(AV$3=$DF52+'Model Setup'!$K$7,SUMIF($AD$3:$BA$3,"="&amp;$DF52+'Model Setup'!$K$7,$B52:$Y52)+'Model Setup'!$K$8*(SUMIF($AD$3:$BA$3,"&lt;"&amp;$DF52,$B52:$Y52)+SUMIF($AD$3:$BA$3,"&gt;="&amp;$DG52,$B52:$Y52)),
IF(AV$3=$DF52+'Model Setup'!$L$7,SUMIF($AD$3:$BA$3,"="&amp;$DF52+'Model Setup'!$L$7,$B52:$Y52)+'Model Setup'!$L$8*(SUMIF($AD$3:$BA$3,"&lt;"&amp;$DF52,$B52:$Y52)+SUMIF($AD$3:$BA$3,"&gt;="&amp;$DG52,$B52:$Y52)),
IF(AV$3=$DF52+'Model Setup'!$M$7,SUMIF($AD$3:$BA$3,"="&amp;$DF52+'Model Setup'!$M$7,$B52:$Y52)+'Model Setup'!$M$8*(SUMIF($AD$3:$BA$3,"&lt;"&amp;$DF52,$B52:$Y52)+SUMIF($AD$3:$BA$3,"&gt;="&amp;$DG52,$B52:$Y52)),
IF(AV$3=$DF52+'Model Setup'!$N$7,SUMIF($AD$3:$BA$3,"="&amp;$DF52+'Model Setup'!$N$7,$B52:$Y52)+'Model Setup'!$N$8*(SUMIF($AD$3:$BA$3,"&lt;"&amp;$DF52,$B52:$Y52)+SUMIF($AD$3:$BA$3,"&gt;="&amp;$DG52,$B52:$Y52)),
IF(AV$3&lt;$DG52,T52,0))))))))))))))),0)</f>
        <v>0</v>
      </c>
      <c r="AW52" s="47">
        <f>ROUND(IF(AW$3&lt;$DF52,0,
IF(AW$3=$DF52+'Model Setup'!$B$7,SUMIF($AD$3:$BA$3,"="&amp;$DF52+'Model Setup'!$B$7,$B52:$Y52)+'Model Setup'!$B$8*(SUMIF($AD$3:$BA$3,"&lt;"&amp;$DF52,$B52:$Y52)+SUMIF($AD$3:$BA$3,"&gt;="&amp;$DG52,$B52:$Y52)),
IF(AW$3=$DF52+'Model Setup'!$C$7,SUMIF($AD$3:$BA$3,"="&amp;$DF52+'Model Setup'!$C$7,$B52:$Y52)+'Model Setup'!$C$8*(SUMIF($AD$3:$BA$3,"&lt;"&amp;$DF52,$B52:$Y52)+SUMIF($AD$3:$BA$3,"&gt;="&amp;$DG52,$B52:$Y52)),
IF(AW$3=$DF52+'Model Setup'!$D$7,SUMIF($AD$3:$BA$3,"="&amp;$DF52+'Model Setup'!$D$7,$B52:$Y52)+'Model Setup'!$D$8*(SUMIF($AD$3:$BA$3,"&lt;"&amp;$DF52,$B52:$Y52)+SUMIF($AD$3:$BA$3,"&gt;="&amp;$DG52,$B52:$Y52)),
IF(AW$3=$DF52+'Model Setup'!$E$7,SUMIF($AD$3:$BA$3,"="&amp;$DF52+'Model Setup'!$E$7,$B52:$Y52)+'Model Setup'!$E$8*(SUMIF($AD$3:$BA$3,"&lt;"&amp;$DF52,$B52:$Y52)+SUMIF($AD$3:$BA$3,"&gt;="&amp;$DG52,$B52:$Y52)),
IF(AW$3=$DF52+'Model Setup'!$F$7,SUMIF($AD$3:$BA$3,"="&amp;$DF52+'Model Setup'!$F$7,$B52:$Y52)+'Model Setup'!$F$8*(SUMIF($AD$3:$BA$3,"&lt;"&amp;$DF52,$B52:$Y52)+SUMIF($AD$3:$BA$3,"&gt;="&amp;$DG52,$B52:$Y52)),
IF(AW$3=$DF52+'Model Setup'!$G$7,SUMIF($AD$3:$BA$3,"="&amp;$DF52+'Model Setup'!$G$7,$B52:$Y52)+'Model Setup'!$G$8*(SUMIF($AD$3:$BA$3,"&lt;"&amp;$DF52,$B52:$Y52)+SUMIF($AD$3:$BA$3,"&gt;="&amp;$DG52,$B52:$Y52)),
IF(AW$3=$DF52+'Model Setup'!$H$7,SUMIF($AD$3:$BA$3,"="&amp;$DF52+'Model Setup'!$H$7,$B52:$Y52)+'Model Setup'!$H$8*(SUMIF($AD$3:$BA$3,"&lt;"&amp;$DF52,$B52:$Y52)+SUMIF($AD$3:$BA$3,"&gt;="&amp;$DG52,$B52:$Y52)),
IF(AW$3=$DF52+'Model Setup'!$I$7,SUMIF($AD$3:$BA$3,"="&amp;$DF52+'Model Setup'!$I$7,$B52:$Y52)+'Model Setup'!$I$8*(SUMIF($AD$3:$BA$3,"&lt;"&amp;$DF52,$B52:$Y52)+SUMIF($AD$3:$BA$3,"&gt;="&amp;$DG52,$B52:$Y52)),
IF(AW$3=$DF52+'Model Setup'!$J$7,SUMIF($AD$3:$BA$3,"="&amp;$DF52+'Model Setup'!$J$7,$B52:$Y52)+'Model Setup'!$J$8*(SUMIF($AD$3:$BA$3,"&lt;"&amp;$DF52,$B52:$Y52)+SUMIF($AD$3:$BA$3,"&gt;="&amp;$DG52,$B52:$Y52)),
IF(AW$3=$DF52+'Model Setup'!$K$7,SUMIF($AD$3:$BA$3,"="&amp;$DF52+'Model Setup'!$K$7,$B52:$Y52)+'Model Setup'!$K$8*(SUMIF($AD$3:$BA$3,"&lt;"&amp;$DF52,$B52:$Y52)+SUMIF($AD$3:$BA$3,"&gt;="&amp;$DG52,$B52:$Y52)),
IF(AW$3=$DF52+'Model Setup'!$L$7,SUMIF($AD$3:$BA$3,"="&amp;$DF52+'Model Setup'!$L$7,$B52:$Y52)+'Model Setup'!$L$8*(SUMIF($AD$3:$BA$3,"&lt;"&amp;$DF52,$B52:$Y52)+SUMIF($AD$3:$BA$3,"&gt;="&amp;$DG52,$B52:$Y52)),
IF(AW$3=$DF52+'Model Setup'!$M$7,SUMIF($AD$3:$BA$3,"="&amp;$DF52+'Model Setup'!$M$7,$B52:$Y52)+'Model Setup'!$M$8*(SUMIF($AD$3:$BA$3,"&lt;"&amp;$DF52,$B52:$Y52)+SUMIF($AD$3:$BA$3,"&gt;="&amp;$DG52,$B52:$Y52)),
IF(AW$3=$DF52+'Model Setup'!$N$7,SUMIF($AD$3:$BA$3,"="&amp;$DF52+'Model Setup'!$N$7,$B52:$Y52)+'Model Setup'!$N$8*(SUMIF($AD$3:$BA$3,"&lt;"&amp;$DF52,$B52:$Y52)+SUMIF($AD$3:$BA$3,"&gt;="&amp;$DG52,$B52:$Y52)),
IF(AW$3&lt;$DG52,U52,0))))))))))))))),0)</f>
        <v>0</v>
      </c>
      <c r="AX52" s="47">
        <f>ROUND(IF(AX$3&lt;$DF52,0,
IF(AX$3=$DF52+'Model Setup'!$B$7,SUMIF($AD$3:$BA$3,"="&amp;$DF52+'Model Setup'!$B$7,$B52:$Y52)+'Model Setup'!$B$8*(SUMIF($AD$3:$BA$3,"&lt;"&amp;$DF52,$B52:$Y52)+SUMIF($AD$3:$BA$3,"&gt;="&amp;$DG52,$B52:$Y52)),
IF(AX$3=$DF52+'Model Setup'!$C$7,SUMIF($AD$3:$BA$3,"="&amp;$DF52+'Model Setup'!$C$7,$B52:$Y52)+'Model Setup'!$C$8*(SUMIF($AD$3:$BA$3,"&lt;"&amp;$DF52,$B52:$Y52)+SUMIF($AD$3:$BA$3,"&gt;="&amp;$DG52,$B52:$Y52)),
IF(AX$3=$DF52+'Model Setup'!$D$7,SUMIF($AD$3:$BA$3,"="&amp;$DF52+'Model Setup'!$D$7,$B52:$Y52)+'Model Setup'!$D$8*(SUMIF($AD$3:$BA$3,"&lt;"&amp;$DF52,$B52:$Y52)+SUMIF($AD$3:$BA$3,"&gt;="&amp;$DG52,$B52:$Y52)),
IF(AX$3=$DF52+'Model Setup'!$E$7,SUMIF($AD$3:$BA$3,"="&amp;$DF52+'Model Setup'!$E$7,$B52:$Y52)+'Model Setup'!$E$8*(SUMIF($AD$3:$BA$3,"&lt;"&amp;$DF52,$B52:$Y52)+SUMIF($AD$3:$BA$3,"&gt;="&amp;$DG52,$B52:$Y52)),
IF(AX$3=$DF52+'Model Setup'!$F$7,SUMIF($AD$3:$BA$3,"="&amp;$DF52+'Model Setup'!$F$7,$B52:$Y52)+'Model Setup'!$F$8*(SUMIF($AD$3:$BA$3,"&lt;"&amp;$DF52,$B52:$Y52)+SUMIF($AD$3:$BA$3,"&gt;="&amp;$DG52,$B52:$Y52)),
IF(AX$3=$DF52+'Model Setup'!$G$7,SUMIF($AD$3:$BA$3,"="&amp;$DF52+'Model Setup'!$G$7,$B52:$Y52)+'Model Setup'!$G$8*(SUMIF($AD$3:$BA$3,"&lt;"&amp;$DF52,$B52:$Y52)+SUMIF($AD$3:$BA$3,"&gt;="&amp;$DG52,$B52:$Y52)),
IF(AX$3=$DF52+'Model Setup'!$H$7,SUMIF($AD$3:$BA$3,"="&amp;$DF52+'Model Setup'!$H$7,$B52:$Y52)+'Model Setup'!$H$8*(SUMIF($AD$3:$BA$3,"&lt;"&amp;$DF52,$B52:$Y52)+SUMIF($AD$3:$BA$3,"&gt;="&amp;$DG52,$B52:$Y52)),
IF(AX$3=$DF52+'Model Setup'!$I$7,SUMIF($AD$3:$BA$3,"="&amp;$DF52+'Model Setup'!$I$7,$B52:$Y52)+'Model Setup'!$I$8*(SUMIF($AD$3:$BA$3,"&lt;"&amp;$DF52,$B52:$Y52)+SUMIF($AD$3:$BA$3,"&gt;="&amp;$DG52,$B52:$Y52)),
IF(AX$3=$DF52+'Model Setup'!$J$7,SUMIF($AD$3:$BA$3,"="&amp;$DF52+'Model Setup'!$J$7,$B52:$Y52)+'Model Setup'!$J$8*(SUMIF($AD$3:$BA$3,"&lt;"&amp;$DF52,$B52:$Y52)+SUMIF($AD$3:$BA$3,"&gt;="&amp;$DG52,$B52:$Y52)),
IF(AX$3=$DF52+'Model Setup'!$K$7,SUMIF($AD$3:$BA$3,"="&amp;$DF52+'Model Setup'!$K$7,$B52:$Y52)+'Model Setup'!$K$8*(SUMIF($AD$3:$BA$3,"&lt;"&amp;$DF52,$B52:$Y52)+SUMIF($AD$3:$BA$3,"&gt;="&amp;$DG52,$B52:$Y52)),
IF(AX$3=$DF52+'Model Setup'!$L$7,SUMIF($AD$3:$BA$3,"="&amp;$DF52+'Model Setup'!$L$7,$B52:$Y52)+'Model Setup'!$L$8*(SUMIF($AD$3:$BA$3,"&lt;"&amp;$DF52,$B52:$Y52)+SUMIF($AD$3:$BA$3,"&gt;="&amp;$DG52,$B52:$Y52)),
IF(AX$3=$DF52+'Model Setup'!$M$7,SUMIF($AD$3:$BA$3,"="&amp;$DF52+'Model Setup'!$M$7,$B52:$Y52)+'Model Setup'!$M$8*(SUMIF($AD$3:$BA$3,"&lt;"&amp;$DF52,$B52:$Y52)+SUMIF($AD$3:$BA$3,"&gt;="&amp;$DG52,$B52:$Y52)),
IF(AX$3=$DF52+'Model Setup'!$N$7,SUMIF($AD$3:$BA$3,"="&amp;$DF52+'Model Setup'!$N$7,$B52:$Y52)+'Model Setup'!$N$8*(SUMIF($AD$3:$BA$3,"&lt;"&amp;$DF52,$B52:$Y52)+SUMIF($AD$3:$BA$3,"&gt;="&amp;$DG52,$B52:$Y52)),
IF(AX$3&lt;$DG52,V52,0))))))))))))))),0)</f>
        <v>0</v>
      </c>
      <c r="AY52" s="47">
        <f>ROUND(IF(AY$3&lt;$DF52,0,
IF(AY$3=$DF52+'Model Setup'!$B$7,SUMIF($AD$3:$BA$3,"="&amp;$DF52+'Model Setup'!$B$7,$B52:$Y52)+'Model Setup'!$B$8*(SUMIF($AD$3:$BA$3,"&lt;"&amp;$DF52,$B52:$Y52)+SUMIF($AD$3:$BA$3,"&gt;="&amp;$DG52,$B52:$Y52)),
IF(AY$3=$DF52+'Model Setup'!$C$7,SUMIF($AD$3:$BA$3,"="&amp;$DF52+'Model Setup'!$C$7,$B52:$Y52)+'Model Setup'!$C$8*(SUMIF($AD$3:$BA$3,"&lt;"&amp;$DF52,$B52:$Y52)+SUMIF($AD$3:$BA$3,"&gt;="&amp;$DG52,$B52:$Y52)),
IF(AY$3=$DF52+'Model Setup'!$D$7,SUMIF($AD$3:$BA$3,"="&amp;$DF52+'Model Setup'!$D$7,$B52:$Y52)+'Model Setup'!$D$8*(SUMIF($AD$3:$BA$3,"&lt;"&amp;$DF52,$B52:$Y52)+SUMIF($AD$3:$BA$3,"&gt;="&amp;$DG52,$B52:$Y52)),
IF(AY$3=$DF52+'Model Setup'!$E$7,SUMIF($AD$3:$BA$3,"="&amp;$DF52+'Model Setup'!$E$7,$B52:$Y52)+'Model Setup'!$E$8*(SUMIF($AD$3:$BA$3,"&lt;"&amp;$DF52,$B52:$Y52)+SUMIF($AD$3:$BA$3,"&gt;="&amp;$DG52,$B52:$Y52)),
IF(AY$3=$DF52+'Model Setup'!$F$7,SUMIF($AD$3:$BA$3,"="&amp;$DF52+'Model Setup'!$F$7,$B52:$Y52)+'Model Setup'!$F$8*(SUMIF($AD$3:$BA$3,"&lt;"&amp;$DF52,$B52:$Y52)+SUMIF($AD$3:$BA$3,"&gt;="&amp;$DG52,$B52:$Y52)),
IF(AY$3=$DF52+'Model Setup'!$G$7,SUMIF($AD$3:$BA$3,"="&amp;$DF52+'Model Setup'!$G$7,$B52:$Y52)+'Model Setup'!$G$8*(SUMIF($AD$3:$BA$3,"&lt;"&amp;$DF52,$B52:$Y52)+SUMIF($AD$3:$BA$3,"&gt;="&amp;$DG52,$B52:$Y52)),
IF(AY$3=$DF52+'Model Setup'!$H$7,SUMIF($AD$3:$BA$3,"="&amp;$DF52+'Model Setup'!$H$7,$B52:$Y52)+'Model Setup'!$H$8*(SUMIF($AD$3:$BA$3,"&lt;"&amp;$DF52,$B52:$Y52)+SUMIF($AD$3:$BA$3,"&gt;="&amp;$DG52,$B52:$Y52)),
IF(AY$3=$DF52+'Model Setup'!$I$7,SUMIF($AD$3:$BA$3,"="&amp;$DF52+'Model Setup'!$I$7,$B52:$Y52)+'Model Setup'!$I$8*(SUMIF($AD$3:$BA$3,"&lt;"&amp;$DF52,$B52:$Y52)+SUMIF($AD$3:$BA$3,"&gt;="&amp;$DG52,$B52:$Y52)),
IF(AY$3=$DF52+'Model Setup'!$J$7,SUMIF($AD$3:$BA$3,"="&amp;$DF52+'Model Setup'!$J$7,$B52:$Y52)+'Model Setup'!$J$8*(SUMIF($AD$3:$BA$3,"&lt;"&amp;$DF52,$B52:$Y52)+SUMIF($AD$3:$BA$3,"&gt;="&amp;$DG52,$B52:$Y52)),
IF(AY$3=$DF52+'Model Setup'!$K$7,SUMIF($AD$3:$BA$3,"="&amp;$DF52+'Model Setup'!$K$7,$B52:$Y52)+'Model Setup'!$K$8*(SUMIF($AD$3:$BA$3,"&lt;"&amp;$DF52,$B52:$Y52)+SUMIF($AD$3:$BA$3,"&gt;="&amp;$DG52,$B52:$Y52)),
IF(AY$3=$DF52+'Model Setup'!$L$7,SUMIF($AD$3:$BA$3,"="&amp;$DF52+'Model Setup'!$L$7,$B52:$Y52)+'Model Setup'!$L$8*(SUMIF($AD$3:$BA$3,"&lt;"&amp;$DF52,$B52:$Y52)+SUMIF($AD$3:$BA$3,"&gt;="&amp;$DG52,$B52:$Y52)),
IF(AY$3=$DF52+'Model Setup'!$M$7,SUMIF($AD$3:$BA$3,"="&amp;$DF52+'Model Setup'!$M$7,$B52:$Y52)+'Model Setup'!$M$8*(SUMIF($AD$3:$BA$3,"&lt;"&amp;$DF52,$B52:$Y52)+SUMIF($AD$3:$BA$3,"&gt;="&amp;$DG52,$B52:$Y52)),
IF(AY$3=$DF52+'Model Setup'!$N$7,SUMIF($AD$3:$BA$3,"="&amp;$DF52+'Model Setup'!$N$7,$B52:$Y52)+'Model Setup'!$N$8*(SUMIF($AD$3:$BA$3,"&lt;"&amp;$DF52,$B52:$Y52)+SUMIF($AD$3:$BA$3,"&gt;="&amp;$DG52,$B52:$Y52)),
IF(AY$3&lt;$DG52,W52,0))))))))))))))),0)</f>
        <v>0</v>
      </c>
      <c r="AZ52" s="47">
        <f>ROUND(IF(AZ$3&lt;$DF52,0,
IF(AZ$3=$DF52+'Model Setup'!$B$7,SUMIF($AD$3:$BA$3,"="&amp;$DF52+'Model Setup'!$B$7,$B52:$Y52)+'Model Setup'!$B$8*(SUMIF($AD$3:$BA$3,"&lt;"&amp;$DF52,$B52:$Y52)+SUMIF($AD$3:$BA$3,"&gt;="&amp;$DG52,$B52:$Y52)),
IF(AZ$3=$DF52+'Model Setup'!$C$7,SUMIF($AD$3:$BA$3,"="&amp;$DF52+'Model Setup'!$C$7,$B52:$Y52)+'Model Setup'!$C$8*(SUMIF($AD$3:$BA$3,"&lt;"&amp;$DF52,$B52:$Y52)+SUMIF($AD$3:$BA$3,"&gt;="&amp;$DG52,$B52:$Y52)),
IF(AZ$3=$DF52+'Model Setup'!$D$7,SUMIF($AD$3:$BA$3,"="&amp;$DF52+'Model Setup'!$D$7,$B52:$Y52)+'Model Setup'!$D$8*(SUMIF($AD$3:$BA$3,"&lt;"&amp;$DF52,$B52:$Y52)+SUMIF($AD$3:$BA$3,"&gt;="&amp;$DG52,$B52:$Y52)),
IF(AZ$3=$DF52+'Model Setup'!$E$7,SUMIF($AD$3:$BA$3,"="&amp;$DF52+'Model Setup'!$E$7,$B52:$Y52)+'Model Setup'!$E$8*(SUMIF($AD$3:$BA$3,"&lt;"&amp;$DF52,$B52:$Y52)+SUMIF($AD$3:$BA$3,"&gt;="&amp;$DG52,$B52:$Y52)),
IF(AZ$3=$DF52+'Model Setup'!$F$7,SUMIF($AD$3:$BA$3,"="&amp;$DF52+'Model Setup'!$F$7,$B52:$Y52)+'Model Setup'!$F$8*(SUMIF($AD$3:$BA$3,"&lt;"&amp;$DF52,$B52:$Y52)+SUMIF($AD$3:$BA$3,"&gt;="&amp;$DG52,$B52:$Y52)),
IF(AZ$3=$DF52+'Model Setup'!$G$7,SUMIF($AD$3:$BA$3,"="&amp;$DF52+'Model Setup'!$G$7,$B52:$Y52)+'Model Setup'!$G$8*(SUMIF($AD$3:$BA$3,"&lt;"&amp;$DF52,$B52:$Y52)+SUMIF($AD$3:$BA$3,"&gt;="&amp;$DG52,$B52:$Y52)),
IF(AZ$3=$DF52+'Model Setup'!$H$7,SUMIF($AD$3:$BA$3,"="&amp;$DF52+'Model Setup'!$H$7,$B52:$Y52)+'Model Setup'!$H$8*(SUMIF($AD$3:$BA$3,"&lt;"&amp;$DF52,$B52:$Y52)+SUMIF($AD$3:$BA$3,"&gt;="&amp;$DG52,$B52:$Y52)),
IF(AZ$3=$DF52+'Model Setup'!$I$7,SUMIF($AD$3:$BA$3,"="&amp;$DF52+'Model Setup'!$I$7,$B52:$Y52)+'Model Setup'!$I$8*(SUMIF($AD$3:$BA$3,"&lt;"&amp;$DF52,$B52:$Y52)+SUMIF($AD$3:$BA$3,"&gt;="&amp;$DG52,$B52:$Y52)),
IF(AZ$3=$DF52+'Model Setup'!$J$7,SUMIF($AD$3:$BA$3,"="&amp;$DF52+'Model Setup'!$J$7,$B52:$Y52)+'Model Setup'!$J$8*(SUMIF($AD$3:$BA$3,"&lt;"&amp;$DF52,$B52:$Y52)+SUMIF($AD$3:$BA$3,"&gt;="&amp;$DG52,$B52:$Y52)),
IF(AZ$3=$DF52+'Model Setup'!$K$7,SUMIF($AD$3:$BA$3,"="&amp;$DF52+'Model Setup'!$K$7,$B52:$Y52)+'Model Setup'!$K$8*(SUMIF($AD$3:$BA$3,"&lt;"&amp;$DF52,$B52:$Y52)+SUMIF($AD$3:$BA$3,"&gt;="&amp;$DG52,$B52:$Y52)),
IF(AZ$3=$DF52+'Model Setup'!$L$7,SUMIF($AD$3:$BA$3,"="&amp;$DF52+'Model Setup'!$L$7,$B52:$Y52)+'Model Setup'!$L$8*(SUMIF($AD$3:$BA$3,"&lt;"&amp;$DF52,$B52:$Y52)+SUMIF($AD$3:$BA$3,"&gt;="&amp;$DG52,$B52:$Y52)),
IF(AZ$3=$DF52+'Model Setup'!$M$7,SUMIF($AD$3:$BA$3,"="&amp;$DF52+'Model Setup'!$M$7,$B52:$Y52)+'Model Setup'!$M$8*(SUMIF($AD$3:$BA$3,"&lt;"&amp;$DF52,$B52:$Y52)+SUMIF($AD$3:$BA$3,"&gt;="&amp;$DG52,$B52:$Y52)),
IF(AZ$3=$DF52+'Model Setup'!$N$7,SUMIF($AD$3:$BA$3,"="&amp;$DF52+'Model Setup'!$N$7,$B52:$Y52)+'Model Setup'!$N$8*(SUMIF($AD$3:$BA$3,"&lt;"&amp;$DF52,$B52:$Y52)+SUMIF($AD$3:$BA$3,"&gt;="&amp;$DG52,$B52:$Y52)),
IF(AZ$3&lt;$DG52,X52,0))))))))))))))),0)</f>
        <v>0</v>
      </c>
      <c r="BA52" s="47">
        <f>ROUND(IF(BA$3&lt;$DF52,0,
IF(BA$3=$DF52+'Model Setup'!$B$7,SUMIF($AD$3:$BA$3,"="&amp;$DF52+'Model Setup'!$B$7,$B52:$Y52)+'Model Setup'!$B$8*(SUMIF($AD$3:$BA$3,"&lt;"&amp;$DF52,$B52:$Y52)+SUMIF($AD$3:$BA$3,"&gt;="&amp;$DG52,$B52:$Y52)),
IF(BA$3=$DF52+'Model Setup'!$C$7,SUMIF($AD$3:$BA$3,"="&amp;$DF52+'Model Setup'!$C$7,$B52:$Y52)+'Model Setup'!$C$8*(SUMIF($AD$3:$BA$3,"&lt;"&amp;$DF52,$B52:$Y52)+SUMIF($AD$3:$BA$3,"&gt;="&amp;$DG52,$B52:$Y52)),
IF(BA$3=$DF52+'Model Setup'!$D$7,SUMIF($AD$3:$BA$3,"="&amp;$DF52+'Model Setup'!$D$7,$B52:$Y52)+'Model Setup'!$D$8*(SUMIF($AD$3:$BA$3,"&lt;"&amp;$DF52,$B52:$Y52)+SUMIF($AD$3:$BA$3,"&gt;="&amp;$DG52,$B52:$Y52)),
IF(BA$3=$DF52+'Model Setup'!$E$7,SUMIF($AD$3:$BA$3,"="&amp;$DF52+'Model Setup'!$E$7,$B52:$Y52)+'Model Setup'!$E$8*(SUMIF($AD$3:$BA$3,"&lt;"&amp;$DF52,$B52:$Y52)+SUMIF($AD$3:$BA$3,"&gt;="&amp;$DG52,$B52:$Y52)),
IF(BA$3=$DF52+'Model Setup'!$F$7,SUMIF($AD$3:$BA$3,"="&amp;$DF52+'Model Setup'!$F$7,$B52:$Y52)+'Model Setup'!$F$8*(SUMIF($AD$3:$BA$3,"&lt;"&amp;$DF52,$B52:$Y52)+SUMIF($AD$3:$BA$3,"&gt;="&amp;$DG52,$B52:$Y52)),
IF(BA$3=$DF52+'Model Setup'!$G$7,SUMIF($AD$3:$BA$3,"="&amp;$DF52+'Model Setup'!$G$7,$B52:$Y52)+'Model Setup'!$G$8*(SUMIF($AD$3:$BA$3,"&lt;"&amp;$DF52,$B52:$Y52)+SUMIF($AD$3:$BA$3,"&gt;="&amp;$DG52,$B52:$Y52)),
IF(BA$3=$DF52+'Model Setup'!$H$7,SUMIF($AD$3:$BA$3,"="&amp;$DF52+'Model Setup'!$H$7,$B52:$Y52)+'Model Setup'!$H$8*(SUMIF($AD$3:$BA$3,"&lt;"&amp;$DF52,$B52:$Y52)+SUMIF($AD$3:$BA$3,"&gt;="&amp;$DG52,$B52:$Y52)),
IF(BA$3=$DF52+'Model Setup'!$I$7,SUMIF($AD$3:$BA$3,"="&amp;$DF52+'Model Setup'!$I$7,$B52:$Y52)+'Model Setup'!$I$8*(SUMIF($AD$3:$BA$3,"&lt;"&amp;$DF52,$B52:$Y52)+SUMIF($AD$3:$BA$3,"&gt;="&amp;$DG52,$B52:$Y52)),
IF(BA$3=$DF52+'Model Setup'!$J$7,SUMIF($AD$3:$BA$3,"="&amp;$DF52+'Model Setup'!$J$7,$B52:$Y52)+'Model Setup'!$J$8*(SUMIF($AD$3:$BA$3,"&lt;"&amp;$DF52,$B52:$Y52)+SUMIF($AD$3:$BA$3,"&gt;="&amp;$DG52,$B52:$Y52)),
IF(BA$3=$DF52+'Model Setup'!$K$7,SUMIF($AD$3:$BA$3,"="&amp;$DF52+'Model Setup'!$K$7,$B52:$Y52)+'Model Setup'!$K$8*(SUMIF($AD$3:$BA$3,"&lt;"&amp;$DF52,$B52:$Y52)+SUMIF($AD$3:$BA$3,"&gt;="&amp;$DG52,$B52:$Y52)),
IF(BA$3=$DF52+'Model Setup'!$L$7,SUMIF($AD$3:$BA$3,"="&amp;$DF52+'Model Setup'!$L$7,$B52:$Y52)+'Model Setup'!$L$8*(SUMIF($AD$3:$BA$3,"&lt;"&amp;$DF52,$B52:$Y52)+SUMIF($AD$3:$BA$3,"&gt;="&amp;$DG52,$B52:$Y52)),
IF(BA$3=$DF52+'Model Setup'!$M$7,SUMIF($AD$3:$BA$3,"="&amp;$DF52+'Model Setup'!$M$7,$B52:$Y52)+'Model Setup'!$M$8*(SUMIF($AD$3:$BA$3,"&lt;"&amp;$DF52,$B52:$Y52)+SUMIF($AD$3:$BA$3,"&gt;="&amp;$DG52,$B52:$Y52)),
IF(BA$3=$DF52+'Model Setup'!$N$7,SUMIF($AD$3:$BA$3,"="&amp;$DF52+'Model Setup'!$N$7,$B52:$Y52)+'Model Setup'!$N$8*(SUMIF($AD$3:$BA$3,"&lt;"&amp;$DF52,$B52:$Y52)+SUMIF($AD$3:$BA$3,"&gt;="&amp;$DG52,$B52:$Y52)),
IF(BA$3&lt;$DG52,Y52,0))))))))))))))),0)</f>
        <v>0</v>
      </c>
      <c r="BB52" s="47">
        <f t="shared" si="1"/>
        <v>127</v>
      </c>
      <c r="BD52" t="b">
        <f t="shared" si="2"/>
        <v>0</v>
      </c>
      <c r="BE52">
        <f t="shared" si="8"/>
        <v>1</v>
      </c>
      <c r="BF52">
        <f>(FTC!F50-FTC!E50)*24</f>
        <v>13</v>
      </c>
      <c r="BG52" s="43" t="s">
        <v>67</v>
      </c>
      <c r="BH52" s="47">
        <f>ROUND(IF(OR(BH$3&lt;$DF52,BH$3&gt;$CW$4),0,
IF(BH$3=$DF52+'Model Setup'!$B$7,SUMIF($BH$3:$CE$3,"="&amp;$DF52+'Model Setup'!$B$7,$AD52:$BA52)+'Model Setup'!$B$8*(SUMIF($BH$3:$CE$3,"&lt;"&amp;$DF52,$AD52:$BA52)+SUMIF($BH$3:$CE$3,"&gt;"&amp;$CW$4,$AD52:$BA52)),
IF(BH$3=$DF52+'Model Setup'!$C$7,SUMIF($BH$3:$CE$3,"="&amp;$DF52+'Model Setup'!$C$7,$AD52:$BA52)+'Model Setup'!$C$8*(SUMIF($BH$3:$CE$3,"&lt;"&amp;$DF52,$AD52:$BA52)+SUMIF($BH$3:$CE$3,"&gt;"&amp;$CW$4,$AD52:$BA52)),
IF(BH$3=$DF52+'Model Setup'!$D$7,SUMIF($BH$3:$CE$3,"="&amp;$DF52+'Model Setup'!$D$7,$AD52:$BA52)+'Model Setup'!$D$8*(SUMIF($BH$3:$CE$3,"&lt;"&amp;$DF52,$AD52:$BA52)+SUMIF($BH$3:$CE$3,"&gt;"&amp;$CW$4,$AD52:$BA52)),
IF(BH$3=$DF52+'Model Setup'!$E$7,SUMIF($BH$3:$CE$3,"="&amp;$DF52+'Model Setup'!$E$7,$AD52:$BA52)+'Model Setup'!$E$8*(SUMIF($BH$3:$CE$3,"&lt;"&amp;$DF52,$AD52:$BA52)+SUMIF($BH$3:$CE$3,"&gt;"&amp;$CW$4,$AD52:$BA52)),
IF(BH$3=$DF52+'Model Setup'!$F$7,SUMIF($BH$3:$CE$3,"="&amp;$DF52+'Model Setup'!$F$7,$AD52:$BA52)+'Model Setup'!$F$8*(SUMIF($BH$3:$CE$3,"&lt;"&amp;$DF52,$AD52:$BA52)+SUMIF($BH$3:$CE$3,"&gt;"&amp;$CW$4,$AD52:$BA52)),
IF(BH$3=$DF52+'Model Setup'!$G$7,SUMIF($BH$3:$CE$3,"="&amp;$DF52+'Model Setup'!$G$7,$AD52:$BA52)+'Model Setup'!$G$8*(SUMIF($BH$3:$CE$3,"&lt;"&amp;$DF52,$AD52:$BA52)+SUMIF($BH$3:$CE$3,"&gt;"&amp;$CW$4,$AD52:$BA52)),
IF(BH$3=$DF52+'Model Setup'!$H$7,SUMIF($BH$3:$CE$3,"="&amp;$DF52+'Model Setup'!$H$7,$AD52:$BA52)+'Model Setup'!$H$8*(SUMIF($BH$3:$CE$3,"&lt;"&amp;$DF52,$AD52:$BA52)+SUMIF($BH$3:$CE$3,"&gt;"&amp;$CW$4,$AD52:$BA52)),
IF(BH$3=$DF52+'Model Setup'!$I$7,SUMIF($BH$3:$CE$3,"="&amp;$DF52+'Model Setup'!$I$7,$AD52:$BA52)+'Model Setup'!$I$8*(SUMIF($BH$3:$CE$3,"&lt;"&amp;$DF52,$AD52:$BA52)+SUMIF($BH$3:$CE$3,"&gt;"&amp;$CW$4,$AD52:$BA52)),
IF(BH$3=$DF52+'Model Setup'!$J$7,SUMIF($BH$3:$CE$3,"="&amp;$DF52+'Model Setup'!$J$7,$AD52:$BA52)+'Model Setup'!$J$8*(SUMIF($BH$3:$CE$3,"&lt;"&amp;$DF52,$AD52:$BA52)+SUMIF($BH$3:$CE$3,"&gt;"&amp;$CW$4,$AD52:$BA52)),
IF(BH$3=$DF52+'Model Setup'!$K$7,SUMIF($BH$3:$CE$3,"="&amp;$DF52+'Model Setup'!$K$7,$AD52:$BA52)+'Model Setup'!$K$8*(SUMIF($BH$3:$CE$3,"&lt;"&amp;$DF52,$AD52:$BA52)+SUMIF($BH$3:$CE$3,"&gt;"&amp;$CW$4,$AD52:$BA52)),
IF(BH$3=$DF52+'Model Setup'!$L$7,SUMIF($BH$3:$CE$3,"="&amp;$DF52+'Model Setup'!$L$7,$AD52:$BA52)+'Model Setup'!$L$8*(SUMIF($BH$3:$CE$3,"&lt;"&amp;$DF52,$AD52:$BA52)+SUMIF($BH$3:$CE$3,"&gt;"&amp;$CW$4,$AD52:$BA52)),
IF(BH$3=$DF52+'Model Setup'!$M$7,SUMIF($BH$3:$CE$3,"="&amp;$DF52+'Model Setup'!$M$7,$AD52:$BA52)+'Model Setup'!$M$8*(SUMIF($BH$3:$CE$3,"&lt;"&amp;$DF52,$AD52:$BA52)+SUMIF($BH$3:$CE$3,"&gt;"&amp;$CW$4,$AD52:$BA52)),
IF(BH$3=$DF52+'Model Setup'!$N$7,SUMIF($BH$3:$CE$3,"="&amp;$DF52+'Model Setup'!$N$7,$AD52:$BA52)+'Model Setup'!$N$8*(SUMIF($BH$3:$CE$3,"&lt;"&amp;$DF52,$AD52:$BA52)+SUMIF($BH$3:$CE$3,"&gt;"&amp;$CW$4,$AD52:$BA52)),
IF(BH$3&lt;$CW$4,B52,0))))))))))))))),0)</f>
        <v>0</v>
      </c>
      <c r="BI52" s="47">
        <f>ROUND(IF(OR(BI$3&lt;$DF52,BI$3&gt;$CW$4),0,
IF(BI$3=$DF52+'Model Setup'!$B$7,SUMIF($BH$3:$CE$3,"="&amp;$DF52+'Model Setup'!$B$7,$AD52:$BA52)+'Model Setup'!$B$8*(SUMIF($BH$3:$CE$3,"&lt;"&amp;$DF52,$AD52:$BA52)+SUMIF($BH$3:$CE$3,"&gt;"&amp;$CW$4,$AD52:$BA52)),
IF(BI$3=$DF52+'Model Setup'!$C$7,SUMIF($BH$3:$CE$3,"="&amp;$DF52+'Model Setup'!$C$7,$AD52:$BA52)+'Model Setup'!$C$8*(SUMIF($BH$3:$CE$3,"&lt;"&amp;$DF52,$AD52:$BA52)+SUMIF($BH$3:$CE$3,"&gt;"&amp;$CW$4,$AD52:$BA52)),
IF(BI$3=$DF52+'Model Setup'!$D$7,SUMIF($BH$3:$CE$3,"="&amp;$DF52+'Model Setup'!$D$7,$AD52:$BA52)+'Model Setup'!$D$8*(SUMIF($BH$3:$CE$3,"&lt;"&amp;$DF52,$AD52:$BA52)+SUMIF($BH$3:$CE$3,"&gt;"&amp;$CW$4,$AD52:$BA52)),
IF(BI$3=$DF52+'Model Setup'!$E$7,SUMIF($BH$3:$CE$3,"="&amp;$DF52+'Model Setup'!$E$7,$AD52:$BA52)+'Model Setup'!$E$8*(SUMIF($BH$3:$CE$3,"&lt;"&amp;$DF52,$AD52:$BA52)+SUMIF($BH$3:$CE$3,"&gt;"&amp;$CW$4,$AD52:$BA52)),
IF(BI$3=$DF52+'Model Setup'!$F$7,SUMIF($BH$3:$CE$3,"="&amp;$DF52+'Model Setup'!$F$7,$AD52:$BA52)+'Model Setup'!$F$8*(SUMIF($BH$3:$CE$3,"&lt;"&amp;$DF52,$AD52:$BA52)+SUMIF($BH$3:$CE$3,"&gt;"&amp;$CW$4,$AD52:$BA52)),
IF(BI$3=$DF52+'Model Setup'!$G$7,SUMIF($BH$3:$CE$3,"="&amp;$DF52+'Model Setup'!$G$7,$AD52:$BA52)+'Model Setup'!$G$8*(SUMIF($BH$3:$CE$3,"&lt;"&amp;$DF52,$AD52:$BA52)+SUMIF($BH$3:$CE$3,"&gt;"&amp;$CW$4,$AD52:$BA52)),
IF(BI$3=$DF52+'Model Setup'!$H$7,SUMIF($BH$3:$CE$3,"="&amp;$DF52+'Model Setup'!$H$7,$AD52:$BA52)+'Model Setup'!$H$8*(SUMIF($BH$3:$CE$3,"&lt;"&amp;$DF52,$AD52:$BA52)+SUMIF($BH$3:$CE$3,"&gt;"&amp;$CW$4,$AD52:$BA52)),
IF(BI$3=$DF52+'Model Setup'!$I$7,SUMIF($BH$3:$CE$3,"="&amp;$DF52+'Model Setup'!$I$7,$AD52:$BA52)+'Model Setup'!$I$8*(SUMIF($BH$3:$CE$3,"&lt;"&amp;$DF52,$AD52:$BA52)+SUMIF($BH$3:$CE$3,"&gt;"&amp;$CW$4,$AD52:$BA52)),
IF(BI$3=$DF52+'Model Setup'!$J$7,SUMIF($BH$3:$CE$3,"="&amp;$DF52+'Model Setup'!$J$7,$AD52:$BA52)+'Model Setup'!$J$8*(SUMIF($BH$3:$CE$3,"&lt;"&amp;$DF52,$AD52:$BA52)+SUMIF($BH$3:$CE$3,"&gt;"&amp;$CW$4,$AD52:$BA52)),
IF(BI$3=$DF52+'Model Setup'!$K$7,SUMIF($BH$3:$CE$3,"="&amp;$DF52+'Model Setup'!$K$7,$AD52:$BA52)+'Model Setup'!$K$8*(SUMIF($BH$3:$CE$3,"&lt;"&amp;$DF52,$AD52:$BA52)+SUMIF($BH$3:$CE$3,"&gt;"&amp;$CW$4,$AD52:$BA52)),
IF(BI$3=$DF52+'Model Setup'!$L$7,SUMIF($BH$3:$CE$3,"="&amp;$DF52+'Model Setup'!$L$7,$AD52:$BA52)+'Model Setup'!$L$8*(SUMIF($BH$3:$CE$3,"&lt;"&amp;$DF52,$AD52:$BA52)+SUMIF($BH$3:$CE$3,"&gt;"&amp;$CW$4,$AD52:$BA52)),
IF(BI$3=$DF52+'Model Setup'!$M$7,SUMIF($BH$3:$CE$3,"="&amp;$DF52+'Model Setup'!$M$7,$AD52:$BA52)+'Model Setup'!$M$8*(SUMIF($BH$3:$CE$3,"&lt;"&amp;$DF52,$AD52:$BA52)+SUMIF($BH$3:$CE$3,"&gt;"&amp;$CW$4,$AD52:$BA52)),
IF(BI$3=$DF52+'Model Setup'!$N$7,SUMIF($BH$3:$CE$3,"="&amp;$DF52+'Model Setup'!$N$7,$AD52:$BA52)+'Model Setup'!$N$8*(SUMIF($BH$3:$CE$3,"&lt;"&amp;$DF52,$AD52:$BA52)+SUMIF($BH$3:$CE$3,"&gt;"&amp;$CW$4,$AD52:$BA52)),
IF(BI$3&lt;$CW$4,C52,0))))))))))))))),0)</f>
        <v>0</v>
      </c>
      <c r="BJ52" s="47">
        <f>ROUND(IF(OR(BJ$3&lt;$DF52,BJ$3&gt;$CW$4),0,
IF(BJ$3=$DF52+'Model Setup'!$B$7,SUMIF($BH$3:$CE$3,"="&amp;$DF52+'Model Setup'!$B$7,$AD52:$BA52)+'Model Setup'!$B$8*(SUMIF($BH$3:$CE$3,"&lt;"&amp;$DF52,$AD52:$BA52)+SUMIF($BH$3:$CE$3,"&gt;"&amp;$CW$4,$AD52:$BA52)),
IF(BJ$3=$DF52+'Model Setup'!$C$7,SUMIF($BH$3:$CE$3,"="&amp;$DF52+'Model Setup'!$C$7,$AD52:$BA52)+'Model Setup'!$C$8*(SUMIF($BH$3:$CE$3,"&lt;"&amp;$DF52,$AD52:$BA52)+SUMIF($BH$3:$CE$3,"&gt;"&amp;$CW$4,$AD52:$BA52)),
IF(BJ$3=$DF52+'Model Setup'!$D$7,SUMIF($BH$3:$CE$3,"="&amp;$DF52+'Model Setup'!$D$7,$AD52:$BA52)+'Model Setup'!$D$8*(SUMIF($BH$3:$CE$3,"&lt;"&amp;$DF52,$AD52:$BA52)+SUMIF($BH$3:$CE$3,"&gt;"&amp;$CW$4,$AD52:$BA52)),
IF(BJ$3=$DF52+'Model Setup'!$E$7,SUMIF($BH$3:$CE$3,"="&amp;$DF52+'Model Setup'!$E$7,$AD52:$BA52)+'Model Setup'!$E$8*(SUMIF($BH$3:$CE$3,"&lt;"&amp;$DF52,$AD52:$BA52)+SUMIF($BH$3:$CE$3,"&gt;"&amp;$CW$4,$AD52:$BA52)),
IF(BJ$3=$DF52+'Model Setup'!$F$7,SUMIF($BH$3:$CE$3,"="&amp;$DF52+'Model Setup'!$F$7,$AD52:$BA52)+'Model Setup'!$F$8*(SUMIF($BH$3:$CE$3,"&lt;"&amp;$DF52,$AD52:$BA52)+SUMIF($BH$3:$CE$3,"&gt;"&amp;$CW$4,$AD52:$BA52)),
IF(BJ$3=$DF52+'Model Setup'!$G$7,SUMIF($BH$3:$CE$3,"="&amp;$DF52+'Model Setup'!$G$7,$AD52:$BA52)+'Model Setup'!$G$8*(SUMIF($BH$3:$CE$3,"&lt;"&amp;$DF52,$AD52:$BA52)+SUMIF($BH$3:$CE$3,"&gt;"&amp;$CW$4,$AD52:$BA52)),
IF(BJ$3=$DF52+'Model Setup'!$H$7,SUMIF($BH$3:$CE$3,"="&amp;$DF52+'Model Setup'!$H$7,$AD52:$BA52)+'Model Setup'!$H$8*(SUMIF($BH$3:$CE$3,"&lt;"&amp;$DF52,$AD52:$BA52)+SUMIF($BH$3:$CE$3,"&gt;"&amp;$CW$4,$AD52:$BA52)),
IF(BJ$3=$DF52+'Model Setup'!$I$7,SUMIF($BH$3:$CE$3,"="&amp;$DF52+'Model Setup'!$I$7,$AD52:$BA52)+'Model Setup'!$I$8*(SUMIF($BH$3:$CE$3,"&lt;"&amp;$DF52,$AD52:$BA52)+SUMIF($BH$3:$CE$3,"&gt;"&amp;$CW$4,$AD52:$BA52)),
IF(BJ$3=$DF52+'Model Setup'!$J$7,SUMIF($BH$3:$CE$3,"="&amp;$DF52+'Model Setup'!$J$7,$AD52:$BA52)+'Model Setup'!$J$8*(SUMIF($BH$3:$CE$3,"&lt;"&amp;$DF52,$AD52:$BA52)+SUMIF($BH$3:$CE$3,"&gt;"&amp;$CW$4,$AD52:$BA52)),
IF(BJ$3=$DF52+'Model Setup'!$K$7,SUMIF($BH$3:$CE$3,"="&amp;$DF52+'Model Setup'!$K$7,$AD52:$BA52)+'Model Setup'!$K$8*(SUMIF($BH$3:$CE$3,"&lt;"&amp;$DF52,$AD52:$BA52)+SUMIF($BH$3:$CE$3,"&gt;"&amp;$CW$4,$AD52:$BA52)),
IF(BJ$3=$DF52+'Model Setup'!$L$7,SUMIF($BH$3:$CE$3,"="&amp;$DF52+'Model Setup'!$L$7,$AD52:$BA52)+'Model Setup'!$L$8*(SUMIF($BH$3:$CE$3,"&lt;"&amp;$DF52,$AD52:$BA52)+SUMIF($BH$3:$CE$3,"&gt;"&amp;$CW$4,$AD52:$BA52)),
IF(BJ$3=$DF52+'Model Setup'!$M$7,SUMIF($BH$3:$CE$3,"="&amp;$DF52+'Model Setup'!$M$7,$AD52:$BA52)+'Model Setup'!$M$8*(SUMIF($BH$3:$CE$3,"&lt;"&amp;$DF52,$AD52:$BA52)+SUMIF($BH$3:$CE$3,"&gt;"&amp;$CW$4,$AD52:$BA52)),
IF(BJ$3=$DF52+'Model Setup'!$N$7,SUMIF($BH$3:$CE$3,"="&amp;$DF52+'Model Setup'!$N$7,$AD52:$BA52)+'Model Setup'!$N$8*(SUMIF($BH$3:$CE$3,"&lt;"&amp;$DF52,$AD52:$BA52)+SUMIF($BH$3:$CE$3,"&gt;"&amp;$CW$4,$AD52:$BA52)),
IF(BJ$3&lt;$CW$4,D52,0))))))))))))))),0)</f>
        <v>0</v>
      </c>
      <c r="BK52" s="47">
        <f>ROUND(IF(OR(BK$3&lt;$DF52,BK$3&gt;$CW$4),0,
IF(BK$3=$DF52+'Model Setup'!$B$7,SUMIF($BH$3:$CE$3,"="&amp;$DF52+'Model Setup'!$B$7,$AD52:$BA52)+'Model Setup'!$B$8*(SUMIF($BH$3:$CE$3,"&lt;"&amp;$DF52,$AD52:$BA52)+SUMIF($BH$3:$CE$3,"&gt;"&amp;$CW$4,$AD52:$BA52)),
IF(BK$3=$DF52+'Model Setup'!$C$7,SUMIF($BH$3:$CE$3,"="&amp;$DF52+'Model Setup'!$C$7,$AD52:$BA52)+'Model Setup'!$C$8*(SUMIF($BH$3:$CE$3,"&lt;"&amp;$DF52,$AD52:$BA52)+SUMIF($BH$3:$CE$3,"&gt;"&amp;$CW$4,$AD52:$BA52)),
IF(BK$3=$DF52+'Model Setup'!$D$7,SUMIF($BH$3:$CE$3,"="&amp;$DF52+'Model Setup'!$D$7,$AD52:$BA52)+'Model Setup'!$D$8*(SUMIF($BH$3:$CE$3,"&lt;"&amp;$DF52,$AD52:$BA52)+SUMIF($BH$3:$CE$3,"&gt;"&amp;$CW$4,$AD52:$BA52)),
IF(BK$3=$DF52+'Model Setup'!$E$7,SUMIF($BH$3:$CE$3,"="&amp;$DF52+'Model Setup'!$E$7,$AD52:$BA52)+'Model Setup'!$E$8*(SUMIF($BH$3:$CE$3,"&lt;"&amp;$DF52,$AD52:$BA52)+SUMIF($BH$3:$CE$3,"&gt;"&amp;$CW$4,$AD52:$BA52)),
IF(BK$3=$DF52+'Model Setup'!$F$7,SUMIF($BH$3:$CE$3,"="&amp;$DF52+'Model Setup'!$F$7,$AD52:$BA52)+'Model Setup'!$F$8*(SUMIF($BH$3:$CE$3,"&lt;"&amp;$DF52,$AD52:$BA52)+SUMIF($BH$3:$CE$3,"&gt;"&amp;$CW$4,$AD52:$BA52)),
IF(BK$3=$DF52+'Model Setup'!$G$7,SUMIF($BH$3:$CE$3,"="&amp;$DF52+'Model Setup'!$G$7,$AD52:$BA52)+'Model Setup'!$G$8*(SUMIF($BH$3:$CE$3,"&lt;"&amp;$DF52,$AD52:$BA52)+SUMIF($BH$3:$CE$3,"&gt;"&amp;$CW$4,$AD52:$BA52)),
IF(BK$3=$DF52+'Model Setup'!$H$7,SUMIF($BH$3:$CE$3,"="&amp;$DF52+'Model Setup'!$H$7,$AD52:$BA52)+'Model Setup'!$H$8*(SUMIF($BH$3:$CE$3,"&lt;"&amp;$DF52,$AD52:$BA52)+SUMIF($BH$3:$CE$3,"&gt;"&amp;$CW$4,$AD52:$BA52)),
IF(BK$3=$DF52+'Model Setup'!$I$7,SUMIF($BH$3:$CE$3,"="&amp;$DF52+'Model Setup'!$I$7,$AD52:$BA52)+'Model Setup'!$I$8*(SUMIF($BH$3:$CE$3,"&lt;"&amp;$DF52,$AD52:$BA52)+SUMIF($BH$3:$CE$3,"&gt;"&amp;$CW$4,$AD52:$BA52)),
IF(BK$3=$DF52+'Model Setup'!$J$7,SUMIF($BH$3:$CE$3,"="&amp;$DF52+'Model Setup'!$J$7,$AD52:$BA52)+'Model Setup'!$J$8*(SUMIF($BH$3:$CE$3,"&lt;"&amp;$DF52,$AD52:$BA52)+SUMIF($BH$3:$CE$3,"&gt;"&amp;$CW$4,$AD52:$BA52)),
IF(BK$3=$DF52+'Model Setup'!$K$7,SUMIF($BH$3:$CE$3,"="&amp;$DF52+'Model Setup'!$K$7,$AD52:$BA52)+'Model Setup'!$K$8*(SUMIF($BH$3:$CE$3,"&lt;"&amp;$DF52,$AD52:$BA52)+SUMIF($BH$3:$CE$3,"&gt;"&amp;$CW$4,$AD52:$BA52)),
IF(BK$3=$DF52+'Model Setup'!$L$7,SUMIF($BH$3:$CE$3,"="&amp;$DF52+'Model Setup'!$L$7,$AD52:$BA52)+'Model Setup'!$L$8*(SUMIF($BH$3:$CE$3,"&lt;"&amp;$DF52,$AD52:$BA52)+SUMIF($BH$3:$CE$3,"&gt;"&amp;$CW$4,$AD52:$BA52)),
IF(BK$3=$DF52+'Model Setup'!$M$7,SUMIF($BH$3:$CE$3,"="&amp;$DF52+'Model Setup'!$M$7,$AD52:$BA52)+'Model Setup'!$M$8*(SUMIF($BH$3:$CE$3,"&lt;"&amp;$DF52,$AD52:$BA52)+SUMIF($BH$3:$CE$3,"&gt;"&amp;$CW$4,$AD52:$BA52)),
IF(BK$3=$DF52+'Model Setup'!$N$7,SUMIF($BH$3:$CE$3,"="&amp;$DF52+'Model Setup'!$N$7,$AD52:$BA52)+'Model Setup'!$N$8*(SUMIF($BH$3:$CE$3,"&lt;"&amp;$DF52,$AD52:$BA52)+SUMIF($BH$3:$CE$3,"&gt;"&amp;$CW$4,$AD52:$BA52)),
IF(BK$3&lt;$CW$4,E52,0))))))))))))))),0)</f>
        <v>0</v>
      </c>
      <c r="BL52" s="47">
        <f>ROUND(IF(OR(BL$3&lt;$DF52,BL$3&gt;$CW$4),0,
IF(BL$3=$DF52+'Model Setup'!$B$7,SUMIF($BH$3:$CE$3,"="&amp;$DF52+'Model Setup'!$B$7,$AD52:$BA52)+'Model Setup'!$B$8*(SUMIF($BH$3:$CE$3,"&lt;"&amp;$DF52,$AD52:$BA52)+SUMIF($BH$3:$CE$3,"&gt;"&amp;$CW$4,$AD52:$BA52)),
IF(BL$3=$DF52+'Model Setup'!$C$7,SUMIF($BH$3:$CE$3,"="&amp;$DF52+'Model Setup'!$C$7,$AD52:$BA52)+'Model Setup'!$C$8*(SUMIF($BH$3:$CE$3,"&lt;"&amp;$DF52,$AD52:$BA52)+SUMIF($BH$3:$CE$3,"&gt;"&amp;$CW$4,$AD52:$BA52)),
IF(BL$3=$DF52+'Model Setup'!$D$7,SUMIF($BH$3:$CE$3,"="&amp;$DF52+'Model Setup'!$D$7,$AD52:$BA52)+'Model Setup'!$D$8*(SUMIF($BH$3:$CE$3,"&lt;"&amp;$DF52,$AD52:$BA52)+SUMIF($BH$3:$CE$3,"&gt;"&amp;$CW$4,$AD52:$BA52)),
IF(BL$3=$DF52+'Model Setup'!$E$7,SUMIF($BH$3:$CE$3,"="&amp;$DF52+'Model Setup'!$E$7,$AD52:$BA52)+'Model Setup'!$E$8*(SUMIF($BH$3:$CE$3,"&lt;"&amp;$DF52,$AD52:$BA52)+SUMIF($BH$3:$CE$3,"&gt;"&amp;$CW$4,$AD52:$BA52)),
IF(BL$3=$DF52+'Model Setup'!$F$7,SUMIF($BH$3:$CE$3,"="&amp;$DF52+'Model Setup'!$F$7,$AD52:$BA52)+'Model Setup'!$F$8*(SUMIF($BH$3:$CE$3,"&lt;"&amp;$DF52,$AD52:$BA52)+SUMIF($BH$3:$CE$3,"&gt;"&amp;$CW$4,$AD52:$BA52)),
IF(BL$3=$DF52+'Model Setup'!$G$7,SUMIF($BH$3:$CE$3,"="&amp;$DF52+'Model Setup'!$G$7,$AD52:$BA52)+'Model Setup'!$G$8*(SUMIF($BH$3:$CE$3,"&lt;"&amp;$DF52,$AD52:$BA52)+SUMIF($BH$3:$CE$3,"&gt;"&amp;$CW$4,$AD52:$BA52)),
IF(BL$3=$DF52+'Model Setup'!$H$7,SUMIF($BH$3:$CE$3,"="&amp;$DF52+'Model Setup'!$H$7,$AD52:$BA52)+'Model Setup'!$H$8*(SUMIF($BH$3:$CE$3,"&lt;"&amp;$DF52,$AD52:$BA52)+SUMIF($BH$3:$CE$3,"&gt;"&amp;$CW$4,$AD52:$BA52)),
IF(BL$3=$DF52+'Model Setup'!$I$7,SUMIF($BH$3:$CE$3,"="&amp;$DF52+'Model Setup'!$I$7,$AD52:$BA52)+'Model Setup'!$I$8*(SUMIF($BH$3:$CE$3,"&lt;"&amp;$DF52,$AD52:$BA52)+SUMIF($BH$3:$CE$3,"&gt;"&amp;$CW$4,$AD52:$BA52)),
IF(BL$3=$DF52+'Model Setup'!$J$7,SUMIF($BH$3:$CE$3,"="&amp;$DF52+'Model Setup'!$J$7,$AD52:$BA52)+'Model Setup'!$J$8*(SUMIF($BH$3:$CE$3,"&lt;"&amp;$DF52,$AD52:$BA52)+SUMIF($BH$3:$CE$3,"&gt;"&amp;$CW$4,$AD52:$BA52)),
IF(BL$3=$DF52+'Model Setup'!$K$7,SUMIF($BH$3:$CE$3,"="&amp;$DF52+'Model Setup'!$K$7,$AD52:$BA52)+'Model Setup'!$K$8*(SUMIF($BH$3:$CE$3,"&lt;"&amp;$DF52,$AD52:$BA52)+SUMIF($BH$3:$CE$3,"&gt;"&amp;$CW$4,$AD52:$BA52)),
IF(BL$3=$DF52+'Model Setup'!$L$7,SUMIF($BH$3:$CE$3,"="&amp;$DF52+'Model Setup'!$L$7,$AD52:$BA52)+'Model Setup'!$L$8*(SUMIF($BH$3:$CE$3,"&lt;"&amp;$DF52,$AD52:$BA52)+SUMIF($BH$3:$CE$3,"&gt;"&amp;$CW$4,$AD52:$BA52)),
IF(BL$3=$DF52+'Model Setup'!$M$7,SUMIF($BH$3:$CE$3,"="&amp;$DF52+'Model Setup'!$M$7,$AD52:$BA52)+'Model Setup'!$M$8*(SUMIF($BH$3:$CE$3,"&lt;"&amp;$DF52,$AD52:$BA52)+SUMIF($BH$3:$CE$3,"&gt;"&amp;$CW$4,$AD52:$BA52)),
IF(BL$3=$DF52+'Model Setup'!$N$7,SUMIF($BH$3:$CE$3,"="&amp;$DF52+'Model Setup'!$N$7,$AD52:$BA52)+'Model Setup'!$N$8*(SUMIF($BH$3:$CE$3,"&lt;"&amp;$DF52,$AD52:$BA52)+SUMIF($BH$3:$CE$3,"&gt;"&amp;$CW$4,$AD52:$BA52)),
IF(BL$3&lt;$CW$4,F52,0))))))))))))))),0)</f>
        <v>0</v>
      </c>
      <c r="BM52" s="47">
        <f>ROUND(IF(OR(BM$3&lt;$DF52,BM$3&gt;$CW$4),0,
IF(BM$3=$DF52+'Model Setup'!$B$7,SUMIF($BH$3:$CE$3,"="&amp;$DF52+'Model Setup'!$B$7,$AD52:$BA52)+'Model Setup'!$B$8*(SUMIF($BH$3:$CE$3,"&lt;"&amp;$DF52,$AD52:$BA52)+SUMIF($BH$3:$CE$3,"&gt;"&amp;$CW$4,$AD52:$BA52)),
IF(BM$3=$DF52+'Model Setup'!$C$7,SUMIF($BH$3:$CE$3,"="&amp;$DF52+'Model Setup'!$C$7,$AD52:$BA52)+'Model Setup'!$C$8*(SUMIF($BH$3:$CE$3,"&lt;"&amp;$DF52,$AD52:$BA52)+SUMIF($BH$3:$CE$3,"&gt;"&amp;$CW$4,$AD52:$BA52)),
IF(BM$3=$DF52+'Model Setup'!$D$7,SUMIF($BH$3:$CE$3,"="&amp;$DF52+'Model Setup'!$D$7,$AD52:$BA52)+'Model Setup'!$D$8*(SUMIF($BH$3:$CE$3,"&lt;"&amp;$DF52,$AD52:$BA52)+SUMIF($BH$3:$CE$3,"&gt;"&amp;$CW$4,$AD52:$BA52)),
IF(BM$3=$DF52+'Model Setup'!$E$7,SUMIF($BH$3:$CE$3,"="&amp;$DF52+'Model Setup'!$E$7,$AD52:$BA52)+'Model Setup'!$E$8*(SUMIF($BH$3:$CE$3,"&lt;"&amp;$DF52,$AD52:$BA52)+SUMIF($BH$3:$CE$3,"&gt;"&amp;$CW$4,$AD52:$BA52)),
IF(BM$3=$DF52+'Model Setup'!$F$7,SUMIF($BH$3:$CE$3,"="&amp;$DF52+'Model Setup'!$F$7,$AD52:$BA52)+'Model Setup'!$F$8*(SUMIF($BH$3:$CE$3,"&lt;"&amp;$DF52,$AD52:$BA52)+SUMIF($BH$3:$CE$3,"&gt;"&amp;$CW$4,$AD52:$BA52)),
IF(BM$3=$DF52+'Model Setup'!$G$7,SUMIF($BH$3:$CE$3,"="&amp;$DF52+'Model Setup'!$G$7,$AD52:$BA52)+'Model Setup'!$G$8*(SUMIF($BH$3:$CE$3,"&lt;"&amp;$DF52,$AD52:$BA52)+SUMIF($BH$3:$CE$3,"&gt;"&amp;$CW$4,$AD52:$BA52)),
IF(BM$3=$DF52+'Model Setup'!$H$7,SUMIF($BH$3:$CE$3,"="&amp;$DF52+'Model Setup'!$H$7,$AD52:$BA52)+'Model Setup'!$H$8*(SUMIF($BH$3:$CE$3,"&lt;"&amp;$DF52,$AD52:$BA52)+SUMIF($BH$3:$CE$3,"&gt;"&amp;$CW$4,$AD52:$BA52)),
IF(BM$3=$DF52+'Model Setup'!$I$7,SUMIF($BH$3:$CE$3,"="&amp;$DF52+'Model Setup'!$I$7,$AD52:$BA52)+'Model Setup'!$I$8*(SUMIF($BH$3:$CE$3,"&lt;"&amp;$DF52,$AD52:$BA52)+SUMIF($BH$3:$CE$3,"&gt;"&amp;$CW$4,$AD52:$BA52)),
IF(BM$3=$DF52+'Model Setup'!$J$7,SUMIF($BH$3:$CE$3,"="&amp;$DF52+'Model Setup'!$J$7,$AD52:$BA52)+'Model Setup'!$J$8*(SUMIF($BH$3:$CE$3,"&lt;"&amp;$DF52,$AD52:$BA52)+SUMIF($BH$3:$CE$3,"&gt;"&amp;$CW$4,$AD52:$BA52)),
IF(BM$3=$DF52+'Model Setup'!$K$7,SUMIF($BH$3:$CE$3,"="&amp;$DF52+'Model Setup'!$K$7,$AD52:$BA52)+'Model Setup'!$K$8*(SUMIF($BH$3:$CE$3,"&lt;"&amp;$DF52,$AD52:$BA52)+SUMIF($BH$3:$CE$3,"&gt;"&amp;$CW$4,$AD52:$BA52)),
IF(BM$3=$DF52+'Model Setup'!$L$7,SUMIF($BH$3:$CE$3,"="&amp;$DF52+'Model Setup'!$L$7,$AD52:$BA52)+'Model Setup'!$L$8*(SUMIF($BH$3:$CE$3,"&lt;"&amp;$DF52,$AD52:$BA52)+SUMIF($BH$3:$CE$3,"&gt;"&amp;$CW$4,$AD52:$BA52)),
IF(BM$3=$DF52+'Model Setup'!$M$7,SUMIF($BH$3:$CE$3,"="&amp;$DF52+'Model Setup'!$M$7,$AD52:$BA52)+'Model Setup'!$M$8*(SUMIF($BH$3:$CE$3,"&lt;"&amp;$DF52,$AD52:$BA52)+SUMIF($BH$3:$CE$3,"&gt;"&amp;$CW$4,$AD52:$BA52)),
IF(BM$3=$DF52+'Model Setup'!$N$7,SUMIF($BH$3:$CE$3,"="&amp;$DF52+'Model Setup'!$N$7,$AD52:$BA52)+'Model Setup'!$N$8*(SUMIF($BH$3:$CE$3,"&lt;"&amp;$DF52,$AD52:$BA52)+SUMIF($BH$3:$CE$3,"&gt;"&amp;$CW$4,$AD52:$BA52)),
IF(BM$3&lt;$CW$4,G52,0))))))))))))))),0)</f>
        <v>0</v>
      </c>
      <c r="BN52" s="47">
        <f>ROUND(IF(OR(BN$3&lt;$DF52,BN$3&gt;$CW$4),0,
IF(BN$3=$DF52+'Model Setup'!$B$7,SUMIF($BH$3:$CE$3,"="&amp;$DF52+'Model Setup'!$B$7,$AD52:$BA52)+'Model Setup'!$B$8*(SUMIF($BH$3:$CE$3,"&lt;"&amp;$DF52,$AD52:$BA52)+SUMIF($BH$3:$CE$3,"&gt;"&amp;$CW$4,$AD52:$BA52)),
IF(BN$3=$DF52+'Model Setup'!$C$7,SUMIF($BH$3:$CE$3,"="&amp;$DF52+'Model Setup'!$C$7,$AD52:$BA52)+'Model Setup'!$C$8*(SUMIF($BH$3:$CE$3,"&lt;"&amp;$DF52,$AD52:$BA52)+SUMIF($BH$3:$CE$3,"&gt;"&amp;$CW$4,$AD52:$BA52)),
IF(BN$3=$DF52+'Model Setup'!$D$7,SUMIF($BH$3:$CE$3,"="&amp;$DF52+'Model Setup'!$D$7,$AD52:$BA52)+'Model Setup'!$D$8*(SUMIF($BH$3:$CE$3,"&lt;"&amp;$DF52,$AD52:$BA52)+SUMIF($BH$3:$CE$3,"&gt;"&amp;$CW$4,$AD52:$BA52)),
IF(BN$3=$DF52+'Model Setup'!$E$7,SUMIF($BH$3:$CE$3,"="&amp;$DF52+'Model Setup'!$E$7,$AD52:$BA52)+'Model Setup'!$E$8*(SUMIF($BH$3:$CE$3,"&lt;"&amp;$DF52,$AD52:$BA52)+SUMIF($BH$3:$CE$3,"&gt;"&amp;$CW$4,$AD52:$BA52)),
IF(BN$3=$DF52+'Model Setup'!$F$7,SUMIF($BH$3:$CE$3,"="&amp;$DF52+'Model Setup'!$F$7,$AD52:$BA52)+'Model Setup'!$F$8*(SUMIF($BH$3:$CE$3,"&lt;"&amp;$DF52,$AD52:$BA52)+SUMIF($BH$3:$CE$3,"&gt;"&amp;$CW$4,$AD52:$BA52)),
IF(BN$3=$DF52+'Model Setup'!$G$7,SUMIF($BH$3:$CE$3,"="&amp;$DF52+'Model Setup'!$G$7,$AD52:$BA52)+'Model Setup'!$G$8*(SUMIF($BH$3:$CE$3,"&lt;"&amp;$DF52,$AD52:$BA52)+SUMIF($BH$3:$CE$3,"&gt;"&amp;$CW$4,$AD52:$BA52)),
IF(BN$3=$DF52+'Model Setup'!$H$7,SUMIF($BH$3:$CE$3,"="&amp;$DF52+'Model Setup'!$H$7,$AD52:$BA52)+'Model Setup'!$H$8*(SUMIF($BH$3:$CE$3,"&lt;"&amp;$DF52,$AD52:$BA52)+SUMIF($BH$3:$CE$3,"&gt;"&amp;$CW$4,$AD52:$BA52)),
IF(BN$3=$DF52+'Model Setup'!$I$7,SUMIF($BH$3:$CE$3,"="&amp;$DF52+'Model Setup'!$I$7,$AD52:$BA52)+'Model Setup'!$I$8*(SUMIF($BH$3:$CE$3,"&lt;"&amp;$DF52,$AD52:$BA52)+SUMIF($BH$3:$CE$3,"&gt;"&amp;$CW$4,$AD52:$BA52)),
IF(BN$3=$DF52+'Model Setup'!$J$7,SUMIF($BH$3:$CE$3,"="&amp;$DF52+'Model Setup'!$J$7,$AD52:$BA52)+'Model Setup'!$J$8*(SUMIF($BH$3:$CE$3,"&lt;"&amp;$DF52,$AD52:$BA52)+SUMIF($BH$3:$CE$3,"&gt;"&amp;$CW$4,$AD52:$BA52)),
IF(BN$3=$DF52+'Model Setup'!$K$7,SUMIF($BH$3:$CE$3,"="&amp;$DF52+'Model Setup'!$K$7,$AD52:$BA52)+'Model Setup'!$K$8*(SUMIF($BH$3:$CE$3,"&lt;"&amp;$DF52,$AD52:$BA52)+SUMIF($BH$3:$CE$3,"&gt;"&amp;$CW$4,$AD52:$BA52)),
IF(BN$3=$DF52+'Model Setup'!$L$7,SUMIF($BH$3:$CE$3,"="&amp;$DF52+'Model Setup'!$L$7,$AD52:$BA52)+'Model Setup'!$L$8*(SUMIF($BH$3:$CE$3,"&lt;"&amp;$DF52,$AD52:$BA52)+SUMIF($BH$3:$CE$3,"&gt;"&amp;$CW$4,$AD52:$BA52)),
IF(BN$3=$DF52+'Model Setup'!$M$7,SUMIF($BH$3:$CE$3,"="&amp;$DF52+'Model Setup'!$M$7,$AD52:$BA52)+'Model Setup'!$M$8*(SUMIF($BH$3:$CE$3,"&lt;"&amp;$DF52,$AD52:$BA52)+SUMIF($BH$3:$CE$3,"&gt;"&amp;$CW$4,$AD52:$BA52)),
IF(BN$3=$DF52+'Model Setup'!$N$7,SUMIF($BH$3:$CE$3,"="&amp;$DF52+'Model Setup'!$N$7,$AD52:$BA52)+'Model Setup'!$N$8*(SUMIF($BH$3:$CE$3,"&lt;"&amp;$DF52,$AD52:$BA52)+SUMIF($BH$3:$CE$3,"&gt;"&amp;$CW$4,$AD52:$BA52)),
IF(BN$3&lt;$CW$4,H52,0))))))))))))))),0)</f>
        <v>19</v>
      </c>
      <c r="BO52" s="47">
        <f>ROUND(IF(OR(BO$3&lt;$DF52,BO$3&gt;$CW$4),0,
IF(BO$3=$DF52+'Model Setup'!$B$7,SUMIF($BH$3:$CE$3,"="&amp;$DF52+'Model Setup'!$B$7,$AD52:$BA52)+'Model Setup'!$B$8*(SUMIF($BH$3:$CE$3,"&lt;"&amp;$DF52,$AD52:$BA52)+SUMIF($BH$3:$CE$3,"&gt;"&amp;$CW$4,$AD52:$BA52)),
IF(BO$3=$DF52+'Model Setup'!$C$7,SUMIF($BH$3:$CE$3,"="&amp;$DF52+'Model Setup'!$C$7,$AD52:$BA52)+'Model Setup'!$C$8*(SUMIF($BH$3:$CE$3,"&lt;"&amp;$DF52,$AD52:$BA52)+SUMIF($BH$3:$CE$3,"&gt;"&amp;$CW$4,$AD52:$BA52)),
IF(BO$3=$DF52+'Model Setup'!$D$7,SUMIF($BH$3:$CE$3,"="&amp;$DF52+'Model Setup'!$D$7,$AD52:$BA52)+'Model Setup'!$D$8*(SUMIF($BH$3:$CE$3,"&lt;"&amp;$DF52,$AD52:$BA52)+SUMIF($BH$3:$CE$3,"&gt;"&amp;$CW$4,$AD52:$BA52)),
IF(BO$3=$DF52+'Model Setup'!$E$7,SUMIF($BH$3:$CE$3,"="&amp;$DF52+'Model Setup'!$E$7,$AD52:$BA52)+'Model Setup'!$E$8*(SUMIF($BH$3:$CE$3,"&lt;"&amp;$DF52,$AD52:$BA52)+SUMIF($BH$3:$CE$3,"&gt;"&amp;$CW$4,$AD52:$BA52)),
IF(BO$3=$DF52+'Model Setup'!$F$7,SUMIF($BH$3:$CE$3,"="&amp;$DF52+'Model Setup'!$F$7,$AD52:$BA52)+'Model Setup'!$F$8*(SUMIF($BH$3:$CE$3,"&lt;"&amp;$DF52,$AD52:$BA52)+SUMIF($BH$3:$CE$3,"&gt;"&amp;$CW$4,$AD52:$BA52)),
IF(BO$3=$DF52+'Model Setup'!$G$7,SUMIF($BH$3:$CE$3,"="&amp;$DF52+'Model Setup'!$G$7,$AD52:$BA52)+'Model Setup'!$G$8*(SUMIF($BH$3:$CE$3,"&lt;"&amp;$DF52,$AD52:$BA52)+SUMIF($BH$3:$CE$3,"&gt;"&amp;$CW$4,$AD52:$BA52)),
IF(BO$3=$DF52+'Model Setup'!$H$7,SUMIF($BH$3:$CE$3,"="&amp;$DF52+'Model Setup'!$H$7,$AD52:$BA52)+'Model Setup'!$H$8*(SUMIF($BH$3:$CE$3,"&lt;"&amp;$DF52,$AD52:$BA52)+SUMIF($BH$3:$CE$3,"&gt;"&amp;$CW$4,$AD52:$BA52)),
IF(BO$3=$DF52+'Model Setup'!$I$7,SUMIF($BH$3:$CE$3,"="&amp;$DF52+'Model Setup'!$I$7,$AD52:$BA52)+'Model Setup'!$I$8*(SUMIF($BH$3:$CE$3,"&lt;"&amp;$DF52,$AD52:$BA52)+SUMIF($BH$3:$CE$3,"&gt;"&amp;$CW$4,$AD52:$BA52)),
IF(BO$3=$DF52+'Model Setup'!$J$7,SUMIF($BH$3:$CE$3,"="&amp;$DF52+'Model Setup'!$J$7,$AD52:$BA52)+'Model Setup'!$J$8*(SUMIF($BH$3:$CE$3,"&lt;"&amp;$DF52,$AD52:$BA52)+SUMIF($BH$3:$CE$3,"&gt;"&amp;$CW$4,$AD52:$BA52)),
IF(BO$3=$DF52+'Model Setup'!$K$7,SUMIF($BH$3:$CE$3,"="&amp;$DF52+'Model Setup'!$K$7,$AD52:$BA52)+'Model Setup'!$K$8*(SUMIF($BH$3:$CE$3,"&lt;"&amp;$DF52,$AD52:$BA52)+SUMIF($BH$3:$CE$3,"&gt;"&amp;$CW$4,$AD52:$BA52)),
IF(BO$3=$DF52+'Model Setup'!$L$7,SUMIF($BH$3:$CE$3,"="&amp;$DF52+'Model Setup'!$L$7,$AD52:$BA52)+'Model Setup'!$L$8*(SUMIF($BH$3:$CE$3,"&lt;"&amp;$DF52,$AD52:$BA52)+SUMIF($BH$3:$CE$3,"&gt;"&amp;$CW$4,$AD52:$BA52)),
IF(BO$3=$DF52+'Model Setup'!$M$7,SUMIF($BH$3:$CE$3,"="&amp;$DF52+'Model Setup'!$M$7,$AD52:$BA52)+'Model Setup'!$M$8*(SUMIF($BH$3:$CE$3,"&lt;"&amp;$DF52,$AD52:$BA52)+SUMIF($BH$3:$CE$3,"&gt;"&amp;$CW$4,$AD52:$BA52)),
IF(BO$3=$DF52+'Model Setup'!$N$7,SUMIF($BH$3:$CE$3,"="&amp;$DF52+'Model Setup'!$N$7,$AD52:$BA52)+'Model Setup'!$N$8*(SUMIF($BH$3:$CE$3,"&lt;"&amp;$DF52,$AD52:$BA52)+SUMIF($BH$3:$CE$3,"&gt;"&amp;$CW$4,$AD52:$BA52)),
IF(BO$3&lt;$CW$4,I52,0))))))))))))))),0)</f>
        <v>17</v>
      </c>
      <c r="BP52" s="47">
        <f>ROUND(IF(OR(BP$3&lt;$DF52,BP$3&gt;$CW$4),0,
IF(BP$3=$DF52+'Model Setup'!$B$7,SUMIF($BH$3:$CE$3,"="&amp;$DF52+'Model Setup'!$B$7,$AD52:$BA52)+'Model Setup'!$B$8*(SUMIF($BH$3:$CE$3,"&lt;"&amp;$DF52,$AD52:$BA52)+SUMIF($BH$3:$CE$3,"&gt;"&amp;$CW$4,$AD52:$BA52)),
IF(BP$3=$DF52+'Model Setup'!$C$7,SUMIF($BH$3:$CE$3,"="&amp;$DF52+'Model Setup'!$C$7,$AD52:$BA52)+'Model Setup'!$C$8*(SUMIF($BH$3:$CE$3,"&lt;"&amp;$DF52,$AD52:$BA52)+SUMIF($BH$3:$CE$3,"&gt;"&amp;$CW$4,$AD52:$BA52)),
IF(BP$3=$DF52+'Model Setup'!$D$7,SUMIF($BH$3:$CE$3,"="&amp;$DF52+'Model Setup'!$D$7,$AD52:$BA52)+'Model Setup'!$D$8*(SUMIF($BH$3:$CE$3,"&lt;"&amp;$DF52,$AD52:$BA52)+SUMIF($BH$3:$CE$3,"&gt;"&amp;$CW$4,$AD52:$BA52)),
IF(BP$3=$DF52+'Model Setup'!$E$7,SUMIF($BH$3:$CE$3,"="&amp;$DF52+'Model Setup'!$E$7,$AD52:$BA52)+'Model Setup'!$E$8*(SUMIF($BH$3:$CE$3,"&lt;"&amp;$DF52,$AD52:$BA52)+SUMIF($BH$3:$CE$3,"&gt;"&amp;$CW$4,$AD52:$BA52)),
IF(BP$3=$DF52+'Model Setup'!$F$7,SUMIF($BH$3:$CE$3,"="&amp;$DF52+'Model Setup'!$F$7,$AD52:$BA52)+'Model Setup'!$F$8*(SUMIF($BH$3:$CE$3,"&lt;"&amp;$DF52,$AD52:$BA52)+SUMIF($BH$3:$CE$3,"&gt;"&amp;$CW$4,$AD52:$BA52)),
IF(BP$3=$DF52+'Model Setup'!$G$7,SUMIF($BH$3:$CE$3,"="&amp;$DF52+'Model Setup'!$G$7,$AD52:$BA52)+'Model Setup'!$G$8*(SUMIF($BH$3:$CE$3,"&lt;"&amp;$DF52,$AD52:$BA52)+SUMIF($BH$3:$CE$3,"&gt;"&amp;$CW$4,$AD52:$BA52)),
IF(BP$3=$DF52+'Model Setup'!$H$7,SUMIF($BH$3:$CE$3,"="&amp;$DF52+'Model Setup'!$H$7,$AD52:$BA52)+'Model Setup'!$H$8*(SUMIF($BH$3:$CE$3,"&lt;"&amp;$DF52,$AD52:$BA52)+SUMIF($BH$3:$CE$3,"&gt;"&amp;$CW$4,$AD52:$BA52)),
IF(BP$3=$DF52+'Model Setup'!$I$7,SUMIF($BH$3:$CE$3,"="&amp;$DF52+'Model Setup'!$I$7,$AD52:$BA52)+'Model Setup'!$I$8*(SUMIF($BH$3:$CE$3,"&lt;"&amp;$DF52,$AD52:$BA52)+SUMIF($BH$3:$CE$3,"&gt;"&amp;$CW$4,$AD52:$BA52)),
IF(BP$3=$DF52+'Model Setup'!$J$7,SUMIF($BH$3:$CE$3,"="&amp;$DF52+'Model Setup'!$J$7,$AD52:$BA52)+'Model Setup'!$J$8*(SUMIF($BH$3:$CE$3,"&lt;"&amp;$DF52,$AD52:$BA52)+SUMIF($BH$3:$CE$3,"&gt;"&amp;$CW$4,$AD52:$BA52)),
IF(BP$3=$DF52+'Model Setup'!$K$7,SUMIF($BH$3:$CE$3,"="&amp;$DF52+'Model Setup'!$K$7,$AD52:$BA52)+'Model Setup'!$K$8*(SUMIF($BH$3:$CE$3,"&lt;"&amp;$DF52,$AD52:$BA52)+SUMIF($BH$3:$CE$3,"&gt;"&amp;$CW$4,$AD52:$BA52)),
IF(BP$3=$DF52+'Model Setup'!$L$7,SUMIF($BH$3:$CE$3,"="&amp;$DF52+'Model Setup'!$L$7,$AD52:$BA52)+'Model Setup'!$L$8*(SUMIF($BH$3:$CE$3,"&lt;"&amp;$DF52,$AD52:$BA52)+SUMIF($BH$3:$CE$3,"&gt;"&amp;$CW$4,$AD52:$BA52)),
IF(BP$3=$DF52+'Model Setup'!$M$7,SUMIF($BH$3:$CE$3,"="&amp;$DF52+'Model Setup'!$M$7,$AD52:$BA52)+'Model Setup'!$M$8*(SUMIF($BH$3:$CE$3,"&lt;"&amp;$DF52,$AD52:$BA52)+SUMIF($BH$3:$CE$3,"&gt;"&amp;$CW$4,$AD52:$BA52)),
IF(BP$3=$DF52+'Model Setup'!$N$7,SUMIF($BH$3:$CE$3,"="&amp;$DF52+'Model Setup'!$N$7,$AD52:$BA52)+'Model Setup'!$N$8*(SUMIF($BH$3:$CE$3,"&lt;"&amp;$DF52,$AD52:$BA52)+SUMIF($BH$3:$CE$3,"&gt;"&amp;$CW$4,$AD52:$BA52)),
IF(BP$3&lt;$CW$4,J52,0))))))))))))))),0)</f>
        <v>12</v>
      </c>
      <c r="BQ52" s="47">
        <f>ROUND(IF(OR(BQ$3&lt;$DF52,BQ$3&gt;$CW$4),0,
IF(BQ$3=$DF52+'Model Setup'!$B$7,SUMIF($BH$3:$CE$3,"="&amp;$DF52+'Model Setup'!$B$7,$AD52:$BA52)+'Model Setup'!$B$8*(SUMIF($BH$3:$CE$3,"&lt;"&amp;$DF52,$AD52:$BA52)+SUMIF($BH$3:$CE$3,"&gt;"&amp;$CW$4,$AD52:$BA52)),
IF(BQ$3=$DF52+'Model Setup'!$C$7,SUMIF($BH$3:$CE$3,"="&amp;$DF52+'Model Setup'!$C$7,$AD52:$BA52)+'Model Setup'!$C$8*(SUMIF($BH$3:$CE$3,"&lt;"&amp;$DF52,$AD52:$BA52)+SUMIF($BH$3:$CE$3,"&gt;"&amp;$CW$4,$AD52:$BA52)),
IF(BQ$3=$DF52+'Model Setup'!$D$7,SUMIF($BH$3:$CE$3,"="&amp;$DF52+'Model Setup'!$D$7,$AD52:$BA52)+'Model Setup'!$D$8*(SUMIF($BH$3:$CE$3,"&lt;"&amp;$DF52,$AD52:$BA52)+SUMIF($BH$3:$CE$3,"&gt;"&amp;$CW$4,$AD52:$BA52)),
IF(BQ$3=$DF52+'Model Setup'!$E$7,SUMIF($BH$3:$CE$3,"="&amp;$DF52+'Model Setup'!$E$7,$AD52:$BA52)+'Model Setup'!$E$8*(SUMIF($BH$3:$CE$3,"&lt;"&amp;$DF52,$AD52:$BA52)+SUMIF($BH$3:$CE$3,"&gt;"&amp;$CW$4,$AD52:$BA52)),
IF(BQ$3=$DF52+'Model Setup'!$F$7,SUMIF($BH$3:$CE$3,"="&amp;$DF52+'Model Setup'!$F$7,$AD52:$BA52)+'Model Setup'!$F$8*(SUMIF($BH$3:$CE$3,"&lt;"&amp;$DF52,$AD52:$BA52)+SUMIF($BH$3:$CE$3,"&gt;"&amp;$CW$4,$AD52:$BA52)),
IF(BQ$3=$DF52+'Model Setup'!$G$7,SUMIF($BH$3:$CE$3,"="&amp;$DF52+'Model Setup'!$G$7,$AD52:$BA52)+'Model Setup'!$G$8*(SUMIF($BH$3:$CE$3,"&lt;"&amp;$DF52,$AD52:$BA52)+SUMIF($BH$3:$CE$3,"&gt;"&amp;$CW$4,$AD52:$BA52)),
IF(BQ$3=$DF52+'Model Setup'!$H$7,SUMIF($BH$3:$CE$3,"="&amp;$DF52+'Model Setup'!$H$7,$AD52:$BA52)+'Model Setup'!$H$8*(SUMIF($BH$3:$CE$3,"&lt;"&amp;$DF52,$AD52:$BA52)+SUMIF($BH$3:$CE$3,"&gt;"&amp;$CW$4,$AD52:$BA52)),
IF(BQ$3=$DF52+'Model Setup'!$I$7,SUMIF($BH$3:$CE$3,"="&amp;$DF52+'Model Setup'!$I$7,$AD52:$BA52)+'Model Setup'!$I$8*(SUMIF($BH$3:$CE$3,"&lt;"&amp;$DF52,$AD52:$BA52)+SUMIF($BH$3:$CE$3,"&gt;"&amp;$CW$4,$AD52:$BA52)),
IF(BQ$3=$DF52+'Model Setup'!$J$7,SUMIF($BH$3:$CE$3,"="&amp;$DF52+'Model Setup'!$J$7,$AD52:$BA52)+'Model Setup'!$J$8*(SUMIF($BH$3:$CE$3,"&lt;"&amp;$DF52,$AD52:$BA52)+SUMIF($BH$3:$CE$3,"&gt;"&amp;$CW$4,$AD52:$BA52)),
IF(BQ$3=$DF52+'Model Setup'!$K$7,SUMIF($BH$3:$CE$3,"="&amp;$DF52+'Model Setup'!$K$7,$AD52:$BA52)+'Model Setup'!$K$8*(SUMIF($BH$3:$CE$3,"&lt;"&amp;$DF52,$AD52:$BA52)+SUMIF($BH$3:$CE$3,"&gt;"&amp;$CW$4,$AD52:$BA52)),
IF(BQ$3=$DF52+'Model Setup'!$L$7,SUMIF($BH$3:$CE$3,"="&amp;$DF52+'Model Setup'!$L$7,$AD52:$BA52)+'Model Setup'!$L$8*(SUMIF($BH$3:$CE$3,"&lt;"&amp;$DF52,$AD52:$BA52)+SUMIF($BH$3:$CE$3,"&gt;"&amp;$CW$4,$AD52:$BA52)),
IF(BQ$3=$DF52+'Model Setup'!$M$7,SUMIF($BH$3:$CE$3,"="&amp;$DF52+'Model Setup'!$M$7,$AD52:$BA52)+'Model Setup'!$M$8*(SUMIF($BH$3:$CE$3,"&lt;"&amp;$DF52,$AD52:$BA52)+SUMIF($BH$3:$CE$3,"&gt;"&amp;$CW$4,$AD52:$BA52)),
IF(BQ$3=$DF52+'Model Setup'!$N$7,SUMIF($BH$3:$CE$3,"="&amp;$DF52+'Model Setup'!$N$7,$AD52:$BA52)+'Model Setup'!$N$8*(SUMIF($BH$3:$CE$3,"&lt;"&amp;$DF52,$AD52:$BA52)+SUMIF($BH$3:$CE$3,"&gt;"&amp;$CW$4,$AD52:$BA52)),
IF(BQ$3&lt;$CW$4,K52,0))))))))))))))),0)</f>
        <v>13</v>
      </c>
      <c r="BR52" s="47">
        <f>ROUND(IF(OR(BR$3&lt;$DF52,BR$3&gt;$CW$4),0,
IF(BR$3=$DF52+'Model Setup'!$B$7,SUMIF($BH$3:$CE$3,"="&amp;$DF52+'Model Setup'!$B$7,$AD52:$BA52)+'Model Setup'!$B$8*(SUMIF($BH$3:$CE$3,"&lt;"&amp;$DF52,$AD52:$BA52)+SUMIF($BH$3:$CE$3,"&gt;"&amp;$CW$4,$AD52:$BA52)),
IF(BR$3=$DF52+'Model Setup'!$C$7,SUMIF($BH$3:$CE$3,"="&amp;$DF52+'Model Setup'!$C$7,$AD52:$BA52)+'Model Setup'!$C$8*(SUMIF($BH$3:$CE$3,"&lt;"&amp;$DF52,$AD52:$BA52)+SUMIF($BH$3:$CE$3,"&gt;"&amp;$CW$4,$AD52:$BA52)),
IF(BR$3=$DF52+'Model Setup'!$D$7,SUMIF($BH$3:$CE$3,"="&amp;$DF52+'Model Setup'!$D$7,$AD52:$BA52)+'Model Setup'!$D$8*(SUMIF($BH$3:$CE$3,"&lt;"&amp;$DF52,$AD52:$BA52)+SUMIF($BH$3:$CE$3,"&gt;"&amp;$CW$4,$AD52:$BA52)),
IF(BR$3=$DF52+'Model Setup'!$E$7,SUMIF($BH$3:$CE$3,"="&amp;$DF52+'Model Setup'!$E$7,$AD52:$BA52)+'Model Setup'!$E$8*(SUMIF($BH$3:$CE$3,"&lt;"&amp;$DF52,$AD52:$BA52)+SUMIF($BH$3:$CE$3,"&gt;"&amp;$CW$4,$AD52:$BA52)),
IF(BR$3=$DF52+'Model Setup'!$F$7,SUMIF($BH$3:$CE$3,"="&amp;$DF52+'Model Setup'!$F$7,$AD52:$BA52)+'Model Setup'!$F$8*(SUMIF($BH$3:$CE$3,"&lt;"&amp;$DF52,$AD52:$BA52)+SUMIF($BH$3:$CE$3,"&gt;"&amp;$CW$4,$AD52:$BA52)),
IF(BR$3=$DF52+'Model Setup'!$G$7,SUMIF($BH$3:$CE$3,"="&amp;$DF52+'Model Setup'!$G$7,$AD52:$BA52)+'Model Setup'!$G$8*(SUMIF($BH$3:$CE$3,"&lt;"&amp;$DF52,$AD52:$BA52)+SUMIF($BH$3:$CE$3,"&gt;"&amp;$CW$4,$AD52:$BA52)),
IF(BR$3=$DF52+'Model Setup'!$H$7,SUMIF($BH$3:$CE$3,"="&amp;$DF52+'Model Setup'!$H$7,$AD52:$BA52)+'Model Setup'!$H$8*(SUMIF($BH$3:$CE$3,"&lt;"&amp;$DF52,$AD52:$BA52)+SUMIF($BH$3:$CE$3,"&gt;"&amp;$CW$4,$AD52:$BA52)),
IF(BR$3=$DF52+'Model Setup'!$I$7,SUMIF($BH$3:$CE$3,"="&amp;$DF52+'Model Setup'!$I$7,$AD52:$BA52)+'Model Setup'!$I$8*(SUMIF($BH$3:$CE$3,"&lt;"&amp;$DF52,$AD52:$BA52)+SUMIF($BH$3:$CE$3,"&gt;"&amp;$CW$4,$AD52:$BA52)),
IF(BR$3=$DF52+'Model Setup'!$J$7,SUMIF($BH$3:$CE$3,"="&amp;$DF52+'Model Setup'!$J$7,$AD52:$BA52)+'Model Setup'!$J$8*(SUMIF($BH$3:$CE$3,"&lt;"&amp;$DF52,$AD52:$BA52)+SUMIF($BH$3:$CE$3,"&gt;"&amp;$CW$4,$AD52:$BA52)),
IF(BR$3=$DF52+'Model Setup'!$K$7,SUMIF($BH$3:$CE$3,"="&amp;$DF52+'Model Setup'!$K$7,$AD52:$BA52)+'Model Setup'!$K$8*(SUMIF($BH$3:$CE$3,"&lt;"&amp;$DF52,$AD52:$BA52)+SUMIF($BH$3:$CE$3,"&gt;"&amp;$CW$4,$AD52:$BA52)),
IF(BR$3=$DF52+'Model Setup'!$L$7,SUMIF($BH$3:$CE$3,"="&amp;$DF52+'Model Setup'!$L$7,$AD52:$BA52)+'Model Setup'!$L$8*(SUMIF($BH$3:$CE$3,"&lt;"&amp;$DF52,$AD52:$BA52)+SUMIF($BH$3:$CE$3,"&gt;"&amp;$CW$4,$AD52:$BA52)),
IF(BR$3=$DF52+'Model Setup'!$M$7,SUMIF($BH$3:$CE$3,"="&amp;$DF52+'Model Setup'!$M$7,$AD52:$BA52)+'Model Setup'!$M$8*(SUMIF($BH$3:$CE$3,"&lt;"&amp;$DF52,$AD52:$BA52)+SUMIF($BH$3:$CE$3,"&gt;"&amp;$CW$4,$AD52:$BA52)),
IF(BR$3=$DF52+'Model Setup'!$N$7,SUMIF($BH$3:$CE$3,"="&amp;$DF52+'Model Setup'!$N$7,$AD52:$BA52)+'Model Setup'!$N$8*(SUMIF($BH$3:$CE$3,"&lt;"&amp;$DF52,$AD52:$BA52)+SUMIF($BH$3:$CE$3,"&gt;"&amp;$CW$4,$AD52:$BA52)),
IF(BR$3&lt;$CW$4,L52,0))))))))))))))),0)</f>
        <v>15</v>
      </c>
      <c r="BS52" s="47">
        <f>ROUND(IF(OR(BS$3&lt;$DF52,BS$3&gt;$CW$4),0,
IF(BS$3=$DF52+'Model Setup'!$B$7,SUMIF($BH$3:$CE$3,"="&amp;$DF52+'Model Setup'!$B$7,$AD52:$BA52)+'Model Setup'!$B$8*(SUMIF($BH$3:$CE$3,"&lt;"&amp;$DF52,$AD52:$BA52)+SUMIF($BH$3:$CE$3,"&gt;"&amp;$CW$4,$AD52:$BA52)),
IF(BS$3=$DF52+'Model Setup'!$C$7,SUMIF($BH$3:$CE$3,"="&amp;$DF52+'Model Setup'!$C$7,$AD52:$BA52)+'Model Setup'!$C$8*(SUMIF($BH$3:$CE$3,"&lt;"&amp;$DF52,$AD52:$BA52)+SUMIF($BH$3:$CE$3,"&gt;"&amp;$CW$4,$AD52:$BA52)),
IF(BS$3=$DF52+'Model Setup'!$D$7,SUMIF($BH$3:$CE$3,"="&amp;$DF52+'Model Setup'!$D$7,$AD52:$BA52)+'Model Setup'!$D$8*(SUMIF($BH$3:$CE$3,"&lt;"&amp;$DF52,$AD52:$BA52)+SUMIF($BH$3:$CE$3,"&gt;"&amp;$CW$4,$AD52:$BA52)),
IF(BS$3=$DF52+'Model Setup'!$E$7,SUMIF($BH$3:$CE$3,"="&amp;$DF52+'Model Setup'!$E$7,$AD52:$BA52)+'Model Setup'!$E$8*(SUMIF($BH$3:$CE$3,"&lt;"&amp;$DF52,$AD52:$BA52)+SUMIF($BH$3:$CE$3,"&gt;"&amp;$CW$4,$AD52:$BA52)),
IF(BS$3=$DF52+'Model Setup'!$F$7,SUMIF($BH$3:$CE$3,"="&amp;$DF52+'Model Setup'!$F$7,$AD52:$BA52)+'Model Setup'!$F$8*(SUMIF($BH$3:$CE$3,"&lt;"&amp;$DF52,$AD52:$BA52)+SUMIF($BH$3:$CE$3,"&gt;"&amp;$CW$4,$AD52:$BA52)),
IF(BS$3=$DF52+'Model Setup'!$G$7,SUMIF($BH$3:$CE$3,"="&amp;$DF52+'Model Setup'!$G$7,$AD52:$BA52)+'Model Setup'!$G$8*(SUMIF($BH$3:$CE$3,"&lt;"&amp;$DF52,$AD52:$BA52)+SUMIF($BH$3:$CE$3,"&gt;"&amp;$CW$4,$AD52:$BA52)),
IF(BS$3=$DF52+'Model Setup'!$H$7,SUMIF($BH$3:$CE$3,"="&amp;$DF52+'Model Setup'!$H$7,$AD52:$BA52)+'Model Setup'!$H$8*(SUMIF($BH$3:$CE$3,"&lt;"&amp;$DF52,$AD52:$BA52)+SUMIF($BH$3:$CE$3,"&gt;"&amp;$CW$4,$AD52:$BA52)),
IF(BS$3=$DF52+'Model Setup'!$I$7,SUMIF($BH$3:$CE$3,"="&amp;$DF52+'Model Setup'!$I$7,$AD52:$BA52)+'Model Setup'!$I$8*(SUMIF($BH$3:$CE$3,"&lt;"&amp;$DF52,$AD52:$BA52)+SUMIF($BH$3:$CE$3,"&gt;"&amp;$CW$4,$AD52:$BA52)),
IF(BS$3=$DF52+'Model Setup'!$J$7,SUMIF($BH$3:$CE$3,"="&amp;$DF52+'Model Setup'!$J$7,$AD52:$BA52)+'Model Setup'!$J$8*(SUMIF($BH$3:$CE$3,"&lt;"&amp;$DF52,$AD52:$BA52)+SUMIF($BH$3:$CE$3,"&gt;"&amp;$CW$4,$AD52:$BA52)),
IF(BS$3=$DF52+'Model Setup'!$K$7,SUMIF($BH$3:$CE$3,"="&amp;$DF52+'Model Setup'!$K$7,$AD52:$BA52)+'Model Setup'!$K$8*(SUMIF($BH$3:$CE$3,"&lt;"&amp;$DF52,$AD52:$BA52)+SUMIF($BH$3:$CE$3,"&gt;"&amp;$CW$4,$AD52:$BA52)),
IF(BS$3=$DF52+'Model Setup'!$L$7,SUMIF($BH$3:$CE$3,"="&amp;$DF52+'Model Setup'!$L$7,$AD52:$BA52)+'Model Setup'!$L$8*(SUMIF($BH$3:$CE$3,"&lt;"&amp;$DF52,$AD52:$BA52)+SUMIF($BH$3:$CE$3,"&gt;"&amp;$CW$4,$AD52:$BA52)),
IF(BS$3=$DF52+'Model Setup'!$M$7,SUMIF($BH$3:$CE$3,"="&amp;$DF52+'Model Setup'!$M$7,$AD52:$BA52)+'Model Setup'!$M$8*(SUMIF($BH$3:$CE$3,"&lt;"&amp;$DF52,$AD52:$BA52)+SUMIF($BH$3:$CE$3,"&gt;"&amp;$CW$4,$AD52:$BA52)),
IF(BS$3=$DF52+'Model Setup'!$N$7,SUMIF($BH$3:$CE$3,"="&amp;$DF52+'Model Setup'!$N$7,$AD52:$BA52)+'Model Setup'!$N$8*(SUMIF($BH$3:$CE$3,"&lt;"&amp;$DF52,$AD52:$BA52)+SUMIF($BH$3:$CE$3,"&gt;"&amp;$CW$4,$AD52:$BA52)),
IF(BS$3&lt;$CW$4,M52,0))))))))))))))),0)</f>
        <v>16</v>
      </c>
      <c r="BT52" s="47">
        <f>ROUND(IF(OR(BT$3&lt;$DF52,BT$3&gt;$CW$4),0,
IF(BT$3=$DF52+'Model Setup'!$B$7,SUMIF($BH$3:$CE$3,"="&amp;$DF52+'Model Setup'!$B$7,$AD52:$BA52)+'Model Setup'!$B$8*(SUMIF($BH$3:$CE$3,"&lt;"&amp;$DF52,$AD52:$BA52)+SUMIF($BH$3:$CE$3,"&gt;"&amp;$CW$4,$AD52:$BA52)),
IF(BT$3=$DF52+'Model Setup'!$C$7,SUMIF($BH$3:$CE$3,"="&amp;$DF52+'Model Setup'!$C$7,$AD52:$BA52)+'Model Setup'!$C$8*(SUMIF($BH$3:$CE$3,"&lt;"&amp;$DF52,$AD52:$BA52)+SUMIF($BH$3:$CE$3,"&gt;"&amp;$CW$4,$AD52:$BA52)),
IF(BT$3=$DF52+'Model Setup'!$D$7,SUMIF($BH$3:$CE$3,"="&amp;$DF52+'Model Setup'!$D$7,$AD52:$BA52)+'Model Setup'!$D$8*(SUMIF($BH$3:$CE$3,"&lt;"&amp;$DF52,$AD52:$BA52)+SUMIF($BH$3:$CE$3,"&gt;"&amp;$CW$4,$AD52:$BA52)),
IF(BT$3=$DF52+'Model Setup'!$E$7,SUMIF($BH$3:$CE$3,"="&amp;$DF52+'Model Setup'!$E$7,$AD52:$BA52)+'Model Setup'!$E$8*(SUMIF($BH$3:$CE$3,"&lt;"&amp;$DF52,$AD52:$BA52)+SUMIF($BH$3:$CE$3,"&gt;"&amp;$CW$4,$AD52:$BA52)),
IF(BT$3=$DF52+'Model Setup'!$F$7,SUMIF($BH$3:$CE$3,"="&amp;$DF52+'Model Setup'!$F$7,$AD52:$BA52)+'Model Setup'!$F$8*(SUMIF($BH$3:$CE$3,"&lt;"&amp;$DF52,$AD52:$BA52)+SUMIF($BH$3:$CE$3,"&gt;"&amp;$CW$4,$AD52:$BA52)),
IF(BT$3=$DF52+'Model Setup'!$G$7,SUMIF($BH$3:$CE$3,"="&amp;$DF52+'Model Setup'!$G$7,$AD52:$BA52)+'Model Setup'!$G$8*(SUMIF($BH$3:$CE$3,"&lt;"&amp;$DF52,$AD52:$BA52)+SUMIF($BH$3:$CE$3,"&gt;"&amp;$CW$4,$AD52:$BA52)),
IF(BT$3=$DF52+'Model Setup'!$H$7,SUMIF($BH$3:$CE$3,"="&amp;$DF52+'Model Setup'!$H$7,$AD52:$BA52)+'Model Setup'!$H$8*(SUMIF($BH$3:$CE$3,"&lt;"&amp;$DF52,$AD52:$BA52)+SUMIF($BH$3:$CE$3,"&gt;"&amp;$CW$4,$AD52:$BA52)),
IF(BT$3=$DF52+'Model Setup'!$I$7,SUMIF($BH$3:$CE$3,"="&amp;$DF52+'Model Setup'!$I$7,$AD52:$BA52)+'Model Setup'!$I$8*(SUMIF($BH$3:$CE$3,"&lt;"&amp;$DF52,$AD52:$BA52)+SUMIF($BH$3:$CE$3,"&gt;"&amp;$CW$4,$AD52:$BA52)),
IF(BT$3=$DF52+'Model Setup'!$J$7,SUMIF($BH$3:$CE$3,"="&amp;$DF52+'Model Setup'!$J$7,$AD52:$BA52)+'Model Setup'!$J$8*(SUMIF($BH$3:$CE$3,"&lt;"&amp;$DF52,$AD52:$BA52)+SUMIF($BH$3:$CE$3,"&gt;"&amp;$CW$4,$AD52:$BA52)),
IF(BT$3=$DF52+'Model Setup'!$K$7,SUMIF($BH$3:$CE$3,"="&amp;$DF52+'Model Setup'!$K$7,$AD52:$BA52)+'Model Setup'!$K$8*(SUMIF($BH$3:$CE$3,"&lt;"&amp;$DF52,$AD52:$BA52)+SUMIF($BH$3:$CE$3,"&gt;"&amp;$CW$4,$AD52:$BA52)),
IF(BT$3=$DF52+'Model Setup'!$L$7,SUMIF($BH$3:$CE$3,"="&amp;$DF52+'Model Setup'!$L$7,$AD52:$BA52)+'Model Setup'!$L$8*(SUMIF($BH$3:$CE$3,"&lt;"&amp;$DF52,$AD52:$BA52)+SUMIF($BH$3:$CE$3,"&gt;"&amp;$CW$4,$AD52:$BA52)),
IF(BT$3=$DF52+'Model Setup'!$M$7,SUMIF($BH$3:$CE$3,"="&amp;$DF52+'Model Setup'!$M$7,$AD52:$BA52)+'Model Setup'!$M$8*(SUMIF($BH$3:$CE$3,"&lt;"&amp;$DF52,$AD52:$BA52)+SUMIF($BH$3:$CE$3,"&gt;"&amp;$CW$4,$AD52:$BA52)),
IF(BT$3=$DF52+'Model Setup'!$N$7,SUMIF($BH$3:$CE$3,"="&amp;$DF52+'Model Setup'!$N$7,$AD52:$BA52)+'Model Setup'!$N$8*(SUMIF($BH$3:$CE$3,"&lt;"&amp;$DF52,$AD52:$BA52)+SUMIF($BH$3:$CE$3,"&gt;"&amp;$CW$4,$AD52:$BA52)),
IF(BT$3&lt;$CW$4,N52,0))))))))))))))),0)</f>
        <v>7</v>
      </c>
      <c r="BU52" s="47">
        <f>ROUND(IF(OR(BU$3&lt;$DF52,BU$3&gt;$CW$4),0,
IF(BU$3=$DF52+'Model Setup'!$B$7,SUMIF($BH$3:$CE$3,"="&amp;$DF52+'Model Setup'!$B$7,$AD52:$BA52)+'Model Setup'!$B$8*(SUMIF($BH$3:$CE$3,"&lt;"&amp;$DF52,$AD52:$BA52)+SUMIF($BH$3:$CE$3,"&gt;"&amp;$CW$4,$AD52:$BA52)),
IF(BU$3=$DF52+'Model Setup'!$C$7,SUMIF($BH$3:$CE$3,"="&amp;$DF52+'Model Setup'!$C$7,$AD52:$BA52)+'Model Setup'!$C$8*(SUMIF($BH$3:$CE$3,"&lt;"&amp;$DF52,$AD52:$BA52)+SUMIF($BH$3:$CE$3,"&gt;"&amp;$CW$4,$AD52:$BA52)),
IF(BU$3=$DF52+'Model Setup'!$D$7,SUMIF($BH$3:$CE$3,"="&amp;$DF52+'Model Setup'!$D$7,$AD52:$BA52)+'Model Setup'!$D$8*(SUMIF($BH$3:$CE$3,"&lt;"&amp;$DF52,$AD52:$BA52)+SUMIF($BH$3:$CE$3,"&gt;"&amp;$CW$4,$AD52:$BA52)),
IF(BU$3=$DF52+'Model Setup'!$E$7,SUMIF($BH$3:$CE$3,"="&amp;$DF52+'Model Setup'!$E$7,$AD52:$BA52)+'Model Setup'!$E$8*(SUMIF($BH$3:$CE$3,"&lt;"&amp;$DF52,$AD52:$BA52)+SUMIF($BH$3:$CE$3,"&gt;"&amp;$CW$4,$AD52:$BA52)),
IF(BU$3=$DF52+'Model Setup'!$F$7,SUMIF($BH$3:$CE$3,"="&amp;$DF52+'Model Setup'!$F$7,$AD52:$BA52)+'Model Setup'!$F$8*(SUMIF($BH$3:$CE$3,"&lt;"&amp;$DF52,$AD52:$BA52)+SUMIF($BH$3:$CE$3,"&gt;"&amp;$CW$4,$AD52:$BA52)),
IF(BU$3=$DF52+'Model Setup'!$G$7,SUMIF($BH$3:$CE$3,"="&amp;$DF52+'Model Setup'!$G$7,$AD52:$BA52)+'Model Setup'!$G$8*(SUMIF($BH$3:$CE$3,"&lt;"&amp;$DF52,$AD52:$BA52)+SUMIF($BH$3:$CE$3,"&gt;"&amp;$CW$4,$AD52:$BA52)),
IF(BU$3=$DF52+'Model Setup'!$H$7,SUMIF($BH$3:$CE$3,"="&amp;$DF52+'Model Setup'!$H$7,$AD52:$BA52)+'Model Setup'!$H$8*(SUMIF($BH$3:$CE$3,"&lt;"&amp;$DF52,$AD52:$BA52)+SUMIF($BH$3:$CE$3,"&gt;"&amp;$CW$4,$AD52:$BA52)),
IF(BU$3=$DF52+'Model Setup'!$I$7,SUMIF($BH$3:$CE$3,"="&amp;$DF52+'Model Setup'!$I$7,$AD52:$BA52)+'Model Setup'!$I$8*(SUMIF($BH$3:$CE$3,"&lt;"&amp;$DF52,$AD52:$BA52)+SUMIF($BH$3:$CE$3,"&gt;"&amp;$CW$4,$AD52:$BA52)),
IF(BU$3=$DF52+'Model Setup'!$J$7,SUMIF($BH$3:$CE$3,"="&amp;$DF52+'Model Setup'!$J$7,$AD52:$BA52)+'Model Setup'!$J$8*(SUMIF($BH$3:$CE$3,"&lt;"&amp;$DF52,$AD52:$BA52)+SUMIF($BH$3:$CE$3,"&gt;"&amp;$CW$4,$AD52:$BA52)),
IF(BU$3=$DF52+'Model Setup'!$K$7,SUMIF($BH$3:$CE$3,"="&amp;$DF52+'Model Setup'!$K$7,$AD52:$BA52)+'Model Setup'!$K$8*(SUMIF($BH$3:$CE$3,"&lt;"&amp;$DF52,$AD52:$BA52)+SUMIF($BH$3:$CE$3,"&gt;"&amp;$CW$4,$AD52:$BA52)),
IF(BU$3=$DF52+'Model Setup'!$L$7,SUMIF($BH$3:$CE$3,"="&amp;$DF52+'Model Setup'!$L$7,$AD52:$BA52)+'Model Setup'!$L$8*(SUMIF($BH$3:$CE$3,"&lt;"&amp;$DF52,$AD52:$BA52)+SUMIF($BH$3:$CE$3,"&gt;"&amp;$CW$4,$AD52:$BA52)),
IF(BU$3=$DF52+'Model Setup'!$M$7,SUMIF($BH$3:$CE$3,"="&amp;$DF52+'Model Setup'!$M$7,$AD52:$BA52)+'Model Setup'!$M$8*(SUMIF($BH$3:$CE$3,"&lt;"&amp;$DF52,$AD52:$BA52)+SUMIF($BH$3:$CE$3,"&gt;"&amp;$CW$4,$AD52:$BA52)),
IF(BU$3=$DF52+'Model Setup'!$N$7,SUMIF($BH$3:$CE$3,"="&amp;$DF52+'Model Setup'!$N$7,$AD52:$BA52)+'Model Setup'!$N$8*(SUMIF($BH$3:$CE$3,"&lt;"&amp;$DF52,$AD52:$BA52)+SUMIF($BH$3:$CE$3,"&gt;"&amp;$CW$4,$AD52:$BA52)),
IF(BU$3&lt;$CW$4,O52,0))))))))))))))),0)</f>
        <v>4</v>
      </c>
      <c r="BV52" s="47">
        <f>ROUND(IF(OR(BV$3&lt;$DF52,BV$3&gt;$CW$4),0,
IF(BV$3=$DF52+'Model Setup'!$B$7,SUMIF($BH$3:$CE$3,"="&amp;$DF52+'Model Setup'!$B$7,$AD52:$BA52)+'Model Setup'!$B$8*(SUMIF($BH$3:$CE$3,"&lt;"&amp;$DF52,$AD52:$BA52)+SUMIF($BH$3:$CE$3,"&gt;"&amp;$CW$4,$AD52:$BA52)),
IF(BV$3=$DF52+'Model Setup'!$C$7,SUMIF($BH$3:$CE$3,"="&amp;$DF52+'Model Setup'!$C$7,$AD52:$BA52)+'Model Setup'!$C$8*(SUMIF($BH$3:$CE$3,"&lt;"&amp;$DF52,$AD52:$BA52)+SUMIF($BH$3:$CE$3,"&gt;"&amp;$CW$4,$AD52:$BA52)),
IF(BV$3=$DF52+'Model Setup'!$D$7,SUMIF($BH$3:$CE$3,"="&amp;$DF52+'Model Setup'!$D$7,$AD52:$BA52)+'Model Setup'!$D$8*(SUMIF($BH$3:$CE$3,"&lt;"&amp;$DF52,$AD52:$BA52)+SUMIF($BH$3:$CE$3,"&gt;"&amp;$CW$4,$AD52:$BA52)),
IF(BV$3=$DF52+'Model Setup'!$E$7,SUMIF($BH$3:$CE$3,"="&amp;$DF52+'Model Setup'!$E$7,$AD52:$BA52)+'Model Setup'!$E$8*(SUMIF($BH$3:$CE$3,"&lt;"&amp;$DF52,$AD52:$BA52)+SUMIF($BH$3:$CE$3,"&gt;"&amp;$CW$4,$AD52:$BA52)),
IF(BV$3=$DF52+'Model Setup'!$F$7,SUMIF($BH$3:$CE$3,"="&amp;$DF52+'Model Setup'!$F$7,$AD52:$BA52)+'Model Setup'!$F$8*(SUMIF($BH$3:$CE$3,"&lt;"&amp;$DF52,$AD52:$BA52)+SUMIF($BH$3:$CE$3,"&gt;"&amp;$CW$4,$AD52:$BA52)),
IF(BV$3=$DF52+'Model Setup'!$G$7,SUMIF($BH$3:$CE$3,"="&amp;$DF52+'Model Setup'!$G$7,$AD52:$BA52)+'Model Setup'!$G$8*(SUMIF($BH$3:$CE$3,"&lt;"&amp;$DF52,$AD52:$BA52)+SUMIF($BH$3:$CE$3,"&gt;"&amp;$CW$4,$AD52:$BA52)),
IF(BV$3=$DF52+'Model Setup'!$H$7,SUMIF($BH$3:$CE$3,"="&amp;$DF52+'Model Setup'!$H$7,$AD52:$BA52)+'Model Setup'!$H$8*(SUMIF($BH$3:$CE$3,"&lt;"&amp;$DF52,$AD52:$BA52)+SUMIF($BH$3:$CE$3,"&gt;"&amp;$CW$4,$AD52:$BA52)),
IF(BV$3=$DF52+'Model Setup'!$I$7,SUMIF($BH$3:$CE$3,"="&amp;$DF52+'Model Setup'!$I$7,$AD52:$BA52)+'Model Setup'!$I$8*(SUMIF($BH$3:$CE$3,"&lt;"&amp;$DF52,$AD52:$BA52)+SUMIF($BH$3:$CE$3,"&gt;"&amp;$CW$4,$AD52:$BA52)),
IF(BV$3=$DF52+'Model Setup'!$J$7,SUMIF($BH$3:$CE$3,"="&amp;$DF52+'Model Setup'!$J$7,$AD52:$BA52)+'Model Setup'!$J$8*(SUMIF($BH$3:$CE$3,"&lt;"&amp;$DF52,$AD52:$BA52)+SUMIF($BH$3:$CE$3,"&gt;"&amp;$CW$4,$AD52:$BA52)),
IF(BV$3=$DF52+'Model Setup'!$K$7,SUMIF($BH$3:$CE$3,"="&amp;$DF52+'Model Setup'!$K$7,$AD52:$BA52)+'Model Setup'!$K$8*(SUMIF($BH$3:$CE$3,"&lt;"&amp;$DF52,$AD52:$BA52)+SUMIF($BH$3:$CE$3,"&gt;"&amp;$CW$4,$AD52:$BA52)),
IF(BV$3=$DF52+'Model Setup'!$L$7,SUMIF($BH$3:$CE$3,"="&amp;$DF52+'Model Setup'!$L$7,$AD52:$BA52)+'Model Setup'!$L$8*(SUMIF($BH$3:$CE$3,"&lt;"&amp;$DF52,$AD52:$BA52)+SUMIF($BH$3:$CE$3,"&gt;"&amp;$CW$4,$AD52:$BA52)),
IF(BV$3=$DF52+'Model Setup'!$M$7,SUMIF($BH$3:$CE$3,"="&amp;$DF52+'Model Setup'!$M$7,$AD52:$BA52)+'Model Setup'!$M$8*(SUMIF($BH$3:$CE$3,"&lt;"&amp;$DF52,$AD52:$BA52)+SUMIF($BH$3:$CE$3,"&gt;"&amp;$CW$4,$AD52:$BA52)),
IF(BV$3=$DF52+'Model Setup'!$N$7,SUMIF($BH$3:$CE$3,"="&amp;$DF52+'Model Setup'!$N$7,$AD52:$BA52)+'Model Setup'!$N$8*(SUMIF($BH$3:$CE$3,"&lt;"&amp;$DF52,$AD52:$BA52)+SUMIF($BH$3:$CE$3,"&gt;"&amp;$CW$4,$AD52:$BA52)),
IF(BV$3&lt;$CW$4,P52,0))))))))))))))),0)</f>
        <v>6</v>
      </c>
      <c r="BW52" s="47">
        <f>ROUND(IF(OR(BW$3&lt;$DF52,BW$3&gt;$CW$4),0,
IF(BW$3=$DF52+'Model Setup'!$B$7,SUMIF($BH$3:$CE$3,"="&amp;$DF52+'Model Setup'!$B$7,$AD52:$BA52)+'Model Setup'!$B$8*(SUMIF($BH$3:$CE$3,"&lt;"&amp;$DF52,$AD52:$BA52)+SUMIF($BH$3:$CE$3,"&gt;"&amp;$CW$4,$AD52:$BA52)),
IF(BW$3=$DF52+'Model Setup'!$C$7,SUMIF($BH$3:$CE$3,"="&amp;$DF52+'Model Setup'!$C$7,$AD52:$BA52)+'Model Setup'!$C$8*(SUMIF($BH$3:$CE$3,"&lt;"&amp;$DF52,$AD52:$BA52)+SUMIF($BH$3:$CE$3,"&gt;"&amp;$CW$4,$AD52:$BA52)),
IF(BW$3=$DF52+'Model Setup'!$D$7,SUMIF($BH$3:$CE$3,"="&amp;$DF52+'Model Setup'!$D$7,$AD52:$BA52)+'Model Setup'!$D$8*(SUMIF($BH$3:$CE$3,"&lt;"&amp;$DF52,$AD52:$BA52)+SUMIF($BH$3:$CE$3,"&gt;"&amp;$CW$4,$AD52:$BA52)),
IF(BW$3=$DF52+'Model Setup'!$E$7,SUMIF($BH$3:$CE$3,"="&amp;$DF52+'Model Setup'!$E$7,$AD52:$BA52)+'Model Setup'!$E$8*(SUMIF($BH$3:$CE$3,"&lt;"&amp;$DF52,$AD52:$BA52)+SUMIF($BH$3:$CE$3,"&gt;"&amp;$CW$4,$AD52:$BA52)),
IF(BW$3=$DF52+'Model Setup'!$F$7,SUMIF($BH$3:$CE$3,"="&amp;$DF52+'Model Setup'!$F$7,$AD52:$BA52)+'Model Setup'!$F$8*(SUMIF($BH$3:$CE$3,"&lt;"&amp;$DF52,$AD52:$BA52)+SUMIF($BH$3:$CE$3,"&gt;"&amp;$CW$4,$AD52:$BA52)),
IF(BW$3=$DF52+'Model Setup'!$G$7,SUMIF($BH$3:$CE$3,"="&amp;$DF52+'Model Setup'!$G$7,$AD52:$BA52)+'Model Setup'!$G$8*(SUMIF($BH$3:$CE$3,"&lt;"&amp;$DF52,$AD52:$BA52)+SUMIF($BH$3:$CE$3,"&gt;"&amp;$CW$4,$AD52:$BA52)),
IF(BW$3=$DF52+'Model Setup'!$H$7,SUMIF($BH$3:$CE$3,"="&amp;$DF52+'Model Setup'!$H$7,$AD52:$BA52)+'Model Setup'!$H$8*(SUMIF($BH$3:$CE$3,"&lt;"&amp;$DF52,$AD52:$BA52)+SUMIF($BH$3:$CE$3,"&gt;"&amp;$CW$4,$AD52:$BA52)),
IF(BW$3=$DF52+'Model Setup'!$I$7,SUMIF($BH$3:$CE$3,"="&amp;$DF52+'Model Setup'!$I$7,$AD52:$BA52)+'Model Setup'!$I$8*(SUMIF($BH$3:$CE$3,"&lt;"&amp;$DF52,$AD52:$BA52)+SUMIF($BH$3:$CE$3,"&gt;"&amp;$CW$4,$AD52:$BA52)),
IF(BW$3=$DF52+'Model Setup'!$J$7,SUMIF($BH$3:$CE$3,"="&amp;$DF52+'Model Setup'!$J$7,$AD52:$BA52)+'Model Setup'!$J$8*(SUMIF($BH$3:$CE$3,"&lt;"&amp;$DF52,$AD52:$BA52)+SUMIF($BH$3:$CE$3,"&gt;"&amp;$CW$4,$AD52:$BA52)),
IF(BW$3=$DF52+'Model Setup'!$K$7,SUMIF($BH$3:$CE$3,"="&amp;$DF52+'Model Setup'!$K$7,$AD52:$BA52)+'Model Setup'!$K$8*(SUMIF($BH$3:$CE$3,"&lt;"&amp;$DF52,$AD52:$BA52)+SUMIF($BH$3:$CE$3,"&gt;"&amp;$CW$4,$AD52:$BA52)),
IF(BW$3=$DF52+'Model Setup'!$L$7,SUMIF($BH$3:$CE$3,"="&amp;$DF52+'Model Setup'!$L$7,$AD52:$BA52)+'Model Setup'!$L$8*(SUMIF($BH$3:$CE$3,"&lt;"&amp;$DF52,$AD52:$BA52)+SUMIF($BH$3:$CE$3,"&gt;"&amp;$CW$4,$AD52:$BA52)),
IF(BW$3=$DF52+'Model Setup'!$M$7,SUMIF($BH$3:$CE$3,"="&amp;$DF52+'Model Setup'!$M$7,$AD52:$BA52)+'Model Setup'!$M$8*(SUMIF($BH$3:$CE$3,"&lt;"&amp;$DF52,$AD52:$BA52)+SUMIF($BH$3:$CE$3,"&gt;"&amp;$CW$4,$AD52:$BA52)),
IF(BW$3=$DF52+'Model Setup'!$N$7,SUMIF($BH$3:$CE$3,"="&amp;$DF52+'Model Setup'!$N$7,$AD52:$BA52)+'Model Setup'!$N$8*(SUMIF($BH$3:$CE$3,"&lt;"&amp;$DF52,$AD52:$BA52)+SUMIF($BH$3:$CE$3,"&gt;"&amp;$CW$4,$AD52:$BA52)),
IF(BW$3&lt;$CW$4,Q52,0))))))))))))))),0)</f>
        <v>8</v>
      </c>
      <c r="BX52" s="47">
        <f>ROUND(IF(OR(BX$3&lt;$DF52,BX$3&gt;$CW$4),0,
IF(BX$3=$DF52+'Model Setup'!$B$7,SUMIF($BH$3:$CE$3,"="&amp;$DF52+'Model Setup'!$B$7,$AD52:$BA52)+'Model Setup'!$B$8*(SUMIF($BH$3:$CE$3,"&lt;"&amp;$DF52,$AD52:$BA52)+SUMIF($BH$3:$CE$3,"&gt;"&amp;$CW$4,$AD52:$BA52)),
IF(BX$3=$DF52+'Model Setup'!$C$7,SUMIF($BH$3:$CE$3,"="&amp;$DF52+'Model Setup'!$C$7,$AD52:$BA52)+'Model Setup'!$C$8*(SUMIF($BH$3:$CE$3,"&lt;"&amp;$DF52,$AD52:$BA52)+SUMIF($BH$3:$CE$3,"&gt;"&amp;$CW$4,$AD52:$BA52)),
IF(BX$3=$DF52+'Model Setup'!$D$7,SUMIF($BH$3:$CE$3,"="&amp;$DF52+'Model Setup'!$D$7,$AD52:$BA52)+'Model Setup'!$D$8*(SUMIF($BH$3:$CE$3,"&lt;"&amp;$DF52,$AD52:$BA52)+SUMIF($BH$3:$CE$3,"&gt;"&amp;$CW$4,$AD52:$BA52)),
IF(BX$3=$DF52+'Model Setup'!$E$7,SUMIF($BH$3:$CE$3,"="&amp;$DF52+'Model Setup'!$E$7,$AD52:$BA52)+'Model Setup'!$E$8*(SUMIF($BH$3:$CE$3,"&lt;"&amp;$DF52,$AD52:$BA52)+SUMIF($BH$3:$CE$3,"&gt;"&amp;$CW$4,$AD52:$BA52)),
IF(BX$3=$DF52+'Model Setup'!$F$7,SUMIF($BH$3:$CE$3,"="&amp;$DF52+'Model Setup'!$F$7,$AD52:$BA52)+'Model Setup'!$F$8*(SUMIF($BH$3:$CE$3,"&lt;"&amp;$DF52,$AD52:$BA52)+SUMIF($BH$3:$CE$3,"&gt;"&amp;$CW$4,$AD52:$BA52)),
IF(BX$3=$DF52+'Model Setup'!$G$7,SUMIF($BH$3:$CE$3,"="&amp;$DF52+'Model Setup'!$G$7,$AD52:$BA52)+'Model Setup'!$G$8*(SUMIF($BH$3:$CE$3,"&lt;"&amp;$DF52,$AD52:$BA52)+SUMIF($BH$3:$CE$3,"&gt;"&amp;$CW$4,$AD52:$BA52)),
IF(BX$3=$DF52+'Model Setup'!$H$7,SUMIF($BH$3:$CE$3,"="&amp;$DF52+'Model Setup'!$H$7,$AD52:$BA52)+'Model Setup'!$H$8*(SUMIF($BH$3:$CE$3,"&lt;"&amp;$DF52,$AD52:$BA52)+SUMIF($BH$3:$CE$3,"&gt;"&amp;$CW$4,$AD52:$BA52)),
IF(BX$3=$DF52+'Model Setup'!$I$7,SUMIF($BH$3:$CE$3,"="&amp;$DF52+'Model Setup'!$I$7,$AD52:$BA52)+'Model Setup'!$I$8*(SUMIF($BH$3:$CE$3,"&lt;"&amp;$DF52,$AD52:$BA52)+SUMIF($BH$3:$CE$3,"&gt;"&amp;$CW$4,$AD52:$BA52)),
IF(BX$3=$DF52+'Model Setup'!$J$7,SUMIF($BH$3:$CE$3,"="&amp;$DF52+'Model Setup'!$J$7,$AD52:$BA52)+'Model Setup'!$J$8*(SUMIF($BH$3:$CE$3,"&lt;"&amp;$DF52,$AD52:$BA52)+SUMIF($BH$3:$CE$3,"&gt;"&amp;$CW$4,$AD52:$BA52)),
IF(BX$3=$DF52+'Model Setup'!$K$7,SUMIF($BH$3:$CE$3,"="&amp;$DF52+'Model Setup'!$K$7,$AD52:$BA52)+'Model Setup'!$K$8*(SUMIF($BH$3:$CE$3,"&lt;"&amp;$DF52,$AD52:$BA52)+SUMIF($BH$3:$CE$3,"&gt;"&amp;$CW$4,$AD52:$BA52)),
IF(BX$3=$DF52+'Model Setup'!$L$7,SUMIF($BH$3:$CE$3,"="&amp;$DF52+'Model Setup'!$L$7,$AD52:$BA52)+'Model Setup'!$L$8*(SUMIF($BH$3:$CE$3,"&lt;"&amp;$DF52,$AD52:$BA52)+SUMIF($BH$3:$CE$3,"&gt;"&amp;$CW$4,$AD52:$BA52)),
IF(BX$3=$DF52+'Model Setup'!$M$7,SUMIF($BH$3:$CE$3,"="&amp;$DF52+'Model Setup'!$M$7,$AD52:$BA52)+'Model Setup'!$M$8*(SUMIF($BH$3:$CE$3,"&lt;"&amp;$DF52,$AD52:$BA52)+SUMIF($BH$3:$CE$3,"&gt;"&amp;$CW$4,$AD52:$BA52)),
IF(BX$3=$DF52+'Model Setup'!$N$7,SUMIF($BH$3:$CE$3,"="&amp;$DF52+'Model Setup'!$N$7,$AD52:$BA52)+'Model Setup'!$N$8*(SUMIF($BH$3:$CE$3,"&lt;"&amp;$DF52,$AD52:$BA52)+SUMIF($BH$3:$CE$3,"&gt;"&amp;$CW$4,$AD52:$BA52)),
IF(BX$3&lt;$CW$4,R52,0))))))))))))))),0)</f>
        <v>5</v>
      </c>
      <c r="BY52" s="47">
        <f>ROUND(IF(OR(BY$3&lt;$DF52,BY$3&gt;$CW$4),0,
IF(BY$3=$DF52+'Model Setup'!$B$7,SUMIF($BH$3:$CE$3,"="&amp;$DF52+'Model Setup'!$B$7,$AD52:$BA52)+'Model Setup'!$B$8*(SUMIF($BH$3:$CE$3,"&lt;"&amp;$DF52,$AD52:$BA52)+SUMIF($BH$3:$CE$3,"&gt;"&amp;$CW$4,$AD52:$BA52)),
IF(BY$3=$DF52+'Model Setup'!$C$7,SUMIF($BH$3:$CE$3,"="&amp;$DF52+'Model Setup'!$C$7,$AD52:$BA52)+'Model Setup'!$C$8*(SUMIF($BH$3:$CE$3,"&lt;"&amp;$DF52,$AD52:$BA52)+SUMIF($BH$3:$CE$3,"&gt;"&amp;$CW$4,$AD52:$BA52)),
IF(BY$3=$DF52+'Model Setup'!$D$7,SUMIF($BH$3:$CE$3,"="&amp;$DF52+'Model Setup'!$D$7,$AD52:$BA52)+'Model Setup'!$D$8*(SUMIF($BH$3:$CE$3,"&lt;"&amp;$DF52,$AD52:$BA52)+SUMIF($BH$3:$CE$3,"&gt;"&amp;$CW$4,$AD52:$BA52)),
IF(BY$3=$DF52+'Model Setup'!$E$7,SUMIF($BH$3:$CE$3,"="&amp;$DF52+'Model Setup'!$E$7,$AD52:$BA52)+'Model Setup'!$E$8*(SUMIF($BH$3:$CE$3,"&lt;"&amp;$DF52,$AD52:$BA52)+SUMIF($BH$3:$CE$3,"&gt;"&amp;$CW$4,$AD52:$BA52)),
IF(BY$3=$DF52+'Model Setup'!$F$7,SUMIF($BH$3:$CE$3,"="&amp;$DF52+'Model Setup'!$F$7,$AD52:$BA52)+'Model Setup'!$F$8*(SUMIF($BH$3:$CE$3,"&lt;"&amp;$DF52,$AD52:$BA52)+SUMIF($BH$3:$CE$3,"&gt;"&amp;$CW$4,$AD52:$BA52)),
IF(BY$3=$DF52+'Model Setup'!$G$7,SUMIF($BH$3:$CE$3,"="&amp;$DF52+'Model Setup'!$G$7,$AD52:$BA52)+'Model Setup'!$G$8*(SUMIF($BH$3:$CE$3,"&lt;"&amp;$DF52,$AD52:$BA52)+SUMIF($BH$3:$CE$3,"&gt;"&amp;$CW$4,$AD52:$BA52)),
IF(BY$3=$DF52+'Model Setup'!$H$7,SUMIF($BH$3:$CE$3,"="&amp;$DF52+'Model Setup'!$H$7,$AD52:$BA52)+'Model Setup'!$H$8*(SUMIF($BH$3:$CE$3,"&lt;"&amp;$DF52,$AD52:$BA52)+SUMIF($BH$3:$CE$3,"&gt;"&amp;$CW$4,$AD52:$BA52)),
IF(BY$3=$DF52+'Model Setup'!$I$7,SUMIF($BH$3:$CE$3,"="&amp;$DF52+'Model Setup'!$I$7,$AD52:$BA52)+'Model Setup'!$I$8*(SUMIF($BH$3:$CE$3,"&lt;"&amp;$DF52,$AD52:$BA52)+SUMIF($BH$3:$CE$3,"&gt;"&amp;$CW$4,$AD52:$BA52)),
IF(BY$3=$DF52+'Model Setup'!$J$7,SUMIF($BH$3:$CE$3,"="&amp;$DF52+'Model Setup'!$J$7,$AD52:$BA52)+'Model Setup'!$J$8*(SUMIF($BH$3:$CE$3,"&lt;"&amp;$DF52,$AD52:$BA52)+SUMIF($BH$3:$CE$3,"&gt;"&amp;$CW$4,$AD52:$BA52)),
IF(BY$3=$DF52+'Model Setup'!$K$7,SUMIF($BH$3:$CE$3,"="&amp;$DF52+'Model Setup'!$K$7,$AD52:$BA52)+'Model Setup'!$K$8*(SUMIF($BH$3:$CE$3,"&lt;"&amp;$DF52,$AD52:$BA52)+SUMIF($BH$3:$CE$3,"&gt;"&amp;$CW$4,$AD52:$BA52)),
IF(BY$3=$DF52+'Model Setup'!$L$7,SUMIF($BH$3:$CE$3,"="&amp;$DF52+'Model Setup'!$L$7,$AD52:$BA52)+'Model Setup'!$L$8*(SUMIF($BH$3:$CE$3,"&lt;"&amp;$DF52,$AD52:$BA52)+SUMIF($BH$3:$CE$3,"&gt;"&amp;$CW$4,$AD52:$BA52)),
IF(BY$3=$DF52+'Model Setup'!$M$7,SUMIF($BH$3:$CE$3,"="&amp;$DF52+'Model Setup'!$M$7,$AD52:$BA52)+'Model Setup'!$M$8*(SUMIF($BH$3:$CE$3,"&lt;"&amp;$DF52,$AD52:$BA52)+SUMIF($BH$3:$CE$3,"&gt;"&amp;$CW$4,$AD52:$BA52)),
IF(BY$3=$DF52+'Model Setup'!$N$7,SUMIF($BH$3:$CE$3,"="&amp;$DF52+'Model Setup'!$N$7,$AD52:$BA52)+'Model Setup'!$N$8*(SUMIF($BH$3:$CE$3,"&lt;"&amp;$DF52,$AD52:$BA52)+SUMIF($BH$3:$CE$3,"&gt;"&amp;$CW$4,$AD52:$BA52)),
IF(BY$3&lt;$CW$4,S52,0))))))))))))))),0)</f>
        <v>5</v>
      </c>
      <c r="BZ52" s="47">
        <f>ROUND(IF(OR(BZ$3&lt;$DF52,BZ$3&gt;$CW$4),0,
IF(BZ$3=$DF52+'Model Setup'!$B$7,SUMIF($BH$3:$CE$3,"="&amp;$DF52+'Model Setup'!$B$7,$AD52:$BA52)+'Model Setup'!$B$8*(SUMIF($BH$3:$CE$3,"&lt;"&amp;$DF52,$AD52:$BA52)+SUMIF($BH$3:$CE$3,"&gt;"&amp;$CW$4,$AD52:$BA52)),
IF(BZ$3=$DF52+'Model Setup'!$C$7,SUMIF($BH$3:$CE$3,"="&amp;$DF52+'Model Setup'!$C$7,$AD52:$BA52)+'Model Setup'!$C$8*(SUMIF($BH$3:$CE$3,"&lt;"&amp;$DF52,$AD52:$BA52)+SUMIF($BH$3:$CE$3,"&gt;"&amp;$CW$4,$AD52:$BA52)),
IF(BZ$3=$DF52+'Model Setup'!$D$7,SUMIF($BH$3:$CE$3,"="&amp;$DF52+'Model Setup'!$D$7,$AD52:$BA52)+'Model Setup'!$D$8*(SUMIF($BH$3:$CE$3,"&lt;"&amp;$DF52,$AD52:$BA52)+SUMIF($BH$3:$CE$3,"&gt;"&amp;$CW$4,$AD52:$BA52)),
IF(BZ$3=$DF52+'Model Setup'!$E$7,SUMIF($BH$3:$CE$3,"="&amp;$DF52+'Model Setup'!$E$7,$AD52:$BA52)+'Model Setup'!$E$8*(SUMIF($BH$3:$CE$3,"&lt;"&amp;$DF52,$AD52:$BA52)+SUMIF($BH$3:$CE$3,"&gt;"&amp;$CW$4,$AD52:$BA52)),
IF(BZ$3=$DF52+'Model Setup'!$F$7,SUMIF($BH$3:$CE$3,"="&amp;$DF52+'Model Setup'!$F$7,$AD52:$BA52)+'Model Setup'!$F$8*(SUMIF($BH$3:$CE$3,"&lt;"&amp;$DF52,$AD52:$BA52)+SUMIF($BH$3:$CE$3,"&gt;"&amp;$CW$4,$AD52:$BA52)),
IF(BZ$3=$DF52+'Model Setup'!$G$7,SUMIF($BH$3:$CE$3,"="&amp;$DF52+'Model Setup'!$G$7,$AD52:$BA52)+'Model Setup'!$G$8*(SUMIF($BH$3:$CE$3,"&lt;"&amp;$DF52,$AD52:$BA52)+SUMIF($BH$3:$CE$3,"&gt;"&amp;$CW$4,$AD52:$BA52)),
IF(BZ$3=$DF52+'Model Setup'!$H$7,SUMIF($BH$3:$CE$3,"="&amp;$DF52+'Model Setup'!$H$7,$AD52:$BA52)+'Model Setup'!$H$8*(SUMIF($BH$3:$CE$3,"&lt;"&amp;$DF52,$AD52:$BA52)+SUMIF($BH$3:$CE$3,"&gt;"&amp;$CW$4,$AD52:$BA52)),
IF(BZ$3=$DF52+'Model Setup'!$I$7,SUMIF($BH$3:$CE$3,"="&amp;$DF52+'Model Setup'!$I$7,$AD52:$BA52)+'Model Setup'!$I$8*(SUMIF($BH$3:$CE$3,"&lt;"&amp;$DF52,$AD52:$BA52)+SUMIF($BH$3:$CE$3,"&gt;"&amp;$CW$4,$AD52:$BA52)),
IF(BZ$3=$DF52+'Model Setup'!$J$7,SUMIF($BH$3:$CE$3,"="&amp;$DF52+'Model Setup'!$J$7,$AD52:$BA52)+'Model Setup'!$J$8*(SUMIF($BH$3:$CE$3,"&lt;"&amp;$DF52,$AD52:$BA52)+SUMIF($BH$3:$CE$3,"&gt;"&amp;$CW$4,$AD52:$BA52)),
IF(BZ$3=$DF52+'Model Setup'!$K$7,SUMIF($BH$3:$CE$3,"="&amp;$DF52+'Model Setup'!$K$7,$AD52:$BA52)+'Model Setup'!$K$8*(SUMIF($BH$3:$CE$3,"&lt;"&amp;$DF52,$AD52:$BA52)+SUMIF($BH$3:$CE$3,"&gt;"&amp;$CW$4,$AD52:$BA52)),
IF(BZ$3=$DF52+'Model Setup'!$L$7,SUMIF($BH$3:$CE$3,"="&amp;$DF52+'Model Setup'!$L$7,$AD52:$BA52)+'Model Setup'!$L$8*(SUMIF($BH$3:$CE$3,"&lt;"&amp;$DF52,$AD52:$BA52)+SUMIF($BH$3:$CE$3,"&gt;"&amp;$CW$4,$AD52:$BA52)),
IF(BZ$3=$DF52+'Model Setup'!$M$7,SUMIF($BH$3:$CE$3,"="&amp;$DF52+'Model Setup'!$M$7,$AD52:$BA52)+'Model Setup'!$M$8*(SUMIF($BH$3:$CE$3,"&lt;"&amp;$DF52,$AD52:$BA52)+SUMIF($BH$3:$CE$3,"&gt;"&amp;$CW$4,$AD52:$BA52)),
IF(BZ$3=$DF52+'Model Setup'!$N$7,SUMIF($BH$3:$CE$3,"="&amp;$DF52+'Model Setup'!$N$7,$AD52:$BA52)+'Model Setup'!$N$8*(SUMIF($BH$3:$CE$3,"&lt;"&amp;$DF52,$AD52:$BA52)+SUMIF($BH$3:$CE$3,"&gt;"&amp;$CW$4,$AD52:$BA52)),
IF(BZ$3&lt;$CW$4,T52,0))))))))))))))),0)</f>
        <v>0</v>
      </c>
      <c r="CA52" s="47">
        <f>ROUND(IF(OR(CA$3&lt;$DF52,CA$3&gt;$CW$4),0,
IF(CA$3=$DF52+'Model Setup'!$B$7,SUMIF($BH$3:$CE$3,"="&amp;$DF52+'Model Setup'!$B$7,$AD52:$BA52)+'Model Setup'!$B$8*(SUMIF($BH$3:$CE$3,"&lt;"&amp;$DF52,$AD52:$BA52)+SUMIF($BH$3:$CE$3,"&gt;"&amp;$CW$4,$AD52:$BA52)),
IF(CA$3=$DF52+'Model Setup'!$C$7,SUMIF($BH$3:$CE$3,"="&amp;$DF52+'Model Setup'!$C$7,$AD52:$BA52)+'Model Setup'!$C$8*(SUMIF($BH$3:$CE$3,"&lt;"&amp;$DF52,$AD52:$BA52)+SUMIF($BH$3:$CE$3,"&gt;"&amp;$CW$4,$AD52:$BA52)),
IF(CA$3=$DF52+'Model Setup'!$D$7,SUMIF($BH$3:$CE$3,"="&amp;$DF52+'Model Setup'!$D$7,$AD52:$BA52)+'Model Setup'!$D$8*(SUMIF($BH$3:$CE$3,"&lt;"&amp;$DF52,$AD52:$BA52)+SUMIF($BH$3:$CE$3,"&gt;"&amp;$CW$4,$AD52:$BA52)),
IF(CA$3=$DF52+'Model Setup'!$E$7,SUMIF($BH$3:$CE$3,"="&amp;$DF52+'Model Setup'!$E$7,$AD52:$BA52)+'Model Setup'!$E$8*(SUMIF($BH$3:$CE$3,"&lt;"&amp;$DF52,$AD52:$BA52)+SUMIF($BH$3:$CE$3,"&gt;"&amp;$CW$4,$AD52:$BA52)),
IF(CA$3=$DF52+'Model Setup'!$F$7,SUMIF($BH$3:$CE$3,"="&amp;$DF52+'Model Setup'!$F$7,$AD52:$BA52)+'Model Setup'!$F$8*(SUMIF($BH$3:$CE$3,"&lt;"&amp;$DF52,$AD52:$BA52)+SUMIF($BH$3:$CE$3,"&gt;"&amp;$CW$4,$AD52:$BA52)),
IF(CA$3=$DF52+'Model Setup'!$G$7,SUMIF($BH$3:$CE$3,"="&amp;$DF52+'Model Setup'!$G$7,$AD52:$BA52)+'Model Setup'!$G$8*(SUMIF($BH$3:$CE$3,"&lt;"&amp;$DF52,$AD52:$BA52)+SUMIF($BH$3:$CE$3,"&gt;"&amp;$CW$4,$AD52:$BA52)),
IF(CA$3=$DF52+'Model Setup'!$H$7,SUMIF($BH$3:$CE$3,"="&amp;$DF52+'Model Setup'!$H$7,$AD52:$BA52)+'Model Setup'!$H$8*(SUMIF($BH$3:$CE$3,"&lt;"&amp;$DF52,$AD52:$BA52)+SUMIF($BH$3:$CE$3,"&gt;"&amp;$CW$4,$AD52:$BA52)),
IF(CA$3=$DF52+'Model Setup'!$I$7,SUMIF($BH$3:$CE$3,"="&amp;$DF52+'Model Setup'!$I$7,$AD52:$BA52)+'Model Setup'!$I$8*(SUMIF($BH$3:$CE$3,"&lt;"&amp;$DF52,$AD52:$BA52)+SUMIF($BH$3:$CE$3,"&gt;"&amp;$CW$4,$AD52:$BA52)),
IF(CA$3=$DF52+'Model Setup'!$J$7,SUMIF($BH$3:$CE$3,"="&amp;$DF52+'Model Setup'!$J$7,$AD52:$BA52)+'Model Setup'!$J$8*(SUMIF($BH$3:$CE$3,"&lt;"&amp;$DF52,$AD52:$BA52)+SUMIF($BH$3:$CE$3,"&gt;"&amp;$CW$4,$AD52:$BA52)),
IF(CA$3=$DF52+'Model Setup'!$K$7,SUMIF($BH$3:$CE$3,"="&amp;$DF52+'Model Setup'!$K$7,$AD52:$BA52)+'Model Setup'!$K$8*(SUMIF($BH$3:$CE$3,"&lt;"&amp;$DF52,$AD52:$BA52)+SUMIF($BH$3:$CE$3,"&gt;"&amp;$CW$4,$AD52:$BA52)),
IF(CA$3=$DF52+'Model Setup'!$L$7,SUMIF($BH$3:$CE$3,"="&amp;$DF52+'Model Setup'!$L$7,$AD52:$BA52)+'Model Setup'!$L$8*(SUMIF($BH$3:$CE$3,"&lt;"&amp;$DF52,$AD52:$BA52)+SUMIF($BH$3:$CE$3,"&gt;"&amp;$CW$4,$AD52:$BA52)),
IF(CA$3=$DF52+'Model Setup'!$M$7,SUMIF($BH$3:$CE$3,"="&amp;$DF52+'Model Setup'!$M$7,$AD52:$BA52)+'Model Setup'!$M$8*(SUMIF($BH$3:$CE$3,"&lt;"&amp;$DF52,$AD52:$BA52)+SUMIF($BH$3:$CE$3,"&gt;"&amp;$CW$4,$AD52:$BA52)),
IF(CA$3=$DF52+'Model Setup'!$N$7,SUMIF($BH$3:$CE$3,"="&amp;$DF52+'Model Setup'!$N$7,$AD52:$BA52)+'Model Setup'!$N$8*(SUMIF($BH$3:$CE$3,"&lt;"&amp;$DF52,$AD52:$BA52)+SUMIF($BH$3:$CE$3,"&gt;"&amp;$CW$4,$AD52:$BA52)),
IF(CA$3&lt;$CW$4,U52,0))))))))))))))),0)</f>
        <v>0</v>
      </c>
      <c r="CB52" s="47">
        <f>ROUND(IF(OR(CB$3&lt;$DF52,CB$3&gt;$CW$4),0,
IF(CB$3=$DF52+'Model Setup'!$B$7,SUMIF($BH$3:$CE$3,"="&amp;$DF52+'Model Setup'!$B$7,$AD52:$BA52)+'Model Setup'!$B$8*(SUMIF($BH$3:$CE$3,"&lt;"&amp;$DF52,$AD52:$BA52)+SUMIF($BH$3:$CE$3,"&gt;"&amp;$CW$4,$AD52:$BA52)),
IF(CB$3=$DF52+'Model Setup'!$C$7,SUMIF($BH$3:$CE$3,"="&amp;$DF52+'Model Setup'!$C$7,$AD52:$BA52)+'Model Setup'!$C$8*(SUMIF($BH$3:$CE$3,"&lt;"&amp;$DF52,$AD52:$BA52)+SUMIF($BH$3:$CE$3,"&gt;"&amp;$CW$4,$AD52:$BA52)),
IF(CB$3=$DF52+'Model Setup'!$D$7,SUMIF($BH$3:$CE$3,"="&amp;$DF52+'Model Setup'!$D$7,$AD52:$BA52)+'Model Setup'!$D$8*(SUMIF($BH$3:$CE$3,"&lt;"&amp;$DF52,$AD52:$BA52)+SUMIF($BH$3:$CE$3,"&gt;"&amp;$CW$4,$AD52:$BA52)),
IF(CB$3=$DF52+'Model Setup'!$E$7,SUMIF($BH$3:$CE$3,"="&amp;$DF52+'Model Setup'!$E$7,$AD52:$BA52)+'Model Setup'!$E$8*(SUMIF($BH$3:$CE$3,"&lt;"&amp;$DF52,$AD52:$BA52)+SUMIF($BH$3:$CE$3,"&gt;"&amp;$CW$4,$AD52:$BA52)),
IF(CB$3=$DF52+'Model Setup'!$F$7,SUMIF($BH$3:$CE$3,"="&amp;$DF52+'Model Setup'!$F$7,$AD52:$BA52)+'Model Setup'!$F$8*(SUMIF($BH$3:$CE$3,"&lt;"&amp;$DF52,$AD52:$BA52)+SUMIF($BH$3:$CE$3,"&gt;"&amp;$CW$4,$AD52:$BA52)),
IF(CB$3=$DF52+'Model Setup'!$G$7,SUMIF($BH$3:$CE$3,"="&amp;$DF52+'Model Setup'!$G$7,$AD52:$BA52)+'Model Setup'!$G$8*(SUMIF($BH$3:$CE$3,"&lt;"&amp;$DF52,$AD52:$BA52)+SUMIF($BH$3:$CE$3,"&gt;"&amp;$CW$4,$AD52:$BA52)),
IF(CB$3=$DF52+'Model Setup'!$H$7,SUMIF($BH$3:$CE$3,"="&amp;$DF52+'Model Setup'!$H$7,$AD52:$BA52)+'Model Setup'!$H$8*(SUMIF($BH$3:$CE$3,"&lt;"&amp;$DF52,$AD52:$BA52)+SUMIF($BH$3:$CE$3,"&gt;"&amp;$CW$4,$AD52:$BA52)),
IF(CB$3=$DF52+'Model Setup'!$I$7,SUMIF($BH$3:$CE$3,"="&amp;$DF52+'Model Setup'!$I$7,$AD52:$BA52)+'Model Setup'!$I$8*(SUMIF($BH$3:$CE$3,"&lt;"&amp;$DF52,$AD52:$BA52)+SUMIF($BH$3:$CE$3,"&gt;"&amp;$CW$4,$AD52:$BA52)),
IF(CB$3=$DF52+'Model Setup'!$J$7,SUMIF($BH$3:$CE$3,"="&amp;$DF52+'Model Setup'!$J$7,$AD52:$BA52)+'Model Setup'!$J$8*(SUMIF($BH$3:$CE$3,"&lt;"&amp;$DF52,$AD52:$BA52)+SUMIF($BH$3:$CE$3,"&gt;"&amp;$CW$4,$AD52:$BA52)),
IF(CB$3=$DF52+'Model Setup'!$K$7,SUMIF($BH$3:$CE$3,"="&amp;$DF52+'Model Setup'!$K$7,$AD52:$BA52)+'Model Setup'!$K$8*(SUMIF($BH$3:$CE$3,"&lt;"&amp;$DF52,$AD52:$BA52)+SUMIF($BH$3:$CE$3,"&gt;"&amp;$CW$4,$AD52:$BA52)),
IF(CB$3=$DF52+'Model Setup'!$L$7,SUMIF($BH$3:$CE$3,"="&amp;$DF52+'Model Setup'!$L$7,$AD52:$BA52)+'Model Setup'!$L$8*(SUMIF($BH$3:$CE$3,"&lt;"&amp;$DF52,$AD52:$BA52)+SUMIF($BH$3:$CE$3,"&gt;"&amp;$CW$4,$AD52:$BA52)),
IF(CB$3=$DF52+'Model Setup'!$M$7,SUMIF($BH$3:$CE$3,"="&amp;$DF52+'Model Setup'!$M$7,$AD52:$BA52)+'Model Setup'!$M$8*(SUMIF($BH$3:$CE$3,"&lt;"&amp;$DF52,$AD52:$BA52)+SUMIF($BH$3:$CE$3,"&gt;"&amp;$CW$4,$AD52:$BA52)),
IF(CB$3=$DF52+'Model Setup'!$N$7,SUMIF($BH$3:$CE$3,"="&amp;$DF52+'Model Setup'!$N$7,$AD52:$BA52)+'Model Setup'!$N$8*(SUMIF($BH$3:$CE$3,"&lt;"&amp;$DF52,$AD52:$BA52)+SUMIF($BH$3:$CE$3,"&gt;"&amp;$CW$4,$AD52:$BA52)),
IF(CB$3&lt;$CW$4,V52,0))))))))))))))),0)</f>
        <v>0</v>
      </c>
      <c r="CC52" s="47">
        <f>ROUND(IF(OR(CC$3&lt;$DF52,CC$3&gt;$CW$4),0,
IF(CC$3=$DF52+'Model Setup'!$B$7,SUMIF($BH$3:$CE$3,"="&amp;$DF52+'Model Setup'!$B$7,$AD52:$BA52)+'Model Setup'!$B$8*(SUMIF($BH$3:$CE$3,"&lt;"&amp;$DF52,$AD52:$BA52)+SUMIF($BH$3:$CE$3,"&gt;"&amp;$CW$4,$AD52:$BA52)),
IF(CC$3=$DF52+'Model Setup'!$C$7,SUMIF($BH$3:$CE$3,"="&amp;$DF52+'Model Setup'!$C$7,$AD52:$BA52)+'Model Setup'!$C$8*(SUMIF($BH$3:$CE$3,"&lt;"&amp;$DF52,$AD52:$BA52)+SUMIF($BH$3:$CE$3,"&gt;"&amp;$CW$4,$AD52:$BA52)),
IF(CC$3=$DF52+'Model Setup'!$D$7,SUMIF($BH$3:$CE$3,"="&amp;$DF52+'Model Setup'!$D$7,$AD52:$BA52)+'Model Setup'!$D$8*(SUMIF($BH$3:$CE$3,"&lt;"&amp;$DF52,$AD52:$BA52)+SUMIF($BH$3:$CE$3,"&gt;"&amp;$CW$4,$AD52:$BA52)),
IF(CC$3=$DF52+'Model Setup'!$E$7,SUMIF($BH$3:$CE$3,"="&amp;$DF52+'Model Setup'!$E$7,$AD52:$BA52)+'Model Setup'!$E$8*(SUMIF($BH$3:$CE$3,"&lt;"&amp;$DF52,$AD52:$BA52)+SUMIF($BH$3:$CE$3,"&gt;"&amp;$CW$4,$AD52:$BA52)),
IF(CC$3=$DF52+'Model Setup'!$F$7,SUMIF($BH$3:$CE$3,"="&amp;$DF52+'Model Setup'!$F$7,$AD52:$BA52)+'Model Setup'!$F$8*(SUMIF($BH$3:$CE$3,"&lt;"&amp;$DF52,$AD52:$BA52)+SUMIF($BH$3:$CE$3,"&gt;"&amp;$CW$4,$AD52:$BA52)),
IF(CC$3=$DF52+'Model Setup'!$G$7,SUMIF($BH$3:$CE$3,"="&amp;$DF52+'Model Setup'!$G$7,$AD52:$BA52)+'Model Setup'!$G$8*(SUMIF($BH$3:$CE$3,"&lt;"&amp;$DF52,$AD52:$BA52)+SUMIF($BH$3:$CE$3,"&gt;"&amp;$CW$4,$AD52:$BA52)),
IF(CC$3=$DF52+'Model Setup'!$H$7,SUMIF($BH$3:$CE$3,"="&amp;$DF52+'Model Setup'!$H$7,$AD52:$BA52)+'Model Setup'!$H$8*(SUMIF($BH$3:$CE$3,"&lt;"&amp;$DF52,$AD52:$BA52)+SUMIF($BH$3:$CE$3,"&gt;"&amp;$CW$4,$AD52:$BA52)),
IF(CC$3=$DF52+'Model Setup'!$I$7,SUMIF($BH$3:$CE$3,"="&amp;$DF52+'Model Setup'!$I$7,$AD52:$BA52)+'Model Setup'!$I$8*(SUMIF($BH$3:$CE$3,"&lt;"&amp;$DF52,$AD52:$BA52)+SUMIF($BH$3:$CE$3,"&gt;"&amp;$CW$4,$AD52:$BA52)),
IF(CC$3=$DF52+'Model Setup'!$J$7,SUMIF($BH$3:$CE$3,"="&amp;$DF52+'Model Setup'!$J$7,$AD52:$BA52)+'Model Setup'!$J$8*(SUMIF($BH$3:$CE$3,"&lt;"&amp;$DF52,$AD52:$BA52)+SUMIF($BH$3:$CE$3,"&gt;"&amp;$CW$4,$AD52:$BA52)),
IF(CC$3=$DF52+'Model Setup'!$K$7,SUMIF($BH$3:$CE$3,"="&amp;$DF52+'Model Setup'!$K$7,$AD52:$BA52)+'Model Setup'!$K$8*(SUMIF($BH$3:$CE$3,"&lt;"&amp;$DF52,$AD52:$BA52)+SUMIF($BH$3:$CE$3,"&gt;"&amp;$CW$4,$AD52:$BA52)),
IF(CC$3=$DF52+'Model Setup'!$L$7,SUMIF($BH$3:$CE$3,"="&amp;$DF52+'Model Setup'!$L$7,$AD52:$BA52)+'Model Setup'!$L$8*(SUMIF($BH$3:$CE$3,"&lt;"&amp;$DF52,$AD52:$BA52)+SUMIF($BH$3:$CE$3,"&gt;"&amp;$CW$4,$AD52:$BA52)),
IF(CC$3=$DF52+'Model Setup'!$M$7,SUMIF($BH$3:$CE$3,"="&amp;$DF52+'Model Setup'!$M$7,$AD52:$BA52)+'Model Setup'!$M$8*(SUMIF($BH$3:$CE$3,"&lt;"&amp;$DF52,$AD52:$BA52)+SUMIF($BH$3:$CE$3,"&gt;"&amp;$CW$4,$AD52:$BA52)),
IF(CC$3=$DF52+'Model Setup'!$N$7,SUMIF($BH$3:$CE$3,"="&amp;$DF52+'Model Setup'!$N$7,$AD52:$BA52)+'Model Setup'!$N$8*(SUMIF($BH$3:$CE$3,"&lt;"&amp;$DF52,$AD52:$BA52)+SUMIF($BH$3:$CE$3,"&gt;"&amp;$CW$4,$AD52:$BA52)),
IF(CC$3&lt;$CW$4,W52,0))))))))))))))),0)</f>
        <v>0</v>
      </c>
      <c r="CD52" s="47">
        <f>ROUND(IF(OR(CD$3&lt;$DF52,CD$3&gt;$CW$4),0,
IF(CD$3=$DF52+'Model Setup'!$B$7,SUMIF($BH$3:$CE$3,"="&amp;$DF52+'Model Setup'!$B$7,$AD52:$BA52)+'Model Setup'!$B$8*(SUMIF($BH$3:$CE$3,"&lt;"&amp;$DF52,$AD52:$BA52)+SUMIF($BH$3:$CE$3,"&gt;"&amp;$CW$4,$AD52:$BA52)),
IF(CD$3=$DF52+'Model Setup'!$C$7,SUMIF($BH$3:$CE$3,"="&amp;$DF52+'Model Setup'!$C$7,$AD52:$BA52)+'Model Setup'!$C$8*(SUMIF($BH$3:$CE$3,"&lt;"&amp;$DF52,$AD52:$BA52)+SUMIF($BH$3:$CE$3,"&gt;"&amp;$CW$4,$AD52:$BA52)),
IF(CD$3=$DF52+'Model Setup'!$D$7,SUMIF($BH$3:$CE$3,"="&amp;$DF52+'Model Setup'!$D$7,$AD52:$BA52)+'Model Setup'!$D$8*(SUMIF($BH$3:$CE$3,"&lt;"&amp;$DF52,$AD52:$BA52)+SUMIF($BH$3:$CE$3,"&gt;"&amp;$CW$4,$AD52:$BA52)),
IF(CD$3=$DF52+'Model Setup'!$E$7,SUMIF($BH$3:$CE$3,"="&amp;$DF52+'Model Setup'!$E$7,$AD52:$BA52)+'Model Setup'!$E$8*(SUMIF($BH$3:$CE$3,"&lt;"&amp;$DF52,$AD52:$BA52)+SUMIF($BH$3:$CE$3,"&gt;"&amp;$CW$4,$AD52:$BA52)),
IF(CD$3=$DF52+'Model Setup'!$F$7,SUMIF($BH$3:$CE$3,"="&amp;$DF52+'Model Setup'!$F$7,$AD52:$BA52)+'Model Setup'!$F$8*(SUMIF($BH$3:$CE$3,"&lt;"&amp;$DF52,$AD52:$BA52)+SUMIF($BH$3:$CE$3,"&gt;"&amp;$CW$4,$AD52:$BA52)),
IF(CD$3=$DF52+'Model Setup'!$G$7,SUMIF($BH$3:$CE$3,"="&amp;$DF52+'Model Setup'!$G$7,$AD52:$BA52)+'Model Setup'!$G$8*(SUMIF($BH$3:$CE$3,"&lt;"&amp;$DF52,$AD52:$BA52)+SUMIF($BH$3:$CE$3,"&gt;"&amp;$CW$4,$AD52:$BA52)),
IF(CD$3=$DF52+'Model Setup'!$H$7,SUMIF($BH$3:$CE$3,"="&amp;$DF52+'Model Setup'!$H$7,$AD52:$BA52)+'Model Setup'!$H$8*(SUMIF($BH$3:$CE$3,"&lt;"&amp;$DF52,$AD52:$BA52)+SUMIF($BH$3:$CE$3,"&gt;"&amp;$CW$4,$AD52:$BA52)),
IF(CD$3=$DF52+'Model Setup'!$I$7,SUMIF($BH$3:$CE$3,"="&amp;$DF52+'Model Setup'!$I$7,$AD52:$BA52)+'Model Setup'!$I$8*(SUMIF($BH$3:$CE$3,"&lt;"&amp;$DF52,$AD52:$BA52)+SUMIF($BH$3:$CE$3,"&gt;"&amp;$CW$4,$AD52:$BA52)),
IF(CD$3=$DF52+'Model Setup'!$J$7,SUMIF($BH$3:$CE$3,"="&amp;$DF52+'Model Setup'!$J$7,$AD52:$BA52)+'Model Setup'!$J$8*(SUMIF($BH$3:$CE$3,"&lt;"&amp;$DF52,$AD52:$BA52)+SUMIF($BH$3:$CE$3,"&gt;"&amp;$CW$4,$AD52:$BA52)),
IF(CD$3=$DF52+'Model Setup'!$K$7,SUMIF($BH$3:$CE$3,"="&amp;$DF52+'Model Setup'!$K$7,$AD52:$BA52)+'Model Setup'!$K$8*(SUMIF($BH$3:$CE$3,"&lt;"&amp;$DF52,$AD52:$BA52)+SUMIF($BH$3:$CE$3,"&gt;"&amp;$CW$4,$AD52:$BA52)),
IF(CD$3=$DF52+'Model Setup'!$L$7,SUMIF($BH$3:$CE$3,"="&amp;$DF52+'Model Setup'!$L$7,$AD52:$BA52)+'Model Setup'!$L$8*(SUMIF($BH$3:$CE$3,"&lt;"&amp;$DF52,$AD52:$BA52)+SUMIF($BH$3:$CE$3,"&gt;"&amp;$CW$4,$AD52:$BA52)),
IF(CD$3=$DF52+'Model Setup'!$M$7,SUMIF($BH$3:$CE$3,"="&amp;$DF52+'Model Setup'!$M$7,$AD52:$BA52)+'Model Setup'!$M$8*(SUMIF($BH$3:$CE$3,"&lt;"&amp;$DF52,$AD52:$BA52)+SUMIF($BH$3:$CE$3,"&gt;"&amp;$CW$4,$AD52:$BA52)),
IF(CD$3=$DF52+'Model Setup'!$N$7,SUMIF($BH$3:$CE$3,"="&amp;$DF52+'Model Setup'!$N$7,$AD52:$BA52)+'Model Setup'!$N$8*(SUMIF($BH$3:$CE$3,"&lt;"&amp;$DF52,$AD52:$BA52)+SUMIF($BH$3:$CE$3,"&gt;"&amp;$CW$4,$AD52:$BA52)),
IF(CD$3&lt;$CW$4,X52,0))))))))))))))),0)</f>
        <v>0</v>
      </c>
      <c r="CE52" s="47">
        <f>ROUND(IF(OR(CE$3&lt;$DF52,CE$3&gt;$CW$4),0,
IF(CE$3=$DF52+'Model Setup'!$B$7,SUMIF($BH$3:$CE$3,"="&amp;$DF52+'Model Setup'!$B$7,$AD52:$BA52)+'Model Setup'!$B$8*(SUMIF($BH$3:$CE$3,"&lt;"&amp;$DF52,$AD52:$BA52)+SUMIF($BH$3:$CE$3,"&gt;"&amp;$CW$4,$AD52:$BA52)),
IF(CE$3=$DF52+'Model Setup'!$C$7,SUMIF($BH$3:$CE$3,"="&amp;$DF52+'Model Setup'!$C$7,$AD52:$BA52)+'Model Setup'!$C$8*(SUMIF($BH$3:$CE$3,"&lt;"&amp;$DF52,$AD52:$BA52)+SUMIF($BH$3:$CE$3,"&gt;"&amp;$CW$4,$AD52:$BA52)),
IF(CE$3=$DF52+'Model Setup'!$D$7,SUMIF($BH$3:$CE$3,"="&amp;$DF52+'Model Setup'!$D$7,$AD52:$BA52)+'Model Setup'!$D$8*(SUMIF($BH$3:$CE$3,"&lt;"&amp;$DF52,$AD52:$BA52)+SUMIF($BH$3:$CE$3,"&gt;"&amp;$CW$4,$AD52:$BA52)),
IF(CE$3=$DF52+'Model Setup'!$E$7,SUMIF($BH$3:$CE$3,"="&amp;$DF52+'Model Setup'!$E$7,$AD52:$BA52)+'Model Setup'!$E$8*(SUMIF($BH$3:$CE$3,"&lt;"&amp;$DF52,$AD52:$BA52)+SUMIF($BH$3:$CE$3,"&gt;"&amp;$CW$4,$AD52:$BA52)),
IF(CE$3=$DF52+'Model Setup'!$F$7,SUMIF($BH$3:$CE$3,"="&amp;$DF52+'Model Setup'!$F$7,$AD52:$BA52)+'Model Setup'!$F$8*(SUMIF($BH$3:$CE$3,"&lt;"&amp;$DF52,$AD52:$BA52)+SUMIF($BH$3:$CE$3,"&gt;"&amp;$CW$4,$AD52:$BA52)),
IF(CE$3=$DF52+'Model Setup'!$G$7,SUMIF($BH$3:$CE$3,"="&amp;$DF52+'Model Setup'!$G$7,$AD52:$BA52)+'Model Setup'!$G$8*(SUMIF($BH$3:$CE$3,"&lt;"&amp;$DF52,$AD52:$BA52)+SUMIF($BH$3:$CE$3,"&gt;"&amp;$CW$4,$AD52:$BA52)),
IF(CE$3=$DF52+'Model Setup'!$H$7,SUMIF($BH$3:$CE$3,"="&amp;$DF52+'Model Setup'!$H$7,$AD52:$BA52)+'Model Setup'!$H$8*(SUMIF($BH$3:$CE$3,"&lt;"&amp;$DF52,$AD52:$BA52)+SUMIF($BH$3:$CE$3,"&gt;"&amp;$CW$4,$AD52:$BA52)),
IF(CE$3=$DF52+'Model Setup'!$I$7,SUMIF($BH$3:$CE$3,"="&amp;$DF52+'Model Setup'!$I$7,$AD52:$BA52)+'Model Setup'!$I$8*(SUMIF($BH$3:$CE$3,"&lt;"&amp;$DF52,$AD52:$BA52)+SUMIF($BH$3:$CE$3,"&gt;"&amp;$CW$4,$AD52:$BA52)),
IF(CE$3=$DF52+'Model Setup'!$J$7,SUMIF($BH$3:$CE$3,"="&amp;$DF52+'Model Setup'!$J$7,$AD52:$BA52)+'Model Setup'!$J$8*(SUMIF($BH$3:$CE$3,"&lt;"&amp;$DF52,$AD52:$BA52)+SUMIF($BH$3:$CE$3,"&gt;"&amp;$CW$4,$AD52:$BA52)),
IF(CE$3=$DF52+'Model Setup'!$K$7,SUMIF($BH$3:$CE$3,"="&amp;$DF52+'Model Setup'!$K$7,$AD52:$BA52)+'Model Setup'!$K$8*(SUMIF($BH$3:$CE$3,"&lt;"&amp;$DF52,$AD52:$BA52)+SUMIF($BH$3:$CE$3,"&gt;"&amp;$CW$4,$AD52:$BA52)),
IF(CE$3=$DF52+'Model Setup'!$L$7,SUMIF($BH$3:$CE$3,"="&amp;$DF52+'Model Setup'!$L$7,$AD52:$BA52)+'Model Setup'!$L$8*(SUMIF($BH$3:$CE$3,"&lt;"&amp;$DF52,$AD52:$BA52)+SUMIF($BH$3:$CE$3,"&gt;"&amp;$CW$4,$AD52:$BA52)),
IF(CE$3=$DF52+'Model Setup'!$M$7,SUMIF($BH$3:$CE$3,"="&amp;$DF52+'Model Setup'!$M$7,$AD52:$BA52)+'Model Setup'!$M$8*(SUMIF($BH$3:$CE$3,"&lt;"&amp;$DF52,$AD52:$BA52)+SUMIF($BH$3:$CE$3,"&gt;"&amp;$CW$4,$AD52:$BA52)),
IF(CE$3=$DF52+'Model Setup'!$N$7,SUMIF($BH$3:$CE$3,"="&amp;$DF52+'Model Setup'!$N$7,$AD52:$BA52)+'Model Setup'!$N$8*(SUMIF($BH$3:$CE$3,"&lt;"&amp;$DF52,$AD52:$BA52)+SUMIF($BH$3:$CE$3,"&gt;"&amp;$CW$4,$AD52:$BA52)),
IF(CE$3&lt;$CW$4,Y52,0))))))))))))))),0)</f>
        <v>0</v>
      </c>
      <c r="CF52" s="47">
        <f t="shared" si="3"/>
        <v>127</v>
      </c>
      <c r="CG52" s="47">
        <f t="shared" si="4"/>
        <v>0</v>
      </c>
      <c r="CI52" s="10" t="s">
        <v>67</v>
      </c>
      <c r="CJ52" s="126">
        <f t="shared" si="9"/>
        <v>0</v>
      </c>
      <c r="CK52" s="126">
        <f t="shared" si="10"/>
        <v>19</v>
      </c>
      <c r="CL52" s="126">
        <f t="shared" si="11"/>
        <v>17</v>
      </c>
      <c r="CM52" s="126">
        <f t="shared" si="12"/>
        <v>12</v>
      </c>
      <c r="CN52" s="126">
        <f t="shared" si="13"/>
        <v>13</v>
      </c>
      <c r="CO52" s="126">
        <f t="shared" si="14"/>
        <v>15</v>
      </c>
      <c r="CP52" s="126">
        <f t="shared" si="15"/>
        <v>16</v>
      </c>
      <c r="CQ52" s="126">
        <f t="shared" si="16"/>
        <v>7</v>
      </c>
      <c r="CR52" s="126">
        <f t="shared" si="17"/>
        <v>4</v>
      </c>
      <c r="CS52" s="126">
        <f t="shared" si="18"/>
        <v>6</v>
      </c>
      <c r="CT52" s="126">
        <f t="shared" si="19"/>
        <v>8</v>
      </c>
      <c r="CU52" s="126">
        <f t="shared" si="20"/>
        <v>5</v>
      </c>
      <c r="CV52" s="126">
        <f t="shared" si="21"/>
        <v>5</v>
      </c>
      <c r="CW52" s="126">
        <f t="shared" si="22"/>
        <v>0</v>
      </c>
      <c r="CX52" s="126">
        <f t="shared" si="23"/>
        <v>0</v>
      </c>
      <c r="CY52" s="126">
        <f t="shared" si="24"/>
        <v>0</v>
      </c>
      <c r="CZ52" s="47">
        <f t="shared" si="7"/>
        <v>127</v>
      </c>
      <c r="DC52" s="93" t="s">
        <v>67</v>
      </c>
      <c r="DD52" s="89">
        <f>FTC!E50</f>
        <v>0.20833333333333334</v>
      </c>
      <c r="DE52" s="89">
        <f>FTC!F50</f>
        <v>0.75</v>
      </c>
      <c r="DF52" s="90">
        <f t="shared" si="25"/>
        <v>5</v>
      </c>
      <c r="DG52" s="91">
        <f t="shared" si="26"/>
        <v>18</v>
      </c>
      <c r="DH52" s="91">
        <f t="shared" si="27"/>
        <v>13</v>
      </c>
    </row>
    <row r="53" spans="1:112" x14ac:dyDescent="0.35">
      <c r="A53" s="43" t="s">
        <v>68</v>
      </c>
      <c r="B53" s="47">
        <v>5</v>
      </c>
      <c r="C53" s="47">
        <v>4</v>
      </c>
      <c r="D53" s="47">
        <v>7</v>
      </c>
      <c r="E53" s="47">
        <v>3</v>
      </c>
      <c r="F53" s="47">
        <v>2</v>
      </c>
      <c r="G53" s="47">
        <v>7</v>
      </c>
      <c r="H53" s="47">
        <v>56</v>
      </c>
      <c r="I53" s="47">
        <v>57</v>
      </c>
      <c r="J53" s="47">
        <v>82</v>
      </c>
      <c r="K53" s="47">
        <v>120</v>
      </c>
      <c r="L53" s="47">
        <v>120</v>
      </c>
      <c r="M53" s="47">
        <v>102</v>
      </c>
      <c r="N53" s="47">
        <v>71</v>
      </c>
      <c r="O53" s="47">
        <v>64</v>
      </c>
      <c r="P53" s="47">
        <v>42</v>
      </c>
      <c r="Q53" s="47">
        <v>51</v>
      </c>
      <c r="R53" s="47">
        <v>33</v>
      </c>
      <c r="S53" s="47">
        <v>27</v>
      </c>
      <c r="T53" s="47">
        <v>20</v>
      </c>
      <c r="U53" s="47">
        <v>13</v>
      </c>
      <c r="V53" s="47">
        <v>10</v>
      </c>
      <c r="W53" s="47">
        <v>15</v>
      </c>
      <c r="X53" s="47">
        <v>18</v>
      </c>
      <c r="Y53" s="47">
        <v>10</v>
      </c>
      <c r="Z53" s="47">
        <f t="shared" si="0"/>
        <v>939</v>
      </c>
      <c r="AC53" s="43" t="s">
        <v>68</v>
      </c>
      <c r="AD53" s="47">
        <f>ROUND(IF(AD$3&lt;$DF53,0,
IF(AD$3=$DF53+'Model Setup'!$B$7,SUMIF($AD$3:$BA$3,"="&amp;$DF53+'Model Setup'!$B$7,$B53:$Y53)+'Model Setup'!$B$8*(SUMIF($AD$3:$BA$3,"&lt;"&amp;$DF53,$B53:$Y53)+SUMIF($AD$3:$BA$3,"&gt;="&amp;$DG53,$B53:$Y53)),
IF(AD$3=$DF53+'Model Setup'!$C$7,SUMIF($AD$3:$BA$3,"="&amp;$DF53+'Model Setup'!$C$7,$B53:$Y53)+'Model Setup'!$C$8*(SUMIF($AD$3:$BA$3,"&lt;"&amp;$DF53,$B53:$Y53)+SUMIF($AD$3:$BA$3,"&gt;="&amp;$DG53,$B53:$Y53)),
IF(AD$3=$DF53+'Model Setup'!$D$7,SUMIF($AD$3:$BA$3,"="&amp;$DF53+'Model Setup'!$D$7,$B53:$Y53)+'Model Setup'!$D$8*(SUMIF($AD$3:$BA$3,"&lt;"&amp;$DF53,$B53:$Y53)+SUMIF($AD$3:$BA$3,"&gt;="&amp;$DG53,$B53:$Y53)),
IF(AD$3=$DF53+'Model Setup'!$E$7,SUMIF($AD$3:$BA$3,"="&amp;$DF53+'Model Setup'!$E$7,$B53:$Y53)+'Model Setup'!$E$8*(SUMIF($AD$3:$BA$3,"&lt;"&amp;$DF53,$B53:$Y53)+SUMIF($AD$3:$BA$3,"&gt;="&amp;$DG53,$B53:$Y53)),
IF(AD$3=$DF53+'Model Setup'!$F$7,SUMIF($AD$3:$BA$3,"="&amp;$DF53+'Model Setup'!$F$7,$B53:$Y53)+'Model Setup'!$F$8*(SUMIF($AD$3:$BA$3,"&lt;"&amp;$DF53,$B53:$Y53)+SUMIF($AD$3:$BA$3,"&gt;="&amp;$DG53,$B53:$Y53)),
IF(AD$3=$DF53+'Model Setup'!$G$7,SUMIF($AD$3:$BA$3,"="&amp;$DF53+'Model Setup'!$G$7,$B53:$Y53)+'Model Setup'!$G$8*(SUMIF($AD$3:$BA$3,"&lt;"&amp;$DF53,$B53:$Y53)+SUMIF($AD$3:$BA$3,"&gt;="&amp;$DG53,$B53:$Y53)),
IF(AD$3=$DF53+'Model Setup'!$H$7,SUMIF($AD$3:$BA$3,"="&amp;$DF53+'Model Setup'!$H$7,$B53:$Y53)+'Model Setup'!$H$8*(SUMIF($AD$3:$BA$3,"&lt;"&amp;$DF53,$B53:$Y53)+SUMIF($AD$3:$BA$3,"&gt;="&amp;$DG53,$B53:$Y53)),
IF(AD$3=$DF53+'Model Setup'!$I$7,SUMIF($AD$3:$BA$3,"="&amp;$DF53+'Model Setup'!$I$7,$B53:$Y53)+'Model Setup'!$I$8*(SUMIF($AD$3:$BA$3,"&lt;"&amp;$DF53,$B53:$Y53)+SUMIF($AD$3:$BA$3,"&gt;="&amp;$DG53,$B53:$Y53)),
IF(AD$3=$DF53+'Model Setup'!$J$7,SUMIF($AD$3:$BA$3,"="&amp;$DF53+'Model Setup'!$J$7,$B53:$Y53)+'Model Setup'!$J$8*(SUMIF($AD$3:$BA$3,"&lt;"&amp;$DF53,$B53:$Y53)+SUMIF($AD$3:$BA$3,"&gt;="&amp;$DG53,$B53:$Y53)),
IF(AD$3=$DF53+'Model Setup'!$K$7,SUMIF($AD$3:$BA$3,"="&amp;$DF53+'Model Setup'!$K$7,$B53:$Y53)+'Model Setup'!$K$8*(SUMIF($AD$3:$BA$3,"&lt;"&amp;$DF53,$B53:$Y53)+SUMIF($AD$3:$BA$3,"&gt;="&amp;$DG53,$B53:$Y53)),
IF(AD$3=$DF53+'Model Setup'!$L$7,SUMIF($AD$3:$BA$3,"="&amp;$DF53+'Model Setup'!$L$7,$B53:$Y53)+'Model Setup'!$L$8*(SUMIF($AD$3:$BA$3,"&lt;"&amp;$DF53,$B53:$Y53)+SUMIF($AD$3:$BA$3,"&gt;="&amp;$DG53,$B53:$Y53)),
IF(AD$3=$DF53+'Model Setup'!$M$7,SUMIF($AD$3:$BA$3,"="&amp;$DF53+'Model Setup'!$M$7,$B53:$Y53)+'Model Setup'!$M$8*(SUMIF($AD$3:$BA$3,"&lt;"&amp;$DF53,$B53:$Y53)+SUMIF($AD$3:$BA$3,"&gt;="&amp;$DG53,$B53:$Y53)),
IF(AD$3=$DF53+'Model Setup'!$N$7,SUMIF($AD$3:$BA$3,"="&amp;$DF53+'Model Setup'!$N$7,$B53:$Y53)+'Model Setup'!$N$8*(SUMIF($AD$3:$BA$3,"&lt;"&amp;$DF53,$B53:$Y53)+SUMIF($AD$3:$BA$3,"&gt;="&amp;$DG53,$B53:$Y53)),
IF(AD$3&lt;$DG53,B53,0))))))))))))))),0)</f>
        <v>0</v>
      </c>
      <c r="AE53" s="47">
        <f>ROUND(IF(AE$3&lt;$DF53,0,
IF(AE$3=$DF53+'Model Setup'!$B$7,SUMIF($AD$3:$BA$3,"="&amp;$DF53+'Model Setup'!$B$7,$B53:$Y53)+'Model Setup'!$B$8*(SUMIF($AD$3:$BA$3,"&lt;"&amp;$DF53,$B53:$Y53)+SUMIF($AD$3:$BA$3,"&gt;="&amp;$DG53,$B53:$Y53)),
IF(AE$3=$DF53+'Model Setup'!$C$7,SUMIF($AD$3:$BA$3,"="&amp;$DF53+'Model Setup'!$C$7,$B53:$Y53)+'Model Setup'!$C$8*(SUMIF($AD$3:$BA$3,"&lt;"&amp;$DF53,$B53:$Y53)+SUMIF($AD$3:$BA$3,"&gt;="&amp;$DG53,$B53:$Y53)),
IF(AE$3=$DF53+'Model Setup'!$D$7,SUMIF($AD$3:$BA$3,"="&amp;$DF53+'Model Setup'!$D$7,$B53:$Y53)+'Model Setup'!$D$8*(SUMIF($AD$3:$BA$3,"&lt;"&amp;$DF53,$B53:$Y53)+SUMIF($AD$3:$BA$3,"&gt;="&amp;$DG53,$B53:$Y53)),
IF(AE$3=$DF53+'Model Setup'!$E$7,SUMIF($AD$3:$BA$3,"="&amp;$DF53+'Model Setup'!$E$7,$B53:$Y53)+'Model Setup'!$E$8*(SUMIF($AD$3:$BA$3,"&lt;"&amp;$DF53,$B53:$Y53)+SUMIF($AD$3:$BA$3,"&gt;="&amp;$DG53,$B53:$Y53)),
IF(AE$3=$DF53+'Model Setup'!$F$7,SUMIF($AD$3:$BA$3,"="&amp;$DF53+'Model Setup'!$F$7,$B53:$Y53)+'Model Setup'!$F$8*(SUMIF($AD$3:$BA$3,"&lt;"&amp;$DF53,$B53:$Y53)+SUMIF($AD$3:$BA$3,"&gt;="&amp;$DG53,$B53:$Y53)),
IF(AE$3=$DF53+'Model Setup'!$G$7,SUMIF($AD$3:$BA$3,"="&amp;$DF53+'Model Setup'!$G$7,$B53:$Y53)+'Model Setup'!$G$8*(SUMIF($AD$3:$BA$3,"&lt;"&amp;$DF53,$B53:$Y53)+SUMIF($AD$3:$BA$3,"&gt;="&amp;$DG53,$B53:$Y53)),
IF(AE$3=$DF53+'Model Setup'!$H$7,SUMIF($AD$3:$BA$3,"="&amp;$DF53+'Model Setup'!$H$7,$B53:$Y53)+'Model Setup'!$H$8*(SUMIF($AD$3:$BA$3,"&lt;"&amp;$DF53,$B53:$Y53)+SUMIF($AD$3:$BA$3,"&gt;="&amp;$DG53,$B53:$Y53)),
IF(AE$3=$DF53+'Model Setup'!$I$7,SUMIF($AD$3:$BA$3,"="&amp;$DF53+'Model Setup'!$I$7,$B53:$Y53)+'Model Setup'!$I$8*(SUMIF($AD$3:$BA$3,"&lt;"&amp;$DF53,$B53:$Y53)+SUMIF($AD$3:$BA$3,"&gt;="&amp;$DG53,$B53:$Y53)),
IF(AE$3=$DF53+'Model Setup'!$J$7,SUMIF($AD$3:$BA$3,"="&amp;$DF53+'Model Setup'!$J$7,$B53:$Y53)+'Model Setup'!$J$8*(SUMIF($AD$3:$BA$3,"&lt;"&amp;$DF53,$B53:$Y53)+SUMIF($AD$3:$BA$3,"&gt;="&amp;$DG53,$B53:$Y53)),
IF(AE$3=$DF53+'Model Setup'!$K$7,SUMIF($AD$3:$BA$3,"="&amp;$DF53+'Model Setup'!$K$7,$B53:$Y53)+'Model Setup'!$K$8*(SUMIF($AD$3:$BA$3,"&lt;"&amp;$DF53,$B53:$Y53)+SUMIF($AD$3:$BA$3,"&gt;="&amp;$DG53,$B53:$Y53)),
IF(AE$3=$DF53+'Model Setup'!$L$7,SUMIF($AD$3:$BA$3,"="&amp;$DF53+'Model Setup'!$L$7,$B53:$Y53)+'Model Setup'!$L$8*(SUMIF($AD$3:$BA$3,"&lt;"&amp;$DF53,$B53:$Y53)+SUMIF($AD$3:$BA$3,"&gt;="&amp;$DG53,$B53:$Y53)),
IF(AE$3=$DF53+'Model Setup'!$M$7,SUMIF($AD$3:$BA$3,"="&amp;$DF53+'Model Setup'!$M$7,$B53:$Y53)+'Model Setup'!$M$8*(SUMIF($AD$3:$BA$3,"&lt;"&amp;$DF53,$B53:$Y53)+SUMIF($AD$3:$BA$3,"&gt;="&amp;$DG53,$B53:$Y53)),
IF(AE$3=$DF53+'Model Setup'!$N$7,SUMIF($AD$3:$BA$3,"="&amp;$DF53+'Model Setup'!$N$7,$B53:$Y53)+'Model Setup'!$N$8*(SUMIF($AD$3:$BA$3,"&lt;"&amp;$DF53,$B53:$Y53)+SUMIF($AD$3:$BA$3,"&gt;="&amp;$DG53,$B53:$Y53)),
IF(AE$3&lt;$DG53,C53,0))))))))))))))),0)</f>
        <v>0</v>
      </c>
      <c r="AF53" s="47">
        <f>ROUND(IF(AF$3&lt;$DF53,0,
IF(AF$3=$DF53+'Model Setup'!$B$7,SUMIF($AD$3:$BA$3,"="&amp;$DF53+'Model Setup'!$B$7,$B53:$Y53)+'Model Setup'!$B$8*(SUMIF($AD$3:$BA$3,"&lt;"&amp;$DF53,$B53:$Y53)+SUMIF($AD$3:$BA$3,"&gt;="&amp;$DG53,$B53:$Y53)),
IF(AF$3=$DF53+'Model Setup'!$C$7,SUMIF($AD$3:$BA$3,"="&amp;$DF53+'Model Setup'!$C$7,$B53:$Y53)+'Model Setup'!$C$8*(SUMIF($AD$3:$BA$3,"&lt;"&amp;$DF53,$B53:$Y53)+SUMIF($AD$3:$BA$3,"&gt;="&amp;$DG53,$B53:$Y53)),
IF(AF$3=$DF53+'Model Setup'!$D$7,SUMIF($AD$3:$BA$3,"="&amp;$DF53+'Model Setup'!$D$7,$B53:$Y53)+'Model Setup'!$D$8*(SUMIF($AD$3:$BA$3,"&lt;"&amp;$DF53,$B53:$Y53)+SUMIF($AD$3:$BA$3,"&gt;="&amp;$DG53,$B53:$Y53)),
IF(AF$3=$DF53+'Model Setup'!$E$7,SUMIF($AD$3:$BA$3,"="&amp;$DF53+'Model Setup'!$E$7,$B53:$Y53)+'Model Setup'!$E$8*(SUMIF($AD$3:$BA$3,"&lt;"&amp;$DF53,$B53:$Y53)+SUMIF($AD$3:$BA$3,"&gt;="&amp;$DG53,$B53:$Y53)),
IF(AF$3=$DF53+'Model Setup'!$F$7,SUMIF($AD$3:$BA$3,"="&amp;$DF53+'Model Setup'!$F$7,$B53:$Y53)+'Model Setup'!$F$8*(SUMIF($AD$3:$BA$3,"&lt;"&amp;$DF53,$B53:$Y53)+SUMIF($AD$3:$BA$3,"&gt;="&amp;$DG53,$B53:$Y53)),
IF(AF$3=$DF53+'Model Setup'!$G$7,SUMIF($AD$3:$BA$3,"="&amp;$DF53+'Model Setup'!$G$7,$B53:$Y53)+'Model Setup'!$G$8*(SUMIF($AD$3:$BA$3,"&lt;"&amp;$DF53,$B53:$Y53)+SUMIF($AD$3:$BA$3,"&gt;="&amp;$DG53,$B53:$Y53)),
IF(AF$3=$DF53+'Model Setup'!$H$7,SUMIF($AD$3:$BA$3,"="&amp;$DF53+'Model Setup'!$H$7,$B53:$Y53)+'Model Setup'!$H$8*(SUMIF($AD$3:$BA$3,"&lt;"&amp;$DF53,$B53:$Y53)+SUMIF($AD$3:$BA$3,"&gt;="&amp;$DG53,$B53:$Y53)),
IF(AF$3=$DF53+'Model Setup'!$I$7,SUMIF($AD$3:$BA$3,"="&amp;$DF53+'Model Setup'!$I$7,$B53:$Y53)+'Model Setup'!$I$8*(SUMIF($AD$3:$BA$3,"&lt;"&amp;$DF53,$B53:$Y53)+SUMIF($AD$3:$BA$3,"&gt;="&amp;$DG53,$B53:$Y53)),
IF(AF$3=$DF53+'Model Setup'!$J$7,SUMIF($AD$3:$BA$3,"="&amp;$DF53+'Model Setup'!$J$7,$B53:$Y53)+'Model Setup'!$J$8*(SUMIF($AD$3:$BA$3,"&lt;"&amp;$DF53,$B53:$Y53)+SUMIF($AD$3:$BA$3,"&gt;="&amp;$DG53,$B53:$Y53)),
IF(AF$3=$DF53+'Model Setup'!$K$7,SUMIF($AD$3:$BA$3,"="&amp;$DF53+'Model Setup'!$K$7,$B53:$Y53)+'Model Setup'!$K$8*(SUMIF($AD$3:$BA$3,"&lt;"&amp;$DF53,$B53:$Y53)+SUMIF($AD$3:$BA$3,"&gt;="&amp;$DG53,$B53:$Y53)),
IF(AF$3=$DF53+'Model Setup'!$L$7,SUMIF($AD$3:$BA$3,"="&amp;$DF53+'Model Setup'!$L$7,$B53:$Y53)+'Model Setup'!$L$8*(SUMIF($AD$3:$BA$3,"&lt;"&amp;$DF53,$B53:$Y53)+SUMIF($AD$3:$BA$3,"&gt;="&amp;$DG53,$B53:$Y53)),
IF(AF$3=$DF53+'Model Setup'!$M$7,SUMIF($AD$3:$BA$3,"="&amp;$DF53+'Model Setup'!$M$7,$B53:$Y53)+'Model Setup'!$M$8*(SUMIF($AD$3:$BA$3,"&lt;"&amp;$DF53,$B53:$Y53)+SUMIF($AD$3:$BA$3,"&gt;="&amp;$DG53,$B53:$Y53)),
IF(AF$3=$DF53+'Model Setup'!$N$7,SUMIF($AD$3:$BA$3,"="&amp;$DF53+'Model Setup'!$N$7,$B53:$Y53)+'Model Setup'!$N$8*(SUMIF($AD$3:$BA$3,"&lt;"&amp;$DF53,$B53:$Y53)+SUMIF($AD$3:$BA$3,"&gt;="&amp;$DG53,$B53:$Y53)),
IF(AF$3&lt;$DG53,D53,0))))))))))))))),0)</f>
        <v>0</v>
      </c>
      <c r="AG53" s="47">
        <f>ROUND(IF(AG$3&lt;$DF53,0,
IF(AG$3=$DF53+'Model Setup'!$B$7,SUMIF($AD$3:$BA$3,"="&amp;$DF53+'Model Setup'!$B$7,$B53:$Y53)+'Model Setup'!$B$8*(SUMIF($AD$3:$BA$3,"&lt;"&amp;$DF53,$B53:$Y53)+SUMIF($AD$3:$BA$3,"&gt;="&amp;$DG53,$B53:$Y53)),
IF(AG$3=$DF53+'Model Setup'!$C$7,SUMIF($AD$3:$BA$3,"="&amp;$DF53+'Model Setup'!$C$7,$B53:$Y53)+'Model Setup'!$C$8*(SUMIF($AD$3:$BA$3,"&lt;"&amp;$DF53,$B53:$Y53)+SUMIF($AD$3:$BA$3,"&gt;="&amp;$DG53,$B53:$Y53)),
IF(AG$3=$DF53+'Model Setup'!$D$7,SUMIF($AD$3:$BA$3,"="&amp;$DF53+'Model Setup'!$D$7,$B53:$Y53)+'Model Setup'!$D$8*(SUMIF($AD$3:$BA$3,"&lt;"&amp;$DF53,$B53:$Y53)+SUMIF($AD$3:$BA$3,"&gt;="&amp;$DG53,$B53:$Y53)),
IF(AG$3=$DF53+'Model Setup'!$E$7,SUMIF($AD$3:$BA$3,"="&amp;$DF53+'Model Setup'!$E$7,$B53:$Y53)+'Model Setup'!$E$8*(SUMIF($AD$3:$BA$3,"&lt;"&amp;$DF53,$B53:$Y53)+SUMIF($AD$3:$BA$3,"&gt;="&amp;$DG53,$B53:$Y53)),
IF(AG$3=$DF53+'Model Setup'!$F$7,SUMIF($AD$3:$BA$3,"="&amp;$DF53+'Model Setup'!$F$7,$B53:$Y53)+'Model Setup'!$F$8*(SUMIF($AD$3:$BA$3,"&lt;"&amp;$DF53,$B53:$Y53)+SUMIF($AD$3:$BA$3,"&gt;="&amp;$DG53,$B53:$Y53)),
IF(AG$3=$DF53+'Model Setup'!$G$7,SUMIF($AD$3:$BA$3,"="&amp;$DF53+'Model Setup'!$G$7,$B53:$Y53)+'Model Setup'!$G$8*(SUMIF($AD$3:$BA$3,"&lt;"&amp;$DF53,$B53:$Y53)+SUMIF($AD$3:$BA$3,"&gt;="&amp;$DG53,$B53:$Y53)),
IF(AG$3=$DF53+'Model Setup'!$H$7,SUMIF($AD$3:$BA$3,"="&amp;$DF53+'Model Setup'!$H$7,$B53:$Y53)+'Model Setup'!$H$8*(SUMIF($AD$3:$BA$3,"&lt;"&amp;$DF53,$B53:$Y53)+SUMIF($AD$3:$BA$3,"&gt;="&amp;$DG53,$B53:$Y53)),
IF(AG$3=$DF53+'Model Setup'!$I$7,SUMIF($AD$3:$BA$3,"="&amp;$DF53+'Model Setup'!$I$7,$B53:$Y53)+'Model Setup'!$I$8*(SUMIF($AD$3:$BA$3,"&lt;"&amp;$DF53,$B53:$Y53)+SUMIF($AD$3:$BA$3,"&gt;="&amp;$DG53,$B53:$Y53)),
IF(AG$3=$DF53+'Model Setup'!$J$7,SUMIF($AD$3:$BA$3,"="&amp;$DF53+'Model Setup'!$J$7,$B53:$Y53)+'Model Setup'!$J$8*(SUMIF($AD$3:$BA$3,"&lt;"&amp;$DF53,$B53:$Y53)+SUMIF($AD$3:$BA$3,"&gt;="&amp;$DG53,$B53:$Y53)),
IF(AG$3=$DF53+'Model Setup'!$K$7,SUMIF($AD$3:$BA$3,"="&amp;$DF53+'Model Setup'!$K$7,$B53:$Y53)+'Model Setup'!$K$8*(SUMIF($AD$3:$BA$3,"&lt;"&amp;$DF53,$B53:$Y53)+SUMIF($AD$3:$BA$3,"&gt;="&amp;$DG53,$B53:$Y53)),
IF(AG$3=$DF53+'Model Setup'!$L$7,SUMIF($AD$3:$BA$3,"="&amp;$DF53+'Model Setup'!$L$7,$B53:$Y53)+'Model Setup'!$L$8*(SUMIF($AD$3:$BA$3,"&lt;"&amp;$DF53,$B53:$Y53)+SUMIF($AD$3:$BA$3,"&gt;="&amp;$DG53,$B53:$Y53)),
IF(AG$3=$DF53+'Model Setup'!$M$7,SUMIF($AD$3:$BA$3,"="&amp;$DF53+'Model Setup'!$M$7,$B53:$Y53)+'Model Setup'!$M$8*(SUMIF($AD$3:$BA$3,"&lt;"&amp;$DF53,$B53:$Y53)+SUMIF($AD$3:$BA$3,"&gt;="&amp;$DG53,$B53:$Y53)),
IF(AG$3=$DF53+'Model Setup'!$N$7,SUMIF($AD$3:$BA$3,"="&amp;$DF53+'Model Setup'!$N$7,$B53:$Y53)+'Model Setup'!$N$8*(SUMIF($AD$3:$BA$3,"&lt;"&amp;$DF53,$B53:$Y53)+SUMIF($AD$3:$BA$3,"&gt;="&amp;$DG53,$B53:$Y53)),
IF(AG$3&lt;$DG53,E53,0))))))))))))))),0)</f>
        <v>0</v>
      </c>
      <c r="AH53" s="47">
        <f>ROUND(IF(AH$3&lt;$DF53,0,
IF(AH$3=$DF53+'Model Setup'!$B$7,SUMIF($AD$3:$BA$3,"="&amp;$DF53+'Model Setup'!$B$7,$B53:$Y53)+'Model Setup'!$B$8*(SUMIF($AD$3:$BA$3,"&lt;"&amp;$DF53,$B53:$Y53)+SUMIF($AD$3:$BA$3,"&gt;="&amp;$DG53,$B53:$Y53)),
IF(AH$3=$DF53+'Model Setup'!$C$7,SUMIF($AD$3:$BA$3,"="&amp;$DF53+'Model Setup'!$C$7,$B53:$Y53)+'Model Setup'!$C$8*(SUMIF($AD$3:$BA$3,"&lt;"&amp;$DF53,$B53:$Y53)+SUMIF($AD$3:$BA$3,"&gt;="&amp;$DG53,$B53:$Y53)),
IF(AH$3=$DF53+'Model Setup'!$D$7,SUMIF($AD$3:$BA$3,"="&amp;$DF53+'Model Setup'!$D$7,$B53:$Y53)+'Model Setup'!$D$8*(SUMIF($AD$3:$BA$3,"&lt;"&amp;$DF53,$B53:$Y53)+SUMIF($AD$3:$BA$3,"&gt;="&amp;$DG53,$B53:$Y53)),
IF(AH$3=$DF53+'Model Setup'!$E$7,SUMIF($AD$3:$BA$3,"="&amp;$DF53+'Model Setup'!$E$7,$B53:$Y53)+'Model Setup'!$E$8*(SUMIF($AD$3:$BA$3,"&lt;"&amp;$DF53,$B53:$Y53)+SUMIF($AD$3:$BA$3,"&gt;="&amp;$DG53,$B53:$Y53)),
IF(AH$3=$DF53+'Model Setup'!$F$7,SUMIF($AD$3:$BA$3,"="&amp;$DF53+'Model Setup'!$F$7,$B53:$Y53)+'Model Setup'!$F$8*(SUMIF($AD$3:$BA$3,"&lt;"&amp;$DF53,$B53:$Y53)+SUMIF($AD$3:$BA$3,"&gt;="&amp;$DG53,$B53:$Y53)),
IF(AH$3=$DF53+'Model Setup'!$G$7,SUMIF($AD$3:$BA$3,"="&amp;$DF53+'Model Setup'!$G$7,$B53:$Y53)+'Model Setup'!$G$8*(SUMIF($AD$3:$BA$3,"&lt;"&amp;$DF53,$B53:$Y53)+SUMIF($AD$3:$BA$3,"&gt;="&amp;$DG53,$B53:$Y53)),
IF(AH$3=$DF53+'Model Setup'!$H$7,SUMIF($AD$3:$BA$3,"="&amp;$DF53+'Model Setup'!$H$7,$B53:$Y53)+'Model Setup'!$H$8*(SUMIF($AD$3:$BA$3,"&lt;"&amp;$DF53,$B53:$Y53)+SUMIF($AD$3:$BA$3,"&gt;="&amp;$DG53,$B53:$Y53)),
IF(AH$3=$DF53+'Model Setup'!$I$7,SUMIF($AD$3:$BA$3,"="&amp;$DF53+'Model Setup'!$I$7,$B53:$Y53)+'Model Setup'!$I$8*(SUMIF($AD$3:$BA$3,"&lt;"&amp;$DF53,$B53:$Y53)+SUMIF($AD$3:$BA$3,"&gt;="&amp;$DG53,$B53:$Y53)),
IF(AH$3=$DF53+'Model Setup'!$J$7,SUMIF($AD$3:$BA$3,"="&amp;$DF53+'Model Setup'!$J$7,$B53:$Y53)+'Model Setup'!$J$8*(SUMIF($AD$3:$BA$3,"&lt;"&amp;$DF53,$B53:$Y53)+SUMIF($AD$3:$BA$3,"&gt;="&amp;$DG53,$B53:$Y53)),
IF(AH$3=$DF53+'Model Setup'!$K$7,SUMIF($AD$3:$BA$3,"="&amp;$DF53+'Model Setup'!$K$7,$B53:$Y53)+'Model Setup'!$K$8*(SUMIF($AD$3:$BA$3,"&lt;"&amp;$DF53,$B53:$Y53)+SUMIF($AD$3:$BA$3,"&gt;="&amp;$DG53,$B53:$Y53)),
IF(AH$3=$DF53+'Model Setup'!$L$7,SUMIF($AD$3:$BA$3,"="&amp;$DF53+'Model Setup'!$L$7,$B53:$Y53)+'Model Setup'!$L$8*(SUMIF($AD$3:$BA$3,"&lt;"&amp;$DF53,$B53:$Y53)+SUMIF($AD$3:$BA$3,"&gt;="&amp;$DG53,$B53:$Y53)),
IF(AH$3=$DF53+'Model Setup'!$M$7,SUMIF($AD$3:$BA$3,"="&amp;$DF53+'Model Setup'!$M$7,$B53:$Y53)+'Model Setup'!$M$8*(SUMIF($AD$3:$BA$3,"&lt;"&amp;$DF53,$B53:$Y53)+SUMIF($AD$3:$BA$3,"&gt;="&amp;$DG53,$B53:$Y53)),
IF(AH$3=$DF53+'Model Setup'!$N$7,SUMIF($AD$3:$BA$3,"="&amp;$DF53+'Model Setup'!$N$7,$B53:$Y53)+'Model Setup'!$N$8*(SUMIF($AD$3:$BA$3,"&lt;"&amp;$DF53,$B53:$Y53)+SUMIF($AD$3:$BA$3,"&gt;="&amp;$DG53,$B53:$Y53)),
IF(AH$3&lt;$DG53,F53,0))))))))))))))),0)</f>
        <v>0</v>
      </c>
      <c r="AI53" s="47">
        <f>ROUND(IF(AI$3&lt;$DF53,0,
IF(AI$3=$DF53+'Model Setup'!$B$7,SUMIF($AD$3:$BA$3,"="&amp;$DF53+'Model Setup'!$B$7,$B53:$Y53)+'Model Setup'!$B$8*(SUMIF($AD$3:$BA$3,"&lt;"&amp;$DF53,$B53:$Y53)+SUMIF($AD$3:$BA$3,"&gt;="&amp;$DG53,$B53:$Y53)),
IF(AI$3=$DF53+'Model Setup'!$C$7,SUMIF($AD$3:$BA$3,"="&amp;$DF53+'Model Setup'!$C$7,$B53:$Y53)+'Model Setup'!$C$8*(SUMIF($AD$3:$BA$3,"&lt;"&amp;$DF53,$B53:$Y53)+SUMIF($AD$3:$BA$3,"&gt;="&amp;$DG53,$B53:$Y53)),
IF(AI$3=$DF53+'Model Setup'!$D$7,SUMIF($AD$3:$BA$3,"="&amp;$DF53+'Model Setup'!$D$7,$B53:$Y53)+'Model Setup'!$D$8*(SUMIF($AD$3:$BA$3,"&lt;"&amp;$DF53,$B53:$Y53)+SUMIF($AD$3:$BA$3,"&gt;="&amp;$DG53,$B53:$Y53)),
IF(AI$3=$DF53+'Model Setup'!$E$7,SUMIF($AD$3:$BA$3,"="&amp;$DF53+'Model Setup'!$E$7,$B53:$Y53)+'Model Setup'!$E$8*(SUMIF($AD$3:$BA$3,"&lt;"&amp;$DF53,$B53:$Y53)+SUMIF($AD$3:$BA$3,"&gt;="&amp;$DG53,$B53:$Y53)),
IF(AI$3=$DF53+'Model Setup'!$F$7,SUMIF($AD$3:$BA$3,"="&amp;$DF53+'Model Setup'!$F$7,$B53:$Y53)+'Model Setup'!$F$8*(SUMIF($AD$3:$BA$3,"&lt;"&amp;$DF53,$B53:$Y53)+SUMIF($AD$3:$BA$3,"&gt;="&amp;$DG53,$B53:$Y53)),
IF(AI$3=$DF53+'Model Setup'!$G$7,SUMIF($AD$3:$BA$3,"="&amp;$DF53+'Model Setup'!$G$7,$B53:$Y53)+'Model Setup'!$G$8*(SUMIF($AD$3:$BA$3,"&lt;"&amp;$DF53,$B53:$Y53)+SUMIF($AD$3:$BA$3,"&gt;="&amp;$DG53,$B53:$Y53)),
IF(AI$3=$DF53+'Model Setup'!$H$7,SUMIF($AD$3:$BA$3,"="&amp;$DF53+'Model Setup'!$H$7,$B53:$Y53)+'Model Setup'!$H$8*(SUMIF($AD$3:$BA$3,"&lt;"&amp;$DF53,$B53:$Y53)+SUMIF($AD$3:$BA$3,"&gt;="&amp;$DG53,$B53:$Y53)),
IF(AI$3=$DF53+'Model Setup'!$I$7,SUMIF($AD$3:$BA$3,"="&amp;$DF53+'Model Setup'!$I$7,$B53:$Y53)+'Model Setup'!$I$8*(SUMIF($AD$3:$BA$3,"&lt;"&amp;$DF53,$B53:$Y53)+SUMIF($AD$3:$BA$3,"&gt;="&amp;$DG53,$B53:$Y53)),
IF(AI$3=$DF53+'Model Setup'!$J$7,SUMIF($AD$3:$BA$3,"="&amp;$DF53+'Model Setup'!$J$7,$B53:$Y53)+'Model Setup'!$J$8*(SUMIF($AD$3:$BA$3,"&lt;"&amp;$DF53,$B53:$Y53)+SUMIF($AD$3:$BA$3,"&gt;="&amp;$DG53,$B53:$Y53)),
IF(AI$3=$DF53+'Model Setup'!$K$7,SUMIF($AD$3:$BA$3,"="&amp;$DF53+'Model Setup'!$K$7,$B53:$Y53)+'Model Setup'!$K$8*(SUMIF($AD$3:$BA$3,"&lt;"&amp;$DF53,$B53:$Y53)+SUMIF($AD$3:$BA$3,"&gt;="&amp;$DG53,$B53:$Y53)),
IF(AI$3=$DF53+'Model Setup'!$L$7,SUMIF($AD$3:$BA$3,"="&amp;$DF53+'Model Setup'!$L$7,$B53:$Y53)+'Model Setup'!$L$8*(SUMIF($AD$3:$BA$3,"&lt;"&amp;$DF53,$B53:$Y53)+SUMIF($AD$3:$BA$3,"&gt;="&amp;$DG53,$B53:$Y53)),
IF(AI$3=$DF53+'Model Setup'!$M$7,SUMIF($AD$3:$BA$3,"="&amp;$DF53+'Model Setup'!$M$7,$B53:$Y53)+'Model Setup'!$M$8*(SUMIF($AD$3:$BA$3,"&lt;"&amp;$DF53,$B53:$Y53)+SUMIF($AD$3:$BA$3,"&gt;="&amp;$DG53,$B53:$Y53)),
IF(AI$3=$DF53+'Model Setup'!$N$7,SUMIF($AD$3:$BA$3,"="&amp;$DF53+'Model Setup'!$N$7,$B53:$Y53)+'Model Setup'!$N$8*(SUMIF($AD$3:$BA$3,"&lt;"&amp;$DF53,$B53:$Y53)+SUMIF($AD$3:$BA$3,"&gt;="&amp;$DG53,$B53:$Y53)),
IF(AI$3&lt;$DG53,G53,0))))))))))))))),0)</f>
        <v>0</v>
      </c>
      <c r="AJ53" s="47">
        <f>ROUND(IF(AJ$3&lt;$DF53,0,
IF(AJ$3=$DF53+'Model Setup'!$B$7,SUMIF($AD$3:$BA$3,"="&amp;$DF53+'Model Setup'!$B$7,$B53:$Y53)+'Model Setup'!$B$8*(SUMIF($AD$3:$BA$3,"&lt;"&amp;$DF53,$B53:$Y53)+SUMIF($AD$3:$BA$3,"&gt;="&amp;$DG53,$B53:$Y53)),
IF(AJ$3=$DF53+'Model Setup'!$C$7,SUMIF($AD$3:$BA$3,"="&amp;$DF53+'Model Setup'!$C$7,$B53:$Y53)+'Model Setup'!$C$8*(SUMIF($AD$3:$BA$3,"&lt;"&amp;$DF53,$B53:$Y53)+SUMIF($AD$3:$BA$3,"&gt;="&amp;$DG53,$B53:$Y53)),
IF(AJ$3=$DF53+'Model Setup'!$D$7,SUMIF($AD$3:$BA$3,"="&amp;$DF53+'Model Setup'!$D$7,$B53:$Y53)+'Model Setup'!$D$8*(SUMIF($AD$3:$BA$3,"&lt;"&amp;$DF53,$B53:$Y53)+SUMIF($AD$3:$BA$3,"&gt;="&amp;$DG53,$B53:$Y53)),
IF(AJ$3=$DF53+'Model Setup'!$E$7,SUMIF($AD$3:$BA$3,"="&amp;$DF53+'Model Setup'!$E$7,$B53:$Y53)+'Model Setup'!$E$8*(SUMIF($AD$3:$BA$3,"&lt;"&amp;$DF53,$B53:$Y53)+SUMIF($AD$3:$BA$3,"&gt;="&amp;$DG53,$B53:$Y53)),
IF(AJ$3=$DF53+'Model Setup'!$F$7,SUMIF($AD$3:$BA$3,"="&amp;$DF53+'Model Setup'!$F$7,$B53:$Y53)+'Model Setup'!$F$8*(SUMIF($AD$3:$BA$3,"&lt;"&amp;$DF53,$B53:$Y53)+SUMIF($AD$3:$BA$3,"&gt;="&amp;$DG53,$B53:$Y53)),
IF(AJ$3=$DF53+'Model Setup'!$G$7,SUMIF($AD$3:$BA$3,"="&amp;$DF53+'Model Setup'!$G$7,$B53:$Y53)+'Model Setup'!$G$8*(SUMIF($AD$3:$BA$3,"&lt;"&amp;$DF53,$B53:$Y53)+SUMIF($AD$3:$BA$3,"&gt;="&amp;$DG53,$B53:$Y53)),
IF(AJ$3=$DF53+'Model Setup'!$H$7,SUMIF($AD$3:$BA$3,"="&amp;$DF53+'Model Setup'!$H$7,$B53:$Y53)+'Model Setup'!$H$8*(SUMIF($AD$3:$BA$3,"&lt;"&amp;$DF53,$B53:$Y53)+SUMIF($AD$3:$BA$3,"&gt;="&amp;$DG53,$B53:$Y53)),
IF(AJ$3=$DF53+'Model Setup'!$I$7,SUMIF($AD$3:$BA$3,"="&amp;$DF53+'Model Setup'!$I$7,$B53:$Y53)+'Model Setup'!$I$8*(SUMIF($AD$3:$BA$3,"&lt;"&amp;$DF53,$B53:$Y53)+SUMIF($AD$3:$BA$3,"&gt;="&amp;$DG53,$B53:$Y53)),
IF(AJ$3=$DF53+'Model Setup'!$J$7,SUMIF($AD$3:$BA$3,"="&amp;$DF53+'Model Setup'!$J$7,$B53:$Y53)+'Model Setup'!$J$8*(SUMIF($AD$3:$BA$3,"&lt;"&amp;$DF53,$B53:$Y53)+SUMIF($AD$3:$BA$3,"&gt;="&amp;$DG53,$B53:$Y53)),
IF(AJ$3=$DF53+'Model Setup'!$K$7,SUMIF($AD$3:$BA$3,"="&amp;$DF53+'Model Setup'!$K$7,$B53:$Y53)+'Model Setup'!$K$8*(SUMIF($AD$3:$BA$3,"&lt;"&amp;$DF53,$B53:$Y53)+SUMIF($AD$3:$BA$3,"&gt;="&amp;$DG53,$B53:$Y53)),
IF(AJ$3=$DF53+'Model Setup'!$L$7,SUMIF($AD$3:$BA$3,"="&amp;$DF53+'Model Setup'!$L$7,$B53:$Y53)+'Model Setup'!$L$8*(SUMIF($AD$3:$BA$3,"&lt;"&amp;$DF53,$B53:$Y53)+SUMIF($AD$3:$BA$3,"&gt;="&amp;$DG53,$B53:$Y53)),
IF(AJ$3=$DF53+'Model Setup'!$M$7,SUMIF($AD$3:$BA$3,"="&amp;$DF53+'Model Setup'!$M$7,$B53:$Y53)+'Model Setup'!$M$8*(SUMIF($AD$3:$BA$3,"&lt;"&amp;$DF53,$B53:$Y53)+SUMIF($AD$3:$BA$3,"&gt;="&amp;$DG53,$B53:$Y53)),
IF(AJ$3=$DF53+'Model Setup'!$N$7,SUMIF($AD$3:$BA$3,"="&amp;$DF53+'Model Setup'!$N$7,$B53:$Y53)+'Model Setup'!$N$8*(SUMIF($AD$3:$BA$3,"&lt;"&amp;$DF53,$B53:$Y53)+SUMIF($AD$3:$BA$3,"&gt;="&amp;$DG53,$B53:$Y53)),
IF(AJ$3&lt;$DG53,H53,0))))))))))))))),0)</f>
        <v>0</v>
      </c>
      <c r="AK53" s="47">
        <f>ROUND(IF(AK$3&lt;$DF53,0,
IF(AK$3=$DF53+'Model Setup'!$B$7,SUMIF($AD$3:$BA$3,"="&amp;$DF53+'Model Setup'!$B$7,$B53:$Y53)+'Model Setup'!$B$8*(SUMIF($AD$3:$BA$3,"&lt;"&amp;$DF53,$B53:$Y53)+SUMIF($AD$3:$BA$3,"&gt;="&amp;$DG53,$B53:$Y53)),
IF(AK$3=$DF53+'Model Setup'!$C$7,SUMIF($AD$3:$BA$3,"="&amp;$DF53+'Model Setup'!$C$7,$B53:$Y53)+'Model Setup'!$C$8*(SUMIF($AD$3:$BA$3,"&lt;"&amp;$DF53,$B53:$Y53)+SUMIF($AD$3:$BA$3,"&gt;="&amp;$DG53,$B53:$Y53)),
IF(AK$3=$DF53+'Model Setup'!$D$7,SUMIF($AD$3:$BA$3,"="&amp;$DF53+'Model Setup'!$D$7,$B53:$Y53)+'Model Setup'!$D$8*(SUMIF($AD$3:$BA$3,"&lt;"&amp;$DF53,$B53:$Y53)+SUMIF($AD$3:$BA$3,"&gt;="&amp;$DG53,$B53:$Y53)),
IF(AK$3=$DF53+'Model Setup'!$E$7,SUMIF($AD$3:$BA$3,"="&amp;$DF53+'Model Setup'!$E$7,$B53:$Y53)+'Model Setup'!$E$8*(SUMIF($AD$3:$BA$3,"&lt;"&amp;$DF53,$B53:$Y53)+SUMIF($AD$3:$BA$3,"&gt;="&amp;$DG53,$B53:$Y53)),
IF(AK$3=$DF53+'Model Setup'!$F$7,SUMIF($AD$3:$BA$3,"="&amp;$DF53+'Model Setup'!$F$7,$B53:$Y53)+'Model Setup'!$F$8*(SUMIF($AD$3:$BA$3,"&lt;"&amp;$DF53,$B53:$Y53)+SUMIF($AD$3:$BA$3,"&gt;="&amp;$DG53,$B53:$Y53)),
IF(AK$3=$DF53+'Model Setup'!$G$7,SUMIF($AD$3:$BA$3,"="&amp;$DF53+'Model Setup'!$G$7,$B53:$Y53)+'Model Setup'!$G$8*(SUMIF($AD$3:$BA$3,"&lt;"&amp;$DF53,$B53:$Y53)+SUMIF($AD$3:$BA$3,"&gt;="&amp;$DG53,$B53:$Y53)),
IF(AK$3=$DF53+'Model Setup'!$H$7,SUMIF($AD$3:$BA$3,"="&amp;$DF53+'Model Setup'!$H$7,$B53:$Y53)+'Model Setup'!$H$8*(SUMIF($AD$3:$BA$3,"&lt;"&amp;$DF53,$B53:$Y53)+SUMIF($AD$3:$BA$3,"&gt;="&amp;$DG53,$B53:$Y53)),
IF(AK$3=$DF53+'Model Setup'!$I$7,SUMIF($AD$3:$BA$3,"="&amp;$DF53+'Model Setup'!$I$7,$B53:$Y53)+'Model Setup'!$I$8*(SUMIF($AD$3:$BA$3,"&lt;"&amp;$DF53,$B53:$Y53)+SUMIF($AD$3:$BA$3,"&gt;="&amp;$DG53,$B53:$Y53)),
IF(AK$3=$DF53+'Model Setup'!$J$7,SUMIF($AD$3:$BA$3,"="&amp;$DF53+'Model Setup'!$J$7,$B53:$Y53)+'Model Setup'!$J$8*(SUMIF($AD$3:$BA$3,"&lt;"&amp;$DF53,$B53:$Y53)+SUMIF($AD$3:$BA$3,"&gt;="&amp;$DG53,$B53:$Y53)),
IF(AK$3=$DF53+'Model Setup'!$K$7,SUMIF($AD$3:$BA$3,"="&amp;$DF53+'Model Setup'!$K$7,$B53:$Y53)+'Model Setup'!$K$8*(SUMIF($AD$3:$BA$3,"&lt;"&amp;$DF53,$B53:$Y53)+SUMIF($AD$3:$BA$3,"&gt;="&amp;$DG53,$B53:$Y53)),
IF(AK$3=$DF53+'Model Setup'!$L$7,SUMIF($AD$3:$BA$3,"="&amp;$DF53+'Model Setup'!$L$7,$B53:$Y53)+'Model Setup'!$L$8*(SUMIF($AD$3:$BA$3,"&lt;"&amp;$DF53,$B53:$Y53)+SUMIF($AD$3:$BA$3,"&gt;="&amp;$DG53,$B53:$Y53)),
IF(AK$3=$DF53+'Model Setup'!$M$7,SUMIF($AD$3:$BA$3,"="&amp;$DF53+'Model Setup'!$M$7,$B53:$Y53)+'Model Setup'!$M$8*(SUMIF($AD$3:$BA$3,"&lt;"&amp;$DF53,$B53:$Y53)+SUMIF($AD$3:$BA$3,"&gt;="&amp;$DG53,$B53:$Y53)),
IF(AK$3=$DF53+'Model Setup'!$N$7,SUMIF($AD$3:$BA$3,"="&amp;$DF53+'Model Setup'!$N$7,$B53:$Y53)+'Model Setup'!$N$8*(SUMIF($AD$3:$BA$3,"&lt;"&amp;$DF53,$B53:$Y53)+SUMIF($AD$3:$BA$3,"&gt;="&amp;$DG53,$B53:$Y53)),
IF(AK$3&lt;$DG53,I53,0))))))))))))))),0)</f>
        <v>0</v>
      </c>
      <c r="AL53" s="47">
        <f>ROUND(IF(AL$3&lt;$DF53,0,
IF(AL$3=$DF53+'Model Setup'!$B$7,SUMIF($AD$3:$BA$3,"="&amp;$DF53+'Model Setup'!$B$7,$B53:$Y53)+'Model Setup'!$B$8*(SUMIF($AD$3:$BA$3,"&lt;"&amp;$DF53,$B53:$Y53)+SUMIF($AD$3:$BA$3,"&gt;="&amp;$DG53,$B53:$Y53)),
IF(AL$3=$DF53+'Model Setup'!$C$7,SUMIF($AD$3:$BA$3,"="&amp;$DF53+'Model Setup'!$C$7,$B53:$Y53)+'Model Setup'!$C$8*(SUMIF($AD$3:$BA$3,"&lt;"&amp;$DF53,$B53:$Y53)+SUMIF($AD$3:$BA$3,"&gt;="&amp;$DG53,$B53:$Y53)),
IF(AL$3=$DF53+'Model Setup'!$D$7,SUMIF($AD$3:$BA$3,"="&amp;$DF53+'Model Setup'!$D$7,$B53:$Y53)+'Model Setup'!$D$8*(SUMIF($AD$3:$BA$3,"&lt;"&amp;$DF53,$B53:$Y53)+SUMIF($AD$3:$BA$3,"&gt;="&amp;$DG53,$B53:$Y53)),
IF(AL$3=$DF53+'Model Setup'!$E$7,SUMIF($AD$3:$BA$3,"="&amp;$DF53+'Model Setup'!$E$7,$B53:$Y53)+'Model Setup'!$E$8*(SUMIF($AD$3:$BA$3,"&lt;"&amp;$DF53,$B53:$Y53)+SUMIF($AD$3:$BA$3,"&gt;="&amp;$DG53,$B53:$Y53)),
IF(AL$3=$DF53+'Model Setup'!$F$7,SUMIF($AD$3:$BA$3,"="&amp;$DF53+'Model Setup'!$F$7,$B53:$Y53)+'Model Setup'!$F$8*(SUMIF($AD$3:$BA$3,"&lt;"&amp;$DF53,$B53:$Y53)+SUMIF($AD$3:$BA$3,"&gt;="&amp;$DG53,$B53:$Y53)),
IF(AL$3=$DF53+'Model Setup'!$G$7,SUMIF($AD$3:$BA$3,"="&amp;$DF53+'Model Setup'!$G$7,$B53:$Y53)+'Model Setup'!$G$8*(SUMIF($AD$3:$BA$3,"&lt;"&amp;$DF53,$B53:$Y53)+SUMIF($AD$3:$BA$3,"&gt;="&amp;$DG53,$B53:$Y53)),
IF(AL$3=$DF53+'Model Setup'!$H$7,SUMIF($AD$3:$BA$3,"="&amp;$DF53+'Model Setup'!$H$7,$B53:$Y53)+'Model Setup'!$H$8*(SUMIF($AD$3:$BA$3,"&lt;"&amp;$DF53,$B53:$Y53)+SUMIF($AD$3:$BA$3,"&gt;="&amp;$DG53,$B53:$Y53)),
IF(AL$3=$DF53+'Model Setup'!$I$7,SUMIF($AD$3:$BA$3,"="&amp;$DF53+'Model Setup'!$I$7,$B53:$Y53)+'Model Setup'!$I$8*(SUMIF($AD$3:$BA$3,"&lt;"&amp;$DF53,$B53:$Y53)+SUMIF($AD$3:$BA$3,"&gt;="&amp;$DG53,$B53:$Y53)),
IF(AL$3=$DF53+'Model Setup'!$J$7,SUMIF($AD$3:$BA$3,"="&amp;$DF53+'Model Setup'!$J$7,$B53:$Y53)+'Model Setup'!$J$8*(SUMIF($AD$3:$BA$3,"&lt;"&amp;$DF53,$B53:$Y53)+SUMIF($AD$3:$BA$3,"&gt;="&amp;$DG53,$B53:$Y53)),
IF(AL$3=$DF53+'Model Setup'!$K$7,SUMIF($AD$3:$BA$3,"="&amp;$DF53+'Model Setup'!$K$7,$B53:$Y53)+'Model Setup'!$K$8*(SUMIF($AD$3:$BA$3,"&lt;"&amp;$DF53,$B53:$Y53)+SUMIF($AD$3:$BA$3,"&gt;="&amp;$DG53,$B53:$Y53)),
IF(AL$3=$DF53+'Model Setup'!$L$7,SUMIF($AD$3:$BA$3,"="&amp;$DF53+'Model Setup'!$L$7,$B53:$Y53)+'Model Setup'!$L$8*(SUMIF($AD$3:$BA$3,"&lt;"&amp;$DF53,$B53:$Y53)+SUMIF($AD$3:$BA$3,"&gt;="&amp;$DG53,$B53:$Y53)),
IF(AL$3=$DF53+'Model Setup'!$M$7,SUMIF($AD$3:$BA$3,"="&amp;$DF53+'Model Setup'!$M$7,$B53:$Y53)+'Model Setup'!$M$8*(SUMIF($AD$3:$BA$3,"&lt;"&amp;$DF53,$B53:$Y53)+SUMIF($AD$3:$BA$3,"&gt;="&amp;$DG53,$B53:$Y53)),
IF(AL$3=$DF53+'Model Setup'!$N$7,SUMIF($AD$3:$BA$3,"="&amp;$DF53+'Model Setup'!$N$7,$B53:$Y53)+'Model Setup'!$N$8*(SUMIF($AD$3:$BA$3,"&lt;"&amp;$DF53,$B53:$Y53)+SUMIF($AD$3:$BA$3,"&gt;="&amp;$DG53,$B53:$Y53)),
IF(AL$3&lt;$DG53,J53,0))))))))))))))),0)</f>
        <v>82</v>
      </c>
      <c r="AM53" s="47">
        <f>ROUND(IF(AM$3&lt;$DF53,0,
IF(AM$3=$DF53+'Model Setup'!$B$7,SUMIF($AD$3:$BA$3,"="&amp;$DF53+'Model Setup'!$B$7,$B53:$Y53)+'Model Setup'!$B$8*(SUMIF($AD$3:$BA$3,"&lt;"&amp;$DF53,$B53:$Y53)+SUMIF($AD$3:$BA$3,"&gt;="&amp;$DG53,$B53:$Y53)),
IF(AM$3=$DF53+'Model Setup'!$C$7,SUMIF($AD$3:$BA$3,"="&amp;$DF53+'Model Setup'!$C$7,$B53:$Y53)+'Model Setup'!$C$8*(SUMIF($AD$3:$BA$3,"&lt;"&amp;$DF53,$B53:$Y53)+SUMIF($AD$3:$BA$3,"&gt;="&amp;$DG53,$B53:$Y53)),
IF(AM$3=$DF53+'Model Setup'!$D$7,SUMIF($AD$3:$BA$3,"="&amp;$DF53+'Model Setup'!$D$7,$B53:$Y53)+'Model Setup'!$D$8*(SUMIF($AD$3:$BA$3,"&lt;"&amp;$DF53,$B53:$Y53)+SUMIF($AD$3:$BA$3,"&gt;="&amp;$DG53,$B53:$Y53)),
IF(AM$3=$DF53+'Model Setup'!$E$7,SUMIF($AD$3:$BA$3,"="&amp;$DF53+'Model Setup'!$E$7,$B53:$Y53)+'Model Setup'!$E$8*(SUMIF($AD$3:$BA$3,"&lt;"&amp;$DF53,$B53:$Y53)+SUMIF($AD$3:$BA$3,"&gt;="&amp;$DG53,$B53:$Y53)),
IF(AM$3=$DF53+'Model Setup'!$F$7,SUMIF($AD$3:$BA$3,"="&amp;$DF53+'Model Setup'!$F$7,$B53:$Y53)+'Model Setup'!$F$8*(SUMIF($AD$3:$BA$3,"&lt;"&amp;$DF53,$B53:$Y53)+SUMIF($AD$3:$BA$3,"&gt;="&amp;$DG53,$B53:$Y53)),
IF(AM$3=$DF53+'Model Setup'!$G$7,SUMIF($AD$3:$BA$3,"="&amp;$DF53+'Model Setup'!$G$7,$B53:$Y53)+'Model Setup'!$G$8*(SUMIF($AD$3:$BA$3,"&lt;"&amp;$DF53,$B53:$Y53)+SUMIF($AD$3:$BA$3,"&gt;="&amp;$DG53,$B53:$Y53)),
IF(AM$3=$DF53+'Model Setup'!$H$7,SUMIF($AD$3:$BA$3,"="&amp;$DF53+'Model Setup'!$H$7,$B53:$Y53)+'Model Setup'!$H$8*(SUMIF($AD$3:$BA$3,"&lt;"&amp;$DF53,$B53:$Y53)+SUMIF($AD$3:$BA$3,"&gt;="&amp;$DG53,$B53:$Y53)),
IF(AM$3=$DF53+'Model Setup'!$I$7,SUMIF($AD$3:$BA$3,"="&amp;$DF53+'Model Setup'!$I$7,$B53:$Y53)+'Model Setup'!$I$8*(SUMIF($AD$3:$BA$3,"&lt;"&amp;$DF53,$B53:$Y53)+SUMIF($AD$3:$BA$3,"&gt;="&amp;$DG53,$B53:$Y53)),
IF(AM$3=$DF53+'Model Setup'!$J$7,SUMIF($AD$3:$BA$3,"="&amp;$DF53+'Model Setup'!$J$7,$B53:$Y53)+'Model Setup'!$J$8*(SUMIF($AD$3:$BA$3,"&lt;"&amp;$DF53,$B53:$Y53)+SUMIF($AD$3:$BA$3,"&gt;="&amp;$DG53,$B53:$Y53)),
IF(AM$3=$DF53+'Model Setup'!$K$7,SUMIF($AD$3:$BA$3,"="&amp;$DF53+'Model Setup'!$K$7,$B53:$Y53)+'Model Setup'!$K$8*(SUMIF($AD$3:$BA$3,"&lt;"&amp;$DF53,$B53:$Y53)+SUMIF($AD$3:$BA$3,"&gt;="&amp;$DG53,$B53:$Y53)),
IF(AM$3=$DF53+'Model Setup'!$L$7,SUMIF($AD$3:$BA$3,"="&amp;$DF53+'Model Setup'!$L$7,$B53:$Y53)+'Model Setup'!$L$8*(SUMIF($AD$3:$BA$3,"&lt;"&amp;$DF53,$B53:$Y53)+SUMIF($AD$3:$BA$3,"&gt;="&amp;$DG53,$B53:$Y53)),
IF(AM$3=$DF53+'Model Setup'!$M$7,SUMIF($AD$3:$BA$3,"="&amp;$DF53+'Model Setup'!$M$7,$B53:$Y53)+'Model Setup'!$M$8*(SUMIF($AD$3:$BA$3,"&lt;"&amp;$DF53,$B53:$Y53)+SUMIF($AD$3:$BA$3,"&gt;="&amp;$DG53,$B53:$Y53)),
IF(AM$3=$DF53+'Model Setup'!$N$7,SUMIF($AD$3:$BA$3,"="&amp;$DF53+'Model Setup'!$N$7,$B53:$Y53)+'Model Setup'!$N$8*(SUMIF($AD$3:$BA$3,"&lt;"&amp;$DF53,$B53:$Y53)+SUMIF($AD$3:$BA$3,"&gt;="&amp;$DG53,$B53:$Y53)),
IF(AM$3&lt;$DG53,K53,0))))))))))))))),0)</f>
        <v>120</v>
      </c>
      <c r="AN53" s="47">
        <f>ROUND(IF(AN$3&lt;$DF53,0,
IF(AN$3=$DF53+'Model Setup'!$B$7,SUMIF($AD$3:$BA$3,"="&amp;$DF53+'Model Setup'!$B$7,$B53:$Y53)+'Model Setup'!$B$8*(SUMIF($AD$3:$BA$3,"&lt;"&amp;$DF53,$B53:$Y53)+SUMIF($AD$3:$BA$3,"&gt;="&amp;$DG53,$B53:$Y53)),
IF(AN$3=$DF53+'Model Setup'!$C$7,SUMIF($AD$3:$BA$3,"="&amp;$DF53+'Model Setup'!$C$7,$B53:$Y53)+'Model Setup'!$C$8*(SUMIF($AD$3:$BA$3,"&lt;"&amp;$DF53,$B53:$Y53)+SUMIF($AD$3:$BA$3,"&gt;="&amp;$DG53,$B53:$Y53)),
IF(AN$3=$DF53+'Model Setup'!$D$7,SUMIF($AD$3:$BA$3,"="&amp;$DF53+'Model Setup'!$D$7,$B53:$Y53)+'Model Setup'!$D$8*(SUMIF($AD$3:$BA$3,"&lt;"&amp;$DF53,$B53:$Y53)+SUMIF($AD$3:$BA$3,"&gt;="&amp;$DG53,$B53:$Y53)),
IF(AN$3=$DF53+'Model Setup'!$E$7,SUMIF($AD$3:$BA$3,"="&amp;$DF53+'Model Setup'!$E$7,$B53:$Y53)+'Model Setup'!$E$8*(SUMIF($AD$3:$BA$3,"&lt;"&amp;$DF53,$B53:$Y53)+SUMIF($AD$3:$BA$3,"&gt;="&amp;$DG53,$B53:$Y53)),
IF(AN$3=$DF53+'Model Setup'!$F$7,SUMIF($AD$3:$BA$3,"="&amp;$DF53+'Model Setup'!$F$7,$B53:$Y53)+'Model Setup'!$F$8*(SUMIF($AD$3:$BA$3,"&lt;"&amp;$DF53,$B53:$Y53)+SUMIF($AD$3:$BA$3,"&gt;="&amp;$DG53,$B53:$Y53)),
IF(AN$3=$DF53+'Model Setup'!$G$7,SUMIF($AD$3:$BA$3,"="&amp;$DF53+'Model Setup'!$G$7,$B53:$Y53)+'Model Setup'!$G$8*(SUMIF($AD$3:$BA$3,"&lt;"&amp;$DF53,$B53:$Y53)+SUMIF($AD$3:$BA$3,"&gt;="&amp;$DG53,$B53:$Y53)),
IF(AN$3=$DF53+'Model Setup'!$H$7,SUMIF($AD$3:$BA$3,"="&amp;$DF53+'Model Setup'!$H$7,$B53:$Y53)+'Model Setup'!$H$8*(SUMIF($AD$3:$BA$3,"&lt;"&amp;$DF53,$B53:$Y53)+SUMIF($AD$3:$BA$3,"&gt;="&amp;$DG53,$B53:$Y53)),
IF(AN$3=$DF53+'Model Setup'!$I$7,SUMIF($AD$3:$BA$3,"="&amp;$DF53+'Model Setup'!$I$7,$B53:$Y53)+'Model Setup'!$I$8*(SUMIF($AD$3:$BA$3,"&lt;"&amp;$DF53,$B53:$Y53)+SUMIF($AD$3:$BA$3,"&gt;="&amp;$DG53,$B53:$Y53)),
IF(AN$3=$DF53+'Model Setup'!$J$7,SUMIF($AD$3:$BA$3,"="&amp;$DF53+'Model Setup'!$J$7,$B53:$Y53)+'Model Setup'!$J$8*(SUMIF($AD$3:$BA$3,"&lt;"&amp;$DF53,$B53:$Y53)+SUMIF($AD$3:$BA$3,"&gt;="&amp;$DG53,$B53:$Y53)),
IF(AN$3=$DF53+'Model Setup'!$K$7,SUMIF($AD$3:$BA$3,"="&amp;$DF53+'Model Setup'!$K$7,$B53:$Y53)+'Model Setup'!$K$8*(SUMIF($AD$3:$BA$3,"&lt;"&amp;$DF53,$B53:$Y53)+SUMIF($AD$3:$BA$3,"&gt;="&amp;$DG53,$B53:$Y53)),
IF(AN$3=$DF53+'Model Setup'!$L$7,SUMIF($AD$3:$BA$3,"="&amp;$DF53+'Model Setup'!$L$7,$B53:$Y53)+'Model Setup'!$L$8*(SUMIF($AD$3:$BA$3,"&lt;"&amp;$DF53,$B53:$Y53)+SUMIF($AD$3:$BA$3,"&gt;="&amp;$DG53,$B53:$Y53)),
IF(AN$3=$DF53+'Model Setup'!$M$7,SUMIF($AD$3:$BA$3,"="&amp;$DF53+'Model Setup'!$M$7,$B53:$Y53)+'Model Setup'!$M$8*(SUMIF($AD$3:$BA$3,"&lt;"&amp;$DF53,$B53:$Y53)+SUMIF($AD$3:$BA$3,"&gt;="&amp;$DG53,$B53:$Y53)),
IF(AN$3=$DF53+'Model Setup'!$N$7,SUMIF($AD$3:$BA$3,"="&amp;$DF53+'Model Setup'!$N$7,$B53:$Y53)+'Model Setup'!$N$8*(SUMIF($AD$3:$BA$3,"&lt;"&amp;$DF53,$B53:$Y53)+SUMIF($AD$3:$BA$3,"&gt;="&amp;$DG53,$B53:$Y53)),
IF(AN$3&lt;$DG53,L53,0))))))))))))))),0)</f>
        <v>120</v>
      </c>
      <c r="AO53" s="47">
        <f>ROUND(IF(AO$3&lt;$DF53,0,
IF(AO$3=$DF53+'Model Setup'!$B$7,SUMIF($AD$3:$BA$3,"="&amp;$DF53+'Model Setup'!$B$7,$B53:$Y53)+'Model Setup'!$B$8*(SUMIF($AD$3:$BA$3,"&lt;"&amp;$DF53,$B53:$Y53)+SUMIF($AD$3:$BA$3,"&gt;="&amp;$DG53,$B53:$Y53)),
IF(AO$3=$DF53+'Model Setup'!$C$7,SUMIF($AD$3:$BA$3,"="&amp;$DF53+'Model Setup'!$C$7,$B53:$Y53)+'Model Setup'!$C$8*(SUMIF($AD$3:$BA$3,"&lt;"&amp;$DF53,$B53:$Y53)+SUMIF($AD$3:$BA$3,"&gt;="&amp;$DG53,$B53:$Y53)),
IF(AO$3=$DF53+'Model Setup'!$D$7,SUMIF($AD$3:$BA$3,"="&amp;$DF53+'Model Setup'!$D$7,$B53:$Y53)+'Model Setup'!$D$8*(SUMIF($AD$3:$BA$3,"&lt;"&amp;$DF53,$B53:$Y53)+SUMIF($AD$3:$BA$3,"&gt;="&amp;$DG53,$B53:$Y53)),
IF(AO$3=$DF53+'Model Setup'!$E$7,SUMIF($AD$3:$BA$3,"="&amp;$DF53+'Model Setup'!$E$7,$B53:$Y53)+'Model Setup'!$E$8*(SUMIF($AD$3:$BA$3,"&lt;"&amp;$DF53,$B53:$Y53)+SUMIF($AD$3:$BA$3,"&gt;="&amp;$DG53,$B53:$Y53)),
IF(AO$3=$DF53+'Model Setup'!$F$7,SUMIF($AD$3:$BA$3,"="&amp;$DF53+'Model Setup'!$F$7,$B53:$Y53)+'Model Setup'!$F$8*(SUMIF($AD$3:$BA$3,"&lt;"&amp;$DF53,$B53:$Y53)+SUMIF($AD$3:$BA$3,"&gt;="&amp;$DG53,$B53:$Y53)),
IF(AO$3=$DF53+'Model Setup'!$G$7,SUMIF($AD$3:$BA$3,"="&amp;$DF53+'Model Setup'!$G$7,$B53:$Y53)+'Model Setup'!$G$8*(SUMIF($AD$3:$BA$3,"&lt;"&amp;$DF53,$B53:$Y53)+SUMIF($AD$3:$BA$3,"&gt;="&amp;$DG53,$B53:$Y53)),
IF(AO$3=$DF53+'Model Setup'!$H$7,SUMIF($AD$3:$BA$3,"="&amp;$DF53+'Model Setup'!$H$7,$B53:$Y53)+'Model Setup'!$H$8*(SUMIF($AD$3:$BA$3,"&lt;"&amp;$DF53,$B53:$Y53)+SUMIF($AD$3:$BA$3,"&gt;="&amp;$DG53,$B53:$Y53)),
IF(AO$3=$DF53+'Model Setup'!$I$7,SUMIF($AD$3:$BA$3,"="&amp;$DF53+'Model Setup'!$I$7,$B53:$Y53)+'Model Setup'!$I$8*(SUMIF($AD$3:$BA$3,"&lt;"&amp;$DF53,$B53:$Y53)+SUMIF($AD$3:$BA$3,"&gt;="&amp;$DG53,$B53:$Y53)),
IF(AO$3=$DF53+'Model Setup'!$J$7,SUMIF($AD$3:$BA$3,"="&amp;$DF53+'Model Setup'!$J$7,$B53:$Y53)+'Model Setup'!$J$8*(SUMIF($AD$3:$BA$3,"&lt;"&amp;$DF53,$B53:$Y53)+SUMIF($AD$3:$BA$3,"&gt;="&amp;$DG53,$B53:$Y53)),
IF(AO$3=$DF53+'Model Setup'!$K$7,SUMIF($AD$3:$BA$3,"="&amp;$DF53+'Model Setup'!$K$7,$B53:$Y53)+'Model Setup'!$K$8*(SUMIF($AD$3:$BA$3,"&lt;"&amp;$DF53,$B53:$Y53)+SUMIF($AD$3:$BA$3,"&gt;="&amp;$DG53,$B53:$Y53)),
IF(AO$3=$DF53+'Model Setup'!$L$7,SUMIF($AD$3:$BA$3,"="&amp;$DF53+'Model Setup'!$L$7,$B53:$Y53)+'Model Setup'!$L$8*(SUMIF($AD$3:$BA$3,"&lt;"&amp;$DF53,$B53:$Y53)+SUMIF($AD$3:$BA$3,"&gt;="&amp;$DG53,$B53:$Y53)),
IF(AO$3=$DF53+'Model Setup'!$M$7,SUMIF($AD$3:$BA$3,"="&amp;$DF53+'Model Setup'!$M$7,$B53:$Y53)+'Model Setup'!$M$8*(SUMIF($AD$3:$BA$3,"&lt;"&amp;$DF53,$B53:$Y53)+SUMIF($AD$3:$BA$3,"&gt;="&amp;$DG53,$B53:$Y53)),
IF(AO$3=$DF53+'Model Setup'!$N$7,SUMIF($AD$3:$BA$3,"="&amp;$DF53+'Model Setup'!$N$7,$B53:$Y53)+'Model Setup'!$N$8*(SUMIF($AD$3:$BA$3,"&lt;"&amp;$DF53,$B53:$Y53)+SUMIF($AD$3:$BA$3,"&gt;="&amp;$DG53,$B53:$Y53)),
IF(AO$3&lt;$DG53,M53,0))))))))))))))),0)</f>
        <v>102</v>
      </c>
      <c r="AP53" s="47">
        <f>ROUND(IF(AP$3&lt;$DF53,0,
IF(AP$3=$DF53+'Model Setup'!$B$7,SUMIF($AD$3:$BA$3,"="&amp;$DF53+'Model Setup'!$B$7,$B53:$Y53)+'Model Setup'!$B$8*(SUMIF($AD$3:$BA$3,"&lt;"&amp;$DF53,$B53:$Y53)+SUMIF($AD$3:$BA$3,"&gt;="&amp;$DG53,$B53:$Y53)),
IF(AP$3=$DF53+'Model Setup'!$C$7,SUMIF($AD$3:$BA$3,"="&amp;$DF53+'Model Setup'!$C$7,$B53:$Y53)+'Model Setup'!$C$8*(SUMIF($AD$3:$BA$3,"&lt;"&amp;$DF53,$B53:$Y53)+SUMIF($AD$3:$BA$3,"&gt;="&amp;$DG53,$B53:$Y53)),
IF(AP$3=$DF53+'Model Setup'!$D$7,SUMIF($AD$3:$BA$3,"="&amp;$DF53+'Model Setup'!$D$7,$B53:$Y53)+'Model Setup'!$D$8*(SUMIF($AD$3:$BA$3,"&lt;"&amp;$DF53,$B53:$Y53)+SUMIF($AD$3:$BA$3,"&gt;="&amp;$DG53,$B53:$Y53)),
IF(AP$3=$DF53+'Model Setup'!$E$7,SUMIF($AD$3:$BA$3,"="&amp;$DF53+'Model Setup'!$E$7,$B53:$Y53)+'Model Setup'!$E$8*(SUMIF($AD$3:$BA$3,"&lt;"&amp;$DF53,$B53:$Y53)+SUMIF($AD$3:$BA$3,"&gt;="&amp;$DG53,$B53:$Y53)),
IF(AP$3=$DF53+'Model Setup'!$F$7,SUMIF($AD$3:$BA$3,"="&amp;$DF53+'Model Setup'!$F$7,$B53:$Y53)+'Model Setup'!$F$8*(SUMIF($AD$3:$BA$3,"&lt;"&amp;$DF53,$B53:$Y53)+SUMIF($AD$3:$BA$3,"&gt;="&amp;$DG53,$B53:$Y53)),
IF(AP$3=$DF53+'Model Setup'!$G$7,SUMIF($AD$3:$BA$3,"="&amp;$DF53+'Model Setup'!$G$7,$B53:$Y53)+'Model Setup'!$G$8*(SUMIF($AD$3:$BA$3,"&lt;"&amp;$DF53,$B53:$Y53)+SUMIF($AD$3:$BA$3,"&gt;="&amp;$DG53,$B53:$Y53)),
IF(AP$3=$DF53+'Model Setup'!$H$7,SUMIF($AD$3:$BA$3,"="&amp;$DF53+'Model Setup'!$H$7,$B53:$Y53)+'Model Setup'!$H$8*(SUMIF($AD$3:$BA$3,"&lt;"&amp;$DF53,$B53:$Y53)+SUMIF($AD$3:$BA$3,"&gt;="&amp;$DG53,$B53:$Y53)),
IF(AP$3=$DF53+'Model Setup'!$I$7,SUMIF($AD$3:$BA$3,"="&amp;$DF53+'Model Setup'!$I$7,$B53:$Y53)+'Model Setup'!$I$8*(SUMIF($AD$3:$BA$3,"&lt;"&amp;$DF53,$B53:$Y53)+SUMIF($AD$3:$BA$3,"&gt;="&amp;$DG53,$B53:$Y53)),
IF(AP$3=$DF53+'Model Setup'!$J$7,SUMIF($AD$3:$BA$3,"="&amp;$DF53+'Model Setup'!$J$7,$B53:$Y53)+'Model Setup'!$J$8*(SUMIF($AD$3:$BA$3,"&lt;"&amp;$DF53,$B53:$Y53)+SUMIF($AD$3:$BA$3,"&gt;="&amp;$DG53,$B53:$Y53)),
IF(AP$3=$DF53+'Model Setup'!$K$7,SUMIF($AD$3:$BA$3,"="&amp;$DF53+'Model Setup'!$K$7,$B53:$Y53)+'Model Setup'!$K$8*(SUMIF($AD$3:$BA$3,"&lt;"&amp;$DF53,$B53:$Y53)+SUMIF($AD$3:$BA$3,"&gt;="&amp;$DG53,$B53:$Y53)),
IF(AP$3=$DF53+'Model Setup'!$L$7,SUMIF($AD$3:$BA$3,"="&amp;$DF53+'Model Setup'!$L$7,$B53:$Y53)+'Model Setup'!$L$8*(SUMIF($AD$3:$BA$3,"&lt;"&amp;$DF53,$B53:$Y53)+SUMIF($AD$3:$BA$3,"&gt;="&amp;$DG53,$B53:$Y53)),
IF(AP$3=$DF53+'Model Setup'!$M$7,SUMIF($AD$3:$BA$3,"="&amp;$DF53+'Model Setup'!$M$7,$B53:$Y53)+'Model Setup'!$M$8*(SUMIF($AD$3:$BA$3,"&lt;"&amp;$DF53,$B53:$Y53)+SUMIF($AD$3:$BA$3,"&gt;="&amp;$DG53,$B53:$Y53)),
IF(AP$3=$DF53+'Model Setup'!$N$7,SUMIF($AD$3:$BA$3,"="&amp;$DF53+'Model Setup'!$N$7,$B53:$Y53)+'Model Setup'!$N$8*(SUMIF($AD$3:$BA$3,"&lt;"&amp;$DF53,$B53:$Y53)+SUMIF($AD$3:$BA$3,"&gt;="&amp;$DG53,$B53:$Y53)),
IF(AP$3&lt;$DG53,N53,0))))))))))))))),0)</f>
        <v>71</v>
      </c>
      <c r="AQ53" s="47">
        <f>ROUND(IF(AQ$3&lt;$DF53,0,
IF(AQ$3=$DF53+'Model Setup'!$B$7,SUMIF($AD$3:$BA$3,"="&amp;$DF53+'Model Setup'!$B$7,$B53:$Y53)+'Model Setup'!$B$8*(SUMIF($AD$3:$BA$3,"&lt;"&amp;$DF53,$B53:$Y53)+SUMIF($AD$3:$BA$3,"&gt;="&amp;$DG53,$B53:$Y53)),
IF(AQ$3=$DF53+'Model Setup'!$C$7,SUMIF($AD$3:$BA$3,"="&amp;$DF53+'Model Setup'!$C$7,$B53:$Y53)+'Model Setup'!$C$8*(SUMIF($AD$3:$BA$3,"&lt;"&amp;$DF53,$B53:$Y53)+SUMIF($AD$3:$BA$3,"&gt;="&amp;$DG53,$B53:$Y53)),
IF(AQ$3=$DF53+'Model Setup'!$D$7,SUMIF($AD$3:$BA$3,"="&amp;$DF53+'Model Setup'!$D$7,$B53:$Y53)+'Model Setup'!$D$8*(SUMIF($AD$3:$BA$3,"&lt;"&amp;$DF53,$B53:$Y53)+SUMIF($AD$3:$BA$3,"&gt;="&amp;$DG53,$B53:$Y53)),
IF(AQ$3=$DF53+'Model Setup'!$E$7,SUMIF($AD$3:$BA$3,"="&amp;$DF53+'Model Setup'!$E$7,$B53:$Y53)+'Model Setup'!$E$8*(SUMIF($AD$3:$BA$3,"&lt;"&amp;$DF53,$B53:$Y53)+SUMIF($AD$3:$BA$3,"&gt;="&amp;$DG53,$B53:$Y53)),
IF(AQ$3=$DF53+'Model Setup'!$F$7,SUMIF($AD$3:$BA$3,"="&amp;$DF53+'Model Setup'!$F$7,$B53:$Y53)+'Model Setup'!$F$8*(SUMIF($AD$3:$BA$3,"&lt;"&amp;$DF53,$B53:$Y53)+SUMIF($AD$3:$BA$3,"&gt;="&amp;$DG53,$B53:$Y53)),
IF(AQ$3=$DF53+'Model Setup'!$G$7,SUMIF($AD$3:$BA$3,"="&amp;$DF53+'Model Setup'!$G$7,$B53:$Y53)+'Model Setup'!$G$8*(SUMIF($AD$3:$BA$3,"&lt;"&amp;$DF53,$B53:$Y53)+SUMIF($AD$3:$BA$3,"&gt;="&amp;$DG53,$B53:$Y53)),
IF(AQ$3=$DF53+'Model Setup'!$H$7,SUMIF($AD$3:$BA$3,"="&amp;$DF53+'Model Setup'!$H$7,$B53:$Y53)+'Model Setup'!$H$8*(SUMIF($AD$3:$BA$3,"&lt;"&amp;$DF53,$B53:$Y53)+SUMIF($AD$3:$BA$3,"&gt;="&amp;$DG53,$B53:$Y53)),
IF(AQ$3=$DF53+'Model Setup'!$I$7,SUMIF($AD$3:$BA$3,"="&amp;$DF53+'Model Setup'!$I$7,$B53:$Y53)+'Model Setup'!$I$8*(SUMIF($AD$3:$BA$3,"&lt;"&amp;$DF53,$B53:$Y53)+SUMIF($AD$3:$BA$3,"&gt;="&amp;$DG53,$B53:$Y53)),
IF(AQ$3=$DF53+'Model Setup'!$J$7,SUMIF($AD$3:$BA$3,"="&amp;$DF53+'Model Setup'!$J$7,$B53:$Y53)+'Model Setup'!$J$8*(SUMIF($AD$3:$BA$3,"&lt;"&amp;$DF53,$B53:$Y53)+SUMIF($AD$3:$BA$3,"&gt;="&amp;$DG53,$B53:$Y53)),
IF(AQ$3=$DF53+'Model Setup'!$K$7,SUMIF($AD$3:$BA$3,"="&amp;$DF53+'Model Setup'!$K$7,$B53:$Y53)+'Model Setup'!$K$8*(SUMIF($AD$3:$BA$3,"&lt;"&amp;$DF53,$B53:$Y53)+SUMIF($AD$3:$BA$3,"&gt;="&amp;$DG53,$B53:$Y53)),
IF(AQ$3=$DF53+'Model Setup'!$L$7,SUMIF($AD$3:$BA$3,"="&amp;$DF53+'Model Setup'!$L$7,$B53:$Y53)+'Model Setup'!$L$8*(SUMIF($AD$3:$BA$3,"&lt;"&amp;$DF53,$B53:$Y53)+SUMIF($AD$3:$BA$3,"&gt;="&amp;$DG53,$B53:$Y53)),
IF(AQ$3=$DF53+'Model Setup'!$M$7,SUMIF($AD$3:$BA$3,"="&amp;$DF53+'Model Setup'!$M$7,$B53:$Y53)+'Model Setup'!$M$8*(SUMIF($AD$3:$BA$3,"&lt;"&amp;$DF53,$B53:$Y53)+SUMIF($AD$3:$BA$3,"&gt;="&amp;$DG53,$B53:$Y53)),
IF(AQ$3=$DF53+'Model Setup'!$N$7,SUMIF($AD$3:$BA$3,"="&amp;$DF53+'Model Setup'!$N$7,$B53:$Y53)+'Model Setup'!$N$8*(SUMIF($AD$3:$BA$3,"&lt;"&amp;$DF53,$B53:$Y53)+SUMIF($AD$3:$BA$3,"&gt;="&amp;$DG53,$B53:$Y53)),
IF(AQ$3&lt;$DG53,O53,0))))))))))))))),0)</f>
        <v>64</v>
      </c>
      <c r="AR53" s="47">
        <f>ROUND(IF(AR$3&lt;$DF53,0,
IF(AR$3=$DF53+'Model Setup'!$B$7,SUMIF($AD$3:$BA$3,"="&amp;$DF53+'Model Setup'!$B$7,$B53:$Y53)+'Model Setup'!$B$8*(SUMIF($AD$3:$BA$3,"&lt;"&amp;$DF53,$B53:$Y53)+SUMIF($AD$3:$BA$3,"&gt;="&amp;$DG53,$B53:$Y53)),
IF(AR$3=$DF53+'Model Setup'!$C$7,SUMIF($AD$3:$BA$3,"="&amp;$DF53+'Model Setup'!$C$7,$B53:$Y53)+'Model Setup'!$C$8*(SUMIF($AD$3:$BA$3,"&lt;"&amp;$DF53,$B53:$Y53)+SUMIF($AD$3:$BA$3,"&gt;="&amp;$DG53,$B53:$Y53)),
IF(AR$3=$DF53+'Model Setup'!$D$7,SUMIF($AD$3:$BA$3,"="&amp;$DF53+'Model Setup'!$D$7,$B53:$Y53)+'Model Setup'!$D$8*(SUMIF($AD$3:$BA$3,"&lt;"&amp;$DF53,$B53:$Y53)+SUMIF($AD$3:$BA$3,"&gt;="&amp;$DG53,$B53:$Y53)),
IF(AR$3=$DF53+'Model Setup'!$E$7,SUMIF($AD$3:$BA$3,"="&amp;$DF53+'Model Setup'!$E$7,$B53:$Y53)+'Model Setup'!$E$8*(SUMIF($AD$3:$BA$3,"&lt;"&amp;$DF53,$B53:$Y53)+SUMIF($AD$3:$BA$3,"&gt;="&amp;$DG53,$B53:$Y53)),
IF(AR$3=$DF53+'Model Setup'!$F$7,SUMIF($AD$3:$BA$3,"="&amp;$DF53+'Model Setup'!$F$7,$B53:$Y53)+'Model Setup'!$F$8*(SUMIF($AD$3:$BA$3,"&lt;"&amp;$DF53,$B53:$Y53)+SUMIF($AD$3:$BA$3,"&gt;="&amp;$DG53,$B53:$Y53)),
IF(AR$3=$DF53+'Model Setup'!$G$7,SUMIF($AD$3:$BA$3,"="&amp;$DF53+'Model Setup'!$G$7,$B53:$Y53)+'Model Setup'!$G$8*(SUMIF($AD$3:$BA$3,"&lt;"&amp;$DF53,$B53:$Y53)+SUMIF($AD$3:$BA$3,"&gt;="&amp;$DG53,$B53:$Y53)),
IF(AR$3=$DF53+'Model Setup'!$H$7,SUMIF($AD$3:$BA$3,"="&amp;$DF53+'Model Setup'!$H$7,$B53:$Y53)+'Model Setup'!$H$8*(SUMIF($AD$3:$BA$3,"&lt;"&amp;$DF53,$B53:$Y53)+SUMIF($AD$3:$BA$3,"&gt;="&amp;$DG53,$B53:$Y53)),
IF(AR$3=$DF53+'Model Setup'!$I$7,SUMIF($AD$3:$BA$3,"="&amp;$DF53+'Model Setup'!$I$7,$B53:$Y53)+'Model Setup'!$I$8*(SUMIF($AD$3:$BA$3,"&lt;"&amp;$DF53,$B53:$Y53)+SUMIF($AD$3:$BA$3,"&gt;="&amp;$DG53,$B53:$Y53)),
IF(AR$3=$DF53+'Model Setup'!$J$7,SUMIF($AD$3:$BA$3,"="&amp;$DF53+'Model Setup'!$J$7,$B53:$Y53)+'Model Setup'!$J$8*(SUMIF($AD$3:$BA$3,"&lt;"&amp;$DF53,$B53:$Y53)+SUMIF($AD$3:$BA$3,"&gt;="&amp;$DG53,$B53:$Y53)),
IF(AR$3=$DF53+'Model Setup'!$K$7,SUMIF($AD$3:$BA$3,"="&amp;$DF53+'Model Setup'!$K$7,$B53:$Y53)+'Model Setup'!$K$8*(SUMIF($AD$3:$BA$3,"&lt;"&amp;$DF53,$B53:$Y53)+SUMIF($AD$3:$BA$3,"&gt;="&amp;$DG53,$B53:$Y53)),
IF(AR$3=$DF53+'Model Setup'!$L$7,SUMIF($AD$3:$BA$3,"="&amp;$DF53+'Model Setup'!$L$7,$B53:$Y53)+'Model Setup'!$L$8*(SUMIF($AD$3:$BA$3,"&lt;"&amp;$DF53,$B53:$Y53)+SUMIF($AD$3:$BA$3,"&gt;="&amp;$DG53,$B53:$Y53)),
IF(AR$3=$DF53+'Model Setup'!$M$7,SUMIF($AD$3:$BA$3,"="&amp;$DF53+'Model Setup'!$M$7,$B53:$Y53)+'Model Setup'!$M$8*(SUMIF($AD$3:$BA$3,"&lt;"&amp;$DF53,$B53:$Y53)+SUMIF($AD$3:$BA$3,"&gt;="&amp;$DG53,$B53:$Y53)),
IF(AR$3=$DF53+'Model Setup'!$N$7,SUMIF($AD$3:$BA$3,"="&amp;$DF53+'Model Setup'!$N$7,$B53:$Y53)+'Model Setup'!$N$8*(SUMIF($AD$3:$BA$3,"&lt;"&amp;$DF53,$B53:$Y53)+SUMIF($AD$3:$BA$3,"&gt;="&amp;$DG53,$B53:$Y53)),
IF(AR$3&lt;$DG53,P53,0))))))))))))))),0)</f>
        <v>42</v>
      </c>
      <c r="AS53" s="47">
        <f>ROUND(IF(AS$3&lt;$DF53,0,
IF(AS$3=$DF53+'Model Setup'!$B$7,SUMIF($AD$3:$BA$3,"="&amp;$DF53+'Model Setup'!$B$7,$B53:$Y53)+'Model Setup'!$B$8*(SUMIF($AD$3:$BA$3,"&lt;"&amp;$DF53,$B53:$Y53)+SUMIF($AD$3:$BA$3,"&gt;="&amp;$DG53,$B53:$Y53)),
IF(AS$3=$DF53+'Model Setup'!$C$7,SUMIF($AD$3:$BA$3,"="&amp;$DF53+'Model Setup'!$C$7,$B53:$Y53)+'Model Setup'!$C$8*(SUMIF($AD$3:$BA$3,"&lt;"&amp;$DF53,$B53:$Y53)+SUMIF($AD$3:$BA$3,"&gt;="&amp;$DG53,$B53:$Y53)),
IF(AS$3=$DF53+'Model Setup'!$D$7,SUMIF($AD$3:$BA$3,"="&amp;$DF53+'Model Setup'!$D$7,$B53:$Y53)+'Model Setup'!$D$8*(SUMIF($AD$3:$BA$3,"&lt;"&amp;$DF53,$B53:$Y53)+SUMIF($AD$3:$BA$3,"&gt;="&amp;$DG53,$B53:$Y53)),
IF(AS$3=$DF53+'Model Setup'!$E$7,SUMIF($AD$3:$BA$3,"="&amp;$DF53+'Model Setup'!$E$7,$B53:$Y53)+'Model Setup'!$E$8*(SUMIF($AD$3:$BA$3,"&lt;"&amp;$DF53,$B53:$Y53)+SUMIF($AD$3:$BA$3,"&gt;="&amp;$DG53,$B53:$Y53)),
IF(AS$3=$DF53+'Model Setup'!$F$7,SUMIF($AD$3:$BA$3,"="&amp;$DF53+'Model Setup'!$F$7,$B53:$Y53)+'Model Setup'!$F$8*(SUMIF($AD$3:$BA$3,"&lt;"&amp;$DF53,$B53:$Y53)+SUMIF($AD$3:$BA$3,"&gt;="&amp;$DG53,$B53:$Y53)),
IF(AS$3=$DF53+'Model Setup'!$G$7,SUMIF($AD$3:$BA$3,"="&amp;$DF53+'Model Setup'!$G$7,$B53:$Y53)+'Model Setup'!$G$8*(SUMIF($AD$3:$BA$3,"&lt;"&amp;$DF53,$B53:$Y53)+SUMIF($AD$3:$BA$3,"&gt;="&amp;$DG53,$B53:$Y53)),
IF(AS$3=$DF53+'Model Setup'!$H$7,SUMIF($AD$3:$BA$3,"="&amp;$DF53+'Model Setup'!$H$7,$B53:$Y53)+'Model Setup'!$H$8*(SUMIF($AD$3:$BA$3,"&lt;"&amp;$DF53,$B53:$Y53)+SUMIF($AD$3:$BA$3,"&gt;="&amp;$DG53,$B53:$Y53)),
IF(AS$3=$DF53+'Model Setup'!$I$7,SUMIF($AD$3:$BA$3,"="&amp;$DF53+'Model Setup'!$I$7,$B53:$Y53)+'Model Setup'!$I$8*(SUMIF($AD$3:$BA$3,"&lt;"&amp;$DF53,$B53:$Y53)+SUMIF($AD$3:$BA$3,"&gt;="&amp;$DG53,$B53:$Y53)),
IF(AS$3=$DF53+'Model Setup'!$J$7,SUMIF($AD$3:$BA$3,"="&amp;$DF53+'Model Setup'!$J$7,$B53:$Y53)+'Model Setup'!$J$8*(SUMIF($AD$3:$BA$3,"&lt;"&amp;$DF53,$B53:$Y53)+SUMIF($AD$3:$BA$3,"&gt;="&amp;$DG53,$B53:$Y53)),
IF(AS$3=$DF53+'Model Setup'!$K$7,SUMIF($AD$3:$BA$3,"="&amp;$DF53+'Model Setup'!$K$7,$B53:$Y53)+'Model Setup'!$K$8*(SUMIF($AD$3:$BA$3,"&lt;"&amp;$DF53,$B53:$Y53)+SUMIF($AD$3:$BA$3,"&gt;="&amp;$DG53,$B53:$Y53)),
IF(AS$3=$DF53+'Model Setup'!$L$7,SUMIF($AD$3:$BA$3,"="&amp;$DF53+'Model Setup'!$L$7,$B53:$Y53)+'Model Setup'!$L$8*(SUMIF($AD$3:$BA$3,"&lt;"&amp;$DF53,$B53:$Y53)+SUMIF($AD$3:$BA$3,"&gt;="&amp;$DG53,$B53:$Y53)),
IF(AS$3=$DF53+'Model Setup'!$M$7,SUMIF($AD$3:$BA$3,"="&amp;$DF53+'Model Setup'!$M$7,$B53:$Y53)+'Model Setup'!$M$8*(SUMIF($AD$3:$BA$3,"&lt;"&amp;$DF53,$B53:$Y53)+SUMIF($AD$3:$BA$3,"&gt;="&amp;$DG53,$B53:$Y53)),
IF(AS$3=$DF53+'Model Setup'!$N$7,SUMIF($AD$3:$BA$3,"="&amp;$DF53+'Model Setup'!$N$7,$B53:$Y53)+'Model Setup'!$N$8*(SUMIF($AD$3:$BA$3,"&lt;"&amp;$DF53,$B53:$Y53)+SUMIF($AD$3:$BA$3,"&gt;="&amp;$DG53,$B53:$Y53)),
IF(AS$3&lt;$DG53,Q53,0))))))))))))))),0)</f>
        <v>51</v>
      </c>
      <c r="AT53" s="47">
        <f>ROUND(IF(AT$3&lt;$DF53,0,
IF(AT$3=$DF53+'Model Setup'!$B$7,SUMIF($AD$3:$BA$3,"="&amp;$DF53+'Model Setup'!$B$7,$B53:$Y53)+'Model Setup'!$B$8*(SUMIF($AD$3:$BA$3,"&lt;"&amp;$DF53,$B53:$Y53)+SUMIF($AD$3:$BA$3,"&gt;="&amp;$DG53,$B53:$Y53)),
IF(AT$3=$DF53+'Model Setup'!$C$7,SUMIF($AD$3:$BA$3,"="&amp;$DF53+'Model Setup'!$C$7,$B53:$Y53)+'Model Setup'!$C$8*(SUMIF($AD$3:$BA$3,"&lt;"&amp;$DF53,$B53:$Y53)+SUMIF($AD$3:$BA$3,"&gt;="&amp;$DG53,$B53:$Y53)),
IF(AT$3=$DF53+'Model Setup'!$D$7,SUMIF($AD$3:$BA$3,"="&amp;$DF53+'Model Setup'!$D$7,$B53:$Y53)+'Model Setup'!$D$8*(SUMIF($AD$3:$BA$3,"&lt;"&amp;$DF53,$B53:$Y53)+SUMIF($AD$3:$BA$3,"&gt;="&amp;$DG53,$B53:$Y53)),
IF(AT$3=$DF53+'Model Setup'!$E$7,SUMIF($AD$3:$BA$3,"="&amp;$DF53+'Model Setup'!$E$7,$B53:$Y53)+'Model Setup'!$E$8*(SUMIF($AD$3:$BA$3,"&lt;"&amp;$DF53,$B53:$Y53)+SUMIF($AD$3:$BA$3,"&gt;="&amp;$DG53,$B53:$Y53)),
IF(AT$3=$DF53+'Model Setup'!$F$7,SUMIF($AD$3:$BA$3,"="&amp;$DF53+'Model Setup'!$F$7,$B53:$Y53)+'Model Setup'!$F$8*(SUMIF($AD$3:$BA$3,"&lt;"&amp;$DF53,$B53:$Y53)+SUMIF($AD$3:$BA$3,"&gt;="&amp;$DG53,$B53:$Y53)),
IF(AT$3=$DF53+'Model Setup'!$G$7,SUMIF($AD$3:$BA$3,"="&amp;$DF53+'Model Setup'!$G$7,$B53:$Y53)+'Model Setup'!$G$8*(SUMIF($AD$3:$BA$3,"&lt;"&amp;$DF53,$B53:$Y53)+SUMIF($AD$3:$BA$3,"&gt;="&amp;$DG53,$B53:$Y53)),
IF(AT$3=$DF53+'Model Setup'!$H$7,SUMIF($AD$3:$BA$3,"="&amp;$DF53+'Model Setup'!$H$7,$B53:$Y53)+'Model Setup'!$H$8*(SUMIF($AD$3:$BA$3,"&lt;"&amp;$DF53,$B53:$Y53)+SUMIF($AD$3:$BA$3,"&gt;="&amp;$DG53,$B53:$Y53)),
IF(AT$3=$DF53+'Model Setup'!$I$7,SUMIF($AD$3:$BA$3,"="&amp;$DF53+'Model Setup'!$I$7,$B53:$Y53)+'Model Setup'!$I$8*(SUMIF($AD$3:$BA$3,"&lt;"&amp;$DF53,$B53:$Y53)+SUMIF($AD$3:$BA$3,"&gt;="&amp;$DG53,$B53:$Y53)),
IF(AT$3=$DF53+'Model Setup'!$J$7,SUMIF($AD$3:$BA$3,"="&amp;$DF53+'Model Setup'!$J$7,$B53:$Y53)+'Model Setup'!$J$8*(SUMIF($AD$3:$BA$3,"&lt;"&amp;$DF53,$B53:$Y53)+SUMIF($AD$3:$BA$3,"&gt;="&amp;$DG53,$B53:$Y53)),
IF(AT$3=$DF53+'Model Setup'!$K$7,SUMIF($AD$3:$BA$3,"="&amp;$DF53+'Model Setup'!$K$7,$B53:$Y53)+'Model Setup'!$K$8*(SUMIF($AD$3:$BA$3,"&lt;"&amp;$DF53,$B53:$Y53)+SUMIF($AD$3:$BA$3,"&gt;="&amp;$DG53,$B53:$Y53)),
IF(AT$3=$DF53+'Model Setup'!$L$7,SUMIF($AD$3:$BA$3,"="&amp;$DF53+'Model Setup'!$L$7,$B53:$Y53)+'Model Setup'!$L$8*(SUMIF($AD$3:$BA$3,"&lt;"&amp;$DF53,$B53:$Y53)+SUMIF($AD$3:$BA$3,"&gt;="&amp;$DG53,$B53:$Y53)),
IF(AT$3=$DF53+'Model Setup'!$M$7,SUMIF($AD$3:$BA$3,"="&amp;$DF53+'Model Setup'!$M$7,$B53:$Y53)+'Model Setup'!$M$8*(SUMIF($AD$3:$BA$3,"&lt;"&amp;$DF53,$B53:$Y53)+SUMIF($AD$3:$BA$3,"&gt;="&amp;$DG53,$B53:$Y53)),
IF(AT$3=$DF53+'Model Setup'!$N$7,SUMIF($AD$3:$BA$3,"="&amp;$DF53+'Model Setup'!$N$7,$B53:$Y53)+'Model Setup'!$N$8*(SUMIF($AD$3:$BA$3,"&lt;"&amp;$DF53,$B53:$Y53)+SUMIF($AD$3:$BA$3,"&gt;="&amp;$DG53,$B53:$Y53)),
IF(AT$3&lt;$DG53,R53,0))))))))))))))),0)</f>
        <v>33</v>
      </c>
      <c r="AU53" s="47">
        <f>ROUND(IF(AU$3&lt;$DF53,0,
IF(AU$3=$DF53+'Model Setup'!$B$7,SUMIF($AD$3:$BA$3,"="&amp;$DF53+'Model Setup'!$B$7,$B53:$Y53)+'Model Setup'!$B$8*(SUMIF($AD$3:$BA$3,"&lt;"&amp;$DF53,$B53:$Y53)+SUMIF($AD$3:$BA$3,"&gt;="&amp;$DG53,$B53:$Y53)),
IF(AU$3=$DF53+'Model Setup'!$C$7,SUMIF($AD$3:$BA$3,"="&amp;$DF53+'Model Setup'!$C$7,$B53:$Y53)+'Model Setup'!$C$8*(SUMIF($AD$3:$BA$3,"&lt;"&amp;$DF53,$B53:$Y53)+SUMIF($AD$3:$BA$3,"&gt;="&amp;$DG53,$B53:$Y53)),
IF(AU$3=$DF53+'Model Setup'!$D$7,SUMIF($AD$3:$BA$3,"="&amp;$DF53+'Model Setup'!$D$7,$B53:$Y53)+'Model Setup'!$D$8*(SUMIF($AD$3:$BA$3,"&lt;"&amp;$DF53,$B53:$Y53)+SUMIF($AD$3:$BA$3,"&gt;="&amp;$DG53,$B53:$Y53)),
IF(AU$3=$DF53+'Model Setup'!$E$7,SUMIF($AD$3:$BA$3,"="&amp;$DF53+'Model Setup'!$E$7,$B53:$Y53)+'Model Setup'!$E$8*(SUMIF($AD$3:$BA$3,"&lt;"&amp;$DF53,$B53:$Y53)+SUMIF($AD$3:$BA$3,"&gt;="&amp;$DG53,$B53:$Y53)),
IF(AU$3=$DF53+'Model Setup'!$F$7,SUMIF($AD$3:$BA$3,"="&amp;$DF53+'Model Setup'!$F$7,$B53:$Y53)+'Model Setup'!$F$8*(SUMIF($AD$3:$BA$3,"&lt;"&amp;$DF53,$B53:$Y53)+SUMIF($AD$3:$BA$3,"&gt;="&amp;$DG53,$B53:$Y53)),
IF(AU$3=$DF53+'Model Setup'!$G$7,SUMIF($AD$3:$BA$3,"="&amp;$DF53+'Model Setup'!$G$7,$B53:$Y53)+'Model Setup'!$G$8*(SUMIF($AD$3:$BA$3,"&lt;"&amp;$DF53,$B53:$Y53)+SUMIF($AD$3:$BA$3,"&gt;="&amp;$DG53,$B53:$Y53)),
IF(AU$3=$DF53+'Model Setup'!$H$7,SUMIF($AD$3:$BA$3,"="&amp;$DF53+'Model Setup'!$H$7,$B53:$Y53)+'Model Setup'!$H$8*(SUMIF($AD$3:$BA$3,"&lt;"&amp;$DF53,$B53:$Y53)+SUMIF($AD$3:$BA$3,"&gt;="&amp;$DG53,$B53:$Y53)),
IF(AU$3=$DF53+'Model Setup'!$I$7,SUMIF($AD$3:$BA$3,"="&amp;$DF53+'Model Setup'!$I$7,$B53:$Y53)+'Model Setup'!$I$8*(SUMIF($AD$3:$BA$3,"&lt;"&amp;$DF53,$B53:$Y53)+SUMIF($AD$3:$BA$3,"&gt;="&amp;$DG53,$B53:$Y53)),
IF(AU$3=$DF53+'Model Setup'!$J$7,SUMIF($AD$3:$BA$3,"="&amp;$DF53+'Model Setup'!$J$7,$B53:$Y53)+'Model Setup'!$J$8*(SUMIF($AD$3:$BA$3,"&lt;"&amp;$DF53,$B53:$Y53)+SUMIF($AD$3:$BA$3,"&gt;="&amp;$DG53,$B53:$Y53)),
IF(AU$3=$DF53+'Model Setup'!$K$7,SUMIF($AD$3:$BA$3,"="&amp;$DF53+'Model Setup'!$K$7,$B53:$Y53)+'Model Setup'!$K$8*(SUMIF($AD$3:$BA$3,"&lt;"&amp;$DF53,$B53:$Y53)+SUMIF($AD$3:$BA$3,"&gt;="&amp;$DG53,$B53:$Y53)),
IF(AU$3=$DF53+'Model Setup'!$L$7,SUMIF($AD$3:$BA$3,"="&amp;$DF53+'Model Setup'!$L$7,$B53:$Y53)+'Model Setup'!$L$8*(SUMIF($AD$3:$BA$3,"&lt;"&amp;$DF53,$B53:$Y53)+SUMIF($AD$3:$BA$3,"&gt;="&amp;$DG53,$B53:$Y53)),
IF(AU$3=$DF53+'Model Setup'!$M$7,SUMIF($AD$3:$BA$3,"="&amp;$DF53+'Model Setup'!$M$7,$B53:$Y53)+'Model Setup'!$M$8*(SUMIF($AD$3:$BA$3,"&lt;"&amp;$DF53,$B53:$Y53)+SUMIF($AD$3:$BA$3,"&gt;="&amp;$DG53,$B53:$Y53)),
IF(AU$3=$DF53+'Model Setup'!$N$7,SUMIF($AD$3:$BA$3,"="&amp;$DF53+'Model Setup'!$N$7,$B53:$Y53)+'Model Setup'!$N$8*(SUMIF($AD$3:$BA$3,"&lt;"&amp;$DF53,$B53:$Y53)+SUMIF($AD$3:$BA$3,"&gt;="&amp;$DG53,$B53:$Y53)),
IF(AU$3&lt;$DG53,S53,0))))))))))))))),0)</f>
        <v>27</v>
      </c>
      <c r="AV53" s="47">
        <f>ROUND(IF(AV$3&lt;$DF53,0,
IF(AV$3=$DF53+'Model Setup'!$B$7,SUMIF($AD$3:$BA$3,"="&amp;$DF53+'Model Setup'!$B$7,$B53:$Y53)+'Model Setup'!$B$8*(SUMIF($AD$3:$BA$3,"&lt;"&amp;$DF53,$B53:$Y53)+SUMIF($AD$3:$BA$3,"&gt;="&amp;$DG53,$B53:$Y53)),
IF(AV$3=$DF53+'Model Setup'!$C$7,SUMIF($AD$3:$BA$3,"="&amp;$DF53+'Model Setup'!$C$7,$B53:$Y53)+'Model Setup'!$C$8*(SUMIF($AD$3:$BA$3,"&lt;"&amp;$DF53,$B53:$Y53)+SUMIF($AD$3:$BA$3,"&gt;="&amp;$DG53,$B53:$Y53)),
IF(AV$3=$DF53+'Model Setup'!$D$7,SUMIF($AD$3:$BA$3,"="&amp;$DF53+'Model Setup'!$D$7,$B53:$Y53)+'Model Setup'!$D$8*(SUMIF($AD$3:$BA$3,"&lt;"&amp;$DF53,$B53:$Y53)+SUMIF($AD$3:$BA$3,"&gt;="&amp;$DG53,$B53:$Y53)),
IF(AV$3=$DF53+'Model Setup'!$E$7,SUMIF($AD$3:$BA$3,"="&amp;$DF53+'Model Setup'!$E$7,$B53:$Y53)+'Model Setup'!$E$8*(SUMIF($AD$3:$BA$3,"&lt;"&amp;$DF53,$B53:$Y53)+SUMIF($AD$3:$BA$3,"&gt;="&amp;$DG53,$B53:$Y53)),
IF(AV$3=$DF53+'Model Setup'!$F$7,SUMIF($AD$3:$BA$3,"="&amp;$DF53+'Model Setup'!$F$7,$B53:$Y53)+'Model Setup'!$F$8*(SUMIF($AD$3:$BA$3,"&lt;"&amp;$DF53,$B53:$Y53)+SUMIF($AD$3:$BA$3,"&gt;="&amp;$DG53,$B53:$Y53)),
IF(AV$3=$DF53+'Model Setup'!$G$7,SUMIF($AD$3:$BA$3,"="&amp;$DF53+'Model Setup'!$G$7,$B53:$Y53)+'Model Setup'!$G$8*(SUMIF($AD$3:$BA$3,"&lt;"&amp;$DF53,$B53:$Y53)+SUMIF($AD$3:$BA$3,"&gt;="&amp;$DG53,$B53:$Y53)),
IF(AV$3=$DF53+'Model Setup'!$H$7,SUMIF($AD$3:$BA$3,"="&amp;$DF53+'Model Setup'!$H$7,$B53:$Y53)+'Model Setup'!$H$8*(SUMIF($AD$3:$BA$3,"&lt;"&amp;$DF53,$B53:$Y53)+SUMIF($AD$3:$BA$3,"&gt;="&amp;$DG53,$B53:$Y53)),
IF(AV$3=$DF53+'Model Setup'!$I$7,SUMIF($AD$3:$BA$3,"="&amp;$DF53+'Model Setup'!$I$7,$B53:$Y53)+'Model Setup'!$I$8*(SUMIF($AD$3:$BA$3,"&lt;"&amp;$DF53,$B53:$Y53)+SUMIF($AD$3:$BA$3,"&gt;="&amp;$DG53,$B53:$Y53)),
IF(AV$3=$DF53+'Model Setup'!$J$7,SUMIF($AD$3:$BA$3,"="&amp;$DF53+'Model Setup'!$J$7,$B53:$Y53)+'Model Setup'!$J$8*(SUMIF($AD$3:$BA$3,"&lt;"&amp;$DF53,$B53:$Y53)+SUMIF($AD$3:$BA$3,"&gt;="&amp;$DG53,$B53:$Y53)),
IF(AV$3=$DF53+'Model Setup'!$K$7,SUMIF($AD$3:$BA$3,"="&amp;$DF53+'Model Setup'!$K$7,$B53:$Y53)+'Model Setup'!$K$8*(SUMIF($AD$3:$BA$3,"&lt;"&amp;$DF53,$B53:$Y53)+SUMIF($AD$3:$BA$3,"&gt;="&amp;$DG53,$B53:$Y53)),
IF(AV$3=$DF53+'Model Setup'!$L$7,SUMIF($AD$3:$BA$3,"="&amp;$DF53+'Model Setup'!$L$7,$B53:$Y53)+'Model Setup'!$L$8*(SUMIF($AD$3:$BA$3,"&lt;"&amp;$DF53,$B53:$Y53)+SUMIF($AD$3:$BA$3,"&gt;="&amp;$DG53,$B53:$Y53)),
IF(AV$3=$DF53+'Model Setup'!$M$7,SUMIF($AD$3:$BA$3,"="&amp;$DF53+'Model Setup'!$M$7,$B53:$Y53)+'Model Setup'!$M$8*(SUMIF($AD$3:$BA$3,"&lt;"&amp;$DF53,$B53:$Y53)+SUMIF($AD$3:$BA$3,"&gt;="&amp;$DG53,$B53:$Y53)),
IF(AV$3=$DF53+'Model Setup'!$N$7,SUMIF($AD$3:$BA$3,"="&amp;$DF53+'Model Setup'!$N$7,$B53:$Y53)+'Model Setup'!$N$8*(SUMIF($AD$3:$BA$3,"&lt;"&amp;$DF53,$B53:$Y53)+SUMIF($AD$3:$BA$3,"&gt;="&amp;$DG53,$B53:$Y53)),
IF(AV$3&lt;$DG53,T53,0))))))))))))))),0)</f>
        <v>75</v>
      </c>
      <c r="AW53" s="47">
        <f>ROUND(IF(AW$3&lt;$DF53,0,
IF(AW$3=$DF53+'Model Setup'!$B$7,SUMIF($AD$3:$BA$3,"="&amp;$DF53+'Model Setup'!$B$7,$B53:$Y53)+'Model Setup'!$B$8*(SUMIF($AD$3:$BA$3,"&lt;"&amp;$DF53,$B53:$Y53)+SUMIF($AD$3:$BA$3,"&gt;="&amp;$DG53,$B53:$Y53)),
IF(AW$3=$DF53+'Model Setup'!$C$7,SUMIF($AD$3:$BA$3,"="&amp;$DF53+'Model Setup'!$C$7,$B53:$Y53)+'Model Setup'!$C$8*(SUMIF($AD$3:$BA$3,"&lt;"&amp;$DF53,$B53:$Y53)+SUMIF($AD$3:$BA$3,"&gt;="&amp;$DG53,$B53:$Y53)),
IF(AW$3=$DF53+'Model Setup'!$D$7,SUMIF($AD$3:$BA$3,"="&amp;$DF53+'Model Setup'!$D$7,$B53:$Y53)+'Model Setup'!$D$8*(SUMIF($AD$3:$BA$3,"&lt;"&amp;$DF53,$B53:$Y53)+SUMIF($AD$3:$BA$3,"&gt;="&amp;$DG53,$B53:$Y53)),
IF(AW$3=$DF53+'Model Setup'!$E$7,SUMIF($AD$3:$BA$3,"="&amp;$DF53+'Model Setup'!$E$7,$B53:$Y53)+'Model Setup'!$E$8*(SUMIF($AD$3:$BA$3,"&lt;"&amp;$DF53,$B53:$Y53)+SUMIF($AD$3:$BA$3,"&gt;="&amp;$DG53,$B53:$Y53)),
IF(AW$3=$DF53+'Model Setup'!$F$7,SUMIF($AD$3:$BA$3,"="&amp;$DF53+'Model Setup'!$F$7,$B53:$Y53)+'Model Setup'!$F$8*(SUMIF($AD$3:$BA$3,"&lt;"&amp;$DF53,$B53:$Y53)+SUMIF($AD$3:$BA$3,"&gt;="&amp;$DG53,$B53:$Y53)),
IF(AW$3=$DF53+'Model Setup'!$G$7,SUMIF($AD$3:$BA$3,"="&amp;$DF53+'Model Setup'!$G$7,$B53:$Y53)+'Model Setup'!$G$8*(SUMIF($AD$3:$BA$3,"&lt;"&amp;$DF53,$B53:$Y53)+SUMIF($AD$3:$BA$3,"&gt;="&amp;$DG53,$B53:$Y53)),
IF(AW$3=$DF53+'Model Setup'!$H$7,SUMIF($AD$3:$BA$3,"="&amp;$DF53+'Model Setup'!$H$7,$B53:$Y53)+'Model Setup'!$H$8*(SUMIF($AD$3:$BA$3,"&lt;"&amp;$DF53,$B53:$Y53)+SUMIF($AD$3:$BA$3,"&gt;="&amp;$DG53,$B53:$Y53)),
IF(AW$3=$DF53+'Model Setup'!$I$7,SUMIF($AD$3:$BA$3,"="&amp;$DF53+'Model Setup'!$I$7,$B53:$Y53)+'Model Setup'!$I$8*(SUMIF($AD$3:$BA$3,"&lt;"&amp;$DF53,$B53:$Y53)+SUMIF($AD$3:$BA$3,"&gt;="&amp;$DG53,$B53:$Y53)),
IF(AW$3=$DF53+'Model Setup'!$J$7,SUMIF($AD$3:$BA$3,"="&amp;$DF53+'Model Setup'!$J$7,$B53:$Y53)+'Model Setup'!$J$8*(SUMIF($AD$3:$BA$3,"&lt;"&amp;$DF53,$B53:$Y53)+SUMIF($AD$3:$BA$3,"&gt;="&amp;$DG53,$B53:$Y53)),
IF(AW$3=$DF53+'Model Setup'!$K$7,SUMIF($AD$3:$BA$3,"="&amp;$DF53+'Model Setup'!$K$7,$B53:$Y53)+'Model Setup'!$K$8*(SUMIF($AD$3:$BA$3,"&lt;"&amp;$DF53,$B53:$Y53)+SUMIF($AD$3:$BA$3,"&gt;="&amp;$DG53,$B53:$Y53)),
IF(AW$3=$DF53+'Model Setup'!$L$7,SUMIF($AD$3:$BA$3,"="&amp;$DF53+'Model Setup'!$L$7,$B53:$Y53)+'Model Setup'!$L$8*(SUMIF($AD$3:$BA$3,"&lt;"&amp;$DF53,$B53:$Y53)+SUMIF($AD$3:$BA$3,"&gt;="&amp;$DG53,$B53:$Y53)),
IF(AW$3=$DF53+'Model Setup'!$M$7,SUMIF($AD$3:$BA$3,"="&amp;$DF53+'Model Setup'!$M$7,$B53:$Y53)+'Model Setup'!$M$8*(SUMIF($AD$3:$BA$3,"&lt;"&amp;$DF53,$B53:$Y53)+SUMIF($AD$3:$BA$3,"&gt;="&amp;$DG53,$B53:$Y53)),
IF(AW$3=$DF53+'Model Setup'!$N$7,SUMIF($AD$3:$BA$3,"="&amp;$DF53+'Model Setup'!$N$7,$B53:$Y53)+'Model Setup'!$N$8*(SUMIF($AD$3:$BA$3,"&lt;"&amp;$DF53,$B53:$Y53)+SUMIF($AD$3:$BA$3,"&gt;="&amp;$DG53,$B53:$Y53)),
IF(AW$3&lt;$DG53,U53,0))))))))))))))),0)</f>
        <v>87</v>
      </c>
      <c r="AX53" s="47">
        <f>ROUND(IF(AX$3&lt;$DF53,0,
IF(AX$3=$DF53+'Model Setup'!$B$7,SUMIF($AD$3:$BA$3,"="&amp;$DF53+'Model Setup'!$B$7,$B53:$Y53)+'Model Setup'!$B$8*(SUMIF($AD$3:$BA$3,"&lt;"&amp;$DF53,$B53:$Y53)+SUMIF($AD$3:$BA$3,"&gt;="&amp;$DG53,$B53:$Y53)),
IF(AX$3=$DF53+'Model Setup'!$C$7,SUMIF($AD$3:$BA$3,"="&amp;$DF53+'Model Setup'!$C$7,$B53:$Y53)+'Model Setup'!$C$8*(SUMIF($AD$3:$BA$3,"&lt;"&amp;$DF53,$B53:$Y53)+SUMIF($AD$3:$BA$3,"&gt;="&amp;$DG53,$B53:$Y53)),
IF(AX$3=$DF53+'Model Setup'!$D$7,SUMIF($AD$3:$BA$3,"="&amp;$DF53+'Model Setup'!$D$7,$B53:$Y53)+'Model Setup'!$D$8*(SUMIF($AD$3:$BA$3,"&lt;"&amp;$DF53,$B53:$Y53)+SUMIF($AD$3:$BA$3,"&gt;="&amp;$DG53,$B53:$Y53)),
IF(AX$3=$DF53+'Model Setup'!$E$7,SUMIF($AD$3:$BA$3,"="&amp;$DF53+'Model Setup'!$E$7,$B53:$Y53)+'Model Setup'!$E$8*(SUMIF($AD$3:$BA$3,"&lt;"&amp;$DF53,$B53:$Y53)+SUMIF($AD$3:$BA$3,"&gt;="&amp;$DG53,$B53:$Y53)),
IF(AX$3=$DF53+'Model Setup'!$F$7,SUMIF($AD$3:$BA$3,"="&amp;$DF53+'Model Setup'!$F$7,$B53:$Y53)+'Model Setup'!$F$8*(SUMIF($AD$3:$BA$3,"&lt;"&amp;$DF53,$B53:$Y53)+SUMIF($AD$3:$BA$3,"&gt;="&amp;$DG53,$B53:$Y53)),
IF(AX$3=$DF53+'Model Setup'!$G$7,SUMIF($AD$3:$BA$3,"="&amp;$DF53+'Model Setup'!$G$7,$B53:$Y53)+'Model Setup'!$G$8*(SUMIF($AD$3:$BA$3,"&lt;"&amp;$DF53,$B53:$Y53)+SUMIF($AD$3:$BA$3,"&gt;="&amp;$DG53,$B53:$Y53)),
IF(AX$3=$DF53+'Model Setup'!$H$7,SUMIF($AD$3:$BA$3,"="&amp;$DF53+'Model Setup'!$H$7,$B53:$Y53)+'Model Setup'!$H$8*(SUMIF($AD$3:$BA$3,"&lt;"&amp;$DF53,$B53:$Y53)+SUMIF($AD$3:$BA$3,"&gt;="&amp;$DG53,$B53:$Y53)),
IF(AX$3=$DF53+'Model Setup'!$I$7,SUMIF($AD$3:$BA$3,"="&amp;$DF53+'Model Setup'!$I$7,$B53:$Y53)+'Model Setup'!$I$8*(SUMIF($AD$3:$BA$3,"&lt;"&amp;$DF53,$B53:$Y53)+SUMIF($AD$3:$BA$3,"&gt;="&amp;$DG53,$B53:$Y53)),
IF(AX$3=$DF53+'Model Setup'!$J$7,SUMIF($AD$3:$BA$3,"="&amp;$DF53+'Model Setup'!$J$7,$B53:$Y53)+'Model Setup'!$J$8*(SUMIF($AD$3:$BA$3,"&lt;"&amp;$DF53,$B53:$Y53)+SUMIF($AD$3:$BA$3,"&gt;="&amp;$DG53,$B53:$Y53)),
IF(AX$3=$DF53+'Model Setup'!$K$7,SUMIF($AD$3:$BA$3,"="&amp;$DF53+'Model Setup'!$K$7,$B53:$Y53)+'Model Setup'!$K$8*(SUMIF($AD$3:$BA$3,"&lt;"&amp;$DF53,$B53:$Y53)+SUMIF($AD$3:$BA$3,"&gt;="&amp;$DG53,$B53:$Y53)),
IF(AX$3=$DF53+'Model Setup'!$L$7,SUMIF($AD$3:$BA$3,"="&amp;$DF53+'Model Setup'!$L$7,$B53:$Y53)+'Model Setup'!$L$8*(SUMIF($AD$3:$BA$3,"&lt;"&amp;$DF53,$B53:$Y53)+SUMIF($AD$3:$BA$3,"&gt;="&amp;$DG53,$B53:$Y53)),
IF(AX$3=$DF53+'Model Setup'!$M$7,SUMIF($AD$3:$BA$3,"="&amp;$DF53+'Model Setup'!$M$7,$B53:$Y53)+'Model Setup'!$M$8*(SUMIF($AD$3:$BA$3,"&lt;"&amp;$DF53,$B53:$Y53)+SUMIF($AD$3:$BA$3,"&gt;="&amp;$DG53,$B53:$Y53)),
IF(AX$3=$DF53+'Model Setup'!$N$7,SUMIF($AD$3:$BA$3,"="&amp;$DF53+'Model Setup'!$N$7,$B53:$Y53)+'Model Setup'!$N$8*(SUMIF($AD$3:$BA$3,"&lt;"&amp;$DF53,$B53:$Y53)+SUMIF($AD$3:$BA$3,"&gt;="&amp;$DG53,$B53:$Y53)),
IF(AX$3&lt;$DG53,V53,0))))))))))))))),0)</f>
        <v>65</v>
      </c>
      <c r="AY53" s="47">
        <f>ROUND(IF(AY$3&lt;$DF53,0,
IF(AY$3=$DF53+'Model Setup'!$B$7,SUMIF($AD$3:$BA$3,"="&amp;$DF53+'Model Setup'!$B$7,$B53:$Y53)+'Model Setup'!$B$8*(SUMIF($AD$3:$BA$3,"&lt;"&amp;$DF53,$B53:$Y53)+SUMIF($AD$3:$BA$3,"&gt;="&amp;$DG53,$B53:$Y53)),
IF(AY$3=$DF53+'Model Setup'!$C$7,SUMIF($AD$3:$BA$3,"="&amp;$DF53+'Model Setup'!$C$7,$B53:$Y53)+'Model Setup'!$C$8*(SUMIF($AD$3:$BA$3,"&lt;"&amp;$DF53,$B53:$Y53)+SUMIF($AD$3:$BA$3,"&gt;="&amp;$DG53,$B53:$Y53)),
IF(AY$3=$DF53+'Model Setup'!$D$7,SUMIF($AD$3:$BA$3,"="&amp;$DF53+'Model Setup'!$D$7,$B53:$Y53)+'Model Setup'!$D$8*(SUMIF($AD$3:$BA$3,"&lt;"&amp;$DF53,$B53:$Y53)+SUMIF($AD$3:$BA$3,"&gt;="&amp;$DG53,$B53:$Y53)),
IF(AY$3=$DF53+'Model Setup'!$E$7,SUMIF($AD$3:$BA$3,"="&amp;$DF53+'Model Setup'!$E$7,$B53:$Y53)+'Model Setup'!$E$8*(SUMIF($AD$3:$BA$3,"&lt;"&amp;$DF53,$B53:$Y53)+SUMIF($AD$3:$BA$3,"&gt;="&amp;$DG53,$B53:$Y53)),
IF(AY$3=$DF53+'Model Setup'!$F$7,SUMIF($AD$3:$BA$3,"="&amp;$DF53+'Model Setup'!$F$7,$B53:$Y53)+'Model Setup'!$F$8*(SUMIF($AD$3:$BA$3,"&lt;"&amp;$DF53,$B53:$Y53)+SUMIF($AD$3:$BA$3,"&gt;="&amp;$DG53,$B53:$Y53)),
IF(AY$3=$DF53+'Model Setup'!$G$7,SUMIF($AD$3:$BA$3,"="&amp;$DF53+'Model Setup'!$G$7,$B53:$Y53)+'Model Setup'!$G$8*(SUMIF($AD$3:$BA$3,"&lt;"&amp;$DF53,$B53:$Y53)+SUMIF($AD$3:$BA$3,"&gt;="&amp;$DG53,$B53:$Y53)),
IF(AY$3=$DF53+'Model Setup'!$H$7,SUMIF($AD$3:$BA$3,"="&amp;$DF53+'Model Setup'!$H$7,$B53:$Y53)+'Model Setup'!$H$8*(SUMIF($AD$3:$BA$3,"&lt;"&amp;$DF53,$B53:$Y53)+SUMIF($AD$3:$BA$3,"&gt;="&amp;$DG53,$B53:$Y53)),
IF(AY$3=$DF53+'Model Setup'!$I$7,SUMIF($AD$3:$BA$3,"="&amp;$DF53+'Model Setup'!$I$7,$B53:$Y53)+'Model Setup'!$I$8*(SUMIF($AD$3:$BA$3,"&lt;"&amp;$DF53,$B53:$Y53)+SUMIF($AD$3:$BA$3,"&gt;="&amp;$DG53,$B53:$Y53)),
IF(AY$3=$DF53+'Model Setup'!$J$7,SUMIF($AD$3:$BA$3,"="&amp;$DF53+'Model Setup'!$J$7,$B53:$Y53)+'Model Setup'!$J$8*(SUMIF($AD$3:$BA$3,"&lt;"&amp;$DF53,$B53:$Y53)+SUMIF($AD$3:$BA$3,"&gt;="&amp;$DG53,$B53:$Y53)),
IF(AY$3=$DF53+'Model Setup'!$K$7,SUMIF($AD$3:$BA$3,"="&amp;$DF53+'Model Setup'!$K$7,$B53:$Y53)+'Model Setup'!$K$8*(SUMIF($AD$3:$BA$3,"&lt;"&amp;$DF53,$B53:$Y53)+SUMIF($AD$3:$BA$3,"&gt;="&amp;$DG53,$B53:$Y53)),
IF(AY$3=$DF53+'Model Setup'!$L$7,SUMIF($AD$3:$BA$3,"="&amp;$DF53+'Model Setup'!$L$7,$B53:$Y53)+'Model Setup'!$L$8*(SUMIF($AD$3:$BA$3,"&lt;"&amp;$DF53,$B53:$Y53)+SUMIF($AD$3:$BA$3,"&gt;="&amp;$DG53,$B53:$Y53)),
IF(AY$3=$DF53+'Model Setup'!$M$7,SUMIF($AD$3:$BA$3,"="&amp;$DF53+'Model Setup'!$M$7,$B53:$Y53)+'Model Setup'!$M$8*(SUMIF($AD$3:$BA$3,"&lt;"&amp;$DF53,$B53:$Y53)+SUMIF($AD$3:$BA$3,"&gt;="&amp;$DG53,$B53:$Y53)),
IF(AY$3=$DF53+'Model Setup'!$N$7,SUMIF($AD$3:$BA$3,"="&amp;$DF53+'Model Setup'!$N$7,$B53:$Y53)+'Model Setup'!$N$8*(SUMIF($AD$3:$BA$3,"&lt;"&amp;$DF53,$B53:$Y53)+SUMIF($AD$3:$BA$3,"&gt;="&amp;$DG53,$B53:$Y53)),
IF(AY$3&lt;$DG53,W53,0))))))))))))))),0)</f>
        <v>0</v>
      </c>
      <c r="AZ53" s="47">
        <f>ROUND(IF(AZ$3&lt;$DF53,0,
IF(AZ$3=$DF53+'Model Setup'!$B$7,SUMIF($AD$3:$BA$3,"="&amp;$DF53+'Model Setup'!$B$7,$B53:$Y53)+'Model Setup'!$B$8*(SUMIF($AD$3:$BA$3,"&lt;"&amp;$DF53,$B53:$Y53)+SUMIF($AD$3:$BA$3,"&gt;="&amp;$DG53,$B53:$Y53)),
IF(AZ$3=$DF53+'Model Setup'!$C$7,SUMIF($AD$3:$BA$3,"="&amp;$DF53+'Model Setup'!$C$7,$B53:$Y53)+'Model Setup'!$C$8*(SUMIF($AD$3:$BA$3,"&lt;"&amp;$DF53,$B53:$Y53)+SUMIF($AD$3:$BA$3,"&gt;="&amp;$DG53,$B53:$Y53)),
IF(AZ$3=$DF53+'Model Setup'!$D$7,SUMIF($AD$3:$BA$3,"="&amp;$DF53+'Model Setup'!$D$7,$B53:$Y53)+'Model Setup'!$D$8*(SUMIF($AD$3:$BA$3,"&lt;"&amp;$DF53,$B53:$Y53)+SUMIF($AD$3:$BA$3,"&gt;="&amp;$DG53,$B53:$Y53)),
IF(AZ$3=$DF53+'Model Setup'!$E$7,SUMIF($AD$3:$BA$3,"="&amp;$DF53+'Model Setup'!$E$7,$B53:$Y53)+'Model Setup'!$E$8*(SUMIF($AD$3:$BA$3,"&lt;"&amp;$DF53,$B53:$Y53)+SUMIF($AD$3:$BA$3,"&gt;="&amp;$DG53,$B53:$Y53)),
IF(AZ$3=$DF53+'Model Setup'!$F$7,SUMIF($AD$3:$BA$3,"="&amp;$DF53+'Model Setup'!$F$7,$B53:$Y53)+'Model Setup'!$F$8*(SUMIF($AD$3:$BA$3,"&lt;"&amp;$DF53,$B53:$Y53)+SUMIF($AD$3:$BA$3,"&gt;="&amp;$DG53,$B53:$Y53)),
IF(AZ$3=$DF53+'Model Setup'!$G$7,SUMIF($AD$3:$BA$3,"="&amp;$DF53+'Model Setup'!$G$7,$B53:$Y53)+'Model Setup'!$G$8*(SUMIF($AD$3:$BA$3,"&lt;"&amp;$DF53,$B53:$Y53)+SUMIF($AD$3:$BA$3,"&gt;="&amp;$DG53,$B53:$Y53)),
IF(AZ$3=$DF53+'Model Setup'!$H$7,SUMIF($AD$3:$BA$3,"="&amp;$DF53+'Model Setup'!$H$7,$B53:$Y53)+'Model Setup'!$H$8*(SUMIF($AD$3:$BA$3,"&lt;"&amp;$DF53,$B53:$Y53)+SUMIF($AD$3:$BA$3,"&gt;="&amp;$DG53,$B53:$Y53)),
IF(AZ$3=$DF53+'Model Setup'!$I$7,SUMIF($AD$3:$BA$3,"="&amp;$DF53+'Model Setup'!$I$7,$B53:$Y53)+'Model Setup'!$I$8*(SUMIF($AD$3:$BA$3,"&lt;"&amp;$DF53,$B53:$Y53)+SUMIF($AD$3:$BA$3,"&gt;="&amp;$DG53,$B53:$Y53)),
IF(AZ$3=$DF53+'Model Setup'!$J$7,SUMIF($AD$3:$BA$3,"="&amp;$DF53+'Model Setup'!$J$7,$B53:$Y53)+'Model Setup'!$J$8*(SUMIF($AD$3:$BA$3,"&lt;"&amp;$DF53,$B53:$Y53)+SUMIF($AD$3:$BA$3,"&gt;="&amp;$DG53,$B53:$Y53)),
IF(AZ$3=$DF53+'Model Setup'!$K$7,SUMIF($AD$3:$BA$3,"="&amp;$DF53+'Model Setup'!$K$7,$B53:$Y53)+'Model Setup'!$K$8*(SUMIF($AD$3:$BA$3,"&lt;"&amp;$DF53,$B53:$Y53)+SUMIF($AD$3:$BA$3,"&gt;="&amp;$DG53,$B53:$Y53)),
IF(AZ$3=$DF53+'Model Setup'!$L$7,SUMIF($AD$3:$BA$3,"="&amp;$DF53+'Model Setup'!$L$7,$B53:$Y53)+'Model Setup'!$L$8*(SUMIF($AD$3:$BA$3,"&lt;"&amp;$DF53,$B53:$Y53)+SUMIF($AD$3:$BA$3,"&gt;="&amp;$DG53,$B53:$Y53)),
IF(AZ$3=$DF53+'Model Setup'!$M$7,SUMIF($AD$3:$BA$3,"="&amp;$DF53+'Model Setup'!$M$7,$B53:$Y53)+'Model Setup'!$M$8*(SUMIF($AD$3:$BA$3,"&lt;"&amp;$DF53,$B53:$Y53)+SUMIF($AD$3:$BA$3,"&gt;="&amp;$DG53,$B53:$Y53)),
IF(AZ$3=$DF53+'Model Setup'!$N$7,SUMIF($AD$3:$BA$3,"="&amp;$DF53+'Model Setup'!$N$7,$B53:$Y53)+'Model Setup'!$N$8*(SUMIF($AD$3:$BA$3,"&lt;"&amp;$DF53,$B53:$Y53)+SUMIF($AD$3:$BA$3,"&gt;="&amp;$DG53,$B53:$Y53)),
IF(AZ$3&lt;$DG53,X53,0))))))))))))))),0)</f>
        <v>0</v>
      </c>
      <c r="BA53" s="47">
        <f>ROUND(IF(BA$3&lt;$DF53,0,
IF(BA$3=$DF53+'Model Setup'!$B$7,SUMIF($AD$3:$BA$3,"="&amp;$DF53+'Model Setup'!$B$7,$B53:$Y53)+'Model Setup'!$B$8*(SUMIF($AD$3:$BA$3,"&lt;"&amp;$DF53,$B53:$Y53)+SUMIF($AD$3:$BA$3,"&gt;="&amp;$DG53,$B53:$Y53)),
IF(BA$3=$DF53+'Model Setup'!$C$7,SUMIF($AD$3:$BA$3,"="&amp;$DF53+'Model Setup'!$C$7,$B53:$Y53)+'Model Setup'!$C$8*(SUMIF($AD$3:$BA$3,"&lt;"&amp;$DF53,$B53:$Y53)+SUMIF($AD$3:$BA$3,"&gt;="&amp;$DG53,$B53:$Y53)),
IF(BA$3=$DF53+'Model Setup'!$D$7,SUMIF($AD$3:$BA$3,"="&amp;$DF53+'Model Setup'!$D$7,$B53:$Y53)+'Model Setup'!$D$8*(SUMIF($AD$3:$BA$3,"&lt;"&amp;$DF53,$B53:$Y53)+SUMIF($AD$3:$BA$3,"&gt;="&amp;$DG53,$B53:$Y53)),
IF(BA$3=$DF53+'Model Setup'!$E$7,SUMIF($AD$3:$BA$3,"="&amp;$DF53+'Model Setup'!$E$7,$B53:$Y53)+'Model Setup'!$E$8*(SUMIF($AD$3:$BA$3,"&lt;"&amp;$DF53,$B53:$Y53)+SUMIF($AD$3:$BA$3,"&gt;="&amp;$DG53,$B53:$Y53)),
IF(BA$3=$DF53+'Model Setup'!$F$7,SUMIF($AD$3:$BA$3,"="&amp;$DF53+'Model Setup'!$F$7,$B53:$Y53)+'Model Setup'!$F$8*(SUMIF($AD$3:$BA$3,"&lt;"&amp;$DF53,$B53:$Y53)+SUMIF($AD$3:$BA$3,"&gt;="&amp;$DG53,$B53:$Y53)),
IF(BA$3=$DF53+'Model Setup'!$G$7,SUMIF($AD$3:$BA$3,"="&amp;$DF53+'Model Setup'!$G$7,$B53:$Y53)+'Model Setup'!$G$8*(SUMIF($AD$3:$BA$3,"&lt;"&amp;$DF53,$B53:$Y53)+SUMIF($AD$3:$BA$3,"&gt;="&amp;$DG53,$B53:$Y53)),
IF(BA$3=$DF53+'Model Setup'!$H$7,SUMIF($AD$3:$BA$3,"="&amp;$DF53+'Model Setup'!$H$7,$B53:$Y53)+'Model Setup'!$H$8*(SUMIF($AD$3:$BA$3,"&lt;"&amp;$DF53,$B53:$Y53)+SUMIF($AD$3:$BA$3,"&gt;="&amp;$DG53,$B53:$Y53)),
IF(BA$3=$DF53+'Model Setup'!$I$7,SUMIF($AD$3:$BA$3,"="&amp;$DF53+'Model Setup'!$I$7,$B53:$Y53)+'Model Setup'!$I$8*(SUMIF($AD$3:$BA$3,"&lt;"&amp;$DF53,$B53:$Y53)+SUMIF($AD$3:$BA$3,"&gt;="&amp;$DG53,$B53:$Y53)),
IF(BA$3=$DF53+'Model Setup'!$J$7,SUMIF($AD$3:$BA$3,"="&amp;$DF53+'Model Setup'!$J$7,$B53:$Y53)+'Model Setup'!$J$8*(SUMIF($AD$3:$BA$3,"&lt;"&amp;$DF53,$B53:$Y53)+SUMIF($AD$3:$BA$3,"&gt;="&amp;$DG53,$B53:$Y53)),
IF(BA$3=$DF53+'Model Setup'!$K$7,SUMIF($AD$3:$BA$3,"="&amp;$DF53+'Model Setup'!$K$7,$B53:$Y53)+'Model Setup'!$K$8*(SUMIF($AD$3:$BA$3,"&lt;"&amp;$DF53,$B53:$Y53)+SUMIF($AD$3:$BA$3,"&gt;="&amp;$DG53,$B53:$Y53)),
IF(BA$3=$DF53+'Model Setup'!$L$7,SUMIF($AD$3:$BA$3,"="&amp;$DF53+'Model Setup'!$L$7,$B53:$Y53)+'Model Setup'!$L$8*(SUMIF($AD$3:$BA$3,"&lt;"&amp;$DF53,$B53:$Y53)+SUMIF($AD$3:$BA$3,"&gt;="&amp;$DG53,$B53:$Y53)),
IF(BA$3=$DF53+'Model Setup'!$M$7,SUMIF($AD$3:$BA$3,"="&amp;$DF53+'Model Setup'!$M$7,$B53:$Y53)+'Model Setup'!$M$8*(SUMIF($AD$3:$BA$3,"&lt;"&amp;$DF53,$B53:$Y53)+SUMIF($AD$3:$BA$3,"&gt;="&amp;$DG53,$B53:$Y53)),
IF(BA$3=$DF53+'Model Setup'!$N$7,SUMIF($AD$3:$BA$3,"="&amp;$DF53+'Model Setup'!$N$7,$B53:$Y53)+'Model Setup'!$N$8*(SUMIF($AD$3:$BA$3,"&lt;"&amp;$DF53,$B53:$Y53)+SUMIF($AD$3:$BA$3,"&gt;="&amp;$DG53,$B53:$Y53)),
IF(BA$3&lt;$DG53,Y53,0))))))))))))))),0)</f>
        <v>0</v>
      </c>
      <c r="BB53" s="47">
        <f t="shared" si="1"/>
        <v>939</v>
      </c>
      <c r="BD53" t="b">
        <f t="shared" si="2"/>
        <v>1</v>
      </c>
      <c r="BE53">
        <f t="shared" si="8"/>
        <v>0</v>
      </c>
      <c r="BF53">
        <f>(FTC!F51-FTC!E51)*24</f>
        <v>13.000000000000002</v>
      </c>
      <c r="BG53" s="43" t="s">
        <v>68</v>
      </c>
      <c r="BH53" s="47">
        <f>ROUND(IF(OR(BH$3&lt;$DF53,BH$3&gt;$CW$4),0,
IF(BH$3=$DF53+'Model Setup'!$B$7,SUMIF($BH$3:$CE$3,"="&amp;$DF53+'Model Setup'!$B$7,$AD53:$BA53)+'Model Setup'!$B$8*(SUMIF($BH$3:$CE$3,"&lt;"&amp;$DF53,$AD53:$BA53)+SUMIF($BH$3:$CE$3,"&gt;"&amp;$CW$4,$AD53:$BA53)),
IF(BH$3=$DF53+'Model Setup'!$C$7,SUMIF($BH$3:$CE$3,"="&amp;$DF53+'Model Setup'!$C$7,$AD53:$BA53)+'Model Setup'!$C$8*(SUMIF($BH$3:$CE$3,"&lt;"&amp;$DF53,$AD53:$BA53)+SUMIF($BH$3:$CE$3,"&gt;"&amp;$CW$4,$AD53:$BA53)),
IF(BH$3=$DF53+'Model Setup'!$D$7,SUMIF($BH$3:$CE$3,"="&amp;$DF53+'Model Setup'!$D$7,$AD53:$BA53)+'Model Setup'!$D$8*(SUMIF($BH$3:$CE$3,"&lt;"&amp;$DF53,$AD53:$BA53)+SUMIF($BH$3:$CE$3,"&gt;"&amp;$CW$4,$AD53:$BA53)),
IF(BH$3=$DF53+'Model Setup'!$E$7,SUMIF($BH$3:$CE$3,"="&amp;$DF53+'Model Setup'!$E$7,$AD53:$BA53)+'Model Setup'!$E$8*(SUMIF($BH$3:$CE$3,"&lt;"&amp;$DF53,$AD53:$BA53)+SUMIF($BH$3:$CE$3,"&gt;"&amp;$CW$4,$AD53:$BA53)),
IF(BH$3=$DF53+'Model Setup'!$F$7,SUMIF($BH$3:$CE$3,"="&amp;$DF53+'Model Setup'!$F$7,$AD53:$BA53)+'Model Setup'!$F$8*(SUMIF($BH$3:$CE$3,"&lt;"&amp;$DF53,$AD53:$BA53)+SUMIF($BH$3:$CE$3,"&gt;"&amp;$CW$4,$AD53:$BA53)),
IF(BH$3=$DF53+'Model Setup'!$G$7,SUMIF($BH$3:$CE$3,"="&amp;$DF53+'Model Setup'!$G$7,$AD53:$BA53)+'Model Setup'!$G$8*(SUMIF($BH$3:$CE$3,"&lt;"&amp;$DF53,$AD53:$BA53)+SUMIF($BH$3:$CE$3,"&gt;"&amp;$CW$4,$AD53:$BA53)),
IF(BH$3=$DF53+'Model Setup'!$H$7,SUMIF($BH$3:$CE$3,"="&amp;$DF53+'Model Setup'!$H$7,$AD53:$BA53)+'Model Setup'!$H$8*(SUMIF($BH$3:$CE$3,"&lt;"&amp;$DF53,$AD53:$BA53)+SUMIF($BH$3:$CE$3,"&gt;"&amp;$CW$4,$AD53:$BA53)),
IF(BH$3=$DF53+'Model Setup'!$I$7,SUMIF($BH$3:$CE$3,"="&amp;$DF53+'Model Setup'!$I$7,$AD53:$BA53)+'Model Setup'!$I$8*(SUMIF($BH$3:$CE$3,"&lt;"&amp;$DF53,$AD53:$BA53)+SUMIF($BH$3:$CE$3,"&gt;"&amp;$CW$4,$AD53:$BA53)),
IF(BH$3=$DF53+'Model Setup'!$J$7,SUMIF($BH$3:$CE$3,"="&amp;$DF53+'Model Setup'!$J$7,$AD53:$BA53)+'Model Setup'!$J$8*(SUMIF($BH$3:$CE$3,"&lt;"&amp;$DF53,$AD53:$BA53)+SUMIF($BH$3:$CE$3,"&gt;"&amp;$CW$4,$AD53:$BA53)),
IF(BH$3=$DF53+'Model Setup'!$K$7,SUMIF($BH$3:$CE$3,"="&amp;$DF53+'Model Setup'!$K$7,$AD53:$BA53)+'Model Setup'!$K$8*(SUMIF($BH$3:$CE$3,"&lt;"&amp;$DF53,$AD53:$BA53)+SUMIF($BH$3:$CE$3,"&gt;"&amp;$CW$4,$AD53:$BA53)),
IF(BH$3=$DF53+'Model Setup'!$L$7,SUMIF($BH$3:$CE$3,"="&amp;$DF53+'Model Setup'!$L$7,$AD53:$BA53)+'Model Setup'!$L$8*(SUMIF($BH$3:$CE$3,"&lt;"&amp;$DF53,$AD53:$BA53)+SUMIF($BH$3:$CE$3,"&gt;"&amp;$CW$4,$AD53:$BA53)),
IF(BH$3=$DF53+'Model Setup'!$M$7,SUMIF($BH$3:$CE$3,"="&amp;$DF53+'Model Setup'!$M$7,$AD53:$BA53)+'Model Setup'!$M$8*(SUMIF($BH$3:$CE$3,"&lt;"&amp;$DF53,$AD53:$BA53)+SUMIF($BH$3:$CE$3,"&gt;"&amp;$CW$4,$AD53:$BA53)),
IF(BH$3=$DF53+'Model Setup'!$N$7,SUMIF($BH$3:$CE$3,"="&amp;$DF53+'Model Setup'!$N$7,$AD53:$BA53)+'Model Setup'!$N$8*(SUMIF($BH$3:$CE$3,"&lt;"&amp;$DF53,$AD53:$BA53)+SUMIF($BH$3:$CE$3,"&gt;"&amp;$CW$4,$AD53:$BA53)),
IF(BH$3&lt;$CW$4,B53,0))))))))))))))),0)</f>
        <v>0</v>
      </c>
      <c r="BI53" s="47">
        <f>ROUND(IF(OR(BI$3&lt;$DF53,BI$3&gt;$CW$4),0,
IF(BI$3=$DF53+'Model Setup'!$B$7,SUMIF($BH$3:$CE$3,"="&amp;$DF53+'Model Setup'!$B$7,$AD53:$BA53)+'Model Setup'!$B$8*(SUMIF($BH$3:$CE$3,"&lt;"&amp;$DF53,$AD53:$BA53)+SUMIF($BH$3:$CE$3,"&gt;"&amp;$CW$4,$AD53:$BA53)),
IF(BI$3=$DF53+'Model Setup'!$C$7,SUMIF($BH$3:$CE$3,"="&amp;$DF53+'Model Setup'!$C$7,$AD53:$BA53)+'Model Setup'!$C$8*(SUMIF($BH$3:$CE$3,"&lt;"&amp;$DF53,$AD53:$BA53)+SUMIF($BH$3:$CE$3,"&gt;"&amp;$CW$4,$AD53:$BA53)),
IF(BI$3=$DF53+'Model Setup'!$D$7,SUMIF($BH$3:$CE$3,"="&amp;$DF53+'Model Setup'!$D$7,$AD53:$BA53)+'Model Setup'!$D$8*(SUMIF($BH$3:$CE$3,"&lt;"&amp;$DF53,$AD53:$BA53)+SUMIF($BH$3:$CE$3,"&gt;"&amp;$CW$4,$AD53:$BA53)),
IF(BI$3=$DF53+'Model Setup'!$E$7,SUMIF($BH$3:$CE$3,"="&amp;$DF53+'Model Setup'!$E$7,$AD53:$BA53)+'Model Setup'!$E$8*(SUMIF($BH$3:$CE$3,"&lt;"&amp;$DF53,$AD53:$BA53)+SUMIF($BH$3:$CE$3,"&gt;"&amp;$CW$4,$AD53:$BA53)),
IF(BI$3=$DF53+'Model Setup'!$F$7,SUMIF($BH$3:$CE$3,"="&amp;$DF53+'Model Setup'!$F$7,$AD53:$BA53)+'Model Setup'!$F$8*(SUMIF($BH$3:$CE$3,"&lt;"&amp;$DF53,$AD53:$BA53)+SUMIF($BH$3:$CE$3,"&gt;"&amp;$CW$4,$AD53:$BA53)),
IF(BI$3=$DF53+'Model Setup'!$G$7,SUMIF($BH$3:$CE$3,"="&amp;$DF53+'Model Setup'!$G$7,$AD53:$BA53)+'Model Setup'!$G$8*(SUMIF($BH$3:$CE$3,"&lt;"&amp;$DF53,$AD53:$BA53)+SUMIF($BH$3:$CE$3,"&gt;"&amp;$CW$4,$AD53:$BA53)),
IF(BI$3=$DF53+'Model Setup'!$H$7,SUMIF($BH$3:$CE$3,"="&amp;$DF53+'Model Setup'!$H$7,$AD53:$BA53)+'Model Setup'!$H$8*(SUMIF($BH$3:$CE$3,"&lt;"&amp;$DF53,$AD53:$BA53)+SUMIF($BH$3:$CE$3,"&gt;"&amp;$CW$4,$AD53:$BA53)),
IF(BI$3=$DF53+'Model Setup'!$I$7,SUMIF($BH$3:$CE$3,"="&amp;$DF53+'Model Setup'!$I$7,$AD53:$BA53)+'Model Setup'!$I$8*(SUMIF($BH$3:$CE$3,"&lt;"&amp;$DF53,$AD53:$BA53)+SUMIF($BH$3:$CE$3,"&gt;"&amp;$CW$4,$AD53:$BA53)),
IF(BI$3=$DF53+'Model Setup'!$J$7,SUMIF($BH$3:$CE$3,"="&amp;$DF53+'Model Setup'!$J$7,$AD53:$BA53)+'Model Setup'!$J$8*(SUMIF($BH$3:$CE$3,"&lt;"&amp;$DF53,$AD53:$BA53)+SUMIF($BH$3:$CE$3,"&gt;"&amp;$CW$4,$AD53:$BA53)),
IF(BI$3=$DF53+'Model Setup'!$K$7,SUMIF($BH$3:$CE$3,"="&amp;$DF53+'Model Setup'!$K$7,$AD53:$BA53)+'Model Setup'!$K$8*(SUMIF($BH$3:$CE$3,"&lt;"&amp;$DF53,$AD53:$BA53)+SUMIF($BH$3:$CE$3,"&gt;"&amp;$CW$4,$AD53:$BA53)),
IF(BI$3=$DF53+'Model Setup'!$L$7,SUMIF($BH$3:$CE$3,"="&amp;$DF53+'Model Setup'!$L$7,$AD53:$BA53)+'Model Setup'!$L$8*(SUMIF($BH$3:$CE$3,"&lt;"&amp;$DF53,$AD53:$BA53)+SUMIF($BH$3:$CE$3,"&gt;"&amp;$CW$4,$AD53:$BA53)),
IF(BI$3=$DF53+'Model Setup'!$M$7,SUMIF($BH$3:$CE$3,"="&amp;$DF53+'Model Setup'!$M$7,$AD53:$BA53)+'Model Setup'!$M$8*(SUMIF($BH$3:$CE$3,"&lt;"&amp;$DF53,$AD53:$BA53)+SUMIF($BH$3:$CE$3,"&gt;"&amp;$CW$4,$AD53:$BA53)),
IF(BI$3=$DF53+'Model Setup'!$N$7,SUMIF($BH$3:$CE$3,"="&amp;$DF53+'Model Setup'!$N$7,$AD53:$BA53)+'Model Setup'!$N$8*(SUMIF($BH$3:$CE$3,"&lt;"&amp;$DF53,$AD53:$BA53)+SUMIF($BH$3:$CE$3,"&gt;"&amp;$CW$4,$AD53:$BA53)),
IF(BI$3&lt;$CW$4,C53,0))))))))))))))),0)</f>
        <v>0</v>
      </c>
      <c r="BJ53" s="47">
        <f>ROUND(IF(OR(BJ$3&lt;$DF53,BJ$3&gt;$CW$4),0,
IF(BJ$3=$DF53+'Model Setup'!$B$7,SUMIF($BH$3:$CE$3,"="&amp;$DF53+'Model Setup'!$B$7,$AD53:$BA53)+'Model Setup'!$B$8*(SUMIF($BH$3:$CE$3,"&lt;"&amp;$DF53,$AD53:$BA53)+SUMIF($BH$3:$CE$3,"&gt;"&amp;$CW$4,$AD53:$BA53)),
IF(BJ$3=$DF53+'Model Setup'!$C$7,SUMIF($BH$3:$CE$3,"="&amp;$DF53+'Model Setup'!$C$7,$AD53:$BA53)+'Model Setup'!$C$8*(SUMIF($BH$3:$CE$3,"&lt;"&amp;$DF53,$AD53:$BA53)+SUMIF($BH$3:$CE$3,"&gt;"&amp;$CW$4,$AD53:$BA53)),
IF(BJ$3=$DF53+'Model Setup'!$D$7,SUMIF($BH$3:$CE$3,"="&amp;$DF53+'Model Setup'!$D$7,$AD53:$BA53)+'Model Setup'!$D$8*(SUMIF($BH$3:$CE$3,"&lt;"&amp;$DF53,$AD53:$BA53)+SUMIF($BH$3:$CE$3,"&gt;"&amp;$CW$4,$AD53:$BA53)),
IF(BJ$3=$DF53+'Model Setup'!$E$7,SUMIF($BH$3:$CE$3,"="&amp;$DF53+'Model Setup'!$E$7,$AD53:$BA53)+'Model Setup'!$E$8*(SUMIF($BH$3:$CE$3,"&lt;"&amp;$DF53,$AD53:$BA53)+SUMIF($BH$3:$CE$3,"&gt;"&amp;$CW$4,$AD53:$BA53)),
IF(BJ$3=$DF53+'Model Setup'!$F$7,SUMIF($BH$3:$CE$3,"="&amp;$DF53+'Model Setup'!$F$7,$AD53:$BA53)+'Model Setup'!$F$8*(SUMIF($BH$3:$CE$3,"&lt;"&amp;$DF53,$AD53:$BA53)+SUMIF($BH$3:$CE$3,"&gt;"&amp;$CW$4,$AD53:$BA53)),
IF(BJ$3=$DF53+'Model Setup'!$G$7,SUMIF($BH$3:$CE$3,"="&amp;$DF53+'Model Setup'!$G$7,$AD53:$BA53)+'Model Setup'!$G$8*(SUMIF($BH$3:$CE$3,"&lt;"&amp;$DF53,$AD53:$BA53)+SUMIF($BH$3:$CE$3,"&gt;"&amp;$CW$4,$AD53:$BA53)),
IF(BJ$3=$DF53+'Model Setup'!$H$7,SUMIF($BH$3:$CE$3,"="&amp;$DF53+'Model Setup'!$H$7,$AD53:$BA53)+'Model Setup'!$H$8*(SUMIF($BH$3:$CE$3,"&lt;"&amp;$DF53,$AD53:$BA53)+SUMIF($BH$3:$CE$3,"&gt;"&amp;$CW$4,$AD53:$BA53)),
IF(BJ$3=$DF53+'Model Setup'!$I$7,SUMIF($BH$3:$CE$3,"="&amp;$DF53+'Model Setup'!$I$7,$AD53:$BA53)+'Model Setup'!$I$8*(SUMIF($BH$3:$CE$3,"&lt;"&amp;$DF53,$AD53:$BA53)+SUMIF($BH$3:$CE$3,"&gt;"&amp;$CW$4,$AD53:$BA53)),
IF(BJ$3=$DF53+'Model Setup'!$J$7,SUMIF($BH$3:$CE$3,"="&amp;$DF53+'Model Setup'!$J$7,$AD53:$BA53)+'Model Setup'!$J$8*(SUMIF($BH$3:$CE$3,"&lt;"&amp;$DF53,$AD53:$BA53)+SUMIF($BH$3:$CE$3,"&gt;"&amp;$CW$4,$AD53:$BA53)),
IF(BJ$3=$DF53+'Model Setup'!$K$7,SUMIF($BH$3:$CE$3,"="&amp;$DF53+'Model Setup'!$K$7,$AD53:$BA53)+'Model Setup'!$K$8*(SUMIF($BH$3:$CE$3,"&lt;"&amp;$DF53,$AD53:$BA53)+SUMIF($BH$3:$CE$3,"&gt;"&amp;$CW$4,$AD53:$BA53)),
IF(BJ$3=$DF53+'Model Setup'!$L$7,SUMIF($BH$3:$CE$3,"="&amp;$DF53+'Model Setup'!$L$7,$AD53:$BA53)+'Model Setup'!$L$8*(SUMIF($BH$3:$CE$3,"&lt;"&amp;$DF53,$AD53:$BA53)+SUMIF($BH$3:$CE$3,"&gt;"&amp;$CW$4,$AD53:$BA53)),
IF(BJ$3=$DF53+'Model Setup'!$M$7,SUMIF($BH$3:$CE$3,"="&amp;$DF53+'Model Setup'!$M$7,$AD53:$BA53)+'Model Setup'!$M$8*(SUMIF($BH$3:$CE$3,"&lt;"&amp;$DF53,$AD53:$BA53)+SUMIF($BH$3:$CE$3,"&gt;"&amp;$CW$4,$AD53:$BA53)),
IF(BJ$3=$DF53+'Model Setup'!$N$7,SUMIF($BH$3:$CE$3,"="&amp;$DF53+'Model Setup'!$N$7,$AD53:$BA53)+'Model Setup'!$N$8*(SUMIF($BH$3:$CE$3,"&lt;"&amp;$DF53,$AD53:$BA53)+SUMIF($BH$3:$CE$3,"&gt;"&amp;$CW$4,$AD53:$BA53)),
IF(BJ$3&lt;$CW$4,D53,0))))))))))))))),0)</f>
        <v>0</v>
      </c>
      <c r="BK53" s="47">
        <f>ROUND(IF(OR(BK$3&lt;$DF53,BK$3&gt;$CW$4),0,
IF(BK$3=$DF53+'Model Setup'!$B$7,SUMIF($BH$3:$CE$3,"="&amp;$DF53+'Model Setup'!$B$7,$AD53:$BA53)+'Model Setup'!$B$8*(SUMIF($BH$3:$CE$3,"&lt;"&amp;$DF53,$AD53:$BA53)+SUMIF($BH$3:$CE$3,"&gt;"&amp;$CW$4,$AD53:$BA53)),
IF(BK$3=$DF53+'Model Setup'!$C$7,SUMIF($BH$3:$CE$3,"="&amp;$DF53+'Model Setup'!$C$7,$AD53:$BA53)+'Model Setup'!$C$8*(SUMIF($BH$3:$CE$3,"&lt;"&amp;$DF53,$AD53:$BA53)+SUMIF($BH$3:$CE$3,"&gt;"&amp;$CW$4,$AD53:$BA53)),
IF(BK$3=$DF53+'Model Setup'!$D$7,SUMIF($BH$3:$CE$3,"="&amp;$DF53+'Model Setup'!$D$7,$AD53:$BA53)+'Model Setup'!$D$8*(SUMIF($BH$3:$CE$3,"&lt;"&amp;$DF53,$AD53:$BA53)+SUMIF($BH$3:$CE$3,"&gt;"&amp;$CW$4,$AD53:$BA53)),
IF(BK$3=$DF53+'Model Setup'!$E$7,SUMIF($BH$3:$CE$3,"="&amp;$DF53+'Model Setup'!$E$7,$AD53:$BA53)+'Model Setup'!$E$8*(SUMIF($BH$3:$CE$3,"&lt;"&amp;$DF53,$AD53:$BA53)+SUMIF($BH$3:$CE$3,"&gt;"&amp;$CW$4,$AD53:$BA53)),
IF(BK$3=$DF53+'Model Setup'!$F$7,SUMIF($BH$3:$CE$3,"="&amp;$DF53+'Model Setup'!$F$7,$AD53:$BA53)+'Model Setup'!$F$8*(SUMIF($BH$3:$CE$3,"&lt;"&amp;$DF53,$AD53:$BA53)+SUMIF($BH$3:$CE$3,"&gt;"&amp;$CW$4,$AD53:$BA53)),
IF(BK$3=$DF53+'Model Setup'!$G$7,SUMIF($BH$3:$CE$3,"="&amp;$DF53+'Model Setup'!$G$7,$AD53:$BA53)+'Model Setup'!$G$8*(SUMIF($BH$3:$CE$3,"&lt;"&amp;$DF53,$AD53:$BA53)+SUMIF($BH$3:$CE$3,"&gt;"&amp;$CW$4,$AD53:$BA53)),
IF(BK$3=$DF53+'Model Setup'!$H$7,SUMIF($BH$3:$CE$3,"="&amp;$DF53+'Model Setup'!$H$7,$AD53:$BA53)+'Model Setup'!$H$8*(SUMIF($BH$3:$CE$3,"&lt;"&amp;$DF53,$AD53:$BA53)+SUMIF($BH$3:$CE$3,"&gt;"&amp;$CW$4,$AD53:$BA53)),
IF(BK$3=$DF53+'Model Setup'!$I$7,SUMIF($BH$3:$CE$3,"="&amp;$DF53+'Model Setup'!$I$7,$AD53:$BA53)+'Model Setup'!$I$8*(SUMIF($BH$3:$CE$3,"&lt;"&amp;$DF53,$AD53:$BA53)+SUMIF($BH$3:$CE$3,"&gt;"&amp;$CW$4,$AD53:$BA53)),
IF(BK$3=$DF53+'Model Setup'!$J$7,SUMIF($BH$3:$CE$3,"="&amp;$DF53+'Model Setup'!$J$7,$AD53:$BA53)+'Model Setup'!$J$8*(SUMIF($BH$3:$CE$3,"&lt;"&amp;$DF53,$AD53:$BA53)+SUMIF($BH$3:$CE$3,"&gt;"&amp;$CW$4,$AD53:$BA53)),
IF(BK$3=$DF53+'Model Setup'!$K$7,SUMIF($BH$3:$CE$3,"="&amp;$DF53+'Model Setup'!$K$7,$AD53:$BA53)+'Model Setup'!$K$8*(SUMIF($BH$3:$CE$3,"&lt;"&amp;$DF53,$AD53:$BA53)+SUMIF($BH$3:$CE$3,"&gt;"&amp;$CW$4,$AD53:$BA53)),
IF(BK$3=$DF53+'Model Setup'!$L$7,SUMIF($BH$3:$CE$3,"="&amp;$DF53+'Model Setup'!$L$7,$AD53:$BA53)+'Model Setup'!$L$8*(SUMIF($BH$3:$CE$3,"&lt;"&amp;$DF53,$AD53:$BA53)+SUMIF($BH$3:$CE$3,"&gt;"&amp;$CW$4,$AD53:$BA53)),
IF(BK$3=$DF53+'Model Setup'!$M$7,SUMIF($BH$3:$CE$3,"="&amp;$DF53+'Model Setup'!$M$7,$AD53:$BA53)+'Model Setup'!$M$8*(SUMIF($BH$3:$CE$3,"&lt;"&amp;$DF53,$AD53:$BA53)+SUMIF($BH$3:$CE$3,"&gt;"&amp;$CW$4,$AD53:$BA53)),
IF(BK$3=$DF53+'Model Setup'!$N$7,SUMIF($BH$3:$CE$3,"="&amp;$DF53+'Model Setup'!$N$7,$AD53:$BA53)+'Model Setup'!$N$8*(SUMIF($BH$3:$CE$3,"&lt;"&amp;$DF53,$AD53:$BA53)+SUMIF($BH$3:$CE$3,"&gt;"&amp;$CW$4,$AD53:$BA53)),
IF(BK$3&lt;$CW$4,E53,0))))))))))))))),0)</f>
        <v>0</v>
      </c>
      <c r="BL53" s="47">
        <f>ROUND(IF(OR(BL$3&lt;$DF53,BL$3&gt;$CW$4),0,
IF(BL$3=$DF53+'Model Setup'!$B$7,SUMIF($BH$3:$CE$3,"="&amp;$DF53+'Model Setup'!$B$7,$AD53:$BA53)+'Model Setup'!$B$8*(SUMIF($BH$3:$CE$3,"&lt;"&amp;$DF53,$AD53:$BA53)+SUMIF($BH$3:$CE$3,"&gt;"&amp;$CW$4,$AD53:$BA53)),
IF(BL$3=$DF53+'Model Setup'!$C$7,SUMIF($BH$3:$CE$3,"="&amp;$DF53+'Model Setup'!$C$7,$AD53:$BA53)+'Model Setup'!$C$8*(SUMIF($BH$3:$CE$3,"&lt;"&amp;$DF53,$AD53:$BA53)+SUMIF($BH$3:$CE$3,"&gt;"&amp;$CW$4,$AD53:$BA53)),
IF(BL$3=$DF53+'Model Setup'!$D$7,SUMIF($BH$3:$CE$3,"="&amp;$DF53+'Model Setup'!$D$7,$AD53:$BA53)+'Model Setup'!$D$8*(SUMIF($BH$3:$CE$3,"&lt;"&amp;$DF53,$AD53:$BA53)+SUMIF($BH$3:$CE$3,"&gt;"&amp;$CW$4,$AD53:$BA53)),
IF(BL$3=$DF53+'Model Setup'!$E$7,SUMIF($BH$3:$CE$3,"="&amp;$DF53+'Model Setup'!$E$7,$AD53:$BA53)+'Model Setup'!$E$8*(SUMIF($BH$3:$CE$3,"&lt;"&amp;$DF53,$AD53:$BA53)+SUMIF($BH$3:$CE$3,"&gt;"&amp;$CW$4,$AD53:$BA53)),
IF(BL$3=$DF53+'Model Setup'!$F$7,SUMIF($BH$3:$CE$3,"="&amp;$DF53+'Model Setup'!$F$7,$AD53:$BA53)+'Model Setup'!$F$8*(SUMIF($BH$3:$CE$3,"&lt;"&amp;$DF53,$AD53:$BA53)+SUMIF($BH$3:$CE$3,"&gt;"&amp;$CW$4,$AD53:$BA53)),
IF(BL$3=$DF53+'Model Setup'!$G$7,SUMIF($BH$3:$CE$3,"="&amp;$DF53+'Model Setup'!$G$7,$AD53:$BA53)+'Model Setup'!$G$8*(SUMIF($BH$3:$CE$3,"&lt;"&amp;$DF53,$AD53:$BA53)+SUMIF($BH$3:$CE$3,"&gt;"&amp;$CW$4,$AD53:$BA53)),
IF(BL$3=$DF53+'Model Setup'!$H$7,SUMIF($BH$3:$CE$3,"="&amp;$DF53+'Model Setup'!$H$7,$AD53:$BA53)+'Model Setup'!$H$8*(SUMIF($BH$3:$CE$3,"&lt;"&amp;$DF53,$AD53:$BA53)+SUMIF($BH$3:$CE$3,"&gt;"&amp;$CW$4,$AD53:$BA53)),
IF(BL$3=$DF53+'Model Setup'!$I$7,SUMIF($BH$3:$CE$3,"="&amp;$DF53+'Model Setup'!$I$7,$AD53:$BA53)+'Model Setup'!$I$8*(SUMIF($BH$3:$CE$3,"&lt;"&amp;$DF53,$AD53:$BA53)+SUMIF($BH$3:$CE$3,"&gt;"&amp;$CW$4,$AD53:$BA53)),
IF(BL$3=$DF53+'Model Setup'!$J$7,SUMIF($BH$3:$CE$3,"="&amp;$DF53+'Model Setup'!$J$7,$AD53:$BA53)+'Model Setup'!$J$8*(SUMIF($BH$3:$CE$3,"&lt;"&amp;$DF53,$AD53:$BA53)+SUMIF($BH$3:$CE$3,"&gt;"&amp;$CW$4,$AD53:$BA53)),
IF(BL$3=$DF53+'Model Setup'!$K$7,SUMIF($BH$3:$CE$3,"="&amp;$DF53+'Model Setup'!$K$7,$AD53:$BA53)+'Model Setup'!$K$8*(SUMIF($BH$3:$CE$3,"&lt;"&amp;$DF53,$AD53:$BA53)+SUMIF($BH$3:$CE$3,"&gt;"&amp;$CW$4,$AD53:$BA53)),
IF(BL$3=$DF53+'Model Setup'!$L$7,SUMIF($BH$3:$CE$3,"="&amp;$DF53+'Model Setup'!$L$7,$AD53:$BA53)+'Model Setup'!$L$8*(SUMIF($BH$3:$CE$3,"&lt;"&amp;$DF53,$AD53:$BA53)+SUMIF($BH$3:$CE$3,"&gt;"&amp;$CW$4,$AD53:$BA53)),
IF(BL$3=$DF53+'Model Setup'!$M$7,SUMIF($BH$3:$CE$3,"="&amp;$DF53+'Model Setup'!$M$7,$AD53:$BA53)+'Model Setup'!$M$8*(SUMIF($BH$3:$CE$3,"&lt;"&amp;$DF53,$AD53:$BA53)+SUMIF($BH$3:$CE$3,"&gt;"&amp;$CW$4,$AD53:$BA53)),
IF(BL$3=$DF53+'Model Setup'!$N$7,SUMIF($BH$3:$CE$3,"="&amp;$DF53+'Model Setup'!$N$7,$AD53:$BA53)+'Model Setup'!$N$8*(SUMIF($BH$3:$CE$3,"&lt;"&amp;$DF53,$AD53:$BA53)+SUMIF($BH$3:$CE$3,"&gt;"&amp;$CW$4,$AD53:$BA53)),
IF(BL$3&lt;$CW$4,F53,0))))))))))))))),0)</f>
        <v>0</v>
      </c>
      <c r="BM53" s="47">
        <f>ROUND(IF(OR(BM$3&lt;$DF53,BM$3&gt;$CW$4),0,
IF(BM$3=$DF53+'Model Setup'!$B$7,SUMIF($BH$3:$CE$3,"="&amp;$DF53+'Model Setup'!$B$7,$AD53:$BA53)+'Model Setup'!$B$8*(SUMIF($BH$3:$CE$3,"&lt;"&amp;$DF53,$AD53:$BA53)+SUMIF($BH$3:$CE$3,"&gt;"&amp;$CW$4,$AD53:$BA53)),
IF(BM$3=$DF53+'Model Setup'!$C$7,SUMIF($BH$3:$CE$3,"="&amp;$DF53+'Model Setup'!$C$7,$AD53:$BA53)+'Model Setup'!$C$8*(SUMIF($BH$3:$CE$3,"&lt;"&amp;$DF53,$AD53:$BA53)+SUMIF($BH$3:$CE$3,"&gt;"&amp;$CW$4,$AD53:$BA53)),
IF(BM$3=$DF53+'Model Setup'!$D$7,SUMIF($BH$3:$CE$3,"="&amp;$DF53+'Model Setup'!$D$7,$AD53:$BA53)+'Model Setup'!$D$8*(SUMIF($BH$3:$CE$3,"&lt;"&amp;$DF53,$AD53:$BA53)+SUMIF($BH$3:$CE$3,"&gt;"&amp;$CW$4,$AD53:$BA53)),
IF(BM$3=$DF53+'Model Setup'!$E$7,SUMIF($BH$3:$CE$3,"="&amp;$DF53+'Model Setup'!$E$7,$AD53:$BA53)+'Model Setup'!$E$8*(SUMIF($BH$3:$CE$3,"&lt;"&amp;$DF53,$AD53:$BA53)+SUMIF($BH$3:$CE$3,"&gt;"&amp;$CW$4,$AD53:$BA53)),
IF(BM$3=$DF53+'Model Setup'!$F$7,SUMIF($BH$3:$CE$3,"="&amp;$DF53+'Model Setup'!$F$7,$AD53:$BA53)+'Model Setup'!$F$8*(SUMIF($BH$3:$CE$3,"&lt;"&amp;$DF53,$AD53:$BA53)+SUMIF($BH$3:$CE$3,"&gt;"&amp;$CW$4,$AD53:$BA53)),
IF(BM$3=$DF53+'Model Setup'!$G$7,SUMIF($BH$3:$CE$3,"="&amp;$DF53+'Model Setup'!$G$7,$AD53:$BA53)+'Model Setup'!$G$8*(SUMIF($BH$3:$CE$3,"&lt;"&amp;$DF53,$AD53:$BA53)+SUMIF($BH$3:$CE$3,"&gt;"&amp;$CW$4,$AD53:$BA53)),
IF(BM$3=$DF53+'Model Setup'!$H$7,SUMIF($BH$3:$CE$3,"="&amp;$DF53+'Model Setup'!$H$7,$AD53:$BA53)+'Model Setup'!$H$8*(SUMIF($BH$3:$CE$3,"&lt;"&amp;$DF53,$AD53:$BA53)+SUMIF($BH$3:$CE$3,"&gt;"&amp;$CW$4,$AD53:$BA53)),
IF(BM$3=$DF53+'Model Setup'!$I$7,SUMIF($BH$3:$CE$3,"="&amp;$DF53+'Model Setup'!$I$7,$AD53:$BA53)+'Model Setup'!$I$8*(SUMIF($BH$3:$CE$3,"&lt;"&amp;$DF53,$AD53:$BA53)+SUMIF($BH$3:$CE$3,"&gt;"&amp;$CW$4,$AD53:$BA53)),
IF(BM$3=$DF53+'Model Setup'!$J$7,SUMIF($BH$3:$CE$3,"="&amp;$DF53+'Model Setup'!$J$7,$AD53:$BA53)+'Model Setup'!$J$8*(SUMIF($BH$3:$CE$3,"&lt;"&amp;$DF53,$AD53:$BA53)+SUMIF($BH$3:$CE$3,"&gt;"&amp;$CW$4,$AD53:$BA53)),
IF(BM$3=$DF53+'Model Setup'!$K$7,SUMIF($BH$3:$CE$3,"="&amp;$DF53+'Model Setup'!$K$7,$AD53:$BA53)+'Model Setup'!$K$8*(SUMIF($BH$3:$CE$3,"&lt;"&amp;$DF53,$AD53:$BA53)+SUMIF($BH$3:$CE$3,"&gt;"&amp;$CW$4,$AD53:$BA53)),
IF(BM$3=$DF53+'Model Setup'!$L$7,SUMIF($BH$3:$CE$3,"="&amp;$DF53+'Model Setup'!$L$7,$AD53:$BA53)+'Model Setup'!$L$8*(SUMIF($BH$3:$CE$3,"&lt;"&amp;$DF53,$AD53:$BA53)+SUMIF($BH$3:$CE$3,"&gt;"&amp;$CW$4,$AD53:$BA53)),
IF(BM$3=$DF53+'Model Setup'!$M$7,SUMIF($BH$3:$CE$3,"="&amp;$DF53+'Model Setup'!$M$7,$AD53:$BA53)+'Model Setup'!$M$8*(SUMIF($BH$3:$CE$3,"&lt;"&amp;$DF53,$AD53:$BA53)+SUMIF($BH$3:$CE$3,"&gt;"&amp;$CW$4,$AD53:$BA53)),
IF(BM$3=$DF53+'Model Setup'!$N$7,SUMIF($BH$3:$CE$3,"="&amp;$DF53+'Model Setup'!$N$7,$AD53:$BA53)+'Model Setup'!$N$8*(SUMIF($BH$3:$CE$3,"&lt;"&amp;$DF53,$AD53:$BA53)+SUMIF($BH$3:$CE$3,"&gt;"&amp;$CW$4,$AD53:$BA53)),
IF(BM$3&lt;$CW$4,G53,0))))))))))))))),0)</f>
        <v>0</v>
      </c>
      <c r="BN53" s="47">
        <f>ROUND(IF(OR(BN$3&lt;$DF53,BN$3&gt;$CW$4),0,
IF(BN$3=$DF53+'Model Setup'!$B$7,SUMIF($BH$3:$CE$3,"="&amp;$DF53+'Model Setup'!$B$7,$AD53:$BA53)+'Model Setup'!$B$8*(SUMIF($BH$3:$CE$3,"&lt;"&amp;$DF53,$AD53:$BA53)+SUMIF($BH$3:$CE$3,"&gt;"&amp;$CW$4,$AD53:$BA53)),
IF(BN$3=$DF53+'Model Setup'!$C$7,SUMIF($BH$3:$CE$3,"="&amp;$DF53+'Model Setup'!$C$7,$AD53:$BA53)+'Model Setup'!$C$8*(SUMIF($BH$3:$CE$3,"&lt;"&amp;$DF53,$AD53:$BA53)+SUMIF($BH$3:$CE$3,"&gt;"&amp;$CW$4,$AD53:$BA53)),
IF(BN$3=$DF53+'Model Setup'!$D$7,SUMIF($BH$3:$CE$3,"="&amp;$DF53+'Model Setup'!$D$7,$AD53:$BA53)+'Model Setup'!$D$8*(SUMIF($BH$3:$CE$3,"&lt;"&amp;$DF53,$AD53:$BA53)+SUMIF($BH$3:$CE$3,"&gt;"&amp;$CW$4,$AD53:$BA53)),
IF(BN$3=$DF53+'Model Setup'!$E$7,SUMIF($BH$3:$CE$3,"="&amp;$DF53+'Model Setup'!$E$7,$AD53:$BA53)+'Model Setup'!$E$8*(SUMIF($BH$3:$CE$3,"&lt;"&amp;$DF53,$AD53:$BA53)+SUMIF($BH$3:$CE$3,"&gt;"&amp;$CW$4,$AD53:$BA53)),
IF(BN$3=$DF53+'Model Setup'!$F$7,SUMIF($BH$3:$CE$3,"="&amp;$DF53+'Model Setup'!$F$7,$AD53:$BA53)+'Model Setup'!$F$8*(SUMIF($BH$3:$CE$3,"&lt;"&amp;$DF53,$AD53:$BA53)+SUMIF($BH$3:$CE$3,"&gt;"&amp;$CW$4,$AD53:$BA53)),
IF(BN$3=$DF53+'Model Setup'!$G$7,SUMIF($BH$3:$CE$3,"="&amp;$DF53+'Model Setup'!$G$7,$AD53:$BA53)+'Model Setup'!$G$8*(SUMIF($BH$3:$CE$3,"&lt;"&amp;$DF53,$AD53:$BA53)+SUMIF($BH$3:$CE$3,"&gt;"&amp;$CW$4,$AD53:$BA53)),
IF(BN$3=$DF53+'Model Setup'!$H$7,SUMIF($BH$3:$CE$3,"="&amp;$DF53+'Model Setup'!$H$7,$AD53:$BA53)+'Model Setup'!$H$8*(SUMIF($BH$3:$CE$3,"&lt;"&amp;$DF53,$AD53:$BA53)+SUMIF($BH$3:$CE$3,"&gt;"&amp;$CW$4,$AD53:$BA53)),
IF(BN$3=$DF53+'Model Setup'!$I$7,SUMIF($BH$3:$CE$3,"="&amp;$DF53+'Model Setup'!$I$7,$AD53:$BA53)+'Model Setup'!$I$8*(SUMIF($BH$3:$CE$3,"&lt;"&amp;$DF53,$AD53:$BA53)+SUMIF($BH$3:$CE$3,"&gt;"&amp;$CW$4,$AD53:$BA53)),
IF(BN$3=$DF53+'Model Setup'!$J$7,SUMIF($BH$3:$CE$3,"="&amp;$DF53+'Model Setup'!$J$7,$AD53:$BA53)+'Model Setup'!$J$8*(SUMIF($BH$3:$CE$3,"&lt;"&amp;$DF53,$AD53:$BA53)+SUMIF($BH$3:$CE$3,"&gt;"&amp;$CW$4,$AD53:$BA53)),
IF(BN$3=$DF53+'Model Setup'!$K$7,SUMIF($BH$3:$CE$3,"="&amp;$DF53+'Model Setup'!$K$7,$AD53:$BA53)+'Model Setup'!$K$8*(SUMIF($BH$3:$CE$3,"&lt;"&amp;$DF53,$AD53:$BA53)+SUMIF($BH$3:$CE$3,"&gt;"&amp;$CW$4,$AD53:$BA53)),
IF(BN$3=$DF53+'Model Setup'!$L$7,SUMIF($BH$3:$CE$3,"="&amp;$DF53+'Model Setup'!$L$7,$AD53:$BA53)+'Model Setup'!$L$8*(SUMIF($BH$3:$CE$3,"&lt;"&amp;$DF53,$AD53:$BA53)+SUMIF($BH$3:$CE$3,"&gt;"&amp;$CW$4,$AD53:$BA53)),
IF(BN$3=$DF53+'Model Setup'!$M$7,SUMIF($BH$3:$CE$3,"="&amp;$DF53+'Model Setup'!$M$7,$AD53:$BA53)+'Model Setup'!$M$8*(SUMIF($BH$3:$CE$3,"&lt;"&amp;$DF53,$AD53:$BA53)+SUMIF($BH$3:$CE$3,"&gt;"&amp;$CW$4,$AD53:$BA53)),
IF(BN$3=$DF53+'Model Setup'!$N$7,SUMIF($BH$3:$CE$3,"="&amp;$DF53+'Model Setup'!$N$7,$AD53:$BA53)+'Model Setup'!$N$8*(SUMIF($BH$3:$CE$3,"&lt;"&amp;$DF53,$AD53:$BA53)+SUMIF($BH$3:$CE$3,"&gt;"&amp;$CW$4,$AD53:$BA53)),
IF(BN$3&lt;$CW$4,H53,0))))))))))))))),0)</f>
        <v>0</v>
      </c>
      <c r="BO53" s="47">
        <f>ROUND(IF(OR(BO$3&lt;$DF53,BO$3&gt;$CW$4),0,
IF(BO$3=$DF53+'Model Setup'!$B$7,SUMIF($BH$3:$CE$3,"="&amp;$DF53+'Model Setup'!$B$7,$AD53:$BA53)+'Model Setup'!$B$8*(SUMIF($BH$3:$CE$3,"&lt;"&amp;$DF53,$AD53:$BA53)+SUMIF($BH$3:$CE$3,"&gt;"&amp;$CW$4,$AD53:$BA53)),
IF(BO$3=$DF53+'Model Setup'!$C$7,SUMIF($BH$3:$CE$3,"="&amp;$DF53+'Model Setup'!$C$7,$AD53:$BA53)+'Model Setup'!$C$8*(SUMIF($BH$3:$CE$3,"&lt;"&amp;$DF53,$AD53:$BA53)+SUMIF($BH$3:$CE$3,"&gt;"&amp;$CW$4,$AD53:$BA53)),
IF(BO$3=$DF53+'Model Setup'!$D$7,SUMIF($BH$3:$CE$3,"="&amp;$DF53+'Model Setup'!$D$7,$AD53:$BA53)+'Model Setup'!$D$8*(SUMIF($BH$3:$CE$3,"&lt;"&amp;$DF53,$AD53:$BA53)+SUMIF($BH$3:$CE$3,"&gt;"&amp;$CW$4,$AD53:$BA53)),
IF(BO$3=$DF53+'Model Setup'!$E$7,SUMIF($BH$3:$CE$3,"="&amp;$DF53+'Model Setup'!$E$7,$AD53:$BA53)+'Model Setup'!$E$8*(SUMIF($BH$3:$CE$3,"&lt;"&amp;$DF53,$AD53:$BA53)+SUMIF($BH$3:$CE$3,"&gt;"&amp;$CW$4,$AD53:$BA53)),
IF(BO$3=$DF53+'Model Setup'!$F$7,SUMIF($BH$3:$CE$3,"="&amp;$DF53+'Model Setup'!$F$7,$AD53:$BA53)+'Model Setup'!$F$8*(SUMIF($BH$3:$CE$3,"&lt;"&amp;$DF53,$AD53:$BA53)+SUMIF($BH$3:$CE$3,"&gt;"&amp;$CW$4,$AD53:$BA53)),
IF(BO$3=$DF53+'Model Setup'!$G$7,SUMIF($BH$3:$CE$3,"="&amp;$DF53+'Model Setup'!$G$7,$AD53:$BA53)+'Model Setup'!$G$8*(SUMIF($BH$3:$CE$3,"&lt;"&amp;$DF53,$AD53:$BA53)+SUMIF($BH$3:$CE$3,"&gt;"&amp;$CW$4,$AD53:$BA53)),
IF(BO$3=$DF53+'Model Setup'!$H$7,SUMIF($BH$3:$CE$3,"="&amp;$DF53+'Model Setup'!$H$7,$AD53:$BA53)+'Model Setup'!$H$8*(SUMIF($BH$3:$CE$3,"&lt;"&amp;$DF53,$AD53:$BA53)+SUMIF($BH$3:$CE$3,"&gt;"&amp;$CW$4,$AD53:$BA53)),
IF(BO$3=$DF53+'Model Setup'!$I$7,SUMIF($BH$3:$CE$3,"="&amp;$DF53+'Model Setup'!$I$7,$AD53:$BA53)+'Model Setup'!$I$8*(SUMIF($BH$3:$CE$3,"&lt;"&amp;$DF53,$AD53:$BA53)+SUMIF($BH$3:$CE$3,"&gt;"&amp;$CW$4,$AD53:$BA53)),
IF(BO$3=$DF53+'Model Setup'!$J$7,SUMIF($BH$3:$CE$3,"="&amp;$DF53+'Model Setup'!$J$7,$AD53:$BA53)+'Model Setup'!$J$8*(SUMIF($BH$3:$CE$3,"&lt;"&amp;$DF53,$AD53:$BA53)+SUMIF($BH$3:$CE$3,"&gt;"&amp;$CW$4,$AD53:$BA53)),
IF(BO$3=$DF53+'Model Setup'!$K$7,SUMIF($BH$3:$CE$3,"="&amp;$DF53+'Model Setup'!$K$7,$AD53:$BA53)+'Model Setup'!$K$8*(SUMIF($BH$3:$CE$3,"&lt;"&amp;$DF53,$AD53:$BA53)+SUMIF($BH$3:$CE$3,"&gt;"&amp;$CW$4,$AD53:$BA53)),
IF(BO$3=$DF53+'Model Setup'!$L$7,SUMIF($BH$3:$CE$3,"="&amp;$DF53+'Model Setup'!$L$7,$AD53:$BA53)+'Model Setup'!$L$8*(SUMIF($BH$3:$CE$3,"&lt;"&amp;$DF53,$AD53:$BA53)+SUMIF($BH$3:$CE$3,"&gt;"&amp;$CW$4,$AD53:$BA53)),
IF(BO$3=$DF53+'Model Setup'!$M$7,SUMIF($BH$3:$CE$3,"="&amp;$DF53+'Model Setup'!$M$7,$AD53:$BA53)+'Model Setup'!$M$8*(SUMIF($BH$3:$CE$3,"&lt;"&amp;$DF53,$AD53:$BA53)+SUMIF($BH$3:$CE$3,"&gt;"&amp;$CW$4,$AD53:$BA53)),
IF(BO$3=$DF53+'Model Setup'!$N$7,SUMIF($BH$3:$CE$3,"="&amp;$DF53+'Model Setup'!$N$7,$AD53:$BA53)+'Model Setup'!$N$8*(SUMIF($BH$3:$CE$3,"&lt;"&amp;$DF53,$AD53:$BA53)+SUMIF($BH$3:$CE$3,"&gt;"&amp;$CW$4,$AD53:$BA53)),
IF(BO$3&lt;$CW$4,I53,0))))))))))))))),0)</f>
        <v>0</v>
      </c>
      <c r="BP53" s="47">
        <f>ROUND(IF(OR(BP$3&lt;$DF53,BP$3&gt;$CW$4),0,
IF(BP$3=$DF53+'Model Setup'!$B$7,SUMIF($BH$3:$CE$3,"="&amp;$DF53+'Model Setup'!$B$7,$AD53:$BA53)+'Model Setup'!$B$8*(SUMIF($BH$3:$CE$3,"&lt;"&amp;$DF53,$AD53:$BA53)+SUMIF($BH$3:$CE$3,"&gt;"&amp;$CW$4,$AD53:$BA53)),
IF(BP$3=$DF53+'Model Setup'!$C$7,SUMIF($BH$3:$CE$3,"="&amp;$DF53+'Model Setup'!$C$7,$AD53:$BA53)+'Model Setup'!$C$8*(SUMIF($BH$3:$CE$3,"&lt;"&amp;$DF53,$AD53:$BA53)+SUMIF($BH$3:$CE$3,"&gt;"&amp;$CW$4,$AD53:$BA53)),
IF(BP$3=$DF53+'Model Setup'!$D$7,SUMIF($BH$3:$CE$3,"="&amp;$DF53+'Model Setup'!$D$7,$AD53:$BA53)+'Model Setup'!$D$8*(SUMIF($BH$3:$CE$3,"&lt;"&amp;$DF53,$AD53:$BA53)+SUMIF($BH$3:$CE$3,"&gt;"&amp;$CW$4,$AD53:$BA53)),
IF(BP$3=$DF53+'Model Setup'!$E$7,SUMIF($BH$3:$CE$3,"="&amp;$DF53+'Model Setup'!$E$7,$AD53:$BA53)+'Model Setup'!$E$8*(SUMIF($BH$3:$CE$3,"&lt;"&amp;$DF53,$AD53:$BA53)+SUMIF($BH$3:$CE$3,"&gt;"&amp;$CW$4,$AD53:$BA53)),
IF(BP$3=$DF53+'Model Setup'!$F$7,SUMIF($BH$3:$CE$3,"="&amp;$DF53+'Model Setup'!$F$7,$AD53:$BA53)+'Model Setup'!$F$8*(SUMIF($BH$3:$CE$3,"&lt;"&amp;$DF53,$AD53:$BA53)+SUMIF($BH$3:$CE$3,"&gt;"&amp;$CW$4,$AD53:$BA53)),
IF(BP$3=$DF53+'Model Setup'!$G$7,SUMIF($BH$3:$CE$3,"="&amp;$DF53+'Model Setup'!$G$7,$AD53:$BA53)+'Model Setup'!$G$8*(SUMIF($BH$3:$CE$3,"&lt;"&amp;$DF53,$AD53:$BA53)+SUMIF($BH$3:$CE$3,"&gt;"&amp;$CW$4,$AD53:$BA53)),
IF(BP$3=$DF53+'Model Setup'!$H$7,SUMIF($BH$3:$CE$3,"="&amp;$DF53+'Model Setup'!$H$7,$AD53:$BA53)+'Model Setup'!$H$8*(SUMIF($BH$3:$CE$3,"&lt;"&amp;$DF53,$AD53:$BA53)+SUMIF($BH$3:$CE$3,"&gt;"&amp;$CW$4,$AD53:$BA53)),
IF(BP$3=$DF53+'Model Setup'!$I$7,SUMIF($BH$3:$CE$3,"="&amp;$DF53+'Model Setup'!$I$7,$AD53:$BA53)+'Model Setup'!$I$8*(SUMIF($BH$3:$CE$3,"&lt;"&amp;$DF53,$AD53:$BA53)+SUMIF($BH$3:$CE$3,"&gt;"&amp;$CW$4,$AD53:$BA53)),
IF(BP$3=$DF53+'Model Setup'!$J$7,SUMIF($BH$3:$CE$3,"="&amp;$DF53+'Model Setup'!$J$7,$AD53:$BA53)+'Model Setup'!$J$8*(SUMIF($BH$3:$CE$3,"&lt;"&amp;$DF53,$AD53:$BA53)+SUMIF($BH$3:$CE$3,"&gt;"&amp;$CW$4,$AD53:$BA53)),
IF(BP$3=$DF53+'Model Setup'!$K$7,SUMIF($BH$3:$CE$3,"="&amp;$DF53+'Model Setup'!$K$7,$AD53:$BA53)+'Model Setup'!$K$8*(SUMIF($BH$3:$CE$3,"&lt;"&amp;$DF53,$AD53:$BA53)+SUMIF($BH$3:$CE$3,"&gt;"&amp;$CW$4,$AD53:$BA53)),
IF(BP$3=$DF53+'Model Setup'!$L$7,SUMIF($BH$3:$CE$3,"="&amp;$DF53+'Model Setup'!$L$7,$AD53:$BA53)+'Model Setup'!$L$8*(SUMIF($BH$3:$CE$3,"&lt;"&amp;$DF53,$AD53:$BA53)+SUMIF($BH$3:$CE$3,"&gt;"&amp;$CW$4,$AD53:$BA53)),
IF(BP$3=$DF53+'Model Setup'!$M$7,SUMIF($BH$3:$CE$3,"="&amp;$DF53+'Model Setup'!$M$7,$AD53:$BA53)+'Model Setup'!$M$8*(SUMIF($BH$3:$CE$3,"&lt;"&amp;$DF53,$AD53:$BA53)+SUMIF($BH$3:$CE$3,"&gt;"&amp;$CW$4,$AD53:$BA53)),
IF(BP$3=$DF53+'Model Setup'!$N$7,SUMIF($BH$3:$CE$3,"="&amp;$DF53+'Model Setup'!$N$7,$AD53:$BA53)+'Model Setup'!$N$8*(SUMIF($BH$3:$CE$3,"&lt;"&amp;$DF53,$AD53:$BA53)+SUMIF($BH$3:$CE$3,"&gt;"&amp;$CW$4,$AD53:$BA53)),
IF(BP$3&lt;$CW$4,J53,0))))))))))))))),0)</f>
        <v>82</v>
      </c>
      <c r="BQ53" s="47">
        <f>ROUND(IF(OR(BQ$3&lt;$DF53,BQ$3&gt;$CW$4),0,
IF(BQ$3=$DF53+'Model Setup'!$B$7,SUMIF($BH$3:$CE$3,"="&amp;$DF53+'Model Setup'!$B$7,$AD53:$BA53)+'Model Setup'!$B$8*(SUMIF($BH$3:$CE$3,"&lt;"&amp;$DF53,$AD53:$BA53)+SUMIF($BH$3:$CE$3,"&gt;"&amp;$CW$4,$AD53:$BA53)),
IF(BQ$3=$DF53+'Model Setup'!$C$7,SUMIF($BH$3:$CE$3,"="&amp;$DF53+'Model Setup'!$C$7,$AD53:$BA53)+'Model Setup'!$C$8*(SUMIF($BH$3:$CE$3,"&lt;"&amp;$DF53,$AD53:$BA53)+SUMIF($BH$3:$CE$3,"&gt;"&amp;$CW$4,$AD53:$BA53)),
IF(BQ$3=$DF53+'Model Setup'!$D$7,SUMIF($BH$3:$CE$3,"="&amp;$DF53+'Model Setup'!$D$7,$AD53:$BA53)+'Model Setup'!$D$8*(SUMIF($BH$3:$CE$3,"&lt;"&amp;$DF53,$AD53:$BA53)+SUMIF($BH$3:$CE$3,"&gt;"&amp;$CW$4,$AD53:$BA53)),
IF(BQ$3=$DF53+'Model Setup'!$E$7,SUMIF($BH$3:$CE$3,"="&amp;$DF53+'Model Setup'!$E$7,$AD53:$BA53)+'Model Setup'!$E$8*(SUMIF($BH$3:$CE$3,"&lt;"&amp;$DF53,$AD53:$BA53)+SUMIF($BH$3:$CE$3,"&gt;"&amp;$CW$4,$AD53:$BA53)),
IF(BQ$3=$DF53+'Model Setup'!$F$7,SUMIF($BH$3:$CE$3,"="&amp;$DF53+'Model Setup'!$F$7,$AD53:$BA53)+'Model Setup'!$F$8*(SUMIF($BH$3:$CE$3,"&lt;"&amp;$DF53,$AD53:$BA53)+SUMIF($BH$3:$CE$3,"&gt;"&amp;$CW$4,$AD53:$BA53)),
IF(BQ$3=$DF53+'Model Setup'!$G$7,SUMIF($BH$3:$CE$3,"="&amp;$DF53+'Model Setup'!$G$7,$AD53:$BA53)+'Model Setup'!$G$8*(SUMIF($BH$3:$CE$3,"&lt;"&amp;$DF53,$AD53:$BA53)+SUMIF($BH$3:$CE$3,"&gt;"&amp;$CW$4,$AD53:$BA53)),
IF(BQ$3=$DF53+'Model Setup'!$H$7,SUMIF($BH$3:$CE$3,"="&amp;$DF53+'Model Setup'!$H$7,$AD53:$BA53)+'Model Setup'!$H$8*(SUMIF($BH$3:$CE$3,"&lt;"&amp;$DF53,$AD53:$BA53)+SUMIF($BH$3:$CE$3,"&gt;"&amp;$CW$4,$AD53:$BA53)),
IF(BQ$3=$DF53+'Model Setup'!$I$7,SUMIF($BH$3:$CE$3,"="&amp;$DF53+'Model Setup'!$I$7,$AD53:$BA53)+'Model Setup'!$I$8*(SUMIF($BH$3:$CE$3,"&lt;"&amp;$DF53,$AD53:$BA53)+SUMIF($BH$3:$CE$3,"&gt;"&amp;$CW$4,$AD53:$BA53)),
IF(BQ$3=$DF53+'Model Setup'!$J$7,SUMIF($BH$3:$CE$3,"="&amp;$DF53+'Model Setup'!$J$7,$AD53:$BA53)+'Model Setup'!$J$8*(SUMIF($BH$3:$CE$3,"&lt;"&amp;$DF53,$AD53:$BA53)+SUMIF($BH$3:$CE$3,"&gt;"&amp;$CW$4,$AD53:$BA53)),
IF(BQ$3=$DF53+'Model Setup'!$K$7,SUMIF($BH$3:$CE$3,"="&amp;$DF53+'Model Setup'!$K$7,$AD53:$BA53)+'Model Setup'!$K$8*(SUMIF($BH$3:$CE$3,"&lt;"&amp;$DF53,$AD53:$BA53)+SUMIF($BH$3:$CE$3,"&gt;"&amp;$CW$4,$AD53:$BA53)),
IF(BQ$3=$DF53+'Model Setup'!$L$7,SUMIF($BH$3:$CE$3,"="&amp;$DF53+'Model Setup'!$L$7,$AD53:$BA53)+'Model Setup'!$L$8*(SUMIF($BH$3:$CE$3,"&lt;"&amp;$DF53,$AD53:$BA53)+SUMIF($BH$3:$CE$3,"&gt;"&amp;$CW$4,$AD53:$BA53)),
IF(BQ$3=$DF53+'Model Setup'!$M$7,SUMIF($BH$3:$CE$3,"="&amp;$DF53+'Model Setup'!$M$7,$AD53:$BA53)+'Model Setup'!$M$8*(SUMIF($BH$3:$CE$3,"&lt;"&amp;$DF53,$AD53:$BA53)+SUMIF($BH$3:$CE$3,"&gt;"&amp;$CW$4,$AD53:$BA53)),
IF(BQ$3=$DF53+'Model Setup'!$N$7,SUMIF($BH$3:$CE$3,"="&amp;$DF53+'Model Setup'!$N$7,$AD53:$BA53)+'Model Setup'!$N$8*(SUMIF($BH$3:$CE$3,"&lt;"&amp;$DF53,$AD53:$BA53)+SUMIF($BH$3:$CE$3,"&gt;"&amp;$CW$4,$AD53:$BA53)),
IF(BQ$3&lt;$CW$4,K53,0))))))))))))))),0)</f>
        <v>120</v>
      </c>
      <c r="BR53" s="47">
        <f>ROUND(IF(OR(BR$3&lt;$DF53,BR$3&gt;$CW$4),0,
IF(BR$3=$DF53+'Model Setup'!$B$7,SUMIF($BH$3:$CE$3,"="&amp;$DF53+'Model Setup'!$B$7,$AD53:$BA53)+'Model Setup'!$B$8*(SUMIF($BH$3:$CE$3,"&lt;"&amp;$DF53,$AD53:$BA53)+SUMIF($BH$3:$CE$3,"&gt;"&amp;$CW$4,$AD53:$BA53)),
IF(BR$3=$DF53+'Model Setup'!$C$7,SUMIF($BH$3:$CE$3,"="&amp;$DF53+'Model Setup'!$C$7,$AD53:$BA53)+'Model Setup'!$C$8*(SUMIF($BH$3:$CE$3,"&lt;"&amp;$DF53,$AD53:$BA53)+SUMIF($BH$3:$CE$3,"&gt;"&amp;$CW$4,$AD53:$BA53)),
IF(BR$3=$DF53+'Model Setup'!$D$7,SUMIF($BH$3:$CE$3,"="&amp;$DF53+'Model Setup'!$D$7,$AD53:$BA53)+'Model Setup'!$D$8*(SUMIF($BH$3:$CE$3,"&lt;"&amp;$DF53,$AD53:$BA53)+SUMIF($BH$3:$CE$3,"&gt;"&amp;$CW$4,$AD53:$BA53)),
IF(BR$3=$DF53+'Model Setup'!$E$7,SUMIF($BH$3:$CE$3,"="&amp;$DF53+'Model Setup'!$E$7,$AD53:$BA53)+'Model Setup'!$E$8*(SUMIF($BH$3:$CE$3,"&lt;"&amp;$DF53,$AD53:$BA53)+SUMIF($BH$3:$CE$3,"&gt;"&amp;$CW$4,$AD53:$BA53)),
IF(BR$3=$DF53+'Model Setup'!$F$7,SUMIF($BH$3:$CE$3,"="&amp;$DF53+'Model Setup'!$F$7,$AD53:$BA53)+'Model Setup'!$F$8*(SUMIF($BH$3:$CE$3,"&lt;"&amp;$DF53,$AD53:$BA53)+SUMIF($BH$3:$CE$3,"&gt;"&amp;$CW$4,$AD53:$BA53)),
IF(BR$3=$DF53+'Model Setup'!$G$7,SUMIF($BH$3:$CE$3,"="&amp;$DF53+'Model Setup'!$G$7,$AD53:$BA53)+'Model Setup'!$G$8*(SUMIF($BH$3:$CE$3,"&lt;"&amp;$DF53,$AD53:$BA53)+SUMIF($BH$3:$CE$3,"&gt;"&amp;$CW$4,$AD53:$BA53)),
IF(BR$3=$DF53+'Model Setup'!$H$7,SUMIF($BH$3:$CE$3,"="&amp;$DF53+'Model Setup'!$H$7,$AD53:$BA53)+'Model Setup'!$H$8*(SUMIF($BH$3:$CE$3,"&lt;"&amp;$DF53,$AD53:$BA53)+SUMIF($BH$3:$CE$3,"&gt;"&amp;$CW$4,$AD53:$BA53)),
IF(BR$3=$DF53+'Model Setup'!$I$7,SUMIF($BH$3:$CE$3,"="&amp;$DF53+'Model Setup'!$I$7,$AD53:$BA53)+'Model Setup'!$I$8*(SUMIF($BH$3:$CE$3,"&lt;"&amp;$DF53,$AD53:$BA53)+SUMIF($BH$3:$CE$3,"&gt;"&amp;$CW$4,$AD53:$BA53)),
IF(BR$3=$DF53+'Model Setup'!$J$7,SUMIF($BH$3:$CE$3,"="&amp;$DF53+'Model Setup'!$J$7,$AD53:$BA53)+'Model Setup'!$J$8*(SUMIF($BH$3:$CE$3,"&lt;"&amp;$DF53,$AD53:$BA53)+SUMIF($BH$3:$CE$3,"&gt;"&amp;$CW$4,$AD53:$BA53)),
IF(BR$3=$DF53+'Model Setup'!$K$7,SUMIF($BH$3:$CE$3,"="&amp;$DF53+'Model Setup'!$K$7,$AD53:$BA53)+'Model Setup'!$K$8*(SUMIF($BH$3:$CE$3,"&lt;"&amp;$DF53,$AD53:$BA53)+SUMIF($BH$3:$CE$3,"&gt;"&amp;$CW$4,$AD53:$BA53)),
IF(BR$3=$DF53+'Model Setup'!$L$7,SUMIF($BH$3:$CE$3,"="&amp;$DF53+'Model Setup'!$L$7,$AD53:$BA53)+'Model Setup'!$L$8*(SUMIF($BH$3:$CE$3,"&lt;"&amp;$DF53,$AD53:$BA53)+SUMIF($BH$3:$CE$3,"&gt;"&amp;$CW$4,$AD53:$BA53)),
IF(BR$3=$DF53+'Model Setup'!$M$7,SUMIF($BH$3:$CE$3,"="&amp;$DF53+'Model Setup'!$M$7,$AD53:$BA53)+'Model Setup'!$M$8*(SUMIF($BH$3:$CE$3,"&lt;"&amp;$DF53,$AD53:$BA53)+SUMIF($BH$3:$CE$3,"&gt;"&amp;$CW$4,$AD53:$BA53)),
IF(BR$3=$DF53+'Model Setup'!$N$7,SUMIF($BH$3:$CE$3,"="&amp;$DF53+'Model Setup'!$N$7,$AD53:$BA53)+'Model Setup'!$N$8*(SUMIF($BH$3:$CE$3,"&lt;"&amp;$DF53,$AD53:$BA53)+SUMIF($BH$3:$CE$3,"&gt;"&amp;$CW$4,$AD53:$BA53)),
IF(BR$3&lt;$CW$4,L53,0))))))))))))))),0)</f>
        <v>120</v>
      </c>
      <c r="BS53" s="47">
        <f>ROUND(IF(OR(BS$3&lt;$DF53,BS$3&gt;$CW$4),0,
IF(BS$3=$DF53+'Model Setup'!$B$7,SUMIF($BH$3:$CE$3,"="&amp;$DF53+'Model Setup'!$B$7,$AD53:$BA53)+'Model Setup'!$B$8*(SUMIF($BH$3:$CE$3,"&lt;"&amp;$DF53,$AD53:$BA53)+SUMIF($BH$3:$CE$3,"&gt;"&amp;$CW$4,$AD53:$BA53)),
IF(BS$3=$DF53+'Model Setup'!$C$7,SUMIF($BH$3:$CE$3,"="&amp;$DF53+'Model Setup'!$C$7,$AD53:$BA53)+'Model Setup'!$C$8*(SUMIF($BH$3:$CE$3,"&lt;"&amp;$DF53,$AD53:$BA53)+SUMIF($BH$3:$CE$3,"&gt;"&amp;$CW$4,$AD53:$BA53)),
IF(BS$3=$DF53+'Model Setup'!$D$7,SUMIF($BH$3:$CE$3,"="&amp;$DF53+'Model Setup'!$D$7,$AD53:$BA53)+'Model Setup'!$D$8*(SUMIF($BH$3:$CE$3,"&lt;"&amp;$DF53,$AD53:$BA53)+SUMIF($BH$3:$CE$3,"&gt;"&amp;$CW$4,$AD53:$BA53)),
IF(BS$3=$DF53+'Model Setup'!$E$7,SUMIF($BH$3:$CE$3,"="&amp;$DF53+'Model Setup'!$E$7,$AD53:$BA53)+'Model Setup'!$E$8*(SUMIF($BH$3:$CE$3,"&lt;"&amp;$DF53,$AD53:$BA53)+SUMIF($BH$3:$CE$3,"&gt;"&amp;$CW$4,$AD53:$BA53)),
IF(BS$3=$DF53+'Model Setup'!$F$7,SUMIF($BH$3:$CE$3,"="&amp;$DF53+'Model Setup'!$F$7,$AD53:$BA53)+'Model Setup'!$F$8*(SUMIF($BH$3:$CE$3,"&lt;"&amp;$DF53,$AD53:$BA53)+SUMIF($BH$3:$CE$3,"&gt;"&amp;$CW$4,$AD53:$BA53)),
IF(BS$3=$DF53+'Model Setup'!$G$7,SUMIF($BH$3:$CE$3,"="&amp;$DF53+'Model Setup'!$G$7,$AD53:$BA53)+'Model Setup'!$G$8*(SUMIF($BH$3:$CE$3,"&lt;"&amp;$DF53,$AD53:$BA53)+SUMIF($BH$3:$CE$3,"&gt;"&amp;$CW$4,$AD53:$BA53)),
IF(BS$3=$DF53+'Model Setup'!$H$7,SUMIF($BH$3:$CE$3,"="&amp;$DF53+'Model Setup'!$H$7,$AD53:$BA53)+'Model Setup'!$H$8*(SUMIF($BH$3:$CE$3,"&lt;"&amp;$DF53,$AD53:$BA53)+SUMIF($BH$3:$CE$3,"&gt;"&amp;$CW$4,$AD53:$BA53)),
IF(BS$3=$DF53+'Model Setup'!$I$7,SUMIF($BH$3:$CE$3,"="&amp;$DF53+'Model Setup'!$I$7,$AD53:$BA53)+'Model Setup'!$I$8*(SUMIF($BH$3:$CE$3,"&lt;"&amp;$DF53,$AD53:$BA53)+SUMIF($BH$3:$CE$3,"&gt;"&amp;$CW$4,$AD53:$BA53)),
IF(BS$3=$DF53+'Model Setup'!$J$7,SUMIF($BH$3:$CE$3,"="&amp;$DF53+'Model Setup'!$J$7,$AD53:$BA53)+'Model Setup'!$J$8*(SUMIF($BH$3:$CE$3,"&lt;"&amp;$DF53,$AD53:$BA53)+SUMIF($BH$3:$CE$3,"&gt;"&amp;$CW$4,$AD53:$BA53)),
IF(BS$3=$DF53+'Model Setup'!$K$7,SUMIF($BH$3:$CE$3,"="&amp;$DF53+'Model Setup'!$K$7,$AD53:$BA53)+'Model Setup'!$K$8*(SUMIF($BH$3:$CE$3,"&lt;"&amp;$DF53,$AD53:$BA53)+SUMIF($BH$3:$CE$3,"&gt;"&amp;$CW$4,$AD53:$BA53)),
IF(BS$3=$DF53+'Model Setup'!$L$7,SUMIF($BH$3:$CE$3,"="&amp;$DF53+'Model Setup'!$L$7,$AD53:$BA53)+'Model Setup'!$L$8*(SUMIF($BH$3:$CE$3,"&lt;"&amp;$DF53,$AD53:$BA53)+SUMIF($BH$3:$CE$3,"&gt;"&amp;$CW$4,$AD53:$BA53)),
IF(BS$3=$DF53+'Model Setup'!$M$7,SUMIF($BH$3:$CE$3,"="&amp;$DF53+'Model Setup'!$M$7,$AD53:$BA53)+'Model Setup'!$M$8*(SUMIF($BH$3:$CE$3,"&lt;"&amp;$DF53,$AD53:$BA53)+SUMIF($BH$3:$CE$3,"&gt;"&amp;$CW$4,$AD53:$BA53)),
IF(BS$3=$DF53+'Model Setup'!$N$7,SUMIF($BH$3:$CE$3,"="&amp;$DF53+'Model Setup'!$N$7,$AD53:$BA53)+'Model Setup'!$N$8*(SUMIF($BH$3:$CE$3,"&lt;"&amp;$DF53,$AD53:$BA53)+SUMIF($BH$3:$CE$3,"&gt;"&amp;$CW$4,$AD53:$BA53)),
IF(BS$3&lt;$CW$4,M53,0))))))))))))))),0)</f>
        <v>102</v>
      </c>
      <c r="BT53" s="47">
        <f>ROUND(IF(OR(BT$3&lt;$DF53,BT$3&gt;$CW$4),0,
IF(BT$3=$DF53+'Model Setup'!$B$7,SUMIF($BH$3:$CE$3,"="&amp;$DF53+'Model Setup'!$B$7,$AD53:$BA53)+'Model Setup'!$B$8*(SUMIF($BH$3:$CE$3,"&lt;"&amp;$DF53,$AD53:$BA53)+SUMIF($BH$3:$CE$3,"&gt;"&amp;$CW$4,$AD53:$BA53)),
IF(BT$3=$DF53+'Model Setup'!$C$7,SUMIF($BH$3:$CE$3,"="&amp;$DF53+'Model Setup'!$C$7,$AD53:$BA53)+'Model Setup'!$C$8*(SUMIF($BH$3:$CE$3,"&lt;"&amp;$DF53,$AD53:$BA53)+SUMIF($BH$3:$CE$3,"&gt;"&amp;$CW$4,$AD53:$BA53)),
IF(BT$3=$DF53+'Model Setup'!$D$7,SUMIF($BH$3:$CE$3,"="&amp;$DF53+'Model Setup'!$D$7,$AD53:$BA53)+'Model Setup'!$D$8*(SUMIF($BH$3:$CE$3,"&lt;"&amp;$DF53,$AD53:$BA53)+SUMIF($BH$3:$CE$3,"&gt;"&amp;$CW$4,$AD53:$BA53)),
IF(BT$3=$DF53+'Model Setup'!$E$7,SUMIF($BH$3:$CE$3,"="&amp;$DF53+'Model Setup'!$E$7,$AD53:$BA53)+'Model Setup'!$E$8*(SUMIF($BH$3:$CE$3,"&lt;"&amp;$DF53,$AD53:$BA53)+SUMIF($BH$3:$CE$3,"&gt;"&amp;$CW$4,$AD53:$BA53)),
IF(BT$3=$DF53+'Model Setup'!$F$7,SUMIF($BH$3:$CE$3,"="&amp;$DF53+'Model Setup'!$F$7,$AD53:$BA53)+'Model Setup'!$F$8*(SUMIF($BH$3:$CE$3,"&lt;"&amp;$DF53,$AD53:$BA53)+SUMIF($BH$3:$CE$3,"&gt;"&amp;$CW$4,$AD53:$BA53)),
IF(BT$3=$DF53+'Model Setup'!$G$7,SUMIF($BH$3:$CE$3,"="&amp;$DF53+'Model Setup'!$G$7,$AD53:$BA53)+'Model Setup'!$G$8*(SUMIF($BH$3:$CE$3,"&lt;"&amp;$DF53,$AD53:$BA53)+SUMIF($BH$3:$CE$3,"&gt;"&amp;$CW$4,$AD53:$BA53)),
IF(BT$3=$DF53+'Model Setup'!$H$7,SUMIF($BH$3:$CE$3,"="&amp;$DF53+'Model Setup'!$H$7,$AD53:$BA53)+'Model Setup'!$H$8*(SUMIF($BH$3:$CE$3,"&lt;"&amp;$DF53,$AD53:$BA53)+SUMIF($BH$3:$CE$3,"&gt;"&amp;$CW$4,$AD53:$BA53)),
IF(BT$3=$DF53+'Model Setup'!$I$7,SUMIF($BH$3:$CE$3,"="&amp;$DF53+'Model Setup'!$I$7,$AD53:$BA53)+'Model Setup'!$I$8*(SUMIF($BH$3:$CE$3,"&lt;"&amp;$DF53,$AD53:$BA53)+SUMIF($BH$3:$CE$3,"&gt;"&amp;$CW$4,$AD53:$BA53)),
IF(BT$3=$DF53+'Model Setup'!$J$7,SUMIF($BH$3:$CE$3,"="&amp;$DF53+'Model Setup'!$J$7,$AD53:$BA53)+'Model Setup'!$J$8*(SUMIF($BH$3:$CE$3,"&lt;"&amp;$DF53,$AD53:$BA53)+SUMIF($BH$3:$CE$3,"&gt;"&amp;$CW$4,$AD53:$BA53)),
IF(BT$3=$DF53+'Model Setup'!$K$7,SUMIF($BH$3:$CE$3,"="&amp;$DF53+'Model Setup'!$K$7,$AD53:$BA53)+'Model Setup'!$K$8*(SUMIF($BH$3:$CE$3,"&lt;"&amp;$DF53,$AD53:$BA53)+SUMIF($BH$3:$CE$3,"&gt;"&amp;$CW$4,$AD53:$BA53)),
IF(BT$3=$DF53+'Model Setup'!$L$7,SUMIF($BH$3:$CE$3,"="&amp;$DF53+'Model Setup'!$L$7,$AD53:$BA53)+'Model Setup'!$L$8*(SUMIF($BH$3:$CE$3,"&lt;"&amp;$DF53,$AD53:$BA53)+SUMIF($BH$3:$CE$3,"&gt;"&amp;$CW$4,$AD53:$BA53)),
IF(BT$3=$DF53+'Model Setup'!$M$7,SUMIF($BH$3:$CE$3,"="&amp;$DF53+'Model Setup'!$M$7,$AD53:$BA53)+'Model Setup'!$M$8*(SUMIF($BH$3:$CE$3,"&lt;"&amp;$DF53,$AD53:$BA53)+SUMIF($BH$3:$CE$3,"&gt;"&amp;$CW$4,$AD53:$BA53)),
IF(BT$3=$DF53+'Model Setup'!$N$7,SUMIF($BH$3:$CE$3,"="&amp;$DF53+'Model Setup'!$N$7,$AD53:$BA53)+'Model Setup'!$N$8*(SUMIF($BH$3:$CE$3,"&lt;"&amp;$DF53,$AD53:$BA53)+SUMIF($BH$3:$CE$3,"&gt;"&amp;$CW$4,$AD53:$BA53)),
IF(BT$3&lt;$CW$4,N53,0))))))))))))))),0)</f>
        <v>71</v>
      </c>
      <c r="BU53" s="47">
        <f>ROUND(IF(OR(BU$3&lt;$DF53,BU$3&gt;$CW$4),0,
IF(BU$3=$DF53+'Model Setup'!$B$7,SUMIF($BH$3:$CE$3,"="&amp;$DF53+'Model Setup'!$B$7,$AD53:$BA53)+'Model Setup'!$B$8*(SUMIF($BH$3:$CE$3,"&lt;"&amp;$DF53,$AD53:$BA53)+SUMIF($BH$3:$CE$3,"&gt;"&amp;$CW$4,$AD53:$BA53)),
IF(BU$3=$DF53+'Model Setup'!$C$7,SUMIF($BH$3:$CE$3,"="&amp;$DF53+'Model Setup'!$C$7,$AD53:$BA53)+'Model Setup'!$C$8*(SUMIF($BH$3:$CE$3,"&lt;"&amp;$DF53,$AD53:$BA53)+SUMIF($BH$3:$CE$3,"&gt;"&amp;$CW$4,$AD53:$BA53)),
IF(BU$3=$DF53+'Model Setup'!$D$7,SUMIF($BH$3:$CE$3,"="&amp;$DF53+'Model Setup'!$D$7,$AD53:$BA53)+'Model Setup'!$D$8*(SUMIF($BH$3:$CE$3,"&lt;"&amp;$DF53,$AD53:$BA53)+SUMIF($BH$3:$CE$3,"&gt;"&amp;$CW$4,$AD53:$BA53)),
IF(BU$3=$DF53+'Model Setup'!$E$7,SUMIF($BH$3:$CE$3,"="&amp;$DF53+'Model Setup'!$E$7,$AD53:$BA53)+'Model Setup'!$E$8*(SUMIF($BH$3:$CE$3,"&lt;"&amp;$DF53,$AD53:$BA53)+SUMIF($BH$3:$CE$3,"&gt;"&amp;$CW$4,$AD53:$BA53)),
IF(BU$3=$DF53+'Model Setup'!$F$7,SUMIF($BH$3:$CE$3,"="&amp;$DF53+'Model Setup'!$F$7,$AD53:$BA53)+'Model Setup'!$F$8*(SUMIF($BH$3:$CE$3,"&lt;"&amp;$DF53,$AD53:$BA53)+SUMIF($BH$3:$CE$3,"&gt;"&amp;$CW$4,$AD53:$BA53)),
IF(BU$3=$DF53+'Model Setup'!$G$7,SUMIF($BH$3:$CE$3,"="&amp;$DF53+'Model Setup'!$G$7,$AD53:$BA53)+'Model Setup'!$G$8*(SUMIF($BH$3:$CE$3,"&lt;"&amp;$DF53,$AD53:$BA53)+SUMIF($BH$3:$CE$3,"&gt;"&amp;$CW$4,$AD53:$BA53)),
IF(BU$3=$DF53+'Model Setup'!$H$7,SUMIF($BH$3:$CE$3,"="&amp;$DF53+'Model Setup'!$H$7,$AD53:$BA53)+'Model Setup'!$H$8*(SUMIF($BH$3:$CE$3,"&lt;"&amp;$DF53,$AD53:$BA53)+SUMIF($BH$3:$CE$3,"&gt;"&amp;$CW$4,$AD53:$BA53)),
IF(BU$3=$DF53+'Model Setup'!$I$7,SUMIF($BH$3:$CE$3,"="&amp;$DF53+'Model Setup'!$I$7,$AD53:$BA53)+'Model Setup'!$I$8*(SUMIF($BH$3:$CE$3,"&lt;"&amp;$DF53,$AD53:$BA53)+SUMIF($BH$3:$CE$3,"&gt;"&amp;$CW$4,$AD53:$BA53)),
IF(BU$3=$DF53+'Model Setup'!$J$7,SUMIF($BH$3:$CE$3,"="&amp;$DF53+'Model Setup'!$J$7,$AD53:$BA53)+'Model Setup'!$J$8*(SUMIF($BH$3:$CE$3,"&lt;"&amp;$DF53,$AD53:$BA53)+SUMIF($BH$3:$CE$3,"&gt;"&amp;$CW$4,$AD53:$BA53)),
IF(BU$3=$DF53+'Model Setup'!$K$7,SUMIF($BH$3:$CE$3,"="&amp;$DF53+'Model Setup'!$K$7,$AD53:$BA53)+'Model Setup'!$K$8*(SUMIF($BH$3:$CE$3,"&lt;"&amp;$DF53,$AD53:$BA53)+SUMIF($BH$3:$CE$3,"&gt;"&amp;$CW$4,$AD53:$BA53)),
IF(BU$3=$DF53+'Model Setup'!$L$7,SUMIF($BH$3:$CE$3,"="&amp;$DF53+'Model Setup'!$L$7,$AD53:$BA53)+'Model Setup'!$L$8*(SUMIF($BH$3:$CE$3,"&lt;"&amp;$DF53,$AD53:$BA53)+SUMIF($BH$3:$CE$3,"&gt;"&amp;$CW$4,$AD53:$BA53)),
IF(BU$3=$DF53+'Model Setup'!$M$7,SUMIF($BH$3:$CE$3,"="&amp;$DF53+'Model Setup'!$M$7,$AD53:$BA53)+'Model Setup'!$M$8*(SUMIF($BH$3:$CE$3,"&lt;"&amp;$DF53,$AD53:$BA53)+SUMIF($BH$3:$CE$3,"&gt;"&amp;$CW$4,$AD53:$BA53)),
IF(BU$3=$DF53+'Model Setup'!$N$7,SUMIF($BH$3:$CE$3,"="&amp;$DF53+'Model Setup'!$N$7,$AD53:$BA53)+'Model Setup'!$N$8*(SUMIF($BH$3:$CE$3,"&lt;"&amp;$DF53,$AD53:$BA53)+SUMIF($BH$3:$CE$3,"&gt;"&amp;$CW$4,$AD53:$BA53)),
IF(BU$3&lt;$CW$4,O53,0))))))))))))))),0)</f>
        <v>64</v>
      </c>
      <c r="BV53" s="47">
        <f>ROUND(IF(OR(BV$3&lt;$DF53,BV$3&gt;$CW$4),0,
IF(BV$3=$DF53+'Model Setup'!$B$7,SUMIF($BH$3:$CE$3,"="&amp;$DF53+'Model Setup'!$B$7,$AD53:$BA53)+'Model Setup'!$B$8*(SUMIF($BH$3:$CE$3,"&lt;"&amp;$DF53,$AD53:$BA53)+SUMIF($BH$3:$CE$3,"&gt;"&amp;$CW$4,$AD53:$BA53)),
IF(BV$3=$DF53+'Model Setup'!$C$7,SUMIF($BH$3:$CE$3,"="&amp;$DF53+'Model Setup'!$C$7,$AD53:$BA53)+'Model Setup'!$C$8*(SUMIF($BH$3:$CE$3,"&lt;"&amp;$DF53,$AD53:$BA53)+SUMIF($BH$3:$CE$3,"&gt;"&amp;$CW$4,$AD53:$BA53)),
IF(BV$3=$DF53+'Model Setup'!$D$7,SUMIF($BH$3:$CE$3,"="&amp;$DF53+'Model Setup'!$D$7,$AD53:$BA53)+'Model Setup'!$D$8*(SUMIF($BH$3:$CE$3,"&lt;"&amp;$DF53,$AD53:$BA53)+SUMIF($BH$3:$CE$3,"&gt;"&amp;$CW$4,$AD53:$BA53)),
IF(BV$3=$DF53+'Model Setup'!$E$7,SUMIF($BH$3:$CE$3,"="&amp;$DF53+'Model Setup'!$E$7,$AD53:$BA53)+'Model Setup'!$E$8*(SUMIF($BH$3:$CE$3,"&lt;"&amp;$DF53,$AD53:$BA53)+SUMIF($BH$3:$CE$3,"&gt;"&amp;$CW$4,$AD53:$BA53)),
IF(BV$3=$DF53+'Model Setup'!$F$7,SUMIF($BH$3:$CE$3,"="&amp;$DF53+'Model Setup'!$F$7,$AD53:$BA53)+'Model Setup'!$F$8*(SUMIF($BH$3:$CE$3,"&lt;"&amp;$DF53,$AD53:$BA53)+SUMIF($BH$3:$CE$3,"&gt;"&amp;$CW$4,$AD53:$BA53)),
IF(BV$3=$DF53+'Model Setup'!$G$7,SUMIF($BH$3:$CE$3,"="&amp;$DF53+'Model Setup'!$G$7,$AD53:$BA53)+'Model Setup'!$G$8*(SUMIF($BH$3:$CE$3,"&lt;"&amp;$DF53,$AD53:$BA53)+SUMIF($BH$3:$CE$3,"&gt;"&amp;$CW$4,$AD53:$BA53)),
IF(BV$3=$DF53+'Model Setup'!$H$7,SUMIF($BH$3:$CE$3,"="&amp;$DF53+'Model Setup'!$H$7,$AD53:$BA53)+'Model Setup'!$H$8*(SUMIF($BH$3:$CE$3,"&lt;"&amp;$DF53,$AD53:$BA53)+SUMIF($BH$3:$CE$3,"&gt;"&amp;$CW$4,$AD53:$BA53)),
IF(BV$3=$DF53+'Model Setup'!$I$7,SUMIF($BH$3:$CE$3,"="&amp;$DF53+'Model Setup'!$I$7,$AD53:$BA53)+'Model Setup'!$I$8*(SUMIF($BH$3:$CE$3,"&lt;"&amp;$DF53,$AD53:$BA53)+SUMIF($BH$3:$CE$3,"&gt;"&amp;$CW$4,$AD53:$BA53)),
IF(BV$3=$DF53+'Model Setup'!$J$7,SUMIF($BH$3:$CE$3,"="&amp;$DF53+'Model Setup'!$J$7,$AD53:$BA53)+'Model Setup'!$J$8*(SUMIF($BH$3:$CE$3,"&lt;"&amp;$DF53,$AD53:$BA53)+SUMIF($BH$3:$CE$3,"&gt;"&amp;$CW$4,$AD53:$BA53)),
IF(BV$3=$DF53+'Model Setup'!$K$7,SUMIF($BH$3:$CE$3,"="&amp;$DF53+'Model Setup'!$K$7,$AD53:$BA53)+'Model Setup'!$K$8*(SUMIF($BH$3:$CE$3,"&lt;"&amp;$DF53,$AD53:$BA53)+SUMIF($BH$3:$CE$3,"&gt;"&amp;$CW$4,$AD53:$BA53)),
IF(BV$3=$DF53+'Model Setup'!$L$7,SUMIF($BH$3:$CE$3,"="&amp;$DF53+'Model Setup'!$L$7,$AD53:$BA53)+'Model Setup'!$L$8*(SUMIF($BH$3:$CE$3,"&lt;"&amp;$DF53,$AD53:$BA53)+SUMIF($BH$3:$CE$3,"&gt;"&amp;$CW$4,$AD53:$BA53)),
IF(BV$3=$DF53+'Model Setup'!$M$7,SUMIF($BH$3:$CE$3,"="&amp;$DF53+'Model Setup'!$M$7,$AD53:$BA53)+'Model Setup'!$M$8*(SUMIF($BH$3:$CE$3,"&lt;"&amp;$DF53,$AD53:$BA53)+SUMIF($BH$3:$CE$3,"&gt;"&amp;$CW$4,$AD53:$BA53)),
IF(BV$3=$DF53+'Model Setup'!$N$7,SUMIF($BH$3:$CE$3,"="&amp;$DF53+'Model Setup'!$N$7,$AD53:$BA53)+'Model Setup'!$N$8*(SUMIF($BH$3:$CE$3,"&lt;"&amp;$DF53,$AD53:$BA53)+SUMIF($BH$3:$CE$3,"&gt;"&amp;$CW$4,$AD53:$BA53)),
IF(BV$3&lt;$CW$4,P53,0))))))))))))))),0)</f>
        <v>42</v>
      </c>
      <c r="BW53" s="47">
        <f>ROUND(IF(OR(BW$3&lt;$DF53,BW$3&gt;$CW$4),0,
IF(BW$3=$DF53+'Model Setup'!$B$7,SUMIF($BH$3:$CE$3,"="&amp;$DF53+'Model Setup'!$B$7,$AD53:$BA53)+'Model Setup'!$B$8*(SUMIF($BH$3:$CE$3,"&lt;"&amp;$DF53,$AD53:$BA53)+SUMIF($BH$3:$CE$3,"&gt;"&amp;$CW$4,$AD53:$BA53)),
IF(BW$3=$DF53+'Model Setup'!$C$7,SUMIF($BH$3:$CE$3,"="&amp;$DF53+'Model Setup'!$C$7,$AD53:$BA53)+'Model Setup'!$C$8*(SUMIF($BH$3:$CE$3,"&lt;"&amp;$DF53,$AD53:$BA53)+SUMIF($BH$3:$CE$3,"&gt;"&amp;$CW$4,$AD53:$BA53)),
IF(BW$3=$DF53+'Model Setup'!$D$7,SUMIF($BH$3:$CE$3,"="&amp;$DF53+'Model Setup'!$D$7,$AD53:$BA53)+'Model Setup'!$D$8*(SUMIF($BH$3:$CE$3,"&lt;"&amp;$DF53,$AD53:$BA53)+SUMIF($BH$3:$CE$3,"&gt;"&amp;$CW$4,$AD53:$BA53)),
IF(BW$3=$DF53+'Model Setup'!$E$7,SUMIF($BH$3:$CE$3,"="&amp;$DF53+'Model Setup'!$E$7,$AD53:$BA53)+'Model Setup'!$E$8*(SUMIF($BH$3:$CE$3,"&lt;"&amp;$DF53,$AD53:$BA53)+SUMIF($BH$3:$CE$3,"&gt;"&amp;$CW$4,$AD53:$BA53)),
IF(BW$3=$DF53+'Model Setup'!$F$7,SUMIF($BH$3:$CE$3,"="&amp;$DF53+'Model Setup'!$F$7,$AD53:$BA53)+'Model Setup'!$F$8*(SUMIF($BH$3:$CE$3,"&lt;"&amp;$DF53,$AD53:$BA53)+SUMIF($BH$3:$CE$3,"&gt;"&amp;$CW$4,$AD53:$BA53)),
IF(BW$3=$DF53+'Model Setup'!$G$7,SUMIF($BH$3:$CE$3,"="&amp;$DF53+'Model Setup'!$G$7,$AD53:$BA53)+'Model Setup'!$G$8*(SUMIF($BH$3:$CE$3,"&lt;"&amp;$DF53,$AD53:$BA53)+SUMIF($BH$3:$CE$3,"&gt;"&amp;$CW$4,$AD53:$BA53)),
IF(BW$3=$DF53+'Model Setup'!$H$7,SUMIF($BH$3:$CE$3,"="&amp;$DF53+'Model Setup'!$H$7,$AD53:$BA53)+'Model Setup'!$H$8*(SUMIF($BH$3:$CE$3,"&lt;"&amp;$DF53,$AD53:$BA53)+SUMIF($BH$3:$CE$3,"&gt;"&amp;$CW$4,$AD53:$BA53)),
IF(BW$3=$DF53+'Model Setup'!$I$7,SUMIF($BH$3:$CE$3,"="&amp;$DF53+'Model Setup'!$I$7,$AD53:$BA53)+'Model Setup'!$I$8*(SUMIF($BH$3:$CE$3,"&lt;"&amp;$DF53,$AD53:$BA53)+SUMIF($BH$3:$CE$3,"&gt;"&amp;$CW$4,$AD53:$BA53)),
IF(BW$3=$DF53+'Model Setup'!$J$7,SUMIF($BH$3:$CE$3,"="&amp;$DF53+'Model Setup'!$J$7,$AD53:$BA53)+'Model Setup'!$J$8*(SUMIF($BH$3:$CE$3,"&lt;"&amp;$DF53,$AD53:$BA53)+SUMIF($BH$3:$CE$3,"&gt;"&amp;$CW$4,$AD53:$BA53)),
IF(BW$3=$DF53+'Model Setup'!$K$7,SUMIF($BH$3:$CE$3,"="&amp;$DF53+'Model Setup'!$K$7,$AD53:$BA53)+'Model Setup'!$K$8*(SUMIF($BH$3:$CE$3,"&lt;"&amp;$DF53,$AD53:$BA53)+SUMIF($BH$3:$CE$3,"&gt;"&amp;$CW$4,$AD53:$BA53)),
IF(BW$3=$DF53+'Model Setup'!$L$7,SUMIF($BH$3:$CE$3,"="&amp;$DF53+'Model Setup'!$L$7,$AD53:$BA53)+'Model Setup'!$L$8*(SUMIF($BH$3:$CE$3,"&lt;"&amp;$DF53,$AD53:$BA53)+SUMIF($BH$3:$CE$3,"&gt;"&amp;$CW$4,$AD53:$BA53)),
IF(BW$3=$DF53+'Model Setup'!$M$7,SUMIF($BH$3:$CE$3,"="&amp;$DF53+'Model Setup'!$M$7,$AD53:$BA53)+'Model Setup'!$M$8*(SUMIF($BH$3:$CE$3,"&lt;"&amp;$DF53,$AD53:$BA53)+SUMIF($BH$3:$CE$3,"&gt;"&amp;$CW$4,$AD53:$BA53)),
IF(BW$3=$DF53+'Model Setup'!$N$7,SUMIF($BH$3:$CE$3,"="&amp;$DF53+'Model Setup'!$N$7,$AD53:$BA53)+'Model Setup'!$N$8*(SUMIF($BH$3:$CE$3,"&lt;"&amp;$DF53,$AD53:$BA53)+SUMIF($BH$3:$CE$3,"&gt;"&amp;$CW$4,$AD53:$BA53)),
IF(BW$3&lt;$CW$4,Q53,0))))))))))))))),0)</f>
        <v>51</v>
      </c>
      <c r="BX53" s="47">
        <f>ROUND(IF(OR(BX$3&lt;$DF53,BX$3&gt;$CW$4),0,
IF(BX$3=$DF53+'Model Setup'!$B$7,SUMIF($BH$3:$CE$3,"="&amp;$DF53+'Model Setup'!$B$7,$AD53:$BA53)+'Model Setup'!$B$8*(SUMIF($BH$3:$CE$3,"&lt;"&amp;$DF53,$AD53:$BA53)+SUMIF($BH$3:$CE$3,"&gt;"&amp;$CW$4,$AD53:$BA53)),
IF(BX$3=$DF53+'Model Setup'!$C$7,SUMIF($BH$3:$CE$3,"="&amp;$DF53+'Model Setup'!$C$7,$AD53:$BA53)+'Model Setup'!$C$8*(SUMIF($BH$3:$CE$3,"&lt;"&amp;$DF53,$AD53:$BA53)+SUMIF($BH$3:$CE$3,"&gt;"&amp;$CW$4,$AD53:$BA53)),
IF(BX$3=$DF53+'Model Setup'!$D$7,SUMIF($BH$3:$CE$3,"="&amp;$DF53+'Model Setup'!$D$7,$AD53:$BA53)+'Model Setup'!$D$8*(SUMIF($BH$3:$CE$3,"&lt;"&amp;$DF53,$AD53:$BA53)+SUMIF($BH$3:$CE$3,"&gt;"&amp;$CW$4,$AD53:$BA53)),
IF(BX$3=$DF53+'Model Setup'!$E$7,SUMIF($BH$3:$CE$3,"="&amp;$DF53+'Model Setup'!$E$7,$AD53:$BA53)+'Model Setup'!$E$8*(SUMIF($BH$3:$CE$3,"&lt;"&amp;$DF53,$AD53:$BA53)+SUMIF($BH$3:$CE$3,"&gt;"&amp;$CW$4,$AD53:$BA53)),
IF(BX$3=$DF53+'Model Setup'!$F$7,SUMIF($BH$3:$CE$3,"="&amp;$DF53+'Model Setup'!$F$7,$AD53:$BA53)+'Model Setup'!$F$8*(SUMIF($BH$3:$CE$3,"&lt;"&amp;$DF53,$AD53:$BA53)+SUMIF($BH$3:$CE$3,"&gt;"&amp;$CW$4,$AD53:$BA53)),
IF(BX$3=$DF53+'Model Setup'!$G$7,SUMIF($BH$3:$CE$3,"="&amp;$DF53+'Model Setup'!$G$7,$AD53:$BA53)+'Model Setup'!$G$8*(SUMIF($BH$3:$CE$3,"&lt;"&amp;$DF53,$AD53:$BA53)+SUMIF($BH$3:$CE$3,"&gt;"&amp;$CW$4,$AD53:$BA53)),
IF(BX$3=$DF53+'Model Setup'!$H$7,SUMIF($BH$3:$CE$3,"="&amp;$DF53+'Model Setup'!$H$7,$AD53:$BA53)+'Model Setup'!$H$8*(SUMIF($BH$3:$CE$3,"&lt;"&amp;$DF53,$AD53:$BA53)+SUMIF($BH$3:$CE$3,"&gt;"&amp;$CW$4,$AD53:$BA53)),
IF(BX$3=$DF53+'Model Setup'!$I$7,SUMIF($BH$3:$CE$3,"="&amp;$DF53+'Model Setup'!$I$7,$AD53:$BA53)+'Model Setup'!$I$8*(SUMIF($BH$3:$CE$3,"&lt;"&amp;$DF53,$AD53:$BA53)+SUMIF($BH$3:$CE$3,"&gt;"&amp;$CW$4,$AD53:$BA53)),
IF(BX$3=$DF53+'Model Setup'!$J$7,SUMIF($BH$3:$CE$3,"="&amp;$DF53+'Model Setup'!$J$7,$AD53:$BA53)+'Model Setup'!$J$8*(SUMIF($BH$3:$CE$3,"&lt;"&amp;$DF53,$AD53:$BA53)+SUMIF($BH$3:$CE$3,"&gt;"&amp;$CW$4,$AD53:$BA53)),
IF(BX$3=$DF53+'Model Setup'!$K$7,SUMIF($BH$3:$CE$3,"="&amp;$DF53+'Model Setup'!$K$7,$AD53:$BA53)+'Model Setup'!$K$8*(SUMIF($BH$3:$CE$3,"&lt;"&amp;$DF53,$AD53:$BA53)+SUMIF($BH$3:$CE$3,"&gt;"&amp;$CW$4,$AD53:$BA53)),
IF(BX$3=$DF53+'Model Setup'!$L$7,SUMIF($BH$3:$CE$3,"="&amp;$DF53+'Model Setup'!$L$7,$AD53:$BA53)+'Model Setup'!$L$8*(SUMIF($BH$3:$CE$3,"&lt;"&amp;$DF53,$AD53:$BA53)+SUMIF($BH$3:$CE$3,"&gt;"&amp;$CW$4,$AD53:$BA53)),
IF(BX$3=$DF53+'Model Setup'!$M$7,SUMIF($BH$3:$CE$3,"="&amp;$DF53+'Model Setup'!$M$7,$AD53:$BA53)+'Model Setup'!$M$8*(SUMIF($BH$3:$CE$3,"&lt;"&amp;$DF53,$AD53:$BA53)+SUMIF($BH$3:$CE$3,"&gt;"&amp;$CW$4,$AD53:$BA53)),
IF(BX$3=$DF53+'Model Setup'!$N$7,SUMIF($BH$3:$CE$3,"="&amp;$DF53+'Model Setup'!$N$7,$AD53:$BA53)+'Model Setup'!$N$8*(SUMIF($BH$3:$CE$3,"&lt;"&amp;$DF53,$AD53:$BA53)+SUMIF($BH$3:$CE$3,"&gt;"&amp;$CW$4,$AD53:$BA53)),
IF(BX$3&lt;$CW$4,R53,0))))))))))))))),0)</f>
        <v>33</v>
      </c>
      <c r="BY53" s="47">
        <f>ROUND(IF(OR(BY$3&lt;$DF53,BY$3&gt;$CW$4),0,
IF(BY$3=$DF53+'Model Setup'!$B$7,SUMIF($BH$3:$CE$3,"="&amp;$DF53+'Model Setup'!$B$7,$AD53:$BA53)+'Model Setup'!$B$8*(SUMIF($BH$3:$CE$3,"&lt;"&amp;$DF53,$AD53:$BA53)+SUMIF($BH$3:$CE$3,"&gt;"&amp;$CW$4,$AD53:$BA53)),
IF(BY$3=$DF53+'Model Setup'!$C$7,SUMIF($BH$3:$CE$3,"="&amp;$DF53+'Model Setup'!$C$7,$AD53:$BA53)+'Model Setup'!$C$8*(SUMIF($BH$3:$CE$3,"&lt;"&amp;$DF53,$AD53:$BA53)+SUMIF($BH$3:$CE$3,"&gt;"&amp;$CW$4,$AD53:$BA53)),
IF(BY$3=$DF53+'Model Setup'!$D$7,SUMIF($BH$3:$CE$3,"="&amp;$DF53+'Model Setup'!$D$7,$AD53:$BA53)+'Model Setup'!$D$8*(SUMIF($BH$3:$CE$3,"&lt;"&amp;$DF53,$AD53:$BA53)+SUMIF($BH$3:$CE$3,"&gt;"&amp;$CW$4,$AD53:$BA53)),
IF(BY$3=$DF53+'Model Setup'!$E$7,SUMIF($BH$3:$CE$3,"="&amp;$DF53+'Model Setup'!$E$7,$AD53:$BA53)+'Model Setup'!$E$8*(SUMIF($BH$3:$CE$3,"&lt;"&amp;$DF53,$AD53:$BA53)+SUMIF($BH$3:$CE$3,"&gt;"&amp;$CW$4,$AD53:$BA53)),
IF(BY$3=$DF53+'Model Setup'!$F$7,SUMIF($BH$3:$CE$3,"="&amp;$DF53+'Model Setup'!$F$7,$AD53:$BA53)+'Model Setup'!$F$8*(SUMIF($BH$3:$CE$3,"&lt;"&amp;$DF53,$AD53:$BA53)+SUMIF($BH$3:$CE$3,"&gt;"&amp;$CW$4,$AD53:$BA53)),
IF(BY$3=$DF53+'Model Setup'!$G$7,SUMIF($BH$3:$CE$3,"="&amp;$DF53+'Model Setup'!$G$7,$AD53:$BA53)+'Model Setup'!$G$8*(SUMIF($BH$3:$CE$3,"&lt;"&amp;$DF53,$AD53:$BA53)+SUMIF($BH$3:$CE$3,"&gt;"&amp;$CW$4,$AD53:$BA53)),
IF(BY$3=$DF53+'Model Setup'!$H$7,SUMIF($BH$3:$CE$3,"="&amp;$DF53+'Model Setup'!$H$7,$AD53:$BA53)+'Model Setup'!$H$8*(SUMIF($BH$3:$CE$3,"&lt;"&amp;$DF53,$AD53:$BA53)+SUMIF($BH$3:$CE$3,"&gt;"&amp;$CW$4,$AD53:$BA53)),
IF(BY$3=$DF53+'Model Setup'!$I$7,SUMIF($BH$3:$CE$3,"="&amp;$DF53+'Model Setup'!$I$7,$AD53:$BA53)+'Model Setup'!$I$8*(SUMIF($BH$3:$CE$3,"&lt;"&amp;$DF53,$AD53:$BA53)+SUMIF($BH$3:$CE$3,"&gt;"&amp;$CW$4,$AD53:$BA53)),
IF(BY$3=$DF53+'Model Setup'!$J$7,SUMIF($BH$3:$CE$3,"="&amp;$DF53+'Model Setup'!$J$7,$AD53:$BA53)+'Model Setup'!$J$8*(SUMIF($BH$3:$CE$3,"&lt;"&amp;$DF53,$AD53:$BA53)+SUMIF($BH$3:$CE$3,"&gt;"&amp;$CW$4,$AD53:$BA53)),
IF(BY$3=$DF53+'Model Setup'!$K$7,SUMIF($BH$3:$CE$3,"="&amp;$DF53+'Model Setup'!$K$7,$AD53:$BA53)+'Model Setup'!$K$8*(SUMIF($BH$3:$CE$3,"&lt;"&amp;$DF53,$AD53:$BA53)+SUMIF($BH$3:$CE$3,"&gt;"&amp;$CW$4,$AD53:$BA53)),
IF(BY$3=$DF53+'Model Setup'!$L$7,SUMIF($BH$3:$CE$3,"="&amp;$DF53+'Model Setup'!$L$7,$AD53:$BA53)+'Model Setup'!$L$8*(SUMIF($BH$3:$CE$3,"&lt;"&amp;$DF53,$AD53:$BA53)+SUMIF($BH$3:$CE$3,"&gt;"&amp;$CW$4,$AD53:$BA53)),
IF(BY$3=$DF53+'Model Setup'!$M$7,SUMIF($BH$3:$CE$3,"="&amp;$DF53+'Model Setup'!$M$7,$AD53:$BA53)+'Model Setup'!$M$8*(SUMIF($BH$3:$CE$3,"&lt;"&amp;$DF53,$AD53:$BA53)+SUMIF($BH$3:$CE$3,"&gt;"&amp;$CW$4,$AD53:$BA53)),
IF(BY$3=$DF53+'Model Setup'!$N$7,SUMIF($BH$3:$CE$3,"="&amp;$DF53+'Model Setup'!$N$7,$AD53:$BA53)+'Model Setup'!$N$8*(SUMIF($BH$3:$CE$3,"&lt;"&amp;$DF53,$AD53:$BA53)+SUMIF($BH$3:$CE$3,"&gt;"&amp;$CW$4,$AD53:$BA53)),
IF(BY$3&lt;$CW$4,S53,0))))))))))))))),0)</f>
        <v>27</v>
      </c>
      <c r="BZ53" s="47">
        <f>ROUND(IF(OR(BZ$3&lt;$DF53,BZ$3&gt;$CW$4),0,
IF(BZ$3=$DF53+'Model Setup'!$B$7,SUMIF($BH$3:$CE$3,"="&amp;$DF53+'Model Setup'!$B$7,$AD53:$BA53)+'Model Setup'!$B$8*(SUMIF($BH$3:$CE$3,"&lt;"&amp;$DF53,$AD53:$BA53)+SUMIF($BH$3:$CE$3,"&gt;"&amp;$CW$4,$AD53:$BA53)),
IF(BZ$3=$DF53+'Model Setup'!$C$7,SUMIF($BH$3:$CE$3,"="&amp;$DF53+'Model Setup'!$C$7,$AD53:$BA53)+'Model Setup'!$C$8*(SUMIF($BH$3:$CE$3,"&lt;"&amp;$DF53,$AD53:$BA53)+SUMIF($BH$3:$CE$3,"&gt;"&amp;$CW$4,$AD53:$BA53)),
IF(BZ$3=$DF53+'Model Setup'!$D$7,SUMIF($BH$3:$CE$3,"="&amp;$DF53+'Model Setup'!$D$7,$AD53:$BA53)+'Model Setup'!$D$8*(SUMIF($BH$3:$CE$3,"&lt;"&amp;$DF53,$AD53:$BA53)+SUMIF($BH$3:$CE$3,"&gt;"&amp;$CW$4,$AD53:$BA53)),
IF(BZ$3=$DF53+'Model Setup'!$E$7,SUMIF($BH$3:$CE$3,"="&amp;$DF53+'Model Setup'!$E$7,$AD53:$BA53)+'Model Setup'!$E$8*(SUMIF($BH$3:$CE$3,"&lt;"&amp;$DF53,$AD53:$BA53)+SUMIF($BH$3:$CE$3,"&gt;"&amp;$CW$4,$AD53:$BA53)),
IF(BZ$3=$DF53+'Model Setup'!$F$7,SUMIF($BH$3:$CE$3,"="&amp;$DF53+'Model Setup'!$F$7,$AD53:$BA53)+'Model Setup'!$F$8*(SUMIF($BH$3:$CE$3,"&lt;"&amp;$DF53,$AD53:$BA53)+SUMIF($BH$3:$CE$3,"&gt;"&amp;$CW$4,$AD53:$BA53)),
IF(BZ$3=$DF53+'Model Setup'!$G$7,SUMIF($BH$3:$CE$3,"="&amp;$DF53+'Model Setup'!$G$7,$AD53:$BA53)+'Model Setup'!$G$8*(SUMIF($BH$3:$CE$3,"&lt;"&amp;$DF53,$AD53:$BA53)+SUMIF($BH$3:$CE$3,"&gt;"&amp;$CW$4,$AD53:$BA53)),
IF(BZ$3=$DF53+'Model Setup'!$H$7,SUMIF($BH$3:$CE$3,"="&amp;$DF53+'Model Setup'!$H$7,$AD53:$BA53)+'Model Setup'!$H$8*(SUMIF($BH$3:$CE$3,"&lt;"&amp;$DF53,$AD53:$BA53)+SUMIF($BH$3:$CE$3,"&gt;"&amp;$CW$4,$AD53:$BA53)),
IF(BZ$3=$DF53+'Model Setup'!$I$7,SUMIF($BH$3:$CE$3,"="&amp;$DF53+'Model Setup'!$I$7,$AD53:$BA53)+'Model Setup'!$I$8*(SUMIF($BH$3:$CE$3,"&lt;"&amp;$DF53,$AD53:$BA53)+SUMIF($BH$3:$CE$3,"&gt;"&amp;$CW$4,$AD53:$BA53)),
IF(BZ$3=$DF53+'Model Setup'!$J$7,SUMIF($BH$3:$CE$3,"="&amp;$DF53+'Model Setup'!$J$7,$AD53:$BA53)+'Model Setup'!$J$8*(SUMIF($BH$3:$CE$3,"&lt;"&amp;$DF53,$AD53:$BA53)+SUMIF($BH$3:$CE$3,"&gt;"&amp;$CW$4,$AD53:$BA53)),
IF(BZ$3=$DF53+'Model Setup'!$K$7,SUMIF($BH$3:$CE$3,"="&amp;$DF53+'Model Setup'!$K$7,$AD53:$BA53)+'Model Setup'!$K$8*(SUMIF($BH$3:$CE$3,"&lt;"&amp;$DF53,$AD53:$BA53)+SUMIF($BH$3:$CE$3,"&gt;"&amp;$CW$4,$AD53:$BA53)),
IF(BZ$3=$DF53+'Model Setup'!$L$7,SUMIF($BH$3:$CE$3,"="&amp;$DF53+'Model Setup'!$L$7,$AD53:$BA53)+'Model Setup'!$L$8*(SUMIF($BH$3:$CE$3,"&lt;"&amp;$DF53,$AD53:$BA53)+SUMIF($BH$3:$CE$3,"&gt;"&amp;$CW$4,$AD53:$BA53)),
IF(BZ$3=$DF53+'Model Setup'!$M$7,SUMIF($BH$3:$CE$3,"="&amp;$DF53+'Model Setup'!$M$7,$AD53:$BA53)+'Model Setup'!$M$8*(SUMIF($BH$3:$CE$3,"&lt;"&amp;$DF53,$AD53:$BA53)+SUMIF($BH$3:$CE$3,"&gt;"&amp;$CW$4,$AD53:$BA53)),
IF(BZ$3=$DF53+'Model Setup'!$N$7,SUMIF($BH$3:$CE$3,"="&amp;$DF53+'Model Setup'!$N$7,$AD53:$BA53)+'Model Setup'!$N$8*(SUMIF($BH$3:$CE$3,"&lt;"&amp;$DF53,$AD53:$BA53)+SUMIF($BH$3:$CE$3,"&gt;"&amp;$CW$4,$AD53:$BA53)),
IF(BZ$3&lt;$CW$4,T53,0))))))))))))))),0)</f>
        <v>121</v>
      </c>
      <c r="CA53" s="47">
        <f>ROUND(IF(OR(CA$3&lt;$DF53,CA$3&gt;$CW$4),0,
IF(CA$3=$DF53+'Model Setup'!$B$7,SUMIF($BH$3:$CE$3,"="&amp;$DF53+'Model Setup'!$B$7,$AD53:$BA53)+'Model Setup'!$B$8*(SUMIF($BH$3:$CE$3,"&lt;"&amp;$DF53,$AD53:$BA53)+SUMIF($BH$3:$CE$3,"&gt;"&amp;$CW$4,$AD53:$BA53)),
IF(CA$3=$DF53+'Model Setup'!$C$7,SUMIF($BH$3:$CE$3,"="&amp;$DF53+'Model Setup'!$C$7,$AD53:$BA53)+'Model Setup'!$C$8*(SUMIF($BH$3:$CE$3,"&lt;"&amp;$DF53,$AD53:$BA53)+SUMIF($BH$3:$CE$3,"&gt;"&amp;$CW$4,$AD53:$BA53)),
IF(CA$3=$DF53+'Model Setup'!$D$7,SUMIF($BH$3:$CE$3,"="&amp;$DF53+'Model Setup'!$D$7,$AD53:$BA53)+'Model Setup'!$D$8*(SUMIF($BH$3:$CE$3,"&lt;"&amp;$DF53,$AD53:$BA53)+SUMIF($BH$3:$CE$3,"&gt;"&amp;$CW$4,$AD53:$BA53)),
IF(CA$3=$DF53+'Model Setup'!$E$7,SUMIF($BH$3:$CE$3,"="&amp;$DF53+'Model Setup'!$E$7,$AD53:$BA53)+'Model Setup'!$E$8*(SUMIF($BH$3:$CE$3,"&lt;"&amp;$DF53,$AD53:$BA53)+SUMIF($BH$3:$CE$3,"&gt;"&amp;$CW$4,$AD53:$BA53)),
IF(CA$3=$DF53+'Model Setup'!$F$7,SUMIF($BH$3:$CE$3,"="&amp;$DF53+'Model Setup'!$F$7,$AD53:$BA53)+'Model Setup'!$F$8*(SUMIF($BH$3:$CE$3,"&lt;"&amp;$DF53,$AD53:$BA53)+SUMIF($BH$3:$CE$3,"&gt;"&amp;$CW$4,$AD53:$BA53)),
IF(CA$3=$DF53+'Model Setup'!$G$7,SUMIF($BH$3:$CE$3,"="&amp;$DF53+'Model Setup'!$G$7,$AD53:$BA53)+'Model Setup'!$G$8*(SUMIF($BH$3:$CE$3,"&lt;"&amp;$DF53,$AD53:$BA53)+SUMIF($BH$3:$CE$3,"&gt;"&amp;$CW$4,$AD53:$BA53)),
IF(CA$3=$DF53+'Model Setup'!$H$7,SUMIF($BH$3:$CE$3,"="&amp;$DF53+'Model Setup'!$H$7,$AD53:$BA53)+'Model Setup'!$H$8*(SUMIF($BH$3:$CE$3,"&lt;"&amp;$DF53,$AD53:$BA53)+SUMIF($BH$3:$CE$3,"&gt;"&amp;$CW$4,$AD53:$BA53)),
IF(CA$3=$DF53+'Model Setup'!$I$7,SUMIF($BH$3:$CE$3,"="&amp;$DF53+'Model Setup'!$I$7,$AD53:$BA53)+'Model Setup'!$I$8*(SUMIF($BH$3:$CE$3,"&lt;"&amp;$DF53,$AD53:$BA53)+SUMIF($BH$3:$CE$3,"&gt;"&amp;$CW$4,$AD53:$BA53)),
IF(CA$3=$DF53+'Model Setup'!$J$7,SUMIF($BH$3:$CE$3,"="&amp;$DF53+'Model Setup'!$J$7,$AD53:$BA53)+'Model Setup'!$J$8*(SUMIF($BH$3:$CE$3,"&lt;"&amp;$DF53,$AD53:$BA53)+SUMIF($BH$3:$CE$3,"&gt;"&amp;$CW$4,$AD53:$BA53)),
IF(CA$3=$DF53+'Model Setup'!$K$7,SUMIF($BH$3:$CE$3,"="&amp;$DF53+'Model Setup'!$K$7,$AD53:$BA53)+'Model Setup'!$K$8*(SUMIF($BH$3:$CE$3,"&lt;"&amp;$DF53,$AD53:$BA53)+SUMIF($BH$3:$CE$3,"&gt;"&amp;$CW$4,$AD53:$BA53)),
IF(CA$3=$DF53+'Model Setup'!$L$7,SUMIF($BH$3:$CE$3,"="&amp;$DF53+'Model Setup'!$L$7,$AD53:$BA53)+'Model Setup'!$L$8*(SUMIF($BH$3:$CE$3,"&lt;"&amp;$DF53,$AD53:$BA53)+SUMIF($BH$3:$CE$3,"&gt;"&amp;$CW$4,$AD53:$BA53)),
IF(CA$3=$DF53+'Model Setup'!$M$7,SUMIF($BH$3:$CE$3,"="&amp;$DF53+'Model Setup'!$M$7,$AD53:$BA53)+'Model Setup'!$M$8*(SUMIF($BH$3:$CE$3,"&lt;"&amp;$DF53,$AD53:$BA53)+SUMIF($BH$3:$CE$3,"&gt;"&amp;$CW$4,$AD53:$BA53)),
IF(CA$3=$DF53+'Model Setup'!$N$7,SUMIF($BH$3:$CE$3,"="&amp;$DF53+'Model Setup'!$N$7,$AD53:$BA53)+'Model Setup'!$N$8*(SUMIF($BH$3:$CE$3,"&lt;"&amp;$DF53,$AD53:$BA53)+SUMIF($BH$3:$CE$3,"&gt;"&amp;$CW$4,$AD53:$BA53)),
IF(CA$3&lt;$CW$4,U53,0))))))))))))))),0)</f>
        <v>0</v>
      </c>
      <c r="CB53" s="47">
        <f>ROUND(IF(OR(CB$3&lt;$DF53,CB$3&gt;$CW$4),0,
IF(CB$3=$DF53+'Model Setup'!$B$7,SUMIF($BH$3:$CE$3,"="&amp;$DF53+'Model Setup'!$B$7,$AD53:$BA53)+'Model Setup'!$B$8*(SUMIF($BH$3:$CE$3,"&lt;"&amp;$DF53,$AD53:$BA53)+SUMIF($BH$3:$CE$3,"&gt;"&amp;$CW$4,$AD53:$BA53)),
IF(CB$3=$DF53+'Model Setup'!$C$7,SUMIF($BH$3:$CE$3,"="&amp;$DF53+'Model Setup'!$C$7,$AD53:$BA53)+'Model Setup'!$C$8*(SUMIF($BH$3:$CE$3,"&lt;"&amp;$DF53,$AD53:$BA53)+SUMIF($BH$3:$CE$3,"&gt;"&amp;$CW$4,$AD53:$BA53)),
IF(CB$3=$DF53+'Model Setup'!$D$7,SUMIF($BH$3:$CE$3,"="&amp;$DF53+'Model Setup'!$D$7,$AD53:$BA53)+'Model Setup'!$D$8*(SUMIF($BH$3:$CE$3,"&lt;"&amp;$DF53,$AD53:$BA53)+SUMIF($BH$3:$CE$3,"&gt;"&amp;$CW$4,$AD53:$BA53)),
IF(CB$3=$DF53+'Model Setup'!$E$7,SUMIF($BH$3:$CE$3,"="&amp;$DF53+'Model Setup'!$E$7,$AD53:$BA53)+'Model Setup'!$E$8*(SUMIF($BH$3:$CE$3,"&lt;"&amp;$DF53,$AD53:$BA53)+SUMIF($BH$3:$CE$3,"&gt;"&amp;$CW$4,$AD53:$BA53)),
IF(CB$3=$DF53+'Model Setup'!$F$7,SUMIF($BH$3:$CE$3,"="&amp;$DF53+'Model Setup'!$F$7,$AD53:$BA53)+'Model Setup'!$F$8*(SUMIF($BH$3:$CE$3,"&lt;"&amp;$DF53,$AD53:$BA53)+SUMIF($BH$3:$CE$3,"&gt;"&amp;$CW$4,$AD53:$BA53)),
IF(CB$3=$DF53+'Model Setup'!$G$7,SUMIF($BH$3:$CE$3,"="&amp;$DF53+'Model Setup'!$G$7,$AD53:$BA53)+'Model Setup'!$G$8*(SUMIF($BH$3:$CE$3,"&lt;"&amp;$DF53,$AD53:$BA53)+SUMIF($BH$3:$CE$3,"&gt;"&amp;$CW$4,$AD53:$BA53)),
IF(CB$3=$DF53+'Model Setup'!$H$7,SUMIF($BH$3:$CE$3,"="&amp;$DF53+'Model Setup'!$H$7,$AD53:$BA53)+'Model Setup'!$H$8*(SUMIF($BH$3:$CE$3,"&lt;"&amp;$DF53,$AD53:$BA53)+SUMIF($BH$3:$CE$3,"&gt;"&amp;$CW$4,$AD53:$BA53)),
IF(CB$3=$DF53+'Model Setup'!$I$7,SUMIF($BH$3:$CE$3,"="&amp;$DF53+'Model Setup'!$I$7,$AD53:$BA53)+'Model Setup'!$I$8*(SUMIF($BH$3:$CE$3,"&lt;"&amp;$DF53,$AD53:$BA53)+SUMIF($BH$3:$CE$3,"&gt;"&amp;$CW$4,$AD53:$BA53)),
IF(CB$3=$DF53+'Model Setup'!$J$7,SUMIF($BH$3:$CE$3,"="&amp;$DF53+'Model Setup'!$J$7,$AD53:$BA53)+'Model Setup'!$J$8*(SUMIF($BH$3:$CE$3,"&lt;"&amp;$DF53,$AD53:$BA53)+SUMIF($BH$3:$CE$3,"&gt;"&amp;$CW$4,$AD53:$BA53)),
IF(CB$3=$DF53+'Model Setup'!$K$7,SUMIF($BH$3:$CE$3,"="&amp;$DF53+'Model Setup'!$K$7,$AD53:$BA53)+'Model Setup'!$K$8*(SUMIF($BH$3:$CE$3,"&lt;"&amp;$DF53,$AD53:$BA53)+SUMIF($BH$3:$CE$3,"&gt;"&amp;$CW$4,$AD53:$BA53)),
IF(CB$3=$DF53+'Model Setup'!$L$7,SUMIF($BH$3:$CE$3,"="&amp;$DF53+'Model Setup'!$L$7,$AD53:$BA53)+'Model Setup'!$L$8*(SUMIF($BH$3:$CE$3,"&lt;"&amp;$DF53,$AD53:$BA53)+SUMIF($BH$3:$CE$3,"&gt;"&amp;$CW$4,$AD53:$BA53)),
IF(CB$3=$DF53+'Model Setup'!$M$7,SUMIF($BH$3:$CE$3,"="&amp;$DF53+'Model Setup'!$M$7,$AD53:$BA53)+'Model Setup'!$M$8*(SUMIF($BH$3:$CE$3,"&lt;"&amp;$DF53,$AD53:$BA53)+SUMIF($BH$3:$CE$3,"&gt;"&amp;$CW$4,$AD53:$BA53)),
IF(CB$3=$DF53+'Model Setup'!$N$7,SUMIF($BH$3:$CE$3,"="&amp;$DF53+'Model Setup'!$N$7,$AD53:$BA53)+'Model Setup'!$N$8*(SUMIF($BH$3:$CE$3,"&lt;"&amp;$DF53,$AD53:$BA53)+SUMIF($BH$3:$CE$3,"&gt;"&amp;$CW$4,$AD53:$BA53)),
IF(CB$3&lt;$CW$4,V53,0))))))))))))))),0)</f>
        <v>0</v>
      </c>
      <c r="CC53" s="47">
        <f>ROUND(IF(OR(CC$3&lt;$DF53,CC$3&gt;$CW$4),0,
IF(CC$3=$DF53+'Model Setup'!$B$7,SUMIF($BH$3:$CE$3,"="&amp;$DF53+'Model Setup'!$B$7,$AD53:$BA53)+'Model Setup'!$B$8*(SUMIF($BH$3:$CE$3,"&lt;"&amp;$DF53,$AD53:$BA53)+SUMIF($BH$3:$CE$3,"&gt;"&amp;$CW$4,$AD53:$BA53)),
IF(CC$3=$DF53+'Model Setup'!$C$7,SUMIF($BH$3:$CE$3,"="&amp;$DF53+'Model Setup'!$C$7,$AD53:$BA53)+'Model Setup'!$C$8*(SUMIF($BH$3:$CE$3,"&lt;"&amp;$DF53,$AD53:$BA53)+SUMIF($BH$3:$CE$3,"&gt;"&amp;$CW$4,$AD53:$BA53)),
IF(CC$3=$DF53+'Model Setup'!$D$7,SUMIF($BH$3:$CE$3,"="&amp;$DF53+'Model Setup'!$D$7,$AD53:$BA53)+'Model Setup'!$D$8*(SUMIF($BH$3:$CE$3,"&lt;"&amp;$DF53,$AD53:$BA53)+SUMIF($BH$3:$CE$3,"&gt;"&amp;$CW$4,$AD53:$BA53)),
IF(CC$3=$DF53+'Model Setup'!$E$7,SUMIF($BH$3:$CE$3,"="&amp;$DF53+'Model Setup'!$E$7,$AD53:$BA53)+'Model Setup'!$E$8*(SUMIF($BH$3:$CE$3,"&lt;"&amp;$DF53,$AD53:$BA53)+SUMIF($BH$3:$CE$3,"&gt;"&amp;$CW$4,$AD53:$BA53)),
IF(CC$3=$DF53+'Model Setup'!$F$7,SUMIF($BH$3:$CE$3,"="&amp;$DF53+'Model Setup'!$F$7,$AD53:$BA53)+'Model Setup'!$F$8*(SUMIF($BH$3:$CE$3,"&lt;"&amp;$DF53,$AD53:$BA53)+SUMIF($BH$3:$CE$3,"&gt;"&amp;$CW$4,$AD53:$BA53)),
IF(CC$3=$DF53+'Model Setup'!$G$7,SUMIF($BH$3:$CE$3,"="&amp;$DF53+'Model Setup'!$G$7,$AD53:$BA53)+'Model Setup'!$G$8*(SUMIF($BH$3:$CE$3,"&lt;"&amp;$DF53,$AD53:$BA53)+SUMIF($BH$3:$CE$3,"&gt;"&amp;$CW$4,$AD53:$BA53)),
IF(CC$3=$DF53+'Model Setup'!$H$7,SUMIF($BH$3:$CE$3,"="&amp;$DF53+'Model Setup'!$H$7,$AD53:$BA53)+'Model Setup'!$H$8*(SUMIF($BH$3:$CE$3,"&lt;"&amp;$DF53,$AD53:$BA53)+SUMIF($BH$3:$CE$3,"&gt;"&amp;$CW$4,$AD53:$BA53)),
IF(CC$3=$DF53+'Model Setup'!$I$7,SUMIF($BH$3:$CE$3,"="&amp;$DF53+'Model Setup'!$I$7,$AD53:$BA53)+'Model Setup'!$I$8*(SUMIF($BH$3:$CE$3,"&lt;"&amp;$DF53,$AD53:$BA53)+SUMIF($BH$3:$CE$3,"&gt;"&amp;$CW$4,$AD53:$BA53)),
IF(CC$3=$DF53+'Model Setup'!$J$7,SUMIF($BH$3:$CE$3,"="&amp;$DF53+'Model Setup'!$J$7,$AD53:$BA53)+'Model Setup'!$J$8*(SUMIF($BH$3:$CE$3,"&lt;"&amp;$DF53,$AD53:$BA53)+SUMIF($BH$3:$CE$3,"&gt;"&amp;$CW$4,$AD53:$BA53)),
IF(CC$3=$DF53+'Model Setup'!$K$7,SUMIF($BH$3:$CE$3,"="&amp;$DF53+'Model Setup'!$K$7,$AD53:$BA53)+'Model Setup'!$K$8*(SUMIF($BH$3:$CE$3,"&lt;"&amp;$DF53,$AD53:$BA53)+SUMIF($BH$3:$CE$3,"&gt;"&amp;$CW$4,$AD53:$BA53)),
IF(CC$3=$DF53+'Model Setup'!$L$7,SUMIF($BH$3:$CE$3,"="&amp;$DF53+'Model Setup'!$L$7,$AD53:$BA53)+'Model Setup'!$L$8*(SUMIF($BH$3:$CE$3,"&lt;"&amp;$DF53,$AD53:$BA53)+SUMIF($BH$3:$CE$3,"&gt;"&amp;$CW$4,$AD53:$BA53)),
IF(CC$3=$DF53+'Model Setup'!$M$7,SUMIF($BH$3:$CE$3,"="&amp;$DF53+'Model Setup'!$M$7,$AD53:$BA53)+'Model Setup'!$M$8*(SUMIF($BH$3:$CE$3,"&lt;"&amp;$DF53,$AD53:$BA53)+SUMIF($BH$3:$CE$3,"&gt;"&amp;$CW$4,$AD53:$BA53)),
IF(CC$3=$DF53+'Model Setup'!$N$7,SUMIF($BH$3:$CE$3,"="&amp;$DF53+'Model Setup'!$N$7,$AD53:$BA53)+'Model Setup'!$N$8*(SUMIF($BH$3:$CE$3,"&lt;"&amp;$DF53,$AD53:$BA53)+SUMIF($BH$3:$CE$3,"&gt;"&amp;$CW$4,$AD53:$BA53)),
IF(CC$3&lt;$CW$4,W53,0))))))))))))))),0)</f>
        <v>0</v>
      </c>
      <c r="CD53" s="47">
        <f>ROUND(IF(OR(CD$3&lt;$DF53,CD$3&gt;$CW$4),0,
IF(CD$3=$DF53+'Model Setup'!$B$7,SUMIF($BH$3:$CE$3,"="&amp;$DF53+'Model Setup'!$B$7,$AD53:$BA53)+'Model Setup'!$B$8*(SUMIF($BH$3:$CE$3,"&lt;"&amp;$DF53,$AD53:$BA53)+SUMIF($BH$3:$CE$3,"&gt;"&amp;$CW$4,$AD53:$BA53)),
IF(CD$3=$DF53+'Model Setup'!$C$7,SUMIF($BH$3:$CE$3,"="&amp;$DF53+'Model Setup'!$C$7,$AD53:$BA53)+'Model Setup'!$C$8*(SUMIF($BH$3:$CE$3,"&lt;"&amp;$DF53,$AD53:$BA53)+SUMIF($BH$3:$CE$3,"&gt;"&amp;$CW$4,$AD53:$BA53)),
IF(CD$3=$DF53+'Model Setup'!$D$7,SUMIF($BH$3:$CE$3,"="&amp;$DF53+'Model Setup'!$D$7,$AD53:$BA53)+'Model Setup'!$D$8*(SUMIF($BH$3:$CE$3,"&lt;"&amp;$DF53,$AD53:$BA53)+SUMIF($BH$3:$CE$3,"&gt;"&amp;$CW$4,$AD53:$BA53)),
IF(CD$3=$DF53+'Model Setup'!$E$7,SUMIF($BH$3:$CE$3,"="&amp;$DF53+'Model Setup'!$E$7,$AD53:$BA53)+'Model Setup'!$E$8*(SUMIF($BH$3:$CE$3,"&lt;"&amp;$DF53,$AD53:$BA53)+SUMIF($BH$3:$CE$3,"&gt;"&amp;$CW$4,$AD53:$BA53)),
IF(CD$3=$DF53+'Model Setup'!$F$7,SUMIF($BH$3:$CE$3,"="&amp;$DF53+'Model Setup'!$F$7,$AD53:$BA53)+'Model Setup'!$F$8*(SUMIF($BH$3:$CE$3,"&lt;"&amp;$DF53,$AD53:$BA53)+SUMIF($BH$3:$CE$3,"&gt;"&amp;$CW$4,$AD53:$BA53)),
IF(CD$3=$DF53+'Model Setup'!$G$7,SUMIF($BH$3:$CE$3,"="&amp;$DF53+'Model Setup'!$G$7,$AD53:$BA53)+'Model Setup'!$G$8*(SUMIF($BH$3:$CE$3,"&lt;"&amp;$DF53,$AD53:$BA53)+SUMIF($BH$3:$CE$3,"&gt;"&amp;$CW$4,$AD53:$BA53)),
IF(CD$3=$DF53+'Model Setup'!$H$7,SUMIF($BH$3:$CE$3,"="&amp;$DF53+'Model Setup'!$H$7,$AD53:$BA53)+'Model Setup'!$H$8*(SUMIF($BH$3:$CE$3,"&lt;"&amp;$DF53,$AD53:$BA53)+SUMIF($BH$3:$CE$3,"&gt;"&amp;$CW$4,$AD53:$BA53)),
IF(CD$3=$DF53+'Model Setup'!$I$7,SUMIF($BH$3:$CE$3,"="&amp;$DF53+'Model Setup'!$I$7,$AD53:$BA53)+'Model Setup'!$I$8*(SUMIF($BH$3:$CE$3,"&lt;"&amp;$DF53,$AD53:$BA53)+SUMIF($BH$3:$CE$3,"&gt;"&amp;$CW$4,$AD53:$BA53)),
IF(CD$3=$DF53+'Model Setup'!$J$7,SUMIF($BH$3:$CE$3,"="&amp;$DF53+'Model Setup'!$J$7,$AD53:$BA53)+'Model Setup'!$J$8*(SUMIF($BH$3:$CE$3,"&lt;"&amp;$DF53,$AD53:$BA53)+SUMIF($BH$3:$CE$3,"&gt;"&amp;$CW$4,$AD53:$BA53)),
IF(CD$3=$DF53+'Model Setup'!$K$7,SUMIF($BH$3:$CE$3,"="&amp;$DF53+'Model Setup'!$K$7,$AD53:$BA53)+'Model Setup'!$K$8*(SUMIF($BH$3:$CE$3,"&lt;"&amp;$DF53,$AD53:$BA53)+SUMIF($BH$3:$CE$3,"&gt;"&amp;$CW$4,$AD53:$BA53)),
IF(CD$3=$DF53+'Model Setup'!$L$7,SUMIF($BH$3:$CE$3,"="&amp;$DF53+'Model Setup'!$L$7,$AD53:$BA53)+'Model Setup'!$L$8*(SUMIF($BH$3:$CE$3,"&lt;"&amp;$DF53,$AD53:$BA53)+SUMIF($BH$3:$CE$3,"&gt;"&amp;$CW$4,$AD53:$BA53)),
IF(CD$3=$DF53+'Model Setup'!$M$7,SUMIF($BH$3:$CE$3,"="&amp;$DF53+'Model Setup'!$M$7,$AD53:$BA53)+'Model Setup'!$M$8*(SUMIF($BH$3:$CE$3,"&lt;"&amp;$DF53,$AD53:$BA53)+SUMIF($BH$3:$CE$3,"&gt;"&amp;$CW$4,$AD53:$BA53)),
IF(CD$3=$DF53+'Model Setup'!$N$7,SUMIF($BH$3:$CE$3,"="&amp;$DF53+'Model Setup'!$N$7,$AD53:$BA53)+'Model Setup'!$N$8*(SUMIF($BH$3:$CE$3,"&lt;"&amp;$DF53,$AD53:$BA53)+SUMIF($BH$3:$CE$3,"&gt;"&amp;$CW$4,$AD53:$BA53)),
IF(CD$3&lt;$CW$4,X53,0))))))))))))))),0)</f>
        <v>0</v>
      </c>
      <c r="CE53" s="47">
        <f>ROUND(IF(OR(CE$3&lt;$DF53,CE$3&gt;$CW$4),0,
IF(CE$3=$DF53+'Model Setup'!$B$7,SUMIF($BH$3:$CE$3,"="&amp;$DF53+'Model Setup'!$B$7,$AD53:$BA53)+'Model Setup'!$B$8*(SUMIF($BH$3:$CE$3,"&lt;"&amp;$DF53,$AD53:$BA53)+SUMIF($BH$3:$CE$3,"&gt;"&amp;$CW$4,$AD53:$BA53)),
IF(CE$3=$DF53+'Model Setup'!$C$7,SUMIF($BH$3:$CE$3,"="&amp;$DF53+'Model Setup'!$C$7,$AD53:$BA53)+'Model Setup'!$C$8*(SUMIF($BH$3:$CE$3,"&lt;"&amp;$DF53,$AD53:$BA53)+SUMIF($BH$3:$CE$3,"&gt;"&amp;$CW$4,$AD53:$BA53)),
IF(CE$3=$DF53+'Model Setup'!$D$7,SUMIF($BH$3:$CE$3,"="&amp;$DF53+'Model Setup'!$D$7,$AD53:$BA53)+'Model Setup'!$D$8*(SUMIF($BH$3:$CE$3,"&lt;"&amp;$DF53,$AD53:$BA53)+SUMIF($BH$3:$CE$3,"&gt;"&amp;$CW$4,$AD53:$BA53)),
IF(CE$3=$DF53+'Model Setup'!$E$7,SUMIF($BH$3:$CE$3,"="&amp;$DF53+'Model Setup'!$E$7,$AD53:$BA53)+'Model Setup'!$E$8*(SUMIF($BH$3:$CE$3,"&lt;"&amp;$DF53,$AD53:$BA53)+SUMIF($BH$3:$CE$3,"&gt;"&amp;$CW$4,$AD53:$BA53)),
IF(CE$3=$DF53+'Model Setup'!$F$7,SUMIF($BH$3:$CE$3,"="&amp;$DF53+'Model Setup'!$F$7,$AD53:$BA53)+'Model Setup'!$F$8*(SUMIF($BH$3:$CE$3,"&lt;"&amp;$DF53,$AD53:$BA53)+SUMIF($BH$3:$CE$3,"&gt;"&amp;$CW$4,$AD53:$BA53)),
IF(CE$3=$DF53+'Model Setup'!$G$7,SUMIF($BH$3:$CE$3,"="&amp;$DF53+'Model Setup'!$G$7,$AD53:$BA53)+'Model Setup'!$G$8*(SUMIF($BH$3:$CE$3,"&lt;"&amp;$DF53,$AD53:$BA53)+SUMIF($BH$3:$CE$3,"&gt;"&amp;$CW$4,$AD53:$BA53)),
IF(CE$3=$DF53+'Model Setup'!$H$7,SUMIF($BH$3:$CE$3,"="&amp;$DF53+'Model Setup'!$H$7,$AD53:$BA53)+'Model Setup'!$H$8*(SUMIF($BH$3:$CE$3,"&lt;"&amp;$DF53,$AD53:$BA53)+SUMIF($BH$3:$CE$3,"&gt;"&amp;$CW$4,$AD53:$BA53)),
IF(CE$3=$DF53+'Model Setup'!$I$7,SUMIF($BH$3:$CE$3,"="&amp;$DF53+'Model Setup'!$I$7,$AD53:$BA53)+'Model Setup'!$I$8*(SUMIF($BH$3:$CE$3,"&lt;"&amp;$DF53,$AD53:$BA53)+SUMIF($BH$3:$CE$3,"&gt;"&amp;$CW$4,$AD53:$BA53)),
IF(CE$3=$DF53+'Model Setup'!$J$7,SUMIF($BH$3:$CE$3,"="&amp;$DF53+'Model Setup'!$J$7,$AD53:$BA53)+'Model Setup'!$J$8*(SUMIF($BH$3:$CE$3,"&lt;"&amp;$DF53,$AD53:$BA53)+SUMIF($BH$3:$CE$3,"&gt;"&amp;$CW$4,$AD53:$BA53)),
IF(CE$3=$DF53+'Model Setup'!$K$7,SUMIF($BH$3:$CE$3,"="&amp;$DF53+'Model Setup'!$K$7,$AD53:$BA53)+'Model Setup'!$K$8*(SUMIF($BH$3:$CE$3,"&lt;"&amp;$DF53,$AD53:$BA53)+SUMIF($BH$3:$CE$3,"&gt;"&amp;$CW$4,$AD53:$BA53)),
IF(CE$3=$DF53+'Model Setup'!$L$7,SUMIF($BH$3:$CE$3,"="&amp;$DF53+'Model Setup'!$L$7,$AD53:$BA53)+'Model Setup'!$L$8*(SUMIF($BH$3:$CE$3,"&lt;"&amp;$DF53,$AD53:$BA53)+SUMIF($BH$3:$CE$3,"&gt;"&amp;$CW$4,$AD53:$BA53)),
IF(CE$3=$DF53+'Model Setup'!$M$7,SUMIF($BH$3:$CE$3,"="&amp;$DF53+'Model Setup'!$M$7,$AD53:$BA53)+'Model Setup'!$M$8*(SUMIF($BH$3:$CE$3,"&lt;"&amp;$DF53,$AD53:$BA53)+SUMIF($BH$3:$CE$3,"&gt;"&amp;$CW$4,$AD53:$BA53)),
IF(CE$3=$DF53+'Model Setup'!$N$7,SUMIF($BH$3:$CE$3,"="&amp;$DF53+'Model Setup'!$N$7,$AD53:$BA53)+'Model Setup'!$N$8*(SUMIF($BH$3:$CE$3,"&lt;"&amp;$DF53,$AD53:$BA53)+SUMIF($BH$3:$CE$3,"&gt;"&amp;$CW$4,$AD53:$BA53)),
IF(CE$3&lt;$CW$4,Y53,0))))))))))))))),0)</f>
        <v>0</v>
      </c>
      <c r="CF53" s="47">
        <f t="shared" si="3"/>
        <v>833</v>
      </c>
      <c r="CG53" s="47">
        <f t="shared" si="4"/>
        <v>-106</v>
      </c>
      <c r="CI53" s="10" t="s">
        <v>68</v>
      </c>
      <c r="CJ53" s="126">
        <f t="shared" si="9"/>
        <v>0</v>
      </c>
      <c r="CK53" s="126">
        <f t="shared" si="10"/>
        <v>0</v>
      </c>
      <c r="CL53" s="126">
        <f t="shared" si="11"/>
        <v>0</v>
      </c>
      <c r="CM53" s="126">
        <f t="shared" si="12"/>
        <v>82</v>
      </c>
      <c r="CN53" s="126">
        <f t="shared" si="13"/>
        <v>120</v>
      </c>
      <c r="CO53" s="126">
        <f t="shared" si="14"/>
        <v>120</v>
      </c>
      <c r="CP53" s="126">
        <f t="shared" si="15"/>
        <v>102</v>
      </c>
      <c r="CQ53" s="126">
        <f t="shared" si="16"/>
        <v>71</v>
      </c>
      <c r="CR53" s="126">
        <f t="shared" si="17"/>
        <v>64</v>
      </c>
      <c r="CS53" s="126">
        <f t="shared" si="18"/>
        <v>42</v>
      </c>
      <c r="CT53" s="126">
        <f t="shared" si="19"/>
        <v>51</v>
      </c>
      <c r="CU53" s="126">
        <f t="shared" si="20"/>
        <v>33</v>
      </c>
      <c r="CV53" s="126">
        <f t="shared" si="21"/>
        <v>27</v>
      </c>
      <c r="CW53" s="126">
        <f t="shared" si="22"/>
        <v>75</v>
      </c>
      <c r="CX53" s="126">
        <f t="shared" si="23"/>
        <v>87</v>
      </c>
      <c r="CY53" s="126">
        <f t="shared" si="24"/>
        <v>65</v>
      </c>
      <c r="CZ53" s="47">
        <f t="shared" si="7"/>
        <v>787</v>
      </c>
      <c r="DC53" s="93" t="s">
        <v>68</v>
      </c>
      <c r="DD53" s="89">
        <f>FTC!E51</f>
        <v>0.33333333333333331</v>
      </c>
      <c r="DE53" s="89">
        <f>FTC!F51</f>
        <v>0.875</v>
      </c>
      <c r="DF53" s="90">
        <f t="shared" si="25"/>
        <v>8</v>
      </c>
      <c r="DG53" s="91">
        <f t="shared" si="26"/>
        <v>21</v>
      </c>
      <c r="DH53" s="91">
        <f t="shared" si="27"/>
        <v>13</v>
      </c>
    </row>
    <row r="54" spans="1:112" x14ac:dyDescent="0.35">
      <c r="A54" s="43" t="s">
        <v>69</v>
      </c>
      <c r="B54" s="6"/>
      <c r="C54" s="47">
        <v>1</v>
      </c>
      <c r="D54" s="6"/>
      <c r="E54" s="47">
        <v>2</v>
      </c>
      <c r="F54" s="47">
        <v>5</v>
      </c>
      <c r="G54" s="47">
        <v>11</v>
      </c>
      <c r="H54" s="47">
        <v>60</v>
      </c>
      <c r="I54" s="47">
        <v>53</v>
      </c>
      <c r="J54" s="47">
        <v>71</v>
      </c>
      <c r="K54" s="47">
        <v>67</v>
      </c>
      <c r="L54" s="47">
        <v>64</v>
      </c>
      <c r="M54" s="47">
        <v>43</v>
      </c>
      <c r="N54" s="47">
        <v>26</v>
      </c>
      <c r="O54" s="47">
        <v>27</v>
      </c>
      <c r="P54" s="47">
        <v>22</v>
      </c>
      <c r="Q54" s="47">
        <v>24</v>
      </c>
      <c r="R54" s="47">
        <v>11</v>
      </c>
      <c r="S54" s="47">
        <v>7</v>
      </c>
      <c r="T54" s="47">
        <v>5</v>
      </c>
      <c r="U54" s="47">
        <v>4</v>
      </c>
      <c r="V54" s="47">
        <v>3</v>
      </c>
      <c r="W54" s="47">
        <v>7</v>
      </c>
      <c r="X54" s="47">
        <v>3</v>
      </c>
      <c r="Y54" s="6"/>
      <c r="Z54" s="47">
        <f t="shared" si="0"/>
        <v>516</v>
      </c>
      <c r="AC54" s="43" t="s">
        <v>69</v>
      </c>
      <c r="AD54" s="47">
        <f>ROUND(IF(AD$3&lt;$DF54,0,
IF(AD$3=$DF54+'Model Setup'!$B$7,SUMIF($AD$3:$BA$3,"="&amp;$DF54+'Model Setup'!$B$7,$B54:$Y54)+'Model Setup'!$B$8*(SUMIF($AD$3:$BA$3,"&lt;"&amp;$DF54,$B54:$Y54)+SUMIF($AD$3:$BA$3,"&gt;="&amp;$DG54,$B54:$Y54)),
IF(AD$3=$DF54+'Model Setup'!$C$7,SUMIF($AD$3:$BA$3,"="&amp;$DF54+'Model Setup'!$C$7,$B54:$Y54)+'Model Setup'!$C$8*(SUMIF($AD$3:$BA$3,"&lt;"&amp;$DF54,$B54:$Y54)+SUMIF($AD$3:$BA$3,"&gt;="&amp;$DG54,$B54:$Y54)),
IF(AD$3=$DF54+'Model Setup'!$D$7,SUMIF($AD$3:$BA$3,"="&amp;$DF54+'Model Setup'!$D$7,$B54:$Y54)+'Model Setup'!$D$8*(SUMIF($AD$3:$BA$3,"&lt;"&amp;$DF54,$B54:$Y54)+SUMIF($AD$3:$BA$3,"&gt;="&amp;$DG54,$B54:$Y54)),
IF(AD$3=$DF54+'Model Setup'!$E$7,SUMIF($AD$3:$BA$3,"="&amp;$DF54+'Model Setup'!$E$7,$B54:$Y54)+'Model Setup'!$E$8*(SUMIF($AD$3:$BA$3,"&lt;"&amp;$DF54,$B54:$Y54)+SUMIF($AD$3:$BA$3,"&gt;="&amp;$DG54,$B54:$Y54)),
IF(AD$3=$DF54+'Model Setup'!$F$7,SUMIF($AD$3:$BA$3,"="&amp;$DF54+'Model Setup'!$F$7,$B54:$Y54)+'Model Setup'!$F$8*(SUMIF($AD$3:$BA$3,"&lt;"&amp;$DF54,$B54:$Y54)+SUMIF($AD$3:$BA$3,"&gt;="&amp;$DG54,$B54:$Y54)),
IF(AD$3=$DF54+'Model Setup'!$G$7,SUMIF($AD$3:$BA$3,"="&amp;$DF54+'Model Setup'!$G$7,$B54:$Y54)+'Model Setup'!$G$8*(SUMIF($AD$3:$BA$3,"&lt;"&amp;$DF54,$B54:$Y54)+SUMIF($AD$3:$BA$3,"&gt;="&amp;$DG54,$B54:$Y54)),
IF(AD$3=$DF54+'Model Setup'!$H$7,SUMIF($AD$3:$BA$3,"="&amp;$DF54+'Model Setup'!$H$7,$B54:$Y54)+'Model Setup'!$H$8*(SUMIF($AD$3:$BA$3,"&lt;"&amp;$DF54,$B54:$Y54)+SUMIF($AD$3:$BA$3,"&gt;="&amp;$DG54,$B54:$Y54)),
IF(AD$3=$DF54+'Model Setup'!$I$7,SUMIF($AD$3:$BA$3,"="&amp;$DF54+'Model Setup'!$I$7,$B54:$Y54)+'Model Setup'!$I$8*(SUMIF($AD$3:$BA$3,"&lt;"&amp;$DF54,$B54:$Y54)+SUMIF($AD$3:$BA$3,"&gt;="&amp;$DG54,$B54:$Y54)),
IF(AD$3=$DF54+'Model Setup'!$J$7,SUMIF($AD$3:$BA$3,"="&amp;$DF54+'Model Setup'!$J$7,$B54:$Y54)+'Model Setup'!$J$8*(SUMIF($AD$3:$BA$3,"&lt;"&amp;$DF54,$B54:$Y54)+SUMIF($AD$3:$BA$3,"&gt;="&amp;$DG54,$B54:$Y54)),
IF(AD$3=$DF54+'Model Setup'!$K$7,SUMIF($AD$3:$BA$3,"="&amp;$DF54+'Model Setup'!$K$7,$B54:$Y54)+'Model Setup'!$K$8*(SUMIF($AD$3:$BA$3,"&lt;"&amp;$DF54,$B54:$Y54)+SUMIF($AD$3:$BA$3,"&gt;="&amp;$DG54,$B54:$Y54)),
IF(AD$3=$DF54+'Model Setup'!$L$7,SUMIF($AD$3:$BA$3,"="&amp;$DF54+'Model Setup'!$L$7,$B54:$Y54)+'Model Setup'!$L$8*(SUMIF($AD$3:$BA$3,"&lt;"&amp;$DF54,$B54:$Y54)+SUMIF($AD$3:$BA$3,"&gt;="&amp;$DG54,$B54:$Y54)),
IF(AD$3=$DF54+'Model Setup'!$M$7,SUMIF($AD$3:$BA$3,"="&amp;$DF54+'Model Setup'!$M$7,$B54:$Y54)+'Model Setup'!$M$8*(SUMIF($AD$3:$BA$3,"&lt;"&amp;$DF54,$B54:$Y54)+SUMIF($AD$3:$BA$3,"&gt;="&amp;$DG54,$B54:$Y54)),
IF(AD$3=$DF54+'Model Setup'!$N$7,SUMIF($AD$3:$BA$3,"="&amp;$DF54+'Model Setup'!$N$7,$B54:$Y54)+'Model Setup'!$N$8*(SUMIF($AD$3:$BA$3,"&lt;"&amp;$DF54,$B54:$Y54)+SUMIF($AD$3:$BA$3,"&gt;="&amp;$DG54,$B54:$Y54)),
IF(AD$3&lt;$DG54,B54,0))))))))))))))),0)</f>
        <v>0</v>
      </c>
      <c r="AE54" s="47">
        <f>ROUND(IF(AE$3&lt;$DF54,0,
IF(AE$3=$DF54+'Model Setup'!$B$7,SUMIF($AD$3:$BA$3,"="&amp;$DF54+'Model Setup'!$B$7,$B54:$Y54)+'Model Setup'!$B$8*(SUMIF($AD$3:$BA$3,"&lt;"&amp;$DF54,$B54:$Y54)+SUMIF($AD$3:$BA$3,"&gt;="&amp;$DG54,$B54:$Y54)),
IF(AE$3=$DF54+'Model Setup'!$C$7,SUMIF($AD$3:$BA$3,"="&amp;$DF54+'Model Setup'!$C$7,$B54:$Y54)+'Model Setup'!$C$8*(SUMIF($AD$3:$BA$3,"&lt;"&amp;$DF54,$B54:$Y54)+SUMIF($AD$3:$BA$3,"&gt;="&amp;$DG54,$B54:$Y54)),
IF(AE$3=$DF54+'Model Setup'!$D$7,SUMIF($AD$3:$BA$3,"="&amp;$DF54+'Model Setup'!$D$7,$B54:$Y54)+'Model Setup'!$D$8*(SUMIF($AD$3:$BA$3,"&lt;"&amp;$DF54,$B54:$Y54)+SUMIF($AD$3:$BA$3,"&gt;="&amp;$DG54,$B54:$Y54)),
IF(AE$3=$DF54+'Model Setup'!$E$7,SUMIF($AD$3:$BA$3,"="&amp;$DF54+'Model Setup'!$E$7,$B54:$Y54)+'Model Setup'!$E$8*(SUMIF($AD$3:$BA$3,"&lt;"&amp;$DF54,$B54:$Y54)+SUMIF($AD$3:$BA$3,"&gt;="&amp;$DG54,$B54:$Y54)),
IF(AE$3=$DF54+'Model Setup'!$F$7,SUMIF($AD$3:$BA$3,"="&amp;$DF54+'Model Setup'!$F$7,$B54:$Y54)+'Model Setup'!$F$8*(SUMIF($AD$3:$BA$3,"&lt;"&amp;$DF54,$B54:$Y54)+SUMIF($AD$3:$BA$3,"&gt;="&amp;$DG54,$B54:$Y54)),
IF(AE$3=$DF54+'Model Setup'!$G$7,SUMIF($AD$3:$BA$3,"="&amp;$DF54+'Model Setup'!$G$7,$B54:$Y54)+'Model Setup'!$G$8*(SUMIF($AD$3:$BA$3,"&lt;"&amp;$DF54,$B54:$Y54)+SUMIF($AD$3:$BA$3,"&gt;="&amp;$DG54,$B54:$Y54)),
IF(AE$3=$DF54+'Model Setup'!$H$7,SUMIF($AD$3:$BA$3,"="&amp;$DF54+'Model Setup'!$H$7,$B54:$Y54)+'Model Setup'!$H$8*(SUMIF($AD$3:$BA$3,"&lt;"&amp;$DF54,$B54:$Y54)+SUMIF($AD$3:$BA$3,"&gt;="&amp;$DG54,$B54:$Y54)),
IF(AE$3=$DF54+'Model Setup'!$I$7,SUMIF($AD$3:$BA$3,"="&amp;$DF54+'Model Setup'!$I$7,$B54:$Y54)+'Model Setup'!$I$8*(SUMIF($AD$3:$BA$3,"&lt;"&amp;$DF54,$B54:$Y54)+SUMIF($AD$3:$BA$3,"&gt;="&amp;$DG54,$B54:$Y54)),
IF(AE$3=$DF54+'Model Setup'!$J$7,SUMIF($AD$3:$BA$3,"="&amp;$DF54+'Model Setup'!$J$7,$B54:$Y54)+'Model Setup'!$J$8*(SUMIF($AD$3:$BA$3,"&lt;"&amp;$DF54,$B54:$Y54)+SUMIF($AD$3:$BA$3,"&gt;="&amp;$DG54,$B54:$Y54)),
IF(AE$3=$DF54+'Model Setup'!$K$7,SUMIF($AD$3:$BA$3,"="&amp;$DF54+'Model Setup'!$K$7,$B54:$Y54)+'Model Setup'!$K$8*(SUMIF($AD$3:$BA$3,"&lt;"&amp;$DF54,$B54:$Y54)+SUMIF($AD$3:$BA$3,"&gt;="&amp;$DG54,$B54:$Y54)),
IF(AE$3=$DF54+'Model Setup'!$L$7,SUMIF($AD$3:$BA$3,"="&amp;$DF54+'Model Setup'!$L$7,$B54:$Y54)+'Model Setup'!$L$8*(SUMIF($AD$3:$BA$3,"&lt;"&amp;$DF54,$B54:$Y54)+SUMIF($AD$3:$BA$3,"&gt;="&amp;$DG54,$B54:$Y54)),
IF(AE$3=$DF54+'Model Setup'!$M$7,SUMIF($AD$3:$BA$3,"="&amp;$DF54+'Model Setup'!$M$7,$B54:$Y54)+'Model Setup'!$M$8*(SUMIF($AD$3:$BA$3,"&lt;"&amp;$DF54,$B54:$Y54)+SUMIF($AD$3:$BA$3,"&gt;="&amp;$DG54,$B54:$Y54)),
IF(AE$3=$DF54+'Model Setup'!$N$7,SUMIF($AD$3:$BA$3,"="&amp;$DF54+'Model Setup'!$N$7,$B54:$Y54)+'Model Setup'!$N$8*(SUMIF($AD$3:$BA$3,"&lt;"&amp;$DF54,$B54:$Y54)+SUMIF($AD$3:$BA$3,"&gt;="&amp;$DG54,$B54:$Y54)),
IF(AE$3&lt;$DG54,C54,0))))))))))))))),0)</f>
        <v>0</v>
      </c>
      <c r="AF54" s="47">
        <f>ROUND(IF(AF$3&lt;$DF54,0,
IF(AF$3=$DF54+'Model Setup'!$B$7,SUMIF($AD$3:$BA$3,"="&amp;$DF54+'Model Setup'!$B$7,$B54:$Y54)+'Model Setup'!$B$8*(SUMIF($AD$3:$BA$3,"&lt;"&amp;$DF54,$B54:$Y54)+SUMIF($AD$3:$BA$3,"&gt;="&amp;$DG54,$B54:$Y54)),
IF(AF$3=$DF54+'Model Setup'!$C$7,SUMIF($AD$3:$BA$3,"="&amp;$DF54+'Model Setup'!$C$7,$B54:$Y54)+'Model Setup'!$C$8*(SUMIF($AD$3:$BA$3,"&lt;"&amp;$DF54,$B54:$Y54)+SUMIF($AD$3:$BA$3,"&gt;="&amp;$DG54,$B54:$Y54)),
IF(AF$3=$DF54+'Model Setup'!$D$7,SUMIF($AD$3:$BA$3,"="&amp;$DF54+'Model Setup'!$D$7,$B54:$Y54)+'Model Setup'!$D$8*(SUMIF($AD$3:$BA$3,"&lt;"&amp;$DF54,$B54:$Y54)+SUMIF($AD$3:$BA$3,"&gt;="&amp;$DG54,$B54:$Y54)),
IF(AF$3=$DF54+'Model Setup'!$E$7,SUMIF($AD$3:$BA$3,"="&amp;$DF54+'Model Setup'!$E$7,$B54:$Y54)+'Model Setup'!$E$8*(SUMIF($AD$3:$BA$3,"&lt;"&amp;$DF54,$B54:$Y54)+SUMIF($AD$3:$BA$3,"&gt;="&amp;$DG54,$B54:$Y54)),
IF(AF$3=$DF54+'Model Setup'!$F$7,SUMIF($AD$3:$BA$3,"="&amp;$DF54+'Model Setup'!$F$7,$B54:$Y54)+'Model Setup'!$F$8*(SUMIF($AD$3:$BA$3,"&lt;"&amp;$DF54,$B54:$Y54)+SUMIF($AD$3:$BA$3,"&gt;="&amp;$DG54,$B54:$Y54)),
IF(AF$3=$DF54+'Model Setup'!$G$7,SUMIF($AD$3:$BA$3,"="&amp;$DF54+'Model Setup'!$G$7,$B54:$Y54)+'Model Setup'!$G$8*(SUMIF($AD$3:$BA$3,"&lt;"&amp;$DF54,$B54:$Y54)+SUMIF($AD$3:$BA$3,"&gt;="&amp;$DG54,$B54:$Y54)),
IF(AF$3=$DF54+'Model Setup'!$H$7,SUMIF($AD$3:$BA$3,"="&amp;$DF54+'Model Setup'!$H$7,$B54:$Y54)+'Model Setup'!$H$8*(SUMIF($AD$3:$BA$3,"&lt;"&amp;$DF54,$B54:$Y54)+SUMIF($AD$3:$BA$3,"&gt;="&amp;$DG54,$B54:$Y54)),
IF(AF$3=$DF54+'Model Setup'!$I$7,SUMIF($AD$3:$BA$3,"="&amp;$DF54+'Model Setup'!$I$7,$B54:$Y54)+'Model Setup'!$I$8*(SUMIF($AD$3:$BA$3,"&lt;"&amp;$DF54,$B54:$Y54)+SUMIF($AD$3:$BA$3,"&gt;="&amp;$DG54,$B54:$Y54)),
IF(AF$3=$DF54+'Model Setup'!$J$7,SUMIF($AD$3:$BA$3,"="&amp;$DF54+'Model Setup'!$J$7,$B54:$Y54)+'Model Setup'!$J$8*(SUMIF($AD$3:$BA$3,"&lt;"&amp;$DF54,$B54:$Y54)+SUMIF($AD$3:$BA$3,"&gt;="&amp;$DG54,$B54:$Y54)),
IF(AF$3=$DF54+'Model Setup'!$K$7,SUMIF($AD$3:$BA$3,"="&amp;$DF54+'Model Setup'!$K$7,$B54:$Y54)+'Model Setup'!$K$8*(SUMIF($AD$3:$BA$3,"&lt;"&amp;$DF54,$B54:$Y54)+SUMIF($AD$3:$BA$3,"&gt;="&amp;$DG54,$B54:$Y54)),
IF(AF$3=$DF54+'Model Setup'!$L$7,SUMIF($AD$3:$BA$3,"="&amp;$DF54+'Model Setup'!$L$7,$B54:$Y54)+'Model Setup'!$L$8*(SUMIF($AD$3:$BA$3,"&lt;"&amp;$DF54,$B54:$Y54)+SUMIF($AD$3:$BA$3,"&gt;="&amp;$DG54,$B54:$Y54)),
IF(AF$3=$DF54+'Model Setup'!$M$7,SUMIF($AD$3:$BA$3,"="&amp;$DF54+'Model Setup'!$M$7,$B54:$Y54)+'Model Setup'!$M$8*(SUMIF($AD$3:$BA$3,"&lt;"&amp;$DF54,$B54:$Y54)+SUMIF($AD$3:$BA$3,"&gt;="&amp;$DG54,$B54:$Y54)),
IF(AF$3=$DF54+'Model Setup'!$N$7,SUMIF($AD$3:$BA$3,"="&amp;$DF54+'Model Setup'!$N$7,$B54:$Y54)+'Model Setup'!$N$8*(SUMIF($AD$3:$BA$3,"&lt;"&amp;$DF54,$B54:$Y54)+SUMIF($AD$3:$BA$3,"&gt;="&amp;$DG54,$B54:$Y54)),
IF(AF$3&lt;$DG54,D54,0))))))))))))))),0)</f>
        <v>0</v>
      </c>
      <c r="AG54" s="47">
        <f>ROUND(IF(AG$3&lt;$DF54,0,
IF(AG$3=$DF54+'Model Setup'!$B$7,SUMIF($AD$3:$BA$3,"="&amp;$DF54+'Model Setup'!$B$7,$B54:$Y54)+'Model Setup'!$B$8*(SUMIF($AD$3:$BA$3,"&lt;"&amp;$DF54,$B54:$Y54)+SUMIF($AD$3:$BA$3,"&gt;="&amp;$DG54,$B54:$Y54)),
IF(AG$3=$DF54+'Model Setup'!$C$7,SUMIF($AD$3:$BA$3,"="&amp;$DF54+'Model Setup'!$C$7,$B54:$Y54)+'Model Setup'!$C$8*(SUMIF($AD$3:$BA$3,"&lt;"&amp;$DF54,$B54:$Y54)+SUMIF($AD$3:$BA$3,"&gt;="&amp;$DG54,$B54:$Y54)),
IF(AG$3=$DF54+'Model Setup'!$D$7,SUMIF($AD$3:$BA$3,"="&amp;$DF54+'Model Setup'!$D$7,$B54:$Y54)+'Model Setup'!$D$8*(SUMIF($AD$3:$BA$3,"&lt;"&amp;$DF54,$B54:$Y54)+SUMIF($AD$3:$BA$3,"&gt;="&amp;$DG54,$B54:$Y54)),
IF(AG$3=$DF54+'Model Setup'!$E$7,SUMIF($AD$3:$BA$3,"="&amp;$DF54+'Model Setup'!$E$7,$B54:$Y54)+'Model Setup'!$E$8*(SUMIF($AD$3:$BA$3,"&lt;"&amp;$DF54,$B54:$Y54)+SUMIF($AD$3:$BA$3,"&gt;="&amp;$DG54,$B54:$Y54)),
IF(AG$3=$DF54+'Model Setup'!$F$7,SUMIF($AD$3:$BA$3,"="&amp;$DF54+'Model Setup'!$F$7,$B54:$Y54)+'Model Setup'!$F$8*(SUMIF($AD$3:$BA$3,"&lt;"&amp;$DF54,$B54:$Y54)+SUMIF($AD$3:$BA$3,"&gt;="&amp;$DG54,$B54:$Y54)),
IF(AG$3=$DF54+'Model Setup'!$G$7,SUMIF($AD$3:$BA$3,"="&amp;$DF54+'Model Setup'!$G$7,$B54:$Y54)+'Model Setup'!$G$8*(SUMIF($AD$3:$BA$3,"&lt;"&amp;$DF54,$B54:$Y54)+SUMIF($AD$3:$BA$3,"&gt;="&amp;$DG54,$B54:$Y54)),
IF(AG$3=$DF54+'Model Setup'!$H$7,SUMIF($AD$3:$BA$3,"="&amp;$DF54+'Model Setup'!$H$7,$B54:$Y54)+'Model Setup'!$H$8*(SUMIF($AD$3:$BA$3,"&lt;"&amp;$DF54,$B54:$Y54)+SUMIF($AD$3:$BA$3,"&gt;="&amp;$DG54,$B54:$Y54)),
IF(AG$3=$DF54+'Model Setup'!$I$7,SUMIF($AD$3:$BA$3,"="&amp;$DF54+'Model Setup'!$I$7,$B54:$Y54)+'Model Setup'!$I$8*(SUMIF($AD$3:$BA$3,"&lt;"&amp;$DF54,$B54:$Y54)+SUMIF($AD$3:$BA$3,"&gt;="&amp;$DG54,$B54:$Y54)),
IF(AG$3=$DF54+'Model Setup'!$J$7,SUMIF($AD$3:$BA$3,"="&amp;$DF54+'Model Setup'!$J$7,$B54:$Y54)+'Model Setup'!$J$8*(SUMIF($AD$3:$BA$3,"&lt;"&amp;$DF54,$B54:$Y54)+SUMIF($AD$3:$BA$3,"&gt;="&amp;$DG54,$B54:$Y54)),
IF(AG$3=$DF54+'Model Setup'!$K$7,SUMIF($AD$3:$BA$3,"="&amp;$DF54+'Model Setup'!$K$7,$B54:$Y54)+'Model Setup'!$K$8*(SUMIF($AD$3:$BA$3,"&lt;"&amp;$DF54,$B54:$Y54)+SUMIF($AD$3:$BA$3,"&gt;="&amp;$DG54,$B54:$Y54)),
IF(AG$3=$DF54+'Model Setup'!$L$7,SUMIF($AD$3:$BA$3,"="&amp;$DF54+'Model Setup'!$L$7,$B54:$Y54)+'Model Setup'!$L$8*(SUMIF($AD$3:$BA$3,"&lt;"&amp;$DF54,$B54:$Y54)+SUMIF($AD$3:$BA$3,"&gt;="&amp;$DG54,$B54:$Y54)),
IF(AG$3=$DF54+'Model Setup'!$M$7,SUMIF($AD$3:$BA$3,"="&amp;$DF54+'Model Setup'!$M$7,$B54:$Y54)+'Model Setup'!$M$8*(SUMIF($AD$3:$BA$3,"&lt;"&amp;$DF54,$B54:$Y54)+SUMIF($AD$3:$BA$3,"&gt;="&amp;$DG54,$B54:$Y54)),
IF(AG$3=$DF54+'Model Setup'!$N$7,SUMIF($AD$3:$BA$3,"="&amp;$DF54+'Model Setup'!$N$7,$B54:$Y54)+'Model Setup'!$N$8*(SUMIF($AD$3:$BA$3,"&lt;"&amp;$DF54,$B54:$Y54)+SUMIF($AD$3:$BA$3,"&gt;="&amp;$DG54,$B54:$Y54)),
IF(AG$3&lt;$DG54,E54,0))))))))))))))),0)</f>
        <v>0</v>
      </c>
      <c r="AH54" s="47">
        <f>ROUND(IF(AH$3&lt;$DF54,0,
IF(AH$3=$DF54+'Model Setup'!$B$7,SUMIF($AD$3:$BA$3,"="&amp;$DF54+'Model Setup'!$B$7,$B54:$Y54)+'Model Setup'!$B$8*(SUMIF($AD$3:$BA$3,"&lt;"&amp;$DF54,$B54:$Y54)+SUMIF($AD$3:$BA$3,"&gt;="&amp;$DG54,$B54:$Y54)),
IF(AH$3=$DF54+'Model Setup'!$C$7,SUMIF($AD$3:$BA$3,"="&amp;$DF54+'Model Setup'!$C$7,$B54:$Y54)+'Model Setup'!$C$8*(SUMIF($AD$3:$BA$3,"&lt;"&amp;$DF54,$B54:$Y54)+SUMIF($AD$3:$BA$3,"&gt;="&amp;$DG54,$B54:$Y54)),
IF(AH$3=$DF54+'Model Setup'!$D$7,SUMIF($AD$3:$BA$3,"="&amp;$DF54+'Model Setup'!$D$7,$B54:$Y54)+'Model Setup'!$D$8*(SUMIF($AD$3:$BA$3,"&lt;"&amp;$DF54,$B54:$Y54)+SUMIF($AD$3:$BA$3,"&gt;="&amp;$DG54,$B54:$Y54)),
IF(AH$3=$DF54+'Model Setup'!$E$7,SUMIF($AD$3:$BA$3,"="&amp;$DF54+'Model Setup'!$E$7,$B54:$Y54)+'Model Setup'!$E$8*(SUMIF($AD$3:$BA$3,"&lt;"&amp;$DF54,$B54:$Y54)+SUMIF($AD$3:$BA$3,"&gt;="&amp;$DG54,$B54:$Y54)),
IF(AH$3=$DF54+'Model Setup'!$F$7,SUMIF($AD$3:$BA$3,"="&amp;$DF54+'Model Setup'!$F$7,$B54:$Y54)+'Model Setup'!$F$8*(SUMIF($AD$3:$BA$3,"&lt;"&amp;$DF54,$B54:$Y54)+SUMIF($AD$3:$BA$3,"&gt;="&amp;$DG54,$B54:$Y54)),
IF(AH$3=$DF54+'Model Setup'!$G$7,SUMIF($AD$3:$BA$3,"="&amp;$DF54+'Model Setup'!$G$7,$B54:$Y54)+'Model Setup'!$G$8*(SUMIF($AD$3:$BA$3,"&lt;"&amp;$DF54,$B54:$Y54)+SUMIF($AD$3:$BA$3,"&gt;="&amp;$DG54,$B54:$Y54)),
IF(AH$3=$DF54+'Model Setup'!$H$7,SUMIF($AD$3:$BA$3,"="&amp;$DF54+'Model Setup'!$H$7,$B54:$Y54)+'Model Setup'!$H$8*(SUMIF($AD$3:$BA$3,"&lt;"&amp;$DF54,$B54:$Y54)+SUMIF($AD$3:$BA$3,"&gt;="&amp;$DG54,$B54:$Y54)),
IF(AH$3=$DF54+'Model Setup'!$I$7,SUMIF($AD$3:$BA$3,"="&amp;$DF54+'Model Setup'!$I$7,$B54:$Y54)+'Model Setup'!$I$8*(SUMIF($AD$3:$BA$3,"&lt;"&amp;$DF54,$B54:$Y54)+SUMIF($AD$3:$BA$3,"&gt;="&amp;$DG54,$B54:$Y54)),
IF(AH$3=$DF54+'Model Setup'!$J$7,SUMIF($AD$3:$BA$3,"="&amp;$DF54+'Model Setup'!$J$7,$B54:$Y54)+'Model Setup'!$J$8*(SUMIF($AD$3:$BA$3,"&lt;"&amp;$DF54,$B54:$Y54)+SUMIF($AD$3:$BA$3,"&gt;="&amp;$DG54,$B54:$Y54)),
IF(AH$3=$DF54+'Model Setup'!$K$7,SUMIF($AD$3:$BA$3,"="&amp;$DF54+'Model Setup'!$K$7,$B54:$Y54)+'Model Setup'!$K$8*(SUMIF($AD$3:$BA$3,"&lt;"&amp;$DF54,$B54:$Y54)+SUMIF($AD$3:$BA$3,"&gt;="&amp;$DG54,$B54:$Y54)),
IF(AH$3=$DF54+'Model Setup'!$L$7,SUMIF($AD$3:$BA$3,"="&amp;$DF54+'Model Setup'!$L$7,$B54:$Y54)+'Model Setup'!$L$8*(SUMIF($AD$3:$BA$3,"&lt;"&amp;$DF54,$B54:$Y54)+SUMIF($AD$3:$BA$3,"&gt;="&amp;$DG54,$B54:$Y54)),
IF(AH$3=$DF54+'Model Setup'!$M$7,SUMIF($AD$3:$BA$3,"="&amp;$DF54+'Model Setup'!$M$7,$B54:$Y54)+'Model Setup'!$M$8*(SUMIF($AD$3:$BA$3,"&lt;"&amp;$DF54,$B54:$Y54)+SUMIF($AD$3:$BA$3,"&gt;="&amp;$DG54,$B54:$Y54)),
IF(AH$3=$DF54+'Model Setup'!$N$7,SUMIF($AD$3:$BA$3,"="&amp;$DF54+'Model Setup'!$N$7,$B54:$Y54)+'Model Setup'!$N$8*(SUMIF($AD$3:$BA$3,"&lt;"&amp;$DF54,$B54:$Y54)+SUMIF($AD$3:$BA$3,"&gt;="&amp;$DG54,$B54:$Y54)),
IF(AH$3&lt;$DG54,F54,0))))))))))))))),0)</f>
        <v>0</v>
      </c>
      <c r="AI54" s="47">
        <f>ROUND(IF(AI$3&lt;$DF54,0,
IF(AI$3=$DF54+'Model Setup'!$B$7,SUMIF($AD$3:$BA$3,"="&amp;$DF54+'Model Setup'!$B$7,$B54:$Y54)+'Model Setup'!$B$8*(SUMIF($AD$3:$BA$3,"&lt;"&amp;$DF54,$B54:$Y54)+SUMIF($AD$3:$BA$3,"&gt;="&amp;$DG54,$B54:$Y54)),
IF(AI$3=$DF54+'Model Setup'!$C$7,SUMIF($AD$3:$BA$3,"="&amp;$DF54+'Model Setup'!$C$7,$B54:$Y54)+'Model Setup'!$C$8*(SUMIF($AD$3:$BA$3,"&lt;"&amp;$DF54,$B54:$Y54)+SUMIF($AD$3:$BA$3,"&gt;="&amp;$DG54,$B54:$Y54)),
IF(AI$3=$DF54+'Model Setup'!$D$7,SUMIF($AD$3:$BA$3,"="&amp;$DF54+'Model Setup'!$D$7,$B54:$Y54)+'Model Setup'!$D$8*(SUMIF($AD$3:$BA$3,"&lt;"&amp;$DF54,$B54:$Y54)+SUMIF($AD$3:$BA$3,"&gt;="&amp;$DG54,$B54:$Y54)),
IF(AI$3=$DF54+'Model Setup'!$E$7,SUMIF($AD$3:$BA$3,"="&amp;$DF54+'Model Setup'!$E$7,$B54:$Y54)+'Model Setup'!$E$8*(SUMIF($AD$3:$BA$3,"&lt;"&amp;$DF54,$B54:$Y54)+SUMIF($AD$3:$BA$3,"&gt;="&amp;$DG54,$B54:$Y54)),
IF(AI$3=$DF54+'Model Setup'!$F$7,SUMIF($AD$3:$BA$3,"="&amp;$DF54+'Model Setup'!$F$7,$B54:$Y54)+'Model Setup'!$F$8*(SUMIF($AD$3:$BA$3,"&lt;"&amp;$DF54,$B54:$Y54)+SUMIF($AD$3:$BA$3,"&gt;="&amp;$DG54,$B54:$Y54)),
IF(AI$3=$DF54+'Model Setup'!$G$7,SUMIF($AD$3:$BA$3,"="&amp;$DF54+'Model Setup'!$G$7,$B54:$Y54)+'Model Setup'!$G$8*(SUMIF($AD$3:$BA$3,"&lt;"&amp;$DF54,$B54:$Y54)+SUMIF($AD$3:$BA$3,"&gt;="&amp;$DG54,$B54:$Y54)),
IF(AI$3=$DF54+'Model Setup'!$H$7,SUMIF($AD$3:$BA$3,"="&amp;$DF54+'Model Setup'!$H$7,$B54:$Y54)+'Model Setup'!$H$8*(SUMIF($AD$3:$BA$3,"&lt;"&amp;$DF54,$B54:$Y54)+SUMIF($AD$3:$BA$3,"&gt;="&amp;$DG54,$B54:$Y54)),
IF(AI$3=$DF54+'Model Setup'!$I$7,SUMIF($AD$3:$BA$3,"="&amp;$DF54+'Model Setup'!$I$7,$B54:$Y54)+'Model Setup'!$I$8*(SUMIF($AD$3:$BA$3,"&lt;"&amp;$DF54,$B54:$Y54)+SUMIF($AD$3:$BA$3,"&gt;="&amp;$DG54,$B54:$Y54)),
IF(AI$3=$DF54+'Model Setup'!$J$7,SUMIF($AD$3:$BA$3,"="&amp;$DF54+'Model Setup'!$J$7,$B54:$Y54)+'Model Setup'!$J$8*(SUMIF($AD$3:$BA$3,"&lt;"&amp;$DF54,$B54:$Y54)+SUMIF($AD$3:$BA$3,"&gt;="&amp;$DG54,$B54:$Y54)),
IF(AI$3=$DF54+'Model Setup'!$K$7,SUMIF($AD$3:$BA$3,"="&amp;$DF54+'Model Setup'!$K$7,$B54:$Y54)+'Model Setup'!$K$8*(SUMIF($AD$3:$BA$3,"&lt;"&amp;$DF54,$B54:$Y54)+SUMIF($AD$3:$BA$3,"&gt;="&amp;$DG54,$B54:$Y54)),
IF(AI$3=$DF54+'Model Setup'!$L$7,SUMIF($AD$3:$BA$3,"="&amp;$DF54+'Model Setup'!$L$7,$B54:$Y54)+'Model Setup'!$L$8*(SUMIF($AD$3:$BA$3,"&lt;"&amp;$DF54,$B54:$Y54)+SUMIF($AD$3:$BA$3,"&gt;="&amp;$DG54,$B54:$Y54)),
IF(AI$3=$DF54+'Model Setup'!$M$7,SUMIF($AD$3:$BA$3,"="&amp;$DF54+'Model Setup'!$M$7,$B54:$Y54)+'Model Setup'!$M$8*(SUMIF($AD$3:$BA$3,"&lt;"&amp;$DF54,$B54:$Y54)+SUMIF($AD$3:$BA$3,"&gt;="&amp;$DG54,$B54:$Y54)),
IF(AI$3=$DF54+'Model Setup'!$N$7,SUMIF($AD$3:$BA$3,"="&amp;$DF54+'Model Setup'!$N$7,$B54:$Y54)+'Model Setup'!$N$8*(SUMIF($AD$3:$BA$3,"&lt;"&amp;$DF54,$B54:$Y54)+SUMIF($AD$3:$BA$3,"&gt;="&amp;$DG54,$B54:$Y54)),
IF(AI$3&lt;$DG54,G54,0))))))))))))))),0)</f>
        <v>0</v>
      </c>
      <c r="AJ54" s="47">
        <f>ROUND(IF(AJ$3&lt;$DF54,0,
IF(AJ$3=$DF54+'Model Setup'!$B$7,SUMIF($AD$3:$BA$3,"="&amp;$DF54+'Model Setup'!$B$7,$B54:$Y54)+'Model Setup'!$B$8*(SUMIF($AD$3:$BA$3,"&lt;"&amp;$DF54,$B54:$Y54)+SUMIF($AD$3:$BA$3,"&gt;="&amp;$DG54,$B54:$Y54)),
IF(AJ$3=$DF54+'Model Setup'!$C$7,SUMIF($AD$3:$BA$3,"="&amp;$DF54+'Model Setup'!$C$7,$B54:$Y54)+'Model Setup'!$C$8*(SUMIF($AD$3:$BA$3,"&lt;"&amp;$DF54,$B54:$Y54)+SUMIF($AD$3:$BA$3,"&gt;="&amp;$DG54,$B54:$Y54)),
IF(AJ$3=$DF54+'Model Setup'!$D$7,SUMIF($AD$3:$BA$3,"="&amp;$DF54+'Model Setup'!$D$7,$B54:$Y54)+'Model Setup'!$D$8*(SUMIF($AD$3:$BA$3,"&lt;"&amp;$DF54,$B54:$Y54)+SUMIF($AD$3:$BA$3,"&gt;="&amp;$DG54,$B54:$Y54)),
IF(AJ$3=$DF54+'Model Setup'!$E$7,SUMIF($AD$3:$BA$3,"="&amp;$DF54+'Model Setup'!$E$7,$B54:$Y54)+'Model Setup'!$E$8*(SUMIF($AD$3:$BA$3,"&lt;"&amp;$DF54,$B54:$Y54)+SUMIF($AD$3:$BA$3,"&gt;="&amp;$DG54,$B54:$Y54)),
IF(AJ$3=$DF54+'Model Setup'!$F$7,SUMIF($AD$3:$BA$3,"="&amp;$DF54+'Model Setup'!$F$7,$B54:$Y54)+'Model Setup'!$F$8*(SUMIF($AD$3:$BA$3,"&lt;"&amp;$DF54,$B54:$Y54)+SUMIF($AD$3:$BA$3,"&gt;="&amp;$DG54,$B54:$Y54)),
IF(AJ$3=$DF54+'Model Setup'!$G$7,SUMIF($AD$3:$BA$3,"="&amp;$DF54+'Model Setup'!$G$7,$B54:$Y54)+'Model Setup'!$G$8*(SUMIF($AD$3:$BA$3,"&lt;"&amp;$DF54,$B54:$Y54)+SUMIF($AD$3:$BA$3,"&gt;="&amp;$DG54,$B54:$Y54)),
IF(AJ$3=$DF54+'Model Setup'!$H$7,SUMIF($AD$3:$BA$3,"="&amp;$DF54+'Model Setup'!$H$7,$B54:$Y54)+'Model Setup'!$H$8*(SUMIF($AD$3:$BA$3,"&lt;"&amp;$DF54,$B54:$Y54)+SUMIF($AD$3:$BA$3,"&gt;="&amp;$DG54,$B54:$Y54)),
IF(AJ$3=$DF54+'Model Setup'!$I$7,SUMIF($AD$3:$BA$3,"="&amp;$DF54+'Model Setup'!$I$7,$B54:$Y54)+'Model Setup'!$I$8*(SUMIF($AD$3:$BA$3,"&lt;"&amp;$DF54,$B54:$Y54)+SUMIF($AD$3:$BA$3,"&gt;="&amp;$DG54,$B54:$Y54)),
IF(AJ$3=$DF54+'Model Setup'!$J$7,SUMIF($AD$3:$BA$3,"="&amp;$DF54+'Model Setup'!$J$7,$B54:$Y54)+'Model Setup'!$J$8*(SUMIF($AD$3:$BA$3,"&lt;"&amp;$DF54,$B54:$Y54)+SUMIF($AD$3:$BA$3,"&gt;="&amp;$DG54,$B54:$Y54)),
IF(AJ$3=$DF54+'Model Setup'!$K$7,SUMIF($AD$3:$BA$3,"="&amp;$DF54+'Model Setup'!$K$7,$B54:$Y54)+'Model Setup'!$K$8*(SUMIF($AD$3:$BA$3,"&lt;"&amp;$DF54,$B54:$Y54)+SUMIF($AD$3:$BA$3,"&gt;="&amp;$DG54,$B54:$Y54)),
IF(AJ$3=$DF54+'Model Setup'!$L$7,SUMIF($AD$3:$BA$3,"="&amp;$DF54+'Model Setup'!$L$7,$B54:$Y54)+'Model Setup'!$L$8*(SUMIF($AD$3:$BA$3,"&lt;"&amp;$DF54,$B54:$Y54)+SUMIF($AD$3:$BA$3,"&gt;="&amp;$DG54,$B54:$Y54)),
IF(AJ$3=$DF54+'Model Setup'!$M$7,SUMIF($AD$3:$BA$3,"="&amp;$DF54+'Model Setup'!$M$7,$B54:$Y54)+'Model Setup'!$M$8*(SUMIF($AD$3:$BA$3,"&lt;"&amp;$DF54,$B54:$Y54)+SUMIF($AD$3:$BA$3,"&gt;="&amp;$DG54,$B54:$Y54)),
IF(AJ$3=$DF54+'Model Setup'!$N$7,SUMIF($AD$3:$BA$3,"="&amp;$DF54+'Model Setup'!$N$7,$B54:$Y54)+'Model Setup'!$N$8*(SUMIF($AD$3:$BA$3,"&lt;"&amp;$DF54,$B54:$Y54)+SUMIF($AD$3:$BA$3,"&gt;="&amp;$DG54,$B54:$Y54)),
IF(AJ$3&lt;$DG54,H54,0))))))))))))))),0)</f>
        <v>60</v>
      </c>
      <c r="AK54" s="47">
        <f>ROUND(IF(AK$3&lt;$DF54,0,
IF(AK$3=$DF54+'Model Setup'!$B$7,SUMIF($AD$3:$BA$3,"="&amp;$DF54+'Model Setup'!$B$7,$B54:$Y54)+'Model Setup'!$B$8*(SUMIF($AD$3:$BA$3,"&lt;"&amp;$DF54,$B54:$Y54)+SUMIF($AD$3:$BA$3,"&gt;="&amp;$DG54,$B54:$Y54)),
IF(AK$3=$DF54+'Model Setup'!$C$7,SUMIF($AD$3:$BA$3,"="&amp;$DF54+'Model Setup'!$C$7,$B54:$Y54)+'Model Setup'!$C$8*(SUMIF($AD$3:$BA$3,"&lt;"&amp;$DF54,$B54:$Y54)+SUMIF($AD$3:$BA$3,"&gt;="&amp;$DG54,$B54:$Y54)),
IF(AK$3=$DF54+'Model Setup'!$D$7,SUMIF($AD$3:$BA$3,"="&amp;$DF54+'Model Setup'!$D$7,$B54:$Y54)+'Model Setup'!$D$8*(SUMIF($AD$3:$BA$3,"&lt;"&amp;$DF54,$B54:$Y54)+SUMIF($AD$3:$BA$3,"&gt;="&amp;$DG54,$B54:$Y54)),
IF(AK$3=$DF54+'Model Setup'!$E$7,SUMIF($AD$3:$BA$3,"="&amp;$DF54+'Model Setup'!$E$7,$B54:$Y54)+'Model Setup'!$E$8*(SUMIF($AD$3:$BA$3,"&lt;"&amp;$DF54,$B54:$Y54)+SUMIF($AD$3:$BA$3,"&gt;="&amp;$DG54,$B54:$Y54)),
IF(AK$3=$DF54+'Model Setup'!$F$7,SUMIF($AD$3:$BA$3,"="&amp;$DF54+'Model Setup'!$F$7,$B54:$Y54)+'Model Setup'!$F$8*(SUMIF($AD$3:$BA$3,"&lt;"&amp;$DF54,$B54:$Y54)+SUMIF($AD$3:$BA$3,"&gt;="&amp;$DG54,$B54:$Y54)),
IF(AK$3=$DF54+'Model Setup'!$G$7,SUMIF($AD$3:$BA$3,"="&amp;$DF54+'Model Setup'!$G$7,$B54:$Y54)+'Model Setup'!$G$8*(SUMIF($AD$3:$BA$3,"&lt;"&amp;$DF54,$B54:$Y54)+SUMIF($AD$3:$BA$3,"&gt;="&amp;$DG54,$B54:$Y54)),
IF(AK$3=$DF54+'Model Setup'!$H$7,SUMIF($AD$3:$BA$3,"="&amp;$DF54+'Model Setup'!$H$7,$B54:$Y54)+'Model Setup'!$H$8*(SUMIF($AD$3:$BA$3,"&lt;"&amp;$DF54,$B54:$Y54)+SUMIF($AD$3:$BA$3,"&gt;="&amp;$DG54,$B54:$Y54)),
IF(AK$3=$DF54+'Model Setup'!$I$7,SUMIF($AD$3:$BA$3,"="&amp;$DF54+'Model Setup'!$I$7,$B54:$Y54)+'Model Setup'!$I$8*(SUMIF($AD$3:$BA$3,"&lt;"&amp;$DF54,$B54:$Y54)+SUMIF($AD$3:$BA$3,"&gt;="&amp;$DG54,$B54:$Y54)),
IF(AK$3=$DF54+'Model Setup'!$J$7,SUMIF($AD$3:$BA$3,"="&amp;$DF54+'Model Setup'!$J$7,$B54:$Y54)+'Model Setup'!$J$8*(SUMIF($AD$3:$BA$3,"&lt;"&amp;$DF54,$B54:$Y54)+SUMIF($AD$3:$BA$3,"&gt;="&amp;$DG54,$B54:$Y54)),
IF(AK$3=$DF54+'Model Setup'!$K$7,SUMIF($AD$3:$BA$3,"="&amp;$DF54+'Model Setup'!$K$7,$B54:$Y54)+'Model Setup'!$K$8*(SUMIF($AD$3:$BA$3,"&lt;"&amp;$DF54,$B54:$Y54)+SUMIF($AD$3:$BA$3,"&gt;="&amp;$DG54,$B54:$Y54)),
IF(AK$3=$DF54+'Model Setup'!$L$7,SUMIF($AD$3:$BA$3,"="&amp;$DF54+'Model Setup'!$L$7,$B54:$Y54)+'Model Setup'!$L$8*(SUMIF($AD$3:$BA$3,"&lt;"&amp;$DF54,$B54:$Y54)+SUMIF($AD$3:$BA$3,"&gt;="&amp;$DG54,$B54:$Y54)),
IF(AK$3=$DF54+'Model Setup'!$M$7,SUMIF($AD$3:$BA$3,"="&amp;$DF54+'Model Setup'!$M$7,$B54:$Y54)+'Model Setup'!$M$8*(SUMIF($AD$3:$BA$3,"&lt;"&amp;$DF54,$B54:$Y54)+SUMIF($AD$3:$BA$3,"&gt;="&amp;$DG54,$B54:$Y54)),
IF(AK$3=$DF54+'Model Setup'!$N$7,SUMIF($AD$3:$BA$3,"="&amp;$DF54+'Model Setup'!$N$7,$B54:$Y54)+'Model Setup'!$N$8*(SUMIF($AD$3:$BA$3,"&lt;"&amp;$DF54,$B54:$Y54)+SUMIF($AD$3:$BA$3,"&gt;="&amp;$DG54,$B54:$Y54)),
IF(AK$3&lt;$DG54,I54,0))))))))))))))),0)</f>
        <v>53</v>
      </c>
      <c r="AL54" s="47">
        <f>ROUND(IF(AL$3&lt;$DF54,0,
IF(AL$3=$DF54+'Model Setup'!$B$7,SUMIF($AD$3:$BA$3,"="&amp;$DF54+'Model Setup'!$B$7,$B54:$Y54)+'Model Setup'!$B$8*(SUMIF($AD$3:$BA$3,"&lt;"&amp;$DF54,$B54:$Y54)+SUMIF($AD$3:$BA$3,"&gt;="&amp;$DG54,$B54:$Y54)),
IF(AL$3=$DF54+'Model Setup'!$C$7,SUMIF($AD$3:$BA$3,"="&amp;$DF54+'Model Setup'!$C$7,$B54:$Y54)+'Model Setup'!$C$8*(SUMIF($AD$3:$BA$3,"&lt;"&amp;$DF54,$B54:$Y54)+SUMIF($AD$3:$BA$3,"&gt;="&amp;$DG54,$B54:$Y54)),
IF(AL$3=$DF54+'Model Setup'!$D$7,SUMIF($AD$3:$BA$3,"="&amp;$DF54+'Model Setup'!$D$7,$B54:$Y54)+'Model Setup'!$D$8*(SUMIF($AD$3:$BA$3,"&lt;"&amp;$DF54,$B54:$Y54)+SUMIF($AD$3:$BA$3,"&gt;="&amp;$DG54,$B54:$Y54)),
IF(AL$3=$DF54+'Model Setup'!$E$7,SUMIF($AD$3:$BA$3,"="&amp;$DF54+'Model Setup'!$E$7,$B54:$Y54)+'Model Setup'!$E$8*(SUMIF($AD$3:$BA$3,"&lt;"&amp;$DF54,$B54:$Y54)+SUMIF($AD$3:$BA$3,"&gt;="&amp;$DG54,$B54:$Y54)),
IF(AL$3=$DF54+'Model Setup'!$F$7,SUMIF($AD$3:$BA$3,"="&amp;$DF54+'Model Setup'!$F$7,$B54:$Y54)+'Model Setup'!$F$8*(SUMIF($AD$3:$BA$3,"&lt;"&amp;$DF54,$B54:$Y54)+SUMIF($AD$3:$BA$3,"&gt;="&amp;$DG54,$B54:$Y54)),
IF(AL$3=$DF54+'Model Setup'!$G$7,SUMIF($AD$3:$BA$3,"="&amp;$DF54+'Model Setup'!$G$7,$B54:$Y54)+'Model Setup'!$G$8*(SUMIF($AD$3:$BA$3,"&lt;"&amp;$DF54,$B54:$Y54)+SUMIF($AD$3:$BA$3,"&gt;="&amp;$DG54,$B54:$Y54)),
IF(AL$3=$DF54+'Model Setup'!$H$7,SUMIF($AD$3:$BA$3,"="&amp;$DF54+'Model Setup'!$H$7,$B54:$Y54)+'Model Setup'!$H$8*(SUMIF($AD$3:$BA$3,"&lt;"&amp;$DF54,$B54:$Y54)+SUMIF($AD$3:$BA$3,"&gt;="&amp;$DG54,$B54:$Y54)),
IF(AL$3=$DF54+'Model Setup'!$I$7,SUMIF($AD$3:$BA$3,"="&amp;$DF54+'Model Setup'!$I$7,$B54:$Y54)+'Model Setup'!$I$8*(SUMIF($AD$3:$BA$3,"&lt;"&amp;$DF54,$B54:$Y54)+SUMIF($AD$3:$BA$3,"&gt;="&amp;$DG54,$B54:$Y54)),
IF(AL$3=$DF54+'Model Setup'!$J$7,SUMIF($AD$3:$BA$3,"="&amp;$DF54+'Model Setup'!$J$7,$B54:$Y54)+'Model Setup'!$J$8*(SUMIF($AD$3:$BA$3,"&lt;"&amp;$DF54,$B54:$Y54)+SUMIF($AD$3:$BA$3,"&gt;="&amp;$DG54,$B54:$Y54)),
IF(AL$3=$DF54+'Model Setup'!$K$7,SUMIF($AD$3:$BA$3,"="&amp;$DF54+'Model Setup'!$K$7,$B54:$Y54)+'Model Setup'!$K$8*(SUMIF($AD$3:$BA$3,"&lt;"&amp;$DF54,$B54:$Y54)+SUMIF($AD$3:$BA$3,"&gt;="&amp;$DG54,$B54:$Y54)),
IF(AL$3=$DF54+'Model Setup'!$L$7,SUMIF($AD$3:$BA$3,"="&amp;$DF54+'Model Setup'!$L$7,$B54:$Y54)+'Model Setup'!$L$8*(SUMIF($AD$3:$BA$3,"&lt;"&amp;$DF54,$B54:$Y54)+SUMIF($AD$3:$BA$3,"&gt;="&amp;$DG54,$B54:$Y54)),
IF(AL$3=$DF54+'Model Setup'!$M$7,SUMIF($AD$3:$BA$3,"="&amp;$DF54+'Model Setup'!$M$7,$B54:$Y54)+'Model Setup'!$M$8*(SUMIF($AD$3:$BA$3,"&lt;"&amp;$DF54,$B54:$Y54)+SUMIF($AD$3:$BA$3,"&gt;="&amp;$DG54,$B54:$Y54)),
IF(AL$3=$DF54+'Model Setup'!$N$7,SUMIF($AD$3:$BA$3,"="&amp;$DF54+'Model Setup'!$N$7,$B54:$Y54)+'Model Setup'!$N$8*(SUMIF($AD$3:$BA$3,"&lt;"&amp;$DF54,$B54:$Y54)+SUMIF($AD$3:$BA$3,"&gt;="&amp;$DG54,$B54:$Y54)),
IF(AL$3&lt;$DG54,J54,0))))))))))))))),0)</f>
        <v>71</v>
      </c>
      <c r="AM54" s="47">
        <f>ROUND(IF(AM$3&lt;$DF54,0,
IF(AM$3=$DF54+'Model Setup'!$B$7,SUMIF($AD$3:$BA$3,"="&amp;$DF54+'Model Setup'!$B$7,$B54:$Y54)+'Model Setup'!$B$8*(SUMIF($AD$3:$BA$3,"&lt;"&amp;$DF54,$B54:$Y54)+SUMIF($AD$3:$BA$3,"&gt;="&amp;$DG54,$B54:$Y54)),
IF(AM$3=$DF54+'Model Setup'!$C$7,SUMIF($AD$3:$BA$3,"="&amp;$DF54+'Model Setup'!$C$7,$B54:$Y54)+'Model Setup'!$C$8*(SUMIF($AD$3:$BA$3,"&lt;"&amp;$DF54,$B54:$Y54)+SUMIF($AD$3:$BA$3,"&gt;="&amp;$DG54,$B54:$Y54)),
IF(AM$3=$DF54+'Model Setup'!$D$7,SUMIF($AD$3:$BA$3,"="&amp;$DF54+'Model Setup'!$D$7,$B54:$Y54)+'Model Setup'!$D$8*(SUMIF($AD$3:$BA$3,"&lt;"&amp;$DF54,$B54:$Y54)+SUMIF($AD$3:$BA$3,"&gt;="&amp;$DG54,$B54:$Y54)),
IF(AM$3=$DF54+'Model Setup'!$E$7,SUMIF($AD$3:$BA$3,"="&amp;$DF54+'Model Setup'!$E$7,$B54:$Y54)+'Model Setup'!$E$8*(SUMIF($AD$3:$BA$3,"&lt;"&amp;$DF54,$B54:$Y54)+SUMIF($AD$3:$BA$3,"&gt;="&amp;$DG54,$B54:$Y54)),
IF(AM$3=$DF54+'Model Setup'!$F$7,SUMIF($AD$3:$BA$3,"="&amp;$DF54+'Model Setup'!$F$7,$B54:$Y54)+'Model Setup'!$F$8*(SUMIF($AD$3:$BA$3,"&lt;"&amp;$DF54,$B54:$Y54)+SUMIF($AD$3:$BA$3,"&gt;="&amp;$DG54,$B54:$Y54)),
IF(AM$3=$DF54+'Model Setup'!$G$7,SUMIF($AD$3:$BA$3,"="&amp;$DF54+'Model Setup'!$G$7,$B54:$Y54)+'Model Setup'!$G$8*(SUMIF($AD$3:$BA$3,"&lt;"&amp;$DF54,$B54:$Y54)+SUMIF($AD$3:$BA$3,"&gt;="&amp;$DG54,$B54:$Y54)),
IF(AM$3=$DF54+'Model Setup'!$H$7,SUMIF($AD$3:$BA$3,"="&amp;$DF54+'Model Setup'!$H$7,$B54:$Y54)+'Model Setup'!$H$8*(SUMIF($AD$3:$BA$3,"&lt;"&amp;$DF54,$B54:$Y54)+SUMIF($AD$3:$BA$3,"&gt;="&amp;$DG54,$B54:$Y54)),
IF(AM$3=$DF54+'Model Setup'!$I$7,SUMIF($AD$3:$BA$3,"="&amp;$DF54+'Model Setup'!$I$7,$B54:$Y54)+'Model Setup'!$I$8*(SUMIF($AD$3:$BA$3,"&lt;"&amp;$DF54,$B54:$Y54)+SUMIF($AD$3:$BA$3,"&gt;="&amp;$DG54,$B54:$Y54)),
IF(AM$3=$DF54+'Model Setup'!$J$7,SUMIF($AD$3:$BA$3,"="&amp;$DF54+'Model Setup'!$J$7,$B54:$Y54)+'Model Setup'!$J$8*(SUMIF($AD$3:$BA$3,"&lt;"&amp;$DF54,$B54:$Y54)+SUMIF($AD$3:$BA$3,"&gt;="&amp;$DG54,$B54:$Y54)),
IF(AM$3=$DF54+'Model Setup'!$K$7,SUMIF($AD$3:$BA$3,"="&amp;$DF54+'Model Setup'!$K$7,$B54:$Y54)+'Model Setup'!$K$8*(SUMIF($AD$3:$BA$3,"&lt;"&amp;$DF54,$B54:$Y54)+SUMIF($AD$3:$BA$3,"&gt;="&amp;$DG54,$B54:$Y54)),
IF(AM$3=$DF54+'Model Setup'!$L$7,SUMIF($AD$3:$BA$3,"="&amp;$DF54+'Model Setup'!$L$7,$B54:$Y54)+'Model Setup'!$L$8*(SUMIF($AD$3:$BA$3,"&lt;"&amp;$DF54,$B54:$Y54)+SUMIF($AD$3:$BA$3,"&gt;="&amp;$DG54,$B54:$Y54)),
IF(AM$3=$DF54+'Model Setup'!$M$7,SUMIF($AD$3:$BA$3,"="&amp;$DF54+'Model Setup'!$M$7,$B54:$Y54)+'Model Setup'!$M$8*(SUMIF($AD$3:$BA$3,"&lt;"&amp;$DF54,$B54:$Y54)+SUMIF($AD$3:$BA$3,"&gt;="&amp;$DG54,$B54:$Y54)),
IF(AM$3=$DF54+'Model Setup'!$N$7,SUMIF($AD$3:$BA$3,"="&amp;$DF54+'Model Setup'!$N$7,$B54:$Y54)+'Model Setup'!$N$8*(SUMIF($AD$3:$BA$3,"&lt;"&amp;$DF54,$B54:$Y54)+SUMIF($AD$3:$BA$3,"&gt;="&amp;$DG54,$B54:$Y54)),
IF(AM$3&lt;$DG54,K54,0))))))))))))))),0)</f>
        <v>67</v>
      </c>
      <c r="AN54" s="47">
        <f>ROUND(IF(AN$3&lt;$DF54,0,
IF(AN$3=$DF54+'Model Setup'!$B$7,SUMIF($AD$3:$BA$3,"="&amp;$DF54+'Model Setup'!$B$7,$B54:$Y54)+'Model Setup'!$B$8*(SUMIF($AD$3:$BA$3,"&lt;"&amp;$DF54,$B54:$Y54)+SUMIF($AD$3:$BA$3,"&gt;="&amp;$DG54,$B54:$Y54)),
IF(AN$3=$DF54+'Model Setup'!$C$7,SUMIF($AD$3:$BA$3,"="&amp;$DF54+'Model Setup'!$C$7,$B54:$Y54)+'Model Setup'!$C$8*(SUMIF($AD$3:$BA$3,"&lt;"&amp;$DF54,$B54:$Y54)+SUMIF($AD$3:$BA$3,"&gt;="&amp;$DG54,$B54:$Y54)),
IF(AN$3=$DF54+'Model Setup'!$D$7,SUMIF($AD$3:$BA$3,"="&amp;$DF54+'Model Setup'!$D$7,$B54:$Y54)+'Model Setup'!$D$8*(SUMIF($AD$3:$BA$3,"&lt;"&amp;$DF54,$B54:$Y54)+SUMIF($AD$3:$BA$3,"&gt;="&amp;$DG54,$B54:$Y54)),
IF(AN$3=$DF54+'Model Setup'!$E$7,SUMIF($AD$3:$BA$3,"="&amp;$DF54+'Model Setup'!$E$7,$B54:$Y54)+'Model Setup'!$E$8*(SUMIF($AD$3:$BA$3,"&lt;"&amp;$DF54,$B54:$Y54)+SUMIF($AD$3:$BA$3,"&gt;="&amp;$DG54,$B54:$Y54)),
IF(AN$3=$DF54+'Model Setup'!$F$7,SUMIF($AD$3:$BA$3,"="&amp;$DF54+'Model Setup'!$F$7,$B54:$Y54)+'Model Setup'!$F$8*(SUMIF($AD$3:$BA$3,"&lt;"&amp;$DF54,$B54:$Y54)+SUMIF($AD$3:$BA$3,"&gt;="&amp;$DG54,$B54:$Y54)),
IF(AN$3=$DF54+'Model Setup'!$G$7,SUMIF($AD$3:$BA$3,"="&amp;$DF54+'Model Setup'!$G$7,$B54:$Y54)+'Model Setup'!$G$8*(SUMIF($AD$3:$BA$3,"&lt;"&amp;$DF54,$B54:$Y54)+SUMIF($AD$3:$BA$3,"&gt;="&amp;$DG54,$B54:$Y54)),
IF(AN$3=$DF54+'Model Setup'!$H$7,SUMIF($AD$3:$BA$3,"="&amp;$DF54+'Model Setup'!$H$7,$B54:$Y54)+'Model Setup'!$H$8*(SUMIF($AD$3:$BA$3,"&lt;"&amp;$DF54,$B54:$Y54)+SUMIF($AD$3:$BA$3,"&gt;="&amp;$DG54,$B54:$Y54)),
IF(AN$3=$DF54+'Model Setup'!$I$7,SUMIF($AD$3:$BA$3,"="&amp;$DF54+'Model Setup'!$I$7,$B54:$Y54)+'Model Setup'!$I$8*(SUMIF($AD$3:$BA$3,"&lt;"&amp;$DF54,$B54:$Y54)+SUMIF($AD$3:$BA$3,"&gt;="&amp;$DG54,$B54:$Y54)),
IF(AN$3=$DF54+'Model Setup'!$J$7,SUMIF($AD$3:$BA$3,"="&amp;$DF54+'Model Setup'!$J$7,$B54:$Y54)+'Model Setup'!$J$8*(SUMIF($AD$3:$BA$3,"&lt;"&amp;$DF54,$B54:$Y54)+SUMIF($AD$3:$BA$3,"&gt;="&amp;$DG54,$B54:$Y54)),
IF(AN$3=$DF54+'Model Setup'!$K$7,SUMIF($AD$3:$BA$3,"="&amp;$DF54+'Model Setup'!$K$7,$B54:$Y54)+'Model Setup'!$K$8*(SUMIF($AD$3:$BA$3,"&lt;"&amp;$DF54,$B54:$Y54)+SUMIF($AD$3:$BA$3,"&gt;="&amp;$DG54,$B54:$Y54)),
IF(AN$3=$DF54+'Model Setup'!$L$7,SUMIF($AD$3:$BA$3,"="&amp;$DF54+'Model Setup'!$L$7,$B54:$Y54)+'Model Setup'!$L$8*(SUMIF($AD$3:$BA$3,"&lt;"&amp;$DF54,$B54:$Y54)+SUMIF($AD$3:$BA$3,"&gt;="&amp;$DG54,$B54:$Y54)),
IF(AN$3=$DF54+'Model Setup'!$M$7,SUMIF($AD$3:$BA$3,"="&amp;$DF54+'Model Setup'!$M$7,$B54:$Y54)+'Model Setup'!$M$8*(SUMIF($AD$3:$BA$3,"&lt;"&amp;$DF54,$B54:$Y54)+SUMIF($AD$3:$BA$3,"&gt;="&amp;$DG54,$B54:$Y54)),
IF(AN$3=$DF54+'Model Setup'!$N$7,SUMIF($AD$3:$BA$3,"="&amp;$DF54+'Model Setup'!$N$7,$B54:$Y54)+'Model Setup'!$N$8*(SUMIF($AD$3:$BA$3,"&lt;"&amp;$DF54,$B54:$Y54)+SUMIF($AD$3:$BA$3,"&gt;="&amp;$DG54,$B54:$Y54)),
IF(AN$3&lt;$DG54,L54,0))))))))))))))),0)</f>
        <v>64</v>
      </c>
      <c r="AO54" s="47">
        <f>ROUND(IF(AO$3&lt;$DF54,0,
IF(AO$3=$DF54+'Model Setup'!$B$7,SUMIF($AD$3:$BA$3,"="&amp;$DF54+'Model Setup'!$B$7,$B54:$Y54)+'Model Setup'!$B$8*(SUMIF($AD$3:$BA$3,"&lt;"&amp;$DF54,$B54:$Y54)+SUMIF($AD$3:$BA$3,"&gt;="&amp;$DG54,$B54:$Y54)),
IF(AO$3=$DF54+'Model Setup'!$C$7,SUMIF($AD$3:$BA$3,"="&amp;$DF54+'Model Setup'!$C$7,$B54:$Y54)+'Model Setup'!$C$8*(SUMIF($AD$3:$BA$3,"&lt;"&amp;$DF54,$B54:$Y54)+SUMIF($AD$3:$BA$3,"&gt;="&amp;$DG54,$B54:$Y54)),
IF(AO$3=$DF54+'Model Setup'!$D$7,SUMIF($AD$3:$BA$3,"="&amp;$DF54+'Model Setup'!$D$7,$B54:$Y54)+'Model Setup'!$D$8*(SUMIF($AD$3:$BA$3,"&lt;"&amp;$DF54,$B54:$Y54)+SUMIF($AD$3:$BA$3,"&gt;="&amp;$DG54,$B54:$Y54)),
IF(AO$3=$DF54+'Model Setup'!$E$7,SUMIF($AD$3:$BA$3,"="&amp;$DF54+'Model Setup'!$E$7,$B54:$Y54)+'Model Setup'!$E$8*(SUMIF($AD$3:$BA$3,"&lt;"&amp;$DF54,$B54:$Y54)+SUMIF($AD$3:$BA$3,"&gt;="&amp;$DG54,$B54:$Y54)),
IF(AO$3=$DF54+'Model Setup'!$F$7,SUMIF($AD$3:$BA$3,"="&amp;$DF54+'Model Setup'!$F$7,$B54:$Y54)+'Model Setup'!$F$8*(SUMIF($AD$3:$BA$3,"&lt;"&amp;$DF54,$B54:$Y54)+SUMIF($AD$3:$BA$3,"&gt;="&amp;$DG54,$B54:$Y54)),
IF(AO$3=$DF54+'Model Setup'!$G$7,SUMIF($AD$3:$BA$3,"="&amp;$DF54+'Model Setup'!$G$7,$B54:$Y54)+'Model Setup'!$G$8*(SUMIF($AD$3:$BA$3,"&lt;"&amp;$DF54,$B54:$Y54)+SUMIF($AD$3:$BA$3,"&gt;="&amp;$DG54,$B54:$Y54)),
IF(AO$3=$DF54+'Model Setup'!$H$7,SUMIF($AD$3:$BA$3,"="&amp;$DF54+'Model Setup'!$H$7,$B54:$Y54)+'Model Setup'!$H$8*(SUMIF($AD$3:$BA$3,"&lt;"&amp;$DF54,$B54:$Y54)+SUMIF($AD$3:$BA$3,"&gt;="&amp;$DG54,$B54:$Y54)),
IF(AO$3=$DF54+'Model Setup'!$I$7,SUMIF($AD$3:$BA$3,"="&amp;$DF54+'Model Setup'!$I$7,$B54:$Y54)+'Model Setup'!$I$8*(SUMIF($AD$3:$BA$3,"&lt;"&amp;$DF54,$B54:$Y54)+SUMIF($AD$3:$BA$3,"&gt;="&amp;$DG54,$B54:$Y54)),
IF(AO$3=$DF54+'Model Setup'!$J$7,SUMIF($AD$3:$BA$3,"="&amp;$DF54+'Model Setup'!$J$7,$B54:$Y54)+'Model Setup'!$J$8*(SUMIF($AD$3:$BA$3,"&lt;"&amp;$DF54,$B54:$Y54)+SUMIF($AD$3:$BA$3,"&gt;="&amp;$DG54,$B54:$Y54)),
IF(AO$3=$DF54+'Model Setup'!$K$7,SUMIF($AD$3:$BA$3,"="&amp;$DF54+'Model Setup'!$K$7,$B54:$Y54)+'Model Setup'!$K$8*(SUMIF($AD$3:$BA$3,"&lt;"&amp;$DF54,$B54:$Y54)+SUMIF($AD$3:$BA$3,"&gt;="&amp;$DG54,$B54:$Y54)),
IF(AO$3=$DF54+'Model Setup'!$L$7,SUMIF($AD$3:$BA$3,"="&amp;$DF54+'Model Setup'!$L$7,$B54:$Y54)+'Model Setup'!$L$8*(SUMIF($AD$3:$BA$3,"&lt;"&amp;$DF54,$B54:$Y54)+SUMIF($AD$3:$BA$3,"&gt;="&amp;$DG54,$B54:$Y54)),
IF(AO$3=$DF54+'Model Setup'!$M$7,SUMIF($AD$3:$BA$3,"="&amp;$DF54+'Model Setup'!$M$7,$B54:$Y54)+'Model Setup'!$M$8*(SUMIF($AD$3:$BA$3,"&lt;"&amp;$DF54,$B54:$Y54)+SUMIF($AD$3:$BA$3,"&gt;="&amp;$DG54,$B54:$Y54)),
IF(AO$3=$DF54+'Model Setup'!$N$7,SUMIF($AD$3:$BA$3,"="&amp;$DF54+'Model Setup'!$N$7,$B54:$Y54)+'Model Setup'!$N$8*(SUMIF($AD$3:$BA$3,"&lt;"&amp;$DF54,$B54:$Y54)+SUMIF($AD$3:$BA$3,"&gt;="&amp;$DG54,$B54:$Y54)),
IF(AO$3&lt;$DG54,M54,0))))))))))))))),0)</f>
        <v>43</v>
      </c>
      <c r="AP54" s="47">
        <f>ROUND(IF(AP$3&lt;$DF54,0,
IF(AP$3=$DF54+'Model Setup'!$B$7,SUMIF($AD$3:$BA$3,"="&amp;$DF54+'Model Setup'!$B$7,$B54:$Y54)+'Model Setup'!$B$8*(SUMIF($AD$3:$BA$3,"&lt;"&amp;$DF54,$B54:$Y54)+SUMIF($AD$3:$BA$3,"&gt;="&amp;$DG54,$B54:$Y54)),
IF(AP$3=$DF54+'Model Setup'!$C$7,SUMIF($AD$3:$BA$3,"="&amp;$DF54+'Model Setup'!$C$7,$B54:$Y54)+'Model Setup'!$C$8*(SUMIF($AD$3:$BA$3,"&lt;"&amp;$DF54,$B54:$Y54)+SUMIF($AD$3:$BA$3,"&gt;="&amp;$DG54,$B54:$Y54)),
IF(AP$3=$DF54+'Model Setup'!$D$7,SUMIF($AD$3:$BA$3,"="&amp;$DF54+'Model Setup'!$D$7,$B54:$Y54)+'Model Setup'!$D$8*(SUMIF($AD$3:$BA$3,"&lt;"&amp;$DF54,$B54:$Y54)+SUMIF($AD$3:$BA$3,"&gt;="&amp;$DG54,$B54:$Y54)),
IF(AP$3=$DF54+'Model Setup'!$E$7,SUMIF($AD$3:$BA$3,"="&amp;$DF54+'Model Setup'!$E$7,$B54:$Y54)+'Model Setup'!$E$8*(SUMIF($AD$3:$BA$3,"&lt;"&amp;$DF54,$B54:$Y54)+SUMIF($AD$3:$BA$3,"&gt;="&amp;$DG54,$B54:$Y54)),
IF(AP$3=$DF54+'Model Setup'!$F$7,SUMIF($AD$3:$BA$3,"="&amp;$DF54+'Model Setup'!$F$7,$B54:$Y54)+'Model Setup'!$F$8*(SUMIF($AD$3:$BA$3,"&lt;"&amp;$DF54,$B54:$Y54)+SUMIF($AD$3:$BA$3,"&gt;="&amp;$DG54,$B54:$Y54)),
IF(AP$3=$DF54+'Model Setup'!$G$7,SUMIF($AD$3:$BA$3,"="&amp;$DF54+'Model Setup'!$G$7,$B54:$Y54)+'Model Setup'!$G$8*(SUMIF($AD$3:$BA$3,"&lt;"&amp;$DF54,$B54:$Y54)+SUMIF($AD$3:$BA$3,"&gt;="&amp;$DG54,$B54:$Y54)),
IF(AP$3=$DF54+'Model Setup'!$H$7,SUMIF($AD$3:$BA$3,"="&amp;$DF54+'Model Setup'!$H$7,$B54:$Y54)+'Model Setup'!$H$8*(SUMIF($AD$3:$BA$3,"&lt;"&amp;$DF54,$B54:$Y54)+SUMIF($AD$3:$BA$3,"&gt;="&amp;$DG54,$B54:$Y54)),
IF(AP$3=$DF54+'Model Setup'!$I$7,SUMIF($AD$3:$BA$3,"="&amp;$DF54+'Model Setup'!$I$7,$B54:$Y54)+'Model Setup'!$I$8*(SUMIF($AD$3:$BA$3,"&lt;"&amp;$DF54,$B54:$Y54)+SUMIF($AD$3:$BA$3,"&gt;="&amp;$DG54,$B54:$Y54)),
IF(AP$3=$DF54+'Model Setup'!$J$7,SUMIF($AD$3:$BA$3,"="&amp;$DF54+'Model Setup'!$J$7,$B54:$Y54)+'Model Setup'!$J$8*(SUMIF($AD$3:$BA$3,"&lt;"&amp;$DF54,$B54:$Y54)+SUMIF($AD$3:$BA$3,"&gt;="&amp;$DG54,$B54:$Y54)),
IF(AP$3=$DF54+'Model Setup'!$K$7,SUMIF($AD$3:$BA$3,"="&amp;$DF54+'Model Setup'!$K$7,$B54:$Y54)+'Model Setup'!$K$8*(SUMIF($AD$3:$BA$3,"&lt;"&amp;$DF54,$B54:$Y54)+SUMIF($AD$3:$BA$3,"&gt;="&amp;$DG54,$B54:$Y54)),
IF(AP$3=$DF54+'Model Setup'!$L$7,SUMIF($AD$3:$BA$3,"="&amp;$DF54+'Model Setup'!$L$7,$B54:$Y54)+'Model Setup'!$L$8*(SUMIF($AD$3:$BA$3,"&lt;"&amp;$DF54,$B54:$Y54)+SUMIF($AD$3:$BA$3,"&gt;="&amp;$DG54,$B54:$Y54)),
IF(AP$3=$DF54+'Model Setup'!$M$7,SUMIF($AD$3:$BA$3,"="&amp;$DF54+'Model Setup'!$M$7,$B54:$Y54)+'Model Setup'!$M$8*(SUMIF($AD$3:$BA$3,"&lt;"&amp;$DF54,$B54:$Y54)+SUMIF($AD$3:$BA$3,"&gt;="&amp;$DG54,$B54:$Y54)),
IF(AP$3=$DF54+'Model Setup'!$N$7,SUMIF($AD$3:$BA$3,"="&amp;$DF54+'Model Setup'!$N$7,$B54:$Y54)+'Model Setup'!$N$8*(SUMIF($AD$3:$BA$3,"&lt;"&amp;$DF54,$B54:$Y54)+SUMIF($AD$3:$BA$3,"&gt;="&amp;$DG54,$B54:$Y54)),
IF(AP$3&lt;$DG54,N54,0))))))))))))))),0)</f>
        <v>26</v>
      </c>
      <c r="AQ54" s="47">
        <f>ROUND(IF(AQ$3&lt;$DF54,0,
IF(AQ$3=$DF54+'Model Setup'!$B$7,SUMIF($AD$3:$BA$3,"="&amp;$DF54+'Model Setup'!$B$7,$B54:$Y54)+'Model Setup'!$B$8*(SUMIF($AD$3:$BA$3,"&lt;"&amp;$DF54,$B54:$Y54)+SUMIF($AD$3:$BA$3,"&gt;="&amp;$DG54,$B54:$Y54)),
IF(AQ$3=$DF54+'Model Setup'!$C$7,SUMIF($AD$3:$BA$3,"="&amp;$DF54+'Model Setup'!$C$7,$B54:$Y54)+'Model Setup'!$C$8*(SUMIF($AD$3:$BA$3,"&lt;"&amp;$DF54,$B54:$Y54)+SUMIF($AD$3:$BA$3,"&gt;="&amp;$DG54,$B54:$Y54)),
IF(AQ$3=$DF54+'Model Setup'!$D$7,SUMIF($AD$3:$BA$3,"="&amp;$DF54+'Model Setup'!$D$7,$B54:$Y54)+'Model Setup'!$D$8*(SUMIF($AD$3:$BA$3,"&lt;"&amp;$DF54,$B54:$Y54)+SUMIF($AD$3:$BA$3,"&gt;="&amp;$DG54,$B54:$Y54)),
IF(AQ$3=$DF54+'Model Setup'!$E$7,SUMIF($AD$3:$BA$3,"="&amp;$DF54+'Model Setup'!$E$7,$B54:$Y54)+'Model Setup'!$E$8*(SUMIF($AD$3:$BA$3,"&lt;"&amp;$DF54,$B54:$Y54)+SUMIF($AD$3:$BA$3,"&gt;="&amp;$DG54,$B54:$Y54)),
IF(AQ$3=$DF54+'Model Setup'!$F$7,SUMIF($AD$3:$BA$3,"="&amp;$DF54+'Model Setup'!$F$7,$B54:$Y54)+'Model Setup'!$F$8*(SUMIF($AD$3:$BA$3,"&lt;"&amp;$DF54,$B54:$Y54)+SUMIF($AD$3:$BA$3,"&gt;="&amp;$DG54,$B54:$Y54)),
IF(AQ$3=$DF54+'Model Setup'!$G$7,SUMIF($AD$3:$BA$3,"="&amp;$DF54+'Model Setup'!$G$7,$B54:$Y54)+'Model Setup'!$G$8*(SUMIF($AD$3:$BA$3,"&lt;"&amp;$DF54,$B54:$Y54)+SUMIF($AD$3:$BA$3,"&gt;="&amp;$DG54,$B54:$Y54)),
IF(AQ$3=$DF54+'Model Setup'!$H$7,SUMIF($AD$3:$BA$3,"="&amp;$DF54+'Model Setup'!$H$7,$B54:$Y54)+'Model Setup'!$H$8*(SUMIF($AD$3:$BA$3,"&lt;"&amp;$DF54,$B54:$Y54)+SUMIF($AD$3:$BA$3,"&gt;="&amp;$DG54,$B54:$Y54)),
IF(AQ$3=$DF54+'Model Setup'!$I$7,SUMIF($AD$3:$BA$3,"="&amp;$DF54+'Model Setup'!$I$7,$B54:$Y54)+'Model Setup'!$I$8*(SUMIF($AD$3:$BA$3,"&lt;"&amp;$DF54,$B54:$Y54)+SUMIF($AD$3:$BA$3,"&gt;="&amp;$DG54,$B54:$Y54)),
IF(AQ$3=$DF54+'Model Setup'!$J$7,SUMIF($AD$3:$BA$3,"="&amp;$DF54+'Model Setup'!$J$7,$B54:$Y54)+'Model Setup'!$J$8*(SUMIF($AD$3:$BA$3,"&lt;"&amp;$DF54,$B54:$Y54)+SUMIF($AD$3:$BA$3,"&gt;="&amp;$DG54,$B54:$Y54)),
IF(AQ$3=$DF54+'Model Setup'!$K$7,SUMIF($AD$3:$BA$3,"="&amp;$DF54+'Model Setup'!$K$7,$B54:$Y54)+'Model Setup'!$K$8*(SUMIF($AD$3:$BA$3,"&lt;"&amp;$DF54,$B54:$Y54)+SUMIF($AD$3:$BA$3,"&gt;="&amp;$DG54,$B54:$Y54)),
IF(AQ$3=$DF54+'Model Setup'!$L$7,SUMIF($AD$3:$BA$3,"="&amp;$DF54+'Model Setup'!$L$7,$B54:$Y54)+'Model Setup'!$L$8*(SUMIF($AD$3:$BA$3,"&lt;"&amp;$DF54,$B54:$Y54)+SUMIF($AD$3:$BA$3,"&gt;="&amp;$DG54,$B54:$Y54)),
IF(AQ$3=$DF54+'Model Setup'!$M$7,SUMIF($AD$3:$BA$3,"="&amp;$DF54+'Model Setup'!$M$7,$B54:$Y54)+'Model Setup'!$M$8*(SUMIF($AD$3:$BA$3,"&lt;"&amp;$DF54,$B54:$Y54)+SUMIF($AD$3:$BA$3,"&gt;="&amp;$DG54,$B54:$Y54)),
IF(AQ$3=$DF54+'Model Setup'!$N$7,SUMIF($AD$3:$BA$3,"="&amp;$DF54+'Model Setup'!$N$7,$B54:$Y54)+'Model Setup'!$N$8*(SUMIF($AD$3:$BA$3,"&lt;"&amp;$DF54,$B54:$Y54)+SUMIF($AD$3:$BA$3,"&gt;="&amp;$DG54,$B54:$Y54)),
IF(AQ$3&lt;$DG54,O54,0))))))))))))))),0)</f>
        <v>27</v>
      </c>
      <c r="AR54" s="47">
        <f>ROUND(IF(AR$3&lt;$DF54,0,
IF(AR$3=$DF54+'Model Setup'!$B$7,SUMIF($AD$3:$BA$3,"="&amp;$DF54+'Model Setup'!$B$7,$B54:$Y54)+'Model Setup'!$B$8*(SUMIF($AD$3:$BA$3,"&lt;"&amp;$DF54,$B54:$Y54)+SUMIF($AD$3:$BA$3,"&gt;="&amp;$DG54,$B54:$Y54)),
IF(AR$3=$DF54+'Model Setup'!$C$7,SUMIF($AD$3:$BA$3,"="&amp;$DF54+'Model Setup'!$C$7,$B54:$Y54)+'Model Setup'!$C$8*(SUMIF($AD$3:$BA$3,"&lt;"&amp;$DF54,$B54:$Y54)+SUMIF($AD$3:$BA$3,"&gt;="&amp;$DG54,$B54:$Y54)),
IF(AR$3=$DF54+'Model Setup'!$D$7,SUMIF($AD$3:$BA$3,"="&amp;$DF54+'Model Setup'!$D$7,$B54:$Y54)+'Model Setup'!$D$8*(SUMIF($AD$3:$BA$3,"&lt;"&amp;$DF54,$B54:$Y54)+SUMIF($AD$3:$BA$3,"&gt;="&amp;$DG54,$B54:$Y54)),
IF(AR$3=$DF54+'Model Setup'!$E$7,SUMIF($AD$3:$BA$3,"="&amp;$DF54+'Model Setup'!$E$7,$B54:$Y54)+'Model Setup'!$E$8*(SUMIF($AD$3:$BA$3,"&lt;"&amp;$DF54,$B54:$Y54)+SUMIF($AD$3:$BA$3,"&gt;="&amp;$DG54,$B54:$Y54)),
IF(AR$3=$DF54+'Model Setup'!$F$7,SUMIF($AD$3:$BA$3,"="&amp;$DF54+'Model Setup'!$F$7,$B54:$Y54)+'Model Setup'!$F$8*(SUMIF($AD$3:$BA$3,"&lt;"&amp;$DF54,$B54:$Y54)+SUMIF($AD$3:$BA$3,"&gt;="&amp;$DG54,$B54:$Y54)),
IF(AR$3=$DF54+'Model Setup'!$G$7,SUMIF($AD$3:$BA$3,"="&amp;$DF54+'Model Setup'!$G$7,$B54:$Y54)+'Model Setup'!$G$8*(SUMIF($AD$3:$BA$3,"&lt;"&amp;$DF54,$B54:$Y54)+SUMIF($AD$3:$BA$3,"&gt;="&amp;$DG54,$B54:$Y54)),
IF(AR$3=$DF54+'Model Setup'!$H$7,SUMIF($AD$3:$BA$3,"="&amp;$DF54+'Model Setup'!$H$7,$B54:$Y54)+'Model Setup'!$H$8*(SUMIF($AD$3:$BA$3,"&lt;"&amp;$DF54,$B54:$Y54)+SUMIF($AD$3:$BA$3,"&gt;="&amp;$DG54,$B54:$Y54)),
IF(AR$3=$DF54+'Model Setup'!$I$7,SUMIF($AD$3:$BA$3,"="&amp;$DF54+'Model Setup'!$I$7,$B54:$Y54)+'Model Setup'!$I$8*(SUMIF($AD$3:$BA$3,"&lt;"&amp;$DF54,$B54:$Y54)+SUMIF($AD$3:$BA$3,"&gt;="&amp;$DG54,$B54:$Y54)),
IF(AR$3=$DF54+'Model Setup'!$J$7,SUMIF($AD$3:$BA$3,"="&amp;$DF54+'Model Setup'!$J$7,$B54:$Y54)+'Model Setup'!$J$8*(SUMIF($AD$3:$BA$3,"&lt;"&amp;$DF54,$B54:$Y54)+SUMIF($AD$3:$BA$3,"&gt;="&amp;$DG54,$B54:$Y54)),
IF(AR$3=$DF54+'Model Setup'!$K$7,SUMIF($AD$3:$BA$3,"="&amp;$DF54+'Model Setup'!$K$7,$B54:$Y54)+'Model Setup'!$K$8*(SUMIF($AD$3:$BA$3,"&lt;"&amp;$DF54,$B54:$Y54)+SUMIF($AD$3:$BA$3,"&gt;="&amp;$DG54,$B54:$Y54)),
IF(AR$3=$DF54+'Model Setup'!$L$7,SUMIF($AD$3:$BA$3,"="&amp;$DF54+'Model Setup'!$L$7,$B54:$Y54)+'Model Setup'!$L$8*(SUMIF($AD$3:$BA$3,"&lt;"&amp;$DF54,$B54:$Y54)+SUMIF($AD$3:$BA$3,"&gt;="&amp;$DG54,$B54:$Y54)),
IF(AR$3=$DF54+'Model Setup'!$M$7,SUMIF($AD$3:$BA$3,"="&amp;$DF54+'Model Setup'!$M$7,$B54:$Y54)+'Model Setup'!$M$8*(SUMIF($AD$3:$BA$3,"&lt;"&amp;$DF54,$B54:$Y54)+SUMIF($AD$3:$BA$3,"&gt;="&amp;$DG54,$B54:$Y54)),
IF(AR$3=$DF54+'Model Setup'!$N$7,SUMIF($AD$3:$BA$3,"="&amp;$DF54+'Model Setup'!$N$7,$B54:$Y54)+'Model Setup'!$N$8*(SUMIF($AD$3:$BA$3,"&lt;"&amp;$DF54,$B54:$Y54)+SUMIF($AD$3:$BA$3,"&gt;="&amp;$DG54,$B54:$Y54)),
IF(AR$3&lt;$DG54,P54,0))))))))))))))),0)</f>
        <v>22</v>
      </c>
      <c r="AS54" s="47">
        <f>ROUND(IF(AS$3&lt;$DF54,0,
IF(AS$3=$DF54+'Model Setup'!$B$7,SUMIF($AD$3:$BA$3,"="&amp;$DF54+'Model Setup'!$B$7,$B54:$Y54)+'Model Setup'!$B$8*(SUMIF($AD$3:$BA$3,"&lt;"&amp;$DF54,$B54:$Y54)+SUMIF($AD$3:$BA$3,"&gt;="&amp;$DG54,$B54:$Y54)),
IF(AS$3=$DF54+'Model Setup'!$C$7,SUMIF($AD$3:$BA$3,"="&amp;$DF54+'Model Setup'!$C$7,$B54:$Y54)+'Model Setup'!$C$8*(SUMIF($AD$3:$BA$3,"&lt;"&amp;$DF54,$B54:$Y54)+SUMIF($AD$3:$BA$3,"&gt;="&amp;$DG54,$B54:$Y54)),
IF(AS$3=$DF54+'Model Setup'!$D$7,SUMIF($AD$3:$BA$3,"="&amp;$DF54+'Model Setup'!$D$7,$B54:$Y54)+'Model Setup'!$D$8*(SUMIF($AD$3:$BA$3,"&lt;"&amp;$DF54,$B54:$Y54)+SUMIF($AD$3:$BA$3,"&gt;="&amp;$DG54,$B54:$Y54)),
IF(AS$3=$DF54+'Model Setup'!$E$7,SUMIF($AD$3:$BA$3,"="&amp;$DF54+'Model Setup'!$E$7,$B54:$Y54)+'Model Setup'!$E$8*(SUMIF($AD$3:$BA$3,"&lt;"&amp;$DF54,$B54:$Y54)+SUMIF($AD$3:$BA$3,"&gt;="&amp;$DG54,$B54:$Y54)),
IF(AS$3=$DF54+'Model Setup'!$F$7,SUMIF($AD$3:$BA$3,"="&amp;$DF54+'Model Setup'!$F$7,$B54:$Y54)+'Model Setup'!$F$8*(SUMIF($AD$3:$BA$3,"&lt;"&amp;$DF54,$B54:$Y54)+SUMIF($AD$3:$BA$3,"&gt;="&amp;$DG54,$B54:$Y54)),
IF(AS$3=$DF54+'Model Setup'!$G$7,SUMIF($AD$3:$BA$3,"="&amp;$DF54+'Model Setup'!$G$7,$B54:$Y54)+'Model Setup'!$G$8*(SUMIF($AD$3:$BA$3,"&lt;"&amp;$DF54,$B54:$Y54)+SUMIF($AD$3:$BA$3,"&gt;="&amp;$DG54,$B54:$Y54)),
IF(AS$3=$DF54+'Model Setup'!$H$7,SUMIF($AD$3:$BA$3,"="&amp;$DF54+'Model Setup'!$H$7,$B54:$Y54)+'Model Setup'!$H$8*(SUMIF($AD$3:$BA$3,"&lt;"&amp;$DF54,$B54:$Y54)+SUMIF($AD$3:$BA$3,"&gt;="&amp;$DG54,$B54:$Y54)),
IF(AS$3=$DF54+'Model Setup'!$I$7,SUMIF($AD$3:$BA$3,"="&amp;$DF54+'Model Setup'!$I$7,$B54:$Y54)+'Model Setup'!$I$8*(SUMIF($AD$3:$BA$3,"&lt;"&amp;$DF54,$B54:$Y54)+SUMIF($AD$3:$BA$3,"&gt;="&amp;$DG54,$B54:$Y54)),
IF(AS$3=$DF54+'Model Setup'!$J$7,SUMIF($AD$3:$BA$3,"="&amp;$DF54+'Model Setup'!$J$7,$B54:$Y54)+'Model Setup'!$J$8*(SUMIF($AD$3:$BA$3,"&lt;"&amp;$DF54,$B54:$Y54)+SUMIF($AD$3:$BA$3,"&gt;="&amp;$DG54,$B54:$Y54)),
IF(AS$3=$DF54+'Model Setup'!$K$7,SUMIF($AD$3:$BA$3,"="&amp;$DF54+'Model Setup'!$K$7,$B54:$Y54)+'Model Setup'!$K$8*(SUMIF($AD$3:$BA$3,"&lt;"&amp;$DF54,$B54:$Y54)+SUMIF($AD$3:$BA$3,"&gt;="&amp;$DG54,$B54:$Y54)),
IF(AS$3=$DF54+'Model Setup'!$L$7,SUMIF($AD$3:$BA$3,"="&amp;$DF54+'Model Setup'!$L$7,$B54:$Y54)+'Model Setup'!$L$8*(SUMIF($AD$3:$BA$3,"&lt;"&amp;$DF54,$B54:$Y54)+SUMIF($AD$3:$BA$3,"&gt;="&amp;$DG54,$B54:$Y54)),
IF(AS$3=$DF54+'Model Setup'!$M$7,SUMIF($AD$3:$BA$3,"="&amp;$DF54+'Model Setup'!$M$7,$B54:$Y54)+'Model Setup'!$M$8*(SUMIF($AD$3:$BA$3,"&lt;"&amp;$DF54,$B54:$Y54)+SUMIF($AD$3:$BA$3,"&gt;="&amp;$DG54,$B54:$Y54)),
IF(AS$3=$DF54+'Model Setup'!$N$7,SUMIF($AD$3:$BA$3,"="&amp;$DF54+'Model Setup'!$N$7,$B54:$Y54)+'Model Setup'!$N$8*(SUMIF($AD$3:$BA$3,"&lt;"&amp;$DF54,$B54:$Y54)+SUMIF($AD$3:$BA$3,"&gt;="&amp;$DG54,$B54:$Y54)),
IF(AS$3&lt;$DG54,Q54,0))))))))))))))),0)</f>
        <v>24</v>
      </c>
      <c r="AT54" s="47">
        <f>ROUND(IF(AT$3&lt;$DF54,0,
IF(AT$3=$DF54+'Model Setup'!$B$7,SUMIF($AD$3:$BA$3,"="&amp;$DF54+'Model Setup'!$B$7,$B54:$Y54)+'Model Setup'!$B$8*(SUMIF($AD$3:$BA$3,"&lt;"&amp;$DF54,$B54:$Y54)+SUMIF($AD$3:$BA$3,"&gt;="&amp;$DG54,$B54:$Y54)),
IF(AT$3=$DF54+'Model Setup'!$C$7,SUMIF($AD$3:$BA$3,"="&amp;$DF54+'Model Setup'!$C$7,$B54:$Y54)+'Model Setup'!$C$8*(SUMIF($AD$3:$BA$3,"&lt;"&amp;$DF54,$B54:$Y54)+SUMIF($AD$3:$BA$3,"&gt;="&amp;$DG54,$B54:$Y54)),
IF(AT$3=$DF54+'Model Setup'!$D$7,SUMIF($AD$3:$BA$3,"="&amp;$DF54+'Model Setup'!$D$7,$B54:$Y54)+'Model Setup'!$D$8*(SUMIF($AD$3:$BA$3,"&lt;"&amp;$DF54,$B54:$Y54)+SUMIF($AD$3:$BA$3,"&gt;="&amp;$DG54,$B54:$Y54)),
IF(AT$3=$DF54+'Model Setup'!$E$7,SUMIF($AD$3:$BA$3,"="&amp;$DF54+'Model Setup'!$E$7,$B54:$Y54)+'Model Setup'!$E$8*(SUMIF($AD$3:$BA$3,"&lt;"&amp;$DF54,$B54:$Y54)+SUMIF($AD$3:$BA$3,"&gt;="&amp;$DG54,$B54:$Y54)),
IF(AT$3=$DF54+'Model Setup'!$F$7,SUMIF($AD$3:$BA$3,"="&amp;$DF54+'Model Setup'!$F$7,$B54:$Y54)+'Model Setup'!$F$8*(SUMIF($AD$3:$BA$3,"&lt;"&amp;$DF54,$B54:$Y54)+SUMIF($AD$3:$BA$3,"&gt;="&amp;$DG54,$B54:$Y54)),
IF(AT$3=$DF54+'Model Setup'!$G$7,SUMIF($AD$3:$BA$3,"="&amp;$DF54+'Model Setup'!$G$7,$B54:$Y54)+'Model Setup'!$G$8*(SUMIF($AD$3:$BA$3,"&lt;"&amp;$DF54,$B54:$Y54)+SUMIF($AD$3:$BA$3,"&gt;="&amp;$DG54,$B54:$Y54)),
IF(AT$3=$DF54+'Model Setup'!$H$7,SUMIF($AD$3:$BA$3,"="&amp;$DF54+'Model Setup'!$H$7,$B54:$Y54)+'Model Setup'!$H$8*(SUMIF($AD$3:$BA$3,"&lt;"&amp;$DF54,$B54:$Y54)+SUMIF($AD$3:$BA$3,"&gt;="&amp;$DG54,$B54:$Y54)),
IF(AT$3=$DF54+'Model Setup'!$I$7,SUMIF($AD$3:$BA$3,"="&amp;$DF54+'Model Setup'!$I$7,$B54:$Y54)+'Model Setup'!$I$8*(SUMIF($AD$3:$BA$3,"&lt;"&amp;$DF54,$B54:$Y54)+SUMIF($AD$3:$BA$3,"&gt;="&amp;$DG54,$B54:$Y54)),
IF(AT$3=$DF54+'Model Setup'!$J$7,SUMIF($AD$3:$BA$3,"="&amp;$DF54+'Model Setup'!$J$7,$B54:$Y54)+'Model Setup'!$J$8*(SUMIF($AD$3:$BA$3,"&lt;"&amp;$DF54,$B54:$Y54)+SUMIF($AD$3:$BA$3,"&gt;="&amp;$DG54,$B54:$Y54)),
IF(AT$3=$DF54+'Model Setup'!$K$7,SUMIF($AD$3:$BA$3,"="&amp;$DF54+'Model Setup'!$K$7,$B54:$Y54)+'Model Setup'!$K$8*(SUMIF($AD$3:$BA$3,"&lt;"&amp;$DF54,$B54:$Y54)+SUMIF($AD$3:$BA$3,"&gt;="&amp;$DG54,$B54:$Y54)),
IF(AT$3=$DF54+'Model Setup'!$L$7,SUMIF($AD$3:$BA$3,"="&amp;$DF54+'Model Setup'!$L$7,$B54:$Y54)+'Model Setup'!$L$8*(SUMIF($AD$3:$BA$3,"&lt;"&amp;$DF54,$B54:$Y54)+SUMIF($AD$3:$BA$3,"&gt;="&amp;$DG54,$B54:$Y54)),
IF(AT$3=$DF54+'Model Setup'!$M$7,SUMIF($AD$3:$BA$3,"="&amp;$DF54+'Model Setup'!$M$7,$B54:$Y54)+'Model Setup'!$M$8*(SUMIF($AD$3:$BA$3,"&lt;"&amp;$DF54,$B54:$Y54)+SUMIF($AD$3:$BA$3,"&gt;="&amp;$DG54,$B54:$Y54)),
IF(AT$3=$DF54+'Model Setup'!$N$7,SUMIF($AD$3:$BA$3,"="&amp;$DF54+'Model Setup'!$N$7,$B54:$Y54)+'Model Setup'!$N$8*(SUMIF($AD$3:$BA$3,"&lt;"&amp;$DF54,$B54:$Y54)+SUMIF($AD$3:$BA$3,"&gt;="&amp;$DG54,$B54:$Y54)),
IF(AT$3&lt;$DG54,R54,0))))))))))))))),0)</f>
        <v>22</v>
      </c>
      <c r="AU54" s="47">
        <f>ROUND(IF(AU$3&lt;$DF54,0,
IF(AU$3=$DF54+'Model Setup'!$B$7,SUMIF($AD$3:$BA$3,"="&amp;$DF54+'Model Setup'!$B$7,$B54:$Y54)+'Model Setup'!$B$8*(SUMIF($AD$3:$BA$3,"&lt;"&amp;$DF54,$B54:$Y54)+SUMIF($AD$3:$BA$3,"&gt;="&amp;$DG54,$B54:$Y54)),
IF(AU$3=$DF54+'Model Setup'!$C$7,SUMIF($AD$3:$BA$3,"="&amp;$DF54+'Model Setup'!$C$7,$B54:$Y54)+'Model Setup'!$C$8*(SUMIF($AD$3:$BA$3,"&lt;"&amp;$DF54,$B54:$Y54)+SUMIF($AD$3:$BA$3,"&gt;="&amp;$DG54,$B54:$Y54)),
IF(AU$3=$DF54+'Model Setup'!$D$7,SUMIF($AD$3:$BA$3,"="&amp;$DF54+'Model Setup'!$D$7,$B54:$Y54)+'Model Setup'!$D$8*(SUMIF($AD$3:$BA$3,"&lt;"&amp;$DF54,$B54:$Y54)+SUMIF($AD$3:$BA$3,"&gt;="&amp;$DG54,$B54:$Y54)),
IF(AU$3=$DF54+'Model Setup'!$E$7,SUMIF($AD$3:$BA$3,"="&amp;$DF54+'Model Setup'!$E$7,$B54:$Y54)+'Model Setup'!$E$8*(SUMIF($AD$3:$BA$3,"&lt;"&amp;$DF54,$B54:$Y54)+SUMIF($AD$3:$BA$3,"&gt;="&amp;$DG54,$B54:$Y54)),
IF(AU$3=$DF54+'Model Setup'!$F$7,SUMIF($AD$3:$BA$3,"="&amp;$DF54+'Model Setup'!$F$7,$B54:$Y54)+'Model Setup'!$F$8*(SUMIF($AD$3:$BA$3,"&lt;"&amp;$DF54,$B54:$Y54)+SUMIF($AD$3:$BA$3,"&gt;="&amp;$DG54,$B54:$Y54)),
IF(AU$3=$DF54+'Model Setup'!$G$7,SUMIF($AD$3:$BA$3,"="&amp;$DF54+'Model Setup'!$G$7,$B54:$Y54)+'Model Setup'!$G$8*(SUMIF($AD$3:$BA$3,"&lt;"&amp;$DF54,$B54:$Y54)+SUMIF($AD$3:$BA$3,"&gt;="&amp;$DG54,$B54:$Y54)),
IF(AU$3=$DF54+'Model Setup'!$H$7,SUMIF($AD$3:$BA$3,"="&amp;$DF54+'Model Setup'!$H$7,$B54:$Y54)+'Model Setup'!$H$8*(SUMIF($AD$3:$BA$3,"&lt;"&amp;$DF54,$B54:$Y54)+SUMIF($AD$3:$BA$3,"&gt;="&amp;$DG54,$B54:$Y54)),
IF(AU$3=$DF54+'Model Setup'!$I$7,SUMIF($AD$3:$BA$3,"="&amp;$DF54+'Model Setup'!$I$7,$B54:$Y54)+'Model Setup'!$I$8*(SUMIF($AD$3:$BA$3,"&lt;"&amp;$DF54,$B54:$Y54)+SUMIF($AD$3:$BA$3,"&gt;="&amp;$DG54,$B54:$Y54)),
IF(AU$3=$DF54+'Model Setup'!$J$7,SUMIF($AD$3:$BA$3,"="&amp;$DF54+'Model Setup'!$J$7,$B54:$Y54)+'Model Setup'!$J$8*(SUMIF($AD$3:$BA$3,"&lt;"&amp;$DF54,$B54:$Y54)+SUMIF($AD$3:$BA$3,"&gt;="&amp;$DG54,$B54:$Y54)),
IF(AU$3=$DF54+'Model Setup'!$K$7,SUMIF($AD$3:$BA$3,"="&amp;$DF54+'Model Setup'!$K$7,$B54:$Y54)+'Model Setup'!$K$8*(SUMIF($AD$3:$BA$3,"&lt;"&amp;$DF54,$B54:$Y54)+SUMIF($AD$3:$BA$3,"&gt;="&amp;$DG54,$B54:$Y54)),
IF(AU$3=$DF54+'Model Setup'!$L$7,SUMIF($AD$3:$BA$3,"="&amp;$DF54+'Model Setup'!$L$7,$B54:$Y54)+'Model Setup'!$L$8*(SUMIF($AD$3:$BA$3,"&lt;"&amp;$DF54,$B54:$Y54)+SUMIF($AD$3:$BA$3,"&gt;="&amp;$DG54,$B54:$Y54)),
IF(AU$3=$DF54+'Model Setup'!$M$7,SUMIF($AD$3:$BA$3,"="&amp;$DF54+'Model Setup'!$M$7,$B54:$Y54)+'Model Setup'!$M$8*(SUMIF($AD$3:$BA$3,"&lt;"&amp;$DF54,$B54:$Y54)+SUMIF($AD$3:$BA$3,"&gt;="&amp;$DG54,$B54:$Y54)),
IF(AU$3=$DF54+'Model Setup'!$N$7,SUMIF($AD$3:$BA$3,"="&amp;$DF54+'Model Setup'!$N$7,$B54:$Y54)+'Model Setup'!$N$8*(SUMIF($AD$3:$BA$3,"&lt;"&amp;$DF54,$B54:$Y54)+SUMIF($AD$3:$BA$3,"&gt;="&amp;$DG54,$B54:$Y54)),
IF(AU$3&lt;$DG54,S54,0))))))))))))))),0)</f>
        <v>21</v>
      </c>
      <c r="AV54" s="47">
        <f>ROUND(IF(AV$3&lt;$DF54,0,
IF(AV$3=$DF54+'Model Setup'!$B$7,SUMIF($AD$3:$BA$3,"="&amp;$DF54+'Model Setup'!$B$7,$B54:$Y54)+'Model Setup'!$B$8*(SUMIF($AD$3:$BA$3,"&lt;"&amp;$DF54,$B54:$Y54)+SUMIF($AD$3:$BA$3,"&gt;="&amp;$DG54,$B54:$Y54)),
IF(AV$3=$DF54+'Model Setup'!$C$7,SUMIF($AD$3:$BA$3,"="&amp;$DF54+'Model Setup'!$C$7,$B54:$Y54)+'Model Setup'!$C$8*(SUMIF($AD$3:$BA$3,"&lt;"&amp;$DF54,$B54:$Y54)+SUMIF($AD$3:$BA$3,"&gt;="&amp;$DG54,$B54:$Y54)),
IF(AV$3=$DF54+'Model Setup'!$D$7,SUMIF($AD$3:$BA$3,"="&amp;$DF54+'Model Setup'!$D$7,$B54:$Y54)+'Model Setup'!$D$8*(SUMIF($AD$3:$BA$3,"&lt;"&amp;$DF54,$B54:$Y54)+SUMIF($AD$3:$BA$3,"&gt;="&amp;$DG54,$B54:$Y54)),
IF(AV$3=$DF54+'Model Setup'!$E$7,SUMIF($AD$3:$BA$3,"="&amp;$DF54+'Model Setup'!$E$7,$B54:$Y54)+'Model Setup'!$E$8*(SUMIF($AD$3:$BA$3,"&lt;"&amp;$DF54,$B54:$Y54)+SUMIF($AD$3:$BA$3,"&gt;="&amp;$DG54,$B54:$Y54)),
IF(AV$3=$DF54+'Model Setup'!$F$7,SUMIF($AD$3:$BA$3,"="&amp;$DF54+'Model Setup'!$F$7,$B54:$Y54)+'Model Setup'!$F$8*(SUMIF($AD$3:$BA$3,"&lt;"&amp;$DF54,$B54:$Y54)+SUMIF($AD$3:$BA$3,"&gt;="&amp;$DG54,$B54:$Y54)),
IF(AV$3=$DF54+'Model Setup'!$G$7,SUMIF($AD$3:$BA$3,"="&amp;$DF54+'Model Setup'!$G$7,$B54:$Y54)+'Model Setup'!$G$8*(SUMIF($AD$3:$BA$3,"&lt;"&amp;$DF54,$B54:$Y54)+SUMIF($AD$3:$BA$3,"&gt;="&amp;$DG54,$B54:$Y54)),
IF(AV$3=$DF54+'Model Setup'!$H$7,SUMIF($AD$3:$BA$3,"="&amp;$DF54+'Model Setup'!$H$7,$B54:$Y54)+'Model Setup'!$H$8*(SUMIF($AD$3:$BA$3,"&lt;"&amp;$DF54,$B54:$Y54)+SUMIF($AD$3:$BA$3,"&gt;="&amp;$DG54,$B54:$Y54)),
IF(AV$3=$DF54+'Model Setup'!$I$7,SUMIF($AD$3:$BA$3,"="&amp;$DF54+'Model Setup'!$I$7,$B54:$Y54)+'Model Setup'!$I$8*(SUMIF($AD$3:$BA$3,"&lt;"&amp;$DF54,$B54:$Y54)+SUMIF($AD$3:$BA$3,"&gt;="&amp;$DG54,$B54:$Y54)),
IF(AV$3=$DF54+'Model Setup'!$J$7,SUMIF($AD$3:$BA$3,"="&amp;$DF54+'Model Setup'!$J$7,$B54:$Y54)+'Model Setup'!$J$8*(SUMIF($AD$3:$BA$3,"&lt;"&amp;$DF54,$B54:$Y54)+SUMIF($AD$3:$BA$3,"&gt;="&amp;$DG54,$B54:$Y54)),
IF(AV$3=$DF54+'Model Setup'!$K$7,SUMIF($AD$3:$BA$3,"="&amp;$DF54+'Model Setup'!$K$7,$B54:$Y54)+'Model Setup'!$K$8*(SUMIF($AD$3:$BA$3,"&lt;"&amp;$DF54,$B54:$Y54)+SUMIF($AD$3:$BA$3,"&gt;="&amp;$DG54,$B54:$Y54)),
IF(AV$3=$DF54+'Model Setup'!$L$7,SUMIF($AD$3:$BA$3,"="&amp;$DF54+'Model Setup'!$L$7,$B54:$Y54)+'Model Setup'!$L$8*(SUMIF($AD$3:$BA$3,"&lt;"&amp;$DF54,$B54:$Y54)+SUMIF($AD$3:$BA$3,"&gt;="&amp;$DG54,$B54:$Y54)),
IF(AV$3=$DF54+'Model Setup'!$M$7,SUMIF($AD$3:$BA$3,"="&amp;$DF54+'Model Setup'!$M$7,$B54:$Y54)+'Model Setup'!$M$8*(SUMIF($AD$3:$BA$3,"&lt;"&amp;$DF54,$B54:$Y54)+SUMIF($AD$3:$BA$3,"&gt;="&amp;$DG54,$B54:$Y54)),
IF(AV$3=$DF54+'Model Setup'!$N$7,SUMIF($AD$3:$BA$3,"="&amp;$DF54+'Model Setup'!$N$7,$B54:$Y54)+'Model Setup'!$N$8*(SUMIF($AD$3:$BA$3,"&lt;"&amp;$DF54,$B54:$Y54)+SUMIF($AD$3:$BA$3,"&gt;="&amp;$DG54,$B54:$Y54)),
IF(AV$3&lt;$DG54,T54,0))))))))))))))),0)</f>
        <v>16</v>
      </c>
      <c r="AW54" s="47">
        <f>ROUND(IF(AW$3&lt;$DF54,0,
IF(AW$3=$DF54+'Model Setup'!$B$7,SUMIF($AD$3:$BA$3,"="&amp;$DF54+'Model Setup'!$B$7,$B54:$Y54)+'Model Setup'!$B$8*(SUMIF($AD$3:$BA$3,"&lt;"&amp;$DF54,$B54:$Y54)+SUMIF($AD$3:$BA$3,"&gt;="&amp;$DG54,$B54:$Y54)),
IF(AW$3=$DF54+'Model Setup'!$C$7,SUMIF($AD$3:$BA$3,"="&amp;$DF54+'Model Setup'!$C$7,$B54:$Y54)+'Model Setup'!$C$8*(SUMIF($AD$3:$BA$3,"&lt;"&amp;$DF54,$B54:$Y54)+SUMIF($AD$3:$BA$3,"&gt;="&amp;$DG54,$B54:$Y54)),
IF(AW$3=$DF54+'Model Setup'!$D$7,SUMIF($AD$3:$BA$3,"="&amp;$DF54+'Model Setup'!$D$7,$B54:$Y54)+'Model Setup'!$D$8*(SUMIF($AD$3:$BA$3,"&lt;"&amp;$DF54,$B54:$Y54)+SUMIF($AD$3:$BA$3,"&gt;="&amp;$DG54,$B54:$Y54)),
IF(AW$3=$DF54+'Model Setup'!$E$7,SUMIF($AD$3:$BA$3,"="&amp;$DF54+'Model Setup'!$E$7,$B54:$Y54)+'Model Setup'!$E$8*(SUMIF($AD$3:$BA$3,"&lt;"&amp;$DF54,$B54:$Y54)+SUMIF($AD$3:$BA$3,"&gt;="&amp;$DG54,$B54:$Y54)),
IF(AW$3=$DF54+'Model Setup'!$F$7,SUMIF($AD$3:$BA$3,"="&amp;$DF54+'Model Setup'!$F$7,$B54:$Y54)+'Model Setup'!$F$8*(SUMIF($AD$3:$BA$3,"&lt;"&amp;$DF54,$B54:$Y54)+SUMIF($AD$3:$BA$3,"&gt;="&amp;$DG54,$B54:$Y54)),
IF(AW$3=$DF54+'Model Setup'!$G$7,SUMIF($AD$3:$BA$3,"="&amp;$DF54+'Model Setup'!$G$7,$B54:$Y54)+'Model Setup'!$G$8*(SUMIF($AD$3:$BA$3,"&lt;"&amp;$DF54,$B54:$Y54)+SUMIF($AD$3:$BA$3,"&gt;="&amp;$DG54,$B54:$Y54)),
IF(AW$3=$DF54+'Model Setup'!$H$7,SUMIF($AD$3:$BA$3,"="&amp;$DF54+'Model Setup'!$H$7,$B54:$Y54)+'Model Setup'!$H$8*(SUMIF($AD$3:$BA$3,"&lt;"&amp;$DF54,$B54:$Y54)+SUMIF($AD$3:$BA$3,"&gt;="&amp;$DG54,$B54:$Y54)),
IF(AW$3=$DF54+'Model Setup'!$I$7,SUMIF($AD$3:$BA$3,"="&amp;$DF54+'Model Setup'!$I$7,$B54:$Y54)+'Model Setup'!$I$8*(SUMIF($AD$3:$BA$3,"&lt;"&amp;$DF54,$B54:$Y54)+SUMIF($AD$3:$BA$3,"&gt;="&amp;$DG54,$B54:$Y54)),
IF(AW$3=$DF54+'Model Setup'!$J$7,SUMIF($AD$3:$BA$3,"="&amp;$DF54+'Model Setup'!$J$7,$B54:$Y54)+'Model Setup'!$J$8*(SUMIF($AD$3:$BA$3,"&lt;"&amp;$DF54,$B54:$Y54)+SUMIF($AD$3:$BA$3,"&gt;="&amp;$DG54,$B54:$Y54)),
IF(AW$3=$DF54+'Model Setup'!$K$7,SUMIF($AD$3:$BA$3,"="&amp;$DF54+'Model Setup'!$K$7,$B54:$Y54)+'Model Setup'!$K$8*(SUMIF($AD$3:$BA$3,"&lt;"&amp;$DF54,$B54:$Y54)+SUMIF($AD$3:$BA$3,"&gt;="&amp;$DG54,$B54:$Y54)),
IF(AW$3=$DF54+'Model Setup'!$L$7,SUMIF($AD$3:$BA$3,"="&amp;$DF54+'Model Setup'!$L$7,$B54:$Y54)+'Model Setup'!$L$8*(SUMIF($AD$3:$BA$3,"&lt;"&amp;$DF54,$B54:$Y54)+SUMIF($AD$3:$BA$3,"&gt;="&amp;$DG54,$B54:$Y54)),
IF(AW$3=$DF54+'Model Setup'!$M$7,SUMIF($AD$3:$BA$3,"="&amp;$DF54+'Model Setup'!$M$7,$B54:$Y54)+'Model Setup'!$M$8*(SUMIF($AD$3:$BA$3,"&lt;"&amp;$DF54,$B54:$Y54)+SUMIF($AD$3:$BA$3,"&gt;="&amp;$DG54,$B54:$Y54)),
IF(AW$3=$DF54+'Model Setup'!$N$7,SUMIF($AD$3:$BA$3,"="&amp;$DF54+'Model Setup'!$N$7,$B54:$Y54)+'Model Setup'!$N$8*(SUMIF($AD$3:$BA$3,"&lt;"&amp;$DF54,$B54:$Y54)+SUMIF($AD$3:$BA$3,"&gt;="&amp;$DG54,$B54:$Y54)),
IF(AW$3&lt;$DG54,U54,0))))))))))))))),0)</f>
        <v>0</v>
      </c>
      <c r="AX54" s="47">
        <f>ROUND(IF(AX$3&lt;$DF54,0,
IF(AX$3=$DF54+'Model Setup'!$B$7,SUMIF($AD$3:$BA$3,"="&amp;$DF54+'Model Setup'!$B$7,$B54:$Y54)+'Model Setup'!$B$8*(SUMIF($AD$3:$BA$3,"&lt;"&amp;$DF54,$B54:$Y54)+SUMIF($AD$3:$BA$3,"&gt;="&amp;$DG54,$B54:$Y54)),
IF(AX$3=$DF54+'Model Setup'!$C$7,SUMIF($AD$3:$BA$3,"="&amp;$DF54+'Model Setup'!$C$7,$B54:$Y54)+'Model Setup'!$C$8*(SUMIF($AD$3:$BA$3,"&lt;"&amp;$DF54,$B54:$Y54)+SUMIF($AD$3:$BA$3,"&gt;="&amp;$DG54,$B54:$Y54)),
IF(AX$3=$DF54+'Model Setup'!$D$7,SUMIF($AD$3:$BA$3,"="&amp;$DF54+'Model Setup'!$D$7,$B54:$Y54)+'Model Setup'!$D$8*(SUMIF($AD$3:$BA$3,"&lt;"&amp;$DF54,$B54:$Y54)+SUMIF($AD$3:$BA$3,"&gt;="&amp;$DG54,$B54:$Y54)),
IF(AX$3=$DF54+'Model Setup'!$E$7,SUMIF($AD$3:$BA$3,"="&amp;$DF54+'Model Setup'!$E$7,$B54:$Y54)+'Model Setup'!$E$8*(SUMIF($AD$3:$BA$3,"&lt;"&amp;$DF54,$B54:$Y54)+SUMIF($AD$3:$BA$3,"&gt;="&amp;$DG54,$B54:$Y54)),
IF(AX$3=$DF54+'Model Setup'!$F$7,SUMIF($AD$3:$BA$3,"="&amp;$DF54+'Model Setup'!$F$7,$B54:$Y54)+'Model Setup'!$F$8*(SUMIF($AD$3:$BA$3,"&lt;"&amp;$DF54,$B54:$Y54)+SUMIF($AD$3:$BA$3,"&gt;="&amp;$DG54,$B54:$Y54)),
IF(AX$3=$DF54+'Model Setup'!$G$7,SUMIF($AD$3:$BA$3,"="&amp;$DF54+'Model Setup'!$G$7,$B54:$Y54)+'Model Setup'!$G$8*(SUMIF($AD$3:$BA$3,"&lt;"&amp;$DF54,$B54:$Y54)+SUMIF($AD$3:$BA$3,"&gt;="&amp;$DG54,$B54:$Y54)),
IF(AX$3=$DF54+'Model Setup'!$H$7,SUMIF($AD$3:$BA$3,"="&amp;$DF54+'Model Setup'!$H$7,$B54:$Y54)+'Model Setup'!$H$8*(SUMIF($AD$3:$BA$3,"&lt;"&amp;$DF54,$B54:$Y54)+SUMIF($AD$3:$BA$3,"&gt;="&amp;$DG54,$B54:$Y54)),
IF(AX$3=$DF54+'Model Setup'!$I$7,SUMIF($AD$3:$BA$3,"="&amp;$DF54+'Model Setup'!$I$7,$B54:$Y54)+'Model Setup'!$I$8*(SUMIF($AD$3:$BA$3,"&lt;"&amp;$DF54,$B54:$Y54)+SUMIF($AD$3:$BA$3,"&gt;="&amp;$DG54,$B54:$Y54)),
IF(AX$3=$DF54+'Model Setup'!$J$7,SUMIF($AD$3:$BA$3,"="&amp;$DF54+'Model Setup'!$J$7,$B54:$Y54)+'Model Setup'!$J$8*(SUMIF($AD$3:$BA$3,"&lt;"&amp;$DF54,$B54:$Y54)+SUMIF($AD$3:$BA$3,"&gt;="&amp;$DG54,$B54:$Y54)),
IF(AX$3=$DF54+'Model Setup'!$K$7,SUMIF($AD$3:$BA$3,"="&amp;$DF54+'Model Setup'!$K$7,$B54:$Y54)+'Model Setup'!$K$8*(SUMIF($AD$3:$BA$3,"&lt;"&amp;$DF54,$B54:$Y54)+SUMIF($AD$3:$BA$3,"&gt;="&amp;$DG54,$B54:$Y54)),
IF(AX$3=$DF54+'Model Setup'!$L$7,SUMIF($AD$3:$BA$3,"="&amp;$DF54+'Model Setup'!$L$7,$B54:$Y54)+'Model Setup'!$L$8*(SUMIF($AD$3:$BA$3,"&lt;"&amp;$DF54,$B54:$Y54)+SUMIF($AD$3:$BA$3,"&gt;="&amp;$DG54,$B54:$Y54)),
IF(AX$3=$DF54+'Model Setup'!$M$7,SUMIF($AD$3:$BA$3,"="&amp;$DF54+'Model Setup'!$M$7,$B54:$Y54)+'Model Setup'!$M$8*(SUMIF($AD$3:$BA$3,"&lt;"&amp;$DF54,$B54:$Y54)+SUMIF($AD$3:$BA$3,"&gt;="&amp;$DG54,$B54:$Y54)),
IF(AX$3=$DF54+'Model Setup'!$N$7,SUMIF($AD$3:$BA$3,"="&amp;$DF54+'Model Setup'!$N$7,$B54:$Y54)+'Model Setup'!$N$8*(SUMIF($AD$3:$BA$3,"&lt;"&amp;$DF54,$B54:$Y54)+SUMIF($AD$3:$BA$3,"&gt;="&amp;$DG54,$B54:$Y54)),
IF(AX$3&lt;$DG54,V54,0))))))))))))))),0)</f>
        <v>0</v>
      </c>
      <c r="AY54" s="47">
        <f>ROUND(IF(AY$3&lt;$DF54,0,
IF(AY$3=$DF54+'Model Setup'!$B$7,SUMIF($AD$3:$BA$3,"="&amp;$DF54+'Model Setup'!$B$7,$B54:$Y54)+'Model Setup'!$B$8*(SUMIF($AD$3:$BA$3,"&lt;"&amp;$DF54,$B54:$Y54)+SUMIF($AD$3:$BA$3,"&gt;="&amp;$DG54,$B54:$Y54)),
IF(AY$3=$DF54+'Model Setup'!$C$7,SUMIF($AD$3:$BA$3,"="&amp;$DF54+'Model Setup'!$C$7,$B54:$Y54)+'Model Setup'!$C$8*(SUMIF($AD$3:$BA$3,"&lt;"&amp;$DF54,$B54:$Y54)+SUMIF($AD$3:$BA$3,"&gt;="&amp;$DG54,$B54:$Y54)),
IF(AY$3=$DF54+'Model Setup'!$D$7,SUMIF($AD$3:$BA$3,"="&amp;$DF54+'Model Setup'!$D$7,$B54:$Y54)+'Model Setup'!$D$8*(SUMIF($AD$3:$BA$3,"&lt;"&amp;$DF54,$B54:$Y54)+SUMIF($AD$3:$BA$3,"&gt;="&amp;$DG54,$B54:$Y54)),
IF(AY$3=$DF54+'Model Setup'!$E$7,SUMIF($AD$3:$BA$3,"="&amp;$DF54+'Model Setup'!$E$7,$B54:$Y54)+'Model Setup'!$E$8*(SUMIF($AD$3:$BA$3,"&lt;"&amp;$DF54,$B54:$Y54)+SUMIF($AD$3:$BA$3,"&gt;="&amp;$DG54,$B54:$Y54)),
IF(AY$3=$DF54+'Model Setup'!$F$7,SUMIF($AD$3:$BA$3,"="&amp;$DF54+'Model Setup'!$F$7,$B54:$Y54)+'Model Setup'!$F$8*(SUMIF($AD$3:$BA$3,"&lt;"&amp;$DF54,$B54:$Y54)+SUMIF($AD$3:$BA$3,"&gt;="&amp;$DG54,$B54:$Y54)),
IF(AY$3=$DF54+'Model Setup'!$G$7,SUMIF($AD$3:$BA$3,"="&amp;$DF54+'Model Setup'!$G$7,$B54:$Y54)+'Model Setup'!$G$8*(SUMIF($AD$3:$BA$3,"&lt;"&amp;$DF54,$B54:$Y54)+SUMIF($AD$3:$BA$3,"&gt;="&amp;$DG54,$B54:$Y54)),
IF(AY$3=$DF54+'Model Setup'!$H$7,SUMIF($AD$3:$BA$3,"="&amp;$DF54+'Model Setup'!$H$7,$B54:$Y54)+'Model Setup'!$H$8*(SUMIF($AD$3:$BA$3,"&lt;"&amp;$DF54,$B54:$Y54)+SUMIF($AD$3:$BA$3,"&gt;="&amp;$DG54,$B54:$Y54)),
IF(AY$3=$DF54+'Model Setup'!$I$7,SUMIF($AD$3:$BA$3,"="&amp;$DF54+'Model Setup'!$I$7,$B54:$Y54)+'Model Setup'!$I$8*(SUMIF($AD$3:$BA$3,"&lt;"&amp;$DF54,$B54:$Y54)+SUMIF($AD$3:$BA$3,"&gt;="&amp;$DG54,$B54:$Y54)),
IF(AY$3=$DF54+'Model Setup'!$J$7,SUMIF($AD$3:$BA$3,"="&amp;$DF54+'Model Setup'!$J$7,$B54:$Y54)+'Model Setup'!$J$8*(SUMIF($AD$3:$BA$3,"&lt;"&amp;$DF54,$B54:$Y54)+SUMIF($AD$3:$BA$3,"&gt;="&amp;$DG54,$B54:$Y54)),
IF(AY$3=$DF54+'Model Setup'!$K$7,SUMIF($AD$3:$BA$3,"="&amp;$DF54+'Model Setup'!$K$7,$B54:$Y54)+'Model Setup'!$K$8*(SUMIF($AD$3:$BA$3,"&lt;"&amp;$DF54,$B54:$Y54)+SUMIF($AD$3:$BA$3,"&gt;="&amp;$DG54,$B54:$Y54)),
IF(AY$3=$DF54+'Model Setup'!$L$7,SUMIF($AD$3:$BA$3,"="&amp;$DF54+'Model Setup'!$L$7,$B54:$Y54)+'Model Setup'!$L$8*(SUMIF($AD$3:$BA$3,"&lt;"&amp;$DF54,$B54:$Y54)+SUMIF($AD$3:$BA$3,"&gt;="&amp;$DG54,$B54:$Y54)),
IF(AY$3=$DF54+'Model Setup'!$M$7,SUMIF($AD$3:$BA$3,"="&amp;$DF54+'Model Setup'!$M$7,$B54:$Y54)+'Model Setup'!$M$8*(SUMIF($AD$3:$BA$3,"&lt;"&amp;$DF54,$B54:$Y54)+SUMIF($AD$3:$BA$3,"&gt;="&amp;$DG54,$B54:$Y54)),
IF(AY$3=$DF54+'Model Setup'!$N$7,SUMIF($AD$3:$BA$3,"="&amp;$DF54+'Model Setup'!$N$7,$B54:$Y54)+'Model Setup'!$N$8*(SUMIF($AD$3:$BA$3,"&lt;"&amp;$DF54,$B54:$Y54)+SUMIF($AD$3:$BA$3,"&gt;="&amp;$DG54,$B54:$Y54)),
IF(AY$3&lt;$DG54,W54,0))))))))))))))),0)</f>
        <v>0</v>
      </c>
      <c r="AZ54" s="47">
        <f>ROUND(IF(AZ$3&lt;$DF54,0,
IF(AZ$3=$DF54+'Model Setup'!$B$7,SUMIF($AD$3:$BA$3,"="&amp;$DF54+'Model Setup'!$B$7,$B54:$Y54)+'Model Setup'!$B$8*(SUMIF($AD$3:$BA$3,"&lt;"&amp;$DF54,$B54:$Y54)+SUMIF($AD$3:$BA$3,"&gt;="&amp;$DG54,$B54:$Y54)),
IF(AZ$3=$DF54+'Model Setup'!$C$7,SUMIF($AD$3:$BA$3,"="&amp;$DF54+'Model Setup'!$C$7,$B54:$Y54)+'Model Setup'!$C$8*(SUMIF($AD$3:$BA$3,"&lt;"&amp;$DF54,$B54:$Y54)+SUMIF($AD$3:$BA$3,"&gt;="&amp;$DG54,$B54:$Y54)),
IF(AZ$3=$DF54+'Model Setup'!$D$7,SUMIF($AD$3:$BA$3,"="&amp;$DF54+'Model Setup'!$D$7,$B54:$Y54)+'Model Setup'!$D$8*(SUMIF($AD$3:$BA$3,"&lt;"&amp;$DF54,$B54:$Y54)+SUMIF($AD$3:$BA$3,"&gt;="&amp;$DG54,$B54:$Y54)),
IF(AZ$3=$DF54+'Model Setup'!$E$7,SUMIF($AD$3:$BA$3,"="&amp;$DF54+'Model Setup'!$E$7,$B54:$Y54)+'Model Setup'!$E$8*(SUMIF($AD$3:$BA$3,"&lt;"&amp;$DF54,$B54:$Y54)+SUMIF($AD$3:$BA$3,"&gt;="&amp;$DG54,$B54:$Y54)),
IF(AZ$3=$DF54+'Model Setup'!$F$7,SUMIF($AD$3:$BA$3,"="&amp;$DF54+'Model Setup'!$F$7,$B54:$Y54)+'Model Setup'!$F$8*(SUMIF($AD$3:$BA$3,"&lt;"&amp;$DF54,$B54:$Y54)+SUMIF($AD$3:$BA$3,"&gt;="&amp;$DG54,$B54:$Y54)),
IF(AZ$3=$DF54+'Model Setup'!$G$7,SUMIF($AD$3:$BA$3,"="&amp;$DF54+'Model Setup'!$G$7,$B54:$Y54)+'Model Setup'!$G$8*(SUMIF($AD$3:$BA$3,"&lt;"&amp;$DF54,$B54:$Y54)+SUMIF($AD$3:$BA$3,"&gt;="&amp;$DG54,$B54:$Y54)),
IF(AZ$3=$DF54+'Model Setup'!$H$7,SUMIF($AD$3:$BA$3,"="&amp;$DF54+'Model Setup'!$H$7,$B54:$Y54)+'Model Setup'!$H$8*(SUMIF($AD$3:$BA$3,"&lt;"&amp;$DF54,$B54:$Y54)+SUMIF($AD$3:$BA$3,"&gt;="&amp;$DG54,$B54:$Y54)),
IF(AZ$3=$DF54+'Model Setup'!$I$7,SUMIF($AD$3:$BA$3,"="&amp;$DF54+'Model Setup'!$I$7,$B54:$Y54)+'Model Setup'!$I$8*(SUMIF($AD$3:$BA$3,"&lt;"&amp;$DF54,$B54:$Y54)+SUMIF($AD$3:$BA$3,"&gt;="&amp;$DG54,$B54:$Y54)),
IF(AZ$3=$DF54+'Model Setup'!$J$7,SUMIF($AD$3:$BA$3,"="&amp;$DF54+'Model Setup'!$J$7,$B54:$Y54)+'Model Setup'!$J$8*(SUMIF($AD$3:$BA$3,"&lt;"&amp;$DF54,$B54:$Y54)+SUMIF($AD$3:$BA$3,"&gt;="&amp;$DG54,$B54:$Y54)),
IF(AZ$3=$DF54+'Model Setup'!$K$7,SUMIF($AD$3:$BA$3,"="&amp;$DF54+'Model Setup'!$K$7,$B54:$Y54)+'Model Setup'!$K$8*(SUMIF($AD$3:$BA$3,"&lt;"&amp;$DF54,$B54:$Y54)+SUMIF($AD$3:$BA$3,"&gt;="&amp;$DG54,$B54:$Y54)),
IF(AZ$3=$DF54+'Model Setup'!$L$7,SUMIF($AD$3:$BA$3,"="&amp;$DF54+'Model Setup'!$L$7,$B54:$Y54)+'Model Setup'!$L$8*(SUMIF($AD$3:$BA$3,"&lt;"&amp;$DF54,$B54:$Y54)+SUMIF($AD$3:$BA$3,"&gt;="&amp;$DG54,$B54:$Y54)),
IF(AZ$3=$DF54+'Model Setup'!$M$7,SUMIF($AD$3:$BA$3,"="&amp;$DF54+'Model Setup'!$M$7,$B54:$Y54)+'Model Setup'!$M$8*(SUMIF($AD$3:$BA$3,"&lt;"&amp;$DF54,$B54:$Y54)+SUMIF($AD$3:$BA$3,"&gt;="&amp;$DG54,$B54:$Y54)),
IF(AZ$3=$DF54+'Model Setup'!$N$7,SUMIF($AD$3:$BA$3,"="&amp;$DF54+'Model Setup'!$N$7,$B54:$Y54)+'Model Setup'!$N$8*(SUMIF($AD$3:$BA$3,"&lt;"&amp;$DF54,$B54:$Y54)+SUMIF($AD$3:$BA$3,"&gt;="&amp;$DG54,$B54:$Y54)),
IF(AZ$3&lt;$DG54,X54,0))))))))))))))),0)</f>
        <v>0</v>
      </c>
      <c r="BA54" s="47">
        <f>ROUND(IF(BA$3&lt;$DF54,0,
IF(BA$3=$DF54+'Model Setup'!$B$7,SUMIF($AD$3:$BA$3,"="&amp;$DF54+'Model Setup'!$B$7,$B54:$Y54)+'Model Setup'!$B$8*(SUMIF($AD$3:$BA$3,"&lt;"&amp;$DF54,$B54:$Y54)+SUMIF($AD$3:$BA$3,"&gt;="&amp;$DG54,$B54:$Y54)),
IF(BA$3=$DF54+'Model Setup'!$C$7,SUMIF($AD$3:$BA$3,"="&amp;$DF54+'Model Setup'!$C$7,$B54:$Y54)+'Model Setup'!$C$8*(SUMIF($AD$3:$BA$3,"&lt;"&amp;$DF54,$B54:$Y54)+SUMIF($AD$3:$BA$3,"&gt;="&amp;$DG54,$B54:$Y54)),
IF(BA$3=$DF54+'Model Setup'!$D$7,SUMIF($AD$3:$BA$3,"="&amp;$DF54+'Model Setup'!$D$7,$B54:$Y54)+'Model Setup'!$D$8*(SUMIF($AD$3:$BA$3,"&lt;"&amp;$DF54,$B54:$Y54)+SUMIF($AD$3:$BA$3,"&gt;="&amp;$DG54,$B54:$Y54)),
IF(BA$3=$DF54+'Model Setup'!$E$7,SUMIF($AD$3:$BA$3,"="&amp;$DF54+'Model Setup'!$E$7,$B54:$Y54)+'Model Setup'!$E$8*(SUMIF($AD$3:$BA$3,"&lt;"&amp;$DF54,$B54:$Y54)+SUMIF($AD$3:$BA$3,"&gt;="&amp;$DG54,$B54:$Y54)),
IF(BA$3=$DF54+'Model Setup'!$F$7,SUMIF($AD$3:$BA$3,"="&amp;$DF54+'Model Setup'!$F$7,$B54:$Y54)+'Model Setup'!$F$8*(SUMIF($AD$3:$BA$3,"&lt;"&amp;$DF54,$B54:$Y54)+SUMIF($AD$3:$BA$3,"&gt;="&amp;$DG54,$B54:$Y54)),
IF(BA$3=$DF54+'Model Setup'!$G$7,SUMIF($AD$3:$BA$3,"="&amp;$DF54+'Model Setup'!$G$7,$B54:$Y54)+'Model Setup'!$G$8*(SUMIF($AD$3:$BA$3,"&lt;"&amp;$DF54,$B54:$Y54)+SUMIF($AD$3:$BA$3,"&gt;="&amp;$DG54,$B54:$Y54)),
IF(BA$3=$DF54+'Model Setup'!$H$7,SUMIF($AD$3:$BA$3,"="&amp;$DF54+'Model Setup'!$H$7,$B54:$Y54)+'Model Setup'!$H$8*(SUMIF($AD$3:$BA$3,"&lt;"&amp;$DF54,$B54:$Y54)+SUMIF($AD$3:$BA$3,"&gt;="&amp;$DG54,$B54:$Y54)),
IF(BA$3=$DF54+'Model Setup'!$I$7,SUMIF($AD$3:$BA$3,"="&amp;$DF54+'Model Setup'!$I$7,$B54:$Y54)+'Model Setup'!$I$8*(SUMIF($AD$3:$BA$3,"&lt;"&amp;$DF54,$B54:$Y54)+SUMIF($AD$3:$BA$3,"&gt;="&amp;$DG54,$B54:$Y54)),
IF(BA$3=$DF54+'Model Setup'!$J$7,SUMIF($AD$3:$BA$3,"="&amp;$DF54+'Model Setup'!$J$7,$B54:$Y54)+'Model Setup'!$J$8*(SUMIF($AD$3:$BA$3,"&lt;"&amp;$DF54,$B54:$Y54)+SUMIF($AD$3:$BA$3,"&gt;="&amp;$DG54,$B54:$Y54)),
IF(BA$3=$DF54+'Model Setup'!$K$7,SUMIF($AD$3:$BA$3,"="&amp;$DF54+'Model Setup'!$K$7,$B54:$Y54)+'Model Setup'!$K$8*(SUMIF($AD$3:$BA$3,"&lt;"&amp;$DF54,$B54:$Y54)+SUMIF($AD$3:$BA$3,"&gt;="&amp;$DG54,$B54:$Y54)),
IF(BA$3=$DF54+'Model Setup'!$L$7,SUMIF($AD$3:$BA$3,"="&amp;$DF54+'Model Setup'!$L$7,$B54:$Y54)+'Model Setup'!$L$8*(SUMIF($AD$3:$BA$3,"&lt;"&amp;$DF54,$B54:$Y54)+SUMIF($AD$3:$BA$3,"&gt;="&amp;$DG54,$B54:$Y54)),
IF(BA$3=$DF54+'Model Setup'!$M$7,SUMIF($AD$3:$BA$3,"="&amp;$DF54+'Model Setup'!$M$7,$B54:$Y54)+'Model Setup'!$M$8*(SUMIF($AD$3:$BA$3,"&lt;"&amp;$DF54,$B54:$Y54)+SUMIF($AD$3:$BA$3,"&gt;="&amp;$DG54,$B54:$Y54)),
IF(BA$3=$DF54+'Model Setup'!$N$7,SUMIF($AD$3:$BA$3,"="&amp;$DF54+'Model Setup'!$N$7,$B54:$Y54)+'Model Setup'!$N$8*(SUMIF($AD$3:$BA$3,"&lt;"&amp;$DF54,$B54:$Y54)+SUMIF($AD$3:$BA$3,"&gt;="&amp;$DG54,$B54:$Y54)),
IF(BA$3&lt;$DG54,Y54,0))))))))))))))),0)</f>
        <v>0</v>
      </c>
      <c r="BB54" s="47">
        <f t="shared" si="1"/>
        <v>516</v>
      </c>
      <c r="BD54" t="b">
        <f t="shared" si="2"/>
        <v>1</v>
      </c>
      <c r="BE54">
        <f t="shared" si="8"/>
        <v>0</v>
      </c>
      <c r="BF54">
        <f>(FTC!F52-FTC!E52)*24</f>
        <v>13</v>
      </c>
      <c r="BG54" s="43" t="s">
        <v>69</v>
      </c>
      <c r="BH54" s="47">
        <f>ROUND(IF(OR(BH$3&lt;$DF54,BH$3&gt;$CW$4),0,
IF(BH$3=$DF54+'Model Setup'!$B$7,SUMIF($BH$3:$CE$3,"="&amp;$DF54+'Model Setup'!$B$7,$AD54:$BA54)+'Model Setup'!$B$8*(SUMIF($BH$3:$CE$3,"&lt;"&amp;$DF54,$AD54:$BA54)+SUMIF($BH$3:$CE$3,"&gt;"&amp;$CW$4,$AD54:$BA54)),
IF(BH$3=$DF54+'Model Setup'!$C$7,SUMIF($BH$3:$CE$3,"="&amp;$DF54+'Model Setup'!$C$7,$AD54:$BA54)+'Model Setup'!$C$8*(SUMIF($BH$3:$CE$3,"&lt;"&amp;$DF54,$AD54:$BA54)+SUMIF($BH$3:$CE$3,"&gt;"&amp;$CW$4,$AD54:$BA54)),
IF(BH$3=$DF54+'Model Setup'!$D$7,SUMIF($BH$3:$CE$3,"="&amp;$DF54+'Model Setup'!$D$7,$AD54:$BA54)+'Model Setup'!$D$8*(SUMIF($BH$3:$CE$3,"&lt;"&amp;$DF54,$AD54:$BA54)+SUMIF($BH$3:$CE$3,"&gt;"&amp;$CW$4,$AD54:$BA54)),
IF(BH$3=$DF54+'Model Setup'!$E$7,SUMIF($BH$3:$CE$3,"="&amp;$DF54+'Model Setup'!$E$7,$AD54:$BA54)+'Model Setup'!$E$8*(SUMIF($BH$3:$CE$3,"&lt;"&amp;$DF54,$AD54:$BA54)+SUMIF($BH$3:$CE$3,"&gt;"&amp;$CW$4,$AD54:$BA54)),
IF(BH$3=$DF54+'Model Setup'!$F$7,SUMIF($BH$3:$CE$3,"="&amp;$DF54+'Model Setup'!$F$7,$AD54:$BA54)+'Model Setup'!$F$8*(SUMIF($BH$3:$CE$3,"&lt;"&amp;$DF54,$AD54:$BA54)+SUMIF($BH$3:$CE$3,"&gt;"&amp;$CW$4,$AD54:$BA54)),
IF(BH$3=$DF54+'Model Setup'!$G$7,SUMIF($BH$3:$CE$3,"="&amp;$DF54+'Model Setup'!$G$7,$AD54:$BA54)+'Model Setup'!$G$8*(SUMIF($BH$3:$CE$3,"&lt;"&amp;$DF54,$AD54:$BA54)+SUMIF($BH$3:$CE$3,"&gt;"&amp;$CW$4,$AD54:$BA54)),
IF(BH$3=$DF54+'Model Setup'!$H$7,SUMIF($BH$3:$CE$3,"="&amp;$DF54+'Model Setup'!$H$7,$AD54:$BA54)+'Model Setup'!$H$8*(SUMIF($BH$3:$CE$3,"&lt;"&amp;$DF54,$AD54:$BA54)+SUMIF($BH$3:$CE$3,"&gt;"&amp;$CW$4,$AD54:$BA54)),
IF(BH$3=$DF54+'Model Setup'!$I$7,SUMIF($BH$3:$CE$3,"="&amp;$DF54+'Model Setup'!$I$7,$AD54:$BA54)+'Model Setup'!$I$8*(SUMIF($BH$3:$CE$3,"&lt;"&amp;$DF54,$AD54:$BA54)+SUMIF($BH$3:$CE$3,"&gt;"&amp;$CW$4,$AD54:$BA54)),
IF(BH$3=$DF54+'Model Setup'!$J$7,SUMIF($BH$3:$CE$3,"="&amp;$DF54+'Model Setup'!$J$7,$AD54:$BA54)+'Model Setup'!$J$8*(SUMIF($BH$3:$CE$3,"&lt;"&amp;$DF54,$AD54:$BA54)+SUMIF($BH$3:$CE$3,"&gt;"&amp;$CW$4,$AD54:$BA54)),
IF(BH$3=$DF54+'Model Setup'!$K$7,SUMIF($BH$3:$CE$3,"="&amp;$DF54+'Model Setup'!$K$7,$AD54:$BA54)+'Model Setup'!$K$8*(SUMIF($BH$3:$CE$3,"&lt;"&amp;$DF54,$AD54:$BA54)+SUMIF($BH$3:$CE$3,"&gt;"&amp;$CW$4,$AD54:$BA54)),
IF(BH$3=$DF54+'Model Setup'!$L$7,SUMIF($BH$3:$CE$3,"="&amp;$DF54+'Model Setup'!$L$7,$AD54:$BA54)+'Model Setup'!$L$8*(SUMIF($BH$3:$CE$3,"&lt;"&amp;$DF54,$AD54:$BA54)+SUMIF($BH$3:$CE$3,"&gt;"&amp;$CW$4,$AD54:$BA54)),
IF(BH$3=$DF54+'Model Setup'!$M$7,SUMIF($BH$3:$CE$3,"="&amp;$DF54+'Model Setup'!$M$7,$AD54:$BA54)+'Model Setup'!$M$8*(SUMIF($BH$3:$CE$3,"&lt;"&amp;$DF54,$AD54:$BA54)+SUMIF($BH$3:$CE$3,"&gt;"&amp;$CW$4,$AD54:$BA54)),
IF(BH$3=$DF54+'Model Setup'!$N$7,SUMIF($BH$3:$CE$3,"="&amp;$DF54+'Model Setup'!$N$7,$AD54:$BA54)+'Model Setup'!$N$8*(SUMIF($BH$3:$CE$3,"&lt;"&amp;$DF54,$AD54:$BA54)+SUMIF($BH$3:$CE$3,"&gt;"&amp;$CW$4,$AD54:$BA54)),
IF(BH$3&lt;$CW$4,B54,0))))))))))))))),0)</f>
        <v>0</v>
      </c>
      <c r="BI54" s="47">
        <f>ROUND(IF(OR(BI$3&lt;$DF54,BI$3&gt;$CW$4),0,
IF(BI$3=$DF54+'Model Setup'!$B$7,SUMIF($BH$3:$CE$3,"="&amp;$DF54+'Model Setup'!$B$7,$AD54:$BA54)+'Model Setup'!$B$8*(SUMIF($BH$3:$CE$3,"&lt;"&amp;$DF54,$AD54:$BA54)+SUMIF($BH$3:$CE$3,"&gt;"&amp;$CW$4,$AD54:$BA54)),
IF(BI$3=$DF54+'Model Setup'!$C$7,SUMIF($BH$3:$CE$3,"="&amp;$DF54+'Model Setup'!$C$7,$AD54:$BA54)+'Model Setup'!$C$8*(SUMIF($BH$3:$CE$3,"&lt;"&amp;$DF54,$AD54:$BA54)+SUMIF($BH$3:$CE$3,"&gt;"&amp;$CW$4,$AD54:$BA54)),
IF(BI$3=$DF54+'Model Setup'!$D$7,SUMIF($BH$3:$CE$3,"="&amp;$DF54+'Model Setup'!$D$7,$AD54:$BA54)+'Model Setup'!$D$8*(SUMIF($BH$3:$CE$3,"&lt;"&amp;$DF54,$AD54:$BA54)+SUMIF($BH$3:$CE$3,"&gt;"&amp;$CW$4,$AD54:$BA54)),
IF(BI$3=$DF54+'Model Setup'!$E$7,SUMIF($BH$3:$CE$3,"="&amp;$DF54+'Model Setup'!$E$7,$AD54:$BA54)+'Model Setup'!$E$8*(SUMIF($BH$3:$CE$3,"&lt;"&amp;$DF54,$AD54:$BA54)+SUMIF($BH$3:$CE$3,"&gt;"&amp;$CW$4,$AD54:$BA54)),
IF(BI$3=$DF54+'Model Setup'!$F$7,SUMIF($BH$3:$CE$3,"="&amp;$DF54+'Model Setup'!$F$7,$AD54:$BA54)+'Model Setup'!$F$8*(SUMIF($BH$3:$CE$3,"&lt;"&amp;$DF54,$AD54:$BA54)+SUMIF($BH$3:$CE$3,"&gt;"&amp;$CW$4,$AD54:$BA54)),
IF(BI$3=$DF54+'Model Setup'!$G$7,SUMIF($BH$3:$CE$3,"="&amp;$DF54+'Model Setup'!$G$7,$AD54:$BA54)+'Model Setup'!$G$8*(SUMIF($BH$3:$CE$3,"&lt;"&amp;$DF54,$AD54:$BA54)+SUMIF($BH$3:$CE$3,"&gt;"&amp;$CW$4,$AD54:$BA54)),
IF(BI$3=$DF54+'Model Setup'!$H$7,SUMIF($BH$3:$CE$3,"="&amp;$DF54+'Model Setup'!$H$7,$AD54:$BA54)+'Model Setup'!$H$8*(SUMIF($BH$3:$CE$3,"&lt;"&amp;$DF54,$AD54:$BA54)+SUMIF($BH$3:$CE$3,"&gt;"&amp;$CW$4,$AD54:$BA54)),
IF(BI$3=$DF54+'Model Setup'!$I$7,SUMIF($BH$3:$CE$3,"="&amp;$DF54+'Model Setup'!$I$7,$AD54:$BA54)+'Model Setup'!$I$8*(SUMIF($BH$3:$CE$3,"&lt;"&amp;$DF54,$AD54:$BA54)+SUMIF($BH$3:$CE$3,"&gt;"&amp;$CW$4,$AD54:$BA54)),
IF(BI$3=$DF54+'Model Setup'!$J$7,SUMIF($BH$3:$CE$3,"="&amp;$DF54+'Model Setup'!$J$7,$AD54:$BA54)+'Model Setup'!$J$8*(SUMIF($BH$3:$CE$3,"&lt;"&amp;$DF54,$AD54:$BA54)+SUMIF($BH$3:$CE$3,"&gt;"&amp;$CW$4,$AD54:$BA54)),
IF(BI$3=$DF54+'Model Setup'!$K$7,SUMIF($BH$3:$CE$3,"="&amp;$DF54+'Model Setup'!$K$7,$AD54:$BA54)+'Model Setup'!$K$8*(SUMIF($BH$3:$CE$3,"&lt;"&amp;$DF54,$AD54:$BA54)+SUMIF($BH$3:$CE$3,"&gt;"&amp;$CW$4,$AD54:$BA54)),
IF(BI$3=$DF54+'Model Setup'!$L$7,SUMIF($BH$3:$CE$3,"="&amp;$DF54+'Model Setup'!$L$7,$AD54:$BA54)+'Model Setup'!$L$8*(SUMIF($BH$3:$CE$3,"&lt;"&amp;$DF54,$AD54:$BA54)+SUMIF($BH$3:$CE$3,"&gt;"&amp;$CW$4,$AD54:$BA54)),
IF(BI$3=$DF54+'Model Setup'!$M$7,SUMIF($BH$3:$CE$3,"="&amp;$DF54+'Model Setup'!$M$7,$AD54:$BA54)+'Model Setup'!$M$8*(SUMIF($BH$3:$CE$3,"&lt;"&amp;$DF54,$AD54:$BA54)+SUMIF($BH$3:$CE$3,"&gt;"&amp;$CW$4,$AD54:$BA54)),
IF(BI$3=$DF54+'Model Setup'!$N$7,SUMIF($BH$3:$CE$3,"="&amp;$DF54+'Model Setup'!$N$7,$AD54:$BA54)+'Model Setup'!$N$8*(SUMIF($BH$3:$CE$3,"&lt;"&amp;$DF54,$AD54:$BA54)+SUMIF($BH$3:$CE$3,"&gt;"&amp;$CW$4,$AD54:$BA54)),
IF(BI$3&lt;$CW$4,C54,0))))))))))))))),0)</f>
        <v>0</v>
      </c>
      <c r="BJ54" s="47">
        <f>ROUND(IF(OR(BJ$3&lt;$DF54,BJ$3&gt;$CW$4),0,
IF(BJ$3=$DF54+'Model Setup'!$B$7,SUMIF($BH$3:$CE$3,"="&amp;$DF54+'Model Setup'!$B$7,$AD54:$BA54)+'Model Setup'!$B$8*(SUMIF($BH$3:$CE$3,"&lt;"&amp;$DF54,$AD54:$BA54)+SUMIF($BH$3:$CE$3,"&gt;"&amp;$CW$4,$AD54:$BA54)),
IF(BJ$3=$DF54+'Model Setup'!$C$7,SUMIF($BH$3:$CE$3,"="&amp;$DF54+'Model Setup'!$C$7,$AD54:$BA54)+'Model Setup'!$C$8*(SUMIF($BH$3:$CE$3,"&lt;"&amp;$DF54,$AD54:$BA54)+SUMIF($BH$3:$CE$3,"&gt;"&amp;$CW$4,$AD54:$BA54)),
IF(BJ$3=$DF54+'Model Setup'!$D$7,SUMIF($BH$3:$CE$3,"="&amp;$DF54+'Model Setup'!$D$7,$AD54:$BA54)+'Model Setup'!$D$8*(SUMIF($BH$3:$CE$3,"&lt;"&amp;$DF54,$AD54:$BA54)+SUMIF($BH$3:$CE$3,"&gt;"&amp;$CW$4,$AD54:$BA54)),
IF(BJ$3=$DF54+'Model Setup'!$E$7,SUMIF($BH$3:$CE$3,"="&amp;$DF54+'Model Setup'!$E$7,$AD54:$BA54)+'Model Setup'!$E$8*(SUMIF($BH$3:$CE$3,"&lt;"&amp;$DF54,$AD54:$BA54)+SUMIF($BH$3:$CE$3,"&gt;"&amp;$CW$4,$AD54:$BA54)),
IF(BJ$3=$DF54+'Model Setup'!$F$7,SUMIF($BH$3:$CE$3,"="&amp;$DF54+'Model Setup'!$F$7,$AD54:$BA54)+'Model Setup'!$F$8*(SUMIF($BH$3:$CE$3,"&lt;"&amp;$DF54,$AD54:$BA54)+SUMIF($BH$3:$CE$3,"&gt;"&amp;$CW$4,$AD54:$BA54)),
IF(BJ$3=$DF54+'Model Setup'!$G$7,SUMIF($BH$3:$CE$3,"="&amp;$DF54+'Model Setup'!$G$7,$AD54:$BA54)+'Model Setup'!$G$8*(SUMIF($BH$3:$CE$3,"&lt;"&amp;$DF54,$AD54:$BA54)+SUMIF($BH$3:$CE$3,"&gt;"&amp;$CW$4,$AD54:$BA54)),
IF(BJ$3=$DF54+'Model Setup'!$H$7,SUMIF($BH$3:$CE$3,"="&amp;$DF54+'Model Setup'!$H$7,$AD54:$BA54)+'Model Setup'!$H$8*(SUMIF($BH$3:$CE$3,"&lt;"&amp;$DF54,$AD54:$BA54)+SUMIF($BH$3:$CE$3,"&gt;"&amp;$CW$4,$AD54:$BA54)),
IF(BJ$3=$DF54+'Model Setup'!$I$7,SUMIF($BH$3:$CE$3,"="&amp;$DF54+'Model Setup'!$I$7,$AD54:$BA54)+'Model Setup'!$I$8*(SUMIF($BH$3:$CE$3,"&lt;"&amp;$DF54,$AD54:$BA54)+SUMIF($BH$3:$CE$3,"&gt;"&amp;$CW$4,$AD54:$BA54)),
IF(BJ$3=$DF54+'Model Setup'!$J$7,SUMIF($BH$3:$CE$3,"="&amp;$DF54+'Model Setup'!$J$7,$AD54:$BA54)+'Model Setup'!$J$8*(SUMIF($BH$3:$CE$3,"&lt;"&amp;$DF54,$AD54:$BA54)+SUMIF($BH$3:$CE$3,"&gt;"&amp;$CW$4,$AD54:$BA54)),
IF(BJ$3=$DF54+'Model Setup'!$K$7,SUMIF($BH$3:$CE$3,"="&amp;$DF54+'Model Setup'!$K$7,$AD54:$BA54)+'Model Setup'!$K$8*(SUMIF($BH$3:$CE$3,"&lt;"&amp;$DF54,$AD54:$BA54)+SUMIF($BH$3:$CE$3,"&gt;"&amp;$CW$4,$AD54:$BA54)),
IF(BJ$3=$DF54+'Model Setup'!$L$7,SUMIF($BH$3:$CE$3,"="&amp;$DF54+'Model Setup'!$L$7,$AD54:$BA54)+'Model Setup'!$L$8*(SUMIF($BH$3:$CE$3,"&lt;"&amp;$DF54,$AD54:$BA54)+SUMIF($BH$3:$CE$3,"&gt;"&amp;$CW$4,$AD54:$BA54)),
IF(BJ$3=$DF54+'Model Setup'!$M$7,SUMIF($BH$3:$CE$3,"="&amp;$DF54+'Model Setup'!$M$7,$AD54:$BA54)+'Model Setup'!$M$8*(SUMIF($BH$3:$CE$3,"&lt;"&amp;$DF54,$AD54:$BA54)+SUMIF($BH$3:$CE$3,"&gt;"&amp;$CW$4,$AD54:$BA54)),
IF(BJ$3=$DF54+'Model Setup'!$N$7,SUMIF($BH$3:$CE$3,"="&amp;$DF54+'Model Setup'!$N$7,$AD54:$BA54)+'Model Setup'!$N$8*(SUMIF($BH$3:$CE$3,"&lt;"&amp;$DF54,$AD54:$BA54)+SUMIF($BH$3:$CE$3,"&gt;"&amp;$CW$4,$AD54:$BA54)),
IF(BJ$3&lt;$CW$4,D54,0))))))))))))))),0)</f>
        <v>0</v>
      </c>
      <c r="BK54" s="47">
        <f>ROUND(IF(OR(BK$3&lt;$DF54,BK$3&gt;$CW$4),0,
IF(BK$3=$DF54+'Model Setup'!$B$7,SUMIF($BH$3:$CE$3,"="&amp;$DF54+'Model Setup'!$B$7,$AD54:$BA54)+'Model Setup'!$B$8*(SUMIF($BH$3:$CE$3,"&lt;"&amp;$DF54,$AD54:$BA54)+SUMIF($BH$3:$CE$3,"&gt;"&amp;$CW$4,$AD54:$BA54)),
IF(BK$3=$DF54+'Model Setup'!$C$7,SUMIF($BH$3:$CE$3,"="&amp;$DF54+'Model Setup'!$C$7,$AD54:$BA54)+'Model Setup'!$C$8*(SUMIF($BH$3:$CE$3,"&lt;"&amp;$DF54,$AD54:$BA54)+SUMIF($BH$3:$CE$3,"&gt;"&amp;$CW$4,$AD54:$BA54)),
IF(BK$3=$DF54+'Model Setup'!$D$7,SUMIF($BH$3:$CE$3,"="&amp;$DF54+'Model Setup'!$D$7,$AD54:$BA54)+'Model Setup'!$D$8*(SUMIF($BH$3:$CE$3,"&lt;"&amp;$DF54,$AD54:$BA54)+SUMIF($BH$3:$CE$3,"&gt;"&amp;$CW$4,$AD54:$BA54)),
IF(BK$3=$DF54+'Model Setup'!$E$7,SUMIF($BH$3:$CE$3,"="&amp;$DF54+'Model Setup'!$E$7,$AD54:$BA54)+'Model Setup'!$E$8*(SUMIF($BH$3:$CE$3,"&lt;"&amp;$DF54,$AD54:$BA54)+SUMIF($BH$3:$CE$3,"&gt;"&amp;$CW$4,$AD54:$BA54)),
IF(BK$3=$DF54+'Model Setup'!$F$7,SUMIF($BH$3:$CE$3,"="&amp;$DF54+'Model Setup'!$F$7,$AD54:$BA54)+'Model Setup'!$F$8*(SUMIF($BH$3:$CE$3,"&lt;"&amp;$DF54,$AD54:$BA54)+SUMIF($BH$3:$CE$3,"&gt;"&amp;$CW$4,$AD54:$BA54)),
IF(BK$3=$DF54+'Model Setup'!$G$7,SUMIF($BH$3:$CE$3,"="&amp;$DF54+'Model Setup'!$G$7,$AD54:$BA54)+'Model Setup'!$G$8*(SUMIF($BH$3:$CE$3,"&lt;"&amp;$DF54,$AD54:$BA54)+SUMIF($BH$3:$CE$3,"&gt;"&amp;$CW$4,$AD54:$BA54)),
IF(BK$3=$DF54+'Model Setup'!$H$7,SUMIF($BH$3:$CE$3,"="&amp;$DF54+'Model Setup'!$H$7,$AD54:$BA54)+'Model Setup'!$H$8*(SUMIF($BH$3:$CE$3,"&lt;"&amp;$DF54,$AD54:$BA54)+SUMIF($BH$3:$CE$3,"&gt;"&amp;$CW$4,$AD54:$BA54)),
IF(BK$3=$DF54+'Model Setup'!$I$7,SUMIF($BH$3:$CE$3,"="&amp;$DF54+'Model Setup'!$I$7,$AD54:$BA54)+'Model Setup'!$I$8*(SUMIF($BH$3:$CE$3,"&lt;"&amp;$DF54,$AD54:$BA54)+SUMIF($BH$3:$CE$3,"&gt;"&amp;$CW$4,$AD54:$BA54)),
IF(BK$3=$DF54+'Model Setup'!$J$7,SUMIF($BH$3:$CE$3,"="&amp;$DF54+'Model Setup'!$J$7,$AD54:$BA54)+'Model Setup'!$J$8*(SUMIF($BH$3:$CE$3,"&lt;"&amp;$DF54,$AD54:$BA54)+SUMIF($BH$3:$CE$3,"&gt;"&amp;$CW$4,$AD54:$BA54)),
IF(BK$3=$DF54+'Model Setup'!$K$7,SUMIF($BH$3:$CE$3,"="&amp;$DF54+'Model Setup'!$K$7,$AD54:$BA54)+'Model Setup'!$K$8*(SUMIF($BH$3:$CE$3,"&lt;"&amp;$DF54,$AD54:$BA54)+SUMIF($BH$3:$CE$3,"&gt;"&amp;$CW$4,$AD54:$BA54)),
IF(BK$3=$DF54+'Model Setup'!$L$7,SUMIF($BH$3:$CE$3,"="&amp;$DF54+'Model Setup'!$L$7,$AD54:$BA54)+'Model Setup'!$L$8*(SUMIF($BH$3:$CE$3,"&lt;"&amp;$DF54,$AD54:$BA54)+SUMIF($BH$3:$CE$3,"&gt;"&amp;$CW$4,$AD54:$BA54)),
IF(BK$3=$DF54+'Model Setup'!$M$7,SUMIF($BH$3:$CE$3,"="&amp;$DF54+'Model Setup'!$M$7,$AD54:$BA54)+'Model Setup'!$M$8*(SUMIF($BH$3:$CE$3,"&lt;"&amp;$DF54,$AD54:$BA54)+SUMIF($BH$3:$CE$3,"&gt;"&amp;$CW$4,$AD54:$BA54)),
IF(BK$3=$DF54+'Model Setup'!$N$7,SUMIF($BH$3:$CE$3,"="&amp;$DF54+'Model Setup'!$N$7,$AD54:$BA54)+'Model Setup'!$N$8*(SUMIF($BH$3:$CE$3,"&lt;"&amp;$DF54,$AD54:$BA54)+SUMIF($BH$3:$CE$3,"&gt;"&amp;$CW$4,$AD54:$BA54)),
IF(BK$3&lt;$CW$4,E54,0))))))))))))))),0)</f>
        <v>0</v>
      </c>
      <c r="BL54" s="47">
        <f>ROUND(IF(OR(BL$3&lt;$DF54,BL$3&gt;$CW$4),0,
IF(BL$3=$DF54+'Model Setup'!$B$7,SUMIF($BH$3:$CE$3,"="&amp;$DF54+'Model Setup'!$B$7,$AD54:$BA54)+'Model Setup'!$B$8*(SUMIF($BH$3:$CE$3,"&lt;"&amp;$DF54,$AD54:$BA54)+SUMIF($BH$3:$CE$3,"&gt;"&amp;$CW$4,$AD54:$BA54)),
IF(BL$3=$DF54+'Model Setup'!$C$7,SUMIF($BH$3:$CE$3,"="&amp;$DF54+'Model Setup'!$C$7,$AD54:$BA54)+'Model Setup'!$C$8*(SUMIF($BH$3:$CE$3,"&lt;"&amp;$DF54,$AD54:$BA54)+SUMIF($BH$3:$CE$3,"&gt;"&amp;$CW$4,$AD54:$BA54)),
IF(BL$3=$DF54+'Model Setup'!$D$7,SUMIF($BH$3:$CE$3,"="&amp;$DF54+'Model Setup'!$D$7,$AD54:$BA54)+'Model Setup'!$D$8*(SUMIF($BH$3:$CE$3,"&lt;"&amp;$DF54,$AD54:$BA54)+SUMIF($BH$3:$CE$3,"&gt;"&amp;$CW$4,$AD54:$BA54)),
IF(BL$3=$DF54+'Model Setup'!$E$7,SUMIF($BH$3:$CE$3,"="&amp;$DF54+'Model Setup'!$E$7,$AD54:$BA54)+'Model Setup'!$E$8*(SUMIF($BH$3:$CE$3,"&lt;"&amp;$DF54,$AD54:$BA54)+SUMIF($BH$3:$CE$3,"&gt;"&amp;$CW$4,$AD54:$BA54)),
IF(BL$3=$DF54+'Model Setup'!$F$7,SUMIF($BH$3:$CE$3,"="&amp;$DF54+'Model Setup'!$F$7,$AD54:$BA54)+'Model Setup'!$F$8*(SUMIF($BH$3:$CE$3,"&lt;"&amp;$DF54,$AD54:$BA54)+SUMIF($BH$3:$CE$3,"&gt;"&amp;$CW$4,$AD54:$BA54)),
IF(BL$3=$DF54+'Model Setup'!$G$7,SUMIF($BH$3:$CE$3,"="&amp;$DF54+'Model Setup'!$G$7,$AD54:$BA54)+'Model Setup'!$G$8*(SUMIF($BH$3:$CE$3,"&lt;"&amp;$DF54,$AD54:$BA54)+SUMIF($BH$3:$CE$3,"&gt;"&amp;$CW$4,$AD54:$BA54)),
IF(BL$3=$DF54+'Model Setup'!$H$7,SUMIF($BH$3:$CE$3,"="&amp;$DF54+'Model Setup'!$H$7,$AD54:$BA54)+'Model Setup'!$H$8*(SUMIF($BH$3:$CE$3,"&lt;"&amp;$DF54,$AD54:$BA54)+SUMIF($BH$3:$CE$3,"&gt;"&amp;$CW$4,$AD54:$BA54)),
IF(BL$3=$DF54+'Model Setup'!$I$7,SUMIF($BH$3:$CE$3,"="&amp;$DF54+'Model Setup'!$I$7,$AD54:$BA54)+'Model Setup'!$I$8*(SUMIF($BH$3:$CE$3,"&lt;"&amp;$DF54,$AD54:$BA54)+SUMIF($BH$3:$CE$3,"&gt;"&amp;$CW$4,$AD54:$BA54)),
IF(BL$3=$DF54+'Model Setup'!$J$7,SUMIF($BH$3:$CE$3,"="&amp;$DF54+'Model Setup'!$J$7,$AD54:$BA54)+'Model Setup'!$J$8*(SUMIF($BH$3:$CE$3,"&lt;"&amp;$DF54,$AD54:$BA54)+SUMIF($BH$3:$CE$3,"&gt;"&amp;$CW$4,$AD54:$BA54)),
IF(BL$3=$DF54+'Model Setup'!$K$7,SUMIF($BH$3:$CE$3,"="&amp;$DF54+'Model Setup'!$K$7,$AD54:$BA54)+'Model Setup'!$K$8*(SUMIF($BH$3:$CE$3,"&lt;"&amp;$DF54,$AD54:$BA54)+SUMIF($BH$3:$CE$3,"&gt;"&amp;$CW$4,$AD54:$BA54)),
IF(BL$3=$DF54+'Model Setup'!$L$7,SUMIF($BH$3:$CE$3,"="&amp;$DF54+'Model Setup'!$L$7,$AD54:$BA54)+'Model Setup'!$L$8*(SUMIF($BH$3:$CE$3,"&lt;"&amp;$DF54,$AD54:$BA54)+SUMIF($BH$3:$CE$3,"&gt;"&amp;$CW$4,$AD54:$BA54)),
IF(BL$3=$DF54+'Model Setup'!$M$7,SUMIF($BH$3:$CE$3,"="&amp;$DF54+'Model Setup'!$M$7,$AD54:$BA54)+'Model Setup'!$M$8*(SUMIF($BH$3:$CE$3,"&lt;"&amp;$DF54,$AD54:$BA54)+SUMIF($BH$3:$CE$3,"&gt;"&amp;$CW$4,$AD54:$BA54)),
IF(BL$3=$DF54+'Model Setup'!$N$7,SUMIF($BH$3:$CE$3,"="&amp;$DF54+'Model Setup'!$N$7,$AD54:$BA54)+'Model Setup'!$N$8*(SUMIF($BH$3:$CE$3,"&lt;"&amp;$DF54,$AD54:$BA54)+SUMIF($BH$3:$CE$3,"&gt;"&amp;$CW$4,$AD54:$BA54)),
IF(BL$3&lt;$CW$4,F54,0))))))))))))))),0)</f>
        <v>0</v>
      </c>
      <c r="BM54" s="47">
        <f>ROUND(IF(OR(BM$3&lt;$DF54,BM$3&gt;$CW$4),0,
IF(BM$3=$DF54+'Model Setup'!$B$7,SUMIF($BH$3:$CE$3,"="&amp;$DF54+'Model Setup'!$B$7,$AD54:$BA54)+'Model Setup'!$B$8*(SUMIF($BH$3:$CE$3,"&lt;"&amp;$DF54,$AD54:$BA54)+SUMIF($BH$3:$CE$3,"&gt;"&amp;$CW$4,$AD54:$BA54)),
IF(BM$3=$DF54+'Model Setup'!$C$7,SUMIF($BH$3:$CE$3,"="&amp;$DF54+'Model Setup'!$C$7,$AD54:$BA54)+'Model Setup'!$C$8*(SUMIF($BH$3:$CE$3,"&lt;"&amp;$DF54,$AD54:$BA54)+SUMIF($BH$3:$CE$3,"&gt;"&amp;$CW$4,$AD54:$BA54)),
IF(BM$3=$DF54+'Model Setup'!$D$7,SUMIF($BH$3:$CE$3,"="&amp;$DF54+'Model Setup'!$D$7,$AD54:$BA54)+'Model Setup'!$D$8*(SUMIF($BH$3:$CE$3,"&lt;"&amp;$DF54,$AD54:$BA54)+SUMIF($BH$3:$CE$3,"&gt;"&amp;$CW$4,$AD54:$BA54)),
IF(BM$3=$DF54+'Model Setup'!$E$7,SUMIF($BH$3:$CE$3,"="&amp;$DF54+'Model Setup'!$E$7,$AD54:$BA54)+'Model Setup'!$E$8*(SUMIF($BH$3:$CE$3,"&lt;"&amp;$DF54,$AD54:$BA54)+SUMIF($BH$3:$CE$3,"&gt;"&amp;$CW$4,$AD54:$BA54)),
IF(BM$3=$DF54+'Model Setup'!$F$7,SUMIF($BH$3:$CE$3,"="&amp;$DF54+'Model Setup'!$F$7,$AD54:$BA54)+'Model Setup'!$F$8*(SUMIF($BH$3:$CE$3,"&lt;"&amp;$DF54,$AD54:$BA54)+SUMIF($BH$3:$CE$3,"&gt;"&amp;$CW$4,$AD54:$BA54)),
IF(BM$3=$DF54+'Model Setup'!$G$7,SUMIF($BH$3:$CE$3,"="&amp;$DF54+'Model Setup'!$G$7,$AD54:$BA54)+'Model Setup'!$G$8*(SUMIF($BH$3:$CE$3,"&lt;"&amp;$DF54,$AD54:$BA54)+SUMIF($BH$3:$CE$3,"&gt;"&amp;$CW$4,$AD54:$BA54)),
IF(BM$3=$DF54+'Model Setup'!$H$7,SUMIF($BH$3:$CE$3,"="&amp;$DF54+'Model Setup'!$H$7,$AD54:$BA54)+'Model Setup'!$H$8*(SUMIF($BH$3:$CE$3,"&lt;"&amp;$DF54,$AD54:$BA54)+SUMIF($BH$3:$CE$3,"&gt;"&amp;$CW$4,$AD54:$BA54)),
IF(BM$3=$DF54+'Model Setup'!$I$7,SUMIF($BH$3:$CE$3,"="&amp;$DF54+'Model Setup'!$I$7,$AD54:$BA54)+'Model Setup'!$I$8*(SUMIF($BH$3:$CE$3,"&lt;"&amp;$DF54,$AD54:$BA54)+SUMIF($BH$3:$CE$3,"&gt;"&amp;$CW$4,$AD54:$BA54)),
IF(BM$3=$DF54+'Model Setup'!$J$7,SUMIF($BH$3:$CE$3,"="&amp;$DF54+'Model Setup'!$J$7,$AD54:$BA54)+'Model Setup'!$J$8*(SUMIF($BH$3:$CE$3,"&lt;"&amp;$DF54,$AD54:$BA54)+SUMIF($BH$3:$CE$3,"&gt;"&amp;$CW$4,$AD54:$BA54)),
IF(BM$3=$DF54+'Model Setup'!$K$7,SUMIF($BH$3:$CE$3,"="&amp;$DF54+'Model Setup'!$K$7,$AD54:$BA54)+'Model Setup'!$K$8*(SUMIF($BH$3:$CE$3,"&lt;"&amp;$DF54,$AD54:$BA54)+SUMIF($BH$3:$CE$3,"&gt;"&amp;$CW$4,$AD54:$BA54)),
IF(BM$3=$DF54+'Model Setup'!$L$7,SUMIF($BH$3:$CE$3,"="&amp;$DF54+'Model Setup'!$L$7,$AD54:$BA54)+'Model Setup'!$L$8*(SUMIF($BH$3:$CE$3,"&lt;"&amp;$DF54,$AD54:$BA54)+SUMIF($BH$3:$CE$3,"&gt;"&amp;$CW$4,$AD54:$BA54)),
IF(BM$3=$DF54+'Model Setup'!$M$7,SUMIF($BH$3:$CE$3,"="&amp;$DF54+'Model Setup'!$M$7,$AD54:$BA54)+'Model Setup'!$M$8*(SUMIF($BH$3:$CE$3,"&lt;"&amp;$DF54,$AD54:$BA54)+SUMIF($BH$3:$CE$3,"&gt;"&amp;$CW$4,$AD54:$BA54)),
IF(BM$3=$DF54+'Model Setup'!$N$7,SUMIF($BH$3:$CE$3,"="&amp;$DF54+'Model Setup'!$N$7,$AD54:$BA54)+'Model Setup'!$N$8*(SUMIF($BH$3:$CE$3,"&lt;"&amp;$DF54,$AD54:$BA54)+SUMIF($BH$3:$CE$3,"&gt;"&amp;$CW$4,$AD54:$BA54)),
IF(BM$3&lt;$CW$4,G54,0))))))))))))))),0)</f>
        <v>0</v>
      </c>
      <c r="BN54" s="47">
        <f>ROUND(IF(OR(BN$3&lt;$DF54,BN$3&gt;$CW$4),0,
IF(BN$3=$DF54+'Model Setup'!$B$7,SUMIF($BH$3:$CE$3,"="&amp;$DF54+'Model Setup'!$B$7,$AD54:$BA54)+'Model Setup'!$B$8*(SUMIF($BH$3:$CE$3,"&lt;"&amp;$DF54,$AD54:$BA54)+SUMIF($BH$3:$CE$3,"&gt;"&amp;$CW$4,$AD54:$BA54)),
IF(BN$3=$DF54+'Model Setup'!$C$7,SUMIF($BH$3:$CE$3,"="&amp;$DF54+'Model Setup'!$C$7,$AD54:$BA54)+'Model Setup'!$C$8*(SUMIF($BH$3:$CE$3,"&lt;"&amp;$DF54,$AD54:$BA54)+SUMIF($BH$3:$CE$3,"&gt;"&amp;$CW$4,$AD54:$BA54)),
IF(BN$3=$DF54+'Model Setup'!$D$7,SUMIF($BH$3:$CE$3,"="&amp;$DF54+'Model Setup'!$D$7,$AD54:$BA54)+'Model Setup'!$D$8*(SUMIF($BH$3:$CE$3,"&lt;"&amp;$DF54,$AD54:$BA54)+SUMIF($BH$3:$CE$3,"&gt;"&amp;$CW$4,$AD54:$BA54)),
IF(BN$3=$DF54+'Model Setup'!$E$7,SUMIF($BH$3:$CE$3,"="&amp;$DF54+'Model Setup'!$E$7,$AD54:$BA54)+'Model Setup'!$E$8*(SUMIF($BH$3:$CE$3,"&lt;"&amp;$DF54,$AD54:$BA54)+SUMIF($BH$3:$CE$3,"&gt;"&amp;$CW$4,$AD54:$BA54)),
IF(BN$3=$DF54+'Model Setup'!$F$7,SUMIF($BH$3:$CE$3,"="&amp;$DF54+'Model Setup'!$F$7,$AD54:$BA54)+'Model Setup'!$F$8*(SUMIF($BH$3:$CE$3,"&lt;"&amp;$DF54,$AD54:$BA54)+SUMIF($BH$3:$CE$3,"&gt;"&amp;$CW$4,$AD54:$BA54)),
IF(BN$3=$DF54+'Model Setup'!$G$7,SUMIF($BH$3:$CE$3,"="&amp;$DF54+'Model Setup'!$G$7,$AD54:$BA54)+'Model Setup'!$G$8*(SUMIF($BH$3:$CE$3,"&lt;"&amp;$DF54,$AD54:$BA54)+SUMIF($BH$3:$CE$3,"&gt;"&amp;$CW$4,$AD54:$BA54)),
IF(BN$3=$DF54+'Model Setup'!$H$7,SUMIF($BH$3:$CE$3,"="&amp;$DF54+'Model Setup'!$H$7,$AD54:$BA54)+'Model Setup'!$H$8*(SUMIF($BH$3:$CE$3,"&lt;"&amp;$DF54,$AD54:$BA54)+SUMIF($BH$3:$CE$3,"&gt;"&amp;$CW$4,$AD54:$BA54)),
IF(BN$3=$DF54+'Model Setup'!$I$7,SUMIF($BH$3:$CE$3,"="&amp;$DF54+'Model Setup'!$I$7,$AD54:$BA54)+'Model Setup'!$I$8*(SUMIF($BH$3:$CE$3,"&lt;"&amp;$DF54,$AD54:$BA54)+SUMIF($BH$3:$CE$3,"&gt;"&amp;$CW$4,$AD54:$BA54)),
IF(BN$3=$DF54+'Model Setup'!$J$7,SUMIF($BH$3:$CE$3,"="&amp;$DF54+'Model Setup'!$J$7,$AD54:$BA54)+'Model Setup'!$J$8*(SUMIF($BH$3:$CE$3,"&lt;"&amp;$DF54,$AD54:$BA54)+SUMIF($BH$3:$CE$3,"&gt;"&amp;$CW$4,$AD54:$BA54)),
IF(BN$3=$DF54+'Model Setup'!$K$7,SUMIF($BH$3:$CE$3,"="&amp;$DF54+'Model Setup'!$K$7,$AD54:$BA54)+'Model Setup'!$K$8*(SUMIF($BH$3:$CE$3,"&lt;"&amp;$DF54,$AD54:$BA54)+SUMIF($BH$3:$CE$3,"&gt;"&amp;$CW$4,$AD54:$BA54)),
IF(BN$3=$DF54+'Model Setup'!$L$7,SUMIF($BH$3:$CE$3,"="&amp;$DF54+'Model Setup'!$L$7,$AD54:$BA54)+'Model Setup'!$L$8*(SUMIF($BH$3:$CE$3,"&lt;"&amp;$DF54,$AD54:$BA54)+SUMIF($BH$3:$CE$3,"&gt;"&amp;$CW$4,$AD54:$BA54)),
IF(BN$3=$DF54+'Model Setup'!$M$7,SUMIF($BH$3:$CE$3,"="&amp;$DF54+'Model Setup'!$M$7,$AD54:$BA54)+'Model Setup'!$M$8*(SUMIF($BH$3:$CE$3,"&lt;"&amp;$DF54,$AD54:$BA54)+SUMIF($BH$3:$CE$3,"&gt;"&amp;$CW$4,$AD54:$BA54)),
IF(BN$3=$DF54+'Model Setup'!$N$7,SUMIF($BH$3:$CE$3,"="&amp;$DF54+'Model Setup'!$N$7,$AD54:$BA54)+'Model Setup'!$N$8*(SUMIF($BH$3:$CE$3,"&lt;"&amp;$DF54,$AD54:$BA54)+SUMIF($BH$3:$CE$3,"&gt;"&amp;$CW$4,$AD54:$BA54)),
IF(BN$3&lt;$CW$4,H54,0))))))))))))))),0)</f>
        <v>60</v>
      </c>
      <c r="BO54" s="47">
        <f>ROUND(IF(OR(BO$3&lt;$DF54,BO$3&gt;$CW$4),0,
IF(BO$3=$DF54+'Model Setup'!$B$7,SUMIF($BH$3:$CE$3,"="&amp;$DF54+'Model Setup'!$B$7,$AD54:$BA54)+'Model Setup'!$B$8*(SUMIF($BH$3:$CE$3,"&lt;"&amp;$DF54,$AD54:$BA54)+SUMIF($BH$3:$CE$3,"&gt;"&amp;$CW$4,$AD54:$BA54)),
IF(BO$3=$DF54+'Model Setup'!$C$7,SUMIF($BH$3:$CE$3,"="&amp;$DF54+'Model Setup'!$C$7,$AD54:$BA54)+'Model Setup'!$C$8*(SUMIF($BH$3:$CE$3,"&lt;"&amp;$DF54,$AD54:$BA54)+SUMIF($BH$3:$CE$3,"&gt;"&amp;$CW$4,$AD54:$BA54)),
IF(BO$3=$DF54+'Model Setup'!$D$7,SUMIF($BH$3:$CE$3,"="&amp;$DF54+'Model Setup'!$D$7,$AD54:$BA54)+'Model Setup'!$D$8*(SUMIF($BH$3:$CE$3,"&lt;"&amp;$DF54,$AD54:$BA54)+SUMIF($BH$3:$CE$3,"&gt;"&amp;$CW$4,$AD54:$BA54)),
IF(BO$3=$DF54+'Model Setup'!$E$7,SUMIF($BH$3:$CE$3,"="&amp;$DF54+'Model Setup'!$E$7,$AD54:$BA54)+'Model Setup'!$E$8*(SUMIF($BH$3:$CE$3,"&lt;"&amp;$DF54,$AD54:$BA54)+SUMIF($BH$3:$CE$3,"&gt;"&amp;$CW$4,$AD54:$BA54)),
IF(BO$3=$DF54+'Model Setup'!$F$7,SUMIF($BH$3:$CE$3,"="&amp;$DF54+'Model Setup'!$F$7,$AD54:$BA54)+'Model Setup'!$F$8*(SUMIF($BH$3:$CE$3,"&lt;"&amp;$DF54,$AD54:$BA54)+SUMIF($BH$3:$CE$3,"&gt;"&amp;$CW$4,$AD54:$BA54)),
IF(BO$3=$DF54+'Model Setup'!$G$7,SUMIF($BH$3:$CE$3,"="&amp;$DF54+'Model Setup'!$G$7,$AD54:$BA54)+'Model Setup'!$G$8*(SUMIF($BH$3:$CE$3,"&lt;"&amp;$DF54,$AD54:$BA54)+SUMIF($BH$3:$CE$3,"&gt;"&amp;$CW$4,$AD54:$BA54)),
IF(BO$3=$DF54+'Model Setup'!$H$7,SUMIF($BH$3:$CE$3,"="&amp;$DF54+'Model Setup'!$H$7,$AD54:$BA54)+'Model Setup'!$H$8*(SUMIF($BH$3:$CE$3,"&lt;"&amp;$DF54,$AD54:$BA54)+SUMIF($BH$3:$CE$3,"&gt;"&amp;$CW$4,$AD54:$BA54)),
IF(BO$3=$DF54+'Model Setup'!$I$7,SUMIF($BH$3:$CE$3,"="&amp;$DF54+'Model Setup'!$I$7,$AD54:$BA54)+'Model Setup'!$I$8*(SUMIF($BH$3:$CE$3,"&lt;"&amp;$DF54,$AD54:$BA54)+SUMIF($BH$3:$CE$3,"&gt;"&amp;$CW$4,$AD54:$BA54)),
IF(BO$3=$DF54+'Model Setup'!$J$7,SUMIF($BH$3:$CE$3,"="&amp;$DF54+'Model Setup'!$J$7,$AD54:$BA54)+'Model Setup'!$J$8*(SUMIF($BH$3:$CE$3,"&lt;"&amp;$DF54,$AD54:$BA54)+SUMIF($BH$3:$CE$3,"&gt;"&amp;$CW$4,$AD54:$BA54)),
IF(BO$3=$DF54+'Model Setup'!$K$7,SUMIF($BH$3:$CE$3,"="&amp;$DF54+'Model Setup'!$K$7,$AD54:$BA54)+'Model Setup'!$K$8*(SUMIF($BH$3:$CE$3,"&lt;"&amp;$DF54,$AD54:$BA54)+SUMIF($BH$3:$CE$3,"&gt;"&amp;$CW$4,$AD54:$BA54)),
IF(BO$3=$DF54+'Model Setup'!$L$7,SUMIF($BH$3:$CE$3,"="&amp;$DF54+'Model Setup'!$L$7,$AD54:$BA54)+'Model Setup'!$L$8*(SUMIF($BH$3:$CE$3,"&lt;"&amp;$DF54,$AD54:$BA54)+SUMIF($BH$3:$CE$3,"&gt;"&amp;$CW$4,$AD54:$BA54)),
IF(BO$3=$DF54+'Model Setup'!$M$7,SUMIF($BH$3:$CE$3,"="&amp;$DF54+'Model Setup'!$M$7,$AD54:$BA54)+'Model Setup'!$M$8*(SUMIF($BH$3:$CE$3,"&lt;"&amp;$DF54,$AD54:$BA54)+SUMIF($BH$3:$CE$3,"&gt;"&amp;$CW$4,$AD54:$BA54)),
IF(BO$3=$DF54+'Model Setup'!$N$7,SUMIF($BH$3:$CE$3,"="&amp;$DF54+'Model Setup'!$N$7,$AD54:$BA54)+'Model Setup'!$N$8*(SUMIF($BH$3:$CE$3,"&lt;"&amp;$DF54,$AD54:$BA54)+SUMIF($BH$3:$CE$3,"&gt;"&amp;$CW$4,$AD54:$BA54)),
IF(BO$3&lt;$CW$4,I54,0))))))))))))))),0)</f>
        <v>53</v>
      </c>
      <c r="BP54" s="47">
        <f>ROUND(IF(OR(BP$3&lt;$DF54,BP$3&gt;$CW$4),0,
IF(BP$3=$DF54+'Model Setup'!$B$7,SUMIF($BH$3:$CE$3,"="&amp;$DF54+'Model Setup'!$B$7,$AD54:$BA54)+'Model Setup'!$B$8*(SUMIF($BH$3:$CE$3,"&lt;"&amp;$DF54,$AD54:$BA54)+SUMIF($BH$3:$CE$3,"&gt;"&amp;$CW$4,$AD54:$BA54)),
IF(BP$3=$DF54+'Model Setup'!$C$7,SUMIF($BH$3:$CE$3,"="&amp;$DF54+'Model Setup'!$C$7,$AD54:$BA54)+'Model Setup'!$C$8*(SUMIF($BH$3:$CE$3,"&lt;"&amp;$DF54,$AD54:$BA54)+SUMIF($BH$3:$CE$3,"&gt;"&amp;$CW$4,$AD54:$BA54)),
IF(BP$3=$DF54+'Model Setup'!$D$7,SUMIF($BH$3:$CE$3,"="&amp;$DF54+'Model Setup'!$D$7,$AD54:$BA54)+'Model Setup'!$D$8*(SUMIF($BH$3:$CE$3,"&lt;"&amp;$DF54,$AD54:$BA54)+SUMIF($BH$3:$CE$3,"&gt;"&amp;$CW$4,$AD54:$BA54)),
IF(BP$3=$DF54+'Model Setup'!$E$7,SUMIF($BH$3:$CE$3,"="&amp;$DF54+'Model Setup'!$E$7,$AD54:$BA54)+'Model Setup'!$E$8*(SUMIF($BH$3:$CE$3,"&lt;"&amp;$DF54,$AD54:$BA54)+SUMIF($BH$3:$CE$3,"&gt;"&amp;$CW$4,$AD54:$BA54)),
IF(BP$3=$DF54+'Model Setup'!$F$7,SUMIF($BH$3:$CE$3,"="&amp;$DF54+'Model Setup'!$F$7,$AD54:$BA54)+'Model Setup'!$F$8*(SUMIF($BH$3:$CE$3,"&lt;"&amp;$DF54,$AD54:$BA54)+SUMIF($BH$3:$CE$3,"&gt;"&amp;$CW$4,$AD54:$BA54)),
IF(BP$3=$DF54+'Model Setup'!$G$7,SUMIF($BH$3:$CE$3,"="&amp;$DF54+'Model Setup'!$G$7,$AD54:$BA54)+'Model Setup'!$G$8*(SUMIF($BH$3:$CE$3,"&lt;"&amp;$DF54,$AD54:$BA54)+SUMIF($BH$3:$CE$3,"&gt;"&amp;$CW$4,$AD54:$BA54)),
IF(BP$3=$DF54+'Model Setup'!$H$7,SUMIF($BH$3:$CE$3,"="&amp;$DF54+'Model Setup'!$H$7,$AD54:$BA54)+'Model Setup'!$H$8*(SUMIF($BH$3:$CE$3,"&lt;"&amp;$DF54,$AD54:$BA54)+SUMIF($BH$3:$CE$3,"&gt;"&amp;$CW$4,$AD54:$BA54)),
IF(BP$3=$DF54+'Model Setup'!$I$7,SUMIF($BH$3:$CE$3,"="&amp;$DF54+'Model Setup'!$I$7,$AD54:$BA54)+'Model Setup'!$I$8*(SUMIF($BH$3:$CE$3,"&lt;"&amp;$DF54,$AD54:$BA54)+SUMIF($BH$3:$CE$3,"&gt;"&amp;$CW$4,$AD54:$BA54)),
IF(BP$3=$DF54+'Model Setup'!$J$7,SUMIF($BH$3:$CE$3,"="&amp;$DF54+'Model Setup'!$J$7,$AD54:$BA54)+'Model Setup'!$J$8*(SUMIF($BH$3:$CE$3,"&lt;"&amp;$DF54,$AD54:$BA54)+SUMIF($BH$3:$CE$3,"&gt;"&amp;$CW$4,$AD54:$BA54)),
IF(BP$3=$DF54+'Model Setup'!$K$7,SUMIF($BH$3:$CE$3,"="&amp;$DF54+'Model Setup'!$K$7,$AD54:$BA54)+'Model Setup'!$K$8*(SUMIF($BH$3:$CE$3,"&lt;"&amp;$DF54,$AD54:$BA54)+SUMIF($BH$3:$CE$3,"&gt;"&amp;$CW$4,$AD54:$BA54)),
IF(BP$3=$DF54+'Model Setup'!$L$7,SUMIF($BH$3:$CE$3,"="&amp;$DF54+'Model Setup'!$L$7,$AD54:$BA54)+'Model Setup'!$L$8*(SUMIF($BH$3:$CE$3,"&lt;"&amp;$DF54,$AD54:$BA54)+SUMIF($BH$3:$CE$3,"&gt;"&amp;$CW$4,$AD54:$BA54)),
IF(BP$3=$DF54+'Model Setup'!$M$7,SUMIF($BH$3:$CE$3,"="&amp;$DF54+'Model Setup'!$M$7,$AD54:$BA54)+'Model Setup'!$M$8*(SUMIF($BH$3:$CE$3,"&lt;"&amp;$DF54,$AD54:$BA54)+SUMIF($BH$3:$CE$3,"&gt;"&amp;$CW$4,$AD54:$BA54)),
IF(BP$3=$DF54+'Model Setup'!$N$7,SUMIF($BH$3:$CE$3,"="&amp;$DF54+'Model Setup'!$N$7,$AD54:$BA54)+'Model Setup'!$N$8*(SUMIF($BH$3:$CE$3,"&lt;"&amp;$DF54,$AD54:$BA54)+SUMIF($BH$3:$CE$3,"&gt;"&amp;$CW$4,$AD54:$BA54)),
IF(BP$3&lt;$CW$4,J54,0))))))))))))))),0)</f>
        <v>71</v>
      </c>
      <c r="BQ54" s="47">
        <f>ROUND(IF(OR(BQ$3&lt;$DF54,BQ$3&gt;$CW$4),0,
IF(BQ$3=$DF54+'Model Setup'!$B$7,SUMIF($BH$3:$CE$3,"="&amp;$DF54+'Model Setup'!$B$7,$AD54:$BA54)+'Model Setup'!$B$8*(SUMIF($BH$3:$CE$3,"&lt;"&amp;$DF54,$AD54:$BA54)+SUMIF($BH$3:$CE$3,"&gt;"&amp;$CW$4,$AD54:$BA54)),
IF(BQ$3=$DF54+'Model Setup'!$C$7,SUMIF($BH$3:$CE$3,"="&amp;$DF54+'Model Setup'!$C$7,$AD54:$BA54)+'Model Setup'!$C$8*(SUMIF($BH$3:$CE$3,"&lt;"&amp;$DF54,$AD54:$BA54)+SUMIF($BH$3:$CE$3,"&gt;"&amp;$CW$4,$AD54:$BA54)),
IF(BQ$3=$DF54+'Model Setup'!$D$7,SUMIF($BH$3:$CE$3,"="&amp;$DF54+'Model Setup'!$D$7,$AD54:$BA54)+'Model Setup'!$D$8*(SUMIF($BH$3:$CE$3,"&lt;"&amp;$DF54,$AD54:$BA54)+SUMIF($BH$3:$CE$3,"&gt;"&amp;$CW$4,$AD54:$BA54)),
IF(BQ$3=$DF54+'Model Setup'!$E$7,SUMIF($BH$3:$CE$3,"="&amp;$DF54+'Model Setup'!$E$7,$AD54:$BA54)+'Model Setup'!$E$8*(SUMIF($BH$3:$CE$3,"&lt;"&amp;$DF54,$AD54:$BA54)+SUMIF($BH$3:$CE$3,"&gt;"&amp;$CW$4,$AD54:$BA54)),
IF(BQ$3=$DF54+'Model Setup'!$F$7,SUMIF($BH$3:$CE$3,"="&amp;$DF54+'Model Setup'!$F$7,$AD54:$BA54)+'Model Setup'!$F$8*(SUMIF($BH$3:$CE$3,"&lt;"&amp;$DF54,$AD54:$BA54)+SUMIF($BH$3:$CE$3,"&gt;"&amp;$CW$4,$AD54:$BA54)),
IF(BQ$3=$DF54+'Model Setup'!$G$7,SUMIF($BH$3:$CE$3,"="&amp;$DF54+'Model Setup'!$G$7,$AD54:$BA54)+'Model Setup'!$G$8*(SUMIF($BH$3:$CE$3,"&lt;"&amp;$DF54,$AD54:$BA54)+SUMIF($BH$3:$CE$3,"&gt;"&amp;$CW$4,$AD54:$BA54)),
IF(BQ$3=$DF54+'Model Setup'!$H$7,SUMIF($BH$3:$CE$3,"="&amp;$DF54+'Model Setup'!$H$7,$AD54:$BA54)+'Model Setup'!$H$8*(SUMIF($BH$3:$CE$3,"&lt;"&amp;$DF54,$AD54:$BA54)+SUMIF($BH$3:$CE$3,"&gt;"&amp;$CW$4,$AD54:$BA54)),
IF(BQ$3=$DF54+'Model Setup'!$I$7,SUMIF($BH$3:$CE$3,"="&amp;$DF54+'Model Setup'!$I$7,$AD54:$BA54)+'Model Setup'!$I$8*(SUMIF($BH$3:$CE$3,"&lt;"&amp;$DF54,$AD54:$BA54)+SUMIF($BH$3:$CE$3,"&gt;"&amp;$CW$4,$AD54:$BA54)),
IF(BQ$3=$DF54+'Model Setup'!$J$7,SUMIF($BH$3:$CE$3,"="&amp;$DF54+'Model Setup'!$J$7,$AD54:$BA54)+'Model Setup'!$J$8*(SUMIF($BH$3:$CE$3,"&lt;"&amp;$DF54,$AD54:$BA54)+SUMIF($BH$3:$CE$3,"&gt;"&amp;$CW$4,$AD54:$BA54)),
IF(BQ$3=$DF54+'Model Setup'!$K$7,SUMIF($BH$3:$CE$3,"="&amp;$DF54+'Model Setup'!$K$7,$AD54:$BA54)+'Model Setup'!$K$8*(SUMIF($BH$3:$CE$3,"&lt;"&amp;$DF54,$AD54:$BA54)+SUMIF($BH$3:$CE$3,"&gt;"&amp;$CW$4,$AD54:$BA54)),
IF(BQ$3=$DF54+'Model Setup'!$L$7,SUMIF($BH$3:$CE$3,"="&amp;$DF54+'Model Setup'!$L$7,$AD54:$BA54)+'Model Setup'!$L$8*(SUMIF($BH$3:$CE$3,"&lt;"&amp;$DF54,$AD54:$BA54)+SUMIF($BH$3:$CE$3,"&gt;"&amp;$CW$4,$AD54:$BA54)),
IF(BQ$3=$DF54+'Model Setup'!$M$7,SUMIF($BH$3:$CE$3,"="&amp;$DF54+'Model Setup'!$M$7,$AD54:$BA54)+'Model Setup'!$M$8*(SUMIF($BH$3:$CE$3,"&lt;"&amp;$DF54,$AD54:$BA54)+SUMIF($BH$3:$CE$3,"&gt;"&amp;$CW$4,$AD54:$BA54)),
IF(BQ$3=$DF54+'Model Setup'!$N$7,SUMIF($BH$3:$CE$3,"="&amp;$DF54+'Model Setup'!$N$7,$AD54:$BA54)+'Model Setup'!$N$8*(SUMIF($BH$3:$CE$3,"&lt;"&amp;$DF54,$AD54:$BA54)+SUMIF($BH$3:$CE$3,"&gt;"&amp;$CW$4,$AD54:$BA54)),
IF(BQ$3&lt;$CW$4,K54,0))))))))))))))),0)</f>
        <v>67</v>
      </c>
      <c r="BR54" s="47">
        <f>ROUND(IF(OR(BR$3&lt;$DF54,BR$3&gt;$CW$4),0,
IF(BR$3=$DF54+'Model Setup'!$B$7,SUMIF($BH$3:$CE$3,"="&amp;$DF54+'Model Setup'!$B$7,$AD54:$BA54)+'Model Setup'!$B$8*(SUMIF($BH$3:$CE$3,"&lt;"&amp;$DF54,$AD54:$BA54)+SUMIF($BH$3:$CE$3,"&gt;"&amp;$CW$4,$AD54:$BA54)),
IF(BR$3=$DF54+'Model Setup'!$C$7,SUMIF($BH$3:$CE$3,"="&amp;$DF54+'Model Setup'!$C$7,$AD54:$BA54)+'Model Setup'!$C$8*(SUMIF($BH$3:$CE$3,"&lt;"&amp;$DF54,$AD54:$BA54)+SUMIF($BH$3:$CE$3,"&gt;"&amp;$CW$4,$AD54:$BA54)),
IF(BR$3=$DF54+'Model Setup'!$D$7,SUMIF($BH$3:$CE$3,"="&amp;$DF54+'Model Setup'!$D$7,$AD54:$BA54)+'Model Setup'!$D$8*(SUMIF($BH$3:$CE$3,"&lt;"&amp;$DF54,$AD54:$BA54)+SUMIF($BH$3:$CE$3,"&gt;"&amp;$CW$4,$AD54:$BA54)),
IF(BR$3=$DF54+'Model Setup'!$E$7,SUMIF($BH$3:$CE$3,"="&amp;$DF54+'Model Setup'!$E$7,$AD54:$BA54)+'Model Setup'!$E$8*(SUMIF($BH$3:$CE$3,"&lt;"&amp;$DF54,$AD54:$BA54)+SUMIF($BH$3:$CE$3,"&gt;"&amp;$CW$4,$AD54:$BA54)),
IF(BR$3=$DF54+'Model Setup'!$F$7,SUMIF($BH$3:$CE$3,"="&amp;$DF54+'Model Setup'!$F$7,$AD54:$BA54)+'Model Setup'!$F$8*(SUMIF($BH$3:$CE$3,"&lt;"&amp;$DF54,$AD54:$BA54)+SUMIF($BH$3:$CE$3,"&gt;"&amp;$CW$4,$AD54:$BA54)),
IF(BR$3=$DF54+'Model Setup'!$G$7,SUMIF($BH$3:$CE$3,"="&amp;$DF54+'Model Setup'!$G$7,$AD54:$BA54)+'Model Setup'!$G$8*(SUMIF($BH$3:$CE$3,"&lt;"&amp;$DF54,$AD54:$BA54)+SUMIF($BH$3:$CE$3,"&gt;"&amp;$CW$4,$AD54:$BA54)),
IF(BR$3=$DF54+'Model Setup'!$H$7,SUMIF($BH$3:$CE$3,"="&amp;$DF54+'Model Setup'!$H$7,$AD54:$BA54)+'Model Setup'!$H$8*(SUMIF($BH$3:$CE$3,"&lt;"&amp;$DF54,$AD54:$BA54)+SUMIF($BH$3:$CE$3,"&gt;"&amp;$CW$4,$AD54:$BA54)),
IF(BR$3=$DF54+'Model Setup'!$I$7,SUMIF($BH$3:$CE$3,"="&amp;$DF54+'Model Setup'!$I$7,$AD54:$BA54)+'Model Setup'!$I$8*(SUMIF($BH$3:$CE$3,"&lt;"&amp;$DF54,$AD54:$BA54)+SUMIF($BH$3:$CE$3,"&gt;"&amp;$CW$4,$AD54:$BA54)),
IF(BR$3=$DF54+'Model Setup'!$J$7,SUMIF($BH$3:$CE$3,"="&amp;$DF54+'Model Setup'!$J$7,$AD54:$BA54)+'Model Setup'!$J$8*(SUMIF($BH$3:$CE$3,"&lt;"&amp;$DF54,$AD54:$BA54)+SUMIF($BH$3:$CE$3,"&gt;"&amp;$CW$4,$AD54:$BA54)),
IF(BR$3=$DF54+'Model Setup'!$K$7,SUMIF($BH$3:$CE$3,"="&amp;$DF54+'Model Setup'!$K$7,$AD54:$BA54)+'Model Setup'!$K$8*(SUMIF($BH$3:$CE$3,"&lt;"&amp;$DF54,$AD54:$BA54)+SUMIF($BH$3:$CE$3,"&gt;"&amp;$CW$4,$AD54:$BA54)),
IF(BR$3=$DF54+'Model Setup'!$L$7,SUMIF($BH$3:$CE$3,"="&amp;$DF54+'Model Setup'!$L$7,$AD54:$BA54)+'Model Setup'!$L$8*(SUMIF($BH$3:$CE$3,"&lt;"&amp;$DF54,$AD54:$BA54)+SUMIF($BH$3:$CE$3,"&gt;"&amp;$CW$4,$AD54:$BA54)),
IF(BR$3=$DF54+'Model Setup'!$M$7,SUMIF($BH$3:$CE$3,"="&amp;$DF54+'Model Setup'!$M$7,$AD54:$BA54)+'Model Setup'!$M$8*(SUMIF($BH$3:$CE$3,"&lt;"&amp;$DF54,$AD54:$BA54)+SUMIF($BH$3:$CE$3,"&gt;"&amp;$CW$4,$AD54:$BA54)),
IF(BR$3=$DF54+'Model Setup'!$N$7,SUMIF($BH$3:$CE$3,"="&amp;$DF54+'Model Setup'!$N$7,$AD54:$BA54)+'Model Setup'!$N$8*(SUMIF($BH$3:$CE$3,"&lt;"&amp;$DF54,$AD54:$BA54)+SUMIF($BH$3:$CE$3,"&gt;"&amp;$CW$4,$AD54:$BA54)),
IF(BR$3&lt;$CW$4,L54,0))))))))))))))),0)</f>
        <v>64</v>
      </c>
      <c r="BS54" s="47">
        <f>ROUND(IF(OR(BS$3&lt;$DF54,BS$3&gt;$CW$4),0,
IF(BS$3=$DF54+'Model Setup'!$B$7,SUMIF($BH$3:$CE$3,"="&amp;$DF54+'Model Setup'!$B$7,$AD54:$BA54)+'Model Setup'!$B$8*(SUMIF($BH$3:$CE$3,"&lt;"&amp;$DF54,$AD54:$BA54)+SUMIF($BH$3:$CE$3,"&gt;"&amp;$CW$4,$AD54:$BA54)),
IF(BS$3=$DF54+'Model Setup'!$C$7,SUMIF($BH$3:$CE$3,"="&amp;$DF54+'Model Setup'!$C$7,$AD54:$BA54)+'Model Setup'!$C$8*(SUMIF($BH$3:$CE$3,"&lt;"&amp;$DF54,$AD54:$BA54)+SUMIF($BH$3:$CE$3,"&gt;"&amp;$CW$4,$AD54:$BA54)),
IF(BS$3=$DF54+'Model Setup'!$D$7,SUMIF($BH$3:$CE$3,"="&amp;$DF54+'Model Setup'!$D$7,$AD54:$BA54)+'Model Setup'!$D$8*(SUMIF($BH$3:$CE$3,"&lt;"&amp;$DF54,$AD54:$BA54)+SUMIF($BH$3:$CE$3,"&gt;"&amp;$CW$4,$AD54:$BA54)),
IF(BS$3=$DF54+'Model Setup'!$E$7,SUMIF($BH$3:$CE$3,"="&amp;$DF54+'Model Setup'!$E$7,$AD54:$BA54)+'Model Setup'!$E$8*(SUMIF($BH$3:$CE$3,"&lt;"&amp;$DF54,$AD54:$BA54)+SUMIF($BH$3:$CE$3,"&gt;"&amp;$CW$4,$AD54:$BA54)),
IF(BS$3=$DF54+'Model Setup'!$F$7,SUMIF($BH$3:$CE$3,"="&amp;$DF54+'Model Setup'!$F$7,$AD54:$BA54)+'Model Setup'!$F$8*(SUMIF($BH$3:$CE$3,"&lt;"&amp;$DF54,$AD54:$BA54)+SUMIF($BH$3:$CE$3,"&gt;"&amp;$CW$4,$AD54:$BA54)),
IF(BS$3=$DF54+'Model Setup'!$G$7,SUMIF($BH$3:$CE$3,"="&amp;$DF54+'Model Setup'!$G$7,$AD54:$BA54)+'Model Setup'!$G$8*(SUMIF($BH$3:$CE$3,"&lt;"&amp;$DF54,$AD54:$BA54)+SUMIF($BH$3:$CE$3,"&gt;"&amp;$CW$4,$AD54:$BA54)),
IF(BS$3=$DF54+'Model Setup'!$H$7,SUMIF($BH$3:$CE$3,"="&amp;$DF54+'Model Setup'!$H$7,$AD54:$BA54)+'Model Setup'!$H$8*(SUMIF($BH$3:$CE$3,"&lt;"&amp;$DF54,$AD54:$BA54)+SUMIF($BH$3:$CE$3,"&gt;"&amp;$CW$4,$AD54:$BA54)),
IF(BS$3=$DF54+'Model Setup'!$I$7,SUMIF($BH$3:$CE$3,"="&amp;$DF54+'Model Setup'!$I$7,$AD54:$BA54)+'Model Setup'!$I$8*(SUMIF($BH$3:$CE$3,"&lt;"&amp;$DF54,$AD54:$BA54)+SUMIF($BH$3:$CE$3,"&gt;"&amp;$CW$4,$AD54:$BA54)),
IF(BS$3=$DF54+'Model Setup'!$J$7,SUMIF($BH$3:$CE$3,"="&amp;$DF54+'Model Setup'!$J$7,$AD54:$BA54)+'Model Setup'!$J$8*(SUMIF($BH$3:$CE$3,"&lt;"&amp;$DF54,$AD54:$BA54)+SUMIF($BH$3:$CE$3,"&gt;"&amp;$CW$4,$AD54:$BA54)),
IF(BS$3=$DF54+'Model Setup'!$K$7,SUMIF($BH$3:$CE$3,"="&amp;$DF54+'Model Setup'!$K$7,$AD54:$BA54)+'Model Setup'!$K$8*(SUMIF($BH$3:$CE$3,"&lt;"&amp;$DF54,$AD54:$BA54)+SUMIF($BH$3:$CE$3,"&gt;"&amp;$CW$4,$AD54:$BA54)),
IF(BS$3=$DF54+'Model Setup'!$L$7,SUMIF($BH$3:$CE$3,"="&amp;$DF54+'Model Setup'!$L$7,$AD54:$BA54)+'Model Setup'!$L$8*(SUMIF($BH$3:$CE$3,"&lt;"&amp;$DF54,$AD54:$BA54)+SUMIF($BH$3:$CE$3,"&gt;"&amp;$CW$4,$AD54:$BA54)),
IF(BS$3=$DF54+'Model Setup'!$M$7,SUMIF($BH$3:$CE$3,"="&amp;$DF54+'Model Setup'!$M$7,$AD54:$BA54)+'Model Setup'!$M$8*(SUMIF($BH$3:$CE$3,"&lt;"&amp;$DF54,$AD54:$BA54)+SUMIF($BH$3:$CE$3,"&gt;"&amp;$CW$4,$AD54:$BA54)),
IF(BS$3=$DF54+'Model Setup'!$N$7,SUMIF($BH$3:$CE$3,"="&amp;$DF54+'Model Setup'!$N$7,$AD54:$BA54)+'Model Setup'!$N$8*(SUMIF($BH$3:$CE$3,"&lt;"&amp;$DF54,$AD54:$BA54)+SUMIF($BH$3:$CE$3,"&gt;"&amp;$CW$4,$AD54:$BA54)),
IF(BS$3&lt;$CW$4,M54,0))))))))))))))),0)</f>
        <v>43</v>
      </c>
      <c r="BT54" s="47">
        <f>ROUND(IF(OR(BT$3&lt;$DF54,BT$3&gt;$CW$4),0,
IF(BT$3=$DF54+'Model Setup'!$B$7,SUMIF($BH$3:$CE$3,"="&amp;$DF54+'Model Setup'!$B$7,$AD54:$BA54)+'Model Setup'!$B$8*(SUMIF($BH$3:$CE$3,"&lt;"&amp;$DF54,$AD54:$BA54)+SUMIF($BH$3:$CE$3,"&gt;"&amp;$CW$4,$AD54:$BA54)),
IF(BT$3=$DF54+'Model Setup'!$C$7,SUMIF($BH$3:$CE$3,"="&amp;$DF54+'Model Setup'!$C$7,$AD54:$BA54)+'Model Setup'!$C$8*(SUMIF($BH$3:$CE$3,"&lt;"&amp;$DF54,$AD54:$BA54)+SUMIF($BH$3:$CE$3,"&gt;"&amp;$CW$4,$AD54:$BA54)),
IF(BT$3=$DF54+'Model Setup'!$D$7,SUMIF($BH$3:$CE$3,"="&amp;$DF54+'Model Setup'!$D$7,$AD54:$BA54)+'Model Setup'!$D$8*(SUMIF($BH$3:$CE$3,"&lt;"&amp;$DF54,$AD54:$BA54)+SUMIF($BH$3:$CE$3,"&gt;"&amp;$CW$4,$AD54:$BA54)),
IF(BT$3=$DF54+'Model Setup'!$E$7,SUMIF($BH$3:$CE$3,"="&amp;$DF54+'Model Setup'!$E$7,$AD54:$BA54)+'Model Setup'!$E$8*(SUMIF($BH$3:$CE$3,"&lt;"&amp;$DF54,$AD54:$BA54)+SUMIF($BH$3:$CE$3,"&gt;"&amp;$CW$4,$AD54:$BA54)),
IF(BT$3=$DF54+'Model Setup'!$F$7,SUMIF($BH$3:$CE$3,"="&amp;$DF54+'Model Setup'!$F$7,$AD54:$BA54)+'Model Setup'!$F$8*(SUMIF($BH$3:$CE$3,"&lt;"&amp;$DF54,$AD54:$BA54)+SUMIF($BH$3:$CE$3,"&gt;"&amp;$CW$4,$AD54:$BA54)),
IF(BT$3=$DF54+'Model Setup'!$G$7,SUMIF($BH$3:$CE$3,"="&amp;$DF54+'Model Setup'!$G$7,$AD54:$BA54)+'Model Setup'!$G$8*(SUMIF($BH$3:$CE$3,"&lt;"&amp;$DF54,$AD54:$BA54)+SUMIF($BH$3:$CE$3,"&gt;"&amp;$CW$4,$AD54:$BA54)),
IF(BT$3=$DF54+'Model Setup'!$H$7,SUMIF($BH$3:$CE$3,"="&amp;$DF54+'Model Setup'!$H$7,$AD54:$BA54)+'Model Setup'!$H$8*(SUMIF($BH$3:$CE$3,"&lt;"&amp;$DF54,$AD54:$BA54)+SUMIF($BH$3:$CE$3,"&gt;"&amp;$CW$4,$AD54:$BA54)),
IF(BT$3=$DF54+'Model Setup'!$I$7,SUMIF($BH$3:$CE$3,"="&amp;$DF54+'Model Setup'!$I$7,$AD54:$BA54)+'Model Setup'!$I$8*(SUMIF($BH$3:$CE$3,"&lt;"&amp;$DF54,$AD54:$BA54)+SUMIF($BH$3:$CE$3,"&gt;"&amp;$CW$4,$AD54:$BA54)),
IF(BT$3=$DF54+'Model Setup'!$J$7,SUMIF($BH$3:$CE$3,"="&amp;$DF54+'Model Setup'!$J$7,$AD54:$BA54)+'Model Setup'!$J$8*(SUMIF($BH$3:$CE$3,"&lt;"&amp;$DF54,$AD54:$BA54)+SUMIF($BH$3:$CE$3,"&gt;"&amp;$CW$4,$AD54:$BA54)),
IF(BT$3=$DF54+'Model Setup'!$K$7,SUMIF($BH$3:$CE$3,"="&amp;$DF54+'Model Setup'!$K$7,$AD54:$BA54)+'Model Setup'!$K$8*(SUMIF($BH$3:$CE$3,"&lt;"&amp;$DF54,$AD54:$BA54)+SUMIF($BH$3:$CE$3,"&gt;"&amp;$CW$4,$AD54:$BA54)),
IF(BT$3=$DF54+'Model Setup'!$L$7,SUMIF($BH$3:$CE$3,"="&amp;$DF54+'Model Setup'!$L$7,$AD54:$BA54)+'Model Setup'!$L$8*(SUMIF($BH$3:$CE$3,"&lt;"&amp;$DF54,$AD54:$BA54)+SUMIF($BH$3:$CE$3,"&gt;"&amp;$CW$4,$AD54:$BA54)),
IF(BT$3=$DF54+'Model Setup'!$M$7,SUMIF($BH$3:$CE$3,"="&amp;$DF54+'Model Setup'!$M$7,$AD54:$BA54)+'Model Setup'!$M$8*(SUMIF($BH$3:$CE$3,"&lt;"&amp;$DF54,$AD54:$BA54)+SUMIF($BH$3:$CE$3,"&gt;"&amp;$CW$4,$AD54:$BA54)),
IF(BT$3=$DF54+'Model Setup'!$N$7,SUMIF($BH$3:$CE$3,"="&amp;$DF54+'Model Setup'!$N$7,$AD54:$BA54)+'Model Setup'!$N$8*(SUMIF($BH$3:$CE$3,"&lt;"&amp;$DF54,$AD54:$BA54)+SUMIF($BH$3:$CE$3,"&gt;"&amp;$CW$4,$AD54:$BA54)),
IF(BT$3&lt;$CW$4,N54,0))))))))))))))),0)</f>
        <v>26</v>
      </c>
      <c r="BU54" s="47">
        <f>ROUND(IF(OR(BU$3&lt;$DF54,BU$3&gt;$CW$4),0,
IF(BU$3=$DF54+'Model Setup'!$B$7,SUMIF($BH$3:$CE$3,"="&amp;$DF54+'Model Setup'!$B$7,$AD54:$BA54)+'Model Setup'!$B$8*(SUMIF($BH$3:$CE$3,"&lt;"&amp;$DF54,$AD54:$BA54)+SUMIF($BH$3:$CE$3,"&gt;"&amp;$CW$4,$AD54:$BA54)),
IF(BU$3=$DF54+'Model Setup'!$C$7,SUMIF($BH$3:$CE$3,"="&amp;$DF54+'Model Setup'!$C$7,$AD54:$BA54)+'Model Setup'!$C$8*(SUMIF($BH$3:$CE$3,"&lt;"&amp;$DF54,$AD54:$BA54)+SUMIF($BH$3:$CE$3,"&gt;"&amp;$CW$4,$AD54:$BA54)),
IF(BU$3=$DF54+'Model Setup'!$D$7,SUMIF($BH$3:$CE$3,"="&amp;$DF54+'Model Setup'!$D$7,$AD54:$BA54)+'Model Setup'!$D$8*(SUMIF($BH$3:$CE$3,"&lt;"&amp;$DF54,$AD54:$BA54)+SUMIF($BH$3:$CE$3,"&gt;"&amp;$CW$4,$AD54:$BA54)),
IF(BU$3=$DF54+'Model Setup'!$E$7,SUMIF($BH$3:$CE$3,"="&amp;$DF54+'Model Setup'!$E$7,$AD54:$BA54)+'Model Setup'!$E$8*(SUMIF($BH$3:$CE$3,"&lt;"&amp;$DF54,$AD54:$BA54)+SUMIF($BH$3:$CE$3,"&gt;"&amp;$CW$4,$AD54:$BA54)),
IF(BU$3=$DF54+'Model Setup'!$F$7,SUMIF($BH$3:$CE$3,"="&amp;$DF54+'Model Setup'!$F$7,$AD54:$BA54)+'Model Setup'!$F$8*(SUMIF($BH$3:$CE$3,"&lt;"&amp;$DF54,$AD54:$BA54)+SUMIF($BH$3:$CE$3,"&gt;"&amp;$CW$4,$AD54:$BA54)),
IF(BU$3=$DF54+'Model Setup'!$G$7,SUMIF($BH$3:$CE$3,"="&amp;$DF54+'Model Setup'!$G$7,$AD54:$BA54)+'Model Setup'!$G$8*(SUMIF($BH$3:$CE$3,"&lt;"&amp;$DF54,$AD54:$BA54)+SUMIF($BH$3:$CE$3,"&gt;"&amp;$CW$4,$AD54:$BA54)),
IF(BU$3=$DF54+'Model Setup'!$H$7,SUMIF($BH$3:$CE$3,"="&amp;$DF54+'Model Setup'!$H$7,$AD54:$BA54)+'Model Setup'!$H$8*(SUMIF($BH$3:$CE$3,"&lt;"&amp;$DF54,$AD54:$BA54)+SUMIF($BH$3:$CE$3,"&gt;"&amp;$CW$4,$AD54:$BA54)),
IF(BU$3=$DF54+'Model Setup'!$I$7,SUMIF($BH$3:$CE$3,"="&amp;$DF54+'Model Setup'!$I$7,$AD54:$BA54)+'Model Setup'!$I$8*(SUMIF($BH$3:$CE$3,"&lt;"&amp;$DF54,$AD54:$BA54)+SUMIF($BH$3:$CE$3,"&gt;"&amp;$CW$4,$AD54:$BA54)),
IF(BU$3=$DF54+'Model Setup'!$J$7,SUMIF($BH$3:$CE$3,"="&amp;$DF54+'Model Setup'!$J$7,$AD54:$BA54)+'Model Setup'!$J$8*(SUMIF($BH$3:$CE$3,"&lt;"&amp;$DF54,$AD54:$BA54)+SUMIF($BH$3:$CE$3,"&gt;"&amp;$CW$4,$AD54:$BA54)),
IF(BU$3=$DF54+'Model Setup'!$K$7,SUMIF($BH$3:$CE$3,"="&amp;$DF54+'Model Setup'!$K$7,$AD54:$BA54)+'Model Setup'!$K$8*(SUMIF($BH$3:$CE$3,"&lt;"&amp;$DF54,$AD54:$BA54)+SUMIF($BH$3:$CE$3,"&gt;"&amp;$CW$4,$AD54:$BA54)),
IF(BU$3=$DF54+'Model Setup'!$L$7,SUMIF($BH$3:$CE$3,"="&amp;$DF54+'Model Setup'!$L$7,$AD54:$BA54)+'Model Setup'!$L$8*(SUMIF($BH$3:$CE$3,"&lt;"&amp;$DF54,$AD54:$BA54)+SUMIF($BH$3:$CE$3,"&gt;"&amp;$CW$4,$AD54:$BA54)),
IF(BU$3=$DF54+'Model Setup'!$M$7,SUMIF($BH$3:$CE$3,"="&amp;$DF54+'Model Setup'!$M$7,$AD54:$BA54)+'Model Setup'!$M$8*(SUMIF($BH$3:$CE$3,"&lt;"&amp;$DF54,$AD54:$BA54)+SUMIF($BH$3:$CE$3,"&gt;"&amp;$CW$4,$AD54:$BA54)),
IF(BU$3=$DF54+'Model Setup'!$N$7,SUMIF($BH$3:$CE$3,"="&amp;$DF54+'Model Setup'!$N$7,$AD54:$BA54)+'Model Setup'!$N$8*(SUMIF($BH$3:$CE$3,"&lt;"&amp;$DF54,$AD54:$BA54)+SUMIF($BH$3:$CE$3,"&gt;"&amp;$CW$4,$AD54:$BA54)),
IF(BU$3&lt;$CW$4,O54,0))))))))))))))),0)</f>
        <v>27</v>
      </c>
      <c r="BV54" s="47">
        <f>ROUND(IF(OR(BV$3&lt;$DF54,BV$3&gt;$CW$4),0,
IF(BV$3=$DF54+'Model Setup'!$B$7,SUMIF($BH$3:$CE$3,"="&amp;$DF54+'Model Setup'!$B$7,$AD54:$BA54)+'Model Setup'!$B$8*(SUMIF($BH$3:$CE$3,"&lt;"&amp;$DF54,$AD54:$BA54)+SUMIF($BH$3:$CE$3,"&gt;"&amp;$CW$4,$AD54:$BA54)),
IF(BV$3=$DF54+'Model Setup'!$C$7,SUMIF($BH$3:$CE$3,"="&amp;$DF54+'Model Setup'!$C$7,$AD54:$BA54)+'Model Setup'!$C$8*(SUMIF($BH$3:$CE$3,"&lt;"&amp;$DF54,$AD54:$BA54)+SUMIF($BH$3:$CE$3,"&gt;"&amp;$CW$4,$AD54:$BA54)),
IF(BV$3=$DF54+'Model Setup'!$D$7,SUMIF($BH$3:$CE$3,"="&amp;$DF54+'Model Setup'!$D$7,$AD54:$BA54)+'Model Setup'!$D$8*(SUMIF($BH$3:$CE$3,"&lt;"&amp;$DF54,$AD54:$BA54)+SUMIF($BH$3:$CE$3,"&gt;"&amp;$CW$4,$AD54:$BA54)),
IF(BV$3=$DF54+'Model Setup'!$E$7,SUMIF($BH$3:$CE$3,"="&amp;$DF54+'Model Setup'!$E$7,$AD54:$BA54)+'Model Setup'!$E$8*(SUMIF($BH$3:$CE$3,"&lt;"&amp;$DF54,$AD54:$BA54)+SUMIF($BH$3:$CE$3,"&gt;"&amp;$CW$4,$AD54:$BA54)),
IF(BV$3=$DF54+'Model Setup'!$F$7,SUMIF($BH$3:$CE$3,"="&amp;$DF54+'Model Setup'!$F$7,$AD54:$BA54)+'Model Setup'!$F$8*(SUMIF($BH$3:$CE$3,"&lt;"&amp;$DF54,$AD54:$BA54)+SUMIF($BH$3:$CE$3,"&gt;"&amp;$CW$4,$AD54:$BA54)),
IF(BV$3=$DF54+'Model Setup'!$G$7,SUMIF($BH$3:$CE$3,"="&amp;$DF54+'Model Setup'!$G$7,$AD54:$BA54)+'Model Setup'!$G$8*(SUMIF($BH$3:$CE$3,"&lt;"&amp;$DF54,$AD54:$BA54)+SUMIF($BH$3:$CE$3,"&gt;"&amp;$CW$4,$AD54:$BA54)),
IF(BV$3=$DF54+'Model Setup'!$H$7,SUMIF($BH$3:$CE$3,"="&amp;$DF54+'Model Setup'!$H$7,$AD54:$BA54)+'Model Setup'!$H$8*(SUMIF($BH$3:$CE$3,"&lt;"&amp;$DF54,$AD54:$BA54)+SUMIF($BH$3:$CE$3,"&gt;"&amp;$CW$4,$AD54:$BA54)),
IF(BV$3=$DF54+'Model Setup'!$I$7,SUMIF($BH$3:$CE$3,"="&amp;$DF54+'Model Setup'!$I$7,$AD54:$BA54)+'Model Setup'!$I$8*(SUMIF($BH$3:$CE$3,"&lt;"&amp;$DF54,$AD54:$BA54)+SUMIF($BH$3:$CE$3,"&gt;"&amp;$CW$4,$AD54:$BA54)),
IF(BV$3=$DF54+'Model Setup'!$J$7,SUMIF($BH$3:$CE$3,"="&amp;$DF54+'Model Setup'!$J$7,$AD54:$BA54)+'Model Setup'!$J$8*(SUMIF($BH$3:$CE$3,"&lt;"&amp;$DF54,$AD54:$BA54)+SUMIF($BH$3:$CE$3,"&gt;"&amp;$CW$4,$AD54:$BA54)),
IF(BV$3=$DF54+'Model Setup'!$K$7,SUMIF($BH$3:$CE$3,"="&amp;$DF54+'Model Setup'!$K$7,$AD54:$BA54)+'Model Setup'!$K$8*(SUMIF($BH$3:$CE$3,"&lt;"&amp;$DF54,$AD54:$BA54)+SUMIF($BH$3:$CE$3,"&gt;"&amp;$CW$4,$AD54:$BA54)),
IF(BV$3=$DF54+'Model Setup'!$L$7,SUMIF($BH$3:$CE$3,"="&amp;$DF54+'Model Setup'!$L$7,$AD54:$BA54)+'Model Setup'!$L$8*(SUMIF($BH$3:$CE$3,"&lt;"&amp;$DF54,$AD54:$BA54)+SUMIF($BH$3:$CE$3,"&gt;"&amp;$CW$4,$AD54:$BA54)),
IF(BV$3=$DF54+'Model Setup'!$M$7,SUMIF($BH$3:$CE$3,"="&amp;$DF54+'Model Setup'!$M$7,$AD54:$BA54)+'Model Setup'!$M$8*(SUMIF($BH$3:$CE$3,"&lt;"&amp;$DF54,$AD54:$BA54)+SUMIF($BH$3:$CE$3,"&gt;"&amp;$CW$4,$AD54:$BA54)),
IF(BV$3=$DF54+'Model Setup'!$N$7,SUMIF($BH$3:$CE$3,"="&amp;$DF54+'Model Setup'!$N$7,$AD54:$BA54)+'Model Setup'!$N$8*(SUMIF($BH$3:$CE$3,"&lt;"&amp;$DF54,$AD54:$BA54)+SUMIF($BH$3:$CE$3,"&gt;"&amp;$CW$4,$AD54:$BA54)),
IF(BV$3&lt;$CW$4,P54,0))))))))))))))),0)</f>
        <v>22</v>
      </c>
      <c r="BW54" s="47">
        <f>ROUND(IF(OR(BW$3&lt;$DF54,BW$3&gt;$CW$4),0,
IF(BW$3=$DF54+'Model Setup'!$B$7,SUMIF($BH$3:$CE$3,"="&amp;$DF54+'Model Setup'!$B$7,$AD54:$BA54)+'Model Setup'!$B$8*(SUMIF($BH$3:$CE$3,"&lt;"&amp;$DF54,$AD54:$BA54)+SUMIF($BH$3:$CE$3,"&gt;"&amp;$CW$4,$AD54:$BA54)),
IF(BW$3=$DF54+'Model Setup'!$C$7,SUMIF($BH$3:$CE$3,"="&amp;$DF54+'Model Setup'!$C$7,$AD54:$BA54)+'Model Setup'!$C$8*(SUMIF($BH$3:$CE$3,"&lt;"&amp;$DF54,$AD54:$BA54)+SUMIF($BH$3:$CE$3,"&gt;"&amp;$CW$4,$AD54:$BA54)),
IF(BW$3=$DF54+'Model Setup'!$D$7,SUMIF($BH$3:$CE$3,"="&amp;$DF54+'Model Setup'!$D$7,$AD54:$BA54)+'Model Setup'!$D$8*(SUMIF($BH$3:$CE$3,"&lt;"&amp;$DF54,$AD54:$BA54)+SUMIF($BH$3:$CE$3,"&gt;"&amp;$CW$4,$AD54:$BA54)),
IF(BW$3=$DF54+'Model Setup'!$E$7,SUMIF($BH$3:$CE$3,"="&amp;$DF54+'Model Setup'!$E$7,$AD54:$BA54)+'Model Setup'!$E$8*(SUMIF($BH$3:$CE$3,"&lt;"&amp;$DF54,$AD54:$BA54)+SUMIF($BH$3:$CE$3,"&gt;"&amp;$CW$4,$AD54:$BA54)),
IF(BW$3=$DF54+'Model Setup'!$F$7,SUMIF($BH$3:$CE$3,"="&amp;$DF54+'Model Setup'!$F$7,$AD54:$BA54)+'Model Setup'!$F$8*(SUMIF($BH$3:$CE$3,"&lt;"&amp;$DF54,$AD54:$BA54)+SUMIF($BH$3:$CE$3,"&gt;"&amp;$CW$4,$AD54:$BA54)),
IF(BW$3=$DF54+'Model Setup'!$G$7,SUMIF($BH$3:$CE$3,"="&amp;$DF54+'Model Setup'!$G$7,$AD54:$BA54)+'Model Setup'!$G$8*(SUMIF($BH$3:$CE$3,"&lt;"&amp;$DF54,$AD54:$BA54)+SUMIF($BH$3:$CE$3,"&gt;"&amp;$CW$4,$AD54:$BA54)),
IF(BW$3=$DF54+'Model Setup'!$H$7,SUMIF($BH$3:$CE$3,"="&amp;$DF54+'Model Setup'!$H$7,$AD54:$BA54)+'Model Setup'!$H$8*(SUMIF($BH$3:$CE$3,"&lt;"&amp;$DF54,$AD54:$BA54)+SUMIF($BH$3:$CE$3,"&gt;"&amp;$CW$4,$AD54:$BA54)),
IF(BW$3=$DF54+'Model Setup'!$I$7,SUMIF($BH$3:$CE$3,"="&amp;$DF54+'Model Setup'!$I$7,$AD54:$BA54)+'Model Setup'!$I$8*(SUMIF($BH$3:$CE$3,"&lt;"&amp;$DF54,$AD54:$BA54)+SUMIF($BH$3:$CE$3,"&gt;"&amp;$CW$4,$AD54:$BA54)),
IF(BW$3=$DF54+'Model Setup'!$J$7,SUMIF($BH$3:$CE$3,"="&amp;$DF54+'Model Setup'!$J$7,$AD54:$BA54)+'Model Setup'!$J$8*(SUMIF($BH$3:$CE$3,"&lt;"&amp;$DF54,$AD54:$BA54)+SUMIF($BH$3:$CE$3,"&gt;"&amp;$CW$4,$AD54:$BA54)),
IF(BW$3=$DF54+'Model Setup'!$K$7,SUMIF($BH$3:$CE$3,"="&amp;$DF54+'Model Setup'!$K$7,$AD54:$BA54)+'Model Setup'!$K$8*(SUMIF($BH$3:$CE$3,"&lt;"&amp;$DF54,$AD54:$BA54)+SUMIF($BH$3:$CE$3,"&gt;"&amp;$CW$4,$AD54:$BA54)),
IF(BW$3=$DF54+'Model Setup'!$L$7,SUMIF($BH$3:$CE$3,"="&amp;$DF54+'Model Setup'!$L$7,$AD54:$BA54)+'Model Setup'!$L$8*(SUMIF($BH$3:$CE$3,"&lt;"&amp;$DF54,$AD54:$BA54)+SUMIF($BH$3:$CE$3,"&gt;"&amp;$CW$4,$AD54:$BA54)),
IF(BW$3=$DF54+'Model Setup'!$M$7,SUMIF($BH$3:$CE$3,"="&amp;$DF54+'Model Setup'!$M$7,$AD54:$BA54)+'Model Setup'!$M$8*(SUMIF($BH$3:$CE$3,"&lt;"&amp;$DF54,$AD54:$BA54)+SUMIF($BH$3:$CE$3,"&gt;"&amp;$CW$4,$AD54:$BA54)),
IF(BW$3=$DF54+'Model Setup'!$N$7,SUMIF($BH$3:$CE$3,"="&amp;$DF54+'Model Setup'!$N$7,$AD54:$BA54)+'Model Setup'!$N$8*(SUMIF($BH$3:$CE$3,"&lt;"&amp;$DF54,$AD54:$BA54)+SUMIF($BH$3:$CE$3,"&gt;"&amp;$CW$4,$AD54:$BA54)),
IF(BW$3&lt;$CW$4,Q54,0))))))))))))))),0)</f>
        <v>24</v>
      </c>
      <c r="BX54" s="47">
        <f>ROUND(IF(OR(BX$3&lt;$DF54,BX$3&gt;$CW$4),0,
IF(BX$3=$DF54+'Model Setup'!$B$7,SUMIF($BH$3:$CE$3,"="&amp;$DF54+'Model Setup'!$B$7,$AD54:$BA54)+'Model Setup'!$B$8*(SUMIF($BH$3:$CE$3,"&lt;"&amp;$DF54,$AD54:$BA54)+SUMIF($BH$3:$CE$3,"&gt;"&amp;$CW$4,$AD54:$BA54)),
IF(BX$3=$DF54+'Model Setup'!$C$7,SUMIF($BH$3:$CE$3,"="&amp;$DF54+'Model Setup'!$C$7,$AD54:$BA54)+'Model Setup'!$C$8*(SUMIF($BH$3:$CE$3,"&lt;"&amp;$DF54,$AD54:$BA54)+SUMIF($BH$3:$CE$3,"&gt;"&amp;$CW$4,$AD54:$BA54)),
IF(BX$3=$DF54+'Model Setup'!$D$7,SUMIF($BH$3:$CE$3,"="&amp;$DF54+'Model Setup'!$D$7,$AD54:$BA54)+'Model Setup'!$D$8*(SUMIF($BH$3:$CE$3,"&lt;"&amp;$DF54,$AD54:$BA54)+SUMIF($BH$3:$CE$3,"&gt;"&amp;$CW$4,$AD54:$BA54)),
IF(BX$3=$DF54+'Model Setup'!$E$7,SUMIF($BH$3:$CE$3,"="&amp;$DF54+'Model Setup'!$E$7,$AD54:$BA54)+'Model Setup'!$E$8*(SUMIF($BH$3:$CE$3,"&lt;"&amp;$DF54,$AD54:$BA54)+SUMIF($BH$3:$CE$3,"&gt;"&amp;$CW$4,$AD54:$BA54)),
IF(BX$3=$DF54+'Model Setup'!$F$7,SUMIF($BH$3:$CE$3,"="&amp;$DF54+'Model Setup'!$F$7,$AD54:$BA54)+'Model Setup'!$F$8*(SUMIF($BH$3:$CE$3,"&lt;"&amp;$DF54,$AD54:$BA54)+SUMIF($BH$3:$CE$3,"&gt;"&amp;$CW$4,$AD54:$BA54)),
IF(BX$3=$DF54+'Model Setup'!$G$7,SUMIF($BH$3:$CE$3,"="&amp;$DF54+'Model Setup'!$G$7,$AD54:$BA54)+'Model Setup'!$G$8*(SUMIF($BH$3:$CE$3,"&lt;"&amp;$DF54,$AD54:$BA54)+SUMIF($BH$3:$CE$3,"&gt;"&amp;$CW$4,$AD54:$BA54)),
IF(BX$3=$DF54+'Model Setup'!$H$7,SUMIF($BH$3:$CE$3,"="&amp;$DF54+'Model Setup'!$H$7,$AD54:$BA54)+'Model Setup'!$H$8*(SUMIF($BH$3:$CE$3,"&lt;"&amp;$DF54,$AD54:$BA54)+SUMIF($BH$3:$CE$3,"&gt;"&amp;$CW$4,$AD54:$BA54)),
IF(BX$3=$DF54+'Model Setup'!$I$7,SUMIF($BH$3:$CE$3,"="&amp;$DF54+'Model Setup'!$I$7,$AD54:$BA54)+'Model Setup'!$I$8*(SUMIF($BH$3:$CE$3,"&lt;"&amp;$DF54,$AD54:$BA54)+SUMIF($BH$3:$CE$3,"&gt;"&amp;$CW$4,$AD54:$BA54)),
IF(BX$3=$DF54+'Model Setup'!$J$7,SUMIF($BH$3:$CE$3,"="&amp;$DF54+'Model Setup'!$J$7,$AD54:$BA54)+'Model Setup'!$J$8*(SUMIF($BH$3:$CE$3,"&lt;"&amp;$DF54,$AD54:$BA54)+SUMIF($BH$3:$CE$3,"&gt;"&amp;$CW$4,$AD54:$BA54)),
IF(BX$3=$DF54+'Model Setup'!$K$7,SUMIF($BH$3:$CE$3,"="&amp;$DF54+'Model Setup'!$K$7,$AD54:$BA54)+'Model Setup'!$K$8*(SUMIF($BH$3:$CE$3,"&lt;"&amp;$DF54,$AD54:$BA54)+SUMIF($BH$3:$CE$3,"&gt;"&amp;$CW$4,$AD54:$BA54)),
IF(BX$3=$DF54+'Model Setup'!$L$7,SUMIF($BH$3:$CE$3,"="&amp;$DF54+'Model Setup'!$L$7,$AD54:$BA54)+'Model Setup'!$L$8*(SUMIF($BH$3:$CE$3,"&lt;"&amp;$DF54,$AD54:$BA54)+SUMIF($BH$3:$CE$3,"&gt;"&amp;$CW$4,$AD54:$BA54)),
IF(BX$3=$DF54+'Model Setup'!$M$7,SUMIF($BH$3:$CE$3,"="&amp;$DF54+'Model Setup'!$M$7,$AD54:$BA54)+'Model Setup'!$M$8*(SUMIF($BH$3:$CE$3,"&lt;"&amp;$DF54,$AD54:$BA54)+SUMIF($BH$3:$CE$3,"&gt;"&amp;$CW$4,$AD54:$BA54)),
IF(BX$3=$DF54+'Model Setup'!$N$7,SUMIF($BH$3:$CE$3,"="&amp;$DF54+'Model Setup'!$N$7,$AD54:$BA54)+'Model Setup'!$N$8*(SUMIF($BH$3:$CE$3,"&lt;"&amp;$DF54,$AD54:$BA54)+SUMIF($BH$3:$CE$3,"&gt;"&amp;$CW$4,$AD54:$BA54)),
IF(BX$3&lt;$CW$4,R54,0))))))))))))))),0)</f>
        <v>22</v>
      </c>
      <c r="BY54" s="47">
        <f>ROUND(IF(OR(BY$3&lt;$DF54,BY$3&gt;$CW$4),0,
IF(BY$3=$DF54+'Model Setup'!$B$7,SUMIF($BH$3:$CE$3,"="&amp;$DF54+'Model Setup'!$B$7,$AD54:$BA54)+'Model Setup'!$B$8*(SUMIF($BH$3:$CE$3,"&lt;"&amp;$DF54,$AD54:$BA54)+SUMIF($BH$3:$CE$3,"&gt;"&amp;$CW$4,$AD54:$BA54)),
IF(BY$3=$DF54+'Model Setup'!$C$7,SUMIF($BH$3:$CE$3,"="&amp;$DF54+'Model Setup'!$C$7,$AD54:$BA54)+'Model Setup'!$C$8*(SUMIF($BH$3:$CE$3,"&lt;"&amp;$DF54,$AD54:$BA54)+SUMIF($BH$3:$CE$3,"&gt;"&amp;$CW$4,$AD54:$BA54)),
IF(BY$3=$DF54+'Model Setup'!$D$7,SUMIF($BH$3:$CE$3,"="&amp;$DF54+'Model Setup'!$D$7,$AD54:$BA54)+'Model Setup'!$D$8*(SUMIF($BH$3:$CE$3,"&lt;"&amp;$DF54,$AD54:$BA54)+SUMIF($BH$3:$CE$3,"&gt;"&amp;$CW$4,$AD54:$BA54)),
IF(BY$3=$DF54+'Model Setup'!$E$7,SUMIF($BH$3:$CE$3,"="&amp;$DF54+'Model Setup'!$E$7,$AD54:$BA54)+'Model Setup'!$E$8*(SUMIF($BH$3:$CE$3,"&lt;"&amp;$DF54,$AD54:$BA54)+SUMIF($BH$3:$CE$3,"&gt;"&amp;$CW$4,$AD54:$BA54)),
IF(BY$3=$DF54+'Model Setup'!$F$7,SUMIF($BH$3:$CE$3,"="&amp;$DF54+'Model Setup'!$F$7,$AD54:$BA54)+'Model Setup'!$F$8*(SUMIF($BH$3:$CE$3,"&lt;"&amp;$DF54,$AD54:$BA54)+SUMIF($BH$3:$CE$3,"&gt;"&amp;$CW$4,$AD54:$BA54)),
IF(BY$3=$DF54+'Model Setup'!$G$7,SUMIF($BH$3:$CE$3,"="&amp;$DF54+'Model Setup'!$G$7,$AD54:$BA54)+'Model Setup'!$G$8*(SUMIF($BH$3:$CE$3,"&lt;"&amp;$DF54,$AD54:$BA54)+SUMIF($BH$3:$CE$3,"&gt;"&amp;$CW$4,$AD54:$BA54)),
IF(BY$3=$DF54+'Model Setup'!$H$7,SUMIF($BH$3:$CE$3,"="&amp;$DF54+'Model Setup'!$H$7,$AD54:$BA54)+'Model Setup'!$H$8*(SUMIF($BH$3:$CE$3,"&lt;"&amp;$DF54,$AD54:$BA54)+SUMIF($BH$3:$CE$3,"&gt;"&amp;$CW$4,$AD54:$BA54)),
IF(BY$3=$DF54+'Model Setup'!$I$7,SUMIF($BH$3:$CE$3,"="&amp;$DF54+'Model Setup'!$I$7,$AD54:$BA54)+'Model Setup'!$I$8*(SUMIF($BH$3:$CE$3,"&lt;"&amp;$DF54,$AD54:$BA54)+SUMIF($BH$3:$CE$3,"&gt;"&amp;$CW$4,$AD54:$BA54)),
IF(BY$3=$DF54+'Model Setup'!$J$7,SUMIF($BH$3:$CE$3,"="&amp;$DF54+'Model Setup'!$J$7,$AD54:$BA54)+'Model Setup'!$J$8*(SUMIF($BH$3:$CE$3,"&lt;"&amp;$DF54,$AD54:$BA54)+SUMIF($BH$3:$CE$3,"&gt;"&amp;$CW$4,$AD54:$BA54)),
IF(BY$3=$DF54+'Model Setup'!$K$7,SUMIF($BH$3:$CE$3,"="&amp;$DF54+'Model Setup'!$K$7,$AD54:$BA54)+'Model Setup'!$K$8*(SUMIF($BH$3:$CE$3,"&lt;"&amp;$DF54,$AD54:$BA54)+SUMIF($BH$3:$CE$3,"&gt;"&amp;$CW$4,$AD54:$BA54)),
IF(BY$3=$DF54+'Model Setup'!$L$7,SUMIF($BH$3:$CE$3,"="&amp;$DF54+'Model Setup'!$L$7,$AD54:$BA54)+'Model Setup'!$L$8*(SUMIF($BH$3:$CE$3,"&lt;"&amp;$DF54,$AD54:$BA54)+SUMIF($BH$3:$CE$3,"&gt;"&amp;$CW$4,$AD54:$BA54)),
IF(BY$3=$DF54+'Model Setup'!$M$7,SUMIF($BH$3:$CE$3,"="&amp;$DF54+'Model Setup'!$M$7,$AD54:$BA54)+'Model Setup'!$M$8*(SUMIF($BH$3:$CE$3,"&lt;"&amp;$DF54,$AD54:$BA54)+SUMIF($BH$3:$CE$3,"&gt;"&amp;$CW$4,$AD54:$BA54)),
IF(BY$3=$DF54+'Model Setup'!$N$7,SUMIF($BH$3:$CE$3,"="&amp;$DF54+'Model Setup'!$N$7,$AD54:$BA54)+'Model Setup'!$N$8*(SUMIF($BH$3:$CE$3,"&lt;"&amp;$DF54,$AD54:$BA54)+SUMIF($BH$3:$CE$3,"&gt;"&amp;$CW$4,$AD54:$BA54)),
IF(BY$3&lt;$CW$4,S54,0))))))))))))))),0)</f>
        <v>21</v>
      </c>
      <c r="BZ54" s="47">
        <f>ROUND(IF(OR(BZ$3&lt;$DF54,BZ$3&gt;$CW$4),0,
IF(BZ$3=$DF54+'Model Setup'!$B$7,SUMIF($BH$3:$CE$3,"="&amp;$DF54+'Model Setup'!$B$7,$AD54:$BA54)+'Model Setup'!$B$8*(SUMIF($BH$3:$CE$3,"&lt;"&amp;$DF54,$AD54:$BA54)+SUMIF($BH$3:$CE$3,"&gt;"&amp;$CW$4,$AD54:$BA54)),
IF(BZ$3=$DF54+'Model Setup'!$C$7,SUMIF($BH$3:$CE$3,"="&amp;$DF54+'Model Setup'!$C$7,$AD54:$BA54)+'Model Setup'!$C$8*(SUMIF($BH$3:$CE$3,"&lt;"&amp;$DF54,$AD54:$BA54)+SUMIF($BH$3:$CE$3,"&gt;"&amp;$CW$4,$AD54:$BA54)),
IF(BZ$3=$DF54+'Model Setup'!$D$7,SUMIF($BH$3:$CE$3,"="&amp;$DF54+'Model Setup'!$D$7,$AD54:$BA54)+'Model Setup'!$D$8*(SUMIF($BH$3:$CE$3,"&lt;"&amp;$DF54,$AD54:$BA54)+SUMIF($BH$3:$CE$3,"&gt;"&amp;$CW$4,$AD54:$BA54)),
IF(BZ$3=$DF54+'Model Setup'!$E$7,SUMIF($BH$3:$CE$3,"="&amp;$DF54+'Model Setup'!$E$7,$AD54:$BA54)+'Model Setup'!$E$8*(SUMIF($BH$3:$CE$3,"&lt;"&amp;$DF54,$AD54:$BA54)+SUMIF($BH$3:$CE$3,"&gt;"&amp;$CW$4,$AD54:$BA54)),
IF(BZ$3=$DF54+'Model Setup'!$F$7,SUMIF($BH$3:$CE$3,"="&amp;$DF54+'Model Setup'!$F$7,$AD54:$BA54)+'Model Setup'!$F$8*(SUMIF($BH$3:$CE$3,"&lt;"&amp;$DF54,$AD54:$BA54)+SUMIF($BH$3:$CE$3,"&gt;"&amp;$CW$4,$AD54:$BA54)),
IF(BZ$3=$DF54+'Model Setup'!$G$7,SUMIF($BH$3:$CE$3,"="&amp;$DF54+'Model Setup'!$G$7,$AD54:$BA54)+'Model Setup'!$G$8*(SUMIF($BH$3:$CE$3,"&lt;"&amp;$DF54,$AD54:$BA54)+SUMIF($BH$3:$CE$3,"&gt;"&amp;$CW$4,$AD54:$BA54)),
IF(BZ$3=$DF54+'Model Setup'!$H$7,SUMIF($BH$3:$CE$3,"="&amp;$DF54+'Model Setup'!$H$7,$AD54:$BA54)+'Model Setup'!$H$8*(SUMIF($BH$3:$CE$3,"&lt;"&amp;$DF54,$AD54:$BA54)+SUMIF($BH$3:$CE$3,"&gt;"&amp;$CW$4,$AD54:$BA54)),
IF(BZ$3=$DF54+'Model Setup'!$I$7,SUMIF($BH$3:$CE$3,"="&amp;$DF54+'Model Setup'!$I$7,$AD54:$BA54)+'Model Setup'!$I$8*(SUMIF($BH$3:$CE$3,"&lt;"&amp;$DF54,$AD54:$BA54)+SUMIF($BH$3:$CE$3,"&gt;"&amp;$CW$4,$AD54:$BA54)),
IF(BZ$3=$DF54+'Model Setup'!$J$7,SUMIF($BH$3:$CE$3,"="&amp;$DF54+'Model Setup'!$J$7,$AD54:$BA54)+'Model Setup'!$J$8*(SUMIF($BH$3:$CE$3,"&lt;"&amp;$DF54,$AD54:$BA54)+SUMIF($BH$3:$CE$3,"&gt;"&amp;$CW$4,$AD54:$BA54)),
IF(BZ$3=$DF54+'Model Setup'!$K$7,SUMIF($BH$3:$CE$3,"="&amp;$DF54+'Model Setup'!$K$7,$AD54:$BA54)+'Model Setup'!$K$8*(SUMIF($BH$3:$CE$3,"&lt;"&amp;$DF54,$AD54:$BA54)+SUMIF($BH$3:$CE$3,"&gt;"&amp;$CW$4,$AD54:$BA54)),
IF(BZ$3=$DF54+'Model Setup'!$L$7,SUMIF($BH$3:$CE$3,"="&amp;$DF54+'Model Setup'!$L$7,$AD54:$BA54)+'Model Setup'!$L$8*(SUMIF($BH$3:$CE$3,"&lt;"&amp;$DF54,$AD54:$BA54)+SUMIF($BH$3:$CE$3,"&gt;"&amp;$CW$4,$AD54:$BA54)),
IF(BZ$3=$DF54+'Model Setup'!$M$7,SUMIF($BH$3:$CE$3,"="&amp;$DF54+'Model Setup'!$M$7,$AD54:$BA54)+'Model Setup'!$M$8*(SUMIF($BH$3:$CE$3,"&lt;"&amp;$DF54,$AD54:$BA54)+SUMIF($BH$3:$CE$3,"&gt;"&amp;$CW$4,$AD54:$BA54)),
IF(BZ$3=$DF54+'Model Setup'!$N$7,SUMIF($BH$3:$CE$3,"="&amp;$DF54+'Model Setup'!$N$7,$AD54:$BA54)+'Model Setup'!$N$8*(SUMIF($BH$3:$CE$3,"&lt;"&amp;$DF54,$AD54:$BA54)+SUMIF($BH$3:$CE$3,"&gt;"&amp;$CW$4,$AD54:$BA54)),
IF(BZ$3&lt;$CW$4,T54,0))))))))))))))),0)</f>
        <v>16</v>
      </c>
      <c r="CA54" s="47">
        <f>ROUND(IF(OR(CA$3&lt;$DF54,CA$3&gt;$CW$4),0,
IF(CA$3=$DF54+'Model Setup'!$B$7,SUMIF($BH$3:$CE$3,"="&amp;$DF54+'Model Setup'!$B$7,$AD54:$BA54)+'Model Setup'!$B$8*(SUMIF($BH$3:$CE$3,"&lt;"&amp;$DF54,$AD54:$BA54)+SUMIF($BH$3:$CE$3,"&gt;"&amp;$CW$4,$AD54:$BA54)),
IF(CA$3=$DF54+'Model Setup'!$C$7,SUMIF($BH$3:$CE$3,"="&amp;$DF54+'Model Setup'!$C$7,$AD54:$BA54)+'Model Setup'!$C$8*(SUMIF($BH$3:$CE$3,"&lt;"&amp;$DF54,$AD54:$BA54)+SUMIF($BH$3:$CE$3,"&gt;"&amp;$CW$4,$AD54:$BA54)),
IF(CA$3=$DF54+'Model Setup'!$D$7,SUMIF($BH$3:$CE$3,"="&amp;$DF54+'Model Setup'!$D$7,$AD54:$BA54)+'Model Setup'!$D$8*(SUMIF($BH$3:$CE$3,"&lt;"&amp;$DF54,$AD54:$BA54)+SUMIF($BH$3:$CE$3,"&gt;"&amp;$CW$4,$AD54:$BA54)),
IF(CA$3=$DF54+'Model Setup'!$E$7,SUMIF($BH$3:$CE$3,"="&amp;$DF54+'Model Setup'!$E$7,$AD54:$BA54)+'Model Setup'!$E$8*(SUMIF($BH$3:$CE$3,"&lt;"&amp;$DF54,$AD54:$BA54)+SUMIF($BH$3:$CE$3,"&gt;"&amp;$CW$4,$AD54:$BA54)),
IF(CA$3=$DF54+'Model Setup'!$F$7,SUMIF($BH$3:$CE$3,"="&amp;$DF54+'Model Setup'!$F$7,$AD54:$BA54)+'Model Setup'!$F$8*(SUMIF($BH$3:$CE$3,"&lt;"&amp;$DF54,$AD54:$BA54)+SUMIF($BH$3:$CE$3,"&gt;"&amp;$CW$4,$AD54:$BA54)),
IF(CA$3=$DF54+'Model Setup'!$G$7,SUMIF($BH$3:$CE$3,"="&amp;$DF54+'Model Setup'!$G$7,$AD54:$BA54)+'Model Setup'!$G$8*(SUMIF($BH$3:$CE$3,"&lt;"&amp;$DF54,$AD54:$BA54)+SUMIF($BH$3:$CE$3,"&gt;"&amp;$CW$4,$AD54:$BA54)),
IF(CA$3=$DF54+'Model Setup'!$H$7,SUMIF($BH$3:$CE$3,"="&amp;$DF54+'Model Setup'!$H$7,$AD54:$BA54)+'Model Setup'!$H$8*(SUMIF($BH$3:$CE$3,"&lt;"&amp;$DF54,$AD54:$BA54)+SUMIF($BH$3:$CE$3,"&gt;"&amp;$CW$4,$AD54:$BA54)),
IF(CA$3=$DF54+'Model Setup'!$I$7,SUMIF($BH$3:$CE$3,"="&amp;$DF54+'Model Setup'!$I$7,$AD54:$BA54)+'Model Setup'!$I$8*(SUMIF($BH$3:$CE$3,"&lt;"&amp;$DF54,$AD54:$BA54)+SUMIF($BH$3:$CE$3,"&gt;"&amp;$CW$4,$AD54:$BA54)),
IF(CA$3=$DF54+'Model Setup'!$J$7,SUMIF($BH$3:$CE$3,"="&amp;$DF54+'Model Setup'!$J$7,$AD54:$BA54)+'Model Setup'!$J$8*(SUMIF($BH$3:$CE$3,"&lt;"&amp;$DF54,$AD54:$BA54)+SUMIF($BH$3:$CE$3,"&gt;"&amp;$CW$4,$AD54:$BA54)),
IF(CA$3=$DF54+'Model Setup'!$K$7,SUMIF($BH$3:$CE$3,"="&amp;$DF54+'Model Setup'!$K$7,$AD54:$BA54)+'Model Setup'!$K$8*(SUMIF($BH$3:$CE$3,"&lt;"&amp;$DF54,$AD54:$BA54)+SUMIF($BH$3:$CE$3,"&gt;"&amp;$CW$4,$AD54:$BA54)),
IF(CA$3=$DF54+'Model Setup'!$L$7,SUMIF($BH$3:$CE$3,"="&amp;$DF54+'Model Setup'!$L$7,$AD54:$BA54)+'Model Setup'!$L$8*(SUMIF($BH$3:$CE$3,"&lt;"&amp;$DF54,$AD54:$BA54)+SUMIF($BH$3:$CE$3,"&gt;"&amp;$CW$4,$AD54:$BA54)),
IF(CA$3=$DF54+'Model Setup'!$M$7,SUMIF($BH$3:$CE$3,"="&amp;$DF54+'Model Setup'!$M$7,$AD54:$BA54)+'Model Setup'!$M$8*(SUMIF($BH$3:$CE$3,"&lt;"&amp;$DF54,$AD54:$BA54)+SUMIF($BH$3:$CE$3,"&gt;"&amp;$CW$4,$AD54:$BA54)),
IF(CA$3=$DF54+'Model Setup'!$N$7,SUMIF($BH$3:$CE$3,"="&amp;$DF54+'Model Setup'!$N$7,$AD54:$BA54)+'Model Setup'!$N$8*(SUMIF($BH$3:$CE$3,"&lt;"&amp;$DF54,$AD54:$BA54)+SUMIF($BH$3:$CE$3,"&gt;"&amp;$CW$4,$AD54:$BA54)),
IF(CA$3&lt;$CW$4,U54,0))))))))))))))),0)</f>
        <v>0</v>
      </c>
      <c r="CB54" s="47">
        <f>ROUND(IF(OR(CB$3&lt;$DF54,CB$3&gt;$CW$4),0,
IF(CB$3=$DF54+'Model Setup'!$B$7,SUMIF($BH$3:$CE$3,"="&amp;$DF54+'Model Setup'!$B$7,$AD54:$BA54)+'Model Setup'!$B$8*(SUMIF($BH$3:$CE$3,"&lt;"&amp;$DF54,$AD54:$BA54)+SUMIF($BH$3:$CE$3,"&gt;"&amp;$CW$4,$AD54:$BA54)),
IF(CB$3=$DF54+'Model Setup'!$C$7,SUMIF($BH$3:$CE$3,"="&amp;$DF54+'Model Setup'!$C$7,$AD54:$BA54)+'Model Setup'!$C$8*(SUMIF($BH$3:$CE$3,"&lt;"&amp;$DF54,$AD54:$BA54)+SUMIF($BH$3:$CE$3,"&gt;"&amp;$CW$4,$AD54:$BA54)),
IF(CB$3=$DF54+'Model Setup'!$D$7,SUMIF($BH$3:$CE$3,"="&amp;$DF54+'Model Setup'!$D$7,$AD54:$BA54)+'Model Setup'!$D$8*(SUMIF($BH$3:$CE$3,"&lt;"&amp;$DF54,$AD54:$BA54)+SUMIF($BH$3:$CE$3,"&gt;"&amp;$CW$4,$AD54:$BA54)),
IF(CB$3=$DF54+'Model Setup'!$E$7,SUMIF($BH$3:$CE$3,"="&amp;$DF54+'Model Setup'!$E$7,$AD54:$BA54)+'Model Setup'!$E$8*(SUMIF($BH$3:$CE$3,"&lt;"&amp;$DF54,$AD54:$BA54)+SUMIF($BH$3:$CE$3,"&gt;"&amp;$CW$4,$AD54:$BA54)),
IF(CB$3=$DF54+'Model Setup'!$F$7,SUMIF($BH$3:$CE$3,"="&amp;$DF54+'Model Setup'!$F$7,$AD54:$BA54)+'Model Setup'!$F$8*(SUMIF($BH$3:$CE$3,"&lt;"&amp;$DF54,$AD54:$BA54)+SUMIF($BH$3:$CE$3,"&gt;"&amp;$CW$4,$AD54:$BA54)),
IF(CB$3=$DF54+'Model Setup'!$G$7,SUMIF($BH$3:$CE$3,"="&amp;$DF54+'Model Setup'!$G$7,$AD54:$BA54)+'Model Setup'!$G$8*(SUMIF($BH$3:$CE$3,"&lt;"&amp;$DF54,$AD54:$BA54)+SUMIF($BH$3:$CE$3,"&gt;"&amp;$CW$4,$AD54:$BA54)),
IF(CB$3=$DF54+'Model Setup'!$H$7,SUMIF($BH$3:$CE$3,"="&amp;$DF54+'Model Setup'!$H$7,$AD54:$BA54)+'Model Setup'!$H$8*(SUMIF($BH$3:$CE$3,"&lt;"&amp;$DF54,$AD54:$BA54)+SUMIF($BH$3:$CE$3,"&gt;"&amp;$CW$4,$AD54:$BA54)),
IF(CB$3=$DF54+'Model Setup'!$I$7,SUMIF($BH$3:$CE$3,"="&amp;$DF54+'Model Setup'!$I$7,$AD54:$BA54)+'Model Setup'!$I$8*(SUMIF($BH$3:$CE$3,"&lt;"&amp;$DF54,$AD54:$BA54)+SUMIF($BH$3:$CE$3,"&gt;"&amp;$CW$4,$AD54:$BA54)),
IF(CB$3=$DF54+'Model Setup'!$J$7,SUMIF($BH$3:$CE$3,"="&amp;$DF54+'Model Setup'!$J$7,$AD54:$BA54)+'Model Setup'!$J$8*(SUMIF($BH$3:$CE$3,"&lt;"&amp;$DF54,$AD54:$BA54)+SUMIF($BH$3:$CE$3,"&gt;"&amp;$CW$4,$AD54:$BA54)),
IF(CB$3=$DF54+'Model Setup'!$K$7,SUMIF($BH$3:$CE$3,"="&amp;$DF54+'Model Setup'!$K$7,$AD54:$BA54)+'Model Setup'!$K$8*(SUMIF($BH$3:$CE$3,"&lt;"&amp;$DF54,$AD54:$BA54)+SUMIF($BH$3:$CE$3,"&gt;"&amp;$CW$4,$AD54:$BA54)),
IF(CB$3=$DF54+'Model Setup'!$L$7,SUMIF($BH$3:$CE$3,"="&amp;$DF54+'Model Setup'!$L$7,$AD54:$BA54)+'Model Setup'!$L$8*(SUMIF($BH$3:$CE$3,"&lt;"&amp;$DF54,$AD54:$BA54)+SUMIF($BH$3:$CE$3,"&gt;"&amp;$CW$4,$AD54:$BA54)),
IF(CB$3=$DF54+'Model Setup'!$M$7,SUMIF($BH$3:$CE$3,"="&amp;$DF54+'Model Setup'!$M$7,$AD54:$BA54)+'Model Setup'!$M$8*(SUMIF($BH$3:$CE$3,"&lt;"&amp;$DF54,$AD54:$BA54)+SUMIF($BH$3:$CE$3,"&gt;"&amp;$CW$4,$AD54:$BA54)),
IF(CB$3=$DF54+'Model Setup'!$N$7,SUMIF($BH$3:$CE$3,"="&amp;$DF54+'Model Setup'!$N$7,$AD54:$BA54)+'Model Setup'!$N$8*(SUMIF($BH$3:$CE$3,"&lt;"&amp;$DF54,$AD54:$BA54)+SUMIF($BH$3:$CE$3,"&gt;"&amp;$CW$4,$AD54:$BA54)),
IF(CB$3&lt;$CW$4,V54,0))))))))))))))),0)</f>
        <v>0</v>
      </c>
      <c r="CC54" s="47">
        <f>ROUND(IF(OR(CC$3&lt;$DF54,CC$3&gt;$CW$4),0,
IF(CC$3=$DF54+'Model Setup'!$B$7,SUMIF($BH$3:$CE$3,"="&amp;$DF54+'Model Setup'!$B$7,$AD54:$BA54)+'Model Setup'!$B$8*(SUMIF($BH$3:$CE$3,"&lt;"&amp;$DF54,$AD54:$BA54)+SUMIF($BH$3:$CE$3,"&gt;"&amp;$CW$4,$AD54:$BA54)),
IF(CC$3=$DF54+'Model Setup'!$C$7,SUMIF($BH$3:$CE$3,"="&amp;$DF54+'Model Setup'!$C$7,$AD54:$BA54)+'Model Setup'!$C$8*(SUMIF($BH$3:$CE$3,"&lt;"&amp;$DF54,$AD54:$BA54)+SUMIF($BH$3:$CE$3,"&gt;"&amp;$CW$4,$AD54:$BA54)),
IF(CC$3=$DF54+'Model Setup'!$D$7,SUMIF($BH$3:$CE$3,"="&amp;$DF54+'Model Setup'!$D$7,$AD54:$BA54)+'Model Setup'!$D$8*(SUMIF($BH$3:$CE$3,"&lt;"&amp;$DF54,$AD54:$BA54)+SUMIF($BH$3:$CE$3,"&gt;"&amp;$CW$4,$AD54:$BA54)),
IF(CC$3=$DF54+'Model Setup'!$E$7,SUMIF($BH$3:$CE$3,"="&amp;$DF54+'Model Setup'!$E$7,$AD54:$BA54)+'Model Setup'!$E$8*(SUMIF($BH$3:$CE$3,"&lt;"&amp;$DF54,$AD54:$BA54)+SUMIF($BH$3:$CE$3,"&gt;"&amp;$CW$4,$AD54:$BA54)),
IF(CC$3=$DF54+'Model Setup'!$F$7,SUMIF($BH$3:$CE$3,"="&amp;$DF54+'Model Setup'!$F$7,$AD54:$BA54)+'Model Setup'!$F$8*(SUMIF($BH$3:$CE$3,"&lt;"&amp;$DF54,$AD54:$BA54)+SUMIF($BH$3:$CE$3,"&gt;"&amp;$CW$4,$AD54:$BA54)),
IF(CC$3=$DF54+'Model Setup'!$G$7,SUMIF($BH$3:$CE$3,"="&amp;$DF54+'Model Setup'!$G$7,$AD54:$BA54)+'Model Setup'!$G$8*(SUMIF($BH$3:$CE$3,"&lt;"&amp;$DF54,$AD54:$BA54)+SUMIF($BH$3:$CE$3,"&gt;"&amp;$CW$4,$AD54:$BA54)),
IF(CC$3=$DF54+'Model Setup'!$H$7,SUMIF($BH$3:$CE$3,"="&amp;$DF54+'Model Setup'!$H$7,$AD54:$BA54)+'Model Setup'!$H$8*(SUMIF($BH$3:$CE$3,"&lt;"&amp;$DF54,$AD54:$BA54)+SUMIF($BH$3:$CE$3,"&gt;"&amp;$CW$4,$AD54:$BA54)),
IF(CC$3=$DF54+'Model Setup'!$I$7,SUMIF($BH$3:$CE$3,"="&amp;$DF54+'Model Setup'!$I$7,$AD54:$BA54)+'Model Setup'!$I$8*(SUMIF($BH$3:$CE$3,"&lt;"&amp;$DF54,$AD54:$BA54)+SUMIF($BH$3:$CE$3,"&gt;"&amp;$CW$4,$AD54:$BA54)),
IF(CC$3=$DF54+'Model Setup'!$J$7,SUMIF($BH$3:$CE$3,"="&amp;$DF54+'Model Setup'!$J$7,$AD54:$BA54)+'Model Setup'!$J$8*(SUMIF($BH$3:$CE$3,"&lt;"&amp;$DF54,$AD54:$BA54)+SUMIF($BH$3:$CE$3,"&gt;"&amp;$CW$4,$AD54:$BA54)),
IF(CC$3=$DF54+'Model Setup'!$K$7,SUMIF($BH$3:$CE$3,"="&amp;$DF54+'Model Setup'!$K$7,$AD54:$BA54)+'Model Setup'!$K$8*(SUMIF($BH$3:$CE$3,"&lt;"&amp;$DF54,$AD54:$BA54)+SUMIF($BH$3:$CE$3,"&gt;"&amp;$CW$4,$AD54:$BA54)),
IF(CC$3=$DF54+'Model Setup'!$L$7,SUMIF($BH$3:$CE$3,"="&amp;$DF54+'Model Setup'!$L$7,$AD54:$BA54)+'Model Setup'!$L$8*(SUMIF($BH$3:$CE$3,"&lt;"&amp;$DF54,$AD54:$BA54)+SUMIF($BH$3:$CE$3,"&gt;"&amp;$CW$4,$AD54:$BA54)),
IF(CC$3=$DF54+'Model Setup'!$M$7,SUMIF($BH$3:$CE$3,"="&amp;$DF54+'Model Setup'!$M$7,$AD54:$BA54)+'Model Setup'!$M$8*(SUMIF($BH$3:$CE$3,"&lt;"&amp;$DF54,$AD54:$BA54)+SUMIF($BH$3:$CE$3,"&gt;"&amp;$CW$4,$AD54:$BA54)),
IF(CC$3=$DF54+'Model Setup'!$N$7,SUMIF($BH$3:$CE$3,"="&amp;$DF54+'Model Setup'!$N$7,$AD54:$BA54)+'Model Setup'!$N$8*(SUMIF($BH$3:$CE$3,"&lt;"&amp;$DF54,$AD54:$BA54)+SUMIF($BH$3:$CE$3,"&gt;"&amp;$CW$4,$AD54:$BA54)),
IF(CC$3&lt;$CW$4,W54,0))))))))))))))),0)</f>
        <v>0</v>
      </c>
      <c r="CD54" s="47">
        <f>ROUND(IF(OR(CD$3&lt;$DF54,CD$3&gt;$CW$4),0,
IF(CD$3=$DF54+'Model Setup'!$B$7,SUMIF($BH$3:$CE$3,"="&amp;$DF54+'Model Setup'!$B$7,$AD54:$BA54)+'Model Setup'!$B$8*(SUMIF($BH$3:$CE$3,"&lt;"&amp;$DF54,$AD54:$BA54)+SUMIF($BH$3:$CE$3,"&gt;"&amp;$CW$4,$AD54:$BA54)),
IF(CD$3=$DF54+'Model Setup'!$C$7,SUMIF($BH$3:$CE$3,"="&amp;$DF54+'Model Setup'!$C$7,$AD54:$BA54)+'Model Setup'!$C$8*(SUMIF($BH$3:$CE$3,"&lt;"&amp;$DF54,$AD54:$BA54)+SUMIF($BH$3:$CE$3,"&gt;"&amp;$CW$4,$AD54:$BA54)),
IF(CD$3=$DF54+'Model Setup'!$D$7,SUMIF($BH$3:$CE$3,"="&amp;$DF54+'Model Setup'!$D$7,$AD54:$BA54)+'Model Setup'!$D$8*(SUMIF($BH$3:$CE$3,"&lt;"&amp;$DF54,$AD54:$BA54)+SUMIF($BH$3:$CE$3,"&gt;"&amp;$CW$4,$AD54:$BA54)),
IF(CD$3=$DF54+'Model Setup'!$E$7,SUMIF($BH$3:$CE$3,"="&amp;$DF54+'Model Setup'!$E$7,$AD54:$BA54)+'Model Setup'!$E$8*(SUMIF($BH$3:$CE$3,"&lt;"&amp;$DF54,$AD54:$BA54)+SUMIF($BH$3:$CE$3,"&gt;"&amp;$CW$4,$AD54:$BA54)),
IF(CD$3=$DF54+'Model Setup'!$F$7,SUMIF($BH$3:$CE$3,"="&amp;$DF54+'Model Setup'!$F$7,$AD54:$BA54)+'Model Setup'!$F$8*(SUMIF($BH$3:$CE$3,"&lt;"&amp;$DF54,$AD54:$BA54)+SUMIF($BH$3:$CE$3,"&gt;"&amp;$CW$4,$AD54:$BA54)),
IF(CD$3=$DF54+'Model Setup'!$G$7,SUMIF($BH$3:$CE$3,"="&amp;$DF54+'Model Setup'!$G$7,$AD54:$BA54)+'Model Setup'!$G$8*(SUMIF($BH$3:$CE$3,"&lt;"&amp;$DF54,$AD54:$BA54)+SUMIF($BH$3:$CE$3,"&gt;"&amp;$CW$4,$AD54:$BA54)),
IF(CD$3=$DF54+'Model Setup'!$H$7,SUMIF($BH$3:$CE$3,"="&amp;$DF54+'Model Setup'!$H$7,$AD54:$BA54)+'Model Setup'!$H$8*(SUMIF($BH$3:$CE$3,"&lt;"&amp;$DF54,$AD54:$BA54)+SUMIF($BH$3:$CE$3,"&gt;"&amp;$CW$4,$AD54:$BA54)),
IF(CD$3=$DF54+'Model Setup'!$I$7,SUMIF($BH$3:$CE$3,"="&amp;$DF54+'Model Setup'!$I$7,$AD54:$BA54)+'Model Setup'!$I$8*(SUMIF($BH$3:$CE$3,"&lt;"&amp;$DF54,$AD54:$BA54)+SUMIF($BH$3:$CE$3,"&gt;"&amp;$CW$4,$AD54:$BA54)),
IF(CD$3=$DF54+'Model Setup'!$J$7,SUMIF($BH$3:$CE$3,"="&amp;$DF54+'Model Setup'!$J$7,$AD54:$BA54)+'Model Setup'!$J$8*(SUMIF($BH$3:$CE$3,"&lt;"&amp;$DF54,$AD54:$BA54)+SUMIF($BH$3:$CE$3,"&gt;"&amp;$CW$4,$AD54:$BA54)),
IF(CD$3=$DF54+'Model Setup'!$K$7,SUMIF($BH$3:$CE$3,"="&amp;$DF54+'Model Setup'!$K$7,$AD54:$BA54)+'Model Setup'!$K$8*(SUMIF($BH$3:$CE$3,"&lt;"&amp;$DF54,$AD54:$BA54)+SUMIF($BH$3:$CE$3,"&gt;"&amp;$CW$4,$AD54:$BA54)),
IF(CD$3=$DF54+'Model Setup'!$L$7,SUMIF($BH$3:$CE$3,"="&amp;$DF54+'Model Setup'!$L$7,$AD54:$BA54)+'Model Setup'!$L$8*(SUMIF($BH$3:$CE$3,"&lt;"&amp;$DF54,$AD54:$BA54)+SUMIF($BH$3:$CE$3,"&gt;"&amp;$CW$4,$AD54:$BA54)),
IF(CD$3=$DF54+'Model Setup'!$M$7,SUMIF($BH$3:$CE$3,"="&amp;$DF54+'Model Setup'!$M$7,$AD54:$BA54)+'Model Setup'!$M$8*(SUMIF($BH$3:$CE$3,"&lt;"&amp;$DF54,$AD54:$BA54)+SUMIF($BH$3:$CE$3,"&gt;"&amp;$CW$4,$AD54:$BA54)),
IF(CD$3=$DF54+'Model Setup'!$N$7,SUMIF($BH$3:$CE$3,"="&amp;$DF54+'Model Setup'!$N$7,$AD54:$BA54)+'Model Setup'!$N$8*(SUMIF($BH$3:$CE$3,"&lt;"&amp;$DF54,$AD54:$BA54)+SUMIF($BH$3:$CE$3,"&gt;"&amp;$CW$4,$AD54:$BA54)),
IF(CD$3&lt;$CW$4,X54,0))))))))))))))),0)</f>
        <v>0</v>
      </c>
      <c r="CE54" s="47">
        <f>ROUND(IF(OR(CE$3&lt;$DF54,CE$3&gt;$CW$4),0,
IF(CE$3=$DF54+'Model Setup'!$B$7,SUMIF($BH$3:$CE$3,"="&amp;$DF54+'Model Setup'!$B$7,$AD54:$BA54)+'Model Setup'!$B$8*(SUMIF($BH$3:$CE$3,"&lt;"&amp;$DF54,$AD54:$BA54)+SUMIF($BH$3:$CE$3,"&gt;"&amp;$CW$4,$AD54:$BA54)),
IF(CE$3=$DF54+'Model Setup'!$C$7,SUMIF($BH$3:$CE$3,"="&amp;$DF54+'Model Setup'!$C$7,$AD54:$BA54)+'Model Setup'!$C$8*(SUMIF($BH$3:$CE$3,"&lt;"&amp;$DF54,$AD54:$BA54)+SUMIF($BH$3:$CE$3,"&gt;"&amp;$CW$4,$AD54:$BA54)),
IF(CE$3=$DF54+'Model Setup'!$D$7,SUMIF($BH$3:$CE$3,"="&amp;$DF54+'Model Setup'!$D$7,$AD54:$BA54)+'Model Setup'!$D$8*(SUMIF($BH$3:$CE$3,"&lt;"&amp;$DF54,$AD54:$BA54)+SUMIF($BH$3:$CE$3,"&gt;"&amp;$CW$4,$AD54:$BA54)),
IF(CE$3=$DF54+'Model Setup'!$E$7,SUMIF($BH$3:$CE$3,"="&amp;$DF54+'Model Setup'!$E$7,$AD54:$BA54)+'Model Setup'!$E$8*(SUMIF($BH$3:$CE$3,"&lt;"&amp;$DF54,$AD54:$BA54)+SUMIF($BH$3:$CE$3,"&gt;"&amp;$CW$4,$AD54:$BA54)),
IF(CE$3=$DF54+'Model Setup'!$F$7,SUMIF($BH$3:$CE$3,"="&amp;$DF54+'Model Setup'!$F$7,$AD54:$BA54)+'Model Setup'!$F$8*(SUMIF($BH$3:$CE$3,"&lt;"&amp;$DF54,$AD54:$BA54)+SUMIF($BH$3:$CE$3,"&gt;"&amp;$CW$4,$AD54:$BA54)),
IF(CE$3=$DF54+'Model Setup'!$G$7,SUMIF($BH$3:$CE$3,"="&amp;$DF54+'Model Setup'!$G$7,$AD54:$BA54)+'Model Setup'!$G$8*(SUMIF($BH$3:$CE$3,"&lt;"&amp;$DF54,$AD54:$BA54)+SUMIF($BH$3:$CE$3,"&gt;"&amp;$CW$4,$AD54:$BA54)),
IF(CE$3=$DF54+'Model Setup'!$H$7,SUMIF($BH$3:$CE$3,"="&amp;$DF54+'Model Setup'!$H$7,$AD54:$BA54)+'Model Setup'!$H$8*(SUMIF($BH$3:$CE$3,"&lt;"&amp;$DF54,$AD54:$BA54)+SUMIF($BH$3:$CE$3,"&gt;"&amp;$CW$4,$AD54:$BA54)),
IF(CE$3=$DF54+'Model Setup'!$I$7,SUMIF($BH$3:$CE$3,"="&amp;$DF54+'Model Setup'!$I$7,$AD54:$BA54)+'Model Setup'!$I$8*(SUMIF($BH$3:$CE$3,"&lt;"&amp;$DF54,$AD54:$BA54)+SUMIF($BH$3:$CE$3,"&gt;"&amp;$CW$4,$AD54:$BA54)),
IF(CE$3=$DF54+'Model Setup'!$J$7,SUMIF($BH$3:$CE$3,"="&amp;$DF54+'Model Setup'!$J$7,$AD54:$BA54)+'Model Setup'!$J$8*(SUMIF($BH$3:$CE$3,"&lt;"&amp;$DF54,$AD54:$BA54)+SUMIF($BH$3:$CE$3,"&gt;"&amp;$CW$4,$AD54:$BA54)),
IF(CE$3=$DF54+'Model Setup'!$K$7,SUMIF($BH$3:$CE$3,"="&amp;$DF54+'Model Setup'!$K$7,$AD54:$BA54)+'Model Setup'!$K$8*(SUMIF($BH$3:$CE$3,"&lt;"&amp;$DF54,$AD54:$BA54)+SUMIF($BH$3:$CE$3,"&gt;"&amp;$CW$4,$AD54:$BA54)),
IF(CE$3=$DF54+'Model Setup'!$L$7,SUMIF($BH$3:$CE$3,"="&amp;$DF54+'Model Setup'!$L$7,$AD54:$BA54)+'Model Setup'!$L$8*(SUMIF($BH$3:$CE$3,"&lt;"&amp;$DF54,$AD54:$BA54)+SUMIF($BH$3:$CE$3,"&gt;"&amp;$CW$4,$AD54:$BA54)),
IF(CE$3=$DF54+'Model Setup'!$M$7,SUMIF($BH$3:$CE$3,"="&amp;$DF54+'Model Setup'!$M$7,$AD54:$BA54)+'Model Setup'!$M$8*(SUMIF($BH$3:$CE$3,"&lt;"&amp;$DF54,$AD54:$BA54)+SUMIF($BH$3:$CE$3,"&gt;"&amp;$CW$4,$AD54:$BA54)),
IF(CE$3=$DF54+'Model Setup'!$N$7,SUMIF($BH$3:$CE$3,"="&amp;$DF54+'Model Setup'!$N$7,$AD54:$BA54)+'Model Setup'!$N$8*(SUMIF($BH$3:$CE$3,"&lt;"&amp;$DF54,$AD54:$BA54)+SUMIF($BH$3:$CE$3,"&gt;"&amp;$CW$4,$AD54:$BA54)),
IF(CE$3&lt;$CW$4,Y54,0))))))))))))))),0)</f>
        <v>0</v>
      </c>
      <c r="CF54" s="47">
        <f t="shared" si="3"/>
        <v>516</v>
      </c>
      <c r="CG54" s="47">
        <f t="shared" si="4"/>
        <v>0</v>
      </c>
      <c r="CI54" s="10" t="s">
        <v>69</v>
      </c>
      <c r="CJ54" s="126">
        <f t="shared" si="9"/>
        <v>0</v>
      </c>
      <c r="CK54" s="126">
        <f t="shared" si="10"/>
        <v>60</v>
      </c>
      <c r="CL54" s="126">
        <f t="shared" si="11"/>
        <v>53</v>
      </c>
      <c r="CM54" s="126">
        <f t="shared" si="12"/>
        <v>71</v>
      </c>
      <c r="CN54" s="126">
        <f t="shared" si="13"/>
        <v>67</v>
      </c>
      <c r="CO54" s="126">
        <f t="shared" si="14"/>
        <v>64</v>
      </c>
      <c r="CP54" s="126">
        <f t="shared" si="15"/>
        <v>43</v>
      </c>
      <c r="CQ54" s="126">
        <f t="shared" si="16"/>
        <v>26</v>
      </c>
      <c r="CR54" s="126">
        <f t="shared" si="17"/>
        <v>27</v>
      </c>
      <c r="CS54" s="126">
        <f t="shared" si="18"/>
        <v>22</v>
      </c>
      <c r="CT54" s="126">
        <f t="shared" si="19"/>
        <v>24</v>
      </c>
      <c r="CU54" s="126">
        <f t="shared" si="20"/>
        <v>22</v>
      </c>
      <c r="CV54" s="126">
        <f t="shared" si="21"/>
        <v>21</v>
      </c>
      <c r="CW54" s="126">
        <f t="shared" si="22"/>
        <v>16</v>
      </c>
      <c r="CX54" s="126">
        <f t="shared" si="23"/>
        <v>0</v>
      </c>
      <c r="CY54" s="126">
        <f t="shared" si="24"/>
        <v>0</v>
      </c>
      <c r="CZ54" s="47">
        <f t="shared" si="7"/>
        <v>516</v>
      </c>
      <c r="DC54" s="93" t="s">
        <v>69</v>
      </c>
      <c r="DD54" s="89">
        <f>FTC!E52</f>
        <v>0.25</v>
      </c>
      <c r="DE54" s="89">
        <f>FTC!F52</f>
        <v>0.79166666666666663</v>
      </c>
      <c r="DF54" s="90">
        <f t="shared" si="25"/>
        <v>6</v>
      </c>
      <c r="DG54" s="91">
        <f t="shared" si="26"/>
        <v>19</v>
      </c>
      <c r="DH54" s="91">
        <f t="shared" si="27"/>
        <v>13</v>
      </c>
    </row>
    <row r="55" spans="1:112" x14ac:dyDescent="0.35">
      <c r="A55" s="43" t="s">
        <v>70</v>
      </c>
      <c r="B55" s="47">
        <v>2</v>
      </c>
      <c r="C55" s="6"/>
      <c r="D55" s="47">
        <v>1</v>
      </c>
      <c r="E55" s="6"/>
      <c r="F55" s="47">
        <v>3</v>
      </c>
      <c r="G55" s="47">
        <v>6</v>
      </c>
      <c r="H55" s="47">
        <v>34</v>
      </c>
      <c r="I55" s="47">
        <v>33</v>
      </c>
      <c r="J55" s="47">
        <v>29</v>
      </c>
      <c r="K55" s="47">
        <v>17</v>
      </c>
      <c r="L55" s="47">
        <v>21</v>
      </c>
      <c r="M55" s="47">
        <v>22</v>
      </c>
      <c r="N55" s="47">
        <v>15</v>
      </c>
      <c r="O55" s="47">
        <v>6</v>
      </c>
      <c r="P55" s="47">
        <v>5</v>
      </c>
      <c r="Q55" s="47">
        <v>9</v>
      </c>
      <c r="R55" s="47">
        <v>4</v>
      </c>
      <c r="S55" s="47">
        <v>3</v>
      </c>
      <c r="T55" s="47">
        <v>2</v>
      </c>
      <c r="U55" s="47">
        <v>2</v>
      </c>
      <c r="V55" s="47">
        <v>1</v>
      </c>
      <c r="W55" s="47">
        <v>3</v>
      </c>
      <c r="X55" s="47">
        <v>2</v>
      </c>
      <c r="Y55" s="47">
        <v>1</v>
      </c>
      <c r="Z55" s="47">
        <f t="shared" si="0"/>
        <v>221</v>
      </c>
      <c r="AC55" s="43" t="s">
        <v>70</v>
      </c>
      <c r="AD55" s="47">
        <f>ROUND(IF(AD$3&lt;$DF55,0,
IF(AD$3=$DF55+'Model Setup'!$B$7,SUMIF($AD$3:$BA$3,"="&amp;$DF55+'Model Setup'!$B$7,$B55:$Y55)+'Model Setup'!$B$8*(SUMIF($AD$3:$BA$3,"&lt;"&amp;$DF55,$B55:$Y55)+SUMIF($AD$3:$BA$3,"&gt;="&amp;$DG55,$B55:$Y55)),
IF(AD$3=$DF55+'Model Setup'!$C$7,SUMIF($AD$3:$BA$3,"="&amp;$DF55+'Model Setup'!$C$7,$B55:$Y55)+'Model Setup'!$C$8*(SUMIF($AD$3:$BA$3,"&lt;"&amp;$DF55,$B55:$Y55)+SUMIF($AD$3:$BA$3,"&gt;="&amp;$DG55,$B55:$Y55)),
IF(AD$3=$DF55+'Model Setup'!$D$7,SUMIF($AD$3:$BA$3,"="&amp;$DF55+'Model Setup'!$D$7,$B55:$Y55)+'Model Setup'!$D$8*(SUMIF($AD$3:$BA$3,"&lt;"&amp;$DF55,$B55:$Y55)+SUMIF($AD$3:$BA$3,"&gt;="&amp;$DG55,$B55:$Y55)),
IF(AD$3=$DF55+'Model Setup'!$E$7,SUMIF($AD$3:$BA$3,"="&amp;$DF55+'Model Setup'!$E$7,$B55:$Y55)+'Model Setup'!$E$8*(SUMIF($AD$3:$BA$3,"&lt;"&amp;$DF55,$B55:$Y55)+SUMIF($AD$3:$BA$3,"&gt;="&amp;$DG55,$B55:$Y55)),
IF(AD$3=$DF55+'Model Setup'!$F$7,SUMIF($AD$3:$BA$3,"="&amp;$DF55+'Model Setup'!$F$7,$B55:$Y55)+'Model Setup'!$F$8*(SUMIF($AD$3:$BA$3,"&lt;"&amp;$DF55,$B55:$Y55)+SUMIF($AD$3:$BA$3,"&gt;="&amp;$DG55,$B55:$Y55)),
IF(AD$3=$DF55+'Model Setup'!$G$7,SUMIF($AD$3:$BA$3,"="&amp;$DF55+'Model Setup'!$G$7,$B55:$Y55)+'Model Setup'!$G$8*(SUMIF($AD$3:$BA$3,"&lt;"&amp;$DF55,$B55:$Y55)+SUMIF($AD$3:$BA$3,"&gt;="&amp;$DG55,$B55:$Y55)),
IF(AD$3=$DF55+'Model Setup'!$H$7,SUMIF($AD$3:$BA$3,"="&amp;$DF55+'Model Setup'!$H$7,$B55:$Y55)+'Model Setup'!$H$8*(SUMIF($AD$3:$BA$3,"&lt;"&amp;$DF55,$B55:$Y55)+SUMIF($AD$3:$BA$3,"&gt;="&amp;$DG55,$B55:$Y55)),
IF(AD$3=$DF55+'Model Setup'!$I$7,SUMIF($AD$3:$BA$3,"="&amp;$DF55+'Model Setup'!$I$7,$B55:$Y55)+'Model Setup'!$I$8*(SUMIF($AD$3:$BA$3,"&lt;"&amp;$DF55,$B55:$Y55)+SUMIF($AD$3:$BA$3,"&gt;="&amp;$DG55,$B55:$Y55)),
IF(AD$3=$DF55+'Model Setup'!$J$7,SUMIF($AD$3:$BA$3,"="&amp;$DF55+'Model Setup'!$J$7,$B55:$Y55)+'Model Setup'!$J$8*(SUMIF($AD$3:$BA$3,"&lt;"&amp;$DF55,$B55:$Y55)+SUMIF($AD$3:$BA$3,"&gt;="&amp;$DG55,$B55:$Y55)),
IF(AD$3=$DF55+'Model Setup'!$K$7,SUMIF($AD$3:$BA$3,"="&amp;$DF55+'Model Setup'!$K$7,$B55:$Y55)+'Model Setup'!$K$8*(SUMIF($AD$3:$BA$3,"&lt;"&amp;$DF55,$B55:$Y55)+SUMIF($AD$3:$BA$3,"&gt;="&amp;$DG55,$B55:$Y55)),
IF(AD$3=$DF55+'Model Setup'!$L$7,SUMIF($AD$3:$BA$3,"="&amp;$DF55+'Model Setup'!$L$7,$B55:$Y55)+'Model Setup'!$L$8*(SUMIF($AD$3:$BA$3,"&lt;"&amp;$DF55,$B55:$Y55)+SUMIF($AD$3:$BA$3,"&gt;="&amp;$DG55,$B55:$Y55)),
IF(AD$3=$DF55+'Model Setup'!$M$7,SUMIF($AD$3:$BA$3,"="&amp;$DF55+'Model Setup'!$M$7,$B55:$Y55)+'Model Setup'!$M$8*(SUMIF($AD$3:$BA$3,"&lt;"&amp;$DF55,$B55:$Y55)+SUMIF($AD$3:$BA$3,"&gt;="&amp;$DG55,$B55:$Y55)),
IF(AD$3=$DF55+'Model Setup'!$N$7,SUMIF($AD$3:$BA$3,"="&amp;$DF55+'Model Setup'!$N$7,$B55:$Y55)+'Model Setup'!$N$8*(SUMIF($AD$3:$BA$3,"&lt;"&amp;$DF55,$B55:$Y55)+SUMIF($AD$3:$BA$3,"&gt;="&amp;$DG55,$B55:$Y55)),
IF(AD$3&lt;$DG55,B55,0))))))))))))))),0)</f>
        <v>0</v>
      </c>
      <c r="AE55" s="47">
        <f>ROUND(IF(AE$3&lt;$DF55,0,
IF(AE$3=$DF55+'Model Setup'!$B$7,SUMIF($AD$3:$BA$3,"="&amp;$DF55+'Model Setup'!$B$7,$B55:$Y55)+'Model Setup'!$B$8*(SUMIF($AD$3:$BA$3,"&lt;"&amp;$DF55,$B55:$Y55)+SUMIF($AD$3:$BA$3,"&gt;="&amp;$DG55,$B55:$Y55)),
IF(AE$3=$DF55+'Model Setup'!$C$7,SUMIF($AD$3:$BA$3,"="&amp;$DF55+'Model Setup'!$C$7,$B55:$Y55)+'Model Setup'!$C$8*(SUMIF($AD$3:$BA$3,"&lt;"&amp;$DF55,$B55:$Y55)+SUMIF($AD$3:$BA$3,"&gt;="&amp;$DG55,$B55:$Y55)),
IF(AE$3=$DF55+'Model Setup'!$D$7,SUMIF($AD$3:$BA$3,"="&amp;$DF55+'Model Setup'!$D$7,$B55:$Y55)+'Model Setup'!$D$8*(SUMIF($AD$3:$BA$3,"&lt;"&amp;$DF55,$B55:$Y55)+SUMIF($AD$3:$BA$3,"&gt;="&amp;$DG55,$B55:$Y55)),
IF(AE$3=$DF55+'Model Setup'!$E$7,SUMIF($AD$3:$BA$3,"="&amp;$DF55+'Model Setup'!$E$7,$B55:$Y55)+'Model Setup'!$E$8*(SUMIF($AD$3:$BA$3,"&lt;"&amp;$DF55,$B55:$Y55)+SUMIF($AD$3:$BA$3,"&gt;="&amp;$DG55,$B55:$Y55)),
IF(AE$3=$DF55+'Model Setup'!$F$7,SUMIF($AD$3:$BA$3,"="&amp;$DF55+'Model Setup'!$F$7,$B55:$Y55)+'Model Setup'!$F$8*(SUMIF($AD$3:$BA$3,"&lt;"&amp;$DF55,$B55:$Y55)+SUMIF($AD$3:$BA$3,"&gt;="&amp;$DG55,$B55:$Y55)),
IF(AE$3=$DF55+'Model Setup'!$G$7,SUMIF($AD$3:$BA$3,"="&amp;$DF55+'Model Setup'!$G$7,$B55:$Y55)+'Model Setup'!$G$8*(SUMIF($AD$3:$BA$3,"&lt;"&amp;$DF55,$B55:$Y55)+SUMIF($AD$3:$BA$3,"&gt;="&amp;$DG55,$B55:$Y55)),
IF(AE$3=$DF55+'Model Setup'!$H$7,SUMIF($AD$3:$BA$3,"="&amp;$DF55+'Model Setup'!$H$7,$B55:$Y55)+'Model Setup'!$H$8*(SUMIF($AD$3:$BA$3,"&lt;"&amp;$DF55,$B55:$Y55)+SUMIF($AD$3:$BA$3,"&gt;="&amp;$DG55,$B55:$Y55)),
IF(AE$3=$DF55+'Model Setup'!$I$7,SUMIF($AD$3:$BA$3,"="&amp;$DF55+'Model Setup'!$I$7,$B55:$Y55)+'Model Setup'!$I$8*(SUMIF($AD$3:$BA$3,"&lt;"&amp;$DF55,$B55:$Y55)+SUMIF($AD$3:$BA$3,"&gt;="&amp;$DG55,$B55:$Y55)),
IF(AE$3=$DF55+'Model Setup'!$J$7,SUMIF($AD$3:$BA$3,"="&amp;$DF55+'Model Setup'!$J$7,$B55:$Y55)+'Model Setup'!$J$8*(SUMIF($AD$3:$BA$3,"&lt;"&amp;$DF55,$B55:$Y55)+SUMIF($AD$3:$BA$3,"&gt;="&amp;$DG55,$B55:$Y55)),
IF(AE$3=$DF55+'Model Setup'!$K$7,SUMIF($AD$3:$BA$3,"="&amp;$DF55+'Model Setup'!$K$7,$B55:$Y55)+'Model Setup'!$K$8*(SUMIF($AD$3:$BA$3,"&lt;"&amp;$DF55,$B55:$Y55)+SUMIF($AD$3:$BA$3,"&gt;="&amp;$DG55,$B55:$Y55)),
IF(AE$3=$DF55+'Model Setup'!$L$7,SUMIF($AD$3:$BA$3,"="&amp;$DF55+'Model Setup'!$L$7,$B55:$Y55)+'Model Setup'!$L$8*(SUMIF($AD$3:$BA$3,"&lt;"&amp;$DF55,$B55:$Y55)+SUMIF($AD$3:$BA$3,"&gt;="&amp;$DG55,$B55:$Y55)),
IF(AE$3=$DF55+'Model Setup'!$M$7,SUMIF($AD$3:$BA$3,"="&amp;$DF55+'Model Setup'!$M$7,$B55:$Y55)+'Model Setup'!$M$8*(SUMIF($AD$3:$BA$3,"&lt;"&amp;$DF55,$B55:$Y55)+SUMIF($AD$3:$BA$3,"&gt;="&amp;$DG55,$B55:$Y55)),
IF(AE$3=$DF55+'Model Setup'!$N$7,SUMIF($AD$3:$BA$3,"="&amp;$DF55+'Model Setup'!$N$7,$B55:$Y55)+'Model Setup'!$N$8*(SUMIF($AD$3:$BA$3,"&lt;"&amp;$DF55,$B55:$Y55)+SUMIF($AD$3:$BA$3,"&gt;="&amp;$DG55,$B55:$Y55)),
IF(AE$3&lt;$DG55,C55,0))))))))))))))),0)</f>
        <v>0</v>
      </c>
      <c r="AF55" s="47">
        <f>ROUND(IF(AF$3&lt;$DF55,0,
IF(AF$3=$DF55+'Model Setup'!$B$7,SUMIF($AD$3:$BA$3,"="&amp;$DF55+'Model Setup'!$B$7,$B55:$Y55)+'Model Setup'!$B$8*(SUMIF($AD$3:$BA$3,"&lt;"&amp;$DF55,$B55:$Y55)+SUMIF($AD$3:$BA$3,"&gt;="&amp;$DG55,$B55:$Y55)),
IF(AF$3=$DF55+'Model Setup'!$C$7,SUMIF($AD$3:$BA$3,"="&amp;$DF55+'Model Setup'!$C$7,$B55:$Y55)+'Model Setup'!$C$8*(SUMIF($AD$3:$BA$3,"&lt;"&amp;$DF55,$B55:$Y55)+SUMIF($AD$3:$BA$3,"&gt;="&amp;$DG55,$B55:$Y55)),
IF(AF$3=$DF55+'Model Setup'!$D$7,SUMIF($AD$3:$BA$3,"="&amp;$DF55+'Model Setup'!$D$7,$B55:$Y55)+'Model Setup'!$D$8*(SUMIF($AD$3:$BA$3,"&lt;"&amp;$DF55,$B55:$Y55)+SUMIF($AD$3:$BA$3,"&gt;="&amp;$DG55,$B55:$Y55)),
IF(AF$3=$DF55+'Model Setup'!$E$7,SUMIF($AD$3:$BA$3,"="&amp;$DF55+'Model Setup'!$E$7,$B55:$Y55)+'Model Setup'!$E$8*(SUMIF($AD$3:$BA$3,"&lt;"&amp;$DF55,$B55:$Y55)+SUMIF($AD$3:$BA$3,"&gt;="&amp;$DG55,$B55:$Y55)),
IF(AF$3=$DF55+'Model Setup'!$F$7,SUMIF($AD$3:$BA$3,"="&amp;$DF55+'Model Setup'!$F$7,$B55:$Y55)+'Model Setup'!$F$8*(SUMIF($AD$3:$BA$3,"&lt;"&amp;$DF55,$B55:$Y55)+SUMIF($AD$3:$BA$3,"&gt;="&amp;$DG55,$B55:$Y55)),
IF(AF$3=$DF55+'Model Setup'!$G$7,SUMIF($AD$3:$BA$3,"="&amp;$DF55+'Model Setup'!$G$7,$B55:$Y55)+'Model Setup'!$G$8*(SUMIF($AD$3:$BA$3,"&lt;"&amp;$DF55,$B55:$Y55)+SUMIF($AD$3:$BA$3,"&gt;="&amp;$DG55,$B55:$Y55)),
IF(AF$3=$DF55+'Model Setup'!$H$7,SUMIF($AD$3:$BA$3,"="&amp;$DF55+'Model Setup'!$H$7,$B55:$Y55)+'Model Setup'!$H$8*(SUMIF($AD$3:$BA$3,"&lt;"&amp;$DF55,$B55:$Y55)+SUMIF($AD$3:$BA$3,"&gt;="&amp;$DG55,$B55:$Y55)),
IF(AF$3=$DF55+'Model Setup'!$I$7,SUMIF($AD$3:$BA$3,"="&amp;$DF55+'Model Setup'!$I$7,$B55:$Y55)+'Model Setup'!$I$8*(SUMIF($AD$3:$BA$3,"&lt;"&amp;$DF55,$B55:$Y55)+SUMIF($AD$3:$BA$3,"&gt;="&amp;$DG55,$B55:$Y55)),
IF(AF$3=$DF55+'Model Setup'!$J$7,SUMIF($AD$3:$BA$3,"="&amp;$DF55+'Model Setup'!$J$7,$B55:$Y55)+'Model Setup'!$J$8*(SUMIF($AD$3:$BA$3,"&lt;"&amp;$DF55,$B55:$Y55)+SUMIF($AD$3:$BA$3,"&gt;="&amp;$DG55,$B55:$Y55)),
IF(AF$3=$DF55+'Model Setup'!$K$7,SUMIF($AD$3:$BA$3,"="&amp;$DF55+'Model Setup'!$K$7,$B55:$Y55)+'Model Setup'!$K$8*(SUMIF($AD$3:$BA$3,"&lt;"&amp;$DF55,$B55:$Y55)+SUMIF($AD$3:$BA$3,"&gt;="&amp;$DG55,$B55:$Y55)),
IF(AF$3=$DF55+'Model Setup'!$L$7,SUMIF($AD$3:$BA$3,"="&amp;$DF55+'Model Setup'!$L$7,$B55:$Y55)+'Model Setup'!$L$8*(SUMIF($AD$3:$BA$3,"&lt;"&amp;$DF55,$B55:$Y55)+SUMIF($AD$3:$BA$3,"&gt;="&amp;$DG55,$B55:$Y55)),
IF(AF$3=$DF55+'Model Setup'!$M$7,SUMIF($AD$3:$BA$3,"="&amp;$DF55+'Model Setup'!$M$7,$B55:$Y55)+'Model Setup'!$M$8*(SUMIF($AD$3:$BA$3,"&lt;"&amp;$DF55,$B55:$Y55)+SUMIF($AD$3:$BA$3,"&gt;="&amp;$DG55,$B55:$Y55)),
IF(AF$3=$DF55+'Model Setup'!$N$7,SUMIF($AD$3:$BA$3,"="&amp;$DF55+'Model Setup'!$N$7,$B55:$Y55)+'Model Setup'!$N$8*(SUMIF($AD$3:$BA$3,"&lt;"&amp;$DF55,$B55:$Y55)+SUMIF($AD$3:$BA$3,"&gt;="&amp;$DG55,$B55:$Y55)),
IF(AF$3&lt;$DG55,D55,0))))))))))))))),0)</f>
        <v>0</v>
      </c>
      <c r="AG55" s="47">
        <f>ROUND(IF(AG$3&lt;$DF55,0,
IF(AG$3=$DF55+'Model Setup'!$B$7,SUMIF($AD$3:$BA$3,"="&amp;$DF55+'Model Setup'!$B$7,$B55:$Y55)+'Model Setup'!$B$8*(SUMIF($AD$3:$BA$3,"&lt;"&amp;$DF55,$B55:$Y55)+SUMIF($AD$3:$BA$3,"&gt;="&amp;$DG55,$B55:$Y55)),
IF(AG$3=$DF55+'Model Setup'!$C$7,SUMIF($AD$3:$BA$3,"="&amp;$DF55+'Model Setup'!$C$7,$B55:$Y55)+'Model Setup'!$C$8*(SUMIF($AD$3:$BA$3,"&lt;"&amp;$DF55,$B55:$Y55)+SUMIF($AD$3:$BA$3,"&gt;="&amp;$DG55,$B55:$Y55)),
IF(AG$3=$DF55+'Model Setup'!$D$7,SUMIF($AD$3:$BA$3,"="&amp;$DF55+'Model Setup'!$D$7,$B55:$Y55)+'Model Setup'!$D$8*(SUMIF($AD$3:$BA$3,"&lt;"&amp;$DF55,$B55:$Y55)+SUMIF($AD$3:$BA$3,"&gt;="&amp;$DG55,$B55:$Y55)),
IF(AG$3=$DF55+'Model Setup'!$E$7,SUMIF($AD$3:$BA$3,"="&amp;$DF55+'Model Setup'!$E$7,$B55:$Y55)+'Model Setup'!$E$8*(SUMIF($AD$3:$BA$3,"&lt;"&amp;$DF55,$B55:$Y55)+SUMIF($AD$3:$BA$3,"&gt;="&amp;$DG55,$B55:$Y55)),
IF(AG$3=$DF55+'Model Setup'!$F$7,SUMIF($AD$3:$BA$3,"="&amp;$DF55+'Model Setup'!$F$7,$B55:$Y55)+'Model Setup'!$F$8*(SUMIF($AD$3:$BA$3,"&lt;"&amp;$DF55,$B55:$Y55)+SUMIF($AD$3:$BA$3,"&gt;="&amp;$DG55,$B55:$Y55)),
IF(AG$3=$DF55+'Model Setup'!$G$7,SUMIF($AD$3:$BA$3,"="&amp;$DF55+'Model Setup'!$G$7,$B55:$Y55)+'Model Setup'!$G$8*(SUMIF($AD$3:$BA$3,"&lt;"&amp;$DF55,$B55:$Y55)+SUMIF($AD$3:$BA$3,"&gt;="&amp;$DG55,$B55:$Y55)),
IF(AG$3=$DF55+'Model Setup'!$H$7,SUMIF($AD$3:$BA$3,"="&amp;$DF55+'Model Setup'!$H$7,$B55:$Y55)+'Model Setup'!$H$8*(SUMIF($AD$3:$BA$3,"&lt;"&amp;$DF55,$B55:$Y55)+SUMIF($AD$3:$BA$3,"&gt;="&amp;$DG55,$B55:$Y55)),
IF(AG$3=$DF55+'Model Setup'!$I$7,SUMIF($AD$3:$BA$3,"="&amp;$DF55+'Model Setup'!$I$7,$B55:$Y55)+'Model Setup'!$I$8*(SUMIF($AD$3:$BA$3,"&lt;"&amp;$DF55,$B55:$Y55)+SUMIF($AD$3:$BA$3,"&gt;="&amp;$DG55,$B55:$Y55)),
IF(AG$3=$DF55+'Model Setup'!$J$7,SUMIF($AD$3:$BA$3,"="&amp;$DF55+'Model Setup'!$J$7,$B55:$Y55)+'Model Setup'!$J$8*(SUMIF($AD$3:$BA$3,"&lt;"&amp;$DF55,$B55:$Y55)+SUMIF($AD$3:$BA$3,"&gt;="&amp;$DG55,$B55:$Y55)),
IF(AG$3=$DF55+'Model Setup'!$K$7,SUMIF($AD$3:$BA$3,"="&amp;$DF55+'Model Setup'!$K$7,$B55:$Y55)+'Model Setup'!$K$8*(SUMIF($AD$3:$BA$3,"&lt;"&amp;$DF55,$B55:$Y55)+SUMIF($AD$3:$BA$3,"&gt;="&amp;$DG55,$B55:$Y55)),
IF(AG$3=$DF55+'Model Setup'!$L$7,SUMIF($AD$3:$BA$3,"="&amp;$DF55+'Model Setup'!$L$7,$B55:$Y55)+'Model Setup'!$L$8*(SUMIF($AD$3:$BA$3,"&lt;"&amp;$DF55,$B55:$Y55)+SUMIF($AD$3:$BA$3,"&gt;="&amp;$DG55,$B55:$Y55)),
IF(AG$3=$DF55+'Model Setup'!$M$7,SUMIF($AD$3:$BA$3,"="&amp;$DF55+'Model Setup'!$M$7,$B55:$Y55)+'Model Setup'!$M$8*(SUMIF($AD$3:$BA$3,"&lt;"&amp;$DF55,$B55:$Y55)+SUMIF($AD$3:$BA$3,"&gt;="&amp;$DG55,$B55:$Y55)),
IF(AG$3=$DF55+'Model Setup'!$N$7,SUMIF($AD$3:$BA$3,"="&amp;$DF55+'Model Setup'!$N$7,$B55:$Y55)+'Model Setup'!$N$8*(SUMIF($AD$3:$BA$3,"&lt;"&amp;$DF55,$B55:$Y55)+SUMIF($AD$3:$BA$3,"&gt;="&amp;$DG55,$B55:$Y55)),
IF(AG$3&lt;$DG55,E55,0))))))))))))))),0)</f>
        <v>0</v>
      </c>
      <c r="AH55" s="47">
        <f>ROUND(IF(AH$3&lt;$DF55,0,
IF(AH$3=$DF55+'Model Setup'!$B$7,SUMIF($AD$3:$BA$3,"="&amp;$DF55+'Model Setup'!$B$7,$B55:$Y55)+'Model Setup'!$B$8*(SUMIF($AD$3:$BA$3,"&lt;"&amp;$DF55,$B55:$Y55)+SUMIF($AD$3:$BA$3,"&gt;="&amp;$DG55,$B55:$Y55)),
IF(AH$3=$DF55+'Model Setup'!$C$7,SUMIF($AD$3:$BA$3,"="&amp;$DF55+'Model Setup'!$C$7,$B55:$Y55)+'Model Setup'!$C$8*(SUMIF($AD$3:$BA$3,"&lt;"&amp;$DF55,$B55:$Y55)+SUMIF($AD$3:$BA$3,"&gt;="&amp;$DG55,$B55:$Y55)),
IF(AH$3=$DF55+'Model Setup'!$D$7,SUMIF($AD$3:$BA$3,"="&amp;$DF55+'Model Setup'!$D$7,$B55:$Y55)+'Model Setup'!$D$8*(SUMIF($AD$3:$BA$3,"&lt;"&amp;$DF55,$B55:$Y55)+SUMIF($AD$3:$BA$3,"&gt;="&amp;$DG55,$B55:$Y55)),
IF(AH$3=$DF55+'Model Setup'!$E$7,SUMIF($AD$3:$BA$3,"="&amp;$DF55+'Model Setup'!$E$7,$B55:$Y55)+'Model Setup'!$E$8*(SUMIF($AD$3:$BA$3,"&lt;"&amp;$DF55,$B55:$Y55)+SUMIF($AD$3:$BA$3,"&gt;="&amp;$DG55,$B55:$Y55)),
IF(AH$3=$DF55+'Model Setup'!$F$7,SUMIF($AD$3:$BA$3,"="&amp;$DF55+'Model Setup'!$F$7,$B55:$Y55)+'Model Setup'!$F$8*(SUMIF($AD$3:$BA$3,"&lt;"&amp;$DF55,$B55:$Y55)+SUMIF($AD$3:$BA$3,"&gt;="&amp;$DG55,$B55:$Y55)),
IF(AH$3=$DF55+'Model Setup'!$G$7,SUMIF($AD$3:$BA$3,"="&amp;$DF55+'Model Setup'!$G$7,$B55:$Y55)+'Model Setup'!$G$8*(SUMIF($AD$3:$BA$3,"&lt;"&amp;$DF55,$B55:$Y55)+SUMIF($AD$3:$BA$3,"&gt;="&amp;$DG55,$B55:$Y55)),
IF(AH$3=$DF55+'Model Setup'!$H$7,SUMIF($AD$3:$BA$3,"="&amp;$DF55+'Model Setup'!$H$7,$B55:$Y55)+'Model Setup'!$H$8*(SUMIF($AD$3:$BA$3,"&lt;"&amp;$DF55,$B55:$Y55)+SUMIF($AD$3:$BA$3,"&gt;="&amp;$DG55,$B55:$Y55)),
IF(AH$3=$DF55+'Model Setup'!$I$7,SUMIF($AD$3:$BA$3,"="&amp;$DF55+'Model Setup'!$I$7,$B55:$Y55)+'Model Setup'!$I$8*(SUMIF($AD$3:$BA$3,"&lt;"&amp;$DF55,$B55:$Y55)+SUMIF($AD$3:$BA$3,"&gt;="&amp;$DG55,$B55:$Y55)),
IF(AH$3=$DF55+'Model Setup'!$J$7,SUMIF($AD$3:$BA$3,"="&amp;$DF55+'Model Setup'!$J$7,$B55:$Y55)+'Model Setup'!$J$8*(SUMIF($AD$3:$BA$3,"&lt;"&amp;$DF55,$B55:$Y55)+SUMIF($AD$3:$BA$3,"&gt;="&amp;$DG55,$B55:$Y55)),
IF(AH$3=$DF55+'Model Setup'!$K$7,SUMIF($AD$3:$BA$3,"="&amp;$DF55+'Model Setup'!$K$7,$B55:$Y55)+'Model Setup'!$K$8*(SUMIF($AD$3:$BA$3,"&lt;"&amp;$DF55,$B55:$Y55)+SUMIF($AD$3:$BA$3,"&gt;="&amp;$DG55,$B55:$Y55)),
IF(AH$3=$DF55+'Model Setup'!$L$7,SUMIF($AD$3:$BA$3,"="&amp;$DF55+'Model Setup'!$L$7,$B55:$Y55)+'Model Setup'!$L$8*(SUMIF($AD$3:$BA$3,"&lt;"&amp;$DF55,$B55:$Y55)+SUMIF($AD$3:$BA$3,"&gt;="&amp;$DG55,$B55:$Y55)),
IF(AH$3=$DF55+'Model Setup'!$M$7,SUMIF($AD$3:$BA$3,"="&amp;$DF55+'Model Setup'!$M$7,$B55:$Y55)+'Model Setup'!$M$8*(SUMIF($AD$3:$BA$3,"&lt;"&amp;$DF55,$B55:$Y55)+SUMIF($AD$3:$BA$3,"&gt;="&amp;$DG55,$B55:$Y55)),
IF(AH$3=$DF55+'Model Setup'!$N$7,SUMIF($AD$3:$BA$3,"="&amp;$DF55+'Model Setup'!$N$7,$B55:$Y55)+'Model Setup'!$N$8*(SUMIF($AD$3:$BA$3,"&lt;"&amp;$DF55,$B55:$Y55)+SUMIF($AD$3:$BA$3,"&gt;="&amp;$DG55,$B55:$Y55)),
IF(AH$3&lt;$DG55,F55,0))))))))))))))),0)</f>
        <v>0</v>
      </c>
      <c r="AI55" s="47">
        <f>ROUND(IF(AI$3&lt;$DF55,0,
IF(AI$3=$DF55+'Model Setup'!$B$7,SUMIF($AD$3:$BA$3,"="&amp;$DF55+'Model Setup'!$B$7,$B55:$Y55)+'Model Setup'!$B$8*(SUMIF($AD$3:$BA$3,"&lt;"&amp;$DF55,$B55:$Y55)+SUMIF($AD$3:$BA$3,"&gt;="&amp;$DG55,$B55:$Y55)),
IF(AI$3=$DF55+'Model Setup'!$C$7,SUMIF($AD$3:$BA$3,"="&amp;$DF55+'Model Setup'!$C$7,$B55:$Y55)+'Model Setup'!$C$8*(SUMIF($AD$3:$BA$3,"&lt;"&amp;$DF55,$B55:$Y55)+SUMIF($AD$3:$BA$3,"&gt;="&amp;$DG55,$B55:$Y55)),
IF(AI$3=$DF55+'Model Setup'!$D$7,SUMIF($AD$3:$BA$3,"="&amp;$DF55+'Model Setup'!$D$7,$B55:$Y55)+'Model Setup'!$D$8*(SUMIF($AD$3:$BA$3,"&lt;"&amp;$DF55,$B55:$Y55)+SUMIF($AD$3:$BA$3,"&gt;="&amp;$DG55,$B55:$Y55)),
IF(AI$3=$DF55+'Model Setup'!$E$7,SUMIF($AD$3:$BA$3,"="&amp;$DF55+'Model Setup'!$E$7,$B55:$Y55)+'Model Setup'!$E$8*(SUMIF($AD$3:$BA$3,"&lt;"&amp;$DF55,$B55:$Y55)+SUMIF($AD$3:$BA$3,"&gt;="&amp;$DG55,$B55:$Y55)),
IF(AI$3=$DF55+'Model Setup'!$F$7,SUMIF($AD$3:$BA$3,"="&amp;$DF55+'Model Setup'!$F$7,$B55:$Y55)+'Model Setup'!$F$8*(SUMIF($AD$3:$BA$3,"&lt;"&amp;$DF55,$B55:$Y55)+SUMIF($AD$3:$BA$3,"&gt;="&amp;$DG55,$B55:$Y55)),
IF(AI$3=$DF55+'Model Setup'!$G$7,SUMIF($AD$3:$BA$3,"="&amp;$DF55+'Model Setup'!$G$7,$B55:$Y55)+'Model Setup'!$G$8*(SUMIF($AD$3:$BA$3,"&lt;"&amp;$DF55,$B55:$Y55)+SUMIF($AD$3:$BA$3,"&gt;="&amp;$DG55,$B55:$Y55)),
IF(AI$3=$DF55+'Model Setup'!$H$7,SUMIF($AD$3:$BA$3,"="&amp;$DF55+'Model Setup'!$H$7,$B55:$Y55)+'Model Setup'!$H$8*(SUMIF($AD$3:$BA$3,"&lt;"&amp;$DF55,$B55:$Y55)+SUMIF($AD$3:$BA$3,"&gt;="&amp;$DG55,$B55:$Y55)),
IF(AI$3=$DF55+'Model Setup'!$I$7,SUMIF($AD$3:$BA$3,"="&amp;$DF55+'Model Setup'!$I$7,$B55:$Y55)+'Model Setup'!$I$8*(SUMIF($AD$3:$BA$3,"&lt;"&amp;$DF55,$B55:$Y55)+SUMIF($AD$3:$BA$3,"&gt;="&amp;$DG55,$B55:$Y55)),
IF(AI$3=$DF55+'Model Setup'!$J$7,SUMIF($AD$3:$BA$3,"="&amp;$DF55+'Model Setup'!$J$7,$B55:$Y55)+'Model Setup'!$J$8*(SUMIF($AD$3:$BA$3,"&lt;"&amp;$DF55,$B55:$Y55)+SUMIF($AD$3:$BA$3,"&gt;="&amp;$DG55,$B55:$Y55)),
IF(AI$3=$DF55+'Model Setup'!$K$7,SUMIF($AD$3:$BA$3,"="&amp;$DF55+'Model Setup'!$K$7,$B55:$Y55)+'Model Setup'!$K$8*(SUMIF($AD$3:$BA$3,"&lt;"&amp;$DF55,$B55:$Y55)+SUMIF($AD$3:$BA$3,"&gt;="&amp;$DG55,$B55:$Y55)),
IF(AI$3=$DF55+'Model Setup'!$L$7,SUMIF($AD$3:$BA$3,"="&amp;$DF55+'Model Setup'!$L$7,$B55:$Y55)+'Model Setup'!$L$8*(SUMIF($AD$3:$BA$3,"&lt;"&amp;$DF55,$B55:$Y55)+SUMIF($AD$3:$BA$3,"&gt;="&amp;$DG55,$B55:$Y55)),
IF(AI$3=$DF55+'Model Setup'!$M$7,SUMIF($AD$3:$BA$3,"="&amp;$DF55+'Model Setup'!$M$7,$B55:$Y55)+'Model Setup'!$M$8*(SUMIF($AD$3:$BA$3,"&lt;"&amp;$DF55,$B55:$Y55)+SUMIF($AD$3:$BA$3,"&gt;="&amp;$DG55,$B55:$Y55)),
IF(AI$3=$DF55+'Model Setup'!$N$7,SUMIF($AD$3:$BA$3,"="&amp;$DF55+'Model Setup'!$N$7,$B55:$Y55)+'Model Setup'!$N$8*(SUMIF($AD$3:$BA$3,"&lt;"&amp;$DF55,$B55:$Y55)+SUMIF($AD$3:$BA$3,"&gt;="&amp;$DG55,$B55:$Y55)),
IF(AI$3&lt;$DG55,G55,0))))))))))))))),0)</f>
        <v>6</v>
      </c>
      <c r="AJ55" s="47">
        <f>ROUND(IF(AJ$3&lt;$DF55,0,
IF(AJ$3=$DF55+'Model Setup'!$B$7,SUMIF($AD$3:$BA$3,"="&amp;$DF55+'Model Setup'!$B$7,$B55:$Y55)+'Model Setup'!$B$8*(SUMIF($AD$3:$BA$3,"&lt;"&amp;$DF55,$B55:$Y55)+SUMIF($AD$3:$BA$3,"&gt;="&amp;$DG55,$B55:$Y55)),
IF(AJ$3=$DF55+'Model Setup'!$C$7,SUMIF($AD$3:$BA$3,"="&amp;$DF55+'Model Setup'!$C$7,$B55:$Y55)+'Model Setup'!$C$8*(SUMIF($AD$3:$BA$3,"&lt;"&amp;$DF55,$B55:$Y55)+SUMIF($AD$3:$BA$3,"&gt;="&amp;$DG55,$B55:$Y55)),
IF(AJ$3=$DF55+'Model Setup'!$D$7,SUMIF($AD$3:$BA$3,"="&amp;$DF55+'Model Setup'!$D$7,$B55:$Y55)+'Model Setup'!$D$8*(SUMIF($AD$3:$BA$3,"&lt;"&amp;$DF55,$B55:$Y55)+SUMIF($AD$3:$BA$3,"&gt;="&amp;$DG55,$B55:$Y55)),
IF(AJ$3=$DF55+'Model Setup'!$E$7,SUMIF($AD$3:$BA$3,"="&amp;$DF55+'Model Setup'!$E$7,$B55:$Y55)+'Model Setup'!$E$8*(SUMIF($AD$3:$BA$3,"&lt;"&amp;$DF55,$B55:$Y55)+SUMIF($AD$3:$BA$3,"&gt;="&amp;$DG55,$B55:$Y55)),
IF(AJ$3=$DF55+'Model Setup'!$F$7,SUMIF($AD$3:$BA$3,"="&amp;$DF55+'Model Setup'!$F$7,$B55:$Y55)+'Model Setup'!$F$8*(SUMIF($AD$3:$BA$3,"&lt;"&amp;$DF55,$B55:$Y55)+SUMIF($AD$3:$BA$3,"&gt;="&amp;$DG55,$B55:$Y55)),
IF(AJ$3=$DF55+'Model Setup'!$G$7,SUMIF($AD$3:$BA$3,"="&amp;$DF55+'Model Setup'!$G$7,$B55:$Y55)+'Model Setup'!$G$8*(SUMIF($AD$3:$BA$3,"&lt;"&amp;$DF55,$B55:$Y55)+SUMIF($AD$3:$BA$3,"&gt;="&amp;$DG55,$B55:$Y55)),
IF(AJ$3=$DF55+'Model Setup'!$H$7,SUMIF($AD$3:$BA$3,"="&amp;$DF55+'Model Setup'!$H$7,$B55:$Y55)+'Model Setup'!$H$8*(SUMIF($AD$3:$BA$3,"&lt;"&amp;$DF55,$B55:$Y55)+SUMIF($AD$3:$BA$3,"&gt;="&amp;$DG55,$B55:$Y55)),
IF(AJ$3=$DF55+'Model Setup'!$I$7,SUMIF($AD$3:$BA$3,"="&amp;$DF55+'Model Setup'!$I$7,$B55:$Y55)+'Model Setup'!$I$8*(SUMIF($AD$3:$BA$3,"&lt;"&amp;$DF55,$B55:$Y55)+SUMIF($AD$3:$BA$3,"&gt;="&amp;$DG55,$B55:$Y55)),
IF(AJ$3=$DF55+'Model Setup'!$J$7,SUMIF($AD$3:$BA$3,"="&amp;$DF55+'Model Setup'!$J$7,$B55:$Y55)+'Model Setup'!$J$8*(SUMIF($AD$3:$BA$3,"&lt;"&amp;$DF55,$B55:$Y55)+SUMIF($AD$3:$BA$3,"&gt;="&amp;$DG55,$B55:$Y55)),
IF(AJ$3=$DF55+'Model Setup'!$K$7,SUMIF($AD$3:$BA$3,"="&amp;$DF55+'Model Setup'!$K$7,$B55:$Y55)+'Model Setup'!$K$8*(SUMIF($AD$3:$BA$3,"&lt;"&amp;$DF55,$B55:$Y55)+SUMIF($AD$3:$BA$3,"&gt;="&amp;$DG55,$B55:$Y55)),
IF(AJ$3=$DF55+'Model Setup'!$L$7,SUMIF($AD$3:$BA$3,"="&amp;$DF55+'Model Setup'!$L$7,$B55:$Y55)+'Model Setup'!$L$8*(SUMIF($AD$3:$BA$3,"&lt;"&amp;$DF55,$B55:$Y55)+SUMIF($AD$3:$BA$3,"&gt;="&amp;$DG55,$B55:$Y55)),
IF(AJ$3=$DF55+'Model Setup'!$M$7,SUMIF($AD$3:$BA$3,"="&amp;$DF55+'Model Setup'!$M$7,$B55:$Y55)+'Model Setup'!$M$8*(SUMIF($AD$3:$BA$3,"&lt;"&amp;$DF55,$B55:$Y55)+SUMIF($AD$3:$BA$3,"&gt;="&amp;$DG55,$B55:$Y55)),
IF(AJ$3=$DF55+'Model Setup'!$N$7,SUMIF($AD$3:$BA$3,"="&amp;$DF55+'Model Setup'!$N$7,$B55:$Y55)+'Model Setup'!$N$8*(SUMIF($AD$3:$BA$3,"&lt;"&amp;$DF55,$B55:$Y55)+SUMIF($AD$3:$BA$3,"&gt;="&amp;$DG55,$B55:$Y55)),
IF(AJ$3&lt;$DG55,H55,0))))))))))))))),0)</f>
        <v>34</v>
      </c>
      <c r="AK55" s="47">
        <f>ROUND(IF(AK$3&lt;$DF55,0,
IF(AK$3=$DF55+'Model Setup'!$B$7,SUMIF($AD$3:$BA$3,"="&amp;$DF55+'Model Setup'!$B$7,$B55:$Y55)+'Model Setup'!$B$8*(SUMIF($AD$3:$BA$3,"&lt;"&amp;$DF55,$B55:$Y55)+SUMIF($AD$3:$BA$3,"&gt;="&amp;$DG55,$B55:$Y55)),
IF(AK$3=$DF55+'Model Setup'!$C$7,SUMIF($AD$3:$BA$3,"="&amp;$DF55+'Model Setup'!$C$7,$B55:$Y55)+'Model Setup'!$C$8*(SUMIF($AD$3:$BA$3,"&lt;"&amp;$DF55,$B55:$Y55)+SUMIF($AD$3:$BA$3,"&gt;="&amp;$DG55,$B55:$Y55)),
IF(AK$3=$DF55+'Model Setup'!$D$7,SUMIF($AD$3:$BA$3,"="&amp;$DF55+'Model Setup'!$D$7,$B55:$Y55)+'Model Setup'!$D$8*(SUMIF($AD$3:$BA$3,"&lt;"&amp;$DF55,$B55:$Y55)+SUMIF($AD$3:$BA$3,"&gt;="&amp;$DG55,$B55:$Y55)),
IF(AK$3=$DF55+'Model Setup'!$E$7,SUMIF($AD$3:$BA$3,"="&amp;$DF55+'Model Setup'!$E$7,$B55:$Y55)+'Model Setup'!$E$8*(SUMIF($AD$3:$BA$3,"&lt;"&amp;$DF55,$B55:$Y55)+SUMIF($AD$3:$BA$3,"&gt;="&amp;$DG55,$B55:$Y55)),
IF(AK$3=$DF55+'Model Setup'!$F$7,SUMIF($AD$3:$BA$3,"="&amp;$DF55+'Model Setup'!$F$7,$B55:$Y55)+'Model Setup'!$F$8*(SUMIF($AD$3:$BA$3,"&lt;"&amp;$DF55,$B55:$Y55)+SUMIF($AD$3:$BA$3,"&gt;="&amp;$DG55,$B55:$Y55)),
IF(AK$3=$DF55+'Model Setup'!$G$7,SUMIF($AD$3:$BA$3,"="&amp;$DF55+'Model Setup'!$G$7,$B55:$Y55)+'Model Setup'!$G$8*(SUMIF($AD$3:$BA$3,"&lt;"&amp;$DF55,$B55:$Y55)+SUMIF($AD$3:$BA$3,"&gt;="&amp;$DG55,$B55:$Y55)),
IF(AK$3=$DF55+'Model Setup'!$H$7,SUMIF($AD$3:$BA$3,"="&amp;$DF55+'Model Setup'!$H$7,$B55:$Y55)+'Model Setup'!$H$8*(SUMIF($AD$3:$BA$3,"&lt;"&amp;$DF55,$B55:$Y55)+SUMIF($AD$3:$BA$3,"&gt;="&amp;$DG55,$B55:$Y55)),
IF(AK$3=$DF55+'Model Setup'!$I$7,SUMIF($AD$3:$BA$3,"="&amp;$DF55+'Model Setup'!$I$7,$B55:$Y55)+'Model Setup'!$I$8*(SUMIF($AD$3:$BA$3,"&lt;"&amp;$DF55,$B55:$Y55)+SUMIF($AD$3:$BA$3,"&gt;="&amp;$DG55,$B55:$Y55)),
IF(AK$3=$DF55+'Model Setup'!$J$7,SUMIF($AD$3:$BA$3,"="&amp;$DF55+'Model Setup'!$J$7,$B55:$Y55)+'Model Setup'!$J$8*(SUMIF($AD$3:$BA$3,"&lt;"&amp;$DF55,$B55:$Y55)+SUMIF($AD$3:$BA$3,"&gt;="&amp;$DG55,$B55:$Y55)),
IF(AK$3=$DF55+'Model Setup'!$K$7,SUMIF($AD$3:$BA$3,"="&amp;$DF55+'Model Setup'!$K$7,$B55:$Y55)+'Model Setup'!$K$8*(SUMIF($AD$3:$BA$3,"&lt;"&amp;$DF55,$B55:$Y55)+SUMIF($AD$3:$BA$3,"&gt;="&amp;$DG55,$B55:$Y55)),
IF(AK$3=$DF55+'Model Setup'!$L$7,SUMIF($AD$3:$BA$3,"="&amp;$DF55+'Model Setup'!$L$7,$B55:$Y55)+'Model Setup'!$L$8*(SUMIF($AD$3:$BA$3,"&lt;"&amp;$DF55,$B55:$Y55)+SUMIF($AD$3:$BA$3,"&gt;="&amp;$DG55,$B55:$Y55)),
IF(AK$3=$DF55+'Model Setup'!$M$7,SUMIF($AD$3:$BA$3,"="&amp;$DF55+'Model Setup'!$M$7,$B55:$Y55)+'Model Setup'!$M$8*(SUMIF($AD$3:$BA$3,"&lt;"&amp;$DF55,$B55:$Y55)+SUMIF($AD$3:$BA$3,"&gt;="&amp;$DG55,$B55:$Y55)),
IF(AK$3=$DF55+'Model Setup'!$N$7,SUMIF($AD$3:$BA$3,"="&amp;$DF55+'Model Setup'!$N$7,$B55:$Y55)+'Model Setup'!$N$8*(SUMIF($AD$3:$BA$3,"&lt;"&amp;$DF55,$B55:$Y55)+SUMIF($AD$3:$BA$3,"&gt;="&amp;$DG55,$B55:$Y55)),
IF(AK$3&lt;$DG55,I55,0))))))))))))))),0)</f>
        <v>33</v>
      </c>
      <c r="AL55" s="47">
        <f>ROUND(IF(AL$3&lt;$DF55,0,
IF(AL$3=$DF55+'Model Setup'!$B$7,SUMIF($AD$3:$BA$3,"="&amp;$DF55+'Model Setup'!$B$7,$B55:$Y55)+'Model Setup'!$B$8*(SUMIF($AD$3:$BA$3,"&lt;"&amp;$DF55,$B55:$Y55)+SUMIF($AD$3:$BA$3,"&gt;="&amp;$DG55,$B55:$Y55)),
IF(AL$3=$DF55+'Model Setup'!$C$7,SUMIF($AD$3:$BA$3,"="&amp;$DF55+'Model Setup'!$C$7,$B55:$Y55)+'Model Setup'!$C$8*(SUMIF($AD$3:$BA$3,"&lt;"&amp;$DF55,$B55:$Y55)+SUMIF($AD$3:$BA$3,"&gt;="&amp;$DG55,$B55:$Y55)),
IF(AL$3=$DF55+'Model Setup'!$D$7,SUMIF($AD$3:$BA$3,"="&amp;$DF55+'Model Setup'!$D$7,$B55:$Y55)+'Model Setup'!$D$8*(SUMIF($AD$3:$BA$3,"&lt;"&amp;$DF55,$B55:$Y55)+SUMIF($AD$3:$BA$3,"&gt;="&amp;$DG55,$B55:$Y55)),
IF(AL$3=$DF55+'Model Setup'!$E$7,SUMIF($AD$3:$BA$3,"="&amp;$DF55+'Model Setup'!$E$7,$B55:$Y55)+'Model Setup'!$E$8*(SUMIF($AD$3:$BA$3,"&lt;"&amp;$DF55,$B55:$Y55)+SUMIF($AD$3:$BA$3,"&gt;="&amp;$DG55,$B55:$Y55)),
IF(AL$3=$DF55+'Model Setup'!$F$7,SUMIF($AD$3:$BA$3,"="&amp;$DF55+'Model Setup'!$F$7,$B55:$Y55)+'Model Setup'!$F$8*(SUMIF($AD$3:$BA$3,"&lt;"&amp;$DF55,$B55:$Y55)+SUMIF($AD$3:$BA$3,"&gt;="&amp;$DG55,$B55:$Y55)),
IF(AL$3=$DF55+'Model Setup'!$G$7,SUMIF($AD$3:$BA$3,"="&amp;$DF55+'Model Setup'!$G$7,$B55:$Y55)+'Model Setup'!$G$8*(SUMIF($AD$3:$BA$3,"&lt;"&amp;$DF55,$B55:$Y55)+SUMIF($AD$3:$BA$3,"&gt;="&amp;$DG55,$B55:$Y55)),
IF(AL$3=$DF55+'Model Setup'!$H$7,SUMIF($AD$3:$BA$3,"="&amp;$DF55+'Model Setup'!$H$7,$B55:$Y55)+'Model Setup'!$H$8*(SUMIF($AD$3:$BA$3,"&lt;"&amp;$DF55,$B55:$Y55)+SUMIF($AD$3:$BA$3,"&gt;="&amp;$DG55,$B55:$Y55)),
IF(AL$3=$DF55+'Model Setup'!$I$7,SUMIF($AD$3:$BA$3,"="&amp;$DF55+'Model Setup'!$I$7,$B55:$Y55)+'Model Setup'!$I$8*(SUMIF($AD$3:$BA$3,"&lt;"&amp;$DF55,$B55:$Y55)+SUMIF($AD$3:$BA$3,"&gt;="&amp;$DG55,$B55:$Y55)),
IF(AL$3=$DF55+'Model Setup'!$J$7,SUMIF($AD$3:$BA$3,"="&amp;$DF55+'Model Setup'!$J$7,$B55:$Y55)+'Model Setup'!$J$8*(SUMIF($AD$3:$BA$3,"&lt;"&amp;$DF55,$B55:$Y55)+SUMIF($AD$3:$BA$3,"&gt;="&amp;$DG55,$B55:$Y55)),
IF(AL$3=$DF55+'Model Setup'!$K$7,SUMIF($AD$3:$BA$3,"="&amp;$DF55+'Model Setup'!$K$7,$B55:$Y55)+'Model Setup'!$K$8*(SUMIF($AD$3:$BA$3,"&lt;"&amp;$DF55,$B55:$Y55)+SUMIF($AD$3:$BA$3,"&gt;="&amp;$DG55,$B55:$Y55)),
IF(AL$3=$DF55+'Model Setup'!$L$7,SUMIF($AD$3:$BA$3,"="&amp;$DF55+'Model Setup'!$L$7,$B55:$Y55)+'Model Setup'!$L$8*(SUMIF($AD$3:$BA$3,"&lt;"&amp;$DF55,$B55:$Y55)+SUMIF($AD$3:$BA$3,"&gt;="&amp;$DG55,$B55:$Y55)),
IF(AL$3=$DF55+'Model Setup'!$M$7,SUMIF($AD$3:$BA$3,"="&amp;$DF55+'Model Setup'!$M$7,$B55:$Y55)+'Model Setup'!$M$8*(SUMIF($AD$3:$BA$3,"&lt;"&amp;$DF55,$B55:$Y55)+SUMIF($AD$3:$BA$3,"&gt;="&amp;$DG55,$B55:$Y55)),
IF(AL$3=$DF55+'Model Setup'!$N$7,SUMIF($AD$3:$BA$3,"="&amp;$DF55+'Model Setup'!$N$7,$B55:$Y55)+'Model Setup'!$N$8*(SUMIF($AD$3:$BA$3,"&lt;"&amp;$DF55,$B55:$Y55)+SUMIF($AD$3:$BA$3,"&gt;="&amp;$DG55,$B55:$Y55)),
IF(AL$3&lt;$DG55,J55,0))))))))))))))),0)</f>
        <v>29</v>
      </c>
      <c r="AM55" s="47">
        <f>ROUND(IF(AM$3&lt;$DF55,0,
IF(AM$3=$DF55+'Model Setup'!$B$7,SUMIF($AD$3:$BA$3,"="&amp;$DF55+'Model Setup'!$B$7,$B55:$Y55)+'Model Setup'!$B$8*(SUMIF($AD$3:$BA$3,"&lt;"&amp;$DF55,$B55:$Y55)+SUMIF($AD$3:$BA$3,"&gt;="&amp;$DG55,$B55:$Y55)),
IF(AM$3=$DF55+'Model Setup'!$C$7,SUMIF($AD$3:$BA$3,"="&amp;$DF55+'Model Setup'!$C$7,$B55:$Y55)+'Model Setup'!$C$8*(SUMIF($AD$3:$BA$3,"&lt;"&amp;$DF55,$B55:$Y55)+SUMIF($AD$3:$BA$3,"&gt;="&amp;$DG55,$B55:$Y55)),
IF(AM$3=$DF55+'Model Setup'!$D$7,SUMIF($AD$3:$BA$3,"="&amp;$DF55+'Model Setup'!$D$7,$B55:$Y55)+'Model Setup'!$D$8*(SUMIF($AD$3:$BA$3,"&lt;"&amp;$DF55,$B55:$Y55)+SUMIF($AD$3:$BA$3,"&gt;="&amp;$DG55,$B55:$Y55)),
IF(AM$3=$DF55+'Model Setup'!$E$7,SUMIF($AD$3:$BA$3,"="&amp;$DF55+'Model Setup'!$E$7,$B55:$Y55)+'Model Setup'!$E$8*(SUMIF($AD$3:$BA$3,"&lt;"&amp;$DF55,$B55:$Y55)+SUMIF($AD$3:$BA$3,"&gt;="&amp;$DG55,$B55:$Y55)),
IF(AM$3=$DF55+'Model Setup'!$F$7,SUMIF($AD$3:$BA$3,"="&amp;$DF55+'Model Setup'!$F$7,$B55:$Y55)+'Model Setup'!$F$8*(SUMIF($AD$3:$BA$3,"&lt;"&amp;$DF55,$B55:$Y55)+SUMIF($AD$3:$BA$3,"&gt;="&amp;$DG55,$B55:$Y55)),
IF(AM$3=$DF55+'Model Setup'!$G$7,SUMIF($AD$3:$BA$3,"="&amp;$DF55+'Model Setup'!$G$7,$B55:$Y55)+'Model Setup'!$G$8*(SUMIF($AD$3:$BA$3,"&lt;"&amp;$DF55,$B55:$Y55)+SUMIF($AD$3:$BA$3,"&gt;="&amp;$DG55,$B55:$Y55)),
IF(AM$3=$DF55+'Model Setup'!$H$7,SUMIF($AD$3:$BA$3,"="&amp;$DF55+'Model Setup'!$H$7,$B55:$Y55)+'Model Setup'!$H$8*(SUMIF($AD$3:$BA$3,"&lt;"&amp;$DF55,$B55:$Y55)+SUMIF($AD$3:$BA$3,"&gt;="&amp;$DG55,$B55:$Y55)),
IF(AM$3=$DF55+'Model Setup'!$I$7,SUMIF($AD$3:$BA$3,"="&amp;$DF55+'Model Setup'!$I$7,$B55:$Y55)+'Model Setup'!$I$8*(SUMIF($AD$3:$BA$3,"&lt;"&amp;$DF55,$B55:$Y55)+SUMIF($AD$3:$BA$3,"&gt;="&amp;$DG55,$B55:$Y55)),
IF(AM$3=$DF55+'Model Setup'!$J$7,SUMIF($AD$3:$BA$3,"="&amp;$DF55+'Model Setup'!$J$7,$B55:$Y55)+'Model Setup'!$J$8*(SUMIF($AD$3:$BA$3,"&lt;"&amp;$DF55,$B55:$Y55)+SUMIF($AD$3:$BA$3,"&gt;="&amp;$DG55,$B55:$Y55)),
IF(AM$3=$DF55+'Model Setup'!$K$7,SUMIF($AD$3:$BA$3,"="&amp;$DF55+'Model Setup'!$K$7,$B55:$Y55)+'Model Setup'!$K$8*(SUMIF($AD$3:$BA$3,"&lt;"&amp;$DF55,$B55:$Y55)+SUMIF($AD$3:$BA$3,"&gt;="&amp;$DG55,$B55:$Y55)),
IF(AM$3=$DF55+'Model Setup'!$L$7,SUMIF($AD$3:$BA$3,"="&amp;$DF55+'Model Setup'!$L$7,$B55:$Y55)+'Model Setup'!$L$8*(SUMIF($AD$3:$BA$3,"&lt;"&amp;$DF55,$B55:$Y55)+SUMIF($AD$3:$BA$3,"&gt;="&amp;$DG55,$B55:$Y55)),
IF(AM$3=$DF55+'Model Setup'!$M$7,SUMIF($AD$3:$BA$3,"="&amp;$DF55+'Model Setup'!$M$7,$B55:$Y55)+'Model Setup'!$M$8*(SUMIF($AD$3:$BA$3,"&lt;"&amp;$DF55,$B55:$Y55)+SUMIF($AD$3:$BA$3,"&gt;="&amp;$DG55,$B55:$Y55)),
IF(AM$3=$DF55+'Model Setup'!$N$7,SUMIF($AD$3:$BA$3,"="&amp;$DF55+'Model Setup'!$N$7,$B55:$Y55)+'Model Setup'!$N$8*(SUMIF($AD$3:$BA$3,"&lt;"&amp;$DF55,$B55:$Y55)+SUMIF($AD$3:$BA$3,"&gt;="&amp;$DG55,$B55:$Y55)),
IF(AM$3&lt;$DG55,K55,0))))))))))))))),0)</f>
        <v>17</v>
      </c>
      <c r="AN55" s="47">
        <f>ROUND(IF(AN$3&lt;$DF55,0,
IF(AN$3=$DF55+'Model Setup'!$B$7,SUMIF($AD$3:$BA$3,"="&amp;$DF55+'Model Setup'!$B$7,$B55:$Y55)+'Model Setup'!$B$8*(SUMIF($AD$3:$BA$3,"&lt;"&amp;$DF55,$B55:$Y55)+SUMIF($AD$3:$BA$3,"&gt;="&amp;$DG55,$B55:$Y55)),
IF(AN$3=$DF55+'Model Setup'!$C$7,SUMIF($AD$3:$BA$3,"="&amp;$DF55+'Model Setup'!$C$7,$B55:$Y55)+'Model Setup'!$C$8*(SUMIF($AD$3:$BA$3,"&lt;"&amp;$DF55,$B55:$Y55)+SUMIF($AD$3:$BA$3,"&gt;="&amp;$DG55,$B55:$Y55)),
IF(AN$3=$DF55+'Model Setup'!$D$7,SUMIF($AD$3:$BA$3,"="&amp;$DF55+'Model Setup'!$D$7,$B55:$Y55)+'Model Setup'!$D$8*(SUMIF($AD$3:$BA$3,"&lt;"&amp;$DF55,$B55:$Y55)+SUMIF($AD$3:$BA$3,"&gt;="&amp;$DG55,$B55:$Y55)),
IF(AN$3=$DF55+'Model Setup'!$E$7,SUMIF($AD$3:$BA$3,"="&amp;$DF55+'Model Setup'!$E$7,$B55:$Y55)+'Model Setup'!$E$8*(SUMIF($AD$3:$BA$3,"&lt;"&amp;$DF55,$B55:$Y55)+SUMIF($AD$3:$BA$3,"&gt;="&amp;$DG55,$B55:$Y55)),
IF(AN$3=$DF55+'Model Setup'!$F$7,SUMIF($AD$3:$BA$3,"="&amp;$DF55+'Model Setup'!$F$7,$B55:$Y55)+'Model Setup'!$F$8*(SUMIF($AD$3:$BA$3,"&lt;"&amp;$DF55,$B55:$Y55)+SUMIF($AD$3:$BA$3,"&gt;="&amp;$DG55,$B55:$Y55)),
IF(AN$3=$DF55+'Model Setup'!$G$7,SUMIF($AD$3:$BA$3,"="&amp;$DF55+'Model Setup'!$G$7,$B55:$Y55)+'Model Setup'!$G$8*(SUMIF($AD$3:$BA$3,"&lt;"&amp;$DF55,$B55:$Y55)+SUMIF($AD$3:$BA$3,"&gt;="&amp;$DG55,$B55:$Y55)),
IF(AN$3=$DF55+'Model Setup'!$H$7,SUMIF($AD$3:$BA$3,"="&amp;$DF55+'Model Setup'!$H$7,$B55:$Y55)+'Model Setup'!$H$8*(SUMIF($AD$3:$BA$3,"&lt;"&amp;$DF55,$B55:$Y55)+SUMIF($AD$3:$BA$3,"&gt;="&amp;$DG55,$B55:$Y55)),
IF(AN$3=$DF55+'Model Setup'!$I$7,SUMIF($AD$3:$BA$3,"="&amp;$DF55+'Model Setup'!$I$7,$B55:$Y55)+'Model Setup'!$I$8*(SUMIF($AD$3:$BA$3,"&lt;"&amp;$DF55,$B55:$Y55)+SUMIF($AD$3:$BA$3,"&gt;="&amp;$DG55,$B55:$Y55)),
IF(AN$3=$DF55+'Model Setup'!$J$7,SUMIF($AD$3:$BA$3,"="&amp;$DF55+'Model Setup'!$J$7,$B55:$Y55)+'Model Setup'!$J$8*(SUMIF($AD$3:$BA$3,"&lt;"&amp;$DF55,$B55:$Y55)+SUMIF($AD$3:$BA$3,"&gt;="&amp;$DG55,$B55:$Y55)),
IF(AN$3=$DF55+'Model Setup'!$K$7,SUMIF($AD$3:$BA$3,"="&amp;$DF55+'Model Setup'!$K$7,$B55:$Y55)+'Model Setup'!$K$8*(SUMIF($AD$3:$BA$3,"&lt;"&amp;$DF55,$B55:$Y55)+SUMIF($AD$3:$BA$3,"&gt;="&amp;$DG55,$B55:$Y55)),
IF(AN$3=$DF55+'Model Setup'!$L$7,SUMIF($AD$3:$BA$3,"="&amp;$DF55+'Model Setup'!$L$7,$B55:$Y55)+'Model Setup'!$L$8*(SUMIF($AD$3:$BA$3,"&lt;"&amp;$DF55,$B55:$Y55)+SUMIF($AD$3:$BA$3,"&gt;="&amp;$DG55,$B55:$Y55)),
IF(AN$3=$DF55+'Model Setup'!$M$7,SUMIF($AD$3:$BA$3,"="&amp;$DF55+'Model Setup'!$M$7,$B55:$Y55)+'Model Setup'!$M$8*(SUMIF($AD$3:$BA$3,"&lt;"&amp;$DF55,$B55:$Y55)+SUMIF($AD$3:$BA$3,"&gt;="&amp;$DG55,$B55:$Y55)),
IF(AN$3=$DF55+'Model Setup'!$N$7,SUMIF($AD$3:$BA$3,"="&amp;$DF55+'Model Setup'!$N$7,$B55:$Y55)+'Model Setup'!$N$8*(SUMIF($AD$3:$BA$3,"&lt;"&amp;$DF55,$B55:$Y55)+SUMIF($AD$3:$BA$3,"&gt;="&amp;$DG55,$B55:$Y55)),
IF(AN$3&lt;$DG55,L55,0))))))))))))))),0)</f>
        <v>21</v>
      </c>
      <c r="AO55" s="47">
        <f>ROUND(IF(AO$3&lt;$DF55,0,
IF(AO$3=$DF55+'Model Setup'!$B$7,SUMIF($AD$3:$BA$3,"="&amp;$DF55+'Model Setup'!$B$7,$B55:$Y55)+'Model Setup'!$B$8*(SUMIF($AD$3:$BA$3,"&lt;"&amp;$DF55,$B55:$Y55)+SUMIF($AD$3:$BA$3,"&gt;="&amp;$DG55,$B55:$Y55)),
IF(AO$3=$DF55+'Model Setup'!$C$7,SUMIF($AD$3:$BA$3,"="&amp;$DF55+'Model Setup'!$C$7,$B55:$Y55)+'Model Setup'!$C$8*(SUMIF($AD$3:$BA$3,"&lt;"&amp;$DF55,$B55:$Y55)+SUMIF($AD$3:$BA$3,"&gt;="&amp;$DG55,$B55:$Y55)),
IF(AO$3=$DF55+'Model Setup'!$D$7,SUMIF($AD$3:$BA$3,"="&amp;$DF55+'Model Setup'!$D$7,$B55:$Y55)+'Model Setup'!$D$8*(SUMIF($AD$3:$BA$3,"&lt;"&amp;$DF55,$B55:$Y55)+SUMIF($AD$3:$BA$3,"&gt;="&amp;$DG55,$B55:$Y55)),
IF(AO$3=$DF55+'Model Setup'!$E$7,SUMIF($AD$3:$BA$3,"="&amp;$DF55+'Model Setup'!$E$7,$B55:$Y55)+'Model Setup'!$E$8*(SUMIF($AD$3:$BA$3,"&lt;"&amp;$DF55,$B55:$Y55)+SUMIF($AD$3:$BA$3,"&gt;="&amp;$DG55,$B55:$Y55)),
IF(AO$3=$DF55+'Model Setup'!$F$7,SUMIF($AD$3:$BA$3,"="&amp;$DF55+'Model Setup'!$F$7,$B55:$Y55)+'Model Setup'!$F$8*(SUMIF($AD$3:$BA$3,"&lt;"&amp;$DF55,$B55:$Y55)+SUMIF($AD$3:$BA$3,"&gt;="&amp;$DG55,$B55:$Y55)),
IF(AO$3=$DF55+'Model Setup'!$G$7,SUMIF($AD$3:$BA$3,"="&amp;$DF55+'Model Setup'!$G$7,$B55:$Y55)+'Model Setup'!$G$8*(SUMIF($AD$3:$BA$3,"&lt;"&amp;$DF55,$B55:$Y55)+SUMIF($AD$3:$BA$3,"&gt;="&amp;$DG55,$B55:$Y55)),
IF(AO$3=$DF55+'Model Setup'!$H$7,SUMIF($AD$3:$BA$3,"="&amp;$DF55+'Model Setup'!$H$7,$B55:$Y55)+'Model Setup'!$H$8*(SUMIF($AD$3:$BA$3,"&lt;"&amp;$DF55,$B55:$Y55)+SUMIF($AD$3:$BA$3,"&gt;="&amp;$DG55,$B55:$Y55)),
IF(AO$3=$DF55+'Model Setup'!$I$7,SUMIF($AD$3:$BA$3,"="&amp;$DF55+'Model Setup'!$I$7,$B55:$Y55)+'Model Setup'!$I$8*(SUMIF($AD$3:$BA$3,"&lt;"&amp;$DF55,$B55:$Y55)+SUMIF($AD$3:$BA$3,"&gt;="&amp;$DG55,$B55:$Y55)),
IF(AO$3=$DF55+'Model Setup'!$J$7,SUMIF($AD$3:$BA$3,"="&amp;$DF55+'Model Setup'!$J$7,$B55:$Y55)+'Model Setup'!$J$8*(SUMIF($AD$3:$BA$3,"&lt;"&amp;$DF55,$B55:$Y55)+SUMIF($AD$3:$BA$3,"&gt;="&amp;$DG55,$B55:$Y55)),
IF(AO$3=$DF55+'Model Setup'!$K$7,SUMIF($AD$3:$BA$3,"="&amp;$DF55+'Model Setup'!$K$7,$B55:$Y55)+'Model Setup'!$K$8*(SUMIF($AD$3:$BA$3,"&lt;"&amp;$DF55,$B55:$Y55)+SUMIF($AD$3:$BA$3,"&gt;="&amp;$DG55,$B55:$Y55)),
IF(AO$3=$DF55+'Model Setup'!$L$7,SUMIF($AD$3:$BA$3,"="&amp;$DF55+'Model Setup'!$L$7,$B55:$Y55)+'Model Setup'!$L$8*(SUMIF($AD$3:$BA$3,"&lt;"&amp;$DF55,$B55:$Y55)+SUMIF($AD$3:$BA$3,"&gt;="&amp;$DG55,$B55:$Y55)),
IF(AO$3=$DF55+'Model Setup'!$M$7,SUMIF($AD$3:$BA$3,"="&amp;$DF55+'Model Setup'!$M$7,$B55:$Y55)+'Model Setup'!$M$8*(SUMIF($AD$3:$BA$3,"&lt;"&amp;$DF55,$B55:$Y55)+SUMIF($AD$3:$BA$3,"&gt;="&amp;$DG55,$B55:$Y55)),
IF(AO$3=$DF55+'Model Setup'!$N$7,SUMIF($AD$3:$BA$3,"="&amp;$DF55+'Model Setup'!$N$7,$B55:$Y55)+'Model Setup'!$N$8*(SUMIF($AD$3:$BA$3,"&lt;"&amp;$DF55,$B55:$Y55)+SUMIF($AD$3:$BA$3,"&gt;="&amp;$DG55,$B55:$Y55)),
IF(AO$3&lt;$DG55,M55,0))))))))))))))),0)</f>
        <v>22</v>
      </c>
      <c r="AP55" s="47">
        <f>ROUND(IF(AP$3&lt;$DF55,0,
IF(AP$3=$DF55+'Model Setup'!$B$7,SUMIF($AD$3:$BA$3,"="&amp;$DF55+'Model Setup'!$B$7,$B55:$Y55)+'Model Setup'!$B$8*(SUMIF($AD$3:$BA$3,"&lt;"&amp;$DF55,$B55:$Y55)+SUMIF($AD$3:$BA$3,"&gt;="&amp;$DG55,$B55:$Y55)),
IF(AP$3=$DF55+'Model Setup'!$C$7,SUMIF($AD$3:$BA$3,"="&amp;$DF55+'Model Setup'!$C$7,$B55:$Y55)+'Model Setup'!$C$8*(SUMIF($AD$3:$BA$3,"&lt;"&amp;$DF55,$B55:$Y55)+SUMIF($AD$3:$BA$3,"&gt;="&amp;$DG55,$B55:$Y55)),
IF(AP$3=$DF55+'Model Setup'!$D$7,SUMIF($AD$3:$BA$3,"="&amp;$DF55+'Model Setup'!$D$7,$B55:$Y55)+'Model Setup'!$D$8*(SUMIF($AD$3:$BA$3,"&lt;"&amp;$DF55,$B55:$Y55)+SUMIF($AD$3:$BA$3,"&gt;="&amp;$DG55,$B55:$Y55)),
IF(AP$3=$DF55+'Model Setup'!$E$7,SUMIF($AD$3:$BA$3,"="&amp;$DF55+'Model Setup'!$E$7,$B55:$Y55)+'Model Setup'!$E$8*(SUMIF($AD$3:$BA$3,"&lt;"&amp;$DF55,$B55:$Y55)+SUMIF($AD$3:$BA$3,"&gt;="&amp;$DG55,$B55:$Y55)),
IF(AP$3=$DF55+'Model Setup'!$F$7,SUMIF($AD$3:$BA$3,"="&amp;$DF55+'Model Setup'!$F$7,$B55:$Y55)+'Model Setup'!$F$8*(SUMIF($AD$3:$BA$3,"&lt;"&amp;$DF55,$B55:$Y55)+SUMIF($AD$3:$BA$3,"&gt;="&amp;$DG55,$B55:$Y55)),
IF(AP$3=$DF55+'Model Setup'!$G$7,SUMIF($AD$3:$BA$3,"="&amp;$DF55+'Model Setup'!$G$7,$B55:$Y55)+'Model Setup'!$G$8*(SUMIF($AD$3:$BA$3,"&lt;"&amp;$DF55,$B55:$Y55)+SUMIF($AD$3:$BA$3,"&gt;="&amp;$DG55,$B55:$Y55)),
IF(AP$3=$DF55+'Model Setup'!$H$7,SUMIF($AD$3:$BA$3,"="&amp;$DF55+'Model Setup'!$H$7,$B55:$Y55)+'Model Setup'!$H$8*(SUMIF($AD$3:$BA$3,"&lt;"&amp;$DF55,$B55:$Y55)+SUMIF($AD$3:$BA$3,"&gt;="&amp;$DG55,$B55:$Y55)),
IF(AP$3=$DF55+'Model Setup'!$I$7,SUMIF($AD$3:$BA$3,"="&amp;$DF55+'Model Setup'!$I$7,$B55:$Y55)+'Model Setup'!$I$8*(SUMIF($AD$3:$BA$3,"&lt;"&amp;$DF55,$B55:$Y55)+SUMIF($AD$3:$BA$3,"&gt;="&amp;$DG55,$B55:$Y55)),
IF(AP$3=$DF55+'Model Setup'!$J$7,SUMIF($AD$3:$BA$3,"="&amp;$DF55+'Model Setup'!$J$7,$B55:$Y55)+'Model Setup'!$J$8*(SUMIF($AD$3:$BA$3,"&lt;"&amp;$DF55,$B55:$Y55)+SUMIF($AD$3:$BA$3,"&gt;="&amp;$DG55,$B55:$Y55)),
IF(AP$3=$DF55+'Model Setup'!$K$7,SUMIF($AD$3:$BA$3,"="&amp;$DF55+'Model Setup'!$K$7,$B55:$Y55)+'Model Setup'!$K$8*(SUMIF($AD$3:$BA$3,"&lt;"&amp;$DF55,$B55:$Y55)+SUMIF($AD$3:$BA$3,"&gt;="&amp;$DG55,$B55:$Y55)),
IF(AP$3=$DF55+'Model Setup'!$L$7,SUMIF($AD$3:$BA$3,"="&amp;$DF55+'Model Setup'!$L$7,$B55:$Y55)+'Model Setup'!$L$8*(SUMIF($AD$3:$BA$3,"&lt;"&amp;$DF55,$B55:$Y55)+SUMIF($AD$3:$BA$3,"&gt;="&amp;$DG55,$B55:$Y55)),
IF(AP$3=$DF55+'Model Setup'!$M$7,SUMIF($AD$3:$BA$3,"="&amp;$DF55+'Model Setup'!$M$7,$B55:$Y55)+'Model Setup'!$M$8*(SUMIF($AD$3:$BA$3,"&lt;"&amp;$DF55,$B55:$Y55)+SUMIF($AD$3:$BA$3,"&gt;="&amp;$DG55,$B55:$Y55)),
IF(AP$3=$DF55+'Model Setup'!$N$7,SUMIF($AD$3:$BA$3,"="&amp;$DF55+'Model Setup'!$N$7,$B55:$Y55)+'Model Setup'!$N$8*(SUMIF($AD$3:$BA$3,"&lt;"&amp;$DF55,$B55:$Y55)+SUMIF($AD$3:$BA$3,"&gt;="&amp;$DG55,$B55:$Y55)),
IF(AP$3&lt;$DG55,N55,0))))))))))))))),0)</f>
        <v>15</v>
      </c>
      <c r="AQ55" s="47">
        <f>ROUND(IF(AQ$3&lt;$DF55,0,
IF(AQ$3=$DF55+'Model Setup'!$B$7,SUMIF($AD$3:$BA$3,"="&amp;$DF55+'Model Setup'!$B$7,$B55:$Y55)+'Model Setup'!$B$8*(SUMIF($AD$3:$BA$3,"&lt;"&amp;$DF55,$B55:$Y55)+SUMIF($AD$3:$BA$3,"&gt;="&amp;$DG55,$B55:$Y55)),
IF(AQ$3=$DF55+'Model Setup'!$C$7,SUMIF($AD$3:$BA$3,"="&amp;$DF55+'Model Setup'!$C$7,$B55:$Y55)+'Model Setup'!$C$8*(SUMIF($AD$3:$BA$3,"&lt;"&amp;$DF55,$B55:$Y55)+SUMIF($AD$3:$BA$3,"&gt;="&amp;$DG55,$B55:$Y55)),
IF(AQ$3=$DF55+'Model Setup'!$D$7,SUMIF($AD$3:$BA$3,"="&amp;$DF55+'Model Setup'!$D$7,$B55:$Y55)+'Model Setup'!$D$8*(SUMIF($AD$3:$BA$3,"&lt;"&amp;$DF55,$B55:$Y55)+SUMIF($AD$3:$BA$3,"&gt;="&amp;$DG55,$B55:$Y55)),
IF(AQ$3=$DF55+'Model Setup'!$E$7,SUMIF($AD$3:$BA$3,"="&amp;$DF55+'Model Setup'!$E$7,$B55:$Y55)+'Model Setup'!$E$8*(SUMIF($AD$3:$BA$3,"&lt;"&amp;$DF55,$B55:$Y55)+SUMIF($AD$3:$BA$3,"&gt;="&amp;$DG55,$B55:$Y55)),
IF(AQ$3=$DF55+'Model Setup'!$F$7,SUMIF($AD$3:$BA$3,"="&amp;$DF55+'Model Setup'!$F$7,$B55:$Y55)+'Model Setup'!$F$8*(SUMIF($AD$3:$BA$3,"&lt;"&amp;$DF55,$B55:$Y55)+SUMIF($AD$3:$BA$3,"&gt;="&amp;$DG55,$B55:$Y55)),
IF(AQ$3=$DF55+'Model Setup'!$G$7,SUMIF($AD$3:$BA$3,"="&amp;$DF55+'Model Setup'!$G$7,$B55:$Y55)+'Model Setup'!$G$8*(SUMIF($AD$3:$BA$3,"&lt;"&amp;$DF55,$B55:$Y55)+SUMIF($AD$3:$BA$3,"&gt;="&amp;$DG55,$B55:$Y55)),
IF(AQ$3=$DF55+'Model Setup'!$H$7,SUMIF($AD$3:$BA$3,"="&amp;$DF55+'Model Setup'!$H$7,$B55:$Y55)+'Model Setup'!$H$8*(SUMIF($AD$3:$BA$3,"&lt;"&amp;$DF55,$B55:$Y55)+SUMIF($AD$3:$BA$3,"&gt;="&amp;$DG55,$B55:$Y55)),
IF(AQ$3=$DF55+'Model Setup'!$I$7,SUMIF($AD$3:$BA$3,"="&amp;$DF55+'Model Setup'!$I$7,$B55:$Y55)+'Model Setup'!$I$8*(SUMIF($AD$3:$BA$3,"&lt;"&amp;$DF55,$B55:$Y55)+SUMIF($AD$3:$BA$3,"&gt;="&amp;$DG55,$B55:$Y55)),
IF(AQ$3=$DF55+'Model Setup'!$J$7,SUMIF($AD$3:$BA$3,"="&amp;$DF55+'Model Setup'!$J$7,$B55:$Y55)+'Model Setup'!$J$8*(SUMIF($AD$3:$BA$3,"&lt;"&amp;$DF55,$B55:$Y55)+SUMIF($AD$3:$BA$3,"&gt;="&amp;$DG55,$B55:$Y55)),
IF(AQ$3=$DF55+'Model Setup'!$K$7,SUMIF($AD$3:$BA$3,"="&amp;$DF55+'Model Setup'!$K$7,$B55:$Y55)+'Model Setup'!$K$8*(SUMIF($AD$3:$BA$3,"&lt;"&amp;$DF55,$B55:$Y55)+SUMIF($AD$3:$BA$3,"&gt;="&amp;$DG55,$B55:$Y55)),
IF(AQ$3=$DF55+'Model Setup'!$L$7,SUMIF($AD$3:$BA$3,"="&amp;$DF55+'Model Setup'!$L$7,$B55:$Y55)+'Model Setup'!$L$8*(SUMIF($AD$3:$BA$3,"&lt;"&amp;$DF55,$B55:$Y55)+SUMIF($AD$3:$BA$3,"&gt;="&amp;$DG55,$B55:$Y55)),
IF(AQ$3=$DF55+'Model Setup'!$M$7,SUMIF($AD$3:$BA$3,"="&amp;$DF55+'Model Setup'!$M$7,$B55:$Y55)+'Model Setup'!$M$8*(SUMIF($AD$3:$BA$3,"&lt;"&amp;$DF55,$B55:$Y55)+SUMIF($AD$3:$BA$3,"&gt;="&amp;$DG55,$B55:$Y55)),
IF(AQ$3=$DF55+'Model Setup'!$N$7,SUMIF($AD$3:$BA$3,"="&amp;$DF55+'Model Setup'!$N$7,$B55:$Y55)+'Model Setup'!$N$8*(SUMIF($AD$3:$BA$3,"&lt;"&amp;$DF55,$B55:$Y55)+SUMIF($AD$3:$BA$3,"&gt;="&amp;$DG55,$B55:$Y55)),
IF(AQ$3&lt;$DG55,O55,0))))))))))))))),0)</f>
        <v>6</v>
      </c>
      <c r="AR55" s="47">
        <f>ROUND(IF(AR$3&lt;$DF55,0,
IF(AR$3=$DF55+'Model Setup'!$B$7,SUMIF($AD$3:$BA$3,"="&amp;$DF55+'Model Setup'!$B$7,$B55:$Y55)+'Model Setup'!$B$8*(SUMIF($AD$3:$BA$3,"&lt;"&amp;$DF55,$B55:$Y55)+SUMIF($AD$3:$BA$3,"&gt;="&amp;$DG55,$B55:$Y55)),
IF(AR$3=$DF55+'Model Setup'!$C$7,SUMIF($AD$3:$BA$3,"="&amp;$DF55+'Model Setup'!$C$7,$B55:$Y55)+'Model Setup'!$C$8*(SUMIF($AD$3:$BA$3,"&lt;"&amp;$DF55,$B55:$Y55)+SUMIF($AD$3:$BA$3,"&gt;="&amp;$DG55,$B55:$Y55)),
IF(AR$3=$DF55+'Model Setup'!$D$7,SUMIF($AD$3:$BA$3,"="&amp;$DF55+'Model Setup'!$D$7,$B55:$Y55)+'Model Setup'!$D$8*(SUMIF($AD$3:$BA$3,"&lt;"&amp;$DF55,$B55:$Y55)+SUMIF($AD$3:$BA$3,"&gt;="&amp;$DG55,$B55:$Y55)),
IF(AR$3=$DF55+'Model Setup'!$E$7,SUMIF($AD$3:$BA$3,"="&amp;$DF55+'Model Setup'!$E$7,$B55:$Y55)+'Model Setup'!$E$8*(SUMIF($AD$3:$BA$3,"&lt;"&amp;$DF55,$B55:$Y55)+SUMIF($AD$3:$BA$3,"&gt;="&amp;$DG55,$B55:$Y55)),
IF(AR$3=$DF55+'Model Setup'!$F$7,SUMIF($AD$3:$BA$3,"="&amp;$DF55+'Model Setup'!$F$7,$B55:$Y55)+'Model Setup'!$F$8*(SUMIF($AD$3:$BA$3,"&lt;"&amp;$DF55,$B55:$Y55)+SUMIF($AD$3:$BA$3,"&gt;="&amp;$DG55,$B55:$Y55)),
IF(AR$3=$DF55+'Model Setup'!$G$7,SUMIF($AD$3:$BA$3,"="&amp;$DF55+'Model Setup'!$G$7,$B55:$Y55)+'Model Setup'!$G$8*(SUMIF($AD$3:$BA$3,"&lt;"&amp;$DF55,$B55:$Y55)+SUMIF($AD$3:$BA$3,"&gt;="&amp;$DG55,$B55:$Y55)),
IF(AR$3=$DF55+'Model Setup'!$H$7,SUMIF($AD$3:$BA$3,"="&amp;$DF55+'Model Setup'!$H$7,$B55:$Y55)+'Model Setup'!$H$8*(SUMIF($AD$3:$BA$3,"&lt;"&amp;$DF55,$B55:$Y55)+SUMIF($AD$3:$BA$3,"&gt;="&amp;$DG55,$B55:$Y55)),
IF(AR$3=$DF55+'Model Setup'!$I$7,SUMIF($AD$3:$BA$3,"="&amp;$DF55+'Model Setup'!$I$7,$B55:$Y55)+'Model Setup'!$I$8*(SUMIF($AD$3:$BA$3,"&lt;"&amp;$DF55,$B55:$Y55)+SUMIF($AD$3:$BA$3,"&gt;="&amp;$DG55,$B55:$Y55)),
IF(AR$3=$DF55+'Model Setup'!$J$7,SUMIF($AD$3:$BA$3,"="&amp;$DF55+'Model Setup'!$J$7,$B55:$Y55)+'Model Setup'!$J$8*(SUMIF($AD$3:$BA$3,"&lt;"&amp;$DF55,$B55:$Y55)+SUMIF($AD$3:$BA$3,"&gt;="&amp;$DG55,$B55:$Y55)),
IF(AR$3=$DF55+'Model Setup'!$K$7,SUMIF($AD$3:$BA$3,"="&amp;$DF55+'Model Setup'!$K$7,$B55:$Y55)+'Model Setup'!$K$8*(SUMIF($AD$3:$BA$3,"&lt;"&amp;$DF55,$B55:$Y55)+SUMIF($AD$3:$BA$3,"&gt;="&amp;$DG55,$B55:$Y55)),
IF(AR$3=$DF55+'Model Setup'!$L$7,SUMIF($AD$3:$BA$3,"="&amp;$DF55+'Model Setup'!$L$7,$B55:$Y55)+'Model Setup'!$L$8*(SUMIF($AD$3:$BA$3,"&lt;"&amp;$DF55,$B55:$Y55)+SUMIF($AD$3:$BA$3,"&gt;="&amp;$DG55,$B55:$Y55)),
IF(AR$3=$DF55+'Model Setup'!$M$7,SUMIF($AD$3:$BA$3,"="&amp;$DF55+'Model Setup'!$M$7,$B55:$Y55)+'Model Setup'!$M$8*(SUMIF($AD$3:$BA$3,"&lt;"&amp;$DF55,$B55:$Y55)+SUMIF($AD$3:$BA$3,"&gt;="&amp;$DG55,$B55:$Y55)),
IF(AR$3=$DF55+'Model Setup'!$N$7,SUMIF($AD$3:$BA$3,"="&amp;$DF55+'Model Setup'!$N$7,$B55:$Y55)+'Model Setup'!$N$8*(SUMIF($AD$3:$BA$3,"&lt;"&amp;$DF55,$B55:$Y55)+SUMIF($AD$3:$BA$3,"&gt;="&amp;$DG55,$B55:$Y55)),
IF(AR$3&lt;$DG55,P55,0))))))))))))))),0)</f>
        <v>5</v>
      </c>
      <c r="AS55" s="47">
        <f>ROUND(IF(AS$3&lt;$DF55,0,
IF(AS$3=$DF55+'Model Setup'!$B$7,SUMIF($AD$3:$BA$3,"="&amp;$DF55+'Model Setup'!$B$7,$B55:$Y55)+'Model Setup'!$B$8*(SUMIF($AD$3:$BA$3,"&lt;"&amp;$DF55,$B55:$Y55)+SUMIF($AD$3:$BA$3,"&gt;="&amp;$DG55,$B55:$Y55)),
IF(AS$3=$DF55+'Model Setup'!$C$7,SUMIF($AD$3:$BA$3,"="&amp;$DF55+'Model Setup'!$C$7,$B55:$Y55)+'Model Setup'!$C$8*(SUMIF($AD$3:$BA$3,"&lt;"&amp;$DF55,$B55:$Y55)+SUMIF($AD$3:$BA$3,"&gt;="&amp;$DG55,$B55:$Y55)),
IF(AS$3=$DF55+'Model Setup'!$D$7,SUMIF($AD$3:$BA$3,"="&amp;$DF55+'Model Setup'!$D$7,$B55:$Y55)+'Model Setup'!$D$8*(SUMIF($AD$3:$BA$3,"&lt;"&amp;$DF55,$B55:$Y55)+SUMIF($AD$3:$BA$3,"&gt;="&amp;$DG55,$B55:$Y55)),
IF(AS$3=$DF55+'Model Setup'!$E$7,SUMIF($AD$3:$BA$3,"="&amp;$DF55+'Model Setup'!$E$7,$B55:$Y55)+'Model Setup'!$E$8*(SUMIF($AD$3:$BA$3,"&lt;"&amp;$DF55,$B55:$Y55)+SUMIF($AD$3:$BA$3,"&gt;="&amp;$DG55,$B55:$Y55)),
IF(AS$3=$DF55+'Model Setup'!$F$7,SUMIF($AD$3:$BA$3,"="&amp;$DF55+'Model Setup'!$F$7,$B55:$Y55)+'Model Setup'!$F$8*(SUMIF($AD$3:$BA$3,"&lt;"&amp;$DF55,$B55:$Y55)+SUMIF($AD$3:$BA$3,"&gt;="&amp;$DG55,$B55:$Y55)),
IF(AS$3=$DF55+'Model Setup'!$G$7,SUMIF($AD$3:$BA$3,"="&amp;$DF55+'Model Setup'!$G$7,$B55:$Y55)+'Model Setup'!$G$8*(SUMIF($AD$3:$BA$3,"&lt;"&amp;$DF55,$B55:$Y55)+SUMIF($AD$3:$BA$3,"&gt;="&amp;$DG55,$B55:$Y55)),
IF(AS$3=$DF55+'Model Setup'!$H$7,SUMIF($AD$3:$BA$3,"="&amp;$DF55+'Model Setup'!$H$7,$B55:$Y55)+'Model Setup'!$H$8*(SUMIF($AD$3:$BA$3,"&lt;"&amp;$DF55,$B55:$Y55)+SUMIF($AD$3:$BA$3,"&gt;="&amp;$DG55,$B55:$Y55)),
IF(AS$3=$DF55+'Model Setup'!$I$7,SUMIF($AD$3:$BA$3,"="&amp;$DF55+'Model Setup'!$I$7,$B55:$Y55)+'Model Setup'!$I$8*(SUMIF($AD$3:$BA$3,"&lt;"&amp;$DF55,$B55:$Y55)+SUMIF($AD$3:$BA$3,"&gt;="&amp;$DG55,$B55:$Y55)),
IF(AS$3=$DF55+'Model Setup'!$J$7,SUMIF($AD$3:$BA$3,"="&amp;$DF55+'Model Setup'!$J$7,$B55:$Y55)+'Model Setup'!$J$8*(SUMIF($AD$3:$BA$3,"&lt;"&amp;$DF55,$B55:$Y55)+SUMIF($AD$3:$BA$3,"&gt;="&amp;$DG55,$B55:$Y55)),
IF(AS$3=$DF55+'Model Setup'!$K$7,SUMIF($AD$3:$BA$3,"="&amp;$DF55+'Model Setup'!$K$7,$B55:$Y55)+'Model Setup'!$K$8*(SUMIF($AD$3:$BA$3,"&lt;"&amp;$DF55,$B55:$Y55)+SUMIF($AD$3:$BA$3,"&gt;="&amp;$DG55,$B55:$Y55)),
IF(AS$3=$DF55+'Model Setup'!$L$7,SUMIF($AD$3:$BA$3,"="&amp;$DF55+'Model Setup'!$L$7,$B55:$Y55)+'Model Setup'!$L$8*(SUMIF($AD$3:$BA$3,"&lt;"&amp;$DF55,$B55:$Y55)+SUMIF($AD$3:$BA$3,"&gt;="&amp;$DG55,$B55:$Y55)),
IF(AS$3=$DF55+'Model Setup'!$M$7,SUMIF($AD$3:$BA$3,"="&amp;$DF55+'Model Setup'!$M$7,$B55:$Y55)+'Model Setup'!$M$8*(SUMIF($AD$3:$BA$3,"&lt;"&amp;$DF55,$B55:$Y55)+SUMIF($AD$3:$BA$3,"&gt;="&amp;$DG55,$B55:$Y55)),
IF(AS$3=$DF55+'Model Setup'!$N$7,SUMIF($AD$3:$BA$3,"="&amp;$DF55+'Model Setup'!$N$7,$B55:$Y55)+'Model Setup'!$N$8*(SUMIF($AD$3:$BA$3,"&lt;"&amp;$DF55,$B55:$Y55)+SUMIF($AD$3:$BA$3,"&gt;="&amp;$DG55,$B55:$Y55)),
IF(AS$3&lt;$DG55,Q55,0))))))))))))))),0)</f>
        <v>14</v>
      </c>
      <c r="AT55" s="47">
        <f>ROUND(IF(AT$3&lt;$DF55,0,
IF(AT$3=$DF55+'Model Setup'!$B$7,SUMIF($AD$3:$BA$3,"="&amp;$DF55+'Model Setup'!$B$7,$B55:$Y55)+'Model Setup'!$B$8*(SUMIF($AD$3:$BA$3,"&lt;"&amp;$DF55,$B55:$Y55)+SUMIF($AD$3:$BA$3,"&gt;="&amp;$DG55,$B55:$Y55)),
IF(AT$3=$DF55+'Model Setup'!$C$7,SUMIF($AD$3:$BA$3,"="&amp;$DF55+'Model Setup'!$C$7,$B55:$Y55)+'Model Setup'!$C$8*(SUMIF($AD$3:$BA$3,"&lt;"&amp;$DF55,$B55:$Y55)+SUMIF($AD$3:$BA$3,"&gt;="&amp;$DG55,$B55:$Y55)),
IF(AT$3=$DF55+'Model Setup'!$D$7,SUMIF($AD$3:$BA$3,"="&amp;$DF55+'Model Setup'!$D$7,$B55:$Y55)+'Model Setup'!$D$8*(SUMIF($AD$3:$BA$3,"&lt;"&amp;$DF55,$B55:$Y55)+SUMIF($AD$3:$BA$3,"&gt;="&amp;$DG55,$B55:$Y55)),
IF(AT$3=$DF55+'Model Setup'!$E$7,SUMIF($AD$3:$BA$3,"="&amp;$DF55+'Model Setup'!$E$7,$B55:$Y55)+'Model Setup'!$E$8*(SUMIF($AD$3:$BA$3,"&lt;"&amp;$DF55,$B55:$Y55)+SUMIF($AD$3:$BA$3,"&gt;="&amp;$DG55,$B55:$Y55)),
IF(AT$3=$DF55+'Model Setup'!$F$7,SUMIF($AD$3:$BA$3,"="&amp;$DF55+'Model Setup'!$F$7,$B55:$Y55)+'Model Setup'!$F$8*(SUMIF($AD$3:$BA$3,"&lt;"&amp;$DF55,$B55:$Y55)+SUMIF($AD$3:$BA$3,"&gt;="&amp;$DG55,$B55:$Y55)),
IF(AT$3=$DF55+'Model Setup'!$G$7,SUMIF($AD$3:$BA$3,"="&amp;$DF55+'Model Setup'!$G$7,$B55:$Y55)+'Model Setup'!$G$8*(SUMIF($AD$3:$BA$3,"&lt;"&amp;$DF55,$B55:$Y55)+SUMIF($AD$3:$BA$3,"&gt;="&amp;$DG55,$B55:$Y55)),
IF(AT$3=$DF55+'Model Setup'!$H$7,SUMIF($AD$3:$BA$3,"="&amp;$DF55+'Model Setup'!$H$7,$B55:$Y55)+'Model Setup'!$H$8*(SUMIF($AD$3:$BA$3,"&lt;"&amp;$DF55,$B55:$Y55)+SUMIF($AD$3:$BA$3,"&gt;="&amp;$DG55,$B55:$Y55)),
IF(AT$3=$DF55+'Model Setup'!$I$7,SUMIF($AD$3:$BA$3,"="&amp;$DF55+'Model Setup'!$I$7,$B55:$Y55)+'Model Setup'!$I$8*(SUMIF($AD$3:$BA$3,"&lt;"&amp;$DF55,$B55:$Y55)+SUMIF($AD$3:$BA$3,"&gt;="&amp;$DG55,$B55:$Y55)),
IF(AT$3=$DF55+'Model Setup'!$J$7,SUMIF($AD$3:$BA$3,"="&amp;$DF55+'Model Setup'!$J$7,$B55:$Y55)+'Model Setup'!$J$8*(SUMIF($AD$3:$BA$3,"&lt;"&amp;$DF55,$B55:$Y55)+SUMIF($AD$3:$BA$3,"&gt;="&amp;$DG55,$B55:$Y55)),
IF(AT$3=$DF55+'Model Setup'!$K$7,SUMIF($AD$3:$BA$3,"="&amp;$DF55+'Model Setup'!$K$7,$B55:$Y55)+'Model Setup'!$K$8*(SUMIF($AD$3:$BA$3,"&lt;"&amp;$DF55,$B55:$Y55)+SUMIF($AD$3:$BA$3,"&gt;="&amp;$DG55,$B55:$Y55)),
IF(AT$3=$DF55+'Model Setup'!$L$7,SUMIF($AD$3:$BA$3,"="&amp;$DF55+'Model Setup'!$L$7,$B55:$Y55)+'Model Setup'!$L$8*(SUMIF($AD$3:$BA$3,"&lt;"&amp;$DF55,$B55:$Y55)+SUMIF($AD$3:$BA$3,"&gt;="&amp;$DG55,$B55:$Y55)),
IF(AT$3=$DF55+'Model Setup'!$M$7,SUMIF($AD$3:$BA$3,"="&amp;$DF55+'Model Setup'!$M$7,$B55:$Y55)+'Model Setup'!$M$8*(SUMIF($AD$3:$BA$3,"&lt;"&amp;$DF55,$B55:$Y55)+SUMIF($AD$3:$BA$3,"&gt;="&amp;$DG55,$B55:$Y55)),
IF(AT$3=$DF55+'Model Setup'!$N$7,SUMIF($AD$3:$BA$3,"="&amp;$DF55+'Model Setup'!$N$7,$B55:$Y55)+'Model Setup'!$N$8*(SUMIF($AD$3:$BA$3,"&lt;"&amp;$DF55,$B55:$Y55)+SUMIF($AD$3:$BA$3,"&gt;="&amp;$DG55,$B55:$Y55)),
IF(AT$3&lt;$DG55,R55,0))))))))))))))),0)</f>
        <v>11</v>
      </c>
      <c r="AU55" s="47">
        <f>ROUND(IF(AU$3&lt;$DF55,0,
IF(AU$3=$DF55+'Model Setup'!$B$7,SUMIF($AD$3:$BA$3,"="&amp;$DF55+'Model Setup'!$B$7,$B55:$Y55)+'Model Setup'!$B$8*(SUMIF($AD$3:$BA$3,"&lt;"&amp;$DF55,$B55:$Y55)+SUMIF($AD$3:$BA$3,"&gt;="&amp;$DG55,$B55:$Y55)),
IF(AU$3=$DF55+'Model Setup'!$C$7,SUMIF($AD$3:$BA$3,"="&amp;$DF55+'Model Setup'!$C$7,$B55:$Y55)+'Model Setup'!$C$8*(SUMIF($AD$3:$BA$3,"&lt;"&amp;$DF55,$B55:$Y55)+SUMIF($AD$3:$BA$3,"&gt;="&amp;$DG55,$B55:$Y55)),
IF(AU$3=$DF55+'Model Setup'!$D$7,SUMIF($AD$3:$BA$3,"="&amp;$DF55+'Model Setup'!$D$7,$B55:$Y55)+'Model Setup'!$D$8*(SUMIF($AD$3:$BA$3,"&lt;"&amp;$DF55,$B55:$Y55)+SUMIF($AD$3:$BA$3,"&gt;="&amp;$DG55,$B55:$Y55)),
IF(AU$3=$DF55+'Model Setup'!$E$7,SUMIF($AD$3:$BA$3,"="&amp;$DF55+'Model Setup'!$E$7,$B55:$Y55)+'Model Setup'!$E$8*(SUMIF($AD$3:$BA$3,"&lt;"&amp;$DF55,$B55:$Y55)+SUMIF($AD$3:$BA$3,"&gt;="&amp;$DG55,$B55:$Y55)),
IF(AU$3=$DF55+'Model Setup'!$F$7,SUMIF($AD$3:$BA$3,"="&amp;$DF55+'Model Setup'!$F$7,$B55:$Y55)+'Model Setup'!$F$8*(SUMIF($AD$3:$BA$3,"&lt;"&amp;$DF55,$B55:$Y55)+SUMIF($AD$3:$BA$3,"&gt;="&amp;$DG55,$B55:$Y55)),
IF(AU$3=$DF55+'Model Setup'!$G$7,SUMIF($AD$3:$BA$3,"="&amp;$DF55+'Model Setup'!$G$7,$B55:$Y55)+'Model Setup'!$G$8*(SUMIF($AD$3:$BA$3,"&lt;"&amp;$DF55,$B55:$Y55)+SUMIF($AD$3:$BA$3,"&gt;="&amp;$DG55,$B55:$Y55)),
IF(AU$3=$DF55+'Model Setup'!$H$7,SUMIF($AD$3:$BA$3,"="&amp;$DF55+'Model Setup'!$H$7,$B55:$Y55)+'Model Setup'!$H$8*(SUMIF($AD$3:$BA$3,"&lt;"&amp;$DF55,$B55:$Y55)+SUMIF($AD$3:$BA$3,"&gt;="&amp;$DG55,$B55:$Y55)),
IF(AU$3=$DF55+'Model Setup'!$I$7,SUMIF($AD$3:$BA$3,"="&amp;$DF55+'Model Setup'!$I$7,$B55:$Y55)+'Model Setup'!$I$8*(SUMIF($AD$3:$BA$3,"&lt;"&amp;$DF55,$B55:$Y55)+SUMIF($AD$3:$BA$3,"&gt;="&amp;$DG55,$B55:$Y55)),
IF(AU$3=$DF55+'Model Setup'!$J$7,SUMIF($AD$3:$BA$3,"="&amp;$DF55+'Model Setup'!$J$7,$B55:$Y55)+'Model Setup'!$J$8*(SUMIF($AD$3:$BA$3,"&lt;"&amp;$DF55,$B55:$Y55)+SUMIF($AD$3:$BA$3,"&gt;="&amp;$DG55,$B55:$Y55)),
IF(AU$3=$DF55+'Model Setup'!$K$7,SUMIF($AD$3:$BA$3,"="&amp;$DF55+'Model Setup'!$K$7,$B55:$Y55)+'Model Setup'!$K$8*(SUMIF($AD$3:$BA$3,"&lt;"&amp;$DF55,$B55:$Y55)+SUMIF($AD$3:$BA$3,"&gt;="&amp;$DG55,$B55:$Y55)),
IF(AU$3=$DF55+'Model Setup'!$L$7,SUMIF($AD$3:$BA$3,"="&amp;$DF55+'Model Setup'!$L$7,$B55:$Y55)+'Model Setup'!$L$8*(SUMIF($AD$3:$BA$3,"&lt;"&amp;$DF55,$B55:$Y55)+SUMIF($AD$3:$BA$3,"&gt;="&amp;$DG55,$B55:$Y55)),
IF(AU$3=$DF55+'Model Setup'!$M$7,SUMIF($AD$3:$BA$3,"="&amp;$DF55+'Model Setup'!$M$7,$B55:$Y55)+'Model Setup'!$M$8*(SUMIF($AD$3:$BA$3,"&lt;"&amp;$DF55,$B55:$Y55)+SUMIF($AD$3:$BA$3,"&gt;="&amp;$DG55,$B55:$Y55)),
IF(AU$3=$DF55+'Model Setup'!$N$7,SUMIF($AD$3:$BA$3,"="&amp;$DF55+'Model Setup'!$N$7,$B55:$Y55)+'Model Setup'!$N$8*(SUMIF($AD$3:$BA$3,"&lt;"&amp;$DF55,$B55:$Y55)+SUMIF($AD$3:$BA$3,"&gt;="&amp;$DG55,$B55:$Y55)),
IF(AU$3&lt;$DG55,S55,0))))))))))))))),0)</f>
        <v>8</v>
      </c>
      <c r="AV55" s="47">
        <f>ROUND(IF(AV$3&lt;$DF55,0,
IF(AV$3=$DF55+'Model Setup'!$B$7,SUMIF($AD$3:$BA$3,"="&amp;$DF55+'Model Setup'!$B$7,$B55:$Y55)+'Model Setup'!$B$8*(SUMIF($AD$3:$BA$3,"&lt;"&amp;$DF55,$B55:$Y55)+SUMIF($AD$3:$BA$3,"&gt;="&amp;$DG55,$B55:$Y55)),
IF(AV$3=$DF55+'Model Setup'!$C$7,SUMIF($AD$3:$BA$3,"="&amp;$DF55+'Model Setup'!$C$7,$B55:$Y55)+'Model Setup'!$C$8*(SUMIF($AD$3:$BA$3,"&lt;"&amp;$DF55,$B55:$Y55)+SUMIF($AD$3:$BA$3,"&gt;="&amp;$DG55,$B55:$Y55)),
IF(AV$3=$DF55+'Model Setup'!$D$7,SUMIF($AD$3:$BA$3,"="&amp;$DF55+'Model Setup'!$D$7,$B55:$Y55)+'Model Setup'!$D$8*(SUMIF($AD$3:$BA$3,"&lt;"&amp;$DF55,$B55:$Y55)+SUMIF($AD$3:$BA$3,"&gt;="&amp;$DG55,$B55:$Y55)),
IF(AV$3=$DF55+'Model Setup'!$E$7,SUMIF($AD$3:$BA$3,"="&amp;$DF55+'Model Setup'!$E$7,$B55:$Y55)+'Model Setup'!$E$8*(SUMIF($AD$3:$BA$3,"&lt;"&amp;$DF55,$B55:$Y55)+SUMIF($AD$3:$BA$3,"&gt;="&amp;$DG55,$B55:$Y55)),
IF(AV$3=$DF55+'Model Setup'!$F$7,SUMIF($AD$3:$BA$3,"="&amp;$DF55+'Model Setup'!$F$7,$B55:$Y55)+'Model Setup'!$F$8*(SUMIF($AD$3:$BA$3,"&lt;"&amp;$DF55,$B55:$Y55)+SUMIF($AD$3:$BA$3,"&gt;="&amp;$DG55,$B55:$Y55)),
IF(AV$3=$DF55+'Model Setup'!$G$7,SUMIF($AD$3:$BA$3,"="&amp;$DF55+'Model Setup'!$G$7,$B55:$Y55)+'Model Setup'!$G$8*(SUMIF($AD$3:$BA$3,"&lt;"&amp;$DF55,$B55:$Y55)+SUMIF($AD$3:$BA$3,"&gt;="&amp;$DG55,$B55:$Y55)),
IF(AV$3=$DF55+'Model Setup'!$H$7,SUMIF($AD$3:$BA$3,"="&amp;$DF55+'Model Setup'!$H$7,$B55:$Y55)+'Model Setup'!$H$8*(SUMIF($AD$3:$BA$3,"&lt;"&amp;$DF55,$B55:$Y55)+SUMIF($AD$3:$BA$3,"&gt;="&amp;$DG55,$B55:$Y55)),
IF(AV$3=$DF55+'Model Setup'!$I$7,SUMIF($AD$3:$BA$3,"="&amp;$DF55+'Model Setup'!$I$7,$B55:$Y55)+'Model Setup'!$I$8*(SUMIF($AD$3:$BA$3,"&lt;"&amp;$DF55,$B55:$Y55)+SUMIF($AD$3:$BA$3,"&gt;="&amp;$DG55,$B55:$Y55)),
IF(AV$3=$DF55+'Model Setup'!$J$7,SUMIF($AD$3:$BA$3,"="&amp;$DF55+'Model Setup'!$J$7,$B55:$Y55)+'Model Setup'!$J$8*(SUMIF($AD$3:$BA$3,"&lt;"&amp;$DF55,$B55:$Y55)+SUMIF($AD$3:$BA$3,"&gt;="&amp;$DG55,$B55:$Y55)),
IF(AV$3=$DF55+'Model Setup'!$K$7,SUMIF($AD$3:$BA$3,"="&amp;$DF55+'Model Setup'!$K$7,$B55:$Y55)+'Model Setup'!$K$8*(SUMIF($AD$3:$BA$3,"&lt;"&amp;$DF55,$B55:$Y55)+SUMIF($AD$3:$BA$3,"&gt;="&amp;$DG55,$B55:$Y55)),
IF(AV$3=$DF55+'Model Setup'!$L$7,SUMIF($AD$3:$BA$3,"="&amp;$DF55+'Model Setup'!$L$7,$B55:$Y55)+'Model Setup'!$L$8*(SUMIF($AD$3:$BA$3,"&lt;"&amp;$DF55,$B55:$Y55)+SUMIF($AD$3:$BA$3,"&gt;="&amp;$DG55,$B55:$Y55)),
IF(AV$3=$DF55+'Model Setup'!$M$7,SUMIF($AD$3:$BA$3,"="&amp;$DF55+'Model Setup'!$M$7,$B55:$Y55)+'Model Setup'!$M$8*(SUMIF($AD$3:$BA$3,"&lt;"&amp;$DF55,$B55:$Y55)+SUMIF($AD$3:$BA$3,"&gt;="&amp;$DG55,$B55:$Y55)),
IF(AV$3=$DF55+'Model Setup'!$N$7,SUMIF($AD$3:$BA$3,"="&amp;$DF55+'Model Setup'!$N$7,$B55:$Y55)+'Model Setup'!$N$8*(SUMIF($AD$3:$BA$3,"&lt;"&amp;$DF55,$B55:$Y55)+SUMIF($AD$3:$BA$3,"&gt;="&amp;$DG55,$B55:$Y55)),
IF(AV$3&lt;$DG55,T55,0))))))))))))))),0)</f>
        <v>0</v>
      </c>
      <c r="AW55" s="47">
        <f>ROUND(IF(AW$3&lt;$DF55,0,
IF(AW$3=$DF55+'Model Setup'!$B$7,SUMIF($AD$3:$BA$3,"="&amp;$DF55+'Model Setup'!$B$7,$B55:$Y55)+'Model Setup'!$B$8*(SUMIF($AD$3:$BA$3,"&lt;"&amp;$DF55,$B55:$Y55)+SUMIF($AD$3:$BA$3,"&gt;="&amp;$DG55,$B55:$Y55)),
IF(AW$3=$DF55+'Model Setup'!$C$7,SUMIF($AD$3:$BA$3,"="&amp;$DF55+'Model Setup'!$C$7,$B55:$Y55)+'Model Setup'!$C$8*(SUMIF($AD$3:$BA$3,"&lt;"&amp;$DF55,$B55:$Y55)+SUMIF($AD$3:$BA$3,"&gt;="&amp;$DG55,$B55:$Y55)),
IF(AW$3=$DF55+'Model Setup'!$D$7,SUMIF($AD$3:$BA$3,"="&amp;$DF55+'Model Setup'!$D$7,$B55:$Y55)+'Model Setup'!$D$8*(SUMIF($AD$3:$BA$3,"&lt;"&amp;$DF55,$B55:$Y55)+SUMIF($AD$3:$BA$3,"&gt;="&amp;$DG55,$B55:$Y55)),
IF(AW$3=$DF55+'Model Setup'!$E$7,SUMIF($AD$3:$BA$3,"="&amp;$DF55+'Model Setup'!$E$7,$B55:$Y55)+'Model Setup'!$E$8*(SUMIF($AD$3:$BA$3,"&lt;"&amp;$DF55,$B55:$Y55)+SUMIF($AD$3:$BA$3,"&gt;="&amp;$DG55,$B55:$Y55)),
IF(AW$3=$DF55+'Model Setup'!$F$7,SUMIF($AD$3:$BA$3,"="&amp;$DF55+'Model Setup'!$F$7,$B55:$Y55)+'Model Setup'!$F$8*(SUMIF($AD$3:$BA$3,"&lt;"&amp;$DF55,$B55:$Y55)+SUMIF($AD$3:$BA$3,"&gt;="&amp;$DG55,$B55:$Y55)),
IF(AW$3=$DF55+'Model Setup'!$G$7,SUMIF($AD$3:$BA$3,"="&amp;$DF55+'Model Setup'!$G$7,$B55:$Y55)+'Model Setup'!$G$8*(SUMIF($AD$3:$BA$3,"&lt;"&amp;$DF55,$B55:$Y55)+SUMIF($AD$3:$BA$3,"&gt;="&amp;$DG55,$B55:$Y55)),
IF(AW$3=$DF55+'Model Setup'!$H$7,SUMIF($AD$3:$BA$3,"="&amp;$DF55+'Model Setup'!$H$7,$B55:$Y55)+'Model Setup'!$H$8*(SUMIF($AD$3:$BA$3,"&lt;"&amp;$DF55,$B55:$Y55)+SUMIF($AD$3:$BA$3,"&gt;="&amp;$DG55,$B55:$Y55)),
IF(AW$3=$DF55+'Model Setup'!$I$7,SUMIF($AD$3:$BA$3,"="&amp;$DF55+'Model Setup'!$I$7,$B55:$Y55)+'Model Setup'!$I$8*(SUMIF($AD$3:$BA$3,"&lt;"&amp;$DF55,$B55:$Y55)+SUMIF($AD$3:$BA$3,"&gt;="&amp;$DG55,$B55:$Y55)),
IF(AW$3=$DF55+'Model Setup'!$J$7,SUMIF($AD$3:$BA$3,"="&amp;$DF55+'Model Setup'!$J$7,$B55:$Y55)+'Model Setup'!$J$8*(SUMIF($AD$3:$BA$3,"&lt;"&amp;$DF55,$B55:$Y55)+SUMIF($AD$3:$BA$3,"&gt;="&amp;$DG55,$B55:$Y55)),
IF(AW$3=$DF55+'Model Setup'!$K$7,SUMIF($AD$3:$BA$3,"="&amp;$DF55+'Model Setup'!$K$7,$B55:$Y55)+'Model Setup'!$K$8*(SUMIF($AD$3:$BA$3,"&lt;"&amp;$DF55,$B55:$Y55)+SUMIF($AD$3:$BA$3,"&gt;="&amp;$DG55,$B55:$Y55)),
IF(AW$3=$DF55+'Model Setup'!$L$7,SUMIF($AD$3:$BA$3,"="&amp;$DF55+'Model Setup'!$L$7,$B55:$Y55)+'Model Setup'!$L$8*(SUMIF($AD$3:$BA$3,"&lt;"&amp;$DF55,$B55:$Y55)+SUMIF($AD$3:$BA$3,"&gt;="&amp;$DG55,$B55:$Y55)),
IF(AW$3=$DF55+'Model Setup'!$M$7,SUMIF($AD$3:$BA$3,"="&amp;$DF55+'Model Setup'!$M$7,$B55:$Y55)+'Model Setup'!$M$8*(SUMIF($AD$3:$BA$3,"&lt;"&amp;$DF55,$B55:$Y55)+SUMIF($AD$3:$BA$3,"&gt;="&amp;$DG55,$B55:$Y55)),
IF(AW$3=$DF55+'Model Setup'!$N$7,SUMIF($AD$3:$BA$3,"="&amp;$DF55+'Model Setup'!$N$7,$B55:$Y55)+'Model Setup'!$N$8*(SUMIF($AD$3:$BA$3,"&lt;"&amp;$DF55,$B55:$Y55)+SUMIF($AD$3:$BA$3,"&gt;="&amp;$DG55,$B55:$Y55)),
IF(AW$3&lt;$DG55,U55,0))))))))))))))),0)</f>
        <v>0</v>
      </c>
      <c r="AX55" s="47">
        <f>ROUND(IF(AX$3&lt;$DF55,0,
IF(AX$3=$DF55+'Model Setup'!$B$7,SUMIF($AD$3:$BA$3,"="&amp;$DF55+'Model Setup'!$B$7,$B55:$Y55)+'Model Setup'!$B$8*(SUMIF($AD$3:$BA$3,"&lt;"&amp;$DF55,$B55:$Y55)+SUMIF($AD$3:$BA$3,"&gt;="&amp;$DG55,$B55:$Y55)),
IF(AX$3=$DF55+'Model Setup'!$C$7,SUMIF($AD$3:$BA$3,"="&amp;$DF55+'Model Setup'!$C$7,$B55:$Y55)+'Model Setup'!$C$8*(SUMIF($AD$3:$BA$3,"&lt;"&amp;$DF55,$B55:$Y55)+SUMIF($AD$3:$BA$3,"&gt;="&amp;$DG55,$B55:$Y55)),
IF(AX$3=$DF55+'Model Setup'!$D$7,SUMIF($AD$3:$BA$3,"="&amp;$DF55+'Model Setup'!$D$7,$B55:$Y55)+'Model Setup'!$D$8*(SUMIF($AD$3:$BA$3,"&lt;"&amp;$DF55,$B55:$Y55)+SUMIF($AD$3:$BA$3,"&gt;="&amp;$DG55,$B55:$Y55)),
IF(AX$3=$DF55+'Model Setup'!$E$7,SUMIF($AD$3:$BA$3,"="&amp;$DF55+'Model Setup'!$E$7,$B55:$Y55)+'Model Setup'!$E$8*(SUMIF($AD$3:$BA$3,"&lt;"&amp;$DF55,$B55:$Y55)+SUMIF($AD$3:$BA$3,"&gt;="&amp;$DG55,$B55:$Y55)),
IF(AX$3=$DF55+'Model Setup'!$F$7,SUMIF($AD$3:$BA$3,"="&amp;$DF55+'Model Setup'!$F$7,$B55:$Y55)+'Model Setup'!$F$8*(SUMIF($AD$3:$BA$3,"&lt;"&amp;$DF55,$B55:$Y55)+SUMIF($AD$3:$BA$3,"&gt;="&amp;$DG55,$B55:$Y55)),
IF(AX$3=$DF55+'Model Setup'!$G$7,SUMIF($AD$3:$BA$3,"="&amp;$DF55+'Model Setup'!$G$7,$B55:$Y55)+'Model Setup'!$G$8*(SUMIF($AD$3:$BA$3,"&lt;"&amp;$DF55,$B55:$Y55)+SUMIF($AD$3:$BA$3,"&gt;="&amp;$DG55,$B55:$Y55)),
IF(AX$3=$DF55+'Model Setup'!$H$7,SUMIF($AD$3:$BA$3,"="&amp;$DF55+'Model Setup'!$H$7,$B55:$Y55)+'Model Setup'!$H$8*(SUMIF($AD$3:$BA$3,"&lt;"&amp;$DF55,$B55:$Y55)+SUMIF($AD$3:$BA$3,"&gt;="&amp;$DG55,$B55:$Y55)),
IF(AX$3=$DF55+'Model Setup'!$I$7,SUMIF($AD$3:$BA$3,"="&amp;$DF55+'Model Setup'!$I$7,$B55:$Y55)+'Model Setup'!$I$8*(SUMIF($AD$3:$BA$3,"&lt;"&amp;$DF55,$B55:$Y55)+SUMIF($AD$3:$BA$3,"&gt;="&amp;$DG55,$B55:$Y55)),
IF(AX$3=$DF55+'Model Setup'!$J$7,SUMIF($AD$3:$BA$3,"="&amp;$DF55+'Model Setup'!$J$7,$B55:$Y55)+'Model Setup'!$J$8*(SUMIF($AD$3:$BA$3,"&lt;"&amp;$DF55,$B55:$Y55)+SUMIF($AD$3:$BA$3,"&gt;="&amp;$DG55,$B55:$Y55)),
IF(AX$3=$DF55+'Model Setup'!$K$7,SUMIF($AD$3:$BA$3,"="&amp;$DF55+'Model Setup'!$K$7,$B55:$Y55)+'Model Setup'!$K$8*(SUMIF($AD$3:$BA$3,"&lt;"&amp;$DF55,$B55:$Y55)+SUMIF($AD$3:$BA$3,"&gt;="&amp;$DG55,$B55:$Y55)),
IF(AX$3=$DF55+'Model Setup'!$L$7,SUMIF($AD$3:$BA$3,"="&amp;$DF55+'Model Setup'!$L$7,$B55:$Y55)+'Model Setup'!$L$8*(SUMIF($AD$3:$BA$3,"&lt;"&amp;$DF55,$B55:$Y55)+SUMIF($AD$3:$BA$3,"&gt;="&amp;$DG55,$B55:$Y55)),
IF(AX$3=$DF55+'Model Setup'!$M$7,SUMIF($AD$3:$BA$3,"="&amp;$DF55+'Model Setup'!$M$7,$B55:$Y55)+'Model Setup'!$M$8*(SUMIF($AD$3:$BA$3,"&lt;"&amp;$DF55,$B55:$Y55)+SUMIF($AD$3:$BA$3,"&gt;="&amp;$DG55,$B55:$Y55)),
IF(AX$3=$DF55+'Model Setup'!$N$7,SUMIF($AD$3:$BA$3,"="&amp;$DF55+'Model Setup'!$N$7,$B55:$Y55)+'Model Setup'!$N$8*(SUMIF($AD$3:$BA$3,"&lt;"&amp;$DF55,$B55:$Y55)+SUMIF($AD$3:$BA$3,"&gt;="&amp;$DG55,$B55:$Y55)),
IF(AX$3&lt;$DG55,V55,0))))))))))))))),0)</f>
        <v>0</v>
      </c>
      <c r="AY55" s="47">
        <f>ROUND(IF(AY$3&lt;$DF55,0,
IF(AY$3=$DF55+'Model Setup'!$B$7,SUMIF($AD$3:$BA$3,"="&amp;$DF55+'Model Setup'!$B$7,$B55:$Y55)+'Model Setup'!$B$8*(SUMIF($AD$3:$BA$3,"&lt;"&amp;$DF55,$B55:$Y55)+SUMIF($AD$3:$BA$3,"&gt;="&amp;$DG55,$B55:$Y55)),
IF(AY$3=$DF55+'Model Setup'!$C$7,SUMIF($AD$3:$BA$3,"="&amp;$DF55+'Model Setup'!$C$7,$B55:$Y55)+'Model Setup'!$C$8*(SUMIF($AD$3:$BA$3,"&lt;"&amp;$DF55,$B55:$Y55)+SUMIF($AD$3:$BA$3,"&gt;="&amp;$DG55,$B55:$Y55)),
IF(AY$3=$DF55+'Model Setup'!$D$7,SUMIF($AD$3:$BA$3,"="&amp;$DF55+'Model Setup'!$D$7,$B55:$Y55)+'Model Setup'!$D$8*(SUMIF($AD$3:$BA$3,"&lt;"&amp;$DF55,$B55:$Y55)+SUMIF($AD$3:$BA$3,"&gt;="&amp;$DG55,$B55:$Y55)),
IF(AY$3=$DF55+'Model Setup'!$E$7,SUMIF($AD$3:$BA$3,"="&amp;$DF55+'Model Setup'!$E$7,$B55:$Y55)+'Model Setup'!$E$8*(SUMIF($AD$3:$BA$3,"&lt;"&amp;$DF55,$B55:$Y55)+SUMIF($AD$3:$BA$3,"&gt;="&amp;$DG55,$B55:$Y55)),
IF(AY$3=$DF55+'Model Setup'!$F$7,SUMIF($AD$3:$BA$3,"="&amp;$DF55+'Model Setup'!$F$7,$B55:$Y55)+'Model Setup'!$F$8*(SUMIF($AD$3:$BA$3,"&lt;"&amp;$DF55,$B55:$Y55)+SUMIF($AD$3:$BA$3,"&gt;="&amp;$DG55,$B55:$Y55)),
IF(AY$3=$DF55+'Model Setup'!$G$7,SUMIF($AD$3:$BA$3,"="&amp;$DF55+'Model Setup'!$G$7,$B55:$Y55)+'Model Setup'!$G$8*(SUMIF($AD$3:$BA$3,"&lt;"&amp;$DF55,$B55:$Y55)+SUMIF($AD$3:$BA$3,"&gt;="&amp;$DG55,$B55:$Y55)),
IF(AY$3=$DF55+'Model Setup'!$H$7,SUMIF($AD$3:$BA$3,"="&amp;$DF55+'Model Setup'!$H$7,$B55:$Y55)+'Model Setup'!$H$8*(SUMIF($AD$3:$BA$3,"&lt;"&amp;$DF55,$B55:$Y55)+SUMIF($AD$3:$BA$3,"&gt;="&amp;$DG55,$B55:$Y55)),
IF(AY$3=$DF55+'Model Setup'!$I$7,SUMIF($AD$3:$BA$3,"="&amp;$DF55+'Model Setup'!$I$7,$B55:$Y55)+'Model Setup'!$I$8*(SUMIF($AD$3:$BA$3,"&lt;"&amp;$DF55,$B55:$Y55)+SUMIF($AD$3:$BA$3,"&gt;="&amp;$DG55,$B55:$Y55)),
IF(AY$3=$DF55+'Model Setup'!$J$7,SUMIF($AD$3:$BA$3,"="&amp;$DF55+'Model Setup'!$J$7,$B55:$Y55)+'Model Setup'!$J$8*(SUMIF($AD$3:$BA$3,"&lt;"&amp;$DF55,$B55:$Y55)+SUMIF($AD$3:$BA$3,"&gt;="&amp;$DG55,$B55:$Y55)),
IF(AY$3=$DF55+'Model Setup'!$K$7,SUMIF($AD$3:$BA$3,"="&amp;$DF55+'Model Setup'!$K$7,$B55:$Y55)+'Model Setup'!$K$8*(SUMIF($AD$3:$BA$3,"&lt;"&amp;$DF55,$B55:$Y55)+SUMIF($AD$3:$BA$3,"&gt;="&amp;$DG55,$B55:$Y55)),
IF(AY$3=$DF55+'Model Setup'!$L$7,SUMIF($AD$3:$BA$3,"="&amp;$DF55+'Model Setup'!$L$7,$B55:$Y55)+'Model Setup'!$L$8*(SUMIF($AD$3:$BA$3,"&lt;"&amp;$DF55,$B55:$Y55)+SUMIF($AD$3:$BA$3,"&gt;="&amp;$DG55,$B55:$Y55)),
IF(AY$3=$DF55+'Model Setup'!$M$7,SUMIF($AD$3:$BA$3,"="&amp;$DF55+'Model Setup'!$M$7,$B55:$Y55)+'Model Setup'!$M$8*(SUMIF($AD$3:$BA$3,"&lt;"&amp;$DF55,$B55:$Y55)+SUMIF($AD$3:$BA$3,"&gt;="&amp;$DG55,$B55:$Y55)),
IF(AY$3=$DF55+'Model Setup'!$N$7,SUMIF($AD$3:$BA$3,"="&amp;$DF55+'Model Setup'!$N$7,$B55:$Y55)+'Model Setup'!$N$8*(SUMIF($AD$3:$BA$3,"&lt;"&amp;$DF55,$B55:$Y55)+SUMIF($AD$3:$BA$3,"&gt;="&amp;$DG55,$B55:$Y55)),
IF(AY$3&lt;$DG55,W55,0))))))))))))))),0)</f>
        <v>0</v>
      </c>
      <c r="AZ55" s="47">
        <f>ROUND(IF(AZ$3&lt;$DF55,0,
IF(AZ$3=$DF55+'Model Setup'!$B$7,SUMIF($AD$3:$BA$3,"="&amp;$DF55+'Model Setup'!$B$7,$B55:$Y55)+'Model Setup'!$B$8*(SUMIF($AD$3:$BA$3,"&lt;"&amp;$DF55,$B55:$Y55)+SUMIF($AD$3:$BA$3,"&gt;="&amp;$DG55,$B55:$Y55)),
IF(AZ$3=$DF55+'Model Setup'!$C$7,SUMIF($AD$3:$BA$3,"="&amp;$DF55+'Model Setup'!$C$7,$B55:$Y55)+'Model Setup'!$C$8*(SUMIF($AD$3:$BA$3,"&lt;"&amp;$DF55,$B55:$Y55)+SUMIF($AD$3:$BA$3,"&gt;="&amp;$DG55,$B55:$Y55)),
IF(AZ$3=$DF55+'Model Setup'!$D$7,SUMIF($AD$3:$BA$3,"="&amp;$DF55+'Model Setup'!$D$7,$B55:$Y55)+'Model Setup'!$D$8*(SUMIF($AD$3:$BA$3,"&lt;"&amp;$DF55,$B55:$Y55)+SUMIF($AD$3:$BA$3,"&gt;="&amp;$DG55,$B55:$Y55)),
IF(AZ$3=$DF55+'Model Setup'!$E$7,SUMIF($AD$3:$BA$3,"="&amp;$DF55+'Model Setup'!$E$7,$B55:$Y55)+'Model Setup'!$E$8*(SUMIF($AD$3:$BA$3,"&lt;"&amp;$DF55,$B55:$Y55)+SUMIF($AD$3:$BA$3,"&gt;="&amp;$DG55,$B55:$Y55)),
IF(AZ$3=$DF55+'Model Setup'!$F$7,SUMIF($AD$3:$BA$3,"="&amp;$DF55+'Model Setup'!$F$7,$B55:$Y55)+'Model Setup'!$F$8*(SUMIF($AD$3:$BA$3,"&lt;"&amp;$DF55,$B55:$Y55)+SUMIF($AD$3:$BA$3,"&gt;="&amp;$DG55,$B55:$Y55)),
IF(AZ$3=$DF55+'Model Setup'!$G$7,SUMIF($AD$3:$BA$3,"="&amp;$DF55+'Model Setup'!$G$7,$B55:$Y55)+'Model Setup'!$G$8*(SUMIF($AD$3:$BA$3,"&lt;"&amp;$DF55,$B55:$Y55)+SUMIF($AD$3:$BA$3,"&gt;="&amp;$DG55,$B55:$Y55)),
IF(AZ$3=$DF55+'Model Setup'!$H$7,SUMIF($AD$3:$BA$3,"="&amp;$DF55+'Model Setup'!$H$7,$B55:$Y55)+'Model Setup'!$H$8*(SUMIF($AD$3:$BA$3,"&lt;"&amp;$DF55,$B55:$Y55)+SUMIF($AD$3:$BA$3,"&gt;="&amp;$DG55,$B55:$Y55)),
IF(AZ$3=$DF55+'Model Setup'!$I$7,SUMIF($AD$3:$BA$3,"="&amp;$DF55+'Model Setup'!$I$7,$B55:$Y55)+'Model Setup'!$I$8*(SUMIF($AD$3:$BA$3,"&lt;"&amp;$DF55,$B55:$Y55)+SUMIF($AD$3:$BA$3,"&gt;="&amp;$DG55,$B55:$Y55)),
IF(AZ$3=$DF55+'Model Setup'!$J$7,SUMIF($AD$3:$BA$3,"="&amp;$DF55+'Model Setup'!$J$7,$B55:$Y55)+'Model Setup'!$J$8*(SUMIF($AD$3:$BA$3,"&lt;"&amp;$DF55,$B55:$Y55)+SUMIF($AD$3:$BA$3,"&gt;="&amp;$DG55,$B55:$Y55)),
IF(AZ$3=$DF55+'Model Setup'!$K$7,SUMIF($AD$3:$BA$3,"="&amp;$DF55+'Model Setup'!$K$7,$B55:$Y55)+'Model Setup'!$K$8*(SUMIF($AD$3:$BA$3,"&lt;"&amp;$DF55,$B55:$Y55)+SUMIF($AD$3:$BA$3,"&gt;="&amp;$DG55,$B55:$Y55)),
IF(AZ$3=$DF55+'Model Setup'!$L$7,SUMIF($AD$3:$BA$3,"="&amp;$DF55+'Model Setup'!$L$7,$B55:$Y55)+'Model Setup'!$L$8*(SUMIF($AD$3:$BA$3,"&lt;"&amp;$DF55,$B55:$Y55)+SUMIF($AD$3:$BA$3,"&gt;="&amp;$DG55,$B55:$Y55)),
IF(AZ$3=$DF55+'Model Setup'!$M$7,SUMIF($AD$3:$BA$3,"="&amp;$DF55+'Model Setup'!$M$7,$B55:$Y55)+'Model Setup'!$M$8*(SUMIF($AD$3:$BA$3,"&lt;"&amp;$DF55,$B55:$Y55)+SUMIF($AD$3:$BA$3,"&gt;="&amp;$DG55,$B55:$Y55)),
IF(AZ$3=$DF55+'Model Setup'!$N$7,SUMIF($AD$3:$BA$3,"="&amp;$DF55+'Model Setup'!$N$7,$B55:$Y55)+'Model Setup'!$N$8*(SUMIF($AD$3:$BA$3,"&lt;"&amp;$DF55,$B55:$Y55)+SUMIF($AD$3:$BA$3,"&gt;="&amp;$DG55,$B55:$Y55)),
IF(AZ$3&lt;$DG55,X55,0))))))))))))))),0)</f>
        <v>0</v>
      </c>
      <c r="BA55" s="47">
        <f>ROUND(IF(BA$3&lt;$DF55,0,
IF(BA$3=$DF55+'Model Setup'!$B$7,SUMIF($AD$3:$BA$3,"="&amp;$DF55+'Model Setup'!$B$7,$B55:$Y55)+'Model Setup'!$B$8*(SUMIF($AD$3:$BA$3,"&lt;"&amp;$DF55,$B55:$Y55)+SUMIF($AD$3:$BA$3,"&gt;="&amp;$DG55,$B55:$Y55)),
IF(BA$3=$DF55+'Model Setup'!$C$7,SUMIF($AD$3:$BA$3,"="&amp;$DF55+'Model Setup'!$C$7,$B55:$Y55)+'Model Setup'!$C$8*(SUMIF($AD$3:$BA$3,"&lt;"&amp;$DF55,$B55:$Y55)+SUMIF($AD$3:$BA$3,"&gt;="&amp;$DG55,$B55:$Y55)),
IF(BA$3=$DF55+'Model Setup'!$D$7,SUMIF($AD$3:$BA$3,"="&amp;$DF55+'Model Setup'!$D$7,$B55:$Y55)+'Model Setup'!$D$8*(SUMIF($AD$3:$BA$3,"&lt;"&amp;$DF55,$B55:$Y55)+SUMIF($AD$3:$BA$3,"&gt;="&amp;$DG55,$B55:$Y55)),
IF(BA$3=$DF55+'Model Setup'!$E$7,SUMIF($AD$3:$BA$3,"="&amp;$DF55+'Model Setup'!$E$7,$B55:$Y55)+'Model Setup'!$E$8*(SUMIF($AD$3:$BA$3,"&lt;"&amp;$DF55,$B55:$Y55)+SUMIF($AD$3:$BA$3,"&gt;="&amp;$DG55,$B55:$Y55)),
IF(BA$3=$DF55+'Model Setup'!$F$7,SUMIF($AD$3:$BA$3,"="&amp;$DF55+'Model Setup'!$F$7,$B55:$Y55)+'Model Setup'!$F$8*(SUMIF($AD$3:$BA$3,"&lt;"&amp;$DF55,$B55:$Y55)+SUMIF($AD$3:$BA$3,"&gt;="&amp;$DG55,$B55:$Y55)),
IF(BA$3=$DF55+'Model Setup'!$G$7,SUMIF($AD$3:$BA$3,"="&amp;$DF55+'Model Setup'!$G$7,$B55:$Y55)+'Model Setup'!$G$8*(SUMIF($AD$3:$BA$3,"&lt;"&amp;$DF55,$B55:$Y55)+SUMIF($AD$3:$BA$3,"&gt;="&amp;$DG55,$B55:$Y55)),
IF(BA$3=$DF55+'Model Setup'!$H$7,SUMIF($AD$3:$BA$3,"="&amp;$DF55+'Model Setup'!$H$7,$B55:$Y55)+'Model Setup'!$H$8*(SUMIF($AD$3:$BA$3,"&lt;"&amp;$DF55,$B55:$Y55)+SUMIF($AD$3:$BA$3,"&gt;="&amp;$DG55,$B55:$Y55)),
IF(BA$3=$DF55+'Model Setup'!$I$7,SUMIF($AD$3:$BA$3,"="&amp;$DF55+'Model Setup'!$I$7,$B55:$Y55)+'Model Setup'!$I$8*(SUMIF($AD$3:$BA$3,"&lt;"&amp;$DF55,$B55:$Y55)+SUMIF($AD$3:$BA$3,"&gt;="&amp;$DG55,$B55:$Y55)),
IF(BA$3=$DF55+'Model Setup'!$J$7,SUMIF($AD$3:$BA$3,"="&amp;$DF55+'Model Setup'!$J$7,$B55:$Y55)+'Model Setup'!$J$8*(SUMIF($AD$3:$BA$3,"&lt;"&amp;$DF55,$B55:$Y55)+SUMIF($AD$3:$BA$3,"&gt;="&amp;$DG55,$B55:$Y55)),
IF(BA$3=$DF55+'Model Setup'!$K$7,SUMIF($AD$3:$BA$3,"="&amp;$DF55+'Model Setup'!$K$7,$B55:$Y55)+'Model Setup'!$K$8*(SUMIF($AD$3:$BA$3,"&lt;"&amp;$DF55,$B55:$Y55)+SUMIF($AD$3:$BA$3,"&gt;="&amp;$DG55,$B55:$Y55)),
IF(BA$3=$DF55+'Model Setup'!$L$7,SUMIF($AD$3:$BA$3,"="&amp;$DF55+'Model Setup'!$L$7,$B55:$Y55)+'Model Setup'!$L$8*(SUMIF($AD$3:$BA$3,"&lt;"&amp;$DF55,$B55:$Y55)+SUMIF($AD$3:$BA$3,"&gt;="&amp;$DG55,$B55:$Y55)),
IF(BA$3=$DF55+'Model Setup'!$M$7,SUMIF($AD$3:$BA$3,"="&amp;$DF55+'Model Setup'!$M$7,$B55:$Y55)+'Model Setup'!$M$8*(SUMIF($AD$3:$BA$3,"&lt;"&amp;$DF55,$B55:$Y55)+SUMIF($AD$3:$BA$3,"&gt;="&amp;$DG55,$B55:$Y55)),
IF(BA$3=$DF55+'Model Setup'!$N$7,SUMIF($AD$3:$BA$3,"="&amp;$DF55+'Model Setup'!$N$7,$B55:$Y55)+'Model Setup'!$N$8*(SUMIF($AD$3:$BA$3,"&lt;"&amp;$DF55,$B55:$Y55)+SUMIF($AD$3:$BA$3,"&gt;="&amp;$DG55,$B55:$Y55)),
IF(BA$3&lt;$DG55,Y55,0))))))))))))))),0)</f>
        <v>0</v>
      </c>
      <c r="BB55" s="47">
        <f t="shared" si="1"/>
        <v>221</v>
      </c>
      <c r="BD55" t="b">
        <f t="shared" si="2"/>
        <v>1</v>
      </c>
      <c r="BE55">
        <f t="shared" si="8"/>
        <v>0</v>
      </c>
      <c r="BF55">
        <f>(FTC!F53-FTC!E53)*24</f>
        <v>13</v>
      </c>
      <c r="BG55" s="43" t="s">
        <v>70</v>
      </c>
      <c r="BH55" s="47">
        <f>ROUND(IF(OR(BH$3&lt;$DF55,BH$3&gt;$CW$4),0,
IF(BH$3=$DF55+'Model Setup'!$B$7,SUMIF($BH$3:$CE$3,"="&amp;$DF55+'Model Setup'!$B$7,$AD55:$BA55)+'Model Setup'!$B$8*(SUMIF($BH$3:$CE$3,"&lt;"&amp;$DF55,$AD55:$BA55)+SUMIF($BH$3:$CE$3,"&gt;"&amp;$CW$4,$AD55:$BA55)),
IF(BH$3=$DF55+'Model Setup'!$C$7,SUMIF($BH$3:$CE$3,"="&amp;$DF55+'Model Setup'!$C$7,$AD55:$BA55)+'Model Setup'!$C$8*(SUMIF($BH$3:$CE$3,"&lt;"&amp;$DF55,$AD55:$BA55)+SUMIF($BH$3:$CE$3,"&gt;"&amp;$CW$4,$AD55:$BA55)),
IF(BH$3=$DF55+'Model Setup'!$D$7,SUMIF($BH$3:$CE$3,"="&amp;$DF55+'Model Setup'!$D$7,$AD55:$BA55)+'Model Setup'!$D$8*(SUMIF($BH$3:$CE$3,"&lt;"&amp;$DF55,$AD55:$BA55)+SUMIF($BH$3:$CE$3,"&gt;"&amp;$CW$4,$AD55:$BA55)),
IF(BH$3=$DF55+'Model Setup'!$E$7,SUMIF($BH$3:$CE$3,"="&amp;$DF55+'Model Setup'!$E$7,$AD55:$BA55)+'Model Setup'!$E$8*(SUMIF($BH$3:$CE$3,"&lt;"&amp;$DF55,$AD55:$BA55)+SUMIF($BH$3:$CE$3,"&gt;"&amp;$CW$4,$AD55:$BA55)),
IF(BH$3=$DF55+'Model Setup'!$F$7,SUMIF($BH$3:$CE$3,"="&amp;$DF55+'Model Setup'!$F$7,$AD55:$BA55)+'Model Setup'!$F$8*(SUMIF($BH$3:$CE$3,"&lt;"&amp;$DF55,$AD55:$BA55)+SUMIF($BH$3:$CE$3,"&gt;"&amp;$CW$4,$AD55:$BA55)),
IF(BH$3=$DF55+'Model Setup'!$G$7,SUMIF($BH$3:$CE$3,"="&amp;$DF55+'Model Setup'!$G$7,$AD55:$BA55)+'Model Setup'!$G$8*(SUMIF($BH$3:$CE$3,"&lt;"&amp;$DF55,$AD55:$BA55)+SUMIF($BH$3:$CE$3,"&gt;"&amp;$CW$4,$AD55:$BA55)),
IF(BH$3=$DF55+'Model Setup'!$H$7,SUMIF($BH$3:$CE$3,"="&amp;$DF55+'Model Setup'!$H$7,$AD55:$BA55)+'Model Setup'!$H$8*(SUMIF($BH$3:$CE$3,"&lt;"&amp;$DF55,$AD55:$BA55)+SUMIF($BH$3:$CE$3,"&gt;"&amp;$CW$4,$AD55:$BA55)),
IF(BH$3=$DF55+'Model Setup'!$I$7,SUMIF($BH$3:$CE$3,"="&amp;$DF55+'Model Setup'!$I$7,$AD55:$BA55)+'Model Setup'!$I$8*(SUMIF($BH$3:$CE$3,"&lt;"&amp;$DF55,$AD55:$BA55)+SUMIF($BH$3:$CE$3,"&gt;"&amp;$CW$4,$AD55:$BA55)),
IF(BH$3=$DF55+'Model Setup'!$J$7,SUMIF($BH$3:$CE$3,"="&amp;$DF55+'Model Setup'!$J$7,$AD55:$BA55)+'Model Setup'!$J$8*(SUMIF($BH$3:$CE$3,"&lt;"&amp;$DF55,$AD55:$BA55)+SUMIF($BH$3:$CE$3,"&gt;"&amp;$CW$4,$AD55:$BA55)),
IF(BH$3=$DF55+'Model Setup'!$K$7,SUMIF($BH$3:$CE$3,"="&amp;$DF55+'Model Setup'!$K$7,$AD55:$BA55)+'Model Setup'!$K$8*(SUMIF($BH$3:$CE$3,"&lt;"&amp;$DF55,$AD55:$BA55)+SUMIF($BH$3:$CE$3,"&gt;"&amp;$CW$4,$AD55:$BA55)),
IF(BH$3=$DF55+'Model Setup'!$L$7,SUMIF($BH$3:$CE$3,"="&amp;$DF55+'Model Setup'!$L$7,$AD55:$BA55)+'Model Setup'!$L$8*(SUMIF($BH$3:$CE$3,"&lt;"&amp;$DF55,$AD55:$BA55)+SUMIF($BH$3:$CE$3,"&gt;"&amp;$CW$4,$AD55:$BA55)),
IF(BH$3=$DF55+'Model Setup'!$M$7,SUMIF($BH$3:$CE$3,"="&amp;$DF55+'Model Setup'!$M$7,$AD55:$BA55)+'Model Setup'!$M$8*(SUMIF($BH$3:$CE$3,"&lt;"&amp;$DF55,$AD55:$BA55)+SUMIF($BH$3:$CE$3,"&gt;"&amp;$CW$4,$AD55:$BA55)),
IF(BH$3=$DF55+'Model Setup'!$N$7,SUMIF($BH$3:$CE$3,"="&amp;$DF55+'Model Setup'!$N$7,$AD55:$BA55)+'Model Setup'!$N$8*(SUMIF($BH$3:$CE$3,"&lt;"&amp;$DF55,$AD55:$BA55)+SUMIF($BH$3:$CE$3,"&gt;"&amp;$CW$4,$AD55:$BA55)),
IF(BH$3&lt;$CW$4,B55,0))))))))))))))),0)</f>
        <v>0</v>
      </c>
      <c r="BI55" s="47">
        <f>ROUND(IF(OR(BI$3&lt;$DF55,BI$3&gt;$CW$4),0,
IF(BI$3=$DF55+'Model Setup'!$B$7,SUMIF($BH$3:$CE$3,"="&amp;$DF55+'Model Setup'!$B$7,$AD55:$BA55)+'Model Setup'!$B$8*(SUMIF($BH$3:$CE$3,"&lt;"&amp;$DF55,$AD55:$BA55)+SUMIF($BH$3:$CE$3,"&gt;"&amp;$CW$4,$AD55:$BA55)),
IF(BI$3=$DF55+'Model Setup'!$C$7,SUMIF($BH$3:$CE$3,"="&amp;$DF55+'Model Setup'!$C$7,$AD55:$BA55)+'Model Setup'!$C$8*(SUMIF($BH$3:$CE$3,"&lt;"&amp;$DF55,$AD55:$BA55)+SUMIF($BH$3:$CE$3,"&gt;"&amp;$CW$4,$AD55:$BA55)),
IF(BI$3=$DF55+'Model Setup'!$D$7,SUMIF($BH$3:$CE$3,"="&amp;$DF55+'Model Setup'!$D$7,$AD55:$BA55)+'Model Setup'!$D$8*(SUMIF($BH$3:$CE$3,"&lt;"&amp;$DF55,$AD55:$BA55)+SUMIF($BH$3:$CE$3,"&gt;"&amp;$CW$4,$AD55:$BA55)),
IF(BI$3=$DF55+'Model Setup'!$E$7,SUMIF($BH$3:$CE$3,"="&amp;$DF55+'Model Setup'!$E$7,$AD55:$BA55)+'Model Setup'!$E$8*(SUMIF($BH$3:$CE$3,"&lt;"&amp;$DF55,$AD55:$BA55)+SUMIF($BH$3:$CE$3,"&gt;"&amp;$CW$4,$AD55:$BA55)),
IF(BI$3=$DF55+'Model Setup'!$F$7,SUMIF($BH$3:$CE$3,"="&amp;$DF55+'Model Setup'!$F$7,$AD55:$BA55)+'Model Setup'!$F$8*(SUMIF($BH$3:$CE$3,"&lt;"&amp;$DF55,$AD55:$BA55)+SUMIF($BH$3:$CE$3,"&gt;"&amp;$CW$4,$AD55:$BA55)),
IF(BI$3=$DF55+'Model Setup'!$G$7,SUMIF($BH$3:$CE$3,"="&amp;$DF55+'Model Setup'!$G$7,$AD55:$BA55)+'Model Setup'!$G$8*(SUMIF($BH$3:$CE$3,"&lt;"&amp;$DF55,$AD55:$BA55)+SUMIF($BH$3:$CE$3,"&gt;"&amp;$CW$4,$AD55:$BA55)),
IF(BI$3=$DF55+'Model Setup'!$H$7,SUMIF($BH$3:$CE$3,"="&amp;$DF55+'Model Setup'!$H$7,$AD55:$BA55)+'Model Setup'!$H$8*(SUMIF($BH$3:$CE$3,"&lt;"&amp;$DF55,$AD55:$BA55)+SUMIF($BH$3:$CE$3,"&gt;"&amp;$CW$4,$AD55:$BA55)),
IF(BI$3=$DF55+'Model Setup'!$I$7,SUMIF($BH$3:$CE$3,"="&amp;$DF55+'Model Setup'!$I$7,$AD55:$BA55)+'Model Setup'!$I$8*(SUMIF($BH$3:$CE$3,"&lt;"&amp;$DF55,$AD55:$BA55)+SUMIF($BH$3:$CE$3,"&gt;"&amp;$CW$4,$AD55:$BA55)),
IF(BI$3=$DF55+'Model Setup'!$J$7,SUMIF($BH$3:$CE$3,"="&amp;$DF55+'Model Setup'!$J$7,$AD55:$BA55)+'Model Setup'!$J$8*(SUMIF($BH$3:$CE$3,"&lt;"&amp;$DF55,$AD55:$BA55)+SUMIF($BH$3:$CE$3,"&gt;"&amp;$CW$4,$AD55:$BA55)),
IF(BI$3=$DF55+'Model Setup'!$K$7,SUMIF($BH$3:$CE$3,"="&amp;$DF55+'Model Setup'!$K$7,$AD55:$BA55)+'Model Setup'!$K$8*(SUMIF($BH$3:$CE$3,"&lt;"&amp;$DF55,$AD55:$BA55)+SUMIF($BH$3:$CE$3,"&gt;"&amp;$CW$4,$AD55:$BA55)),
IF(BI$3=$DF55+'Model Setup'!$L$7,SUMIF($BH$3:$CE$3,"="&amp;$DF55+'Model Setup'!$L$7,$AD55:$BA55)+'Model Setup'!$L$8*(SUMIF($BH$3:$CE$3,"&lt;"&amp;$DF55,$AD55:$BA55)+SUMIF($BH$3:$CE$3,"&gt;"&amp;$CW$4,$AD55:$BA55)),
IF(BI$3=$DF55+'Model Setup'!$M$7,SUMIF($BH$3:$CE$3,"="&amp;$DF55+'Model Setup'!$M$7,$AD55:$BA55)+'Model Setup'!$M$8*(SUMIF($BH$3:$CE$3,"&lt;"&amp;$DF55,$AD55:$BA55)+SUMIF($BH$3:$CE$3,"&gt;"&amp;$CW$4,$AD55:$BA55)),
IF(BI$3=$DF55+'Model Setup'!$N$7,SUMIF($BH$3:$CE$3,"="&amp;$DF55+'Model Setup'!$N$7,$AD55:$BA55)+'Model Setup'!$N$8*(SUMIF($BH$3:$CE$3,"&lt;"&amp;$DF55,$AD55:$BA55)+SUMIF($BH$3:$CE$3,"&gt;"&amp;$CW$4,$AD55:$BA55)),
IF(BI$3&lt;$CW$4,C55,0))))))))))))))),0)</f>
        <v>0</v>
      </c>
      <c r="BJ55" s="47">
        <f>ROUND(IF(OR(BJ$3&lt;$DF55,BJ$3&gt;$CW$4),0,
IF(BJ$3=$DF55+'Model Setup'!$B$7,SUMIF($BH$3:$CE$3,"="&amp;$DF55+'Model Setup'!$B$7,$AD55:$BA55)+'Model Setup'!$B$8*(SUMIF($BH$3:$CE$3,"&lt;"&amp;$DF55,$AD55:$BA55)+SUMIF($BH$3:$CE$3,"&gt;"&amp;$CW$4,$AD55:$BA55)),
IF(BJ$3=$DF55+'Model Setup'!$C$7,SUMIF($BH$3:$CE$3,"="&amp;$DF55+'Model Setup'!$C$7,$AD55:$BA55)+'Model Setup'!$C$8*(SUMIF($BH$3:$CE$3,"&lt;"&amp;$DF55,$AD55:$BA55)+SUMIF($BH$3:$CE$3,"&gt;"&amp;$CW$4,$AD55:$BA55)),
IF(BJ$3=$DF55+'Model Setup'!$D$7,SUMIF($BH$3:$CE$3,"="&amp;$DF55+'Model Setup'!$D$7,$AD55:$BA55)+'Model Setup'!$D$8*(SUMIF($BH$3:$CE$3,"&lt;"&amp;$DF55,$AD55:$BA55)+SUMIF($BH$3:$CE$3,"&gt;"&amp;$CW$4,$AD55:$BA55)),
IF(BJ$3=$DF55+'Model Setup'!$E$7,SUMIF($BH$3:$CE$3,"="&amp;$DF55+'Model Setup'!$E$7,$AD55:$BA55)+'Model Setup'!$E$8*(SUMIF($BH$3:$CE$3,"&lt;"&amp;$DF55,$AD55:$BA55)+SUMIF($BH$3:$CE$3,"&gt;"&amp;$CW$4,$AD55:$BA55)),
IF(BJ$3=$DF55+'Model Setup'!$F$7,SUMIF($BH$3:$CE$3,"="&amp;$DF55+'Model Setup'!$F$7,$AD55:$BA55)+'Model Setup'!$F$8*(SUMIF($BH$3:$CE$3,"&lt;"&amp;$DF55,$AD55:$BA55)+SUMIF($BH$3:$CE$3,"&gt;"&amp;$CW$4,$AD55:$BA55)),
IF(BJ$3=$DF55+'Model Setup'!$G$7,SUMIF($BH$3:$CE$3,"="&amp;$DF55+'Model Setup'!$G$7,$AD55:$BA55)+'Model Setup'!$G$8*(SUMIF($BH$3:$CE$3,"&lt;"&amp;$DF55,$AD55:$BA55)+SUMIF($BH$3:$CE$3,"&gt;"&amp;$CW$4,$AD55:$BA55)),
IF(BJ$3=$DF55+'Model Setup'!$H$7,SUMIF($BH$3:$CE$3,"="&amp;$DF55+'Model Setup'!$H$7,$AD55:$BA55)+'Model Setup'!$H$8*(SUMIF($BH$3:$CE$3,"&lt;"&amp;$DF55,$AD55:$BA55)+SUMIF($BH$3:$CE$3,"&gt;"&amp;$CW$4,$AD55:$BA55)),
IF(BJ$3=$DF55+'Model Setup'!$I$7,SUMIF($BH$3:$CE$3,"="&amp;$DF55+'Model Setup'!$I$7,$AD55:$BA55)+'Model Setup'!$I$8*(SUMIF($BH$3:$CE$3,"&lt;"&amp;$DF55,$AD55:$BA55)+SUMIF($BH$3:$CE$3,"&gt;"&amp;$CW$4,$AD55:$BA55)),
IF(BJ$3=$DF55+'Model Setup'!$J$7,SUMIF($BH$3:$CE$3,"="&amp;$DF55+'Model Setup'!$J$7,$AD55:$BA55)+'Model Setup'!$J$8*(SUMIF($BH$3:$CE$3,"&lt;"&amp;$DF55,$AD55:$BA55)+SUMIF($BH$3:$CE$3,"&gt;"&amp;$CW$4,$AD55:$BA55)),
IF(BJ$3=$DF55+'Model Setup'!$K$7,SUMIF($BH$3:$CE$3,"="&amp;$DF55+'Model Setup'!$K$7,$AD55:$BA55)+'Model Setup'!$K$8*(SUMIF($BH$3:$CE$3,"&lt;"&amp;$DF55,$AD55:$BA55)+SUMIF($BH$3:$CE$3,"&gt;"&amp;$CW$4,$AD55:$BA55)),
IF(BJ$3=$DF55+'Model Setup'!$L$7,SUMIF($BH$3:$CE$3,"="&amp;$DF55+'Model Setup'!$L$7,$AD55:$BA55)+'Model Setup'!$L$8*(SUMIF($BH$3:$CE$3,"&lt;"&amp;$DF55,$AD55:$BA55)+SUMIF($BH$3:$CE$3,"&gt;"&amp;$CW$4,$AD55:$BA55)),
IF(BJ$3=$DF55+'Model Setup'!$M$7,SUMIF($BH$3:$CE$3,"="&amp;$DF55+'Model Setup'!$M$7,$AD55:$BA55)+'Model Setup'!$M$8*(SUMIF($BH$3:$CE$3,"&lt;"&amp;$DF55,$AD55:$BA55)+SUMIF($BH$3:$CE$3,"&gt;"&amp;$CW$4,$AD55:$BA55)),
IF(BJ$3=$DF55+'Model Setup'!$N$7,SUMIF($BH$3:$CE$3,"="&amp;$DF55+'Model Setup'!$N$7,$AD55:$BA55)+'Model Setup'!$N$8*(SUMIF($BH$3:$CE$3,"&lt;"&amp;$DF55,$AD55:$BA55)+SUMIF($BH$3:$CE$3,"&gt;"&amp;$CW$4,$AD55:$BA55)),
IF(BJ$3&lt;$CW$4,D55,0))))))))))))))),0)</f>
        <v>0</v>
      </c>
      <c r="BK55" s="47">
        <f>ROUND(IF(OR(BK$3&lt;$DF55,BK$3&gt;$CW$4),0,
IF(BK$3=$DF55+'Model Setup'!$B$7,SUMIF($BH$3:$CE$3,"="&amp;$DF55+'Model Setup'!$B$7,$AD55:$BA55)+'Model Setup'!$B$8*(SUMIF($BH$3:$CE$3,"&lt;"&amp;$DF55,$AD55:$BA55)+SUMIF($BH$3:$CE$3,"&gt;"&amp;$CW$4,$AD55:$BA55)),
IF(BK$3=$DF55+'Model Setup'!$C$7,SUMIF($BH$3:$CE$3,"="&amp;$DF55+'Model Setup'!$C$7,$AD55:$BA55)+'Model Setup'!$C$8*(SUMIF($BH$3:$CE$3,"&lt;"&amp;$DF55,$AD55:$BA55)+SUMIF($BH$3:$CE$3,"&gt;"&amp;$CW$4,$AD55:$BA55)),
IF(BK$3=$DF55+'Model Setup'!$D$7,SUMIF($BH$3:$CE$3,"="&amp;$DF55+'Model Setup'!$D$7,$AD55:$BA55)+'Model Setup'!$D$8*(SUMIF($BH$3:$CE$3,"&lt;"&amp;$DF55,$AD55:$BA55)+SUMIF($BH$3:$CE$3,"&gt;"&amp;$CW$4,$AD55:$BA55)),
IF(BK$3=$DF55+'Model Setup'!$E$7,SUMIF($BH$3:$CE$3,"="&amp;$DF55+'Model Setup'!$E$7,$AD55:$BA55)+'Model Setup'!$E$8*(SUMIF($BH$3:$CE$3,"&lt;"&amp;$DF55,$AD55:$BA55)+SUMIF($BH$3:$CE$3,"&gt;"&amp;$CW$4,$AD55:$BA55)),
IF(BK$3=$DF55+'Model Setup'!$F$7,SUMIF($BH$3:$CE$3,"="&amp;$DF55+'Model Setup'!$F$7,$AD55:$BA55)+'Model Setup'!$F$8*(SUMIF($BH$3:$CE$3,"&lt;"&amp;$DF55,$AD55:$BA55)+SUMIF($BH$3:$CE$3,"&gt;"&amp;$CW$4,$AD55:$BA55)),
IF(BK$3=$DF55+'Model Setup'!$G$7,SUMIF($BH$3:$CE$3,"="&amp;$DF55+'Model Setup'!$G$7,$AD55:$BA55)+'Model Setup'!$G$8*(SUMIF($BH$3:$CE$3,"&lt;"&amp;$DF55,$AD55:$BA55)+SUMIF($BH$3:$CE$3,"&gt;"&amp;$CW$4,$AD55:$BA55)),
IF(BK$3=$DF55+'Model Setup'!$H$7,SUMIF($BH$3:$CE$3,"="&amp;$DF55+'Model Setup'!$H$7,$AD55:$BA55)+'Model Setup'!$H$8*(SUMIF($BH$3:$CE$3,"&lt;"&amp;$DF55,$AD55:$BA55)+SUMIF($BH$3:$CE$3,"&gt;"&amp;$CW$4,$AD55:$BA55)),
IF(BK$3=$DF55+'Model Setup'!$I$7,SUMIF($BH$3:$CE$3,"="&amp;$DF55+'Model Setup'!$I$7,$AD55:$BA55)+'Model Setup'!$I$8*(SUMIF($BH$3:$CE$3,"&lt;"&amp;$DF55,$AD55:$BA55)+SUMIF($BH$3:$CE$3,"&gt;"&amp;$CW$4,$AD55:$BA55)),
IF(BK$3=$DF55+'Model Setup'!$J$7,SUMIF($BH$3:$CE$3,"="&amp;$DF55+'Model Setup'!$J$7,$AD55:$BA55)+'Model Setup'!$J$8*(SUMIF($BH$3:$CE$3,"&lt;"&amp;$DF55,$AD55:$BA55)+SUMIF($BH$3:$CE$3,"&gt;"&amp;$CW$4,$AD55:$BA55)),
IF(BK$3=$DF55+'Model Setup'!$K$7,SUMIF($BH$3:$CE$3,"="&amp;$DF55+'Model Setup'!$K$7,$AD55:$BA55)+'Model Setup'!$K$8*(SUMIF($BH$3:$CE$3,"&lt;"&amp;$DF55,$AD55:$BA55)+SUMIF($BH$3:$CE$3,"&gt;"&amp;$CW$4,$AD55:$BA55)),
IF(BK$3=$DF55+'Model Setup'!$L$7,SUMIF($BH$3:$CE$3,"="&amp;$DF55+'Model Setup'!$L$7,$AD55:$BA55)+'Model Setup'!$L$8*(SUMIF($BH$3:$CE$3,"&lt;"&amp;$DF55,$AD55:$BA55)+SUMIF($BH$3:$CE$3,"&gt;"&amp;$CW$4,$AD55:$BA55)),
IF(BK$3=$DF55+'Model Setup'!$M$7,SUMIF($BH$3:$CE$3,"="&amp;$DF55+'Model Setup'!$M$7,$AD55:$BA55)+'Model Setup'!$M$8*(SUMIF($BH$3:$CE$3,"&lt;"&amp;$DF55,$AD55:$BA55)+SUMIF($BH$3:$CE$3,"&gt;"&amp;$CW$4,$AD55:$BA55)),
IF(BK$3=$DF55+'Model Setup'!$N$7,SUMIF($BH$3:$CE$3,"="&amp;$DF55+'Model Setup'!$N$7,$AD55:$BA55)+'Model Setup'!$N$8*(SUMIF($BH$3:$CE$3,"&lt;"&amp;$DF55,$AD55:$BA55)+SUMIF($BH$3:$CE$3,"&gt;"&amp;$CW$4,$AD55:$BA55)),
IF(BK$3&lt;$CW$4,E55,0))))))))))))))),0)</f>
        <v>0</v>
      </c>
      <c r="BL55" s="47">
        <f>ROUND(IF(OR(BL$3&lt;$DF55,BL$3&gt;$CW$4),0,
IF(BL$3=$DF55+'Model Setup'!$B$7,SUMIF($BH$3:$CE$3,"="&amp;$DF55+'Model Setup'!$B$7,$AD55:$BA55)+'Model Setup'!$B$8*(SUMIF($BH$3:$CE$3,"&lt;"&amp;$DF55,$AD55:$BA55)+SUMIF($BH$3:$CE$3,"&gt;"&amp;$CW$4,$AD55:$BA55)),
IF(BL$3=$DF55+'Model Setup'!$C$7,SUMIF($BH$3:$CE$3,"="&amp;$DF55+'Model Setup'!$C$7,$AD55:$BA55)+'Model Setup'!$C$8*(SUMIF($BH$3:$CE$3,"&lt;"&amp;$DF55,$AD55:$BA55)+SUMIF($BH$3:$CE$3,"&gt;"&amp;$CW$4,$AD55:$BA55)),
IF(BL$3=$DF55+'Model Setup'!$D$7,SUMIF($BH$3:$CE$3,"="&amp;$DF55+'Model Setup'!$D$7,$AD55:$BA55)+'Model Setup'!$D$8*(SUMIF($BH$3:$CE$3,"&lt;"&amp;$DF55,$AD55:$BA55)+SUMIF($BH$3:$CE$3,"&gt;"&amp;$CW$4,$AD55:$BA55)),
IF(BL$3=$DF55+'Model Setup'!$E$7,SUMIF($BH$3:$CE$3,"="&amp;$DF55+'Model Setup'!$E$7,$AD55:$BA55)+'Model Setup'!$E$8*(SUMIF($BH$3:$CE$3,"&lt;"&amp;$DF55,$AD55:$BA55)+SUMIF($BH$3:$CE$3,"&gt;"&amp;$CW$4,$AD55:$BA55)),
IF(BL$3=$DF55+'Model Setup'!$F$7,SUMIF($BH$3:$CE$3,"="&amp;$DF55+'Model Setup'!$F$7,$AD55:$BA55)+'Model Setup'!$F$8*(SUMIF($BH$3:$CE$3,"&lt;"&amp;$DF55,$AD55:$BA55)+SUMIF($BH$3:$CE$3,"&gt;"&amp;$CW$4,$AD55:$BA55)),
IF(BL$3=$DF55+'Model Setup'!$G$7,SUMIF($BH$3:$CE$3,"="&amp;$DF55+'Model Setup'!$G$7,$AD55:$BA55)+'Model Setup'!$G$8*(SUMIF($BH$3:$CE$3,"&lt;"&amp;$DF55,$AD55:$BA55)+SUMIF($BH$3:$CE$3,"&gt;"&amp;$CW$4,$AD55:$BA55)),
IF(BL$3=$DF55+'Model Setup'!$H$7,SUMIF($BH$3:$CE$3,"="&amp;$DF55+'Model Setup'!$H$7,$AD55:$BA55)+'Model Setup'!$H$8*(SUMIF($BH$3:$CE$3,"&lt;"&amp;$DF55,$AD55:$BA55)+SUMIF($BH$3:$CE$3,"&gt;"&amp;$CW$4,$AD55:$BA55)),
IF(BL$3=$DF55+'Model Setup'!$I$7,SUMIF($BH$3:$CE$3,"="&amp;$DF55+'Model Setup'!$I$7,$AD55:$BA55)+'Model Setup'!$I$8*(SUMIF($BH$3:$CE$3,"&lt;"&amp;$DF55,$AD55:$BA55)+SUMIF($BH$3:$CE$3,"&gt;"&amp;$CW$4,$AD55:$BA55)),
IF(BL$3=$DF55+'Model Setup'!$J$7,SUMIF($BH$3:$CE$3,"="&amp;$DF55+'Model Setup'!$J$7,$AD55:$BA55)+'Model Setup'!$J$8*(SUMIF($BH$3:$CE$3,"&lt;"&amp;$DF55,$AD55:$BA55)+SUMIF($BH$3:$CE$3,"&gt;"&amp;$CW$4,$AD55:$BA55)),
IF(BL$3=$DF55+'Model Setup'!$K$7,SUMIF($BH$3:$CE$3,"="&amp;$DF55+'Model Setup'!$K$7,$AD55:$BA55)+'Model Setup'!$K$8*(SUMIF($BH$3:$CE$3,"&lt;"&amp;$DF55,$AD55:$BA55)+SUMIF($BH$3:$CE$3,"&gt;"&amp;$CW$4,$AD55:$BA55)),
IF(BL$3=$DF55+'Model Setup'!$L$7,SUMIF($BH$3:$CE$3,"="&amp;$DF55+'Model Setup'!$L$7,$AD55:$BA55)+'Model Setup'!$L$8*(SUMIF($BH$3:$CE$3,"&lt;"&amp;$DF55,$AD55:$BA55)+SUMIF($BH$3:$CE$3,"&gt;"&amp;$CW$4,$AD55:$BA55)),
IF(BL$3=$DF55+'Model Setup'!$M$7,SUMIF($BH$3:$CE$3,"="&amp;$DF55+'Model Setup'!$M$7,$AD55:$BA55)+'Model Setup'!$M$8*(SUMIF($BH$3:$CE$3,"&lt;"&amp;$DF55,$AD55:$BA55)+SUMIF($BH$3:$CE$3,"&gt;"&amp;$CW$4,$AD55:$BA55)),
IF(BL$3=$DF55+'Model Setup'!$N$7,SUMIF($BH$3:$CE$3,"="&amp;$DF55+'Model Setup'!$N$7,$AD55:$BA55)+'Model Setup'!$N$8*(SUMIF($BH$3:$CE$3,"&lt;"&amp;$DF55,$AD55:$BA55)+SUMIF($BH$3:$CE$3,"&gt;"&amp;$CW$4,$AD55:$BA55)),
IF(BL$3&lt;$CW$4,F55,0))))))))))))))),0)</f>
        <v>0</v>
      </c>
      <c r="BM55" s="47">
        <f>ROUND(IF(OR(BM$3&lt;$DF55,BM$3&gt;$CW$4),0,
IF(BM$3=$DF55+'Model Setup'!$B$7,SUMIF($BH$3:$CE$3,"="&amp;$DF55+'Model Setup'!$B$7,$AD55:$BA55)+'Model Setup'!$B$8*(SUMIF($BH$3:$CE$3,"&lt;"&amp;$DF55,$AD55:$BA55)+SUMIF($BH$3:$CE$3,"&gt;"&amp;$CW$4,$AD55:$BA55)),
IF(BM$3=$DF55+'Model Setup'!$C$7,SUMIF($BH$3:$CE$3,"="&amp;$DF55+'Model Setup'!$C$7,$AD55:$BA55)+'Model Setup'!$C$8*(SUMIF($BH$3:$CE$3,"&lt;"&amp;$DF55,$AD55:$BA55)+SUMIF($BH$3:$CE$3,"&gt;"&amp;$CW$4,$AD55:$BA55)),
IF(BM$3=$DF55+'Model Setup'!$D$7,SUMIF($BH$3:$CE$3,"="&amp;$DF55+'Model Setup'!$D$7,$AD55:$BA55)+'Model Setup'!$D$8*(SUMIF($BH$3:$CE$3,"&lt;"&amp;$DF55,$AD55:$BA55)+SUMIF($BH$3:$CE$3,"&gt;"&amp;$CW$4,$AD55:$BA55)),
IF(BM$3=$DF55+'Model Setup'!$E$7,SUMIF($BH$3:$CE$3,"="&amp;$DF55+'Model Setup'!$E$7,$AD55:$BA55)+'Model Setup'!$E$8*(SUMIF($BH$3:$CE$3,"&lt;"&amp;$DF55,$AD55:$BA55)+SUMIF($BH$3:$CE$3,"&gt;"&amp;$CW$4,$AD55:$BA55)),
IF(BM$3=$DF55+'Model Setup'!$F$7,SUMIF($BH$3:$CE$3,"="&amp;$DF55+'Model Setup'!$F$7,$AD55:$BA55)+'Model Setup'!$F$8*(SUMIF($BH$3:$CE$3,"&lt;"&amp;$DF55,$AD55:$BA55)+SUMIF($BH$3:$CE$3,"&gt;"&amp;$CW$4,$AD55:$BA55)),
IF(BM$3=$DF55+'Model Setup'!$G$7,SUMIF($BH$3:$CE$3,"="&amp;$DF55+'Model Setup'!$G$7,$AD55:$BA55)+'Model Setup'!$G$8*(SUMIF($BH$3:$CE$3,"&lt;"&amp;$DF55,$AD55:$BA55)+SUMIF($BH$3:$CE$3,"&gt;"&amp;$CW$4,$AD55:$BA55)),
IF(BM$3=$DF55+'Model Setup'!$H$7,SUMIF($BH$3:$CE$3,"="&amp;$DF55+'Model Setup'!$H$7,$AD55:$BA55)+'Model Setup'!$H$8*(SUMIF($BH$3:$CE$3,"&lt;"&amp;$DF55,$AD55:$BA55)+SUMIF($BH$3:$CE$3,"&gt;"&amp;$CW$4,$AD55:$BA55)),
IF(BM$3=$DF55+'Model Setup'!$I$7,SUMIF($BH$3:$CE$3,"="&amp;$DF55+'Model Setup'!$I$7,$AD55:$BA55)+'Model Setup'!$I$8*(SUMIF($BH$3:$CE$3,"&lt;"&amp;$DF55,$AD55:$BA55)+SUMIF($BH$3:$CE$3,"&gt;"&amp;$CW$4,$AD55:$BA55)),
IF(BM$3=$DF55+'Model Setup'!$J$7,SUMIF($BH$3:$CE$3,"="&amp;$DF55+'Model Setup'!$J$7,$AD55:$BA55)+'Model Setup'!$J$8*(SUMIF($BH$3:$CE$3,"&lt;"&amp;$DF55,$AD55:$BA55)+SUMIF($BH$3:$CE$3,"&gt;"&amp;$CW$4,$AD55:$BA55)),
IF(BM$3=$DF55+'Model Setup'!$K$7,SUMIF($BH$3:$CE$3,"="&amp;$DF55+'Model Setup'!$K$7,$AD55:$BA55)+'Model Setup'!$K$8*(SUMIF($BH$3:$CE$3,"&lt;"&amp;$DF55,$AD55:$BA55)+SUMIF($BH$3:$CE$3,"&gt;"&amp;$CW$4,$AD55:$BA55)),
IF(BM$3=$DF55+'Model Setup'!$L$7,SUMIF($BH$3:$CE$3,"="&amp;$DF55+'Model Setup'!$L$7,$AD55:$BA55)+'Model Setup'!$L$8*(SUMIF($BH$3:$CE$3,"&lt;"&amp;$DF55,$AD55:$BA55)+SUMIF($BH$3:$CE$3,"&gt;"&amp;$CW$4,$AD55:$BA55)),
IF(BM$3=$DF55+'Model Setup'!$M$7,SUMIF($BH$3:$CE$3,"="&amp;$DF55+'Model Setup'!$M$7,$AD55:$BA55)+'Model Setup'!$M$8*(SUMIF($BH$3:$CE$3,"&lt;"&amp;$DF55,$AD55:$BA55)+SUMIF($BH$3:$CE$3,"&gt;"&amp;$CW$4,$AD55:$BA55)),
IF(BM$3=$DF55+'Model Setup'!$N$7,SUMIF($BH$3:$CE$3,"="&amp;$DF55+'Model Setup'!$N$7,$AD55:$BA55)+'Model Setup'!$N$8*(SUMIF($BH$3:$CE$3,"&lt;"&amp;$DF55,$AD55:$BA55)+SUMIF($BH$3:$CE$3,"&gt;"&amp;$CW$4,$AD55:$BA55)),
IF(BM$3&lt;$CW$4,G55,0))))))))))))))),0)</f>
        <v>6</v>
      </c>
      <c r="BN55" s="47">
        <f>ROUND(IF(OR(BN$3&lt;$DF55,BN$3&gt;$CW$4),0,
IF(BN$3=$DF55+'Model Setup'!$B$7,SUMIF($BH$3:$CE$3,"="&amp;$DF55+'Model Setup'!$B$7,$AD55:$BA55)+'Model Setup'!$B$8*(SUMIF($BH$3:$CE$3,"&lt;"&amp;$DF55,$AD55:$BA55)+SUMIF($BH$3:$CE$3,"&gt;"&amp;$CW$4,$AD55:$BA55)),
IF(BN$3=$DF55+'Model Setup'!$C$7,SUMIF($BH$3:$CE$3,"="&amp;$DF55+'Model Setup'!$C$7,$AD55:$BA55)+'Model Setup'!$C$8*(SUMIF($BH$3:$CE$3,"&lt;"&amp;$DF55,$AD55:$BA55)+SUMIF($BH$3:$CE$3,"&gt;"&amp;$CW$4,$AD55:$BA55)),
IF(BN$3=$DF55+'Model Setup'!$D$7,SUMIF($BH$3:$CE$3,"="&amp;$DF55+'Model Setup'!$D$7,$AD55:$BA55)+'Model Setup'!$D$8*(SUMIF($BH$3:$CE$3,"&lt;"&amp;$DF55,$AD55:$BA55)+SUMIF($BH$3:$CE$3,"&gt;"&amp;$CW$4,$AD55:$BA55)),
IF(BN$3=$DF55+'Model Setup'!$E$7,SUMIF($BH$3:$CE$3,"="&amp;$DF55+'Model Setup'!$E$7,$AD55:$BA55)+'Model Setup'!$E$8*(SUMIF($BH$3:$CE$3,"&lt;"&amp;$DF55,$AD55:$BA55)+SUMIF($BH$3:$CE$3,"&gt;"&amp;$CW$4,$AD55:$BA55)),
IF(BN$3=$DF55+'Model Setup'!$F$7,SUMIF($BH$3:$CE$3,"="&amp;$DF55+'Model Setup'!$F$7,$AD55:$BA55)+'Model Setup'!$F$8*(SUMIF($BH$3:$CE$3,"&lt;"&amp;$DF55,$AD55:$BA55)+SUMIF($BH$3:$CE$3,"&gt;"&amp;$CW$4,$AD55:$BA55)),
IF(BN$3=$DF55+'Model Setup'!$G$7,SUMIF($BH$3:$CE$3,"="&amp;$DF55+'Model Setup'!$G$7,$AD55:$BA55)+'Model Setup'!$G$8*(SUMIF($BH$3:$CE$3,"&lt;"&amp;$DF55,$AD55:$BA55)+SUMIF($BH$3:$CE$3,"&gt;"&amp;$CW$4,$AD55:$BA55)),
IF(BN$3=$DF55+'Model Setup'!$H$7,SUMIF($BH$3:$CE$3,"="&amp;$DF55+'Model Setup'!$H$7,$AD55:$BA55)+'Model Setup'!$H$8*(SUMIF($BH$3:$CE$3,"&lt;"&amp;$DF55,$AD55:$BA55)+SUMIF($BH$3:$CE$3,"&gt;"&amp;$CW$4,$AD55:$BA55)),
IF(BN$3=$DF55+'Model Setup'!$I$7,SUMIF($BH$3:$CE$3,"="&amp;$DF55+'Model Setup'!$I$7,$AD55:$BA55)+'Model Setup'!$I$8*(SUMIF($BH$3:$CE$3,"&lt;"&amp;$DF55,$AD55:$BA55)+SUMIF($BH$3:$CE$3,"&gt;"&amp;$CW$4,$AD55:$BA55)),
IF(BN$3=$DF55+'Model Setup'!$J$7,SUMIF($BH$3:$CE$3,"="&amp;$DF55+'Model Setup'!$J$7,$AD55:$BA55)+'Model Setup'!$J$8*(SUMIF($BH$3:$CE$3,"&lt;"&amp;$DF55,$AD55:$BA55)+SUMIF($BH$3:$CE$3,"&gt;"&amp;$CW$4,$AD55:$BA55)),
IF(BN$3=$DF55+'Model Setup'!$K$7,SUMIF($BH$3:$CE$3,"="&amp;$DF55+'Model Setup'!$K$7,$AD55:$BA55)+'Model Setup'!$K$8*(SUMIF($BH$3:$CE$3,"&lt;"&amp;$DF55,$AD55:$BA55)+SUMIF($BH$3:$CE$3,"&gt;"&amp;$CW$4,$AD55:$BA55)),
IF(BN$3=$DF55+'Model Setup'!$L$7,SUMIF($BH$3:$CE$3,"="&amp;$DF55+'Model Setup'!$L$7,$AD55:$BA55)+'Model Setup'!$L$8*(SUMIF($BH$3:$CE$3,"&lt;"&amp;$DF55,$AD55:$BA55)+SUMIF($BH$3:$CE$3,"&gt;"&amp;$CW$4,$AD55:$BA55)),
IF(BN$3=$DF55+'Model Setup'!$M$7,SUMIF($BH$3:$CE$3,"="&amp;$DF55+'Model Setup'!$M$7,$AD55:$BA55)+'Model Setup'!$M$8*(SUMIF($BH$3:$CE$3,"&lt;"&amp;$DF55,$AD55:$BA55)+SUMIF($BH$3:$CE$3,"&gt;"&amp;$CW$4,$AD55:$BA55)),
IF(BN$3=$DF55+'Model Setup'!$N$7,SUMIF($BH$3:$CE$3,"="&amp;$DF55+'Model Setup'!$N$7,$AD55:$BA55)+'Model Setup'!$N$8*(SUMIF($BH$3:$CE$3,"&lt;"&amp;$DF55,$AD55:$BA55)+SUMIF($BH$3:$CE$3,"&gt;"&amp;$CW$4,$AD55:$BA55)),
IF(BN$3&lt;$CW$4,H55,0))))))))))))))),0)</f>
        <v>34</v>
      </c>
      <c r="BO55" s="47">
        <f>ROUND(IF(OR(BO$3&lt;$DF55,BO$3&gt;$CW$4),0,
IF(BO$3=$DF55+'Model Setup'!$B$7,SUMIF($BH$3:$CE$3,"="&amp;$DF55+'Model Setup'!$B$7,$AD55:$BA55)+'Model Setup'!$B$8*(SUMIF($BH$3:$CE$3,"&lt;"&amp;$DF55,$AD55:$BA55)+SUMIF($BH$3:$CE$3,"&gt;"&amp;$CW$4,$AD55:$BA55)),
IF(BO$3=$DF55+'Model Setup'!$C$7,SUMIF($BH$3:$CE$3,"="&amp;$DF55+'Model Setup'!$C$7,$AD55:$BA55)+'Model Setup'!$C$8*(SUMIF($BH$3:$CE$3,"&lt;"&amp;$DF55,$AD55:$BA55)+SUMIF($BH$3:$CE$3,"&gt;"&amp;$CW$4,$AD55:$BA55)),
IF(BO$3=$DF55+'Model Setup'!$D$7,SUMIF($BH$3:$CE$3,"="&amp;$DF55+'Model Setup'!$D$7,$AD55:$BA55)+'Model Setup'!$D$8*(SUMIF($BH$3:$CE$3,"&lt;"&amp;$DF55,$AD55:$BA55)+SUMIF($BH$3:$CE$3,"&gt;"&amp;$CW$4,$AD55:$BA55)),
IF(BO$3=$DF55+'Model Setup'!$E$7,SUMIF($BH$3:$CE$3,"="&amp;$DF55+'Model Setup'!$E$7,$AD55:$BA55)+'Model Setup'!$E$8*(SUMIF($BH$3:$CE$3,"&lt;"&amp;$DF55,$AD55:$BA55)+SUMIF($BH$3:$CE$3,"&gt;"&amp;$CW$4,$AD55:$BA55)),
IF(BO$3=$DF55+'Model Setup'!$F$7,SUMIF($BH$3:$CE$3,"="&amp;$DF55+'Model Setup'!$F$7,$AD55:$BA55)+'Model Setup'!$F$8*(SUMIF($BH$3:$CE$3,"&lt;"&amp;$DF55,$AD55:$BA55)+SUMIF($BH$3:$CE$3,"&gt;"&amp;$CW$4,$AD55:$BA55)),
IF(BO$3=$DF55+'Model Setup'!$G$7,SUMIF($BH$3:$CE$3,"="&amp;$DF55+'Model Setup'!$G$7,$AD55:$BA55)+'Model Setup'!$G$8*(SUMIF($BH$3:$CE$3,"&lt;"&amp;$DF55,$AD55:$BA55)+SUMIF($BH$3:$CE$3,"&gt;"&amp;$CW$4,$AD55:$BA55)),
IF(BO$3=$DF55+'Model Setup'!$H$7,SUMIF($BH$3:$CE$3,"="&amp;$DF55+'Model Setup'!$H$7,$AD55:$BA55)+'Model Setup'!$H$8*(SUMIF($BH$3:$CE$3,"&lt;"&amp;$DF55,$AD55:$BA55)+SUMIF($BH$3:$CE$3,"&gt;"&amp;$CW$4,$AD55:$BA55)),
IF(BO$3=$DF55+'Model Setup'!$I$7,SUMIF($BH$3:$CE$3,"="&amp;$DF55+'Model Setup'!$I$7,$AD55:$BA55)+'Model Setup'!$I$8*(SUMIF($BH$3:$CE$3,"&lt;"&amp;$DF55,$AD55:$BA55)+SUMIF($BH$3:$CE$3,"&gt;"&amp;$CW$4,$AD55:$BA55)),
IF(BO$3=$DF55+'Model Setup'!$J$7,SUMIF($BH$3:$CE$3,"="&amp;$DF55+'Model Setup'!$J$7,$AD55:$BA55)+'Model Setup'!$J$8*(SUMIF($BH$3:$CE$3,"&lt;"&amp;$DF55,$AD55:$BA55)+SUMIF($BH$3:$CE$3,"&gt;"&amp;$CW$4,$AD55:$BA55)),
IF(BO$3=$DF55+'Model Setup'!$K$7,SUMIF($BH$3:$CE$3,"="&amp;$DF55+'Model Setup'!$K$7,$AD55:$BA55)+'Model Setup'!$K$8*(SUMIF($BH$3:$CE$3,"&lt;"&amp;$DF55,$AD55:$BA55)+SUMIF($BH$3:$CE$3,"&gt;"&amp;$CW$4,$AD55:$BA55)),
IF(BO$3=$DF55+'Model Setup'!$L$7,SUMIF($BH$3:$CE$3,"="&amp;$DF55+'Model Setup'!$L$7,$AD55:$BA55)+'Model Setup'!$L$8*(SUMIF($BH$3:$CE$3,"&lt;"&amp;$DF55,$AD55:$BA55)+SUMIF($BH$3:$CE$3,"&gt;"&amp;$CW$4,$AD55:$BA55)),
IF(BO$3=$DF55+'Model Setup'!$M$7,SUMIF($BH$3:$CE$3,"="&amp;$DF55+'Model Setup'!$M$7,$AD55:$BA55)+'Model Setup'!$M$8*(SUMIF($BH$3:$CE$3,"&lt;"&amp;$DF55,$AD55:$BA55)+SUMIF($BH$3:$CE$3,"&gt;"&amp;$CW$4,$AD55:$BA55)),
IF(BO$3=$DF55+'Model Setup'!$N$7,SUMIF($BH$3:$CE$3,"="&amp;$DF55+'Model Setup'!$N$7,$AD55:$BA55)+'Model Setup'!$N$8*(SUMIF($BH$3:$CE$3,"&lt;"&amp;$DF55,$AD55:$BA55)+SUMIF($BH$3:$CE$3,"&gt;"&amp;$CW$4,$AD55:$BA55)),
IF(BO$3&lt;$CW$4,I55,0))))))))))))))),0)</f>
        <v>33</v>
      </c>
      <c r="BP55" s="47">
        <f>ROUND(IF(OR(BP$3&lt;$DF55,BP$3&gt;$CW$4),0,
IF(BP$3=$DF55+'Model Setup'!$B$7,SUMIF($BH$3:$CE$3,"="&amp;$DF55+'Model Setup'!$B$7,$AD55:$BA55)+'Model Setup'!$B$8*(SUMIF($BH$3:$CE$3,"&lt;"&amp;$DF55,$AD55:$BA55)+SUMIF($BH$3:$CE$3,"&gt;"&amp;$CW$4,$AD55:$BA55)),
IF(BP$3=$DF55+'Model Setup'!$C$7,SUMIF($BH$3:$CE$3,"="&amp;$DF55+'Model Setup'!$C$7,$AD55:$BA55)+'Model Setup'!$C$8*(SUMIF($BH$3:$CE$3,"&lt;"&amp;$DF55,$AD55:$BA55)+SUMIF($BH$3:$CE$3,"&gt;"&amp;$CW$4,$AD55:$BA55)),
IF(BP$3=$DF55+'Model Setup'!$D$7,SUMIF($BH$3:$CE$3,"="&amp;$DF55+'Model Setup'!$D$7,$AD55:$BA55)+'Model Setup'!$D$8*(SUMIF($BH$3:$CE$3,"&lt;"&amp;$DF55,$AD55:$BA55)+SUMIF($BH$3:$CE$3,"&gt;"&amp;$CW$4,$AD55:$BA55)),
IF(BP$3=$DF55+'Model Setup'!$E$7,SUMIF($BH$3:$CE$3,"="&amp;$DF55+'Model Setup'!$E$7,$AD55:$BA55)+'Model Setup'!$E$8*(SUMIF($BH$3:$CE$3,"&lt;"&amp;$DF55,$AD55:$BA55)+SUMIF($BH$3:$CE$3,"&gt;"&amp;$CW$4,$AD55:$BA55)),
IF(BP$3=$DF55+'Model Setup'!$F$7,SUMIF($BH$3:$CE$3,"="&amp;$DF55+'Model Setup'!$F$7,$AD55:$BA55)+'Model Setup'!$F$8*(SUMIF($BH$3:$CE$3,"&lt;"&amp;$DF55,$AD55:$BA55)+SUMIF($BH$3:$CE$3,"&gt;"&amp;$CW$4,$AD55:$BA55)),
IF(BP$3=$DF55+'Model Setup'!$G$7,SUMIF($BH$3:$CE$3,"="&amp;$DF55+'Model Setup'!$G$7,$AD55:$BA55)+'Model Setup'!$G$8*(SUMIF($BH$3:$CE$3,"&lt;"&amp;$DF55,$AD55:$BA55)+SUMIF($BH$3:$CE$3,"&gt;"&amp;$CW$4,$AD55:$BA55)),
IF(BP$3=$DF55+'Model Setup'!$H$7,SUMIF($BH$3:$CE$3,"="&amp;$DF55+'Model Setup'!$H$7,$AD55:$BA55)+'Model Setup'!$H$8*(SUMIF($BH$3:$CE$3,"&lt;"&amp;$DF55,$AD55:$BA55)+SUMIF($BH$3:$CE$3,"&gt;"&amp;$CW$4,$AD55:$BA55)),
IF(BP$3=$DF55+'Model Setup'!$I$7,SUMIF($BH$3:$CE$3,"="&amp;$DF55+'Model Setup'!$I$7,$AD55:$BA55)+'Model Setup'!$I$8*(SUMIF($BH$3:$CE$3,"&lt;"&amp;$DF55,$AD55:$BA55)+SUMIF($BH$3:$CE$3,"&gt;"&amp;$CW$4,$AD55:$BA55)),
IF(BP$3=$DF55+'Model Setup'!$J$7,SUMIF($BH$3:$CE$3,"="&amp;$DF55+'Model Setup'!$J$7,$AD55:$BA55)+'Model Setup'!$J$8*(SUMIF($BH$3:$CE$3,"&lt;"&amp;$DF55,$AD55:$BA55)+SUMIF($BH$3:$CE$3,"&gt;"&amp;$CW$4,$AD55:$BA55)),
IF(BP$3=$DF55+'Model Setup'!$K$7,SUMIF($BH$3:$CE$3,"="&amp;$DF55+'Model Setup'!$K$7,$AD55:$BA55)+'Model Setup'!$K$8*(SUMIF($BH$3:$CE$3,"&lt;"&amp;$DF55,$AD55:$BA55)+SUMIF($BH$3:$CE$3,"&gt;"&amp;$CW$4,$AD55:$BA55)),
IF(BP$3=$DF55+'Model Setup'!$L$7,SUMIF($BH$3:$CE$3,"="&amp;$DF55+'Model Setup'!$L$7,$AD55:$BA55)+'Model Setup'!$L$8*(SUMIF($BH$3:$CE$3,"&lt;"&amp;$DF55,$AD55:$BA55)+SUMIF($BH$3:$CE$3,"&gt;"&amp;$CW$4,$AD55:$BA55)),
IF(BP$3=$DF55+'Model Setup'!$M$7,SUMIF($BH$3:$CE$3,"="&amp;$DF55+'Model Setup'!$M$7,$AD55:$BA55)+'Model Setup'!$M$8*(SUMIF($BH$3:$CE$3,"&lt;"&amp;$DF55,$AD55:$BA55)+SUMIF($BH$3:$CE$3,"&gt;"&amp;$CW$4,$AD55:$BA55)),
IF(BP$3=$DF55+'Model Setup'!$N$7,SUMIF($BH$3:$CE$3,"="&amp;$DF55+'Model Setup'!$N$7,$AD55:$BA55)+'Model Setup'!$N$8*(SUMIF($BH$3:$CE$3,"&lt;"&amp;$DF55,$AD55:$BA55)+SUMIF($BH$3:$CE$3,"&gt;"&amp;$CW$4,$AD55:$BA55)),
IF(BP$3&lt;$CW$4,J55,0))))))))))))))),0)</f>
        <v>29</v>
      </c>
      <c r="BQ55" s="47">
        <f>ROUND(IF(OR(BQ$3&lt;$DF55,BQ$3&gt;$CW$4),0,
IF(BQ$3=$DF55+'Model Setup'!$B$7,SUMIF($BH$3:$CE$3,"="&amp;$DF55+'Model Setup'!$B$7,$AD55:$BA55)+'Model Setup'!$B$8*(SUMIF($BH$3:$CE$3,"&lt;"&amp;$DF55,$AD55:$BA55)+SUMIF($BH$3:$CE$3,"&gt;"&amp;$CW$4,$AD55:$BA55)),
IF(BQ$3=$DF55+'Model Setup'!$C$7,SUMIF($BH$3:$CE$3,"="&amp;$DF55+'Model Setup'!$C$7,$AD55:$BA55)+'Model Setup'!$C$8*(SUMIF($BH$3:$CE$3,"&lt;"&amp;$DF55,$AD55:$BA55)+SUMIF($BH$3:$CE$3,"&gt;"&amp;$CW$4,$AD55:$BA55)),
IF(BQ$3=$DF55+'Model Setup'!$D$7,SUMIF($BH$3:$CE$3,"="&amp;$DF55+'Model Setup'!$D$7,$AD55:$BA55)+'Model Setup'!$D$8*(SUMIF($BH$3:$CE$3,"&lt;"&amp;$DF55,$AD55:$BA55)+SUMIF($BH$3:$CE$3,"&gt;"&amp;$CW$4,$AD55:$BA55)),
IF(BQ$3=$DF55+'Model Setup'!$E$7,SUMIF($BH$3:$CE$3,"="&amp;$DF55+'Model Setup'!$E$7,$AD55:$BA55)+'Model Setup'!$E$8*(SUMIF($BH$3:$CE$3,"&lt;"&amp;$DF55,$AD55:$BA55)+SUMIF($BH$3:$CE$3,"&gt;"&amp;$CW$4,$AD55:$BA55)),
IF(BQ$3=$DF55+'Model Setup'!$F$7,SUMIF($BH$3:$CE$3,"="&amp;$DF55+'Model Setup'!$F$7,$AD55:$BA55)+'Model Setup'!$F$8*(SUMIF($BH$3:$CE$3,"&lt;"&amp;$DF55,$AD55:$BA55)+SUMIF($BH$3:$CE$3,"&gt;"&amp;$CW$4,$AD55:$BA55)),
IF(BQ$3=$DF55+'Model Setup'!$G$7,SUMIF($BH$3:$CE$3,"="&amp;$DF55+'Model Setup'!$G$7,$AD55:$BA55)+'Model Setup'!$G$8*(SUMIF($BH$3:$CE$3,"&lt;"&amp;$DF55,$AD55:$BA55)+SUMIF($BH$3:$CE$3,"&gt;"&amp;$CW$4,$AD55:$BA55)),
IF(BQ$3=$DF55+'Model Setup'!$H$7,SUMIF($BH$3:$CE$3,"="&amp;$DF55+'Model Setup'!$H$7,$AD55:$BA55)+'Model Setup'!$H$8*(SUMIF($BH$3:$CE$3,"&lt;"&amp;$DF55,$AD55:$BA55)+SUMIF($BH$3:$CE$3,"&gt;"&amp;$CW$4,$AD55:$BA55)),
IF(BQ$3=$DF55+'Model Setup'!$I$7,SUMIF($BH$3:$CE$3,"="&amp;$DF55+'Model Setup'!$I$7,$AD55:$BA55)+'Model Setup'!$I$8*(SUMIF($BH$3:$CE$3,"&lt;"&amp;$DF55,$AD55:$BA55)+SUMIF($BH$3:$CE$3,"&gt;"&amp;$CW$4,$AD55:$BA55)),
IF(BQ$3=$DF55+'Model Setup'!$J$7,SUMIF($BH$3:$CE$3,"="&amp;$DF55+'Model Setup'!$J$7,$AD55:$BA55)+'Model Setup'!$J$8*(SUMIF($BH$3:$CE$3,"&lt;"&amp;$DF55,$AD55:$BA55)+SUMIF($BH$3:$CE$3,"&gt;"&amp;$CW$4,$AD55:$BA55)),
IF(BQ$3=$DF55+'Model Setup'!$K$7,SUMIF($BH$3:$CE$3,"="&amp;$DF55+'Model Setup'!$K$7,$AD55:$BA55)+'Model Setup'!$K$8*(SUMIF($BH$3:$CE$3,"&lt;"&amp;$DF55,$AD55:$BA55)+SUMIF($BH$3:$CE$3,"&gt;"&amp;$CW$4,$AD55:$BA55)),
IF(BQ$3=$DF55+'Model Setup'!$L$7,SUMIF($BH$3:$CE$3,"="&amp;$DF55+'Model Setup'!$L$7,$AD55:$BA55)+'Model Setup'!$L$8*(SUMIF($BH$3:$CE$3,"&lt;"&amp;$DF55,$AD55:$BA55)+SUMIF($BH$3:$CE$3,"&gt;"&amp;$CW$4,$AD55:$BA55)),
IF(BQ$3=$DF55+'Model Setup'!$M$7,SUMIF($BH$3:$CE$3,"="&amp;$DF55+'Model Setup'!$M$7,$AD55:$BA55)+'Model Setup'!$M$8*(SUMIF($BH$3:$CE$3,"&lt;"&amp;$DF55,$AD55:$BA55)+SUMIF($BH$3:$CE$3,"&gt;"&amp;$CW$4,$AD55:$BA55)),
IF(BQ$3=$DF55+'Model Setup'!$N$7,SUMIF($BH$3:$CE$3,"="&amp;$DF55+'Model Setup'!$N$7,$AD55:$BA55)+'Model Setup'!$N$8*(SUMIF($BH$3:$CE$3,"&lt;"&amp;$DF55,$AD55:$BA55)+SUMIF($BH$3:$CE$3,"&gt;"&amp;$CW$4,$AD55:$BA55)),
IF(BQ$3&lt;$CW$4,K55,0))))))))))))))),0)</f>
        <v>17</v>
      </c>
      <c r="BR55" s="47">
        <f>ROUND(IF(OR(BR$3&lt;$DF55,BR$3&gt;$CW$4),0,
IF(BR$3=$DF55+'Model Setup'!$B$7,SUMIF($BH$3:$CE$3,"="&amp;$DF55+'Model Setup'!$B$7,$AD55:$BA55)+'Model Setup'!$B$8*(SUMIF($BH$3:$CE$3,"&lt;"&amp;$DF55,$AD55:$BA55)+SUMIF($BH$3:$CE$3,"&gt;"&amp;$CW$4,$AD55:$BA55)),
IF(BR$3=$DF55+'Model Setup'!$C$7,SUMIF($BH$3:$CE$3,"="&amp;$DF55+'Model Setup'!$C$7,$AD55:$BA55)+'Model Setup'!$C$8*(SUMIF($BH$3:$CE$3,"&lt;"&amp;$DF55,$AD55:$BA55)+SUMIF($BH$3:$CE$3,"&gt;"&amp;$CW$4,$AD55:$BA55)),
IF(BR$3=$DF55+'Model Setup'!$D$7,SUMIF($BH$3:$CE$3,"="&amp;$DF55+'Model Setup'!$D$7,$AD55:$BA55)+'Model Setup'!$D$8*(SUMIF($BH$3:$CE$3,"&lt;"&amp;$DF55,$AD55:$BA55)+SUMIF($BH$3:$CE$3,"&gt;"&amp;$CW$4,$AD55:$BA55)),
IF(BR$3=$DF55+'Model Setup'!$E$7,SUMIF($BH$3:$CE$3,"="&amp;$DF55+'Model Setup'!$E$7,$AD55:$BA55)+'Model Setup'!$E$8*(SUMIF($BH$3:$CE$3,"&lt;"&amp;$DF55,$AD55:$BA55)+SUMIF($BH$3:$CE$3,"&gt;"&amp;$CW$4,$AD55:$BA55)),
IF(BR$3=$DF55+'Model Setup'!$F$7,SUMIF($BH$3:$CE$3,"="&amp;$DF55+'Model Setup'!$F$7,$AD55:$BA55)+'Model Setup'!$F$8*(SUMIF($BH$3:$CE$3,"&lt;"&amp;$DF55,$AD55:$BA55)+SUMIF($BH$3:$CE$3,"&gt;"&amp;$CW$4,$AD55:$BA55)),
IF(BR$3=$DF55+'Model Setup'!$G$7,SUMIF($BH$3:$CE$3,"="&amp;$DF55+'Model Setup'!$G$7,$AD55:$BA55)+'Model Setup'!$G$8*(SUMIF($BH$3:$CE$3,"&lt;"&amp;$DF55,$AD55:$BA55)+SUMIF($BH$3:$CE$3,"&gt;"&amp;$CW$4,$AD55:$BA55)),
IF(BR$3=$DF55+'Model Setup'!$H$7,SUMIF($BH$3:$CE$3,"="&amp;$DF55+'Model Setup'!$H$7,$AD55:$BA55)+'Model Setup'!$H$8*(SUMIF($BH$3:$CE$3,"&lt;"&amp;$DF55,$AD55:$BA55)+SUMIF($BH$3:$CE$3,"&gt;"&amp;$CW$4,$AD55:$BA55)),
IF(BR$3=$DF55+'Model Setup'!$I$7,SUMIF($BH$3:$CE$3,"="&amp;$DF55+'Model Setup'!$I$7,$AD55:$BA55)+'Model Setup'!$I$8*(SUMIF($BH$3:$CE$3,"&lt;"&amp;$DF55,$AD55:$BA55)+SUMIF($BH$3:$CE$3,"&gt;"&amp;$CW$4,$AD55:$BA55)),
IF(BR$3=$DF55+'Model Setup'!$J$7,SUMIF($BH$3:$CE$3,"="&amp;$DF55+'Model Setup'!$J$7,$AD55:$BA55)+'Model Setup'!$J$8*(SUMIF($BH$3:$CE$3,"&lt;"&amp;$DF55,$AD55:$BA55)+SUMIF($BH$3:$CE$3,"&gt;"&amp;$CW$4,$AD55:$BA55)),
IF(BR$3=$DF55+'Model Setup'!$K$7,SUMIF($BH$3:$CE$3,"="&amp;$DF55+'Model Setup'!$K$7,$AD55:$BA55)+'Model Setup'!$K$8*(SUMIF($BH$3:$CE$3,"&lt;"&amp;$DF55,$AD55:$BA55)+SUMIF($BH$3:$CE$3,"&gt;"&amp;$CW$4,$AD55:$BA55)),
IF(BR$3=$DF55+'Model Setup'!$L$7,SUMIF($BH$3:$CE$3,"="&amp;$DF55+'Model Setup'!$L$7,$AD55:$BA55)+'Model Setup'!$L$8*(SUMIF($BH$3:$CE$3,"&lt;"&amp;$DF55,$AD55:$BA55)+SUMIF($BH$3:$CE$3,"&gt;"&amp;$CW$4,$AD55:$BA55)),
IF(BR$3=$DF55+'Model Setup'!$M$7,SUMIF($BH$3:$CE$3,"="&amp;$DF55+'Model Setup'!$M$7,$AD55:$BA55)+'Model Setup'!$M$8*(SUMIF($BH$3:$CE$3,"&lt;"&amp;$DF55,$AD55:$BA55)+SUMIF($BH$3:$CE$3,"&gt;"&amp;$CW$4,$AD55:$BA55)),
IF(BR$3=$DF55+'Model Setup'!$N$7,SUMIF($BH$3:$CE$3,"="&amp;$DF55+'Model Setup'!$N$7,$AD55:$BA55)+'Model Setup'!$N$8*(SUMIF($BH$3:$CE$3,"&lt;"&amp;$DF55,$AD55:$BA55)+SUMIF($BH$3:$CE$3,"&gt;"&amp;$CW$4,$AD55:$BA55)),
IF(BR$3&lt;$CW$4,L55,0))))))))))))))),0)</f>
        <v>21</v>
      </c>
      <c r="BS55" s="47">
        <f>ROUND(IF(OR(BS$3&lt;$DF55,BS$3&gt;$CW$4),0,
IF(BS$3=$DF55+'Model Setup'!$B$7,SUMIF($BH$3:$CE$3,"="&amp;$DF55+'Model Setup'!$B$7,$AD55:$BA55)+'Model Setup'!$B$8*(SUMIF($BH$3:$CE$3,"&lt;"&amp;$DF55,$AD55:$BA55)+SUMIF($BH$3:$CE$3,"&gt;"&amp;$CW$4,$AD55:$BA55)),
IF(BS$3=$DF55+'Model Setup'!$C$7,SUMIF($BH$3:$CE$3,"="&amp;$DF55+'Model Setup'!$C$7,$AD55:$BA55)+'Model Setup'!$C$8*(SUMIF($BH$3:$CE$3,"&lt;"&amp;$DF55,$AD55:$BA55)+SUMIF($BH$3:$CE$3,"&gt;"&amp;$CW$4,$AD55:$BA55)),
IF(BS$3=$DF55+'Model Setup'!$D$7,SUMIF($BH$3:$CE$3,"="&amp;$DF55+'Model Setup'!$D$7,$AD55:$BA55)+'Model Setup'!$D$8*(SUMIF($BH$3:$CE$3,"&lt;"&amp;$DF55,$AD55:$BA55)+SUMIF($BH$3:$CE$3,"&gt;"&amp;$CW$4,$AD55:$BA55)),
IF(BS$3=$DF55+'Model Setup'!$E$7,SUMIF($BH$3:$CE$3,"="&amp;$DF55+'Model Setup'!$E$7,$AD55:$BA55)+'Model Setup'!$E$8*(SUMIF($BH$3:$CE$3,"&lt;"&amp;$DF55,$AD55:$BA55)+SUMIF($BH$3:$CE$3,"&gt;"&amp;$CW$4,$AD55:$BA55)),
IF(BS$3=$DF55+'Model Setup'!$F$7,SUMIF($BH$3:$CE$3,"="&amp;$DF55+'Model Setup'!$F$7,$AD55:$BA55)+'Model Setup'!$F$8*(SUMIF($BH$3:$CE$3,"&lt;"&amp;$DF55,$AD55:$BA55)+SUMIF($BH$3:$CE$3,"&gt;"&amp;$CW$4,$AD55:$BA55)),
IF(BS$3=$DF55+'Model Setup'!$G$7,SUMIF($BH$3:$CE$3,"="&amp;$DF55+'Model Setup'!$G$7,$AD55:$BA55)+'Model Setup'!$G$8*(SUMIF($BH$3:$CE$3,"&lt;"&amp;$DF55,$AD55:$BA55)+SUMIF($BH$3:$CE$3,"&gt;"&amp;$CW$4,$AD55:$BA55)),
IF(BS$3=$DF55+'Model Setup'!$H$7,SUMIF($BH$3:$CE$3,"="&amp;$DF55+'Model Setup'!$H$7,$AD55:$BA55)+'Model Setup'!$H$8*(SUMIF($BH$3:$CE$3,"&lt;"&amp;$DF55,$AD55:$BA55)+SUMIF($BH$3:$CE$3,"&gt;"&amp;$CW$4,$AD55:$BA55)),
IF(BS$3=$DF55+'Model Setup'!$I$7,SUMIF($BH$3:$CE$3,"="&amp;$DF55+'Model Setup'!$I$7,$AD55:$BA55)+'Model Setup'!$I$8*(SUMIF($BH$3:$CE$3,"&lt;"&amp;$DF55,$AD55:$BA55)+SUMIF($BH$3:$CE$3,"&gt;"&amp;$CW$4,$AD55:$BA55)),
IF(BS$3=$DF55+'Model Setup'!$J$7,SUMIF($BH$3:$CE$3,"="&amp;$DF55+'Model Setup'!$J$7,$AD55:$BA55)+'Model Setup'!$J$8*(SUMIF($BH$3:$CE$3,"&lt;"&amp;$DF55,$AD55:$BA55)+SUMIF($BH$3:$CE$3,"&gt;"&amp;$CW$4,$AD55:$BA55)),
IF(BS$3=$DF55+'Model Setup'!$K$7,SUMIF($BH$3:$CE$3,"="&amp;$DF55+'Model Setup'!$K$7,$AD55:$BA55)+'Model Setup'!$K$8*(SUMIF($BH$3:$CE$3,"&lt;"&amp;$DF55,$AD55:$BA55)+SUMIF($BH$3:$CE$3,"&gt;"&amp;$CW$4,$AD55:$BA55)),
IF(BS$3=$DF55+'Model Setup'!$L$7,SUMIF($BH$3:$CE$3,"="&amp;$DF55+'Model Setup'!$L$7,$AD55:$BA55)+'Model Setup'!$L$8*(SUMIF($BH$3:$CE$3,"&lt;"&amp;$DF55,$AD55:$BA55)+SUMIF($BH$3:$CE$3,"&gt;"&amp;$CW$4,$AD55:$BA55)),
IF(BS$3=$DF55+'Model Setup'!$M$7,SUMIF($BH$3:$CE$3,"="&amp;$DF55+'Model Setup'!$M$7,$AD55:$BA55)+'Model Setup'!$M$8*(SUMIF($BH$3:$CE$3,"&lt;"&amp;$DF55,$AD55:$BA55)+SUMIF($BH$3:$CE$3,"&gt;"&amp;$CW$4,$AD55:$BA55)),
IF(BS$3=$DF55+'Model Setup'!$N$7,SUMIF($BH$3:$CE$3,"="&amp;$DF55+'Model Setup'!$N$7,$AD55:$BA55)+'Model Setup'!$N$8*(SUMIF($BH$3:$CE$3,"&lt;"&amp;$DF55,$AD55:$BA55)+SUMIF($BH$3:$CE$3,"&gt;"&amp;$CW$4,$AD55:$BA55)),
IF(BS$3&lt;$CW$4,M55,0))))))))))))))),0)</f>
        <v>22</v>
      </c>
      <c r="BT55" s="47">
        <f>ROUND(IF(OR(BT$3&lt;$DF55,BT$3&gt;$CW$4),0,
IF(BT$3=$DF55+'Model Setup'!$B$7,SUMIF($BH$3:$CE$3,"="&amp;$DF55+'Model Setup'!$B$7,$AD55:$BA55)+'Model Setup'!$B$8*(SUMIF($BH$3:$CE$3,"&lt;"&amp;$DF55,$AD55:$BA55)+SUMIF($BH$3:$CE$3,"&gt;"&amp;$CW$4,$AD55:$BA55)),
IF(BT$3=$DF55+'Model Setup'!$C$7,SUMIF($BH$3:$CE$3,"="&amp;$DF55+'Model Setup'!$C$7,$AD55:$BA55)+'Model Setup'!$C$8*(SUMIF($BH$3:$CE$3,"&lt;"&amp;$DF55,$AD55:$BA55)+SUMIF($BH$3:$CE$3,"&gt;"&amp;$CW$4,$AD55:$BA55)),
IF(BT$3=$DF55+'Model Setup'!$D$7,SUMIF($BH$3:$CE$3,"="&amp;$DF55+'Model Setup'!$D$7,$AD55:$BA55)+'Model Setup'!$D$8*(SUMIF($BH$3:$CE$3,"&lt;"&amp;$DF55,$AD55:$BA55)+SUMIF($BH$3:$CE$3,"&gt;"&amp;$CW$4,$AD55:$BA55)),
IF(BT$3=$DF55+'Model Setup'!$E$7,SUMIF($BH$3:$CE$3,"="&amp;$DF55+'Model Setup'!$E$7,$AD55:$BA55)+'Model Setup'!$E$8*(SUMIF($BH$3:$CE$3,"&lt;"&amp;$DF55,$AD55:$BA55)+SUMIF($BH$3:$CE$3,"&gt;"&amp;$CW$4,$AD55:$BA55)),
IF(BT$3=$DF55+'Model Setup'!$F$7,SUMIF($BH$3:$CE$3,"="&amp;$DF55+'Model Setup'!$F$7,$AD55:$BA55)+'Model Setup'!$F$8*(SUMIF($BH$3:$CE$3,"&lt;"&amp;$DF55,$AD55:$BA55)+SUMIF($BH$3:$CE$3,"&gt;"&amp;$CW$4,$AD55:$BA55)),
IF(BT$3=$DF55+'Model Setup'!$G$7,SUMIF($BH$3:$CE$3,"="&amp;$DF55+'Model Setup'!$G$7,$AD55:$BA55)+'Model Setup'!$G$8*(SUMIF($BH$3:$CE$3,"&lt;"&amp;$DF55,$AD55:$BA55)+SUMIF($BH$3:$CE$3,"&gt;"&amp;$CW$4,$AD55:$BA55)),
IF(BT$3=$DF55+'Model Setup'!$H$7,SUMIF($BH$3:$CE$3,"="&amp;$DF55+'Model Setup'!$H$7,$AD55:$BA55)+'Model Setup'!$H$8*(SUMIF($BH$3:$CE$3,"&lt;"&amp;$DF55,$AD55:$BA55)+SUMIF($BH$3:$CE$3,"&gt;"&amp;$CW$4,$AD55:$BA55)),
IF(BT$3=$DF55+'Model Setup'!$I$7,SUMIF($BH$3:$CE$3,"="&amp;$DF55+'Model Setup'!$I$7,$AD55:$BA55)+'Model Setup'!$I$8*(SUMIF($BH$3:$CE$3,"&lt;"&amp;$DF55,$AD55:$BA55)+SUMIF($BH$3:$CE$3,"&gt;"&amp;$CW$4,$AD55:$BA55)),
IF(BT$3=$DF55+'Model Setup'!$J$7,SUMIF($BH$3:$CE$3,"="&amp;$DF55+'Model Setup'!$J$7,$AD55:$BA55)+'Model Setup'!$J$8*(SUMIF($BH$3:$CE$3,"&lt;"&amp;$DF55,$AD55:$BA55)+SUMIF($BH$3:$CE$3,"&gt;"&amp;$CW$4,$AD55:$BA55)),
IF(BT$3=$DF55+'Model Setup'!$K$7,SUMIF($BH$3:$CE$3,"="&amp;$DF55+'Model Setup'!$K$7,$AD55:$BA55)+'Model Setup'!$K$8*(SUMIF($BH$3:$CE$3,"&lt;"&amp;$DF55,$AD55:$BA55)+SUMIF($BH$3:$CE$3,"&gt;"&amp;$CW$4,$AD55:$BA55)),
IF(BT$3=$DF55+'Model Setup'!$L$7,SUMIF($BH$3:$CE$3,"="&amp;$DF55+'Model Setup'!$L$7,$AD55:$BA55)+'Model Setup'!$L$8*(SUMIF($BH$3:$CE$3,"&lt;"&amp;$DF55,$AD55:$BA55)+SUMIF($BH$3:$CE$3,"&gt;"&amp;$CW$4,$AD55:$BA55)),
IF(BT$3=$DF55+'Model Setup'!$M$7,SUMIF($BH$3:$CE$3,"="&amp;$DF55+'Model Setup'!$M$7,$AD55:$BA55)+'Model Setup'!$M$8*(SUMIF($BH$3:$CE$3,"&lt;"&amp;$DF55,$AD55:$BA55)+SUMIF($BH$3:$CE$3,"&gt;"&amp;$CW$4,$AD55:$BA55)),
IF(BT$3=$DF55+'Model Setup'!$N$7,SUMIF($BH$3:$CE$3,"="&amp;$DF55+'Model Setup'!$N$7,$AD55:$BA55)+'Model Setup'!$N$8*(SUMIF($BH$3:$CE$3,"&lt;"&amp;$DF55,$AD55:$BA55)+SUMIF($BH$3:$CE$3,"&gt;"&amp;$CW$4,$AD55:$BA55)),
IF(BT$3&lt;$CW$4,N55,0))))))))))))))),0)</f>
        <v>15</v>
      </c>
      <c r="BU55" s="47">
        <f>ROUND(IF(OR(BU$3&lt;$DF55,BU$3&gt;$CW$4),0,
IF(BU$3=$DF55+'Model Setup'!$B$7,SUMIF($BH$3:$CE$3,"="&amp;$DF55+'Model Setup'!$B$7,$AD55:$BA55)+'Model Setup'!$B$8*(SUMIF($BH$3:$CE$3,"&lt;"&amp;$DF55,$AD55:$BA55)+SUMIF($BH$3:$CE$3,"&gt;"&amp;$CW$4,$AD55:$BA55)),
IF(BU$3=$DF55+'Model Setup'!$C$7,SUMIF($BH$3:$CE$3,"="&amp;$DF55+'Model Setup'!$C$7,$AD55:$BA55)+'Model Setup'!$C$8*(SUMIF($BH$3:$CE$3,"&lt;"&amp;$DF55,$AD55:$BA55)+SUMIF($BH$3:$CE$3,"&gt;"&amp;$CW$4,$AD55:$BA55)),
IF(BU$3=$DF55+'Model Setup'!$D$7,SUMIF($BH$3:$CE$3,"="&amp;$DF55+'Model Setup'!$D$7,$AD55:$BA55)+'Model Setup'!$D$8*(SUMIF($BH$3:$CE$3,"&lt;"&amp;$DF55,$AD55:$BA55)+SUMIF($BH$3:$CE$3,"&gt;"&amp;$CW$4,$AD55:$BA55)),
IF(BU$3=$DF55+'Model Setup'!$E$7,SUMIF($BH$3:$CE$3,"="&amp;$DF55+'Model Setup'!$E$7,$AD55:$BA55)+'Model Setup'!$E$8*(SUMIF($BH$3:$CE$3,"&lt;"&amp;$DF55,$AD55:$BA55)+SUMIF($BH$3:$CE$3,"&gt;"&amp;$CW$4,$AD55:$BA55)),
IF(BU$3=$DF55+'Model Setup'!$F$7,SUMIF($BH$3:$CE$3,"="&amp;$DF55+'Model Setup'!$F$7,$AD55:$BA55)+'Model Setup'!$F$8*(SUMIF($BH$3:$CE$3,"&lt;"&amp;$DF55,$AD55:$BA55)+SUMIF($BH$3:$CE$3,"&gt;"&amp;$CW$4,$AD55:$BA55)),
IF(BU$3=$DF55+'Model Setup'!$G$7,SUMIF($BH$3:$CE$3,"="&amp;$DF55+'Model Setup'!$G$7,$AD55:$BA55)+'Model Setup'!$G$8*(SUMIF($BH$3:$CE$3,"&lt;"&amp;$DF55,$AD55:$BA55)+SUMIF($BH$3:$CE$3,"&gt;"&amp;$CW$4,$AD55:$BA55)),
IF(BU$3=$DF55+'Model Setup'!$H$7,SUMIF($BH$3:$CE$3,"="&amp;$DF55+'Model Setup'!$H$7,$AD55:$BA55)+'Model Setup'!$H$8*(SUMIF($BH$3:$CE$3,"&lt;"&amp;$DF55,$AD55:$BA55)+SUMIF($BH$3:$CE$3,"&gt;"&amp;$CW$4,$AD55:$BA55)),
IF(BU$3=$DF55+'Model Setup'!$I$7,SUMIF($BH$3:$CE$3,"="&amp;$DF55+'Model Setup'!$I$7,$AD55:$BA55)+'Model Setup'!$I$8*(SUMIF($BH$3:$CE$3,"&lt;"&amp;$DF55,$AD55:$BA55)+SUMIF($BH$3:$CE$3,"&gt;"&amp;$CW$4,$AD55:$BA55)),
IF(BU$3=$DF55+'Model Setup'!$J$7,SUMIF($BH$3:$CE$3,"="&amp;$DF55+'Model Setup'!$J$7,$AD55:$BA55)+'Model Setup'!$J$8*(SUMIF($BH$3:$CE$3,"&lt;"&amp;$DF55,$AD55:$BA55)+SUMIF($BH$3:$CE$3,"&gt;"&amp;$CW$4,$AD55:$BA55)),
IF(BU$3=$DF55+'Model Setup'!$K$7,SUMIF($BH$3:$CE$3,"="&amp;$DF55+'Model Setup'!$K$7,$AD55:$BA55)+'Model Setup'!$K$8*(SUMIF($BH$3:$CE$3,"&lt;"&amp;$DF55,$AD55:$BA55)+SUMIF($BH$3:$CE$3,"&gt;"&amp;$CW$4,$AD55:$BA55)),
IF(BU$3=$DF55+'Model Setup'!$L$7,SUMIF($BH$3:$CE$3,"="&amp;$DF55+'Model Setup'!$L$7,$AD55:$BA55)+'Model Setup'!$L$8*(SUMIF($BH$3:$CE$3,"&lt;"&amp;$DF55,$AD55:$BA55)+SUMIF($BH$3:$CE$3,"&gt;"&amp;$CW$4,$AD55:$BA55)),
IF(BU$3=$DF55+'Model Setup'!$M$7,SUMIF($BH$3:$CE$3,"="&amp;$DF55+'Model Setup'!$M$7,$AD55:$BA55)+'Model Setup'!$M$8*(SUMIF($BH$3:$CE$3,"&lt;"&amp;$DF55,$AD55:$BA55)+SUMIF($BH$3:$CE$3,"&gt;"&amp;$CW$4,$AD55:$BA55)),
IF(BU$3=$DF55+'Model Setup'!$N$7,SUMIF($BH$3:$CE$3,"="&amp;$DF55+'Model Setup'!$N$7,$AD55:$BA55)+'Model Setup'!$N$8*(SUMIF($BH$3:$CE$3,"&lt;"&amp;$DF55,$AD55:$BA55)+SUMIF($BH$3:$CE$3,"&gt;"&amp;$CW$4,$AD55:$BA55)),
IF(BU$3&lt;$CW$4,O55,0))))))))))))))),0)</f>
        <v>6</v>
      </c>
      <c r="BV55" s="47">
        <f>ROUND(IF(OR(BV$3&lt;$DF55,BV$3&gt;$CW$4),0,
IF(BV$3=$DF55+'Model Setup'!$B$7,SUMIF($BH$3:$CE$3,"="&amp;$DF55+'Model Setup'!$B$7,$AD55:$BA55)+'Model Setup'!$B$8*(SUMIF($BH$3:$CE$3,"&lt;"&amp;$DF55,$AD55:$BA55)+SUMIF($BH$3:$CE$3,"&gt;"&amp;$CW$4,$AD55:$BA55)),
IF(BV$3=$DF55+'Model Setup'!$C$7,SUMIF($BH$3:$CE$3,"="&amp;$DF55+'Model Setup'!$C$7,$AD55:$BA55)+'Model Setup'!$C$8*(SUMIF($BH$3:$CE$3,"&lt;"&amp;$DF55,$AD55:$BA55)+SUMIF($BH$3:$CE$3,"&gt;"&amp;$CW$4,$AD55:$BA55)),
IF(BV$3=$DF55+'Model Setup'!$D$7,SUMIF($BH$3:$CE$3,"="&amp;$DF55+'Model Setup'!$D$7,$AD55:$BA55)+'Model Setup'!$D$8*(SUMIF($BH$3:$CE$3,"&lt;"&amp;$DF55,$AD55:$BA55)+SUMIF($BH$3:$CE$3,"&gt;"&amp;$CW$4,$AD55:$BA55)),
IF(BV$3=$DF55+'Model Setup'!$E$7,SUMIF($BH$3:$CE$3,"="&amp;$DF55+'Model Setup'!$E$7,$AD55:$BA55)+'Model Setup'!$E$8*(SUMIF($BH$3:$CE$3,"&lt;"&amp;$DF55,$AD55:$BA55)+SUMIF($BH$3:$CE$3,"&gt;"&amp;$CW$4,$AD55:$BA55)),
IF(BV$3=$DF55+'Model Setup'!$F$7,SUMIF($BH$3:$CE$3,"="&amp;$DF55+'Model Setup'!$F$7,$AD55:$BA55)+'Model Setup'!$F$8*(SUMIF($BH$3:$CE$3,"&lt;"&amp;$DF55,$AD55:$BA55)+SUMIF($BH$3:$CE$3,"&gt;"&amp;$CW$4,$AD55:$BA55)),
IF(BV$3=$DF55+'Model Setup'!$G$7,SUMIF($BH$3:$CE$3,"="&amp;$DF55+'Model Setup'!$G$7,$AD55:$BA55)+'Model Setup'!$G$8*(SUMIF($BH$3:$CE$3,"&lt;"&amp;$DF55,$AD55:$BA55)+SUMIF($BH$3:$CE$3,"&gt;"&amp;$CW$4,$AD55:$BA55)),
IF(BV$3=$DF55+'Model Setup'!$H$7,SUMIF($BH$3:$CE$3,"="&amp;$DF55+'Model Setup'!$H$7,$AD55:$BA55)+'Model Setup'!$H$8*(SUMIF($BH$3:$CE$3,"&lt;"&amp;$DF55,$AD55:$BA55)+SUMIF($BH$3:$CE$3,"&gt;"&amp;$CW$4,$AD55:$BA55)),
IF(BV$3=$DF55+'Model Setup'!$I$7,SUMIF($BH$3:$CE$3,"="&amp;$DF55+'Model Setup'!$I$7,$AD55:$BA55)+'Model Setup'!$I$8*(SUMIF($BH$3:$CE$3,"&lt;"&amp;$DF55,$AD55:$BA55)+SUMIF($BH$3:$CE$3,"&gt;"&amp;$CW$4,$AD55:$BA55)),
IF(BV$3=$DF55+'Model Setup'!$J$7,SUMIF($BH$3:$CE$3,"="&amp;$DF55+'Model Setup'!$J$7,$AD55:$BA55)+'Model Setup'!$J$8*(SUMIF($BH$3:$CE$3,"&lt;"&amp;$DF55,$AD55:$BA55)+SUMIF($BH$3:$CE$3,"&gt;"&amp;$CW$4,$AD55:$BA55)),
IF(BV$3=$DF55+'Model Setup'!$K$7,SUMIF($BH$3:$CE$3,"="&amp;$DF55+'Model Setup'!$K$7,$AD55:$BA55)+'Model Setup'!$K$8*(SUMIF($BH$3:$CE$3,"&lt;"&amp;$DF55,$AD55:$BA55)+SUMIF($BH$3:$CE$3,"&gt;"&amp;$CW$4,$AD55:$BA55)),
IF(BV$3=$DF55+'Model Setup'!$L$7,SUMIF($BH$3:$CE$3,"="&amp;$DF55+'Model Setup'!$L$7,$AD55:$BA55)+'Model Setup'!$L$8*(SUMIF($BH$3:$CE$3,"&lt;"&amp;$DF55,$AD55:$BA55)+SUMIF($BH$3:$CE$3,"&gt;"&amp;$CW$4,$AD55:$BA55)),
IF(BV$3=$DF55+'Model Setup'!$M$7,SUMIF($BH$3:$CE$3,"="&amp;$DF55+'Model Setup'!$M$7,$AD55:$BA55)+'Model Setup'!$M$8*(SUMIF($BH$3:$CE$3,"&lt;"&amp;$DF55,$AD55:$BA55)+SUMIF($BH$3:$CE$3,"&gt;"&amp;$CW$4,$AD55:$BA55)),
IF(BV$3=$DF55+'Model Setup'!$N$7,SUMIF($BH$3:$CE$3,"="&amp;$DF55+'Model Setup'!$N$7,$AD55:$BA55)+'Model Setup'!$N$8*(SUMIF($BH$3:$CE$3,"&lt;"&amp;$DF55,$AD55:$BA55)+SUMIF($BH$3:$CE$3,"&gt;"&amp;$CW$4,$AD55:$BA55)),
IF(BV$3&lt;$CW$4,P55,0))))))))))))))),0)</f>
        <v>5</v>
      </c>
      <c r="BW55" s="47">
        <f>ROUND(IF(OR(BW$3&lt;$DF55,BW$3&gt;$CW$4),0,
IF(BW$3=$DF55+'Model Setup'!$B$7,SUMIF($BH$3:$CE$3,"="&amp;$DF55+'Model Setup'!$B$7,$AD55:$BA55)+'Model Setup'!$B$8*(SUMIF($BH$3:$CE$3,"&lt;"&amp;$DF55,$AD55:$BA55)+SUMIF($BH$3:$CE$3,"&gt;"&amp;$CW$4,$AD55:$BA55)),
IF(BW$3=$DF55+'Model Setup'!$C$7,SUMIF($BH$3:$CE$3,"="&amp;$DF55+'Model Setup'!$C$7,$AD55:$BA55)+'Model Setup'!$C$8*(SUMIF($BH$3:$CE$3,"&lt;"&amp;$DF55,$AD55:$BA55)+SUMIF($BH$3:$CE$3,"&gt;"&amp;$CW$4,$AD55:$BA55)),
IF(BW$3=$DF55+'Model Setup'!$D$7,SUMIF($BH$3:$CE$3,"="&amp;$DF55+'Model Setup'!$D$7,$AD55:$BA55)+'Model Setup'!$D$8*(SUMIF($BH$3:$CE$3,"&lt;"&amp;$DF55,$AD55:$BA55)+SUMIF($BH$3:$CE$3,"&gt;"&amp;$CW$4,$AD55:$BA55)),
IF(BW$3=$DF55+'Model Setup'!$E$7,SUMIF($BH$3:$CE$3,"="&amp;$DF55+'Model Setup'!$E$7,$AD55:$BA55)+'Model Setup'!$E$8*(SUMIF($BH$3:$CE$3,"&lt;"&amp;$DF55,$AD55:$BA55)+SUMIF($BH$3:$CE$3,"&gt;"&amp;$CW$4,$AD55:$BA55)),
IF(BW$3=$DF55+'Model Setup'!$F$7,SUMIF($BH$3:$CE$3,"="&amp;$DF55+'Model Setup'!$F$7,$AD55:$BA55)+'Model Setup'!$F$8*(SUMIF($BH$3:$CE$3,"&lt;"&amp;$DF55,$AD55:$BA55)+SUMIF($BH$3:$CE$3,"&gt;"&amp;$CW$4,$AD55:$BA55)),
IF(BW$3=$DF55+'Model Setup'!$G$7,SUMIF($BH$3:$CE$3,"="&amp;$DF55+'Model Setup'!$G$7,$AD55:$BA55)+'Model Setup'!$G$8*(SUMIF($BH$3:$CE$3,"&lt;"&amp;$DF55,$AD55:$BA55)+SUMIF($BH$3:$CE$3,"&gt;"&amp;$CW$4,$AD55:$BA55)),
IF(BW$3=$DF55+'Model Setup'!$H$7,SUMIF($BH$3:$CE$3,"="&amp;$DF55+'Model Setup'!$H$7,$AD55:$BA55)+'Model Setup'!$H$8*(SUMIF($BH$3:$CE$3,"&lt;"&amp;$DF55,$AD55:$BA55)+SUMIF($BH$3:$CE$3,"&gt;"&amp;$CW$4,$AD55:$BA55)),
IF(BW$3=$DF55+'Model Setup'!$I$7,SUMIF($BH$3:$CE$3,"="&amp;$DF55+'Model Setup'!$I$7,$AD55:$BA55)+'Model Setup'!$I$8*(SUMIF($BH$3:$CE$3,"&lt;"&amp;$DF55,$AD55:$BA55)+SUMIF($BH$3:$CE$3,"&gt;"&amp;$CW$4,$AD55:$BA55)),
IF(BW$3=$DF55+'Model Setup'!$J$7,SUMIF($BH$3:$CE$3,"="&amp;$DF55+'Model Setup'!$J$7,$AD55:$BA55)+'Model Setup'!$J$8*(SUMIF($BH$3:$CE$3,"&lt;"&amp;$DF55,$AD55:$BA55)+SUMIF($BH$3:$CE$3,"&gt;"&amp;$CW$4,$AD55:$BA55)),
IF(BW$3=$DF55+'Model Setup'!$K$7,SUMIF($BH$3:$CE$3,"="&amp;$DF55+'Model Setup'!$K$7,$AD55:$BA55)+'Model Setup'!$K$8*(SUMIF($BH$3:$CE$3,"&lt;"&amp;$DF55,$AD55:$BA55)+SUMIF($BH$3:$CE$3,"&gt;"&amp;$CW$4,$AD55:$BA55)),
IF(BW$3=$DF55+'Model Setup'!$L$7,SUMIF($BH$3:$CE$3,"="&amp;$DF55+'Model Setup'!$L$7,$AD55:$BA55)+'Model Setup'!$L$8*(SUMIF($BH$3:$CE$3,"&lt;"&amp;$DF55,$AD55:$BA55)+SUMIF($BH$3:$CE$3,"&gt;"&amp;$CW$4,$AD55:$BA55)),
IF(BW$3=$DF55+'Model Setup'!$M$7,SUMIF($BH$3:$CE$3,"="&amp;$DF55+'Model Setup'!$M$7,$AD55:$BA55)+'Model Setup'!$M$8*(SUMIF($BH$3:$CE$3,"&lt;"&amp;$DF55,$AD55:$BA55)+SUMIF($BH$3:$CE$3,"&gt;"&amp;$CW$4,$AD55:$BA55)),
IF(BW$3=$DF55+'Model Setup'!$N$7,SUMIF($BH$3:$CE$3,"="&amp;$DF55+'Model Setup'!$N$7,$AD55:$BA55)+'Model Setup'!$N$8*(SUMIF($BH$3:$CE$3,"&lt;"&amp;$DF55,$AD55:$BA55)+SUMIF($BH$3:$CE$3,"&gt;"&amp;$CW$4,$AD55:$BA55)),
IF(BW$3&lt;$CW$4,Q55,0))))))))))))))),0)</f>
        <v>14</v>
      </c>
      <c r="BX55" s="47">
        <f>ROUND(IF(OR(BX$3&lt;$DF55,BX$3&gt;$CW$4),0,
IF(BX$3=$DF55+'Model Setup'!$B$7,SUMIF($BH$3:$CE$3,"="&amp;$DF55+'Model Setup'!$B$7,$AD55:$BA55)+'Model Setup'!$B$8*(SUMIF($BH$3:$CE$3,"&lt;"&amp;$DF55,$AD55:$BA55)+SUMIF($BH$3:$CE$3,"&gt;"&amp;$CW$4,$AD55:$BA55)),
IF(BX$3=$DF55+'Model Setup'!$C$7,SUMIF($BH$3:$CE$3,"="&amp;$DF55+'Model Setup'!$C$7,$AD55:$BA55)+'Model Setup'!$C$8*(SUMIF($BH$3:$CE$3,"&lt;"&amp;$DF55,$AD55:$BA55)+SUMIF($BH$3:$CE$3,"&gt;"&amp;$CW$4,$AD55:$BA55)),
IF(BX$3=$DF55+'Model Setup'!$D$7,SUMIF($BH$3:$CE$3,"="&amp;$DF55+'Model Setup'!$D$7,$AD55:$BA55)+'Model Setup'!$D$8*(SUMIF($BH$3:$CE$3,"&lt;"&amp;$DF55,$AD55:$BA55)+SUMIF($BH$3:$CE$3,"&gt;"&amp;$CW$4,$AD55:$BA55)),
IF(BX$3=$DF55+'Model Setup'!$E$7,SUMIF($BH$3:$CE$3,"="&amp;$DF55+'Model Setup'!$E$7,$AD55:$BA55)+'Model Setup'!$E$8*(SUMIF($BH$3:$CE$3,"&lt;"&amp;$DF55,$AD55:$BA55)+SUMIF($BH$3:$CE$3,"&gt;"&amp;$CW$4,$AD55:$BA55)),
IF(BX$3=$DF55+'Model Setup'!$F$7,SUMIF($BH$3:$CE$3,"="&amp;$DF55+'Model Setup'!$F$7,$AD55:$BA55)+'Model Setup'!$F$8*(SUMIF($BH$3:$CE$3,"&lt;"&amp;$DF55,$AD55:$BA55)+SUMIF($BH$3:$CE$3,"&gt;"&amp;$CW$4,$AD55:$BA55)),
IF(BX$3=$DF55+'Model Setup'!$G$7,SUMIF($BH$3:$CE$3,"="&amp;$DF55+'Model Setup'!$G$7,$AD55:$BA55)+'Model Setup'!$G$8*(SUMIF($BH$3:$CE$3,"&lt;"&amp;$DF55,$AD55:$BA55)+SUMIF($BH$3:$CE$3,"&gt;"&amp;$CW$4,$AD55:$BA55)),
IF(BX$3=$DF55+'Model Setup'!$H$7,SUMIF($BH$3:$CE$3,"="&amp;$DF55+'Model Setup'!$H$7,$AD55:$BA55)+'Model Setup'!$H$8*(SUMIF($BH$3:$CE$3,"&lt;"&amp;$DF55,$AD55:$BA55)+SUMIF($BH$3:$CE$3,"&gt;"&amp;$CW$4,$AD55:$BA55)),
IF(BX$3=$DF55+'Model Setup'!$I$7,SUMIF($BH$3:$CE$3,"="&amp;$DF55+'Model Setup'!$I$7,$AD55:$BA55)+'Model Setup'!$I$8*(SUMIF($BH$3:$CE$3,"&lt;"&amp;$DF55,$AD55:$BA55)+SUMIF($BH$3:$CE$3,"&gt;"&amp;$CW$4,$AD55:$BA55)),
IF(BX$3=$DF55+'Model Setup'!$J$7,SUMIF($BH$3:$CE$3,"="&amp;$DF55+'Model Setup'!$J$7,$AD55:$BA55)+'Model Setup'!$J$8*(SUMIF($BH$3:$CE$3,"&lt;"&amp;$DF55,$AD55:$BA55)+SUMIF($BH$3:$CE$3,"&gt;"&amp;$CW$4,$AD55:$BA55)),
IF(BX$3=$DF55+'Model Setup'!$K$7,SUMIF($BH$3:$CE$3,"="&amp;$DF55+'Model Setup'!$K$7,$AD55:$BA55)+'Model Setup'!$K$8*(SUMIF($BH$3:$CE$3,"&lt;"&amp;$DF55,$AD55:$BA55)+SUMIF($BH$3:$CE$3,"&gt;"&amp;$CW$4,$AD55:$BA55)),
IF(BX$3=$DF55+'Model Setup'!$L$7,SUMIF($BH$3:$CE$3,"="&amp;$DF55+'Model Setup'!$L$7,$AD55:$BA55)+'Model Setup'!$L$8*(SUMIF($BH$3:$CE$3,"&lt;"&amp;$DF55,$AD55:$BA55)+SUMIF($BH$3:$CE$3,"&gt;"&amp;$CW$4,$AD55:$BA55)),
IF(BX$3=$DF55+'Model Setup'!$M$7,SUMIF($BH$3:$CE$3,"="&amp;$DF55+'Model Setup'!$M$7,$AD55:$BA55)+'Model Setup'!$M$8*(SUMIF($BH$3:$CE$3,"&lt;"&amp;$DF55,$AD55:$BA55)+SUMIF($BH$3:$CE$3,"&gt;"&amp;$CW$4,$AD55:$BA55)),
IF(BX$3=$DF55+'Model Setup'!$N$7,SUMIF($BH$3:$CE$3,"="&amp;$DF55+'Model Setup'!$N$7,$AD55:$BA55)+'Model Setup'!$N$8*(SUMIF($BH$3:$CE$3,"&lt;"&amp;$DF55,$AD55:$BA55)+SUMIF($BH$3:$CE$3,"&gt;"&amp;$CW$4,$AD55:$BA55)),
IF(BX$3&lt;$CW$4,R55,0))))))))))))))),0)</f>
        <v>11</v>
      </c>
      <c r="BY55" s="47">
        <f>ROUND(IF(OR(BY$3&lt;$DF55,BY$3&gt;$CW$4),0,
IF(BY$3=$DF55+'Model Setup'!$B$7,SUMIF($BH$3:$CE$3,"="&amp;$DF55+'Model Setup'!$B$7,$AD55:$BA55)+'Model Setup'!$B$8*(SUMIF($BH$3:$CE$3,"&lt;"&amp;$DF55,$AD55:$BA55)+SUMIF($BH$3:$CE$3,"&gt;"&amp;$CW$4,$AD55:$BA55)),
IF(BY$3=$DF55+'Model Setup'!$C$7,SUMIF($BH$3:$CE$3,"="&amp;$DF55+'Model Setup'!$C$7,$AD55:$BA55)+'Model Setup'!$C$8*(SUMIF($BH$3:$CE$3,"&lt;"&amp;$DF55,$AD55:$BA55)+SUMIF($BH$3:$CE$3,"&gt;"&amp;$CW$4,$AD55:$BA55)),
IF(BY$3=$DF55+'Model Setup'!$D$7,SUMIF($BH$3:$CE$3,"="&amp;$DF55+'Model Setup'!$D$7,$AD55:$BA55)+'Model Setup'!$D$8*(SUMIF($BH$3:$CE$3,"&lt;"&amp;$DF55,$AD55:$BA55)+SUMIF($BH$3:$CE$3,"&gt;"&amp;$CW$4,$AD55:$BA55)),
IF(BY$3=$DF55+'Model Setup'!$E$7,SUMIF($BH$3:$CE$3,"="&amp;$DF55+'Model Setup'!$E$7,$AD55:$BA55)+'Model Setup'!$E$8*(SUMIF($BH$3:$CE$3,"&lt;"&amp;$DF55,$AD55:$BA55)+SUMIF($BH$3:$CE$3,"&gt;"&amp;$CW$4,$AD55:$BA55)),
IF(BY$3=$DF55+'Model Setup'!$F$7,SUMIF($BH$3:$CE$3,"="&amp;$DF55+'Model Setup'!$F$7,$AD55:$BA55)+'Model Setup'!$F$8*(SUMIF($BH$3:$CE$3,"&lt;"&amp;$DF55,$AD55:$BA55)+SUMIF($BH$3:$CE$3,"&gt;"&amp;$CW$4,$AD55:$BA55)),
IF(BY$3=$DF55+'Model Setup'!$G$7,SUMIF($BH$3:$CE$3,"="&amp;$DF55+'Model Setup'!$G$7,$AD55:$BA55)+'Model Setup'!$G$8*(SUMIF($BH$3:$CE$3,"&lt;"&amp;$DF55,$AD55:$BA55)+SUMIF($BH$3:$CE$3,"&gt;"&amp;$CW$4,$AD55:$BA55)),
IF(BY$3=$DF55+'Model Setup'!$H$7,SUMIF($BH$3:$CE$3,"="&amp;$DF55+'Model Setup'!$H$7,$AD55:$BA55)+'Model Setup'!$H$8*(SUMIF($BH$3:$CE$3,"&lt;"&amp;$DF55,$AD55:$BA55)+SUMIF($BH$3:$CE$3,"&gt;"&amp;$CW$4,$AD55:$BA55)),
IF(BY$3=$DF55+'Model Setup'!$I$7,SUMIF($BH$3:$CE$3,"="&amp;$DF55+'Model Setup'!$I$7,$AD55:$BA55)+'Model Setup'!$I$8*(SUMIF($BH$3:$CE$3,"&lt;"&amp;$DF55,$AD55:$BA55)+SUMIF($BH$3:$CE$3,"&gt;"&amp;$CW$4,$AD55:$BA55)),
IF(BY$3=$DF55+'Model Setup'!$J$7,SUMIF($BH$3:$CE$3,"="&amp;$DF55+'Model Setup'!$J$7,$AD55:$BA55)+'Model Setup'!$J$8*(SUMIF($BH$3:$CE$3,"&lt;"&amp;$DF55,$AD55:$BA55)+SUMIF($BH$3:$CE$3,"&gt;"&amp;$CW$4,$AD55:$BA55)),
IF(BY$3=$DF55+'Model Setup'!$K$7,SUMIF($BH$3:$CE$3,"="&amp;$DF55+'Model Setup'!$K$7,$AD55:$BA55)+'Model Setup'!$K$8*(SUMIF($BH$3:$CE$3,"&lt;"&amp;$DF55,$AD55:$BA55)+SUMIF($BH$3:$CE$3,"&gt;"&amp;$CW$4,$AD55:$BA55)),
IF(BY$3=$DF55+'Model Setup'!$L$7,SUMIF($BH$3:$CE$3,"="&amp;$DF55+'Model Setup'!$L$7,$AD55:$BA55)+'Model Setup'!$L$8*(SUMIF($BH$3:$CE$3,"&lt;"&amp;$DF55,$AD55:$BA55)+SUMIF($BH$3:$CE$3,"&gt;"&amp;$CW$4,$AD55:$BA55)),
IF(BY$3=$DF55+'Model Setup'!$M$7,SUMIF($BH$3:$CE$3,"="&amp;$DF55+'Model Setup'!$M$7,$AD55:$BA55)+'Model Setup'!$M$8*(SUMIF($BH$3:$CE$3,"&lt;"&amp;$DF55,$AD55:$BA55)+SUMIF($BH$3:$CE$3,"&gt;"&amp;$CW$4,$AD55:$BA55)),
IF(BY$3=$DF55+'Model Setup'!$N$7,SUMIF($BH$3:$CE$3,"="&amp;$DF55+'Model Setup'!$N$7,$AD55:$BA55)+'Model Setup'!$N$8*(SUMIF($BH$3:$CE$3,"&lt;"&amp;$DF55,$AD55:$BA55)+SUMIF($BH$3:$CE$3,"&gt;"&amp;$CW$4,$AD55:$BA55)),
IF(BY$3&lt;$CW$4,S55,0))))))))))))))),0)</f>
        <v>8</v>
      </c>
      <c r="BZ55" s="47">
        <f>ROUND(IF(OR(BZ$3&lt;$DF55,BZ$3&gt;$CW$4),0,
IF(BZ$3=$DF55+'Model Setup'!$B$7,SUMIF($BH$3:$CE$3,"="&amp;$DF55+'Model Setup'!$B$7,$AD55:$BA55)+'Model Setup'!$B$8*(SUMIF($BH$3:$CE$3,"&lt;"&amp;$DF55,$AD55:$BA55)+SUMIF($BH$3:$CE$3,"&gt;"&amp;$CW$4,$AD55:$BA55)),
IF(BZ$3=$DF55+'Model Setup'!$C$7,SUMIF($BH$3:$CE$3,"="&amp;$DF55+'Model Setup'!$C$7,$AD55:$BA55)+'Model Setup'!$C$8*(SUMIF($BH$3:$CE$3,"&lt;"&amp;$DF55,$AD55:$BA55)+SUMIF($BH$3:$CE$3,"&gt;"&amp;$CW$4,$AD55:$BA55)),
IF(BZ$3=$DF55+'Model Setup'!$D$7,SUMIF($BH$3:$CE$3,"="&amp;$DF55+'Model Setup'!$D$7,$AD55:$BA55)+'Model Setup'!$D$8*(SUMIF($BH$3:$CE$3,"&lt;"&amp;$DF55,$AD55:$BA55)+SUMIF($BH$3:$CE$3,"&gt;"&amp;$CW$4,$AD55:$BA55)),
IF(BZ$3=$DF55+'Model Setup'!$E$7,SUMIF($BH$3:$CE$3,"="&amp;$DF55+'Model Setup'!$E$7,$AD55:$BA55)+'Model Setup'!$E$8*(SUMIF($BH$3:$CE$3,"&lt;"&amp;$DF55,$AD55:$BA55)+SUMIF($BH$3:$CE$3,"&gt;"&amp;$CW$4,$AD55:$BA55)),
IF(BZ$3=$DF55+'Model Setup'!$F$7,SUMIF($BH$3:$CE$3,"="&amp;$DF55+'Model Setup'!$F$7,$AD55:$BA55)+'Model Setup'!$F$8*(SUMIF($BH$3:$CE$3,"&lt;"&amp;$DF55,$AD55:$BA55)+SUMIF($BH$3:$CE$3,"&gt;"&amp;$CW$4,$AD55:$BA55)),
IF(BZ$3=$DF55+'Model Setup'!$G$7,SUMIF($BH$3:$CE$3,"="&amp;$DF55+'Model Setup'!$G$7,$AD55:$BA55)+'Model Setup'!$G$8*(SUMIF($BH$3:$CE$3,"&lt;"&amp;$DF55,$AD55:$BA55)+SUMIF($BH$3:$CE$3,"&gt;"&amp;$CW$4,$AD55:$BA55)),
IF(BZ$3=$DF55+'Model Setup'!$H$7,SUMIF($BH$3:$CE$3,"="&amp;$DF55+'Model Setup'!$H$7,$AD55:$BA55)+'Model Setup'!$H$8*(SUMIF($BH$3:$CE$3,"&lt;"&amp;$DF55,$AD55:$BA55)+SUMIF($BH$3:$CE$3,"&gt;"&amp;$CW$4,$AD55:$BA55)),
IF(BZ$3=$DF55+'Model Setup'!$I$7,SUMIF($BH$3:$CE$3,"="&amp;$DF55+'Model Setup'!$I$7,$AD55:$BA55)+'Model Setup'!$I$8*(SUMIF($BH$3:$CE$3,"&lt;"&amp;$DF55,$AD55:$BA55)+SUMIF($BH$3:$CE$3,"&gt;"&amp;$CW$4,$AD55:$BA55)),
IF(BZ$3=$DF55+'Model Setup'!$J$7,SUMIF($BH$3:$CE$3,"="&amp;$DF55+'Model Setup'!$J$7,$AD55:$BA55)+'Model Setup'!$J$8*(SUMIF($BH$3:$CE$3,"&lt;"&amp;$DF55,$AD55:$BA55)+SUMIF($BH$3:$CE$3,"&gt;"&amp;$CW$4,$AD55:$BA55)),
IF(BZ$3=$DF55+'Model Setup'!$K$7,SUMIF($BH$3:$CE$3,"="&amp;$DF55+'Model Setup'!$K$7,$AD55:$BA55)+'Model Setup'!$K$8*(SUMIF($BH$3:$CE$3,"&lt;"&amp;$DF55,$AD55:$BA55)+SUMIF($BH$3:$CE$3,"&gt;"&amp;$CW$4,$AD55:$BA55)),
IF(BZ$3=$DF55+'Model Setup'!$L$7,SUMIF($BH$3:$CE$3,"="&amp;$DF55+'Model Setup'!$L$7,$AD55:$BA55)+'Model Setup'!$L$8*(SUMIF($BH$3:$CE$3,"&lt;"&amp;$DF55,$AD55:$BA55)+SUMIF($BH$3:$CE$3,"&gt;"&amp;$CW$4,$AD55:$BA55)),
IF(BZ$3=$DF55+'Model Setup'!$M$7,SUMIF($BH$3:$CE$3,"="&amp;$DF55+'Model Setup'!$M$7,$AD55:$BA55)+'Model Setup'!$M$8*(SUMIF($BH$3:$CE$3,"&lt;"&amp;$DF55,$AD55:$BA55)+SUMIF($BH$3:$CE$3,"&gt;"&amp;$CW$4,$AD55:$BA55)),
IF(BZ$3=$DF55+'Model Setup'!$N$7,SUMIF($BH$3:$CE$3,"="&amp;$DF55+'Model Setup'!$N$7,$AD55:$BA55)+'Model Setup'!$N$8*(SUMIF($BH$3:$CE$3,"&lt;"&amp;$DF55,$AD55:$BA55)+SUMIF($BH$3:$CE$3,"&gt;"&amp;$CW$4,$AD55:$BA55)),
IF(BZ$3&lt;$CW$4,T55,0))))))))))))))),0)</f>
        <v>0</v>
      </c>
      <c r="CA55" s="47">
        <f>ROUND(IF(OR(CA$3&lt;$DF55,CA$3&gt;$CW$4),0,
IF(CA$3=$DF55+'Model Setup'!$B$7,SUMIF($BH$3:$CE$3,"="&amp;$DF55+'Model Setup'!$B$7,$AD55:$BA55)+'Model Setup'!$B$8*(SUMIF($BH$3:$CE$3,"&lt;"&amp;$DF55,$AD55:$BA55)+SUMIF($BH$3:$CE$3,"&gt;"&amp;$CW$4,$AD55:$BA55)),
IF(CA$3=$DF55+'Model Setup'!$C$7,SUMIF($BH$3:$CE$3,"="&amp;$DF55+'Model Setup'!$C$7,$AD55:$BA55)+'Model Setup'!$C$8*(SUMIF($BH$3:$CE$3,"&lt;"&amp;$DF55,$AD55:$BA55)+SUMIF($BH$3:$CE$3,"&gt;"&amp;$CW$4,$AD55:$BA55)),
IF(CA$3=$DF55+'Model Setup'!$D$7,SUMIF($BH$3:$CE$3,"="&amp;$DF55+'Model Setup'!$D$7,$AD55:$BA55)+'Model Setup'!$D$8*(SUMIF($BH$3:$CE$3,"&lt;"&amp;$DF55,$AD55:$BA55)+SUMIF($BH$3:$CE$3,"&gt;"&amp;$CW$4,$AD55:$BA55)),
IF(CA$3=$DF55+'Model Setup'!$E$7,SUMIF($BH$3:$CE$3,"="&amp;$DF55+'Model Setup'!$E$7,$AD55:$BA55)+'Model Setup'!$E$8*(SUMIF($BH$3:$CE$3,"&lt;"&amp;$DF55,$AD55:$BA55)+SUMIF($BH$3:$CE$3,"&gt;"&amp;$CW$4,$AD55:$BA55)),
IF(CA$3=$DF55+'Model Setup'!$F$7,SUMIF($BH$3:$CE$3,"="&amp;$DF55+'Model Setup'!$F$7,$AD55:$BA55)+'Model Setup'!$F$8*(SUMIF($BH$3:$CE$3,"&lt;"&amp;$DF55,$AD55:$BA55)+SUMIF($BH$3:$CE$3,"&gt;"&amp;$CW$4,$AD55:$BA55)),
IF(CA$3=$DF55+'Model Setup'!$G$7,SUMIF($BH$3:$CE$3,"="&amp;$DF55+'Model Setup'!$G$7,$AD55:$BA55)+'Model Setup'!$G$8*(SUMIF($BH$3:$CE$3,"&lt;"&amp;$DF55,$AD55:$BA55)+SUMIF($BH$3:$CE$3,"&gt;"&amp;$CW$4,$AD55:$BA55)),
IF(CA$3=$DF55+'Model Setup'!$H$7,SUMIF($BH$3:$CE$3,"="&amp;$DF55+'Model Setup'!$H$7,$AD55:$BA55)+'Model Setup'!$H$8*(SUMIF($BH$3:$CE$3,"&lt;"&amp;$DF55,$AD55:$BA55)+SUMIF($BH$3:$CE$3,"&gt;"&amp;$CW$4,$AD55:$BA55)),
IF(CA$3=$DF55+'Model Setup'!$I$7,SUMIF($BH$3:$CE$3,"="&amp;$DF55+'Model Setup'!$I$7,$AD55:$BA55)+'Model Setup'!$I$8*(SUMIF($BH$3:$CE$3,"&lt;"&amp;$DF55,$AD55:$BA55)+SUMIF($BH$3:$CE$3,"&gt;"&amp;$CW$4,$AD55:$BA55)),
IF(CA$3=$DF55+'Model Setup'!$J$7,SUMIF($BH$3:$CE$3,"="&amp;$DF55+'Model Setup'!$J$7,$AD55:$BA55)+'Model Setup'!$J$8*(SUMIF($BH$3:$CE$3,"&lt;"&amp;$DF55,$AD55:$BA55)+SUMIF($BH$3:$CE$3,"&gt;"&amp;$CW$4,$AD55:$BA55)),
IF(CA$3=$DF55+'Model Setup'!$K$7,SUMIF($BH$3:$CE$3,"="&amp;$DF55+'Model Setup'!$K$7,$AD55:$BA55)+'Model Setup'!$K$8*(SUMIF($BH$3:$CE$3,"&lt;"&amp;$DF55,$AD55:$BA55)+SUMIF($BH$3:$CE$3,"&gt;"&amp;$CW$4,$AD55:$BA55)),
IF(CA$3=$DF55+'Model Setup'!$L$7,SUMIF($BH$3:$CE$3,"="&amp;$DF55+'Model Setup'!$L$7,$AD55:$BA55)+'Model Setup'!$L$8*(SUMIF($BH$3:$CE$3,"&lt;"&amp;$DF55,$AD55:$BA55)+SUMIF($BH$3:$CE$3,"&gt;"&amp;$CW$4,$AD55:$BA55)),
IF(CA$3=$DF55+'Model Setup'!$M$7,SUMIF($BH$3:$CE$3,"="&amp;$DF55+'Model Setup'!$M$7,$AD55:$BA55)+'Model Setup'!$M$8*(SUMIF($BH$3:$CE$3,"&lt;"&amp;$DF55,$AD55:$BA55)+SUMIF($BH$3:$CE$3,"&gt;"&amp;$CW$4,$AD55:$BA55)),
IF(CA$3=$DF55+'Model Setup'!$N$7,SUMIF($BH$3:$CE$3,"="&amp;$DF55+'Model Setup'!$N$7,$AD55:$BA55)+'Model Setup'!$N$8*(SUMIF($BH$3:$CE$3,"&lt;"&amp;$DF55,$AD55:$BA55)+SUMIF($BH$3:$CE$3,"&gt;"&amp;$CW$4,$AD55:$BA55)),
IF(CA$3&lt;$CW$4,U55,0))))))))))))))),0)</f>
        <v>0</v>
      </c>
      <c r="CB55" s="47">
        <f>ROUND(IF(OR(CB$3&lt;$DF55,CB$3&gt;$CW$4),0,
IF(CB$3=$DF55+'Model Setup'!$B$7,SUMIF($BH$3:$CE$3,"="&amp;$DF55+'Model Setup'!$B$7,$AD55:$BA55)+'Model Setup'!$B$8*(SUMIF($BH$3:$CE$3,"&lt;"&amp;$DF55,$AD55:$BA55)+SUMIF($BH$3:$CE$3,"&gt;"&amp;$CW$4,$AD55:$BA55)),
IF(CB$3=$DF55+'Model Setup'!$C$7,SUMIF($BH$3:$CE$3,"="&amp;$DF55+'Model Setup'!$C$7,$AD55:$BA55)+'Model Setup'!$C$8*(SUMIF($BH$3:$CE$3,"&lt;"&amp;$DF55,$AD55:$BA55)+SUMIF($BH$3:$CE$3,"&gt;"&amp;$CW$4,$AD55:$BA55)),
IF(CB$3=$DF55+'Model Setup'!$D$7,SUMIF($BH$3:$CE$3,"="&amp;$DF55+'Model Setup'!$D$7,$AD55:$BA55)+'Model Setup'!$D$8*(SUMIF($BH$3:$CE$3,"&lt;"&amp;$DF55,$AD55:$BA55)+SUMIF($BH$3:$CE$3,"&gt;"&amp;$CW$4,$AD55:$BA55)),
IF(CB$3=$DF55+'Model Setup'!$E$7,SUMIF($BH$3:$CE$3,"="&amp;$DF55+'Model Setup'!$E$7,$AD55:$BA55)+'Model Setup'!$E$8*(SUMIF($BH$3:$CE$3,"&lt;"&amp;$DF55,$AD55:$BA55)+SUMIF($BH$3:$CE$3,"&gt;"&amp;$CW$4,$AD55:$BA55)),
IF(CB$3=$DF55+'Model Setup'!$F$7,SUMIF($BH$3:$CE$3,"="&amp;$DF55+'Model Setup'!$F$7,$AD55:$BA55)+'Model Setup'!$F$8*(SUMIF($BH$3:$CE$3,"&lt;"&amp;$DF55,$AD55:$BA55)+SUMIF($BH$3:$CE$3,"&gt;"&amp;$CW$4,$AD55:$BA55)),
IF(CB$3=$DF55+'Model Setup'!$G$7,SUMIF($BH$3:$CE$3,"="&amp;$DF55+'Model Setup'!$G$7,$AD55:$BA55)+'Model Setup'!$G$8*(SUMIF($BH$3:$CE$3,"&lt;"&amp;$DF55,$AD55:$BA55)+SUMIF($BH$3:$CE$3,"&gt;"&amp;$CW$4,$AD55:$BA55)),
IF(CB$3=$DF55+'Model Setup'!$H$7,SUMIF($BH$3:$CE$3,"="&amp;$DF55+'Model Setup'!$H$7,$AD55:$BA55)+'Model Setup'!$H$8*(SUMIF($BH$3:$CE$3,"&lt;"&amp;$DF55,$AD55:$BA55)+SUMIF($BH$3:$CE$3,"&gt;"&amp;$CW$4,$AD55:$BA55)),
IF(CB$3=$DF55+'Model Setup'!$I$7,SUMIF($BH$3:$CE$3,"="&amp;$DF55+'Model Setup'!$I$7,$AD55:$BA55)+'Model Setup'!$I$8*(SUMIF($BH$3:$CE$3,"&lt;"&amp;$DF55,$AD55:$BA55)+SUMIF($BH$3:$CE$3,"&gt;"&amp;$CW$4,$AD55:$BA55)),
IF(CB$3=$DF55+'Model Setup'!$J$7,SUMIF($BH$3:$CE$3,"="&amp;$DF55+'Model Setup'!$J$7,$AD55:$BA55)+'Model Setup'!$J$8*(SUMIF($BH$3:$CE$3,"&lt;"&amp;$DF55,$AD55:$BA55)+SUMIF($BH$3:$CE$3,"&gt;"&amp;$CW$4,$AD55:$BA55)),
IF(CB$3=$DF55+'Model Setup'!$K$7,SUMIF($BH$3:$CE$3,"="&amp;$DF55+'Model Setup'!$K$7,$AD55:$BA55)+'Model Setup'!$K$8*(SUMIF($BH$3:$CE$3,"&lt;"&amp;$DF55,$AD55:$BA55)+SUMIF($BH$3:$CE$3,"&gt;"&amp;$CW$4,$AD55:$BA55)),
IF(CB$3=$DF55+'Model Setup'!$L$7,SUMIF($BH$3:$CE$3,"="&amp;$DF55+'Model Setup'!$L$7,$AD55:$BA55)+'Model Setup'!$L$8*(SUMIF($BH$3:$CE$3,"&lt;"&amp;$DF55,$AD55:$BA55)+SUMIF($BH$3:$CE$3,"&gt;"&amp;$CW$4,$AD55:$BA55)),
IF(CB$3=$DF55+'Model Setup'!$M$7,SUMIF($BH$3:$CE$3,"="&amp;$DF55+'Model Setup'!$M$7,$AD55:$BA55)+'Model Setup'!$M$8*(SUMIF($BH$3:$CE$3,"&lt;"&amp;$DF55,$AD55:$BA55)+SUMIF($BH$3:$CE$3,"&gt;"&amp;$CW$4,$AD55:$BA55)),
IF(CB$3=$DF55+'Model Setup'!$N$7,SUMIF($BH$3:$CE$3,"="&amp;$DF55+'Model Setup'!$N$7,$AD55:$BA55)+'Model Setup'!$N$8*(SUMIF($BH$3:$CE$3,"&lt;"&amp;$DF55,$AD55:$BA55)+SUMIF($BH$3:$CE$3,"&gt;"&amp;$CW$4,$AD55:$BA55)),
IF(CB$3&lt;$CW$4,V55,0))))))))))))))),0)</f>
        <v>0</v>
      </c>
      <c r="CC55" s="47">
        <f>ROUND(IF(OR(CC$3&lt;$DF55,CC$3&gt;$CW$4),0,
IF(CC$3=$DF55+'Model Setup'!$B$7,SUMIF($BH$3:$CE$3,"="&amp;$DF55+'Model Setup'!$B$7,$AD55:$BA55)+'Model Setup'!$B$8*(SUMIF($BH$3:$CE$3,"&lt;"&amp;$DF55,$AD55:$BA55)+SUMIF($BH$3:$CE$3,"&gt;"&amp;$CW$4,$AD55:$BA55)),
IF(CC$3=$DF55+'Model Setup'!$C$7,SUMIF($BH$3:$CE$3,"="&amp;$DF55+'Model Setup'!$C$7,$AD55:$BA55)+'Model Setup'!$C$8*(SUMIF($BH$3:$CE$3,"&lt;"&amp;$DF55,$AD55:$BA55)+SUMIF($BH$3:$CE$3,"&gt;"&amp;$CW$4,$AD55:$BA55)),
IF(CC$3=$DF55+'Model Setup'!$D$7,SUMIF($BH$3:$CE$3,"="&amp;$DF55+'Model Setup'!$D$7,$AD55:$BA55)+'Model Setup'!$D$8*(SUMIF($BH$3:$CE$3,"&lt;"&amp;$DF55,$AD55:$BA55)+SUMIF($BH$3:$CE$3,"&gt;"&amp;$CW$4,$AD55:$BA55)),
IF(CC$3=$DF55+'Model Setup'!$E$7,SUMIF($BH$3:$CE$3,"="&amp;$DF55+'Model Setup'!$E$7,$AD55:$BA55)+'Model Setup'!$E$8*(SUMIF($BH$3:$CE$3,"&lt;"&amp;$DF55,$AD55:$BA55)+SUMIF($BH$3:$CE$3,"&gt;"&amp;$CW$4,$AD55:$BA55)),
IF(CC$3=$DF55+'Model Setup'!$F$7,SUMIF($BH$3:$CE$3,"="&amp;$DF55+'Model Setup'!$F$7,$AD55:$BA55)+'Model Setup'!$F$8*(SUMIF($BH$3:$CE$3,"&lt;"&amp;$DF55,$AD55:$BA55)+SUMIF($BH$3:$CE$3,"&gt;"&amp;$CW$4,$AD55:$BA55)),
IF(CC$3=$DF55+'Model Setup'!$G$7,SUMIF($BH$3:$CE$3,"="&amp;$DF55+'Model Setup'!$G$7,$AD55:$BA55)+'Model Setup'!$G$8*(SUMIF($BH$3:$CE$3,"&lt;"&amp;$DF55,$AD55:$BA55)+SUMIF($BH$3:$CE$3,"&gt;"&amp;$CW$4,$AD55:$BA55)),
IF(CC$3=$DF55+'Model Setup'!$H$7,SUMIF($BH$3:$CE$3,"="&amp;$DF55+'Model Setup'!$H$7,$AD55:$BA55)+'Model Setup'!$H$8*(SUMIF($BH$3:$CE$3,"&lt;"&amp;$DF55,$AD55:$BA55)+SUMIF($BH$3:$CE$3,"&gt;"&amp;$CW$4,$AD55:$BA55)),
IF(CC$3=$DF55+'Model Setup'!$I$7,SUMIF($BH$3:$CE$3,"="&amp;$DF55+'Model Setup'!$I$7,$AD55:$BA55)+'Model Setup'!$I$8*(SUMIF($BH$3:$CE$3,"&lt;"&amp;$DF55,$AD55:$BA55)+SUMIF($BH$3:$CE$3,"&gt;"&amp;$CW$4,$AD55:$BA55)),
IF(CC$3=$DF55+'Model Setup'!$J$7,SUMIF($BH$3:$CE$3,"="&amp;$DF55+'Model Setup'!$J$7,$AD55:$BA55)+'Model Setup'!$J$8*(SUMIF($BH$3:$CE$3,"&lt;"&amp;$DF55,$AD55:$BA55)+SUMIF($BH$3:$CE$3,"&gt;"&amp;$CW$4,$AD55:$BA55)),
IF(CC$3=$DF55+'Model Setup'!$K$7,SUMIF($BH$3:$CE$3,"="&amp;$DF55+'Model Setup'!$K$7,$AD55:$BA55)+'Model Setup'!$K$8*(SUMIF($BH$3:$CE$3,"&lt;"&amp;$DF55,$AD55:$BA55)+SUMIF($BH$3:$CE$3,"&gt;"&amp;$CW$4,$AD55:$BA55)),
IF(CC$3=$DF55+'Model Setup'!$L$7,SUMIF($BH$3:$CE$3,"="&amp;$DF55+'Model Setup'!$L$7,$AD55:$BA55)+'Model Setup'!$L$8*(SUMIF($BH$3:$CE$3,"&lt;"&amp;$DF55,$AD55:$BA55)+SUMIF($BH$3:$CE$3,"&gt;"&amp;$CW$4,$AD55:$BA55)),
IF(CC$3=$DF55+'Model Setup'!$M$7,SUMIF($BH$3:$CE$3,"="&amp;$DF55+'Model Setup'!$M$7,$AD55:$BA55)+'Model Setup'!$M$8*(SUMIF($BH$3:$CE$3,"&lt;"&amp;$DF55,$AD55:$BA55)+SUMIF($BH$3:$CE$3,"&gt;"&amp;$CW$4,$AD55:$BA55)),
IF(CC$3=$DF55+'Model Setup'!$N$7,SUMIF($BH$3:$CE$3,"="&amp;$DF55+'Model Setup'!$N$7,$AD55:$BA55)+'Model Setup'!$N$8*(SUMIF($BH$3:$CE$3,"&lt;"&amp;$DF55,$AD55:$BA55)+SUMIF($BH$3:$CE$3,"&gt;"&amp;$CW$4,$AD55:$BA55)),
IF(CC$3&lt;$CW$4,W55,0))))))))))))))),0)</f>
        <v>0</v>
      </c>
      <c r="CD55" s="47">
        <f>ROUND(IF(OR(CD$3&lt;$DF55,CD$3&gt;$CW$4),0,
IF(CD$3=$DF55+'Model Setup'!$B$7,SUMIF($BH$3:$CE$3,"="&amp;$DF55+'Model Setup'!$B$7,$AD55:$BA55)+'Model Setup'!$B$8*(SUMIF($BH$3:$CE$3,"&lt;"&amp;$DF55,$AD55:$BA55)+SUMIF($BH$3:$CE$3,"&gt;"&amp;$CW$4,$AD55:$BA55)),
IF(CD$3=$DF55+'Model Setup'!$C$7,SUMIF($BH$3:$CE$3,"="&amp;$DF55+'Model Setup'!$C$7,$AD55:$BA55)+'Model Setup'!$C$8*(SUMIF($BH$3:$CE$3,"&lt;"&amp;$DF55,$AD55:$BA55)+SUMIF($BH$3:$CE$3,"&gt;"&amp;$CW$4,$AD55:$BA55)),
IF(CD$3=$DF55+'Model Setup'!$D$7,SUMIF($BH$3:$CE$3,"="&amp;$DF55+'Model Setup'!$D$7,$AD55:$BA55)+'Model Setup'!$D$8*(SUMIF($BH$3:$CE$3,"&lt;"&amp;$DF55,$AD55:$BA55)+SUMIF($BH$3:$CE$3,"&gt;"&amp;$CW$4,$AD55:$BA55)),
IF(CD$3=$DF55+'Model Setup'!$E$7,SUMIF($BH$3:$CE$3,"="&amp;$DF55+'Model Setup'!$E$7,$AD55:$BA55)+'Model Setup'!$E$8*(SUMIF($BH$3:$CE$3,"&lt;"&amp;$DF55,$AD55:$BA55)+SUMIF($BH$3:$CE$3,"&gt;"&amp;$CW$4,$AD55:$BA55)),
IF(CD$3=$DF55+'Model Setup'!$F$7,SUMIF($BH$3:$CE$3,"="&amp;$DF55+'Model Setup'!$F$7,$AD55:$BA55)+'Model Setup'!$F$8*(SUMIF($BH$3:$CE$3,"&lt;"&amp;$DF55,$AD55:$BA55)+SUMIF($BH$3:$CE$3,"&gt;"&amp;$CW$4,$AD55:$BA55)),
IF(CD$3=$DF55+'Model Setup'!$G$7,SUMIF($BH$3:$CE$3,"="&amp;$DF55+'Model Setup'!$G$7,$AD55:$BA55)+'Model Setup'!$G$8*(SUMIF($BH$3:$CE$3,"&lt;"&amp;$DF55,$AD55:$BA55)+SUMIF($BH$3:$CE$3,"&gt;"&amp;$CW$4,$AD55:$BA55)),
IF(CD$3=$DF55+'Model Setup'!$H$7,SUMIF($BH$3:$CE$3,"="&amp;$DF55+'Model Setup'!$H$7,$AD55:$BA55)+'Model Setup'!$H$8*(SUMIF($BH$3:$CE$3,"&lt;"&amp;$DF55,$AD55:$BA55)+SUMIF($BH$3:$CE$3,"&gt;"&amp;$CW$4,$AD55:$BA55)),
IF(CD$3=$DF55+'Model Setup'!$I$7,SUMIF($BH$3:$CE$3,"="&amp;$DF55+'Model Setup'!$I$7,$AD55:$BA55)+'Model Setup'!$I$8*(SUMIF($BH$3:$CE$3,"&lt;"&amp;$DF55,$AD55:$BA55)+SUMIF($BH$3:$CE$3,"&gt;"&amp;$CW$4,$AD55:$BA55)),
IF(CD$3=$DF55+'Model Setup'!$J$7,SUMIF($BH$3:$CE$3,"="&amp;$DF55+'Model Setup'!$J$7,$AD55:$BA55)+'Model Setup'!$J$8*(SUMIF($BH$3:$CE$3,"&lt;"&amp;$DF55,$AD55:$BA55)+SUMIF($BH$3:$CE$3,"&gt;"&amp;$CW$4,$AD55:$BA55)),
IF(CD$3=$DF55+'Model Setup'!$K$7,SUMIF($BH$3:$CE$3,"="&amp;$DF55+'Model Setup'!$K$7,$AD55:$BA55)+'Model Setup'!$K$8*(SUMIF($BH$3:$CE$3,"&lt;"&amp;$DF55,$AD55:$BA55)+SUMIF($BH$3:$CE$3,"&gt;"&amp;$CW$4,$AD55:$BA55)),
IF(CD$3=$DF55+'Model Setup'!$L$7,SUMIF($BH$3:$CE$3,"="&amp;$DF55+'Model Setup'!$L$7,$AD55:$BA55)+'Model Setup'!$L$8*(SUMIF($BH$3:$CE$3,"&lt;"&amp;$DF55,$AD55:$BA55)+SUMIF($BH$3:$CE$3,"&gt;"&amp;$CW$4,$AD55:$BA55)),
IF(CD$3=$DF55+'Model Setup'!$M$7,SUMIF($BH$3:$CE$3,"="&amp;$DF55+'Model Setup'!$M$7,$AD55:$BA55)+'Model Setup'!$M$8*(SUMIF($BH$3:$CE$3,"&lt;"&amp;$DF55,$AD55:$BA55)+SUMIF($BH$3:$CE$3,"&gt;"&amp;$CW$4,$AD55:$BA55)),
IF(CD$3=$DF55+'Model Setup'!$N$7,SUMIF($BH$3:$CE$3,"="&amp;$DF55+'Model Setup'!$N$7,$AD55:$BA55)+'Model Setup'!$N$8*(SUMIF($BH$3:$CE$3,"&lt;"&amp;$DF55,$AD55:$BA55)+SUMIF($BH$3:$CE$3,"&gt;"&amp;$CW$4,$AD55:$BA55)),
IF(CD$3&lt;$CW$4,X55,0))))))))))))))),0)</f>
        <v>0</v>
      </c>
      <c r="CE55" s="47">
        <f>ROUND(IF(OR(CE$3&lt;$DF55,CE$3&gt;$CW$4),0,
IF(CE$3=$DF55+'Model Setup'!$B$7,SUMIF($BH$3:$CE$3,"="&amp;$DF55+'Model Setup'!$B$7,$AD55:$BA55)+'Model Setup'!$B$8*(SUMIF($BH$3:$CE$3,"&lt;"&amp;$DF55,$AD55:$BA55)+SUMIF($BH$3:$CE$3,"&gt;"&amp;$CW$4,$AD55:$BA55)),
IF(CE$3=$DF55+'Model Setup'!$C$7,SUMIF($BH$3:$CE$3,"="&amp;$DF55+'Model Setup'!$C$7,$AD55:$BA55)+'Model Setup'!$C$8*(SUMIF($BH$3:$CE$3,"&lt;"&amp;$DF55,$AD55:$BA55)+SUMIF($BH$3:$CE$3,"&gt;"&amp;$CW$4,$AD55:$BA55)),
IF(CE$3=$DF55+'Model Setup'!$D$7,SUMIF($BH$3:$CE$3,"="&amp;$DF55+'Model Setup'!$D$7,$AD55:$BA55)+'Model Setup'!$D$8*(SUMIF($BH$3:$CE$3,"&lt;"&amp;$DF55,$AD55:$BA55)+SUMIF($BH$3:$CE$3,"&gt;"&amp;$CW$4,$AD55:$BA55)),
IF(CE$3=$DF55+'Model Setup'!$E$7,SUMIF($BH$3:$CE$3,"="&amp;$DF55+'Model Setup'!$E$7,$AD55:$BA55)+'Model Setup'!$E$8*(SUMIF($BH$3:$CE$3,"&lt;"&amp;$DF55,$AD55:$BA55)+SUMIF($BH$3:$CE$3,"&gt;"&amp;$CW$4,$AD55:$BA55)),
IF(CE$3=$DF55+'Model Setup'!$F$7,SUMIF($BH$3:$CE$3,"="&amp;$DF55+'Model Setup'!$F$7,$AD55:$BA55)+'Model Setup'!$F$8*(SUMIF($BH$3:$CE$3,"&lt;"&amp;$DF55,$AD55:$BA55)+SUMIF($BH$3:$CE$3,"&gt;"&amp;$CW$4,$AD55:$BA55)),
IF(CE$3=$DF55+'Model Setup'!$G$7,SUMIF($BH$3:$CE$3,"="&amp;$DF55+'Model Setup'!$G$7,$AD55:$BA55)+'Model Setup'!$G$8*(SUMIF($BH$3:$CE$3,"&lt;"&amp;$DF55,$AD55:$BA55)+SUMIF($BH$3:$CE$3,"&gt;"&amp;$CW$4,$AD55:$BA55)),
IF(CE$3=$DF55+'Model Setup'!$H$7,SUMIF($BH$3:$CE$3,"="&amp;$DF55+'Model Setup'!$H$7,$AD55:$BA55)+'Model Setup'!$H$8*(SUMIF($BH$3:$CE$3,"&lt;"&amp;$DF55,$AD55:$BA55)+SUMIF($BH$3:$CE$3,"&gt;"&amp;$CW$4,$AD55:$BA55)),
IF(CE$3=$DF55+'Model Setup'!$I$7,SUMIF($BH$3:$CE$3,"="&amp;$DF55+'Model Setup'!$I$7,$AD55:$BA55)+'Model Setup'!$I$8*(SUMIF($BH$3:$CE$3,"&lt;"&amp;$DF55,$AD55:$BA55)+SUMIF($BH$3:$CE$3,"&gt;"&amp;$CW$4,$AD55:$BA55)),
IF(CE$3=$DF55+'Model Setup'!$J$7,SUMIF($BH$3:$CE$3,"="&amp;$DF55+'Model Setup'!$J$7,$AD55:$BA55)+'Model Setup'!$J$8*(SUMIF($BH$3:$CE$3,"&lt;"&amp;$DF55,$AD55:$BA55)+SUMIF($BH$3:$CE$3,"&gt;"&amp;$CW$4,$AD55:$BA55)),
IF(CE$3=$DF55+'Model Setup'!$K$7,SUMIF($BH$3:$CE$3,"="&amp;$DF55+'Model Setup'!$K$7,$AD55:$BA55)+'Model Setup'!$K$8*(SUMIF($BH$3:$CE$3,"&lt;"&amp;$DF55,$AD55:$BA55)+SUMIF($BH$3:$CE$3,"&gt;"&amp;$CW$4,$AD55:$BA55)),
IF(CE$3=$DF55+'Model Setup'!$L$7,SUMIF($BH$3:$CE$3,"="&amp;$DF55+'Model Setup'!$L$7,$AD55:$BA55)+'Model Setup'!$L$8*(SUMIF($BH$3:$CE$3,"&lt;"&amp;$DF55,$AD55:$BA55)+SUMIF($BH$3:$CE$3,"&gt;"&amp;$CW$4,$AD55:$BA55)),
IF(CE$3=$DF55+'Model Setup'!$M$7,SUMIF($BH$3:$CE$3,"="&amp;$DF55+'Model Setup'!$M$7,$AD55:$BA55)+'Model Setup'!$M$8*(SUMIF($BH$3:$CE$3,"&lt;"&amp;$DF55,$AD55:$BA55)+SUMIF($BH$3:$CE$3,"&gt;"&amp;$CW$4,$AD55:$BA55)),
IF(CE$3=$DF55+'Model Setup'!$N$7,SUMIF($BH$3:$CE$3,"="&amp;$DF55+'Model Setup'!$N$7,$AD55:$BA55)+'Model Setup'!$N$8*(SUMIF($BH$3:$CE$3,"&lt;"&amp;$DF55,$AD55:$BA55)+SUMIF($BH$3:$CE$3,"&gt;"&amp;$CW$4,$AD55:$BA55)),
IF(CE$3&lt;$CW$4,Y55,0))))))))))))))),0)</f>
        <v>0</v>
      </c>
      <c r="CF55" s="47">
        <f t="shared" si="3"/>
        <v>221</v>
      </c>
      <c r="CG55" s="47">
        <f t="shared" si="4"/>
        <v>0</v>
      </c>
      <c r="CI55" s="10" t="s">
        <v>70</v>
      </c>
      <c r="CJ55" s="126">
        <f t="shared" si="9"/>
        <v>6</v>
      </c>
      <c r="CK55" s="126">
        <f t="shared" si="10"/>
        <v>34</v>
      </c>
      <c r="CL55" s="126">
        <f t="shared" si="11"/>
        <v>33</v>
      </c>
      <c r="CM55" s="126">
        <f t="shared" si="12"/>
        <v>29</v>
      </c>
      <c r="CN55" s="126">
        <f t="shared" si="13"/>
        <v>17</v>
      </c>
      <c r="CO55" s="126">
        <f t="shared" si="14"/>
        <v>21</v>
      </c>
      <c r="CP55" s="126">
        <f t="shared" si="15"/>
        <v>22</v>
      </c>
      <c r="CQ55" s="126">
        <f t="shared" si="16"/>
        <v>15</v>
      </c>
      <c r="CR55" s="126">
        <f t="shared" si="17"/>
        <v>6</v>
      </c>
      <c r="CS55" s="126">
        <f t="shared" si="18"/>
        <v>5</v>
      </c>
      <c r="CT55" s="126">
        <f t="shared" si="19"/>
        <v>14</v>
      </c>
      <c r="CU55" s="126">
        <f t="shared" si="20"/>
        <v>11</v>
      </c>
      <c r="CV55" s="126">
        <f t="shared" si="21"/>
        <v>8</v>
      </c>
      <c r="CW55" s="126">
        <f t="shared" si="22"/>
        <v>0</v>
      </c>
      <c r="CX55" s="126">
        <f t="shared" si="23"/>
        <v>0</v>
      </c>
      <c r="CY55" s="126">
        <f t="shared" si="24"/>
        <v>0</v>
      </c>
      <c r="CZ55" s="47">
        <f t="shared" si="7"/>
        <v>221</v>
      </c>
      <c r="DC55" s="93" t="s">
        <v>70</v>
      </c>
      <c r="DD55" s="89">
        <f>FTC!E53</f>
        <v>0.20833333333333334</v>
      </c>
      <c r="DE55" s="89">
        <f>FTC!F53</f>
        <v>0.75</v>
      </c>
      <c r="DF55" s="90">
        <f t="shared" si="25"/>
        <v>5</v>
      </c>
      <c r="DG55" s="91">
        <f t="shared" si="26"/>
        <v>18</v>
      </c>
      <c r="DH55" s="91">
        <f t="shared" si="27"/>
        <v>13</v>
      </c>
    </row>
    <row r="56" spans="1:112" x14ac:dyDescent="0.35">
      <c r="A56" s="43" t="s">
        <v>71</v>
      </c>
      <c r="B56" s="47">
        <v>1</v>
      </c>
      <c r="C56" s="47">
        <v>1</v>
      </c>
      <c r="D56" s="6"/>
      <c r="E56" s="6"/>
      <c r="F56" s="6"/>
      <c r="G56" s="47">
        <v>1</v>
      </c>
      <c r="H56" s="47">
        <v>10</v>
      </c>
      <c r="I56" s="47">
        <v>18</v>
      </c>
      <c r="J56" s="47">
        <v>17</v>
      </c>
      <c r="K56" s="47">
        <v>16</v>
      </c>
      <c r="L56" s="47">
        <v>12</v>
      </c>
      <c r="M56" s="47">
        <v>10</v>
      </c>
      <c r="N56" s="47">
        <v>11</v>
      </c>
      <c r="O56" s="47">
        <v>9</v>
      </c>
      <c r="P56" s="47">
        <v>5</v>
      </c>
      <c r="Q56" s="47">
        <v>2</v>
      </c>
      <c r="R56" s="47">
        <v>6</v>
      </c>
      <c r="S56" s="6"/>
      <c r="T56" s="47">
        <v>2</v>
      </c>
      <c r="U56" s="47">
        <v>1</v>
      </c>
      <c r="V56" s="47">
        <v>2</v>
      </c>
      <c r="W56" s="47">
        <v>2</v>
      </c>
      <c r="X56" s="47">
        <v>1</v>
      </c>
      <c r="Y56" s="6"/>
      <c r="Z56" s="47">
        <f t="shared" si="0"/>
        <v>127</v>
      </c>
      <c r="AC56" s="43" t="s">
        <v>71</v>
      </c>
      <c r="AD56" s="47">
        <f>ROUND(IF(AD$3&lt;$DF56,0,
IF(AD$3=$DF56+'Model Setup'!$B$7,SUMIF($AD$3:$BA$3,"="&amp;$DF56+'Model Setup'!$B$7,$B56:$Y56)+'Model Setup'!$B$8*(SUMIF($AD$3:$BA$3,"&lt;"&amp;$DF56,$B56:$Y56)+SUMIF($AD$3:$BA$3,"&gt;="&amp;$DG56,$B56:$Y56)),
IF(AD$3=$DF56+'Model Setup'!$C$7,SUMIF($AD$3:$BA$3,"="&amp;$DF56+'Model Setup'!$C$7,$B56:$Y56)+'Model Setup'!$C$8*(SUMIF($AD$3:$BA$3,"&lt;"&amp;$DF56,$B56:$Y56)+SUMIF($AD$3:$BA$3,"&gt;="&amp;$DG56,$B56:$Y56)),
IF(AD$3=$DF56+'Model Setup'!$D$7,SUMIF($AD$3:$BA$3,"="&amp;$DF56+'Model Setup'!$D$7,$B56:$Y56)+'Model Setup'!$D$8*(SUMIF($AD$3:$BA$3,"&lt;"&amp;$DF56,$B56:$Y56)+SUMIF($AD$3:$BA$3,"&gt;="&amp;$DG56,$B56:$Y56)),
IF(AD$3=$DF56+'Model Setup'!$E$7,SUMIF($AD$3:$BA$3,"="&amp;$DF56+'Model Setup'!$E$7,$B56:$Y56)+'Model Setup'!$E$8*(SUMIF($AD$3:$BA$3,"&lt;"&amp;$DF56,$B56:$Y56)+SUMIF($AD$3:$BA$3,"&gt;="&amp;$DG56,$B56:$Y56)),
IF(AD$3=$DF56+'Model Setup'!$F$7,SUMIF($AD$3:$BA$3,"="&amp;$DF56+'Model Setup'!$F$7,$B56:$Y56)+'Model Setup'!$F$8*(SUMIF($AD$3:$BA$3,"&lt;"&amp;$DF56,$B56:$Y56)+SUMIF($AD$3:$BA$3,"&gt;="&amp;$DG56,$B56:$Y56)),
IF(AD$3=$DF56+'Model Setup'!$G$7,SUMIF($AD$3:$BA$3,"="&amp;$DF56+'Model Setup'!$G$7,$B56:$Y56)+'Model Setup'!$G$8*(SUMIF($AD$3:$BA$3,"&lt;"&amp;$DF56,$B56:$Y56)+SUMIF($AD$3:$BA$3,"&gt;="&amp;$DG56,$B56:$Y56)),
IF(AD$3=$DF56+'Model Setup'!$H$7,SUMIF($AD$3:$BA$3,"="&amp;$DF56+'Model Setup'!$H$7,$B56:$Y56)+'Model Setup'!$H$8*(SUMIF($AD$3:$BA$3,"&lt;"&amp;$DF56,$B56:$Y56)+SUMIF($AD$3:$BA$3,"&gt;="&amp;$DG56,$B56:$Y56)),
IF(AD$3=$DF56+'Model Setup'!$I$7,SUMIF($AD$3:$BA$3,"="&amp;$DF56+'Model Setup'!$I$7,$B56:$Y56)+'Model Setup'!$I$8*(SUMIF($AD$3:$BA$3,"&lt;"&amp;$DF56,$B56:$Y56)+SUMIF($AD$3:$BA$3,"&gt;="&amp;$DG56,$B56:$Y56)),
IF(AD$3=$DF56+'Model Setup'!$J$7,SUMIF($AD$3:$BA$3,"="&amp;$DF56+'Model Setup'!$J$7,$B56:$Y56)+'Model Setup'!$J$8*(SUMIF($AD$3:$BA$3,"&lt;"&amp;$DF56,$B56:$Y56)+SUMIF($AD$3:$BA$3,"&gt;="&amp;$DG56,$B56:$Y56)),
IF(AD$3=$DF56+'Model Setup'!$K$7,SUMIF($AD$3:$BA$3,"="&amp;$DF56+'Model Setup'!$K$7,$B56:$Y56)+'Model Setup'!$K$8*(SUMIF($AD$3:$BA$3,"&lt;"&amp;$DF56,$B56:$Y56)+SUMIF($AD$3:$BA$3,"&gt;="&amp;$DG56,$B56:$Y56)),
IF(AD$3=$DF56+'Model Setup'!$L$7,SUMIF($AD$3:$BA$3,"="&amp;$DF56+'Model Setup'!$L$7,$B56:$Y56)+'Model Setup'!$L$8*(SUMIF($AD$3:$BA$3,"&lt;"&amp;$DF56,$B56:$Y56)+SUMIF($AD$3:$BA$3,"&gt;="&amp;$DG56,$B56:$Y56)),
IF(AD$3=$DF56+'Model Setup'!$M$7,SUMIF($AD$3:$BA$3,"="&amp;$DF56+'Model Setup'!$M$7,$B56:$Y56)+'Model Setup'!$M$8*(SUMIF($AD$3:$BA$3,"&lt;"&amp;$DF56,$B56:$Y56)+SUMIF($AD$3:$BA$3,"&gt;="&amp;$DG56,$B56:$Y56)),
IF(AD$3=$DF56+'Model Setup'!$N$7,SUMIF($AD$3:$BA$3,"="&amp;$DF56+'Model Setup'!$N$7,$B56:$Y56)+'Model Setup'!$N$8*(SUMIF($AD$3:$BA$3,"&lt;"&amp;$DF56,$B56:$Y56)+SUMIF($AD$3:$BA$3,"&gt;="&amp;$DG56,$B56:$Y56)),
IF(AD$3&lt;$DG56,B56,0))))))))))))))),0)</f>
        <v>0</v>
      </c>
      <c r="AE56" s="47">
        <f>ROUND(IF(AE$3&lt;$DF56,0,
IF(AE$3=$DF56+'Model Setup'!$B$7,SUMIF($AD$3:$BA$3,"="&amp;$DF56+'Model Setup'!$B$7,$B56:$Y56)+'Model Setup'!$B$8*(SUMIF($AD$3:$BA$3,"&lt;"&amp;$DF56,$B56:$Y56)+SUMIF($AD$3:$BA$3,"&gt;="&amp;$DG56,$B56:$Y56)),
IF(AE$3=$DF56+'Model Setup'!$C$7,SUMIF($AD$3:$BA$3,"="&amp;$DF56+'Model Setup'!$C$7,$B56:$Y56)+'Model Setup'!$C$8*(SUMIF($AD$3:$BA$3,"&lt;"&amp;$DF56,$B56:$Y56)+SUMIF($AD$3:$BA$3,"&gt;="&amp;$DG56,$B56:$Y56)),
IF(AE$3=$DF56+'Model Setup'!$D$7,SUMIF($AD$3:$BA$3,"="&amp;$DF56+'Model Setup'!$D$7,$B56:$Y56)+'Model Setup'!$D$8*(SUMIF($AD$3:$BA$3,"&lt;"&amp;$DF56,$B56:$Y56)+SUMIF($AD$3:$BA$3,"&gt;="&amp;$DG56,$B56:$Y56)),
IF(AE$3=$DF56+'Model Setup'!$E$7,SUMIF($AD$3:$BA$3,"="&amp;$DF56+'Model Setup'!$E$7,$B56:$Y56)+'Model Setup'!$E$8*(SUMIF($AD$3:$BA$3,"&lt;"&amp;$DF56,$B56:$Y56)+SUMIF($AD$3:$BA$3,"&gt;="&amp;$DG56,$B56:$Y56)),
IF(AE$3=$DF56+'Model Setup'!$F$7,SUMIF($AD$3:$BA$3,"="&amp;$DF56+'Model Setup'!$F$7,$B56:$Y56)+'Model Setup'!$F$8*(SUMIF($AD$3:$BA$3,"&lt;"&amp;$DF56,$B56:$Y56)+SUMIF($AD$3:$BA$3,"&gt;="&amp;$DG56,$B56:$Y56)),
IF(AE$3=$DF56+'Model Setup'!$G$7,SUMIF($AD$3:$BA$3,"="&amp;$DF56+'Model Setup'!$G$7,$B56:$Y56)+'Model Setup'!$G$8*(SUMIF($AD$3:$BA$3,"&lt;"&amp;$DF56,$B56:$Y56)+SUMIF($AD$3:$BA$3,"&gt;="&amp;$DG56,$B56:$Y56)),
IF(AE$3=$DF56+'Model Setup'!$H$7,SUMIF($AD$3:$BA$3,"="&amp;$DF56+'Model Setup'!$H$7,$B56:$Y56)+'Model Setup'!$H$8*(SUMIF($AD$3:$BA$3,"&lt;"&amp;$DF56,$B56:$Y56)+SUMIF($AD$3:$BA$3,"&gt;="&amp;$DG56,$B56:$Y56)),
IF(AE$3=$DF56+'Model Setup'!$I$7,SUMIF($AD$3:$BA$3,"="&amp;$DF56+'Model Setup'!$I$7,$B56:$Y56)+'Model Setup'!$I$8*(SUMIF($AD$3:$BA$3,"&lt;"&amp;$DF56,$B56:$Y56)+SUMIF($AD$3:$BA$3,"&gt;="&amp;$DG56,$B56:$Y56)),
IF(AE$3=$DF56+'Model Setup'!$J$7,SUMIF($AD$3:$BA$3,"="&amp;$DF56+'Model Setup'!$J$7,$B56:$Y56)+'Model Setup'!$J$8*(SUMIF($AD$3:$BA$3,"&lt;"&amp;$DF56,$B56:$Y56)+SUMIF($AD$3:$BA$3,"&gt;="&amp;$DG56,$B56:$Y56)),
IF(AE$3=$DF56+'Model Setup'!$K$7,SUMIF($AD$3:$BA$3,"="&amp;$DF56+'Model Setup'!$K$7,$B56:$Y56)+'Model Setup'!$K$8*(SUMIF($AD$3:$BA$3,"&lt;"&amp;$DF56,$B56:$Y56)+SUMIF($AD$3:$BA$3,"&gt;="&amp;$DG56,$B56:$Y56)),
IF(AE$3=$DF56+'Model Setup'!$L$7,SUMIF($AD$3:$BA$3,"="&amp;$DF56+'Model Setup'!$L$7,$B56:$Y56)+'Model Setup'!$L$8*(SUMIF($AD$3:$BA$3,"&lt;"&amp;$DF56,$B56:$Y56)+SUMIF($AD$3:$BA$3,"&gt;="&amp;$DG56,$B56:$Y56)),
IF(AE$3=$DF56+'Model Setup'!$M$7,SUMIF($AD$3:$BA$3,"="&amp;$DF56+'Model Setup'!$M$7,$B56:$Y56)+'Model Setup'!$M$8*(SUMIF($AD$3:$BA$3,"&lt;"&amp;$DF56,$B56:$Y56)+SUMIF($AD$3:$BA$3,"&gt;="&amp;$DG56,$B56:$Y56)),
IF(AE$3=$DF56+'Model Setup'!$N$7,SUMIF($AD$3:$BA$3,"="&amp;$DF56+'Model Setup'!$N$7,$B56:$Y56)+'Model Setup'!$N$8*(SUMIF($AD$3:$BA$3,"&lt;"&amp;$DF56,$B56:$Y56)+SUMIF($AD$3:$BA$3,"&gt;="&amp;$DG56,$B56:$Y56)),
IF(AE$3&lt;$DG56,C56,0))))))))))))))),0)</f>
        <v>0</v>
      </c>
      <c r="AF56" s="47">
        <f>ROUND(IF(AF$3&lt;$DF56,0,
IF(AF$3=$DF56+'Model Setup'!$B$7,SUMIF($AD$3:$BA$3,"="&amp;$DF56+'Model Setup'!$B$7,$B56:$Y56)+'Model Setup'!$B$8*(SUMIF($AD$3:$BA$3,"&lt;"&amp;$DF56,$B56:$Y56)+SUMIF($AD$3:$BA$3,"&gt;="&amp;$DG56,$B56:$Y56)),
IF(AF$3=$DF56+'Model Setup'!$C$7,SUMIF($AD$3:$BA$3,"="&amp;$DF56+'Model Setup'!$C$7,$B56:$Y56)+'Model Setup'!$C$8*(SUMIF($AD$3:$BA$3,"&lt;"&amp;$DF56,$B56:$Y56)+SUMIF($AD$3:$BA$3,"&gt;="&amp;$DG56,$B56:$Y56)),
IF(AF$3=$DF56+'Model Setup'!$D$7,SUMIF($AD$3:$BA$3,"="&amp;$DF56+'Model Setup'!$D$7,$B56:$Y56)+'Model Setup'!$D$8*(SUMIF($AD$3:$BA$3,"&lt;"&amp;$DF56,$B56:$Y56)+SUMIF($AD$3:$BA$3,"&gt;="&amp;$DG56,$B56:$Y56)),
IF(AF$3=$DF56+'Model Setup'!$E$7,SUMIF($AD$3:$BA$3,"="&amp;$DF56+'Model Setup'!$E$7,$B56:$Y56)+'Model Setup'!$E$8*(SUMIF($AD$3:$BA$3,"&lt;"&amp;$DF56,$B56:$Y56)+SUMIF($AD$3:$BA$3,"&gt;="&amp;$DG56,$B56:$Y56)),
IF(AF$3=$DF56+'Model Setup'!$F$7,SUMIF($AD$3:$BA$3,"="&amp;$DF56+'Model Setup'!$F$7,$B56:$Y56)+'Model Setup'!$F$8*(SUMIF($AD$3:$BA$3,"&lt;"&amp;$DF56,$B56:$Y56)+SUMIF($AD$3:$BA$3,"&gt;="&amp;$DG56,$B56:$Y56)),
IF(AF$3=$DF56+'Model Setup'!$G$7,SUMIF($AD$3:$BA$3,"="&amp;$DF56+'Model Setup'!$G$7,$B56:$Y56)+'Model Setup'!$G$8*(SUMIF($AD$3:$BA$3,"&lt;"&amp;$DF56,$B56:$Y56)+SUMIF($AD$3:$BA$3,"&gt;="&amp;$DG56,$B56:$Y56)),
IF(AF$3=$DF56+'Model Setup'!$H$7,SUMIF($AD$3:$BA$3,"="&amp;$DF56+'Model Setup'!$H$7,$B56:$Y56)+'Model Setup'!$H$8*(SUMIF($AD$3:$BA$3,"&lt;"&amp;$DF56,$B56:$Y56)+SUMIF($AD$3:$BA$3,"&gt;="&amp;$DG56,$B56:$Y56)),
IF(AF$3=$DF56+'Model Setup'!$I$7,SUMIF($AD$3:$BA$3,"="&amp;$DF56+'Model Setup'!$I$7,$B56:$Y56)+'Model Setup'!$I$8*(SUMIF($AD$3:$BA$3,"&lt;"&amp;$DF56,$B56:$Y56)+SUMIF($AD$3:$BA$3,"&gt;="&amp;$DG56,$B56:$Y56)),
IF(AF$3=$DF56+'Model Setup'!$J$7,SUMIF($AD$3:$BA$3,"="&amp;$DF56+'Model Setup'!$J$7,$B56:$Y56)+'Model Setup'!$J$8*(SUMIF($AD$3:$BA$3,"&lt;"&amp;$DF56,$B56:$Y56)+SUMIF($AD$3:$BA$3,"&gt;="&amp;$DG56,$B56:$Y56)),
IF(AF$3=$DF56+'Model Setup'!$K$7,SUMIF($AD$3:$BA$3,"="&amp;$DF56+'Model Setup'!$K$7,$B56:$Y56)+'Model Setup'!$K$8*(SUMIF($AD$3:$BA$3,"&lt;"&amp;$DF56,$B56:$Y56)+SUMIF($AD$3:$BA$3,"&gt;="&amp;$DG56,$B56:$Y56)),
IF(AF$3=$DF56+'Model Setup'!$L$7,SUMIF($AD$3:$BA$3,"="&amp;$DF56+'Model Setup'!$L$7,$B56:$Y56)+'Model Setup'!$L$8*(SUMIF($AD$3:$BA$3,"&lt;"&amp;$DF56,$B56:$Y56)+SUMIF($AD$3:$BA$3,"&gt;="&amp;$DG56,$B56:$Y56)),
IF(AF$3=$DF56+'Model Setup'!$M$7,SUMIF($AD$3:$BA$3,"="&amp;$DF56+'Model Setup'!$M$7,$B56:$Y56)+'Model Setup'!$M$8*(SUMIF($AD$3:$BA$3,"&lt;"&amp;$DF56,$B56:$Y56)+SUMIF($AD$3:$BA$3,"&gt;="&amp;$DG56,$B56:$Y56)),
IF(AF$3=$DF56+'Model Setup'!$N$7,SUMIF($AD$3:$BA$3,"="&amp;$DF56+'Model Setup'!$N$7,$B56:$Y56)+'Model Setup'!$N$8*(SUMIF($AD$3:$BA$3,"&lt;"&amp;$DF56,$B56:$Y56)+SUMIF($AD$3:$BA$3,"&gt;="&amp;$DG56,$B56:$Y56)),
IF(AF$3&lt;$DG56,D56,0))))))))))))))),0)</f>
        <v>0</v>
      </c>
      <c r="AG56" s="47">
        <f>ROUND(IF(AG$3&lt;$DF56,0,
IF(AG$3=$DF56+'Model Setup'!$B$7,SUMIF($AD$3:$BA$3,"="&amp;$DF56+'Model Setup'!$B$7,$B56:$Y56)+'Model Setup'!$B$8*(SUMIF($AD$3:$BA$3,"&lt;"&amp;$DF56,$B56:$Y56)+SUMIF($AD$3:$BA$3,"&gt;="&amp;$DG56,$B56:$Y56)),
IF(AG$3=$DF56+'Model Setup'!$C$7,SUMIF($AD$3:$BA$3,"="&amp;$DF56+'Model Setup'!$C$7,$B56:$Y56)+'Model Setup'!$C$8*(SUMIF($AD$3:$BA$3,"&lt;"&amp;$DF56,$B56:$Y56)+SUMIF($AD$3:$BA$3,"&gt;="&amp;$DG56,$B56:$Y56)),
IF(AG$3=$DF56+'Model Setup'!$D$7,SUMIF($AD$3:$BA$3,"="&amp;$DF56+'Model Setup'!$D$7,$B56:$Y56)+'Model Setup'!$D$8*(SUMIF($AD$3:$BA$3,"&lt;"&amp;$DF56,$B56:$Y56)+SUMIF($AD$3:$BA$3,"&gt;="&amp;$DG56,$B56:$Y56)),
IF(AG$3=$DF56+'Model Setup'!$E$7,SUMIF($AD$3:$BA$3,"="&amp;$DF56+'Model Setup'!$E$7,$B56:$Y56)+'Model Setup'!$E$8*(SUMIF($AD$3:$BA$3,"&lt;"&amp;$DF56,$B56:$Y56)+SUMIF($AD$3:$BA$3,"&gt;="&amp;$DG56,$B56:$Y56)),
IF(AG$3=$DF56+'Model Setup'!$F$7,SUMIF($AD$3:$BA$3,"="&amp;$DF56+'Model Setup'!$F$7,$B56:$Y56)+'Model Setup'!$F$8*(SUMIF($AD$3:$BA$3,"&lt;"&amp;$DF56,$B56:$Y56)+SUMIF($AD$3:$BA$3,"&gt;="&amp;$DG56,$B56:$Y56)),
IF(AG$3=$DF56+'Model Setup'!$G$7,SUMIF($AD$3:$BA$3,"="&amp;$DF56+'Model Setup'!$G$7,$B56:$Y56)+'Model Setup'!$G$8*(SUMIF($AD$3:$BA$3,"&lt;"&amp;$DF56,$B56:$Y56)+SUMIF($AD$3:$BA$3,"&gt;="&amp;$DG56,$B56:$Y56)),
IF(AG$3=$DF56+'Model Setup'!$H$7,SUMIF($AD$3:$BA$3,"="&amp;$DF56+'Model Setup'!$H$7,$B56:$Y56)+'Model Setup'!$H$8*(SUMIF($AD$3:$BA$3,"&lt;"&amp;$DF56,$B56:$Y56)+SUMIF($AD$3:$BA$3,"&gt;="&amp;$DG56,$B56:$Y56)),
IF(AG$3=$DF56+'Model Setup'!$I$7,SUMIF($AD$3:$BA$3,"="&amp;$DF56+'Model Setup'!$I$7,$B56:$Y56)+'Model Setup'!$I$8*(SUMIF($AD$3:$BA$3,"&lt;"&amp;$DF56,$B56:$Y56)+SUMIF($AD$3:$BA$3,"&gt;="&amp;$DG56,$B56:$Y56)),
IF(AG$3=$DF56+'Model Setup'!$J$7,SUMIF($AD$3:$BA$3,"="&amp;$DF56+'Model Setup'!$J$7,$B56:$Y56)+'Model Setup'!$J$8*(SUMIF($AD$3:$BA$3,"&lt;"&amp;$DF56,$B56:$Y56)+SUMIF($AD$3:$BA$3,"&gt;="&amp;$DG56,$B56:$Y56)),
IF(AG$3=$DF56+'Model Setup'!$K$7,SUMIF($AD$3:$BA$3,"="&amp;$DF56+'Model Setup'!$K$7,$B56:$Y56)+'Model Setup'!$K$8*(SUMIF($AD$3:$BA$3,"&lt;"&amp;$DF56,$B56:$Y56)+SUMIF($AD$3:$BA$3,"&gt;="&amp;$DG56,$B56:$Y56)),
IF(AG$3=$DF56+'Model Setup'!$L$7,SUMIF($AD$3:$BA$3,"="&amp;$DF56+'Model Setup'!$L$7,$B56:$Y56)+'Model Setup'!$L$8*(SUMIF($AD$3:$BA$3,"&lt;"&amp;$DF56,$B56:$Y56)+SUMIF($AD$3:$BA$3,"&gt;="&amp;$DG56,$B56:$Y56)),
IF(AG$3=$DF56+'Model Setup'!$M$7,SUMIF($AD$3:$BA$3,"="&amp;$DF56+'Model Setup'!$M$7,$B56:$Y56)+'Model Setup'!$M$8*(SUMIF($AD$3:$BA$3,"&lt;"&amp;$DF56,$B56:$Y56)+SUMIF($AD$3:$BA$3,"&gt;="&amp;$DG56,$B56:$Y56)),
IF(AG$3=$DF56+'Model Setup'!$N$7,SUMIF($AD$3:$BA$3,"="&amp;$DF56+'Model Setup'!$N$7,$B56:$Y56)+'Model Setup'!$N$8*(SUMIF($AD$3:$BA$3,"&lt;"&amp;$DF56,$B56:$Y56)+SUMIF($AD$3:$BA$3,"&gt;="&amp;$DG56,$B56:$Y56)),
IF(AG$3&lt;$DG56,E56,0))))))))))))))),0)</f>
        <v>0</v>
      </c>
      <c r="AH56" s="47">
        <f>ROUND(IF(AH$3&lt;$DF56,0,
IF(AH$3=$DF56+'Model Setup'!$B$7,SUMIF($AD$3:$BA$3,"="&amp;$DF56+'Model Setup'!$B$7,$B56:$Y56)+'Model Setup'!$B$8*(SUMIF($AD$3:$BA$3,"&lt;"&amp;$DF56,$B56:$Y56)+SUMIF($AD$3:$BA$3,"&gt;="&amp;$DG56,$B56:$Y56)),
IF(AH$3=$DF56+'Model Setup'!$C$7,SUMIF($AD$3:$BA$3,"="&amp;$DF56+'Model Setup'!$C$7,$B56:$Y56)+'Model Setup'!$C$8*(SUMIF($AD$3:$BA$3,"&lt;"&amp;$DF56,$B56:$Y56)+SUMIF($AD$3:$BA$3,"&gt;="&amp;$DG56,$B56:$Y56)),
IF(AH$3=$DF56+'Model Setup'!$D$7,SUMIF($AD$3:$BA$3,"="&amp;$DF56+'Model Setup'!$D$7,$B56:$Y56)+'Model Setup'!$D$8*(SUMIF($AD$3:$BA$3,"&lt;"&amp;$DF56,$B56:$Y56)+SUMIF($AD$3:$BA$3,"&gt;="&amp;$DG56,$B56:$Y56)),
IF(AH$3=$DF56+'Model Setup'!$E$7,SUMIF($AD$3:$BA$3,"="&amp;$DF56+'Model Setup'!$E$7,$B56:$Y56)+'Model Setup'!$E$8*(SUMIF($AD$3:$BA$3,"&lt;"&amp;$DF56,$B56:$Y56)+SUMIF($AD$3:$BA$3,"&gt;="&amp;$DG56,$B56:$Y56)),
IF(AH$3=$DF56+'Model Setup'!$F$7,SUMIF($AD$3:$BA$3,"="&amp;$DF56+'Model Setup'!$F$7,$B56:$Y56)+'Model Setup'!$F$8*(SUMIF($AD$3:$BA$3,"&lt;"&amp;$DF56,$B56:$Y56)+SUMIF($AD$3:$BA$3,"&gt;="&amp;$DG56,$B56:$Y56)),
IF(AH$3=$DF56+'Model Setup'!$G$7,SUMIF($AD$3:$BA$3,"="&amp;$DF56+'Model Setup'!$G$7,$B56:$Y56)+'Model Setup'!$G$8*(SUMIF($AD$3:$BA$3,"&lt;"&amp;$DF56,$B56:$Y56)+SUMIF($AD$3:$BA$3,"&gt;="&amp;$DG56,$B56:$Y56)),
IF(AH$3=$DF56+'Model Setup'!$H$7,SUMIF($AD$3:$BA$3,"="&amp;$DF56+'Model Setup'!$H$7,$B56:$Y56)+'Model Setup'!$H$8*(SUMIF($AD$3:$BA$3,"&lt;"&amp;$DF56,$B56:$Y56)+SUMIF($AD$3:$BA$3,"&gt;="&amp;$DG56,$B56:$Y56)),
IF(AH$3=$DF56+'Model Setup'!$I$7,SUMIF($AD$3:$BA$3,"="&amp;$DF56+'Model Setup'!$I$7,$B56:$Y56)+'Model Setup'!$I$8*(SUMIF($AD$3:$BA$3,"&lt;"&amp;$DF56,$B56:$Y56)+SUMIF($AD$3:$BA$3,"&gt;="&amp;$DG56,$B56:$Y56)),
IF(AH$3=$DF56+'Model Setup'!$J$7,SUMIF($AD$3:$BA$3,"="&amp;$DF56+'Model Setup'!$J$7,$B56:$Y56)+'Model Setup'!$J$8*(SUMIF($AD$3:$BA$3,"&lt;"&amp;$DF56,$B56:$Y56)+SUMIF($AD$3:$BA$3,"&gt;="&amp;$DG56,$B56:$Y56)),
IF(AH$3=$DF56+'Model Setup'!$K$7,SUMIF($AD$3:$BA$3,"="&amp;$DF56+'Model Setup'!$K$7,$B56:$Y56)+'Model Setup'!$K$8*(SUMIF($AD$3:$BA$3,"&lt;"&amp;$DF56,$B56:$Y56)+SUMIF($AD$3:$BA$3,"&gt;="&amp;$DG56,$B56:$Y56)),
IF(AH$3=$DF56+'Model Setup'!$L$7,SUMIF($AD$3:$BA$3,"="&amp;$DF56+'Model Setup'!$L$7,$B56:$Y56)+'Model Setup'!$L$8*(SUMIF($AD$3:$BA$3,"&lt;"&amp;$DF56,$B56:$Y56)+SUMIF($AD$3:$BA$3,"&gt;="&amp;$DG56,$B56:$Y56)),
IF(AH$3=$DF56+'Model Setup'!$M$7,SUMIF($AD$3:$BA$3,"="&amp;$DF56+'Model Setup'!$M$7,$B56:$Y56)+'Model Setup'!$M$8*(SUMIF($AD$3:$BA$3,"&lt;"&amp;$DF56,$B56:$Y56)+SUMIF($AD$3:$BA$3,"&gt;="&amp;$DG56,$B56:$Y56)),
IF(AH$3=$DF56+'Model Setup'!$N$7,SUMIF($AD$3:$BA$3,"="&amp;$DF56+'Model Setup'!$N$7,$B56:$Y56)+'Model Setup'!$N$8*(SUMIF($AD$3:$BA$3,"&lt;"&amp;$DF56,$B56:$Y56)+SUMIF($AD$3:$BA$3,"&gt;="&amp;$DG56,$B56:$Y56)),
IF(AH$3&lt;$DG56,F56,0))))))))))))))),0)</f>
        <v>0</v>
      </c>
      <c r="AI56" s="47">
        <f>ROUND(IF(AI$3&lt;$DF56,0,
IF(AI$3=$DF56+'Model Setup'!$B$7,SUMIF($AD$3:$BA$3,"="&amp;$DF56+'Model Setup'!$B$7,$B56:$Y56)+'Model Setup'!$B$8*(SUMIF($AD$3:$BA$3,"&lt;"&amp;$DF56,$B56:$Y56)+SUMIF($AD$3:$BA$3,"&gt;="&amp;$DG56,$B56:$Y56)),
IF(AI$3=$DF56+'Model Setup'!$C$7,SUMIF($AD$3:$BA$3,"="&amp;$DF56+'Model Setup'!$C$7,$B56:$Y56)+'Model Setup'!$C$8*(SUMIF($AD$3:$BA$3,"&lt;"&amp;$DF56,$B56:$Y56)+SUMIF($AD$3:$BA$3,"&gt;="&amp;$DG56,$B56:$Y56)),
IF(AI$3=$DF56+'Model Setup'!$D$7,SUMIF($AD$3:$BA$3,"="&amp;$DF56+'Model Setup'!$D$7,$B56:$Y56)+'Model Setup'!$D$8*(SUMIF($AD$3:$BA$3,"&lt;"&amp;$DF56,$B56:$Y56)+SUMIF($AD$3:$BA$3,"&gt;="&amp;$DG56,$B56:$Y56)),
IF(AI$3=$DF56+'Model Setup'!$E$7,SUMIF($AD$3:$BA$3,"="&amp;$DF56+'Model Setup'!$E$7,$B56:$Y56)+'Model Setup'!$E$8*(SUMIF($AD$3:$BA$3,"&lt;"&amp;$DF56,$B56:$Y56)+SUMIF($AD$3:$BA$3,"&gt;="&amp;$DG56,$B56:$Y56)),
IF(AI$3=$DF56+'Model Setup'!$F$7,SUMIF($AD$3:$BA$3,"="&amp;$DF56+'Model Setup'!$F$7,$B56:$Y56)+'Model Setup'!$F$8*(SUMIF($AD$3:$BA$3,"&lt;"&amp;$DF56,$B56:$Y56)+SUMIF($AD$3:$BA$3,"&gt;="&amp;$DG56,$B56:$Y56)),
IF(AI$3=$DF56+'Model Setup'!$G$7,SUMIF($AD$3:$BA$3,"="&amp;$DF56+'Model Setup'!$G$7,$B56:$Y56)+'Model Setup'!$G$8*(SUMIF($AD$3:$BA$3,"&lt;"&amp;$DF56,$B56:$Y56)+SUMIF($AD$3:$BA$3,"&gt;="&amp;$DG56,$B56:$Y56)),
IF(AI$3=$DF56+'Model Setup'!$H$7,SUMIF($AD$3:$BA$3,"="&amp;$DF56+'Model Setup'!$H$7,$B56:$Y56)+'Model Setup'!$H$8*(SUMIF($AD$3:$BA$3,"&lt;"&amp;$DF56,$B56:$Y56)+SUMIF($AD$3:$BA$3,"&gt;="&amp;$DG56,$B56:$Y56)),
IF(AI$3=$DF56+'Model Setup'!$I$7,SUMIF($AD$3:$BA$3,"="&amp;$DF56+'Model Setup'!$I$7,$B56:$Y56)+'Model Setup'!$I$8*(SUMIF($AD$3:$BA$3,"&lt;"&amp;$DF56,$B56:$Y56)+SUMIF($AD$3:$BA$3,"&gt;="&amp;$DG56,$B56:$Y56)),
IF(AI$3=$DF56+'Model Setup'!$J$7,SUMIF($AD$3:$BA$3,"="&amp;$DF56+'Model Setup'!$J$7,$B56:$Y56)+'Model Setup'!$J$8*(SUMIF($AD$3:$BA$3,"&lt;"&amp;$DF56,$B56:$Y56)+SUMIF($AD$3:$BA$3,"&gt;="&amp;$DG56,$B56:$Y56)),
IF(AI$3=$DF56+'Model Setup'!$K$7,SUMIF($AD$3:$BA$3,"="&amp;$DF56+'Model Setup'!$K$7,$B56:$Y56)+'Model Setup'!$K$8*(SUMIF($AD$3:$BA$3,"&lt;"&amp;$DF56,$B56:$Y56)+SUMIF($AD$3:$BA$3,"&gt;="&amp;$DG56,$B56:$Y56)),
IF(AI$3=$DF56+'Model Setup'!$L$7,SUMIF($AD$3:$BA$3,"="&amp;$DF56+'Model Setup'!$L$7,$B56:$Y56)+'Model Setup'!$L$8*(SUMIF($AD$3:$BA$3,"&lt;"&amp;$DF56,$B56:$Y56)+SUMIF($AD$3:$BA$3,"&gt;="&amp;$DG56,$B56:$Y56)),
IF(AI$3=$DF56+'Model Setup'!$M$7,SUMIF($AD$3:$BA$3,"="&amp;$DF56+'Model Setup'!$M$7,$B56:$Y56)+'Model Setup'!$M$8*(SUMIF($AD$3:$BA$3,"&lt;"&amp;$DF56,$B56:$Y56)+SUMIF($AD$3:$BA$3,"&gt;="&amp;$DG56,$B56:$Y56)),
IF(AI$3=$DF56+'Model Setup'!$N$7,SUMIF($AD$3:$BA$3,"="&amp;$DF56+'Model Setup'!$N$7,$B56:$Y56)+'Model Setup'!$N$8*(SUMIF($AD$3:$BA$3,"&lt;"&amp;$DF56,$B56:$Y56)+SUMIF($AD$3:$BA$3,"&gt;="&amp;$DG56,$B56:$Y56)),
IF(AI$3&lt;$DG56,G56,0))))))))))))))),0)</f>
        <v>0</v>
      </c>
      <c r="AJ56" s="47">
        <f>ROUND(IF(AJ$3&lt;$DF56,0,
IF(AJ$3=$DF56+'Model Setup'!$B$7,SUMIF($AD$3:$BA$3,"="&amp;$DF56+'Model Setup'!$B$7,$B56:$Y56)+'Model Setup'!$B$8*(SUMIF($AD$3:$BA$3,"&lt;"&amp;$DF56,$B56:$Y56)+SUMIF($AD$3:$BA$3,"&gt;="&amp;$DG56,$B56:$Y56)),
IF(AJ$3=$DF56+'Model Setup'!$C$7,SUMIF($AD$3:$BA$3,"="&amp;$DF56+'Model Setup'!$C$7,$B56:$Y56)+'Model Setup'!$C$8*(SUMIF($AD$3:$BA$3,"&lt;"&amp;$DF56,$B56:$Y56)+SUMIF($AD$3:$BA$3,"&gt;="&amp;$DG56,$B56:$Y56)),
IF(AJ$3=$DF56+'Model Setup'!$D$7,SUMIF($AD$3:$BA$3,"="&amp;$DF56+'Model Setup'!$D$7,$B56:$Y56)+'Model Setup'!$D$8*(SUMIF($AD$3:$BA$3,"&lt;"&amp;$DF56,$B56:$Y56)+SUMIF($AD$3:$BA$3,"&gt;="&amp;$DG56,$B56:$Y56)),
IF(AJ$3=$DF56+'Model Setup'!$E$7,SUMIF($AD$3:$BA$3,"="&amp;$DF56+'Model Setup'!$E$7,$B56:$Y56)+'Model Setup'!$E$8*(SUMIF($AD$3:$BA$3,"&lt;"&amp;$DF56,$B56:$Y56)+SUMIF($AD$3:$BA$3,"&gt;="&amp;$DG56,$B56:$Y56)),
IF(AJ$3=$DF56+'Model Setup'!$F$7,SUMIF($AD$3:$BA$3,"="&amp;$DF56+'Model Setup'!$F$7,$B56:$Y56)+'Model Setup'!$F$8*(SUMIF($AD$3:$BA$3,"&lt;"&amp;$DF56,$B56:$Y56)+SUMIF($AD$3:$BA$3,"&gt;="&amp;$DG56,$B56:$Y56)),
IF(AJ$3=$DF56+'Model Setup'!$G$7,SUMIF($AD$3:$BA$3,"="&amp;$DF56+'Model Setup'!$G$7,$B56:$Y56)+'Model Setup'!$G$8*(SUMIF($AD$3:$BA$3,"&lt;"&amp;$DF56,$B56:$Y56)+SUMIF($AD$3:$BA$3,"&gt;="&amp;$DG56,$B56:$Y56)),
IF(AJ$3=$DF56+'Model Setup'!$H$7,SUMIF($AD$3:$BA$3,"="&amp;$DF56+'Model Setup'!$H$7,$B56:$Y56)+'Model Setup'!$H$8*(SUMIF($AD$3:$BA$3,"&lt;"&amp;$DF56,$B56:$Y56)+SUMIF($AD$3:$BA$3,"&gt;="&amp;$DG56,$B56:$Y56)),
IF(AJ$3=$DF56+'Model Setup'!$I$7,SUMIF($AD$3:$BA$3,"="&amp;$DF56+'Model Setup'!$I$7,$B56:$Y56)+'Model Setup'!$I$8*(SUMIF($AD$3:$BA$3,"&lt;"&amp;$DF56,$B56:$Y56)+SUMIF($AD$3:$BA$3,"&gt;="&amp;$DG56,$B56:$Y56)),
IF(AJ$3=$DF56+'Model Setup'!$J$7,SUMIF($AD$3:$BA$3,"="&amp;$DF56+'Model Setup'!$J$7,$B56:$Y56)+'Model Setup'!$J$8*(SUMIF($AD$3:$BA$3,"&lt;"&amp;$DF56,$B56:$Y56)+SUMIF($AD$3:$BA$3,"&gt;="&amp;$DG56,$B56:$Y56)),
IF(AJ$3=$DF56+'Model Setup'!$K$7,SUMIF($AD$3:$BA$3,"="&amp;$DF56+'Model Setup'!$K$7,$B56:$Y56)+'Model Setup'!$K$8*(SUMIF($AD$3:$BA$3,"&lt;"&amp;$DF56,$B56:$Y56)+SUMIF($AD$3:$BA$3,"&gt;="&amp;$DG56,$B56:$Y56)),
IF(AJ$3=$DF56+'Model Setup'!$L$7,SUMIF($AD$3:$BA$3,"="&amp;$DF56+'Model Setup'!$L$7,$B56:$Y56)+'Model Setup'!$L$8*(SUMIF($AD$3:$BA$3,"&lt;"&amp;$DF56,$B56:$Y56)+SUMIF($AD$3:$BA$3,"&gt;="&amp;$DG56,$B56:$Y56)),
IF(AJ$3=$DF56+'Model Setup'!$M$7,SUMIF($AD$3:$BA$3,"="&amp;$DF56+'Model Setup'!$M$7,$B56:$Y56)+'Model Setup'!$M$8*(SUMIF($AD$3:$BA$3,"&lt;"&amp;$DF56,$B56:$Y56)+SUMIF($AD$3:$BA$3,"&gt;="&amp;$DG56,$B56:$Y56)),
IF(AJ$3=$DF56+'Model Setup'!$N$7,SUMIF($AD$3:$BA$3,"="&amp;$DF56+'Model Setup'!$N$7,$B56:$Y56)+'Model Setup'!$N$8*(SUMIF($AD$3:$BA$3,"&lt;"&amp;$DF56,$B56:$Y56)+SUMIF($AD$3:$BA$3,"&gt;="&amp;$DG56,$B56:$Y56)),
IF(AJ$3&lt;$DG56,H56,0))))))))))))))),0)</f>
        <v>0</v>
      </c>
      <c r="AK56" s="47">
        <f>ROUND(IF(AK$3&lt;$DF56,0,
IF(AK$3=$DF56+'Model Setup'!$B$7,SUMIF($AD$3:$BA$3,"="&amp;$DF56+'Model Setup'!$B$7,$B56:$Y56)+'Model Setup'!$B$8*(SUMIF($AD$3:$BA$3,"&lt;"&amp;$DF56,$B56:$Y56)+SUMIF($AD$3:$BA$3,"&gt;="&amp;$DG56,$B56:$Y56)),
IF(AK$3=$DF56+'Model Setup'!$C$7,SUMIF($AD$3:$BA$3,"="&amp;$DF56+'Model Setup'!$C$7,$B56:$Y56)+'Model Setup'!$C$8*(SUMIF($AD$3:$BA$3,"&lt;"&amp;$DF56,$B56:$Y56)+SUMIF($AD$3:$BA$3,"&gt;="&amp;$DG56,$B56:$Y56)),
IF(AK$3=$DF56+'Model Setup'!$D$7,SUMIF($AD$3:$BA$3,"="&amp;$DF56+'Model Setup'!$D$7,$B56:$Y56)+'Model Setup'!$D$8*(SUMIF($AD$3:$BA$3,"&lt;"&amp;$DF56,$B56:$Y56)+SUMIF($AD$3:$BA$3,"&gt;="&amp;$DG56,$B56:$Y56)),
IF(AK$3=$DF56+'Model Setup'!$E$7,SUMIF($AD$3:$BA$3,"="&amp;$DF56+'Model Setup'!$E$7,$B56:$Y56)+'Model Setup'!$E$8*(SUMIF($AD$3:$BA$3,"&lt;"&amp;$DF56,$B56:$Y56)+SUMIF($AD$3:$BA$3,"&gt;="&amp;$DG56,$B56:$Y56)),
IF(AK$3=$DF56+'Model Setup'!$F$7,SUMIF($AD$3:$BA$3,"="&amp;$DF56+'Model Setup'!$F$7,$B56:$Y56)+'Model Setup'!$F$8*(SUMIF($AD$3:$BA$3,"&lt;"&amp;$DF56,$B56:$Y56)+SUMIF($AD$3:$BA$3,"&gt;="&amp;$DG56,$B56:$Y56)),
IF(AK$3=$DF56+'Model Setup'!$G$7,SUMIF($AD$3:$BA$3,"="&amp;$DF56+'Model Setup'!$G$7,$B56:$Y56)+'Model Setup'!$G$8*(SUMIF($AD$3:$BA$3,"&lt;"&amp;$DF56,$B56:$Y56)+SUMIF($AD$3:$BA$3,"&gt;="&amp;$DG56,$B56:$Y56)),
IF(AK$3=$DF56+'Model Setup'!$H$7,SUMIF($AD$3:$BA$3,"="&amp;$DF56+'Model Setup'!$H$7,$B56:$Y56)+'Model Setup'!$H$8*(SUMIF($AD$3:$BA$3,"&lt;"&amp;$DF56,$B56:$Y56)+SUMIF($AD$3:$BA$3,"&gt;="&amp;$DG56,$B56:$Y56)),
IF(AK$3=$DF56+'Model Setup'!$I$7,SUMIF($AD$3:$BA$3,"="&amp;$DF56+'Model Setup'!$I$7,$B56:$Y56)+'Model Setup'!$I$8*(SUMIF($AD$3:$BA$3,"&lt;"&amp;$DF56,$B56:$Y56)+SUMIF($AD$3:$BA$3,"&gt;="&amp;$DG56,$B56:$Y56)),
IF(AK$3=$DF56+'Model Setup'!$J$7,SUMIF($AD$3:$BA$3,"="&amp;$DF56+'Model Setup'!$J$7,$B56:$Y56)+'Model Setup'!$J$8*(SUMIF($AD$3:$BA$3,"&lt;"&amp;$DF56,$B56:$Y56)+SUMIF($AD$3:$BA$3,"&gt;="&amp;$DG56,$B56:$Y56)),
IF(AK$3=$DF56+'Model Setup'!$K$7,SUMIF($AD$3:$BA$3,"="&amp;$DF56+'Model Setup'!$K$7,$B56:$Y56)+'Model Setup'!$K$8*(SUMIF($AD$3:$BA$3,"&lt;"&amp;$DF56,$B56:$Y56)+SUMIF($AD$3:$BA$3,"&gt;="&amp;$DG56,$B56:$Y56)),
IF(AK$3=$DF56+'Model Setup'!$L$7,SUMIF($AD$3:$BA$3,"="&amp;$DF56+'Model Setup'!$L$7,$B56:$Y56)+'Model Setup'!$L$8*(SUMIF($AD$3:$BA$3,"&lt;"&amp;$DF56,$B56:$Y56)+SUMIF($AD$3:$BA$3,"&gt;="&amp;$DG56,$B56:$Y56)),
IF(AK$3=$DF56+'Model Setup'!$M$7,SUMIF($AD$3:$BA$3,"="&amp;$DF56+'Model Setup'!$M$7,$B56:$Y56)+'Model Setup'!$M$8*(SUMIF($AD$3:$BA$3,"&lt;"&amp;$DF56,$B56:$Y56)+SUMIF($AD$3:$BA$3,"&gt;="&amp;$DG56,$B56:$Y56)),
IF(AK$3=$DF56+'Model Setup'!$N$7,SUMIF($AD$3:$BA$3,"="&amp;$DF56+'Model Setup'!$N$7,$B56:$Y56)+'Model Setup'!$N$8*(SUMIF($AD$3:$BA$3,"&lt;"&amp;$DF56,$B56:$Y56)+SUMIF($AD$3:$BA$3,"&gt;="&amp;$DG56,$B56:$Y56)),
IF(AK$3&lt;$DG56,I56,0))))))))))))))),0)</f>
        <v>18</v>
      </c>
      <c r="AL56" s="47">
        <f>ROUND(IF(AL$3&lt;$DF56,0,
IF(AL$3=$DF56+'Model Setup'!$B$7,SUMIF($AD$3:$BA$3,"="&amp;$DF56+'Model Setup'!$B$7,$B56:$Y56)+'Model Setup'!$B$8*(SUMIF($AD$3:$BA$3,"&lt;"&amp;$DF56,$B56:$Y56)+SUMIF($AD$3:$BA$3,"&gt;="&amp;$DG56,$B56:$Y56)),
IF(AL$3=$DF56+'Model Setup'!$C$7,SUMIF($AD$3:$BA$3,"="&amp;$DF56+'Model Setup'!$C$7,$B56:$Y56)+'Model Setup'!$C$8*(SUMIF($AD$3:$BA$3,"&lt;"&amp;$DF56,$B56:$Y56)+SUMIF($AD$3:$BA$3,"&gt;="&amp;$DG56,$B56:$Y56)),
IF(AL$3=$DF56+'Model Setup'!$D$7,SUMIF($AD$3:$BA$3,"="&amp;$DF56+'Model Setup'!$D$7,$B56:$Y56)+'Model Setup'!$D$8*(SUMIF($AD$3:$BA$3,"&lt;"&amp;$DF56,$B56:$Y56)+SUMIF($AD$3:$BA$3,"&gt;="&amp;$DG56,$B56:$Y56)),
IF(AL$3=$DF56+'Model Setup'!$E$7,SUMIF($AD$3:$BA$3,"="&amp;$DF56+'Model Setup'!$E$7,$B56:$Y56)+'Model Setup'!$E$8*(SUMIF($AD$3:$BA$3,"&lt;"&amp;$DF56,$B56:$Y56)+SUMIF($AD$3:$BA$3,"&gt;="&amp;$DG56,$B56:$Y56)),
IF(AL$3=$DF56+'Model Setup'!$F$7,SUMIF($AD$3:$BA$3,"="&amp;$DF56+'Model Setup'!$F$7,$B56:$Y56)+'Model Setup'!$F$8*(SUMIF($AD$3:$BA$3,"&lt;"&amp;$DF56,$B56:$Y56)+SUMIF($AD$3:$BA$3,"&gt;="&amp;$DG56,$B56:$Y56)),
IF(AL$3=$DF56+'Model Setup'!$G$7,SUMIF($AD$3:$BA$3,"="&amp;$DF56+'Model Setup'!$G$7,$B56:$Y56)+'Model Setup'!$G$8*(SUMIF($AD$3:$BA$3,"&lt;"&amp;$DF56,$B56:$Y56)+SUMIF($AD$3:$BA$3,"&gt;="&amp;$DG56,$B56:$Y56)),
IF(AL$3=$DF56+'Model Setup'!$H$7,SUMIF($AD$3:$BA$3,"="&amp;$DF56+'Model Setup'!$H$7,$B56:$Y56)+'Model Setup'!$H$8*(SUMIF($AD$3:$BA$3,"&lt;"&amp;$DF56,$B56:$Y56)+SUMIF($AD$3:$BA$3,"&gt;="&amp;$DG56,$B56:$Y56)),
IF(AL$3=$DF56+'Model Setup'!$I$7,SUMIF($AD$3:$BA$3,"="&amp;$DF56+'Model Setup'!$I$7,$B56:$Y56)+'Model Setup'!$I$8*(SUMIF($AD$3:$BA$3,"&lt;"&amp;$DF56,$B56:$Y56)+SUMIF($AD$3:$BA$3,"&gt;="&amp;$DG56,$B56:$Y56)),
IF(AL$3=$DF56+'Model Setup'!$J$7,SUMIF($AD$3:$BA$3,"="&amp;$DF56+'Model Setup'!$J$7,$B56:$Y56)+'Model Setup'!$J$8*(SUMIF($AD$3:$BA$3,"&lt;"&amp;$DF56,$B56:$Y56)+SUMIF($AD$3:$BA$3,"&gt;="&amp;$DG56,$B56:$Y56)),
IF(AL$3=$DF56+'Model Setup'!$K$7,SUMIF($AD$3:$BA$3,"="&amp;$DF56+'Model Setup'!$K$7,$B56:$Y56)+'Model Setup'!$K$8*(SUMIF($AD$3:$BA$3,"&lt;"&amp;$DF56,$B56:$Y56)+SUMIF($AD$3:$BA$3,"&gt;="&amp;$DG56,$B56:$Y56)),
IF(AL$3=$DF56+'Model Setup'!$L$7,SUMIF($AD$3:$BA$3,"="&amp;$DF56+'Model Setup'!$L$7,$B56:$Y56)+'Model Setup'!$L$8*(SUMIF($AD$3:$BA$3,"&lt;"&amp;$DF56,$B56:$Y56)+SUMIF($AD$3:$BA$3,"&gt;="&amp;$DG56,$B56:$Y56)),
IF(AL$3=$DF56+'Model Setup'!$M$7,SUMIF($AD$3:$BA$3,"="&amp;$DF56+'Model Setup'!$M$7,$B56:$Y56)+'Model Setup'!$M$8*(SUMIF($AD$3:$BA$3,"&lt;"&amp;$DF56,$B56:$Y56)+SUMIF($AD$3:$BA$3,"&gt;="&amp;$DG56,$B56:$Y56)),
IF(AL$3=$DF56+'Model Setup'!$N$7,SUMIF($AD$3:$BA$3,"="&amp;$DF56+'Model Setup'!$N$7,$B56:$Y56)+'Model Setup'!$N$8*(SUMIF($AD$3:$BA$3,"&lt;"&amp;$DF56,$B56:$Y56)+SUMIF($AD$3:$BA$3,"&gt;="&amp;$DG56,$B56:$Y56)),
IF(AL$3&lt;$DG56,J56,0))))))))))))))),0)</f>
        <v>17</v>
      </c>
      <c r="AM56" s="47">
        <f>ROUND(IF(AM$3&lt;$DF56,0,
IF(AM$3=$DF56+'Model Setup'!$B$7,SUMIF($AD$3:$BA$3,"="&amp;$DF56+'Model Setup'!$B$7,$B56:$Y56)+'Model Setup'!$B$8*(SUMIF($AD$3:$BA$3,"&lt;"&amp;$DF56,$B56:$Y56)+SUMIF($AD$3:$BA$3,"&gt;="&amp;$DG56,$B56:$Y56)),
IF(AM$3=$DF56+'Model Setup'!$C$7,SUMIF($AD$3:$BA$3,"="&amp;$DF56+'Model Setup'!$C$7,$B56:$Y56)+'Model Setup'!$C$8*(SUMIF($AD$3:$BA$3,"&lt;"&amp;$DF56,$B56:$Y56)+SUMIF($AD$3:$BA$3,"&gt;="&amp;$DG56,$B56:$Y56)),
IF(AM$3=$DF56+'Model Setup'!$D$7,SUMIF($AD$3:$BA$3,"="&amp;$DF56+'Model Setup'!$D$7,$B56:$Y56)+'Model Setup'!$D$8*(SUMIF($AD$3:$BA$3,"&lt;"&amp;$DF56,$B56:$Y56)+SUMIF($AD$3:$BA$3,"&gt;="&amp;$DG56,$B56:$Y56)),
IF(AM$3=$DF56+'Model Setup'!$E$7,SUMIF($AD$3:$BA$3,"="&amp;$DF56+'Model Setup'!$E$7,$B56:$Y56)+'Model Setup'!$E$8*(SUMIF($AD$3:$BA$3,"&lt;"&amp;$DF56,$B56:$Y56)+SUMIF($AD$3:$BA$3,"&gt;="&amp;$DG56,$B56:$Y56)),
IF(AM$3=$DF56+'Model Setup'!$F$7,SUMIF($AD$3:$BA$3,"="&amp;$DF56+'Model Setup'!$F$7,$B56:$Y56)+'Model Setup'!$F$8*(SUMIF($AD$3:$BA$3,"&lt;"&amp;$DF56,$B56:$Y56)+SUMIF($AD$3:$BA$3,"&gt;="&amp;$DG56,$B56:$Y56)),
IF(AM$3=$DF56+'Model Setup'!$G$7,SUMIF($AD$3:$BA$3,"="&amp;$DF56+'Model Setup'!$G$7,$B56:$Y56)+'Model Setup'!$G$8*(SUMIF($AD$3:$BA$3,"&lt;"&amp;$DF56,$B56:$Y56)+SUMIF($AD$3:$BA$3,"&gt;="&amp;$DG56,$B56:$Y56)),
IF(AM$3=$DF56+'Model Setup'!$H$7,SUMIF($AD$3:$BA$3,"="&amp;$DF56+'Model Setup'!$H$7,$B56:$Y56)+'Model Setup'!$H$8*(SUMIF($AD$3:$BA$3,"&lt;"&amp;$DF56,$B56:$Y56)+SUMIF($AD$3:$BA$3,"&gt;="&amp;$DG56,$B56:$Y56)),
IF(AM$3=$DF56+'Model Setup'!$I$7,SUMIF($AD$3:$BA$3,"="&amp;$DF56+'Model Setup'!$I$7,$B56:$Y56)+'Model Setup'!$I$8*(SUMIF($AD$3:$BA$3,"&lt;"&amp;$DF56,$B56:$Y56)+SUMIF($AD$3:$BA$3,"&gt;="&amp;$DG56,$B56:$Y56)),
IF(AM$3=$DF56+'Model Setup'!$J$7,SUMIF($AD$3:$BA$3,"="&amp;$DF56+'Model Setup'!$J$7,$B56:$Y56)+'Model Setup'!$J$8*(SUMIF($AD$3:$BA$3,"&lt;"&amp;$DF56,$B56:$Y56)+SUMIF($AD$3:$BA$3,"&gt;="&amp;$DG56,$B56:$Y56)),
IF(AM$3=$DF56+'Model Setup'!$K$7,SUMIF($AD$3:$BA$3,"="&amp;$DF56+'Model Setup'!$K$7,$B56:$Y56)+'Model Setup'!$K$8*(SUMIF($AD$3:$BA$3,"&lt;"&amp;$DF56,$B56:$Y56)+SUMIF($AD$3:$BA$3,"&gt;="&amp;$DG56,$B56:$Y56)),
IF(AM$3=$DF56+'Model Setup'!$L$7,SUMIF($AD$3:$BA$3,"="&amp;$DF56+'Model Setup'!$L$7,$B56:$Y56)+'Model Setup'!$L$8*(SUMIF($AD$3:$BA$3,"&lt;"&amp;$DF56,$B56:$Y56)+SUMIF($AD$3:$BA$3,"&gt;="&amp;$DG56,$B56:$Y56)),
IF(AM$3=$DF56+'Model Setup'!$M$7,SUMIF($AD$3:$BA$3,"="&amp;$DF56+'Model Setup'!$M$7,$B56:$Y56)+'Model Setup'!$M$8*(SUMIF($AD$3:$BA$3,"&lt;"&amp;$DF56,$B56:$Y56)+SUMIF($AD$3:$BA$3,"&gt;="&amp;$DG56,$B56:$Y56)),
IF(AM$3=$DF56+'Model Setup'!$N$7,SUMIF($AD$3:$BA$3,"="&amp;$DF56+'Model Setup'!$N$7,$B56:$Y56)+'Model Setup'!$N$8*(SUMIF($AD$3:$BA$3,"&lt;"&amp;$DF56,$B56:$Y56)+SUMIF($AD$3:$BA$3,"&gt;="&amp;$DG56,$B56:$Y56)),
IF(AM$3&lt;$DG56,K56,0))))))))))))))),0)</f>
        <v>16</v>
      </c>
      <c r="AN56" s="47">
        <f>ROUND(IF(AN$3&lt;$DF56,0,
IF(AN$3=$DF56+'Model Setup'!$B$7,SUMIF($AD$3:$BA$3,"="&amp;$DF56+'Model Setup'!$B$7,$B56:$Y56)+'Model Setup'!$B$8*(SUMIF($AD$3:$BA$3,"&lt;"&amp;$DF56,$B56:$Y56)+SUMIF($AD$3:$BA$3,"&gt;="&amp;$DG56,$B56:$Y56)),
IF(AN$3=$DF56+'Model Setup'!$C$7,SUMIF($AD$3:$BA$3,"="&amp;$DF56+'Model Setup'!$C$7,$B56:$Y56)+'Model Setup'!$C$8*(SUMIF($AD$3:$BA$3,"&lt;"&amp;$DF56,$B56:$Y56)+SUMIF($AD$3:$BA$3,"&gt;="&amp;$DG56,$B56:$Y56)),
IF(AN$3=$DF56+'Model Setup'!$D$7,SUMIF($AD$3:$BA$3,"="&amp;$DF56+'Model Setup'!$D$7,$B56:$Y56)+'Model Setup'!$D$8*(SUMIF($AD$3:$BA$3,"&lt;"&amp;$DF56,$B56:$Y56)+SUMIF($AD$3:$BA$3,"&gt;="&amp;$DG56,$B56:$Y56)),
IF(AN$3=$DF56+'Model Setup'!$E$7,SUMIF($AD$3:$BA$3,"="&amp;$DF56+'Model Setup'!$E$7,$B56:$Y56)+'Model Setup'!$E$8*(SUMIF($AD$3:$BA$3,"&lt;"&amp;$DF56,$B56:$Y56)+SUMIF($AD$3:$BA$3,"&gt;="&amp;$DG56,$B56:$Y56)),
IF(AN$3=$DF56+'Model Setup'!$F$7,SUMIF($AD$3:$BA$3,"="&amp;$DF56+'Model Setup'!$F$7,$B56:$Y56)+'Model Setup'!$F$8*(SUMIF($AD$3:$BA$3,"&lt;"&amp;$DF56,$B56:$Y56)+SUMIF($AD$3:$BA$3,"&gt;="&amp;$DG56,$B56:$Y56)),
IF(AN$3=$DF56+'Model Setup'!$G$7,SUMIF($AD$3:$BA$3,"="&amp;$DF56+'Model Setup'!$G$7,$B56:$Y56)+'Model Setup'!$G$8*(SUMIF($AD$3:$BA$3,"&lt;"&amp;$DF56,$B56:$Y56)+SUMIF($AD$3:$BA$3,"&gt;="&amp;$DG56,$B56:$Y56)),
IF(AN$3=$DF56+'Model Setup'!$H$7,SUMIF($AD$3:$BA$3,"="&amp;$DF56+'Model Setup'!$H$7,$B56:$Y56)+'Model Setup'!$H$8*(SUMIF($AD$3:$BA$3,"&lt;"&amp;$DF56,$B56:$Y56)+SUMIF($AD$3:$BA$3,"&gt;="&amp;$DG56,$B56:$Y56)),
IF(AN$3=$DF56+'Model Setup'!$I$7,SUMIF($AD$3:$BA$3,"="&amp;$DF56+'Model Setup'!$I$7,$B56:$Y56)+'Model Setup'!$I$8*(SUMIF($AD$3:$BA$3,"&lt;"&amp;$DF56,$B56:$Y56)+SUMIF($AD$3:$BA$3,"&gt;="&amp;$DG56,$B56:$Y56)),
IF(AN$3=$DF56+'Model Setup'!$J$7,SUMIF($AD$3:$BA$3,"="&amp;$DF56+'Model Setup'!$J$7,$B56:$Y56)+'Model Setup'!$J$8*(SUMIF($AD$3:$BA$3,"&lt;"&amp;$DF56,$B56:$Y56)+SUMIF($AD$3:$BA$3,"&gt;="&amp;$DG56,$B56:$Y56)),
IF(AN$3=$DF56+'Model Setup'!$K$7,SUMIF($AD$3:$BA$3,"="&amp;$DF56+'Model Setup'!$K$7,$B56:$Y56)+'Model Setup'!$K$8*(SUMIF($AD$3:$BA$3,"&lt;"&amp;$DF56,$B56:$Y56)+SUMIF($AD$3:$BA$3,"&gt;="&amp;$DG56,$B56:$Y56)),
IF(AN$3=$DF56+'Model Setup'!$L$7,SUMIF($AD$3:$BA$3,"="&amp;$DF56+'Model Setup'!$L$7,$B56:$Y56)+'Model Setup'!$L$8*(SUMIF($AD$3:$BA$3,"&lt;"&amp;$DF56,$B56:$Y56)+SUMIF($AD$3:$BA$3,"&gt;="&amp;$DG56,$B56:$Y56)),
IF(AN$3=$DF56+'Model Setup'!$M$7,SUMIF($AD$3:$BA$3,"="&amp;$DF56+'Model Setup'!$M$7,$B56:$Y56)+'Model Setup'!$M$8*(SUMIF($AD$3:$BA$3,"&lt;"&amp;$DF56,$B56:$Y56)+SUMIF($AD$3:$BA$3,"&gt;="&amp;$DG56,$B56:$Y56)),
IF(AN$3=$DF56+'Model Setup'!$N$7,SUMIF($AD$3:$BA$3,"="&amp;$DF56+'Model Setup'!$N$7,$B56:$Y56)+'Model Setup'!$N$8*(SUMIF($AD$3:$BA$3,"&lt;"&amp;$DF56,$B56:$Y56)+SUMIF($AD$3:$BA$3,"&gt;="&amp;$DG56,$B56:$Y56)),
IF(AN$3&lt;$DG56,L56,0))))))))))))))),0)</f>
        <v>12</v>
      </c>
      <c r="AO56" s="47">
        <f>ROUND(IF(AO$3&lt;$DF56,0,
IF(AO$3=$DF56+'Model Setup'!$B$7,SUMIF($AD$3:$BA$3,"="&amp;$DF56+'Model Setup'!$B$7,$B56:$Y56)+'Model Setup'!$B$8*(SUMIF($AD$3:$BA$3,"&lt;"&amp;$DF56,$B56:$Y56)+SUMIF($AD$3:$BA$3,"&gt;="&amp;$DG56,$B56:$Y56)),
IF(AO$3=$DF56+'Model Setup'!$C$7,SUMIF($AD$3:$BA$3,"="&amp;$DF56+'Model Setup'!$C$7,$B56:$Y56)+'Model Setup'!$C$8*(SUMIF($AD$3:$BA$3,"&lt;"&amp;$DF56,$B56:$Y56)+SUMIF($AD$3:$BA$3,"&gt;="&amp;$DG56,$B56:$Y56)),
IF(AO$3=$DF56+'Model Setup'!$D$7,SUMIF($AD$3:$BA$3,"="&amp;$DF56+'Model Setup'!$D$7,$B56:$Y56)+'Model Setup'!$D$8*(SUMIF($AD$3:$BA$3,"&lt;"&amp;$DF56,$B56:$Y56)+SUMIF($AD$3:$BA$3,"&gt;="&amp;$DG56,$B56:$Y56)),
IF(AO$3=$DF56+'Model Setup'!$E$7,SUMIF($AD$3:$BA$3,"="&amp;$DF56+'Model Setup'!$E$7,$B56:$Y56)+'Model Setup'!$E$8*(SUMIF($AD$3:$BA$3,"&lt;"&amp;$DF56,$B56:$Y56)+SUMIF($AD$3:$BA$3,"&gt;="&amp;$DG56,$B56:$Y56)),
IF(AO$3=$DF56+'Model Setup'!$F$7,SUMIF($AD$3:$BA$3,"="&amp;$DF56+'Model Setup'!$F$7,$B56:$Y56)+'Model Setup'!$F$8*(SUMIF($AD$3:$BA$3,"&lt;"&amp;$DF56,$B56:$Y56)+SUMIF($AD$3:$BA$3,"&gt;="&amp;$DG56,$B56:$Y56)),
IF(AO$3=$DF56+'Model Setup'!$G$7,SUMIF($AD$3:$BA$3,"="&amp;$DF56+'Model Setup'!$G$7,$B56:$Y56)+'Model Setup'!$G$8*(SUMIF($AD$3:$BA$3,"&lt;"&amp;$DF56,$B56:$Y56)+SUMIF($AD$3:$BA$3,"&gt;="&amp;$DG56,$B56:$Y56)),
IF(AO$3=$DF56+'Model Setup'!$H$7,SUMIF($AD$3:$BA$3,"="&amp;$DF56+'Model Setup'!$H$7,$B56:$Y56)+'Model Setup'!$H$8*(SUMIF($AD$3:$BA$3,"&lt;"&amp;$DF56,$B56:$Y56)+SUMIF($AD$3:$BA$3,"&gt;="&amp;$DG56,$B56:$Y56)),
IF(AO$3=$DF56+'Model Setup'!$I$7,SUMIF($AD$3:$BA$3,"="&amp;$DF56+'Model Setup'!$I$7,$B56:$Y56)+'Model Setup'!$I$8*(SUMIF($AD$3:$BA$3,"&lt;"&amp;$DF56,$B56:$Y56)+SUMIF($AD$3:$BA$3,"&gt;="&amp;$DG56,$B56:$Y56)),
IF(AO$3=$DF56+'Model Setup'!$J$7,SUMIF($AD$3:$BA$3,"="&amp;$DF56+'Model Setup'!$J$7,$B56:$Y56)+'Model Setup'!$J$8*(SUMIF($AD$3:$BA$3,"&lt;"&amp;$DF56,$B56:$Y56)+SUMIF($AD$3:$BA$3,"&gt;="&amp;$DG56,$B56:$Y56)),
IF(AO$3=$DF56+'Model Setup'!$K$7,SUMIF($AD$3:$BA$3,"="&amp;$DF56+'Model Setup'!$K$7,$B56:$Y56)+'Model Setup'!$K$8*(SUMIF($AD$3:$BA$3,"&lt;"&amp;$DF56,$B56:$Y56)+SUMIF($AD$3:$BA$3,"&gt;="&amp;$DG56,$B56:$Y56)),
IF(AO$3=$DF56+'Model Setup'!$L$7,SUMIF($AD$3:$BA$3,"="&amp;$DF56+'Model Setup'!$L$7,$B56:$Y56)+'Model Setup'!$L$8*(SUMIF($AD$3:$BA$3,"&lt;"&amp;$DF56,$B56:$Y56)+SUMIF($AD$3:$BA$3,"&gt;="&amp;$DG56,$B56:$Y56)),
IF(AO$3=$DF56+'Model Setup'!$M$7,SUMIF($AD$3:$BA$3,"="&amp;$DF56+'Model Setup'!$M$7,$B56:$Y56)+'Model Setup'!$M$8*(SUMIF($AD$3:$BA$3,"&lt;"&amp;$DF56,$B56:$Y56)+SUMIF($AD$3:$BA$3,"&gt;="&amp;$DG56,$B56:$Y56)),
IF(AO$3=$DF56+'Model Setup'!$N$7,SUMIF($AD$3:$BA$3,"="&amp;$DF56+'Model Setup'!$N$7,$B56:$Y56)+'Model Setup'!$N$8*(SUMIF($AD$3:$BA$3,"&lt;"&amp;$DF56,$B56:$Y56)+SUMIF($AD$3:$BA$3,"&gt;="&amp;$DG56,$B56:$Y56)),
IF(AO$3&lt;$DG56,M56,0))))))))))))))),0)</f>
        <v>10</v>
      </c>
      <c r="AP56" s="47">
        <f>ROUND(IF(AP$3&lt;$DF56,0,
IF(AP$3=$DF56+'Model Setup'!$B$7,SUMIF($AD$3:$BA$3,"="&amp;$DF56+'Model Setup'!$B$7,$B56:$Y56)+'Model Setup'!$B$8*(SUMIF($AD$3:$BA$3,"&lt;"&amp;$DF56,$B56:$Y56)+SUMIF($AD$3:$BA$3,"&gt;="&amp;$DG56,$B56:$Y56)),
IF(AP$3=$DF56+'Model Setup'!$C$7,SUMIF($AD$3:$BA$3,"="&amp;$DF56+'Model Setup'!$C$7,$B56:$Y56)+'Model Setup'!$C$8*(SUMIF($AD$3:$BA$3,"&lt;"&amp;$DF56,$B56:$Y56)+SUMIF($AD$3:$BA$3,"&gt;="&amp;$DG56,$B56:$Y56)),
IF(AP$3=$DF56+'Model Setup'!$D$7,SUMIF($AD$3:$BA$3,"="&amp;$DF56+'Model Setup'!$D$7,$B56:$Y56)+'Model Setup'!$D$8*(SUMIF($AD$3:$BA$3,"&lt;"&amp;$DF56,$B56:$Y56)+SUMIF($AD$3:$BA$3,"&gt;="&amp;$DG56,$B56:$Y56)),
IF(AP$3=$DF56+'Model Setup'!$E$7,SUMIF($AD$3:$BA$3,"="&amp;$DF56+'Model Setup'!$E$7,$B56:$Y56)+'Model Setup'!$E$8*(SUMIF($AD$3:$BA$3,"&lt;"&amp;$DF56,$B56:$Y56)+SUMIF($AD$3:$BA$3,"&gt;="&amp;$DG56,$B56:$Y56)),
IF(AP$3=$DF56+'Model Setup'!$F$7,SUMIF($AD$3:$BA$3,"="&amp;$DF56+'Model Setup'!$F$7,$B56:$Y56)+'Model Setup'!$F$8*(SUMIF($AD$3:$BA$3,"&lt;"&amp;$DF56,$B56:$Y56)+SUMIF($AD$3:$BA$3,"&gt;="&amp;$DG56,$B56:$Y56)),
IF(AP$3=$DF56+'Model Setup'!$G$7,SUMIF($AD$3:$BA$3,"="&amp;$DF56+'Model Setup'!$G$7,$B56:$Y56)+'Model Setup'!$G$8*(SUMIF($AD$3:$BA$3,"&lt;"&amp;$DF56,$B56:$Y56)+SUMIF($AD$3:$BA$3,"&gt;="&amp;$DG56,$B56:$Y56)),
IF(AP$3=$DF56+'Model Setup'!$H$7,SUMIF($AD$3:$BA$3,"="&amp;$DF56+'Model Setup'!$H$7,$B56:$Y56)+'Model Setup'!$H$8*(SUMIF($AD$3:$BA$3,"&lt;"&amp;$DF56,$B56:$Y56)+SUMIF($AD$3:$BA$3,"&gt;="&amp;$DG56,$B56:$Y56)),
IF(AP$3=$DF56+'Model Setup'!$I$7,SUMIF($AD$3:$BA$3,"="&amp;$DF56+'Model Setup'!$I$7,$B56:$Y56)+'Model Setup'!$I$8*(SUMIF($AD$3:$BA$3,"&lt;"&amp;$DF56,$B56:$Y56)+SUMIF($AD$3:$BA$3,"&gt;="&amp;$DG56,$B56:$Y56)),
IF(AP$3=$DF56+'Model Setup'!$J$7,SUMIF($AD$3:$BA$3,"="&amp;$DF56+'Model Setup'!$J$7,$B56:$Y56)+'Model Setup'!$J$8*(SUMIF($AD$3:$BA$3,"&lt;"&amp;$DF56,$B56:$Y56)+SUMIF($AD$3:$BA$3,"&gt;="&amp;$DG56,$B56:$Y56)),
IF(AP$3=$DF56+'Model Setup'!$K$7,SUMIF($AD$3:$BA$3,"="&amp;$DF56+'Model Setup'!$K$7,$B56:$Y56)+'Model Setup'!$K$8*(SUMIF($AD$3:$BA$3,"&lt;"&amp;$DF56,$B56:$Y56)+SUMIF($AD$3:$BA$3,"&gt;="&amp;$DG56,$B56:$Y56)),
IF(AP$3=$DF56+'Model Setup'!$L$7,SUMIF($AD$3:$BA$3,"="&amp;$DF56+'Model Setup'!$L$7,$B56:$Y56)+'Model Setup'!$L$8*(SUMIF($AD$3:$BA$3,"&lt;"&amp;$DF56,$B56:$Y56)+SUMIF($AD$3:$BA$3,"&gt;="&amp;$DG56,$B56:$Y56)),
IF(AP$3=$DF56+'Model Setup'!$M$7,SUMIF($AD$3:$BA$3,"="&amp;$DF56+'Model Setup'!$M$7,$B56:$Y56)+'Model Setup'!$M$8*(SUMIF($AD$3:$BA$3,"&lt;"&amp;$DF56,$B56:$Y56)+SUMIF($AD$3:$BA$3,"&gt;="&amp;$DG56,$B56:$Y56)),
IF(AP$3=$DF56+'Model Setup'!$N$7,SUMIF($AD$3:$BA$3,"="&amp;$DF56+'Model Setup'!$N$7,$B56:$Y56)+'Model Setup'!$N$8*(SUMIF($AD$3:$BA$3,"&lt;"&amp;$DF56,$B56:$Y56)+SUMIF($AD$3:$BA$3,"&gt;="&amp;$DG56,$B56:$Y56)),
IF(AP$3&lt;$DG56,N56,0))))))))))))))),0)</f>
        <v>11</v>
      </c>
      <c r="AQ56" s="47">
        <f>ROUND(IF(AQ$3&lt;$DF56,0,
IF(AQ$3=$DF56+'Model Setup'!$B$7,SUMIF($AD$3:$BA$3,"="&amp;$DF56+'Model Setup'!$B$7,$B56:$Y56)+'Model Setup'!$B$8*(SUMIF($AD$3:$BA$3,"&lt;"&amp;$DF56,$B56:$Y56)+SUMIF($AD$3:$BA$3,"&gt;="&amp;$DG56,$B56:$Y56)),
IF(AQ$3=$DF56+'Model Setup'!$C$7,SUMIF($AD$3:$BA$3,"="&amp;$DF56+'Model Setup'!$C$7,$B56:$Y56)+'Model Setup'!$C$8*(SUMIF($AD$3:$BA$3,"&lt;"&amp;$DF56,$B56:$Y56)+SUMIF($AD$3:$BA$3,"&gt;="&amp;$DG56,$B56:$Y56)),
IF(AQ$3=$DF56+'Model Setup'!$D$7,SUMIF($AD$3:$BA$3,"="&amp;$DF56+'Model Setup'!$D$7,$B56:$Y56)+'Model Setup'!$D$8*(SUMIF($AD$3:$BA$3,"&lt;"&amp;$DF56,$B56:$Y56)+SUMIF($AD$3:$BA$3,"&gt;="&amp;$DG56,$B56:$Y56)),
IF(AQ$3=$DF56+'Model Setup'!$E$7,SUMIF($AD$3:$BA$3,"="&amp;$DF56+'Model Setup'!$E$7,$B56:$Y56)+'Model Setup'!$E$8*(SUMIF($AD$3:$BA$3,"&lt;"&amp;$DF56,$B56:$Y56)+SUMIF($AD$3:$BA$3,"&gt;="&amp;$DG56,$B56:$Y56)),
IF(AQ$3=$DF56+'Model Setup'!$F$7,SUMIF($AD$3:$BA$3,"="&amp;$DF56+'Model Setup'!$F$7,$B56:$Y56)+'Model Setup'!$F$8*(SUMIF($AD$3:$BA$3,"&lt;"&amp;$DF56,$B56:$Y56)+SUMIF($AD$3:$BA$3,"&gt;="&amp;$DG56,$B56:$Y56)),
IF(AQ$3=$DF56+'Model Setup'!$G$7,SUMIF($AD$3:$BA$3,"="&amp;$DF56+'Model Setup'!$G$7,$B56:$Y56)+'Model Setup'!$G$8*(SUMIF($AD$3:$BA$3,"&lt;"&amp;$DF56,$B56:$Y56)+SUMIF($AD$3:$BA$3,"&gt;="&amp;$DG56,$B56:$Y56)),
IF(AQ$3=$DF56+'Model Setup'!$H$7,SUMIF($AD$3:$BA$3,"="&amp;$DF56+'Model Setup'!$H$7,$B56:$Y56)+'Model Setup'!$H$8*(SUMIF($AD$3:$BA$3,"&lt;"&amp;$DF56,$B56:$Y56)+SUMIF($AD$3:$BA$3,"&gt;="&amp;$DG56,$B56:$Y56)),
IF(AQ$3=$DF56+'Model Setup'!$I$7,SUMIF($AD$3:$BA$3,"="&amp;$DF56+'Model Setup'!$I$7,$B56:$Y56)+'Model Setup'!$I$8*(SUMIF($AD$3:$BA$3,"&lt;"&amp;$DF56,$B56:$Y56)+SUMIF($AD$3:$BA$3,"&gt;="&amp;$DG56,$B56:$Y56)),
IF(AQ$3=$DF56+'Model Setup'!$J$7,SUMIF($AD$3:$BA$3,"="&amp;$DF56+'Model Setup'!$J$7,$B56:$Y56)+'Model Setup'!$J$8*(SUMIF($AD$3:$BA$3,"&lt;"&amp;$DF56,$B56:$Y56)+SUMIF($AD$3:$BA$3,"&gt;="&amp;$DG56,$B56:$Y56)),
IF(AQ$3=$DF56+'Model Setup'!$K$7,SUMIF($AD$3:$BA$3,"="&amp;$DF56+'Model Setup'!$K$7,$B56:$Y56)+'Model Setup'!$K$8*(SUMIF($AD$3:$BA$3,"&lt;"&amp;$DF56,$B56:$Y56)+SUMIF($AD$3:$BA$3,"&gt;="&amp;$DG56,$B56:$Y56)),
IF(AQ$3=$DF56+'Model Setup'!$L$7,SUMIF($AD$3:$BA$3,"="&amp;$DF56+'Model Setup'!$L$7,$B56:$Y56)+'Model Setup'!$L$8*(SUMIF($AD$3:$BA$3,"&lt;"&amp;$DF56,$B56:$Y56)+SUMIF($AD$3:$BA$3,"&gt;="&amp;$DG56,$B56:$Y56)),
IF(AQ$3=$DF56+'Model Setup'!$M$7,SUMIF($AD$3:$BA$3,"="&amp;$DF56+'Model Setup'!$M$7,$B56:$Y56)+'Model Setup'!$M$8*(SUMIF($AD$3:$BA$3,"&lt;"&amp;$DF56,$B56:$Y56)+SUMIF($AD$3:$BA$3,"&gt;="&amp;$DG56,$B56:$Y56)),
IF(AQ$3=$DF56+'Model Setup'!$N$7,SUMIF($AD$3:$BA$3,"="&amp;$DF56+'Model Setup'!$N$7,$B56:$Y56)+'Model Setup'!$N$8*(SUMIF($AD$3:$BA$3,"&lt;"&amp;$DF56,$B56:$Y56)+SUMIF($AD$3:$BA$3,"&gt;="&amp;$DG56,$B56:$Y56)),
IF(AQ$3&lt;$DG56,O56,0))))))))))))))),0)</f>
        <v>9</v>
      </c>
      <c r="AR56" s="47">
        <f>ROUND(IF(AR$3&lt;$DF56,0,
IF(AR$3=$DF56+'Model Setup'!$B$7,SUMIF($AD$3:$BA$3,"="&amp;$DF56+'Model Setup'!$B$7,$B56:$Y56)+'Model Setup'!$B$8*(SUMIF($AD$3:$BA$3,"&lt;"&amp;$DF56,$B56:$Y56)+SUMIF($AD$3:$BA$3,"&gt;="&amp;$DG56,$B56:$Y56)),
IF(AR$3=$DF56+'Model Setup'!$C$7,SUMIF($AD$3:$BA$3,"="&amp;$DF56+'Model Setup'!$C$7,$B56:$Y56)+'Model Setup'!$C$8*(SUMIF($AD$3:$BA$3,"&lt;"&amp;$DF56,$B56:$Y56)+SUMIF($AD$3:$BA$3,"&gt;="&amp;$DG56,$B56:$Y56)),
IF(AR$3=$DF56+'Model Setup'!$D$7,SUMIF($AD$3:$BA$3,"="&amp;$DF56+'Model Setup'!$D$7,$B56:$Y56)+'Model Setup'!$D$8*(SUMIF($AD$3:$BA$3,"&lt;"&amp;$DF56,$B56:$Y56)+SUMIF($AD$3:$BA$3,"&gt;="&amp;$DG56,$B56:$Y56)),
IF(AR$3=$DF56+'Model Setup'!$E$7,SUMIF($AD$3:$BA$3,"="&amp;$DF56+'Model Setup'!$E$7,$B56:$Y56)+'Model Setup'!$E$8*(SUMIF($AD$3:$BA$3,"&lt;"&amp;$DF56,$B56:$Y56)+SUMIF($AD$3:$BA$3,"&gt;="&amp;$DG56,$B56:$Y56)),
IF(AR$3=$DF56+'Model Setup'!$F$7,SUMIF($AD$3:$BA$3,"="&amp;$DF56+'Model Setup'!$F$7,$B56:$Y56)+'Model Setup'!$F$8*(SUMIF($AD$3:$BA$3,"&lt;"&amp;$DF56,$B56:$Y56)+SUMIF($AD$3:$BA$3,"&gt;="&amp;$DG56,$B56:$Y56)),
IF(AR$3=$DF56+'Model Setup'!$G$7,SUMIF($AD$3:$BA$3,"="&amp;$DF56+'Model Setup'!$G$7,$B56:$Y56)+'Model Setup'!$G$8*(SUMIF($AD$3:$BA$3,"&lt;"&amp;$DF56,$B56:$Y56)+SUMIF($AD$3:$BA$3,"&gt;="&amp;$DG56,$B56:$Y56)),
IF(AR$3=$DF56+'Model Setup'!$H$7,SUMIF($AD$3:$BA$3,"="&amp;$DF56+'Model Setup'!$H$7,$B56:$Y56)+'Model Setup'!$H$8*(SUMIF($AD$3:$BA$3,"&lt;"&amp;$DF56,$B56:$Y56)+SUMIF($AD$3:$BA$3,"&gt;="&amp;$DG56,$B56:$Y56)),
IF(AR$3=$DF56+'Model Setup'!$I$7,SUMIF($AD$3:$BA$3,"="&amp;$DF56+'Model Setup'!$I$7,$B56:$Y56)+'Model Setup'!$I$8*(SUMIF($AD$3:$BA$3,"&lt;"&amp;$DF56,$B56:$Y56)+SUMIF($AD$3:$BA$3,"&gt;="&amp;$DG56,$B56:$Y56)),
IF(AR$3=$DF56+'Model Setup'!$J$7,SUMIF($AD$3:$BA$3,"="&amp;$DF56+'Model Setup'!$J$7,$B56:$Y56)+'Model Setup'!$J$8*(SUMIF($AD$3:$BA$3,"&lt;"&amp;$DF56,$B56:$Y56)+SUMIF($AD$3:$BA$3,"&gt;="&amp;$DG56,$B56:$Y56)),
IF(AR$3=$DF56+'Model Setup'!$K$7,SUMIF($AD$3:$BA$3,"="&amp;$DF56+'Model Setup'!$K$7,$B56:$Y56)+'Model Setup'!$K$8*(SUMIF($AD$3:$BA$3,"&lt;"&amp;$DF56,$B56:$Y56)+SUMIF($AD$3:$BA$3,"&gt;="&amp;$DG56,$B56:$Y56)),
IF(AR$3=$DF56+'Model Setup'!$L$7,SUMIF($AD$3:$BA$3,"="&amp;$DF56+'Model Setup'!$L$7,$B56:$Y56)+'Model Setup'!$L$8*(SUMIF($AD$3:$BA$3,"&lt;"&amp;$DF56,$B56:$Y56)+SUMIF($AD$3:$BA$3,"&gt;="&amp;$DG56,$B56:$Y56)),
IF(AR$3=$DF56+'Model Setup'!$M$7,SUMIF($AD$3:$BA$3,"="&amp;$DF56+'Model Setup'!$M$7,$B56:$Y56)+'Model Setup'!$M$8*(SUMIF($AD$3:$BA$3,"&lt;"&amp;$DF56,$B56:$Y56)+SUMIF($AD$3:$BA$3,"&gt;="&amp;$DG56,$B56:$Y56)),
IF(AR$3=$DF56+'Model Setup'!$N$7,SUMIF($AD$3:$BA$3,"="&amp;$DF56+'Model Setup'!$N$7,$B56:$Y56)+'Model Setup'!$N$8*(SUMIF($AD$3:$BA$3,"&lt;"&amp;$DF56,$B56:$Y56)+SUMIF($AD$3:$BA$3,"&gt;="&amp;$DG56,$B56:$Y56)),
IF(AR$3&lt;$DG56,P56,0))))))))))))))),0)</f>
        <v>5</v>
      </c>
      <c r="AS56" s="47">
        <f>ROUND(IF(AS$3&lt;$DF56,0,
IF(AS$3=$DF56+'Model Setup'!$B$7,SUMIF($AD$3:$BA$3,"="&amp;$DF56+'Model Setup'!$B$7,$B56:$Y56)+'Model Setup'!$B$8*(SUMIF($AD$3:$BA$3,"&lt;"&amp;$DF56,$B56:$Y56)+SUMIF($AD$3:$BA$3,"&gt;="&amp;$DG56,$B56:$Y56)),
IF(AS$3=$DF56+'Model Setup'!$C$7,SUMIF($AD$3:$BA$3,"="&amp;$DF56+'Model Setup'!$C$7,$B56:$Y56)+'Model Setup'!$C$8*(SUMIF($AD$3:$BA$3,"&lt;"&amp;$DF56,$B56:$Y56)+SUMIF($AD$3:$BA$3,"&gt;="&amp;$DG56,$B56:$Y56)),
IF(AS$3=$DF56+'Model Setup'!$D$7,SUMIF($AD$3:$BA$3,"="&amp;$DF56+'Model Setup'!$D$7,$B56:$Y56)+'Model Setup'!$D$8*(SUMIF($AD$3:$BA$3,"&lt;"&amp;$DF56,$B56:$Y56)+SUMIF($AD$3:$BA$3,"&gt;="&amp;$DG56,$B56:$Y56)),
IF(AS$3=$DF56+'Model Setup'!$E$7,SUMIF($AD$3:$BA$3,"="&amp;$DF56+'Model Setup'!$E$7,$B56:$Y56)+'Model Setup'!$E$8*(SUMIF($AD$3:$BA$3,"&lt;"&amp;$DF56,$B56:$Y56)+SUMIF($AD$3:$BA$3,"&gt;="&amp;$DG56,$B56:$Y56)),
IF(AS$3=$DF56+'Model Setup'!$F$7,SUMIF($AD$3:$BA$3,"="&amp;$DF56+'Model Setup'!$F$7,$B56:$Y56)+'Model Setup'!$F$8*(SUMIF($AD$3:$BA$3,"&lt;"&amp;$DF56,$B56:$Y56)+SUMIF($AD$3:$BA$3,"&gt;="&amp;$DG56,$B56:$Y56)),
IF(AS$3=$DF56+'Model Setup'!$G$7,SUMIF($AD$3:$BA$3,"="&amp;$DF56+'Model Setup'!$G$7,$B56:$Y56)+'Model Setup'!$G$8*(SUMIF($AD$3:$BA$3,"&lt;"&amp;$DF56,$B56:$Y56)+SUMIF($AD$3:$BA$3,"&gt;="&amp;$DG56,$B56:$Y56)),
IF(AS$3=$DF56+'Model Setup'!$H$7,SUMIF($AD$3:$BA$3,"="&amp;$DF56+'Model Setup'!$H$7,$B56:$Y56)+'Model Setup'!$H$8*(SUMIF($AD$3:$BA$3,"&lt;"&amp;$DF56,$B56:$Y56)+SUMIF($AD$3:$BA$3,"&gt;="&amp;$DG56,$B56:$Y56)),
IF(AS$3=$DF56+'Model Setup'!$I$7,SUMIF($AD$3:$BA$3,"="&amp;$DF56+'Model Setup'!$I$7,$B56:$Y56)+'Model Setup'!$I$8*(SUMIF($AD$3:$BA$3,"&lt;"&amp;$DF56,$B56:$Y56)+SUMIF($AD$3:$BA$3,"&gt;="&amp;$DG56,$B56:$Y56)),
IF(AS$3=$DF56+'Model Setup'!$J$7,SUMIF($AD$3:$BA$3,"="&amp;$DF56+'Model Setup'!$J$7,$B56:$Y56)+'Model Setup'!$J$8*(SUMIF($AD$3:$BA$3,"&lt;"&amp;$DF56,$B56:$Y56)+SUMIF($AD$3:$BA$3,"&gt;="&amp;$DG56,$B56:$Y56)),
IF(AS$3=$DF56+'Model Setup'!$K$7,SUMIF($AD$3:$BA$3,"="&amp;$DF56+'Model Setup'!$K$7,$B56:$Y56)+'Model Setup'!$K$8*(SUMIF($AD$3:$BA$3,"&lt;"&amp;$DF56,$B56:$Y56)+SUMIF($AD$3:$BA$3,"&gt;="&amp;$DG56,$B56:$Y56)),
IF(AS$3=$DF56+'Model Setup'!$L$7,SUMIF($AD$3:$BA$3,"="&amp;$DF56+'Model Setup'!$L$7,$B56:$Y56)+'Model Setup'!$L$8*(SUMIF($AD$3:$BA$3,"&lt;"&amp;$DF56,$B56:$Y56)+SUMIF($AD$3:$BA$3,"&gt;="&amp;$DG56,$B56:$Y56)),
IF(AS$3=$DF56+'Model Setup'!$M$7,SUMIF($AD$3:$BA$3,"="&amp;$DF56+'Model Setup'!$M$7,$B56:$Y56)+'Model Setup'!$M$8*(SUMIF($AD$3:$BA$3,"&lt;"&amp;$DF56,$B56:$Y56)+SUMIF($AD$3:$BA$3,"&gt;="&amp;$DG56,$B56:$Y56)),
IF(AS$3=$DF56+'Model Setup'!$N$7,SUMIF($AD$3:$BA$3,"="&amp;$DF56+'Model Setup'!$N$7,$B56:$Y56)+'Model Setup'!$N$8*(SUMIF($AD$3:$BA$3,"&lt;"&amp;$DF56,$B56:$Y56)+SUMIF($AD$3:$BA$3,"&gt;="&amp;$DG56,$B56:$Y56)),
IF(AS$3&lt;$DG56,Q56,0))))))))))))))),0)</f>
        <v>2</v>
      </c>
      <c r="AT56" s="47">
        <f>ROUND(IF(AT$3&lt;$DF56,0,
IF(AT$3=$DF56+'Model Setup'!$B$7,SUMIF($AD$3:$BA$3,"="&amp;$DF56+'Model Setup'!$B$7,$B56:$Y56)+'Model Setup'!$B$8*(SUMIF($AD$3:$BA$3,"&lt;"&amp;$DF56,$B56:$Y56)+SUMIF($AD$3:$BA$3,"&gt;="&amp;$DG56,$B56:$Y56)),
IF(AT$3=$DF56+'Model Setup'!$C$7,SUMIF($AD$3:$BA$3,"="&amp;$DF56+'Model Setup'!$C$7,$B56:$Y56)+'Model Setup'!$C$8*(SUMIF($AD$3:$BA$3,"&lt;"&amp;$DF56,$B56:$Y56)+SUMIF($AD$3:$BA$3,"&gt;="&amp;$DG56,$B56:$Y56)),
IF(AT$3=$DF56+'Model Setup'!$D$7,SUMIF($AD$3:$BA$3,"="&amp;$DF56+'Model Setup'!$D$7,$B56:$Y56)+'Model Setup'!$D$8*(SUMIF($AD$3:$BA$3,"&lt;"&amp;$DF56,$B56:$Y56)+SUMIF($AD$3:$BA$3,"&gt;="&amp;$DG56,$B56:$Y56)),
IF(AT$3=$DF56+'Model Setup'!$E$7,SUMIF($AD$3:$BA$3,"="&amp;$DF56+'Model Setup'!$E$7,$B56:$Y56)+'Model Setup'!$E$8*(SUMIF($AD$3:$BA$3,"&lt;"&amp;$DF56,$B56:$Y56)+SUMIF($AD$3:$BA$3,"&gt;="&amp;$DG56,$B56:$Y56)),
IF(AT$3=$DF56+'Model Setup'!$F$7,SUMIF($AD$3:$BA$3,"="&amp;$DF56+'Model Setup'!$F$7,$B56:$Y56)+'Model Setup'!$F$8*(SUMIF($AD$3:$BA$3,"&lt;"&amp;$DF56,$B56:$Y56)+SUMIF($AD$3:$BA$3,"&gt;="&amp;$DG56,$B56:$Y56)),
IF(AT$3=$DF56+'Model Setup'!$G$7,SUMIF($AD$3:$BA$3,"="&amp;$DF56+'Model Setup'!$G$7,$B56:$Y56)+'Model Setup'!$G$8*(SUMIF($AD$3:$BA$3,"&lt;"&amp;$DF56,$B56:$Y56)+SUMIF($AD$3:$BA$3,"&gt;="&amp;$DG56,$B56:$Y56)),
IF(AT$3=$DF56+'Model Setup'!$H$7,SUMIF($AD$3:$BA$3,"="&amp;$DF56+'Model Setup'!$H$7,$B56:$Y56)+'Model Setup'!$H$8*(SUMIF($AD$3:$BA$3,"&lt;"&amp;$DF56,$B56:$Y56)+SUMIF($AD$3:$BA$3,"&gt;="&amp;$DG56,$B56:$Y56)),
IF(AT$3=$DF56+'Model Setup'!$I$7,SUMIF($AD$3:$BA$3,"="&amp;$DF56+'Model Setup'!$I$7,$B56:$Y56)+'Model Setup'!$I$8*(SUMIF($AD$3:$BA$3,"&lt;"&amp;$DF56,$B56:$Y56)+SUMIF($AD$3:$BA$3,"&gt;="&amp;$DG56,$B56:$Y56)),
IF(AT$3=$DF56+'Model Setup'!$J$7,SUMIF($AD$3:$BA$3,"="&amp;$DF56+'Model Setup'!$J$7,$B56:$Y56)+'Model Setup'!$J$8*(SUMIF($AD$3:$BA$3,"&lt;"&amp;$DF56,$B56:$Y56)+SUMIF($AD$3:$BA$3,"&gt;="&amp;$DG56,$B56:$Y56)),
IF(AT$3=$DF56+'Model Setup'!$K$7,SUMIF($AD$3:$BA$3,"="&amp;$DF56+'Model Setup'!$K$7,$B56:$Y56)+'Model Setup'!$K$8*(SUMIF($AD$3:$BA$3,"&lt;"&amp;$DF56,$B56:$Y56)+SUMIF($AD$3:$BA$3,"&gt;="&amp;$DG56,$B56:$Y56)),
IF(AT$3=$DF56+'Model Setup'!$L$7,SUMIF($AD$3:$BA$3,"="&amp;$DF56+'Model Setup'!$L$7,$B56:$Y56)+'Model Setup'!$L$8*(SUMIF($AD$3:$BA$3,"&lt;"&amp;$DF56,$B56:$Y56)+SUMIF($AD$3:$BA$3,"&gt;="&amp;$DG56,$B56:$Y56)),
IF(AT$3=$DF56+'Model Setup'!$M$7,SUMIF($AD$3:$BA$3,"="&amp;$DF56+'Model Setup'!$M$7,$B56:$Y56)+'Model Setup'!$M$8*(SUMIF($AD$3:$BA$3,"&lt;"&amp;$DF56,$B56:$Y56)+SUMIF($AD$3:$BA$3,"&gt;="&amp;$DG56,$B56:$Y56)),
IF(AT$3=$DF56+'Model Setup'!$N$7,SUMIF($AD$3:$BA$3,"="&amp;$DF56+'Model Setup'!$N$7,$B56:$Y56)+'Model Setup'!$N$8*(SUMIF($AD$3:$BA$3,"&lt;"&amp;$DF56,$B56:$Y56)+SUMIF($AD$3:$BA$3,"&gt;="&amp;$DG56,$B56:$Y56)),
IF(AT$3&lt;$DG56,R56,0))))))))))))))),0)</f>
        <v>6</v>
      </c>
      <c r="AU56" s="47">
        <f>ROUND(IF(AU$3&lt;$DF56,0,
IF(AU$3=$DF56+'Model Setup'!$B$7,SUMIF($AD$3:$BA$3,"="&amp;$DF56+'Model Setup'!$B$7,$B56:$Y56)+'Model Setup'!$B$8*(SUMIF($AD$3:$BA$3,"&lt;"&amp;$DF56,$B56:$Y56)+SUMIF($AD$3:$BA$3,"&gt;="&amp;$DG56,$B56:$Y56)),
IF(AU$3=$DF56+'Model Setup'!$C$7,SUMIF($AD$3:$BA$3,"="&amp;$DF56+'Model Setup'!$C$7,$B56:$Y56)+'Model Setup'!$C$8*(SUMIF($AD$3:$BA$3,"&lt;"&amp;$DF56,$B56:$Y56)+SUMIF($AD$3:$BA$3,"&gt;="&amp;$DG56,$B56:$Y56)),
IF(AU$3=$DF56+'Model Setup'!$D$7,SUMIF($AD$3:$BA$3,"="&amp;$DF56+'Model Setup'!$D$7,$B56:$Y56)+'Model Setup'!$D$8*(SUMIF($AD$3:$BA$3,"&lt;"&amp;$DF56,$B56:$Y56)+SUMIF($AD$3:$BA$3,"&gt;="&amp;$DG56,$B56:$Y56)),
IF(AU$3=$DF56+'Model Setup'!$E$7,SUMIF($AD$3:$BA$3,"="&amp;$DF56+'Model Setup'!$E$7,$B56:$Y56)+'Model Setup'!$E$8*(SUMIF($AD$3:$BA$3,"&lt;"&amp;$DF56,$B56:$Y56)+SUMIF($AD$3:$BA$3,"&gt;="&amp;$DG56,$B56:$Y56)),
IF(AU$3=$DF56+'Model Setup'!$F$7,SUMIF($AD$3:$BA$3,"="&amp;$DF56+'Model Setup'!$F$7,$B56:$Y56)+'Model Setup'!$F$8*(SUMIF($AD$3:$BA$3,"&lt;"&amp;$DF56,$B56:$Y56)+SUMIF($AD$3:$BA$3,"&gt;="&amp;$DG56,$B56:$Y56)),
IF(AU$3=$DF56+'Model Setup'!$G$7,SUMIF($AD$3:$BA$3,"="&amp;$DF56+'Model Setup'!$G$7,$B56:$Y56)+'Model Setup'!$G$8*(SUMIF($AD$3:$BA$3,"&lt;"&amp;$DF56,$B56:$Y56)+SUMIF($AD$3:$BA$3,"&gt;="&amp;$DG56,$B56:$Y56)),
IF(AU$3=$DF56+'Model Setup'!$H$7,SUMIF($AD$3:$BA$3,"="&amp;$DF56+'Model Setup'!$H$7,$B56:$Y56)+'Model Setup'!$H$8*(SUMIF($AD$3:$BA$3,"&lt;"&amp;$DF56,$B56:$Y56)+SUMIF($AD$3:$BA$3,"&gt;="&amp;$DG56,$B56:$Y56)),
IF(AU$3=$DF56+'Model Setup'!$I$7,SUMIF($AD$3:$BA$3,"="&amp;$DF56+'Model Setup'!$I$7,$B56:$Y56)+'Model Setup'!$I$8*(SUMIF($AD$3:$BA$3,"&lt;"&amp;$DF56,$B56:$Y56)+SUMIF($AD$3:$BA$3,"&gt;="&amp;$DG56,$B56:$Y56)),
IF(AU$3=$DF56+'Model Setup'!$J$7,SUMIF($AD$3:$BA$3,"="&amp;$DF56+'Model Setup'!$J$7,$B56:$Y56)+'Model Setup'!$J$8*(SUMIF($AD$3:$BA$3,"&lt;"&amp;$DF56,$B56:$Y56)+SUMIF($AD$3:$BA$3,"&gt;="&amp;$DG56,$B56:$Y56)),
IF(AU$3=$DF56+'Model Setup'!$K$7,SUMIF($AD$3:$BA$3,"="&amp;$DF56+'Model Setup'!$K$7,$B56:$Y56)+'Model Setup'!$K$8*(SUMIF($AD$3:$BA$3,"&lt;"&amp;$DF56,$B56:$Y56)+SUMIF($AD$3:$BA$3,"&gt;="&amp;$DG56,$B56:$Y56)),
IF(AU$3=$DF56+'Model Setup'!$L$7,SUMIF($AD$3:$BA$3,"="&amp;$DF56+'Model Setup'!$L$7,$B56:$Y56)+'Model Setup'!$L$8*(SUMIF($AD$3:$BA$3,"&lt;"&amp;$DF56,$B56:$Y56)+SUMIF($AD$3:$BA$3,"&gt;="&amp;$DG56,$B56:$Y56)),
IF(AU$3=$DF56+'Model Setup'!$M$7,SUMIF($AD$3:$BA$3,"="&amp;$DF56+'Model Setup'!$M$7,$B56:$Y56)+'Model Setup'!$M$8*(SUMIF($AD$3:$BA$3,"&lt;"&amp;$DF56,$B56:$Y56)+SUMIF($AD$3:$BA$3,"&gt;="&amp;$DG56,$B56:$Y56)),
IF(AU$3=$DF56+'Model Setup'!$N$7,SUMIF($AD$3:$BA$3,"="&amp;$DF56+'Model Setup'!$N$7,$B56:$Y56)+'Model Setup'!$N$8*(SUMIF($AD$3:$BA$3,"&lt;"&amp;$DF56,$B56:$Y56)+SUMIF($AD$3:$BA$3,"&gt;="&amp;$DG56,$B56:$Y56)),
IF(AU$3&lt;$DG56,S56,0))))))))))))))),0)</f>
        <v>6</v>
      </c>
      <c r="AV56" s="47">
        <f>ROUND(IF(AV$3&lt;$DF56,0,
IF(AV$3=$DF56+'Model Setup'!$B$7,SUMIF($AD$3:$BA$3,"="&amp;$DF56+'Model Setup'!$B$7,$B56:$Y56)+'Model Setup'!$B$8*(SUMIF($AD$3:$BA$3,"&lt;"&amp;$DF56,$B56:$Y56)+SUMIF($AD$3:$BA$3,"&gt;="&amp;$DG56,$B56:$Y56)),
IF(AV$3=$DF56+'Model Setup'!$C$7,SUMIF($AD$3:$BA$3,"="&amp;$DF56+'Model Setup'!$C$7,$B56:$Y56)+'Model Setup'!$C$8*(SUMIF($AD$3:$BA$3,"&lt;"&amp;$DF56,$B56:$Y56)+SUMIF($AD$3:$BA$3,"&gt;="&amp;$DG56,$B56:$Y56)),
IF(AV$3=$DF56+'Model Setup'!$D$7,SUMIF($AD$3:$BA$3,"="&amp;$DF56+'Model Setup'!$D$7,$B56:$Y56)+'Model Setup'!$D$8*(SUMIF($AD$3:$BA$3,"&lt;"&amp;$DF56,$B56:$Y56)+SUMIF($AD$3:$BA$3,"&gt;="&amp;$DG56,$B56:$Y56)),
IF(AV$3=$DF56+'Model Setup'!$E$7,SUMIF($AD$3:$BA$3,"="&amp;$DF56+'Model Setup'!$E$7,$B56:$Y56)+'Model Setup'!$E$8*(SUMIF($AD$3:$BA$3,"&lt;"&amp;$DF56,$B56:$Y56)+SUMIF($AD$3:$BA$3,"&gt;="&amp;$DG56,$B56:$Y56)),
IF(AV$3=$DF56+'Model Setup'!$F$7,SUMIF($AD$3:$BA$3,"="&amp;$DF56+'Model Setup'!$F$7,$B56:$Y56)+'Model Setup'!$F$8*(SUMIF($AD$3:$BA$3,"&lt;"&amp;$DF56,$B56:$Y56)+SUMIF($AD$3:$BA$3,"&gt;="&amp;$DG56,$B56:$Y56)),
IF(AV$3=$DF56+'Model Setup'!$G$7,SUMIF($AD$3:$BA$3,"="&amp;$DF56+'Model Setup'!$G$7,$B56:$Y56)+'Model Setup'!$G$8*(SUMIF($AD$3:$BA$3,"&lt;"&amp;$DF56,$B56:$Y56)+SUMIF($AD$3:$BA$3,"&gt;="&amp;$DG56,$B56:$Y56)),
IF(AV$3=$DF56+'Model Setup'!$H$7,SUMIF($AD$3:$BA$3,"="&amp;$DF56+'Model Setup'!$H$7,$B56:$Y56)+'Model Setup'!$H$8*(SUMIF($AD$3:$BA$3,"&lt;"&amp;$DF56,$B56:$Y56)+SUMIF($AD$3:$BA$3,"&gt;="&amp;$DG56,$B56:$Y56)),
IF(AV$3=$DF56+'Model Setup'!$I$7,SUMIF($AD$3:$BA$3,"="&amp;$DF56+'Model Setup'!$I$7,$B56:$Y56)+'Model Setup'!$I$8*(SUMIF($AD$3:$BA$3,"&lt;"&amp;$DF56,$B56:$Y56)+SUMIF($AD$3:$BA$3,"&gt;="&amp;$DG56,$B56:$Y56)),
IF(AV$3=$DF56+'Model Setup'!$J$7,SUMIF($AD$3:$BA$3,"="&amp;$DF56+'Model Setup'!$J$7,$B56:$Y56)+'Model Setup'!$J$8*(SUMIF($AD$3:$BA$3,"&lt;"&amp;$DF56,$B56:$Y56)+SUMIF($AD$3:$BA$3,"&gt;="&amp;$DG56,$B56:$Y56)),
IF(AV$3=$DF56+'Model Setup'!$K$7,SUMIF($AD$3:$BA$3,"="&amp;$DF56+'Model Setup'!$K$7,$B56:$Y56)+'Model Setup'!$K$8*(SUMIF($AD$3:$BA$3,"&lt;"&amp;$DF56,$B56:$Y56)+SUMIF($AD$3:$BA$3,"&gt;="&amp;$DG56,$B56:$Y56)),
IF(AV$3=$DF56+'Model Setup'!$L$7,SUMIF($AD$3:$BA$3,"="&amp;$DF56+'Model Setup'!$L$7,$B56:$Y56)+'Model Setup'!$L$8*(SUMIF($AD$3:$BA$3,"&lt;"&amp;$DF56,$B56:$Y56)+SUMIF($AD$3:$BA$3,"&gt;="&amp;$DG56,$B56:$Y56)),
IF(AV$3=$DF56+'Model Setup'!$M$7,SUMIF($AD$3:$BA$3,"="&amp;$DF56+'Model Setup'!$M$7,$B56:$Y56)+'Model Setup'!$M$8*(SUMIF($AD$3:$BA$3,"&lt;"&amp;$DF56,$B56:$Y56)+SUMIF($AD$3:$BA$3,"&gt;="&amp;$DG56,$B56:$Y56)),
IF(AV$3=$DF56+'Model Setup'!$N$7,SUMIF($AD$3:$BA$3,"="&amp;$DF56+'Model Setup'!$N$7,$B56:$Y56)+'Model Setup'!$N$8*(SUMIF($AD$3:$BA$3,"&lt;"&amp;$DF56,$B56:$Y56)+SUMIF($AD$3:$BA$3,"&gt;="&amp;$DG56,$B56:$Y56)),
IF(AV$3&lt;$DG56,T56,0))))))))))))))),0)</f>
        <v>10</v>
      </c>
      <c r="AW56" s="47">
        <f>ROUND(IF(AW$3&lt;$DF56,0,
IF(AW$3=$DF56+'Model Setup'!$B$7,SUMIF($AD$3:$BA$3,"="&amp;$DF56+'Model Setup'!$B$7,$B56:$Y56)+'Model Setup'!$B$8*(SUMIF($AD$3:$BA$3,"&lt;"&amp;$DF56,$B56:$Y56)+SUMIF($AD$3:$BA$3,"&gt;="&amp;$DG56,$B56:$Y56)),
IF(AW$3=$DF56+'Model Setup'!$C$7,SUMIF($AD$3:$BA$3,"="&amp;$DF56+'Model Setup'!$C$7,$B56:$Y56)+'Model Setup'!$C$8*(SUMIF($AD$3:$BA$3,"&lt;"&amp;$DF56,$B56:$Y56)+SUMIF($AD$3:$BA$3,"&gt;="&amp;$DG56,$B56:$Y56)),
IF(AW$3=$DF56+'Model Setup'!$D$7,SUMIF($AD$3:$BA$3,"="&amp;$DF56+'Model Setup'!$D$7,$B56:$Y56)+'Model Setup'!$D$8*(SUMIF($AD$3:$BA$3,"&lt;"&amp;$DF56,$B56:$Y56)+SUMIF($AD$3:$BA$3,"&gt;="&amp;$DG56,$B56:$Y56)),
IF(AW$3=$DF56+'Model Setup'!$E$7,SUMIF($AD$3:$BA$3,"="&amp;$DF56+'Model Setup'!$E$7,$B56:$Y56)+'Model Setup'!$E$8*(SUMIF($AD$3:$BA$3,"&lt;"&amp;$DF56,$B56:$Y56)+SUMIF($AD$3:$BA$3,"&gt;="&amp;$DG56,$B56:$Y56)),
IF(AW$3=$DF56+'Model Setup'!$F$7,SUMIF($AD$3:$BA$3,"="&amp;$DF56+'Model Setup'!$F$7,$B56:$Y56)+'Model Setup'!$F$8*(SUMIF($AD$3:$BA$3,"&lt;"&amp;$DF56,$B56:$Y56)+SUMIF($AD$3:$BA$3,"&gt;="&amp;$DG56,$B56:$Y56)),
IF(AW$3=$DF56+'Model Setup'!$G$7,SUMIF($AD$3:$BA$3,"="&amp;$DF56+'Model Setup'!$G$7,$B56:$Y56)+'Model Setup'!$G$8*(SUMIF($AD$3:$BA$3,"&lt;"&amp;$DF56,$B56:$Y56)+SUMIF($AD$3:$BA$3,"&gt;="&amp;$DG56,$B56:$Y56)),
IF(AW$3=$DF56+'Model Setup'!$H$7,SUMIF($AD$3:$BA$3,"="&amp;$DF56+'Model Setup'!$H$7,$B56:$Y56)+'Model Setup'!$H$8*(SUMIF($AD$3:$BA$3,"&lt;"&amp;$DF56,$B56:$Y56)+SUMIF($AD$3:$BA$3,"&gt;="&amp;$DG56,$B56:$Y56)),
IF(AW$3=$DF56+'Model Setup'!$I$7,SUMIF($AD$3:$BA$3,"="&amp;$DF56+'Model Setup'!$I$7,$B56:$Y56)+'Model Setup'!$I$8*(SUMIF($AD$3:$BA$3,"&lt;"&amp;$DF56,$B56:$Y56)+SUMIF($AD$3:$BA$3,"&gt;="&amp;$DG56,$B56:$Y56)),
IF(AW$3=$DF56+'Model Setup'!$J$7,SUMIF($AD$3:$BA$3,"="&amp;$DF56+'Model Setup'!$J$7,$B56:$Y56)+'Model Setup'!$J$8*(SUMIF($AD$3:$BA$3,"&lt;"&amp;$DF56,$B56:$Y56)+SUMIF($AD$3:$BA$3,"&gt;="&amp;$DG56,$B56:$Y56)),
IF(AW$3=$DF56+'Model Setup'!$K$7,SUMIF($AD$3:$BA$3,"="&amp;$DF56+'Model Setup'!$K$7,$B56:$Y56)+'Model Setup'!$K$8*(SUMIF($AD$3:$BA$3,"&lt;"&amp;$DF56,$B56:$Y56)+SUMIF($AD$3:$BA$3,"&gt;="&amp;$DG56,$B56:$Y56)),
IF(AW$3=$DF56+'Model Setup'!$L$7,SUMIF($AD$3:$BA$3,"="&amp;$DF56+'Model Setup'!$L$7,$B56:$Y56)+'Model Setup'!$L$8*(SUMIF($AD$3:$BA$3,"&lt;"&amp;$DF56,$B56:$Y56)+SUMIF($AD$3:$BA$3,"&gt;="&amp;$DG56,$B56:$Y56)),
IF(AW$3=$DF56+'Model Setup'!$M$7,SUMIF($AD$3:$BA$3,"="&amp;$DF56+'Model Setup'!$M$7,$B56:$Y56)+'Model Setup'!$M$8*(SUMIF($AD$3:$BA$3,"&lt;"&amp;$DF56,$B56:$Y56)+SUMIF($AD$3:$BA$3,"&gt;="&amp;$DG56,$B56:$Y56)),
IF(AW$3=$DF56+'Model Setup'!$N$7,SUMIF($AD$3:$BA$3,"="&amp;$DF56+'Model Setup'!$N$7,$B56:$Y56)+'Model Setup'!$N$8*(SUMIF($AD$3:$BA$3,"&lt;"&amp;$DF56,$B56:$Y56)+SUMIF($AD$3:$BA$3,"&gt;="&amp;$DG56,$B56:$Y56)),
IF(AW$3&lt;$DG56,U56,0))))))))))))))),0)</f>
        <v>7</v>
      </c>
      <c r="AX56" s="47">
        <f>ROUND(IF(AX$3&lt;$DF56,0,
IF(AX$3=$DF56+'Model Setup'!$B$7,SUMIF($AD$3:$BA$3,"="&amp;$DF56+'Model Setup'!$B$7,$B56:$Y56)+'Model Setup'!$B$8*(SUMIF($AD$3:$BA$3,"&lt;"&amp;$DF56,$B56:$Y56)+SUMIF($AD$3:$BA$3,"&gt;="&amp;$DG56,$B56:$Y56)),
IF(AX$3=$DF56+'Model Setup'!$C$7,SUMIF($AD$3:$BA$3,"="&amp;$DF56+'Model Setup'!$C$7,$B56:$Y56)+'Model Setup'!$C$8*(SUMIF($AD$3:$BA$3,"&lt;"&amp;$DF56,$B56:$Y56)+SUMIF($AD$3:$BA$3,"&gt;="&amp;$DG56,$B56:$Y56)),
IF(AX$3=$DF56+'Model Setup'!$D$7,SUMIF($AD$3:$BA$3,"="&amp;$DF56+'Model Setup'!$D$7,$B56:$Y56)+'Model Setup'!$D$8*(SUMIF($AD$3:$BA$3,"&lt;"&amp;$DF56,$B56:$Y56)+SUMIF($AD$3:$BA$3,"&gt;="&amp;$DG56,$B56:$Y56)),
IF(AX$3=$DF56+'Model Setup'!$E$7,SUMIF($AD$3:$BA$3,"="&amp;$DF56+'Model Setup'!$E$7,$B56:$Y56)+'Model Setup'!$E$8*(SUMIF($AD$3:$BA$3,"&lt;"&amp;$DF56,$B56:$Y56)+SUMIF($AD$3:$BA$3,"&gt;="&amp;$DG56,$B56:$Y56)),
IF(AX$3=$DF56+'Model Setup'!$F$7,SUMIF($AD$3:$BA$3,"="&amp;$DF56+'Model Setup'!$F$7,$B56:$Y56)+'Model Setup'!$F$8*(SUMIF($AD$3:$BA$3,"&lt;"&amp;$DF56,$B56:$Y56)+SUMIF($AD$3:$BA$3,"&gt;="&amp;$DG56,$B56:$Y56)),
IF(AX$3=$DF56+'Model Setup'!$G$7,SUMIF($AD$3:$BA$3,"="&amp;$DF56+'Model Setup'!$G$7,$B56:$Y56)+'Model Setup'!$G$8*(SUMIF($AD$3:$BA$3,"&lt;"&amp;$DF56,$B56:$Y56)+SUMIF($AD$3:$BA$3,"&gt;="&amp;$DG56,$B56:$Y56)),
IF(AX$3=$DF56+'Model Setup'!$H$7,SUMIF($AD$3:$BA$3,"="&amp;$DF56+'Model Setup'!$H$7,$B56:$Y56)+'Model Setup'!$H$8*(SUMIF($AD$3:$BA$3,"&lt;"&amp;$DF56,$B56:$Y56)+SUMIF($AD$3:$BA$3,"&gt;="&amp;$DG56,$B56:$Y56)),
IF(AX$3=$DF56+'Model Setup'!$I$7,SUMIF($AD$3:$BA$3,"="&amp;$DF56+'Model Setup'!$I$7,$B56:$Y56)+'Model Setup'!$I$8*(SUMIF($AD$3:$BA$3,"&lt;"&amp;$DF56,$B56:$Y56)+SUMIF($AD$3:$BA$3,"&gt;="&amp;$DG56,$B56:$Y56)),
IF(AX$3=$DF56+'Model Setup'!$J$7,SUMIF($AD$3:$BA$3,"="&amp;$DF56+'Model Setup'!$J$7,$B56:$Y56)+'Model Setup'!$J$8*(SUMIF($AD$3:$BA$3,"&lt;"&amp;$DF56,$B56:$Y56)+SUMIF($AD$3:$BA$3,"&gt;="&amp;$DG56,$B56:$Y56)),
IF(AX$3=$DF56+'Model Setup'!$K$7,SUMIF($AD$3:$BA$3,"="&amp;$DF56+'Model Setup'!$K$7,$B56:$Y56)+'Model Setup'!$K$8*(SUMIF($AD$3:$BA$3,"&lt;"&amp;$DF56,$B56:$Y56)+SUMIF($AD$3:$BA$3,"&gt;="&amp;$DG56,$B56:$Y56)),
IF(AX$3=$DF56+'Model Setup'!$L$7,SUMIF($AD$3:$BA$3,"="&amp;$DF56+'Model Setup'!$L$7,$B56:$Y56)+'Model Setup'!$L$8*(SUMIF($AD$3:$BA$3,"&lt;"&amp;$DF56,$B56:$Y56)+SUMIF($AD$3:$BA$3,"&gt;="&amp;$DG56,$B56:$Y56)),
IF(AX$3=$DF56+'Model Setup'!$M$7,SUMIF($AD$3:$BA$3,"="&amp;$DF56+'Model Setup'!$M$7,$B56:$Y56)+'Model Setup'!$M$8*(SUMIF($AD$3:$BA$3,"&lt;"&amp;$DF56,$B56:$Y56)+SUMIF($AD$3:$BA$3,"&gt;="&amp;$DG56,$B56:$Y56)),
IF(AX$3=$DF56+'Model Setup'!$N$7,SUMIF($AD$3:$BA$3,"="&amp;$DF56+'Model Setup'!$N$7,$B56:$Y56)+'Model Setup'!$N$8*(SUMIF($AD$3:$BA$3,"&lt;"&amp;$DF56,$B56:$Y56)+SUMIF($AD$3:$BA$3,"&gt;="&amp;$DG56,$B56:$Y56)),
IF(AX$3&lt;$DG56,V56,0))))))))))))))),0)</f>
        <v>0</v>
      </c>
      <c r="AY56" s="47">
        <f>ROUND(IF(AY$3&lt;$DF56,0,
IF(AY$3=$DF56+'Model Setup'!$B$7,SUMIF($AD$3:$BA$3,"="&amp;$DF56+'Model Setup'!$B$7,$B56:$Y56)+'Model Setup'!$B$8*(SUMIF($AD$3:$BA$3,"&lt;"&amp;$DF56,$B56:$Y56)+SUMIF($AD$3:$BA$3,"&gt;="&amp;$DG56,$B56:$Y56)),
IF(AY$3=$DF56+'Model Setup'!$C$7,SUMIF($AD$3:$BA$3,"="&amp;$DF56+'Model Setup'!$C$7,$B56:$Y56)+'Model Setup'!$C$8*(SUMIF($AD$3:$BA$3,"&lt;"&amp;$DF56,$B56:$Y56)+SUMIF($AD$3:$BA$3,"&gt;="&amp;$DG56,$B56:$Y56)),
IF(AY$3=$DF56+'Model Setup'!$D$7,SUMIF($AD$3:$BA$3,"="&amp;$DF56+'Model Setup'!$D$7,$B56:$Y56)+'Model Setup'!$D$8*(SUMIF($AD$3:$BA$3,"&lt;"&amp;$DF56,$B56:$Y56)+SUMIF($AD$3:$BA$3,"&gt;="&amp;$DG56,$B56:$Y56)),
IF(AY$3=$DF56+'Model Setup'!$E$7,SUMIF($AD$3:$BA$3,"="&amp;$DF56+'Model Setup'!$E$7,$B56:$Y56)+'Model Setup'!$E$8*(SUMIF($AD$3:$BA$3,"&lt;"&amp;$DF56,$B56:$Y56)+SUMIF($AD$3:$BA$3,"&gt;="&amp;$DG56,$B56:$Y56)),
IF(AY$3=$DF56+'Model Setup'!$F$7,SUMIF($AD$3:$BA$3,"="&amp;$DF56+'Model Setup'!$F$7,$B56:$Y56)+'Model Setup'!$F$8*(SUMIF($AD$3:$BA$3,"&lt;"&amp;$DF56,$B56:$Y56)+SUMIF($AD$3:$BA$3,"&gt;="&amp;$DG56,$B56:$Y56)),
IF(AY$3=$DF56+'Model Setup'!$G$7,SUMIF($AD$3:$BA$3,"="&amp;$DF56+'Model Setup'!$G$7,$B56:$Y56)+'Model Setup'!$G$8*(SUMIF($AD$3:$BA$3,"&lt;"&amp;$DF56,$B56:$Y56)+SUMIF($AD$3:$BA$3,"&gt;="&amp;$DG56,$B56:$Y56)),
IF(AY$3=$DF56+'Model Setup'!$H$7,SUMIF($AD$3:$BA$3,"="&amp;$DF56+'Model Setup'!$H$7,$B56:$Y56)+'Model Setup'!$H$8*(SUMIF($AD$3:$BA$3,"&lt;"&amp;$DF56,$B56:$Y56)+SUMIF($AD$3:$BA$3,"&gt;="&amp;$DG56,$B56:$Y56)),
IF(AY$3=$DF56+'Model Setup'!$I$7,SUMIF($AD$3:$BA$3,"="&amp;$DF56+'Model Setup'!$I$7,$B56:$Y56)+'Model Setup'!$I$8*(SUMIF($AD$3:$BA$3,"&lt;"&amp;$DF56,$B56:$Y56)+SUMIF($AD$3:$BA$3,"&gt;="&amp;$DG56,$B56:$Y56)),
IF(AY$3=$DF56+'Model Setup'!$J$7,SUMIF($AD$3:$BA$3,"="&amp;$DF56+'Model Setup'!$J$7,$B56:$Y56)+'Model Setup'!$J$8*(SUMIF($AD$3:$BA$3,"&lt;"&amp;$DF56,$B56:$Y56)+SUMIF($AD$3:$BA$3,"&gt;="&amp;$DG56,$B56:$Y56)),
IF(AY$3=$DF56+'Model Setup'!$K$7,SUMIF($AD$3:$BA$3,"="&amp;$DF56+'Model Setup'!$K$7,$B56:$Y56)+'Model Setup'!$K$8*(SUMIF($AD$3:$BA$3,"&lt;"&amp;$DF56,$B56:$Y56)+SUMIF($AD$3:$BA$3,"&gt;="&amp;$DG56,$B56:$Y56)),
IF(AY$3=$DF56+'Model Setup'!$L$7,SUMIF($AD$3:$BA$3,"="&amp;$DF56+'Model Setup'!$L$7,$B56:$Y56)+'Model Setup'!$L$8*(SUMIF($AD$3:$BA$3,"&lt;"&amp;$DF56,$B56:$Y56)+SUMIF($AD$3:$BA$3,"&gt;="&amp;$DG56,$B56:$Y56)),
IF(AY$3=$DF56+'Model Setup'!$M$7,SUMIF($AD$3:$BA$3,"="&amp;$DF56+'Model Setup'!$M$7,$B56:$Y56)+'Model Setup'!$M$8*(SUMIF($AD$3:$BA$3,"&lt;"&amp;$DF56,$B56:$Y56)+SUMIF($AD$3:$BA$3,"&gt;="&amp;$DG56,$B56:$Y56)),
IF(AY$3=$DF56+'Model Setup'!$N$7,SUMIF($AD$3:$BA$3,"="&amp;$DF56+'Model Setup'!$N$7,$B56:$Y56)+'Model Setup'!$N$8*(SUMIF($AD$3:$BA$3,"&lt;"&amp;$DF56,$B56:$Y56)+SUMIF($AD$3:$BA$3,"&gt;="&amp;$DG56,$B56:$Y56)),
IF(AY$3&lt;$DG56,W56,0))))))))))))))),0)</f>
        <v>0</v>
      </c>
      <c r="AZ56" s="47">
        <f>ROUND(IF(AZ$3&lt;$DF56,0,
IF(AZ$3=$DF56+'Model Setup'!$B$7,SUMIF($AD$3:$BA$3,"="&amp;$DF56+'Model Setup'!$B$7,$B56:$Y56)+'Model Setup'!$B$8*(SUMIF($AD$3:$BA$3,"&lt;"&amp;$DF56,$B56:$Y56)+SUMIF($AD$3:$BA$3,"&gt;="&amp;$DG56,$B56:$Y56)),
IF(AZ$3=$DF56+'Model Setup'!$C$7,SUMIF($AD$3:$BA$3,"="&amp;$DF56+'Model Setup'!$C$7,$B56:$Y56)+'Model Setup'!$C$8*(SUMIF($AD$3:$BA$3,"&lt;"&amp;$DF56,$B56:$Y56)+SUMIF($AD$3:$BA$3,"&gt;="&amp;$DG56,$B56:$Y56)),
IF(AZ$3=$DF56+'Model Setup'!$D$7,SUMIF($AD$3:$BA$3,"="&amp;$DF56+'Model Setup'!$D$7,$B56:$Y56)+'Model Setup'!$D$8*(SUMIF($AD$3:$BA$3,"&lt;"&amp;$DF56,$B56:$Y56)+SUMIF($AD$3:$BA$3,"&gt;="&amp;$DG56,$B56:$Y56)),
IF(AZ$3=$DF56+'Model Setup'!$E$7,SUMIF($AD$3:$BA$3,"="&amp;$DF56+'Model Setup'!$E$7,$B56:$Y56)+'Model Setup'!$E$8*(SUMIF($AD$3:$BA$3,"&lt;"&amp;$DF56,$B56:$Y56)+SUMIF($AD$3:$BA$3,"&gt;="&amp;$DG56,$B56:$Y56)),
IF(AZ$3=$DF56+'Model Setup'!$F$7,SUMIF($AD$3:$BA$3,"="&amp;$DF56+'Model Setup'!$F$7,$B56:$Y56)+'Model Setup'!$F$8*(SUMIF($AD$3:$BA$3,"&lt;"&amp;$DF56,$B56:$Y56)+SUMIF($AD$3:$BA$3,"&gt;="&amp;$DG56,$B56:$Y56)),
IF(AZ$3=$DF56+'Model Setup'!$G$7,SUMIF($AD$3:$BA$3,"="&amp;$DF56+'Model Setup'!$G$7,$B56:$Y56)+'Model Setup'!$G$8*(SUMIF($AD$3:$BA$3,"&lt;"&amp;$DF56,$B56:$Y56)+SUMIF($AD$3:$BA$3,"&gt;="&amp;$DG56,$B56:$Y56)),
IF(AZ$3=$DF56+'Model Setup'!$H$7,SUMIF($AD$3:$BA$3,"="&amp;$DF56+'Model Setup'!$H$7,$B56:$Y56)+'Model Setup'!$H$8*(SUMIF($AD$3:$BA$3,"&lt;"&amp;$DF56,$B56:$Y56)+SUMIF($AD$3:$BA$3,"&gt;="&amp;$DG56,$B56:$Y56)),
IF(AZ$3=$DF56+'Model Setup'!$I$7,SUMIF($AD$3:$BA$3,"="&amp;$DF56+'Model Setup'!$I$7,$B56:$Y56)+'Model Setup'!$I$8*(SUMIF($AD$3:$BA$3,"&lt;"&amp;$DF56,$B56:$Y56)+SUMIF($AD$3:$BA$3,"&gt;="&amp;$DG56,$B56:$Y56)),
IF(AZ$3=$DF56+'Model Setup'!$J$7,SUMIF($AD$3:$BA$3,"="&amp;$DF56+'Model Setup'!$J$7,$B56:$Y56)+'Model Setup'!$J$8*(SUMIF($AD$3:$BA$3,"&lt;"&amp;$DF56,$B56:$Y56)+SUMIF($AD$3:$BA$3,"&gt;="&amp;$DG56,$B56:$Y56)),
IF(AZ$3=$DF56+'Model Setup'!$K$7,SUMIF($AD$3:$BA$3,"="&amp;$DF56+'Model Setup'!$K$7,$B56:$Y56)+'Model Setup'!$K$8*(SUMIF($AD$3:$BA$3,"&lt;"&amp;$DF56,$B56:$Y56)+SUMIF($AD$3:$BA$3,"&gt;="&amp;$DG56,$B56:$Y56)),
IF(AZ$3=$DF56+'Model Setup'!$L$7,SUMIF($AD$3:$BA$3,"="&amp;$DF56+'Model Setup'!$L$7,$B56:$Y56)+'Model Setup'!$L$8*(SUMIF($AD$3:$BA$3,"&lt;"&amp;$DF56,$B56:$Y56)+SUMIF($AD$3:$BA$3,"&gt;="&amp;$DG56,$B56:$Y56)),
IF(AZ$3=$DF56+'Model Setup'!$M$7,SUMIF($AD$3:$BA$3,"="&amp;$DF56+'Model Setup'!$M$7,$B56:$Y56)+'Model Setup'!$M$8*(SUMIF($AD$3:$BA$3,"&lt;"&amp;$DF56,$B56:$Y56)+SUMIF($AD$3:$BA$3,"&gt;="&amp;$DG56,$B56:$Y56)),
IF(AZ$3=$DF56+'Model Setup'!$N$7,SUMIF($AD$3:$BA$3,"="&amp;$DF56+'Model Setup'!$N$7,$B56:$Y56)+'Model Setup'!$N$8*(SUMIF($AD$3:$BA$3,"&lt;"&amp;$DF56,$B56:$Y56)+SUMIF($AD$3:$BA$3,"&gt;="&amp;$DG56,$B56:$Y56)),
IF(AZ$3&lt;$DG56,X56,0))))))))))))))),0)</f>
        <v>0</v>
      </c>
      <c r="BA56" s="47">
        <f>ROUND(IF(BA$3&lt;$DF56,0,
IF(BA$3=$DF56+'Model Setup'!$B$7,SUMIF($AD$3:$BA$3,"="&amp;$DF56+'Model Setup'!$B$7,$B56:$Y56)+'Model Setup'!$B$8*(SUMIF($AD$3:$BA$3,"&lt;"&amp;$DF56,$B56:$Y56)+SUMIF($AD$3:$BA$3,"&gt;="&amp;$DG56,$B56:$Y56)),
IF(BA$3=$DF56+'Model Setup'!$C$7,SUMIF($AD$3:$BA$3,"="&amp;$DF56+'Model Setup'!$C$7,$B56:$Y56)+'Model Setup'!$C$8*(SUMIF($AD$3:$BA$3,"&lt;"&amp;$DF56,$B56:$Y56)+SUMIF($AD$3:$BA$3,"&gt;="&amp;$DG56,$B56:$Y56)),
IF(BA$3=$DF56+'Model Setup'!$D$7,SUMIF($AD$3:$BA$3,"="&amp;$DF56+'Model Setup'!$D$7,$B56:$Y56)+'Model Setup'!$D$8*(SUMIF($AD$3:$BA$3,"&lt;"&amp;$DF56,$B56:$Y56)+SUMIF($AD$3:$BA$3,"&gt;="&amp;$DG56,$B56:$Y56)),
IF(BA$3=$DF56+'Model Setup'!$E$7,SUMIF($AD$3:$BA$3,"="&amp;$DF56+'Model Setup'!$E$7,$B56:$Y56)+'Model Setup'!$E$8*(SUMIF($AD$3:$BA$3,"&lt;"&amp;$DF56,$B56:$Y56)+SUMIF($AD$3:$BA$3,"&gt;="&amp;$DG56,$B56:$Y56)),
IF(BA$3=$DF56+'Model Setup'!$F$7,SUMIF($AD$3:$BA$3,"="&amp;$DF56+'Model Setup'!$F$7,$B56:$Y56)+'Model Setup'!$F$8*(SUMIF($AD$3:$BA$3,"&lt;"&amp;$DF56,$B56:$Y56)+SUMIF($AD$3:$BA$3,"&gt;="&amp;$DG56,$B56:$Y56)),
IF(BA$3=$DF56+'Model Setup'!$G$7,SUMIF($AD$3:$BA$3,"="&amp;$DF56+'Model Setup'!$G$7,$B56:$Y56)+'Model Setup'!$G$8*(SUMIF($AD$3:$BA$3,"&lt;"&amp;$DF56,$B56:$Y56)+SUMIF($AD$3:$BA$3,"&gt;="&amp;$DG56,$B56:$Y56)),
IF(BA$3=$DF56+'Model Setup'!$H$7,SUMIF($AD$3:$BA$3,"="&amp;$DF56+'Model Setup'!$H$7,$B56:$Y56)+'Model Setup'!$H$8*(SUMIF($AD$3:$BA$3,"&lt;"&amp;$DF56,$B56:$Y56)+SUMIF($AD$3:$BA$3,"&gt;="&amp;$DG56,$B56:$Y56)),
IF(BA$3=$DF56+'Model Setup'!$I$7,SUMIF($AD$3:$BA$3,"="&amp;$DF56+'Model Setup'!$I$7,$B56:$Y56)+'Model Setup'!$I$8*(SUMIF($AD$3:$BA$3,"&lt;"&amp;$DF56,$B56:$Y56)+SUMIF($AD$3:$BA$3,"&gt;="&amp;$DG56,$B56:$Y56)),
IF(BA$3=$DF56+'Model Setup'!$J$7,SUMIF($AD$3:$BA$3,"="&amp;$DF56+'Model Setup'!$J$7,$B56:$Y56)+'Model Setup'!$J$8*(SUMIF($AD$3:$BA$3,"&lt;"&amp;$DF56,$B56:$Y56)+SUMIF($AD$3:$BA$3,"&gt;="&amp;$DG56,$B56:$Y56)),
IF(BA$3=$DF56+'Model Setup'!$K$7,SUMIF($AD$3:$BA$3,"="&amp;$DF56+'Model Setup'!$K$7,$B56:$Y56)+'Model Setup'!$K$8*(SUMIF($AD$3:$BA$3,"&lt;"&amp;$DF56,$B56:$Y56)+SUMIF($AD$3:$BA$3,"&gt;="&amp;$DG56,$B56:$Y56)),
IF(BA$3=$DF56+'Model Setup'!$L$7,SUMIF($AD$3:$BA$3,"="&amp;$DF56+'Model Setup'!$L$7,$B56:$Y56)+'Model Setup'!$L$8*(SUMIF($AD$3:$BA$3,"&lt;"&amp;$DF56,$B56:$Y56)+SUMIF($AD$3:$BA$3,"&gt;="&amp;$DG56,$B56:$Y56)),
IF(BA$3=$DF56+'Model Setup'!$M$7,SUMIF($AD$3:$BA$3,"="&amp;$DF56+'Model Setup'!$M$7,$B56:$Y56)+'Model Setup'!$M$8*(SUMIF($AD$3:$BA$3,"&lt;"&amp;$DF56,$B56:$Y56)+SUMIF($AD$3:$BA$3,"&gt;="&amp;$DG56,$B56:$Y56)),
IF(BA$3=$DF56+'Model Setup'!$N$7,SUMIF($AD$3:$BA$3,"="&amp;$DF56+'Model Setup'!$N$7,$B56:$Y56)+'Model Setup'!$N$8*(SUMIF($AD$3:$BA$3,"&lt;"&amp;$DF56,$B56:$Y56)+SUMIF($AD$3:$BA$3,"&gt;="&amp;$DG56,$B56:$Y56)),
IF(BA$3&lt;$DG56,Y56,0))))))))))))))),0)</f>
        <v>0</v>
      </c>
      <c r="BB56" s="47">
        <f t="shared" si="1"/>
        <v>129</v>
      </c>
      <c r="BD56" t="b">
        <f t="shared" si="2"/>
        <v>0</v>
      </c>
      <c r="BE56">
        <f t="shared" si="8"/>
        <v>2</v>
      </c>
      <c r="BF56">
        <f>(FTC!F54-FTC!E54)*24</f>
        <v>11.999999999999998</v>
      </c>
      <c r="BG56" s="43" t="s">
        <v>71</v>
      </c>
      <c r="BH56" s="47">
        <f>ROUND(IF(OR(BH$3&lt;$DF56,BH$3&gt;$CW$4),0,
IF(BH$3=$DF56+'Model Setup'!$B$7,SUMIF($BH$3:$CE$3,"="&amp;$DF56+'Model Setup'!$B$7,$AD56:$BA56)+'Model Setup'!$B$8*(SUMIF($BH$3:$CE$3,"&lt;"&amp;$DF56,$AD56:$BA56)+SUMIF($BH$3:$CE$3,"&gt;"&amp;$CW$4,$AD56:$BA56)),
IF(BH$3=$DF56+'Model Setup'!$C$7,SUMIF($BH$3:$CE$3,"="&amp;$DF56+'Model Setup'!$C$7,$AD56:$BA56)+'Model Setup'!$C$8*(SUMIF($BH$3:$CE$3,"&lt;"&amp;$DF56,$AD56:$BA56)+SUMIF($BH$3:$CE$3,"&gt;"&amp;$CW$4,$AD56:$BA56)),
IF(BH$3=$DF56+'Model Setup'!$D$7,SUMIF($BH$3:$CE$3,"="&amp;$DF56+'Model Setup'!$D$7,$AD56:$BA56)+'Model Setup'!$D$8*(SUMIF($BH$3:$CE$3,"&lt;"&amp;$DF56,$AD56:$BA56)+SUMIF($BH$3:$CE$3,"&gt;"&amp;$CW$4,$AD56:$BA56)),
IF(BH$3=$DF56+'Model Setup'!$E$7,SUMIF($BH$3:$CE$3,"="&amp;$DF56+'Model Setup'!$E$7,$AD56:$BA56)+'Model Setup'!$E$8*(SUMIF($BH$3:$CE$3,"&lt;"&amp;$DF56,$AD56:$BA56)+SUMIF($BH$3:$CE$3,"&gt;"&amp;$CW$4,$AD56:$BA56)),
IF(BH$3=$DF56+'Model Setup'!$F$7,SUMIF($BH$3:$CE$3,"="&amp;$DF56+'Model Setup'!$F$7,$AD56:$BA56)+'Model Setup'!$F$8*(SUMIF($BH$3:$CE$3,"&lt;"&amp;$DF56,$AD56:$BA56)+SUMIF($BH$3:$CE$3,"&gt;"&amp;$CW$4,$AD56:$BA56)),
IF(BH$3=$DF56+'Model Setup'!$G$7,SUMIF($BH$3:$CE$3,"="&amp;$DF56+'Model Setup'!$G$7,$AD56:$BA56)+'Model Setup'!$G$8*(SUMIF($BH$3:$CE$3,"&lt;"&amp;$DF56,$AD56:$BA56)+SUMIF($BH$3:$CE$3,"&gt;"&amp;$CW$4,$AD56:$BA56)),
IF(BH$3=$DF56+'Model Setup'!$H$7,SUMIF($BH$3:$CE$3,"="&amp;$DF56+'Model Setup'!$H$7,$AD56:$BA56)+'Model Setup'!$H$8*(SUMIF($BH$3:$CE$3,"&lt;"&amp;$DF56,$AD56:$BA56)+SUMIF($BH$3:$CE$3,"&gt;"&amp;$CW$4,$AD56:$BA56)),
IF(BH$3=$DF56+'Model Setup'!$I$7,SUMIF($BH$3:$CE$3,"="&amp;$DF56+'Model Setup'!$I$7,$AD56:$BA56)+'Model Setup'!$I$8*(SUMIF($BH$3:$CE$3,"&lt;"&amp;$DF56,$AD56:$BA56)+SUMIF($BH$3:$CE$3,"&gt;"&amp;$CW$4,$AD56:$BA56)),
IF(BH$3=$DF56+'Model Setup'!$J$7,SUMIF($BH$3:$CE$3,"="&amp;$DF56+'Model Setup'!$J$7,$AD56:$BA56)+'Model Setup'!$J$8*(SUMIF($BH$3:$CE$3,"&lt;"&amp;$DF56,$AD56:$BA56)+SUMIF($BH$3:$CE$3,"&gt;"&amp;$CW$4,$AD56:$BA56)),
IF(BH$3=$DF56+'Model Setup'!$K$7,SUMIF($BH$3:$CE$3,"="&amp;$DF56+'Model Setup'!$K$7,$AD56:$BA56)+'Model Setup'!$K$8*(SUMIF($BH$3:$CE$3,"&lt;"&amp;$DF56,$AD56:$BA56)+SUMIF($BH$3:$CE$3,"&gt;"&amp;$CW$4,$AD56:$BA56)),
IF(BH$3=$DF56+'Model Setup'!$L$7,SUMIF($BH$3:$CE$3,"="&amp;$DF56+'Model Setup'!$L$7,$AD56:$BA56)+'Model Setup'!$L$8*(SUMIF($BH$3:$CE$3,"&lt;"&amp;$DF56,$AD56:$BA56)+SUMIF($BH$3:$CE$3,"&gt;"&amp;$CW$4,$AD56:$BA56)),
IF(BH$3=$DF56+'Model Setup'!$M$7,SUMIF($BH$3:$CE$3,"="&amp;$DF56+'Model Setup'!$M$7,$AD56:$BA56)+'Model Setup'!$M$8*(SUMIF($BH$3:$CE$3,"&lt;"&amp;$DF56,$AD56:$BA56)+SUMIF($BH$3:$CE$3,"&gt;"&amp;$CW$4,$AD56:$BA56)),
IF(BH$3=$DF56+'Model Setup'!$N$7,SUMIF($BH$3:$CE$3,"="&amp;$DF56+'Model Setup'!$N$7,$AD56:$BA56)+'Model Setup'!$N$8*(SUMIF($BH$3:$CE$3,"&lt;"&amp;$DF56,$AD56:$BA56)+SUMIF($BH$3:$CE$3,"&gt;"&amp;$CW$4,$AD56:$BA56)),
IF(BH$3&lt;$CW$4,B56,0))))))))))))))),0)</f>
        <v>0</v>
      </c>
      <c r="BI56" s="47">
        <f>ROUND(IF(OR(BI$3&lt;$DF56,BI$3&gt;$CW$4),0,
IF(BI$3=$DF56+'Model Setup'!$B$7,SUMIF($BH$3:$CE$3,"="&amp;$DF56+'Model Setup'!$B$7,$AD56:$BA56)+'Model Setup'!$B$8*(SUMIF($BH$3:$CE$3,"&lt;"&amp;$DF56,$AD56:$BA56)+SUMIF($BH$3:$CE$3,"&gt;"&amp;$CW$4,$AD56:$BA56)),
IF(BI$3=$DF56+'Model Setup'!$C$7,SUMIF($BH$3:$CE$3,"="&amp;$DF56+'Model Setup'!$C$7,$AD56:$BA56)+'Model Setup'!$C$8*(SUMIF($BH$3:$CE$3,"&lt;"&amp;$DF56,$AD56:$BA56)+SUMIF($BH$3:$CE$3,"&gt;"&amp;$CW$4,$AD56:$BA56)),
IF(BI$3=$DF56+'Model Setup'!$D$7,SUMIF($BH$3:$CE$3,"="&amp;$DF56+'Model Setup'!$D$7,$AD56:$BA56)+'Model Setup'!$D$8*(SUMIF($BH$3:$CE$3,"&lt;"&amp;$DF56,$AD56:$BA56)+SUMIF($BH$3:$CE$3,"&gt;"&amp;$CW$4,$AD56:$BA56)),
IF(BI$3=$DF56+'Model Setup'!$E$7,SUMIF($BH$3:$CE$3,"="&amp;$DF56+'Model Setup'!$E$7,$AD56:$BA56)+'Model Setup'!$E$8*(SUMIF($BH$3:$CE$3,"&lt;"&amp;$DF56,$AD56:$BA56)+SUMIF($BH$3:$CE$3,"&gt;"&amp;$CW$4,$AD56:$BA56)),
IF(BI$3=$DF56+'Model Setup'!$F$7,SUMIF($BH$3:$CE$3,"="&amp;$DF56+'Model Setup'!$F$7,$AD56:$BA56)+'Model Setup'!$F$8*(SUMIF($BH$3:$CE$3,"&lt;"&amp;$DF56,$AD56:$BA56)+SUMIF($BH$3:$CE$3,"&gt;"&amp;$CW$4,$AD56:$BA56)),
IF(BI$3=$DF56+'Model Setup'!$G$7,SUMIF($BH$3:$CE$3,"="&amp;$DF56+'Model Setup'!$G$7,$AD56:$BA56)+'Model Setup'!$G$8*(SUMIF($BH$3:$CE$3,"&lt;"&amp;$DF56,$AD56:$BA56)+SUMIF($BH$3:$CE$3,"&gt;"&amp;$CW$4,$AD56:$BA56)),
IF(BI$3=$DF56+'Model Setup'!$H$7,SUMIF($BH$3:$CE$3,"="&amp;$DF56+'Model Setup'!$H$7,$AD56:$BA56)+'Model Setup'!$H$8*(SUMIF($BH$3:$CE$3,"&lt;"&amp;$DF56,$AD56:$BA56)+SUMIF($BH$3:$CE$3,"&gt;"&amp;$CW$4,$AD56:$BA56)),
IF(BI$3=$DF56+'Model Setup'!$I$7,SUMIF($BH$3:$CE$3,"="&amp;$DF56+'Model Setup'!$I$7,$AD56:$BA56)+'Model Setup'!$I$8*(SUMIF($BH$3:$CE$3,"&lt;"&amp;$DF56,$AD56:$BA56)+SUMIF($BH$3:$CE$3,"&gt;"&amp;$CW$4,$AD56:$BA56)),
IF(BI$3=$DF56+'Model Setup'!$J$7,SUMIF($BH$3:$CE$3,"="&amp;$DF56+'Model Setup'!$J$7,$AD56:$BA56)+'Model Setup'!$J$8*(SUMIF($BH$3:$CE$3,"&lt;"&amp;$DF56,$AD56:$BA56)+SUMIF($BH$3:$CE$3,"&gt;"&amp;$CW$4,$AD56:$BA56)),
IF(BI$3=$DF56+'Model Setup'!$K$7,SUMIF($BH$3:$CE$3,"="&amp;$DF56+'Model Setup'!$K$7,$AD56:$BA56)+'Model Setup'!$K$8*(SUMIF($BH$3:$CE$3,"&lt;"&amp;$DF56,$AD56:$BA56)+SUMIF($BH$3:$CE$3,"&gt;"&amp;$CW$4,$AD56:$BA56)),
IF(BI$3=$DF56+'Model Setup'!$L$7,SUMIF($BH$3:$CE$3,"="&amp;$DF56+'Model Setup'!$L$7,$AD56:$BA56)+'Model Setup'!$L$8*(SUMIF($BH$3:$CE$3,"&lt;"&amp;$DF56,$AD56:$BA56)+SUMIF($BH$3:$CE$3,"&gt;"&amp;$CW$4,$AD56:$BA56)),
IF(BI$3=$DF56+'Model Setup'!$M$7,SUMIF($BH$3:$CE$3,"="&amp;$DF56+'Model Setup'!$M$7,$AD56:$BA56)+'Model Setup'!$M$8*(SUMIF($BH$3:$CE$3,"&lt;"&amp;$DF56,$AD56:$BA56)+SUMIF($BH$3:$CE$3,"&gt;"&amp;$CW$4,$AD56:$BA56)),
IF(BI$3=$DF56+'Model Setup'!$N$7,SUMIF($BH$3:$CE$3,"="&amp;$DF56+'Model Setup'!$N$7,$AD56:$BA56)+'Model Setup'!$N$8*(SUMIF($BH$3:$CE$3,"&lt;"&amp;$DF56,$AD56:$BA56)+SUMIF($BH$3:$CE$3,"&gt;"&amp;$CW$4,$AD56:$BA56)),
IF(BI$3&lt;$CW$4,C56,0))))))))))))))),0)</f>
        <v>0</v>
      </c>
      <c r="BJ56" s="47">
        <f>ROUND(IF(OR(BJ$3&lt;$DF56,BJ$3&gt;$CW$4),0,
IF(BJ$3=$DF56+'Model Setup'!$B$7,SUMIF($BH$3:$CE$3,"="&amp;$DF56+'Model Setup'!$B$7,$AD56:$BA56)+'Model Setup'!$B$8*(SUMIF($BH$3:$CE$3,"&lt;"&amp;$DF56,$AD56:$BA56)+SUMIF($BH$3:$CE$3,"&gt;"&amp;$CW$4,$AD56:$BA56)),
IF(BJ$3=$DF56+'Model Setup'!$C$7,SUMIF($BH$3:$CE$3,"="&amp;$DF56+'Model Setup'!$C$7,$AD56:$BA56)+'Model Setup'!$C$8*(SUMIF($BH$3:$CE$3,"&lt;"&amp;$DF56,$AD56:$BA56)+SUMIF($BH$3:$CE$3,"&gt;"&amp;$CW$4,$AD56:$BA56)),
IF(BJ$3=$DF56+'Model Setup'!$D$7,SUMIF($BH$3:$CE$3,"="&amp;$DF56+'Model Setup'!$D$7,$AD56:$BA56)+'Model Setup'!$D$8*(SUMIF($BH$3:$CE$3,"&lt;"&amp;$DF56,$AD56:$BA56)+SUMIF($BH$3:$CE$3,"&gt;"&amp;$CW$4,$AD56:$BA56)),
IF(BJ$3=$DF56+'Model Setup'!$E$7,SUMIF($BH$3:$CE$3,"="&amp;$DF56+'Model Setup'!$E$7,$AD56:$BA56)+'Model Setup'!$E$8*(SUMIF($BH$3:$CE$3,"&lt;"&amp;$DF56,$AD56:$BA56)+SUMIF($BH$3:$CE$3,"&gt;"&amp;$CW$4,$AD56:$BA56)),
IF(BJ$3=$DF56+'Model Setup'!$F$7,SUMIF($BH$3:$CE$3,"="&amp;$DF56+'Model Setup'!$F$7,$AD56:$BA56)+'Model Setup'!$F$8*(SUMIF($BH$3:$CE$3,"&lt;"&amp;$DF56,$AD56:$BA56)+SUMIF($BH$3:$CE$3,"&gt;"&amp;$CW$4,$AD56:$BA56)),
IF(BJ$3=$DF56+'Model Setup'!$G$7,SUMIF($BH$3:$CE$3,"="&amp;$DF56+'Model Setup'!$G$7,$AD56:$BA56)+'Model Setup'!$G$8*(SUMIF($BH$3:$CE$3,"&lt;"&amp;$DF56,$AD56:$BA56)+SUMIF($BH$3:$CE$3,"&gt;"&amp;$CW$4,$AD56:$BA56)),
IF(BJ$3=$DF56+'Model Setup'!$H$7,SUMIF($BH$3:$CE$3,"="&amp;$DF56+'Model Setup'!$H$7,$AD56:$BA56)+'Model Setup'!$H$8*(SUMIF($BH$3:$CE$3,"&lt;"&amp;$DF56,$AD56:$BA56)+SUMIF($BH$3:$CE$3,"&gt;"&amp;$CW$4,$AD56:$BA56)),
IF(BJ$3=$DF56+'Model Setup'!$I$7,SUMIF($BH$3:$CE$3,"="&amp;$DF56+'Model Setup'!$I$7,$AD56:$BA56)+'Model Setup'!$I$8*(SUMIF($BH$3:$CE$3,"&lt;"&amp;$DF56,$AD56:$BA56)+SUMIF($BH$3:$CE$3,"&gt;"&amp;$CW$4,$AD56:$BA56)),
IF(BJ$3=$DF56+'Model Setup'!$J$7,SUMIF($BH$3:$CE$3,"="&amp;$DF56+'Model Setup'!$J$7,$AD56:$BA56)+'Model Setup'!$J$8*(SUMIF($BH$3:$CE$3,"&lt;"&amp;$DF56,$AD56:$BA56)+SUMIF($BH$3:$CE$3,"&gt;"&amp;$CW$4,$AD56:$BA56)),
IF(BJ$3=$DF56+'Model Setup'!$K$7,SUMIF($BH$3:$CE$3,"="&amp;$DF56+'Model Setup'!$K$7,$AD56:$BA56)+'Model Setup'!$K$8*(SUMIF($BH$3:$CE$3,"&lt;"&amp;$DF56,$AD56:$BA56)+SUMIF($BH$3:$CE$3,"&gt;"&amp;$CW$4,$AD56:$BA56)),
IF(BJ$3=$DF56+'Model Setup'!$L$7,SUMIF($BH$3:$CE$3,"="&amp;$DF56+'Model Setup'!$L$7,$AD56:$BA56)+'Model Setup'!$L$8*(SUMIF($BH$3:$CE$3,"&lt;"&amp;$DF56,$AD56:$BA56)+SUMIF($BH$3:$CE$3,"&gt;"&amp;$CW$4,$AD56:$BA56)),
IF(BJ$3=$DF56+'Model Setup'!$M$7,SUMIF($BH$3:$CE$3,"="&amp;$DF56+'Model Setup'!$M$7,$AD56:$BA56)+'Model Setup'!$M$8*(SUMIF($BH$3:$CE$3,"&lt;"&amp;$DF56,$AD56:$BA56)+SUMIF($BH$3:$CE$3,"&gt;"&amp;$CW$4,$AD56:$BA56)),
IF(BJ$3=$DF56+'Model Setup'!$N$7,SUMIF($BH$3:$CE$3,"="&amp;$DF56+'Model Setup'!$N$7,$AD56:$BA56)+'Model Setup'!$N$8*(SUMIF($BH$3:$CE$3,"&lt;"&amp;$DF56,$AD56:$BA56)+SUMIF($BH$3:$CE$3,"&gt;"&amp;$CW$4,$AD56:$BA56)),
IF(BJ$3&lt;$CW$4,D56,0))))))))))))))),0)</f>
        <v>0</v>
      </c>
      <c r="BK56" s="47">
        <f>ROUND(IF(OR(BK$3&lt;$DF56,BK$3&gt;$CW$4),0,
IF(BK$3=$DF56+'Model Setup'!$B$7,SUMIF($BH$3:$CE$3,"="&amp;$DF56+'Model Setup'!$B$7,$AD56:$BA56)+'Model Setup'!$B$8*(SUMIF($BH$3:$CE$3,"&lt;"&amp;$DF56,$AD56:$BA56)+SUMIF($BH$3:$CE$3,"&gt;"&amp;$CW$4,$AD56:$BA56)),
IF(BK$3=$DF56+'Model Setup'!$C$7,SUMIF($BH$3:$CE$3,"="&amp;$DF56+'Model Setup'!$C$7,$AD56:$BA56)+'Model Setup'!$C$8*(SUMIF($BH$3:$CE$3,"&lt;"&amp;$DF56,$AD56:$BA56)+SUMIF($BH$3:$CE$3,"&gt;"&amp;$CW$4,$AD56:$BA56)),
IF(BK$3=$DF56+'Model Setup'!$D$7,SUMIF($BH$3:$CE$3,"="&amp;$DF56+'Model Setup'!$D$7,$AD56:$BA56)+'Model Setup'!$D$8*(SUMIF($BH$3:$CE$3,"&lt;"&amp;$DF56,$AD56:$BA56)+SUMIF($BH$3:$CE$3,"&gt;"&amp;$CW$4,$AD56:$BA56)),
IF(BK$3=$DF56+'Model Setup'!$E$7,SUMIF($BH$3:$CE$3,"="&amp;$DF56+'Model Setup'!$E$7,$AD56:$BA56)+'Model Setup'!$E$8*(SUMIF($BH$3:$CE$3,"&lt;"&amp;$DF56,$AD56:$BA56)+SUMIF($BH$3:$CE$3,"&gt;"&amp;$CW$4,$AD56:$BA56)),
IF(BK$3=$DF56+'Model Setup'!$F$7,SUMIF($BH$3:$CE$3,"="&amp;$DF56+'Model Setup'!$F$7,$AD56:$BA56)+'Model Setup'!$F$8*(SUMIF($BH$3:$CE$3,"&lt;"&amp;$DF56,$AD56:$BA56)+SUMIF($BH$3:$CE$3,"&gt;"&amp;$CW$4,$AD56:$BA56)),
IF(BK$3=$DF56+'Model Setup'!$G$7,SUMIF($BH$3:$CE$3,"="&amp;$DF56+'Model Setup'!$G$7,$AD56:$BA56)+'Model Setup'!$G$8*(SUMIF($BH$3:$CE$3,"&lt;"&amp;$DF56,$AD56:$BA56)+SUMIF($BH$3:$CE$3,"&gt;"&amp;$CW$4,$AD56:$BA56)),
IF(BK$3=$DF56+'Model Setup'!$H$7,SUMIF($BH$3:$CE$3,"="&amp;$DF56+'Model Setup'!$H$7,$AD56:$BA56)+'Model Setup'!$H$8*(SUMIF($BH$3:$CE$3,"&lt;"&amp;$DF56,$AD56:$BA56)+SUMIF($BH$3:$CE$3,"&gt;"&amp;$CW$4,$AD56:$BA56)),
IF(BK$3=$DF56+'Model Setup'!$I$7,SUMIF($BH$3:$CE$3,"="&amp;$DF56+'Model Setup'!$I$7,$AD56:$BA56)+'Model Setup'!$I$8*(SUMIF($BH$3:$CE$3,"&lt;"&amp;$DF56,$AD56:$BA56)+SUMIF($BH$3:$CE$3,"&gt;"&amp;$CW$4,$AD56:$BA56)),
IF(BK$3=$DF56+'Model Setup'!$J$7,SUMIF($BH$3:$CE$3,"="&amp;$DF56+'Model Setup'!$J$7,$AD56:$BA56)+'Model Setup'!$J$8*(SUMIF($BH$3:$CE$3,"&lt;"&amp;$DF56,$AD56:$BA56)+SUMIF($BH$3:$CE$3,"&gt;"&amp;$CW$4,$AD56:$BA56)),
IF(BK$3=$DF56+'Model Setup'!$K$7,SUMIF($BH$3:$CE$3,"="&amp;$DF56+'Model Setup'!$K$7,$AD56:$BA56)+'Model Setup'!$K$8*(SUMIF($BH$3:$CE$3,"&lt;"&amp;$DF56,$AD56:$BA56)+SUMIF($BH$3:$CE$3,"&gt;"&amp;$CW$4,$AD56:$BA56)),
IF(BK$3=$DF56+'Model Setup'!$L$7,SUMIF($BH$3:$CE$3,"="&amp;$DF56+'Model Setup'!$L$7,$AD56:$BA56)+'Model Setup'!$L$8*(SUMIF($BH$3:$CE$3,"&lt;"&amp;$DF56,$AD56:$BA56)+SUMIF($BH$3:$CE$3,"&gt;"&amp;$CW$4,$AD56:$BA56)),
IF(BK$3=$DF56+'Model Setup'!$M$7,SUMIF($BH$3:$CE$3,"="&amp;$DF56+'Model Setup'!$M$7,$AD56:$BA56)+'Model Setup'!$M$8*(SUMIF($BH$3:$CE$3,"&lt;"&amp;$DF56,$AD56:$BA56)+SUMIF($BH$3:$CE$3,"&gt;"&amp;$CW$4,$AD56:$BA56)),
IF(BK$3=$DF56+'Model Setup'!$N$7,SUMIF($BH$3:$CE$3,"="&amp;$DF56+'Model Setup'!$N$7,$AD56:$BA56)+'Model Setup'!$N$8*(SUMIF($BH$3:$CE$3,"&lt;"&amp;$DF56,$AD56:$BA56)+SUMIF($BH$3:$CE$3,"&gt;"&amp;$CW$4,$AD56:$BA56)),
IF(BK$3&lt;$CW$4,E56,0))))))))))))))),0)</f>
        <v>0</v>
      </c>
      <c r="BL56" s="47">
        <f>ROUND(IF(OR(BL$3&lt;$DF56,BL$3&gt;$CW$4),0,
IF(BL$3=$DF56+'Model Setup'!$B$7,SUMIF($BH$3:$CE$3,"="&amp;$DF56+'Model Setup'!$B$7,$AD56:$BA56)+'Model Setup'!$B$8*(SUMIF($BH$3:$CE$3,"&lt;"&amp;$DF56,$AD56:$BA56)+SUMIF($BH$3:$CE$3,"&gt;"&amp;$CW$4,$AD56:$BA56)),
IF(BL$3=$DF56+'Model Setup'!$C$7,SUMIF($BH$3:$CE$3,"="&amp;$DF56+'Model Setup'!$C$7,$AD56:$BA56)+'Model Setup'!$C$8*(SUMIF($BH$3:$CE$3,"&lt;"&amp;$DF56,$AD56:$BA56)+SUMIF($BH$3:$CE$3,"&gt;"&amp;$CW$4,$AD56:$BA56)),
IF(BL$3=$DF56+'Model Setup'!$D$7,SUMIF($BH$3:$CE$3,"="&amp;$DF56+'Model Setup'!$D$7,$AD56:$BA56)+'Model Setup'!$D$8*(SUMIF($BH$3:$CE$3,"&lt;"&amp;$DF56,$AD56:$BA56)+SUMIF($BH$3:$CE$3,"&gt;"&amp;$CW$4,$AD56:$BA56)),
IF(BL$3=$DF56+'Model Setup'!$E$7,SUMIF($BH$3:$CE$3,"="&amp;$DF56+'Model Setup'!$E$7,$AD56:$BA56)+'Model Setup'!$E$8*(SUMIF($BH$3:$CE$3,"&lt;"&amp;$DF56,$AD56:$BA56)+SUMIF($BH$3:$CE$3,"&gt;"&amp;$CW$4,$AD56:$BA56)),
IF(BL$3=$DF56+'Model Setup'!$F$7,SUMIF($BH$3:$CE$3,"="&amp;$DF56+'Model Setup'!$F$7,$AD56:$BA56)+'Model Setup'!$F$8*(SUMIF($BH$3:$CE$3,"&lt;"&amp;$DF56,$AD56:$BA56)+SUMIF($BH$3:$CE$3,"&gt;"&amp;$CW$4,$AD56:$BA56)),
IF(BL$3=$DF56+'Model Setup'!$G$7,SUMIF($BH$3:$CE$3,"="&amp;$DF56+'Model Setup'!$G$7,$AD56:$BA56)+'Model Setup'!$G$8*(SUMIF($BH$3:$CE$3,"&lt;"&amp;$DF56,$AD56:$BA56)+SUMIF($BH$3:$CE$3,"&gt;"&amp;$CW$4,$AD56:$BA56)),
IF(BL$3=$DF56+'Model Setup'!$H$7,SUMIF($BH$3:$CE$3,"="&amp;$DF56+'Model Setup'!$H$7,$AD56:$BA56)+'Model Setup'!$H$8*(SUMIF($BH$3:$CE$3,"&lt;"&amp;$DF56,$AD56:$BA56)+SUMIF($BH$3:$CE$3,"&gt;"&amp;$CW$4,$AD56:$BA56)),
IF(BL$3=$DF56+'Model Setup'!$I$7,SUMIF($BH$3:$CE$3,"="&amp;$DF56+'Model Setup'!$I$7,$AD56:$BA56)+'Model Setup'!$I$8*(SUMIF($BH$3:$CE$3,"&lt;"&amp;$DF56,$AD56:$BA56)+SUMIF($BH$3:$CE$3,"&gt;"&amp;$CW$4,$AD56:$BA56)),
IF(BL$3=$DF56+'Model Setup'!$J$7,SUMIF($BH$3:$CE$3,"="&amp;$DF56+'Model Setup'!$J$7,$AD56:$BA56)+'Model Setup'!$J$8*(SUMIF($BH$3:$CE$3,"&lt;"&amp;$DF56,$AD56:$BA56)+SUMIF($BH$3:$CE$3,"&gt;"&amp;$CW$4,$AD56:$BA56)),
IF(BL$3=$DF56+'Model Setup'!$K$7,SUMIF($BH$3:$CE$3,"="&amp;$DF56+'Model Setup'!$K$7,$AD56:$BA56)+'Model Setup'!$K$8*(SUMIF($BH$3:$CE$3,"&lt;"&amp;$DF56,$AD56:$BA56)+SUMIF($BH$3:$CE$3,"&gt;"&amp;$CW$4,$AD56:$BA56)),
IF(BL$3=$DF56+'Model Setup'!$L$7,SUMIF($BH$3:$CE$3,"="&amp;$DF56+'Model Setup'!$L$7,$AD56:$BA56)+'Model Setup'!$L$8*(SUMIF($BH$3:$CE$3,"&lt;"&amp;$DF56,$AD56:$BA56)+SUMIF($BH$3:$CE$3,"&gt;"&amp;$CW$4,$AD56:$BA56)),
IF(BL$3=$DF56+'Model Setup'!$M$7,SUMIF($BH$3:$CE$3,"="&amp;$DF56+'Model Setup'!$M$7,$AD56:$BA56)+'Model Setup'!$M$8*(SUMIF($BH$3:$CE$3,"&lt;"&amp;$DF56,$AD56:$BA56)+SUMIF($BH$3:$CE$3,"&gt;"&amp;$CW$4,$AD56:$BA56)),
IF(BL$3=$DF56+'Model Setup'!$N$7,SUMIF($BH$3:$CE$3,"="&amp;$DF56+'Model Setup'!$N$7,$AD56:$BA56)+'Model Setup'!$N$8*(SUMIF($BH$3:$CE$3,"&lt;"&amp;$DF56,$AD56:$BA56)+SUMIF($BH$3:$CE$3,"&gt;"&amp;$CW$4,$AD56:$BA56)),
IF(BL$3&lt;$CW$4,F56,0))))))))))))))),0)</f>
        <v>0</v>
      </c>
      <c r="BM56" s="47">
        <f>ROUND(IF(OR(BM$3&lt;$DF56,BM$3&gt;$CW$4),0,
IF(BM$3=$DF56+'Model Setup'!$B$7,SUMIF($BH$3:$CE$3,"="&amp;$DF56+'Model Setup'!$B$7,$AD56:$BA56)+'Model Setup'!$B$8*(SUMIF($BH$3:$CE$3,"&lt;"&amp;$DF56,$AD56:$BA56)+SUMIF($BH$3:$CE$3,"&gt;"&amp;$CW$4,$AD56:$BA56)),
IF(BM$3=$DF56+'Model Setup'!$C$7,SUMIF($BH$3:$CE$3,"="&amp;$DF56+'Model Setup'!$C$7,$AD56:$BA56)+'Model Setup'!$C$8*(SUMIF($BH$3:$CE$3,"&lt;"&amp;$DF56,$AD56:$BA56)+SUMIF($BH$3:$CE$3,"&gt;"&amp;$CW$4,$AD56:$BA56)),
IF(BM$3=$DF56+'Model Setup'!$D$7,SUMIF($BH$3:$CE$3,"="&amp;$DF56+'Model Setup'!$D$7,$AD56:$BA56)+'Model Setup'!$D$8*(SUMIF($BH$3:$CE$3,"&lt;"&amp;$DF56,$AD56:$BA56)+SUMIF($BH$3:$CE$3,"&gt;"&amp;$CW$4,$AD56:$BA56)),
IF(BM$3=$DF56+'Model Setup'!$E$7,SUMIF($BH$3:$CE$3,"="&amp;$DF56+'Model Setup'!$E$7,$AD56:$BA56)+'Model Setup'!$E$8*(SUMIF($BH$3:$CE$3,"&lt;"&amp;$DF56,$AD56:$BA56)+SUMIF($BH$3:$CE$3,"&gt;"&amp;$CW$4,$AD56:$BA56)),
IF(BM$3=$DF56+'Model Setup'!$F$7,SUMIF($BH$3:$CE$3,"="&amp;$DF56+'Model Setup'!$F$7,$AD56:$BA56)+'Model Setup'!$F$8*(SUMIF($BH$3:$CE$3,"&lt;"&amp;$DF56,$AD56:$BA56)+SUMIF($BH$3:$CE$3,"&gt;"&amp;$CW$4,$AD56:$BA56)),
IF(BM$3=$DF56+'Model Setup'!$G$7,SUMIF($BH$3:$CE$3,"="&amp;$DF56+'Model Setup'!$G$7,$AD56:$BA56)+'Model Setup'!$G$8*(SUMIF($BH$3:$CE$3,"&lt;"&amp;$DF56,$AD56:$BA56)+SUMIF($BH$3:$CE$3,"&gt;"&amp;$CW$4,$AD56:$BA56)),
IF(BM$3=$DF56+'Model Setup'!$H$7,SUMIF($BH$3:$CE$3,"="&amp;$DF56+'Model Setup'!$H$7,$AD56:$BA56)+'Model Setup'!$H$8*(SUMIF($BH$3:$CE$3,"&lt;"&amp;$DF56,$AD56:$BA56)+SUMIF($BH$3:$CE$3,"&gt;"&amp;$CW$4,$AD56:$BA56)),
IF(BM$3=$DF56+'Model Setup'!$I$7,SUMIF($BH$3:$CE$3,"="&amp;$DF56+'Model Setup'!$I$7,$AD56:$BA56)+'Model Setup'!$I$8*(SUMIF($BH$3:$CE$3,"&lt;"&amp;$DF56,$AD56:$BA56)+SUMIF($BH$3:$CE$3,"&gt;"&amp;$CW$4,$AD56:$BA56)),
IF(BM$3=$DF56+'Model Setup'!$J$7,SUMIF($BH$3:$CE$3,"="&amp;$DF56+'Model Setup'!$J$7,$AD56:$BA56)+'Model Setup'!$J$8*(SUMIF($BH$3:$CE$3,"&lt;"&amp;$DF56,$AD56:$BA56)+SUMIF($BH$3:$CE$3,"&gt;"&amp;$CW$4,$AD56:$BA56)),
IF(BM$3=$DF56+'Model Setup'!$K$7,SUMIF($BH$3:$CE$3,"="&amp;$DF56+'Model Setup'!$K$7,$AD56:$BA56)+'Model Setup'!$K$8*(SUMIF($BH$3:$CE$3,"&lt;"&amp;$DF56,$AD56:$BA56)+SUMIF($BH$3:$CE$3,"&gt;"&amp;$CW$4,$AD56:$BA56)),
IF(BM$3=$DF56+'Model Setup'!$L$7,SUMIF($BH$3:$CE$3,"="&amp;$DF56+'Model Setup'!$L$7,$AD56:$BA56)+'Model Setup'!$L$8*(SUMIF($BH$3:$CE$3,"&lt;"&amp;$DF56,$AD56:$BA56)+SUMIF($BH$3:$CE$3,"&gt;"&amp;$CW$4,$AD56:$BA56)),
IF(BM$3=$DF56+'Model Setup'!$M$7,SUMIF($BH$3:$CE$3,"="&amp;$DF56+'Model Setup'!$M$7,$AD56:$BA56)+'Model Setup'!$M$8*(SUMIF($BH$3:$CE$3,"&lt;"&amp;$DF56,$AD56:$BA56)+SUMIF($BH$3:$CE$3,"&gt;"&amp;$CW$4,$AD56:$BA56)),
IF(BM$3=$DF56+'Model Setup'!$N$7,SUMIF($BH$3:$CE$3,"="&amp;$DF56+'Model Setup'!$N$7,$AD56:$BA56)+'Model Setup'!$N$8*(SUMIF($BH$3:$CE$3,"&lt;"&amp;$DF56,$AD56:$BA56)+SUMIF($BH$3:$CE$3,"&gt;"&amp;$CW$4,$AD56:$BA56)),
IF(BM$3&lt;$CW$4,G56,0))))))))))))))),0)</f>
        <v>0</v>
      </c>
      <c r="BN56" s="47">
        <f>ROUND(IF(OR(BN$3&lt;$DF56,BN$3&gt;$CW$4),0,
IF(BN$3=$DF56+'Model Setup'!$B$7,SUMIF($BH$3:$CE$3,"="&amp;$DF56+'Model Setup'!$B$7,$AD56:$BA56)+'Model Setup'!$B$8*(SUMIF($BH$3:$CE$3,"&lt;"&amp;$DF56,$AD56:$BA56)+SUMIF($BH$3:$CE$3,"&gt;"&amp;$CW$4,$AD56:$BA56)),
IF(BN$3=$DF56+'Model Setup'!$C$7,SUMIF($BH$3:$CE$3,"="&amp;$DF56+'Model Setup'!$C$7,$AD56:$BA56)+'Model Setup'!$C$8*(SUMIF($BH$3:$CE$3,"&lt;"&amp;$DF56,$AD56:$BA56)+SUMIF($BH$3:$CE$3,"&gt;"&amp;$CW$4,$AD56:$BA56)),
IF(BN$3=$DF56+'Model Setup'!$D$7,SUMIF($BH$3:$CE$3,"="&amp;$DF56+'Model Setup'!$D$7,$AD56:$BA56)+'Model Setup'!$D$8*(SUMIF($BH$3:$CE$3,"&lt;"&amp;$DF56,$AD56:$BA56)+SUMIF($BH$3:$CE$3,"&gt;"&amp;$CW$4,$AD56:$BA56)),
IF(BN$3=$DF56+'Model Setup'!$E$7,SUMIF($BH$3:$CE$3,"="&amp;$DF56+'Model Setup'!$E$7,$AD56:$BA56)+'Model Setup'!$E$8*(SUMIF($BH$3:$CE$3,"&lt;"&amp;$DF56,$AD56:$BA56)+SUMIF($BH$3:$CE$3,"&gt;"&amp;$CW$4,$AD56:$BA56)),
IF(BN$3=$DF56+'Model Setup'!$F$7,SUMIF($BH$3:$CE$3,"="&amp;$DF56+'Model Setup'!$F$7,$AD56:$BA56)+'Model Setup'!$F$8*(SUMIF($BH$3:$CE$3,"&lt;"&amp;$DF56,$AD56:$BA56)+SUMIF($BH$3:$CE$3,"&gt;"&amp;$CW$4,$AD56:$BA56)),
IF(BN$3=$DF56+'Model Setup'!$G$7,SUMIF($BH$3:$CE$3,"="&amp;$DF56+'Model Setup'!$G$7,$AD56:$BA56)+'Model Setup'!$G$8*(SUMIF($BH$3:$CE$3,"&lt;"&amp;$DF56,$AD56:$BA56)+SUMIF($BH$3:$CE$3,"&gt;"&amp;$CW$4,$AD56:$BA56)),
IF(BN$3=$DF56+'Model Setup'!$H$7,SUMIF($BH$3:$CE$3,"="&amp;$DF56+'Model Setup'!$H$7,$AD56:$BA56)+'Model Setup'!$H$8*(SUMIF($BH$3:$CE$3,"&lt;"&amp;$DF56,$AD56:$BA56)+SUMIF($BH$3:$CE$3,"&gt;"&amp;$CW$4,$AD56:$BA56)),
IF(BN$3=$DF56+'Model Setup'!$I$7,SUMIF($BH$3:$CE$3,"="&amp;$DF56+'Model Setup'!$I$7,$AD56:$BA56)+'Model Setup'!$I$8*(SUMIF($BH$3:$CE$3,"&lt;"&amp;$DF56,$AD56:$BA56)+SUMIF($BH$3:$CE$3,"&gt;"&amp;$CW$4,$AD56:$BA56)),
IF(BN$3=$DF56+'Model Setup'!$J$7,SUMIF($BH$3:$CE$3,"="&amp;$DF56+'Model Setup'!$J$7,$AD56:$BA56)+'Model Setup'!$J$8*(SUMIF($BH$3:$CE$3,"&lt;"&amp;$DF56,$AD56:$BA56)+SUMIF($BH$3:$CE$3,"&gt;"&amp;$CW$4,$AD56:$BA56)),
IF(BN$3=$DF56+'Model Setup'!$K$7,SUMIF($BH$3:$CE$3,"="&amp;$DF56+'Model Setup'!$K$7,$AD56:$BA56)+'Model Setup'!$K$8*(SUMIF($BH$3:$CE$3,"&lt;"&amp;$DF56,$AD56:$BA56)+SUMIF($BH$3:$CE$3,"&gt;"&amp;$CW$4,$AD56:$BA56)),
IF(BN$3=$DF56+'Model Setup'!$L$7,SUMIF($BH$3:$CE$3,"="&amp;$DF56+'Model Setup'!$L$7,$AD56:$BA56)+'Model Setup'!$L$8*(SUMIF($BH$3:$CE$3,"&lt;"&amp;$DF56,$AD56:$BA56)+SUMIF($BH$3:$CE$3,"&gt;"&amp;$CW$4,$AD56:$BA56)),
IF(BN$3=$DF56+'Model Setup'!$M$7,SUMIF($BH$3:$CE$3,"="&amp;$DF56+'Model Setup'!$M$7,$AD56:$BA56)+'Model Setup'!$M$8*(SUMIF($BH$3:$CE$3,"&lt;"&amp;$DF56,$AD56:$BA56)+SUMIF($BH$3:$CE$3,"&gt;"&amp;$CW$4,$AD56:$BA56)),
IF(BN$3=$DF56+'Model Setup'!$N$7,SUMIF($BH$3:$CE$3,"="&amp;$DF56+'Model Setup'!$N$7,$AD56:$BA56)+'Model Setup'!$N$8*(SUMIF($BH$3:$CE$3,"&lt;"&amp;$DF56,$AD56:$BA56)+SUMIF($BH$3:$CE$3,"&gt;"&amp;$CW$4,$AD56:$BA56)),
IF(BN$3&lt;$CW$4,H56,0))))))))))))))),0)</f>
        <v>0</v>
      </c>
      <c r="BO56" s="47">
        <f>ROUND(IF(OR(BO$3&lt;$DF56,BO$3&gt;$CW$4),0,
IF(BO$3=$DF56+'Model Setup'!$B$7,SUMIF($BH$3:$CE$3,"="&amp;$DF56+'Model Setup'!$B$7,$AD56:$BA56)+'Model Setup'!$B$8*(SUMIF($BH$3:$CE$3,"&lt;"&amp;$DF56,$AD56:$BA56)+SUMIF($BH$3:$CE$3,"&gt;"&amp;$CW$4,$AD56:$BA56)),
IF(BO$3=$DF56+'Model Setup'!$C$7,SUMIF($BH$3:$CE$3,"="&amp;$DF56+'Model Setup'!$C$7,$AD56:$BA56)+'Model Setup'!$C$8*(SUMIF($BH$3:$CE$3,"&lt;"&amp;$DF56,$AD56:$BA56)+SUMIF($BH$3:$CE$3,"&gt;"&amp;$CW$4,$AD56:$BA56)),
IF(BO$3=$DF56+'Model Setup'!$D$7,SUMIF($BH$3:$CE$3,"="&amp;$DF56+'Model Setup'!$D$7,$AD56:$BA56)+'Model Setup'!$D$8*(SUMIF($BH$3:$CE$3,"&lt;"&amp;$DF56,$AD56:$BA56)+SUMIF($BH$3:$CE$3,"&gt;"&amp;$CW$4,$AD56:$BA56)),
IF(BO$3=$DF56+'Model Setup'!$E$7,SUMIF($BH$3:$CE$3,"="&amp;$DF56+'Model Setup'!$E$7,$AD56:$BA56)+'Model Setup'!$E$8*(SUMIF($BH$3:$CE$3,"&lt;"&amp;$DF56,$AD56:$BA56)+SUMIF($BH$3:$CE$3,"&gt;"&amp;$CW$4,$AD56:$BA56)),
IF(BO$3=$DF56+'Model Setup'!$F$7,SUMIF($BH$3:$CE$3,"="&amp;$DF56+'Model Setup'!$F$7,$AD56:$BA56)+'Model Setup'!$F$8*(SUMIF($BH$3:$CE$3,"&lt;"&amp;$DF56,$AD56:$BA56)+SUMIF($BH$3:$CE$3,"&gt;"&amp;$CW$4,$AD56:$BA56)),
IF(BO$3=$DF56+'Model Setup'!$G$7,SUMIF($BH$3:$CE$3,"="&amp;$DF56+'Model Setup'!$G$7,$AD56:$BA56)+'Model Setup'!$G$8*(SUMIF($BH$3:$CE$3,"&lt;"&amp;$DF56,$AD56:$BA56)+SUMIF($BH$3:$CE$3,"&gt;"&amp;$CW$4,$AD56:$BA56)),
IF(BO$3=$DF56+'Model Setup'!$H$7,SUMIF($BH$3:$CE$3,"="&amp;$DF56+'Model Setup'!$H$7,$AD56:$BA56)+'Model Setup'!$H$8*(SUMIF($BH$3:$CE$3,"&lt;"&amp;$DF56,$AD56:$BA56)+SUMIF($BH$3:$CE$3,"&gt;"&amp;$CW$4,$AD56:$BA56)),
IF(BO$3=$DF56+'Model Setup'!$I$7,SUMIF($BH$3:$CE$3,"="&amp;$DF56+'Model Setup'!$I$7,$AD56:$BA56)+'Model Setup'!$I$8*(SUMIF($BH$3:$CE$3,"&lt;"&amp;$DF56,$AD56:$BA56)+SUMIF($BH$3:$CE$3,"&gt;"&amp;$CW$4,$AD56:$BA56)),
IF(BO$3=$DF56+'Model Setup'!$J$7,SUMIF($BH$3:$CE$3,"="&amp;$DF56+'Model Setup'!$J$7,$AD56:$BA56)+'Model Setup'!$J$8*(SUMIF($BH$3:$CE$3,"&lt;"&amp;$DF56,$AD56:$BA56)+SUMIF($BH$3:$CE$3,"&gt;"&amp;$CW$4,$AD56:$BA56)),
IF(BO$3=$DF56+'Model Setup'!$K$7,SUMIF($BH$3:$CE$3,"="&amp;$DF56+'Model Setup'!$K$7,$AD56:$BA56)+'Model Setup'!$K$8*(SUMIF($BH$3:$CE$3,"&lt;"&amp;$DF56,$AD56:$BA56)+SUMIF($BH$3:$CE$3,"&gt;"&amp;$CW$4,$AD56:$BA56)),
IF(BO$3=$DF56+'Model Setup'!$L$7,SUMIF($BH$3:$CE$3,"="&amp;$DF56+'Model Setup'!$L$7,$AD56:$BA56)+'Model Setup'!$L$8*(SUMIF($BH$3:$CE$3,"&lt;"&amp;$DF56,$AD56:$BA56)+SUMIF($BH$3:$CE$3,"&gt;"&amp;$CW$4,$AD56:$BA56)),
IF(BO$3=$DF56+'Model Setup'!$M$7,SUMIF($BH$3:$CE$3,"="&amp;$DF56+'Model Setup'!$M$7,$AD56:$BA56)+'Model Setup'!$M$8*(SUMIF($BH$3:$CE$3,"&lt;"&amp;$DF56,$AD56:$BA56)+SUMIF($BH$3:$CE$3,"&gt;"&amp;$CW$4,$AD56:$BA56)),
IF(BO$3=$DF56+'Model Setup'!$N$7,SUMIF($BH$3:$CE$3,"="&amp;$DF56+'Model Setup'!$N$7,$AD56:$BA56)+'Model Setup'!$N$8*(SUMIF($BH$3:$CE$3,"&lt;"&amp;$DF56,$AD56:$BA56)+SUMIF($BH$3:$CE$3,"&gt;"&amp;$CW$4,$AD56:$BA56)),
IF(BO$3&lt;$CW$4,I56,0))))))))))))))),0)</f>
        <v>18</v>
      </c>
      <c r="BP56" s="47">
        <f>ROUND(IF(OR(BP$3&lt;$DF56,BP$3&gt;$CW$4),0,
IF(BP$3=$DF56+'Model Setup'!$B$7,SUMIF($BH$3:$CE$3,"="&amp;$DF56+'Model Setup'!$B$7,$AD56:$BA56)+'Model Setup'!$B$8*(SUMIF($BH$3:$CE$3,"&lt;"&amp;$DF56,$AD56:$BA56)+SUMIF($BH$3:$CE$3,"&gt;"&amp;$CW$4,$AD56:$BA56)),
IF(BP$3=$DF56+'Model Setup'!$C$7,SUMIF($BH$3:$CE$3,"="&amp;$DF56+'Model Setup'!$C$7,$AD56:$BA56)+'Model Setup'!$C$8*(SUMIF($BH$3:$CE$3,"&lt;"&amp;$DF56,$AD56:$BA56)+SUMIF($BH$3:$CE$3,"&gt;"&amp;$CW$4,$AD56:$BA56)),
IF(BP$3=$DF56+'Model Setup'!$D$7,SUMIF($BH$3:$CE$3,"="&amp;$DF56+'Model Setup'!$D$7,$AD56:$BA56)+'Model Setup'!$D$8*(SUMIF($BH$3:$CE$3,"&lt;"&amp;$DF56,$AD56:$BA56)+SUMIF($BH$3:$CE$3,"&gt;"&amp;$CW$4,$AD56:$BA56)),
IF(BP$3=$DF56+'Model Setup'!$E$7,SUMIF($BH$3:$CE$3,"="&amp;$DF56+'Model Setup'!$E$7,$AD56:$BA56)+'Model Setup'!$E$8*(SUMIF($BH$3:$CE$3,"&lt;"&amp;$DF56,$AD56:$BA56)+SUMIF($BH$3:$CE$3,"&gt;"&amp;$CW$4,$AD56:$BA56)),
IF(BP$3=$DF56+'Model Setup'!$F$7,SUMIF($BH$3:$CE$3,"="&amp;$DF56+'Model Setup'!$F$7,$AD56:$BA56)+'Model Setup'!$F$8*(SUMIF($BH$3:$CE$3,"&lt;"&amp;$DF56,$AD56:$BA56)+SUMIF($BH$3:$CE$3,"&gt;"&amp;$CW$4,$AD56:$BA56)),
IF(BP$3=$DF56+'Model Setup'!$G$7,SUMIF($BH$3:$CE$3,"="&amp;$DF56+'Model Setup'!$G$7,$AD56:$BA56)+'Model Setup'!$G$8*(SUMIF($BH$3:$CE$3,"&lt;"&amp;$DF56,$AD56:$BA56)+SUMIF($BH$3:$CE$3,"&gt;"&amp;$CW$4,$AD56:$BA56)),
IF(BP$3=$DF56+'Model Setup'!$H$7,SUMIF($BH$3:$CE$3,"="&amp;$DF56+'Model Setup'!$H$7,$AD56:$BA56)+'Model Setup'!$H$8*(SUMIF($BH$3:$CE$3,"&lt;"&amp;$DF56,$AD56:$BA56)+SUMIF($BH$3:$CE$3,"&gt;"&amp;$CW$4,$AD56:$BA56)),
IF(BP$3=$DF56+'Model Setup'!$I$7,SUMIF($BH$3:$CE$3,"="&amp;$DF56+'Model Setup'!$I$7,$AD56:$BA56)+'Model Setup'!$I$8*(SUMIF($BH$3:$CE$3,"&lt;"&amp;$DF56,$AD56:$BA56)+SUMIF($BH$3:$CE$3,"&gt;"&amp;$CW$4,$AD56:$BA56)),
IF(BP$3=$DF56+'Model Setup'!$J$7,SUMIF($BH$3:$CE$3,"="&amp;$DF56+'Model Setup'!$J$7,$AD56:$BA56)+'Model Setup'!$J$8*(SUMIF($BH$3:$CE$3,"&lt;"&amp;$DF56,$AD56:$BA56)+SUMIF($BH$3:$CE$3,"&gt;"&amp;$CW$4,$AD56:$BA56)),
IF(BP$3=$DF56+'Model Setup'!$K$7,SUMIF($BH$3:$CE$3,"="&amp;$DF56+'Model Setup'!$K$7,$AD56:$BA56)+'Model Setup'!$K$8*(SUMIF($BH$3:$CE$3,"&lt;"&amp;$DF56,$AD56:$BA56)+SUMIF($BH$3:$CE$3,"&gt;"&amp;$CW$4,$AD56:$BA56)),
IF(BP$3=$DF56+'Model Setup'!$L$7,SUMIF($BH$3:$CE$3,"="&amp;$DF56+'Model Setup'!$L$7,$AD56:$BA56)+'Model Setup'!$L$8*(SUMIF($BH$3:$CE$3,"&lt;"&amp;$DF56,$AD56:$BA56)+SUMIF($BH$3:$CE$3,"&gt;"&amp;$CW$4,$AD56:$BA56)),
IF(BP$3=$DF56+'Model Setup'!$M$7,SUMIF($BH$3:$CE$3,"="&amp;$DF56+'Model Setup'!$M$7,$AD56:$BA56)+'Model Setup'!$M$8*(SUMIF($BH$3:$CE$3,"&lt;"&amp;$DF56,$AD56:$BA56)+SUMIF($BH$3:$CE$3,"&gt;"&amp;$CW$4,$AD56:$BA56)),
IF(BP$3=$DF56+'Model Setup'!$N$7,SUMIF($BH$3:$CE$3,"="&amp;$DF56+'Model Setup'!$N$7,$AD56:$BA56)+'Model Setup'!$N$8*(SUMIF($BH$3:$CE$3,"&lt;"&amp;$DF56,$AD56:$BA56)+SUMIF($BH$3:$CE$3,"&gt;"&amp;$CW$4,$AD56:$BA56)),
IF(BP$3&lt;$CW$4,J56,0))))))))))))))),0)</f>
        <v>17</v>
      </c>
      <c r="BQ56" s="47">
        <f>ROUND(IF(OR(BQ$3&lt;$DF56,BQ$3&gt;$CW$4),0,
IF(BQ$3=$DF56+'Model Setup'!$B$7,SUMIF($BH$3:$CE$3,"="&amp;$DF56+'Model Setup'!$B$7,$AD56:$BA56)+'Model Setup'!$B$8*(SUMIF($BH$3:$CE$3,"&lt;"&amp;$DF56,$AD56:$BA56)+SUMIF($BH$3:$CE$3,"&gt;"&amp;$CW$4,$AD56:$BA56)),
IF(BQ$3=$DF56+'Model Setup'!$C$7,SUMIF($BH$3:$CE$3,"="&amp;$DF56+'Model Setup'!$C$7,$AD56:$BA56)+'Model Setup'!$C$8*(SUMIF($BH$3:$CE$3,"&lt;"&amp;$DF56,$AD56:$BA56)+SUMIF($BH$3:$CE$3,"&gt;"&amp;$CW$4,$AD56:$BA56)),
IF(BQ$3=$DF56+'Model Setup'!$D$7,SUMIF($BH$3:$CE$3,"="&amp;$DF56+'Model Setup'!$D$7,$AD56:$BA56)+'Model Setup'!$D$8*(SUMIF($BH$3:$CE$3,"&lt;"&amp;$DF56,$AD56:$BA56)+SUMIF($BH$3:$CE$3,"&gt;"&amp;$CW$4,$AD56:$BA56)),
IF(BQ$3=$DF56+'Model Setup'!$E$7,SUMIF($BH$3:$CE$3,"="&amp;$DF56+'Model Setup'!$E$7,$AD56:$BA56)+'Model Setup'!$E$8*(SUMIF($BH$3:$CE$3,"&lt;"&amp;$DF56,$AD56:$BA56)+SUMIF($BH$3:$CE$3,"&gt;"&amp;$CW$4,$AD56:$BA56)),
IF(BQ$3=$DF56+'Model Setup'!$F$7,SUMIF($BH$3:$CE$3,"="&amp;$DF56+'Model Setup'!$F$7,$AD56:$BA56)+'Model Setup'!$F$8*(SUMIF($BH$3:$CE$3,"&lt;"&amp;$DF56,$AD56:$BA56)+SUMIF($BH$3:$CE$3,"&gt;"&amp;$CW$4,$AD56:$BA56)),
IF(BQ$3=$DF56+'Model Setup'!$G$7,SUMIF($BH$3:$CE$3,"="&amp;$DF56+'Model Setup'!$G$7,$AD56:$BA56)+'Model Setup'!$G$8*(SUMIF($BH$3:$CE$3,"&lt;"&amp;$DF56,$AD56:$BA56)+SUMIF($BH$3:$CE$3,"&gt;"&amp;$CW$4,$AD56:$BA56)),
IF(BQ$3=$DF56+'Model Setup'!$H$7,SUMIF($BH$3:$CE$3,"="&amp;$DF56+'Model Setup'!$H$7,$AD56:$BA56)+'Model Setup'!$H$8*(SUMIF($BH$3:$CE$3,"&lt;"&amp;$DF56,$AD56:$BA56)+SUMIF($BH$3:$CE$3,"&gt;"&amp;$CW$4,$AD56:$BA56)),
IF(BQ$3=$DF56+'Model Setup'!$I$7,SUMIF($BH$3:$CE$3,"="&amp;$DF56+'Model Setup'!$I$7,$AD56:$BA56)+'Model Setup'!$I$8*(SUMIF($BH$3:$CE$3,"&lt;"&amp;$DF56,$AD56:$BA56)+SUMIF($BH$3:$CE$3,"&gt;"&amp;$CW$4,$AD56:$BA56)),
IF(BQ$3=$DF56+'Model Setup'!$J$7,SUMIF($BH$3:$CE$3,"="&amp;$DF56+'Model Setup'!$J$7,$AD56:$BA56)+'Model Setup'!$J$8*(SUMIF($BH$3:$CE$3,"&lt;"&amp;$DF56,$AD56:$BA56)+SUMIF($BH$3:$CE$3,"&gt;"&amp;$CW$4,$AD56:$BA56)),
IF(BQ$3=$DF56+'Model Setup'!$K$7,SUMIF($BH$3:$CE$3,"="&amp;$DF56+'Model Setup'!$K$7,$AD56:$BA56)+'Model Setup'!$K$8*(SUMIF($BH$3:$CE$3,"&lt;"&amp;$DF56,$AD56:$BA56)+SUMIF($BH$3:$CE$3,"&gt;"&amp;$CW$4,$AD56:$BA56)),
IF(BQ$3=$DF56+'Model Setup'!$L$7,SUMIF($BH$3:$CE$3,"="&amp;$DF56+'Model Setup'!$L$7,$AD56:$BA56)+'Model Setup'!$L$8*(SUMIF($BH$3:$CE$3,"&lt;"&amp;$DF56,$AD56:$BA56)+SUMIF($BH$3:$CE$3,"&gt;"&amp;$CW$4,$AD56:$BA56)),
IF(BQ$3=$DF56+'Model Setup'!$M$7,SUMIF($BH$3:$CE$3,"="&amp;$DF56+'Model Setup'!$M$7,$AD56:$BA56)+'Model Setup'!$M$8*(SUMIF($BH$3:$CE$3,"&lt;"&amp;$DF56,$AD56:$BA56)+SUMIF($BH$3:$CE$3,"&gt;"&amp;$CW$4,$AD56:$BA56)),
IF(BQ$3=$DF56+'Model Setup'!$N$7,SUMIF($BH$3:$CE$3,"="&amp;$DF56+'Model Setup'!$N$7,$AD56:$BA56)+'Model Setup'!$N$8*(SUMIF($BH$3:$CE$3,"&lt;"&amp;$DF56,$AD56:$BA56)+SUMIF($BH$3:$CE$3,"&gt;"&amp;$CW$4,$AD56:$BA56)),
IF(BQ$3&lt;$CW$4,K56,0))))))))))))))),0)</f>
        <v>16</v>
      </c>
      <c r="BR56" s="47">
        <f>ROUND(IF(OR(BR$3&lt;$DF56,BR$3&gt;$CW$4),0,
IF(BR$3=$DF56+'Model Setup'!$B$7,SUMIF($BH$3:$CE$3,"="&amp;$DF56+'Model Setup'!$B$7,$AD56:$BA56)+'Model Setup'!$B$8*(SUMIF($BH$3:$CE$3,"&lt;"&amp;$DF56,$AD56:$BA56)+SUMIF($BH$3:$CE$3,"&gt;"&amp;$CW$4,$AD56:$BA56)),
IF(BR$3=$DF56+'Model Setup'!$C$7,SUMIF($BH$3:$CE$3,"="&amp;$DF56+'Model Setup'!$C$7,$AD56:$BA56)+'Model Setup'!$C$8*(SUMIF($BH$3:$CE$3,"&lt;"&amp;$DF56,$AD56:$BA56)+SUMIF($BH$3:$CE$3,"&gt;"&amp;$CW$4,$AD56:$BA56)),
IF(BR$3=$DF56+'Model Setup'!$D$7,SUMIF($BH$3:$CE$3,"="&amp;$DF56+'Model Setup'!$D$7,$AD56:$BA56)+'Model Setup'!$D$8*(SUMIF($BH$3:$CE$3,"&lt;"&amp;$DF56,$AD56:$BA56)+SUMIF($BH$3:$CE$3,"&gt;"&amp;$CW$4,$AD56:$BA56)),
IF(BR$3=$DF56+'Model Setup'!$E$7,SUMIF($BH$3:$CE$3,"="&amp;$DF56+'Model Setup'!$E$7,$AD56:$BA56)+'Model Setup'!$E$8*(SUMIF($BH$3:$CE$3,"&lt;"&amp;$DF56,$AD56:$BA56)+SUMIF($BH$3:$CE$3,"&gt;"&amp;$CW$4,$AD56:$BA56)),
IF(BR$3=$DF56+'Model Setup'!$F$7,SUMIF($BH$3:$CE$3,"="&amp;$DF56+'Model Setup'!$F$7,$AD56:$BA56)+'Model Setup'!$F$8*(SUMIF($BH$3:$CE$3,"&lt;"&amp;$DF56,$AD56:$BA56)+SUMIF($BH$3:$CE$3,"&gt;"&amp;$CW$4,$AD56:$BA56)),
IF(BR$3=$DF56+'Model Setup'!$G$7,SUMIF($BH$3:$CE$3,"="&amp;$DF56+'Model Setup'!$G$7,$AD56:$BA56)+'Model Setup'!$G$8*(SUMIF($BH$3:$CE$3,"&lt;"&amp;$DF56,$AD56:$BA56)+SUMIF($BH$3:$CE$3,"&gt;"&amp;$CW$4,$AD56:$BA56)),
IF(BR$3=$DF56+'Model Setup'!$H$7,SUMIF($BH$3:$CE$3,"="&amp;$DF56+'Model Setup'!$H$7,$AD56:$BA56)+'Model Setup'!$H$8*(SUMIF($BH$3:$CE$3,"&lt;"&amp;$DF56,$AD56:$BA56)+SUMIF($BH$3:$CE$3,"&gt;"&amp;$CW$4,$AD56:$BA56)),
IF(BR$3=$DF56+'Model Setup'!$I$7,SUMIF($BH$3:$CE$3,"="&amp;$DF56+'Model Setup'!$I$7,$AD56:$BA56)+'Model Setup'!$I$8*(SUMIF($BH$3:$CE$3,"&lt;"&amp;$DF56,$AD56:$BA56)+SUMIF($BH$3:$CE$3,"&gt;"&amp;$CW$4,$AD56:$BA56)),
IF(BR$3=$DF56+'Model Setup'!$J$7,SUMIF($BH$3:$CE$3,"="&amp;$DF56+'Model Setup'!$J$7,$AD56:$BA56)+'Model Setup'!$J$8*(SUMIF($BH$3:$CE$3,"&lt;"&amp;$DF56,$AD56:$BA56)+SUMIF($BH$3:$CE$3,"&gt;"&amp;$CW$4,$AD56:$BA56)),
IF(BR$3=$DF56+'Model Setup'!$K$7,SUMIF($BH$3:$CE$3,"="&amp;$DF56+'Model Setup'!$K$7,$AD56:$BA56)+'Model Setup'!$K$8*(SUMIF($BH$3:$CE$3,"&lt;"&amp;$DF56,$AD56:$BA56)+SUMIF($BH$3:$CE$3,"&gt;"&amp;$CW$4,$AD56:$BA56)),
IF(BR$3=$DF56+'Model Setup'!$L$7,SUMIF($BH$3:$CE$3,"="&amp;$DF56+'Model Setup'!$L$7,$AD56:$BA56)+'Model Setup'!$L$8*(SUMIF($BH$3:$CE$3,"&lt;"&amp;$DF56,$AD56:$BA56)+SUMIF($BH$3:$CE$3,"&gt;"&amp;$CW$4,$AD56:$BA56)),
IF(BR$3=$DF56+'Model Setup'!$M$7,SUMIF($BH$3:$CE$3,"="&amp;$DF56+'Model Setup'!$M$7,$AD56:$BA56)+'Model Setup'!$M$8*(SUMIF($BH$3:$CE$3,"&lt;"&amp;$DF56,$AD56:$BA56)+SUMIF($BH$3:$CE$3,"&gt;"&amp;$CW$4,$AD56:$BA56)),
IF(BR$3=$DF56+'Model Setup'!$N$7,SUMIF($BH$3:$CE$3,"="&amp;$DF56+'Model Setup'!$N$7,$AD56:$BA56)+'Model Setup'!$N$8*(SUMIF($BH$3:$CE$3,"&lt;"&amp;$DF56,$AD56:$BA56)+SUMIF($BH$3:$CE$3,"&gt;"&amp;$CW$4,$AD56:$BA56)),
IF(BR$3&lt;$CW$4,L56,0))))))))))))))),0)</f>
        <v>12</v>
      </c>
      <c r="BS56" s="47">
        <f>ROUND(IF(OR(BS$3&lt;$DF56,BS$3&gt;$CW$4),0,
IF(BS$3=$DF56+'Model Setup'!$B$7,SUMIF($BH$3:$CE$3,"="&amp;$DF56+'Model Setup'!$B$7,$AD56:$BA56)+'Model Setup'!$B$8*(SUMIF($BH$3:$CE$3,"&lt;"&amp;$DF56,$AD56:$BA56)+SUMIF($BH$3:$CE$3,"&gt;"&amp;$CW$4,$AD56:$BA56)),
IF(BS$3=$DF56+'Model Setup'!$C$7,SUMIF($BH$3:$CE$3,"="&amp;$DF56+'Model Setup'!$C$7,$AD56:$BA56)+'Model Setup'!$C$8*(SUMIF($BH$3:$CE$3,"&lt;"&amp;$DF56,$AD56:$BA56)+SUMIF($BH$3:$CE$3,"&gt;"&amp;$CW$4,$AD56:$BA56)),
IF(BS$3=$DF56+'Model Setup'!$D$7,SUMIF($BH$3:$CE$3,"="&amp;$DF56+'Model Setup'!$D$7,$AD56:$BA56)+'Model Setup'!$D$8*(SUMIF($BH$3:$CE$3,"&lt;"&amp;$DF56,$AD56:$BA56)+SUMIF($BH$3:$CE$3,"&gt;"&amp;$CW$4,$AD56:$BA56)),
IF(BS$3=$DF56+'Model Setup'!$E$7,SUMIF($BH$3:$CE$3,"="&amp;$DF56+'Model Setup'!$E$7,$AD56:$BA56)+'Model Setup'!$E$8*(SUMIF($BH$3:$CE$3,"&lt;"&amp;$DF56,$AD56:$BA56)+SUMIF($BH$3:$CE$3,"&gt;"&amp;$CW$4,$AD56:$BA56)),
IF(BS$3=$DF56+'Model Setup'!$F$7,SUMIF($BH$3:$CE$3,"="&amp;$DF56+'Model Setup'!$F$7,$AD56:$BA56)+'Model Setup'!$F$8*(SUMIF($BH$3:$CE$3,"&lt;"&amp;$DF56,$AD56:$BA56)+SUMIF($BH$3:$CE$3,"&gt;"&amp;$CW$4,$AD56:$BA56)),
IF(BS$3=$DF56+'Model Setup'!$G$7,SUMIF($BH$3:$CE$3,"="&amp;$DF56+'Model Setup'!$G$7,$AD56:$BA56)+'Model Setup'!$G$8*(SUMIF($BH$3:$CE$3,"&lt;"&amp;$DF56,$AD56:$BA56)+SUMIF($BH$3:$CE$3,"&gt;"&amp;$CW$4,$AD56:$BA56)),
IF(BS$3=$DF56+'Model Setup'!$H$7,SUMIF($BH$3:$CE$3,"="&amp;$DF56+'Model Setup'!$H$7,$AD56:$BA56)+'Model Setup'!$H$8*(SUMIF($BH$3:$CE$3,"&lt;"&amp;$DF56,$AD56:$BA56)+SUMIF($BH$3:$CE$3,"&gt;"&amp;$CW$4,$AD56:$BA56)),
IF(BS$3=$DF56+'Model Setup'!$I$7,SUMIF($BH$3:$CE$3,"="&amp;$DF56+'Model Setup'!$I$7,$AD56:$BA56)+'Model Setup'!$I$8*(SUMIF($BH$3:$CE$3,"&lt;"&amp;$DF56,$AD56:$BA56)+SUMIF($BH$3:$CE$3,"&gt;"&amp;$CW$4,$AD56:$BA56)),
IF(BS$3=$DF56+'Model Setup'!$J$7,SUMIF($BH$3:$CE$3,"="&amp;$DF56+'Model Setup'!$J$7,$AD56:$BA56)+'Model Setup'!$J$8*(SUMIF($BH$3:$CE$3,"&lt;"&amp;$DF56,$AD56:$BA56)+SUMIF($BH$3:$CE$3,"&gt;"&amp;$CW$4,$AD56:$BA56)),
IF(BS$3=$DF56+'Model Setup'!$K$7,SUMIF($BH$3:$CE$3,"="&amp;$DF56+'Model Setup'!$K$7,$AD56:$BA56)+'Model Setup'!$K$8*(SUMIF($BH$3:$CE$3,"&lt;"&amp;$DF56,$AD56:$BA56)+SUMIF($BH$3:$CE$3,"&gt;"&amp;$CW$4,$AD56:$BA56)),
IF(BS$3=$DF56+'Model Setup'!$L$7,SUMIF($BH$3:$CE$3,"="&amp;$DF56+'Model Setup'!$L$7,$AD56:$BA56)+'Model Setup'!$L$8*(SUMIF($BH$3:$CE$3,"&lt;"&amp;$DF56,$AD56:$BA56)+SUMIF($BH$3:$CE$3,"&gt;"&amp;$CW$4,$AD56:$BA56)),
IF(BS$3=$DF56+'Model Setup'!$M$7,SUMIF($BH$3:$CE$3,"="&amp;$DF56+'Model Setup'!$M$7,$AD56:$BA56)+'Model Setup'!$M$8*(SUMIF($BH$3:$CE$3,"&lt;"&amp;$DF56,$AD56:$BA56)+SUMIF($BH$3:$CE$3,"&gt;"&amp;$CW$4,$AD56:$BA56)),
IF(BS$3=$DF56+'Model Setup'!$N$7,SUMIF($BH$3:$CE$3,"="&amp;$DF56+'Model Setup'!$N$7,$AD56:$BA56)+'Model Setup'!$N$8*(SUMIF($BH$3:$CE$3,"&lt;"&amp;$DF56,$AD56:$BA56)+SUMIF($BH$3:$CE$3,"&gt;"&amp;$CW$4,$AD56:$BA56)),
IF(BS$3&lt;$CW$4,M56,0))))))))))))))),0)</f>
        <v>10</v>
      </c>
      <c r="BT56" s="47">
        <f>ROUND(IF(OR(BT$3&lt;$DF56,BT$3&gt;$CW$4),0,
IF(BT$3=$DF56+'Model Setup'!$B$7,SUMIF($BH$3:$CE$3,"="&amp;$DF56+'Model Setup'!$B$7,$AD56:$BA56)+'Model Setup'!$B$8*(SUMIF($BH$3:$CE$3,"&lt;"&amp;$DF56,$AD56:$BA56)+SUMIF($BH$3:$CE$3,"&gt;"&amp;$CW$4,$AD56:$BA56)),
IF(BT$3=$DF56+'Model Setup'!$C$7,SUMIF($BH$3:$CE$3,"="&amp;$DF56+'Model Setup'!$C$7,$AD56:$BA56)+'Model Setup'!$C$8*(SUMIF($BH$3:$CE$3,"&lt;"&amp;$DF56,$AD56:$BA56)+SUMIF($BH$3:$CE$3,"&gt;"&amp;$CW$4,$AD56:$BA56)),
IF(BT$3=$DF56+'Model Setup'!$D$7,SUMIF($BH$3:$CE$3,"="&amp;$DF56+'Model Setup'!$D$7,$AD56:$BA56)+'Model Setup'!$D$8*(SUMIF($BH$3:$CE$3,"&lt;"&amp;$DF56,$AD56:$BA56)+SUMIF($BH$3:$CE$3,"&gt;"&amp;$CW$4,$AD56:$BA56)),
IF(BT$3=$DF56+'Model Setup'!$E$7,SUMIF($BH$3:$CE$3,"="&amp;$DF56+'Model Setup'!$E$7,$AD56:$BA56)+'Model Setup'!$E$8*(SUMIF($BH$3:$CE$3,"&lt;"&amp;$DF56,$AD56:$BA56)+SUMIF($BH$3:$CE$3,"&gt;"&amp;$CW$4,$AD56:$BA56)),
IF(BT$3=$DF56+'Model Setup'!$F$7,SUMIF($BH$3:$CE$3,"="&amp;$DF56+'Model Setup'!$F$7,$AD56:$BA56)+'Model Setup'!$F$8*(SUMIF($BH$3:$CE$3,"&lt;"&amp;$DF56,$AD56:$BA56)+SUMIF($BH$3:$CE$3,"&gt;"&amp;$CW$4,$AD56:$BA56)),
IF(BT$3=$DF56+'Model Setup'!$G$7,SUMIF($BH$3:$CE$3,"="&amp;$DF56+'Model Setup'!$G$7,$AD56:$BA56)+'Model Setup'!$G$8*(SUMIF($BH$3:$CE$3,"&lt;"&amp;$DF56,$AD56:$BA56)+SUMIF($BH$3:$CE$3,"&gt;"&amp;$CW$4,$AD56:$BA56)),
IF(BT$3=$DF56+'Model Setup'!$H$7,SUMIF($BH$3:$CE$3,"="&amp;$DF56+'Model Setup'!$H$7,$AD56:$BA56)+'Model Setup'!$H$8*(SUMIF($BH$3:$CE$3,"&lt;"&amp;$DF56,$AD56:$BA56)+SUMIF($BH$3:$CE$3,"&gt;"&amp;$CW$4,$AD56:$BA56)),
IF(BT$3=$DF56+'Model Setup'!$I$7,SUMIF($BH$3:$CE$3,"="&amp;$DF56+'Model Setup'!$I$7,$AD56:$BA56)+'Model Setup'!$I$8*(SUMIF($BH$3:$CE$3,"&lt;"&amp;$DF56,$AD56:$BA56)+SUMIF($BH$3:$CE$3,"&gt;"&amp;$CW$4,$AD56:$BA56)),
IF(BT$3=$DF56+'Model Setup'!$J$7,SUMIF($BH$3:$CE$3,"="&amp;$DF56+'Model Setup'!$J$7,$AD56:$BA56)+'Model Setup'!$J$8*(SUMIF($BH$3:$CE$3,"&lt;"&amp;$DF56,$AD56:$BA56)+SUMIF($BH$3:$CE$3,"&gt;"&amp;$CW$4,$AD56:$BA56)),
IF(BT$3=$DF56+'Model Setup'!$K$7,SUMIF($BH$3:$CE$3,"="&amp;$DF56+'Model Setup'!$K$7,$AD56:$BA56)+'Model Setup'!$K$8*(SUMIF($BH$3:$CE$3,"&lt;"&amp;$DF56,$AD56:$BA56)+SUMIF($BH$3:$CE$3,"&gt;"&amp;$CW$4,$AD56:$BA56)),
IF(BT$3=$DF56+'Model Setup'!$L$7,SUMIF($BH$3:$CE$3,"="&amp;$DF56+'Model Setup'!$L$7,$AD56:$BA56)+'Model Setup'!$L$8*(SUMIF($BH$3:$CE$3,"&lt;"&amp;$DF56,$AD56:$BA56)+SUMIF($BH$3:$CE$3,"&gt;"&amp;$CW$4,$AD56:$BA56)),
IF(BT$3=$DF56+'Model Setup'!$M$7,SUMIF($BH$3:$CE$3,"="&amp;$DF56+'Model Setup'!$M$7,$AD56:$BA56)+'Model Setup'!$M$8*(SUMIF($BH$3:$CE$3,"&lt;"&amp;$DF56,$AD56:$BA56)+SUMIF($BH$3:$CE$3,"&gt;"&amp;$CW$4,$AD56:$BA56)),
IF(BT$3=$DF56+'Model Setup'!$N$7,SUMIF($BH$3:$CE$3,"="&amp;$DF56+'Model Setup'!$N$7,$AD56:$BA56)+'Model Setup'!$N$8*(SUMIF($BH$3:$CE$3,"&lt;"&amp;$DF56,$AD56:$BA56)+SUMIF($BH$3:$CE$3,"&gt;"&amp;$CW$4,$AD56:$BA56)),
IF(BT$3&lt;$CW$4,N56,0))))))))))))))),0)</f>
        <v>11</v>
      </c>
      <c r="BU56" s="47">
        <f>ROUND(IF(OR(BU$3&lt;$DF56,BU$3&gt;$CW$4),0,
IF(BU$3=$DF56+'Model Setup'!$B$7,SUMIF($BH$3:$CE$3,"="&amp;$DF56+'Model Setup'!$B$7,$AD56:$BA56)+'Model Setup'!$B$8*(SUMIF($BH$3:$CE$3,"&lt;"&amp;$DF56,$AD56:$BA56)+SUMIF($BH$3:$CE$3,"&gt;"&amp;$CW$4,$AD56:$BA56)),
IF(BU$3=$DF56+'Model Setup'!$C$7,SUMIF($BH$3:$CE$3,"="&amp;$DF56+'Model Setup'!$C$7,$AD56:$BA56)+'Model Setup'!$C$8*(SUMIF($BH$3:$CE$3,"&lt;"&amp;$DF56,$AD56:$BA56)+SUMIF($BH$3:$CE$3,"&gt;"&amp;$CW$4,$AD56:$BA56)),
IF(BU$3=$DF56+'Model Setup'!$D$7,SUMIF($BH$3:$CE$3,"="&amp;$DF56+'Model Setup'!$D$7,$AD56:$BA56)+'Model Setup'!$D$8*(SUMIF($BH$3:$CE$3,"&lt;"&amp;$DF56,$AD56:$BA56)+SUMIF($BH$3:$CE$3,"&gt;"&amp;$CW$4,$AD56:$BA56)),
IF(BU$3=$DF56+'Model Setup'!$E$7,SUMIF($BH$3:$CE$3,"="&amp;$DF56+'Model Setup'!$E$7,$AD56:$BA56)+'Model Setup'!$E$8*(SUMIF($BH$3:$CE$3,"&lt;"&amp;$DF56,$AD56:$BA56)+SUMIF($BH$3:$CE$3,"&gt;"&amp;$CW$4,$AD56:$BA56)),
IF(BU$3=$DF56+'Model Setup'!$F$7,SUMIF($BH$3:$CE$3,"="&amp;$DF56+'Model Setup'!$F$7,$AD56:$BA56)+'Model Setup'!$F$8*(SUMIF($BH$3:$CE$3,"&lt;"&amp;$DF56,$AD56:$BA56)+SUMIF($BH$3:$CE$3,"&gt;"&amp;$CW$4,$AD56:$BA56)),
IF(BU$3=$DF56+'Model Setup'!$G$7,SUMIF($BH$3:$CE$3,"="&amp;$DF56+'Model Setup'!$G$7,$AD56:$BA56)+'Model Setup'!$G$8*(SUMIF($BH$3:$CE$3,"&lt;"&amp;$DF56,$AD56:$BA56)+SUMIF($BH$3:$CE$3,"&gt;"&amp;$CW$4,$AD56:$BA56)),
IF(BU$3=$DF56+'Model Setup'!$H$7,SUMIF($BH$3:$CE$3,"="&amp;$DF56+'Model Setup'!$H$7,$AD56:$BA56)+'Model Setup'!$H$8*(SUMIF($BH$3:$CE$3,"&lt;"&amp;$DF56,$AD56:$BA56)+SUMIF($BH$3:$CE$3,"&gt;"&amp;$CW$4,$AD56:$BA56)),
IF(BU$3=$DF56+'Model Setup'!$I$7,SUMIF($BH$3:$CE$3,"="&amp;$DF56+'Model Setup'!$I$7,$AD56:$BA56)+'Model Setup'!$I$8*(SUMIF($BH$3:$CE$3,"&lt;"&amp;$DF56,$AD56:$BA56)+SUMIF($BH$3:$CE$3,"&gt;"&amp;$CW$4,$AD56:$BA56)),
IF(BU$3=$DF56+'Model Setup'!$J$7,SUMIF($BH$3:$CE$3,"="&amp;$DF56+'Model Setup'!$J$7,$AD56:$BA56)+'Model Setup'!$J$8*(SUMIF($BH$3:$CE$3,"&lt;"&amp;$DF56,$AD56:$BA56)+SUMIF($BH$3:$CE$3,"&gt;"&amp;$CW$4,$AD56:$BA56)),
IF(BU$3=$DF56+'Model Setup'!$K$7,SUMIF($BH$3:$CE$3,"="&amp;$DF56+'Model Setup'!$K$7,$AD56:$BA56)+'Model Setup'!$K$8*(SUMIF($BH$3:$CE$3,"&lt;"&amp;$DF56,$AD56:$BA56)+SUMIF($BH$3:$CE$3,"&gt;"&amp;$CW$4,$AD56:$BA56)),
IF(BU$3=$DF56+'Model Setup'!$L$7,SUMIF($BH$3:$CE$3,"="&amp;$DF56+'Model Setup'!$L$7,$AD56:$BA56)+'Model Setup'!$L$8*(SUMIF($BH$3:$CE$3,"&lt;"&amp;$DF56,$AD56:$BA56)+SUMIF($BH$3:$CE$3,"&gt;"&amp;$CW$4,$AD56:$BA56)),
IF(BU$3=$DF56+'Model Setup'!$M$7,SUMIF($BH$3:$CE$3,"="&amp;$DF56+'Model Setup'!$M$7,$AD56:$BA56)+'Model Setup'!$M$8*(SUMIF($BH$3:$CE$3,"&lt;"&amp;$DF56,$AD56:$BA56)+SUMIF($BH$3:$CE$3,"&gt;"&amp;$CW$4,$AD56:$BA56)),
IF(BU$3=$DF56+'Model Setup'!$N$7,SUMIF($BH$3:$CE$3,"="&amp;$DF56+'Model Setup'!$N$7,$AD56:$BA56)+'Model Setup'!$N$8*(SUMIF($BH$3:$CE$3,"&lt;"&amp;$DF56,$AD56:$BA56)+SUMIF($BH$3:$CE$3,"&gt;"&amp;$CW$4,$AD56:$BA56)),
IF(BU$3&lt;$CW$4,O56,0))))))))))))))),0)</f>
        <v>9</v>
      </c>
      <c r="BV56" s="47">
        <f>ROUND(IF(OR(BV$3&lt;$DF56,BV$3&gt;$CW$4),0,
IF(BV$3=$DF56+'Model Setup'!$B$7,SUMIF($BH$3:$CE$3,"="&amp;$DF56+'Model Setup'!$B$7,$AD56:$BA56)+'Model Setup'!$B$8*(SUMIF($BH$3:$CE$3,"&lt;"&amp;$DF56,$AD56:$BA56)+SUMIF($BH$3:$CE$3,"&gt;"&amp;$CW$4,$AD56:$BA56)),
IF(BV$3=$DF56+'Model Setup'!$C$7,SUMIF($BH$3:$CE$3,"="&amp;$DF56+'Model Setup'!$C$7,$AD56:$BA56)+'Model Setup'!$C$8*(SUMIF($BH$3:$CE$3,"&lt;"&amp;$DF56,$AD56:$BA56)+SUMIF($BH$3:$CE$3,"&gt;"&amp;$CW$4,$AD56:$BA56)),
IF(BV$3=$DF56+'Model Setup'!$D$7,SUMIF($BH$3:$CE$3,"="&amp;$DF56+'Model Setup'!$D$7,$AD56:$BA56)+'Model Setup'!$D$8*(SUMIF($BH$3:$CE$3,"&lt;"&amp;$DF56,$AD56:$BA56)+SUMIF($BH$3:$CE$3,"&gt;"&amp;$CW$4,$AD56:$BA56)),
IF(BV$3=$DF56+'Model Setup'!$E$7,SUMIF($BH$3:$CE$3,"="&amp;$DF56+'Model Setup'!$E$7,$AD56:$BA56)+'Model Setup'!$E$8*(SUMIF($BH$3:$CE$3,"&lt;"&amp;$DF56,$AD56:$BA56)+SUMIF($BH$3:$CE$3,"&gt;"&amp;$CW$4,$AD56:$BA56)),
IF(BV$3=$DF56+'Model Setup'!$F$7,SUMIF($BH$3:$CE$3,"="&amp;$DF56+'Model Setup'!$F$7,$AD56:$BA56)+'Model Setup'!$F$8*(SUMIF($BH$3:$CE$3,"&lt;"&amp;$DF56,$AD56:$BA56)+SUMIF($BH$3:$CE$3,"&gt;"&amp;$CW$4,$AD56:$BA56)),
IF(BV$3=$DF56+'Model Setup'!$G$7,SUMIF($BH$3:$CE$3,"="&amp;$DF56+'Model Setup'!$G$7,$AD56:$BA56)+'Model Setup'!$G$8*(SUMIF($BH$3:$CE$3,"&lt;"&amp;$DF56,$AD56:$BA56)+SUMIF($BH$3:$CE$3,"&gt;"&amp;$CW$4,$AD56:$BA56)),
IF(BV$3=$DF56+'Model Setup'!$H$7,SUMIF($BH$3:$CE$3,"="&amp;$DF56+'Model Setup'!$H$7,$AD56:$BA56)+'Model Setup'!$H$8*(SUMIF($BH$3:$CE$3,"&lt;"&amp;$DF56,$AD56:$BA56)+SUMIF($BH$3:$CE$3,"&gt;"&amp;$CW$4,$AD56:$BA56)),
IF(BV$3=$DF56+'Model Setup'!$I$7,SUMIF($BH$3:$CE$3,"="&amp;$DF56+'Model Setup'!$I$7,$AD56:$BA56)+'Model Setup'!$I$8*(SUMIF($BH$3:$CE$3,"&lt;"&amp;$DF56,$AD56:$BA56)+SUMIF($BH$3:$CE$3,"&gt;"&amp;$CW$4,$AD56:$BA56)),
IF(BV$3=$DF56+'Model Setup'!$J$7,SUMIF($BH$3:$CE$3,"="&amp;$DF56+'Model Setup'!$J$7,$AD56:$BA56)+'Model Setup'!$J$8*(SUMIF($BH$3:$CE$3,"&lt;"&amp;$DF56,$AD56:$BA56)+SUMIF($BH$3:$CE$3,"&gt;"&amp;$CW$4,$AD56:$BA56)),
IF(BV$3=$DF56+'Model Setup'!$K$7,SUMIF($BH$3:$CE$3,"="&amp;$DF56+'Model Setup'!$K$7,$AD56:$BA56)+'Model Setup'!$K$8*(SUMIF($BH$3:$CE$3,"&lt;"&amp;$DF56,$AD56:$BA56)+SUMIF($BH$3:$CE$3,"&gt;"&amp;$CW$4,$AD56:$BA56)),
IF(BV$3=$DF56+'Model Setup'!$L$7,SUMIF($BH$3:$CE$3,"="&amp;$DF56+'Model Setup'!$L$7,$AD56:$BA56)+'Model Setup'!$L$8*(SUMIF($BH$3:$CE$3,"&lt;"&amp;$DF56,$AD56:$BA56)+SUMIF($BH$3:$CE$3,"&gt;"&amp;$CW$4,$AD56:$BA56)),
IF(BV$3=$DF56+'Model Setup'!$M$7,SUMIF($BH$3:$CE$3,"="&amp;$DF56+'Model Setup'!$M$7,$AD56:$BA56)+'Model Setup'!$M$8*(SUMIF($BH$3:$CE$3,"&lt;"&amp;$DF56,$AD56:$BA56)+SUMIF($BH$3:$CE$3,"&gt;"&amp;$CW$4,$AD56:$BA56)),
IF(BV$3=$DF56+'Model Setup'!$N$7,SUMIF($BH$3:$CE$3,"="&amp;$DF56+'Model Setup'!$N$7,$AD56:$BA56)+'Model Setup'!$N$8*(SUMIF($BH$3:$CE$3,"&lt;"&amp;$DF56,$AD56:$BA56)+SUMIF($BH$3:$CE$3,"&gt;"&amp;$CW$4,$AD56:$BA56)),
IF(BV$3&lt;$CW$4,P56,0))))))))))))))),0)</f>
        <v>5</v>
      </c>
      <c r="BW56" s="47">
        <f>ROUND(IF(OR(BW$3&lt;$DF56,BW$3&gt;$CW$4),0,
IF(BW$3=$DF56+'Model Setup'!$B$7,SUMIF($BH$3:$CE$3,"="&amp;$DF56+'Model Setup'!$B$7,$AD56:$BA56)+'Model Setup'!$B$8*(SUMIF($BH$3:$CE$3,"&lt;"&amp;$DF56,$AD56:$BA56)+SUMIF($BH$3:$CE$3,"&gt;"&amp;$CW$4,$AD56:$BA56)),
IF(BW$3=$DF56+'Model Setup'!$C$7,SUMIF($BH$3:$CE$3,"="&amp;$DF56+'Model Setup'!$C$7,$AD56:$BA56)+'Model Setup'!$C$8*(SUMIF($BH$3:$CE$3,"&lt;"&amp;$DF56,$AD56:$BA56)+SUMIF($BH$3:$CE$3,"&gt;"&amp;$CW$4,$AD56:$BA56)),
IF(BW$3=$DF56+'Model Setup'!$D$7,SUMIF($BH$3:$CE$3,"="&amp;$DF56+'Model Setup'!$D$7,$AD56:$BA56)+'Model Setup'!$D$8*(SUMIF($BH$3:$CE$3,"&lt;"&amp;$DF56,$AD56:$BA56)+SUMIF($BH$3:$CE$3,"&gt;"&amp;$CW$4,$AD56:$BA56)),
IF(BW$3=$DF56+'Model Setup'!$E$7,SUMIF($BH$3:$CE$3,"="&amp;$DF56+'Model Setup'!$E$7,$AD56:$BA56)+'Model Setup'!$E$8*(SUMIF($BH$3:$CE$3,"&lt;"&amp;$DF56,$AD56:$BA56)+SUMIF($BH$3:$CE$3,"&gt;"&amp;$CW$4,$AD56:$BA56)),
IF(BW$3=$DF56+'Model Setup'!$F$7,SUMIF($BH$3:$CE$3,"="&amp;$DF56+'Model Setup'!$F$7,$AD56:$BA56)+'Model Setup'!$F$8*(SUMIF($BH$3:$CE$3,"&lt;"&amp;$DF56,$AD56:$BA56)+SUMIF($BH$3:$CE$3,"&gt;"&amp;$CW$4,$AD56:$BA56)),
IF(BW$3=$DF56+'Model Setup'!$G$7,SUMIF($BH$3:$CE$3,"="&amp;$DF56+'Model Setup'!$G$7,$AD56:$BA56)+'Model Setup'!$G$8*(SUMIF($BH$3:$CE$3,"&lt;"&amp;$DF56,$AD56:$BA56)+SUMIF($BH$3:$CE$3,"&gt;"&amp;$CW$4,$AD56:$BA56)),
IF(BW$3=$DF56+'Model Setup'!$H$7,SUMIF($BH$3:$CE$3,"="&amp;$DF56+'Model Setup'!$H$7,$AD56:$BA56)+'Model Setup'!$H$8*(SUMIF($BH$3:$CE$3,"&lt;"&amp;$DF56,$AD56:$BA56)+SUMIF($BH$3:$CE$3,"&gt;"&amp;$CW$4,$AD56:$BA56)),
IF(BW$3=$DF56+'Model Setup'!$I$7,SUMIF($BH$3:$CE$3,"="&amp;$DF56+'Model Setup'!$I$7,$AD56:$BA56)+'Model Setup'!$I$8*(SUMIF($BH$3:$CE$3,"&lt;"&amp;$DF56,$AD56:$BA56)+SUMIF($BH$3:$CE$3,"&gt;"&amp;$CW$4,$AD56:$BA56)),
IF(BW$3=$DF56+'Model Setup'!$J$7,SUMIF($BH$3:$CE$3,"="&amp;$DF56+'Model Setup'!$J$7,$AD56:$BA56)+'Model Setup'!$J$8*(SUMIF($BH$3:$CE$3,"&lt;"&amp;$DF56,$AD56:$BA56)+SUMIF($BH$3:$CE$3,"&gt;"&amp;$CW$4,$AD56:$BA56)),
IF(BW$3=$DF56+'Model Setup'!$K$7,SUMIF($BH$3:$CE$3,"="&amp;$DF56+'Model Setup'!$K$7,$AD56:$BA56)+'Model Setup'!$K$8*(SUMIF($BH$3:$CE$3,"&lt;"&amp;$DF56,$AD56:$BA56)+SUMIF($BH$3:$CE$3,"&gt;"&amp;$CW$4,$AD56:$BA56)),
IF(BW$3=$DF56+'Model Setup'!$L$7,SUMIF($BH$3:$CE$3,"="&amp;$DF56+'Model Setup'!$L$7,$AD56:$BA56)+'Model Setup'!$L$8*(SUMIF($BH$3:$CE$3,"&lt;"&amp;$DF56,$AD56:$BA56)+SUMIF($BH$3:$CE$3,"&gt;"&amp;$CW$4,$AD56:$BA56)),
IF(BW$3=$DF56+'Model Setup'!$M$7,SUMIF($BH$3:$CE$3,"="&amp;$DF56+'Model Setup'!$M$7,$AD56:$BA56)+'Model Setup'!$M$8*(SUMIF($BH$3:$CE$3,"&lt;"&amp;$DF56,$AD56:$BA56)+SUMIF($BH$3:$CE$3,"&gt;"&amp;$CW$4,$AD56:$BA56)),
IF(BW$3=$DF56+'Model Setup'!$N$7,SUMIF($BH$3:$CE$3,"="&amp;$DF56+'Model Setup'!$N$7,$AD56:$BA56)+'Model Setup'!$N$8*(SUMIF($BH$3:$CE$3,"&lt;"&amp;$DF56,$AD56:$BA56)+SUMIF($BH$3:$CE$3,"&gt;"&amp;$CW$4,$AD56:$BA56)),
IF(BW$3&lt;$CW$4,Q56,0))))))))))))))),0)</f>
        <v>2</v>
      </c>
      <c r="BX56" s="47">
        <f>ROUND(IF(OR(BX$3&lt;$DF56,BX$3&gt;$CW$4),0,
IF(BX$3=$DF56+'Model Setup'!$B$7,SUMIF($BH$3:$CE$3,"="&amp;$DF56+'Model Setup'!$B$7,$AD56:$BA56)+'Model Setup'!$B$8*(SUMIF($BH$3:$CE$3,"&lt;"&amp;$DF56,$AD56:$BA56)+SUMIF($BH$3:$CE$3,"&gt;"&amp;$CW$4,$AD56:$BA56)),
IF(BX$3=$DF56+'Model Setup'!$C$7,SUMIF($BH$3:$CE$3,"="&amp;$DF56+'Model Setup'!$C$7,$AD56:$BA56)+'Model Setup'!$C$8*(SUMIF($BH$3:$CE$3,"&lt;"&amp;$DF56,$AD56:$BA56)+SUMIF($BH$3:$CE$3,"&gt;"&amp;$CW$4,$AD56:$BA56)),
IF(BX$3=$DF56+'Model Setup'!$D$7,SUMIF($BH$3:$CE$3,"="&amp;$DF56+'Model Setup'!$D$7,$AD56:$BA56)+'Model Setup'!$D$8*(SUMIF($BH$3:$CE$3,"&lt;"&amp;$DF56,$AD56:$BA56)+SUMIF($BH$3:$CE$3,"&gt;"&amp;$CW$4,$AD56:$BA56)),
IF(BX$3=$DF56+'Model Setup'!$E$7,SUMIF($BH$3:$CE$3,"="&amp;$DF56+'Model Setup'!$E$7,$AD56:$BA56)+'Model Setup'!$E$8*(SUMIF($BH$3:$CE$3,"&lt;"&amp;$DF56,$AD56:$BA56)+SUMIF($BH$3:$CE$3,"&gt;"&amp;$CW$4,$AD56:$BA56)),
IF(BX$3=$DF56+'Model Setup'!$F$7,SUMIF($BH$3:$CE$3,"="&amp;$DF56+'Model Setup'!$F$7,$AD56:$BA56)+'Model Setup'!$F$8*(SUMIF($BH$3:$CE$3,"&lt;"&amp;$DF56,$AD56:$BA56)+SUMIF($BH$3:$CE$3,"&gt;"&amp;$CW$4,$AD56:$BA56)),
IF(BX$3=$DF56+'Model Setup'!$G$7,SUMIF($BH$3:$CE$3,"="&amp;$DF56+'Model Setup'!$G$7,$AD56:$BA56)+'Model Setup'!$G$8*(SUMIF($BH$3:$CE$3,"&lt;"&amp;$DF56,$AD56:$BA56)+SUMIF($BH$3:$CE$3,"&gt;"&amp;$CW$4,$AD56:$BA56)),
IF(BX$3=$DF56+'Model Setup'!$H$7,SUMIF($BH$3:$CE$3,"="&amp;$DF56+'Model Setup'!$H$7,$AD56:$BA56)+'Model Setup'!$H$8*(SUMIF($BH$3:$CE$3,"&lt;"&amp;$DF56,$AD56:$BA56)+SUMIF($BH$3:$CE$3,"&gt;"&amp;$CW$4,$AD56:$BA56)),
IF(BX$3=$DF56+'Model Setup'!$I$7,SUMIF($BH$3:$CE$3,"="&amp;$DF56+'Model Setup'!$I$7,$AD56:$BA56)+'Model Setup'!$I$8*(SUMIF($BH$3:$CE$3,"&lt;"&amp;$DF56,$AD56:$BA56)+SUMIF($BH$3:$CE$3,"&gt;"&amp;$CW$4,$AD56:$BA56)),
IF(BX$3=$DF56+'Model Setup'!$J$7,SUMIF($BH$3:$CE$3,"="&amp;$DF56+'Model Setup'!$J$7,$AD56:$BA56)+'Model Setup'!$J$8*(SUMIF($BH$3:$CE$3,"&lt;"&amp;$DF56,$AD56:$BA56)+SUMIF($BH$3:$CE$3,"&gt;"&amp;$CW$4,$AD56:$BA56)),
IF(BX$3=$DF56+'Model Setup'!$K$7,SUMIF($BH$3:$CE$3,"="&amp;$DF56+'Model Setup'!$K$7,$AD56:$BA56)+'Model Setup'!$K$8*(SUMIF($BH$3:$CE$3,"&lt;"&amp;$DF56,$AD56:$BA56)+SUMIF($BH$3:$CE$3,"&gt;"&amp;$CW$4,$AD56:$BA56)),
IF(BX$3=$DF56+'Model Setup'!$L$7,SUMIF($BH$3:$CE$3,"="&amp;$DF56+'Model Setup'!$L$7,$AD56:$BA56)+'Model Setup'!$L$8*(SUMIF($BH$3:$CE$3,"&lt;"&amp;$DF56,$AD56:$BA56)+SUMIF($BH$3:$CE$3,"&gt;"&amp;$CW$4,$AD56:$BA56)),
IF(BX$3=$DF56+'Model Setup'!$M$7,SUMIF($BH$3:$CE$3,"="&amp;$DF56+'Model Setup'!$M$7,$AD56:$BA56)+'Model Setup'!$M$8*(SUMIF($BH$3:$CE$3,"&lt;"&amp;$DF56,$AD56:$BA56)+SUMIF($BH$3:$CE$3,"&gt;"&amp;$CW$4,$AD56:$BA56)),
IF(BX$3=$DF56+'Model Setup'!$N$7,SUMIF($BH$3:$CE$3,"="&amp;$DF56+'Model Setup'!$N$7,$AD56:$BA56)+'Model Setup'!$N$8*(SUMIF($BH$3:$CE$3,"&lt;"&amp;$DF56,$AD56:$BA56)+SUMIF($BH$3:$CE$3,"&gt;"&amp;$CW$4,$AD56:$BA56)),
IF(BX$3&lt;$CW$4,R56,0))))))))))))))),0)</f>
        <v>6</v>
      </c>
      <c r="BY56" s="47">
        <f>ROUND(IF(OR(BY$3&lt;$DF56,BY$3&gt;$CW$4),0,
IF(BY$3=$DF56+'Model Setup'!$B$7,SUMIF($BH$3:$CE$3,"="&amp;$DF56+'Model Setup'!$B$7,$AD56:$BA56)+'Model Setup'!$B$8*(SUMIF($BH$3:$CE$3,"&lt;"&amp;$DF56,$AD56:$BA56)+SUMIF($BH$3:$CE$3,"&gt;"&amp;$CW$4,$AD56:$BA56)),
IF(BY$3=$DF56+'Model Setup'!$C$7,SUMIF($BH$3:$CE$3,"="&amp;$DF56+'Model Setup'!$C$7,$AD56:$BA56)+'Model Setup'!$C$8*(SUMIF($BH$3:$CE$3,"&lt;"&amp;$DF56,$AD56:$BA56)+SUMIF($BH$3:$CE$3,"&gt;"&amp;$CW$4,$AD56:$BA56)),
IF(BY$3=$DF56+'Model Setup'!$D$7,SUMIF($BH$3:$CE$3,"="&amp;$DF56+'Model Setup'!$D$7,$AD56:$BA56)+'Model Setup'!$D$8*(SUMIF($BH$3:$CE$3,"&lt;"&amp;$DF56,$AD56:$BA56)+SUMIF($BH$3:$CE$3,"&gt;"&amp;$CW$4,$AD56:$BA56)),
IF(BY$3=$DF56+'Model Setup'!$E$7,SUMIF($BH$3:$CE$3,"="&amp;$DF56+'Model Setup'!$E$7,$AD56:$BA56)+'Model Setup'!$E$8*(SUMIF($BH$3:$CE$3,"&lt;"&amp;$DF56,$AD56:$BA56)+SUMIF($BH$3:$CE$3,"&gt;"&amp;$CW$4,$AD56:$BA56)),
IF(BY$3=$DF56+'Model Setup'!$F$7,SUMIF($BH$3:$CE$3,"="&amp;$DF56+'Model Setup'!$F$7,$AD56:$BA56)+'Model Setup'!$F$8*(SUMIF($BH$3:$CE$3,"&lt;"&amp;$DF56,$AD56:$BA56)+SUMIF($BH$3:$CE$3,"&gt;"&amp;$CW$4,$AD56:$BA56)),
IF(BY$3=$DF56+'Model Setup'!$G$7,SUMIF($BH$3:$CE$3,"="&amp;$DF56+'Model Setup'!$G$7,$AD56:$BA56)+'Model Setup'!$G$8*(SUMIF($BH$3:$CE$3,"&lt;"&amp;$DF56,$AD56:$BA56)+SUMIF($BH$3:$CE$3,"&gt;"&amp;$CW$4,$AD56:$BA56)),
IF(BY$3=$DF56+'Model Setup'!$H$7,SUMIF($BH$3:$CE$3,"="&amp;$DF56+'Model Setup'!$H$7,$AD56:$BA56)+'Model Setup'!$H$8*(SUMIF($BH$3:$CE$3,"&lt;"&amp;$DF56,$AD56:$BA56)+SUMIF($BH$3:$CE$3,"&gt;"&amp;$CW$4,$AD56:$BA56)),
IF(BY$3=$DF56+'Model Setup'!$I$7,SUMIF($BH$3:$CE$3,"="&amp;$DF56+'Model Setup'!$I$7,$AD56:$BA56)+'Model Setup'!$I$8*(SUMIF($BH$3:$CE$3,"&lt;"&amp;$DF56,$AD56:$BA56)+SUMIF($BH$3:$CE$3,"&gt;"&amp;$CW$4,$AD56:$BA56)),
IF(BY$3=$DF56+'Model Setup'!$J$7,SUMIF($BH$3:$CE$3,"="&amp;$DF56+'Model Setup'!$J$7,$AD56:$BA56)+'Model Setup'!$J$8*(SUMIF($BH$3:$CE$3,"&lt;"&amp;$DF56,$AD56:$BA56)+SUMIF($BH$3:$CE$3,"&gt;"&amp;$CW$4,$AD56:$BA56)),
IF(BY$3=$DF56+'Model Setup'!$K$7,SUMIF($BH$3:$CE$3,"="&amp;$DF56+'Model Setup'!$K$7,$AD56:$BA56)+'Model Setup'!$K$8*(SUMIF($BH$3:$CE$3,"&lt;"&amp;$DF56,$AD56:$BA56)+SUMIF($BH$3:$CE$3,"&gt;"&amp;$CW$4,$AD56:$BA56)),
IF(BY$3=$DF56+'Model Setup'!$L$7,SUMIF($BH$3:$CE$3,"="&amp;$DF56+'Model Setup'!$L$7,$AD56:$BA56)+'Model Setup'!$L$8*(SUMIF($BH$3:$CE$3,"&lt;"&amp;$DF56,$AD56:$BA56)+SUMIF($BH$3:$CE$3,"&gt;"&amp;$CW$4,$AD56:$BA56)),
IF(BY$3=$DF56+'Model Setup'!$M$7,SUMIF($BH$3:$CE$3,"="&amp;$DF56+'Model Setup'!$M$7,$AD56:$BA56)+'Model Setup'!$M$8*(SUMIF($BH$3:$CE$3,"&lt;"&amp;$DF56,$AD56:$BA56)+SUMIF($BH$3:$CE$3,"&gt;"&amp;$CW$4,$AD56:$BA56)),
IF(BY$3=$DF56+'Model Setup'!$N$7,SUMIF($BH$3:$CE$3,"="&amp;$DF56+'Model Setup'!$N$7,$AD56:$BA56)+'Model Setup'!$N$8*(SUMIF($BH$3:$CE$3,"&lt;"&amp;$DF56,$AD56:$BA56)+SUMIF($BH$3:$CE$3,"&gt;"&amp;$CW$4,$AD56:$BA56)),
IF(BY$3&lt;$CW$4,S56,0))))))))))))))),0)</f>
        <v>8</v>
      </c>
      <c r="BZ56" s="47">
        <f>ROUND(IF(OR(BZ$3&lt;$DF56,BZ$3&gt;$CW$4),0,
IF(BZ$3=$DF56+'Model Setup'!$B$7,SUMIF($BH$3:$CE$3,"="&amp;$DF56+'Model Setup'!$B$7,$AD56:$BA56)+'Model Setup'!$B$8*(SUMIF($BH$3:$CE$3,"&lt;"&amp;$DF56,$AD56:$BA56)+SUMIF($BH$3:$CE$3,"&gt;"&amp;$CW$4,$AD56:$BA56)),
IF(BZ$3=$DF56+'Model Setup'!$C$7,SUMIF($BH$3:$CE$3,"="&amp;$DF56+'Model Setup'!$C$7,$AD56:$BA56)+'Model Setup'!$C$8*(SUMIF($BH$3:$CE$3,"&lt;"&amp;$DF56,$AD56:$BA56)+SUMIF($BH$3:$CE$3,"&gt;"&amp;$CW$4,$AD56:$BA56)),
IF(BZ$3=$DF56+'Model Setup'!$D$7,SUMIF($BH$3:$CE$3,"="&amp;$DF56+'Model Setup'!$D$7,$AD56:$BA56)+'Model Setup'!$D$8*(SUMIF($BH$3:$CE$3,"&lt;"&amp;$DF56,$AD56:$BA56)+SUMIF($BH$3:$CE$3,"&gt;"&amp;$CW$4,$AD56:$BA56)),
IF(BZ$3=$DF56+'Model Setup'!$E$7,SUMIF($BH$3:$CE$3,"="&amp;$DF56+'Model Setup'!$E$7,$AD56:$BA56)+'Model Setup'!$E$8*(SUMIF($BH$3:$CE$3,"&lt;"&amp;$DF56,$AD56:$BA56)+SUMIF($BH$3:$CE$3,"&gt;"&amp;$CW$4,$AD56:$BA56)),
IF(BZ$3=$DF56+'Model Setup'!$F$7,SUMIF($BH$3:$CE$3,"="&amp;$DF56+'Model Setup'!$F$7,$AD56:$BA56)+'Model Setup'!$F$8*(SUMIF($BH$3:$CE$3,"&lt;"&amp;$DF56,$AD56:$BA56)+SUMIF($BH$3:$CE$3,"&gt;"&amp;$CW$4,$AD56:$BA56)),
IF(BZ$3=$DF56+'Model Setup'!$G$7,SUMIF($BH$3:$CE$3,"="&amp;$DF56+'Model Setup'!$G$7,$AD56:$BA56)+'Model Setup'!$G$8*(SUMIF($BH$3:$CE$3,"&lt;"&amp;$DF56,$AD56:$BA56)+SUMIF($BH$3:$CE$3,"&gt;"&amp;$CW$4,$AD56:$BA56)),
IF(BZ$3=$DF56+'Model Setup'!$H$7,SUMIF($BH$3:$CE$3,"="&amp;$DF56+'Model Setup'!$H$7,$AD56:$BA56)+'Model Setup'!$H$8*(SUMIF($BH$3:$CE$3,"&lt;"&amp;$DF56,$AD56:$BA56)+SUMIF($BH$3:$CE$3,"&gt;"&amp;$CW$4,$AD56:$BA56)),
IF(BZ$3=$DF56+'Model Setup'!$I$7,SUMIF($BH$3:$CE$3,"="&amp;$DF56+'Model Setup'!$I$7,$AD56:$BA56)+'Model Setup'!$I$8*(SUMIF($BH$3:$CE$3,"&lt;"&amp;$DF56,$AD56:$BA56)+SUMIF($BH$3:$CE$3,"&gt;"&amp;$CW$4,$AD56:$BA56)),
IF(BZ$3=$DF56+'Model Setup'!$J$7,SUMIF($BH$3:$CE$3,"="&amp;$DF56+'Model Setup'!$J$7,$AD56:$BA56)+'Model Setup'!$J$8*(SUMIF($BH$3:$CE$3,"&lt;"&amp;$DF56,$AD56:$BA56)+SUMIF($BH$3:$CE$3,"&gt;"&amp;$CW$4,$AD56:$BA56)),
IF(BZ$3=$DF56+'Model Setup'!$K$7,SUMIF($BH$3:$CE$3,"="&amp;$DF56+'Model Setup'!$K$7,$AD56:$BA56)+'Model Setup'!$K$8*(SUMIF($BH$3:$CE$3,"&lt;"&amp;$DF56,$AD56:$BA56)+SUMIF($BH$3:$CE$3,"&gt;"&amp;$CW$4,$AD56:$BA56)),
IF(BZ$3=$DF56+'Model Setup'!$L$7,SUMIF($BH$3:$CE$3,"="&amp;$DF56+'Model Setup'!$L$7,$AD56:$BA56)+'Model Setup'!$L$8*(SUMIF($BH$3:$CE$3,"&lt;"&amp;$DF56,$AD56:$BA56)+SUMIF($BH$3:$CE$3,"&gt;"&amp;$CW$4,$AD56:$BA56)),
IF(BZ$3=$DF56+'Model Setup'!$M$7,SUMIF($BH$3:$CE$3,"="&amp;$DF56+'Model Setup'!$M$7,$AD56:$BA56)+'Model Setup'!$M$8*(SUMIF($BH$3:$CE$3,"&lt;"&amp;$DF56,$AD56:$BA56)+SUMIF($BH$3:$CE$3,"&gt;"&amp;$CW$4,$AD56:$BA56)),
IF(BZ$3=$DF56+'Model Setup'!$N$7,SUMIF($BH$3:$CE$3,"="&amp;$DF56+'Model Setup'!$N$7,$AD56:$BA56)+'Model Setup'!$N$8*(SUMIF($BH$3:$CE$3,"&lt;"&amp;$DF56,$AD56:$BA56)+SUMIF($BH$3:$CE$3,"&gt;"&amp;$CW$4,$AD56:$BA56)),
IF(BZ$3&lt;$CW$4,T56,0))))))))))))))),0)</f>
        <v>13</v>
      </c>
      <c r="CA56" s="47">
        <f>ROUND(IF(OR(CA$3&lt;$DF56,CA$3&gt;$CW$4),0,
IF(CA$3=$DF56+'Model Setup'!$B$7,SUMIF($BH$3:$CE$3,"="&amp;$DF56+'Model Setup'!$B$7,$AD56:$BA56)+'Model Setup'!$B$8*(SUMIF($BH$3:$CE$3,"&lt;"&amp;$DF56,$AD56:$BA56)+SUMIF($BH$3:$CE$3,"&gt;"&amp;$CW$4,$AD56:$BA56)),
IF(CA$3=$DF56+'Model Setup'!$C$7,SUMIF($BH$3:$CE$3,"="&amp;$DF56+'Model Setup'!$C$7,$AD56:$BA56)+'Model Setup'!$C$8*(SUMIF($BH$3:$CE$3,"&lt;"&amp;$DF56,$AD56:$BA56)+SUMIF($BH$3:$CE$3,"&gt;"&amp;$CW$4,$AD56:$BA56)),
IF(CA$3=$DF56+'Model Setup'!$D$7,SUMIF($BH$3:$CE$3,"="&amp;$DF56+'Model Setup'!$D$7,$AD56:$BA56)+'Model Setup'!$D$8*(SUMIF($BH$3:$CE$3,"&lt;"&amp;$DF56,$AD56:$BA56)+SUMIF($BH$3:$CE$3,"&gt;"&amp;$CW$4,$AD56:$BA56)),
IF(CA$3=$DF56+'Model Setup'!$E$7,SUMIF($BH$3:$CE$3,"="&amp;$DF56+'Model Setup'!$E$7,$AD56:$BA56)+'Model Setup'!$E$8*(SUMIF($BH$3:$CE$3,"&lt;"&amp;$DF56,$AD56:$BA56)+SUMIF($BH$3:$CE$3,"&gt;"&amp;$CW$4,$AD56:$BA56)),
IF(CA$3=$DF56+'Model Setup'!$F$7,SUMIF($BH$3:$CE$3,"="&amp;$DF56+'Model Setup'!$F$7,$AD56:$BA56)+'Model Setup'!$F$8*(SUMIF($BH$3:$CE$3,"&lt;"&amp;$DF56,$AD56:$BA56)+SUMIF($BH$3:$CE$3,"&gt;"&amp;$CW$4,$AD56:$BA56)),
IF(CA$3=$DF56+'Model Setup'!$G$7,SUMIF($BH$3:$CE$3,"="&amp;$DF56+'Model Setup'!$G$7,$AD56:$BA56)+'Model Setup'!$G$8*(SUMIF($BH$3:$CE$3,"&lt;"&amp;$DF56,$AD56:$BA56)+SUMIF($BH$3:$CE$3,"&gt;"&amp;$CW$4,$AD56:$BA56)),
IF(CA$3=$DF56+'Model Setup'!$H$7,SUMIF($BH$3:$CE$3,"="&amp;$DF56+'Model Setup'!$H$7,$AD56:$BA56)+'Model Setup'!$H$8*(SUMIF($BH$3:$CE$3,"&lt;"&amp;$DF56,$AD56:$BA56)+SUMIF($BH$3:$CE$3,"&gt;"&amp;$CW$4,$AD56:$BA56)),
IF(CA$3=$DF56+'Model Setup'!$I$7,SUMIF($BH$3:$CE$3,"="&amp;$DF56+'Model Setup'!$I$7,$AD56:$BA56)+'Model Setup'!$I$8*(SUMIF($BH$3:$CE$3,"&lt;"&amp;$DF56,$AD56:$BA56)+SUMIF($BH$3:$CE$3,"&gt;"&amp;$CW$4,$AD56:$BA56)),
IF(CA$3=$DF56+'Model Setup'!$J$7,SUMIF($BH$3:$CE$3,"="&amp;$DF56+'Model Setup'!$J$7,$AD56:$BA56)+'Model Setup'!$J$8*(SUMIF($BH$3:$CE$3,"&lt;"&amp;$DF56,$AD56:$BA56)+SUMIF($BH$3:$CE$3,"&gt;"&amp;$CW$4,$AD56:$BA56)),
IF(CA$3=$DF56+'Model Setup'!$K$7,SUMIF($BH$3:$CE$3,"="&amp;$DF56+'Model Setup'!$K$7,$AD56:$BA56)+'Model Setup'!$K$8*(SUMIF($BH$3:$CE$3,"&lt;"&amp;$DF56,$AD56:$BA56)+SUMIF($BH$3:$CE$3,"&gt;"&amp;$CW$4,$AD56:$BA56)),
IF(CA$3=$DF56+'Model Setup'!$L$7,SUMIF($BH$3:$CE$3,"="&amp;$DF56+'Model Setup'!$L$7,$AD56:$BA56)+'Model Setup'!$L$8*(SUMIF($BH$3:$CE$3,"&lt;"&amp;$DF56,$AD56:$BA56)+SUMIF($BH$3:$CE$3,"&gt;"&amp;$CW$4,$AD56:$BA56)),
IF(CA$3=$DF56+'Model Setup'!$M$7,SUMIF($BH$3:$CE$3,"="&amp;$DF56+'Model Setup'!$M$7,$AD56:$BA56)+'Model Setup'!$M$8*(SUMIF($BH$3:$CE$3,"&lt;"&amp;$DF56,$AD56:$BA56)+SUMIF($BH$3:$CE$3,"&gt;"&amp;$CW$4,$AD56:$BA56)),
IF(CA$3=$DF56+'Model Setup'!$N$7,SUMIF($BH$3:$CE$3,"="&amp;$DF56+'Model Setup'!$N$7,$AD56:$BA56)+'Model Setup'!$N$8*(SUMIF($BH$3:$CE$3,"&lt;"&amp;$DF56,$AD56:$BA56)+SUMIF($BH$3:$CE$3,"&gt;"&amp;$CW$4,$AD56:$BA56)),
IF(CA$3&lt;$CW$4,U56,0))))))))))))))),0)</f>
        <v>0</v>
      </c>
      <c r="CB56" s="47">
        <f>ROUND(IF(OR(CB$3&lt;$DF56,CB$3&gt;$CW$4),0,
IF(CB$3=$DF56+'Model Setup'!$B$7,SUMIF($BH$3:$CE$3,"="&amp;$DF56+'Model Setup'!$B$7,$AD56:$BA56)+'Model Setup'!$B$8*(SUMIF($BH$3:$CE$3,"&lt;"&amp;$DF56,$AD56:$BA56)+SUMIF($BH$3:$CE$3,"&gt;"&amp;$CW$4,$AD56:$BA56)),
IF(CB$3=$DF56+'Model Setup'!$C$7,SUMIF($BH$3:$CE$3,"="&amp;$DF56+'Model Setup'!$C$7,$AD56:$BA56)+'Model Setup'!$C$8*(SUMIF($BH$3:$CE$3,"&lt;"&amp;$DF56,$AD56:$BA56)+SUMIF($BH$3:$CE$3,"&gt;"&amp;$CW$4,$AD56:$BA56)),
IF(CB$3=$DF56+'Model Setup'!$D$7,SUMIF($BH$3:$CE$3,"="&amp;$DF56+'Model Setup'!$D$7,$AD56:$BA56)+'Model Setup'!$D$8*(SUMIF($BH$3:$CE$3,"&lt;"&amp;$DF56,$AD56:$BA56)+SUMIF($BH$3:$CE$3,"&gt;"&amp;$CW$4,$AD56:$BA56)),
IF(CB$3=$DF56+'Model Setup'!$E$7,SUMIF($BH$3:$CE$3,"="&amp;$DF56+'Model Setup'!$E$7,$AD56:$BA56)+'Model Setup'!$E$8*(SUMIF($BH$3:$CE$3,"&lt;"&amp;$DF56,$AD56:$BA56)+SUMIF($BH$3:$CE$3,"&gt;"&amp;$CW$4,$AD56:$BA56)),
IF(CB$3=$DF56+'Model Setup'!$F$7,SUMIF($BH$3:$CE$3,"="&amp;$DF56+'Model Setup'!$F$7,$AD56:$BA56)+'Model Setup'!$F$8*(SUMIF($BH$3:$CE$3,"&lt;"&amp;$DF56,$AD56:$BA56)+SUMIF($BH$3:$CE$3,"&gt;"&amp;$CW$4,$AD56:$BA56)),
IF(CB$3=$DF56+'Model Setup'!$G$7,SUMIF($BH$3:$CE$3,"="&amp;$DF56+'Model Setup'!$G$7,$AD56:$BA56)+'Model Setup'!$G$8*(SUMIF($BH$3:$CE$3,"&lt;"&amp;$DF56,$AD56:$BA56)+SUMIF($BH$3:$CE$3,"&gt;"&amp;$CW$4,$AD56:$BA56)),
IF(CB$3=$DF56+'Model Setup'!$H$7,SUMIF($BH$3:$CE$3,"="&amp;$DF56+'Model Setup'!$H$7,$AD56:$BA56)+'Model Setup'!$H$8*(SUMIF($BH$3:$CE$3,"&lt;"&amp;$DF56,$AD56:$BA56)+SUMIF($BH$3:$CE$3,"&gt;"&amp;$CW$4,$AD56:$BA56)),
IF(CB$3=$DF56+'Model Setup'!$I$7,SUMIF($BH$3:$CE$3,"="&amp;$DF56+'Model Setup'!$I$7,$AD56:$BA56)+'Model Setup'!$I$8*(SUMIF($BH$3:$CE$3,"&lt;"&amp;$DF56,$AD56:$BA56)+SUMIF($BH$3:$CE$3,"&gt;"&amp;$CW$4,$AD56:$BA56)),
IF(CB$3=$DF56+'Model Setup'!$J$7,SUMIF($BH$3:$CE$3,"="&amp;$DF56+'Model Setup'!$J$7,$AD56:$BA56)+'Model Setup'!$J$8*(SUMIF($BH$3:$CE$3,"&lt;"&amp;$DF56,$AD56:$BA56)+SUMIF($BH$3:$CE$3,"&gt;"&amp;$CW$4,$AD56:$BA56)),
IF(CB$3=$DF56+'Model Setup'!$K$7,SUMIF($BH$3:$CE$3,"="&amp;$DF56+'Model Setup'!$K$7,$AD56:$BA56)+'Model Setup'!$K$8*(SUMIF($BH$3:$CE$3,"&lt;"&amp;$DF56,$AD56:$BA56)+SUMIF($BH$3:$CE$3,"&gt;"&amp;$CW$4,$AD56:$BA56)),
IF(CB$3=$DF56+'Model Setup'!$L$7,SUMIF($BH$3:$CE$3,"="&amp;$DF56+'Model Setup'!$L$7,$AD56:$BA56)+'Model Setup'!$L$8*(SUMIF($BH$3:$CE$3,"&lt;"&amp;$DF56,$AD56:$BA56)+SUMIF($BH$3:$CE$3,"&gt;"&amp;$CW$4,$AD56:$BA56)),
IF(CB$3=$DF56+'Model Setup'!$M$7,SUMIF($BH$3:$CE$3,"="&amp;$DF56+'Model Setup'!$M$7,$AD56:$BA56)+'Model Setup'!$M$8*(SUMIF($BH$3:$CE$3,"&lt;"&amp;$DF56,$AD56:$BA56)+SUMIF($BH$3:$CE$3,"&gt;"&amp;$CW$4,$AD56:$BA56)),
IF(CB$3=$DF56+'Model Setup'!$N$7,SUMIF($BH$3:$CE$3,"="&amp;$DF56+'Model Setup'!$N$7,$AD56:$BA56)+'Model Setup'!$N$8*(SUMIF($BH$3:$CE$3,"&lt;"&amp;$DF56,$AD56:$BA56)+SUMIF($BH$3:$CE$3,"&gt;"&amp;$CW$4,$AD56:$BA56)),
IF(CB$3&lt;$CW$4,V56,0))))))))))))))),0)</f>
        <v>0</v>
      </c>
      <c r="CC56" s="47">
        <f>ROUND(IF(OR(CC$3&lt;$DF56,CC$3&gt;$CW$4),0,
IF(CC$3=$DF56+'Model Setup'!$B$7,SUMIF($BH$3:$CE$3,"="&amp;$DF56+'Model Setup'!$B$7,$AD56:$BA56)+'Model Setup'!$B$8*(SUMIF($BH$3:$CE$3,"&lt;"&amp;$DF56,$AD56:$BA56)+SUMIF($BH$3:$CE$3,"&gt;"&amp;$CW$4,$AD56:$BA56)),
IF(CC$3=$DF56+'Model Setup'!$C$7,SUMIF($BH$3:$CE$3,"="&amp;$DF56+'Model Setup'!$C$7,$AD56:$BA56)+'Model Setup'!$C$8*(SUMIF($BH$3:$CE$3,"&lt;"&amp;$DF56,$AD56:$BA56)+SUMIF($BH$3:$CE$3,"&gt;"&amp;$CW$4,$AD56:$BA56)),
IF(CC$3=$DF56+'Model Setup'!$D$7,SUMIF($BH$3:$CE$3,"="&amp;$DF56+'Model Setup'!$D$7,$AD56:$BA56)+'Model Setup'!$D$8*(SUMIF($BH$3:$CE$3,"&lt;"&amp;$DF56,$AD56:$BA56)+SUMIF($BH$3:$CE$3,"&gt;"&amp;$CW$4,$AD56:$BA56)),
IF(CC$3=$DF56+'Model Setup'!$E$7,SUMIF($BH$3:$CE$3,"="&amp;$DF56+'Model Setup'!$E$7,$AD56:$BA56)+'Model Setup'!$E$8*(SUMIF($BH$3:$CE$3,"&lt;"&amp;$DF56,$AD56:$BA56)+SUMIF($BH$3:$CE$3,"&gt;"&amp;$CW$4,$AD56:$BA56)),
IF(CC$3=$DF56+'Model Setup'!$F$7,SUMIF($BH$3:$CE$3,"="&amp;$DF56+'Model Setup'!$F$7,$AD56:$BA56)+'Model Setup'!$F$8*(SUMIF($BH$3:$CE$3,"&lt;"&amp;$DF56,$AD56:$BA56)+SUMIF($BH$3:$CE$3,"&gt;"&amp;$CW$4,$AD56:$BA56)),
IF(CC$3=$DF56+'Model Setup'!$G$7,SUMIF($BH$3:$CE$3,"="&amp;$DF56+'Model Setup'!$G$7,$AD56:$BA56)+'Model Setup'!$G$8*(SUMIF($BH$3:$CE$3,"&lt;"&amp;$DF56,$AD56:$BA56)+SUMIF($BH$3:$CE$3,"&gt;"&amp;$CW$4,$AD56:$BA56)),
IF(CC$3=$DF56+'Model Setup'!$H$7,SUMIF($BH$3:$CE$3,"="&amp;$DF56+'Model Setup'!$H$7,$AD56:$BA56)+'Model Setup'!$H$8*(SUMIF($BH$3:$CE$3,"&lt;"&amp;$DF56,$AD56:$BA56)+SUMIF($BH$3:$CE$3,"&gt;"&amp;$CW$4,$AD56:$BA56)),
IF(CC$3=$DF56+'Model Setup'!$I$7,SUMIF($BH$3:$CE$3,"="&amp;$DF56+'Model Setup'!$I$7,$AD56:$BA56)+'Model Setup'!$I$8*(SUMIF($BH$3:$CE$3,"&lt;"&amp;$DF56,$AD56:$BA56)+SUMIF($BH$3:$CE$3,"&gt;"&amp;$CW$4,$AD56:$BA56)),
IF(CC$3=$DF56+'Model Setup'!$J$7,SUMIF($BH$3:$CE$3,"="&amp;$DF56+'Model Setup'!$J$7,$AD56:$BA56)+'Model Setup'!$J$8*(SUMIF($BH$3:$CE$3,"&lt;"&amp;$DF56,$AD56:$BA56)+SUMIF($BH$3:$CE$3,"&gt;"&amp;$CW$4,$AD56:$BA56)),
IF(CC$3=$DF56+'Model Setup'!$K$7,SUMIF($BH$3:$CE$3,"="&amp;$DF56+'Model Setup'!$K$7,$AD56:$BA56)+'Model Setup'!$K$8*(SUMIF($BH$3:$CE$3,"&lt;"&amp;$DF56,$AD56:$BA56)+SUMIF($BH$3:$CE$3,"&gt;"&amp;$CW$4,$AD56:$BA56)),
IF(CC$3=$DF56+'Model Setup'!$L$7,SUMIF($BH$3:$CE$3,"="&amp;$DF56+'Model Setup'!$L$7,$AD56:$BA56)+'Model Setup'!$L$8*(SUMIF($BH$3:$CE$3,"&lt;"&amp;$DF56,$AD56:$BA56)+SUMIF($BH$3:$CE$3,"&gt;"&amp;$CW$4,$AD56:$BA56)),
IF(CC$3=$DF56+'Model Setup'!$M$7,SUMIF($BH$3:$CE$3,"="&amp;$DF56+'Model Setup'!$M$7,$AD56:$BA56)+'Model Setup'!$M$8*(SUMIF($BH$3:$CE$3,"&lt;"&amp;$DF56,$AD56:$BA56)+SUMIF($BH$3:$CE$3,"&gt;"&amp;$CW$4,$AD56:$BA56)),
IF(CC$3=$DF56+'Model Setup'!$N$7,SUMIF($BH$3:$CE$3,"="&amp;$DF56+'Model Setup'!$N$7,$AD56:$BA56)+'Model Setup'!$N$8*(SUMIF($BH$3:$CE$3,"&lt;"&amp;$DF56,$AD56:$BA56)+SUMIF($BH$3:$CE$3,"&gt;"&amp;$CW$4,$AD56:$BA56)),
IF(CC$3&lt;$CW$4,W56,0))))))))))))))),0)</f>
        <v>0</v>
      </c>
      <c r="CD56" s="47">
        <f>ROUND(IF(OR(CD$3&lt;$DF56,CD$3&gt;$CW$4),0,
IF(CD$3=$DF56+'Model Setup'!$B$7,SUMIF($BH$3:$CE$3,"="&amp;$DF56+'Model Setup'!$B$7,$AD56:$BA56)+'Model Setup'!$B$8*(SUMIF($BH$3:$CE$3,"&lt;"&amp;$DF56,$AD56:$BA56)+SUMIF($BH$3:$CE$3,"&gt;"&amp;$CW$4,$AD56:$BA56)),
IF(CD$3=$DF56+'Model Setup'!$C$7,SUMIF($BH$3:$CE$3,"="&amp;$DF56+'Model Setup'!$C$7,$AD56:$BA56)+'Model Setup'!$C$8*(SUMIF($BH$3:$CE$3,"&lt;"&amp;$DF56,$AD56:$BA56)+SUMIF($BH$3:$CE$3,"&gt;"&amp;$CW$4,$AD56:$BA56)),
IF(CD$3=$DF56+'Model Setup'!$D$7,SUMIF($BH$3:$CE$3,"="&amp;$DF56+'Model Setup'!$D$7,$AD56:$BA56)+'Model Setup'!$D$8*(SUMIF($BH$3:$CE$3,"&lt;"&amp;$DF56,$AD56:$BA56)+SUMIF($BH$3:$CE$3,"&gt;"&amp;$CW$4,$AD56:$BA56)),
IF(CD$3=$DF56+'Model Setup'!$E$7,SUMIF($BH$3:$CE$3,"="&amp;$DF56+'Model Setup'!$E$7,$AD56:$BA56)+'Model Setup'!$E$8*(SUMIF($BH$3:$CE$3,"&lt;"&amp;$DF56,$AD56:$BA56)+SUMIF($BH$3:$CE$3,"&gt;"&amp;$CW$4,$AD56:$BA56)),
IF(CD$3=$DF56+'Model Setup'!$F$7,SUMIF($BH$3:$CE$3,"="&amp;$DF56+'Model Setup'!$F$7,$AD56:$BA56)+'Model Setup'!$F$8*(SUMIF($BH$3:$CE$3,"&lt;"&amp;$DF56,$AD56:$BA56)+SUMIF($BH$3:$CE$3,"&gt;"&amp;$CW$4,$AD56:$BA56)),
IF(CD$3=$DF56+'Model Setup'!$G$7,SUMIF($BH$3:$CE$3,"="&amp;$DF56+'Model Setup'!$G$7,$AD56:$BA56)+'Model Setup'!$G$8*(SUMIF($BH$3:$CE$3,"&lt;"&amp;$DF56,$AD56:$BA56)+SUMIF($BH$3:$CE$3,"&gt;"&amp;$CW$4,$AD56:$BA56)),
IF(CD$3=$DF56+'Model Setup'!$H$7,SUMIF($BH$3:$CE$3,"="&amp;$DF56+'Model Setup'!$H$7,$AD56:$BA56)+'Model Setup'!$H$8*(SUMIF($BH$3:$CE$3,"&lt;"&amp;$DF56,$AD56:$BA56)+SUMIF($BH$3:$CE$3,"&gt;"&amp;$CW$4,$AD56:$BA56)),
IF(CD$3=$DF56+'Model Setup'!$I$7,SUMIF($BH$3:$CE$3,"="&amp;$DF56+'Model Setup'!$I$7,$AD56:$BA56)+'Model Setup'!$I$8*(SUMIF($BH$3:$CE$3,"&lt;"&amp;$DF56,$AD56:$BA56)+SUMIF($BH$3:$CE$3,"&gt;"&amp;$CW$4,$AD56:$BA56)),
IF(CD$3=$DF56+'Model Setup'!$J$7,SUMIF($BH$3:$CE$3,"="&amp;$DF56+'Model Setup'!$J$7,$AD56:$BA56)+'Model Setup'!$J$8*(SUMIF($BH$3:$CE$3,"&lt;"&amp;$DF56,$AD56:$BA56)+SUMIF($BH$3:$CE$3,"&gt;"&amp;$CW$4,$AD56:$BA56)),
IF(CD$3=$DF56+'Model Setup'!$K$7,SUMIF($BH$3:$CE$3,"="&amp;$DF56+'Model Setup'!$K$7,$AD56:$BA56)+'Model Setup'!$K$8*(SUMIF($BH$3:$CE$3,"&lt;"&amp;$DF56,$AD56:$BA56)+SUMIF($BH$3:$CE$3,"&gt;"&amp;$CW$4,$AD56:$BA56)),
IF(CD$3=$DF56+'Model Setup'!$L$7,SUMIF($BH$3:$CE$3,"="&amp;$DF56+'Model Setup'!$L$7,$AD56:$BA56)+'Model Setup'!$L$8*(SUMIF($BH$3:$CE$3,"&lt;"&amp;$DF56,$AD56:$BA56)+SUMIF($BH$3:$CE$3,"&gt;"&amp;$CW$4,$AD56:$BA56)),
IF(CD$3=$DF56+'Model Setup'!$M$7,SUMIF($BH$3:$CE$3,"="&amp;$DF56+'Model Setup'!$M$7,$AD56:$BA56)+'Model Setup'!$M$8*(SUMIF($BH$3:$CE$3,"&lt;"&amp;$DF56,$AD56:$BA56)+SUMIF($BH$3:$CE$3,"&gt;"&amp;$CW$4,$AD56:$BA56)),
IF(CD$3=$DF56+'Model Setup'!$N$7,SUMIF($BH$3:$CE$3,"="&amp;$DF56+'Model Setup'!$N$7,$AD56:$BA56)+'Model Setup'!$N$8*(SUMIF($BH$3:$CE$3,"&lt;"&amp;$DF56,$AD56:$BA56)+SUMIF($BH$3:$CE$3,"&gt;"&amp;$CW$4,$AD56:$BA56)),
IF(CD$3&lt;$CW$4,X56,0))))))))))))))),0)</f>
        <v>0</v>
      </c>
      <c r="CE56" s="47">
        <f>ROUND(IF(OR(CE$3&lt;$DF56,CE$3&gt;$CW$4),0,
IF(CE$3=$DF56+'Model Setup'!$B$7,SUMIF($BH$3:$CE$3,"="&amp;$DF56+'Model Setup'!$B$7,$AD56:$BA56)+'Model Setup'!$B$8*(SUMIF($BH$3:$CE$3,"&lt;"&amp;$DF56,$AD56:$BA56)+SUMIF($BH$3:$CE$3,"&gt;"&amp;$CW$4,$AD56:$BA56)),
IF(CE$3=$DF56+'Model Setup'!$C$7,SUMIF($BH$3:$CE$3,"="&amp;$DF56+'Model Setup'!$C$7,$AD56:$BA56)+'Model Setup'!$C$8*(SUMIF($BH$3:$CE$3,"&lt;"&amp;$DF56,$AD56:$BA56)+SUMIF($BH$3:$CE$3,"&gt;"&amp;$CW$4,$AD56:$BA56)),
IF(CE$3=$DF56+'Model Setup'!$D$7,SUMIF($BH$3:$CE$3,"="&amp;$DF56+'Model Setup'!$D$7,$AD56:$BA56)+'Model Setup'!$D$8*(SUMIF($BH$3:$CE$3,"&lt;"&amp;$DF56,$AD56:$BA56)+SUMIF($BH$3:$CE$3,"&gt;"&amp;$CW$4,$AD56:$BA56)),
IF(CE$3=$DF56+'Model Setup'!$E$7,SUMIF($BH$3:$CE$3,"="&amp;$DF56+'Model Setup'!$E$7,$AD56:$BA56)+'Model Setup'!$E$8*(SUMIF($BH$3:$CE$3,"&lt;"&amp;$DF56,$AD56:$BA56)+SUMIF($BH$3:$CE$3,"&gt;"&amp;$CW$4,$AD56:$BA56)),
IF(CE$3=$DF56+'Model Setup'!$F$7,SUMIF($BH$3:$CE$3,"="&amp;$DF56+'Model Setup'!$F$7,$AD56:$BA56)+'Model Setup'!$F$8*(SUMIF($BH$3:$CE$3,"&lt;"&amp;$DF56,$AD56:$BA56)+SUMIF($BH$3:$CE$3,"&gt;"&amp;$CW$4,$AD56:$BA56)),
IF(CE$3=$DF56+'Model Setup'!$G$7,SUMIF($BH$3:$CE$3,"="&amp;$DF56+'Model Setup'!$G$7,$AD56:$BA56)+'Model Setup'!$G$8*(SUMIF($BH$3:$CE$3,"&lt;"&amp;$DF56,$AD56:$BA56)+SUMIF($BH$3:$CE$3,"&gt;"&amp;$CW$4,$AD56:$BA56)),
IF(CE$3=$DF56+'Model Setup'!$H$7,SUMIF($BH$3:$CE$3,"="&amp;$DF56+'Model Setup'!$H$7,$AD56:$BA56)+'Model Setup'!$H$8*(SUMIF($BH$3:$CE$3,"&lt;"&amp;$DF56,$AD56:$BA56)+SUMIF($BH$3:$CE$3,"&gt;"&amp;$CW$4,$AD56:$BA56)),
IF(CE$3=$DF56+'Model Setup'!$I$7,SUMIF($BH$3:$CE$3,"="&amp;$DF56+'Model Setup'!$I$7,$AD56:$BA56)+'Model Setup'!$I$8*(SUMIF($BH$3:$CE$3,"&lt;"&amp;$DF56,$AD56:$BA56)+SUMIF($BH$3:$CE$3,"&gt;"&amp;$CW$4,$AD56:$BA56)),
IF(CE$3=$DF56+'Model Setup'!$J$7,SUMIF($BH$3:$CE$3,"="&amp;$DF56+'Model Setup'!$J$7,$AD56:$BA56)+'Model Setup'!$J$8*(SUMIF($BH$3:$CE$3,"&lt;"&amp;$DF56,$AD56:$BA56)+SUMIF($BH$3:$CE$3,"&gt;"&amp;$CW$4,$AD56:$BA56)),
IF(CE$3=$DF56+'Model Setup'!$K$7,SUMIF($BH$3:$CE$3,"="&amp;$DF56+'Model Setup'!$K$7,$AD56:$BA56)+'Model Setup'!$K$8*(SUMIF($BH$3:$CE$3,"&lt;"&amp;$DF56,$AD56:$BA56)+SUMIF($BH$3:$CE$3,"&gt;"&amp;$CW$4,$AD56:$BA56)),
IF(CE$3=$DF56+'Model Setup'!$L$7,SUMIF($BH$3:$CE$3,"="&amp;$DF56+'Model Setup'!$L$7,$AD56:$BA56)+'Model Setup'!$L$8*(SUMIF($BH$3:$CE$3,"&lt;"&amp;$DF56,$AD56:$BA56)+SUMIF($BH$3:$CE$3,"&gt;"&amp;$CW$4,$AD56:$BA56)),
IF(CE$3=$DF56+'Model Setup'!$M$7,SUMIF($BH$3:$CE$3,"="&amp;$DF56+'Model Setup'!$M$7,$AD56:$BA56)+'Model Setup'!$M$8*(SUMIF($BH$3:$CE$3,"&lt;"&amp;$DF56,$AD56:$BA56)+SUMIF($BH$3:$CE$3,"&gt;"&amp;$CW$4,$AD56:$BA56)),
IF(CE$3=$DF56+'Model Setup'!$N$7,SUMIF($BH$3:$CE$3,"="&amp;$DF56+'Model Setup'!$N$7,$AD56:$BA56)+'Model Setup'!$N$8*(SUMIF($BH$3:$CE$3,"&lt;"&amp;$DF56,$AD56:$BA56)+SUMIF($BH$3:$CE$3,"&gt;"&amp;$CW$4,$AD56:$BA56)),
IF(CE$3&lt;$CW$4,Y56,0))))))))))))))),0)</f>
        <v>0</v>
      </c>
      <c r="CF56" s="47">
        <f t="shared" si="3"/>
        <v>127</v>
      </c>
      <c r="CG56" s="47">
        <f t="shared" si="4"/>
        <v>-2</v>
      </c>
      <c r="CI56" s="10" t="s">
        <v>71</v>
      </c>
      <c r="CJ56" s="126">
        <f t="shared" si="9"/>
        <v>0</v>
      </c>
      <c r="CK56" s="126">
        <f t="shared" si="10"/>
        <v>0</v>
      </c>
      <c r="CL56" s="126">
        <f t="shared" si="11"/>
        <v>18</v>
      </c>
      <c r="CM56" s="126">
        <f t="shared" si="12"/>
        <v>17</v>
      </c>
      <c r="CN56" s="126">
        <f t="shared" si="13"/>
        <v>16</v>
      </c>
      <c r="CO56" s="126">
        <f t="shared" si="14"/>
        <v>12</v>
      </c>
      <c r="CP56" s="126">
        <f t="shared" si="15"/>
        <v>10</v>
      </c>
      <c r="CQ56" s="126">
        <f t="shared" si="16"/>
        <v>11</v>
      </c>
      <c r="CR56" s="126">
        <f t="shared" si="17"/>
        <v>9</v>
      </c>
      <c r="CS56" s="126">
        <f t="shared" si="18"/>
        <v>5</v>
      </c>
      <c r="CT56" s="126">
        <f t="shared" si="19"/>
        <v>2</v>
      </c>
      <c r="CU56" s="126">
        <f t="shared" si="20"/>
        <v>6</v>
      </c>
      <c r="CV56" s="126">
        <f t="shared" si="21"/>
        <v>6</v>
      </c>
      <c r="CW56" s="126">
        <f t="shared" si="22"/>
        <v>10</v>
      </c>
      <c r="CX56" s="126">
        <f t="shared" si="23"/>
        <v>7</v>
      </c>
      <c r="CY56" s="126">
        <f t="shared" si="24"/>
        <v>0</v>
      </c>
      <c r="CZ56" s="47">
        <f t="shared" si="7"/>
        <v>122</v>
      </c>
      <c r="DC56" s="93" t="s">
        <v>71</v>
      </c>
      <c r="DD56" s="89">
        <f>FTC!E54</f>
        <v>0.29166666666666669</v>
      </c>
      <c r="DE56" s="89">
        <f>FTC!F54</f>
        <v>0.79166666666666663</v>
      </c>
      <c r="DF56" s="90">
        <f t="shared" si="25"/>
        <v>7</v>
      </c>
      <c r="DG56" s="91">
        <f t="shared" si="26"/>
        <v>19</v>
      </c>
      <c r="DH56" s="91">
        <f t="shared" si="27"/>
        <v>12</v>
      </c>
    </row>
    <row r="57" spans="1:112" x14ac:dyDescent="0.35">
      <c r="A57" s="47" t="s">
        <v>111</v>
      </c>
      <c r="B57" s="47">
        <f>SUM(B4:B56)</f>
        <v>175</v>
      </c>
      <c r="C57" s="47">
        <f t="shared" ref="C57:Y57" si="28">SUM(C4:C56)</f>
        <v>145</v>
      </c>
      <c r="D57" s="47">
        <f t="shared" si="28"/>
        <v>148</v>
      </c>
      <c r="E57" s="47">
        <f t="shared" si="28"/>
        <v>257</v>
      </c>
      <c r="F57" s="47">
        <f t="shared" si="28"/>
        <v>426</v>
      </c>
      <c r="G57" s="47">
        <f t="shared" si="28"/>
        <v>782</v>
      </c>
      <c r="H57" s="47">
        <f t="shared" si="28"/>
        <v>3508</v>
      </c>
      <c r="I57" s="47">
        <f t="shared" si="28"/>
        <v>3851</v>
      </c>
      <c r="J57" s="47">
        <f t="shared" si="28"/>
        <v>4398</v>
      </c>
      <c r="K57" s="47">
        <f t="shared" si="28"/>
        <v>4398</v>
      </c>
      <c r="L57" s="47">
        <f t="shared" si="28"/>
        <v>4019</v>
      </c>
      <c r="M57" s="47">
        <f t="shared" si="28"/>
        <v>3184</v>
      </c>
      <c r="N57" s="47">
        <f t="shared" si="28"/>
        <v>2639</v>
      </c>
      <c r="O57" s="47">
        <f t="shared" si="28"/>
        <v>2401</v>
      </c>
      <c r="P57" s="47">
        <f t="shared" si="28"/>
        <v>1855</v>
      </c>
      <c r="Q57" s="47">
        <f t="shared" si="28"/>
        <v>1426</v>
      </c>
      <c r="R57" s="47">
        <f t="shared" si="28"/>
        <v>1195</v>
      </c>
      <c r="S57" s="47">
        <f t="shared" si="28"/>
        <v>894</v>
      </c>
      <c r="T57" s="47">
        <f t="shared" si="28"/>
        <v>678</v>
      </c>
      <c r="U57" s="47">
        <f t="shared" si="28"/>
        <v>434</v>
      </c>
      <c r="V57" s="47">
        <f t="shared" si="28"/>
        <v>278</v>
      </c>
      <c r="W57" s="47">
        <f t="shared" si="28"/>
        <v>479</v>
      </c>
      <c r="X57" s="47">
        <f t="shared" si="28"/>
        <v>366</v>
      </c>
      <c r="Y57" s="47">
        <f t="shared" si="28"/>
        <v>218</v>
      </c>
      <c r="Z57" s="86">
        <f>SUM(Z5:Z56)</f>
        <v>38121</v>
      </c>
      <c r="AC57" s="47" t="s">
        <v>111</v>
      </c>
      <c r="AD57" s="47">
        <f>SUM(AD4:AD56)</f>
        <v>0</v>
      </c>
      <c r="AE57" s="47">
        <f t="shared" ref="AE57:BA57" si="29">SUM(AE4:AE56)</f>
        <v>0</v>
      </c>
      <c r="AF57" s="47">
        <f t="shared" si="29"/>
        <v>0</v>
      </c>
      <c r="AG57" s="47">
        <f t="shared" si="29"/>
        <v>0</v>
      </c>
      <c r="AH57" s="47">
        <f t="shared" si="29"/>
        <v>0</v>
      </c>
      <c r="AI57" s="47">
        <f t="shared" si="29"/>
        <v>521</v>
      </c>
      <c r="AJ57" s="47">
        <f t="shared" si="29"/>
        <v>2347</v>
      </c>
      <c r="AK57" s="47">
        <f t="shared" si="29"/>
        <v>3383</v>
      </c>
      <c r="AL57" s="47">
        <f t="shared" si="29"/>
        <v>4363</v>
      </c>
      <c r="AM57" s="47">
        <f t="shared" si="29"/>
        <v>4392</v>
      </c>
      <c r="AN57" s="47">
        <f t="shared" si="29"/>
        <v>4019</v>
      </c>
      <c r="AO57" s="47">
        <f t="shared" si="29"/>
        <v>3180</v>
      </c>
      <c r="AP57" s="47">
        <f t="shared" si="29"/>
        <v>2636</v>
      </c>
      <c r="AQ57" s="47">
        <f t="shared" si="29"/>
        <v>2399</v>
      </c>
      <c r="AR57" s="47">
        <f t="shared" si="29"/>
        <v>1853</v>
      </c>
      <c r="AS57" s="47">
        <f t="shared" si="29"/>
        <v>1879</v>
      </c>
      <c r="AT57" s="47">
        <f t="shared" si="29"/>
        <v>1939</v>
      </c>
      <c r="AU57" s="47">
        <f t="shared" si="29"/>
        <v>1938</v>
      </c>
      <c r="AV57" s="47">
        <f t="shared" si="29"/>
        <v>1541</v>
      </c>
      <c r="AW57" s="47">
        <f t="shared" si="29"/>
        <v>1298</v>
      </c>
      <c r="AX57" s="47">
        <f t="shared" si="29"/>
        <v>592</v>
      </c>
      <c r="AY57" s="47">
        <f t="shared" si="29"/>
        <v>25</v>
      </c>
      <c r="AZ57" s="47">
        <f>SUM(AZ4:AZ56)</f>
        <v>0</v>
      </c>
      <c r="BA57" s="47">
        <f t="shared" si="29"/>
        <v>0</v>
      </c>
      <c r="BB57" s="86">
        <f>SUM(BB5:BB56)</f>
        <v>38305</v>
      </c>
      <c r="BD57" t="b">
        <f t="shared" si="2"/>
        <v>0</v>
      </c>
      <c r="BE57">
        <f t="shared" si="8"/>
        <v>184</v>
      </c>
      <c r="BG57" s="47" t="s">
        <v>111</v>
      </c>
      <c r="BH57" s="47">
        <f>SUM(BH4:BH56)</f>
        <v>0</v>
      </c>
      <c r="BI57" s="47">
        <f t="shared" ref="BI57:CC57" si="30">SUM(BI4:BI56)</f>
        <v>0</v>
      </c>
      <c r="BJ57" s="47">
        <f t="shared" si="30"/>
        <v>0</v>
      </c>
      <c r="BK57" s="47">
        <f t="shared" si="30"/>
        <v>0</v>
      </c>
      <c r="BL57" s="47">
        <f t="shared" si="30"/>
        <v>0</v>
      </c>
      <c r="BM57" s="47">
        <f t="shared" si="30"/>
        <v>521</v>
      </c>
      <c r="BN57" s="47">
        <f t="shared" si="30"/>
        <v>2347</v>
      </c>
      <c r="BO57" s="47">
        <f t="shared" si="30"/>
        <v>3383</v>
      </c>
      <c r="BP57" s="47">
        <f t="shared" si="30"/>
        <v>4363</v>
      </c>
      <c r="BQ57" s="47">
        <f t="shared" si="30"/>
        <v>4392</v>
      </c>
      <c r="BR57" s="47">
        <f t="shared" si="30"/>
        <v>4019</v>
      </c>
      <c r="BS57" s="47">
        <f t="shared" si="30"/>
        <v>3180</v>
      </c>
      <c r="BT57" s="47">
        <f t="shared" si="30"/>
        <v>2636</v>
      </c>
      <c r="BU57" s="47">
        <f t="shared" si="30"/>
        <v>2399</v>
      </c>
      <c r="BV57" s="47">
        <f t="shared" si="30"/>
        <v>1853</v>
      </c>
      <c r="BW57" s="47">
        <f t="shared" si="30"/>
        <v>1879</v>
      </c>
      <c r="BX57" s="47">
        <f t="shared" si="30"/>
        <v>1939</v>
      </c>
      <c r="BY57" s="47">
        <f t="shared" si="30"/>
        <v>2092</v>
      </c>
      <c r="BZ57" s="47">
        <f t="shared" si="30"/>
        <v>2138</v>
      </c>
      <c r="CA57" s="47">
        <f t="shared" si="30"/>
        <v>0</v>
      </c>
      <c r="CB57" s="47">
        <f t="shared" si="30"/>
        <v>0</v>
      </c>
      <c r="CC57" s="47">
        <f t="shared" si="30"/>
        <v>0</v>
      </c>
      <c r="CD57" s="47">
        <f>SUM(CD4:CD56)</f>
        <v>0</v>
      </c>
      <c r="CE57" s="47">
        <f t="shared" ref="CE57" si="31">SUM(CE4:CE56)</f>
        <v>0</v>
      </c>
      <c r="CF57" s="86">
        <f>SUM(CF5:CF56)</f>
        <v>37141</v>
      </c>
      <c r="CG57" s="127"/>
      <c r="CJ57" s="47">
        <f t="shared" ref="CJ57" si="32">SUM(CJ4:CJ56)</f>
        <v>526</v>
      </c>
      <c r="CK57" s="47">
        <f t="shared" ref="CK57" si="33">SUM(CK4:CK56)</f>
        <v>2353</v>
      </c>
      <c r="CL57" s="47">
        <f t="shared" ref="CL57" si="34">SUM(CL4:CL56)</f>
        <v>3390</v>
      </c>
      <c r="CM57" s="47">
        <f t="shared" ref="CM57" si="35">SUM(CM4:CM56)</f>
        <v>4371</v>
      </c>
      <c r="CN57" s="47">
        <f t="shared" ref="CN57" si="36">SUM(CN4:CN56)</f>
        <v>4401</v>
      </c>
      <c r="CO57" s="47">
        <f t="shared" ref="CO57" si="37">SUM(CO4:CO56)</f>
        <v>4029</v>
      </c>
      <c r="CP57" s="47">
        <f t="shared" ref="CP57" si="38">SUM(CP4:CP56)</f>
        <v>3191</v>
      </c>
      <c r="CQ57" s="47">
        <f t="shared" ref="CQ57" si="39">SUM(CQ4:CQ56)</f>
        <v>2648</v>
      </c>
      <c r="CR57" s="47">
        <f t="shared" ref="CR57" si="40">SUM(CR4:CR56)</f>
        <v>2412</v>
      </c>
      <c r="CS57" s="47">
        <f t="shared" ref="CS57" si="41">SUM(CS4:CS56)</f>
        <v>1867</v>
      </c>
      <c r="CT57" s="47">
        <f t="shared" ref="CT57" si="42">SUM(CT4:CT56)</f>
        <v>1894</v>
      </c>
      <c r="CU57" s="47">
        <f t="shared" ref="CU57" si="43">SUM(CU4:CU56)</f>
        <v>1955</v>
      </c>
      <c r="CV57" s="47">
        <f t="shared" ref="CV57:CX57" si="44">SUM(CV4:CV56)</f>
        <v>1955</v>
      </c>
      <c r="CW57" s="47">
        <f t="shared" ref="CW57:CY57" si="45">SUM(CW4:CW56)</f>
        <v>1559</v>
      </c>
      <c r="CX57" s="47">
        <f t="shared" si="44"/>
        <v>1317</v>
      </c>
      <c r="CY57" s="47">
        <f t="shared" si="45"/>
        <v>612</v>
      </c>
      <c r="CZ57" s="86">
        <f>SUM(CZ5:CZ56)</f>
        <v>36390</v>
      </c>
    </row>
  </sheetData>
  <mergeCells count="4">
    <mergeCell ref="B2:Y2"/>
    <mergeCell ref="AC2:BB2"/>
    <mergeCell ref="DC2:DG2"/>
    <mergeCell ref="BG2:CF2"/>
  </mergeCells>
  <conditionalFormatting sqref="B4:Y56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4:BA56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H4:CE56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J5:CY56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2:F54"/>
  <sheetViews>
    <sheetView workbookViewId="0">
      <selection activeCell="K17" sqref="K17"/>
    </sheetView>
  </sheetViews>
  <sheetFormatPr defaultRowHeight="14.5" x14ac:dyDescent="0.35"/>
  <cols>
    <col min="2" max="2" width="11.54296875" bestFit="1" customWidth="1"/>
    <col min="3" max="3" width="10.453125" bestFit="1" customWidth="1"/>
    <col min="4" max="4" width="6.08984375" style="2" customWidth="1"/>
    <col min="5" max="6" width="11.54296875" bestFit="1" customWidth="1"/>
  </cols>
  <sheetData>
    <row r="2" spans="1:6" ht="76" x14ac:dyDescent="0.35">
      <c r="A2" s="23" t="s">
        <v>121</v>
      </c>
      <c r="B2" s="23" t="s">
        <v>122</v>
      </c>
      <c r="C2" s="23" t="s">
        <v>123</v>
      </c>
      <c r="D2" s="84" t="s">
        <v>124</v>
      </c>
      <c r="E2" s="84" t="s">
        <v>125</v>
      </c>
      <c r="F2" s="84" t="s">
        <v>126</v>
      </c>
    </row>
    <row r="3" spans="1:6" x14ac:dyDescent="0.35">
      <c r="A3" s="40" t="s">
        <v>20</v>
      </c>
      <c r="B3" s="85">
        <v>0.33333333333333331</v>
      </c>
      <c r="C3" s="85">
        <v>0.875</v>
      </c>
      <c r="D3" s="46" t="s">
        <v>98</v>
      </c>
      <c r="E3" s="85">
        <f>(B3*24 -D3)/24</f>
        <v>0.33333333333333331</v>
      </c>
      <c r="F3" s="85">
        <f>(C3*24 -D3)/24</f>
        <v>0.875</v>
      </c>
    </row>
    <row r="4" spans="1:6" x14ac:dyDescent="0.35">
      <c r="A4" s="40" t="s">
        <v>21</v>
      </c>
      <c r="B4" s="85">
        <v>0.33333333333333331</v>
      </c>
      <c r="C4" s="85">
        <v>0.83333333333333337</v>
      </c>
      <c r="D4" s="46" t="s">
        <v>100</v>
      </c>
      <c r="E4" s="85">
        <f t="shared" ref="E4:E54" si="0">(B4*24 -D4)/24</f>
        <v>0.25</v>
      </c>
      <c r="F4" s="85">
        <f t="shared" ref="F4:F54" si="1">(C4*24 -D4)/24</f>
        <v>0.75</v>
      </c>
    </row>
    <row r="5" spans="1:6" x14ac:dyDescent="0.35">
      <c r="A5" s="40" t="s">
        <v>22</v>
      </c>
      <c r="B5" s="85">
        <v>0.33333333333333331</v>
      </c>
      <c r="C5" s="85">
        <v>0.875</v>
      </c>
      <c r="D5" s="46" t="s">
        <v>100</v>
      </c>
      <c r="E5" s="85">
        <f t="shared" si="0"/>
        <v>0.25</v>
      </c>
      <c r="F5" s="85">
        <f t="shared" si="1"/>
        <v>0.79166666666666663</v>
      </c>
    </row>
    <row r="6" spans="1:6" x14ac:dyDescent="0.35">
      <c r="A6" s="40" t="s">
        <v>23</v>
      </c>
      <c r="B6" s="85">
        <v>0.33333333333333331</v>
      </c>
      <c r="C6" s="85">
        <v>0.83333333333333337</v>
      </c>
      <c r="D6" s="46" t="s">
        <v>99</v>
      </c>
      <c r="E6" s="85">
        <f t="shared" si="0"/>
        <v>0.29166666666666669</v>
      </c>
      <c r="F6" s="85">
        <f t="shared" si="1"/>
        <v>0.79166666666666663</v>
      </c>
    </row>
    <row r="7" spans="1:6" x14ac:dyDescent="0.35">
      <c r="A7" s="40" t="s">
        <v>24</v>
      </c>
      <c r="B7" s="85">
        <v>0.33333333333333331</v>
      </c>
      <c r="C7" s="85">
        <v>0.875</v>
      </c>
      <c r="D7" s="46" t="s">
        <v>98</v>
      </c>
      <c r="E7" s="85">
        <f t="shared" si="0"/>
        <v>0.33333333333333331</v>
      </c>
      <c r="F7" s="85">
        <f t="shared" si="1"/>
        <v>0.875</v>
      </c>
    </row>
    <row r="8" spans="1:6" x14ac:dyDescent="0.35">
      <c r="A8" s="40" t="s">
        <v>25</v>
      </c>
      <c r="B8" s="85">
        <v>0.33333333333333331</v>
      </c>
      <c r="C8" s="85">
        <v>0.875</v>
      </c>
      <c r="D8" s="46" t="s">
        <v>99</v>
      </c>
      <c r="E8" s="85">
        <f t="shared" si="0"/>
        <v>0.29166666666666669</v>
      </c>
      <c r="F8" s="85">
        <f t="shared" si="1"/>
        <v>0.83333333333333337</v>
      </c>
    </row>
    <row r="9" spans="1:6" x14ac:dyDescent="0.35">
      <c r="A9" s="40" t="s">
        <v>26</v>
      </c>
      <c r="B9" s="85">
        <v>0.375</v>
      </c>
      <c r="C9" s="85">
        <v>0.875</v>
      </c>
      <c r="D9" s="46" t="s">
        <v>101</v>
      </c>
      <c r="E9" s="85">
        <f t="shared" si="0"/>
        <v>0.25</v>
      </c>
      <c r="F9" s="85">
        <f t="shared" si="1"/>
        <v>0.75</v>
      </c>
    </row>
    <row r="10" spans="1:6" x14ac:dyDescent="0.35">
      <c r="A10" s="40" t="s">
        <v>27</v>
      </c>
      <c r="B10" s="85">
        <v>0.33333333333333331</v>
      </c>
      <c r="C10" s="85">
        <v>0.875</v>
      </c>
      <c r="D10" s="46" t="s">
        <v>101</v>
      </c>
      <c r="E10" s="85">
        <f t="shared" si="0"/>
        <v>0.20833333333333334</v>
      </c>
      <c r="F10" s="85">
        <f t="shared" si="1"/>
        <v>0.75</v>
      </c>
    </row>
    <row r="11" spans="1:6" x14ac:dyDescent="0.35">
      <c r="A11" s="40" t="s">
        <v>28</v>
      </c>
      <c r="B11" s="85">
        <v>0.33333333333333331</v>
      </c>
      <c r="C11" s="85">
        <v>0.875</v>
      </c>
      <c r="D11" s="46" t="s">
        <v>101</v>
      </c>
      <c r="E11" s="85">
        <f t="shared" si="0"/>
        <v>0.20833333333333334</v>
      </c>
      <c r="F11" s="85">
        <f t="shared" si="1"/>
        <v>0.75</v>
      </c>
    </row>
    <row r="12" spans="1:6" x14ac:dyDescent="0.35">
      <c r="A12" s="40" t="s">
        <v>29</v>
      </c>
      <c r="B12" s="85">
        <v>0.33333333333333331</v>
      </c>
      <c r="C12" s="85">
        <v>0.875</v>
      </c>
      <c r="D12" s="46" t="s">
        <v>101</v>
      </c>
      <c r="E12" s="85">
        <f t="shared" si="0"/>
        <v>0.20833333333333334</v>
      </c>
      <c r="F12" s="85">
        <f t="shared" si="1"/>
        <v>0.75</v>
      </c>
    </row>
    <row r="13" spans="1:6" x14ac:dyDescent="0.35">
      <c r="A13" s="40" t="s">
        <v>30</v>
      </c>
      <c r="B13" s="85">
        <v>0.33333333333333331</v>
      </c>
      <c r="C13" s="85">
        <v>0.875</v>
      </c>
      <c r="D13" s="46" t="s">
        <v>101</v>
      </c>
      <c r="E13" s="85">
        <f t="shared" si="0"/>
        <v>0.20833333333333334</v>
      </c>
      <c r="F13" s="85">
        <f t="shared" si="1"/>
        <v>0.75</v>
      </c>
    </row>
    <row r="14" spans="1:6" x14ac:dyDescent="0.35">
      <c r="A14" s="40" t="s">
        <v>31</v>
      </c>
      <c r="B14" s="85">
        <v>0.33333333333333331</v>
      </c>
      <c r="C14" s="85">
        <v>0.875</v>
      </c>
      <c r="D14" s="46" t="s">
        <v>100</v>
      </c>
      <c r="E14" s="85">
        <f t="shared" si="0"/>
        <v>0.25</v>
      </c>
      <c r="F14" s="85">
        <f t="shared" si="1"/>
        <v>0.79166666666666663</v>
      </c>
    </row>
    <row r="15" spans="1:6" x14ac:dyDescent="0.35">
      <c r="A15" s="40" t="s">
        <v>32</v>
      </c>
      <c r="B15" s="85">
        <v>0.33333333333333331</v>
      </c>
      <c r="C15" s="85">
        <v>0.875</v>
      </c>
      <c r="D15" s="46" t="s">
        <v>100</v>
      </c>
      <c r="E15" s="85">
        <f t="shared" si="0"/>
        <v>0.25</v>
      </c>
      <c r="F15" s="85">
        <f t="shared" si="1"/>
        <v>0.79166666666666663</v>
      </c>
    </row>
    <row r="16" spans="1:6" x14ac:dyDescent="0.35">
      <c r="A16" s="40" t="s">
        <v>33</v>
      </c>
      <c r="B16" s="85">
        <v>0.33333333333333331</v>
      </c>
      <c r="C16" s="85">
        <v>0.875</v>
      </c>
      <c r="D16" s="46" t="s">
        <v>99</v>
      </c>
      <c r="E16" s="85">
        <f t="shared" si="0"/>
        <v>0.29166666666666669</v>
      </c>
      <c r="F16" s="85">
        <f t="shared" si="1"/>
        <v>0.83333333333333337</v>
      </c>
    </row>
    <row r="17" spans="1:6" x14ac:dyDescent="0.35">
      <c r="A17" s="40" t="s">
        <v>34</v>
      </c>
      <c r="B17" s="85">
        <v>0.375</v>
      </c>
      <c r="C17" s="85">
        <v>0.875</v>
      </c>
      <c r="D17" s="46" t="s">
        <v>100</v>
      </c>
      <c r="E17" s="85">
        <f t="shared" si="0"/>
        <v>0.29166666666666669</v>
      </c>
      <c r="F17" s="85">
        <f t="shared" si="1"/>
        <v>0.79166666666666663</v>
      </c>
    </row>
    <row r="18" spans="1:6" x14ac:dyDescent="0.35">
      <c r="A18" s="40" t="s">
        <v>35</v>
      </c>
      <c r="B18" s="85">
        <v>0.33333333333333331</v>
      </c>
      <c r="C18" s="85">
        <v>0.875</v>
      </c>
      <c r="D18" s="46" t="s">
        <v>101</v>
      </c>
      <c r="E18" s="85">
        <f t="shared" si="0"/>
        <v>0.20833333333333334</v>
      </c>
      <c r="F18" s="85">
        <f t="shared" si="1"/>
        <v>0.75</v>
      </c>
    </row>
    <row r="19" spans="1:6" x14ac:dyDescent="0.35">
      <c r="A19" s="40" t="s">
        <v>36</v>
      </c>
      <c r="B19" s="85">
        <v>0.33333333333333331</v>
      </c>
      <c r="C19" s="85">
        <v>0.875</v>
      </c>
      <c r="D19" s="46" t="s">
        <v>100</v>
      </c>
      <c r="E19" s="85">
        <f t="shared" si="0"/>
        <v>0.25</v>
      </c>
      <c r="F19" s="85">
        <f t="shared" si="1"/>
        <v>0.79166666666666663</v>
      </c>
    </row>
    <row r="20" spans="1:6" x14ac:dyDescent="0.35">
      <c r="A20" s="40" t="s">
        <v>37</v>
      </c>
      <c r="B20" s="85">
        <v>0.41666666666666669</v>
      </c>
      <c r="C20" s="85">
        <v>0.875</v>
      </c>
      <c r="D20" s="46" t="s">
        <v>101</v>
      </c>
      <c r="E20" s="85">
        <f t="shared" si="0"/>
        <v>0.29166666666666669</v>
      </c>
      <c r="F20" s="85">
        <f t="shared" si="1"/>
        <v>0.75</v>
      </c>
    </row>
    <row r="21" spans="1:6" x14ac:dyDescent="0.35">
      <c r="A21" s="40" t="s">
        <v>38</v>
      </c>
      <c r="B21" s="85">
        <v>0.33333333333333331</v>
      </c>
      <c r="C21" s="85">
        <v>0.83333333333333337</v>
      </c>
      <c r="D21" s="46" t="s">
        <v>100</v>
      </c>
      <c r="E21" s="85">
        <f t="shared" si="0"/>
        <v>0.25</v>
      </c>
      <c r="F21" s="85">
        <f t="shared" si="1"/>
        <v>0.75</v>
      </c>
    </row>
    <row r="22" spans="1:6" x14ac:dyDescent="0.35">
      <c r="A22" s="40" t="s">
        <v>39</v>
      </c>
      <c r="B22" s="85">
        <v>0.33333333333333331</v>
      </c>
      <c r="C22" s="85">
        <v>0.83333333333333337</v>
      </c>
      <c r="D22" s="46" t="s">
        <v>101</v>
      </c>
      <c r="E22" s="85">
        <f t="shared" si="0"/>
        <v>0.20833333333333334</v>
      </c>
      <c r="F22" s="85">
        <f t="shared" si="1"/>
        <v>0.70833333333333337</v>
      </c>
    </row>
    <row r="23" spans="1:6" x14ac:dyDescent="0.35">
      <c r="A23" s="40" t="s">
        <v>40</v>
      </c>
      <c r="B23" s="85">
        <v>0.33333333333333331</v>
      </c>
      <c r="C23" s="85">
        <v>0.875</v>
      </c>
      <c r="D23" s="46" t="s">
        <v>101</v>
      </c>
      <c r="E23" s="85">
        <f t="shared" si="0"/>
        <v>0.20833333333333334</v>
      </c>
      <c r="F23" s="85">
        <f t="shared" si="1"/>
        <v>0.75</v>
      </c>
    </row>
    <row r="24" spans="1:6" x14ac:dyDescent="0.35">
      <c r="A24" s="40" t="s">
        <v>41</v>
      </c>
      <c r="B24" s="85">
        <v>0.33333333333333331</v>
      </c>
      <c r="C24" s="85">
        <v>0.875</v>
      </c>
      <c r="D24" s="46" t="s">
        <v>101</v>
      </c>
      <c r="E24" s="85">
        <f t="shared" si="0"/>
        <v>0.20833333333333334</v>
      </c>
      <c r="F24" s="85">
        <f t="shared" si="1"/>
        <v>0.75</v>
      </c>
    </row>
    <row r="25" spans="1:6" x14ac:dyDescent="0.35">
      <c r="A25" s="40" t="s">
        <v>42</v>
      </c>
      <c r="B25" s="85">
        <v>0.375</v>
      </c>
      <c r="C25" s="85">
        <v>0.875</v>
      </c>
      <c r="D25" s="46" t="s">
        <v>101</v>
      </c>
      <c r="E25" s="85">
        <f t="shared" si="0"/>
        <v>0.25</v>
      </c>
      <c r="F25" s="85">
        <f t="shared" si="1"/>
        <v>0.75</v>
      </c>
    </row>
    <row r="26" spans="1:6" x14ac:dyDescent="0.35">
      <c r="A26" s="40" t="s">
        <v>43</v>
      </c>
      <c r="B26" s="85">
        <v>0.375</v>
      </c>
      <c r="C26" s="85">
        <v>0.875</v>
      </c>
      <c r="D26" s="46" t="s">
        <v>100</v>
      </c>
      <c r="E26" s="85">
        <f t="shared" si="0"/>
        <v>0.29166666666666669</v>
      </c>
      <c r="F26" s="85">
        <f t="shared" si="1"/>
        <v>0.79166666666666663</v>
      </c>
    </row>
    <row r="27" spans="1:6" x14ac:dyDescent="0.35">
      <c r="A27" s="40" t="s">
        <v>44</v>
      </c>
      <c r="B27" s="85">
        <v>0.33333333333333331</v>
      </c>
      <c r="C27" s="85">
        <v>0.875</v>
      </c>
      <c r="D27" s="46" t="s">
        <v>100</v>
      </c>
      <c r="E27" s="85">
        <f t="shared" si="0"/>
        <v>0.25</v>
      </c>
      <c r="F27" s="85">
        <f t="shared" si="1"/>
        <v>0.79166666666666663</v>
      </c>
    </row>
    <row r="28" spans="1:6" x14ac:dyDescent="0.35">
      <c r="A28" s="40" t="s">
        <v>45</v>
      </c>
      <c r="B28" s="85">
        <v>0.33333333333333331</v>
      </c>
      <c r="C28" s="85">
        <v>0.83333333333333337</v>
      </c>
      <c r="D28" s="46" t="s">
        <v>100</v>
      </c>
      <c r="E28" s="85">
        <f t="shared" si="0"/>
        <v>0.25</v>
      </c>
      <c r="F28" s="85">
        <f t="shared" si="1"/>
        <v>0.75</v>
      </c>
    </row>
    <row r="29" spans="1:6" x14ac:dyDescent="0.35">
      <c r="A29" s="40" t="s">
        <v>46</v>
      </c>
      <c r="B29" s="85">
        <v>0.33333333333333331</v>
      </c>
      <c r="C29" s="85">
        <v>0.875</v>
      </c>
      <c r="D29" s="46" t="s">
        <v>99</v>
      </c>
      <c r="E29" s="85">
        <f t="shared" si="0"/>
        <v>0.29166666666666669</v>
      </c>
      <c r="F29" s="85">
        <f t="shared" si="1"/>
        <v>0.83333333333333337</v>
      </c>
    </row>
    <row r="30" spans="1:6" x14ac:dyDescent="0.35">
      <c r="A30" s="40" t="s">
        <v>47</v>
      </c>
      <c r="B30" s="85">
        <v>0.33333333333333331</v>
      </c>
      <c r="C30" s="85">
        <v>0.875</v>
      </c>
      <c r="D30" s="46" t="s">
        <v>101</v>
      </c>
      <c r="E30" s="85">
        <f t="shared" si="0"/>
        <v>0.20833333333333334</v>
      </c>
      <c r="F30" s="85">
        <f t="shared" si="1"/>
        <v>0.75</v>
      </c>
    </row>
    <row r="31" spans="1:6" x14ac:dyDescent="0.35">
      <c r="A31" s="40" t="s">
        <v>48</v>
      </c>
      <c r="B31" s="85">
        <v>0.33333333333333331</v>
      </c>
      <c r="C31" s="85">
        <v>0.875</v>
      </c>
      <c r="D31" s="46" t="s">
        <v>100</v>
      </c>
      <c r="E31" s="85">
        <f t="shared" si="0"/>
        <v>0.25</v>
      </c>
      <c r="F31" s="85">
        <f t="shared" si="1"/>
        <v>0.79166666666666663</v>
      </c>
    </row>
    <row r="32" spans="1:6" x14ac:dyDescent="0.35">
      <c r="A32" s="40" t="s">
        <v>49</v>
      </c>
      <c r="B32" s="85">
        <v>0.33333333333333331</v>
      </c>
      <c r="C32" s="85">
        <v>0.875</v>
      </c>
      <c r="D32" s="46" t="s">
        <v>100</v>
      </c>
      <c r="E32" s="85">
        <f t="shared" si="0"/>
        <v>0.25</v>
      </c>
      <c r="F32" s="85">
        <f t="shared" si="1"/>
        <v>0.79166666666666663</v>
      </c>
    </row>
    <row r="33" spans="1:6" x14ac:dyDescent="0.35">
      <c r="A33" s="40" t="s">
        <v>50</v>
      </c>
      <c r="B33" s="85">
        <v>0.33333333333333331</v>
      </c>
      <c r="C33" s="85">
        <v>0.875</v>
      </c>
      <c r="D33" s="46" t="s">
        <v>101</v>
      </c>
      <c r="E33" s="85">
        <f t="shared" si="0"/>
        <v>0.20833333333333334</v>
      </c>
      <c r="F33" s="85">
        <f t="shared" si="1"/>
        <v>0.75</v>
      </c>
    </row>
    <row r="34" spans="1:6" x14ac:dyDescent="0.35">
      <c r="A34" s="40" t="s">
        <v>51</v>
      </c>
      <c r="B34" s="85">
        <v>0.33333333333333331</v>
      </c>
      <c r="C34" s="85">
        <v>0.875</v>
      </c>
      <c r="D34" s="46" t="s">
        <v>101</v>
      </c>
      <c r="E34" s="85">
        <f t="shared" si="0"/>
        <v>0.20833333333333334</v>
      </c>
      <c r="F34" s="85">
        <f t="shared" si="1"/>
        <v>0.75</v>
      </c>
    </row>
    <row r="35" spans="1:6" x14ac:dyDescent="0.35">
      <c r="A35" s="40" t="s">
        <v>52</v>
      </c>
      <c r="B35" s="85">
        <v>0.375</v>
      </c>
      <c r="C35" s="85">
        <v>0.875</v>
      </c>
      <c r="D35" s="46" t="s">
        <v>99</v>
      </c>
      <c r="E35" s="85">
        <f t="shared" si="0"/>
        <v>0.33333333333333331</v>
      </c>
      <c r="F35" s="85">
        <f t="shared" si="1"/>
        <v>0.83333333333333337</v>
      </c>
    </row>
    <row r="36" spans="1:6" x14ac:dyDescent="0.35">
      <c r="A36" s="40" t="s">
        <v>53</v>
      </c>
      <c r="B36" s="85">
        <v>0.375</v>
      </c>
      <c r="C36" s="85">
        <v>0.83333333333333337</v>
      </c>
      <c r="D36" s="46" t="s">
        <v>98</v>
      </c>
      <c r="E36" s="85">
        <f t="shared" si="0"/>
        <v>0.375</v>
      </c>
      <c r="F36" s="85">
        <f t="shared" si="1"/>
        <v>0.83333333333333337</v>
      </c>
    </row>
    <row r="37" spans="1:6" x14ac:dyDescent="0.35">
      <c r="A37" s="40" t="s">
        <v>54</v>
      </c>
      <c r="B37" s="85">
        <v>0.33333333333333331</v>
      </c>
      <c r="C37" s="85">
        <v>0.875</v>
      </c>
      <c r="D37" s="46" t="s">
        <v>101</v>
      </c>
      <c r="E37" s="85">
        <f t="shared" si="0"/>
        <v>0.20833333333333334</v>
      </c>
      <c r="F37" s="85">
        <f t="shared" si="1"/>
        <v>0.75</v>
      </c>
    </row>
    <row r="38" spans="1:6" x14ac:dyDescent="0.35">
      <c r="A38" s="40" t="s">
        <v>55</v>
      </c>
      <c r="B38" s="85">
        <v>0.33333333333333331</v>
      </c>
      <c r="C38" s="85">
        <v>0.875</v>
      </c>
      <c r="D38" s="46" t="s">
        <v>101</v>
      </c>
      <c r="E38" s="85">
        <f t="shared" si="0"/>
        <v>0.20833333333333334</v>
      </c>
      <c r="F38" s="85">
        <f t="shared" si="1"/>
        <v>0.75</v>
      </c>
    </row>
    <row r="39" spans="1:6" x14ac:dyDescent="0.35">
      <c r="A39" s="40" t="s">
        <v>56</v>
      </c>
      <c r="B39" s="85">
        <v>0.375</v>
      </c>
      <c r="C39" s="85">
        <v>0.875</v>
      </c>
      <c r="D39" s="46" t="s">
        <v>100</v>
      </c>
      <c r="E39" s="85">
        <f t="shared" si="0"/>
        <v>0.29166666666666669</v>
      </c>
      <c r="F39" s="85">
        <f t="shared" si="1"/>
        <v>0.79166666666666663</v>
      </c>
    </row>
    <row r="40" spans="1:6" x14ac:dyDescent="0.35">
      <c r="A40" s="40" t="s">
        <v>57</v>
      </c>
      <c r="B40" s="85">
        <v>0.33333333333333331</v>
      </c>
      <c r="C40" s="85">
        <v>0.875</v>
      </c>
      <c r="D40" s="46" t="s">
        <v>99</v>
      </c>
      <c r="E40" s="85">
        <f t="shared" si="0"/>
        <v>0.29166666666666669</v>
      </c>
      <c r="F40" s="85">
        <f t="shared" si="1"/>
        <v>0.83333333333333337</v>
      </c>
    </row>
    <row r="41" spans="1:6" x14ac:dyDescent="0.35">
      <c r="A41" s="40" t="s">
        <v>58</v>
      </c>
      <c r="B41" s="85">
        <v>0.33333333333333331</v>
      </c>
      <c r="C41" s="85">
        <v>0.875</v>
      </c>
      <c r="D41" s="46" t="s">
        <v>101</v>
      </c>
      <c r="E41" s="85">
        <f t="shared" si="0"/>
        <v>0.20833333333333334</v>
      </c>
      <c r="F41" s="85">
        <f t="shared" si="1"/>
        <v>0.75</v>
      </c>
    </row>
    <row r="42" spans="1:6" x14ac:dyDescent="0.35">
      <c r="A42" s="40" t="s">
        <v>59</v>
      </c>
      <c r="B42" s="85">
        <v>0.33333333333333331</v>
      </c>
      <c r="C42" s="85">
        <v>0.875</v>
      </c>
      <c r="D42" s="46" t="s">
        <v>101</v>
      </c>
      <c r="E42" s="85">
        <f t="shared" si="0"/>
        <v>0.20833333333333334</v>
      </c>
      <c r="F42" s="85">
        <f t="shared" si="1"/>
        <v>0.75</v>
      </c>
    </row>
    <row r="43" spans="1:6" x14ac:dyDescent="0.35">
      <c r="A43" s="40" t="s">
        <v>60</v>
      </c>
      <c r="B43" s="85">
        <v>0.41666666666666669</v>
      </c>
      <c r="C43" s="85">
        <v>0.70833333333333337</v>
      </c>
      <c r="D43" s="46" t="s">
        <v>101</v>
      </c>
      <c r="E43" s="85">
        <f t="shared" si="0"/>
        <v>0.29166666666666669</v>
      </c>
      <c r="F43" s="85">
        <f t="shared" si="1"/>
        <v>0.58333333333333337</v>
      </c>
    </row>
    <row r="44" spans="1:6" x14ac:dyDescent="0.35">
      <c r="A44" s="40" t="s">
        <v>61</v>
      </c>
      <c r="B44" s="85">
        <v>0.33333333333333331</v>
      </c>
      <c r="C44" s="85">
        <v>0.875</v>
      </c>
      <c r="D44" s="46" t="s">
        <v>101</v>
      </c>
      <c r="E44" s="85">
        <f t="shared" si="0"/>
        <v>0.20833333333333334</v>
      </c>
      <c r="F44" s="85">
        <f t="shared" si="1"/>
        <v>0.75</v>
      </c>
    </row>
    <row r="45" spans="1:6" x14ac:dyDescent="0.35">
      <c r="A45" s="40" t="s">
        <v>62</v>
      </c>
      <c r="B45" s="85">
        <v>0.375</v>
      </c>
      <c r="C45" s="85">
        <v>0.875</v>
      </c>
      <c r="D45" s="46" t="s">
        <v>100</v>
      </c>
      <c r="E45" s="85">
        <f t="shared" si="0"/>
        <v>0.29166666666666669</v>
      </c>
      <c r="F45" s="85">
        <f t="shared" si="1"/>
        <v>0.79166666666666663</v>
      </c>
    </row>
    <row r="46" spans="1:6" x14ac:dyDescent="0.35">
      <c r="A46" s="40" t="s">
        <v>63</v>
      </c>
      <c r="B46" s="85">
        <v>0.33333333333333331</v>
      </c>
      <c r="C46" s="85">
        <v>0.875</v>
      </c>
      <c r="D46" s="46" t="s">
        <v>101</v>
      </c>
      <c r="E46" s="85">
        <f t="shared" si="0"/>
        <v>0.20833333333333334</v>
      </c>
      <c r="F46" s="85">
        <f t="shared" si="1"/>
        <v>0.75</v>
      </c>
    </row>
    <row r="47" spans="1:6" x14ac:dyDescent="0.35">
      <c r="A47" s="40" t="s">
        <v>64</v>
      </c>
      <c r="B47" s="85">
        <v>0.375</v>
      </c>
      <c r="C47" s="85">
        <v>0.875</v>
      </c>
      <c r="D47" s="46" t="s">
        <v>100</v>
      </c>
      <c r="E47" s="85">
        <f t="shared" si="0"/>
        <v>0.29166666666666669</v>
      </c>
      <c r="F47" s="85">
        <f t="shared" si="1"/>
        <v>0.79166666666666663</v>
      </c>
    </row>
    <row r="48" spans="1:6" x14ac:dyDescent="0.35">
      <c r="A48" s="40" t="s">
        <v>65</v>
      </c>
      <c r="B48" s="85">
        <v>0.33333333333333331</v>
      </c>
      <c r="C48" s="85">
        <v>0.875</v>
      </c>
      <c r="D48" s="46" t="s">
        <v>99</v>
      </c>
      <c r="E48" s="85">
        <f t="shared" si="0"/>
        <v>0.29166666666666669</v>
      </c>
      <c r="F48" s="85">
        <f t="shared" si="1"/>
        <v>0.83333333333333337</v>
      </c>
    </row>
    <row r="49" spans="1:6" x14ac:dyDescent="0.35">
      <c r="A49" s="40" t="s">
        <v>66</v>
      </c>
      <c r="B49" s="85">
        <v>0.33333333333333331</v>
      </c>
      <c r="C49" s="85">
        <v>0.875</v>
      </c>
      <c r="D49" s="46" t="s">
        <v>101</v>
      </c>
      <c r="E49" s="85">
        <f t="shared" si="0"/>
        <v>0.20833333333333334</v>
      </c>
      <c r="F49" s="85">
        <f t="shared" si="1"/>
        <v>0.75</v>
      </c>
    </row>
    <row r="50" spans="1:6" x14ac:dyDescent="0.35">
      <c r="A50" s="40" t="s">
        <v>67</v>
      </c>
      <c r="B50" s="85">
        <v>0.33333333333333331</v>
      </c>
      <c r="C50" s="85">
        <v>0.875</v>
      </c>
      <c r="D50" s="46" t="s">
        <v>101</v>
      </c>
      <c r="E50" s="85">
        <f t="shared" si="0"/>
        <v>0.20833333333333334</v>
      </c>
      <c r="F50" s="85">
        <f t="shared" si="1"/>
        <v>0.75</v>
      </c>
    </row>
    <row r="51" spans="1:6" x14ac:dyDescent="0.35">
      <c r="A51" s="40" t="s">
        <v>68</v>
      </c>
      <c r="B51" s="85">
        <v>0.33333333333333331</v>
      </c>
      <c r="C51" s="85">
        <v>0.875</v>
      </c>
      <c r="D51" s="46" t="s">
        <v>98</v>
      </c>
      <c r="E51" s="85">
        <f t="shared" si="0"/>
        <v>0.33333333333333331</v>
      </c>
      <c r="F51" s="85">
        <f t="shared" si="1"/>
        <v>0.875</v>
      </c>
    </row>
    <row r="52" spans="1:6" x14ac:dyDescent="0.35">
      <c r="A52" s="40" t="s">
        <v>69</v>
      </c>
      <c r="B52" s="85">
        <v>0.33333333333333331</v>
      </c>
      <c r="C52" s="85">
        <v>0.875</v>
      </c>
      <c r="D52" s="46" t="s">
        <v>100</v>
      </c>
      <c r="E52" s="85">
        <f t="shared" si="0"/>
        <v>0.25</v>
      </c>
      <c r="F52" s="85">
        <f t="shared" si="1"/>
        <v>0.79166666666666663</v>
      </c>
    </row>
    <row r="53" spans="1:6" x14ac:dyDescent="0.35">
      <c r="A53" s="40" t="s">
        <v>70</v>
      </c>
      <c r="B53" s="85">
        <v>0.33333333333333331</v>
      </c>
      <c r="C53" s="85">
        <v>0.875</v>
      </c>
      <c r="D53" s="46" t="s">
        <v>101</v>
      </c>
      <c r="E53" s="85">
        <f t="shared" si="0"/>
        <v>0.20833333333333334</v>
      </c>
      <c r="F53" s="85">
        <f t="shared" si="1"/>
        <v>0.75</v>
      </c>
    </row>
    <row r="54" spans="1:6" x14ac:dyDescent="0.35">
      <c r="A54" s="40" t="s">
        <v>71</v>
      </c>
      <c r="B54" s="85">
        <v>0.33333333333333331</v>
      </c>
      <c r="C54" s="85">
        <v>0.83333333333333337</v>
      </c>
      <c r="D54" s="46" t="s">
        <v>99</v>
      </c>
      <c r="E54" s="85">
        <f t="shared" si="0"/>
        <v>0.29166666666666669</v>
      </c>
      <c r="F54" s="85">
        <f t="shared" si="1"/>
        <v>0.79166666666666663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Model Setup</vt:lpstr>
      <vt:lpstr>Data- Refined</vt:lpstr>
      <vt:lpstr>Optimization Model</vt:lpstr>
      <vt:lpstr> Metrics Calculation</vt:lpstr>
      <vt:lpstr>Support Calculation</vt:lpstr>
      <vt:lpstr>Statistical Analysis- Lead Flow</vt:lpstr>
      <vt:lpstr>Data- Extract</vt:lpstr>
      <vt:lpstr>FTC</vt:lpstr>
    </vt:vector>
  </TitlesOfParts>
  <Company>Discover Financial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Rejo Mathew</dc:creator>
  <cp:lastModifiedBy>Rejo Z Mathew</cp:lastModifiedBy>
  <dcterms:created xsi:type="dcterms:W3CDTF">2014-02-11T03:42:28Z</dcterms:created>
  <dcterms:modified xsi:type="dcterms:W3CDTF">2026-02-21T21:05:28Z</dcterms:modified>
</cp:coreProperties>
</file>